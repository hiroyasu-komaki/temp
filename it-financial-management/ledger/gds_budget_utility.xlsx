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efinition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Fixed_Assets" sheetId="3" state="visible" r:id="rId3"/>
    <sheet xmlns:r="http://schemas.openxmlformats.org/officeDocument/2006/relationships" name="Workforce" sheetId="4" state="visible" r:id="rId4"/>
    <sheet xmlns:r="http://schemas.openxmlformats.org/officeDocument/2006/relationships" name="FTE_Allocation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Cost_Centers" sheetId="8" state="visible" r:id="rId8"/>
    <sheet xmlns:r="http://schemas.openxmlformats.org/officeDocument/2006/relationships" name="Account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Lists" sheetId="11" state="visible" r:id="rId11"/>
  </sheets>
  <definedNames>
    <definedName name="lst_region">OFFSET(Lists!$A$2,0,0,MAX(1,COUNTA(Lists!$A$2:$A$100)),1)</definedName>
    <definedName name="lst_currency">OFFSET(Lists!$B$2,0,0,MAX(1,COUNTA(Lists!$B$2:$B$100)),1)</definedName>
    <definedName name="lst_contract_type">OFFSET(Lists!$C$2,0,0,MAX(1,COUNTA(Lists!$C$2:$C$100)),1)</definedName>
    <definedName name="lst_employment_type">OFFSET(Lists!$D$2,0,0,MAX(1,COUNTA(Lists!$D$2:$D$100)),1)</definedName>
    <definedName name="lst_allocation_type">OFFSET(Lists!$E$2,0,0,MAX(1,COUNTA(Lists!$E$2:$E$100)),1)</definedName>
    <definedName name="lst_source_type">OFFSET(Lists!$F$2,0,0,MAX(1,COUNTA(Lists!$F$2:$F$100)),1)</definedName>
    <definedName name="lst_rate_type">OFFSET(Lists!$G$2,0,0,MAX(1,COUNTA(Lists!$G$2:$G$100)),1)</definedName>
    <definedName name="lst_yes_no">OFFSET(Lists!$H$2,0,0,MAX(1,COUNTA(Lists!$H$2:$H$100)),1)</definedName>
    <definedName name="lst_cost_center">OFFSET(Cost_Centers!$A$2,0,0,MAX(1,COUNTA(Cost_Centers!$A$2:$A$2000)),1)</definedName>
    <definedName name="lst_account">OFFSET(Accounts!$A$2,0,0,MAX(1,COUNTA(Accounts!$A$2:$A$5000)),1)</definedName>
    <definedName name="_xlnm._FilterDatabase" localSheetId="5" hidden="1">'Export'!$A$1:$AG$1651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7F7F7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49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0" fontId="4" fillId="4" borderId="0" pivotButton="0" quotePrefix="0" xfId="0"/>
    <xf numFmtId="4" fontId="3" fillId="0" borderId="0" pivotButton="0" quotePrefix="0" xfId="0"/>
    <xf numFmtId="4" fontId="8" fillId="5" borderId="0" pivotButton="0" quotePrefix="0" xfId="0"/>
    <xf numFmtId="0" fontId="8" fillId="5" borderId="0" pivotButton="0" quotePrefix="0" xfId="0"/>
    <xf numFmtId="164" fontId="8" fillId="5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_Contracts" displayName="tbl_Contracts" ref="A1:U2" headerRowCount="1">
  <autoFilter ref="A1:U2"/>
  <tableColumns count="21">
    <tableColumn id="1" name="contract_id"/>
    <tableColumn id="2" name="budget_id"/>
    <tableColumn id="3" name="contract_group_id"/>
    <tableColumn id="4" name="region"/>
    <tableColumn id="5" name="owner"/>
    <tableColumn id="6" name="vendor_name"/>
    <tableColumn id="7" name="contract_name"/>
    <tableColumn id="8" name="category"/>
    <tableColumn id="9" name="contract_type"/>
    <tableColumn id="10" name="start_date"/>
    <tableColumn id="11" name="end_date_effective"/>
    <tableColumn id="12" name="currency"/>
    <tableColumn id="13" name="amount"/>
    <tableColumn id="14" name="amortization_months"/>
    <tableColumn id="15" name="chargeback_ratio"/>
    <tableColumn id="16" name="cost_center_code"/>
    <tableColumn id="17" name="account_key"/>
    <tableColumn id="18" name="unit_price"/>
    <tableColumn id="19" name="unit_price_max"/>
    <tableColumn id="20" name="unit_price_min"/>
    <tableColumn id="21" name="note"/>
  </tableColumns>
  <tableStyleInfo name="TableStyleLight1" showRowStripes="1"/>
</table>
</file>

<file path=xl/tables/table2.xml><?xml version="1.0" encoding="utf-8"?>
<table xmlns="http://schemas.openxmlformats.org/spreadsheetml/2006/main" id="2" name="tbl_Fixed_Assets" displayName="tbl_Fixed_Assets" ref="A1:M2" headerRowCount="1">
  <autoFilter ref="A1:M2"/>
  <tableColumns count="13">
    <tableColumn id="1" name="asset_id"/>
    <tableColumn id="2" name="budget_id"/>
    <tableColumn id="3" name="region"/>
    <tableColumn id="4" name="owner"/>
    <tableColumn id="5" name="asset_name"/>
    <tableColumn id="6" name="asset_class"/>
    <tableColumn id="7" name="acquisition_date"/>
    <tableColumn id="8" name="acquisition_cost"/>
    <tableColumn id="9" name="currency"/>
    <tableColumn id="10" name="useful_life_months"/>
    <tableColumn id="11" name="cost_center_code"/>
    <tableColumn id="12" name="account_key"/>
    <tableColumn id="13" name="note"/>
  </tableColumns>
  <tableStyleInfo name="TableStyleLight1" showRowStripes="1"/>
</table>
</file>

<file path=xl/tables/table3.xml><?xml version="1.0" encoding="utf-8"?>
<table xmlns="http://schemas.openxmlformats.org/spreadsheetml/2006/main" id="3" name="tbl_Workforce" displayName="tbl_Workforce" ref="A1:L2" headerRowCount="1">
  <autoFilter ref="A1:L2"/>
  <tableColumns count="12">
    <tableColumn id="1" name="person_id"/>
    <tableColumn id="2" name="region"/>
    <tableColumn id="3" name="owner"/>
    <tableColumn id="4" name="person_name"/>
    <tableColumn id="5" name="employment_type"/>
    <tableColumn id="6" name="monthly_rate"/>
    <tableColumn id="7" name="rate_currency"/>
    <tableColumn id="8" name="contract_id_ref"/>
    <tableColumn id="9" name="valid_from"/>
    <tableColumn id="10" name="valid_to"/>
    <tableColumn id="11" name="account_key"/>
    <tableColumn id="12" name="note"/>
  </tableColumns>
  <tableStyleInfo name="TableStyleLight1" showRowStripes="1"/>
</table>
</file>

<file path=xl/tables/table4.xml><?xml version="1.0" encoding="utf-8"?>
<table xmlns="http://schemas.openxmlformats.org/spreadsheetml/2006/main" id="4" name="tbl_FTE_Allocation" displayName="tbl_FTE_Allocation" ref="A1:K2" headerRowCount="1">
  <autoFilter ref="A1:K2"/>
  <tableColumns count="11">
    <tableColumn id="1" name="person_id"/>
    <tableColumn id="2" name="budget_id"/>
    <tableColumn id="3" name="owner"/>
    <tableColumn id="4" name="allocation_type"/>
    <tableColumn id="5" name="allocation_code"/>
    <tableColumn id="6" name="fte_2027"/>
    <tableColumn id="7" name="fte_2028"/>
    <tableColumn id="8" name="fte_2029"/>
    <tableColumn id="9" name="valid_from"/>
    <tableColumn id="10" name="valid_to"/>
    <tableColumn id="11" name="note"/>
  </tableColumns>
  <tableStyleInfo name="TableStyleLight1" showRowStripes="1"/>
</table>
</file>

<file path=xl/tables/table5.xml><?xml version="1.0" encoding="utf-8"?>
<table xmlns="http://schemas.openxmlformats.org/spreadsheetml/2006/main" id="5" name="tbl_Cost_Centers" displayName="tbl_Cost_Centers" ref="A1:F2" headerRowCount="1">
  <autoFilter ref="A1:F2"/>
  <tableColumns count="6">
    <tableColumn id="1" name="cost_center_code"/>
    <tableColumn id="2" name="cost_center_name"/>
    <tableColumn id="3" name="region"/>
    <tableColumn id="4" name="function"/>
    <tableColumn id="5" name="sub_function"/>
    <tableColumn id="6" name="active"/>
  </tableColumns>
  <tableStyleInfo name="TableStyleLight1" showRowStripes="1"/>
</table>
</file>

<file path=xl/tables/table6.xml><?xml version="1.0" encoding="utf-8"?>
<table xmlns="http://schemas.openxmlformats.org/spreadsheetml/2006/main" id="6" name="tbl_Accounts" displayName="tbl_Accounts" ref="A1:G2" headerRowCount="1">
  <autoFilter ref="A1:G2"/>
  <tableColumns count="7">
    <tableColumn id="1" name="account_key"/>
    <tableColumn id="2" name="region"/>
    <tableColumn id="3" name="local_account_code"/>
    <tableColumn id="4" name="local_account_name"/>
    <tableColumn id="5" name="global_coa_code"/>
    <tableColumn id="6" name="global_coa_name"/>
    <tableColumn id="7" name="mgmt_category"/>
  </tableColumns>
  <tableStyleInfo name="TableStyleLight1" showRowStripes="1"/>
</table>
</file>

<file path=xl/tables/table7.xml><?xml version="1.0" encoding="utf-8"?>
<table xmlns="http://schemas.openxmlformats.org/spreadsheetml/2006/main" id="7" name="tbl_Projects" displayName="tbl_Projects" ref="A1:F2" headerRowCount="1">
  <autoFilter ref="A1:F2"/>
  <tableColumns count="6">
    <tableColumn id="1" name="project_code"/>
    <tableColumn id="2" name="project_name"/>
    <tableColumn id="3" name="region"/>
    <tableColumn id="4" name="bearing_cost_center_code"/>
    <tableColumn id="5" name="start_month"/>
    <tableColumn id="6" name="end_month"/>
  </tableColumns>
  <tableStyleInfo name="TableStyleLight1" showRowStripes="1"/>
</table>
</file>

<file path=xl/tables/table8.xml><?xml version="1.0" encoding="utf-8"?>
<table xmlns="http://schemas.openxmlformats.org/spreadsheetml/2006/main" id="8" name="tbl_Lists" displayName="tbl_Lists" ref="A1:H5" headerRowCount="1">
  <autoFilter ref="A1:H5"/>
  <tableColumns count="8">
    <tableColumn id="1" name="region"/>
    <tableColumn id="2" name="currency"/>
    <tableColumn id="3" name="contract_type"/>
    <tableColumn id="4" name="employment_type"/>
    <tableColumn id="5" name="allocation_type"/>
    <tableColumn id="6" name="source_type"/>
    <tableColumn id="7" name="rate_type"/>
    <tableColumn id="8" name="yes_n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10" customWidth="1" min="5" max="5"/>
    <col width="22" customWidth="1" min="6" max="6"/>
    <col width="55" customWidth="1" min="7" max="7"/>
    <col width="50" customWidth="1" min="8" max="8"/>
  </cols>
  <sheetData>
    <row r="1">
      <c r="A1" s="1" t="inlineStr">
        <is>
          <t>GDS Budget Utility – Field Definitions / 項目定義</t>
        </is>
      </c>
    </row>
    <row r="3">
      <c r="A3" s="2" t="inlineStr">
        <is>
          <t>How to use / 使い方</t>
        </is>
      </c>
    </row>
    <row r="4" ht="36" customHeight="1">
      <c r="A4" s="3" t="inlineStr">
        <is>
          <t>•</t>
        </is>
      </c>
      <c r="B4" s="3" t="inlineStr">
        <is>
          <t>Keep your own copy of this file. Enter contracts, assets and staff; the Export sheet converts them into Opex_Budget rows.</t>
        </is>
      </c>
      <c r="E4" s="3" t="inlineStr">
        <is>
          <t>このファイルは各自で1つ持ちます。契約・資産・要員を入力すると、Exportシートが予算の行（Opex_Budget形式）に変換します。</t>
        </is>
      </c>
    </row>
    <row r="5" ht="36" customHeight="1">
      <c r="A5" s="3" t="inlineStr">
        <is>
          <t>•</t>
        </is>
      </c>
      <c r="B5" s="3" t="inlineStr">
        <is>
          <t>To transfer: on Export, filter row_total (column X) to exclude 0, copy columns A to V of the visible rows, and paste as values at the end of Opex_Budget in the ledger.</t>
        </is>
      </c>
      <c r="E5" s="3" t="inlineStr">
        <is>
          <t>転記の手順：Exportでrow_total（X列）が0の行を除外し、表示されている行のA〜V列をコピーして、共有台帳のOpex_Budgetの末尾に値で貼り付けます。</t>
        </is>
      </c>
    </row>
    <row r="6" ht="36" customHeight="1">
      <c r="A6" s="3" t="inlineStr">
        <is>
          <t>•</t>
        </is>
      </c>
      <c r="B6" s="3" t="inlineStr">
        <is>
          <t>Before pasting an update, delete the rows you pasted last time from Opex_Budget.</t>
        </is>
      </c>
      <c r="E6" s="3" t="inlineStr">
        <is>
          <t>更新して貼り直すときは、前回貼り付けた自分の行をOpex_Budgetから先に削除してください。</t>
        </is>
      </c>
    </row>
    <row r="7" ht="36" customHeight="1">
      <c r="A7" s="3" t="inlineStr">
        <is>
          <t>•</t>
        </is>
      </c>
      <c r="B7" s="3" t="inlineStr">
        <is>
          <t>Enter one record per row. Do not insert blank rows, merge cells or change column headers.</t>
        </is>
      </c>
      <c r="E7" s="3" t="inlineStr">
        <is>
          <t>1行に1件を入力します。空行の挿入、セルの結合、列見出しの変更はしないでください。</t>
        </is>
      </c>
    </row>
    <row r="8" ht="36" customHeight="1">
      <c r="A8" s="3" t="inlineStr">
        <is>
          <t>•</t>
        </is>
      </c>
      <c r="B8" s="3" t="inlineStr">
        <is>
          <t>Yes = required. Yes* = required depending on the type (see description). Use the dropdowns for List fields.</t>
        </is>
      </c>
      <c r="E8" s="3" t="inlineStr">
        <is>
          <t>Yes＝必須。Yes*＝種別によって必須（説明を参照）。List型はプルダウンから選びます。</t>
        </is>
      </c>
    </row>
    <row r="9" ht="36" customHeight="1">
      <c r="A9" s="3" t="inlineStr">
        <is>
          <t>•</t>
        </is>
      </c>
      <c r="B9" s="3" t="inlineStr">
        <is>
          <t>Dates: YYYY-MM-DD. Amounts: excluding tax, in the currency of the row. Do not convert currencies.</t>
        </is>
      </c>
      <c r="E9" s="3" t="inlineStr">
        <is>
          <t>日付はYYYY-MM-DD。金額は税抜で、その行の通貨のまま入力します。換算はしないでください。</t>
        </is>
      </c>
    </row>
    <row r="10" ht="36" customHeight="1">
      <c r="A10" s="3" t="inlineStr">
        <is>
          <t>•</t>
        </is>
      </c>
      <c r="B10" s="3" t="inlineStr">
        <is>
          <t>The Example column shows the expected format only. Do not copy example values.</t>
        </is>
      </c>
      <c r="E10" s="3" t="inlineStr">
        <is>
          <t>Example列は入力形式の例です。例の値を転記しないでください。</t>
        </is>
      </c>
    </row>
    <row r="11" ht="36" customHeight="1">
      <c r="A11" s="3" t="inlineStr">
        <is>
          <t>•</t>
        </is>
      </c>
      <c r="B11" s="3" t="inlineStr">
        <is>
          <t>Grey sheets (Cost_Centers, Accounts, Projects, Lists) are copies of the master data file and must not be edited. To get the latest values, open in Excel desktop and click Data &gt; Refresh All (not needed every time). To add or change values, ask IT Finance.</t>
        </is>
      </c>
      <c r="E11" s="3" t="inlineStr">
        <is>
          <t>グレーのシート（Cost_Centers・Accounts・Projects・Lists）はマスタファイルの写しで、編集しません。最新にするときはデスクトップ版Excelで「データ＞すべて更新」を押します（毎回は不要）。値の追加・変更はITファイナンスに依頼してください。</t>
        </is>
      </c>
    </row>
    <row r="13">
      <c r="A13" s="2" t="inlineStr">
        <is>
          <t>Sheets / シート一覧</t>
        </is>
      </c>
    </row>
    <row r="14">
      <c r="A14" s="4" t="inlineStr">
        <is>
          <t>Sheet</t>
        </is>
      </c>
      <c r="B14" s="4" t="inlineStr">
        <is>
          <t>Maintained by</t>
        </is>
      </c>
      <c r="C14" s="4" t="inlineStr">
        <is>
          <t>Purpose (EN)</t>
        </is>
      </c>
      <c r="D14" s="5" t="n"/>
      <c r="E14" s="4" t="inlineStr">
        <is>
          <t>目的（日本語）</t>
        </is>
      </c>
      <c r="F14" s="5" t="n"/>
      <c r="G14" s="5" t="n"/>
      <c r="H14" s="5" t="n"/>
    </row>
    <row r="15" ht="42" customHeight="1">
      <c r="A15" s="6" t="inlineStr">
        <is>
          <t>Settings</t>
        </is>
      </c>
      <c r="B15" s="7" t="inlineStr">
        <is>
          <t>ITF only</t>
        </is>
      </c>
      <c r="C15" s="3" t="inlineStr">
        <is>
          <t>First fiscal year of the budget period and row counts used by Export.</t>
        </is>
      </c>
      <c r="E15" s="3" t="inlineStr">
        <is>
          <t>予算期間の初年度と、Exportが使う行数</t>
        </is>
      </c>
    </row>
    <row r="16" ht="42" customHeight="1">
      <c r="A16" s="6" t="inlineStr">
        <is>
          <t>Contracts</t>
        </is>
      </c>
      <c r="B16" s="7" t="inlineStr">
        <is>
          <t>Input</t>
        </is>
      </c>
      <c r="C16" s="3" t="inlineStr">
        <is>
          <t>Contract-driven costs: SaaS, maintenance, telecom, fixed-fee outsourcing.</t>
        </is>
      </c>
      <c r="E16" s="3" t="inlineStr">
        <is>
          <t>契約に基づく費用（SaaS・保守・通信・月額固定の業務委託）</t>
        </is>
      </c>
    </row>
    <row r="17" ht="42" customHeight="1">
      <c r="A17" s="6" t="inlineStr">
        <is>
          <t>Fixed_Assets</t>
        </is>
      </c>
      <c r="B17" s="7" t="inlineStr">
        <is>
          <t>Input</t>
        </is>
      </c>
      <c r="C17" s="3" t="inlineStr">
        <is>
          <t>Depreciation of capitalized assets.</t>
        </is>
      </c>
      <c r="E17" s="3" t="inlineStr">
        <is>
          <t>資産計上した物品の減価償却費</t>
        </is>
      </c>
    </row>
    <row r="18" ht="42" customHeight="1">
      <c r="A18" s="6" t="inlineStr">
        <is>
          <t>Workforce</t>
        </is>
      </c>
      <c r="B18" s="7" t="inlineStr">
        <is>
          <t>Input</t>
        </is>
      </c>
      <c r="C18" s="3" t="inlineStr">
        <is>
          <t>Employees and external staff paid by rate.</t>
        </is>
      </c>
      <c r="E18" s="3" t="inlineStr">
        <is>
          <t>正社員と、単価で支払う外部人材</t>
        </is>
      </c>
    </row>
    <row r="19" ht="42" customHeight="1">
      <c r="A19" s="6" t="inlineStr">
        <is>
          <t>FTE_Allocation</t>
        </is>
      </c>
      <c r="B19" s="7" t="inlineStr">
        <is>
          <t>Input</t>
        </is>
      </c>
      <c r="C19" s="3" t="inlineStr">
        <is>
          <t>How each person's cost is split across cost centers and projects, by year.</t>
        </is>
      </c>
      <c r="E19" s="3" t="inlineStr">
        <is>
          <t>要員ごとの費用を、年ごとにコストセンター・プロジェクトへ配分する比率</t>
        </is>
      </c>
    </row>
    <row r="20" ht="42" customHeight="1">
      <c r="A20" s="6" t="inlineStr">
        <is>
          <t>Export</t>
        </is>
      </c>
      <c r="B20" s="7" t="inlineStr">
        <is>
          <t>Auto (do not edit)</t>
        </is>
      </c>
      <c r="C20" s="3" t="inlineStr">
        <is>
          <t>Rows in Opex_Budget format, calculated from the four input sheets. Copy columns A to V and paste as values into the ledger.</t>
        </is>
      </c>
      <c r="E20" s="3" t="inlineStr">
        <is>
          <t>4つの入力シートから計算した、Opex_Budget形式の行。A〜V列をコピーして共有台帳に値で貼り付ける</t>
        </is>
      </c>
    </row>
    <row r="22">
      <c r="A22" s="8" t="inlineStr">
        <is>
          <t>Contracts  —  Input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10" t="inlineStr">
        <is>
          <t>Sheet</t>
        </is>
      </c>
      <c r="B23" s="10" t="inlineStr">
        <is>
          <t>Field (EN)</t>
        </is>
      </c>
      <c r="C23" s="10" t="inlineStr">
        <is>
          <t>項目名（日本語）</t>
        </is>
      </c>
      <c r="D23" s="10" t="inlineStr">
        <is>
          <t>Type</t>
        </is>
      </c>
      <c r="E23" s="10" t="inlineStr">
        <is>
          <t>Required</t>
        </is>
      </c>
      <c r="F23" s="10" t="inlineStr">
        <is>
          <t>Example</t>
        </is>
      </c>
      <c r="G23" s="10" t="inlineStr">
        <is>
          <t>Description (EN)</t>
        </is>
      </c>
      <c r="H23" s="10" t="inlineStr">
        <is>
          <t>説明（日本語）</t>
        </is>
      </c>
    </row>
    <row r="24">
      <c r="A24" s="11" t="inlineStr">
        <is>
          <t>Contracts</t>
        </is>
      </c>
      <c r="B24" s="11" t="inlineStr">
        <is>
          <t>contract_id</t>
        </is>
      </c>
      <c r="C24" s="11" t="inlineStr">
        <is>
          <t>契約ID</t>
        </is>
      </c>
      <c r="D24" s="11" t="inlineStr">
        <is>
          <t>Text</t>
        </is>
      </c>
      <c r="E24" s="11" t="inlineStr">
        <is>
          <t>Yes</t>
        </is>
      </c>
      <c r="F24" s="12" t="inlineStr">
        <is>
          <t>CT-0001</t>
        </is>
      </c>
      <c r="G24" s="11" t="inlineStr">
        <is>
          <t>Unique key. Also referenced from Workforce for external staff.</t>
        </is>
      </c>
      <c r="H24" s="11" t="inlineStr">
        <is>
          <t>一意キー。外部人材の参照キーとしても使う</t>
        </is>
      </c>
    </row>
    <row r="25">
      <c r="A25" s="11" t="inlineStr">
        <is>
          <t>Contracts</t>
        </is>
      </c>
      <c r="B25" s="11" t="inlineStr">
        <is>
          <t>budget_id</t>
        </is>
      </c>
      <c r="C25" s="11" t="inlineStr">
        <is>
          <t>予算ID</t>
        </is>
      </c>
      <c r="D25" s="11" t="inlineStr">
        <is>
          <t>Text</t>
        </is>
      </c>
      <c r="E25" s="11" t="inlineStr">
        <is>
          <t>No</t>
        </is>
      </c>
      <c r="F25" s="12" t="inlineStr">
        <is>
          <t>BT-0012</t>
        </is>
      </c>
      <c r="G25" s="11" t="inlineStr">
        <is>
          <t>Optional. Copied to budget_id in Opex_Budget.</t>
        </is>
      </c>
      <c r="H25" s="11" t="inlineStr">
        <is>
          <t>任意。Opex_Budgetのbudget_idにそのまま転記される</t>
        </is>
      </c>
    </row>
    <row r="26">
      <c r="A26" s="11" t="inlineStr">
        <is>
          <t>Contracts</t>
        </is>
      </c>
      <c r="B26" s="11" t="inlineStr">
        <is>
          <t>contract_group_id</t>
        </is>
      </c>
      <c r="C26" s="11" t="inlineStr">
        <is>
          <t>契約グループID</t>
        </is>
      </c>
      <c r="D26" s="11" t="inlineStr">
        <is>
          <t>Text</t>
        </is>
      </c>
      <c r="E26" s="11" t="inlineStr">
        <is>
          <t>No</t>
        </is>
      </c>
      <c r="F26" s="12" t="inlineStr">
        <is>
          <t>G-M365</t>
        </is>
      </c>
      <c r="G26" s="11" t="inlineStr">
        <is>
          <t>Groups yearly rows of the same multi-year contract.</t>
        </is>
      </c>
      <c r="H26" s="11" t="inlineStr">
        <is>
          <t>複数年契約を年度ごとに分けた行を束ねるキー</t>
        </is>
      </c>
    </row>
    <row r="27">
      <c r="A27" s="11" t="inlineStr">
        <is>
          <t>Contracts</t>
        </is>
      </c>
      <c r="B27" s="11" t="inlineStr">
        <is>
          <t>region</t>
        </is>
      </c>
      <c r="C27" s="11" t="inlineStr">
        <is>
          <t>リージョン</t>
        </is>
      </c>
      <c r="D27" s="11" t="inlineStr">
        <is>
          <t>List</t>
        </is>
      </c>
      <c r="E27" s="11" t="inlineStr">
        <is>
          <t>Yes</t>
        </is>
      </c>
      <c r="F27" s="12" t="inlineStr">
        <is>
          <t>JP</t>
        </is>
      </c>
      <c r="G27" s="11" t="inlineStr">
        <is>
          <t>Region that pays the cost. Must match the region of cost_center_code.</t>
        </is>
      </c>
      <c r="H27" s="11" t="inlineStr">
        <is>
          <t>費用を支払うリージョン。コストセンターのリージョンと一致させる</t>
        </is>
      </c>
    </row>
    <row r="28">
      <c r="A28" s="11" t="inlineStr">
        <is>
          <t>Contracts</t>
        </is>
      </c>
      <c r="B28" s="11" t="inlineStr">
        <is>
          <t>owner</t>
        </is>
      </c>
      <c r="C28" s="11" t="inlineStr">
        <is>
          <t>入力責任者</t>
        </is>
      </c>
      <c r="D28" s="11" t="inlineStr">
        <is>
          <t>Text</t>
        </is>
      </c>
      <c r="E28" s="11" t="inlineStr">
        <is>
          <t>Yes</t>
        </is>
      </c>
      <c r="F28" s="12" t="inlineStr">
        <is>
          <t>T. Yamada</t>
        </is>
      </c>
      <c r="G28" s="11" t="inlineStr">
        <is>
          <t>Person responsible for keeping this row up to date.</t>
        </is>
      </c>
      <c r="H28" s="11" t="inlineStr">
        <is>
          <t>この行を最新に保つ責任者</t>
        </is>
      </c>
    </row>
    <row r="29">
      <c r="A29" s="11" t="inlineStr">
        <is>
          <t>Contracts</t>
        </is>
      </c>
      <c r="B29" s="11" t="inlineStr">
        <is>
          <t>vendor_name</t>
        </is>
      </c>
      <c r="C29" s="11" t="inlineStr">
        <is>
          <t>ベンダー名</t>
        </is>
      </c>
      <c r="D29" s="11" t="inlineStr">
        <is>
          <t>Text</t>
        </is>
      </c>
      <c r="E29" s="11" t="inlineStr">
        <is>
          <t>Yes</t>
        </is>
      </c>
      <c r="F29" s="12" t="inlineStr">
        <is>
          <t>Microsoft</t>
        </is>
      </c>
      <c r="G29" s="11" t="inlineStr">
        <is>
          <t>Vendor name.</t>
        </is>
      </c>
      <c r="H29" s="11" t="inlineStr">
        <is>
          <t>ベンダー名</t>
        </is>
      </c>
    </row>
    <row r="30">
      <c r="A30" s="11" t="inlineStr">
        <is>
          <t>Contracts</t>
        </is>
      </c>
      <c r="B30" s="11" t="inlineStr">
        <is>
          <t>contract_name</t>
        </is>
      </c>
      <c r="C30" s="11" t="inlineStr">
        <is>
          <t>契約名</t>
        </is>
      </c>
      <c r="D30" s="11" t="inlineStr">
        <is>
          <t>Text</t>
        </is>
      </c>
      <c r="E30" s="11" t="inlineStr">
        <is>
          <t>Yes</t>
        </is>
      </c>
      <c r="F30" s="12" t="inlineStr">
        <is>
          <t>M365 E5 (FY27)</t>
        </is>
      </c>
      <c r="G30" s="11" t="inlineStr">
        <is>
          <t>Contract or service name.</t>
        </is>
      </c>
      <c r="H30" s="11" t="inlineStr">
        <is>
          <t>契約名・サービス名</t>
        </is>
      </c>
    </row>
    <row r="31">
      <c r="A31" s="11" t="inlineStr">
        <is>
          <t>Contracts</t>
        </is>
      </c>
      <c r="B31" s="11" t="inlineStr">
        <is>
          <t>category</t>
        </is>
      </c>
      <c r="C31" s="11" t="inlineStr">
        <is>
          <t>カテゴリ</t>
        </is>
      </c>
      <c r="D31" s="11" t="inlineStr">
        <is>
          <t>Text</t>
        </is>
      </c>
      <c r="E31" s="11" t="inlineStr">
        <is>
          <t>No</t>
        </is>
      </c>
      <c r="F31" s="12" t="inlineStr">
        <is>
          <t>SaaS</t>
        </is>
      </c>
      <c r="G31" s="11" t="inlineStr">
        <is>
          <t>Free tag (SaaS, Telecom, Maintenance, etc.).</t>
        </is>
      </c>
      <c r="H31" s="11" t="inlineStr">
        <is>
          <t>タグ（SaaS、通信、保守など）</t>
        </is>
      </c>
    </row>
    <row r="32">
      <c r="A32" s="11" t="inlineStr">
        <is>
          <t>Contracts</t>
        </is>
      </c>
      <c r="B32" s="11" t="inlineStr">
        <is>
          <t>contract_type</t>
        </is>
      </c>
      <c r="C32" s="11" t="inlineStr">
        <is>
          <t>契約種別</t>
        </is>
      </c>
      <c r="D32" s="11" t="inlineStr">
        <is>
          <t>List</t>
        </is>
      </c>
      <c r="E32" s="11" t="inlineStr">
        <is>
          <t>Yes</t>
        </is>
      </c>
      <c r="F32" s="12" t="inlineStr">
        <is>
          <t>PREPAID</t>
        </is>
      </c>
      <c r="G32" s="11" t="inlineStr">
        <is>
          <t>PREPAID = prepaid lump sum, amortized / MONTHLY = fixed monthly fee / RATE_REF = rate card for external staff (reference only, no budget generated).</t>
        </is>
      </c>
      <c r="H32" s="11" t="inlineStr">
        <is>
          <t>PREPAID＝前払一括型（償却）／MONTHLY＝月額固定型／RATE_REF＝業務委託単価型（単価参照専用。予算は作られない）</t>
        </is>
      </c>
    </row>
    <row r="33">
      <c r="A33" s="11" t="inlineStr">
        <is>
          <t>Contracts</t>
        </is>
      </c>
      <c r="B33" s="11" t="inlineStr">
        <is>
          <t>start_date</t>
        </is>
      </c>
      <c r="C33" s="11" t="inlineStr">
        <is>
          <t>開始日</t>
        </is>
      </c>
      <c r="D33" s="11" t="inlineStr">
        <is>
          <t>Date</t>
        </is>
      </c>
      <c r="E33" s="11" t="inlineStr">
        <is>
          <t>Yes</t>
        </is>
      </c>
      <c r="F33" s="12" t="inlineStr">
        <is>
          <t>2027-04-01</t>
        </is>
      </c>
      <c r="G33" s="11" t="inlineStr">
        <is>
          <t>PREPAID: payment month (amortization starts). MONTHLY: first month of charge.</t>
        </is>
      </c>
      <c r="H33" s="11" t="inlineStr">
        <is>
          <t>前払一括型は支払月（償却開始月）、月額固定型は計上開始月</t>
        </is>
      </c>
    </row>
    <row r="34">
      <c r="A34" s="11" t="inlineStr">
        <is>
          <t>Contracts</t>
        </is>
      </c>
      <c r="B34" s="11" t="inlineStr">
        <is>
          <t>end_date_effective</t>
        </is>
      </c>
      <c r="C34" s="11" t="inlineStr">
        <is>
          <t>終了日（実効）</t>
        </is>
      </c>
      <c r="D34" s="11" t="inlineStr">
        <is>
          <t>Date</t>
        </is>
      </c>
      <c r="E34" s="11" t="inlineStr">
        <is>
          <t>No</t>
        </is>
      </c>
      <c r="F34" s="12" t="inlineStr">
        <is>
          <t>2028-03-31</t>
        </is>
      </c>
      <c r="G34" s="11" t="inlineStr">
        <is>
          <t>MONTHLY only. Date the contract will actually end. Blank = continues.</t>
        </is>
      </c>
      <c r="H34" s="11" t="inlineStr">
        <is>
          <t>月額固定型のみ。実際に契約が終了する時期。空欄は継続</t>
        </is>
      </c>
    </row>
    <row r="35">
      <c r="A35" s="11" t="inlineStr">
        <is>
          <t>Contracts</t>
        </is>
      </c>
      <c r="B35" s="11" t="inlineStr">
        <is>
          <t>currency</t>
        </is>
      </c>
      <c r="C35" s="11" t="inlineStr">
        <is>
          <t>通貨</t>
        </is>
      </c>
      <c r="D35" s="11" t="inlineStr">
        <is>
          <t>List</t>
        </is>
      </c>
      <c r="E35" s="11" t="inlineStr">
        <is>
          <t>Yes</t>
        </is>
      </c>
      <c r="F35" s="12" t="inlineStr">
        <is>
          <t>JPY</t>
        </is>
      </c>
      <c r="G35" s="11" t="inlineStr">
        <is>
          <t>Contract currency.</t>
        </is>
      </c>
      <c r="H35" s="11" t="inlineStr">
        <is>
          <t>契約の通貨</t>
        </is>
      </c>
    </row>
    <row r="36">
      <c r="A36" s="11" t="inlineStr">
        <is>
          <t>Contracts</t>
        </is>
      </c>
      <c r="B36" s="11" t="inlineStr">
        <is>
          <t>amount</t>
        </is>
      </c>
      <c r="C36" s="11" t="inlineStr">
        <is>
          <t>金額</t>
        </is>
      </c>
      <c r="D36" s="11" t="inlineStr">
        <is>
          <t>Number</t>
        </is>
      </c>
      <c r="E36" s="11" t="inlineStr">
        <is>
          <t>Yes*</t>
        </is>
      </c>
      <c r="F36" s="12" t="inlineStr">
        <is>
          <t>48000000</t>
        </is>
      </c>
      <c r="G36" s="11" t="inlineStr">
        <is>
          <t>PREPAID: amount of one payment. MONTHLY: monthly fee. Excluding tax. *Not for RATE_REF.</t>
        </is>
      </c>
      <c r="H36" s="11" t="inlineStr">
        <is>
          <t>前払一括型は1回の支払額、月額固定型は月額。税抜。※RATE_REFは不要</t>
        </is>
      </c>
    </row>
    <row r="37">
      <c r="A37" s="11" t="inlineStr">
        <is>
          <t>Contracts</t>
        </is>
      </c>
      <c r="B37" s="11" t="inlineStr">
        <is>
          <t>amortization_months</t>
        </is>
      </c>
      <c r="C37" s="11" t="inlineStr">
        <is>
          <t>償却月数</t>
        </is>
      </c>
      <c r="D37" s="11" t="inlineStr">
        <is>
          <t>Integer</t>
        </is>
      </c>
      <c r="E37" s="11" t="inlineStr">
        <is>
          <t>No</t>
        </is>
      </c>
      <c r="F37" s="12" t="inlineStr">
        <is>
          <t>12</t>
        </is>
      </c>
      <c r="G37" s="11" t="inlineStr">
        <is>
          <t>PREPAID only. Default 12.</t>
        </is>
      </c>
      <c r="H37" s="11" t="inlineStr">
        <is>
          <t>前払一括型のみ。既定は12</t>
        </is>
      </c>
    </row>
    <row r="38">
      <c r="A38" s="11" t="inlineStr">
        <is>
          <t>Contracts</t>
        </is>
      </c>
      <c r="B38" s="11" t="inlineStr">
        <is>
          <t>chargeback_ratio</t>
        </is>
      </c>
      <c r="C38" s="11" t="inlineStr">
        <is>
          <t>チャージバック比率</t>
        </is>
      </c>
      <c r="D38" s="11" t="inlineStr">
        <is>
          <t>Number 0-1</t>
        </is>
      </c>
      <c r="E38" s="11" t="inlineStr">
        <is>
          <t>No</t>
        </is>
      </c>
      <c r="F38" s="12" t="inlineStr">
        <is>
          <t>0</t>
        </is>
      </c>
      <c r="G38" s="11" t="inlineStr">
        <is>
          <t>Not in use. Leave 0 (reserved for future).</t>
        </is>
      </c>
      <c r="H38" s="11" t="inlineStr">
        <is>
          <t>現時点では運用しない。0のままにする（将来用）</t>
        </is>
      </c>
    </row>
    <row r="39">
      <c r="A39" s="11" t="inlineStr">
        <is>
          <t>Contracts</t>
        </is>
      </c>
      <c r="B39" s="11" t="inlineStr">
        <is>
          <t>cost_center_code</t>
        </is>
      </c>
      <c r="C39" s="11" t="inlineStr">
        <is>
          <t>コストセンター</t>
        </is>
      </c>
      <c r="D39" s="11" t="inlineStr">
        <is>
          <t>List</t>
        </is>
      </c>
      <c r="E39" s="11" t="inlineStr">
        <is>
          <t>Yes*</t>
        </is>
      </c>
      <c r="F39" s="12" t="inlineStr">
        <is>
          <t>JP-GDS-APP</t>
        </is>
      </c>
      <c r="G39" s="11" t="inlineStr">
        <is>
          <t>Cost center that bears the cost. Split into rows if shared. *Not for RATE_REF.</t>
        </is>
      </c>
      <c r="H39" s="11" t="inlineStr">
        <is>
          <t>費用を計上するコストセンター。複数にまたがる場合は行を分ける。※RATE_REFは不要</t>
        </is>
      </c>
    </row>
    <row r="40">
      <c r="A40" s="11" t="inlineStr">
        <is>
          <t>Contracts</t>
        </is>
      </c>
      <c r="B40" s="11" t="inlineStr">
        <is>
          <t>account_key</t>
        </is>
      </c>
      <c r="C40" s="11" t="inlineStr">
        <is>
          <t>勘定科目</t>
        </is>
      </c>
      <c r="D40" s="11" t="inlineStr">
        <is>
          <t>List</t>
        </is>
      </c>
      <c r="E40" s="11" t="inlineStr">
        <is>
          <t>Yes*</t>
        </is>
      </c>
      <c r="F40" s="12" t="inlineStr">
        <is>
          <t>JP|5101</t>
        </is>
      </c>
      <c r="G40" s="11" t="inlineStr">
        <is>
          <t>Local account. *Not for RATE_REF.</t>
        </is>
      </c>
      <c r="H40" s="11" t="inlineStr">
        <is>
          <t>現地勘定科目。※RATE_REFは不要</t>
        </is>
      </c>
    </row>
    <row r="41">
      <c r="A41" s="11" t="inlineStr">
        <is>
          <t>Contracts</t>
        </is>
      </c>
      <c r="B41" s="11" t="inlineStr">
        <is>
          <t>unit_price</t>
        </is>
      </c>
      <c r="C41" s="11" t="inlineStr">
        <is>
          <t>基準単価</t>
        </is>
      </c>
      <c r="D41" s="11" t="inlineStr">
        <is>
          <t>Number</t>
        </is>
      </c>
      <c r="E41" s="11" t="inlineStr">
        <is>
          <t>Yes*</t>
        </is>
      </c>
      <c r="F41" s="12" t="inlineStr">
        <is>
          <t>1450000</t>
        </is>
      </c>
      <c r="G41" s="11" t="inlineStr">
        <is>
          <t>RATE_REF only. Standard monthly rate.</t>
        </is>
      </c>
      <c r="H41" s="11" t="inlineStr">
        <is>
          <t>業務委託単価型のみ。基準となる月額単価</t>
        </is>
      </c>
    </row>
    <row r="42">
      <c r="A42" s="11" t="inlineStr">
        <is>
          <t>Contracts</t>
        </is>
      </c>
      <c r="B42" s="11" t="inlineStr">
        <is>
          <t>unit_price_max</t>
        </is>
      </c>
      <c r="C42" s="11" t="inlineStr">
        <is>
          <t>上限単価</t>
        </is>
      </c>
      <c r="D42" s="11" t="inlineStr">
        <is>
          <t>Number</t>
        </is>
      </c>
      <c r="E42" s="11" t="inlineStr">
        <is>
          <t>No</t>
        </is>
      </c>
      <c r="F42" s="12" t="inlineStr">
        <is>
          <t>1600000</t>
        </is>
      </c>
      <c r="G42" s="11" t="inlineStr">
        <is>
          <t>RATE_REF only. Only if stated in the contract.</t>
        </is>
      </c>
      <c r="H42" s="11" t="inlineStr">
        <is>
          <t>業務委託単価型のみ。契約書に明記がある場合だけ</t>
        </is>
      </c>
    </row>
    <row r="43">
      <c r="A43" s="11" t="inlineStr">
        <is>
          <t>Contracts</t>
        </is>
      </c>
      <c r="B43" s="11" t="inlineStr">
        <is>
          <t>unit_price_min</t>
        </is>
      </c>
      <c r="C43" s="11" t="inlineStr">
        <is>
          <t>下限単価</t>
        </is>
      </c>
      <c r="D43" s="11" t="inlineStr">
        <is>
          <t>Number</t>
        </is>
      </c>
      <c r="E43" s="11" t="inlineStr">
        <is>
          <t>No</t>
        </is>
      </c>
      <c r="F43" s="12" t="inlineStr">
        <is>
          <t>1300000</t>
        </is>
      </c>
      <c r="G43" s="11" t="inlineStr">
        <is>
          <t>RATE_REF only. Only if stated in the contract.</t>
        </is>
      </c>
      <c r="H43" s="11" t="inlineStr">
        <is>
          <t>業務委託単価型のみ。契約書に明記がある場合だけ</t>
        </is>
      </c>
    </row>
    <row r="44">
      <c r="A44" s="11" t="inlineStr">
        <is>
          <t>Contracts</t>
        </is>
      </c>
      <c r="B44" s="11" t="inlineStr">
        <is>
          <t>note</t>
        </is>
      </c>
      <c r="C44" s="11" t="inlineStr">
        <is>
          <t>備考</t>
        </is>
      </c>
      <c r="D44" s="11" t="inlineStr">
        <is>
          <t>Text</t>
        </is>
      </c>
      <c r="E44" s="11" t="inlineStr">
        <is>
          <t>No</t>
        </is>
      </c>
      <c r="F44" s="12" t="inlineStr"/>
      <c r="G44" s="11" t="inlineStr">
        <is>
          <t>Free comment.</t>
        </is>
      </c>
      <c r="H44" s="11" t="inlineStr">
        <is>
          <t>備考</t>
        </is>
      </c>
    </row>
    <row r="46">
      <c r="A46" s="8" t="inlineStr">
        <is>
          <t>Fixed_Assets  —  Input</t>
        </is>
      </c>
      <c r="B46" s="9" t="n"/>
      <c r="C46" s="9" t="n"/>
      <c r="D46" s="9" t="n"/>
      <c r="E46" s="9" t="n"/>
      <c r="F46" s="9" t="n"/>
      <c r="G46" s="9" t="n"/>
      <c r="H46" s="9" t="n"/>
    </row>
    <row r="47">
      <c r="A47" s="10" t="inlineStr">
        <is>
          <t>Sheet</t>
        </is>
      </c>
      <c r="B47" s="10" t="inlineStr">
        <is>
          <t>Field (EN)</t>
        </is>
      </c>
      <c r="C47" s="10" t="inlineStr">
        <is>
          <t>項目名（日本語）</t>
        </is>
      </c>
      <c r="D47" s="10" t="inlineStr">
        <is>
          <t>Type</t>
        </is>
      </c>
      <c r="E47" s="10" t="inlineStr">
        <is>
          <t>Required</t>
        </is>
      </c>
      <c r="F47" s="10" t="inlineStr">
        <is>
          <t>Example</t>
        </is>
      </c>
      <c r="G47" s="10" t="inlineStr">
        <is>
          <t>Description (EN)</t>
        </is>
      </c>
      <c r="H47" s="10" t="inlineStr">
        <is>
          <t>説明（日本語）</t>
        </is>
      </c>
    </row>
    <row r="48">
      <c r="A48" s="11" t="inlineStr">
        <is>
          <t>Fixed_Assets</t>
        </is>
      </c>
      <c r="B48" s="11" t="inlineStr">
        <is>
          <t>asset_id</t>
        </is>
      </c>
      <c r="C48" s="11" t="inlineStr">
        <is>
          <t>資産ID</t>
        </is>
      </c>
      <c r="D48" s="11" t="inlineStr">
        <is>
          <t>Text</t>
        </is>
      </c>
      <c r="E48" s="11" t="inlineStr">
        <is>
          <t>Yes</t>
        </is>
      </c>
      <c r="F48" s="12" t="inlineStr">
        <is>
          <t>FA-0001</t>
        </is>
      </c>
      <c r="G48" s="11" t="inlineStr">
        <is>
          <t>Unique key.</t>
        </is>
      </c>
      <c r="H48" s="11" t="inlineStr">
        <is>
          <t>一意キー</t>
        </is>
      </c>
    </row>
    <row r="49">
      <c r="A49" s="11" t="inlineStr">
        <is>
          <t>Fixed_Assets</t>
        </is>
      </c>
      <c r="B49" s="11" t="inlineStr">
        <is>
          <t>budget_id</t>
        </is>
      </c>
      <c r="C49" s="11" t="inlineStr">
        <is>
          <t>予算ID</t>
        </is>
      </c>
      <c r="D49" s="11" t="inlineStr">
        <is>
          <t>Text</t>
        </is>
      </c>
      <c r="E49" s="11" t="inlineStr">
        <is>
          <t>No</t>
        </is>
      </c>
      <c r="F49" s="12" t="inlineStr">
        <is>
          <t>BT-0012</t>
        </is>
      </c>
      <c r="G49" s="11" t="inlineStr">
        <is>
          <t>Optional. Copied to budget_id in Opex_Budget.</t>
        </is>
      </c>
      <c r="H49" s="11" t="inlineStr">
        <is>
          <t>任意。Opex_Budgetのbudget_idにそのまま転記される</t>
        </is>
      </c>
    </row>
    <row r="50">
      <c r="A50" s="11" t="inlineStr">
        <is>
          <t>Fixed_Assets</t>
        </is>
      </c>
      <c r="B50" s="11" t="inlineStr">
        <is>
          <t>region</t>
        </is>
      </c>
      <c r="C50" s="11" t="inlineStr">
        <is>
          <t>リージョン</t>
        </is>
      </c>
      <c r="D50" s="11" t="inlineStr">
        <is>
          <t>List</t>
        </is>
      </c>
      <c r="E50" s="11" t="inlineStr">
        <is>
          <t>Yes</t>
        </is>
      </c>
      <c r="F50" s="12" t="inlineStr">
        <is>
          <t>JP</t>
        </is>
      </c>
      <c r="G50" s="11" t="inlineStr">
        <is>
          <t>Region that acquired the asset.</t>
        </is>
      </c>
      <c r="H50" s="11" t="inlineStr">
        <is>
          <t>資産を取得したリージョン</t>
        </is>
      </c>
    </row>
    <row r="51">
      <c r="A51" s="11" t="inlineStr">
        <is>
          <t>Fixed_Assets</t>
        </is>
      </c>
      <c r="B51" s="11" t="inlineStr">
        <is>
          <t>owner</t>
        </is>
      </c>
      <c r="C51" s="11" t="inlineStr">
        <is>
          <t>入力責任者</t>
        </is>
      </c>
      <c r="D51" s="11" t="inlineStr">
        <is>
          <t>Text</t>
        </is>
      </c>
      <c r="E51" s="11" t="inlineStr">
        <is>
          <t>Yes</t>
        </is>
      </c>
      <c r="F51" s="12" t="inlineStr">
        <is>
          <t>T. Yamada</t>
        </is>
      </c>
      <c r="G51" s="11" t="inlineStr">
        <is>
          <t>Person responsible for keeping this row up to date.</t>
        </is>
      </c>
      <c r="H51" s="11" t="inlineStr">
        <is>
          <t>この行を最新に保つ責任者</t>
        </is>
      </c>
    </row>
    <row r="52">
      <c r="A52" s="11" t="inlineStr">
        <is>
          <t>Fixed_Assets</t>
        </is>
      </c>
      <c r="B52" s="11" t="inlineStr">
        <is>
          <t>asset_name</t>
        </is>
      </c>
      <c r="C52" s="11" t="inlineStr">
        <is>
          <t>資産名</t>
        </is>
      </c>
      <c r="D52" s="11" t="inlineStr">
        <is>
          <t>Text</t>
        </is>
      </c>
      <c r="E52" s="11" t="inlineStr">
        <is>
          <t>Yes</t>
        </is>
      </c>
      <c r="F52" s="12" t="inlineStr">
        <is>
          <t>Laptops x120 (2027-01)</t>
        </is>
      </c>
      <c r="G52" s="11" t="inlineStr">
        <is>
          <t>Asset name or purpose.</t>
        </is>
      </c>
      <c r="H52" s="11" t="inlineStr">
        <is>
          <t>資産名・用途</t>
        </is>
      </c>
    </row>
    <row r="53">
      <c r="A53" s="11" t="inlineStr">
        <is>
          <t>Fixed_Assets</t>
        </is>
      </c>
      <c r="B53" s="11" t="inlineStr">
        <is>
          <t>asset_class</t>
        </is>
      </c>
      <c r="C53" s="11" t="inlineStr">
        <is>
          <t>資産区分</t>
        </is>
      </c>
      <c r="D53" s="11" t="inlineStr">
        <is>
          <t>Text</t>
        </is>
      </c>
      <c r="E53" s="11" t="inlineStr">
        <is>
          <t>No</t>
        </is>
      </c>
      <c r="F53" s="12" t="inlineStr">
        <is>
          <t>Tangible</t>
        </is>
      </c>
      <c r="G53" s="11" t="inlineStr">
        <is>
          <t>Free tag.</t>
        </is>
      </c>
      <c r="H53" s="11" t="inlineStr">
        <is>
          <t>区分（任意）</t>
        </is>
      </c>
    </row>
    <row r="54">
      <c r="A54" s="11" t="inlineStr">
        <is>
          <t>Fixed_Assets</t>
        </is>
      </c>
      <c r="B54" s="11" t="inlineStr">
        <is>
          <t>acquisition_date</t>
        </is>
      </c>
      <c r="C54" s="11" t="inlineStr">
        <is>
          <t>取得日</t>
        </is>
      </c>
      <c r="D54" s="11" t="inlineStr">
        <is>
          <t>Date</t>
        </is>
      </c>
      <c r="E54" s="11" t="inlineStr">
        <is>
          <t>Yes</t>
        </is>
      </c>
      <c r="F54" s="12" t="inlineStr">
        <is>
          <t>2027-01-15</t>
        </is>
      </c>
      <c r="G54" s="11" t="inlineStr">
        <is>
          <t>Depreciation starts in this month.</t>
        </is>
      </c>
      <c r="H54" s="11" t="inlineStr">
        <is>
          <t>取得日。この月から償却を開始する</t>
        </is>
      </c>
    </row>
    <row r="55">
      <c r="A55" s="11" t="inlineStr">
        <is>
          <t>Fixed_Assets</t>
        </is>
      </c>
      <c r="B55" s="11" t="inlineStr">
        <is>
          <t>acquisition_cost</t>
        </is>
      </c>
      <c r="C55" s="11" t="inlineStr">
        <is>
          <t>取得価額</t>
        </is>
      </c>
      <c r="D55" s="11" t="inlineStr">
        <is>
          <t>Number</t>
        </is>
      </c>
      <c r="E55" s="11" t="inlineStr">
        <is>
          <t>Yes</t>
        </is>
      </c>
      <c r="F55" s="12" t="inlineStr">
        <is>
          <t>21600000</t>
        </is>
      </c>
      <c r="G55" s="11" t="inlineStr">
        <is>
          <t>Excluding tax.</t>
        </is>
      </c>
      <c r="H55" s="11" t="inlineStr">
        <is>
          <t>取得価額（税抜）</t>
        </is>
      </c>
    </row>
    <row r="56">
      <c r="A56" s="11" t="inlineStr">
        <is>
          <t>Fixed_Assets</t>
        </is>
      </c>
      <c r="B56" s="11" t="inlineStr">
        <is>
          <t>currency</t>
        </is>
      </c>
      <c r="C56" s="11" t="inlineStr">
        <is>
          <t>通貨</t>
        </is>
      </c>
      <c r="D56" s="11" t="inlineStr">
        <is>
          <t>List</t>
        </is>
      </c>
      <c r="E56" s="11" t="inlineStr">
        <is>
          <t>Yes</t>
        </is>
      </c>
      <c r="F56" s="12" t="inlineStr">
        <is>
          <t>JPY</t>
        </is>
      </c>
      <c r="G56" s="11" t="inlineStr">
        <is>
          <t>Currency of acquisition.</t>
        </is>
      </c>
      <c r="H56" s="11" t="inlineStr">
        <is>
          <t>取得時の通貨</t>
        </is>
      </c>
    </row>
    <row r="57">
      <c r="A57" s="11" t="inlineStr">
        <is>
          <t>Fixed_Assets</t>
        </is>
      </c>
      <c r="B57" s="11" t="inlineStr">
        <is>
          <t>useful_life_months</t>
        </is>
      </c>
      <c r="C57" s="11" t="inlineStr">
        <is>
          <t>耐用月数</t>
        </is>
      </c>
      <c r="D57" s="11" t="inlineStr">
        <is>
          <t>Integer</t>
        </is>
      </c>
      <c r="E57" s="11" t="inlineStr">
        <is>
          <t>Yes</t>
        </is>
      </c>
      <c r="F57" s="12" t="inlineStr">
        <is>
          <t>36</t>
        </is>
      </c>
      <c r="G57" s="11" t="inlineStr">
        <is>
          <t>Internal useful life in months (straight-line).</t>
        </is>
      </c>
      <c r="H57" s="11" t="inlineStr">
        <is>
          <t>社内耐用年数を月数で（定額法）</t>
        </is>
      </c>
    </row>
    <row r="58">
      <c r="A58" s="11" t="inlineStr">
        <is>
          <t>Fixed_Assets</t>
        </is>
      </c>
      <c r="B58" s="11" t="inlineStr">
        <is>
          <t>cost_center_code</t>
        </is>
      </c>
      <c r="C58" s="11" t="inlineStr">
        <is>
          <t>コストセンター</t>
        </is>
      </c>
      <c r="D58" s="11" t="inlineStr">
        <is>
          <t>List</t>
        </is>
      </c>
      <c r="E58" s="11" t="inlineStr">
        <is>
          <t>Yes</t>
        </is>
      </c>
      <c r="F58" s="12" t="inlineStr">
        <is>
          <t>JP-GDS-INF</t>
        </is>
      </c>
      <c r="G58" s="11" t="inlineStr">
        <is>
          <t>Cost center that bears the depreciation.</t>
        </is>
      </c>
      <c r="H58" s="11" t="inlineStr">
        <is>
          <t>減価償却費を計上するコストセンター</t>
        </is>
      </c>
    </row>
    <row r="59">
      <c r="A59" s="11" t="inlineStr">
        <is>
          <t>Fixed_Assets</t>
        </is>
      </c>
      <c r="B59" s="11" t="inlineStr">
        <is>
          <t>account_key</t>
        </is>
      </c>
      <c r="C59" s="11" t="inlineStr">
        <is>
          <t>勘定科目</t>
        </is>
      </c>
      <c r="D59" s="11" t="inlineStr">
        <is>
          <t>List</t>
        </is>
      </c>
      <c r="E59" s="11" t="inlineStr">
        <is>
          <t>Yes</t>
        </is>
      </c>
      <c r="F59" s="12" t="inlineStr">
        <is>
          <t>JP|5201</t>
        </is>
      </c>
      <c r="G59" s="11" t="inlineStr">
        <is>
          <t>Local account (usually depreciation).</t>
        </is>
      </c>
      <c r="H59" s="11" t="inlineStr">
        <is>
          <t>現地勘定科目（通常は減価償却費）</t>
        </is>
      </c>
    </row>
    <row r="60">
      <c r="A60" s="11" t="inlineStr">
        <is>
          <t>Fixed_Assets</t>
        </is>
      </c>
      <c r="B60" s="11" t="inlineStr">
        <is>
          <t>note</t>
        </is>
      </c>
      <c r="C60" s="11" t="inlineStr">
        <is>
          <t>備考</t>
        </is>
      </c>
      <c r="D60" s="11" t="inlineStr">
        <is>
          <t>Text</t>
        </is>
      </c>
      <c r="E60" s="11" t="inlineStr">
        <is>
          <t>No</t>
        </is>
      </c>
      <c r="F60" s="12" t="inlineStr"/>
      <c r="G60" s="11" t="inlineStr">
        <is>
          <t>Free comment.</t>
        </is>
      </c>
      <c r="H60" s="11" t="inlineStr">
        <is>
          <t>備考</t>
        </is>
      </c>
    </row>
    <row r="62">
      <c r="A62" s="8" t="inlineStr">
        <is>
          <t>Workforce  —  Input</t>
        </is>
      </c>
      <c r="B62" s="9" t="n"/>
      <c r="C62" s="9" t="n"/>
      <c r="D62" s="9" t="n"/>
      <c r="E62" s="9" t="n"/>
      <c r="F62" s="9" t="n"/>
      <c r="G62" s="9" t="n"/>
      <c r="H62" s="9" t="n"/>
    </row>
    <row r="63">
      <c r="A63" s="10" t="inlineStr">
        <is>
          <t>Sheet</t>
        </is>
      </c>
      <c r="B63" s="10" t="inlineStr">
        <is>
          <t>Field (EN)</t>
        </is>
      </c>
      <c r="C63" s="10" t="inlineStr">
        <is>
          <t>項目名（日本語）</t>
        </is>
      </c>
      <c r="D63" s="10" t="inlineStr">
        <is>
          <t>Type</t>
        </is>
      </c>
      <c r="E63" s="10" t="inlineStr">
        <is>
          <t>Required</t>
        </is>
      </c>
      <c r="F63" s="10" t="inlineStr">
        <is>
          <t>Example</t>
        </is>
      </c>
      <c r="G63" s="10" t="inlineStr">
        <is>
          <t>Description (EN)</t>
        </is>
      </c>
      <c r="H63" s="10" t="inlineStr">
        <is>
          <t>説明（日本語）</t>
        </is>
      </c>
    </row>
    <row r="64">
      <c r="A64" s="11" t="inlineStr">
        <is>
          <t>Workforce</t>
        </is>
      </c>
      <c r="B64" s="11" t="inlineStr">
        <is>
          <t>person_id</t>
        </is>
      </c>
      <c r="C64" s="11" t="inlineStr">
        <is>
          <t>要員ID</t>
        </is>
      </c>
      <c r="D64" s="11" t="inlineStr">
        <is>
          <t>Text</t>
        </is>
      </c>
      <c r="E64" s="11" t="inlineStr">
        <is>
          <t>Yes</t>
        </is>
      </c>
      <c r="F64" s="12" t="inlineStr">
        <is>
          <t>EMP-001</t>
        </is>
      </c>
      <c r="G64" s="11" t="inlineStr">
        <is>
          <t>Unique key. Referenced from FTE_Allocation.</t>
        </is>
      </c>
      <c r="H64" s="11" t="inlineStr">
        <is>
          <t>一意キー。FTE_Allocationから参照される</t>
        </is>
      </c>
    </row>
    <row r="65">
      <c r="A65" s="11" t="inlineStr">
        <is>
          <t>Workforce</t>
        </is>
      </c>
      <c r="B65" s="11" t="inlineStr">
        <is>
          <t>region</t>
        </is>
      </c>
      <c r="C65" s="11" t="inlineStr">
        <is>
          <t>リージョン</t>
        </is>
      </c>
      <c r="D65" s="11" t="inlineStr">
        <is>
          <t>List</t>
        </is>
      </c>
      <c r="E65" s="11" t="inlineStr">
        <is>
          <t>Yes</t>
        </is>
      </c>
      <c r="F65" s="12" t="inlineStr">
        <is>
          <t>JP</t>
        </is>
      </c>
      <c r="G65" s="11" t="inlineStr">
        <is>
          <t>Region of employment. All allocations must stay in this region.</t>
        </is>
      </c>
      <c r="H65" s="11" t="inlineStr">
        <is>
          <t>所属リージョン。配分先はすべてこのリージョン内にする</t>
        </is>
      </c>
    </row>
    <row r="66">
      <c r="A66" s="11" t="inlineStr">
        <is>
          <t>Workforce</t>
        </is>
      </c>
      <c r="B66" s="11" t="inlineStr">
        <is>
          <t>owner</t>
        </is>
      </c>
      <c r="C66" s="11" t="inlineStr">
        <is>
          <t>入力責任者</t>
        </is>
      </c>
      <c r="D66" s="11" t="inlineStr">
        <is>
          <t>Text</t>
        </is>
      </c>
      <c r="E66" s="11" t="inlineStr">
        <is>
          <t>Yes</t>
        </is>
      </c>
      <c r="F66" s="12" t="inlineStr">
        <is>
          <t>T. Yamada</t>
        </is>
      </c>
      <c r="G66" s="11" t="inlineStr">
        <is>
          <t>Person responsible for keeping this row up to date.</t>
        </is>
      </c>
      <c r="H66" s="11" t="inlineStr">
        <is>
          <t>この行を最新に保つ責任者</t>
        </is>
      </c>
    </row>
    <row r="67">
      <c r="A67" s="11" t="inlineStr">
        <is>
          <t>Workforce</t>
        </is>
      </c>
      <c r="B67" s="11" t="inlineStr">
        <is>
          <t>person_name</t>
        </is>
      </c>
      <c r="C67" s="11" t="inlineStr">
        <is>
          <t>氏名・識別子</t>
        </is>
      </c>
      <c r="D67" s="11" t="inlineStr">
        <is>
          <t>Text</t>
        </is>
      </c>
      <c r="E67" s="11" t="inlineStr">
        <is>
          <t>Yes</t>
        </is>
      </c>
      <c r="F67" s="12" t="inlineStr">
        <is>
          <t>GDS Head</t>
        </is>
      </c>
      <c r="G67" s="11" t="inlineStr">
        <is>
          <t>Name or role. Not exported.</t>
        </is>
      </c>
      <c r="H67" s="11" t="inlineStr">
        <is>
          <t>氏名または役割名。Exportには出ない</t>
        </is>
      </c>
    </row>
    <row r="68">
      <c r="A68" s="11" t="inlineStr">
        <is>
          <t>Workforce</t>
        </is>
      </c>
      <c r="B68" s="11" t="inlineStr">
        <is>
          <t>employment_type</t>
        </is>
      </c>
      <c r="C68" s="11" t="inlineStr">
        <is>
          <t>雇用区分</t>
        </is>
      </c>
      <c r="D68" s="11" t="inlineStr">
        <is>
          <t>List</t>
        </is>
      </c>
      <c r="E68" s="11" t="inlineStr">
        <is>
          <t>Yes</t>
        </is>
      </c>
      <c r="F68" s="12" t="inlineStr">
        <is>
          <t>EMPLOYEE</t>
        </is>
      </c>
      <c r="G68" s="11" t="inlineStr">
        <is>
          <t>EMPLOYEE = employee / EXTERNAL = external staff.</t>
        </is>
      </c>
      <c r="H68" s="11" t="inlineStr">
        <is>
          <t>EMPLOYEE＝正社員／EXTERNAL＝外部人材</t>
        </is>
      </c>
    </row>
    <row r="69">
      <c r="A69" s="11" t="inlineStr">
        <is>
          <t>Workforce</t>
        </is>
      </c>
      <c r="B69" s="11" t="inlineStr">
        <is>
          <t>monthly_rate</t>
        </is>
      </c>
      <c r="C69" s="11" t="inlineStr">
        <is>
          <t>月額単価</t>
        </is>
      </c>
      <c r="D69" s="11" t="inlineStr">
        <is>
          <t>Number</t>
        </is>
      </c>
      <c r="E69" s="11" t="inlineStr">
        <is>
          <t>Yes</t>
        </is>
      </c>
      <c r="F69" s="12" t="inlineStr">
        <is>
          <t>1750000</t>
        </is>
      </c>
      <c r="G69" s="11" t="inlineStr">
        <is>
          <t>Monthly cost. For EXTERNAL, enter the amount to budget (not calculated).</t>
        </is>
      </c>
      <c r="H69" s="11" t="inlineStr">
        <is>
          <t>月額単価。外部人材は予算計上額を手入力する</t>
        </is>
      </c>
    </row>
    <row r="70">
      <c r="A70" s="11" t="inlineStr">
        <is>
          <t>Workforce</t>
        </is>
      </c>
      <c r="B70" s="11" t="inlineStr">
        <is>
          <t>rate_currency</t>
        </is>
      </c>
      <c r="C70" s="11" t="inlineStr">
        <is>
          <t>単価通貨</t>
        </is>
      </c>
      <c r="D70" s="11" t="inlineStr">
        <is>
          <t>List</t>
        </is>
      </c>
      <c r="E70" s="11" t="inlineStr">
        <is>
          <t>Yes</t>
        </is>
      </c>
      <c r="F70" s="12" t="inlineStr">
        <is>
          <t>JPY</t>
        </is>
      </c>
      <c r="G70" s="11" t="inlineStr">
        <is>
          <t>Currency of monthly_rate.</t>
        </is>
      </c>
      <c r="H70" s="11" t="inlineStr">
        <is>
          <t>月額単価の通貨</t>
        </is>
      </c>
    </row>
    <row r="71">
      <c r="A71" s="11" t="inlineStr">
        <is>
          <t>Workforce</t>
        </is>
      </c>
      <c r="B71" s="11" t="inlineStr">
        <is>
          <t>contract_id_ref</t>
        </is>
      </c>
      <c r="C71" s="11" t="inlineStr">
        <is>
          <t>参照契約ID</t>
        </is>
      </c>
      <c r="D71" s="11" t="inlineStr">
        <is>
          <t>Text</t>
        </is>
      </c>
      <c r="E71" s="11" t="inlineStr">
        <is>
          <t>Yes*</t>
        </is>
      </c>
      <c r="F71" s="12" t="inlineStr">
        <is>
          <t>CT-0201</t>
        </is>
      </c>
      <c r="G71" s="11" t="inlineStr">
        <is>
          <t>EXTERNAL only. contract_id of the RATE_REF contract.</t>
        </is>
      </c>
      <c r="H71" s="11" t="inlineStr">
        <is>
          <t>外部人材のみ。業務委託単価型の契約ID</t>
        </is>
      </c>
    </row>
    <row r="72">
      <c r="A72" s="11" t="inlineStr">
        <is>
          <t>Workforce</t>
        </is>
      </c>
      <c r="B72" s="11" t="inlineStr">
        <is>
          <t>valid_from</t>
        </is>
      </c>
      <c r="C72" s="11" t="inlineStr">
        <is>
          <t>開始日</t>
        </is>
      </c>
      <c r="D72" s="11" t="inlineStr">
        <is>
          <t>Date</t>
        </is>
      </c>
      <c r="E72" s="11" t="inlineStr">
        <is>
          <t>No</t>
        </is>
      </c>
      <c r="F72" s="12" t="inlineStr">
        <is>
          <t>2027-04-01</t>
        </is>
      </c>
      <c r="G72" s="11" t="inlineStr">
        <is>
          <t>Start of employment or contract. Blank = no limit.</t>
        </is>
      </c>
      <c r="H72" s="11" t="inlineStr">
        <is>
          <t>在籍・契約の開始。空欄は制限なし</t>
        </is>
      </c>
    </row>
    <row r="73">
      <c r="A73" s="11" t="inlineStr">
        <is>
          <t>Workforce</t>
        </is>
      </c>
      <c r="B73" s="11" t="inlineStr">
        <is>
          <t>valid_to</t>
        </is>
      </c>
      <c r="C73" s="11" t="inlineStr">
        <is>
          <t>終了日</t>
        </is>
      </c>
      <c r="D73" s="11" t="inlineStr">
        <is>
          <t>Date</t>
        </is>
      </c>
      <c r="E73" s="11" t="inlineStr">
        <is>
          <t>No</t>
        </is>
      </c>
      <c r="F73" s="12" t="inlineStr">
        <is>
          <t>2028-12-31</t>
        </is>
      </c>
      <c r="G73" s="11" t="inlineStr">
        <is>
          <t>End of employment or contract. Blank = no limit.</t>
        </is>
      </c>
      <c r="H73" s="11" t="inlineStr">
        <is>
          <t>在籍・契約の終了。空欄は制限なし</t>
        </is>
      </c>
    </row>
    <row r="74">
      <c r="A74" s="11" t="inlineStr">
        <is>
          <t>Workforce</t>
        </is>
      </c>
      <c r="B74" s="11" t="inlineStr">
        <is>
          <t>account_key</t>
        </is>
      </c>
      <c r="C74" s="11" t="inlineStr">
        <is>
          <t>勘定科目</t>
        </is>
      </c>
      <c r="D74" s="11" t="inlineStr">
        <is>
          <t>List</t>
        </is>
      </c>
      <c r="E74" s="11" t="inlineStr">
        <is>
          <t>Yes</t>
        </is>
      </c>
      <c r="F74" s="12" t="inlineStr">
        <is>
          <t>JP|5301</t>
        </is>
      </c>
      <c r="G74" s="11" t="inlineStr">
        <is>
          <t>Local account (salaries for EMPLOYEE, outsourcing for EXTERNAL).</t>
        </is>
      </c>
      <c r="H74" s="11" t="inlineStr">
        <is>
          <t>現地勘定科目（正社員は給与手当、外部人材は業務委託費）</t>
        </is>
      </c>
    </row>
    <row r="75">
      <c r="A75" s="11" t="inlineStr">
        <is>
          <t>Workforce</t>
        </is>
      </c>
      <c r="B75" s="11" t="inlineStr">
        <is>
          <t>note</t>
        </is>
      </c>
      <c r="C75" s="11" t="inlineStr">
        <is>
          <t>備考</t>
        </is>
      </c>
      <c r="D75" s="11" t="inlineStr">
        <is>
          <t>Text</t>
        </is>
      </c>
      <c r="E75" s="11" t="inlineStr">
        <is>
          <t>No</t>
        </is>
      </c>
      <c r="F75" s="12" t="inlineStr"/>
      <c r="G75" s="11" t="inlineStr">
        <is>
          <t>Free comment.</t>
        </is>
      </c>
      <c r="H75" s="11" t="inlineStr">
        <is>
          <t>備考</t>
        </is>
      </c>
    </row>
    <row r="77">
      <c r="A77" s="8" t="inlineStr">
        <is>
          <t>FTE_Allocation  —  Input</t>
        </is>
      </c>
      <c r="B77" s="9" t="n"/>
      <c r="C77" s="9" t="n"/>
      <c r="D77" s="9" t="n"/>
      <c r="E77" s="9" t="n"/>
      <c r="F77" s="9" t="n"/>
      <c r="G77" s="9" t="n"/>
      <c r="H77" s="9" t="n"/>
    </row>
    <row r="78">
      <c r="A78" s="10" t="inlineStr">
        <is>
          <t>Sheet</t>
        </is>
      </c>
      <c r="B78" s="10" t="inlineStr">
        <is>
          <t>Field (EN)</t>
        </is>
      </c>
      <c r="C78" s="10" t="inlineStr">
        <is>
          <t>項目名（日本語）</t>
        </is>
      </c>
      <c r="D78" s="10" t="inlineStr">
        <is>
          <t>Type</t>
        </is>
      </c>
      <c r="E78" s="10" t="inlineStr">
        <is>
          <t>Required</t>
        </is>
      </c>
      <c r="F78" s="10" t="inlineStr">
        <is>
          <t>Example</t>
        </is>
      </c>
      <c r="G78" s="10" t="inlineStr">
        <is>
          <t>Description (EN)</t>
        </is>
      </c>
      <c r="H78" s="10" t="inlineStr">
        <is>
          <t>説明（日本語）</t>
        </is>
      </c>
    </row>
    <row r="79">
      <c r="A79" s="11" t="inlineStr">
        <is>
          <t>FTE_Allocation</t>
        </is>
      </c>
      <c r="B79" s="11" t="inlineStr">
        <is>
          <t>person_id</t>
        </is>
      </c>
      <c r="C79" s="11" t="inlineStr">
        <is>
          <t>要員ID</t>
        </is>
      </c>
      <c r="D79" s="11" t="inlineStr">
        <is>
          <t>Text</t>
        </is>
      </c>
      <c r="E79" s="11" t="inlineStr">
        <is>
          <t>Yes</t>
        </is>
      </c>
      <c r="F79" s="12" t="inlineStr">
        <is>
          <t>EMP-013</t>
        </is>
      </c>
      <c r="G79" s="11" t="inlineStr">
        <is>
          <t>person_id in Workforce.</t>
        </is>
      </c>
      <c r="H79" s="11" t="inlineStr">
        <is>
          <t>Workforceの要員ID</t>
        </is>
      </c>
    </row>
    <row r="80">
      <c r="A80" s="11" t="inlineStr">
        <is>
          <t>FTE_Allocation</t>
        </is>
      </c>
      <c r="B80" s="11" t="inlineStr">
        <is>
          <t>budget_id</t>
        </is>
      </c>
      <c r="C80" s="11" t="inlineStr">
        <is>
          <t>予算ID</t>
        </is>
      </c>
      <c r="D80" s="11" t="inlineStr">
        <is>
          <t>Text</t>
        </is>
      </c>
      <c r="E80" s="11" t="inlineStr">
        <is>
          <t>No</t>
        </is>
      </c>
      <c r="F80" s="12" t="inlineStr">
        <is>
          <t>BT-0012</t>
        </is>
      </c>
      <c r="G80" s="11" t="inlineStr">
        <is>
          <t>Optional. Copied to budget_id in Opex_Budget.</t>
        </is>
      </c>
      <c r="H80" s="11" t="inlineStr">
        <is>
          <t>任意。Opex_Budgetのbudget_idにそのまま転記される</t>
        </is>
      </c>
    </row>
    <row r="81">
      <c r="A81" s="11" t="inlineStr">
        <is>
          <t>FTE_Allocation</t>
        </is>
      </c>
      <c r="B81" s="11" t="inlineStr">
        <is>
          <t>owner</t>
        </is>
      </c>
      <c r="C81" s="11" t="inlineStr">
        <is>
          <t>入力責任者</t>
        </is>
      </c>
      <c r="D81" s="11" t="inlineStr">
        <is>
          <t>Text</t>
        </is>
      </c>
      <c r="E81" s="11" t="inlineStr">
        <is>
          <t>Yes</t>
        </is>
      </c>
      <c r="F81" s="12" t="inlineStr">
        <is>
          <t>T. Yamada</t>
        </is>
      </c>
      <c r="G81" s="11" t="inlineStr">
        <is>
          <t>Person responsible for keeping this row up to date.</t>
        </is>
      </c>
      <c r="H81" s="11" t="inlineStr">
        <is>
          <t>この行を最新に保つ責任者</t>
        </is>
      </c>
    </row>
    <row r="82">
      <c r="A82" s="11" t="inlineStr">
        <is>
          <t>FTE_Allocation</t>
        </is>
      </c>
      <c r="B82" s="11" t="inlineStr">
        <is>
          <t>allocation_type</t>
        </is>
      </c>
      <c r="C82" s="11" t="inlineStr">
        <is>
          <t>配分種別</t>
        </is>
      </c>
      <c r="D82" s="11" t="inlineStr">
        <is>
          <t>List</t>
        </is>
      </c>
      <c r="E82" s="11" t="inlineStr">
        <is>
          <t>Yes</t>
        </is>
      </c>
      <c r="F82" s="12" t="inlineStr">
        <is>
          <t>COST_CENTER</t>
        </is>
      </c>
      <c r="G82" s="11" t="inlineStr">
        <is>
          <t>COST_CENTER = allocate to a cost center / PROJECT = allocate to a project.</t>
        </is>
      </c>
      <c r="H82" s="11" t="inlineStr">
        <is>
          <t>COST_CENTER＝コストセンターへ配分／PROJECT＝プロジェクトへ配分</t>
        </is>
      </c>
    </row>
    <row r="83">
      <c r="A83" s="11" t="inlineStr">
        <is>
          <t>FTE_Allocation</t>
        </is>
      </c>
      <c r="B83" s="11" t="inlineStr">
        <is>
          <t>allocation_code</t>
        </is>
      </c>
      <c r="C83" s="11" t="inlineStr">
        <is>
          <t>配分先</t>
        </is>
      </c>
      <c r="D83" s="11" t="inlineStr">
        <is>
          <t>Text</t>
        </is>
      </c>
      <c r="E83" s="11" t="inlineStr">
        <is>
          <t>Yes</t>
        </is>
      </c>
      <c r="F83" s="12" t="inlineStr">
        <is>
          <t>JP-GDS-INF</t>
        </is>
      </c>
      <c r="G83" s="11" t="inlineStr">
        <is>
          <t>cost_center_code or project_code, depending on allocation_type. Same region as the person.</t>
        </is>
      </c>
      <c r="H83" s="11" t="inlineStr">
        <is>
          <t>配分種別に応じてコストセンターコードまたはプロジェクトコード。要員と同じリージョン内</t>
        </is>
      </c>
    </row>
    <row r="84">
      <c r="A84" s="11" t="inlineStr">
        <is>
          <t>FTE_Allocation</t>
        </is>
      </c>
      <c r="B84" s="11" t="inlineStr">
        <is>
          <t>fte_2027</t>
        </is>
      </c>
      <c r="C84" s="11" t="inlineStr">
        <is>
          <t>FTE 2027</t>
        </is>
      </c>
      <c r="D84" s="11" t="inlineStr">
        <is>
          <t>Number 0-1</t>
        </is>
      </c>
      <c r="E84" s="11" t="inlineStr">
        <is>
          <t>No</t>
        </is>
      </c>
      <c r="F84" s="12" t="inlineStr">
        <is>
          <t>1.0</t>
        </is>
      </c>
      <c r="G84" s="11" t="inlineStr">
        <is>
          <t>FTE ratio for 2027. Blank = no allocation. Total per person and period must be 1.0.</t>
        </is>
      </c>
      <c r="H84" s="11" t="inlineStr">
        <is>
          <t>2027年のFTE比率。空欄はその年の配分なし。1人・同一期間の合計は1.0</t>
        </is>
      </c>
    </row>
    <row r="85">
      <c r="A85" s="11" t="inlineStr">
        <is>
          <t>FTE_Allocation</t>
        </is>
      </c>
      <c r="B85" s="11" t="inlineStr">
        <is>
          <t>fte_2028</t>
        </is>
      </c>
      <c r="C85" s="11" t="inlineStr">
        <is>
          <t>FTE 2028</t>
        </is>
      </c>
      <c r="D85" s="11" t="inlineStr">
        <is>
          <t>Number 0-1</t>
        </is>
      </c>
      <c r="E85" s="11" t="inlineStr">
        <is>
          <t>No</t>
        </is>
      </c>
      <c r="F85" s="12" t="inlineStr">
        <is>
          <t>0.7</t>
        </is>
      </c>
      <c r="G85" s="11" t="inlineStr">
        <is>
          <t>FTE ratio for 2028.</t>
        </is>
      </c>
      <c r="H85" s="11" t="inlineStr">
        <is>
          <t>2028年のFTE比率</t>
        </is>
      </c>
    </row>
    <row r="86">
      <c r="A86" s="11" t="inlineStr">
        <is>
          <t>FTE_Allocation</t>
        </is>
      </c>
      <c r="B86" s="11" t="inlineStr">
        <is>
          <t>fte_2029</t>
        </is>
      </c>
      <c r="C86" s="11" t="inlineStr">
        <is>
          <t>FTE 2029</t>
        </is>
      </c>
      <c r="D86" s="11" t="inlineStr">
        <is>
          <t>Number 0-1</t>
        </is>
      </c>
      <c r="E86" s="11" t="inlineStr">
        <is>
          <t>No</t>
        </is>
      </c>
      <c r="F86" s="12" t="inlineStr">
        <is>
          <t>1.0</t>
        </is>
      </c>
      <c r="G86" s="11" t="inlineStr">
        <is>
          <t>FTE ratio for 2029.</t>
        </is>
      </c>
      <c r="H86" s="11" t="inlineStr">
        <is>
          <t>2029年のFTE比率</t>
        </is>
      </c>
    </row>
    <row r="87">
      <c r="A87" s="11" t="inlineStr">
        <is>
          <t>FTE_Allocation</t>
        </is>
      </c>
      <c r="B87" s="11" t="inlineStr">
        <is>
          <t>valid_from</t>
        </is>
      </c>
      <c r="C87" s="11" t="inlineStr">
        <is>
          <t>開始日</t>
        </is>
      </c>
      <c r="D87" s="11" t="inlineStr">
        <is>
          <t>Date</t>
        </is>
      </c>
      <c r="E87" s="11" t="inlineStr">
        <is>
          <t>No</t>
        </is>
      </c>
      <c r="F87" s="12" t="inlineStr">
        <is>
          <t>2028-04-01</t>
        </is>
      </c>
      <c r="G87" s="11" t="inlineStr">
        <is>
          <t>Only if the allocation changes mid-year. Blank = whole year.</t>
        </is>
      </c>
      <c r="H87" s="11" t="inlineStr">
        <is>
          <t>年の途中で配分が変わる場合だけ。空欄は通期</t>
        </is>
      </c>
    </row>
    <row r="88">
      <c r="A88" s="11" t="inlineStr">
        <is>
          <t>FTE_Allocation</t>
        </is>
      </c>
      <c r="B88" s="11" t="inlineStr">
        <is>
          <t>valid_to</t>
        </is>
      </c>
      <c r="C88" s="11" t="inlineStr">
        <is>
          <t>終了日</t>
        </is>
      </c>
      <c r="D88" s="11" t="inlineStr">
        <is>
          <t>Date</t>
        </is>
      </c>
      <c r="E88" s="11" t="inlineStr">
        <is>
          <t>No</t>
        </is>
      </c>
      <c r="F88" s="12" t="inlineStr">
        <is>
          <t>2028-09-30</t>
        </is>
      </c>
      <c r="G88" s="11" t="inlineStr">
        <is>
          <t>Only if the allocation changes mid-year. Blank = whole year.</t>
        </is>
      </c>
      <c r="H88" s="11" t="inlineStr">
        <is>
          <t>年の途中で配分が変わる場合だけ。空欄は通期</t>
        </is>
      </c>
    </row>
    <row r="89">
      <c r="A89" s="11" t="inlineStr">
        <is>
          <t>FTE_Allocation</t>
        </is>
      </c>
      <c r="B89" s="11" t="inlineStr">
        <is>
          <t>note</t>
        </is>
      </c>
      <c r="C89" s="11" t="inlineStr">
        <is>
          <t>備考</t>
        </is>
      </c>
      <c r="D89" s="11" t="inlineStr">
        <is>
          <t>Text</t>
        </is>
      </c>
      <c r="E89" s="11" t="inlineStr">
        <is>
          <t>No</t>
        </is>
      </c>
      <c r="F89" s="12" t="inlineStr"/>
      <c r="G89" s="11" t="inlineStr">
        <is>
          <t>Free comment.</t>
        </is>
      </c>
      <c r="H89" s="11" t="inlineStr">
        <is>
          <t>備考</t>
        </is>
      </c>
    </row>
  </sheetData>
  <mergeCells count="28">
    <mergeCell ref="B11:D11"/>
    <mergeCell ref="C15:D15"/>
    <mergeCell ref="B8:D8"/>
    <mergeCell ref="E16:H16"/>
    <mergeCell ref="E7:H7"/>
    <mergeCell ref="B10:D10"/>
    <mergeCell ref="C20:D20"/>
    <mergeCell ref="E18:H18"/>
    <mergeCell ref="C16:D16"/>
    <mergeCell ref="B9:D9"/>
    <mergeCell ref="B6:D6"/>
    <mergeCell ref="E5:H5"/>
    <mergeCell ref="B5:D5"/>
    <mergeCell ref="E17:H17"/>
    <mergeCell ref="E8:H8"/>
    <mergeCell ref="E4:H4"/>
    <mergeCell ref="B4:D4"/>
    <mergeCell ref="E20:H20"/>
    <mergeCell ref="E19:H19"/>
    <mergeCell ref="B7:D7"/>
    <mergeCell ref="C17:D17"/>
    <mergeCell ref="E10:H10"/>
    <mergeCell ref="E9:H9"/>
    <mergeCell ref="C19:D19"/>
    <mergeCell ref="E6:H6"/>
    <mergeCell ref="E15:H15"/>
    <mergeCell ref="C18:D18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1" customWidth="1" min="4" max="4"/>
    <col width="11" customWidth="1" min="5" max="5"/>
    <col width="15" customWidth="1" min="6" max="6"/>
    <col width="17" customWidth="1" min="7" max="7"/>
    <col width="12" customWidth="1" min="8" max="8"/>
    <col width="17" customWidth="1" min="9" max="9"/>
    <col width="14" customWidth="1" min="10" max="10"/>
    <col width="22" customWidth="1" min="11" max="11"/>
    <col width="12" customWidth="1" min="12" max="12"/>
    <col width="11" customWidth="1" min="13" max="13"/>
    <col width="23" customWidth="1" min="14" max="14"/>
    <col width="20" customWidth="1" min="15" max="15"/>
    <col width="20" customWidth="1" min="16" max="16"/>
    <col width="15" customWidth="1" min="17" max="17"/>
    <col width="14" customWidth="1" min="18" max="18"/>
    <col width="18" customWidth="1" min="19" max="19"/>
    <col width="18" customWidth="1" min="20" max="20"/>
    <col width="11" customWidth="1" min="21" max="21"/>
  </cols>
  <sheetData>
    <row r="1">
      <c r="A1" s="4" t="inlineStr">
        <is>
          <t>contract_id</t>
        </is>
      </c>
      <c r="B1" s="4" t="inlineStr">
        <is>
          <t>budget_id</t>
        </is>
      </c>
      <c r="C1" s="4" t="inlineStr">
        <is>
          <t>contract_group_id</t>
        </is>
      </c>
      <c r="D1" s="4" t="inlineStr">
        <is>
          <t>region</t>
        </is>
      </c>
      <c r="E1" s="4" t="inlineStr">
        <is>
          <t>owner</t>
        </is>
      </c>
      <c r="F1" s="4" t="inlineStr">
        <is>
          <t>vendor_name</t>
        </is>
      </c>
      <c r="G1" s="4" t="inlineStr">
        <is>
          <t>contract_name</t>
        </is>
      </c>
      <c r="H1" s="4" t="inlineStr">
        <is>
          <t>category</t>
        </is>
      </c>
      <c r="I1" s="4" t="inlineStr">
        <is>
          <t>contract_type</t>
        </is>
      </c>
      <c r="J1" s="4" t="inlineStr">
        <is>
          <t>start_date</t>
        </is>
      </c>
      <c r="K1" s="4" t="inlineStr">
        <is>
          <t>end_date_effective</t>
        </is>
      </c>
      <c r="L1" s="4" t="inlineStr">
        <is>
          <t>currency</t>
        </is>
      </c>
      <c r="M1" s="4" t="inlineStr">
        <is>
          <t>amount</t>
        </is>
      </c>
      <c r="N1" s="4" t="inlineStr">
        <is>
          <t>amortization_months</t>
        </is>
      </c>
      <c r="O1" s="4" t="inlineStr">
        <is>
          <t>chargeback_ratio</t>
        </is>
      </c>
      <c r="P1" s="4" t="inlineStr">
        <is>
          <t>cost_center_code</t>
        </is>
      </c>
      <c r="Q1" s="4" t="inlineStr">
        <is>
          <t>account_key</t>
        </is>
      </c>
      <c r="R1" s="4" t="inlineStr">
        <is>
          <t>unit_price</t>
        </is>
      </c>
      <c r="S1" s="4" t="inlineStr">
        <is>
          <t>unit_price_max</t>
        </is>
      </c>
      <c r="T1" s="4" t="inlineStr">
        <is>
          <t>unit_price_min</t>
        </is>
      </c>
      <c r="U1" s="4" t="inlineStr">
        <is>
          <t>note</t>
        </is>
      </c>
    </row>
    <row r="2">
      <c r="A2" s="13" t="n"/>
      <c r="B2" s="13" t="n"/>
      <c r="C2" s="13" t="n"/>
      <c r="D2" s="7" t="n"/>
      <c r="E2" s="13" t="n"/>
      <c r="F2" s="13" t="n"/>
      <c r="G2" s="13" t="n"/>
      <c r="H2" s="13" t="n"/>
      <c r="I2" s="7" t="n"/>
      <c r="J2" s="14" t="n"/>
      <c r="K2" s="14" t="n"/>
      <c r="L2" s="7" t="n"/>
      <c r="M2" s="15" t="n"/>
      <c r="N2" s="7" t="n"/>
      <c r="O2" s="16" t="n"/>
      <c r="P2" s="7" t="n"/>
      <c r="Q2" s="7" t="n"/>
      <c r="R2" s="15" t="n"/>
      <c r="S2" s="15" t="n"/>
      <c r="T2" s="15" t="n"/>
      <c r="U2" s="13" t="n"/>
    </row>
    <row r="3">
      <c r="A3" s="13" t="n"/>
      <c r="B3" s="13" t="n"/>
      <c r="C3" s="13" t="n"/>
      <c r="D3" s="7" t="n"/>
      <c r="E3" s="13" t="n"/>
      <c r="F3" s="13" t="n"/>
      <c r="G3" s="13" t="n"/>
      <c r="H3" s="13" t="n"/>
      <c r="I3" s="7" t="n"/>
      <c r="J3" s="14" t="n"/>
      <c r="K3" s="14" t="n"/>
      <c r="L3" s="7" t="n"/>
      <c r="M3" s="15" t="n"/>
      <c r="N3" s="7" t="n"/>
      <c r="O3" s="16" t="n"/>
      <c r="P3" s="7" t="n"/>
      <c r="Q3" s="7" t="n"/>
      <c r="R3" s="15" t="n"/>
      <c r="S3" s="15" t="n"/>
      <c r="T3" s="15" t="n"/>
      <c r="U3" s="13" t="n"/>
    </row>
    <row r="4">
      <c r="A4" s="13" t="n"/>
      <c r="B4" s="13" t="n"/>
      <c r="C4" s="13" t="n"/>
      <c r="D4" s="7" t="n"/>
      <c r="E4" s="13" t="n"/>
      <c r="F4" s="13" t="n"/>
      <c r="G4" s="13" t="n"/>
      <c r="H4" s="13" t="n"/>
      <c r="I4" s="7" t="n"/>
      <c r="J4" s="14" t="n"/>
      <c r="K4" s="14" t="n"/>
      <c r="L4" s="7" t="n"/>
      <c r="M4" s="15" t="n"/>
      <c r="N4" s="7" t="n"/>
      <c r="O4" s="16" t="n"/>
      <c r="P4" s="7" t="n"/>
      <c r="Q4" s="7" t="n"/>
      <c r="R4" s="15" t="n"/>
      <c r="S4" s="15" t="n"/>
      <c r="T4" s="15" t="n"/>
      <c r="U4" s="13" t="n"/>
    </row>
    <row r="5">
      <c r="A5" s="13" t="n"/>
      <c r="B5" s="13" t="n"/>
      <c r="C5" s="13" t="n"/>
      <c r="D5" s="7" t="n"/>
      <c r="E5" s="13" t="n"/>
      <c r="F5" s="13" t="n"/>
      <c r="G5" s="13" t="n"/>
      <c r="H5" s="13" t="n"/>
      <c r="I5" s="7" t="n"/>
      <c r="J5" s="14" t="n"/>
      <c r="K5" s="14" t="n"/>
      <c r="L5" s="7" t="n"/>
      <c r="M5" s="15" t="n"/>
      <c r="N5" s="7" t="n"/>
      <c r="O5" s="16" t="n"/>
      <c r="P5" s="7" t="n"/>
      <c r="Q5" s="7" t="n"/>
      <c r="R5" s="15" t="n"/>
      <c r="S5" s="15" t="n"/>
      <c r="T5" s="15" t="n"/>
      <c r="U5" s="13" t="n"/>
    </row>
    <row r="6">
      <c r="A6" s="13" t="n"/>
      <c r="B6" s="13" t="n"/>
      <c r="C6" s="13" t="n"/>
      <c r="D6" s="7" t="n"/>
      <c r="E6" s="13" t="n"/>
      <c r="F6" s="13" t="n"/>
      <c r="G6" s="13" t="n"/>
      <c r="H6" s="13" t="n"/>
      <c r="I6" s="7" t="n"/>
      <c r="J6" s="14" t="n"/>
      <c r="K6" s="14" t="n"/>
      <c r="L6" s="7" t="n"/>
      <c r="M6" s="15" t="n"/>
      <c r="N6" s="7" t="n"/>
      <c r="O6" s="16" t="n"/>
      <c r="P6" s="7" t="n"/>
      <c r="Q6" s="7" t="n"/>
      <c r="R6" s="15" t="n"/>
      <c r="S6" s="15" t="n"/>
      <c r="T6" s="15" t="n"/>
      <c r="U6" s="13" t="n"/>
    </row>
    <row r="7">
      <c r="A7" s="13" t="n"/>
      <c r="B7" s="13" t="n"/>
      <c r="C7" s="13" t="n"/>
      <c r="D7" s="7" t="n"/>
      <c r="E7" s="13" t="n"/>
      <c r="F7" s="13" t="n"/>
      <c r="G7" s="13" t="n"/>
      <c r="H7" s="13" t="n"/>
      <c r="I7" s="7" t="n"/>
      <c r="J7" s="14" t="n"/>
      <c r="K7" s="14" t="n"/>
      <c r="L7" s="7" t="n"/>
      <c r="M7" s="15" t="n"/>
      <c r="N7" s="7" t="n"/>
      <c r="O7" s="16" t="n"/>
      <c r="P7" s="7" t="n"/>
      <c r="Q7" s="7" t="n"/>
      <c r="R7" s="15" t="n"/>
      <c r="S7" s="15" t="n"/>
      <c r="T7" s="15" t="n"/>
      <c r="U7" s="13" t="n"/>
    </row>
    <row r="8">
      <c r="A8" s="13" t="n"/>
      <c r="B8" s="13" t="n"/>
      <c r="C8" s="13" t="n"/>
      <c r="D8" s="7" t="n"/>
      <c r="E8" s="13" t="n"/>
      <c r="F8" s="13" t="n"/>
      <c r="G8" s="13" t="n"/>
      <c r="H8" s="13" t="n"/>
      <c r="I8" s="7" t="n"/>
      <c r="J8" s="14" t="n"/>
      <c r="K8" s="14" t="n"/>
      <c r="L8" s="7" t="n"/>
      <c r="M8" s="15" t="n"/>
      <c r="N8" s="7" t="n"/>
      <c r="O8" s="16" t="n"/>
      <c r="P8" s="7" t="n"/>
      <c r="Q8" s="7" t="n"/>
      <c r="R8" s="15" t="n"/>
      <c r="S8" s="15" t="n"/>
      <c r="T8" s="15" t="n"/>
      <c r="U8" s="13" t="n"/>
    </row>
    <row r="9">
      <c r="A9" s="13" t="n"/>
      <c r="B9" s="13" t="n"/>
      <c r="C9" s="13" t="n"/>
      <c r="D9" s="7" t="n"/>
      <c r="E9" s="13" t="n"/>
      <c r="F9" s="13" t="n"/>
      <c r="G9" s="13" t="n"/>
      <c r="H9" s="13" t="n"/>
      <c r="I9" s="7" t="n"/>
      <c r="J9" s="14" t="n"/>
      <c r="K9" s="14" t="n"/>
      <c r="L9" s="7" t="n"/>
      <c r="M9" s="15" t="n"/>
      <c r="N9" s="7" t="n"/>
      <c r="O9" s="16" t="n"/>
      <c r="P9" s="7" t="n"/>
      <c r="Q9" s="7" t="n"/>
      <c r="R9" s="15" t="n"/>
      <c r="S9" s="15" t="n"/>
      <c r="T9" s="15" t="n"/>
      <c r="U9" s="13" t="n"/>
    </row>
    <row r="10">
      <c r="A10" s="13" t="n"/>
      <c r="B10" s="13" t="n"/>
      <c r="C10" s="13" t="n"/>
      <c r="D10" s="7" t="n"/>
      <c r="E10" s="13" t="n"/>
      <c r="F10" s="13" t="n"/>
      <c r="G10" s="13" t="n"/>
      <c r="H10" s="13" t="n"/>
      <c r="I10" s="7" t="n"/>
      <c r="J10" s="14" t="n"/>
      <c r="K10" s="14" t="n"/>
      <c r="L10" s="7" t="n"/>
      <c r="M10" s="15" t="n"/>
      <c r="N10" s="7" t="n"/>
      <c r="O10" s="16" t="n"/>
      <c r="P10" s="7" t="n"/>
      <c r="Q10" s="7" t="n"/>
      <c r="R10" s="15" t="n"/>
      <c r="S10" s="15" t="n"/>
      <c r="T10" s="15" t="n"/>
      <c r="U10" s="13" t="n"/>
    </row>
    <row r="11">
      <c r="A11" s="13" t="n"/>
      <c r="B11" s="13" t="n"/>
      <c r="C11" s="13" t="n"/>
      <c r="D11" s="7" t="n"/>
      <c r="E11" s="13" t="n"/>
      <c r="F11" s="13" t="n"/>
      <c r="G11" s="13" t="n"/>
      <c r="H11" s="13" t="n"/>
      <c r="I11" s="7" t="n"/>
      <c r="J11" s="14" t="n"/>
      <c r="K11" s="14" t="n"/>
      <c r="L11" s="7" t="n"/>
      <c r="M11" s="15" t="n"/>
      <c r="N11" s="7" t="n"/>
      <c r="O11" s="16" t="n"/>
      <c r="P11" s="7" t="n"/>
      <c r="Q11" s="7" t="n"/>
      <c r="R11" s="15" t="n"/>
      <c r="S11" s="15" t="n"/>
      <c r="T11" s="15" t="n"/>
      <c r="U11" s="13" t="n"/>
    </row>
    <row r="12">
      <c r="A12" s="13" t="n"/>
      <c r="B12" s="13" t="n"/>
      <c r="C12" s="13" t="n"/>
      <c r="D12" s="7" t="n"/>
      <c r="E12" s="13" t="n"/>
      <c r="F12" s="13" t="n"/>
      <c r="G12" s="13" t="n"/>
      <c r="H12" s="13" t="n"/>
      <c r="I12" s="7" t="n"/>
      <c r="J12" s="14" t="n"/>
      <c r="K12" s="14" t="n"/>
      <c r="L12" s="7" t="n"/>
      <c r="M12" s="15" t="n"/>
      <c r="N12" s="7" t="n"/>
      <c r="O12" s="16" t="n"/>
      <c r="P12" s="7" t="n"/>
      <c r="Q12" s="7" t="n"/>
      <c r="R12" s="15" t="n"/>
      <c r="S12" s="15" t="n"/>
      <c r="T12" s="15" t="n"/>
      <c r="U12" s="13" t="n"/>
    </row>
    <row r="13">
      <c r="A13" s="13" t="n"/>
      <c r="B13" s="13" t="n"/>
      <c r="C13" s="13" t="n"/>
      <c r="D13" s="7" t="n"/>
      <c r="E13" s="13" t="n"/>
      <c r="F13" s="13" t="n"/>
      <c r="G13" s="13" t="n"/>
      <c r="H13" s="13" t="n"/>
      <c r="I13" s="7" t="n"/>
      <c r="J13" s="14" t="n"/>
      <c r="K13" s="14" t="n"/>
      <c r="L13" s="7" t="n"/>
      <c r="M13" s="15" t="n"/>
      <c r="N13" s="7" t="n"/>
      <c r="O13" s="16" t="n"/>
      <c r="P13" s="7" t="n"/>
      <c r="Q13" s="7" t="n"/>
      <c r="R13" s="15" t="n"/>
      <c r="S13" s="15" t="n"/>
      <c r="T13" s="15" t="n"/>
      <c r="U13" s="13" t="n"/>
    </row>
    <row r="14">
      <c r="A14" s="13" t="n"/>
      <c r="B14" s="13" t="n"/>
      <c r="C14" s="13" t="n"/>
      <c r="D14" s="7" t="n"/>
      <c r="E14" s="13" t="n"/>
      <c r="F14" s="13" t="n"/>
      <c r="G14" s="13" t="n"/>
      <c r="H14" s="13" t="n"/>
      <c r="I14" s="7" t="n"/>
      <c r="J14" s="14" t="n"/>
      <c r="K14" s="14" t="n"/>
      <c r="L14" s="7" t="n"/>
      <c r="M14" s="15" t="n"/>
      <c r="N14" s="7" t="n"/>
      <c r="O14" s="16" t="n"/>
      <c r="P14" s="7" t="n"/>
      <c r="Q14" s="7" t="n"/>
      <c r="R14" s="15" t="n"/>
      <c r="S14" s="15" t="n"/>
      <c r="T14" s="15" t="n"/>
      <c r="U14" s="13" t="n"/>
    </row>
    <row r="15">
      <c r="A15" s="13" t="n"/>
      <c r="B15" s="13" t="n"/>
      <c r="C15" s="13" t="n"/>
      <c r="D15" s="7" t="n"/>
      <c r="E15" s="13" t="n"/>
      <c r="F15" s="13" t="n"/>
      <c r="G15" s="13" t="n"/>
      <c r="H15" s="13" t="n"/>
      <c r="I15" s="7" t="n"/>
      <c r="J15" s="14" t="n"/>
      <c r="K15" s="14" t="n"/>
      <c r="L15" s="7" t="n"/>
      <c r="M15" s="15" t="n"/>
      <c r="N15" s="7" t="n"/>
      <c r="O15" s="16" t="n"/>
      <c r="P15" s="7" t="n"/>
      <c r="Q15" s="7" t="n"/>
      <c r="R15" s="15" t="n"/>
      <c r="S15" s="15" t="n"/>
      <c r="T15" s="15" t="n"/>
      <c r="U15" s="13" t="n"/>
    </row>
    <row r="16">
      <c r="A16" s="13" t="n"/>
      <c r="B16" s="13" t="n"/>
      <c r="C16" s="13" t="n"/>
      <c r="D16" s="7" t="n"/>
      <c r="E16" s="13" t="n"/>
      <c r="F16" s="13" t="n"/>
      <c r="G16" s="13" t="n"/>
      <c r="H16" s="13" t="n"/>
      <c r="I16" s="7" t="n"/>
      <c r="J16" s="14" t="n"/>
      <c r="K16" s="14" t="n"/>
      <c r="L16" s="7" t="n"/>
      <c r="M16" s="15" t="n"/>
      <c r="N16" s="7" t="n"/>
      <c r="O16" s="16" t="n"/>
      <c r="P16" s="7" t="n"/>
      <c r="Q16" s="7" t="n"/>
      <c r="R16" s="15" t="n"/>
      <c r="S16" s="15" t="n"/>
      <c r="T16" s="15" t="n"/>
      <c r="U16" s="13" t="n"/>
    </row>
    <row r="17">
      <c r="A17" s="13" t="n"/>
      <c r="B17" s="13" t="n"/>
      <c r="C17" s="13" t="n"/>
      <c r="D17" s="7" t="n"/>
      <c r="E17" s="13" t="n"/>
      <c r="F17" s="13" t="n"/>
      <c r="G17" s="13" t="n"/>
      <c r="H17" s="13" t="n"/>
      <c r="I17" s="7" t="n"/>
      <c r="J17" s="14" t="n"/>
      <c r="K17" s="14" t="n"/>
      <c r="L17" s="7" t="n"/>
      <c r="M17" s="15" t="n"/>
      <c r="N17" s="7" t="n"/>
      <c r="O17" s="16" t="n"/>
      <c r="P17" s="7" t="n"/>
      <c r="Q17" s="7" t="n"/>
      <c r="R17" s="15" t="n"/>
      <c r="S17" s="15" t="n"/>
      <c r="T17" s="15" t="n"/>
      <c r="U17" s="13" t="n"/>
    </row>
    <row r="18">
      <c r="A18" s="13" t="n"/>
      <c r="B18" s="13" t="n"/>
      <c r="C18" s="13" t="n"/>
      <c r="D18" s="7" t="n"/>
      <c r="E18" s="13" t="n"/>
      <c r="F18" s="13" t="n"/>
      <c r="G18" s="13" t="n"/>
      <c r="H18" s="13" t="n"/>
      <c r="I18" s="7" t="n"/>
      <c r="J18" s="14" t="n"/>
      <c r="K18" s="14" t="n"/>
      <c r="L18" s="7" t="n"/>
      <c r="M18" s="15" t="n"/>
      <c r="N18" s="7" t="n"/>
      <c r="O18" s="16" t="n"/>
      <c r="P18" s="7" t="n"/>
      <c r="Q18" s="7" t="n"/>
      <c r="R18" s="15" t="n"/>
      <c r="S18" s="15" t="n"/>
      <c r="T18" s="15" t="n"/>
      <c r="U18" s="13" t="n"/>
    </row>
    <row r="19">
      <c r="A19" s="13" t="n"/>
      <c r="B19" s="13" t="n"/>
      <c r="C19" s="13" t="n"/>
      <c r="D19" s="7" t="n"/>
      <c r="E19" s="13" t="n"/>
      <c r="F19" s="13" t="n"/>
      <c r="G19" s="13" t="n"/>
      <c r="H19" s="13" t="n"/>
      <c r="I19" s="7" t="n"/>
      <c r="J19" s="14" t="n"/>
      <c r="K19" s="14" t="n"/>
      <c r="L19" s="7" t="n"/>
      <c r="M19" s="15" t="n"/>
      <c r="N19" s="7" t="n"/>
      <c r="O19" s="16" t="n"/>
      <c r="P19" s="7" t="n"/>
      <c r="Q19" s="7" t="n"/>
      <c r="R19" s="15" t="n"/>
      <c r="S19" s="15" t="n"/>
      <c r="T19" s="15" t="n"/>
      <c r="U19" s="13" t="n"/>
    </row>
    <row r="20">
      <c r="A20" s="13" t="n"/>
      <c r="B20" s="13" t="n"/>
      <c r="C20" s="13" t="n"/>
      <c r="D20" s="7" t="n"/>
      <c r="E20" s="13" t="n"/>
      <c r="F20" s="13" t="n"/>
      <c r="G20" s="13" t="n"/>
      <c r="H20" s="13" t="n"/>
      <c r="I20" s="7" t="n"/>
      <c r="J20" s="14" t="n"/>
      <c r="K20" s="14" t="n"/>
      <c r="L20" s="7" t="n"/>
      <c r="M20" s="15" t="n"/>
      <c r="N20" s="7" t="n"/>
      <c r="O20" s="16" t="n"/>
      <c r="P20" s="7" t="n"/>
      <c r="Q20" s="7" t="n"/>
      <c r="R20" s="15" t="n"/>
      <c r="S20" s="15" t="n"/>
      <c r="T20" s="15" t="n"/>
      <c r="U20" s="13" t="n"/>
    </row>
    <row r="21">
      <c r="A21" s="13" t="n"/>
      <c r="B21" s="13" t="n"/>
      <c r="C21" s="13" t="n"/>
      <c r="D21" s="7" t="n"/>
      <c r="E21" s="13" t="n"/>
      <c r="F21" s="13" t="n"/>
      <c r="G21" s="13" t="n"/>
      <c r="H21" s="13" t="n"/>
      <c r="I21" s="7" t="n"/>
      <c r="J21" s="14" t="n"/>
      <c r="K21" s="14" t="n"/>
      <c r="L21" s="7" t="n"/>
      <c r="M21" s="15" t="n"/>
      <c r="N21" s="7" t="n"/>
      <c r="O21" s="16" t="n"/>
      <c r="P21" s="7" t="n"/>
      <c r="Q21" s="7" t="n"/>
      <c r="R21" s="15" t="n"/>
      <c r="S21" s="15" t="n"/>
      <c r="T21" s="15" t="n"/>
      <c r="U21" s="13" t="n"/>
    </row>
    <row r="22">
      <c r="A22" s="13" t="n"/>
      <c r="B22" s="13" t="n"/>
      <c r="C22" s="13" t="n"/>
      <c r="D22" s="7" t="n"/>
      <c r="E22" s="13" t="n"/>
      <c r="F22" s="13" t="n"/>
      <c r="G22" s="13" t="n"/>
      <c r="H22" s="13" t="n"/>
      <c r="I22" s="7" t="n"/>
      <c r="J22" s="14" t="n"/>
      <c r="K22" s="14" t="n"/>
      <c r="L22" s="7" t="n"/>
      <c r="M22" s="15" t="n"/>
      <c r="N22" s="7" t="n"/>
      <c r="O22" s="16" t="n"/>
      <c r="P22" s="7" t="n"/>
      <c r="Q22" s="7" t="n"/>
      <c r="R22" s="15" t="n"/>
      <c r="S22" s="15" t="n"/>
      <c r="T22" s="15" t="n"/>
      <c r="U22" s="13" t="n"/>
    </row>
    <row r="23">
      <c r="A23" s="13" t="n"/>
      <c r="B23" s="13" t="n"/>
      <c r="C23" s="13" t="n"/>
      <c r="D23" s="7" t="n"/>
      <c r="E23" s="13" t="n"/>
      <c r="F23" s="13" t="n"/>
      <c r="G23" s="13" t="n"/>
      <c r="H23" s="13" t="n"/>
      <c r="I23" s="7" t="n"/>
      <c r="J23" s="14" t="n"/>
      <c r="K23" s="14" t="n"/>
      <c r="L23" s="7" t="n"/>
      <c r="M23" s="15" t="n"/>
      <c r="N23" s="7" t="n"/>
      <c r="O23" s="16" t="n"/>
      <c r="P23" s="7" t="n"/>
      <c r="Q23" s="7" t="n"/>
      <c r="R23" s="15" t="n"/>
      <c r="S23" s="15" t="n"/>
      <c r="T23" s="15" t="n"/>
      <c r="U23" s="13" t="n"/>
    </row>
    <row r="24">
      <c r="A24" s="13" t="n"/>
      <c r="B24" s="13" t="n"/>
      <c r="C24" s="13" t="n"/>
      <c r="D24" s="7" t="n"/>
      <c r="E24" s="13" t="n"/>
      <c r="F24" s="13" t="n"/>
      <c r="G24" s="13" t="n"/>
      <c r="H24" s="13" t="n"/>
      <c r="I24" s="7" t="n"/>
      <c r="J24" s="14" t="n"/>
      <c r="K24" s="14" t="n"/>
      <c r="L24" s="7" t="n"/>
      <c r="M24" s="15" t="n"/>
      <c r="N24" s="7" t="n"/>
      <c r="O24" s="16" t="n"/>
      <c r="P24" s="7" t="n"/>
      <c r="Q24" s="7" t="n"/>
      <c r="R24" s="15" t="n"/>
      <c r="S24" s="15" t="n"/>
      <c r="T24" s="15" t="n"/>
      <c r="U24" s="13" t="n"/>
    </row>
    <row r="25">
      <c r="A25" s="13" t="n"/>
      <c r="B25" s="13" t="n"/>
      <c r="C25" s="13" t="n"/>
      <c r="D25" s="7" t="n"/>
      <c r="E25" s="13" t="n"/>
      <c r="F25" s="13" t="n"/>
      <c r="G25" s="13" t="n"/>
      <c r="H25" s="13" t="n"/>
      <c r="I25" s="7" t="n"/>
      <c r="J25" s="14" t="n"/>
      <c r="K25" s="14" t="n"/>
      <c r="L25" s="7" t="n"/>
      <c r="M25" s="15" t="n"/>
      <c r="N25" s="7" t="n"/>
      <c r="O25" s="16" t="n"/>
      <c r="P25" s="7" t="n"/>
      <c r="Q25" s="7" t="n"/>
      <c r="R25" s="15" t="n"/>
      <c r="S25" s="15" t="n"/>
      <c r="T25" s="15" t="n"/>
      <c r="U25" s="13" t="n"/>
    </row>
    <row r="26">
      <c r="A26" s="13" t="n"/>
      <c r="B26" s="13" t="n"/>
      <c r="C26" s="13" t="n"/>
      <c r="D26" s="7" t="n"/>
      <c r="E26" s="13" t="n"/>
      <c r="F26" s="13" t="n"/>
      <c r="G26" s="13" t="n"/>
      <c r="H26" s="13" t="n"/>
      <c r="I26" s="7" t="n"/>
      <c r="J26" s="14" t="n"/>
      <c r="K26" s="14" t="n"/>
      <c r="L26" s="7" t="n"/>
      <c r="M26" s="15" t="n"/>
      <c r="N26" s="7" t="n"/>
      <c r="O26" s="16" t="n"/>
      <c r="P26" s="7" t="n"/>
      <c r="Q26" s="7" t="n"/>
      <c r="R26" s="15" t="n"/>
      <c r="S26" s="15" t="n"/>
      <c r="T26" s="15" t="n"/>
      <c r="U26" s="13" t="n"/>
    </row>
    <row r="27">
      <c r="A27" s="13" t="n"/>
      <c r="B27" s="13" t="n"/>
      <c r="C27" s="13" t="n"/>
      <c r="D27" s="7" t="n"/>
      <c r="E27" s="13" t="n"/>
      <c r="F27" s="13" t="n"/>
      <c r="G27" s="13" t="n"/>
      <c r="H27" s="13" t="n"/>
      <c r="I27" s="7" t="n"/>
      <c r="J27" s="14" t="n"/>
      <c r="K27" s="14" t="n"/>
      <c r="L27" s="7" t="n"/>
      <c r="M27" s="15" t="n"/>
      <c r="N27" s="7" t="n"/>
      <c r="O27" s="16" t="n"/>
      <c r="P27" s="7" t="n"/>
      <c r="Q27" s="7" t="n"/>
      <c r="R27" s="15" t="n"/>
      <c r="S27" s="15" t="n"/>
      <c r="T27" s="15" t="n"/>
      <c r="U27" s="13" t="n"/>
    </row>
    <row r="28">
      <c r="A28" s="13" t="n"/>
      <c r="B28" s="13" t="n"/>
      <c r="C28" s="13" t="n"/>
      <c r="D28" s="7" t="n"/>
      <c r="E28" s="13" t="n"/>
      <c r="F28" s="13" t="n"/>
      <c r="G28" s="13" t="n"/>
      <c r="H28" s="13" t="n"/>
      <c r="I28" s="7" t="n"/>
      <c r="J28" s="14" t="n"/>
      <c r="K28" s="14" t="n"/>
      <c r="L28" s="7" t="n"/>
      <c r="M28" s="15" t="n"/>
      <c r="N28" s="7" t="n"/>
      <c r="O28" s="16" t="n"/>
      <c r="P28" s="7" t="n"/>
      <c r="Q28" s="7" t="n"/>
      <c r="R28" s="15" t="n"/>
      <c r="S28" s="15" t="n"/>
      <c r="T28" s="15" t="n"/>
      <c r="U28" s="13" t="n"/>
    </row>
    <row r="29">
      <c r="A29" s="13" t="n"/>
      <c r="B29" s="13" t="n"/>
      <c r="C29" s="13" t="n"/>
      <c r="D29" s="7" t="n"/>
      <c r="E29" s="13" t="n"/>
      <c r="F29" s="13" t="n"/>
      <c r="G29" s="13" t="n"/>
      <c r="H29" s="13" t="n"/>
      <c r="I29" s="7" t="n"/>
      <c r="J29" s="14" t="n"/>
      <c r="K29" s="14" t="n"/>
      <c r="L29" s="7" t="n"/>
      <c r="M29" s="15" t="n"/>
      <c r="N29" s="7" t="n"/>
      <c r="O29" s="16" t="n"/>
      <c r="P29" s="7" t="n"/>
      <c r="Q29" s="7" t="n"/>
      <c r="R29" s="15" t="n"/>
      <c r="S29" s="15" t="n"/>
      <c r="T29" s="15" t="n"/>
      <c r="U29" s="13" t="n"/>
    </row>
    <row r="30">
      <c r="A30" s="13" t="n"/>
      <c r="B30" s="13" t="n"/>
      <c r="C30" s="13" t="n"/>
      <c r="D30" s="7" t="n"/>
      <c r="E30" s="13" t="n"/>
      <c r="F30" s="13" t="n"/>
      <c r="G30" s="13" t="n"/>
      <c r="H30" s="13" t="n"/>
      <c r="I30" s="7" t="n"/>
      <c r="J30" s="14" t="n"/>
      <c r="K30" s="14" t="n"/>
      <c r="L30" s="7" t="n"/>
      <c r="M30" s="15" t="n"/>
      <c r="N30" s="7" t="n"/>
      <c r="O30" s="16" t="n"/>
      <c r="P30" s="7" t="n"/>
      <c r="Q30" s="7" t="n"/>
      <c r="R30" s="15" t="n"/>
      <c r="S30" s="15" t="n"/>
      <c r="T30" s="15" t="n"/>
      <c r="U30" s="13" t="n"/>
    </row>
    <row r="31">
      <c r="A31" s="13" t="n"/>
      <c r="B31" s="13" t="n"/>
      <c r="C31" s="13" t="n"/>
      <c r="D31" s="7" t="n"/>
      <c r="E31" s="13" t="n"/>
      <c r="F31" s="13" t="n"/>
      <c r="G31" s="13" t="n"/>
      <c r="H31" s="13" t="n"/>
      <c r="I31" s="7" t="n"/>
      <c r="J31" s="14" t="n"/>
      <c r="K31" s="14" t="n"/>
      <c r="L31" s="7" t="n"/>
      <c r="M31" s="15" t="n"/>
      <c r="N31" s="7" t="n"/>
      <c r="O31" s="16" t="n"/>
      <c r="P31" s="7" t="n"/>
      <c r="Q31" s="7" t="n"/>
      <c r="R31" s="15" t="n"/>
      <c r="S31" s="15" t="n"/>
      <c r="T31" s="15" t="n"/>
      <c r="U31" s="13" t="n"/>
    </row>
    <row r="32">
      <c r="A32" s="13" t="n"/>
      <c r="B32" s="13" t="n"/>
      <c r="C32" s="13" t="n"/>
      <c r="D32" s="7" t="n"/>
      <c r="E32" s="13" t="n"/>
      <c r="F32" s="13" t="n"/>
      <c r="G32" s="13" t="n"/>
      <c r="H32" s="13" t="n"/>
      <c r="I32" s="7" t="n"/>
      <c r="J32" s="14" t="n"/>
      <c r="K32" s="14" t="n"/>
      <c r="L32" s="7" t="n"/>
      <c r="M32" s="15" t="n"/>
      <c r="N32" s="7" t="n"/>
      <c r="O32" s="16" t="n"/>
      <c r="P32" s="7" t="n"/>
      <c r="Q32" s="7" t="n"/>
      <c r="R32" s="15" t="n"/>
      <c r="S32" s="15" t="n"/>
      <c r="T32" s="15" t="n"/>
      <c r="U32" s="13" t="n"/>
    </row>
    <row r="33">
      <c r="A33" s="13" t="n"/>
      <c r="B33" s="13" t="n"/>
      <c r="C33" s="13" t="n"/>
      <c r="D33" s="7" t="n"/>
      <c r="E33" s="13" t="n"/>
      <c r="F33" s="13" t="n"/>
      <c r="G33" s="13" t="n"/>
      <c r="H33" s="13" t="n"/>
      <c r="I33" s="7" t="n"/>
      <c r="J33" s="14" t="n"/>
      <c r="K33" s="14" t="n"/>
      <c r="L33" s="7" t="n"/>
      <c r="M33" s="15" t="n"/>
      <c r="N33" s="7" t="n"/>
      <c r="O33" s="16" t="n"/>
      <c r="P33" s="7" t="n"/>
      <c r="Q33" s="7" t="n"/>
      <c r="R33" s="15" t="n"/>
      <c r="S33" s="15" t="n"/>
      <c r="T33" s="15" t="n"/>
      <c r="U33" s="13" t="n"/>
    </row>
    <row r="34">
      <c r="A34" s="13" t="n"/>
      <c r="B34" s="13" t="n"/>
      <c r="C34" s="13" t="n"/>
      <c r="D34" s="7" t="n"/>
      <c r="E34" s="13" t="n"/>
      <c r="F34" s="13" t="n"/>
      <c r="G34" s="13" t="n"/>
      <c r="H34" s="13" t="n"/>
      <c r="I34" s="7" t="n"/>
      <c r="J34" s="14" t="n"/>
      <c r="K34" s="14" t="n"/>
      <c r="L34" s="7" t="n"/>
      <c r="M34" s="15" t="n"/>
      <c r="N34" s="7" t="n"/>
      <c r="O34" s="16" t="n"/>
      <c r="P34" s="7" t="n"/>
      <c r="Q34" s="7" t="n"/>
      <c r="R34" s="15" t="n"/>
      <c r="S34" s="15" t="n"/>
      <c r="T34" s="15" t="n"/>
      <c r="U34" s="13" t="n"/>
    </row>
    <row r="35">
      <c r="A35" s="13" t="n"/>
      <c r="B35" s="13" t="n"/>
      <c r="C35" s="13" t="n"/>
      <c r="D35" s="7" t="n"/>
      <c r="E35" s="13" t="n"/>
      <c r="F35" s="13" t="n"/>
      <c r="G35" s="13" t="n"/>
      <c r="H35" s="13" t="n"/>
      <c r="I35" s="7" t="n"/>
      <c r="J35" s="14" t="n"/>
      <c r="K35" s="14" t="n"/>
      <c r="L35" s="7" t="n"/>
      <c r="M35" s="15" t="n"/>
      <c r="N35" s="7" t="n"/>
      <c r="O35" s="16" t="n"/>
      <c r="P35" s="7" t="n"/>
      <c r="Q35" s="7" t="n"/>
      <c r="R35" s="15" t="n"/>
      <c r="S35" s="15" t="n"/>
      <c r="T35" s="15" t="n"/>
      <c r="U35" s="13" t="n"/>
    </row>
    <row r="36">
      <c r="A36" s="13" t="n"/>
      <c r="B36" s="13" t="n"/>
      <c r="C36" s="13" t="n"/>
      <c r="D36" s="7" t="n"/>
      <c r="E36" s="13" t="n"/>
      <c r="F36" s="13" t="n"/>
      <c r="G36" s="13" t="n"/>
      <c r="H36" s="13" t="n"/>
      <c r="I36" s="7" t="n"/>
      <c r="J36" s="14" t="n"/>
      <c r="K36" s="14" t="n"/>
      <c r="L36" s="7" t="n"/>
      <c r="M36" s="15" t="n"/>
      <c r="N36" s="7" t="n"/>
      <c r="O36" s="16" t="n"/>
      <c r="P36" s="7" t="n"/>
      <c r="Q36" s="7" t="n"/>
      <c r="R36" s="15" t="n"/>
      <c r="S36" s="15" t="n"/>
      <c r="T36" s="15" t="n"/>
      <c r="U36" s="13" t="n"/>
    </row>
    <row r="37">
      <c r="A37" s="13" t="n"/>
      <c r="B37" s="13" t="n"/>
      <c r="C37" s="13" t="n"/>
      <c r="D37" s="7" t="n"/>
      <c r="E37" s="13" t="n"/>
      <c r="F37" s="13" t="n"/>
      <c r="G37" s="13" t="n"/>
      <c r="H37" s="13" t="n"/>
      <c r="I37" s="7" t="n"/>
      <c r="J37" s="14" t="n"/>
      <c r="K37" s="14" t="n"/>
      <c r="L37" s="7" t="n"/>
      <c r="M37" s="15" t="n"/>
      <c r="N37" s="7" t="n"/>
      <c r="O37" s="16" t="n"/>
      <c r="P37" s="7" t="n"/>
      <c r="Q37" s="7" t="n"/>
      <c r="R37" s="15" t="n"/>
      <c r="S37" s="15" t="n"/>
      <c r="T37" s="15" t="n"/>
      <c r="U37" s="13" t="n"/>
    </row>
    <row r="38">
      <c r="A38" s="13" t="n"/>
      <c r="B38" s="13" t="n"/>
      <c r="C38" s="13" t="n"/>
      <c r="D38" s="7" t="n"/>
      <c r="E38" s="13" t="n"/>
      <c r="F38" s="13" t="n"/>
      <c r="G38" s="13" t="n"/>
      <c r="H38" s="13" t="n"/>
      <c r="I38" s="7" t="n"/>
      <c r="J38" s="14" t="n"/>
      <c r="K38" s="14" t="n"/>
      <c r="L38" s="7" t="n"/>
      <c r="M38" s="15" t="n"/>
      <c r="N38" s="7" t="n"/>
      <c r="O38" s="16" t="n"/>
      <c r="P38" s="7" t="n"/>
      <c r="Q38" s="7" t="n"/>
      <c r="R38" s="15" t="n"/>
      <c r="S38" s="15" t="n"/>
      <c r="T38" s="15" t="n"/>
      <c r="U38" s="13" t="n"/>
    </row>
    <row r="39">
      <c r="A39" s="13" t="n"/>
      <c r="B39" s="13" t="n"/>
      <c r="C39" s="13" t="n"/>
      <c r="D39" s="7" t="n"/>
      <c r="E39" s="13" t="n"/>
      <c r="F39" s="13" t="n"/>
      <c r="G39" s="13" t="n"/>
      <c r="H39" s="13" t="n"/>
      <c r="I39" s="7" t="n"/>
      <c r="J39" s="14" t="n"/>
      <c r="K39" s="14" t="n"/>
      <c r="L39" s="7" t="n"/>
      <c r="M39" s="15" t="n"/>
      <c r="N39" s="7" t="n"/>
      <c r="O39" s="16" t="n"/>
      <c r="P39" s="7" t="n"/>
      <c r="Q39" s="7" t="n"/>
      <c r="R39" s="15" t="n"/>
      <c r="S39" s="15" t="n"/>
      <c r="T39" s="15" t="n"/>
      <c r="U39" s="13" t="n"/>
    </row>
    <row r="40">
      <c r="A40" s="13" t="n"/>
      <c r="B40" s="13" t="n"/>
      <c r="C40" s="13" t="n"/>
      <c r="D40" s="7" t="n"/>
      <c r="E40" s="13" t="n"/>
      <c r="F40" s="13" t="n"/>
      <c r="G40" s="13" t="n"/>
      <c r="H40" s="13" t="n"/>
      <c r="I40" s="7" t="n"/>
      <c r="J40" s="14" t="n"/>
      <c r="K40" s="14" t="n"/>
      <c r="L40" s="7" t="n"/>
      <c r="M40" s="15" t="n"/>
      <c r="N40" s="7" t="n"/>
      <c r="O40" s="16" t="n"/>
      <c r="P40" s="7" t="n"/>
      <c r="Q40" s="7" t="n"/>
      <c r="R40" s="15" t="n"/>
      <c r="S40" s="15" t="n"/>
      <c r="T40" s="15" t="n"/>
      <c r="U40" s="13" t="n"/>
    </row>
    <row r="41">
      <c r="A41" s="13" t="n"/>
      <c r="B41" s="13" t="n"/>
      <c r="C41" s="13" t="n"/>
      <c r="D41" s="7" t="n"/>
      <c r="E41" s="13" t="n"/>
      <c r="F41" s="13" t="n"/>
      <c r="G41" s="13" t="n"/>
      <c r="H41" s="13" t="n"/>
      <c r="I41" s="7" t="n"/>
      <c r="J41" s="14" t="n"/>
      <c r="K41" s="14" t="n"/>
      <c r="L41" s="7" t="n"/>
      <c r="M41" s="15" t="n"/>
      <c r="N41" s="7" t="n"/>
      <c r="O41" s="16" t="n"/>
      <c r="P41" s="7" t="n"/>
      <c r="Q41" s="7" t="n"/>
      <c r="R41" s="15" t="n"/>
      <c r="S41" s="15" t="n"/>
      <c r="T41" s="15" t="n"/>
      <c r="U41" s="13" t="n"/>
    </row>
    <row r="42">
      <c r="A42" s="13" t="n"/>
      <c r="B42" s="13" t="n"/>
      <c r="C42" s="13" t="n"/>
      <c r="D42" s="7" t="n"/>
      <c r="E42" s="13" t="n"/>
      <c r="F42" s="13" t="n"/>
      <c r="G42" s="13" t="n"/>
      <c r="H42" s="13" t="n"/>
      <c r="I42" s="7" t="n"/>
      <c r="J42" s="14" t="n"/>
      <c r="K42" s="14" t="n"/>
      <c r="L42" s="7" t="n"/>
      <c r="M42" s="15" t="n"/>
      <c r="N42" s="7" t="n"/>
      <c r="O42" s="16" t="n"/>
      <c r="P42" s="7" t="n"/>
      <c r="Q42" s="7" t="n"/>
      <c r="R42" s="15" t="n"/>
      <c r="S42" s="15" t="n"/>
      <c r="T42" s="15" t="n"/>
      <c r="U42" s="13" t="n"/>
    </row>
    <row r="43">
      <c r="A43" s="13" t="n"/>
      <c r="B43" s="13" t="n"/>
      <c r="C43" s="13" t="n"/>
      <c r="D43" s="7" t="n"/>
      <c r="E43" s="13" t="n"/>
      <c r="F43" s="13" t="n"/>
      <c r="G43" s="13" t="n"/>
      <c r="H43" s="13" t="n"/>
      <c r="I43" s="7" t="n"/>
      <c r="J43" s="14" t="n"/>
      <c r="K43" s="14" t="n"/>
      <c r="L43" s="7" t="n"/>
      <c r="M43" s="15" t="n"/>
      <c r="N43" s="7" t="n"/>
      <c r="O43" s="16" t="n"/>
      <c r="P43" s="7" t="n"/>
      <c r="Q43" s="7" t="n"/>
      <c r="R43" s="15" t="n"/>
      <c r="S43" s="15" t="n"/>
      <c r="T43" s="15" t="n"/>
      <c r="U43" s="13" t="n"/>
    </row>
    <row r="44">
      <c r="A44" s="13" t="n"/>
      <c r="B44" s="13" t="n"/>
      <c r="C44" s="13" t="n"/>
      <c r="D44" s="7" t="n"/>
      <c r="E44" s="13" t="n"/>
      <c r="F44" s="13" t="n"/>
      <c r="G44" s="13" t="n"/>
      <c r="H44" s="13" t="n"/>
      <c r="I44" s="7" t="n"/>
      <c r="J44" s="14" t="n"/>
      <c r="K44" s="14" t="n"/>
      <c r="L44" s="7" t="n"/>
      <c r="M44" s="15" t="n"/>
      <c r="N44" s="7" t="n"/>
      <c r="O44" s="16" t="n"/>
      <c r="P44" s="7" t="n"/>
      <c r="Q44" s="7" t="n"/>
      <c r="R44" s="15" t="n"/>
      <c r="S44" s="15" t="n"/>
      <c r="T44" s="15" t="n"/>
      <c r="U44" s="13" t="n"/>
    </row>
    <row r="45">
      <c r="A45" s="13" t="n"/>
      <c r="B45" s="13" t="n"/>
      <c r="C45" s="13" t="n"/>
      <c r="D45" s="7" t="n"/>
      <c r="E45" s="13" t="n"/>
      <c r="F45" s="13" t="n"/>
      <c r="G45" s="13" t="n"/>
      <c r="H45" s="13" t="n"/>
      <c r="I45" s="7" t="n"/>
      <c r="J45" s="14" t="n"/>
      <c r="K45" s="14" t="n"/>
      <c r="L45" s="7" t="n"/>
      <c r="M45" s="15" t="n"/>
      <c r="N45" s="7" t="n"/>
      <c r="O45" s="16" t="n"/>
      <c r="P45" s="7" t="n"/>
      <c r="Q45" s="7" t="n"/>
      <c r="R45" s="15" t="n"/>
      <c r="S45" s="15" t="n"/>
      <c r="T45" s="15" t="n"/>
      <c r="U45" s="13" t="n"/>
    </row>
    <row r="46">
      <c r="A46" s="13" t="n"/>
      <c r="B46" s="13" t="n"/>
      <c r="C46" s="13" t="n"/>
      <c r="D46" s="7" t="n"/>
      <c r="E46" s="13" t="n"/>
      <c r="F46" s="13" t="n"/>
      <c r="G46" s="13" t="n"/>
      <c r="H46" s="13" t="n"/>
      <c r="I46" s="7" t="n"/>
      <c r="J46" s="14" t="n"/>
      <c r="K46" s="14" t="n"/>
      <c r="L46" s="7" t="n"/>
      <c r="M46" s="15" t="n"/>
      <c r="N46" s="7" t="n"/>
      <c r="O46" s="16" t="n"/>
      <c r="P46" s="7" t="n"/>
      <c r="Q46" s="7" t="n"/>
      <c r="R46" s="15" t="n"/>
      <c r="S46" s="15" t="n"/>
      <c r="T46" s="15" t="n"/>
      <c r="U46" s="13" t="n"/>
    </row>
    <row r="47">
      <c r="A47" s="13" t="n"/>
      <c r="B47" s="13" t="n"/>
      <c r="C47" s="13" t="n"/>
      <c r="D47" s="7" t="n"/>
      <c r="E47" s="13" t="n"/>
      <c r="F47" s="13" t="n"/>
      <c r="G47" s="13" t="n"/>
      <c r="H47" s="13" t="n"/>
      <c r="I47" s="7" t="n"/>
      <c r="J47" s="14" t="n"/>
      <c r="K47" s="14" t="n"/>
      <c r="L47" s="7" t="n"/>
      <c r="M47" s="15" t="n"/>
      <c r="N47" s="7" t="n"/>
      <c r="O47" s="16" t="n"/>
      <c r="P47" s="7" t="n"/>
      <c r="Q47" s="7" t="n"/>
      <c r="R47" s="15" t="n"/>
      <c r="S47" s="15" t="n"/>
      <c r="T47" s="15" t="n"/>
      <c r="U47" s="13" t="n"/>
    </row>
    <row r="48">
      <c r="A48" s="13" t="n"/>
      <c r="B48" s="13" t="n"/>
      <c r="C48" s="13" t="n"/>
      <c r="D48" s="7" t="n"/>
      <c r="E48" s="13" t="n"/>
      <c r="F48" s="13" t="n"/>
      <c r="G48" s="13" t="n"/>
      <c r="H48" s="13" t="n"/>
      <c r="I48" s="7" t="n"/>
      <c r="J48" s="14" t="n"/>
      <c r="K48" s="14" t="n"/>
      <c r="L48" s="7" t="n"/>
      <c r="M48" s="15" t="n"/>
      <c r="N48" s="7" t="n"/>
      <c r="O48" s="16" t="n"/>
      <c r="P48" s="7" t="n"/>
      <c r="Q48" s="7" t="n"/>
      <c r="R48" s="15" t="n"/>
      <c r="S48" s="15" t="n"/>
      <c r="T48" s="15" t="n"/>
      <c r="U48" s="13" t="n"/>
    </row>
    <row r="49">
      <c r="A49" s="13" t="n"/>
      <c r="B49" s="13" t="n"/>
      <c r="C49" s="13" t="n"/>
      <c r="D49" s="7" t="n"/>
      <c r="E49" s="13" t="n"/>
      <c r="F49" s="13" t="n"/>
      <c r="G49" s="13" t="n"/>
      <c r="H49" s="13" t="n"/>
      <c r="I49" s="7" t="n"/>
      <c r="J49" s="14" t="n"/>
      <c r="K49" s="14" t="n"/>
      <c r="L49" s="7" t="n"/>
      <c r="M49" s="15" t="n"/>
      <c r="N49" s="7" t="n"/>
      <c r="O49" s="16" t="n"/>
      <c r="P49" s="7" t="n"/>
      <c r="Q49" s="7" t="n"/>
      <c r="R49" s="15" t="n"/>
      <c r="S49" s="15" t="n"/>
      <c r="T49" s="15" t="n"/>
      <c r="U49" s="13" t="n"/>
    </row>
    <row r="50">
      <c r="A50" s="13" t="n"/>
      <c r="B50" s="13" t="n"/>
      <c r="C50" s="13" t="n"/>
      <c r="D50" s="7" t="n"/>
      <c r="E50" s="13" t="n"/>
      <c r="F50" s="13" t="n"/>
      <c r="G50" s="13" t="n"/>
      <c r="H50" s="13" t="n"/>
      <c r="I50" s="7" t="n"/>
      <c r="J50" s="14" t="n"/>
      <c r="K50" s="14" t="n"/>
      <c r="L50" s="7" t="n"/>
      <c r="M50" s="15" t="n"/>
      <c r="N50" s="7" t="n"/>
      <c r="O50" s="16" t="n"/>
      <c r="P50" s="7" t="n"/>
      <c r="Q50" s="7" t="n"/>
      <c r="R50" s="15" t="n"/>
      <c r="S50" s="15" t="n"/>
      <c r="T50" s="15" t="n"/>
      <c r="U50" s="13" t="n"/>
    </row>
    <row r="51">
      <c r="A51" s="13" t="n"/>
      <c r="B51" s="13" t="n"/>
      <c r="C51" s="13" t="n"/>
      <c r="D51" s="7" t="n"/>
      <c r="E51" s="13" t="n"/>
      <c r="F51" s="13" t="n"/>
      <c r="G51" s="13" t="n"/>
      <c r="H51" s="13" t="n"/>
      <c r="I51" s="7" t="n"/>
      <c r="J51" s="14" t="n"/>
      <c r="K51" s="14" t="n"/>
      <c r="L51" s="7" t="n"/>
      <c r="M51" s="15" t="n"/>
      <c r="N51" s="7" t="n"/>
      <c r="O51" s="16" t="n"/>
      <c r="P51" s="7" t="n"/>
      <c r="Q51" s="7" t="n"/>
      <c r="R51" s="15" t="n"/>
      <c r="S51" s="15" t="n"/>
      <c r="T51" s="15" t="n"/>
      <c r="U51" s="13" t="n"/>
    </row>
    <row r="52">
      <c r="A52" s="13" t="n"/>
      <c r="B52" s="13" t="n"/>
      <c r="C52" s="13" t="n"/>
      <c r="D52" s="7" t="n"/>
      <c r="E52" s="13" t="n"/>
      <c r="F52" s="13" t="n"/>
      <c r="G52" s="13" t="n"/>
      <c r="H52" s="13" t="n"/>
      <c r="I52" s="7" t="n"/>
      <c r="J52" s="14" t="n"/>
      <c r="K52" s="14" t="n"/>
      <c r="L52" s="7" t="n"/>
      <c r="M52" s="15" t="n"/>
      <c r="N52" s="7" t="n"/>
      <c r="O52" s="16" t="n"/>
      <c r="P52" s="7" t="n"/>
      <c r="Q52" s="7" t="n"/>
      <c r="R52" s="15" t="n"/>
      <c r="S52" s="15" t="n"/>
      <c r="T52" s="15" t="n"/>
      <c r="U52" s="13" t="n"/>
    </row>
    <row r="53">
      <c r="A53" s="13" t="n"/>
      <c r="B53" s="13" t="n"/>
      <c r="C53" s="13" t="n"/>
      <c r="D53" s="7" t="n"/>
      <c r="E53" s="13" t="n"/>
      <c r="F53" s="13" t="n"/>
      <c r="G53" s="13" t="n"/>
      <c r="H53" s="13" t="n"/>
      <c r="I53" s="7" t="n"/>
      <c r="J53" s="14" t="n"/>
      <c r="K53" s="14" t="n"/>
      <c r="L53" s="7" t="n"/>
      <c r="M53" s="15" t="n"/>
      <c r="N53" s="7" t="n"/>
      <c r="O53" s="16" t="n"/>
      <c r="P53" s="7" t="n"/>
      <c r="Q53" s="7" t="n"/>
      <c r="R53" s="15" t="n"/>
      <c r="S53" s="15" t="n"/>
      <c r="T53" s="15" t="n"/>
      <c r="U53" s="13" t="n"/>
    </row>
    <row r="54">
      <c r="A54" s="13" t="n"/>
      <c r="B54" s="13" t="n"/>
      <c r="C54" s="13" t="n"/>
      <c r="D54" s="7" t="n"/>
      <c r="E54" s="13" t="n"/>
      <c r="F54" s="13" t="n"/>
      <c r="G54" s="13" t="n"/>
      <c r="H54" s="13" t="n"/>
      <c r="I54" s="7" t="n"/>
      <c r="J54" s="14" t="n"/>
      <c r="K54" s="14" t="n"/>
      <c r="L54" s="7" t="n"/>
      <c r="M54" s="15" t="n"/>
      <c r="N54" s="7" t="n"/>
      <c r="O54" s="16" t="n"/>
      <c r="P54" s="7" t="n"/>
      <c r="Q54" s="7" t="n"/>
      <c r="R54" s="15" t="n"/>
      <c r="S54" s="15" t="n"/>
      <c r="T54" s="15" t="n"/>
      <c r="U54" s="13" t="n"/>
    </row>
    <row r="55">
      <c r="A55" s="13" t="n"/>
      <c r="B55" s="13" t="n"/>
      <c r="C55" s="13" t="n"/>
      <c r="D55" s="7" t="n"/>
      <c r="E55" s="13" t="n"/>
      <c r="F55" s="13" t="n"/>
      <c r="G55" s="13" t="n"/>
      <c r="H55" s="13" t="n"/>
      <c r="I55" s="7" t="n"/>
      <c r="J55" s="14" t="n"/>
      <c r="K55" s="14" t="n"/>
      <c r="L55" s="7" t="n"/>
      <c r="M55" s="15" t="n"/>
      <c r="N55" s="7" t="n"/>
      <c r="O55" s="16" t="n"/>
      <c r="P55" s="7" t="n"/>
      <c r="Q55" s="7" t="n"/>
      <c r="R55" s="15" t="n"/>
      <c r="S55" s="15" t="n"/>
      <c r="T55" s="15" t="n"/>
      <c r="U55" s="13" t="n"/>
    </row>
    <row r="56">
      <c r="A56" s="13" t="n"/>
      <c r="B56" s="13" t="n"/>
      <c r="C56" s="13" t="n"/>
      <c r="D56" s="7" t="n"/>
      <c r="E56" s="13" t="n"/>
      <c r="F56" s="13" t="n"/>
      <c r="G56" s="13" t="n"/>
      <c r="H56" s="13" t="n"/>
      <c r="I56" s="7" t="n"/>
      <c r="J56" s="14" t="n"/>
      <c r="K56" s="14" t="n"/>
      <c r="L56" s="7" t="n"/>
      <c r="M56" s="15" t="n"/>
      <c r="N56" s="7" t="n"/>
      <c r="O56" s="16" t="n"/>
      <c r="P56" s="7" t="n"/>
      <c r="Q56" s="7" t="n"/>
      <c r="R56" s="15" t="n"/>
      <c r="S56" s="15" t="n"/>
      <c r="T56" s="15" t="n"/>
      <c r="U56" s="13" t="n"/>
    </row>
    <row r="57">
      <c r="A57" s="13" t="n"/>
      <c r="B57" s="13" t="n"/>
      <c r="C57" s="13" t="n"/>
      <c r="D57" s="7" t="n"/>
      <c r="E57" s="13" t="n"/>
      <c r="F57" s="13" t="n"/>
      <c r="G57" s="13" t="n"/>
      <c r="H57" s="13" t="n"/>
      <c r="I57" s="7" t="n"/>
      <c r="J57" s="14" t="n"/>
      <c r="K57" s="14" t="n"/>
      <c r="L57" s="7" t="n"/>
      <c r="M57" s="15" t="n"/>
      <c r="N57" s="7" t="n"/>
      <c r="O57" s="16" t="n"/>
      <c r="P57" s="7" t="n"/>
      <c r="Q57" s="7" t="n"/>
      <c r="R57" s="15" t="n"/>
      <c r="S57" s="15" t="n"/>
      <c r="T57" s="15" t="n"/>
      <c r="U57" s="13" t="n"/>
    </row>
    <row r="58">
      <c r="A58" s="13" t="n"/>
      <c r="B58" s="13" t="n"/>
      <c r="C58" s="13" t="n"/>
      <c r="D58" s="7" t="n"/>
      <c r="E58" s="13" t="n"/>
      <c r="F58" s="13" t="n"/>
      <c r="G58" s="13" t="n"/>
      <c r="H58" s="13" t="n"/>
      <c r="I58" s="7" t="n"/>
      <c r="J58" s="14" t="n"/>
      <c r="K58" s="14" t="n"/>
      <c r="L58" s="7" t="n"/>
      <c r="M58" s="15" t="n"/>
      <c r="N58" s="7" t="n"/>
      <c r="O58" s="16" t="n"/>
      <c r="P58" s="7" t="n"/>
      <c r="Q58" s="7" t="n"/>
      <c r="R58" s="15" t="n"/>
      <c r="S58" s="15" t="n"/>
      <c r="T58" s="15" t="n"/>
      <c r="U58" s="13" t="n"/>
    </row>
    <row r="59">
      <c r="A59" s="13" t="n"/>
      <c r="B59" s="13" t="n"/>
      <c r="C59" s="13" t="n"/>
      <c r="D59" s="7" t="n"/>
      <c r="E59" s="13" t="n"/>
      <c r="F59" s="13" t="n"/>
      <c r="G59" s="13" t="n"/>
      <c r="H59" s="13" t="n"/>
      <c r="I59" s="7" t="n"/>
      <c r="J59" s="14" t="n"/>
      <c r="K59" s="14" t="n"/>
      <c r="L59" s="7" t="n"/>
      <c r="M59" s="15" t="n"/>
      <c r="N59" s="7" t="n"/>
      <c r="O59" s="16" t="n"/>
      <c r="P59" s="7" t="n"/>
      <c r="Q59" s="7" t="n"/>
      <c r="R59" s="15" t="n"/>
      <c r="S59" s="15" t="n"/>
      <c r="T59" s="15" t="n"/>
      <c r="U59" s="13" t="n"/>
    </row>
    <row r="60">
      <c r="A60" s="13" t="n"/>
      <c r="B60" s="13" t="n"/>
      <c r="C60" s="13" t="n"/>
      <c r="D60" s="7" t="n"/>
      <c r="E60" s="13" t="n"/>
      <c r="F60" s="13" t="n"/>
      <c r="G60" s="13" t="n"/>
      <c r="H60" s="13" t="n"/>
      <c r="I60" s="7" t="n"/>
      <c r="J60" s="14" t="n"/>
      <c r="K60" s="14" t="n"/>
      <c r="L60" s="7" t="n"/>
      <c r="M60" s="15" t="n"/>
      <c r="N60" s="7" t="n"/>
      <c r="O60" s="16" t="n"/>
      <c r="P60" s="7" t="n"/>
      <c r="Q60" s="7" t="n"/>
      <c r="R60" s="15" t="n"/>
      <c r="S60" s="15" t="n"/>
      <c r="T60" s="15" t="n"/>
      <c r="U60" s="13" t="n"/>
    </row>
    <row r="61">
      <c r="A61" s="13" t="n"/>
      <c r="B61" s="13" t="n"/>
      <c r="C61" s="13" t="n"/>
      <c r="D61" s="7" t="n"/>
      <c r="E61" s="13" t="n"/>
      <c r="F61" s="13" t="n"/>
      <c r="G61" s="13" t="n"/>
      <c r="H61" s="13" t="n"/>
      <c r="I61" s="7" t="n"/>
      <c r="J61" s="14" t="n"/>
      <c r="K61" s="14" t="n"/>
      <c r="L61" s="7" t="n"/>
      <c r="M61" s="15" t="n"/>
      <c r="N61" s="7" t="n"/>
      <c r="O61" s="16" t="n"/>
      <c r="P61" s="7" t="n"/>
      <c r="Q61" s="7" t="n"/>
      <c r="R61" s="15" t="n"/>
      <c r="S61" s="15" t="n"/>
      <c r="T61" s="15" t="n"/>
      <c r="U61" s="13" t="n"/>
    </row>
    <row r="62">
      <c r="A62" s="13" t="n"/>
      <c r="B62" s="13" t="n"/>
      <c r="C62" s="13" t="n"/>
      <c r="D62" s="7" t="n"/>
      <c r="E62" s="13" t="n"/>
      <c r="F62" s="13" t="n"/>
      <c r="G62" s="13" t="n"/>
      <c r="H62" s="13" t="n"/>
      <c r="I62" s="7" t="n"/>
      <c r="J62" s="14" t="n"/>
      <c r="K62" s="14" t="n"/>
      <c r="L62" s="7" t="n"/>
      <c r="M62" s="15" t="n"/>
      <c r="N62" s="7" t="n"/>
      <c r="O62" s="16" t="n"/>
      <c r="P62" s="7" t="n"/>
      <c r="Q62" s="7" t="n"/>
      <c r="R62" s="15" t="n"/>
      <c r="S62" s="15" t="n"/>
      <c r="T62" s="15" t="n"/>
      <c r="U62" s="13" t="n"/>
    </row>
    <row r="63">
      <c r="A63" s="13" t="n"/>
      <c r="B63" s="13" t="n"/>
      <c r="C63" s="13" t="n"/>
      <c r="D63" s="7" t="n"/>
      <c r="E63" s="13" t="n"/>
      <c r="F63" s="13" t="n"/>
      <c r="G63" s="13" t="n"/>
      <c r="H63" s="13" t="n"/>
      <c r="I63" s="7" t="n"/>
      <c r="J63" s="14" t="n"/>
      <c r="K63" s="14" t="n"/>
      <c r="L63" s="7" t="n"/>
      <c r="M63" s="15" t="n"/>
      <c r="N63" s="7" t="n"/>
      <c r="O63" s="16" t="n"/>
      <c r="P63" s="7" t="n"/>
      <c r="Q63" s="7" t="n"/>
      <c r="R63" s="15" t="n"/>
      <c r="S63" s="15" t="n"/>
      <c r="T63" s="15" t="n"/>
      <c r="U63" s="13" t="n"/>
    </row>
    <row r="64">
      <c r="A64" s="13" t="n"/>
      <c r="B64" s="13" t="n"/>
      <c r="C64" s="13" t="n"/>
      <c r="D64" s="7" t="n"/>
      <c r="E64" s="13" t="n"/>
      <c r="F64" s="13" t="n"/>
      <c r="G64" s="13" t="n"/>
      <c r="H64" s="13" t="n"/>
      <c r="I64" s="7" t="n"/>
      <c r="J64" s="14" t="n"/>
      <c r="K64" s="14" t="n"/>
      <c r="L64" s="7" t="n"/>
      <c r="M64" s="15" t="n"/>
      <c r="N64" s="7" t="n"/>
      <c r="O64" s="16" t="n"/>
      <c r="P64" s="7" t="n"/>
      <c r="Q64" s="7" t="n"/>
      <c r="R64" s="15" t="n"/>
      <c r="S64" s="15" t="n"/>
      <c r="T64" s="15" t="n"/>
      <c r="U64" s="13" t="n"/>
    </row>
    <row r="65">
      <c r="A65" s="13" t="n"/>
      <c r="B65" s="13" t="n"/>
      <c r="C65" s="13" t="n"/>
      <c r="D65" s="7" t="n"/>
      <c r="E65" s="13" t="n"/>
      <c r="F65" s="13" t="n"/>
      <c r="G65" s="13" t="n"/>
      <c r="H65" s="13" t="n"/>
      <c r="I65" s="7" t="n"/>
      <c r="J65" s="14" t="n"/>
      <c r="K65" s="14" t="n"/>
      <c r="L65" s="7" t="n"/>
      <c r="M65" s="15" t="n"/>
      <c r="N65" s="7" t="n"/>
      <c r="O65" s="16" t="n"/>
      <c r="P65" s="7" t="n"/>
      <c r="Q65" s="7" t="n"/>
      <c r="R65" s="15" t="n"/>
      <c r="S65" s="15" t="n"/>
      <c r="T65" s="15" t="n"/>
      <c r="U65" s="13" t="n"/>
    </row>
    <row r="66">
      <c r="A66" s="13" t="n"/>
      <c r="B66" s="13" t="n"/>
      <c r="C66" s="13" t="n"/>
      <c r="D66" s="7" t="n"/>
      <c r="E66" s="13" t="n"/>
      <c r="F66" s="13" t="n"/>
      <c r="G66" s="13" t="n"/>
      <c r="H66" s="13" t="n"/>
      <c r="I66" s="7" t="n"/>
      <c r="J66" s="14" t="n"/>
      <c r="K66" s="14" t="n"/>
      <c r="L66" s="7" t="n"/>
      <c r="M66" s="15" t="n"/>
      <c r="N66" s="7" t="n"/>
      <c r="O66" s="16" t="n"/>
      <c r="P66" s="7" t="n"/>
      <c r="Q66" s="7" t="n"/>
      <c r="R66" s="15" t="n"/>
      <c r="S66" s="15" t="n"/>
      <c r="T66" s="15" t="n"/>
      <c r="U66" s="13" t="n"/>
    </row>
    <row r="67">
      <c r="A67" s="13" t="n"/>
      <c r="B67" s="13" t="n"/>
      <c r="C67" s="13" t="n"/>
      <c r="D67" s="7" t="n"/>
      <c r="E67" s="13" t="n"/>
      <c r="F67" s="13" t="n"/>
      <c r="G67" s="13" t="n"/>
      <c r="H67" s="13" t="n"/>
      <c r="I67" s="7" t="n"/>
      <c r="J67" s="14" t="n"/>
      <c r="K67" s="14" t="n"/>
      <c r="L67" s="7" t="n"/>
      <c r="M67" s="15" t="n"/>
      <c r="N67" s="7" t="n"/>
      <c r="O67" s="16" t="n"/>
      <c r="P67" s="7" t="n"/>
      <c r="Q67" s="7" t="n"/>
      <c r="R67" s="15" t="n"/>
      <c r="S67" s="15" t="n"/>
      <c r="T67" s="15" t="n"/>
      <c r="U67" s="13" t="n"/>
    </row>
    <row r="68">
      <c r="A68" s="13" t="n"/>
      <c r="B68" s="13" t="n"/>
      <c r="C68" s="13" t="n"/>
      <c r="D68" s="7" t="n"/>
      <c r="E68" s="13" t="n"/>
      <c r="F68" s="13" t="n"/>
      <c r="G68" s="13" t="n"/>
      <c r="H68" s="13" t="n"/>
      <c r="I68" s="7" t="n"/>
      <c r="J68" s="14" t="n"/>
      <c r="K68" s="14" t="n"/>
      <c r="L68" s="7" t="n"/>
      <c r="M68" s="15" t="n"/>
      <c r="N68" s="7" t="n"/>
      <c r="O68" s="16" t="n"/>
      <c r="P68" s="7" t="n"/>
      <c r="Q68" s="7" t="n"/>
      <c r="R68" s="15" t="n"/>
      <c r="S68" s="15" t="n"/>
      <c r="T68" s="15" t="n"/>
      <c r="U68" s="13" t="n"/>
    </row>
    <row r="69">
      <c r="A69" s="13" t="n"/>
      <c r="B69" s="13" t="n"/>
      <c r="C69" s="13" t="n"/>
      <c r="D69" s="7" t="n"/>
      <c r="E69" s="13" t="n"/>
      <c r="F69" s="13" t="n"/>
      <c r="G69" s="13" t="n"/>
      <c r="H69" s="13" t="n"/>
      <c r="I69" s="7" t="n"/>
      <c r="J69" s="14" t="n"/>
      <c r="K69" s="14" t="n"/>
      <c r="L69" s="7" t="n"/>
      <c r="M69" s="15" t="n"/>
      <c r="N69" s="7" t="n"/>
      <c r="O69" s="16" t="n"/>
      <c r="P69" s="7" t="n"/>
      <c r="Q69" s="7" t="n"/>
      <c r="R69" s="15" t="n"/>
      <c r="S69" s="15" t="n"/>
      <c r="T69" s="15" t="n"/>
      <c r="U69" s="13" t="n"/>
    </row>
    <row r="70">
      <c r="A70" s="13" t="n"/>
      <c r="B70" s="13" t="n"/>
      <c r="C70" s="13" t="n"/>
      <c r="D70" s="7" t="n"/>
      <c r="E70" s="13" t="n"/>
      <c r="F70" s="13" t="n"/>
      <c r="G70" s="13" t="n"/>
      <c r="H70" s="13" t="n"/>
      <c r="I70" s="7" t="n"/>
      <c r="J70" s="14" t="n"/>
      <c r="K70" s="14" t="n"/>
      <c r="L70" s="7" t="n"/>
      <c r="M70" s="15" t="n"/>
      <c r="N70" s="7" t="n"/>
      <c r="O70" s="16" t="n"/>
      <c r="P70" s="7" t="n"/>
      <c r="Q70" s="7" t="n"/>
      <c r="R70" s="15" t="n"/>
      <c r="S70" s="15" t="n"/>
      <c r="T70" s="15" t="n"/>
      <c r="U70" s="13" t="n"/>
    </row>
    <row r="71">
      <c r="A71" s="13" t="n"/>
      <c r="B71" s="13" t="n"/>
      <c r="C71" s="13" t="n"/>
      <c r="D71" s="7" t="n"/>
      <c r="E71" s="13" t="n"/>
      <c r="F71" s="13" t="n"/>
      <c r="G71" s="13" t="n"/>
      <c r="H71" s="13" t="n"/>
      <c r="I71" s="7" t="n"/>
      <c r="J71" s="14" t="n"/>
      <c r="K71" s="14" t="n"/>
      <c r="L71" s="7" t="n"/>
      <c r="M71" s="15" t="n"/>
      <c r="N71" s="7" t="n"/>
      <c r="O71" s="16" t="n"/>
      <c r="P71" s="7" t="n"/>
      <c r="Q71" s="7" t="n"/>
      <c r="R71" s="15" t="n"/>
      <c r="S71" s="15" t="n"/>
      <c r="T71" s="15" t="n"/>
      <c r="U71" s="13" t="n"/>
    </row>
    <row r="72">
      <c r="A72" s="13" t="n"/>
      <c r="B72" s="13" t="n"/>
      <c r="C72" s="13" t="n"/>
      <c r="D72" s="7" t="n"/>
      <c r="E72" s="13" t="n"/>
      <c r="F72" s="13" t="n"/>
      <c r="G72" s="13" t="n"/>
      <c r="H72" s="13" t="n"/>
      <c r="I72" s="7" t="n"/>
      <c r="J72" s="14" t="n"/>
      <c r="K72" s="14" t="n"/>
      <c r="L72" s="7" t="n"/>
      <c r="M72" s="15" t="n"/>
      <c r="N72" s="7" t="n"/>
      <c r="O72" s="16" t="n"/>
      <c r="P72" s="7" t="n"/>
      <c r="Q72" s="7" t="n"/>
      <c r="R72" s="15" t="n"/>
      <c r="S72" s="15" t="n"/>
      <c r="T72" s="15" t="n"/>
      <c r="U72" s="13" t="n"/>
    </row>
    <row r="73">
      <c r="A73" s="13" t="n"/>
      <c r="B73" s="13" t="n"/>
      <c r="C73" s="13" t="n"/>
      <c r="D73" s="7" t="n"/>
      <c r="E73" s="13" t="n"/>
      <c r="F73" s="13" t="n"/>
      <c r="G73" s="13" t="n"/>
      <c r="H73" s="13" t="n"/>
      <c r="I73" s="7" t="n"/>
      <c r="J73" s="14" t="n"/>
      <c r="K73" s="14" t="n"/>
      <c r="L73" s="7" t="n"/>
      <c r="M73" s="15" t="n"/>
      <c r="N73" s="7" t="n"/>
      <c r="O73" s="16" t="n"/>
      <c r="P73" s="7" t="n"/>
      <c r="Q73" s="7" t="n"/>
      <c r="R73" s="15" t="n"/>
      <c r="S73" s="15" t="n"/>
      <c r="T73" s="15" t="n"/>
      <c r="U73" s="13" t="n"/>
    </row>
    <row r="74">
      <c r="A74" s="13" t="n"/>
      <c r="B74" s="13" t="n"/>
      <c r="C74" s="13" t="n"/>
      <c r="D74" s="7" t="n"/>
      <c r="E74" s="13" t="n"/>
      <c r="F74" s="13" t="n"/>
      <c r="G74" s="13" t="n"/>
      <c r="H74" s="13" t="n"/>
      <c r="I74" s="7" t="n"/>
      <c r="J74" s="14" t="n"/>
      <c r="K74" s="14" t="n"/>
      <c r="L74" s="7" t="n"/>
      <c r="M74" s="15" t="n"/>
      <c r="N74" s="7" t="n"/>
      <c r="O74" s="16" t="n"/>
      <c r="P74" s="7" t="n"/>
      <c r="Q74" s="7" t="n"/>
      <c r="R74" s="15" t="n"/>
      <c r="S74" s="15" t="n"/>
      <c r="T74" s="15" t="n"/>
      <c r="U74" s="13" t="n"/>
    </row>
    <row r="75">
      <c r="A75" s="13" t="n"/>
      <c r="B75" s="13" t="n"/>
      <c r="C75" s="13" t="n"/>
      <c r="D75" s="7" t="n"/>
      <c r="E75" s="13" t="n"/>
      <c r="F75" s="13" t="n"/>
      <c r="G75" s="13" t="n"/>
      <c r="H75" s="13" t="n"/>
      <c r="I75" s="7" t="n"/>
      <c r="J75" s="14" t="n"/>
      <c r="K75" s="14" t="n"/>
      <c r="L75" s="7" t="n"/>
      <c r="M75" s="15" t="n"/>
      <c r="N75" s="7" t="n"/>
      <c r="O75" s="16" t="n"/>
      <c r="P75" s="7" t="n"/>
      <c r="Q75" s="7" t="n"/>
      <c r="R75" s="15" t="n"/>
      <c r="S75" s="15" t="n"/>
      <c r="T75" s="15" t="n"/>
      <c r="U75" s="13" t="n"/>
    </row>
    <row r="76">
      <c r="A76" s="13" t="n"/>
      <c r="B76" s="13" t="n"/>
      <c r="C76" s="13" t="n"/>
      <c r="D76" s="7" t="n"/>
      <c r="E76" s="13" t="n"/>
      <c r="F76" s="13" t="n"/>
      <c r="G76" s="13" t="n"/>
      <c r="H76" s="13" t="n"/>
      <c r="I76" s="7" t="n"/>
      <c r="J76" s="14" t="n"/>
      <c r="K76" s="14" t="n"/>
      <c r="L76" s="7" t="n"/>
      <c r="M76" s="15" t="n"/>
      <c r="N76" s="7" t="n"/>
      <c r="O76" s="16" t="n"/>
      <c r="P76" s="7" t="n"/>
      <c r="Q76" s="7" t="n"/>
      <c r="R76" s="15" t="n"/>
      <c r="S76" s="15" t="n"/>
      <c r="T76" s="15" t="n"/>
      <c r="U76" s="13" t="n"/>
    </row>
    <row r="77">
      <c r="A77" s="13" t="n"/>
      <c r="B77" s="13" t="n"/>
      <c r="C77" s="13" t="n"/>
      <c r="D77" s="7" t="n"/>
      <c r="E77" s="13" t="n"/>
      <c r="F77" s="13" t="n"/>
      <c r="G77" s="13" t="n"/>
      <c r="H77" s="13" t="n"/>
      <c r="I77" s="7" t="n"/>
      <c r="J77" s="14" t="n"/>
      <c r="K77" s="14" t="n"/>
      <c r="L77" s="7" t="n"/>
      <c r="M77" s="15" t="n"/>
      <c r="N77" s="7" t="n"/>
      <c r="O77" s="16" t="n"/>
      <c r="P77" s="7" t="n"/>
      <c r="Q77" s="7" t="n"/>
      <c r="R77" s="15" t="n"/>
      <c r="S77" s="15" t="n"/>
      <c r="T77" s="15" t="n"/>
      <c r="U77" s="13" t="n"/>
    </row>
    <row r="78">
      <c r="A78" s="13" t="n"/>
      <c r="B78" s="13" t="n"/>
      <c r="C78" s="13" t="n"/>
      <c r="D78" s="7" t="n"/>
      <c r="E78" s="13" t="n"/>
      <c r="F78" s="13" t="n"/>
      <c r="G78" s="13" t="n"/>
      <c r="H78" s="13" t="n"/>
      <c r="I78" s="7" t="n"/>
      <c r="J78" s="14" t="n"/>
      <c r="K78" s="14" t="n"/>
      <c r="L78" s="7" t="n"/>
      <c r="M78" s="15" t="n"/>
      <c r="N78" s="7" t="n"/>
      <c r="O78" s="16" t="n"/>
      <c r="P78" s="7" t="n"/>
      <c r="Q78" s="7" t="n"/>
      <c r="R78" s="15" t="n"/>
      <c r="S78" s="15" t="n"/>
      <c r="T78" s="15" t="n"/>
      <c r="U78" s="13" t="n"/>
    </row>
    <row r="79">
      <c r="A79" s="13" t="n"/>
      <c r="B79" s="13" t="n"/>
      <c r="C79" s="13" t="n"/>
      <c r="D79" s="7" t="n"/>
      <c r="E79" s="13" t="n"/>
      <c r="F79" s="13" t="n"/>
      <c r="G79" s="13" t="n"/>
      <c r="H79" s="13" t="n"/>
      <c r="I79" s="7" t="n"/>
      <c r="J79" s="14" t="n"/>
      <c r="K79" s="14" t="n"/>
      <c r="L79" s="7" t="n"/>
      <c r="M79" s="15" t="n"/>
      <c r="N79" s="7" t="n"/>
      <c r="O79" s="16" t="n"/>
      <c r="P79" s="7" t="n"/>
      <c r="Q79" s="7" t="n"/>
      <c r="R79" s="15" t="n"/>
      <c r="S79" s="15" t="n"/>
      <c r="T79" s="15" t="n"/>
      <c r="U79" s="13" t="n"/>
    </row>
    <row r="80">
      <c r="A80" s="13" t="n"/>
      <c r="B80" s="13" t="n"/>
      <c r="C80" s="13" t="n"/>
      <c r="D80" s="7" t="n"/>
      <c r="E80" s="13" t="n"/>
      <c r="F80" s="13" t="n"/>
      <c r="G80" s="13" t="n"/>
      <c r="H80" s="13" t="n"/>
      <c r="I80" s="7" t="n"/>
      <c r="J80" s="14" t="n"/>
      <c r="K80" s="14" t="n"/>
      <c r="L80" s="7" t="n"/>
      <c r="M80" s="15" t="n"/>
      <c r="N80" s="7" t="n"/>
      <c r="O80" s="16" t="n"/>
      <c r="P80" s="7" t="n"/>
      <c r="Q80" s="7" t="n"/>
      <c r="R80" s="15" t="n"/>
      <c r="S80" s="15" t="n"/>
      <c r="T80" s="15" t="n"/>
      <c r="U80" s="13" t="n"/>
    </row>
    <row r="81">
      <c r="A81" s="13" t="n"/>
      <c r="B81" s="13" t="n"/>
      <c r="C81" s="13" t="n"/>
      <c r="D81" s="7" t="n"/>
      <c r="E81" s="13" t="n"/>
      <c r="F81" s="13" t="n"/>
      <c r="G81" s="13" t="n"/>
      <c r="H81" s="13" t="n"/>
      <c r="I81" s="7" t="n"/>
      <c r="J81" s="14" t="n"/>
      <c r="K81" s="14" t="n"/>
      <c r="L81" s="7" t="n"/>
      <c r="M81" s="15" t="n"/>
      <c r="N81" s="7" t="n"/>
      <c r="O81" s="16" t="n"/>
      <c r="P81" s="7" t="n"/>
      <c r="Q81" s="7" t="n"/>
      <c r="R81" s="15" t="n"/>
      <c r="S81" s="15" t="n"/>
      <c r="T81" s="15" t="n"/>
      <c r="U81" s="13" t="n"/>
    </row>
    <row r="82">
      <c r="A82" s="13" t="n"/>
      <c r="B82" s="13" t="n"/>
      <c r="C82" s="13" t="n"/>
      <c r="D82" s="7" t="n"/>
      <c r="E82" s="13" t="n"/>
      <c r="F82" s="13" t="n"/>
      <c r="G82" s="13" t="n"/>
      <c r="H82" s="13" t="n"/>
      <c r="I82" s="7" t="n"/>
      <c r="J82" s="14" t="n"/>
      <c r="K82" s="14" t="n"/>
      <c r="L82" s="7" t="n"/>
      <c r="M82" s="15" t="n"/>
      <c r="N82" s="7" t="n"/>
      <c r="O82" s="16" t="n"/>
      <c r="P82" s="7" t="n"/>
      <c r="Q82" s="7" t="n"/>
      <c r="R82" s="15" t="n"/>
      <c r="S82" s="15" t="n"/>
      <c r="T82" s="15" t="n"/>
      <c r="U82" s="13" t="n"/>
    </row>
    <row r="83">
      <c r="A83" s="13" t="n"/>
      <c r="B83" s="13" t="n"/>
      <c r="C83" s="13" t="n"/>
      <c r="D83" s="7" t="n"/>
      <c r="E83" s="13" t="n"/>
      <c r="F83" s="13" t="n"/>
      <c r="G83" s="13" t="n"/>
      <c r="H83" s="13" t="n"/>
      <c r="I83" s="7" t="n"/>
      <c r="J83" s="14" t="n"/>
      <c r="K83" s="14" t="n"/>
      <c r="L83" s="7" t="n"/>
      <c r="M83" s="15" t="n"/>
      <c r="N83" s="7" t="n"/>
      <c r="O83" s="16" t="n"/>
      <c r="P83" s="7" t="n"/>
      <c r="Q83" s="7" t="n"/>
      <c r="R83" s="15" t="n"/>
      <c r="S83" s="15" t="n"/>
      <c r="T83" s="15" t="n"/>
      <c r="U83" s="13" t="n"/>
    </row>
    <row r="84">
      <c r="A84" s="13" t="n"/>
      <c r="B84" s="13" t="n"/>
      <c r="C84" s="13" t="n"/>
      <c r="D84" s="7" t="n"/>
      <c r="E84" s="13" t="n"/>
      <c r="F84" s="13" t="n"/>
      <c r="G84" s="13" t="n"/>
      <c r="H84" s="13" t="n"/>
      <c r="I84" s="7" t="n"/>
      <c r="J84" s="14" t="n"/>
      <c r="K84" s="14" t="n"/>
      <c r="L84" s="7" t="n"/>
      <c r="M84" s="15" t="n"/>
      <c r="N84" s="7" t="n"/>
      <c r="O84" s="16" t="n"/>
      <c r="P84" s="7" t="n"/>
      <c r="Q84" s="7" t="n"/>
      <c r="R84" s="15" t="n"/>
      <c r="S84" s="15" t="n"/>
      <c r="T84" s="15" t="n"/>
      <c r="U84" s="13" t="n"/>
    </row>
    <row r="85">
      <c r="A85" s="13" t="n"/>
      <c r="B85" s="13" t="n"/>
      <c r="C85" s="13" t="n"/>
      <c r="D85" s="7" t="n"/>
      <c r="E85" s="13" t="n"/>
      <c r="F85" s="13" t="n"/>
      <c r="G85" s="13" t="n"/>
      <c r="H85" s="13" t="n"/>
      <c r="I85" s="7" t="n"/>
      <c r="J85" s="14" t="n"/>
      <c r="K85" s="14" t="n"/>
      <c r="L85" s="7" t="n"/>
      <c r="M85" s="15" t="n"/>
      <c r="N85" s="7" t="n"/>
      <c r="O85" s="16" t="n"/>
      <c r="P85" s="7" t="n"/>
      <c r="Q85" s="7" t="n"/>
      <c r="R85" s="15" t="n"/>
      <c r="S85" s="15" t="n"/>
      <c r="T85" s="15" t="n"/>
      <c r="U85" s="13" t="n"/>
    </row>
    <row r="86">
      <c r="A86" s="13" t="n"/>
      <c r="B86" s="13" t="n"/>
      <c r="C86" s="13" t="n"/>
      <c r="D86" s="7" t="n"/>
      <c r="E86" s="13" t="n"/>
      <c r="F86" s="13" t="n"/>
      <c r="G86" s="13" t="n"/>
      <c r="H86" s="13" t="n"/>
      <c r="I86" s="7" t="n"/>
      <c r="J86" s="14" t="n"/>
      <c r="K86" s="14" t="n"/>
      <c r="L86" s="7" t="n"/>
      <c r="M86" s="15" t="n"/>
      <c r="N86" s="7" t="n"/>
      <c r="O86" s="16" t="n"/>
      <c r="P86" s="7" t="n"/>
      <c r="Q86" s="7" t="n"/>
      <c r="R86" s="15" t="n"/>
      <c r="S86" s="15" t="n"/>
      <c r="T86" s="15" t="n"/>
      <c r="U86" s="13" t="n"/>
    </row>
    <row r="87">
      <c r="A87" s="13" t="n"/>
      <c r="B87" s="13" t="n"/>
      <c r="C87" s="13" t="n"/>
      <c r="D87" s="7" t="n"/>
      <c r="E87" s="13" t="n"/>
      <c r="F87" s="13" t="n"/>
      <c r="G87" s="13" t="n"/>
      <c r="H87" s="13" t="n"/>
      <c r="I87" s="7" t="n"/>
      <c r="J87" s="14" t="n"/>
      <c r="K87" s="14" t="n"/>
      <c r="L87" s="7" t="n"/>
      <c r="M87" s="15" t="n"/>
      <c r="N87" s="7" t="n"/>
      <c r="O87" s="16" t="n"/>
      <c r="P87" s="7" t="n"/>
      <c r="Q87" s="7" t="n"/>
      <c r="R87" s="15" t="n"/>
      <c r="S87" s="15" t="n"/>
      <c r="T87" s="15" t="n"/>
      <c r="U87" s="13" t="n"/>
    </row>
    <row r="88">
      <c r="A88" s="13" t="n"/>
      <c r="B88" s="13" t="n"/>
      <c r="C88" s="13" t="n"/>
      <c r="D88" s="7" t="n"/>
      <c r="E88" s="13" t="n"/>
      <c r="F88" s="13" t="n"/>
      <c r="G88" s="13" t="n"/>
      <c r="H88" s="13" t="n"/>
      <c r="I88" s="7" t="n"/>
      <c r="J88" s="14" t="n"/>
      <c r="K88" s="14" t="n"/>
      <c r="L88" s="7" t="n"/>
      <c r="M88" s="15" t="n"/>
      <c r="N88" s="7" t="n"/>
      <c r="O88" s="16" t="n"/>
      <c r="P88" s="7" t="n"/>
      <c r="Q88" s="7" t="n"/>
      <c r="R88" s="15" t="n"/>
      <c r="S88" s="15" t="n"/>
      <c r="T88" s="15" t="n"/>
      <c r="U88" s="13" t="n"/>
    </row>
    <row r="89">
      <c r="A89" s="13" t="n"/>
      <c r="B89" s="13" t="n"/>
      <c r="C89" s="13" t="n"/>
      <c r="D89" s="7" t="n"/>
      <c r="E89" s="13" t="n"/>
      <c r="F89" s="13" t="n"/>
      <c r="G89" s="13" t="n"/>
      <c r="H89" s="13" t="n"/>
      <c r="I89" s="7" t="n"/>
      <c r="J89" s="14" t="n"/>
      <c r="K89" s="14" t="n"/>
      <c r="L89" s="7" t="n"/>
      <c r="M89" s="15" t="n"/>
      <c r="N89" s="7" t="n"/>
      <c r="O89" s="16" t="n"/>
      <c r="P89" s="7" t="n"/>
      <c r="Q89" s="7" t="n"/>
      <c r="R89" s="15" t="n"/>
      <c r="S89" s="15" t="n"/>
      <c r="T89" s="15" t="n"/>
      <c r="U89" s="13" t="n"/>
    </row>
    <row r="90">
      <c r="A90" s="13" t="n"/>
      <c r="B90" s="13" t="n"/>
      <c r="C90" s="13" t="n"/>
      <c r="D90" s="7" t="n"/>
      <c r="E90" s="13" t="n"/>
      <c r="F90" s="13" t="n"/>
      <c r="G90" s="13" t="n"/>
      <c r="H90" s="13" t="n"/>
      <c r="I90" s="7" t="n"/>
      <c r="J90" s="14" t="n"/>
      <c r="K90" s="14" t="n"/>
      <c r="L90" s="7" t="n"/>
      <c r="M90" s="15" t="n"/>
      <c r="N90" s="7" t="n"/>
      <c r="O90" s="16" t="n"/>
      <c r="P90" s="7" t="n"/>
      <c r="Q90" s="7" t="n"/>
      <c r="R90" s="15" t="n"/>
      <c r="S90" s="15" t="n"/>
      <c r="T90" s="15" t="n"/>
      <c r="U90" s="13" t="n"/>
    </row>
    <row r="91">
      <c r="A91" s="13" t="n"/>
      <c r="B91" s="13" t="n"/>
      <c r="C91" s="13" t="n"/>
      <c r="D91" s="7" t="n"/>
      <c r="E91" s="13" t="n"/>
      <c r="F91" s="13" t="n"/>
      <c r="G91" s="13" t="n"/>
      <c r="H91" s="13" t="n"/>
      <c r="I91" s="7" t="n"/>
      <c r="J91" s="14" t="n"/>
      <c r="K91" s="14" t="n"/>
      <c r="L91" s="7" t="n"/>
      <c r="M91" s="15" t="n"/>
      <c r="N91" s="7" t="n"/>
      <c r="O91" s="16" t="n"/>
      <c r="P91" s="7" t="n"/>
      <c r="Q91" s="7" t="n"/>
      <c r="R91" s="15" t="n"/>
      <c r="S91" s="15" t="n"/>
      <c r="T91" s="15" t="n"/>
      <c r="U91" s="13" t="n"/>
    </row>
    <row r="92">
      <c r="A92" s="13" t="n"/>
      <c r="B92" s="13" t="n"/>
      <c r="C92" s="13" t="n"/>
      <c r="D92" s="7" t="n"/>
      <c r="E92" s="13" t="n"/>
      <c r="F92" s="13" t="n"/>
      <c r="G92" s="13" t="n"/>
      <c r="H92" s="13" t="n"/>
      <c r="I92" s="7" t="n"/>
      <c r="J92" s="14" t="n"/>
      <c r="K92" s="14" t="n"/>
      <c r="L92" s="7" t="n"/>
      <c r="M92" s="15" t="n"/>
      <c r="N92" s="7" t="n"/>
      <c r="O92" s="16" t="n"/>
      <c r="P92" s="7" t="n"/>
      <c r="Q92" s="7" t="n"/>
      <c r="R92" s="15" t="n"/>
      <c r="S92" s="15" t="n"/>
      <c r="T92" s="15" t="n"/>
      <c r="U92" s="13" t="n"/>
    </row>
    <row r="93">
      <c r="A93" s="13" t="n"/>
      <c r="B93" s="13" t="n"/>
      <c r="C93" s="13" t="n"/>
      <c r="D93" s="7" t="n"/>
      <c r="E93" s="13" t="n"/>
      <c r="F93" s="13" t="n"/>
      <c r="G93" s="13" t="n"/>
      <c r="H93" s="13" t="n"/>
      <c r="I93" s="7" t="n"/>
      <c r="J93" s="14" t="n"/>
      <c r="K93" s="14" t="n"/>
      <c r="L93" s="7" t="n"/>
      <c r="M93" s="15" t="n"/>
      <c r="N93" s="7" t="n"/>
      <c r="O93" s="16" t="n"/>
      <c r="P93" s="7" t="n"/>
      <c r="Q93" s="7" t="n"/>
      <c r="R93" s="15" t="n"/>
      <c r="S93" s="15" t="n"/>
      <c r="T93" s="15" t="n"/>
      <c r="U93" s="13" t="n"/>
    </row>
    <row r="94">
      <c r="A94" s="13" t="n"/>
      <c r="B94" s="13" t="n"/>
      <c r="C94" s="13" t="n"/>
      <c r="D94" s="7" t="n"/>
      <c r="E94" s="13" t="n"/>
      <c r="F94" s="13" t="n"/>
      <c r="G94" s="13" t="n"/>
      <c r="H94" s="13" t="n"/>
      <c r="I94" s="7" t="n"/>
      <c r="J94" s="14" t="n"/>
      <c r="K94" s="14" t="n"/>
      <c r="L94" s="7" t="n"/>
      <c r="M94" s="15" t="n"/>
      <c r="N94" s="7" t="n"/>
      <c r="O94" s="16" t="n"/>
      <c r="P94" s="7" t="n"/>
      <c r="Q94" s="7" t="n"/>
      <c r="R94" s="15" t="n"/>
      <c r="S94" s="15" t="n"/>
      <c r="T94" s="15" t="n"/>
      <c r="U94" s="13" t="n"/>
    </row>
    <row r="95">
      <c r="A95" s="13" t="n"/>
      <c r="B95" s="13" t="n"/>
      <c r="C95" s="13" t="n"/>
      <c r="D95" s="7" t="n"/>
      <c r="E95" s="13" t="n"/>
      <c r="F95" s="13" t="n"/>
      <c r="G95" s="13" t="n"/>
      <c r="H95" s="13" t="n"/>
      <c r="I95" s="7" t="n"/>
      <c r="J95" s="14" t="n"/>
      <c r="K95" s="14" t="n"/>
      <c r="L95" s="7" t="n"/>
      <c r="M95" s="15" t="n"/>
      <c r="N95" s="7" t="n"/>
      <c r="O95" s="16" t="n"/>
      <c r="P95" s="7" t="n"/>
      <c r="Q95" s="7" t="n"/>
      <c r="R95" s="15" t="n"/>
      <c r="S95" s="15" t="n"/>
      <c r="T95" s="15" t="n"/>
      <c r="U95" s="13" t="n"/>
    </row>
    <row r="96">
      <c r="A96" s="13" t="n"/>
      <c r="B96" s="13" t="n"/>
      <c r="C96" s="13" t="n"/>
      <c r="D96" s="7" t="n"/>
      <c r="E96" s="13" t="n"/>
      <c r="F96" s="13" t="n"/>
      <c r="G96" s="13" t="n"/>
      <c r="H96" s="13" t="n"/>
      <c r="I96" s="7" t="n"/>
      <c r="J96" s="14" t="n"/>
      <c r="K96" s="14" t="n"/>
      <c r="L96" s="7" t="n"/>
      <c r="M96" s="15" t="n"/>
      <c r="N96" s="7" t="n"/>
      <c r="O96" s="16" t="n"/>
      <c r="P96" s="7" t="n"/>
      <c r="Q96" s="7" t="n"/>
      <c r="R96" s="15" t="n"/>
      <c r="S96" s="15" t="n"/>
      <c r="T96" s="15" t="n"/>
      <c r="U96" s="13" t="n"/>
    </row>
    <row r="97">
      <c r="A97" s="13" t="n"/>
      <c r="B97" s="13" t="n"/>
      <c r="C97" s="13" t="n"/>
      <c r="D97" s="7" t="n"/>
      <c r="E97" s="13" t="n"/>
      <c r="F97" s="13" t="n"/>
      <c r="G97" s="13" t="n"/>
      <c r="H97" s="13" t="n"/>
      <c r="I97" s="7" t="n"/>
      <c r="J97" s="14" t="n"/>
      <c r="K97" s="14" t="n"/>
      <c r="L97" s="7" t="n"/>
      <c r="M97" s="15" t="n"/>
      <c r="N97" s="7" t="n"/>
      <c r="O97" s="16" t="n"/>
      <c r="P97" s="7" t="n"/>
      <c r="Q97" s="7" t="n"/>
      <c r="R97" s="15" t="n"/>
      <c r="S97" s="15" t="n"/>
      <c r="T97" s="15" t="n"/>
      <c r="U97" s="13" t="n"/>
    </row>
    <row r="98">
      <c r="A98" s="13" t="n"/>
      <c r="B98" s="13" t="n"/>
      <c r="C98" s="13" t="n"/>
      <c r="D98" s="7" t="n"/>
      <c r="E98" s="13" t="n"/>
      <c r="F98" s="13" t="n"/>
      <c r="G98" s="13" t="n"/>
      <c r="H98" s="13" t="n"/>
      <c r="I98" s="7" t="n"/>
      <c r="J98" s="14" t="n"/>
      <c r="K98" s="14" t="n"/>
      <c r="L98" s="7" t="n"/>
      <c r="M98" s="15" t="n"/>
      <c r="N98" s="7" t="n"/>
      <c r="O98" s="16" t="n"/>
      <c r="P98" s="7" t="n"/>
      <c r="Q98" s="7" t="n"/>
      <c r="R98" s="15" t="n"/>
      <c r="S98" s="15" t="n"/>
      <c r="T98" s="15" t="n"/>
      <c r="U98" s="13" t="n"/>
    </row>
    <row r="99">
      <c r="A99" s="13" t="n"/>
      <c r="B99" s="13" t="n"/>
      <c r="C99" s="13" t="n"/>
      <c r="D99" s="7" t="n"/>
      <c r="E99" s="13" t="n"/>
      <c r="F99" s="13" t="n"/>
      <c r="G99" s="13" t="n"/>
      <c r="H99" s="13" t="n"/>
      <c r="I99" s="7" t="n"/>
      <c r="J99" s="14" t="n"/>
      <c r="K99" s="14" t="n"/>
      <c r="L99" s="7" t="n"/>
      <c r="M99" s="15" t="n"/>
      <c r="N99" s="7" t="n"/>
      <c r="O99" s="16" t="n"/>
      <c r="P99" s="7" t="n"/>
      <c r="Q99" s="7" t="n"/>
      <c r="R99" s="15" t="n"/>
      <c r="S99" s="15" t="n"/>
      <c r="T99" s="15" t="n"/>
      <c r="U99" s="13" t="n"/>
    </row>
    <row r="100">
      <c r="A100" s="13" t="n"/>
      <c r="B100" s="13" t="n"/>
      <c r="C100" s="13" t="n"/>
      <c r="D100" s="7" t="n"/>
      <c r="E100" s="13" t="n"/>
      <c r="F100" s="13" t="n"/>
      <c r="G100" s="13" t="n"/>
      <c r="H100" s="13" t="n"/>
      <c r="I100" s="7" t="n"/>
      <c r="J100" s="14" t="n"/>
      <c r="K100" s="14" t="n"/>
      <c r="L100" s="7" t="n"/>
      <c r="M100" s="15" t="n"/>
      <c r="N100" s="7" t="n"/>
      <c r="O100" s="16" t="n"/>
      <c r="P100" s="7" t="n"/>
      <c r="Q100" s="7" t="n"/>
      <c r="R100" s="15" t="n"/>
      <c r="S100" s="15" t="n"/>
      <c r="T100" s="15" t="n"/>
      <c r="U100" s="13" t="n"/>
    </row>
    <row r="101">
      <c r="A101" s="13" t="n"/>
      <c r="B101" s="13" t="n"/>
      <c r="C101" s="13" t="n"/>
      <c r="D101" s="7" t="n"/>
      <c r="E101" s="13" t="n"/>
      <c r="F101" s="13" t="n"/>
      <c r="G101" s="13" t="n"/>
      <c r="H101" s="13" t="n"/>
      <c r="I101" s="7" t="n"/>
      <c r="J101" s="14" t="n"/>
      <c r="K101" s="14" t="n"/>
      <c r="L101" s="7" t="n"/>
      <c r="M101" s="15" t="n"/>
      <c r="N101" s="7" t="n"/>
      <c r="O101" s="16" t="n"/>
      <c r="P101" s="7" t="n"/>
      <c r="Q101" s="7" t="n"/>
      <c r="R101" s="15" t="n"/>
      <c r="S101" s="15" t="n"/>
      <c r="T101" s="15" t="n"/>
      <c r="U101" s="13" t="n"/>
    </row>
    <row r="102">
      <c r="A102" s="13" t="n"/>
      <c r="B102" s="13" t="n"/>
      <c r="C102" s="13" t="n"/>
      <c r="D102" s="7" t="n"/>
      <c r="E102" s="13" t="n"/>
      <c r="F102" s="13" t="n"/>
      <c r="G102" s="13" t="n"/>
      <c r="H102" s="13" t="n"/>
      <c r="I102" s="7" t="n"/>
      <c r="J102" s="14" t="n"/>
      <c r="K102" s="14" t="n"/>
      <c r="L102" s="7" t="n"/>
      <c r="M102" s="15" t="n"/>
      <c r="N102" s="7" t="n"/>
      <c r="O102" s="16" t="n"/>
      <c r="P102" s="7" t="n"/>
      <c r="Q102" s="7" t="n"/>
      <c r="R102" s="15" t="n"/>
      <c r="S102" s="15" t="n"/>
      <c r="T102" s="15" t="n"/>
      <c r="U102" s="13" t="n"/>
    </row>
    <row r="103">
      <c r="A103" s="13" t="n"/>
      <c r="B103" s="13" t="n"/>
      <c r="C103" s="13" t="n"/>
      <c r="D103" s="7" t="n"/>
      <c r="E103" s="13" t="n"/>
      <c r="F103" s="13" t="n"/>
      <c r="G103" s="13" t="n"/>
      <c r="H103" s="13" t="n"/>
      <c r="I103" s="7" t="n"/>
      <c r="J103" s="14" t="n"/>
      <c r="K103" s="14" t="n"/>
      <c r="L103" s="7" t="n"/>
      <c r="M103" s="15" t="n"/>
      <c r="N103" s="7" t="n"/>
      <c r="O103" s="16" t="n"/>
      <c r="P103" s="7" t="n"/>
      <c r="Q103" s="7" t="n"/>
      <c r="R103" s="15" t="n"/>
      <c r="S103" s="15" t="n"/>
      <c r="T103" s="15" t="n"/>
      <c r="U103" s="13" t="n"/>
    </row>
    <row r="104">
      <c r="A104" s="13" t="n"/>
      <c r="B104" s="13" t="n"/>
      <c r="C104" s="13" t="n"/>
      <c r="D104" s="7" t="n"/>
      <c r="E104" s="13" t="n"/>
      <c r="F104" s="13" t="n"/>
      <c r="G104" s="13" t="n"/>
      <c r="H104" s="13" t="n"/>
      <c r="I104" s="7" t="n"/>
      <c r="J104" s="14" t="n"/>
      <c r="K104" s="14" t="n"/>
      <c r="L104" s="7" t="n"/>
      <c r="M104" s="15" t="n"/>
      <c r="N104" s="7" t="n"/>
      <c r="O104" s="16" t="n"/>
      <c r="P104" s="7" t="n"/>
      <c r="Q104" s="7" t="n"/>
      <c r="R104" s="15" t="n"/>
      <c r="S104" s="15" t="n"/>
      <c r="T104" s="15" t="n"/>
      <c r="U104" s="13" t="n"/>
    </row>
    <row r="105">
      <c r="A105" s="13" t="n"/>
      <c r="B105" s="13" t="n"/>
      <c r="C105" s="13" t="n"/>
      <c r="D105" s="7" t="n"/>
      <c r="E105" s="13" t="n"/>
      <c r="F105" s="13" t="n"/>
      <c r="G105" s="13" t="n"/>
      <c r="H105" s="13" t="n"/>
      <c r="I105" s="7" t="n"/>
      <c r="J105" s="14" t="n"/>
      <c r="K105" s="14" t="n"/>
      <c r="L105" s="7" t="n"/>
      <c r="M105" s="15" t="n"/>
      <c r="N105" s="7" t="n"/>
      <c r="O105" s="16" t="n"/>
      <c r="P105" s="7" t="n"/>
      <c r="Q105" s="7" t="n"/>
      <c r="R105" s="15" t="n"/>
      <c r="S105" s="15" t="n"/>
      <c r="T105" s="15" t="n"/>
      <c r="U105" s="13" t="n"/>
    </row>
    <row r="106">
      <c r="A106" s="13" t="n"/>
      <c r="B106" s="13" t="n"/>
      <c r="C106" s="13" t="n"/>
      <c r="D106" s="7" t="n"/>
      <c r="E106" s="13" t="n"/>
      <c r="F106" s="13" t="n"/>
      <c r="G106" s="13" t="n"/>
      <c r="H106" s="13" t="n"/>
      <c r="I106" s="7" t="n"/>
      <c r="J106" s="14" t="n"/>
      <c r="K106" s="14" t="n"/>
      <c r="L106" s="7" t="n"/>
      <c r="M106" s="15" t="n"/>
      <c r="N106" s="7" t="n"/>
      <c r="O106" s="16" t="n"/>
      <c r="P106" s="7" t="n"/>
      <c r="Q106" s="7" t="n"/>
      <c r="R106" s="15" t="n"/>
      <c r="S106" s="15" t="n"/>
      <c r="T106" s="15" t="n"/>
      <c r="U106" s="13" t="n"/>
    </row>
    <row r="107">
      <c r="A107" s="13" t="n"/>
      <c r="B107" s="13" t="n"/>
      <c r="C107" s="13" t="n"/>
      <c r="D107" s="7" t="n"/>
      <c r="E107" s="13" t="n"/>
      <c r="F107" s="13" t="n"/>
      <c r="G107" s="13" t="n"/>
      <c r="H107" s="13" t="n"/>
      <c r="I107" s="7" t="n"/>
      <c r="J107" s="14" t="n"/>
      <c r="K107" s="14" t="n"/>
      <c r="L107" s="7" t="n"/>
      <c r="M107" s="15" t="n"/>
      <c r="N107" s="7" t="n"/>
      <c r="O107" s="16" t="n"/>
      <c r="P107" s="7" t="n"/>
      <c r="Q107" s="7" t="n"/>
      <c r="R107" s="15" t="n"/>
      <c r="S107" s="15" t="n"/>
      <c r="T107" s="15" t="n"/>
      <c r="U107" s="13" t="n"/>
    </row>
    <row r="108">
      <c r="A108" s="13" t="n"/>
      <c r="B108" s="13" t="n"/>
      <c r="C108" s="13" t="n"/>
      <c r="D108" s="7" t="n"/>
      <c r="E108" s="13" t="n"/>
      <c r="F108" s="13" t="n"/>
      <c r="G108" s="13" t="n"/>
      <c r="H108" s="13" t="n"/>
      <c r="I108" s="7" t="n"/>
      <c r="J108" s="14" t="n"/>
      <c r="K108" s="14" t="n"/>
      <c r="L108" s="7" t="n"/>
      <c r="M108" s="15" t="n"/>
      <c r="N108" s="7" t="n"/>
      <c r="O108" s="16" t="n"/>
      <c r="P108" s="7" t="n"/>
      <c r="Q108" s="7" t="n"/>
      <c r="R108" s="15" t="n"/>
      <c r="S108" s="15" t="n"/>
      <c r="T108" s="15" t="n"/>
      <c r="U108" s="13" t="n"/>
    </row>
    <row r="109">
      <c r="A109" s="13" t="n"/>
      <c r="B109" s="13" t="n"/>
      <c r="C109" s="13" t="n"/>
      <c r="D109" s="7" t="n"/>
      <c r="E109" s="13" t="n"/>
      <c r="F109" s="13" t="n"/>
      <c r="G109" s="13" t="n"/>
      <c r="H109" s="13" t="n"/>
      <c r="I109" s="7" t="n"/>
      <c r="J109" s="14" t="n"/>
      <c r="K109" s="14" t="n"/>
      <c r="L109" s="7" t="n"/>
      <c r="M109" s="15" t="n"/>
      <c r="N109" s="7" t="n"/>
      <c r="O109" s="16" t="n"/>
      <c r="P109" s="7" t="n"/>
      <c r="Q109" s="7" t="n"/>
      <c r="R109" s="15" t="n"/>
      <c r="S109" s="15" t="n"/>
      <c r="T109" s="15" t="n"/>
      <c r="U109" s="13" t="n"/>
    </row>
    <row r="110">
      <c r="A110" s="13" t="n"/>
      <c r="B110" s="13" t="n"/>
      <c r="C110" s="13" t="n"/>
      <c r="D110" s="7" t="n"/>
      <c r="E110" s="13" t="n"/>
      <c r="F110" s="13" t="n"/>
      <c r="G110" s="13" t="n"/>
      <c r="H110" s="13" t="n"/>
      <c r="I110" s="7" t="n"/>
      <c r="J110" s="14" t="n"/>
      <c r="K110" s="14" t="n"/>
      <c r="L110" s="7" t="n"/>
      <c r="M110" s="15" t="n"/>
      <c r="N110" s="7" t="n"/>
      <c r="O110" s="16" t="n"/>
      <c r="P110" s="7" t="n"/>
      <c r="Q110" s="7" t="n"/>
      <c r="R110" s="15" t="n"/>
      <c r="S110" s="15" t="n"/>
      <c r="T110" s="15" t="n"/>
      <c r="U110" s="13" t="n"/>
    </row>
    <row r="111">
      <c r="A111" s="13" t="n"/>
      <c r="B111" s="13" t="n"/>
      <c r="C111" s="13" t="n"/>
      <c r="D111" s="7" t="n"/>
      <c r="E111" s="13" t="n"/>
      <c r="F111" s="13" t="n"/>
      <c r="G111" s="13" t="n"/>
      <c r="H111" s="13" t="n"/>
      <c r="I111" s="7" t="n"/>
      <c r="J111" s="14" t="n"/>
      <c r="K111" s="14" t="n"/>
      <c r="L111" s="7" t="n"/>
      <c r="M111" s="15" t="n"/>
      <c r="N111" s="7" t="n"/>
      <c r="O111" s="16" t="n"/>
      <c r="P111" s="7" t="n"/>
      <c r="Q111" s="7" t="n"/>
      <c r="R111" s="15" t="n"/>
      <c r="S111" s="15" t="n"/>
      <c r="T111" s="15" t="n"/>
      <c r="U111" s="13" t="n"/>
    </row>
    <row r="112">
      <c r="A112" s="13" t="n"/>
      <c r="B112" s="13" t="n"/>
      <c r="C112" s="13" t="n"/>
      <c r="D112" s="7" t="n"/>
      <c r="E112" s="13" t="n"/>
      <c r="F112" s="13" t="n"/>
      <c r="G112" s="13" t="n"/>
      <c r="H112" s="13" t="n"/>
      <c r="I112" s="7" t="n"/>
      <c r="J112" s="14" t="n"/>
      <c r="K112" s="14" t="n"/>
      <c r="L112" s="7" t="n"/>
      <c r="M112" s="15" t="n"/>
      <c r="N112" s="7" t="n"/>
      <c r="O112" s="16" t="n"/>
      <c r="P112" s="7" t="n"/>
      <c r="Q112" s="7" t="n"/>
      <c r="R112" s="15" t="n"/>
      <c r="S112" s="15" t="n"/>
      <c r="T112" s="15" t="n"/>
      <c r="U112" s="13" t="n"/>
    </row>
    <row r="113">
      <c r="A113" s="13" t="n"/>
      <c r="B113" s="13" t="n"/>
      <c r="C113" s="13" t="n"/>
      <c r="D113" s="7" t="n"/>
      <c r="E113" s="13" t="n"/>
      <c r="F113" s="13" t="n"/>
      <c r="G113" s="13" t="n"/>
      <c r="H113" s="13" t="n"/>
      <c r="I113" s="7" t="n"/>
      <c r="J113" s="14" t="n"/>
      <c r="K113" s="14" t="n"/>
      <c r="L113" s="7" t="n"/>
      <c r="M113" s="15" t="n"/>
      <c r="N113" s="7" t="n"/>
      <c r="O113" s="16" t="n"/>
      <c r="P113" s="7" t="n"/>
      <c r="Q113" s="7" t="n"/>
      <c r="R113" s="15" t="n"/>
      <c r="S113" s="15" t="n"/>
      <c r="T113" s="15" t="n"/>
      <c r="U113" s="13" t="n"/>
    </row>
    <row r="114">
      <c r="A114" s="13" t="n"/>
      <c r="B114" s="13" t="n"/>
      <c r="C114" s="13" t="n"/>
      <c r="D114" s="7" t="n"/>
      <c r="E114" s="13" t="n"/>
      <c r="F114" s="13" t="n"/>
      <c r="G114" s="13" t="n"/>
      <c r="H114" s="13" t="n"/>
      <c r="I114" s="7" t="n"/>
      <c r="J114" s="14" t="n"/>
      <c r="K114" s="14" t="n"/>
      <c r="L114" s="7" t="n"/>
      <c r="M114" s="15" t="n"/>
      <c r="N114" s="7" t="n"/>
      <c r="O114" s="16" t="n"/>
      <c r="P114" s="7" t="n"/>
      <c r="Q114" s="7" t="n"/>
      <c r="R114" s="15" t="n"/>
      <c r="S114" s="15" t="n"/>
      <c r="T114" s="15" t="n"/>
      <c r="U114" s="13" t="n"/>
    </row>
    <row r="115">
      <c r="A115" s="13" t="n"/>
      <c r="B115" s="13" t="n"/>
      <c r="C115" s="13" t="n"/>
      <c r="D115" s="7" t="n"/>
      <c r="E115" s="13" t="n"/>
      <c r="F115" s="13" t="n"/>
      <c r="G115" s="13" t="n"/>
      <c r="H115" s="13" t="n"/>
      <c r="I115" s="7" t="n"/>
      <c r="J115" s="14" t="n"/>
      <c r="K115" s="14" t="n"/>
      <c r="L115" s="7" t="n"/>
      <c r="M115" s="15" t="n"/>
      <c r="N115" s="7" t="n"/>
      <c r="O115" s="16" t="n"/>
      <c r="P115" s="7" t="n"/>
      <c r="Q115" s="7" t="n"/>
      <c r="R115" s="15" t="n"/>
      <c r="S115" s="15" t="n"/>
      <c r="T115" s="15" t="n"/>
      <c r="U115" s="13" t="n"/>
    </row>
    <row r="116">
      <c r="A116" s="13" t="n"/>
      <c r="B116" s="13" t="n"/>
      <c r="C116" s="13" t="n"/>
      <c r="D116" s="7" t="n"/>
      <c r="E116" s="13" t="n"/>
      <c r="F116" s="13" t="n"/>
      <c r="G116" s="13" t="n"/>
      <c r="H116" s="13" t="n"/>
      <c r="I116" s="7" t="n"/>
      <c r="J116" s="14" t="n"/>
      <c r="K116" s="14" t="n"/>
      <c r="L116" s="7" t="n"/>
      <c r="M116" s="15" t="n"/>
      <c r="N116" s="7" t="n"/>
      <c r="O116" s="16" t="n"/>
      <c r="P116" s="7" t="n"/>
      <c r="Q116" s="7" t="n"/>
      <c r="R116" s="15" t="n"/>
      <c r="S116" s="15" t="n"/>
      <c r="T116" s="15" t="n"/>
      <c r="U116" s="13" t="n"/>
    </row>
    <row r="117">
      <c r="A117" s="13" t="n"/>
      <c r="B117" s="13" t="n"/>
      <c r="C117" s="13" t="n"/>
      <c r="D117" s="7" t="n"/>
      <c r="E117" s="13" t="n"/>
      <c r="F117" s="13" t="n"/>
      <c r="G117" s="13" t="n"/>
      <c r="H117" s="13" t="n"/>
      <c r="I117" s="7" t="n"/>
      <c r="J117" s="14" t="n"/>
      <c r="K117" s="14" t="n"/>
      <c r="L117" s="7" t="n"/>
      <c r="M117" s="15" t="n"/>
      <c r="N117" s="7" t="n"/>
      <c r="O117" s="16" t="n"/>
      <c r="P117" s="7" t="n"/>
      <c r="Q117" s="7" t="n"/>
      <c r="R117" s="15" t="n"/>
      <c r="S117" s="15" t="n"/>
      <c r="T117" s="15" t="n"/>
      <c r="U117" s="13" t="n"/>
    </row>
    <row r="118">
      <c r="A118" s="13" t="n"/>
      <c r="B118" s="13" t="n"/>
      <c r="C118" s="13" t="n"/>
      <c r="D118" s="7" t="n"/>
      <c r="E118" s="13" t="n"/>
      <c r="F118" s="13" t="n"/>
      <c r="G118" s="13" t="n"/>
      <c r="H118" s="13" t="n"/>
      <c r="I118" s="7" t="n"/>
      <c r="J118" s="14" t="n"/>
      <c r="K118" s="14" t="n"/>
      <c r="L118" s="7" t="n"/>
      <c r="M118" s="15" t="n"/>
      <c r="N118" s="7" t="n"/>
      <c r="O118" s="16" t="n"/>
      <c r="P118" s="7" t="n"/>
      <c r="Q118" s="7" t="n"/>
      <c r="R118" s="15" t="n"/>
      <c r="S118" s="15" t="n"/>
      <c r="T118" s="15" t="n"/>
      <c r="U118" s="13" t="n"/>
    </row>
    <row r="119">
      <c r="A119" s="13" t="n"/>
      <c r="B119" s="13" t="n"/>
      <c r="C119" s="13" t="n"/>
      <c r="D119" s="7" t="n"/>
      <c r="E119" s="13" t="n"/>
      <c r="F119" s="13" t="n"/>
      <c r="G119" s="13" t="n"/>
      <c r="H119" s="13" t="n"/>
      <c r="I119" s="7" t="n"/>
      <c r="J119" s="14" t="n"/>
      <c r="K119" s="14" t="n"/>
      <c r="L119" s="7" t="n"/>
      <c r="M119" s="15" t="n"/>
      <c r="N119" s="7" t="n"/>
      <c r="O119" s="16" t="n"/>
      <c r="P119" s="7" t="n"/>
      <c r="Q119" s="7" t="n"/>
      <c r="R119" s="15" t="n"/>
      <c r="S119" s="15" t="n"/>
      <c r="T119" s="15" t="n"/>
      <c r="U119" s="13" t="n"/>
    </row>
    <row r="120">
      <c r="A120" s="13" t="n"/>
      <c r="B120" s="13" t="n"/>
      <c r="C120" s="13" t="n"/>
      <c r="D120" s="7" t="n"/>
      <c r="E120" s="13" t="n"/>
      <c r="F120" s="13" t="n"/>
      <c r="G120" s="13" t="n"/>
      <c r="H120" s="13" t="n"/>
      <c r="I120" s="7" t="n"/>
      <c r="J120" s="14" t="n"/>
      <c r="K120" s="14" t="n"/>
      <c r="L120" s="7" t="n"/>
      <c r="M120" s="15" t="n"/>
      <c r="N120" s="7" t="n"/>
      <c r="O120" s="16" t="n"/>
      <c r="P120" s="7" t="n"/>
      <c r="Q120" s="7" t="n"/>
      <c r="R120" s="15" t="n"/>
      <c r="S120" s="15" t="n"/>
      <c r="T120" s="15" t="n"/>
      <c r="U120" s="13" t="n"/>
    </row>
    <row r="121">
      <c r="A121" s="13" t="n"/>
      <c r="B121" s="13" t="n"/>
      <c r="C121" s="13" t="n"/>
      <c r="D121" s="7" t="n"/>
      <c r="E121" s="13" t="n"/>
      <c r="F121" s="13" t="n"/>
      <c r="G121" s="13" t="n"/>
      <c r="H121" s="13" t="n"/>
      <c r="I121" s="7" t="n"/>
      <c r="J121" s="14" t="n"/>
      <c r="K121" s="14" t="n"/>
      <c r="L121" s="7" t="n"/>
      <c r="M121" s="15" t="n"/>
      <c r="N121" s="7" t="n"/>
      <c r="O121" s="16" t="n"/>
      <c r="P121" s="7" t="n"/>
      <c r="Q121" s="7" t="n"/>
      <c r="R121" s="15" t="n"/>
      <c r="S121" s="15" t="n"/>
      <c r="T121" s="15" t="n"/>
      <c r="U121" s="13" t="n"/>
    </row>
    <row r="122">
      <c r="A122" s="13" t="n"/>
      <c r="B122" s="13" t="n"/>
      <c r="C122" s="13" t="n"/>
      <c r="D122" s="7" t="n"/>
      <c r="E122" s="13" t="n"/>
      <c r="F122" s="13" t="n"/>
      <c r="G122" s="13" t="n"/>
      <c r="H122" s="13" t="n"/>
      <c r="I122" s="7" t="n"/>
      <c r="J122" s="14" t="n"/>
      <c r="K122" s="14" t="n"/>
      <c r="L122" s="7" t="n"/>
      <c r="M122" s="15" t="n"/>
      <c r="N122" s="7" t="n"/>
      <c r="O122" s="16" t="n"/>
      <c r="P122" s="7" t="n"/>
      <c r="Q122" s="7" t="n"/>
      <c r="R122" s="15" t="n"/>
      <c r="S122" s="15" t="n"/>
      <c r="T122" s="15" t="n"/>
      <c r="U122" s="13" t="n"/>
    </row>
    <row r="123">
      <c r="A123" s="13" t="n"/>
      <c r="B123" s="13" t="n"/>
      <c r="C123" s="13" t="n"/>
      <c r="D123" s="7" t="n"/>
      <c r="E123" s="13" t="n"/>
      <c r="F123" s="13" t="n"/>
      <c r="G123" s="13" t="n"/>
      <c r="H123" s="13" t="n"/>
      <c r="I123" s="7" t="n"/>
      <c r="J123" s="14" t="n"/>
      <c r="K123" s="14" t="n"/>
      <c r="L123" s="7" t="n"/>
      <c r="M123" s="15" t="n"/>
      <c r="N123" s="7" t="n"/>
      <c r="O123" s="16" t="n"/>
      <c r="P123" s="7" t="n"/>
      <c r="Q123" s="7" t="n"/>
      <c r="R123" s="15" t="n"/>
      <c r="S123" s="15" t="n"/>
      <c r="T123" s="15" t="n"/>
      <c r="U123" s="13" t="n"/>
    </row>
    <row r="124">
      <c r="A124" s="13" t="n"/>
      <c r="B124" s="13" t="n"/>
      <c r="C124" s="13" t="n"/>
      <c r="D124" s="7" t="n"/>
      <c r="E124" s="13" t="n"/>
      <c r="F124" s="13" t="n"/>
      <c r="G124" s="13" t="n"/>
      <c r="H124" s="13" t="n"/>
      <c r="I124" s="7" t="n"/>
      <c r="J124" s="14" t="n"/>
      <c r="K124" s="14" t="n"/>
      <c r="L124" s="7" t="n"/>
      <c r="M124" s="15" t="n"/>
      <c r="N124" s="7" t="n"/>
      <c r="O124" s="16" t="n"/>
      <c r="P124" s="7" t="n"/>
      <c r="Q124" s="7" t="n"/>
      <c r="R124" s="15" t="n"/>
      <c r="S124" s="15" t="n"/>
      <c r="T124" s="15" t="n"/>
      <c r="U124" s="13" t="n"/>
    </row>
    <row r="125">
      <c r="A125" s="13" t="n"/>
      <c r="B125" s="13" t="n"/>
      <c r="C125" s="13" t="n"/>
      <c r="D125" s="7" t="n"/>
      <c r="E125" s="13" t="n"/>
      <c r="F125" s="13" t="n"/>
      <c r="G125" s="13" t="n"/>
      <c r="H125" s="13" t="n"/>
      <c r="I125" s="7" t="n"/>
      <c r="J125" s="14" t="n"/>
      <c r="K125" s="14" t="n"/>
      <c r="L125" s="7" t="n"/>
      <c r="M125" s="15" t="n"/>
      <c r="N125" s="7" t="n"/>
      <c r="O125" s="16" t="n"/>
      <c r="P125" s="7" t="n"/>
      <c r="Q125" s="7" t="n"/>
      <c r="R125" s="15" t="n"/>
      <c r="S125" s="15" t="n"/>
      <c r="T125" s="15" t="n"/>
      <c r="U125" s="13" t="n"/>
    </row>
    <row r="126">
      <c r="A126" s="13" t="n"/>
      <c r="B126" s="13" t="n"/>
      <c r="C126" s="13" t="n"/>
      <c r="D126" s="7" t="n"/>
      <c r="E126" s="13" t="n"/>
      <c r="F126" s="13" t="n"/>
      <c r="G126" s="13" t="n"/>
      <c r="H126" s="13" t="n"/>
      <c r="I126" s="7" t="n"/>
      <c r="J126" s="14" t="n"/>
      <c r="K126" s="14" t="n"/>
      <c r="L126" s="7" t="n"/>
      <c r="M126" s="15" t="n"/>
      <c r="N126" s="7" t="n"/>
      <c r="O126" s="16" t="n"/>
      <c r="P126" s="7" t="n"/>
      <c r="Q126" s="7" t="n"/>
      <c r="R126" s="15" t="n"/>
      <c r="S126" s="15" t="n"/>
      <c r="T126" s="15" t="n"/>
      <c r="U126" s="13" t="n"/>
    </row>
    <row r="127">
      <c r="A127" s="13" t="n"/>
      <c r="B127" s="13" t="n"/>
      <c r="C127" s="13" t="n"/>
      <c r="D127" s="7" t="n"/>
      <c r="E127" s="13" t="n"/>
      <c r="F127" s="13" t="n"/>
      <c r="G127" s="13" t="n"/>
      <c r="H127" s="13" t="n"/>
      <c r="I127" s="7" t="n"/>
      <c r="J127" s="14" t="n"/>
      <c r="K127" s="14" t="n"/>
      <c r="L127" s="7" t="n"/>
      <c r="M127" s="15" t="n"/>
      <c r="N127" s="7" t="n"/>
      <c r="O127" s="16" t="n"/>
      <c r="P127" s="7" t="n"/>
      <c r="Q127" s="7" t="n"/>
      <c r="R127" s="15" t="n"/>
      <c r="S127" s="15" t="n"/>
      <c r="T127" s="15" t="n"/>
      <c r="U127" s="13" t="n"/>
    </row>
    <row r="128">
      <c r="A128" s="13" t="n"/>
      <c r="B128" s="13" t="n"/>
      <c r="C128" s="13" t="n"/>
      <c r="D128" s="7" t="n"/>
      <c r="E128" s="13" t="n"/>
      <c r="F128" s="13" t="n"/>
      <c r="G128" s="13" t="n"/>
      <c r="H128" s="13" t="n"/>
      <c r="I128" s="7" t="n"/>
      <c r="J128" s="14" t="n"/>
      <c r="K128" s="14" t="n"/>
      <c r="L128" s="7" t="n"/>
      <c r="M128" s="15" t="n"/>
      <c r="N128" s="7" t="n"/>
      <c r="O128" s="16" t="n"/>
      <c r="P128" s="7" t="n"/>
      <c r="Q128" s="7" t="n"/>
      <c r="R128" s="15" t="n"/>
      <c r="S128" s="15" t="n"/>
      <c r="T128" s="15" t="n"/>
      <c r="U128" s="13" t="n"/>
    </row>
    <row r="129">
      <c r="A129" s="13" t="n"/>
      <c r="B129" s="13" t="n"/>
      <c r="C129" s="13" t="n"/>
      <c r="D129" s="7" t="n"/>
      <c r="E129" s="13" t="n"/>
      <c r="F129" s="13" t="n"/>
      <c r="G129" s="13" t="n"/>
      <c r="H129" s="13" t="n"/>
      <c r="I129" s="7" t="n"/>
      <c r="J129" s="14" t="n"/>
      <c r="K129" s="14" t="n"/>
      <c r="L129" s="7" t="n"/>
      <c r="M129" s="15" t="n"/>
      <c r="N129" s="7" t="n"/>
      <c r="O129" s="16" t="n"/>
      <c r="P129" s="7" t="n"/>
      <c r="Q129" s="7" t="n"/>
      <c r="R129" s="15" t="n"/>
      <c r="S129" s="15" t="n"/>
      <c r="T129" s="15" t="n"/>
      <c r="U129" s="13" t="n"/>
    </row>
    <row r="130">
      <c r="A130" s="13" t="n"/>
      <c r="B130" s="13" t="n"/>
      <c r="C130" s="13" t="n"/>
      <c r="D130" s="7" t="n"/>
      <c r="E130" s="13" t="n"/>
      <c r="F130" s="13" t="n"/>
      <c r="G130" s="13" t="n"/>
      <c r="H130" s="13" t="n"/>
      <c r="I130" s="7" t="n"/>
      <c r="J130" s="14" t="n"/>
      <c r="K130" s="14" t="n"/>
      <c r="L130" s="7" t="n"/>
      <c r="M130" s="15" t="n"/>
      <c r="N130" s="7" t="n"/>
      <c r="O130" s="16" t="n"/>
      <c r="P130" s="7" t="n"/>
      <c r="Q130" s="7" t="n"/>
      <c r="R130" s="15" t="n"/>
      <c r="S130" s="15" t="n"/>
      <c r="T130" s="15" t="n"/>
      <c r="U130" s="13" t="n"/>
    </row>
    <row r="131">
      <c r="A131" s="13" t="n"/>
      <c r="B131" s="13" t="n"/>
      <c r="C131" s="13" t="n"/>
      <c r="D131" s="7" t="n"/>
      <c r="E131" s="13" t="n"/>
      <c r="F131" s="13" t="n"/>
      <c r="G131" s="13" t="n"/>
      <c r="H131" s="13" t="n"/>
      <c r="I131" s="7" t="n"/>
      <c r="J131" s="14" t="n"/>
      <c r="K131" s="14" t="n"/>
      <c r="L131" s="7" t="n"/>
      <c r="M131" s="15" t="n"/>
      <c r="N131" s="7" t="n"/>
      <c r="O131" s="16" t="n"/>
      <c r="P131" s="7" t="n"/>
      <c r="Q131" s="7" t="n"/>
      <c r="R131" s="15" t="n"/>
      <c r="S131" s="15" t="n"/>
      <c r="T131" s="15" t="n"/>
      <c r="U131" s="13" t="n"/>
    </row>
    <row r="132">
      <c r="A132" s="13" t="n"/>
      <c r="B132" s="13" t="n"/>
      <c r="C132" s="13" t="n"/>
      <c r="D132" s="7" t="n"/>
      <c r="E132" s="13" t="n"/>
      <c r="F132" s="13" t="n"/>
      <c r="G132" s="13" t="n"/>
      <c r="H132" s="13" t="n"/>
      <c r="I132" s="7" t="n"/>
      <c r="J132" s="14" t="n"/>
      <c r="K132" s="14" t="n"/>
      <c r="L132" s="7" t="n"/>
      <c r="M132" s="15" t="n"/>
      <c r="N132" s="7" t="n"/>
      <c r="O132" s="16" t="n"/>
      <c r="P132" s="7" t="n"/>
      <c r="Q132" s="7" t="n"/>
      <c r="R132" s="15" t="n"/>
      <c r="S132" s="15" t="n"/>
      <c r="T132" s="15" t="n"/>
      <c r="U132" s="13" t="n"/>
    </row>
    <row r="133">
      <c r="A133" s="13" t="n"/>
      <c r="B133" s="13" t="n"/>
      <c r="C133" s="13" t="n"/>
      <c r="D133" s="7" t="n"/>
      <c r="E133" s="13" t="n"/>
      <c r="F133" s="13" t="n"/>
      <c r="G133" s="13" t="n"/>
      <c r="H133" s="13" t="n"/>
      <c r="I133" s="7" t="n"/>
      <c r="J133" s="14" t="n"/>
      <c r="K133" s="14" t="n"/>
      <c r="L133" s="7" t="n"/>
      <c r="M133" s="15" t="n"/>
      <c r="N133" s="7" t="n"/>
      <c r="O133" s="16" t="n"/>
      <c r="P133" s="7" t="n"/>
      <c r="Q133" s="7" t="n"/>
      <c r="R133" s="15" t="n"/>
      <c r="S133" s="15" t="n"/>
      <c r="T133" s="15" t="n"/>
      <c r="U133" s="13" t="n"/>
    </row>
    <row r="134">
      <c r="A134" s="13" t="n"/>
      <c r="B134" s="13" t="n"/>
      <c r="C134" s="13" t="n"/>
      <c r="D134" s="7" t="n"/>
      <c r="E134" s="13" t="n"/>
      <c r="F134" s="13" t="n"/>
      <c r="G134" s="13" t="n"/>
      <c r="H134" s="13" t="n"/>
      <c r="I134" s="7" t="n"/>
      <c r="J134" s="14" t="n"/>
      <c r="K134" s="14" t="n"/>
      <c r="L134" s="7" t="n"/>
      <c r="M134" s="15" t="n"/>
      <c r="N134" s="7" t="n"/>
      <c r="O134" s="16" t="n"/>
      <c r="P134" s="7" t="n"/>
      <c r="Q134" s="7" t="n"/>
      <c r="R134" s="15" t="n"/>
      <c r="S134" s="15" t="n"/>
      <c r="T134" s="15" t="n"/>
      <c r="U134" s="13" t="n"/>
    </row>
    <row r="135">
      <c r="A135" s="13" t="n"/>
      <c r="B135" s="13" t="n"/>
      <c r="C135" s="13" t="n"/>
      <c r="D135" s="7" t="n"/>
      <c r="E135" s="13" t="n"/>
      <c r="F135" s="13" t="n"/>
      <c r="G135" s="13" t="n"/>
      <c r="H135" s="13" t="n"/>
      <c r="I135" s="7" t="n"/>
      <c r="J135" s="14" t="n"/>
      <c r="K135" s="14" t="n"/>
      <c r="L135" s="7" t="n"/>
      <c r="M135" s="15" t="n"/>
      <c r="N135" s="7" t="n"/>
      <c r="O135" s="16" t="n"/>
      <c r="P135" s="7" t="n"/>
      <c r="Q135" s="7" t="n"/>
      <c r="R135" s="15" t="n"/>
      <c r="S135" s="15" t="n"/>
      <c r="T135" s="15" t="n"/>
      <c r="U135" s="13" t="n"/>
    </row>
    <row r="136">
      <c r="A136" s="13" t="n"/>
      <c r="B136" s="13" t="n"/>
      <c r="C136" s="13" t="n"/>
      <c r="D136" s="7" t="n"/>
      <c r="E136" s="13" t="n"/>
      <c r="F136" s="13" t="n"/>
      <c r="G136" s="13" t="n"/>
      <c r="H136" s="13" t="n"/>
      <c r="I136" s="7" t="n"/>
      <c r="J136" s="14" t="n"/>
      <c r="K136" s="14" t="n"/>
      <c r="L136" s="7" t="n"/>
      <c r="M136" s="15" t="n"/>
      <c r="N136" s="7" t="n"/>
      <c r="O136" s="16" t="n"/>
      <c r="P136" s="7" t="n"/>
      <c r="Q136" s="7" t="n"/>
      <c r="R136" s="15" t="n"/>
      <c r="S136" s="15" t="n"/>
      <c r="T136" s="15" t="n"/>
      <c r="U136" s="13" t="n"/>
    </row>
    <row r="137">
      <c r="A137" s="13" t="n"/>
      <c r="B137" s="13" t="n"/>
      <c r="C137" s="13" t="n"/>
      <c r="D137" s="7" t="n"/>
      <c r="E137" s="13" t="n"/>
      <c r="F137" s="13" t="n"/>
      <c r="G137" s="13" t="n"/>
      <c r="H137" s="13" t="n"/>
      <c r="I137" s="7" t="n"/>
      <c r="J137" s="14" t="n"/>
      <c r="K137" s="14" t="n"/>
      <c r="L137" s="7" t="n"/>
      <c r="M137" s="15" t="n"/>
      <c r="N137" s="7" t="n"/>
      <c r="O137" s="16" t="n"/>
      <c r="P137" s="7" t="n"/>
      <c r="Q137" s="7" t="n"/>
      <c r="R137" s="15" t="n"/>
      <c r="S137" s="15" t="n"/>
      <c r="T137" s="15" t="n"/>
      <c r="U137" s="13" t="n"/>
    </row>
    <row r="138">
      <c r="A138" s="13" t="n"/>
      <c r="B138" s="13" t="n"/>
      <c r="C138" s="13" t="n"/>
      <c r="D138" s="7" t="n"/>
      <c r="E138" s="13" t="n"/>
      <c r="F138" s="13" t="n"/>
      <c r="G138" s="13" t="n"/>
      <c r="H138" s="13" t="n"/>
      <c r="I138" s="7" t="n"/>
      <c r="J138" s="14" t="n"/>
      <c r="K138" s="14" t="n"/>
      <c r="L138" s="7" t="n"/>
      <c r="M138" s="15" t="n"/>
      <c r="N138" s="7" t="n"/>
      <c r="O138" s="16" t="n"/>
      <c r="P138" s="7" t="n"/>
      <c r="Q138" s="7" t="n"/>
      <c r="R138" s="15" t="n"/>
      <c r="S138" s="15" t="n"/>
      <c r="T138" s="15" t="n"/>
      <c r="U138" s="13" t="n"/>
    </row>
    <row r="139">
      <c r="A139" s="13" t="n"/>
      <c r="B139" s="13" t="n"/>
      <c r="C139" s="13" t="n"/>
      <c r="D139" s="7" t="n"/>
      <c r="E139" s="13" t="n"/>
      <c r="F139" s="13" t="n"/>
      <c r="G139" s="13" t="n"/>
      <c r="H139" s="13" t="n"/>
      <c r="I139" s="7" t="n"/>
      <c r="J139" s="14" t="n"/>
      <c r="K139" s="14" t="n"/>
      <c r="L139" s="7" t="n"/>
      <c r="M139" s="15" t="n"/>
      <c r="N139" s="7" t="n"/>
      <c r="O139" s="16" t="n"/>
      <c r="P139" s="7" t="n"/>
      <c r="Q139" s="7" t="n"/>
      <c r="R139" s="15" t="n"/>
      <c r="S139" s="15" t="n"/>
      <c r="T139" s="15" t="n"/>
      <c r="U139" s="13" t="n"/>
    </row>
    <row r="140">
      <c r="A140" s="13" t="n"/>
      <c r="B140" s="13" t="n"/>
      <c r="C140" s="13" t="n"/>
      <c r="D140" s="7" t="n"/>
      <c r="E140" s="13" t="n"/>
      <c r="F140" s="13" t="n"/>
      <c r="G140" s="13" t="n"/>
      <c r="H140" s="13" t="n"/>
      <c r="I140" s="7" t="n"/>
      <c r="J140" s="14" t="n"/>
      <c r="K140" s="14" t="n"/>
      <c r="L140" s="7" t="n"/>
      <c r="M140" s="15" t="n"/>
      <c r="N140" s="7" t="n"/>
      <c r="O140" s="16" t="n"/>
      <c r="P140" s="7" t="n"/>
      <c r="Q140" s="7" t="n"/>
      <c r="R140" s="15" t="n"/>
      <c r="S140" s="15" t="n"/>
      <c r="T140" s="15" t="n"/>
      <c r="U140" s="13" t="n"/>
    </row>
    <row r="141">
      <c r="A141" s="13" t="n"/>
      <c r="B141" s="13" t="n"/>
      <c r="C141" s="13" t="n"/>
      <c r="D141" s="7" t="n"/>
      <c r="E141" s="13" t="n"/>
      <c r="F141" s="13" t="n"/>
      <c r="G141" s="13" t="n"/>
      <c r="H141" s="13" t="n"/>
      <c r="I141" s="7" t="n"/>
      <c r="J141" s="14" t="n"/>
      <c r="K141" s="14" t="n"/>
      <c r="L141" s="7" t="n"/>
      <c r="M141" s="15" t="n"/>
      <c r="N141" s="7" t="n"/>
      <c r="O141" s="16" t="n"/>
      <c r="P141" s="7" t="n"/>
      <c r="Q141" s="7" t="n"/>
      <c r="R141" s="15" t="n"/>
      <c r="S141" s="15" t="n"/>
      <c r="T141" s="15" t="n"/>
      <c r="U141" s="13" t="n"/>
    </row>
    <row r="142">
      <c r="A142" s="13" t="n"/>
      <c r="B142" s="13" t="n"/>
      <c r="C142" s="13" t="n"/>
      <c r="D142" s="7" t="n"/>
      <c r="E142" s="13" t="n"/>
      <c r="F142" s="13" t="n"/>
      <c r="G142" s="13" t="n"/>
      <c r="H142" s="13" t="n"/>
      <c r="I142" s="7" t="n"/>
      <c r="J142" s="14" t="n"/>
      <c r="K142" s="14" t="n"/>
      <c r="L142" s="7" t="n"/>
      <c r="M142" s="15" t="n"/>
      <c r="N142" s="7" t="n"/>
      <c r="O142" s="16" t="n"/>
      <c r="P142" s="7" t="n"/>
      <c r="Q142" s="7" t="n"/>
      <c r="R142" s="15" t="n"/>
      <c r="S142" s="15" t="n"/>
      <c r="T142" s="15" t="n"/>
      <c r="U142" s="13" t="n"/>
    </row>
    <row r="143">
      <c r="A143" s="13" t="n"/>
      <c r="B143" s="13" t="n"/>
      <c r="C143" s="13" t="n"/>
      <c r="D143" s="7" t="n"/>
      <c r="E143" s="13" t="n"/>
      <c r="F143" s="13" t="n"/>
      <c r="G143" s="13" t="n"/>
      <c r="H143" s="13" t="n"/>
      <c r="I143" s="7" t="n"/>
      <c r="J143" s="14" t="n"/>
      <c r="K143" s="14" t="n"/>
      <c r="L143" s="7" t="n"/>
      <c r="M143" s="15" t="n"/>
      <c r="N143" s="7" t="n"/>
      <c r="O143" s="16" t="n"/>
      <c r="P143" s="7" t="n"/>
      <c r="Q143" s="7" t="n"/>
      <c r="R143" s="15" t="n"/>
      <c r="S143" s="15" t="n"/>
      <c r="T143" s="15" t="n"/>
      <c r="U143" s="13" t="n"/>
    </row>
    <row r="144">
      <c r="A144" s="13" t="n"/>
      <c r="B144" s="13" t="n"/>
      <c r="C144" s="13" t="n"/>
      <c r="D144" s="7" t="n"/>
      <c r="E144" s="13" t="n"/>
      <c r="F144" s="13" t="n"/>
      <c r="G144" s="13" t="n"/>
      <c r="H144" s="13" t="n"/>
      <c r="I144" s="7" t="n"/>
      <c r="J144" s="14" t="n"/>
      <c r="K144" s="14" t="n"/>
      <c r="L144" s="7" t="n"/>
      <c r="M144" s="15" t="n"/>
      <c r="N144" s="7" t="n"/>
      <c r="O144" s="16" t="n"/>
      <c r="P144" s="7" t="n"/>
      <c r="Q144" s="7" t="n"/>
      <c r="R144" s="15" t="n"/>
      <c r="S144" s="15" t="n"/>
      <c r="T144" s="15" t="n"/>
      <c r="U144" s="13" t="n"/>
    </row>
    <row r="145">
      <c r="A145" s="13" t="n"/>
      <c r="B145" s="13" t="n"/>
      <c r="C145" s="13" t="n"/>
      <c r="D145" s="7" t="n"/>
      <c r="E145" s="13" t="n"/>
      <c r="F145" s="13" t="n"/>
      <c r="G145" s="13" t="n"/>
      <c r="H145" s="13" t="n"/>
      <c r="I145" s="7" t="n"/>
      <c r="J145" s="14" t="n"/>
      <c r="K145" s="14" t="n"/>
      <c r="L145" s="7" t="n"/>
      <c r="M145" s="15" t="n"/>
      <c r="N145" s="7" t="n"/>
      <c r="O145" s="16" t="n"/>
      <c r="P145" s="7" t="n"/>
      <c r="Q145" s="7" t="n"/>
      <c r="R145" s="15" t="n"/>
      <c r="S145" s="15" t="n"/>
      <c r="T145" s="15" t="n"/>
      <c r="U145" s="13" t="n"/>
    </row>
    <row r="146">
      <c r="A146" s="13" t="n"/>
      <c r="B146" s="13" t="n"/>
      <c r="C146" s="13" t="n"/>
      <c r="D146" s="7" t="n"/>
      <c r="E146" s="13" t="n"/>
      <c r="F146" s="13" t="n"/>
      <c r="G146" s="13" t="n"/>
      <c r="H146" s="13" t="n"/>
      <c r="I146" s="7" t="n"/>
      <c r="J146" s="14" t="n"/>
      <c r="K146" s="14" t="n"/>
      <c r="L146" s="7" t="n"/>
      <c r="M146" s="15" t="n"/>
      <c r="N146" s="7" t="n"/>
      <c r="O146" s="16" t="n"/>
      <c r="P146" s="7" t="n"/>
      <c r="Q146" s="7" t="n"/>
      <c r="R146" s="15" t="n"/>
      <c r="S146" s="15" t="n"/>
      <c r="T146" s="15" t="n"/>
      <c r="U146" s="13" t="n"/>
    </row>
    <row r="147">
      <c r="A147" s="13" t="n"/>
      <c r="B147" s="13" t="n"/>
      <c r="C147" s="13" t="n"/>
      <c r="D147" s="7" t="n"/>
      <c r="E147" s="13" t="n"/>
      <c r="F147" s="13" t="n"/>
      <c r="G147" s="13" t="n"/>
      <c r="H147" s="13" t="n"/>
      <c r="I147" s="7" t="n"/>
      <c r="J147" s="14" t="n"/>
      <c r="K147" s="14" t="n"/>
      <c r="L147" s="7" t="n"/>
      <c r="M147" s="15" t="n"/>
      <c r="N147" s="7" t="n"/>
      <c r="O147" s="16" t="n"/>
      <c r="P147" s="7" t="n"/>
      <c r="Q147" s="7" t="n"/>
      <c r="R147" s="15" t="n"/>
      <c r="S147" s="15" t="n"/>
      <c r="T147" s="15" t="n"/>
      <c r="U147" s="13" t="n"/>
    </row>
    <row r="148">
      <c r="A148" s="13" t="n"/>
      <c r="B148" s="13" t="n"/>
      <c r="C148" s="13" t="n"/>
      <c r="D148" s="7" t="n"/>
      <c r="E148" s="13" t="n"/>
      <c r="F148" s="13" t="n"/>
      <c r="G148" s="13" t="n"/>
      <c r="H148" s="13" t="n"/>
      <c r="I148" s="7" t="n"/>
      <c r="J148" s="14" t="n"/>
      <c r="K148" s="14" t="n"/>
      <c r="L148" s="7" t="n"/>
      <c r="M148" s="15" t="n"/>
      <c r="N148" s="7" t="n"/>
      <c r="O148" s="16" t="n"/>
      <c r="P148" s="7" t="n"/>
      <c r="Q148" s="7" t="n"/>
      <c r="R148" s="15" t="n"/>
      <c r="S148" s="15" t="n"/>
      <c r="T148" s="15" t="n"/>
      <c r="U148" s="13" t="n"/>
    </row>
    <row r="149">
      <c r="A149" s="13" t="n"/>
      <c r="B149" s="13" t="n"/>
      <c r="C149" s="13" t="n"/>
      <c r="D149" s="7" t="n"/>
      <c r="E149" s="13" t="n"/>
      <c r="F149" s="13" t="n"/>
      <c r="G149" s="13" t="n"/>
      <c r="H149" s="13" t="n"/>
      <c r="I149" s="7" t="n"/>
      <c r="J149" s="14" t="n"/>
      <c r="K149" s="14" t="n"/>
      <c r="L149" s="7" t="n"/>
      <c r="M149" s="15" t="n"/>
      <c r="N149" s="7" t="n"/>
      <c r="O149" s="16" t="n"/>
      <c r="P149" s="7" t="n"/>
      <c r="Q149" s="7" t="n"/>
      <c r="R149" s="15" t="n"/>
      <c r="S149" s="15" t="n"/>
      <c r="T149" s="15" t="n"/>
      <c r="U149" s="13" t="n"/>
    </row>
    <row r="150">
      <c r="A150" s="13" t="n"/>
      <c r="B150" s="13" t="n"/>
      <c r="C150" s="13" t="n"/>
      <c r="D150" s="7" t="n"/>
      <c r="E150" s="13" t="n"/>
      <c r="F150" s="13" t="n"/>
      <c r="G150" s="13" t="n"/>
      <c r="H150" s="13" t="n"/>
      <c r="I150" s="7" t="n"/>
      <c r="J150" s="14" t="n"/>
      <c r="K150" s="14" t="n"/>
      <c r="L150" s="7" t="n"/>
      <c r="M150" s="15" t="n"/>
      <c r="N150" s="7" t="n"/>
      <c r="O150" s="16" t="n"/>
      <c r="P150" s="7" t="n"/>
      <c r="Q150" s="7" t="n"/>
      <c r="R150" s="15" t="n"/>
      <c r="S150" s="15" t="n"/>
      <c r="T150" s="15" t="n"/>
      <c r="U150" s="13" t="n"/>
    </row>
    <row r="151">
      <c r="A151" s="13" t="n"/>
      <c r="B151" s="13" t="n"/>
      <c r="C151" s="13" t="n"/>
      <c r="D151" s="7" t="n"/>
      <c r="E151" s="13" t="n"/>
      <c r="F151" s="13" t="n"/>
      <c r="G151" s="13" t="n"/>
      <c r="H151" s="13" t="n"/>
      <c r="I151" s="7" t="n"/>
      <c r="J151" s="14" t="n"/>
      <c r="K151" s="14" t="n"/>
      <c r="L151" s="7" t="n"/>
      <c r="M151" s="15" t="n"/>
      <c r="N151" s="7" t="n"/>
      <c r="O151" s="16" t="n"/>
      <c r="P151" s="7" t="n"/>
      <c r="Q151" s="7" t="n"/>
      <c r="R151" s="15" t="n"/>
      <c r="S151" s="15" t="n"/>
      <c r="T151" s="15" t="n"/>
      <c r="U151" s="13" t="n"/>
    </row>
  </sheetData>
  <dataValidations count="13">
    <dataValidation sqref="D2:D15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I2:I151" showDropDown="0" showInputMessage="0" showErrorMessage="1" allowBlank="1" errorTitle="Invalid value" error="Select a value from the list. / 一覧から選択してください。" type="list">
      <formula1>=lst_contract_type</formula1>
    </dataValidation>
    <dataValidation sqref="J2:J151" showDropDown="0" showInputMessage="0" showErrorMessage="1" allowBlank="1" error="Enter a date (YYYY-MM-DD). / 日付で入力してください。" type="date" operator="greaterThan">
      <formula1>36526</formula1>
    </dataValidation>
    <dataValidation sqref="K2:K151" showDropDown="0" showInputMessage="0" showErrorMessage="1" allowBlank="1" error="Enter a date (YYYY-MM-DD). / 日付で入力してください。" type="date" operator="greaterThan">
      <formula1>36526</formula1>
    </dataValidation>
    <dataValidation sqref="L2:L15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M2:M151" showDropDown="0" showInputMessage="0" showErrorMessage="1" allowBlank="1" error="Enter a number. / 数値で入力してください。" type="decimal" operator="greaterThanOrEqual">
      <formula1>0</formula1>
    </dataValidation>
    <dataValidation sqref="N2:N151" showDropDown="0" showInputMessage="0" showErrorMessage="1" allowBlank="1" error="Enter a whole number. / 整数で入力してください。" type="whole" operator="greaterThanOrEqual">
      <formula1>0</formula1>
    </dataValidation>
    <dataValidation sqref="O2:O151" showDropDown="0" showInputMessage="0" showErrorMessage="1" allowBlank="1" error="Enter a value between 0 and 1. / 0〜1で入力してください。" type="decimal" operator="between">
      <formula1>0</formula1>
      <formula2>1</formula2>
    </dataValidation>
    <dataValidation sqref="P2:P151" showDropDown="0" showInputMessage="0" showErrorMessage="1" allowBlank="1" errorTitle="Invalid value" error="Select a value from the list. / 一覧から選択してください。" type="list">
      <formula1>=lst_cost_center</formula1>
    </dataValidation>
    <dataValidation sqref="Q2:Q151" showDropDown="0" showInputMessage="0" showErrorMessage="1" allowBlank="1" errorTitle="Invalid value" error="Select a value from the list. / 一覧から選択してください。" type="list">
      <formula1>=lst_account</formula1>
    </dataValidation>
    <dataValidation sqref="R2:R151" showDropDown="0" showInputMessage="0" showErrorMessage="1" allowBlank="1" error="Enter a number. / 数値で入力してください。" type="decimal" operator="greaterThanOrEqual">
      <formula1>0</formula1>
    </dataValidation>
    <dataValidation sqref="S2:S151" showDropDown="0" showInputMessage="0" showErrorMessage="1" allowBlank="1" error="Enter a number. / 数値で入力してください。" type="decimal" operator="greaterThanOrEqual">
      <formula1>0</formula1>
    </dataValidation>
    <dataValidation sqref="T2:T15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1" customWidth="1" min="4" max="4"/>
    <col width="14" customWidth="1" min="5" max="5"/>
    <col width="15" customWidth="1" min="6" max="6"/>
    <col width="20" customWidth="1" min="7" max="7"/>
    <col width="20" customWidth="1" min="8" max="8"/>
    <col width="12" customWidth="1" min="9" max="9"/>
    <col width="22" customWidth="1" min="10" max="10"/>
    <col width="20" customWidth="1" min="11" max="11"/>
    <col width="15" customWidth="1" min="12" max="12"/>
    <col width="11" customWidth="1" min="13" max="13"/>
  </cols>
  <sheetData>
    <row r="1">
      <c r="A1" s="4" t="inlineStr">
        <is>
          <t>asset_id</t>
        </is>
      </c>
      <c r="B1" s="4" t="inlineStr">
        <is>
          <t>budget_id</t>
        </is>
      </c>
      <c r="C1" s="4" t="inlineStr">
        <is>
          <t>region</t>
        </is>
      </c>
      <c r="D1" s="4" t="inlineStr">
        <is>
          <t>owner</t>
        </is>
      </c>
      <c r="E1" s="4" t="inlineStr">
        <is>
          <t>asset_name</t>
        </is>
      </c>
      <c r="F1" s="4" t="inlineStr">
        <is>
          <t>asset_class</t>
        </is>
      </c>
      <c r="G1" s="4" t="inlineStr">
        <is>
          <t>acquisition_date</t>
        </is>
      </c>
      <c r="H1" s="4" t="inlineStr">
        <is>
          <t>acquisition_cost</t>
        </is>
      </c>
      <c r="I1" s="4" t="inlineStr">
        <is>
          <t>currency</t>
        </is>
      </c>
      <c r="J1" s="4" t="inlineStr">
        <is>
          <t>useful_life_months</t>
        </is>
      </c>
      <c r="K1" s="4" t="inlineStr">
        <is>
          <t>cost_center_code</t>
        </is>
      </c>
      <c r="L1" s="4" t="inlineStr">
        <is>
          <t>account_key</t>
        </is>
      </c>
      <c r="M1" s="4" t="inlineStr">
        <is>
          <t>note</t>
        </is>
      </c>
    </row>
    <row r="2">
      <c r="A2" s="13" t="n"/>
      <c r="B2" s="13" t="n"/>
      <c r="C2" s="7" t="n"/>
      <c r="D2" s="13" t="n"/>
      <c r="E2" s="13" t="n"/>
      <c r="F2" s="13" t="n"/>
      <c r="G2" s="14" t="n"/>
      <c r="H2" s="15" t="n"/>
      <c r="I2" s="7" t="n"/>
      <c r="J2" s="7" t="n"/>
      <c r="K2" s="7" t="n"/>
      <c r="L2" s="7" t="n"/>
      <c r="M2" s="13" t="n"/>
    </row>
    <row r="3">
      <c r="A3" s="13" t="n"/>
      <c r="B3" s="13" t="n"/>
      <c r="C3" s="7" t="n"/>
      <c r="D3" s="13" t="n"/>
      <c r="E3" s="13" t="n"/>
      <c r="F3" s="13" t="n"/>
      <c r="G3" s="14" t="n"/>
      <c r="H3" s="15" t="n"/>
      <c r="I3" s="7" t="n"/>
      <c r="J3" s="7" t="n"/>
      <c r="K3" s="7" t="n"/>
      <c r="L3" s="7" t="n"/>
      <c r="M3" s="13" t="n"/>
    </row>
    <row r="4">
      <c r="A4" s="13" t="n"/>
      <c r="B4" s="13" t="n"/>
      <c r="C4" s="7" t="n"/>
      <c r="D4" s="13" t="n"/>
      <c r="E4" s="13" t="n"/>
      <c r="F4" s="13" t="n"/>
      <c r="G4" s="14" t="n"/>
      <c r="H4" s="15" t="n"/>
      <c r="I4" s="7" t="n"/>
      <c r="J4" s="7" t="n"/>
      <c r="K4" s="7" t="n"/>
      <c r="L4" s="7" t="n"/>
      <c r="M4" s="13" t="n"/>
    </row>
    <row r="5">
      <c r="A5" s="13" t="n"/>
      <c r="B5" s="13" t="n"/>
      <c r="C5" s="7" t="n"/>
      <c r="D5" s="13" t="n"/>
      <c r="E5" s="13" t="n"/>
      <c r="F5" s="13" t="n"/>
      <c r="G5" s="14" t="n"/>
      <c r="H5" s="15" t="n"/>
      <c r="I5" s="7" t="n"/>
      <c r="J5" s="7" t="n"/>
      <c r="K5" s="7" t="n"/>
      <c r="L5" s="7" t="n"/>
      <c r="M5" s="13" t="n"/>
    </row>
    <row r="6">
      <c r="A6" s="13" t="n"/>
      <c r="B6" s="13" t="n"/>
      <c r="C6" s="7" t="n"/>
      <c r="D6" s="13" t="n"/>
      <c r="E6" s="13" t="n"/>
      <c r="F6" s="13" t="n"/>
      <c r="G6" s="14" t="n"/>
      <c r="H6" s="15" t="n"/>
      <c r="I6" s="7" t="n"/>
      <c r="J6" s="7" t="n"/>
      <c r="K6" s="7" t="n"/>
      <c r="L6" s="7" t="n"/>
      <c r="M6" s="13" t="n"/>
    </row>
    <row r="7">
      <c r="A7" s="13" t="n"/>
      <c r="B7" s="13" t="n"/>
      <c r="C7" s="7" t="n"/>
      <c r="D7" s="13" t="n"/>
      <c r="E7" s="13" t="n"/>
      <c r="F7" s="13" t="n"/>
      <c r="G7" s="14" t="n"/>
      <c r="H7" s="15" t="n"/>
      <c r="I7" s="7" t="n"/>
      <c r="J7" s="7" t="n"/>
      <c r="K7" s="7" t="n"/>
      <c r="L7" s="7" t="n"/>
      <c r="M7" s="13" t="n"/>
    </row>
    <row r="8">
      <c r="A8" s="13" t="n"/>
      <c r="B8" s="13" t="n"/>
      <c r="C8" s="7" t="n"/>
      <c r="D8" s="13" t="n"/>
      <c r="E8" s="13" t="n"/>
      <c r="F8" s="13" t="n"/>
      <c r="G8" s="14" t="n"/>
      <c r="H8" s="15" t="n"/>
      <c r="I8" s="7" t="n"/>
      <c r="J8" s="7" t="n"/>
      <c r="K8" s="7" t="n"/>
      <c r="L8" s="7" t="n"/>
      <c r="M8" s="13" t="n"/>
    </row>
    <row r="9">
      <c r="A9" s="13" t="n"/>
      <c r="B9" s="13" t="n"/>
      <c r="C9" s="7" t="n"/>
      <c r="D9" s="13" t="n"/>
      <c r="E9" s="13" t="n"/>
      <c r="F9" s="13" t="n"/>
      <c r="G9" s="14" t="n"/>
      <c r="H9" s="15" t="n"/>
      <c r="I9" s="7" t="n"/>
      <c r="J9" s="7" t="n"/>
      <c r="K9" s="7" t="n"/>
      <c r="L9" s="7" t="n"/>
      <c r="M9" s="13" t="n"/>
    </row>
    <row r="10">
      <c r="A10" s="13" t="n"/>
      <c r="B10" s="13" t="n"/>
      <c r="C10" s="7" t="n"/>
      <c r="D10" s="13" t="n"/>
      <c r="E10" s="13" t="n"/>
      <c r="F10" s="13" t="n"/>
      <c r="G10" s="14" t="n"/>
      <c r="H10" s="15" t="n"/>
      <c r="I10" s="7" t="n"/>
      <c r="J10" s="7" t="n"/>
      <c r="K10" s="7" t="n"/>
      <c r="L10" s="7" t="n"/>
      <c r="M10" s="13" t="n"/>
    </row>
    <row r="11">
      <c r="A11" s="13" t="n"/>
      <c r="B11" s="13" t="n"/>
      <c r="C11" s="7" t="n"/>
      <c r="D11" s="13" t="n"/>
      <c r="E11" s="13" t="n"/>
      <c r="F11" s="13" t="n"/>
      <c r="G11" s="14" t="n"/>
      <c r="H11" s="15" t="n"/>
      <c r="I11" s="7" t="n"/>
      <c r="J11" s="7" t="n"/>
      <c r="K11" s="7" t="n"/>
      <c r="L11" s="7" t="n"/>
      <c r="M11" s="13" t="n"/>
    </row>
    <row r="12">
      <c r="A12" s="13" t="n"/>
      <c r="B12" s="13" t="n"/>
      <c r="C12" s="7" t="n"/>
      <c r="D12" s="13" t="n"/>
      <c r="E12" s="13" t="n"/>
      <c r="F12" s="13" t="n"/>
      <c r="G12" s="14" t="n"/>
      <c r="H12" s="15" t="n"/>
      <c r="I12" s="7" t="n"/>
      <c r="J12" s="7" t="n"/>
      <c r="K12" s="7" t="n"/>
      <c r="L12" s="7" t="n"/>
      <c r="M12" s="13" t="n"/>
    </row>
    <row r="13">
      <c r="A13" s="13" t="n"/>
      <c r="B13" s="13" t="n"/>
      <c r="C13" s="7" t="n"/>
      <c r="D13" s="13" t="n"/>
      <c r="E13" s="13" t="n"/>
      <c r="F13" s="13" t="n"/>
      <c r="G13" s="14" t="n"/>
      <c r="H13" s="15" t="n"/>
      <c r="I13" s="7" t="n"/>
      <c r="J13" s="7" t="n"/>
      <c r="K13" s="7" t="n"/>
      <c r="L13" s="7" t="n"/>
      <c r="M13" s="13" t="n"/>
    </row>
    <row r="14">
      <c r="A14" s="13" t="n"/>
      <c r="B14" s="13" t="n"/>
      <c r="C14" s="7" t="n"/>
      <c r="D14" s="13" t="n"/>
      <c r="E14" s="13" t="n"/>
      <c r="F14" s="13" t="n"/>
      <c r="G14" s="14" t="n"/>
      <c r="H14" s="15" t="n"/>
      <c r="I14" s="7" t="n"/>
      <c r="J14" s="7" t="n"/>
      <c r="K14" s="7" t="n"/>
      <c r="L14" s="7" t="n"/>
      <c r="M14" s="13" t="n"/>
    </row>
    <row r="15">
      <c r="A15" s="13" t="n"/>
      <c r="B15" s="13" t="n"/>
      <c r="C15" s="7" t="n"/>
      <c r="D15" s="13" t="n"/>
      <c r="E15" s="13" t="n"/>
      <c r="F15" s="13" t="n"/>
      <c r="G15" s="14" t="n"/>
      <c r="H15" s="15" t="n"/>
      <c r="I15" s="7" t="n"/>
      <c r="J15" s="7" t="n"/>
      <c r="K15" s="7" t="n"/>
      <c r="L15" s="7" t="n"/>
      <c r="M15" s="13" t="n"/>
    </row>
    <row r="16">
      <c r="A16" s="13" t="n"/>
      <c r="B16" s="13" t="n"/>
      <c r="C16" s="7" t="n"/>
      <c r="D16" s="13" t="n"/>
      <c r="E16" s="13" t="n"/>
      <c r="F16" s="13" t="n"/>
      <c r="G16" s="14" t="n"/>
      <c r="H16" s="15" t="n"/>
      <c r="I16" s="7" t="n"/>
      <c r="J16" s="7" t="n"/>
      <c r="K16" s="7" t="n"/>
      <c r="L16" s="7" t="n"/>
      <c r="M16" s="13" t="n"/>
    </row>
    <row r="17">
      <c r="A17" s="13" t="n"/>
      <c r="B17" s="13" t="n"/>
      <c r="C17" s="7" t="n"/>
      <c r="D17" s="13" t="n"/>
      <c r="E17" s="13" t="n"/>
      <c r="F17" s="13" t="n"/>
      <c r="G17" s="14" t="n"/>
      <c r="H17" s="15" t="n"/>
      <c r="I17" s="7" t="n"/>
      <c r="J17" s="7" t="n"/>
      <c r="K17" s="7" t="n"/>
      <c r="L17" s="7" t="n"/>
      <c r="M17" s="13" t="n"/>
    </row>
    <row r="18">
      <c r="A18" s="13" t="n"/>
      <c r="B18" s="13" t="n"/>
      <c r="C18" s="7" t="n"/>
      <c r="D18" s="13" t="n"/>
      <c r="E18" s="13" t="n"/>
      <c r="F18" s="13" t="n"/>
      <c r="G18" s="14" t="n"/>
      <c r="H18" s="15" t="n"/>
      <c r="I18" s="7" t="n"/>
      <c r="J18" s="7" t="n"/>
      <c r="K18" s="7" t="n"/>
      <c r="L18" s="7" t="n"/>
      <c r="M18" s="13" t="n"/>
    </row>
    <row r="19">
      <c r="A19" s="13" t="n"/>
      <c r="B19" s="13" t="n"/>
      <c r="C19" s="7" t="n"/>
      <c r="D19" s="13" t="n"/>
      <c r="E19" s="13" t="n"/>
      <c r="F19" s="13" t="n"/>
      <c r="G19" s="14" t="n"/>
      <c r="H19" s="15" t="n"/>
      <c r="I19" s="7" t="n"/>
      <c r="J19" s="7" t="n"/>
      <c r="K19" s="7" t="n"/>
      <c r="L19" s="7" t="n"/>
      <c r="M19" s="13" t="n"/>
    </row>
    <row r="20">
      <c r="A20" s="13" t="n"/>
      <c r="B20" s="13" t="n"/>
      <c r="C20" s="7" t="n"/>
      <c r="D20" s="13" t="n"/>
      <c r="E20" s="13" t="n"/>
      <c r="F20" s="13" t="n"/>
      <c r="G20" s="14" t="n"/>
      <c r="H20" s="15" t="n"/>
      <c r="I20" s="7" t="n"/>
      <c r="J20" s="7" t="n"/>
      <c r="K20" s="7" t="n"/>
      <c r="L20" s="7" t="n"/>
      <c r="M20" s="13" t="n"/>
    </row>
    <row r="21">
      <c r="A21" s="13" t="n"/>
      <c r="B21" s="13" t="n"/>
      <c r="C21" s="7" t="n"/>
      <c r="D21" s="13" t="n"/>
      <c r="E21" s="13" t="n"/>
      <c r="F21" s="13" t="n"/>
      <c r="G21" s="14" t="n"/>
      <c r="H21" s="15" t="n"/>
      <c r="I21" s="7" t="n"/>
      <c r="J21" s="7" t="n"/>
      <c r="K21" s="7" t="n"/>
      <c r="L21" s="7" t="n"/>
      <c r="M21" s="13" t="n"/>
    </row>
    <row r="22">
      <c r="A22" s="13" t="n"/>
      <c r="B22" s="13" t="n"/>
      <c r="C22" s="7" t="n"/>
      <c r="D22" s="13" t="n"/>
      <c r="E22" s="13" t="n"/>
      <c r="F22" s="13" t="n"/>
      <c r="G22" s="14" t="n"/>
      <c r="H22" s="15" t="n"/>
      <c r="I22" s="7" t="n"/>
      <c r="J22" s="7" t="n"/>
      <c r="K22" s="7" t="n"/>
      <c r="L22" s="7" t="n"/>
      <c r="M22" s="13" t="n"/>
    </row>
    <row r="23">
      <c r="A23" s="13" t="n"/>
      <c r="B23" s="13" t="n"/>
      <c r="C23" s="7" t="n"/>
      <c r="D23" s="13" t="n"/>
      <c r="E23" s="13" t="n"/>
      <c r="F23" s="13" t="n"/>
      <c r="G23" s="14" t="n"/>
      <c r="H23" s="15" t="n"/>
      <c r="I23" s="7" t="n"/>
      <c r="J23" s="7" t="n"/>
      <c r="K23" s="7" t="n"/>
      <c r="L23" s="7" t="n"/>
      <c r="M23" s="13" t="n"/>
    </row>
    <row r="24">
      <c r="A24" s="13" t="n"/>
      <c r="B24" s="13" t="n"/>
      <c r="C24" s="7" t="n"/>
      <c r="D24" s="13" t="n"/>
      <c r="E24" s="13" t="n"/>
      <c r="F24" s="13" t="n"/>
      <c r="G24" s="14" t="n"/>
      <c r="H24" s="15" t="n"/>
      <c r="I24" s="7" t="n"/>
      <c r="J24" s="7" t="n"/>
      <c r="K24" s="7" t="n"/>
      <c r="L24" s="7" t="n"/>
      <c r="M24" s="13" t="n"/>
    </row>
    <row r="25">
      <c r="A25" s="13" t="n"/>
      <c r="B25" s="13" t="n"/>
      <c r="C25" s="7" t="n"/>
      <c r="D25" s="13" t="n"/>
      <c r="E25" s="13" t="n"/>
      <c r="F25" s="13" t="n"/>
      <c r="G25" s="14" t="n"/>
      <c r="H25" s="15" t="n"/>
      <c r="I25" s="7" t="n"/>
      <c r="J25" s="7" t="n"/>
      <c r="K25" s="7" t="n"/>
      <c r="L25" s="7" t="n"/>
      <c r="M25" s="13" t="n"/>
    </row>
    <row r="26">
      <c r="A26" s="13" t="n"/>
      <c r="B26" s="13" t="n"/>
      <c r="C26" s="7" t="n"/>
      <c r="D26" s="13" t="n"/>
      <c r="E26" s="13" t="n"/>
      <c r="F26" s="13" t="n"/>
      <c r="G26" s="14" t="n"/>
      <c r="H26" s="15" t="n"/>
      <c r="I26" s="7" t="n"/>
      <c r="J26" s="7" t="n"/>
      <c r="K26" s="7" t="n"/>
      <c r="L26" s="7" t="n"/>
      <c r="M26" s="13" t="n"/>
    </row>
    <row r="27">
      <c r="A27" s="13" t="n"/>
      <c r="B27" s="13" t="n"/>
      <c r="C27" s="7" t="n"/>
      <c r="D27" s="13" t="n"/>
      <c r="E27" s="13" t="n"/>
      <c r="F27" s="13" t="n"/>
      <c r="G27" s="14" t="n"/>
      <c r="H27" s="15" t="n"/>
      <c r="I27" s="7" t="n"/>
      <c r="J27" s="7" t="n"/>
      <c r="K27" s="7" t="n"/>
      <c r="L27" s="7" t="n"/>
      <c r="M27" s="13" t="n"/>
    </row>
    <row r="28">
      <c r="A28" s="13" t="n"/>
      <c r="B28" s="13" t="n"/>
      <c r="C28" s="7" t="n"/>
      <c r="D28" s="13" t="n"/>
      <c r="E28" s="13" t="n"/>
      <c r="F28" s="13" t="n"/>
      <c r="G28" s="14" t="n"/>
      <c r="H28" s="15" t="n"/>
      <c r="I28" s="7" t="n"/>
      <c r="J28" s="7" t="n"/>
      <c r="K28" s="7" t="n"/>
      <c r="L28" s="7" t="n"/>
      <c r="M28" s="13" t="n"/>
    </row>
    <row r="29">
      <c r="A29" s="13" t="n"/>
      <c r="B29" s="13" t="n"/>
      <c r="C29" s="7" t="n"/>
      <c r="D29" s="13" t="n"/>
      <c r="E29" s="13" t="n"/>
      <c r="F29" s="13" t="n"/>
      <c r="G29" s="14" t="n"/>
      <c r="H29" s="15" t="n"/>
      <c r="I29" s="7" t="n"/>
      <c r="J29" s="7" t="n"/>
      <c r="K29" s="7" t="n"/>
      <c r="L29" s="7" t="n"/>
      <c r="M29" s="13" t="n"/>
    </row>
    <row r="30">
      <c r="A30" s="13" t="n"/>
      <c r="B30" s="13" t="n"/>
      <c r="C30" s="7" t="n"/>
      <c r="D30" s="13" t="n"/>
      <c r="E30" s="13" t="n"/>
      <c r="F30" s="13" t="n"/>
      <c r="G30" s="14" t="n"/>
      <c r="H30" s="15" t="n"/>
      <c r="I30" s="7" t="n"/>
      <c r="J30" s="7" t="n"/>
      <c r="K30" s="7" t="n"/>
      <c r="L30" s="7" t="n"/>
      <c r="M30" s="13" t="n"/>
    </row>
    <row r="31">
      <c r="A31" s="13" t="n"/>
      <c r="B31" s="13" t="n"/>
      <c r="C31" s="7" t="n"/>
      <c r="D31" s="13" t="n"/>
      <c r="E31" s="13" t="n"/>
      <c r="F31" s="13" t="n"/>
      <c r="G31" s="14" t="n"/>
      <c r="H31" s="15" t="n"/>
      <c r="I31" s="7" t="n"/>
      <c r="J31" s="7" t="n"/>
      <c r="K31" s="7" t="n"/>
      <c r="L31" s="7" t="n"/>
      <c r="M31" s="13" t="n"/>
    </row>
    <row r="32">
      <c r="A32" s="13" t="n"/>
      <c r="B32" s="13" t="n"/>
      <c r="C32" s="7" t="n"/>
      <c r="D32" s="13" t="n"/>
      <c r="E32" s="13" t="n"/>
      <c r="F32" s="13" t="n"/>
      <c r="G32" s="14" t="n"/>
      <c r="H32" s="15" t="n"/>
      <c r="I32" s="7" t="n"/>
      <c r="J32" s="7" t="n"/>
      <c r="K32" s="7" t="n"/>
      <c r="L32" s="7" t="n"/>
      <c r="M32" s="13" t="n"/>
    </row>
    <row r="33">
      <c r="A33" s="13" t="n"/>
      <c r="B33" s="13" t="n"/>
      <c r="C33" s="7" t="n"/>
      <c r="D33" s="13" t="n"/>
      <c r="E33" s="13" t="n"/>
      <c r="F33" s="13" t="n"/>
      <c r="G33" s="14" t="n"/>
      <c r="H33" s="15" t="n"/>
      <c r="I33" s="7" t="n"/>
      <c r="J33" s="7" t="n"/>
      <c r="K33" s="7" t="n"/>
      <c r="L33" s="7" t="n"/>
      <c r="M33" s="13" t="n"/>
    </row>
    <row r="34">
      <c r="A34" s="13" t="n"/>
      <c r="B34" s="13" t="n"/>
      <c r="C34" s="7" t="n"/>
      <c r="D34" s="13" t="n"/>
      <c r="E34" s="13" t="n"/>
      <c r="F34" s="13" t="n"/>
      <c r="G34" s="14" t="n"/>
      <c r="H34" s="15" t="n"/>
      <c r="I34" s="7" t="n"/>
      <c r="J34" s="7" t="n"/>
      <c r="K34" s="7" t="n"/>
      <c r="L34" s="7" t="n"/>
      <c r="M34" s="13" t="n"/>
    </row>
    <row r="35">
      <c r="A35" s="13" t="n"/>
      <c r="B35" s="13" t="n"/>
      <c r="C35" s="7" t="n"/>
      <c r="D35" s="13" t="n"/>
      <c r="E35" s="13" t="n"/>
      <c r="F35" s="13" t="n"/>
      <c r="G35" s="14" t="n"/>
      <c r="H35" s="15" t="n"/>
      <c r="I35" s="7" t="n"/>
      <c r="J35" s="7" t="n"/>
      <c r="K35" s="7" t="n"/>
      <c r="L35" s="7" t="n"/>
      <c r="M35" s="13" t="n"/>
    </row>
    <row r="36">
      <c r="A36" s="13" t="n"/>
      <c r="B36" s="13" t="n"/>
      <c r="C36" s="7" t="n"/>
      <c r="D36" s="13" t="n"/>
      <c r="E36" s="13" t="n"/>
      <c r="F36" s="13" t="n"/>
      <c r="G36" s="14" t="n"/>
      <c r="H36" s="15" t="n"/>
      <c r="I36" s="7" t="n"/>
      <c r="J36" s="7" t="n"/>
      <c r="K36" s="7" t="n"/>
      <c r="L36" s="7" t="n"/>
      <c r="M36" s="13" t="n"/>
    </row>
    <row r="37">
      <c r="A37" s="13" t="n"/>
      <c r="B37" s="13" t="n"/>
      <c r="C37" s="7" t="n"/>
      <c r="D37" s="13" t="n"/>
      <c r="E37" s="13" t="n"/>
      <c r="F37" s="13" t="n"/>
      <c r="G37" s="14" t="n"/>
      <c r="H37" s="15" t="n"/>
      <c r="I37" s="7" t="n"/>
      <c r="J37" s="7" t="n"/>
      <c r="K37" s="7" t="n"/>
      <c r="L37" s="7" t="n"/>
      <c r="M37" s="13" t="n"/>
    </row>
    <row r="38">
      <c r="A38" s="13" t="n"/>
      <c r="B38" s="13" t="n"/>
      <c r="C38" s="7" t="n"/>
      <c r="D38" s="13" t="n"/>
      <c r="E38" s="13" t="n"/>
      <c r="F38" s="13" t="n"/>
      <c r="G38" s="14" t="n"/>
      <c r="H38" s="15" t="n"/>
      <c r="I38" s="7" t="n"/>
      <c r="J38" s="7" t="n"/>
      <c r="K38" s="7" t="n"/>
      <c r="L38" s="7" t="n"/>
      <c r="M38" s="13" t="n"/>
    </row>
    <row r="39">
      <c r="A39" s="13" t="n"/>
      <c r="B39" s="13" t="n"/>
      <c r="C39" s="7" t="n"/>
      <c r="D39" s="13" t="n"/>
      <c r="E39" s="13" t="n"/>
      <c r="F39" s="13" t="n"/>
      <c r="G39" s="14" t="n"/>
      <c r="H39" s="15" t="n"/>
      <c r="I39" s="7" t="n"/>
      <c r="J39" s="7" t="n"/>
      <c r="K39" s="7" t="n"/>
      <c r="L39" s="7" t="n"/>
      <c r="M39" s="13" t="n"/>
    </row>
    <row r="40">
      <c r="A40" s="13" t="n"/>
      <c r="B40" s="13" t="n"/>
      <c r="C40" s="7" t="n"/>
      <c r="D40" s="13" t="n"/>
      <c r="E40" s="13" t="n"/>
      <c r="F40" s="13" t="n"/>
      <c r="G40" s="14" t="n"/>
      <c r="H40" s="15" t="n"/>
      <c r="I40" s="7" t="n"/>
      <c r="J40" s="7" t="n"/>
      <c r="K40" s="7" t="n"/>
      <c r="L40" s="7" t="n"/>
      <c r="M40" s="13" t="n"/>
    </row>
    <row r="41">
      <c r="A41" s="13" t="n"/>
      <c r="B41" s="13" t="n"/>
      <c r="C41" s="7" t="n"/>
      <c r="D41" s="13" t="n"/>
      <c r="E41" s="13" t="n"/>
      <c r="F41" s="13" t="n"/>
      <c r="G41" s="14" t="n"/>
      <c r="H41" s="15" t="n"/>
      <c r="I41" s="7" t="n"/>
      <c r="J41" s="7" t="n"/>
      <c r="K41" s="7" t="n"/>
      <c r="L41" s="7" t="n"/>
      <c r="M41" s="13" t="n"/>
    </row>
    <row r="42">
      <c r="A42" s="13" t="n"/>
      <c r="B42" s="13" t="n"/>
      <c r="C42" s="7" t="n"/>
      <c r="D42" s="13" t="n"/>
      <c r="E42" s="13" t="n"/>
      <c r="F42" s="13" t="n"/>
      <c r="G42" s="14" t="n"/>
      <c r="H42" s="15" t="n"/>
      <c r="I42" s="7" t="n"/>
      <c r="J42" s="7" t="n"/>
      <c r="K42" s="7" t="n"/>
      <c r="L42" s="7" t="n"/>
      <c r="M42" s="13" t="n"/>
    </row>
    <row r="43">
      <c r="A43" s="13" t="n"/>
      <c r="B43" s="13" t="n"/>
      <c r="C43" s="7" t="n"/>
      <c r="D43" s="13" t="n"/>
      <c r="E43" s="13" t="n"/>
      <c r="F43" s="13" t="n"/>
      <c r="G43" s="14" t="n"/>
      <c r="H43" s="15" t="n"/>
      <c r="I43" s="7" t="n"/>
      <c r="J43" s="7" t="n"/>
      <c r="K43" s="7" t="n"/>
      <c r="L43" s="7" t="n"/>
      <c r="M43" s="13" t="n"/>
    </row>
    <row r="44">
      <c r="A44" s="13" t="n"/>
      <c r="B44" s="13" t="n"/>
      <c r="C44" s="7" t="n"/>
      <c r="D44" s="13" t="n"/>
      <c r="E44" s="13" t="n"/>
      <c r="F44" s="13" t="n"/>
      <c r="G44" s="14" t="n"/>
      <c r="H44" s="15" t="n"/>
      <c r="I44" s="7" t="n"/>
      <c r="J44" s="7" t="n"/>
      <c r="K44" s="7" t="n"/>
      <c r="L44" s="7" t="n"/>
      <c r="M44" s="13" t="n"/>
    </row>
    <row r="45">
      <c r="A45" s="13" t="n"/>
      <c r="B45" s="13" t="n"/>
      <c r="C45" s="7" t="n"/>
      <c r="D45" s="13" t="n"/>
      <c r="E45" s="13" t="n"/>
      <c r="F45" s="13" t="n"/>
      <c r="G45" s="14" t="n"/>
      <c r="H45" s="15" t="n"/>
      <c r="I45" s="7" t="n"/>
      <c r="J45" s="7" t="n"/>
      <c r="K45" s="7" t="n"/>
      <c r="L45" s="7" t="n"/>
      <c r="M45" s="13" t="n"/>
    </row>
    <row r="46">
      <c r="A46" s="13" t="n"/>
      <c r="B46" s="13" t="n"/>
      <c r="C46" s="7" t="n"/>
      <c r="D46" s="13" t="n"/>
      <c r="E46" s="13" t="n"/>
      <c r="F46" s="13" t="n"/>
      <c r="G46" s="14" t="n"/>
      <c r="H46" s="15" t="n"/>
      <c r="I46" s="7" t="n"/>
      <c r="J46" s="7" t="n"/>
      <c r="K46" s="7" t="n"/>
      <c r="L46" s="7" t="n"/>
      <c r="M46" s="13" t="n"/>
    </row>
    <row r="47">
      <c r="A47" s="13" t="n"/>
      <c r="B47" s="13" t="n"/>
      <c r="C47" s="7" t="n"/>
      <c r="D47" s="13" t="n"/>
      <c r="E47" s="13" t="n"/>
      <c r="F47" s="13" t="n"/>
      <c r="G47" s="14" t="n"/>
      <c r="H47" s="15" t="n"/>
      <c r="I47" s="7" t="n"/>
      <c r="J47" s="7" t="n"/>
      <c r="K47" s="7" t="n"/>
      <c r="L47" s="7" t="n"/>
      <c r="M47" s="13" t="n"/>
    </row>
    <row r="48">
      <c r="A48" s="13" t="n"/>
      <c r="B48" s="13" t="n"/>
      <c r="C48" s="7" t="n"/>
      <c r="D48" s="13" t="n"/>
      <c r="E48" s="13" t="n"/>
      <c r="F48" s="13" t="n"/>
      <c r="G48" s="14" t="n"/>
      <c r="H48" s="15" t="n"/>
      <c r="I48" s="7" t="n"/>
      <c r="J48" s="7" t="n"/>
      <c r="K48" s="7" t="n"/>
      <c r="L48" s="7" t="n"/>
      <c r="M48" s="13" t="n"/>
    </row>
    <row r="49">
      <c r="A49" s="13" t="n"/>
      <c r="B49" s="13" t="n"/>
      <c r="C49" s="7" t="n"/>
      <c r="D49" s="13" t="n"/>
      <c r="E49" s="13" t="n"/>
      <c r="F49" s="13" t="n"/>
      <c r="G49" s="14" t="n"/>
      <c r="H49" s="15" t="n"/>
      <c r="I49" s="7" t="n"/>
      <c r="J49" s="7" t="n"/>
      <c r="K49" s="7" t="n"/>
      <c r="L49" s="7" t="n"/>
      <c r="M49" s="13" t="n"/>
    </row>
    <row r="50">
      <c r="A50" s="13" t="n"/>
      <c r="B50" s="13" t="n"/>
      <c r="C50" s="7" t="n"/>
      <c r="D50" s="13" t="n"/>
      <c r="E50" s="13" t="n"/>
      <c r="F50" s="13" t="n"/>
      <c r="G50" s="14" t="n"/>
      <c r="H50" s="15" t="n"/>
      <c r="I50" s="7" t="n"/>
      <c r="J50" s="7" t="n"/>
      <c r="K50" s="7" t="n"/>
      <c r="L50" s="7" t="n"/>
      <c r="M50" s="13" t="n"/>
    </row>
    <row r="51">
      <c r="A51" s="13" t="n"/>
      <c r="B51" s="13" t="n"/>
      <c r="C51" s="7" t="n"/>
      <c r="D51" s="13" t="n"/>
      <c r="E51" s="13" t="n"/>
      <c r="F51" s="13" t="n"/>
      <c r="G51" s="14" t="n"/>
      <c r="H51" s="15" t="n"/>
      <c r="I51" s="7" t="n"/>
      <c r="J51" s="7" t="n"/>
      <c r="K51" s="7" t="n"/>
      <c r="L51" s="7" t="n"/>
      <c r="M51" s="13" t="n"/>
    </row>
    <row r="52">
      <c r="A52" s="13" t="n"/>
      <c r="B52" s="13" t="n"/>
      <c r="C52" s="7" t="n"/>
      <c r="D52" s="13" t="n"/>
      <c r="E52" s="13" t="n"/>
      <c r="F52" s="13" t="n"/>
      <c r="G52" s="14" t="n"/>
      <c r="H52" s="15" t="n"/>
      <c r="I52" s="7" t="n"/>
      <c r="J52" s="7" t="n"/>
      <c r="K52" s="7" t="n"/>
      <c r="L52" s="7" t="n"/>
      <c r="M52" s="13" t="n"/>
    </row>
    <row r="53">
      <c r="A53" s="13" t="n"/>
      <c r="B53" s="13" t="n"/>
      <c r="C53" s="7" t="n"/>
      <c r="D53" s="13" t="n"/>
      <c r="E53" s="13" t="n"/>
      <c r="F53" s="13" t="n"/>
      <c r="G53" s="14" t="n"/>
      <c r="H53" s="15" t="n"/>
      <c r="I53" s="7" t="n"/>
      <c r="J53" s="7" t="n"/>
      <c r="K53" s="7" t="n"/>
      <c r="L53" s="7" t="n"/>
      <c r="M53" s="13" t="n"/>
    </row>
    <row r="54">
      <c r="A54" s="13" t="n"/>
      <c r="B54" s="13" t="n"/>
      <c r="C54" s="7" t="n"/>
      <c r="D54" s="13" t="n"/>
      <c r="E54" s="13" t="n"/>
      <c r="F54" s="13" t="n"/>
      <c r="G54" s="14" t="n"/>
      <c r="H54" s="15" t="n"/>
      <c r="I54" s="7" t="n"/>
      <c r="J54" s="7" t="n"/>
      <c r="K54" s="7" t="n"/>
      <c r="L54" s="7" t="n"/>
      <c r="M54" s="13" t="n"/>
    </row>
    <row r="55">
      <c r="A55" s="13" t="n"/>
      <c r="B55" s="13" t="n"/>
      <c r="C55" s="7" t="n"/>
      <c r="D55" s="13" t="n"/>
      <c r="E55" s="13" t="n"/>
      <c r="F55" s="13" t="n"/>
      <c r="G55" s="14" t="n"/>
      <c r="H55" s="15" t="n"/>
      <c r="I55" s="7" t="n"/>
      <c r="J55" s="7" t="n"/>
      <c r="K55" s="7" t="n"/>
      <c r="L55" s="7" t="n"/>
      <c r="M55" s="13" t="n"/>
    </row>
    <row r="56">
      <c r="A56" s="13" t="n"/>
      <c r="B56" s="13" t="n"/>
      <c r="C56" s="7" t="n"/>
      <c r="D56" s="13" t="n"/>
      <c r="E56" s="13" t="n"/>
      <c r="F56" s="13" t="n"/>
      <c r="G56" s="14" t="n"/>
      <c r="H56" s="15" t="n"/>
      <c r="I56" s="7" t="n"/>
      <c r="J56" s="7" t="n"/>
      <c r="K56" s="7" t="n"/>
      <c r="L56" s="7" t="n"/>
      <c r="M56" s="13" t="n"/>
    </row>
    <row r="57">
      <c r="A57" s="13" t="n"/>
      <c r="B57" s="13" t="n"/>
      <c r="C57" s="7" t="n"/>
      <c r="D57" s="13" t="n"/>
      <c r="E57" s="13" t="n"/>
      <c r="F57" s="13" t="n"/>
      <c r="G57" s="14" t="n"/>
      <c r="H57" s="15" t="n"/>
      <c r="I57" s="7" t="n"/>
      <c r="J57" s="7" t="n"/>
      <c r="K57" s="7" t="n"/>
      <c r="L57" s="7" t="n"/>
      <c r="M57" s="13" t="n"/>
    </row>
    <row r="58">
      <c r="A58" s="13" t="n"/>
      <c r="B58" s="13" t="n"/>
      <c r="C58" s="7" t="n"/>
      <c r="D58" s="13" t="n"/>
      <c r="E58" s="13" t="n"/>
      <c r="F58" s="13" t="n"/>
      <c r="G58" s="14" t="n"/>
      <c r="H58" s="15" t="n"/>
      <c r="I58" s="7" t="n"/>
      <c r="J58" s="7" t="n"/>
      <c r="K58" s="7" t="n"/>
      <c r="L58" s="7" t="n"/>
      <c r="M58" s="13" t="n"/>
    </row>
    <row r="59">
      <c r="A59" s="13" t="n"/>
      <c r="B59" s="13" t="n"/>
      <c r="C59" s="7" t="n"/>
      <c r="D59" s="13" t="n"/>
      <c r="E59" s="13" t="n"/>
      <c r="F59" s="13" t="n"/>
      <c r="G59" s="14" t="n"/>
      <c r="H59" s="15" t="n"/>
      <c r="I59" s="7" t="n"/>
      <c r="J59" s="7" t="n"/>
      <c r="K59" s="7" t="n"/>
      <c r="L59" s="7" t="n"/>
      <c r="M59" s="13" t="n"/>
    </row>
    <row r="60">
      <c r="A60" s="13" t="n"/>
      <c r="B60" s="13" t="n"/>
      <c r="C60" s="7" t="n"/>
      <c r="D60" s="13" t="n"/>
      <c r="E60" s="13" t="n"/>
      <c r="F60" s="13" t="n"/>
      <c r="G60" s="14" t="n"/>
      <c r="H60" s="15" t="n"/>
      <c r="I60" s="7" t="n"/>
      <c r="J60" s="7" t="n"/>
      <c r="K60" s="7" t="n"/>
      <c r="L60" s="7" t="n"/>
      <c r="M60" s="13" t="n"/>
    </row>
    <row r="61">
      <c r="A61" s="13" t="n"/>
      <c r="B61" s="13" t="n"/>
      <c r="C61" s="7" t="n"/>
      <c r="D61" s="13" t="n"/>
      <c r="E61" s="13" t="n"/>
      <c r="F61" s="13" t="n"/>
      <c r="G61" s="14" t="n"/>
      <c r="H61" s="15" t="n"/>
      <c r="I61" s="7" t="n"/>
      <c r="J61" s="7" t="n"/>
      <c r="K61" s="7" t="n"/>
      <c r="L61" s="7" t="n"/>
      <c r="M61" s="13" t="n"/>
    </row>
    <row r="62">
      <c r="A62" s="13" t="n"/>
      <c r="B62" s="13" t="n"/>
      <c r="C62" s="7" t="n"/>
      <c r="D62" s="13" t="n"/>
      <c r="E62" s="13" t="n"/>
      <c r="F62" s="13" t="n"/>
      <c r="G62" s="14" t="n"/>
      <c r="H62" s="15" t="n"/>
      <c r="I62" s="7" t="n"/>
      <c r="J62" s="7" t="n"/>
      <c r="K62" s="7" t="n"/>
      <c r="L62" s="7" t="n"/>
      <c r="M62" s="13" t="n"/>
    </row>
    <row r="63">
      <c r="A63" s="13" t="n"/>
      <c r="B63" s="13" t="n"/>
      <c r="C63" s="7" t="n"/>
      <c r="D63" s="13" t="n"/>
      <c r="E63" s="13" t="n"/>
      <c r="F63" s="13" t="n"/>
      <c r="G63" s="14" t="n"/>
      <c r="H63" s="15" t="n"/>
      <c r="I63" s="7" t="n"/>
      <c r="J63" s="7" t="n"/>
      <c r="K63" s="7" t="n"/>
      <c r="L63" s="7" t="n"/>
      <c r="M63" s="13" t="n"/>
    </row>
    <row r="64">
      <c r="A64" s="13" t="n"/>
      <c r="B64" s="13" t="n"/>
      <c r="C64" s="7" t="n"/>
      <c r="D64" s="13" t="n"/>
      <c r="E64" s="13" t="n"/>
      <c r="F64" s="13" t="n"/>
      <c r="G64" s="14" t="n"/>
      <c r="H64" s="15" t="n"/>
      <c r="I64" s="7" t="n"/>
      <c r="J64" s="7" t="n"/>
      <c r="K64" s="7" t="n"/>
      <c r="L64" s="7" t="n"/>
      <c r="M64" s="13" t="n"/>
    </row>
    <row r="65">
      <c r="A65" s="13" t="n"/>
      <c r="B65" s="13" t="n"/>
      <c r="C65" s="7" t="n"/>
      <c r="D65" s="13" t="n"/>
      <c r="E65" s="13" t="n"/>
      <c r="F65" s="13" t="n"/>
      <c r="G65" s="14" t="n"/>
      <c r="H65" s="15" t="n"/>
      <c r="I65" s="7" t="n"/>
      <c r="J65" s="7" t="n"/>
      <c r="K65" s="7" t="n"/>
      <c r="L65" s="7" t="n"/>
      <c r="M65" s="13" t="n"/>
    </row>
    <row r="66">
      <c r="A66" s="13" t="n"/>
      <c r="B66" s="13" t="n"/>
      <c r="C66" s="7" t="n"/>
      <c r="D66" s="13" t="n"/>
      <c r="E66" s="13" t="n"/>
      <c r="F66" s="13" t="n"/>
      <c r="G66" s="14" t="n"/>
      <c r="H66" s="15" t="n"/>
      <c r="I66" s="7" t="n"/>
      <c r="J66" s="7" t="n"/>
      <c r="K66" s="7" t="n"/>
      <c r="L66" s="7" t="n"/>
      <c r="M66" s="13" t="n"/>
    </row>
    <row r="67">
      <c r="A67" s="13" t="n"/>
      <c r="B67" s="13" t="n"/>
      <c r="C67" s="7" t="n"/>
      <c r="D67" s="13" t="n"/>
      <c r="E67" s="13" t="n"/>
      <c r="F67" s="13" t="n"/>
      <c r="G67" s="14" t="n"/>
      <c r="H67" s="15" t="n"/>
      <c r="I67" s="7" t="n"/>
      <c r="J67" s="7" t="n"/>
      <c r="K67" s="7" t="n"/>
      <c r="L67" s="7" t="n"/>
      <c r="M67" s="13" t="n"/>
    </row>
    <row r="68">
      <c r="A68" s="13" t="n"/>
      <c r="B68" s="13" t="n"/>
      <c r="C68" s="7" t="n"/>
      <c r="D68" s="13" t="n"/>
      <c r="E68" s="13" t="n"/>
      <c r="F68" s="13" t="n"/>
      <c r="G68" s="14" t="n"/>
      <c r="H68" s="15" t="n"/>
      <c r="I68" s="7" t="n"/>
      <c r="J68" s="7" t="n"/>
      <c r="K68" s="7" t="n"/>
      <c r="L68" s="7" t="n"/>
      <c r="M68" s="13" t="n"/>
    </row>
    <row r="69">
      <c r="A69" s="13" t="n"/>
      <c r="B69" s="13" t="n"/>
      <c r="C69" s="7" t="n"/>
      <c r="D69" s="13" t="n"/>
      <c r="E69" s="13" t="n"/>
      <c r="F69" s="13" t="n"/>
      <c r="G69" s="14" t="n"/>
      <c r="H69" s="15" t="n"/>
      <c r="I69" s="7" t="n"/>
      <c r="J69" s="7" t="n"/>
      <c r="K69" s="7" t="n"/>
      <c r="L69" s="7" t="n"/>
      <c r="M69" s="13" t="n"/>
    </row>
    <row r="70">
      <c r="A70" s="13" t="n"/>
      <c r="B70" s="13" t="n"/>
      <c r="C70" s="7" t="n"/>
      <c r="D70" s="13" t="n"/>
      <c r="E70" s="13" t="n"/>
      <c r="F70" s="13" t="n"/>
      <c r="G70" s="14" t="n"/>
      <c r="H70" s="15" t="n"/>
      <c r="I70" s="7" t="n"/>
      <c r="J70" s="7" t="n"/>
      <c r="K70" s="7" t="n"/>
      <c r="L70" s="7" t="n"/>
      <c r="M70" s="13" t="n"/>
    </row>
    <row r="71">
      <c r="A71" s="13" t="n"/>
      <c r="B71" s="13" t="n"/>
      <c r="C71" s="7" t="n"/>
      <c r="D71" s="13" t="n"/>
      <c r="E71" s="13" t="n"/>
      <c r="F71" s="13" t="n"/>
      <c r="G71" s="14" t="n"/>
      <c r="H71" s="15" t="n"/>
      <c r="I71" s="7" t="n"/>
      <c r="J71" s="7" t="n"/>
      <c r="K71" s="7" t="n"/>
      <c r="L71" s="7" t="n"/>
      <c r="M71" s="13" t="n"/>
    </row>
    <row r="72">
      <c r="A72" s="13" t="n"/>
      <c r="B72" s="13" t="n"/>
      <c r="C72" s="7" t="n"/>
      <c r="D72" s="13" t="n"/>
      <c r="E72" s="13" t="n"/>
      <c r="F72" s="13" t="n"/>
      <c r="G72" s="14" t="n"/>
      <c r="H72" s="15" t="n"/>
      <c r="I72" s="7" t="n"/>
      <c r="J72" s="7" t="n"/>
      <c r="K72" s="7" t="n"/>
      <c r="L72" s="7" t="n"/>
      <c r="M72" s="13" t="n"/>
    </row>
    <row r="73">
      <c r="A73" s="13" t="n"/>
      <c r="B73" s="13" t="n"/>
      <c r="C73" s="7" t="n"/>
      <c r="D73" s="13" t="n"/>
      <c r="E73" s="13" t="n"/>
      <c r="F73" s="13" t="n"/>
      <c r="G73" s="14" t="n"/>
      <c r="H73" s="15" t="n"/>
      <c r="I73" s="7" t="n"/>
      <c r="J73" s="7" t="n"/>
      <c r="K73" s="7" t="n"/>
      <c r="L73" s="7" t="n"/>
      <c r="M73" s="13" t="n"/>
    </row>
    <row r="74">
      <c r="A74" s="13" t="n"/>
      <c r="B74" s="13" t="n"/>
      <c r="C74" s="7" t="n"/>
      <c r="D74" s="13" t="n"/>
      <c r="E74" s="13" t="n"/>
      <c r="F74" s="13" t="n"/>
      <c r="G74" s="14" t="n"/>
      <c r="H74" s="15" t="n"/>
      <c r="I74" s="7" t="n"/>
      <c r="J74" s="7" t="n"/>
      <c r="K74" s="7" t="n"/>
      <c r="L74" s="7" t="n"/>
      <c r="M74" s="13" t="n"/>
    </row>
    <row r="75">
      <c r="A75" s="13" t="n"/>
      <c r="B75" s="13" t="n"/>
      <c r="C75" s="7" t="n"/>
      <c r="D75" s="13" t="n"/>
      <c r="E75" s="13" t="n"/>
      <c r="F75" s="13" t="n"/>
      <c r="G75" s="14" t="n"/>
      <c r="H75" s="15" t="n"/>
      <c r="I75" s="7" t="n"/>
      <c r="J75" s="7" t="n"/>
      <c r="K75" s="7" t="n"/>
      <c r="L75" s="7" t="n"/>
      <c r="M75" s="13" t="n"/>
    </row>
    <row r="76">
      <c r="A76" s="13" t="n"/>
      <c r="B76" s="13" t="n"/>
      <c r="C76" s="7" t="n"/>
      <c r="D76" s="13" t="n"/>
      <c r="E76" s="13" t="n"/>
      <c r="F76" s="13" t="n"/>
      <c r="G76" s="14" t="n"/>
      <c r="H76" s="15" t="n"/>
      <c r="I76" s="7" t="n"/>
      <c r="J76" s="7" t="n"/>
      <c r="K76" s="7" t="n"/>
      <c r="L76" s="7" t="n"/>
      <c r="M76" s="13" t="n"/>
    </row>
    <row r="77">
      <c r="A77" s="13" t="n"/>
      <c r="B77" s="13" t="n"/>
      <c r="C77" s="7" t="n"/>
      <c r="D77" s="13" t="n"/>
      <c r="E77" s="13" t="n"/>
      <c r="F77" s="13" t="n"/>
      <c r="G77" s="14" t="n"/>
      <c r="H77" s="15" t="n"/>
      <c r="I77" s="7" t="n"/>
      <c r="J77" s="7" t="n"/>
      <c r="K77" s="7" t="n"/>
      <c r="L77" s="7" t="n"/>
      <c r="M77" s="13" t="n"/>
    </row>
    <row r="78">
      <c r="A78" s="13" t="n"/>
      <c r="B78" s="13" t="n"/>
      <c r="C78" s="7" t="n"/>
      <c r="D78" s="13" t="n"/>
      <c r="E78" s="13" t="n"/>
      <c r="F78" s="13" t="n"/>
      <c r="G78" s="14" t="n"/>
      <c r="H78" s="15" t="n"/>
      <c r="I78" s="7" t="n"/>
      <c r="J78" s="7" t="n"/>
      <c r="K78" s="7" t="n"/>
      <c r="L78" s="7" t="n"/>
      <c r="M78" s="13" t="n"/>
    </row>
    <row r="79">
      <c r="A79" s="13" t="n"/>
      <c r="B79" s="13" t="n"/>
      <c r="C79" s="7" t="n"/>
      <c r="D79" s="13" t="n"/>
      <c r="E79" s="13" t="n"/>
      <c r="F79" s="13" t="n"/>
      <c r="G79" s="14" t="n"/>
      <c r="H79" s="15" t="n"/>
      <c r="I79" s="7" t="n"/>
      <c r="J79" s="7" t="n"/>
      <c r="K79" s="7" t="n"/>
      <c r="L79" s="7" t="n"/>
      <c r="M79" s="13" t="n"/>
    </row>
    <row r="80">
      <c r="A80" s="13" t="n"/>
      <c r="B80" s="13" t="n"/>
      <c r="C80" s="7" t="n"/>
      <c r="D80" s="13" t="n"/>
      <c r="E80" s="13" t="n"/>
      <c r="F80" s="13" t="n"/>
      <c r="G80" s="14" t="n"/>
      <c r="H80" s="15" t="n"/>
      <c r="I80" s="7" t="n"/>
      <c r="J80" s="7" t="n"/>
      <c r="K80" s="7" t="n"/>
      <c r="L80" s="7" t="n"/>
      <c r="M80" s="13" t="n"/>
    </row>
    <row r="81">
      <c r="A81" s="13" t="n"/>
      <c r="B81" s="13" t="n"/>
      <c r="C81" s="7" t="n"/>
      <c r="D81" s="13" t="n"/>
      <c r="E81" s="13" t="n"/>
      <c r="F81" s="13" t="n"/>
      <c r="G81" s="14" t="n"/>
      <c r="H81" s="15" t="n"/>
      <c r="I81" s="7" t="n"/>
      <c r="J81" s="7" t="n"/>
      <c r="K81" s="7" t="n"/>
      <c r="L81" s="7" t="n"/>
      <c r="M81" s="13" t="n"/>
    </row>
    <row r="82">
      <c r="A82" s="13" t="n"/>
      <c r="B82" s="13" t="n"/>
      <c r="C82" s="7" t="n"/>
      <c r="D82" s="13" t="n"/>
      <c r="E82" s="13" t="n"/>
      <c r="F82" s="13" t="n"/>
      <c r="G82" s="14" t="n"/>
      <c r="H82" s="15" t="n"/>
      <c r="I82" s="7" t="n"/>
      <c r="J82" s="7" t="n"/>
      <c r="K82" s="7" t="n"/>
      <c r="L82" s="7" t="n"/>
      <c r="M82" s="13" t="n"/>
    </row>
    <row r="83">
      <c r="A83" s="13" t="n"/>
      <c r="B83" s="13" t="n"/>
      <c r="C83" s="7" t="n"/>
      <c r="D83" s="13" t="n"/>
      <c r="E83" s="13" t="n"/>
      <c r="F83" s="13" t="n"/>
      <c r="G83" s="14" t="n"/>
      <c r="H83" s="15" t="n"/>
      <c r="I83" s="7" t="n"/>
      <c r="J83" s="7" t="n"/>
      <c r="K83" s="7" t="n"/>
      <c r="L83" s="7" t="n"/>
      <c r="M83" s="13" t="n"/>
    </row>
    <row r="84">
      <c r="A84" s="13" t="n"/>
      <c r="B84" s="13" t="n"/>
      <c r="C84" s="7" t="n"/>
      <c r="D84" s="13" t="n"/>
      <c r="E84" s="13" t="n"/>
      <c r="F84" s="13" t="n"/>
      <c r="G84" s="14" t="n"/>
      <c r="H84" s="15" t="n"/>
      <c r="I84" s="7" t="n"/>
      <c r="J84" s="7" t="n"/>
      <c r="K84" s="7" t="n"/>
      <c r="L84" s="7" t="n"/>
      <c r="M84" s="13" t="n"/>
    </row>
    <row r="85">
      <c r="A85" s="13" t="n"/>
      <c r="B85" s="13" t="n"/>
      <c r="C85" s="7" t="n"/>
      <c r="D85" s="13" t="n"/>
      <c r="E85" s="13" t="n"/>
      <c r="F85" s="13" t="n"/>
      <c r="G85" s="14" t="n"/>
      <c r="H85" s="15" t="n"/>
      <c r="I85" s="7" t="n"/>
      <c r="J85" s="7" t="n"/>
      <c r="K85" s="7" t="n"/>
      <c r="L85" s="7" t="n"/>
      <c r="M85" s="13" t="n"/>
    </row>
    <row r="86">
      <c r="A86" s="13" t="n"/>
      <c r="B86" s="13" t="n"/>
      <c r="C86" s="7" t="n"/>
      <c r="D86" s="13" t="n"/>
      <c r="E86" s="13" t="n"/>
      <c r="F86" s="13" t="n"/>
      <c r="G86" s="14" t="n"/>
      <c r="H86" s="15" t="n"/>
      <c r="I86" s="7" t="n"/>
      <c r="J86" s="7" t="n"/>
      <c r="K86" s="7" t="n"/>
      <c r="L86" s="7" t="n"/>
      <c r="M86" s="13" t="n"/>
    </row>
    <row r="87">
      <c r="A87" s="13" t="n"/>
      <c r="B87" s="13" t="n"/>
      <c r="C87" s="7" t="n"/>
      <c r="D87" s="13" t="n"/>
      <c r="E87" s="13" t="n"/>
      <c r="F87" s="13" t="n"/>
      <c r="G87" s="14" t="n"/>
      <c r="H87" s="15" t="n"/>
      <c r="I87" s="7" t="n"/>
      <c r="J87" s="7" t="n"/>
      <c r="K87" s="7" t="n"/>
      <c r="L87" s="7" t="n"/>
      <c r="M87" s="13" t="n"/>
    </row>
    <row r="88">
      <c r="A88" s="13" t="n"/>
      <c r="B88" s="13" t="n"/>
      <c r="C88" s="7" t="n"/>
      <c r="D88" s="13" t="n"/>
      <c r="E88" s="13" t="n"/>
      <c r="F88" s="13" t="n"/>
      <c r="G88" s="14" t="n"/>
      <c r="H88" s="15" t="n"/>
      <c r="I88" s="7" t="n"/>
      <c r="J88" s="7" t="n"/>
      <c r="K88" s="7" t="n"/>
      <c r="L88" s="7" t="n"/>
      <c r="M88" s="13" t="n"/>
    </row>
    <row r="89">
      <c r="A89" s="13" t="n"/>
      <c r="B89" s="13" t="n"/>
      <c r="C89" s="7" t="n"/>
      <c r="D89" s="13" t="n"/>
      <c r="E89" s="13" t="n"/>
      <c r="F89" s="13" t="n"/>
      <c r="G89" s="14" t="n"/>
      <c r="H89" s="15" t="n"/>
      <c r="I89" s="7" t="n"/>
      <c r="J89" s="7" t="n"/>
      <c r="K89" s="7" t="n"/>
      <c r="L89" s="7" t="n"/>
      <c r="M89" s="13" t="n"/>
    </row>
    <row r="90">
      <c r="A90" s="13" t="n"/>
      <c r="B90" s="13" t="n"/>
      <c r="C90" s="7" t="n"/>
      <c r="D90" s="13" t="n"/>
      <c r="E90" s="13" t="n"/>
      <c r="F90" s="13" t="n"/>
      <c r="G90" s="14" t="n"/>
      <c r="H90" s="15" t="n"/>
      <c r="I90" s="7" t="n"/>
      <c r="J90" s="7" t="n"/>
      <c r="K90" s="7" t="n"/>
      <c r="L90" s="7" t="n"/>
      <c r="M90" s="13" t="n"/>
    </row>
    <row r="91">
      <c r="A91" s="13" t="n"/>
      <c r="B91" s="13" t="n"/>
      <c r="C91" s="7" t="n"/>
      <c r="D91" s="13" t="n"/>
      <c r="E91" s="13" t="n"/>
      <c r="F91" s="13" t="n"/>
      <c r="G91" s="14" t="n"/>
      <c r="H91" s="15" t="n"/>
      <c r="I91" s="7" t="n"/>
      <c r="J91" s="7" t="n"/>
      <c r="K91" s="7" t="n"/>
      <c r="L91" s="7" t="n"/>
      <c r="M91" s="13" t="n"/>
    </row>
    <row r="92">
      <c r="A92" s="13" t="n"/>
      <c r="B92" s="13" t="n"/>
      <c r="C92" s="7" t="n"/>
      <c r="D92" s="13" t="n"/>
      <c r="E92" s="13" t="n"/>
      <c r="F92" s="13" t="n"/>
      <c r="G92" s="14" t="n"/>
      <c r="H92" s="15" t="n"/>
      <c r="I92" s="7" t="n"/>
      <c r="J92" s="7" t="n"/>
      <c r="K92" s="7" t="n"/>
      <c r="L92" s="7" t="n"/>
      <c r="M92" s="13" t="n"/>
    </row>
    <row r="93">
      <c r="A93" s="13" t="n"/>
      <c r="B93" s="13" t="n"/>
      <c r="C93" s="7" t="n"/>
      <c r="D93" s="13" t="n"/>
      <c r="E93" s="13" t="n"/>
      <c r="F93" s="13" t="n"/>
      <c r="G93" s="14" t="n"/>
      <c r="H93" s="15" t="n"/>
      <c r="I93" s="7" t="n"/>
      <c r="J93" s="7" t="n"/>
      <c r="K93" s="7" t="n"/>
      <c r="L93" s="7" t="n"/>
      <c r="M93" s="13" t="n"/>
    </row>
    <row r="94">
      <c r="A94" s="13" t="n"/>
      <c r="B94" s="13" t="n"/>
      <c r="C94" s="7" t="n"/>
      <c r="D94" s="13" t="n"/>
      <c r="E94" s="13" t="n"/>
      <c r="F94" s="13" t="n"/>
      <c r="G94" s="14" t="n"/>
      <c r="H94" s="15" t="n"/>
      <c r="I94" s="7" t="n"/>
      <c r="J94" s="7" t="n"/>
      <c r="K94" s="7" t="n"/>
      <c r="L94" s="7" t="n"/>
      <c r="M94" s="13" t="n"/>
    </row>
    <row r="95">
      <c r="A95" s="13" t="n"/>
      <c r="B95" s="13" t="n"/>
      <c r="C95" s="7" t="n"/>
      <c r="D95" s="13" t="n"/>
      <c r="E95" s="13" t="n"/>
      <c r="F95" s="13" t="n"/>
      <c r="G95" s="14" t="n"/>
      <c r="H95" s="15" t="n"/>
      <c r="I95" s="7" t="n"/>
      <c r="J95" s="7" t="n"/>
      <c r="K95" s="7" t="n"/>
      <c r="L95" s="7" t="n"/>
      <c r="M95" s="13" t="n"/>
    </row>
    <row r="96">
      <c r="A96" s="13" t="n"/>
      <c r="B96" s="13" t="n"/>
      <c r="C96" s="7" t="n"/>
      <c r="D96" s="13" t="n"/>
      <c r="E96" s="13" t="n"/>
      <c r="F96" s="13" t="n"/>
      <c r="G96" s="14" t="n"/>
      <c r="H96" s="15" t="n"/>
      <c r="I96" s="7" t="n"/>
      <c r="J96" s="7" t="n"/>
      <c r="K96" s="7" t="n"/>
      <c r="L96" s="7" t="n"/>
      <c r="M96" s="13" t="n"/>
    </row>
    <row r="97">
      <c r="A97" s="13" t="n"/>
      <c r="B97" s="13" t="n"/>
      <c r="C97" s="7" t="n"/>
      <c r="D97" s="13" t="n"/>
      <c r="E97" s="13" t="n"/>
      <c r="F97" s="13" t="n"/>
      <c r="G97" s="14" t="n"/>
      <c r="H97" s="15" t="n"/>
      <c r="I97" s="7" t="n"/>
      <c r="J97" s="7" t="n"/>
      <c r="K97" s="7" t="n"/>
      <c r="L97" s="7" t="n"/>
      <c r="M97" s="13" t="n"/>
    </row>
    <row r="98">
      <c r="A98" s="13" t="n"/>
      <c r="B98" s="13" t="n"/>
      <c r="C98" s="7" t="n"/>
      <c r="D98" s="13" t="n"/>
      <c r="E98" s="13" t="n"/>
      <c r="F98" s="13" t="n"/>
      <c r="G98" s="14" t="n"/>
      <c r="H98" s="15" t="n"/>
      <c r="I98" s="7" t="n"/>
      <c r="J98" s="7" t="n"/>
      <c r="K98" s="7" t="n"/>
      <c r="L98" s="7" t="n"/>
      <c r="M98" s="13" t="n"/>
    </row>
    <row r="99">
      <c r="A99" s="13" t="n"/>
      <c r="B99" s="13" t="n"/>
      <c r="C99" s="7" t="n"/>
      <c r="D99" s="13" t="n"/>
      <c r="E99" s="13" t="n"/>
      <c r="F99" s="13" t="n"/>
      <c r="G99" s="14" t="n"/>
      <c r="H99" s="15" t="n"/>
      <c r="I99" s="7" t="n"/>
      <c r="J99" s="7" t="n"/>
      <c r="K99" s="7" t="n"/>
      <c r="L99" s="7" t="n"/>
      <c r="M99" s="13" t="n"/>
    </row>
    <row r="100">
      <c r="A100" s="13" t="n"/>
      <c r="B100" s="13" t="n"/>
      <c r="C100" s="7" t="n"/>
      <c r="D100" s="13" t="n"/>
      <c r="E100" s="13" t="n"/>
      <c r="F100" s="13" t="n"/>
      <c r="G100" s="14" t="n"/>
      <c r="H100" s="15" t="n"/>
      <c r="I100" s="7" t="n"/>
      <c r="J100" s="7" t="n"/>
      <c r="K100" s="7" t="n"/>
      <c r="L100" s="7" t="n"/>
      <c r="M100" s="13" t="n"/>
    </row>
    <row r="101">
      <c r="A101" s="13" t="n"/>
      <c r="B101" s="13" t="n"/>
      <c r="C101" s="7" t="n"/>
      <c r="D101" s="13" t="n"/>
      <c r="E101" s="13" t="n"/>
      <c r="F101" s="13" t="n"/>
      <c r="G101" s="14" t="n"/>
      <c r="H101" s="15" t="n"/>
      <c r="I101" s="7" t="n"/>
      <c r="J101" s="7" t="n"/>
      <c r="K101" s="7" t="n"/>
      <c r="L101" s="7" t="n"/>
      <c r="M101" s="13" t="n"/>
    </row>
    <row r="102">
      <c r="A102" s="13" t="n"/>
      <c r="B102" s="13" t="n"/>
      <c r="C102" s="7" t="n"/>
      <c r="D102" s="13" t="n"/>
      <c r="E102" s="13" t="n"/>
      <c r="F102" s="13" t="n"/>
      <c r="G102" s="14" t="n"/>
      <c r="H102" s="15" t="n"/>
      <c r="I102" s="7" t="n"/>
      <c r="J102" s="7" t="n"/>
      <c r="K102" s="7" t="n"/>
      <c r="L102" s="7" t="n"/>
      <c r="M102" s="13" t="n"/>
    </row>
    <row r="103">
      <c r="A103" s="13" t="n"/>
      <c r="B103" s="13" t="n"/>
      <c r="C103" s="7" t="n"/>
      <c r="D103" s="13" t="n"/>
      <c r="E103" s="13" t="n"/>
      <c r="F103" s="13" t="n"/>
      <c r="G103" s="14" t="n"/>
      <c r="H103" s="15" t="n"/>
      <c r="I103" s="7" t="n"/>
      <c r="J103" s="7" t="n"/>
      <c r="K103" s="7" t="n"/>
      <c r="L103" s="7" t="n"/>
      <c r="M103" s="13" t="n"/>
    </row>
    <row r="104">
      <c r="A104" s="13" t="n"/>
      <c r="B104" s="13" t="n"/>
      <c r="C104" s="7" t="n"/>
      <c r="D104" s="13" t="n"/>
      <c r="E104" s="13" t="n"/>
      <c r="F104" s="13" t="n"/>
      <c r="G104" s="14" t="n"/>
      <c r="H104" s="15" t="n"/>
      <c r="I104" s="7" t="n"/>
      <c r="J104" s="7" t="n"/>
      <c r="K104" s="7" t="n"/>
      <c r="L104" s="7" t="n"/>
      <c r="M104" s="13" t="n"/>
    </row>
    <row r="105">
      <c r="A105" s="13" t="n"/>
      <c r="B105" s="13" t="n"/>
      <c r="C105" s="7" t="n"/>
      <c r="D105" s="13" t="n"/>
      <c r="E105" s="13" t="n"/>
      <c r="F105" s="13" t="n"/>
      <c r="G105" s="14" t="n"/>
      <c r="H105" s="15" t="n"/>
      <c r="I105" s="7" t="n"/>
      <c r="J105" s="7" t="n"/>
      <c r="K105" s="7" t="n"/>
      <c r="L105" s="7" t="n"/>
      <c r="M105" s="13" t="n"/>
    </row>
    <row r="106">
      <c r="A106" s="13" t="n"/>
      <c r="B106" s="13" t="n"/>
      <c r="C106" s="7" t="n"/>
      <c r="D106" s="13" t="n"/>
      <c r="E106" s="13" t="n"/>
      <c r="F106" s="13" t="n"/>
      <c r="G106" s="14" t="n"/>
      <c r="H106" s="15" t="n"/>
      <c r="I106" s="7" t="n"/>
      <c r="J106" s="7" t="n"/>
      <c r="K106" s="7" t="n"/>
      <c r="L106" s="7" t="n"/>
      <c r="M106" s="13" t="n"/>
    </row>
    <row r="107">
      <c r="A107" s="13" t="n"/>
      <c r="B107" s="13" t="n"/>
      <c r="C107" s="7" t="n"/>
      <c r="D107" s="13" t="n"/>
      <c r="E107" s="13" t="n"/>
      <c r="F107" s="13" t="n"/>
      <c r="G107" s="14" t="n"/>
      <c r="H107" s="15" t="n"/>
      <c r="I107" s="7" t="n"/>
      <c r="J107" s="7" t="n"/>
      <c r="K107" s="7" t="n"/>
      <c r="L107" s="7" t="n"/>
      <c r="M107" s="13" t="n"/>
    </row>
    <row r="108">
      <c r="A108" s="13" t="n"/>
      <c r="B108" s="13" t="n"/>
      <c r="C108" s="7" t="n"/>
      <c r="D108" s="13" t="n"/>
      <c r="E108" s="13" t="n"/>
      <c r="F108" s="13" t="n"/>
      <c r="G108" s="14" t="n"/>
      <c r="H108" s="15" t="n"/>
      <c r="I108" s="7" t="n"/>
      <c r="J108" s="7" t="n"/>
      <c r="K108" s="7" t="n"/>
      <c r="L108" s="7" t="n"/>
      <c r="M108" s="13" t="n"/>
    </row>
    <row r="109">
      <c r="A109" s="13" t="n"/>
      <c r="B109" s="13" t="n"/>
      <c r="C109" s="7" t="n"/>
      <c r="D109" s="13" t="n"/>
      <c r="E109" s="13" t="n"/>
      <c r="F109" s="13" t="n"/>
      <c r="G109" s="14" t="n"/>
      <c r="H109" s="15" t="n"/>
      <c r="I109" s="7" t="n"/>
      <c r="J109" s="7" t="n"/>
      <c r="K109" s="7" t="n"/>
      <c r="L109" s="7" t="n"/>
      <c r="M109" s="13" t="n"/>
    </row>
    <row r="110">
      <c r="A110" s="13" t="n"/>
      <c r="B110" s="13" t="n"/>
      <c r="C110" s="7" t="n"/>
      <c r="D110" s="13" t="n"/>
      <c r="E110" s="13" t="n"/>
      <c r="F110" s="13" t="n"/>
      <c r="G110" s="14" t="n"/>
      <c r="H110" s="15" t="n"/>
      <c r="I110" s="7" t="n"/>
      <c r="J110" s="7" t="n"/>
      <c r="K110" s="7" t="n"/>
      <c r="L110" s="7" t="n"/>
      <c r="M110" s="13" t="n"/>
    </row>
    <row r="111">
      <c r="A111" s="13" t="n"/>
      <c r="B111" s="13" t="n"/>
      <c r="C111" s="7" t="n"/>
      <c r="D111" s="13" t="n"/>
      <c r="E111" s="13" t="n"/>
      <c r="F111" s="13" t="n"/>
      <c r="G111" s="14" t="n"/>
      <c r="H111" s="15" t="n"/>
      <c r="I111" s="7" t="n"/>
      <c r="J111" s="7" t="n"/>
      <c r="K111" s="7" t="n"/>
      <c r="L111" s="7" t="n"/>
      <c r="M111" s="13" t="n"/>
    </row>
    <row r="112">
      <c r="A112" s="13" t="n"/>
      <c r="B112" s="13" t="n"/>
      <c r="C112" s="7" t="n"/>
      <c r="D112" s="13" t="n"/>
      <c r="E112" s="13" t="n"/>
      <c r="F112" s="13" t="n"/>
      <c r="G112" s="14" t="n"/>
      <c r="H112" s="15" t="n"/>
      <c r="I112" s="7" t="n"/>
      <c r="J112" s="7" t="n"/>
      <c r="K112" s="7" t="n"/>
      <c r="L112" s="7" t="n"/>
      <c r="M112" s="13" t="n"/>
    </row>
    <row r="113">
      <c r="A113" s="13" t="n"/>
      <c r="B113" s="13" t="n"/>
      <c r="C113" s="7" t="n"/>
      <c r="D113" s="13" t="n"/>
      <c r="E113" s="13" t="n"/>
      <c r="F113" s="13" t="n"/>
      <c r="G113" s="14" t="n"/>
      <c r="H113" s="15" t="n"/>
      <c r="I113" s="7" t="n"/>
      <c r="J113" s="7" t="n"/>
      <c r="K113" s="7" t="n"/>
      <c r="L113" s="7" t="n"/>
      <c r="M113" s="13" t="n"/>
    </row>
    <row r="114">
      <c r="A114" s="13" t="n"/>
      <c r="B114" s="13" t="n"/>
      <c r="C114" s="7" t="n"/>
      <c r="D114" s="13" t="n"/>
      <c r="E114" s="13" t="n"/>
      <c r="F114" s="13" t="n"/>
      <c r="G114" s="14" t="n"/>
      <c r="H114" s="15" t="n"/>
      <c r="I114" s="7" t="n"/>
      <c r="J114" s="7" t="n"/>
      <c r="K114" s="7" t="n"/>
      <c r="L114" s="7" t="n"/>
      <c r="M114" s="13" t="n"/>
    </row>
    <row r="115">
      <c r="A115" s="13" t="n"/>
      <c r="B115" s="13" t="n"/>
      <c r="C115" s="7" t="n"/>
      <c r="D115" s="13" t="n"/>
      <c r="E115" s="13" t="n"/>
      <c r="F115" s="13" t="n"/>
      <c r="G115" s="14" t="n"/>
      <c r="H115" s="15" t="n"/>
      <c r="I115" s="7" t="n"/>
      <c r="J115" s="7" t="n"/>
      <c r="K115" s="7" t="n"/>
      <c r="L115" s="7" t="n"/>
      <c r="M115" s="13" t="n"/>
    </row>
    <row r="116">
      <c r="A116" s="13" t="n"/>
      <c r="B116" s="13" t="n"/>
      <c r="C116" s="7" t="n"/>
      <c r="D116" s="13" t="n"/>
      <c r="E116" s="13" t="n"/>
      <c r="F116" s="13" t="n"/>
      <c r="G116" s="14" t="n"/>
      <c r="H116" s="15" t="n"/>
      <c r="I116" s="7" t="n"/>
      <c r="J116" s="7" t="n"/>
      <c r="K116" s="7" t="n"/>
      <c r="L116" s="7" t="n"/>
      <c r="M116" s="13" t="n"/>
    </row>
    <row r="117">
      <c r="A117" s="13" t="n"/>
      <c r="B117" s="13" t="n"/>
      <c r="C117" s="7" t="n"/>
      <c r="D117" s="13" t="n"/>
      <c r="E117" s="13" t="n"/>
      <c r="F117" s="13" t="n"/>
      <c r="G117" s="14" t="n"/>
      <c r="H117" s="15" t="n"/>
      <c r="I117" s="7" t="n"/>
      <c r="J117" s="7" t="n"/>
      <c r="K117" s="7" t="n"/>
      <c r="L117" s="7" t="n"/>
      <c r="M117" s="13" t="n"/>
    </row>
    <row r="118">
      <c r="A118" s="13" t="n"/>
      <c r="B118" s="13" t="n"/>
      <c r="C118" s="7" t="n"/>
      <c r="D118" s="13" t="n"/>
      <c r="E118" s="13" t="n"/>
      <c r="F118" s="13" t="n"/>
      <c r="G118" s="14" t="n"/>
      <c r="H118" s="15" t="n"/>
      <c r="I118" s="7" t="n"/>
      <c r="J118" s="7" t="n"/>
      <c r="K118" s="7" t="n"/>
      <c r="L118" s="7" t="n"/>
      <c r="M118" s="13" t="n"/>
    </row>
    <row r="119">
      <c r="A119" s="13" t="n"/>
      <c r="B119" s="13" t="n"/>
      <c r="C119" s="7" t="n"/>
      <c r="D119" s="13" t="n"/>
      <c r="E119" s="13" t="n"/>
      <c r="F119" s="13" t="n"/>
      <c r="G119" s="14" t="n"/>
      <c r="H119" s="15" t="n"/>
      <c r="I119" s="7" t="n"/>
      <c r="J119" s="7" t="n"/>
      <c r="K119" s="7" t="n"/>
      <c r="L119" s="7" t="n"/>
      <c r="M119" s="13" t="n"/>
    </row>
    <row r="120">
      <c r="A120" s="13" t="n"/>
      <c r="B120" s="13" t="n"/>
      <c r="C120" s="7" t="n"/>
      <c r="D120" s="13" t="n"/>
      <c r="E120" s="13" t="n"/>
      <c r="F120" s="13" t="n"/>
      <c r="G120" s="14" t="n"/>
      <c r="H120" s="15" t="n"/>
      <c r="I120" s="7" t="n"/>
      <c r="J120" s="7" t="n"/>
      <c r="K120" s="7" t="n"/>
      <c r="L120" s="7" t="n"/>
      <c r="M120" s="13" t="n"/>
    </row>
    <row r="121">
      <c r="A121" s="13" t="n"/>
      <c r="B121" s="13" t="n"/>
      <c r="C121" s="7" t="n"/>
      <c r="D121" s="13" t="n"/>
      <c r="E121" s="13" t="n"/>
      <c r="F121" s="13" t="n"/>
      <c r="G121" s="14" t="n"/>
      <c r="H121" s="15" t="n"/>
      <c r="I121" s="7" t="n"/>
      <c r="J121" s="7" t="n"/>
      <c r="K121" s="7" t="n"/>
      <c r="L121" s="7" t="n"/>
      <c r="M121" s="13" t="n"/>
    </row>
    <row r="122">
      <c r="A122" s="13" t="n"/>
      <c r="B122" s="13" t="n"/>
      <c r="C122" s="7" t="n"/>
      <c r="D122" s="13" t="n"/>
      <c r="E122" s="13" t="n"/>
      <c r="F122" s="13" t="n"/>
      <c r="G122" s="14" t="n"/>
      <c r="H122" s="15" t="n"/>
      <c r="I122" s="7" t="n"/>
      <c r="J122" s="7" t="n"/>
      <c r="K122" s="7" t="n"/>
      <c r="L122" s="7" t="n"/>
      <c r="M122" s="13" t="n"/>
    </row>
    <row r="123">
      <c r="A123" s="13" t="n"/>
      <c r="B123" s="13" t="n"/>
      <c r="C123" s="7" t="n"/>
      <c r="D123" s="13" t="n"/>
      <c r="E123" s="13" t="n"/>
      <c r="F123" s="13" t="n"/>
      <c r="G123" s="14" t="n"/>
      <c r="H123" s="15" t="n"/>
      <c r="I123" s="7" t="n"/>
      <c r="J123" s="7" t="n"/>
      <c r="K123" s="7" t="n"/>
      <c r="L123" s="7" t="n"/>
      <c r="M123" s="13" t="n"/>
    </row>
    <row r="124">
      <c r="A124" s="13" t="n"/>
      <c r="B124" s="13" t="n"/>
      <c r="C124" s="7" t="n"/>
      <c r="D124" s="13" t="n"/>
      <c r="E124" s="13" t="n"/>
      <c r="F124" s="13" t="n"/>
      <c r="G124" s="14" t="n"/>
      <c r="H124" s="15" t="n"/>
      <c r="I124" s="7" t="n"/>
      <c r="J124" s="7" t="n"/>
      <c r="K124" s="7" t="n"/>
      <c r="L124" s="7" t="n"/>
      <c r="M124" s="13" t="n"/>
    </row>
    <row r="125">
      <c r="A125" s="13" t="n"/>
      <c r="B125" s="13" t="n"/>
      <c r="C125" s="7" t="n"/>
      <c r="D125" s="13" t="n"/>
      <c r="E125" s="13" t="n"/>
      <c r="F125" s="13" t="n"/>
      <c r="G125" s="14" t="n"/>
      <c r="H125" s="15" t="n"/>
      <c r="I125" s="7" t="n"/>
      <c r="J125" s="7" t="n"/>
      <c r="K125" s="7" t="n"/>
      <c r="L125" s="7" t="n"/>
      <c r="M125" s="13" t="n"/>
    </row>
    <row r="126">
      <c r="A126" s="13" t="n"/>
      <c r="B126" s="13" t="n"/>
      <c r="C126" s="7" t="n"/>
      <c r="D126" s="13" t="n"/>
      <c r="E126" s="13" t="n"/>
      <c r="F126" s="13" t="n"/>
      <c r="G126" s="14" t="n"/>
      <c r="H126" s="15" t="n"/>
      <c r="I126" s="7" t="n"/>
      <c r="J126" s="7" t="n"/>
      <c r="K126" s="7" t="n"/>
      <c r="L126" s="7" t="n"/>
      <c r="M126" s="13" t="n"/>
    </row>
    <row r="127">
      <c r="A127" s="13" t="n"/>
      <c r="B127" s="13" t="n"/>
      <c r="C127" s="7" t="n"/>
      <c r="D127" s="13" t="n"/>
      <c r="E127" s="13" t="n"/>
      <c r="F127" s="13" t="n"/>
      <c r="G127" s="14" t="n"/>
      <c r="H127" s="15" t="n"/>
      <c r="I127" s="7" t="n"/>
      <c r="J127" s="7" t="n"/>
      <c r="K127" s="7" t="n"/>
      <c r="L127" s="7" t="n"/>
      <c r="M127" s="13" t="n"/>
    </row>
    <row r="128">
      <c r="A128" s="13" t="n"/>
      <c r="B128" s="13" t="n"/>
      <c r="C128" s="7" t="n"/>
      <c r="D128" s="13" t="n"/>
      <c r="E128" s="13" t="n"/>
      <c r="F128" s="13" t="n"/>
      <c r="G128" s="14" t="n"/>
      <c r="H128" s="15" t="n"/>
      <c r="I128" s="7" t="n"/>
      <c r="J128" s="7" t="n"/>
      <c r="K128" s="7" t="n"/>
      <c r="L128" s="7" t="n"/>
      <c r="M128" s="13" t="n"/>
    </row>
    <row r="129">
      <c r="A129" s="13" t="n"/>
      <c r="B129" s="13" t="n"/>
      <c r="C129" s="7" t="n"/>
      <c r="D129" s="13" t="n"/>
      <c r="E129" s="13" t="n"/>
      <c r="F129" s="13" t="n"/>
      <c r="G129" s="14" t="n"/>
      <c r="H129" s="15" t="n"/>
      <c r="I129" s="7" t="n"/>
      <c r="J129" s="7" t="n"/>
      <c r="K129" s="7" t="n"/>
      <c r="L129" s="7" t="n"/>
      <c r="M129" s="13" t="n"/>
    </row>
    <row r="130">
      <c r="A130" s="13" t="n"/>
      <c r="B130" s="13" t="n"/>
      <c r="C130" s="7" t="n"/>
      <c r="D130" s="13" t="n"/>
      <c r="E130" s="13" t="n"/>
      <c r="F130" s="13" t="n"/>
      <c r="G130" s="14" t="n"/>
      <c r="H130" s="15" t="n"/>
      <c r="I130" s="7" t="n"/>
      <c r="J130" s="7" t="n"/>
      <c r="K130" s="7" t="n"/>
      <c r="L130" s="7" t="n"/>
      <c r="M130" s="13" t="n"/>
    </row>
    <row r="131">
      <c r="A131" s="13" t="n"/>
      <c r="B131" s="13" t="n"/>
      <c r="C131" s="7" t="n"/>
      <c r="D131" s="13" t="n"/>
      <c r="E131" s="13" t="n"/>
      <c r="F131" s="13" t="n"/>
      <c r="G131" s="14" t="n"/>
      <c r="H131" s="15" t="n"/>
      <c r="I131" s="7" t="n"/>
      <c r="J131" s="7" t="n"/>
      <c r="K131" s="7" t="n"/>
      <c r="L131" s="7" t="n"/>
      <c r="M131" s="13" t="n"/>
    </row>
    <row r="132">
      <c r="A132" s="13" t="n"/>
      <c r="B132" s="13" t="n"/>
      <c r="C132" s="7" t="n"/>
      <c r="D132" s="13" t="n"/>
      <c r="E132" s="13" t="n"/>
      <c r="F132" s="13" t="n"/>
      <c r="G132" s="14" t="n"/>
      <c r="H132" s="15" t="n"/>
      <c r="I132" s="7" t="n"/>
      <c r="J132" s="7" t="n"/>
      <c r="K132" s="7" t="n"/>
      <c r="L132" s="7" t="n"/>
      <c r="M132" s="13" t="n"/>
    </row>
    <row r="133">
      <c r="A133" s="13" t="n"/>
      <c r="B133" s="13" t="n"/>
      <c r="C133" s="7" t="n"/>
      <c r="D133" s="13" t="n"/>
      <c r="E133" s="13" t="n"/>
      <c r="F133" s="13" t="n"/>
      <c r="G133" s="14" t="n"/>
      <c r="H133" s="15" t="n"/>
      <c r="I133" s="7" t="n"/>
      <c r="J133" s="7" t="n"/>
      <c r="K133" s="7" t="n"/>
      <c r="L133" s="7" t="n"/>
      <c r="M133" s="13" t="n"/>
    </row>
    <row r="134">
      <c r="A134" s="13" t="n"/>
      <c r="B134" s="13" t="n"/>
      <c r="C134" s="7" t="n"/>
      <c r="D134" s="13" t="n"/>
      <c r="E134" s="13" t="n"/>
      <c r="F134" s="13" t="n"/>
      <c r="G134" s="14" t="n"/>
      <c r="H134" s="15" t="n"/>
      <c r="I134" s="7" t="n"/>
      <c r="J134" s="7" t="n"/>
      <c r="K134" s="7" t="n"/>
      <c r="L134" s="7" t="n"/>
      <c r="M134" s="13" t="n"/>
    </row>
    <row r="135">
      <c r="A135" s="13" t="n"/>
      <c r="B135" s="13" t="n"/>
      <c r="C135" s="7" t="n"/>
      <c r="D135" s="13" t="n"/>
      <c r="E135" s="13" t="n"/>
      <c r="F135" s="13" t="n"/>
      <c r="G135" s="14" t="n"/>
      <c r="H135" s="15" t="n"/>
      <c r="I135" s="7" t="n"/>
      <c r="J135" s="7" t="n"/>
      <c r="K135" s="7" t="n"/>
      <c r="L135" s="7" t="n"/>
      <c r="M135" s="13" t="n"/>
    </row>
    <row r="136">
      <c r="A136" s="13" t="n"/>
      <c r="B136" s="13" t="n"/>
      <c r="C136" s="7" t="n"/>
      <c r="D136" s="13" t="n"/>
      <c r="E136" s="13" t="n"/>
      <c r="F136" s="13" t="n"/>
      <c r="G136" s="14" t="n"/>
      <c r="H136" s="15" t="n"/>
      <c r="I136" s="7" t="n"/>
      <c r="J136" s="7" t="n"/>
      <c r="K136" s="7" t="n"/>
      <c r="L136" s="7" t="n"/>
      <c r="M136" s="13" t="n"/>
    </row>
    <row r="137">
      <c r="A137" s="13" t="n"/>
      <c r="B137" s="13" t="n"/>
      <c r="C137" s="7" t="n"/>
      <c r="D137" s="13" t="n"/>
      <c r="E137" s="13" t="n"/>
      <c r="F137" s="13" t="n"/>
      <c r="G137" s="14" t="n"/>
      <c r="H137" s="15" t="n"/>
      <c r="I137" s="7" t="n"/>
      <c r="J137" s="7" t="n"/>
      <c r="K137" s="7" t="n"/>
      <c r="L137" s="7" t="n"/>
      <c r="M137" s="13" t="n"/>
    </row>
    <row r="138">
      <c r="A138" s="13" t="n"/>
      <c r="B138" s="13" t="n"/>
      <c r="C138" s="7" t="n"/>
      <c r="D138" s="13" t="n"/>
      <c r="E138" s="13" t="n"/>
      <c r="F138" s="13" t="n"/>
      <c r="G138" s="14" t="n"/>
      <c r="H138" s="15" t="n"/>
      <c r="I138" s="7" t="n"/>
      <c r="J138" s="7" t="n"/>
      <c r="K138" s="7" t="n"/>
      <c r="L138" s="7" t="n"/>
      <c r="M138" s="13" t="n"/>
    </row>
    <row r="139">
      <c r="A139" s="13" t="n"/>
      <c r="B139" s="13" t="n"/>
      <c r="C139" s="7" t="n"/>
      <c r="D139" s="13" t="n"/>
      <c r="E139" s="13" t="n"/>
      <c r="F139" s="13" t="n"/>
      <c r="G139" s="14" t="n"/>
      <c r="H139" s="15" t="n"/>
      <c r="I139" s="7" t="n"/>
      <c r="J139" s="7" t="n"/>
      <c r="K139" s="7" t="n"/>
      <c r="L139" s="7" t="n"/>
      <c r="M139" s="13" t="n"/>
    </row>
    <row r="140">
      <c r="A140" s="13" t="n"/>
      <c r="B140" s="13" t="n"/>
      <c r="C140" s="7" t="n"/>
      <c r="D140" s="13" t="n"/>
      <c r="E140" s="13" t="n"/>
      <c r="F140" s="13" t="n"/>
      <c r="G140" s="14" t="n"/>
      <c r="H140" s="15" t="n"/>
      <c r="I140" s="7" t="n"/>
      <c r="J140" s="7" t="n"/>
      <c r="K140" s="7" t="n"/>
      <c r="L140" s="7" t="n"/>
      <c r="M140" s="13" t="n"/>
    </row>
    <row r="141">
      <c r="A141" s="13" t="n"/>
      <c r="B141" s="13" t="n"/>
      <c r="C141" s="7" t="n"/>
      <c r="D141" s="13" t="n"/>
      <c r="E141" s="13" t="n"/>
      <c r="F141" s="13" t="n"/>
      <c r="G141" s="14" t="n"/>
      <c r="H141" s="15" t="n"/>
      <c r="I141" s="7" t="n"/>
      <c r="J141" s="7" t="n"/>
      <c r="K141" s="7" t="n"/>
      <c r="L141" s="7" t="n"/>
      <c r="M141" s="13" t="n"/>
    </row>
    <row r="142">
      <c r="A142" s="13" t="n"/>
      <c r="B142" s="13" t="n"/>
      <c r="C142" s="7" t="n"/>
      <c r="D142" s="13" t="n"/>
      <c r="E142" s="13" t="n"/>
      <c r="F142" s="13" t="n"/>
      <c r="G142" s="14" t="n"/>
      <c r="H142" s="15" t="n"/>
      <c r="I142" s="7" t="n"/>
      <c r="J142" s="7" t="n"/>
      <c r="K142" s="7" t="n"/>
      <c r="L142" s="7" t="n"/>
      <c r="M142" s="13" t="n"/>
    </row>
    <row r="143">
      <c r="A143" s="13" t="n"/>
      <c r="B143" s="13" t="n"/>
      <c r="C143" s="7" t="n"/>
      <c r="D143" s="13" t="n"/>
      <c r="E143" s="13" t="n"/>
      <c r="F143" s="13" t="n"/>
      <c r="G143" s="14" t="n"/>
      <c r="H143" s="15" t="n"/>
      <c r="I143" s="7" t="n"/>
      <c r="J143" s="7" t="n"/>
      <c r="K143" s="7" t="n"/>
      <c r="L143" s="7" t="n"/>
      <c r="M143" s="13" t="n"/>
    </row>
    <row r="144">
      <c r="A144" s="13" t="n"/>
      <c r="B144" s="13" t="n"/>
      <c r="C144" s="7" t="n"/>
      <c r="D144" s="13" t="n"/>
      <c r="E144" s="13" t="n"/>
      <c r="F144" s="13" t="n"/>
      <c r="G144" s="14" t="n"/>
      <c r="H144" s="15" t="n"/>
      <c r="I144" s="7" t="n"/>
      <c r="J144" s="7" t="n"/>
      <c r="K144" s="7" t="n"/>
      <c r="L144" s="7" t="n"/>
      <c r="M144" s="13" t="n"/>
    </row>
    <row r="145">
      <c r="A145" s="13" t="n"/>
      <c r="B145" s="13" t="n"/>
      <c r="C145" s="7" t="n"/>
      <c r="D145" s="13" t="n"/>
      <c r="E145" s="13" t="n"/>
      <c r="F145" s="13" t="n"/>
      <c r="G145" s="14" t="n"/>
      <c r="H145" s="15" t="n"/>
      <c r="I145" s="7" t="n"/>
      <c r="J145" s="7" t="n"/>
      <c r="K145" s="7" t="n"/>
      <c r="L145" s="7" t="n"/>
      <c r="M145" s="13" t="n"/>
    </row>
    <row r="146">
      <c r="A146" s="13" t="n"/>
      <c r="B146" s="13" t="n"/>
      <c r="C146" s="7" t="n"/>
      <c r="D146" s="13" t="n"/>
      <c r="E146" s="13" t="n"/>
      <c r="F146" s="13" t="n"/>
      <c r="G146" s="14" t="n"/>
      <c r="H146" s="15" t="n"/>
      <c r="I146" s="7" t="n"/>
      <c r="J146" s="7" t="n"/>
      <c r="K146" s="7" t="n"/>
      <c r="L146" s="7" t="n"/>
      <c r="M146" s="13" t="n"/>
    </row>
    <row r="147">
      <c r="A147" s="13" t="n"/>
      <c r="B147" s="13" t="n"/>
      <c r="C147" s="7" t="n"/>
      <c r="D147" s="13" t="n"/>
      <c r="E147" s="13" t="n"/>
      <c r="F147" s="13" t="n"/>
      <c r="G147" s="14" t="n"/>
      <c r="H147" s="15" t="n"/>
      <c r="I147" s="7" t="n"/>
      <c r="J147" s="7" t="n"/>
      <c r="K147" s="7" t="n"/>
      <c r="L147" s="7" t="n"/>
      <c r="M147" s="13" t="n"/>
    </row>
    <row r="148">
      <c r="A148" s="13" t="n"/>
      <c r="B148" s="13" t="n"/>
      <c r="C148" s="7" t="n"/>
      <c r="D148" s="13" t="n"/>
      <c r="E148" s="13" t="n"/>
      <c r="F148" s="13" t="n"/>
      <c r="G148" s="14" t="n"/>
      <c r="H148" s="15" t="n"/>
      <c r="I148" s="7" t="n"/>
      <c r="J148" s="7" t="n"/>
      <c r="K148" s="7" t="n"/>
      <c r="L148" s="7" t="n"/>
      <c r="M148" s="13" t="n"/>
    </row>
    <row r="149">
      <c r="A149" s="13" t="n"/>
      <c r="B149" s="13" t="n"/>
      <c r="C149" s="7" t="n"/>
      <c r="D149" s="13" t="n"/>
      <c r="E149" s="13" t="n"/>
      <c r="F149" s="13" t="n"/>
      <c r="G149" s="14" t="n"/>
      <c r="H149" s="15" t="n"/>
      <c r="I149" s="7" t="n"/>
      <c r="J149" s="7" t="n"/>
      <c r="K149" s="7" t="n"/>
      <c r="L149" s="7" t="n"/>
      <c r="M149" s="13" t="n"/>
    </row>
    <row r="150">
      <c r="A150" s="13" t="n"/>
      <c r="B150" s="13" t="n"/>
      <c r="C150" s="7" t="n"/>
      <c r="D150" s="13" t="n"/>
      <c r="E150" s="13" t="n"/>
      <c r="F150" s="13" t="n"/>
      <c r="G150" s="14" t="n"/>
      <c r="H150" s="15" t="n"/>
      <c r="I150" s="7" t="n"/>
      <c r="J150" s="7" t="n"/>
      <c r="K150" s="7" t="n"/>
      <c r="L150" s="7" t="n"/>
      <c r="M150" s="13" t="n"/>
    </row>
    <row r="151">
      <c r="A151" s="13" t="n"/>
      <c r="B151" s="13" t="n"/>
      <c r="C151" s="7" t="n"/>
      <c r="D151" s="13" t="n"/>
      <c r="E151" s="13" t="n"/>
      <c r="F151" s="13" t="n"/>
      <c r="G151" s="14" t="n"/>
      <c r="H151" s="15" t="n"/>
      <c r="I151" s="7" t="n"/>
      <c r="J151" s="7" t="n"/>
      <c r="K151" s="7" t="n"/>
      <c r="L151" s="7" t="n"/>
      <c r="M151" s="13" t="n"/>
    </row>
    <row r="152">
      <c r="A152" s="13" t="n"/>
      <c r="B152" s="13" t="n"/>
      <c r="C152" s="7" t="n"/>
      <c r="D152" s="13" t="n"/>
      <c r="E152" s="13" t="n"/>
      <c r="F152" s="13" t="n"/>
      <c r="G152" s="14" t="n"/>
      <c r="H152" s="15" t="n"/>
      <c r="I152" s="7" t="n"/>
      <c r="J152" s="7" t="n"/>
      <c r="K152" s="7" t="n"/>
      <c r="L152" s="7" t="n"/>
      <c r="M152" s="13" t="n"/>
    </row>
    <row r="153">
      <c r="A153" s="13" t="n"/>
      <c r="B153" s="13" t="n"/>
      <c r="C153" s="7" t="n"/>
      <c r="D153" s="13" t="n"/>
      <c r="E153" s="13" t="n"/>
      <c r="F153" s="13" t="n"/>
      <c r="G153" s="14" t="n"/>
      <c r="H153" s="15" t="n"/>
      <c r="I153" s="7" t="n"/>
      <c r="J153" s="7" t="n"/>
      <c r="K153" s="7" t="n"/>
      <c r="L153" s="7" t="n"/>
      <c r="M153" s="13" t="n"/>
    </row>
    <row r="154">
      <c r="A154" s="13" t="n"/>
      <c r="B154" s="13" t="n"/>
      <c r="C154" s="7" t="n"/>
      <c r="D154" s="13" t="n"/>
      <c r="E154" s="13" t="n"/>
      <c r="F154" s="13" t="n"/>
      <c r="G154" s="14" t="n"/>
      <c r="H154" s="15" t="n"/>
      <c r="I154" s="7" t="n"/>
      <c r="J154" s="7" t="n"/>
      <c r="K154" s="7" t="n"/>
      <c r="L154" s="7" t="n"/>
      <c r="M154" s="13" t="n"/>
    </row>
    <row r="155">
      <c r="A155" s="13" t="n"/>
      <c r="B155" s="13" t="n"/>
      <c r="C155" s="7" t="n"/>
      <c r="D155" s="13" t="n"/>
      <c r="E155" s="13" t="n"/>
      <c r="F155" s="13" t="n"/>
      <c r="G155" s="14" t="n"/>
      <c r="H155" s="15" t="n"/>
      <c r="I155" s="7" t="n"/>
      <c r="J155" s="7" t="n"/>
      <c r="K155" s="7" t="n"/>
      <c r="L155" s="7" t="n"/>
      <c r="M155" s="13" t="n"/>
    </row>
    <row r="156">
      <c r="A156" s="13" t="n"/>
      <c r="B156" s="13" t="n"/>
      <c r="C156" s="7" t="n"/>
      <c r="D156" s="13" t="n"/>
      <c r="E156" s="13" t="n"/>
      <c r="F156" s="13" t="n"/>
      <c r="G156" s="14" t="n"/>
      <c r="H156" s="15" t="n"/>
      <c r="I156" s="7" t="n"/>
      <c r="J156" s="7" t="n"/>
      <c r="K156" s="7" t="n"/>
      <c r="L156" s="7" t="n"/>
      <c r="M156" s="13" t="n"/>
    </row>
    <row r="157">
      <c r="A157" s="13" t="n"/>
      <c r="B157" s="13" t="n"/>
      <c r="C157" s="7" t="n"/>
      <c r="D157" s="13" t="n"/>
      <c r="E157" s="13" t="n"/>
      <c r="F157" s="13" t="n"/>
      <c r="G157" s="14" t="n"/>
      <c r="H157" s="15" t="n"/>
      <c r="I157" s="7" t="n"/>
      <c r="J157" s="7" t="n"/>
      <c r="K157" s="7" t="n"/>
      <c r="L157" s="7" t="n"/>
      <c r="M157" s="13" t="n"/>
    </row>
    <row r="158">
      <c r="A158" s="13" t="n"/>
      <c r="B158" s="13" t="n"/>
      <c r="C158" s="7" t="n"/>
      <c r="D158" s="13" t="n"/>
      <c r="E158" s="13" t="n"/>
      <c r="F158" s="13" t="n"/>
      <c r="G158" s="14" t="n"/>
      <c r="H158" s="15" t="n"/>
      <c r="I158" s="7" t="n"/>
      <c r="J158" s="7" t="n"/>
      <c r="K158" s="7" t="n"/>
      <c r="L158" s="7" t="n"/>
      <c r="M158" s="13" t="n"/>
    </row>
    <row r="159">
      <c r="A159" s="13" t="n"/>
      <c r="B159" s="13" t="n"/>
      <c r="C159" s="7" t="n"/>
      <c r="D159" s="13" t="n"/>
      <c r="E159" s="13" t="n"/>
      <c r="F159" s="13" t="n"/>
      <c r="G159" s="14" t="n"/>
      <c r="H159" s="15" t="n"/>
      <c r="I159" s="7" t="n"/>
      <c r="J159" s="7" t="n"/>
      <c r="K159" s="7" t="n"/>
      <c r="L159" s="7" t="n"/>
      <c r="M159" s="13" t="n"/>
    </row>
    <row r="160">
      <c r="A160" s="13" t="n"/>
      <c r="B160" s="13" t="n"/>
      <c r="C160" s="7" t="n"/>
      <c r="D160" s="13" t="n"/>
      <c r="E160" s="13" t="n"/>
      <c r="F160" s="13" t="n"/>
      <c r="G160" s="14" t="n"/>
      <c r="H160" s="15" t="n"/>
      <c r="I160" s="7" t="n"/>
      <c r="J160" s="7" t="n"/>
      <c r="K160" s="7" t="n"/>
      <c r="L160" s="7" t="n"/>
      <c r="M160" s="13" t="n"/>
    </row>
    <row r="161">
      <c r="A161" s="13" t="n"/>
      <c r="B161" s="13" t="n"/>
      <c r="C161" s="7" t="n"/>
      <c r="D161" s="13" t="n"/>
      <c r="E161" s="13" t="n"/>
      <c r="F161" s="13" t="n"/>
      <c r="G161" s="14" t="n"/>
      <c r="H161" s="15" t="n"/>
      <c r="I161" s="7" t="n"/>
      <c r="J161" s="7" t="n"/>
      <c r="K161" s="7" t="n"/>
      <c r="L161" s="7" t="n"/>
      <c r="M161" s="13" t="n"/>
    </row>
    <row r="162">
      <c r="A162" s="13" t="n"/>
      <c r="B162" s="13" t="n"/>
      <c r="C162" s="7" t="n"/>
      <c r="D162" s="13" t="n"/>
      <c r="E162" s="13" t="n"/>
      <c r="F162" s="13" t="n"/>
      <c r="G162" s="14" t="n"/>
      <c r="H162" s="15" t="n"/>
      <c r="I162" s="7" t="n"/>
      <c r="J162" s="7" t="n"/>
      <c r="K162" s="7" t="n"/>
      <c r="L162" s="7" t="n"/>
      <c r="M162" s="13" t="n"/>
    </row>
    <row r="163">
      <c r="A163" s="13" t="n"/>
      <c r="B163" s="13" t="n"/>
      <c r="C163" s="7" t="n"/>
      <c r="D163" s="13" t="n"/>
      <c r="E163" s="13" t="n"/>
      <c r="F163" s="13" t="n"/>
      <c r="G163" s="14" t="n"/>
      <c r="H163" s="15" t="n"/>
      <c r="I163" s="7" t="n"/>
      <c r="J163" s="7" t="n"/>
      <c r="K163" s="7" t="n"/>
      <c r="L163" s="7" t="n"/>
      <c r="M163" s="13" t="n"/>
    </row>
    <row r="164">
      <c r="A164" s="13" t="n"/>
      <c r="B164" s="13" t="n"/>
      <c r="C164" s="7" t="n"/>
      <c r="D164" s="13" t="n"/>
      <c r="E164" s="13" t="n"/>
      <c r="F164" s="13" t="n"/>
      <c r="G164" s="14" t="n"/>
      <c r="H164" s="15" t="n"/>
      <c r="I164" s="7" t="n"/>
      <c r="J164" s="7" t="n"/>
      <c r="K164" s="7" t="n"/>
      <c r="L164" s="7" t="n"/>
      <c r="M164" s="13" t="n"/>
    </row>
    <row r="165">
      <c r="A165" s="13" t="n"/>
      <c r="B165" s="13" t="n"/>
      <c r="C165" s="7" t="n"/>
      <c r="D165" s="13" t="n"/>
      <c r="E165" s="13" t="n"/>
      <c r="F165" s="13" t="n"/>
      <c r="G165" s="14" t="n"/>
      <c r="H165" s="15" t="n"/>
      <c r="I165" s="7" t="n"/>
      <c r="J165" s="7" t="n"/>
      <c r="K165" s="7" t="n"/>
      <c r="L165" s="7" t="n"/>
      <c r="M165" s="13" t="n"/>
    </row>
    <row r="166">
      <c r="A166" s="13" t="n"/>
      <c r="B166" s="13" t="n"/>
      <c r="C166" s="7" t="n"/>
      <c r="D166" s="13" t="n"/>
      <c r="E166" s="13" t="n"/>
      <c r="F166" s="13" t="n"/>
      <c r="G166" s="14" t="n"/>
      <c r="H166" s="15" t="n"/>
      <c r="I166" s="7" t="n"/>
      <c r="J166" s="7" t="n"/>
      <c r="K166" s="7" t="n"/>
      <c r="L166" s="7" t="n"/>
      <c r="M166" s="13" t="n"/>
    </row>
    <row r="167">
      <c r="A167" s="13" t="n"/>
      <c r="B167" s="13" t="n"/>
      <c r="C167" s="7" t="n"/>
      <c r="D167" s="13" t="n"/>
      <c r="E167" s="13" t="n"/>
      <c r="F167" s="13" t="n"/>
      <c r="G167" s="14" t="n"/>
      <c r="H167" s="15" t="n"/>
      <c r="I167" s="7" t="n"/>
      <c r="J167" s="7" t="n"/>
      <c r="K167" s="7" t="n"/>
      <c r="L167" s="7" t="n"/>
      <c r="M167" s="13" t="n"/>
    </row>
    <row r="168">
      <c r="A168" s="13" t="n"/>
      <c r="B168" s="13" t="n"/>
      <c r="C168" s="7" t="n"/>
      <c r="D168" s="13" t="n"/>
      <c r="E168" s="13" t="n"/>
      <c r="F168" s="13" t="n"/>
      <c r="G168" s="14" t="n"/>
      <c r="H168" s="15" t="n"/>
      <c r="I168" s="7" t="n"/>
      <c r="J168" s="7" t="n"/>
      <c r="K168" s="7" t="n"/>
      <c r="L168" s="7" t="n"/>
      <c r="M168" s="13" t="n"/>
    </row>
    <row r="169">
      <c r="A169" s="13" t="n"/>
      <c r="B169" s="13" t="n"/>
      <c r="C169" s="7" t="n"/>
      <c r="D169" s="13" t="n"/>
      <c r="E169" s="13" t="n"/>
      <c r="F169" s="13" t="n"/>
      <c r="G169" s="14" t="n"/>
      <c r="H169" s="15" t="n"/>
      <c r="I169" s="7" t="n"/>
      <c r="J169" s="7" t="n"/>
      <c r="K169" s="7" t="n"/>
      <c r="L169" s="7" t="n"/>
      <c r="M169" s="13" t="n"/>
    </row>
    <row r="170">
      <c r="A170" s="13" t="n"/>
      <c r="B170" s="13" t="n"/>
      <c r="C170" s="7" t="n"/>
      <c r="D170" s="13" t="n"/>
      <c r="E170" s="13" t="n"/>
      <c r="F170" s="13" t="n"/>
      <c r="G170" s="14" t="n"/>
      <c r="H170" s="15" t="n"/>
      <c r="I170" s="7" t="n"/>
      <c r="J170" s="7" t="n"/>
      <c r="K170" s="7" t="n"/>
      <c r="L170" s="7" t="n"/>
      <c r="M170" s="13" t="n"/>
    </row>
    <row r="171">
      <c r="A171" s="13" t="n"/>
      <c r="B171" s="13" t="n"/>
      <c r="C171" s="7" t="n"/>
      <c r="D171" s="13" t="n"/>
      <c r="E171" s="13" t="n"/>
      <c r="F171" s="13" t="n"/>
      <c r="G171" s="14" t="n"/>
      <c r="H171" s="15" t="n"/>
      <c r="I171" s="7" t="n"/>
      <c r="J171" s="7" t="n"/>
      <c r="K171" s="7" t="n"/>
      <c r="L171" s="7" t="n"/>
      <c r="M171" s="13" t="n"/>
    </row>
    <row r="172">
      <c r="A172" s="13" t="n"/>
      <c r="B172" s="13" t="n"/>
      <c r="C172" s="7" t="n"/>
      <c r="D172" s="13" t="n"/>
      <c r="E172" s="13" t="n"/>
      <c r="F172" s="13" t="n"/>
      <c r="G172" s="14" t="n"/>
      <c r="H172" s="15" t="n"/>
      <c r="I172" s="7" t="n"/>
      <c r="J172" s="7" t="n"/>
      <c r="K172" s="7" t="n"/>
      <c r="L172" s="7" t="n"/>
      <c r="M172" s="13" t="n"/>
    </row>
    <row r="173">
      <c r="A173" s="13" t="n"/>
      <c r="B173" s="13" t="n"/>
      <c r="C173" s="7" t="n"/>
      <c r="D173" s="13" t="n"/>
      <c r="E173" s="13" t="n"/>
      <c r="F173" s="13" t="n"/>
      <c r="G173" s="14" t="n"/>
      <c r="H173" s="15" t="n"/>
      <c r="I173" s="7" t="n"/>
      <c r="J173" s="7" t="n"/>
      <c r="K173" s="7" t="n"/>
      <c r="L173" s="7" t="n"/>
      <c r="M173" s="13" t="n"/>
    </row>
    <row r="174">
      <c r="A174" s="13" t="n"/>
      <c r="B174" s="13" t="n"/>
      <c r="C174" s="7" t="n"/>
      <c r="D174" s="13" t="n"/>
      <c r="E174" s="13" t="n"/>
      <c r="F174" s="13" t="n"/>
      <c r="G174" s="14" t="n"/>
      <c r="H174" s="15" t="n"/>
      <c r="I174" s="7" t="n"/>
      <c r="J174" s="7" t="n"/>
      <c r="K174" s="7" t="n"/>
      <c r="L174" s="7" t="n"/>
      <c r="M174" s="13" t="n"/>
    </row>
    <row r="175">
      <c r="A175" s="13" t="n"/>
      <c r="B175" s="13" t="n"/>
      <c r="C175" s="7" t="n"/>
      <c r="D175" s="13" t="n"/>
      <c r="E175" s="13" t="n"/>
      <c r="F175" s="13" t="n"/>
      <c r="G175" s="14" t="n"/>
      <c r="H175" s="15" t="n"/>
      <c r="I175" s="7" t="n"/>
      <c r="J175" s="7" t="n"/>
      <c r="K175" s="7" t="n"/>
      <c r="L175" s="7" t="n"/>
      <c r="M175" s="13" t="n"/>
    </row>
    <row r="176">
      <c r="A176" s="13" t="n"/>
      <c r="B176" s="13" t="n"/>
      <c r="C176" s="7" t="n"/>
      <c r="D176" s="13" t="n"/>
      <c r="E176" s="13" t="n"/>
      <c r="F176" s="13" t="n"/>
      <c r="G176" s="14" t="n"/>
      <c r="H176" s="15" t="n"/>
      <c r="I176" s="7" t="n"/>
      <c r="J176" s="7" t="n"/>
      <c r="K176" s="7" t="n"/>
      <c r="L176" s="7" t="n"/>
      <c r="M176" s="13" t="n"/>
    </row>
    <row r="177">
      <c r="A177" s="13" t="n"/>
      <c r="B177" s="13" t="n"/>
      <c r="C177" s="7" t="n"/>
      <c r="D177" s="13" t="n"/>
      <c r="E177" s="13" t="n"/>
      <c r="F177" s="13" t="n"/>
      <c r="G177" s="14" t="n"/>
      <c r="H177" s="15" t="n"/>
      <c r="I177" s="7" t="n"/>
      <c r="J177" s="7" t="n"/>
      <c r="K177" s="7" t="n"/>
      <c r="L177" s="7" t="n"/>
      <c r="M177" s="13" t="n"/>
    </row>
    <row r="178">
      <c r="A178" s="13" t="n"/>
      <c r="B178" s="13" t="n"/>
      <c r="C178" s="7" t="n"/>
      <c r="D178" s="13" t="n"/>
      <c r="E178" s="13" t="n"/>
      <c r="F178" s="13" t="n"/>
      <c r="G178" s="14" t="n"/>
      <c r="H178" s="15" t="n"/>
      <c r="I178" s="7" t="n"/>
      <c r="J178" s="7" t="n"/>
      <c r="K178" s="7" t="n"/>
      <c r="L178" s="7" t="n"/>
      <c r="M178" s="13" t="n"/>
    </row>
    <row r="179">
      <c r="A179" s="13" t="n"/>
      <c r="B179" s="13" t="n"/>
      <c r="C179" s="7" t="n"/>
      <c r="D179" s="13" t="n"/>
      <c r="E179" s="13" t="n"/>
      <c r="F179" s="13" t="n"/>
      <c r="G179" s="14" t="n"/>
      <c r="H179" s="15" t="n"/>
      <c r="I179" s="7" t="n"/>
      <c r="J179" s="7" t="n"/>
      <c r="K179" s="7" t="n"/>
      <c r="L179" s="7" t="n"/>
      <c r="M179" s="13" t="n"/>
    </row>
    <row r="180">
      <c r="A180" s="13" t="n"/>
      <c r="B180" s="13" t="n"/>
      <c r="C180" s="7" t="n"/>
      <c r="D180" s="13" t="n"/>
      <c r="E180" s="13" t="n"/>
      <c r="F180" s="13" t="n"/>
      <c r="G180" s="14" t="n"/>
      <c r="H180" s="15" t="n"/>
      <c r="I180" s="7" t="n"/>
      <c r="J180" s="7" t="n"/>
      <c r="K180" s="7" t="n"/>
      <c r="L180" s="7" t="n"/>
      <c r="M180" s="13" t="n"/>
    </row>
    <row r="181">
      <c r="A181" s="13" t="n"/>
      <c r="B181" s="13" t="n"/>
      <c r="C181" s="7" t="n"/>
      <c r="D181" s="13" t="n"/>
      <c r="E181" s="13" t="n"/>
      <c r="F181" s="13" t="n"/>
      <c r="G181" s="14" t="n"/>
      <c r="H181" s="15" t="n"/>
      <c r="I181" s="7" t="n"/>
      <c r="J181" s="7" t="n"/>
      <c r="K181" s="7" t="n"/>
      <c r="L181" s="7" t="n"/>
      <c r="M181" s="13" t="n"/>
    </row>
    <row r="182">
      <c r="A182" s="13" t="n"/>
      <c r="B182" s="13" t="n"/>
      <c r="C182" s="7" t="n"/>
      <c r="D182" s="13" t="n"/>
      <c r="E182" s="13" t="n"/>
      <c r="F182" s="13" t="n"/>
      <c r="G182" s="14" t="n"/>
      <c r="H182" s="15" t="n"/>
      <c r="I182" s="7" t="n"/>
      <c r="J182" s="7" t="n"/>
      <c r="K182" s="7" t="n"/>
      <c r="L182" s="7" t="n"/>
      <c r="M182" s="13" t="n"/>
    </row>
    <row r="183">
      <c r="A183" s="13" t="n"/>
      <c r="B183" s="13" t="n"/>
      <c r="C183" s="7" t="n"/>
      <c r="D183" s="13" t="n"/>
      <c r="E183" s="13" t="n"/>
      <c r="F183" s="13" t="n"/>
      <c r="G183" s="14" t="n"/>
      <c r="H183" s="15" t="n"/>
      <c r="I183" s="7" t="n"/>
      <c r="J183" s="7" t="n"/>
      <c r="K183" s="7" t="n"/>
      <c r="L183" s="7" t="n"/>
      <c r="M183" s="13" t="n"/>
    </row>
    <row r="184">
      <c r="A184" s="13" t="n"/>
      <c r="B184" s="13" t="n"/>
      <c r="C184" s="7" t="n"/>
      <c r="D184" s="13" t="n"/>
      <c r="E184" s="13" t="n"/>
      <c r="F184" s="13" t="n"/>
      <c r="G184" s="14" t="n"/>
      <c r="H184" s="15" t="n"/>
      <c r="I184" s="7" t="n"/>
      <c r="J184" s="7" t="n"/>
      <c r="K184" s="7" t="n"/>
      <c r="L184" s="7" t="n"/>
      <c r="M184" s="13" t="n"/>
    </row>
    <row r="185">
      <c r="A185" s="13" t="n"/>
      <c r="B185" s="13" t="n"/>
      <c r="C185" s="7" t="n"/>
      <c r="D185" s="13" t="n"/>
      <c r="E185" s="13" t="n"/>
      <c r="F185" s="13" t="n"/>
      <c r="G185" s="14" t="n"/>
      <c r="H185" s="15" t="n"/>
      <c r="I185" s="7" t="n"/>
      <c r="J185" s="7" t="n"/>
      <c r="K185" s="7" t="n"/>
      <c r="L185" s="7" t="n"/>
      <c r="M185" s="13" t="n"/>
    </row>
    <row r="186">
      <c r="A186" s="13" t="n"/>
      <c r="B186" s="13" t="n"/>
      <c r="C186" s="7" t="n"/>
      <c r="D186" s="13" t="n"/>
      <c r="E186" s="13" t="n"/>
      <c r="F186" s="13" t="n"/>
      <c r="G186" s="14" t="n"/>
      <c r="H186" s="15" t="n"/>
      <c r="I186" s="7" t="n"/>
      <c r="J186" s="7" t="n"/>
      <c r="K186" s="7" t="n"/>
      <c r="L186" s="7" t="n"/>
      <c r="M186" s="13" t="n"/>
    </row>
    <row r="187">
      <c r="A187" s="13" t="n"/>
      <c r="B187" s="13" t="n"/>
      <c r="C187" s="7" t="n"/>
      <c r="D187" s="13" t="n"/>
      <c r="E187" s="13" t="n"/>
      <c r="F187" s="13" t="n"/>
      <c r="G187" s="14" t="n"/>
      <c r="H187" s="15" t="n"/>
      <c r="I187" s="7" t="n"/>
      <c r="J187" s="7" t="n"/>
      <c r="K187" s="7" t="n"/>
      <c r="L187" s="7" t="n"/>
      <c r="M187" s="13" t="n"/>
    </row>
    <row r="188">
      <c r="A188" s="13" t="n"/>
      <c r="B188" s="13" t="n"/>
      <c r="C188" s="7" t="n"/>
      <c r="D188" s="13" t="n"/>
      <c r="E188" s="13" t="n"/>
      <c r="F188" s="13" t="n"/>
      <c r="G188" s="14" t="n"/>
      <c r="H188" s="15" t="n"/>
      <c r="I188" s="7" t="n"/>
      <c r="J188" s="7" t="n"/>
      <c r="K188" s="7" t="n"/>
      <c r="L188" s="7" t="n"/>
      <c r="M188" s="13" t="n"/>
    </row>
    <row r="189">
      <c r="A189" s="13" t="n"/>
      <c r="B189" s="13" t="n"/>
      <c r="C189" s="7" t="n"/>
      <c r="D189" s="13" t="n"/>
      <c r="E189" s="13" t="n"/>
      <c r="F189" s="13" t="n"/>
      <c r="G189" s="14" t="n"/>
      <c r="H189" s="15" t="n"/>
      <c r="I189" s="7" t="n"/>
      <c r="J189" s="7" t="n"/>
      <c r="K189" s="7" t="n"/>
      <c r="L189" s="7" t="n"/>
      <c r="M189" s="13" t="n"/>
    </row>
    <row r="190">
      <c r="A190" s="13" t="n"/>
      <c r="B190" s="13" t="n"/>
      <c r="C190" s="7" t="n"/>
      <c r="D190" s="13" t="n"/>
      <c r="E190" s="13" t="n"/>
      <c r="F190" s="13" t="n"/>
      <c r="G190" s="14" t="n"/>
      <c r="H190" s="15" t="n"/>
      <c r="I190" s="7" t="n"/>
      <c r="J190" s="7" t="n"/>
      <c r="K190" s="7" t="n"/>
      <c r="L190" s="7" t="n"/>
      <c r="M190" s="13" t="n"/>
    </row>
    <row r="191">
      <c r="A191" s="13" t="n"/>
      <c r="B191" s="13" t="n"/>
      <c r="C191" s="7" t="n"/>
      <c r="D191" s="13" t="n"/>
      <c r="E191" s="13" t="n"/>
      <c r="F191" s="13" t="n"/>
      <c r="G191" s="14" t="n"/>
      <c r="H191" s="15" t="n"/>
      <c r="I191" s="7" t="n"/>
      <c r="J191" s="7" t="n"/>
      <c r="K191" s="7" t="n"/>
      <c r="L191" s="7" t="n"/>
      <c r="M191" s="13" t="n"/>
    </row>
    <row r="192">
      <c r="A192" s="13" t="n"/>
      <c r="B192" s="13" t="n"/>
      <c r="C192" s="7" t="n"/>
      <c r="D192" s="13" t="n"/>
      <c r="E192" s="13" t="n"/>
      <c r="F192" s="13" t="n"/>
      <c r="G192" s="14" t="n"/>
      <c r="H192" s="15" t="n"/>
      <c r="I192" s="7" t="n"/>
      <c r="J192" s="7" t="n"/>
      <c r="K192" s="7" t="n"/>
      <c r="L192" s="7" t="n"/>
      <c r="M192" s="13" t="n"/>
    </row>
    <row r="193">
      <c r="A193" s="13" t="n"/>
      <c r="B193" s="13" t="n"/>
      <c r="C193" s="7" t="n"/>
      <c r="D193" s="13" t="n"/>
      <c r="E193" s="13" t="n"/>
      <c r="F193" s="13" t="n"/>
      <c r="G193" s="14" t="n"/>
      <c r="H193" s="15" t="n"/>
      <c r="I193" s="7" t="n"/>
      <c r="J193" s="7" t="n"/>
      <c r="K193" s="7" t="n"/>
      <c r="L193" s="7" t="n"/>
      <c r="M193" s="13" t="n"/>
    </row>
    <row r="194">
      <c r="A194" s="13" t="n"/>
      <c r="B194" s="13" t="n"/>
      <c r="C194" s="7" t="n"/>
      <c r="D194" s="13" t="n"/>
      <c r="E194" s="13" t="n"/>
      <c r="F194" s="13" t="n"/>
      <c r="G194" s="14" t="n"/>
      <c r="H194" s="15" t="n"/>
      <c r="I194" s="7" t="n"/>
      <c r="J194" s="7" t="n"/>
      <c r="K194" s="7" t="n"/>
      <c r="L194" s="7" t="n"/>
      <c r="M194" s="13" t="n"/>
    </row>
    <row r="195">
      <c r="A195" s="13" t="n"/>
      <c r="B195" s="13" t="n"/>
      <c r="C195" s="7" t="n"/>
      <c r="D195" s="13" t="n"/>
      <c r="E195" s="13" t="n"/>
      <c r="F195" s="13" t="n"/>
      <c r="G195" s="14" t="n"/>
      <c r="H195" s="15" t="n"/>
      <c r="I195" s="7" t="n"/>
      <c r="J195" s="7" t="n"/>
      <c r="K195" s="7" t="n"/>
      <c r="L195" s="7" t="n"/>
      <c r="M195" s="13" t="n"/>
    </row>
    <row r="196">
      <c r="A196" s="13" t="n"/>
      <c r="B196" s="13" t="n"/>
      <c r="C196" s="7" t="n"/>
      <c r="D196" s="13" t="n"/>
      <c r="E196" s="13" t="n"/>
      <c r="F196" s="13" t="n"/>
      <c r="G196" s="14" t="n"/>
      <c r="H196" s="15" t="n"/>
      <c r="I196" s="7" t="n"/>
      <c r="J196" s="7" t="n"/>
      <c r="K196" s="7" t="n"/>
      <c r="L196" s="7" t="n"/>
      <c r="M196" s="13" t="n"/>
    </row>
    <row r="197">
      <c r="A197" s="13" t="n"/>
      <c r="B197" s="13" t="n"/>
      <c r="C197" s="7" t="n"/>
      <c r="D197" s="13" t="n"/>
      <c r="E197" s="13" t="n"/>
      <c r="F197" s="13" t="n"/>
      <c r="G197" s="14" t="n"/>
      <c r="H197" s="15" t="n"/>
      <c r="I197" s="7" t="n"/>
      <c r="J197" s="7" t="n"/>
      <c r="K197" s="7" t="n"/>
      <c r="L197" s="7" t="n"/>
      <c r="M197" s="13" t="n"/>
    </row>
    <row r="198">
      <c r="A198" s="13" t="n"/>
      <c r="B198" s="13" t="n"/>
      <c r="C198" s="7" t="n"/>
      <c r="D198" s="13" t="n"/>
      <c r="E198" s="13" t="n"/>
      <c r="F198" s="13" t="n"/>
      <c r="G198" s="14" t="n"/>
      <c r="H198" s="15" t="n"/>
      <c r="I198" s="7" t="n"/>
      <c r="J198" s="7" t="n"/>
      <c r="K198" s="7" t="n"/>
      <c r="L198" s="7" t="n"/>
      <c r="M198" s="13" t="n"/>
    </row>
    <row r="199">
      <c r="A199" s="13" t="n"/>
      <c r="B199" s="13" t="n"/>
      <c r="C199" s="7" t="n"/>
      <c r="D199" s="13" t="n"/>
      <c r="E199" s="13" t="n"/>
      <c r="F199" s="13" t="n"/>
      <c r="G199" s="14" t="n"/>
      <c r="H199" s="15" t="n"/>
      <c r="I199" s="7" t="n"/>
      <c r="J199" s="7" t="n"/>
      <c r="K199" s="7" t="n"/>
      <c r="L199" s="7" t="n"/>
      <c r="M199" s="13" t="n"/>
    </row>
    <row r="200">
      <c r="A200" s="13" t="n"/>
      <c r="B200" s="13" t="n"/>
      <c r="C200" s="7" t="n"/>
      <c r="D200" s="13" t="n"/>
      <c r="E200" s="13" t="n"/>
      <c r="F200" s="13" t="n"/>
      <c r="G200" s="14" t="n"/>
      <c r="H200" s="15" t="n"/>
      <c r="I200" s="7" t="n"/>
      <c r="J200" s="7" t="n"/>
      <c r="K200" s="7" t="n"/>
      <c r="L200" s="7" t="n"/>
      <c r="M200" s="13" t="n"/>
    </row>
    <row r="201">
      <c r="A201" s="13" t="n"/>
      <c r="B201" s="13" t="n"/>
      <c r="C201" s="7" t="n"/>
      <c r="D201" s="13" t="n"/>
      <c r="E201" s="13" t="n"/>
      <c r="F201" s="13" t="n"/>
      <c r="G201" s="14" t="n"/>
      <c r="H201" s="15" t="n"/>
      <c r="I201" s="7" t="n"/>
      <c r="J201" s="7" t="n"/>
      <c r="K201" s="7" t="n"/>
      <c r="L201" s="7" t="n"/>
      <c r="M201" s="13" t="n"/>
    </row>
  </sheetData>
  <dataValidations count="7">
    <dataValidation sqref="C2:C2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G2:G201" showDropDown="0" showInputMessage="0" showErrorMessage="1" allowBlank="1" error="Enter a date (YYYY-MM-DD). / 日付で入力してください。" type="date" operator="greaterThan">
      <formula1>36526</formula1>
    </dataValidation>
    <dataValidation sqref="H2:H201" showDropDown="0" showInputMessage="0" showErrorMessage="1" allowBlank="1" error="Enter a number. / 数値で入力してください。" type="decimal" operator="greaterThanOrEqual">
      <formula1>0</formula1>
    </dataValidation>
    <dataValidation sqref="I2:I2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J2:J201" showDropDown="0" showInputMessage="0" showErrorMessage="1" allowBlank="1" error="Enter a whole number. / 整数で入力してください。" type="whole" operator="greaterThanOrEqual">
      <formula1>0</formula1>
    </dataValidation>
    <dataValidation sqref="K2:K201" showDropDown="0" showInputMessage="0" showErrorMessage="1" allowBlank="1" errorTitle="Invalid value" error="Select a value from the list. / 一覧から選択してください。" type="list">
      <formula1>=lst_cost_center</formula1>
    </dataValidation>
    <dataValidation sqref="L2:L201" showDropDown="0" showInputMessage="0" showErrorMessage="1" allowBlank="1" errorTitle="Invalid value" error="Select a value from the list. / 一覧から選択してください。" type="list">
      <formula1>=lst_account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5" customWidth="1" min="4" max="4"/>
    <col width="19" customWidth="1" min="5" max="5"/>
    <col width="16" customWidth="1" min="6" max="6"/>
    <col width="17" customWidth="1" min="7" max="7"/>
    <col width="19" customWidth="1" min="8" max="8"/>
    <col width="14" customWidth="1" min="9" max="9"/>
    <col width="12" customWidth="1" min="10" max="10"/>
    <col width="15" customWidth="1" min="11" max="11"/>
    <col width="11" customWidth="1" min="12" max="12"/>
  </cols>
  <sheetData>
    <row r="1">
      <c r="A1" s="4" t="inlineStr">
        <is>
          <t>person_id</t>
        </is>
      </c>
      <c r="B1" s="4" t="inlineStr">
        <is>
          <t>region</t>
        </is>
      </c>
      <c r="C1" s="4" t="inlineStr">
        <is>
          <t>owner</t>
        </is>
      </c>
      <c r="D1" s="4" t="inlineStr">
        <is>
          <t>person_name</t>
        </is>
      </c>
      <c r="E1" s="4" t="inlineStr">
        <is>
          <t>employment_type</t>
        </is>
      </c>
      <c r="F1" s="4" t="inlineStr">
        <is>
          <t>monthly_rate</t>
        </is>
      </c>
      <c r="G1" s="4" t="inlineStr">
        <is>
          <t>rate_currency</t>
        </is>
      </c>
      <c r="H1" s="4" t="inlineStr">
        <is>
          <t>contract_id_ref</t>
        </is>
      </c>
      <c r="I1" s="4" t="inlineStr">
        <is>
          <t>valid_from</t>
        </is>
      </c>
      <c r="J1" s="4" t="inlineStr">
        <is>
          <t>valid_to</t>
        </is>
      </c>
      <c r="K1" s="4" t="inlineStr">
        <is>
          <t>account_key</t>
        </is>
      </c>
      <c r="L1" s="4" t="inlineStr">
        <is>
          <t>note</t>
        </is>
      </c>
    </row>
    <row r="2">
      <c r="A2" s="13" t="n"/>
      <c r="B2" s="7" t="n"/>
      <c r="C2" s="13" t="n"/>
      <c r="D2" s="13" t="n"/>
      <c r="E2" s="7" t="n"/>
      <c r="F2" s="15" t="n"/>
      <c r="G2" s="7" t="n"/>
      <c r="H2" s="13" t="n"/>
      <c r="I2" s="14" t="n"/>
      <c r="J2" s="14" t="n"/>
      <c r="K2" s="7" t="n"/>
      <c r="L2" s="13" t="n"/>
    </row>
    <row r="3">
      <c r="A3" s="13" t="n"/>
      <c r="B3" s="7" t="n"/>
      <c r="C3" s="13" t="n"/>
      <c r="D3" s="13" t="n"/>
      <c r="E3" s="7" t="n"/>
      <c r="F3" s="15" t="n"/>
      <c r="G3" s="7" t="n"/>
      <c r="H3" s="13" t="n"/>
      <c r="I3" s="14" t="n"/>
      <c r="J3" s="14" t="n"/>
      <c r="K3" s="7" t="n"/>
      <c r="L3" s="13" t="n"/>
    </row>
    <row r="4">
      <c r="A4" s="13" t="n"/>
      <c r="B4" s="7" t="n"/>
      <c r="C4" s="13" t="n"/>
      <c r="D4" s="13" t="n"/>
      <c r="E4" s="7" t="n"/>
      <c r="F4" s="15" t="n"/>
      <c r="G4" s="7" t="n"/>
      <c r="H4" s="13" t="n"/>
      <c r="I4" s="14" t="n"/>
      <c r="J4" s="14" t="n"/>
      <c r="K4" s="7" t="n"/>
      <c r="L4" s="13" t="n"/>
    </row>
    <row r="5">
      <c r="A5" s="13" t="n"/>
      <c r="B5" s="7" t="n"/>
      <c r="C5" s="13" t="n"/>
      <c r="D5" s="13" t="n"/>
      <c r="E5" s="7" t="n"/>
      <c r="F5" s="15" t="n"/>
      <c r="G5" s="7" t="n"/>
      <c r="H5" s="13" t="n"/>
      <c r="I5" s="14" t="n"/>
      <c r="J5" s="14" t="n"/>
      <c r="K5" s="7" t="n"/>
      <c r="L5" s="13" t="n"/>
    </row>
    <row r="6">
      <c r="A6" s="13" t="n"/>
      <c r="B6" s="7" t="n"/>
      <c r="C6" s="13" t="n"/>
      <c r="D6" s="13" t="n"/>
      <c r="E6" s="7" t="n"/>
      <c r="F6" s="15" t="n"/>
      <c r="G6" s="7" t="n"/>
      <c r="H6" s="13" t="n"/>
      <c r="I6" s="14" t="n"/>
      <c r="J6" s="14" t="n"/>
      <c r="K6" s="7" t="n"/>
      <c r="L6" s="13" t="n"/>
    </row>
    <row r="7">
      <c r="A7" s="13" t="n"/>
      <c r="B7" s="7" t="n"/>
      <c r="C7" s="13" t="n"/>
      <c r="D7" s="13" t="n"/>
      <c r="E7" s="7" t="n"/>
      <c r="F7" s="15" t="n"/>
      <c r="G7" s="7" t="n"/>
      <c r="H7" s="13" t="n"/>
      <c r="I7" s="14" t="n"/>
      <c r="J7" s="14" t="n"/>
      <c r="K7" s="7" t="n"/>
      <c r="L7" s="13" t="n"/>
    </row>
    <row r="8">
      <c r="A8" s="13" t="n"/>
      <c r="B8" s="7" t="n"/>
      <c r="C8" s="13" t="n"/>
      <c r="D8" s="13" t="n"/>
      <c r="E8" s="7" t="n"/>
      <c r="F8" s="15" t="n"/>
      <c r="G8" s="7" t="n"/>
      <c r="H8" s="13" t="n"/>
      <c r="I8" s="14" t="n"/>
      <c r="J8" s="14" t="n"/>
      <c r="K8" s="7" t="n"/>
      <c r="L8" s="13" t="n"/>
    </row>
    <row r="9">
      <c r="A9" s="13" t="n"/>
      <c r="B9" s="7" t="n"/>
      <c r="C9" s="13" t="n"/>
      <c r="D9" s="13" t="n"/>
      <c r="E9" s="7" t="n"/>
      <c r="F9" s="15" t="n"/>
      <c r="G9" s="7" t="n"/>
      <c r="H9" s="13" t="n"/>
      <c r="I9" s="14" t="n"/>
      <c r="J9" s="14" t="n"/>
      <c r="K9" s="7" t="n"/>
      <c r="L9" s="13" t="n"/>
    </row>
    <row r="10">
      <c r="A10" s="13" t="n"/>
      <c r="B10" s="7" t="n"/>
      <c r="C10" s="13" t="n"/>
      <c r="D10" s="13" t="n"/>
      <c r="E10" s="7" t="n"/>
      <c r="F10" s="15" t="n"/>
      <c r="G10" s="7" t="n"/>
      <c r="H10" s="13" t="n"/>
      <c r="I10" s="14" t="n"/>
      <c r="J10" s="14" t="n"/>
      <c r="K10" s="7" t="n"/>
      <c r="L10" s="13" t="n"/>
    </row>
    <row r="11">
      <c r="A11" s="13" t="n"/>
      <c r="B11" s="7" t="n"/>
      <c r="C11" s="13" t="n"/>
      <c r="D11" s="13" t="n"/>
      <c r="E11" s="7" t="n"/>
      <c r="F11" s="15" t="n"/>
      <c r="G11" s="7" t="n"/>
      <c r="H11" s="13" t="n"/>
      <c r="I11" s="14" t="n"/>
      <c r="J11" s="14" t="n"/>
      <c r="K11" s="7" t="n"/>
      <c r="L11" s="13" t="n"/>
    </row>
    <row r="12">
      <c r="A12" s="13" t="n"/>
      <c r="B12" s="7" t="n"/>
      <c r="C12" s="13" t="n"/>
      <c r="D12" s="13" t="n"/>
      <c r="E12" s="7" t="n"/>
      <c r="F12" s="15" t="n"/>
      <c r="G12" s="7" t="n"/>
      <c r="H12" s="13" t="n"/>
      <c r="I12" s="14" t="n"/>
      <c r="J12" s="14" t="n"/>
      <c r="K12" s="7" t="n"/>
      <c r="L12" s="13" t="n"/>
    </row>
    <row r="13">
      <c r="A13" s="13" t="n"/>
      <c r="B13" s="7" t="n"/>
      <c r="C13" s="13" t="n"/>
      <c r="D13" s="13" t="n"/>
      <c r="E13" s="7" t="n"/>
      <c r="F13" s="15" t="n"/>
      <c r="G13" s="7" t="n"/>
      <c r="H13" s="13" t="n"/>
      <c r="I13" s="14" t="n"/>
      <c r="J13" s="14" t="n"/>
      <c r="K13" s="7" t="n"/>
      <c r="L13" s="13" t="n"/>
    </row>
    <row r="14">
      <c r="A14" s="13" t="n"/>
      <c r="B14" s="7" t="n"/>
      <c r="C14" s="13" t="n"/>
      <c r="D14" s="13" t="n"/>
      <c r="E14" s="7" t="n"/>
      <c r="F14" s="15" t="n"/>
      <c r="G14" s="7" t="n"/>
      <c r="H14" s="13" t="n"/>
      <c r="I14" s="14" t="n"/>
      <c r="J14" s="14" t="n"/>
      <c r="K14" s="7" t="n"/>
      <c r="L14" s="13" t="n"/>
    </row>
    <row r="15">
      <c r="A15" s="13" t="n"/>
      <c r="B15" s="7" t="n"/>
      <c r="C15" s="13" t="n"/>
      <c r="D15" s="13" t="n"/>
      <c r="E15" s="7" t="n"/>
      <c r="F15" s="15" t="n"/>
      <c r="G15" s="7" t="n"/>
      <c r="H15" s="13" t="n"/>
      <c r="I15" s="14" t="n"/>
      <c r="J15" s="14" t="n"/>
      <c r="K15" s="7" t="n"/>
      <c r="L15" s="13" t="n"/>
    </row>
    <row r="16">
      <c r="A16" s="13" t="n"/>
      <c r="B16" s="7" t="n"/>
      <c r="C16" s="13" t="n"/>
      <c r="D16" s="13" t="n"/>
      <c r="E16" s="7" t="n"/>
      <c r="F16" s="15" t="n"/>
      <c r="G16" s="7" t="n"/>
      <c r="H16" s="13" t="n"/>
      <c r="I16" s="14" t="n"/>
      <c r="J16" s="14" t="n"/>
      <c r="K16" s="7" t="n"/>
      <c r="L16" s="13" t="n"/>
    </row>
    <row r="17">
      <c r="A17" s="13" t="n"/>
      <c r="B17" s="7" t="n"/>
      <c r="C17" s="13" t="n"/>
      <c r="D17" s="13" t="n"/>
      <c r="E17" s="7" t="n"/>
      <c r="F17" s="15" t="n"/>
      <c r="G17" s="7" t="n"/>
      <c r="H17" s="13" t="n"/>
      <c r="I17" s="14" t="n"/>
      <c r="J17" s="14" t="n"/>
      <c r="K17" s="7" t="n"/>
      <c r="L17" s="13" t="n"/>
    </row>
    <row r="18">
      <c r="A18" s="13" t="n"/>
      <c r="B18" s="7" t="n"/>
      <c r="C18" s="13" t="n"/>
      <c r="D18" s="13" t="n"/>
      <c r="E18" s="7" t="n"/>
      <c r="F18" s="15" t="n"/>
      <c r="G18" s="7" t="n"/>
      <c r="H18" s="13" t="n"/>
      <c r="I18" s="14" t="n"/>
      <c r="J18" s="14" t="n"/>
      <c r="K18" s="7" t="n"/>
      <c r="L18" s="13" t="n"/>
    </row>
    <row r="19">
      <c r="A19" s="13" t="n"/>
      <c r="B19" s="7" t="n"/>
      <c r="C19" s="13" t="n"/>
      <c r="D19" s="13" t="n"/>
      <c r="E19" s="7" t="n"/>
      <c r="F19" s="15" t="n"/>
      <c r="G19" s="7" t="n"/>
      <c r="H19" s="13" t="n"/>
      <c r="I19" s="14" t="n"/>
      <c r="J19" s="14" t="n"/>
      <c r="K19" s="7" t="n"/>
      <c r="L19" s="13" t="n"/>
    </row>
    <row r="20">
      <c r="A20" s="13" t="n"/>
      <c r="B20" s="7" t="n"/>
      <c r="C20" s="13" t="n"/>
      <c r="D20" s="13" t="n"/>
      <c r="E20" s="7" t="n"/>
      <c r="F20" s="15" t="n"/>
      <c r="G20" s="7" t="n"/>
      <c r="H20" s="13" t="n"/>
      <c r="I20" s="14" t="n"/>
      <c r="J20" s="14" t="n"/>
      <c r="K20" s="7" t="n"/>
      <c r="L20" s="13" t="n"/>
    </row>
    <row r="21">
      <c r="A21" s="13" t="n"/>
      <c r="B21" s="7" t="n"/>
      <c r="C21" s="13" t="n"/>
      <c r="D21" s="13" t="n"/>
      <c r="E21" s="7" t="n"/>
      <c r="F21" s="15" t="n"/>
      <c r="G21" s="7" t="n"/>
      <c r="H21" s="13" t="n"/>
      <c r="I21" s="14" t="n"/>
      <c r="J21" s="14" t="n"/>
      <c r="K21" s="7" t="n"/>
      <c r="L21" s="13" t="n"/>
    </row>
    <row r="22">
      <c r="A22" s="13" t="n"/>
      <c r="B22" s="7" t="n"/>
      <c r="C22" s="13" t="n"/>
      <c r="D22" s="13" t="n"/>
      <c r="E22" s="7" t="n"/>
      <c r="F22" s="15" t="n"/>
      <c r="G22" s="7" t="n"/>
      <c r="H22" s="13" t="n"/>
      <c r="I22" s="14" t="n"/>
      <c r="J22" s="14" t="n"/>
      <c r="K22" s="7" t="n"/>
      <c r="L22" s="13" t="n"/>
    </row>
    <row r="23">
      <c r="A23" s="13" t="n"/>
      <c r="B23" s="7" t="n"/>
      <c r="C23" s="13" t="n"/>
      <c r="D23" s="13" t="n"/>
      <c r="E23" s="7" t="n"/>
      <c r="F23" s="15" t="n"/>
      <c r="G23" s="7" t="n"/>
      <c r="H23" s="13" t="n"/>
      <c r="I23" s="14" t="n"/>
      <c r="J23" s="14" t="n"/>
      <c r="K23" s="7" t="n"/>
      <c r="L23" s="13" t="n"/>
    </row>
    <row r="24">
      <c r="A24" s="13" t="n"/>
      <c r="B24" s="7" t="n"/>
      <c r="C24" s="13" t="n"/>
      <c r="D24" s="13" t="n"/>
      <c r="E24" s="7" t="n"/>
      <c r="F24" s="15" t="n"/>
      <c r="G24" s="7" t="n"/>
      <c r="H24" s="13" t="n"/>
      <c r="I24" s="14" t="n"/>
      <c r="J24" s="14" t="n"/>
      <c r="K24" s="7" t="n"/>
      <c r="L24" s="13" t="n"/>
    </row>
    <row r="25">
      <c r="A25" s="13" t="n"/>
      <c r="B25" s="7" t="n"/>
      <c r="C25" s="13" t="n"/>
      <c r="D25" s="13" t="n"/>
      <c r="E25" s="7" t="n"/>
      <c r="F25" s="15" t="n"/>
      <c r="G25" s="7" t="n"/>
      <c r="H25" s="13" t="n"/>
      <c r="I25" s="14" t="n"/>
      <c r="J25" s="14" t="n"/>
      <c r="K25" s="7" t="n"/>
      <c r="L25" s="13" t="n"/>
    </row>
    <row r="26">
      <c r="A26" s="13" t="n"/>
      <c r="B26" s="7" t="n"/>
      <c r="C26" s="13" t="n"/>
      <c r="D26" s="13" t="n"/>
      <c r="E26" s="7" t="n"/>
      <c r="F26" s="15" t="n"/>
      <c r="G26" s="7" t="n"/>
      <c r="H26" s="13" t="n"/>
      <c r="I26" s="14" t="n"/>
      <c r="J26" s="14" t="n"/>
      <c r="K26" s="7" t="n"/>
      <c r="L26" s="13" t="n"/>
    </row>
    <row r="27">
      <c r="A27" s="13" t="n"/>
      <c r="B27" s="7" t="n"/>
      <c r="C27" s="13" t="n"/>
      <c r="D27" s="13" t="n"/>
      <c r="E27" s="7" t="n"/>
      <c r="F27" s="15" t="n"/>
      <c r="G27" s="7" t="n"/>
      <c r="H27" s="13" t="n"/>
      <c r="I27" s="14" t="n"/>
      <c r="J27" s="14" t="n"/>
      <c r="K27" s="7" t="n"/>
      <c r="L27" s="13" t="n"/>
    </row>
    <row r="28">
      <c r="A28" s="13" t="n"/>
      <c r="B28" s="7" t="n"/>
      <c r="C28" s="13" t="n"/>
      <c r="D28" s="13" t="n"/>
      <c r="E28" s="7" t="n"/>
      <c r="F28" s="15" t="n"/>
      <c r="G28" s="7" t="n"/>
      <c r="H28" s="13" t="n"/>
      <c r="I28" s="14" t="n"/>
      <c r="J28" s="14" t="n"/>
      <c r="K28" s="7" t="n"/>
      <c r="L28" s="13" t="n"/>
    </row>
    <row r="29">
      <c r="A29" s="13" t="n"/>
      <c r="B29" s="7" t="n"/>
      <c r="C29" s="13" t="n"/>
      <c r="D29" s="13" t="n"/>
      <c r="E29" s="7" t="n"/>
      <c r="F29" s="15" t="n"/>
      <c r="G29" s="7" t="n"/>
      <c r="H29" s="13" t="n"/>
      <c r="I29" s="14" t="n"/>
      <c r="J29" s="14" t="n"/>
      <c r="K29" s="7" t="n"/>
      <c r="L29" s="13" t="n"/>
    </row>
    <row r="30">
      <c r="A30" s="13" t="n"/>
      <c r="B30" s="7" t="n"/>
      <c r="C30" s="13" t="n"/>
      <c r="D30" s="13" t="n"/>
      <c r="E30" s="7" t="n"/>
      <c r="F30" s="15" t="n"/>
      <c r="G30" s="7" t="n"/>
      <c r="H30" s="13" t="n"/>
      <c r="I30" s="14" t="n"/>
      <c r="J30" s="14" t="n"/>
      <c r="K30" s="7" t="n"/>
      <c r="L30" s="13" t="n"/>
    </row>
    <row r="31">
      <c r="A31" s="13" t="n"/>
      <c r="B31" s="7" t="n"/>
      <c r="C31" s="13" t="n"/>
      <c r="D31" s="13" t="n"/>
      <c r="E31" s="7" t="n"/>
      <c r="F31" s="15" t="n"/>
      <c r="G31" s="7" t="n"/>
      <c r="H31" s="13" t="n"/>
      <c r="I31" s="14" t="n"/>
      <c r="J31" s="14" t="n"/>
      <c r="K31" s="7" t="n"/>
      <c r="L31" s="13" t="n"/>
    </row>
    <row r="32">
      <c r="A32" s="13" t="n"/>
      <c r="B32" s="7" t="n"/>
      <c r="C32" s="13" t="n"/>
      <c r="D32" s="13" t="n"/>
      <c r="E32" s="7" t="n"/>
      <c r="F32" s="15" t="n"/>
      <c r="G32" s="7" t="n"/>
      <c r="H32" s="13" t="n"/>
      <c r="I32" s="14" t="n"/>
      <c r="J32" s="14" t="n"/>
      <c r="K32" s="7" t="n"/>
      <c r="L32" s="13" t="n"/>
    </row>
    <row r="33">
      <c r="A33" s="13" t="n"/>
      <c r="B33" s="7" t="n"/>
      <c r="C33" s="13" t="n"/>
      <c r="D33" s="13" t="n"/>
      <c r="E33" s="7" t="n"/>
      <c r="F33" s="15" t="n"/>
      <c r="G33" s="7" t="n"/>
      <c r="H33" s="13" t="n"/>
      <c r="I33" s="14" t="n"/>
      <c r="J33" s="14" t="n"/>
      <c r="K33" s="7" t="n"/>
      <c r="L33" s="13" t="n"/>
    </row>
    <row r="34">
      <c r="A34" s="13" t="n"/>
      <c r="B34" s="7" t="n"/>
      <c r="C34" s="13" t="n"/>
      <c r="D34" s="13" t="n"/>
      <c r="E34" s="7" t="n"/>
      <c r="F34" s="15" t="n"/>
      <c r="G34" s="7" t="n"/>
      <c r="H34" s="13" t="n"/>
      <c r="I34" s="14" t="n"/>
      <c r="J34" s="14" t="n"/>
      <c r="K34" s="7" t="n"/>
      <c r="L34" s="13" t="n"/>
    </row>
    <row r="35">
      <c r="A35" s="13" t="n"/>
      <c r="B35" s="7" t="n"/>
      <c r="C35" s="13" t="n"/>
      <c r="D35" s="13" t="n"/>
      <c r="E35" s="7" t="n"/>
      <c r="F35" s="15" t="n"/>
      <c r="G35" s="7" t="n"/>
      <c r="H35" s="13" t="n"/>
      <c r="I35" s="14" t="n"/>
      <c r="J35" s="14" t="n"/>
      <c r="K35" s="7" t="n"/>
      <c r="L35" s="13" t="n"/>
    </row>
    <row r="36">
      <c r="A36" s="13" t="n"/>
      <c r="B36" s="7" t="n"/>
      <c r="C36" s="13" t="n"/>
      <c r="D36" s="13" t="n"/>
      <c r="E36" s="7" t="n"/>
      <c r="F36" s="15" t="n"/>
      <c r="G36" s="7" t="n"/>
      <c r="H36" s="13" t="n"/>
      <c r="I36" s="14" t="n"/>
      <c r="J36" s="14" t="n"/>
      <c r="K36" s="7" t="n"/>
      <c r="L36" s="13" t="n"/>
    </row>
    <row r="37">
      <c r="A37" s="13" t="n"/>
      <c r="B37" s="7" t="n"/>
      <c r="C37" s="13" t="n"/>
      <c r="D37" s="13" t="n"/>
      <c r="E37" s="7" t="n"/>
      <c r="F37" s="15" t="n"/>
      <c r="G37" s="7" t="n"/>
      <c r="H37" s="13" t="n"/>
      <c r="I37" s="14" t="n"/>
      <c r="J37" s="14" t="n"/>
      <c r="K37" s="7" t="n"/>
      <c r="L37" s="13" t="n"/>
    </row>
    <row r="38">
      <c r="A38" s="13" t="n"/>
      <c r="B38" s="7" t="n"/>
      <c r="C38" s="13" t="n"/>
      <c r="D38" s="13" t="n"/>
      <c r="E38" s="7" t="n"/>
      <c r="F38" s="15" t="n"/>
      <c r="G38" s="7" t="n"/>
      <c r="H38" s="13" t="n"/>
      <c r="I38" s="14" t="n"/>
      <c r="J38" s="14" t="n"/>
      <c r="K38" s="7" t="n"/>
      <c r="L38" s="13" t="n"/>
    </row>
    <row r="39">
      <c r="A39" s="13" t="n"/>
      <c r="B39" s="7" t="n"/>
      <c r="C39" s="13" t="n"/>
      <c r="D39" s="13" t="n"/>
      <c r="E39" s="7" t="n"/>
      <c r="F39" s="15" t="n"/>
      <c r="G39" s="7" t="n"/>
      <c r="H39" s="13" t="n"/>
      <c r="I39" s="14" t="n"/>
      <c r="J39" s="14" t="n"/>
      <c r="K39" s="7" t="n"/>
      <c r="L39" s="13" t="n"/>
    </row>
    <row r="40">
      <c r="A40" s="13" t="n"/>
      <c r="B40" s="7" t="n"/>
      <c r="C40" s="13" t="n"/>
      <c r="D40" s="13" t="n"/>
      <c r="E40" s="7" t="n"/>
      <c r="F40" s="15" t="n"/>
      <c r="G40" s="7" t="n"/>
      <c r="H40" s="13" t="n"/>
      <c r="I40" s="14" t="n"/>
      <c r="J40" s="14" t="n"/>
      <c r="K40" s="7" t="n"/>
      <c r="L40" s="13" t="n"/>
    </row>
    <row r="41">
      <c r="A41" s="13" t="n"/>
      <c r="B41" s="7" t="n"/>
      <c r="C41" s="13" t="n"/>
      <c r="D41" s="13" t="n"/>
      <c r="E41" s="7" t="n"/>
      <c r="F41" s="15" t="n"/>
      <c r="G41" s="7" t="n"/>
      <c r="H41" s="13" t="n"/>
      <c r="I41" s="14" t="n"/>
      <c r="J41" s="14" t="n"/>
      <c r="K41" s="7" t="n"/>
      <c r="L41" s="13" t="n"/>
    </row>
    <row r="42">
      <c r="A42" s="13" t="n"/>
      <c r="B42" s="7" t="n"/>
      <c r="C42" s="13" t="n"/>
      <c r="D42" s="13" t="n"/>
      <c r="E42" s="7" t="n"/>
      <c r="F42" s="15" t="n"/>
      <c r="G42" s="7" t="n"/>
      <c r="H42" s="13" t="n"/>
      <c r="I42" s="14" t="n"/>
      <c r="J42" s="14" t="n"/>
      <c r="K42" s="7" t="n"/>
      <c r="L42" s="13" t="n"/>
    </row>
    <row r="43">
      <c r="A43" s="13" t="n"/>
      <c r="B43" s="7" t="n"/>
      <c r="C43" s="13" t="n"/>
      <c r="D43" s="13" t="n"/>
      <c r="E43" s="7" t="n"/>
      <c r="F43" s="15" t="n"/>
      <c r="G43" s="7" t="n"/>
      <c r="H43" s="13" t="n"/>
      <c r="I43" s="14" t="n"/>
      <c r="J43" s="14" t="n"/>
      <c r="K43" s="7" t="n"/>
      <c r="L43" s="13" t="n"/>
    </row>
    <row r="44">
      <c r="A44" s="13" t="n"/>
      <c r="B44" s="7" t="n"/>
      <c r="C44" s="13" t="n"/>
      <c r="D44" s="13" t="n"/>
      <c r="E44" s="7" t="n"/>
      <c r="F44" s="15" t="n"/>
      <c r="G44" s="7" t="n"/>
      <c r="H44" s="13" t="n"/>
      <c r="I44" s="14" t="n"/>
      <c r="J44" s="14" t="n"/>
      <c r="K44" s="7" t="n"/>
      <c r="L44" s="13" t="n"/>
    </row>
    <row r="45">
      <c r="A45" s="13" t="n"/>
      <c r="B45" s="7" t="n"/>
      <c r="C45" s="13" t="n"/>
      <c r="D45" s="13" t="n"/>
      <c r="E45" s="7" t="n"/>
      <c r="F45" s="15" t="n"/>
      <c r="G45" s="7" t="n"/>
      <c r="H45" s="13" t="n"/>
      <c r="I45" s="14" t="n"/>
      <c r="J45" s="14" t="n"/>
      <c r="K45" s="7" t="n"/>
      <c r="L45" s="13" t="n"/>
    </row>
    <row r="46">
      <c r="A46" s="13" t="n"/>
      <c r="B46" s="7" t="n"/>
      <c r="C46" s="13" t="n"/>
      <c r="D46" s="13" t="n"/>
      <c r="E46" s="7" t="n"/>
      <c r="F46" s="15" t="n"/>
      <c r="G46" s="7" t="n"/>
      <c r="H46" s="13" t="n"/>
      <c r="I46" s="14" t="n"/>
      <c r="J46" s="14" t="n"/>
      <c r="K46" s="7" t="n"/>
      <c r="L46" s="13" t="n"/>
    </row>
    <row r="47">
      <c r="A47" s="13" t="n"/>
      <c r="B47" s="7" t="n"/>
      <c r="C47" s="13" t="n"/>
      <c r="D47" s="13" t="n"/>
      <c r="E47" s="7" t="n"/>
      <c r="F47" s="15" t="n"/>
      <c r="G47" s="7" t="n"/>
      <c r="H47" s="13" t="n"/>
      <c r="I47" s="14" t="n"/>
      <c r="J47" s="14" t="n"/>
      <c r="K47" s="7" t="n"/>
      <c r="L47" s="13" t="n"/>
    </row>
    <row r="48">
      <c r="A48" s="13" t="n"/>
      <c r="B48" s="7" t="n"/>
      <c r="C48" s="13" t="n"/>
      <c r="D48" s="13" t="n"/>
      <c r="E48" s="7" t="n"/>
      <c r="F48" s="15" t="n"/>
      <c r="G48" s="7" t="n"/>
      <c r="H48" s="13" t="n"/>
      <c r="I48" s="14" t="n"/>
      <c r="J48" s="14" t="n"/>
      <c r="K48" s="7" t="n"/>
      <c r="L48" s="13" t="n"/>
    </row>
    <row r="49">
      <c r="A49" s="13" t="n"/>
      <c r="B49" s="7" t="n"/>
      <c r="C49" s="13" t="n"/>
      <c r="D49" s="13" t="n"/>
      <c r="E49" s="7" t="n"/>
      <c r="F49" s="15" t="n"/>
      <c r="G49" s="7" t="n"/>
      <c r="H49" s="13" t="n"/>
      <c r="I49" s="14" t="n"/>
      <c r="J49" s="14" t="n"/>
      <c r="K49" s="7" t="n"/>
      <c r="L49" s="13" t="n"/>
    </row>
    <row r="50">
      <c r="A50" s="13" t="n"/>
      <c r="B50" s="7" t="n"/>
      <c r="C50" s="13" t="n"/>
      <c r="D50" s="13" t="n"/>
      <c r="E50" s="7" t="n"/>
      <c r="F50" s="15" t="n"/>
      <c r="G50" s="7" t="n"/>
      <c r="H50" s="13" t="n"/>
      <c r="I50" s="14" t="n"/>
      <c r="J50" s="14" t="n"/>
      <c r="K50" s="7" t="n"/>
      <c r="L50" s="13" t="n"/>
    </row>
    <row r="51">
      <c r="A51" s="13" t="n"/>
      <c r="B51" s="7" t="n"/>
      <c r="C51" s="13" t="n"/>
      <c r="D51" s="13" t="n"/>
      <c r="E51" s="7" t="n"/>
      <c r="F51" s="15" t="n"/>
      <c r="G51" s="7" t="n"/>
      <c r="H51" s="13" t="n"/>
      <c r="I51" s="14" t="n"/>
      <c r="J51" s="14" t="n"/>
      <c r="K51" s="7" t="n"/>
      <c r="L51" s="13" t="n"/>
    </row>
    <row r="52">
      <c r="A52" s="13" t="n"/>
      <c r="B52" s="7" t="n"/>
      <c r="C52" s="13" t="n"/>
      <c r="D52" s="13" t="n"/>
      <c r="E52" s="7" t="n"/>
      <c r="F52" s="15" t="n"/>
      <c r="G52" s="7" t="n"/>
      <c r="H52" s="13" t="n"/>
      <c r="I52" s="14" t="n"/>
      <c r="J52" s="14" t="n"/>
      <c r="K52" s="7" t="n"/>
      <c r="L52" s="13" t="n"/>
    </row>
    <row r="53">
      <c r="A53" s="13" t="n"/>
      <c r="B53" s="7" t="n"/>
      <c r="C53" s="13" t="n"/>
      <c r="D53" s="13" t="n"/>
      <c r="E53" s="7" t="n"/>
      <c r="F53" s="15" t="n"/>
      <c r="G53" s="7" t="n"/>
      <c r="H53" s="13" t="n"/>
      <c r="I53" s="14" t="n"/>
      <c r="J53" s="14" t="n"/>
      <c r="K53" s="7" t="n"/>
      <c r="L53" s="13" t="n"/>
    </row>
    <row r="54">
      <c r="A54" s="13" t="n"/>
      <c r="B54" s="7" t="n"/>
      <c r="C54" s="13" t="n"/>
      <c r="D54" s="13" t="n"/>
      <c r="E54" s="7" t="n"/>
      <c r="F54" s="15" t="n"/>
      <c r="G54" s="7" t="n"/>
      <c r="H54" s="13" t="n"/>
      <c r="I54" s="14" t="n"/>
      <c r="J54" s="14" t="n"/>
      <c r="K54" s="7" t="n"/>
      <c r="L54" s="13" t="n"/>
    </row>
    <row r="55">
      <c r="A55" s="13" t="n"/>
      <c r="B55" s="7" t="n"/>
      <c r="C55" s="13" t="n"/>
      <c r="D55" s="13" t="n"/>
      <c r="E55" s="7" t="n"/>
      <c r="F55" s="15" t="n"/>
      <c r="G55" s="7" t="n"/>
      <c r="H55" s="13" t="n"/>
      <c r="I55" s="14" t="n"/>
      <c r="J55" s="14" t="n"/>
      <c r="K55" s="7" t="n"/>
      <c r="L55" s="13" t="n"/>
    </row>
    <row r="56">
      <c r="A56" s="13" t="n"/>
      <c r="B56" s="7" t="n"/>
      <c r="C56" s="13" t="n"/>
      <c r="D56" s="13" t="n"/>
      <c r="E56" s="7" t="n"/>
      <c r="F56" s="15" t="n"/>
      <c r="G56" s="7" t="n"/>
      <c r="H56" s="13" t="n"/>
      <c r="I56" s="14" t="n"/>
      <c r="J56" s="14" t="n"/>
      <c r="K56" s="7" t="n"/>
      <c r="L56" s="13" t="n"/>
    </row>
    <row r="57">
      <c r="A57" s="13" t="n"/>
      <c r="B57" s="7" t="n"/>
      <c r="C57" s="13" t="n"/>
      <c r="D57" s="13" t="n"/>
      <c r="E57" s="7" t="n"/>
      <c r="F57" s="15" t="n"/>
      <c r="G57" s="7" t="n"/>
      <c r="H57" s="13" t="n"/>
      <c r="I57" s="14" t="n"/>
      <c r="J57" s="14" t="n"/>
      <c r="K57" s="7" t="n"/>
      <c r="L57" s="13" t="n"/>
    </row>
    <row r="58">
      <c r="A58" s="13" t="n"/>
      <c r="B58" s="7" t="n"/>
      <c r="C58" s="13" t="n"/>
      <c r="D58" s="13" t="n"/>
      <c r="E58" s="7" t="n"/>
      <c r="F58" s="15" t="n"/>
      <c r="G58" s="7" t="n"/>
      <c r="H58" s="13" t="n"/>
      <c r="I58" s="14" t="n"/>
      <c r="J58" s="14" t="n"/>
      <c r="K58" s="7" t="n"/>
      <c r="L58" s="13" t="n"/>
    </row>
    <row r="59">
      <c r="A59" s="13" t="n"/>
      <c r="B59" s="7" t="n"/>
      <c r="C59" s="13" t="n"/>
      <c r="D59" s="13" t="n"/>
      <c r="E59" s="7" t="n"/>
      <c r="F59" s="15" t="n"/>
      <c r="G59" s="7" t="n"/>
      <c r="H59" s="13" t="n"/>
      <c r="I59" s="14" t="n"/>
      <c r="J59" s="14" t="n"/>
      <c r="K59" s="7" t="n"/>
      <c r="L59" s="13" t="n"/>
    </row>
    <row r="60">
      <c r="A60" s="13" t="n"/>
      <c r="B60" s="7" t="n"/>
      <c r="C60" s="13" t="n"/>
      <c r="D60" s="13" t="n"/>
      <c r="E60" s="7" t="n"/>
      <c r="F60" s="15" t="n"/>
      <c r="G60" s="7" t="n"/>
      <c r="H60" s="13" t="n"/>
      <c r="I60" s="14" t="n"/>
      <c r="J60" s="14" t="n"/>
      <c r="K60" s="7" t="n"/>
      <c r="L60" s="13" t="n"/>
    </row>
    <row r="61">
      <c r="A61" s="13" t="n"/>
      <c r="B61" s="7" t="n"/>
      <c r="C61" s="13" t="n"/>
      <c r="D61" s="13" t="n"/>
      <c r="E61" s="7" t="n"/>
      <c r="F61" s="15" t="n"/>
      <c r="G61" s="7" t="n"/>
      <c r="H61" s="13" t="n"/>
      <c r="I61" s="14" t="n"/>
      <c r="J61" s="14" t="n"/>
      <c r="K61" s="7" t="n"/>
      <c r="L61" s="13" t="n"/>
    </row>
    <row r="62">
      <c r="A62" s="13" t="n"/>
      <c r="B62" s="7" t="n"/>
      <c r="C62" s="13" t="n"/>
      <c r="D62" s="13" t="n"/>
      <c r="E62" s="7" t="n"/>
      <c r="F62" s="15" t="n"/>
      <c r="G62" s="7" t="n"/>
      <c r="H62" s="13" t="n"/>
      <c r="I62" s="14" t="n"/>
      <c r="J62" s="14" t="n"/>
      <c r="K62" s="7" t="n"/>
      <c r="L62" s="13" t="n"/>
    </row>
    <row r="63">
      <c r="A63" s="13" t="n"/>
      <c r="B63" s="7" t="n"/>
      <c r="C63" s="13" t="n"/>
      <c r="D63" s="13" t="n"/>
      <c r="E63" s="7" t="n"/>
      <c r="F63" s="15" t="n"/>
      <c r="G63" s="7" t="n"/>
      <c r="H63" s="13" t="n"/>
      <c r="I63" s="14" t="n"/>
      <c r="J63" s="14" t="n"/>
      <c r="K63" s="7" t="n"/>
      <c r="L63" s="13" t="n"/>
    </row>
    <row r="64">
      <c r="A64" s="13" t="n"/>
      <c r="B64" s="7" t="n"/>
      <c r="C64" s="13" t="n"/>
      <c r="D64" s="13" t="n"/>
      <c r="E64" s="7" t="n"/>
      <c r="F64" s="15" t="n"/>
      <c r="G64" s="7" t="n"/>
      <c r="H64" s="13" t="n"/>
      <c r="I64" s="14" t="n"/>
      <c r="J64" s="14" t="n"/>
      <c r="K64" s="7" t="n"/>
      <c r="L64" s="13" t="n"/>
    </row>
    <row r="65">
      <c r="A65" s="13" t="n"/>
      <c r="B65" s="7" t="n"/>
      <c r="C65" s="13" t="n"/>
      <c r="D65" s="13" t="n"/>
      <c r="E65" s="7" t="n"/>
      <c r="F65" s="15" t="n"/>
      <c r="G65" s="7" t="n"/>
      <c r="H65" s="13" t="n"/>
      <c r="I65" s="14" t="n"/>
      <c r="J65" s="14" t="n"/>
      <c r="K65" s="7" t="n"/>
      <c r="L65" s="13" t="n"/>
    </row>
    <row r="66">
      <c r="A66" s="13" t="n"/>
      <c r="B66" s="7" t="n"/>
      <c r="C66" s="13" t="n"/>
      <c r="D66" s="13" t="n"/>
      <c r="E66" s="7" t="n"/>
      <c r="F66" s="15" t="n"/>
      <c r="G66" s="7" t="n"/>
      <c r="H66" s="13" t="n"/>
      <c r="I66" s="14" t="n"/>
      <c r="J66" s="14" t="n"/>
      <c r="K66" s="7" t="n"/>
      <c r="L66" s="13" t="n"/>
    </row>
    <row r="67">
      <c r="A67" s="13" t="n"/>
      <c r="B67" s="7" t="n"/>
      <c r="C67" s="13" t="n"/>
      <c r="D67" s="13" t="n"/>
      <c r="E67" s="7" t="n"/>
      <c r="F67" s="15" t="n"/>
      <c r="G67" s="7" t="n"/>
      <c r="H67" s="13" t="n"/>
      <c r="I67" s="14" t="n"/>
      <c r="J67" s="14" t="n"/>
      <c r="K67" s="7" t="n"/>
      <c r="L67" s="13" t="n"/>
    </row>
    <row r="68">
      <c r="A68" s="13" t="n"/>
      <c r="B68" s="7" t="n"/>
      <c r="C68" s="13" t="n"/>
      <c r="D68" s="13" t="n"/>
      <c r="E68" s="7" t="n"/>
      <c r="F68" s="15" t="n"/>
      <c r="G68" s="7" t="n"/>
      <c r="H68" s="13" t="n"/>
      <c r="I68" s="14" t="n"/>
      <c r="J68" s="14" t="n"/>
      <c r="K68" s="7" t="n"/>
      <c r="L68" s="13" t="n"/>
    </row>
    <row r="69">
      <c r="A69" s="13" t="n"/>
      <c r="B69" s="7" t="n"/>
      <c r="C69" s="13" t="n"/>
      <c r="D69" s="13" t="n"/>
      <c r="E69" s="7" t="n"/>
      <c r="F69" s="15" t="n"/>
      <c r="G69" s="7" t="n"/>
      <c r="H69" s="13" t="n"/>
      <c r="I69" s="14" t="n"/>
      <c r="J69" s="14" t="n"/>
      <c r="K69" s="7" t="n"/>
      <c r="L69" s="13" t="n"/>
    </row>
    <row r="70">
      <c r="A70" s="13" t="n"/>
      <c r="B70" s="7" t="n"/>
      <c r="C70" s="13" t="n"/>
      <c r="D70" s="13" t="n"/>
      <c r="E70" s="7" t="n"/>
      <c r="F70" s="15" t="n"/>
      <c r="G70" s="7" t="n"/>
      <c r="H70" s="13" t="n"/>
      <c r="I70" s="14" t="n"/>
      <c r="J70" s="14" t="n"/>
      <c r="K70" s="7" t="n"/>
      <c r="L70" s="13" t="n"/>
    </row>
    <row r="71">
      <c r="A71" s="13" t="n"/>
      <c r="B71" s="7" t="n"/>
      <c r="C71" s="13" t="n"/>
      <c r="D71" s="13" t="n"/>
      <c r="E71" s="7" t="n"/>
      <c r="F71" s="15" t="n"/>
      <c r="G71" s="7" t="n"/>
      <c r="H71" s="13" t="n"/>
      <c r="I71" s="14" t="n"/>
      <c r="J71" s="14" t="n"/>
      <c r="K71" s="7" t="n"/>
      <c r="L71" s="13" t="n"/>
    </row>
    <row r="72">
      <c r="A72" s="13" t="n"/>
      <c r="B72" s="7" t="n"/>
      <c r="C72" s="13" t="n"/>
      <c r="D72" s="13" t="n"/>
      <c r="E72" s="7" t="n"/>
      <c r="F72" s="15" t="n"/>
      <c r="G72" s="7" t="n"/>
      <c r="H72" s="13" t="n"/>
      <c r="I72" s="14" t="n"/>
      <c r="J72" s="14" t="n"/>
      <c r="K72" s="7" t="n"/>
      <c r="L72" s="13" t="n"/>
    </row>
    <row r="73">
      <c r="A73" s="13" t="n"/>
      <c r="B73" s="7" t="n"/>
      <c r="C73" s="13" t="n"/>
      <c r="D73" s="13" t="n"/>
      <c r="E73" s="7" t="n"/>
      <c r="F73" s="15" t="n"/>
      <c r="G73" s="7" t="n"/>
      <c r="H73" s="13" t="n"/>
      <c r="I73" s="14" t="n"/>
      <c r="J73" s="14" t="n"/>
      <c r="K73" s="7" t="n"/>
      <c r="L73" s="13" t="n"/>
    </row>
    <row r="74">
      <c r="A74" s="13" t="n"/>
      <c r="B74" s="7" t="n"/>
      <c r="C74" s="13" t="n"/>
      <c r="D74" s="13" t="n"/>
      <c r="E74" s="7" t="n"/>
      <c r="F74" s="15" t="n"/>
      <c r="G74" s="7" t="n"/>
      <c r="H74" s="13" t="n"/>
      <c r="I74" s="14" t="n"/>
      <c r="J74" s="14" t="n"/>
      <c r="K74" s="7" t="n"/>
      <c r="L74" s="13" t="n"/>
    </row>
    <row r="75">
      <c r="A75" s="13" t="n"/>
      <c r="B75" s="7" t="n"/>
      <c r="C75" s="13" t="n"/>
      <c r="D75" s="13" t="n"/>
      <c r="E75" s="7" t="n"/>
      <c r="F75" s="15" t="n"/>
      <c r="G75" s="7" t="n"/>
      <c r="H75" s="13" t="n"/>
      <c r="I75" s="14" t="n"/>
      <c r="J75" s="14" t="n"/>
      <c r="K75" s="7" t="n"/>
      <c r="L75" s="13" t="n"/>
    </row>
    <row r="76">
      <c r="A76" s="13" t="n"/>
      <c r="B76" s="7" t="n"/>
      <c r="C76" s="13" t="n"/>
      <c r="D76" s="13" t="n"/>
      <c r="E76" s="7" t="n"/>
      <c r="F76" s="15" t="n"/>
      <c r="G76" s="7" t="n"/>
      <c r="H76" s="13" t="n"/>
      <c r="I76" s="14" t="n"/>
      <c r="J76" s="14" t="n"/>
      <c r="K76" s="7" t="n"/>
      <c r="L76" s="13" t="n"/>
    </row>
    <row r="77">
      <c r="A77" s="13" t="n"/>
      <c r="B77" s="7" t="n"/>
      <c r="C77" s="13" t="n"/>
      <c r="D77" s="13" t="n"/>
      <c r="E77" s="7" t="n"/>
      <c r="F77" s="15" t="n"/>
      <c r="G77" s="7" t="n"/>
      <c r="H77" s="13" t="n"/>
      <c r="I77" s="14" t="n"/>
      <c r="J77" s="14" t="n"/>
      <c r="K77" s="7" t="n"/>
      <c r="L77" s="13" t="n"/>
    </row>
    <row r="78">
      <c r="A78" s="13" t="n"/>
      <c r="B78" s="7" t="n"/>
      <c r="C78" s="13" t="n"/>
      <c r="D78" s="13" t="n"/>
      <c r="E78" s="7" t="n"/>
      <c r="F78" s="15" t="n"/>
      <c r="G78" s="7" t="n"/>
      <c r="H78" s="13" t="n"/>
      <c r="I78" s="14" t="n"/>
      <c r="J78" s="14" t="n"/>
      <c r="K78" s="7" t="n"/>
      <c r="L78" s="13" t="n"/>
    </row>
    <row r="79">
      <c r="A79" s="13" t="n"/>
      <c r="B79" s="7" t="n"/>
      <c r="C79" s="13" t="n"/>
      <c r="D79" s="13" t="n"/>
      <c r="E79" s="7" t="n"/>
      <c r="F79" s="15" t="n"/>
      <c r="G79" s="7" t="n"/>
      <c r="H79" s="13" t="n"/>
      <c r="I79" s="14" t="n"/>
      <c r="J79" s="14" t="n"/>
      <c r="K79" s="7" t="n"/>
      <c r="L79" s="13" t="n"/>
    </row>
    <row r="80">
      <c r="A80" s="13" t="n"/>
      <c r="B80" s="7" t="n"/>
      <c r="C80" s="13" t="n"/>
      <c r="D80" s="13" t="n"/>
      <c r="E80" s="7" t="n"/>
      <c r="F80" s="15" t="n"/>
      <c r="G80" s="7" t="n"/>
      <c r="H80" s="13" t="n"/>
      <c r="I80" s="14" t="n"/>
      <c r="J80" s="14" t="n"/>
      <c r="K80" s="7" t="n"/>
      <c r="L80" s="13" t="n"/>
    </row>
    <row r="81">
      <c r="A81" s="13" t="n"/>
      <c r="B81" s="7" t="n"/>
      <c r="C81" s="13" t="n"/>
      <c r="D81" s="13" t="n"/>
      <c r="E81" s="7" t="n"/>
      <c r="F81" s="15" t="n"/>
      <c r="G81" s="7" t="n"/>
      <c r="H81" s="13" t="n"/>
      <c r="I81" s="14" t="n"/>
      <c r="J81" s="14" t="n"/>
      <c r="K81" s="7" t="n"/>
      <c r="L81" s="13" t="n"/>
    </row>
    <row r="82">
      <c r="A82" s="13" t="n"/>
      <c r="B82" s="7" t="n"/>
      <c r="C82" s="13" t="n"/>
      <c r="D82" s="13" t="n"/>
      <c r="E82" s="7" t="n"/>
      <c r="F82" s="15" t="n"/>
      <c r="G82" s="7" t="n"/>
      <c r="H82" s="13" t="n"/>
      <c r="I82" s="14" t="n"/>
      <c r="J82" s="14" t="n"/>
      <c r="K82" s="7" t="n"/>
      <c r="L82" s="13" t="n"/>
    </row>
    <row r="83">
      <c r="A83" s="13" t="n"/>
      <c r="B83" s="7" t="n"/>
      <c r="C83" s="13" t="n"/>
      <c r="D83" s="13" t="n"/>
      <c r="E83" s="7" t="n"/>
      <c r="F83" s="15" t="n"/>
      <c r="G83" s="7" t="n"/>
      <c r="H83" s="13" t="n"/>
      <c r="I83" s="14" t="n"/>
      <c r="J83" s="14" t="n"/>
      <c r="K83" s="7" t="n"/>
      <c r="L83" s="13" t="n"/>
    </row>
    <row r="84">
      <c r="A84" s="13" t="n"/>
      <c r="B84" s="7" t="n"/>
      <c r="C84" s="13" t="n"/>
      <c r="D84" s="13" t="n"/>
      <c r="E84" s="7" t="n"/>
      <c r="F84" s="15" t="n"/>
      <c r="G84" s="7" t="n"/>
      <c r="H84" s="13" t="n"/>
      <c r="I84" s="14" t="n"/>
      <c r="J84" s="14" t="n"/>
      <c r="K84" s="7" t="n"/>
      <c r="L84" s="13" t="n"/>
    </row>
    <row r="85">
      <c r="A85" s="13" t="n"/>
      <c r="B85" s="7" t="n"/>
      <c r="C85" s="13" t="n"/>
      <c r="D85" s="13" t="n"/>
      <c r="E85" s="7" t="n"/>
      <c r="F85" s="15" t="n"/>
      <c r="G85" s="7" t="n"/>
      <c r="H85" s="13" t="n"/>
      <c r="I85" s="14" t="n"/>
      <c r="J85" s="14" t="n"/>
      <c r="K85" s="7" t="n"/>
      <c r="L85" s="13" t="n"/>
    </row>
    <row r="86">
      <c r="A86" s="13" t="n"/>
      <c r="B86" s="7" t="n"/>
      <c r="C86" s="13" t="n"/>
      <c r="D86" s="13" t="n"/>
      <c r="E86" s="7" t="n"/>
      <c r="F86" s="15" t="n"/>
      <c r="G86" s="7" t="n"/>
      <c r="H86" s="13" t="n"/>
      <c r="I86" s="14" t="n"/>
      <c r="J86" s="14" t="n"/>
      <c r="K86" s="7" t="n"/>
      <c r="L86" s="13" t="n"/>
    </row>
    <row r="87">
      <c r="A87" s="13" t="n"/>
      <c r="B87" s="7" t="n"/>
      <c r="C87" s="13" t="n"/>
      <c r="D87" s="13" t="n"/>
      <c r="E87" s="7" t="n"/>
      <c r="F87" s="15" t="n"/>
      <c r="G87" s="7" t="n"/>
      <c r="H87" s="13" t="n"/>
      <c r="I87" s="14" t="n"/>
      <c r="J87" s="14" t="n"/>
      <c r="K87" s="7" t="n"/>
      <c r="L87" s="13" t="n"/>
    </row>
    <row r="88">
      <c r="A88" s="13" t="n"/>
      <c r="B88" s="7" t="n"/>
      <c r="C88" s="13" t="n"/>
      <c r="D88" s="13" t="n"/>
      <c r="E88" s="7" t="n"/>
      <c r="F88" s="15" t="n"/>
      <c r="G88" s="7" t="n"/>
      <c r="H88" s="13" t="n"/>
      <c r="I88" s="14" t="n"/>
      <c r="J88" s="14" t="n"/>
      <c r="K88" s="7" t="n"/>
      <c r="L88" s="13" t="n"/>
    </row>
    <row r="89">
      <c r="A89" s="13" t="n"/>
      <c r="B89" s="7" t="n"/>
      <c r="C89" s="13" t="n"/>
      <c r="D89" s="13" t="n"/>
      <c r="E89" s="7" t="n"/>
      <c r="F89" s="15" t="n"/>
      <c r="G89" s="7" t="n"/>
      <c r="H89" s="13" t="n"/>
      <c r="I89" s="14" t="n"/>
      <c r="J89" s="14" t="n"/>
      <c r="K89" s="7" t="n"/>
      <c r="L89" s="13" t="n"/>
    </row>
    <row r="90">
      <c r="A90" s="13" t="n"/>
      <c r="B90" s="7" t="n"/>
      <c r="C90" s="13" t="n"/>
      <c r="D90" s="13" t="n"/>
      <c r="E90" s="7" t="n"/>
      <c r="F90" s="15" t="n"/>
      <c r="G90" s="7" t="n"/>
      <c r="H90" s="13" t="n"/>
      <c r="I90" s="14" t="n"/>
      <c r="J90" s="14" t="n"/>
      <c r="K90" s="7" t="n"/>
      <c r="L90" s="13" t="n"/>
    </row>
    <row r="91">
      <c r="A91" s="13" t="n"/>
      <c r="B91" s="7" t="n"/>
      <c r="C91" s="13" t="n"/>
      <c r="D91" s="13" t="n"/>
      <c r="E91" s="7" t="n"/>
      <c r="F91" s="15" t="n"/>
      <c r="G91" s="7" t="n"/>
      <c r="H91" s="13" t="n"/>
      <c r="I91" s="14" t="n"/>
      <c r="J91" s="14" t="n"/>
      <c r="K91" s="7" t="n"/>
      <c r="L91" s="13" t="n"/>
    </row>
    <row r="92">
      <c r="A92" s="13" t="n"/>
      <c r="B92" s="7" t="n"/>
      <c r="C92" s="13" t="n"/>
      <c r="D92" s="13" t="n"/>
      <c r="E92" s="7" t="n"/>
      <c r="F92" s="15" t="n"/>
      <c r="G92" s="7" t="n"/>
      <c r="H92" s="13" t="n"/>
      <c r="I92" s="14" t="n"/>
      <c r="J92" s="14" t="n"/>
      <c r="K92" s="7" t="n"/>
      <c r="L92" s="13" t="n"/>
    </row>
    <row r="93">
      <c r="A93" s="13" t="n"/>
      <c r="B93" s="7" t="n"/>
      <c r="C93" s="13" t="n"/>
      <c r="D93" s="13" t="n"/>
      <c r="E93" s="7" t="n"/>
      <c r="F93" s="15" t="n"/>
      <c r="G93" s="7" t="n"/>
      <c r="H93" s="13" t="n"/>
      <c r="I93" s="14" t="n"/>
      <c r="J93" s="14" t="n"/>
      <c r="K93" s="7" t="n"/>
      <c r="L93" s="13" t="n"/>
    </row>
    <row r="94">
      <c r="A94" s="13" t="n"/>
      <c r="B94" s="7" t="n"/>
      <c r="C94" s="13" t="n"/>
      <c r="D94" s="13" t="n"/>
      <c r="E94" s="7" t="n"/>
      <c r="F94" s="15" t="n"/>
      <c r="G94" s="7" t="n"/>
      <c r="H94" s="13" t="n"/>
      <c r="I94" s="14" t="n"/>
      <c r="J94" s="14" t="n"/>
      <c r="K94" s="7" t="n"/>
      <c r="L94" s="13" t="n"/>
    </row>
    <row r="95">
      <c r="A95" s="13" t="n"/>
      <c r="B95" s="7" t="n"/>
      <c r="C95" s="13" t="n"/>
      <c r="D95" s="13" t="n"/>
      <c r="E95" s="7" t="n"/>
      <c r="F95" s="15" t="n"/>
      <c r="G95" s="7" t="n"/>
      <c r="H95" s="13" t="n"/>
      <c r="I95" s="14" t="n"/>
      <c r="J95" s="14" t="n"/>
      <c r="K95" s="7" t="n"/>
      <c r="L95" s="13" t="n"/>
    </row>
    <row r="96">
      <c r="A96" s="13" t="n"/>
      <c r="B96" s="7" t="n"/>
      <c r="C96" s="13" t="n"/>
      <c r="D96" s="13" t="n"/>
      <c r="E96" s="7" t="n"/>
      <c r="F96" s="15" t="n"/>
      <c r="G96" s="7" t="n"/>
      <c r="H96" s="13" t="n"/>
      <c r="I96" s="14" t="n"/>
      <c r="J96" s="14" t="n"/>
      <c r="K96" s="7" t="n"/>
      <c r="L96" s="13" t="n"/>
    </row>
    <row r="97">
      <c r="A97" s="13" t="n"/>
      <c r="B97" s="7" t="n"/>
      <c r="C97" s="13" t="n"/>
      <c r="D97" s="13" t="n"/>
      <c r="E97" s="7" t="n"/>
      <c r="F97" s="15" t="n"/>
      <c r="G97" s="7" t="n"/>
      <c r="H97" s="13" t="n"/>
      <c r="I97" s="14" t="n"/>
      <c r="J97" s="14" t="n"/>
      <c r="K97" s="7" t="n"/>
      <c r="L97" s="13" t="n"/>
    </row>
    <row r="98">
      <c r="A98" s="13" t="n"/>
      <c r="B98" s="7" t="n"/>
      <c r="C98" s="13" t="n"/>
      <c r="D98" s="13" t="n"/>
      <c r="E98" s="7" t="n"/>
      <c r="F98" s="15" t="n"/>
      <c r="G98" s="7" t="n"/>
      <c r="H98" s="13" t="n"/>
      <c r="I98" s="14" t="n"/>
      <c r="J98" s="14" t="n"/>
      <c r="K98" s="7" t="n"/>
      <c r="L98" s="13" t="n"/>
    </row>
    <row r="99">
      <c r="A99" s="13" t="n"/>
      <c r="B99" s="7" t="n"/>
      <c r="C99" s="13" t="n"/>
      <c r="D99" s="13" t="n"/>
      <c r="E99" s="7" t="n"/>
      <c r="F99" s="15" t="n"/>
      <c r="G99" s="7" t="n"/>
      <c r="H99" s="13" t="n"/>
      <c r="I99" s="14" t="n"/>
      <c r="J99" s="14" t="n"/>
      <c r="K99" s="7" t="n"/>
      <c r="L99" s="13" t="n"/>
    </row>
    <row r="100">
      <c r="A100" s="13" t="n"/>
      <c r="B100" s="7" t="n"/>
      <c r="C100" s="13" t="n"/>
      <c r="D100" s="13" t="n"/>
      <c r="E100" s="7" t="n"/>
      <c r="F100" s="15" t="n"/>
      <c r="G100" s="7" t="n"/>
      <c r="H100" s="13" t="n"/>
      <c r="I100" s="14" t="n"/>
      <c r="J100" s="14" t="n"/>
      <c r="K100" s="7" t="n"/>
      <c r="L100" s="13" t="n"/>
    </row>
    <row r="101">
      <c r="A101" s="13" t="n"/>
      <c r="B101" s="7" t="n"/>
      <c r="C101" s="13" t="n"/>
      <c r="D101" s="13" t="n"/>
      <c r="E101" s="7" t="n"/>
      <c r="F101" s="15" t="n"/>
      <c r="G101" s="7" t="n"/>
      <c r="H101" s="13" t="n"/>
      <c r="I101" s="14" t="n"/>
      <c r="J101" s="14" t="n"/>
      <c r="K101" s="7" t="n"/>
      <c r="L101" s="13" t="n"/>
    </row>
    <row r="102">
      <c r="A102" s="13" t="n"/>
      <c r="B102" s="7" t="n"/>
      <c r="C102" s="13" t="n"/>
      <c r="D102" s="13" t="n"/>
      <c r="E102" s="7" t="n"/>
      <c r="F102" s="15" t="n"/>
      <c r="G102" s="7" t="n"/>
      <c r="H102" s="13" t="n"/>
      <c r="I102" s="14" t="n"/>
      <c r="J102" s="14" t="n"/>
      <c r="K102" s="7" t="n"/>
      <c r="L102" s="13" t="n"/>
    </row>
    <row r="103">
      <c r="A103" s="13" t="n"/>
      <c r="B103" s="7" t="n"/>
      <c r="C103" s="13" t="n"/>
      <c r="D103" s="13" t="n"/>
      <c r="E103" s="7" t="n"/>
      <c r="F103" s="15" t="n"/>
      <c r="G103" s="7" t="n"/>
      <c r="H103" s="13" t="n"/>
      <c r="I103" s="14" t="n"/>
      <c r="J103" s="14" t="n"/>
      <c r="K103" s="7" t="n"/>
      <c r="L103" s="13" t="n"/>
    </row>
    <row r="104">
      <c r="A104" s="13" t="n"/>
      <c r="B104" s="7" t="n"/>
      <c r="C104" s="13" t="n"/>
      <c r="D104" s="13" t="n"/>
      <c r="E104" s="7" t="n"/>
      <c r="F104" s="15" t="n"/>
      <c r="G104" s="7" t="n"/>
      <c r="H104" s="13" t="n"/>
      <c r="I104" s="14" t="n"/>
      <c r="J104" s="14" t="n"/>
      <c r="K104" s="7" t="n"/>
      <c r="L104" s="13" t="n"/>
    </row>
    <row r="105">
      <c r="A105" s="13" t="n"/>
      <c r="B105" s="7" t="n"/>
      <c r="C105" s="13" t="n"/>
      <c r="D105" s="13" t="n"/>
      <c r="E105" s="7" t="n"/>
      <c r="F105" s="15" t="n"/>
      <c r="G105" s="7" t="n"/>
      <c r="H105" s="13" t="n"/>
      <c r="I105" s="14" t="n"/>
      <c r="J105" s="14" t="n"/>
      <c r="K105" s="7" t="n"/>
      <c r="L105" s="13" t="n"/>
    </row>
    <row r="106">
      <c r="A106" s="13" t="n"/>
      <c r="B106" s="7" t="n"/>
      <c r="C106" s="13" t="n"/>
      <c r="D106" s="13" t="n"/>
      <c r="E106" s="7" t="n"/>
      <c r="F106" s="15" t="n"/>
      <c r="G106" s="7" t="n"/>
      <c r="H106" s="13" t="n"/>
      <c r="I106" s="14" t="n"/>
      <c r="J106" s="14" t="n"/>
      <c r="K106" s="7" t="n"/>
      <c r="L106" s="13" t="n"/>
    </row>
    <row r="107">
      <c r="A107" s="13" t="n"/>
      <c r="B107" s="7" t="n"/>
      <c r="C107" s="13" t="n"/>
      <c r="D107" s="13" t="n"/>
      <c r="E107" s="7" t="n"/>
      <c r="F107" s="15" t="n"/>
      <c r="G107" s="7" t="n"/>
      <c r="H107" s="13" t="n"/>
      <c r="I107" s="14" t="n"/>
      <c r="J107" s="14" t="n"/>
      <c r="K107" s="7" t="n"/>
      <c r="L107" s="13" t="n"/>
    </row>
    <row r="108">
      <c r="A108" s="13" t="n"/>
      <c r="B108" s="7" t="n"/>
      <c r="C108" s="13" t="n"/>
      <c r="D108" s="13" t="n"/>
      <c r="E108" s="7" t="n"/>
      <c r="F108" s="15" t="n"/>
      <c r="G108" s="7" t="n"/>
      <c r="H108" s="13" t="n"/>
      <c r="I108" s="14" t="n"/>
      <c r="J108" s="14" t="n"/>
      <c r="K108" s="7" t="n"/>
      <c r="L108" s="13" t="n"/>
    </row>
    <row r="109">
      <c r="A109" s="13" t="n"/>
      <c r="B109" s="7" t="n"/>
      <c r="C109" s="13" t="n"/>
      <c r="D109" s="13" t="n"/>
      <c r="E109" s="7" t="n"/>
      <c r="F109" s="15" t="n"/>
      <c r="G109" s="7" t="n"/>
      <c r="H109" s="13" t="n"/>
      <c r="I109" s="14" t="n"/>
      <c r="J109" s="14" t="n"/>
      <c r="K109" s="7" t="n"/>
      <c r="L109" s="13" t="n"/>
    </row>
    <row r="110">
      <c r="A110" s="13" t="n"/>
      <c r="B110" s="7" t="n"/>
      <c r="C110" s="13" t="n"/>
      <c r="D110" s="13" t="n"/>
      <c r="E110" s="7" t="n"/>
      <c r="F110" s="15" t="n"/>
      <c r="G110" s="7" t="n"/>
      <c r="H110" s="13" t="n"/>
      <c r="I110" s="14" t="n"/>
      <c r="J110" s="14" t="n"/>
      <c r="K110" s="7" t="n"/>
      <c r="L110" s="13" t="n"/>
    </row>
    <row r="111">
      <c r="A111" s="13" t="n"/>
      <c r="B111" s="7" t="n"/>
      <c r="C111" s="13" t="n"/>
      <c r="D111" s="13" t="n"/>
      <c r="E111" s="7" t="n"/>
      <c r="F111" s="15" t="n"/>
      <c r="G111" s="7" t="n"/>
      <c r="H111" s="13" t="n"/>
      <c r="I111" s="14" t="n"/>
      <c r="J111" s="14" t="n"/>
      <c r="K111" s="7" t="n"/>
      <c r="L111" s="13" t="n"/>
    </row>
    <row r="112">
      <c r="A112" s="13" t="n"/>
      <c r="B112" s="7" t="n"/>
      <c r="C112" s="13" t="n"/>
      <c r="D112" s="13" t="n"/>
      <c r="E112" s="7" t="n"/>
      <c r="F112" s="15" t="n"/>
      <c r="G112" s="7" t="n"/>
      <c r="H112" s="13" t="n"/>
      <c r="I112" s="14" t="n"/>
      <c r="J112" s="14" t="n"/>
      <c r="K112" s="7" t="n"/>
      <c r="L112" s="13" t="n"/>
    </row>
    <row r="113">
      <c r="A113" s="13" t="n"/>
      <c r="B113" s="7" t="n"/>
      <c r="C113" s="13" t="n"/>
      <c r="D113" s="13" t="n"/>
      <c r="E113" s="7" t="n"/>
      <c r="F113" s="15" t="n"/>
      <c r="G113" s="7" t="n"/>
      <c r="H113" s="13" t="n"/>
      <c r="I113" s="14" t="n"/>
      <c r="J113" s="14" t="n"/>
      <c r="K113" s="7" t="n"/>
      <c r="L113" s="13" t="n"/>
    </row>
    <row r="114">
      <c r="A114" s="13" t="n"/>
      <c r="B114" s="7" t="n"/>
      <c r="C114" s="13" t="n"/>
      <c r="D114" s="13" t="n"/>
      <c r="E114" s="7" t="n"/>
      <c r="F114" s="15" t="n"/>
      <c r="G114" s="7" t="n"/>
      <c r="H114" s="13" t="n"/>
      <c r="I114" s="14" t="n"/>
      <c r="J114" s="14" t="n"/>
      <c r="K114" s="7" t="n"/>
      <c r="L114" s="13" t="n"/>
    </row>
    <row r="115">
      <c r="A115" s="13" t="n"/>
      <c r="B115" s="7" t="n"/>
      <c r="C115" s="13" t="n"/>
      <c r="D115" s="13" t="n"/>
      <c r="E115" s="7" t="n"/>
      <c r="F115" s="15" t="n"/>
      <c r="G115" s="7" t="n"/>
      <c r="H115" s="13" t="n"/>
      <c r="I115" s="14" t="n"/>
      <c r="J115" s="14" t="n"/>
      <c r="K115" s="7" t="n"/>
      <c r="L115" s="13" t="n"/>
    </row>
    <row r="116">
      <c r="A116" s="13" t="n"/>
      <c r="B116" s="7" t="n"/>
      <c r="C116" s="13" t="n"/>
      <c r="D116" s="13" t="n"/>
      <c r="E116" s="7" t="n"/>
      <c r="F116" s="15" t="n"/>
      <c r="G116" s="7" t="n"/>
      <c r="H116" s="13" t="n"/>
      <c r="I116" s="14" t="n"/>
      <c r="J116" s="14" t="n"/>
      <c r="K116" s="7" t="n"/>
      <c r="L116" s="13" t="n"/>
    </row>
    <row r="117">
      <c r="A117" s="13" t="n"/>
      <c r="B117" s="7" t="n"/>
      <c r="C117" s="13" t="n"/>
      <c r="D117" s="13" t="n"/>
      <c r="E117" s="7" t="n"/>
      <c r="F117" s="15" t="n"/>
      <c r="G117" s="7" t="n"/>
      <c r="H117" s="13" t="n"/>
      <c r="I117" s="14" t="n"/>
      <c r="J117" s="14" t="n"/>
      <c r="K117" s="7" t="n"/>
      <c r="L117" s="13" t="n"/>
    </row>
    <row r="118">
      <c r="A118" s="13" t="n"/>
      <c r="B118" s="7" t="n"/>
      <c r="C118" s="13" t="n"/>
      <c r="D118" s="13" t="n"/>
      <c r="E118" s="7" t="n"/>
      <c r="F118" s="15" t="n"/>
      <c r="G118" s="7" t="n"/>
      <c r="H118" s="13" t="n"/>
      <c r="I118" s="14" t="n"/>
      <c r="J118" s="14" t="n"/>
      <c r="K118" s="7" t="n"/>
      <c r="L118" s="13" t="n"/>
    </row>
    <row r="119">
      <c r="A119" s="13" t="n"/>
      <c r="B119" s="7" t="n"/>
      <c r="C119" s="13" t="n"/>
      <c r="D119" s="13" t="n"/>
      <c r="E119" s="7" t="n"/>
      <c r="F119" s="15" t="n"/>
      <c r="G119" s="7" t="n"/>
      <c r="H119" s="13" t="n"/>
      <c r="I119" s="14" t="n"/>
      <c r="J119" s="14" t="n"/>
      <c r="K119" s="7" t="n"/>
      <c r="L119" s="13" t="n"/>
    </row>
    <row r="120">
      <c r="A120" s="13" t="n"/>
      <c r="B120" s="7" t="n"/>
      <c r="C120" s="13" t="n"/>
      <c r="D120" s="13" t="n"/>
      <c r="E120" s="7" t="n"/>
      <c r="F120" s="15" t="n"/>
      <c r="G120" s="7" t="n"/>
      <c r="H120" s="13" t="n"/>
      <c r="I120" s="14" t="n"/>
      <c r="J120" s="14" t="n"/>
      <c r="K120" s="7" t="n"/>
      <c r="L120" s="13" t="n"/>
    </row>
    <row r="121">
      <c r="A121" s="13" t="n"/>
      <c r="B121" s="7" t="n"/>
      <c r="C121" s="13" t="n"/>
      <c r="D121" s="13" t="n"/>
      <c r="E121" s="7" t="n"/>
      <c r="F121" s="15" t="n"/>
      <c r="G121" s="7" t="n"/>
      <c r="H121" s="13" t="n"/>
      <c r="I121" s="14" t="n"/>
      <c r="J121" s="14" t="n"/>
      <c r="K121" s="7" t="n"/>
      <c r="L121" s="13" t="n"/>
    </row>
    <row r="122">
      <c r="A122" s="13" t="n"/>
      <c r="B122" s="7" t="n"/>
      <c r="C122" s="13" t="n"/>
      <c r="D122" s="13" t="n"/>
      <c r="E122" s="7" t="n"/>
      <c r="F122" s="15" t="n"/>
      <c r="G122" s="7" t="n"/>
      <c r="H122" s="13" t="n"/>
      <c r="I122" s="14" t="n"/>
      <c r="J122" s="14" t="n"/>
      <c r="K122" s="7" t="n"/>
      <c r="L122" s="13" t="n"/>
    </row>
    <row r="123">
      <c r="A123" s="13" t="n"/>
      <c r="B123" s="7" t="n"/>
      <c r="C123" s="13" t="n"/>
      <c r="D123" s="13" t="n"/>
      <c r="E123" s="7" t="n"/>
      <c r="F123" s="15" t="n"/>
      <c r="G123" s="7" t="n"/>
      <c r="H123" s="13" t="n"/>
      <c r="I123" s="14" t="n"/>
      <c r="J123" s="14" t="n"/>
      <c r="K123" s="7" t="n"/>
      <c r="L123" s="13" t="n"/>
    </row>
    <row r="124">
      <c r="A124" s="13" t="n"/>
      <c r="B124" s="7" t="n"/>
      <c r="C124" s="13" t="n"/>
      <c r="D124" s="13" t="n"/>
      <c r="E124" s="7" t="n"/>
      <c r="F124" s="15" t="n"/>
      <c r="G124" s="7" t="n"/>
      <c r="H124" s="13" t="n"/>
      <c r="I124" s="14" t="n"/>
      <c r="J124" s="14" t="n"/>
      <c r="K124" s="7" t="n"/>
      <c r="L124" s="13" t="n"/>
    </row>
    <row r="125">
      <c r="A125" s="13" t="n"/>
      <c r="B125" s="7" t="n"/>
      <c r="C125" s="13" t="n"/>
      <c r="D125" s="13" t="n"/>
      <c r="E125" s="7" t="n"/>
      <c r="F125" s="15" t="n"/>
      <c r="G125" s="7" t="n"/>
      <c r="H125" s="13" t="n"/>
      <c r="I125" s="14" t="n"/>
      <c r="J125" s="14" t="n"/>
      <c r="K125" s="7" t="n"/>
      <c r="L125" s="13" t="n"/>
    </row>
    <row r="126">
      <c r="A126" s="13" t="n"/>
      <c r="B126" s="7" t="n"/>
      <c r="C126" s="13" t="n"/>
      <c r="D126" s="13" t="n"/>
      <c r="E126" s="7" t="n"/>
      <c r="F126" s="15" t="n"/>
      <c r="G126" s="7" t="n"/>
      <c r="H126" s="13" t="n"/>
      <c r="I126" s="14" t="n"/>
      <c r="J126" s="14" t="n"/>
      <c r="K126" s="7" t="n"/>
      <c r="L126" s="13" t="n"/>
    </row>
    <row r="127">
      <c r="A127" s="13" t="n"/>
      <c r="B127" s="7" t="n"/>
      <c r="C127" s="13" t="n"/>
      <c r="D127" s="13" t="n"/>
      <c r="E127" s="7" t="n"/>
      <c r="F127" s="15" t="n"/>
      <c r="G127" s="7" t="n"/>
      <c r="H127" s="13" t="n"/>
      <c r="I127" s="14" t="n"/>
      <c r="J127" s="14" t="n"/>
      <c r="K127" s="7" t="n"/>
      <c r="L127" s="13" t="n"/>
    </row>
    <row r="128">
      <c r="A128" s="13" t="n"/>
      <c r="B128" s="7" t="n"/>
      <c r="C128" s="13" t="n"/>
      <c r="D128" s="13" t="n"/>
      <c r="E128" s="7" t="n"/>
      <c r="F128" s="15" t="n"/>
      <c r="G128" s="7" t="n"/>
      <c r="H128" s="13" t="n"/>
      <c r="I128" s="14" t="n"/>
      <c r="J128" s="14" t="n"/>
      <c r="K128" s="7" t="n"/>
      <c r="L128" s="13" t="n"/>
    </row>
    <row r="129">
      <c r="A129" s="13" t="n"/>
      <c r="B129" s="7" t="n"/>
      <c r="C129" s="13" t="n"/>
      <c r="D129" s="13" t="n"/>
      <c r="E129" s="7" t="n"/>
      <c r="F129" s="15" t="n"/>
      <c r="G129" s="7" t="n"/>
      <c r="H129" s="13" t="n"/>
      <c r="I129" s="14" t="n"/>
      <c r="J129" s="14" t="n"/>
      <c r="K129" s="7" t="n"/>
      <c r="L129" s="13" t="n"/>
    </row>
    <row r="130">
      <c r="A130" s="13" t="n"/>
      <c r="B130" s="7" t="n"/>
      <c r="C130" s="13" t="n"/>
      <c r="D130" s="13" t="n"/>
      <c r="E130" s="7" t="n"/>
      <c r="F130" s="15" t="n"/>
      <c r="G130" s="7" t="n"/>
      <c r="H130" s="13" t="n"/>
      <c r="I130" s="14" t="n"/>
      <c r="J130" s="14" t="n"/>
      <c r="K130" s="7" t="n"/>
      <c r="L130" s="13" t="n"/>
    </row>
    <row r="131">
      <c r="A131" s="13" t="n"/>
      <c r="B131" s="7" t="n"/>
      <c r="C131" s="13" t="n"/>
      <c r="D131" s="13" t="n"/>
      <c r="E131" s="7" t="n"/>
      <c r="F131" s="15" t="n"/>
      <c r="G131" s="7" t="n"/>
      <c r="H131" s="13" t="n"/>
      <c r="I131" s="14" t="n"/>
      <c r="J131" s="14" t="n"/>
      <c r="K131" s="7" t="n"/>
      <c r="L131" s="13" t="n"/>
    </row>
    <row r="132">
      <c r="A132" s="13" t="n"/>
      <c r="B132" s="7" t="n"/>
      <c r="C132" s="13" t="n"/>
      <c r="D132" s="13" t="n"/>
      <c r="E132" s="7" t="n"/>
      <c r="F132" s="15" t="n"/>
      <c r="G132" s="7" t="n"/>
      <c r="H132" s="13" t="n"/>
      <c r="I132" s="14" t="n"/>
      <c r="J132" s="14" t="n"/>
      <c r="K132" s="7" t="n"/>
      <c r="L132" s="13" t="n"/>
    </row>
    <row r="133">
      <c r="A133" s="13" t="n"/>
      <c r="B133" s="7" t="n"/>
      <c r="C133" s="13" t="n"/>
      <c r="D133" s="13" t="n"/>
      <c r="E133" s="7" t="n"/>
      <c r="F133" s="15" t="n"/>
      <c r="G133" s="7" t="n"/>
      <c r="H133" s="13" t="n"/>
      <c r="I133" s="14" t="n"/>
      <c r="J133" s="14" t="n"/>
      <c r="K133" s="7" t="n"/>
      <c r="L133" s="13" t="n"/>
    </row>
    <row r="134">
      <c r="A134" s="13" t="n"/>
      <c r="B134" s="7" t="n"/>
      <c r="C134" s="13" t="n"/>
      <c r="D134" s="13" t="n"/>
      <c r="E134" s="7" t="n"/>
      <c r="F134" s="15" t="n"/>
      <c r="G134" s="7" t="n"/>
      <c r="H134" s="13" t="n"/>
      <c r="I134" s="14" t="n"/>
      <c r="J134" s="14" t="n"/>
      <c r="K134" s="7" t="n"/>
      <c r="L134" s="13" t="n"/>
    </row>
    <row r="135">
      <c r="A135" s="13" t="n"/>
      <c r="B135" s="7" t="n"/>
      <c r="C135" s="13" t="n"/>
      <c r="D135" s="13" t="n"/>
      <c r="E135" s="7" t="n"/>
      <c r="F135" s="15" t="n"/>
      <c r="G135" s="7" t="n"/>
      <c r="H135" s="13" t="n"/>
      <c r="I135" s="14" t="n"/>
      <c r="J135" s="14" t="n"/>
      <c r="K135" s="7" t="n"/>
      <c r="L135" s="13" t="n"/>
    </row>
    <row r="136">
      <c r="A136" s="13" t="n"/>
      <c r="B136" s="7" t="n"/>
      <c r="C136" s="13" t="n"/>
      <c r="D136" s="13" t="n"/>
      <c r="E136" s="7" t="n"/>
      <c r="F136" s="15" t="n"/>
      <c r="G136" s="7" t="n"/>
      <c r="H136" s="13" t="n"/>
      <c r="I136" s="14" t="n"/>
      <c r="J136" s="14" t="n"/>
      <c r="K136" s="7" t="n"/>
      <c r="L136" s="13" t="n"/>
    </row>
    <row r="137">
      <c r="A137" s="13" t="n"/>
      <c r="B137" s="7" t="n"/>
      <c r="C137" s="13" t="n"/>
      <c r="D137" s="13" t="n"/>
      <c r="E137" s="7" t="n"/>
      <c r="F137" s="15" t="n"/>
      <c r="G137" s="7" t="n"/>
      <c r="H137" s="13" t="n"/>
      <c r="I137" s="14" t="n"/>
      <c r="J137" s="14" t="n"/>
      <c r="K137" s="7" t="n"/>
      <c r="L137" s="13" t="n"/>
    </row>
    <row r="138">
      <c r="A138" s="13" t="n"/>
      <c r="B138" s="7" t="n"/>
      <c r="C138" s="13" t="n"/>
      <c r="D138" s="13" t="n"/>
      <c r="E138" s="7" t="n"/>
      <c r="F138" s="15" t="n"/>
      <c r="G138" s="7" t="n"/>
      <c r="H138" s="13" t="n"/>
      <c r="I138" s="14" t="n"/>
      <c r="J138" s="14" t="n"/>
      <c r="K138" s="7" t="n"/>
      <c r="L138" s="13" t="n"/>
    </row>
    <row r="139">
      <c r="A139" s="13" t="n"/>
      <c r="B139" s="7" t="n"/>
      <c r="C139" s="13" t="n"/>
      <c r="D139" s="13" t="n"/>
      <c r="E139" s="7" t="n"/>
      <c r="F139" s="15" t="n"/>
      <c r="G139" s="7" t="n"/>
      <c r="H139" s="13" t="n"/>
      <c r="I139" s="14" t="n"/>
      <c r="J139" s="14" t="n"/>
      <c r="K139" s="7" t="n"/>
      <c r="L139" s="13" t="n"/>
    </row>
    <row r="140">
      <c r="A140" s="13" t="n"/>
      <c r="B140" s="7" t="n"/>
      <c r="C140" s="13" t="n"/>
      <c r="D140" s="13" t="n"/>
      <c r="E140" s="7" t="n"/>
      <c r="F140" s="15" t="n"/>
      <c r="G140" s="7" t="n"/>
      <c r="H140" s="13" t="n"/>
      <c r="I140" s="14" t="n"/>
      <c r="J140" s="14" t="n"/>
      <c r="K140" s="7" t="n"/>
      <c r="L140" s="13" t="n"/>
    </row>
    <row r="141">
      <c r="A141" s="13" t="n"/>
      <c r="B141" s="7" t="n"/>
      <c r="C141" s="13" t="n"/>
      <c r="D141" s="13" t="n"/>
      <c r="E141" s="7" t="n"/>
      <c r="F141" s="15" t="n"/>
      <c r="G141" s="7" t="n"/>
      <c r="H141" s="13" t="n"/>
      <c r="I141" s="14" t="n"/>
      <c r="J141" s="14" t="n"/>
      <c r="K141" s="7" t="n"/>
      <c r="L141" s="13" t="n"/>
    </row>
    <row r="142">
      <c r="A142" s="13" t="n"/>
      <c r="B142" s="7" t="n"/>
      <c r="C142" s="13" t="n"/>
      <c r="D142" s="13" t="n"/>
      <c r="E142" s="7" t="n"/>
      <c r="F142" s="15" t="n"/>
      <c r="G142" s="7" t="n"/>
      <c r="H142" s="13" t="n"/>
      <c r="I142" s="14" t="n"/>
      <c r="J142" s="14" t="n"/>
      <c r="K142" s="7" t="n"/>
      <c r="L142" s="13" t="n"/>
    </row>
    <row r="143">
      <c r="A143" s="13" t="n"/>
      <c r="B143" s="7" t="n"/>
      <c r="C143" s="13" t="n"/>
      <c r="D143" s="13" t="n"/>
      <c r="E143" s="7" t="n"/>
      <c r="F143" s="15" t="n"/>
      <c r="G143" s="7" t="n"/>
      <c r="H143" s="13" t="n"/>
      <c r="I143" s="14" t="n"/>
      <c r="J143" s="14" t="n"/>
      <c r="K143" s="7" t="n"/>
      <c r="L143" s="13" t="n"/>
    </row>
    <row r="144">
      <c r="A144" s="13" t="n"/>
      <c r="B144" s="7" t="n"/>
      <c r="C144" s="13" t="n"/>
      <c r="D144" s="13" t="n"/>
      <c r="E144" s="7" t="n"/>
      <c r="F144" s="15" t="n"/>
      <c r="G144" s="7" t="n"/>
      <c r="H144" s="13" t="n"/>
      <c r="I144" s="14" t="n"/>
      <c r="J144" s="14" t="n"/>
      <c r="K144" s="7" t="n"/>
      <c r="L144" s="13" t="n"/>
    </row>
    <row r="145">
      <c r="A145" s="13" t="n"/>
      <c r="B145" s="7" t="n"/>
      <c r="C145" s="13" t="n"/>
      <c r="D145" s="13" t="n"/>
      <c r="E145" s="7" t="n"/>
      <c r="F145" s="15" t="n"/>
      <c r="G145" s="7" t="n"/>
      <c r="H145" s="13" t="n"/>
      <c r="I145" s="14" t="n"/>
      <c r="J145" s="14" t="n"/>
      <c r="K145" s="7" t="n"/>
      <c r="L145" s="13" t="n"/>
    </row>
    <row r="146">
      <c r="A146" s="13" t="n"/>
      <c r="B146" s="7" t="n"/>
      <c r="C146" s="13" t="n"/>
      <c r="D146" s="13" t="n"/>
      <c r="E146" s="7" t="n"/>
      <c r="F146" s="15" t="n"/>
      <c r="G146" s="7" t="n"/>
      <c r="H146" s="13" t="n"/>
      <c r="I146" s="14" t="n"/>
      <c r="J146" s="14" t="n"/>
      <c r="K146" s="7" t="n"/>
      <c r="L146" s="13" t="n"/>
    </row>
    <row r="147">
      <c r="A147" s="13" t="n"/>
      <c r="B147" s="7" t="n"/>
      <c r="C147" s="13" t="n"/>
      <c r="D147" s="13" t="n"/>
      <c r="E147" s="7" t="n"/>
      <c r="F147" s="15" t="n"/>
      <c r="G147" s="7" t="n"/>
      <c r="H147" s="13" t="n"/>
      <c r="I147" s="14" t="n"/>
      <c r="J147" s="14" t="n"/>
      <c r="K147" s="7" t="n"/>
      <c r="L147" s="13" t="n"/>
    </row>
    <row r="148">
      <c r="A148" s="13" t="n"/>
      <c r="B148" s="7" t="n"/>
      <c r="C148" s="13" t="n"/>
      <c r="D148" s="13" t="n"/>
      <c r="E148" s="7" t="n"/>
      <c r="F148" s="15" t="n"/>
      <c r="G148" s="7" t="n"/>
      <c r="H148" s="13" t="n"/>
      <c r="I148" s="14" t="n"/>
      <c r="J148" s="14" t="n"/>
      <c r="K148" s="7" t="n"/>
      <c r="L148" s="13" t="n"/>
    </row>
    <row r="149">
      <c r="A149" s="13" t="n"/>
      <c r="B149" s="7" t="n"/>
      <c r="C149" s="13" t="n"/>
      <c r="D149" s="13" t="n"/>
      <c r="E149" s="7" t="n"/>
      <c r="F149" s="15" t="n"/>
      <c r="G149" s="7" t="n"/>
      <c r="H149" s="13" t="n"/>
      <c r="I149" s="14" t="n"/>
      <c r="J149" s="14" t="n"/>
      <c r="K149" s="7" t="n"/>
      <c r="L149" s="13" t="n"/>
    </row>
    <row r="150">
      <c r="A150" s="13" t="n"/>
      <c r="B150" s="7" t="n"/>
      <c r="C150" s="13" t="n"/>
      <c r="D150" s="13" t="n"/>
      <c r="E150" s="7" t="n"/>
      <c r="F150" s="15" t="n"/>
      <c r="G150" s="7" t="n"/>
      <c r="H150" s="13" t="n"/>
      <c r="I150" s="14" t="n"/>
      <c r="J150" s="14" t="n"/>
      <c r="K150" s="7" t="n"/>
      <c r="L150" s="13" t="n"/>
    </row>
    <row r="151">
      <c r="A151" s="13" t="n"/>
      <c r="B151" s="7" t="n"/>
      <c r="C151" s="13" t="n"/>
      <c r="D151" s="13" t="n"/>
      <c r="E151" s="7" t="n"/>
      <c r="F151" s="15" t="n"/>
      <c r="G151" s="7" t="n"/>
      <c r="H151" s="13" t="n"/>
      <c r="I151" s="14" t="n"/>
      <c r="J151" s="14" t="n"/>
      <c r="K151" s="7" t="n"/>
      <c r="L151" s="13" t="n"/>
    </row>
  </sheetData>
  <dataValidations count="7">
    <dataValidation sqref="B2:B15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E2:E151" showDropDown="0" showInputMessage="0" showErrorMessage="1" allowBlank="1" errorTitle="Invalid value" error="Select a value from the list. / 一覧から選択してください。" type="list">
      <formula1>=lst_employment_type</formula1>
    </dataValidation>
    <dataValidation sqref="F2:F151" showDropDown="0" showInputMessage="0" showErrorMessage="1" allowBlank="1" error="Enter a number. / 数値で入力してください。" type="decimal" operator="greaterThanOrEqual">
      <formula1>0</formula1>
    </dataValidation>
    <dataValidation sqref="G2:G15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I2:I151" showDropDown="0" showInputMessage="0" showErrorMessage="1" allowBlank="1" error="Enter a date (YYYY-MM-DD). / 日付で入力してください。" type="date" operator="greaterThan">
      <formula1>36526</formula1>
    </dataValidation>
    <dataValidation sqref="J2:J151" showDropDown="0" showInputMessage="0" showErrorMessage="1" allowBlank="1" error="Enter a date (YYYY-MM-DD). / 日付で入力してください。" type="date" operator="greaterThan">
      <formula1>36526</formula1>
    </dataValidation>
    <dataValidation sqref="K2:K151" showDropDown="0" showInputMessage="0" showErrorMessage="1" allowBlank="1" errorTitle="Invalid value" error="Select a value from the list. / 一覧から選択してください。" type="list">
      <formula1>=lst_account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9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1" customWidth="1" min="11" max="11"/>
  </cols>
  <sheetData>
    <row r="1">
      <c r="A1" s="4" t="inlineStr">
        <is>
          <t>person_id</t>
        </is>
      </c>
      <c r="B1" s="4" t="inlineStr">
        <is>
          <t>budget_id</t>
        </is>
      </c>
      <c r="C1" s="4" t="inlineStr">
        <is>
          <t>owner</t>
        </is>
      </c>
      <c r="D1" s="4" t="inlineStr">
        <is>
          <t>allocation_type</t>
        </is>
      </c>
      <c r="E1" s="4" t="inlineStr">
        <is>
          <t>allocation_code</t>
        </is>
      </c>
      <c r="F1" s="4" t="inlineStr">
        <is>
          <t>fte_2027</t>
        </is>
      </c>
      <c r="G1" s="4" t="inlineStr">
        <is>
          <t>fte_2028</t>
        </is>
      </c>
      <c r="H1" s="4" t="inlineStr">
        <is>
          <t>fte_2029</t>
        </is>
      </c>
      <c r="I1" s="4" t="inlineStr">
        <is>
          <t>valid_from</t>
        </is>
      </c>
      <c r="J1" s="4" t="inlineStr">
        <is>
          <t>valid_to</t>
        </is>
      </c>
      <c r="K1" s="4" t="inlineStr">
        <is>
          <t>note</t>
        </is>
      </c>
    </row>
    <row r="2">
      <c r="A2" s="13" t="n"/>
      <c r="B2" s="13" t="n"/>
      <c r="C2" s="13" t="n"/>
      <c r="D2" s="7" t="n"/>
      <c r="E2" s="13" t="n"/>
      <c r="F2" s="16" t="n"/>
      <c r="G2" s="16" t="n"/>
      <c r="H2" s="16" t="n"/>
      <c r="I2" s="14" t="n"/>
      <c r="J2" s="14" t="n"/>
      <c r="K2" s="13" t="n"/>
    </row>
    <row r="3">
      <c r="A3" s="13" t="n"/>
      <c r="B3" s="13" t="n"/>
      <c r="C3" s="13" t="n"/>
      <c r="D3" s="7" t="n"/>
      <c r="E3" s="13" t="n"/>
      <c r="F3" s="16" t="n"/>
      <c r="G3" s="16" t="n"/>
      <c r="H3" s="16" t="n"/>
      <c r="I3" s="14" t="n"/>
      <c r="J3" s="14" t="n"/>
      <c r="K3" s="13" t="n"/>
    </row>
    <row r="4">
      <c r="A4" s="13" t="n"/>
      <c r="B4" s="13" t="n"/>
      <c r="C4" s="13" t="n"/>
      <c r="D4" s="7" t="n"/>
      <c r="E4" s="13" t="n"/>
      <c r="F4" s="16" t="n"/>
      <c r="G4" s="16" t="n"/>
      <c r="H4" s="16" t="n"/>
      <c r="I4" s="14" t="n"/>
      <c r="J4" s="14" t="n"/>
      <c r="K4" s="13" t="n"/>
    </row>
    <row r="5">
      <c r="A5" s="13" t="n"/>
      <c r="B5" s="13" t="n"/>
      <c r="C5" s="13" t="n"/>
      <c r="D5" s="7" t="n"/>
      <c r="E5" s="13" t="n"/>
      <c r="F5" s="16" t="n"/>
      <c r="G5" s="16" t="n"/>
      <c r="H5" s="16" t="n"/>
      <c r="I5" s="14" t="n"/>
      <c r="J5" s="14" t="n"/>
      <c r="K5" s="13" t="n"/>
    </row>
    <row r="6">
      <c r="A6" s="13" t="n"/>
      <c r="B6" s="13" t="n"/>
      <c r="C6" s="13" t="n"/>
      <c r="D6" s="7" t="n"/>
      <c r="E6" s="13" t="n"/>
      <c r="F6" s="16" t="n"/>
      <c r="G6" s="16" t="n"/>
      <c r="H6" s="16" t="n"/>
      <c r="I6" s="14" t="n"/>
      <c r="J6" s="14" t="n"/>
      <c r="K6" s="13" t="n"/>
    </row>
    <row r="7">
      <c r="A7" s="13" t="n"/>
      <c r="B7" s="13" t="n"/>
      <c r="C7" s="13" t="n"/>
      <c r="D7" s="7" t="n"/>
      <c r="E7" s="13" t="n"/>
      <c r="F7" s="16" t="n"/>
      <c r="G7" s="16" t="n"/>
      <c r="H7" s="16" t="n"/>
      <c r="I7" s="14" t="n"/>
      <c r="J7" s="14" t="n"/>
      <c r="K7" s="13" t="n"/>
    </row>
    <row r="8">
      <c r="A8" s="13" t="n"/>
      <c r="B8" s="13" t="n"/>
      <c r="C8" s="13" t="n"/>
      <c r="D8" s="7" t="n"/>
      <c r="E8" s="13" t="n"/>
      <c r="F8" s="16" t="n"/>
      <c r="G8" s="16" t="n"/>
      <c r="H8" s="16" t="n"/>
      <c r="I8" s="14" t="n"/>
      <c r="J8" s="14" t="n"/>
      <c r="K8" s="13" t="n"/>
    </row>
    <row r="9">
      <c r="A9" s="13" t="n"/>
      <c r="B9" s="13" t="n"/>
      <c r="C9" s="13" t="n"/>
      <c r="D9" s="7" t="n"/>
      <c r="E9" s="13" t="n"/>
      <c r="F9" s="16" t="n"/>
      <c r="G9" s="16" t="n"/>
      <c r="H9" s="16" t="n"/>
      <c r="I9" s="14" t="n"/>
      <c r="J9" s="14" t="n"/>
      <c r="K9" s="13" t="n"/>
    </row>
    <row r="10">
      <c r="A10" s="13" t="n"/>
      <c r="B10" s="13" t="n"/>
      <c r="C10" s="13" t="n"/>
      <c r="D10" s="7" t="n"/>
      <c r="E10" s="13" t="n"/>
      <c r="F10" s="16" t="n"/>
      <c r="G10" s="16" t="n"/>
      <c r="H10" s="16" t="n"/>
      <c r="I10" s="14" t="n"/>
      <c r="J10" s="14" t="n"/>
      <c r="K10" s="13" t="n"/>
    </row>
    <row r="11">
      <c r="A11" s="13" t="n"/>
      <c r="B11" s="13" t="n"/>
      <c r="C11" s="13" t="n"/>
      <c r="D11" s="7" t="n"/>
      <c r="E11" s="13" t="n"/>
      <c r="F11" s="16" t="n"/>
      <c r="G11" s="16" t="n"/>
      <c r="H11" s="16" t="n"/>
      <c r="I11" s="14" t="n"/>
      <c r="J11" s="14" t="n"/>
      <c r="K11" s="13" t="n"/>
    </row>
    <row r="12">
      <c r="A12" s="13" t="n"/>
      <c r="B12" s="13" t="n"/>
      <c r="C12" s="13" t="n"/>
      <c r="D12" s="7" t="n"/>
      <c r="E12" s="13" t="n"/>
      <c r="F12" s="16" t="n"/>
      <c r="G12" s="16" t="n"/>
      <c r="H12" s="16" t="n"/>
      <c r="I12" s="14" t="n"/>
      <c r="J12" s="14" t="n"/>
      <c r="K12" s="13" t="n"/>
    </row>
    <row r="13">
      <c r="A13" s="13" t="n"/>
      <c r="B13" s="13" t="n"/>
      <c r="C13" s="13" t="n"/>
      <c r="D13" s="7" t="n"/>
      <c r="E13" s="13" t="n"/>
      <c r="F13" s="16" t="n"/>
      <c r="G13" s="16" t="n"/>
      <c r="H13" s="16" t="n"/>
      <c r="I13" s="14" t="n"/>
      <c r="J13" s="14" t="n"/>
      <c r="K13" s="13" t="n"/>
    </row>
    <row r="14">
      <c r="A14" s="13" t="n"/>
      <c r="B14" s="13" t="n"/>
      <c r="C14" s="13" t="n"/>
      <c r="D14" s="7" t="n"/>
      <c r="E14" s="13" t="n"/>
      <c r="F14" s="16" t="n"/>
      <c r="G14" s="16" t="n"/>
      <c r="H14" s="16" t="n"/>
      <c r="I14" s="14" t="n"/>
      <c r="J14" s="14" t="n"/>
      <c r="K14" s="13" t="n"/>
    </row>
    <row r="15">
      <c r="A15" s="13" t="n"/>
      <c r="B15" s="13" t="n"/>
      <c r="C15" s="13" t="n"/>
      <c r="D15" s="7" t="n"/>
      <c r="E15" s="13" t="n"/>
      <c r="F15" s="16" t="n"/>
      <c r="G15" s="16" t="n"/>
      <c r="H15" s="16" t="n"/>
      <c r="I15" s="14" t="n"/>
      <c r="J15" s="14" t="n"/>
      <c r="K15" s="13" t="n"/>
    </row>
    <row r="16">
      <c r="A16" s="13" t="n"/>
      <c r="B16" s="13" t="n"/>
      <c r="C16" s="13" t="n"/>
      <c r="D16" s="7" t="n"/>
      <c r="E16" s="13" t="n"/>
      <c r="F16" s="16" t="n"/>
      <c r="G16" s="16" t="n"/>
      <c r="H16" s="16" t="n"/>
      <c r="I16" s="14" t="n"/>
      <c r="J16" s="14" t="n"/>
      <c r="K16" s="13" t="n"/>
    </row>
    <row r="17">
      <c r="A17" s="13" t="n"/>
      <c r="B17" s="13" t="n"/>
      <c r="C17" s="13" t="n"/>
      <c r="D17" s="7" t="n"/>
      <c r="E17" s="13" t="n"/>
      <c r="F17" s="16" t="n"/>
      <c r="G17" s="16" t="n"/>
      <c r="H17" s="16" t="n"/>
      <c r="I17" s="14" t="n"/>
      <c r="J17" s="14" t="n"/>
      <c r="K17" s="13" t="n"/>
    </row>
    <row r="18">
      <c r="A18" s="13" t="n"/>
      <c r="B18" s="13" t="n"/>
      <c r="C18" s="13" t="n"/>
      <c r="D18" s="7" t="n"/>
      <c r="E18" s="13" t="n"/>
      <c r="F18" s="16" t="n"/>
      <c r="G18" s="16" t="n"/>
      <c r="H18" s="16" t="n"/>
      <c r="I18" s="14" t="n"/>
      <c r="J18" s="14" t="n"/>
      <c r="K18" s="13" t="n"/>
    </row>
    <row r="19">
      <c r="A19" s="13" t="n"/>
      <c r="B19" s="13" t="n"/>
      <c r="C19" s="13" t="n"/>
      <c r="D19" s="7" t="n"/>
      <c r="E19" s="13" t="n"/>
      <c r="F19" s="16" t="n"/>
      <c r="G19" s="16" t="n"/>
      <c r="H19" s="16" t="n"/>
      <c r="I19" s="14" t="n"/>
      <c r="J19" s="14" t="n"/>
      <c r="K19" s="13" t="n"/>
    </row>
    <row r="20">
      <c r="A20" s="13" t="n"/>
      <c r="B20" s="13" t="n"/>
      <c r="C20" s="13" t="n"/>
      <c r="D20" s="7" t="n"/>
      <c r="E20" s="13" t="n"/>
      <c r="F20" s="16" t="n"/>
      <c r="G20" s="16" t="n"/>
      <c r="H20" s="16" t="n"/>
      <c r="I20" s="14" t="n"/>
      <c r="J20" s="14" t="n"/>
      <c r="K20" s="13" t="n"/>
    </row>
    <row r="21">
      <c r="A21" s="13" t="n"/>
      <c r="B21" s="13" t="n"/>
      <c r="C21" s="13" t="n"/>
      <c r="D21" s="7" t="n"/>
      <c r="E21" s="13" t="n"/>
      <c r="F21" s="16" t="n"/>
      <c r="G21" s="16" t="n"/>
      <c r="H21" s="16" t="n"/>
      <c r="I21" s="14" t="n"/>
      <c r="J21" s="14" t="n"/>
      <c r="K21" s="13" t="n"/>
    </row>
    <row r="22">
      <c r="A22" s="13" t="n"/>
      <c r="B22" s="13" t="n"/>
      <c r="C22" s="13" t="n"/>
      <c r="D22" s="7" t="n"/>
      <c r="E22" s="13" t="n"/>
      <c r="F22" s="16" t="n"/>
      <c r="G22" s="16" t="n"/>
      <c r="H22" s="16" t="n"/>
      <c r="I22" s="14" t="n"/>
      <c r="J22" s="14" t="n"/>
      <c r="K22" s="13" t="n"/>
    </row>
    <row r="23">
      <c r="A23" s="13" t="n"/>
      <c r="B23" s="13" t="n"/>
      <c r="C23" s="13" t="n"/>
      <c r="D23" s="7" t="n"/>
      <c r="E23" s="13" t="n"/>
      <c r="F23" s="16" t="n"/>
      <c r="G23" s="16" t="n"/>
      <c r="H23" s="16" t="n"/>
      <c r="I23" s="14" t="n"/>
      <c r="J23" s="14" t="n"/>
      <c r="K23" s="13" t="n"/>
    </row>
    <row r="24">
      <c r="A24" s="13" t="n"/>
      <c r="B24" s="13" t="n"/>
      <c r="C24" s="13" t="n"/>
      <c r="D24" s="7" t="n"/>
      <c r="E24" s="13" t="n"/>
      <c r="F24" s="16" t="n"/>
      <c r="G24" s="16" t="n"/>
      <c r="H24" s="16" t="n"/>
      <c r="I24" s="14" t="n"/>
      <c r="J24" s="14" t="n"/>
      <c r="K24" s="13" t="n"/>
    </row>
    <row r="25">
      <c r="A25" s="13" t="n"/>
      <c r="B25" s="13" t="n"/>
      <c r="C25" s="13" t="n"/>
      <c r="D25" s="7" t="n"/>
      <c r="E25" s="13" t="n"/>
      <c r="F25" s="16" t="n"/>
      <c r="G25" s="16" t="n"/>
      <c r="H25" s="16" t="n"/>
      <c r="I25" s="14" t="n"/>
      <c r="J25" s="14" t="n"/>
      <c r="K25" s="13" t="n"/>
    </row>
    <row r="26">
      <c r="A26" s="13" t="n"/>
      <c r="B26" s="13" t="n"/>
      <c r="C26" s="13" t="n"/>
      <c r="D26" s="7" t="n"/>
      <c r="E26" s="13" t="n"/>
      <c r="F26" s="16" t="n"/>
      <c r="G26" s="16" t="n"/>
      <c r="H26" s="16" t="n"/>
      <c r="I26" s="14" t="n"/>
      <c r="J26" s="14" t="n"/>
      <c r="K26" s="13" t="n"/>
    </row>
    <row r="27">
      <c r="A27" s="13" t="n"/>
      <c r="B27" s="13" t="n"/>
      <c r="C27" s="13" t="n"/>
      <c r="D27" s="7" t="n"/>
      <c r="E27" s="13" t="n"/>
      <c r="F27" s="16" t="n"/>
      <c r="G27" s="16" t="n"/>
      <c r="H27" s="16" t="n"/>
      <c r="I27" s="14" t="n"/>
      <c r="J27" s="14" t="n"/>
      <c r="K27" s="13" t="n"/>
    </row>
    <row r="28">
      <c r="A28" s="13" t="n"/>
      <c r="B28" s="13" t="n"/>
      <c r="C28" s="13" t="n"/>
      <c r="D28" s="7" t="n"/>
      <c r="E28" s="13" t="n"/>
      <c r="F28" s="16" t="n"/>
      <c r="G28" s="16" t="n"/>
      <c r="H28" s="16" t="n"/>
      <c r="I28" s="14" t="n"/>
      <c r="J28" s="14" t="n"/>
      <c r="K28" s="13" t="n"/>
    </row>
    <row r="29">
      <c r="A29" s="13" t="n"/>
      <c r="B29" s="13" t="n"/>
      <c r="C29" s="13" t="n"/>
      <c r="D29" s="7" t="n"/>
      <c r="E29" s="13" t="n"/>
      <c r="F29" s="16" t="n"/>
      <c r="G29" s="16" t="n"/>
      <c r="H29" s="16" t="n"/>
      <c r="I29" s="14" t="n"/>
      <c r="J29" s="14" t="n"/>
      <c r="K29" s="13" t="n"/>
    </row>
    <row r="30">
      <c r="A30" s="13" t="n"/>
      <c r="B30" s="13" t="n"/>
      <c r="C30" s="13" t="n"/>
      <c r="D30" s="7" t="n"/>
      <c r="E30" s="13" t="n"/>
      <c r="F30" s="16" t="n"/>
      <c r="G30" s="16" t="n"/>
      <c r="H30" s="16" t="n"/>
      <c r="I30" s="14" t="n"/>
      <c r="J30" s="14" t="n"/>
      <c r="K30" s="13" t="n"/>
    </row>
    <row r="31">
      <c r="A31" s="13" t="n"/>
      <c r="B31" s="13" t="n"/>
      <c r="C31" s="13" t="n"/>
      <c r="D31" s="7" t="n"/>
      <c r="E31" s="13" t="n"/>
      <c r="F31" s="16" t="n"/>
      <c r="G31" s="16" t="n"/>
      <c r="H31" s="16" t="n"/>
      <c r="I31" s="14" t="n"/>
      <c r="J31" s="14" t="n"/>
      <c r="K31" s="13" t="n"/>
    </row>
    <row r="32">
      <c r="A32" s="13" t="n"/>
      <c r="B32" s="13" t="n"/>
      <c r="C32" s="13" t="n"/>
      <c r="D32" s="7" t="n"/>
      <c r="E32" s="13" t="n"/>
      <c r="F32" s="16" t="n"/>
      <c r="G32" s="16" t="n"/>
      <c r="H32" s="16" t="n"/>
      <c r="I32" s="14" t="n"/>
      <c r="J32" s="14" t="n"/>
      <c r="K32" s="13" t="n"/>
    </row>
    <row r="33">
      <c r="A33" s="13" t="n"/>
      <c r="B33" s="13" t="n"/>
      <c r="C33" s="13" t="n"/>
      <c r="D33" s="7" t="n"/>
      <c r="E33" s="13" t="n"/>
      <c r="F33" s="16" t="n"/>
      <c r="G33" s="16" t="n"/>
      <c r="H33" s="16" t="n"/>
      <c r="I33" s="14" t="n"/>
      <c r="J33" s="14" t="n"/>
      <c r="K33" s="13" t="n"/>
    </row>
    <row r="34">
      <c r="A34" s="13" t="n"/>
      <c r="B34" s="13" t="n"/>
      <c r="C34" s="13" t="n"/>
      <c r="D34" s="7" t="n"/>
      <c r="E34" s="13" t="n"/>
      <c r="F34" s="16" t="n"/>
      <c r="G34" s="16" t="n"/>
      <c r="H34" s="16" t="n"/>
      <c r="I34" s="14" t="n"/>
      <c r="J34" s="14" t="n"/>
      <c r="K34" s="13" t="n"/>
    </row>
    <row r="35">
      <c r="A35" s="13" t="n"/>
      <c r="B35" s="13" t="n"/>
      <c r="C35" s="13" t="n"/>
      <c r="D35" s="7" t="n"/>
      <c r="E35" s="13" t="n"/>
      <c r="F35" s="16" t="n"/>
      <c r="G35" s="16" t="n"/>
      <c r="H35" s="16" t="n"/>
      <c r="I35" s="14" t="n"/>
      <c r="J35" s="14" t="n"/>
      <c r="K35" s="13" t="n"/>
    </row>
    <row r="36">
      <c r="A36" s="13" t="n"/>
      <c r="B36" s="13" t="n"/>
      <c r="C36" s="13" t="n"/>
      <c r="D36" s="7" t="n"/>
      <c r="E36" s="13" t="n"/>
      <c r="F36" s="16" t="n"/>
      <c r="G36" s="16" t="n"/>
      <c r="H36" s="16" t="n"/>
      <c r="I36" s="14" t="n"/>
      <c r="J36" s="14" t="n"/>
      <c r="K36" s="13" t="n"/>
    </row>
    <row r="37">
      <c r="A37" s="13" t="n"/>
      <c r="B37" s="13" t="n"/>
      <c r="C37" s="13" t="n"/>
      <c r="D37" s="7" t="n"/>
      <c r="E37" s="13" t="n"/>
      <c r="F37" s="16" t="n"/>
      <c r="G37" s="16" t="n"/>
      <c r="H37" s="16" t="n"/>
      <c r="I37" s="14" t="n"/>
      <c r="J37" s="14" t="n"/>
      <c r="K37" s="13" t="n"/>
    </row>
    <row r="38">
      <c r="A38" s="13" t="n"/>
      <c r="B38" s="13" t="n"/>
      <c r="C38" s="13" t="n"/>
      <c r="D38" s="7" t="n"/>
      <c r="E38" s="13" t="n"/>
      <c r="F38" s="16" t="n"/>
      <c r="G38" s="16" t="n"/>
      <c r="H38" s="16" t="n"/>
      <c r="I38" s="14" t="n"/>
      <c r="J38" s="14" t="n"/>
      <c r="K38" s="13" t="n"/>
    </row>
    <row r="39">
      <c r="A39" s="13" t="n"/>
      <c r="B39" s="13" t="n"/>
      <c r="C39" s="13" t="n"/>
      <c r="D39" s="7" t="n"/>
      <c r="E39" s="13" t="n"/>
      <c r="F39" s="16" t="n"/>
      <c r="G39" s="16" t="n"/>
      <c r="H39" s="16" t="n"/>
      <c r="I39" s="14" t="n"/>
      <c r="J39" s="14" t="n"/>
      <c r="K39" s="13" t="n"/>
    </row>
    <row r="40">
      <c r="A40" s="13" t="n"/>
      <c r="B40" s="13" t="n"/>
      <c r="C40" s="13" t="n"/>
      <c r="D40" s="7" t="n"/>
      <c r="E40" s="13" t="n"/>
      <c r="F40" s="16" t="n"/>
      <c r="G40" s="16" t="n"/>
      <c r="H40" s="16" t="n"/>
      <c r="I40" s="14" t="n"/>
      <c r="J40" s="14" t="n"/>
      <c r="K40" s="13" t="n"/>
    </row>
    <row r="41">
      <c r="A41" s="13" t="n"/>
      <c r="B41" s="13" t="n"/>
      <c r="C41" s="13" t="n"/>
      <c r="D41" s="7" t="n"/>
      <c r="E41" s="13" t="n"/>
      <c r="F41" s="16" t="n"/>
      <c r="G41" s="16" t="n"/>
      <c r="H41" s="16" t="n"/>
      <c r="I41" s="14" t="n"/>
      <c r="J41" s="14" t="n"/>
      <c r="K41" s="13" t="n"/>
    </row>
    <row r="42">
      <c r="A42" s="13" t="n"/>
      <c r="B42" s="13" t="n"/>
      <c r="C42" s="13" t="n"/>
      <c r="D42" s="7" t="n"/>
      <c r="E42" s="13" t="n"/>
      <c r="F42" s="16" t="n"/>
      <c r="G42" s="16" t="n"/>
      <c r="H42" s="16" t="n"/>
      <c r="I42" s="14" t="n"/>
      <c r="J42" s="14" t="n"/>
      <c r="K42" s="13" t="n"/>
    </row>
    <row r="43">
      <c r="A43" s="13" t="n"/>
      <c r="B43" s="13" t="n"/>
      <c r="C43" s="13" t="n"/>
      <c r="D43" s="7" t="n"/>
      <c r="E43" s="13" t="n"/>
      <c r="F43" s="16" t="n"/>
      <c r="G43" s="16" t="n"/>
      <c r="H43" s="16" t="n"/>
      <c r="I43" s="14" t="n"/>
      <c r="J43" s="14" t="n"/>
      <c r="K43" s="13" t="n"/>
    </row>
    <row r="44">
      <c r="A44" s="13" t="n"/>
      <c r="B44" s="13" t="n"/>
      <c r="C44" s="13" t="n"/>
      <c r="D44" s="7" t="n"/>
      <c r="E44" s="13" t="n"/>
      <c r="F44" s="16" t="n"/>
      <c r="G44" s="16" t="n"/>
      <c r="H44" s="16" t="n"/>
      <c r="I44" s="14" t="n"/>
      <c r="J44" s="14" t="n"/>
      <c r="K44" s="13" t="n"/>
    </row>
    <row r="45">
      <c r="A45" s="13" t="n"/>
      <c r="B45" s="13" t="n"/>
      <c r="C45" s="13" t="n"/>
      <c r="D45" s="7" t="n"/>
      <c r="E45" s="13" t="n"/>
      <c r="F45" s="16" t="n"/>
      <c r="G45" s="16" t="n"/>
      <c r="H45" s="16" t="n"/>
      <c r="I45" s="14" t="n"/>
      <c r="J45" s="14" t="n"/>
      <c r="K45" s="13" t="n"/>
    </row>
    <row r="46">
      <c r="A46" s="13" t="n"/>
      <c r="B46" s="13" t="n"/>
      <c r="C46" s="13" t="n"/>
      <c r="D46" s="7" t="n"/>
      <c r="E46" s="13" t="n"/>
      <c r="F46" s="16" t="n"/>
      <c r="G46" s="16" t="n"/>
      <c r="H46" s="16" t="n"/>
      <c r="I46" s="14" t="n"/>
      <c r="J46" s="14" t="n"/>
      <c r="K46" s="13" t="n"/>
    </row>
    <row r="47">
      <c r="A47" s="13" t="n"/>
      <c r="B47" s="13" t="n"/>
      <c r="C47" s="13" t="n"/>
      <c r="D47" s="7" t="n"/>
      <c r="E47" s="13" t="n"/>
      <c r="F47" s="16" t="n"/>
      <c r="G47" s="16" t="n"/>
      <c r="H47" s="16" t="n"/>
      <c r="I47" s="14" t="n"/>
      <c r="J47" s="14" t="n"/>
      <c r="K47" s="13" t="n"/>
    </row>
    <row r="48">
      <c r="A48" s="13" t="n"/>
      <c r="B48" s="13" t="n"/>
      <c r="C48" s="13" t="n"/>
      <c r="D48" s="7" t="n"/>
      <c r="E48" s="13" t="n"/>
      <c r="F48" s="16" t="n"/>
      <c r="G48" s="16" t="n"/>
      <c r="H48" s="16" t="n"/>
      <c r="I48" s="14" t="n"/>
      <c r="J48" s="14" t="n"/>
      <c r="K48" s="13" t="n"/>
    </row>
    <row r="49">
      <c r="A49" s="13" t="n"/>
      <c r="B49" s="13" t="n"/>
      <c r="C49" s="13" t="n"/>
      <c r="D49" s="7" t="n"/>
      <c r="E49" s="13" t="n"/>
      <c r="F49" s="16" t="n"/>
      <c r="G49" s="16" t="n"/>
      <c r="H49" s="16" t="n"/>
      <c r="I49" s="14" t="n"/>
      <c r="J49" s="14" t="n"/>
      <c r="K49" s="13" t="n"/>
    </row>
    <row r="50">
      <c r="A50" s="13" t="n"/>
      <c r="B50" s="13" t="n"/>
      <c r="C50" s="13" t="n"/>
      <c r="D50" s="7" t="n"/>
      <c r="E50" s="13" t="n"/>
      <c r="F50" s="16" t="n"/>
      <c r="G50" s="16" t="n"/>
      <c r="H50" s="16" t="n"/>
      <c r="I50" s="14" t="n"/>
      <c r="J50" s="14" t="n"/>
      <c r="K50" s="13" t="n"/>
    </row>
    <row r="51">
      <c r="A51" s="13" t="n"/>
      <c r="B51" s="13" t="n"/>
      <c r="C51" s="13" t="n"/>
      <c r="D51" s="7" t="n"/>
      <c r="E51" s="13" t="n"/>
      <c r="F51" s="16" t="n"/>
      <c r="G51" s="16" t="n"/>
      <c r="H51" s="16" t="n"/>
      <c r="I51" s="14" t="n"/>
      <c r="J51" s="14" t="n"/>
      <c r="K51" s="13" t="n"/>
    </row>
    <row r="52">
      <c r="A52" s="13" t="n"/>
      <c r="B52" s="13" t="n"/>
      <c r="C52" s="13" t="n"/>
      <c r="D52" s="7" t="n"/>
      <c r="E52" s="13" t="n"/>
      <c r="F52" s="16" t="n"/>
      <c r="G52" s="16" t="n"/>
      <c r="H52" s="16" t="n"/>
      <c r="I52" s="14" t="n"/>
      <c r="J52" s="14" t="n"/>
      <c r="K52" s="13" t="n"/>
    </row>
    <row r="53">
      <c r="A53" s="13" t="n"/>
      <c r="B53" s="13" t="n"/>
      <c r="C53" s="13" t="n"/>
      <c r="D53" s="7" t="n"/>
      <c r="E53" s="13" t="n"/>
      <c r="F53" s="16" t="n"/>
      <c r="G53" s="16" t="n"/>
      <c r="H53" s="16" t="n"/>
      <c r="I53" s="14" t="n"/>
      <c r="J53" s="14" t="n"/>
      <c r="K53" s="13" t="n"/>
    </row>
    <row r="54">
      <c r="A54" s="13" t="n"/>
      <c r="B54" s="13" t="n"/>
      <c r="C54" s="13" t="n"/>
      <c r="D54" s="7" t="n"/>
      <c r="E54" s="13" t="n"/>
      <c r="F54" s="16" t="n"/>
      <c r="G54" s="16" t="n"/>
      <c r="H54" s="16" t="n"/>
      <c r="I54" s="14" t="n"/>
      <c r="J54" s="14" t="n"/>
      <c r="K54" s="13" t="n"/>
    </row>
    <row r="55">
      <c r="A55" s="13" t="n"/>
      <c r="B55" s="13" t="n"/>
      <c r="C55" s="13" t="n"/>
      <c r="D55" s="7" t="n"/>
      <c r="E55" s="13" t="n"/>
      <c r="F55" s="16" t="n"/>
      <c r="G55" s="16" t="n"/>
      <c r="H55" s="16" t="n"/>
      <c r="I55" s="14" t="n"/>
      <c r="J55" s="14" t="n"/>
      <c r="K55" s="13" t="n"/>
    </row>
    <row r="56">
      <c r="A56" s="13" t="n"/>
      <c r="B56" s="13" t="n"/>
      <c r="C56" s="13" t="n"/>
      <c r="D56" s="7" t="n"/>
      <c r="E56" s="13" t="n"/>
      <c r="F56" s="16" t="n"/>
      <c r="G56" s="16" t="n"/>
      <c r="H56" s="16" t="n"/>
      <c r="I56" s="14" t="n"/>
      <c r="J56" s="14" t="n"/>
      <c r="K56" s="13" t="n"/>
    </row>
    <row r="57">
      <c r="A57" s="13" t="n"/>
      <c r="B57" s="13" t="n"/>
      <c r="C57" s="13" t="n"/>
      <c r="D57" s="7" t="n"/>
      <c r="E57" s="13" t="n"/>
      <c r="F57" s="16" t="n"/>
      <c r="G57" s="16" t="n"/>
      <c r="H57" s="16" t="n"/>
      <c r="I57" s="14" t="n"/>
      <c r="J57" s="14" t="n"/>
      <c r="K57" s="13" t="n"/>
    </row>
    <row r="58">
      <c r="A58" s="13" t="n"/>
      <c r="B58" s="13" t="n"/>
      <c r="C58" s="13" t="n"/>
      <c r="D58" s="7" t="n"/>
      <c r="E58" s="13" t="n"/>
      <c r="F58" s="16" t="n"/>
      <c r="G58" s="16" t="n"/>
      <c r="H58" s="16" t="n"/>
      <c r="I58" s="14" t="n"/>
      <c r="J58" s="14" t="n"/>
      <c r="K58" s="13" t="n"/>
    </row>
    <row r="59">
      <c r="A59" s="13" t="n"/>
      <c r="B59" s="13" t="n"/>
      <c r="C59" s="13" t="n"/>
      <c r="D59" s="7" t="n"/>
      <c r="E59" s="13" t="n"/>
      <c r="F59" s="16" t="n"/>
      <c r="G59" s="16" t="n"/>
      <c r="H59" s="16" t="n"/>
      <c r="I59" s="14" t="n"/>
      <c r="J59" s="14" t="n"/>
      <c r="K59" s="13" t="n"/>
    </row>
    <row r="60">
      <c r="A60" s="13" t="n"/>
      <c r="B60" s="13" t="n"/>
      <c r="C60" s="13" t="n"/>
      <c r="D60" s="7" t="n"/>
      <c r="E60" s="13" t="n"/>
      <c r="F60" s="16" t="n"/>
      <c r="G60" s="16" t="n"/>
      <c r="H60" s="16" t="n"/>
      <c r="I60" s="14" t="n"/>
      <c r="J60" s="14" t="n"/>
      <c r="K60" s="13" t="n"/>
    </row>
    <row r="61">
      <c r="A61" s="13" t="n"/>
      <c r="B61" s="13" t="n"/>
      <c r="C61" s="13" t="n"/>
      <c r="D61" s="7" t="n"/>
      <c r="E61" s="13" t="n"/>
      <c r="F61" s="16" t="n"/>
      <c r="G61" s="16" t="n"/>
      <c r="H61" s="16" t="n"/>
      <c r="I61" s="14" t="n"/>
      <c r="J61" s="14" t="n"/>
      <c r="K61" s="13" t="n"/>
    </row>
    <row r="62">
      <c r="A62" s="13" t="n"/>
      <c r="B62" s="13" t="n"/>
      <c r="C62" s="13" t="n"/>
      <c r="D62" s="7" t="n"/>
      <c r="E62" s="13" t="n"/>
      <c r="F62" s="16" t="n"/>
      <c r="G62" s="16" t="n"/>
      <c r="H62" s="16" t="n"/>
      <c r="I62" s="14" t="n"/>
      <c r="J62" s="14" t="n"/>
      <c r="K62" s="13" t="n"/>
    </row>
    <row r="63">
      <c r="A63" s="13" t="n"/>
      <c r="B63" s="13" t="n"/>
      <c r="C63" s="13" t="n"/>
      <c r="D63" s="7" t="n"/>
      <c r="E63" s="13" t="n"/>
      <c r="F63" s="16" t="n"/>
      <c r="G63" s="16" t="n"/>
      <c r="H63" s="16" t="n"/>
      <c r="I63" s="14" t="n"/>
      <c r="J63" s="14" t="n"/>
      <c r="K63" s="13" t="n"/>
    </row>
    <row r="64">
      <c r="A64" s="13" t="n"/>
      <c r="B64" s="13" t="n"/>
      <c r="C64" s="13" t="n"/>
      <c r="D64" s="7" t="n"/>
      <c r="E64" s="13" t="n"/>
      <c r="F64" s="16" t="n"/>
      <c r="G64" s="16" t="n"/>
      <c r="H64" s="16" t="n"/>
      <c r="I64" s="14" t="n"/>
      <c r="J64" s="14" t="n"/>
      <c r="K64" s="13" t="n"/>
    </row>
    <row r="65">
      <c r="A65" s="13" t="n"/>
      <c r="B65" s="13" t="n"/>
      <c r="C65" s="13" t="n"/>
      <c r="D65" s="7" t="n"/>
      <c r="E65" s="13" t="n"/>
      <c r="F65" s="16" t="n"/>
      <c r="G65" s="16" t="n"/>
      <c r="H65" s="16" t="n"/>
      <c r="I65" s="14" t="n"/>
      <c r="J65" s="14" t="n"/>
      <c r="K65" s="13" t="n"/>
    </row>
    <row r="66">
      <c r="A66" s="13" t="n"/>
      <c r="B66" s="13" t="n"/>
      <c r="C66" s="13" t="n"/>
      <c r="D66" s="7" t="n"/>
      <c r="E66" s="13" t="n"/>
      <c r="F66" s="16" t="n"/>
      <c r="G66" s="16" t="n"/>
      <c r="H66" s="16" t="n"/>
      <c r="I66" s="14" t="n"/>
      <c r="J66" s="14" t="n"/>
      <c r="K66" s="13" t="n"/>
    </row>
    <row r="67">
      <c r="A67" s="13" t="n"/>
      <c r="B67" s="13" t="n"/>
      <c r="C67" s="13" t="n"/>
      <c r="D67" s="7" t="n"/>
      <c r="E67" s="13" t="n"/>
      <c r="F67" s="16" t="n"/>
      <c r="G67" s="16" t="n"/>
      <c r="H67" s="16" t="n"/>
      <c r="I67" s="14" t="n"/>
      <c r="J67" s="14" t="n"/>
      <c r="K67" s="13" t="n"/>
    </row>
    <row r="68">
      <c r="A68" s="13" t="n"/>
      <c r="B68" s="13" t="n"/>
      <c r="C68" s="13" t="n"/>
      <c r="D68" s="7" t="n"/>
      <c r="E68" s="13" t="n"/>
      <c r="F68" s="16" t="n"/>
      <c r="G68" s="16" t="n"/>
      <c r="H68" s="16" t="n"/>
      <c r="I68" s="14" t="n"/>
      <c r="J68" s="14" t="n"/>
      <c r="K68" s="13" t="n"/>
    </row>
    <row r="69">
      <c r="A69" s="13" t="n"/>
      <c r="B69" s="13" t="n"/>
      <c r="C69" s="13" t="n"/>
      <c r="D69" s="7" t="n"/>
      <c r="E69" s="13" t="n"/>
      <c r="F69" s="16" t="n"/>
      <c r="G69" s="16" t="n"/>
      <c r="H69" s="16" t="n"/>
      <c r="I69" s="14" t="n"/>
      <c r="J69" s="14" t="n"/>
      <c r="K69" s="13" t="n"/>
    </row>
    <row r="70">
      <c r="A70" s="13" t="n"/>
      <c r="B70" s="13" t="n"/>
      <c r="C70" s="13" t="n"/>
      <c r="D70" s="7" t="n"/>
      <c r="E70" s="13" t="n"/>
      <c r="F70" s="16" t="n"/>
      <c r="G70" s="16" t="n"/>
      <c r="H70" s="16" t="n"/>
      <c r="I70" s="14" t="n"/>
      <c r="J70" s="14" t="n"/>
      <c r="K70" s="13" t="n"/>
    </row>
    <row r="71">
      <c r="A71" s="13" t="n"/>
      <c r="B71" s="13" t="n"/>
      <c r="C71" s="13" t="n"/>
      <c r="D71" s="7" t="n"/>
      <c r="E71" s="13" t="n"/>
      <c r="F71" s="16" t="n"/>
      <c r="G71" s="16" t="n"/>
      <c r="H71" s="16" t="n"/>
      <c r="I71" s="14" t="n"/>
      <c r="J71" s="14" t="n"/>
      <c r="K71" s="13" t="n"/>
    </row>
    <row r="72">
      <c r="A72" s="13" t="n"/>
      <c r="B72" s="13" t="n"/>
      <c r="C72" s="13" t="n"/>
      <c r="D72" s="7" t="n"/>
      <c r="E72" s="13" t="n"/>
      <c r="F72" s="16" t="n"/>
      <c r="G72" s="16" t="n"/>
      <c r="H72" s="16" t="n"/>
      <c r="I72" s="14" t="n"/>
      <c r="J72" s="14" t="n"/>
      <c r="K72" s="13" t="n"/>
    </row>
    <row r="73">
      <c r="A73" s="13" t="n"/>
      <c r="B73" s="13" t="n"/>
      <c r="C73" s="13" t="n"/>
      <c r="D73" s="7" t="n"/>
      <c r="E73" s="13" t="n"/>
      <c r="F73" s="16" t="n"/>
      <c r="G73" s="16" t="n"/>
      <c r="H73" s="16" t="n"/>
      <c r="I73" s="14" t="n"/>
      <c r="J73" s="14" t="n"/>
      <c r="K73" s="13" t="n"/>
    </row>
    <row r="74">
      <c r="A74" s="13" t="n"/>
      <c r="B74" s="13" t="n"/>
      <c r="C74" s="13" t="n"/>
      <c r="D74" s="7" t="n"/>
      <c r="E74" s="13" t="n"/>
      <c r="F74" s="16" t="n"/>
      <c r="G74" s="16" t="n"/>
      <c r="H74" s="16" t="n"/>
      <c r="I74" s="14" t="n"/>
      <c r="J74" s="14" t="n"/>
      <c r="K74" s="13" t="n"/>
    </row>
    <row r="75">
      <c r="A75" s="13" t="n"/>
      <c r="B75" s="13" t="n"/>
      <c r="C75" s="13" t="n"/>
      <c r="D75" s="7" t="n"/>
      <c r="E75" s="13" t="n"/>
      <c r="F75" s="16" t="n"/>
      <c r="G75" s="16" t="n"/>
      <c r="H75" s="16" t="n"/>
      <c r="I75" s="14" t="n"/>
      <c r="J75" s="14" t="n"/>
      <c r="K75" s="13" t="n"/>
    </row>
    <row r="76">
      <c r="A76" s="13" t="n"/>
      <c r="B76" s="13" t="n"/>
      <c r="C76" s="13" t="n"/>
      <c r="D76" s="7" t="n"/>
      <c r="E76" s="13" t="n"/>
      <c r="F76" s="16" t="n"/>
      <c r="G76" s="16" t="n"/>
      <c r="H76" s="16" t="n"/>
      <c r="I76" s="14" t="n"/>
      <c r="J76" s="14" t="n"/>
      <c r="K76" s="13" t="n"/>
    </row>
    <row r="77">
      <c r="A77" s="13" t="n"/>
      <c r="B77" s="13" t="n"/>
      <c r="C77" s="13" t="n"/>
      <c r="D77" s="7" t="n"/>
      <c r="E77" s="13" t="n"/>
      <c r="F77" s="16" t="n"/>
      <c r="G77" s="16" t="n"/>
      <c r="H77" s="16" t="n"/>
      <c r="I77" s="14" t="n"/>
      <c r="J77" s="14" t="n"/>
      <c r="K77" s="13" t="n"/>
    </row>
    <row r="78">
      <c r="A78" s="13" t="n"/>
      <c r="B78" s="13" t="n"/>
      <c r="C78" s="13" t="n"/>
      <c r="D78" s="7" t="n"/>
      <c r="E78" s="13" t="n"/>
      <c r="F78" s="16" t="n"/>
      <c r="G78" s="16" t="n"/>
      <c r="H78" s="16" t="n"/>
      <c r="I78" s="14" t="n"/>
      <c r="J78" s="14" t="n"/>
      <c r="K78" s="13" t="n"/>
    </row>
    <row r="79">
      <c r="A79" s="13" t="n"/>
      <c r="B79" s="13" t="n"/>
      <c r="C79" s="13" t="n"/>
      <c r="D79" s="7" t="n"/>
      <c r="E79" s="13" t="n"/>
      <c r="F79" s="16" t="n"/>
      <c r="G79" s="16" t="n"/>
      <c r="H79" s="16" t="n"/>
      <c r="I79" s="14" t="n"/>
      <c r="J79" s="14" t="n"/>
      <c r="K79" s="13" t="n"/>
    </row>
    <row r="80">
      <c r="A80" s="13" t="n"/>
      <c r="B80" s="13" t="n"/>
      <c r="C80" s="13" t="n"/>
      <c r="D80" s="7" t="n"/>
      <c r="E80" s="13" t="n"/>
      <c r="F80" s="16" t="n"/>
      <c r="G80" s="16" t="n"/>
      <c r="H80" s="16" t="n"/>
      <c r="I80" s="14" t="n"/>
      <c r="J80" s="14" t="n"/>
      <c r="K80" s="13" t="n"/>
    </row>
    <row r="81">
      <c r="A81" s="13" t="n"/>
      <c r="B81" s="13" t="n"/>
      <c r="C81" s="13" t="n"/>
      <c r="D81" s="7" t="n"/>
      <c r="E81" s="13" t="n"/>
      <c r="F81" s="16" t="n"/>
      <c r="G81" s="16" t="n"/>
      <c r="H81" s="16" t="n"/>
      <c r="I81" s="14" t="n"/>
      <c r="J81" s="14" t="n"/>
      <c r="K81" s="13" t="n"/>
    </row>
    <row r="82">
      <c r="A82" s="13" t="n"/>
      <c r="B82" s="13" t="n"/>
      <c r="C82" s="13" t="n"/>
      <c r="D82" s="7" t="n"/>
      <c r="E82" s="13" t="n"/>
      <c r="F82" s="16" t="n"/>
      <c r="G82" s="16" t="n"/>
      <c r="H82" s="16" t="n"/>
      <c r="I82" s="14" t="n"/>
      <c r="J82" s="14" t="n"/>
      <c r="K82" s="13" t="n"/>
    </row>
    <row r="83">
      <c r="A83" s="13" t="n"/>
      <c r="B83" s="13" t="n"/>
      <c r="C83" s="13" t="n"/>
      <c r="D83" s="7" t="n"/>
      <c r="E83" s="13" t="n"/>
      <c r="F83" s="16" t="n"/>
      <c r="G83" s="16" t="n"/>
      <c r="H83" s="16" t="n"/>
      <c r="I83" s="14" t="n"/>
      <c r="J83" s="14" t="n"/>
      <c r="K83" s="13" t="n"/>
    </row>
    <row r="84">
      <c r="A84" s="13" t="n"/>
      <c r="B84" s="13" t="n"/>
      <c r="C84" s="13" t="n"/>
      <c r="D84" s="7" t="n"/>
      <c r="E84" s="13" t="n"/>
      <c r="F84" s="16" t="n"/>
      <c r="G84" s="16" t="n"/>
      <c r="H84" s="16" t="n"/>
      <c r="I84" s="14" t="n"/>
      <c r="J84" s="14" t="n"/>
      <c r="K84" s="13" t="n"/>
    </row>
    <row r="85">
      <c r="A85" s="13" t="n"/>
      <c r="B85" s="13" t="n"/>
      <c r="C85" s="13" t="n"/>
      <c r="D85" s="7" t="n"/>
      <c r="E85" s="13" t="n"/>
      <c r="F85" s="16" t="n"/>
      <c r="G85" s="16" t="n"/>
      <c r="H85" s="16" t="n"/>
      <c r="I85" s="14" t="n"/>
      <c r="J85" s="14" t="n"/>
      <c r="K85" s="13" t="n"/>
    </row>
    <row r="86">
      <c r="A86" s="13" t="n"/>
      <c r="B86" s="13" t="n"/>
      <c r="C86" s="13" t="n"/>
      <c r="D86" s="7" t="n"/>
      <c r="E86" s="13" t="n"/>
      <c r="F86" s="16" t="n"/>
      <c r="G86" s="16" t="n"/>
      <c r="H86" s="16" t="n"/>
      <c r="I86" s="14" t="n"/>
      <c r="J86" s="14" t="n"/>
      <c r="K86" s="13" t="n"/>
    </row>
    <row r="87">
      <c r="A87" s="13" t="n"/>
      <c r="B87" s="13" t="n"/>
      <c r="C87" s="13" t="n"/>
      <c r="D87" s="7" t="n"/>
      <c r="E87" s="13" t="n"/>
      <c r="F87" s="16" t="n"/>
      <c r="G87" s="16" t="n"/>
      <c r="H87" s="16" t="n"/>
      <c r="I87" s="14" t="n"/>
      <c r="J87" s="14" t="n"/>
      <c r="K87" s="13" t="n"/>
    </row>
    <row r="88">
      <c r="A88" s="13" t="n"/>
      <c r="B88" s="13" t="n"/>
      <c r="C88" s="13" t="n"/>
      <c r="D88" s="7" t="n"/>
      <c r="E88" s="13" t="n"/>
      <c r="F88" s="16" t="n"/>
      <c r="G88" s="16" t="n"/>
      <c r="H88" s="16" t="n"/>
      <c r="I88" s="14" t="n"/>
      <c r="J88" s="14" t="n"/>
      <c r="K88" s="13" t="n"/>
    </row>
    <row r="89">
      <c r="A89" s="13" t="n"/>
      <c r="B89" s="13" t="n"/>
      <c r="C89" s="13" t="n"/>
      <c r="D89" s="7" t="n"/>
      <c r="E89" s="13" t="n"/>
      <c r="F89" s="16" t="n"/>
      <c r="G89" s="16" t="n"/>
      <c r="H89" s="16" t="n"/>
      <c r="I89" s="14" t="n"/>
      <c r="J89" s="14" t="n"/>
      <c r="K89" s="13" t="n"/>
    </row>
    <row r="90">
      <c r="A90" s="13" t="n"/>
      <c r="B90" s="13" t="n"/>
      <c r="C90" s="13" t="n"/>
      <c r="D90" s="7" t="n"/>
      <c r="E90" s="13" t="n"/>
      <c r="F90" s="16" t="n"/>
      <c r="G90" s="16" t="n"/>
      <c r="H90" s="16" t="n"/>
      <c r="I90" s="14" t="n"/>
      <c r="J90" s="14" t="n"/>
      <c r="K90" s="13" t="n"/>
    </row>
    <row r="91">
      <c r="A91" s="13" t="n"/>
      <c r="B91" s="13" t="n"/>
      <c r="C91" s="13" t="n"/>
      <c r="D91" s="7" t="n"/>
      <c r="E91" s="13" t="n"/>
      <c r="F91" s="16" t="n"/>
      <c r="G91" s="16" t="n"/>
      <c r="H91" s="16" t="n"/>
      <c r="I91" s="14" t="n"/>
      <c r="J91" s="14" t="n"/>
      <c r="K91" s="13" t="n"/>
    </row>
    <row r="92">
      <c r="A92" s="13" t="n"/>
      <c r="B92" s="13" t="n"/>
      <c r="C92" s="13" t="n"/>
      <c r="D92" s="7" t="n"/>
      <c r="E92" s="13" t="n"/>
      <c r="F92" s="16" t="n"/>
      <c r="G92" s="16" t="n"/>
      <c r="H92" s="16" t="n"/>
      <c r="I92" s="14" t="n"/>
      <c r="J92" s="14" t="n"/>
      <c r="K92" s="13" t="n"/>
    </row>
    <row r="93">
      <c r="A93" s="13" t="n"/>
      <c r="B93" s="13" t="n"/>
      <c r="C93" s="13" t="n"/>
      <c r="D93" s="7" t="n"/>
      <c r="E93" s="13" t="n"/>
      <c r="F93" s="16" t="n"/>
      <c r="G93" s="16" t="n"/>
      <c r="H93" s="16" t="n"/>
      <c r="I93" s="14" t="n"/>
      <c r="J93" s="14" t="n"/>
      <c r="K93" s="13" t="n"/>
    </row>
    <row r="94">
      <c r="A94" s="13" t="n"/>
      <c r="B94" s="13" t="n"/>
      <c r="C94" s="13" t="n"/>
      <c r="D94" s="7" t="n"/>
      <c r="E94" s="13" t="n"/>
      <c r="F94" s="16" t="n"/>
      <c r="G94" s="16" t="n"/>
      <c r="H94" s="16" t="n"/>
      <c r="I94" s="14" t="n"/>
      <c r="J94" s="14" t="n"/>
      <c r="K94" s="13" t="n"/>
    </row>
    <row r="95">
      <c r="A95" s="13" t="n"/>
      <c r="B95" s="13" t="n"/>
      <c r="C95" s="13" t="n"/>
      <c r="D95" s="7" t="n"/>
      <c r="E95" s="13" t="n"/>
      <c r="F95" s="16" t="n"/>
      <c r="G95" s="16" t="n"/>
      <c r="H95" s="16" t="n"/>
      <c r="I95" s="14" t="n"/>
      <c r="J95" s="14" t="n"/>
      <c r="K95" s="13" t="n"/>
    </row>
    <row r="96">
      <c r="A96" s="13" t="n"/>
      <c r="B96" s="13" t="n"/>
      <c r="C96" s="13" t="n"/>
      <c r="D96" s="7" t="n"/>
      <c r="E96" s="13" t="n"/>
      <c r="F96" s="16" t="n"/>
      <c r="G96" s="16" t="n"/>
      <c r="H96" s="16" t="n"/>
      <c r="I96" s="14" t="n"/>
      <c r="J96" s="14" t="n"/>
      <c r="K96" s="13" t="n"/>
    </row>
    <row r="97">
      <c r="A97" s="13" t="n"/>
      <c r="B97" s="13" t="n"/>
      <c r="C97" s="13" t="n"/>
      <c r="D97" s="7" t="n"/>
      <c r="E97" s="13" t="n"/>
      <c r="F97" s="16" t="n"/>
      <c r="G97" s="16" t="n"/>
      <c r="H97" s="16" t="n"/>
      <c r="I97" s="14" t="n"/>
      <c r="J97" s="14" t="n"/>
      <c r="K97" s="13" t="n"/>
    </row>
    <row r="98">
      <c r="A98" s="13" t="n"/>
      <c r="B98" s="13" t="n"/>
      <c r="C98" s="13" t="n"/>
      <c r="D98" s="7" t="n"/>
      <c r="E98" s="13" t="n"/>
      <c r="F98" s="16" t="n"/>
      <c r="G98" s="16" t="n"/>
      <c r="H98" s="16" t="n"/>
      <c r="I98" s="14" t="n"/>
      <c r="J98" s="14" t="n"/>
      <c r="K98" s="13" t="n"/>
    </row>
    <row r="99">
      <c r="A99" s="13" t="n"/>
      <c r="B99" s="13" t="n"/>
      <c r="C99" s="13" t="n"/>
      <c r="D99" s="7" t="n"/>
      <c r="E99" s="13" t="n"/>
      <c r="F99" s="16" t="n"/>
      <c r="G99" s="16" t="n"/>
      <c r="H99" s="16" t="n"/>
      <c r="I99" s="14" t="n"/>
      <c r="J99" s="14" t="n"/>
      <c r="K99" s="13" t="n"/>
    </row>
    <row r="100">
      <c r="A100" s="13" t="n"/>
      <c r="B100" s="13" t="n"/>
      <c r="C100" s="13" t="n"/>
      <c r="D100" s="7" t="n"/>
      <c r="E100" s="13" t="n"/>
      <c r="F100" s="16" t="n"/>
      <c r="G100" s="16" t="n"/>
      <c r="H100" s="16" t="n"/>
      <c r="I100" s="14" t="n"/>
      <c r="J100" s="14" t="n"/>
      <c r="K100" s="13" t="n"/>
    </row>
    <row r="101">
      <c r="A101" s="13" t="n"/>
      <c r="B101" s="13" t="n"/>
      <c r="C101" s="13" t="n"/>
      <c r="D101" s="7" t="n"/>
      <c r="E101" s="13" t="n"/>
      <c r="F101" s="16" t="n"/>
      <c r="G101" s="16" t="n"/>
      <c r="H101" s="16" t="n"/>
      <c r="I101" s="14" t="n"/>
      <c r="J101" s="14" t="n"/>
      <c r="K101" s="13" t="n"/>
    </row>
    <row r="102">
      <c r="A102" s="13" t="n"/>
      <c r="B102" s="13" t="n"/>
      <c r="C102" s="13" t="n"/>
      <c r="D102" s="7" t="n"/>
      <c r="E102" s="13" t="n"/>
      <c r="F102" s="16" t="n"/>
      <c r="G102" s="16" t="n"/>
      <c r="H102" s="16" t="n"/>
      <c r="I102" s="14" t="n"/>
      <c r="J102" s="14" t="n"/>
      <c r="K102" s="13" t="n"/>
    </row>
    <row r="103">
      <c r="A103" s="13" t="n"/>
      <c r="B103" s="13" t="n"/>
      <c r="C103" s="13" t="n"/>
      <c r="D103" s="7" t="n"/>
      <c r="E103" s="13" t="n"/>
      <c r="F103" s="16" t="n"/>
      <c r="G103" s="16" t="n"/>
      <c r="H103" s="16" t="n"/>
      <c r="I103" s="14" t="n"/>
      <c r="J103" s="14" t="n"/>
      <c r="K103" s="13" t="n"/>
    </row>
    <row r="104">
      <c r="A104" s="13" t="n"/>
      <c r="B104" s="13" t="n"/>
      <c r="C104" s="13" t="n"/>
      <c r="D104" s="7" t="n"/>
      <c r="E104" s="13" t="n"/>
      <c r="F104" s="16" t="n"/>
      <c r="G104" s="16" t="n"/>
      <c r="H104" s="16" t="n"/>
      <c r="I104" s="14" t="n"/>
      <c r="J104" s="14" t="n"/>
      <c r="K104" s="13" t="n"/>
    </row>
    <row r="105">
      <c r="A105" s="13" t="n"/>
      <c r="B105" s="13" t="n"/>
      <c r="C105" s="13" t="n"/>
      <c r="D105" s="7" t="n"/>
      <c r="E105" s="13" t="n"/>
      <c r="F105" s="16" t="n"/>
      <c r="G105" s="16" t="n"/>
      <c r="H105" s="16" t="n"/>
      <c r="I105" s="14" t="n"/>
      <c r="J105" s="14" t="n"/>
      <c r="K105" s="13" t="n"/>
    </row>
    <row r="106">
      <c r="A106" s="13" t="n"/>
      <c r="B106" s="13" t="n"/>
      <c r="C106" s="13" t="n"/>
      <c r="D106" s="7" t="n"/>
      <c r="E106" s="13" t="n"/>
      <c r="F106" s="16" t="n"/>
      <c r="G106" s="16" t="n"/>
      <c r="H106" s="16" t="n"/>
      <c r="I106" s="14" t="n"/>
      <c r="J106" s="14" t="n"/>
      <c r="K106" s="13" t="n"/>
    </row>
    <row r="107">
      <c r="A107" s="13" t="n"/>
      <c r="B107" s="13" t="n"/>
      <c r="C107" s="13" t="n"/>
      <c r="D107" s="7" t="n"/>
      <c r="E107" s="13" t="n"/>
      <c r="F107" s="16" t="n"/>
      <c r="G107" s="16" t="n"/>
      <c r="H107" s="16" t="n"/>
      <c r="I107" s="14" t="n"/>
      <c r="J107" s="14" t="n"/>
      <c r="K107" s="13" t="n"/>
    </row>
    <row r="108">
      <c r="A108" s="13" t="n"/>
      <c r="B108" s="13" t="n"/>
      <c r="C108" s="13" t="n"/>
      <c r="D108" s="7" t="n"/>
      <c r="E108" s="13" t="n"/>
      <c r="F108" s="16" t="n"/>
      <c r="G108" s="16" t="n"/>
      <c r="H108" s="16" t="n"/>
      <c r="I108" s="14" t="n"/>
      <c r="J108" s="14" t="n"/>
      <c r="K108" s="13" t="n"/>
    </row>
    <row r="109">
      <c r="A109" s="13" t="n"/>
      <c r="B109" s="13" t="n"/>
      <c r="C109" s="13" t="n"/>
      <c r="D109" s="7" t="n"/>
      <c r="E109" s="13" t="n"/>
      <c r="F109" s="16" t="n"/>
      <c r="G109" s="16" t="n"/>
      <c r="H109" s="16" t="n"/>
      <c r="I109" s="14" t="n"/>
      <c r="J109" s="14" t="n"/>
      <c r="K109" s="13" t="n"/>
    </row>
    <row r="110">
      <c r="A110" s="13" t="n"/>
      <c r="B110" s="13" t="n"/>
      <c r="C110" s="13" t="n"/>
      <c r="D110" s="7" t="n"/>
      <c r="E110" s="13" t="n"/>
      <c r="F110" s="16" t="n"/>
      <c r="G110" s="16" t="n"/>
      <c r="H110" s="16" t="n"/>
      <c r="I110" s="14" t="n"/>
      <c r="J110" s="14" t="n"/>
      <c r="K110" s="13" t="n"/>
    </row>
    <row r="111">
      <c r="A111" s="13" t="n"/>
      <c r="B111" s="13" t="n"/>
      <c r="C111" s="13" t="n"/>
      <c r="D111" s="7" t="n"/>
      <c r="E111" s="13" t="n"/>
      <c r="F111" s="16" t="n"/>
      <c r="G111" s="16" t="n"/>
      <c r="H111" s="16" t="n"/>
      <c r="I111" s="14" t="n"/>
      <c r="J111" s="14" t="n"/>
      <c r="K111" s="13" t="n"/>
    </row>
    <row r="112">
      <c r="A112" s="13" t="n"/>
      <c r="B112" s="13" t="n"/>
      <c r="C112" s="13" t="n"/>
      <c r="D112" s="7" t="n"/>
      <c r="E112" s="13" t="n"/>
      <c r="F112" s="16" t="n"/>
      <c r="G112" s="16" t="n"/>
      <c r="H112" s="16" t="n"/>
      <c r="I112" s="14" t="n"/>
      <c r="J112" s="14" t="n"/>
      <c r="K112" s="13" t="n"/>
    </row>
    <row r="113">
      <c r="A113" s="13" t="n"/>
      <c r="B113" s="13" t="n"/>
      <c r="C113" s="13" t="n"/>
      <c r="D113" s="7" t="n"/>
      <c r="E113" s="13" t="n"/>
      <c r="F113" s="16" t="n"/>
      <c r="G113" s="16" t="n"/>
      <c r="H113" s="16" t="n"/>
      <c r="I113" s="14" t="n"/>
      <c r="J113" s="14" t="n"/>
      <c r="K113" s="13" t="n"/>
    </row>
    <row r="114">
      <c r="A114" s="13" t="n"/>
      <c r="B114" s="13" t="n"/>
      <c r="C114" s="13" t="n"/>
      <c r="D114" s="7" t="n"/>
      <c r="E114" s="13" t="n"/>
      <c r="F114" s="16" t="n"/>
      <c r="G114" s="16" t="n"/>
      <c r="H114" s="16" t="n"/>
      <c r="I114" s="14" t="n"/>
      <c r="J114" s="14" t="n"/>
      <c r="K114" s="13" t="n"/>
    </row>
    <row r="115">
      <c r="A115" s="13" t="n"/>
      <c r="B115" s="13" t="n"/>
      <c r="C115" s="13" t="n"/>
      <c r="D115" s="7" t="n"/>
      <c r="E115" s="13" t="n"/>
      <c r="F115" s="16" t="n"/>
      <c r="G115" s="16" t="n"/>
      <c r="H115" s="16" t="n"/>
      <c r="I115" s="14" t="n"/>
      <c r="J115" s="14" t="n"/>
      <c r="K115" s="13" t="n"/>
    </row>
    <row r="116">
      <c r="A116" s="13" t="n"/>
      <c r="B116" s="13" t="n"/>
      <c r="C116" s="13" t="n"/>
      <c r="D116" s="7" t="n"/>
      <c r="E116" s="13" t="n"/>
      <c r="F116" s="16" t="n"/>
      <c r="G116" s="16" t="n"/>
      <c r="H116" s="16" t="n"/>
      <c r="I116" s="14" t="n"/>
      <c r="J116" s="14" t="n"/>
      <c r="K116" s="13" t="n"/>
    </row>
    <row r="117">
      <c r="A117" s="13" t="n"/>
      <c r="B117" s="13" t="n"/>
      <c r="C117" s="13" t="n"/>
      <c r="D117" s="7" t="n"/>
      <c r="E117" s="13" t="n"/>
      <c r="F117" s="16" t="n"/>
      <c r="G117" s="16" t="n"/>
      <c r="H117" s="16" t="n"/>
      <c r="I117" s="14" t="n"/>
      <c r="J117" s="14" t="n"/>
      <c r="K117" s="13" t="n"/>
    </row>
    <row r="118">
      <c r="A118" s="13" t="n"/>
      <c r="B118" s="13" t="n"/>
      <c r="C118" s="13" t="n"/>
      <c r="D118" s="7" t="n"/>
      <c r="E118" s="13" t="n"/>
      <c r="F118" s="16" t="n"/>
      <c r="G118" s="16" t="n"/>
      <c r="H118" s="16" t="n"/>
      <c r="I118" s="14" t="n"/>
      <c r="J118" s="14" t="n"/>
      <c r="K118" s="13" t="n"/>
    </row>
    <row r="119">
      <c r="A119" s="13" t="n"/>
      <c r="B119" s="13" t="n"/>
      <c r="C119" s="13" t="n"/>
      <c r="D119" s="7" t="n"/>
      <c r="E119" s="13" t="n"/>
      <c r="F119" s="16" t="n"/>
      <c r="G119" s="16" t="n"/>
      <c r="H119" s="16" t="n"/>
      <c r="I119" s="14" t="n"/>
      <c r="J119" s="14" t="n"/>
      <c r="K119" s="13" t="n"/>
    </row>
    <row r="120">
      <c r="A120" s="13" t="n"/>
      <c r="B120" s="13" t="n"/>
      <c r="C120" s="13" t="n"/>
      <c r="D120" s="7" t="n"/>
      <c r="E120" s="13" t="n"/>
      <c r="F120" s="16" t="n"/>
      <c r="G120" s="16" t="n"/>
      <c r="H120" s="16" t="n"/>
      <c r="I120" s="14" t="n"/>
      <c r="J120" s="14" t="n"/>
      <c r="K120" s="13" t="n"/>
    </row>
    <row r="121">
      <c r="A121" s="13" t="n"/>
      <c r="B121" s="13" t="n"/>
      <c r="C121" s="13" t="n"/>
      <c r="D121" s="7" t="n"/>
      <c r="E121" s="13" t="n"/>
      <c r="F121" s="16" t="n"/>
      <c r="G121" s="16" t="n"/>
      <c r="H121" s="16" t="n"/>
      <c r="I121" s="14" t="n"/>
      <c r="J121" s="14" t="n"/>
      <c r="K121" s="13" t="n"/>
    </row>
    <row r="122">
      <c r="A122" s="13" t="n"/>
      <c r="B122" s="13" t="n"/>
      <c r="C122" s="13" t="n"/>
      <c r="D122" s="7" t="n"/>
      <c r="E122" s="13" t="n"/>
      <c r="F122" s="16" t="n"/>
      <c r="G122" s="16" t="n"/>
      <c r="H122" s="16" t="n"/>
      <c r="I122" s="14" t="n"/>
      <c r="J122" s="14" t="n"/>
      <c r="K122" s="13" t="n"/>
    </row>
    <row r="123">
      <c r="A123" s="13" t="n"/>
      <c r="B123" s="13" t="n"/>
      <c r="C123" s="13" t="n"/>
      <c r="D123" s="7" t="n"/>
      <c r="E123" s="13" t="n"/>
      <c r="F123" s="16" t="n"/>
      <c r="G123" s="16" t="n"/>
      <c r="H123" s="16" t="n"/>
      <c r="I123" s="14" t="n"/>
      <c r="J123" s="14" t="n"/>
      <c r="K123" s="13" t="n"/>
    </row>
    <row r="124">
      <c r="A124" s="13" t="n"/>
      <c r="B124" s="13" t="n"/>
      <c r="C124" s="13" t="n"/>
      <c r="D124" s="7" t="n"/>
      <c r="E124" s="13" t="n"/>
      <c r="F124" s="16" t="n"/>
      <c r="G124" s="16" t="n"/>
      <c r="H124" s="16" t="n"/>
      <c r="I124" s="14" t="n"/>
      <c r="J124" s="14" t="n"/>
      <c r="K124" s="13" t="n"/>
    </row>
    <row r="125">
      <c r="A125" s="13" t="n"/>
      <c r="B125" s="13" t="n"/>
      <c r="C125" s="13" t="n"/>
      <c r="D125" s="7" t="n"/>
      <c r="E125" s="13" t="n"/>
      <c r="F125" s="16" t="n"/>
      <c r="G125" s="16" t="n"/>
      <c r="H125" s="16" t="n"/>
      <c r="I125" s="14" t="n"/>
      <c r="J125" s="14" t="n"/>
      <c r="K125" s="13" t="n"/>
    </row>
    <row r="126">
      <c r="A126" s="13" t="n"/>
      <c r="B126" s="13" t="n"/>
      <c r="C126" s="13" t="n"/>
      <c r="D126" s="7" t="n"/>
      <c r="E126" s="13" t="n"/>
      <c r="F126" s="16" t="n"/>
      <c r="G126" s="16" t="n"/>
      <c r="H126" s="16" t="n"/>
      <c r="I126" s="14" t="n"/>
      <c r="J126" s="14" t="n"/>
      <c r="K126" s="13" t="n"/>
    </row>
    <row r="127">
      <c r="A127" s="13" t="n"/>
      <c r="B127" s="13" t="n"/>
      <c r="C127" s="13" t="n"/>
      <c r="D127" s="7" t="n"/>
      <c r="E127" s="13" t="n"/>
      <c r="F127" s="16" t="n"/>
      <c r="G127" s="16" t="n"/>
      <c r="H127" s="16" t="n"/>
      <c r="I127" s="14" t="n"/>
      <c r="J127" s="14" t="n"/>
      <c r="K127" s="13" t="n"/>
    </row>
    <row r="128">
      <c r="A128" s="13" t="n"/>
      <c r="B128" s="13" t="n"/>
      <c r="C128" s="13" t="n"/>
      <c r="D128" s="7" t="n"/>
      <c r="E128" s="13" t="n"/>
      <c r="F128" s="16" t="n"/>
      <c r="G128" s="16" t="n"/>
      <c r="H128" s="16" t="n"/>
      <c r="I128" s="14" t="n"/>
      <c r="J128" s="14" t="n"/>
      <c r="K128" s="13" t="n"/>
    </row>
    <row r="129">
      <c r="A129" s="13" t="n"/>
      <c r="B129" s="13" t="n"/>
      <c r="C129" s="13" t="n"/>
      <c r="D129" s="7" t="n"/>
      <c r="E129" s="13" t="n"/>
      <c r="F129" s="16" t="n"/>
      <c r="G129" s="16" t="n"/>
      <c r="H129" s="16" t="n"/>
      <c r="I129" s="14" t="n"/>
      <c r="J129" s="14" t="n"/>
      <c r="K129" s="13" t="n"/>
    </row>
    <row r="130">
      <c r="A130" s="13" t="n"/>
      <c r="B130" s="13" t="n"/>
      <c r="C130" s="13" t="n"/>
      <c r="D130" s="7" t="n"/>
      <c r="E130" s="13" t="n"/>
      <c r="F130" s="16" t="n"/>
      <c r="G130" s="16" t="n"/>
      <c r="H130" s="16" t="n"/>
      <c r="I130" s="14" t="n"/>
      <c r="J130" s="14" t="n"/>
      <c r="K130" s="13" t="n"/>
    </row>
    <row r="131">
      <c r="A131" s="13" t="n"/>
      <c r="B131" s="13" t="n"/>
      <c r="C131" s="13" t="n"/>
      <c r="D131" s="7" t="n"/>
      <c r="E131" s="13" t="n"/>
      <c r="F131" s="16" t="n"/>
      <c r="G131" s="16" t="n"/>
      <c r="H131" s="16" t="n"/>
      <c r="I131" s="14" t="n"/>
      <c r="J131" s="14" t="n"/>
      <c r="K131" s="13" t="n"/>
    </row>
    <row r="132">
      <c r="A132" s="13" t="n"/>
      <c r="B132" s="13" t="n"/>
      <c r="C132" s="13" t="n"/>
      <c r="D132" s="7" t="n"/>
      <c r="E132" s="13" t="n"/>
      <c r="F132" s="16" t="n"/>
      <c r="G132" s="16" t="n"/>
      <c r="H132" s="16" t="n"/>
      <c r="I132" s="14" t="n"/>
      <c r="J132" s="14" t="n"/>
      <c r="K132" s="13" t="n"/>
    </row>
    <row r="133">
      <c r="A133" s="13" t="n"/>
      <c r="B133" s="13" t="n"/>
      <c r="C133" s="13" t="n"/>
      <c r="D133" s="7" t="n"/>
      <c r="E133" s="13" t="n"/>
      <c r="F133" s="16" t="n"/>
      <c r="G133" s="16" t="n"/>
      <c r="H133" s="16" t="n"/>
      <c r="I133" s="14" t="n"/>
      <c r="J133" s="14" t="n"/>
      <c r="K133" s="13" t="n"/>
    </row>
    <row r="134">
      <c r="A134" s="13" t="n"/>
      <c r="B134" s="13" t="n"/>
      <c r="C134" s="13" t="n"/>
      <c r="D134" s="7" t="n"/>
      <c r="E134" s="13" t="n"/>
      <c r="F134" s="16" t="n"/>
      <c r="G134" s="16" t="n"/>
      <c r="H134" s="16" t="n"/>
      <c r="I134" s="14" t="n"/>
      <c r="J134" s="14" t="n"/>
      <c r="K134" s="13" t="n"/>
    </row>
    <row r="135">
      <c r="A135" s="13" t="n"/>
      <c r="B135" s="13" t="n"/>
      <c r="C135" s="13" t="n"/>
      <c r="D135" s="7" t="n"/>
      <c r="E135" s="13" t="n"/>
      <c r="F135" s="16" t="n"/>
      <c r="G135" s="16" t="n"/>
      <c r="H135" s="16" t="n"/>
      <c r="I135" s="14" t="n"/>
      <c r="J135" s="14" t="n"/>
      <c r="K135" s="13" t="n"/>
    </row>
    <row r="136">
      <c r="A136" s="13" t="n"/>
      <c r="B136" s="13" t="n"/>
      <c r="C136" s="13" t="n"/>
      <c r="D136" s="7" t="n"/>
      <c r="E136" s="13" t="n"/>
      <c r="F136" s="16" t="n"/>
      <c r="G136" s="16" t="n"/>
      <c r="H136" s="16" t="n"/>
      <c r="I136" s="14" t="n"/>
      <c r="J136" s="14" t="n"/>
      <c r="K136" s="13" t="n"/>
    </row>
    <row r="137">
      <c r="A137" s="13" t="n"/>
      <c r="B137" s="13" t="n"/>
      <c r="C137" s="13" t="n"/>
      <c r="D137" s="7" t="n"/>
      <c r="E137" s="13" t="n"/>
      <c r="F137" s="16" t="n"/>
      <c r="G137" s="16" t="n"/>
      <c r="H137" s="16" t="n"/>
      <c r="I137" s="14" t="n"/>
      <c r="J137" s="14" t="n"/>
      <c r="K137" s="13" t="n"/>
    </row>
    <row r="138">
      <c r="A138" s="13" t="n"/>
      <c r="B138" s="13" t="n"/>
      <c r="C138" s="13" t="n"/>
      <c r="D138" s="7" t="n"/>
      <c r="E138" s="13" t="n"/>
      <c r="F138" s="16" t="n"/>
      <c r="G138" s="16" t="n"/>
      <c r="H138" s="16" t="n"/>
      <c r="I138" s="14" t="n"/>
      <c r="J138" s="14" t="n"/>
      <c r="K138" s="13" t="n"/>
    </row>
    <row r="139">
      <c r="A139" s="13" t="n"/>
      <c r="B139" s="13" t="n"/>
      <c r="C139" s="13" t="n"/>
      <c r="D139" s="7" t="n"/>
      <c r="E139" s="13" t="n"/>
      <c r="F139" s="16" t="n"/>
      <c r="G139" s="16" t="n"/>
      <c r="H139" s="16" t="n"/>
      <c r="I139" s="14" t="n"/>
      <c r="J139" s="14" t="n"/>
      <c r="K139" s="13" t="n"/>
    </row>
    <row r="140">
      <c r="A140" s="13" t="n"/>
      <c r="B140" s="13" t="n"/>
      <c r="C140" s="13" t="n"/>
      <c r="D140" s="7" t="n"/>
      <c r="E140" s="13" t="n"/>
      <c r="F140" s="16" t="n"/>
      <c r="G140" s="16" t="n"/>
      <c r="H140" s="16" t="n"/>
      <c r="I140" s="14" t="n"/>
      <c r="J140" s="14" t="n"/>
      <c r="K140" s="13" t="n"/>
    </row>
    <row r="141">
      <c r="A141" s="13" t="n"/>
      <c r="B141" s="13" t="n"/>
      <c r="C141" s="13" t="n"/>
      <c r="D141" s="7" t="n"/>
      <c r="E141" s="13" t="n"/>
      <c r="F141" s="16" t="n"/>
      <c r="G141" s="16" t="n"/>
      <c r="H141" s="16" t="n"/>
      <c r="I141" s="14" t="n"/>
      <c r="J141" s="14" t="n"/>
      <c r="K141" s="13" t="n"/>
    </row>
    <row r="142">
      <c r="A142" s="13" t="n"/>
      <c r="B142" s="13" t="n"/>
      <c r="C142" s="13" t="n"/>
      <c r="D142" s="7" t="n"/>
      <c r="E142" s="13" t="n"/>
      <c r="F142" s="16" t="n"/>
      <c r="G142" s="16" t="n"/>
      <c r="H142" s="16" t="n"/>
      <c r="I142" s="14" t="n"/>
      <c r="J142" s="14" t="n"/>
      <c r="K142" s="13" t="n"/>
    </row>
    <row r="143">
      <c r="A143" s="13" t="n"/>
      <c r="B143" s="13" t="n"/>
      <c r="C143" s="13" t="n"/>
      <c r="D143" s="7" t="n"/>
      <c r="E143" s="13" t="n"/>
      <c r="F143" s="16" t="n"/>
      <c r="G143" s="16" t="n"/>
      <c r="H143" s="16" t="n"/>
      <c r="I143" s="14" t="n"/>
      <c r="J143" s="14" t="n"/>
      <c r="K143" s="13" t="n"/>
    </row>
    <row r="144">
      <c r="A144" s="13" t="n"/>
      <c r="B144" s="13" t="n"/>
      <c r="C144" s="13" t="n"/>
      <c r="D144" s="7" t="n"/>
      <c r="E144" s="13" t="n"/>
      <c r="F144" s="16" t="n"/>
      <c r="G144" s="16" t="n"/>
      <c r="H144" s="16" t="n"/>
      <c r="I144" s="14" t="n"/>
      <c r="J144" s="14" t="n"/>
      <c r="K144" s="13" t="n"/>
    </row>
    <row r="145">
      <c r="A145" s="13" t="n"/>
      <c r="B145" s="13" t="n"/>
      <c r="C145" s="13" t="n"/>
      <c r="D145" s="7" t="n"/>
      <c r="E145" s="13" t="n"/>
      <c r="F145" s="16" t="n"/>
      <c r="G145" s="16" t="n"/>
      <c r="H145" s="16" t="n"/>
      <c r="I145" s="14" t="n"/>
      <c r="J145" s="14" t="n"/>
      <c r="K145" s="13" t="n"/>
    </row>
    <row r="146">
      <c r="A146" s="13" t="n"/>
      <c r="B146" s="13" t="n"/>
      <c r="C146" s="13" t="n"/>
      <c r="D146" s="7" t="n"/>
      <c r="E146" s="13" t="n"/>
      <c r="F146" s="16" t="n"/>
      <c r="G146" s="16" t="n"/>
      <c r="H146" s="16" t="n"/>
      <c r="I146" s="14" t="n"/>
      <c r="J146" s="14" t="n"/>
      <c r="K146" s="13" t="n"/>
    </row>
    <row r="147">
      <c r="A147" s="13" t="n"/>
      <c r="B147" s="13" t="n"/>
      <c r="C147" s="13" t="n"/>
      <c r="D147" s="7" t="n"/>
      <c r="E147" s="13" t="n"/>
      <c r="F147" s="16" t="n"/>
      <c r="G147" s="16" t="n"/>
      <c r="H147" s="16" t="n"/>
      <c r="I147" s="14" t="n"/>
      <c r="J147" s="14" t="n"/>
      <c r="K147" s="13" t="n"/>
    </row>
    <row r="148">
      <c r="A148" s="13" t="n"/>
      <c r="B148" s="13" t="n"/>
      <c r="C148" s="13" t="n"/>
      <c r="D148" s="7" t="n"/>
      <c r="E148" s="13" t="n"/>
      <c r="F148" s="16" t="n"/>
      <c r="G148" s="16" t="n"/>
      <c r="H148" s="16" t="n"/>
      <c r="I148" s="14" t="n"/>
      <c r="J148" s="14" t="n"/>
      <c r="K148" s="13" t="n"/>
    </row>
    <row r="149">
      <c r="A149" s="13" t="n"/>
      <c r="B149" s="13" t="n"/>
      <c r="C149" s="13" t="n"/>
      <c r="D149" s="7" t="n"/>
      <c r="E149" s="13" t="n"/>
      <c r="F149" s="16" t="n"/>
      <c r="G149" s="16" t="n"/>
      <c r="H149" s="16" t="n"/>
      <c r="I149" s="14" t="n"/>
      <c r="J149" s="14" t="n"/>
      <c r="K149" s="13" t="n"/>
    </row>
    <row r="150">
      <c r="A150" s="13" t="n"/>
      <c r="B150" s="13" t="n"/>
      <c r="C150" s="13" t="n"/>
      <c r="D150" s="7" t="n"/>
      <c r="E150" s="13" t="n"/>
      <c r="F150" s="16" t="n"/>
      <c r="G150" s="16" t="n"/>
      <c r="H150" s="16" t="n"/>
      <c r="I150" s="14" t="n"/>
      <c r="J150" s="14" t="n"/>
      <c r="K150" s="13" t="n"/>
    </row>
    <row r="151">
      <c r="A151" s="13" t="n"/>
      <c r="B151" s="13" t="n"/>
      <c r="C151" s="13" t="n"/>
      <c r="D151" s="7" t="n"/>
      <c r="E151" s="13" t="n"/>
      <c r="F151" s="16" t="n"/>
      <c r="G151" s="16" t="n"/>
      <c r="H151" s="16" t="n"/>
      <c r="I151" s="14" t="n"/>
      <c r="J151" s="14" t="n"/>
      <c r="K151" s="13" t="n"/>
    </row>
    <row r="152">
      <c r="A152" s="13" t="n"/>
      <c r="B152" s="13" t="n"/>
      <c r="C152" s="13" t="n"/>
      <c r="D152" s="7" t="n"/>
      <c r="E152" s="13" t="n"/>
      <c r="F152" s="16" t="n"/>
      <c r="G152" s="16" t="n"/>
      <c r="H152" s="16" t="n"/>
      <c r="I152" s="14" t="n"/>
      <c r="J152" s="14" t="n"/>
      <c r="K152" s="13" t="n"/>
    </row>
    <row r="153">
      <c r="A153" s="13" t="n"/>
      <c r="B153" s="13" t="n"/>
      <c r="C153" s="13" t="n"/>
      <c r="D153" s="7" t="n"/>
      <c r="E153" s="13" t="n"/>
      <c r="F153" s="16" t="n"/>
      <c r="G153" s="16" t="n"/>
      <c r="H153" s="16" t="n"/>
      <c r="I153" s="14" t="n"/>
      <c r="J153" s="14" t="n"/>
      <c r="K153" s="13" t="n"/>
    </row>
    <row r="154">
      <c r="A154" s="13" t="n"/>
      <c r="B154" s="13" t="n"/>
      <c r="C154" s="13" t="n"/>
      <c r="D154" s="7" t="n"/>
      <c r="E154" s="13" t="n"/>
      <c r="F154" s="16" t="n"/>
      <c r="G154" s="16" t="n"/>
      <c r="H154" s="16" t="n"/>
      <c r="I154" s="14" t="n"/>
      <c r="J154" s="14" t="n"/>
      <c r="K154" s="13" t="n"/>
    </row>
    <row r="155">
      <c r="A155" s="13" t="n"/>
      <c r="B155" s="13" t="n"/>
      <c r="C155" s="13" t="n"/>
      <c r="D155" s="7" t="n"/>
      <c r="E155" s="13" t="n"/>
      <c r="F155" s="16" t="n"/>
      <c r="G155" s="16" t="n"/>
      <c r="H155" s="16" t="n"/>
      <c r="I155" s="14" t="n"/>
      <c r="J155" s="14" t="n"/>
      <c r="K155" s="13" t="n"/>
    </row>
    <row r="156">
      <c r="A156" s="13" t="n"/>
      <c r="B156" s="13" t="n"/>
      <c r="C156" s="13" t="n"/>
      <c r="D156" s="7" t="n"/>
      <c r="E156" s="13" t="n"/>
      <c r="F156" s="16" t="n"/>
      <c r="G156" s="16" t="n"/>
      <c r="H156" s="16" t="n"/>
      <c r="I156" s="14" t="n"/>
      <c r="J156" s="14" t="n"/>
      <c r="K156" s="13" t="n"/>
    </row>
    <row r="157">
      <c r="A157" s="13" t="n"/>
      <c r="B157" s="13" t="n"/>
      <c r="C157" s="13" t="n"/>
      <c r="D157" s="7" t="n"/>
      <c r="E157" s="13" t="n"/>
      <c r="F157" s="16" t="n"/>
      <c r="G157" s="16" t="n"/>
      <c r="H157" s="16" t="n"/>
      <c r="I157" s="14" t="n"/>
      <c r="J157" s="14" t="n"/>
      <c r="K157" s="13" t="n"/>
    </row>
    <row r="158">
      <c r="A158" s="13" t="n"/>
      <c r="B158" s="13" t="n"/>
      <c r="C158" s="13" t="n"/>
      <c r="D158" s="7" t="n"/>
      <c r="E158" s="13" t="n"/>
      <c r="F158" s="16" t="n"/>
      <c r="G158" s="16" t="n"/>
      <c r="H158" s="16" t="n"/>
      <c r="I158" s="14" t="n"/>
      <c r="J158" s="14" t="n"/>
      <c r="K158" s="13" t="n"/>
    </row>
    <row r="159">
      <c r="A159" s="13" t="n"/>
      <c r="B159" s="13" t="n"/>
      <c r="C159" s="13" t="n"/>
      <c r="D159" s="7" t="n"/>
      <c r="E159" s="13" t="n"/>
      <c r="F159" s="16" t="n"/>
      <c r="G159" s="16" t="n"/>
      <c r="H159" s="16" t="n"/>
      <c r="I159" s="14" t="n"/>
      <c r="J159" s="14" t="n"/>
      <c r="K159" s="13" t="n"/>
    </row>
    <row r="160">
      <c r="A160" s="13" t="n"/>
      <c r="B160" s="13" t="n"/>
      <c r="C160" s="13" t="n"/>
      <c r="D160" s="7" t="n"/>
      <c r="E160" s="13" t="n"/>
      <c r="F160" s="16" t="n"/>
      <c r="G160" s="16" t="n"/>
      <c r="H160" s="16" t="n"/>
      <c r="I160" s="14" t="n"/>
      <c r="J160" s="14" t="n"/>
      <c r="K160" s="13" t="n"/>
    </row>
    <row r="161">
      <c r="A161" s="13" t="n"/>
      <c r="B161" s="13" t="n"/>
      <c r="C161" s="13" t="n"/>
      <c r="D161" s="7" t="n"/>
      <c r="E161" s="13" t="n"/>
      <c r="F161" s="16" t="n"/>
      <c r="G161" s="16" t="n"/>
      <c r="H161" s="16" t="n"/>
      <c r="I161" s="14" t="n"/>
      <c r="J161" s="14" t="n"/>
      <c r="K161" s="13" t="n"/>
    </row>
    <row r="162">
      <c r="A162" s="13" t="n"/>
      <c r="B162" s="13" t="n"/>
      <c r="C162" s="13" t="n"/>
      <c r="D162" s="7" t="n"/>
      <c r="E162" s="13" t="n"/>
      <c r="F162" s="16" t="n"/>
      <c r="G162" s="16" t="n"/>
      <c r="H162" s="16" t="n"/>
      <c r="I162" s="14" t="n"/>
      <c r="J162" s="14" t="n"/>
      <c r="K162" s="13" t="n"/>
    </row>
    <row r="163">
      <c r="A163" s="13" t="n"/>
      <c r="B163" s="13" t="n"/>
      <c r="C163" s="13" t="n"/>
      <c r="D163" s="7" t="n"/>
      <c r="E163" s="13" t="n"/>
      <c r="F163" s="16" t="n"/>
      <c r="G163" s="16" t="n"/>
      <c r="H163" s="16" t="n"/>
      <c r="I163" s="14" t="n"/>
      <c r="J163" s="14" t="n"/>
      <c r="K163" s="13" t="n"/>
    </row>
    <row r="164">
      <c r="A164" s="13" t="n"/>
      <c r="B164" s="13" t="n"/>
      <c r="C164" s="13" t="n"/>
      <c r="D164" s="7" t="n"/>
      <c r="E164" s="13" t="n"/>
      <c r="F164" s="16" t="n"/>
      <c r="G164" s="16" t="n"/>
      <c r="H164" s="16" t="n"/>
      <c r="I164" s="14" t="n"/>
      <c r="J164" s="14" t="n"/>
      <c r="K164" s="13" t="n"/>
    </row>
    <row r="165">
      <c r="A165" s="13" t="n"/>
      <c r="B165" s="13" t="n"/>
      <c r="C165" s="13" t="n"/>
      <c r="D165" s="7" t="n"/>
      <c r="E165" s="13" t="n"/>
      <c r="F165" s="16" t="n"/>
      <c r="G165" s="16" t="n"/>
      <c r="H165" s="16" t="n"/>
      <c r="I165" s="14" t="n"/>
      <c r="J165" s="14" t="n"/>
      <c r="K165" s="13" t="n"/>
    </row>
    <row r="166">
      <c r="A166" s="13" t="n"/>
      <c r="B166" s="13" t="n"/>
      <c r="C166" s="13" t="n"/>
      <c r="D166" s="7" t="n"/>
      <c r="E166" s="13" t="n"/>
      <c r="F166" s="16" t="n"/>
      <c r="G166" s="16" t="n"/>
      <c r="H166" s="16" t="n"/>
      <c r="I166" s="14" t="n"/>
      <c r="J166" s="14" t="n"/>
      <c r="K166" s="13" t="n"/>
    </row>
    <row r="167">
      <c r="A167" s="13" t="n"/>
      <c r="B167" s="13" t="n"/>
      <c r="C167" s="13" t="n"/>
      <c r="D167" s="7" t="n"/>
      <c r="E167" s="13" t="n"/>
      <c r="F167" s="16" t="n"/>
      <c r="G167" s="16" t="n"/>
      <c r="H167" s="16" t="n"/>
      <c r="I167" s="14" t="n"/>
      <c r="J167" s="14" t="n"/>
      <c r="K167" s="13" t="n"/>
    </row>
    <row r="168">
      <c r="A168" s="13" t="n"/>
      <c r="B168" s="13" t="n"/>
      <c r="C168" s="13" t="n"/>
      <c r="D168" s="7" t="n"/>
      <c r="E168" s="13" t="n"/>
      <c r="F168" s="16" t="n"/>
      <c r="G168" s="16" t="n"/>
      <c r="H168" s="16" t="n"/>
      <c r="I168" s="14" t="n"/>
      <c r="J168" s="14" t="n"/>
      <c r="K168" s="13" t="n"/>
    </row>
    <row r="169">
      <c r="A169" s="13" t="n"/>
      <c r="B169" s="13" t="n"/>
      <c r="C169" s="13" t="n"/>
      <c r="D169" s="7" t="n"/>
      <c r="E169" s="13" t="n"/>
      <c r="F169" s="16" t="n"/>
      <c r="G169" s="16" t="n"/>
      <c r="H169" s="16" t="n"/>
      <c r="I169" s="14" t="n"/>
      <c r="J169" s="14" t="n"/>
      <c r="K169" s="13" t="n"/>
    </row>
    <row r="170">
      <c r="A170" s="13" t="n"/>
      <c r="B170" s="13" t="n"/>
      <c r="C170" s="13" t="n"/>
      <c r="D170" s="7" t="n"/>
      <c r="E170" s="13" t="n"/>
      <c r="F170" s="16" t="n"/>
      <c r="G170" s="16" t="n"/>
      <c r="H170" s="16" t="n"/>
      <c r="I170" s="14" t="n"/>
      <c r="J170" s="14" t="n"/>
      <c r="K170" s="13" t="n"/>
    </row>
    <row r="171">
      <c r="A171" s="13" t="n"/>
      <c r="B171" s="13" t="n"/>
      <c r="C171" s="13" t="n"/>
      <c r="D171" s="7" t="n"/>
      <c r="E171" s="13" t="n"/>
      <c r="F171" s="16" t="n"/>
      <c r="G171" s="16" t="n"/>
      <c r="H171" s="16" t="n"/>
      <c r="I171" s="14" t="n"/>
      <c r="J171" s="14" t="n"/>
      <c r="K171" s="13" t="n"/>
    </row>
    <row r="172">
      <c r="A172" s="13" t="n"/>
      <c r="B172" s="13" t="n"/>
      <c r="C172" s="13" t="n"/>
      <c r="D172" s="7" t="n"/>
      <c r="E172" s="13" t="n"/>
      <c r="F172" s="16" t="n"/>
      <c r="G172" s="16" t="n"/>
      <c r="H172" s="16" t="n"/>
      <c r="I172" s="14" t="n"/>
      <c r="J172" s="14" t="n"/>
      <c r="K172" s="13" t="n"/>
    </row>
    <row r="173">
      <c r="A173" s="13" t="n"/>
      <c r="B173" s="13" t="n"/>
      <c r="C173" s="13" t="n"/>
      <c r="D173" s="7" t="n"/>
      <c r="E173" s="13" t="n"/>
      <c r="F173" s="16" t="n"/>
      <c r="G173" s="16" t="n"/>
      <c r="H173" s="16" t="n"/>
      <c r="I173" s="14" t="n"/>
      <c r="J173" s="14" t="n"/>
      <c r="K173" s="13" t="n"/>
    </row>
    <row r="174">
      <c r="A174" s="13" t="n"/>
      <c r="B174" s="13" t="n"/>
      <c r="C174" s="13" t="n"/>
      <c r="D174" s="7" t="n"/>
      <c r="E174" s="13" t="n"/>
      <c r="F174" s="16" t="n"/>
      <c r="G174" s="16" t="n"/>
      <c r="H174" s="16" t="n"/>
      <c r="I174" s="14" t="n"/>
      <c r="J174" s="14" t="n"/>
      <c r="K174" s="13" t="n"/>
    </row>
    <row r="175">
      <c r="A175" s="13" t="n"/>
      <c r="B175" s="13" t="n"/>
      <c r="C175" s="13" t="n"/>
      <c r="D175" s="7" t="n"/>
      <c r="E175" s="13" t="n"/>
      <c r="F175" s="16" t="n"/>
      <c r="G175" s="16" t="n"/>
      <c r="H175" s="16" t="n"/>
      <c r="I175" s="14" t="n"/>
      <c r="J175" s="14" t="n"/>
      <c r="K175" s="13" t="n"/>
    </row>
    <row r="176">
      <c r="A176" s="13" t="n"/>
      <c r="B176" s="13" t="n"/>
      <c r="C176" s="13" t="n"/>
      <c r="D176" s="7" t="n"/>
      <c r="E176" s="13" t="n"/>
      <c r="F176" s="16" t="n"/>
      <c r="G176" s="16" t="n"/>
      <c r="H176" s="16" t="n"/>
      <c r="I176" s="14" t="n"/>
      <c r="J176" s="14" t="n"/>
      <c r="K176" s="13" t="n"/>
    </row>
    <row r="177">
      <c r="A177" s="13" t="n"/>
      <c r="B177" s="13" t="n"/>
      <c r="C177" s="13" t="n"/>
      <c r="D177" s="7" t="n"/>
      <c r="E177" s="13" t="n"/>
      <c r="F177" s="16" t="n"/>
      <c r="G177" s="16" t="n"/>
      <c r="H177" s="16" t="n"/>
      <c r="I177" s="14" t="n"/>
      <c r="J177" s="14" t="n"/>
      <c r="K177" s="13" t="n"/>
    </row>
    <row r="178">
      <c r="A178" s="13" t="n"/>
      <c r="B178" s="13" t="n"/>
      <c r="C178" s="13" t="n"/>
      <c r="D178" s="7" t="n"/>
      <c r="E178" s="13" t="n"/>
      <c r="F178" s="16" t="n"/>
      <c r="G178" s="16" t="n"/>
      <c r="H178" s="16" t="n"/>
      <c r="I178" s="14" t="n"/>
      <c r="J178" s="14" t="n"/>
      <c r="K178" s="13" t="n"/>
    </row>
    <row r="179">
      <c r="A179" s="13" t="n"/>
      <c r="B179" s="13" t="n"/>
      <c r="C179" s="13" t="n"/>
      <c r="D179" s="7" t="n"/>
      <c r="E179" s="13" t="n"/>
      <c r="F179" s="16" t="n"/>
      <c r="G179" s="16" t="n"/>
      <c r="H179" s="16" t="n"/>
      <c r="I179" s="14" t="n"/>
      <c r="J179" s="14" t="n"/>
      <c r="K179" s="13" t="n"/>
    </row>
    <row r="180">
      <c r="A180" s="13" t="n"/>
      <c r="B180" s="13" t="n"/>
      <c r="C180" s="13" t="n"/>
      <c r="D180" s="7" t="n"/>
      <c r="E180" s="13" t="n"/>
      <c r="F180" s="16" t="n"/>
      <c r="G180" s="16" t="n"/>
      <c r="H180" s="16" t="n"/>
      <c r="I180" s="14" t="n"/>
      <c r="J180" s="14" t="n"/>
      <c r="K180" s="13" t="n"/>
    </row>
    <row r="181">
      <c r="A181" s="13" t="n"/>
      <c r="B181" s="13" t="n"/>
      <c r="C181" s="13" t="n"/>
      <c r="D181" s="7" t="n"/>
      <c r="E181" s="13" t="n"/>
      <c r="F181" s="16" t="n"/>
      <c r="G181" s="16" t="n"/>
      <c r="H181" s="16" t="n"/>
      <c r="I181" s="14" t="n"/>
      <c r="J181" s="14" t="n"/>
      <c r="K181" s="13" t="n"/>
    </row>
    <row r="182">
      <c r="A182" s="13" t="n"/>
      <c r="B182" s="13" t="n"/>
      <c r="C182" s="13" t="n"/>
      <c r="D182" s="7" t="n"/>
      <c r="E182" s="13" t="n"/>
      <c r="F182" s="16" t="n"/>
      <c r="G182" s="16" t="n"/>
      <c r="H182" s="16" t="n"/>
      <c r="I182" s="14" t="n"/>
      <c r="J182" s="14" t="n"/>
      <c r="K182" s="13" t="n"/>
    </row>
    <row r="183">
      <c r="A183" s="13" t="n"/>
      <c r="B183" s="13" t="n"/>
      <c r="C183" s="13" t="n"/>
      <c r="D183" s="7" t="n"/>
      <c r="E183" s="13" t="n"/>
      <c r="F183" s="16" t="n"/>
      <c r="G183" s="16" t="n"/>
      <c r="H183" s="16" t="n"/>
      <c r="I183" s="14" t="n"/>
      <c r="J183" s="14" t="n"/>
      <c r="K183" s="13" t="n"/>
    </row>
    <row r="184">
      <c r="A184" s="13" t="n"/>
      <c r="B184" s="13" t="n"/>
      <c r="C184" s="13" t="n"/>
      <c r="D184" s="7" t="n"/>
      <c r="E184" s="13" t="n"/>
      <c r="F184" s="16" t="n"/>
      <c r="G184" s="16" t="n"/>
      <c r="H184" s="16" t="n"/>
      <c r="I184" s="14" t="n"/>
      <c r="J184" s="14" t="n"/>
      <c r="K184" s="13" t="n"/>
    </row>
    <row r="185">
      <c r="A185" s="13" t="n"/>
      <c r="B185" s="13" t="n"/>
      <c r="C185" s="13" t="n"/>
      <c r="D185" s="7" t="n"/>
      <c r="E185" s="13" t="n"/>
      <c r="F185" s="16" t="n"/>
      <c r="G185" s="16" t="n"/>
      <c r="H185" s="16" t="n"/>
      <c r="I185" s="14" t="n"/>
      <c r="J185" s="14" t="n"/>
      <c r="K185" s="13" t="n"/>
    </row>
    <row r="186">
      <c r="A186" s="13" t="n"/>
      <c r="B186" s="13" t="n"/>
      <c r="C186" s="13" t="n"/>
      <c r="D186" s="7" t="n"/>
      <c r="E186" s="13" t="n"/>
      <c r="F186" s="16" t="n"/>
      <c r="G186" s="16" t="n"/>
      <c r="H186" s="16" t="n"/>
      <c r="I186" s="14" t="n"/>
      <c r="J186" s="14" t="n"/>
      <c r="K186" s="13" t="n"/>
    </row>
    <row r="187">
      <c r="A187" s="13" t="n"/>
      <c r="B187" s="13" t="n"/>
      <c r="C187" s="13" t="n"/>
      <c r="D187" s="7" t="n"/>
      <c r="E187" s="13" t="n"/>
      <c r="F187" s="16" t="n"/>
      <c r="G187" s="16" t="n"/>
      <c r="H187" s="16" t="n"/>
      <c r="I187" s="14" t="n"/>
      <c r="J187" s="14" t="n"/>
      <c r="K187" s="13" t="n"/>
    </row>
    <row r="188">
      <c r="A188" s="13" t="n"/>
      <c r="B188" s="13" t="n"/>
      <c r="C188" s="13" t="n"/>
      <c r="D188" s="7" t="n"/>
      <c r="E188" s="13" t="n"/>
      <c r="F188" s="16" t="n"/>
      <c r="G188" s="16" t="n"/>
      <c r="H188" s="16" t="n"/>
      <c r="I188" s="14" t="n"/>
      <c r="J188" s="14" t="n"/>
      <c r="K188" s="13" t="n"/>
    </row>
    <row r="189">
      <c r="A189" s="13" t="n"/>
      <c r="B189" s="13" t="n"/>
      <c r="C189" s="13" t="n"/>
      <c r="D189" s="7" t="n"/>
      <c r="E189" s="13" t="n"/>
      <c r="F189" s="16" t="n"/>
      <c r="G189" s="16" t="n"/>
      <c r="H189" s="16" t="n"/>
      <c r="I189" s="14" t="n"/>
      <c r="J189" s="14" t="n"/>
      <c r="K189" s="13" t="n"/>
    </row>
    <row r="190">
      <c r="A190" s="13" t="n"/>
      <c r="B190" s="13" t="n"/>
      <c r="C190" s="13" t="n"/>
      <c r="D190" s="7" t="n"/>
      <c r="E190" s="13" t="n"/>
      <c r="F190" s="16" t="n"/>
      <c r="G190" s="16" t="n"/>
      <c r="H190" s="16" t="n"/>
      <c r="I190" s="14" t="n"/>
      <c r="J190" s="14" t="n"/>
      <c r="K190" s="13" t="n"/>
    </row>
    <row r="191">
      <c r="A191" s="13" t="n"/>
      <c r="B191" s="13" t="n"/>
      <c r="C191" s="13" t="n"/>
      <c r="D191" s="7" t="n"/>
      <c r="E191" s="13" t="n"/>
      <c r="F191" s="16" t="n"/>
      <c r="G191" s="16" t="n"/>
      <c r="H191" s="16" t="n"/>
      <c r="I191" s="14" t="n"/>
      <c r="J191" s="14" t="n"/>
      <c r="K191" s="13" t="n"/>
    </row>
    <row r="192">
      <c r="A192" s="13" t="n"/>
      <c r="B192" s="13" t="n"/>
      <c r="C192" s="13" t="n"/>
      <c r="D192" s="7" t="n"/>
      <c r="E192" s="13" t="n"/>
      <c r="F192" s="16" t="n"/>
      <c r="G192" s="16" t="n"/>
      <c r="H192" s="16" t="n"/>
      <c r="I192" s="14" t="n"/>
      <c r="J192" s="14" t="n"/>
      <c r="K192" s="13" t="n"/>
    </row>
    <row r="193">
      <c r="A193" s="13" t="n"/>
      <c r="B193" s="13" t="n"/>
      <c r="C193" s="13" t="n"/>
      <c r="D193" s="7" t="n"/>
      <c r="E193" s="13" t="n"/>
      <c r="F193" s="16" t="n"/>
      <c r="G193" s="16" t="n"/>
      <c r="H193" s="16" t="n"/>
      <c r="I193" s="14" t="n"/>
      <c r="J193" s="14" t="n"/>
      <c r="K193" s="13" t="n"/>
    </row>
    <row r="194">
      <c r="A194" s="13" t="n"/>
      <c r="B194" s="13" t="n"/>
      <c r="C194" s="13" t="n"/>
      <c r="D194" s="7" t="n"/>
      <c r="E194" s="13" t="n"/>
      <c r="F194" s="16" t="n"/>
      <c r="G194" s="16" t="n"/>
      <c r="H194" s="16" t="n"/>
      <c r="I194" s="14" t="n"/>
      <c r="J194" s="14" t="n"/>
      <c r="K194" s="13" t="n"/>
    </row>
    <row r="195">
      <c r="A195" s="13" t="n"/>
      <c r="B195" s="13" t="n"/>
      <c r="C195" s="13" t="n"/>
      <c r="D195" s="7" t="n"/>
      <c r="E195" s="13" t="n"/>
      <c r="F195" s="16" t="n"/>
      <c r="G195" s="16" t="n"/>
      <c r="H195" s="16" t="n"/>
      <c r="I195" s="14" t="n"/>
      <c r="J195" s="14" t="n"/>
      <c r="K195" s="13" t="n"/>
    </row>
    <row r="196">
      <c r="A196" s="13" t="n"/>
      <c r="B196" s="13" t="n"/>
      <c r="C196" s="13" t="n"/>
      <c r="D196" s="7" t="n"/>
      <c r="E196" s="13" t="n"/>
      <c r="F196" s="16" t="n"/>
      <c r="G196" s="16" t="n"/>
      <c r="H196" s="16" t="n"/>
      <c r="I196" s="14" t="n"/>
      <c r="J196" s="14" t="n"/>
      <c r="K196" s="13" t="n"/>
    </row>
    <row r="197">
      <c r="A197" s="13" t="n"/>
      <c r="B197" s="13" t="n"/>
      <c r="C197" s="13" t="n"/>
      <c r="D197" s="7" t="n"/>
      <c r="E197" s="13" t="n"/>
      <c r="F197" s="16" t="n"/>
      <c r="G197" s="16" t="n"/>
      <c r="H197" s="16" t="n"/>
      <c r="I197" s="14" t="n"/>
      <c r="J197" s="14" t="n"/>
      <c r="K197" s="13" t="n"/>
    </row>
    <row r="198">
      <c r="A198" s="13" t="n"/>
      <c r="B198" s="13" t="n"/>
      <c r="C198" s="13" t="n"/>
      <c r="D198" s="7" t="n"/>
      <c r="E198" s="13" t="n"/>
      <c r="F198" s="16" t="n"/>
      <c r="G198" s="16" t="n"/>
      <c r="H198" s="16" t="n"/>
      <c r="I198" s="14" t="n"/>
      <c r="J198" s="14" t="n"/>
      <c r="K198" s="13" t="n"/>
    </row>
    <row r="199">
      <c r="A199" s="13" t="n"/>
      <c r="B199" s="13" t="n"/>
      <c r="C199" s="13" t="n"/>
      <c r="D199" s="7" t="n"/>
      <c r="E199" s="13" t="n"/>
      <c r="F199" s="16" t="n"/>
      <c r="G199" s="16" t="n"/>
      <c r="H199" s="16" t="n"/>
      <c r="I199" s="14" t="n"/>
      <c r="J199" s="14" t="n"/>
      <c r="K199" s="13" t="n"/>
    </row>
    <row r="200">
      <c r="A200" s="13" t="n"/>
      <c r="B200" s="13" t="n"/>
      <c r="C200" s="13" t="n"/>
      <c r="D200" s="7" t="n"/>
      <c r="E200" s="13" t="n"/>
      <c r="F200" s="16" t="n"/>
      <c r="G200" s="16" t="n"/>
      <c r="H200" s="16" t="n"/>
      <c r="I200" s="14" t="n"/>
      <c r="J200" s="14" t="n"/>
      <c r="K200" s="13" t="n"/>
    </row>
    <row r="201">
      <c r="A201" s="13" t="n"/>
      <c r="B201" s="13" t="n"/>
      <c r="C201" s="13" t="n"/>
      <c r="D201" s="7" t="n"/>
      <c r="E201" s="13" t="n"/>
      <c r="F201" s="16" t="n"/>
      <c r="G201" s="16" t="n"/>
      <c r="H201" s="16" t="n"/>
      <c r="I201" s="14" t="n"/>
      <c r="J201" s="14" t="n"/>
      <c r="K201" s="13" t="n"/>
    </row>
  </sheetData>
  <dataValidations count="6">
    <dataValidation sqref="D2:D201" showDropDown="0" showInputMessage="0" showErrorMessage="1" allowBlank="1" errorTitle="Invalid value" error="Select a value from the list. / 一覧から選択してください。" type="list">
      <formula1>=lst_allocation_type</formula1>
    </dataValidation>
    <dataValidation sqref="F2:F201" showDropDown="0" showInputMessage="0" showErrorMessage="1" allowBlank="1" error="Enter a value between 0 and 1. / 0〜1で入力してください。" type="decimal" operator="between">
      <formula1>0</formula1>
      <formula2>1</formula2>
    </dataValidation>
    <dataValidation sqref="G2:G201" showDropDown="0" showInputMessage="0" showErrorMessage="1" allowBlank="1" error="Enter a value between 0 and 1. / 0〜1で入力してください。" type="decimal" operator="between">
      <formula1>0</formula1>
      <formula2>1</formula2>
    </dataValidation>
    <dataValidation sqref="H2:H201" showDropDown="0" showInputMessage="0" showErrorMessage="1" allowBlank="1" error="Enter a value between 0 and 1. / 0〜1で入力してください。" type="decimal" operator="between">
      <formula1>0</formula1>
      <formula2>1</formula2>
    </dataValidation>
    <dataValidation sqref="I2:I201" showDropDown="0" showInputMessage="0" showErrorMessage="1" allowBlank="1" error="Enter a date (YYYY-MM-DD). / 日付で入力してください。" type="date" operator="greaterThan">
      <formula1>36526</formula1>
    </dataValidation>
    <dataValidation sqref="J2:J201" showDropDown="0" showInputMessage="0" showErrorMessage="1" allowBlank="1" error="Enter a date (YYYY-MM-DD). / 日付で入力してください。" type="date" operator="greaterThan">
      <formula1>36526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AG1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9" customWidth="1" min="5" max="5"/>
    <col width="14" customWidth="1" min="6" max="6"/>
    <col width="15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4" t="inlineStr">
        <is>
          <t>fiscal_year</t>
        </is>
      </c>
      <c r="B1" s="4" t="inlineStr">
        <is>
          <t>region</t>
        </is>
      </c>
      <c r="C1" s="4" t="inlineStr">
        <is>
          <t>owner</t>
        </is>
      </c>
      <c r="D1" s="4" t="inlineStr">
        <is>
          <t>budget_id</t>
        </is>
      </c>
      <c r="E1" s="4" t="inlineStr">
        <is>
          <t>cost_center_code</t>
        </is>
      </c>
      <c r="F1" s="4" t="inlineStr">
        <is>
          <t>account_key</t>
        </is>
      </c>
      <c r="G1" s="4" t="inlineStr">
        <is>
          <t>expense_item</t>
        </is>
      </c>
      <c r="H1" s="4" t="inlineStr">
        <is>
          <t>source_type</t>
        </is>
      </c>
      <c r="I1" s="4" t="inlineStr">
        <is>
          <t>currency</t>
        </is>
      </c>
      <c r="J1" s="4" t="inlineStr">
        <is>
          <t>m01</t>
        </is>
      </c>
      <c r="K1" s="4" t="inlineStr">
        <is>
          <t>m02</t>
        </is>
      </c>
      <c r="L1" s="4" t="inlineStr">
        <is>
          <t>m03</t>
        </is>
      </c>
      <c r="M1" s="4" t="inlineStr">
        <is>
          <t>m04</t>
        </is>
      </c>
      <c r="N1" s="4" t="inlineStr">
        <is>
          <t>m05</t>
        </is>
      </c>
      <c r="O1" s="4" t="inlineStr">
        <is>
          <t>m06</t>
        </is>
      </c>
      <c r="P1" s="4" t="inlineStr">
        <is>
          <t>m07</t>
        </is>
      </c>
      <c r="Q1" s="4" t="inlineStr">
        <is>
          <t>m08</t>
        </is>
      </c>
      <c r="R1" s="4" t="inlineStr">
        <is>
          <t>m09</t>
        </is>
      </c>
      <c r="S1" s="4" t="inlineStr">
        <is>
          <t>m10</t>
        </is>
      </c>
      <c r="T1" s="4" t="inlineStr">
        <is>
          <t>m11</t>
        </is>
      </c>
      <c r="U1" s="4" t="inlineStr">
        <is>
          <t>m12</t>
        </is>
      </c>
      <c r="V1" s="4" t="inlineStr">
        <is>
          <t>note</t>
        </is>
      </c>
      <c r="X1" s="17" t="inlineStr">
        <is>
          <t>row_total</t>
        </is>
      </c>
      <c r="Y1" s="17" t="inlineStr">
        <is>
          <t>seq</t>
        </is>
      </c>
      <c r="Z1" s="17" t="inlineStr">
        <is>
          <t>src</t>
        </is>
      </c>
      <c r="AA1" s="17" t="inlineStr">
        <is>
          <t>local</t>
        </is>
      </c>
      <c r="AB1" s="17" t="inlineStr">
        <is>
          <t>idx</t>
        </is>
      </c>
      <c r="AC1" s="17" t="inlineStr">
        <is>
          <t>yidx</t>
        </is>
      </c>
      <c r="AD1" s="17" t="inlineStr">
        <is>
          <t>year</t>
        </is>
      </c>
      <c r="AE1" s="17" t="inlineStr">
        <is>
          <t>p_start</t>
        </is>
      </c>
      <c r="AF1" s="17" t="inlineStr">
        <is>
          <t>p_end</t>
        </is>
      </c>
      <c r="AG1" s="17" t="inlineStr">
        <is>
          <t>p_monthly</t>
        </is>
      </c>
    </row>
    <row r="2">
      <c r="A2" s="7">
        <f>IF($Z2="","",$AD2)</f>
        <v/>
      </c>
      <c r="B2" s="7">
        <f>IF($Z2="C",INDEX(Contracts!$D$2:$D$151,$AB2)&amp;"",IF($Z2="A",INDEX(Fixed_Assets!$C$2:$C$201,$AB2)&amp;"",IF($Z2="F",INDEX(Workforce!$B$2:$B$151,MATCH(INDEX(FTE_Allocation!$A$2:$A$201,$AB2),Workforce!$A$2:$A$151,0))&amp;"","")))</f>
        <v/>
      </c>
      <c r="C2" s="7">
        <f>IF($Z2="C",INDEX(Contracts!$E$2:$E$151,$AB2)&amp;"",IF($Z2="A",INDEX(Fixed_Assets!$D$2:$D$201,$AB2)&amp;"",IF($Z2="F",INDEX(FTE_Allocation!$C$2:$C$201,$AB2)&amp;"","")))</f>
        <v/>
      </c>
      <c r="D2" s="7">
        <f>IF($Z2="C",INDEX(Contracts!$B$2:$B$151,$AB2)&amp;"",IF($Z2="A",INDEX(Fixed_Assets!$B$2:$B$201,$AB2)&amp;"",IF($Z2="F",INDEX(FTE_Allocation!$B$2:$B$201,$AB2)&amp;"","")))</f>
        <v/>
      </c>
      <c r="E2" s="7">
        <f>IF($Z2="C",INDEX(Contracts!$P$2:$P$151,$AB2)&amp;"",IF($Z2="A",INDEX(Fixed_Assets!$K$2:$K$201,$AB2)&amp;"",IF($Z2="F",IF(INDEX(FTE_Allocation!$D$2:$D$201,$AB2)="PROJECT",IFERROR(INDEX(Projects!$D:$D,MATCH(INDEX(FTE_Allocation!$E$2:$E$201,$AB2),Projects!$A:$A,0))&amp;"","#PROJECT?"),INDEX(FTE_Allocation!$E$2:$E$201,$AB2)&amp;""),"")))</f>
        <v/>
      </c>
      <c r="F2" s="7">
        <f>IF($Z2="C",INDEX(Contracts!$Q$2:$Q$151,$AB2)&amp;"",IF($Z2="A",INDEX(Fixed_Assets!$L$2:$L$201,$AB2)&amp;"",IF($Z2="F",INDEX(Workforce!$K$2:$K$151,MATCH(INDEX(FTE_Allocation!$A$2:$A$201,$AB2),Workforce!$A$2:$A$151,0))&amp;"","")))</f>
        <v/>
      </c>
      <c r="G2" s="7">
        <f>IF($Z2="C",INDEX(Contracts!$F$2:$F$151,$AB2)&amp;" / "&amp;INDEX(Contracts!$G$2:$G$151,$AB2),IF($Z2="A",INDEX(Fixed_Assets!$E$2:$E$201,$AB2)&amp;"",IF($Z2="F","Personnel "&amp;INDEX(FTE_Allocation!$A$2:$A$201,$AB2)&amp;IF(INDEX(FTE_Allocation!$D$2:$D$201,$AB2)="PROJECT"," ("&amp;INDEX(FTE_Allocation!$E$2:$E$201,$AB2)&amp;")",""),"")))</f>
        <v/>
      </c>
      <c r="H2" s="7">
        <f>IF($Z2="C","CONTRACT",IF($Z2="A","ASSET",IF($Z2="F","WORKFORCE","")))</f>
        <v/>
      </c>
      <c r="I2" s="7">
        <f>IF($Z2="C",INDEX(Contracts!$L$2:$L$151,$AB2)&amp;"",IF($Z2="A",INDEX(Fixed_Assets!$I$2:$I$201,$AB2)&amp;"",IF($Z2="F",INDEX(Workforce!$G$2:$G$151,MATCH(INDEX(FTE_Allocation!$A$2:$A$201,$AB2),Workforce!$A$2:$A$151,0))&amp;"","")))</f>
        <v/>
      </c>
      <c r="J2" s="18">
        <f>IF($Z2="","",IF(AND(DATE($AD2,1,1)&gt;=$AE2,DATE($AD2,1,1)&lt;=$AF2),ROUND($AG2,2),0))</f>
        <v/>
      </c>
      <c r="K2" s="18">
        <f>IF($Z2="","",IF(AND(DATE($AD2,2,1)&gt;=$AE2,DATE($AD2,2,1)&lt;=$AF2),ROUND($AG2,2),0))</f>
        <v/>
      </c>
      <c r="L2" s="18">
        <f>IF($Z2="","",IF(AND(DATE($AD2,3,1)&gt;=$AE2,DATE($AD2,3,1)&lt;=$AF2),ROUND($AG2,2),0))</f>
        <v/>
      </c>
      <c r="M2" s="18">
        <f>IF($Z2="","",IF(AND(DATE($AD2,4,1)&gt;=$AE2,DATE($AD2,4,1)&lt;=$AF2),ROUND($AG2,2),0))</f>
        <v/>
      </c>
      <c r="N2" s="18">
        <f>IF($Z2="","",IF(AND(DATE($AD2,5,1)&gt;=$AE2,DATE($AD2,5,1)&lt;=$AF2),ROUND($AG2,2),0))</f>
        <v/>
      </c>
      <c r="O2" s="18">
        <f>IF($Z2="","",IF(AND(DATE($AD2,6,1)&gt;=$AE2,DATE($AD2,6,1)&lt;=$AF2),ROUND($AG2,2),0))</f>
        <v/>
      </c>
      <c r="P2" s="18">
        <f>IF($Z2="","",IF(AND(DATE($AD2,7,1)&gt;=$AE2,DATE($AD2,7,1)&lt;=$AF2),ROUND($AG2,2),0))</f>
        <v/>
      </c>
      <c r="Q2" s="18">
        <f>IF($Z2="","",IF(AND(DATE($AD2,8,1)&gt;=$AE2,DATE($AD2,8,1)&lt;=$AF2),ROUND($AG2,2),0))</f>
        <v/>
      </c>
      <c r="R2" s="18">
        <f>IF($Z2="","",IF(AND(DATE($AD2,9,1)&gt;=$AE2,DATE($AD2,9,1)&lt;=$AF2),ROUND($AG2,2),0))</f>
        <v/>
      </c>
      <c r="S2" s="18">
        <f>IF($Z2="","",IF(AND(DATE($AD2,10,1)&gt;=$AE2,DATE($AD2,10,1)&lt;=$AF2),ROUND($AG2,2),0))</f>
        <v/>
      </c>
      <c r="T2" s="18">
        <f>IF($Z2="","",IF(AND(DATE($AD2,11,1)&gt;=$AE2,DATE($AD2,11,1)&lt;=$AF2),ROUND($AG2,2),0))</f>
        <v/>
      </c>
      <c r="U2" s="18">
        <f>IF($Z2="","",IF(AND(DATE($AD2,12,1)&gt;=$AE2,DATE($AD2,12,1)&lt;=$AF2),ROUND($AG2,2),0))</f>
        <v/>
      </c>
      <c r="V2" s="7">
        <f>IF($Z2="C","Generated from "&amp;INDEX(Contracts!$A$2:$A$151,$AB2),IF($Z2="A","Generated from "&amp;INDEX(Fixed_Assets!$A$2:$A$201,$AB2),IF($Z2="F","Generated from "&amp;INDEX(FTE_Allocation!$A$2:$A$201,$AB2),"")))</f>
        <v/>
      </c>
      <c r="X2" s="19">
        <f>IF($Z2="","",SUM(J2:U2))</f>
        <v/>
      </c>
      <c r="Y2" s="20">
        <f>ROW()-1</f>
        <v/>
      </c>
      <c r="Z2" s="20">
        <f>IF($Y2&lt;=Settings!$B$4*3,"C",IF($Y2&lt;=(Settings!$B$4+Settings!$B$5)*3,"A",IF($Y2&lt;=(Settings!$B$4+Settings!$B$5+Settings!$B$6)*3,"F","")))</f>
        <v/>
      </c>
      <c r="AA2" s="20">
        <f>IF($Z2="C",$Y2,IF($Z2="A",$Y2-Settings!$B$4*3,IF($Z2="F",$Y2-(Settings!$B$4+Settings!$B$5)*3,"")))</f>
        <v/>
      </c>
      <c r="AB2" s="20">
        <f>IF($Z2="","",INT(($AA2-1)/3)+1)</f>
        <v/>
      </c>
      <c r="AC2" s="20">
        <f>IF($Z2="","",MOD($AA2-1,3)+1)</f>
        <v/>
      </c>
      <c r="AD2" s="20">
        <f>IF($Z2="","",Settings!$B$2+$AC2-1)</f>
        <v/>
      </c>
      <c r="AE2" s="21">
        <f>IF($Z2="C",DATE(YEAR(INDEX(Contracts!$J$2:$J$151,$AB2)),MONTH(INDEX(Contracts!$J$2:$J$151,$AB2)),1),IF($Z2="A",DATE(YEAR(INDEX(Fixed_Assets!$G$2:$G$201,$AB2)),MONTH(INDEX(Fixed_Assets!$G$2:$G$201,$AB2)),1),IF($Z2="F",DATE(YEAR(MAX(N(INDEX(Workforce!$I$2:$I$151,MATCH(INDEX(FTE_Allocation!$A$2:$A$201,$AB2),Workforce!$A$2:$A$151,0))),N(INDEX(FTE_Allocation!$I$2:$I$201,$AB2)))),MONTH(MAX(N(INDEX(Workforce!$I$2:$I$151,MATCH(INDEX(FTE_Allocation!$A$2:$A$201,$AB2),Workforce!$A$2:$A$151,0))),N(INDEX(FTE_Allocation!$I$2:$I$201,$AB2)))),1),"")))</f>
        <v/>
      </c>
      <c r="AF2" s="21">
        <f>IF($Z2="C",IF(INDEX(Contracts!$I$2:$I$151,$AB2)="PREPAID",EDATE(DATE(YEAR(INDEX(Contracts!$J$2:$J$151,$AB2)),MONTH(INDEX(Contracts!$J$2:$J$151,$AB2)),1),IF(INDEX(Contracts!$N$2:$N$151,$AB2)="",12,INDEX(Contracts!$N$2:$N$151,$AB2))-1),IF(INDEX(Contracts!$I$2:$I$151,$AB2)="MONTHLY",IF(INDEX(Contracts!$K$2:$K$151,$AB2)="",2958101,INDEX(Contracts!$K$2:$K$151,$AB2)),0)),IF($Z2="A",EDATE(DATE(YEAR(INDEX(Fixed_Assets!$G$2:$G$201,$AB2)),MONTH(INDEX(Fixed_Assets!$G$2:$G$201,$AB2)),1),INDEX(Fixed_Assets!$J$2:$J$201,$AB2)-1),IF($Z2="F",MIN(IF(INDEX(Workforce!$J$2:$J$151,MATCH(INDEX(FTE_Allocation!$A$2:$A$201,$AB2),Workforce!$A$2:$A$151,0))="",2958101,INDEX(Workforce!$J$2:$J$151,MATCH(INDEX(FTE_Allocation!$A$2:$A$201,$AB2),Workforce!$A$2:$A$151,0))),IF(INDEX(FTE_Allocation!$J$2:$J$201,$AB2)="",2958101,INDEX(FTE_Allocation!$J$2:$J$201,$AB2))),"")))</f>
        <v/>
      </c>
      <c r="AG2" s="19">
        <f>IF($Z2="C",IF(INDEX(Contracts!$I$2:$I$151,$AB2)="PREPAID",INDEX(Contracts!$M$2:$M$151,$AB2)/IF(INDEX(Contracts!$N$2:$N$151,$AB2)="",12,INDEX(Contracts!$N$2:$N$151,$AB2)),IF(INDEX(Contracts!$I$2:$I$151,$AB2)="MONTHLY",INDEX(Contracts!$M$2:$M$151,$AB2),0))*(1-N(INDEX(Contracts!$O$2:$O$151,$AB2))),IF($Z2="A",INDEX(Fixed_Assets!$H$2:$H$201,$AB2)/INDEX(Fixed_Assets!$J$2:$J$201,$AB2),IF($Z2="F",INDEX(Workforce!$F$2:$F$151,MATCH(INDEX(FTE_Allocation!$A$2:$A$201,$AB2),Workforce!$A$2:$A$151,0))*N(INDEX(FTE_Allocation!$F$2:$H$201,$AB2,$AC2)),"")))</f>
        <v/>
      </c>
    </row>
    <row r="3">
      <c r="A3" s="7">
        <f>IF($Z3="","",$AD3)</f>
        <v/>
      </c>
      <c r="B3" s="7">
        <f>IF($Z3="C",INDEX(Contracts!$D$2:$D$151,$AB3)&amp;"",IF($Z3="A",INDEX(Fixed_Assets!$C$2:$C$201,$AB3)&amp;"",IF($Z3="F",INDEX(Workforce!$B$2:$B$151,MATCH(INDEX(FTE_Allocation!$A$2:$A$201,$AB3),Workforce!$A$2:$A$151,0))&amp;"","")))</f>
        <v/>
      </c>
      <c r="C3" s="7">
        <f>IF($Z3="C",INDEX(Contracts!$E$2:$E$151,$AB3)&amp;"",IF($Z3="A",INDEX(Fixed_Assets!$D$2:$D$201,$AB3)&amp;"",IF($Z3="F",INDEX(FTE_Allocation!$C$2:$C$201,$AB3)&amp;"","")))</f>
        <v/>
      </c>
      <c r="D3" s="7">
        <f>IF($Z3="C",INDEX(Contracts!$B$2:$B$151,$AB3)&amp;"",IF($Z3="A",INDEX(Fixed_Assets!$B$2:$B$201,$AB3)&amp;"",IF($Z3="F",INDEX(FTE_Allocation!$B$2:$B$201,$AB3)&amp;"","")))</f>
        <v/>
      </c>
      <c r="E3" s="7">
        <f>IF($Z3="C",INDEX(Contracts!$P$2:$P$151,$AB3)&amp;"",IF($Z3="A",INDEX(Fixed_Assets!$K$2:$K$201,$AB3)&amp;"",IF($Z3="F",IF(INDEX(FTE_Allocation!$D$2:$D$201,$AB3)="PROJECT",IFERROR(INDEX(Projects!$D:$D,MATCH(INDEX(FTE_Allocation!$E$2:$E$201,$AB3),Projects!$A:$A,0))&amp;"","#PROJECT?"),INDEX(FTE_Allocation!$E$2:$E$201,$AB3)&amp;""),"")))</f>
        <v/>
      </c>
      <c r="F3" s="7">
        <f>IF($Z3="C",INDEX(Contracts!$Q$2:$Q$151,$AB3)&amp;"",IF($Z3="A",INDEX(Fixed_Assets!$L$2:$L$201,$AB3)&amp;"",IF($Z3="F",INDEX(Workforce!$K$2:$K$151,MATCH(INDEX(FTE_Allocation!$A$2:$A$201,$AB3),Workforce!$A$2:$A$151,0))&amp;"","")))</f>
        <v/>
      </c>
      <c r="G3" s="7">
        <f>IF($Z3="C",INDEX(Contracts!$F$2:$F$151,$AB3)&amp;" / "&amp;INDEX(Contracts!$G$2:$G$151,$AB3),IF($Z3="A",INDEX(Fixed_Assets!$E$2:$E$201,$AB3)&amp;"",IF($Z3="F","Personnel "&amp;INDEX(FTE_Allocation!$A$2:$A$201,$AB3)&amp;IF(INDEX(FTE_Allocation!$D$2:$D$201,$AB3)="PROJECT"," ("&amp;INDEX(FTE_Allocation!$E$2:$E$201,$AB3)&amp;")",""),"")))</f>
        <v/>
      </c>
      <c r="H3" s="7">
        <f>IF($Z3="C","CONTRACT",IF($Z3="A","ASSET",IF($Z3="F","WORKFORCE","")))</f>
        <v/>
      </c>
      <c r="I3" s="7">
        <f>IF($Z3="C",INDEX(Contracts!$L$2:$L$151,$AB3)&amp;"",IF($Z3="A",INDEX(Fixed_Assets!$I$2:$I$201,$AB3)&amp;"",IF($Z3="F",INDEX(Workforce!$G$2:$G$151,MATCH(INDEX(FTE_Allocation!$A$2:$A$201,$AB3),Workforce!$A$2:$A$151,0))&amp;"","")))</f>
        <v/>
      </c>
      <c r="J3" s="18">
        <f>IF($Z3="","",IF(AND(DATE($AD3,1,1)&gt;=$AE3,DATE($AD3,1,1)&lt;=$AF3),ROUND($AG3,2),0))</f>
        <v/>
      </c>
      <c r="K3" s="18">
        <f>IF($Z3="","",IF(AND(DATE($AD3,2,1)&gt;=$AE3,DATE($AD3,2,1)&lt;=$AF3),ROUND($AG3,2),0))</f>
        <v/>
      </c>
      <c r="L3" s="18">
        <f>IF($Z3="","",IF(AND(DATE($AD3,3,1)&gt;=$AE3,DATE($AD3,3,1)&lt;=$AF3),ROUND($AG3,2),0))</f>
        <v/>
      </c>
      <c r="M3" s="18">
        <f>IF($Z3="","",IF(AND(DATE($AD3,4,1)&gt;=$AE3,DATE($AD3,4,1)&lt;=$AF3),ROUND($AG3,2),0))</f>
        <v/>
      </c>
      <c r="N3" s="18">
        <f>IF($Z3="","",IF(AND(DATE($AD3,5,1)&gt;=$AE3,DATE($AD3,5,1)&lt;=$AF3),ROUND($AG3,2),0))</f>
        <v/>
      </c>
      <c r="O3" s="18">
        <f>IF($Z3="","",IF(AND(DATE($AD3,6,1)&gt;=$AE3,DATE($AD3,6,1)&lt;=$AF3),ROUND($AG3,2),0))</f>
        <v/>
      </c>
      <c r="P3" s="18">
        <f>IF($Z3="","",IF(AND(DATE($AD3,7,1)&gt;=$AE3,DATE($AD3,7,1)&lt;=$AF3),ROUND($AG3,2),0))</f>
        <v/>
      </c>
      <c r="Q3" s="18">
        <f>IF($Z3="","",IF(AND(DATE($AD3,8,1)&gt;=$AE3,DATE($AD3,8,1)&lt;=$AF3),ROUND($AG3,2),0))</f>
        <v/>
      </c>
      <c r="R3" s="18">
        <f>IF($Z3="","",IF(AND(DATE($AD3,9,1)&gt;=$AE3,DATE($AD3,9,1)&lt;=$AF3),ROUND($AG3,2),0))</f>
        <v/>
      </c>
      <c r="S3" s="18">
        <f>IF($Z3="","",IF(AND(DATE($AD3,10,1)&gt;=$AE3,DATE($AD3,10,1)&lt;=$AF3),ROUND($AG3,2),0))</f>
        <v/>
      </c>
      <c r="T3" s="18">
        <f>IF($Z3="","",IF(AND(DATE($AD3,11,1)&gt;=$AE3,DATE($AD3,11,1)&lt;=$AF3),ROUND($AG3,2),0))</f>
        <v/>
      </c>
      <c r="U3" s="18">
        <f>IF($Z3="","",IF(AND(DATE($AD3,12,1)&gt;=$AE3,DATE($AD3,12,1)&lt;=$AF3),ROUND($AG3,2),0))</f>
        <v/>
      </c>
      <c r="V3" s="7">
        <f>IF($Z3="C","Generated from "&amp;INDEX(Contracts!$A$2:$A$151,$AB3),IF($Z3="A","Generated from "&amp;INDEX(Fixed_Assets!$A$2:$A$201,$AB3),IF($Z3="F","Generated from "&amp;INDEX(FTE_Allocation!$A$2:$A$201,$AB3),"")))</f>
        <v/>
      </c>
      <c r="X3" s="19">
        <f>IF($Z3="","",SUM(J3:U3))</f>
        <v/>
      </c>
      <c r="Y3" s="20">
        <f>ROW()-1</f>
        <v/>
      </c>
      <c r="Z3" s="20">
        <f>IF($Y3&lt;=Settings!$B$4*3,"C",IF($Y3&lt;=(Settings!$B$4+Settings!$B$5)*3,"A",IF($Y3&lt;=(Settings!$B$4+Settings!$B$5+Settings!$B$6)*3,"F","")))</f>
        <v/>
      </c>
      <c r="AA3" s="20">
        <f>IF($Z3="C",$Y3,IF($Z3="A",$Y3-Settings!$B$4*3,IF($Z3="F",$Y3-(Settings!$B$4+Settings!$B$5)*3,"")))</f>
        <v/>
      </c>
      <c r="AB3" s="20">
        <f>IF($Z3="","",INT(($AA3-1)/3)+1)</f>
        <v/>
      </c>
      <c r="AC3" s="20">
        <f>IF($Z3="","",MOD($AA3-1,3)+1)</f>
        <v/>
      </c>
      <c r="AD3" s="20">
        <f>IF($Z3="","",Settings!$B$2+$AC3-1)</f>
        <v/>
      </c>
      <c r="AE3" s="21">
        <f>IF($Z3="C",DATE(YEAR(INDEX(Contracts!$J$2:$J$151,$AB3)),MONTH(INDEX(Contracts!$J$2:$J$151,$AB3)),1),IF($Z3="A",DATE(YEAR(INDEX(Fixed_Assets!$G$2:$G$201,$AB3)),MONTH(INDEX(Fixed_Assets!$G$2:$G$201,$AB3)),1),IF($Z3="F",DATE(YEAR(MAX(N(INDEX(Workforce!$I$2:$I$151,MATCH(INDEX(FTE_Allocation!$A$2:$A$201,$AB3),Workforce!$A$2:$A$151,0))),N(INDEX(FTE_Allocation!$I$2:$I$201,$AB3)))),MONTH(MAX(N(INDEX(Workforce!$I$2:$I$151,MATCH(INDEX(FTE_Allocation!$A$2:$A$201,$AB3),Workforce!$A$2:$A$151,0))),N(INDEX(FTE_Allocation!$I$2:$I$201,$AB3)))),1),"")))</f>
        <v/>
      </c>
      <c r="AF3" s="21">
        <f>IF($Z3="C",IF(INDEX(Contracts!$I$2:$I$151,$AB3)="PREPAID",EDATE(DATE(YEAR(INDEX(Contracts!$J$2:$J$151,$AB3)),MONTH(INDEX(Contracts!$J$2:$J$151,$AB3)),1),IF(INDEX(Contracts!$N$2:$N$151,$AB3)="",12,INDEX(Contracts!$N$2:$N$151,$AB3))-1),IF(INDEX(Contracts!$I$2:$I$151,$AB3)="MONTHLY",IF(INDEX(Contracts!$K$2:$K$151,$AB3)="",2958101,INDEX(Contracts!$K$2:$K$151,$AB3)),0)),IF($Z3="A",EDATE(DATE(YEAR(INDEX(Fixed_Assets!$G$2:$G$201,$AB3)),MONTH(INDEX(Fixed_Assets!$G$2:$G$201,$AB3)),1),INDEX(Fixed_Assets!$J$2:$J$201,$AB3)-1),IF($Z3="F",MIN(IF(INDEX(Workforce!$J$2:$J$151,MATCH(INDEX(FTE_Allocation!$A$2:$A$201,$AB3),Workforce!$A$2:$A$151,0))="",2958101,INDEX(Workforce!$J$2:$J$151,MATCH(INDEX(FTE_Allocation!$A$2:$A$201,$AB3),Workforce!$A$2:$A$151,0))),IF(INDEX(FTE_Allocation!$J$2:$J$201,$AB3)="",2958101,INDEX(FTE_Allocation!$J$2:$J$201,$AB3))),"")))</f>
        <v/>
      </c>
      <c r="AG3" s="19">
        <f>IF($Z3="C",IF(INDEX(Contracts!$I$2:$I$151,$AB3)="PREPAID",INDEX(Contracts!$M$2:$M$151,$AB3)/IF(INDEX(Contracts!$N$2:$N$151,$AB3)="",12,INDEX(Contracts!$N$2:$N$151,$AB3)),IF(INDEX(Contracts!$I$2:$I$151,$AB3)="MONTHLY",INDEX(Contracts!$M$2:$M$151,$AB3),0))*(1-N(INDEX(Contracts!$O$2:$O$151,$AB3))),IF($Z3="A",INDEX(Fixed_Assets!$H$2:$H$201,$AB3)/INDEX(Fixed_Assets!$J$2:$J$201,$AB3),IF($Z3="F",INDEX(Workforce!$F$2:$F$151,MATCH(INDEX(FTE_Allocation!$A$2:$A$201,$AB3),Workforce!$A$2:$A$151,0))*N(INDEX(FTE_Allocation!$F$2:$H$201,$AB3,$AC3)),"")))</f>
        <v/>
      </c>
    </row>
    <row r="4">
      <c r="A4" s="7">
        <f>IF($Z4="","",$AD4)</f>
        <v/>
      </c>
      <c r="B4" s="7">
        <f>IF($Z4="C",INDEX(Contracts!$D$2:$D$151,$AB4)&amp;"",IF($Z4="A",INDEX(Fixed_Assets!$C$2:$C$201,$AB4)&amp;"",IF($Z4="F",INDEX(Workforce!$B$2:$B$151,MATCH(INDEX(FTE_Allocation!$A$2:$A$201,$AB4),Workforce!$A$2:$A$151,0))&amp;"","")))</f>
        <v/>
      </c>
      <c r="C4" s="7">
        <f>IF($Z4="C",INDEX(Contracts!$E$2:$E$151,$AB4)&amp;"",IF($Z4="A",INDEX(Fixed_Assets!$D$2:$D$201,$AB4)&amp;"",IF($Z4="F",INDEX(FTE_Allocation!$C$2:$C$201,$AB4)&amp;"","")))</f>
        <v/>
      </c>
      <c r="D4" s="7">
        <f>IF($Z4="C",INDEX(Contracts!$B$2:$B$151,$AB4)&amp;"",IF($Z4="A",INDEX(Fixed_Assets!$B$2:$B$201,$AB4)&amp;"",IF($Z4="F",INDEX(FTE_Allocation!$B$2:$B$201,$AB4)&amp;"","")))</f>
        <v/>
      </c>
      <c r="E4" s="7">
        <f>IF($Z4="C",INDEX(Contracts!$P$2:$P$151,$AB4)&amp;"",IF($Z4="A",INDEX(Fixed_Assets!$K$2:$K$201,$AB4)&amp;"",IF($Z4="F",IF(INDEX(FTE_Allocation!$D$2:$D$201,$AB4)="PROJECT",IFERROR(INDEX(Projects!$D:$D,MATCH(INDEX(FTE_Allocation!$E$2:$E$201,$AB4),Projects!$A:$A,0))&amp;"","#PROJECT?"),INDEX(FTE_Allocation!$E$2:$E$201,$AB4)&amp;""),"")))</f>
        <v/>
      </c>
      <c r="F4" s="7">
        <f>IF($Z4="C",INDEX(Contracts!$Q$2:$Q$151,$AB4)&amp;"",IF($Z4="A",INDEX(Fixed_Assets!$L$2:$L$201,$AB4)&amp;"",IF($Z4="F",INDEX(Workforce!$K$2:$K$151,MATCH(INDEX(FTE_Allocation!$A$2:$A$201,$AB4),Workforce!$A$2:$A$151,0))&amp;"","")))</f>
        <v/>
      </c>
      <c r="G4" s="7">
        <f>IF($Z4="C",INDEX(Contracts!$F$2:$F$151,$AB4)&amp;" / "&amp;INDEX(Contracts!$G$2:$G$151,$AB4),IF($Z4="A",INDEX(Fixed_Assets!$E$2:$E$201,$AB4)&amp;"",IF($Z4="F","Personnel "&amp;INDEX(FTE_Allocation!$A$2:$A$201,$AB4)&amp;IF(INDEX(FTE_Allocation!$D$2:$D$201,$AB4)="PROJECT"," ("&amp;INDEX(FTE_Allocation!$E$2:$E$201,$AB4)&amp;")",""),"")))</f>
        <v/>
      </c>
      <c r="H4" s="7">
        <f>IF($Z4="C","CONTRACT",IF($Z4="A","ASSET",IF($Z4="F","WORKFORCE","")))</f>
        <v/>
      </c>
      <c r="I4" s="7">
        <f>IF($Z4="C",INDEX(Contracts!$L$2:$L$151,$AB4)&amp;"",IF($Z4="A",INDEX(Fixed_Assets!$I$2:$I$201,$AB4)&amp;"",IF($Z4="F",INDEX(Workforce!$G$2:$G$151,MATCH(INDEX(FTE_Allocation!$A$2:$A$201,$AB4),Workforce!$A$2:$A$151,0))&amp;"","")))</f>
        <v/>
      </c>
      <c r="J4" s="18">
        <f>IF($Z4="","",IF(AND(DATE($AD4,1,1)&gt;=$AE4,DATE($AD4,1,1)&lt;=$AF4),ROUND($AG4,2),0))</f>
        <v/>
      </c>
      <c r="K4" s="18">
        <f>IF($Z4="","",IF(AND(DATE($AD4,2,1)&gt;=$AE4,DATE($AD4,2,1)&lt;=$AF4),ROUND($AG4,2),0))</f>
        <v/>
      </c>
      <c r="L4" s="18">
        <f>IF($Z4="","",IF(AND(DATE($AD4,3,1)&gt;=$AE4,DATE($AD4,3,1)&lt;=$AF4),ROUND($AG4,2),0))</f>
        <v/>
      </c>
      <c r="M4" s="18">
        <f>IF($Z4="","",IF(AND(DATE($AD4,4,1)&gt;=$AE4,DATE($AD4,4,1)&lt;=$AF4),ROUND($AG4,2),0))</f>
        <v/>
      </c>
      <c r="N4" s="18">
        <f>IF($Z4="","",IF(AND(DATE($AD4,5,1)&gt;=$AE4,DATE($AD4,5,1)&lt;=$AF4),ROUND($AG4,2),0))</f>
        <v/>
      </c>
      <c r="O4" s="18">
        <f>IF($Z4="","",IF(AND(DATE($AD4,6,1)&gt;=$AE4,DATE($AD4,6,1)&lt;=$AF4),ROUND($AG4,2),0))</f>
        <v/>
      </c>
      <c r="P4" s="18">
        <f>IF($Z4="","",IF(AND(DATE($AD4,7,1)&gt;=$AE4,DATE($AD4,7,1)&lt;=$AF4),ROUND($AG4,2),0))</f>
        <v/>
      </c>
      <c r="Q4" s="18">
        <f>IF($Z4="","",IF(AND(DATE($AD4,8,1)&gt;=$AE4,DATE($AD4,8,1)&lt;=$AF4),ROUND($AG4,2),0))</f>
        <v/>
      </c>
      <c r="R4" s="18">
        <f>IF($Z4="","",IF(AND(DATE($AD4,9,1)&gt;=$AE4,DATE($AD4,9,1)&lt;=$AF4),ROUND($AG4,2),0))</f>
        <v/>
      </c>
      <c r="S4" s="18">
        <f>IF($Z4="","",IF(AND(DATE($AD4,10,1)&gt;=$AE4,DATE($AD4,10,1)&lt;=$AF4),ROUND($AG4,2),0))</f>
        <v/>
      </c>
      <c r="T4" s="18">
        <f>IF($Z4="","",IF(AND(DATE($AD4,11,1)&gt;=$AE4,DATE($AD4,11,1)&lt;=$AF4),ROUND($AG4,2),0))</f>
        <v/>
      </c>
      <c r="U4" s="18">
        <f>IF($Z4="","",IF(AND(DATE($AD4,12,1)&gt;=$AE4,DATE($AD4,12,1)&lt;=$AF4),ROUND($AG4,2),0))</f>
        <v/>
      </c>
      <c r="V4" s="7">
        <f>IF($Z4="C","Generated from "&amp;INDEX(Contracts!$A$2:$A$151,$AB4),IF($Z4="A","Generated from "&amp;INDEX(Fixed_Assets!$A$2:$A$201,$AB4),IF($Z4="F","Generated from "&amp;INDEX(FTE_Allocation!$A$2:$A$201,$AB4),"")))</f>
        <v/>
      </c>
      <c r="X4" s="19">
        <f>IF($Z4="","",SUM(J4:U4))</f>
        <v/>
      </c>
      <c r="Y4" s="20">
        <f>ROW()-1</f>
        <v/>
      </c>
      <c r="Z4" s="20">
        <f>IF($Y4&lt;=Settings!$B$4*3,"C",IF($Y4&lt;=(Settings!$B$4+Settings!$B$5)*3,"A",IF($Y4&lt;=(Settings!$B$4+Settings!$B$5+Settings!$B$6)*3,"F","")))</f>
        <v/>
      </c>
      <c r="AA4" s="20">
        <f>IF($Z4="C",$Y4,IF($Z4="A",$Y4-Settings!$B$4*3,IF($Z4="F",$Y4-(Settings!$B$4+Settings!$B$5)*3,"")))</f>
        <v/>
      </c>
      <c r="AB4" s="20">
        <f>IF($Z4="","",INT(($AA4-1)/3)+1)</f>
        <v/>
      </c>
      <c r="AC4" s="20">
        <f>IF($Z4="","",MOD($AA4-1,3)+1)</f>
        <v/>
      </c>
      <c r="AD4" s="20">
        <f>IF($Z4="","",Settings!$B$2+$AC4-1)</f>
        <v/>
      </c>
      <c r="AE4" s="21">
        <f>IF($Z4="C",DATE(YEAR(INDEX(Contracts!$J$2:$J$151,$AB4)),MONTH(INDEX(Contracts!$J$2:$J$151,$AB4)),1),IF($Z4="A",DATE(YEAR(INDEX(Fixed_Assets!$G$2:$G$201,$AB4)),MONTH(INDEX(Fixed_Assets!$G$2:$G$201,$AB4)),1),IF($Z4="F",DATE(YEAR(MAX(N(INDEX(Workforce!$I$2:$I$151,MATCH(INDEX(FTE_Allocation!$A$2:$A$201,$AB4),Workforce!$A$2:$A$151,0))),N(INDEX(FTE_Allocation!$I$2:$I$201,$AB4)))),MONTH(MAX(N(INDEX(Workforce!$I$2:$I$151,MATCH(INDEX(FTE_Allocation!$A$2:$A$201,$AB4),Workforce!$A$2:$A$151,0))),N(INDEX(FTE_Allocation!$I$2:$I$201,$AB4)))),1),"")))</f>
        <v/>
      </c>
      <c r="AF4" s="21">
        <f>IF($Z4="C",IF(INDEX(Contracts!$I$2:$I$151,$AB4)="PREPAID",EDATE(DATE(YEAR(INDEX(Contracts!$J$2:$J$151,$AB4)),MONTH(INDEX(Contracts!$J$2:$J$151,$AB4)),1),IF(INDEX(Contracts!$N$2:$N$151,$AB4)="",12,INDEX(Contracts!$N$2:$N$151,$AB4))-1),IF(INDEX(Contracts!$I$2:$I$151,$AB4)="MONTHLY",IF(INDEX(Contracts!$K$2:$K$151,$AB4)="",2958101,INDEX(Contracts!$K$2:$K$151,$AB4)),0)),IF($Z4="A",EDATE(DATE(YEAR(INDEX(Fixed_Assets!$G$2:$G$201,$AB4)),MONTH(INDEX(Fixed_Assets!$G$2:$G$201,$AB4)),1),INDEX(Fixed_Assets!$J$2:$J$201,$AB4)-1),IF($Z4="F",MIN(IF(INDEX(Workforce!$J$2:$J$151,MATCH(INDEX(FTE_Allocation!$A$2:$A$201,$AB4),Workforce!$A$2:$A$151,0))="",2958101,INDEX(Workforce!$J$2:$J$151,MATCH(INDEX(FTE_Allocation!$A$2:$A$201,$AB4),Workforce!$A$2:$A$151,0))),IF(INDEX(FTE_Allocation!$J$2:$J$201,$AB4)="",2958101,INDEX(FTE_Allocation!$J$2:$J$201,$AB4))),"")))</f>
        <v/>
      </c>
      <c r="AG4" s="19">
        <f>IF($Z4="C",IF(INDEX(Contracts!$I$2:$I$151,$AB4)="PREPAID",INDEX(Contracts!$M$2:$M$151,$AB4)/IF(INDEX(Contracts!$N$2:$N$151,$AB4)="",12,INDEX(Contracts!$N$2:$N$151,$AB4)),IF(INDEX(Contracts!$I$2:$I$151,$AB4)="MONTHLY",INDEX(Contracts!$M$2:$M$151,$AB4),0))*(1-N(INDEX(Contracts!$O$2:$O$151,$AB4))),IF($Z4="A",INDEX(Fixed_Assets!$H$2:$H$201,$AB4)/INDEX(Fixed_Assets!$J$2:$J$201,$AB4),IF($Z4="F",INDEX(Workforce!$F$2:$F$151,MATCH(INDEX(FTE_Allocation!$A$2:$A$201,$AB4),Workforce!$A$2:$A$151,0))*N(INDEX(FTE_Allocation!$F$2:$H$201,$AB4,$AC4)),"")))</f>
        <v/>
      </c>
    </row>
    <row r="5">
      <c r="A5" s="7">
        <f>IF($Z5="","",$AD5)</f>
        <v/>
      </c>
      <c r="B5" s="7">
        <f>IF($Z5="C",INDEX(Contracts!$D$2:$D$151,$AB5)&amp;"",IF($Z5="A",INDEX(Fixed_Assets!$C$2:$C$201,$AB5)&amp;"",IF($Z5="F",INDEX(Workforce!$B$2:$B$151,MATCH(INDEX(FTE_Allocation!$A$2:$A$201,$AB5),Workforce!$A$2:$A$151,0))&amp;"","")))</f>
        <v/>
      </c>
      <c r="C5" s="7">
        <f>IF($Z5="C",INDEX(Contracts!$E$2:$E$151,$AB5)&amp;"",IF($Z5="A",INDEX(Fixed_Assets!$D$2:$D$201,$AB5)&amp;"",IF($Z5="F",INDEX(FTE_Allocation!$C$2:$C$201,$AB5)&amp;"","")))</f>
        <v/>
      </c>
      <c r="D5" s="7">
        <f>IF($Z5="C",INDEX(Contracts!$B$2:$B$151,$AB5)&amp;"",IF($Z5="A",INDEX(Fixed_Assets!$B$2:$B$201,$AB5)&amp;"",IF($Z5="F",INDEX(FTE_Allocation!$B$2:$B$201,$AB5)&amp;"","")))</f>
        <v/>
      </c>
      <c r="E5" s="7">
        <f>IF($Z5="C",INDEX(Contracts!$P$2:$P$151,$AB5)&amp;"",IF($Z5="A",INDEX(Fixed_Assets!$K$2:$K$201,$AB5)&amp;"",IF($Z5="F",IF(INDEX(FTE_Allocation!$D$2:$D$201,$AB5)="PROJECT",IFERROR(INDEX(Projects!$D:$D,MATCH(INDEX(FTE_Allocation!$E$2:$E$201,$AB5),Projects!$A:$A,0))&amp;"","#PROJECT?"),INDEX(FTE_Allocation!$E$2:$E$201,$AB5)&amp;""),"")))</f>
        <v/>
      </c>
      <c r="F5" s="7">
        <f>IF($Z5="C",INDEX(Contracts!$Q$2:$Q$151,$AB5)&amp;"",IF($Z5="A",INDEX(Fixed_Assets!$L$2:$L$201,$AB5)&amp;"",IF($Z5="F",INDEX(Workforce!$K$2:$K$151,MATCH(INDEX(FTE_Allocation!$A$2:$A$201,$AB5),Workforce!$A$2:$A$151,0))&amp;"","")))</f>
        <v/>
      </c>
      <c r="G5" s="7">
        <f>IF($Z5="C",INDEX(Contracts!$F$2:$F$151,$AB5)&amp;" / "&amp;INDEX(Contracts!$G$2:$G$151,$AB5),IF($Z5="A",INDEX(Fixed_Assets!$E$2:$E$201,$AB5)&amp;"",IF($Z5="F","Personnel "&amp;INDEX(FTE_Allocation!$A$2:$A$201,$AB5)&amp;IF(INDEX(FTE_Allocation!$D$2:$D$201,$AB5)="PROJECT"," ("&amp;INDEX(FTE_Allocation!$E$2:$E$201,$AB5)&amp;")",""),"")))</f>
        <v/>
      </c>
      <c r="H5" s="7">
        <f>IF($Z5="C","CONTRACT",IF($Z5="A","ASSET",IF($Z5="F","WORKFORCE","")))</f>
        <v/>
      </c>
      <c r="I5" s="7">
        <f>IF($Z5="C",INDEX(Contracts!$L$2:$L$151,$AB5)&amp;"",IF($Z5="A",INDEX(Fixed_Assets!$I$2:$I$201,$AB5)&amp;"",IF($Z5="F",INDEX(Workforce!$G$2:$G$151,MATCH(INDEX(FTE_Allocation!$A$2:$A$201,$AB5),Workforce!$A$2:$A$151,0))&amp;"","")))</f>
        <v/>
      </c>
      <c r="J5" s="18">
        <f>IF($Z5="","",IF(AND(DATE($AD5,1,1)&gt;=$AE5,DATE($AD5,1,1)&lt;=$AF5),ROUND($AG5,2),0))</f>
        <v/>
      </c>
      <c r="K5" s="18">
        <f>IF($Z5="","",IF(AND(DATE($AD5,2,1)&gt;=$AE5,DATE($AD5,2,1)&lt;=$AF5),ROUND($AG5,2),0))</f>
        <v/>
      </c>
      <c r="L5" s="18">
        <f>IF($Z5="","",IF(AND(DATE($AD5,3,1)&gt;=$AE5,DATE($AD5,3,1)&lt;=$AF5),ROUND($AG5,2),0))</f>
        <v/>
      </c>
      <c r="M5" s="18">
        <f>IF($Z5="","",IF(AND(DATE($AD5,4,1)&gt;=$AE5,DATE($AD5,4,1)&lt;=$AF5),ROUND($AG5,2),0))</f>
        <v/>
      </c>
      <c r="N5" s="18">
        <f>IF($Z5="","",IF(AND(DATE($AD5,5,1)&gt;=$AE5,DATE($AD5,5,1)&lt;=$AF5),ROUND($AG5,2),0))</f>
        <v/>
      </c>
      <c r="O5" s="18">
        <f>IF($Z5="","",IF(AND(DATE($AD5,6,1)&gt;=$AE5,DATE($AD5,6,1)&lt;=$AF5),ROUND($AG5,2),0))</f>
        <v/>
      </c>
      <c r="P5" s="18">
        <f>IF($Z5="","",IF(AND(DATE($AD5,7,1)&gt;=$AE5,DATE($AD5,7,1)&lt;=$AF5),ROUND($AG5,2),0))</f>
        <v/>
      </c>
      <c r="Q5" s="18">
        <f>IF($Z5="","",IF(AND(DATE($AD5,8,1)&gt;=$AE5,DATE($AD5,8,1)&lt;=$AF5),ROUND($AG5,2),0))</f>
        <v/>
      </c>
      <c r="R5" s="18">
        <f>IF($Z5="","",IF(AND(DATE($AD5,9,1)&gt;=$AE5,DATE($AD5,9,1)&lt;=$AF5),ROUND($AG5,2),0))</f>
        <v/>
      </c>
      <c r="S5" s="18">
        <f>IF($Z5="","",IF(AND(DATE($AD5,10,1)&gt;=$AE5,DATE($AD5,10,1)&lt;=$AF5),ROUND($AG5,2),0))</f>
        <v/>
      </c>
      <c r="T5" s="18">
        <f>IF($Z5="","",IF(AND(DATE($AD5,11,1)&gt;=$AE5,DATE($AD5,11,1)&lt;=$AF5),ROUND($AG5,2),0))</f>
        <v/>
      </c>
      <c r="U5" s="18">
        <f>IF($Z5="","",IF(AND(DATE($AD5,12,1)&gt;=$AE5,DATE($AD5,12,1)&lt;=$AF5),ROUND($AG5,2),0))</f>
        <v/>
      </c>
      <c r="V5" s="7">
        <f>IF($Z5="C","Generated from "&amp;INDEX(Contracts!$A$2:$A$151,$AB5),IF($Z5="A","Generated from "&amp;INDEX(Fixed_Assets!$A$2:$A$201,$AB5),IF($Z5="F","Generated from "&amp;INDEX(FTE_Allocation!$A$2:$A$201,$AB5),"")))</f>
        <v/>
      </c>
      <c r="X5" s="19">
        <f>IF($Z5="","",SUM(J5:U5))</f>
        <v/>
      </c>
      <c r="Y5" s="20">
        <f>ROW()-1</f>
        <v/>
      </c>
      <c r="Z5" s="20">
        <f>IF($Y5&lt;=Settings!$B$4*3,"C",IF($Y5&lt;=(Settings!$B$4+Settings!$B$5)*3,"A",IF($Y5&lt;=(Settings!$B$4+Settings!$B$5+Settings!$B$6)*3,"F","")))</f>
        <v/>
      </c>
      <c r="AA5" s="20">
        <f>IF($Z5="C",$Y5,IF($Z5="A",$Y5-Settings!$B$4*3,IF($Z5="F",$Y5-(Settings!$B$4+Settings!$B$5)*3,"")))</f>
        <v/>
      </c>
      <c r="AB5" s="20">
        <f>IF($Z5="","",INT(($AA5-1)/3)+1)</f>
        <v/>
      </c>
      <c r="AC5" s="20">
        <f>IF($Z5="","",MOD($AA5-1,3)+1)</f>
        <v/>
      </c>
      <c r="AD5" s="20">
        <f>IF($Z5="","",Settings!$B$2+$AC5-1)</f>
        <v/>
      </c>
      <c r="AE5" s="21">
        <f>IF($Z5="C",DATE(YEAR(INDEX(Contracts!$J$2:$J$151,$AB5)),MONTH(INDEX(Contracts!$J$2:$J$151,$AB5)),1),IF($Z5="A",DATE(YEAR(INDEX(Fixed_Assets!$G$2:$G$201,$AB5)),MONTH(INDEX(Fixed_Assets!$G$2:$G$201,$AB5)),1),IF($Z5="F",DATE(YEAR(MAX(N(INDEX(Workforce!$I$2:$I$151,MATCH(INDEX(FTE_Allocation!$A$2:$A$201,$AB5),Workforce!$A$2:$A$151,0))),N(INDEX(FTE_Allocation!$I$2:$I$201,$AB5)))),MONTH(MAX(N(INDEX(Workforce!$I$2:$I$151,MATCH(INDEX(FTE_Allocation!$A$2:$A$201,$AB5),Workforce!$A$2:$A$151,0))),N(INDEX(FTE_Allocation!$I$2:$I$201,$AB5)))),1),"")))</f>
        <v/>
      </c>
      <c r="AF5" s="21">
        <f>IF($Z5="C",IF(INDEX(Contracts!$I$2:$I$151,$AB5)="PREPAID",EDATE(DATE(YEAR(INDEX(Contracts!$J$2:$J$151,$AB5)),MONTH(INDEX(Contracts!$J$2:$J$151,$AB5)),1),IF(INDEX(Contracts!$N$2:$N$151,$AB5)="",12,INDEX(Contracts!$N$2:$N$151,$AB5))-1),IF(INDEX(Contracts!$I$2:$I$151,$AB5)="MONTHLY",IF(INDEX(Contracts!$K$2:$K$151,$AB5)="",2958101,INDEX(Contracts!$K$2:$K$151,$AB5)),0)),IF($Z5="A",EDATE(DATE(YEAR(INDEX(Fixed_Assets!$G$2:$G$201,$AB5)),MONTH(INDEX(Fixed_Assets!$G$2:$G$201,$AB5)),1),INDEX(Fixed_Assets!$J$2:$J$201,$AB5)-1),IF($Z5="F",MIN(IF(INDEX(Workforce!$J$2:$J$151,MATCH(INDEX(FTE_Allocation!$A$2:$A$201,$AB5),Workforce!$A$2:$A$151,0))="",2958101,INDEX(Workforce!$J$2:$J$151,MATCH(INDEX(FTE_Allocation!$A$2:$A$201,$AB5),Workforce!$A$2:$A$151,0))),IF(INDEX(FTE_Allocation!$J$2:$J$201,$AB5)="",2958101,INDEX(FTE_Allocation!$J$2:$J$201,$AB5))),"")))</f>
        <v/>
      </c>
      <c r="AG5" s="19">
        <f>IF($Z5="C",IF(INDEX(Contracts!$I$2:$I$151,$AB5)="PREPAID",INDEX(Contracts!$M$2:$M$151,$AB5)/IF(INDEX(Contracts!$N$2:$N$151,$AB5)="",12,INDEX(Contracts!$N$2:$N$151,$AB5)),IF(INDEX(Contracts!$I$2:$I$151,$AB5)="MONTHLY",INDEX(Contracts!$M$2:$M$151,$AB5),0))*(1-N(INDEX(Contracts!$O$2:$O$151,$AB5))),IF($Z5="A",INDEX(Fixed_Assets!$H$2:$H$201,$AB5)/INDEX(Fixed_Assets!$J$2:$J$201,$AB5),IF($Z5="F",INDEX(Workforce!$F$2:$F$151,MATCH(INDEX(FTE_Allocation!$A$2:$A$201,$AB5),Workforce!$A$2:$A$151,0))*N(INDEX(FTE_Allocation!$F$2:$H$201,$AB5,$AC5)),"")))</f>
        <v/>
      </c>
    </row>
    <row r="6">
      <c r="A6" s="7">
        <f>IF($Z6="","",$AD6)</f>
        <v/>
      </c>
      <c r="B6" s="7">
        <f>IF($Z6="C",INDEX(Contracts!$D$2:$D$151,$AB6)&amp;"",IF($Z6="A",INDEX(Fixed_Assets!$C$2:$C$201,$AB6)&amp;"",IF($Z6="F",INDEX(Workforce!$B$2:$B$151,MATCH(INDEX(FTE_Allocation!$A$2:$A$201,$AB6),Workforce!$A$2:$A$151,0))&amp;"","")))</f>
        <v/>
      </c>
      <c r="C6" s="7">
        <f>IF($Z6="C",INDEX(Contracts!$E$2:$E$151,$AB6)&amp;"",IF($Z6="A",INDEX(Fixed_Assets!$D$2:$D$201,$AB6)&amp;"",IF($Z6="F",INDEX(FTE_Allocation!$C$2:$C$201,$AB6)&amp;"","")))</f>
        <v/>
      </c>
      <c r="D6" s="7">
        <f>IF($Z6="C",INDEX(Contracts!$B$2:$B$151,$AB6)&amp;"",IF($Z6="A",INDEX(Fixed_Assets!$B$2:$B$201,$AB6)&amp;"",IF($Z6="F",INDEX(FTE_Allocation!$B$2:$B$201,$AB6)&amp;"","")))</f>
        <v/>
      </c>
      <c r="E6" s="7">
        <f>IF($Z6="C",INDEX(Contracts!$P$2:$P$151,$AB6)&amp;"",IF($Z6="A",INDEX(Fixed_Assets!$K$2:$K$201,$AB6)&amp;"",IF($Z6="F",IF(INDEX(FTE_Allocation!$D$2:$D$201,$AB6)="PROJECT",IFERROR(INDEX(Projects!$D:$D,MATCH(INDEX(FTE_Allocation!$E$2:$E$201,$AB6),Projects!$A:$A,0))&amp;"","#PROJECT?"),INDEX(FTE_Allocation!$E$2:$E$201,$AB6)&amp;""),"")))</f>
        <v/>
      </c>
      <c r="F6" s="7">
        <f>IF($Z6="C",INDEX(Contracts!$Q$2:$Q$151,$AB6)&amp;"",IF($Z6="A",INDEX(Fixed_Assets!$L$2:$L$201,$AB6)&amp;"",IF($Z6="F",INDEX(Workforce!$K$2:$K$151,MATCH(INDEX(FTE_Allocation!$A$2:$A$201,$AB6),Workforce!$A$2:$A$151,0))&amp;"","")))</f>
        <v/>
      </c>
      <c r="G6" s="7">
        <f>IF($Z6="C",INDEX(Contracts!$F$2:$F$151,$AB6)&amp;" / "&amp;INDEX(Contracts!$G$2:$G$151,$AB6),IF($Z6="A",INDEX(Fixed_Assets!$E$2:$E$201,$AB6)&amp;"",IF($Z6="F","Personnel "&amp;INDEX(FTE_Allocation!$A$2:$A$201,$AB6)&amp;IF(INDEX(FTE_Allocation!$D$2:$D$201,$AB6)="PROJECT"," ("&amp;INDEX(FTE_Allocation!$E$2:$E$201,$AB6)&amp;")",""),"")))</f>
        <v/>
      </c>
      <c r="H6" s="7">
        <f>IF($Z6="C","CONTRACT",IF($Z6="A","ASSET",IF($Z6="F","WORKFORCE","")))</f>
        <v/>
      </c>
      <c r="I6" s="7">
        <f>IF($Z6="C",INDEX(Contracts!$L$2:$L$151,$AB6)&amp;"",IF($Z6="A",INDEX(Fixed_Assets!$I$2:$I$201,$AB6)&amp;"",IF($Z6="F",INDEX(Workforce!$G$2:$G$151,MATCH(INDEX(FTE_Allocation!$A$2:$A$201,$AB6),Workforce!$A$2:$A$151,0))&amp;"","")))</f>
        <v/>
      </c>
      <c r="J6" s="18">
        <f>IF($Z6="","",IF(AND(DATE($AD6,1,1)&gt;=$AE6,DATE($AD6,1,1)&lt;=$AF6),ROUND($AG6,2),0))</f>
        <v/>
      </c>
      <c r="K6" s="18">
        <f>IF($Z6="","",IF(AND(DATE($AD6,2,1)&gt;=$AE6,DATE($AD6,2,1)&lt;=$AF6),ROUND($AG6,2),0))</f>
        <v/>
      </c>
      <c r="L6" s="18">
        <f>IF($Z6="","",IF(AND(DATE($AD6,3,1)&gt;=$AE6,DATE($AD6,3,1)&lt;=$AF6),ROUND($AG6,2),0))</f>
        <v/>
      </c>
      <c r="M6" s="18">
        <f>IF($Z6="","",IF(AND(DATE($AD6,4,1)&gt;=$AE6,DATE($AD6,4,1)&lt;=$AF6),ROUND($AG6,2),0))</f>
        <v/>
      </c>
      <c r="N6" s="18">
        <f>IF($Z6="","",IF(AND(DATE($AD6,5,1)&gt;=$AE6,DATE($AD6,5,1)&lt;=$AF6),ROUND($AG6,2),0))</f>
        <v/>
      </c>
      <c r="O6" s="18">
        <f>IF($Z6="","",IF(AND(DATE($AD6,6,1)&gt;=$AE6,DATE($AD6,6,1)&lt;=$AF6),ROUND($AG6,2),0))</f>
        <v/>
      </c>
      <c r="P6" s="18">
        <f>IF($Z6="","",IF(AND(DATE($AD6,7,1)&gt;=$AE6,DATE($AD6,7,1)&lt;=$AF6),ROUND($AG6,2),0))</f>
        <v/>
      </c>
      <c r="Q6" s="18">
        <f>IF($Z6="","",IF(AND(DATE($AD6,8,1)&gt;=$AE6,DATE($AD6,8,1)&lt;=$AF6),ROUND($AG6,2),0))</f>
        <v/>
      </c>
      <c r="R6" s="18">
        <f>IF($Z6="","",IF(AND(DATE($AD6,9,1)&gt;=$AE6,DATE($AD6,9,1)&lt;=$AF6),ROUND($AG6,2),0))</f>
        <v/>
      </c>
      <c r="S6" s="18">
        <f>IF($Z6="","",IF(AND(DATE($AD6,10,1)&gt;=$AE6,DATE($AD6,10,1)&lt;=$AF6),ROUND($AG6,2),0))</f>
        <v/>
      </c>
      <c r="T6" s="18">
        <f>IF($Z6="","",IF(AND(DATE($AD6,11,1)&gt;=$AE6,DATE($AD6,11,1)&lt;=$AF6),ROUND($AG6,2),0))</f>
        <v/>
      </c>
      <c r="U6" s="18">
        <f>IF($Z6="","",IF(AND(DATE($AD6,12,1)&gt;=$AE6,DATE($AD6,12,1)&lt;=$AF6),ROUND($AG6,2),0))</f>
        <v/>
      </c>
      <c r="V6" s="7">
        <f>IF($Z6="C","Generated from "&amp;INDEX(Contracts!$A$2:$A$151,$AB6),IF($Z6="A","Generated from "&amp;INDEX(Fixed_Assets!$A$2:$A$201,$AB6),IF($Z6="F","Generated from "&amp;INDEX(FTE_Allocation!$A$2:$A$201,$AB6),"")))</f>
        <v/>
      </c>
      <c r="X6" s="19">
        <f>IF($Z6="","",SUM(J6:U6))</f>
        <v/>
      </c>
      <c r="Y6" s="20">
        <f>ROW()-1</f>
        <v/>
      </c>
      <c r="Z6" s="20">
        <f>IF($Y6&lt;=Settings!$B$4*3,"C",IF($Y6&lt;=(Settings!$B$4+Settings!$B$5)*3,"A",IF($Y6&lt;=(Settings!$B$4+Settings!$B$5+Settings!$B$6)*3,"F","")))</f>
        <v/>
      </c>
      <c r="AA6" s="20">
        <f>IF($Z6="C",$Y6,IF($Z6="A",$Y6-Settings!$B$4*3,IF($Z6="F",$Y6-(Settings!$B$4+Settings!$B$5)*3,"")))</f>
        <v/>
      </c>
      <c r="AB6" s="20">
        <f>IF($Z6="","",INT(($AA6-1)/3)+1)</f>
        <v/>
      </c>
      <c r="AC6" s="20">
        <f>IF($Z6="","",MOD($AA6-1,3)+1)</f>
        <v/>
      </c>
      <c r="AD6" s="20">
        <f>IF($Z6="","",Settings!$B$2+$AC6-1)</f>
        <v/>
      </c>
      <c r="AE6" s="21">
        <f>IF($Z6="C",DATE(YEAR(INDEX(Contracts!$J$2:$J$151,$AB6)),MONTH(INDEX(Contracts!$J$2:$J$151,$AB6)),1),IF($Z6="A",DATE(YEAR(INDEX(Fixed_Assets!$G$2:$G$201,$AB6)),MONTH(INDEX(Fixed_Assets!$G$2:$G$201,$AB6)),1),IF($Z6="F",DATE(YEAR(MAX(N(INDEX(Workforce!$I$2:$I$151,MATCH(INDEX(FTE_Allocation!$A$2:$A$201,$AB6),Workforce!$A$2:$A$151,0))),N(INDEX(FTE_Allocation!$I$2:$I$201,$AB6)))),MONTH(MAX(N(INDEX(Workforce!$I$2:$I$151,MATCH(INDEX(FTE_Allocation!$A$2:$A$201,$AB6),Workforce!$A$2:$A$151,0))),N(INDEX(FTE_Allocation!$I$2:$I$201,$AB6)))),1),"")))</f>
        <v/>
      </c>
      <c r="AF6" s="21">
        <f>IF($Z6="C",IF(INDEX(Contracts!$I$2:$I$151,$AB6)="PREPAID",EDATE(DATE(YEAR(INDEX(Contracts!$J$2:$J$151,$AB6)),MONTH(INDEX(Contracts!$J$2:$J$151,$AB6)),1),IF(INDEX(Contracts!$N$2:$N$151,$AB6)="",12,INDEX(Contracts!$N$2:$N$151,$AB6))-1),IF(INDEX(Contracts!$I$2:$I$151,$AB6)="MONTHLY",IF(INDEX(Contracts!$K$2:$K$151,$AB6)="",2958101,INDEX(Contracts!$K$2:$K$151,$AB6)),0)),IF($Z6="A",EDATE(DATE(YEAR(INDEX(Fixed_Assets!$G$2:$G$201,$AB6)),MONTH(INDEX(Fixed_Assets!$G$2:$G$201,$AB6)),1),INDEX(Fixed_Assets!$J$2:$J$201,$AB6)-1),IF($Z6="F",MIN(IF(INDEX(Workforce!$J$2:$J$151,MATCH(INDEX(FTE_Allocation!$A$2:$A$201,$AB6),Workforce!$A$2:$A$151,0))="",2958101,INDEX(Workforce!$J$2:$J$151,MATCH(INDEX(FTE_Allocation!$A$2:$A$201,$AB6),Workforce!$A$2:$A$151,0))),IF(INDEX(FTE_Allocation!$J$2:$J$201,$AB6)="",2958101,INDEX(FTE_Allocation!$J$2:$J$201,$AB6))),"")))</f>
        <v/>
      </c>
      <c r="AG6" s="19">
        <f>IF($Z6="C",IF(INDEX(Contracts!$I$2:$I$151,$AB6)="PREPAID",INDEX(Contracts!$M$2:$M$151,$AB6)/IF(INDEX(Contracts!$N$2:$N$151,$AB6)="",12,INDEX(Contracts!$N$2:$N$151,$AB6)),IF(INDEX(Contracts!$I$2:$I$151,$AB6)="MONTHLY",INDEX(Contracts!$M$2:$M$151,$AB6),0))*(1-N(INDEX(Contracts!$O$2:$O$151,$AB6))),IF($Z6="A",INDEX(Fixed_Assets!$H$2:$H$201,$AB6)/INDEX(Fixed_Assets!$J$2:$J$201,$AB6),IF($Z6="F",INDEX(Workforce!$F$2:$F$151,MATCH(INDEX(FTE_Allocation!$A$2:$A$201,$AB6),Workforce!$A$2:$A$151,0))*N(INDEX(FTE_Allocation!$F$2:$H$201,$AB6,$AC6)),"")))</f>
        <v/>
      </c>
    </row>
    <row r="7">
      <c r="A7" s="7">
        <f>IF($Z7="","",$AD7)</f>
        <v/>
      </c>
      <c r="B7" s="7">
        <f>IF($Z7="C",INDEX(Contracts!$D$2:$D$151,$AB7)&amp;"",IF($Z7="A",INDEX(Fixed_Assets!$C$2:$C$201,$AB7)&amp;"",IF($Z7="F",INDEX(Workforce!$B$2:$B$151,MATCH(INDEX(FTE_Allocation!$A$2:$A$201,$AB7),Workforce!$A$2:$A$151,0))&amp;"","")))</f>
        <v/>
      </c>
      <c r="C7" s="7">
        <f>IF($Z7="C",INDEX(Contracts!$E$2:$E$151,$AB7)&amp;"",IF($Z7="A",INDEX(Fixed_Assets!$D$2:$D$201,$AB7)&amp;"",IF($Z7="F",INDEX(FTE_Allocation!$C$2:$C$201,$AB7)&amp;"","")))</f>
        <v/>
      </c>
      <c r="D7" s="7">
        <f>IF($Z7="C",INDEX(Contracts!$B$2:$B$151,$AB7)&amp;"",IF($Z7="A",INDEX(Fixed_Assets!$B$2:$B$201,$AB7)&amp;"",IF($Z7="F",INDEX(FTE_Allocation!$B$2:$B$201,$AB7)&amp;"","")))</f>
        <v/>
      </c>
      <c r="E7" s="7">
        <f>IF($Z7="C",INDEX(Contracts!$P$2:$P$151,$AB7)&amp;"",IF($Z7="A",INDEX(Fixed_Assets!$K$2:$K$201,$AB7)&amp;"",IF($Z7="F",IF(INDEX(FTE_Allocation!$D$2:$D$201,$AB7)="PROJECT",IFERROR(INDEX(Projects!$D:$D,MATCH(INDEX(FTE_Allocation!$E$2:$E$201,$AB7),Projects!$A:$A,0))&amp;"","#PROJECT?"),INDEX(FTE_Allocation!$E$2:$E$201,$AB7)&amp;""),"")))</f>
        <v/>
      </c>
      <c r="F7" s="7">
        <f>IF($Z7="C",INDEX(Contracts!$Q$2:$Q$151,$AB7)&amp;"",IF($Z7="A",INDEX(Fixed_Assets!$L$2:$L$201,$AB7)&amp;"",IF($Z7="F",INDEX(Workforce!$K$2:$K$151,MATCH(INDEX(FTE_Allocation!$A$2:$A$201,$AB7),Workforce!$A$2:$A$151,0))&amp;"","")))</f>
        <v/>
      </c>
      <c r="G7" s="7">
        <f>IF($Z7="C",INDEX(Contracts!$F$2:$F$151,$AB7)&amp;" / "&amp;INDEX(Contracts!$G$2:$G$151,$AB7),IF($Z7="A",INDEX(Fixed_Assets!$E$2:$E$201,$AB7)&amp;"",IF($Z7="F","Personnel "&amp;INDEX(FTE_Allocation!$A$2:$A$201,$AB7)&amp;IF(INDEX(FTE_Allocation!$D$2:$D$201,$AB7)="PROJECT"," ("&amp;INDEX(FTE_Allocation!$E$2:$E$201,$AB7)&amp;")",""),"")))</f>
        <v/>
      </c>
      <c r="H7" s="7">
        <f>IF($Z7="C","CONTRACT",IF($Z7="A","ASSET",IF($Z7="F","WORKFORCE","")))</f>
        <v/>
      </c>
      <c r="I7" s="7">
        <f>IF($Z7="C",INDEX(Contracts!$L$2:$L$151,$AB7)&amp;"",IF($Z7="A",INDEX(Fixed_Assets!$I$2:$I$201,$AB7)&amp;"",IF($Z7="F",INDEX(Workforce!$G$2:$G$151,MATCH(INDEX(FTE_Allocation!$A$2:$A$201,$AB7),Workforce!$A$2:$A$151,0))&amp;"","")))</f>
        <v/>
      </c>
      <c r="J7" s="18">
        <f>IF($Z7="","",IF(AND(DATE($AD7,1,1)&gt;=$AE7,DATE($AD7,1,1)&lt;=$AF7),ROUND($AG7,2),0))</f>
        <v/>
      </c>
      <c r="K7" s="18">
        <f>IF($Z7="","",IF(AND(DATE($AD7,2,1)&gt;=$AE7,DATE($AD7,2,1)&lt;=$AF7),ROUND($AG7,2),0))</f>
        <v/>
      </c>
      <c r="L7" s="18">
        <f>IF($Z7="","",IF(AND(DATE($AD7,3,1)&gt;=$AE7,DATE($AD7,3,1)&lt;=$AF7),ROUND($AG7,2),0))</f>
        <v/>
      </c>
      <c r="M7" s="18">
        <f>IF($Z7="","",IF(AND(DATE($AD7,4,1)&gt;=$AE7,DATE($AD7,4,1)&lt;=$AF7),ROUND($AG7,2),0))</f>
        <v/>
      </c>
      <c r="N7" s="18">
        <f>IF($Z7="","",IF(AND(DATE($AD7,5,1)&gt;=$AE7,DATE($AD7,5,1)&lt;=$AF7),ROUND($AG7,2),0))</f>
        <v/>
      </c>
      <c r="O7" s="18">
        <f>IF($Z7="","",IF(AND(DATE($AD7,6,1)&gt;=$AE7,DATE($AD7,6,1)&lt;=$AF7),ROUND($AG7,2),0))</f>
        <v/>
      </c>
      <c r="P7" s="18">
        <f>IF($Z7="","",IF(AND(DATE($AD7,7,1)&gt;=$AE7,DATE($AD7,7,1)&lt;=$AF7),ROUND($AG7,2),0))</f>
        <v/>
      </c>
      <c r="Q7" s="18">
        <f>IF($Z7="","",IF(AND(DATE($AD7,8,1)&gt;=$AE7,DATE($AD7,8,1)&lt;=$AF7),ROUND($AG7,2),0))</f>
        <v/>
      </c>
      <c r="R7" s="18">
        <f>IF($Z7="","",IF(AND(DATE($AD7,9,1)&gt;=$AE7,DATE($AD7,9,1)&lt;=$AF7),ROUND($AG7,2),0))</f>
        <v/>
      </c>
      <c r="S7" s="18">
        <f>IF($Z7="","",IF(AND(DATE($AD7,10,1)&gt;=$AE7,DATE($AD7,10,1)&lt;=$AF7),ROUND($AG7,2),0))</f>
        <v/>
      </c>
      <c r="T7" s="18">
        <f>IF($Z7="","",IF(AND(DATE($AD7,11,1)&gt;=$AE7,DATE($AD7,11,1)&lt;=$AF7),ROUND($AG7,2),0))</f>
        <v/>
      </c>
      <c r="U7" s="18">
        <f>IF($Z7="","",IF(AND(DATE($AD7,12,1)&gt;=$AE7,DATE($AD7,12,1)&lt;=$AF7),ROUND($AG7,2),0))</f>
        <v/>
      </c>
      <c r="V7" s="7">
        <f>IF($Z7="C","Generated from "&amp;INDEX(Contracts!$A$2:$A$151,$AB7),IF($Z7="A","Generated from "&amp;INDEX(Fixed_Assets!$A$2:$A$201,$AB7),IF($Z7="F","Generated from "&amp;INDEX(FTE_Allocation!$A$2:$A$201,$AB7),"")))</f>
        <v/>
      </c>
      <c r="X7" s="19">
        <f>IF($Z7="","",SUM(J7:U7))</f>
        <v/>
      </c>
      <c r="Y7" s="20">
        <f>ROW()-1</f>
        <v/>
      </c>
      <c r="Z7" s="20">
        <f>IF($Y7&lt;=Settings!$B$4*3,"C",IF($Y7&lt;=(Settings!$B$4+Settings!$B$5)*3,"A",IF($Y7&lt;=(Settings!$B$4+Settings!$B$5+Settings!$B$6)*3,"F","")))</f>
        <v/>
      </c>
      <c r="AA7" s="20">
        <f>IF($Z7="C",$Y7,IF($Z7="A",$Y7-Settings!$B$4*3,IF($Z7="F",$Y7-(Settings!$B$4+Settings!$B$5)*3,"")))</f>
        <v/>
      </c>
      <c r="AB7" s="20">
        <f>IF($Z7="","",INT(($AA7-1)/3)+1)</f>
        <v/>
      </c>
      <c r="AC7" s="20">
        <f>IF($Z7="","",MOD($AA7-1,3)+1)</f>
        <v/>
      </c>
      <c r="AD7" s="20">
        <f>IF($Z7="","",Settings!$B$2+$AC7-1)</f>
        <v/>
      </c>
      <c r="AE7" s="21">
        <f>IF($Z7="C",DATE(YEAR(INDEX(Contracts!$J$2:$J$151,$AB7)),MONTH(INDEX(Contracts!$J$2:$J$151,$AB7)),1),IF($Z7="A",DATE(YEAR(INDEX(Fixed_Assets!$G$2:$G$201,$AB7)),MONTH(INDEX(Fixed_Assets!$G$2:$G$201,$AB7)),1),IF($Z7="F",DATE(YEAR(MAX(N(INDEX(Workforce!$I$2:$I$151,MATCH(INDEX(FTE_Allocation!$A$2:$A$201,$AB7),Workforce!$A$2:$A$151,0))),N(INDEX(FTE_Allocation!$I$2:$I$201,$AB7)))),MONTH(MAX(N(INDEX(Workforce!$I$2:$I$151,MATCH(INDEX(FTE_Allocation!$A$2:$A$201,$AB7),Workforce!$A$2:$A$151,0))),N(INDEX(FTE_Allocation!$I$2:$I$201,$AB7)))),1),"")))</f>
        <v/>
      </c>
      <c r="AF7" s="21">
        <f>IF($Z7="C",IF(INDEX(Contracts!$I$2:$I$151,$AB7)="PREPAID",EDATE(DATE(YEAR(INDEX(Contracts!$J$2:$J$151,$AB7)),MONTH(INDEX(Contracts!$J$2:$J$151,$AB7)),1),IF(INDEX(Contracts!$N$2:$N$151,$AB7)="",12,INDEX(Contracts!$N$2:$N$151,$AB7))-1),IF(INDEX(Contracts!$I$2:$I$151,$AB7)="MONTHLY",IF(INDEX(Contracts!$K$2:$K$151,$AB7)="",2958101,INDEX(Contracts!$K$2:$K$151,$AB7)),0)),IF($Z7="A",EDATE(DATE(YEAR(INDEX(Fixed_Assets!$G$2:$G$201,$AB7)),MONTH(INDEX(Fixed_Assets!$G$2:$G$201,$AB7)),1),INDEX(Fixed_Assets!$J$2:$J$201,$AB7)-1),IF($Z7="F",MIN(IF(INDEX(Workforce!$J$2:$J$151,MATCH(INDEX(FTE_Allocation!$A$2:$A$201,$AB7),Workforce!$A$2:$A$151,0))="",2958101,INDEX(Workforce!$J$2:$J$151,MATCH(INDEX(FTE_Allocation!$A$2:$A$201,$AB7),Workforce!$A$2:$A$151,0))),IF(INDEX(FTE_Allocation!$J$2:$J$201,$AB7)="",2958101,INDEX(FTE_Allocation!$J$2:$J$201,$AB7))),"")))</f>
        <v/>
      </c>
      <c r="AG7" s="19">
        <f>IF($Z7="C",IF(INDEX(Contracts!$I$2:$I$151,$AB7)="PREPAID",INDEX(Contracts!$M$2:$M$151,$AB7)/IF(INDEX(Contracts!$N$2:$N$151,$AB7)="",12,INDEX(Contracts!$N$2:$N$151,$AB7)),IF(INDEX(Contracts!$I$2:$I$151,$AB7)="MONTHLY",INDEX(Contracts!$M$2:$M$151,$AB7),0))*(1-N(INDEX(Contracts!$O$2:$O$151,$AB7))),IF($Z7="A",INDEX(Fixed_Assets!$H$2:$H$201,$AB7)/INDEX(Fixed_Assets!$J$2:$J$201,$AB7),IF($Z7="F",INDEX(Workforce!$F$2:$F$151,MATCH(INDEX(FTE_Allocation!$A$2:$A$201,$AB7),Workforce!$A$2:$A$151,0))*N(INDEX(FTE_Allocation!$F$2:$H$201,$AB7,$AC7)),"")))</f>
        <v/>
      </c>
    </row>
    <row r="8">
      <c r="A8" s="7">
        <f>IF($Z8="","",$AD8)</f>
        <v/>
      </c>
      <c r="B8" s="7">
        <f>IF($Z8="C",INDEX(Contracts!$D$2:$D$151,$AB8)&amp;"",IF($Z8="A",INDEX(Fixed_Assets!$C$2:$C$201,$AB8)&amp;"",IF($Z8="F",INDEX(Workforce!$B$2:$B$151,MATCH(INDEX(FTE_Allocation!$A$2:$A$201,$AB8),Workforce!$A$2:$A$151,0))&amp;"","")))</f>
        <v/>
      </c>
      <c r="C8" s="7">
        <f>IF($Z8="C",INDEX(Contracts!$E$2:$E$151,$AB8)&amp;"",IF($Z8="A",INDEX(Fixed_Assets!$D$2:$D$201,$AB8)&amp;"",IF($Z8="F",INDEX(FTE_Allocation!$C$2:$C$201,$AB8)&amp;"","")))</f>
        <v/>
      </c>
      <c r="D8" s="7">
        <f>IF($Z8="C",INDEX(Contracts!$B$2:$B$151,$AB8)&amp;"",IF($Z8="A",INDEX(Fixed_Assets!$B$2:$B$201,$AB8)&amp;"",IF($Z8="F",INDEX(FTE_Allocation!$B$2:$B$201,$AB8)&amp;"","")))</f>
        <v/>
      </c>
      <c r="E8" s="7">
        <f>IF($Z8="C",INDEX(Contracts!$P$2:$P$151,$AB8)&amp;"",IF($Z8="A",INDEX(Fixed_Assets!$K$2:$K$201,$AB8)&amp;"",IF($Z8="F",IF(INDEX(FTE_Allocation!$D$2:$D$201,$AB8)="PROJECT",IFERROR(INDEX(Projects!$D:$D,MATCH(INDEX(FTE_Allocation!$E$2:$E$201,$AB8),Projects!$A:$A,0))&amp;"","#PROJECT?"),INDEX(FTE_Allocation!$E$2:$E$201,$AB8)&amp;""),"")))</f>
        <v/>
      </c>
      <c r="F8" s="7">
        <f>IF($Z8="C",INDEX(Contracts!$Q$2:$Q$151,$AB8)&amp;"",IF($Z8="A",INDEX(Fixed_Assets!$L$2:$L$201,$AB8)&amp;"",IF($Z8="F",INDEX(Workforce!$K$2:$K$151,MATCH(INDEX(FTE_Allocation!$A$2:$A$201,$AB8),Workforce!$A$2:$A$151,0))&amp;"","")))</f>
        <v/>
      </c>
      <c r="G8" s="7">
        <f>IF($Z8="C",INDEX(Contracts!$F$2:$F$151,$AB8)&amp;" / "&amp;INDEX(Contracts!$G$2:$G$151,$AB8),IF($Z8="A",INDEX(Fixed_Assets!$E$2:$E$201,$AB8)&amp;"",IF($Z8="F","Personnel "&amp;INDEX(FTE_Allocation!$A$2:$A$201,$AB8)&amp;IF(INDEX(FTE_Allocation!$D$2:$D$201,$AB8)="PROJECT"," ("&amp;INDEX(FTE_Allocation!$E$2:$E$201,$AB8)&amp;")",""),"")))</f>
        <v/>
      </c>
      <c r="H8" s="7">
        <f>IF($Z8="C","CONTRACT",IF($Z8="A","ASSET",IF($Z8="F","WORKFORCE","")))</f>
        <v/>
      </c>
      <c r="I8" s="7">
        <f>IF($Z8="C",INDEX(Contracts!$L$2:$L$151,$AB8)&amp;"",IF($Z8="A",INDEX(Fixed_Assets!$I$2:$I$201,$AB8)&amp;"",IF($Z8="F",INDEX(Workforce!$G$2:$G$151,MATCH(INDEX(FTE_Allocation!$A$2:$A$201,$AB8),Workforce!$A$2:$A$151,0))&amp;"","")))</f>
        <v/>
      </c>
      <c r="J8" s="18">
        <f>IF($Z8="","",IF(AND(DATE($AD8,1,1)&gt;=$AE8,DATE($AD8,1,1)&lt;=$AF8),ROUND($AG8,2),0))</f>
        <v/>
      </c>
      <c r="K8" s="18">
        <f>IF($Z8="","",IF(AND(DATE($AD8,2,1)&gt;=$AE8,DATE($AD8,2,1)&lt;=$AF8),ROUND($AG8,2),0))</f>
        <v/>
      </c>
      <c r="L8" s="18">
        <f>IF($Z8="","",IF(AND(DATE($AD8,3,1)&gt;=$AE8,DATE($AD8,3,1)&lt;=$AF8),ROUND($AG8,2),0))</f>
        <v/>
      </c>
      <c r="M8" s="18">
        <f>IF($Z8="","",IF(AND(DATE($AD8,4,1)&gt;=$AE8,DATE($AD8,4,1)&lt;=$AF8),ROUND($AG8,2),0))</f>
        <v/>
      </c>
      <c r="N8" s="18">
        <f>IF($Z8="","",IF(AND(DATE($AD8,5,1)&gt;=$AE8,DATE($AD8,5,1)&lt;=$AF8),ROUND($AG8,2),0))</f>
        <v/>
      </c>
      <c r="O8" s="18">
        <f>IF($Z8="","",IF(AND(DATE($AD8,6,1)&gt;=$AE8,DATE($AD8,6,1)&lt;=$AF8),ROUND($AG8,2),0))</f>
        <v/>
      </c>
      <c r="P8" s="18">
        <f>IF($Z8="","",IF(AND(DATE($AD8,7,1)&gt;=$AE8,DATE($AD8,7,1)&lt;=$AF8),ROUND($AG8,2),0))</f>
        <v/>
      </c>
      <c r="Q8" s="18">
        <f>IF($Z8="","",IF(AND(DATE($AD8,8,1)&gt;=$AE8,DATE($AD8,8,1)&lt;=$AF8),ROUND($AG8,2),0))</f>
        <v/>
      </c>
      <c r="R8" s="18">
        <f>IF($Z8="","",IF(AND(DATE($AD8,9,1)&gt;=$AE8,DATE($AD8,9,1)&lt;=$AF8),ROUND($AG8,2),0))</f>
        <v/>
      </c>
      <c r="S8" s="18">
        <f>IF($Z8="","",IF(AND(DATE($AD8,10,1)&gt;=$AE8,DATE($AD8,10,1)&lt;=$AF8),ROUND($AG8,2),0))</f>
        <v/>
      </c>
      <c r="T8" s="18">
        <f>IF($Z8="","",IF(AND(DATE($AD8,11,1)&gt;=$AE8,DATE($AD8,11,1)&lt;=$AF8),ROUND($AG8,2),0))</f>
        <v/>
      </c>
      <c r="U8" s="18">
        <f>IF($Z8="","",IF(AND(DATE($AD8,12,1)&gt;=$AE8,DATE($AD8,12,1)&lt;=$AF8),ROUND($AG8,2),0))</f>
        <v/>
      </c>
      <c r="V8" s="7">
        <f>IF($Z8="C","Generated from "&amp;INDEX(Contracts!$A$2:$A$151,$AB8),IF($Z8="A","Generated from "&amp;INDEX(Fixed_Assets!$A$2:$A$201,$AB8),IF($Z8="F","Generated from "&amp;INDEX(FTE_Allocation!$A$2:$A$201,$AB8),"")))</f>
        <v/>
      </c>
      <c r="X8" s="19">
        <f>IF($Z8="","",SUM(J8:U8))</f>
        <v/>
      </c>
      <c r="Y8" s="20">
        <f>ROW()-1</f>
        <v/>
      </c>
      <c r="Z8" s="20">
        <f>IF($Y8&lt;=Settings!$B$4*3,"C",IF($Y8&lt;=(Settings!$B$4+Settings!$B$5)*3,"A",IF($Y8&lt;=(Settings!$B$4+Settings!$B$5+Settings!$B$6)*3,"F","")))</f>
        <v/>
      </c>
      <c r="AA8" s="20">
        <f>IF($Z8="C",$Y8,IF($Z8="A",$Y8-Settings!$B$4*3,IF($Z8="F",$Y8-(Settings!$B$4+Settings!$B$5)*3,"")))</f>
        <v/>
      </c>
      <c r="AB8" s="20">
        <f>IF($Z8="","",INT(($AA8-1)/3)+1)</f>
        <v/>
      </c>
      <c r="AC8" s="20">
        <f>IF($Z8="","",MOD($AA8-1,3)+1)</f>
        <v/>
      </c>
      <c r="AD8" s="20">
        <f>IF($Z8="","",Settings!$B$2+$AC8-1)</f>
        <v/>
      </c>
      <c r="AE8" s="21">
        <f>IF($Z8="C",DATE(YEAR(INDEX(Contracts!$J$2:$J$151,$AB8)),MONTH(INDEX(Contracts!$J$2:$J$151,$AB8)),1),IF($Z8="A",DATE(YEAR(INDEX(Fixed_Assets!$G$2:$G$201,$AB8)),MONTH(INDEX(Fixed_Assets!$G$2:$G$201,$AB8)),1),IF($Z8="F",DATE(YEAR(MAX(N(INDEX(Workforce!$I$2:$I$151,MATCH(INDEX(FTE_Allocation!$A$2:$A$201,$AB8),Workforce!$A$2:$A$151,0))),N(INDEX(FTE_Allocation!$I$2:$I$201,$AB8)))),MONTH(MAX(N(INDEX(Workforce!$I$2:$I$151,MATCH(INDEX(FTE_Allocation!$A$2:$A$201,$AB8),Workforce!$A$2:$A$151,0))),N(INDEX(FTE_Allocation!$I$2:$I$201,$AB8)))),1),"")))</f>
        <v/>
      </c>
      <c r="AF8" s="21">
        <f>IF($Z8="C",IF(INDEX(Contracts!$I$2:$I$151,$AB8)="PREPAID",EDATE(DATE(YEAR(INDEX(Contracts!$J$2:$J$151,$AB8)),MONTH(INDEX(Contracts!$J$2:$J$151,$AB8)),1),IF(INDEX(Contracts!$N$2:$N$151,$AB8)="",12,INDEX(Contracts!$N$2:$N$151,$AB8))-1),IF(INDEX(Contracts!$I$2:$I$151,$AB8)="MONTHLY",IF(INDEX(Contracts!$K$2:$K$151,$AB8)="",2958101,INDEX(Contracts!$K$2:$K$151,$AB8)),0)),IF($Z8="A",EDATE(DATE(YEAR(INDEX(Fixed_Assets!$G$2:$G$201,$AB8)),MONTH(INDEX(Fixed_Assets!$G$2:$G$201,$AB8)),1),INDEX(Fixed_Assets!$J$2:$J$201,$AB8)-1),IF($Z8="F",MIN(IF(INDEX(Workforce!$J$2:$J$151,MATCH(INDEX(FTE_Allocation!$A$2:$A$201,$AB8),Workforce!$A$2:$A$151,0))="",2958101,INDEX(Workforce!$J$2:$J$151,MATCH(INDEX(FTE_Allocation!$A$2:$A$201,$AB8),Workforce!$A$2:$A$151,0))),IF(INDEX(FTE_Allocation!$J$2:$J$201,$AB8)="",2958101,INDEX(FTE_Allocation!$J$2:$J$201,$AB8))),"")))</f>
        <v/>
      </c>
      <c r="AG8" s="19">
        <f>IF($Z8="C",IF(INDEX(Contracts!$I$2:$I$151,$AB8)="PREPAID",INDEX(Contracts!$M$2:$M$151,$AB8)/IF(INDEX(Contracts!$N$2:$N$151,$AB8)="",12,INDEX(Contracts!$N$2:$N$151,$AB8)),IF(INDEX(Contracts!$I$2:$I$151,$AB8)="MONTHLY",INDEX(Contracts!$M$2:$M$151,$AB8),0))*(1-N(INDEX(Contracts!$O$2:$O$151,$AB8))),IF($Z8="A",INDEX(Fixed_Assets!$H$2:$H$201,$AB8)/INDEX(Fixed_Assets!$J$2:$J$201,$AB8),IF($Z8="F",INDEX(Workforce!$F$2:$F$151,MATCH(INDEX(FTE_Allocation!$A$2:$A$201,$AB8),Workforce!$A$2:$A$151,0))*N(INDEX(FTE_Allocation!$F$2:$H$201,$AB8,$AC8)),"")))</f>
        <v/>
      </c>
    </row>
    <row r="9">
      <c r="A9" s="7">
        <f>IF($Z9="","",$AD9)</f>
        <v/>
      </c>
      <c r="B9" s="7">
        <f>IF($Z9="C",INDEX(Contracts!$D$2:$D$151,$AB9)&amp;"",IF($Z9="A",INDEX(Fixed_Assets!$C$2:$C$201,$AB9)&amp;"",IF($Z9="F",INDEX(Workforce!$B$2:$B$151,MATCH(INDEX(FTE_Allocation!$A$2:$A$201,$AB9),Workforce!$A$2:$A$151,0))&amp;"","")))</f>
        <v/>
      </c>
      <c r="C9" s="7">
        <f>IF($Z9="C",INDEX(Contracts!$E$2:$E$151,$AB9)&amp;"",IF($Z9="A",INDEX(Fixed_Assets!$D$2:$D$201,$AB9)&amp;"",IF($Z9="F",INDEX(FTE_Allocation!$C$2:$C$201,$AB9)&amp;"","")))</f>
        <v/>
      </c>
      <c r="D9" s="7">
        <f>IF($Z9="C",INDEX(Contracts!$B$2:$B$151,$AB9)&amp;"",IF($Z9="A",INDEX(Fixed_Assets!$B$2:$B$201,$AB9)&amp;"",IF($Z9="F",INDEX(FTE_Allocation!$B$2:$B$201,$AB9)&amp;"","")))</f>
        <v/>
      </c>
      <c r="E9" s="7">
        <f>IF($Z9="C",INDEX(Contracts!$P$2:$P$151,$AB9)&amp;"",IF($Z9="A",INDEX(Fixed_Assets!$K$2:$K$201,$AB9)&amp;"",IF($Z9="F",IF(INDEX(FTE_Allocation!$D$2:$D$201,$AB9)="PROJECT",IFERROR(INDEX(Projects!$D:$D,MATCH(INDEX(FTE_Allocation!$E$2:$E$201,$AB9),Projects!$A:$A,0))&amp;"","#PROJECT?"),INDEX(FTE_Allocation!$E$2:$E$201,$AB9)&amp;""),"")))</f>
        <v/>
      </c>
      <c r="F9" s="7">
        <f>IF($Z9="C",INDEX(Contracts!$Q$2:$Q$151,$AB9)&amp;"",IF($Z9="A",INDEX(Fixed_Assets!$L$2:$L$201,$AB9)&amp;"",IF($Z9="F",INDEX(Workforce!$K$2:$K$151,MATCH(INDEX(FTE_Allocation!$A$2:$A$201,$AB9),Workforce!$A$2:$A$151,0))&amp;"","")))</f>
        <v/>
      </c>
      <c r="G9" s="7">
        <f>IF($Z9="C",INDEX(Contracts!$F$2:$F$151,$AB9)&amp;" / "&amp;INDEX(Contracts!$G$2:$G$151,$AB9),IF($Z9="A",INDEX(Fixed_Assets!$E$2:$E$201,$AB9)&amp;"",IF($Z9="F","Personnel "&amp;INDEX(FTE_Allocation!$A$2:$A$201,$AB9)&amp;IF(INDEX(FTE_Allocation!$D$2:$D$201,$AB9)="PROJECT"," ("&amp;INDEX(FTE_Allocation!$E$2:$E$201,$AB9)&amp;")",""),"")))</f>
        <v/>
      </c>
      <c r="H9" s="7">
        <f>IF($Z9="C","CONTRACT",IF($Z9="A","ASSET",IF($Z9="F","WORKFORCE","")))</f>
        <v/>
      </c>
      <c r="I9" s="7">
        <f>IF($Z9="C",INDEX(Contracts!$L$2:$L$151,$AB9)&amp;"",IF($Z9="A",INDEX(Fixed_Assets!$I$2:$I$201,$AB9)&amp;"",IF($Z9="F",INDEX(Workforce!$G$2:$G$151,MATCH(INDEX(FTE_Allocation!$A$2:$A$201,$AB9),Workforce!$A$2:$A$151,0))&amp;"","")))</f>
        <v/>
      </c>
      <c r="J9" s="18">
        <f>IF($Z9="","",IF(AND(DATE($AD9,1,1)&gt;=$AE9,DATE($AD9,1,1)&lt;=$AF9),ROUND($AG9,2),0))</f>
        <v/>
      </c>
      <c r="K9" s="18">
        <f>IF($Z9="","",IF(AND(DATE($AD9,2,1)&gt;=$AE9,DATE($AD9,2,1)&lt;=$AF9),ROUND($AG9,2),0))</f>
        <v/>
      </c>
      <c r="L9" s="18">
        <f>IF($Z9="","",IF(AND(DATE($AD9,3,1)&gt;=$AE9,DATE($AD9,3,1)&lt;=$AF9),ROUND($AG9,2),0))</f>
        <v/>
      </c>
      <c r="M9" s="18">
        <f>IF($Z9="","",IF(AND(DATE($AD9,4,1)&gt;=$AE9,DATE($AD9,4,1)&lt;=$AF9),ROUND($AG9,2),0))</f>
        <v/>
      </c>
      <c r="N9" s="18">
        <f>IF($Z9="","",IF(AND(DATE($AD9,5,1)&gt;=$AE9,DATE($AD9,5,1)&lt;=$AF9),ROUND($AG9,2),0))</f>
        <v/>
      </c>
      <c r="O9" s="18">
        <f>IF($Z9="","",IF(AND(DATE($AD9,6,1)&gt;=$AE9,DATE($AD9,6,1)&lt;=$AF9),ROUND($AG9,2),0))</f>
        <v/>
      </c>
      <c r="P9" s="18">
        <f>IF($Z9="","",IF(AND(DATE($AD9,7,1)&gt;=$AE9,DATE($AD9,7,1)&lt;=$AF9),ROUND($AG9,2),0))</f>
        <v/>
      </c>
      <c r="Q9" s="18">
        <f>IF($Z9="","",IF(AND(DATE($AD9,8,1)&gt;=$AE9,DATE($AD9,8,1)&lt;=$AF9),ROUND($AG9,2),0))</f>
        <v/>
      </c>
      <c r="R9" s="18">
        <f>IF($Z9="","",IF(AND(DATE($AD9,9,1)&gt;=$AE9,DATE($AD9,9,1)&lt;=$AF9),ROUND($AG9,2),0))</f>
        <v/>
      </c>
      <c r="S9" s="18">
        <f>IF($Z9="","",IF(AND(DATE($AD9,10,1)&gt;=$AE9,DATE($AD9,10,1)&lt;=$AF9),ROUND($AG9,2),0))</f>
        <v/>
      </c>
      <c r="T9" s="18">
        <f>IF($Z9="","",IF(AND(DATE($AD9,11,1)&gt;=$AE9,DATE($AD9,11,1)&lt;=$AF9),ROUND($AG9,2),0))</f>
        <v/>
      </c>
      <c r="U9" s="18">
        <f>IF($Z9="","",IF(AND(DATE($AD9,12,1)&gt;=$AE9,DATE($AD9,12,1)&lt;=$AF9),ROUND($AG9,2),0))</f>
        <v/>
      </c>
      <c r="V9" s="7">
        <f>IF($Z9="C","Generated from "&amp;INDEX(Contracts!$A$2:$A$151,$AB9),IF($Z9="A","Generated from "&amp;INDEX(Fixed_Assets!$A$2:$A$201,$AB9),IF($Z9="F","Generated from "&amp;INDEX(FTE_Allocation!$A$2:$A$201,$AB9),"")))</f>
        <v/>
      </c>
      <c r="X9" s="19">
        <f>IF($Z9="","",SUM(J9:U9))</f>
        <v/>
      </c>
      <c r="Y9" s="20">
        <f>ROW()-1</f>
        <v/>
      </c>
      <c r="Z9" s="20">
        <f>IF($Y9&lt;=Settings!$B$4*3,"C",IF($Y9&lt;=(Settings!$B$4+Settings!$B$5)*3,"A",IF($Y9&lt;=(Settings!$B$4+Settings!$B$5+Settings!$B$6)*3,"F","")))</f>
        <v/>
      </c>
      <c r="AA9" s="20">
        <f>IF($Z9="C",$Y9,IF($Z9="A",$Y9-Settings!$B$4*3,IF($Z9="F",$Y9-(Settings!$B$4+Settings!$B$5)*3,"")))</f>
        <v/>
      </c>
      <c r="AB9" s="20">
        <f>IF($Z9="","",INT(($AA9-1)/3)+1)</f>
        <v/>
      </c>
      <c r="AC9" s="20">
        <f>IF($Z9="","",MOD($AA9-1,3)+1)</f>
        <v/>
      </c>
      <c r="AD9" s="20">
        <f>IF($Z9="","",Settings!$B$2+$AC9-1)</f>
        <v/>
      </c>
      <c r="AE9" s="21">
        <f>IF($Z9="C",DATE(YEAR(INDEX(Contracts!$J$2:$J$151,$AB9)),MONTH(INDEX(Contracts!$J$2:$J$151,$AB9)),1),IF($Z9="A",DATE(YEAR(INDEX(Fixed_Assets!$G$2:$G$201,$AB9)),MONTH(INDEX(Fixed_Assets!$G$2:$G$201,$AB9)),1),IF($Z9="F",DATE(YEAR(MAX(N(INDEX(Workforce!$I$2:$I$151,MATCH(INDEX(FTE_Allocation!$A$2:$A$201,$AB9),Workforce!$A$2:$A$151,0))),N(INDEX(FTE_Allocation!$I$2:$I$201,$AB9)))),MONTH(MAX(N(INDEX(Workforce!$I$2:$I$151,MATCH(INDEX(FTE_Allocation!$A$2:$A$201,$AB9),Workforce!$A$2:$A$151,0))),N(INDEX(FTE_Allocation!$I$2:$I$201,$AB9)))),1),"")))</f>
        <v/>
      </c>
      <c r="AF9" s="21">
        <f>IF($Z9="C",IF(INDEX(Contracts!$I$2:$I$151,$AB9)="PREPAID",EDATE(DATE(YEAR(INDEX(Contracts!$J$2:$J$151,$AB9)),MONTH(INDEX(Contracts!$J$2:$J$151,$AB9)),1),IF(INDEX(Contracts!$N$2:$N$151,$AB9)="",12,INDEX(Contracts!$N$2:$N$151,$AB9))-1),IF(INDEX(Contracts!$I$2:$I$151,$AB9)="MONTHLY",IF(INDEX(Contracts!$K$2:$K$151,$AB9)="",2958101,INDEX(Contracts!$K$2:$K$151,$AB9)),0)),IF($Z9="A",EDATE(DATE(YEAR(INDEX(Fixed_Assets!$G$2:$G$201,$AB9)),MONTH(INDEX(Fixed_Assets!$G$2:$G$201,$AB9)),1),INDEX(Fixed_Assets!$J$2:$J$201,$AB9)-1),IF($Z9="F",MIN(IF(INDEX(Workforce!$J$2:$J$151,MATCH(INDEX(FTE_Allocation!$A$2:$A$201,$AB9),Workforce!$A$2:$A$151,0))="",2958101,INDEX(Workforce!$J$2:$J$151,MATCH(INDEX(FTE_Allocation!$A$2:$A$201,$AB9),Workforce!$A$2:$A$151,0))),IF(INDEX(FTE_Allocation!$J$2:$J$201,$AB9)="",2958101,INDEX(FTE_Allocation!$J$2:$J$201,$AB9))),"")))</f>
        <v/>
      </c>
      <c r="AG9" s="19">
        <f>IF($Z9="C",IF(INDEX(Contracts!$I$2:$I$151,$AB9)="PREPAID",INDEX(Contracts!$M$2:$M$151,$AB9)/IF(INDEX(Contracts!$N$2:$N$151,$AB9)="",12,INDEX(Contracts!$N$2:$N$151,$AB9)),IF(INDEX(Contracts!$I$2:$I$151,$AB9)="MONTHLY",INDEX(Contracts!$M$2:$M$151,$AB9),0))*(1-N(INDEX(Contracts!$O$2:$O$151,$AB9))),IF($Z9="A",INDEX(Fixed_Assets!$H$2:$H$201,$AB9)/INDEX(Fixed_Assets!$J$2:$J$201,$AB9),IF($Z9="F",INDEX(Workforce!$F$2:$F$151,MATCH(INDEX(FTE_Allocation!$A$2:$A$201,$AB9),Workforce!$A$2:$A$151,0))*N(INDEX(FTE_Allocation!$F$2:$H$201,$AB9,$AC9)),"")))</f>
        <v/>
      </c>
    </row>
    <row r="10">
      <c r="A10" s="7">
        <f>IF($Z10="","",$AD10)</f>
        <v/>
      </c>
      <c r="B10" s="7">
        <f>IF($Z10="C",INDEX(Contracts!$D$2:$D$151,$AB10)&amp;"",IF($Z10="A",INDEX(Fixed_Assets!$C$2:$C$201,$AB10)&amp;"",IF($Z10="F",INDEX(Workforce!$B$2:$B$151,MATCH(INDEX(FTE_Allocation!$A$2:$A$201,$AB10),Workforce!$A$2:$A$151,0))&amp;"","")))</f>
        <v/>
      </c>
      <c r="C10" s="7">
        <f>IF($Z10="C",INDEX(Contracts!$E$2:$E$151,$AB10)&amp;"",IF($Z10="A",INDEX(Fixed_Assets!$D$2:$D$201,$AB10)&amp;"",IF($Z10="F",INDEX(FTE_Allocation!$C$2:$C$201,$AB10)&amp;"","")))</f>
        <v/>
      </c>
      <c r="D10" s="7">
        <f>IF($Z10="C",INDEX(Contracts!$B$2:$B$151,$AB10)&amp;"",IF($Z10="A",INDEX(Fixed_Assets!$B$2:$B$201,$AB10)&amp;"",IF($Z10="F",INDEX(FTE_Allocation!$B$2:$B$201,$AB10)&amp;"","")))</f>
        <v/>
      </c>
      <c r="E10" s="7">
        <f>IF($Z10="C",INDEX(Contracts!$P$2:$P$151,$AB10)&amp;"",IF($Z10="A",INDEX(Fixed_Assets!$K$2:$K$201,$AB10)&amp;"",IF($Z10="F",IF(INDEX(FTE_Allocation!$D$2:$D$201,$AB10)="PROJECT",IFERROR(INDEX(Projects!$D:$D,MATCH(INDEX(FTE_Allocation!$E$2:$E$201,$AB10),Projects!$A:$A,0))&amp;"","#PROJECT?"),INDEX(FTE_Allocation!$E$2:$E$201,$AB10)&amp;""),"")))</f>
        <v/>
      </c>
      <c r="F10" s="7">
        <f>IF($Z10="C",INDEX(Contracts!$Q$2:$Q$151,$AB10)&amp;"",IF($Z10="A",INDEX(Fixed_Assets!$L$2:$L$201,$AB10)&amp;"",IF($Z10="F",INDEX(Workforce!$K$2:$K$151,MATCH(INDEX(FTE_Allocation!$A$2:$A$201,$AB10),Workforce!$A$2:$A$151,0))&amp;"","")))</f>
        <v/>
      </c>
      <c r="G10" s="7">
        <f>IF($Z10="C",INDEX(Contracts!$F$2:$F$151,$AB10)&amp;" / "&amp;INDEX(Contracts!$G$2:$G$151,$AB10),IF($Z10="A",INDEX(Fixed_Assets!$E$2:$E$201,$AB10)&amp;"",IF($Z10="F","Personnel "&amp;INDEX(FTE_Allocation!$A$2:$A$201,$AB10)&amp;IF(INDEX(FTE_Allocation!$D$2:$D$201,$AB10)="PROJECT"," ("&amp;INDEX(FTE_Allocation!$E$2:$E$201,$AB10)&amp;")",""),"")))</f>
        <v/>
      </c>
      <c r="H10" s="7">
        <f>IF($Z10="C","CONTRACT",IF($Z10="A","ASSET",IF($Z10="F","WORKFORCE","")))</f>
        <v/>
      </c>
      <c r="I10" s="7">
        <f>IF($Z10="C",INDEX(Contracts!$L$2:$L$151,$AB10)&amp;"",IF($Z10="A",INDEX(Fixed_Assets!$I$2:$I$201,$AB10)&amp;"",IF($Z10="F",INDEX(Workforce!$G$2:$G$151,MATCH(INDEX(FTE_Allocation!$A$2:$A$201,$AB10),Workforce!$A$2:$A$151,0))&amp;"","")))</f>
        <v/>
      </c>
      <c r="J10" s="18">
        <f>IF($Z10="","",IF(AND(DATE($AD10,1,1)&gt;=$AE10,DATE($AD10,1,1)&lt;=$AF10),ROUND($AG10,2),0))</f>
        <v/>
      </c>
      <c r="K10" s="18">
        <f>IF($Z10="","",IF(AND(DATE($AD10,2,1)&gt;=$AE10,DATE($AD10,2,1)&lt;=$AF10),ROUND($AG10,2),0))</f>
        <v/>
      </c>
      <c r="L10" s="18">
        <f>IF($Z10="","",IF(AND(DATE($AD10,3,1)&gt;=$AE10,DATE($AD10,3,1)&lt;=$AF10),ROUND($AG10,2),0))</f>
        <v/>
      </c>
      <c r="M10" s="18">
        <f>IF($Z10="","",IF(AND(DATE($AD10,4,1)&gt;=$AE10,DATE($AD10,4,1)&lt;=$AF10),ROUND($AG10,2),0))</f>
        <v/>
      </c>
      <c r="N10" s="18">
        <f>IF($Z10="","",IF(AND(DATE($AD10,5,1)&gt;=$AE10,DATE($AD10,5,1)&lt;=$AF10),ROUND($AG10,2),0))</f>
        <v/>
      </c>
      <c r="O10" s="18">
        <f>IF($Z10="","",IF(AND(DATE($AD10,6,1)&gt;=$AE10,DATE($AD10,6,1)&lt;=$AF10),ROUND($AG10,2),0))</f>
        <v/>
      </c>
      <c r="P10" s="18">
        <f>IF($Z10="","",IF(AND(DATE($AD10,7,1)&gt;=$AE10,DATE($AD10,7,1)&lt;=$AF10),ROUND($AG10,2),0))</f>
        <v/>
      </c>
      <c r="Q10" s="18">
        <f>IF($Z10="","",IF(AND(DATE($AD10,8,1)&gt;=$AE10,DATE($AD10,8,1)&lt;=$AF10),ROUND($AG10,2),0))</f>
        <v/>
      </c>
      <c r="R10" s="18">
        <f>IF($Z10="","",IF(AND(DATE($AD10,9,1)&gt;=$AE10,DATE($AD10,9,1)&lt;=$AF10),ROUND($AG10,2),0))</f>
        <v/>
      </c>
      <c r="S10" s="18">
        <f>IF($Z10="","",IF(AND(DATE($AD10,10,1)&gt;=$AE10,DATE($AD10,10,1)&lt;=$AF10),ROUND($AG10,2),0))</f>
        <v/>
      </c>
      <c r="T10" s="18">
        <f>IF($Z10="","",IF(AND(DATE($AD10,11,1)&gt;=$AE10,DATE($AD10,11,1)&lt;=$AF10),ROUND($AG10,2),0))</f>
        <v/>
      </c>
      <c r="U10" s="18">
        <f>IF($Z10="","",IF(AND(DATE($AD10,12,1)&gt;=$AE10,DATE($AD10,12,1)&lt;=$AF10),ROUND($AG10,2),0))</f>
        <v/>
      </c>
      <c r="V10" s="7">
        <f>IF($Z10="C","Generated from "&amp;INDEX(Contracts!$A$2:$A$151,$AB10),IF($Z10="A","Generated from "&amp;INDEX(Fixed_Assets!$A$2:$A$201,$AB10),IF($Z10="F","Generated from "&amp;INDEX(FTE_Allocation!$A$2:$A$201,$AB10),"")))</f>
        <v/>
      </c>
      <c r="X10" s="19">
        <f>IF($Z10="","",SUM(J10:U10))</f>
        <v/>
      </c>
      <c r="Y10" s="20">
        <f>ROW()-1</f>
        <v/>
      </c>
      <c r="Z10" s="20">
        <f>IF($Y10&lt;=Settings!$B$4*3,"C",IF($Y10&lt;=(Settings!$B$4+Settings!$B$5)*3,"A",IF($Y10&lt;=(Settings!$B$4+Settings!$B$5+Settings!$B$6)*3,"F","")))</f>
        <v/>
      </c>
      <c r="AA10" s="20">
        <f>IF($Z10="C",$Y10,IF($Z10="A",$Y10-Settings!$B$4*3,IF($Z10="F",$Y10-(Settings!$B$4+Settings!$B$5)*3,"")))</f>
        <v/>
      </c>
      <c r="AB10" s="20">
        <f>IF($Z10="","",INT(($AA10-1)/3)+1)</f>
        <v/>
      </c>
      <c r="AC10" s="20">
        <f>IF($Z10="","",MOD($AA10-1,3)+1)</f>
        <v/>
      </c>
      <c r="AD10" s="20">
        <f>IF($Z10="","",Settings!$B$2+$AC10-1)</f>
        <v/>
      </c>
      <c r="AE10" s="21">
        <f>IF($Z10="C",DATE(YEAR(INDEX(Contracts!$J$2:$J$151,$AB10)),MONTH(INDEX(Contracts!$J$2:$J$151,$AB10)),1),IF($Z10="A",DATE(YEAR(INDEX(Fixed_Assets!$G$2:$G$201,$AB10)),MONTH(INDEX(Fixed_Assets!$G$2:$G$201,$AB10)),1),IF($Z10="F",DATE(YEAR(MAX(N(INDEX(Workforce!$I$2:$I$151,MATCH(INDEX(FTE_Allocation!$A$2:$A$201,$AB10),Workforce!$A$2:$A$151,0))),N(INDEX(FTE_Allocation!$I$2:$I$201,$AB10)))),MONTH(MAX(N(INDEX(Workforce!$I$2:$I$151,MATCH(INDEX(FTE_Allocation!$A$2:$A$201,$AB10),Workforce!$A$2:$A$151,0))),N(INDEX(FTE_Allocation!$I$2:$I$201,$AB10)))),1),"")))</f>
        <v/>
      </c>
      <c r="AF10" s="21">
        <f>IF($Z10="C",IF(INDEX(Contracts!$I$2:$I$151,$AB10)="PREPAID",EDATE(DATE(YEAR(INDEX(Contracts!$J$2:$J$151,$AB10)),MONTH(INDEX(Contracts!$J$2:$J$151,$AB10)),1),IF(INDEX(Contracts!$N$2:$N$151,$AB10)="",12,INDEX(Contracts!$N$2:$N$151,$AB10))-1),IF(INDEX(Contracts!$I$2:$I$151,$AB10)="MONTHLY",IF(INDEX(Contracts!$K$2:$K$151,$AB10)="",2958101,INDEX(Contracts!$K$2:$K$151,$AB10)),0)),IF($Z10="A",EDATE(DATE(YEAR(INDEX(Fixed_Assets!$G$2:$G$201,$AB10)),MONTH(INDEX(Fixed_Assets!$G$2:$G$201,$AB10)),1),INDEX(Fixed_Assets!$J$2:$J$201,$AB10)-1),IF($Z10="F",MIN(IF(INDEX(Workforce!$J$2:$J$151,MATCH(INDEX(FTE_Allocation!$A$2:$A$201,$AB10),Workforce!$A$2:$A$151,0))="",2958101,INDEX(Workforce!$J$2:$J$151,MATCH(INDEX(FTE_Allocation!$A$2:$A$201,$AB10),Workforce!$A$2:$A$151,0))),IF(INDEX(FTE_Allocation!$J$2:$J$201,$AB10)="",2958101,INDEX(FTE_Allocation!$J$2:$J$201,$AB10))),"")))</f>
        <v/>
      </c>
      <c r="AG10" s="19">
        <f>IF($Z10="C",IF(INDEX(Contracts!$I$2:$I$151,$AB10)="PREPAID",INDEX(Contracts!$M$2:$M$151,$AB10)/IF(INDEX(Contracts!$N$2:$N$151,$AB10)="",12,INDEX(Contracts!$N$2:$N$151,$AB10)),IF(INDEX(Contracts!$I$2:$I$151,$AB10)="MONTHLY",INDEX(Contracts!$M$2:$M$151,$AB10),0))*(1-N(INDEX(Contracts!$O$2:$O$151,$AB10))),IF($Z10="A",INDEX(Fixed_Assets!$H$2:$H$201,$AB10)/INDEX(Fixed_Assets!$J$2:$J$201,$AB10),IF($Z10="F",INDEX(Workforce!$F$2:$F$151,MATCH(INDEX(FTE_Allocation!$A$2:$A$201,$AB10),Workforce!$A$2:$A$151,0))*N(INDEX(FTE_Allocation!$F$2:$H$201,$AB10,$AC10)),"")))</f>
        <v/>
      </c>
    </row>
    <row r="11">
      <c r="A11" s="7">
        <f>IF($Z11="","",$AD11)</f>
        <v/>
      </c>
      <c r="B11" s="7">
        <f>IF($Z11="C",INDEX(Contracts!$D$2:$D$151,$AB11)&amp;"",IF($Z11="A",INDEX(Fixed_Assets!$C$2:$C$201,$AB11)&amp;"",IF($Z11="F",INDEX(Workforce!$B$2:$B$151,MATCH(INDEX(FTE_Allocation!$A$2:$A$201,$AB11),Workforce!$A$2:$A$151,0))&amp;"","")))</f>
        <v/>
      </c>
      <c r="C11" s="7">
        <f>IF($Z11="C",INDEX(Contracts!$E$2:$E$151,$AB11)&amp;"",IF($Z11="A",INDEX(Fixed_Assets!$D$2:$D$201,$AB11)&amp;"",IF($Z11="F",INDEX(FTE_Allocation!$C$2:$C$201,$AB11)&amp;"","")))</f>
        <v/>
      </c>
      <c r="D11" s="7">
        <f>IF($Z11="C",INDEX(Contracts!$B$2:$B$151,$AB11)&amp;"",IF($Z11="A",INDEX(Fixed_Assets!$B$2:$B$201,$AB11)&amp;"",IF($Z11="F",INDEX(FTE_Allocation!$B$2:$B$201,$AB11)&amp;"","")))</f>
        <v/>
      </c>
      <c r="E11" s="7">
        <f>IF($Z11="C",INDEX(Contracts!$P$2:$P$151,$AB11)&amp;"",IF($Z11="A",INDEX(Fixed_Assets!$K$2:$K$201,$AB11)&amp;"",IF($Z11="F",IF(INDEX(FTE_Allocation!$D$2:$D$201,$AB11)="PROJECT",IFERROR(INDEX(Projects!$D:$D,MATCH(INDEX(FTE_Allocation!$E$2:$E$201,$AB11),Projects!$A:$A,0))&amp;"","#PROJECT?"),INDEX(FTE_Allocation!$E$2:$E$201,$AB11)&amp;""),"")))</f>
        <v/>
      </c>
      <c r="F11" s="7">
        <f>IF($Z11="C",INDEX(Contracts!$Q$2:$Q$151,$AB11)&amp;"",IF($Z11="A",INDEX(Fixed_Assets!$L$2:$L$201,$AB11)&amp;"",IF($Z11="F",INDEX(Workforce!$K$2:$K$151,MATCH(INDEX(FTE_Allocation!$A$2:$A$201,$AB11),Workforce!$A$2:$A$151,0))&amp;"","")))</f>
        <v/>
      </c>
      <c r="G11" s="7">
        <f>IF($Z11="C",INDEX(Contracts!$F$2:$F$151,$AB11)&amp;" / "&amp;INDEX(Contracts!$G$2:$G$151,$AB11),IF($Z11="A",INDEX(Fixed_Assets!$E$2:$E$201,$AB11)&amp;"",IF($Z11="F","Personnel "&amp;INDEX(FTE_Allocation!$A$2:$A$201,$AB11)&amp;IF(INDEX(FTE_Allocation!$D$2:$D$201,$AB11)="PROJECT"," ("&amp;INDEX(FTE_Allocation!$E$2:$E$201,$AB11)&amp;")",""),"")))</f>
        <v/>
      </c>
      <c r="H11" s="7">
        <f>IF($Z11="C","CONTRACT",IF($Z11="A","ASSET",IF($Z11="F","WORKFORCE","")))</f>
        <v/>
      </c>
      <c r="I11" s="7">
        <f>IF($Z11="C",INDEX(Contracts!$L$2:$L$151,$AB11)&amp;"",IF($Z11="A",INDEX(Fixed_Assets!$I$2:$I$201,$AB11)&amp;"",IF($Z11="F",INDEX(Workforce!$G$2:$G$151,MATCH(INDEX(FTE_Allocation!$A$2:$A$201,$AB11),Workforce!$A$2:$A$151,0))&amp;"","")))</f>
        <v/>
      </c>
      <c r="J11" s="18">
        <f>IF($Z11="","",IF(AND(DATE($AD11,1,1)&gt;=$AE11,DATE($AD11,1,1)&lt;=$AF11),ROUND($AG11,2),0))</f>
        <v/>
      </c>
      <c r="K11" s="18">
        <f>IF($Z11="","",IF(AND(DATE($AD11,2,1)&gt;=$AE11,DATE($AD11,2,1)&lt;=$AF11),ROUND($AG11,2),0))</f>
        <v/>
      </c>
      <c r="L11" s="18">
        <f>IF($Z11="","",IF(AND(DATE($AD11,3,1)&gt;=$AE11,DATE($AD11,3,1)&lt;=$AF11),ROUND($AG11,2),0))</f>
        <v/>
      </c>
      <c r="M11" s="18">
        <f>IF($Z11="","",IF(AND(DATE($AD11,4,1)&gt;=$AE11,DATE($AD11,4,1)&lt;=$AF11),ROUND($AG11,2),0))</f>
        <v/>
      </c>
      <c r="N11" s="18">
        <f>IF($Z11="","",IF(AND(DATE($AD11,5,1)&gt;=$AE11,DATE($AD11,5,1)&lt;=$AF11),ROUND($AG11,2),0))</f>
        <v/>
      </c>
      <c r="O11" s="18">
        <f>IF($Z11="","",IF(AND(DATE($AD11,6,1)&gt;=$AE11,DATE($AD11,6,1)&lt;=$AF11),ROUND($AG11,2),0))</f>
        <v/>
      </c>
      <c r="P11" s="18">
        <f>IF($Z11="","",IF(AND(DATE($AD11,7,1)&gt;=$AE11,DATE($AD11,7,1)&lt;=$AF11),ROUND($AG11,2),0))</f>
        <v/>
      </c>
      <c r="Q11" s="18">
        <f>IF($Z11="","",IF(AND(DATE($AD11,8,1)&gt;=$AE11,DATE($AD11,8,1)&lt;=$AF11),ROUND($AG11,2),0))</f>
        <v/>
      </c>
      <c r="R11" s="18">
        <f>IF($Z11="","",IF(AND(DATE($AD11,9,1)&gt;=$AE11,DATE($AD11,9,1)&lt;=$AF11),ROUND($AG11,2),0))</f>
        <v/>
      </c>
      <c r="S11" s="18">
        <f>IF($Z11="","",IF(AND(DATE($AD11,10,1)&gt;=$AE11,DATE($AD11,10,1)&lt;=$AF11),ROUND($AG11,2),0))</f>
        <v/>
      </c>
      <c r="T11" s="18">
        <f>IF($Z11="","",IF(AND(DATE($AD11,11,1)&gt;=$AE11,DATE($AD11,11,1)&lt;=$AF11),ROUND($AG11,2),0))</f>
        <v/>
      </c>
      <c r="U11" s="18">
        <f>IF($Z11="","",IF(AND(DATE($AD11,12,1)&gt;=$AE11,DATE($AD11,12,1)&lt;=$AF11),ROUND($AG11,2),0))</f>
        <v/>
      </c>
      <c r="V11" s="7">
        <f>IF($Z11="C","Generated from "&amp;INDEX(Contracts!$A$2:$A$151,$AB11),IF($Z11="A","Generated from "&amp;INDEX(Fixed_Assets!$A$2:$A$201,$AB11),IF($Z11="F","Generated from "&amp;INDEX(FTE_Allocation!$A$2:$A$201,$AB11),"")))</f>
        <v/>
      </c>
      <c r="X11" s="19">
        <f>IF($Z11="","",SUM(J11:U11))</f>
        <v/>
      </c>
      <c r="Y11" s="20">
        <f>ROW()-1</f>
        <v/>
      </c>
      <c r="Z11" s="20">
        <f>IF($Y11&lt;=Settings!$B$4*3,"C",IF($Y11&lt;=(Settings!$B$4+Settings!$B$5)*3,"A",IF($Y11&lt;=(Settings!$B$4+Settings!$B$5+Settings!$B$6)*3,"F","")))</f>
        <v/>
      </c>
      <c r="AA11" s="20">
        <f>IF($Z11="C",$Y11,IF($Z11="A",$Y11-Settings!$B$4*3,IF($Z11="F",$Y11-(Settings!$B$4+Settings!$B$5)*3,"")))</f>
        <v/>
      </c>
      <c r="AB11" s="20">
        <f>IF($Z11="","",INT(($AA11-1)/3)+1)</f>
        <v/>
      </c>
      <c r="AC11" s="20">
        <f>IF($Z11="","",MOD($AA11-1,3)+1)</f>
        <v/>
      </c>
      <c r="AD11" s="20">
        <f>IF($Z11="","",Settings!$B$2+$AC11-1)</f>
        <v/>
      </c>
      <c r="AE11" s="21">
        <f>IF($Z11="C",DATE(YEAR(INDEX(Contracts!$J$2:$J$151,$AB11)),MONTH(INDEX(Contracts!$J$2:$J$151,$AB11)),1),IF($Z11="A",DATE(YEAR(INDEX(Fixed_Assets!$G$2:$G$201,$AB11)),MONTH(INDEX(Fixed_Assets!$G$2:$G$201,$AB11)),1),IF($Z11="F",DATE(YEAR(MAX(N(INDEX(Workforce!$I$2:$I$151,MATCH(INDEX(FTE_Allocation!$A$2:$A$201,$AB11),Workforce!$A$2:$A$151,0))),N(INDEX(FTE_Allocation!$I$2:$I$201,$AB11)))),MONTH(MAX(N(INDEX(Workforce!$I$2:$I$151,MATCH(INDEX(FTE_Allocation!$A$2:$A$201,$AB11),Workforce!$A$2:$A$151,0))),N(INDEX(FTE_Allocation!$I$2:$I$201,$AB11)))),1),"")))</f>
        <v/>
      </c>
      <c r="AF11" s="21">
        <f>IF($Z11="C",IF(INDEX(Contracts!$I$2:$I$151,$AB11)="PREPAID",EDATE(DATE(YEAR(INDEX(Contracts!$J$2:$J$151,$AB11)),MONTH(INDEX(Contracts!$J$2:$J$151,$AB11)),1),IF(INDEX(Contracts!$N$2:$N$151,$AB11)="",12,INDEX(Contracts!$N$2:$N$151,$AB11))-1),IF(INDEX(Contracts!$I$2:$I$151,$AB11)="MONTHLY",IF(INDEX(Contracts!$K$2:$K$151,$AB11)="",2958101,INDEX(Contracts!$K$2:$K$151,$AB11)),0)),IF($Z11="A",EDATE(DATE(YEAR(INDEX(Fixed_Assets!$G$2:$G$201,$AB11)),MONTH(INDEX(Fixed_Assets!$G$2:$G$201,$AB11)),1),INDEX(Fixed_Assets!$J$2:$J$201,$AB11)-1),IF($Z11="F",MIN(IF(INDEX(Workforce!$J$2:$J$151,MATCH(INDEX(FTE_Allocation!$A$2:$A$201,$AB11),Workforce!$A$2:$A$151,0))="",2958101,INDEX(Workforce!$J$2:$J$151,MATCH(INDEX(FTE_Allocation!$A$2:$A$201,$AB11),Workforce!$A$2:$A$151,0))),IF(INDEX(FTE_Allocation!$J$2:$J$201,$AB11)="",2958101,INDEX(FTE_Allocation!$J$2:$J$201,$AB11))),"")))</f>
        <v/>
      </c>
      <c r="AG11" s="19">
        <f>IF($Z11="C",IF(INDEX(Contracts!$I$2:$I$151,$AB11)="PREPAID",INDEX(Contracts!$M$2:$M$151,$AB11)/IF(INDEX(Contracts!$N$2:$N$151,$AB11)="",12,INDEX(Contracts!$N$2:$N$151,$AB11)),IF(INDEX(Contracts!$I$2:$I$151,$AB11)="MONTHLY",INDEX(Contracts!$M$2:$M$151,$AB11),0))*(1-N(INDEX(Contracts!$O$2:$O$151,$AB11))),IF($Z11="A",INDEX(Fixed_Assets!$H$2:$H$201,$AB11)/INDEX(Fixed_Assets!$J$2:$J$201,$AB11),IF($Z11="F",INDEX(Workforce!$F$2:$F$151,MATCH(INDEX(FTE_Allocation!$A$2:$A$201,$AB11),Workforce!$A$2:$A$151,0))*N(INDEX(FTE_Allocation!$F$2:$H$201,$AB11,$AC11)),"")))</f>
        <v/>
      </c>
    </row>
    <row r="12">
      <c r="A12" s="7">
        <f>IF($Z12="","",$AD12)</f>
        <v/>
      </c>
      <c r="B12" s="7">
        <f>IF($Z12="C",INDEX(Contracts!$D$2:$D$151,$AB12)&amp;"",IF($Z12="A",INDEX(Fixed_Assets!$C$2:$C$201,$AB12)&amp;"",IF($Z12="F",INDEX(Workforce!$B$2:$B$151,MATCH(INDEX(FTE_Allocation!$A$2:$A$201,$AB12),Workforce!$A$2:$A$151,0))&amp;"","")))</f>
        <v/>
      </c>
      <c r="C12" s="7">
        <f>IF($Z12="C",INDEX(Contracts!$E$2:$E$151,$AB12)&amp;"",IF($Z12="A",INDEX(Fixed_Assets!$D$2:$D$201,$AB12)&amp;"",IF($Z12="F",INDEX(FTE_Allocation!$C$2:$C$201,$AB12)&amp;"","")))</f>
        <v/>
      </c>
      <c r="D12" s="7">
        <f>IF($Z12="C",INDEX(Contracts!$B$2:$B$151,$AB12)&amp;"",IF($Z12="A",INDEX(Fixed_Assets!$B$2:$B$201,$AB12)&amp;"",IF($Z12="F",INDEX(FTE_Allocation!$B$2:$B$201,$AB12)&amp;"","")))</f>
        <v/>
      </c>
      <c r="E12" s="7">
        <f>IF($Z12="C",INDEX(Contracts!$P$2:$P$151,$AB12)&amp;"",IF($Z12="A",INDEX(Fixed_Assets!$K$2:$K$201,$AB12)&amp;"",IF($Z12="F",IF(INDEX(FTE_Allocation!$D$2:$D$201,$AB12)="PROJECT",IFERROR(INDEX(Projects!$D:$D,MATCH(INDEX(FTE_Allocation!$E$2:$E$201,$AB12),Projects!$A:$A,0))&amp;"","#PROJECT?"),INDEX(FTE_Allocation!$E$2:$E$201,$AB12)&amp;""),"")))</f>
        <v/>
      </c>
      <c r="F12" s="7">
        <f>IF($Z12="C",INDEX(Contracts!$Q$2:$Q$151,$AB12)&amp;"",IF($Z12="A",INDEX(Fixed_Assets!$L$2:$L$201,$AB12)&amp;"",IF($Z12="F",INDEX(Workforce!$K$2:$K$151,MATCH(INDEX(FTE_Allocation!$A$2:$A$201,$AB12),Workforce!$A$2:$A$151,0))&amp;"","")))</f>
        <v/>
      </c>
      <c r="G12" s="7">
        <f>IF($Z12="C",INDEX(Contracts!$F$2:$F$151,$AB12)&amp;" / "&amp;INDEX(Contracts!$G$2:$G$151,$AB12),IF($Z12="A",INDEX(Fixed_Assets!$E$2:$E$201,$AB12)&amp;"",IF($Z12="F","Personnel "&amp;INDEX(FTE_Allocation!$A$2:$A$201,$AB12)&amp;IF(INDEX(FTE_Allocation!$D$2:$D$201,$AB12)="PROJECT"," ("&amp;INDEX(FTE_Allocation!$E$2:$E$201,$AB12)&amp;")",""),"")))</f>
        <v/>
      </c>
      <c r="H12" s="7">
        <f>IF($Z12="C","CONTRACT",IF($Z12="A","ASSET",IF($Z12="F","WORKFORCE","")))</f>
        <v/>
      </c>
      <c r="I12" s="7">
        <f>IF($Z12="C",INDEX(Contracts!$L$2:$L$151,$AB12)&amp;"",IF($Z12="A",INDEX(Fixed_Assets!$I$2:$I$201,$AB12)&amp;"",IF($Z12="F",INDEX(Workforce!$G$2:$G$151,MATCH(INDEX(FTE_Allocation!$A$2:$A$201,$AB12),Workforce!$A$2:$A$151,0))&amp;"","")))</f>
        <v/>
      </c>
      <c r="J12" s="18">
        <f>IF($Z12="","",IF(AND(DATE($AD12,1,1)&gt;=$AE12,DATE($AD12,1,1)&lt;=$AF12),ROUND($AG12,2),0))</f>
        <v/>
      </c>
      <c r="K12" s="18">
        <f>IF($Z12="","",IF(AND(DATE($AD12,2,1)&gt;=$AE12,DATE($AD12,2,1)&lt;=$AF12),ROUND($AG12,2),0))</f>
        <v/>
      </c>
      <c r="L12" s="18">
        <f>IF($Z12="","",IF(AND(DATE($AD12,3,1)&gt;=$AE12,DATE($AD12,3,1)&lt;=$AF12),ROUND($AG12,2),0))</f>
        <v/>
      </c>
      <c r="M12" s="18">
        <f>IF($Z12="","",IF(AND(DATE($AD12,4,1)&gt;=$AE12,DATE($AD12,4,1)&lt;=$AF12),ROUND($AG12,2),0))</f>
        <v/>
      </c>
      <c r="N12" s="18">
        <f>IF($Z12="","",IF(AND(DATE($AD12,5,1)&gt;=$AE12,DATE($AD12,5,1)&lt;=$AF12),ROUND($AG12,2),0))</f>
        <v/>
      </c>
      <c r="O12" s="18">
        <f>IF($Z12="","",IF(AND(DATE($AD12,6,1)&gt;=$AE12,DATE($AD12,6,1)&lt;=$AF12),ROUND($AG12,2),0))</f>
        <v/>
      </c>
      <c r="P12" s="18">
        <f>IF($Z12="","",IF(AND(DATE($AD12,7,1)&gt;=$AE12,DATE($AD12,7,1)&lt;=$AF12),ROUND($AG12,2),0))</f>
        <v/>
      </c>
      <c r="Q12" s="18">
        <f>IF($Z12="","",IF(AND(DATE($AD12,8,1)&gt;=$AE12,DATE($AD12,8,1)&lt;=$AF12),ROUND($AG12,2),0))</f>
        <v/>
      </c>
      <c r="R12" s="18">
        <f>IF($Z12="","",IF(AND(DATE($AD12,9,1)&gt;=$AE12,DATE($AD12,9,1)&lt;=$AF12),ROUND($AG12,2),0))</f>
        <v/>
      </c>
      <c r="S12" s="18">
        <f>IF($Z12="","",IF(AND(DATE($AD12,10,1)&gt;=$AE12,DATE($AD12,10,1)&lt;=$AF12),ROUND($AG12,2),0))</f>
        <v/>
      </c>
      <c r="T12" s="18">
        <f>IF($Z12="","",IF(AND(DATE($AD12,11,1)&gt;=$AE12,DATE($AD12,11,1)&lt;=$AF12),ROUND($AG12,2),0))</f>
        <v/>
      </c>
      <c r="U12" s="18">
        <f>IF($Z12="","",IF(AND(DATE($AD12,12,1)&gt;=$AE12,DATE($AD12,12,1)&lt;=$AF12),ROUND($AG12,2),0))</f>
        <v/>
      </c>
      <c r="V12" s="7">
        <f>IF($Z12="C","Generated from "&amp;INDEX(Contracts!$A$2:$A$151,$AB12),IF($Z12="A","Generated from "&amp;INDEX(Fixed_Assets!$A$2:$A$201,$AB12),IF($Z12="F","Generated from "&amp;INDEX(FTE_Allocation!$A$2:$A$201,$AB12),"")))</f>
        <v/>
      </c>
      <c r="X12" s="19">
        <f>IF($Z12="","",SUM(J12:U12))</f>
        <v/>
      </c>
      <c r="Y12" s="20">
        <f>ROW()-1</f>
        <v/>
      </c>
      <c r="Z12" s="20">
        <f>IF($Y12&lt;=Settings!$B$4*3,"C",IF($Y12&lt;=(Settings!$B$4+Settings!$B$5)*3,"A",IF($Y12&lt;=(Settings!$B$4+Settings!$B$5+Settings!$B$6)*3,"F","")))</f>
        <v/>
      </c>
      <c r="AA12" s="20">
        <f>IF($Z12="C",$Y12,IF($Z12="A",$Y12-Settings!$B$4*3,IF($Z12="F",$Y12-(Settings!$B$4+Settings!$B$5)*3,"")))</f>
        <v/>
      </c>
      <c r="AB12" s="20">
        <f>IF($Z12="","",INT(($AA12-1)/3)+1)</f>
        <v/>
      </c>
      <c r="AC12" s="20">
        <f>IF($Z12="","",MOD($AA12-1,3)+1)</f>
        <v/>
      </c>
      <c r="AD12" s="20">
        <f>IF($Z12="","",Settings!$B$2+$AC12-1)</f>
        <v/>
      </c>
      <c r="AE12" s="21">
        <f>IF($Z12="C",DATE(YEAR(INDEX(Contracts!$J$2:$J$151,$AB12)),MONTH(INDEX(Contracts!$J$2:$J$151,$AB12)),1),IF($Z12="A",DATE(YEAR(INDEX(Fixed_Assets!$G$2:$G$201,$AB12)),MONTH(INDEX(Fixed_Assets!$G$2:$G$201,$AB12)),1),IF($Z12="F",DATE(YEAR(MAX(N(INDEX(Workforce!$I$2:$I$151,MATCH(INDEX(FTE_Allocation!$A$2:$A$201,$AB12),Workforce!$A$2:$A$151,0))),N(INDEX(FTE_Allocation!$I$2:$I$201,$AB12)))),MONTH(MAX(N(INDEX(Workforce!$I$2:$I$151,MATCH(INDEX(FTE_Allocation!$A$2:$A$201,$AB12),Workforce!$A$2:$A$151,0))),N(INDEX(FTE_Allocation!$I$2:$I$201,$AB12)))),1),"")))</f>
        <v/>
      </c>
      <c r="AF12" s="21">
        <f>IF($Z12="C",IF(INDEX(Contracts!$I$2:$I$151,$AB12)="PREPAID",EDATE(DATE(YEAR(INDEX(Contracts!$J$2:$J$151,$AB12)),MONTH(INDEX(Contracts!$J$2:$J$151,$AB12)),1),IF(INDEX(Contracts!$N$2:$N$151,$AB12)="",12,INDEX(Contracts!$N$2:$N$151,$AB12))-1),IF(INDEX(Contracts!$I$2:$I$151,$AB12)="MONTHLY",IF(INDEX(Contracts!$K$2:$K$151,$AB12)="",2958101,INDEX(Contracts!$K$2:$K$151,$AB12)),0)),IF($Z12="A",EDATE(DATE(YEAR(INDEX(Fixed_Assets!$G$2:$G$201,$AB12)),MONTH(INDEX(Fixed_Assets!$G$2:$G$201,$AB12)),1),INDEX(Fixed_Assets!$J$2:$J$201,$AB12)-1),IF($Z12="F",MIN(IF(INDEX(Workforce!$J$2:$J$151,MATCH(INDEX(FTE_Allocation!$A$2:$A$201,$AB12),Workforce!$A$2:$A$151,0))="",2958101,INDEX(Workforce!$J$2:$J$151,MATCH(INDEX(FTE_Allocation!$A$2:$A$201,$AB12),Workforce!$A$2:$A$151,0))),IF(INDEX(FTE_Allocation!$J$2:$J$201,$AB12)="",2958101,INDEX(FTE_Allocation!$J$2:$J$201,$AB12))),"")))</f>
        <v/>
      </c>
      <c r="AG12" s="19">
        <f>IF($Z12="C",IF(INDEX(Contracts!$I$2:$I$151,$AB12)="PREPAID",INDEX(Contracts!$M$2:$M$151,$AB12)/IF(INDEX(Contracts!$N$2:$N$151,$AB12)="",12,INDEX(Contracts!$N$2:$N$151,$AB12)),IF(INDEX(Contracts!$I$2:$I$151,$AB12)="MONTHLY",INDEX(Contracts!$M$2:$M$151,$AB12),0))*(1-N(INDEX(Contracts!$O$2:$O$151,$AB12))),IF($Z12="A",INDEX(Fixed_Assets!$H$2:$H$201,$AB12)/INDEX(Fixed_Assets!$J$2:$J$201,$AB12),IF($Z12="F",INDEX(Workforce!$F$2:$F$151,MATCH(INDEX(FTE_Allocation!$A$2:$A$201,$AB12),Workforce!$A$2:$A$151,0))*N(INDEX(FTE_Allocation!$F$2:$H$201,$AB12,$AC12)),"")))</f>
        <v/>
      </c>
    </row>
    <row r="13">
      <c r="A13" s="7">
        <f>IF($Z13="","",$AD13)</f>
        <v/>
      </c>
      <c r="B13" s="7">
        <f>IF($Z13="C",INDEX(Contracts!$D$2:$D$151,$AB13)&amp;"",IF($Z13="A",INDEX(Fixed_Assets!$C$2:$C$201,$AB13)&amp;"",IF($Z13="F",INDEX(Workforce!$B$2:$B$151,MATCH(INDEX(FTE_Allocation!$A$2:$A$201,$AB13),Workforce!$A$2:$A$151,0))&amp;"","")))</f>
        <v/>
      </c>
      <c r="C13" s="7">
        <f>IF($Z13="C",INDEX(Contracts!$E$2:$E$151,$AB13)&amp;"",IF($Z13="A",INDEX(Fixed_Assets!$D$2:$D$201,$AB13)&amp;"",IF($Z13="F",INDEX(FTE_Allocation!$C$2:$C$201,$AB13)&amp;"","")))</f>
        <v/>
      </c>
      <c r="D13" s="7">
        <f>IF($Z13="C",INDEX(Contracts!$B$2:$B$151,$AB13)&amp;"",IF($Z13="A",INDEX(Fixed_Assets!$B$2:$B$201,$AB13)&amp;"",IF($Z13="F",INDEX(FTE_Allocation!$B$2:$B$201,$AB13)&amp;"","")))</f>
        <v/>
      </c>
      <c r="E13" s="7">
        <f>IF($Z13="C",INDEX(Contracts!$P$2:$P$151,$AB13)&amp;"",IF($Z13="A",INDEX(Fixed_Assets!$K$2:$K$201,$AB13)&amp;"",IF($Z13="F",IF(INDEX(FTE_Allocation!$D$2:$D$201,$AB13)="PROJECT",IFERROR(INDEX(Projects!$D:$D,MATCH(INDEX(FTE_Allocation!$E$2:$E$201,$AB13),Projects!$A:$A,0))&amp;"","#PROJECT?"),INDEX(FTE_Allocation!$E$2:$E$201,$AB13)&amp;""),"")))</f>
        <v/>
      </c>
      <c r="F13" s="7">
        <f>IF($Z13="C",INDEX(Contracts!$Q$2:$Q$151,$AB13)&amp;"",IF($Z13="A",INDEX(Fixed_Assets!$L$2:$L$201,$AB13)&amp;"",IF($Z13="F",INDEX(Workforce!$K$2:$K$151,MATCH(INDEX(FTE_Allocation!$A$2:$A$201,$AB13),Workforce!$A$2:$A$151,0))&amp;"","")))</f>
        <v/>
      </c>
      <c r="G13" s="7">
        <f>IF($Z13="C",INDEX(Contracts!$F$2:$F$151,$AB13)&amp;" / "&amp;INDEX(Contracts!$G$2:$G$151,$AB13),IF($Z13="A",INDEX(Fixed_Assets!$E$2:$E$201,$AB13)&amp;"",IF($Z13="F","Personnel "&amp;INDEX(FTE_Allocation!$A$2:$A$201,$AB13)&amp;IF(INDEX(FTE_Allocation!$D$2:$D$201,$AB13)="PROJECT"," ("&amp;INDEX(FTE_Allocation!$E$2:$E$201,$AB13)&amp;")",""),"")))</f>
        <v/>
      </c>
      <c r="H13" s="7">
        <f>IF($Z13="C","CONTRACT",IF($Z13="A","ASSET",IF($Z13="F","WORKFORCE","")))</f>
        <v/>
      </c>
      <c r="I13" s="7">
        <f>IF($Z13="C",INDEX(Contracts!$L$2:$L$151,$AB13)&amp;"",IF($Z13="A",INDEX(Fixed_Assets!$I$2:$I$201,$AB13)&amp;"",IF($Z13="F",INDEX(Workforce!$G$2:$G$151,MATCH(INDEX(FTE_Allocation!$A$2:$A$201,$AB13),Workforce!$A$2:$A$151,0))&amp;"","")))</f>
        <v/>
      </c>
      <c r="J13" s="18">
        <f>IF($Z13="","",IF(AND(DATE($AD13,1,1)&gt;=$AE13,DATE($AD13,1,1)&lt;=$AF13),ROUND($AG13,2),0))</f>
        <v/>
      </c>
      <c r="K13" s="18">
        <f>IF($Z13="","",IF(AND(DATE($AD13,2,1)&gt;=$AE13,DATE($AD13,2,1)&lt;=$AF13),ROUND($AG13,2),0))</f>
        <v/>
      </c>
      <c r="L13" s="18">
        <f>IF($Z13="","",IF(AND(DATE($AD13,3,1)&gt;=$AE13,DATE($AD13,3,1)&lt;=$AF13),ROUND($AG13,2),0))</f>
        <v/>
      </c>
      <c r="M13" s="18">
        <f>IF($Z13="","",IF(AND(DATE($AD13,4,1)&gt;=$AE13,DATE($AD13,4,1)&lt;=$AF13),ROUND($AG13,2),0))</f>
        <v/>
      </c>
      <c r="N13" s="18">
        <f>IF($Z13="","",IF(AND(DATE($AD13,5,1)&gt;=$AE13,DATE($AD13,5,1)&lt;=$AF13),ROUND($AG13,2),0))</f>
        <v/>
      </c>
      <c r="O13" s="18">
        <f>IF($Z13="","",IF(AND(DATE($AD13,6,1)&gt;=$AE13,DATE($AD13,6,1)&lt;=$AF13),ROUND($AG13,2),0))</f>
        <v/>
      </c>
      <c r="P13" s="18">
        <f>IF($Z13="","",IF(AND(DATE($AD13,7,1)&gt;=$AE13,DATE($AD13,7,1)&lt;=$AF13),ROUND($AG13,2),0))</f>
        <v/>
      </c>
      <c r="Q13" s="18">
        <f>IF($Z13="","",IF(AND(DATE($AD13,8,1)&gt;=$AE13,DATE($AD13,8,1)&lt;=$AF13),ROUND($AG13,2),0))</f>
        <v/>
      </c>
      <c r="R13" s="18">
        <f>IF($Z13="","",IF(AND(DATE($AD13,9,1)&gt;=$AE13,DATE($AD13,9,1)&lt;=$AF13),ROUND($AG13,2),0))</f>
        <v/>
      </c>
      <c r="S13" s="18">
        <f>IF($Z13="","",IF(AND(DATE($AD13,10,1)&gt;=$AE13,DATE($AD13,10,1)&lt;=$AF13),ROUND($AG13,2),0))</f>
        <v/>
      </c>
      <c r="T13" s="18">
        <f>IF($Z13="","",IF(AND(DATE($AD13,11,1)&gt;=$AE13,DATE($AD13,11,1)&lt;=$AF13),ROUND($AG13,2),0))</f>
        <v/>
      </c>
      <c r="U13" s="18">
        <f>IF($Z13="","",IF(AND(DATE($AD13,12,1)&gt;=$AE13,DATE($AD13,12,1)&lt;=$AF13),ROUND($AG13,2),0))</f>
        <v/>
      </c>
      <c r="V13" s="7">
        <f>IF($Z13="C","Generated from "&amp;INDEX(Contracts!$A$2:$A$151,$AB13),IF($Z13="A","Generated from "&amp;INDEX(Fixed_Assets!$A$2:$A$201,$AB13),IF($Z13="F","Generated from "&amp;INDEX(FTE_Allocation!$A$2:$A$201,$AB13),"")))</f>
        <v/>
      </c>
      <c r="X13" s="19">
        <f>IF($Z13="","",SUM(J13:U13))</f>
        <v/>
      </c>
      <c r="Y13" s="20">
        <f>ROW()-1</f>
        <v/>
      </c>
      <c r="Z13" s="20">
        <f>IF($Y13&lt;=Settings!$B$4*3,"C",IF($Y13&lt;=(Settings!$B$4+Settings!$B$5)*3,"A",IF($Y13&lt;=(Settings!$B$4+Settings!$B$5+Settings!$B$6)*3,"F","")))</f>
        <v/>
      </c>
      <c r="AA13" s="20">
        <f>IF($Z13="C",$Y13,IF($Z13="A",$Y13-Settings!$B$4*3,IF($Z13="F",$Y13-(Settings!$B$4+Settings!$B$5)*3,"")))</f>
        <v/>
      </c>
      <c r="AB13" s="20">
        <f>IF($Z13="","",INT(($AA13-1)/3)+1)</f>
        <v/>
      </c>
      <c r="AC13" s="20">
        <f>IF($Z13="","",MOD($AA13-1,3)+1)</f>
        <v/>
      </c>
      <c r="AD13" s="20">
        <f>IF($Z13="","",Settings!$B$2+$AC13-1)</f>
        <v/>
      </c>
      <c r="AE13" s="21">
        <f>IF($Z13="C",DATE(YEAR(INDEX(Contracts!$J$2:$J$151,$AB13)),MONTH(INDEX(Contracts!$J$2:$J$151,$AB13)),1),IF($Z13="A",DATE(YEAR(INDEX(Fixed_Assets!$G$2:$G$201,$AB13)),MONTH(INDEX(Fixed_Assets!$G$2:$G$201,$AB13)),1),IF($Z13="F",DATE(YEAR(MAX(N(INDEX(Workforce!$I$2:$I$151,MATCH(INDEX(FTE_Allocation!$A$2:$A$201,$AB13),Workforce!$A$2:$A$151,0))),N(INDEX(FTE_Allocation!$I$2:$I$201,$AB13)))),MONTH(MAX(N(INDEX(Workforce!$I$2:$I$151,MATCH(INDEX(FTE_Allocation!$A$2:$A$201,$AB13),Workforce!$A$2:$A$151,0))),N(INDEX(FTE_Allocation!$I$2:$I$201,$AB13)))),1),"")))</f>
        <v/>
      </c>
      <c r="AF13" s="21">
        <f>IF($Z13="C",IF(INDEX(Contracts!$I$2:$I$151,$AB13)="PREPAID",EDATE(DATE(YEAR(INDEX(Contracts!$J$2:$J$151,$AB13)),MONTH(INDEX(Contracts!$J$2:$J$151,$AB13)),1),IF(INDEX(Contracts!$N$2:$N$151,$AB13)="",12,INDEX(Contracts!$N$2:$N$151,$AB13))-1),IF(INDEX(Contracts!$I$2:$I$151,$AB13)="MONTHLY",IF(INDEX(Contracts!$K$2:$K$151,$AB13)="",2958101,INDEX(Contracts!$K$2:$K$151,$AB13)),0)),IF($Z13="A",EDATE(DATE(YEAR(INDEX(Fixed_Assets!$G$2:$G$201,$AB13)),MONTH(INDEX(Fixed_Assets!$G$2:$G$201,$AB13)),1),INDEX(Fixed_Assets!$J$2:$J$201,$AB13)-1),IF($Z13="F",MIN(IF(INDEX(Workforce!$J$2:$J$151,MATCH(INDEX(FTE_Allocation!$A$2:$A$201,$AB13),Workforce!$A$2:$A$151,0))="",2958101,INDEX(Workforce!$J$2:$J$151,MATCH(INDEX(FTE_Allocation!$A$2:$A$201,$AB13),Workforce!$A$2:$A$151,0))),IF(INDEX(FTE_Allocation!$J$2:$J$201,$AB13)="",2958101,INDEX(FTE_Allocation!$J$2:$J$201,$AB13))),"")))</f>
        <v/>
      </c>
      <c r="AG13" s="19">
        <f>IF($Z13="C",IF(INDEX(Contracts!$I$2:$I$151,$AB13)="PREPAID",INDEX(Contracts!$M$2:$M$151,$AB13)/IF(INDEX(Contracts!$N$2:$N$151,$AB13)="",12,INDEX(Contracts!$N$2:$N$151,$AB13)),IF(INDEX(Contracts!$I$2:$I$151,$AB13)="MONTHLY",INDEX(Contracts!$M$2:$M$151,$AB13),0))*(1-N(INDEX(Contracts!$O$2:$O$151,$AB13))),IF($Z13="A",INDEX(Fixed_Assets!$H$2:$H$201,$AB13)/INDEX(Fixed_Assets!$J$2:$J$201,$AB13),IF($Z13="F",INDEX(Workforce!$F$2:$F$151,MATCH(INDEX(FTE_Allocation!$A$2:$A$201,$AB13),Workforce!$A$2:$A$151,0))*N(INDEX(FTE_Allocation!$F$2:$H$201,$AB13,$AC13)),"")))</f>
        <v/>
      </c>
    </row>
    <row r="14">
      <c r="A14" s="7">
        <f>IF($Z14="","",$AD14)</f>
        <v/>
      </c>
      <c r="B14" s="7">
        <f>IF($Z14="C",INDEX(Contracts!$D$2:$D$151,$AB14)&amp;"",IF($Z14="A",INDEX(Fixed_Assets!$C$2:$C$201,$AB14)&amp;"",IF($Z14="F",INDEX(Workforce!$B$2:$B$151,MATCH(INDEX(FTE_Allocation!$A$2:$A$201,$AB14),Workforce!$A$2:$A$151,0))&amp;"","")))</f>
        <v/>
      </c>
      <c r="C14" s="7">
        <f>IF($Z14="C",INDEX(Contracts!$E$2:$E$151,$AB14)&amp;"",IF($Z14="A",INDEX(Fixed_Assets!$D$2:$D$201,$AB14)&amp;"",IF($Z14="F",INDEX(FTE_Allocation!$C$2:$C$201,$AB14)&amp;"","")))</f>
        <v/>
      </c>
      <c r="D14" s="7">
        <f>IF($Z14="C",INDEX(Contracts!$B$2:$B$151,$AB14)&amp;"",IF($Z14="A",INDEX(Fixed_Assets!$B$2:$B$201,$AB14)&amp;"",IF($Z14="F",INDEX(FTE_Allocation!$B$2:$B$201,$AB14)&amp;"","")))</f>
        <v/>
      </c>
      <c r="E14" s="7">
        <f>IF($Z14="C",INDEX(Contracts!$P$2:$P$151,$AB14)&amp;"",IF($Z14="A",INDEX(Fixed_Assets!$K$2:$K$201,$AB14)&amp;"",IF($Z14="F",IF(INDEX(FTE_Allocation!$D$2:$D$201,$AB14)="PROJECT",IFERROR(INDEX(Projects!$D:$D,MATCH(INDEX(FTE_Allocation!$E$2:$E$201,$AB14),Projects!$A:$A,0))&amp;"","#PROJECT?"),INDEX(FTE_Allocation!$E$2:$E$201,$AB14)&amp;""),"")))</f>
        <v/>
      </c>
      <c r="F14" s="7">
        <f>IF($Z14="C",INDEX(Contracts!$Q$2:$Q$151,$AB14)&amp;"",IF($Z14="A",INDEX(Fixed_Assets!$L$2:$L$201,$AB14)&amp;"",IF($Z14="F",INDEX(Workforce!$K$2:$K$151,MATCH(INDEX(FTE_Allocation!$A$2:$A$201,$AB14),Workforce!$A$2:$A$151,0))&amp;"","")))</f>
        <v/>
      </c>
      <c r="G14" s="7">
        <f>IF($Z14="C",INDEX(Contracts!$F$2:$F$151,$AB14)&amp;" / "&amp;INDEX(Contracts!$G$2:$G$151,$AB14),IF($Z14="A",INDEX(Fixed_Assets!$E$2:$E$201,$AB14)&amp;"",IF($Z14="F","Personnel "&amp;INDEX(FTE_Allocation!$A$2:$A$201,$AB14)&amp;IF(INDEX(FTE_Allocation!$D$2:$D$201,$AB14)="PROJECT"," ("&amp;INDEX(FTE_Allocation!$E$2:$E$201,$AB14)&amp;")",""),"")))</f>
        <v/>
      </c>
      <c r="H14" s="7">
        <f>IF($Z14="C","CONTRACT",IF($Z14="A","ASSET",IF($Z14="F","WORKFORCE","")))</f>
        <v/>
      </c>
      <c r="I14" s="7">
        <f>IF($Z14="C",INDEX(Contracts!$L$2:$L$151,$AB14)&amp;"",IF($Z14="A",INDEX(Fixed_Assets!$I$2:$I$201,$AB14)&amp;"",IF($Z14="F",INDEX(Workforce!$G$2:$G$151,MATCH(INDEX(FTE_Allocation!$A$2:$A$201,$AB14),Workforce!$A$2:$A$151,0))&amp;"","")))</f>
        <v/>
      </c>
      <c r="J14" s="18">
        <f>IF($Z14="","",IF(AND(DATE($AD14,1,1)&gt;=$AE14,DATE($AD14,1,1)&lt;=$AF14),ROUND($AG14,2),0))</f>
        <v/>
      </c>
      <c r="K14" s="18">
        <f>IF($Z14="","",IF(AND(DATE($AD14,2,1)&gt;=$AE14,DATE($AD14,2,1)&lt;=$AF14),ROUND($AG14,2),0))</f>
        <v/>
      </c>
      <c r="L14" s="18">
        <f>IF($Z14="","",IF(AND(DATE($AD14,3,1)&gt;=$AE14,DATE($AD14,3,1)&lt;=$AF14),ROUND($AG14,2),0))</f>
        <v/>
      </c>
      <c r="M14" s="18">
        <f>IF($Z14="","",IF(AND(DATE($AD14,4,1)&gt;=$AE14,DATE($AD14,4,1)&lt;=$AF14),ROUND($AG14,2),0))</f>
        <v/>
      </c>
      <c r="N14" s="18">
        <f>IF($Z14="","",IF(AND(DATE($AD14,5,1)&gt;=$AE14,DATE($AD14,5,1)&lt;=$AF14),ROUND($AG14,2),0))</f>
        <v/>
      </c>
      <c r="O14" s="18">
        <f>IF($Z14="","",IF(AND(DATE($AD14,6,1)&gt;=$AE14,DATE($AD14,6,1)&lt;=$AF14),ROUND($AG14,2),0))</f>
        <v/>
      </c>
      <c r="P14" s="18">
        <f>IF($Z14="","",IF(AND(DATE($AD14,7,1)&gt;=$AE14,DATE($AD14,7,1)&lt;=$AF14),ROUND($AG14,2),0))</f>
        <v/>
      </c>
      <c r="Q14" s="18">
        <f>IF($Z14="","",IF(AND(DATE($AD14,8,1)&gt;=$AE14,DATE($AD14,8,1)&lt;=$AF14),ROUND($AG14,2),0))</f>
        <v/>
      </c>
      <c r="R14" s="18">
        <f>IF($Z14="","",IF(AND(DATE($AD14,9,1)&gt;=$AE14,DATE($AD14,9,1)&lt;=$AF14),ROUND($AG14,2),0))</f>
        <v/>
      </c>
      <c r="S14" s="18">
        <f>IF($Z14="","",IF(AND(DATE($AD14,10,1)&gt;=$AE14,DATE($AD14,10,1)&lt;=$AF14),ROUND($AG14,2),0))</f>
        <v/>
      </c>
      <c r="T14" s="18">
        <f>IF($Z14="","",IF(AND(DATE($AD14,11,1)&gt;=$AE14,DATE($AD14,11,1)&lt;=$AF14),ROUND($AG14,2),0))</f>
        <v/>
      </c>
      <c r="U14" s="18">
        <f>IF($Z14="","",IF(AND(DATE($AD14,12,1)&gt;=$AE14,DATE($AD14,12,1)&lt;=$AF14),ROUND($AG14,2),0))</f>
        <v/>
      </c>
      <c r="V14" s="7">
        <f>IF($Z14="C","Generated from "&amp;INDEX(Contracts!$A$2:$A$151,$AB14),IF($Z14="A","Generated from "&amp;INDEX(Fixed_Assets!$A$2:$A$201,$AB14),IF($Z14="F","Generated from "&amp;INDEX(FTE_Allocation!$A$2:$A$201,$AB14),"")))</f>
        <v/>
      </c>
      <c r="X14" s="19">
        <f>IF($Z14="","",SUM(J14:U14))</f>
        <v/>
      </c>
      <c r="Y14" s="20">
        <f>ROW()-1</f>
        <v/>
      </c>
      <c r="Z14" s="20">
        <f>IF($Y14&lt;=Settings!$B$4*3,"C",IF($Y14&lt;=(Settings!$B$4+Settings!$B$5)*3,"A",IF($Y14&lt;=(Settings!$B$4+Settings!$B$5+Settings!$B$6)*3,"F","")))</f>
        <v/>
      </c>
      <c r="AA14" s="20">
        <f>IF($Z14="C",$Y14,IF($Z14="A",$Y14-Settings!$B$4*3,IF($Z14="F",$Y14-(Settings!$B$4+Settings!$B$5)*3,"")))</f>
        <v/>
      </c>
      <c r="AB14" s="20">
        <f>IF($Z14="","",INT(($AA14-1)/3)+1)</f>
        <v/>
      </c>
      <c r="AC14" s="20">
        <f>IF($Z14="","",MOD($AA14-1,3)+1)</f>
        <v/>
      </c>
      <c r="AD14" s="20">
        <f>IF($Z14="","",Settings!$B$2+$AC14-1)</f>
        <v/>
      </c>
      <c r="AE14" s="21">
        <f>IF($Z14="C",DATE(YEAR(INDEX(Contracts!$J$2:$J$151,$AB14)),MONTH(INDEX(Contracts!$J$2:$J$151,$AB14)),1),IF($Z14="A",DATE(YEAR(INDEX(Fixed_Assets!$G$2:$G$201,$AB14)),MONTH(INDEX(Fixed_Assets!$G$2:$G$201,$AB14)),1),IF($Z14="F",DATE(YEAR(MAX(N(INDEX(Workforce!$I$2:$I$151,MATCH(INDEX(FTE_Allocation!$A$2:$A$201,$AB14),Workforce!$A$2:$A$151,0))),N(INDEX(FTE_Allocation!$I$2:$I$201,$AB14)))),MONTH(MAX(N(INDEX(Workforce!$I$2:$I$151,MATCH(INDEX(FTE_Allocation!$A$2:$A$201,$AB14),Workforce!$A$2:$A$151,0))),N(INDEX(FTE_Allocation!$I$2:$I$201,$AB14)))),1),"")))</f>
        <v/>
      </c>
      <c r="AF14" s="21">
        <f>IF($Z14="C",IF(INDEX(Contracts!$I$2:$I$151,$AB14)="PREPAID",EDATE(DATE(YEAR(INDEX(Contracts!$J$2:$J$151,$AB14)),MONTH(INDEX(Contracts!$J$2:$J$151,$AB14)),1),IF(INDEX(Contracts!$N$2:$N$151,$AB14)="",12,INDEX(Contracts!$N$2:$N$151,$AB14))-1),IF(INDEX(Contracts!$I$2:$I$151,$AB14)="MONTHLY",IF(INDEX(Contracts!$K$2:$K$151,$AB14)="",2958101,INDEX(Contracts!$K$2:$K$151,$AB14)),0)),IF($Z14="A",EDATE(DATE(YEAR(INDEX(Fixed_Assets!$G$2:$G$201,$AB14)),MONTH(INDEX(Fixed_Assets!$G$2:$G$201,$AB14)),1),INDEX(Fixed_Assets!$J$2:$J$201,$AB14)-1),IF($Z14="F",MIN(IF(INDEX(Workforce!$J$2:$J$151,MATCH(INDEX(FTE_Allocation!$A$2:$A$201,$AB14),Workforce!$A$2:$A$151,0))="",2958101,INDEX(Workforce!$J$2:$J$151,MATCH(INDEX(FTE_Allocation!$A$2:$A$201,$AB14),Workforce!$A$2:$A$151,0))),IF(INDEX(FTE_Allocation!$J$2:$J$201,$AB14)="",2958101,INDEX(FTE_Allocation!$J$2:$J$201,$AB14))),"")))</f>
        <v/>
      </c>
      <c r="AG14" s="19">
        <f>IF($Z14="C",IF(INDEX(Contracts!$I$2:$I$151,$AB14)="PREPAID",INDEX(Contracts!$M$2:$M$151,$AB14)/IF(INDEX(Contracts!$N$2:$N$151,$AB14)="",12,INDEX(Contracts!$N$2:$N$151,$AB14)),IF(INDEX(Contracts!$I$2:$I$151,$AB14)="MONTHLY",INDEX(Contracts!$M$2:$M$151,$AB14),0))*(1-N(INDEX(Contracts!$O$2:$O$151,$AB14))),IF($Z14="A",INDEX(Fixed_Assets!$H$2:$H$201,$AB14)/INDEX(Fixed_Assets!$J$2:$J$201,$AB14),IF($Z14="F",INDEX(Workforce!$F$2:$F$151,MATCH(INDEX(FTE_Allocation!$A$2:$A$201,$AB14),Workforce!$A$2:$A$151,0))*N(INDEX(FTE_Allocation!$F$2:$H$201,$AB14,$AC14)),"")))</f>
        <v/>
      </c>
    </row>
    <row r="15">
      <c r="A15" s="7">
        <f>IF($Z15="","",$AD15)</f>
        <v/>
      </c>
      <c r="B15" s="7">
        <f>IF($Z15="C",INDEX(Contracts!$D$2:$D$151,$AB15)&amp;"",IF($Z15="A",INDEX(Fixed_Assets!$C$2:$C$201,$AB15)&amp;"",IF($Z15="F",INDEX(Workforce!$B$2:$B$151,MATCH(INDEX(FTE_Allocation!$A$2:$A$201,$AB15),Workforce!$A$2:$A$151,0))&amp;"","")))</f>
        <v/>
      </c>
      <c r="C15" s="7">
        <f>IF($Z15="C",INDEX(Contracts!$E$2:$E$151,$AB15)&amp;"",IF($Z15="A",INDEX(Fixed_Assets!$D$2:$D$201,$AB15)&amp;"",IF($Z15="F",INDEX(FTE_Allocation!$C$2:$C$201,$AB15)&amp;"","")))</f>
        <v/>
      </c>
      <c r="D15" s="7">
        <f>IF($Z15="C",INDEX(Contracts!$B$2:$B$151,$AB15)&amp;"",IF($Z15="A",INDEX(Fixed_Assets!$B$2:$B$201,$AB15)&amp;"",IF($Z15="F",INDEX(FTE_Allocation!$B$2:$B$201,$AB15)&amp;"","")))</f>
        <v/>
      </c>
      <c r="E15" s="7">
        <f>IF($Z15="C",INDEX(Contracts!$P$2:$P$151,$AB15)&amp;"",IF($Z15="A",INDEX(Fixed_Assets!$K$2:$K$201,$AB15)&amp;"",IF($Z15="F",IF(INDEX(FTE_Allocation!$D$2:$D$201,$AB15)="PROJECT",IFERROR(INDEX(Projects!$D:$D,MATCH(INDEX(FTE_Allocation!$E$2:$E$201,$AB15),Projects!$A:$A,0))&amp;"","#PROJECT?"),INDEX(FTE_Allocation!$E$2:$E$201,$AB15)&amp;""),"")))</f>
        <v/>
      </c>
      <c r="F15" s="7">
        <f>IF($Z15="C",INDEX(Contracts!$Q$2:$Q$151,$AB15)&amp;"",IF($Z15="A",INDEX(Fixed_Assets!$L$2:$L$201,$AB15)&amp;"",IF($Z15="F",INDEX(Workforce!$K$2:$K$151,MATCH(INDEX(FTE_Allocation!$A$2:$A$201,$AB15),Workforce!$A$2:$A$151,0))&amp;"","")))</f>
        <v/>
      </c>
      <c r="G15" s="7">
        <f>IF($Z15="C",INDEX(Contracts!$F$2:$F$151,$AB15)&amp;" / "&amp;INDEX(Contracts!$G$2:$G$151,$AB15),IF($Z15="A",INDEX(Fixed_Assets!$E$2:$E$201,$AB15)&amp;"",IF($Z15="F","Personnel "&amp;INDEX(FTE_Allocation!$A$2:$A$201,$AB15)&amp;IF(INDEX(FTE_Allocation!$D$2:$D$201,$AB15)="PROJECT"," ("&amp;INDEX(FTE_Allocation!$E$2:$E$201,$AB15)&amp;")",""),"")))</f>
        <v/>
      </c>
      <c r="H15" s="7">
        <f>IF($Z15="C","CONTRACT",IF($Z15="A","ASSET",IF($Z15="F","WORKFORCE","")))</f>
        <v/>
      </c>
      <c r="I15" s="7">
        <f>IF($Z15="C",INDEX(Contracts!$L$2:$L$151,$AB15)&amp;"",IF($Z15="A",INDEX(Fixed_Assets!$I$2:$I$201,$AB15)&amp;"",IF($Z15="F",INDEX(Workforce!$G$2:$G$151,MATCH(INDEX(FTE_Allocation!$A$2:$A$201,$AB15),Workforce!$A$2:$A$151,0))&amp;"","")))</f>
        <v/>
      </c>
      <c r="J15" s="18">
        <f>IF($Z15="","",IF(AND(DATE($AD15,1,1)&gt;=$AE15,DATE($AD15,1,1)&lt;=$AF15),ROUND($AG15,2),0))</f>
        <v/>
      </c>
      <c r="K15" s="18">
        <f>IF($Z15="","",IF(AND(DATE($AD15,2,1)&gt;=$AE15,DATE($AD15,2,1)&lt;=$AF15),ROUND($AG15,2),0))</f>
        <v/>
      </c>
      <c r="L15" s="18">
        <f>IF($Z15="","",IF(AND(DATE($AD15,3,1)&gt;=$AE15,DATE($AD15,3,1)&lt;=$AF15),ROUND($AG15,2),0))</f>
        <v/>
      </c>
      <c r="M15" s="18">
        <f>IF($Z15="","",IF(AND(DATE($AD15,4,1)&gt;=$AE15,DATE($AD15,4,1)&lt;=$AF15),ROUND($AG15,2),0))</f>
        <v/>
      </c>
      <c r="N15" s="18">
        <f>IF($Z15="","",IF(AND(DATE($AD15,5,1)&gt;=$AE15,DATE($AD15,5,1)&lt;=$AF15),ROUND($AG15,2),0))</f>
        <v/>
      </c>
      <c r="O15" s="18">
        <f>IF($Z15="","",IF(AND(DATE($AD15,6,1)&gt;=$AE15,DATE($AD15,6,1)&lt;=$AF15),ROUND($AG15,2),0))</f>
        <v/>
      </c>
      <c r="P15" s="18">
        <f>IF($Z15="","",IF(AND(DATE($AD15,7,1)&gt;=$AE15,DATE($AD15,7,1)&lt;=$AF15),ROUND($AG15,2),0))</f>
        <v/>
      </c>
      <c r="Q15" s="18">
        <f>IF($Z15="","",IF(AND(DATE($AD15,8,1)&gt;=$AE15,DATE($AD15,8,1)&lt;=$AF15),ROUND($AG15,2),0))</f>
        <v/>
      </c>
      <c r="R15" s="18">
        <f>IF($Z15="","",IF(AND(DATE($AD15,9,1)&gt;=$AE15,DATE($AD15,9,1)&lt;=$AF15),ROUND($AG15,2),0))</f>
        <v/>
      </c>
      <c r="S15" s="18">
        <f>IF($Z15="","",IF(AND(DATE($AD15,10,1)&gt;=$AE15,DATE($AD15,10,1)&lt;=$AF15),ROUND($AG15,2),0))</f>
        <v/>
      </c>
      <c r="T15" s="18">
        <f>IF($Z15="","",IF(AND(DATE($AD15,11,1)&gt;=$AE15,DATE($AD15,11,1)&lt;=$AF15),ROUND($AG15,2),0))</f>
        <v/>
      </c>
      <c r="U15" s="18">
        <f>IF($Z15="","",IF(AND(DATE($AD15,12,1)&gt;=$AE15,DATE($AD15,12,1)&lt;=$AF15),ROUND($AG15,2),0))</f>
        <v/>
      </c>
      <c r="V15" s="7">
        <f>IF($Z15="C","Generated from "&amp;INDEX(Contracts!$A$2:$A$151,$AB15),IF($Z15="A","Generated from "&amp;INDEX(Fixed_Assets!$A$2:$A$201,$AB15),IF($Z15="F","Generated from "&amp;INDEX(FTE_Allocation!$A$2:$A$201,$AB15),"")))</f>
        <v/>
      </c>
      <c r="X15" s="19">
        <f>IF($Z15="","",SUM(J15:U15))</f>
        <v/>
      </c>
      <c r="Y15" s="20">
        <f>ROW()-1</f>
        <v/>
      </c>
      <c r="Z15" s="20">
        <f>IF($Y15&lt;=Settings!$B$4*3,"C",IF($Y15&lt;=(Settings!$B$4+Settings!$B$5)*3,"A",IF($Y15&lt;=(Settings!$B$4+Settings!$B$5+Settings!$B$6)*3,"F","")))</f>
        <v/>
      </c>
      <c r="AA15" s="20">
        <f>IF($Z15="C",$Y15,IF($Z15="A",$Y15-Settings!$B$4*3,IF($Z15="F",$Y15-(Settings!$B$4+Settings!$B$5)*3,"")))</f>
        <v/>
      </c>
      <c r="AB15" s="20">
        <f>IF($Z15="","",INT(($AA15-1)/3)+1)</f>
        <v/>
      </c>
      <c r="AC15" s="20">
        <f>IF($Z15="","",MOD($AA15-1,3)+1)</f>
        <v/>
      </c>
      <c r="AD15" s="20">
        <f>IF($Z15="","",Settings!$B$2+$AC15-1)</f>
        <v/>
      </c>
      <c r="AE15" s="21">
        <f>IF($Z15="C",DATE(YEAR(INDEX(Contracts!$J$2:$J$151,$AB15)),MONTH(INDEX(Contracts!$J$2:$J$151,$AB15)),1),IF($Z15="A",DATE(YEAR(INDEX(Fixed_Assets!$G$2:$G$201,$AB15)),MONTH(INDEX(Fixed_Assets!$G$2:$G$201,$AB15)),1),IF($Z15="F",DATE(YEAR(MAX(N(INDEX(Workforce!$I$2:$I$151,MATCH(INDEX(FTE_Allocation!$A$2:$A$201,$AB15),Workforce!$A$2:$A$151,0))),N(INDEX(FTE_Allocation!$I$2:$I$201,$AB15)))),MONTH(MAX(N(INDEX(Workforce!$I$2:$I$151,MATCH(INDEX(FTE_Allocation!$A$2:$A$201,$AB15),Workforce!$A$2:$A$151,0))),N(INDEX(FTE_Allocation!$I$2:$I$201,$AB15)))),1),"")))</f>
        <v/>
      </c>
      <c r="AF15" s="21">
        <f>IF($Z15="C",IF(INDEX(Contracts!$I$2:$I$151,$AB15)="PREPAID",EDATE(DATE(YEAR(INDEX(Contracts!$J$2:$J$151,$AB15)),MONTH(INDEX(Contracts!$J$2:$J$151,$AB15)),1),IF(INDEX(Contracts!$N$2:$N$151,$AB15)="",12,INDEX(Contracts!$N$2:$N$151,$AB15))-1),IF(INDEX(Contracts!$I$2:$I$151,$AB15)="MONTHLY",IF(INDEX(Contracts!$K$2:$K$151,$AB15)="",2958101,INDEX(Contracts!$K$2:$K$151,$AB15)),0)),IF($Z15="A",EDATE(DATE(YEAR(INDEX(Fixed_Assets!$G$2:$G$201,$AB15)),MONTH(INDEX(Fixed_Assets!$G$2:$G$201,$AB15)),1),INDEX(Fixed_Assets!$J$2:$J$201,$AB15)-1),IF($Z15="F",MIN(IF(INDEX(Workforce!$J$2:$J$151,MATCH(INDEX(FTE_Allocation!$A$2:$A$201,$AB15),Workforce!$A$2:$A$151,0))="",2958101,INDEX(Workforce!$J$2:$J$151,MATCH(INDEX(FTE_Allocation!$A$2:$A$201,$AB15),Workforce!$A$2:$A$151,0))),IF(INDEX(FTE_Allocation!$J$2:$J$201,$AB15)="",2958101,INDEX(FTE_Allocation!$J$2:$J$201,$AB15))),"")))</f>
        <v/>
      </c>
      <c r="AG15" s="19">
        <f>IF($Z15="C",IF(INDEX(Contracts!$I$2:$I$151,$AB15)="PREPAID",INDEX(Contracts!$M$2:$M$151,$AB15)/IF(INDEX(Contracts!$N$2:$N$151,$AB15)="",12,INDEX(Contracts!$N$2:$N$151,$AB15)),IF(INDEX(Contracts!$I$2:$I$151,$AB15)="MONTHLY",INDEX(Contracts!$M$2:$M$151,$AB15),0))*(1-N(INDEX(Contracts!$O$2:$O$151,$AB15))),IF($Z15="A",INDEX(Fixed_Assets!$H$2:$H$201,$AB15)/INDEX(Fixed_Assets!$J$2:$J$201,$AB15),IF($Z15="F",INDEX(Workforce!$F$2:$F$151,MATCH(INDEX(FTE_Allocation!$A$2:$A$201,$AB15),Workforce!$A$2:$A$151,0))*N(INDEX(FTE_Allocation!$F$2:$H$201,$AB15,$AC15)),"")))</f>
        <v/>
      </c>
    </row>
    <row r="16">
      <c r="A16" s="7">
        <f>IF($Z16="","",$AD16)</f>
        <v/>
      </c>
      <c r="B16" s="7">
        <f>IF($Z16="C",INDEX(Contracts!$D$2:$D$151,$AB16)&amp;"",IF($Z16="A",INDEX(Fixed_Assets!$C$2:$C$201,$AB16)&amp;"",IF($Z16="F",INDEX(Workforce!$B$2:$B$151,MATCH(INDEX(FTE_Allocation!$A$2:$A$201,$AB16),Workforce!$A$2:$A$151,0))&amp;"","")))</f>
        <v/>
      </c>
      <c r="C16" s="7">
        <f>IF($Z16="C",INDEX(Contracts!$E$2:$E$151,$AB16)&amp;"",IF($Z16="A",INDEX(Fixed_Assets!$D$2:$D$201,$AB16)&amp;"",IF($Z16="F",INDEX(FTE_Allocation!$C$2:$C$201,$AB16)&amp;"","")))</f>
        <v/>
      </c>
      <c r="D16" s="7">
        <f>IF($Z16="C",INDEX(Contracts!$B$2:$B$151,$AB16)&amp;"",IF($Z16="A",INDEX(Fixed_Assets!$B$2:$B$201,$AB16)&amp;"",IF($Z16="F",INDEX(FTE_Allocation!$B$2:$B$201,$AB16)&amp;"","")))</f>
        <v/>
      </c>
      <c r="E16" s="7">
        <f>IF($Z16="C",INDEX(Contracts!$P$2:$P$151,$AB16)&amp;"",IF($Z16="A",INDEX(Fixed_Assets!$K$2:$K$201,$AB16)&amp;"",IF($Z16="F",IF(INDEX(FTE_Allocation!$D$2:$D$201,$AB16)="PROJECT",IFERROR(INDEX(Projects!$D:$D,MATCH(INDEX(FTE_Allocation!$E$2:$E$201,$AB16),Projects!$A:$A,0))&amp;"","#PROJECT?"),INDEX(FTE_Allocation!$E$2:$E$201,$AB16)&amp;""),"")))</f>
        <v/>
      </c>
      <c r="F16" s="7">
        <f>IF($Z16="C",INDEX(Contracts!$Q$2:$Q$151,$AB16)&amp;"",IF($Z16="A",INDEX(Fixed_Assets!$L$2:$L$201,$AB16)&amp;"",IF($Z16="F",INDEX(Workforce!$K$2:$K$151,MATCH(INDEX(FTE_Allocation!$A$2:$A$201,$AB16),Workforce!$A$2:$A$151,0))&amp;"","")))</f>
        <v/>
      </c>
      <c r="G16" s="7">
        <f>IF($Z16="C",INDEX(Contracts!$F$2:$F$151,$AB16)&amp;" / "&amp;INDEX(Contracts!$G$2:$G$151,$AB16),IF($Z16="A",INDEX(Fixed_Assets!$E$2:$E$201,$AB16)&amp;"",IF($Z16="F","Personnel "&amp;INDEX(FTE_Allocation!$A$2:$A$201,$AB16)&amp;IF(INDEX(FTE_Allocation!$D$2:$D$201,$AB16)="PROJECT"," ("&amp;INDEX(FTE_Allocation!$E$2:$E$201,$AB16)&amp;")",""),"")))</f>
        <v/>
      </c>
      <c r="H16" s="7">
        <f>IF($Z16="C","CONTRACT",IF($Z16="A","ASSET",IF($Z16="F","WORKFORCE","")))</f>
        <v/>
      </c>
      <c r="I16" s="7">
        <f>IF($Z16="C",INDEX(Contracts!$L$2:$L$151,$AB16)&amp;"",IF($Z16="A",INDEX(Fixed_Assets!$I$2:$I$201,$AB16)&amp;"",IF($Z16="F",INDEX(Workforce!$G$2:$G$151,MATCH(INDEX(FTE_Allocation!$A$2:$A$201,$AB16),Workforce!$A$2:$A$151,0))&amp;"","")))</f>
        <v/>
      </c>
      <c r="J16" s="18">
        <f>IF($Z16="","",IF(AND(DATE($AD16,1,1)&gt;=$AE16,DATE($AD16,1,1)&lt;=$AF16),ROUND($AG16,2),0))</f>
        <v/>
      </c>
      <c r="K16" s="18">
        <f>IF($Z16="","",IF(AND(DATE($AD16,2,1)&gt;=$AE16,DATE($AD16,2,1)&lt;=$AF16),ROUND($AG16,2),0))</f>
        <v/>
      </c>
      <c r="L16" s="18">
        <f>IF($Z16="","",IF(AND(DATE($AD16,3,1)&gt;=$AE16,DATE($AD16,3,1)&lt;=$AF16),ROUND($AG16,2),0))</f>
        <v/>
      </c>
      <c r="M16" s="18">
        <f>IF($Z16="","",IF(AND(DATE($AD16,4,1)&gt;=$AE16,DATE($AD16,4,1)&lt;=$AF16),ROUND($AG16,2),0))</f>
        <v/>
      </c>
      <c r="N16" s="18">
        <f>IF($Z16="","",IF(AND(DATE($AD16,5,1)&gt;=$AE16,DATE($AD16,5,1)&lt;=$AF16),ROUND($AG16,2),0))</f>
        <v/>
      </c>
      <c r="O16" s="18">
        <f>IF($Z16="","",IF(AND(DATE($AD16,6,1)&gt;=$AE16,DATE($AD16,6,1)&lt;=$AF16),ROUND($AG16,2),0))</f>
        <v/>
      </c>
      <c r="P16" s="18">
        <f>IF($Z16="","",IF(AND(DATE($AD16,7,1)&gt;=$AE16,DATE($AD16,7,1)&lt;=$AF16),ROUND($AG16,2),0))</f>
        <v/>
      </c>
      <c r="Q16" s="18">
        <f>IF($Z16="","",IF(AND(DATE($AD16,8,1)&gt;=$AE16,DATE($AD16,8,1)&lt;=$AF16),ROUND($AG16,2),0))</f>
        <v/>
      </c>
      <c r="R16" s="18">
        <f>IF($Z16="","",IF(AND(DATE($AD16,9,1)&gt;=$AE16,DATE($AD16,9,1)&lt;=$AF16),ROUND($AG16,2),0))</f>
        <v/>
      </c>
      <c r="S16" s="18">
        <f>IF($Z16="","",IF(AND(DATE($AD16,10,1)&gt;=$AE16,DATE($AD16,10,1)&lt;=$AF16),ROUND($AG16,2),0))</f>
        <v/>
      </c>
      <c r="T16" s="18">
        <f>IF($Z16="","",IF(AND(DATE($AD16,11,1)&gt;=$AE16,DATE($AD16,11,1)&lt;=$AF16),ROUND($AG16,2),0))</f>
        <v/>
      </c>
      <c r="U16" s="18">
        <f>IF($Z16="","",IF(AND(DATE($AD16,12,1)&gt;=$AE16,DATE($AD16,12,1)&lt;=$AF16),ROUND($AG16,2),0))</f>
        <v/>
      </c>
      <c r="V16" s="7">
        <f>IF($Z16="C","Generated from "&amp;INDEX(Contracts!$A$2:$A$151,$AB16),IF($Z16="A","Generated from "&amp;INDEX(Fixed_Assets!$A$2:$A$201,$AB16),IF($Z16="F","Generated from "&amp;INDEX(FTE_Allocation!$A$2:$A$201,$AB16),"")))</f>
        <v/>
      </c>
      <c r="X16" s="19">
        <f>IF($Z16="","",SUM(J16:U16))</f>
        <v/>
      </c>
      <c r="Y16" s="20">
        <f>ROW()-1</f>
        <v/>
      </c>
      <c r="Z16" s="20">
        <f>IF($Y16&lt;=Settings!$B$4*3,"C",IF($Y16&lt;=(Settings!$B$4+Settings!$B$5)*3,"A",IF($Y16&lt;=(Settings!$B$4+Settings!$B$5+Settings!$B$6)*3,"F","")))</f>
        <v/>
      </c>
      <c r="AA16" s="20">
        <f>IF($Z16="C",$Y16,IF($Z16="A",$Y16-Settings!$B$4*3,IF($Z16="F",$Y16-(Settings!$B$4+Settings!$B$5)*3,"")))</f>
        <v/>
      </c>
      <c r="AB16" s="20">
        <f>IF($Z16="","",INT(($AA16-1)/3)+1)</f>
        <v/>
      </c>
      <c r="AC16" s="20">
        <f>IF($Z16="","",MOD($AA16-1,3)+1)</f>
        <v/>
      </c>
      <c r="AD16" s="20">
        <f>IF($Z16="","",Settings!$B$2+$AC16-1)</f>
        <v/>
      </c>
      <c r="AE16" s="21">
        <f>IF($Z16="C",DATE(YEAR(INDEX(Contracts!$J$2:$J$151,$AB16)),MONTH(INDEX(Contracts!$J$2:$J$151,$AB16)),1),IF($Z16="A",DATE(YEAR(INDEX(Fixed_Assets!$G$2:$G$201,$AB16)),MONTH(INDEX(Fixed_Assets!$G$2:$G$201,$AB16)),1),IF($Z16="F",DATE(YEAR(MAX(N(INDEX(Workforce!$I$2:$I$151,MATCH(INDEX(FTE_Allocation!$A$2:$A$201,$AB16),Workforce!$A$2:$A$151,0))),N(INDEX(FTE_Allocation!$I$2:$I$201,$AB16)))),MONTH(MAX(N(INDEX(Workforce!$I$2:$I$151,MATCH(INDEX(FTE_Allocation!$A$2:$A$201,$AB16),Workforce!$A$2:$A$151,0))),N(INDEX(FTE_Allocation!$I$2:$I$201,$AB16)))),1),"")))</f>
        <v/>
      </c>
      <c r="AF16" s="21">
        <f>IF($Z16="C",IF(INDEX(Contracts!$I$2:$I$151,$AB16)="PREPAID",EDATE(DATE(YEAR(INDEX(Contracts!$J$2:$J$151,$AB16)),MONTH(INDEX(Contracts!$J$2:$J$151,$AB16)),1),IF(INDEX(Contracts!$N$2:$N$151,$AB16)="",12,INDEX(Contracts!$N$2:$N$151,$AB16))-1),IF(INDEX(Contracts!$I$2:$I$151,$AB16)="MONTHLY",IF(INDEX(Contracts!$K$2:$K$151,$AB16)="",2958101,INDEX(Contracts!$K$2:$K$151,$AB16)),0)),IF($Z16="A",EDATE(DATE(YEAR(INDEX(Fixed_Assets!$G$2:$G$201,$AB16)),MONTH(INDEX(Fixed_Assets!$G$2:$G$201,$AB16)),1),INDEX(Fixed_Assets!$J$2:$J$201,$AB16)-1),IF($Z16="F",MIN(IF(INDEX(Workforce!$J$2:$J$151,MATCH(INDEX(FTE_Allocation!$A$2:$A$201,$AB16),Workforce!$A$2:$A$151,0))="",2958101,INDEX(Workforce!$J$2:$J$151,MATCH(INDEX(FTE_Allocation!$A$2:$A$201,$AB16),Workforce!$A$2:$A$151,0))),IF(INDEX(FTE_Allocation!$J$2:$J$201,$AB16)="",2958101,INDEX(FTE_Allocation!$J$2:$J$201,$AB16))),"")))</f>
        <v/>
      </c>
      <c r="AG16" s="19">
        <f>IF($Z16="C",IF(INDEX(Contracts!$I$2:$I$151,$AB16)="PREPAID",INDEX(Contracts!$M$2:$M$151,$AB16)/IF(INDEX(Contracts!$N$2:$N$151,$AB16)="",12,INDEX(Contracts!$N$2:$N$151,$AB16)),IF(INDEX(Contracts!$I$2:$I$151,$AB16)="MONTHLY",INDEX(Contracts!$M$2:$M$151,$AB16),0))*(1-N(INDEX(Contracts!$O$2:$O$151,$AB16))),IF($Z16="A",INDEX(Fixed_Assets!$H$2:$H$201,$AB16)/INDEX(Fixed_Assets!$J$2:$J$201,$AB16),IF($Z16="F",INDEX(Workforce!$F$2:$F$151,MATCH(INDEX(FTE_Allocation!$A$2:$A$201,$AB16),Workforce!$A$2:$A$151,0))*N(INDEX(FTE_Allocation!$F$2:$H$201,$AB16,$AC16)),"")))</f>
        <v/>
      </c>
    </row>
    <row r="17">
      <c r="A17" s="7">
        <f>IF($Z17="","",$AD17)</f>
        <v/>
      </c>
      <c r="B17" s="7">
        <f>IF($Z17="C",INDEX(Contracts!$D$2:$D$151,$AB17)&amp;"",IF($Z17="A",INDEX(Fixed_Assets!$C$2:$C$201,$AB17)&amp;"",IF($Z17="F",INDEX(Workforce!$B$2:$B$151,MATCH(INDEX(FTE_Allocation!$A$2:$A$201,$AB17),Workforce!$A$2:$A$151,0))&amp;"","")))</f>
        <v/>
      </c>
      <c r="C17" s="7">
        <f>IF($Z17="C",INDEX(Contracts!$E$2:$E$151,$AB17)&amp;"",IF($Z17="A",INDEX(Fixed_Assets!$D$2:$D$201,$AB17)&amp;"",IF($Z17="F",INDEX(FTE_Allocation!$C$2:$C$201,$AB17)&amp;"","")))</f>
        <v/>
      </c>
      <c r="D17" s="7">
        <f>IF($Z17="C",INDEX(Contracts!$B$2:$B$151,$AB17)&amp;"",IF($Z17="A",INDEX(Fixed_Assets!$B$2:$B$201,$AB17)&amp;"",IF($Z17="F",INDEX(FTE_Allocation!$B$2:$B$201,$AB17)&amp;"","")))</f>
        <v/>
      </c>
      <c r="E17" s="7">
        <f>IF($Z17="C",INDEX(Contracts!$P$2:$P$151,$AB17)&amp;"",IF($Z17="A",INDEX(Fixed_Assets!$K$2:$K$201,$AB17)&amp;"",IF($Z17="F",IF(INDEX(FTE_Allocation!$D$2:$D$201,$AB17)="PROJECT",IFERROR(INDEX(Projects!$D:$D,MATCH(INDEX(FTE_Allocation!$E$2:$E$201,$AB17),Projects!$A:$A,0))&amp;"","#PROJECT?"),INDEX(FTE_Allocation!$E$2:$E$201,$AB17)&amp;""),"")))</f>
        <v/>
      </c>
      <c r="F17" s="7">
        <f>IF($Z17="C",INDEX(Contracts!$Q$2:$Q$151,$AB17)&amp;"",IF($Z17="A",INDEX(Fixed_Assets!$L$2:$L$201,$AB17)&amp;"",IF($Z17="F",INDEX(Workforce!$K$2:$K$151,MATCH(INDEX(FTE_Allocation!$A$2:$A$201,$AB17),Workforce!$A$2:$A$151,0))&amp;"","")))</f>
        <v/>
      </c>
      <c r="G17" s="7">
        <f>IF($Z17="C",INDEX(Contracts!$F$2:$F$151,$AB17)&amp;" / "&amp;INDEX(Contracts!$G$2:$G$151,$AB17),IF($Z17="A",INDEX(Fixed_Assets!$E$2:$E$201,$AB17)&amp;"",IF($Z17="F","Personnel "&amp;INDEX(FTE_Allocation!$A$2:$A$201,$AB17)&amp;IF(INDEX(FTE_Allocation!$D$2:$D$201,$AB17)="PROJECT"," ("&amp;INDEX(FTE_Allocation!$E$2:$E$201,$AB17)&amp;")",""),"")))</f>
        <v/>
      </c>
      <c r="H17" s="7">
        <f>IF($Z17="C","CONTRACT",IF($Z17="A","ASSET",IF($Z17="F","WORKFORCE","")))</f>
        <v/>
      </c>
      <c r="I17" s="7">
        <f>IF($Z17="C",INDEX(Contracts!$L$2:$L$151,$AB17)&amp;"",IF($Z17="A",INDEX(Fixed_Assets!$I$2:$I$201,$AB17)&amp;"",IF($Z17="F",INDEX(Workforce!$G$2:$G$151,MATCH(INDEX(FTE_Allocation!$A$2:$A$201,$AB17),Workforce!$A$2:$A$151,0))&amp;"","")))</f>
        <v/>
      </c>
      <c r="J17" s="18">
        <f>IF($Z17="","",IF(AND(DATE($AD17,1,1)&gt;=$AE17,DATE($AD17,1,1)&lt;=$AF17),ROUND($AG17,2),0))</f>
        <v/>
      </c>
      <c r="K17" s="18">
        <f>IF($Z17="","",IF(AND(DATE($AD17,2,1)&gt;=$AE17,DATE($AD17,2,1)&lt;=$AF17),ROUND($AG17,2),0))</f>
        <v/>
      </c>
      <c r="L17" s="18">
        <f>IF($Z17="","",IF(AND(DATE($AD17,3,1)&gt;=$AE17,DATE($AD17,3,1)&lt;=$AF17),ROUND($AG17,2),0))</f>
        <v/>
      </c>
      <c r="M17" s="18">
        <f>IF($Z17="","",IF(AND(DATE($AD17,4,1)&gt;=$AE17,DATE($AD17,4,1)&lt;=$AF17),ROUND($AG17,2),0))</f>
        <v/>
      </c>
      <c r="N17" s="18">
        <f>IF($Z17="","",IF(AND(DATE($AD17,5,1)&gt;=$AE17,DATE($AD17,5,1)&lt;=$AF17),ROUND($AG17,2),0))</f>
        <v/>
      </c>
      <c r="O17" s="18">
        <f>IF($Z17="","",IF(AND(DATE($AD17,6,1)&gt;=$AE17,DATE($AD17,6,1)&lt;=$AF17),ROUND($AG17,2),0))</f>
        <v/>
      </c>
      <c r="P17" s="18">
        <f>IF($Z17="","",IF(AND(DATE($AD17,7,1)&gt;=$AE17,DATE($AD17,7,1)&lt;=$AF17),ROUND($AG17,2),0))</f>
        <v/>
      </c>
      <c r="Q17" s="18">
        <f>IF($Z17="","",IF(AND(DATE($AD17,8,1)&gt;=$AE17,DATE($AD17,8,1)&lt;=$AF17),ROUND($AG17,2),0))</f>
        <v/>
      </c>
      <c r="R17" s="18">
        <f>IF($Z17="","",IF(AND(DATE($AD17,9,1)&gt;=$AE17,DATE($AD17,9,1)&lt;=$AF17),ROUND($AG17,2),0))</f>
        <v/>
      </c>
      <c r="S17" s="18">
        <f>IF($Z17="","",IF(AND(DATE($AD17,10,1)&gt;=$AE17,DATE($AD17,10,1)&lt;=$AF17),ROUND($AG17,2),0))</f>
        <v/>
      </c>
      <c r="T17" s="18">
        <f>IF($Z17="","",IF(AND(DATE($AD17,11,1)&gt;=$AE17,DATE($AD17,11,1)&lt;=$AF17),ROUND($AG17,2),0))</f>
        <v/>
      </c>
      <c r="U17" s="18">
        <f>IF($Z17="","",IF(AND(DATE($AD17,12,1)&gt;=$AE17,DATE($AD17,12,1)&lt;=$AF17),ROUND($AG17,2),0))</f>
        <v/>
      </c>
      <c r="V17" s="7">
        <f>IF($Z17="C","Generated from "&amp;INDEX(Contracts!$A$2:$A$151,$AB17),IF($Z17="A","Generated from "&amp;INDEX(Fixed_Assets!$A$2:$A$201,$AB17),IF($Z17="F","Generated from "&amp;INDEX(FTE_Allocation!$A$2:$A$201,$AB17),"")))</f>
        <v/>
      </c>
      <c r="X17" s="19">
        <f>IF($Z17="","",SUM(J17:U17))</f>
        <v/>
      </c>
      <c r="Y17" s="20">
        <f>ROW()-1</f>
        <v/>
      </c>
      <c r="Z17" s="20">
        <f>IF($Y17&lt;=Settings!$B$4*3,"C",IF($Y17&lt;=(Settings!$B$4+Settings!$B$5)*3,"A",IF($Y17&lt;=(Settings!$B$4+Settings!$B$5+Settings!$B$6)*3,"F","")))</f>
        <v/>
      </c>
      <c r="AA17" s="20">
        <f>IF($Z17="C",$Y17,IF($Z17="A",$Y17-Settings!$B$4*3,IF($Z17="F",$Y17-(Settings!$B$4+Settings!$B$5)*3,"")))</f>
        <v/>
      </c>
      <c r="AB17" s="20">
        <f>IF($Z17="","",INT(($AA17-1)/3)+1)</f>
        <v/>
      </c>
      <c r="AC17" s="20">
        <f>IF($Z17="","",MOD($AA17-1,3)+1)</f>
        <v/>
      </c>
      <c r="AD17" s="20">
        <f>IF($Z17="","",Settings!$B$2+$AC17-1)</f>
        <v/>
      </c>
      <c r="AE17" s="21">
        <f>IF($Z17="C",DATE(YEAR(INDEX(Contracts!$J$2:$J$151,$AB17)),MONTH(INDEX(Contracts!$J$2:$J$151,$AB17)),1),IF($Z17="A",DATE(YEAR(INDEX(Fixed_Assets!$G$2:$G$201,$AB17)),MONTH(INDEX(Fixed_Assets!$G$2:$G$201,$AB17)),1),IF($Z17="F",DATE(YEAR(MAX(N(INDEX(Workforce!$I$2:$I$151,MATCH(INDEX(FTE_Allocation!$A$2:$A$201,$AB17),Workforce!$A$2:$A$151,0))),N(INDEX(FTE_Allocation!$I$2:$I$201,$AB17)))),MONTH(MAX(N(INDEX(Workforce!$I$2:$I$151,MATCH(INDEX(FTE_Allocation!$A$2:$A$201,$AB17),Workforce!$A$2:$A$151,0))),N(INDEX(FTE_Allocation!$I$2:$I$201,$AB17)))),1),"")))</f>
        <v/>
      </c>
      <c r="AF17" s="21">
        <f>IF($Z17="C",IF(INDEX(Contracts!$I$2:$I$151,$AB17)="PREPAID",EDATE(DATE(YEAR(INDEX(Contracts!$J$2:$J$151,$AB17)),MONTH(INDEX(Contracts!$J$2:$J$151,$AB17)),1),IF(INDEX(Contracts!$N$2:$N$151,$AB17)="",12,INDEX(Contracts!$N$2:$N$151,$AB17))-1),IF(INDEX(Contracts!$I$2:$I$151,$AB17)="MONTHLY",IF(INDEX(Contracts!$K$2:$K$151,$AB17)="",2958101,INDEX(Contracts!$K$2:$K$151,$AB17)),0)),IF($Z17="A",EDATE(DATE(YEAR(INDEX(Fixed_Assets!$G$2:$G$201,$AB17)),MONTH(INDEX(Fixed_Assets!$G$2:$G$201,$AB17)),1),INDEX(Fixed_Assets!$J$2:$J$201,$AB17)-1),IF($Z17="F",MIN(IF(INDEX(Workforce!$J$2:$J$151,MATCH(INDEX(FTE_Allocation!$A$2:$A$201,$AB17),Workforce!$A$2:$A$151,0))="",2958101,INDEX(Workforce!$J$2:$J$151,MATCH(INDEX(FTE_Allocation!$A$2:$A$201,$AB17),Workforce!$A$2:$A$151,0))),IF(INDEX(FTE_Allocation!$J$2:$J$201,$AB17)="",2958101,INDEX(FTE_Allocation!$J$2:$J$201,$AB17))),"")))</f>
        <v/>
      </c>
      <c r="AG17" s="19">
        <f>IF($Z17="C",IF(INDEX(Contracts!$I$2:$I$151,$AB17)="PREPAID",INDEX(Contracts!$M$2:$M$151,$AB17)/IF(INDEX(Contracts!$N$2:$N$151,$AB17)="",12,INDEX(Contracts!$N$2:$N$151,$AB17)),IF(INDEX(Contracts!$I$2:$I$151,$AB17)="MONTHLY",INDEX(Contracts!$M$2:$M$151,$AB17),0))*(1-N(INDEX(Contracts!$O$2:$O$151,$AB17))),IF($Z17="A",INDEX(Fixed_Assets!$H$2:$H$201,$AB17)/INDEX(Fixed_Assets!$J$2:$J$201,$AB17),IF($Z17="F",INDEX(Workforce!$F$2:$F$151,MATCH(INDEX(FTE_Allocation!$A$2:$A$201,$AB17),Workforce!$A$2:$A$151,0))*N(INDEX(FTE_Allocation!$F$2:$H$201,$AB17,$AC17)),"")))</f>
        <v/>
      </c>
    </row>
    <row r="18">
      <c r="A18" s="7">
        <f>IF($Z18="","",$AD18)</f>
        <v/>
      </c>
      <c r="B18" s="7">
        <f>IF($Z18="C",INDEX(Contracts!$D$2:$D$151,$AB18)&amp;"",IF($Z18="A",INDEX(Fixed_Assets!$C$2:$C$201,$AB18)&amp;"",IF($Z18="F",INDEX(Workforce!$B$2:$B$151,MATCH(INDEX(FTE_Allocation!$A$2:$A$201,$AB18),Workforce!$A$2:$A$151,0))&amp;"","")))</f>
        <v/>
      </c>
      <c r="C18" s="7">
        <f>IF($Z18="C",INDEX(Contracts!$E$2:$E$151,$AB18)&amp;"",IF($Z18="A",INDEX(Fixed_Assets!$D$2:$D$201,$AB18)&amp;"",IF($Z18="F",INDEX(FTE_Allocation!$C$2:$C$201,$AB18)&amp;"","")))</f>
        <v/>
      </c>
      <c r="D18" s="7">
        <f>IF($Z18="C",INDEX(Contracts!$B$2:$B$151,$AB18)&amp;"",IF($Z18="A",INDEX(Fixed_Assets!$B$2:$B$201,$AB18)&amp;"",IF($Z18="F",INDEX(FTE_Allocation!$B$2:$B$201,$AB18)&amp;"","")))</f>
        <v/>
      </c>
      <c r="E18" s="7">
        <f>IF($Z18="C",INDEX(Contracts!$P$2:$P$151,$AB18)&amp;"",IF($Z18="A",INDEX(Fixed_Assets!$K$2:$K$201,$AB18)&amp;"",IF($Z18="F",IF(INDEX(FTE_Allocation!$D$2:$D$201,$AB18)="PROJECT",IFERROR(INDEX(Projects!$D:$D,MATCH(INDEX(FTE_Allocation!$E$2:$E$201,$AB18),Projects!$A:$A,0))&amp;"","#PROJECT?"),INDEX(FTE_Allocation!$E$2:$E$201,$AB18)&amp;""),"")))</f>
        <v/>
      </c>
      <c r="F18" s="7">
        <f>IF($Z18="C",INDEX(Contracts!$Q$2:$Q$151,$AB18)&amp;"",IF($Z18="A",INDEX(Fixed_Assets!$L$2:$L$201,$AB18)&amp;"",IF($Z18="F",INDEX(Workforce!$K$2:$K$151,MATCH(INDEX(FTE_Allocation!$A$2:$A$201,$AB18),Workforce!$A$2:$A$151,0))&amp;"","")))</f>
        <v/>
      </c>
      <c r="G18" s="7">
        <f>IF($Z18="C",INDEX(Contracts!$F$2:$F$151,$AB18)&amp;" / "&amp;INDEX(Contracts!$G$2:$G$151,$AB18),IF($Z18="A",INDEX(Fixed_Assets!$E$2:$E$201,$AB18)&amp;"",IF($Z18="F","Personnel "&amp;INDEX(FTE_Allocation!$A$2:$A$201,$AB18)&amp;IF(INDEX(FTE_Allocation!$D$2:$D$201,$AB18)="PROJECT"," ("&amp;INDEX(FTE_Allocation!$E$2:$E$201,$AB18)&amp;")",""),"")))</f>
        <v/>
      </c>
      <c r="H18" s="7">
        <f>IF($Z18="C","CONTRACT",IF($Z18="A","ASSET",IF($Z18="F","WORKFORCE","")))</f>
        <v/>
      </c>
      <c r="I18" s="7">
        <f>IF($Z18="C",INDEX(Contracts!$L$2:$L$151,$AB18)&amp;"",IF($Z18="A",INDEX(Fixed_Assets!$I$2:$I$201,$AB18)&amp;"",IF($Z18="F",INDEX(Workforce!$G$2:$G$151,MATCH(INDEX(FTE_Allocation!$A$2:$A$201,$AB18),Workforce!$A$2:$A$151,0))&amp;"","")))</f>
        <v/>
      </c>
      <c r="J18" s="18">
        <f>IF($Z18="","",IF(AND(DATE($AD18,1,1)&gt;=$AE18,DATE($AD18,1,1)&lt;=$AF18),ROUND($AG18,2),0))</f>
        <v/>
      </c>
      <c r="K18" s="18">
        <f>IF($Z18="","",IF(AND(DATE($AD18,2,1)&gt;=$AE18,DATE($AD18,2,1)&lt;=$AF18),ROUND($AG18,2),0))</f>
        <v/>
      </c>
      <c r="L18" s="18">
        <f>IF($Z18="","",IF(AND(DATE($AD18,3,1)&gt;=$AE18,DATE($AD18,3,1)&lt;=$AF18),ROUND($AG18,2),0))</f>
        <v/>
      </c>
      <c r="M18" s="18">
        <f>IF($Z18="","",IF(AND(DATE($AD18,4,1)&gt;=$AE18,DATE($AD18,4,1)&lt;=$AF18),ROUND($AG18,2),0))</f>
        <v/>
      </c>
      <c r="N18" s="18">
        <f>IF($Z18="","",IF(AND(DATE($AD18,5,1)&gt;=$AE18,DATE($AD18,5,1)&lt;=$AF18),ROUND($AG18,2),0))</f>
        <v/>
      </c>
      <c r="O18" s="18">
        <f>IF($Z18="","",IF(AND(DATE($AD18,6,1)&gt;=$AE18,DATE($AD18,6,1)&lt;=$AF18),ROUND($AG18,2),0))</f>
        <v/>
      </c>
      <c r="P18" s="18">
        <f>IF($Z18="","",IF(AND(DATE($AD18,7,1)&gt;=$AE18,DATE($AD18,7,1)&lt;=$AF18),ROUND($AG18,2),0))</f>
        <v/>
      </c>
      <c r="Q18" s="18">
        <f>IF($Z18="","",IF(AND(DATE($AD18,8,1)&gt;=$AE18,DATE($AD18,8,1)&lt;=$AF18),ROUND($AG18,2),0))</f>
        <v/>
      </c>
      <c r="R18" s="18">
        <f>IF($Z18="","",IF(AND(DATE($AD18,9,1)&gt;=$AE18,DATE($AD18,9,1)&lt;=$AF18),ROUND($AG18,2),0))</f>
        <v/>
      </c>
      <c r="S18" s="18">
        <f>IF($Z18="","",IF(AND(DATE($AD18,10,1)&gt;=$AE18,DATE($AD18,10,1)&lt;=$AF18),ROUND($AG18,2),0))</f>
        <v/>
      </c>
      <c r="T18" s="18">
        <f>IF($Z18="","",IF(AND(DATE($AD18,11,1)&gt;=$AE18,DATE($AD18,11,1)&lt;=$AF18),ROUND($AG18,2),0))</f>
        <v/>
      </c>
      <c r="U18" s="18">
        <f>IF($Z18="","",IF(AND(DATE($AD18,12,1)&gt;=$AE18,DATE($AD18,12,1)&lt;=$AF18),ROUND($AG18,2),0))</f>
        <v/>
      </c>
      <c r="V18" s="7">
        <f>IF($Z18="C","Generated from "&amp;INDEX(Contracts!$A$2:$A$151,$AB18),IF($Z18="A","Generated from "&amp;INDEX(Fixed_Assets!$A$2:$A$201,$AB18),IF($Z18="F","Generated from "&amp;INDEX(FTE_Allocation!$A$2:$A$201,$AB18),"")))</f>
        <v/>
      </c>
      <c r="X18" s="19">
        <f>IF($Z18="","",SUM(J18:U18))</f>
        <v/>
      </c>
      <c r="Y18" s="20">
        <f>ROW()-1</f>
        <v/>
      </c>
      <c r="Z18" s="20">
        <f>IF($Y18&lt;=Settings!$B$4*3,"C",IF($Y18&lt;=(Settings!$B$4+Settings!$B$5)*3,"A",IF($Y18&lt;=(Settings!$B$4+Settings!$B$5+Settings!$B$6)*3,"F","")))</f>
        <v/>
      </c>
      <c r="AA18" s="20">
        <f>IF($Z18="C",$Y18,IF($Z18="A",$Y18-Settings!$B$4*3,IF($Z18="F",$Y18-(Settings!$B$4+Settings!$B$5)*3,"")))</f>
        <v/>
      </c>
      <c r="AB18" s="20">
        <f>IF($Z18="","",INT(($AA18-1)/3)+1)</f>
        <v/>
      </c>
      <c r="AC18" s="20">
        <f>IF($Z18="","",MOD($AA18-1,3)+1)</f>
        <v/>
      </c>
      <c r="AD18" s="20">
        <f>IF($Z18="","",Settings!$B$2+$AC18-1)</f>
        <v/>
      </c>
      <c r="AE18" s="21">
        <f>IF($Z18="C",DATE(YEAR(INDEX(Contracts!$J$2:$J$151,$AB18)),MONTH(INDEX(Contracts!$J$2:$J$151,$AB18)),1),IF($Z18="A",DATE(YEAR(INDEX(Fixed_Assets!$G$2:$G$201,$AB18)),MONTH(INDEX(Fixed_Assets!$G$2:$G$201,$AB18)),1),IF($Z18="F",DATE(YEAR(MAX(N(INDEX(Workforce!$I$2:$I$151,MATCH(INDEX(FTE_Allocation!$A$2:$A$201,$AB18),Workforce!$A$2:$A$151,0))),N(INDEX(FTE_Allocation!$I$2:$I$201,$AB18)))),MONTH(MAX(N(INDEX(Workforce!$I$2:$I$151,MATCH(INDEX(FTE_Allocation!$A$2:$A$201,$AB18),Workforce!$A$2:$A$151,0))),N(INDEX(FTE_Allocation!$I$2:$I$201,$AB18)))),1),"")))</f>
        <v/>
      </c>
      <c r="AF18" s="21">
        <f>IF($Z18="C",IF(INDEX(Contracts!$I$2:$I$151,$AB18)="PREPAID",EDATE(DATE(YEAR(INDEX(Contracts!$J$2:$J$151,$AB18)),MONTH(INDEX(Contracts!$J$2:$J$151,$AB18)),1),IF(INDEX(Contracts!$N$2:$N$151,$AB18)="",12,INDEX(Contracts!$N$2:$N$151,$AB18))-1),IF(INDEX(Contracts!$I$2:$I$151,$AB18)="MONTHLY",IF(INDEX(Contracts!$K$2:$K$151,$AB18)="",2958101,INDEX(Contracts!$K$2:$K$151,$AB18)),0)),IF($Z18="A",EDATE(DATE(YEAR(INDEX(Fixed_Assets!$G$2:$G$201,$AB18)),MONTH(INDEX(Fixed_Assets!$G$2:$G$201,$AB18)),1),INDEX(Fixed_Assets!$J$2:$J$201,$AB18)-1),IF($Z18="F",MIN(IF(INDEX(Workforce!$J$2:$J$151,MATCH(INDEX(FTE_Allocation!$A$2:$A$201,$AB18),Workforce!$A$2:$A$151,0))="",2958101,INDEX(Workforce!$J$2:$J$151,MATCH(INDEX(FTE_Allocation!$A$2:$A$201,$AB18),Workforce!$A$2:$A$151,0))),IF(INDEX(FTE_Allocation!$J$2:$J$201,$AB18)="",2958101,INDEX(FTE_Allocation!$J$2:$J$201,$AB18))),"")))</f>
        <v/>
      </c>
      <c r="AG18" s="19">
        <f>IF($Z18="C",IF(INDEX(Contracts!$I$2:$I$151,$AB18)="PREPAID",INDEX(Contracts!$M$2:$M$151,$AB18)/IF(INDEX(Contracts!$N$2:$N$151,$AB18)="",12,INDEX(Contracts!$N$2:$N$151,$AB18)),IF(INDEX(Contracts!$I$2:$I$151,$AB18)="MONTHLY",INDEX(Contracts!$M$2:$M$151,$AB18),0))*(1-N(INDEX(Contracts!$O$2:$O$151,$AB18))),IF($Z18="A",INDEX(Fixed_Assets!$H$2:$H$201,$AB18)/INDEX(Fixed_Assets!$J$2:$J$201,$AB18),IF($Z18="F",INDEX(Workforce!$F$2:$F$151,MATCH(INDEX(FTE_Allocation!$A$2:$A$201,$AB18),Workforce!$A$2:$A$151,0))*N(INDEX(FTE_Allocation!$F$2:$H$201,$AB18,$AC18)),"")))</f>
        <v/>
      </c>
    </row>
    <row r="19">
      <c r="A19" s="7">
        <f>IF($Z19="","",$AD19)</f>
        <v/>
      </c>
      <c r="B19" s="7">
        <f>IF($Z19="C",INDEX(Contracts!$D$2:$D$151,$AB19)&amp;"",IF($Z19="A",INDEX(Fixed_Assets!$C$2:$C$201,$AB19)&amp;"",IF($Z19="F",INDEX(Workforce!$B$2:$B$151,MATCH(INDEX(FTE_Allocation!$A$2:$A$201,$AB19),Workforce!$A$2:$A$151,0))&amp;"","")))</f>
        <v/>
      </c>
      <c r="C19" s="7">
        <f>IF($Z19="C",INDEX(Contracts!$E$2:$E$151,$AB19)&amp;"",IF($Z19="A",INDEX(Fixed_Assets!$D$2:$D$201,$AB19)&amp;"",IF($Z19="F",INDEX(FTE_Allocation!$C$2:$C$201,$AB19)&amp;"","")))</f>
        <v/>
      </c>
      <c r="D19" s="7">
        <f>IF($Z19="C",INDEX(Contracts!$B$2:$B$151,$AB19)&amp;"",IF($Z19="A",INDEX(Fixed_Assets!$B$2:$B$201,$AB19)&amp;"",IF($Z19="F",INDEX(FTE_Allocation!$B$2:$B$201,$AB19)&amp;"","")))</f>
        <v/>
      </c>
      <c r="E19" s="7">
        <f>IF($Z19="C",INDEX(Contracts!$P$2:$P$151,$AB19)&amp;"",IF($Z19="A",INDEX(Fixed_Assets!$K$2:$K$201,$AB19)&amp;"",IF($Z19="F",IF(INDEX(FTE_Allocation!$D$2:$D$201,$AB19)="PROJECT",IFERROR(INDEX(Projects!$D:$D,MATCH(INDEX(FTE_Allocation!$E$2:$E$201,$AB19),Projects!$A:$A,0))&amp;"","#PROJECT?"),INDEX(FTE_Allocation!$E$2:$E$201,$AB19)&amp;""),"")))</f>
        <v/>
      </c>
      <c r="F19" s="7">
        <f>IF($Z19="C",INDEX(Contracts!$Q$2:$Q$151,$AB19)&amp;"",IF($Z19="A",INDEX(Fixed_Assets!$L$2:$L$201,$AB19)&amp;"",IF($Z19="F",INDEX(Workforce!$K$2:$K$151,MATCH(INDEX(FTE_Allocation!$A$2:$A$201,$AB19),Workforce!$A$2:$A$151,0))&amp;"","")))</f>
        <v/>
      </c>
      <c r="G19" s="7">
        <f>IF($Z19="C",INDEX(Contracts!$F$2:$F$151,$AB19)&amp;" / "&amp;INDEX(Contracts!$G$2:$G$151,$AB19),IF($Z19="A",INDEX(Fixed_Assets!$E$2:$E$201,$AB19)&amp;"",IF($Z19="F","Personnel "&amp;INDEX(FTE_Allocation!$A$2:$A$201,$AB19)&amp;IF(INDEX(FTE_Allocation!$D$2:$D$201,$AB19)="PROJECT"," ("&amp;INDEX(FTE_Allocation!$E$2:$E$201,$AB19)&amp;")",""),"")))</f>
        <v/>
      </c>
      <c r="H19" s="7">
        <f>IF($Z19="C","CONTRACT",IF($Z19="A","ASSET",IF($Z19="F","WORKFORCE","")))</f>
        <v/>
      </c>
      <c r="I19" s="7">
        <f>IF($Z19="C",INDEX(Contracts!$L$2:$L$151,$AB19)&amp;"",IF($Z19="A",INDEX(Fixed_Assets!$I$2:$I$201,$AB19)&amp;"",IF($Z19="F",INDEX(Workforce!$G$2:$G$151,MATCH(INDEX(FTE_Allocation!$A$2:$A$201,$AB19),Workforce!$A$2:$A$151,0))&amp;"","")))</f>
        <v/>
      </c>
      <c r="J19" s="18">
        <f>IF($Z19="","",IF(AND(DATE($AD19,1,1)&gt;=$AE19,DATE($AD19,1,1)&lt;=$AF19),ROUND($AG19,2),0))</f>
        <v/>
      </c>
      <c r="K19" s="18">
        <f>IF($Z19="","",IF(AND(DATE($AD19,2,1)&gt;=$AE19,DATE($AD19,2,1)&lt;=$AF19),ROUND($AG19,2),0))</f>
        <v/>
      </c>
      <c r="L19" s="18">
        <f>IF($Z19="","",IF(AND(DATE($AD19,3,1)&gt;=$AE19,DATE($AD19,3,1)&lt;=$AF19),ROUND($AG19,2),0))</f>
        <v/>
      </c>
      <c r="M19" s="18">
        <f>IF($Z19="","",IF(AND(DATE($AD19,4,1)&gt;=$AE19,DATE($AD19,4,1)&lt;=$AF19),ROUND($AG19,2),0))</f>
        <v/>
      </c>
      <c r="N19" s="18">
        <f>IF($Z19="","",IF(AND(DATE($AD19,5,1)&gt;=$AE19,DATE($AD19,5,1)&lt;=$AF19),ROUND($AG19,2),0))</f>
        <v/>
      </c>
      <c r="O19" s="18">
        <f>IF($Z19="","",IF(AND(DATE($AD19,6,1)&gt;=$AE19,DATE($AD19,6,1)&lt;=$AF19),ROUND($AG19,2),0))</f>
        <v/>
      </c>
      <c r="P19" s="18">
        <f>IF($Z19="","",IF(AND(DATE($AD19,7,1)&gt;=$AE19,DATE($AD19,7,1)&lt;=$AF19),ROUND($AG19,2),0))</f>
        <v/>
      </c>
      <c r="Q19" s="18">
        <f>IF($Z19="","",IF(AND(DATE($AD19,8,1)&gt;=$AE19,DATE($AD19,8,1)&lt;=$AF19),ROUND($AG19,2),0))</f>
        <v/>
      </c>
      <c r="R19" s="18">
        <f>IF($Z19="","",IF(AND(DATE($AD19,9,1)&gt;=$AE19,DATE($AD19,9,1)&lt;=$AF19),ROUND($AG19,2),0))</f>
        <v/>
      </c>
      <c r="S19" s="18">
        <f>IF($Z19="","",IF(AND(DATE($AD19,10,1)&gt;=$AE19,DATE($AD19,10,1)&lt;=$AF19),ROUND($AG19,2),0))</f>
        <v/>
      </c>
      <c r="T19" s="18">
        <f>IF($Z19="","",IF(AND(DATE($AD19,11,1)&gt;=$AE19,DATE($AD19,11,1)&lt;=$AF19),ROUND($AG19,2),0))</f>
        <v/>
      </c>
      <c r="U19" s="18">
        <f>IF($Z19="","",IF(AND(DATE($AD19,12,1)&gt;=$AE19,DATE($AD19,12,1)&lt;=$AF19),ROUND($AG19,2),0))</f>
        <v/>
      </c>
      <c r="V19" s="7">
        <f>IF($Z19="C","Generated from "&amp;INDEX(Contracts!$A$2:$A$151,$AB19),IF($Z19="A","Generated from "&amp;INDEX(Fixed_Assets!$A$2:$A$201,$AB19),IF($Z19="F","Generated from "&amp;INDEX(FTE_Allocation!$A$2:$A$201,$AB19),"")))</f>
        <v/>
      </c>
      <c r="X19" s="19">
        <f>IF($Z19="","",SUM(J19:U19))</f>
        <v/>
      </c>
      <c r="Y19" s="20">
        <f>ROW()-1</f>
        <v/>
      </c>
      <c r="Z19" s="20">
        <f>IF($Y19&lt;=Settings!$B$4*3,"C",IF($Y19&lt;=(Settings!$B$4+Settings!$B$5)*3,"A",IF($Y19&lt;=(Settings!$B$4+Settings!$B$5+Settings!$B$6)*3,"F","")))</f>
        <v/>
      </c>
      <c r="AA19" s="20">
        <f>IF($Z19="C",$Y19,IF($Z19="A",$Y19-Settings!$B$4*3,IF($Z19="F",$Y19-(Settings!$B$4+Settings!$B$5)*3,"")))</f>
        <v/>
      </c>
      <c r="AB19" s="20">
        <f>IF($Z19="","",INT(($AA19-1)/3)+1)</f>
        <v/>
      </c>
      <c r="AC19" s="20">
        <f>IF($Z19="","",MOD($AA19-1,3)+1)</f>
        <v/>
      </c>
      <c r="AD19" s="20">
        <f>IF($Z19="","",Settings!$B$2+$AC19-1)</f>
        <v/>
      </c>
      <c r="AE19" s="21">
        <f>IF($Z19="C",DATE(YEAR(INDEX(Contracts!$J$2:$J$151,$AB19)),MONTH(INDEX(Contracts!$J$2:$J$151,$AB19)),1),IF($Z19="A",DATE(YEAR(INDEX(Fixed_Assets!$G$2:$G$201,$AB19)),MONTH(INDEX(Fixed_Assets!$G$2:$G$201,$AB19)),1),IF($Z19="F",DATE(YEAR(MAX(N(INDEX(Workforce!$I$2:$I$151,MATCH(INDEX(FTE_Allocation!$A$2:$A$201,$AB19),Workforce!$A$2:$A$151,0))),N(INDEX(FTE_Allocation!$I$2:$I$201,$AB19)))),MONTH(MAX(N(INDEX(Workforce!$I$2:$I$151,MATCH(INDEX(FTE_Allocation!$A$2:$A$201,$AB19),Workforce!$A$2:$A$151,0))),N(INDEX(FTE_Allocation!$I$2:$I$201,$AB19)))),1),"")))</f>
        <v/>
      </c>
      <c r="AF19" s="21">
        <f>IF($Z19="C",IF(INDEX(Contracts!$I$2:$I$151,$AB19)="PREPAID",EDATE(DATE(YEAR(INDEX(Contracts!$J$2:$J$151,$AB19)),MONTH(INDEX(Contracts!$J$2:$J$151,$AB19)),1),IF(INDEX(Contracts!$N$2:$N$151,$AB19)="",12,INDEX(Contracts!$N$2:$N$151,$AB19))-1),IF(INDEX(Contracts!$I$2:$I$151,$AB19)="MONTHLY",IF(INDEX(Contracts!$K$2:$K$151,$AB19)="",2958101,INDEX(Contracts!$K$2:$K$151,$AB19)),0)),IF($Z19="A",EDATE(DATE(YEAR(INDEX(Fixed_Assets!$G$2:$G$201,$AB19)),MONTH(INDEX(Fixed_Assets!$G$2:$G$201,$AB19)),1),INDEX(Fixed_Assets!$J$2:$J$201,$AB19)-1),IF($Z19="F",MIN(IF(INDEX(Workforce!$J$2:$J$151,MATCH(INDEX(FTE_Allocation!$A$2:$A$201,$AB19),Workforce!$A$2:$A$151,0))="",2958101,INDEX(Workforce!$J$2:$J$151,MATCH(INDEX(FTE_Allocation!$A$2:$A$201,$AB19),Workforce!$A$2:$A$151,0))),IF(INDEX(FTE_Allocation!$J$2:$J$201,$AB19)="",2958101,INDEX(FTE_Allocation!$J$2:$J$201,$AB19))),"")))</f>
        <v/>
      </c>
      <c r="AG19" s="19">
        <f>IF($Z19="C",IF(INDEX(Contracts!$I$2:$I$151,$AB19)="PREPAID",INDEX(Contracts!$M$2:$M$151,$AB19)/IF(INDEX(Contracts!$N$2:$N$151,$AB19)="",12,INDEX(Contracts!$N$2:$N$151,$AB19)),IF(INDEX(Contracts!$I$2:$I$151,$AB19)="MONTHLY",INDEX(Contracts!$M$2:$M$151,$AB19),0))*(1-N(INDEX(Contracts!$O$2:$O$151,$AB19))),IF($Z19="A",INDEX(Fixed_Assets!$H$2:$H$201,$AB19)/INDEX(Fixed_Assets!$J$2:$J$201,$AB19),IF($Z19="F",INDEX(Workforce!$F$2:$F$151,MATCH(INDEX(FTE_Allocation!$A$2:$A$201,$AB19),Workforce!$A$2:$A$151,0))*N(INDEX(FTE_Allocation!$F$2:$H$201,$AB19,$AC19)),"")))</f>
        <v/>
      </c>
    </row>
    <row r="20">
      <c r="A20" s="7">
        <f>IF($Z20="","",$AD20)</f>
        <v/>
      </c>
      <c r="B20" s="7">
        <f>IF($Z20="C",INDEX(Contracts!$D$2:$D$151,$AB20)&amp;"",IF($Z20="A",INDEX(Fixed_Assets!$C$2:$C$201,$AB20)&amp;"",IF($Z20="F",INDEX(Workforce!$B$2:$B$151,MATCH(INDEX(FTE_Allocation!$A$2:$A$201,$AB20),Workforce!$A$2:$A$151,0))&amp;"","")))</f>
        <v/>
      </c>
      <c r="C20" s="7">
        <f>IF($Z20="C",INDEX(Contracts!$E$2:$E$151,$AB20)&amp;"",IF($Z20="A",INDEX(Fixed_Assets!$D$2:$D$201,$AB20)&amp;"",IF($Z20="F",INDEX(FTE_Allocation!$C$2:$C$201,$AB20)&amp;"","")))</f>
        <v/>
      </c>
      <c r="D20" s="7">
        <f>IF($Z20="C",INDEX(Contracts!$B$2:$B$151,$AB20)&amp;"",IF($Z20="A",INDEX(Fixed_Assets!$B$2:$B$201,$AB20)&amp;"",IF($Z20="F",INDEX(FTE_Allocation!$B$2:$B$201,$AB20)&amp;"","")))</f>
        <v/>
      </c>
      <c r="E20" s="7">
        <f>IF($Z20="C",INDEX(Contracts!$P$2:$P$151,$AB20)&amp;"",IF($Z20="A",INDEX(Fixed_Assets!$K$2:$K$201,$AB20)&amp;"",IF($Z20="F",IF(INDEX(FTE_Allocation!$D$2:$D$201,$AB20)="PROJECT",IFERROR(INDEX(Projects!$D:$D,MATCH(INDEX(FTE_Allocation!$E$2:$E$201,$AB20),Projects!$A:$A,0))&amp;"","#PROJECT?"),INDEX(FTE_Allocation!$E$2:$E$201,$AB20)&amp;""),"")))</f>
        <v/>
      </c>
      <c r="F20" s="7">
        <f>IF($Z20="C",INDEX(Contracts!$Q$2:$Q$151,$AB20)&amp;"",IF($Z20="A",INDEX(Fixed_Assets!$L$2:$L$201,$AB20)&amp;"",IF($Z20="F",INDEX(Workforce!$K$2:$K$151,MATCH(INDEX(FTE_Allocation!$A$2:$A$201,$AB20),Workforce!$A$2:$A$151,0))&amp;"","")))</f>
        <v/>
      </c>
      <c r="G20" s="7">
        <f>IF($Z20="C",INDEX(Contracts!$F$2:$F$151,$AB20)&amp;" / "&amp;INDEX(Contracts!$G$2:$G$151,$AB20),IF($Z20="A",INDEX(Fixed_Assets!$E$2:$E$201,$AB20)&amp;"",IF($Z20="F","Personnel "&amp;INDEX(FTE_Allocation!$A$2:$A$201,$AB20)&amp;IF(INDEX(FTE_Allocation!$D$2:$D$201,$AB20)="PROJECT"," ("&amp;INDEX(FTE_Allocation!$E$2:$E$201,$AB20)&amp;")",""),"")))</f>
        <v/>
      </c>
      <c r="H20" s="7">
        <f>IF($Z20="C","CONTRACT",IF($Z20="A","ASSET",IF($Z20="F","WORKFORCE","")))</f>
        <v/>
      </c>
      <c r="I20" s="7">
        <f>IF($Z20="C",INDEX(Contracts!$L$2:$L$151,$AB20)&amp;"",IF($Z20="A",INDEX(Fixed_Assets!$I$2:$I$201,$AB20)&amp;"",IF($Z20="F",INDEX(Workforce!$G$2:$G$151,MATCH(INDEX(FTE_Allocation!$A$2:$A$201,$AB20),Workforce!$A$2:$A$151,0))&amp;"","")))</f>
        <v/>
      </c>
      <c r="J20" s="18">
        <f>IF($Z20="","",IF(AND(DATE($AD20,1,1)&gt;=$AE20,DATE($AD20,1,1)&lt;=$AF20),ROUND($AG20,2),0))</f>
        <v/>
      </c>
      <c r="K20" s="18">
        <f>IF($Z20="","",IF(AND(DATE($AD20,2,1)&gt;=$AE20,DATE($AD20,2,1)&lt;=$AF20),ROUND($AG20,2),0))</f>
        <v/>
      </c>
      <c r="L20" s="18">
        <f>IF($Z20="","",IF(AND(DATE($AD20,3,1)&gt;=$AE20,DATE($AD20,3,1)&lt;=$AF20),ROUND($AG20,2),0))</f>
        <v/>
      </c>
      <c r="M20" s="18">
        <f>IF($Z20="","",IF(AND(DATE($AD20,4,1)&gt;=$AE20,DATE($AD20,4,1)&lt;=$AF20),ROUND($AG20,2),0))</f>
        <v/>
      </c>
      <c r="N20" s="18">
        <f>IF($Z20="","",IF(AND(DATE($AD20,5,1)&gt;=$AE20,DATE($AD20,5,1)&lt;=$AF20),ROUND($AG20,2),0))</f>
        <v/>
      </c>
      <c r="O20" s="18">
        <f>IF($Z20="","",IF(AND(DATE($AD20,6,1)&gt;=$AE20,DATE($AD20,6,1)&lt;=$AF20),ROUND($AG20,2),0))</f>
        <v/>
      </c>
      <c r="P20" s="18">
        <f>IF($Z20="","",IF(AND(DATE($AD20,7,1)&gt;=$AE20,DATE($AD20,7,1)&lt;=$AF20),ROUND($AG20,2),0))</f>
        <v/>
      </c>
      <c r="Q20" s="18">
        <f>IF($Z20="","",IF(AND(DATE($AD20,8,1)&gt;=$AE20,DATE($AD20,8,1)&lt;=$AF20),ROUND($AG20,2),0))</f>
        <v/>
      </c>
      <c r="R20" s="18">
        <f>IF($Z20="","",IF(AND(DATE($AD20,9,1)&gt;=$AE20,DATE($AD20,9,1)&lt;=$AF20),ROUND($AG20,2),0))</f>
        <v/>
      </c>
      <c r="S20" s="18">
        <f>IF($Z20="","",IF(AND(DATE($AD20,10,1)&gt;=$AE20,DATE($AD20,10,1)&lt;=$AF20),ROUND($AG20,2),0))</f>
        <v/>
      </c>
      <c r="T20" s="18">
        <f>IF($Z20="","",IF(AND(DATE($AD20,11,1)&gt;=$AE20,DATE($AD20,11,1)&lt;=$AF20),ROUND($AG20,2),0))</f>
        <v/>
      </c>
      <c r="U20" s="18">
        <f>IF($Z20="","",IF(AND(DATE($AD20,12,1)&gt;=$AE20,DATE($AD20,12,1)&lt;=$AF20),ROUND($AG20,2),0))</f>
        <v/>
      </c>
      <c r="V20" s="7">
        <f>IF($Z20="C","Generated from "&amp;INDEX(Contracts!$A$2:$A$151,$AB20),IF($Z20="A","Generated from "&amp;INDEX(Fixed_Assets!$A$2:$A$201,$AB20),IF($Z20="F","Generated from "&amp;INDEX(FTE_Allocation!$A$2:$A$201,$AB20),"")))</f>
        <v/>
      </c>
      <c r="X20" s="19">
        <f>IF($Z20="","",SUM(J20:U20))</f>
        <v/>
      </c>
      <c r="Y20" s="20">
        <f>ROW()-1</f>
        <v/>
      </c>
      <c r="Z20" s="20">
        <f>IF($Y20&lt;=Settings!$B$4*3,"C",IF($Y20&lt;=(Settings!$B$4+Settings!$B$5)*3,"A",IF($Y20&lt;=(Settings!$B$4+Settings!$B$5+Settings!$B$6)*3,"F","")))</f>
        <v/>
      </c>
      <c r="AA20" s="20">
        <f>IF($Z20="C",$Y20,IF($Z20="A",$Y20-Settings!$B$4*3,IF($Z20="F",$Y20-(Settings!$B$4+Settings!$B$5)*3,"")))</f>
        <v/>
      </c>
      <c r="AB20" s="20">
        <f>IF($Z20="","",INT(($AA20-1)/3)+1)</f>
        <v/>
      </c>
      <c r="AC20" s="20">
        <f>IF($Z20="","",MOD($AA20-1,3)+1)</f>
        <v/>
      </c>
      <c r="AD20" s="20">
        <f>IF($Z20="","",Settings!$B$2+$AC20-1)</f>
        <v/>
      </c>
      <c r="AE20" s="21">
        <f>IF($Z20="C",DATE(YEAR(INDEX(Contracts!$J$2:$J$151,$AB20)),MONTH(INDEX(Contracts!$J$2:$J$151,$AB20)),1),IF($Z20="A",DATE(YEAR(INDEX(Fixed_Assets!$G$2:$G$201,$AB20)),MONTH(INDEX(Fixed_Assets!$G$2:$G$201,$AB20)),1),IF($Z20="F",DATE(YEAR(MAX(N(INDEX(Workforce!$I$2:$I$151,MATCH(INDEX(FTE_Allocation!$A$2:$A$201,$AB20),Workforce!$A$2:$A$151,0))),N(INDEX(FTE_Allocation!$I$2:$I$201,$AB20)))),MONTH(MAX(N(INDEX(Workforce!$I$2:$I$151,MATCH(INDEX(FTE_Allocation!$A$2:$A$201,$AB20),Workforce!$A$2:$A$151,0))),N(INDEX(FTE_Allocation!$I$2:$I$201,$AB20)))),1),"")))</f>
        <v/>
      </c>
      <c r="AF20" s="21">
        <f>IF($Z20="C",IF(INDEX(Contracts!$I$2:$I$151,$AB20)="PREPAID",EDATE(DATE(YEAR(INDEX(Contracts!$J$2:$J$151,$AB20)),MONTH(INDEX(Contracts!$J$2:$J$151,$AB20)),1),IF(INDEX(Contracts!$N$2:$N$151,$AB20)="",12,INDEX(Contracts!$N$2:$N$151,$AB20))-1),IF(INDEX(Contracts!$I$2:$I$151,$AB20)="MONTHLY",IF(INDEX(Contracts!$K$2:$K$151,$AB20)="",2958101,INDEX(Contracts!$K$2:$K$151,$AB20)),0)),IF($Z20="A",EDATE(DATE(YEAR(INDEX(Fixed_Assets!$G$2:$G$201,$AB20)),MONTH(INDEX(Fixed_Assets!$G$2:$G$201,$AB20)),1),INDEX(Fixed_Assets!$J$2:$J$201,$AB20)-1),IF($Z20="F",MIN(IF(INDEX(Workforce!$J$2:$J$151,MATCH(INDEX(FTE_Allocation!$A$2:$A$201,$AB20),Workforce!$A$2:$A$151,0))="",2958101,INDEX(Workforce!$J$2:$J$151,MATCH(INDEX(FTE_Allocation!$A$2:$A$201,$AB20),Workforce!$A$2:$A$151,0))),IF(INDEX(FTE_Allocation!$J$2:$J$201,$AB20)="",2958101,INDEX(FTE_Allocation!$J$2:$J$201,$AB20))),"")))</f>
        <v/>
      </c>
      <c r="AG20" s="19">
        <f>IF($Z20="C",IF(INDEX(Contracts!$I$2:$I$151,$AB20)="PREPAID",INDEX(Contracts!$M$2:$M$151,$AB20)/IF(INDEX(Contracts!$N$2:$N$151,$AB20)="",12,INDEX(Contracts!$N$2:$N$151,$AB20)),IF(INDEX(Contracts!$I$2:$I$151,$AB20)="MONTHLY",INDEX(Contracts!$M$2:$M$151,$AB20),0))*(1-N(INDEX(Contracts!$O$2:$O$151,$AB20))),IF($Z20="A",INDEX(Fixed_Assets!$H$2:$H$201,$AB20)/INDEX(Fixed_Assets!$J$2:$J$201,$AB20),IF($Z20="F",INDEX(Workforce!$F$2:$F$151,MATCH(INDEX(FTE_Allocation!$A$2:$A$201,$AB20),Workforce!$A$2:$A$151,0))*N(INDEX(FTE_Allocation!$F$2:$H$201,$AB20,$AC20)),"")))</f>
        <v/>
      </c>
    </row>
    <row r="21">
      <c r="A21" s="7">
        <f>IF($Z21="","",$AD21)</f>
        <v/>
      </c>
      <c r="B21" s="7">
        <f>IF($Z21="C",INDEX(Contracts!$D$2:$D$151,$AB21)&amp;"",IF($Z21="A",INDEX(Fixed_Assets!$C$2:$C$201,$AB21)&amp;"",IF($Z21="F",INDEX(Workforce!$B$2:$B$151,MATCH(INDEX(FTE_Allocation!$A$2:$A$201,$AB21),Workforce!$A$2:$A$151,0))&amp;"","")))</f>
        <v/>
      </c>
      <c r="C21" s="7">
        <f>IF($Z21="C",INDEX(Contracts!$E$2:$E$151,$AB21)&amp;"",IF($Z21="A",INDEX(Fixed_Assets!$D$2:$D$201,$AB21)&amp;"",IF($Z21="F",INDEX(FTE_Allocation!$C$2:$C$201,$AB21)&amp;"","")))</f>
        <v/>
      </c>
      <c r="D21" s="7">
        <f>IF($Z21="C",INDEX(Contracts!$B$2:$B$151,$AB21)&amp;"",IF($Z21="A",INDEX(Fixed_Assets!$B$2:$B$201,$AB21)&amp;"",IF($Z21="F",INDEX(FTE_Allocation!$B$2:$B$201,$AB21)&amp;"","")))</f>
        <v/>
      </c>
      <c r="E21" s="7">
        <f>IF($Z21="C",INDEX(Contracts!$P$2:$P$151,$AB21)&amp;"",IF($Z21="A",INDEX(Fixed_Assets!$K$2:$K$201,$AB21)&amp;"",IF($Z21="F",IF(INDEX(FTE_Allocation!$D$2:$D$201,$AB21)="PROJECT",IFERROR(INDEX(Projects!$D:$D,MATCH(INDEX(FTE_Allocation!$E$2:$E$201,$AB21),Projects!$A:$A,0))&amp;"","#PROJECT?"),INDEX(FTE_Allocation!$E$2:$E$201,$AB21)&amp;""),"")))</f>
        <v/>
      </c>
      <c r="F21" s="7">
        <f>IF($Z21="C",INDEX(Contracts!$Q$2:$Q$151,$AB21)&amp;"",IF($Z21="A",INDEX(Fixed_Assets!$L$2:$L$201,$AB21)&amp;"",IF($Z21="F",INDEX(Workforce!$K$2:$K$151,MATCH(INDEX(FTE_Allocation!$A$2:$A$201,$AB21),Workforce!$A$2:$A$151,0))&amp;"","")))</f>
        <v/>
      </c>
      <c r="G21" s="7">
        <f>IF($Z21="C",INDEX(Contracts!$F$2:$F$151,$AB21)&amp;" / "&amp;INDEX(Contracts!$G$2:$G$151,$AB21),IF($Z21="A",INDEX(Fixed_Assets!$E$2:$E$201,$AB21)&amp;"",IF($Z21="F","Personnel "&amp;INDEX(FTE_Allocation!$A$2:$A$201,$AB21)&amp;IF(INDEX(FTE_Allocation!$D$2:$D$201,$AB21)="PROJECT"," ("&amp;INDEX(FTE_Allocation!$E$2:$E$201,$AB21)&amp;")",""),"")))</f>
        <v/>
      </c>
      <c r="H21" s="7">
        <f>IF($Z21="C","CONTRACT",IF($Z21="A","ASSET",IF($Z21="F","WORKFORCE","")))</f>
        <v/>
      </c>
      <c r="I21" s="7">
        <f>IF($Z21="C",INDEX(Contracts!$L$2:$L$151,$AB21)&amp;"",IF($Z21="A",INDEX(Fixed_Assets!$I$2:$I$201,$AB21)&amp;"",IF($Z21="F",INDEX(Workforce!$G$2:$G$151,MATCH(INDEX(FTE_Allocation!$A$2:$A$201,$AB21),Workforce!$A$2:$A$151,0))&amp;"","")))</f>
        <v/>
      </c>
      <c r="J21" s="18">
        <f>IF($Z21="","",IF(AND(DATE($AD21,1,1)&gt;=$AE21,DATE($AD21,1,1)&lt;=$AF21),ROUND($AG21,2),0))</f>
        <v/>
      </c>
      <c r="K21" s="18">
        <f>IF($Z21="","",IF(AND(DATE($AD21,2,1)&gt;=$AE21,DATE($AD21,2,1)&lt;=$AF21),ROUND($AG21,2),0))</f>
        <v/>
      </c>
      <c r="L21" s="18">
        <f>IF($Z21="","",IF(AND(DATE($AD21,3,1)&gt;=$AE21,DATE($AD21,3,1)&lt;=$AF21),ROUND($AG21,2),0))</f>
        <v/>
      </c>
      <c r="M21" s="18">
        <f>IF($Z21="","",IF(AND(DATE($AD21,4,1)&gt;=$AE21,DATE($AD21,4,1)&lt;=$AF21),ROUND($AG21,2),0))</f>
        <v/>
      </c>
      <c r="N21" s="18">
        <f>IF($Z21="","",IF(AND(DATE($AD21,5,1)&gt;=$AE21,DATE($AD21,5,1)&lt;=$AF21),ROUND($AG21,2),0))</f>
        <v/>
      </c>
      <c r="O21" s="18">
        <f>IF($Z21="","",IF(AND(DATE($AD21,6,1)&gt;=$AE21,DATE($AD21,6,1)&lt;=$AF21),ROUND($AG21,2),0))</f>
        <v/>
      </c>
      <c r="P21" s="18">
        <f>IF($Z21="","",IF(AND(DATE($AD21,7,1)&gt;=$AE21,DATE($AD21,7,1)&lt;=$AF21),ROUND($AG21,2),0))</f>
        <v/>
      </c>
      <c r="Q21" s="18">
        <f>IF($Z21="","",IF(AND(DATE($AD21,8,1)&gt;=$AE21,DATE($AD21,8,1)&lt;=$AF21),ROUND($AG21,2),0))</f>
        <v/>
      </c>
      <c r="R21" s="18">
        <f>IF($Z21="","",IF(AND(DATE($AD21,9,1)&gt;=$AE21,DATE($AD21,9,1)&lt;=$AF21),ROUND($AG21,2),0))</f>
        <v/>
      </c>
      <c r="S21" s="18">
        <f>IF($Z21="","",IF(AND(DATE($AD21,10,1)&gt;=$AE21,DATE($AD21,10,1)&lt;=$AF21),ROUND($AG21,2),0))</f>
        <v/>
      </c>
      <c r="T21" s="18">
        <f>IF($Z21="","",IF(AND(DATE($AD21,11,1)&gt;=$AE21,DATE($AD21,11,1)&lt;=$AF21),ROUND($AG21,2),0))</f>
        <v/>
      </c>
      <c r="U21" s="18">
        <f>IF($Z21="","",IF(AND(DATE($AD21,12,1)&gt;=$AE21,DATE($AD21,12,1)&lt;=$AF21),ROUND($AG21,2),0))</f>
        <v/>
      </c>
      <c r="V21" s="7">
        <f>IF($Z21="C","Generated from "&amp;INDEX(Contracts!$A$2:$A$151,$AB21),IF($Z21="A","Generated from "&amp;INDEX(Fixed_Assets!$A$2:$A$201,$AB21),IF($Z21="F","Generated from "&amp;INDEX(FTE_Allocation!$A$2:$A$201,$AB21),"")))</f>
        <v/>
      </c>
      <c r="X21" s="19">
        <f>IF($Z21="","",SUM(J21:U21))</f>
        <v/>
      </c>
      <c r="Y21" s="20">
        <f>ROW()-1</f>
        <v/>
      </c>
      <c r="Z21" s="20">
        <f>IF($Y21&lt;=Settings!$B$4*3,"C",IF($Y21&lt;=(Settings!$B$4+Settings!$B$5)*3,"A",IF($Y21&lt;=(Settings!$B$4+Settings!$B$5+Settings!$B$6)*3,"F","")))</f>
        <v/>
      </c>
      <c r="AA21" s="20">
        <f>IF($Z21="C",$Y21,IF($Z21="A",$Y21-Settings!$B$4*3,IF($Z21="F",$Y21-(Settings!$B$4+Settings!$B$5)*3,"")))</f>
        <v/>
      </c>
      <c r="AB21" s="20">
        <f>IF($Z21="","",INT(($AA21-1)/3)+1)</f>
        <v/>
      </c>
      <c r="AC21" s="20">
        <f>IF($Z21="","",MOD($AA21-1,3)+1)</f>
        <v/>
      </c>
      <c r="AD21" s="20">
        <f>IF($Z21="","",Settings!$B$2+$AC21-1)</f>
        <v/>
      </c>
      <c r="AE21" s="21">
        <f>IF($Z21="C",DATE(YEAR(INDEX(Contracts!$J$2:$J$151,$AB21)),MONTH(INDEX(Contracts!$J$2:$J$151,$AB21)),1),IF($Z21="A",DATE(YEAR(INDEX(Fixed_Assets!$G$2:$G$201,$AB21)),MONTH(INDEX(Fixed_Assets!$G$2:$G$201,$AB21)),1),IF($Z21="F",DATE(YEAR(MAX(N(INDEX(Workforce!$I$2:$I$151,MATCH(INDEX(FTE_Allocation!$A$2:$A$201,$AB21),Workforce!$A$2:$A$151,0))),N(INDEX(FTE_Allocation!$I$2:$I$201,$AB21)))),MONTH(MAX(N(INDEX(Workforce!$I$2:$I$151,MATCH(INDEX(FTE_Allocation!$A$2:$A$201,$AB21),Workforce!$A$2:$A$151,0))),N(INDEX(FTE_Allocation!$I$2:$I$201,$AB21)))),1),"")))</f>
        <v/>
      </c>
      <c r="AF21" s="21">
        <f>IF($Z21="C",IF(INDEX(Contracts!$I$2:$I$151,$AB21)="PREPAID",EDATE(DATE(YEAR(INDEX(Contracts!$J$2:$J$151,$AB21)),MONTH(INDEX(Contracts!$J$2:$J$151,$AB21)),1),IF(INDEX(Contracts!$N$2:$N$151,$AB21)="",12,INDEX(Contracts!$N$2:$N$151,$AB21))-1),IF(INDEX(Contracts!$I$2:$I$151,$AB21)="MONTHLY",IF(INDEX(Contracts!$K$2:$K$151,$AB21)="",2958101,INDEX(Contracts!$K$2:$K$151,$AB21)),0)),IF($Z21="A",EDATE(DATE(YEAR(INDEX(Fixed_Assets!$G$2:$G$201,$AB21)),MONTH(INDEX(Fixed_Assets!$G$2:$G$201,$AB21)),1),INDEX(Fixed_Assets!$J$2:$J$201,$AB21)-1),IF($Z21="F",MIN(IF(INDEX(Workforce!$J$2:$J$151,MATCH(INDEX(FTE_Allocation!$A$2:$A$201,$AB21),Workforce!$A$2:$A$151,0))="",2958101,INDEX(Workforce!$J$2:$J$151,MATCH(INDEX(FTE_Allocation!$A$2:$A$201,$AB21),Workforce!$A$2:$A$151,0))),IF(INDEX(FTE_Allocation!$J$2:$J$201,$AB21)="",2958101,INDEX(FTE_Allocation!$J$2:$J$201,$AB21))),"")))</f>
        <v/>
      </c>
      <c r="AG21" s="19">
        <f>IF($Z21="C",IF(INDEX(Contracts!$I$2:$I$151,$AB21)="PREPAID",INDEX(Contracts!$M$2:$M$151,$AB21)/IF(INDEX(Contracts!$N$2:$N$151,$AB21)="",12,INDEX(Contracts!$N$2:$N$151,$AB21)),IF(INDEX(Contracts!$I$2:$I$151,$AB21)="MONTHLY",INDEX(Contracts!$M$2:$M$151,$AB21),0))*(1-N(INDEX(Contracts!$O$2:$O$151,$AB21))),IF($Z21="A",INDEX(Fixed_Assets!$H$2:$H$201,$AB21)/INDEX(Fixed_Assets!$J$2:$J$201,$AB21),IF($Z21="F",INDEX(Workforce!$F$2:$F$151,MATCH(INDEX(FTE_Allocation!$A$2:$A$201,$AB21),Workforce!$A$2:$A$151,0))*N(INDEX(FTE_Allocation!$F$2:$H$201,$AB21,$AC21)),"")))</f>
        <v/>
      </c>
    </row>
    <row r="22">
      <c r="A22" s="7">
        <f>IF($Z22="","",$AD22)</f>
        <v/>
      </c>
      <c r="B22" s="7">
        <f>IF($Z22="C",INDEX(Contracts!$D$2:$D$151,$AB22)&amp;"",IF($Z22="A",INDEX(Fixed_Assets!$C$2:$C$201,$AB22)&amp;"",IF($Z22="F",INDEX(Workforce!$B$2:$B$151,MATCH(INDEX(FTE_Allocation!$A$2:$A$201,$AB22),Workforce!$A$2:$A$151,0))&amp;"","")))</f>
        <v/>
      </c>
      <c r="C22" s="7">
        <f>IF($Z22="C",INDEX(Contracts!$E$2:$E$151,$AB22)&amp;"",IF($Z22="A",INDEX(Fixed_Assets!$D$2:$D$201,$AB22)&amp;"",IF($Z22="F",INDEX(FTE_Allocation!$C$2:$C$201,$AB22)&amp;"","")))</f>
        <v/>
      </c>
      <c r="D22" s="7">
        <f>IF($Z22="C",INDEX(Contracts!$B$2:$B$151,$AB22)&amp;"",IF($Z22="A",INDEX(Fixed_Assets!$B$2:$B$201,$AB22)&amp;"",IF($Z22="F",INDEX(FTE_Allocation!$B$2:$B$201,$AB22)&amp;"","")))</f>
        <v/>
      </c>
      <c r="E22" s="7">
        <f>IF($Z22="C",INDEX(Contracts!$P$2:$P$151,$AB22)&amp;"",IF($Z22="A",INDEX(Fixed_Assets!$K$2:$K$201,$AB22)&amp;"",IF($Z22="F",IF(INDEX(FTE_Allocation!$D$2:$D$201,$AB22)="PROJECT",IFERROR(INDEX(Projects!$D:$D,MATCH(INDEX(FTE_Allocation!$E$2:$E$201,$AB22),Projects!$A:$A,0))&amp;"","#PROJECT?"),INDEX(FTE_Allocation!$E$2:$E$201,$AB22)&amp;""),"")))</f>
        <v/>
      </c>
      <c r="F22" s="7">
        <f>IF($Z22="C",INDEX(Contracts!$Q$2:$Q$151,$AB22)&amp;"",IF($Z22="A",INDEX(Fixed_Assets!$L$2:$L$201,$AB22)&amp;"",IF($Z22="F",INDEX(Workforce!$K$2:$K$151,MATCH(INDEX(FTE_Allocation!$A$2:$A$201,$AB22),Workforce!$A$2:$A$151,0))&amp;"","")))</f>
        <v/>
      </c>
      <c r="G22" s="7">
        <f>IF($Z22="C",INDEX(Contracts!$F$2:$F$151,$AB22)&amp;" / "&amp;INDEX(Contracts!$G$2:$G$151,$AB22),IF($Z22="A",INDEX(Fixed_Assets!$E$2:$E$201,$AB22)&amp;"",IF($Z22="F","Personnel "&amp;INDEX(FTE_Allocation!$A$2:$A$201,$AB22)&amp;IF(INDEX(FTE_Allocation!$D$2:$D$201,$AB22)="PROJECT"," ("&amp;INDEX(FTE_Allocation!$E$2:$E$201,$AB22)&amp;")",""),"")))</f>
        <v/>
      </c>
      <c r="H22" s="7">
        <f>IF($Z22="C","CONTRACT",IF($Z22="A","ASSET",IF($Z22="F","WORKFORCE","")))</f>
        <v/>
      </c>
      <c r="I22" s="7">
        <f>IF($Z22="C",INDEX(Contracts!$L$2:$L$151,$AB22)&amp;"",IF($Z22="A",INDEX(Fixed_Assets!$I$2:$I$201,$AB22)&amp;"",IF($Z22="F",INDEX(Workforce!$G$2:$G$151,MATCH(INDEX(FTE_Allocation!$A$2:$A$201,$AB22),Workforce!$A$2:$A$151,0))&amp;"","")))</f>
        <v/>
      </c>
      <c r="J22" s="18">
        <f>IF($Z22="","",IF(AND(DATE($AD22,1,1)&gt;=$AE22,DATE($AD22,1,1)&lt;=$AF22),ROUND($AG22,2),0))</f>
        <v/>
      </c>
      <c r="K22" s="18">
        <f>IF($Z22="","",IF(AND(DATE($AD22,2,1)&gt;=$AE22,DATE($AD22,2,1)&lt;=$AF22),ROUND($AG22,2),0))</f>
        <v/>
      </c>
      <c r="L22" s="18">
        <f>IF($Z22="","",IF(AND(DATE($AD22,3,1)&gt;=$AE22,DATE($AD22,3,1)&lt;=$AF22),ROUND($AG22,2),0))</f>
        <v/>
      </c>
      <c r="M22" s="18">
        <f>IF($Z22="","",IF(AND(DATE($AD22,4,1)&gt;=$AE22,DATE($AD22,4,1)&lt;=$AF22),ROUND($AG22,2),0))</f>
        <v/>
      </c>
      <c r="N22" s="18">
        <f>IF($Z22="","",IF(AND(DATE($AD22,5,1)&gt;=$AE22,DATE($AD22,5,1)&lt;=$AF22),ROUND($AG22,2),0))</f>
        <v/>
      </c>
      <c r="O22" s="18">
        <f>IF($Z22="","",IF(AND(DATE($AD22,6,1)&gt;=$AE22,DATE($AD22,6,1)&lt;=$AF22),ROUND($AG22,2),0))</f>
        <v/>
      </c>
      <c r="P22" s="18">
        <f>IF($Z22="","",IF(AND(DATE($AD22,7,1)&gt;=$AE22,DATE($AD22,7,1)&lt;=$AF22),ROUND($AG22,2),0))</f>
        <v/>
      </c>
      <c r="Q22" s="18">
        <f>IF($Z22="","",IF(AND(DATE($AD22,8,1)&gt;=$AE22,DATE($AD22,8,1)&lt;=$AF22),ROUND($AG22,2),0))</f>
        <v/>
      </c>
      <c r="R22" s="18">
        <f>IF($Z22="","",IF(AND(DATE($AD22,9,1)&gt;=$AE22,DATE($AD22,9,1)&lt;=$AF22),ROUND($AG22,2),0))</f>
        <v/>
      </c>
      <c r="S22" s="18">
        <f>IF($Z22="","",IF(AND(DATE($AD22,10,1)&gt;=$AE22,DATE($AD22,10,1)&lt;=$AF22),ROUND($AG22,2),0))</f>
        <v/>
      </c>
      <c r="T22" s="18">
        <f>IF($Z22="","",IF(AND(DATE($AD22,11,1)&gt;=$AE22,DATE($AD22,11,1)&lt;=$AF22),ROUND($AG22,2),0))</f>
        <v/>
      </c>
      <c r="U22" s="18">
        <f>IF($Z22="","",IF(AND(DATE($AD22,12,1)&gt;=$AE22,DATE($AD22,12,1)&lt;=$AF22),ROUND($AG22,2),0))</f>
        <v/>
      </c>
      <c r="V22" s="7">
        <f>IF($Z22="C","Generated from "&amp;INDEX(Contracts!$A$2:$A$151,$AB22),IF($Z22="A","Generated from "&amp;INDEX(Fixed_Assets!$A$2:$A$201,$AB22),IF($Z22="F","Generated from "&amp;INDEX(FTE_Allocation!$A$2:$A$201,$AB22),"")))</f>
        <v/>
      </c>
      <c r="X22" s="19">
        <f>IF($Z22="","",SUM(J22:U22))</f>
        <v/>
      </c>
      <c r="Y22" s="20">
        <f>ROW()-1</f>
        <v/>
      </c>
      <c r="Z22" s="20">
        <f>IF($Y22&lt;=Settings!$B$4*3,"C",IF($Y22&lt;=(Settings!$B$4+Settings!$B$5)*3,"A",IF($Y22&lt;=(Settings!$B$4+Settings!$B$5+Settings!$B$6)*3,"F","")))</f>
        <v/>
      </c>
      <c r="AA22" s="20">
        <f>IF($Z22="C",$Y22,IF($Z22="A",$Y22-Settings!$B$4*3,IF($Z22="F",$Y22-(Settings!$B$4+Settings!$B$5)*3,"")))</f>
        <v/>
      </c>
      <c r="AB22" s="20">
        <f>IF($Z22="","",INT(($AA22-1)/3)+1)</f>
        <v/>
      </c>
      <c r="AC22" s="20">
        <f>IF($Z22="","",MOD($AA22-1,3)+1)</f>
        <v/>
      </c>
      <c r="AD22" s="20">
        <f>IF($Z22="","",Settings!$B$2+$AC22-1)</f>
        <v/>
      </c>
      <c r="AE22" s="21">
        <f>IF($Z22="C",DATE(YEAR(INDEX(Contracts!$J$2:$J$151,$AB22)),MONTH(INDEX(Contracts!$J$2:$J$151,$AB22)),1),IF($Z22="A",DATE(YEAR(INDEX(Fixed_Assets!$G$2:$G$201,$AB22)),MONTH(INDEX(Fixed_Assets!$G$2:$G$201,$AB22)),1),IF($Z22="F",DATE(YEAR(MAX(N(INDEX(Workforce!$I$2:$I$151,MATCH(INDEX(FTE_Allocation!$A$2:$A$201,$AB22),Workforce!$A$2:$A$151,0))),N(INDEX(FTE_Allocation!$I$2:$I$201,$AB22)))),MONTH(MAX(N(INDEX(Workforce!$I$2:$I$151,MATCH(INDEX(FTE_Allocation!$A$2:$A$201,$AB22),Workforce!$A$2:$A$151,0))),N(INDEX(FTE_Allocation!$I$2:$I$201,$AB22)))),1),"")))</f>
        <v/>
      </c>
      <c r="AF22" s="21">
        <f>IF($Z22="C",IF(INDEX(Contracts!$I$2:$I$151,$AB22)="PREPAID",EDATE(DATE(YEAR(INDEX(Contracts!$J$2:$J$151,$AB22)),MONTH(INDEX(Contracts!$J$2:$J$151,$AB22)),1),IF(INDEX(Contracts!$N$2:$N$151,$AB22)="",12,INDEX(Contracts!$N$2:$N$151,$AB22))-1),IF(INDEX(Contracts!$I$2:$I$151,$AB22)="MONTHLY",IF(INDEX(Contracts!$K$2:$K$151,$AB22)="",2958101,INDEX(Contracts!$K$2:$K$151,$AB22)),0)),IF($Z22="A",EDATE(DATE(YEAR(INDEX(Fixed_Assets!$G$2:$G$201,$AB22)),MONTH(INDEX(Fixed_Assets!$G$2:$G$201,$AB22)),1),INDEX(Fixed_Assets!$J$2:$J$201,$AB22)-1),IF($Z22="F",MIN(IF(INDEX(Workforce!$J$2:$J$151,MATCH(INDEX(FTE_Allocation!$A$2:$A$201,$AB22),Workforce!$A$2:$A$151,0))="",2958101,INDEX(Workforce!$J$2:$J$151,MATCH(INDEX(FTE_Allocation!$A$2:$A$201,$AB22),Workforce!$A$2:$A$151,0))),IF(INDEX(FTE_Allocation!$J$2:$J$201,$AB22)="",2958101,INDEX(FTE_Allocation!$J$2:$J$201,$AB22))),"")))</f>
        <v/>
      </c>
      <c r="AG22" s="19">
        <f>IF($Z22="C",IF(INDEX(Contracts!$I$2:$I$151,$AB22)="PREPAID",INDEX(Contracts!$M$2:$M$151,$AB22)/IF(INDEX(Contracts!$N$2:$N$151,$AB22)="",12,INDEX(Contracts!$N$2:$N$151,$AB22)),IF(INDEX(Contracts!$I$2:$I$151,$AB22)="MONTHLY",INDEX(Contracts!$M$2:$M$151,$AB22),0))*(1-N(INDEX(Contracts!$O$2:$O$151,$AB22))),IF($Z22="A",INDEX(Fixed_Assets!$H$2:$H$201,$AB22)/INDEX(Fixed_Assets!$J$2:$J$201,$AB22),IF($Z22="F",INDEX(Workforce!$F$2:$F$151,MATCH(INDEX(FTE_Allocation!$A$2:$A$201,$AB22),Workforce!$A$2:$A$151,0))*N(INDEX(FTE_Allocation!$F$2:$H$201,$AB22,$AC22)),"")))</f>
        <v/>
      </c>
    </row>
    <row r="23">
      <c r="A23" s="7">
        <f>IF($Z23="","",$AD23)</f>
        <v/>
      </c>
      <c r="B23" s="7">
        <f>IF($Z23="C",INDEX(Contracts!$D$2:$D$151,$AB23)&amp;"",IF($Z23="A",INDEX(Fixed_Assets!$C$2:$C$201,$AB23)&amp;"",IF($Z23="F",INDEX(Workforce!$B$2:$B$151,MATCH(INDEX(FTE_Allocation!$A$2:$A$201,$AB23),Workforce!$A$2:$A$151,0))&amp;"","")))</f>
        <v/>
      </c>
      <c r="C23" s="7">
        <f>IF($Z23="C",INDEX(Contracts!$E$2:$E$151,$AB23)&amp;"",IF($Z23="A",INDEX(Fixed_Assets!$D$2:$D$201,$AB23)&amp;"",IF($Z23="F",INDEX(FTE_Allocation!$C$2:$C$201,$AB23)&amp;"","")))</f>
        <v/>
      </c>
      <c r="D23" s="7">
        <f>IF($Z23="C",INDEX(Contracts!$B$2:$B$151,$AB23)&amp;"",IF($Z23="A",INDEX(Fixed_Assets!$B$2:$B$201,$AB23)&amp;"",IF($Z23="F",INDEX(FTE_Allocation!$B$2:$B$201,$AB23)&amp;"","")))</f>
        <v/>
      </c>
      <c r="E23" s="7">
        <f>IF($Z23="C",INDEX(Contracts!$P$2:$P$151,$AB23)&amp;"",IF($Z23="A",INDEX(Fixed_Assets!$K$2:$K$201,$AB23)&amp;"",IF($Z23="F",IF(INDEX(FTE_Allocation!$D$2:$D$201,$AB23)="PROJECT",IFERROR(INDEX(Projects!$D:$D,MATCH(INDEX(FTE_Allocation!$E$2:$E$201,$AB23),Projects!$A:$A,0))&amp;"","#PROJECT?"),INDEX(FTE_Allocation!$E$2:$E$201,$AB23)&amp;""),"")))</f>
        <v/>
      </c>
      <c r="F23" s="7">
        <f>IF($Z23="C",INDEX(Contracts!$Q$2:$Q$151,$AB23)&amp;"",IF($Z23="A",INDEX(Fixed_Assets!$L$2:$L$201,$AB23)&amp;"",IF($Z23="F",INDEX(Workforce!$K$2:$K$151,MATCH(INDEX(FTE_Allocation!$A$2:$A$201,$AB23),Workforce!$A$2:$A$151,0))&amp;"","")))</f>
        <v/>
      </c>
      <c r="G23" s="7">
        <f>IF($Z23="C",INDEX(Contracts!$F$2:$F$151,$AB23)&amp;" / "&amp;INDEX(Contracts!$G$2:$G$151,$AB23),IF($Z23="A",INDEX(Fixed_Assets!$E$2:$E$201,$AB23)&amp;"",IF($Z23="F","Personnel "&amp;INDEX(FTE_Allocation!$A$2:$A$201,$AB23)&amp;IF(INDEX(FTE_Allocation!$D$2:$D$201,$AB23)="PROJECT"," ("&amp;INDEX(FTE_Allocation!$E$2:$E$201,$AB23)&amp;")",""),"")))</f>
        <v/>
      </c>
      <c r="H23" s="7">
        <f>IF($Z23="C","CONTRACT",IF($Z23="A","ASSET",IF($Z23="F","WORKFORCE","")))</f>
        <v/>
      </c>
      <c r="I23" s="7">
        <f>IF($Z23="C",INDEX(Contracts!$L$2:$L$151,$AB23)&amp;"",IF($Z23="A",INDEX(Fixed_Assets!$I$2:$I$201,$AB23)&amp;"",IF($Z23="F",INDEX(Workforce!$G$2:$G$151,MATCH(INDEX(FTE_Allocation!$A$2:$A$201,$AB23),Workforce!$A$2:$A$151,0))&amp;"","")))</f>
        <v/>
      </c>
      <c r="J23" s="18">
        <f>IF($Z23="","",IF(AND(DATE($AD23,1,1)&gt;=$AE23,DATE($AD23,1,1)&lt;=$AF23),ROUND($AG23,2),0))</f>
        <v/>
      </c>
      <c r="K23" s="18">
        <f>IF($Z23="","",IF(AND(DATE($AD23,2,1)&gt;=$AE23,DATE($AD23,2,1)&lt;=$AF23),ROUND($AG23,2),0))</f>
        <v/>
      </c>
      <c r="L23" s="18">
        <f>IF($Z23="","",IF(AND(DATE($AD23,3,1)&gt;=$AE23,DATE($AD23,3,1)&lt;=$AF23),ROUND($AG23,2),0))</f>
        <v/>
      </c>
      <c r="M23" s="18">
        <f>IF($Z23="","",IF(AND(DATE($AD23,4,1)&gt;=$AE23,DATE($AD23,4,1)&lt;=$AF23),ROUND($AG23,2),0))</f>
        <v/>
      </c>
      <c r="N23" s="18">
        <f>IF($Z23="","",IF(AND(DATE($AD23,5,1)&gt;=$AE23,DATE($AD23,5,1)&lt;=$AF23),ROUND($AG23,2),0))</f>
        <v/>
      </c>
      <c r="O23" s="18">
        <f>IF($Z23="","",IF(AND(DATE($AD23,6,1)&gt;=$AE23,DATE($AD23,6,1)&lt;=$AF23),ROUND($AG23,2),0))</f>
        <v/>
      </c>
      <c r="P23" s="18">
        <f>IF($Z23="","",IF(AND(DATE($AD23,7,1)&gt;=$AE23,DATE($AD23,7,1)&lt;=$AF23),ROUND($AG23,2),0))</f>
        <v/>
      </c>
      <c r="Q23" s="18">
        <f>IF($Z23="","",IF(AND(DATE($AD23,8,1)&gt;=$AE23,DATE($AD23,8,1)&lt;=$AF23),ROUND($AG23,2),0))</f>
        <v/>
      </c>
      <c r="R23" s="18">
        <f>IF($Z23="","",IF(AND(DATE($AD23,9,1)&gt;=$AE23,DATE($AD23,9,1)&lt;=$AF23),ROUND($AG23,2),0))</f>
        <v/>
      </c>
      <c r="S23" s="18">
        <f>IF($Z23="","",IF(AND(DATE($AD23,10,1)&gt;=$AE23,DATE($AD23,10,1)&lt;=$AF23),ROUND($AG23,2),0))</f>
        <v/>
      </c>
      <c r="T23" s="18">
        <f>IF($Z23="","",IF(AND(DATE($AD23,11,1)&gt;=$AE23,DATE($AD23,11,1)&lt;=$AF23),ROUND($AG23,2),0))</f>
        <v/>
      </c>
      <c r="U23" s="18">
        <f>IF($Z23="","",IF(AND(DATE($AD23,12,1)&gt;=$AE23,DATE($AD23,12,1)&lt;=$AF23),ROUND($AG23,2),0))</f>
        <v/>
      </c>
      <c r="V23" s="7">
        <f>IF($Z23="C","Generated from "&amp;INDEX(Contracts!$A$2:$A$151,$AB23),IF($Z23="A","Generated from "&amp;INDEX(Fixed_Assets!$A$2:$A$201,$AB23),IF($Z23="F","Generated from "&amp;INDEX(FTE_Allocation!$A$2:$A$201,$AB23),"")))</f>
        <v/>
      </c>
      <c r="X23" s="19">
        <f>IF($Z23="","",SUM(J23:U23))</f>
        <v/>
      </c>
      <c r="Y23" s="20">
        <f>ROW()-1</f>
        <v/>
      </c>
      <c r="Z23" s="20">
        <f>IF($Y23&lt;=Settings!$B$4*3,"C",IF($Y23&lt;=(Settings!$B$4+Settings!$B$5)*3,"A",IF($Y23&lt;=(Settings!$B$4+Settings!$B$5+Settings!$B$6)*3,"F","")))</f>
        <v/>
      </c>
      <c r="AA23" s="20">
        <f>IF($Z23="C",$Y23,IF($Z23="A",$Y23-Settings!$B$4*3,IF($Z23="F",$Y23-(Settings!$B$4+Settings!$B$5)*3,"")))</f>
        <v/>
      </c>
      <c r="AB23" s="20">
        <f>IF($Z23="","",INT(($AA23-1)/3)+1)</f>
        <v/>
      </c>
      <c r="AC23" s="20">
        <f>IF($Z23="","",MOD($AA23-1,3)+1)</f>
        <v/>
      </c>
      <c r="AD23" s="20">
        <f>IF($Z23="","",Settings!$B$2+$AC23-1)</f>
        <v/>
      </c>
      <c r="AE23" s="21">
        <f>IF($Z23="C",DATE(YEAR(INDEX(Contracts!$J$2:$J$151,$AB23)),MONTH(INDEX(Contracts!$J$2:$J$151,$AB23)),1),IF($Z23="A",DATE(YEAR(INDEX(Fixed_Assets!$G$2:$G$201,$AB23)),MONTH(INDEX(Fixed_Assets!$G$2:$G$201,$AB23)),1),IF($Z23="F",DATE(YEAR(MAX(N(INDEX(Workforce!$I$2:$I$151,MATCH(INDEX(FTE_Allocation!$A$2:$A$201,$AB23),Workforce!$A$2:$A$151,0))),N(INDEX(FTE_Allocation!$I$2:$I$201,$AB23)))),MONTH(MAX(N(INDEX(Workforce!$I$2:$I$151,MATCH(INDEX(FTE_Allocation!$A$2:$A$201,$AB23),Workforce!$A$2:$A$151,0))),N(INDEX(FTE_Allocation!$I$2:$I$201,$AB23)))),1),"")))</f>
        <v/>
      </c>
      <c r="AF23" s="21">
        <f>IF($Z23="C",IF(INDEX(Contracts!$I$2:$I$151,$AB23)="PREPAID",EDATE(DATE(YEAR(INDEX(Contracts!$J$2:$J$151,$AB23)),MONTH(INDEX(Contracts!$J$2:$J$151,$AB23)),1),IF(INDEX(Contracts!$N$2:$N$151,$AB23)="",12,INDEX(Contracts!$N$2:$N$151,$AB23))-1),IF(INDEX(Contracts!$I$2:$I$151,$AB23)="MONTHLY",IF(INDEX(Contracts!$K$2:$K$151,$AB23)="",2958101,INDEX(Contracts!$K$2:$K$151,$AB23)),0)),IF($Z23="A",EDATE(DATE(YEAR(INDEX(Fixed_Assets!$G$2:$G$201,$AB23)),MONTH(INDEX(Fixed_Assets!$G$2:$G$201,$AB23)),1),INDEX(Fixed_Assets!$J$2:$J$201,$AB23)-1),IF($Z23="F",MIN(IF(INDEX(Workforce!$J$2:$J$151,MATCH(INDEX(FTE_Allocation!$A$2:$A$201,$AB23),Workforce!$A$2:$A$151,0))="",2958101,INDEX(Workforce!$J$2:$J$151,MATCH(INDEX(FTE_Allocation!$A$2:$A$201,$AB23),Workforce!$A$2:$A$151,0))),IF(INDEX(FTE_Allocation!$J$2:$J$201,$AB23)="",2958101,INDEX(FTE_Allocation!$J$2:$J$201,$AB23))),"")))</f>
        <v/>
      </c>
      <c r="AG23" s="19">
        <f>IF($Z23="C",IF(INDEX(Contracts!$I$2:$I$151,$AB23)="PREPAID",INDEX(Contracts!$M$2:$M$151,$AB23)/IF(INDEX(Contracts!$N$2:$N$151,$AB23)="",12,INDEX(Contracts!$N$2:$N$151,$AB23)),IF(INDEX(Contracts!$I$2:$I$151,$AB23)="MONTHLY",INDEX(Contracts!$M$2:$M$151,$AB23),0))*(1-N(INDEX(Contracts!$O$2:$O$151,$AB23))),IF($Z23="A",INDEX(Fixed_Assets!$H$2:$H$201,$AB23)/INDEX(Fixed_Assets!$J$2:$J$201,$AB23),IF($Z23="F",INDEX(Workforce!$F$2:$F$151,MATCH(INDEX(FTE_Allocation!$A$2:$A$201,$AB23),Workforce!$A$2:$A$151,0))*N(INDEX(FTE_Allocation!$F$2:$H$201,$AB23,$AC23)),"")))</f>
        <v/>
      </c>
    </row>
    <row r="24">
      <c r="A24" s="7">
        <f>IF($Z24="","",$AD24)</f>
        <v/>
      </c>
      <c r="B24" s="7">
        <f>IF($Z24="C",INDEX(Contracts!$D$2:$D$151,$AB24)&amp;"",IF($Z24="A",INDEX(Fixed_Assets!$C$2:$C$201,$AB24)&amp;"",IF($Z24="F",INDEX(Workforce!$B$2:$B$151,MATCH(INDEX(FTE_Allocation!$A$2:$A$201,$AB24),Workforce!$A$2:$A$151,0))&amp;"","")))</f>
        <v/>
      </c>
      <c r="C24" s="7">
        <f>IF($Z24="C",INDEX(Contracts!$E$2:$E$151,$AB24)&amp;"",IF($Z24="A",INDEX(Fixed_Assets!$D$2:$D$201,$AB24)&amp;"",IF($Z24="F",INDEX(FTE_Allocation!$C$2:$C$201,$AB24)&amp;"","")))</f>
        <v/>
      </c>
      <c r="D24" s="7">
        <f>IF($Z24="C",INDEX(Contracts!$B$2:$B$151,$AB24)&amp;"",IF($Z24="A",INDEX(Fixed_Assets!$B$2:$B$201,$AB24)&amp;"",IF($Z24="F",INDEX(FTE_Allocation!$B$2:$B$201,$AB24)&amp;"","")))</f>
        <v/>
      </c>
      <c r="E24" s="7">
        <f>IF($Z24="C",INDEX(Contracts!$P$2:$P$151,$AB24)&amp;"",IF($Z24="A",INDEX(Fixed_Assets!$K$2:$K$201,$AB24)&amp;"",IF($Z24="F",IF(INDEX(FTE_Allocation!$D$2:$D$201,$AB24)="PROJECT",IFERROR(INDEX(Projects!$D:$D,MATCH(INDEX(FTE_Allocation!$E$2:$E$201,$AB24),Projects!$A:$A,0))&amp;"","#PROJECT?"),INDEX(FTE_Allocation!$E$2:$E$201,$AB24)&amp;""),"")))</f>
        <v/>
      </c>
      <c r="F24" s="7">
        <f>IF($Z24="C",INDEX(Contracts!$Q$2:$Q$151,$AB24)&amp;"",IF($Z24="A",INDEX(Fixed_Assets!$L$2:$L$201,$AB24)&amp;"",IF($Z24="F",INDEX(Workforce!$K$2:$K$151,MATCH(INDEX(FTE_Allocation!$A$2:$A$201,$AB24),Workforce!$A$2:$A$151,0))&amp;"","")))</f>
        <v/>
      </c>
      <c r="G24" s="7">
        <f>IF($Z24="C",INDEX(Contracts!$F$2:$F$151,$AB24)&amp;" / "&amp;INDEX(Contracts!$G$2:$G$151,$AB24),IF($Z24="A",INDEX(Fixed_Assets!$E$2:$E$201,$AB24)&amp;"",IF($Z24="F","Personnel "&amp;INDEX(FTE_Allocation!$A$2:$A$201,$AB24)&amp;IF(INDEX(FTE_Allocation!$D$2:$D$201,$AB24)="PROJECT"," ("&amp;INDEX(FTE_Allocation!$E$2:$E$201,$AB24)&amp;")",""),"")))</f>
        <v/>
      </c>
      <c r="H24" s="7">
        <f>IF($Z24="C","CONTRACT",IF($Z24="A","ASSET",IF($Z24="F","WORKFORCE","")))</f>
        <v/>
      </c>
      <c r="I24" s="7">
        <f>IF($Z24="C",INDEX(Contracts!$L$2:$L$151,$AB24)&amp;"",IF($Z24="A",INDEX(Fixed_Assets!$I$2:$I$201,$AB24)&amp;"",IF($Z24="F",INDEX(Workforce!$G$2:$G$151,MATCH(INDEX(FTE_Allocation!$A$2:$A$201,$AB24),Workforce!$A$2:$A$151,0))&amp;"","")))</f>
        <v/>
      </c>
      <c r="J24" s="18">
        <f>IF($Z24="","",IF(AND(DATE($AD24,1,1)&gt;=$AE24,DATE($AD24,1,1)&lt;=$AF24),ROUND($AG24,2),0))</f>
        <v/>
      </c>
      <c r="K24" s="18">
        <f>IF($Z24="","",IF(AND(DATE($AD24,2,1)&gt;=$AE24,DATE($AD24,2,1)&lt;=$AF24),ROUND($AG24,2),0))</f>
        <v/>
      </c>
      <c r="L24" s="18">
        <f>IF($Z24="","",IF(AND(DATE($AD24,3,1)&gt;=$AE24,DATE($AD24,3,1)&lt;=$AF24),ROUND($AG24,2),0))</f>
        <v/>
      </c>
      <c r="M24" s="18">
        <f>IF($Z24="","",IF(AND(DATE($AD24,4,1)&gt;=$AE24,DATE($AD24,4,1)&lt;=$AF24),ROUND($AG24,2),0))</f>
        <v/>
      </c>
      <c r="N24" s="18">
        <f>IF($Z24="","",IF(AND(DATE($AD24,5,1)&gt;=$AE24,DATE($AD24,5,1)&lt;=$AF24),ROUND($AG24,2),0))</f>
        <v/>
      </c>
      <c r="O24" s="18">
        <f>IF($Z24="","",IF(AND(DATE($AD24,6,1)&gt;=$AE24,DATE($AD24,6,1)&lt;=$AF24),ROUND($AG24,2),0))</f>
        <v/>
      </c>
      <c r="P24" s="18">
        <f>IF($Z24="","",IF(AND(DATE($AD24,7,1)&gt;=$AE24,DATE($AD24,7,1)&lt;=$AF24),ROUND($AG24,2),0))</f>
        <v/>
      </c>
      <c r="Q24" s="18">
        <f>IF($Z24="","",IF(AND(DATE($AD24,8,1)&gt;=$AE24,DATE($AD24,8,1)&lt;=$AF24),ROUND($AG24,2),0))</f>
        <v/>
      </c>
      <c r="R24" s="18">
        <f>IF($Z24="","",IF(AND(DATE($AD24,9,1)&gt;=$AE24,DATE($AD24,9,1)&lt;=$AF24),ROUND($AG24,2),0))</f>
        <v/>
      </c>
      <c r="S24" s="18">
        <f>IF($Z24="","",IF(AND(DATE($AD24,10,1)&gt;=$AE24,DATE($AD24,10,1)&lt;=$AF24),ROUND($AG24,2),0))</f>
        <v/>
      </c>
      <c r="T24" s="18">
        <f>IF($Z24="","",IF(AND(DATE($AD24,11,1)&gt;=$AE24,DATE($AD24,11,1)&lt;=$AF24),ROUND($AG24,2),0))</f>
        <v/>
      </c>
      <c r="U24" s="18">
        <f>IF($Z24="","",IF(AND(DATE($AD24,12,1)&gt;=$AE24,DATE($AD24,12,1)&lt;=$AF24),ROUND($AG24,2),0))</f>
        <v/>
      </c>
      <c r="V24" s="7">
        <f>IF($Z24="C","Generated from "&amp;INDEX(Contracts!$A$2:$A$151,$AB24),IF($Z24="A","Generated from "&amp;INDEX(Fixed_Assets!$A$2:$A$201,$AB24),IF($Z24="F","Generated from "&amp;INDEX(FTE_Allocation!$A$2:$A$201,$AB24),"")))</f>
        <v/>
      </c>
      <c r="X24" s="19">
        <f>IF($Z24="","",SUM(J24:U24))</f>
        <v/>
      </c>
      <c r="Y24" s="20">
        <f>ROW()-1</f>
        <v/>
      </c>
      <c r="Z24" s="20">
        <f>IF($Y24&lt;=Settings!$B$4*3,"C",IF($Y24&lt;=(Settings!$B$4+Settings!$B$5)*3,"A",IF($Y24&lt;=(Settings!$B$4+Settings!$B$5+Settings!$B$6)*3,"F","")))</f>
        <v/>
      </c>
      <c r="AA24" s="20">
        <f>IF($Z24="C",$Y24,IF($Z24="A",$Y24-Settings!$B$4*3,IF($Z24="F",$Y24-(Settings!$B$4+Settings!$B$5)*3,"")))</f>
        <v/>
      </c>
      <c r="AB24" s="20">
        <f>IF($Z24="","",INT(($AA24-1)/3)+1)</f>
        <v/>
      </c>
      <c r="AC24" s="20">
        <f>IF($Z24="","",MOD($AA24-1,3)+1)</f>
        <v/>
      </c>
      <c r="AD24" s="20">
        <f>IF($Z24="","",Settings!$B$2+$AC24-1)</f>
        <v/>
      </c>
      <c r="AE24" s="21">
        <f>IF($Z24="C",DATE(YEAR(INDEX(Contracts!$J$2:$J$151,$AB24)),MONTH(INDEX(Contracts!$J$2:$J$151,$AB24)),1),IF($Z24="A",DATE(YEAR(INDEX(Fixed_Assets!$G$2:$G$201,$AB24)),MONTH(INDEX(Fixed_Assets!$G$2:$G$201,$AB24)),1),IF($Z24="F",DATE(YEAR(MAX(N(INDEX(Workforce!$I$2:$I$151,MATCH(INDEX(FTE_Allocation!$A$2:$A$201,$AB24),Workforce!$A$2:$A$151,0))),N(INDEX(FTE_Allocation!$I$2:$I$201,$AB24)))),MONTH(MAX(N(INDEX(Workforce!$I$2:$I$151,MATCH(INDEX(FTE_Allocation!$A$2:$A$201,$AB24),Workforce!$A$2:$A$151,0))),N(INDEX(FTE_Allocation!$I$2:$I$201,$AB24)))),1),"")))</f>
        <v/>
      </c>
      <c r="AF24" s="21">
        <f>IF($Z24="C",IF(INDEX(Contracts!$I$2:$I$151,$AB24)="PREPAID",EDATE(DATE(YEAR(INDEX(Contracts!$J$2:$J$151,$AB24)),MONTH(INDEX(Contracts!$J$2:$J$151,$AB24)),1),IF(INDEX(Contracts!$N$2:$N$151,$AB24)="",12,INDEX(Contracts!$N$2:$N$151,$AB24))-1),IF(INDEX(Contracts!$I$2:$I$151,$AB24)="MONTHLY",IF(INDEX(Contracts!$K$2:$K$151,$AB24)="",2958101,INDEX(Contracts!$K$2:$K$151,$AB24)),0)),IF($Z24="A",EDATE(DATE(YEAR(INDEX(Fixed_Assets!$G$2:$G$201,$AB24)),MONTH(INDEX(Fixed_Assets!$G$2:$G$201,$AB24)),1),INDEX(Fixed_Assets!$J$2:$J$201,$AB24)-1),IF($Z24="F",MIN(IF(INDEX(Workforce!$J$2:$J$151,MATCH(INDEX(FTE_Allocation!$A$2:$A$201,$AB24),Workforce!$A$2:$A$151,0))="",2958101,INDEX(Workforce!$J$2:$J$151,MATCH(INDEX(FTE_Allocation!$A$2:$A$201,$AB24),Workforce!$A$2:$A$151,0))),IF(INDEX(FTE_Allocation!$J$2:$J$201,$AB24)="",2958101,INDEX(FTE_Allocation!$J$2:$J$201,$AB24))),"")))</f>
        <v/>
      </c>
      <c r="AG24" s="19">
        <f>IF($Z24="C",IF(INDEX(Contracts!$I$2:$I$151,$AB24)="PREPAID",INDEX(Contracts!$M$2:$M$151,$AB24)/IF(INDEX(Contracts!$N$2:$N$151,$AB24)="",12,INDEX(Contracts!$N$2:$N$151,$AB24)),IF(INDEX(Contracts!$I$2:$I$151,$AB24)="MONTHLY",INDEX(Contracts!$M$2:$M$151,$AB24),0))*(1-N(INDEX(Contracts!$O$2:$O$151,$AB24))),IF($Z24="A",INDEX(Fixed_Assets!$H$2:$H$201,$AB24)/INDEX(Fixed_Assets!$J$2:$J$201,$AB24),IF($Z24="F",INDEX(Workforce!$F$2:$F$151,MATCH(INDEX(FTE_Allocation!$A$2:$A$201,$AB24),Workforce!$A$2:$A$151,0))*N(INDEX(FTE_Allocation!$F$2:$H$201,$AB24,$AC24)),"")))</f>
        <v/>
      </c>
    </row>
    <row r="25">
      <c r="A25" s="7">
        <f>IF($Z25="","",$AD25)</f>
        <v/>
      </c>
      <c r="B25" s="7">
        <f>IF($Z25="C",INDEX(Contracts!$D$2:$D$151,$AB25)&amp;"",IF($Z25="A",INDEX(Fixed_Assets!$C$2:$C$201,$AB25)&amp;"",IF($Z25="F",INDEX(Workforce!$B$2:$B$151,MATCH(INDEX(FTE_Allocation!$A$2:$A$201,$AB25),Workforce!$A$2:$A$151,0))&amp;"","")))</f>
        <v/>
      </c>
      <c r="C25" s="7">
        <f>IF($Z25="C",INDEX(Contracts!$E$2:$E$151,$AB25)&amp;"",IF($Z25="A",INDEX(Fixed_Assets!$D$2:$D$201,$AB25)&amp;"",IF($Z25="F",INDEX(FTE_Allocation!$C$2:$C$201,$AB25)&amp;"","")))</f>
        <v/>
      </c>
      <c r="D25" s="7">
        <f>IF($Z25="C",INDEX(Contracts!$B$2:$B$151,$AB25)&amp;"",IF($Z25="A",INDEX(Fixed_Assets!$B$2:$B$201,$AB25)&amp;"",IF($Z25="F",INDEX(FTE_Allocation!$B$2:$B$201,$AB25)&amp;"","")))</f>
        <v/>
      </c>
      <c r="E25" s="7">
        <f>IF($Z25="C",INDEX(Contracts!$P$2:$P$151,$AB25)&amp;"",IF($Z25="A",INDEX(Fixed_Assets!$K$2:$K$201,$AB25)&amp;"",IF($Z25="F",IF(INDEX(FTE_Allocation!$D$2:$D$201,$AB25)="PROJECT",IFERROR(INDEX(Projects!$D:$D,MATCH(INDEX(FTE_Allocation!$E$2:$E$201,$AB25),Projects!$A:$A,0))&amp;"","#PROJECT?"),INDEX(FTE_Allocation!$E$2:$E$201,$AB25)&amp;""),"")))</f>
        <v/>
      </c>
      <c r="F25" s="7">
        <f>IF($Z25="C",INDEX(Contracts!$Q$2:$Q$151,$AB25)&amp;"",IF($Z25="A",INDEX(Fixed_Assets!$L$2:$L$201,$AB25)&amp;"",IF($Z25="F",INDEX(Workforce!$K$2:$K$151,MATCH(INDEX(FTE_Allocation!$A$2:$A$201,$AB25),Workforce!$A$2:$A$151,0))&amp;"","")))</f>
        <v/>
      </c>
      <c r="G25" s="7">
        <f>IF($Z25="C",INDEX(Contracts!$F$2:$F$151,$AB25)&amp;" / "&amp;INDEX(Contracts!$G$2:$G$151,$AB25),IF($Z25="A",INDEX(Fixed_Assets!$E$2:$E$201,$AB25)&amp;"",IF($Z25="F","Personnel "&amp;INDEX(FTE_Allocation!$A$2:$A$201,$AB25)&amp;IF(INDEX(FTE_Allocation!$D$2:$D$201,$AB25)="PROJECT"," ("&amp;INDEX(FTE_Allocation!$E$2:$E$201,$AB25)&amp;")",""),"")))</f>
        <v/>
      </c>
      <c r="H25" s="7">
        <f>IF($Z25="C","CONTRACT",IF($Z25="A","ASSET",IF($Z25="F","WORKFORCE","")))</f>
        <v/>
      </c>
      <c r="I25" s="7">
        <f>IF($Z25="C",INDEX(Contracts!$L$2:$L$151,$AB25)&amp;"",IF($Z25="A",INDEX(Fixed_Assets!$I$2:$I$201,$AB25)&amp;"",IF($Z25="F",INDEX(Workforce!$G$2:$G$151,MATCH(INDEX(FTE_Allocation!$A$2:$A$201,$AB25),Workforce!$A$2:$A$151,0))&amp;"","")))</f>
        <v/>
      </c>
      <c r="J25" s="18">
        <f>IF($Z25="","",IF(AND(DATE($AD25,1,1)&gt;=$AE25,DATE($AD25,1,1)&lt;=$AF25),ROUND($AG25,2),0))</f>
        <v/>
      </c>
      <c r="K25" s="18">
        <f>IF($Z25="","",IF(AND(DATE($AD25,2,1)&gt;=$AE25,DATE($AD25,2,1)&lt;=$AF25),ROUND($AG25,2),0))</f>
        <v/>
      </c>
      <c r="L25" s="18">
        <f>IF($Z25="","",IF(AND(DATE($AD25,3,1)&gt;=$AE25,DATE($AD25,3,1)&lt;=$AF25),ROUND($AG25,2),0))</f>
        <v/>
      </c>
      <c r="M25" s="18">
        <f>IF($Z25="","",IF(AND(DATE($AD25,4,1)&gt;=$AE25,DATE($AD25,4,1)&lt;=$AF25),ROUND($AG25,2),0))</f>
        <v/>
      </c>
      <c r="N25" s="18">
        <f>IF($Z25="","",IF(AND(DATE($AD25,5,1)&gt;=$AE25,DATE($AD25,5,1)&lt;=$AF25),ROUND($AG25,2),0))</f>
        <v/>
      </c>
      <c r="O25" s="18">
        <f>IF($Z25="","",IF(AND(DATE($AD25,6,1)&gt;=$AE25,DATE($AD25,6,1)&lt;=$AF25),ROUND($AG25,2),0))</f>
        <v/>
      </c>
      <c r="P25" s="18">
        <f>IF($Z25="","",IF(AND(DATE($AD25,7,1)&gt;=$AE25,DATE($AD25,7,1)&lt;=$AF25),ROUND($AG25,2),0))</f>
        <v/>
      </c>
      <c r="Q25" s="18">
        <f>IF($Z25="","",IF(AND(DATE($AD25,8,1)&gt;=$AE25,DATE($AD25,8,1)&lt;=$AF25),ROUND($AG25,2),0))</f>
        <v/>
      </c>
      <c r="R25" s="18">
        <f>IF($Z25="","",IF(AND(DATE($AD25,9,1)&gt;=$AE25,DATE($AD25,9,1)&lt;=$AF25),ROUND($AG25,2),0))</f>
        <v/>
      </c>
      <c r="S25" s="18">
        <f>IF($Z25="","",IF(AND(DATE($AD25,10,1)&gt;=$AE25,DATE($AD25,10,1)&lt;=$AF25),ROUND($AG25,2),0))</f>
        <v/>
      </c>
      <c r="T25" s="18">
        <f>IF($Z25="","",IF(AND(DATE($AD25,11,1)&gt;=$AE25,DATE($AD25,11,1)&lt;=$AF25),ROUND($AG25,2),0))</f>
        <v/>
      </c>
      <c r="U25" s="18">
        <f>IF($Z25="","",IF(AND(DATE($AD25,12,1)&gt;=$AE25,DATE($AD25,12,1)&lt;=$AF25),ROUND($AG25,2),0))</f>
        <v/>
      </c>
      <c r="V25" s="7">
        <f>IF($Z25="C","Generated from "&amp;INDEX(Contracts!$A$2:$A$151,$AB25),IF($Z25="A","Generated from "&amp;INDEX(Fixed_Assets!$A$2:$A$201,$AB25),IF($Z25="F","Generated from "&amp;INDEX(FTE_Allocation!$A$2:$A$201,$AB25),"")))</f>
        <v/>
      </c>
      <c r="X25" s="19">
        <f>IF($Z25="","",SUM(J25:U25))</f>
        <v/>
      </c>
      <c r="Y25" s="20">
        <f>ROW()-1</f>
        <v/>
      </c>
      <c r="Z25" s="20">
        <f>IF($Y25&lt;=Settings!$B$4*3,"C",IF($Y25&lt;=(Settings!$B$4+Settings!$B$5)*3,"A",IF($Y25&lt;=(Settings!$B$4+Settings!$B$5+Settings!$B$6)*3,"F","")))</f>
        <v/>
      </c>
      <c r="AA25" s="20">
        <f>IF($Z25="C",$Y25,IF($Z25="A",$Y25-Settings!$B$4*3,IF($Z25="F",$Y25-(Settings!$B$4+Settings!$B$5)*3,"")))</f>
        <v/>
      </c>
      <c r="AB25" s="20">
        <f>IF($Z25="","",INT(($AA25-1)/3)+1)</f>
        <v/>
      </c>
      <c r="AC25" s="20">
        <f>IF($Z25="","",MOD($AA25-1,3)+1)</f>
        <v/>
      </c>
      <c r="AD25" s="20">
        <f>IF($Z25="","",Settings!$B$2+$AC25-1)</f>
        <v/>
      </c>
      <c r="AE25" s="21">
        <f>IF($Z25="C",DATE(YEAR(INDEX(Contracts!$J$2:$J$151,$AB25)),MONTH(INDEX(Contracts!$J$2:$J$151,$AB25)),1),IF($Z25="A",DATE(YEAR(INDEX(Fixed_Assets!$G$2:$G$201,$AB25)),MONTH(INDEX(Fixed_Assets!$G$2:$G$201,$AB25)),1),IF($Z25="F",DATE(YEAR(MAX(N(INDEX(Workforce!$I$2:$I$151,MATCH(INDEX(FTE_Allocation!$A$2:$A$201,$AB25),Workforce!$A$2:$A$151,0))),N(INDEX(FTE_Allocation!$I$2:$I$201,$AB25)))),MONTH(MAX(N(INDEX(Workforce!$I$2:$I$151,MATCH(INDEX(FTE_Allocation!$A$2:$A$201,$AB25),Workforce!$A$2:$A$151,0))),N(INDEX(FTE_Allocation!$I$2:$I$201,$AB25)))),1),"")))</f>
        <v/>
      </c>
      <c r="AF25" s="21">
        <f>IF($Z25="C",IF(INDEX(Contracts!$I$2:$I$151,$AB25)="PREPAID",EDATE(DATE(YEAR(INDEX(Contracts!$J$2:$J$151,$AB25)),MONTH(INDEX(Contracts!$J$2:$J$151,$AB25)),1),IF(INDEX(Contracts!$N$2:$N$151,$AB25)="",12,INDEX(Contracts!$N$2:$N$151,$AB25))-1),IF(INDEX(Contracts!$I$2:$I$151,$AB25)="MONTHLY",IF(INDEX(Contracts!$K$2:$K$151,$AB25)="",2958101,INDEX(Contracts!$K$2:$K$151,$AB25)),0)),IF($Z25="A",EDATE(DATE(YEAR(INDEX(Fixed_Assets!$G$2:$G$201,$AB25)),MONTH(INDEX(Fixed_Assets!$G$2:$G$201,$AB25)),1),INDEX(Fixed_Assets!$J$2:$J$201,$AB25)-1),IF($Z25="F",MIN(IF(INDEX(Workforce!$J$2:$J$151,MATCH(INDEX(FTE_Allocation!$A$2:$A$201,$AB25),Workforce!$A$2:$A$151,0))="",2958101,INDEX(Workforce!$J$2:$J$151,MATCH(INDEX(FTE_Allocation!$A$2:$A$201,$AB25),Workforce!$A$2:$A$151,0))),IF(INDEX(FTE_Allocation!$J$2:$J$201,$AB25)="",2958101,INDEX(FTE_Allocation!$J$2:$J$201,$AB25))),"")))</f>
        <v/>
      </c>
      <c r="AG25" s="19">
        <f>IF($Z25="C",IF(INDEX(Contracts!$I$2:$I$151,$AB25)="PREPAID",INDEX(Contracts!$M$2:$M$151,$AB25)/IF(INDEX(Contracts!$N$2:$N$151,$AB25)="",12,INDEX(Contracts!$N$2:$N$151,$AB25)),IF(INDEX(Contracts!$I$2:$I$151,$AB25)="MONTHLY",INDEX(Contracts!$M$2:$M$151,$AB25),0))*(1-N(INDEX(Contracts!$O$2:$O$151,$AB25))),IF($Z25="A",INDEX(Fixed_Assets!$H$2:$H$201,$AB25)/INDEX(Fixed_Assets!$J$2:$J$201,$AB25),IF($Z25="F",INDEX(Workforce!$F$2:$F$151,MATCH(INDEX(FTE_Allocation!$A$2:$A$201,$AB25),Workforce!$A$2:$A$151,0))*N(INDEX(FTE_Allocation!$F$2:$H$201,$AB25,$AC25)),"")))</f>
        <v/>
      </c>
    </row>
    <row r="26">
      <c r="A26" s="7">
        <f>IF($Z26="","",$AD26)</f>
        <v/>
      </c>
      <c r="B26" s="7">
        <f>IF($Z26="C",INDEX(Contracts!$D$2:$D$151,$AB26)&amp;"",IF($Z26="A",INDEX(Fixed_Assets!$C$2:$C$201,$AB26)&amp;"",IF($Z26="F",INDEX(Workforce!$B$2:$B$151,MATCH(INDEX(FTE_Allocation!$A$2:$A$201,$AB26),Workforce!$A$2:$A$151,0))&amp;"","")))</f>
        <v/>
      </c>
      <c r="C26" s="7">
        <f>IF($Z26="C",INDEX(Contracts!$E$2:$E$151,$AB26)&amp;"",IF($Z26="A",INDEX(Fixed_Assets!$D$2:$D$201,$AB26)&amp;"",IF($Z26="F",INDEX(FTE_Allocation!$C$2:$C$201,$AB26)&amp;"","")))</f>
        <v/>
      </c>
      <c r="D26" s="7">
        <f>IF($Z26="C",INDEX(Contracts!$B$2:$B$151,$AB26)&amp;"",IF($Z26="A",INDEX(Fixed_Assets!$B$2:$B$201,$AB26)&amp;"",IF($Z26="F",INDEX(FTE_Allocation!$B$2:$B$201,$AB26)&amp;"","")))</f>
        <v/>
      </c>
      <c r="E26" s="7">
        <f>IF($Z26="C",INDEX(Contracts!$P$2:$P$151,$AB26)&amp;"",IF($Z26="A",INDEX(Fixed_Assets!$K$2:$K$201,$AB26)&amp;"",IF($Z26="F",IF(INDEX(FTE_Allocation!$D$2:$D$201,$AB26)="PROJECT",IFERROR(INDEX(Projects!$D:$D,MATCH(INDEX(FTE_Allocation!$E$2:$E$201,$AB26),Projects!$A:$A,0))&amp;"","#PROJECT?"),INDEX(FTE_Allocation!$E$2:$E$201,$AB26)&amp;""),"")))</f>
        <v/>
      </c>
      <c r="F26" s="7">
        <f>IF($Z26="C",INDEX(Contracts!$Q$2:$Q$151,$AB26)&amp;"",IF($Z26="A",INDEX(Fixed_Assets!$L$2:$L$201,$AB26)&amp;"",IF($Z26="F",INDEX(Workforce!$K$2:$K$151,MATCH(INDEX(FTE_Allocation!$A$2:$A$201,$AB26),Workforce!$A$2:$A$151,0))&amp;"","")))</f>
        <v/>
      </c>
      <c r="G26" s="7">
        <f>IF($Z26="C",INDEX(Contracts!$F$2:$F$151,$AB26)&amp;" / "&amp;INDEX(Contracts!$G$2:$G$151,$AB26),IF($Z26="A",INDEX(Fixed_Assets!$E$2:$E$201,$AB26)&amp;"",IF($Z26="F","Personnel "&amp;INDEX(FTE_Allocation!$A$2:$A$201,$AB26)&amp;IF(INDEX(FTE_Allocation!$D$2:$D$201,$AB26)="PROJECT"," ("&amp;INDEX(FTE_Allocation!$E$2:$E$201,$AB26)&amp;")",""),"")))</f>
        <v/>
      </c>
      <c r="H26" s="7">
        <f>IF($Z26="C","CONTRACT",IF($Z26="A","ASSET",IF($Z26="F","WORKFORCE","")))</f>
        <v/>
      </c>
      <c r="I26" s="7">
        <f>IF($Z26="C",INDEX(Contracts!$L$2:$L$151,$AB26)&amp;"",IF($Z26="A",INDEX(Fixed_Assets!$I$2:$I$201,$AB26)&amp;"",IF($Z26="F",INDEX(Workforce!$G$2:$G$151,MATCH(INDEX(FTE_Allocation!$A$2:$A$201,$AB26),Workforce!$A$2:$A$151,0))&amp;"","")))</f>
        <v/>
      </c>
      <c r="J26" s="18">
        <f>IF($Z26="","",IF(AND(DATE($AD26,1,1)&gt;=$AE26,DATE($AD26,1,1)&lt;=$AF26),ROUND($AG26,2),0))</f>
        <v/>
      </c>
      <c r="K26" s="18">
        <f>IF($Z26="","",IF(AND(DATE($AD26,2,1)&gt;=$AE26,DATE($AD26,2,1)&lt;=$AF26),ROUND($AG26,2),0))</f>
        <v/>
      </c>
      <c r="L26" s="18">
        <f>IF($Z26="","",IF(AND(DATE($AD26,3,1)&gt;=$AE26,DATE($AD26,3,1)&lt;=$AF26),ROUND($AG26,2),0))</f>
        <v/>
      </c>
      <c r="M26" s="18">
        <f>IF($Z26="","",IF(AND(DATE($AD26,4,1)&gt;=$AE26,DATE($AD26,4,1)&lt;=$AF26),ROUND($AG26,2),0))</f>
        <v/>
      </c>
      <c r="N26" s="18">
        <f>IF($Z26="","",IF(AND(DATE($AD26,5,1)&gt;=$AE26,DATE($AD26,5,1)&lt;=$AF26),ROUND($AG26,2),0))</f>
        <v/>
      </c>
      <c r="O26" s="18">
        <f>IF($Z26="","",IF(AND(DATE($AD26,6,1)&gt;=$AE26,DATE($AD26,6,1)&lt;=$AF26),ROUND($AG26,2),0))</f>
        <v/>
      </c>
      <c r="P26" s="18">
        <f>IF($Z26="","",IF(AND(DATE($AD26,7,1)&gt;=$AE26,DATE($AD26,7,1)&lt;=$AF26),ROUND($AG26,2),0))</f>
        <v/>
      </c>
      <c r="Q26" s="18">
        <f>IF($Z26="","",IF(AND(DATE($AD26,8,1)&gt;=$AE26,DATE($AD26,8,1)&lt;=$AF26),ROUND($AG26,2),0))</f>
        <v/>
      </c>
      <c r="R26" s="18">
        <f>IF($Z26="","",IF(AND(DATE($AD26,9,1)&gt;=$AE26,DATE($AD26,9,1)&lt;=$AF26),ROUND($AG26,2),0))</f>
        <v/>
      </c>
      <c r="S26" s="18">
        <f>IF($Z26="","",IF(AND(DATE($AD26,10,1)&gt;=$AE26,DATE($AD26,10,1)&lt;=$AF26),ROUND($AG26,2),0))</f>
        <v/>
      </c>
      <c r="T26" s="18">
        <f>IF($Z26="","",IF(AND(DATE($AD26,11,1)&gt;=$AE26,DATE($AD26,11,1)&lt;=$AF26),ROUND($AG26,2),0))</f>
        <v/>
      </c>
      <c r="U26" s="18">
        <f>IF($Z26="","",IF(AND(DATE($AD26,12,1)&gt;=$AE26,DATE($AD26,12,1)&lt;=$AF26),ROUND($AG26,2),0))</f>
        <v/>
      </c>
      <c r="V26" s="7">
        <f>IF($Z26="C","Generated from "&amp;INDEX(Contracts!$A$2:$A$151,$AB26),IF($Z26="A","Generated from "&amp;INDEX(Fixed_Assets!$A$2:$A$201,$AB26),IF($Z26="F","Generated from "&amp;INDEX(FTE_Allocation!$A$2:$A$201,$AB26),"")))</f>
        <v/>
      </c>
      <c r="X26" s="19">
        <f>IF($Z26="","",SUM(J26:U26))</f>
        <v/>
      </c>
      <c r="Y26" s="20">
        <f>ROW()-1</f>
        <v/>
      </c>
      <c r="Z26" s="20">
        <f>IF($Y26&lt;=Settings!$B$4*3,"C",IF($Y26&lt;=(Settings!$B$4+Settings!$B$5)*3,"A",IF($Y26&lt;=(Settings!$B$4+Settings!$B$5+Settings!$B$6)*3,"F","")))</f>
        <v/>
      </c>
      <c r="AA26" s="20">
        <f>IF($Z26="C",$Y26,IF($Z26="A",$Y26-Settings!$B$4*3,IF($Z26="F",$Y26-(Settings!$B$4+Settings!$B$5)*3,"")))</f>
        <v/>
      </c>
      <c r="AB26" s="20">
        <f>IF($Z26="","",INT(($AA26-1)/3)+1)</f>
        <v/>
      </c>
      <c r="AC26" s="20">
        <f>IF($Z26="","",MOD($AA26-1,3)+1)</f>
        <v/>
      </c>
      <c r="AD26" s="20">
        <f>IF($Z26="","",Settings!$B$2+$AC26-1)</f>
        <v/>
      </c>
      <c r="AE26" s="21">
        <f>IF($Z26="C",DATE(YEAR(INDEX(Contracts!$J$2:$J$151,$AB26)),MONTH(INDEX(Contracts!$J$2:$J$151,$AB26)),1),IF($Z26="A",DATE(YEAR(INDEX(Fixed_Assets!$G$2:$G$201,$AB26)),MONTH(INDEX(Fixed_Assets!$G$2:$G$201,$AB26)),1),IF($Z26="F",DATE(YEAR(MAX(N(INDEX(Workforce!$I$2:$I$151,MATCH(INDEX(FTE_Allocation!$A$2:$A$201,$AB26),Workforce!$A$2:$A$151,0))),N(INDEX(FTE_Allocation!$I$2:$I$201,$AB26)))),MONTH(MAX(N(INDEX(Workforce!$I$2:$I$151,MATCH(INDEX(FTE_Allocation!$A$2:$A$201,$AB26),Workforce!$A$2:$A$151,0))),N(INDEX(FTE_Allocation!$I$2:$I$201,$AB26)))),1),"")))</f>
        <v/>
      </c>
      <c r="AF26" s="21">
        <f>IF($Z26="C",IF(INDEX(Contracts!$I$2:$I$151,$AB26)="PREPAID",EDATE(DATE(YEAR(INDEX(Contracts!$J$2:$J$151,$AB26)),MONTH(INDEX(Contracts!$J$2:$J$151,$AB26)),1),IF(INDEX(Contracts!$N$2:$N$151,$AB26)="",12,INDEX(Contracts!$N$2:$N$151,$AB26))-1),IF(INDEX(Contracts!$I$2:$I$151,$AB26)="MONTHLY",IF(INDEX(Contracts!$K$2:$K$151,$AB26)="",2958101,INDEX(Contracts!$K$2:$K$151,$AB26)),0)),IF($Z26="A",EDATE(DATE(YEAR(INDEX(Fixed_Assets!$G$2:$G$201,$AB26)),MONTH(INDEX(Fixed_Assets!$G$2:$G$201,$AB26)),1),INDEX(Fixed_Assets!$J$2:$J$201,$AB26)-1),IF($Z26="F",MIN(IF(INDEX(Workforce!$J$2:$J$151,MATCH(INDEX(FTE_Allocation!$A$2:$A$201,$AB26),Workforce!$A$2:$A$151,0))="",2958101,INDEX(Workforce!$J$2:$J$151,MATCH(INDEX(FTE_Allocation!$A$2:$A$201,$AB26),Workforce!$A$2:$A$151,0))),IF(INDEX(FTE_Allocation!$J$2:$J$201,$AB26)="",2958101,INDEX(FTE_Allocation!$J$2:$J$201,$AB26))),"")))</f>
        <v/>
      </c>
      <c r="AG26" s="19">
        <f>IF($Z26="C",IF(INDEX(Contracts!$I$2:$I$151,$AB26)="PREPAID",INDEX(Contracts!$M$2:$M$151,$AB26)/IF(INDEX(Contracts!$N$2:$N$151,$AB26)="",12,INDEX(Contracts!$N$2:$N$151,$AB26)),IF(INDEX(Contracts!$I$2:$I$151,$AB26)="MONTHLY",INDEX(Contracts!$M$2:$M$151,$AB26),0))*(1-N(INDEX(Contracts!$O$2:$O$151,$AB26))),IF($Z26="A",INDEX(Fixed_Assets!$H$2:$H$201,$AB26)/INDEX(Fixed_Assets!$J$2:$J$201,$AB26),IF($Z26="F",INDEX(Workforce!$F$2:$F$151,MATCH(INDEX(FTE_Allocation!$A$2:$A$201,$AB26),Workforce!$A$2:$A$151,0))*N(INDEX(FTE_Allocation!$F$2:$H$201,$AB26,$AC26)),"")))</f>
        <v/>
      </c>
    </row>
    <row r="27">
      <c r="A27" s="7">
        <f>IF($Z27="","",$AD27)</f>
        <v/>
      </c>
      <c r="B27" s="7">
        <f>IF($Z27="C",INDEX(Contracts!$D$2:$D$151,$AB27)&amp;"",IF($Z27="A",INDEX(Fixed_Assets!$C$2:$C$201,$AB27)&amp;"",IF($Z27="F",INDEX(Workforce!$B$2:$B$151,MATCH(INDEX(FTE_Allocation!$A$2:$A$201,$AB27),Workforce!$A$2:$A$151,0))&amp;"","")))</f>
        <v/>
      </c>
      <c r="C27" s="7">
        <f>IF($Z27="C",INDEX(Contracts!$E$2:$E$151,$AB27)&amp;"",IF($Z27="A",INDEX(Fixed_Assets!$D$2:$D$201,$AB27)&amp;"",IF($Z27="F",INDEX(FTE_Allocation!$C$2:$C$201,$AB27)&amp;"","")))</f>
        <v/>
      </c>
      <c r="D27" s="7">
        <f>IF($Z27="C",INDEX(Contracts!$B$2:$B$151,$AB27)&amp;"",IF($Z27="A",INDEX(Fixed_Assets!$B$2:$B$201,$AB27)&amp;"",IF($Z27="F",INDEX(FTE_Allocation!$B$2:$B$201,$AB27)&amp;"","")))</f>
        <v/>
      </c>
      <c r="E27" s="7">
        <f>IF($Z27="C",INDEX(Contracts!$P$2:$P$151,$AB27)&amp;"",IF($Z27="A",INDEX(Fixed_Assets!$K$2:$K$201,$AB27)&amp;"",IF($Z27="F",IF(INDEX(FTE_Allocation!$D$2:$D$201,$AB27)="PROJECT",IFERROR(INDEX(Projects!$D:$D,MATCH(INDEX(FTE_Allocation!$E$2:$E$201,$AB27),Projects!$A:$A,0))&amp;"","#PROJECT?"),INDEX(FTE_Allocation!$E$2:$E$201,$AB27)&amp;""),"")))</f>
        <v/>
      </c>
      <c r="F27" s="7">
        <f>IF($Z27="C",INDEX(Contracts!$Q$2:$Q$151,$AB27)&amp;"",IF($Z27="A",INDEX(Fixed_Assets!$L$2:$L$201,$AB27)&amp;"",IF($Z27="F",INDEX(Workforce!$K$2:$K$151,MATCH(INDEX(FTE_Allocation!$A$2:$A$201,$AB27),Workforce!$A$2:$A$151,0))&amp;"","")))</f>
        <v/>
      </c>
      <c r="G27" s="7">
        <f>IF($Z27="C",INDEX(Contracts!$F$2:$F$151,$AB27)&amp;" / "&amp;INDEX(Contracts!$G$2:$G$151,$AB27),IF($Z27="A",INDEX(Fixed_Assets!$E$2:$E$201,$AB27)&amp;"",IF($Z27="F","Personnel "&amp;INDEX(FTE_Allocation!$A$2:$A$201,$AB27)&amp;IF(INDEX(FTE_Allocation!$D$2:$D$201,$AB27)="PROJECT"," ("&amp;INDEX(FTE_Allocation!$E$2:$E$201,$AB27)&amp;")",""),"")))</f>
        <v/>
      </c>
      <c r="H27" s="7">
        <f>IF($Z27="C","CONTRACT",IF($Z27="A","ASSET",IF($Z27="F","WORKFORCE","")))</f>
        <v/>
      </c>
      <c r="I27" s="7">
        <f>IF($Z27="C",INDEX(Contracts!$L$2:$L$151,$AB27)&amp;"",IF($Z27="A",INDEX(Fixed_Assets!$I$2:$I$201,$AB27)&amp;"",IF($Z27="F",INDEX(Workforce!$G$2:$G$151,MATCH(INDEX(FTE_Allocation!$A$2:$A$201,$AB27),Workforce!$A$2:$A$151,0))&amp;"","")))</f>
        <v/>
      </c>
      <c r="J27" s="18">
        <f>IF($Z27="","",IF(AND(DATE($AD27,1,1)&gt;=$AE27,DATE($AD27,1,1)&lt;=$AF27),ROUND($AG27,2),0))</f>
        <v/>
      </c>
      <c r="K27" s="18">
        <f>IF($Z27="","",IF(AND(DATE($AD27,2,1)&gt;=$AE27,DATE($AD27,2,1)&lt;=$AF27),ROUND($AG27,2),0))</f>
        <v/>
      </c>
      <c r="L27" s="18">
        <f>IF($Z27="","",IF(AND(DATE($AD27,3,1)&gt;=$AE27,DATE($AD27,3,1)&lt;=$AF27),ROUND($AG27,2),0))</f>
        <v/>
      </c>
      <c r="M27" s="18">
        <f>IF($Z27="","",IF(AND(DATE($AD27,4,1)&gt;=$AE27,DATE($AD27,4,1)&lt;=$AF27),ROUND($AG27,2),0))</f>
        <v/>
      </c>
      <c r="N27" s="18">
        <f>IF($Z27="","",IF(AND(DATE($AD27,5,1)&gt;=$AE27,DATE($AD27,5,1)&lt;=$AF27),ROUND($AG27,2),0))</f>
        <v/>
      </c>
      <c r="O27" s="18">
        <f>IF($Z27="","",IF(AND(DATE($AD27,6,1)&gt;=$AE27,DATE($AD27,6,1)&lt;=$AF27),ROUND($AG27,2),0))</f>
        <v/>
      </c>
      <c r="P27" s="18">
        <f>IF($Z27="","",IF(AND(DATE($AD27,7,1)&gt;=$AE27,DATE($AD27,7,1)&lt;=$AF27),ROUND($AG27,2),0))</f>
        <v/>
      </c>
      <c r="Q27" s="18">
        <f>IF($Z27="","",IF(AND(DATE($AD27,8,1)&gt;=$AE27,DATE($AD27,8,1)&lt;=$AF27),ROUND($AG27,2),0))</f>
        <v/>
      </c>
      <c r="R27" s="18">
        <f>IF($Z27="","",IF(AND(DATE($AD27,9,1)&gt;=$AE27,DATE($AD27,9,1)&lt;=$AF27),ROUND($AG27,2),0))</f>
        <v/>
      </c>
      <c r="S27" s="18">
        <f>IF($Z27="","",IF(AND(DATE($AD27,10,1)&gt;=$AE27,DATE($AD27,10,1)&lt;=$AF27),ROUND($AG27,2),0))</f>
        <v/>
      </c>
      <c r="T27" s="18">
        <f>IF($Z27="","",IF(AND(DATE($AD27,11,1)&gt;=$AE27,DATE($AD27,11,1)&lt;=$AF27),ROUND($AG27,2),0))</f>
        <v/>
      </c>
      <c r="U27" s="18">
        <f>IF($Z27="","",IF(AND(DATE($AD27,12,1)&gt;=$AE27,DATE($AD27,12,1)&lt;=$AF27),ROUND($AG27,2),0))</f>
        <v/>
      </c>
      <c r="V27" s="7">
        <f>IF($Z27="C","Generated from "&amp;INDEX(Contracts!$A$2:$A$151,$AB27),IF($Z27="A","Generated from "&amp;INDEX(Fixed_Assets!$A$2:$A$201,$AB27),IF($Z27="F","Generated from "&amp;INDEX(FTE_Allocation!$A$2:$A$201,$AB27),"")))</f>
        <v/>
      </c>
      <c r="X27" s="19">
        <f>IF($Z27="","",SUM(J27:U27))</f>
        <v/>
      </c>
      <c r="Y27" s="20">
        <f>ROW()-1</f>
        <v/>
      </c>
      <c r="Z27" s="20">
        <f>IF($Y27&lt;=Settings!$B$4*3,"C",IF($Y27&lt;=(Settings!$B$4+Settings!$B$5)*3,"A",IF($Y27&lt;=(Settings!$B$4+Settings!$B$5+Settings!$B$6)*3,"F","")))</f>
        <v/>
      </c>
      <c r="AA27" s="20">
        <f>IF($Z27="C",$Y27,IF($Z27="A",$Y27-Settings!$B$4*3,IF($Z27="F",$Y27-(Settings!$B$4+Settings!$B$5)*3,"")))</f>
        <v/>
      </c>
      <c r="AB27" s="20">
        <f>IF($Z27="","",INT(($AA27-1)/3)+1)</f>
        <v/>
      </c>
      <c r="AC27" s="20">
        <f>IF($Z27="","",MOD($AA27-1,3)+1)</f>
        <v/>
      </c>
      <c r="AD27" s="20">
        <f>IF($Z27="","",Settings!$B$2+$AC27-1)</f>
        <v/>
      </c>
      <c r="AE27" s="21">
        <f>IF($Z27="C",DATE(YEAR(INDEX(Contracts!$J$2:$J$151,$AB27)),MONTH(INDEX(Contracts!$J$2:$J$151,$AB27)),1),IF($Z27="A",DATE(YEAR(INDEX(Fixed_Assets!$G$2:$G$201,$AB27)),MONTH(INDEX(Fixed_Assets!$G$2:$G$201,$AB27)),1),IF($Z27="F",DATE(YEAR(MAX(N(INDEX(Workforce!$I$2:$I$151,MATCH(INDEX(FTE_Allocation!$A$2:$A$201,$AB27),Workforce!$A$2:$A$151,0))),N(INDEX(FTE_Allocation!$I$2:$I$201,$AB27)))),MONTH(MAX(N(INDEX(Workforce!$I$2:$I$151,MATCH(INDEX(FTE_Allocation!$A$2:$A$201,$AB27),Workforce!$A$2:$A$151,0))),N(INDEX(FTE_Allocation!$I$2:$I$201,$AB27)))),1),"")))</f>
        <v/>
      </c>
      <c r="AF27" s="21">
        <f>IF($Z27="C",IF(INDEX(Contracts!$I$2:$I$151,$AB27)="PREPAID",EDATE(DATE(YEAR(INDEX(Contracts!$J$2:$J$151,$AB27)),MONTH(INDEX(Contracts!$J$2:$J$151,$AB27)),1),IF(INDEX(Contracts!$N$2:$N$151,$AB27)="",12,INDEX(Contracts!$N$2:$N$151,$AB27))-1),IF(INDEX(Contracts!$I$2:$I$151,$AB27)="MONTHLY",IF(INDEX(Contracts!$K$2:$K$151,$AB27)="",2958101,INDEX(Contracts!$K$2:$K$151,$AB27)),0)),IF($Z27="A",EDATE(DATE(YEAR(INDEX(Fixed_Assets!$G$2:$G$201,$AB27)),MONTH(INDEX(Fixed_Assets!$G$2:$G$201,$AB27)),1),INDEX(Fixed_Assets!$J$2:$J$201,$AB27)-1),IF($Z27="F",MIN(IF(INDEX(Workforce!$J$2:$J$151,MATCH(INDEX(FTE_Allocation!$A$2:$A$201,$AB27),Workforce!$A$2:$A$151,0))="",2958101,INDEX(Workforce!$J$2:$J$151,MATCH(INDEX(FTE_Allocation!$A$2:$A$201,$AB27),Workforce!$A$2:$A$151,0))),IF(INDEX(FTE_Allocation!$J$2:$J$201,$AB27)="",2958101,INDEX(FTE_Allocation!$J$2:$J$201,$AB27))),"")))</f>
        <v/>
      </c>
      <c r="AG27" s="19">
        <f>IF($Z27="C",IF(INDEX(Contracts!$I$2:$I$151,$AB27)="PREPAID",INDEX(Contracts!$M$2:$M$151,$AB27)/IF(INDEX(Contracts!$N$2:$N$151,$AB27)="",12,INDEX(Contracts!$N$2:$N$151,$AB27)),IF(INDEX(Contracts!$I$2:$I$151,$AB27)="MONTHLY",INDEX(Contracts!$M$2:$M$151,$AB27),0))*(1-N(INDEX(Contracts!$O$2:$O$151,$AB27))),IF($Z27="A",INDEX(Fixed_Assets!$H$2:$H$201,$AB27)/INDEX(Fixed_Assets!$J$2:$J$201,$AB27),IF($Z27="F",INDEX(Workforce!$F$2:$F$151,MATCH(INDEX(FTE_Allocation!$A$2:$A$201,$AB27),Workforce!$A$2:$A$151,0))*N(INDEX(FTE_Allocation!$F$2:$H$201,$AB27,$AC27)),"")))</f>
        <v/>
      </c>
    </row>
    <row r="28">
      <c r="A28" s="7">
        <f>IF($Z28="","",$AD28)</f>
        <v/>
      </c>
      <c r="B28" s="7">
        <f>IF($Z28="C",INDEX(Contracts!$D$2:$D$151,$AB28)&amp;"",IF($Z28="A",INDEX(Fixed_Assets!$C$2:$C$201,$AB28)&amp;"",IF($Z28="F",INDEX(Workforce!$B$2:$B$151,MATCH(INDEX(FTE_Allocation!$A$2:$A$201,$AB28),Workforce!$A$2:$A$151,0))&amp;"","")))</f>
        <v/>
      </c>
      <c r="C28" s="7">
        <f>IF($Z28="C",INDEX(Contracts!$E$2:$E$151,$AB28)&amp;"",IF($Z28="A",INDEX(Fixed_Assets!$D$2:$D$201,$AB28)&amp;"",IF($Z28="F",INDEX(FTE_Allocation!$C$2:$C$201,$AB28)&amp;"","")))</f>
        <v/>
      </c>
      <c r="D28" s="7">
        <f>IF($Z28="C",INDEX(Contracts!$B$2:$B$151,$AB28)&amp;"",IF($Z28="A",INDEX(Fixed_Assets!$B$2:$B$201,$AB28)&amp;"",IF($Z28="F",INDEX(FTE_Allocation!$B$2:$B$201,$AB28)&amp;"","")))</f>
        <v/>
      </c>
      <c r="E28" s="7">
        <f>IF($Z28="C",INDEX(Contracts!$P$2:$P$151,$AB28)&amp;"",IF($Z28="A",INDEX(Fixed_Assets!$K$2:$K$201,$AB28)&amp;"",IF($Z28="F",IF(INDEX(FTE_Allocation!$D$2:$D$201,$AB28)="PROJECT",IFERROR(INDEX(Projects!$D:$D,MATCH(INDEX(FTE_Allocation!$E$2:$E$201,$AB28),Projects!$A:$A,0))&amp;"","#PROJECT?"),INDEX(FTE_Allocation!$E$2:$E$201,$AB28)&amp;""),"")))</f>
        <v/>
      </c>
      <c r="F28" s="7">
        <f>IF($Z28="C",INDEX(Contracts!$Q$2:$Q$151,$AB28)&amp;"",IF($Z28="A",INDEX(Fixed_Assets!$L$2:$L$201,$AB28)&amp;"",IF($Z28="F",INDEX(Workforce!$K$2:$K$151,MATCH(INDEX(FTE_Allocation!$A$2:$A$201,$AB28),Workforce!$A$2:$A$151,0))&amp;"","")))</f>
        <v/>
      </c>
      <c r="G28" s="7">
        <f>IF($Z28="C",INDEX(Contracts!$F$2:$F$151,$AB28)&amp;" / "&amp;INDEX(Contracts!$G$2:$G$151,$AB28),IF($Z28="A",INDEX(Fixed_Assets!$E$2:$E$201,$AB28)&amp;"",IF($Z28="F","Personnel "&amp;INDEX(FTE_Allocation!$A$2:$A$201,$AB28)&amp;IF(INDEX(FTE_Allocation!$D$2:$D$201,$AB28)="PROJECT"," ("&amp;INDEX(FTE_Allocation!$E$2:$E$201,$AB28)&amp;")",""),"")))</f>
        <v/>
      </c>
      <c r="H28" s="7">
        <f>IF($Z28="C","CONTRACT",IF($Z28="A","ASSET",IF($Z28="F","WORKFORCE","")))</f>
        <v/>
      </c>
      <c r="I28" s="7">
        <f>IF($Z28="C",INDEX(Contracts!$L$2:$L$151,$AB28)&amp;"",IF($Z28="A",INDEX(Fixed_Assets!$I$2:$I$201,$AB28)&amp;"",IF($Z28="F",INDEX(Workforce!$G$2:$G$151,MATCH(INDEX(FTE_Allocation!$A$2:$A$201,$AB28),Workforce!$A$2:$A$151,0))&amp;"","")))</f>
        <v/>
      </c>
      <c r="J28" s="18">
        <f>IF($Z28="","",IF(AND(DATE($AD28,1,1)&gt;=$AE28,DATE($AD28,1,1)&lt;=$AF28),ROUND($AG28,2),0))</f>
        <v/>
      </c>
      <c r="K28" s="18">
        <f>IF($Z28="","",IF(AND(DATE($AD28,2,1)&gt;=$AE28,DATE($AD28,2,1)&lt;=$AF28),ROUND($AG28,2),0))</f>
        <v/>
      </c>
      <c r="L28" s="18">
        <f>IF($Z28="","",IF(AND(DATE($AD28,3,1)&gt;=$AE28,DATE($AD28,3,1)&lt;=$AF28),ROUND($AG28,2),0))</f>
        <v/>
      </c>
      <c r="M28" s="18">
        <f>IF($Z28="","",IF(AND(DATE($AD28,4,1)&gt;=$AE28,DATE($AD28,4,1)&lt;=$AF28),ROUND($AG28,2),0))</f>
        <v/>
      </c>
      <c r="N28" s="18">
        <f>IF($Z28="","",IF(AND(DATE($AD28,5,1)&gt;=$AE28,DATE($AD28,5,1)&lt;=$AF28),ROUND($AG28,2),0))</f>
        <v/>
      </c>
      <c r="O28" s="18">
        <f>IF($Z28="","",IF(AND(DATE($AD28,6,1)&gt;=$AE28,DATE($AD28,6,1)&lt;=$AF28),ROUND($AG28,2),0))</f>
        <v/>
      </c>
      <c r="P28" s="18">
        <f>IF($Z28="","",IF(AND(DATE($AD28,7,1)&gt;=$AE28,DATE($AD28,7,1)&lt;=$AF28),ROUND($AG28,2),0))</f>
        <v/>
      </c>
      <c r="Q28" s="18">
        <f>IF($Z28="","",IF(AND(DATE($AD28,8,1)&gt;=$AE28,DATE($AD28,8,1)&lt;=$AF28),ROUND($AG28,2),0))</f>
        <v/>
      </c>
      <c r="R28" s="18">
        <f>IF($Z28="","",IF(AND(DATE($AD28,9,1)&gt;=$AE28,DATE($AD28,9,1)&lt;=$AF28),ROUND($AG28,2),0))</f>
        <v/>
      </c>
      <c r="S28" s="18">
        <f>IF($Z28="","",IF(AND(DATE($AD28,10,1)&gt;=$AE28,DATE($AD28,10,1)&lt;=$AF28),ROUND($AG28,2),0))</f>
        <v/>
      </c>
      <c r="T28" s="18">
        <f>IF($Z28="","",IF(AND(DATE($AD28,11,1)&gt;=$AE28,DATE($AD28,11,1)&lt;=$AF28),ROUND($AG28,2),0))</f>
        <v/>
      </c>
      <c r="U28" s="18">
        <f>IF($Z28="","",IF(AND(DATE($AD28,12,1)&gt;=$AE28,DATE($AD28,12,1)&lt;=$AF28),ROUND($AG28,2),0))</f>
        <v/>
      </c>
      <c r="V28" s="7">
        <f>IF($Z28="C","Generated from "&amp;INDEX(Contracts!$A$2:$A$151,$AB28),IF($Z28="A","Generated from "&amp;INDEX(Fixed_Assets!$A$2:$A$201,$AB28),IF($Z28="F","Generated from "&amp;INDEX(FTE_Allocation!$A$2:$A$201,$AB28),"")))</f>
        <v/>
      </c>
      <c r="X28" s="19">
        <f>IF($Z28="","",SUM(J28:U28))</f>
        <v/>
      </c>
      <c r="Y28" s="20">
        <f>ROW()-1</f>
        <v/>
      </c>
      <c r="Z28" s="20">
        <f>IF($Y28&lt;=Settings!$B$4*3,"C",IF($Y28&lt;=(Settings!$B$4+Settings!$B$5)*3,"A",IF($Y28&lt;=(Settings!$B$4+Settings!$B$5+Settings!$B$6)*3,"F","")))</f>
        <v/>
      </c>
      <c r="AA28" s="20">
        <f>IF($Z28="C",$Y28,IF($Z28="A",$Y28-Settings!$B$4*3,IF($Z28="F",$Y28-(Settings!$B$4+Settings!$B$5)*3,"")))</f>
        <v/>
      </c>
      <c r="AB28" s="20">
        <f>IF($Z28="","",INT(($AA28-1)/3)+1)</f>
        <v/>
      </c>
      <c r="AC28" s="20">
        <f>IF($Z28="","",MOD($AA28-1,3)+1)</f>
        <v/>
      </c>
      <c r="AD28" s="20">
        <f>IF($Z28="","",Settings!$B$2+$AC28-1)</f>
        <v/>
      </c>
      <c r="AE28" s="21">
        <f>IF($Z28="C",DATE(YEAR(INDEX(Contracts!$J$2:$J$151,$AB28)),MONTH(INDEX(Contracts!$J$2:$J$151,$AB28)),1),IF($Z28="A",DATE(YEAR(INDEX(Fixed_Assets!$G$2:$G$201,$AB28)),MONTH(INDEX(Fixed_Assets!$G$2:$G$201,$AB28)),1),IF($Z28="F",DATE(YEAR(MAX(N(INDEX(Workforce!$I$2:$I$151,MATCH(INDEX(FTE_Allocation!$A$2:$A$201,$AB28),Workforce!$A$2:$A$151,0))),N(INDEX(FTE_Allocation!$I$2:$I$201,$AB28)))),MONTH(MAX(N(INDEX(Workforce!$I$2:$I$151,MATCH(INDEX(FTE_Allocation!$A$2:$A$201,$AB28),Workforce!$A$2:$A$151,0))),N(INDEX(FTE_Allocation!$I$2:$I$201,$AB28)))),1),"")))</f>
        <v/>
      </c>
      <c r="AF28" s="21">
        <f>IF($Z28="C",IF(INDEX(Contracts!$I$2:$I$151,$AB28)="PREPAID",EDATE(DATE(YEAR(INDEX(Contracts!$J$2:$J$151,$AB28)),MONTH(INDEX(Contracts!$J$2:$J$151,$AB28)),1),IF(INDEX(Contracts!$N$2:$N$151,$AB28)="",12,INDEX(Contracts!$N$2:$N$151,$AB28))-1),IF(INDEX(Contracts!$I$2:$I$151,$AB28)="MONTHLY",IF(INDEX(Contracts!$K$2:$K$151,$AB28)="",2958101,INDEX(Contracts!$K$2:$K$151,$AB28)),0)),IF($Z28="A",EDATE(DATE(YEAR(INDEX(Fixed_Assets!$G$2:$G$201,$AB28)),MONTH(INDEX(Fixed_Assets!$G$2:$G$201,$AB28)),1),INDEX(Fixed_Assets!$J$2:$J$201,$AB28)-1),IF($Z28="F",MIN(IF(INDEX(Workforce!$J$2:$J$151,MATCH(INDEX(FTE_Allocation!$A$2:$A$201,$AB28),Workforce!$A$2:$A$151,0))="",2958101,INDEX(Workforce!$J$2:$J$151,MATCH(INDEX(FTE_Allocation!$A$2:$A$201,$AB28),Workforce!$A$2:$A$151,0))),IF(INDEX(FTE_Allocation!$J$2:$J$201,$AB28)="",2958101,INDEX(FTE_Allocation!$J$2:$J$201,$AB28))),"")))</f>
        <v/>
      </c>
      <c r="AG28" s="19">
        <f>IF($Z28="C",IF(INDEX(Contracts!$I$2:$I$151,$AB28)="PREPAID",INDEX(Contracts!$M$2:$M$151,$AB28)/IF(INDEX(Contracts!$N$2:$N$151,$AB28)="",12,INDEX(Contracts!$N$2:$N$151,$AB28)),IF(INDEX(Contracts!$I$2:$I$151,$AB28)="MONTHLY",INDEX(Contracts!$M$2:$M$151,$AB28),0))*(1-N(INDEX(Contracts!$O$2:$O$151,$AB28))),IF($Z28="A",INDEX(Fixed_Assets!$H$2:$H$201,$AB28)/INDEX(Fixed_Assets!$J$2:$J$201,$AB28),IF($Z28="F",INDEX(Workforce!$F$2:$F$151,MATCH(INDEX(FTE_Allocation!$A$2:$A$201,$AB28),Workforce!$A$2:$A$151,0))*N(INDEX(FTE_Allocation!$F$2:$H$201,$AB28,$AC28)),"")))</f>
        <v/>
      </c>
    </row>
    <row r="29">
      <c r="A29" s="7">
        <f>IF($Z29="","",$AD29)</f>
        <v/>
      </c>
      <c r="B29" s="7">
        <f>IF($Z29="C",INDEX(Contracts!$D$2:$D$151,$AB29)&amp;"",IF($Z29="A",INDEX(Fixed_Assets!$C$2:$C$201,$AB29)&amp;"",IF($Z29="F",INDEX(Workforce!$B$2:$B$151,MATCH(INDEX(FTE_Allocation!$A$2:$A$201,$AB29),Workforce!$A$2:$A$151,0))&amp;"","")))</f>
        <v/>
      </c>
      <c r="C29" s="7">
        <f>IF($Z29="C",INDEX(Contracts!$E$2:$E$151,$AB29)&amp;"",IF($Z29="A",INDEX(Fixed_Assets!$D$2:$D$201,$AB29)&amp;"",IF($Z29="F",INDEX(FTE_Allocation!$C$2:$C$201,$AB29)&amp;"","")))</f>
        <v/>
      </c>
      <c r="D29" s="7">
        <f>IF($Z29="C",INDEX(Contracts!$B$2:$B$151,$AB29)&amp;"",IF($Z29="A",INDEX(Fixed_Assets!$B$2:$B$201,$AB29)&amp;"",IF($Z29="F",INDEX(FTE_Allocation!$B$2:$B$201,$AB29)&amp;"","")))</f>
        <v/>
      </c>
      <c r="E29" s="7">
        <f>IF($Z29="C",INDEX(Contracts!$P$2:$P$151,$AB29)&amp;"",IF($Z29="A",INDEX(Fixed_Assets!$K$2:$K$201,$AB29)&amp;"",IF($Z29="F",IF(INDEX(FTE_Allocation!$D$2:$D$201,$AB29)="PROJECT",IFERROR(INDEX(Projects!$D:$D,MATCH(INDEX(FTE_Allocation!$E$2:$E$201,$AB29),Projects!$A:$A,0))&amp;"","#PROJECT?"),INDEX(FTE_Allocation!$E$2:$E$201,$AB29)&amp;""),"")))</f>
        <v/>
      </c>
      <c r="F29" s="7">
        <f>IF($Z29="C",INDEX(Contracts!$Q$2:$Q$151,$AB29)&amp;"",IF($Z29="A",INDEX(Fixed_Assets!$L$2:$L$201,$AB29)&amp;"",IF($Z29="F",INDEX(Workforce!$K$2:$K$151,MATCH(INDEX(FTE_Allocation!$A$2:$A$201,$AB29),Workforce!$A$2:$A$151,0))&amp;"","")))</f>
        <v/>
      </c>
      <c r="G29" s="7">
        <f>IF($Z29="C",INDEX(Contracts!$F$2:$F$151,$AB29)&amp;" / "&amp;INDEX(Contracts!$G$2:$G$151,$AB29),IF($Z29="A",INDEX(Fixed_Assets!$E$2:$E$201,$AB29)&amp;"",IF($Z29="F","Personnel "&amp;INDEX(FTE_Allocation!$A$2:$A$201,$AB29)&amp;IF(INDEX(FTE_Allocation!$D$2:$D$201,$AB29)="PROJECT"," ("&amp;INDEX(FTE_Allocation!$E$2:$E$201,$AB29)&amp;")",""),"")))</f>
        <v/>
      </c>
      <c r="H29" s="7">
        <f>IF($Z29="C","CONTRACT",IF($Z29="A","ASSET",IF($Z29="F","WORKFORCE","")))</f>
        <v/>
      </c>
      <c r="I29" s="7">
        <f>IF($Z29="C",INDEX(Contracts!$L$2:$L$151,$AB29)&amp;"",IF($Z29="A",INDEX(Fixed_Assets!$I$2:$I$201,$AB29)&amp;"",IF($Z29="F",INDEX(Workforce!$G$2:$G$151,MATCH(INDEX(FTE_Allocation!$A$2:$A$201,$AB29),Workforce!$A$2:$A$151,0))&amp;"","")))</f>
        <v/>
      </c>
      <c r="J29" s="18">
        <f>IF($Z29="","",IF(AND(DATE($AD29,1,1)&gt;=$AE29,DATE($AD29,1,1)&lt;=$AF29),ROUND($AG29,2),0))</f>
        <v/>
      </c>
      <c r="K29" s="18">
        <f>IF($Z29="","",IF(AND(DATE($AD29,2,1)&gt;=$AE29,DATE($AD29,2,1)&lt;=$AF29),ROUND($AG29,2),0))</f>
        <v/>
      </c>
      <c r="L29" s="18">
        <f>IF($Z29="","",IF(AND(DATE($AD29,3,1)&gt;=$AE29,DATE($AD29,3,1)&lt;=$AF29),ROUND($AG29,2),0))</f>
        <v/>
      </c>
      <c r="M29" s="18">
        <f>IF($Z29="","",IF(AND(DATE($AD29,4,1)&gt;=$AE29,DATE($AD29,4,1)&lt;=$AF29),ROUND($AG29,2),0))</f>
        <v/>
      </c>
      <c r="N29" s="18">
        <f>IF($Z29="","",IF(AND(DATE($AD29,5,1)&gt;=$AE29,DATE($AD29,5,1)&lt;=$AF29),ROUND($AG29,2),0))</f>
        <v/>
      </c>
      <c r="O29" s="18">
        <f>IF($Z29="","",IF(AND(DATE($AD29,6,1)&gt;=$AE29,DATE($AD29,6,1)&lt;=$AF29),ROUND($AG29,2),0))</f>
        <v/>
      </c>
      <c r="P29" s="18">
        <f>IF($Z29="","",IF(AND(DATE($AD29,7,1)&gt;=$AE29,DATE($AD29,7,1)&lt;=$AF29),ROUND($AG29,2),0))</f>
        <v/>
      </c>
      <c r="Q29" s="18">
        <f>IF($Z29="","",IF(AND(DATE($AD29,8,1)&gt;=$AE29,DATE($AD29,8,1)&lt;=$AF29),ROUND($AG29,2),0))</f>
        <v/>
      </c>
      <c r="R29" s="18">
        <f>IF($Z29="","",IF(AND(DATE($AD29,9,1)&gt;=$AE29,DATE($AD29,9,1)&lt;=$AF29),ROUND($AG29,2),0))</f>
        <v/>
      </c>
      <c r="S29" s="18">
        <f>IF($Z29="","",IF(AND(DATE($AD29,10,1)&gt;=$AE29,DATE($AD29,10,1)&lt;=$AF29),ROUND($AG29,2),0))</f>
        <v/>
      </c>
      <c r="T29" s="18">
        <f>IF($Z29="","",IF(AND(DATE($AD29,11,1)&gt;=$AE29,DATE($AD29,11,1)&lt;=$AF29),ROUND($AG29,2),0))</f>
        <v/>
      </c>
      <c r="U29" s="18">
        <f>IF($Z29="","",IF(AND(DATE($AD29,12,1)&gt;=$AE29,DATE($AD29,12,1)&lt;=$AF29),ROUND($AG29,2),0))</f>
        <v/>
      </c>
      <c r="V29" s="7">
        <f>IF($Z29="C","Generated from "&amp;INDEX(Contracts!$A$2:$A$151,$AB29),IF($Z29="A","Generated from "&amp;INDEX(Fixed_Assets!$A$2:$A$201,$AB29),IF($Z29="F","Generated from "&amp;INDEX(FTE_Allocation!$A$2:$A$201,$AB29),"")))</f>
        <v/>
      </c>
      <c r="X29" s="19">
        <f>IF($Z29="","",SUM(J29:U29))</f>
        <v/>
      </c>
      <c r="Y29" s="20">
        <f>ROW()-1</f>
        <v/>
      </c>
      <c r="Z29" s="20">
        <f>IF($Y29&lt;=Settings!$B$4*3,"C",IF($Y29&lt;=(Settings!$B$4+Settings!$B$5)*3,"A",IF($Y29&lt;=(Settings!$B$4+Settings!$B$5+Settings!$B$6)*3,"F","")))</f>
        <v/>
      </c>
      <c r="AA29" s="20">
        <f>IF($Z29="C",$Y29,IF($Z29="A",$Y29-Settings!$B$4*3,IF($Z29="F",$Y29-(Settings!$B$4+Settings!$B$5)*3,"")))</f>
        <v/>
      </c>
      <c r="AB29" s="20">
        <f>IF($Z29="","",INT(($AA29-1)/3)+1)</f>
        <v/>
      </c>
      <c r="AC29" s="20">
        <f>IF($Z29="","",MOD($AA29-1,3)+1)</f>
        <v/>
      </c>
      <c r="AD29" s="20">
        <f>IF($Z29="","",Settings!$B$2+$AC29-1)</f>
        <v/>
      </c>
      <c r="AE29" s="21">
        <f>IF($Z29="C",DATE(YEAR(INDEX(Contracts!$J$2:$J$151,$AB29)),MONTH(INDEX(Contracts!$J$2:$J$151,$AB29)),1),IF($Z29="A",DATE(YEAR(INDEX(Fixed_Assets!$G$2:$G$201,$AB29)),MONTH(INDEX(Fixed_Assets!$G$2:$G$201,$AB29)),1),IF($Z29="F",DATE(YEAR(MAX(N(INDEX(Workforce!$I$2:$I$151,MATCH(INDEX(FTE_Allocation!$A$2:$A$201,$AB29),Workforce!$A$2:$A$151,0))),N(INDEX(FTE_Allocation!$I$2:$I$201,$AB29)))),MONTH(MAX(N(INDEX(Workforce!$I$2:$I$151,MATCH(INDEX(FTE_Allocation!$A$2:$A$201,$AB29),Workforce!$A$2:$A$151,0))),N(INDEX(FTE_Allocation!$I$2:$I$201,$AB29)))),1),"")))</f>
        <v/>
      </c>
      <c r="AF29" s="21">
        <f>IF($Z29="C",IF(INDEX(Contracts!$I$2:$I$151,$AB29)="PREPAID",EDATE(DATE(YEAR(INDEX(Contracts!$J$2:$J$151,$AB29)),MONTH(INDEX(Contracts!$J$2:$J$151,$AB29)),1),IF(INDEX(Contracts!$N$2:$N$151,$AB29)="",12,INDEX(Contracts!$N$2:$N$151,$AB29))-1),IF(INDEX(Contracts!$I$2:$I$151,$AB29)="MONTHLY",IF(INDEX(Contracts!$K$2:$K$151,$AB29)="",2958101,INDEX(Contracts!$K$2:$K$151,$AB29)),0)),IF($Z29="A",EDATE(DATE(YEAR(INDEX(Fixed_Assets!$G$2:$G$201,$AB29)),MONTH(INDEX(Fixed_Assets!$G$2:$G$201,$AB29)),1),INDEX(Fixed_Assets!$J$2:$J$201,$AB29)-1),IF($Z29="F",MIN(IF(INDEX(Workforce!$J$2:$J$151,MATCH(INDEX(FTE_Allocation!$A$2:$A$201,$AB29),Workforce!$A$2:$A$151,0))="",2958101,INDEX(Workforce!$J$2:$J$151,MATCH(INDEX(FTE_Allocation!$A$2:$A$201,$AB29),Workforce!$A$2:$A$151,0))),IF(INDEX(FTE_Allocation!$J$2:$J$201,$AB29)="",2958101,INDEX(FTE_Allocation!$J$2:$J$201,$AB29))),"")))</f>
        <v/>
      </c>
      <c r="AG29" s="19">
        <f>IF($Z29="C",IF(INDEX(Contracts!$I$2:$I$151,$AB29)="PREPAID",INDEX(Contracts!$M$2:$M$151,$AB29)/IF(INDEX(Contracts!$N$2:$N$151,$AB29)="",12,INDEX(Contracts!$N$2:$N$151,$AB29)),IF(INDEX(Contracts!$I$2:$I$151,$AB29)="MONTHLY",INDEX(Contracts!$M$2:$M$151,$AB29),0))*(1-N(INDEX(Contracts!$O$2:$O$151,$AB29))),IF($Z29="A",INDEX(Fixed_Assets!$H$2:$H$201,$AB29)/INDEX(Fixed_Assets!$J$2:$J$201,$AB29),IF($Z29="F",INDEX(Workforce!$F$2:$F$151,MATCH(INDEX(FTE_Allocation!$A$2:$A$201,$AB29),Workforce!$A$2:$A$151,0))*N(INDEX(FTE_Allocation!$F$2:$H$201,$AB29,$AC29)),"")))</f>
        <v/>
      </c>
    </row>
    <row r="30">
      <c r="A30" s="7">
        <f>IF($Z30="","",$AD30)</f>
        <v/>
      </c>
      <c r="B30" s="7">
        <f>IF($Z30="C",INDEX(Contracts!$D$2:$D$151,$AB30)&amp;"",IF($Z30="A",INDEX(Fixed_Assets!$C$2:$C$201,$AB30)&amp;"",IF($Z30="F",INDEX(Workforce!$B$2:$B$151,MATCH(INDEX(FTE_Allocation!$A$2:$A$201,$AB30),Workforce!$A$2:$A$151,0))&amp;"","")))</f>
        <v/>
      </c>
      <c r="C30" s="7">
        <f>IF($Z30="C",INDEX(Contracts!$E$2:$E$151,$AB30)&amp;"",IF($Z30="A",INDEX(Fixed_Assets!$D$2:$D$201,$AB30)&amp;"",IF($Z30="F",INDEX(FTE_Allocation!$C$2:$C$201,$AB30)&amp;"","")))</f>
        <v/>
      </c>
      <c r="D30" s="7">
        <f>IF($Z30="C",INDEX(Contracts!$B$2:$B$151,$AB30)&amp;"",IF($Z30="A",INDEX(Fixed_Assets!$B$2:$B$201,$AB30)&amp;"",IF($Z30="F",INDEX(FTE_Allocation!$B$2:$B$201,$AB30)&amp;"","")))</f>
        <v/>
      </c>
      <c r="E30" s="7">
        <f>IF($Z30="C",INDEX(Contracts!$P$2:$P$151,$AB30)&amp;"",IF($Z30="A",INDEX(Fixed_Assets!$K$2:$K$201,$AB30)&amp;"",IF($Z30="F",IF(INDEX(FTE_Allocation!$D$2:$D$201,$AB30)="PROJECT",IFERROR(INDEX(Projects!$D:$D,MATCH(INDEX(FTE_Allocation!$E$2:$E$201,$AB30),Projects!$A:$A,0))&amp;"","#PROJECT?"),INDEX(FTE_Allocation!$E$2:$E$201,$AB30)&amp;""),"")))</f>
        <v/>
      </c>
      <c r="F30" s="7">
        <f>IF($Z30="C",INDEX(Contracts!$Q$2:$Q$151,$AB30)&amp;"",IF($Z30="A",INDEX(Fixed_Assets!$L$2:$L$201,$AB30)&amp;"",IF($Z30="F",INDEX(Workforce!$K$2:$K$151,MATCH(INDEX(FTE_Allocation!$A$2:$A$201,$AB30),Workforce!$A$2:$A$151,0))&amp;"","")))</f>
        <v/>
      </c>
      <c r="G30" s="7">
        <f>IF($Z30="C",INDEX(Contracts!$F$2:$F$151,$AB30)&amp;" / "&amp;INDEX(Contracts!$G$2:$G$151,$AB30),IF($Z30="A",INDEX(Fixed_Assets!$E$2:$E$201,$AB30)&amp;"",IF($Z30="F","Personnel "&amp;INDEX(FTE_Allocation!$A$2:$A$201,$AB30)&amp;IF(INDEX(FTE_Allocation!$D$2:$D$201,$AB30)="PROJECT"," ("&amp;INDEX(FTE_Allocation!$E$2:$E$201,$AB30)&amp;")",""),"")))</f>
        <v/>
      </c>
      <c r="H30" s="7">
        <f>IF($Z30="C","CONTRACT",IF($Z30="A","ASSET",IF($Z30="F","WORKFORCE","")))</f>
        <v/>
      </c>
      <c r="I30" s="7">
        <f>IF($Z30="C",INDEX(Contracts!$L$2:$L$151,$AB30)&amp;"",IF($Z30="A",INDEX(Fixed_Assets!$I$2:$I$201,$AB30)&amp;"",IF($Z30="F",INDEX(Workforce!$G$2:$G$151,MATCH(INDEX(FTE_Allocation!$A$2:$A$201,$AB30),Workforce!$A$2:$A$151,0))&amp;"","")))</f>
        <v/>
      </c>
      <c r="J30" s="18">
        <f>IF($Z30="","",IF(AND(DATE($AD30,1,1)&gt;=$AE30,DATE($AD30,1,1)&lt;=$AF30),ROUND($AG30,2),0))</f>
        <v/>
      </c>
      <c r="K30" s="18">
        <f>IF($Z30="","",IF(AND(DATE($AD30,2,1)&gt;=$AE30,DATE($AD30,2,1)&lt;=$AF30),ROUND($AG30,2),0))</f>
        <v/>
      </c>
      <c r="L30" s="18">
        <f>IF($Z30="","",IF(AND(DATE($AD30,3,1)&gt;=$AE30,DATE($AD30,3,1)&lt;=$AF30),ROUND($AG30,2),0))</f>
        <v/>
      </c>
      <c r="M30" s="18">
        <f>IF($Z30="","",IF(AND(DATE($AD30,4,1)&gt;=$AE30,DATE($AD30,4,1)&lt;=$AF30),ROUND($AG30,2),0))</f>
        <v/>
      </c>
      <c r="N30" s="18">
        <f>IF($Z30="","",IF(AND(DATE($AD30,5,1)&gt;=$AE30,DATE($AD30,5,1)&lt;=$AF30),ROUND($AG30,2),0))</f>
        <v/>
      </c>
      <c r="O30" s="18">
        <f>IF($Z30="","",IF(AND(DATE($AD30,6,1)&gt;=$AE30,DATE($AD30,6,1)&lt;=$AF30),ROUND($AG30,2),0))</f>
        <v/>
      </c>
      <c r="P30" s="18">
        <f>IF($Z30="","",IF(AND(DATE($AD30,7,1)&gt;=$AE30,DATE($AD30,7,1)&lt;=$AF30),ROUND($AG30,2),0))</f>
        <v/>
      </c>
      <c r="Q30" s="18">
        <f>IF($Z30="","",IF(AND(DATE($AD30,8,1)&gt;=$AE30,DATE($AD30,8,1)&lt;=$AF30),ROUND($AG30,2),0))</f>
        <v/>
      </c>
      <c r="R30" s="18">
        <f>IF($Z30="","",IF(AND(DATE($AD30,9,1)&gt;=$AE30,DATE($AD30,9,1)&lt;=$AF30),ROUND($AG30,2),0))</f>
        <v/>
      </c>
      <c r="S30" s="18">
        <f>IF($Z30="","",IF(AND(DATE($AD30,10,1)&gt;=$AE30,DATE($AD30,10,1)&lt;=$AF30),ROUND($AG30,2),0))</f>
        <v/>
      </c>
      <c r="T30" s="18">
        <f>IF($Z30="","",IF(AND(DATE($AD30,11,1)&gt;=$AE30,DATE($AD30,11,1)&lt;=$AF30),ROUND($AG30,2),0))</f>
        <v/>
      </c>
      <c r="U30" s="18">
        <f>IF($Z30="","",IF(AND(DATE($AD30,12,1)&gt;=$AE30,DATE($AD30,12,1)&lt;=$AF30),ROUND($AG30,2),0))</f>
        <v/>
      </c>
      <c r="V30" s="7">
        <f>IF($Z30="C","Generated from "&amp;INDEX(Contracts!$A$2:$A$151,$AB30),IF($Z30="A","Generated from "&amp;INDEX(Fixed_Assets!$A$2:$A$201,$AB30),IF($Z30="F","Generated from "&amp;INDEX(FTE_Allocation!$A$2:$A$201,$AB30),"")))</f>
        <v/>
      </c>
      <c r="X30" s="19">
        <f>IF($Z30="","",SUM(J30:U30))</f>
        <v/>
      </c>
      <c r="Y30" s="20">
        <f>ROW()-1</f>
        <v/>
      </c>
      <c r="Z30" s="20">
        <f>IF($Y30&lt;=Settings!$B$4*3,"C",IF($Y30&lt;=(Settings!$B$4+Settings!$B$5)*3,"A",IF($Y30&lt;=(Settings!$B$4+Settings!$B$5+Settings!$B$6)*3,"F","")))</f>
        <v/>
      </c>
      <c r="AA30" s="20">
        <f>IF($Z30="C",$Y30,IF($Z30="A",$Y30-Settings!$B$4*3,IF($Z30="F",$Y30-(Settings!$B$4+Settings!$B$5)*3,"")))</f>
        <v/>
      </c>
      <c r="AB30" s="20">
        <f>IF($Z30="","",INT(($AA30-1)/3)+1)</f>
        <v/>
      </c>
      <c r="AC30" s="20">
        <f>IF($Z30="","",MOD($AA30-1,3)+1)</f>
        <v/>
      </c>
      <c r="AD30" s="20">
        <f>IF($Z30="","",Settings!$B$2+$AC30-1)</f>
        <v/>
      </c>
      <c r="AE30" s="21">
        <f>IF($Z30="C",DATE(YEAR(INDEX(Contracts!$J$2:$J$151,$AB30)),MONTH(INDEX(Contracts!$J$2:$J$151,$AB30)),1),IF($Z30="A",DATE(YEAR(INDEX(Fixed_Assets!$G$2:$G$201,$AB30)),MONTH(INDEX(Fixed_Assets!$G$2:$G$201,$AB30)),1),IF($Z30="F",DATE(YEAR(MAX(N(INDEX(Workforce!$I$2:$I$151,MATCH(INDEX(FTE_Allocation!$A$2:$A$201,$AB30),Workforce!$A$2:$A$151,0))),N(INDEX(FTE_Allocation!$I$2:$I$201,$AB30)))),MONTH(MAX(N(INDEX(Workforce!$I$2:$I$151,MATCH(INDEX(FTE_Allocation!$A$2:$A$201,$AB30),Workforce!$A$2:$A$151,0))),N(INDEX(FTE_Allocation!$I$2:$I$201,$AB30)))),1),"")))</f>
        <v/>
      </c>
      <c r="AF30" s="21">
        <f>IF($Z30="C",IF(INDEX(Contracts!$I$2:$I$151,$AB30)="PREPAID",EDATE(DATE(YEAR(INDEX(Contracts!$J$2:$J$151,$AB30)),MONTH(INDEX(Contracts!$J$2:$J$151,$AB30)),1),IF(INDEX(Contracts!$N$2:$N$151,$AB30)="",12,INDEX(Contracts!$N$2:$N$151,$AB30))-1),IF(INDEX(Contracts!$I$2:$I$151,$AB30)="MONTHLY",IF(INDEX(Contracts!$K$2:$K$151,$AB30)="",2958101,INDEX(Contracts!$K$2:$K$151,$AB30)),0)),IF($Z30="A",EDATE(DATE(YEAR(INDEX(Fixed_Assets!$G$2:$G$201,$AB30)),MONTH(INDEX(Fixed_Assets!$G$2:$G$201,$AB30)),1),INDEX(Fixed_Assets!$J$2:$J$201,$AB30)-1),IF($Z30="F",MIN(IF(INDEX(Workforce!$J$2:$J$151,MATCH(INDEX(FTE_Allocation!$A$2:$A$201,$AB30),Workforce!$A$2:$A$151,0))="",2958101,INDEX(Workforce!$J$2:$J$151,MATCH(INDEX(FTE_Allocation!$A$2:$A$201,$AB30),Workforce!$A$2:$A$151,0))),IF(INDEX(FTE_Allocation!$J$2:$J$201,$AB30)="",2958101,INDEX(FTE_Allocation!$J$2:$J$201,$AB30))),"")))</f>
        <v/>
      </c>
      <c r="AG30" s="19">
        <f>IF($Z30="C",IF(INDEX(Contracts!$I$2:$I$151,$AB30)="PREPAID",INDEX(Contracts!$M$2:$M$151,$AB30)/IF(INDEX(Contracts!$N$2:$N$151,$AB30)="",12,INDEX(Contracts!$N$2:$N$151,$AB30)),IF(INDEX(Contracts!$I$2:$I$151,$AB30)="MONTHLY",INDEX(Contracts!$M$2:$M$151,$AB30),0))*(1-N(INDEX(Contracts!$O$2:$O$151,$AB30))),IF($Z30="A",INDEX(Fixed_Assets!$H$2:$H$201,$AB30)/INDEX(Fixed_Assets!$J$2:$J$201,$AB30),IF($Z30="F",INDEX(Workforce!$F$2:$F$151,MATCH(INDEX(FTE_Allocation!$A$2:$A$201,$AB30),Workforce!$A$2:$A$151,0))*N(INDEX(FTE_Allocation!$F$2:$H$201,$AB30,$AC30)),"")))</f>
        <v/>
      </c>
    </row>
    <row r="31">
      <c r="A31" s="7">
        <f>IF($Z31="","",$AD31)</f>
        <v/>
      </c>
      <c r="B31" s="7">
        <f>IF($Z31="C",INDEX(Contracts!$D$2:$D$151,$AB31)&amp;"",IF($Z31="A",INDEX(Fixed_Assets!$C$2:$C$201,$AB31)&amp;"",IF($Z31="F",INDEX(Workforce!$B$2:$B$151,MATCH(INDEX(FTE_Allocation!$A$2:$A$201,$AB31),Workforce!$A$2:$A$151,0))&amp;"","")))</f>
        <v/>
      </c>
      <c r="C31" s="7">
        <f>IF($Z31="C",INDEX(Contracts!$E$2:$E$151,$AB31)&amp;"",IF($Z31="A",INDEX(Fixed_Assets!$D$2:$D$201,$AB31)&amp;"",IF($Z31="F",INDEX(FTE_Allocation!$C$2:$C$201,$AB31)&amp;"","")))</f>
        <v/>
      </c>
      <c r="D31" s="7">
        <f>IF($Z31="C",INDEX(Contracts!$B$2:$B$151,$AB31)&amp;"",IF($Z31="A",INDEX(Fixed_Assets!$B$2:$B$201,$AB31)&amp;"",IF($Z31="F",INDEX(FTE_Allocation!$B$2:$B$201,$AB31)&amp;"","")))</f>
        <v/>
      </c>
      <c r="E31" s="7">
        <f>IF($Z31="C",INDEX(Contracts!$P$2:$P$151,$AB31)&amp;"",IF($Z31="A",INDEX(Fixed_Assets!$K$2:$K$201,$AB31)&amp;"",IF($Z31="F",IF(INDEX(FTE_Allocation!$D$2:$D$201,$AB31)="PROJECT",IFERROR(INDEX(Projects!$D:$D,MATCH(INDEX(FTE_Allocation!$E$2:$E$201,$AB31),Projects!$A:$A,0))&amp;"","#PROJECT?"),INDEX(FTE_Allocation!$E$2:$E$201,$AB31)&amp;""),"")))</f>
        <v/>
      </c>
      <c r="F31" s="7">
        <f>IF($Z31="C",INDEX(Contracts!$Q$2:$Q$151,$AB31)&amp;"",IF($Z31="A",INDEX(Fixed_Assets!$L$2:$L$201,$AB31)&amp;"",IF($Z31="F",INDEX(Workforce!$K$2:$K$151,MATCH(INDEX(FTE_Allocation!$A$2:$A$201,$AB31),Workforce!$A$2:$A$151,0))&amp;"","")))</f>
        <v/>
      </c>
      <c r="G31" s="7">
        <f>IF($Z31="C",INDEX(Contracts!$F$2:$F$151,$AB31)&amp;" / "&amp;INDEX(Contracts!$G$2:$G$151,$AB31),IF($Z31="A",INDEX(Fixed_Assets!$E$2:$E$201,$AB31)&amp;"",IF($Z31="F","Personnel "&amp;INDEX(FTE_Allocation!$A$2:$A$201,$AB31)&amp;IF(INDEX(FTE_Allocation!$D$2:$D$201,$AB31)="PROJECT"," ("&amp;INDEX(FTE_Allocation!$E$2:$E$201,$AB31)&amp;")",""),"")))</f>
        <v/>
      </c>
      <c r="H31" s="7">
        <f>IF($Z31="C","CONTRACT",IF($Z31="A","ASSET",IF($Z31="F","WORKFORCE","")))</f>
        <v/>
      </c>
      <c r="I31" s="7">
        <f>IF($Z31="C",INDEX(Contracts!$L$2:$L$151,$AB31)&amp;"",IF($Z31="A",INDEX(Fixed_Assets!$I$2:$I$201,$AB31)&amp;"",IF($Z31="F",INDEX(Workforce!$G$2:$G$151,MATCH(INDEX(FTE_Allocation!$A$2:$A$201,$AB31),Workforce!$A$2:$A$151,0))&amp;"","")))</f>
        <v/>
      </c>
      <c r="J31" s="18">
        <f>IF($Z31="","",IF(AND(DATE($AD31,1,1)&gt;=$AE31,DATE($AD31,1,1)&lt;=$AF31),ROUND($AG31,2),0))</f>
        <v/>
      </c>
      <c r="K31" s="18">
        <f>IF($Z31="","",IF(AND(DATE($AD31,2,1)&gt;=$AE31,DATE($AD31,2,1)&lt;=$AF31),ROUND($AG31,2),0))</f>
        <v/>
      </c>
      <c r="L31" s="18">
        <f>IF($Z31="","",IF(AND(DATE($AD31,3,1)&gt;=$AE31,DATE($AD31,3,1)&lt;=$AF31),ROUND($AG31,2),0))</f>
        <v/>
      </c>
      <c r="M31" s="18">
        <f>IF($Z31="","",IF(AND(DATE($AD31,4,1)&gt;=$AE31,DATE($AD31,4,1)&lt;=$AF31),ROUND($AG31,2),0))</f>
        <v/>
      </c>
      <c r="N31" s="18">
        <f>IF($Z31="","",IF(AND(DATE($AD31,5,1)&gt;=$AE31,DATE($AD31,5,1)&lt;=$AF31),ROUND($AG31,2),0))</f>
        <v/>
      </c>
      <c r="O31" s="18">
        <f>IF($Z31="","",IF(AND(DATE($AD31,6,1)&gt;=$AE31,DATE($AD31,6,1)&lt;=$AF31),ROUND($AG31,2),0))</f>
        <v/>
      </c>
      <c r="P31" s="18">
        <f>IF($Z31="","",IF(AND(DATE($AD31,7,1)&gt;=$AE31,DATE($AD31,7,1)&lt;=$AF31),ROUND($AG31,2),0))</f>
        <v/>
      </c>
      <c r="Q31" s="18">
        <f>IF($Z31="","",IF(AND(DATE($AD31,8,1)&gt;=$AE31,DATE($AD31,8,1)&lt;=$AF31),ROUND($AG31,2),0))</f>
        <v/>
      </c>
      <c r="R31" s="18">
        <f>IF($Z31="","",IF(AND(DATE($AD31,9,1)&gt;=$AE31,DATE($AD31,9,1)&lt;=$AF31),ROUND($AG31,2),0))</f>
        <v/>
      </c>
      <c r="S31" s="18">
        <f>IF($Z31="","",IF(AND(DATE($AD31,10,1)&gt;=$AE31,DATE($AD31,10,1)&lt;=$AF31),ROUND($AG31,2),0))</f>
        <v/>
      </c>
      <c r="T31" s="18">
        <f>IF($Z31="","",IF(AND(DATE($AD31,11,1)&gt;=$AE31,DATE($AD31,11,1)&lt;=$AF31),ROUND($AG31,2),0))</f>
        <v/>
      </c>
      <c r="U31" s="18">
        <f>IF($Z31="","",IF(AND(DATE($AD31,12,1)&gt;=$AE31,DATE($AD31,12,1)&lt;=$AF31),ROUND($AG31,2),0))</f>
        <v/>
      </c>
      <c r="V31" s="7">
        <f>IF($Z31="C","Generated from "&amp;INDEX(Contracts!$A$2:$A$151,$AB31),IF($Z31="A","Generated from "&amp;INDEX(Fixed_Assets!$A$2:$A$201,$AB31),IF($Z31="F","Generated from "&amp;INDEX(FTE_Allocation!$A$2:$A$201,$AB31),"")))</f>
        <v/>
      </c>
      <c r="X31" s="19">
        <f>IF($Z31="","",SUM(J31:U31))</f>
        <v/>
      </c>
      <c r="Y31" s="20">
        <f>ROW()-1</f>
        <v/>
      </c>
      <c r="Z31" s="20">
        <f>IF($Y31&lt;=Settings!$B$4*3,"C",IF($Y31&lt;=(Settings!$B$4+Settings!$B$5)*3,"A",IF($Y31&lt;=(Settings!$B$4+Settings!$B$5+Settings!$B$6)*3,"F","")))</f>
        <v/>
      </c>
      <c r="AA31" s="20">
        <f>IF($Z31="C",$Y31,IF($Z31="A",$Y31-Settings!$B$4*3,IF($Z31="F",$Y31-(Settings!$B$4+Settings!$B$5)*3,"")))</f>
        <v/>
      </c>
      <c r="AB31" s="20">
        <f>IF($Z31="","",INT(($AA31-1)/3)+1)</f>
        <v/>
      </c>
      <c r="AC31" s="20">
        <f>IF($Z31="","",MOD($AA31-1,3)+1)</f>
        <v/>
      </c>
      <c r="AD31" s="20">
        <f>IF($Z31="","",Settings!$B$2+$AC31-1)</f>
        <v/>
      </c>
      <c r="AE31" s="21">
        <f>IF($Z31="C",DATE(YEAR(INDEX(Contracts!$J$2:$J$151,$AB31)),MONTH(INDEX(Contracts!$J$2:$J$151,$AB31)),1),IF($Z31="A",DATE(YEAR(INDEX(Fixed_Assets!$G$2:$G$201,$AB31)),MONTH(INDEX(Fixed_Assets!$G$2:$G$201,$AB31)),1),IF($Z31="F",DATE(YEAR(MAX(N(INDEX(Workforce!$I$2:$I$151,MATCH(INDEX(FTE_Allocation!$A$2:$A$201,$AB31),Workforce!$A$2:$A$151,0))),N(INDEX(FTE_Allocation!$I$2:$I$201,$AB31)))),MONTH(MAX(N(INDEX(Workforce!$I$2:$I$151,MATCH(INDEX(FTE_Allocation!$A$2:$A$201,$AB31),Workforce!$A$2:$A$151,0))),N(INDEX(FTE_Allocation!$I$2:$I$201,$AB31)))),1),"")))</f>
        <v/>
      </c>
      <c r="AF31" s="21">
        <f>IF($Z31="C",IF(INDEX(Contracts!$I$2:$I$151,$AB31)="PREPAID",EDATE(DATE(YEAR(INDEX(Contracts!$J$2:$J$151,$AB31)),MONTH(INDEX(Contracts!$J$2:$J$151,$AB31)),1),IF(INDEX(Contracts!$N$2:$N$151,$AB31)="",12,INDEX(Contracts!$N$2:$N$151,$AB31))-1),IF(INDEX(Contracts!$I$2:$I$151,$AB31)="MONTHLY",IF(INDEX(Contracts!$K$2:$K$151,$AB31)="",2958101,INDEX(Contracts!$K$2:$K$151,$AB31)),0)),IF($Z31="A",EDATE(DATE(YEAR(INDEX(Fixed_Assets!$G$2:$G$201,$AB31)),MONTH(INDEX(Fixed_Assets!$G$2:$G$201,$AB31)),1),INDEX(Fixed_Assets!$J$2:$J$201,$AB31)-1),IF($Z31="F",MIN(IF(INDEX(Workforce!$J$2:$J$151,MATCH(INDEX(FTE_Allocation!$A$2:$A$201,$AB31),Workforce!$A$2:$A$151,0))="",2958101,INDEX(Workforce!$J$2:$J$151,MATCH(INDEX(FTE_Allocation!$A$2:$A$201,$AB31),Workforce!$A$2:$A$151,0))),IF(INDEX(FTE_Allocation!$J$2:$J$201,$AB31)="",2958101,INDEX(FTE_Allocation!$J$2:$J$201,$AB31))),"")))</f>
        <v/>
      </c>
      <c r="AG31" s="19">
        <f>IF($Z31="C",IF(INDEX(Contracts!$I$2:$I$151,$AB31)="PREPAID",INDEX(Contracts!$M$2:$M$151,$AB31)/IF(INDEX(Contracts!$N$2:$N$151,$AB31)="",12,INDEX(Contracts!$N$2:$N$151,$AB31)),IF(INDEX(Contracts!$I$2:$I$151,$AB31)="MONTHLY",INDEX(Contracts!$M$2:$M$151,$AB31),0))*(1-N(INDEX(Contracts!$O$2:$O$151,$AB31))),IF($Z31="A",INDEX(Fixed_Assets!$H$2:$H$201,$AB31)/INDEX(Fixed_Assets!$J$2:$J$201,$AB31),IF($Z31="F",INDEX(Workforce!$F$2:$F$151,MATCH(INDEX(FTE_Allocation!$A$2:$A$201,$AB31),Workforce!$A$2:$A$151,0))*N(INDEX(FTE_Allocation!$F$2:$H$201,$AB31,$AC31)),"")))</f>
        <v/>
      </c>
    </row>
    <row r="32">
      <c r="A32" s="7">
        <f>IF($Z32="","",$AD32)</f>
        <v/>
      </c>
      <c r="B32" s="7">
        <f>IF($Z32="C",INDEX(Contracts!$D$2:$D$151,$AB32)&amp;"",IF($Z32="A",INDEX(Fixed_Assets!$C$2:$C$201,$AB32)&amp;"",IF($Z32="F",INDEX(Workforce!$B$2:$B$151,MATCH(INDEX(FTE_Allocation!$A$2:$A$201,$AB32),Workforce!$A$2:$A$151,0))&amp;"","")))</f>
        <v/>
      </c>
      <c r="C32" s="7">
        <f>IF($Z32="C",INDEX(Contracts!$E$2:$E$151,$AB32)&amp;"",IF($Z32="A",INDEX(Fixed_Assets!$D$2:$D$201,$AB32)&amp;"",IF($Z32="F",INDEX(FTE_Allocation!$C$2:$C$201,$AB32)&amp;"","")))</f>
        <v/>
      </c>
      <c r="D32" s="7">
        <f>IF($Z32="C",INDEX(Contracts!$B$2:$B$151,$AB32)&amp;"",IF($Z32="A",INDEX(Fixed_Assets!$B$2:$B$201,$AB32)&amp;"",IF($Z32="F",INDEX(FTE_Allocation!$B$2:$B$201,$AB32)&amp;"","")))</f>
        <v/>
      </c>
      <c r="E32" s="7">
        <f>IF($Z32="C",INDEX(Contracts!$P$2:$P$151,$AB32)&amp;"",IF($Z32="A",INDEX(Fixed_Assets!$K$2:$K$201,$AB32)&amp;"",IF($Z32="F",IF(INDEX(FTE_Allocation!$D$2:$D$201,$AB32)="PROJECT",IFERROR(INDEX(Projects!$D:$D,MATCH(INDEX(FTE_Allocation!$E$2:$E$201,$AB32),Projects!$A:$A,0))&amp;"","#PROJECT?"),INDEX(FTE_Allocation!$E$2:$E$201,$AB32)&amp;""),"")))</f>
        <v/>
      </c>
      <c r="F32" s="7">
        <f>IF($Z32="C",INDEX(Contracts!$Q$2:$Q$151,$AB32)&amp;"",IF($Z32="A",INDEX(Fixed_Assets!$L$2:$L$201,$AB32)&amp;"",IF($Z32="F",INDEX(Workforce!$K$2:$K$151,MATCH(INDEX(FTE_Allocation!$A$2:$A$201,$AB32),Workforce!$A$2:$A$151,0))&amp;"","")))</f>
        <v/>
      </c>
      <c r="G32" s="7">
        <f>IF($Z32="C",INDEX(Contracts!$F$2:$F$151,$AB32)&amp;" / "&amp;INDEX(Contracts!$G$2:$G$151,$AB32),IF($Z32="A",INDEX(Fixed_Assets!$E$2:$E$201,$AB32)&amp;"",IF($Z32="F","Personnel "&amp;INDEX(FTE_Allocation!$A$2:$A$201,$AB32)&amp;IF(INDEX(FTE_Allocation!$D$2:$D$201,$AB32)="PROJECT"," ("&amp;INDEX(FTE_Allocation!$E$2:$E$201,$AB32)&amp;")",""),"")))</f>
        <v/>
      </c>
      <c r="H32" s="7">
        <f>IF($Z32="C","CONTRACT",IF($Z32="A","ASSET",IF($Z32="F","WORKFORCE","")))</f>
        <v/>
      </c>
      <c r="I32" s="7">
        <f>IF($Z32="C",INDEX(Contracts!$L$2:$L$151,$AB32)&amp;"",IF($Z32="A",INDEX(Fixed_Assets!$I$2:$I$201,$AB32)&amp;"",IF($Z32="F",INDEX(Workforce!$G$2:$G$151,MATCH(INDEX(FTE_Allocation!$A$2:$A$201,$AB32),Workforce!$A$2:$A$151,0))&amp;"","")))</f>
        <v/>
      </c>
      <c r="J32" s="18">
        <f>IF($Z32="","",IF(AND(DATE($AD32,1,1)&gt;=$AE32,DATE($AD32,1,1)&lt;=$AF32),ROUND($AG32,2),0))</f>
        <v/>
      </c>
      <c r="K32" s="18">
        <f>IF($Z32="","",IF(AND(DATE($AD32,2,1)&gt;=$AE32,DATE($AD32,2,1)&lt;=$AF32),ROUND($AG32,2),0))</f>
        <v/>
      </c>
      <c r="L32" s="18">
        <f>IF($Z32="","",IF(AND(DATE($AD32,3,1)&gt;=$AE32,DATE($AD32,3,1)&lt;=$AF32),ROUND($AG32,2),0))</f>
        <v/>
      </c>
      <c r="M32" s="18">
        <f>IF($Z32="","",IF(AND(DATE($AD32,4,1)&gt;=$AE32,DATE($AD32,4,1)&lt;=$AF32),ROUND($AG32,2),0))</f>
        <v/>
      </c>
      <c r="N32" s="18">
        <f>IF($Z32="","",IF(AND(DATE($AD32,5,1)&gt;=$AE32,DATE($AD32,5,1)&lt;=$AF32),ROUND($AG32,2),0))</f>
        <v/>
      </c>
      <c r="O32" s="18">
        <f>IF($Z32="","",IF(AND(DATE($AD32,6,1)&gt;=$AE32,DATE($AD32,6,1)&lt;=$AF32),ROUND($AG32,2),0))</f>
        <v/>
      </c>
      <c r="P32" s="18">
        <f>IF($Z32="","",IF(AND(DATE($AD32,7,1)&gt;=$AE32,DATE($AD32,7,1)&lt;=$AF32),ROUND($AG32,2),0))</f>
        <v/>
      </c>
      <c r="Q32" s="18">
        <f>IF($Z32="","",IF(AND(DATE($AD32,8,1)&gt;=$AE32,DATE($AD32,8,1)&lt;=$AF32),ROUND($AG32,2),0))</f>
        <v/>
      </c>
      <c r="R32" s="18">
        <f>IF($Z32="","",IF(AND(DATE($AD32,9,1)&gt;=$AE32,DATE($AD32,9,1)&lt;=$AF32),ROUND($AG32,2),0))</f>
        <v/>
      </c>
      <c r="S32" s="18">
        <f>IF($Z32="","",IF(AND(DATE($AD32,10,1)&gt;=$AE32,DATE($AD32,10,1)&lt;=$AF32),ROUND($AG32,2),0))</f>
        <v/>
      </c>
      <c r="T32" s="18">
        <f>IF($Z32="","",IF(AND(DATE($AD32,11,1)&gt;=$AE32,DATE($AD32,11,1)&lt;=$AF32),ROUND($AG32,2),0))</f>
        <v/>
      </c>
      <c r="U32" s="18">
        <f>IF($Z32="","",IF(AND(DATE($AD32,12,1)&gt;=$AE32,DATE($AD32,12,1)&lt;=$AF32),ROUND($AG32,2),0))</f>
        <v/>
      </c>
      <c r="V32" s="7">
        <f>IF($Z32="C","Generated from "&amp;INDEX(Contracts!$A$2:$A$151,$AB32),IF($Z32="A","Generated from "&amp;INDEX(Fixed_Assets!$A$2:$A$201,$AB32),IF($Z32="F","Generated from "&amp;INDEX(FTE_Allocation!$A$2:$A$201,$AB32),"")))</f>
        <v/>
      </c>
      <c r="X32" s="19">
        <f>IF($Z32="","",SUM(J32:U32))</f>
        <v/>
      </c>
      <c r="Y32" s="20">
        <f>ROW()-1</f>
        <v/>
      </c>
      <c r="Z32" s="20">
        <f>IF($Y32&lt;=Settings!$B$4*3,"C",IF($Y32&lt;=(Settings!$B$4+Settings!$B$5)*3,"A",IF($Y32&lt;=(Settings!$B$4+Settings!$B$5+Settings!$B$6)*3,"F","")))</f>
        <v/>
      </c>
      <c r="AA32" s="20">
        <f>IF($Z32="C",$Y32,IF($Z32="A",$Y32-Settings!$B$4*3,IF($Z32="F",$Y32-(Settings!$B$4+Settings!$B$5)*3,"")))</f>
        <v/>
      </c>
      <c r="AB32" s="20">
        <f>IF($Z32="","",INT(($AA32-1)/3)+1)</f>
        <v/>
      </c>
      <c r="AC32" s="20">
        <f>IF($Z32="","",MOD($AA32-1,3)+1)</f>
        <v/>
      </c>
      <c r="AD32" s="20">
        <f>IF($Z32="","",Settings!$B$2+$AC32-1)</f>
        <v/>
      </c>
      <c r="AE32" s="21">
        <f>IF($Z32="C",DATE(YEAR(INDEX(Contracts!$J$2:$J$151,$AB32)),MONTH(INDEX(Contracts!$J$2:$J$151,$AB32)),1),IF($Z32="A",DATE(YEAR(INDEX(Fixed_Assets!$G$2:$G$201,$AB32)),MONTH(INDEX(Fixed_Assets!$G$2:$G$201,$AB32)),1),IF($Z32="F",DATE(YEAR(MAX(N(INDEX(Workforce!$I$2:$I$151,MATCH(INDEX(FTE_Allocation!$A$2:$A$201,$AB32),Workforce!$A$2:$A$151,0))),N(INDEX(FTE_Allocation!$I$2:$I$201,$AB32)))),MONTH(MAX(N(INDEX(Workforce!$I$2:$I$151,MATCH(INDEX(FTE_Allocation!$A$2:$A$201,$AB32),Workforce!$A$2:$A$151,0))),N(INDEX(FTE_Allocation!$I$2:$I$201,$AB32)))),1),"")))</f>
        <v/>
      </c>
      <c r="AF32" s="21">
        <f>IF($Z32="C",IF(INDEX(Contracts!$I$2:$I$151,$AB32)="PREPAID",EDATE(DATE(YEAR(INDEX(Contracts!$J$2:$J$151,$AB32)),MONTH(INDEX(Contracts!$J$2:$J$151,$AB32)),1),IF(INDEX(Contracts!$N$2:$N$151,$AB32)="",12,INDEX(Contracts!$N$2:$N$151,$AB32))-1),IF(INDEX(Contracts!$I$2:$I$151,$AB32)="MONTHLY",IF(INDEX(Contracts!$K$2:$K$151,$AB32)="",2958101,INDEX(Contracts!$K$2:$K$151,$AB32)),0)),IF($Z32="A",EDATE(DATE(YEAR(INDEX(Fixed_Assets!$G$2:$G$201,$AB32)),MONTH(INDEX(Fixed_Assets!$G$2:$G$201,$AB32)),1),INDEX(Fixed_Assets!$J$2:$J$201,$AB32)-1),IF($Z32="F",MIN(IF(INDEX(Workforce!$J$2:$J$151,MATCH(INDEX(FTE_Allocation!$A$2:$A$201,$AB32),Workforce!$A$2:$A$151,0))="",2958101,INDEX(Workforce!$J$2:$J$151,MATCH(INDEX(FTE_Allocation!$A$2:$A$201,$AB32),Workforce!$A$2:$A$151,0))),IF(INDEX(FTE_Allocation!$J$2:$J$201,$AB32)="",2958101,INDEX(FTE_Allocation!$J$2:$J$201,$AB32))),"")))</f>
        <v/>
      </c>
      <c r="AG32" s="19">
        <f>IF($Z32="C",IF(INDEX(Contracts!$I$2:$I$151,$AB32)="PREPAID",INDEX(Contracts!$M$2:$M$151,$AB32)/IF(INDEX(Contracts!$N$2:$N$151,$AB32)="",12,INDEX(Contracts!$N$2:$N$151,$AB32)),IF(INDEX(Contracts!$I$2:$I$151,$AB32)="MONTHLY",INDEX(Contracts!$M$2:$M$151,$AB32),0))*(1-N(INDEX(Contracts!$O$2:$O$151,$AB32))),IF($Z32="A",INDEX(Fixed_Assets!$H$2:$H$201,$AB32)/INDEX(Fixed_Assets!$J$2:$J$201,$AB32),IF($Z32="F",INDEX(Workforce!$F$2:$F$151,MATCH(INDEX(FTE_Allocation!$A$2:$A$201,$AB32),Workforce!$A$2:$A$151,0))*N(INDEX(FTE_Allocation!$F$2:$H$201,$AB32,$AC32)),"")))</f>
        <v/>
      </c>
    </row>
    <row r="33">
      <c r="A33" s="7">
        <f>IF($Z33="","",$AD33)</f>
        <v/>
      </c>
      <c r="B33" s="7">
        <f>IF($Z33="C",INDEX(Contracts!$D$2:$D$151,$AB33)&amp;"",IF($Z33="A",INDEX(Fixed_Assets!$C$2:$C$201,$AB33)&amp;"",IF($Z33="F",INDEX(Workforce!$B$2:$B$151,MATCH(INDEX(FTE_Allocation!$A$2:$A$201,$AB33),Workforce!$A$2:$A$151,0))&amp;"","")))</f>
        <v/>
      </c>
      <c r="C33" s="7">
        <f>IF($Z33="C",INDEX(Contracts!$E$2:$E$151,$AB33)&amp;"",IF($Z33="A",INDEX(Fixed_Assets!$D$2:$D$201,$AB33)&amp;"",IF($Z33="F",INDEX(FTE_Allocation!$C$2:$C$201,$AB33)&amp;"","")))</f>
        <v/>
      </c>
      <c r="D33" s="7">
        <f>IF($Z33="C",INDEX(Contracts!$B$2:$B$151,$AB33)&amp;"",IF($Z33="A",INDEX(Fixed_Assets!$B$2:$B$201,$AB33)&amp;"",IF($Z33="F",INDEX(FTE_Allocation!$B$2:$B$201,$AB33)&amp;"","")))</f>
        <v/>
      </c>
      <c r="E33" s="7">
        <f>IF($Z33="C",INDEX(Contracts!$P$2:$P$151,$AB33)&amp;"",IF($Z33="A",INDEX(Fixed_Assets!$K$2:$K$201,$AB33)&amp;"",IF($Z33="F",IF(INDEX(FTE_Allocation!$D$2:$D$201,$AB33)="PROJECT",IFERROR(INDEX(Projects!$D:$D,MATCH(INDEX(FTE_Allocation!$E$2:$E$201,$AB33),Projects!$A:$A,0))&amp;"","#PROJECT?"),INDEX(FTE_Allocation!$E$2:$E$201,$AB33)&amp;""),"")))</f>
        <v/>
      </c>
      <c r="F33" s="7">
        <f>IF($Z33="C",INDEX(Contracts!$Q$2:$Q$151,$AB33)&amp;"",IF($Z33="A",INDEX(Fixed_Assets!$L$2:$L$201,$AB33)&amp;"",IF($Z33="F",INDEX(Workforce!$K$2:$K$151,MATCH(INDEX(FTE_Allocation!$A$2:$A$201,$AB33),Workforce!$A$2:$A$151,0))&amp;"","")))</f>
        <v/>
      </c>
      <c r="G33" s="7">
        <f>IF($Z33="C",INDEX(Contracts!$F$2:$F$151,$AB33)&amp;" / "&amp;INDEX(Contracts!$G$2:$G$151,$AB33),IF($Z33="A",INDEX(Fixed_Assets!$E$2:$E$201,$AB33)&amp;"",IF($Z33="F","Personnel "&amp;INDEX(FTE_Allocation!$A$2:$A$201,$AB33)&amp;IF(INDEX(FTE_Allocation!$D$2:$D$201,$AB33)="PROJECT"," ("&amp;INDEX(FTE_Allocation!$E$2:$E$201,$AB33)&amp;")",""),"")))</f>
        <v/>
      </c>
      <c r="H33" s="7">
        <f>IF($Z33="C","CONTRACT",IF($Z33="A","ASSET",IF($Z33="F","WORKFORCE","")))</f>
        <v/>
      </c>
      <c r="I33" s="7">
        <f>IF($Z33="C",INDEX(Contracts!$L$2:$L$151,$AB33)&amp;"",IF($Z33="A",INDEX(Fixed_Assets!$I$2:$I$201,$AB33)&amp;"",IF($Z33="F",INDEX(Workforce!$G$2:$G$151,MATCH(INDEX(FTE_Allocation!$A$2:$A$201,$AB33),Workforce!$A$2:$A$151,0))&amp;"","")))</f>
        <v/>
      </c>
      <c r="J33" s="18">
        <f>IF($Z33="","",IF(AND(DATE($AD33,1,1)&gt;=$AE33,DATE($AD33,1,1)&lt;=$AF33),ROUND($AG33,2),0))</f>
        <v/>
      </c>
      <c r="K33" s="18">
        <f>IF($Z33="","",IF(AND(DATE($AD33,2,1)&gt;=$AE33,DATE($AD33,2,1)&lt;=$AF33),ROUND($AG33,2),0))</f>
        <v/>
      </c>
      <c r="L33" s="18">
        <f>IF($Z33="","",IF(AND(DATE($AD33,3,1)&gt;=$AE33,DATE($AD33,3,1)&lt;=$AF33),ROUND($AG33,2),0))</f>
        <v/>
      </c>
      <c r="M33" s="18">
        <f>IF($Z33="","",IF(AND(DATE($AD33,4,1)&gt;=$AE33,DATE($AD33,4,1)&lt;=$AF33),ROUND($AG33,2),0))</f>
        <v/>
      </c>
      <c r="N33" s="18">
        <f>IF($Z33="","",IF(AND(DATE($AD33,5,1)&gt;=$AE33,DATE($AD33,5,1)&lt;=$AF33),ROUND($AG33,2),0))</f>
        <v/>
      </c>
      <c r="O33" s="18">
        <f>IF($Z33="","",IF(AND(DATE($AD33,6,1)&gt;=$AE33,DATE($AD33,6,1)&lt;=$AF33),ROUND($AG33,2),0))</f>
        <v/>
      </c>
      <c r="P33" s="18">
        <f>IF($Z33="","",IF(AND(DATE($AD33,7,1)&gt;=$AE33,DATE($AD33,7,1)&lt;=$AF33),ROUND($AG33,2),0))</f>
        <v/>
      </c>
      <c r="Q33" s="18">
        <f>IF($Z33="","",IF(AND(DATE($AD33,8,1)&gt;=$AE33,DATE($AD33,8,1)&lt;=$AF33),ROUND($AG33,2),0))</f>
        <v/>
      </c>
      <c r="R33" s="18">
        <f>IF($Z33="","",IF(AND(DATE($AD33,9,1)&gt;=$AE33,DATE($AD33,9,1)&lt;=$AF33),ROUND($AG33,2),0))</f>
        <v/>
      </c>
      <c r="S33" s="18">
        <f>IF($Z33="","",IF(AND(DATE($AD33,10,1)&gt;=$AE33,DATE($AD33,10,1)&lt;=$AF33),ROUND($AG33,2),0))</f>
        <v/>
      </c>
      <c r="T33" s="18">
        <f>IF($Z33="","",IF(AND(DATE($AD33,11,1)&gt;=$AE33,DATE($AD33,11,1)&lt;=$AF33),ROUND($AG33,2),0))</f>
        <v/>
      </c>
      <c r="U33" s="18">
        <f>IF($Z33="","",IF(AND(DATE($AD33,12,1)&gt;=$AE33,DATE($AD33,12,1)&lt;=$AF33),ROUND($AG33,2),0))</f>
        <v/>
      </c>
      <c r="V33" s="7">
        <f>IF($Z33="C","Generated from "&amp;INDEX(Contracts!$A$2:$A$151,$AB33),IF($Z33="A","Generated from "&amp;INDEX(Fixed_Assets!$A$2:$A$201,$AB33),IF($Z33="F","Generated from "&amp;INDEX(FTE_Allocation!$A$2:$A$201,$AB33),"")))</f>
        <v/>
      </c>
      <c r="X33" s="19">
        <f>IF($Z33="","",SUM(J33:U33))</f>
        <v/>
      </c>
      <c r="Y33" s="20">
        <f>ROW()-1</f>
        <v/>
      </c>
      <c r="Z33" s="20">
        <f>IF($Y33&lt;=Settings!$B$4*3,"C",IF($Y33&lt;=(Settings!$B$4+Settings!$B$5)*3,"A",IF($Y33&lt;=(Settings!$B$4+Settings!$B$5+Settings!$B$6)*3,"F","")))</f>
        <v/>
      </c>
      <c r="AA33" s="20">
        <f>IF($Z33="C",$Y33,IF($Z33="A",$Y33-Settings!$B$4*3,IF($Z33="F",$Y33-(Settings!$B$4+Settings!$B$5)*3,"")))</f>
        <v/>
      </c>
      <c r="AB33" s="20">
        <f>IF($Z33="","",INT(($AA33-1)/3)+1)</f>
        <v/>
      </c>
      <c r="AC33" s="20">
        <f>IF($Z33="","",MOD($AA33-1,3)+1)</f>
        <v/>
      </c>
      <c r="AD33" s="20">
        <f>IF($Z33="","",Settings!$B$2+$AC33-1)</f>
        <v/>
      </c>
      <c r="AE33" s="21">
        <f>IF($Z33="C",DATE(YEAR(INDEX(Contracts!$J$2:$J$151,$AB33)),MONTH(INDEX(Contracts!$J$2:$J$151,$AB33)),1),IF($Z33="A",DATE(YEAR(INDEX(Fixed_Assets!$G$2:$G$201,$AB33)),MONTH(INDEX(Fixed_Assets!$G$2:$G$201,$AB33)),1),IF($Z33="F",DATE(YEAR(MAX(N(INDEX(Workforce!$I$2:$I$151,MATCH(INDEX(FTE_Allocation!$A$2:$A$201,$AB33),Workforce!$A$2:$A$151,0))),N(INDEX(FTE_Allocation!$I$2:$I$201,$AB33)))),MONTH(MAX(N(INDEX(Workforce!$I$2:$I$151,MATCH(INDEX(FTE_Allocation!$A$2:$A$201,$AB33),Workforce!$A$2:$A$151,0))),N(INDEX(FTE_Allocation!$I$2:$I$201,$AB33)))),1),"")))</f>
        <v/>
      </c>
      <c r="AF33" s="21">
        <f>IF($Z33="C",IF(INDEX(Contracts!$I$2:$I$151,$AB33)="PREPAID",EDATE(DATE(YEAR(INDEX(Contracts!$J$2:$J$151,$AB33)),MONTH(INDEX(Contracts!$J$2:$J$151,$AB33)),1),IF(INDEX(Contracts!$N$2:$N$151,$AB33)="",12,INDEX(Contracts!$N$2:$N$151,$AB33))-1),IF(INDEX(Contracts!$I$2:$I$151,$AB33)="MONTHLY",IF(INDEX(Contracts!$K$2:$K$151,$AB33)="",2958101,INDEX(Contracts!$K$2:$K$151,$AB33)),0)),IF($Z33="A",EDATE(DATE(YEAR(INDEX(Fixed_Assets!$G$2:$G$201,$AB33)),MONTH(INDEX(Fixed_Assets!$G$2:$G$201,$AB33)),1),INDEX(Fixed_Assets!$J$2:$J$201,$AB33)-1),IF($Z33="F",MIN(IF(INDEX(Workforce!$J$2:$J$151,MATCH(INDEX(FTE_Allocation!$A$2:$A$201,$AB33),Workforce!$A$2:$A$151,0))="",2958101,INDEX(Workforce!$J$2:$J$151,MATCH(INDEX(FTE_Allocation!$A$2:$A$201,$AB33),Workforce!$A$2:$A$151,0))),IF(INDEX(FTE_Allocation!$J$2:$J$201,$AB33)="",2958101,INDEX(FTE_Allocation!$J$2:$J$201,$AB33))),"")))</f>
        <v/>
      </c>
      <c r="AG33" s="19">
        <f>IF($Z33="C",IF(INDEX(Contracts!$I$2:$I$151,$AB33)="PREPAID",INDEX(Contracts!$M$2:$M$151,$AB33)/IF(INDEX(Contracts!$N$2:$N$151,$AB33)="",12,INDEX(Contracts!$N$2:$N$151,$AB33)),IF(INDEX(Contracts!$I$2:$I$151,$AB33)="MONTHLY",INDEX(Contracts!$M$2:$M$151,$AB33),0))*(1-N(INDEX(Contracts!$O$2:$O$151,$AB33))),IF($Z33="A",INDEX(Fixed_Assets!$H$2:$H$201,$AB33)/INDEX(Fixed_Assets!$J$2:$J$201,$AB33),IF($Z33="F",INDEX(Workforce!$F$2:$F$151,MATCH(INDEX(FTE_Allocation!$A$2:$A$201,$AB33),Workforce!$A$2:$A$151,0))*N(INDEX(FTE_Allocation!$F$2:$H$201,$AB33,$AC33)),"")))</f>
        <v/>
      </c>
    </row>
    <row r="34">
      <c r="A34" s="7">
        <f>IF($Z34="","",$AD34)</f>
        <v/>
      </c>
      <c r="B34" s="7">
        <f>IF($Z34="C",INDEX(Contracts!$D$2:$D$151,$AB34)&amp;"",IF($Z34="A",INDEX(Fixed_Assets!$C$2:$C$201,$AB34)&amp;"",IF($Z34="F",INDEX(Workforce!$B$2:$B$151,MATCH(INDEX(FTE_Allocation!$A$2:$A$201,$AB34),Workforce!$A$2:$A$151,0))&amp;"","")))</f>
        <v/>
      </c>
      <c r="C34" s="7">
        <f>IF($Z34="C",INDEX(Contracts!$E$2:$E$151,$AB34)&amp;"",IF($Z34="A",INDEX(Fixed_Assets!$D$2:$D$201,$AB34)&amp;"",IF($Z34="F",INDEX(FTE_Allocation!$C$2:$C$201,$AB34)&amp;"","")))</f>
        <v/>
      </c>
      <c r="D34" s="7">
        <f>IF($Z34="C",INDEX(Contracts!$B$2:$B$151,$AB34)&amp;"",IF($Z34="A",INDEX(Fixed_Assets!$B$2:$B$201,$AB34)&amp;"",IF($Z34="F",INDEX(FTE_Allocation!$B$2:$B$201,$AB34)&amp;"","")))</f>
        <v/>
      </c>
      <c r="E34" s="7">
        <f>IF($Z34="C",INDEX(Contracts!$P$2:$P$151,$AB34)&amp;"",IF($Z34="A",INDEX(Fixed_Assets!$K$2:$K$201,$AB34)&amp;"",IF($Z34="F",IF(INDEX(FTE_Allocation!$D$2:$D$201,$AB34)="PROJECT",IFERROR(INDEX(Projects!$D:$D,MATCH(INDEX(FTE_Allocation!$E$2:$E$201,$AB34),Projects!$A:$A,0))&amp;"","#PROJECT?"),INDEX(FTE_Allocation!$E$2:$E$201,$AB34)&amp;""),"")))</f>
        <v/>
      </c>
      <c r="F34" s="7">
        <f>IF($Z34="C",INDEX(Contracts!$Q$2:$Q$151,$AB34)&amp;"",IF($Z34="A",INDEX(Fixed_Assets!$L$2:$L$201,$AB34)&amp;"",IF($Z34="F",INDEX(Workforce!$K$2:$K$151,MATCH(INDEX(FTE_Allocation!$A$2:$A$201,$AB34),Workforce!$A$2:$A$151,0))&amp;"","")))</f>
        <v/>
      </c>
      <c r="G34" s="7">
        <f>IF($Z34="C",INDEX(Contracts!$F$2:$F$151,$AB34)&amp;" / "&amp;INDEX(Contracts!$G$2:$G$151,$AB34),IF($Z34="A",INDEX(Fixed_Assets!$E$2:$E$201,$AB34)&amp;"",IF($Z34="F","Personnel "&amp;INDEX(FTE_Allocation!$A$2:$A$201,$AB34)&amp;IF(INDEX(FTE_Allocation!$D$2:$D$201,$AB34)="PROJECT"," ("&amp;INDEX(FTE_Allocation!$E$2:$E$201,$AB34)&amp;")",""),"")))</f>
        <v/>
      </c>
      <c r="H34" s="7">
        <f>IF($Z34="C","CONTRACT",IF($Z34="A","ASSET",IF($Z34="F","WORKFORCE","")))</f>
        <v/>
      </c>
      <c r="I34" s="7">
        <f>IF($Z34="C",INDEX(Contracts!$L$2:$L$151,$AB34)&amp;"",IF($Z34="A",INDEX(Fixed_Assets!$I$2:$I$201,$AB34)&amp;"",IF($Z34="F",INDEX(Workforce!$G$2:$G$151,MATCH(INDEX(FTE_Allocation!$A$2:$A$201,$AB34),Workforce!$A$2:$A$151,0))&amp;"","")))</f>
        <v/>
      </c>
      <c r="J34" s="18">
        <f>IF($Z34="","",IF(AND(DATE($AD34,1,1)&gt;=$AE34,DATE($AD34,1,1)&lt;=$AF34),ROUND($AG34,2),0))</f>
        <v/>
      </c>
      <c r="K34" s="18">
        <f>IF($Z34="","",IF(AND(DATE($AD34,2,1)&gt;=$AE34,DATE($AD34,2,1)&lt;=$AF34),ROUND($AG34,2),0))</f>
        <v/>
      </c>
      <c r="L34" s="18">
        <f>IF($Z34="","",IF(AND(DATE($AD34,3,1)&gt;=$AE34,DATE($AD34,3,1)&lt;=$AF34),ROUND($AG34,2),0))</f>
        <v/>
      </c>
      <c r="M34" s="18">
        <f>IF($Z34="","",IF(AND(DATE($AD34,4,1)&gt;=$AE34,DATE($AD34,4,1)&lt;=$AF34),ROUND($AG34,2),0))</f>
        <v/>
      </c>
      <c r="N34" s="18">
        <f>IF($Z34="","",IF(AND(DATE($AD34,5,1)&gt;=$AE34,DATE($AD34,5,1)&lt;=$AF34),ROUND($AG34,2),0))</f>
        <v/>
      </c>
      <c r="O34" s="18">
        <f>IF($Z34="","",IF(AND(DATE($AD34,6,1)&gt;=$AE34,DATE($AD34,6,1)&lt;=$AF34),ROUND($AG34,2),0))</f>
        <v/>
      </c>
      <c r="P34" s="18">
        <f>IF($Z34="","",IF(AND(DATE($AD34,7,1)&gt;=$AE34,DATE($AD34,7,1)&lt;=$AF34),ROUND($AG34,2),0))</f>
        <v/>
      </c>
      <c r="Q34" s="18">
        <f>IF($Z34="","",IF(AND(DATE($AD34,8,1)&gt;=$AE34,DATE($AD34,8,1)&lt;=$AF34),ROUND($AG34,2),0))</f>
        <v/>
      </c>
      <c r="R34" s="18">
        <f>IF($Z34="","",IF(AND(DATE($AD34,9,1)&gt;=$AE34,DATE($AD34,9,1)&lt;=$AF34),ROUND($AG34,2),0))</f>
        <v/>
      </c>
      <c r="S34" s="18">
        <f>IF($Z34="","",IF(AND(DATE($AD34,10,1)&gt;=$AE34,DATE($AD34,10,1)&lt;=$AF34),ROUND($AG34,2),0))</f>
        <v/>
      </c>
      <c r="T34" s="18">
        <f>IF($Z34="","",IF(AND(DATE($AD34,11,1)&gt;=$AE34,DATE($AD34,11,1)&lt;=$AF34),ROUND($AG34,2),0))</f>
        <v/>
      </c>
      <c r="U34" s="18">
        <f>IF($Z34="","",IF(AND(DATE($AD34,12,1)&gt;=$AE34,DATE($AD34,12,1)&lt;=$AF34),ROUND($AG34,2),0))</f>
        <v/>
      </c>
      <c r="V34" s="7">
        <f>IF($Z34="C","Generated from "&amp;INDEX(Contracts!$A$2:$A$151,$AB34),IF($Z34="A","Generated from "&amp;INDEX(Fixed_Assets!$A$2:$A$201,$AB34),IF($Z34="F","Generated from "&amp;INDEX(FTE_Allocation!$A$2:$A$201,$AB34),"")))</f>
        <v/>
      </c>
      <c r="X34" s="19">
        <f>IF($Z34="","",SUM(J34:U34))</f>
        <v/>
      </c>
      <c r="Y34" s="20">
        <f>ROW()-1</f>
        <v/>
      </c>
      <c r="Z34" s="20">
        <f>IF($Y34&lt;=Settings!$B$4*3,"C",IF($Y34&lt;=(Settings!$B$4+Settings!$B$5)*3,"A",IF($Y34&lt;=(Settings!$B$4+Settings!$B$5+Settings!$B$6)*3,"F","")))</f>
        <v/>
      </c>
      <c r="AA34" s="20">
        <f>IF($Z34="C",$Y34,IF($Z34="A",$Y34-Settings!$B$4*3,IF($Z34="F",$Y34-(Settings!$B$4+Settings!$B$5)*3,"")))</f>
        <v/>
      </c>
      <c r="AB34" s="20">
        <f>IF($Z34="","",INT(($AA34-1)/3)+1)</f>
        <v/>
      </c>
      <c r="AC34" s="20">
        <f>IF($Z34="","",MOD($AA34-1,3)+1)</f>
        <v/>
      </c>
      <c r="AD34" s="20">
        <f>IF($Z34="","",Settings!$B$2+$AC34-1)</f>
        <v/>
      </c>
      <c r="AE34" s="21">
        <f>IF($Z34="C",DATE(YEAR(INDEX(Contracts!$J$2:$J$151,$AB34)),MONTH(INDEX(Contracts!$J$2:$J$151,$AB34)),1),IF($Z34="A",DATE(YEAR(INDEX(Fixed_Assets!$G$2:$G$201,$AB34)),MONTH(INDEX(Fixed_Assets!$G$2:$G$201,$AB34)),1),IF($Z34="F",DATE(YEAR(MAX(N(INDEX(Workforce!$I$2:$I$151,MATCH(INDEX(FTE_Allocation!$A$2:$A$201,$AB34),Workforce!$A$2:$A$151,0))),N(INDEX(FTE_Allocation!$I$2:$I$201,$AB34)))),MONTH(MAX(N(INDEX(Workforce!$I$2:$I$151,MATCH(INDEX(FTE_Allocation!$A$2:$A$201,$AB34),Workforce!$A$2:$A$151,0))),N(INDEX(FTE_Allocation!$I$2:$I$201,$AB34)))),1),"")))</f>
        <v/>
      </c>
      <c r="AF34" s="21">
        <f>IF($Z34="C",IF(INDEX(Contracts!$I$2:$I$151,$AB34)="PREPAID",EDATE(DATE(YEAR(INDEX(Contracts!$J$2:$J$151,$AB34)),MONTH(INDEX(Contracts!$J$2:$J$151,$AB34)),1),IF(INDEX(Contracts!$N$2:$N$151,$AB34)="",12,INDEX(Contracts!$N$2:$N$151,$AB34))-1),IF(INDEX(Contracts!$I$2:$I$151,$AB34)="MONTHLY",IF(INDEX(Contracts!$K$2:$K$151,$AB34)="",2958101,INDEX(Contracts!$K$2:$K$151,$AB34)),0)),IF($Z34="A",EDATE(DATE(YEAR(INDEX(Fixed_Assets!$G$2:$G$201,$AB34)),MONTH(INDEX(Fixed_Assets!$G$2:$G$201,$AB34)),1),INDEX(Fixed_Assets!$J$2:$J$201,$AB34)-1),IF($Z34="F",MIN(IF(INDEX(Workforce!$J$2:$J$151,MATCH(INDEX(FTE_Allocation!$A$2:$A$201,$AB34),Workforce!$A$2:$A$151,0))="",2958101,INDEX(Workforce!$J$2:$J$151,MATCH(INDEX(FTE_Allocation!$A$2:$A$201,$AB34),Workforce!$A$2:$A$151,0))),IF(INDEX(FTE_Allocation!$J$2:$J$201,$AB34)="",2958101,INDEX(FTE_Allocation!$J$2:$J$201,$AB34))),"")))</f>
        <v/>
      </c>
      <c r="AG34" s="19">
        <f>IF($Z34="C",IF(INDEX(Contracts!$I$2:$I$151,$AB34)="PREPAID",INDEX(Contracts!$M$2:$M$151,$AB34)/IF(INDEX(Contracts!$N$2:$N$151,$AB34)="",12,INDEX(Contracts!$N$2:$N$151,$AB34)),IF(INDEX(Contracts!$I$2:$I$151,$AB34)="MONTHLY",INDEX(Contracts!$M$2:$M$151,$AB34),0))*(1-N(INDEX(Contracts!$O$2:$O$151,$AB34))),IF($Z34="A",INDEX(Fixed_Assets!$H$2:$H$201,$AB34)/INDEX(Fixed_Assets!$J$2:$J$201,$AB34),IF($Z34="F",INDEX(Workforce!$F$2:$F$151,MATCH(INDEX(FTE_Allocation!$A$2:$A$201,$AB34),Workforce!$A$2:$A$151,0))*N(INDEX(FTE_Allocation!$F$2:$H$201,$AB34,$AC34)),"")))</f>
        <v/>
      </c>
    </row>
    <row r="35">
      <c r="A35" s="7">
        <f>IF($Z35="","",$AD35)</f>
        <v/>
      </c>
      <c r="B35" s="7">
        <f>IF($Z35="C",INDEX(Contracts!$D$2:$D$151,$AB35)&amp;"",IF($Z35="A",INDEX(Fixed_Assets!$C$2:$C$201,$AB35)&amp;"",IF($Z35="F",INDEX(Workforce!$B$2:$B$151,MATCH(INDEX(FTE_Allocation!$A$2:$A$201,$AB35),Workforce!$A$2:$A$151,0))&amp;"","")))</f>
        <v/>
      </c>
      <c r="C35" s="7">
        <f>IF($Z35="C",INDEX(Contracts!$E$2:$E$151,$AB35)&amp;"",IF($Z35="A",INDEX(Fixed_Assets!$D$2:$D$201,$AB35)&amp;"",IF($Z35="F",INDEX(FTE_Allocation!$C$2:$C$201,$AB35)&amp;"","")))</f>
        <v/>
      </c>
      <c r="D35" s="7">
        <f>IF($Z35="C",INDEX(Contracts!$B$2:$B$151,$AB35)&amp;"",IF($Z35="A",INDEX(Fixed_Assets!$B$2:$B$201,$AB35)&amp;"",IF($Z35="F",INDEX(FTE_Allocation!$B$2:$B$201,$AB35)&amp;"","")))</f>
        <v/>
      </c>
      <c r="E35" s="7">
        <f>IF($Z35="C",INDEX(Contracts!$P$2:$P$151,$AB35)&amp;"",IF($Z35="A",INDEX(Fixed_Assets!$K$2:$K$201,$AB35)&amp;"",IF($Z35="F",IF(INDEX(FTE_Allocation!$D$2:$D$201,$AB35)="PROJECT",IFERROR(INDEX(Projects!$D:$D,MATCH(INDEX(FTE_Allocation!$E$2:$E$201,$AB35),Projects!$A:$A,0))&amp;"","#PROJECT?"),INDEX(FTE_Allocation!$E$2:$E$201,$AB35)&amp;""),"")))</f>
        <v/>
      </c>
      <c r="F35" s="7">
        <f>IF($Z35="C",INDEX(Contracts!$Q$2:$Q$151,$AB35)&amp;"",IF($Z35="A",INDEX(Fixed_Assets!$L$2:$L$201,$AB35)&amp;"",IF($Z35="F",INDEX(Workforce!$K$2:$K$151,MATCH(INDEX(FTE_Allocation!$A$2:$A$201,$AB35),Workforce!$A$2:$A$151,0))&amp;"","")))</f>
        <v/>
      </c>
      <c r="G35" s="7">
        <f>IF($Z35="C",INDEX(Contracts!$F$2:$F$151,$AB35)&amp;" / "&amp;INDEX(Contracts!$G$2:$G$151,$AB35),IF($Z35="A",INDEX(Fixed_Assets!$E$2:$E$201,$AB35)&amp;"",IF($Z35="F","Personnel "&amp;INDEX(FTE_Allocation!$A$2:$A$201,$AB35)&amp;IF(INDEX(FTE_Allocation!$D$2:$D$201,$AB35)="PROJECT"," ("&amp;INDEX(FTE_Allocation!$E$2:$E$201,$AB35)&amp;")",""),"")))</f>
        <v/>
      </c>
      <c r="H35" s="7">
        <f>IF($Z35="C","CONTRACT",IF($Z35="A","ASSET",IF($Z35="F","WORKFORCE","")))</f>
        <v/>
      </c>
      <c r="I35" s="7">
        <f>IF($Z35="C",INDEX(Contracts!$L$2:$L$151,$AB35)&amp;"",IF($Z35="A",INDEX(Fixed_Assets!$I$2:$I$201,$AB35)&amp;"",IF($Z35="F",INDEX(Workforce!$G$2:$G$151,MATCH(INDEX(FTE_Allocation!$A$2:$A$201,$AB35),Workforce!$A$2:$A$151,0))&amp;"","")))</f>
        <v/>
      </c>
      <c r="J35" s="18">
        <f>IF($Z35="","",IF(AND(DATE($AD35,1,1)&gt;=$AE35,DATE($AD35,1,1)&lt;=$AF35),ROUND($AG35,2),0))</f>
        <v/>
      </c>
      <c r="K35" s="18">
        <f>IF($Z35="","",IF(AND(DATE($AD35,2,1)&gt;=$AE35,DATE($AD35,2,1)&lt;=$AF35),ROUND($AG35,2),0))</f>
        <v/>
      </c>
      <c r="L35" s="18">
        <f>IF($Z35="","",IF(AND(DATE($AD35,3,1)&gt;=$AE35,DATE($AD35,3,1)&lt;=$AF35),ROUND($AG35,2),0))</f>
        <v/>
      </c>
      <c r="M35" s="18">
        <f>IF($Z35="","",IF(AND(DATE($AD35,4,1)&gt;=$AE35,DATE($AD35,4,1)&lt;=$AF35),ROUND($AG35,2),0))</f>
        <v/>
      </c>
      <c r="N35" s="18">
        <f>IF($Z35="","",IF(AND(DATE($AD35,5,1)&gt;=$AE35,DATE($AD35,5,1)&lt;=$AF35),ROUND($AG35,2),0))</f>
        <v/>
      </c>
      <c r="O35" s="18">
        <f>IF($Z35="","",IF(AND(DATE($AD35,6,1)&gt;=$AE35,DATE($AD35,6,1)&lt;=$AF35),ROUND($AG35,2),0))</f>
        <v/>
      </c>
      <c r="P35" s="18">
        <f>IF($Z35="","",IF(AND(DATE($AD35,7,1)&gt;=$AE35,DATE($AD35,7,1)&lt;=$AF35),ROUND($AG35,2),0))</f>
        <v/>
      </c>
      <c r="Q35" s="18">
        <f>IF($Z35="","",IF(AND(DATE($AD35,8,1)&gt;=$AE35,DATE($AD35,8,1)&lt;=$AF35),ROUND($AG35,2),0))</f>
        <v/>
      </c>
      <c r="R35" s="18">
        <f>IF($Z35="","",IF(AND(DATE($AD35,9,1)&gt;=$AE35,DATE($AD35,9,1)&lt;=$AF35),ROUND($AG35,2),0))</f>
        <v/>
      </c>
      <c r="S35" s="18">
        <f>IF($Z35="","",IF(AND(DATE($AD35,10,1)&gt;=$AE35,DATE($AD35,10,1)&lt;=$AF35),ROUND($AG35,2),0))</f>
        <v/>
      </c>
      <c r="T35" s="18">
        <f>IF($Z35="","",IF(AND(DATE($AD35,11,1)&gt;=$AE35,DATE($AD35,11,1)&lt;=$AF35),ROUND($AG35,2),0))</f>
        <v/>
      </c>
      <c r="U35" s="18">
        <f>IF($Z35="","",IF(AND(DATE($AD35,12,1)&gt;=$AE35,DATE($AD35,12,1)&lt;=$AF35),ROUND($AG35,2),0))</f>
        <v/>
      </c>
      <c r="V35" s="7">
        <f>IF($Z35="C","Generated from "&amp;INDEX(Contracts!$A$2:$A$151,$AB35),IF($Z35="A","Generated from "&amp;INDEX(Fixed_Assets!$A$2:$A$201,$AB35),IF($Z35="F","Generated from "&amp;INDEX(FTE_Allocation!$A$2:$A$201,$AB35),"")))</f>
        <v/>
      </c>
      <c r="X35" s="19">
        <f>IF($Z35="","",SUM(J35:U35))</f>
        <v/>
      </c>
      <c r="Y35" s="20">
        <f>ROW()-1</f>
        <v/>
      </c>
      <c r="Z35" s="20">
        <f>IF($Y35&lt;=Settings!$B$4*3,"C",IF($Y35&lt;=(Settings!$B$4+Settings!$B$5)*3,"A",IF($Y35&lt;=(Settings!$B$4+Settings!$B$5+Settings!$B$6)*3,"F","")))</f>
        <v/>
      </c>
      <c r="AA35" s="20">
        <f>IF($Z35="C",$Y35,IF($Z35="A",$Y35-Settings!$B$4*3,IF($Z35="F",$Y35-(Settings!$B$4+Settings!$B$5)*3,"")))</f>
        <v/>
      </c>
      <c r="AB35" s="20">
        <f>IF($Z35="","",INT(($AA35-1)/3)+1)</f>
        <v/>
      </c>
      <c r="AC35" s="20">
        <f>IF($Z35="","",MOD($AA35-1,3)+1)</f>
        <v/>
      </c>
      <c r="AD35" s="20">
        <f>IF($Z35="","",Settings!$B$2+$AC35-1)</f>
        <v/>
      </c>
      <c r="AE35" s="21">
        <f>IF($Z35="C",DATE(YEAR(INDEX(Contracts!$J$2:$J$151,$AB35)),MONTH(INDEX(Contracts!$J$2:$J$151,$AB35)),1),IF($Z35="A",DATE(YEAR(INDEX(Fixed_Assets!$G$2:$G$201,$AB35)),MONTH(INDEX(Fixed_Assets!$G$2:$G$201,$AB35)),1),IF($Z35="F",DATE(YEAR(MAX(N(INDEX(Workforce!$I$2:$I$151,MATCH(INDEX(FTE_Allocation!$A$2:$A$201,$AB35),Workforce!$A$2:$A$151,0))),N(INDEX(FTE_Allocation!$I$2:$I$201,$AB35)))),MONTH(MAX(N(INDEX(Workforce!$I$2:$I$151,MATCH(INDEX(FTE_Allocation!$A$2:$A$201,$AB35),Workforce!$A$2:$A$151,0))),N(INDEX(FTE_Allocation!$I$2:$I$201,$AB35)))),1),"")))</f>
        <v/>
      </c>
      <c r="AF35" s="21">
        <f>IF($Z35="C",IF(INDEX(Contracts!$I$2:$I$151,$AB35)="PREPAID",EDATE(DATE(YEAR(INDEX(Contracts!$J$2:$J$151,$AB35)),MONTH(INDEX(Contracts!$J$2:$J$151,$AB35)),1),IF(INDEX(Contracts!$N$2:$N$151,$AB35)="",12,INDEX(Contracts!$N$2:$N$151,$AB35))-1),IF(INDEX(Contracts!$I$2:$I$151,$AB35)="MONTHLY",IF(INDEX(Contracts!$K$2:$K$151,$AB35)="",2958101,INDEX(Contracts!$K$2:$K$151,$AB35)),0)),IF($Z35="A",EDATE(DATE(YEAR(INDEX(Fixed_Assets!$G$2:$G$201,$AB35)),MONTH(INDEX(Fixed_Assets!$G$2:$G$201,$AB35)),1),INDEX(Fixed_Assets!$J$2:$J$201,$AB35)-1),IF($Z35="F",MIN(IF(INDEX(Workforce!$J$2:$J$151,MATCH(INDEX(FTE_Allocation!$A$2:$A$201,$AB35),Workforce!$A$2:$A$151,0))="",2958101,INDEX(Workforce!$J$2:$J$151,MATCH(INDEX(FTE_Allocation!$A$2:$A$201,$AB35),Workforce!$A$2:$A$151,0))),IF(INDEX(FTE_Allocation!$J$2:$J$201,$AB35)="",2958101,INDEX(FTE_Allocation!$J$2:$J$201,$AB35))),"")))</f>
        <v/>
      </c>
      <c r="AG35" s="19">
        <f>IF($Z35="C",IF(INDEX(Contracts!$I$2:$I$151,$AB35)="PREPAID",INDEX(Contracts!$M$2:$M$151,$AB35)/IF(INDEX(Contracts!$N$2:$N$151,$AB35)="",12,INDEX(Contracts!$N$2:$N$151,$AB35)),IF(INDEX(Contracts!$I$2:$I$151,$AB35)="MONTHLY",INDEX(Contracts!$M$2:$M$151,$AB35),0))*(1-N(INDEX(Contracts!$O$2:$O$151,$AB35))),IF($Z35="A",INDEX(Fixed_Assets!$H$2:$H$201,$AB35)/INDEX(Fixed_Assets!$J$2:$J$201,$AB35),IF($Z35="F",INDEX(Workforce!$F$2:$F$151,MATCH(INDEX(FTE_Allocation!$A$2:$A$201,$AB35),Workforce!$A$2:$A$151,0))*N(INDEX(FTE_Allocation!$F$2:$H$201,$AB35,$AC35)),"")))</f>
        <v/>
      </c>
    </row>
    <row r="36">
      <c r="A36" s="7">
        <f>IF($Z36="","",$AD36)</f>
        <v/>
      </c>
      <c r="B36" s="7">
        <f>IF($Z36="C",INDEX(Contracts!$D$2:$D$151,$AB36)&amp;"",IF($Z36="A",INDEX(Fixed_Assets!$C$2:$C$201,$AB36)&amp;"",IF($Z36="F",INDEX(Workforce!$B$2:$B$151,MATCH(INDEX(FTE_Allocation!$A$2:$A$201,$AB36),Workforce!$A$2:$A$151,0))&amp;"","")))</f>
        <v/>
      </c>
      <c r="C36" s="7">
        <f>IF($Z36="C",INDEX(Contracts!$E$2:$E$151,$AB36)&amp;"",IF($Z36="A",INDEX(Fixed_Assets!$D$2:$D$201,$AB36)&amp;"",IF($Z36="F",INDEX(FTE_Allocation!$C$2:$C$201,$AB36)&amp;"","")))</f>
        <v/>
      </c>
      <c r="D36" s="7">
        <f>IF($Z36="C",INDEX(Contracts!$B$2:$B$151,$AB36)&amp;"",IF($Z36="A",INDEX(Fixed_Assets!$B$2:$B$201,$AB36)&amp;"",IF($Z36="F",INDEX(FTE_Allocation!$B$2:$B$201,$AB36)&amp;"","")))</f>
        <v/>
      </c>
      <c r="E36" s="7">
        <f>IF($Z36="C",INDEX(Contracts!$P$2:$P$151,$AB36)&amp;"",IF($Z36="A",INDEX(Fixed_Assets!$K$2:$K$201,$AB36)&amp;"",IF($Z36="F",IF(INDEX(FTE_Allocation!$D$2:$D$201,$AB36)="PROJECT",IFERROR(INDEX(Projects!$D:$D,MATCH(INDEX(FTE_Allocation!$E$2:$E$201,$AB36),Projects!$A:$A,0))&amp;"","#PROJECT?"),INDEX(FTE_Allocation!$E$2:$E$201,$AB36)&amp;""),"")))</f>
        <v/>
      </c>
      <c r="F36" s="7">
        <f>IF($Z36="C",INDEX(Contracts!$Q$2:$Q$151,$AB36)&amp;"",IF($Z36="A",INDEX(Fixed_Assets!$L$2:$L$201,$AB36)&amp;"",IF($Z36="F",INDEX(Workforce!$K$2:$K$151,MATCH(INDEX(FTE_Allocation!$A$2:$A$201,$AB36),Workforce!$A$2:$A$151,0))&amp;"","")))</f>
        <v/>
      </c>
      <c r="G36" s="7">
        <f>IF($Z36="C",INDEX(Contracts!$F$2:$F$151,$AB36)&amp;" / "&amp;INDEX(Contracts!$G$2:$G$151,$AB36),IF($Z36="A",INDEX(Fixed_Assets!$E$2:$E$201,$AB36)&amp;"",IF($Z36="F","Personnel "&amp;INDEX(FTE_Allocation!$A$2:$A$201,$AB36)&amp;IF(INDEX(FTE_Allocation!$D$2:$D$201,$AB36)="PROJECT"," ("&amp;INDEX(FTE_Allocation!$E$2:$E$201,$AB36)&amp;")",""),"")))</f>
        <v/>
      </c>
      <c r="H36" s="7">
        <f>IF($Z36="C","CONTRACT",IF($Z36="A","ASSET",IF($Z36="F","WORKFORCE","")))</f>
        <v/>
      </c>
      <c r="I36" s="7">
        <f>IF($Z36="C",INDEX(Contracts!$L$2:$L$151,$AB36)&amp;"",IF($Z36="A",INDEX(Fixed_Assets!$I$2:$I$201,$AB36)&amp;"",IF($Z36="F",INDEX(Workforce!$G$2:$G$151,MATCH(INDEX(FTE_Allocation!$A$2:$A$201,$AB36),Workforce!$A$2:$A$151,0))&amp;"","")))</f>
        <v/>
      </c>
      <c r="J36" s="18">
        <f>IF($Z36="","",IF(AND(DATE($AD36,1,1)&gt;=$AE36,DATE($AD36,1,1)&lt;=$AF36),ROUND($AG36,2),0))</f>
        <v/>
      </c>
      <c r="K36" s="18">
        <f>IF($Z36="","",IF(AND(DATE($AD36,2,1)&gt;=$AE36,DATE($AD36,2,1)&lt;=$AF36),ROUND($AG36,2),0))</f>
        <v/>
      </c>
      <c r="L36" s="18">
        <f>IF($Z36="","",IF(AND(DATE($AD36,3,1)&gt;=$AE36,DATE($AD36,3,1)&lt;=$AF36),ROUND($AG36,2),0))</f>
        <v/>
      </c>
      <c r="M36" s="18">
        <f>IF($Z36="","",IF(AND(DATE($AD36,4,1)&gt;=$AE36,DATE($AD36,4,1)&lt;=$AF36),ROUND($AG36,2),0))</f>
        <v/>
      </c>
      <c r="N36" s="18">
        <f>IF($Z36="","",IF(AND(DATE($AD36,5,1)&gt;=$AE36,DATE($AD36,5,1)&lt;=$AF36),ROUND($AG36,2),0))</f>
        <v/>
      </c>
      <c r="O36" s="18">
        <f>IF($Z36="","",IF(AND(DATE($AD36,6,1)&gt;=$AE36,DATE($AD36,6,1)&lt;=$AF36),ROUND($AG36,2),0))</f>
        <v/>
      </c>
      <c r="P36" s="18">
        <f>IF($Z36="","",IF(AND(DATE($AD36,7,1)&gt;=$AE36,DATE($AD36,7,1)&lt;=$AF36),ROUND($AG36,2),0))</f>
        <v/>
      </c>
      <c r="Q36" s="18">
        <f>IF($Z36="","",IF(AND(DATE($AD36,8,1)&gt;=$AE36,DATE($AD36,8,1)&lt;=$AF36),ROUND($AG36,2),0))</f>
        <v/>
      </c>
      <c r="R36" s="18">
        <f>IF($Z36="","",IF(AND(DATE($AD36,9,1)&gt;=$AE36,DATE($AD36,9,1)&lt;=$AF36),ROUND($AG36,2),0))</f>
        <v/>
      </c>
      <c r="S36" s="18">
        <f>IF($Z36="","",IF(AND(DATE($AD36,10,1)&gt;=$AE36,DATE($AD36,10,1)&lt;=$AF36),ROUND($AG36,2),0))</f>
        <v/>
      </c>
      <c r="T36" s="18">
        <f>IF($Z36="","",IF(AND(DATE($AD36,11,1)&gt;=$AE36,DATE($AD36,11,1)&lt;=$AF36),ROUND($AG36,2),0))</f>
        <v/>
      </c>
      <c r="U36" s="18">
        <f>IF($Z36="","",IF(AND(DATE($AD36,12,1)&gt;=$AE36,DATE($AD36,12,1)&lt;=$AF36),ROUND($AG36,2),0))</f>
        <v/>
      </c>
      <c r="V36" s="7">
        <f>IF($Z36="C","Generated from "&amp;INDEX(Contracts!$A$2:$A$151,$AB36),IF($Z36="A","Generated from "&amp;INDEX(Fixed_Assets!$A$2:$A$201,$AB36),IF($Z36="F","Generated from "&amp;INDEX(FTE_Allocation!$A$2:$A$201,$AB36),"")))</f>
        <v/>
      </c>
      <c r="X36" s="19">
        <f>IF($Z36="","",SUM(J36:U36))</f>
        <v/>
      </c>
      <c r="Y36" s="20">
        <f>ROW()-1</f>
        <v/>
      </c>
      <c r="Z36" s="20">
        <f>IF($Y36&lt;=Settings!$B$4*3,"C",IF($Y36&lt;=(Settings!$B$4+Settings!$B$5)*3,"A",IF($Y36&lt;=(Settings!$B$4+Settings!$B$5+Settings!$B$6)*3,"F","")))</f>
        <v/>
      </c>
      <c r="AA36" s="20">
        <f>IF($Z36="C",$Y36,IF($Z36="A",$Y36-Settings!$B$4*3,IF($Z36="F",$Y36-(Settings!$B$4+Settings!$B$5)*3,"")))</f>
        <v/>
      </c>
      <c r="AB36" s="20">
        <f>IF($Z36="","",INT(($AA36-1)/3)+1)</f>
        <v/>
      </c>
      <c r="AC36" s="20">
        <f>IF($Z36="","",MOD($AA36-1,3)+1)</f>
        <v/>
      </c>
      <c r="AD36" s="20">
        <f>IF($Z36="","",Settings!$B$2+$AC36-1)</f>
        <v/>
      </c>
      <c r="AE36" s="21">
        <f>IF($Z36="C",DATE(YEAR(INDEX(Contracts!$J$2:$J$151,$AB36)),MONTH(INDEX(Contracts!$J$2:$J$151,$AB36)),1),IF($Z36="A",DATE(YEAR(INDEX(Fixed_Assets!$G$2:$G$201,$AB36)),MONTH(INDEX(Fixed_Assets!$G$2:$G$201,$AB36)),1),IF($Z36="F",DATE(YEAR(MAX(N(INDEX(Workforce!$I$2:$I$151,MATCH(INDEX(FTE_Allocation!$A$2:$A$201,$AB36),Workforce!$A$2:$A$151,0))),N(INDEX(FTE_Allocation!$I$2:$I$201,$AB36)))),MONTH(MAX(N(INDEX(Workforce!$I$2:$I$151,MATCH(INDEX(FTE_Allocation!$A$2:$A$201,$AB36),Workforce!$A$2:$A$151,0))),N(INDEX(FTE_Allocation!$I$2:$I$201,$AB36)))),1),"")))</f>
        <v/>
      </c>
      <c r="AF36" s="21">
        <f>IF($Z36="C",IF(INDEX(Contracts!$I$2:$I$151,$AB36)="PREPAID",EDATE(DATE(YEAR(INDEX(Contracts!$J$2:$J$151,$AB36)),MONTH(INDEX(Contracts!$J$2:$J$151,$AB36)),1),IF(INDEX(Contracts!$N$2:$N$151,$AB36)="",12,INDEX(Contracts!$N$2:$N$151,$AB36))-1),IF(INDEX(Contracts!$I$2:$I$151,$AB36)="MONTHLY",IF(INDEX(Contracts!$K$2:$K$151,$AB36)="",2958101,INDEX(Contracts!$K$2:$K$151,$AB36)),0)),IF($Z36="A",EDATE(DATE(YEAR(INDEX(Fixed_Assets!$G$2:$G$201,$AB36)),MONTH(INDEX(Fixed_Assets!$G$2:$G$201,$AB36)),1),INDEX(Fixed_Assets!$J$2:$J$201,$AB36)-1),IF($Z36="F",MIN(IF(INDEX(Workforce!$J$2:$J$151,MATCH(INDEX(FTE_Allocation!$A$2:$A$201,$AB36),Workforce!$A$2:$A$151,0))="",2958101,INDEX(Workforce!$J$2:$J$151,MATCH(INDEX(FTE_Allocation!$A$2:$A$201,$AB36),Workforce!$A$2:$A$151,0))),IF(INDEX(FTE_Allocation!$J$2:$J$201,$AB36)="",2958101,INDEX(FTE_Allocation!$J$2:$J$201,$AB36))),"")))</f>
        <v/>
      </c>
      <c r="AG36" s="19">
        <f>IF($Z36="C",IF(INDEX(Contracts!$I$2:$I$151,$AB36)="PREPAID",INDEX(Contracts!$M$2:$M$151,$AB36)/IF(INDEX(Contracts!$N$2:$N$151,$AB36)="",12,INDEX(Contracts!$N$2:$N$151,$AB36)),IF(INDEX(Contracts!$I$2:$I$151,$AB36)="MONTHLY",INDEX(Contracts!$M$2:$M$151,$AB36),0))*(1-N(INDEX(Contracts!$O$2:$O$151,$AB36))),IF($Z36="A",INDEX(Fixed_Assets!$H$2:$H$201,$AB36)/INDEX(Fixed_Assets!$J$2:$J$201,$AB36),IF($Z36="F",INDEX(Workforce!$F$2:$F$151,MATCH(INDEX(FTE_Allocation!$A$2:$A$201,$AB36),Workforce!$A$2:$A$151,0))*N(INDEX(FTE_Allocation!$F$2:$H$201,$AB36,$AC36)),"")))</f>
        <v/>
      </c>
    </row>
    <row r="37">
      <c r="A37" s="7">
        <f>IF($Z37="","",$AD37)</f>
        <v/>
      </c>
      <c r="B37" s="7">
        <f>IF($Z37="C",INDEX(Contracts!$D$2:$D$151,$AB37)&amp;"",IF($Z37="A",INDEX(Fixed_Assets!$C$2:$C$201,$AB37)&amp;"",IF($Z37="F",INDEX(Workforce!$B$2:$B$151,MATCH(INDEX(FTE_Allocation!$A$2:$A$201,$AB37),Workforce!$A$2:$A$151,0))&amp;"","")))</f>
        <v/>
      </c>
      <c r="C37" s="7">
        <f>IF($Z37="C",INDEX(Contracts!$E$2:$E$151,$AB37)&amp;"",IF($Z37="A",INDEX(Fixed_Assets!$D$2:$D$201,$AB37)&amp;"",IF($Z37="F",INDEX(FTE_Allocation!$C$2:$C$201,$AB37)&amp;"","")))</f>
        <v/>
      </c>
      <c r="D37" s="7">
        <f>IF($Z37="C",INDEX(Contracts!$B$2:$B$151,$AB37)&amp;"",IF($Z37="A",INDEX(Fixed_Assets!$B$2:$B$201,$AB37)&amp;"",IF($Z37="F",INDEX(FTE_Allocation!$B$2:$B$201,$AB37)&amp;"","")))</f>
        <v/>
      </c>
      <c r="E37" s="7">
        <f>IF($Z37="C",INDEX(Contracts!$P$2:$P$151,$AB37)&amp;"",IF($Z37="A",INDEX(Fixed_Assets!$K$2:$K$201,$AB37)&amp;"",IF($Z37="F",IF(INDEX(FTE_Allocation!$D$2:$D$201,$AB37)="PROJECT",IFERROR(INDEX(Projects!$D:$D,MATCH(INDEX(FTE_Allocation!$E$2:$E$201,$AB37),Projects!$A:$A,0))&amp;"","#PROJECT?"),INDEX(FTE_Allocation!$E$2:$E$201,$AB37)&amp;""),"")))</f>
        <v/>
      </c>
      <c r="F37" s="7">
        <f>IF($Z37="C",INDEX(Contracts!$Q$2:$Q$151,$AB37)&amp;"",IF($Z37="A",INDEX(Fixed_Assets!$L$2:$L$201,$AB37)&amp;"",IF($Z37="F",INDEX(Workforce!$K$2:$K$151,MATCH(INDEX(FTE_Allocation!$A$2:$A$201,$AB37),Workforce!$A$2:$A$151,0))&amp;"","")))</f>
        <v/>
      </c>
      <c r="G37" s="7">
        <f>IF($Z37="C",INDEX(Contracts!$F$2:$F$151,$AB37)&amp;" / "&amp;INDEX(Contracts!$G$2:$G$151,$AB37),IF($Z37="A",INDEX(Fixed_Assets!$E$2:$E$201,$AB37)&amp;"",IF($Z37="F","Personnel "&amp;INDEX(FTE_Allocation!$A$2:$A$201,$AB37)&amp;IF(INDEX(FTE_Allocation!$D$2:$D$201,$AB37)="PROJECT"," ("&amp;INDEX(FTE_Allocation!$E$2:$E$201,$AB37)&amp;")",""),"")))</f>
        <v/>
      </c>
      <c r="H37" s="7">
        <f>IF($Z37="C","CONTRACT",IF($Z37="A","ASSET",IF($Z37="F","WORKFORCE","")))</f>
        <v/>
      </c>
      <c r="I37" s="7">
        <f>IF($Z37="C",INDEX(Contracts!$L$2:$L$151,$AB37)&amp;"",IF($Z37="A",INDEX(Fixed_Assets!$I$2:$I$201,$AB37)&amp;"",IF($Z37="F",INDEX(Workforce!$G$2:$G$151,MATCH(INDEX(FTE_Allocation!$A$2:$A$201,$AB37),Workforce!$A$2:$A$151,0))&amp;"","")))</f>
        <v/>
      </c>
      <c r="J37" s="18">
        <f>IF($Z37="","",IF(AND(DATE($AD37,1,1)&gt;=$AE37,DATE($AD37,1,1)&lt;=$AF37),ROUND($AG37,2),0))</f>
        <v/>
      </c>
      <c r="K37" s="18">
        <f>IF($Z37="","",IF(AND(DATE($AD37,2,1)&gt;=$AE37,DATE($AD37,2,1)&lt;=$AF37),ROUND($AG37,2),0))</f>
        <v/>
      </c>
      <c r="L37" s="18">
        <f>IF($Z37="","",IF(AND(DATE($AD37,3,1)&gt;=$AE37,DATE($AD37,3,1)&lt;=$AF37),ROUND($AG37,2),0))</f>
        <v/>
      </c>
      <c r="M37" s="18">
        <f>IF($Z37="","",IF(AND(DATE($AD37,4,1)&gt;=$AE37,DATE($AD37,4,1)&lt;=$AF37),ROUND($AG37,2),0))</f>
        <v/>
      </c>
      <c r="N37" s="18">
        <f>IF($Z37="","",IF(AND(DATE($AD37,5,1)&gt;=$AE37,DATE($AD37,5,1)&lt;=$AF37),ROUND($AG37,2),0))</f>
        <v/>
      </c>
      <c r="O37" s="18">
        <f>IF($Z37="","",IF(AND(DATE($AD37,6,1)&gt;=$AE37,DATE($AD37,6,1)&lt;=$AF37),ROUND($AG37,2),0))</f>
        <v/>
      </c>
      <c r="P37" s="18">
        <f>IF($Z37="","",IF(AND(DATE($AD37,7,1)&gt;=$AE37,DATE($AD37,7,1)&lt;=$AF37),ROUND($AG37,2),0))</f>
        <v/>
      </c>
      <c r="Q37" s="18">
        <f>IF($Z37="","",IF(AND(DATE($AD37,8,1)&gt;=$AE37,DATE($AD37,8,1)&lt;=$AF37),ROUND($AG37,2),0))</f>
        <v/>
      </c>
      <c r="R37" s="18">
        <f>IF($Z37="","",IF(AND(DATE($AD37,9,1)&gt;=$AE37,DATE($AD37,9,1)&lt;=$AF37),ROUND($AG37,2),0))</f>
        <v/>
      </c>
      <c r="S37" s="18">
        <f>IF($Z37="","",IF(AND(DATE($AD37,10,1)&gt;=$AE37,DATE($AD37,10,1)&lt;=$AF37),ROUND($AG37,2),0))</f>
        <v/>
      </c>
      <c r="T37" s="18">
        <f>IF($Z37="","",IF(AND(DATE($AD37,11,1)&gt;=$AE37,DATE($AD37,11,1)&lt;=$AF37),ROUND($AG37,2),0))</f>
        <v/>
      </c>
      <c r="U37" s="18">
        <f>IF($Z37="","",IF(AND(DATE($AD37,12,1)&gt;=$AE37,DATE($AD37,12,1)&lt;=$AF37),ROUND($AG37,2),0))</f>
        <v/>
      </c>
      <c r="V37" s="7">
        <f>IF($Z37="C","Generated from "&amp;INDEX(Contracts!$A$2:$A$151,$AB37),IF($Z37="A","Generated from "&amp;INDEX(Fixed_Assets!$A$2:$A$201,$AB37),IF($Z37="F","Generated from "&amp;INDEX(FTE_Allocation!$A$2:$A$201,$AB37),"")))</f>
        <v/>
      </c>
      <c r="X37" s="19">
        <f>IF($Z37="","",SUM(J37:U37))</f>
        <v/>
      </c>
      <c r="Y37" s="20">
        <f>ROW()-1</f>
        <v/>
      </c>
      <c r="Z37" s="20">
        <f>IF($Y37&lt;=Settings!$B$4*3,"C",IF($Y37&lt;=(Settings!$B$4+Settings!$B$5)*3,"A",IF($Y37&lt;=(Settings!$B$4+Settings!$B$5+Settings!$B$6)*3,"F","")))</f>
        <v/>
      </c>
      <c r="AA37" s="20">
        <f>IF($Z37="C",$Y37,IF($Z37="A",$Y37-Settings!$B$4*3,IF($Z37="F",$Y37-(Settings!$B$4+Settings!$B$5)*3,"")))</f>
        <v/>
      </c>
      <c r="AB37" s="20">
        <f>IF($Z37="","",INT(($AA37-1)/3)+1)</f>
        <v/>
      </c>
      <c r="AC37" s="20">
        <f>IF($Z37="","",MOD($AA37-1,3)+1)</f>
        <v/>
      </c>
      <c r="AD37" s="20">
        <f>IF($Z37="","",Settings!$B$2+$AC37-1)</f>
        <v/>
      </c>
      <c r="AE37" s="21">
        <f>IF($Z37="C",DATE(YEAR(INDEX(Contracts!$J$2:$J$151,$AB37)),MONTH(INDEX(Contracts!$J$2:$J$151,$AB37)),1),IF($Z37="A",DATE(YEAR(INDEX(Fixed_Assets!$G$2:$G$201,$AB37)),MONTH(INDEX(Fixed_Assets!$G$2:$G$201,$AB37)),1),IF($Z37="F",DATE(YEAR(MAX(N(INDEX(Workforce!$I$2:$I$151,MATCH(INDEX(FTE_Allocation!$A$2:$A$201,$AB37),Workforce!$A$2:$A$151,0))),N(INDEX(FTE_Allocation!$I$2:$I$201,$AB37)))),MONTH(MAX(N(INDEX(Workforce!$I$2:$I$151,MATCH(INDEX(FTE_Allocation!$A$2:$A$201,$AB37),Workforce!$A$2:$A$151,0))),N(INDEX(FTE_Allocation!$I$2:$I$201,$AB37)))),1),"")))</f>
        <v/>
      </c>
      <c r="AF37" s="21">
        <f>IF($Z37="C",IF(INDEX(Contracts!$I$2:$I$151,$AB37)="PREPAID",EDATE(DATE(YEAR(INDEX(Contracts!$J$2:$J$151,$AB37)),MONTH(INDEX(Contracts!$J$2:$J$151,$AB37)),1),IF(INDEX(Contracts!$N$2:$N$151,$AB37)="",12,INDEX(Contracts!$N$2:$N$151,$AB37))-1),IF(INDEX(Contracts!$I$2:$I$151,$AB37)="MONTHLY",IF(INDEX(Contracts!$K$2:$K$151,$AB37)="",2958101,INDEX(Contracts!$K$2:$K$151,$AB37)),0)),IF($Z37="A",EDATE(DATE(YEAR(INDEX(Fixed_Assets!$G$2:$G$201,$AB37)),MONTH(INDEX(Fixed_Assets!$G$2:$G$201,$AB37)),1),INDEX(Fixed_Assets!$J$2:$J$201,$AB37)-1),IF($Z37="F",MIN(IF(INDEX(Workforce!$J$2:$J$151,MATCH(INDEX(FTE_Allocation!$A$2:$A$201,$AB37),Workforce!$A$2:$A$151,0))="",2958101,INDEX(Workforce!$J$2:$J$151,MATCH(INDEX(FTE_Allocation!$A$2:$A$201,$AB37),Workforce!$A$2:$A$151,0))),IF(INDEX(FTE_Allocation!$J$2:$J$201,$AB37)="",2958101,INDEX(FTE_Allocation!$J$2:$J$201,$AB37))),"")))</f>
        <v/>
      </c>
      <c r="AG37" s="19">
        <f>IF($Z37="C",IF(INDEX(Contracts!$I$2:$I$151,$AB37)="PREPAID",INDEX(Contracts!$M$2:$M$151,$AB37)/IF(INDEX(Contracts!$N$2:$N$151,$AB37)="",12,INDEX(Contracts!$N$2:$N$151,$AB37)),IF(INDEX(Contracts!$I$2:$I$151,$AB37)="MONTHLY",INDEX(Contracts!$M$2:$M$151,$AB37),0))*(1-N(INDEX(Contracts!$O$2:$O$151,$AB37))),IF($Z37="A",INDEX(Fixed_Assets!$H$2:$H$201,$AB37)/INDEX(Fixed_Assets!$J$2:$J$201,$AB37),IF($Z37="F",INDEX(Workforce!$F$2:$F$151,MATCH(INDEX(FTE_Allocation!$A$2:$A$201,$AB37),Workforce!$A$2:$A$151,0))*N(INDEX(FTE_Allocation!$F$2:$H$201,$AB37,$AC37)),"")))</f>
        <v/>
      </c>
    </row>
    <row r="38">
      <c r="A38" s="7">
        <f>IF($Z38="","",$AD38)</f>
        <v/>
      </c>
      <c r="B38" s="7">
        <f>IF($Z38="C",INDEX(Contracts!$D$2:$D$151,$AB38)&amp;"",IF($Z38="A",INDEX(Fixed_Assets!$C$2:$C$201,$AB38)&amp;"",IF($Z38="F",INDEX(Workforce!$B$2:$B$151,MATCH(INDEX(FTE_Allocation!$A$2:$A$201,$AB38),Workforce!$A$2:$A$151,0))&amp;"","")))</f>
        <v/>
      </c>
      <c r="C38" s="7">
        <f>IF($Z38="C",INDEX(Contracts!$E$2:$E$151,$AB38)&amp;"",IF($Z38="A",INDEX(Fixed_Assets!$D$2:$D$201,$AB38)&amp;"",IF($Z38="F",INDEX(FTE_Allocation!$C$2:$C$201,$AB38)&amp;"","")))</f>
        <v/>
      </c>
      <c r="D38" s="7">
        <f>IF($Z38="C",INDEX(Contracts!$B$2:$B$151,$AB38)&amp;"",IF($Z38="A",INDEX(Fixed_Assets!$B$2:$B$201,$AB38)&amp;"",IF($Z38="F",INDEX(FTE_Allocation!$B$2:$B$201,$AB38)&amp;"","")))</f>
        <v/>
      </c>
      <c r="E38" s="7">
        <f>IF($Z38="C",INDEX(Contracts!$P$2:$P$151,$AB38)&amp;"",IF($Z38="A",INDEX(Fixed_Assets!$K$2:$K$201,$AB38)&amp;"",IF($Z38="F",IF(INDEX(FTE_Allocation!$D$2:$D$201,$AB38)="PROJECT",IFERROR(INDEX(Projects!$D:$D,MATCH(INDEX(FTE_Allocation!$E$2:$E$201,$AB38),Projects!$A:$A,0))&amp;"","#PROJECT?"),INDEX(FTE_Allocation!$E$2:$E$201,$AB38)&amp;""),"")))</f>
        <v/>
      </c>
      <c r="F38" s="7">
        <f>IF($Z38="C",INDEX(Contracts!$Q$2:$Q$151,$AB38)&amp;"",IF($Z38="A",INDEX(Fixed_Assets!$L$2:$L$201,$AB38)&amp;"",IF($Z38="F",INDEX(Workforce!$K$2:$K$151,MATCH(INDEX(FTE_Allocation!$A$2:$A$201,$AB38),Workforce!$A$2:$A$151,0))&amp;"","")))</f>
        <v/>
      </c>
      <c r="G38" s="7">
        <f>IF($Z38="C",INDEX(Contracts!$F$2:$F$151,$AB38)&amp;" / "&amp;INDEX(Contracts!$G$2:$G$151,$AB38),IF($Z38="A",INDEX(Fixed_Assets!$E$2:$E$201,$AB38)&amp;"",IF($Z38="F","Personnel "&amp;INDEX(FTE_Allocation!$A$2:$A$201,$AB38)&amp;IF(INDEX(FTE_Allocation!$D$2:$D$201,$AB38)="PROJECT"," ("&amp;INDEX(FTE_Allocation!$E$2:$E$201,$AB38)&amp;")",""),"")))</f>
        <v/>
      </c>
      <c r="H38" s="7">
        <f>IF($Z38="C","CONTRACT",IF($Z38="A","ASSET",IF($Z38="F","WORKFORCE","")))</f>
        <v/>
      </c>
      <c r="I38" s="7">
        <f>IF($Z38="C",INDEX(Contracts!$L$2:$L$151,$AB38)&amp;"",IF($Z38="A",INDEX(Fixed_Assets!$I$2:$I$201,$AB38)&amp;"",IF($Z38="F",INDEX(Workforce!$G$2:$G$151,MATCH(INDEX(FTE_Allocation!$A$2:$A$201,$AB38),Workforce!$A$2:$A$151,0))&amp;"","")))</f>
        <v/>
      </c>
      <c r="J38" s="18">
        <f>IF($Z38="","",IF(AND(DATE($AD38,1,1)&gt;=$AE38,DATE($AD38,1,1)&lt;=$AF38),ROUND($AG38,2),0))</f>
        <v/>
      </c>
      <c r="K38" s="18">
        <f>IF($Z38="","",IF(AND(DATE($AD38,2,1)&gt;=$AE38,DATE($AD38,2,1)&lt;=$AF38),ROUND($AG38,2),0))</f>
        <v/>
      </c>
      <c r="L38" s="18">
        <f>IF($Z38="","",IF(AND(DATE($AD38,3,1)&gt;=$AE38,DATE($AD38,3,1)&lt;=$AF38),ROUND($AG38,2),0))</f>
        <v/>
      </c>
      <c r="M38" s="18">
        <f>IF($Z38="","",IF(AND(DATE($AD38,4,1)&gt;=$AE38,DATE($AD38,4,1)&lt;=$AF38),ROUND($AG38,2),0))</f>
        <v/>
      </c>
      <c r="N38" s="18">
        <f>IF($Z38="","",IF(AND(DATE($AD38,5,1)&gt;=$AE38,DATE($AD38,5,1)&lt;=$AF38),ROUND($AG38,2),0))</f>
        <v/>
      </c>
      <c r="O38" s="18">
        <f>IF($Z38="","",IF(AND(DATE($AD38,6,1)&gt;=$AE38,DATE($AD38,6,1)&lt;=$AF38),ROUND($AG38,2),0))</f>
        <v/>
      </c>
      <c r="P38" s="18">
        <f>IF($Z38="","",IF(AND(DATE($AD38,7,1)&gt;=$AE38,DATE($AD38,7,1)&lt;=$AF38),ROUND($AG38,2),0))</f>
        <v/>
      </c>
      <c r="Q38" s="18">
        <f>IF($Z38="","",IF(AND(DATE($AD38,8,1)&gt;=$AE38,DATE($AD38,8,1)&lt;=$AF38),ROUND($AG38,2),0))</f>
        <v/>
      </c>
      <c r="R38" s="18">
        <f>IF($Z38="","",IF(AND(DATE($AD38,9,1)&gt;=$AE38,DATE($AD38,9,1)&lt;=$AF38),ROUND($AG38,2),0))</f>
        <v/>
      </c>
      <c r="S38" s="18">
        <f>IF($Z38="","",IF(AND(DATE($AD38,10,1)&gt;=$AE38,DATE($AD38,10,1)&lt;=$AF38),ROUND($AG38,2),0))</f>
        <v/>
      </c>
      <c r="T38" s="18">
        <f>IF($Z38="","",IF(AND(DATE($AD38,11,1)&gt;=$AE38,DATE($AD38,11,1)&lt;=$AF38),ROUND($AG38,2),0))</f>
        <v/>
      </c>
      <c r="U38" s="18">
        <f>IF($Z38="","",IF(AND(DATE($AD38,12,1)&gt;=$AE38,DATE($AD38,12,1)&lt;=$AF38),ROUND($AG38,2),0))</f>
        <v/>
      </c>
      <c r="V38" s="7">
        <f>IF($Z38="C","Generated from "&amp;INDEX(Contracts!$A$2:$A$151,$AB38),IF($Z38="A","Generated from "&amp;INDEX(Fixed_Assets!$A$2:$A$201,$AB38),IF($Z38="F","Generated from "&amp;INDEX(FTE_Allocation!$A$2:$A$201,$AB38),"")))</f>
        <v/>
      </c>
      <c r="X38" s="19">
        <f>IF($Z38="","",SUM(J38:U38))</f>
        <v/>
      </c>
      <c r="Y38" s="20">
        <f>ROW()-1</f>
        <v/>
      </c>
      <c r="Z38" s="20">
        <f>IF($Y38&lt;=Settings!$B$4*3,"C",IF($Y38&lt;=(Settings!$B$4+Settings!$B$5)*3,"A",IF($Y38&lt;=(Settings!$B$4+Settings!$B$5+Settings!$B$6)*3,"F","")))</f>
        <v/>
      </c>
      <c r="AA38" s="20">
        <f>IF($Z38="C",$Y38,IF($Z38="A",$Y38-Settings!$B$4*3,IF($Z38="F",$Y38-(Settings!$B$4+Settings!$B$5)*3,"")))</f>
        <v/>
      </c>
      <c r="AB38" s="20">
        <f>IF($Z38="","",INT(($AA38-1)/3)+1)</f>
        <v/>
      </c>
      <c r="AC38" s="20">
        <f>IF($Z38="","",MOD($AA38-1,3)+1)</f>
        <v/>
      </c>
      <c r="AD38" s="20">
        <f>IF($Z38="","",Settings!$B$2+$AC38-1)</f>
        <v/>
      </c>
      <c r="AE38" s="21">
        <f>IF($Z38="C",DATE(YEAR(INDEX(Contracts!$J$2:$J$151,$AB38)),MONTH(INDEX(Contracts!$J$2:$J$151,$AB38)),1),IF($Z38="A",DATE(YEAR(INDEX(Fixed_Assets!$G$2:$G$201,$AB38)),MONTH(INDEX(Fixed_Assets!$G$2:$G$201,$AB38)),1),IF($Z38="F",DATE(YEAR(MAX(N(INDEX(Workforce!$I$2:$I$151,MATCH(INDEX(FTE_Allocation!$A$2:$A$201,$AB38),Workforce!$A$2:$A$151,0))),N(INDEX(FTE_Allocation!$I$2:$I$201,$AB38)))),MONTH(MAX(N(INDEX(Workforce!$I$2:$I$151,MATCH(INDEX(FTE_Allocation!$A$2:$A$201,$AB38),Workforce!$A$2:$A$151,0))),N(INDEX(FTE_Allocation!$I$2:$I$201,$AB38)))),1),"")))</f>
        <v/>
      </c>
      <c r="AF38" s="21">
        <f>IF($Z38="C",IF(INDEX(Contracts!$I$2:$I$151,$AB38)="PREPAID",EDATE(DATE(YEAR(INDEX(Contracts!$J$2:$J$151,$AB38)),MONTH(INDEX(Contracts!$J$2:$J$151,$AB38)),1),IF(INDEX(Contracts!$N$2:$N$151,$AB38)="",12,INDEX(Contracts!$N$2:$N$151,$AB38))-1),IF(INDEX(Contracts!$I$2:$I$151,$AB38)="MONTHLY",IF(INDEX(Contracts!$K$2:$K$151,$AB38)="",2958101,INDEX(Contracts!$K$2:$K$151,$AB38)),0)),IF($Z38="A",EDATE(DATE(YEAR(INDEX(Fixed_Assets!$G$2:$G$201,$AB38)),MONTH(INDEX(Fixed_Assets!$G$2:$G$201,$AB38)),1),INDEX(Fixed_Assets!$J$2:$J$201,$AB38)-1),IF($Z38="F",MIN(IF(INDEX(Workforce!$J$2:$J$151,MATCH(INDEX(FTE_Allocation!$A$2:$A$201,$AB38),Workforce!$A$2:$A$151,0))="",2958101,INDEX(Workforce!$J$2:$J$151,MATCH(INDEX(FTE_Allocation!$A$2:$A$201,$AB38),Workforce!$A$2:$A$151,0))),IF(INDEX(FTE_Allocation!$J$2:$J$201,$AB38)="",2958101,INDEX(FTE_Allocation!$J$2:$J$201,$AB38))),"")))</f>
        <v/>
      </c>
      <c r="AG38" s="19">
        <f>IF($Z38="C",IF(INDEX(Contracts!$I$2:$I$151,$AB38)="PREPAID",INDEX(Contracts!$M$2:$M$151,$AB38)/IF(INDEX(Contracts!$N$2:$N$151,$AB38)="",12,INDEX(Contracts!$N$2:$N$151,$AB38)),IF(INDEX(Contracts!$I$2:$I$151,$AB38)="MONTHLY",INDEX(Contracts!$M$2:$M$151,$AB38),0))*(1-N(INDEX(Contracts!$O$2:$O$151,$AB38))),IF($Z38="A",INDEX(Fixed_Assets!$H$2:$H$201,$AB38)/INDEX(Fixed_Assets!$J$2:$J$201,$AB38),IF($Z38="F",INDEX(Workforce!$F$2:$F$151,MATCH(INDEX(FTE_Allocation!$A$2:$A$201,$AB38),Workforce!$A$2:$A$151,0))*N(INDEX(FTE_Allocation!$F$2:$H$201,$AB38,$AC38)),"")))</f>
        <v/>
      </c>
    </row>
    <row r="39">
      <c r="A39" s="7">
        <f>IF($Z39="","",$AD39)</f>
        <v/>
      </c>
      <c r="B39" s="7">
        <f>IF($Z39="C",INDEX(Contracts!$D$2:$D$151,$AB39)&amp;"",IF($Z39="A",INDEX(Fixed_Assets!$C$2:$C$201,$AB39)&amp;"",IF($Z39="F",INDEX(Workforce!$B$2:$B$151,MATCH(INDEX(FTE_Allocation!$A$2:$A$201,$AB39),Workforce!$A$2:$A$151,0))&amp;"","")))</f>
        <v/>
      </c>
      <c r="C39" s="7">
        <f>IF($Z39="C",INDEX(Contracts!$E$2:$E$151,$AB39)&amp;"",IF($Z39="A",INDEX(Fixed_Assets!$D$2:$D$201,$AB39)&amp;"",IF($Z39="F",INDEX(FTE_Allocation!$C$2:$C$201,$AB39)&amp;"","")))</f>
        <v/>
      </c>
      <c r="D39" s="7">
        <f>IF($Z39="C",INDEX(Contracts!$B$2:$B$151,$AB39)&amp;"",IF($Z39="A",INDEX(Fixed_Assets!$B$2:$B$201,$AB39)&amp;"",IF($Z39="F",INDEX(FTE_Allocation!$B$2:$B$201,$AB39)&amp;"","")))</f>
        <v/>
      </c>
      <c r="E39" s="7">
        <f>IF($Z39="C",INDEX(Contracts!$P$2:$P$151,$AB39)&amp;"",IF($Z39="A",INDEX(Fixed_Assets!$K$2:$K$201,$AB39)&amp;"",IF($Z39="F",IF(INDEX(FTE_Allocation!$D$2:$D$201,$AB39)="PROJECT",IFERROR(INDEX(Projects!$D:$D,MATCH(INDEX(FTE_Allocation!$E$2:$E$201,$AB39),Projects!$A:$A,0))&amp;"","#PROJECT?"),INDEX(FTE_Allocation!$E$2:$E$201,$AB39)&amp;""),"")))</f>
        <v/>
      </c>
      <c r="F39" s="7">
        <f>IF($Z39="C",INDEX(Contracts!$Q$2:$Q$151,$AB39)&amp;"",IF($Z39="A",INDEX(Fixed_Assets!$L$2:$L$201,$AB39)&amp;"",IF($Z39="F",INDEX(Workforce!$K$2:$K$151,MATCH(INDEX(FTE_Allocation!$A$2:$A$201,$AB39),Workforce!$A$2:$A$151,0))&amp;"","")))</f>
        <v/>
      </c>
      <c r="G39" s="7">
        <f>IF($Z39="C",INDEX(Contracts!$F$2:$F$151,$AB39)&amp;" / "&amp;INDEX(Contracts!$G$2:$G$151,$AB39),IF($Z39="A",INDEX(Fixed_Assets!$E$2:$E$201,$AB39)&amp;"",IF($Z39="F","Personnel "&amp;INDEX(FTE_Allocation!$A$2:$A$201,$AB39)&amp;IF(INDEX(FTE_Allocation!$D$2:$D$201,$AB39)="PROJECT"," ("&amp;INDEX(FTE_Allocation!$E$2:$E$201,$AB39)&amp;")",""),"")))</f>
        <v/>
      </c>
      <c r="H39" s="7">
        <f>IF($Z39="C","CONTRACT",IF($Z39="A","ASSET",IF($Z39="F","WORKFORCE","")))</f>
        <v/>
      </c>
      <c r="I39" s="7">
        <f>IF($Z39="C",INDEX(Contracts!$L$2:$L$151,$AB39)&amp;"",IF($Z39="A",INDEX(Fixed_Assets!$I$2:$I$201,$AB39)&amp;"",IF($Z39="F",INDEX(Workforce!$G$2:$G$151,MATCH(INDEX(FTE_Allocation!$A$2:$A$201,$AB39),Workforce!$A$2:$A$151,0))&amp;"","")))</f>
        <v/>
      </c>
      <c r="J39" s="18">
        <f>IF($Z39="","",IF(AND(DATE($AD39,1,1)&gt;=$AE39,DATE($AD39,1,1)&lt;=$AF39),ROUND($AG39,2),0))</f>
        <v/>
      </c>
      <c r="K39" s="18">
        <f>IF($Z39="","",IF(AND(DATE($AD39,2,1)&gt;=$AE39,DATE($AD39,2,1)&lt;=$AF39),ROUND($AG39,2),0))</f>
        <v/>
      </c>
      <c r="L39" s="18">
        <f>IF($Z39="","",IF(AND(DATE($AD39,3,1)&gt;=$AE39,DATE($AD39,3,1)&lt;=$AF39),ROUND($AG39,2),0))</f>
        <v/>
      </c>
      <c r="M39" s="18">
        <f>IF($Z39="","",IF(AND(DATE($AD39,4,1)&gt;=$AE39,DATE($AD39,4,1)&lt;=$AF39),ROUND($AG39,2),0))</f>
        <v/>
      </c>
      <c r="N39" s="18">
        <f>IF($Z39="","",IF(AND(DATE($AD39,5,1)&gt;=$AE39,DATE($AD39,5,1)&lt;=$AF39),ROUND($AG39,2),0))</f>
        <v/>
      </c>
      <c r="O39" s="18">
        <f>IF($Z39="","",IF(AND(DATE($AD39,6,1)&gt;=$AE39,DATE($AD39,6,1)&lt;=$AF39),ROUND($AG39,2),0))</f>
        <v/>
      </c>
      <c r="P39" s="18">
        <f>IF($Z39="","",IF(AND(DATE($AD39,7,1)&gt;=$AE39,DATE($AD39,7,1)&lt;=$AF39),ROUND($AG39,2),0))</f>
        <v/>
      </c>
      <c r="Q39" s="18">
        <f>IF($Z39="","",IF(AND(DATE($AD39,8,1)&gt;=$AE39,DATE($AD39,8,1)&lt;=$AF39),ROUND($AG39,2),0))</f>
        <v/>
      </c>
      <c r="R39" s="18">
        <f>IF($Z39="","",IF(AND(DATE($AD39,9,1)&gt;=$AE39,DATE($AD39,9,1)&lt;=$AF39),ROUND($AG39,2),0))</f>
        <v/>
      </c>
      <c r="S39" s="18">
        <f>IF($Z39="","",IF(AND(DATE($AD39,10,1)&gt;=$AE39,DATE($AD39,10,1)&lt;=$AF39),ROUND($AG39,2),0))</f>
        <v/>
      </c>
      <c r="T39" s="18">
        <f>IF($Z39="","",IF(AND(DATE($AD39,11,1)&gt;=$AE39,DATE($AD39,11,1)&lt;=$AF39),ROUND($AG39,2),0))</f>
        <v/>
      </c>
      <c r="U39" s="18">
        <f>IF($Z39="","",IF(AND(DATE($AD39,12,1)&gt;=$AE39,DATE($AD39,12,1)&lt;=$AF39),ROUND($AG39,2),0))</f>
        <v/>
      </c>
      <c r="V39" s="7">
        <f>IF($Z39="C","Generated from "&amp;INDEX(Contracts!$A$2:$A$151,$AB39),IF($Z39="A","Generated from "&amp;INDEX(Fixed_Assets!$A$2:$A$201,$AB39),IF($Z39="F","Generated from "&amp;INDEX(FTE_Allocation!$A$2:$A$201,$AB39),"")))</f>
        <v/>
      </c>
      <c r="X39" s="19">
        <f>IF($Z39="","",SUM(J39:U39))</f>
        <v/>
      </c>
      <c r="Y39" s="20">
        <f>ROW()-1</f>
        <v/>
      </c>
      <c r="Z39" s="20">
        <f>IF($Y39&lt;=Settings!$B$4*3,"C",IF($Y39&lt;=(Settings!$B$4+Settings!$B$5)*3,"A",IF($Y39&lt;=(Settings!$B$4+Settings!$B$5+Settings!$B$6)*3,"F","")))</f>
        <v/>
      </c>
      <c r="AA39" s="20">
        <f>IF($Z39="C",$Y39,IF($Z39="A",$Y39-Settings!$B$4*3,IF($Z39="F",$Y39-(Settings!$B$4+Settings!$B$5)*3,"")))</f>
        <v/>
      </c>
      <c r="AB39" s="20">
        <f>IF($Z39="","",INT(($AA39-1)/3)+1)</f>
        <v/>
      </c>
      <c r="AC39" s="20">
        <f>IF($Z39="","",MOD($AA39-1,3)+1)</f>
        <v/>
      </c>
      <c r="AD39" s="20">
        <f>IF($Z39="","",Settings!$B$2+$AC39-1)</f>
        <v/>
      </c>
      <c r="AE39" s="21">
        <f>IF($Z39="C",DATE(YEAR(INDEX(Contracts!$J$2:$J$151,$AB39)),MONTH(INDEX(Contracts!$J$2:$J$151,$AB39)),1),IF($Z39="A",DATE(YEAR(INDEX(Fixed_Assets!$G$2:$G$201,$AB39)),MONTH(INDEX(Fixed_Assets!$G$2:$G$201,$AB39)),1),IF($Z39="F",DATE(YEAR(MAX(N(INDEX(Workforce!$I$2:$I$151,MATCH(INDEX(FTE_Allocation!$A$2:$A$201,$AB39),Workforce!$A$2:$A$151,0))),N(INDEX(FTE_Allocation!$I$2:$I$201,$AB39)))),MONTH(MAX(N(INDEX(Workforce!$I$2:$I$151,MATCH(INDEX(FTE_Allocation!$A$2:$A$201,$AB39),Workforce!$A$2:$A$151,0))),N(INDEX(FTE_Allocation!$I$2:$I$201,$AB39)))),1),"")))</f>
        <v/>
      </c>
      <c r="AF39" s="21">
        <f>IF($Z39="C",IF(INDEX(Contracts!$I$2:$I$151,$AB39)="PREPAID",EDATE(DATE(YEAR(INDEX(Contracts!$J$2:$J$151,$AB39)),MONTH(INDEX(Contracts!$J$2:$J$151,$AB39)),1),IF(INDEX(Contracts!$N$2:$N$151,$AB39)="",12,INDEX(Contracts!$N$2:$N$151,$AB39))-1),IF(INDEX(Contracts!$I$2:$I$151,$AB39)="MONTHLY",IF(INDEX(Contracts!$K$2:$K$151,$AB39)="",2958101,INDEX(Contracts!$K$2:$K$151,$AB39)),0)),IF($Z39="A",EDATE(DATE(YEAR(INDEX(Fixed_Assets!$G$2:$G$201,$AB39)),MONTH(INDEX(Fixed_Assets!$G$2:$G$201,$AB39)),1),INDEX(Fixed_Assets!$J$2:$J$201,$AB39)-1),IF($Z39="F",MIN(IF(INDEX(Workforce!$J$2:$J$151,MATCH(INDEX(FTE_Allocation!$A$2:$A$201,$AB39),Workforce!$A$2:$A$151,0))="",2958101,INDEX(Workforce!$J$2:$J$151,MATCH(INDEX(FTE_Allocation!$A$2:$A$201,$AB39),Workforce!$A$2:$A$151,0))),IF(INDEX(FTE_Allocation!$J$2:$J$201,$AB39)="",2958101,INDEX(FTE_Allocation!$J$2:$J$201,$AB39))),"")))</f>
        <v/>
      </c>
      <c r="AG39" s="19">
        <f>IF($Z39="C",IF(INDEX(Contracts!$I$2:$I$151,$AB39)="PREPAID",INDEX(Contracts!$M$2:$M$151,$AB39)/IF(INDEX(Contracts!$N$2:$N$151,$AB39)="",12,INDEX(Contracts!$N$2:$N$151,$AB39)),IF(INDEX(Contracts!$I$2:$I$151,$AB39)="MONTHLY",INDEX(Contracts!$M$2:$M$151,$AB39),0))*(1-N(INDEX(Contracts!$O$2:$O$151,$AB39))),IF($Z39="A",INDEX(Fixed_Assets!$H$2:$H$201,$AB39)/INDEX(Fixed_Assets!$J$2:$J$201,$AB39),IF($Z39="F",INDEX(Workforce!$F$2:$F$151,MATCH(INDEX(FTE_Allocation!$A$2:$A$201,$AB39),Workforce!$A$2:$A$151,0))*N(INDEX(FTE_Allocation!$F$2:$H$201,$AB39,$AC39)),"")))</f>
        <v/>
      </c>
    </row>
    <row r="40">
      <c r="A40" s="7">
        <f>IF($Z40="","",$AD40)</f>
        <v/>
      </c>
      <c r="B40" s="7">
        <f>IF($Z40="C",INDEX(Contracts!$D$2:$D$151,$AB40)&amp;"",IF($Z40="A",INDEX(Fixed_Assets!$C$2:$C$201,$AB40)&amp;"",IF($Z40="F",INDEX(Workforce!$B$2:$B$151,MATCH(INDEX(FTE_Allocation!$A$2:$A$201,$AB40),Workforce!$A$2:$A$151,0))&amp;"","")))</f>
        <v/>
      </c>
      <c r="C40" s="7">
        <f>IF($Z40="C",INDEX(Contracts!$E$2:$E$151,$AB40)&amp;"",IF($Z40="A",INDEX(Fixed_Assets!$D$2:$D$201,$AB40)&amp;"",IF($Z40="F",INDEX(FTE_Allocation!$C$2:$C$201,$AB40)&amp;"","")))</f>
        <v/>
      </c>
      <c r="D40" s="7">
        <f>IF($Z40="C",INDEX(Contracts!$B$2:$B$151,$AB40)&amp;"",IF($Z40="A",INDEX(Fixed_Assets!$B$2:$B$201,$AB40)&amp;"",IF($Z40="F",INDEX(FTE_Allocation!$B$2:$B$201,$AB40)&amp;"","")))</f>
        <v/>
      </c>
      <c r="E40" s="7">
        <f>IF($Z40="C",INDEX(Contracts!$P$2:$P$151,$AB40)&amp;"",IF($Z40="A",INDEX(Fixed_Assets!$K$2:$K$201,$AB40)&amp;"",IF($Z40="F",IF(INDEX(FTE_Allocation!$D$2:$D$201,$AB40)="PROJECT",IFERROR(INDEX(Projects!$D:$D,MATCH(INDEX(FTE_Allocation!$E$2:$E$201,$AB40),Projects!$A:$A,0))&amp;"","#PROJECT?"),INDEX(FTE_Allocation!$E$2:$E$201,$AB40)&amp;""),"")))</f>
        <v/>
      </c>
      <c r="F40" s="7">
        <f>IF($Z40="C",INDEX(Contracts!$Q$2:$Q$151,$AB40)&amp;"",IF($Z40="A",INDEX(Fixed_Assets!$L$2:$L$201,$AB40)&amp;"",IF($Z40="F",INDEX(Workforce!$K$2:$K$151,MATCH(INDEX(FTE_Allocation!$A$2:$A$201,$AB40),Workforce!$A$2:$A$151,0))&amp;"","")))</f>
        <v/>
      </c>
      <c r="G40" s="7">
        <f>IF($Z40="C",INDEX(Contracts!$F$2:$F$151,$AB40)&amp;" / "&amp;INDEX(Contracts!$G$2:$G$151,$AB40),IF($Z40="A",INDEX(Fixed_Assets!$E$2:$E$201,$AB40)&amp;"",IF($Z40="F","Personnel "&amp;INDEX(FTE_Allocation!$A$2:$A$201,$AB40)&amp;IF(INDEX(FTE_Allocation!$D$2:$D$201,$AB40)="PROJECT"," ("&amp;INDEX(FTE_Allocation!$E$2:$E$201,$AB40)&amp;")",""),"")))</f>
        <v/>
      </c>
      <c r="H40" s="7">
        <f>IF($Z40="C","CONTRACT",IF($Z40="A","ASSET",IF($Z40="F","WORKFORCE","")))</f>
        <v/>
      </c>
      <c r="I40" s="7">
        <f>IF($Z40="C",INDEX(Contracts!$L$2:$L$151,$AB40)&amp;"",IF($Z40="A",INDEX(Fixed_Assets!$I$2:$I$201,$AB40)&amp;"",IF($Z40="F",INDEX(Workforce!$G$2:$G$151,MATCH(INDEX(FTE_Allocation!$A$2:$A$201,$AB40),Workforce!$A$2:$A$151,0))&amp;"","")))</f>
        <v/>
      </c>
      <c r="J40" s="18">
        <f>IF($Z40="","",IF(AND(DATE($AD40,1,1)&gt;=$AE40,DATE($AD40,1,1)&lt;=$AF40),ROUND($AG40,2),0))</f>
        <v/>
      </c>
      <c r="K40" s="18">
        <f>IF($Z40="","",IF(AND(DATE($AD40,2,1)&gt;=$AE40,DATE($AD40,2,1)&lt;=$AF40),ROUND($AG40,2),0))</f>
        <v/>
      </c>
      <c r="L40" s="18">
        <f>IF($Z40="","",IF(AND(DATE($AD40,3,1)&gt;=$AE40,DATE($AD40,3,1)&lt;=$AF40),ROUND($AG40,2),0))</f>
        <v/>
      </c>
      <c r="M40" s="18">
        <f>IF($Z40="","",IF(AND(DATE($AD40,4,1)&gt;=$AE40,DATE($AD40,4,1)&lt;=$AF40),ROUND($AG40,2),0))</f>
        <v/>
      </c>
      <c r="N40" s="18">
        <f>IF($Z40="","",IF(AND(DATE($AD40,5,1)&gt;=$AE40,DATE($AD40,5,1)&lt;=$AF40),ROUND($AG40,2),0))</f>
        <v/>
      </c>
      <c r="O40" s="18">
        <f>IF($Z40="","",IF(AND(DATE($AD40,6,1)&gt;=$AE40,DATE($AD40,6,1)&lt;=$AF40),ROUND($AG40,2),0))</f>
        <v/>
      </c>
      <c r="P40" s="18">
        <f>IF($Z40="","",IF(AND(DATE($AD40,7,1)&gt;=$AE40,DATE($AD40,7,1)&lt;=$AF40),ROUND($AG40,2),0))</f>
        <v/>
      </c>
      <c r="Q40" s="18">
        <f>IF($Z40="","",IF(AND(DATE($AD40,8,1)&gt;=$AE40,DATE($AD40,8,1)&lt;=$AF40),ROUND($AG40,2),0))</f>
        <v/>
      </c>
      <c r="R40" s="18">
        <f>IF($Z40="","",IF(AND(DATE($AD40,9,1)&gt;=$AE40,DATE($AD40,9,1)&lt;=$AF40),ROUND($AG40,2),0))</f>
        <v/>
      </c>
      <c r="S40" s="18">
        <f>IF($Z40="","",IF(AND(DATE($AD40,10,1)&gt;=$AE40,DATE($AD40,10,1)&lt;=$AF40),ROUND($AG40,2),0))</f>
        <v/>
      </c>
      <c r="T40" s="18">
        <f>IF($Z40="","",IF(AND(DATE($AD40,11,1)&gt;=$AE40,DATE($AD40,11,1)&lt;=$AF40),ROUND($AG40,2),0))</f>
        <v/>
      </c>
      <c r="U40" s="18">
        <f>IF($Z40="","",IF(AND(DATE($AD40,12,1)&gt;=$AE40,DATE($AD40,12,1)&lt;=$AF40),ROUND($AG40,2),0))</f>
        <v/>
      </c>
      <c r="V40" s="7">
        <f>IF($Z40="C","Generated from "&amp;INDEX(Contracts!$A$2:$A$151,$AB40),IF($Z40="A","Generated from "&amp;INDEX(Fixed_Assets!$A$2:$A$201,$AB40),IF($Z40="F","Generated from "&amp;INDEX(FTE_Allocation!$A$2:$A$201,$AB40),"")))</f>
        <v/>
      </c>
      <c r="X40" s="19">
        <f>IF($Z40="","",SUM(J40:U40))</f>
        <v/>
      </c>
      <c r="Y40" s="20">
        <f>ROW()-1</f>
        <v/>
      </c>
      <c r="Z40" s="20">
        <f>IF($Y40&lt;=Settings!$B$4*3,"C",IF($Y40&lt;=(Settings!$B$4+Settings!$B$5)*3,"A",IF($Y40&lt;=(Settings!$B$4+Settings!$B$5+Settings!$B$6)*3,"F","")))</f>
        <v/>
      </c>
      <c r="AA40" s="20">
        <f>IF($Z40="C",$Y40,IF($Z40="A",$Y40-Settings!$B$4*3,IF($Z40="F",$Y40-(Settings!$B$4+Settings!$B$5)*3,"")))</f>
        <v/>
      </c>
      <c r="AB40" s="20">
        <f>IF($Z40="","",INT(($AA40-1)/3)+1)</f>
        <v/>
      </c>
      <c r="AC40" s="20">
        <f>IF($Z40="","",MOD($AA40-1,3)+1)</f>
        <v/>
      </c>
      <c r="AD40" s="20">
        <f>IF($Z40="","",Settings!$B$2+$AC40-1)</f>
        <v/>
      </c>
      <c r="AE40" s="21">
        <f>IF($Z40="C",DATE(YEAR(INDEX(Contracts!$J$2:$J$151,$AB40)),MONTH(INDEX(Contracts!$J$2:$J$151,$AB40)),1),IF($Z40="A",DATE(YEAR(INDEX(Fixed_Assets!$G$2:$G$201,$AB40)),MONTH(INDEX(Fixed_Assets!$G$2:$G$201,$AB40)),1),IF($Z40="F",DATE(YEAR(MAX(N(INDEX(Workforce!$I$2:$I$151,MATCH(INDEX(FTE_Allocation!$A$2:$A$201,$AB40),Workforce!$A$2:$A$151,0))),N(INDEX(FTE_Allocation!$I$2:$I$201,$AB40)))),MONTH(MAX(N(INDEX(Workforce!$I$2:$I$151,MATCH(INDEX(FTE_Allocation!$A$2:$A$201,$AB40),Workforce!$A$2:$A$151,0))),N(INDEX(FTE_Allocation!$I$2:$I$201,$AB40)))),1),"")))</f>
        <v/>
      </c>
      <c r="AF40" s="21">
        <f>IF($Z40="C",IF(INDEX(Contracts!$I$2:$I$151,$AB40)="PREPAID",EDATE(DATE(YEAR(INDEX(Contracts!$J$2:$J$151,$AB40)),MONTH(INDEX(Contracts!$J$2:$J$151,$AB40)),1),IF(INDEX(Contracts!$N$2:$N$151,$AB40)="",12,INDEX(Contracts!$N$2:$N$151,$AB40))-1),IF(INDEX(Contracts!$I$2:$I$151,$AB40)="MONTHLY",IF(INDEX(Contracts!$K$2:$K$151,$AB40)="",2958101,INDEX(Contracts!$K$2:$K$151,$AB40)),0)),IF($Z40="A",EDATE(DATE(YEAR(INDEX(Fixed_Assets!$G$2:$G$201,$AB40)),MONTH(INDEX(Fixed_Assets!$G$2:$G$201,$AB40)),1),INDEX(Fixed_Assets!$J$2:$J$201,$AB40)-1),IF($Z40="F",MIN(IF(INDEX(Workforce!$J$2:$J$151,MATCH(INDEX(FTE_Allocation!$A$2:$A$201,$AB40),Workforce!$A$2:$A$151,0))="",2958101,INDEX(Workforce!$J$2:$J$151,MATCH(INDEX(FTE_Allocation!$A$2:$A$201,$AB40),Workforce!$A$2:$A$151,0))),IF(INDEX(FTE_Allocation!$J$2:$J$201,$AB40)="",2958101,INDEX(FTE_Allocation!$J$2:$J$201,$AB40))),"")))</f>
        <v/>
      </c>
      <c r="AG40" s="19">
        <f>IF($Z40="C",IF(INDEX(Contracts!$I$2:$I$151,$AB40)="PREPAID",INDEX(Contracts!$M$2:$M$151,$AB40)/IF(INDEX(Contracts!$N$2:$N$151,$AB40)="",12,INDEX(Contracts!$N$2:$N$151,$AB40)),IF(INDEX(Contracts!$I$2:$I$151,$AB40)="MONTHLY",INDEX(Contracts!$M$2:$M$151,$AB40),0))*(1-N(INDEX(Contracts!$O$2:$O$151,$AB40))),IF($Z40="A",INDEX(Fixed_Assets!$H$2:$H$201,$AB40)/INDEX(Fixed_Assets!$J$2:$J$201,$AB40),IF($Z40="F",INDEX(Workforce!$F$2:$F$151,MATCH(INDEX(FTE_Allocation!$A$2:$A$201,$AB40),Workforce!$A$2:$A$151,0))*N(INDEX(FTE_Allocation!$F$2:$H$201,$AB40,$AC40)),"")))</f>
        <v/>
      </c>
    </row>
    <row r="41">
      <c r="A41" s="7">
        <f>IF($Z41="","",$AD41)</f>
        <v/>
      </c>
      <c r="B41" s="7">
        <f>IF($Z41="C",INDEX(Contracts!$D$2:$D$151,$AB41)&amp;"",IF($Z41="A",INDEX(Fixed_Assets!$C$2:$C$201,$AB41)&amp;"",IF($Z41="F",INDEX(Workforce!$B$2:$B$151,MATCH(INDEX(FTE_Allocation!$A$2:$A$201,$AB41),Workforce!$A$2:$A$151,0))&amp;"","")))</f>
        <v/>
      </c>
      <c r="C41" s="7">
        <f>IF($Z41="C",INDEX(Contracts!$E$2:$E$151,$AB41)&amp;"",IF($Z41="A",INDEX(Fixed_Assets!$D$2:$D$201,$AB41)&amp;"",IF($Z41="F",INDEX(FTE_Allocation!$C$2:$C$201,$AB41)&amp;"","")))</f>
        <v/>
      </c>
      <c r="D41" s="7">
        <f>IF($Z41="C",INDEX(Contracts!$B$2:$B$151,$AB41)&amp;"",IF($Z41="A",INDEX(Fixed_Assets!$B$2:$B$201,$AB41)&amp;"",IF($Z41="F",INDEX(FTE_Allocation!$B$2:$B$201,$AB41)&amp;"","")))</f>
        <v/>
      </c>
      <c r="E41" s="7">
        <f>IF($Z41="C",INDEX(Contracts!$P$2:$P$151,$AB41)&amp;"",IF($Z41="A",INDEX(Fixed_Assets!$K$2:$K$201,$AB41)&amp;"",IF($Z41="F",IF(INDEX(FTE_Allocation!$D$2:$D$201,$AB41)="PROJECT",IFERROR(INDEX(Projects!$D:$D,MATCH(INDEX(FTE_Allocation!$E$2:$E$201,$AB41),Projects!$A:$A,0))&amp;"","#PROJECT?"),INDEX(FTE_Allocation!$E$2:$E$201,$AB41)&amp;""),"")))</f>
        <v/>
      </c>
      <c r="F41" s="7">
        <f>IF($Z41="C",INDEX(Contracts!$Q$2:$Q$151,$AB41)&amp;"",IF($Z41="A",INDEX(Fixed_Assets!$L$2:$L$201,$AB41)&amp;"",IF($Z41="F",INDEX(Workforce!$K$2:$K$151,MATCH(INDEX(FTE_Allocation!$A$2:$A$201,$AB41),Workforce!$A$2:$A$151,0))&amp;"","")))</f>
        <v/>
      </c>
      <c r="G41" s="7">
        <f>IF($Z41="C",INDEX(Contracts!$F$2:$F$151,$AB41)&amp;" / "&amp;INDEX(Contracts!$G$2:$G$151,$AB41),IF($Z41="A",INDEX(Fixed_Assets!$E$2:$E$201,$AB41)&amp;"",IF($Z41="F","Personnel "&amp;INDEX(FTE_Allocation!$A$2:$A$201,$AB41)&amp;IF(INDEX(FTE_Allocation!$D$2:$D$201,$AB41)="PROJECT"," ("&amp;INDEX(FTE_Allocation!$E$2:$E$201,$AB41)&amp;")",""),"")))</f>
        <v/>
      </c>
      <c r="H41" s="7">
        <f>IF($Z41="C","CONTRACT",IF($Z41="A","ASSET",IF($Z41="F","WORKFORCE","")))</f>
        <v/>
      </c>
      <c r="I41" s="7">
        <f>IF($Z41="C",INDEX(Contracts!$L$2:$L$151,$AB41)&amp;"",IF($Z41="A",INDEX(Fixed_Assets!$I$2:$I$201,$AB41)&amp;"",IF($Z41="F",INDEX(Workforce!$G$2:$G$151,MATCH(INDEX(FTE_Allocation!$A$2:$A$201,$AB41),Workforce!$A$2:$A$151,0))&amp;"","")))</f>
        <v/>
      </c>
      <c r="J41" s="18">
        <f>IF($Z41="","",IF(AND(DATE($AD41,1,1)&gt;=$AE41,DATE($AD41,1,1)&lt;=$AF41),ROUND($AG41,2),0))</f>
        <v/>
      </c>
      <c r="K41" s="18">
        <f>IF($Z41="","",IF(AND(DATE($AD41,2,1)&gt;=$AE41,DATE($AD41,2,1)&lt;=$AF41),ROUND($AG41,2),0))</f>
        <v/>
      </c>
      <c r="L41" s="18">
        <f>IF($Z41="","",IF(AND(DATE($AD41,3,1)&gt;=$AE41,DATE($AD41,3,1)&lt;=$AF41),ROUND($AG41,2),0))</f>
        <v/>
      </c>
      <c r="M41" s="18">
        <f>IF($Z41="","",IF(AND(DATE($AD41,4,1)&gt;=$AE41,DATE($AD41,4,1)&lt;=$AF41),ROUND($AG41,2),0))</f>
        <v/>
      </c>
      <c r="N41" s="18">
        <f>IF($Z41="","",IF(AND(DATE($AD41,5,1)&gt;=$AE41,DATE($AD41,5,1)&lt;=$AF41),ROUND($AG41,2),0))</f>
        <v/>
      </c>
      <c r="O41" s="18">
        <f>IF($Z41="","",IF(AND(DATE($AD41,6,1)&gt;=$AE41,DATE($AD41,6,1)&lt;=$AF41),ROUND($AG41,2),0))</f>
        <v/>
      </c>
      <c r="P41" s="18">
        <f>IF($Z41="","",IF(AND(DATE($AD41,7,1)&gt;=$AE41,DATE($AD41,7,1)&lt;=$AF41),ROUND($AG41,2),0))</f>
        <v/>
      </c>
      <c r="Q41" s="18">
        <f>IF($Z41="","",IF(AND(DATE($AD41,8,1)&gt;=$AE41,DATE($AD41,8,1)&lt;=$AF41),ROUND($AG41,2),0))</f>
        <v/>
      </c>
      <c r="R41" s="18">
        <f>IF($Z41="","",IF(AND(DATE($AD41,9,1)&gt;=$AE41,DATE($AD41,9,1)&lt;=$AF41),ROUND($AG41,2),0))</f>
        <v/>
      </c>
      <c r="S41" s="18">
        <f>IF($Z41="","",IF(AND(DATE($AD41,10,1)&gt;=$AE41,DATE($AD41,10,1)&lt;=$AF41),ROUND($AG41,2),0))</f>
        <v/>
      </c>
      <c r="T41" s="18">
        <f>IF($Z41="","",IF(AND(DATE($AD41,11,1)&gt;=$AE41,DATE($AD41,11,1)&lt;=$AF41),ROUND($AG41,2),0))</f>
        <v/>
      </c>
      <c r="U41" s="18">
        <f>IF($Z41="","",IF(AND(DATE($AD41,12,1)&gt;=$AE41,DATE($AD41,12,1)&lt;=$AF41),ROUND($AG41,2),0))</f>
        <v/>
      </c>
      <c r="V41" s="7">
        <f>IF($Z41="C","Generated from "&amp;INDEX(Contracts!$A$2:$A$151,$AB41),IF($Z41="A","Generated from "&amp;INDEX(Fixed_Assets!$A$2:$A$201,$AB41),IF($Z41="F","Generated from "&amp;INDEX(FTE_Allocation!$A$2:$A$201,$AB41),"")))</f>
        <v/>
      </c>
      <c r="X41" s="19">
        <f>IF($Z41="","",SUM(J41:U41))</f>
        <v/>
      </c>
      <c r="Y41" s="20">
        <f>ROW()-1</f>
        <v/>
      </c>
      <c r="Z41" s="20">
        <f>IF($Y41&lt;=Settings!$B$4*3,"C",IF($Y41&lt;=(Settings!$B$4+Settings!$B$5)*3,"A",IF($Y41&lt;=(Settings!$B$4+Settings!$B$5+Settings!$B$6)*3,"F","")))</f>
        <v/>
      </c>
      <c r="AA41" s="20">
        <f>IF($Z41="C",$Y41,IF($Z41="A",$Y41-Settings!$B$4*3,IF($Z41="F",$Y41-(Settings!$B$4+Settings!$B$5)*3,"")))</f>
        <v/>
      </c>
      <c r="AB41" s="20">
        <f>IF($Z41="","",INT(($AA41-1)/3)+1)</f>
        <v/>
      </c>
      <c r="AC41" s="20">
        <f>IF($Z41="","",MOD($AA41-1,3)+1)</f>
        <v/>
      </c>
      <c r="AD41" s="20">
        <f>IF($Z41="","",Settings!$B$2+$AC41-1)</f>
        <v/>
      </c>
      <c r="AE41" s="21">
        <f>IF($Z41="C",DATE(YEAR(INDEX(Contracts!$J$2:$J$151,$AB41)),MONTH(INDEX(Contracts!$J$2:$J$151,$AB41)),1),IF($Z41="A",DATE(YEAR(INDEX(Fixed_Assets!$G$2:$G$201,$AB41)),MONTH(INDEX(Fixed_Assets!$G$2:$G$201,$AB41)),1),IF($Z41="F",DATE(YEAR(MAX(N(INDEX(Workforce!$I$2:$I$151,MATCH(INDEX(FTE_Allocation!$A$2:$A$201,$AB41),Workforce!$A$2:$A$151,0))),N(INDEX(FTE_Allocation!$I$2:$I$201,$AB41)))),MONTH(MAX(N(INDEX(Workforce!$I$2:$I$151,MATCH(INDEX(FTE_Allocation!$A$2:$A$201,$AB41),Workforce!$A$2:$A$151,0))),N(INDEX(FTE_Allocation!$I$2:$I$201,$AB41)))),1),"")))</f>
        <v/>
      </c>
      <c r="AF41" s="21">
        <f>IF($Z41="C",IF(INDEX(Contracts!$I$2:$I$151,$AB41)="PREPAID",EDATE(DATE(YEAR(INDEX(Contracts!$J$2:$J$151,$AB41)),MONTH(INDEX(Contracts!$J$2:$J$151,$AB41)),1),IF(INDEX(Contracts!$N$2:$N$151,$AB41)="",12,INDEX(Contracts!$N$2:$N$151,$AB41))-1),IF(INDEX(Contracts!$I$2:$I$151,$AB41)="MONTHLY",IF(INDEX(Contracts!$K$2:$K$151,$AB41)="",2958101,INDEX(Contracts!$K$2:$K$151,$AB41)),0)),IF($Z41="A",EDATE(DATE(YEAR(INDEX(Fixed_Assets!$G$2:$G$201,$AB41)),MONTH(INDEX(Fixed_Assets!$G$2:$G$201,$AB41)),1),INDEX(Fixed_Assets!$J$2:$J$201,$AB41)-1),IF($Z41="F",MIN(IF(INDEX(Workforce!$J$2:$J$151,MATCH(INDEX(FTE_Allocation!$A$2:$A$201,$AB41),Workforce!$A$2:$A$151,0))="",2958101,INDEX(Workforce!$J$2:$J$151,MATCH(INDEX(FTE_Allocation!$A$2:$A$201,$AB41),Workforce!$A$2:$A$151,0))),IF(INDEX(FTE_Allocation!$J$2:$J$201,$AB41)="",2958101,INDEX(FTE_Allocation!$J$2:$J$201,$AB41))),"")))</f>
        <v/>
      </c>
      <c r="AG41" s="19">
        <f>IF($Z41="C",IF(INDEX(Contracts!$I$2:$I$151,$AB41)="PREPAID",INDEX(Contracts!$M$2:$M$151,$AB41)/IF(INDEX(Contracts!$N$2:$N$151,$AB41)="",12,INDEX(Contracts!$N$2:$N$151,$AB41)),IF(INDEX(Contracts!$I$2:$I$151,$AB41)="MONTHLY",INDEX(Contracts!$M$2:$M$151,$AB41),0))*(1-N(INDEX(Contracts!$O$2:$O$151,$AB41))),IF($Z41="A",INDEX(Fixed_Assets!$H$2:$H$201,$AB41)/INDEX(Fixed_Assets!$J$2:$J$201,$AB41),IF($Z41="F",INDEX(Workforce!$F$2:$F$151,MATCH(INDEX(FTE_Allocation!$A$2:$A$201,$AB41),Workforce!$A$2:$A$151,0))*N(INDEX(FTE_Allocation!$F$2:$H$201,$AB41,$AC41)),"")))</f>
        <v/>
      </c>
    </row>
    <row r="42">
      <c r="A42" s="7">
        <f>IF($Z42="","",$AD42)</f>
        <v/>
      </c>
      <c r="B42" s="7">
        <f>IF($Z42="C",INDEX(Contracts!$D$2:$D$151,$AB42)&amp;"",IF($Z42="A",INDEX(Fixed_Assets!$C$2:$C$201,$AB42)&amp;"",IF($Z42="F",INDEX(Workforce!$B$2:$B$151,MATCH(INDEX(FTE_Allocation!$A$2:$A$201,$AB42),Workforce!$A$2:$A$151,0))&amp;"","")))</f>
        <v/>
      </c>
      <c r="C42" s="7">
        <f>IF($Z42="C",INDEX(Contracts!$E$2:$E$151,$AB42)&amp;"",IF($Z42="A",INDEX(Fixed_Assets!$D$2:$D$201,$AB42)&amp;"",IF($Z42="F",INDEX(FTE_Allocation!$C$2:$C$201,$AB42)&amp;"","")))</f>
        <v/>
      </c>
      <c r="D42" s="7">
        <f>IF($Z42="C",INDEX(Contracts!$B$2:$B$151,$AB42)&amp;"",IF($Z42="A",INDEX(Fixed_Assets!$B$2:$B$201,$AB42)&amp;"",IF($Z42="F",INDEX(FTE_Allocation!$B$2:$B$201,$AB42)&amp;"","")))</f>
        <v/>
      </c>
      <c r="E42" s="7">
        <f>IF($Z42="C",INDEX(Contracts!$P$2:$P$151,$AB42)&amp;"",IF($Z42="A",INDEX(Fixed_Assets!$K$2:$K$201,$AB42)&amp;"",IF($Z42="F",IF(INDEX(FTE_Allocation!$D$2:$D$201,$AB42)="PROJECT",IFERROR(INDEX(Projects!$D:$D,MATCH(INDEX(FTE_Allocation!$E$2:$E$201,$AB42),Projects!$A:$A,0))&amp;"","#PROJECT?"),INDEX(FTE_Allocation!$E$2:$E$201,$AB42)&amp;""),"")))</f>
        <v/>
      </c>
      <c r="F42" s="7">
        <f>IF($Z42="C",INDEX(Contracts!$Q$2:$Q$151,$AB42)&amp;"",IF($Z42="A",INDEX(Fixed_Assets!$L$2:$L$201,$AB42)&amp;"",IF($Z42="F",INDEX(Workforce!$K$2:$K$151,MATCH(INDEX(FTE_Allocation!$A$2:$A$201,$AB42),Workforce!$A$2:$A$151,0))&amp;"","")))</f>
        <v/>
      </c>
      <c r="G42" s="7">
        <f>IF($Z42="C",INDEX(Contracts!$F$2:$F$151,$AB42)&amp;" / "&amp;INDEX(Contracts!$G$2:$G$151,$AB42),IF($Z42="A",INDEX(Fixed_Assets!$E$2:$E$201,$AB42)&amp;"",IF($Z42="F","Personnel "&amp;INDEX(FTE_Allocation!$A$2:$A$201,$AB42)&amp;IF(INDEX(FTE_Allocation!$D$2:$D$201,$AB42)="PROJECT"," ("&amp;INDEX(FTE_Allocation!$E$2:$E$201,$AB42)&amp;")",""),"")))</f>
        <v/>
      </c>
      <c r="H42" s="7">
        <f>IF($Z42="C","CONTRACT",IF($Z42="A","ASSET",IF($Z42="F","WORKFORCE","")))</f>
        <v/>
      </c>
      <c r="I42" s="7">
        <f>IF($Z42="C",INDEX(Contracts!$L$2:$L$151,$AB42)&amp;"",IF($Z42="A",INDEX(Fixed_Assets!$I$2:$I$201,$AB42)&amp;"",IF($Z42="F",INDEX(Workforce!$G$2:$G$151,MATCH(INDEX(FTE_Allocation!$A$2:$A$201,$AB42),Workforce!$A$2:$A$151,0))&amp;"","")))</f>
        <v/>
      </c>
      <c r="J42" s="18">
        <f>IF($Z42="","",IF(AND(DATE($AD42,1,1)&gt;=$AE42,DATE($AD42,1,1)&lt;=$AF42),ROUND($AG42,2),0))</f>
        <v/>
      </c>
      <c r="K42" s="18">
        <f>IF($Z42="","",IF(AND(DATE($AD42,2,1)&gt;=$AE42,DATE($AD42,2,1)&lt;=$AF42),ROUND($AG42,2),0))</f>
        <v/>
      </c>
      <c r="L42" s="18">
        <f>IF($Z42="","",IF(AND(DATE($AD42,3,1)&gt;=$AE42,DATE($AD42,3,1)&lt;=$AF42),ROUND($AG42,2),0))</f>
        <v/>
      </c>
      <c r="M42" s="18">
        <f>IF($Z42="","",IF(AND(DATE($AD42,4,1)&gt;=$AE42,DATE($AD42,4,1)&lt;=$AF42),ROUND($AG42,2),0))</f>
        <v/>
      </c>
      <c r="N42" s="18">
        <f>IF($Z42="","",IF(AND(DATE($AD42,5,1)&gt;=$AE42,DATE($AD42,5,1)&lt;=$AF42),ROUND($AG42,2),0))</f>
        <v/>
      </c>
      <c r="O42" s="18">
        <f>IF($Z42="","",IF(AND(DATE($AD42,6,1)&gt;=$AE42,DATE($AD42,6,1)&lt;=$AF42),ROUND($AG42,2),0))</f>
        <v/>
      </c>
      <c r="P42" s="18">
        <f>IF($Z42="","",IF(AND(DATE($AD42,7,1)&gt;=$AE42,DATE($AD42,7,1)&lt;=$AF42),ROUND($AG42,2),0))</f>
        <v/>
      </c>
      <c r="Q42" s="18">
        <f>IF($Z42="","",IF(AND(DATE($AD42,8,1)&gt;=$AE42,DATE($AD42,8,1)&lt;=$AF42),ROUND($AG42,2),0))</f>
        <v/>
      </c>
      <c r="R42" s="18">
        <f>IF($Z42="","",IF(AND(DATE($AD42,9,1)&gt;=$AE42,DATE($AD42,9,1)&lt;=$AF42),ROUND($AG42,2),0))</f>
        <v/>
      </c>
      <c r="S42" s="18">
        <f>IF($Z42="","",IF(AND(DATE($AD42,10,1)&gt;=$AE42,DATE($AD42,10,1)&lt;=$AF42),ROUND($AG42,2),0))</f>
        <v/>
      </c>
      <c r="T42" s="18">
        <f>IF($Z42="","",IF(AND(DATE($AD42,11,1)&gt;=$AE42,DATE($AD42,11,1)&lt;=$AF42),ROUND($AG42,2),0))</f>
        <v/>
      </c>
      <c r="U42" s="18">
        <f>IF($Z42="","",IF(AND(DATE($AD42,12,1)&gt;=$AE42,DATE($AD42,12,1)&lt;=$AF42),ROUND($AG42,2),0))</f>
        <v/>
      </c>
      <c r="V42" s="7">
        <f>IF($Z42="C","Generated from "&amp;INDEX(Contracts!$A$2:$A$151,$AB42),IF($Z42="A","Generated from "&amp;INDEX(Fixed_Assets!$A$2:$A$201,$AB42),IF($Z42="F","Generated from "&amp;INDEX(FTE_Allocation!$A$2:$A$201,$AB42),"")))</f>
        <v/>
      </c>
      <c r="X42" s="19">
        <f>IF($Z42="","",SUM(J42:U42))</f>
        <v/>
      </c>
      <c r="Y42" s="20">
        <f>ROW()-1</f>
        <v/>
      </c>
      <c r="Z42" s="20">
        <f>IF($Y42&lt;=Settings!$B$4*3,"C",IF($Y42&lt;=(Settings!$B$4+Settings!$B$5)*3,"A",IF($Y42&lt;=(Settings!$B$4+Settings!$B$5+Settings!$B$6)*3,"F","")))</f>
        <v/>
      </c>
      <c r="AA42" s="20">
        <f>IF($Z42="C",$Y42,IF($Z42="A",$Y42-Settings!$B$4*3,IF($Z42="F",$Y42-(Settings!$B$4+Settings!$B$5)*3,"")))</f>
        <v/>
      </c>
      <c r="AB42" s="20">
        <f>IF($Z42="","",INT(($AA42-1)/3)+1)</f>
        <v/>
      </c>
      <c r="AC42" s="20">
        <f>IF($Z42="","",MOD($AA42-1,3)+1)</f>
        <v/>
      </c>
      <c r="AD42" s="20">
        <f>IF($Z42="","",Settings!$B$2+$AC42-1)</f>
        <v/>
      </c>
      <c r="AE42" s="21">
        <f>IF($Z42="C",DATE(YEAR(INDEX(Contracts!$J$2:$J$151,$AB42)),MONTH(INDEX(Contracts!$J$2:$J$151,$AB42)),1),IF($Z42="A",DATE(YEAR(INDEX(Fixed_Assets!$G$2:$G$201,$AB42)),MONTH(INDEX(Fixed_Assets!$G$2:$G$201,$AB42)),1),IF($Z42="F",DATE(YEAR(MAX(N(INDEX(Workforce!$I$2:$I$151,MATCH(INDEX(FTE_Allocation!$A$2:$A$201,$AB42),Workforce!$A$2:$A$151,0))),N(INDEX(FTE_Allocation!$I$2:$I$201,$AB42)))),MONTH(MAX(N(INDEX(Workforce!$I$2:$I$151,MATCH(INDEX(FTE_Allocation!$A$2:$A$201,$AB42),Workforce!$A$2:$A$151,0))),N(INDEX(FTE_Allocation!$I$2:$I$201,$AB42)))),1),"")))</f>
        <v/>
      </c>
      <c r="AF42" s="21">
        <f>IF($Z42="C",IF(INDEX(Contracts!$I$2:$I$151,$AB42)="PREPAID",EDATE(DATE(YEAR(INDEX(Contracts!$J$2:$J$151,$AB42)),MONTH(INDEX(Contracts!$J$2:$J$151,$AB42)),1),IF(INDEX(Contracts!$N$2:$N$151,$AB42)="",12,INDEX(Contracts!$N$2:$N$151,$AB42))-1),IF(INDEX(Contracts!$I$2:$I$151,$AB42)="MONTHLY",IF(INDEX(Contracts!$K$2:$K$151,$AB42)="",2958101,INDEX(Contracts!$K$2:$K$151,$AB42)),0)),IF($Z42="A",EDATE(DATE(YEAR(INDEX(Fixed_Assets!$G$2:$G$201,$AB42)),MONTH(INDEX(Fixed_Assets!$G$2:$G$201,$AB42)),1),INDEX(Fixed_Assets!$J$2:$J$201,$AB42)-1),IF($Z42="F",MIN(IF(INDEX(Workforce!$J$2:$J$151,MATCH(INDEX(FTE_Allocation!$A$2:$A$201,$AB42),Workforce!$A$2:$A$151,0))="",2958101,INDEX(Workforce!$J$2:$J$151,MATCH(INDEX(FTE_Allocation!$A$2:$A$201,$AB42),Workforce!$A$2:$A$151,0))),IF(INDEX(FTE_Allocation!$J$2:$J$201,$AB42)="",2958101,INDEX(FTE_Allocation!$J$2:$J$201,$AB42))),"")))</f>
        <v/>
      </c>
      <c r="AG42" s="19">
        <f>IF($Z42="C",IF(INDEX(Contracts!$I$2:$I$151,$AB42)="PREPAID",INDEX(Contracts!$M$2:$M$151,$AB42)/IF(INDEX(Contracts!$N$2:$N$151,$AB42)="",12,INDEX(Contracts!$N$2:$N$151,$AB42)),IF(INDEX(Contracts!$I$2:$I$151,$AB42)="MONTHLY",INDEX(Contracts!$M$2:$M$151,$AB42),0))*(1-N(INDEX(Contracts!$O$2:$O$151,$AB42))),IF($Z42="A",INDEX(Fixed_Assets!$H$2:$H$201,$AB42)/INDEX(Fixed_Assets!$J$2:$J$201,$AB42),IF($Z42="F",INDEX(Workforce!$F$2:$F$151,MATCH(INDEX(FTE_Allocation!$A$2:$A$201,$AB42),Workforce!$A$2:$A$151,0))*N(INDEX(FTE_Allocation!$F$2:$H$201,$AB42,$AC42)),"")))</f>
        <v/>
      </c>
    </row>
    <row r="43">
      <c r="A43" s="7">
        <f>IF($Z43="","",$AD43)</f>
        <v/>
      </c>
      <c r="B43" s="7">
        <f>IF($Z43="C",INDEX(Contracts!$D$2:$D$151,$AB43)&amp;"",IF($Z43="A",INDEX(Fixed_Assets!$C$2:$C$201,$AB43)&amp;"",IF($Z43="F",INDEX(Workforce!$B$2:$B$151,MATCH(INDEX(FTE_Allocation!$A$2:$A$201,$AB43),Workforce!$A$2:$A$151,0))&amp;"","")))</f>
        <v/>
      </c>
      <c r="C43" s="7">
        <f>IF($Z43="C",INDEX(Contracts!$E$2:$E$151,$AB43)&amp;"",IF($Z43="A",INDEX(Fixed_Assets!$D$2:$D$201,$AB43)&amp;"",IF($Z43="F",INDEX(FTE_Allocation!$C$2:$C$201,$AB43)&amp;"","")))</f>
        <v/>
      </c>
      <c r="D43" s="7">
        <f>IF($Z43="C",INDEX(Contracts!$B$2:$B$151,$AB43)&amp;"",IF($Z43="A",INDEX(Fixed_Assets!$B$2:$B$201,$AB43)&amp;"",IF($Z43="F",INDEX(FTE_Allocation!$B$2:$B$201,$AB43)&amp;"","")))</f>
        <v/>
      </c>
      <c r="E43" s="7">
        <f>IF($Z43="C",INDEX(Contracts!$P$2:$P$151,$AB43)&amp;"",IF($Z43="A",INDEX(Fixed_Assets!$K$2:$K$201,$AB43)&amp;"",IF($Z43="F",IF(INDEX(FTE_Allocation!$D$2:$D$201,$AB43)="PROJECT",IFERROR(INDEX(Projects!$D:$D,MATCH(INDEX(FTE_Allocation!$E$2:$E$201,$AB43),Projects!$A:$A,0))&amp;"","#PROJECT?"),INDEX(FTE_Allocation!$E$2:$E$201,$AB43)&amp;""),"")))</f>
        <v/>
      </c>
      <c r="F43" s="7">
        <f>IF($Z43="C",INDEX(Contracts!$Q$2:$Q$151,$AB43)&amp;"",IF($Z43="A",INDEX(Fixed_Assets!$L$2:$L$201,$AB43)&amp;"",IF($Z43="F",INDEX(Workforce!$K$2:$K$151,MATCH(INDEX(FTE_Allocation!$A$2:$A$201,$AB43),Workforce!$A$2:$A$151,0))&amp;"","")))</f>
        <v/>
      </c>
      <c r="G43" s="7">
        <f>IF($Z43="C",INDEX(Contracts!$F$2:$F$151,$AB43)&amp;" / "&amp;INDEX(Contracts!$G$2:$G$151,$AB43),IF($Z43="A",INDEX(Fixed_Assets!$E$2:$E$201,$AB43)&amp;"",IF($Z43="F","Personnel "&amp;INDEX(FTE_Allocation!$A$2:$A$201,$AB43)&amp;IF(INDEX(FTE_Allocation!$D$2:$D$201,$AB43)="PROJECT"," ("&amp;INDEX(FTE_Allocation!$E$2:$E$201,$AB43)&amp;")",""),"")))</f>
        <v/>
      </c>
      <c r="H43" s="7">
        <f>IF($Z43="C","CONTRACT",IF($Z43="A","ASSET",IF($Z43="F","WORKFORCE","")))</f>
        <v/>
      </c>
      <c r="I43" s="7">
        <f>IF($Z43="C",INDEX(Contracts!$L$2:$L$151,$AB43)&amp;"",IF($Z43="A",INDEX(Fixed_Assets!$I$2:$I$201,$AB43)&amp;"",IF($Z43="F",INDEX(Workforce!$G$2:$G$151,MATCH(INDEX(FTE_Allocation!$A$2:$A$201,$AB43),Workforce!$A$2:$A$151,0))&amp;"","")))</f>
        <v/>
      </c>
      <c r="J43" s="18">
        <f>IF($Z43="","",IF(AND(DATE($AD43,1,1)&gt;=$AE43,DATE($AD43,1,1)&lt;=$AF43),ROUND($AG43,2),0))</f>
        <v/>
      </c>
      <c r="K43" s="18">
        <f>IF($Z43="","",IF(AND(DATE($AD43,2,1)&gt;=$AE43,DATE($AD43,2,1)&lt;=$AF43),ROUND($AG43,2),0))</f>
        <v/>
      </c>
      <c r="L43" s="18">
        <f>IF($Z43="","",IF(AND(DATE($AD43,3,1)&gt;=$AE43,DATE($AD43,3,1)&lt;=$AF43),ROUND($AG43,2),0))</f>
        <v/>
      </c>
      <c r="M43" s="18">
        <f>IF($Z43="","",IF(AND(DATE($AD43,4,1)&gt;=$AE43,DATE($AD43,4,1)&lt;=$AF43),ROUND($AG43,2),0))</f>
        <v/>
      </c>
      <c r="N43" s="18">
        <f>IF($Z43="","",IF(AND(DATE($AD43,5,1)&gt;=$AE43,DATE($AD43,5,1)&lt;=$AF43),ROUND($AG43,2),0))</f>
        <v/>
      </c>
      <c r="O43" s="18">
        <f>IF($Z43="","",IF(AND(DATE($AD43,6,1)&gt;=$AE43,DATE($AD43,6,1)&lt;=$AF43),ROUND($AG43,2),0))</f>
        <v/>
      </c>
      <c r="P43" s="18">
        <f>IF($Z43="","",IF(AND(DATE($AD43,7,1)&gt;=$AE43,DATE($AD43,7,1)&lt;=$AF43),ROUND($AG43,2),0))</f>
        <v/>
      </c>
      <c r="Q43" s="18">
        <f>IF($Z43="","",IF(AND(DATE($AD43,8,1)&gt;=$AE43,DATE($AD43,8,1)&lt;=$AF43),ROUND($AG43,2),0))</f>
        <v/>
      </c>
      <c r="R43" s="18">
        <f>IF($Z43="","",IF(AND(DATE($AD43,9,1)&gt;=$AE43,DATE($AD43,9,1)&lt;=$AF43),ROUND($AG43,2),0))</f>
        <v/>
      </c>
      <c r="S43" s="18">
        <f>IF($Z43="","",IF(AND(DATE($AD43,10,1)&gt;=$AE43,DATE($AD43,10,1)&lt;=$AF43),ROUND($AG43,2),0))</f>
        <v/>
      </c>
      <c r="T43" s="18">
        <f>IF($Z43="","",IF(AND(DATE($AD43,11,1)&gt;=$AE43,DATE($AD43,11,1)&lt;=$AF43),ROUND($AG43,2),0))</f>
        <v/>
      </c>
      <c r="U43" s="18">
        <f>IF($Z43="","",IF(AND(DATE($AD43,12,1)&gt;=$AE43,DATE($AD43,12,1)&lt;=$AF43),ROUND($AG43,2),0))</f>
        <v/>
      </c>
      <c r="V43" s="7">
        <f>IF($Z43="C","Generated from "&amp;INDEX(Contracts!$A$2:$A$151,$AB43),IF($Z43="A","Generated from "&amp;INDEX(Fixed_Assets!$A$2:$A$201,$AB43),IF($Z43="F","Generated from "&amp;INDEX(FTE_Allocation!$A$2:$A$201,$AB43),"")))</f>
        <v/>
      </c>
      <c r="X43" s="19">
        <f>IF($Z43="","",SUM(J43:U43))</f>
        <v/>
      </c>
      <c r="Y43" s="20">
        <f>ROW()-1</f>
        <v/>
      </c>
      <c r="Z43" s="20">
        <f>IF($Y43&lt;=Settings!$B$4*3,"C",IF($Y43&lt;=(Settings!$B$4+Settings!$B$5)*3,"A",IF($Y43&lt;=(Settings!$B$4+Settings!$B$5+Settings!$B$6)*3,"F","")))</f>
        <v/>
      </c>
      <c r="AA43" s="20">
        <f>IF($Z43="C",$Y43,IF($Z43="A",$Y43-Settings!$B$4*3,IF($Z43="F",$Y43-(Settings!$B$4+Settings!$B$5)*3,"")))</f>
        <v/>
      </c>
      <c r="AB43" s="20">
        <f>IF($Z43="","",INT(($AA43-1)/3)+1)</f>
        <v/>
      </c>
      <c r="AC43" s="20">
        <f>IF($Z43="","",MOD($AA43-1,3)+1)</f>
        <v/>
      </c>
      <c r="AD43" s="20">
        <f>IF($Z43="","",Settings!$B$2+$AC43-1)</f>
        <v/>
      </c>
      <c r="AE43" s="21">
        <f>IF($Z43="C",DATE(YEAR(INDEX(Contracts!$J$2:$J$151,$AB43)),MONTH(INDEX(Contracts!$J$2:$J$151,$AB43)),1),IF($Z43="A",DATE(YEAR(INDEX(Fixed_Assets!$G$2:$G$201,$AB43)),MONTH(INDEX(Fixed_Assets!$G$2:$G$201,$AB43)),1),IF($Z43="F",DATE(YEAR(MAX(N(INDEX(Workforce!$I$2:$I$151,MATCH(INDEX(FTE_Allocation!$A$2:$A$201,$AB43),Workforce!$A$2:$A$151,0))),N(INDEX(FTE_Allocation!$I$2:$I$201,$AB43)))),MONTH(MAX(N(INDEX(Workforce!$I$2:$I$151,MATCH(INDEX(FTE_Allocation!$A$2:$A$201,$AB43),Workforce!$A$2:$A$151,0))),N(INDEX(FTE_Allocation!$I$2:$I$201,$AB43)))),1),"")))</f>
        <v/>
      </c>
      <c r="AF43" s="21">
        <f>IF($Z43="C",IF(INDEX(Contracts!$I$2:$I$151,$AB43)="PREPAID",EDATE(DATE(YEAR(INDEX(Contracts!$J$2:$J$151,$AB43)),MONTH(INDEX(Contracts!$J$2:$J$151,$AB43)),1),IF(INDEX(Contracts!$N$2:$N$151,$AB43)="",12,INDEX(Contracts!$N$2:$N$151,$AB43))-1),IF(INDEX(Contracts!$I$2:$I$151,$AB43)="MONTHLY",IF(INDEX(Contracts!$K$2:$K$151,$AB43)="",2958101,INDEX(Contracts!$K$2:$K$151,$AB43)),0)),IF($Z43="A",EDATE(DATE(YEAR(INDEX(Fixed_Assets!$G$2:$G$201,$AB43)),MONTH(INDEX(Fixed_Assets!$G$2:$G$201,$AB43)),1),INDEX(Fixed_Assets!$J$2:$J$201,$AB43)-1),IF($Z43="F",MIN(IF(INDEX(Workforce!$J$2:$J$151,MATCH(INDEX(FTE_Allocation!$A$2:$A$201,$AB43),Workforce!$A$2:$A$151,0))="",2958101,INDEX(Workforce!$J$2:$J$151,MATCH(INDEX(FTE_Allocation!$A$2:$A$201,$AB43),Workforce!$A$2:$A$151,0))),IF(INDEX(FTE_Allocation!$J$2:$J$201,$AB43)="",2958101,INDEX(FTE_Allocation!$J$2:$J$201,$AB43))),"")))</f>
        <v/>
      </c>
      <c r="AG43" s="19">
        <f>IF($Z43="C",IF(INDEX(Contracts!$I$2:$I$151,$AB43)="PREPAID",INDEX(Contracts!$M$2:$M$151,$AB43)/IF(INDEX(Contracts!$N$2:$N$151,$AB43)="",12,INDEX(Contracts!$N$2:$N$151,$AB43)),IF(INDEX(Contracts!$I$2:$I$151,$AB43)="MONTHLY",INDEX(Contracts!$M$2:$M$151,$AB43),0))*(1-N(INDEX(Contracts!$O$2:$O$151,$AB43))),IF($Z43="A",INDEX(Fixed_Assets!$H$2:$H$201,$AB43)/INDEX(Fixed_Assets!$J$2:$J$201,$AB43),IF($Z43="F",INDEX(Workforce!$F$2:$F$151,MATCH(INDEX(FTE_Allocation!$A$2:$A$201,$AB43),Workforce!$A$2:$A$151,0))*N(INDEX(FTE_Allocation!$F$2:$H$201,$AB43,$AC43)),"")))</f>
        <v/>
      </c>
    </row>
    <row r="44">
      <c r="A44" s="7">
        <f>IF($Z44="","",$AD44)</f>
        <v/>
      </c>
      <c r="B44" s="7">
        <f>IF($Z44="C",INDEX(Contracts!$D$2:$D$151,$AB44)&amp;"",IF($Z44="A",INDEX(Fixed_Assets!$C$2:$C$201,$AB44)&amp;"",IF($Z44="F",INDEX(Workforce!$B$2:$B$151,MATCH(INDEX(FTE_Allocation!$A$2:$A$201,$AB44),Workforce!$A$2:$A$151,0))&amp;"","")))</f>
        <v/>
      </c>
      <c r="C44" s="7">
        <f>IF($Z44="C",INDEX(Contracts!$E$2:$E$151,$AB44)&amp;"",IF($Z44="A",INDEX(Fixed_Assets!$D$2:$D$201,$AB44)&amp;"",IF($Z44="F",INDEX(FTE_Allocation!$C$2:$C$201,$AB44)&amp;"","")))</f>
        <v/>
      </c>
      <c r="D44" s="7">
        <f>IF($Z44="C",INDEX(Contracts!$B$2:$B$151,$AB44)&amp;"",IF($Z44="A",INDEX(Fixed_Assets!$B$2:$B$201,$AB44)&amp;"",IF($Z44="F",INDEX(FTE_Allocation!$B$2:$B$201,$AB44)&amp;"","")))</f>
        <v/>
      </c>
      <c r="E44" s="7">
        <f>IF($Z44="C",INDEX(Contracts!$P$2:$P$151,$AB44)&amp;"",IF($Z44="A",INDEX(Fixed_Assets!$K$2:$K$201,$AB44)&amp;"",IF($Z44="F",IF(INDEX(FTE_Allocation!$D$2:$D$201,$AB44)="PROJECT",IFERROR(INDEX(Projects!$D:$D,MATCH(INDEX(FTE_Allocation!$E$2:$E$201,$AB44),Projects!$A:$A,0))&amp;"","#PROJECT?"),INDEX(FTE_Allocation!$E$2:$E$201,$AB44)&amp;""),"")))</f>
        <v/>
      </c>
      <c r="F44" s="7">
        <f>IF($Z44="C",INDEX(Contracts!$Q$2:$Q$151,$AB44)&amp;"",IF($Z44="A",INDEX(Fixed_Assets!$L$2:$L$201,$AB44)&amp;"",IF($Z44="F",INDEX(Workforce!$K$2:$K$151,MATCH(INDEX(FTE_Allocation!$A$2:$A$201,$AB44),Workforce!$A$2:$A$151,0))&amp;"","")))</f>
        <v/>
      </c>
      <c r="G44" s="7">
        <f>IF($Z44="C",INDEX(Contracts!$F$2:$F$151,$AB44)&amp;" / "&amp;INDEX(Contracts!$G$2:$G$151,$AB44),IF($Z44="A",INDEX(Fixed_Assets!$E$2:$E$201,$AB44)&amp;"",IF($Z44="F","Personnel "&amp;INDEX(FTE_Allocation!$A$2:$A$201,$AB44)&amp;IF(INDEX(FTE_Allocation!$D$2:$D$201,$AB44)="PROJECT"," ("&amp;INDEX(FTE_Allocation!$E$2:$E$201,$AB44)&amp;")",""),"")))</f>
        <v/>
      </c>
      <c r="H44" s="7">
        <f>IF($Z44="C","CONTRACT",IF($Z44="A","ASSET",IF($Z44="F","WORKFORCE","")))</f>
        <v/>
      </c>
      <c r="I44" s="7">
        <f>IF($Z44="C",INDEX(Contracts!$L$2:$L$151,$AB44)&amp;"",IF($Z44="A",INDEX(Fixed_Assets!$I$2:$I$201,$AB44)&amp;"",IF($Z44="F",INDEX(Workforce!$G$2:$G$151,MATCH(INDEX(FTE_Allocation!$A$2:$A$201,$AB44),Workforce!$A$2:$A$151,0))&amp;"","")))</f>
        <v/>
      </c>
      <c r="J44" s="18">
        <f>IF($Z44="","",IF(AND(DATE($AD44,1,1)&gt;=$AE44,DATE($AD44,1,1)&lt;=$AF44),ROUND($AG44,2),0))</f>
        <v/>
      </c>
      <c r="K44" s="18">
        <f>IF($Z44="","",IF(AND(DATE($AD44,2,1)&gt;=$AE44,DATE($AD44,2,1)&lt;=$AF44),ROUND($AG44,2),0))</f>
        <v/>
      </c>
      <c r="L44" s="18">
        <f>IF($Z44="","",IF(AND(DATE($AD44,3,1)&gt;=$AE44,DATE($AD44,3,1)&lt;=$AF44),ROUND($AG44,2),0))</f>
        <v/>
      </c>
      <c r="M44" s="18">
        <f>IF($Z44="","",IF(AND(DATE($AD44,4,1)&gt;=$AE44,DATE($AD44,4,1)&lt;=$AF44),ROUND($AG44,2),0))</f>
        <v/>
      </c>
      <c r="N44" s="18">
        <f>IF($Z44="","",IF(AND(DATE($AD44,5,1)&gt;=$AE44,DATE($AD44,5,1)&lt;=$AF44),ROUND($AG44,2),0))</f>
        <v/>
      </c>
      <c r="O44" s="18">
        <f>IF($Z44="","",IF(AND(DATE($AD44,6,1)&gt;=$AE44,DATE($AD44,6,1)&lt;=$AF44),ROUND($AG44,2),0))</f>
        <v/>
      </c>
      <c r="P44" s="18">
        <f>IF($Z44="","",IF(AND(DATE($AD44,7,1)&gt;=$AE44,DATE($AD44,7,1)&lt;=$AF44),ROUND($AG44,2),0))</f>
        <v/>
      </c>
      <c r="Q44" s="18">
        <f>IF($Z44="","",IF(AND(DATE($AD44,8,1)&gt;=$AE44,DATE($AD44,8,1)&lt;=$AF44),ROUND($AG44,2),0))</f>
        <v/>
      </c>
      <c r="R44" s="18">
        <f>IF($Z44="","",IF(AND(DATE($AD44,9,1)&gt;=$AE44,DATE($AD44,9,1)&lt;=$AF44),ROUND($AG44,2),0))</f>
        <v/>
      </c>
      <c r="S44" s="18">
        <f>IF($Z44="","",IF(AND(DATE($AD44,10,1)&gt;=$AE44,DATE($AD44,10,1)&lt;=$AF44),ROUND($AG44,2),0))</f>
        <v/>
      </c>
      <c r="T44" s="18">
        <f>IF($Z44="","",IF(AND(DATE($AD44,11,1)&gt;=$AE44,DATE($AD44,11,1)&lt;=$AF44),ROUND($AG44,2),0))</f>
        <v/>
      </c>
      <c r="U44" s="18">
        <f>IF($Z44="","",IF(AND(DATE($AD44,12,1)&gt;=$AE44,DATE($AD44,12,1)&lt;=$AF44),ROUND($AG44,2),0))</f>
        <v/>
      </c>
      <c r="V44" s="7">
        <f>IF($Z44="C","Generated from "&amp;INDEX(Contracts!$A$2:$A$151,$AB44),IF($Z44="A","Generated from "&amp;INDEX(Fixed_Assets!$A$2:$A$201,$AB44),IF($Z44="F","Generated from "&amp;INDEX(FTE_Allocation!$A$2:$A$201,$AB44),"")))</f>
        <v/>
      </c>
      <c r="X44" s="19">
        <f>IF($Z44="","",SUM(J44:U44))</f>
        <v/>
      </c>
      <c r="Y44" s="20">
        <f>ROW()-1</f>
        <v/>
      </c>
      <c r="Z44" s="20">
        <f>IF($Y44&lt;=Settings!$B$4*3,"C",IF($Y44&lt;=(Settings!$B$4+Settings!$B$5)*3,"A",IF($Y44&lt;=(Settings!$B$4+Settings!$B$5+Settings!$B$6)*3,"F","")))</f>
        <v/>
      </c>
      <c r="AA44" s="20">
        <f>IF($Z44="C",$Y44,IF($Z44="A",$Y44-Settings!$B$4*3,IF($Z44="F",$Y44-(Settings!$B$4+Settings!$B$5)*3,"")))</f>
        <v/>
      </c>
      <c r="AB44" s="20">
        <f>IF($Z44="","",INT(($AA44-1)/3)+1)</f>
        <v/>
      </c>
      <c r="AC44" s="20">
        <f>IF($Z44="","",MOD($AA44-1,3)+1)</f>
        <v/>
      </c>
      <c r="AD44" s="20">
        <f>IF($Z44="","",Settings!$B$2+$AC44-1)</f>
        <v/>
      </c>
      <c r="AE44" s="21">
        <f>IF($Z44="C",DATE(YEAR(INDEX(Contracts!$J$2:$J$151,$AB44)),MONTH(INDEX(Contracts!$J$2:$J$151,$AB44)),1),IF($Z44="A",DATE(YEAR(INDEX(Fixed_Assets!$G$2:$G$201,$AB44)),MONTH(INDEX(Fixed_Assets!$G$2:$G$201,$AB44)),1),IF($Z44="F",DATE(YEAR(MAX(N(INDEX(Workforce!$I$2:$I$151,MATCH(INDEX(FTE_Allocation!$A$2:$A$201,$AB44),Workforce!$A$2:$A$151,0))),N(INDEX(FTE_Allocation!$I$2:$I$201,$AB44)))),MONTH(MAX(N(INDEX(Workforce!$I$2:$I$151,MATCH(INDEX(FTE_Allocation!$A$2:$A$201,$AB44),Workforce!$A$2:$A$151,0))),N(INDEX(FTE_Allocation!$I$2:$I$201,$AB44)))),1),"")))</f>
        <v/>
      </c>
      <c r="AF44" s="21">
        <f>IF($Z44="C",IF(INDEX(Contracts!$I$2:$I$151,$AB44)="PREPAID",EDATE(DATE(YEAR(INDEX(Contracts!$J$2:$J$151,$AB44)),MONTH(INDEX(Contracts!$J$2:$J$151,$AB44)),1),IF(INDEX(Contracts!$N$2:$N$151,$AB44)="",12,INDEX(Contracts!$N$2:$N$151,$AB44))-1),IF(INDEX(Contracts!$I$2:$I$151,$AB44)="MONTHLY",IF(INDEX(Contracts!$K$2:$K$151,$AB44)="",2958101,INDEX(Contracts!$K$2:$K$151,$AB44)),0)),IF($Z44="A",EDATE(DATE(YEAR(INDEX(Fixed_Assets!$G$2:$G$201,$AB44)),MONTH(INDEX(Fixed_Assets!$G$2:$G$201,$AB44)),1),INDEX(Fixed_Assets!$J$2:$J$201,$AB44)-1),IF($Z44="F",MIN(IF(INDEX(Workforce!$J$2:$J$151,MATCH(INDEX(FTE_Allocation!$A$2:$A$201,$AB44),Workforce!$A$2:$A$151,0))="",2958101,INDEX(Workforce!$J$2:$J$151,MATCH(INDEX(FTE_Allocation!$A$2:$A$201,$AB44),Workforce!$A$2:$A$151,0))),IF(INDEX(FTE_Allocation!$J$2:$J$201,$AB44)="",2958101,INDEX(FTE_Allocation!$J$2:$J$201,$AB44))),"")))</f>
        <v/>
      </c>
      <c r="AG44" s="19">
        <f>IF($Z44="C",IF(INDEX(Contracts!$I$2:$I$151,$AB44)="PREPAID",INDEX(Contracts!$M$2:$M$151,$AB44)/IF(INDEX(Contracts!$N$2:$N$151,$AB44)="",12,INDEX(Contracts!$N$2:$N$151,$AB44)),IF(INDEX(Contracts!$I$2:$I$151,$AB44)="MONTHLY",INDEX(Contracts!$M$2:$M$151,$AB44),0))*(1-N(INDEX(Contracts!$O$2:$O$151,$AB44))),IF($Z44="A",INDEX(Fixed_Assets!$H$2:$H$201,$AB44)/INDEX(Fixed_Assets!$J$2:$J$201,$AB44),IF($Z44="F",INDEX(Workforce!$F$2:$F$151,MATCH(INDEX(FTE_Allocation!$A$2:$A$201,$AB44),Workforce!$A$2:$A$151,0))*N(INDEX(FTE_Allocation!$F$2:$H$201,$AB44,$AC44)),"")))</f>
        <v/>
      </c>
    </row>
    <row r="45">
      <c r="A45" s="7">
        <f>IF($Z45="","",$AD45)</f>
        <v/>
      </c>
      <c r="B45" s="7">
        <f>IF($Z45="C",INDEX(Contracts!$D$2:$D$151,$AB45)&amp;"",IF($Z45="A",INDEX(Fixed_Assets!$C$2:$C$201,$AB45)&amp;"",IF($Z45="F",INDEX(Workforce!$B$2:$B$151,MATCH(INDEX(FTE_Allocation!$A$2:$A$201,$AB45),Workforce!$A$2:$A$151,0))&amp;"","")))</f>
        <v/>
      </c>
      <c r="C45" s="7">
        <f>IF($Z45="C",INDEX(Contracts!$E$2:$E$151,$AB45)&amp;"",IF($Z45="A",INDEX(Fixed_Assets!$D$2:$D$201,$AB45)&amp;"",IF($Z45="F",INDEX(FTE_Allocation!$C$2:$C$201,$AB45)&amp;"","")))</f>
        <v/>
      </c>
      <c r="D45" s="7">
        <f>IF($Z45="C",INDEX(Contracts!$B$2:$B$151,$AB45)&amp;"",IF($Z45="A",INDEX(Fixed_Assets!$B$2:$B$201,$AB45)&amp;"",IF($Z45="F",INDEX(FTE_Allocation!$B$2:$B$201,$AB45)&amp;"","")))</f>
        <v/>
      </c>
      <c r="E45" s="7">
        <f>IF($Z45="C",INDEX(Contracts!$P$2:$P$151,$AB45)&amp;"",IF($Z45="A",INDEX(Fixed_Assets!$K$2:$K$201,$AB45)&amp;"",IF($Z45="F",IF(INDEX(FTE_Allocation!$D$2:$D$201,$AB45)="PROJECT",IFERROR(INDEX(Projects!$D:$D,MATCH(INDEX(FTE_Allocation!$E$2:$E$201,$AB45),Projects!$A:$A,0))&amp;"","#PROJECT?"),INDEX(FTE_Allocation!$E$2:$E$201,$AB45)&amp;""),"")))</f>
        <v/>
      </c>
      <c r="F45" s="7">
        <f>IF($Z45="C",INDEX(Contracts!$Q$2:$Q$151,$AB45)&amp;"",IF($Z45="A",INDEX(Fixed_Assets!$L$2:$L$201,$AB45)&amp;"",IF($Z45="F",INDEX(Workforce!$K$2:$K$151,MATCH(INDEX(FTE_Allocation!$A$2:$A$201,$AB45),Workforce!$A$2:$A$151,0))&amp;"","")))</f>
        <v/>
      </c>
      <c r="G45" s="7">
        <f>IF($Z45="C",INDEX(Contracts!$F$2:$F$151,$AB45)&amp;" / "&amp;INDEX(Contracts!$G$2:$G$151,$AB45),IF($Z45="A",INDEX(Fixed_Assets!$E$2:$E$201,$AB45)&amp;"",IF($Z45="F","Personnel "&amp;INDEX(FTE_Allocation!$A$2:$A$201,$AB45)&amp;IF(INDEX(FTE_Allocation!$D$2:$D$201,$AB45)="PROJECT"," ("&amp;INDEX(FTE_Allocation!$E$2:$E$201,$AB45)&amp;")",""),"")))</f>
        <v/>
      </c>
      <c r="H45" s="7">
        <f>IF($Z45="C","CONTRACT",IF($Z45="A","ASSET",IF($Z45="F","WORKFORCE","")))</f>
        <v/>
      </c>
      <c r="I45" s="7">
        <f>IF($Z45="C",INDEX(Contracts!$L$2:$L$151,$AB45)&amp;"",IF($Z45="A",INDEX(Fixed_Assets!$I$2:$I$201,$AB45)&amp;"",IF($Z45="F",INDEX(Workforce!$G$2:$G$151,MATCH(INDEX(FTE_Allocation!$A$2:$A$201,$AB45),Workforce!$A$2:$A$151,0))&amp;"","")))</f>
        <v/>
      </c>
      <c r="J45" s="18">
        <f>IF($Z45="","",IF(AND(DATE($AD45,1,1)&gt;=$AE45,DATE($AD45,1,1)&lt;=$AF45),ROUND($AG45,2),0))</f>
        <v/>
      </c>
      <c r="K45" s="18">
        <f>IF($Z45="","",IF(AND(DATE($AD45,2,1)&gt;=$AE45,DATE($AD45,2,1)&lt;=$AF45),ROUND($AG45,2),0))</f>
        <v/>
      </c>
      <c r="L45" s="18">
        <f>IF($Z45="","",IF(AND(DATE($AD45,3,1)&gt;=$AE45,DATE($AD45,3,1)&lt;=$AF45),ROUND($AG45,2),0))</f>
        <v/>
      </c>
      <c r="M45" s="18">
        <f>IF($Z45="","",IF(AND(DATE($AD45,4,1)&gt;=$AE45,DATE($AD45,4,1)&lt;=$AF45),ROUND($AG45,2),0))</f>
        <v/>
      </c>
      <c r="N45" s="18">
        <f>IF($Z45="","",IF(AND(DATE($AD45,5,1)&gt;=$AE45,DATE($AD45,5,1)&lt;=$AF45),ROUND($AG45,2),0))</f>
        <v/>
      </c>
      <c r="O45" s="18">
        <f>IF($Z45="","",IF(AND(DATE($AD45,6,1)&gt;=$AE45,DATE($AD45,6,1)&lt;=$AF45),ROUND($AG45,2),0))</f>
        <v/>
      </c>
      <c r="P45" s="18">
        <f>IF($Z45="","",IF(AND(DATE($AD45,7,1)&gt;=$AE45,DATE($AD45,7,1)&lt;=$AF45),ROUND($AG45,2),0))</f>
        <v/>
      </c>
      <c r="Q45" s="18">
        <f>IF($Z45="","",IF(AND(DATE($AD45,8,1)&gt;=$AE45,DATE($AD45,8,1)&lt;=$AF45),ROUND($AG45,2),0))</f>
        <v/>
      </c>
      <c r="R45" s="18">
        <f>IF($Z45="","",IF(AND(DATE($AD45,9,1)&gt;=$AE45,DATE($AD45,9,1)&lt;=$AF45),ROUND($AG45,2),0))</f>
        <v/>
      </c>
      <c r="S45" s="18">
        <f>IF($Z45="","",IF(AND(DATE($AD45,10,1)&gt;=$AE45,DATE($AD45,10,1)&lt;=$AF45),ROUND($AG45,2),0))</f>
        <v/>
      </c>
      <c r="T45" s="18">
        <f>IF($Z45="","",IF(AND(DATE($AD45,11,1)&gt;=$AE45,DATE($AD45,11,1)&lt;=$AF45),ROUND($AG45,2),0))</f>
        <v/>
      </c>
      <c r="U45" s="18">
        <f>IF($Z45="","",IF(AND(DATE($AD45,12,1)&gt;=$AE45,DATE($AD45,12,1)&lt;=$AF45),ROUND($AG45,2),0))</f>
        <v/>
      </c>
      <c r="V45" s="7">
        <f>IF($Z45="C","Generated from "&amp;INDEX(Contracts!$A$2:$A$151,$AB45),IF($Z45="A","Generated from "&amp;INDEX(Fixed_Assets!$A$2:$A$201,$AB45),IF($Z45="F","Generated from "&amp;INDEX(FTE_Allocation!$A$2:$A$201,$AB45),"")))</f>
        <v/>
      </c>
      <c r="X45" s="19">
        <f>IF($Z45="","",SUM(J45:U45))</f>
        <v/>
      </c>
      <c r="Y45" s="20">
        <f>ROW()-1</f>
        <v/>
      </c>
      <c r="Z45" s="20">
        <f>IF($Y45&lt;=Settings!$B$4*3,"C",IF($Y45&lt;=(Settings!$B$4+Settings!$B$5)*3,"A",IF($Y45&lt;=(Settings!$B$4+Settings!$B$5+Settings!$B$6)*3,"F","")))</f>
        <v/>
      </c>
      <c r="AA45" s="20">
        <f>IF($Z45="C",$Y45,IF($Z45="A",$Y45-Settings!$B$4*3,IF($Z45="F",$Y45-(Settings!$B$4+Settings!$B$5)*3,"")))</f>
        <v/>
      </c>
      <c r="AB45" s="20">
        <f>IF($Z45="","",INT(($AA45-1)/3)+1)</f>
        <v/>
      </c>
      <c r="AC45" s="20">
        <f>IF($Z45="","",MOD($AA45-1,3)+1)</f>
        <v/>
      </c>
      <c r="AD45" s="20">
        <f>IF($Z45="","",Settings!$B$2+$AC45-1)</f>
        <v/>
      </c>
      <c r="AE45" s="21">
        <f>IF($Z45="C",DATE(YEAR(INDEX(Contracts!$J$2:$J$151,$AB45)),MONTH(INDEX(Contracts!$J$2:$J$151,$AB45)),1),IF($Z45="A",DATE(YEAR(INDEX(Fixed_Assets!$G$2:$G$201,$AB45)),MONTH(INDEX(Fixed_Assets!$G$2:$G$201,$AB45)),1),IF($Z45="F",DATE(YEAR(MAX(N(INDEX(Workforce!$I$2:$I$151,MATCH(INDEX(FTE_Allocation!$A$2:$A$201,$AB45),Workforce!$A$2:$A$151,0))),N(INDEX(FTE_Allocation!$I$2:$I$201,$AB45)))),MONTH(MAX(N(INDEX(Workforce!$I$2:$I$151,MATCH(INDEX(FTE_Allocation!$A$2:$A$201,$AB45),Workforce!$A$2:$A$151,0))),N(INDEX(FTE_Allocation!$I$2:$I$201,$AB45)))),1),"")))</f>
        <v/>
      </c>
      <c r="AF45" s="21">
        <f>IF($Z45="C",IF(INDEX(Contracts!$I$2:$I$151,$AB45)="PREPAID",EDATE(DATE(YEAR(INDEX(Contracts!$J$2:$J$151,$AB45)),MONTH(INDEX(Contracts!$J$2:$J$151,$AB45)),1),IF(INDEX(Contracts!$N$2:$N$151,$AB45)="",12,INDEX(Contracts!$N$2:$N$151,$AB45))-1),IF(INDEX(Contracts!$I$2:$I$151,$AB45)="MONTHLY",IF(INDEX(Contracts!$K$2:$K$151,$AB45)="",2958101,INDEX(Contracts!$K$2:$K$151,$AB45)),0)),IF($Z45="A",EDATE(DATE(YEAR(INDEX(Fixed_Assets!$G$2:$G$201,$AB45)),MONTH(INDEX(Fixed_Assets!$G$2:$G$201,$AB45)),1),INDEX(Fixed_Assets!$J$2:$J$201,$AB45)-1),IF($Z45="F",MIN(IF(INDEX(Workforce!$J$2:$J$151,MATCH(INDEX(FTE_Allocation!$A$2:$A$201,$AB45),Workforce!$A$2:$A$151,0))="",2958101,INDEX(Workforce!$J$2:$J$151,MATCH(INDEX(FTE_Allocation!$A$2:$A$201,$AB45),Workforce!$A$2:$A$151,0))),IF(INDEX(FTE_Allocation!$J$2:$J$201,$AB45)="",2958101,INDEX(FTE_Allocation!$J$2:$J$201,$AB45))),"")))</f>
        <v/>
      </c>
      <c r="AG45" s="19">
        <f>IF($Z45="C",IF(INDEX(Contracts!$I$2:$I$151,$AB45)="PREPAID",INDEX(Contracts!$M$2:$M$151,$AB45)/IF(INDEX(Contracts!$N$2:$N$151,$AB45)="",12,INDEX(Contracts!$N$2:$N$151,$AB45)),IF(INDEX(Contracts!$I$2:$I$151,$AB45)="MONTHLY",INDEX(Contracts!$M$2:$M$151,$AB45),0))*(1-N(INDEX(Contracts!$O$2:$O$151,$AB45))),IF($Z45="A",INDEX(Fixed_Assets!$H$2:$H$201,$AB45)/INDEX(Fixed_Assets!$J$2:$J$201,$AB45),IF($Z45="F",INDEX(Workforce!$F$2:$F$151,MATCH(INDEX(FTE_Allocation!$A$2:$A$201,$AB45),Workforce!$A$2:$A$151,0))*N(INDEX(FTE_Allocation!$F$2:$H$201,$AB45,$AC45)),"")))</f>
        <v/>
      </c>
    </row>
    <row r="46">
      <c r="A46" s="7">
        <f>IF($Z46="","",$AD46)</f>
        <v/>
      </c>
      <c r="B46" s="7">
        <f>IF($Z46="C",INDEX(Contracts!$D$2:$D$151,$AB46)&amp;"",IF($Z46="A",INDEX(Fixed_Assets!$C$2:$C$201,$AB46)&amp;"",IF($Z46="F",INDEX(Workforce!$B$2:$B$151,MATCH(INDEX(FTE_Allocation!$A$2:$A$201,$AB46),Workforce!$A$2:$A$151,0))&amp;"","")))</f>
        <v/>
      </c>
      <c r="C46" s="7">
        <f>IF($Z46="C",INDEX(Contracts!$E$2:$E$151,$AB46)&amp;"",IF($Z46="A",INDEX(Fixed_Assets!$D$2:$D$201,$AB46)&amp;"",IF($Z46="F",INDEX(FTE_Allocation!$C$2:$C$201,$AB46)&amp;"","")))</f>
        <v/>
      </c>
      <c r="D46" s="7">
        <f>IF($Z46="C",INDEX(Contracts!$B$2:$B$151,$AB46)&amp;"",IF($Z46="A",INDEX(Fixed_Assets!$B$2:$B$201,$AB46)&amp;"",IF($Z46="F",INDEX(FTE_Allocation!$B$2:$B$201,$AB46)&amp;"","")))</f>
        <v/>
      </c>
      <c r="E46" s="7">
        <f>IF($Z46="C",INDEX(Contracts!$P$2:$P$151,$AB46)&amp;"",IF($Z46="A",INDEX(Fixed_Assets!$K$2:$K$201,$AB46)&amp;"",IF($Z46="F",IF(INDEX(FTE_Allocation!$D$2:$D$201,$AB46)="PROJECT",IFERROR(INDEX(Projects!$D:$D,MATCH(INDEX(FTE_Allocation!$E$2:$E$201,$AB46),Projects!$A:$A,0))&amp;"","#PROJECT?"),INDEX(FTE_Allocation!$E$2:$E$201,$AB46)&amp;""),"")))</f>
        <v/>
      </c>
      <c r="F46" s="7">
        <f>IF($Z46="C",INDEX(Contracts!$Q$2:$Q$151,$AB46)&amp;"",IF($Z46="A",INDEX(Fixed_Assets!$L$2:$L$201,$AB46)&amp;"",IF($Z46="F",INDEX(Workforce!$K$2:$K$151,MATCH(INDEX(FTE_Allocation!$A$2:$A$201,$AB46),Workforce!$A$2:$A$151,0))&amp;"","")))</f>
        <v/>
      </c>
      <c r="G46" s="7">
        <f>IF($Z46="C",INDEX(Contracts!$F$2:$F$151,$AB46)&amp;" / "&amp;INDEX(Contracts!$G$2:$G$151,$AB46),IF($Z46="A",INDEX(Fixed_Assets!$E$2:$E$201,$AB46)&amp;"",IF($Z46="F","Personnel "&amp;INDEX(FTE_Allocation!$A$2:$A$201,$AB46)&amp;IF(INDEX(FTE_Allocation!$D$2:$D$201,$AB46)="PROJECT"," ("&amp;INDEX(FTE_Allocation!$E$2:$E$201,$AB46)&amp;")",""),"")))</f>
        <v/>
      </c>
      <c r="H46" s="7">
        <f>IF($Z46="C","CONTRACT",IF($Z46="A","ASSET",IF($Z46="F","WORKFORCE","")))</f>
        <v/>
      </c>
      <c r="I46" s="7">
        <f>IF($Z46="C",INDEX(Contracts!$L$2:$L$151,$AB46)&amp;"",IF($Z46="A",INDEX(Fixed_Assets!$I$2:$I$201,$AB46)&amp;"",IF($Z46="F",INDEX(Workforce!$G$2:$G$151,MATCH(INDEX(FTE_Allocation!$A$2:$A$201,$AB46),Workforce!$A$2:$A$151,0))&amp;"","")))</f>
        <v/>
      </c>
      <c r="J46" s="18">
        <f>IF($Z46="","",IF(AND(DATE($AD46,1,1)&gt;=$AE46,DATE($AD46,1,1)&lt;=$AF46),ROUND($AG46,2),0))</f>
        <v/>
      </c>
      <c r="K46" s="18">
        <f>IF($Z46="","",IF(AND(DATE($AD46,2,1)&gt;=$AE46,DATE($AD46,2,1)&lt;=$AF46),ROUND($AG46,2),0))</f>
        <v/>
      </c>
      <c r="L46" s="18">
        <f>IF($Z46="","",IF(AND(DATE($AD46,3,1)&gt;=$AE46,DATE($AD46,3,1)&lt;=$AF46),ROUND($AG46,2),0))</f>
        <v/>
      </c>
      <c r="M46" s="18">
        <f>IF($Z46="","",IF(AND(DATE($AD46,4,1)&gt;=$AE46,DATE($AD46,4,1)&lt;=$AF46),ROUND($AG46,2),0))</f>
        <v/>
      </c>
      <c r="N46" s="18">
        <f>IF($Z46="","",IF(AND(DATE($AD46,5,1)&gt;=$AE46,DATE($AD46,5,1)&lt;=$AF46),ROUND($AG46,2),0))</f>
        <v/>
      </c>
      <c r="O46" s="18">
        <f>IF($Z46="","",IF(AND(DATE($AD46,6,1)&gt;=$AE46,DATE($AD46,6,1)&lt;=$AF46),ROUND($AG46,2),0))</f>
        <v/>
      </c>
      <c r="P46" s="18">
        <f>IF($Z46="","",IF(AND(DATE($AD46,7,1)&gt;=$AE46,DATE($AD46,7,1)&lt;=$AF46),ROUND($AG46,2),0))</f>
        <v/>
      </c>
      <c r="Q46" s="18">
        <f>IF($Z46="","",IF(AND(DATE($AD46,8,1)&gt;=$AE46,DATE($AD46,8,1)&lt;=$AF46),ROUND($AG46,2),0))</f>
        <v/>
      </c>
      <c r="R46" s="18">
        <f>IF($Z46="","",IF(AND(DATE($AD46,9,1)&gt;=$AE46,DATE($AD46,9,1)&lt;=$AF46),ROUND($AG46,2),0))</f>
        <v/>
      </c>
      <c r="S46" s="18">
        <f>IF($Z46="","",IF(AND(DATE($AD46,10,1)&gt;=$AE46,DATE($AD46,10,1)&lt;=$AF46),ROUND($AG46,2),0))</f>
        <v/>
      </c>
      <c r="T46" s="18">
        <f>IF($Z46="","",IF(AND(DATE($AD46,11,1)&gt;=$AE46,DATE($AD46,11,1)&lt;=$AF46),ROUND($AG46,2),0))</f>
        <v/>
      </c>
      <c r="U46" s="18">
        <f>IF($Z46="","",IF(AND(DATE($AD46,12,1)&gt;=$AE46,DATE($AD46,12,1)&lt;=$AF46),ROUND($AG46,2),0))</f>
        <v/>
      </c>
      <c r="V46" s="7">
        <f>IF($Z46="C","Generated from "&amp;INDEX(Contracts!$A$2:$A$151,$AB46),IF($Z46="A","Generated from "&amp;INDEX(Fixed_Assets!$A$2:$A$201,$AB46),IF($Z46="F","Generated from "&amp;INDEX(FTE_Allocation!$A$2:$A$201,$AB46),"")))</f>
        <v/>
      </c>
      <c r="X46" s="19">
        <f>IF($Z46="","",SUM(J46:U46))</f>
        <v/>
      </c>
      <c r="Y46" s="20">
        <f>ROW()-1</f>
        <v/>
      </c>
      <c r="Z46" s="20">
        <f>IF($Y46&lt;=Settings!$B$4*3,"C",IF($Y46&lt;=(Settings!$B$4+Settings!$B$5)*3,"A",IF($Y46&lt;=(Settings!$B$4+Settings!$B$5+Settings!$B$6)*3,"F","")))</f>
        <v/>
      </c>
      <c r="AA46" s="20">
        <f>IF($Z46="C",$Y46,IF($Z46="A",$Y46-Settings!$B$4*3,IF($Z46="F",$Y46-(Settings!$B$4+Settings!$B$5)*3,"")))</f>
        <v/>
      </c>
      <c r="AB46" s="20">
        <f>IF($Z46="","",INT(($AA46-1)/3)+1)</f>
        <v/>
      </c>
      <c r="AC46" s="20">
        <f>IF($Z46="","",MOD($AA46-1,3)+1)</f>
        <v/>
      </c>
      <c r="AD46" s="20">
        <f>IF($Z46="","",Settings!$B$2+$AC46-1)</f>
        <v/>
      </c>
      <c r="AE46" s="21">
        <f>IF($Z46="C",DATE(YEAR(INDEX(Contracts!$J$2:$J$151,$AB46)),MONTH(INDEX(Contracts!$J$2:$J$151,$AB46)),1),IF($Z46="A",DATE(YEAR(INDEX(Fixed_Assets!$G$2:$G$201,$AB46)),MONTH(INDEX(Fixed_Assets!$G$2:$G$201,$AB46)),1),IF($Z46="F",DATE(YEAR(MAX(N(INDEX(Workforce!$I$2:$I$151,MATCH(INDEX(FTE_Allocation!$A$2:$A$201,$AB46),Workforce!$A$2:$A$151,0))),N(INDEX(FTE_Allocation!$I$2:$I$201,$AB46)))),MONTH(MAX(N(INDEX(Workforce!$I$2:$I$151,MATCH(INDEX(FTE_Allocation!$A$2:$A$201,$AB46),Workforce!$A$2:$A$151,0))),N(INDEX(FTE_Allocation!$I$2:$I$201,$AB46)))),1),"")))</f>
        <v/>
      </c>
      <c r="AF46" s="21">
        <f>IF($Z46="C",IF(INDEX(Contracts!$I$2:$I$151,$AB46)="PREPAID",EDATE(DATE(YEAR(INDEX(Contracts!$J$2:$J$151,$AB46)),MONTH(INDEX(Contracts!$J$2:$J$151,$AB46)),1),IF(INDEX(Contracts!$N$2:$N$151,$AB46)="",12,INDEX(Contracts!$N$2:$N$151,$AB46))-1),IF(INDEX(Contracts!$I$2:$I$151,$AB46)="MONTHLY",IF(INDEX(Contracts!$K$2:$K$151,$AB46)="",2958101,INDEX(Contracts!$K$2:$K$151,$AB46)),0)),IF($Z46="A",EDATE(DATE(YEAR(INDEX(Fixed_Assets!$G$2:$G$201,$AB46)),MONTH(INDEX(Fixed_Assets!$G$2:$G$201,$AB46)),1),INDEX(Fixed_Assets!$J$2:$J$201,$AB46)-1),IF($Z46="F",MIN(IF(INDEX(Workforce!$J$2:$J$151,MATCH(INDEX(FTE_Allocation!$A$2:$A$201,$AB46),Workforce!$A$2:$A$151,0))="",2958101,INDEX(Workforce!$J$2:$J$151,MATCH(INDEX(FTE_Allocation!$A$2:$A$201,$AB46),Workforce!$A$2:$A$151,0))),IF(INDEX(FTE_Allocation!$J$2:$J$201,$AB46)="",2958101,INDEX(FTE_Allocation!$J$2:$J$201,$AB46))),"")))</f>
        <v/>
      </c>
      <c r="AG46" s="19">
        <f>IF($Z46="C",IF(INDEX(Contracts!$I$2:$I$151,$AB46)="PREPAID",INDEX(Contracts!$M$2:$M$151,$AB46)/IF(INDEX(Contracts!$N$2:$N$151,$AB46)="",12,INDEX(Contracts!$N$2:$N$151,$AB46)),IF(INDEX(Contracts!$I$2:$I$151,$AB46)="MONTHLY",INDEX(Contracts!$M$2:$M$151,$AB46),0))*(1-N(INDEX(Contracts!$O$2:$O$151,$AB46))),IF($Z46="A",INDEX(Fixed_Assets!$H$2:$H$201,$AB46)/INDEX(Fixed_Assets!$J$2:$J$201,$AB46),IF($Z46="F",INDEX(Workforce!$F$2:$F$151,MATCH(INDEX(FTE_Allocation!$A$2:$A$201,$AB46),Workforce!$A$2:$A$151,0))*N(INDEX(FTE_Allocation!$F$2:$H$201,$AB46,$AC46)),"")))</f>
        <v/>
      </c>
    </row>
    <row r="47">
      <c r="A47" s="7">
        <f>IF($Z47="","",$AD47)</f>
        <v/>
      </c>
      <c r="B47" s="7">
        <f>IF($Z47="C",INDEX(Contracts!$D$2:$D$151,$AB47)&amp;"",IF($Z47="A",INDEX(Fixed_Assets!$C$2:$C$201,$AB47)&amp;"",IF($Z47="F",INDEX(Workforce!$B$2:$B$151,MATCH(INDEX(FTE_Allocation!$A$2:$A$201,$AB47),Workforce!$A$2:$A$151,0))&amp;"","")))</f>
        <v/>
      </c>
      <c r="C47" s="7">
        <f>IF($Z47="C",INDEX(Contracts!$E$2:$E$151,$AB47)&amp;"",IF($Z47="A",INDEX(Fixed_Assets!$D$2:$D$201,$AB47)&amp;"",IF($Z47="F",INDEX(FTE_Allocation!$C$2:$C$201,$AB47)&amp;"","")))</f>
        <v/>
      </c>
      <c r="D47" s="7">
        <f>IF($Z47="C",INDEX(Contracts!$B$2:$B$151,$AB47)&amp;"",IF($Z47="A",INDEX(Fixed_Assets!$B$2:$B$201,$AB47)&amp;"",IF($Z47="F",INDEX(FTE_Allocation!$B$2:$B$201,$AB47)&amp;"","")))</f>
        <v/>
      </c>
      <c r="E47" s="7">
        <f>IF($Z47="C",INDEX(Contracts!$P$2:$P$151,$AB47)&amp;"",IF($Z47="A",INDEX(Fixed_Assets!$K$2:$K$201,$AB47)&amp;"",IF($Z47="F",IF(INDEX(FTE_Allocation!$D$2:$D$201,$AB47)="PROJECT",IFERROR(INDEX(Projects!$D:$D,MATCH(INDEX(FTE_Allocation!$E$2:$E$201,$AB47),Projects!$A:$A,0))&amp;"","#PROJECT?"),INDEX(FTE_Allocation!$E$2:$E$201,$AB47)&amp;""),"")))</f>
        <v/>
      </c>
      <c r="F47" s="7">
        <f>IF($Z47="C",INDEX(Contracts!$Q$2:$Q$151,$AB47)&amp;"",IF($Z47="A",INDEX(Fixed_Assets!$L$2:$L$201,$AB47)&amp;"",IF($Z47="F",INDEX(Workforce!$K$2:$K$151,MATCH(INDEX(FTE_Allocation!$A$2:$A$201,$AB47),Workforce!$A$2:$A$151,0))&amp;"","")))</f>
        <v/>
      </c>
      <c r="G47" s="7">
        <f>IF($Z47="C",INDEX(Contracts!$F$2:$F$151,$AB47)&amp;" / "&amp;INDEX(Contracts!$G$2:$G$151,$AB47),IF($Z47="A",INDEX(Fixed_Assets!$E$2:$E$201,$AB47)&amp;"",IF($Z47="F","Personnel "&amp;INDEX(FTE_Allocation!$A$2:$A$201,$AB47)&amp;IF(INDEX(FTE_Allocation!$D$2:$D$201,$AB47)="PROJECT"," ("&amp;INDEX(FTE_Allocation!$E$2:$E$201,$AB47)&amp;")",""),"")))</f>
        <v/>
      </c>
      <c r="H47" s="7">
        <f>IF($Z47="C","CONTRACT",IF($Z47="A","ASSET",IF($Z47="F","WORKFORCE","")))</f>
        <v/>
      </c>
      <c r="I47" s="7">
        <f>IF($Z47="C",INDEX(Contracts!$L$2:$L$151,$AB47)&amp;"",IF($Z47="A",INDEX(Fixed_Assets!$I$2:$I$201,$AB47)&amp;"",IF($Z47="F",INDEX(Workforce!$G$2:$G$151,MATCH(INDEX(FTE_Allocation!$A$2:$A$201,$AB47),Workforce!$A$2:$A$151,0))&amp;"","")))</f>
        <v/>
      </c>
      <c r="J47" s="18">
        <f>IF($Z47="","",IF(AND(DATE($AD47,1,1)&gt;=$AE47,DATE($AD47,1,1)&lt;=$AF47),ROUND($AG47,2),0))</f>
        <v/>
      </c>
      <c r="K47" s="18">
        <f>IF($Z47="","",IF(AND(DATE($AD47,2,1)&gt;=$AE47,DATE($AD47,2,1)&lt;=$AF47),ROUND($AG47,2),0))</f>
        <v/>
      </c>
      <c r="L47" s="18">
        <f>IF($Z47="","",IF(AND(DATE($AD47,3,1)&gt;=$AE47,DATE($AD47,3,1)&lt;=$AF47),ROUND($AG47,2),0))</f>
        <v/>
      </c>
      <c r="M47" s="18">
        <f>IF($Z47="","",IF(AND(DATE($AD47,4,1)&gt;=$AE47,DATE($AD47,4,1)&lt;=$AF47),ROUND($AG47,2),0))</f>
        <v/>
      </c>
      <c r="N47" s="18">
        <f>IF($Z47="","",IF(AND(DATE($AD47,5,1)&gt;=$AE47,DATE($AD47,5,1)&lt;=$AF47),ROUND($AG47,2),0))</f>
        <v/>
      </c>
      <c r="O47" s="18">
        <f>IF($Z47="","",IF(AND(DATE($AD47,6,1)&gt;=$AE47,DATE($AD47,6,1)&lt;=$AF47),ROUND($AG47,2),0))</f>
        <v/>
      </c>
      <c r="P47" s="18">
        <f>IF($Z47="","",IF(AND(DATE($AD47,7,1)&gt;=$AE47,DATE($AD47,7,1)&lt;=$AF47),ROUND($AG47,2),0))</f>
        <v/>
      </c>
      <c r="Q47" s="18">
        <f>IF($Z47="","",IF(AND(DATE($AD47,8,1)&gt;=$AE47,DATE($AD47,8,1)&lt;=$AF47),ROUND($AG47,2),0))</f>
        <v/>
      </c>
      <c r="R47" s="18">
        <f>IF($Z47="","",IF(AND(DATE($AD47,9,1)&gt;=$AE47,DATE($AD47,9,1)&lt;=$AF47),ROUND($AG47,2),0))</f>
        <v/>
      </c>
      <c r="S47" s="18">
        <f>IF($Z47="","",IF(AND(DATE($AD47,10,1)&gt;=$AE47,DATE($AD47,10,1)&lt;=$AF47),ROUND($AG47,2),0))</f>
        <v/>
      </c>
      <c r="T47" s="18">
        <f>IF($Z47="","",IF(AND(DATE($AD47,11,1)&gt;=$AE47,DATE($AD47,11,1)&lt;=$AF47),ROUND($AG47,2),0))</f>
        <v/>
      </c>
      <c r="U47" s="18">
        <f>IF($Z47="","",IF(AND(DATE($AD47,12,1)&gt;=$AE47,DATE($AD47,12,1)&lt;=$AF47),ROUND($AG47,2),0))</f>
        <v/>
      </c>
      <c r="V47" s="7">
        <f>IF($Z47="C","Generated from "&amp;INDEX(Contracts!$A$2:$A$151,$AB47),IF($Z47="A","Generated from "&amp;INDEX(Fixed_Assets!$A$2:$A$201,$AB47),IF($Z47="F","Generated from "&amp;INDEX(FTE_Allocation!$A$2:$A$201,$AB47),"")))</f>
        <v/>
      </c>
      <c r="X47" s="19">
        <f>IF($Z47="","",SUM(J47:U47))</f>
        <v/>
      </c>
      <c r="Y47" s="20">
        <f>ROW()-1</f>
        <v/>
      </c>
      <c r="Z47" s="20">
        <f>IF($Y47&lt;=Settings!$B$4*3,"C",IF($Y47&lt;=(Settings!$B$4+Settings!$B$5)*3,"A",IF($Y47&lt;=(Settings!$B$4+Settings!$B$5+Settings!$B$6)*3,"F","")))</f>
        <v/>
      </c>
      <c r="AA47" s="20">
        <f>IF($Z47="C",$Y47,IF($Z47="A",$Y47-Settings!$B$4*3,IF($Z47="F",$Y47-(Settings!$B$4+Settings!$B$5)*3,"")))</f>
        <v/>
      </c>
      <c r="AB47" s="20">
        <f>IF($Z47="","",INT(($AA47-1)/3)+1)</f>
        <v/>
      </c>
      <c r="AC47" s="20">
        <f>IF($Z47="","",MOD($AA47-1,3)+1)</f>
        <v/>
      </c>
      <c r="AD47" s="20">
        <f>IF($Z47="","",Settings!$B$2+$AC47-1)</f>
        <v/>
      </c>
      <c r="AE47" s="21">
        <f>IF($Z47="C",DATE(YEAR(INDEX(Contracts!$J$2:$J$151,$AB47)),MONTH(INDEX(Contracts!$J$2:$J$151,$AB47)),1),IF($Z47="A",DATE(YEAR(INDEX(Fixed_Assets!$G$2:$G$201,$AB47)),MONTH(INDEX(Fixed_Assets!$G$2:$G$201,$AB47)),1),IF($Z47="F",DATE(YEAR(MAX(N(INDEX(Workforce!$I$2:$I$151,MATCH(INDEX(FTE_Allocation!$A$2:$A$201,$AB47),Workforce!$A$2:$A$151,0))),N(INDEX(FTE_Allocation!$I$2:$I$201,$AB47)))),MONTH(MAX(N(INDEX(Workforce!$I$2:$I$151,MATCH(INDEX(FTE_Allocation!$A$2:$A$201,$AB47),Workforce!$A$2:$A$151,0))),N(INDEX(FTE_Allocation!$I$2:$I$201,$AB47)))),1),"")))</f>
        <v/>
      </c>
      <c r="AF47" s="21">
        <f>IF($Z47="C",IF(INDEX(Contracts!$I$2:$I$151,$AB47)="PREPAID",EDATE(DATE(YEAR(INDEX(Contracts!$J$2:$J$151,$AB47)),MONTH(INDEX(Contracts!$J$2:$J$151,$AB47)),1),IF(INDEX(Contracts!$N$2:$N$151,$AB47)="",12,INDEX(Contracts!$N$2:$N$151,$AB47))-1),IF(INDEX(Contracts!$I$2:$I$151,$AB47)="MONTHLY",IF(INDEX(Contracts!$K$2:$K$151,$AB47)="",2958101,INDEX(Contracts!$K$2:$K$151,$AB47)),0)),IF($Z47="A",EDATE(DATE(YEAR(INDEX(Fixed_Assets!$G$2:$G$201,$AB47)),MONTH(INDEX(Fixed_Assets!$G$2:$G$201,$AB47)),1),INDEX(Fixed_Assets!$J$2:$J$201,$AB47)-1),IF($Z47="F",MIN(IF(INDEX(Workforce!$J$2:$J$151,MATCH(INDEX(FTE_Allocation!$A$2:$A$201,$AB47),Workforce!$A$2:$A$151,0))="",2958101,INDEX(Workforce!$J$2:$J$151,MATCH(INDEX(FTE_Allocation!$A$2:$A$201,$AB47),Workforce!$A$2:$A$151,0))),IF(INDEX(FTE_Allocation!$J$2:$J$201,$AB47)="",2958101,INDEX(FTE_Allocation!$J$2:$J$201,$AB47))),"")))</f>
        <v/>
      </c>
      <c r="AG47" s="19">
        <f>IF($Z47="C",IF(INDEX(Contracts!$I$2:$I$151,$AB47)="PREPAID",INDEX(Contracts!$M$2:$M$151,$AB47)/IF(INDEX(Contracts!$N$2:$N$151,$AB47)="",12,INDEX(Contracts!$N$2:$N$151,$AB47)),IF(INDEX(Contracts!$I$2:$I$151,$AB47)="MONTHLY",INDEX(Contracts!$M$2:$M$151,$AB47),0))*(1-N(INDEX(Contracts!$O$2:$O$151,$AB47))),IF($Z47="A",INDEX(Fixed_Assets!$H$2:$H$201,$AB47)/INDEX(Fixed_Assets!$J$2:$J$201,$AB47),IF($Z47="F",INDEX(Workforce!$F$2:$F$151,MATCH(INDEX(FTE_Allocation!$A$2:$A$201,$AB47),Workforce!$A$2:$A$151,0))*N(INDEX(FTE_Allocation!$F$2:$H$201,$AB47,$AC47)),"")))</f>
        <v/>
      </c>
    </row>
    <row r="48">
      <c r="A48" s="7">
        <f>IF($Z48="","",$AD48)</f>
        <v/>
      </c>
      <c r="B48" s="7">
        <f>IF($Z48="C",INDEX(Contracts!$D$2:$D$151,$AB48)&amp;"",IF($Z48="A",INDEX(Fixed_Assets!$C$2:$C$201,$AB48)&amp;"",IF($Z48="F",INDEX(Workforce!$B$2:$B$151,MATCH(INDEX(FTE_Allocation!$A$2:$A$201,$AB48),Workforce!$A$2:$A$151,0))&amp;"","")))</f>
        <v/>
      </c>
      <c r="C48" s="7">
        <f>IF($Z48="C",INDEX(Contracts!$E$2:$E$151,$AB48)&amp;"",IF($Z48="A",INDEX(Fixed_Assets!$D$2:$D$201,$AB48)&amp;"",IF($Z48="F",INDEX(FTE_Allocation!$C$2:$C$201,$AB48)&amp;"","")))</f>
        <v/>
      </c>
      <c r="D48" s="7">
        <f>IF($Z48="C",INDEX(Contracts!$B$2:$B$151,$AB48)&amp;"",IF($Z48="A",INDEX(Fixed_Assets!$B$2:$B$201,$AB48)&amp;"",IF($Z48="F",INDEX(FTE_Allocation!$B$2:$B$201,$AB48)&amp;"","")))</f>
        <v/>
      </c>
      <c r="E48" s="7">
        <f>IF($Z48="C",INDEX(Contracts!$P$2:$P$151,$AB48)&amp;"",IF($Z48="A",INDEX(Fixed_Assets!$K$2:$K$201,$AB48)&amp;"",IF($Z48="F",IF(INDEX(FTE_Allocation!$D$2:$D$201,$AB48)="PROJECT",IFERROR(INDEX(Projects!$D:$D,MATCH(INDEX(FTE_Allocation!$E$2:$E$201,$AB48),Projects!$A:$A,0))&amp;"","#PROJECT?"),INDEX(FTE_Allocation!$E$2:$E$201,$AB48)&amp;""),"")))</f>
        <v/>
      </c>
      <c r="F48" s="7">
        <f>IF($Z48="C",INDEX(Contracts!$Q$2:$Q$151,$AB48)&amp;"",IF($Z48="A",INDEX(Fixed_Assets!$L$2:$L$201,$AB48)&amp;"",IF($Z48="F",INDEX(Workforce!$K$2:$K$151,MATCH(INDEX(FTE_Allocation!$A$2:$A$201,$AB48),Workforce!$A$2:$A$151,0))&amp;"","")))</f>
        <v/>
      </c>
      <c r="G48" s="7">
        <f>IF($Z48="C",INDEX(Contracts!$F$2:$F$151,$AB48)&amp;" / "&amp;INDEX(Contracts!$G$2:$G$151,$AB48),IF($Z48="A",INDEX(Fixed_Assets!$E$2:$E$201,$AB48)&amp;"",IF($Z48="F","Personnel "&amp;INDEX(FTE_Allocation!$A$2:$A$201,$AB48)&amp;IF(INDEX(FTE_Allocation!$D$2:$D$201,$AB48)="PROJECT"," ("&amp;INDEX(FTE_Allocation!$E$2:$E$201,$AB48)&amp;")",""),"")))</f>
        <v/>
      </c>
      <c r="H48" s="7">
        <f>IF($Z48="C","CONTRACT",IF($Z48="A","ASSET",IF($Z48="F","WORKFORCE","")))</f>
        <v/>
      </c>
      <c r="I48" s="7">
        <f>IF($Z48="C",INDEX(Contracts!$L$2:$L$151,$AB48)&amp;"",IF($Z48="A",INDEX(Fixed_Assets!$I$2:$I$201,$AB48)&amp;"",IF($Z48="F",INDEX(Workforce!$G$2:$G$151,MATCH(INDEX(FTE_Allocation!$A$2:$A$201,$AB48),Workforce!$A$2:$A$151,0))&amp;"","")))</f>
        <v/>
      </c>
      <c r="J48" s="18">
        <f>IF($Z48="","",IF(AND(DATE($AD48,1,1)&gt;=$AE48,DATE($AD48,1,1)&lt;=$AF48),ROUND($AG48,2),0))</f>
        <v/>
      </c>
      <c r="K48" s="18">
        <f>IF($Z48="","",IF(AND(DATE($AD48,2,1)&gt;=$AE48,DATE($AD48,2,1)&lt;=$AF48),ROUND($AG48,2),0))</f>
        <v/>
      </c>
      <c r="L48" s="18">
        <f>IF($Z48="","",IF(AND(DATE($AD48,3,1)&gt;=$AE48,DATE($AD48,3,1)&lt;=$AF48),ROUND($AG48,2),0))</f>
        <v/>
      </c>
      <c r="M48" s="18">
        <f>IF($Z48="","",IF(AND(DATE($AD48,4,1)&gt;=$AE48,DATE($AD48,4,1)&lt;=$AF48),ROUND($AG48,2),0))</f>
        <v/>
      </c>
      <c r="N48" s="18">
        <f>IF($Z48="","",IF(AND(DATE($AD48,5,1)&gt;=$AE48,DATE($AD48,5,1)&lt;=$AF48),ROUND($AG48,2),0))</f>
        <v/>
      </c>
      <c r="O48" s="18">
        <f>IF($Z48="","",IF(AND(DATE($AD48,6,1)&gt;=$AE48,DATE($AD48,6,1)&lt;=$AF48),ROUND($AG48,2),0))</f>
        <v/>
      </c>
      <c r="P48" s="18">
        <f>IF($Z48="","",IF(AND(DATE($AD48,7,1)&gt;=$AE48,DATE($AD48,7,1)&lt;=$AF48),ROUND($AG48,2),0))</f>
        <v/>
      </c>
      <c r="Q48" s="18">
        <f>IF($Z48="","",IF(AND(DATE($AD48,8,1)&gt;=$AE48,DATE($AD48,8,1)&lt;=$AF48),ROUND($AG48,2),0))</f>
        <v/>
      </c>
      <c r="R48" s="18">
        <f>IF($Z48="","",IF(AND(DATE($AD48,9,1)&gt;=$AE48,DATE($AD48,9,1)&lt;=$AF48),ROUND($AG48,2),0))</f>
        <v/>
      </c>
      <c r="S48" s="18">
        <f>IF($Z48="","",IF(AND(DATE($AD48,10,1)&gt;=$AE48,DATE($AD48,10,1)&lt;=$AF48),ROUND($AG48,2),0))</f>
        <v/>
      </c>
      <c r="T48" s="18">
        <f>IF($Z48="","",IF(AND(DATE($AD48,11,1)&gt;=$AE48,DATE($AD48,11,1)&lt;=$AF48),ROUND($AG48,2),0))</f>
        <v/>
      </c>
      <c r="U48" s="18">
        <f>IF($Z48="","",IF(AND(DATE($AD48,12,1)&gt;=$AE48,DATE($AD48,12,1)&lt;=$AF48),ROUND($AG48,2),0))</f>
        <v/>
      </c>
      <c r="V48" s="7">
        <f>IF($Z48="C","Generated from "&amp;INDEX(Contracts!$A$2:$A$151,$AB48),IF($Z48="A","Generated from "&amp;INDEX(Fixed_Assets!$A$2:$A$201,$AB48),IF($Z48="F","Generated from "&amp;INDEX(FTE_Allocation!$A$2:$A$201,$AB48),"")))</f>
        <v/>
      </c>
      <c r="X48" s="19">
        <f>IF($Z48="","",SUM(J48:U48))</f>
        <v/>
      </c>
      <c r="Y48" s="20">
        <f>ROW()-1</f>
        <v/>
      </c>
      <c r="Z48" s="20">
        <f>IF($Y48&lt;=Settings!$B$4*3,"C",IF($Y48&lt;=(Settings!$B$4+Settings!$B$5)*3,"A",IF($Y48&lt;=(Settings!$B$4+Settings!$B$5+Settings!$B$6)*3,"F","")))</f>
        <v/>
      </c>
      <c r="AA48" s="20">
        <f>IF($Z48="C",$Y48,IF($Z48="A",$Y48-Settings!$B$4*3,IF($Z48="F",$Y48-(Settings!$B$4+Settings!$B$5)*3,"")))</f>
        <v/>
      </c>
      <c r="AB48" s="20">
        <f>IF($Z48="","",INT(($AA48-1)/3)+1)</f>
        <v/>
      </c>
      <c r="AC48" s="20">
        <f>IF($Z48="","",MOD($AA48-1,3)+1)</f>
        <v/>
      </c>
      <c r="AD48" s="20">
        <f>IF($Z48="","",Settings!$B$2+$AC48-1)</f>
        <v/>
      </c>
      <c r="AE48" s="21">
        <f>IF($Z48="C",DATE(YEAR(INDEX(Contracts!$J$2:$J$151,$AB48)),MONTH(INDEX(Contracts!$J$2:$J$151,$AB48)),1),IF($Z48="A",DATE(YEAR(INDEX(Fixed_Assets!$G$2:$G$201,$AB48)),MONTH(INDEX(Fixed_Assets!$G$2:$G$201,$AB48)),1),IF($Z48="F",DATE(YEAR(MAX(N(INDEX(Workforce!$I$2:$I$151,MATCH(INDEX(FTE_Allocation!$A$2:$A$201,$AB48),Workforce!$A$2:$A$151,0))),N(INDEX(FTE_Allocation!$I$2:$I$201,$AB48)))),MONTH(MAX(N(INDEX(Workforce!$I$2:$I$151,MATCH(INDEX(FTE_Allocation!$A$2:$A$201,$AB48),Workforce!$A$2:$A$151,0))),N(INDEX(FTE_Allocation!$I$2:$I$201,$AB48)))),1),"")))</f>
        <v/>
      </c>
      <c r="AF48" s="21">
        <f>IF($Z48="C",IF(INDEX(Contracts!$I$2:$I$151,$AB48)="PREPAID",EDATE(DATE(YEAR(INDEX(Contracts!$J$2:$J$151,$AB48)),MONTH(INDEX(Contracts!$J$2:$J$151,$AB48)),1),IF(INDEX(Contracts!$N$2:$N$151,$AB48)="",12,INDEX(Contracts!$N$2:$N$151,$AB48))-1),IF(INDEX(Contracts!$I$2:$I$151,$AB48)="MONTHLY",IF(INDEX(Contracts!$K$2:$K$151,$AB48)="",2958101,INDEX(Contracts!$K$2:$K$151,$AB48)),0)),IF($Z48="A",EDATE(DATE(YEAR(INDEX(Fixed_Assets!$G$2:$G$201,$AB48)),MONTH(INDEX(Fixed_Assets!$G$2:$G$201,$AB48)),1),INDEX(Fixed_Assets!$J$2:$J$201,$AB48)-1),IF($Z48="F",MIN(IF(INDEX(Workforce!$J$2:$J$151,MATCH(INDEX(FTE_Allocation!$A$2:$A$201,$AB48),Workforce!$A$2:$A$151,0))="",2958101,INDEX(Workforce!$J$2:$J$151,MATCH(INDEX(FTE_Allocation!$A$2:$A$201,$AB48),Workforce!$A$2:$A$151,0))),IF(INDEX(FTE_Allocation!$J$2:$J$201,$AB48)="",2958101,INDEX(FTE_Allocation!$J$2:$J$201,$AB48))),"")))</f>
        <v/>
      </c>
      <c r="AG48" s="19">
        <f>IF($Z48="C",IF(INDEX(Contracts!$I$2:$I$151,$AB48)="PREPAID",INDEX(Contracts!$M$2:$M$151,$AB48)/IF(INDEX(Contracts!$N$2:$N$151,$AB48)="",12,INDEX(Contracts!$N$2:$N$151,$AB48)),IF(INDEX(Contracts!$I$2:$I$151,$AB48)="MONTHLY",INDEX(Contracts!$M$2:$M$151,$AB48),0))*(1-N(INDEX(Contracts!$O$2:$O$151,$AB48))),IF($Z48="A",INDEX(Fixed_Assets!$H$2:$H$201,$AB48)/INDEX(Fixed_Assets!$J$2:$J$201,$AB48),IF($Z48="F",INDEX(Workforce!$F$2:$F$151,MATCH(INDEX(FTE_Allocation!$A$2:$A$201,$AB48),Workforce!$A$2:$A$151,0))*N(INDEX(FTE_Allocation!$F$2:$H$201,$AB48,$AC48)),"")))</f>
        <v/>
      </c>
    </row>
    <row r="49">
      <c r="A49" s="7">
        <f>IF($Z49="","",$AD49)</f>
        <v/>
      </c>
      <c r="B49" s="7">
        <f>IF($Z49="C",INDEX(Contracts!$D$2:$D$151,$AB49)&amp;"",IF($Z49="A",INDEX(Fixed_Assets!$C$2:$C$201,$AB49)&amp;"",IF($Z49="F",INDEX(Workforce!$B$2:$B$151,MATCH(INDEX(FTE_Allocation!$A$2:$A$201,$AB49),Workforce!$A$2:$A$151,0))&amp;"","")))</f>
        <v/>
      </c>
      <c r="C49" s="7">
        <f>IF($Z49="C",INDEX(Contracts!$E$2:$E$151,$AB49)&amp;"",IF($Z49="A",INDEX(Fixed_Assets!$D$2:$D$201,$AB49)&amp;"",IF($Z49="F",INDEX(FTE_Allocation!$C$2:$C$201,$AB49)&amp;"","")))</f>
        <v/>
      </c>
      <c r="D49" s="7">
        <f>IF($Z49="C",INDEX(Contracts!$B$2:$B$151,$AB49)&amp;"",IF($Z49="A",INDEX(Fixed_Assets!$B$2:$B$201,$AB49)&amp;"",IF($Z49="F",INDEX(FTE_Allocation!$B$2:$B$201,$AB49)&amp;"","")))</f>
        <v/>
      </c>
      <c r="E49" s="7">
        <f>IF($Z49="C",INDEX(Contracts!$P$2:$P$151,$AB49)&amp;"",IF($Z49="A",INDEX(Fixed_Assets!$K$2:$K$201,$AB49)&amp;"",IF($Z49="F",IF(INDEX(FTE_Allocation!$D$2:$D$201,$AB49)="PROJECT",IFERROR(INDEX(Projects!$D:$D,MATCH(INDEX(FTE_Allocation!$E$2:$E$201,$AB49),Projects!$A:$A,0))&amp;"","#PROJECT?"),INDEX(FTE_Allocation!$E$2:$E$201,$AB49)&amp;""),"")))</f>
        <v/>
      </c>
      <c r="F49" s="7">
        <f>IF($Z49="C",INDEX(Contracts!$Q$2:$Q$151,$AB49)&amp;"",IF($Z49="A",INDEX(Fixed_Assets!$L$2:$L$201,$AB49)&amp;"",IF($Z49="F",INDEX(Workforce!$K$2:$K$151,MATCH(INDEX(FTE_Allocation!$A$2:$A$201,$AB49),Workforce!$A$2:$A$151,0))&amp;"","")))</f>
        <v/>
      </c>
      <c r="G49" s="7">
        <f>IF($Z49="C",INDEX(Contracts!$F$2:$F$151,$AB49)&amp;" / "&amp;INDEX(Contracts!$G$2:$G$151,$AB49),IF($Z49="A",INDEX(Fixed_Assets!$E$2:$E$201,$AB49)&amp;"",IF($Z49="F","Personnel "&amp;INDEX(FTE_Allocation!$A$2:$A$201,$AB49)&amp;IF(INDEX(FTE_Allocation!$D$2:$D$201,$AB49)="PROJECT"," ("&amp;INDEX(FTE_Allocation!$E$2:$E$201,$AB49)&amp;")",""),"")))</f>
        <v/>
      </c>
      <c r="H49" s="7">
        <f>IF($Z49="C","CONTRACT",IF($Z49="A","ASSET",IF($Z49="F","WORKFORCE","")))</f>
        <v/>
      </c>
      <c r="I49" s="7">
        <f>IF($Z49="C",INDEX(Contracts!$L$2:$L$151,$AB49)&amp;"",IF($Z49="A",INDEX(Fixed_Assets!$I$2:$I$201,$AB49)&amp;"",IF($Z49="F",INDEX(Workforce!$G$2:$G$151,MATCH(INDEX(FTE_Allocation!$A$2:$A$201,$AB49),Workforce!$A$2:$A$151,0))&amp;"","")))</f>
        <v/>
      </c>
      <c r="J49" s="18">
        <f>IF($Z49="","",IF(AND(DATE($AD49,1,1)&gt;=$AE49,DATE($AD49,1,1)&lt;=$AF49),ROUND($AG49,2),0))</f>
        <v/>
      </c>
      <c r="K49" s="18">
        <f>IF($Z49="","",IF(AND(DATE($AD49,2,1)&gt;=$AE49,DATE($AD49,2,1)&lt;=$AF49),ROUND($AG49,2),0))</f>
        <v/>
      </c>
      <c r="L49" s="18">
        <f>IF($Z49="","",IF(AND(DATE($AD49,3,1)&gt;=$AE49,DATE($AD49,3,1)&lt;=$AF49),ROUND($AG49,2),0))</f>
        <v/>
      </c>
      <c r="M49" s="18">
        <f>IF($Z49="","",IF(AND(DATE($AD49,4,1)&gt;=$AE49,DATE($AD49,4,1)&lt;=$AF49),ROUND($AG49,2),0))</f>
        <v/>
      </c>
      <c r="N49" s="18">
        <f>IF($Z49="","",IF(AND(DATE($AD49,5,1)&gt;=$AE49,DATE($AD49,5,1)&lt;=$AF49),ROUND($AG49,2),0))</f>
        <v/>
      </c>
      <c r="O49" s="18">
        <f>IF($Z49="","",IF(AND(DATE($AD49,6,1)&gt;=$AE49,DATE($AD49,6,1)&lt;=$AF49),ROUND($AG49,2),0))</f>
        <v/>
      </c>
      <c r="P49" s="18">
        <f>IF($Z49="","",IF(AND(DATE($AD49,7,1)&gt;=$AE49,DATE($AD49,7,1)&lt;=$AF49),ROUND($AG49,2),0))</f>
        <v/>
      </c>
      <c r="Q49" s="18">
        <f>IF($Z49="","",IF(AND(DATE($AD49,8,1)&gt;=$AE49,DATE($AD49,8,1)&lt;=$AF49),ROUND($AG49,2),0))</f>
        <v/>
      </c>
      <c r="R49" s="18">
        <f>IF($Z49="","",IF(AND(DATE($AD49,9,1)&gt;=$AE49,DATE($AD49,9,1)&lt;=$AF49),ROUND($AG49,2),0))</f>
        <v/>
      </c>
      <c r="S49" s="18">
        <f>IF($Z49="","",IF(AND(DATE($AD49,10,1)&gt;=$AE49,DATE($AD49,10,1)&lt;=$AF49),ROUND($AG49,2),0))</f>
        <v/>
      </c>
      <c r="T49" s="18">
        <f>IF($Z49="","",IF(AND(DATE($AD49,11,1)&gt;=$AE49,DATE($AD49,11,1)&lt;=$AF49),ROUND($AG49,2),0))</f>
        <v/>
      </c>
      <c r="U49" s="18">
        <f>IF($Z49="","",IF(AND(DATE($AD49,12,1)&gt;=$AE49,DATE($AD49,12,1)&lt;=$AF49),ROUND($AG49,2),0))</f>
        <v/>
      </c>
      <c r="V49" s="7">
        <f>IF($Z49="C","Generated from "&amp;INDEX(Contracts!$A$2:$A$151,$AB49),IF($Z49="A","Generated from "&amp;INDEX(Fixed_Assets!$A$2:$A$201,$AB49),IF($Z49="F","Generated from "&amp;INDEX(FTE_Allocation!$A$2:$A$201,$AB49),"")))</f>
        <v/>
      </c>
      <c r="X49" s="19">
        <f>IF($Z49="","",SUM(J49:U49))</f>
        <v/>
      </c>
      <c r="Y49" s="20">
        <f>ROW()-1</f>
        <v/>
      </c>
      <c r="Z49" s="20">
        <f>IF($Y49&lt;=Settings!$B$4*3,"C",IF($Y49&lt;=(Settings!$B$4+Settings!$B$5)*3,"A",IF($Y49&lt;=(Settings!$B$4+Settings!$B$5+Settings!$B$6)*3,"F","")))</f>
        <v/>
      </c>
      <c r="AA49" s="20">
        <f>IF($Z49="C",$Y49,IF($Z49="A",$Y49-Settings!$B$4*3,IF($Z49="F",$Y49-(Settings!$B$4+Settings!$B$5)*3,"")))</f>
        <v/>
      </c>
      <c r="AB49" s="20">
        <f>IF($Z49="","",INT(($AA49-1)/3)+1)</f>
        <v/>
      </c>
      <c r="AC49" s="20">
        <f>IF($Z49="","",MOD($AA49-1,3)+1)</f>
        <v/>
      </c>
      <c r="AD49" s="20">
        <f>IF($Z49="","",Settings!$B$2+$AC49-1)</f>
        <v/>
      </c>
      <c r="AE49" s="21">
        <f>IF($Z49="C",DATE(YEAR(INDEX(Contracts!$J$2:$J$151,$AB49)),MONTH(INDEX(Contracts!$J$2:$J$151,$AB49)),1),IF($Z49="A",DATE(YEAR(INDEX(Fixed_Assets!$G$2:$G$201,$AB49)),MONTH(INDEX(Fixed_Assets!$G$2:$G$201,$AB49)),1),IF($Z49="F",DATE(YEAR(MAX(N(INDEX(Workforce!$I$2:$I$151,MATCH(INDEX(FTE_Allocation!$A$2:$A$201,$AB49),Workforce!$A$2:$A$151,0))),N(INDEX(FTE_Allocation!$I$2:$I$201,$AB49)))),MONTH(MAX(N(INDEX(Workforce!$I$2:$I$151,MATCH(INDEX(FTE_Allocation!$A$2:$A$201,$AB49),Workforce!$A$2:$A$151,0))),N(INDEX(FTE_Allocation!$I$2:$I$201,$AB49)))),1),"")))</f>
        <v/>
      </c>
      <c r="AF49" s="21">
        <f>IF($Z49="C",IF(INDEX(Contracts!$I$2:$I$151,$AB49)="PREPAID",EDATE(DATE(YEAR(INDEX(Contracts!$J$2:$J$151,$AB49)),MONTH(INDEX(Contracts!$J$2:$J$151,$AB49)),1),IF(INDEX(Contracts!$N$2:$N$151,$AB49)="",12,INDEX(Contracts!$N$2:$N$151,$AB49))-1),IF(INDEX(Contracts!$I$2:$I$151,$AB49)="MONTHLY",IF(INDEX(Contracts!$K$2:$K$151,$AB49)="",2958101,INDEX(Contracts!$K$2:$K$151,$AB49)),0)),IF($Z49="A",EDATE(DATE(YEAR(INDEX(Fixed_Assets!$G$2:$G$201,$AB49)),MONTH(INDEX(Fixed_Assets!$G$2:$G$201,$AB49)),1),INDEX(Fixed_Assets!$J$2:$J$201,$AB49)-1),IF($Z49="F",MIN(IF(INDEX(Workforce!$J$2:$J$151,MATCH(INDEX(FTE_Allocation!$A$2:$A$201,$AB49),Workforce!$A$2:$A$151,0))="",2958101,INDEX(Workforce!$J$2:$J$151,MATCH(INDEX(FTE_Allocation!$A$2:$A$201,$AB49),Workforce!$A$2:$A$151,0))),IF(INDEX(FTE_Allocation!$J$2:$J$201,$AB49)="",2958101,INDEX(FTE_Allocation!$J$2:$J$201,$AB49))),"")))</f>
        <v/>
      </c>
      <c r="AG49" s="19">
        <f>IF($Z49="C",IF(INDEX(Contracts!$I$2:$I$151,$AB49)="PREPAID",INDEX(Contracts!$M$2:$M$151,$AB49)/IF(INDEX(Contracts!$N$2:$N$151,$AB49)="",12,INDEX(Contracts!$N$2:$N$151,$AB49)),IF(INDEX(Contracts!$I$2:$I$151,$AB49)="MONTHLY",INDEX(Contracts!$M$2:$M$151,$AB49),0))*(1-N(INDEX(Contracts!$O$2:$O$151,$AB49))),IF($Z49="A",INDEX(Fixed_Assets!$H$2:$H$201,$AB49)/INDEX(Fixed_Assets!$J$2:$J$201,$AB49),IF($Z49="F",INDEX(Workforce!$F$2:$F$151,MATCH(INDEX(FTE_Allocation!$A$2:$A$201,$AB49),Workforce!$A$2:$A$151,0))*N(INDEX(FTE_Allocation!$F$2:$H$201,$AB49,$AC49)),"")))</f>
        <v/>
      </c>
    </row>
    <row r="50">
      <c r="A50" s="7">
        <f>IF($Z50="","",$AD50)</f>
        <v/>
      </c>
      <c r="B50" s="7">
        <f>IF($Z50="C",INDEX(Contracts!$D$2:$D$151,$AB50)&amp;"",IF($Z50="A",INDEX(Fixed_Assets!$C$2:$C$201,$AB50)&amp;"",IF($Z50="F",INDEX(Workforce!$B$2:$B$151,MATCH(INDEX(FTE_Allocation!$A$2:$A$201,$AB50),Workforce!$A$2:$A$151,0))&amp;"","")))</f>
        <v/>
      </c>
      <c r="C50" s="7">
        <f>IF($Z50="C",INDEX(Contracts!$E$2:$E$151,$AB50)&amp;"",IF($Z50="A",INDEX(Fixed_Assets!$D$2:$D$201,$AB50)&amp;"",IF($Z50="F",INDEX(FTE_Allocation!$C$2:$C$201,$AB50)&amp;"","")))</f>
        <v/>
      </c>
      <c r="D50" s="7">
        <f>IF($Z50="C",INDEX(Contracts!$B$2:$B$151,$AB50)&amp;"",IF($Z50="A",INDEX(Fixed_Assets!$B$2:$B$201,$AB50)&amp;"",IF($Z50="F",INDEX(FTE_Allocation!$B$2:$B$201,$AB50)&amp;"","")))</f>
        <v/>
      </c>
      <c r="E50" s="7">
        <f>IF($Z50="C",INDEX(Contracts!$P$2:$P$151,$AB50)&amp;"",IF($Z50="A",INDEX(Fixed_Assets!$K$2:$K$201,$AB50)&amp;"",IF($Z50="F",IF(INDEX(FTE_Allocation!$D$2:$D$201,$AB50)="PROJECT",IFERROR(INDEX(Projects!$D:$D,MATCH(INDEX(FTE_Allocation!$E$2:$E$201,$AB50),Projects!$A:$A,0))&amp;"","#PROJECT?"),INDEX(FTE_Allocation!$E$2:$E$201,$AB50)&amp;""),"")))</f>
        <v/>
      </c>
      <c r="F50" s="7">
        <f>IF($Z50="C",INDEX(Contracts!$Q$2:$Q$151,$AB50)&amp;"",IF($Z50="A",INDEX(Fixed_Assets!$L$2:$L$201,$AB50)&amp;"",IF($Z50="F",INDEX(Workforce!$K$2:$K$151,MATCH(INDEX(FTE_Allocation!$A$2:$A$201,$AB50),Workforce!$A$2:$A$151,0))&amp;"","")))</f>
        <v/>
      </c>
      <c r="G50" s="7">
        <f>IF($Z50="C",INDEX(Contracts!$F$2:$F$151,$AB50)&amp;" / "&amp;INDEX(Contracts!$G$2:$G$151,$AB50),IF($Z50="A",INDEX(Fixed_Assets!$E$2:$E$201,$AB50)&amp;"",IF($Z50="F","Personnel "&amp;INDEX(FTE_Allocation!$A$2:$A$201,$AB50)&amp;IF(INDEX(FTE_Allocation!$D$2:$D$201,$AB50)="PROJECT"," ("&amp;INDEX(FTE_Allocation!$E$2:$E$201,$AB50)&amp;")",""),"")))</f>
        <v/>
      </c>
      <c r="H50" s="7">
        <f>IF($Z50="C","CONTRACT",IF($Z50="A","ASSET",IF($Z50="F","WORKFORCE","")))</f>
        <v/>
      </c>
      <c r="I50" s="7">
        <f>IF($Z50="C",INDEX(Contracts!$L$2:$L$151,$AB50)&amp;"",IF($Z50="A",INDEX(Fixed_Assets!$I$2:$I$201,$AB50)&amp;"",IF($Z50="F",INDEX(Workforce!$G$2:$G$151,MATCH(INDEX(FTE_Allocation!$A$2:$A$201,$AB50),Workforce!$A$2:$A$151,0))&amp;"","")))</f>
        <v/>
      </c>
      <c r="J50" s="18">
        <f>IF($Z50="","",IF(AND(DATE($AD50,1,1)&gt;=$AE50,DATE($AD50,1,1)&lt;=$AF50),ROUND($AG50,2),0))</f>
        <v/>
      </c>
      <c r="K50" s="18">
        <f>IF($Z50="","",IF(AND(DATE($AD50,2,1)&gt;=$AE50,DATE($AD50,2,1)&lt;=$AF50),ROUND($AG50,2),0))</f>
        <v/>
      </c>
      <c r="L50" s="18">
        <f>IF($Z50="","",IF(AND(DATE($AD50,3,1)&gt;=$AE50,DATE($AD50,3,1)&lt;=$AF50),ROUND($AG50,2),0))</f>
        <v/>
      </c>
      <c r="M50" s="18">
        <f>IF($Z50="","",IF(AND(DATE($AD50,4,1)&gt;=$AE50,DATE($AD50,4,1)&lt;=$AF50),ROUND($AG50,2),0))</f>
        <v/>
      </c>
      <c r="N50" s="18">
        <f>IF($Z50="","",IF(AND(DATE($AD50,5,1)&gt;=$AE50,DATE($AD50,5,1)&lt;=$AF50),ROUND($AG50,2),0))</f>
        <v/>
      </c>
      <c r="O50" s="18">
        <f>IF($Z50="","",IF(AND(DATE($AD50,6,1)&gt;=$AE50,DATE($AD50,6,1)&lt;=$AF50),ROUND($AG50,2),0))</f>
        <v/>
      </c>
      <c r="P50" s="18">
        <f>IF($Z50="","",IF(AND(DATE($AD50,7,1)&gt;=$AE50,DATE($AD50,7,1)&lt;=$AF50),ROUND($AG50,2),0))</f>
        <v/>
      </c>
      <c r="Q50" s="18">
        <f>IF($Z50="","",IF(AND(DATE($AD50,8,1)&gt;=$AE50,DATE($AD50,8,1)&lt;=$AF50),ROUND($AG50,2),0))</f>
        <v/>
      </c>
      <c r="R50" s="18">
        <f>IF($Z50="","",IF(AND(DATE($AD50,9,1)&gt;=$AE50,DATE($AD50,9,1)&lt;=$AF50),ROUND($AG50,2),0))</f>
        <v/>
      </c>
      <c r="S50" s="18">
        <f>IF($Z50="","",IF(AND(DATE($AD50,10,1)&gt;=$AE50,DATE($AD50,10,1)&lt;=$AF50),ROUND($AG50,2),0))</f>
        <v/>
      </c>
      <c r="T50" s="18">
        <f>IF($Z50="","",IF(AND(DATE($AD50,11,1)&gt;=$AE50,DATE($AD50,11,1)&lt;=$AF50),ROUND($AG50,2),0))</f>
        <v/>
      </c>
      <c r="U50" s="18">
        <f>IF($Z50="","",IF(AND(DATE($AD50,12,1)&gt;=$AE50,DATE($AD50,12,1)&lt;=$AF50),ROUND($AG50,2),0))</f>
        <v/>
      </c>
      <c r="V50" s="7">
        <f>IF($Z50="C","Generated from "&amp;INDEX(Contracts!$A$2:$A$151,$AB50),IF($Z50="A","Generated from "&amp;INDEX(Fixed_Assets!$A$2:$A$201,$AB50),IF($Z50="F","Generated from "&amp;INDEX(FTE_Allocation!$A$2:$A$201,$AB50),"")))</f>
        <v/>
      </c>
      <c r="X50" s="19">
        <f>IF($Z50="","",SUM(J50:U50))</f>
        <v/>
      </c>
      <c r="Y50" s="20">
        <f>ROW()-1</f>
        <v/>
      </c>
      <c r="Z50" s="20">
        <f>IF($Y50&lt;=Settings!$B$4*3,"C",IF($Y50&lt;=(Settings!$B$4+Settings!$B$5)*3,"A",IF($Y50&lt;=(Settings!$B$4+Settings!$B$5+Settings!$B$6)*3,"F","")))</f>
        <v/>
      </c>
      <c r="AA50" s="20">
        <f>IF($Z50="C",$Y50,IF($Z50="A",$Y50-Settings!$B$4*3,IF($Z50="F",$Y50-(Settings!$B$4+Settings!$B$5)*3,"")))</f>
        <v/>
      </c>
      <c r="AB50" s="20">
        <f>IF($Z50="","",INT(($AA50-1)/3)+1)</f>
        <v/>
      </c>
      <c r="AC50" s="20">
        <f>IF($Z50="","",MOD($AA50-1,3)+1)</f>
        <v/>
      </c>
      <c r="AD50" s="20">
        <f>IF($Z50="","",Settings!$B$2+$AC50-1)</f>
        <v/>
      </c>
      <c r="AE50" s="21">
        <f>IF($Z50="C",DATE(YEAR(INDEX(Contracts!$J$2:$J$151,$AB50)),MONTH(INDEX(Contracts!$J$2:$J$151,$AB50)),1),IF($Z50="A",DATE(YEAR(INDEX(Fixed_Assets!$G$2:$G$201,$AB50)),MONTH(INDEX(Fixed_Assets!$G$2:$G$201,$AB50)),1),IF($Z50="F",DATE(YEAR(MAX(N(INDEX(Workforce!$I$2:$I$151,MATCH(INDEX(FTE_Allocation!$A$2:$A$201,$AB50),Workforce!$A$2:$A$151,0))),N(INDEX(FTE_Allocation!$I$2:$I$201,$AB50)))),MONTH(MAX(N(INDEX(Workforce!$I$2:$I$151,MATCH(INDEX(FTE_Allocation!$A$2:$A$201,$AB50),Workforce!$A$2:$A$151,0))),N(INDEX(FTE_Allocation!$I$2:$I$201,$AB50)))),1),"")))</f>
        <v/>
      </c>
      <c r="AF50" s="21">
        <f>IF($Z50="C",IF(INDEX(Contracts!$I$2:$I$151,$AB50)="PREPAID",EDATE(DATE(YEAR(INDEX(Contracts!$J$2:$J$151,$AB50)),MONTH(INDEX(Contracts!$J$2:$J$151,$AB50)),1),IF(INDEX(Contracts!$N$2:$N$151,$AB50)="",12,INDEX(Contracts!$N$2:$N$151,$AB50))-1),IF(INDEX(Contracts!$I$2:$I$151,$AB50)="MONTHLY",IF(INDEX(Contracts!$K$2:$K$151,$AB50)="",2958101,INDEX(Contracts!$K$2:$K$151,$AB50)),0)),IF($Z50="A",EDATE(DATE(YEAR(INDEX(Fixed_Assets!$G$2:$G$201,$AB50)),MONTH(INDEX(Fixed_Assets!$G$2:$G$201,$AB50)),1),INDEX(Fixed_Assets!$J$2:$J$201,$AB50)-1),IF($Z50="F",MIN(IF(INDEX(Workforce!$J$2:$J$151,MATCH(INDEX(FTE_Allocation!$A$2:$A$201,$AB50),Workforce!$A$2:$A$151,0))="",2958101,INDEX(Workforce!$J$2:$J$151,MATCH(INDEX(FTE_Allocation!$A$2:$A$201,$AB50),Workforce!$A$2:$A$151,0))),IF(INDEX(FTE_Allocation!$J$2:$J$201,$AB50)="",2958101,INDEX(FTE_Allocation!$J$2:$J$201,$AB50))),"")))</f>
        <v/>
      </c>
      <c r="AG50" s="19">
        <f>IF($Z50="C",IF(INDEX(Contracts!$I$2:$I$151,$AB50)="PREPAID",INDEX(Contracts!$M$2:$M$151,$AB50)/IF(INDEX(Contracts!$N$2:$N$151,$AB50)="",12,INDEX(Contracts!$N$2:$N$151,$AB50)),IF(INDEX(Contracts!$I$2:$I$151,$AB50)="MONTHLY",INDEX(Contracts!$M$2:$M$151,$AB50),0))*(1-N(INDEX(Contracts!$O$2:$O$151,$AB50))),IF($Z50="A",INDEX(Fixed_Assets!$H$2:$H$201,$AB50)/INDEX(Fixed_Assets!$J$2:$J$201,$AB50),IF($Z50="F",INDEX(Workforce!$F$2:$F$151,MATCH(INDEX(FTE_Allocation!$A$2:$A$201,$AB50),Workforce!$A$2:$A$151,0))*N(INDEX(FTE_Allocation!$F$2:$H$201,$AB50,$AC50)),"")))</f>
        <v/>
      </c>
    </row>
    <row r="51">
      <c r="A51" s="7">
        <f>IF($Z51="","",$AD51)</f>
        <v/>
      </c>
      <c r="B51" s="7">
        <f>IF($Z51="C",INDEX(Contracts!$D$2:$D$151,$AB51)&amp;"",IF($Z51="A",INDEX(Fixed_Assets!$C$2:$C$201,$AB51)&amp;"",IF($Z51="F",INDEX(Workforce!$B$2:$B$151,MATCH(INDEX(FTE_Allocation!$A$2:$A$201,$AB51),Workforce!$A$2:$A$151,0))&amp;"","")))</f>
        <v/>
      </c>
      <c r="C51" s="7">
        <f>IF($Z51="C",INDEX(Contracts!$E$2:$E$151,$AB51)&amp;"",IF($Z51="A",INDEX(Fixed_Assets!$D$2:$D$201,$AB51)&amp;"",IF($Z51="F",INDEX(FTE_Allocation!$C$2:$C$201,$AB51)&amp;"","")))</f>
        <v/>
      </c>
      <c r="D51" s="7">
        <f>IF($Z51="C",INDEX(Contracts!$B$2:$B$151,$AB51)&amp;"",IF($Z51="A",INDEX(Fixed_Assets!$B$2:$B$201,$AB51)&amp;"",IF($Z51="F",INDEX(FTE_Allocation!$B$2:$B$201,$AB51)&amp;"","")))</f>
        <v/>
      </c>
      <c r="E51" s="7">
        <f>IF($Z51="C",INDEX(Contracts!$P$2:$P$151,$AB51)&amp;"",IF($Z51="A",INDEX(Fixed_Assets!$K$2:$K$201,$AB51)&amp;"",IF($Z51="F",IF(INDEX(FTE_Allocation!$D$2:$D$201,$AB51)="PROJECT",IFERROR(INDEX(Projects!$D:$D,MATCH(INDEX(FTE_Allocation!$E$2:$E$201,$AB51),Projects!$A:$A,0))&amp;"","#PROJECT?"),INDEX(FTE_Allocation!$E$2:$E$201,$AB51)&amp;""),"")))</f>
        <v/>
      </c>
      <c r="F51" s="7">
        <f>IF($Z51="C",INDEX(Contracts!$Q$2:$Q$151,$AB51)&amp;"",IF($Z51="A",INDEX(Fixed_Assets!$L$2:$L$201,$AB51)&amp;"",IF($Z51="F",INDEX(Workforce!$K$2:$K$151,MATCH(INDEX(FTE_Allocation!$A$2:$A$201,$AB51),Workforce!$A$2:$A$151,0))&amp;"","")))</f>
        <v/>
      </c>
      <c r="G51" s="7">
        <f>IF($Z51="C",INDEX(Contracts!$F$2:$F$151,$AB51)&amp;" / "&amp;INDEX(Contracts!$G$2:$G$151,$AB51),IF($Z51="A",INDEX(Fixed_Assets!$E$2:$E$201,$AB51)&amp;"",IF($Z51="F","Personnel "&amp;INDEX(FTE_Allocation!$A$2:$A$201,$AB51)&amp;IF(INDEX(FTE_Allocation!$D$2:$D$201,$AB51)="PROJECT"," ("&amp;INDEX(FTE_Allocation!$E$2:$E$201,$AB51)&amp;")",""),"")))</f>
        <v/>
      </c>
      <c r="H51" s="7">
        <f>IF($Z51="C","CONTRACT",IF($Z51="A","ASSET",IF($Z51="F","WORKFORCE","")))</f>
        <v/>
      </c>
      <c r="I51" s="7">
        <f>IF($Z51="C",INDEX(Contracts!$L$2:$L$151,$AB51)&amp;"",IF($Z51="A",INDEX(Fixed_Assets!$I$2:$I$201,$AB51)&amp;"",IF($Z51="F",INDEX(Workforce!$G$2:$G$151,MATCH(INDEX(FTE_Allocation!$A$2:$A$201,$AB51),Workforce!$A$2:$A$151,0))&amp;"","")))</f>
        <v/>
      </c>
      <c r="J51" s="18">
        <f>IF($Z51="","",IF(AND(DATE($AD51,1,1)&gt;=$AE51,DATE($AD51,1,1)&lt;=$AF51),ROUND($AG51,2),0))</f>
        <v/>
      </c>
      <c r="K51" s="18">
        <f>IF($Z51="","",IF(AND(DATE($AD51,2,1)&gt;=$AE51,DATE($AD51,2,1)&lt;=$AF51),ROUND($AG51,2),0))</f>
        <v/>
      </c>
      <c r="L51" s="18">
        <f>IF($Z51="","",IF(AND(DATE($AD51,3,1)&gt;=$AE51,DATE($AD51,3,1)&lt;=$AF51),ROUND($AG51,2),0))</f>
        <v/>
      </c>
      <c r="M51" s="18">
        <f>IF($Z51="","",IF(AND(DATE($AD51,4,1)&gt;=$AE51,DATE($AD51,4,1)&lt;=$AF51),ROUND($AG51,2),0))</f>
        <v/>
      </c>
      <c r="N51" s="18">
        <f>IF($Z51="","",IF(AND(DATE($AD51,5,1)&gt;=$AE51,DATE($AD51,5,1)&lt;=$AF51),ROUND($AG51,2),0))</f>
        <v/>
      </c>
      <c r="O51" s="18">
        <f>IF($Z51="","",IF(AND(DATE($AD51,6,1)&gt;=$AE51,DATE($AD51,6,1)&lt;=$AF51),ROUND($AG51,2),0))</f>
        <v/>
      </c>
      <c r="P51" s="18">
        <f>IF($Z51="","",IF(AND(DATE($AD51,7,1)&gt;=$AE51,DATE($AD51,7,1)&lt;=$AF51),ROUND($AG51,2),0))</f>
        <v/>
      </c>
      <c r="Q51" s="18">
        <f>IF($Z51="","",IF(AND(DATE($AD51,8,1)&gt;=$AE51,DATE($AD51,8,1)&lt;=$AF51),ROUND($AG51,2),0))</f>
        <v/>
      </c>
      <c r="R51" s="18">
        <f>IF($Z51="","",IF(AND(DATE($AD51,9,1)&gt;=$AE51,DATE($AD51,9,1)&lt;=$AF51),ROUND($AG51,2),0))</f>
        <v/>
      </c>
      <c r="S51" s="18">
        <f>IF($Z51="","",IF(AND(DATE($AD51,10,1)&gt;=$AE51,DATE($AD51,10,1)&lt;=$AF51),ROUND($AG51,2),0))</f>
        <v/>
      </c>
      <c r="T51" s="18">
        <f>IF($Z51="","",IF(AND(DATE($AD51,11,1)&gt;=$AE51,DATE($AD51,11,1)&lt;=$AF51),ROUND($AG51,2),0))</f>
        <v/>
      </c>
      <c r="U51" s="18">
        <f>IF($Z51="","",IF(AND(DATE($AD51,12,1)&gt;=$AE51,DATE($AD51,12,1)&lt;=$AF51),ROUND($AG51,2),0))</f>
        <v/>
      </c>
      <c r="V51" s="7">
        <f>IF($Z51="C","Generated from "&amp;INDEX(Contracts!$A$2:$A$151,$AB51),IF($Z51="A","Generated from "&amp;INDEX(Fixed_Assets!$A$2:$A$201,$AB51),IF($Z51="F","Generated from "&amp;INDEX(FTE_Allocation!$A$2:$A$201,$AB51),"")))</f>
        <v/>
      </c>
      <c r="X51" s="19">
        <f>IF($Z51="","",SUM(J51:U51))</f>
        <v/>
      </c>
      <c r="Y51" s="20">
        <f>ROW()-1</f>
        <v/>
      </c>
      <c r="Z51" s="20">
        <f>IF($Y51&lt;=Settings!$B$4*3,"C",IF($Y51&lt;=(Settings!$B$4+Settings!$B$5)*3,"A",IF($Y51&lt;=(Settings!$B$4+Settings!$B$5+Settings!$B$6)*3,"F","")))</f>
        <v/>
      </c>
      <c r="AA51" s="20">
        <f>IF($Z51="C",$Y51,IF($Z51="A",$Y51-Settings!$B$4*3,IF($Z51="F",$Y51-(Settings!$B$4+Settings!$B$5)*3,"")))</f>
        <v/>
      </c>
      <c r="AB51" s="20">
        <f>IF($Z51="","",INT(($AA51-1)/3)+1)</f>
        <v/>
      </c>
      <c r="AC51" s="20">
        <f>IF($Z51="","",MOD($AA51-1,3)+1)</f>
        <v/>
      </c>
      <c r="AD51" s="20">
        <f>IF($Z51="","",Settings!$B$2+$AC51-1)</f>
        <v/>
      </c>
      <c r="AE51" s="21">
        <f>IF($Z51="C",DATE(YEAR(INDEX(Contracts!$J$2:$J$151,$AB51)),MONTH(INDEX(Contracts!$J$2:$J$151,$AB51)),1),IF($Z51="A",DATE(YEAR(INDEX(Fixed_Assets!$G$2:$G$201,$AB51)),MONTH(INDEX(Fixed_Assets!$G$2:$G$201,$AB51)),1),IF($Z51="F",DATE(YEAR(MAX(N(INDEX(Workforce!$I$2:$I$151,MATCH(INDEX(FTE_Allocation!$A$2:$A$201,$AB51),Workforce!$A$2:$A$151,0))),N(INDEX(FTE_Allocation!$I$2:$I$201,$AB51)))),MONTH(MAX(N(INDEX(Workforce!$I$2:$I$151,MATCH(INDEX(FTE_Allocation!$A$2:$A$201,$AB51),Workforce!$A$2:$A$151,0))),N(INDEX(FTE_Allocation!$I$2:$I$201,$AB51)))),1),"")))</f>
        <v/>
      </c>
      <c r="AF51" s="21">
        <f>IF($Z51="C",IF(INDEX(Contracts!$I$2:$I$151,$AB51)="PREPAID",EDATE(DATE(YEAR(INDEX(Contracts!$J$2:$J$151,$AB51)),MONTH(INDEX(Contracts!$J$2:$J$151,$AB51)),1),IF(INDEX(Contracts!$N$2:$N$151,$AB51)="",12,INDEX(Contracts!$N$2:$N$151,$AB51))-1),IF(INDEX(Contracts!$I$2:$I$151,$AB51)="MONTHLY",IF(INDEX(Contracts!$K$2:$K$151,$AB51)="",2958101,INDEX(Contracts!$K$2:$K$151,$AB51)),0)),IF($Z51="A",EDATE(DATE(YEAR(INDEX(Fixed_Assets!$G$2:$G$201,$AB51)),MONTH(INDEX(Fixed_Assets!$G$2:$G$201,$AB51)),1),INDEX(Fixed_Assets!$J$2:$J$201,$AB51)-1),IF($Z51="F",MIN(IF(INDEX(Workforce!$J$2:$J$151,MATCH(INDEX(FTE_Allocation!$A$2:$A$201,$AB51),Workforce!$A$2:$A$151,0))="",2958101,INDEX(Workforce!$J$2:$J$151,MATCH(INDEX(FTE_Allocation!$A$2:$A$201,$AB51),Workforce!$A$2:$A$151,0))),IF(INDEX(FTE_Allocation!$J$2:$J$201,$AB51)="",2958101,INDEX(FTE_Allocation!$J$2:$J$201,$AB51))),"")))</f>
        <v/>
      </c>
      <c r="AG51" s="19">
        <f>IF($Z51="C",IF(INDEX(Contracts!$I$2:$I$151,$AB51)="PREPAID",INDEX(Contracts!$M$2:$M$151,$AB51)/IF(INDEX(Contracts!$N$2:$N$151,$AB51)="",12,INDEX(Contracts!$N$2:$N$151,$AB51)),IF(INDEX(Contracts!$I$2:$I$151,$AB51)="MONTHLY",INDEX(Contracts!$M$2:$M$151,$AB51),0))*(1-N(INDEX(Contracts!$O$2:$O$151,$AB51))),IF($Z51="A",INDEX(Fixed_Assets!$H$2:$H$201,$AB51)/INDEX(Fixed_Assets!$J$2:$J$201,$AB51),IF($Z51="F",INDEX(Workforce!$F$2:$F$151,MATCH(INDEX(FTE_Allocation!$A$2:$A$201,$AB51),Workforce!$A$2:$A$151,0))*N(INDEX(FTE_Allocation!$F$2:$H$201,$AB51,$AC51)),"")))</f>
        <v/>
      </c>
    </row>
    <row r="52">
      <c r="A52" s="7">
        <f>IF($Z52="","",$AD52)</f>
        <v/>
      </c>
      <c r="B52" s="7">
        <f>IF($Z52="C",INDEX(Contracts!$D$2:$D$151,$AB52)&amp;"",IF($Z52="A",INDEX(Fixed_Assets!$C$2:$C$201,$AB52)&amp;"",IF($Z52="F",INDEX(Workforce!$B$2:$B$151,MATCH(INDEX(FTE_Allocation!$A$2:$A$201,$AB52),Workforce!$A$2:$A$151,0))&amp;"","")))</f>
        <v/>
      </c>
      <c r="C52" s="7">
        <f>IF($Z52="C",INDEX(Contracts!$E$2:$E$151,$AB52)&amp;"",IF($Z52="A",INDEX(Fixed_Assets!$D$2:$D$201,$AB52)&amp;"",IF($Z52="F",INDEX(FTE_Allocation!$C$2:$C$201,$AB52)&amp;"","")))</f>
        <v/>
      </c>
      <c r="D52" s="7">
        <f>IF($Z52="C",INDEX(Contracts!$B$2:$B$151,$AB52)&amp;"",IF($Z52="A",INDEX(Fixed_Assets!$B$2:$B$201,$AB52)&amp;"",IF($Z52="F",INDEX(FTE_Allocation!$B$2:$B$201,$AB52)&amp;"","")))</f>
        <v/>
      </c>
      <c r="E52" s="7">
        <f>IF($Z52="C",INDEX(Contracts!$P$2:$P$151,$AB52)&amp;"",IF($Z52="A",INDEX(Fixed_Assets!$K$2:$K$201,$AB52)&amp;"",IF($Z52="F",IF(INDEX(FTE_Allocation!$D$2:$D$201,$AB52)="PROJECT",IFERROR(INDEX(Projects!$D:$D,MATCH(INDEX(FTE_Allocation!$E$2:$E$201,$AB52),Projects!$A:$A,0))&amp;"","#PROJECT?"),INDEX(FTE_Allocation!$E$2:$E$201,$AB52)&amp;""),"")))</f>
        <v/>
      </c>
      <c r="F52" s="7">
        <f>IF($Z52="C",INDEX(Contracts!$Q$2:$Q$151,$AB52)&amp;"",IF($Z52="A",INDEX(Fixed_Assets!$L$2:$L$201,$AB52)&amp;"",IF($Z52="F",INDEX(Workforce!$K$2:$K$151,MATCH(INDEX(FTE_Allocation!$A$2:$A$201,$AB52),Workforce!$A$2:$A$151,0))&amp;"","")))</f>
        <v/>
      </c>
      <c r="G52" s="7">
        <f>IF($Z52="C",INDEX(Contracts!$F$2:$F$151,$AB52)&amp;" / "&amp;INDEX(Contracts!$G$2:$G$151,$AB52),IF($Z52="A",INDEX(Fixed_Assets!$E$2:$E$201,$AB52)&amp;"",IF($Z52="F","Personnel "&amp;INDEX(FTE_Allocation!$A$2:$A$201,$AB52)&amp;IF(INDEX(FTE_Allocation!$D$2:$D$201,$AB52)="PROJECT"," ("&amp;INDEX(FTE_Allocation!$E$2:$E$201,$AB52)&amp;")",""),"")))</f>
        <v/>
      </c>
      <c r="H52" s="7">
        <f>IF($Z52="C","CONTRACT",IF($Z52="A","ASSET",IF($Z52="F","WORKFORCE","")))</f>
        <v/>
      </c>
      <c r="I52" s="7">
        <f>IF($Z52="C",INDEX(Contracts!$L$2:$L$151,$AB52)&amp;"",IF($Z52="A",INDEX(Fixed_Assets!$I$2:$I$201,$AB52)&amp;"",IF($Z52="F",INDEX(Workforce!$G$2:$G$151,MATCH(INDEX(FTE_Allocation!$A$2:$A$201,$AB52),Workforce!$A$2:$A$151,0))&amp;"","")))</f>
        <v/>
      </c>
      <c r="J52" s="18">
        <f>IF($Z52="","",IF(AND(DATE($AD52,1,1)&gt;=$AE52,DATE($AD52,1,1)&lt;=$AF52),ROUND($AG52,2),0))</f>
        <v/>
      </c>
      <c r="K52" s="18">
        <f>IF($Z52="","",IF(AND(DATE($AD52,2,1)&gt;=$AE52,DATE($AD52,2,1)&lt;=$AF52),ROUND($AG52,2),0))</f>
        <v/>
      </c>
      <c r="L52" s="18">
        <f>IF($Z52="","",IF(AND(DATE($AD52,3,1)&gt;=$AE52,DATE($AD52,3,1)&lt;=$AF52),ROUND($AG52,2),0))</f>
        <v/>
      </c>
      <c r="M52" s="18">
        <f>IF($Z52="","",IF(AND(DATE($AD52,4,1)&gt;=$AE52,DATE($AD52,4,1)&lt;=$AF52),ROUND($AG52,2),0))</f>
        <v/>
      </c>
      <c r="N52" s="18">
        <f>IF($Z52="","",IF(AND(DATE($AD52,5,1)&gt;=$AE52,DATE($AD52,5,1)&lt;=$AF52),ROUND($AG52,2),0))</f>
        <v/>
      </c>
      <c r="O52" s="18">
        <f>IF($Z52="","",IF(AND(DATE($AD52,6,1)&gt;=$AE52,DATE($AD52,6,1)&lt;=$AF52),ROUND($AG52,2),0))</f>
        <v/>
      </c>
      <c r="P52" s="18">
        <f>IF($Z52="","",IF(AND(DATE($AD52,7,1)&gt;=$AE52,DATE($AD52,7,1)&lt;=$AF52),ROUND($AG52,2),0))</f>
        <v/>
      </c>
      <c r="Q52" s="18">
        <f>IF($Z52="","",IF(AND(DATE($AD52,8,1)&gt;=$AE52,DATE($AD52,8,1)&lt;=$AF52),ROUND($AG52,2),0))</f>
        <v/>
      </c>
      <c r="R52" s="18">
        <f>IF($Z52="","",IF(AND(DATE($AD52,9,1)&gt;=$AE52,DATE($AD52,9,1)&lt;=$AF52),ROUND($AG52,2),0))</f>
        <v/>
      </c>
      <c r="S52" s="18">
        <f>IF($Z52="","",IF(AND(DATE($AD52,10,1)&gt;=$AE52,DATE($AD52,10,1)&lt;=$AF52),ROUND($AG52,2),0))</f>
        <v/>
      </c>
      <c r="T52" s="18">
        <f>IF($Z52="","",IF(AND(DATE($AD52,11,1)&gt;=$AE52,DATE($AD52,11,1)&lt;=$AF52),ROUND($AG52,2),0))</f>
        <v/>
      </c>
      <c r="U52" s="18">
        <f>IF($Z52="","",IF(AND(DATE($AD52,12,1)&gt;=$AE52,DATE($AD52,12,1)&lt;=$AF52),ROUND($AG52,2),0))</f>
        <v/>
      </c>
      <c r="V52" s="7">
        <f>IF($Z52="C","Generated from "&amp;INDEX(Contracts!$A$2:$A$151,$AB52),IF($Z52="A","Generated from "&amp;INDEX(Fixed_Assets!$A$2:$A$201,$AB52),IF($Z52="F","Generated from "&amp;INDEX(FTE_Allocation!$A$2:$A$201,$AB52),"")))</f>
        <v/>
      </c>
      <c r="X52" s="19">
        <f>IF($Z52="","",SUM(J52:U52))</f>
        <v/>
      </c>
      <c r="Y52" s="20">
        <f>ROW()-1</f>
        <v/>
      </c>
      <c r="Z52" s="20">
        <f>IF($Y52&lt;=Settings!$B$4*3,"C",IF($Y52&lt;=(Settings!$B$4+Settings!$B$5)*3,"A",IF($Y52&lt;=(Settings!$B$4+Settings!$B$5+Settings!$B$6)*3,"F","")))</f>
        <v/>
      </c>
      <c r="AA52" s="20">
        <f>IF($Z52="C",$Y52,IF($Z52="A",$Y52-Settings!$B$4*3,IF($Z52="F",$Y52-(Settings!$B$4+Settings!$B$5)*3,"")))</f>
        <v/>
      </c>
      <c r="AB52" s="20">
        <f>IF($Z52="","",INT(($AA52-1)/3)+1)</f>
        <v/>
      </c>
      <c r="AC52" s="20">
        <f>IF($Z52="","",MOD($AA52-1,3)+1)</f>
        <v/>
      </c>
      <c r="AD52" s="20">
        <f>IF($Z52="","",Settings!$B$2+$AC52-1)</f>
        <v/>
      </c>
      <c r="AE52" s="21">
        <f>IF($Z52="C",DATE(YEAR(INDEX(Contracts!$J$2:$J$151,$AB52)),MONTH(INDEX(Contracts!$J$2:$J$151,$AB52)),1),IF($Z52="A",DATE(YEAR(INDEX(Fixed_Assets!$G$2:$G$201,$AB52)),MONTH(INDEX(Fixed_Assets!$G$2:$G$201,$AB52)),1),IF($Z52="F",DATE(YEAR(MAX(N(INDEX(Workforce!$I$2:$I$151,MATCH(INDEX(FTE_Allocation!$A$2:$A$201,$AB52),Workforce!$A$2:$A$151,0))),N(INDEX(FTE_Allocation!$I$2:$I$201,$AB52)))),MONTH(MAX(N(INDEX(Workforce!$I$2:$I$151,MATCH(INDEX(FTE_Allocation!$A$2:$A$201,$AB52),Workforce!$A$2:$A$151,0))),N(INDEX(FTE_Allocation!$I$2:$I$201,$AB52)))),1),"")))</f>
        <v/>
      </c>
      <c r="AF52" s="21">
        <f>IF($Z52="C",IF(INDEX(Contracts!$I$2:$I$151,$AB52)="PREPAID",EDATE(DATE(YEAR(INDEX(Contracts!$J$2:$J$151,$AB52)),MONTH(INDEX(Contracts!$J$2:$J$151,$AB52)),1),IF(INDEX(Contracts!$N$2:$N$151,$AB52)="",12,INDEX(Contracts!$N$2:$N$151,$AB52))-1),IF(INDEX(Contracts!$I$2:$I$151,$AB52)="MONTHLY",IF(INDEX(Contracts!$K$2:$K$151,$AB52)="",2958101,INDEX(Contracts!$K$2:$K$151,$AB52)),0)),IF($Z52="A",EDATE(DATE(YEAR(INDEX(Fixed_Assets!$G$2:$G$201,$AB52)),MONTH(INDEX(Fixed_Assets!$G$2:$G$201,$AB52)),1),INDEX(Fixed_Assets!$J$2:$J$201,$AB52)-1),IF($Z52="F",MIN(IF(INDEX(Workforce!$J$2:$J$151,MATCH(INDEX(FTE_Allocation!$A$2:$A$201,$AB52),Workforce!$A$2:$A$151,0))="",2958101,INDEX(Workforce!$J$2:$J$151,MATCH(INDEX(FTE_Allocation!$A$2:$A$201,$AB52),Workforce!$A$2:$A$151,0))),IF(INDEX(FTE_Allocation!$J$2:$J$201,$AB52)="",2958101,INDEX(FTE_Allocation!$J$2:$J$201,$AB52))),"")))</f>
        <v/>
      </c>
      <c r="AG52" s="19">
        <f>IF($Z52="C",IF(INDEX(Contracts!$I$2:$I$151,$AB52)="PREPAID",INDEX(Contracts!$M$2:$M$151,$AB52)/IF(INDEX(Contracts!$N$2:$N$151,$AB52)="",12,INDEX(Contracts!$N$2:$N$151,$AB52)),IF(INDEX(Contracts!$I$2:$I$151,$AB52)="MONTHLY",INDEX(Contracts!$M$2:$M$151,$AB52),0))*(1-N(INDEX(Contracts!$O$2:$O$151,$AB52))),IF($Z52="A",INDEX(Fixed_Assets!$H$2:$H$201,$AB52)/INDEX(Fixed_Assets!$J$2:$J$201,$AB52),IF($Z52="F",INDEX(Workforce!$F$2:$F$151,MATCH(INDEX(FTE_Allocation!$A$2:$A$201,$AB52),Workforce!$A$2:$A$151,0))*N(INDEX(FTE_Allocation!$F$2:$H$201,$AB52,$AC52)),"")))</f>
        <v/>
      </c>
    </row>
    <row r="53">
      <c r="A53" s="7">
        <f>IF($Z53="","",$AD53)</f>
        <v/>
      </c>
      <c r="B53" s="7">
        <f>IF($Z53="C",INDEX(Contracts!$D$2:$D$151,$AB53)&amp;"",IF($Z53="A",INDEX(Fixed_Assets!$C$2:$C$201,$AB53)&amp;"",IF($Z53="F",INDEX(Workforce!$B$2:$B$151,MATCH(INDEX(FTE_Allocation!$A$2:$A$201,$AB53),Workforce!$A$2:$A$151,0))&amp;"","")))</f>
        <v/>
      </c>
      <c r="C53" s="7">
        <f>IF($Z53="C",INDEX(Contracts!$E$2:$E$151,$AB53)&amp;"",IF($Z53="A",INDEX(Fixed_Assets!$D$2:$D$201,$AB53)&amp;"",IF($Z53="F",INDEX(FTE_Allocation!$C$2:$C$201,$AB53)&amp;"","")))</f>
        <v/>
      </c>
      <c r="D53" s="7">
        <f>IF($Z53="C",INDEX(Contracts!$B$2:$B$151,$AB53)&amp;"",IF($Z53="A",INDEX(Fixed_Assets!$B$2:$B$201,$AB53)&amp;"",IF($Z53="F",INDEX(FTE_Allocation!$B$2:$B$201,$AB53)&amp;"","")))</f>
        <v/>
      </c>
      <c r="E53" s="7">
        <f>IF($Z53="C",INDEX(Contracts!$P$2:$P$151,$AB53)&amp;"",IF($Z53="A",INDEX(Fixed_Assets!$K$2:$K$201,$AB53)&amp;"",IF($Z53="F",IF(INDEX(FTE_Allocation!$D$2:$D$201,$AB53)="PROJECT",IFERROR(INDEX(Projects!$D:$D,MATCH(INDEX(FTE_Allocation!$E$2:$E$201,$AB53),Projects!$A:$A,0))&amp;"","#PROJECT?"),INDEX(FTE_Allocation!$E$2:$E$201,$AB53)&amp;""),"")))</f>
        <v/>
      </c>
      <c r="F53" s="7">
        <f>IF($Z53="C",INDEX(Contracts!$Q$2:$Q$151,$AB53)&amp;"",IF($Z53="A",INDEX(Fixed_Assets!$L$2:$L$201,$AB53)&amp;"",IF($Z53="F",INDEX(Workforce!$K$2:$K$151,MATCH(INDEX(FTE_Allocation!$A$2:$A$201,$AB53),Workforce!$A$2:$A$151,0))&amp;"","")))</f>
        <v/>
      </c>
      <c r="G53" s="7">
        <f>IF($Z53="C",INDEX(Contracts!$F$2:$F$151,$AB53)&amp;" / "&amp;INDEX(Contracts!$G$2:$G$151,$AB53),IF($Z53="A",INDEX(Fixed_Assets!$E$2:$E$201,$AB53)&amp;"",IF($Z53="F","Personnel "&amp;INDEX(FTE_Allocation!$A$2:$A$201,$AB53)&amp;IF(INDEX(FTE_Allocation!$D$2:$D$201,$AB53)="PROJECT"," ("&amp;INDEX(FTE_Allocation!$E$2:$E$201,$AB53)&amp;")",""),"")))</f>
        <v/>
      </c>
      <c r="H53" s="7">
        <f>IF($Z53="C","CONTRACT",IF($Z53="A","ASSET",IF($Z53="F","WORKFORCE","")))</f>
        <v/>
      </c>
      <c r="I53" s="7">
        <f>IF($Z53="C",INDEX(Contracts!$L$2:$L$151,$AB53)&amp;"",IF($Z53="A",INDEX(Fixed_Assets!$I$2:$I$201,$AB53)&amp;"",IF($Z53="F",INDEX(Workforce!$G$2:$G$151,MATCH(INDEX(FTE_Allocation!$A$2:$A$201,$AB53),Workforce!$A$2:$A$151,0))&amp;"","")))</f>
        <v/>
      </c>
      <c r="J53" s="18">
        <f>IF($Z53="","",IF(AND(DATE($AD53,1,1)&gt;=$AE53,DATE($AD53,1,1)&lt;=$AF53),ROUND($AG53,2),0))</f>
        <v/>
      </c>
      <c r="K53" s="18">
        <f>IF($Z53="","",IF(AND(DATE($AD53,2,1)&gt;=$AE53,DATE($AD53,2,1)&lt;=$AF53),ROUND($AG53,2),0))</f>
        <v/>
      </c>
      <c r="L53" s="18">
        <f>IF($Z53="","",IF(AND(DATE($AD53,3,1)&gt;=$AE53,DATE($AD53,3,1)&lt;=$AF53),ROUND($AG53,2),0))</f>
        <v/>
      </c>
      <c r="M53" s="18">
        <f>IF($Z53="","",IF(AND(DATE($AD53,4,1)&gt;=$AE53,DATE($AD53,4,1)&lt;=$AF53),ROUND($AG53,2),0))</f>
        <v/>
      </c>
      <c r="N53" s="18">
        <f>IF($Z53="","",IF(AND(DATE($AD53,5,1)&gt;=$AE53,DATE($AD53,5,1)&lt;=$AF53),ROUND($AG53,2),0))</f>
        <v/>
      </c>
      <c r="O53" s="18">
        <f>IF($Z53="","",IF(AND(DATE($AD53,6,1)&gt;=$AE53,DATE($AD53,6,1)&lt;=$AF53),ROUND($AG53,2),0))</f>
        <v/>
      </c>
      <c r="P53" s="18">
        <f>IF($Z53="","",IF(AND(DATE($AD53,7,1)&gt;=$AE53,DATE($AD53,7,1)&lt;=$AF53),ROUND($AG53,2),0))</f>
        <v/>
      </c>
      <c r="Q53" s="18">
        <f>IF($Z53="","",IF(AND(DATE($AD53,8,1)&gt;=$AE53,DATE($AD53,8,1)&lt;=$AF53),ROUND($AG53,2),0))</f>
        <v/>
      </c>
      <c r="R53" s="18">
        <f>IF($Z53="","",IF(AND(DATE($AD53,9,1)&gt;=$AE53,DATE($AD53,9,1)&lt;=$AF53),ROUND($AG53,2),0))</f>
        <v/>
      </c>
      <c r="S53" s="18">
        <f>IF($Z53="","",IF(AND(DATE($AD53,10,1)&gt;=$AE53,DATE($AD53,10,1)&lt;=$AF53),ROUND($AG53,2),0))</f>
        <v/>
      </c>
      <c r="T53" s="18">
        <f>IF($Z53="","",IF(AND(DATE($AD53,11,1)&gt;=$AE53,DATE($AD53,11,1)&lt;=$AF53),ROUND($AG53,2),0))</f>
        <v/>
      </c>
      <c r="U53" s="18">
        <f>IF($Z53="","",IF(AND(DATE($AD53,12,1)&gt;=$AE53,DATE($AD53,12,1)&lt;=$AF53),ROUND($AG53,2),0))</f>
        <v/>
      </c>
      <c r="V53" s="7">
        <f>IF($Z53="C","Generated from "&amp;INDEX(Contracts!$A$2:$A$151,$AB53),IF($Z53="A","Generated from "&amp;INDEX(Fixed_Assets!$A$2:$A$201,$AB53),IF($Z53="F","Generated from "&amp;INDEX(FTE_Allocation!$A$2:$A$201,$AB53),"")))</f>
        <v/>
      </c>
      <c r="X53" s="19">
        <f>IF($Z53="","",SUM(J53:U53))</f>
        <v/>
      </c>
      <c r="Y53" s="20">
        <f>ROW()-1</f>
        <v/>
      </c>
      <c r="Z53" s="20">
        <f>IF($Y53&lt;=Settings!$B$4*3,"C",IF($Y53&lt;=(Settings!$B$4+Settings!$B$5)*3,"A",IF($Y53&lt;=(Settings!$B$4+Settings!$B$5+Settings!$B$6)*3,"F","")))</f>
        <v/>
      </c>
      <c r="AA53" s="20">
        <f>IF($Z53="C",$Y53,IF($Z53="A",$Y53-Settings!$B$4*3,IF($Z53="F",$Y53-(Settings!$B$4+Settings!$B$5)*3,"")))</f>
        <v/>
      </c>
      <c r="AB53" s="20">
        <f>IF($Z53="","",INT(($AA53-1)/3)+1)</f>
        <v/>
      </c>
      <c r="AC53" s="20">
        <f>IF($Z53="","",MOD($AA53-1,3)+1)</f>
        <v/>
      </c>
      <c r="AD53" s="20">
        <f>IF($Z53="","",Settings!$B$2+$AC53-1)</f>
        <v/>
      </c>
      <c r="AE53" s="21">
        <f>IF($Z53="C",DATE(YEAR(INDEX(Contracts!$J$2:$J$151,$AB53)),MONTH(INDEX(Contracts!$J$2:$J$151,$AB53)),1),IF($Z53="A",DATE(YEAR(INDEX(Fixed_Assets!$G$2:$G$201,$AB53)),MONTH(INDEX(Fixed_Assets!$G$2:$G$201,$AB53)),1),IF($Z53="F",DATE(YEAR(MAX(N(INDEX(Workforce!$I$2:$I$151,MATCH(INDEX(FTE_Allocation!$A$2:$A$201,$AB53),Workforce!$A$2:$A$151,0))),N(INDEX(FTE_Allocation!$I$2:$I$201,$AB53)))),MONTH(MAX(N(INDEX(Workforce!$I$2:$I$151,MATCH(INDEX(FTE_Allocation!$A$2:$A$201,$AB53),Workforce!$A$2:$A$151,0))),N(INDEX(FTE_Allocation!$I$2:$I$201,$AB53)))),1),"")))</f>
        <v/>
      </c>
      <c r="AF53" s="21">
        <f>IF($Z53="C",IF(INDEX(Contracts!$I$2:$I$151,$AB53)="PREPAID",EDATE(DATE(YEAR(INDEX(Contracts!$J$2:$J$151,$AB53)),MONTH(INDEX(Contracts!$J$2:$J$151,$AB53)),1),IF(INDEX(Contracts!$N$2:$N$151,$AB53)="",12,INDEX(Contracts!$N$2:$N$151,$AB53))-1),IF(INDEX(Contracts!$I$2:$I$151,$AB53)="MONTHLY",IF(INDEX(Contracts!$K$2:$K$151,$AB53)="",2958101,INDEX(Contracts!$K$2:$K$151,$AB53)),0)),IF($Z53="A",EDATE(DATE(YEAR(INDEX(Fixed_Assets!$G$2:$G$201,$AB53)),MONTH(INDEX(Fixed_Assets!$G$2:$G$201,$AB53)),1),INDEX(Fixed_Assets!$J$2:$J$201,$AB53)-1),IF($Z53="F",MIN(IF(INDEX(Workforce!$J$2:$J$151,MATCH(INDEX(FTE_Allocation!$A$2:$A$201,$AB53),Workforce!$A$2:$A$151,0))="",2958101,INDEX(Workforce!$J$2:$J$151,MATCH(INDEX(FTE_Allocation!$A$2:$A$201,$AB53),Workforce!$A$2:$A$151,0))),IF(INDEX(FTE_Allocation!$J$2:$J$201,$AB53)="",2958101,INDEX(FTE_Allocation!$J$2:$J$201,$AB53))),"")))</f>
        <v/>
      </c>
      <c r="AG53" s="19">
        <f>IF($Z53="C",IF(INDEX(Contracts!$I$2:$I$151,$AB53)="PREPAID",INDEX(Contracts!$M$2:$M$151,$AB53)/IF(INDEX(Contracts!$N$2:$N$151,$AB53)="",12,INDEX(Contracts!$N$2:$N$151,$AB53)),IF(INDEX(Contracts!$I$2:$I$151,$AB53)="MONTHLY",INDEX(Contracts!$M$2:$M$151,$AB53),0))*(1-N(INDEX(Contracts!$O$2:$O$151,$AB53))),IF($Z53="A",INDEX(Fixed_Assets!$H$2:$H$201,$AB53)/INDEX(Fixed_Assets!$J$2:$J$201,$AB53),IF($Z53="F",INDEX(Workforce!$F$2:$F$151,MATCH(INDEX(FTE_Allocation!$A$2:$A$201,$AB53),Workforce!$A$2:$A$151,0))*N(INDEX(FTE_Allocation!$F$2:$H$201,$AB53,$AC53)),"")))</f>
        <v/>
      </c>
    </row>
    <row r="54">
      <c r="A54" s="7">
        <f>IF($Z54="","",$AD54)</f>
        <v/>
      </c>
      <c r="B54" s="7">
        <f>IF($Z54="C",INDEX(Contracts!$D$2:$D$151,$AB54)&amp;"",IF($Z54="A",INDEX(Fixed_Assets!$C$2:$C$201,$AB54)&amp;"",IF($Z54="F",INDEX(Workforce!$B$2:$B$151,MATCH(INDEX(FTE_Allocation!$A$2:$A$201,$AB54),Workforce!$A$2:$A$151,0))&amp;"","")))</f>
        <v/>
      </c>
      <c r="C54" s="7">
        <f>IF($Z54="C",INDEX(Contracts!$E$2:$E$151,$AB54)&amp;"",IF($Z54="A",INDEX(Fixed_Assets!$D$2:$D$201,$AB54)&amp;"",IF($Z54="F",INDEX(FTE_Allocation!$C$2:$C$201,$AB54)&amp;"","")))</f>
        <v/>
      </c>
      <c r="D54" s="7">
        <f>IF($Z54="C",INDEX(Contracts!$B$2:$B$151,$AB54)&amp;"",IF($Z54="A",INDEX(Fixed_Assets!$B$2:$B$201,$AB54)&amp;"",IF($Z54="F",INDEX(FTE_Allocation!$B$2:$B$201,$AB54)&amp;"","")))</f>
        <v/>
      </c>
      <c r="E54" s="7">
        <f>IF($Z54="C",INDEX(Contracts!$P$2:$P$151,$AB54)&amp;"",IF($Z54="A",INDEX(Fixed_Assets!$K$2:$K$201,$AB54)&amp;"",IF($Z54="F",IF(INDEX(FTE_Allocation!$D$2:$D$201,$AB54)="PROJECT",IFERROR(INDEX(Projects!$D:$D,MATCH(INDEX(FTE_Allocation!$E$2:$E$201,$AB54),Projects!$A:$A,0))&amp;"","#PROJECT?"),INDEX(FTE_Allocation!$E$2:$E$201,$AB54)&amp;""),"")))</f>
        <v/>
      </c>
      <c r="F54" s="7">
        <f>IF($Z54="C",INDEX(Contracts!$Q$2:$Q$151,$AB54)&amp;"",IF($Z54="A",INDEX(Fixed_Assets!$L$2:$L$201,$AB54)&amp;"",IF($Z54="F",INDEX(Workforce!$K$2:$K$151,MATCH(INDEX(FTE_Allocation!$A$2:$A$201,$AB54),Workforce!$A$2:$A$151,0))&amp;"","")))</f>
        <v/>
      </c>
      <c r="G54" s="7">
        <f>IF($Z54="C",INDEX(Contracts!$F$2:$F$151,$AB54)&amp;" / "&amp;INDEX(Contracts!$G$2:$G$151,$AB54),IF($Z54="A",INDEX(Fixed_Assets!$E$2:$E$201,$AB54)&amp;"",IF($Z54="F","Personnel "&amp;INDEX(FTE_Allocation!$A$2:$A$201,$AB54)&amp;IF(INDEX(FTE_Allocation!$D$2:$D$201,$AB54)="PROJECT"," ("&amp;INDEX(FTE_Allocation!$E$2:$E$201,$AB54)&amp;")",""),"")))</f>
        <v/>
      </c>
      <c r="H54" s="7">
        <f>IF($Z54="C","CONTRACT",IF($Z54="A","ASSET",IF($Z54="F","WORKFORCE","")))</f>
        <v/>
      </c>
      <c r="I54" s="7">
        <f>IF($Z54="C",INDEX(Contracts!$L$2:$L$151,$AB54)&amp;"",IF($Z54="A",INDEX(Fixed_Assets!$I$2:$I$201,$AB54)&amp;"",IF($Z54="F",INDEX(Workforce!$G$2:$G$151,MATCH(INDEX(FTE_Allocation!$A$2:$A$201,$AB54),Workforce!$A$2:$A$151,0))&amp;"","")))</f>
        <v/>
      </c>
      <c r="J54" s="18">
        <f>IF($Z54="","",IF(AND(DATE($AD54,1,1)&gt;=$AE54,DATE($AD54,1,1)&lt;=$AF54),ROUND($AG54,2),0))</f>
        <v/>
      </c>
      <c r="K54" s="18">
        <f>IF($Z54="","",IF(AND(DATE($AD54,2,1)&gt;=$AE54,DATE($AD54,2,1)&lt;=$AF54),ROUND($AG54,2),0))</f>
        <v/>
      </c>
      <c r="L54" s="18">
        <f>IF($Z54="","",IF(AND(DATE($AD54,3,1)&gt;=$AE54,DATE($AD54,3,1)&lt;=$AF54),ROUND($AG54,2),0))</f>
        <v/>
      </c>
      <c r="M54" s="18">
        <f>IF($Z54="","",IF(AND(DATE($AD54,4,1)&gt;=$AE54,DATE($AD54,4,1)&lt;=$AF54),ROUND($AG54,2),0))</f>
        <v/>
      </c>
      <c r="N54" s="18">
        <f>IF($Z54="","",IF(AND(DATE($AD54,5,1)&gt;=$AE54,DATE($AD54,5,1)&lt;=$AF54),ROUND($AG54,2),0))</f>
        <v/>
      </c>
      <c r="O54" s="18">
        <f>IF($Z54="","",IF(AND(DATE($AD54,6,1)&gt;=$AE54,DATE($AD54,6,1)&lt;=$AF54),ROUND($AG54,2),0))</f>
        <v/>
      </c>
      <c r="P54" s="18">
        <f>IF($Z54="","",IF(AND(DATE($AD54,7,1)&gt;=$AE54,DATE($AD54,7,1)&lt;=$AF54),ROUND($AG54,2),0))</f>
        <v/>
      </c>
      <c r="Q54" s="18">
        <f>IF($Z54="","",IF(AND(DATE($AD54,8,1)&gt;=$AE54,DATE($AD54,8,1)&lt;=$AF54),ROUND($AG54,2),0))</f>
        <v/>
      </c>
      <c r="R54" s="18">
        <f>IF($Z54="","",IF(AND(DATE($AD54,9,1)&gt;=$AE54,DATE($AD54,9,1)&lt;=$AF54),ROUND($AG54,2),0))</f>
        <v/>
      </c>
      <c r="S54" s="18">
        <f>IF($Z54="","",IF(AND(DATE($AD54,10,1)&gt;=$AE54,DATE($AD54,10,1)&lt;=$AF54),ROUND($AG54,2),0))</f>
        <v/>
      </c>
      <c r="T54" s="18">
        <f>IF($Z54="","",IF(AND(DATE($AD54,11,1)&gt;=$AE54,DATE($AD54,11,1)&lt;=$AF54),ROUND($AG54,2),0))</f>
        <v/>
      </c>
      <c r="U54" s="18">
        <f>IF($Z54="","",IF(AND(DATE($AD54,12,1)&gt;=$AE54,DATE($AD54,12,1)&lt;=$AF54),ROUND($AG54,2),0))</f>
        <v/>
      </c>
      <c r="V54" s="7">
        <f>IF($Z54="C","Generated from "&amp;INDEX(Contracts!$A$2:$A$151,$AB54),IF($Z54="A","Generated from "&amp;INDEX(Fixed_Assets!$A$2:$A$201,$AB54),IF($Z54="F","Generated from "&amp;INDEX(FTE_Allocation!$A$2:$A$201,$AB54),"")))</f>
        <v/>
      </c>
      <c r="X54" s="19">
        <f>IF($Z54="","",SUM(J54:U54))</f>
        <v/>
      </c>
      <c r="Y54" s="20">
        <f>ROW()-1</f>
        <v/>
      </c>
      <c r="Z54" s="20">
        <f>IF($Y54&lt;=Settings!$B$4*3,"C",IF($Y54&lt;=(Settings!$B$4+Settings!$B$5)*3,"A",IF($Y54&lt;=(Settings!$B$4+Settings!$B$5+Settings!$B$6)*3,"F","")))</f>
        <v/>
      </c>
      <c r="AA54" s="20">
        <f>IF($Z54="C",$Y54,IF($Z54="A",$Y54-Settings!$B$4*3,IF($Z54="F",$Y54-(Settings!$B$4+Settings!$B$5)*3,"")))</f>
        <v/>
      </c>
      <c r="AB54" s="20">
        <f>IF($Z54="","",INT(($AA54-1)/3)+1)</f>
        <v/>
      </c>
      <c r="AC54" s="20">
        <f>IF($Z54="","",MOD($AA54-1,3)+1)</f>
        <v/>
      </c>
      <c r="AD54" s="20">
        <f>IF($Z54="","",Settings!$B$2+$AC54-1)</f>
        <v/>
      </c>
      <c r="AE54" s="21">
        <f>IF($Z54="C",DATE(YEAR(INDEX(Contracts!$J$2:$J$151,$AB54)),MONTH(INDEX(Contracts!$J$2:$J$151,$AB54)),1),IF($Z54="A",DATE(YEAR(INDEX(Fixed_Assets!$G$2:$G$201,$AB54)),MONTH(INDEX(Fixed_Assets!$G$2:$G$201,$AB54)),1),IF($Z54="F",DATE(YEAR(MAX(N(INDEX(Workforce!$I$2:$I$151,MATCH(INDEX(FTE_Allocation!$A$2:$A$201,$AB54),Workforce!$A$2:$A$151,0))),N(INDEX(FTE_Allocation!$I$2:$I$201,$AB54)))),MONTH(MAX(N(INDEX(Workforce!$I$2:$I$151,MATCH(INDEX(FTE_Allocation!$A$2:$A$201,$AB54),Workforce!$A$2:$A$151,0))),N(INDEX(FTE_Allocation!$I$2:$I$201,$AB54)))),1),"")))</f>
        <v/>
      </c>
      <c r="AF54" s="21">
        <f>IF($Z54="C",IF(INDEX(Contracts!$I$2:$I$151,$AB54)="PREPAID",EDATE(DATE(YEAR(INDEX(Contracts!$J$2:$J$151,$AB54)),MONTH(INDEX(Contracts!$J$2:$J$151,$AB54)),1),IF(INDEX(Contracts!$N$2:$N$151,$AB54)="",12,INDEX(Contracts!$N$2:$N$151,$AB54))-1),IF(INDEX(Contracts!$I$2:$I$151,$AB54)="MONTHLY",IF(INDEX(Contracts!$K$2:$K$151,$AB54)="",2958101,INDEX(Contracts!$K$2:$K$151,$AB54)),0)),IF($Z54="A",EDATE(DATE(YEAR(INDEX(Fixed_Assets!$G$2:$G$201,$AB54)),MONTH(INDEX(Fixed_Assets!$G$2:$G$201,$AB54)),1),INDEX(Fixed_Assets!$J$2:$J$201,$AB54)-1),IF($Z54="F",MIN(IF(INDEX(Workforce!$J$2:$J$151,MATCH(INDEX(FTE_Allocation!$A$2:$A$201,$AB54),Workforce!$A$2:$A$151,0))="",2958101,INDEX(Workforce!$J$2:$J$151,MATCH(INDEX(FTE_Allocation!$A$2:$A$201,$AB54),Workforce!$A$2:$A$151,0))),IF(INDEX(FTE_Allocation!$J$2:$J$201,$AB54)="",2958101,INDEX(FTE_Allocation!$J$2:$J$201,$AB54))),"")))</f>
        <v/>
      </c>
      <c r="AG54" s="19">
        <f>IF($Z54="C",IF(INDEX(Contracts!$I$2:$I$151,$AB54)="PREPAID",INDEX(Contracts!$M$2:$M$151,$AB54)/IF(INDEX(Contracts!$N$2:$N$151,$AB54)="",12,INDEX(Contracts!$N$2:$N$151,$AB54)),IF(INDEX(Contracts!$I$2:$I$151,$AB54)="MONTHLY",INDEX(Contracts!$M$2:$M$151,$AB54),0))*(1-N(INDEX(Contracts!$O$2:$O$151,$AB54))),IF($Z54="A",INDEX(Fixed_Assets!$H$2:$H$201,$AB54)/INDEX(Fixed_Assets!$J$2:$J$201,$AB54),IF($Z54="F",INDEX(Workforce!$F$2:$F$151,MATCH(INDEX(FTE_Allocation!$A$2:$A$201,$AB54),Workforce!$A$2:$A$151,0))*N(INDEX(FTE_Allocation!$F$2:$H$201,$AB54,$AC54)),"")))</f>
        <v/>
      </c>
    </row>
    <row r="55">
      <c r="A55" s="7">
        <f>IF($Z55="","",$AD55)</f>
        <v/>
      </c>
      <c r="B55" s="7">
        <f>IF($Z55="C",INDEX(Contracts!$D$2:$D$151,$AB55)&amp;"",IF($Z55="A",INDEX(Fixed_Assets!$C$2:$C$201,$AB55)&amp;"",IF($Z55="F",INDEX(Workforce!$B$2:$B$151,MATCH(INDEX(FTE_Allocation!$A$2:$A$201,$AB55),Workforce!$A$2:$A$151,0))&amp;"","")))</f>
        <v/>
      </c>
      <c r="C55" s="7">
        <f>IF($Z55="C",INDEX(Contracts!$E$2:$E$151,$AB55)&amp;"",IF($Z55="A",INDEX(Fixed_Assets!$D$2:$D$201,$AB55)&amp;"",IF($Z55="F",INDEX(FTE_Allocation!$C$2:$C$201,$AB55)&amp;"","")))</f>
        <v/>
      </c>
      <c r="D55" s="7">
        <f>IF($Z55="C",INDEX(Contracts!$B$2:$B$151,$AB55)&amp;"",IF($Z55="A",INDEX(Fixed_Assets!$B$2:$B$201,$AB55)&amp;"",IF($Z55="F",INDEX(FTE_Allocation!$B$2:$B$201,$AB55)&amp;"","")))</f>
        <v/>
      </c>
      <c r="E55" s="7">
        <f>IF($Z55="C",INDEX(Contracts!$P$2:$P$151,$AB55)&amp;"",IF($Z55="A",INDEX(Fixed_Assets!$K$2:$K$201,$AB55)&amp;"",IF($Z55="F",IF(INDEX(FTE_Allocation!$D$2:$D$201,$AB55)="PROJECT",IFERROR(INDEX(Projects!$D:$D,MATCH(INDEX(FTE_Allocation!$E$2:$E$201,$AB55),Projects!$A:$A,0))&amp;"","#PROJECT?"),INDEX(FTE_Allocation!$E$2:$E$201,$AB55)&amp;""),"")))</f>
        <v/>
      </c>
      <c r="F55" s="7">
        <f>IF($Z55="C",INDEX(Contracts!$Q$2:$Q$151,$AB55)&amp;"",IF($Z55="A",INDEX(Fixed_Assets!$L$2:$L$201,$AB55)&amp;"",IF($Z55="F",INDEX(Workforce!$K$2:$K$151,MATCH(INDEX(FTE_Allocation!$A$2:$A$201,$AB55),Workforce!$A$2:$A$151,0))&amp;"","")))</f>
        <v/>
      </c>
      <c r="G55" s="7">
        <f>IF($Z55="C",INDEX(Contracts!$F$2:$F$151,$AB55)&amp;" / "&amp;INDEX(Contracts!$G$2:$G$151,$AB55),IF($Z55="A",INDEX(Fixed_Assets!$E$2:$E$201,$AB55)&amp;"",IF($Z55="F","Personnel "&amp;INDEX(FTE_Allocation!$A$2:$A$201,$AB55)&amp;IF(INDEX(FTE_Allocation!$D$2:$D$201,$AB55)="PROJECT"," ("&amp;INDEX(FTE_Allocation!$E$2:$E$201,$AB55)&amp;")",""),"")))</f>
        <v/>
      </c>
      <c r="H55" s="7">
        <f>IF($Z55="C","CONTRACT",IF($Z55="A","ASSET",IF($Z55="F","WORKFORCE","")))</f>
        <v/>
      </c>
      <c r="I55" s="7">
        <f>IF($Z55="C",INDEX(Contracts!$L$2:$L$151,$AB55)&amp;"",IF($Z55="A",INDEX(Fixed_Assets!$I$2:$I$201,$AB55)&amp;"",IF($Z55="F",INDEX(Workforce!$G$2:$G$151,MATCH(INDEX(FTE_Allocation!$A$2:$A$201,$AB55),Workforce!$A$2:$A$151,0))&amp;"","")))</f>
        <v/>
      </c>
      <c r="J55" s="18">
        <f>IF($Z55="","",IF(AND(DATE($AD55,1,1)&gt;=$AE55,DATE($AD55,1,1)&lt;=$AF55),ROUND($AG55,2),0))</f>
        <v/>
      </c>
      <c r="K55" s="18">
        <f>IF($Z55="","",IF(AND(DATE($AD55,2,1)&gt;=$AE55,DATE($AD55,2,1)&lt;=$AF55),ROUND($AG55,2),0))</f>
        <v/>
      </c>
      <c r="L55" s="18">
        <f>IF($Z55="","",IF(AND(DATE($AD55,3,1)&gt;=$AE55,DATE($AD55,3,1)&lt;=$AF55),ROUND($AG55,2),0))</f>
        <v/>
      </c>
      <c r="M55" s="18">
        <f>IF($Z55="","",IF(AND(DATE($AD55,4,1)&gt;=$AE55,DATE($AD55,4,1)&lt;=$AF55),ROUND($AG55,2),0))</f>
        <v/>
      </c>
      <c r="N55" s="18">
        <f>IF($Z55="","",IF(AND(DATE($AD55,5,1)&gt;=$AE55,DATE($AD55,5,1)&lt;=$AF55),ROUND($AG55,2),0))</f>
        <v/>
      </c>
      <c r="O55" s="18">
        <f>IF($Z55="","",IF(AND(DATE($AD55,6,1)&gt;=$AE55,DATE($AD55,6,1)&lt;=$AF55),ROUND($AG55,2),0))</f>
        <v/>
      </c>
      <c r="P55" s="18">
        <f>IF($Z55="","",IF(AND(DATE($AD55,7,1)&gt;=$AE55,DATE($AD55,7,1)&lt;=$AF55),ROUND($AG55,2),0))</f>
        <v/>
      </c>
      <c r="Q55" s="18">
        <f>IF($Z55="","",IF(AND(DATE($AD55,8,1)&gt;=$AE55,DATE($AD55,8,1)&lt;=$AF55),ROUND($AG55,2),0))</f>
        <v/>
      </c>
      <c r="R55" s="18">
        <f>IF($Z55="","",IF(AND(DATE($AD55,9,1)&gt;=$AE55,DATE($AD55,9,1)&lt;=$AF55),ROUND($AG55,2),0))</f>
        <v/>
      </c>
      <c r="S55" s="18">
        <f>IF($Z55="","",IF(AND(DATE($AD55,10,1)&gt;=$AE55,DATE($AD55,10,1)&lt;=$AF55),ROUND($AG55,2),0))</f>
        <v/>
      </c>
      <c r="T55" s="18">
        <f>IF($Z55="","",IF(AND(DATE($AD55,11,1)&gt;=$AE55,DATE($AD55,11,1)&lt;=$AF55),ROUND($AG55,2),0))</f>
        <v/>
      </c>
      <c r="U55" s="18">
        <f>IF($Z55="","",IF(AND(DATE($AD55,12,1)&gt;=$AE55,DATE($AD55,12,1)&lt;=$AF55),ROUND($AG55,2),0))</f>
        <v/>
      </c>
      <c r="V55" s="7">
        <f>IF($Z55="C","Generated from "&amp;INDEX(Contracts!$A$2:$A$151,$AB55),IF($Z55="A","Generated from "&amp;INDEX(Fixed_Assets!$A$2:$A$201,$AB55),IF($Z55="F","Generated from "&amp;INDEX(FTE_Allocation!$A$2:$A$201,$AB55),"")))</f>
        <v/>
      </c>
      <c r="X55" s="19">
        <f>IF($Z55="","",SUM(J55:U55))</f>
        <v/>
      </c>
      <c r="Y55" s="20">
        <f>ROW()-1</f>
        <v/>
      </c>
      <c r="Z55" s="20">
        <f>IF($Y55&lt;=Settings!$B$4*3,"C",IF($Y55&lt;=(Settings!$B$4+Settings!$B$5)*3,"A",IF($Y55&lt;=(Settings!$B$4+Settings!$B$5+Settings!$B$6)*3,"F","")))</f>
        <v/>
      </c>
      <c r="AA55" s="20">
        <f>IF($Z55="C",$Y55,IF($Z55="A",$Y55-Settings!$B$4*3,IF($Z55="F",$Y55-(Settings!$B$4+Settings!$B$5)*3,"")))</f>
        <v/>
      </c>
      <c r="AB55" s="20">
        <f>IF($Z55="","",INT(($AA55-1)/3)+1)</f>
        <v/>
      </c>
      <c r="AC55" s="20">
        <f>IF($Z55="","",MOD($AA55-1,3)+1)</f>
        <v/>
      </c>
      <c r="AD55" s="20">
        <f>IF($Z55="","",Settings!$B$2+$AC55-1)</f>
        <v/>
      </c>
      <c r="AE55" s="21">
        <f>IF($Z55="C",DATE(YEAR(INDEX(Contracts!$J$2:$J$151,$AB55)),MONTH(INDEX(Contracts!$J$2:$J$151,$AB55)),1),IF($Z55="A",DATE(YEAR(INDEX(Fixed_Assets!$G$2:$G$201,$AB55)),MONTH(INDEX(Fixed_Assets!$G$2:$G$201,$AB55)),1),IF($Z55="F",DATE(YEAR(MAX(N(INDEX(Workforce!$I$2:$I$151,MATCH(INDEX(FTE_Allocation!$A$2:$A$201,$AB55),Workforce!$A$2:$A$151,0))),N(INDEX(FTE_Allocation!$I$2:$I$201,$AB55)))),MONTH(MAX(N(INDEX(Workforce!$I$2:$I$151,MATCH(INDEX(FTE_Allocation!$A$2:$A$201,$AB55),Workforce!$A$2:$A$151,0))),N(INDEX(FTE_Allocation!$I$2:$I$201,$AB55)))),1),"")))</f>
        <v/>
      </c>
      <c r="AF55" s="21">
        <f>IF($Z55="C",IF(INDEX(Contracts!$I$2:$I$151,$AB55)="PREPAID",EDATE(DATE(YEAR(INDEX(Contracts!$J$2:$J$151,$AB55)),MONTH(INDEX(Contracts!$J$2:$J$151,$AB55)),1),IF(INDEX(Contracts!$N$2:$N$151,$AB55)="",12,INDEX(Contracts!$N$2:$N$151,$AB55))-1),IF(INDEX(Contracts!$I$2:$I$151,$AB55)="MONTHLY",IF(INDEX(Contracts!$K$2:$K$151,$AB55)="",2958101,INDEX(Contracts!$K$2:$K$151,$AB55)),0)),IF($Z55="A",EDATE(DATE(YEAR(INDEX(Fixed_Assets!$G$2:$G$201,$AB55)),MONTH(INDEX(Fixed_Assets!$G$2:$G$201,$AB55)),1),INDEX(Fixed_Assets!$J$2:$J$201,$AB55)-1),IF($Z55="F",MIN(IF(INDEX(Workforce!$J$2:$J$151,MATCH(INDEX(FTE_Allocation!$A$2:$A$201,$AB55),Workforce!$A$2:$A$151,0))="",2958101,INDEX(Workforce!$J$2:$J$151,MATCH(INDEX(FTE_Allocation!$A$2:$A$201,$AB55),Workforce!$A$2:$A$151,0))),IF(INDEX(FTE_Allocation!$J$2:$J$201,$AB55)="",2958101,INDEX(FTE_Allocation!$J$2:$J$201,$AB55))),"")))</f>
        <v/>
      </c>
      <c r="AG55" s="19">
        <f>IF($Z55="C",IF(INDEX(Contracts!$I$2:$I$151,$AB55)="PREPAID",INDEX(Contracts!$M$2:$M$151,$AB55)/IF(INDEX(Contracts!$N$2:$N$151,$AB55)="",12,INDEX(Contracts!$N$2:$N$151,$AB55)),IF(INDEX(Contracts!$I$2:$I$151,$AB55)="MONTHLY",INDEX(Contracts!$M$2:$M$151,$AB55),0))*(1-N(INDEX(Contracts!$O$2:$O$151,$AB55))),IF($Z55="A",INDEX(Fixed_Assets!$H$2:$H$201,$AB55)/INDEX(Fixed_Assets!$J$2:$J$201,$AB55),IF($Z55="F",INDEX(Workforce!$F$2:$F$151,MATCH(INDEX(FTE_Allocation!$A$2:$A$201,$AB55),Workforce!$A$2:$A$151,0))*N(INDEX(FTE_Allocation!$F$2:$H$201,$AB55,$AC55)),"")))</f>
        <v/>
      </c>
    </row>
    <row r="56">
      <c r="A56" s="7">
        <f>IF($Z56="","",$AD56)</f>
        <v/>
      </c>
      <c r="B56" s="7">
        <f>IF($Z56="C",INDEX(Contracts!$D$2:$D$151,$AB56)&amp;"",IF($Z56="A",INDEX(Fixed_Assets!$C$2:$C$201,$AB56)&amp;"",IF($Z56="F",INDEX(Workforce!$B$2:$B$151,MATCH(INDEX(FTE_Allocation!$A$2:$A$201,$AB56),Workforce!$A$2:$A$151,0))&amp;"","")))</f>
        <v/>
      </c>
      <c r="C56" s="7">
        <f>IF($Z56="C",INDEX(Contracts!$E$2:$E$151,$AB56)&amp;"",IF($Z56="A",INDEX(Fixed_Assets!$D$2:$D$201,$AB56)&amp;"",IF($Z56="F",INDEX(FTE_Allocation!$C$2:$C$201,$AB56)&amp;"","")))</f>
        <v/>
      </c>
      <c r="D56" s="7">
        <f>IF($Z56="C",INDEX(Contracts!$B$2:$B$151,$AB56)&amp;"",IF($Z56="A",INDEX(Fixed_Assets!$B$2:$B$201,$AB56)&amp;"",IF($Z56="F",INDEX(FTE_Allocation!$B$2:$B$201,$AB56)&amp;"","")))</f>
        <v/>
      </c>
      <c r="E56" s="7">
        <f>IF($Z56="C",INDEX(Contracts!$P$2:$P$151,$AB56)&amp;"",IF($Z56="A",INDEX(Fixed_Assets!$K$2:$K$201,$AB56)&amp;"",IF($Z56="F",IF(INDEX(FTE_Allocation!$D$2:$D$201,$AB56)="PROJECT",IFERROR(INDEX(Projects!$D:$D,MATCH(INDEX(FTE_Allocation!$E$2:$E$201,$AB56),Projects!$A:$A,0))&amp;"","#PROJECT?"),INDEX(FTE_Allocation!$E$2:$E$201,$AB56)&amp;""),"")))</f>
        <v/>
      </c>
      <c r="F56" s="7">
        <f>IF($Z56="C",INDEX(Contracts!$Q$2:$Q$151,$AB56)&amp;"",IF($Z56="A",INDEX(Fixed_Assets!$L$2:$L$201,$AB56)&amp;"",IF($Z56="F",INDEX(Workforce!$K$2:$K$151,MATCH(INDEX(FTE_Allocation!$A$2:$A$201,$AB56),Workforce!$A$2:$A$151,0))&amp;"","")))</f>
        <v/>
      </c>
      <c r="G56" s="7">
        <f>IF($Z56="C",INDEX(Contracts!$F$2:$F$151,$AB56)&amp;" / "&amp;INDEX(Contracts!$G$2:$G$151,$AB56),IF($Z56="A",INDEX(Fixed_Assets!$E$2:$E$201,$AB56)&amp;"",IF($Z56="F","Personnel "&amp;INDEX(FTE_Allocation!$A$2:$A$201,$AB56)&amp;IF(INDEX(FTE_Allocation!$D$2:$D$201,$AB56)="PROJECT"," ("&amp;INDEX(FTE_Allocation!$E$2:$E$201,$AB56)&amp;")",""),"")))</f>
        <v/>
      </c>
      <c r="H56" s="7">
        <f>IF($Z56="C","CONTRACT",IF($Z56="A","ASSET",IF($Z56="F","WORKFORCE","")))</f>
        <v/>
      </c>
      <c r="I56" s="7">
        <f>IF($Z56="C",INDEX(Contracts!$L$2:$L$151,$AB56)&amp;"",IF($Z56="A",INDEX(Fixed_Assets!$I$2:$I$201,$AB56)&amp;"",IF($Z56="F",INDEX(Workforce!$G$2:$G$151,MATCH(INDEX(FTE_Allocation!$A$2:$A$201,$AB56),Workforce!$A$2:$A$151,0))&amp;"","")))</f>
        <v/>
      </c>
      <c r="J56" s="18">
        <f>IF($Z56="","",IF(AND(DATE($AD56,1,1)&gt;=$AE56,DATE($AD56,1,1)&lt;=$AF56),ROUND($AG56,2),0))</f>
        <v/>
      </c>
      <c r="K56" s="18">
        <f>IF($Z56="","",IF(AND(DATE($AD56,2,1)&gt;=$AE56,DATE($AD56,2,1)&lt;=$AF56),ROUND($AG56,2),0))</f>
        <v/>
      </c>
      <c r="L56" s="18">
        <f>IF($Z56="","",IF(AND(DATE($AD56,3,1)&gt;=$AE56,DATE($AD56,3,1)&lt;=$AF56),ROUND($AG56,2),0))</f>
        <v/>
      </c>
      <c r="M56" s="18">
        <f>IF($Z56="","",IF(AND(DATE($AD56,4,1)&gt;=$AE56,DATE($AD56,4,1)&lt;=$AF56),ROUND($AG56,2),0))</f>
        <v/>
      </c>
      <c r="N56" s="18">
        <f>IF($Z56="","",IF(AND(DATE($AD56,5,1)&gt;=$AE56,DATE($AD56,5,1)&lt;=$AF56),ROUND($AG56,2),0))</f>
        <v/>
      </c>
      <c r="O56" s="18">
        <f>IF($Z56="","",IF(AND(DATE($AD56,6,1)&gt;=$AE56,DATE($AD56,6,1)&lt;=$AF56),ROUND($AG56,2),0))</f>
        <v/>
      </c>
      <c r="P56" s="18">
        <f>IF($Z56="","",IF(AND(DATE($AD56,7,1)&gt;=$AE56,DATE($AD56,7,1)&lt;=$AF56),ROUND($AG56,2),0))</f>
        <v/>
      </c>
      <c r="Q56" s="18">
        <f>IF($Z56="","",IF(AND(DATE($AD56,8,1)&gt;=$AE56,DATE($AD56,8,1)&lt;=$AF56),ROUND($AG56,2),0))</f>
        <v/>
      </c>
      <c r="R56" s="18">
        <f>IF($Z56="","",IF(AND(DATE($AD56,9,1)&gt;=$AE56,DATE($AD56,9,1)&lt;=$AF56),ROUND($AG56,2),0))</f>
        <v/>
      </c>
      <c r="S56" s="18">
        <f>IF($Z56="","",IF(AND(DATE($AD56,10,1)&gt;=$AE56,DATE($AD56,10,1)&lt;=$AF56),ROUND($AG56,2),0))</f>
        <v/>
      </c>
      <c r="T56" s="18">
        <f>IF($Z56="","",IF(AND(DATE($AD56,11,1)&gt;=$AE56,DATE($AD56,11,1)&lt;=$AF56),ROUND($AG56,2),0))</f>
        <v/>
      </c>
      <c r="U56" s="18">
        <f>IF($Z56="","",IF(AND(DATE($AD56,12,1)&gt;=$AE56,DATE($AD56,12,1)&lt;=$AF56),ROUND($AG56,2),0))</f>
        <v/>
      </c>
      <c r="V56" s="7">
        <f>IF($Z56="C","Generated from "&amp;INDEX(Contracts!$A$2:$A$151,$AB56),IF($Z56="A","Generated from "&amp;INDEX(Fixed_Assets!$A$2:$A$201,$AB56),IF($Z56="F","Generated from "&amp;INDEX(FTE_Allocation!$A$2:$A$201,$AB56),"")))</f>
        <v/>
      </c>
      <c r="X56" s="19">
        <f>IF($Z56="","",SUM(J56:U56))</f>
        <v/>
      </c>
      <c r="Y56" s="20">
        <f>ROW()-1</f>
        <v/>
      </c>
      <c r="Z56" s="20">
        <f>IF($Y56&lt;=Settings!$B$4*3,"C",IF($Y56&lt;=(Settings!$B$4+Settings!$B$5)*3,"A",IF($Y56&lt;=(Settings!$B$4+Settings!$B$5+Settings!$B$6)*3,"F","")))</f>
        <v/>
      </c>
      <c r="AA56" s="20">
        <f>IF($Z56="C",$Y56,IF($Z56="A",$Y56-Settings!$B$4*3,IF($Z56="F",$Y56-(Settings!$B$4+Settings!$B$5)*3,"")))</f>
        <v/>
      </c>
      <c r="AB56" s="20">
        <f>IF($Z56="","",INT(($AA56-1)/3)+1)</f>
        <v/>
      </c>
      <c r="AC56" s="20">
        <f>IF($Z56="","",MOD($AA56-1,3)+1)</f>
        <v/>
      </c>
      <c r="AD56" s="20">
        <f>IF($Z56="","",Settings!$B$2+$AC56-1)</f>
        <v/>
      </c>
      <c r="AE56" s="21">
        <f>IF($Z56="C",DATE(YEAR(INDEX(Contracts!$J$2:$J$151,$AB56)),MONTH(INDEX(Contracts!$J$2:$J$151,$AB56)),1),IF($Z56="A",DATE(YEAR(INDEX(Fixed_Assets!$G$2:$G$201,$AB56)),MONTH(INDEX(Fixed_Assets!$G$2:$G$201,$AB56)),1),IF($Z56="F",DATE(YEAR(MAX(N(INDEX(Workforce!$I$2:$I$151,MATCH(INDEX(FTE_Allocation!$A$2:$A$201,$AB56),Workforce!$A$2:$A$151,0))),N(INDEX(FTE_Allocation!$I$2:$I$201,$AB56)))),MONTH(MAX(N(INDEX(Workforce!$I$2:$I$151,MATCH(INDEX(FTE_Allocation!$A$2:$A$201,$AB56),Workforce!$A$2:$A$151,0))),N(INDEX(FTE_Allocation!$I$2:$I$201,$AB56)))),1),"")))</f>
        <v/>
      </c>
      <c r="AF56" s="21">
        <f>IF($Z56="C",IF(INDEX(Contracts!$I$2:$I$151,$AB56)="PREPAID",EDATE(DATE(YEAR(INDEX(Contracts!$J$2:$J$151,$AB56)),MONTH(INDEX(Contracts!$J$2:$J$151,$AB56)),1),IF(INDEX(Contracts!$N$2:$N$151,$AB56)="",12,INDEX(Contracts!$N$2:$N$151,$AB56))-1),IF(INDEX(Contracts!$I$2:$I$151,$AB56)="MONTHLY",IF(INDEX(Contracts!$K$2:$K$151,$AB56)="",2958101,INDEX(Contracts!$K$2:$K$151,$AB56)),0)),IF($Z56="A",EDATE(DATE(YEAR(INDEX(Fixed_Assets!$G$2:$G$201,$AB56)),MONTH(INDEX(Fixed_Assets!$G$2:$G$201,$AB56)),1),INDEX(Fixed_Assets!$J$2:$J$201,$AB56)-1),IF($Z56="F",MIN(IF(INDEX(Workforce!$J$2:$J$151,MATCH(INDEX(FTE_Allocation!$A$2:$A$201,$AB56),Workforce!$A$2:$A$151,0))="",2958101,INDEX(Workforce!$J$2:$J$151,MATCH(INDEX(FTE_Allocation!$A$2:$A$201,$AB56),Workforce!$A$2:$A$151,0))),IF(INDEX(FTE_Allocation!$J$2:$J$201,$AB56)="",2958101,INDEX(FTE_Allocation!$J$2:$J$201,$AB56))),"")))</f>
        <v/>
      </c>
      <c r="AG56" s="19">
        <f>IF($Z56="C",IF(INDEX(Contracts!$I$2:$I$151,$AB56)="PREPAID",INDEX(Contracts!$M$2:$M$151,$AB56)/IF(INDEX(Contracts!$N$2:$N$151,$AB56)="",12,INDEX(Contracts!$N$2:$N$151,$AB56)),IF(INDEX(Contracts!$I$2:$I$151,$AB56)="MONTHLY",INDEX(Contracts!$M$2:$M$151,$AB56),0))*(1-N(INDEX(Contracts!$O$2:$O$151,$AB56))),IF($Z56="A",INDEX(Fixed_Assets!$H$2:$H$201,$AB56)/INDEX(Fixed_Assets!$J$2:$J$201,$AB56),IF($Z56="F",INDEX(Workforce!$F$2:$F$151,MATCH(INDEX(FTE_Allocation!$A$2:$A$201,$AB56),Workforce!$A$2:$A$151,0))*N(INDEX(FTE_Allocation!$F$2:$H$201,$AB56,$AC56)),"")))</f>
        <v/>
      </c>
    </row>
    <row r="57">
      <c r="A57" s="7">
        <f>IF($Z57="","",$AD57)</f>
        <v/>
      </c>
      <c r="B57" s="7">
        <f>IF($Z57="C",INDEX(Contracts!$D$2:$D$151,$AB57)&amp;"",IF($Z57="A",INDEX(Fixed_Assets!$C$2:$C$201,$AB57)&amp;"",IF($Z57="F",INDEX(Workforce!$B$2:$B$151,MATCH(INDEX(FTE_Allocation!$A$2:$A$201,$AB57),Workforce!$A$2:$A$151,0))&amp;"","")))</f>
        <v/>
      </c>
      <c r="C57" s="7">
        <f>IF($Z57="C",INDEX(Contracts!$E$2:$E$151,$AB57)&amp;"",IF($Z57="A",INDEX(Fixed_Assets!$D$2:$D$201,$AB57)&amp;"",IF($Z57="F",INDEX(FTE_Allocation!$C$2:$C$201,$AB57)&amp;"","")))</f>
        <v/>
      </c>
      <c r="D57" s="7">
        <f>IF($Z57="C",INDEX(Contracts!$B$2:$B$151,$AB57)&amp;"",IF($Z57="A",INDEX(Fixed_Assets!$B$2:$B$201,$AB57)&amp;"",IF($Z57="F",INDEX(FTE_Allocation!$B$2:$B$201,$AB57)&amp;"","")))</f>
        <v/>
      </c>
      <c r="E57" s="7">
        <f>IF($Z57="C",INDEX(Contracts!$P$2:$P$151,$AB57)&amp;"",IF($Z57="A",INDEX(Fixed_Assets!$K$2:$K$201,$AB57)&amp;"",IF($Z57="F",IF(INDEX(FTE_Allocation!$D$2:$D$201,$AB57)="PROJECT",IFERROR(INDEX(Projects!$D:$D,MATCH(INDEX(FTE_Allocation!$E$2:$E$201,$AB57),Projects!$A:$A,0))&amp;"","#PROJECT?"),INDEX(FTE_Allocation!$E$2:$E$201,$AB57)&amp;""),"")))</f>
        <v/>
      </c>
      <c r="F57" s="7">
        <f>IF($Z57="C",INDEX(Contracts!$Q$2:$Q$151,$AB57)&amp;"",IF($Z57="A",INDEX(Fixed_Assets!$L$2:$L$201,$AB57)&amp;"",IF($Z57="F",INDEX(Workforce!$K$2:$K$151,MATCH(INDEX(FTE_Allocation!$A$2:$A$201,$AB57),Workforce!$A$2:$A$151,0))&amp;"","")))</f>
        <v/>
      </c>
      <c r="G57" s="7">
        <f>IF($Z57="C",INDEX(Contracts!$F$2:$F$151,$AB57)&amp;" / "&amp;INDEX(Contracts!$G$2:$G$151,$AB57),IF($Z57="A",INDEX(Fixed_Assets!$E$2:$E$201,$AB57)&amp;"",IF($Z57="F","Personnel "&amp;INDEX(FTE_Allocation!$A$2:$A$201,$AB57)&amp;IF(INDEX(FTE_Allocation!$D$2:$D$201,$AB57)="PROJECT"," ("&amp;INDEX(FTE_Allocation!$E$2:$E$201,$AB57)&amp;")",""),"")))</f>
        <v/>
      </c>
      <c r="H57" s="7">
        <f>IF($Z57="C","CONTRACT",IF($Z57="A","ASSET",IF($Z57="F","WORKFORCE","")))</f>
        <v/>
      </c>
      <c r="I57" s="7">
        <f>IF($Z57="C",INDEX(Contracts!$L$2:$L$151,$AB57)&amp;"",IF($Z57="A",INDEX(Fixed_Assets!$I$2:$I$201,$AB57)&amp;"",IF($Z57="F",INDEX(Workforce!$G$2:$G$151,MATCH(INDEX(FTE_Allocation!$A$2:$A$201,$AB57),Workforce!$A$2:$A$151,0))&amp;"","")))</f>
        <v/>
      </c>
      <c r="J57" s="18">
        <f>IF($Z57="","",IF(AND(DATE($AD57,1,1)&gt;=$AE57,DATE($AD57,1,1)&lt;=$AF57),ROUND($AG57,2),0))</f>
        <v/>
      </c>
      <c r="K57" s="18">
        <f>IF($Z57="","",IF(AND(DATE($AD57,2,1)&gt;=$AE57,DATE($AD57,2,1)&lt;=$AF57),ROUND($AG57,2),0))</f>
        <v/>
      </c>
      <c r="L57" s="18">
        <f>IF($Z57="","",IF(AND(DATE($AD57,3,1)&gt;=$AE57,DATE($AD57,3,1)&lt;=$AF57),ROUND($AG57,2),0))</f>
        <v/>
      </c>
      <c r="M57" s="18">
        <f>IF($Z57="","",IF(AND(DATE($AD57,4,1)&gt;=$AE57,DATE($AD57,4,1)&lt;=$AF57),ROUND($AG57,2),0))</f>
        <v/>
      </c>
      <c r="N57" s="18">
        <f>IF($Z57="","",IF(AND(DATE($AD57,5,1)&gt;=$AE57,DATE($AD57,5,1)&lt;=$AF57),ROUND($AG57,2),0))</f>
        <v/>
      </c>
      <c r="O57" s="18">
        <f>IF($Z57="","",IF(AND(DATE($AD57,6,1)&gt;=$AE57,DATE($AD57,6,1)&lt;=$AF57),ROUND($AG57,2),0))</f>
        <v/>
      </c>
      <c r="P57" s="18">
        <f>IF($Z57="","",IF(AND(DATE($AD57,7,1)&gt;=$AE57,DATE($AD57,7,1)&lt;=$AF57),ROUND($AG57,2),0))</f>
        <v/>
      </c>
      <c r="Q57" s="18">
        <f>IF($Z57="","",IF(AND(DATE($AD57,8,1)&gt;=$AE57,DATE($AD57,8,1)&lt;=$AF57),ROUND($AG57,2),0))</f>
        <v/>
      </c>
      <c r="R57" s="18">
        <f>IF($Z57="","",IF(AND(DATE($AD57,9,1)&gt;=$AE57,DATE($AD57,9,1)&lt;=$AF57),ROUND($AG57,2),0))</f>
        <v/>
      </c>
      <c r="S57" s="18">
        <f>IF($Z57="","",IF(AND(DATE($AD57,10,1)&gt;=$AE57,DATE($AD57,10,1)&lt;=$AF57),ROUND($AG57,2),0))</f>
        <v/>
      </c>
      <c r="T57" s="18">
        <f>IF($Z57="","",IF(AND(DATE($AD57,11,1)&gt;=$AE57,DATE($AD57,11,1)&lt;=$AF57),ROUND($AG57,2),0))</f>
        <v/>
      </c>
      <c r="U57" s="18">
        <f>IF($Z57="","",IF(AND(DATE($AD57,12,1)&gt;=$AE57,DATE($AD57,12,1)&lt;=$AF57),ROUND($AG57,2),0))</f>
        <v/>
      </c>
      <c r="V57" s="7">
        <f>IF($Z57="C","Generated from "&amp;INDEX(Contracts!$A$2:$A$151,$AB57),IF($Z57="A","Generated from "&amp;INDEX(Fixed_Assets!$A$2:$A$201,$AB57),IF($Z57="F","Generated from "&amp;INDEX(FTE_Allocation!$A$2:$A$201,$AB57),"")))</f>
        <v/>
      </c>
      <c r="X57" s="19">
        <f>IF($Z57="","",SUM(J57:U57))</f>
        <v/>
      </c>
      <c r="Y57" s="20">
        <f>ROW()-1</f>
        <v/>
      </c>
      <c r="Z57" s="20">
        <f>IF($Y57&lt;=Settings!$B$4*3,"C",IF($Y57&lt;=(Settings!$B$4+Settings!$B$5)*3,"A",IF($Y57&lt;=(Settings!$B$4+Settings!$B$5+Settings!$B$6)*3,"F","")))</f>
        <v/>
      </c>
      <c r="AA57" s="20">
        <f>IF($Z57="C",$Y57,IF($Z57="A",$Y57-Settings!$B$4*3,IF($Z57="F",$Y57-(Settings!$B$4+Settings!$B$5)*3,"")))</f>
        <v/>
      </c>
      <c r="AB57" s="20">
        <f>IF($Z57="","",INT(($AA57-1)/3)+1)</f>
        <v/>
      </c>
      <c r="AC57" s="20">
        <f>IF($Z57="","",MOD($AA57-1,3)+1)</f>
        <v/>
      </c>
      <c r="AD57" s="20">
        <f>IF($Z57="","",Settings!$B$2+$AC57-1)</f>
        <v/>
      </c>
      <c r="AE57" s="21">
        <f>IF($Z57="C",DATE(YEAR(INDEX(Contracts!$J$2:$J$151,$AB57)),MONTH(INDEX(Contracts!$J$2:$J$151,$AB57)),1),IF($Z57="A",DATE(YEAR(INDEX(Fixed_Assets!$G$2:$G$201,$AB57)),MONTH(INDEX(Fixed_Assets!$G$2:$G$201,$AB57)),1),IF($Z57="F",DATE(YEAR(MAX(N(INDEX(Workforce!$I$2:$I$151,MATCH(INDEX(FTE_Allocation!$A$2:$A$201,$AB57),Workforce!$A$2:$A$151,0))),N(INDEX(FTE_Allocation!$I$2:$I$201,$AB57)))),MONTH(MAX(N(INDEX(Workforce!$I$2:$I$151,MATCH(INDEX(FTE_Allocation!$A$2:$A$201,$AB57),Workforce!$A$2:$A$151,0))),N(INDEX(FTE_Allocation!$I$2:$I$201,$AB57)))),1),"")))</f>
        <v/>
      </c>
      <c r="AF57" s="21">
        <f>IF($Z57="C",IF(INDEX(Contracts!$I$2:$I$151,$AB57)="PREPAID",EDATE(DATE(YEAR(INDEX(Contracts!$J$2:$J$151,$AB57)),MONTH(INDEX(Contracts!$J$2:$J$151,$AB57)),1),IF(INDEX(Contracts!$N$2:$N$151,$AB57)="",12,INDEX(Contracts!$N$2:$N$151,$AB57))-1),IF(INDEX(Contracts!$I$2:$I$151,$AB57)="MONTHLY",IF(INDEX(Contracts!$K$2:$K$151,$AB57)="",2958101,INDEX(Contracts!$K$2:$K$151,$AB57)),0)),IF($Z57="A",EDATE(DATE(YEAR(INDEX(Fixed_Assets!$G$2:$G$201,$AB57)),MONTH(INDEX(Fixed_Assets!$G$2:$G$201,$AB57)),1),INDEX(Fixed_Assets!$J$2:$J$201,$AB57)-1),IF($Z57="F",MIN(IF(INDEX(Workforce!$J$2:$J$151,MATCH(INDEX(FTE_Allocation!$A$2:$A$201,$AB57),Workforce!$A$2:$A$151,0))="",2958101,INDEX(Workforce!$J$2:$J$151,MATCH(INDEX(FTE_Allocation!$A$2:$A$201,$AB57),Workforce!$A$2:$A$151,0))),IF(INDEX(FTE_Allocation!$J$2:$J$201,$AB57)="",2958101,INDEX(FTE_Allocation!$J$2:$J$201,$AB57))),"")))</f>
        <v/>
      </c>
      <c r="AG57" s="19">
        <f>IF($Z57="C",IF(INDEX(Contracts!$I$2:$I$151,$AB57)="PREPAID",INDEX(Contracts!$M$2:$M$151,$AB57)/IF(INDEX(Contracts!$N$2:$N$151,$AB57)="",12,INDEX(Contracts!$N$2:$N$151,$AB57)),IF(INDEX(Contracts!$I$2:$I$151,$AB57)="MONTHLY",INDEX(Contracts!$M$2:$M$151,$AB57),0))*(1-N(INDEX(Contracts!$O$2:$O$151,$AB57))),IF($Z57="A",INDEX(Fixed_Assets!$H$2:$H$201,$AB57)/INDEX(Fixed_Assets!$J$2:$J$201,$AB57),IF($Z57="F",INDEX(Workforce!$F$2:$F$151,MATCH(INDEX(FTE_Allocation!$A$2:$A$201,$AB57),Workforce!$A$2:$A$151,0))*N(INDEX(FTE_Allocation!$F$2:$H$201,$AB57,$AC57)),"")))</f>
        <v/>
      </c>
    </row>
    <row r="58">
      <c r="A58" s="7">
        <f>IF($Z58="","",$AD58)</f>
        <v/>
      </c>
      <c r="B58" s="7">
        <f>IF($Z58="C",INDEX(Contracts!$D$2:$D$151,$AB58)&amp;"",IF($Z58="A",INDEX(Fixed_Assets!$C$2:$C$201,$AB58)&amp;"",IF($Z58="F",INDEX(Workforce!$B$2:$B$151,MATCH(INDEX(FTE_Allocation!$A$2:$A$201,$AB58),Workforce!$A$2:$A$151,0))&amp;"","")))</f>
        <v/>
      </c>
      <c r="C58" s="7">
        <f>IF($Z58="C",INDEX(Contracts!$E$2:$E$151,$AB58)&amp;"",IF($Z58="A",INDEX(Fixed_Assets!$D$2:$D$201,$AB58)&amp;"",IF($Z58="F",INDEX(FTE_Allocation!$C$2:$C$201,$AB58)&amp;"","")))</f>
        <v/>
      </c>
      <c r="D58" s="7">
        <f>IF($Z58="C",INDEX(Contracts!$B$2:$B$151,$AB58)&amp;"",IF($Z58="A",INDEX(Fixed_Assets!$B$2:$B$201,$AB58)&amp;"",IF($Z58="F",INDEX(FTE_Allocation!$B$2:$B$201,$AB58)&amp;"","")))</f>
        <v/>
      </c>
      <c r="E58" s="7">
        <f>IF($Z58="C",INDEX(Contracts!$P$2:$P$151,$AB58)&amp;"",IF($Z58="A",INDEX(Fixed_Assets!$K$2:$K$201,$AB58)&amp;"",IF($Z58="F",IF(INDEX(FTE_Allocation!$D$2:$D$201,$AB58)="PROJECT",IFERROR(INDEX(Projects!$D:$D,MATCH(INDEX(FTE_Allocation!$E$2:$E$201,$AB58),Projects!$A:$A,0))&amp;"","#PROJECT?"),INDEX(FTE_Allocation!$E$2:$E$201,$AB58)&amp;""),"")))</f>
        <v/>
      </c>
      <c r="F58" s="7">
        <f>IF($Z58="C",INDEX(Contracts!$Q$2:$Q$151,$AB58)&amp;"",IF($Z58="A",INDEX(Fixed_Assets!$L$2:$L$201,$AB58)&amp;"",IF($Z58="F",INDEX(Workforce!$K$2:$K$151,MATCH(INDEX(FTE_Allocation!$A$2:$A$201,$AB58),Workforce!$A$2:$A$151,0))&amp;"","")))</f>
        <v/>
      </c>
      <c r="G58" s="7">
        <f>IF($Z58="C",INDEX(Contracts!$F$2:$F$151,$AB58)&amp;" / "&amp;INDEX(Contracts!$G$2:$G$151,$AB58),IF($Z58="A",INDEX(Fixed_Assets!$E$2:$E$201,$AB58)&amp;"",IF($Z58="F","Personnel "&amp;INDEX(FTE_Allocation!$A$2:$A$201,$AB58)&amp;IF(INDEX(FTE_Allocation!$D$2:$D$201,$AB58)="PROJECT"," ("&amp;INDEX(FTE_Allocation!$E$2:$E$201,$AB58)&amp;")",""),"")))</f>
        <v/>
      </c>
      <c r="H58" s="7">
        <f>IF($Z58="C","CONTRACT",IF($Z58="A","ASSET",IF($Z58="F","WORKFORCE","")))</f>
        <v/>
      </c>
      <c r="I58" s="7">
        <f>IF($Z58="C",INDEX(Contracts!$L$2:$L$151,$AB58)&amp;"",IF($Z58="A",INDEX(Fixed_Assets!$I$2:$I$201,$AB58)&amp;"",IF($Z58="F",INDEX(Workforce!$G$2:$G$151,MATCH(INDEX(FTE_Allocation!$A$2:$A$201,$AB58),Workforce!$A$2:$A$151,0))&amp;"","")))</f>
        <v/>
      </c>
      <c r="J58" s="18">
        <f>IF($Z58="","",IF(AND(DATE($AD58,1,1)&gt;=$AE58,DATE($AD58,1,1)&lt;=$AF58),ROUND($AG58,2),0))</f>
        <v/>
      </c>
      <c r="K58" s="18">
        <f>IF($Z58="","",IF(AND(DATE($AD58,2,1)&gt;=$AE58,DATE($AD58,2,1)&lt;=$AF58),ROUND($AG58,2),0))</f>
        <v/>
      </c>
      <c r="L58" s="18">
        <f>IF($Z58="","",IF(AND(DATE($AD58,3,1)&gt;=$AE58,DATE($AD58,3,1)&lt;=$AF58),ROUND($AG58,2),0))</f>
        <v/>
      </c>
      <c r="M58" s="18">
        <f>IF($Z58="","",IF(AND(DATE($AD58,4,1)&gt;=$AE58,DATE($AD58,4,1)&lt;=$AF58),ROUND($AG58,2),0))</f>
        <v/>
      </c>
      <c r="N58" s="18">
        <f>IF($Z58="","",IF(AND(DATE($AD58,5,1)&gt;=$AE58,DATE($AD58,5,1)&lt;=$AF58),ROUND($AG58,2),0))</f>
        <v/>
      </c>
      <c r="O58" s="18">
        <f>IF($Z58="","",IF(AND(DATE($AD58,6,1)&gt;=$AE58,DATE($AD58,6,1)&lt;=$AF58),ROUND($AG58,2),0))</f>
        <v/>
      </c>
      <c r="P58" s="18">
        <f>IF($Z58="","",IF(AND(DATE($AD58,7,1)&gt;=$AE58,DATE($AD58,7,1)&lt;=$AF58),ROUND($AG58,2),0))</f>
        <v/>
      </c>
      <c r="Q58" s="18">
        <f>IF($Z58="","",IF(AND(DATE($AD58,8,1)&gt;=$AE58,DATE($AD58,8,1)&lt;=$AF58),ROUND($AG58,2),0))</f>
        <v/>
      </c>
      <c r="R58" s="18">
        <f>IF($Z58="","",IF(AND(DATE($AD58,9,1)&gt;=$AE58,DATE($AD58,9,1)&lt;=$AF58),ROUND($AG58,2),0))</f>
        <v/>
      </c>
      <c r="S58" s="18">
        <f>IF($Z58="","",IF(AND(DATE($AD58,10,1)&gt;=$AE58,DATE($AD58,10,1)&lt;=$AF58),ROUND($AG58,2),0))</f>
        <v/>
      </c>
      <c r="T58" s="18">
        <f>IF($Z58="","",IF(AND(DATE($AD58,11,1)&gt;=$AE58,DATE($AD58,11,1)&lt;=$AF58),ROUND($AG58,2),0))</f>
        <v/>
      </c>
      <c r="U58" s="18">
        <f>IF($Z58="","",IF(AND(DATE($AD58,12,1)&gt;=$AE58,DATE($AD58,12,1)&lt;=$AF58),ROUND($AG58,2),0))</f>
        <v/>
      </c>
      <c r="V58" s="7">
        <f>IF($Z58="C","Generated from "&amp;INDEX(Contracts!$A$2:$A$151,$AB58),IF($Z58="A","Generated from "&amp;INDEX(Fixed_Assets!$A$2:$A$201,$AB58),IF($Z58="F","Generated from "&amp;INDEX(FTE_Allocation!$A$2:$A$201,$AB58),"")))</f>
        <v/>
      </c>
      <c r="X58" s="19">
        <f>IF($Z58="","",SUM(J58:U58))</f>
        <v/>
      </c>
      <c r="Y58" s="20">
        <f>ROW()-1</f>
        <v/>
      </c>
      <c r="Z58" s="20">
        <f>IF($Y58&lt;=Settings!$B$4*3,"C",IF($Y58&lt;=(Settings!$B$4+Settings!$B$5)*3,"A",IF($Y58&lt;=(Settings!$B$4+Settings!$B$5+Settings!$B$6)*3,"F","")))</f>
        <v/>
      </c>
      <c r="AA58" s="20">
        <f>IF($Z58="C",$Y58,IF($Z58="A",$Y58-Settings!$B$4*3,IF($Z58="F",$Y58-(Settings!$B$4+Settings!$B$5)*3,"")))</f>
        <v/>
      </c>
      <c r="AB58" s="20">
        <f>IF($Z58="","",INT(($AA58-1)/3)+1)</f>
        <v/>
      </c>
      <c r="AC58" s="20">
        <f>IF($Z58="","",MOD($AA58-1,3)+1)</f>
        <v/>
      </c>
      <c r="AD58" s="20">
        <f>IF($Z58="","",Settings!$B$2+$AC58-1)</f>
        <v/>
      </c>
      <c r="AE58" s="21">
        <f>IF($Z58="C",DATE(YEAR(INDEX(Contracts!$J$2:$J$151,$AB58)),MONTH(INDEX(Contracts!$J$2:$J$151,$AB58)),1),IF($Z58="A",DATE(YEAR(INDEX(Fixed_Assets!$G$2:$G$201,$AB58)),MONTH(INDEX(Fixed_Assets!$G$2:$G$201,$AB58)),1),IF($Z58="F",DATE(YEAR(MAX(N(INDEX(Workforce!$I$2:$I$151,MATCH(INDEX(FTE_Allocation!$A$2:$A$201,$AB58),Workforce!$A$2:$A$151,0))),N(INDEX(FTE_Allocation!$I$2:$I$201,$AB58)))),MONTH(MAX(N(INDEX(Workforce!$I$2:$I$151,MATCH(INDEX(FTE_Allocation!$A$2:$A$201,$AB58),Workforce!$A$2:$A$151,0))),N(INDEX(FTE_Allocation!$I$2:$I$201,$AB58)))),1),"")))</f>
        <v/>
      </c>
      <c r="AF58" s="21">
        <f>IF($Z58="C",IF(INDEX(Contracts!$I$2:$I$151,$AB58)="PREPAID",EDATE(DATE(YEAR(INDEX(Contracts!$J$2:$J$151,$AB58)),MONTH(INDEX(Contracts!$J$2:$J$151,$AB58)),1),IF(INDEX(Contracts!$N$2:$N$151,$AB58)="",12,INDEX(Contracts!$N$2:$N$151,$AB58))-1),IF(INDEX(Contracts!$I$2:$I$151,$AB58)="MONTHLY",IF(INDEX(Contracts!$K$2:$K$151,$AB58)="",2958101,INDEX(Contracts!$K$2:$K$151,$AB58)),0)),IF($Z58="A",EDATE(DATE(YEAR(INDEX(Fixed_Assets!$G$2:$G$201,$AB58)),MONTH(INDEX(Fixed_Assets!$G$2:$G$201,$AB58)),1),INDEX(Fixed_Assets!$J$2:$J$201,$AB58)-1),IF($Z58="F",MIN(IF(INDEX(Workforce!$J$2:$J$151,MATCH(INDEX(FTE_Allocation!$A$2:$A$201,$AB58),Workforce!$A$2:$A$151,0))="",2958101,INDEX(Workforce!$J$2:$J$151,MATCH(INDEX(FTE_Allocation!$A$2:$A$201,$AB58),Workforce!$A$2:$A$151,0))),IF(INDEX(FTE_Allocation!$J$2:$J$201,$AB58)="",2958101,INDEX(FTE_Allocation!$J$2:$J$201,$AB58))),"")))</f>
        <v/>
      </c>
      <c r="AG58" s="19">
        <f>IF($Z58="C",IF(INDEX(Contracts!$I$2:$I$151,$AB58)="PREPAID",INDEX(Contracts!$M$2:$M$151,$AB58)/IF(INDEX(Contracts!$N$2:$N$151,$AB58)="",12,INDEX(Contracts!$N$2:$N$151,$AB58)),IF(INDEX(Contracts!$I$2:$I$151,$AB58)="MONTHLY",INDEX(Contracts!$M$2:$M$151,$AB58),0))*(1-N(INDEX(Contracts!$O$2:$O$151,$AB58))),IF($Z58="A",INDEX(Fixed_Assets!$H$2:$H$201,$AB58)/INDEX(Fixed_Assets!$J$2:$J$201,$AB58),IF($Z58="F",INDEX(Workforce!$F$2:$F$151,MATCH(INDEX(FTE_Allocation!$A$2:$A$201,$AB58),Workforce!$A$2:$A$151,0))*N(INDEX(FTE_Allocation!$F$2:$H$201,$AB58,$AC58)),"")))</f>
        <v/>
      </c>
    </row>
    <row r="59">
      <c r="A59" s="7">
        <f>IF($Z59="","",$AD59)</f>
        <v/>
      </c>
      <c r="B59" s="7">
        <f>IF($Z59="C",INDEX(Contracts!$D$2:$D$151,$AB59)&amp;"",IF($Z59="A",INDEX(Fixed_Assets!$C$2:$C$201,$AB59)&amp;"",IF($Z59="F",INDEX(Workforce!$B$2:$B$151,MATCH(INDEX(FTE_Allocation!$A$2:$A$201,$AB59),Workforce!$A$2:$A$151,0))&amp;"","")))</f>
        <v/>
      </c>
      <c r="C59" s="7">
        <f>IF($Z59="C",INDEX(Contracts!$E$2:$E$151,$AB59)&amp;"",IF($Z59="A",INDEX(Fixed_Assets!$D$2:$D$201,$AB59)&amp;"",IF($Z59="F",INDEX(FTE_Allocation!$C$2:$C$201,$AB59)&amp;"","")))</f>
        <v/>
      </c>
      <c r="D59" s="7">
        <f>IF($Z59="C",INDEX(Contracts!$B$2:$B$151,$AB59)&amp;"",IF($Z59="A",INDEX(Fixed_Assets!$B$2:$B$201,$AB59)&amp;"",IF($Z59="F",INDEX(FTE_Allocation!$B$2:$B$201,$AB59)&amp;"","")))</f>
        <v/>
      </c>
      <c r="E59" s="7">
        <f>IF($Z59="C",INDEX(Contracts!$P$2:$P$151,$AB59)&amp;"",IF($Z59="A",INDEX(Fixed_Assets!$K$2:$K$201,$AB59)&amp;"",IF($Z59="F",IF(INDEX(FTE_Allocation!$D$2:$D$201,$AB59)="PROJECT",IFERROR(INDEX(Projects!$D:$D,MATCH(INDEX(FTE_Allocation!$E$2:$E$201,$AB59),Projects!$A:$A,0))&amp;"","#PROJECT?"),INDEX(FTE_Allocation!$E$2:$E$201,$AB59)&amp;""),"")))</f>
        <v/>
      </c>
      <c r="F59" s="7">
        <f>IF($Z59="C",INDEX(Contracts!$Q$2:$Q$151,$AB59)&amp;"",IF($Z59="A",INDEX(Fixed_Assets!$L$2:$L$201,$AB59)&amp;"",IF($Z59="F",INDEX(Workforce!$K$2:$K$151,MATCH(INDEX(FTE_Allocation!$A$2:$A$201,$AB59),Workforce!$A$2:$A$151,0))&amp;"","")))</f>
        <v/>
      </c>
      <c r="G59" s="7">
        <f>IF($Z59="C",INDEX(Contracts!$F$2:$F$151,$AB59)&amp;" / "&amp;INDEX(Contracts!$G$2:$G$151,$AB59),IF($Z59="A",INDEX(Fixed_Assets!$E$2:$E$201,$AB59)&amp;"",IF($Z59="F","Personnel "&amp;INDEX(FTE_Allocation!$A$2:$A$201,$AB59)&amp;IF(INDEX(FTE_Allocation!$D$2:$D$201,$AB59)="PROJECT"," ("&amp;INDEX(FTE_Allocation!$E$2:$E$201,$AB59)&amp;")",""),"")))</f>
        <v/>
      </c>
      <c r="H59" s="7">
        <f>IF($Z59="C","CONTRACT",IF($Z59="A","ASSET",IF($Z59="F","WORKFORCE","")))</f>
        <v/>
      </c>
      <c r="I59" s="7">
        <f>IF($Z59="C",INDEX(Contracts!$L$2:$L$151,$AB59)&amp;"",IF($Z59="A",INDEX(Fixed_Assets!$I$2:$I$201,$AB59)&amp;"",IF($Z59="F",INDEX(Workforce!$G$2:$G$151,MATCH(INDEX(FTE_Allocation!$A$2:$A$201,$AB59),Workforce!$A$2:$A$151,0))&amp;"","")))</f>
        <v/>
      </c>
      <c r="J59" s="18">
        <f>IF($Z59="","",IF(AND(DATE($AD59,1,1)&gt;=$AE59,DATE($AD59,1,1)&lt;=$AF59),ROUND($AG59,2),0))</f>
        <v/>
      </c>
      <c r="K59" s="18">
        <f>IF($Z59="","",IF(AND(DATE($AD59,2,1)&gt;=$AE59,DATE($AD59,2,1)&lt;=$AF59),ROUND($AG59,2),0))</f>
        <v/>
      </c>
      <c r="L59" s="18">
        <f>IF($Z59="","",IF(AND(DATE($AD59,3,1)&gt;=$AE59,DATE($AD59,3,1)&lt;=$AF59),ROUND($AG59,2),0))</f>
        <v/>
      </c>
      <c r="M59" s="18">
        <f>IF($Z59="","",IF(AND(DATE($AD59,4,1)&gt;=$AE59,DATE($AD59,4,1)&lt;=$AF59),ROUND($AG59,2),0))</f>
        <v/>
      </c>
      <c r="N59" s="18">
        <f>IF($Z59="","",IF(AND(DATE($AD59,5,1)&gt;=$AE59,DATE($AD59,5,1)&lt;=$AF59),ROUND($AG59,2),0))</f>
        <v/>
      </c>
      <c r="O59" s="18">
        <f>IF($Z59="","",IF(AND(DATE($AD59,6,1)&gt;=$AE59,DATE($AD59,6,1)&lt;=$AF59),ROUND($AG59,2),0))</f>
        <v/>
      </c>
      <c r="P59" s="18">
        <f>IF($Z59="","",IF(AND(DATE($AD59,7,1)&gt;=$AE59,DATE($AD59,7,1)&lt;=$AF59),ROUND($AG59,2),0))</f>
        <v/>
      </c>
      <c r="Q59" s="18">
        <f>IF($Z59="","",IF(AND(DATE($AD59,8,1)&gt;=$AE59,DATE($AD59,8,1)&lt;=$AF59),ROUND($AG59,2),0))</f>
        <v/>
      </c>
      <c r="R59" s="18">
        <f>IF($Z59="","",IF(AND(DATE($AD59,9,1)&gt;=$AE59,DATE($AD59,9,1)&lt;=$AF59),ROUND($AG59,2),0))</f>
        <v/>
      </c>
      <c r="S59" s="18">
        <f>IF($Z59="","",IF(AND(DATE($AD59,10,1)&gt;=$AE59,DATE($AD59,10,1)&lt;=$AF59),ROUND($AG59,2),0))</f>
        <v/>
      </c>
      <c r="T59" s="18">
        <f>IF($Z59="","",IF(AND(DATE($AD59,11,1)&gt;=$AE59,DATE($AD59,11,1)&lt;=$AF59),ROUND($AG59,2),0))</f>
        <v/>
      </c>
      <c r="U59" s="18">
        <f>IF($Z59="","",IF(AND(DATE($AD59,12,1)&gt;=$AE59,DATE($AD59,12,1)&lt;=$AF59),ROUND($AG59,2),0))</f>
        <v/>
      </c>
      <c r="V59" s="7">
        <f>IF($Z59="C","Generated from "&amp;INDEX(Contracts!$A$2:$A$151,$AB59),IF($Z59="A","Generated from "&amp;INDEX(Fixed_Assets!$A$2:$A$201,$AB59),IF($Z59="F","Generated from "&amp;INDEX(FTE_Allocation!$A$2:$A$201,$AB59),"")))</f>
        <v/>
      </c>
      <c r="X59" s="19">
        <f>IF($Z59="","",SUM(J59:U59))</f>
        <v/>
      </c>
      <c r="Y59" s="20">
        <f>ROW()-1</f>
        <v/>
      </c>
      <c r="Z59" s="20">
        <f>IF($Y59&lt;=Settings!$B$4*3,"C",IF($Y59&lt;=(Settings!$B$4+Settings!$B$5)*3,"A",IF($Y59&lt;=(Settings!$B$4+Settings!$B$5+Settings!$B$6)*3,"F","")))</f>
        <v/>
      </c>
      <c r="AA59" s="20">
        <f>IF($Z59="C",$Y59,IF($Z59="A",$Y59-Settings!$B$4*3,IF($Z59="F",$Y59-(Settings!$B$4+Settings!$B$5)*3,"")))</f>
        <v/>
      </c>
      <c r="AB59" s="20">
        <f>IF($Z59="","",INT(($AA59-1)/3)+1)</f>
        <v/>
      </c>
      <c r="AC59" s="20">
        <f>IF($Z59="","",MOD($AA59-1,3)+1)</f>
        <v/>
      </c>
      <c r="AD59" s="20">
        <f>IF($Z59="","",Settings!$B$2+$AC59-1)</f>
        <v/>
      </c>
      <c r="AE59" s="21">
        <f>IF($Z59="C",DATE(YEAR(INDEX(Contracts!$J$2:$J$151,$AB59)),MONTH(INDEX(Contracts!$J$2:$J$151,$AB59)),1),IF($Z59="A",DATE(YEAR(INDEX(Fixed_Assets!$G$2:$G$201,$AB59)),MONTH(INDEX(Fixed_Assets!$G$2:$G$201,$AB59)),1),IF($Z59="F",DATE(YEAR(MAX(N(INDEX(Workforce!$I$2:$I$151,MATCH(INDEX(FTE_Allocation!$A$2:$A$201,$AB59),Workforce!$A$2:$A$151,0))),N(INDEX(FTE_Allocation!$I$2:$I$201,$AB59)))),MONTH(MAX(N(INDEX(Workforce!$I$2:$I$151,MATCH(INDEX(FTE_Allocation!$A$2:$A$201,$AB59),Workforce!$A$2:$A$151,0))),N(INDEX(FTE_Allocation!$I$2:$I$201,$AB59)))),1),"")))</f>
        <v/>
      </c>
      <c r="AF59" s="21">
        <f>IF($Z59="C",IF(INDEX(Contracts!$I$2:$I$151,$AB59)="PREPAID",EDATE(DATE(YEAR(INDEX(Contracts!$J$2:$J$151,$AB59)),MONTH(INDEX(Contracts!$J$2:$J$151,$AB59)),1),IF(INDEX(Contracts!$N$2:$N$151,$AB59)="",12,INDEX(Contracts!$N$2:$N$151,$AB59))-1),IF(INDEX(Contracts!$I$2:$I$151,$AB59)="MONTHLY",IF(INDEX(Contracts!$K$2:$K$151,$AB59)="",2958101,INDEX(Contracts!$K$2:$K$151,$AB59)),0)),IF($Z59="A",EDATE(DATE(YEAR(INDEX(Fixed_Assets!$G$2:$G$201,$AB59)),MONTH(INDEX(Fixed_Assets!$G$2:$G$201,$AB59)),1),INDEX(Fixed_Assets!$J$2:$J$201,$AB59)-1),IF($Z59="F",MIN(IF(INDEX(Workforce!$J$2:$J$151,MATCH(INDEX(FTE_Allocation!$A$2:$A$201,$AB59),Workforce!$A$2:$A$151,0))="",2958101,INDEX(Workforce!$J$2:$J$151,MATCH(INDEX(FTE_Allocation!$A$2:$A$201,$AB59),Workforce!$A$2:$A$151,0))),IF(INDEX(FTE_Allocation!$J$2:$J$201,$AB59)="",2958101,INDEX(FTE_Allocation!$J$2:$J$201,$AB59))),"")))</f>
        <v/>
      </c>
      <c r="AG59" s="19">
        <f>IF($Z59="C",IF(INDEX(Contracts!$I$2:$I$151,$AB59)="PREPAID",INDEX(Contracts!$M$2:$M$151,$AB59)/IF(INDEX(Contracts!$N$2:$N$151,$AB59)="",12,INDEX(Contracts!$N$2:$N$151,$AB59)),IF(INDEX(Contracts!$I$2:$I$151,$AB59)="MONTHLY",INDEX(Contracts!$M$2:$M$151,$AB59),0))*(1-N(INDEX(Contracts!$O$2:$O$151,$AB59))),IF($Z59="A",INDEX(Fixed_Assets!$H$2:$H$201,$AB59)/INDEX(Fixed_Assets!$J$2:$J$201,$AB59),IF($Z59="F",INDEX(Workforce!$F$2:$F$151,MATCH(INDEX(FTE_Allocation!$A$2:$A$201,$AB59),Workforce!$A$2:$A$151,0))*N(INDEX(FTE_Allocation!$F$2:$H$201,$AB59,$AC59)),"")))</f>
        <v/>
      </c>
    </row>
    <row r="60">
      <c r="A60" s="7">
        <f>IF($Z60="","",$AD60)</f>
        <v/>
      </c>
      <c r="B60" s="7">
        <f>IF($Z60="C",INDEX(Contracts!$D$2:$D$151,$AB60)&amp;"",IF($Z60="A",INDEX(Fixed_Assets!$C$2:$C$201,$AB60)&amp;"",IF($Z60="F",INDEX(Workforce!$B$2:$B$151,MATCH(INDEX(FTE_Allocation!$A$2:$A$201,$AB60),Workforce!$A$2:$A$151,0))&amp;"","")))</f>
        <v/>
      </c>
      <c r="C60" s="7">
        <f>IF($Z60="C",INDEX(Contracts!$E$2:$E$151,$AB60)&amp;"",IF($Z60="A",INDEX(Fixed_Assets!$D$2:$D$201,$AB60)&amp;"",IF($Z60="F",INDEX(FTE_Allocation!$C$2:$C$201,$AB60)&amp;"","")))</f>
        <v/>
      </c>
      <c r="D60" s="7">
        <f>IF($Z60="C",INDEX(Contracts!$B$2:$B$151,$AB60)&amp;"",IF($Z60="A",INDEX(Fixed_Assets!$B$2:$B$201,$AB60)&amp;"",IF($Z60="F",INDEX(FTE_Allocation!$B$2:$B$201,$AB60)&amp;"","")))</f>
        <v/>
      </c>
      <c r="E60" s="7">
        <f>IF($Z60="C",INDEX(Contracts!$P$2:$P$151,$AB60)&amp;"",IF($Z60="A",INDEX(Fixed_Assets!$K$2:$K$201,$AB60)&amp;"",IF($Z60="F",IF(INDEX(FTE_Allocation!$D$2:$D$201,$AB60)="PROJECT",IFERROR(INDEX(Projects!$D:$D,MATCH(INDEX(FTE_Allocation!$E$2:$E$201,$AB60),Projects!$A:$A,0))&amp;"","#PROJECT?"),INDEX(FTE_Allocation!$E$2:$E$201,$AB60)&amp;""),"")))</f>
        <v/>
      </c>
      <c r="F60" s="7">
        <f>IF($Z60="C",INDEX(Contracts!$Q$2:$Q$151,$AB60)&amp;"",IF($Z60="A",INDEX(Fixed_Assets!$L$2:$L$201,$AB60)&amp;"",IF($Z60="F",INDEX(Workforce!$K$2:$K$151,MATCH(INDEX(FTE_Allocation!$A$2:$A$201,$AB60),Workforce!$A$2:$A$151,0))&amp;"","")))</f>
        <v/>
      </c>
      <c r="G60" s="7">
        <f>IF($Z60="C",INDEX(Contracts!$F$2:$F$151,$AB60)&amp;" / "&amp;INDEX(Contracts!$G$2:$G$151,$AB60),IF($Z60="A",INDEX(Fixed_Assets!$E$2:$E$201,$AB60)&amp;"",IF($Z60="F","Personnel "&amp;INDEX(FTE_Allocation!$A$2:$A$201,$AB60)&amp;IF(INDEX(FTE_Allocation!$D$2:$D$201,$AB60)="PROJECT"," ("&amp;INDEX(FTE_Allocation!$E$2:$E$201,$AB60)&amp;")",""),"")))</f>
        <v/>
      </c>
      <c r="H60" s="7">
        <f>IF($Z60="C","CONTRACT",IF($Z60="A","ASSET",IF($Z60="F","WORKFORCE","")))</f>
        <v/>
      </c>
      <c r="I60" s="7">
        <f>IF($Z60="C",INDEX(Contracts!$L$2:$L$151,$AB60)&amp;"",IF($Z60="A",INDEX(Fixed_Assets!$I$2:$I$201,$AB60)&amp;"",IF($Z60="F",INDEX(Workforce!$G$2:$G$151,MATCH(INDEX(FTE_Allocation!$A$2:$A$201,$AB60),Workforce!$A$2:$A$151,0))&amp;"","")))</f>
        <v/>
      </c>
      <c r="J60" s="18">
        <f>IF($Z60="","",IF(AND(DATE($AD60,1,1)&gt;=$AE60,DATE($AD60,1,1)&lt;=$AF60),ROUND($AG60,2),0))</f>
        <v/>
      </c>
      <c r="K60" s="18">
        <f>IF($Z60="","",IF(AND(DATE($AD60,2,1)&gt;=$AE60,DATE($AD60,2,1)&lt;=$AF60),ROUND($AG60,2),0))</f>
        <v/>
      </c>
      <c r="L60" s="18">
        <f>IF($Z60="","",IF(AND(DATE($AD60,3,1)&gt;=$AE60,DATE($AD60,3,1)&lt;=$AF60),ROUND($AG60,2),0))</f>
        <v/>
      </c>
      <c r="M60" s="18">
        <f>IF($Z60="","",IF(AND(DATE($AD60,4,1)&gt;=$AE60,DATE($AD60,4,1)&lt;=$AF60),ROUND($AG60,2),0))</f>
        <v/>
      </c>
      <c r="N60" s="18">
        <f>IF($Z60="","",IF(AND(DATE($AD60,5,1)&gt;=$AE60,DATE($AD60,5,1)&lt;=$AF60),ROUND($AG60,2),0))</f>
        <v/>
      </c>
      <c r="O60" s="18">
        <f>IF($Z60="","",IF(AND(DATE($AD60,6,1)&gt;=$AE60,DATE($AD60,6,1)&lt;=$AF60),ROUND($AG60,2),0))</f>
        <v/>
      </c>
      <c r="P60" s="18">
        <f>IF($Z60="","",IF(AND(DATE($AD60,7,1)&gt;=$AE60,DATE($AD60,7,1)&lt;=$AF60),ROUND($AG60,2),0))</f>
        <v/>
      </c>
      <c r="Q60" s="18">
        <f>IF($Z60="","",IF(AND(DATE($AD60,8,1)&gt;=$AE60,DATE($AD60,8,1)&lt;=$AF60),ROUND($AG60,2),0))</f>
        <v/>
      </c>
      <c r="R60" s="18">
        <f>IF($Z60="","",IF(AND(DATE($AD60,9,1)&gt;=$AE60,DATE($AD60,9,1)&lt;=$AF60),ROUND($AG60,2),0))</f>
        <v/>
      </c>
      <c r="S60" s="18">
        <f>IF($Z60="","",IF(AND(DATE($AD60,10,1)&gt;=$AE60,DATE($AD60,10,1)&lt;=$AF60),ROUND($AG60,2),0))</f>
        <v/>
      </c>
      <c r="T60" s="18">
        <f>IF($Z60="","",IF(AND(DATE($AD60,11,1)&gt;=$AE60,DATE($AD60,11,1)&lt;=$AF60),ROUND($AG60,2),0))</f>
        <v/>
      </c>
      <c r="U60" s="18">
        <f>IF($Z60="","",IF(AND(DATE($AD60,12,1)&gt;=$AE60,DATE($AD60,12,1)&lt;=$AF60),ROUND($AG60,2),0))</f>
        <v/>
      </c>
      <c r="V60" s="7">
        <f>IF($Z60="C","Generated from "&amp;INDEX(Contracts!$A$2:$A$151,$AB60),IF($Z60="A","Generated from "&amp;INDEX(Fixed_Assets!$A$2:$A$201,$AB60),IF($Z60="F","Generated from "&amp;INDEX(FTE_Allocation!$A$2:$A$201,$AB60),"")))</f>
        <v/>
      </c>
      <c r="X60" s="19">
        <f>IF($Z60="","",SUM(J60:U60))</f>
        <v/>
      </c>
      <c r="Y60" s="20">
        <f>ROW()-1</f>
        <v/>
      </c>
      <c r="Z60" s="20">
        <f>IF($Y60&lt;=Settings!$B$4*3,"C",IF($Y60&lt;=(Settings!$B$4+Settings!$B$5)*3,"A",IF($Y60&lt;=(Settings!$B$4+Settings!$B$5+Settings!$B$6)*3,"F","")))</f>
        <v/>
      </c>
      <c r="AA60" s="20">
        <f>IF($Z60="C",$Y60,IF($Z60="A",$Y60-Settings!$B$4*3,IF($Z60="F",$Y60-(Settings!$B$4+Settings!$B$5)*3,"")))</f>
        <v/>
      </c>
      <c r="AB60" s="20">
        <f>IF($Z60="","",INT(($AA60-1)/3)+1)</f>
        <v/>
      </c>
      <c r="AC60" s="20">
        <f>IF($Z60="","",MOD($AA60-1,3)+1)</f>
        <v/>
      </c>
      <c r="AD60" s="20">
        <f>IF($Z60="","",Settings!$B$2+$AC60-1)</f>
        <v/>
      </c>
      <c r="AE60" s="21">
        <f>IF($Z60="C",DATE(YEAR(INDEX(Contracts!$J$2:$J$151,$AB60)),MONTH(INDEX(Contracts!$J$2:$J$151,$AB60)),1),IF($Z60="A",DATE(YEAR(INDEX(Fixed_Assets!$G$2:$G$201,$AB60)),MONTH(INDEX(Fixed_Assets!$G$2:$G$201,$AB60)),1),IF($Z60="F",DATE(YEAR(MAX(N(INDEX(Workforce!$I$2:$I$151,MATCH(INDEX(FTE_Allocation!$A$2:$A$201,$AB60),Workforce!$A$2:$A$151,0))),N(INDEX(FTE_Allocation!$I$2:$I$201,$AB60)))),MONTH(MAX(N(INDEX(Workforce!$I$2:$I$151,MATCH(INDEX(FTE_Allocation!$A$2:$A$201,$AB60),Workforce!$A$2:$A$151,0))),N(INDEX(FTE_Allocation!$I$2:$I$201,$AB60)))),1),"")))</f>
        <v/>
      </c>
      <c r="AF60" s="21">
        <f>IF($Z60="C",IF(INDEX(Contracts!$I$2:$I$151,$AB60)="PREPAID",EDATE(DATE(YEAR(INDEX(Contracts!$J$2:$J$151,$AB60)),MONTH(INDEX(Contracts!$J$2:$J$151,$AB60)),1),IF(INDEX(Contracts!$N$2:$N$151,$AB60)="",12,INDEX(Contracts!$N$2:$N$151,$AB60))-1),IF(INDEX(Contracts!$I$2:$I$151,$AB60)="MONTHLY",IF(INDEX(Contracts!$K$2:$K$151,$AB60)="",2958101,INDEX(Contracts!$K$2:$K$151,$AB60)),0)),IF($Z60="A",EDATE(DATE(YEAR(INDEX(Fixed_Assets!$G$2:$G$201,$AB60)),MONTH(INDEX(Fixed_Assets!$G$2:$G$201,$AB60)),1),INDEX(Fixed_Assets!$J$2:$J$201,$AB60)-1),IF($Z60="F",MIN(IF(INDEX(Workforce!$J$2:$J$151,MATCH(INDEX(FTE_Allocation!$A$2:$A$201,$AB60),Workforce!$A$2:$A$151,0))="",2958101,INDEX(Workforce!$J$2:$J$151,MATCH(INDEX(FTE_Allocation!$A$2:$A$201,$AB60),Workforce!$A$2:$A$151,0))),IF(INDEX(FTE_Allocation!$J$2:$J$201,$AB60)="",2958101,INDEX(FTE_Allocation!$J$2:$J$201,$AB60))),"")))</f>
        <v/>
      </c>
      <c r="AG60" s="19">
        <f>IF($Z60="C",IF(INDEX(Contracts!$I$2:$I$151,$AB60)="PREPAID",INDEX(Contracts!$M$2:$M$151,$AB60)/IF(INDEX(Contracts!$N$2:$N$151,$AB60)="",12,INDEX(Contracts!$N$2:$N$151,$AB60)),IF(INDEX(Contracts!$I$2:$I$151,$AB60)="MONTHLY",INDEX(Contracts!$M$2:$M$151,$AB60),0))*(1-N(INDEX(Contracts!$O$2:$O$151,$AB60))),IF($Z60="A",INDEX(Fixed_Assets!$H$2:$H$201,$AB60)/INDEX(Fixed_Assets!$J$2:$J$201,$AB60),IF($Z60="F",INDEX(Workforce!$F$2:$F$151,MATCH(INDEX(FTE_Allocation!$A$2:$A$201,$AB60),Workforce!$A$2:$A$151,0))*N(INDEX(FTE_Allocation!$F$2:$H$201,$AB60,$AC60)),"")))</f>
        <v/>
      </c>
    </row>
    <row r="61">
      <c r="A61" s="7">
        <f>IF($Z61="","",$AD61)</f>
        <v/>
      </c>
      <c r="B61" s="7">
        <f>IF($Z61="C",INDEX(Contracts!$D$2:$D$151,$AB61)&amp;"",IF($Z61="A",INDEX(Fixed_Assets!$C$2:$C$201,$AB61)&amp;"",IF($Z61="F",INDEX(Workforce!$B$2:$B$151,MATCH(INDEX(FTE_Allocation!$A$2:$A$201,$AB61),Workforce!$A$2:$A$151,0))&amp;"","")))</f>
        <v/>
      </c>
      <c r="C61" s="7">
        <f>IF($Z61="C",INDEX(Contracts!$E$2:$E$151,$AB61)&amp;"",IF($Z61="A",INDEX(Fixed_Assets!$D$2:$D$201,$AB61)&amp;"",IF($Z61="F",INDEX(FTE_Allocation!$C$2:$C$201,$AB61)&amp;"","")))</f>
        <v/>
      </c>
      <c r="D61" s="7">
        <f>IF($Z61="C",INDEX(Contracts!$B$2:$B$151,$AB61)&amp;"",IF($Z61="A",INDEX(Fixed_Assets!$B$2:$B$201,$AB61)&amp;"",IF($Z61="F",INDEX(FTE_Allocation!$B$2:$B$201,$AB61)&amp;"","")))</f>
        <v/>
      </c>
      <c r="E61" s="7">
        <f>IF($Z61="C",INDEX(Contracts!$P$2:$P$151,$AB61)&amp;"",IF($Z61="A",INDEX(Fixed_Assets!$K$2:$K$201,$AB61)&amp;"",IF($Z61="F",IF(INDEX(FTE_Allocation!$D$2:$D$201,$AB61)="PROJECT",IFERROR(INDEX(Projects!$D:$D,MATCH(INDEX(FTE_Allocation!$E$2:$E$201,$AB61),Projects!$A:$A,0))&amp;"","#PROJECT?"),INDEX(FTE_Allocation!$E$2:$E$201,$AB61)&amp;""),"")))</f>
        <v/>
      </c>
      <c r="F61" s="7">
        <f>IF($Z61="C",INDEX(Contracts!$Q$2:$Q$151,$AB61)&amp;"",IF($Z61="A",INDEX(Fixed_Assets!$L$2:$L$201,$AB61)&amp;"",IF($Z61="F",INDEX(Workforce!$K$2:$K$151,MATCH(INDEX(FTE_Allocation!$A$2:$A$201,$AB61),Workforce!$A$2:$A$151,0))&amp;"","")))</f>
        <v/>
      </c>
      <c r="G61" s="7">
        <f>IF($Z61="C",INDEX(Contracts!$F$2:$F$151,$AB61)&amp;" / "&amp;INDEX(Contracts!$G$2:$G$151,$AB61),IF($Z61="A",INDEX(Fixed_Assets!$E$2:$E$201,$AB61)&amp;"",IF($Z61="F","Personnel "&amp;INDEX(FTE_Allocation!$A$2:$A$201,$AB61)&amp;IF(INDEX(FTE_Allocation!$D$2:$D$201,$AB61)="PROJECT"," ("&amp;INDEX(FTE_Allocation!$E$2:$E$201,$AB61)&amp;")",""),"")))</f>
        <v/>
      </c>
      <c r="H61" s="7">
        <f>IF($Z61="C","CONTRACT",IF($Z61="A","ASSET",IF($Z61="F","WORKFORCE","")))</f>
        <v/>
      </c>
      <c r="I61" s="7">
        <f>IF($Z61="C",INDEX(Contracts!$L$2:$L$151,$AB61)&amp;"",IF($Z61="A",INDEX(Fixed_Assets!$I$2:$I$201,$AB61)&amp;"",IF($Z61="F",INDEX(Workforce!$G$2:$G$151,MATCH(INDEX(FTE_Allocation!$A$2:$A$201,$AB61),Workforce!$A$2:$A$151,0))&amp;"","")))</f>
        <v/>
      </c>
      <c r="J61" s="18">
        <f>IF($Z61="","",IF(AND(DATE($AD61,1,1)&gt;=$AE61,DATE($AD61,1,1)&lt;=$AF61),ROUND($AG61,2),0))</f>
        <v/>
      </c>
      <c r="K61" s="18">
        <f>IF($Z61="","",IF(AND(DATE($AD61,2,1)&gt;=$AE61,DATE($AD61,2,1)&lt;=$AF61),ROUND($AG61,2),0))</f>
        <v/>
      </c>
      <c r="L61" s="18">
        <f>IF($Z61="","",IF(AND(DATE($AD61,3,1)&gt;=$AE61,DATE($AD61,3,1)&lt;=$AF61),ROUND($AG61,2),0))</f>
        <v/>
      </c>
      <c r="M61" s="18">
        <f>IF($Z61="","",IF(AND(DATE($AD61,4,1)&gt;=$AE61,DATE($AD61,4,1)&lt;=$AF61),ROUND($AG61,2),0))</f>
        <v/>
      </c>
      <c r="N61" s="18">
        <f>IF($Z61="","",IF(AND(DATE($AD61,5,1)&gt;=$AE61,DATE($AD61,5,1)&lt;=$AF61),ROUND($AG61,2),0))</f>
        <v/>
      </c>
      <c r="O61" s="18">
        <f>IF($Z61="","",IF(AND(DATE($AD61,6,1)&gt;=$AE61,DATE($AD61,6,1)&lt;=$AF61),ROUND($AG61,2),0))</f>
        <v/>
      </c>
      <c r="P61" s="18">
        <f>IF($Z61="","",IF(AND(DATE($AD61,7,1)&gt;=$AE61,DATE($AD61,7,1)&lt;=$AF61),ROUND($AG61,2),0))</f>
        <v/>
      </c>
      <c r="Q61" s="18">
        <f>IF($Z61="","",IF(AND(DATE($AD61,8,1)&gt;=$AE61,DATE($AD61,8,1)&lt;=$AF61),ROUND($AG61,2),0))</f>
        <v/>
      </c>
      <c r="R61" s="18">
        <f>IF($Z61="","",IF(AND(DATE($AD61,9,1)&gt;=$AE61,DATE($AD61,9,1)&lt;=$AF61),ROUND($AG61,2),0))</f>
        <v/>
      </c>
      <c r="S61" s="18">
        <f>IF($Z61="","",IF(AND(DATE($AD61,10,1)&gt;=$AE61,DATE($AD61,10,1)&lt;=$AF61),ROUND($AG61,2),0))</f>
        <v/>
      </c>
      <c r="T61" s="18">
        <f>IF($Z61="","",IF(AND(DATE($AD61,11,1)&gt;=$AE61,DATE($AD61,11,1)&lt;=$AF61),ROUND($AG61,2),0))</f>
        <v/>
      </c>
      <c r="U61" s="18">
        <f>IF($Z61="","",IF(AND(DATE($AD61,12,1)&gt;=$AE61,DATE($AD61,12,1)&lt;=$AF61),ROUND($AG61,2),0))</f>
        <v/>
      </c>
      <c r="V61" s="7">
        <f>IF($Z61="C","Generated from "&amp;INDEX(Contracts!$A$2:$A$151,$AB61),IF($Z61="A","Generated from "&amp;INDEX(Fixed_Assets!$A$2:$A$201,$AB61),IF($Z61="F","Generated from "&amp;INDEX(FTE_Allocation!$A$2:$A$201,$AB61),"")))</f>
        <v/>
      </c>
      <c r="X61" s="19">
        <f>IF($Z61="","",SUM(J61:U61))</f>
        <v/>
      </c>
      <c r="Y61" s="20">
        <f>ROW()-1</f>
        <v/>
      </c>
      <c r="Z61" s="20">
        <f>IF($Y61&lt;=Settings!$B$4*3,"C",IF($Y61&lt;=(Settings!$B$4+Settings!$B$5)*3,"A",IF($Y61&lt;=(Settings!$B$4+Settings!$B$5+Settings!$B$6)*3,"F","")))</f>
        <v/>
      </c>
      <c r="AA61" s="20">
        <f>IF($Z61="C",$Y61,IF($Z61="A",$Y61-Settings!$B$4*3,IF($Z61="F",$Y61-(Settings!$B$4+Settings!$B$5)*3,"")))</f>
        <v/>
      </c>
      <c r="AB61" s="20">
        <f>IF($Z61="","",INT(($AA61-1)/3)+1)</f>
        <v/>
      </c>
      <c r="AC61" s="20">
        <f>IF($Z61="","",MOD($AA61-1,3)+1)</f>
        <v/>
      </c>
      <c r="AD61" s="20">
        <f>IF($Z61="","",Settings!$B$2+$AC61-1)</f>
        <v/>
      </c>
      <c r="AE61" s="21">
        <f>IF($Z61="C",DATE(YEAR(INDEX(Contracts!$J$2:$J$151,$AB61)),MONTH(INDEX(Contracts!$J$2:$J$151,$AB61)),1),IF($Z61="A",DATE(YEAR(INDEX(Fixed_Assets!$G$2:$G$201,$AB61)),MONTH(INDEX(Fixed_Assets!$G$2:$G$201,$AB61)),1),IF($Z61="F",DATE(YEAR(MAX(N(INDEX(Workforce!$I$2:$I$151,MATCH(INDEX(FTE_Allocation!$A$2:$A$201,$AB61),Workforce!$A$2:$A$151,0))),N(INDEX(FTE_Allocation!$I$2:$I$201,$AB61)))),MONTH(MAX(N(INDEX(Workforce!$I$2:$I$151,MATCH(INDEX(FTE_Allocation!$A$2:$A$201,$AB61),Workforce!$A$2:$A$151,0))),N(INDEX(FTE_Allocation!$I$2:$I$201,$AB61)))),1),"")))</f>
        <v/>
      </c>
      <c r="AF61" s="21">
        <f>IF($Z61="C",IF(INDEX(Contracts!$I$2:$I$151,$AB61)="PREPAID",EDATE(DATE(YEAR(INDEX(Contracts!$J$2:$J$151,$AB61)),MONTH(INDEX(Contracts!$J$2:$J$151,$AB61)),1),IF(INDEX(Contracts!$N$2:$N$151,$AB61)="",12,INDEX(Contracts!$N$2:$N$151,$AB61))-1),IF(INDEX(Contracts!$I$2:$I$151,$AB61)="MONTHLY",IF(INDEX(Contracts!$K$2:$K$151,$AB61)="",2958101,INDEX(Contracts!$K$2:$K$151,$AB61)),0)),IF($Z61="A",EDATE(DATE(YEAR(INDEX(Fixed_Assets!$G$2:$G$201,$AB61)),MONTH(INDEX(Fixed_Assets!$G$2:$G$201,$AB61)),1),INDEX(Fixed_Assets!$J$2:$J$201,$AB61)-1),IF($Z61="F",MIN(IF(INDEX(Workforce!$J$2:$J$151,MATCH(INDEX(FTE_Allocation!$A$2:$A$201,$AB61),Workforce!$A$2:$A$151,0))="",2958101,INDEX(Workforce!$J$2:$J$151,MATCH(INDEX(FTE_Allocation!$A$2:$A$201,$AB61),Workforce!$A$2:$A$151,0))),IF(INDEX(FTE_Allocation!$J$2:$J$201,$AB61)="",2958101,INDEX(FTE_Allocation!$J$2:$J$201,$AB61))),"")))</f>
        <v/>
      </c>
      <c r="AG61" s="19">
        <f>IF($Z61="C",IF(INDEX(Contracts!$I$2:$I$151,$AB61)="PREPAID",INDEX(Contracts!$M$2:$M$151,$AB61)/IF(INDEX(Contracts!$N$2:$N$151,$AB61)="",12,INDEX(Contracts!$N$2:$N$151,$AB61)),IF(INDEX(Contracts!$I$2:$I$151,$AB61)="MONTHLY",INDEX(Contracts!$M$2:$M$151,$AB61),0))*(1-N(INDEX(Contracts!$O$2:$O$151,$AB61))),IF($Z61="A",INDEX(Fixed_Assets!$H$2:$H$201,$AB61)/INDEX(Fixed_Assets!$J$2:$J$201,$AB61),IF($Z61="F",INDEX(Workforce!$F$2:$F$151,MATCH(INDEX(FTE_Allocation!$A$2:$A$201,$AB61),Workforce!$A$2:$A$151,0))*N(INDEX(FTE_Allocation!$F$2:$H$201,$AB61,$AC61)),"")))</f>
        <v/>
      </c>
    </row>
    <row r="62">
      <c r="A62" s="7">
        <f>IF($Z62="","",$AD62)</f>
        <v/>
      </c>
      <c r="B62" s="7">
        <f>IF($Z62="C",INDEX(Contracts!$D$2:$D$151,$AB62)&amp;"",IF($Z62="A",INDEX(Fixed_Assets!$C$2:$C$201,$AB62)&amp;"",IF($Z62="F",INDEX(Workforce!$B$2:$B$151,MATCH(INDEX(FTE_Allocation!$A$2:$A$201,$AB62),Workforce!$A$2:$A$151,0))&amp;"","")))</f>
        <v/>
      </c>
      <c r="C62" s="7">
        <f>IF($Z62="C",INDEX(Contracts!$E$2:$E$151,$AB62)&amp;"",IF($Z62="A",INDEX(Fixed_Assets!$D$2:$D$201,$AB62)&amp;"",IF($Z62="F",INDEX(FTE_Allocation!$C$2:$C$201,$AB62)&amp;"","")))</f>
        <v/>
      </c>
      <c r="D62" s="7">
        <f>IF($Z62="C",INDEX(Contracts!$B$2:$B$151,$AB62)&amp;"",IF($Z62="A",INDEX(Fixed_Assets!$B$2:$B$201,$AB62)&amp;"",IF($Z62="F",INDEX(FTE_Allocation!$B$2:$B$201,$AB62)&amp;"","")))</f>
        <v/>
      </c>
      <c r="E62" s="7">
        <f>IF($Z62="C",INDEX(Contracts!$P$2:$P$151,$AB62)&amp;"",IF($Z62="A",INDEX(Fixed_Assets!$K$2:$K$201,$AB62)&amp;"",IF($Z62="F",IF(INDEX(FTE_Allocation!$D$2:$D$201,$AB62)="PROJECT",IFERROR(INDEX(Projects!$D:$D,MATCH(INDEX(FTE_Allocation!$E$2:$E$201,$AB62),Projects!$A:$A,0))&amp;"","#PROJECT?"),INDEX(FTE_Allocation!$E$2:$E$201,$AB62)&amp;""),"")))</f>
        <v/>
      </c>
      <c r="F62" s="7">
        <f>IF($Z62="C",INDEX(Contracts!$Q$2:$Q$151,$AB62)&amp;"",IF($Z62="A",INDEX(Fixed_Assets!$L$2:$L$201,$AB62)&amp;"",IF($Z62="F",INDEX(Workforce!$K$2:$K$151,MATCH(INDEX(FTE_Allocation!$A$2:$A$201,$AB62),Workforce!$A$2:$A$151,0))&amp;"","")))</f>
        <v/>
      </c>
      <c r="G62" s="7">
        <f>IF($Z62="C",INDEX(Contracts!$F$2:$F$151,$AB62)&amp;" / "&amp;INDEX(Contracts!$G$2:$G$151,$AB62),IF($Z62="A",INDEX(Fixed_Assets!$E$2:$E$201,$AB62)&amp;"",IF($Z62="F","Personnel "&amp;INDEX(FTE_Allocation!$A$2:$A$201,$AB62)&amp;IF(INDEX(FTE_Allocation!$D$2:$D$201,$AB62)="PROJECT"," ("&amp;INDEX(FTE_Allocation!$E$2:$E$201,$AB62)&amp;")",""),"")))</f>
        <v/>
      </c>
      <c r="H62" s="7">
        <f>IF($Z62="C","CONTRACT",IF($Z62="A","ASSET",IF($Z62="F","WORKFORCE","")))</f>
        <v/>
      </c>
      <c r="I62" s="7">
        <f>IF($Z62="C",INDEX(Contracts!$L$2:$L$151,$AB62)&amp;"",IF($Z62="A",INDEX(Fixed_Assets!$I$2:$I$201,$AB62)&amp;"",IF($Z62="F",INDEX(Workforce!$G$2:$G$151,MATCH(INDEX(FTE_Allocation!$A$2:$A$201,$AB62),Workforce!$A$2:$A$151,0))&amp;"","")))</f>
        <v/>
      </c>
      <c r="J62" s="18">
        <f>IF($Z62="","",IF(AND(DATE($AD62,1,1)&gt;=$AE62,DATE($AD62,1,1)&lt;=$AF62),ROUND($AG62,2),0))</f>
        <v/>
      </c>
      <c r="K62" s="18">
        <f>IF($Z62="","",IF(AND(DATE($AD62,2,1)&gt;=$AE62,DATE($AD62,2,1)&lt;=$AF62),ROUND($AG62,2),0))</f>
        <v/>
      </c>
      <c r="L62" s="18">
        <f>IF($Z62="","",IF(AND(DATE($AD62,3,1)&gt;=$AE62,DATE($AD62,3,1)&lt;=$AF62),ROUND($AG62,2),0))</f>
        <v/>
      </c>
      <c r="M62" s="18">
        <f>IF($Z62="","",IF(AND(DATE($AD62,4,1)&gt;=$AE62,DATE($AD62,4,1)&lt;=$AF62),ROUND($AG62,2),0))</f>
        <v/>
      </c>
      <c r="N62" s="18">
        <f>IF($Z62="","",IF(AND(DATE($AD62,5,1)&gt;=$AE62,DATE($AD62,5,1)&lt;=$AF62),ROUND($AG62,2),0))</f>
        <v/>
      </c>
      <c r="O62" s="18">
        <f>IF($Z62="","",IF(AND(DATE($AD62,6,1)&gt;=$AE62,DATE($AD62,6,1)&lt;=$AF62),ROUND($AG62,2),0))</f>
        <v/>
      </c>
      <c r="P62" s="18">
        <f>IF($Z62="","",IF(AND(DATE($AD62,7,1)&gt;=$AE62,DATE($AD62,7,1)&lt;=$AF62),ROUND($AG62,2),0))</f>
        <v/>
      </c>
      <c r="Q62" s="18">
        <f>IF($Z62="","",IF(AND(DATE($AD62,8,1)&gt;=$AE62,DATE($AD62,8,1)&lt;=$AF62),ROUND($AG62,2),0))</f>
        <v/>
      </c>
      <c r="R62" s="18">
        <f>IF($Z62="","",IF(AND(DATE($AD62,9,1)&gt;=$AE62,DATE($AD62,9,1)&lt;=$AF62),ROUND($AG62,2),0))</f>
        <v/>
      </c>
      <c r="S62" s="18">
        <f>IF($Z62="","",IF(AND(DATE($AD62,10,1)&gt;=$AE62,DATE($AD62,10,1)&lt;=$AF62),ROUND($AG62,2),0))</f>
        <v/>
      </c>
      <c r="T62" s="18">
        <f>IF($Z62="","",IF(AND(DATE($AD62,11,1)&gt;=$AE62,DATE($AD62,11,1)&lt;=$AF62),ROUND($AG62,2),0))</f>
        <v/>
      </c>
      <c r="U62" s="18">
        <f>IF($Z62="","",IF(AND(DATE($AD62,12,1)&gt;=$AE62,DATE($AD62,12,1)&lt;=$AF62),ROUND($AG62,2),0))</f>
        <v/>
      </c>
      <c r="V62" s="7">
        <f>IF($Z62="C","Generated from "&amp;INDEX(Contracts!$A$2:$A$151,$AB62),IF($Z62="A","Generated from "&amp;INDEX(Fixed_Assets!$A$2:$A$201,$AB62),IF($Z62="F","Generated from "&amp;INDEX(FTE_Allocation!$A$2:$A$201,$AB62),"")))</f>
        <v/>
      </c>
      <c r="X62" s="19">
        <f>IF($Z62="","",SUM(J62:U62))</f>
        <v/>
      </c>
      <c r="Y62" s="20">
        <f>ROW()-1</f>
        <v/>
      </c>
      <c r="Z62" s="20">
        <f>IF($Y62&lt;=Settings!$B$4*3,"C",IF($Y62&lt;=(Settings!$B$4+Settings!$B$5)*3,"A",IF($Y62&lt;=(Settings!$B$4+Settings!$B$5+Settings!$B$6)*3,"F","")))</f>
        <v/>
      </c>
      <c r="AA62" s="20">
        <f>IF($Z62="C",$Y62,IF($Z62="A",$Y62-Settings!$B$4*3,IF($Z62="F",$Y62-(Settings!$B$4+Settings!$B$5)*3,"")))</f>
        <v/>
      </c>
      <c r="AB62" s="20">
        <f>IF($Z62="","",INT(($AA62-1)/3)+1)</f>
        <v/>
      </c>
      <c r="AC62" s="20">
        <f>IF($Z62="","",MOD($AA62-1,3)+1)</f>
        <v/>
      </c>
      <c r="AD62" s="20">
        <f>IF($Z62="","",Settings!$B$2+$AC62-1)</f>
        <v/>
      </c>
      <c r="AE62" s="21">
        <f>IF($Z62="C",DATE(YEAR(INDEX(Contracts!$J$2:$J$151,$AB62)),MONTH(INDEX(Contracts!$J$2:$J$151,$AB62)),1),IF($Z62="A",DATE(YEAR(INDEX(Fixed_Assets!$G$2:$G$201,$AB62)),MONTH(INDEX(Fixed_Assets!$G$2:$G$201,$AB62)),1),IF($Z62="F",DATE(YEAR(MAX(N(INDEX(Workforce!$I$2:$I$151,MATCH(INDEX(FTE_Allocation!$A$2:$A$201,$AB62),Workforce!$A$2:$A$151,0))),N(INDEX(FTE_Allocation!$I$2:$I$201,$AB62)))),MONTH(MAX(N(INDEX(Workforce!$I$2:$I$151,MATCH(INDEX(FTE_Allocation!$A$2:$A$201,$AB62),Workforce!$A$2:$A$151,0))),N(INDEX(FTE_Allocation!$I$2:$I$201,$AB62)))),1),"")))</f>
        <v/>
      </c>
      <c r="AF62" s="21">
        <f>IF($Z62="C",IF(INDEX(Contracts!$I$2:$I$151,$AB62)="PREPAID",EDATE(DATE(YEAR(INDEX(Contracts!$J$2:$J$151,$AB62)),MONTH(INDEX(Contracts!$J$2:$J$151,$AB62)),1),IF(INDEX(Contracts!$N$2:$N$151,$AB62)="",12,INDEX(Contracts!$N$2:$N$151,$AB62))-1),IF(INDEX(Contracts!$I$2:$I$151,$AB62)="MONTHLY",IF(INDEX(Contracts!$K$2:$K$151,$AB62)="",2958101,INDEX(Contracts!$K$2:$K$151,$AB62)),0)),IF($Z62="A",EDATE(DATE(YEAR(INDEX(Fixed_Assets!$G$2:$G$201,$AB62)),MONTH(INDEX(Fixed_Assets!$G$2:$G$201,$AB62)),1),INDEX(Fixed_Assets!$J$2:$J$201,$AB62)-1),IF($Z62="F",MIN(IF(INDEX(Workforce!$J$2:$J$151,MATCH(INDEX(FTE_Allocation!$A$2:$A$201,$AB62),Workforce!$A$2:$A$151,0))="",2958101,INDEX(Workforce!$J$2:$J$151,MATCH(INDEX(FTE_Allocation!$A$2:$A$201,$AB62),Workforce!$A$2:$A$151,0))),IF(INDEX(FTE_Allocation!$J$2:$J$201,$AB62)="",2958101,INDEX(FTE_Allocation!$J$2:$J$201,$AB62))),"")))</f>
        <v/>
      </c>
      <c r="AG62" s="19">
        <f>IF($Z62="C",IF(INDEX(Contracts!$I$2:$I$151,$AB62)="PREPAID",INDEX(Contracts!$M$2:$M$151,$AB62)/IF(INDEX(Contracts!$N$2:$N$151,$AB62)="",12,INDEX(Contracts!$N$2:$N$151,$AB62)),IF(INDEX(Contracts!$I$2:$I$151,$AB62)="MONTHLY",INDEX(Contracts!$M$2:$M$151,$AB62),0))*(1-N(INDEX(Contracts!$O$2:$O$151,$AB62))),IF($Z62="A",INDEX(Fixed_Assets!$H$2:$H$201,$AB62)/INDEX(Fixed_Assets!$J$2:$J$201,$AB62),IF($Z62="F",INDEX(Workforce!$F$2:$F$151,MATCH(INDEX(FTE_Allocation!$A$2:$A$201,$AB62),Workforce!$A$2:$A$151,0))*N(INDEX(FTE_Allocation!$F$2:$H$201,$AB62,$AC62)),"")))</f>
        <v/>
      </c>
    </row>
    <row r="63">
      <c r="A63" s="7">
        <f>IF($Z63="","",$AD63)</f>
        <v/>
      </c>
      <c r="B63" s="7">
        <f>IF($Z63="C",INDEX(Contracts!$D$2:$D$151,$AB63)&amp;"",IF($Z63="A",INDEX(Fixed_Assets!$C$2:$C$201,$AB63)&amp;"",IF($Z63="F",INDEX(Workforce!$B$2:$B$151,MATCH(INDEX(FTE_Allocation!$A$2:$A$201,$AB63),Workforce!$A$2:$A$151,0))&amp;"","")))</f>
        <v/>
      </c>
      <c r="C63" s="7">
        <f>IF($Z63="C",INDEX(Contracts!$E$2:$E$151,$AB63)&amp;"",IF($Z63="A",INDEX(Fixed_Assets!$D$2:$D$201,$AB63)&amp;"",IF($Z63="F",INDEX(FTE_Allocation!$C$2:$C$201,$AB63)&amp;"","")))</f>
        <v/>
      </c>
      <c r="D63" s="7">
        <f>IF($Z63="C",INDEX(Contracts!$B$2:$B$151,$AB63)&amp;"",IF($Z63="A",INDEX(Fixed_Assets!$B$2:$B$201,$AB63)&amp;"",IF($Z63="F",INDEX(FTE_Allocation!$B$2:$B$201,$AB63)&amp;"","")))</f>
        <v/>
      </c>
      <c r="E63" s="7">
        <f>IF($Z63="C",INDEX(Contracts!$P$2:$P$151,$AB63)&amp;"",IF($Z63="A",INDEX(Fixed_Assets!$K$2:$K$201,$AB63)&amp;"",IF($Z63="F",IF(INDEX(FTE_Allocation!$D$2:$D$201,$AB63)="PROJECT",IFERROR(INDEX(Projects!$D:$D,MATCH(INDEX(FTE_Allocation!$E$2:$E$201,$AB63),Projects!$A:$A,0))&amp;"","#PROJECT?"),INDEX(FTE_Allocation!$E$2:$E$201,$AB63)&amp;""),"")))</f>
        <v/>
      </c>
      <c r="F63" s="7">
        <f>IF($Z63="C",INDEX(Contracts!$Q$2:$Q$151,$AB63)&amp;"",IF($Z63="A",INDEX(Fixed_Assets!$L$2:$L$201,$AB63)&amp;"",IF($Z63="F",INDEX(Workforce!$K$2:$K$151,MATCH(INDEX(FTE_Allocation!$A$2:$A$201,$AB63),Workforce!$A$2:$A$151,0))&amp;"","")))</f>
        <v/>
      </c>
      <c r="G63" s="7">
        <f>IF($Z63="C",INDEX(Contracts!$F$2:$F$151,$AB63)&amp;" / "&amp;INDEX(Contracts!$G$2:$G$151,$AB63),IF($Z63="A",INDEX(Fixed_Assets!$E$2:$E$201,$AB63)&amp;"",IF($Z63="F","Personnel "&amp;INDEX(FTE_Allocation!$A$2:$A$201,$AB63)&amp;IF(INDEX(FTE_Allocation!$D$2:$D$201,$AB63)="PROJECT"," ("&amp;INDEX(FTE_Allocation!$E$2:$E$201,$AB63)&amp;")",""),"")))</f>
        <v/>
      </c>
      <c r="H63" s="7">
        <f>IF($Z63="C","CONTRACT",IF($Z63="A","ASSET",IF($Z63="F","WORKFORCE","")))</f>
        <v/>
      </c>
      <c r="I63" s="7">
        <f>IF($Z63="C",INDEX(Contracts!$L$2:$L$151,$AB63)&amp;"",IF($Z63="A",INDEX(Fixed_Assets!$I$2:$I$201,$AB63)&amp;"",IF($Z63="F",INDEX(Workforce!$G$2:$G$151,MATCH(INDEX(FTE_Allocation!$A$2:$A$201,$AB63),Workforce!$A$2:$A$151,0))&amp;"","")))</f>
        <v/>
      </c>
      <c r="J63" s="18">
        <f>IF($Z63="","",IF(AND(DATE($AD63,1,1)&gt;=$AE63,DATE($AD63,1,1)&lt;=$AF63),ROUND($AG63,2),0))</f>
        <v/>
      </c>
      <c r="K63" s="18">
        <f>IF($Z63="","",IF(AND(DATE($AD63,2,1)&gt;=$AE63,DATE($AD63,2,1)&lt;=$AF63),ROUND($AG63,2),0))</f>
        <v/>
      </c>
      <c r="L63" s="18">
        <f>IF($Z63="","",IF(AND(DATE($AD63,3,1)&gt;=$AE63,DATE($AD63,3,1)&lt;=$AF63),ROUND($AG63,2),0))</f>
        <v/>
      </c>
      <c r="M63" s="18">
        <f>IF($Z63="","",IF(AND(DATE($AD63,4,1)&gt;=$AE63,DATE($AD63,4,1)&lt;=$AF63),ROUND($AG63,2),0))</f>
        <v/>
      </c>
      <c r="N63" s="18">
        <f>IF($Z63="","",IF(AND(DATE($AD63,5,1)&gt;=$AE63,DATE($AD63,5,1)&lt;=$AF63),ROUND($AG63,2),0))</f>
        <v/>
      </c>
      <c r="O63" s="18">
        <f>IF($Z63="","",IF(AND(DATE($AD63,6,1)&gt;=$AE63,DATE($AD63,6,1)&lt;=$AF63),ROUND($AG63,2),0))</f>
        <v/>
      </c>
      <c r="P63" s="18">
        <f>IF($Z63="","",IF(AND(DATE($AD63,7,1)&gt;=$AE63,DATE($AD63,7,1)&lt;=$AF63),ROUND($AG63,2),0))</f>
        <v/>
      </c>
      <c r="Q63" s="18">
        <f>IF($Z63="","",IF(AND(DATE($AD63,8,1)&gt;=$AE63,DATE($AD63,8,1)&lt;=$AF63),ROUND($AG63,2),0))</f>
        <v/>
      </c>
      <c r="R63" s="18">
        <f>IF($Z63="","",IF(AND(DATE($AD63,9,1)&gt;=$AE63,DATE($AD63,9,1)&lt;=$AF63),ROUND($AG63,2),0))</f>
        <v/>
      </c>
      <c r="S63" s="18">
        <f>IF($Z63="","",IF(AND(DATE($AD63,10,1)&gt;=$AE63,DATE($AD63,10,1)&lt;=$AF63),ROUND($AG63,2),0))</f>
        <v/>
      </c>
      <c r="T63" s="18">
        <f>IF($Z63="","",IF(AND(DATE($AD63,11,1)&gt;=$AE63,DATE($AD63,11,1)&lt;=$AF63),ROUND($AG63,2),0))</f>
        <v/>
      </c>
      <c r="U63" s="18">
        <f>IF($Z63="","",IF(AND(DATE($AD63,12,1)&gt;=$AE63,DATE($AD63,12,1)&lt;=$AF63),ROUND($AG63,2),0))</f>
        <v/>
      </c>
      <c r="V63" s="7">
        <f>IF($Z63="C","Generated from "&amp;INDEX(Contracts!$A$2:$A$151,$AB63),IF($Z63="A","Generated from "&amp;INDEX(Fixed_Assets!$A$2:$A$201,$AB63),IF($Z63="F","Generated from "&amp;INDEX(FTE_Allocation!$A$2:$A$201,$AB63),"")))</f>
        <v/>
      </c>
      <c r="X63" s="19">
        <f>IF($Z63="","",SUM(J63:U63))</f>
        <v/>
      </c>
      <c r="Y63" s="20">
        <f>ROW()-1</f>
        <v/>
      </c>
      <c r="Z63" s="20">
        <f>IF($Y63&lt;=Settings!$B$4*3,"C",IF($Y63&lt;=(Settings!$B$4+Settings!$B$5)*3,"A",IF($Y63&lt;=(Settings!$B$4+Settings!$B$5+Settings!$B$6)*3,"F","")))</f>
        <v/>
      </c>
      <c r="AA63" s="20">
        <f>IF($Z63="C",$Y63,IF($Z63="A",$Y63-Settings!$B$4*3,IF($Z63="F",$Y63-(Settings!$B$4+Settings!$B$5)*3,"")))</f>
        <v/>
      </c>
      <c r="AB63" s="20">
        <f>IF($Z63="","",INT(($AA63-1)/3)+1)</f>
        <v/>
      </c>
      <c r="AC63" s="20">
        <f>IF($Z63="","",MOD($AA63-1,3)+1)</f>
        <v/>
      </c>
      <c r="AD63" s="20">
        <f>IF($Z63="","",Settings!$B$2+$AC63-1)</f>
        <v/>
      </c>
      <c r="AE63" s="21">
        <f>IF($Z63="C",DATE(YEAR(INDEX(Contracts!$J$2:$J$151,$AB63)),MONTH(INDEX(Contracts!$J$2:$J$151,$AB63)),1),IF($Z63="A",DATE(YEAR(INDEX(Fixed_Assets!$G$2:$G$201,$AB63)),MONTH(INDEX(Fixed_Assets!$G$2:$G$201,$AB63)),1),IF($Z63="F",DATE(YEAR(MAX(N(INDEX(Workforce!$I$2:$I$151,MATCH(INDEX(FTE_Allocation!$A$2:$A$201,$AB63),Workforce!$A$2:$A$151,0))),N(INDEX(FTE_Allocation!$I$2:$I$201,$AB63)))),MONTH(MAX(N(INDEX(Workforce!$I$2:$I$151,MATCH(INDEX(FTE_Allocation!$A$2:$A$201,$AB63),Workforce!$A$2:$A$151,0))),N(INDEX(FTE_Allocation!$I$2:$I$201,$AB63)))),1),"")))</f>
        <v/>
      </c>
      <c r="AF63" s="21">
        <f>IF($Z63="C",IF(INDEX(Contracts!$I$2:$I$151,$AB63)="PREPAID",EDATE(DATE(YEAR(INDEX(Contracts!$J$2:$J$151,$AB63)),MONTH(INDEX(Contracts!$J$2:$J$151,$AB63)),1),IF(INDEX(Contracts!$N$2:$N$151,$AB63)="",12,INDEX(Contracts!$N$2:$N$151,$AB63))-1),IF(INDEX(Contracts!$I$2:$I$151,$AB63)="MONTHLY",IF(INDEX(Contracts!$K$2:$K$151,$AB63)="",2958101,INDEX(Contracts!$K$2:$K$151,$AB63)),0)),IF($Z63="A",EDATE(DATE(YEAR(INDEX(Fixed_Assets!$G$2:$G$201,$AB63)),MONTH(INDEX(Fixed_Assets!$G$2:$G$201,$AB63)),1),INDEX(Fixed_Assets!$J$2:$J$201,$AB63)-1),IF($Z63="F",MIN(IF(INDEX(Workforce!$J$2:$J$151,MATCH(INDEX(FTE_Allocation!$A$2:$A$201,$AB63),Workforce!$A$2:$A$151,0))="",2958101,INDEX(Workforce!$J$2:$J$151,MATCH(INDEX(FTE_Allocation!$A$2:$A$201,$AB63),Workforce!$A$2:$A$151,0))),IF(INDEX(FTE_Allocation!$J$2:$J$201,$AB63)="",2958101,INDEX(FTE_Allocation!$J$2:$J$201,$AB63))),"")))</f>
        <v/>
      </c>
      <c r="AG63" s="19">
        <f>IF($Z63="C",IF(INDEX(Contracts!$I$2:$I$151,$AB63)="PREPAID",INDEX(Contracts!$M$2:$M$151,$AB63)/IF(INDEX(Contracts!$N$2:$N$151,$AB63)="",12,INDEX(Contracts!$N$2:$N$151,$AB63)),IF(INDEX(Contracts!$I$2:$I$151,$AB63)="MONTHLY",INDEX(Contracts!$M$2:$M$151,$AB63),0))*(1-N(INDEX(Contracts!$O$2:$O$151,$AB63))),IF($Z63="A",INDEX(Fixed_Assets!$H$2:$H$201,$AB63)/INDEX(Fixed_Assets!$J$2:$J$201,$AB63),IF($Z63="F",INDEX(Workforce!$F$2:$F$151,MATCH(INDEX(FTE_Allocation!$A$2:$A$201,$AB63),Workforce!$A$2:$A$151,0))*N(INDEX(FTE_Allocation!$F$2:$H$201,$AB63,$AC63)),"")))</f>
        <v/>
      </c>
    </row>
    <row r="64">
      <c r="A64" s="7">
        <f>IF($Z64="","",$AD64)</f>
        <v/>
      </c>
      <c r="B64" s="7">
        <f>IF($Z64="C",INDEX(Contracts!$D$2:$D$151,$AB64)&amp;"",IF($Z64="A",INDEX(Fixed_Assets!$C$2:$C$201,$AB64)&amp;"",IF($Z64="F",INDEX(Workforce!$B$2:$B$151,MATCH(INDEX(FTE_Allocation!$A$2:$A$201,$AB64),Workforce!$A$2:$A$151,0))&amp;"","")))</f>
        <v/>
      </c>
      <c r="C64" s="7">
        <f>IF($Z64="C",INDEX(Contracts!$E$2:$E$151,$AB64)&amp;"",IF($Z64="A",INDEX(Fixed_Assets!$D$2:$D$201,$AB64)&amp;"",IF($Z64="F",INDEX(FTE_Allocation!$C$2:$C$201,$AB64)&amp;"","")))</f>
        <v/>
      </c>
      <c r="D64" s="7">
        <f>IF($Z64="C",INDEX(Contracts!$B$2:$B$151,$AB64)&amp;"",IF($Z64="A",INDEX(Fixed_Assets!$B$2:$B$201,$AB64)&amp;"",IF($Z64="F",INDEX(FTE_Allocation!$B$2:$B$201,$AB64)&amp;"","")))</f>
        <v/>
      </c>
      <c r="E64" s="7">
        <f>IF($Z64="C",INDEX(Contracts!$P$2:$P$151,$AB64)&amp;"",IF($Z64="A",INDEX(Fixed_Assets!$K$2:$K$201,$AB64)&amp;"",IF($Z64="F",IF(INDEX(FTE_Allocation!$D$2:$D$201,$AB64)="PROJECT",IFERROR(INDEX(Projects!$D:$D,MATCH(INDEX(FTE_Allocation!$E$2:$E$201,$AB64),Projects!$A:$A,0))&amp;"","#PROJECT?"),INDEX(FTE_Allocation!$E$2:$E$201,$AB64)&amp;""),"")))</f>
        <v/>
      </c>
      <c r="F64" s="7">
        <f>IF($Z64="C",INDEX(Contracts!$Q$2:$Q$151,$AB64)&amp;"",IF($Z64="A",INDEX(Fixed_Assets!$L$2:$L$201,$AB64)&amp;"",IF($Z64="F",INDEX(Workforce!$K$2:$K$151,MATCH(INDEX(FTE_Allocation!$A$2:$A$201,$AB64),Workforce!$A$2:$A$151,0))&amp;"","")))</f>
        <v/>
      </c>
      <c r="G64" s="7">
        <f>IF($Z64="C",INDEX(Contracts!$F$2:$F$151,$AB64)&amp;" / "&amp;INDEX(Contracts!$G$2:$G$151,$AB64),IF($Z64="A",INDEX(Fixed_Assets!$E$2:$E$201,$AB64)&amp;"",IF($Z64="F","Personnel "&amp;INDEX(FTE_Allocation!$A$2:$A$201,$AB64)&amp;IF(INDEX(FTE_Allocation!$D$2:$D$201,$AB64)="PROJECT"," ("&amp;INDEX(FTE_Allocation!$E$2:$E$201,$AB64)&amp;")",""),"")))</f>
        <v/>
      </c>
      <c r="H64" s="7">
        <f>IF($Z64="C","CONTRACT",IF($Z64="A","ASSET",IF($Z64="F","WORKFORCE","")))</f>
        <v/>
      </c>
      <c r="I64" s="7">
        <f>IF($Z64="C",INDEX(Contracts!$L$2:$L$151,$AB64)&amp;"",IF($Z64="A",INDEX(Fixed_Assets!$I$2:$I$201,$AB64)&amp;"",IF($Z64="F",INDEX(Workforce!$G$2:$G$151,MATCH(INDEX(FTE_Allocation!$A$2:$A$201,$AB64),Workforce!$A$2:$A$151,0))&amp;"","")))</f>
        <v/>
      </c>
      <c r="J64" s="18">
        <f>IF($Z64="","",IF(AND(DATE($AD64,1,1)&gt;=$AE64,DATE($AD64,1,1)&lt;=$AF64),ROUND($AG64,2),0))</f>
        <v/>
      </c>
      <c r="K64" s="18">
        <f>IF($Z64="","",IF(AND(DATE($AD64,2,1)&gt;=$AE64,DATE($AD64,2,1)&lt;=$AF64),ROUND($AG64,2),0))</f>
        <v/>
      </c>
      <c r="L64" s="18">
        <f>IF($Z64="","",IF(AND(DATE($AD64,3,1)&gt;=$AE64,DATE($AD64,3,1)&lt;=$AF64),ROUND($AG64,2),0))</f>
        <v/>
      </c>
      <c r="M64" s="18">
        <f>IF($Z64="","",IF(AND(DATE($AD64,4,1)&gt;=$AE64,DATE($AD64,4,1)&lt;=$AF64),ROUND($AG64,2),0))</f>
        <v/>
      </c>
      <c r="N64" s="18">
        <f>IF($Z64="","",IF(AND(DATE($AD64,5,1)&gt;=$AE64,DATE($AD64,5,1)&lt;=$AF64),ROUND($AG64,2),0))</f>
        <v/>
      </c>
      <c r="O64" s="18">
        <f>IF($Z64="","",IF(AND(DATE($AD64,6,1)&gt;=$AE64,DATE($AD64,6,1)&lt;=$AF64),ROUND($AG64,2),0))</f>
        <v/>
      </c>
      <c r="P64" s="18">
        <f>IF($Z64="","",IF(AND(DATE($AD64,7,1)&gt;=$AE64,DATE($AD64,7,1)&lt;=$AF64),ROUND($AG64,2),0))</f>
        <v/>
      </c>
      <c r="Q64" s="18">
        <f>IF($Z64="","",IF(AND(DATE($AD64,8,1)&gt;=$AE64,DATE($AD64,8,1)&lt;=$AF64),ROUND($AG64,2),0))</f>
        <v/>
      </c>
      <c r="R64" s="18">
        <f>IF($Z64="","",IF(AND(DATE($AD64,9,1)&gt;=$AE64,DATE($AD64,9,1)&lt;=$AF64),ROUND($AG64,2),0))</f>
        <v/>
      </c>
      <c r="S64" s="18">
        <f>IF($Z64="","",IF(AND(DATE($AD64,10,1)&gt;=$AE64,DATE($AD64,10,1)&lt;=$AF64),ROUND($AG64,2),0))</f>
        <v/>
      </c>
      <c r="T64" s="18">
        <f>IF($Z64="","",IF(AND(DATE($AD64,11,1)&gt;=$AE64,DATE($AD64,11,1)&lt;=$AF64),ROUND($AG64,2),0))</f>
        <v/>
      </c>
      <c r="U64" s="18">
        <f>IF($Z64="","",IF(AND(DATE($AD64,12,1)&gt;=$AE64,DATE($AD64,12,1)&lt;=$AF64),ROUND($AG64,2),0))</f>
        <v/>
      </c>
      <c r="V64" s="7">
        <f>IF($Z64="C","Generated from "&amp;INDEX(Contracts!$A$2:$A$151,$AB64),IF($Z64="A","Generated from "&amp;INDEX(Fixed_Assets!$A$2:$A$201,$AB64),IF($Z64="F","Generated from "&amp;INDEX(FTE_Allocation!$A$2:$A$201,$AB64),"")))</f>
        <v/>
      </c>
      <c r="X64" s="19">
        <f>IF($Z64="","",SUM(J64:U64))</f>
        <v/>
      </c>
      <c r="Y64" s="20">
        <f>ROW()-1</f>
        <v/>
      </c>
      <c r="Z64" s="20">
        <f>IF($Y64&lt;=Settings!$B$4*3,"C",IF($Y64&lt;=(Settings!$B$4+Settings!$B$5)*3,"A",IF($Y64&lt;=(Settings!$B$4+Settings!$B$5+Settings!$B$6)*3,"F","")))</f>
        <v/>
      </c>
      <c r="AA64" s="20">
        <f>IF($Z64="C",$Y64,IF($Z64="A",$Y64-Settings!$B$4*3,IF($Z64="F",$Y64-(Settings!$B$4+Settings!$B$5)*3,"")))</f>
        <v/>
      </c>
      <c r="AB64" s="20">
        <f>IF($Z64="","",INT(($AA64-1)/3)+1)</f>
        <v/>
      </c>
      <c r="AC64" s="20">
        <f>IF($Z64="","",MOD($AA64-1,3)+1)</f>
        <v/>
      </c>
      <c r="AD64" s="20">
        <f>IF($Z64="","",Settings!$B$2+$AC64-1)</f>
        <v/>
      </c>
      <c r="AE64" s="21">
        <f>IF($Z64="C",DATE(YEAR(INDEX(Contracts!$J$2:$J$151,$AB64)),MONTH(INDEX(Contracts!$J$2:$J$151,$AB64)),1),IF($Z64="A",DATE(YEAR(INDEX(Fixed_Assets!$G$2:$G$201,$AB64)),MONTH(INDEX(Fixed_Assets!$G$2:$G$201,$AB64)),1),IF($Z64="F",DATE(YEAR(MAX(N(INDEX(Workforce!$I$2:$I$151,MATCH(INDEX(FTE_Allocation!$A$2:$A$201,$AB64),Workforce!$A$2:$A$151,0))),N(INDEX(FTE_Allocation!$I$2:$I$201,$AB64)))),MONTH(MAX(N(INDEX(Workforce!$I$2:$I$151,MATCH(INDEX(FTE_Allocation!$A$2:$A$201,$AB64),Workforce!$A$2:$A$151,0))),N(INDEX(FTE_Allocation!$I$2:$I$201,$AB64)))),1),"")))</f>
        <v/>
      </c>
      <c r="AF64" s="21">
        <f>IF($Z64="C",IF(INDEX(Contracts!$I$2:$I$151,$AB64)="PREPAID",EDATE(DATE(YEAR(INDEX(Contracts!$J$2:$J$151,$AB64)),MONTH(INDEX(Contracts!$J$2:$J$151,$AB64)),1),IF(INDEX(Contracts!$N$2:$N$151,$AB64)="",12,INDEX(Contracts!$N$2:$N$151,$AB64))-1),IF(INDEX(Contracts!$I$2:$I$151,$AB64)="MONTHLY",IF(INDEX(Contracts!$K$2:$K$151,$AB64)="",2958101,INDEX(Contracts!$K$2:$K$151,$AB64)),0)),IF($Z64="A",EDATE(DATE(YEAR(INDEX(Fixed_Assets!$G$2:$G$201,$AB64)),MONTH(INDEX(Fixed_Assets!$G$2:$G$201,$AB64)),1),INDEX(Fixed_Assets!$J$2:$J$201,$AB64)-1),IF($Z64="F",MIN(IF(INDEX(Workforce!$J$2:$J$151,MATCH(INDEX(FTE_Allocation!$A$2:$A$201,$AB64),Workforce!$A$2:$A$151,0))="",2958101,INDEX(Workforce!$J$2:$J$151,MATCH(INDEX(FTE_Allocation!$A$2:$A$201,$AB64),Workforce!$A$2:$A$151,0))),IF(INDEX(FTE_Allocation!$J$2:$J$201,$AB64)="",2958101,INDEX(FTE_Allocation!$J$2:$J$201,$AB64))),"")))</f>
        <v/>
      </c>
      <c r="AG64" s="19">
        <f>IF($Z64="C",IF(INDEX(Contracts!$I$2:$I$151,$AB64)="PREPAID",INDEX(Contracts!$M$2:$M$151,$AB64)/IF(INDEX(Contracts!$N$2:$N$151,$AB64)="",12,INDEX(Contracts!$N$2:$N$151,$AB64)),IF(INDEX(Contracts!$I$2:$I$151,$AB64)="MONTHLY",INDEX(Contracts!$M$2:$M$151,$AB64),0))*(1-N(INDEX(Contracts!$O$2:$O$151,$AB64))),IF($Z64="A",INDEX(Fixed_Assets!$H$2:$H$201,$AB64)/INDEX(Fixed_Assets!$J$2:$J$201,$AB64),IF($Z64="F",INDEX(Workforce!$F$2:$F$151,MATCH(INDEX(FTE_Allocation!$A$2:$A$201,$AB64),Workforce!$A$2:$A$151,0))*N(INDEX(FTE_Allocation!$F$2:$H$201,$AB64,$AC64)),"")))</f>
        <v/>
      </c>
    </row>
    <row r="65">
      <c r="A65" s="7">
        <f>IF($Z65="","",$AD65)</f>
        <v/>
      </c>
      <c r="B65" s="7">
        <f>IF($Z65="C",INDEX(Contracts!$D$2:$D$151,$AB65)&amp;"",IF($Z65="A",INDEX(Fixed_Assets!$C$2:$C$201,$AB65)&amp;"",IF($Z65="F",INDEX(Workforce!$B$2:$B$151,MATCH(INDEX(FTE_Allocation!$A$2:$A$201,$AB65),Workforce!$A$2:$A$151,0))&amp;"","")))</f>
        <v/>
      </c>
      <c r="C65" s="7">
        <f>IF($Z65="C",INDEX(Contracts!$E$2:$E$151,$AB65)&amp;"",IF($Z65="A",INDEX(Fixed_Assets!$D$2:$D$201,$AB65)&amp;"",IF($Z65="F",INDEX(FTE_Allocation!$C$2:$C$201,$AB65)&amp;"","")))</f>
        <v/>
      </c>
      <c r="D65" s="7">
        <f>IF($Z65="C",INDEX(Contracts!$B$2:$B$151,$AB65)&amp;"",IF($Z65="A",INDEX(Fixed_Assets!$B$2:$B$201,$AB65)&amp;"",IF($Z65="F",INDEX(FTE_Allocation!$B$2:$B$201,$AB65)&amp;"","")))</f>
        <v/>
      </c>
      <c r="E65" s="7">
        <f>IF($Z65="C",INDEX(Contracts!$P$2:$P$151,$AB65)&amp;"",IF($Z65="A",INDEX(Fixed_Assets!$K$2:$K$201,$AB65)&amp;"",IF($Z65="F",IF(INDEX(FTE_Allocation!$D$2:$D$201,$AB65)="PROJECT",IFERROR(INDEX(Projects!$D:$D,MATCH(INDEX(FTE_Allocation!$E$2:$E$201,$AB65),Projects!$A:$A,0))&amp;"","#PROJECT?"),INDEX(FTE_Allocation!$E$2:$E$201,$AB65)&amp;""),"")))</f>
        <v/>
      </c>
      <c r="F65" s="7">
        <f>IF($Z65="C",INDEX(Contracts!$Q$2:$Q$151,$AB65)&amp;"",IF($Z65="A",INDEX(Fixed_Assets!$L$2:$L$201,$AB65)&amp;"",IF($Z65="F",INDEX(Workforce!$K$2:$K$151,MATCH(INDEX(FTE_Allocation!$A$2:$A$201,$AB65),Workforce!$A$2:$A$151,0))&amp;"","")))</f>
        <v/>
      </c>
      <c r="G65" s="7">
        <f>IF($Z65="C",INDEX(Contracts!$F$2:$F$151,$AB65)&amp;" / "&amp;INDEX(Contracts!$G$2:$G$151,$AB65),IF($Z65="A",INDEX(Fixed_Assets!$E$2:$E$201,$AB65)&amp;"",IF($Z65="F","Personnel "&amp;INDEX(FTE_Allocation!$A$2:$A$201,$AB65)&amp;IF(INDEX(FTE_Allocation!$D$2:$D$201,$AB65)="PROJECT"," ("&amp;INDEX(FTE_Allocation!$E$2:$E$201,$AB65)&amp;")",""),"")))</f>
        <v/>
      </c>
      <c r="H65" s="7">
        <f>IF($Z65="C","CONTRACT",IF($Z65="A","ASSET",IF($Z65="F","WORKFORCE","")))</f>
        <v/>
      </c>
      <c r="I65" s="7">
        <f>IF($Z65="C",INDEX(Contracts!$L$2:$L$151,$AB65)&amp;"",IF($Z65="A",INDEX(Fixed_Assets!$I$2:$I$201,$AB65)&amp;"",IF($Z65="F",INDEX(Workforce!$G$2:$G$151,MATCH(INDEX(FTE_Allocation!$A$2:$A$201,$AB65),Workforce!$A$2:$A$151,0))&amp;"","")))</f>
        <v/>
      </c>
      <c r="J65" s="18">
        <f>IF($Z65="","",IF(AND(DATE($AD65,1,1)&gt;=$AE65,DATE($AD65,1,1)&lt;=$AF65),ROUND($AG65,2),0))</f>
        <v/>
      </c>
      <c r="K65" s="18">
        <f>IF($Z65="","",IF(AND(DATE($AD65,2,1)&gt;=$AE65,DATE($AD65,2,1)&lt;=$AF65),ROUND($AG65,2),0))</f>
        <v/>
      </c>
      <c r="L65" s="18">
        <f>IF($Z65="","",IF(AND(DATE($AD65,3,1)&gt;=$AE65,DATE($AD65,3,1)&lt;=$AF65),ROUND($AG65,2),0))</f>
        <v/>
      </c>
      <c r="M65" s="18">
        <f>IF($Z65="","",IF(AND(DATE($AD65,4,1)&gt;=$AE65,DATE($AD65,4,1)&lt;=$AF65),ROUND($AG65,2),0))</f>
        <v/>
      </c>
      <c r="N65" s="18">
        <f>IF($Z65="","",IF(AND(DATE($AD65,5,1)&gt;=$AE65,DATE($AD65,5,1)&lt;=$AF65),ROUND($AG65,2),0))</f>
        <v/>
      </c>
      <c r="O65" s="18">
        <f>IF($Z65="","",IF(AND(DATE($AD65,6,1)&gt;=$AE65,DATE($AD65,6,1)&lt;=$AF65),ROUND($AG65,2),0))</f>
        <v/>
      </c>
      <c r="P65" s="18">
        <f>IF($Z65="","",IF(AND(DATE($AD65,7,1)&gt;=$AE65,DATE($AD65,7,1)&lt;=$AF65),ROUND($AG65,2),0))</f>
        <v/>
      </c>
      <c r="Q65" s="18">
        <f>IF($Z65="","",IF(AND(DATE($AD65,8,1)&gt;=$AE65,DATE($AD65,8,1)&lt;=$AF65),ROUND($AG65,2),0))</f>
        <v/>
      </c>
      <c r="R65" s="18">
        <f>IF($Z65="","",IF(AND(DATE($AD65,9,1)&gt;=$AE65,DATE($AD65,9,1)&lt;=$AF65),ROUND($AG65,2),0))</f>
        <v/>
      </c>
      <c r="S65" s="18">
        <f>IF($Z65="","",IF(AND(DATE($AD65,10,1)&gt;=$AE65,DATE($AD65,10,1)&lt;=$AF65),ROUND($AG65,2),0))</f>
        <v/>
      </c>
      <c r="T65" s="18">
        <f>IF($Z65="","",IF(AND(DATE($AD65,11,1)&gt;=$AE65,DATE($AD65,11,1)&lt;=$AF65),ROUND($AG65,2),0))</f>
        <v/>
      </c>
      <c r="U65" s="18">
        <f>IF($Z65="","",IF(AND(DATE($AD65,12,1)&gt;=$AE65,DATE($AD65,12,1)&lt;=$AF65),ROUND($AG65,2),0))</f>
        <v/>
      </c>
      <c r="V65" s="7">
        <f>IF($Z65="C","Generated from "&amp;INDEX(Contracts!$A$2:$A$151,$AB65),IF($Z65="A","Generated from "&amp;INDEX(Fixed_Assets!$A$2:$A$201,$AB65),IF($Z65="F","Generated from "&amp;INDEX(FTE_Allocation!$A$2:$A$201,$AB65),"")))</f>
        <v/>
      </c>
      <c r="X65" s="19">
        <f>IF($Z65="","",SUM(J65:U65))</f>
        <v/>
      </c>
      <c r="Y65" s="20">
        <f>ROW()-1</f>
        <v/>
      </c>
      <c r="Z65" s="20">
        <f>IF($Y65&lt;=Settings!$B$4*3,"C",IF($Y65&lt;=(Settings!$B$4+Settings!$B$5)*3,"A",IF($Y65&lt;=(Settings!$B$4+Settings!$B$5+Settings!$B$6)*3,"F","")))</f>
        <v/>
      </c>
      <c r="AA65" s="20">
        <f>IF($Z65="C",$Y65,IF($Z65="A",$Y65-Settings!$B$4*3,IF($Z65="F",$Y65-(Settings!$B$4+Settings!$B$5)*3,"")))</f>
        <v/>
      </c>
      <c r="AB65" s="20">
        <f>IF($Z65="","",INT(($AA65-1)/3)+1)</f>
        <v/>
      </c>
      <c r="AC65" s="20">
        <f>IF($Z65="","",MOD($AA65-1,3)+1)</f>
        <v/>
      </c>
      <c r="AD65" s="20">
        <f>IF($Z65="","",Settings!$B$2+$AC65-1)</f>
        <v/>
      </c>
      <c r="AE65" s="21">
        <f>IF($Z65="C",DATE(YEAR(INDEX(Contracts!$J$2:$J$151,$AB65)),MONTH(INDEX(Contracts!$J$2:$J$151,$AB65)),1),IF($Z65="A",DATE(YEAR(INDEX(Fixed_Assets!$G$2:$G$201,$AB65)),MONTH(INDEX(Fixed_Assets!$G$2:$G$201,$AB65)),1),IF($Z65="F",DATE(YEAR(MAX(N(INDEX(Workforce!$I$2:$I$151,MATCH(INDEX(FTE_Allocation!$A$2:$A$201,$AB65),Workforce!$A$2:$A$151,0))),N(INDEX(FTE_Allocation!$I$2:$I$201,$AB65)))),MONTH(MAX(N(INDEX(Workforce!$I$2:$I$151,MATCH(INDEX(FTE_Allocation!$A$2:$A$201,$AB65),Workforce!$A$2:$A$151,0))),N(INDEX(FTE_Allocation!$I$2:$I$201,$AB65)))),1),"")))</f>
        <v/>
      </c>
      <c r="AF65" s="21">
        <f>IF($Z65="C",IF(INDEX(Contracts!$I$2:$I$151,$AB65)="PREPAID",EDATE(DATE(YEAR(INDEX(Contracts!$J$2:$J$151,$AB65)),MONTH(INDEX(Contracts!$J$2:$J$151,$AB65)),1),IF(INDEX(Contracts!$N$2:$N$151,$AB65)="",12,INDEX(Contracts!$N$2:$N$151,$AB65))-1),IF(INDEX(Contracts!$I$2:$I$151,$AB65)="MONTHLY",IF(INDEX(Contracts!$K$2:$K$151,$AB65)="",2958101,INDEX(Contracts!$K$2:$K$151,$AB65)),0)),IF($Z65="A",EDATE(DATE(YEAR(INDEX(Fixed_Assets!$G$2:$G$201,$AB65)),MONTH(INDEX(Fixed_Assets!$G$2:$G$201,$AB65)),1),INDEX(Fixed_Assets!$J$2:$J$201,$AB65)-1),IF($Z65="F",MIN(IF(INDEX(Workforce!$J$2:$J$151,MATCH(INDEX(FTE_Allocation!$A$2:$A$201,$AB65),Workforce!$A$2:$A$151,0))="",2958101,INDEX(Workforce!$J$2:$J$151,MATCH(INDEX(FTE_Allocation!$A$2:$A$201,$AB65),Workforce!$A$2:$A$151,0))),IF(INDEX(FTE_Allocation!$J$2:$J$201,$AB65)="",2958101,INDEX(FTE_Allocation!$J$2:$J$201,$AB65))),"")))</f>
        <v/>
      </c>
      <c r="AG65" s="19">
        <f>IF($Z65="C",IF(INDEX(Contracts!$I$2:$I$151,$AB65)="PREPAID",INDEX(Contracts!$M$2:$M$151,$AB65)/IF(INDEX(Contracts!$N$2:$N$151,$AB65)="",12,INDEX(Contracts!$N$2:$N$151,$AB65)),IF(INDEX(Contracts!$I$2:$I$151,$AB65)="MONTHLY",INDEX(Contracts!$M$2:$M$151,$AB65),0))*(1-N(INDEX(Contracts!$O$2:$O$151,$AB65))),IF($Z65="A",INDEX(Fixed_Assets!$H$2:$H$201,$AB65)/INDEX(Fixed_Assets!$J$2:$J$201,$AB65),IF($Z65="F",INDEX(Workforce!$F$2:$F$151,MATCH(INDEX(FTE_Allocation!$A$2:$A$201,$AB65),Workforce!$A$2:$A$151,0))*N(INDEX(FTE_Allocation!$F$2:$H$201,$AB65,$AC65)),"")))</f>
        <v/>
      </c>
    </row>
    <row r="66">
      <c r="A66" s="7">
        <f>IF($Z66="","",$AD66)</f>
        <v/>
      </c>
      <c r="B66" s="7">
        <f>IF($Z66="C",INDEX(Contracts!$D$2:$D$151,$AB66)&amp;"",IF($Z66="A",INDEX(Fixed_Assets!$C$2:$C$201,$AB66)&amp;"",IF($Z66="F",INDEX(Workforce!$B$2:$B$151,MATCH(INDEX(FTE_Allocation!$A$2:$A$201,$AB66),Workforce!$A$2:$A$151,0))&amp;"","")))</f>
        <v/>
      </c>
      <c r="C66" s="7">
        <f>IF($Z66="C",INDEX(Contracts!$E$2:$E$151,$AB66)&amp;"",IF($Z66="A",INDEX(Fixed_Assets!$D$2:$D$201,$AB66)&amp;"",IF($Z66="F",INDEX(FTE_Allocation!$C$2:$C$201,$AB66)&amp;"","")))</f>
        <v/>
      </c>
      <c r="D66" s="7">
        <f>IF($Z66="C",INDEX(Contracts!$B$2:$B$151,$AB66)&amp;"",IF($Z66="A",INDEX(Fixed_Assets!$B$2:$B$201,$AB66)&amp;"",IF($Z66="F",INDEX(FTE_Allocation!$B$2:$B$201,$AB66)&amp;"","")))</f>
        <v/>
      </c>
      <c r="E66" s="7">
        <f>IF($Z66="C",INDEX(Contracts!$P$2:$P$151,$AB66)&amp;"",IF($Z66="A",INDEX(Fixed_Assets!$K$2:$K$201,$AB66)&amp;"",IF($Z66="F",IF(INDEX(FTE_Allocation!$D$2:$D$201,$AB66)="PROJECT",IFERROR(INDEX(Projects!$D:$D,MATCH(INDEX(FTE_Allocation!$E$2:$E$201,$AB66),Projects!$A:$A,0))&amp;"","#PROJECT?"),INDEX(FTE_Allocation!$E$2:$E$201,$AB66)&amp;""),"")))</f>
        <v/>
      </c>
      <c r="F66" s="7">
        <f>IF($Z66="C",INDEX(Contracts!$Q$2:$Q$151,$AB66)&amp;"",IF($Z66="A",INDEX(Fixed_Assets!$L$2:$L$201,$AB66)&amp;"",IF($Z66="F",INDEX(Workforce!$K$2:$K$151,MATCH(INDEX(FTE_Allocation!$A$2:$A$201,$AB66),Workforce!$A$2:$A$151,0))&amp;"","")))</f>
        <v/>
      </c>
      <c r="G66" s="7">
        <f>IF($Z66="C",INDEX(Contracts!$F$2:$F$151,$AB66)&amp;" / "&amp;INDEX(Contracts!$G$2:$G$151,$AB66),IF($Z66="A",INDEX(Fixed_Assets!$E$2:$E$201,$AB66)&amp;"",IF($Z66="F","Personnel "&amp;INDEX(FTE_Allocation!$A$2:$A$201,$AB66)&amp;IF(INDEX(FTE_Allocation!$D$2:$D$201,$AB66)="PROJECT"," ("&amp;INDEX(FTE_Allocation!$E$2:$E$201,$AB66)&amp;")",""),"")))</f>
        <v/>
      </c>
      <c r="H66" s="7">
        <f>IF($Z66="C","CONTRACT",IF($Z66="A","ASSET",IF($Z66="F","WORKFORCE","")))</f>
        <v/>
      </c>
      <c r="I66" s="7">
        <f>IF($Z66="C",INDEX(Contracts!$L$2:$L$151,$AB66)&amp;"",IF($Z66="A",INDEX(Fixed_Assets!$I$2:$I$201,$AB66)&amp;"",IF($Z66="F",INDEX(Workforce!$G$2:$G$151,MATCH(INDEX(FTE_Allocation!$A$2:$A$201,$AB66),Workforce!$A$2:$A$151,0))&amp;"","")))</f>
        <v/>
      </c>
      <c r="J66" s="18">
        <f>IF($Z66="","",IF(AND(DATE($AD66,1,1)&gt;=$AE66,DATE($AD66,1,1)&lt;=$AF66),ROUND($AG66,2),0))</f>
        <v/>
      </c>
      <c r="K66" s="18">
        <f>IF($Z66="","",IF(AND(DATE($AD66,2,1)&gt;=$AE66,DATE($AD66,2,1)&lt;=$AF66),ROUND($AG66,2),0))</f>
        <v/>
      </c>
      <c r="L66" s="18">
        <f>IF($Z66="","",IF(AND(DATE($AD66,3,1)&gt;=$AE66,DATE($AD66,3,1)&lt;=$AF66),ROUND($AG66,2),0))</f>
        <v/>
      </c>
      <c r="M66" s="18">
        <f>IF($Z66="","",IF(AND(DATE($AD66,4,1)&gt;=$AE66,DATE($AD66,4,1)&lt;=$AF66),ROUND($AG66,2),0))</f>
        <v/>
      </c>
      <c r="N66" s="18">
        <f>IF($Z66="","",IF(AND(DATE($AD66,5,1)&gt;=$AE66,DATE($AD66,5,1)&lt;=$AF66),ROUND($AG66,2),0))</f>
        <v/>
      </c>
      <c r="O66" s="18">
        <f>IF($Z66="","",IF(AND(DATE($AD66,6,1)&gt;=$AE66,DATE($AD66,6,1)&lt;=$AF66),ROUND($AG66,2),0))</f>
        <v/>
      </c>
      <c r="P66" s="18">
        <f>IF($Z66="","",IF(AND(DATE($AD66,7,1)&gt;=$AE66,DATE($AD66,7,1)&lt;=$AF66),ROUND($AG66,2),0))</f>
        <v/>
      </c>
      <c r="Q66" s="18">
        <f>IF($Z66="","",IF(AND(DATE($AD66,8,1)&gt;=$AE66,DATE($AD66,8,1)&lt;=$AF66),ROUND($AG66,2),0))</f>
        <v/>
      </c>
      <c r="R66" s="18">
        <f>IF($Z66="","",IF(AND(DATE($AD66,9,1)&gt;=$AE66,DATE($AD66,9,1)&lt;=$AF66),ROUND($AG66,2),0))</f>
        <v/>
      </c>
      <c r="S66" s="18">
        <f>IF($Z66="","",IF(AND(DATE($AD66,10,1)&gt;=$AE66,DATE($AD66,10,1)&lt;=$AF66),ROUND($AG66,2),0))</f>
        <v/>
      </c>
      <c r="T66" s="18">
        <f>IF($Z66="","",IF(AND(DATE($AD66,11,1)&gt;=$AE66,DATE($AD66,11,1)&lt;=$AF66),ROUND($AG66,2),0))</f>
        <v/>
      </c>
      <c r="U66" s="18">
        <f>IF($Z66="","",IF(AND(DATE($AD66,12,1)&gt;=$AE66,DATE($AD66,12,1)&lt;=$AF66),ROUND($AG66,2),0))</f>
        <v/>
      </c>
      <c r="V66" s="7">
        <f>IF($Z66="C","Generated from "&amp;INDEX(Contracts!$A$2:$A$151,$AB66),IF($Z66="A","Generated from "&amp;INDEX(Fixed_Assets!$A$2:$A$201,$AB66),IF($Z66="F","Generated from "&amp;INDEX(FTE_Allocation!$A$2:$A$201,$AB66),"")))</f>
        <v/>
      </c>
      <c r="X66" s="19">
        <f>IF($Z66="","",SUM(J66:U66))</f>
        <v/>
      </c>
      <c r="Y66" s="20">
        <f>ROW()-1</f>
        <v/>
      </c>
      <c r="Z66" s="20">
        <f>IF($Y66&lt;=Settings!$B$4*3,"C",IF($Y66&lt;=(Settings!$B$4+Settings!$B$5)*3,"A",IF($Y66&lt;=(Settings!$B$4+Settings!$B$5+Settings!$B$6)*3,"F","")))</f>
        <v/>
      </c>
      <c r="AA66" s="20">
        <f>IF($Z66="C",$Y66,IF($Z66="A",$Y66-Settings!$B$4*3,IF($Z66="F",$Y66-(Settings!$B$4+Settings!$B$5)*3,"")))</f>
        <v/>
      </c>
      <c r="AB66" s="20">
        <f>IF($Z66="","",INT(($AA66-1)/3)+1)</f>
        <v/>
      </c>
      <c r="AC66" s="20">
        <f>IF($Z66="","",MOD($AA66-1,3)+1)</f>
        <v/>
      </c>
      <c r="AD66" s="20">
        <f>IF($Z66="","",Settings!$B$2+$AC66-1)</f>
        <v/>
      </c>
      <c r="AE66" s="21">
        <f>IF($Z66="C",DATE(YEAR(INDEX(Contracts!$J$2:$J$151,$AB66)),MONTH(INDEX(Contracts!$J$2:$J$151,$AB66)),1),IF($Z66="A",DATE(YEAR(INDEX(Fixed_Assets!$G$2:$G$201,$AB66)),MONTH(INDEX(Fixed_Assets!$G$2:$G$201,$AB66)),1),IF($Z66="F",DATE(YEAR(MAX(N(INDEX(Workforce!$I$2:$I$151,MATCH(INDEX(FTE_Allocation!$A$2:$A$201,$AB66),Workforce!$A$2:$A$151,0))),N(INDEX(FTE_Allocation!$I$2:$I$201,$AB66)))),MONTH(MAX(N(INDEX(Workforce!$I$2:$I$151,MATCH(INDEX(FTE_Allocation!$A$2:$A$201,$AB66),Workforce!$A$2:$A$151,0))),N(INDEX(FTE_Allocation!$I$2:$I$201,$AB66)))),1),"")))</f>
        <v/>
      </c>
      <c r="AF66" s="21">
        <f>IF($Z66="C",IF(INDEX(Contracts!$I$2:$I$151,$AB66)="PREPAID",EDATE(DATE(YEAR(INDEX(Contracts!$J$2:$J$151,$AB66)),MONTH(INDEX(Contracts!$J$2:$J$151,$AB66)),1),IF(INDEX(Contracts!$N$2:$N$151,$AB66)="",12,INDEX(Contracts!$N$2:$N$151,$AB66))-1),IF(INDEX(Contracts!$I$2:$I$151,$AB66)="MONTHLY",IF(INDEX(Contracts!$K$2:$K$151,$AB66)="",2958101,INDEX(Contracts!$K$2:$K$151,$AB66)),0)),IF($Z66="A",EDATE(DATE(YEAR(INDEX(Fixed_Assets!$G$2:$G$201,$AB66)),MONTH(INDEX(Fixed_Assets!$G$2:$G$201,$AB66)),1),INDEX(Fixed_Assets!$J$2:$J$201,$AB66)-1),IF($Z66="F",MIN(IF(INDEX(Workforce!$J$2:$J$151,MATCH(INDEX(FTE_Allocation!$A$2:$A$201,$AB66),Workforce!$A$2:$A$151,0))="",2958101,INDEX(Workforce!$J$2:$J$151,MATCH(INDEX(FTE_Allocation!$A$2:$A$201,$AB66),Workforce!$A$2:$A$151,0))),IF(INDEX(FTE_Allocation!$J$2:$J$201,$AB66)="",2958101,INDEX(FTE_Allocation!$J$2:$J$201,$AB66))),"")))</f>
        <v/>
      </c>
      <c r="AG66" s="19">
        <f>IF($Z66="C",IF(INDEX(Contracts!$I$2:$I$151,$AB66)="PREPAID",INDEX(Contracts!$M$2:$M$151,$AB66)/IF(INDEX(Contracts!$N$2:$N$151,$AB66)="",12,INDEX(Contracts!$N$2:$N$151,$AB66)),IF(INDEX(Contracts!$I$2:$I$151,$AB66)="MONTHLY",INDEX(Contracts!$M$2:$M$151,$AB66),0))*(1-N(INDEX(Contracts!$O$2:$O$151,$AB66))),IF($Z66="A",INDEX(Fixed_Assets!$H$2:$H$201,$AB66)/INDEX(Fixed_Assets!$J$2:$J$201,$AB66),IF($Z66="F",INDEX(Workforce!$F$2:$F$151,MATCH(INDEX(FTE_Allocation!$A$2:$A$201,$AB66),Workforce!$A$2:$A$151,0))*N(INDEX(FTE_Allocation!$F$2:$H$201,$AB66,$AC66)),"")))</f>
        <v/>
      </c>
    </row>
    <row r="67">
      <c r="A67" s="7">
        <f>IF($Z67="","",$AD67)</f>
        <v/>
      </c>
      <c r="B67" s="7">
        <f>IF($Z67="C",INDEX(Contracts!$D$2:$D$151,$AB67)&amp;"",IF($Z67="A",INDEX(Fixed_Assets!$C$2:$C$201,$AB67)&amp;"",IF($Z67="F",INDEX(Workforce!$B$2:$B$151,MATCH(INDEX(FTE_Allocation!$A$2:$A$201,$AB67),Workforce!$A$2:$A$151,0))&amp;"","")))</f>
        <v/>
      </c>
      <c r="C67" s="7">
        <f>IF($Z67="C",INDEX(Contracts!$E$2:$E$151,$AB67)&amp;"",IF($Z67="A",INDEX(Fixed_Assets!$D$2:$D$201,$AB67)&amp;"",IF($Z67="F",INDEX(FTE_Allocation!$C$2:$C$201,$AB67)&amp;"","")))</f>
        <v/>
      </c>
      <c r="D67" s="7">
        <f>IF($Z67="C",INDEX(Contracts!$B$2:$B$151,$AB67)&amp;"",IF($Z67="A",INDEX(Fixed_Assets!$B$2:$B$201,$AB67)&amp;"",IF($Z67="F",INDEX(FTE_Allocation!$B$2:$B$201,$AB67)&amp;"","")))</f>
        <v/>
      </c>
      <c r="E67" s="7">
        <f>IF($Z67="C",INDEX(Contracts!$P$2:$P$151,$AB67)&amp;"",IF($Z67="A",INDEX(Fixed_Assets!$K$2:$K$201,$AB67)&amp;"",IF($Z67="F",IF(INDEX(FTE_Allocation!$D$2:$D$201,$AB67)="PROJECT",IFERROR(INDEX(Projects!$D:$D,MATCH(INDEX(FTE_Allocation!$E$2:$E$201,$AB67),Projects!$A:$A,0))&amp;"","#PROJECT?"),INDEX(FTE_Allocation!$E$2:$E$201,$AB67)&amp;""),"")))</f>
        <v/>
      </c>
      <c r="F67" s="7">
        <f>IF($Z67="C",INDEX(Contracts!$Q$2:$Q$151,$AB67)&amp;"",IF($Z67="A",INDEX(Fixed_Assets!$L$2:$L$201,$AB67)&amp;"",IF($Z67="F",INDEX(Workforce!$K$2:$K$151,MATCH(INDEX(FTE_Allocation!$A$2:$A$201,$AB67),Workforce!$A$2:$A$151,0))&amp;"","")))</f>
        <v/>
      </c>
      <c r="G67" s="7">
        <f>IF($Z67="C",INDEX(Contracts!$F$2:$F$151,$AB67)&amp;" / "&amp;INDEX(Contracts!$G$2:$G$151,$AB67),IF($Z67="A",INDEX(Fixed_Assets!$E$2:$E$201,$AB67)&amp;"",IF($Z67="F","Personnel "&amp;INDEX(FTE_Allocation!$A$2:$A$201,$AB67)&amp;IF(INDEX(FTE_Allocation!$D$2:$D$201,$AB67)="PROJECT"," ("&amp;INDEX(FTE_Allocation!$E$2:$E$201,$AB67)&amp;")",""),"")))</f>
        <v/>
      </c>
      <c r="H67" s="7">
        <f>IF($Z67="C","CONTRACT",IF($Z67="A","ASSET",IF($Z67="F","WORKFORCE","")))</f>
        <v/>
      </c>
      <c r="I67" s="7">
        <f>IF($Z67="C",INDEX(Contracts!$L$2:$L$151,$AB67)&amp;"",IF($Z67="A",INDEX(Fixed_Assets!$I$2:$I$201,$AB67)&amp;"",IF($Z67="F",INDEX(Workforce!$G$2:$G$151,MATCH(INDEX(FTE_Allocation!$A$2:$A$201,$AB67),Workforce!$A$2:$A$151,0))&amp;"","")))</f>
        <v/>
      </c>
      <c r="J67" s="18">
        <f>IF($Z67="","",IF(AND(DATE($AD67,1,1)&gt;=$AE67,DATE($AD67,1,1)&lt;=$AF67),ROUND($AG67,2),0))</f>
        <v/>
      </c>
      <c r="K67" s="18">
        <f>IF($Z67="","",IF(AND(DATE($AD67,2,1)&gt;=$AE67,DATE($AD67,2,1)&lt;=$AF67),ROUND($AG67,2),0))</f>
        <v/>
      </c>
      <c r="L67" s="18">
        <f>IF($Z67="","",IF(AND(DATE($AD67,3,1)&gt;=$AE67,DATE($AD67,3,1)&lt;=$AF67),ROUND($AG67,2),0))</f>
        <v/>
      </c>
      <c r="M67" s="18">
        <f>IF($Z67="","",IF(AND(DATE($AD67,4,1)&gt;=$AE67,DATE($AD67,4,1)&lt;=$AF67),ROUND($AG67,2),0))</f>
        <v/>
      </c>
      <c r="N67" s="18">
        <f>IF($Z67="","",IF(AND(DATE($AD67,5,1)&gt;=$AE67,DATE($AD67,5,1)&lt;=$AF67),ROUND($AG67,2),0))</f>
        <v/>
      </c>
      <c r="O67" s="18">
        <f>IF($Z67="","",IF(AND(DATE($AD67,6,1)&gt;=$AE67,DATE($AD67,6,1)&lt;=$AF67),ROUND($AG67,2),0))</f>
        <v/>
      </c>
      <c r="P67" s="18">
        <f>IF($Z67="","",IF(AND(DATE($AD67,7,1)&gt;=$AE67,DATE($AD67,7,1)&lt;=$AF67),ROUND($AG67,2),0))</f>
        <v/>
      </c>
      <c r="Q67" s="18">
        <f>IF($Z67="","",IF(AND(DATE($AD67,8,1)&gt;=$AE67,DATE($AD67,8,1)&lt;=$AF67),ROUND($AG67,2),0))</f>
        <v/>
      </c>
      <c r="R67" s="18">
        <f>IF($Z67="","",IF(AND(DATE($AD67,9,1)&gt;=$AE67,DATE($AD67,9,1)&lt;=$AF67),ROUND($AG67,2),0))</f>
        <v/>
      </c>
      <c r="S67" s="18">
        <f>IF($Z67="","",IF(AND(DATE($AD67,10,1)&gt;=$AE67,DATE($AD67,10,1)&lt;=$AF67),ROUND($AG67,2),0))</f>
        <v/>
      </c>
      <c r="T67" s="18">
        <f>IF($Z67="","",IF(AND(DATE($AD67,11,1)&gt;=$AE67,DATE($AD67,11,1)&lt;=$AF67),ROUND($AG67,2),0))</f>
        <v/>
      </c>
      <c r="U67" s="18">
        <f>IF($Z67="","",IF(AND(DATE($AD67,12,1)&gt;=$AE67,DATE($AD67,12,1)&lt;=$AF67),ROUND($AG67,2),0))</f>
        <v/>
      </c>
      <c r="V67" s="7">
        <f>IF($Z67="C","Generated from "&amp;INDEX(Contracts!$A$2:$A$151,$AB67),IF($Z67="A","Generated from "&amp;INDEX(Fixed_Assets!$A$2:$A$201,$AB67),IF($Z67="F","Generated from "&amp;INDEX(FTE_Allocation!$A$2:$A$201,$AB67),"")))</f>
        <v/>
      </c>
      <c r="X67" s="19">
        <f>IF($Z67="","",SUM(J67:U67))</f>
        <v/>
      </c>
      <c r="Y67" s="20">
        <f>ROW()-1</f>
        <v/>
      </c>
      <c r="Z67" s="20">
        <f>IF($Y67&lt;=Settings!$B$4*3,"C",IF($Y67&lt;=(Settings!$B$4+Settings!$B$5)*3,"A",IF($Y67&lt;=(Settings!$B$4+Settings!$B$5+Settings!$B$6)*3,"F","")))</f>
        <v/>
      </c>
      <c r="AA67" s="20">
        <f>IF($Z67="C",$Y67,IF($Z67="A",$Y67-Settings!$B$4*3,IF($Z67="F",$Y67-(Settings!$B$4+Settings!$B$5)*3,"")))</f>
        <v/>
      </c>
      <c r="AB67" s="20">
        <f>IF($Z67="","",INT(($AA67-1)/3)+1)</f>
        <v/>
      </c>
      <c r="AC67" s="20">
        <f>IF($Z67="","",MOD($AA67-1,3)+1)</f>
        <v/>
      </c>
      <c r="AD67" s="20">
        <f>IF($Z67="","",Settings!$B$2+$AC67-1)</f>
        <v/>
      </c>
      <c r="AE67" s="21">
        <f>IF($Z67="C",DATE(YEAR(INDEX(Contracts!$J$2:$J$151,$AB67)),MONTH(INDEX(Contracts!$J$2:$J$151,$AB67)),1),IF($Z67="A",DATE(YEAR(INDEX(Fixed_Assets!$G$2:$G$201,$AB67)),MONTH(INDEX(Fixed_Assets!$G$2:$G$201,$AB67)),1),IF($Z67="F",DATE(YEAR(MAX(N(INDEX(Workforce!$I$2:$I$151,MATCH(INDEX(FTE_Allocation!$A$2:$A$201,$AB67),Workforce!$A$2:$A$151,0))),N(INDEX(FTE_Allocation!$I$2:$I$201,$AB67)))),MONTH(MAX(N(INDEX(Workforce!$I$2:$I$151,MATCH(INDEX(FTE_Allocation!$A$2:$A$201,$AB67),Workforce!$A$2:$A$151,0))),N(INDEX(FTE_Allocation!$I$2:$I$201,$AB67)))),1),"")))</f>
        <v/>
      </c>
      <c r="AF67" s="21">
        <f>IF($Z67="C",IF(INDEX(Contracts!$I$2:$I$151,$AB67)="PREPAID",EDATE(DATE(YEAR(INDEX(Contracts!$J$2:$J$151,$AB67)),MONTH(INDEX(Contracts!$J$2:$J$151,$AB67)),1),IF(INDEX(Contracts!$N$2:$N$151,$AB67)="",12,INDEX(Contracts!$N$2:$N$151,$AB67))-1),IF(INDEX(Contracts!$I$2:$I$151,$AB67)="MONTHLY",IF(INDEX(Contracts!$K$2:$K$151,$AB67)="",2958101,INDEX(Contracts!$K$2:$K$151,$AB67)),0)),IF($Z67="A",EDATE(DATE(YEAR(INDEX(Fixed_Assets!$G$2:$G$201,$AB67)),MONTH(INDEX(Fixed_Assets!$G$2:$G$201,$AB67)),1),INDEX(Fixed_Assets!$J$2:$J$201,$AB67)-1),IF($Z67="F",MIN(IF(INDEX(Workforce!$J$2:$J$151,MATCH(INDEX(FTE_Allocation!$A$2:$A$201,$AB67),Workforce!$A$2:$A$151,0))="",2958101,INDEX(Workforce!$J$2:$J$151,MATCH(INDEX(FTE_Allocation!$A$2:$A$201,$AB67),Workforce!$A$2:$A$151,0))),IF(INDEX(FTE_Allocation!$J$2:$J$201,$AB67)="",2958101,INDEX(FTE_Allocation!$J$2:$J$201,$AB67))),"")))</f>
        <v/>
      </c>
      <c r="AG67" s="19">
        <f>IF($Z67="C",IF(INDEX(Contracts!$I$2:$I$151,$AB67)="PREPAID",INDEX(Contracts!$M$2:$M$151,$AB67)/IF(INDEX(Contracts!$N$2:$N$151,$AB67)="",12,INDEX(Contracts!$N$2:$N$151,$AB67)),IF(INDEX(Contracts!$I$2:$I$151,$AB67)="MONTHLY",INDEX(Contracts!$M$2:$M$151,$AB67),0))*(1-N(INDEX(Contracts!$O$2:$O$151,$AB67))),IF($Z67="A",INDEX(Fixed_Assets!$H$2:$H$201,$AB67)/INDEX(Fixed_Assets!$J$2:$J$201,$AB67),IF($Z67="F",INDEX(Workforce!$F$2:$F$151,MATCH(INDEX(FTE_Allocation!$A$2:$A$201,$AB67),Workforce!$A$2:$A$151,0))*N(INDEX(FTE_Allocation!$F$2:$H$201,$AB67,$AC67)),"")))</f>
        <v/>
      </c>
    </row>
    <row r="68">
      <c r="A68" s="7">
        <f>IF($Z68="","",$AD68)</f>
        <v/>
      </c>
      <c r="B68" s="7">
        <f>IF($Z68="C",INDEX(Contracts!$D$2:$D$151,$AB68)&amp;"",IF($Z68="A",INDEX(Fixed_Assets!$C$2:$C$201,$AB68)&amp;"",IF($Z68="F",INDEX(Workforce!$B$2:$B$151,MATCH(INDEX(FTE_Allocation!$A$2:$A$201,$AB68),Workforce!$A$2:$A$151,0))&amp;"","")))</f>
        <v/>
      </c>
      <c r="C68" s="7">
        <f>IF($Z68="C",INDEX(Contracts!$E$2:$E$151,$AB68)&amp;"",IF($Z68="A",INDEX(Fixed_Assets!$D$2:$D$201,$AB68)&amp;"",IF($Z68="F",INDEX(FTE_Allocation!$C$2:$C$201,$AB68)&amp;"","")))</f>
        <v/>
      </c>
      <c r="D68" s="7">
        <f>IF($Z68="C",INDEX(Contracts!$B$2:$B$151,$AB68)&amp;"",IF($Z68="A",INDEX(Fixed_Assets!$B$2:$B$201,$AB68)&amp;"",IF($Z68="F",INDEX(FTE_Allocation!$B$2:$B$201,$AB68)&amp;"","")))</f>
        <v/>
      </c>
      <c r="E68" s="7">
        <f>IF($Z68="C",INDEX(Contracts!$P$2:$P$151,$AB68)&amp;"",IF($Z68="A",INDEX(Fixed_Assets!$K$2:$K$201,$AB68)&amp;"",IF($Z68="F",IF(INDEX(FTE_Allocation!$D$2:$D$201,$AB68)="PROJECT",IFERROR(INDEX(Projects!$D:$D,MATCH(INDEX(FTE_Allocation!$E$2:$E$201,$AB68),Projects!$A:$A,0))&amp;"","#PROJECT?"),INDEX(FTE_Allocation!$E$2:$E$201,$AB68)&amp;""),"")))</f>
        <v/>
      </c>
      <c r="F68" s="7">
        <f>IF($Z68="C",INDEX(Contracts!$Q$2:$Q$151,$AB68)&amp;"",IF($Z68="A",INDEX(Fixed_Assets!$L$2:$L$201,$AB68)&amp;"",IF($Z68="F",INDEX(Workforce!$K$2:$K$151,MATCH(INDEX(FTE_Allocation!$A$2:$A$201,$AB68),Workforce!$A$2:$A$151,0))&amp;"","")))</f>
        <v/>
      </c>
      <c r="G68" s="7">
        <f>IF($Z68="C",INDEX(Contracts!$F$2:$F$151,$AB68)&amp;" / "&amp;INDEX(Contracts!$G$2:$G$151,$AB68),IF($Z68="A",INDEX(Fixed_Assets!$E$2:$E$201,$AB68)&amp;"",IF($Z68="F","Personnel "&amp;INDEX(FTE_Allocation!$A$2:$A$201,$AB68)&amp;IF(INDEX(FTE_Allocation!$D$2:$D$201,$AB68)="PROJECT"," ("&amp;INDEX(FTE_Allocation!$E$2:$E$201,$AB68)&amp;")",""),"")))</f>
        <v/>
      </c>
      <c r="H68" s="7">
        <f>IF($Z68="C","CONTRACT",IF($Z68="A","ASSET",IF($Z68="F","WORKFORCE","")))</f>
        <v/>
      </c>
      <c r="I68" s="7">
        <f>IF($Z68="C",INDEX(Contracts!$L$2:$L$151,$AB68)&amp;"",IF($Z68="A",INDEX(Fixed_Assets!$I$2:$I$201,$AB68)&amp;"",IF($Z68="F",INDEX(Workforce!$G$2:$G$151,MATCH(INDEX(FTE_Allocation!$A$2:$A$201,$AB68),Workforce!$A$2:$A$151,0))&amp;"","")))</f>
        <v/>
      </c>
      <c r="J68" s="18">
        <f>IF($Z68="","",IF(AND(DATE($AD68,1,1)&gt;=$AE68,DATE($AD68,1,1)&lt;=$AF68),ROUND($AG68,2),0))</f>
        <v/>
      </c>
      <c r="K68" s="18">
        <f>IF($Z68="","",IF(AND(DATE($AD68,2,1)&gt;=$AE68,DATE($AD68,2,1)&lt;=$AF68),ROUND($AG68,2),0))</f>
        <v/>
      </c>
      <c r="L68" s="18">
        <f>IF($Z68="","",IF(AND(DATE($AD68,3,1)&gt;=$AE68,DATE($AD68,3,1)&lt;=$AF68),ROUND($AG68,2),0))</f>
        <v/>
      </c>
      <c r="M68" s="18">
        <f>IF($Z68="","",IF(AND(DATE($AD68,4,1)&gt;=$AE68,DATE($AD68,4,1)&lt;=$AF68),ROUND($AG68,2),0))</f>
        <v/>
      </c>
      <c r="N68" s="18">
        <f>IF($Z68="","",IF(AND(DATE($AD68,5,1)&gt;=$AE68,DATE($AD68,5,1)&lt;=$AF68),ROUND($AG68,2),0))</f>
        <v/>
      </c>
      <c r="O68" s="18">
        <f>IF($Z68="","",IF(AND(DATE($AD68,6,1)&gt;=$AE68,DATE($AD68,6,1)&lt;=$AF68),ROUND($AG68,2),0))</f>
        <v/>
      </c>
      <c r="P68" s="18">
        <f>IF($Z68="","",IF(AND(DATE($AD68,7,1)&gt;=$AE68,DATE($AD68,7,1)&lt;=$AF68),ROUND($AG68,2),0))</f>
        <v/>
      </c>
      <c r="Q68" s="18">
        <f>IF($Z68="","",IF(AND(DATE($AD68,8,1)&gt;=$AE68,DATE($AD68,8,1)&lt;=$AF68),ROUND($AG68,2),0))</f>
        <v/>
      </c>
      <c r="R68" s="18">
        <f>IF($Z68="","",IF(AND(DATE($AD68,9,1)&gt;=$AE68,DATE($AD68,9,1)&lt;=$AF68),ROUND($AG68,2),0))</f>
        <v/>
      </c>
      <c r="S68" s="18">
        <f>IF($Z68="","",IF(AND(DATE($AD68,10,1)&gt;=$AE68,DATE($AD68,10,1)&lt;=$AF68),ROUND($AG68,2),0))</f>
        <v/>
      </c>
      <c r="T68" s="18">
        <f>IF($Z68="","",IF(AND(DATE($AD68,11,1)&gt;=$AE68,DATE($AD68,11,1)&lt;=$AF68),ROUND($AG68,2),0))</f>
        <v/>
      </c>
      <c r="U68" s="18">
        <f>IF($Z68="","",IF(AND(DATE($AD68,12,1)&gt;=$AE68,DATE($AD68,12,1)&lt;=$AF68),ROUND($AG68,2),0))</f>
        <v/>
      </c>
      <c r="V68" s="7">
        <f>IF($Z68="C","Generated from "&amp;INDEX(Contracts!$A$2:$A$151,$AB68),IF($Z68="A","Generated from "&amp;INDEX(Fixed_Assets!$A$2:$A$201,$AB68),IF($Z68="F","Generated from "&amp;INDEX(FTE_Allocation!$A$2:$A$201,$AB68),"")))</f>
        <v/>
      </c>
      <c r="X68" s="19">
        <f>IF($Z68="","",SUM(J68:U68))</f>
        <v/>
      </c>
      <c r="Y68" s="20">
        <f>ROW()-1</f>
        <v/>
      </c>
      <c r="Z68" s="20">
        <f>IF($Y68&lt;=Settings!$B$4*3,"C",IF($Y68&lt;=(Settings!$B$4+Settings!$B$5)*3,"A",IF($Y68&lt;=(Settings!$B$4+Settings!$B$5+Settings!$B$6)*3,"F","")))</f>
        <v/>
      </c>
      <c r="AA68" s="20">
        <f>IF($Z68="C",$Y68,IF($Z68="A",$Y68-Settings!$B$4*3,IF($Z68="F",$Y68-(Settings!$B$4+Settings!$B$5)*3,"")))</f>
        <v/>
      </c>
      <c r="AB68" s="20">
        <f>IF($Z68="","",INT(($AA68-1)/3)+1)</f>
        <v/>
      </c>
      <c r="AC68" s="20">
        <f>IF($Z68="","",MOD($AA68-1,3)+1)</f>
        <v/>
      </c>
      <c r="AD68" s="20">
        <f>IF($Z68="","",Settings!$B$2+$AC68-1)</f>
        <v/>
      </c>
      <c r="AE68" s="21">
        <f>IF($Z68="C",DATE(YEAR(INDEX(Contracts!$J$2:$J$151,$AB68)),MONTH(INDEX(Contracts!$J$2:$J$151,$AB68)),1),IF($Z68="A",DATE(YEAR(INDEX(Fixed_Assets!$G$2:$G$201,$AB68)),MONTH(INDEX(Fixed_Assets!$G$2:$G$201,$AB68)),1),IF($Z68="F",DATE(YEAR(MAX(N(INDEX(Workforce!$I$2:$I$151,MATCH(INDEX(FTE_Allocation!$A$2:$A$201,$AB68),Workforce!$A$2:$A$151,0))),N(INDEX(FTE_Allocation!$I$2:$I$201,$AB68)))),MONTH(MAX(N(INDEX(Workforce!$I$2:$I$151,MATCH(INDEX(FTE_Allocation!$A$2:$A$201,$AB68),Workforce!$A$2:$A$151,0))),N(INDEX(FTE_Allocation!$I$2:$I$201,$AB68)))),1),"")))</f>
        <v/>
      </c>
      <c r="AF68" s="21">
        <f>IF($Z68="C",IF(INDEX(Contracts!$I$2:$I$151,$AB68)="PREPAID",EDATE(DATE(YEAR(INDEX(Contracts!$J$2:$J$151,$AB68)),MONTH(INDEX(Contracts!$J$2:$J$151,$AB68)),1),IF(INDEX(Contracts!$N$2:$N$151,$AB68)="",12,INDEX(Contracts!$N$2:$N$151,$AB68))-1),IF(INDEX(Contracts!$I$2:$I$151,$AB68)="MONTHLY",IF(INDEX(Contracts!$K$2:$K$151,$AB68)="",2958101,INDEX(Contracts!$K$2:$K$151,$AB68)),0)),IF($Z68="A",EDATE(DATE(YEAR(INDEX(Fixed_Assets!$G$2:$G$201,$AB68)),MONTH(INDEX(Fixed_Assets!$G$2:$G$201,$AB68)),1),INDEX(Fixed_Assets!$J$2:$J$201,$AB68)-1),IF($Z68="F",MIN(IF(INDEX(Workforce!$J$2:$J$151,MATCH(INDEX(FTE_Allocation!$A$2:$A$201,$AB68),Workforce!$A$2:$A$151,0))="",2958101,INDEX(Workforce!$J$2:$J$151,MATCH(INDEX(FTE_Allocation!$A$2:$A$201,$AB68),Workforce!$A$2:$A$151,0))),IF(INDEX(FTE_Allocation!$J$2:$J$201,$AB68)="",2958101,INDEX(FTE_Allocation!$J$2:$J$201,$AB68))),"")))</f>
        <v/>
      </c>
      <c r="AG68" s="19">
        <f>IF($Z68="C",IF(INDEX(Contracts!$I$2:$I$151,$AB68)="PREPAID",INDEX(Contracts!$M$2:$M$151,$AB68)/IF(INDEX(Contracts!$N$2:$N$151,$AB68)="",12,INDEX(Contracts!$N$2:$N$151,$AB68)),IF(INDEX(Contracts!$I$2:$I$151,$AB68)="MONTHLY",INDEX(Contracts!$M$2:$M$151,$AB68),0))*(1-N(INDEX(Contracts!$O$2:$O$151,$AB68))),IF($Z68="A",INDEX(Fixed_Assets!$H$2:$H$201,$AB68)/INDEX(Fixed_Assets!$J$2:$J$201,$AB68),IF($Z68="F",INDEX(Workforce!$F$2:$F$151,MATCH(INDEX(FTE_Allocation!$A$2:$A$201,$AB68),Workforce!$A$2:$A$151,0))*N(INDEX(FTE_Allocation!$F$2:$H$201,$AB68,$AC68)),"")))</f>
        <v/>
      </c>
    </row>
    <row r="69">
      <c r="A69" s="7">
        <f>IF($Z69="","",$AD69)</f>
        <v/>
      </c>
      <c r="B69" s="7">
        <f>IF($Z69="C",INDEX(Contracts!$D$2:$D$151,$AB69)&amp;"",IF($Z69="A",INDEX(Fixed_Assets!$C$2:$C$201,$AB69)&amp;"",IF($Z69="F",INDEX(Workforce!$B$2:$B$151,MATCH(INDEX(FTE_Allocation!$A$2:$A$201,$AB69),Workforce!$A$2:$A$151,0))&amp;"","")))</f>
        <v/>
      </c>
      <c r="C69" s="7">
        <f>IF($Z69="C",INDEX(Contracts!$E$2:$E$151,$AB69)&amp;"",IF($Z69="A",INDEX(Fixed_Assets!$D$2:$D$201,$AB69)&amp;"",IF($Z69="F",INDEX(FTE_Allocation!$C$2:$C$201,$AB69)&amp;"","")))</f>
        <v/>
      </c>
      <c r="D69" s="7">
        <f>IF($Z69="C",INDEX(Contracts!$B$2:$B$151,$AB69)&amp;"",IF($Z69="A",INDEX(Fixed_Assets!$B$2:$B$201,$AB69)&amp;"",IF($Z69="F",INDEX(FTE_Allocation!$B$2:$B$201,$AB69)&amp;"","")))</f>
        <v/>
      </c>
      <c r="E69" s="7">
        <f>IF($Z69="C",INDEX(Contracts!$P$2:$P$151,$AB69)&amp;"",IF($Z69="A",INDEX(Fixed_Assets!$K$2:$K$201,$AB69)&amp;"",IF($Z69="F",IF(INDEX(FTE_Allocation!$D$2:$D$201,$AB69)="PROJECT",IFERROR(INDEX(Projects!$D:$D,MATCH(INDEX(FTE_Allocation!$E$2:$E$201,$AB69),Projects!$A:$A,0))&amp;"","#PROJECT?"),INDEX(FTE_Allocation!$E$2:$E$201,$AB69)&amp;""),"")))</f>
        <v/>
      </c>
      <c r="F69" s="7">
        <f>IF($Z69="C",INDEX(Contracts!$Q$2:$Q$151,$AB69)&amp;"",IF($Z69="A",INDEX(Fixed_Assets!$L$2:$L$201,$AB69)&amp;"",IF($Z69="F",INDEX(Workforce!$K$2:$K$151,MATCH(INDEX(FTE_Allocation!$A$2:$A$201,$AB69),Workforce!$A$2:$A$151,0))&amp;"","")))</f>
        <v/>
      </c>
      <c r="G69" s="7">
        <f>IF($Z69="C",INDEX(Contracts!$F$2:$F$151,$AB69)&amp;" / "&amp;INDEX(Contracts!$G$2:$G$151,$AB69),IF($Z69="A",INDEX(Fixed_Assets!$E$2:$E$201,$AB69)&amp;"",IF($Z69="F","Personnel "&amp;INDEX(FTE_Allocation!$A$2:$A$201,$AB69)&amp;IF(INDEX(FTE_Allocation!$D$2:$D$201,$AB69)="PROJECT"," ("&amp;INDEX(FTE_Allocation!$E$2:$E$201,$AB69)&amp;")",""),"")))</f>
        <v/>
      </c>
      <c r="H69" s="7">
        <f>IF($Z69="C","CONTRACT",IF($Z69="A","ASSET",IF($Z69="F","WORKFORCE","")))</f>
        <v/>
      </c>
      <c r="I69" s="7">
        <f>IF($Z69="C",INDEX(Contracts!$L$2:$L$151,$AB69)&amp;"",IF($Z69="A",INDEX(Fixed_Assets!$I$2:$I$201,$AB69)&amp;"",IF($Z69="F",INDEX(Workforce!$G$2:$G$151,MATCH(INDEX(FTE_Allocation!$A$2:$A$201,$AB69),Workforce!$A$2:$A$151,0))&amp;"","")))</f>
        <v/>
      </c>
      <c r="J69" s="18">
        <f>IF($Z69="","",IF(AND(DATE($AD69,1,1)&gt;=$AE69,DATE($AD69,1,1)&lt;=$AF69),ROUND($AG69,2),0))</f>
        <v/>
      </c>
      <c r="K69" s="18">
        <f>IF($Z69="","",IF(AND(DATE($AD69,2,1)&gt;=$AE69,DATE($AD69,2,1)&lt;=$AF69),ROUND($AG69,2),0))</f>
        <v/>
      </c>
      <c r="L69" s="18">
        <f>IF($Z69="","",IF(AND(DATE($AD69,3,1)&gt;=$AE69,DATE($AD69,3,1)&lt;=$AF69),ROUND($AG69,2),0))</f>
        <v/>
      </c>
      <c r="M69" s="18">
        <f>IF($Z69="","",IF(AND(DATE($AD69,4,1)&gt;=$AE69,DATE($AD69,4,1)&lt;=$AF69),ROUND($AG69,2),0))</f>
        <v/>
      </c>
      <c r="N69" s="18">
        <f>IF($Z69="","",IF(AND(DATE($AD69,5,1)&gt;=$AE69,DATE($AD69,5,1)&lt;=$AF69),ROUND($AG69,2),0))</f>
        <v/>
      </c>
      <c r="O69" s="18">
        <f>IF($Z69="","",IF(AND(DATE($AD69,6,1)&gt;=$AE69,DATE($AD69,6,1)&lt;=$AF69),ROUND($AG69,2),0))</f>
        <v/>
      </c>
      <c r="P69" s="18">
        <f>IF($Z69="","",IF(AND(DATE($AD69,7,1)&gt;=$AE69,DATE($AD69,7,1)&lt;=$AF69),ROUND($AG69,2),0))</f>
        <v/>
      </c>
      <c r="Q69" s="18">
        <f>IF($Z69="","",IF(AND(DATE($AD69,8,1)&gt;=$AE69,DATE($AD69,8,1)&lt;=$AF69),ROUND($AG69,2),0))</f>
        <v/>
      </c>
      <c r="R69" s="18">
        <f>IF($Z69="","",IF(AND(DATE($AD69,9,1)&gt;=$AE69,DATE($AD69,9,1)&lt;=$AF69),ROUND($AG69,2),0))</f>
        <v/>
      </c>
      <c r="S69" s="18">
        <f>IF($Z69="","",IF(AND(DATE($AD69,10,1)&gt;=$AE69,DATE($AD69,10,1)&lt;=$AF69),ROUND($AG69,2),0))</f>
        <v/>
      </c>
      <c r="T69" s="18">
        <f>IF($Z69="","",IF(AND(DATE($AD69,11,1)&gt;=$AE69,DATE($AD69,11,1)&lt;=$AF69),ROUND($AG69,2),0))</f>
        <v/>
      </c>
      <c r="U69" s="18">
        <f>IF($Z69="","",IF(AND(DATE($AD69,12,1)&gt;=$AE69,DATE($AD69,12,1)&lt;=$AF69),ROUND($AG69,2),0))</f>
        <v/>
      </c>
      <c r="V69" s="7">
        <f>IF($Z69="C","Generated from "&amp;INDEX(Contracts!$A$2:$A$151,$AB69),IF($Z69="A","Generated from "&amp;INDEX(Fixed_Assets!$A$2:$A$201,$AB69),IF($Z69="F","Generated from "&amp;INDEX(FTE_Allocation!$A$2:$A$201,$AB69),"")))</f>
        <v/>
      </c>
      <c r="X69" s="19">
        <f>IF($Z69="","",SUM(J69:U69))</f>
        <v/>
      </c>
      <c r="Y69" s="20">
        <f>ROW()-1</f>
        <v/>
      </c>
      <c r="Z69" s="20">
        <f>IF($Y69&lt;=Settings!$B$4*3,"C",IF($Y69&lt;=(Settings!$B$4+Settings!$B$5)*3,"A",IF($Y69&lt;=(Settings!$B$4+Settings!$B$5+Settings!$B$6)*3,"F","")))</f>
        <v/>
      </c>
      <c r="AA69" s="20">
        <f>IF($Z69="C",$Y69,IF($Z69="A",$Y69-Settings!$B$4*3,IF($Z69="F",$Y69-(Settings!$B$4+Settings!$B$5)*3,"")))</f>
        <v/>
      </c>
      <c r="AB69" s="20">
        <f>IF($Z69="","",INT(($AA69-1)/3)+1)</f>
        <v/>
      </c>
      <c r="AC69" s="20">
        <f>IF($Z69="","",MOD($AA69-1,3)+1)</f>
        <v/>
      </c>
      <c r="AD69" s="20">
        <f>IF($Z69="","",Settings!$B$2+$AC69-1)</f>
        <v/>
      </c>
      <c r="AE69" s="21">
        <f>IF($Z69="C",DATE(YEAR(INDEX(Contracts!$J$2:$J$151,$AB69)),MONTH(INDEX(Contracts!$J$2:$J$151,$AB69)),1),IF($Z69="A",DATE(YEAR(INDEX(Fixed_Assets!$G$2:$G$201,$AB69)),MONTH(INDEX(Fixed_Assets!$G$2:$G$201,$AB69)),1),IF($Z69="F",DATE(YEAR(MAX(N(INDEX(Workforce!$I$2:$I$151,MATCH(INDEX(FTE_Allocation!$A$2:$A$201,$AB69),Workforce!$A$2:$A$151,0))),N(INDEX(FTE_Allocation!$I$2:$I$201,$AB69)))),MONTH(MAX(N(INDEX(Workforce!$I$2:$I$151,MATCH(INDEX(FTE_Allocation!$A$2:$A$201,$AB69),Workforce!$A$2:$A$151,0))),N(INDEX(FTE_Allocation!$I$2:$I$201,$AB69)))),1),"")))</f>
        <v/>
      </c>
      <c r="AF69" s="21">
        <f>IF($Z69="C",IF(INDEX(Contracts!$I$2:$I$151,$AB69)="PREPAID",EDATE(DATE(YEAR(INDEX(Contracts!$J$2:$J$151,$AB69)),MONTH(INDEX(Contracts!$J$2:$J$151,$AB69)),1),IF(INDEX(Contracts!$N$2:$N$151,$AB69)="",12,INDEX(Contracts!$N$2:$N$151,$AB69))-1),IF(INDEX(Contracts!$I$2:$I$151,$AB69)="MONTHLY",IF(INDEX(Contracts!$K$2:$K$151,$AB69)="",2958101,INDEX(Contracts!$K$2:$K$151,$AB69)),0)),IF($Z69="A",EDATE(DATE(YEAR(INDEX(Fixed_Assets!$G$2:$G$201,$AB69)),MONTH(INDEX(Fixed_Assets!$G$2:$G$201,$AB69)),1),INDEX(Fixed_Assets!$J$2:$J$201,$AB69)-1),IF($Z69="F",MIN(IF(INDEX(Workforce!$J$2:$J$151,MATCH(INDEX(FTE_Allocation!$A$2:$A$201,$AB69),Workforce!$A$2:$A$151,0))="",2958101,INDEX(Workforce!$J$2:$J$151,MATCH(INDEX(FTE_Allocation!$A$2:$A$201,$AB69),Workforce!$A$2:$A$151,0))),IF(INDEX(FTE_Allocation!$J$2:$J$201,$AB69)="",2958101,INDEX(FTE_Allocation!$J$2:$J$201,$AB69))),"")))</f>
        <v/>
      </c>
      <c r="AG69" s="19">
        <f>IF($Z69="C",IF(INDEX(Contracts!$I$2:$I$151,$AB69)="PREPAID",INDEX(Contracts!$M$2:$M$151,$AB69)/IF(INDEX(Contracts!$N$2:$N$151,$AB69)="",12,INDEX(Contracts!$N$2:$N$151,$AB69)),IF(INDEX(Contracts!$I$2:$I$151,$AB69)="MONTHLY",INDEX(Contracts!$M$2:$M$151,$AB69),0))*(1-N(INDEX(Contracts!$O$2:$O$151,$AB69))),IF($Z69="A",INDEX(Fixed_Assets!$H$2:$H$201,$AB69)/INDEX(Fixed_Assets!$J$2:$J$201,$AB69),IF($Z69="F",INDEX(Workforce!$F$2:$F$151,MATCH(INDEX(FTE_Allocation!$A$2:$A$201,$AB69),Workforce!$A$2:$A$151,0))*N(INDEX(FTE_Allocation!$F$2:$H$201,$AB69,$AC69)),"")))</f>
        <v/>
      </c>
    </row>
    <row r="70">
      <c r="A70" s="7">
        <f>IF($Z70="","",$AD70)</f>
        <v/>
      </c>
      <c r="B70" s="7">
        <f>IF($Z70="C",INDEX(Contracts!$D$2:$D$151,$AB70)&amp;"",IF($Z70="A",INDEX(Fixed_Assets!$C$2:$C$201,$AB70)&amp;"",IF($Z70="F",INDEX(Workforce!$B$2:$B$151,MATCH(INDEX(FTE_Allocation!$A$2:$A$201,$AB70),Workforce!$A$2:$A$151,0))&amp;"","")))</f>
        <v/>
      </c>
      <c r="C70" s="7">
        <f>IF($Z70="C",INDEX(Contracts!$E$2:$E$151,$AB70)&amp;"",IF($Z70="A",INDEX(Fixed_Assets!$D$2:$D$201,$AB70)&amp;"",IF($Z70="F",INDEX(FTE_Allocation!$C$2:$C$201,$AB70)&amp;"","")))</f>
        <v/>
      </c>
      <c r="D70" s="7">
        <f>IF($Z70="C",INDEX(Contracts!$B$2:$B$151,$AB70)&amp;"",IF($Z70="A",INDEX(Fixed_Assets!$B$2:$B$201,$AB70)&amp;"",IF($Z70="F",INDEX(FTE_Allocation!$B$2:$B$201,$AB70)&amp;"","")))</f>
        <v/>
      </c>
      <c r="E70" s="7">
        <f>IF($Z70="C",INDEX(Contracts!$P$2:$P$151,$AB70)&amp;"",IF($Z70="A",INDEX(Fixed_Assets!$K$2:$K$201,$AB70)&amp;"",IF($Z70="F",IF(INDEX(FTE_Allocation!$D$2:$D$201,$AB70)="PROJECT",IFERROR(INDEX(Projects!$D:$D,MATCH(INDEX(FTE_Allocation!$E$2:$E$201,$AB70),Projects!$A:$A,0))&amp;"","#PROJECT?"),INDEX(FTE_Allocation!$E$2:$E$201,$AB70)&amp;""),"")))</f>
        <v/>
      </c>
      <c r="F70" s="7">
        <f>IF($Z70="C",INDEX(Contracts!$Q$2:$Q$151,$AB70)&amp;"",IF($Z70="A",INDEX(Fixed_Assets!$L$2:$L$201,$AB70)&amp;"",IF($Z70="F",INDEX(Workforce!$K$2:$K$151,MATCH(INDEX(FTE_Allocation!$A$2:$A$201,$AB70),Workforce!$A$2:$A$151,0))&amp;"","")))</f>
        <v/>
      </c>
      <c r="G70" s="7">
        <f>IF($Z70="C",INDEX(Contracts!$F$2:$F$151,$AB70)&amp;" / "&amp;INDEX(Contracts!$G$2:$G$151,$AB70),IF($Z70="A",INDEX(Fixed_Assets!$E$2:$E$201,$AB70)&amp;"",IF($Z70="F","Personnel "&amp;INDEX(FTE_Allocation!$A$2:$A$201,$AB70)&amp;IF(INDEX(FTE_Allocation!$D$2:$D$201,$AB70)="PROJECT"," ("&amp;INDEX(FTE_Allocation!$E$2:$E$201,$AB70)&amp;")",""),"")))</f>
        <v/>
      </c>
      <c r="H70" s="7">
        <f>IF($Z70="C","CONTRACT",IF($Z70="A","ASSET",IF($Z70="F","WORKFORCE","")))</f>
        <v/>
      </c>
      <c r="I70" s="7">
        <f>IF($Z70="C",INDEX(Contracts!$L$2:$L$151,$AB70)&amp;"",IF($Z70="A",INDEX(Fixed_Assets!$I$2:$I$201,$AB70)&amp;"",IF($Z70="F",INDEX(Workforce!$G$2:$G$151,MATCH(INDEX(FTE_Allocation!$A$2:$A$201,$AB70),Workforce!$A$2:$A$151,0))&amp;"","")))</f>
        <v/>
      </c>
      <c r="J70" s="18">
        <f>IF($Z70="","",IF(AND(DATE($AD70,1,1)&gt;=$AE70,DATE($AD70,1,1)&lt;=$AF70),ROUND($AG70,2),0))</f>
        <v/>
      </c>
      <c r="K70" s="18">
        <f>IF($Z70="","",IF(AND(DATE($AD70,2,1)&gt;=$AE70,DATE($AD70,2,1)&lt;=$AF70),ROUND($AG70,2),0))</f>
        <v/>
      </c>
      <c r="L70" s="18">
        <f>IF($Z70="","",IF(AND(DATE($AD70,3,1)&gt;=$AE70,DATE($AD70,3,1)&lt;=$AF70),ROUND($AG70,2),0))</f>
        <v/>
      </c>
      <c r="M70" s="18">
        <f>IF($Z70="","",IF(AND(DATE($AD70,4,1)&gt;=$AE70,DATE($AD70,4,1)&lt;=$AF70),ROUND($AG70,2),0))</f>
        <v/>
      </c>
      <c r="N70" s="18">
        <f>IF($Z70="","",IF(AND(DATE($AD70,5,1)&gt;=$AE70,DATE($AD70,5,1)&lt;=$AF70),ROUND($AG70,2),0))</f>
        <v/>
      </c>
      <c r="O70" s="18">
        <f>IF($Z70="","",IF(AND(DATE($AD70,6,1)&gt;=$AE70,DATE($AD70,6,1)&lt;=$AF70),ROUND($AG70,2),0))</f>
        <v/>
      </c>
      <c r="P70" s="18">
        <f>IF($Z70="","",IF(AND(DATE($AD70,7,1)&gt;=$AE70,DATE($AD70,7,1)&lt;=$AF70),ROUND($AG70,2),0))</f>
        <v/>
      </c>
      <c r="Q70" s="18">
        <f>IF($Z70="","",IF(AND(DATE($AD70,8,1)&gt;=$AE70,DATE($AD70,8,1)&lt;=$AF70),ROUND($AG70,2),0))</f>
        <v/>
      </c>
      <c r="R70" s="18">
        <f>IF($Z70="","",IF(AND(DATE($AD70,9,1)&gt;=$AE70,DATE($AD70,9,1)&lt;=$AF70),ROUND($AG70,2),0))</f>
        <v/>
      </c>
      <c r="S70" s="18">
        <f>IF($Z70="","",IF(AND(DATE($AD70,10,1)&gt;=$AE70,DATE($AD70,10,1)&lt;=$AF70),ROUND($AG70,2),0))</f>
        <v/>
      </c>
      <c r="T70" s="18">
        <f>IF($Z70="","",IF(AND(DATE($AD70,11,1)&gt;=$AE70,DATE($AD70,11,1)&lt;=$AF70),ROUND($AG70,2),0))</f>
        <v/>
      </c>
      <c r="U70" s="18">
        <f>IF($Z70="","",IF(AND(DATE($AD70,12,1)&gt;=$AE70,DATE($AD70,12,1)&lt;=$AF70),ROUND($AG70,2),0))</f>
        <v/>
      </c>
      <c r="V70" s="7">
        <f>IF($Z70="C","Generated from "&amp;INDEX(Contracts!$A$2:$A$151,$AB70),IF($Z70="A","Generated from "&amp;INDEX(Fixed_Assets!$A$2:$A$201,$AB70),IF($Z70="F","Generated from "&amp;INDEX(FTE_Allocation!$A$2:$A$201,$AB70),"")))</f>
        <v/>
      </c>
      <c r="X70" s="19">
        <f>IF($Z70="","",SUM(J70:U70))</f>
        <v/>
      </c>
      <c r="Y70" s="20">
        <f>ROW()-1</f>
        <v/>
      </c>
      <c r="Z70" s="20">
        <f>IF($Y70&lt;=Settings!$B$4*3,"C",IF($Y70&lt;=(Settings!$B$4+Settings!$B$5)*3,"A",IF($Y70&lt;=(Settings!$B$4+Settings!$B$5+Settings!$B$6)*3,"F","")))</f>
        <v/>
      </c>
      <c r="AA70" s="20">
        <f>IF($Z70="C",$Y70,IF($Z70="A",$Y70-Settings!$B$4*3,IF($Z70="F",$Y70-(Settings!$B$4+Settings!$B$5)*3,"")))</f>
        <v/>
      </c>
      <c r="AB70" s="20">
        <f>IF($Z70="","",INT(($AA70-1)/3)+1)</f>
        <v/>
      </c>
      <c r="AC70" s="20">
        <f>IF($Z70="","",MOD($AA70-1,3)+1)</f>
        <v/>
      </c>
      <c r="AD70" s="20">
        <f>IF($Z70="","",Settings!$B$2+$AC70-1)</f>
        <v/>
      </c>
      <c r="AE70" s="21">
        <f>IF($Z70="C",DATE(YEAR(INDEX(Contracts!$J$2:$J$151,$AB70)),MONTH(INDEX(Contracts!$J$2:$J$151,$AB70)),1),IF($Z70="A",DATE(YEAR(INDEX(Fixed_Assets!$G$2:$G$201,$AB70)),MONTH(INDEX(Fixed_Assets!$G$2:$G$201,$AB70)),1),IF($Z70="F",DATE(YEAR(MAX(N(INDEX(Workforce!$I$2:$I$151,MATCH(INDEX(FTE_Allocation!$A$2:$A$201,$AB70),Workforce!$A$2:$A$151,0))),N(INDEX(FTE_Allocation!$I$2:$I$201,$AB70)))),MONTH(MAX(N(INDEX(Workforce!$I$2:$I$151,MATCH(INDEX(FTE_Allocation!$A$2:$A$201,$AB70),Workforce!$A$2:$A$151,0))),N(INDEX(FTE_Allocation!$I$2:$I$201,$AB70)))),1),"")))</f>
        <v/>
      </c>
      <c r="AF70" s="21">
        <f>IF($Z70="C",IF(INDEX(Contracts!$I$2:$I$151,$AB70)="PREPAID",EDATE(DATE(YEAR(INDEX(Contracts!$J$2:$J$151,$AB70)),MONTH(INDEX(Contracts!$J$2:$J$151,$AB70)),1),IF(INDEX(Contracts!$N$2:$N$151,$AB70)="",12,INDEX(Contracts!$N$2:$N$151,$AB70))-1),IF(INDEX(Contracts!$I$2:$I$151,$AB70)="MONTHLY",IF(INDEX(Contracts!$K$2:$K$151,$AB70)="",2958101,INDEX(Contracts!$K$2:$K$151,$AB70)),0)),IF($Z70="A",EDATE(DATE(YEAR(INDEX(Fixed_Assets!$G$2:$G$201,$AB70)),MONTH(INDEX(Fixed_Assets!$G$2:$G$201,$AB70)),1),INDEX(Fixed_Assets!$J$2:$J$201,$AB70)-1),IF($Z70="F",MIN(IF(INDEX(Workforce!$J$2:$J$151,MATCH(INDEX(FTE_Allocation!$A$2:$A$201,$AB70),Workforce!$A$2:$A$151,0))="",2958101,INDEX(Workforce!$J$2:$J$151,MATCH(INDEX(FTE_Allocation!$A$2:$A$201,$AB70),Workforce!$A$2:$A$151,0))),IF(INDEX(FTE_Allocation!$J$2:$J$201,$AB70)="",2958101,INDEX(FTE_Allocation!$J$2:$J$201,$AB70))),"")))</f>
        <v/>
      </c>
      <c r="AG70" s="19">
        <f>IF($Z70="C",IF(INDEX(Contracts!$I$2:$I$151,$AB70)="PREPAID",INDEX(Contracts!$M$2:$M$151,$AB70)/IF(INDEX(Contracts!$N$2:$N$151,$AB70)="",12,INDEX(Contracts!$N$2:$N$151,$AB70)),IF(INDEX(Contracts!$I$2:$I$151,$AB70)="MONTHLY",INDEX(Contracts!$M$2:$M$151,$AB70),0))*(1-N(INDEX(Contracts!$O$2:$O$151,$AB70))),IF($Z70="A",INDEX(Fixed_Assets!$H$2:$H$201,$AB70)/INDEX(Fixed_Assets!$J$2:$J$201,$AB70),IF($Z70="F",INDEX(Workforce!$F$2:$F$151,MATCH(INDEX(FTE_Allocation!$A$2:$A$201,$AB70),Workforce!$A$2:$A$151,0))*N(INDEX(FTE_Allocation!$F$2:$H$201,$AB70,$AC70)),"")))</f>
        <v/>
      </c>
    </row>
    <row r="71">
      <c r="A71" s="7">
        <f>IF($Z71="","",$AD71)</f>
        <v/>
      </c>
      <c r="B71" s="7">
        <f>IF($Z71="C",INDEX(Contracts!$D$2:$D$151,$AB71)&amp;"",IF($Z71="A",INDEX(Fixed_Assets!$C$2:$C$201,$AB71)&amp;"",IF($Z71="F",INDEX(Workforce!$B$2:$B$151,MATCH(INDEX(FTE_Allocation!$A$2:$A$201,$AB71),Workforce!$A$2:$A$151,0))&amp;"","")))</f>
        <v/>
      </c>
      <c r="C71" s="7">
        <f>IF($Z71="C",INDEX(Contracts!$E$2:$E$151,$AB71)&amp;"",IF($Z71="A",INDEX(Fixed_Assets!$D$2:$D$201,$AB71)&amp;"",IF($Z71="F",INDEX(FTE_Allocation!$C$2:$C$201,$AB71)&amp;"","")))</f>
        <v/>
      </c>
      <c r="D71" s="7">
        <f>IF($Z71="C",INDEX(Contracts!$B$2:$B$151,$AB71)&amp;"",IF($Z71="A",INDEX(Fixed_Assets!$B$2:$B$201,$AB71)&amp;"",IF($Z71="F",INDEX(FTE_Allocation!$B$2:$B$201,$AB71)&amp;"","")))</f>
        <v/>
      </c>
      <c r="E71" s="7">
        <f>IF($Z71="C",INDEX(Contracts!$P$2:$P$151,$AB71)&amp;"",IF($Z71="A",INDEX(Fixed_Assets!$K$2:$K$201,$AB71)&amp;"",IF($Z71="F",IF(INDEX(FTE_Allocation!$D$2:$D$201,$AB71)="PROJECT",IFERROR(INDEX(Projects!$D:$D,MATCH(INDEX(FTE_Allocation!$E$2:$E$201,$AB71),Projects!$A:$A,0))&amp;"","#PROJECT?"),INDEX(FTE_Allocation!$E$2:$E$201,$AB71)&amp;""),"")))</f>
        <v/>
      </c>
      <c r="F71" s="7">
        <f>IF($Z71="C",INDEX(Contracts!$Q$2:$Q$151,$AB71)&amp;"",IF($Z71="A",INDEX(Fixed_Assets!$L$2:$L$201,$AB71)&amp;"",IF($Z71="F",INDEX(Workforce!$K$2:$K$151,MATCH(INDEX(FTE_Allocation!$A$2:$A$201,$AB71),Workforce!$A$2:$A$151,0))&amp;"","")))</f>
        <v/>
      </c>
      <c r="G71" s="7">
        <f>IF($Z71="C",INDEX(Contracts!$F$2:$F$151,$AB71)&amp;" / "&amp;INDEX(Contracts!$G$2:$G$151,$AB71),IF($Z71="A",INDEX(Fixed_Assets!$E$2:$E$201,$AB71)&amp;"",IF($Z71="F","Personnel "&amp;INDEX(FTE_Allocation!$A$2:$A$201,$AB71)&amp;IF(INDEX(FTE_Allocation!$D$2:$D$201,$AB71)="PROJECT"," ("&amp;INDEX(FTE_Allocation!$E$2:$E$201,$AB71)&amp;")",""),"")))</f>
        <v/>
      </c>
      <c r="H71" s="7">
        <f>IF($Z71="C","CONTRACT",IF($Z71="A","ASSET",IF($Z71="F","WORKFORCE","")))</f>
        <v/>
      </c>
      <c r="I71" s="7">
        <f>IF($Z71="C",INDEX(Contracts!$L$2:$L$151,$AB71)&amp;"",IF($Z71="A",INDEX(Fixed_Assets!$I$2:$I$201,$AB71)&amp;"",IF($Z71="F",INDEX(Workforce!$G$2:$G$151,MATCH(INDEX(FTE_Allocation!$A$2:$A$201,$AB71),Workforce!$A$2:$A$151,0))&amp;"","")))</f>
        <v/>
      </c>
      <c r="J71" s="18">
        <f>IF($Z71="","",IF(AND(DATE($AD71,1,1)&gt;=$AE71,DATE($AD71,1,1)&lt;=$AF71),ROUND($AG71,2),0))</f>
        <v/>
      </c>
      <c r="K71" s="18">
        <f>IF($Z71="","",IF(AND(DATE($AD71,2,1)&gt;=$AE71,DATE($AD71,2,1)&lt;=$AF71),ROUND($AG71,2),0))</f>
        <v/>
      </c>
      <c r="L71" s="18">
        <f>IF($Z71="","",IF(AND(DATE($AD71,3,1)&gt;=$AE71,DATE($AD71,3,1)&lt;=$AF71),ROUND($AG71,2),0))</f>
        <v/>
      </c>
      <c r="M71" s="18">
        <f>IF($Z71="","",IF(AND(DATE($AD71,4,1)&gt;=$AE71,DATE($AD71,4,1)&lt;=$AF71),ROUND($AG71,2),0))</f>
        <v/>
      </c>
      <c r="N71" s="18">
        <f>IF($Z71="","",IF(AND(DATE($AD71,5,1)&gt;=$AE71,DATE($AD71,5,1)&lt;=$AF71),ROUND($AG71,2),0))</f>
        <v/>
      </c>
      <c r="O71" s="18">
        <f>IF($Z71="","",IF(AND(DATE($AD71,6,1)&gt;=$AE71,DATE($AD71,6,1)&lt;=$AF71),ROUND($AG71,2),0))</f>
        <v/>
      </c>
      <c r="P71" s="18">
        <f>IF($Z71="","",IF(AND(DATE($AD71,7,1)&gt;=$AE71,DATE($AD71,7,1)&lt;=$AF71),ROUND($AG71,2),0))</f>
        <v/>
      </c>
      <c r="Q71" s="18">
        <f>IF($Z71="","",IF(AND(DATE($AD71,8,1)&gt;=$AE71,DATE($AD71,8,1)&lt;=$AF71),ROUND($AG71,2),0))</f>
        <v/>
      </c>
      <c r="R71" s="18">
        <f>IF($Z71="","",IF(AND(DATE($AD71,9,1)&gt;=$AE71,DATE($AD71,9,1)&lt;=$AF71),ROUND($AG71,2),0))</f>
        <v/>
      </c>
      <c r="S71" s="18">
        <f>IF($Z71="","",IF(AND(DATE($AD71,10,1)&gt;=$AE71,DATE($AD71,10,1)&lt;=$AF71),ROUND($AG71,2),0))</f>
        <v/>
      </c>
      <c r="T71" s="18">
        <f>IF($Z71="","",IF(AND(DATE($AD71,11,1)&gt;=$AE71,DATE($AD71,11,1)&lt;=$AF71),ROUND($AG71,2),0))</f>
        <v/>
      </c>
      <c r="U71" s="18">
        <f>IF($Z71="","",IF(AND(DATE($AD71,12,1)&gt;=$AE71,DATE($AD71,12,1)&lt;=$AF71),ROUND($AG71,2),0))</f>
        <v/>
      </c>
      <c r="V71" s="7">
        <f>IF($Z71="C","Generated from "&amp;INDEX(Contracts!$A$2:$A$151,$AB71),IF($Z71="A","Generated from "&amp;INDEX(Fixed_Assets!$A$2:$A$201,$AB71),IF($Z71="F","Generated from "&amp;INDEX(FTE_Allocation!$A$2:$A$201,$AB71),"")))</f>
        <v/>
      </c>
      <c r="X71" s="19">
        <f>IF($Z71="","",SUM(J71:U71))</f>
        <v/>
      </c>
      <c r="Y71" s="20">
        <f>ROW()-1</f>
        <v/>
      </c>
      <c r="Z71" s="20">
        <f>IF($Y71&lt;=Settings!$B$4*3,"C",IF($Y71&lt;=(Settings!$B$4+Settings!$B$5)*3,"A",IF($Y71&lt;=(Settings!$B$4+Settings!$B$5+Settings!$B$6)*3,"F","")))</f>
        <v/>
      </c>
      <c r="AA71" s="20">
        <f>IF($Z71="C",$Y71,IF($Z71="A",$Y71-Settings!$B$4*3,IF($Z71="F",$Y71-(Settings!$B$4+Settings!$B$5)*3,"")))</f>
        <v/>
      </c>
      <c r="AB71" s="20">
        <f>IF($Z71="","",INT(($AA71-1)/3)+1)</f>
        <v/>
      </c>
      <c r="AC71" s="20">
        <f>IF($Z71="","",MOD($AA71-1,3)+1)</f>
        <v/>
      </c>
      <c r="AD71" s="20">
        <f>IF($Z71="","",Settings!$B$2+$AC71-1)</f>
        <v/>
      </c>
      <c r="AE71" s="21">
        <f>IF($Z71="C",DATE(YEAR(INDEX(Contracts!$J$2:$J$151,$AB71)),MONTH(INDEX(Contracts!$J$2:$J$151,$AB71)),1),IF($Z71="A",DATE(YEAR(INDEX(Fixed_Assets!$G$2:$G$201,$AB71)),MONTH(INDEX(Fixed_Assets!$G$2:$G$201,$AB71)),1),IF($Z71="F",DATE(YEAR(MAX(N(INDEX(Workforce!$I$2:$I$151,MATCH(INDEX(FTE_Allocation!$A$2:$A$201,$AB71),Workforce!$A$2:$A$151,0))),N(INDEX(FTE_Allocation!$I$2:$I$201,$AB71)))),MONTH(MAX(N(INDEX(Workforce!$I$2:$I$151,MATCH(INDEX(FTE_Allocation!$A$2:$A$201,$AB71),Workforce!$A$2:$A$151,0))),N(INDEX(FTE_Allocation!$I$2:$I$201,$AB71)))),1),"")))</f>
        <v/>
      </c>
      <c r="AF71" s="21">
        <f>IF($Z71="C",IF(INDEX(Contracts!$I$2:$I$151,$AB71)="PREPAID",EDATE(DATE(YEAR(INDEX(Contracts!$J$2:$J$151,$AB71)),MONTH(INDEX(Contracts!$J$2:$J$151,$AB71)),1),IF(INDEX(Contracts!$N$2:$N$151,$AB71)="",12,INDEX(Contracts!$N$2:$N$151,$AB71))-1),IF(INDEX(Contracts!$I$2:$I$151,$AB71)="MONTHLY",IF(INDEX(Contracts!$K$2:$K$151,$AB71)="",2958101,INDEX(Contracts!$K$2:$K$151,$AB71)),0)),IF($Z71="A",EDATE(DATE(YEAR(INDEX(Fixed_Assets!$G$2:$G$201,$AB71)),MONTH(INDEX(Fixed_Assets!$G$2:$G$201,$AB71)),1),INDEX(Fixed_Assets!$J$2:$J$201,$AB71)-1),IF($Z71="F",MIN(IF(INDEX(Workforce!$J$2:$J$151,MATCH(INDEX(FTE_Allocation!$A$2:$A$201,$AB71),Workforce!$A$2:$A$151,0))="",2958101,INDEX(Workforce!$J$2:$J$151,MATCH(INDEX(FTE_Allocation!$A$2:$A$201,$AB71),Workforce!$A$2:$A$151,0))),IF(INDEX(FTE_Allocation!$J$2:$J$201,$AB71)="",2958101,INDEX(FTE_Allocation!$J$2:$J$201,$AB71))),"")))</f>
        <v/>
      </c>
      <c r="AG71" s="19">
        <f>IF($Z71="C",IF(INDEX(Contracts!$I$2:$I$151,$AB71)="PREPAID",INDEX(Contracts!$M$2:$M$151,$AB71)/IF(INDEX(Contracts!$N$2:$N$151,$AB71)="",12,INDEX(Contracts!$N$2:$N$151,$AB71)),IF(INDEX(Contracts!$I$2:$I$151,$AB71)="MONTHLY",INDEX(Contracts!$M$2:$M$151,$AB71),0))*(1-N(INDEX(Contracts!$O$2:$O$151,$AB71))),IF($Z71="A",INDEX(Fixed_Assets!$H$2:$H$201,$AB71)/INDEX(Fixed_Assets!$J$2:$J$201,$AB71),IF($Z71="F",INDEX(Workforce!$F$2:$F$151,MATCH(INDEX(FTE_Allocation!$A$2:$A$201,$AB71),Workforce!$A$2:$A$151,0))*N(INDEX(FTE_Allocation!$F$2:$H$201,$AB71,$AC71)),"")))</f>
        <v/>
      </c>
    </row>
    <row r="72">
      <c r="A72" s="7">
        <f>IF($Z72="","",$AD72)</f>
        <v/>
      </c>
      <c r="B72" s="7">
        <f>IF($Z72="C",INDEX(Contracts!$D$2:$D$151,$AB72)&amp;"",IF($Z72="A",INDEX(Fixed_Assets!$C$2:$C$201,$AB72)&amp;"",IF($Z72="F",INDEX(Workforce!$B$2:$B$151,MATCH(INDEX(FTE_Allocation!$A$2:$A$201,$AB72),Workforce!$A$2:$A$151,0))&amp;"","")))</f>
        <v/>
      </c>
      <c r="C72" s="7">
        <f>IF($Z72="C",INDEX(Contracts!$E$2:$E$151,$AB72)&amp;"",IF($Z72="A",INDEX(Fixed_Assets!$D$2:$D$201,$AB72)&amp;"",IF($Z72="F",INDEX(FTE_Allocation!$C$2:$C$201,$AB72)&amp;"","")))</f>
        <v/>
      </c>
      <c r="D72" s="7">
        <f>IF($Z72="C",INDEX(Contracts!$B$2:$B$151,$AB72)&amp;"",IF($Z72="A",INDEX(Fixed_Assets!$B$2:$B$201,$AB72)&amp;"",IF($Z72="F",INDEX(FTE_Allocation!$B$2:$B$201,$AB72)&amp;"","")))</f>
        <v/>
      </c>
      <c r="E72" s="7">
        <f>IF($Z72="C",INDEX(Contracts!$P$2:$P$151,$AB72)&amp;"",IF($Z72="A",INDEX(Fixed_Assets!$K$2:$K$201,$AB72)&amp;"",IF($Z72="F",IF(INDEX(FTE_Allocation!$D$2:$D$201,$AB72)="PROJECT",IFERROR(INDEX(Projects!$D:$D,MATCH(INDEX(FTE_Allocation!$E$2:$E$201,$AB72),Projects!$A:$A,0))&amp;"","#PROJECT?"),INDEX(FTE_Allocation!$E$2:$E$201,$AB72)&amp;""),"")))</f>
        <v/>
      </c>
      <c r="F72" s="7">
        <f>IF($Z72="C",INDEX(Contracts!$Q$2:$Q$151,$AB72)&amp;"",IF($Z72="A",INDEX(Fixed_Assets!$L$2:$L$201,$AB72)&amp;"",IF($Z72="F",INDEX(Workforce!$K$2:$K$151,MATCH(INDEX(FTE_Allocation!$A$2:$A$201,$AB72),Workforce!$A$2:$A$151,0))&amp;"","")))</f>
        <v/>
      </c>
      <c r="G72" s="7">
        <f>IF($Z72="C",INDEX(Contracts!$F$2:$F$151,$AB72)&amp;" / "&amp;INDEX(Contracts!$G$2:$G$151,$AB72),IF($Z72="A",INDEX(Fixed_Assets!$E$2:$E$201,$AB72)&amp;"",IF($Z72="F","Personnel "&amp;INDEX(FTE_Allocation!$A$2:$A$201,$AB72)&amp;IF(INDEX(FTE_Allocation!$D$2:$D$201,$AB72)="PROJECT"," ("&amp;INDEX(FTE_Allocation!$E$2:$E$201,$AB72)&amp;")",""),"")))</f>
        <v/>
      </c>
      <c r="H72" s="7">
        <f>IF($Z72="C","CONTRACT",IF($Z72="A","ASSET",IF($Z72="F","WORKFORCE","")))</f>
        <v/>
      </c>
      <c r="I72" s="7">
        <f>IF($Z72="C",INDEX(Contracts!$L$2:$L$151,$AB72)&amp;"",IF($Z72="A",INDEX(Fixed_Assets!$I$2:$I$201,$AB72)&amp;"",IF($Z72="F",INDEX(Workforce!$G$2:$G$151,MATCH(INDEX(FTE_Allocation!$A$2:$A$201,$AB72),Workforce!$A$2:$A$151,0))&amp;"","")))</f>
        <v/>
      </c>
      <c r="J72" s="18">
        <f>IF($Z72="","",IF(AND(DATE($AD72,1,1)&gt;=$AE72,DATE($AD72,1,1)&lt;=$AF72),ROUND($AG72,2),0))</f>
        <v/>
      </c>
      <c r="K72" s="18">
        <f>IF($Z72="","",IF(AND(DATE($AD72,2,1)&gt;=$AE72,DATE($AD72,2,1)&lt;=$AF72),ROUND($AG72,2),0))</f>
        <v/>
      </c>
      <c r="L72" s="18">
        <f>IF($Z72="","",IF(AND(DATE($AD72,3,1)&gt;=$AE72,DATE($AD72,3,1)&lt;=$AF72),ROUND($AG72,2),0))</f>
        <v/>
      </c>
      <c r="M72" s="18">
        <f>IF($Z72="","",IF(AND(DATE($AD72,4,1)&gt;=$AE72,DATE($AD72,4,1)&lt;=$AF72),ROUND($AG72,2),0))</f>
        <v/>
      </c>
      <c r="N72" s="18">
        <f>IF($Z72="","",IF(AND(DATE($AD72,5,1)&gt;=$AE72,DATE($AD72,5,1)&lt;=$AF72),ROUND($AG72,2),0))</f>
        <v/>
      </c>
      <c r="O72" s="18">
        <f>IF($Z72="","",IF(AND(DATE($AD72,6,1)&gt;=$AE72,DATE($AD72,6,1)&lt;=$AF72),ROUND($AG72,2),0))</f>
        <v/>
      </c>
      <c r="P72" s="18">
        <f>IF($Z72="","",IF(AND(DATE($AD72,7,1)&gt;=$AE72,DATE($AD72,7,1)&lt;=$AF72),ROUND($AG72,2),0))</f>
        <v/>
      </c>
      <c r="Q72" s="18">
        <f>IF($Z72="","",IF(AND(DATE($AD72,8,1)&gt;=$AE72,DATE($AD72,8,1)&lt;=$AF72),ROUND($AG72,2),0))</f>
        <v/>
      </c>
      <c r="R72" s="18">
        <f>IF($Z72="","",IF(AND(DATE($AD72,9,1)&gt;=$AE72,DATE($AD72,9,1)&lt;=$AF72),ROUND($AG72,2),0))</f>
        <v/>
      </c>
      <c r="S72" s="18">
        <f>IF($Z72="","",IF(AND(DATE($AD72,10,1)&gt;=$AE72,DATE($AD72,10,1)&lt;=$AF72),ROUND($AG72,2),0))</f>
        <v/>
      </c>
      <c r="T72" s="18">
        <f>IF($Z72="","",IF(AND(DATE($AD72,11,1)&gt;=$AE72,DATE($AD72,11,1)&lt;=$AF72),ROUND($AG72,2),0))</f>
        <v/>
      </c>
      <c r="U72" s="18">
        <f>IF($Z72="","",IF(AND(DATE($AD72,12,1)&gt;=$AE72,DATE($AD72,12,1)&lt;=$AF72),ROUND($AG72,2),0))</f>
        <v/>
      </c>
      <c r="V72" s="7">
        <f>IF($Z72="C","Generated from "&amp;INDEX(Contracts!$A$2:$A$151,$AB72),IF($Z72="A","Generated from "&amp;INDEX(Fixed_Assets!$A$2:$A$201,$AB72),IF($Z72="F","Generated from "&amp;INDEX(FTE_Allocation!$A$2:$A$201,$AB72),"")))</f>
        <v/>
      </c>
      <c r="X72" s="19">
        <f>IF($Z72="","",SUM(J72:U72))</f>
        <v/>
      </c>
      <c r="Y72" s="20">
        <f>ROW()-1</f>
        <v/>
      </c>
      <c r="Z72" s="20">
        <f>IF($Y72&lt;=Settings!$B$4*3,"C",IF($Y72&lt;=(Settings!$B$4+Settings!$B$5)*3,"A",IF($Y72&lt;=(Settings!$B$4+Settings!$B$5+Settings!$B$6)*3,"F","")))</f>
        <v/>
      </c>
      <c r="AA72" s="20">
        <f>IF($Z72="C",$Y72,IF($Z72="A",$Y72-Settings!$B$4*3,IF($Z72="F",$Y72-(Settings!$B$4+Settings!$B$5)*3,"")))</f>
        <v/>
      </c>
      <c r="AB72" s="20">
        <f>IF($Z72="","",INT(($AA72-1)/3)+1)</f>
        <v/>
      </c>
      <c r="AC72" s="20">
        <f>IF($Z72="","",MOD($AA72-1,3)+1)</f>
        <v/>
      </c>
      <c r="AD72" s="20">
        <f>IF($Z72="","",Settings!$B$2+$AC72-1)</f>
        <v/>
      </c>
      <c r="AE72" s="21">
        <f>IF($Z72="C",DATE(YEAR(INDEX(Contracts!$J$2:$J$151,$AB72)),MONTH(INDEX(Contracts!$J$2:$J$151,$AB72)),1),IF($Z72="A",DATE(YEAR(INDEX(Fixed_Assets!$G$2:$G$201,$AB72)),MONTH(INDEX(Fixed_Assets!$G$2:$G$201,$AB72)),1),IF($Z72="F",DATE(YEAR(MAX(N(INDEX(Workforce!$I$2:$I$151,MATCH(INDEX(FTE_Allocation!$A$2:$A$201,$AB72),Workforce!$A$2:$A$151,0))),N(INDEX(FTE_Allocation!$I$2:$I$201,$AB72)))),MONTH(MAX(N(INDEX(Workforce!$I$2:$I$151,MATCH(INDEX(FTE_Allocation!$A$2:$A$201,$AB72),Workforce!$A$2:$A$151,0))),N(INDEX(FTE_Allocation!$I$2:$I$201,$AB72)))),1),"")))</f>
        <v/>
      </c>
      <c r="AF72" s="21">
        <f>IF($Z72="C",IF(INDEX(Contracts!$I$2:$I$151,$AB72)="PREPAID",EDATE(DATE(YEAR(INDEX(Contracts!$J$2:$J$151,$AB72)),MONTH(INDEX(Contracts!$J$2:$J$151,$AB72)),1),IF(INDEX(Contracts!$N$2:$N$151,$AB72)="",12,INDEX(Contracts!$N$2:$N$151,$AB72))-1),IF(INDEX(Contracts!$I$2:$I$151,$AB72)="MONTHLY",IF(INDEX(Contracts!$K$2:$K$151,$AB72)="",2958101,INDEX(Contracts!$K$2:$K$151,$AB72)),0)),IF($Z72="A",EDATE(DATE(YEAR(INDEX(Fixed_Assets!$G$2:$G$201,$AB72)),MONTH(INDEX(Fixed_Assets!$G$2:$G$201,$AB72)),1),INDEX(Fixed_Assets!$J$2:$J$201,$AB72)-1),IF($Z72="F",MIN(IF(INDEX(Workforce!$J$2:$J$151,MATCH(INDEX(FTE_Allocation!$A$2:$A$201,$AB72),Workforce!$A$2:$A$151,0))="",2958101,INDEX(Workforce!$J$2:$J$151,MATCH(INDEX(FTE_Allocation!$A$2:$A$201,$AB72),Workforce!$A$2:$A$151,0))),IF(INDEX(FTE_Allocation!$J$2:$J$201,$AB72)="",2958101,INDEX(FTE_Allocation!$J$2:$J$201,$AB72))),"")))</f>
        <v/>
      </c>
      <c r="AG72" s="19">
        <f>IF($Z72="C",IF(INDEX(Contracts!$I$2:$I$151,$AB72)="PREPAID",INDEX(Contracts!$M$2:$M$151,$AB72)/IF(INDEX(Contracts!$N$2:$N$151,$AB72)="",12,INDEX(Contracts!$N$2:$N$151,$AB72)),IF(INDEX(Contracts!$I$2:$I$151,$AB72)="MONTHLY",INDEX(Contracts!$M$2:$M$151,$AB72),0))*(1-N(INDEX(Contracts!$O$2:$O$151,$AB72))),IF($Z72="A",INDEX(Fixed_Assets!$H$2:$H$201,$AB72)/INDEX(Fixed_Assets!$J$2:$J$201,$AB72),IF($Z72="F",INDEX(Workforce!$F$2:$F$151,MATCH(INDEX(FTE_Allocation!$A$2:$A$201,$AB72),Workforce!$A$2:$A$151,0))*N(INDEX(FTE_Allocation!$F$2:$H$201,$AB72,$AC72)),"")))</f>
        <v/>
      </c>
    </row>
    <row r="73">
      <c r="A73" s="7">
        <f>IF($Z73="","",$AD73)</f>
        <v/>
      </c>
      <c r="B73" s="7">
        <f>IF($Z73="C",INDEX(Contracts!$D$2:$D$151,$AB73)&amp;"",IF($Z73="A",INDEX(Fixed_Assets!$C$2:$C$201,$AB73)&amp;"",IF($Z73="F",INDEX(Workforce!$B$2:$B$151,MATCH(INDEX(FTE_Allocation!$A$2:$A$201,$AB73),Workforce!$A$2:$A$151,0))&amp;"","")))</f>
        <v/>
      </c>
      <c r="C73" s="7">
        <f>IF($Z73="C",INDEX(Contracts!$E$2:$E$151,$AB73)&amp;"",IF($Z73="A",INDEX(Fixed_Assets!$D$2:$D$201,$AB73)&amp;"",IF($Z73="F",INDEX(FTE_Allocation!$C$2:$C$201,$AB73)&amp;"","")))</f>
        <v/>
      </c>
      <c r="D73" s="7">
        <f>IF($Z73="C",INDEX(Contracts!$B$2:$B$151,$AB73)&amp;"",IF($Z73="A",INDEX(Fixed_Assets!$B$2:$B$201,$AB73)&amp;"",IF($Z73="F",INDEX(FTE_Allocation!$B$2:$B$201,$AB73)&amp;"","")))</f>
        <v/>
      </c>
      <c r="E73" s="7">
        <f>IF($Z73="C",INDEX(Contracts!$P$2:$P$151,$AB73)&amp;"",IF($Z73="A",INDEX(Fixed_Assets!$K$2:$K$201,$AB73)&amp;"",IF($Z73="F",IF(INDEX(FTE_Allocation!$D$2:$D$201,$AB73)="PROJECT",IFERROR(INDEX(Projects!$D:$D,MATCH(INDEX(FTE_Allocation!$E$2:$E$201,$AB73),Projects!$A:$A,0))&amp;"","#PROJECT?"),INDEX(FTE_Allocation!$E$2:$E$201,$AB73)&amp;""),"")))</f>
        <v/>
      </c>
      <c r="F73" s="7">
        <f>IF($Z73="C",INDEX(Contracts!$Q$2:$Q$151,$AB73)&amp;"",IF($Z73="A",INDEX(Fixed_Assets!$L$2:$L$201,$AB73)&amp;"",IF($Z73="F",INDEX(Workforce!$K$2:$K$151,MATCH(INDEX(FTE_Allocation!$A$2:$A$201,$AB73),Workforce!$A$2:$A$151,0))&amp;"","")))</f>
        <v/>
      </c>
      <c r="G73" s="7">
        <f>IF($Z73="C",INDEX(Contracts!$F$2:$F$151,$AB73)&amp;" / "&amp;INDEX(Contracts!$G$2:$G$151,$AB73),IF($Z73="A",INDEX(Fixed_Assets!$E$2:$E$201,$AB73)&amp;"",IF($Z73="F","Personnel "&amp;INDEX(FTE_Allocation!$A$2:$A$201,$AB73)&amp;IF(INDEX(FTE_Allocation!$D$2:$D$201,$AB73)="PROJECT"," ("&amp;INDEX(FTE_Allocation!$E$2:$E$201,$AB73)&amp;")",""),"")))</f>
        <v/>
      </c>
      <c r="H73" s="7">
        <f>IF($Z73="C","CONTRACT",IF($Z73="A","ASSET",IF($Z73="F","WORKFORCE","")))</f>
        <v/>
      </c>
      <c r="I73" s="7">
        <f>IF($Z73="C",INDEX(Contracts!$L$2:$L$151,$AB73)&amp;"",IF($Z73="A",INDEX(Fixed_Assets!$I$2:$I$201,$AB73)&amp;"",IF($Z73="F",INDEX(Workforce!$G$2:$G$151,MATCH(INDEX(FTE_Allocation!$A$2:$A$201,$AB73),Workforce!$A$2:$A$151,0))&amp;"","")))</f>
        <v/>
      </c>
      <c r="J73" s="18">
        <f>IF($Z73="","",IF(AND(DATE($AD73,1,1)&gt;=$AE73,DATE($AD73,1,1)&lt;=$AF73),ROUND($AG73,2),0))</f>
        <v/>
      </c>
      <c r="K73" s="18">
        <f>IF($Z73="","",IF(AND(DATE($AD73,2,1)&gt;=$AE73,DATE($AD73,2,1)&lt;=$AF73),ROUND($AG73,2),0))</f>
        <v/>
      </c>
      <c r="L73" s="18">
        <f>IF($Z73="","",IF(AND(DATE($AD73,3,1)&gt;=$AE73,DATE($AD73,3,1)&lt;=$AF73),ROUND($AG73,2),0))</f>
        <v/>
      </c>
      <c r="M73" s="18">
        <f>IF($Z73="","",IF(AND(DATE($AD73,4,1)&gt;=$AE73,DATE($AD73,4,1)&lt;=$AF73),ROUND($AG73,2),0))</f>
        <v/>
      </c>
      <c r="N73" s="18">
        <f>IF($Z73="","",IF(AND(DATE($AD73,5,1)&gt;=$AE73,DATE($AD73,5,1)&lt;=$AF73),ROUND($AG73,2),0))</f>
        <v/>
      </c>
      <c r="O73" s="18">
        <f>IF($Z73="","",IF(AND(DATE($AD73,6,1)&gt;=$AE73,DATE($AD73,6,1)&lt;=$AF73),ROUND($AG73,2),0))</f>
        <v/>
      </c>
      <c r="P73" s="18">
        <f>IF($Z73="","",IF(AND(DATE($AD73,7,1)&gt;=$AE73,DATE($AD73,7,1)&lt;=$AF73),ROUND($AG73,2),0))</f>
        <v/>
      </c>
      <c r="Q73" s="18">
        <f>IF($Z73="","",IF(AND(DATE($AD73,8,1)&gt;=$AE73,DATE($AD73,8,1)&lt;=$AF73),ROUND($AG73,2),0))</f>
        <v/>
      </c>
      <c r="R73" s="18">
        <f>IF($Z73="","",IF(AND(DATE($AD73,9,1)&gt;=$AE73,DATE($AD73,9,1)&lt;=$AF73),ROUND($AG73,2),0))</f>
        <v/>
      </c>
      <c r="S73" s="18">
        <f>IF($Z73="","",IF(AND(DATE($AD73,10,1)&gt;=$AE73,DATE($AD73,10,1)&lt;=$AF73),ROUND($AG73,2),0))</f>
        <v/>
      </c>
      <c r="T73" s="18">
        <f>IF($Z73="","",IF(AND(DATE($AD73,11,1)&gt;=$AE73,DATE($AD73,11,1)&lt;=$AF73),ROUND($AG73,2),0))</f>
        <v/>
      </c>
      <c r="U73" s="18">
        <f>IF($Z73="","",IF(AND(DATE($AD73,12,1)&gt;=$AE73,DATE($AD73,12,1)&lt;=$AF73),ROUND($AG73,2),0))</f>
        <v/>
      </c>
      <c r="V73" s="7">
        <f>IF($Z73="C","Generated from "&amp;INDEX(Contracts!$A$2:$A$151,$AB73),IF($Z73="A","Generated from "&amp;INDEX(Fixed_Assets!$A$2:$A$201,$AB73),IF($Z73="F","Generated from "&amp;INDEX(FTE_Allocation!$A$2:$A$201,$AB73),"")))</f>
        <v/>
      </c>
      <c r="X73" s="19">
        <f>IF($Z73="","",SUM(J73:U73))</f>
        <v/>
      </c>
      <c r="Y73" s="20">
        <f>ROW()-1</f>
        <v/>
      </c>
      <c r="Z73" s="20">
        <f>IF($Y73&lt;=Settings!$B$4*3,"C",IF($Y73&lt;=(Settings!$B$4+Settings!$B$5)*3,"A",IF($Y73&lt;=(Settings!$B$4+Settings!$B$5+Settings!$B$6)*3,"F","")))</f>
        <v/>
      </c>
      <c r="AA73" s="20">
        <f>IF($Z73="C",$Y73,IF($Z73="A",$Y73-Settings!$B$4*3,IF($Z73="F",$Y73-(Settings!$B$4+Settings!$B$5)*3,"")))</f>
        <v/>
      </c>
      <c r="AB73" s="20">
        <f>IF($Z73="","",INT(($AA73-1)/3)+1)</f>
        <v/>
      </c>
      <c r="AC73" s="20">
        <f>IF($Z73="","",MOD($AA73-1,3)+1)</f>
        <v/>
      </c>
      <c r="AD73" s="20">
        <f>IF($Z73="","",Settings!$B$2+$AC73-1)</f>
        <v/>
      </c>
      <c r="AE73" s="21">
        <f>IF($Z73="C",DATE(YEAR(INDEX(Contracts!$J$2:$J$151,$AB73)),MONTH(INDEX(Contracts!$J$2:$J$151,$AB73)),1),IF($Z73="A",DATE(YEAR(INDEX(Fixed_Assets!$G$2:$G$201,$AB73)),MONTH(INDEX(Fixed_Assets!$G$2:$G$201,$AB73)),1),IF($Z73="F",DATE(YEAR(MAX(N(INDEX(Workforce!$I$2:$I$151,MATCH(INDEX(FTE_Allocation!$A$2:$A$201,$AB73),Workforce!$A$2:$A$151,0))),N(INDEX(FTE_Allocation!$I$2:$I$201,$AB73)))),MONTH(MAX(N(INDEX(Workforce!$I$2:$I$151,MATCH(INDEX(FTE_Allocation!$A$2:$A$201,$AB73),Workforce!$A$2:$A$151,0))),N(INDEX(FTE_Allocation!$I$2:$I$201,$AB73)))),1),"")))</f>
        <v/>
      </c>
      <c r="AF73" s="21">
        <f>IF($Z73="C",IF(INDEX(Contracts!$I$2:$I$151,$AB73)="PREPAID",EDATE(DATE(YEAR(INDEX(Contracts!$J$2:$J$151,$AB73)),MONTH(INDEX(Contracts!$J$2:$J$151,$AB73)),1),IF(INDEX(Contracts!$N$2:$N$151,$AB73)="",12,INDEX(Contracts!$N$2:$N$151,$AB73))-1),IF(INDEX(Contracts!$I$2:$I$151,$AB73)="MONTHLY",IF(INDEX(Contracts!$K$2:$K$151,$AB73)="",2958101,INDEX(Contracts!$K$2:$K$151,$AB73)),0)),IF($Z73="A",EDATE(DATE(YEAR(INDEX(Fixed_Assets!$G$2:$G$201,$AB73)),MONTH(INDEX(Fixed_Assets!$G$2:$G$201,$AB73)),1),INDEX(Fixed_Assets!$J$2:$J$201,$AB73)-1),IF($Z73="F",MIN(IF(INDEX(Workforce!$J$2:$J$151,MATCH(INDEX(FTE_Allocation!$A$2:$A$201,$AB73),Workforce!$A$2:$A$151,0))="",2958101,INDEX(Workforce!$J$2:$J$151,MATCH(INDEX(FTE_Allocation!$A$2:$A$201,$AB73),Workforce!$A$2:$A$151,0))),IF(INDEX(FTE_Allocation!$J$2:$J$201,$AB73)="",2958101,INDEX(FTE_Allocation!$J$2:$J$201,$AB73))),"")))</f>
        <v/>
      </c>
      <c r="AG73" s="19">
        <f>IF($Z73="C",IF(INDEX(Contracts!$I$2:$I$151,$AB73)="PREPAID",INDEX(Contracts!$M$2:$M$151,$AB73)/IF(INDEX(Contracts!$N$2:$N$151,$AB73)="",12,INDEX(Contracts!$N$2:$N$151,$AB73)),IF(INDEX(Contracts!$I$2:$I$151,$AB73)="MONTHLY",INDEX(Contracts!$M$2:$M$151,$AB73),0))*(1-N(INDEX(Contracts!$O$2:$O$151,$AB73))),IF($Z73="A",INDEX(Fixed_Assets!$H$2:$H$201,$AB73)/INDEX(Fixed_Assets!$J$2:$J$201,$AB73),IF($Z73="F",INDEX(Workforce!$F$2:$F$151,MATCH(INDEX(FTE_Allocation!$A$2:$A$201,$AB73),Workforce!$A$2:$A$151,0))*N(INDEX(FTE_Allocation!$F$2:$H$201,$AB73,$AC73)),"")))</f>
        <v/>
      </c>
    </row>
    <row r="74">
      <c r="A74" s="7">
        <f>IF($Z74="","",$AD74)</f>
        <v/>
      </c>
      <c r="B74" s="7">
        <f>IF($Z74="C",INDEX(Contracts!$D$2:$D$151,$AB74)&amp;"",IF($Z74="A",INDEX(Fixed_Assets!$C$2:$C$201,$AB74)&amp;"",IF($Z74="F",INDEX(Workforce!$B$2:$B$151,MATCH(INDEX(FTE_Allocation!$A$2:$A$201,$AB74),Workforce!$A$2:$A$151,0))&amp;"","")))</f>
        <v/>
      </c>
      <c r="C74" s="7">
        <f>IF($Z74="C",INDEX(Contracts!$E$2:$E$151,$AB74)&amp;"",IF($Z74="A",INDEX(Fixed_Assets!$D$2:$D$201,$AB74)&amp;"",IF($Z74="F",INDEX(FTE_Allocation!$C$2:$C$201,$AB74)&amp;"","")))</f>
        <v/>
      </c>
      <c r="D74" s="7">
        <f>IF($Z74="C",INDEX(Contracts!$B$2:$B$151,$AB74)&amp;"",IF($Z74="A",INDEX(Fixed_Assets!$B$2:$B$201,$AB74)&amp;"",IF($Z74="F",INDEX(FTE_Allocation!$B$2:$B$201,$AB74)&amp;"","")))</f>
        <v/>
      </c>
      <c r="E74" s="7">
        <f>IF($Z74="C",INDEX(Contracts!$P$2:$P$151,$AB74)&amp;"",IF($Z74="A",INDEX(Fixed_Assets!$K$2:$K$201,$AB74)&amp;"",IF($Z74="F",IF(INDEX(FTE_Allocation!$D$2:$D$201,$AB74)="PROJECT",IFERROR(INDEX(Projects!$D:$D,MATCH(INDEX(FTE_Allocation!$E$2:$E$201,$AB74),Projects!$A:$A,0))&amp;"","#PROJECT?"),INDEX(FTE_Allocation!$E$2:$E$201,$AB74)&amp;""),"")))</f>
        <v/>
      </c>
      <c r="F74" s="7">
        <f>IF($Z74="C",INDEX(Contracts!$Q$2:$Q$151,$AB74)&amp;"",IF($Z74="A",INDEX(Fixed_Assets!$L$2:$L$201,$AB74)&amp;"",IF($Z74="F",INDEX(Workforce!$K$2:$K$151,MATCH(INDEX(FTE_Allocation!$A$2:$A$201,$AB74),Workforce!$A$2:$A$151,0))&amp;"","")))</f>
        <v/>
      </c>
      <c r="G74" s="7">
        <f>IF($Z74="C",INDEX(Contracts!$F$2:$F$151,$AB74)&amp;" / "&amp;INDEX(Contracts!$G$2:$G$151,$AB74),IF($Z74="A",INDEX(Fixed_Assets!$E$2:$E$201,$AB74)&amp;"",IF($Z74="F","Personnel "&amp;INDEX(FTE_Allocation!$A$2:$A$201,$AB74)&amp;IF(INDEX(FTE_Allocation!$D$2:$D$201,$AB74)="PROJECT"," ("&amp;INDEX(FTE_Allocation!$E$2:$E$201,$AB74)&amp;")",""),"")))</f>
        <v/>
      </c>
      <c r="H74" s="7">
        <f>IF($Z74="C","CONTRACT",IF($Z74="A","ASSET",IF($Z74="F","WORKFORCE","")))</f>
        <v/>
      </c>
      <c r="I74" s="7">
        <f>IF($Z74="C",INDEX(Contracts!$L$2:$L$151,$AB74)&amp;"",IF($Z74="A",INDEX(Fixed_Assets!$I$2:$I$201,$AB74)&amp;"",IF($Z74="F",INDEX(Workforce!$G$2:$G$151,MATCH(INDEX(FTE_Allocation!$A$2:$A$201,$AB74),Workforce!$A$2:$A$151,0))&amp;"","")))</f>
        <v/>
      </c>
      <c r="J74" s="18">
        <f>IF($Z74="","",IF(AND(DATE($AD74,1,1)&gt;=$AE74,DATE($AD74,1,1)&lt;=$AF74),ROUND($AG74,2),0))</f>
        <v/>
      </c>
      <c r="K74" s="18">
        <f>IF($Z74="","",IF(AND(DATE($AD74,2,1)&gt;=$AE74,DATE($AD74,2,1)&lt;=$AF74),ROUND($AG74,2),0))</f>
        <v/>
      </c>
      <c r="L74" s="18">
        <f>IF($Z74="","",IF(AND(DATE($AD74,3,1)&gt;=$AE74,DATE($AD74,3,1)&lt;=$AF74),ROUND($AG74,2),0))</f>
        <v/>
      </c>
      <c r="M74" s="18">
        <f>IF($Z74="","",IF(AND(DATE($AD74,4,1)&gt;=$AE74,DATE($AD74,4,1)&lt;=$AF74),ROUND($AG74,2),0))</f>
        <v/>
      </c>
      <c r="N74" s="18">
        <f>IF($Z74="","",IF(AND(DATE($AD74,5,1)&gt;=$AE74,DATE($AD74,5,1)&lt;=$AF74),ROUND($AG74,2),0))</f>
        <v/>
      </c>
      <c r="O74" s="18">
        <f>IF($Z74="","",IF(AND(DATE($AD74,6,1)&gt;=$AE74,DATE($AD74,6,1)&lt;=$AF74),ROUND($AG74,2),0))</f>
        <v/>
      </c>
      <c r="P74" s="18">
        <f>IF($Z74="","",IF(AND(DATE($AD74,7,1)&gt;=$AE74,DATE($AD74,7,1)&lt;=$AF74),ROUND($AG74,2),0))</f>
        <v/>
      </c>
      <c r="Q74" s="18">
        <f>IF($Z74="","",IF(AND(DATE($AD74,8,1)&gt;=$AE74,DATE($AD74,8,1)&lt;=$AF74),ROUND($AG74,2),0))</f>
        <v/>
      </c>
      <c r="R74" s="18">
        <f>IF($Z74="","",IF(AND(DATE($AD74,9,1)&gt;=$AE74,DATE($AD74,9,1)&lt;=$AF74),ROUND($AG74,2),0))</f>
        <v/>
      </c>
      <c r="S74" s="18">
        <f>IF($Z74="","",IF(AND(DATE($AD74,10,1)&gt;=$AE74,DATE($AD74,10,1)&lt;=$AF74),ROUND($AG74,2),0))</f>
        <v/>
      </c>
      <c r="T74" s="18">
        <f>IF($Z74="","",IF(AND(DATE($AD74,11,1)&gt;=$AE74,DATE($AD74,11,1)&lt;=$AF74),ROUND($AG74,2),0))</f>
        <v/>
      </c>
      <c r="U74" s="18">
        <f>IF($Z74="","",IF(AND(DATE($AD74,12,1)&gt;=$AE74,DATE($AD74,12,1)&lt;=$AF74),ROUND($AG74,2),0))</f>
        <v/>
      </c>
      <c r="V74" s="7">
        <f>IF($Z74="C","Generated from "&amp;INDEX(Contracts!$A$2:$A$151,$AB74),IF($Z74="A","Generated from "&amp;INDEX(Fixed_Assets!$A$2:$A$201,$AB74),IF($Z74="F","Generated from "&amp;INDEX(FTE_Allocation!$A$2:$A$201,$AB74),"")))</f>
        <v/>
      </c>
      <c r="X74" s="19">
        <f>IF($Z74="","",SUM(J74:U74))</f>
        <v/>
      </c>
      <c r="Y74" s="20">
        <f>ROW()-1</f>
        <v/>
      </c>
      <c r="Z74" s="20">
        <f>IF($Y74&lt;=Settings!$B$4*3,"C",IF($Y74&lt;=(Settings!$B$4+Settings!$B$5)*3,"A",IF($Y74&lt;=(Settings!$B$4+Settings!$B$5+Settings!$B$6)*3,"F","")))</f>
        <v/>
      </c>
      <c r="AA74" s="20">
        <f>IF($Z74="C",$Y74,IF($Z74="A",$Y74-Settings!$B$4*3,IF($Z74="F",$Y74-(Settings!$B$4+Settings!$B$5)*3,"")))</f>
        <v/>
      </c>
      <c r="AB74" s="20">
        <f>IF($Z74="","",INT(($AA74-1)/3)+1)</f>
        <v/>
      </c>
      <c r="AC74" s="20">
        <f>IF($Z74="","",MOD($AA74-1,3)+1)</f>
        <v/>
      </c>
      <c r="AD74" s="20">
        <f>IF($Z74="","",Settings!$B$2+$AC74-1)</f>
        <v/>
      </c>
      <c r="AE74" s="21">
        <f>IF($Z74="C",DATE(YEAR(INDEX(Contracts!$J$2:$J$151,$AB74)),MONTH(INDEX(Contracts!$J$2:$J$151,$AB74)),1),IF($Z74="A",DATE(YEAR(INDEX(Fixed_Assets!$G$2:$G$201,$AB74)),MONTH(INDEX(Fixed_Assets!$G$2:$G$201,$AB74)),1),IF($Z74="F",DATE(YEAR(MAX(N(INDEX(Workforce!$I$2:$I$151,MATCH(INDEX(FTE_Allocation!$A$2:$A$201,$AB74),Workforce!$A$2:$A$151,0))),N(INDEX(FTE_Allocation!$I$2:$I$201,$AB74)))),MONTH(MAX(N(INDEX(Workforce!$I$2:$I$151,MATCH(INDEX(FTE_Allocation!$A$2:$A$201,$AB74),Workforce!$A$2:$A$151,0))),N(INDEX(FTE_Allocation!$I$2:$I$201,$AB74)))),1),"")))</f>
        <v/>
      </c>
      <c r="AF74" s="21">
        <f>IF($Z74="C",IF(INDEX(Contracts!$I$2:$I$151,$AB74)="PREPAID",EDATE(DATE(YEAR(INDEX(Contracts!$J$2:$J$151,$AB74)),MONTH(INDEX(Contracts!$J$2:$J$151,$AB74)),1),IF(INDEX(Contracts!$N$2:$N$151,$AB74)="",12,INDEX(Contracts!$N$2:$N$151,$AB74))-1),IF(INDEX(Contracts!$I$2:$I$151,$AB74)="MONTHLY",IF(INDEX(Contracts!$K$2:$K$151,$AB74)="",2958101,INDEX(Contracts!$K$2:$K$151,$AB74)),0)),IF($Z74="A",EDATE(DATE(YEAR(INDEX(Fixed_Assets!$G$2:$G$201,$AB74)),MONTH(INDEX(Fixed_Assets!$G$2:$G$201,$AB74)),1),INDEX(Fixed_Assets!$J$2:$J$201,$AB74)-1),IF($Z74="F",MIN(IF(INDEX(Workforce!$J$2:$J$151,MATCH(INDEX(FTE_Allocation!$A$2:$A$201,$AB74),Workforce!$A$2:$A$151,0))="",2958101,INDEX(Workforce!$J$2:$J$151,MATCH(INDEX(FTE_Allocation!$A$2:$A$201,$AB74),Workforce!$A$2:$A$151,0))),IF(INDEX(FTE_Allocation!$J$2:$J$201,$AB74)="",2958101,INDEX(FTE_Allocation!$J$2:$J$201,$AB74))),"")))</f>
        <v/>
      </c>
      <c r="AG74" s="19">
        <f>IF($Z74="C",IF(INDEX(Contracts!$I$2:$I$151,$AB74)="PREPAID",INDEX(Contracts!$M$2:$M$151,$AB74)/IF(INDEX(Contracts!$N$2:$N$151,$AB74)="",12,INDEX(Contracts!$N$2:$N$151,$AB74)),IF(INDEX(Contracts!$I$2:$I$151,$AB74)="MONTHLY",INDEX(Contracts!$M$2:$M$151,$AB74),0))*(1-N(INDEX(Contracts!$O$2:$O$151,$AB74))),IF($Z74="A",INDEX(Fixed_Assets!$H$2:$H$201,$AB74)/INDEX(Fixed_Assets!$J$2:$J$201,$AB74),IF($Z74="F",INDEX(Workforce!$F$2:$F$151,MATCH(INDEX(FTE_Allocation!$A$2:$A$201,$AB74),Workforce!$A$2:$A$151,0))*N(INDEX(FTE_Allocation!$F$2:$H$201,$AB74,$AC74)),"")))</f>
        <v/>
      </c>
    </row>
    <row r="75">
      <c r="A75" s="7">
        <f>IF($Z75="","",$AD75)</f>
        <v/>
      </c>
      <c r="B75" s="7">
        <f>IF($Z75="C",INDEX(Contracts!$D$2:$D$151,$AB75)&amp;"",IF($Z75="A",INDEX(Fixed_Assets!$C$2:$C$201,$AB75)&amp;"",IF($Z75="F",INDEX(Workforce!$B$2:$B$151,MATCH(INDEX(FTE_Allocation!$A$2:$A$201,$AB75),Workforce!$A$2:$A$151,0))&amp;"","")))</f>
        <v/>
      </c>
      <c r="C75" s="7">
        <f>IF($Z75="C",INDEX(Contracts!$E$2:$E$151,$AB75)&amp;"",IF($Z75="A",INDEX(Fixed_Assets!$D$2:$D$201,$AB75)&amp;"",IF($Z75="F",INDEX(FTE_Allocation!$C$2:$C$201,$AB75)&amp;"","")))</f>
        <v/>
      </c>
      <c r="D75" s="7">
        <f>IF($Z75="C",INDEX(Contracts!$B$2:$B$151,$AB75)&amp;"",IF($Z75="A",INDEX(Fixed_Assets!$B$2:$B$201,$AB75)&amp;"",IF($Z75="F",INDEX(FTE_Allocation!$B$2:$B$201,$AB75)&amp;"","")))</f>
        <v/>
      </c>
      <c r="E75" s="7">
        <f>IF($Z75="C",INDEX(Contracts!$P$2:$P$151,$AB75)&amp;"",IF($Z75="A",INDEX(Fixed_Assets!$K$2:$K$201,$AB75)&amp;"",IF($Z75="F",IF(INDEX(FTE_Allocation!$D$2:$D$201,$AB75)="PROJECT",IFERROR(INDEX(Projects!$D:$D,MATCH(INDEX(FTE_Allocation!$E$2:$E$201,$AB75),Projects!$A:$A,0))&amp;"","#PROJECT?"),INDEX(FTE_Allocation!$E$2:$E$201,$AB75)&amp;""),"")))</f>
        <v/>
      </c>
      <c r="F75" s="7">
        <f>IF($Z75="C",INDEX(Contracts!$Q$2:$Q$151,$AB75)&amp;"",IF($Z75="A",INDEX(Fixed_Assets!$L$2:$L$201,$AB75)&amp;"",IF($Z75="F",INDEX(Workforce!$K$2:$K$151,MATCH(INDEX(FTE_Allocation!$A$2:$A$201,$AB75),Workforce!$A$2:$A$151,0))&amp;"","")))</f>
        <v/>
      </c>
      <c r="G75" s="7">
        <f>IF($Z75="C",INDEX(Contracts!$F$2:$F$151,$AB75)&amp;" / "&amp;INDEX(Contracts!$G$2:$G$151,$AB75),IF($Z75="A",INDEX(Fixed_Assets!$E$2:$E$201,$AB75)&amp;"",IF($Z75="F","Personnel "&amp;INDEX(FTE_Allocation!$A$2:$A$201,$AB75)&amp;IF(INDEX(FTE_Allocation!$D$2:$D$201,$AB75)="PROJECT"," ("&amp;INDEX(FTE_Allocation!$E$2:$E$201,$AB75)&amp;")",""),"")))</f>
        <v/>
      </c>
      <c r="H75" s="7">
        <f>IF($Z75="C","CONTRACT",IF($Z75="A","ASSET",IF($Z75="F","WORKFORCE","")))</f>
        <v/>
      </c>
      <c r="I75" s="7">
        <f>IF($Z75="C",INDEX(Contracts!$L$2:$L$151,$AB75)&amp;"",IF($Z75="A",INDEX(Fixed_Assets!$I$2:$I$201,$AB75)&amp;"",IF($Z75="F",INDEX(Workforce!$G$2:$G$151,MATCH(INDEX(FTE_Allocation!$A$2:$A$201,$AB75),Workforce!$A$2:$A$151,0))&amp;"","")))</f>
        <v/>
      </c>
      <c r="J75" s="18">
        <f>IF($Z75="","",IF(AND(DATE($AD75,1,1)&gt;=$AE75,DATE($AD75,1,1)&lt;=$AF75),ROUND($AG75,2),0))</f>
        <v/>
      </c>
      <c r="K75" s="18">
        <f>IF($Z75="","",IF(AND(DATE($AD75,2,1)&gt;=$AE75,DATE($AD75,2,1)&lt;=$AF75),ROUND($AG75,2),0))</f>
        <v/>
      </c>
      <c r="L75" s="18">
        <f>IF($Z75="","",IF(AND(DATE($AD75,3,1)&gt;=$AE75,DATE($AD75,3,1)&lt;=$AF75),ROUND($AG75,2),0))</f>
        <v/>
      </c>
      <c r="M75" s="18">
        <f>IF($Z75="","",IF(AND(DATE($AD75,4,1)&gt;=$AE75,DATE($AD75,4,1)&lt;=$AF75),ROUND($AG75,2),0))</f>
        <v/>
      </c>
      <c r="N75" s="18">
        <f>IF($Z75="","",IF(AND(DATE($AD75,5,1)&gt;=$AE75,DATE($AD75,5,1)&lt;=$AF75),ROUND($AG75,2),0))</f>
        <v/>
      </c>
      <c r="O75" s="18">
        <f>IF($Z75="","",IF(AND(DATE($AD75,6,1)&gt;=$AE75,DATE($AD75,6,1)&lt;=$AF75),ROUND($AG75,2),0))</f>
        <v/>
      </c>
      <c r="P75" s="18">
        <f>IF($Z75="","",IF(AND(DATE($AD75,7,1)&gt;=$AE75,DATE($AD75,7,1)&lt;=$AF75),ROUND($AG75,2),0))</f>
        <v/>
      </c>
      <c r="Q75" s="18">
        <f>IF($Z75="","",IF(AND(DATE($AD75,8,1)&gt;=$AE75,DATE($AD75,8,1)&lt;=$AF75),ROUND($AG75,2),0))</f>
        <v/>
      </c>
      <c r="R75" s="18">
        <f>IF($Z75="","",IF(AND(DATE($AD75,9,1)&gt;=$AE75,DATE($AD75,9,1)&lt;=$AF75),ROUND($AG75,2),0))</f>
        <v/>
      </c>
      <c r="S75" s="18">
        <f>IF($Z75="","",IF(AND(DATE($AD75,10,1)&gt;=$AE75,DATE($AD75,10,1)&lt;=$AF75),ROUND($AG75,2),0))</f>
        <v/>
      </c>
      <c r="T75" s="18">
        <f>IF($Z75="","",IF(AND(DATE($AD75,11,1)&gt;=$AE75,DATE($AD75,11,1)&lt;=$AF75),ROUND($AG75,2),0))</f>
        <v/>
      </c>
      <c r="U75" s="18">
        <f>IF($Z75="","",IF(AND(DATE($AD75,12,1)&gt;=$AE75,DATE($AD75,12,1)&lt;=$AF75),ROUND($AG75,2),0))</f>
        <v/>
      </c>
      <c r="V75" s="7">
        <f>IF($Z75="C","Generated from "&amp;INDEX(Contracts!$A$2:$A$151,$AB75),IF($Z75="A","Generated from "&amp;INDEX(Fixed_Assets!$A$2:$A$201,$AB75),IF($Z75="F","Generated from "&amp;INDEX(FTE_Allocation!$A$2:$A$201,$AB75),"")))</f>
        <v/>
      </c>
      <c r="X75" s="19">
        <f>IF($Z75="","",SUM(J75:U75))</f>
        <v/>
      </c>
      <c r="Y75" s="20">
        <f>ROW()-1</f>
        <v/>
      </c>
      <c r="Z75" s="20">
        <f>IF($Y75&lt;=Settings!$B$4*3,"C",IF($Y75&lt;=(Settings!$B$4+Settings!$B$5)*3,"A",IF($Y75&lt;=(Settings!$B$4+Settings!$B$5+Settings!$B$6)*3,"F","")))</f>
        <v/>
      </c>
      <c r="AA75" s="20">
        <f>IF($Z75="C",$Y75,IF($Z75="A",$Y75-Settings!$B$4*3,IF($Z75="F",$Y75-(Settings!$B$4+Settings!$B$5)*3,"")))</f>
        <v/>
      </c>
      <c r="AB75" s="20">
        <f>IF($Z75="","",INT(($AA75-1)/3)+1)</f>
        <v/>
      </c>
      <c r="AC75" s="20">
        <f>IF($Z75="","",MOD($AA75-1,3)+1)</f>
        <v/>
      </c>
      <c r="AD75" s="20">
        <f>IF($Z75="","",Settings!$B$2+$AC75-1)</f>
        <v/>
      </c>
      <c r="AE75" s="21">
        <f>IF($Z75="C",DATE(YEAR(INDEX(Contracts!$J$2:$J$151,$AB75)),MONTH(INDEX(Contracts!$J$2:$J$151,$AB75)),1),IF($Z75="A",DATE(YEAR(INDEX(Fixed_Assets!$G$2:$G$201,$AB75)),MONTH(INDEX(Fixed_Assets!$G$2:$G$201,$AB75)),1),IF($Z75="F",DATE(YEAR(MAX(N(INDEX(Workforce!$I$2:$I$151,MATCH(INDEX(FTE_Allocation!$A$2:$A$201,$AB75),Workforce!$A$2:$A$151,0))),N(INDEX(FTE_Allocation!$I$2:$I$201,$AB75)))),MONTH(MAX(N(INDEX(Workforce!$I$2:$I$151,MATCH(INDEX(FTE_Allocation!$A$2:$A$201,$AB75),Workforce!$A$2:$A$151,0))),N(INDEX(FTE_Allocation!$I$2:$I$201,$AB75)))),1),"")))</f>
        <v/>
      </c>
      <c r="AF75" s="21">
        <f>IF($Z75="C",IF(INDEX(Contracts!$I$2:$I$151,$AB75)="PREPAID",EDATE(DATE(YEAR(INDEX(Contracts!$J$2:$J$151,$AB75)),MONTH(INDEX(Contracts!$J$2:$J$151,$AB75)),1),IF(INDEX(Contracts!$N$2:$N$151,$AB75)="",12,INDEX(Contracts!$N$2:$N$151,$AB75))-1),IF(INDEX(Contracts!$I$2:$I$151,$AB75)="MONTHLY",IF(INDEX(Contracts!$K$2:$K$151,$AB75)="",2958101,INDEX(Contracts!$K$2:$K$151,$AB75)),0)),IF($Z75="A",EDATE(DATE(YEAR(INDEX(Fixed_Assets!$G$2:$G$201,$AB75)),MONTH(INDEX(Fixed_Assets!$G$2:$G$201,$AB75)),1),INDEX(Fixed_Assets!$J$2:$J$201,$AB75)-1),IF($Z75="F",MIN(IF(INDEX(Workforce!$J$2:$J$151,MATCH(INDEX(FTE_Allocation!$A$2:$A$201,$AB75),Workforce!$A$2:$A$151,0))="",2958101,INDEX(Workforce!$J$2:$J$151,MATCH(INDEX(FTE_Allocation!$A$2:$A$201,$AB75),Workforce!$A$2:$A$151,0))),IF(INDEX(FTE_Allocation!$J$2:$J$201,$AB75)="",2958101,INDEX(FTE_Allocation!$J$2:$J$201,$AB75))),"")))</f>
        <v/>
      </c>
      <c r="AG75" s="19">
        <f>IF($Z75="C",IF(INDEX(Contracts!$I$2:$I$151,$AB75)="PREPAID",INDEX(Contracts!$M$2:$M$151,$AB75)/IF(INDEX(Contracts!$N$2:$N$151,$AB75)="",12,INDEX(Contracts!$N$2:$N$151,$AB75)),IF(INDEX(Contracts!$I$2:$I$151,$AB75)="MONTHLY",INDEX(Contracts!$M$2:$M$151,$AB75),0))*(1-N(INDEX(Contracts!$O$2:$O$151,$AB75))),IF($Z75="A",INDEX(Fixed_Assets!$H$2:$H$201,$AB75)/INDEX(Fixed_Assets!$J$2:$J$201,$AB75),IF($Z75="F",INDEX(Workforce!$F$2:$F$151,MATCH(INDEX(FTE_Allocation!$A$2:$A$201,$AB75),Workforce!$A$2:$A$151,0))*N(INDEX(FTE_Allocation!$F$2:$H$201,$AB75,$AC75)),"")))</f>
        <v/>
      </c>
    </row>
    <row r="76">
      <c r="A76" s="7">
        <f>IF($Z76="","",$AD76)</f>
        <v/>
      </c>
      <c r="B76" s="7">
        <f>IF($Z76="C",INDEX(Contracts!$D$2:$D$151,$AB76)&amp;"",IF($Z76="A",INDEX(Fixed_Assets!$C$2:$C$201,$AB76)&amp;"",IF($Z76="F",INDEX(Workforce!$B$2:$B$151,MATCH(INDEX(FTE_Allocation!$A$2:$A$201,$AB76),Workforce!$A$2:$A$151,0))&amp;"","")))</f>
        <v/>
      </c>
      <c r="C76" s="7">
        <f>IF($Z76="C",INDEX(Contracts!$E$2:$E$151,$AB76)&amp;"",IF($Z76="A",INDEX(Fixed_Assets!$D$2:$D$201,$AB76)&amp;"",IF($Z76="F",INDEX(FTE_Allocation!$C$2:$C$201,$AB76)&amp;"","")))</f>
        <v/>
      </c>
      <c r="D76" s="7">
        <f>IF($Z76="C",INDEX(Contracts!$B$2:$B$151,$AB76)&amp;"",IF($Z76="A",INDEX(Fixed_Assets!$B$2:$B$201,$AB76)&amp;"",IF($Z76="F",INDEX(FTE_Allocation!$B$2:$B$201,$AB76)&amp;"","")))</f>
        <v/>
      </c>
      <c r="E76" s="7">
        <f>IF($Z76="C",INDEX(Contracts!$P$2:$P$151,$AB76)&amp;"",IF($Z76="A",INDEX(Fixed_Assets!$K$2:$K$201,$AB76)&amp;"",IF($Z76="F",IF(INDEX(FTE_Allocation!$D$2:$D$201,$AB76)="PROJECT",IFERROR(INDEX(Projects!$D:$D,MATCH(INDEX(FTE_Allocation!$E$2:$E$201,$AB76),Projects!$A:$A,0))&amp;"","#PROJECT?"),INDEX(FTE_Allocation!$E$2:$E$201,$AB76)&amp;""),"")))</f>
        <v/>
      </c>
      <c r="F76" s="7">
        <f>IF($Z76="C",INDEX(Contracts!$Q$2:$Q$151,$AB76)&amp;"",IF($Z76="A",INDEX(Fixed_Assets!$L$2:$L$201,$AB76)&amp;"",IF($Z76="F",INDEX(Workforce!$K$2:$K$151,MATCH(INDEX(FTE_Allocation!$A$2:$A$201,$AB76),Workforce!$A$2:$A$151,0))&amp;"","")))</f>
        <v/>
      </c>
      <c r="G76" s="7">
        <f>IF($Z76="C",INDEX(Contracts!$F$2:$F$151,$AB76)&amp;" / "&amp;INDEX(Contracts!$G$2:$G$151,$AB76),IF($Z76="A",INDEX(Fixed_Assets!$E$2:$E$201,$AB76)&amp;"",IF($Z76="F","Personnel "&amp;INDEX(FTE_Allocation!$A$2:$A$201,$AB76)&amp;IF(INDEX(FTE_Allocation!$D$2:$D$201,$AB76)="PROJECT"," ("&amp;INDEX(FTE_Allocation!$E$2:$E$201,$AB76)&amp;")",""),"")))</f>
        <v/>
      </c>
      <c r="H76" s="7">
        <f>IF($Z76="C","CONTRACT",IF($Z76="A","ASSET",IF($Z76="F","WORKFORCE","")))</f>
        <v/>
      </c>
      <c r="I76" s="7">
        <f>IF($Z76="C",INDEX(Contracts!$L$2:$L$151,$AB76)&amp;"",IF($Z76="A",INDEX(Fixed_Assets!$I$2:$I$201,$AB76)&amp;"",IF($Z76="F",INDEX(Workforce!$G$2:$G$151,MATCH(INDEX(FTE_Allocation!$A$2:$A$201,$AB76),Workforce!$A$2:$A$151,0))&amp;"","")))</f>
        <v/>
      </c>
      <c r="J76" s="18">
        <f>IF($Z76="","",IF(AND(DATE($AD76,1,1)&gt;=$AE76,DATE($AD76,1,1)&lt;=$AF76),ROUND($AG76,2),0))</f>
        <v/>
      </c>
      <c r="K76" s="18">
        <f>IF($Z76="","",IF(AND(DATE($AD76,2,1)&gt;=$AE76,DATE($AD76,2,1)&lt;=$AF76),ROUND($AG76,2),0))</f>
        <v/>
      </c>
      <c r="L76" s="18">
        <f>IF($Z76="","",IF(AND(DATE($AD76,3,1)&gt;=$AE76,DATE($AD76,3,1)&lt;=$AF76),ROUND($AG76,2),0))</f>
        <v/>
      </c>
      <c r="M76" s="18">
        <f>IF($Z76="","",IF(AND(DATE($AD76,4,1)&gt;=$AE76,DATE($AD76,4,1)&lt;=$AF76),ROUND($AG76,2),0))</f>
        <v/>
      </c>
      <c r="N76" s="18">
        <f>IF($Z76="","",IF(AND(DATE($AD76,5,1)&gt;=$AE76,DATE($AD76,5,1)&lt;=$AF76),ROUND($AG76,2),0))</f>
        <v/>
      </c>
      <c r="O76" s="18">
        <f>IF($Z76="","",IF(AND(DATE($AD76,6,1)&gt;=$AE76,DATE($AD76,6,1)&lt;=$AF76),ROUND($AG76,2),0))</f>
        <v/>
      </c>
      <c r="P76" s="18">
        <f>IF($Z76="","",IF(AND(DATE($AD76,7,1)&gt;=$AE76,DATE($AD76,7,1)&lt;=$AF76),ROUND($AG76,2),0))</f>
        <v/>
      </c>
      <c r="Q76" s="18">
        <f>IF($Z76="","",IF(AND(DATE($AD76,8,1)&gt;=$AE76,DATE($AD76,8,1)&lt;=$AF76),ROUND($AG76,2),0))</f>
        <v/>
      </c>
      <c r="R76" s="18">
        <f>IF($Z76="","",IF(AND(DATE($AD76,9,1)&gt;=$AE76,DATE($AD76,9,1)&lt;=$AF76),ROUND($AG76,2),0))</f>
        <v/>
      </c>
      <c r="S76" s="18">
        <f>IF($Z76="","",IF(AND(DATE($AD76,10,1)&gt;=$AE76,DATE($AD76,10,1)&lt;=$AF76),ROUND($AG76,2),0))</f>
        <v/>
      </c>
      <c r="T76" s="18">
        <f>IF($Z76="","",IF(AND(DATE($AD76,11,1)&gt;=$AE76,DATE($AD76,11,1)&lt;=$AF76),ROUND($AG76,2),0))</f>
        <v/>
      </c>
      <c r="U76" s="18">
        <f>IF($Z76="","",IF(AND(DATE($AD76,12,1)&gt;=$AE76,DATE($AD76,12,1)&lt;=$AF76),ROUND($AG76,2),0))</f>
        <v/>
      </c>
      <c r="V76" s="7">
        <f>IF($Z76="C","Generated from "&amp;INDEX(Contracts!$A$2:$A$151,$AB76),IF($Z76="A","Generated from "&amp;INDEX(Fixed_Assets!$A$2:$A$201,$AB76),IF($Z76="F","Generated from "&amp;INDEX(FTE_Allocation!$A$2:$A$201,$AB76),"")))</f>
        <v/>
      </c>
      <c r="X76" s="19">
        <f>IF($Z76="","",SUM(J76:U76))</f>
        <v/>
      </c>
      <c r="Y76" s="20">
        <f>ROW()-1</f>
        <v/>
      </c>
      <c r="Z76" s="20">
        <f>IF($Y76&lt;=Settings!$B$4*3,"C",IF($Y76&lt;=(Settings!$B$4+Settings!$B$5)*3,"A",IF($Y76&lt;=(Settings!$B$4+Settings!$B$5+Settings!$B$6)*3,"F","")))</f>
        <v/>
      </c>
      <c r="AA76" s="20">
        <f>IF($Z76="C",$Y76,IF($Z76="A",$Y76-Settings!$B$4*3,IF($Z76="F",$Y76-(Settings!$B$4+Settings!$B$5)*3,"")))</f>
        <v/>
      </c>
      <c r="AB76" s="20">
        <f>IF($Z76="","",INT(($AA76-1)/3)+1)</f>
        <v/>
      </c>
      <c r="AC76" s="20">
        <f>IF($Z76="","",MOD($AA76-1,3)+1)</f>
        <v/>
      </c>
      <c r="AD76" s="20">
        <f>IF($Z76="","",Settings!$B$2+$AC76-1)</f>
        <v/>
      </c>
      <c r="AE76" s="21">
        <f>IF($Z76="C",DATE(YEAR(INDEX(Contracts!$J$2:$J$151,$AB76)),MONTH(INDEX(Contracts!$J$2:$J$151,$AB76)),1),IF($Z76="A",DATE(YEAR(INDEX(Fixed_Assets!$G$2:$G$201,$AB76)),MONTH(INDEX(Fixed_Assets!$G$2:$G$201,$AB76)),1),IF($Z76="F",DATE(YEAR(MAX(N(INDEX(Workforce!$I$2:$I$151,MATCH(INDEX(FTE_Allocation!$A$2:$A$201,$AB76),Workforce!$A$2:$A$151,0))),N(INDEX(FTE_Allocation!$I$2:$I$201,$AB76)))),MONTH(MAX(N(INDEX(Workforce!$I$2:$I$151,MATCH(INDEX(FTE_Allocation!$A$2:$A$201,$AB76),Workforce!$A$2:$A$151,0))),N(INDEX(FTE_Allocation!$I$2:$I$201,$AB76)))),1),"")))</f>
        <v/>
      </c>
      <c r="AF76" s="21">
        <f>IF($Z76="C",IF(INDEX(Contracts!$I$2:$I$151,$AB76)="PREPAID",EDATE(DATE(YEAR(INDEX(Contracts!$J$2:$J$151,$AB76)),MONTH(INDEX(Contracts!$J$2:$J$151,$AB76)),1),IF(INDEX(Contracts!$N$2:$N$151,$AB76)="",12,INDEX(Contracts!$N$2:$N$151,$AB76))-1),IF(INDEX(Contracts!$I$2:$I$151,$AB76)="MONTHLY",IF(INDEX(Contracts!$K$2:$K$151,$AB76)="",2958101,INDEX(Contracts!$K$2:$K$151,$AB76)),0)),IF($Z76="A",EDATE(DATE(YEAR(INDEX(Fixed_Assets!$G$2:$G$201,$AB76)),MONTH(INDEX(Fixed_Assets!$G$2:$G$201,$AB76)),1),INDEX(Fixed_Assets!$J$2:$J$201,$AB76)-1),IF($Z76="F",MIN(IF(INDEX(Workforce!$J$2:$J$151,MATCH(INDEX(FTE_Allocation!$A$2:$A$201,$AB76),Workforce!$A$2:$A$151,0))="",2958101,INDEX(Workforce!$J$2:$J$151,MATCH(INDEX(FTE_Allocation!$A$2:$A$201,$AB76),Workforce!$A$2:$A$151,0))),IF(INDEX(FTE_Allocation!$J$2:$J$201,$AB76)="",2958101,INDEX(FTE_Allocation!$J$2:$J$201,$AB76))),"")))</f>
        <v/>
      </c>
      <c r="AG76" s="19">
        <f>IF($Z76="C",IF(INDEX(Contracts!$I$2:$I$151,$AB76)="PREPAID",INDEX(Contracts!$M$2:$M$151,$AB76)/IF(INDEX(Contracts!$N$2:$N$151,$AB76)="",12,INDEX(Contracts!$N$2:$N$151,$AB76)),IF(INDEX(Contracts!$I$2:$I$151,$AB76)="MONTHLY",INDEX(Contracts!$M$2:$M$151,$AB76),0))*(1-N(INDEX(Contracts!$O$2:$O$151,$AB76))),IF($Z76="A",INDEX(Fixed_Assets!$H$2:$H$201,$AB76)/INDEX(Fixed_Assets!$J$2:$J$201,$AB76),IF($Z76="F",INDEX(Workforce!$F$2:$F$151,MATCH(INDEX(FTE_Allocation!$A$2:$A$201,$AB76),Workforce!$A$2:$A$151,0))*N(INDEX(FTE_Allocation!$F$2:$H$201,$AB76,$AC76)),"")))</f>
        <v/>
      </c>
    </row>
    <row r="77">
      <c r="A77" s="7">
        <f>IF($Z77="","",$AD77)</f>
        <v/>
      </c>
      <c r="B77" s="7">
        <f>IF($Z77="C",INDEX(Contracts!$D$2:$D$151,$AB77)&amp;"",IF($Z77="A",INDEX(Fixed_Assets!$C$2:$C$201,$AB77)&amp;"",IF($Z77="F",INDEX(Workforce!$B$2:$B$151,MATCH(INDEX(FTE_Allocation!$A$2:$A$201,$AB77),Workforce!$A$2:$A$151,0))&amp;"","")))</f>
        <v/>
      </c>
      <c r="C77" s="7">
        <f>IF($Z77="C",INDEX(Contracts!$E$2:$E$151,$AB77)&amp;"",IF($Z77="A",INDEX(Fixed_Assets!$D$2:$D$201,$AB77)&amp;"",IF($Z77="F",INDEX(FTE_Allocation!$C$2:$C$201,$AB77)&amp;"","")))</f>
        <v/>
      </c>
      <c r="D77" s="7">
        <f>IF($Z77="C",INDEX(Contracts!$B$2:$B$151,$AB77)&amp;"",IF($Z77="A",INDEX(Fixed_Assets!$B$2:$B$201,$AB77)&amp;"",IF($Z77="F",INDEX(FTE_Allocation!$B$2:$B$201,$AB77)&amp;"","")))</f>
        <v/>
      </c>
      <c r="E77" s="7">
        <f>IF($Z77="C",INDEX(Contracts!$P$2:$P$151,$AB77)&amp;"",IF($Z77="A",INDEX(Fixed_Assets!$K$2:$K$201,$AB77)&amp;"",IF($Z77="F",IF(INDEX(FTE_Allocation!$D$2:$D$201,$AB77)="PROJECT",IFERROR(INDEX(Projects!$D:$D,MATCH(INDEX(FTE_Allocation!$E$2:$E$201,$AB77),Projects!$A:$A,0))&amp;"","#PROJECT?"),INDEX(FTE_Allocation!$E$2:$E$201,$AB77)&amp;""),"")))</f>
        <v/>
      </c>
      <c r="F77" s="7">
        <f>IF($Z77="C",INDEX(Contracts!$Q$2:$Q$151,$AB77)&amp;"",IF($Z77="A",INDEX(Fixed_Assets!$L$2:$L$201,$AB77)&amp;"",IF($Z77="F",INDEX(Workforce!$K$2:$K$151,MATCH(INDEX(FTE_Allocation!$A$2:$A$201,$AB77),Workforce!$A$2:$A$151,0))&amp;"","")))</f>
        <v/>
      </c>
      <c r="G77" s="7">
        <f>IF($Z77="C",INDEX(Contracts!$F$2:$F$151,$AB77)&amp;" / "&amp;INDEX(Contracts!$G$2:$G$151,$AB77),IF($Z77="A",INDEX(Fixed_Assets!$E$2:$E$201,$AB77)&amp;"",IF($Z77="F","Personnel "&amp;INDEX(FTE_Allocation!$A$2:$A$201,$AB77)&amp;IF(INDEX(FTE_Allocation!$D$2:$D$201,$AB77)="PROJECT"," ("&amp;INDEX(FTE_Allocation!$E$2:$E$201,$AB77)&amp;")",""),"")))</f>
        <v/>
      </c>
      <c r="H77" s="7">
        <f>IF($Z77="C","CONTRACT",IF($Z77="A","ASSET",IF($Z77="F","WORKFORCE","")))</f>
        <v/>
      </c>
      <c r="I77" s="7">
        <f>IF($Z77="C",INDEX(Contracts!$L$2:$L$151,$AB77)&amp;"",IF($Z77="A",INDEX(Fixed_Assets!$I$2:$I$201,$AB77)&amp;"",IF($Z77="F",INDEX(Workforce!$G$2:$G$151,MATCH(INDEX(FTE_Allocation!$A$2:$A$201,$AB77),Workforce!$A$2:$A$151,0))&amp;"","")))</f>
        <v/>
      </c>
      <c r="J77" s="18">
        <f>IF($Z77="","",IF(AND(DATE($AD77,1,1)&gt;=$AE77,DATE($AD77,1,1)&lt;=$AF77),ROUND($AG77,2),0))</f>
        <v/>
      </c>
      <c r="K77" s="18">
        <f>IF($Z77="","",IF(AND(DATE($AD77,2,1)&gt;=$AE77,DATE($AD77,2,1)&lt;=$AF77),ROUND($AG77,2),0))</f>
        <v/>
      </c>
      <c r="L77" s="18">
        <f>IF($Z77="","",IF(AND(DATE($AD77,3,1)&gt;=$AE77,DATE($AD77,3,1)&lt;=$AF77),ROUND($AG77,2),0))</f>
        <v/>
      </c>
      <c r="M77" s="18">
        <f>IF($Z77="","",IF(AND(DATE($AD77,4,1)&gt;=$AE77,DATE($AD77,4,1)&lt;=$AF77),ROUND($AG77,2),0))</f>
        <v/>
      </c>
      <c r="N77" s="18">
        <f>IF($Z77="","",IF(AND(DATE($AD77,5,1)&gt;=$AE77,DATE($AD77,5,1)&lt;=$AF77),ROUND($AG77,2),0))</f>
        <v/>
      </c>
      <c r="O77" s="18">
        <f>IF($Z77="","",IF(AND(DATE($AD77,6,1)&gt;=$AE77,DATE($AD77,6,1)&lt;=$AF77),ROUND($AG77,2),0))</f>
        <v/>
      </c>
      <c r="P77" s="18">
        <f>IF($Z77="","",IF(AND(DATE($AD77,7,1)&gt;=$AE77,DATE($AD77,7,1)&lt;=$AF77),ROUND($AG77,2),0))</f>
        <v/>
      </c>
      <c r="Q77" s="18">
        <f>IF($Z77="","",IF(AND(DATE($AD77,8,1)&gt;=$AE77,DATE($AD77,8,1)&lt;=$AF77),ROUND($AG77,2),0))</f>
        <v/>
      </c>
      <c r="R77" s="18">
        <f>IF($Z77="","",IF(AND(DATE($AD77,9,1)&gt;=$AE77,DATE($AD77,9,1)&lt;=$AF77),ROUND($AG77,2),0))</f>
        <v/>
      </c>
      <c r="S77" s="18">
        <f>IF($Z77="","",IF(AND(DATE($AD77,10,1)&gt;=$AE77,DATE($AD77,10,1)&lt;=$AF77),ROUND($AG77,2),0))</f>
        <v/>
      </c>
      <c r="T77" s="18">
        <f>IF($Z77="","",IF(AND(DATE($AD77,11,1)&gt;=$AE77,DATE($AD77,11,1)&lt;=$AF77),ROUND($AG77,2),0))</f>
        <v/>
      </c>
      <c r="U77" s="18">
        <f>IF($Z77="","",IF(AND(DATE($AD77,12,1)&gt;=$AE77,DATE($AD77,12,1)&lt;=$AF77),ROUND($AG77,2),0))</f>
        <v/>
      </c>
      <c r="V77" s="7">
        <f>IF($Z77="C","Generated from "&amp;INDEX(Contracts!$A$2:$A$151,$AB77),IF($Z77="A","Generated from "&amp;INDEX(Fixed_Assets!$A$2:$A$201,$AB77),IF($Z77="F","Generated from "&amp;INDEX(FTE_Allocation!$A$2:$A$201,$AB77),"")))</f>
        <v/>
      </c>
      <c r="X77" s="19">
        <f>IF($Z77="","",SUM(J77:U77))</f>
        <v/>
      </c>
      <c r="Y77" s="20">
        <f>ROW()-1</f>
        <v/>
      </c>
      <c r="Z77" s="20">
        <f>IF($Y77&lt;=Settings!$B$4*3,"C",IF($Y77&lt;=(Settings!$B$4+Settings!$B$5)*3,"A",IF($Y77&lt;=(Settings!$B$4+Settings!$B$5+Settings!$B$6)*3,"F","")))</f>
        <v/>
      </c>
      <c r="AA77" s="20">
        <f>IF($Z77="C",$Y77,IF($Z77="A",$Y77-Settings!$B$4*3,IF($Z77="F",$Y77-(Settings!$B$4+Settings!$B$5)*3,"")))</f>
        <v/>
      </c>
      <c r="AB77" s="20">
        <f>IF($Z77="","",INT(($AA77-1)/3)+1)</f>
        <v/>
      </c>
      <c r="AC77" s="20">
        <f>IF($Z77="","",MOD($AA77-1,3)+1)</f>
        <v/>
      </c>
      <c r="AD77" s="20">
        <f>IF($Z77="","",Settings!$B$2+$AC77-1)</f>
        <v/>
      </c>
      <c r="AE77" s="21">
        <f>IF($Z77="C",DATE(YEAR(INDEX(Contracts!$J$2:$J$151,$AB77)),MONTH(INDEX(Contracts!$J$2:$J$151,$AB77)),1),IF($Z77="A",DATE(YEAR(INDEX(Fixed_Assets!$G$2:$G$201,$AB77)),MONTH(INDEX(Fixed_Assets!$G$2:$G$201,$AB77)),1),IF($Z77="F",DATE(YEAR(MAX(N(INDEX(Workforce!$I$2:$I$151,MATCH(INDEX(FTE_Allocation!$A$2:$A$201,$AB77),Workforce!$A$2:$A$151,0))),N(INDEX(FTE_Allocation!$I$2:$I$201,$AB77)))),MONTH(MAX(N(INDEX(Workforce!$I$2:$I$151,MATCH(INDEX(FTE_Allocation!$A$2:$A$201,$AB77),Workforce!$A$2:$A$151,0))),N(INDEX(FTE_Allocation!$I$2:$I$201,$AB77)))),1),"")))</f>
        <v/>
      </c>
      <c r="AF77" s="21">
        <f>IF($Z77="C",IF(INDEX(Contracts!$I$2:$I$151,$AB77)="PREPAID",EDATE(DATE(YEAR(INDEX(Contracts!$J$2:$J$151,$AB77)),MONTH(INDEX(Contracts!$J$2:$J$151,$AB77)),1),IF(INDEX(Contracts!$N$2:$N$151,$AB77)="",12,INDEX(Contracts!$N$2:$N$151,$AB77))-1),IF(INDEX(Contracts!$I$2:$I$151,$AB77)="MONTHLY",IF(INDEX(Contracts!$K$2:$K$151,$AB77)="",2958101,INDEX(Contracts!$K$2:$K$151,$AB77)),0)),IF($Z77="A",EDATE(DATE(YEAR(INDEX(Fixed_Assets!$G$2:$G$201,$AB77)),MONTH(INDEX(Fixed_Assets!$G$2:$G$201,$AB77)),1),INDEX(Fixed_Assets!$J$2:$J$201,$AB77)-1),IF($Z77="F",MIN(IF(INDEX(Workforce!$J$2:$J$151,MATCH(INDEX(FTE_Allocation!$A$2:$A$201,$AB77),Workforce!$A$2:$A$151,0))="",2958101,INDEX(Workforce!$J$2:$J$151,MATCH(INDEX(FTE_Allocation!$A$2:$A$201,$AB77),Workforce!$A$2:$A$151,0))),IF(INDEX(FTE_Allocation!$J$2:$J$201,$AB77)="",2958101,INDEX(FTE_Allocation!$J$2:$J$201,$AB77))),"")))</f>
        <v/>
      </c>
      <c r="AG77" s="19">
        <f>IF($Z77="C",IF(INDEX(Contracts!$I$2:$I$151,$AB77)="PREPAID",INDEX(Contracts!$M$2:$M$151,$AB77)/IF(INDEX(Contracts!$N$2:$N$151,$AB77)="",12,INDEX(Contracts!$N$2:$N$151,$AB77)),IF(INDEX(Contracts!$I$2:$I$151,$AB77)="MONTHLY",INDEX(Contracts!$M$2:$M$151,$AB77),0))*(1-N(INDEX(Contracts!$O$2:$O$151,$AB77))),IF($Z77="A",INDEX(Fixed_Assets!$H$2:$H$201,$AB77)/INDEX(Fixed_Assets!$J$2:$J$201,$AB77),IF($Z77="F",INDEX(Workforce!$F$2:$F$151,MATCH(INDEX(FTE_Allocation!$A$2:$A$201,$AB77),Workforce!$A$2:$A$151,0))*N(INDEX(FTE_Allocation!$F$2:$H$201,$AB77,$AC77)),"")))</f>
        <v/>
      </c>
    </row>
    <row r="78">
      <c r="A78" s="7">
        <f>IF($Z78="","",$AD78)</f>
        <v/>
      </c>
      <c r="B78" s="7">
        <f>IF($Z78="C",INDEX(Contracts!$D$2:$D$151,$AB78)&amp;"",IF($Z78="A",INDEX(Fixed_Assets!$C$2:$C$201,$AB78)&amp;"",IF($Z78="F",INDEX(Workforce!$B$2:$B$151,MATCH(INDEX(FTE_Allocation!$A$2:$A$201,$AB78),Workforce!$A$2:$A$151,0))&amp;"","")))</f>
        <v/>
      </c>
      <c r="C78" s="7">
        <f>IF($Z78="C",INDEX(Contracts!$E$2:$E$151,$AB78)&amp;"",IF($Z78="A",INDEX(Fixed_Assets!$D$2:$D$201,$AB78)&amp;"",IF($Z78="F",INDEX(FTE_Allocation!$C$2:$C$201,$AB78)&amp;"","")))</f>
        <v/>
      </c>
      <c r="D78" s="7">
        <f>IF($Z78="C",INDEX(Contracts!$B$2:$B$151,$AB78)&amp;"",IF($Z78="A",INDEX(Fixed_Assets!$B$2:$B$201,$AB78)&amp;"",IF($Z78="F",INDEX(FTE_Allocation!$B$2:$B$201,$AB78)&amp;"","")))</f>
        <v/>
      </c>
      <c r="E78" s="7">
        <f>IF($Z78="C",INDEX(Contracts!$P$2:$P$151,$AB78)&amp;"",IF($Z78="A",INDEX(Fixed_Assets!$K$2:$K$201,$AB78)&amp;"",IF($Z78="F",IF(INDEX(FTE_Allocation!$D$2:$D$201,$AB78)="PROJECT",IFERROR(INDEX(Projects!$D:$D,MATCH(INDEX(FTE_Allocation!$E$2:$E$201,$AB78),Projects!$A:$A,0))&amp;"","#PROJECT?"),INDEX(FTE_Allocation!$E$2:$E$201,$AB78)&amp;""),"")))</f>
        <v/>
      </c>
      <c r="F78" s="7">
        <f>IF($Z78="C",INDEX(Contracts!$Q$2:$Q$151,$AB78)&amp;"",IF($Z78="A",INDEX(Fixed_Assets!$L$2:$L$201,$AB78)&amp;"",IF($Z78="F",INDEX(Workforce!$K$2:$K$151,MATCH(INDEX(FTE_Allocation!$A$2:$A$201,$AB78),Workforce!$A$2:$A$151,0))&amp;"","")))</f>
        <v/>
      </c>
      <c r="G78" s="7">
        <f>IF($Z78="C",INDEX(Contracts!$F$2:$F$151,$AB78)&amp;" / "&amp;INDEX(Contracts!$G$2:$G$151,$AB78),IF($Z78="A",INDEX(Fixed_Assets!$E$2:$E$201,$AB78)&amp;"",IF($Z78="F","Personnel "&amp;INDEX(FTE_Allocation!$A$2:$A$201,$AB78)&amp;IF(INDEX(FTE_Allocation!$D$2:$D$201,$AB78)="PROJECT"," ("&amp;INDEX(FTE_Allocation!$E$2:$E$201,$AB78)&amp;")",""),"")))</f>
        <v/>
      </c>
      <c r="H78" s="7">
        <f>IF($Z78="C","CONTRACT",IF($Z78="A","ASSET",IF($Z78="F","WORKFORCE","")))</f>
        <v/>
      </c>
      <c r="I78" s="7">
        <f>IF($Z78="C",INDEX(Contracts!$L$2:$L$151,$AB78)&amp;"",IF($Z78="A",INDEX(Fixed_Assets!$I$2:$I$201,$AB78)&amp;"",IF($Z78="F",INDEX(Workforce!$G$2:$G$151,MATCH(INDEX(FTE_Allocation!$A$2:$A$201,$AB78),Workforce!$A$2:$A$151,0))&amp;"","")))</f>
        <v/>
      </c>
      <c r="J78" s="18">
        <f>IF($Z78="","",IF(AND(DATE($AD78,1,1)&gt;=$AE78,DATE($AD78,1,1)&lt;=$AF78),ROUND($AG78,2),0))</f>
        <v/>
      </c>
      <c r="K78" s="18">
        <f>IF($Z78="","",IF(AND(DATE($AD78,2,1)&gt;=$AE78,DATE($AD78,2,1)&lt;=$AF78),ROUND($AG78,2),0))</f>
        <v/>
      </c>
      <c r="L78" s="18">
        <f>IF($Z78="","",IF(AND(DATE($AD78,3,1)&gt;=$AE78,DATE($AD78,3,1)&lt;=$AF78),ROUND($AG78,2),0))</f>
        <v/>
      </c>
      <c r="M78" s="18">
        <f>IF($Z78="","",IF(AND(DATE($AD78,4,1)&gt;=$AE78,DATE($AD78,4,1)&lt;=$AF78),ROUND($AG78,2),0))</f>
        <v/>
      </c>
      <c r="N78" s="18">
        <f>IF($Z78="","",IF(AND(DATE($AD78,5,1)&gt;=$AE78,DATE($AD78,5,1)&lt;=$AF78),ROUND($AG78,2),0))</f>
        <v/>
      </c>
      <c r="O78" s="18">
        <f>IF($Z78="","",IF(AND(DATE($AD78,6,1)&gt;=$AE78,DATE($AD78,6,1)&lt;=$AF78),ROUND($AG78,2),0))</f>
        <v/>
      </c>
      <c r="P78" s="18">
        <f>IF($Z78="","",IF(AND(DATE($AD78,7,1)&gt;=$AE78,DATE($AD78,7,1)&lt;=$AF78),ROUND($AG78,2),0))</f>
        <v/>
      </c>
      <c r="Q78" s="18">
        <f>IF($Z78="","",IF(AND(DATE($AD78,8,1)&gt;=$AE78,DATE($AD78,8,1)&lt;=$AF78),ROUND($AG78,2),0))</f>
        <v/>
      </c>
      <c r="R78" s="18">
        <f>IF($Z78="","",IF(AND(DATE($AD78,9,1)&gt;=$AE78,DATE($AD78,9,1)&lt;=$AF78),ROUND($AG78,2),0))</f>
        <v/>
      </c>
      <c r="S78" s="18">
        <f>IF($Z78="","",IF(AND(DATE($AD78,10,1)&gt;=$AE78,DATE($AD78,10,1)&lt;=$AF78),ROUND($AG78,2),0))</f>
        <v/>
      </c>
      <c r="T78" s="18">
        <f>IF($Z78="","",IF(AND(DATE($AD78,11,1)&gt;=$AE78,DATE($AD78,11,1)&lt;=$AF78),ROUND($AG78,2),0))</f>
        <v/>
      </c>
      <c r="U78" s="18">
        <f>IF($Z78="","",IF(AND(DATE($AD78,12,1)&gt;=$AE78,DATE($AD78,12,1)&lt;=$AF78),ROUND($AG78,2),0))</f>
        <v/>
      </c>
      <c r="V78" s="7">
        <f>IF($Z78="C","Generated from "&amp;INDEX(Contracts!$A$2:$A$151,$AB78),IF($Z78="A","Generated from "&amp;INDEX(Fixed_Assets!$A$2:$A$201,$AB78),IF($Z78="F","Generated from "&amp;INDEX(FTE_Allocation!$A$2:$A$201,$AB78),"")))</f>
        <v/>
      </c>
      <c r="X78" s="19">
        <f>IF($Z78="","",SUM(J78:U78))</f>
        <v/>
      </c>
      <c r="Y78" s="20">
        <f>ROW()-1</f>
        <v/>
      </c>
      <c r="Z78" s="20">
        <f>IF($Y78&lt;=Settings!$B$4*3,"C",IF($Y78&lt;=(Settings!$B$4+Settings!$B$5)*3,"A",IF($Y78&lt;=(Settings!$B$4+Settings!$B$5+Settings!$B$6)*3,"F","")))</f>
        <v/>
      </c>
      <c r="AA78" s="20">
        <f>IF($Z78="C",$Y78,IF($Z78="A",$Y78-Settings!$B$4*3,IF($Z78="F",$Y78-(Settings!$B$4+Settings!$B$5)*3,"")))</f>
        <v/>
      </c>
      <c r="AB78" s="20">
        <f>IF($Z78="","",INT(($AA78-1)/3)+1)</f>
        <v/>
      </c>
      <c r="AC78" s="20">
        <f>IF($Z78="","",MOD($AA78-1,3)+1)</f>
        <v/>
      </c>
      <c r="AD78" s="20">
        <f>IF($Z78="","",Settings!$B$2+$AC78-1)</f>
        <v/>
      </c>
      <c r="AE78" s="21">
        <f>IF($Z78="C",DATE(YEAR(INDEX(Contracts!$J$2:$J$151,$AB78)),MONTH(INDEX(Contracts!$J$2:$J$151,$AB78)),1),IF($Z78="A",DATE(YEAR(INDEX(Fixed_Assets!$G$2:$G$201,$AB78)),MONTH(INDEX(Fixed_Assets!$G$2:$G$201,$AB78)),1),IF($Z78="F",DATE(YEAR(MAX(N(INDEX(Workforce!$I$2:$I$151,MATCH(INDEX(FTE_Allocation!$A$2:$A$201,$AB78),Workforce!$A$2:$A$151,0))),N(INDEX(FTE_Allocation!$I$2:$I$201,$AB78)))),MONTH(MAX(N(INDEX(Workforce!$I$2:$I$151,MATCH(INDEX(FTE_Allocation!$A$2:$A$201,$AB78),Workforce!$A$2:$A$151,0))),N(INDEX(FTE_Allocation!$I$2:$I$201,$AB78)))),1),"")))</f>
        <v/>
      </c>
      <c r="AF78" s="21">
        <f>IF($Z78="C",IF(INDEX(Contracts!$I$2:$I$151,$AB78)="PREPAID",EDATE(DATE(YEAR(INDEX(Contracts!$J$2:$J$151,$AB78)),MONTH(INDEX(Contracts!$J$2:$J$151,$AB78)),1),IF(INDEX(Contracts!$N$2:$N$151,$AB78)="",12,INDEX(Contracts!$N$2:$N$151,$AB78))-1),IF(INDEX(Contracts!$I$2:$I$151,$AB78)="MONTHLY",IF(INDEX(Contracts!$K$2:$K$151,$AB78)="",2958101,INDEX(Contracts!$K$2:$K$151,$AB78)),0)),IF($Z78="A",EDATE(DATE(YEAR(INDEX(Fixed_Assets!$G$2:$G$201,$AB78)),MONTH(INDEX(Fixed_Assets!$G$2:$G$201,$AB78)),1),INDEX(Fixed_Assets!$J$2:$J$201,$AB78)-1),IF($Z78="F",MIN(IF(INDEX(Workforce!$J$2:$J$151,MATCH(INDEX(FTE_Allocation!$A$2:$A$201,$AB78),Workforce!$A$2:$A$151,0))="",2958101,INDEX(Workforce!$J$2:$J$151,MATCH(INDEX(FTE_Allocation!$A$2:$A$201,$AB78),Workforce!$A$2:$A$151,0))),IF(INDEX(FTE_Allocation!$J$2:$J$201,$AB78)="",2958101,INDEX(FTE_Allocation!$J$2:$J$201,$AB78))),"")))</f>
        <v/>
      </c>
      <c r="AG78" s="19">
        <f>IF($Z78="C",IF(INDEX(Contracts!$I$2:$I$151,$AB78)="PREPAID",INDEX(Contracts!$M$2:$M$151,$AB78)/IF(INDEX(Contracts!$N$2:$N$151,$AB78)="",12,INDEX(Contracts!$N$2:$N$151,$AB78)),IF(INDEX(Contracts!$I$2:$I$151,$AB78)="MONTHLY",INDEX(Contracts!$M$2:$M$151,$AB78),0))*(1-N(INDEX(Contracts!$O$2:$O$151,$AB78))),IF($Z78="A",INDEX(Fixed_Assets!$H$2:$H$201,$AB78)/INDEX(Fixed_Assets!$J$2:$J$201,$AB78),IF($Z78="F",INDEX(Workforce!$F$2:$F$151,MATCH(INDEX(FTE_Allocation!$A$2:$A$201,$AB78),Workforce!$A$2:$A$151,0))*N(INDEX(FTE_Allocation!$F$2:$H$201,$AB78,$AC78)),"")))</f>
        <v/>
      </c>
    </row>
    <row r="79">
      <c r="A79" s="7">
        <f>IF($Z79="","",$AD79)</f>
        <v/>
      </c>
      <c r="B79" s="7">
        <f>IF($Z79="C",INDEX(Contracts!$D$2:$D$151,$AB79)&amp;"",IF($Z79="A",INDEX(Fixed_Assets!$C$2:$C$201,$AB79)&amp;"",IF($Z79="F",INDEX(Workforce!$B$2:$B$151,MATCH(INDEX(FTE_Allocation!$A$2:$A$201,$AB79),Workforce!$A$2:$A$151,0))&amp;"","")))</f>
        <v/>
      </c>
      <c r="C79" s="7">
        <f>IF($Z79="C",INDEX(Contracts!$E$2:$E$151,$AB79)&amp;"",IF($Z79="A",INDEX(Fixed_Assets!$D$2:$D$201,$AB79)&amp;"",IF($Z79="F",INDEX(FTE_Allocation!$C$2:$C$201,$AB79)&amp;"","")))</f>
        <v/>
      </c>
      <c r="D79" s="7">
        <f>IF($Z79="C",INDEX(Contracts!$B$2:$B$151,$AB79)&amp;"",IF($Z79="A",INDEX(Fixed_Assets!$B$2:$B$201,$AB79)&amp;"",IF($Z79="F",INDEX(FTE_Allocation!$B$2:$B$201,$AB79)&amp;"","")))</f>
        <v/>
      </c>
      <c r="E79" s="7">
        <f>IF($Z79="C",INDEX(Contracts!$P$2:$P$151,$AB79)&amp;"",IF($Z79="A",INDEX(Fixed_Assets!$K$2:$K$201,$AB79)&amp;"",IF($Z79="F",IF(INDEX(FTE_Allocation!$D$2:$D$201,$AB79)="PROJECT",IFERROR(INDEX(Projects!$D:$D,MATCH(INDEX(FTE_Allocation!$E$2:$E$201,$AB79),Projects!$A:$A,0))&amp;"","#PROJECT?"),INDEX(FTE_Allocation!$E$2:$E$201,$AB79)&amp;""),"")))</f>
        <v/>
      </c>
      <c r="F79" s="7">
        <f>IF($Z79="C",INDEX(Contracts!$Q$2:$Q$151,$AB79)&amp;"",IF($Z79="A",INDEX(Fixed_Assets!$L$2:$L$201,$AB79)&amp;"",IF($Z79="F",INDEX(Workforce!$K$2:$K$151,MATCH(INDEX(FTE_Allocation!$A$2:$A$201,$AB79),Workforce!$A$2:$A$151,0))&amp;"","")))</f>
        <v/>
      </c>
      <c r="G79" s="7">
        <f>IF($Z79="C",INDEX(Contracts!$F$2:$F$151,$AB79)&amp;" / "&amp;INDEX(Contracts!$G$2:$G$151,$AB79),IF($Z79="A",INDEX(Fixed_Assets!$E$2:$E$201,$AB79)&amp;"",IF($Z79="F","Personnel "&amp;INDEX(FTE_Allocation!$A$2:$A$201,$AB79)&amp;IF(INDEX(FTE_Allocation!$D$2:$D$201,$AB79)="PROJECT"," ("&amp;INDEX(FTE_Allocation!$E$2:$E$201,$AB79)&amp;")",""),"")))</f>
        <v/>
      </c>
      <c r="H79" s="7">
        <f>IF($Z79="C","CONTRACT",IF($Z79="A","ASSET",IF($Z79="F","WORKFORCE","")))</f>
        <v/>
      </c>
      <c r="I79" s="7">
        <f>IF($Z79="C",INDEX(Contracts!$L$2:$L$151,$AB79)&amp;"",IF($Z79="A",INDEX(Fixed_Assets!$I$2:$I$201,$AB79)&amp;"",IF($Z79="F",INDEX(Workforce!$G$2:$G$151,MATCH(INDEX(FTE_Allocation!$A$2:$A$201,$AB79),Workforce!$A$2:$A$151,0))&amp;"","")))</f>
        <v/>
      </c>
      <c r="J79" s="18">
        <f>IF($Z79="","",IF(AND(DATE($AD79,1,1)&gt;=$AE79,DATE($AD79,1,1)&lt;=$AF79),ROUND($AG79,2),0))</f>
        <v/>
      </c>
      <c r="K79" s="18">
        <f>IF($Z79="","",IF(AND(DATE($AD79,2,1)&gt;=$AE79,DATE($AD79,2,1)&lt;=$AF79),ROUND($AG79,2),0))</f>
        <v/>
      </c>
      <c r="L79" s="18">
        <f>IF($Z79="","",IF(AND(DATE($AD79,3,1)&gt;=$AE79,DATE($AD79,3,1)&lt;=$AF79),ROUND($AG79,2),0))</f>
        <v/>
      </c>
      <c r="M79" s="18">
        <f>IF($Z79="","",IF(AND(DATE($AD79,4,1)&gt;=$AE79,DATE($AD79,4,1)&lt;=$AF79),ROUND($AG79,2),0))</f>
        <v/>
      </c>
      <c r="N79" s="18">
        <f>IF($Z79="","",IF(AND(DATE($AD79,5,1)&gt;=$AE79,DATE($AD79,5,1)&lt;=$AF79),ROUND($AG79,2),0))</f>
        <v/>
      </c>
      <c r="O79" s="18">
        <f>IF($Z79="","",IF(AND(DATE($AD79,6,1)&gt;=$AE79,DATE($AD79,6,1)&lt;=$AF79),ROUND($AG79,2),0))</f>
        <v/>
      </c>
      <c r="P79" s="18">
        <f>IF($Z79="","",IF(AND(DATE($AD79,7,1)&gt;=$AE79,DATE($AD79,7,1)&lt;=$AF79),ROUND($AG79,2),0))</f>
        <v/>
      </c>
      <c r="Q79" s="18">
        <f>IF($Z79="","",IF(AND(DATE($AD79,8,1)&gt;=$AE79,DATE($AD79,8,1)&lt;=$AF79),ROUND($AG79,2),0))</f>
        <v/>
      </c>
      <c r="R79" s="18">
        <f>IF($Z79="","",IF(AND(DATE($AD79,9,1)&gt;=$AE79,DATE($AD79,9,1)&lt;=$AF79),ROUND($AG79,2),0))</f>
        <v/>
      </c>
      <c r="S79" s="18">
        <f>IF($Z79="","",IF(AND(DATE($AD79,10,1)&gt;=$AE79,DATE($AD79,10,1)&lt;=$AF79),ROUND($AG79,2),0))</f>
        <v/>
      </c>
      <c r="T79" s="18">
        <f>IF($Z79="","",IF(AND(DATE($AD79,11,1)&gt;=$AE79,DATE($AD79,11,1)&lt;=$AF79),ROUND($AG79,2),0))</f>
        <v/>
      </c>
      <c r="U79" s="18">
        <f>IF($Z79="","",IF(AND(DATE($AD79,12,1)&gt;=$AE79,DATE($AD79,12,1)&lt;=$AF79),ROUND($AG79,2),0))</f>
        <v/>
      </c>
      <c r="V79" s="7">
        <f>IF($Z79="C","Generated from "&amp;INDEX(Contracts!$A$2:$A$151,$AB79),IF($Z79="A","Generated from "&amp;INDEX(Fixed_Assets!$A$2:$A$201,$AB79),IF($Z79="F","Generated from "&amp;INDEX(FTE_Allocation!$A$2:$A$201,$AB79),"")))</f>
        <v/>
      </c>
      <c r="X79" s="19">
        <f>IF($Z79="","",SUM(J79:U79))</f>
        <v/>
      </c>
      <c r="Y79" s="20">
        <f>ROW()-1</f>
        <v/>
      </c>
      <c r="Z79" s="20">
        <f>IF($Y79&lt;=Settings!$B$4*3,"C",IF($Y79&lt;=(Settings!$B$4+Settings!$B$5)*3,"A",IF($Y79&lt;=(Settings!$B$4+Settings!$B$5+Settings!$B$6)*3,"F","")))</f>
        <v/>
      </c>
      <c r="AA79" s="20">
        <f>IF($Z79="C",$Y79,IF($Z79="A",$Y79-Settings!$B$4*3,IF($Z79="F",$Y79-(Settings!$B$4+Settings!$B$5)*3,"")))</f>
        <v/>
      </c>
      <c r="AB79" s="20">
        <f>IF($Z79="","",INT(($AA79-1)/3)+1)</f>
        <v/>
      </c>
      <c r="AC79" s="20">
        <f>IF($Z79="","",MOD($AA79-1,3)+1)</f>
        <v/>
      </c>
      <c r="AD79" s="20">
        <f>IF($Z79="","",Settings!$B$2+$AC79-1)</f>
        <v/>
      </c>
      <c r="AE79" s="21">
        <f>IF($Z79="C",DATE(YEAR(INDEX(Contracts!$J$2:$J$151,$AB79)),MONTH(INDEX(Contracts!$J$2:$J$151,$AB79)),1),IF($Z79="A",DATE(YEAR(INDEX(Fixed_Assets!$G$2:$G$201,$AB79)),MONTH(INDEX(Fixed_Assets!$G$2:$G$201,$AB79)),1),IF($Z79="F",DATE(YEAR(MAX(N(INDEX(Workforce!$I$2:$I$151,MATCH(INDEX(FTE_Allocation!$A$2:$A$201,$AB79),Workforce!$A$2:$A$151,0))),N(INDEX(FTE_Allocation!$I$2:$I$201,$AB79)))),MONTH(MAX(N(INDEX(Workforce!$I$2:$I$151,MATCH(INDEX(FTE_Allocation!$A$2:$A$201,$AB79),Workforce!$A$2:$A$151,0))),N(INDEX(FTE_Allocation!$I$2:$I$201,$AB79)))),1),"")))</f>
        <v/>
      </c>
      <c r="AF79" s="21">
        <f>IF($Z79="C",IF(INDEX(Contracts!$I$2:$I$151,$AB79)="PREPAID",EDATE(DATE(YEAR(INDEX(Contracts!$J$2:$J$151,$AB79)),MONTH(INDEX(Contracts!$J$2:$J$151,$AB79)),1),IF(INDEX(Contracts!$N$2:$N$151,$AB79)="",12,INDEX(Contracts!$N$2:$N$151,$AB79))-1),IF(INDEX(Contracts!$I$2:$I$151,$AB79)="MONTHLY",IF(INDEX(Contracts!$K$2:$K$151,$AB79)="",2958101,INDEX(Contracts!$K$2:$K$151,$AB79)),0)),IF($Z79="A",EDATE(DATE(YEAR(INDEX(Fixed_Assets!$G$2:$G$201,$AB79)),MONTH(INDEX(Fixed_Assets!$G$2:$G$201,$AB79)),1),INDEX(Fixed_Assets!$J$2:$J$201,$AB79)-1),IF($Z79="F",MIN(IF(INDEX(Workforce!$J$2:$J$151,MATCH(INDEX(FTE_Allocation!$A$2:$A$201,$AB79),Workforce!$A$2:$A$151,0))="",2958101,INDEX(Workforce!$J$2:$J$151,MATCH(INDEX(FTE_Allocation!$A$2:$A$201,$AB79),Workforce!$A$2:$A$151,0))),IF(INDEX(FTE_Allocation!$J$2:$J$201,$AB79)="",2958101,INDEX(FTE_Allocation!$J$2:$J$201,$AB79))),"")))</f>
        <v/>
      </c>
      <c r="AG79" s="19">
        <f>IF($Z79="C",IF(INDEX(Contracts!$I$2:$I$151,$AB79)="PREPAID",INDEX(Contracts!$M$2:$M$151,$AB79)/IF(INDEX(Contracts!$N$2:$N$151,$AB79)="",12,INDEX(Contracts!$N$2:$N$151,$AB79)),IF(INDEX(Contracts!$I$2:$I$151,$AB79)="MONTHLY",INDEX(Contracts!$M$2:$M$151,$AB79),0))*(1-N(INDEX(Contracts!$O$2:$O$151,$AB79))),IF($Z79="A",INDEX(Fixed_Assets!$H$2:$H$201,$AB79)/INDEX(Fixed_Assets!$J$2:$J$201,$AB79),IF($Z79="F",INDEX(Workforce!$F$2:$F$151,MATCH(INDEX(FTE_Allocation!$A$2:$A$201,$AB79),Workforce!$A$2:$A$151,0))*N(INDEX(FTE_Allocation!$F$2:$H$201,$AB79,$AC79)),"")))</f>
        <v/>
      </c>
    </row>
    <row r="80">
      <c r="A80" s="7">
        <f>IF($Z80="","",$AD80)</f>
        <v/>
      </c>
      <c r="B80" s="7">
        <f>IF($Z80="C",INDEX(Contracts!$D$2:$D$151,$AB80)&amp;"",IF($Z80="A",INDEX(Fixed_Assets!$C$2:$C$201,$AB80)&amp;"",IF($Z80="F",INDEX(Workforce!$B$2:$B$151,MATCH(INDEX(FTE_Allocation!$A$2:$A$201,$AB80),Workforce!$A$2:$A$151,0))&amp;"","")))</f>
        <v/>
      </c>
      <c r="C80" s="7">
        <f>IF($Z80="C",INDEX(Contracts!$E$2:$E$151,$AB80)&amp;"",IF($Z80="A",INDEX(Fixed_Assets!$D$2:$D$201,$AB80)&amp;"",IF($Z80="F",INDEX(FTE_Allocation!$C$2:$C$201,$AB80)&amp;"","")))</f>
        <v/>
      </c>
      <c r="D80" s="7">
        <f>IF($Z80="C",INDEX(Contracts!$B$2:$B$151,$AB80)&amp;"",IF($Z80="A",INDEX(Fixed_Assets!$B$2:$B$201,$AB80)&amp;"",IF($Z80="F",INDEX(FTE_Allocation!$B$2:$B$201,$AB80)&amp;"","")))</f>
        <v/>
      </c>
      <c r="E80" s="7">
        <f>IF($Z80="C",INDEX(Contracts!$P$2:$P$151,$AB80)&amp;"",IF($Z80="A",INDEX(Fixed_Assets!$K$2:$K$201,$AB80)&amp;"",IF($Z80="F",IF(INDEX(FTE_Allocation!$D$2:$D$201,$AB80)="PROJECT",IFERROR(INDEX(Projects!$D:$D,MATCH(INDEX(FTE_Allocation!$E$2:$E$201,$AB80),Projects!$A:$A,0))&amp;"","#PROJECT?"),INDEX(FTE_Allocation!$E$2:$E$201,$AB80)&amp;""),"")))</f>
        <v/>
      </c>
      <c r="F80" s="7">
        <f>IF($Z80="C",INDEX(Contracts!$Q$2:$Q$151,$AB80)&amp;"",IF($Z80="A",INDEX(Fixed_Assets!$L$2:$L$201,$AB80)&amp;"",IF($Z80="F",INDEX(Workforce!$K$2:$K$151,MATCH(INDEX(FTE_Allocation!$A$2:$A$201,$AB80),Workforce!$A$2:$A$151,0))&amp;"","")))</f>
        <v/>
      </c>
      <c r="G80" s="7">
        <f>IF($Z80="C",INDEX(Contracts!$F$2:$F$151,$AB80)&amp;" / "&amp;INDEX(Contracts!$G$2:$G$151,$AB80),IF($Z80="A",INDEX(Fixed_Assets!$E$2:$E$201,$AB80)&amp;"",IF($Z80="F","Personnel "&amp;INDEX(FTE_Allocation!$A$2:$A$201,$AB80)&amp;IF(INDEX(FTE_Allocation!$D$2:$D$201,$AB80)="PROJECT"," ("&amp;INDEX(FTE_Allocation!$E$2:$E$201,$AB80)&amp;")",""),"")))</f>
        <v/>
      </c>
      <c r="H80" s="7">
        <f>IF($Z80="C","CONTRACT",IF($Z80="A","ASSET",IF($Z80="F","WORKFORCE","")))</f>
        <v/>
      </c>
      <c r="I80" s="7">
        <f>IF($Z80="C",INDEX(Contracts!$L$2:$L$151,$AB80)&amp;"",IF($Z80="A",INDEX(Fixed_Assets!$I$2:$I$201,$AB80)&amp;"",IF($Z80="F",INDEX(Workforce!$G$2:$G$151,MATCH(INDEX(FTE_Allocation!$A$2:$A$201,$AB80),Workforce!$A$2:$A$151,0))&amp;"","")))</f>
        <v/>
      </c>
      <c r="J80" s="18">
        <f>IF($Z80="","",IF(AND(DATE($AD80,1,1)&gt;=$AE80,DATE($AD80,1,1)&lt;=$AF80),ROUND($AG80,2),0))</f>
        <v/>
      </c>
      <c r="K80" s="18">
        <f>IF($Z80="","",IF(AND(DATE($AD80,2,1)&gt;=$AE80,DATE($AD80,2,1)&lt;=$AF80),ROUND($AG80,2),0))</f>
        <v/>
      </c>
      <c r="L80" s="18">
        <f>IF($Z80="","",IF(AND(DATE($AD80,3,1)&gt;=$AE80,DATE($AD80,3,1)&lt;=$AF80),ROUND($AG80,2),0))</f>
        <v/>
      </c>
      <c r="M80" s="18">
        <f>IF($Z80="","",IF(AND(DATE($AD80,4,1)&gt;=$AE80,DATE($AD80,4,1)&lt;=$AF80),ROUND($AG80,2),0))</f>
        <v/>
      </c>
      <c r="N80" s="18">
        <f>IF($Z80="","",IF(AND(DATE($AD80,5,1)&gt;=$AE80,DATE($AD80,5,1)&lt;=$AF80),ROUND($AG80,2),0))</f>
        <v/>
      </c>
      <c r="O80" s="18">
        <f>IF($Z80="","",IF(AND(DATE($AD80,6,1)&gt;=$AE80,DATE($AD80,6,1)&lt;=$AF80),ROUND($AG80,2),0))</f>
        <v/>
      </c>
      <c r="P80" s="18">
        <f>IF($Z80="","",IF(AND(DATE($AD80,7,1)&gt;=$AE80,DATE($AD80,7,1)&lt;=$AF80),ROUND($AG80,2),0))</f>
        <v/>
      </c>
      <c r="Q80" s="18">
        <f>IF($Z80="","",IF(AND(DATE($AD80,8,1)&gt;=$AE80,DATE($AD80,8,1)&lt;=$AF80),ROUND($AG80,2),0))</f>
        <v/>
      </c>
      <c r="R80" s="18">
        <f>IF($Z80="","",IF(AND(DATE($AD80,9,1)&gt;=$AE80,DATE($AD80,9,1)&lt;=$AF80),ROUND($AG80,2),0))</f>
        <v/>
      </c>
      <c r="S80" s="18">
        <f>IF($Z80="","",IF(AND(DATE($AD80,10,1)&gt;=$AE80,DATE($AD80,10,1)&lt;=$AF80),ROUND($AG80,2),0))</f>
        <v/>
      </c>
      <c r="T80" s="18">
        <f>IF($Z80="","",IF(AND(DATE($AD80,11,1)&gt;=$AE80,DATE($AD80,11,1)&lt;=$AF80),ROUND($AG80,2),0))</f>
        <v/>
      </c>
      <c r="U80" s="18">
        <f>IF($Z80="","",IF(AND(DATE($AD80,12,1)&gt;=$AE80,DATE($AD80,12,1)&lt;=$AF80),ROUND($AG80,2),0))</f>
        <v/>
      </c>
      <c r="V80" s="7">
        <f>IF($Z80="C","Generated from "&amp;INDEX(Contracts!$A$2:$A$151,$AB80),IF($Z80="A","Generated from "&amp;INDEX(Fixed_Assets!$A$2:$A$201,$AB80),IF($Z80="F","Generated from "&amp;INDEX(FTE_Allocation!$A$2:$A$201,$AB80),"")))</f>
        <v/>
      </c>
      <c r="X80" s="19">
        <f>IF($Z80="","",SUM(J80:U80))</f>
        <v/>
      </c>
      <c r="Y80" s="20">
        <f>ROW()-1</f>
        <v/>
      </c>
      <c r="Z80" s="20">
        <f>IF($Y80&lt;=Settings!$B$4*3,"C",IF($Y80&lt;=(Settings!$B$4+Settings!$B$5)*3,"A",IF($Y80&lt;=(Settings!$B$4+Settings!$B$5+Settings!$B$6)*3,"F","")))</f>
        <v/>
      </c>
      <c r="AA80" s="20">
        <f>IF($Z80="C",$Y80,IF($Z80="A",$Y80-Settings!$B$4*3,IF($Z80="F",$Y80-(Settings!$B$4+Settings!$B$5)*3,"")))</f>
        <v/>
      </c>
      <c r="AB80" s="20">
        <f>IF($Z80="","",INT(($AA80-1)/3)+1)</f>
        <v/>
      </c>
      <c r="AC80" s="20">
        <f>IF($Z80="","",MOD($AA80-1,3)+1)</f>
        <v/>
      </c>
      <c r="AD80" s="20">
        <f>IF($Z80="","",Settings!$B$2+$AC80-1)</f>
        <v/>
      </c>
      <c r="AE80" s="21">
        <f>IF($Z80="C",DATE(YEAR(INDEX(Contracts!$J$2:$J$151,$AB80)),MONTH(INDEX(Contracts!$J$2:$J$151,$AB80)),1),IF($Z80="A",DATE(YEAR(INDEX(Fixed_Assets!$G$2:$G$201,$AB80)),MONTH(INDEX(Fixed_Assets!$G$2:$G$201,$AB80)),1),IF($Z80="F",DATE(YEAR(MAX(N(INDEX(Workforce!$I$2:$I$151,MATCH(INDEX(FTE_Allocation!$A$2:$A$201,$AB80),Workforce!$A$2:$A$151,0))),N(INDEX(FTE_Allocation!$I$2:$I$201,$AB80)))),MONTH(MAX(N(INDEX(Workforce!$I$2:$I$151,MATCH(INDEX(FTE_Allocation!$A$2:$A$201,$AB80),Workforce!$A$2:$A$151,0))),N(INDEX(FTE_Allocation!$I$2:$I$201,$AB80)))),1),"")))</f>
        <v/>
      </c>
      <c r="AF80" s="21">
        <f>IF($Z80="C",IF(INDEX(Contracts!$I$2:$I$151,$AB80)="PREPAID",EDATE(DATE(YEAR(INDEX(Contracts!$J$2:$J$151,$AB80)),MONTH(INDEX(Contracts!$J$2:$J$151,$AB80)),1),IF(INDEX(Contracts!$N$2:$N$151,$AB80)="",12,INDEX(Contracts!$N$2:$N$151,$AB80))-1),IF(INDEX(Contracts!$I$2:$I$151,$AB80)="MONTHLY",IF(INDEX(Contracts!$K$2:$K$151,$AB80)="",2958101,INDEX(Contracts!$K$2:$K$151,$AB80)),0)),IF($Z80="A",EDATE(DATE(YEAR(INDEX(Fixed_Assets!$G$2:$G$201,$AB80)),MONTH(INDEX(Fixed_Assets!$G$2:$G$201,$AB80)),1),INDEX(Fixed_Assets!$J$2:$J$201,$AB80)-1),IF($Z80="F",MIN(IF(INDEX(Workforce!$J$2:$J$151,MATCH(INDEX(FTE_Allocation!$A$2:$A$201,$AB80),Workforce!$A$2:$A$151,0))="",2958101,INDEX(Workforce!$J$2:$J$151,MATCH(INDEX(FTE_Allocation!$A$2:$A$201,$AB80),Workforce!$A$2:$A$151,0))),IF(INDEX(FTE_Allocation!$J$2:$J$201,$AB80)="",2958101,INDEX(FTE_Allocation!$J$2:$J$201,$AB80))),"")))</f>
        <v/>
      </c>
      <c r="AG80" s="19">
        <f>IF($Z80="C",IF(INDEX(Contracts!$I$2:$I$151,$AB80)="PREPAID",INDEX(Contracts!$M$2:$M$151,$AB80)/IF(INDEX(Contracts!$N$2:$N$151,$AB80)="",12,INDEX(Contracts!$N$2:$N$151,$AB80)),IF(INDEX(Contracts!$I$2:$I$151,$AB80)="MONTHLY",INDEX(Contracts!$M$2:$M$151,$AB80),0))*(1-N(INDEX(Contracts!$O$2:$O$151,$AB80))),IF($Z80="A",INDEX(Fixed_Assets!$H$2:$H$201,$AB80)/INDEX(Fixed_Assets!$J$2:$J$201,$AB80),IF($Z80="F",INDEX(Workforce!$F$2:$F$151,MATCH(INDEX(FTE_Allocation!$A$2:$A$201,$AB80),Workforce!$A$2:$A$151,0))*N(INDEX(FTE_Allocation!$F$2:$H$201,$AB80,$AC80)),"")))</f>
        <v/>
      </c>
    </row>
    <row r="81">
      <c r="A81" s="7">
        <f>IF($Z81="","",$AD81)</f>
        <v/>
      </c>
      <c r="B81" s="7">
        <f>IF($Z81="C",INDEX(Contracts!$D$2:$D$151,$AB81)&amp;"",IF($Z81="A",INDEX(Fixed_Assets!$C$2:$C$201,$AB81)&amp;"",IF($Z81="F",INDEX(Workforce!$B$2:$B$151,MATCH(INDEX(FTE_Allocation!$A$2:$A$201,$AB81),Workforce!$A$2:$A$151,0))&amp;"","")))</f>
        <v/>
      </c>
      <c r="C81" s="7">
        <f>IF($Z81="C",INDEX(Contracts!$E$2:$E$151,$AB81)&amp;"",IF($Z81="A",INDEX(Fixed_Assets!$D$2:$D$201,$AB81)&amp;"",IF($Z81="F",INDEX(FTE_Allocation!$C$2:$C$201,$AB81)&amp;"","")))</f>
        <v/>
      </c>
      <c r="D81" s="7">
        <f>IF($Z81="C",INDEX(Contracts!$B$2:$B$151,$AB81)&amp;"",IF($Z81="A",INDEX(Fixed_Assets!$B$2:$B$201,$AB81)&amp;"",IF($Z81="F",INDEX(FTE_Allocation!$B$2:$B$201,$AB81)&amp;"","")))</f>
        <v/>
      </c>
      <c r="E81" s="7">
        <f>IF($Z81="C",INDEX(Contracts!$P$2:$P$151,$AB81)&amp;"",IF($Z81="A",INDEX(Fixed_Assets!$K$2:$K$201,$AB81)&amp;"",IF($Z81="F",IF(INDEX(FTE_Allocation!$D$2:$D$201,$AB81)="PROJECT",IFERROR(INDEX(Projects!$D:$D,MATCH(INDEX(FTE_Allocation!$E$2:$E$201,$AB81),Projects!$A:$A,0))&amp;"","#PROJECT?"),INDEX(FTE_Allocation!$E$2:$E$201,$AB81)&amp;""),"")))</f>
        <v/>
      </c>
      <c r="F81" s="7">
        <f>IF($Z81="C",INDEX(Contracts!$Q$2:$Q$151,$AB81)&amp;"",IF($Z81="A",INDEX(Fixed_Assets!$L$2:$L$201,$AB81)&amp;"",IF($Z81="F",INDEX(Workforce!$K$2:$K$151,MATCH(INDEX(FTE_Allocation!$A$2:$A$201,$AB81),Workforce!$A$2:$A$151,0))&amp;"","")))</f>
        <v/>
      </c>
      <c r="G81" s="7">
        <f>IF($Z81="C",INDEX(Contracts!$F$2:$F$151,$AB81)&amp;" / "&amp;INDEX(Contracts!$G$2:$G$151,$AB81),IF($Z81="A",INDEX(Fixed_Assets!$E$2:$E$201,$AB81)&amp;"",IF($Z81="F","Personnel "&amp;INDEX(FTE_Allocation!$A$2:$A$201,$AB81)&amp;IF(INDEX(FTE_Allocation!$D$2:$D$201,$AB81)="PROJECT"," ("&amp;INDEX(FTE_Allocation!$E$2:$E$201,$AB81)&amp;")",""),"")))</f>
        <v/>
      </c>
      <c r="H81" s="7">
        <f>IF($Z81="C","CONTRACT",IF($Z81="A","ASSET",IF($Z81="F","WORKFORCE","")))</f>
        <v/>
      </c>
      <c r="I81" s="7">
        <f>IF($Z81="C",INDEX(Contracts!$L$2:$L$151,$AB81)&amp;"",IF($Z81="A",INDEX(Fixed_Assets!$I$2:$I$201,$AB81)&amp;"",IF($Z81="F",INDEX(Workforce!$G$2:$G$151,MATCH(INDEX(FTE_Allocation!$A$2:$A$201,$AB81),Workforce!$A$2:$A$151,0))&amp;"","")))</f>
        <v/>
      </c>
      <c r="J81" s="18">
        <f>IF($Z81="","",IF(AND(DATE($AD81,1,1)&gt;=$AE81,DATE($AD81,1,1)&lt;=$AF81),ROUND($AG81,2),0))</f>
        <v/>
      </c>
      <c r="K81" s="18">
        <f>IF($Z81="","",IF(AND(DATE($AD81,2,1)&gt;=$AE81,DATE($AD81,2,1)&lt;=$AF81),ROUND($AG81,2),0))</f>
        <v/>
      </c>
      <c r="L81" s="18">
        <f>IF($Z81="","",IF(AND(DATE($AD81,3,1)&gt;=$AE81,DATE($AD81,3,1)&lt;=$AF81),ROUND($AG81,2),0))</f>
        <v/>
      </c>
      <c r="M81" s="18">
        <f>IF($Z81="","",IF(AND(DATE($AD81,4,1)&gt;=$AE81,DATE($AD81,4,1)&lt;=$AF81),ROUND($AG81,2),0))</f>
        <v/>
      </c>
      <c r="N81" s="18">
        <f>IF($Z81="","",IF(AND(DATE($AD81,5,1)&gt;=$AE81,DATE($AD81,5,1)&lt;=$AF81),ROUND($AG81,2),0))</f>
        <v/>
      </c>
      <c r="O81" s="18">
        <f>IF($Z81="","",IF(AND(DATE($AD81,6,1)&gt;=$AE81,DATE($AD81,6,1)&lt;=$AF81),ROUND($AG81,2),0))</f>
        <v/>
      </c>
      <c r="P81" s="18">
        <f>IF($Z81="","",IF(AND(DATE($AD81,7,1)&gt;=$AE81,DATE($AD81,7,1)&lt;=$AF81),ROUND($AG81,2),0))</f>
        <v/>
      </c>
      <c r="Q81" s="18">
        <f>IF($Z81="","",IF(AND(DATE($AD81,8,1)&gt;=$AE81,DATE($AD81,8,1)&lt;=$AF81),ROUND($AG81,2),0))</f>
        <v/>
      </c>
      <c r="R81" s="18">
        <f>IF($Z81="","",IF(AND(DATE($AD81,9,1)&gt;=$AE81,DATE($AD81,9,1)&lt;=$AF81),ROUND($AG81,2),0))</f>
        <v/>
      </c>
      <c r="S81" s="18">
        <f>IF($Z81="","",IF(AND(DATE($AD81,10,1)&gt;=$AE81,DATE($AD81,10,1)&lt;=$AF81),ROUND($AG81,2),0))</f>
        <v/>
      </c>
      <c r="T81" s="18">
        <f>IF($Z81="","",IF(AND(DATE($AD81,11,1)&gt;=$AE81,DATE($AD81,11,1)&lt;=$AF81),ROUND($AG81,2),0))</f>
        <v/>
      </c>
      <c r="U81" s="18">
        <f>IF($Z81="","",IF(AND(DATE($AD81,12,1)&gt;=$AE81,DATE($AD81,12,1)&lt;=$AF81),ROUND($AG81,2),0))</f>
        <v/>
      </c>
      <c r="V81" s="7">
        <f>IF($Z81="C","Generated from "&amp;INDEX(Contracts!$A$2:$A$151,$AB81),IF($Z81="A","Generated from "&amp;INDEX(Fixed_Assets!$A$2:$A$201,$AB81),IF($Z81="F","Generated from "&amp;INDEX(FTE_Allocation!$A$2:$A$201,$AB81),"")))</f>
        <v/>
      </c>
      <c r="X81" s="19">
        <f>IF($Z81="","",SUM(J81:U81))</f>
        <v/>
      </c>
      <c r="Y81" s="20">
        <f>ROW()-1</f>
        <v/>
      </c>
      <c r="Z81" s="20">
        <f>IF($Y81&lt;=Settings!$B$4*3,"C",IF($Y81&lt;=(Settings!$B$4+Settings!$B$5)*3,"A",IF($Y81&lt;=(Settings!$B$4+Settings!$B$5+Settings!$B$6)*3,"F","")))</f>
        <v/>
      </c>
      <c r="AA81" s="20">
        <f>IF($Z81="C",$Y81,IF($Z81="A",$Y81-Settings!$B$4*3,IF($Z81="F",$Y81-(Settings!$B$4+Settings!$B$5)*3,"")))</f>
        <v/>
      </c>
      <c r="AB81" s="20">
        <f>IF($Z81="","",INT(($AA81-1)/3)+1)</f>
        <v/>
      </c>
      <c r="AC81" s="20">
        <f>IF($Z81="","",MOD($AA81-1,3)+1)</f>
        <v/>
      </c>
      <c r="AD81" s="20">
        <f>IF($Z81="","",Settings!$B$2+$AC81-1)</f>
        <v/>
      </c>
      <c r="AE81" s="21">
        <f>IF($Z81="C",DATE(YEAR(INDEX(Contracts!$J$2:$J$151,$AB81)),MONTH(INDEX(Contracts!$J$2:$J$151,$AB81)),1),IF($Z81="A",DATE(YEAR(INDEX(Fixed_Assets!$G$2:$G$201,$AB81)),MONTH(INDEX(Fixed_Assets!$G$2:$G$201,$AB81)),1),IF($Z81="F",DATE(YEAR(MAX(N(INDEX(Workforce!$I$2:$I$151,MATCH(INDEX(FTE_Allocation!$A$2:$A$201,$AB81),Workforce!$A$2:$A$151,0))),N(INDEX(FTE_Allocation!$I$2:$I$201,$AB81)))),MONTH(MAX(N(INDEX(Workforce!$I$2:$I$151,MATCH(INDEX(FTE_Allocation!$A$2:$A$201,$AB81),Workforce!$A$2:$A$151,0))),N(INDEX(FTE_Allocation!$I$2:$I$201,$AB81)))),1),"")))</f>
        <v/>
      </c>
      <c r="AF81" s="21">
        <f>IF($Z81="C",IF(INDEX(Contracts!$I$2:$I$151,$AB81)="PREPAID",EDATE(DATE(YEAR(INDEX(Contracts!$J$2:$J$151,$AB81)),MONTH(INDEX(Contracts!$J$2:$J$151,$AB81)),1),IF(INDEX(Contracts!$N$2:$N$151,$AB81)="",12,INDEX(Contracts!$N$2:$N$151,$AB81))-1),IF(INDEX(Contracts!$I$2:$I$151,$AB81)="MONTHLY",IF(INDEX(Contracts!$K$2:$K$151,$AB81)="",2958101,INDEX(Contracts!$K$2:$K$151,$AB81)),0)),IF($Z81="A",EDATE(DATE(YEAR(INDEX(Fixed_Assets!$G$2:$G$201,$AB81)),MONTH(INDEX(Fixed_Assets!$G$2:$G$201,$AB81)),1),INDEX(Fixed_Assets!$J$2:$J$201,$AB81)-1),IF($Z81="F",MIN(IF(INDEX(Workforce!$J$2:$J$151,MATCH(INDEX(FTE_Allocation!$A$2:$A$201,$AB81),Workforce!$A$2:$A$151,0))="",2958101,INDEX(Workforce!$J$2:$J$151,MATCH(INDEX(FTE_Allocation!$A$2:$A$201,$AB81),Workforce!$A$2:$A$151,0))),IF(INDEX(FTE_Allocation!$J$2:$J$201,$AB81)="",2958101,INDEX(FTE_Allocation!$J$2:$J$201,$AB81))),"")))</f>
        <v/>
      </c>
      <c r="AG81" s="19">
        <f>IF($Z81="C",IF(INDEX(Contracts!$I$2:$I$151,$AB81)="PREPAID",INDEX(Contracts!$M$2:$M$151,$AB81)/IF(INDEX(Contracts!$N$2:$N$151,$AB81)="",12,INDEX(Contracts!$N$2:$N$151,$AB81)),IF(INDEX(Contracts!$I$2:$I$151,$AB81)="MONTHLY",INDEX(Contracts!$M$2:$M$151,$AB81),0))*(1-N(INDEX(Contracts!$O$2:$O$151,$AB81))),IF($Z81="A",INDEX(Fixed_Assets!$H$2:$H$201,$AB81)/INDEX(Fixed_Assets!$J$2:$J$201,$AB81),IF($Z81="F",INDEX(Workforce!$F$2:$F$151,MATCH(INDEX(FTE_Allocation!$A$2:$A$201,$AB81),Workforce!$A$2:$A$151,0))*N(INDEX(FTE_Allocation!$F$2:$H$201,$AB81,$AC81)),"")))</f>
        <v/>
      </c>
    </row>
    <row r="82">
      <c r="A82" s="7">
        <f>IF($Z82="","",$AD82)</f>
        <v/>
      </c>
      <c r="B82" s="7">
        <f>IF($Z82="C",INDEX(Contracts!$D$2:$D$151,$AB82)&amp;"",IF($Z82="A",INDEX(Fixed_Assets!$C$2:$C$201,$AB82)&amp;"",IF($Z82="F",INDEX(Workforce!$B$2:$B$151,MATCH(INDEX(FTE_Allocation!$A$2:$A$201,$AB82),Workforce!$A$2:$A$151,0))&amp;"","")))</f>
        <v/>
      </c>
      <c r="C82" s="7">
        <f>IF($Z82="C",INDEX(Contracts!$E$2:$E$151,$AB82)&amp;"",IF($Z82="A",INDEX(Fixed_Assets!$D$2:$D$201,$AB82)&amp;"",IF($Z82="F",INDEX(FTE_Allocation!$C$2:$C$201,$AB82)&amp;"","")))</f>
        <v/>
      </c>
      <c r="D82" s="7">
        <f>IF($Z82="C",INDEX(Contracts!$B$2:$B$151,$AB82)&amp;"",IF($Z82="A",INDEX(Fixed_Assets!$B$2:$B$201,$AB82)&amp;"",IF($Z82="F",INDEX(FTE_Allocation!$B$2:$B$201,$AB82)&amp;"","")))</f>
        <v/>
      </c>
      <c r="E82" s="7">
        <f>IF($Z82="C",INDEX(Contracts!$P$2:$P$151,$AB82)&amp;"",IF($Z82="A",INDEX(Fixed_Assets!$K$2:$K$201,$AB82)&amp;"",IF($Z82="F",IF(INDEX(FTE_Allocation!$D$2:$D$201,$AB82)="PROJECT",IFERROR(INDEX(Projects!$D:$D,MATCH(INDEX(FTE_Allocation!$E$2:$E$201,$AB82),Projects!$A:$A,0))&amp;"","#PROJECT?"),INDEX(FTE_Allocation!$E$2:$E$201,$AB82)&amp;""),"")))</f>
        <v/>
      </c>
      <c r="F82" s="7">
        <f>IF($Z82="C",INDEX(Contracts!$Q$2:$Q$151,$AB82)&amp;"",IF($Z82="A",INDEX(Fixed_Assets!$L$2:$L$201,$AB82)&amp;"",IF($Z82="F",INDEX(Workforce!$K$2:$K$151,MATCH(INDEX(FTE_Allocation!$A$2:$A$201,$AB82),Workforce!$A$2:$A$151,0))&amp;"","")))</f>
        <v/>
      </c>
      <c r="G82" s="7">
        <f>IF($Z82="C",INDEX(Contracts!$F$2:$F$151,$AB82)&amp;" / "&amp;INDEX(Contracts!$G$2:$G$151,$AB82),IF($Z82="A",INDEX(Fixed_Assets!$E$2:$E$201,$AB82)&amp;"",IF($Z82="F","Personnel "&amp;INDEX(FTE_Allocation!$A$2:$A$201,$AB82)&amp;IF(INDEX(FTE_Allocation!$D$2:$D$201,$AB82)="PROJECT"," ("&amp;INDEX(FTE_Allocation!$E$2:$E$201,$AB82)&amp;")",""),"")))</f>
        <v/>
      </c>
      <c r="H82" s="7">
        <f>IF($Z82="C","CONTRACT",IF($Z82="A","ASSET",IF($Z82="F","WORKFORCE","")))</f>
        <v/>
      </c>
      <c r="I82" s="7">
        <f>IF($Z82="C",INDEX(Contracts!$L$2:$L$151,$AB82)&amp;"",IF($Z82="A",INDEX(Fixed_Assets!$I$2:$I$201,$AB82)&amp;"",IF($Z82="F",INDEX(Workforce!$G$2:$G$151,MATCH(INDEX(FTE_Allocation!$A$2:$A$201,$AB82),Workforce!$A$2:$A$151,0))&amp;"","")))</f>
        <v/>
      </c>
      <c r="J82" s="18">
        <f>IF($Z82="","",IF(AND(DATE($AD82,1,1)&gt;=$AE82,DATE($AD82,1,1)&lt;=$AF82),ROUND($AG82,2),0))</f>
        <v/>
      </c>
      <c r="K82" s="18">
        <f>IF($Z82="","",IF(AND(DATE($AD82,2,1)&gt;=$AE82,DATE($AD82,2,1)&lt;=$AF82),ROUND($AG82,2),0))</f>
        <v/>
      </c>
      <c r="L82" s="18">
        <f>IF($Z82="","",IF(AND(DATE($AD82,3,1)&gt;=$AE82,DATE($AD82,3,1)&lt;=$AF82),ROUND($AG82,2),0))</f>
        <v/>
      </c>
      <c r="M82" s="18">
        <f>IF($Z82="","",IF(AND(DATE($AD82,4,1)&gt;=$AE82,DATE($AD82,4,1)&lt;=$AF82),ROUND($AG82,2),0))</f>
        <v/>
      </c>
      <c r="N82" s="18">
        <f>IF($Z82="","",IF(AND(DATE($AD82,5,1)&gt;=$AE82,DATE($AD82,5,1)&lt;=$AF82),ROUND($AG82,2),0))</f>
        <v/>
      </c>
      <c r="O82" s="18">
        <f>IF($Z82="","",IF(AND(DATE($AD82,6,1)&gt;=$AE82,DATE($AD82,6,1)&lt;=$AF82),ROUND($AG82,2),0))</f>
        <v/>
      </c>
      <c r="P82" s="18">
        <f>IF($Z82="","",IF(AND(DATE($AD82,7,1)&gt;=$AE82,DATE($AD82,7,1)&lt;=$AF82),ROUND($AG82,2),0))</f>
        <v/>
      </c>
      <c r="Q82" s="18">
        <f>IF($Z82="","",IF(AND(DATE($AD82,8,1)&gt;=$AE82,DATE($AD82,8,1)&lt;=$AF82),ROUND($AG82,2),0))</f>
        <v/>
      </c>
      <c r="R82" s="18">
        <f>IF($Z82="","",IF(AND(DATE($AD82,9,1)&gt;=$AE82,DATE($AD82,9,1)&lt;=$AF82),ROUND($AG82,2),0))</f>
        <v/>
      </c>
      <c r="S82" s="18">
        <f>IF($Z82="","",IF(AND(DATE($AD82,10,1)&gt;=$AE82,DATE($AD82,10,1)&lt;=$AF82),ROUND($AG82,2),0))</f>
        <v/>
      </c>
      <c r="T82" s="18">
        <f>IF($Z82="","",IF(AND(DATE($AD82,11,1)&gt;=$AE82,DATE($AD82,11,1)&lt;=$AF82),ROUND($AG82,2),0))</f>
        <v/>
      </c>
      <c r="U82" s="18">
        <f>IF($Z82="","",IF(AND(DATE($AD82,12,1)&gt;=$AE82,DATE($AD82,12,1)&lt;=$AF82),ROUND($AG82,2),0))</f>
        <v/>
      </c>
      <c r="V82" s="7">
        <f>IF($Z82="C","Generated from "&amp;INDEX(Contracts!$A$2:$A$151,$AB82),IF($Z82="A","Generated from "&amp;INDEX(Fixed_Assets!$A$2:$A$201,$AB82),IF($Z82="F","Generated from "&amp;INDEX(FTE_Allocation!$A$2:$A$201,$AB82),"")))</f>
        <v/>
      </c>
      <c r="X82" s="19">
        <f>IF($Z82="","",SUM(J82:U82))</f>
        <v/>
      </c>
      <c r="Y82" s="20">
        <f>ROW()-1</f>
        <v/>
      </c>
      <c r="Z82" s="20">
        <f>IF($Y82&lt;=Settings!$B$4*3,"C",IF($Y82&lt;=(Settings!$B$4+Settings!$B$5)*3,"A",IF($Y82&lt;=(Settings!$B$4+Settings!$B$5+Settings!$B$6)*3,"F","")))</f>
        <v/>
      </c>
      <c r="AA82" s="20">
        <f>IF($Z82="C",$Y82,IF($Z82="A",$Y82-Settings!$B$4*3,IF($Z82="F",$Y82-(Settings!$B$4+Settings!$B$5)*3,"")))</f>
        <v/>
      </c>
      <c r="AB82" s="20">
        <f>IF($Z82="","",INT(($AA82-1)/3)+1)</f>
        <v/>
      </c>
      <c r="AC82" s="20">
        <f>IF($Z82="","",MOD($AA82-1,3)+1)</f>
        <v/>
      </c>
      <c r="AD82" s="20">
        <f>IF($Z82="","",Settings!$B$2+$AC82-1)</f>
        <v/>
      </c>
      <c r="AE82" s="21">
        <f>IF($Z82="C",DATE(YEAR(INDEX(Contracts!$J$2:$J$151,$AB82)),MONTH(INDEX(Contracts!$J$2:$J$151,$AB82)),1),IF($Z82="A",DATE(YEAR(INDEX(Fixed_Assets!$G$2:$G$201,$AB82)),MONTH(INDEX(Fixed_Assets!$G$2:$G$201,$AB82)),1),IF($Z82="F",DATE(YEAR(MAX(N(INDEX(Workforce!$I$2:$I$151,MATCH(INDEX(FTE_Allocation!$A$2:$A$201,$AB82),Workforce!$A$2:$A$151,0))),N(INDEX(FTE_Allocation!$I$2:$I$201,$AB82)))),MONTH(MAX(N(INDEX(Workforce!$I$2:$I$151,MATCH(INDEX(FTE_Allocation!$A$2:$A$201,$AB82),Workforce!$A$2:$A$151,0))),N(INDEX(FTE_Allocation!$I$2:$I$201,$AB82)))),1),"")))</f>
        <v/>
      </c>
      <c r="AF82" s="21">
        <f>IF($Z82="C",IF(INDEX(Contracts!$I$2:$I$151,$AB82)="PREPAID",EDATE(DATE(YEAR(INDEX(Contracts!$J$2:$J$151,$AB82)),MONTH(INDEX(Contracts!$J$2:$J$151,$AB82)),1),IF(INDEX(Contracts!$N$2:$N$151,$AB82)="",12,INDEX(Contracts!$N$2:$N$151,$AB82))-1),IF(INDEX(Contracts!$I$2:$I$151,$AB82)="MONTHLY",IF(INDEX(Contracts!$K$2:$K$151,$AB82)="",2958101,INDEX(Contracts!$K$2:$K$151,$AB82)),0)),IF($Z82="A",EDATE(DATE(YEAR(INDEX(Fixed_Assets!$G$2:$G$201,$AB82)),MONTH(INDEX(Fixed_Assets!$G$2:$G$201,$AB82)),1),INDEX(Fixed_Assets!$J$2:$J$201,$AB82)-1),IF($Z82="F",MIN(IF(INDEX(Workforce!$J$2:$J$151,MATCH(INDEX(FTE_Allocation!$A$2:$A$201,$AB82),Workforce!$A$2:$A$151,0))="",2958101,INDEX(Workforce!$J$2:$J$151,MATCH(INDEX(FTE_Allocation!$A$2:$A$201,$AB82),Workforce!$A$2:$A$151,0))),IF(INDEX(FTE_Allocation!$J$2:$J$201,$AB82)="",2958101,INDEX(FTE_Allocation!$J$2:$J$201,$AB82))),"")))</f>
        <v/>
      </c>
      <c r="AG82" s="19">
        <f>IF($Z82="C",IF(INDEX(Contracts!$I$2:$I$151,$AB82)="PREPAID",INDEX(Contracts!$M$2:$M$151,$AB82)/IF(INDEX(Contracts!$N$2:$N$151,$AB82)="",12,INDEX(Contracts!$N$2:$N$151,$AB82)),IF(INDEX(Contracts!$I$2:$I$151,$AB82)="MONTHLY",INDEX(Contracts!$M$2:$M$151,$AB82),0))*(1-N(INDEX(Contracts!$O$2:$O$151,$AB82))),IF($Z82="A",INDEX(Fixed_Assets!$H$2:$H$201,$AB82)/INDEX(Fixed_Assets!$J$2:$J$201,$AB82),IF($Z82="F",INDEX(Workforce!$F$2:$F$151,MATCH(INDEX(FTE_Allocation!$A$2:$A$201,$AB82),Workforce!$A$2:$A$151,0))*N(INDEX(FTE_Allocation!$F$2:$H$201,$AB82,$AC82)),"")))</f>
        <v/>
      </c>
    </row>
    <row r="83">
      <c r="A83" s="7">
        <f>IF($Z83="","",$AD83)</f>
        <v/>
      </c>
      <c r="B83" s="7">
        <f>IF($Z83="C",INDEX(Contracts!$D$2:$D$151,$AB83)&amp;"",IF($Z83="A",INDEX(Fixed_Assets!$C$2:$C$201,$AB83)&amp;"",IF($Z83="F",INDEX(Workforce!$B$2:$B$151,MATCH(INDEX(FTE_Allocation!$A$2:$A$201,$AB83),Workforce!$A$2:$A$151,0))&amp;"","")))</f>
        <v/>
      </c>
      <c r="C83" s="7">
        <f>IF($Z83="C",INDEX(Contracts!$E$2:$E$151,$AB83)&amp;"",IF($Z83="A",INDEX(Fixed_Assets!$D$2:$D$201,$AB83)&amp;"",IF($Z83="F",INDEX(FTE_Allocation!$C$2:$C$201,$AB83)&amp;"","")))</f>
        <v/>
      </c>
      <c r="D83" s="7">
        <f>IF($Z83="C",INDEX(Contracts!$B$2:$B$151,$AB83)&amp;"",IF($Z83="A",INDEX(Fixed_Assets!$B$2:$B$201,$AB83)&amp;"",IF($Z83="F",INDEX(FTE_Allocation!$B$2:$B$201,$AB83)&amp;"","")))</f>
        <v/>
      </c>
      <c r="E83" s="7">
        <f>IF($Z83="C",INDEX(Contracts!$P$2:$P$151,$AB83)&amp;"",IF($Z83="A",INDEX(Fixed_Assets!$K$2:$K$201,$AB83)&amp;"",IF($Z83="F",IF(INDEX(FTE_Allocation!$D$2:$D$201,$AB83)="PROJECT",IFERROR(INDEX(Projects!$D:$D,MATCH(INDEX(FTE_Allocation!$E$2:$E$201,$AB83),Projects!$A:$A,0))&amp;"","#PROJECT?"),INDEX(FTE_Allocation!$E$2:$E$201,$AB83)&amp;""),"")))</f>
        <v/>
      </c>
      <c r="F83" s="7">
        <f>IF($Z83="C",INDEX(Contracts!$Q$2:$Q$151,$AB83)&amp;"",IF($Z83="A",INDEX(Fixed_Assets!$L$2:$L$201,$AB83)&amp;"",IF($Z83="F",INDEX(Workforce!$K$2:$K$151,MATCH(INDEX(FTE_Allocation!$A$2:$A$201,$AB83),Workforce!$A$2:$A$151,0))&amp;"","")))</f>
        <v/>
      </c>
      <c r="G83" s="7">
        <f>IF($Z83="C",INDEX(Contracts!$F$2:$F$151,$AB83)&amp;" / "&amp;INDEX(Contracts!$G$2:$G$151,$AB83),IF($Z83="A",INDEX(Fixed_Assets!$E$2:$E$201,$AB83)&amp;"",IF($Z83="F","Personnel "&amp;INDEX(FTE_Allocation!$A$2:$A$201,$AB83)&amp;IF(INDEX(FTE_Allocation!$D$2:$D$201,$AB83)="PROJECT"," ("&amp;INDEX(FTE_Allocation!$E$2:$E$201,$AB83)&amp;")",""),"")))</f>
        <v/>
      </c>
      <c r="H83" s="7">
        <f>IF($Z83="C","CONTRACT",IF($Z83="A","ASSET",IF($Z83="F","WORKFORCE","")))</f>
        <v/>
      </c>
      <c r="I83" s="7">
        <f>IF($Z83="C",INDEX(Contracts!$L$2:$L$151,$AB83)&amp;"",IF($Z83="A",INDEX(Fixed_Assets!$I$2:$I$201,$AB83)&amp;"",IF($Z83="F",INDEX(Workforce!$G$2:$G$151,MATCH(INDEX(FTE_Allocation!$A$2:$A$201,$AB83),Workforce!$A$2:$A$151,0))&amp;"","")))</f>
        <v/>
      </c>
      <c r="J83" s="18">
        <f>IF($Z83="","",IF(AND(DATE($AD83,1,1)&gt;=$AE83,DATE($AD83,1,1)&lt;=$AF83),ROUND($AG83,2),0))</f>
        <v/>
      </c>
      <c r="K83" s="18">
        <f>IF($Z83="","",IF(AND(DATE($AD83,2,1)&gt;=$AE83,DATE($AD83,2,1)&lt;=$AF83),ROUND($AG83,2),0))</f>
        <v/>
      </c>
      <c r="L83" s="18">
        <f>IF($Z83="","",IF(AND(DATE($AD83,3,1)&gt;=$AE83,DATE($AD83,3,1)&lt;=$AF83),ROUND($AG83,2),0))</f>
        <v/>
      </c>
      <c r="M83" s="18">
        <f>IF($Z83="","",IF(AND(DATE($AD83,4,1)&gt;=$AE83,DATE($AD83,4,1)&lt;=$AF83),ROUND($AG83,2),0))</f>
        <v/>
      </c>
      <c r="N83" s="18">
        <f>IF($Z83="","",IF(AND(DATE($AD83,5,1)&gt;=$AE83,DATE($AD83,5,1)&lt;=$AF83),ROUND($AG83,2),0))</f>
        <v/>
      </c>
      <c r="O83" s="18">
        <f>IF($Z83="","",IF(AND(DATE($AD83,6,1)&gt;=$AE83,DATE($AD83,6,1)&lt;=$AF83),ROUND($AG83,2),0))</f>
        <v/>
      </c>
      <c r="P83" s="18">
        <f>IF($Z83="","",IF(AND(DATE($AD83,7,1)&gt;=$AE83,DATE($AD83,7,1)&lt;=$AF83),ROUND($AG83,2),0))</f>
        <v/>
      </c>
      <c r="Q83" s="18">
        <f>IF($Z83="","",IF(AND(DATE($AD83,8,1)&gt;=$AE83,DATE($AD83,8,1)&lt;=$AF83),ROUND($AG83,2),0))</f>
        <v/>
      </c>
      <c r="R83" s="18">
        <f>IF($Z83="","",IF(AND(DATE($AD83,9,1)&gt;=$AE83,DATE($AD83,9,1)&lt;=$AF83),ROUND($AG83,2),0))</f>
        <v/>
      </c>
      <c r="S83" s="18">
        <f>IF($Z83="","",IF(AND(DATE($AD83,10,1)&gt;=$AE83,DATE($AD83,10,1)&lt;=$AF83),ROUND($AG83,2),0))</f>
        <v/>
      </c>
      <c r="T83" s="18">
        <f>IF($Z83="","",IF(AND(DATE($AD83,11,1)&gt;=$AE83,DATE($AD83,11,1)&lt;=$AF83),ROUND($AG83,2),0))</f>
        <v/>
      </c>
      <c r="U83" s="18">
        <f>IF($Z83="","",IF(AND(DATE($AD83,12,1)&gt;=$AE83,DATE($AD83,12,1)&lt;=$AF83),ROUND($AG83,2),0))</f>
        <v/>
      </c>
      <c r="V83" s="7">
        <f>IF($Z83="C","Generated from "&amp;INDEX(Contracts!$A$2:$A$151,$AB83),IF($Z83="A","Generated from "&amp;INDEX(Fixed_Assets!$A$2:$A$201,$AB83),IF($Z83="F","Generated from "&amp;INDEX(FTE_Allocation!$A$2:$A$201,$AB83),"")))</f>
        <v/>
      </c>
      <c r="X83" s="19">
        <f>IF($Z83="","",SUM(J83:U83))</f>
        <v/>
      </c>
      <c r="Y83" s="20">
        <f>ROW()-1</f>
        <v/>
      </c>
      <c r="Z83" s="20">
        <f>IF($Y83&lt;=Settings!$B$4*3,"C",IF($Y83&lt;=(Settings!$B$4+Settings!$B$5)*3,"A",IF($Y83&lt;=(Settings!$B$4+Settings!$B$5+Settings!$B$6)*3,"F","")))</f>
        <v/>
      </c>
      <c r="AA83" s="20">
        <f>IF($Z83="C",$Y83,IF($Z83="A",$Y83-Settings!$B$4*3,IF($Z83="F",$Y83-(Settings!$B$4+Settings!$B$5)*3,"")))</f>
        <v/>
      </c>
      <c r="AB83" s="20">
        <f>IF($Z83="","",INT(($AA83-1)/3)+1)</f>
        <v/>
      </c>
      <c r="AC83" s="20">
        <f>IF($Z83="","",MOD($AA83-1,3)+1)</f>
        <v/>
      </c>
      <c r="AD83" s="20">
        <f>IF($Z83="","",Settings!$B$2+$AC83-1)</f>
        <v/>
      </c>
      <c r="AE83" s="21">
        <f>IF($Z83="C",DATE(YEAR(INDEX(Contracts!$J$2:$J$151,$AB83)),MONTH(INDEX(Contracts!$J$2:$J$151,$AB83)),1),IF($Z83="A",DATE(YEAR(INDEX(Fixed_Assets!$G$2:$G$201,$AB83)),MONTH(INDEX(Fixed_Assets!$G$2:$G$201,$AB83)),1),IF($Z83="F",DATE(YEAR(MAX(N(INDEX(Workforce!$I$2:$I$151,MATCH(INDEX(FTE_Allocation!$A$2:$A$201,$AB83),Workforce!$A$2:$A$151,0))),N(INDEX(FTE_Allocation!$I$2:$I$201,$AB83)))),MONTH(MAX(N(INDEX(Workforce!$I$2:$I$151,MATCH(INDEX(FTE_Allocation!$A$2:$A$201,$AB83),Workforce!$A$2:$A$151,0))),N(INDEX(FTE_Allocation!$I$2:$I$201,$AB83)))),1),"")))</f>
        <v/>
      </c>
      <c r="AF83" s="21">
        <f>IF($Z83="C",IF(INDEX(Contracts!$I$2:$I$151,$AB83)="PREPAID",EDATE(DATE(YEAR(INDEX(Contracts!$J$2:$J$151,$AB83)),MONTH(INDEX(Contracts!$J$2:$J$151,$AB83)),1),IF(INDEX(Contracts!$N$2:$N$151,$AB83)="",12,INDEX(Contracts!$N$2:$N$151,$AB83))-1),IF(INDEX(Contracts!$I$2:$I$151,$AB83)="MONTHLY",IF(INDEX(Contracts!$K$2:$K$151,$AB83)="",2958101,INDEX(Contracts!$K$2:$K$151,$AB83)),0)),IF($Z83="A",EDATE(DATE(YEAR(INDEX(Fixed_Assets!$G$2:$G$201,$AB83)),MONTH(INDEX(Fixed_Assets!$G$2:$G$201,$AB83)),1),INDEX(Fixed_Assets!$J$2:$J$201,$AB83)-1),IF($Z83="F",MIN(IF(INDEX(Workforce!$J$2:$J$151,MATCH(INDEX(FTE_Allocation!$A$2:$A$201,$AB83),Workforce!$A$2:$A$151,0))="",2958101,INDEX(Workforce!$J$2:$J$151,MATCH(INDEX(FTE_Allocation!$A$2:$A$201,$AB83),Workforce!$A$2:$A$151,0))),IF(INDEX(FTE_Allocation!$J$2:$J$201,$AB83)="",2958101,INDEX(FTE_Allocation!$J$2:$J$201,$AB83))),"")))</f>
        <v/>
      </c>
      <c r="AG83" s="19">
        <f>IF($Z83="C",IF(INDEX(Contracts!$I$2:$I$151,$AB83)="PREPAID",INDEX(Contracts!$M$2:$M$151,$AB83)/IF(INDEX(Contracts!$N$2:$N$151,$AB83)="",12,INDEX(Contracts!$N$2:$N$151,$AB83)),IF(INDEX(Contracts!$I$2:$I$151,$AB83)="MONTHLY",INDEX(Contracts!$M$2:$M$151,$AB83),0))*(1-N(INDEX(Contracts!$O$2:$O$151,$AB83))),IF($Z83="A",INDEX(Fixed_Assets!$H$2:$H$201,$AB83)/INDEX(Fixed_Assets!$J$2:$J$201,$AB83),IF($Z83="F",INDEX(Workforce!$F$2:$F$151,MATCH(INDEX(FTE_Allocation!$A$2:$A$201,$AB83),Workforce!$A$2:$A$151,0))*N(INDEX(FTE_Allocation!$F$2:$H$201,$AB83,$AC83)),"")))</f>
        <v/>
      </c>
    </row>
    <row r="84">
      <c r="A84" s="7">
        <f>IF($Z84="","",$AD84)</f>
        <v/>
      </c>
      <c r="B84" s="7">
        <f>IF($Z84="C",INDEX(Contracts!$D$2:$D$151,$AB84)&amp;"",IF($Z84="A",INDEX(Fixed_Assets!$C$2:$C$201,$AB84)&amp;"",IF($Z84="F",INDEX(Workforce!$B$2:$B$151,MATCH(INDEX(FTE_Allocation!$A$2:$A$201,$AB84),Workforce!$A$2:$A$151,0))&amp;"","")))</f>
        <v/>
      </c>
      <c r="C84" s="7">
        <f>IF($Z84="C",INDEX(Contracts!$E$2:$E$151,$AB84)&amp;"",IF($Z84="A",INDEX(Fixed_Assets!$D$2:$D$201,$AB84)&amp;"",IF($Z84="F",INDEX(FTE_Allocation!$C$2:$C$201,$AB84)&amp;"","")))</f>
        <v/>
      </c>
      <c r="D84" s="7">
        <f>IF($Z84="C",INDEX(Contracts!$B$2:$B$151,$AB84)&amp;"",IF($Z84="A",INDEX(Fixed_Assets!$B$2:$B$201,$AB84)&amp;"",IF($Z84="F",INDEX(FTE_Allocation!$B$2:$B$201,$AB84)&amp;"","")))</f>
        <v/>
      </c>
      <c r="E84" s="7">
        <f>IF($Z84="C",INDEX(Contracts!$P$2:$P$151,$AB84)&amp;"",IF($Z84="A",INDEX(Fixed_Assets!$K$2:$K$201,$AB84)&amp;"",IF($Z84="F",IF(INDEX(FTE_Allocation!$D$2:$D$201,$AB84)="PROJECT",IFERROR(INDEX(Projects!$D:$D,MATCH(INDEX(FTE_Allocation!$E$2:$E$201,$AB84),Projects!$A:$A,0))&amp;"","#PROJECT?"),INDEX(FTE_Allocation!$E$2:$E$201,$AB84)&amp;""),"")))</f>
        <v/>
      </c>
      <c r="F84" s="7">
        <f>IF($Z84="C",INDEX(Contracts!$Q$2:$Q$151,$AB84)&amp;"",IF($Z84="A",INDEX(Fixed_Assets!$L$2:$L$201,$AB84)&amp;"",IF($Z84="F",INDEX(Workforce!$K$2:$K$151,MATCH(INDEX(FTE_Allocation!$A$2:$A$201,$AB84),Workforce!$A$2:$A$151,0))&amp;"","")))</f>
        <v/>
      </c>
      <c r="G84" s="7">
        <f>IF($Z84="C",INDEX(Contracts!$F$2:$F$151,$AB84)&amp;" / "&amp;INDEX(Contracts!$G$2:$G$151,$AB84),IF($Z84="A",INDEX(Fixed_Assets!$E$2:$E$201,$AB84)&amp;"",IF($Z84="F","Personnel "&amp;INDEX(FTE_Allocation!$A$2:$A$201,$AB84)&amp;IF(INDEX(FTE_Allocation!$D$2:$D$201,$AB84)="PROJECT"," ("&amp;INDEX(FTE_Allocation!$E$2:$E$201,$AB84)&amp;")",""),"")))</f>
        <v/>
      </c>
      <c r="H84" s="7">
        <f>IF($Z84="C","CONTRACT",IF($Z84="A","ASSET",IF($Z84="F","WORKFORCE","")))</f>
        <v/>
      </c>
      <c r="I84" s="7">
        <f>IF($Z84="C",INDEX(Contracts!$L$2:$L$151,$AB84)&amp;"",IF($Z84="A",INDEX(Fixed_Assets!$I$2:$I$201,$AB84)&amp;"",IF($Z84="F",INDEX(Workforce!$G$2:$G$151,MATCH(INDEX(FTE_Allocation!$A$2:$A$201,$AB84),Workforce!$A$2:$A$151,0))&amp;"","")))</f>
        <v/>
      </c>
      <c r="J84" s="18">
        <f>IF($Z84="","",IF(AND(DATE($AD84,1,1)&gt;=$AE84,DATE($AD84,1,1)&lt;=$AF84),ROUND($AG84,2),0))</f>
        <v/>
      </c>
      <c r="K84" s="18">
        <f>IF($Z84="","",IF(AND(DATE($AD84,2,1)&gt;=$AE84,DATE($AD84,2,1)&lt;=$AF84),ROUND($AG84,2),0))</f>
        <v/>
      </c>
      <c r="L84" s="18">
        <f>IF($Z84="","",IF(AND(DATE($AD84,3,1)&gt;=$AE84,DATE($AD84,3,1)&lt;=$AF84),ROUND($AG84,2),0))</f>
        <v/>
      </c>
      <c r="M84" s="18">
        <f>IF($Z84="","",IF(AND(DATE($AD84,4,1)&gt;=$AE84,DATE($AD84,4,1)&lt;=$AF84),ROUND($AG84,2),0))</f>
        <v/>
      </c>
      <c r="N84" s="18">
        <f>IF($Z84="","",IF(AND(DATE($AD84,5,1)&gt;=$AE84,DATE($AD84,5,1)&lt;=$AF84),ROUND($AG84,2),0))</f>
        <v/>
      </c>
      <c r="O84" s="18">
        <f>IF($Z84="","",IF(AND(DATE($AD84,6,1)&gt;=$AE84,DATE($AD84,6,1)&lt;=$AF84),ROUND($AG84,2),0))</f>
        <v/>
      </c>
      <c r="P84" s="18">
        <f>IF($Z84="","",IF(AND(DATE($AD84,7,1)&gt;=$AE84,DATE($AD84,7,1)&lt;=$AF84),ROUND($AG84,2),0))</f>
        <v/>
      </c>
      <c r="Q84" s="18">
        <f>IF($Z84="","",IF(AND(DATE($AD84,8,1)&gt;=$AE84,DATE($AD84,8,1)&lt;=$AF84),ROUND($AG84,2),0))</f>
        <v/>
      </c>
      <c r="R84" s="18">
        <f>IF($Z84="","",IF(AND(DATE($AD84,9,1)&gt;=$AE84,DATE($AD84,9,1)&lt;=$AF84),ROUND($AG84,2),0))</f>
        <v/>
      </c>
      <c r="S84" s="18">
        <f>IF($Z84="","",IF(AND(DATE($AD84,10,1)&gt;=$AE84,DATE($AD84,10,1)&lt;=$AF84),ROUND($AG84,2),0))</f>
        <v/>
      </c>
      <c r="T84" s="18">
        <f>IF($Z84="","",IF(AND(DATE($AD84,11,1)&gt;=$AE84,DATE($AD84,11,1)&lt;=$AF84),ROUND($AG84,2),0))</f>
        <v/>
      </c>
      <c r="U84" s="18">
        <f>IF($Z84="","",IF(AND(DATE($AD84,12,1)&gt;=$AE84,DATE($AD84,12,1)&lt;=$AF84),ROUND($AG84,2),0))</f>
        <v/>
      </c>
      <c r="V84" s="7">
        <f>IF($Z84="C","Generated from "&amp;INDEX(Contracts!$A$2:$A$151,$AB84),IF($Z84="A","Generated from "&amp;INDEX(Fixed_Assets!$A$2:$A$201,$AB84),IF($Z84="F","Generated from "&amp;INDEX(FTE_Allocation!$A$2:$A$201,$AB84),"")))</f>
        <v/>
      </c>
      <c r="X84" s="19">
        <f>IF($Z84="","",SUM(J84:U84))</f>
        <v/>
      </c>
      <c r="Y84" s="20">
        <f>ROW()-1</f>
        <v/>
      </c>
      <c r="Z84" s="20">
        <f>IF($Y84&lt;=Settings!$B$4*3,"C",IF($Y84&lt;=(Settings!$B$4+Settings!$B$5)*3,"A",IF($Y84&lt;=(Settings!$B$4+Settings!$B$5+Settings!$B$6)*3,"F","")))</f>
        <v/>
      </c>
      <c r="AA84" s="20">
        <f>IF($Z84="C",$Y84,IF($Z84="A",$Y84-Settings!$B$4*3,IF($Z84="F",$Y84-(Settings!$B$4+Settings!$B$5)*3,"")))</f>
        <v/>
      </c>
      <c r="AB84" s="20">
        <f>IF($Z84="","",INT(($AA84-1)/3)+1)</f>
        <v/>
      </c>
      <c r="AC84" s="20">
        <f>IF($Z84="","",MOD($AA84-1,3)+1)</f>
        <v/>
      </c>
      <c r="AD84" s="20">
        <f>IF($Z84="","",Settings!$B$2+$AC84-1)</f>
        <v/>
      </c>
      <c r="AE84" s="21">
        <f>IF($Z84="C",DATE(YEAR(INDEX(Contracts!$J$2:$J$151,$AB84)),MONTH(INDEX(Contracts!$J$2:$J$151,$AB84)),1),IF($Z84="A",DATE(YEAR(INDEX(Fixed_Assets!$G$2:$G$201,$AB84)),MONTH(INDEX(Fixed_Assets!$G$2:$G$201,$AB84)),1),IF($Z84="F",DATE(YEAR(MAX(N(INDEX(Workforce!$I$2:$I$151,MATCH(INDEX(FTE_Allocation!$A$2:$A$201,$AB84),Workforce!$A$2:$A$151,0))),N(INDEX(FTE_Allocation!$I$2:$I$201,$AB84)))),MONTH(MAX(N(INDEX(Workforce!$I$2:$I$151,MATCH(INDEX(FTE_Allocation!$A$2:$A$201,$AB84),Workforce!$A$2:$A$151,0))),N(INDEX(FTE_Allocation!$I$2:$I$201,$AB84)))),1),"")))</f>
        <v/>
      </c>
      <c r="AF84" s="21">
        <f>IF($Z84="C",IF(INDEX(Contracts!$I$2:$I$151,$AB84)="PREPAID",EDATE(DATE(YEAR(INDEX(Contracts!$J$2:$J$151,$AB84)),MONTH(INDEX(Contracts!$J$2:$J$151,$AB84)),1),IF(INDEX(Contracts!$N$2:$N$151,$AB84)="",12,INDEX(Contracts!$N$2:$N$151,$AB84))-1),IF(INDEX(Contracts!$I$2:$I$151,$AB84)="MONTHLY",IF(INDEX(Contracts!$K$2:$K$151,$AB84)="",2958101,INDEX(Contracts!$K$2:$K$151,$AB84)),0)),IF($Z84="A",EDATE(DATE(YEAR(INDEX(Fixed_Assets!$G$2:$G$201,$AB84)),MONTH(INDEX(Fixed_Assets!$G$2:$G$201,$AB84)),1),INDEX(Fixed_Assets!$J$2:$J$201,$AB84)-1),IF($Z84="F",MIN(IF(INDEX(Workforce!$J$2:$J$151,MATCH(INDEX(FTE_Allocation!$A$2:$A$201,$AB84),Workforce!$A$2:$A$151,0))="",2958101,INDEX(Workforce!$J$2:$J$151,MATCH(INDEX(FTE_Allocation!$A$2:$A$201,$AB84),Workforce!$A$2:$A$151,0))),IF(INDEX(FTE_Allocation!$J$2:$J$201,$AB84)="",2958101,INDEX(FTE_Allocation!$J$2:$J$201,$AB84))),"")))</f>
        <v/>
      </c>
      <c r="AG84" s="19">
        <f>IF($Z84="C",IF(INDEX(Contracts!$I$2:$I$151,$AB84)="PREPAID",INDEX(Contracts!$M$2:$M$151,$AB84)/IF(INDEX(Contracts!$N$2:$N$151,$AB84)="",12,INDEX(Contracts!$N$2:$N$151,$AB84)),IF(INDEX(Contracts!$I$2:$I$151,$AB84)="MONTHLY",INDEX(Contracts!$M$2:$M$151,$AB84),0))*(1-N(INDEX(Contracts!$O$2:$O$151,$AB84))),IF($Z84="A",INDEX(Fixed_Assets!$H$2:$H$201,$AB84)/INDEX(Fixed_Assets!$J$2:$J$201,$AB84),IF($Z84="F",INDEX(Workforce!$F$2:$F$151,MATCH(INDEX(FTE_Allocation!$A$2:$A$201,$AB84),Workforce!$A$2:$A$151,0))*N(INDEX(FTE_Allocation!$F$2:$H$201,$AB84,$AC84)),"")))</f>
        <v/>
      </c>
    </row>
    <row r="85">
      <c r="A85" s="7">
        <f>IF($Z85="","",$AD85)</f>
        <v/>
      </c>
      <c r="B85" s="7">
        <f>IF($Z85="C",INDEX(Contracts!$D$2:$D$151,$AB85)&amp;"",IF($Z85="A",INDEX(Fixed_Assets!$C$2:$C$201,$AB85)&amp;"",IF($Z85="F",INDEX(Workforce!$B$2:$B$151,MATCH(INDEX(FTE_Allocation!$A$2:$A$201,$AB85),Workforce!$A$2:$A$151,0))&amp;"","")))</f>
        <v/>
      </c>
      <c r="C85" s="7">
        <f>IF($Z85="C",INDEX(Contracts!$E$2:$E$151,$AB85)&amp;"",IF($Z85="A",INDEX(Fixed_Assets!$D$2:$D$201,$AB85)&amp;"",IF($Z85="F",INDEX(FTE_Allocation!$C$2:$C$201,$AB85)&amp;"","")))</f>
        <v/>
      </c>
      <c r="D85" s="7">
        <f>IF($Z85="C",INDEX(Contracts!$B$2:$B$151,$AB85)&amp;"",IF($Z85="A",INDEX(Fixed_Assets!$B$2:$B$201,$AB85)&amp;"",IF($Z85="F",INDEX(FTE_Allocation!$B$2:$B$201,$AB85)&amp;"","")))</f>
        <v/>
      </c>
      <c r="E85" s="7">
        <f>IF($Z85="C",INDEX(Contracts!$P$2:$P$151,$AB85)&amp;"",IF($Z85="A",INDEX(Fixed_Assets!$K$2:$K$201,$AB85)&amp;"",IF($Z85="F",IF(INDEX(FTE_Allocation!$D$2:$D$201,$AB85)="PROJECT",IFERROR(INDEX(Projects!$D:$D,MATCH(INDEX(FTE_Allocation!$E$2:$E$201,$AB85),Projects!$A:$A,0))&amp;"","#PROJECT?"),INDEX(FTE_Allocation!$E$2:$E$201,$AB85)&amp;""),"")))</f>
        <v/>
      </c>
      <c r="F85" s="7">
        <f>IF($Z85="C",INDEX(Contracts!$Q$2:$Q$151,$AB85)&amp;"",IF($Z85="A",INDEX(Fixed_Assets!$L$2:$L$201,$AB85)&amp;"",IF($Z85="F",INDEX(Workforce!$K$2:$K$151,MATCH(INDEX(FTE_Allocation!$A$2:$A$201,$AB85),Workforce!$A$2:$A$151,0))&amp;"","")))</f>
        <v/>
      </c>
      <c r="G85" s="7">
        <f>IF($Z85="C",INDEX(Contracts!$F$2:$F$151,$AB85)&amp;" / "&amp;INDEX(Contracts!$G$2:$G$151,$AB85),IF($Z85="A",INDEX(Fixed_Assets!$E$2:$E$201,$AB85)&amp;"",IF($Z85="F","Personnel "&amp;INDEX(FTE_Allocation!$A$2:$A$201,$AB85)&amp;IF(INDEX(FTE_Allocation!$D$2:$D$201,$AB85)="PROJECT"," ("&amp;INDEX(FTE_Allocation!$E$2:$E$201,$AB85)&amp;")",""),"")))</f>
        <v/>
      </c>
      <c r="H85" s="7">
        <f>IF($Z85="C","CONTRACT",IF($Z85="A","ASSET",IF($Z85="F","WORKFORCE","")))</f>
        <v/>
      </c>
      <c r="I85" s="7">
        <f>IF($Z85="C",INDEX(Contracts!$L$2:$L$151,$AB85)&amp;"",IF($Z85="A",INDEX(Fixed_Assets!$I$2:$I$201,$AB85)&amp;"",IF($Z85="F",INDEX(Workforce!$G$2:$G$151,MATCH(INDEX(FTE_Allocation!$A$2:$A$201,$AB85),Workforce!$A$2:$A$151,0))&amp;"","")))</f>
        <v/>
      </c>
      <c r="J85" s="18">
        <f>IF($Z85="","",IF(AND(DATE($AD85,1,1)&gt;=$AE85,DATE($AD85,1,1)&lt;=$AF85),ROUND($AG85,2),0))</f>
        <v/>
      </c>
      <c r="K85" s="18">
        <f>IF($Z85="","",IF(AND(DATE($AD85,2,1)&gt;=$AE85,DATE($AD85,2,1)&lt;=$AF85),ROUND($AG85,2),0))</f>
        <v/>
      </c>
      <c r="L85" s="18">
        <f>IF($Z85="","",IF(AND(DATE($AD85,3,1)&gt;=$AE85,DATE($AD85,3,1)&lt;=$AF85),ROUND($AG85,2),0))</f>
        <v/>
      </c>
      <c r="M85" s="18">
        <f>IF($Z85="","",IF(AND(DATE($AD85,4,1)&gt;=$AE85,DATE($AD85,4,1)&lt;=$AF85),ROUND($AG85,2),0))</f>
        <v/>
      </c>
      <c r="N85" s="18">
        <f>IF($Z85="","",IF(AND(DATE($AD85,5,1)&gt;=$AE85,DATE($AD85,5,1)&lt;=$AF85),ROUND($AG85,2),0))</f>
        <v/>
      </c>
      <c r="O85" s="18">
        <f>IF($Z85="","",IF(AND(DATE($AD85,6,1)&gt;=$AE85,DATE($AD85,6,1)&lt;=$AF85),ROUND($AG85,2),0))</f>
        <v/>
      </c>
      <c r="P85" s="18">
        <f>IF($Z85="","",IF(AND(DATE($AD85,7,1)&gt;=$AE85,DATE($AD85,7,1)&lt;=$AF85),ROUND($AG85,2),0))</f>
        <v/>
      </c>
      <c r="Q85" s="18">
        <f>IF($Z85="","",IF(AND(DATE($AD85,8,1)&gt;=$AE85,DATE($AD85,8,1)&lt;=$AF85),ROUND($AG85,2),0))</f>
        <v/>
      </c>
      <c r="R85" s="18">
        <f>IF($Z85="","",IF(AND(DATE($AD85,9,1)&gt;=$AE85,DATE($AD85,9,1)&lt;=$AF85),ROUND($AG85,2),0))</f>
        <v/>
      </c>
      <c r="S85" s="18">
        <f>IF($Z85="","",IF(AND(DATE($AD85,10,1)&gt;=$AE85,DATE($AD85,10,1)&lt;=$AF85),ROUND($AG85,2),0))</f>
        <v/>
      </c>
      <c r="T85" s="18">
        <f>IF($Z85="","",IF(AND(DATE($AD85,11,1)&gt;=$AE85,DATE($AD85,11,1)&lt;=$AF85),ROUND($AG85,2),0))</f>
        <v/>
      </c>
      <c r="U85" s="18">
        <f>IF($Z85="","",IF(AND(DATE($AD85,12,1)&gt;=$AE85,DATE($AD85,12,1)&lt;=$AF85),ROUND($AG85,2),0))</f>
        <v/>
      </c>
      <c r="V85" s="7">
        <f>IF($Z85="C","Generated from "&amp;INDEX(Contracts!$A$2:$A$151,$AB85),IF($Z85="A","Generated from "&amp;INDEX(Fixed_Assets!$A$2:$A$201,$AB85),IF($Z85="F","Generated from "&amp;INDEX(FTE_Allocation!$A$2:$A$201,$AB85),"")))</f>
        <v/>
      </c>
      <c r="X85" s="19">
        <f>IF($Z85="","",SUM(J85:U85))</f>
        <v/>
      </c>
      <c r="Y85" s="20">
        <f>ROW()-1</f>
        <v/>
      </c>
      <c r="Z85" s="20">
        <f>IF($Y85&lt;=Settings!$B$4*3,"C",IF($Y85&lt;=(Settings!$B$4+Settings!$B$5)*3,"A",IF($Y85&lt;=(Settings!$B$4+Settings!$B$5+Settings!$B$6)*3,"F","")))</f>
        <v/>
      </c>
      <c r="AA85" s="20">
        <f>IF($Z85="C",$Y85,IF($Z85="A",$Y85-Settings!$B$4*3,IF($Z85="F",$Y85-(Settings!$B$4+Settings!$B$5)*3,"")))</f>
        <v/>
      </c>
      <c r="AB85" s="20">
        <f>IF($Z85="","",INT(($AA85-1)/3)+1)</f>
        <v/>
      </c>
      <c r="AC85" s="20">
        <f>IF($Z85="","",MOD($AA85-1,3)+1)</f>
        <v/>
      </c>
      <c r="AD85" s="20">
        <f>IF($Z85="","",Settings!$B$2+$AC85-1)</f>
        <v/>
      </c>
      <c r="AE85" s="21">
        <f>IF($Z85="C",DATE(YEAR(INDEX(Contracts!$J$2:$J$151,$AB85)),MONTH(INDEX(Contracts!$J$2:$J$151,$AB85)),1),IF($Z85="A",DATE(YEAR(INDEX(Fixed_Assets!$G$2:$G$201,$AB85)),MONTH(INDEX(Fixed_Assets!$G$2:$G$201,$AB85)),1),IF($Z85="F",DATE(YEAR(MAX(N(INDEX(Workforce!$I$2:$I$151,MATCH(INDEX(FTE_Allocation!$A$2:$A$201,$AB85),Workforce!$A$2:$A$151,0))),N(INDEX(FTE_Allocation!$I$2:$I$201,$AB85)))),MONTH(MAX(N(INDEX(Workforce!$I$2:$I$151,MATCH(INDEX(FTE_Allocation!$A$2:$A$201,$AB85),Workforce!$A$2:$A$151,0))),N(INDEX(FTE_Allocation!$I$2:$I$201,$AB85)))),1),"")))</f>
        <v/>
      </c>
      <c r="AF85" s="21">
        <f>IF($Z85="C",IF(INDEX(Contracts!$I$2:$I$151,$AB85)="PREPAID",EDATE(DATE(YEAR(INDEX(Contracts!$J$2:$J$151,$AB85)),MONTH(INDEX(Contracts!$J$2:$J$151,$AB85)),1),IF(INDEX(Contracts!$N$2:$N$151,$AB85)="",12,INDEX(Contracts!$N$2:$N$151,$AB85))-1),IF(INDEX(Contracts!$I$2:$I$151,$AB85)="MONTHLY",IF(INDEX(Contracts!$K$2:$K$151,$AB85)="",2958101,INDEX(Contracts!$K$2:$K$151,$AB85)),0)),IF($Z85="A",EDATE(DATE(YEAR(INDEX(Fixed_Assets!$G$2:$G$201,$AB85)),MONTH(INDEX(Fixed_Assets!$G$2:$G$201,$AB85)),1),INDEX(Fixed_Assets!$J$2:$J$201,$AB85)-1),IF($Z85="F",MIN(IF(INDEX(Workforce!$J$2:$J$151,MATCH(INDEX(FTE_Allocation!$A$2:$A$201,$AB85),Workforce!$A$2:$A$151,0))="",2958101,INDEX(Workforce!$J$2:$J$151,MATCH(INDEX(FTE_Allocation!$A$2:$A$201,$AB85),Workforce!$A$2:$A$151,0))),IF(INDEX(FTE_Allocation!$J$2:$J$201,$AB85)="",2958101,INDEX(FTE_Allocation!$J$2:$J$201,$AB85))),"")))</f>
        <v/>
      </c>
      <c r="AG85" s="19">
        <f>IF($Z85="C",IF(INDEX(Contracts!$I$2:$I$151,$AB85)="PREPAID",INDEX(Contracts!$M$2:$M$151,$AB85)/IF(INDEX(Contracts!$N$2:$N$151,$AB85)="",12,INDEX(Contracts!$N$2:$N$151,$AB85)),IF(INDEX(Contracts!$I$2:$I$151,$AB85)="MONTHLY",INDEX(Contracts!$M$2:$M$151,$AB85),0))*(1-N(INDEX(Contracts!$O$2:$O$151,$AB85))),IF($Z85="A",INDEX(Fixed_Assets!$H$2:$H$201,$AB85)/INDEX(Fixed_Assets!$J$2:$J$201,$AB85),IF($Z85="F",INDEX(Workforce!$F$2:$F$151,MATCH(INDEX(FTE_Allocation!$A$2:$A$201,$AB85),Workforce!$A$2:$A$151,0))*N(INDEX(FTE_Allocation!$F$2:$H$201,$AB85,$AC85)),"")))</f>
        <v/>
      </c>
    </row>
    <row r="86">
      <c r="A86" s="7">
        <f>IF($Z86="","",$AD86)</f>
        <v/>
      </c>
      <c r="B86" s="7">
        <f>IF($Z86="C",INDEX(Contracts!$D$2:$D$151,$AB86)&amp;"",IF($Z86="A",INDEX(Fixed_Assets!$C$2:$C$201,$AB86)&amp;"",IF($Z86="F",INDEX(Workforce!$B$2:$B$151,MATCH(INDEX(FTE_Allocation!$A$2:$A$201,$AB86),Workforce!$A$2:$A$151,0))&amp;"","")))</f>
        <v/>
      </c>
      <c r="C86" s="7">
        <f>IF($Z86="C",INDEX(Contracts!$E$2:$E$151,$AB86)&amp;"",IF($Z86="A",INDEX(Fixed_Assets!$D$2:$D$201,$AB86)&amp;"",IF($Z86="F",INDEX(FTE_Allocation!$C$2:$C$201,$AB86)&amp;"","")))</f>
        <v/>
      </c>
      <c r="D86" s="7">
        <f>IF($Z86="C",INDEX(Contracts!$B$2:$B$151,$AB86)&amp;"",IF($Z86="A",INDEX(Fixed_Assets!$B$2:$B$201,$AB86)&amp;"",IF($Z86="F",INDEX(FTE_Allocation!$B$2:$B$201,$AB86)&amp;"","")))</f>
        <v/>
      </c>
      <c r="E86" s="7">
        <f>IF($Z86="C",INDEX(Contracts!$P$2:$P$151,$AB86)&amp;"",IF($Z86="A",INDEX(Fixed_Assets!$K$2:$K$201,$AB86)&amp;"",IF($Z86="F",IF(INDEX(FTE_Allocation!$D$2:$D$201,$AB86)="PROJECT",IFERROR(INDEX(Projects!$D:$D,MATCH(INDEX(FTE_Allocation!$E$2:$E$201,$AB86),Projects!$A:$A,0))&amp;"","#PROJECT?"),INDEX(FTE_Allocation!$E$2:$E$201,$AB86)&amp;""),"")))</f>
        <v/>
      </c>
      <c r="F86" s="7">
        <f>IF($Z86="C",INDEX(Contracts!$Q$2:$Q$151,$AB86)&amp;"",IF($Z86="A",INDEX(Fixed_Assets!$L$2:$L$201,$AB86)&amp;"",IF($Z86="F",INDEX(Workforce!$K$2:$K$151,MATCH(INDEX(FTE_Allocation!$A$2:$A$201,$AB86),Workforce!$A$2:$A$151,0))&amp;"","")))</f>
        <v/>
      </c>
      <c r="G86" s="7">
        <f>IF($Z86="C",INDEX(Contracts!$F$2:$F$151,$AB86)&amp;" / "&amp;INDEX(Contracts!$G$2:$G$151,$AB86),IF($Z86="A",INDEX(Fixed_Assets!$E$2:$E$201,$AB86)&amp;"",IF($Z86="F","Personnel "&amp;INDEX(FTE_Allocation!$A$2:$A$201,$AB86)&amp;IF(INDEX(FTE_Allocation!$D$2:$D$201,$AB86)="PROJECT"," ("&amp;INDEX(FTE_Allocation!$E$2:$E$201,$AB86)&amp;")",""),"")))</f>
        <v/>
      </c>
      <c r="H86" s="7">
        <f>IF($Z86="C","CONTRACT",IF($Z86="A","ASSET",IF($Z86="F","WORKFORCE","")))</f>
        <v/>
      </c>
      <c r="I86" s="7">
        <f>IF($Z86="C",INDEX(Contracts!$L$2:$L$151,$AB86)&amp;"",IF($Z86="A",INDEX(Fixed_Assets!$I$2:$I$201,$AB86)&amp;"",IF($Z86="F",INDEX(Workforce!$G$2:$G$151,MATCH(INDEX(FTE_Allocation!$A$2:$A$201,$AB86),Workforce!$A$2:$A$151,0))&amp;"","")))</f>
        <v/>
      </c>
      <c r="J86" s="18">
        <f>IF($Z86="","",IF(AND(DATE($AD86,1,1)&gt;=$AE86,DATE($AD86,1,1)&lt;=$AF86),ROUND($AG86,2),0))</f>
        <v/>
      </c>
      <c r="K86" s="18">
        <f>IF($Z86="","",IF(AND(DATE($AD86,2,1)&gt;=$AE86,DATE($AD86,2,1)&lt;=$AF86),ROUND($AG86,2),0))</f>
        <v/>
      </c>
      <c r="L86" s="18">
        <f>IF($Z86="","",IF(AND(DATE($AD86,3,1)&gt;=$AE86,DATE($AD86,3,1)&lt;=$AF86),ROUND($AG86,2),0))</f>
        <v/>
      </c>
      <c r="M86" s="18">
        <f>IF($Z86="","",IF(AND(DATE($AD86,4,1)&gt;=$AE86,DATE($AD86,4,1)&lt;=$AF86),ROUND($AG86,2),0))</f>
        <v/>
      </c>
      <c r="N86" s="18">
        <f>IF($Z86="","",IF(AND(DATE($AD86,5,1)&gt;=$AE86,DATE($AD86,5,1)&lt;=$AF86),ROUND($AG86,2),0))</f>
        <v/>
      </c>
      <c r="O86" s="18">
        <f>IF($Z86="","",IF(AND(DATE($AD86,6,1)&gt;=$AE86,DATE($AD86,6,1)&lt;=$AF86),ROUND($AG86,2),0))</f>
        <v/>
      </c>
      <c r="P86" s="18">
        <f>IF($Z86="","",IF(AND(DATE($AD86,7,1)&gt;=$AE86,DATE($AD86,7,1)&lt;=$AF86),ROUND($AG86,2),0))</f>
        <v/>
      </c>
      <c r="Q86" s="18">
        <f>IF($Z86="","",IF(AND(DATE($AD86,8,1)&gt;=$AE86,DATE($AD86,8,1)&lt;=$AF86),ROUND($AG86,2),0))</f>
        <v/>
      </c>
      <c r="R86" s="18">
        <f>IF($Z86="","",IF(AND(DATE($AD86,9,1)&gt;=$AE86,DATE($AD86,9,1)&lt;=$AF86),ROUND($AG86,2),0))</f>
        <v/>
      </c>
      <c r="S86" s="18">
        <f>IF($Z86="","",IF(AND(DATE($AD86,10,1)&gt;=$AE86,DATE($AD86,10,1)&lt;=$AF86),ROUND($AG86,2),0))</f>
        <v/>
      </c>
      <c r="T86" s="18">
        <f>IF($Z86="","",IF(AND(DATE($AD86,11,1)&gt;=$AE86,DATE($AD86,11,1)&lt;=$AF86),ROUND($AG86,2),0))</f>
        <v/>
      </c>
      <c r="U86" s="18">
        <f>IF($Z86="","",IF(AND(DATE($AD86,12,1)&gt;=$AE86,DATE($AD86,12,1)&lt;=$AF86),ROUND($AG86,2),0))</f>
        <v/>
      </c>
      <c r="V86" s="7">
        <f>IF($Z86="C","Generated from "&amp;INDEX(Contracts!$A$2:$A$151,$AB86),IF($Z86="A","Generated from "&amp;INDEX(Fixed_Assets!$A$2:$A$201,$AB86),IF($Z86="F","Generated from "&amp;INDEX(FTE_Allocation!$A$2:$A$201,$AB86),"")))</f>
        <v/>
      </c>
      <c r="X86" s="19">
        <f>IF($Z86="","",SUM(J86:U86))</f>
        <v/>
      </c>
      <c r="Y86" s="20">
        <f>ROW()-1</f>
        <v/>
      </c>
      <c r="Z86" s="20">
        <f>IF($Y86&lt;=Settings!$B$4*3,"C",IF($Y86&lt;=(Settings!$B$4+Settings!$B$5)*3,"A",IF($Y86&lt;=(Settings!$B$4+Settings!$B$5+Settings!$B$6)*3,"F","")))</f>
        <v/>
      </c>
      <c r="AA86" s="20">
        <f>IF($Z86="C",$Y86,IF($Z86="A",$Y86-Settings!$B$4*3,IF($Z86="F",$Y86-(Settings!$B$4+Settings!$B$5)*3,"")))</f>
        <v/>
      </c>
      <c r="AB86" s="20">
        <f>IF($Z86="","",INT(($AA86-1)/3)+1)</f>
        <v/>
      </c>
      <c r="AC86" s="20">
        <f>IF($Z86="","",MOD($AA86-1,3)+1)</f>
        <v/>
      </c>
      <c r="AD86" s="20">
        <f>IF($Z86="","",Settings!$B$2+$AC86-1)</f>
        <v/>
      </c>
      <c r="AE86" s="21">
        <f>IF($Z86="C",DATE(YEAR(INDEX(Contracts!$J$2:$J$151,$AB86)),MONTH(INDEX(Contracts!$J$2:$J$151,$AB86)),1),IF($Z86="A",DATE(YEAR(INDEX(Fixed_Assets!$G$2:$G$201,$AB86)),MONTH(INDEX(Fixed_Assets!$G$2:$G$201,$AB86)),1),IF($Z86="F",DATE(YEAR(MAX(N(INDEX(Workforce!$I$2:$I$151,MATCH(INDEX(FTE_Allocation!$A$2:$A$201,$AB86),Workforce!$A$2:$A$151,0))),N(INDEX(FTE_Allocation!$I$2:$I$201,$AB86)))),MONTH(MAX(N(INDEX(Workforce!$I$2:$I$151,MATCH(INDEX(FTE_Allocation!$A$2:$A$201,$AB86),Workforce!$A$2:$A$151,0))),N(INDEX(FTE_Allocation!$I$2:$I$201,$AB86)))),1),"")))</f>
        <v/>
      </c>
      <c r="AF86" s="21">
        <f>IF($Z86="C",IF(INDEX(Contracts!$I$2:$I$151,$AB86)="PREPAID",EDATE(DATE(YEAR(INDEX(Contracts!$J$2:$J$151,$AB86)),MONTH(INDEX(Contracts!$J$2:$J$151,$AB86)),1),IF(INDEX(Contracts!$N$2:$N$151,$AB86)="",12,INDEX(Contracts!$N$2:$N$151,$AB86))-1),IF(INDEX(Contracts!$I$2:$I$151,$AB86)="MONTHLY",IF(INDEX(Contracts!$K$2:$K$151,$AB86)="",2958101,INDEX(Contracts!$K$2:$K$151,$AB86)),0)),IF($Z86="A",EDATE(DATE(YEAR(INDEX(Fixed_Assets!$G$2:$G$201,$AB86)),MONTH(INDEX(Fixed_Assets!$G$2:$G$201,$AB86)),1),INDEX(Fixed_Assets!$J$2:$J$201,$AB86)-1),IF($Z86="F",MIN(IF(INDEX(Workforce!$J$2:$J$151,MATCH(INDEX(FTE_Allocation!$A$2:$A$201,$AB86),Workforce!$A$2:$A$151,0))="",2958101,INDEX(Workforce!$J$2:$J$151,MATCH(INDEX(FTE_Allocation!$A$2:$A$201,$AB86),Workforce!$A$2:$A$151,0))),IF(INDEX(FTE_Allocation!$J$2:$J$201,$AB86)="",2958101,INDEX(FTE_Allocation!$J$2:$J$201,$AB86))),"")))</f>
        <v/>
      </c>
      <c r="AG86" s="19">
        <f>IF($Z86="C",IF(INDEX(Contracts!$I$2:$I$151,$AB86)="PREPAID",INDEX(Contracts!$M$2:$M$151,$AB86)/IF(INDEX(Contracts!$N$2:$N$151,$AB86)="",12,INDEX(Contracts!$N$2:$N$151,$AB86)),IF(INDEX(Contracts!$I$2:$I$151,$AB86)="MONTHLY",INDEX(Contracts!$M$2:$M$151,$AB86),0))*(1-N(INDEX(Contracts!$O$2:$O$151,$AB86))),IF($Z86="A",INDEX(Fixed_Assets!$H$2:$H$201,$AB86)/INDEX(Fixed_Assets!$J$2:$J$201,$AB86),IF($Z86="F",INDEX(Workforce!$F$2:$F$151,MATCH(INDEX(FTE_Allocation!$A$2:$A$201,$AB86),Workforce!$A$2:$A$151,0))*N(INDEX(FTE_Allocation!$F$2:$H$201,$AB86,$AC86)),"")))</f>
        <v/>
      </c>
    </row>
    <row r="87">
      <c r="A87" s="7">
        <f>IF($Z87="","",$AD87)</f>
        <v/>
      </c>
      <c r="B87" s="7">
        <f>IF($Z87="C",INDEX(Contracts!$D$2:$D$151,$AB87)&amp;"",IF($Z87="A",INDEX(Fixed_Assets!$C$2:$C$201,$AB87)&amp;"",IF($Z87="F",INDEX(Workforce!$B$2:$B$151,MATCH(INDEX(FTE_Allocation!$A$2:$A$201,$AB87),Workforce!$A$2:$A$151,0))&amp;"","")))</f>
        <v/>
      </c>
      <c r="C87" s="7">
        <f>IF($Z87="C",INDEX(Contracts!$E$2:$E$151,$AB87)&amp;"",IF($Z87="A",INDEX(Fixed_Assets!$D$2:$D$201,$AB87)&amp;"",IF($Z87="F",INDEX(FTE_Allocation!$C$2:$C$201,$AB87)&amp;"","")))</f>
        <v/>
      </c>
      <c r="D87" s="7">
        <f>IF($Z87="C",INDEX(Contracts!$B$2:$B$151,$AB87)&amp;"",IF($Z87="A",INDEX(Fixed_Assets!$B$2:$B$201,$AB87)&amp;"",IF($Z87="F",INDEX(FTE_Allocation!$B$2:$B$201,$AB87)&amp;"","")))</f>
        <v/>
      </c>
      <c r="E87" s="7">
        <f>IF($Z87="C",INDEX(Contracts!$P$2:$P$151,$AB87)&amp;"",IF($Z87="A",INDEX(Fixed_Assets!$K$2:$K$201,$AB87)&amp;"",IF($Z87="F",IF(INDEX(FTE_Allocation!$D$2:$D$201,$AB87)="PROJECT",IFERROR(INDEX(Projects!$D:$D,MATCH(INDEX(FTE_Allocation!$E$2:$E$201,$AB87),Projects!$A:$A,0))&amp;"","#PROJECT?"),INDEX(FTE_Allocation!$E$2:$E$201,$AB87)&amp;""),"")))</f>
        <v/>
      </c>
      <c r="F87" s="7">
        <f>IF($Z87="C",INDEX(Contracts!$Q$2:$Q$151,$AB87)&amp;"",IF($Z87="A",INDEX(Fixed_Assets!$L$2:$L$201,$AB87)&amp;"",IF($Z87="F",INDEX(Workforce!$K$2:$K$151,MATCH(INDEX(FTE_Allocation!$A$2:$A$201,$AB87),Workforce!$A$2:$A$151,0))&amp;"","")))</f>
        <v/>
      </c>
      <c r="G87" s="7">
        <f>IF($Z87="C",INDEX(Contracts!$F$2:$F$151,$AB87)&amp;" / "&amp;INDEX(Contracts!$G$2:$G$151,$AB87),IF($Z87="A",INDEX(Fixed_Assets!$E$2:$E$201,$AB87)&amp;"",IF($Z87="F","Personnel "&amp;INDEX(FTE_Allocation!$A$2:$A$201,$AB87)&amp;IF(INDEX(FTE_Allocation!$D$2:$D$201,$AB87)="PROJECT"," ("&amp;INDEX(FTE_Allocation!$E$2:$E$201,$AB87)&amp;")",""),"")))</f>
        <v/>
      </c>
      <c r="H87" s="7">
        <f>IF($Z87="C","CONTRACT",IF($Z87="A","ASSET",IF($Z87="F","WORKFORCE","")))</f>
        <v/>
      </c>
      <c r="I87" s="7">
        <f>IF($Z87="C",INDEX(Contracts!$L$2:$L$151,$AB87)&amp;"",IF($Z87="A",INDEX(Fixed_Assets!$I$2:$I$201,$AB87)&amp;"",IF($Z87="F",INDEX(Workforce!$G$2:$G$151,MATCH(INDEX(FTE_Allocation!$A$2:$A$201,$AB87),Workforce!$A$2:$A$151,0))&amp;"","")))</f>
        <v/>
      </c>
      <c r="J87" s="18">
        <f>IF($Z87="","",IF(AND(DATE($AD87,1,1)&gt;=$AE87,DATE($AD87,1,1)&lt;=$AF87),ROUND($AG87,2),0))</f>
        <v/>
      </c>
      <c r="K87" s="18">
        <f>IF($Z87="","",IF(AND(DATE($AD87,2,1)&gt;=$AE87,DATE($AD87,2,1)&lt;=$AF87),ROUND($AG87,2),0))</f>
        <v/>
      </c>
      <c r="L87" s="18">
        <f>IF($Z87="","",IF(AND(DATE($AD87,3,1)&gt;=$AE87,DATE($AD87,3,1)&lt;=$AF87),ROUND($AG87,2),0))</f>
        <v/>
      </c>
      <c r="M87" s="18">
        <f>IF($Z87="","",IF(AND(DATE($AD87,4,1)&gt;=$AE87,DATE($AD87,4,1)&lt;=$AF87),ROUND($AG87,2),0))</f>
        <v/>
      </c>
      <c r="N87" s="18">
        <f>IF($Z87="","",IF(AND(DATE($AD87,5,1)&gt;=$AE87,DATE($AD87,5,1)&lt;=$AF87),ROUND($AG87,2),0))</f>
        <v/>
      </c>
      <c r="O87" s="18">
        <f>IF($Z87="","",IF(AND(DATE($AD87,6,1)&gt;=$AE87,DATE($AD87,6,1)&lt;=$AF87),ROUND($AG87,2),0))</f>
        <v/>
      </c>
      <c r="P87" s="18">
        <f>IF($Z87="","",IF(AND(DATE($AD87,7,1)&gt;=$AE87,DATE($AD87,7,1)&lt;=$AF87),ROUND($AG87,2),0))</f>
        <v/>
      </c>
      <c r="Q87" s="18">
        <f>IF($Z87="","",IF(AND(DATE($AD87,8,1)&gt;=$AE87,DATE($AD87,8,1)&lt;=$AF87),ROUND($AG87,2),0))</f>
        <v/>
      </c>
      <c r="R87" s="18">
        <f>IF($Z87="","",IF(AND(DATE($AD87,9,1)&gt;=$AE87,DATE($AD87,9,1)&lt;=$AF87),ROUND($AG87,2),0))</f>
        <v/>
      </c>
      <c r="S87" s="18">
        <f>IF($Z87="","",IF(AND(DATE($AD87,10,1)&gt;=$AE87,DATE($AD87,10,1)&lt;=$AF87),ROUND($AG87,2),0))</f>
        <v/>
      </c>
      <c r="T87" s="18">
        <f>IF($Z87="","",IF(AND(DATE($AD87,11,1)&gt;=$AE87,DATE($AD87,11,1)&lt;=$AF87),ROUND($AG87,2),0))</f>
        <v/>
      </c>
      <c r="U87" s="18">
        <f>IF($Z87="","",IF(AND(DATE($AD87,12,1)&gt;=$AE87,DATE($AD87,12,1)&lt;=$AF87),ROUND($AG87,2),0))</f>
        <v/>
      </c>
      <c r="V87" s="7">
        <f>IF($Z87="C","Generated from "&amp;INDEX(Contracts!$A$2:$A$151,$AB87),IF($Z87="A","Generated from "&amp;INDEX(Fixed_Assets!$A$2:$A$201,$AB87),IF($Z87="F","Generated from "&amp;INDEX(FTE_Allocation!$A$2:$A$201,$AB87),"")))</f>
        <v/>
      </c>
      <c r="X87" s="19">
        <f>IF($Z87="","",SUM(J87:U87))</f>
        <v/>
      </c>
      <c r="Y87" s="20">
        <f>ROW()-1</f>
        <v/>
      </c>
      <c r="Z87" s="20">
        <f>IF($Y87&lt;=Settings!$B$4*3,"C",IF($Y87&lt;=(Settings!$B$4+Settings!$B$5)*3,"A",IF($Y87&lt;=(Settings!$B$4+Settings!$B$5+Settings!$B$6)*3,"F","")))</f>
        <v/>
      </c>
      <c r="AA87" s="20">
        <f>IF($Z87="C",$Y87,IF($Z87="A",$Y87-Settings!$B$4*3,IF($Z87="F",$Y87-(Settings!$B$4+Settings!$B$5)*3,"")))</f>
        <v/>
      </c>
      <c r="AB87" s="20">
        <f>IF($Z87="","",INT(($AA87-1)/3)+1)</f>
        <v/>
      </c>
      <c r="AC87" s="20">
        <f>IF($Z87="","",MOD($AA87-1,3)+1)</f>
        <v/>
      </c>
      <c r="AD87" s="20">
        <f>IF($Z87="","",Settings!$B$2+$AC87-1)</f>
        <v/>
      </c>
      <c r="AE87" s="21">
        <f>IF($Z87="C",DATE(YEAR(INDEX(Contracts!$J$2:$J$151,$AB87)),MONTH(INDEX(Contracts!$J$2:$J$151,$AB87)),1),IF($Z87="A",DATE(YEAR(INDEX(Fixed_Assets!$G$2:$G$201,$AB87)),MONTH(INDEX(Fixed_Assets!$G$2:$G$201,$AB87)),1),IF($Z87="F",DATE(YEAR(MAX(N(INDEX(Workforce!$I$2:$I$151,MATCH(INDEX(FTE_Allocation!$A$2:$A$201,$AB87),Workforce!$A$2:$A$151,0))),N(INDEX(FTE_Allocation!$I$2:$I$201,$AB87)))),MONTH(MAX(N(INDEX(Workforce!$I$2:$I$151,MATCH(INDEX(FTE_Allocation!$A$2:$A$201,$AB87),Workforce!$A$2:$A$151,0))),N(INDEX(FTE_Allocation!$I$2:$I$201,$AB87)))),1),"")))</f>
        <v/>
      </c>
      <c r="AF87" s="21">
        <f>IF($Z87="C",IF(INDEX(Contracts!$I$2:$I$151,$AB87)="PREPAID",EDATE(DATE(YEAR(INDEX(Contracts!$J$2:$J$151,$AB87)),MONTH(INDEX(Contracts!$J$2:$J$151,$AB87)),1),IF(INDEX(Contracts!$N$2:$N$151,$AB87)="",12,INDEX(Contracts!$N$2:$N$151,$AB87))-1),IF(INDEX(Contracts!$I$2:$I$151,$AB87)="MONTHLY",IF(INDEX(Contracts!$K$2:$K$151,$AB87)="",2958101,INDEX(Contracts!$K$2:$K$151,$AB87)),0)),IF($Z87="A",EDATE(DATE(YEAR(INDEX(Fixed_Assets!$G$2:$G$201,$AB87)),MONTH(INDEX(Fixed_Assets!$G$2:$G$201,$AB87)),1),INDEX(Fixed_Assets!$J$2:$J$201,$AB87)-1),IF($Z87="F",MIN(IF(INDEX(Workforce!$J$2:$J$151,MATCH(INDEX(FTE_Allocation!$A$2:$A$201,$AB87),Workforce!$A$2:$A$151,0))="",2958101,INDEX(Workforce!$J$2:$J$151,MATCH(INDEX(FTE_Allocation!$A$2:$A$201,$AB87),Workforce!$A$2:$A$151,0))),IF(INDEX(FTE_Allocation!$J$2:$J$201,$AB87)="",2958101,INDEX(FTE_Allocation!$J$2:$J$201,$AB87))),"")))</f>
        <v/>
      </c>
      <c r="AG87" s="19">
        <f>IF($Z87="C",IF(INDEX(Contracts!$I$2:$I$151,$AB87)="PREPAID",INDEX(Contracts!$M$2:$M$151,$AB87)/IF(INDEX(Contracts!$N$2:$N$151,$AB87)="",12,INDEX(Contracts!$N$2:$N$151,$AB87)),IF(INDEX(Contracts!$I$2:$I$151,$AB87)="MONTHLY",INDEX(Contracts!$M$2:$M$151,$AB87),0))*(1-N(INDEX(Contracts!$O$2:$O$151,$AB87))),IF($Z87="A",INDEX(Fixed_Assets!$H$2:$H$201,$AB87)/INDEX(Fixed_Assets!$J$2:$J$201,$AB87),IF($Z87="F",INDEX(Workforce!$F$2:$F$151,MATCH(INDEX(FTE_Allocation!$A$2:$A$201,$AB87),Workforce!$A$2:$A$151,0))*N(INDEX(FTE_Allocation!$F$2:$H$201,$AB87,$AC87)),"")))</f>
        <v/>
      </c>
    </row>
    <row r="88">
      <c r="A88" s="7">
        <f>IF($Z88="","",$AD88)</f>
        <v/>
      </c>
      <c r="B88" s="7">
        <f>IF($Z88="C",INDEX(Contracts!$D$2:$D$151,$AB88)&amp;"",IF($Z88="A",INDEX(Fixed_Assets!$C$2:$C$201,$AB88)&amp;"",IF($Z88="F",INDEX(Workforce!$B$2:$B$151,MATCH(INDEX(FTE_Allocation!$A$2:$A$201,$AB88),Workforce!$A$2:$A$151,0))&amp;"","")))</f>
        <v/>
      </c>
      <c r="C88" s="7">
        <f>IF($Z88="C",INDEX(Contracts!$E$2:$E$151,$AB88)&amp;"",IF($Z88="A",INDEX(Fixed_Assets!$D$2:$D$201,$AB88)&amp;"",IF($Z88="F",INDEX(FTE_Allocation!$C$2:$C$201,$AB88)&amp;"","")))</f>
        <v/>
      </c>
      <c r="D88" s="7">
        <f>IF($Z88="C",INDEX(Contracts!$B$2:$B$151,$AB88)&amp;"",IF($Z88="A",INDEX(Fixed_Assets!$B$2:$B$201,$AB88)&amp;"",IF($Z88="F",INDEX(FTE_Allocation!$B$2:$B$201,$AB88)&amp;"","")))</f>
        <v/>
      </c>
      <c r="E88" s="7">
        <f>IF($Z88="C",INDEX(Contracts!$P$2:$P$151,$AB88)&amp;"",IF($Z88="A",INDEX(Fixed_Assets!$K$2:$K$201,$AB88)&amp;"",IF($Z88="F",IF(INDEX(FTE_Allocation!$D$2:$D$201,$AB88)="PROJECT",IFERROR(INDEX(Projects!$D:$D,MATCH(INDEX(FTE_Allocation!$E$2:$E$201,$AB88),Projects!$A:$A,0))&amp;"","#PROJECT?"),INDEX(FTE_Allocation!$E$2:$E$201,$AB88)&amp;""),"")))</f>
        <v/>
      </c>
      <c r="F88" s="7">
        <f>IF($Z88="C",INDEX(Contracts!$Q$2:$Q$151,$AB88)&amp;"",IF($Z88="A",INDEX(Fixed_Assets!$L$2:$L$201,$AB88)&amp;"",IF($Z88="F",INDEX(Workforce!$K$2:$K$151,MATCH(INDEX(FTE_Allocation!$A$2:$A$201,$AB88),Workforce!$A$2:$A$151,0))&amp;"","")))</f>
        <v/>
      </c>
      <c r="G88" s="7">
        <f>IF($Z88="C",INDEX(Contracts!$F$2:$F$151,$AB88)&amp;" / "&amp;INDEX(Contracts!$G$2:$G$151,$AB88),IF($Z88="A",INDEX(Fixed_Assets!$E$2:$E$201,$AB88)&amp;"",IF($Z88="F","Personnel "&amp;INDEX(FTE_Allocation!$A$2:$A$201,$AB88)&amp;IF(INDEX(FTE_Allocation!$D$2:$D$201,$AB88)="PROJECT"," ("&amp;INDEX(FTE_Allocation!$E$2:$E$201,$AB88)&amp;")",""),"")))</f>
        <v/>
      </c>
      <c r="H88" s="7">
        <f>IF($Z88="C","CONTRACT",IF($Z88="A","ASSET",IF($Z88="F","WORKFORCE","")))</f>
        <v/>
      </c>
      <c r="I88" s="7">
        <f>IF($Z88="C",INDEX(Contracts!$L$2:$L$151,$AB88)&amp;"",IF($Z88="A",INDEX(Fixed_Assets!$I$2:$I$201,$AB88)&amp;"",IF($Z88="F",INDEX(Workforce!$G$2:$G$151,MATCH(INDEX(FTE_Allocation!$A$2:$A$201,$AB88),Workforce!$A$2:$A$151,0))&amp;"","")))</f>
        <v/>
      </c>
      <c r="J88" s="18">
        <f>IF($Z88="","",IF(AND(DATE($AD88,1,1)&gt;=$AE88,DATE($AD88,1,1)&lt;=$AF88),ROUND($AG88,2),0))</f>
        <v/>
      </c>
      <c r="K88" s="18">
        <f>IF($Z88="","",IF(AND(DATE($AD88,2,1)&gt;=$AE88,DATE($AD88,2,1)&lt;=$AF88),ROUND($AG88,2),0))</f>
        <v/>
      </c>
      <c r="L88" s="18">
        <f>IF($Z88="","",IF(AND(DATE($AD88,3,1)&gt;=$AE88,DATE($AD88,3,1)&lt;=$AF88),ROUND($AG88,2),0))</f>
        <v/>
      </c>
      <c r="M88" s="18">
        <f>IF($Z88="","",IF(AND(DATE($AD88,4,1)&gt;=$AE88,DATE($AD88,4,1)&lt;=$AF88),ROUND($AG88,2),0))</f>
        <v/>
      </c>
      <c r="N88" s="18">
        <f>IF($Z88="","",IF(AND(DATE($AD88,5,1)&gt;=$AE88,DATE($AD88,5,1)&lt;=$AF88),ROUND($AG88,2),0))</f>
        <v/>
      </c>
      <c r="O88" s="18">
        <f>IF($Z88="","",IF(AND(DATE($AD88,6,1)&gt;=$AE88,DATE($AD88,6,1)&lt;=$AF88),ROUND($AG88,2),0))</f>
        <v/>
      </c>
      <c r="P88" s="18">
        <f>IF($Z88="","",IF(AND(DATE($AD88,7,1)&gt;=$AE88,DATE($AD88,7,1)&lt;=$AF88),ROUND($AG88,2),0))</f>
        <v/>
      </c>
      <c r="Q88" s="18">
        <f>IF($Z88="","",IF(AND(DATE($AD88,8,1)&gt;=$AE88,DATE($AD88,8,1)&lt;=$AF88),ROUND($AG88,2),0))</f>
        <v/>
      </c>
      <c r="R88" s="18">
        <f>IF($Z88="","",IF(AND(DATE($AD88,9,1)&gt;=$AE88,DATE($AD88,9,1)&lt;=$AF88),ROUND($AG88,2),0))</f>
        <v/>
      </c>
      <c r="S88" s="18">
        <f>IF($Z88="","",IF(AND(DATE($AD88,10,1)&gt;=$AE88,DATE($AD88,10,1)&lt;=$AF88),ROUND($AG88,2),0))</f>
        <v/>
      </c>
      <c r="T88" s="18">
        <f>IF($Z88="","",IF(AND(DATE($AD88,11,1)&gt;=$AE88,DATE($AD88,11,1)&lt;=$AF88),ROUND($AG88,2),0))</f>
        <v/>
      </c>
      <c r="U88" s="18">
        <f>IF($Z88="","",IF(AND(DATE($AD88,12,1)&gt;=$AE88,DATE($AD88,12,1)&lt;=$AF88),ROUND($AG88,2),0))</f>
        <v/>
      </c>
      <c r="V88" s="7">
        <f>IF($Z88="C","Generated from "&amp;INDEX(Contracts!$A$2:$A$151,$AB88),IF($Z88="A","Generated from "&amp;INDEX(Fixed_Assets!$A$2:$A$201,$AB88),IF($Z88="F","Generated from "&amp;INDEX(FTE_Allocation!$A$2:$A$201,$AB88),"")))</f>
        <v/>
      </c>
      <c r="X88" s="19">
        <f>IF($Z88="","",SUM(J88:U88))</f>
        <v/>
      </c>
      <c r="Y88" s="20">
        <f>ROW()-1</f>
        <v/>
      </c>
      <c r="Z88" s="20">
        <f>IF($Y88&lt;=Settings!$B$4*3,"C",IF($Y88&lt;=(Settings!$B$4+Settings!$B$5)*3,"A",IF($Y88&lt;=(Settings!$B$4+Settings!$B$5+Settings!$B$6)*3,"F","")))</f>
        <v/>
      </c>
      <c r="AA88" s="20">
        <f>IF($Z88="C",$Y88,IF($Z88="A",$Y88-Settings!$B$4*3,IF($Z88="F",$Y88-(Settings!$B$4+Settings!$B$5)*3,"")))</f>
        <v/>
      </c>
      <c r="AB88" s="20">
        <f>IF($Z88="","",INT(($AA88-1)/3)+1)</f>
        <v/>
      </c>
      <c r="AC88" s="20">
        <f>IF($Z88="","",MOD($AA88-1,3)+1)</f>
        <v/>
      </c>
      <c r="AD88" s="20">
        <f>IF($Z88="","",Settings!$B$2+$AC88-1)</f>
        <v/>
      </c>
      <c r="AE88" s="21">
        <f>IF($Z88="C",DATE(YEAR(INDEX(Contracts!$J$2:$J$151,$AB88)),MONTH(INDEX(Contracts!$J$2:$J$151,$AB88)),1),IF($Z88="A",DATE(YEAR(INDEX(Fixed_Assets!$G$2:$G$201,$AB88)),MONTH(INDEX(Fixed_Assets!$G$2:$G$201,$AB88)),1),IF($Z88="F",DATE(YEAR(MAX(N(INDEX(Workforce!$I$2:$I$151,MATCH(INDEX(FTE_Allocation!$A$2:$A$201,$AB88),Workforce!$A$2:$A$151,0))),N(INDEX(FTE_Allocation!$I$2:$I$201,$AB88)))),MONTH(MAX(N(INDEX(Workforce!$I$2:$I$151,MATCH(INDEX(FTE_Allocation!$A$2:$A$201,$AB88),Workforce!$A$2:$A$151,0))),N(INDEX(FTE_Allocation!$I$2:$I$201,$AB88)))),1),"")))</f>
        <v/>
      </c>
      <c r="AF88" s="21">
        <f>IF($Z88="C",IF(INDEX(Contracts!$I$2:$I$151,$AB88)="PREPAID",EDATE(DATE(YEAR(INDEX(Contracts!$J$2:$J$151,$AB88)),MONTH(INDEX(Contracts!$J$2:$J$151,$AB88)),1),IF(INDEX(Contracts!$N$2:$N$151,$AB88)="",12,INDEX(Contracts!$N$2:$N$151,$AB88))-1),IF(INDEX(Contracts!$I$2:$I$151,$AB88)="MONTHLY",IF(INDEX(Contracts!$K$2:$K$151,$AB88)="",2958101,INDEX(Contracts!$K$2:$K$151,$AB88)),0)),IF($Z88="A",EDATE(DATE(YEAR(INDEX(Fixed_Assets!$G$2:$G$201,$AB88)),MONTH(INDEX(Fixed_Assets!$G$2:$G$201,$AB88)),1),INDEX(Fixed_Assets!$J$2:$J$201,$AB88)-1),IF($Z88="F",MIN(IF(INDEX(Workforce!$J$2:$J$151,MATCH(INDEX(FTE_Allocation!$A$2:$A$201,$AB88),Workforce!$A$2:$A$151,0))="",2958101,INDEX(Workforce!$J$2:$J$151,MATCH(INDEX(FTE_Allocation!$A$2:$A$201,$AB88),Workforce!$A$2:$A$151,0))),IF(INDEX(FTE_Allocation!$J$2:$J$201,$AB88)="",2958101,INDEX(FTE_Allocation!$J$2:$J$201,$AB88))),"")))</f>
        <v/>
      </c>
      <c r="AG88" s="19">
        <f>IF($Z88="C",IF(INDEX(Contracts!$I$2:$I$151,$AB88)="PREPAID",INDEX(Contracts!$M$2:$M$151,$AB88)/IF(INDEX(Contracts!$N$2:$N$151,$AB88)="",12,INDEX(Contracts!$N$2:$N$151,$AB88)),IF(INDEX(Contracts!$I$2:$I$151,$AB88)="MONTHLY",INDEX(Contracts!$M$2:$M$151,$AB88),0))*(1-N(INDEX(Contracts!$O$2:$O$151,$AB88))),IF($Z88="A",INDEX(Fixed_Assets!$H$2:$H$201,$AB88)/INDEX(Fixed_Assets!$J$2:$J$201,$AB88),IF($Z88="F",INDEX(Workforce!$F$2:$F$151,MATCH(INDEX(FTE_Allocation!$A$2:$A$201,$AB88),Workforce!$A$2:$A$151,0))*N(INDEX(FTE_Allocation!$F$2:$H$201,$AB88,$AC88)),"")))</f>
        <v/>
      </c>
    </row>
    <row r="89">
      <c r="A89" s="7">
        <f>IF($Z89="","",$AD89)</f>
        <v/>
      </c>
      <c r="B89" s="7">
        <f>IF($Z89="C",INDEX(Contracts!$D$2:$D$151,$AB89)&amp;"",IF($Z89="A",INDEX(Fixed_Assets!$C$2:$C$201,$AB89)&amp;"",IF($Z89="F",INDEX(Workforce!$B$2:$B$151,MATCH(INDEX(FTE_Allocation!$A$2:$A$201,$AB89),Workforce!$A$2:$A$151,0))&amp;"","")))</f>
        <v/>
      </c>
      <c r="C89" s="7">
        <f>IF($Z89="C",INDEX(Contracts!$E$2:$E$151,$AB89)&amp;"",IF($Z89="A",INDEX(Fixed_Assets!$D$2:$D$201,$AB89)&amp;"",IF($Z89="F",INDEX(FTE_Allocation!$C$2:$C$201,$AB89)&amp;"","")))</f>
        <v/>
      </c>
      <c r="D89" s="7">
        <f>IF($Z89="C",INDEX(Contracts!$B$2:$B$151,$AB89)&amp;"",IF($Z89="A",INDEX(Fixed_Assets!$B$2:$B$201,$AB89)&amp;"",IF($Z89="F",INDEX(FTE_Allocation!$B$2:$B$201,$AB89)&amp;"","")))</f>
        <v/>
      </c>
      <c r="E89" s="7">
        <f>IF($Z89="C",INDEX(Contracts!$P$2:$P$151,$AB89)&amp;"",IF($Z89="A",INDEX(Fixed_Assets!$K$2:$K$201,$AB89)&amp;"",IF($Z89="F",IF(INDEX(FTE_Allocation!$D$2:$D$201,$AB89)="PROJECT",IFERROR(INDEX(Projects!$D:$D,MATCH(INDEX(FTE_Allocation!$E$2:$E$201,$AB89),Projects!$A:$A,0))&amp;"","#PROJECT?"),INDEX(FTE_Allocation!$E$2:$E$201,$AB89)&amp;""),"")))</f>
        <v/>
      </c>
      <c r="F89" s="7">
        <f>IF($Z89="C",INDEX(Contracts!$Q$2:$Q$151,$AB89)&amp;"",IF($Z89="A",INDEX(Fixed_Assets!$L$2:$L$201,$AB89)&amp;"",IF($Z89="F",INDEX(Workforce!$K$2:$K$151,MATCH(INDEX(FTE_Allocation!$A$2:$A$201,$AB89),Workforce!$A$2:$A$151,0))&amp;"","")))</f>
        <v/>
      </c>
      <c r="G89" s="7">
        <f>IF($Z89="C",INDEX(Contracts!$F$2:$F$151,$AB89)&amp;" / "&amp;INDEX(Contracts!$G$2:$G$151,$AB89),IF($Z89="A",INDEX(Fixed_Assets!$E$2:$E$201,$AB89)&amp;"",IF($Z89="F","Personnel "&amp;INDEX(FTE_Allocation!$A$2:$A$201,$AB89)&amp;IF(INDEX(FTE_Allocation!$D$2:$D$201,$AB89)="PROJECT"," ("&amp;INDEX(FTE_Allocation!$E$2:$E$201,$AB89)&amp;")",""),"")))</f>
        <v/>
      </c>
      <c r="H89" s="7">
        <f>IF($Z89="C","CONTRACT",IF($Z89="A","ASSET",IF($Z89="F","WORKFORCE","")))</f>
        <v/>
      </c>
      <c r="I89" s="7">
        <f>IF($Z89="C",INDEX(Contracts!$L$2:$L$151,$AB89)&amp;"",IF($Z89="A",INDEX(Fixed_Assets!$I$2:$I$201,$AB89)&amp;"",IF($Z89="F",INDEX(Workforce!$G$2:$G$151,MATCH(INDEX(FTE_Allocation!$A$2:$A$201,$AB89),Workforce!$A$2:$A$151,0))&amp;"","")))</f>
        <v/>
      </c>
      <c r="J89" s="18">
        <f>IF($Z89="","",IF(AND(DATE($AD89,1,1)&gt;=$AE89,DATE($AD89,1,1)&lt;=$AF89),ROUND($AG89,2),0))</f>
        <v/>
      </c>
      <c r="K89" s="18">
        <f>IF($Z89="","",IF(AND(DATE($AD89,2,1)&gt;=$AE89,DATE($AD89,2,1)&lt;=$AF89),ROUND($AG89,2),0))</f>
        <v/>
      </c>
      <c r="L89" s="18">
        <f>IF($Z89="","",IF(AND(DATE($AD89,3,1)&gt;=$AE89,DATE($AD89,3,1)&lt;=$AF89),ROUND($AG89,2),0))</f>
        <v/>
      </c>
      <c r="M89" s="18">
        <f>IF($Z89="","",IF(AND(DATE($AD89,4,1)&gt;=$AE89,DATE($AD89,4,1)&lt;=$AF89),ROUND($AG89,2),0))</f>
        <v/>
      </c>
      <c r="N89" s="18">
        <f>IF($Z89="","",IF(AND(DATE($AD89,5,1)&gt;=$AE89,DATE($AD89,5,1)&lt;=$AF89),ROUND($AG89,2),0))</f>
        <v/>
      </c>
      <c r="O89" s="18">
        <f>IF($Z89="","",IF(AND(DATE($AD89,6,1)&gt;=$AE89,DATE($AD89,6,1)&lt;=$AF89),ROUND($AG89,2),0))</f>
        <v/>
      </c>
      <c r="P89" s="18">
        <f>IF($Z89="","",IF(AND(DATE($AD89,7,1)&gt;=$AE89,DATE($AD89,7,1)&lt;=$AF89),ROUND($AG89,2),0))</f>
        <v/>
      </c>
      <c r="Q89" s="18">
        <f>IF($Z89="","",IF(AND(DATE($AD89,8,1)&gt;=$AE89,DATE($AD89,8,1)&lt;=$AF89),ROUND($AG89,2),0))</f>
        <v/>
      </c>
      <c r="R89" s="18">
        <f>IF($Z89="","",IF(AND(DATE($AD89,9,1)&gt;=$AE89,DATE($AD89,9,1)&lt;=$AF89),ROUND($AG89,2),0))</f>
        <v/>
      </c>
      <c r="S89" s="18">
        <f>IF($Z89="","",IF(AND(DATE($AD89,10,1)&gt;=$AE89,DATE($AD89,10,1)&lt;=$AF89),ROUND($AG89,2),0))</f>
        <v/>
      </c>
      <c r="T89" s="18">
        <f>IF($Z89="","",IF(AND(DATE($AD89,11,1)&gt;=$AE89,DATE($AD89,11,1)&lt;=$AF89),ROUND($AG89,2),0))</f>
        <v/>
      </c>
      <c r="U89" s="18">
        <f>IF($Z89="","",IF(AND(DATE($AD89,12,1)&gt;=$AE89,DATE($AD89,12,1)&lt;=$AF89),ROUND($AG89,2),0))</f>
        <v/>
      </c>
      <c r="V89" s="7">
        <f>IF($Z89="C","Generated from "&amp;INDEX(Contracts!$A$2:$A$151,$AB89),IF($Z89="A","Generated from "&amp;INDEX(Fixed_Assets!$A$2:$A$201,$AB89),IF($Z89="F","Generated from "&amp;INDEX(FTE_Allocation!$A$2:$A$201,$AB89),"")))</f>
        <v/>
      </c>
      <c r="X89" s="19">
        <f>IF($Z89="","",SUM(J89:U89))</f>
        <v/>
      </c>
      <c r="Y89" s="20">
        <f>ROW()-1</f>
        <v/>
      </c>
      <c r="Z89" s="20">
        <f>IF($Y89&lt;=Settings!$B$4*3,"C",IF($Y89&lt;=(Settings!$B$4+Settings!$B$5)*3,"A",IF($Y89&lt;=(Settings!$B$4+Settings!$B$5+Settings!$B$6)*3,"F","")))</f>
        <v/>
      </c>
      <c r="AA89" s="20">
        <f>IF($Z89="C",$Y89,IF($Z89="A",$Y89-Settings!$B$4*3,IF($Z89="F",$Y89-(Settings!$B$4+Settings!$B$5)*3,"")))</f>
        <v/>
      </c>
      <c r="AB89" s="20">
        <f>IF($Z89="","",INT(($AA89-1)/3)+1)</f>
        <v/>
      </c>
      <c r="AC89" s="20">
        <f>IF($Z89="","",MOD($AA89-1,3)+1)</f>
        <v/>
      </c>
      <c r="AD89" s="20">
        <f>IF($Z89="","",Settings!$B$2+$AC89-1)</f>
        <v/>
      </c>
      <c r="AE89" s="21">
        <f>IF($Z89="C",DATE(YEAR(INDEX(Contracts!$J$2:$J$151,$AB89)),MONTH(INDEX(Contracts!$J$2:$J$151,$AB89)),1),IF($Z89="A",DATE(YEAR(INDEX(Fixed_Assets!$G$2:$G$201,$AB89)),MONTH(INDEX(Fixed_Assets!$G$2:$G$201,$AB89)),1),IF($Z89="F",DATE(YEAR(MAX(N(INDEX(Workforce!$I$2:$I$151,MATCH(INDEX(FTE_Allocation!$A$2:$A$201,$AB89),Workforce!$A$2:$A$151,0))),N(INDEX(FTE_Allocation!$I$2:$I$201,$AB89)))),MONTH(MAX(N(INDEX(Workforce!$I$2:$I$151,MATCH(INDEX(FTE_Allocation!$A$2:$A$201,$AB89),Workforce!$A$2:$A$151,0))),N(INDEX(FTE_Allocation!$I$2:$I$201,$AB89)))),1),"")))</f>
        <v/>
      </c>
      <c r="AF89" s="21">
        <f>IF($Z89="C",IF(INDEX(Contracts!$I$2:$I$151,$AB89)="PREPAID",EDATE(DATE(YEAR(INDEX(Contracts!$J$2:$J$151,$AB89)),MONTH(INDEX(Contracts!$J$2:$J$151,$AB89)),1),IF(INDEX(Contracts!$N$2:$N$151,$AB89)="",12,INDEX(Contracts!$N$2:$N$151,$AB89))-1),IF(INDEX(Contracts!$I$2:$I$151,$AB89)="MONTHLY",IF(INDEX(Contracts!$K$2:$K$151,$AB89)="",2958101,INDEX(Contracts!$K$2:$K$151,$AB89)),0)),IF($Z89="A",EDATE(DATE(YEAR(INDEX(Fixed_Assets!$G$2:$G$201,$AB89)),MONTH(INDEX(Fixed_Assets!$G$2:$G$201,$AB89)),1),INDEX(Fixed_Assets!$J$2:$J$201,$AB89)-1),IF($Z89="F",MIN(IF(INDEX(Workforce!$J$2:$J$151,MATCH(INDEX(FTE_Allocation!$A$2:$A$201,$AB89),Workforce!$A$2:$A$151,0))="",2958101,INDEX(Workforce!$J$2:$J$151,MATCH(INDEX(FTE_Allocation!$A$2:$A$201,$AB89),Workforce!$A$2:$A$151,0))),IF(INDEX(FTE_Allocation!$J$2:$J$201,$AB89)="",2958101,INDEX(FTE_Allocation!$J$2:$J$201,$AB89))),"")))</f>
        <v/>
      </c>
      <c r="AG89" s="19">
        <f>IF($Z89="C",IF(INDEX(Contracts!$I$2:$I$151,$AB89)="PREPAID",INDEX(Contracts!$M$2:$M$151,$AB89)/IF(INDEX(Contracts!$N$2:$N$151,$AB89)="",12,INDEX(Contracts!$N$2:$N$151,$AB89)),IF(INDEX(Contracts!$I$2:$I$151,$AB89)="MONTHLY",INDEX(Contracts!$M$2:$M$151,$AB89),0))*(1-N(INDEX(Contracts!$O$2:$O$151,$AB89))),IF($Z89="A",INDEX(Fixed_Assets!$H$2:$H$201,$AB89)/INDEX(Fixed_Assets!$J$2:$J$201,$AB89),IF($Z89="F",INDEX(Workforce!$F$2:$F$151,MATCH(INDEX(FTE_Allocation!$A$2:$A$201,$AB89),Workforce!$A$2:$A$151,0))*N(INDEX(FTE_Allocation!$F$2:$H$201,$AB89,$AC89)),"")))</f>
        <v/>
      </c>
    </row>
    <row r="90">
      <c r="A90" s="7">
        <f>IF($Z90="","",$AD90)</f>
        <v/>
      </c>
      <c r="B90" s="7">
        <f>IF($Z90="C",INDEX(Contracts!$D$2:$D$151,$AB90)&amp;"",IF($Z90="A",INDEX(Fixed_Assets!$C$2:$C$201,$AB90)&amp;"",IF($Z90="F",INDEX(Workforce!$B$2:$B$151,MATCH(INDEX(FTE_Allocation!$A$2:$A$201,$AB90),Workforce!$A$2:$A$151,0))&amp;"","")))</f>
        <v/>
      </c>
      <c r="C90" s="7">
        <f>IF($Z90="C",INDEX(Contracts!$E$2:$E$151,$AB90)&amp;"",IF($Z90="A",INDEX(Fixed_Assets!$D$2:$D$201,$AB90)&amp;"",IF($Z90="F",INDEX(FTE_Allocation!$C$2:$C$201,$AB90)&amp;"","")))</f>
        <v/>
      </c>
      <c r="D90" s="7">
        <f>IF($Z90="C",INDEX(Contracts!$B$2:$B$151,$AB90)&amp;"",IF($Z90="A",INDEX(Fixed_Assets!$B$2:$B$201,$AB90)&amp;"",IF($Z90="F",INDEX(FTE_Allocation!$B$2:$B$201,$AB90)&amp;"","")))</f>
        <v/>
      </c>
      <c r="E90" s="7">
        <f>IF($Z90="C",INDEX(Contracts!$P$2:$P$151,$AB90)&amp;"",IF($Z90="A",INDEX(Fixed_Assets!$K$2:$K$201,$AB90)&amp;"",IF($Z90="F",IF(INDEX(FTE_Allocation!$D$2:$D$201,$AB90)="PROJECT",IFERROR(INDEX(Projects!$D:$D,MATCH(INDEX(FTE_Allocation!$E$2:$E$201,$AB90),Projects!$A:$A,0))&amp;"","#PROJECT?"),INDEX(FTE_Allocation!$E$2:$E$201,$AB90)&amp;""),"")))</f>
        <v/>
      </c>
      <c r="F90" s="7">
        <f>IF($Z90="C",INDEX(Contracts!$Q$2:$Q$151,$AB90)&amp;"",IF($Z90="A",INDEX(Fixed_Assets!$L$2:$L$201,$AB90)&amp;"",IF($Z90="F",INDEX(Workforce!$K$2:$K$151,MATCH(INDEX(FTE_Allocation!$A$2:$A$201,$AB90),Workforce!$A$2:$A$151,0))&amp;"","")))</f>
        <v/>
      </c>
      <c r="G90" s="7">
        <f>IF($Z90="C",INDEX(Contracts!$F$2:$F$151,$AB90)&amp;" / "&amp;INDEX(Contracts!$G$2:$G$151,$AB90),IF($Z90="A",INDEX(Fixed_Assets!$E$2:$E$201,$AB90)&amp;"",IF($Z90="F","Personnel "&amp;INDEX(FTE_Allocation!$A$2:$A$201,$AB90)&amp;IF(INDEX(FTE_Allocation!$D$2:$D$201,$AB90)="PROJECT"," ("&amp;INDEX(FTE_Allocation!$E$2:$E$201,$AB90)&amp;")",""),"")))</f>
        <v/>
      </c>
      <c r="H90" s="7">
        <f>IF($Z90="C","CONTRACT",IF($Z90="A","ASSET",IF($Z90="F","WORKFORCE","")))</f>
        <v/>
      </c>
      <c r="I90" s="7">
        <f>IF($Z90="C",INDEX(Contracts!$L$2:$L$151,$AB90)&amp;"",IF($Z90="A",INDEX(Fixed_Assets!$I$2:$I$201,$AB90)&amp;"",IF($Z90="F",INDEX(Workforce!$G$2:$G$151,MATCH(INDEX(FTE_Allocation!$A$2:$A$201,$AB90),Workforce!$A$2:$A$151,0))&amp;"","")))</f>
        <v/>
      </c>
      <c r="J90" s="18">
        <f>IF($Z90="","",IF(AND(DATE($AD90,1,1)&gt;=$AE90,DATE($AD90,1,1)&lt;=$AF90),ROUND($AG90,2),0))</f>
        <v/>
      </c>
      <c r="K90" s="18">
        <f>IF($Z90="","",IF(AND(DATE($AD90,2,1)&gt;=$AE90,DATE($AD90,2,1)&lt;=$AF90),ROUND($AG90,2),0))</f>
        <v/>
      </c>
      <c r="L90" s="18">
        <f>IF($Z90="","",IF(AND(DATE($AD90,3,1)&gt;=$AE90,DATE($AD90,3,1)&lt;=$AF90),ROUND($AG90,2),0))</f>
        <v/>
      </c>
      <c r="M90" s="18">
        <f>IF($Z90="","",IF(AND(DATE($AD90,4,1)&gt;=$AE90,DATE($AD90,4,1)&lt;=$AF90),ROUND($AG90,2),0))</f>
        <v/>
      </c>
      <c r="N90" s="18">
        <f>IF($Z90="","",IF(AND(DATE($AD90,5,1)&gt;=$AE90,DATE($AD90,5,1)&lt;=$AF90),ROUND($AG90,2),0))</f>
        <v/>
      </c>
      <c r="O90" s="18">
        <f>IF($Z90="","",IF(AND(DATE($AD90,6,1)&gt;=$AE90,DATE($AD90,6,1)&lt;=$AF90),ROUND($AG90,2),0))</f>
        <v/>
      </c>
      <c r="P90" s="18">
        <f>IF($Z90="","",IF(AND(DATE($AD90,7,1)&gt;=$AE90,DATE($AD90,7,1)&lt;=$AF90),ROUND($AG90,2),0))</f>
        <v/>
      </c>
      <c r="Q90" s="18">
        <f>IF($Z90="","",IF(AND(DATE($AD90,8,1)&gt;=$AE90,DATE($AD90,8,1)&lt;=$AF90),ROUND($AG90,2),0))</f>
        <v/>
      </c>
      <c r="R90" s="18">
        <f>IF($Z90="","",IF(AND(DATE($AD90,9,1)&gt;=$AE90,DATE($AD90,9,1)&lt;=$AF90),ROUND($AG90,2),0))</f>
        <v/>
      </c>
      <c r="S90" s="18">
        <f>IF($Z90="","",IF(AND(DATE($AD90,10,1)&gt;=$AE90,DATE($AD90,10,1)&lt;=$AF90),ROUND($AG90,2),0))</f>
        <v/>
      </c>
      <c r="T90" s="18">
        <f>IF($Z90="","",IF(AND(DATE($AD90,11,1)&gt;=$AE90,DATE($AD90,11,1)&lt;=$AF90),ROUND($AG90,2),0))</f>
        <v/>
      </c>
      <c r="U90" s="18">
        <f>IF($Z90="","",IF(AND(DATE($AD90,12,1)&gt;=$AE90,DATE($AD90,12,1)&lt;=$AF90),ROUND($AG90,2),0))</f>
        <v/>
      </c>
      <c r="V90" s="7">
        <f>IF($Z90="C","Generated from "&amp;INDEX(Contracts!$A$2:$A$151,$AB90),IF($Z90="A","Generated from "&amp;INDEX(Fixed_Assets!$A$2:$A$201,$AB90),IF($Z90="F","Generated from "&amp;INDEX(FTE_Allocation!$A$2:$A$201,$AB90),"")))</f>
        <v/>
      </c>
      <c r="X90" s="19">
        <f>IF($Z90="","",SUM(J90:U90))</f>
        <v/>
      </c>
      <c r="Y90" s="20">
        <f>ROW()-1</f>
        <v/>
      </c>
      <c r="Z90" s="20">
        <f>IF($Y90&lt;=Settings!$B$4*3,"C",IF($Y90&lt;=(Settings!$B$4+Settings!$B$5)*3,"A",IF($Y90&lt;=(Settings!$B$4+Settings!$B$5+Settings!$B$6)*3,"F","")))</f>
        <v/>
      </c>
      <c r="AA90" s="20">
        <f>IF($Z90="C",$Y90,IF($Z90="A",$Y90-Settings!$B$4*3,IF($Z90="F",$Y90-(Settings!$B$4+Settings!$B$5)*3,"")))</f>
        <v/>
      </c>
      <c r="AB90" s="20">
        <f>IF($Z90="","",INT(($AA90-1)/3)+1)</f>
        <v/>
      </c>
      <c r="AC90" s="20">
        <f>IF($Z90="","",MOD($AA90-1,3)+1)</f>
        <v/>
      </c>
      <c r="AD90" s="20">
        <f>IF($Z90="","",Settings!$B$2+$AC90-1)</f>
        <v/>
      </c>
      <c r="AE90" s="21">
        <f>IF($Z90="C",DATE(YEAR(INDEX(Contracts!$J$2:$J$151,$AB90)),MONTH(INDEX(Contracts!$J$2:$J$151,$AB90)),1),IF($Z90="A",DATE(YEAR(INDEX(Fixed_Assets!$G$2:$G$201,$AB90)),MONTH(INDEX(Fixed_Assets!$G$2:$G$201,$AB90)),1),IF($Z90="F",DATE(YEAR(MAX(N(INDEX(Workforce!$I$2:$I$151,MATCH(INDEX(FTE_Allocation!$A$2:$A$201,$AB90),Workforce!$A$2:$A$151,0))),N(INDEX(FTE_Allocation!$I$2:$I$201,$AB90)))),MONTH(MAX(N(INDEX(Workforce!$I$2:$I$151,MATCH(INDEX(FTE_Allocation!$A$2:$A$201,$AB90),Workforce!$A$2:$A$151,0))),N(INDEX(FTE_Allocation!$I$2:$I$201,$AB90)))),1),"")))</f>
        <v/>
      </c>
      <c r="AF90" s="21">
        <f>IF($Z90="C",IF(INDEX(Contracts!$I$2:$I$151,$AB90)="PREPAID",EDATE(DATE(YEAR(INDEX(Contracts!$J$2:$J$151,$AB90)),MONTH(INDEX(Contracts!$J$2:$J$151,$AB90)),1),IF(INDEX(Contracts!$N$2:$N$151,$AB90)="",12,INDEX(Contracts!$N$2:$N$151,$AB90))-1),IF(INDEX(Contracts!$I$2:$I$151,$AB90)="MONTHLY",IF(INDEX(Contracts!$K$2:$K$151,$AB90)="",2958101,INDEX(Contracts!$K$2:$K$151,$AB90)),0)),IF($Z90="A",EDATE(DATE(YEAR(INDEX(Fixed_Assets!$G$2:$G$201,$AB90)),MONTH(INDEX(Fixed_Assets!$G$2:$G$201,$AB90)),1),INDEX(Fixed_Assets!$J$2:$J$201,$AB90)-1),IF($Z90="F",MIN(IF(INDEX(Workforce!$J$2:$J$151,MATCH(INDEX(FTE_Allocation!$A$2:$A$201,$AB90),Workforce!$A$2:$A$151,0))="",2958101,INDEX(Workforce!$J$2:$J$151,MATCH(INDEX(FTE_Allocation!$A$2:$A$201,$AB90),Workforce!$A$2:$A$151,0))),IF(INDEX(FTE_Allocation!$J$2:$J$201,$AB90)="",2958101,INDEX(FTE_Allocation!$J$2:$J$201,$AB90))),"")))</f>
        <v/>
      </c>
      <c r="AG90" s="19">
        <f>IF($Z90="C",IF(INDEX(Contracts!$I$2:$I$151,$AB90)="PREPAID",INDEX(Contracts!$M$2:$M$151,$AB90)/IF(INDEX(Contracts!$N$2:$N$151,$AB90)="",12,INDEX(Contracts!$N$2:$N$151,$AB90)),IF(INDEX(Contracts!$I$2:$I$151,$AB90)="MONTHLY",INDEX(Contracts!$M$2:$M$151,$AB90),0))*(1-N(INDEX(Contracts!$O$2:$O$151,$AB90))),IF($Z90="A",INDEX(Fixed_Assets!$H$2:$H$201,$AB90)/INDEX(Fixed_Assets!$J$2:$J$201,$AB90),IF($Z90="F",INDEX(Workforce!$F$2:$F$151,MATCH(INDEX(FTE_Allocation!$A$2:$A$201,$AB90),Workforce!$A$2:$A$151,0))*N(INDEX(FTE_Allocation!$F$2:$H$201,$AB90,$AC90)),"")))</f>
        <v/>
      </c>
    </row>
    <row r="91">
      <c r="A91" s="7">
        <f>IF($Z91="","",$AD91)</f>
        <v/>
      </c>
      <c r="B91" s="7">
        <f>IF($Z91="C",INDEX(Contracts!$D$2:$D$151,$AB91)&amp;"",IF($Z91="A",INDEX(Fixed_Assets!$C$2:$C$201,$AB91)&amp;"",IF($Z91="F",INDEX(Workforce!$B$2:$B$151,MATCH(INDEX(FTE_Allocation!$A$2:$A$201,$AB91),Workforce!$A$2:$A$151,0))&amp;"","")))</f>
        <v/>
      </c>
      <c r="C91" s="7">
        <f>IF($Z91="C",INDEX(Contracts!$E$2:$E$151,$AB91)&amp;"",IF($Z91="A",INDEX(Fixed_Assets!$D$2:$D$201,$AB91)&amp;"",IF($Z91="F",INDEX(FTE_Allocation!$C$2:$C$201,$AB91)&amp;"","")))</f>
        <v/>
      </c>
      <c r="D91" s="7">
        <f>IF($Z91="C",INDEX(Contracts!$B$2:$B$151,$AB91)&amp;"",IF($Z91="A",INDEX(Fixed_Assets!$B$2:$B$201,$AB91)&amp;"",IF($Z91="F",INDEX(FTE_Allocation!$B$2:$B$201,$AB91)&amp;"","")))</f>
        <v/>
      </c>
      <c r="E91" s="7">
        <f>IF($Z91="C",INDEX(Contracts!$P$2:$P$151,$AB91)&amp;"",IF($Z91="A",INDEX(Fixed_Assets!$K$2:$K$201,$AB91)&amp;"",IF($Z91="F",IF(INDEX(FTE_Allocation!$D$2:$D$201,$AB91)="PROJECT",IFERROR(INDEX(Projects!$D:$D,MATCH(INDEX(FTE_Allocation!$E$2:$E$201,$AB91),Projects!$A:$A,0))&amp;"","#PROJECT?"),INDEX(FTE_Allocation!$E$2:$E$201,$AB91)&amp;""),"")))</f>
        <v/>
      </c>
      <c r="F91" s="7">
        <f>IF($Z91="C",INDEX(Contracts!$Q$2:$Q$151,$AB91)&amp;"",IF($Z91="A",INDEX(Fixed_Assets!$L$2:$L$201,$AB91)&amp;"",IF($Z91="F",INDEX(Workforce!$K$2:$K$151,MATCH(INDEX(FTE_Allocation!$A$2:$A$201,$AB91),Workforce!$A$2:$A$151,0))&amp;"","")))</f>
        <v/>
      </c>
      <c r="G91" s="7">
        <f>IF($Z91="C",INDEX(Contracts!$F$2:$F$151,$AB91)&amp;" / "&amp;INDEX(Contracts!$G$2:$G$151,$AB91),IF($Z91="A",INDEX(Fixed_Assets!$E$2:$E$201,$AB91)&amp;"",IF($Z91="F","Personnel "&amp;INDEX(FTE_Allocation!$A$2:$A$201,$AB91)&amp;IF(INDEX(FTE_Allocation!$D$2:$D$201,$AB91)="PROJECT"," ("&amp;INDEX(FTE_Allocation!$E$2:$E$201,$AB91)&amp;")",""),"")))</f>
        <v/>
      </c>
      <c r="H91" s="7">
        <f>IF($Z91="C","CONTRACT",IF($Z91="A","ASSET",IF($Z91="F","WORKFORCE","")))</f>
        <v/>
      </c>
      <c r="I91" s="7">
        <f>IF($Z91="C",INDEX(Contracts!$L$2:$L$151,$AB91)&amp;"",IF($Z91="A",INDEX(Fixed_Assets!$I$2:$I$201,$AB91)&amp;"",IF($Z91="F",INDEX(Workforce!$G$2:$G$151,MATCH(INDEX(FTE_Allocation!$A$2:$A$201,$AB91),Workforce!$A$2:$A$151,0))&amp;"","")))</f>
        <v/>
      </c>
      <c r="J91" s="18">
        <f>IF($Z91="","",IF(AND(DATE($AD91,1,1)&gt;=$AE91,DATE($AD91,1,1)&lt;=$AF91),ROUND($AG91,2),0))</f>
        <v/>
      </c>
      <c r="K91" s="18">
        <f>IF($Z91="","",IF(AND(DATE($AD91,2,1)&gt;=$AE91,DATE($AD91,2,1)&lt;=$AF91),ROUND($AG91,2),0))</f>
        <v/>
      </c>
      <c r="L91" s="18">
        <f>IF($Z91="","",IF(AND(DATE($AD91,3,1)&gt;=$AE91,DATE($AD91,3,1)&lt;=$AF91),ROUND($AG91,2),0))</f>
        <v/>
      </c>
      <c r="M91" s="18">
        <f>IF($Z91="","",IF(AND(DATE($AD91,4,1)&gt;=$AE91,DATE($AD91,4,1)&lt;=$AF91),ROUND($AG91,2),0))</f>
        <v/>
      </c>
      <c r="N91" s="18">
        <f>IF($Z91="","",IF(AND(DATE($AD91,5,1)&gt;=$AE91,DATE($AD91,5,1)&lt;=$AF91),ROUND($AG91,2),0))</f>
        <v/>
      </c>
      <c r="O91" s="18">
        <f>IF($Z91="","",IF(AND(DATE($AD91,6,1)&gt;=$AE91,DATE($AD91,6,1)&lt;=$AF91),ROUND($AG91,2),0))</f>
        <v/>
      </c>
      <c r="P91" s="18">
        <f>IF($Z91="","",IF(AND(DATE($AD91,7,1)&gt;=$AE91,DATE($AD91,7,1)&lt;=$AF91),ROUND($AG91,2),0))</f>
        <v/>
      </c>
      <c r="Q91" s="18">
        <f>IF($Z91="","",IF(AND(DATE($AD91,8,1)&gt;=$AE91,DATE($AD91,8,1)&lt;=$AF91),ROUND($AG91,2),0))</f>
        <v/>
      </c>
      <c r="R91" s="18">
        <f>IF($Z91="","",IF(AND(DATE($AD91,9,1)&gt;=$AE91,DATE($AD91,9,1)&lt;=$AF91),ROUND($AG91,2),0))</f>
        <v/>
      </c>
      <c r="S91" s="18">
        <f>IF($Z91="","",IF(AND(DATE($AD91,10,1)&gt;=$AE91,DATE($AD91,10,1)&lt;=$AF91),ROUND($AG91,2),0))</f>
        <v/>
      </c>
      <c r="T91" s="18">
        <f>IF($Z91="","",IF(AND(DATE($AD91,11,1)&gt;=$AE91,DATE($AD91,11,1)&lt;=$AF91),ROUND($AG91,2),0))</f>
        <v/>
      </c>
      <c r="U91" s="18">
        <f>IF($Z91="","",IF(AND(DATE($AD91,12,1)&gt;=$AE91,DATE($AD91,12,1)&lt;=$AF91),ROUND($AG91,2),0))</f>
        <v/>
      </c>
      <c r="V91" s="7">
        <f>IF($Z91="C","Generated from "&amp;INDEX(Contracts!$A$2:$A$151,$AB91),IF($Z91="A","Generated from "&amp;INDEX(Fixed_Assets!$A$2:$A$201,$AB91),IF($Z91="F","Generated from "&amp;INDEX(FTE_Allocation!$A$2:$A$201,$AB91),"")))</f>
        <v/>
      </c>
      <c r="X91" s="19">
        <f>IF($Z91="","",SUM(J91:U91))</f>
        <v/>
      </c>
      <c r="Y91" s="20">
        <f>ROW()-1</f>
        <v/>
      </c>
      <c r="Z91" s="20">
        <f>IF($Y91&lt;=Settings!$B$4*3,"C",IF($Y91&lt;=(Settings!$B$4+Settings!$B$5)*3,"A",IF($Y91&lt;=(Settings!$B$4+Settings!$B$5+Settings!$B$6)*3,"F","")))</f>
        <v/>
      </c>
      <c r="AA91" s="20">
        <f>IF($Z91="C",$Y91,IF($Z91="A",$Y91-Settings!$B$4*3,IF($Z91="F",$Y91-(Settings!$B$4+Settings!$B$5)*3,"")))</f>
        <v/>
      </c>
      <c r="AB91" s="20">
        <f>IF($Z91="","",INT(($AA91-1)/3)+1)</f>
        <v/>
      </c>
      <c r="AC91" s="20">
        <f>IF($Z91="","",MOD($AA91-1,3)+1)</f>
        <v/>
      </c>
      <c r="AD91" s="20">
        <f>IF($Z91="","",Settings!$B$2+$AC91-1)</f>
        <v/>
      </c>
      <c r="AE91" s="21">
        <f>IF($Z91="C",DATE(YEAR(INDEX(Contracts!$J$2:$J$151,$AB91)),MONTH(INDEX(Contracts!$J$2:$J$151,$AB91)),1),IF($Z91="A",DATE(YEAR(INDEX(Fixed_Assets!$G$2:$G$201,$AB91)),MONTH(INDEX(Fixed_Assets!$G$2:$G$201,$AB91)),1),IF($Z91="F",DATE(YEAR(MAX(N(INDEX(Workforce!$I$2:$I$151,MATCH(INDEX(FTE_Allocation!$A$2:$A$201,$AB91),Workforce!$A$2:$A$151,0))),N(INDEX(FTE_Allocation!$I$2:$I$201,$AB91)))),MONTH(MAX(N(INDEX(Workforce!$I$2:$I$151,MATCH(INDEX(FTE_Allocation!$A$2:$A$201,$AB91),Workforce!$A$2:$A$151,0))),N(INDEX(FTE_Allocation!$I$2:$I$201,$AB91)))),1),"")))</f>
        <v/>
      </c>
      <c r="AF91" s="21">
        <f>IF($Z91="C",IF(INDEX(Contracts!$I$2:$I$151,$AB91)="PREPAID",EDATE(DATE(YEAR(INDEX(Contracts!$J$2:$J$151,$AB91)),MONTH(INDEX(Contracts!$J$2:$J$151,$AB91)),1),IF(INDEX(Contracts!$N$2:$N$151,$AB91)="",12,INDEX(Contracts!$N$2:$N$151,$AB91))-1),IF(INDEX(Contracts!$I$2:$I$151,$AB91)="MONTHLY",IF(INDEX(Contracts!$K$2:$K$151,$AB91)="",2958101,INDEX(Contracts!$K$2:$K$151,$AB91)),0)),IF($Z91="A",EDATE(DATE(YEAR(INDEX(Fixed_Assets!$G$2:$G$201,$AB91)),MONTH(INDEX(Fixed_Assets!$G$2:$G$201,$AB91)),1),INDEX(Fixed_Assets!$J$2:$J$201,$AB91)-1),IF($Z91="F",MIN(IF(INDEX(Workforce!$J$2:$J$151,MATCH(INDEX(FTE_Allocation!$A$2:$A$201,$AB91),Workforce!$A$2:$A$151,0))="",2958101,INDEX(Workforce!$J$2:$J$151,MATCH(INDEX(FTE_Allocation!$A$2:$A$201,$AB91),Workforce!$A$2:$A$151,0))),IF(INDEX(FTE_Allocation!$J$2:$J$201,$AB91)="",2958101,INDEX(FTE_Allocation!$J$2:$J$201,$AB91))),"")))</f>
        <v/>
      </c>
      <c r="AG91" s="19">
        <f>IF($Z91="C",IF(INDEX(Contracts!$I$2:$I$151,$AB91)="PREPAID",INDEX(Contracts!$M$2:$M$151,$AB91)/IF(INDEX(Contracts!$N$2:$N$151,$AB91)="",12,INDEX(Contracts!$N$2:$N$151,$AB91)),IF(INDEX(Contracts!$I$2:$I$151,$AB91)="MONTHLY",INDEX(Contracts!$M$2:$M$151,$AB91),0))*(1-N(INDEX(Contracts!$O$2:$O$151,$AB91))),IF($Z91="A",INDEX(Fixed_Assets!$H$2:$H$201,$AB91)/INDEX(Fixed_Assets!$J$2:$J$201,$AB91),IF($Z91="F",INDEX(Workforce!$F$2:$F$151,MATCH(INDEX(FTE_Allocation!$A$2:$A$201,$AB91),Workforce!$A$2:$A$151,0))*N(INDEX(FTE_Allocation!$F$2:$H$201,$AB91,$AC91)),"")))</f>
        <v/>
      </c>
    </row>
    <row r="92">
      <c r="A92" s="7">
        <f>IF($Z92="","",$AD92)</f>
        <v/>
      </c>
      <c r="B92" s="7">
        <f>IF($Z92="C",INDEX(Contracts!$D$2:$D$151,$AB92)&amp;"",IF($Z92="A",INDEX(Fixed_Assets!$C$2:$C$201,$AB92)&amp;"",IF($Z92="F",INDEX(Workforce!$B$2:$B$151,MATCH(INDEX(FTE_Allocation!$A$2:$A$201,$AB92),Workforce!$A$2:$A$151,0))&amp;"","")))</f>
        <v/>
      </c>
      <c r="C92" s="7">
        <f>IF($Z92="C",INDEX(Contracts!$E$2:$E$151,$AB92)&amp;"",IF($Z92="A",INDEX(Fixed_Assets!$D$2:$D$201,$AB92)&amp;"",IF($Z92="F",INDEX(FTE_Allocation!$C$2:$C$201,$AB92)&amp;"","")))</f>
        <v/>
      </c>
      <c r="D92" s="7">
        <f>IF($Z92="C",INDEX(Contracts!$B$2:$B$151,$AB92)&amp;"",IF($Z92="A",INDEX(Fixed_Assets!$B$2:$B$201,$AB92)&amp;"",IF($Z92="F",INDEX(FTE_Allocation!$B$2:$B$201,$AB92)&amp;"","")))</f>
        <v/>
      </c>
      <c r="E92" s="7">
        <f>IF($Z92="C",INDEX(Contracts!$P$2:$P$151,$AB92)&amp;"",IF($Z92="A",INDEX(Fixed_Assets!$K$2:$K$201,$AB92)&amp;"",IF($Z92="F",IF(INDEX(FTE_Allocation!$D$2:$D$201,$AB92)="PROJECT",IFERROR(INDEX(Projects!$D:$D,MATCH(INDEX(FTE_Allocation!$E$2:$E$201,$AB92),Projects!$A:$A,0))&amp;"","#PROJECT?"),INDEX(FTE_Allocation!$E$2:$E$201,$AB92)&amp;""),"")))</f>
        <v/>
      </c>
      <c r="F92" s="7">
        <f>IF($Z92="C",INDEX(Contracts!$Q$2:$Q$151,$AB92)&amp;"",IF($Z92="A",INDEX(Fixed_Assets!$L$2:$L$201,$AB92)&amp;"",IF($Z92="F",INDEX(Workforce!$K$2:$K$151,MATCH(INDEX(FTE_Allocation!$A$2:$A$201,$AB92),Workforce!$A$2:$A$151,0))&amp;"","")))</f>
        <v/>
      </c>
      <c r="G92" s="7">
        <f>IF($Z92="C",INDEX(Contracts!$F$2:$F$151,$AB92)&amp;" / "&amp;INDEX(Contracts!$G$2:$G$151,$AB92),IF($Z92="A",INDEX(Fixed_Assets!$E$2:$E$201,$AB92)&amp;"",IF($Z92="F","Personnel "&amp;INDEX(FTE_Allocation!$A$2:$A$201,$AB92)&amp;IF(INDEX(FTE_Allocation!$D$2:$D$201,$AB92)="PROJECT"," ("&amp;INDEX(FTE_Allocation!$E$2:$E$201,$AB92)&amp;")",""),"")))</f>
        <v/>
      </c>
      <c r="H92" s="7">
        <f>IF($Z92="C","CONTRACT",IF($Z92="A","ASSET",IF($Z92="F","WORKFORCE","")))</f>
        <v/>
      </c>
      <c r="I92" s="7">
        <f>IF($Z92="C",INDEX(Contracts!$L$2:$L$151,$AB92)&amp;"",IF($Z92="A",INDEX(Fixed_Assets!$I$2:$I$201,$AB92)&amp;"",IF($Z92="F",INDEX(Workforce!$G$2:$G$151,MATCH(INDEX(FTE_Allocation!$A$2:$A$201,$AB92),Workforce!$A$2:$A$151,0))&amp;"","")))</f>
        <v/>
      </c>
      <c r="J92" s="18">
        <f>IF($Z92="","",IF(AND(DATE($AD92,1,1)&gt;=$AE92,DATE($AD92,1,1)&lt;=$AF92),ROUND($AG92,2),0))</f>
        <v/>
      </c>
      <c r="K92" s="18">
        <f>IF($Z92="","",IF(AND(DATE($AD92,2,1)&gt;=$AE92,DATE($AD92,2,1)&lt;=$AF92),ROUND($AG92,2),0))</f>
        <v/>
      </c>
      <c r="L92" s="18">
        <f>IF($Z92="","",IF(AND(DATE($AD92,3,1)&gt;=$AE92,DATE($AD92,3,1)&lt;=$AF92),ROUND($AG92,2),0))</f>
        <v/>
      </c>
      <c r="M92" s="18">
        <f>IF($Z92="","",IF(AND(DATE($AD92,4,1)&gt;=$AE92,DATE($AD92,4,1)&lt;=$AF92),ROUND($AG92,2),0))</f>
        <v/>
      </c>
      <c r="N92" s="18">
        <f>IF($Z92="","",IF(AND(DATE($AD92,5,1)&gt;=$AE92,DATE($AD92,5,1)&lt;=$AF92),ROUND($AG92,2),0))</f>
        <v/>
      </c>
      <c r="O92" s="18">
        <f>IF($Z92="","",IF(AND(DATE($AD92,6,1)&gt;=$AE92,DATE($AD92,6,1)&lt;=$AF92),ROUND($AG92,2),0))</f>
        <v/>
      </c>
      <c r="P92" s="18">
        <f>IF($Z92="","",IF(AND(DATE($AD92,7,1)&gt;=$AE92,DATE($AD92,7,1)&lt;=$AF92),ROUND($AG92,2),0))</f>
        <v/>
      </c>
      <c r="Q92" s="18">
        <f>IF($Z92="","",IF(AND(DATE($AD92,8,1)&gt;=$AE92,DATE($AD92,8,1)&lt;=$AF92),ROUND($AG92,2),0))</f>
        <v/>
      </c>
      <c r="R92" s="18">
        <f>IF($Z92="","",IF(AND(DATE($AD92,9,1)&gt;=$AE92,DATE($AD92,9,1)&lt;=$AF92),ROUND($AG92,2),0))</f>
        <v/>
      </c>
      <c r="S92" s="18">
        <f>IF($Z92="","",IF(AND(DATE($AD92,10,1)&gt;=$AE92,DATE($AD92,10,1)&lt;=$AF92),ROUND($AG92,2),0))</f>
        <v/>
      </c>
      <c r="T92" s="18">
        <f>IF($Z92="","",IF(AND(DATE($AD92,11,1)&gt;=$AE92,DATE($AD92,11,1)&lt;=$AF92),ROUND($AG92,2),0))</f>
        <v/>
      </c>
      <c r="U92" s="18">
        <f>IF($Z92="","",IF(AND(DATE($AD92,12,1)&gt;=$AE92,DATE($AD92,12,1)&lt;=$AF92),ROUND($AG92,2),0))</f>
        <v/>
      </c>
      <c r="V92" s="7">
        <f>IF($Z92="C","Generated from "&amp;INDEX(Contracts!$A$2:$A$151,$AB92),IF($Z92="A","Generated from "&amp;INDEX(Fixed_Assets!$A$2:$A$201,$AB92),IF($Z92="F","Generated from "&amp;INDEX(FTE_Allocation!$A$2:$A$201,$AB92),"")))</f>
        <v/>
      </c>
      <c r="X92" s="19">
        <f>IF($Z92="","",SUM(J92:U92))</f>
        <v/>
      </c>
      <c r="Y92" s="20">
        <f>ROW()-1</f>
        <v/>
      </c>
      <c r="Z92" s="20">
        <f>IF($Y92&lt;=Settings!$B$4*3,"C",IF($Y92&lt;=(Settings!$B$4+Settings!$B$5)*3,"A",IF($Y92&lt;=(Settings!$B$4+Settings!$B$5+Settings!$B$6)*3,"F","")))</f>
        <v/>
      </c>
      <c r="AA92" s="20">
        <f>IF($Z92="C",$Y92,IF($Z92="A",$Y92-Settings!$B$4*3,IF($Z92="F",$Y92-(Settings!$B$4+Settings!$B$5)*3,"")))</f>
        <v/>
      </c>
      <c r="AB92" s="20">
        <f>IF($Z92="","",INT(($AA92-1)/3)+1)</f>
        <v/>
      </c>
      <c r="AC92" s="20">
        <f>IF($Z92="","",MOD($AA92-1,3)+1)</f>
        <v/>
      </c>
      <c r="AD92" s="20">
        <f>IF($Z92="","",Settings!$B$2+$AC92-1)</f>
        <v/>
      </c>
      <c r="AE92" s="21">
        <f>IF($Z92="C",DATE(YEAR(INDEX(Contracts!$J$2:$J$151,$AB92)),MONTH(INDEX(Contracts!$J$2:$J$151,$AB92)),1),IF($Z92="A",DATE(YEAR(INDEX(Fixed_Assets!$G$2:$G$201,$AB92)),MONTH(INDEX(Fixed_Assets!$G$2:$G$201,$AB92)),1),IF($Z92="F",DATE(YEAR(MAX(N(INDEX(Workforce!$I$2:$I$151,MATCH(INDEX(FTE_Allocation!$A$2:$A$201,$AB92),Workforce!$A$2:$A$151,0))),N(INDEX(FTE_Allocation!$I$2:$I$201,$AB92)))),MONTH(MAX(N(INDEX(Workforce!$I$2:$I$151,MATCH(INDEX(FTE_Allocation!$A$2:$A$201,$AB92),Workforce!$A$2:$A$151,0))),N(INDEX(FTE_Allocation!$I$2:$I$201,$AB92)))),1),"")))</f>
        <v/>
      </c>
      <c r="AF92" s="21">
        <f>IF($Z92="C",IF(INDEX(Contracts!$I$2:$I$151,$AB92)="PREPAID",EDATE(DATE(YEAR(INDEX(Contracts!$J$2:$J$151,$AB92)),MONTH(INDEX(Contracts!$J$2:$J$151,$AB92)),1),IF(INDEX(Contracts!$N$2:$N$151,$AB92)="",12,INDEX(Contracts!$N$2:$N$151,$AB92))-1),IF(INDEX(Contracts!$I$2:$I$151,$AB92)="MONTHLY",IF(INDEX(Contracts!$K$2:$K$151,$AB92)="",2958101,INDEX(Contracts!$K$2:$K$151,$AB92)),0)),IF($Z92="A",EDATE(DATE(YEAR(INDEX(Fixed_Assets!$G$2:$G$201,$AB92)),MONTH(INDEX(Fixed_Assets!$G$2:$G$201,$AB92)),1),INDEX(Fixed_Assets!$J$2:$J$201,$AB92)-1),IF($Z92="F",MIN(IF(INDEX(Workforce!$J$2:$J$151,MATCH(INDEX(FTE_Allocation!$A$2:$A$201,$AB92),Workforce!$A$2:$A$151,0))="",2958101,INDEX(Workforce!$J$2:$J$151,MATCH(INDEX(FTE_Allocation!$A$2:$A$201,$AB92),Workforce!$A$2:$A$151,0))),IF(INDEX(FTE_Allocation!$J$2:$J$201,$AB92)="",2958101,INDEX(FTE_Allocation!$J$2:$J$201,$AB92))),"")))</f>
        <v/>
      </c>
      <c r="AG92" s="19">
        <f>IF($Z92="C",IF(INDEX(Contracts!$I$2:$I$151,$AB92)="PREPAID",INDEX(Contracts!$M$2:$M$151,$AB92)/IF(INDEX(Contracts!$N$2:$N$151,$AB92)="",12,INDEX(Contracts!$N$2:$N$151,$AB92)),IF(INDEX(Contracts!$I$2:$I$151,$AB92)="MONTHLY",INDEX(Contracts!$M$2:$M$151,$AB92),0))*(1-N(INDEX(Contracts!$O$2:$O$151,$AB92))),IF($Z92="A",INDEX(Fixed_Assets!$H$2:$H$201,$AB92)/INDEX(Fixed_Assets!$J$2:$J$201,$AB92),IF($Z92="F",INDEX(Workforce!$F$2:$F$151,MATCH(INDEX(FTE_Allocation!$A$2:$A$201,$AB92),Workforce!$A$2:$A$151,0))*N(INDEX(FTE_Allocation!$F$2:$H$201,$AB92,$AC92)),"")))</f>
        <v/>
      </c>
    </row>
    <row r="93">
      <c r="A93" s="7">
        <f>IF($Z93="","",$AD93)</f>
        <v/>
      </c>
      <c r="B93" s="7">
        <f>IF($Z93="C",INDEX(Contracts!$D$2:$D$151,$AB93)&amp;"",IF($Z93="A",INDEX(Fixed_Assets!$C$2:$C$201,$AB93)&amp;"",IF($Z93="F",INDEX(Workforce!$B$2:$B$151,MATCH(INDEX(FTE_Allocation!$A$2:$A$201,$AB93),Workforce!$A$2:$A$151,0))&amp;"","")))</f>
        <v/>
      </c>
      <c r="C93" s="7">
        <f>IF($Z93="C",INDEX(Contracts!$E$2:$E$151,$AB93)&amp;"",IF($Z93="A",INDEX(Fixed_Assets!$D$2:$D$201,$AB93)&amp;"",IF($Z93="F",INDEX(FTE_Allocation!$C$2:$C$201,$AB93)&amp;"","")))</f>
        <v/>
      </c>
      <c r="D93" s="7">
        <f>IF($Z93="C",INDEX(Contracts!$B$2:$B$151,$AB93)&amp;"",IF($Z93="A",INDEX(Fixed_Assets!$B$2:$B$201,$AB93)&amp;"",IF($Z93="F",INDEX(FTE_Allocation!$B$2:$B$201,$AB93)&amp;"","")))</f>
        <v/>
      </c>
      <c r="E93" s="7">
        <f>IF($Z93="C",INDEX(Contracts!$P$2:$P$151,$AB93)&amp;"",IF($Z93="A",INDEX(Fixed_Assets!$K$2:$K$201,$AB93)&amp;"",IF($Z93="F",IF(INDEX(FTE_Allocation!$D$2:$D$201,$AB93)="PROJECT",IFERROR(INDEX(Projects!$D:$D,MATCH(INDEX(FTE_Allocation!$E$2:$E$201,$AB93),Projects!$A:$A,0))&amp;"","#PROJECT?"),INDEX(FTE_Allocation!$E$2:$E$201,$AB93)&amp;""),"")))</f>
        <v/>
      </c>
      <c r="F93" s="7">
        <f>IF($Z93="C",INDEX(Contracts!$Q$2:$Q$151,$AB93)&amp;"",IF($Z93="A",INDEX(Fixed_Assets!$L$2:$L$201,$AB93)&amp;"",IF($Z93="F",INDEX(Workforce!$K$2:$K$151,MATCH(INDEX(FTE_Allocation!$A$2:$A$201,$AB93),Workforce!$A$2:$A$151,0))&amp;"","")))</f>
        <v/>
      </c>
      <c r="G93" s="7">
        <f>IF($Z93="C",INDEX(Contracts!$F$2:$F$151,$AB93)&amp;" / "&amp;INDEX(Contracts!$G$2:$G$151,$AB93),IF($Z93="A",INDEX(Fixed_Assets!$E$2:$E$201,$AB93)&amp;"",IF($Z93="F","Personnel "&amp;INDEX(FTE_Allocation!$A$2:$A$201,$AB93)&amp;IF(INDEX(FTE_Allocation!$D$2:$D$201,$AB93)="PROJECT"," ("&amp;INDEX(FTE_Allocation!$E$2:$E$201,$AB93)&amp;")",""),"")))</f>
        <v/>
      </c>
      <c r="H93" s="7">
        <f>IF($Z93="C","CONTRACT",IF($Z93="A","ASSET",IF($Z93="F","WORKFORCE","")))</f>
        <v/>
      </c>
      <c r="I93" s="7">
        <f>IF($Z93="C",INDEX(Contracts!$L$2:$L$151,$AB93)&amp;"",IF($Z93="A",INDEX(Fixed_Assets!$I$2:$I$201,$AB93)&amp;"",IF($Z93="F",INDEX(Workforce!$G$2:$G$151,MATCH(INDEX(FTE_Allocation!$A$2:$A$201,$AB93),Workforce!$A$2:$A$151,0))&amp;"","")))</f>
        <v/>
      </c>
      <c r="J93" s="18">
        <f>IF($Z93="","",IF(AND(DATE($AD93,1,1)&gt;=$AE93,DATE($AD93,1,1)&lt;=$AF93),ROUND($AG93,2),0))</f>
        <v/>
      </c>
      <c r="K93" s="18">
        <f>IF($Z93="","",IF(AND(DATE($AD93,2,1)&gt;=$AE93,DATE($AD93,2,1)&lt;=$AF93),ROUND($AG93,2),0))</f>
        <v/>
      </c>
      <c r="L93" s="18">
        <f>IF($Z93="","",IF(AND(DATE($AD93,3,1)&gt;=$AE93,DATE($AD93,3,1)&lt;=$AF93),ROUND($AG93,2),0))</f>
        <v/>
      </c>
      <c r="M93" s="18">
        <f>IF($Z93="","",IF(AND(DATE($AD93,4,1)&gt;=$AE93,DATE($AD93,4,1)&lt;=$AF93),ROUND($AG93,2),0))</f>
        <v/>
      </c>
      <c r="N93" s="18">
        <f>IF($Z93="","",IF(AND(DATE($AD93,5,1)&gt;=$AE93,DATE($AD93,5,1)&lt;=$AF93),ROUND($AG93,2),0))</f>
        <v/>
      </c>
      <c r="O93" s="18">
        <f>IF($Z93="","",IF(AND(DATE($AD93,6,1)&gt;=$AE93,DATE($AD93,6,1)&lt;=$AF93),ROUND($AG93,2),0))</f>
        <v/>
      </c>
      <c r="P93" s="18">
        <f>IF($Z93="","",IF(AND(DATE($AD93,7,1)&gt;=$AE93,DATE($AD93,7,1)&lt;=$AF93),ROUND($AG93,2),0))</f>
        <v/>
      </c>
      <c r="Q93" s="18">
        <f>IF($Z93="","",IF(AND(DATE($AD93,8,1)&gt;=$AE93,DATE($AD93,8,1)&lt;=$AF93),ROUND($AG93,2),0))</f>
        <v/>
      </c>
      <c r="R93" s="18">
        <f>IF($Z93="","",IF(AND(DATE($AD93,9,1)&gt;=$AE93,DATE($AD93,9,1)&lt;=$AF93),ROUND($AG93,2),0))</f>
        <v/>
      </c>
      <c r="S93" s="18">
        <f>IF($Z93="","",IF(AND(DATE($AD93,10,1)&gt;=$AE93,DATE($AD93,10,1)&lt;=$AF93),ROUND($AG93,2),0))</f>
        <v/>
      </c>
      <c r="T93" s="18">
        <f>IF($Z93="","",IF(AND(DATE($AD93,11,1)&gt;=$AE93,DATE($AD93,11,1)&lt;=$AF93),ROUND($AG93,2),0))</f>
        <v/>
      </c>
      <c r="U93" s="18">
        <f>IF($Z93="","",IF(AND(DATE($AD93,12,1)&gt;=$AE93,DATE($AD93,12,1)&lt;=$AF93),ROUND($AG93,2),0))</f>
        <v/>
      </c>
      <c r="V93" s="7">
        <f>IF($Z93="C","Generated from "&amp;INDEX(Contracts!$A$2:$A$151,$AB93),IF($Z93="A","Generated from "&amp;INDEX(Fixed_Assets!$A$2:$A$201,$AB93),IF($Z93="F","Generated from "&amp;INDEX(FTE_Allocation!$A$2:$A$201,$AB93),"")))</f>
        <v/>
      </c>
      <c r="X93" s="19">
        <f>IF($Z93="","",SUM(J93:U93))</f>
        <v/>
      </c>
      <c r="Y93" s="20">
        <f>ROW()-1</f>
        <v/>
      </c>
      <c r="Z93" s="20">
        <f>IF($Y93&lt;=Settings!$B$4*3,"C",IF($Y93&lt;=(Settings!$B$4+Settings!$B$5)*3,"A",IF($Y93&lt;=(Settings!$B$4+Settings!$B$5+Settings!$B$6)*3,"F","")))</f>
        <v/>
      </c>
      <c r="AA93" s="20">
        <f>IF($Z93="C",$Y93,IF($Z93="A",$Y93-Settings!$B$4*3,IF($Z93="F",$Y93-(Settings!$B$4+Settings!$B$5)*3,"")))</f>
        <v/>
      </c>
      <c r="AB93" s="20">
        <f>IF($Z93="","",INT(($AA93-1)/3)+1)</f>
        <v/>
      </c>
      <c r="AC93" s="20">
        <f>IF($Z93="","",MOD($AA93-1,3)+1)</f>
        <v/>
      </c>
      <c r="AD93" s="20">
        <f>IF($Z93="","",Settings!$B$2+$AC93-1)</f>
        <v/>
      </c>
      <c r="AE93" s="21">
        <f>IF($Z93="C",DATE(YEAR(INDEX(Contracts!$J$2:$J$151,$AB93)),MONTH(INDEX(Contracts!$J$2:$J$151,$AB93)),1),IF($Z93="A",DATE(YEAR(INDEX(Fixed_Assets!$G$2:$G$201,$AB93)),MONTH(INDEX(Fixed_Assets!$G$2:$G$201,$AB93)),1),IF($Z93="F",DATE(YEAR(MAX(N(INDEX(Workforce!$I$2:$I$151,MATCH(INDEX(FTE_Allocation!$A$2:$A$201,$AB93),Workforce!$A$2:$A$151,0))),N(INDEX(FTE_Allocation!$I$2:$I$201,$AB93)))),MONTH(MAX(N(INDEX(Workforce!$I$2:$I$151,MATCH(INDEX(FTE_Allocation!$A$2:$A$201,$AB93),Workforce!$A$2:$A$151,0))),N(INDEX(FTE_Allocation!$I$2:$I$201,$AB93)))),1),"")))</f>
        <v/>
      </c>
      <c r="AF93" s="21">
        <f>IF($Z93="C",IF(INDEX(Contracts!$I$2:$I$151,$AB93)="PREPAID",EDATE(DATE(YEAR(INDEX(Contracts!$J$2:$J$151,$AB93)),MONTH(INDEX(Contracts!$J$2:$J$151,$AB93)),1),IF(INDEX(Contracts!$N$2:$N$151,$AB93)="",12,INDEX(Contracts!$N$2:$N$151,$AB93))-1),IF(INDEX(Contracts!$I$2:$I$151,$AB93)="MONTHLY",IF(INDEX(Contracts!$K$2:$K$151,$AB93)="",2958101,INDEX(Contracts!$K$2:$K$151,$AB93)),0)),IF($Z93="A",EDATE(DATE(YEAR(INDEX(Fixed_Assets!$G$2:$G$201,$AB93)),MONTH(INDEX(Fixed_Assets!$G$2:$G$201,$AB93)),1),INDEX(Fixed_Assets!$J$2:$J$201,$AB93)-1),IF($Z93="F",MIN(IF(INDEX(Workforce!$J$2:$J$151,MATCH(INDEX(FTE_Allocation!$A$2:$A$201,$AB93),Workforce!$A$2:$A$151,0))="",2958101,INDEX(Workforce!$J$2:$J$151,MATCH(INDEX(FTE_Allocation!$A$2:$A$201,$AB93),Workforce!$A$2:$A$151,0))),IF(INDEX(FTE_Allocation!$J$2:$J$201,$AB93)="",2958101,INDEX(FTE_Allocation!$J$2:$J$201,$AB93))),"")))</f>
        <v/>
      </c>
      <c r="AG93" s="19">
        <f>IF($Z93="C",IF(INDEX(Contracts!$I$2:$I$151,$AB93)="PREPAID",INDEX(Contracts!$M$2:$M$151,$AB93)/IF(INDEX(Contracts!$N$2:$N$151,$AB93)="",12,INDEX(Contracts!$N$2:$N$151,$AB93)),IF(INDEX(Contracts!$I$2:$I$151,$AB93)="MONTHLY",INDEX(Contracts!$M$2:$M$151,$AB93),0))*(1-N(INDEX(Contracts!$O$2:$O$151,$AB93))),IF($Z93="A",INDEX(Fixed_Assets!$H$2:$H$201,$AB93)/INDEX(Fixed_Assets!$J$2:$J$201,$AB93),IF($Z93="F",INDEX(Workforce!$F$2:$F$151,MATCH(INDEX(FTE_Allocation!$A$2:$A$201,$AB93),Workforce!$A$2:$A$151,0))*N(INDEX(FTE_Allocation!$F$2:$H$201,$AB93,$AC93)),"")))</f>
        <v/>
      </c>
    </row>
    <row r="94">
      <c r="A94" s="7">
        <f>IF($Z94="","",$AD94)</f>
        <v/>
      </c>
      <c r="B94" s="7">
        <f>IF($Z94="C",INDEX(Contracts!$D$2:$D$151,$AB94)&amp;"",IF($Z94="A",INDEX(Fixed_Assets!$C$2:$C$201,$AB94)&amp;"",IF($Z94="F",INDEX(Workforce!$B$2:$B$151,MATCH(INDEX(FTE_Allocation!$A$2:$A$201,$AB94),Workforce!$A$2:$A$151,0))&amp;"","")))</f>
        <v/>
      </c>
      <c r="C94" s="7">
        <f>IF($Z94="C",INDEX(Contracts!$E$2:$E$151,$AB94)&amp;"",IF($Z94="A",INDEX(Fixed_Assets!$D$2:$D$201,$AB94)&amp;"",IF($Z94="F",INDEX(FTE_Allocation!$C$2:$C$201,$AB94)&amp;"","")))</f>
        <v/>
      </c>
      <c r="D94" s="7">
        <f>IF($Z94="C",INDEX(Contracts!$B$2:$B$151,$AB94)&amp;"",IF($Z94="A",INDEX(Fixed_Assets!$B$2:$B$201,$AB94)&amp;"",IF($Z94="F",INDEX(FTE_Allocation!$B$2:$B$201,$AB94)&amp;"","")))</f>
        <v/>
      </c>
      <c r="E94" s="7">
        <f>IF($Z94="C",INDEX(Contracts!$P$2:$P$151,$AB94)&amp;"",IF($Z94="A",INDEX(Fixed_Assets!$K$2:$K$201,$AB94)&amp;"",IF($Z94="F",IF(INDEX(FTE_Allocation!$D$2:$D$201,$AB94)="PROJECT",IFERROR(INDEX(Projects!$D:$D,MATCH(INDEX(FTE_Allocation!$E$2:$E$201,$AB94),Projects!$A:$A,0))&amp;"","#PROJECT?"),INDEX(FTE_Allocation!$E$2:$E$201,$AB94)&amp;""),"")))</f>
        <v/>
      </c>
      <c r="F94" s="7">
        <f>IF($Z94="C",INDEX(Contracts!$Q$2:$Q$151,$AB94)&amp;"",IF($Z94="A",INDEX(Fixed_Assets!$L$2:$L$201,$AB94)&amp;"",IF($Z94="F",INDEX(Workforce!$K$2:$K$151,MATCH(INDEX(FTE_Allocation!$A$2:$A$201,$AB94),Workforce!$A$2:$A$151,0))&amp;"","")))</f>
        <v/>
      </c>
      <c r="G94" s="7">
        <f>IF($Z94="C",INDEX(Contracts!$F$2:$F$151,$AB94)&amp;" / "&amp;INDEX(Contracts!$G$2:$G$151,$AB94),IF($Z94="A",INDEX(Fixed_Assets!$E$2:$E$201,$AB94)&amp;"",IF($Z94="F","Personnel "&amp;INDEX(FTE_Allocation!$A$2:$A$201,$AB94)&amp;IF(INDEX(FTE_Allocation!$D$2:$D$201,$AB94)="PROJECT"," ("&amp;INDEX(FTE_Allocation!$E$2:$E$201,$AB94)&amp;")",""),"")))</f>
        <v/>
      </c>
      <c r="H94" s="7">
        <f>IF($Z94="C","CONTRACT",IF($Z94="A","ASSET",IF($Z94="F","WORKFORCE","")))</f>
        <v/>
      </c>
      <c r="I94" s="7">
        <f>IF($Z94="C",INDEX(Contracts!$L$2:$L$151,$AB94)&amp;"",IF($Z94="A",INDEX(Fixed_Assets!$I$2:$I$201,$AB94)&amp;"",IF($Z94="F",INDEX(Workforce!$G$2:$G$151,MATCH(INDEX(FTE_Allocation!$A$2:$A$201,$AB94),Workforce!$A$2:$A$151,0))&amp;"","")))</f>
        <v/>
      </c>
      <c r="J94" s="18">
        <f>IF($Z94="","",IF(AND(DATE($AD94,1,1)&gt;=$AE94,DATE($AD94,1,1)&lt;=$AF94),ROUND($AG94,2),0))</f>
        <v/>
      </c>
      <c r="K94" s="18">
        <f>IF($Z94="","",IF(AND(DATE($AD94,2,1)&gt;=$AE94,DATE($AD94,2,1)&lt;=$AF94),ROUND($AG94,2),0))</f>
        <v/>
      </c>
      <c r="L94" s="18">
        <f>IF($Z94="","",IF(AND(DATE($AD94,3,1)&gt;=$AE94,DATE($AD94,3,1)&lt;=$AF94),ROUND($AG94,2),0))</f>
        <v/>
      </c>
      <c r="M94" s="18">
        <f>IF($Z94="","",IF(AND(DATE($AD94,4,1)&gt;=$AE94,DATE($AD94,4,1)&lt;=$AF94),ROUND($AG94,2),0))</f>
        <v/>
      </c>
      <c r="N94" s="18">
        <f>IF($Z94="","",IF(AND(DATE($AD94,5,1)&gt;=$AE94,DATE($AD94,5,1)&lt;=$AF94),ROUND($AG94,2),0))</f>
        <v/>
      </c>
      <c r="O94" s="18">
        <f>IF($Z94="","",IF(AND(DATE($AD94,6,1)&gt;=$AE94,DATE($AD94,6,1)&lt;=$AF94),ROUND($AG94,2),0))</f>
        <v/>
      </c>
      <c r="P94" s="18">
        <f>IF($Z94="","",IF(AND(DATE($AD94,7,1)&gt;=$AE94,DATE($AD94,7,1)&lt;=$AF94),ROUND($AG94,2),0))</f>
        <v/>
      </c>
      <c r="Q94" s="18">
        <f>IF($Z94="","",IF(AND(DATE($AD94,8,1)&gt;=$AE94,DATE($AD94,8,1)&lt;=$AF94),ROUND($AG94,2),0))</f>
        <v/>
      </c>
      <c r="R94" s="18">
        <f>IF($Z94="","",IF(AND(DATE($AD94,9,1)&gt;=$AE94,DATE($AD94,9,1)&lt;=$AF94),ROUND($AG94,2),0))</f>
        <v/>
      </c>
      <c r="S94" s="18">
        <f>IF($Z94="","",IF(AND(DATE($AD94,10,1)&gt;=$AE94,DATE($AD94,10,1)&lt;=$AF94),ROUND($AG94,2),0))</f>
        <v/>
      </c>
      <c r="T94" s="18">
        <f>IF($Z94="","",IF(AND(DATE($AD94,11,1)&gt;=$AE94,DATE($AD94,11,1)&lt;=$AF94),ROUND($AG94,2),0))</f>
        <v/>
      </c>
      <c r="U94" s="18">
        <f>IF($Z94="","",IF(AND(DATE($AD94,12,1)&gt;=$AE94,DATE($AD94,12,1)&lt;=$AF94),ROUND($AG94,2),0))</f>
        <v/>
      </c>
      <c r="V94" s="7">
        <f>IF($Z94="C","Generated from "&amp;INDEX(Contracts!$A$2:$A$151,$AB94),IF($Z94="A","Generated from "&amp;INDEX(Fixed_Assets!$A$2:$A$201,$AB94),IF($Z94="F","Generated from "&amp;INDEX(FTE_Allocation!$A$2:$A$201,$AB94),"")))</f>
        <v/>
      </c>
      <c r="X94" s="19">
        <f>IF($Z94="","",SUM(J94:U94))</f>
        <v/>
      </c>
      <c r="Y94" s="20">
        <f>ROW()-1</f>
        <v/>
      </c>
      <c r="Z94" s="20">
        <f>IF($Y94&lt;=Settings!$B$4*3,"C",IF($Y94&lt;=(Settings!$B$4+Settings!$B$5)*3,"A",IF($Y94&lt;=(Settings!$B$4+Settings!$B$5+Settings!$B$6)*3,"F","")))</f>
        <v/>
      </c>
      <c r="AA94" s="20">
        <f>IF($Z94="C",$Y94,IF($Z94="A",$Y94-Settings!$B$4*3,IF($Z94="F",$Y94-(Settings!$B$4+Settings!$B$5)*3,"")))</f>
        <v/>
      </c>
      <c r="AB94" s="20">
        <f>IF($Z94="","",INT(($AA94-1)/3)+1)</f>
        <v/>
      </c>
      <c r="AC94" s="20">
        <f>IF($Z94="","",MOD($AA94-1,3)+1)</f>
        <v/>
      </c>
      <c r="AD94" s="20">
        <f>IF($Z94="","",Settings!$B$2+$AC94-1)</f>
        <v/>
      </c>
      <c r="AE94" s="21">
        <f>IF($Z94="C",DATE(YEAR(INDEX(Contracts!$J$2:$J$151,$AB94)),MONTH(INDEX(Contracts!$J$2:$J$151,$AB94)),1),IF($Z94="A",DATE(YEAR(INDEX(Fixed_Assets!$G$2:$G$201,$AB94)),MONTH(INDEX(Fixed_Assets!$G$2:$G$201,$AB94)),1),IF($Z94="F",DATE(YEAR(MAX(N(INDEX(Workforce!$I$2:$I$151,MATCH(INDEX(FTE_Allocation!$A$2:$A$201,$AB94),Workforce!$A$2:$A$151,0))),N(INDEX(FTE_Allocation!$I$2:$I$201,$AB94)))),MONTH(MAX(N(INDEX(Workforce!$I$2:$I$151,MATCH(INDEX(FTE_Allocation!$A$2:$A$201,$AB94),Workforce!$A$2:$A$151,0))),N(INDEX(FTE_Allocation!$I$2:$I$201,$AB94)))),1),"")))</f>
        <v/>
      </c>
      <c r="AF94" s="21">
        <f>IF($Z94="C",IF(INDEX(Contracts!$I$2:$I$151,$AB94)="PREPAID",EDATE(DATE(YEAR(INDEX(Contracts!$J$2:$J$151,$AB94)),MONTH(INDEX(Contracts!$J$2:$J$151,$AB94)),1),IF(INDEX(Contracts!$N$2:$N$151,$AB94)="",12,INDEX(Contracts!$N$2:$N$151,$AB94))-1),IF(INDEX(Contracts!$I$2:$I$151,$AB94)="MONTHLY",IF(INDEX(Contracts!$K$2:$K$151,$AB94)="",2958101,INDEX(Contracts!$K$2:$K$151,$AB94)),0)),IF($Z94="A",EDATE(DATE(YEAR(INDEX(Fixed_Assets!$G$2:$G$201,$AB94)),MONTH(INDEX(Fixed_Assets!$G$2:$G$201,$AB94)),1),INDEX(Fixed_Assets!$J$2:$J$201,$AB94)-1),IF($Z94="F",MIN(IF(INDEX(Workforce!$J$2:$J$151,MATCH(INDEX(FTE_Allocation!$A$2:$A$201,$AB94),Workforce!$A$2:$A$151,0))="",2958101,INDEX(Workforce!$J$2:$J$151,MATCH(INDEX(FTE_Allocation!$A$2:$A$201,$AB94),Workforce!$A$2:$A$151,0))),IF(INDEX(FTE_Allocation!$J$2:$J$201,$AB94)="",2958101,INDEX(FTE_Allocation!$J$2:$J$201,$AB94))),"")))</f>
        <v/>
      </c>
      <c r="AG94" s="19">
        <f>IF($Z94="C",IF(INDEX(Contracts!$I$2:$I$151,$AB94)="PREPAID",INDEX(Contracts!$M$2:$M$151,$AB94)/IF(INDEX(Contracts!$N$2:$N$151,$AB94)="",12,INDEX(Contracts!$N$2:$N$151,$AB94)),IF(INDEX(Contracts!$I$2:$I$151,$AB94)="MONTHLY",INDEX(Contracts!$M$2:$M$151,$AB94),0))*(1-N(INDEX(Contracts!$O$2:$O$151,$AB94))),IF($Z94="A",INDEX(Fixed_Assets!$H$2:$H$201,$AB94)/INDEX(Fixed_Assets!$J$2:$J$201,$AB94),IF($Z94="F",INDEX(Workforce!$F$2:$F$151,MATCH(INDEX(FTE_Allocation!$A$2:$A$201,$AB94),Workforce!$A$2:$A$151,0))*N(INDEX(FTE_Allocation!$F$2:$H$201,$AB94,$AC94)),"")))</f>
        <v/>
      </c>
    </row>
    <row r="95">
      <c r="A95" s="7">
        <f>IF($Z95="","",$AD95)</f>
        <v/>
      </c>
      <c r="B95" s="7">
        <f>IF($Z95="C",INDEX(Contracts!$D$2:$D$151,$AB95)&amp;"",IF($Z95="A",INDEX(Fixed_Assets!$C$2:$C$201,$AB95)&amp;"",IF($Z95="F",INDEX(Workforce!$B$2:$B$151,MATCH(INDEX(FTE_Allocation!$A$2:$A$201,$AB95),Workforce!$A$2:$A$151,0))&amp;"","")))</f>
        <v/>
      </c>
      <c r="C95" s="7">
        <f>IF($Z95="C",INDEX(Contracts!$E$2:$E$151,$AB95)&amp;"",IF($Z95="A",INDEX(Fixed_Assets!$D$2:$D$201,$AB95)&amp;"",IF($Z95="F",INDEX(FTE_Allocation!$C$2:$C$201,$AB95)&amp;"","")))</f>
        <v/>
      </c>
      <c r="D95" s="7">
        <f>IF($Z95="C",INDEX(Contracts!$B$2:$B$151,$AB95)&amp;"",IF($Z95="A",INDEX(Fixed_Assets!$B$2:$B$201,$AB95)&amp;"",IF($Z95="F",INDEX(FTE_Allocation!$B$2:$B$201,$AB95)&amp;"","")))</f>
        <v/>
      </c>
      <c r="E95" s="7">
        <f>IF($Z95="C",INDEX(Contracts!$P$2:$P$151,$AB95)&amp;"",IF($Z95="A",INDEX(Fixed_Assets!$K$2:$K$201,$AB95)&amp;"",IF($Z95="F",IF(INDEX(FTE_Allocation!$D$2:$D$201,$AB95)="PROJECT",IFERROR(INDEX(Projects!$D:$D,MATCH(INDEX(FTE_Allocation!$E$2:$E$201,$AB95),Projects!$A:$A,0))&amp;"","#PROJECT?"),INDEX(FTE_Allocation!$E$2:$E$201,$AB95)&amp;""),"")))</f>
        <v/>
      </c>
      <c r="F95" s="7">
        <f>IF($Z95="C",INDEX(Contracts!$Q$2:$Q$151,$AB95)&amp;"",IF($Z95="A",INDEX(Fixed_Assets!$L$2:$L$201,$AB95)&amp;"",IF($Z95="F",INDEX(Workforce!$K$2:$K$151,MATCH(INDEX(FTE_Allocation!$A$2:$A$201,$AB95),Workforce!$A$2:$A$151,0))&amp;"","")))</f>
        <v/>
      </c>
      <c r="G95" s="7">
        <f>IF($Z95="C",INDEX(Contracts!$F$2:$F$151,$AB95)&amp;" / "&amp;INDEX(Contracts!$G$2:$G$151,$AB95),IF($Z95="A",INDEX(Fixed_Assets!$E$2:$E$201,$AB95)&amp;"",IF($Z95="F","Personnel "&amp;INDEX(FTE_Allocation!$A$2:$A$201,$AB95)&amp;IF(INDEX(FTE_Allocation!$D$2:$D$201,$AB95)="PROJECT"," ("&amp;INDEX(FTE_Allocation!$E$2:$E$201,$AB95)&amp;")",""),"")))</f>
        <v/>
      </c>
      <c r="H95" s="7">
        <f>IF($Z95="C","CONTRACT",IF($Z95="A","ASSET",IF($Z95="F","WORKFORCE","")))</f>
        <v/>
      </c>
      <c r="I95" s="7">
        <f>IF($Z95="C",INDEX(Contracts!$L$2:$L$151,$AB95)&amp;"",IF($Z95="A",INDEX(Fixed_Assets!$I$2:$I$201,$AB95)&amp;"",IF($Z95="F",INDEX(Workforce!$G$2:$G$151,MATCH(INDEX(FTE_Allocation!$A$2:$A$201,$AB95),Workforce!$A$2:$A$151,0))&amp;"","")))</f>
        <v/>
      </c>
      <c r="J95" s="18">
        <f>IF($Z95="","",IF(AND(DATE($AD95,1,1)&gt;=$AE95,DATE($AD95,1,1)&lt;=$AF95),ROUND($AG95,2),0))</f>
        <v/>
      </c>
      <c r="K95" s="18">
        <f>IF($Z95="","",IF(AND(DATE($AD95,2,1)&gt;=$AE95,DATE($AD95,2,1)&lt;=$AF95),ROUND($AG95,2),0))</f>
        <v/>
      </c>
      <c r="L95" s="18">
        <f>IF($Z95="","",IF(AND(DATE($AD95,3,1)&gt;=$AE95,DATE($AD95,3,1)&lt;=$AF95),ROUND($AG95,2),0))</f>
        <v/>
      </c>
      <c r="M95" s="18">
        <f>IF($Z95="","",IF(AND(DATE($AD95,4,1)&gt;=$AE95,DATE($AD95,4,1)&lt;=$AF95),ROUND($AG95,2),0))</f>
        <v/>
      </c>
      <c r="N95" s="18">
        <f>IF($Z95="","",IF(AND(DATE($AD95,5,1)&gt;=$AE95,DATE($AD95,5,1)&lt;=$AF95),ROUND($AG95,2),0))</f>
        <v/>
      </c>
      <c r="O95" s="18">
        <f>IF($Z95="","",IF(AND(DATE($AD95,6,1)&gt;=$AE95,DATE($AD95,6,1)&lt;=$AF95),ROUND($AG95,2),0))</f>
        <v/>
      </c>
      <c r="P95" s="18">
        <f>IF($Z95="","",IF(AND(DATE($AD95,7,1)&gt;=$AE95,DATE($AD95,7,1)&lt;=$AF95),ROUND($AG95,2),0))</f>
        <v/>
      </c>
      <c r="Q95" s="18">
        <f>IF($Z95="","",IF(AND(DATE($AD95,8,1)&gt;=$AE95,DATE($AD95,8,1)&lt;=$AF95),ROUND($AG95,2),0))</f>
        <v/>
      </c>
      <c r="R95" s="18">
        <f>IF($Z95="","",IF(AND(DATE($AD95,9,1)&gt;=$AE95,DATE($AD95,9,1)&lt;=$AF95),ROUND($AG95,2),0))</f>
        <v/>
      </c>
      <c r="S95" s="18">
        <f>IF($Z95="","",IF(AND(DATE($AD95,10,1)&gt;=$AE95,DATE($AD95,10,1)&lt;=$AF95),ROUND($AG95,2),0))</f>
        <v/>
      </c>
      <c r="T95" s="18">
        <f>IF($Z95="","",IF(AND(DATE($AD95,11,1)&gt;=$AE95,DATE($AD95,11,1)&lt;=$AF95),ROUND($AG95,2),0))</f>
        <v/>
      </c>
      <c r="U95" s="18">
        <f>IF($Z95="","",IF(AND(DATE($AD95,12,1)&gt;=$AE95,DATE($AD95,12,1)&lt;=$AF95),ROUND($AG95,2),0))</f>
        <v/>
      </c>
      <c r="V95" s="7">
        <f>IF($Z95="C","Generated from "&amp;INDEX(Contracts!$A$2:$A$151,$AB95),IF($Z95="A","Generated from "&amp;INDEX(Fixed_Assets!$A$2:$A$201,$AB95),IF($Z95="F","Generated from "&amp;INDEX(FTE_Allocation!$A$2:$A$201,$AB95),"")))</f>
        <v/>
      </c>
      <c r="X95" s="19">
        <f>IF($Z95="","",SUM(J95:U95))</f>
        <v/>
      </c>
      <c r="Y95" s="20">
        <f>ROW()-1</f>
        <v/>
      </c>
      <c r="Z95" s="20">
        <f>IF($Y95&lt;=Settings!$B$4*3,"C",IF($Y95&lt;=(Settings!$B$4+Settings!$B$5)*3,"A",IF($Y95&lt;=(Settings!$B$4+Settings!$B$5+Settings!$B$6)*3,"F","")))</f>
        <v/>
      </c>
      <c r="AA95" s="20">
        <f>IF($Z95="C",$Y95,IF($Z95="A",$Y95-Settings!$B$4*3,IF($Z95="F",$Y95-(Settings!$B$4+Settings!$B$5)*3,"")))</f>
        <v/>
      </c>
      <c r="AB95" s="20">
        <f>IF($Z95="","",INT(($AA95-1)/3)+1)</f>
        <v/>
      </c>
      <c r="AC95" s="20">
        <f>IF($Z95="","",MOD($AA95-1,3)+1)</f>
        <v/>
      </c>
      <c r="AD95" s="20">
        <f>IF($Z95="","",Settings!$B$2+$AC95-1)</f>
        <v/>
      </c>
      <c r="AE95" s="21">
        <f>IF($Z95="C",DATE(YEAR(INDEX(Contracts!$J$2:$J$151,$AB95)),MONTH(INDEX(Contracts!$J$2:$J$151,$AB95)),1),IF($Z95="A",DATE(YEAR(INDEX(Fixed_Assets!$G$2:$G$201,$AB95)),MONTH(INDEX(Fixed_Assets!$G$2:$G$201,$AB95)),1),IF($Z95="F",DATE(YEAR(MAX(N(INDEX(Workforce!$I$2:$I$151,MATCH(INDEX(FTE_Allocation!$A$2:$A$201,$AB95),Workforce!$A$2:$A$151,0))),N(INDEX(FTE_Allocation!$I$2:$I$201,$AB95)))),MONTH(MAX(N(INDEX(Workforce!$I$2:$I$151,MATCH(INDEX(FTE_Allocation!$A$2:$A$201,$AB95),Workforce!$A$2:$A$151,0))),N(INDEX(FTE_Allocation!$I$2:$I$201,$AB95)))),1),"")))</f>
        <v/>
      </c>
      <c r="AF95" s="21">
        <f>IF($Z95="C",IF(INDEX(Contracts!$I$2:$I$151,$AB95)="PREPAID",EDATE(DATE(YEAR(INDEX(Contracts!$J$2:$J$151,$AB95)),MONTH(INDEX(Contracts!$J$2:$J$151,$AB95)),1),IF(INDEX(Contracts!$N$2:$N$151,$AB95)="",12,INDEX(Contracts!$N$2:$N$151,$AB95))-1),IF(INDEX(Contracts!$I$2:$I$151,$AB95)="MONTHLY",IF(INDEX(Contracts!$K$2:$K$151,$AB95)="",2958101,INDEX(Contracts!$K$2:$K$151,$AB95)),0)),IF($Z95="A",EDATE(DATE(YEAR(INDEX(Fixed_Assets!$G$2:$G$201,$AB95)),MONTH(INDEX(Fixed_Assets!$G$2:$G$201,$AB95)),1),INDEX(Fixed_Assets!$J$2:$J$201,$AB95)-1),IF($Z95="F",MIN(IF(INDEX(Workforce!$J$2:$J$151,MATCH(INDEX(FTE_Allocation!$A$2:$A$201,$AB95),Workforce!$A$2:$A$151,0))="",2958101,INDEX(Workforce!$J$2:$J$151,MATCH(INDEX(FTE_Allocation!$A$2:$A$201,$AB95),Workforce!$A$2:$A$151,0))),IF(INDEX(FTE_Allocation!$J$2:$J$201,$AB95)="",2958101,INDEX(FTE_Allocation!$J$2:$J$201,$AB95))),"")))</f>
        <v/>
      </c>
      <c r="AG95" s="19">
        <f>IF($Z95="C",IF(INDEX(Contracts!$I$2:$I$151,$AB95)="PREPAID",INDEX(Contracts!$M$2:$M$151,$AB95)/IF(INDEX(Contracts!$N$2:$N$151,$AB95)="",12,INDEX(Contracts!$N$2:$N$151,$AB95)),IF(INDEX(Contracts!$I$2:$I$151,$AB95)="MONTHLY",INDEX(Contracts!$M$2:$M$151,$AB95),0))*(1-N(INDEX(Contracts!$O$2:$O$151,$AB95))),IF($Z95="A",INDEX(Fixed_Assets!$H$2:$H$201,$AB95)/INDEX(Fixed_Assets!$J$2:$J$201,$AB95),IF($Z95="F",INDEX(Workforce!$F$2:$F$151,MATCH(INDEX(FTE_Allocation!$A$2:$A$201,$AB95),Workforce!$A$2:$A$151,0))*N(INDEX(FTE_Allocation!$F$2:$H$201,$AB95,$AC95)),"")))</f>
        <v/>
      </c>
    </row>
    <row r="96">
      <c r="A96" s="7">
        <f>IF($Z96="","",$AD96)</f>
        <v/>
      </c>
      <c r="B96" s="7">
        <f>IF($Z96="C",INDEX(Contracts!$D$2:$D$151,$AB96)&amp;"",IF($Z96="A",INDEX(Fixed_Assets!$C$2:$C$201,$AB96)&amp;"",IF($Z96="F",INDEX(Workforce!$B$2:$B$151,MATCH(INDEX(FTE_Allocation!$A$2:$A$201,$AB96),Workforce!$A$2:$A$151,0))&amp;"","")))</f>
        <v/>
      </c>
      <c r="C96" s="7">
        <f>IF($Z96="C",INDEX(Contracts!$E$2:$E$151,$AB96)&amp;"",IF($Z96="A",INDEX(Fixed_Assets!$D$2:$D$201,$AB96)&amp;"",IF($Z96="F",INDEX(FTE_Allocation!$C$2:$C$201,$AB96)&amp;"","")))</f>
        <v/>
      </c>
      <c r="D96" s="7">
        <f>IF($Z96="C",INDEX(Contracts!$B$2:$B$151,$AB96)&amp;"",IF($Z96="A",INDEX(Fixed_Assets!$B$2:$B$201,$AB96)&amp;"",IF($Z96="F",INDEX(FTE_Allocation!$B$2:$B$201,$AB96)&amp;"","")))</f>
        <v/>
      </c>
      <c r="E96" s="7">
        <f>IF($Z96="C",INDEX(Contracts!$P$2:$P$151,$AB96)&amp;"",IF($Z96="A",INDEX(Fixed_Assets!$K$2:$K$201,$AB96)&amp;"",IF($Z96="F",IF(INDEX(FTE_Allocation!$D$2:$D$201,$AB96)="PROJECT",IFERROR(INDEX(Projects!$D:$D,MATCH(INDEX(FTE_Allocation!$E$2:$E$201,$AB96),Projects!$A:$A,0))&amp;"","#PROJECT?"),INDEX(FTE_Allocation!$E$2:$E$201,$AB96)&amp;""),"")))</f>
        <v/>
      </c>
      <c r="F96" s="7">
        <f>IF($Z96="C",INDEX(Contracts!$Q$2:$Q$151,$AB96)&amp;"",IF($Z96="A",INDEX(Fixed_Assets!$L$2:$L$201,$AB96)&amp;"",IF($Z96="F",INDEX(Workforce!$K$2:$K$151,MATCH(INDEX(FTE_Allocation!$A$2:$A$201,$AB96),Workforce!$A$2:$A$151,0))&amp;"","")))</f>
        <v/>
      </c>
      <c r="G96" s="7">
        <f>IF($Z96="C",INDEX(Contracts!$F$2:$F$151,$AB96)&amp;" / "&amp;INDEX(Contracts!$G$2:$G$151,$AB96),IF($Z96="A",INDEX(Fixed_Assets!$E$2:$E$201,$AB96)&amp;"",IF($Z96="F","Personnel "&amp;INDEX(FTE_Allocation!$A$2:$A$201,$AB96)&amp;IF(INDEX(FTE_Allocation!$D$2:$D$201,$AB96)="PROJECT"," ("&amp;INDEX(FTE_Allocation!$E$2:$E$201,$AB96)&amp;")",""),"")))</f>
        <v/>
      </c>
      <c r="H96" s="7">
        <f>IF($Z96="C","CONTRACT",IF($Z96="A","ASSET",IF($Z96="F","WORKFORCE","")))</f>
        <v/>
      </c>
      <c r="I96" s="7">
        <f>IF($Z96="C",INDEX(Contracts!$L$2:$L$151,$AB96)&amp;"",IF($Z96="A",INDEX(Fixed_Assets!$I$2:$I$201,$AB96)&amp;"",IF($Z96="F",INDEX(Workforce!$G$2:$G$151,MATCH(INDEX(FTE_Allocation!$A$2:$A$201,$AB96),Workforce!$A$2:$A$151,0))&amp;"","")))</f>
        <v/>
      </c>
      <c r="J96" s="18">
        <f>IF($Z96="","",IF(AND(DATE($AD96,1,1)&gt;=$AE96,DATE($AD96,1,1)&lt;=$AF96),ROUND($AG96,2),0))</f>
        <v/>
      </c>
      <c r="K96" s="18">
        <f>IF($Z96="","",IF(AND(DATE($AD96,2,1)&gt;=$AE96,DATE($AD96,2,1)&lt;=$AF96),ROUND($AG96,2),0))</f>
        <v/>
      </c>
      <c r="L96" s="18">
        <f>IF($Z96="","",IF(AND(DATE($AD96,3,1)&gt;=$AE96,DATE($AD96,3,1)&lt;=$AF96),ROUND($AG96,2),0))</f>
        <v/>
      </c>
      <c r="M96" s="18">
        <f>IF($Z96="","",IF(AND(DATE($AD96,4,1)&gt;=$AE96,DATE($AD96,4,1)&lt;=$AF96),ROUND($AG96,2),0))</f>
        <v/>
      </c>
      <c r="N96" s="18">
        <f>IF($Z96="","",IF(AND(DATE($AD96,5,1)&gt;=$AE96,DATE($AD96,5,1)&lt;=$AF96),ROUND($AG96,2),0))</f>
        <v/>
      </c>
      <c r="O96" s="18">
        <f>IF($Z96="","",IF(AND(DATE($AD96,6,1)&gt;=$AE96,DATE($AD96,6,1)&lt;=$AF96),ROUND($AG96,2),0))</f>
        <v/>
      </c>
      <c r="P96" s="18">
        <f>IF($Z96="","",IF(AND(DATE($AD96,7,1)&gt;=$AE96,DATE($AD96,7,1)&lt;=$AF96),ROUND($AG96,2),0))</f>
        <v/>
      </c>
      <c r="Q96" s="18">
        <f>IF($Z96="","",IF(AND(DATE($AD96,8,1)&gt;=$AE96,DATE($AD96,8,1)&lt;=$AF96),ROUND($AG96,2),0))</f>
        <v/>
      </c>
      <c r="R96" s="18">
        <f>IF($Z96="","",IF(AND(DATE($AD96,9,1)&gt;=$AE96,DATE($AD96,9,1)&lt;=$AF96),ROUND($AG96,2),0))</f>
        <v/>
      </c>
      <c r="S96" s="18">
        <f>IF($Z96="","",IF(AND(DATE($AD96,10,1)&gt;=$AE96,DATE($AD96,10,1)&lt;=$AF96),ROUND($AG96,2),0))</f>
        <v/>
      </c>
      <c r="T96" s="18">
        <f>IF($Z96="","",IF(AND(DATE($AD96,11,1)&gt;=$AE96,DATE($AD96,11,1)&lt;=$AF96),ROUND($AG96,2),0))</f>
        <v/>
      </c>
      <c r="U96" s="18">
        <f>IF($Z96="","",IF(AND(DATE($AD96,12,1)&gt;=$AE96,DATE($AD96,12,1)&lt;=$AF96),ROUND($AG96,2),0))</f>
        <v/>
      </c>
      <c r="V96" s="7">
        <f>IF($Z96="C","Generated from "&amp;INDEX(Contracts!$A$2:$A$151,$AB96),IF($Z96="A","Generated from "&amp;INDEX(Fixed_Assets!$A$2:$A$201,$AB96),IF($Z96="F","Generated from "&amp;INDEX(FTE_Allocation!$A$2:$A$201,$AB96),"")))</f>
        <v/>
      </c>
      <c r="X96" s="19">
        <f>IF($Z96="","",SUM(J96:U96))</f>
        <v/>
      </c>
      <c r="Y96" s="20">
        <f>ROW()-1</f>
        <v/>
      </c>
      <c r="Z96" s="20">
        <f>IF($Y96&lt;=Settings!$B$4*3,"C",IF($Y96&lt;=(Settings!$B$4+Settings!$B$5)*3,"A",IF($Y96&lt;=(Settings!$B$4+Settings!$B$5+Settings!$B$6)*3,"F","")))</f>
        <v/>
      </c>
      <c r="AA96" s="20">
        <f>IF($Z96="C",$Y96,IF($Z96="A",$Y96-Settings!$B$4*3,IF($Z96="F",$Y96-(Settings!$B$4+Settings!$B$5)*3,"")))</f>
        <v/>
      </c>
      <c r="AB96" s="20">
        <f>IF($Z96="","",INT(($AA96-1)/3)+1)</f>
        <v/>
      </c>
      <c r="AC96" s="20">
        <f>IF($Z96="","",MOD($AA96-1,3)+1)</f>
        <v/>
      </c>
      <c r="AD96" s="20">
        <f>IF($Z96="","",Settings!$B$2+$AC96-1)</f>
        <v/>
      </c>
      <c r="AE96" s="21">
        <f>IF($Z96="C",DATE(YEAR(INDEX(Contracts!$J$2:$J$151,$AB96)),MONTH(INDEX(Contracts!$J$2:$J$151,$AB96)),1),IF($Z96="A",DATE(YEAR(INDEX(Fixed_Assets!$G$2:$G$201,$AB96)),MONTH(INDEX(Fixed_Assets!$G$2:$G$201,$AB96)),1),IF($Z96="F",DATE(YEAR(MAX(N(INDEX(Workforce!$I$2:$I$151,MATCH(INDEX(FTE_Allocation!$A$2:$A$201,$AB96),Workforce!$A$2:$A$151,0))),N(INDEX(FTE_Allocation!$I$2:$I$201,$AB96)))),MONTH(MAX(N(INDEX(Workforce!$I$2:$I$151,MATCH(INDEX(FTE_Allocation!$A$2:$A$201,$AB96),Workforce!$A$2:$A$151,0))),N(INDEX(FTE_Allocation!$I$2:$I$201,$AB96)))),1),"")))</f>
        <v/>
      </c>
      <c r="AF96" s="21">
        <f>IF($Z96="C",IF(INDEX(Contracts!$I$2:$I$151,$AB96)="PREPAID",EDATE(DATE(YEAR(INDEX(Contracts!$J$2:$J$151,$AB96)),MONTH(INDEX(Contracts!$J$2:$J$151,$AB96)),1),IF(INDEX(Contracts!$N$2:$N$151,$AB96)="",12,INDEX(Contracts!$N$2:$N$151,$AB96))-1),IF(INDEX(Contracts!$I$2:$I$151,$AB96)="MONTHLY",IF(INDEX(Contracts!$K$2:$K$151,$AB96)="",2958101,INDEX(Contracts!$K$2:$K$151,$AB96)),0)),IF($Z96="A",EDATE(DATE(YEAR(INDEX(Fixed_Assets!$G$2:$G$201,$AB96)),MONTH(INDEX(Fixed_Assets!$G$2:$G$201,$AB96)),1),INDEX(Fixed_Assets!$J$2:$J$201,$AB96)-1),IF($Z96="F",MIN(IF(INDEX(Workforce!$J$2:$J$151,MATCH(INDEX(FTE_Allocation!$A$2:$A$201,$AB96),Workforce!$A$2:$A$151,0))="",2958101,INDEX(Workforce!$J$2:$J$151,MATCH(INDEX(FTE_Allocation!$A$2:$A$201,$AB96),Workforce!$A$2:$A$151,0))),IF(INDEX(FTE_Allocation!$J$2:$J$201,$AB96)="",2958101,INDEX(FTE_Allocation!$J$2:$J$201,$AB96))),"")))</f>
        <v/>
      </c>
      <c r="AG96" s="19">
        <f>IF($Z96="C",IF(INDEX(Contracts!$I$2:$I$151,$AB96)="PREPAID",INDEX(Contracts!$M$2:$M$151,$AB96)/IF(INDEX(Contracts!$N$2:$N$151,$AB96)="",12,INDEX(Contracts!$N$2:$N$151,$AB96)),IF(INDEX(Contracts!$I$2:$I$151,$AB96)="MONTHLY",INDEX(Contracts!$M$2:$M$151,$AB96),0))*(1-N(INDEX(Contracts!$O$2:$O$151,$AB96))),IF($Z96="A",INDEX(Fixed_Assets!$H$2:$H$201,$AB96)/INDEX(Fixed_Assets!$J$2:$J$201,$AB96),IF($Z96="F",INDEX(Workforce!$F$2:$F$151,MATCH(INDEX(FTE_Allocation!$A$2:$A$201,$AB96),Workforce!$A$2:$A$151,0))*N(INDEX(FTE_Allocation!$F$2:$H$201,$AB96,$AC96)),"")))</f>
        <v/>
      </c>
    </row>
    <row r="97">
      <c r="A97" s="7">
        <f>IF($Z97="","",$AD97)</f>
        <v/>
      </c>
      <c r="B97" s="7">
        <f>IF($Z97="C",INDEX(Contracts!$D$2:$D$151,$AB97)&amp;"",IF($Z97="A",INDEX(Fixed_Assets!$C$2:$C$201,$AB97)&amp;"",IF($Z97="F",INDEX(Workforce!$B$2:$B$151,MATCH(INDEX(FTE_Allocation!$A$2:$A$201,$AB97),Workforce!$A$2:$A$151,0))&amp;"","")))</f>
        <v/>
      </c>
      <c r="C97" s="7">
        <f>IF($Z97="C",INDEX(Contracts!$E$2:$E$151,$AB97)&amp;"",IF($Z97="A",INDEX(Fixed_Assets!$D$2:$D$201,$AB97)&amp;"",IF($Z97="F",INDEX(FTE_Allocation!$C$2:$C$201,$AB97)&amp;"","")))</f>
        <v/>
      </c>
      <c r="D97" s="7">
        <f>IF($Z97="C",INDEX(Contracts!$B$2:$B$151,$AB97)&amp;"",IF($Z97="A",INDEX(Fixed_Assets!$B$2:$B$201,$AB97)&amp;"",IF($Z97="F",INDEX(FTE_Allocation!$B$2:$B$201,$AB97)&amp;"","")))</f>
        <v/>
      </c>
      <c r="E97" s="7">
        <f>IF($Z97="C",INDEX(Contracts!$P$2:$P$151,$AB97)&amp;"",IF($Z97="A",INDEX(Fixed_Assets!$K$2:$K$201,$AB97)&amp;"",IF($Z97="F",IF(INDEX(FTE_Allocation!$D$2:$D$201,$AB97)="PROJECT",IFERROR(INDEX(Projects!$D:$D,MATCH(INDEX(FTE_Allocation!$E$2:$E$201,$AB97),Projects!$A:$A,0))&amp;"","#PROJECT?"),INDEX(FTE_Allocation!$E$2:$E$201,$AB97)&amp;""),"")))</f>
        <v/>
      </c>
      <c r="F97" s="7">
        <f>IF($Z97="C",INDEX(Contracts!$Q$2:$Q$151,$AB97)&amp;"",IF($Z97="A",INDEX(Fixed_Assets!$L$2:$L$201,$AB97)&amp;"",IF($Z97="F",INDEX(Workforce!$K$2:$K$151,MATCH(INDEX(FTE_Allocation!$A$2:$A$201,$AB97),Workforce!$A$2:$A$151,0))&amp;"","")))</f>
        <v/>
      </c>
      <c r="G97" s="7">
        <f>IF($Z97="C",INDEX(Contracts!$F$2:$F$151,$AB97)&amp;" / "&amp;INDEX(Contracts!$G$2:$G$151,$AB97),IF($Z97="A",INDEX(Fixed_Assets!$E$2:$E$201,$AB97)&amp;"",IF($Z97="F","Personnel "&amp;INDEX(FTE_Allocation!$A$2:$A$201,$AB97)&amp;IF(INDEX(FTE_Allocation!$D$2:$D$201,$AB97)="PROJECT"," ("&amp;INDEX(FTE_Allocation!$E$2:$E$201,$AB97)&amp;")",""),"")))</f>
        <v/>
      </c>
      <c r="H97" s="7">
        <f>IF($Z97="C","CONTRACT",IF($Z97="A","ASSET",IF($Z97="F","WORKFORCE","")))</f>
        <v/>
      </c>
      <c r="I97" s="7">
        <f>IF($Z97="C",INDEX(Contracts!$L$2:$L$151,$AB97)&amp;"",IF($Z97="A",INDEX(Fixed_Assets!$I$2:$I$201,$AB97)&amp;"",IF($Z97="F",INDEX(Workforce!$G$2:$G$151,MATCH(INDEX(FTE_Allocation!$A$2:$A$201,$AB97),Workforce!$A$2:$A$151,0))&amp;"","")))</f>
        <v/>
      </c>
      <c r="J97" s="18">
        <f>IF($Z97="","",IF(AND(DATE($AD97,1,1)&gt;=$AE97,DATE($AD97,1,1)&lt;=$AF97),ROUND($AG97,2),0))</f>
        <v/>
      </c>
      <c r="K97" s="18">
        <f>IF($Z97="","",IF(AND(DATE($AD97,2,1)&gt;=$AE97,DATE($AD97,2,1)&lt;=$AF97),ROUND($AG97,2),0))</f>
        <v/>
      </c>
      <c r="L97" s="18">
        <f>IF($Z97="","",IF(AND(DATE($AD97,3,1)&gt;=$AE97,DATE($AD97,3,1)&lt;=$AF97),ROUND($AG97,2),0))</f>
        <v/>
      </c>
      <c r="M97" s="18">
        <f>IF($Z97="","",IF(AND(DATE($AD97,4,1)&gt;=$AE97,DATE($AD97,4,1)&lt;=$AF97),ROUND($AG97,2),0))</f>
        <v/>
      </c>
      <c r="N97" s="18">
        <f>IF($Z97="","",IF(AND(DATE($AD97,5,1)&gt;=$AE97,DATE($AD97,5,1)&lt;=$AF97),ROUND($AG97,2),0))</f>
        <v/>
      </c>
      <c r="O97" s="18">
        <f>IF($Z97="","",IF(AND(DATE($AD97,6,1)&gt;=$AE97,DATE($AD97,6,1)&lt;=$AF97),ROUND($AG97,2),0))</f>
        <v/>
      </c>
      <c r="P97" s="18">
        <f>IF($Z97="","",IF(AND(DATE($AD97,7,1)&gt;=$AE97,DATE($AD97,7,1)&lt;=$AF97),ROUND($AG97,2),0))</f>
        <v/>
      </c>
      <c r="Q97" s="18">
        <f>IF($Z97="","",IF(AND(DATE($AD97,8,1)&gt;=$AE97,DATE($AD97,8,1)&lt;=$AF97),ROUND($AG97,2),0))</f>
        <v/>
      </c>
      <c r="R97" s="18">
        <f>IF($Z97="","",IF(AND(DATE($AD97,9,1)&gt;=$AE97,DATE($AD97,9,1)&lt;=$AF97),ROUND($AG97,2),0))</f>
        <v/>
      </c>
      <c r="S97" s="18">
        <f>IF($Z97="","",IF(AND(DATE($AD97,10,1)&gt;=$AE97,DATE($AD97,10,1)&lt;=$AF97),ROUND($AG97,2),0))</f>
        <v/>
      </c>
      <c r="T97" s="18">
        <f>IF($Z97="","",IF(AND(DATE($AD97,11,1)&gt;=$AE97,DATE($AD97,11,1)&lt;=$AF97),ROUND($AG97,2),0))</f>
        <v/>
      </c>
      <c r="U97" s="18">
        <f>IF($Z97="","",IF(AND(DATE($AD97,12,1)&gt;=$AE97,DATE($AD97,12,1)&lt;=$AF97),ROUND($AG97,2),0))</f>
        <v/>
      </c>
      <c r="V97" s="7">
        <f>IF($Z97="C","Generated from "&amp;INDEX(Contracts!$A$2:$A$151,$AB97),IF($Z97="A","Generated from "&amp;INDEX(Fixed_Assets!$A$2:$A$201,$AB97),IF($Z97="F","Generated from "&amp;INDEX(FTE_Allocation!$A$2:$A$201,$AB97),"")))</f>
        <v/>
      </c>
      <c r="X97" s="19">
        <f>IF($Z97="","",SUM(J97:U97))</f>
        <v/>
      </c>
      <c r="Y97" s="20">
        <f>ROW()-1</f>
        <v/>
      </c>
      <c r="Z97" s="20">
        <f>IF($Y97&lt;=Settings!$B$4*3,"C",IF($Y97&lt;=(Settings!$B$4+Settings!$B$5)*3,"A",IF($Y97&lt;=(Settings!$B$4+Settings!$B$5+Settings!$B$6)*3,"F","")))</f>
        <v/>
      </c>
      <c r="AA97" s="20">
        <f>IF($Z97="C",$Y97,IF($Z97="A",$Y97-Settings!$B$4*3,IF($Z97="F",$Y97-(Settings!$B$4+Settings!$B$5)*3,"")))</f>
        <v/>
      </c>
      <c r="AB97" s="20">
        <f>IF($Z97="","",INT(($AA97-1)/3)+1)</f>
        <v/>
      </c>
      <c r="AC97" s="20">
        <f>IF($Z97="","",MOD($AA97-1,3)+1)</f>
        <v/>
      </c>
      <c r="AD97" s="20">
        <f>IF($Z97="","",Settings!$B$2+$AC97-1)</f>
        <v/>
      </c>
      <c r="AE97" s="21">
        <f>IF($Z97="C",DATE(YEAR(INDEX(Contracts!$J$2:$J$151,$AB97)),MONTH(INDEX(Contracts!$J$2:$J$151,$AB97)),1),IF($Z97="A",DATE(YEAR(INDEX(Fixed_Assets!$G$2:$G$201,$AB97)),MONTH(INDEX(Fixed_Assets!$G$2:$G$201,$AB97)),1),IF($Z97="F",DATE(YEAR(MAX(N(INDEX(Workforce!$I$2:$I$151,MATCH(INDEX(FTE_Allocation!$A$2:$A$201,$AB97),Workforce!$A$2:$A$151,0))),N(INDEX(FTE_Allocation!$I$2:$I$201,$AB97)))),MONTH(MAX(N(INDEX(Workforce!$I$2:$I$151,MATCH(INDEX(FTE_Allocation!$A$2:$A$201,$AB97),Workforce!$A$2:$A$151,0))),N(INDEX(FTE_Allocation!$I$2:$I$201,$AB97)))),1),"")))</f>
        <v/>
      </c>
      <c r="AF97" s="21">
        <f>IF($Z97="C",IF(INDEX(Contracts!$I$2:$I$151,$AB97)="PREPAID",EDATE(DATE(YEAR(INDEX(Contracts!$J$2:$J$151,$AB97)),MONTH(INDEX(Contracts!$J$2:$J$151,$AB97)),1),IF(INDEX(Contracts!$N$2:$N$151,$AB97)="",12,INDEX(Contracts!$N$2:$N$151,$AB97))-1),IF(INDEX(Contracts!$I$2:$I$151,$AB97)="MONTHLY",IF(INDEX(Contracts!$K$2:$K$151,$AB97)="",2958101,INDEX(Contracts!$K$2:$K$151,$AB97)),0)),IF($Z97="A",EDATE(DATE(YEAR(INDEX(Fixed_Assets!$G$2:$G$201,$AB97)),MONTH(INDEX(Fixed_Assets!$G$2:$G$201,$AB97)),1),INDEX(Fixed_Assets!$J$2:$J$201,$AB97)-1),IF($Z97="F",MIN(IF(INDEX(Workforce!$J$2:$J$151,MATCH(INDEX(FTE_Allocation!$A$2:$A$201,$AB97),Workforce!$A$2:$A$151,0))="",2958101,INDEX(Workforce!$J$2:$J$151,MATCH(INDEX(FTE_Allocation!$A$2:$A$201,$AB97),Workforce!$A$2:$A$151,0))),IF(INDEX(FTE_Allocation!$J$2:$J$201,$AB97)="",2958101,INDEX(FTE_Allocation!$J$2:$J$201,$AB97))),"")))</f>
        <v/>
      </c>
      <c r="AG97" s="19">
        <f>IF($Z97="C",IF(INDEX(Contracts!$I$2:$I$151,$AB97)="PREPAID",INDEX(Contracts!$M$2:$M$151,$AB97)/IF(INDEX(Contracts!$N$2:$N$151,$AB97)="",12,INDEX(Contracts!$N$2:$N$151,$AB97)),IF(INDEX(Contracts!$I$2:$I$151,$AB97)="MONTHLY",INDEX(Contracts!$M$2:$M$151,$AB97),0))*(1-N(INDEX(Contracts!$O$2:$O$151,$AB97))),IF($Z97="A",INDEX(Fixed_Assets!$H$2:$H$201,$AB97)/INDEX(Fixed_Assets!$J$2:$J$201,$AB97),IF($Z97="F",INDEX(Workforce!$F$2:$F$151,MATCH(INDEX(FTE_Allocation!$A$2:$A$201,$AB97),Workforce!$A$2:$A$151,0))*N(INDEX(FTE_Allocation!$F$2:$H$201,$AB97,$AC97)),"")))</f>
        <v/>
      </c>
    </row>
    <row r="98">
      <c r="A98" s="7">
        <f>IF($Z98="","",$AD98)</f>
        <v/>
      </c>
      <c r="B98" s="7">
        <f>IF($Z98="C",INDEX(Contracts!$D$2:$D$151,$AB98)&amp;"",IF($Z98="A",INDEX(Fixed_Assets!$C$2:$C$201,$AB98)&amp;"",IF($Z98="F",INDEX(Workforce!$B$2:$B$151,MATCH(INDEX(FTE_Allocation!$A$2:$A$201,$AB98),Workforce!$A$2:$A$151,0))&amp;"","")))</f>
        <v/>
      </c>
      <c r="C98" s="7">
        <f>IF($Z98="C",INDEX(Contracts!$E$2:$E$151,$AB98)&amp;"",IF($Z98="A",INDEX(Fixed_Assets!$D$2:$D$201,$AB98)&amp;"",IF($Z98="F",INDEX(FTE_Allocation!$C$2:$C$201,$AB98)&amp;"","")))</f>
        <v/>
      </c>
      <c r="D98" s="7">
        <f>IF($Z98="C",INDEX(Contracts!$B$2:$B$151,$AB98)&amp;"",IF($Z98="A",INDEX(Fixed_Assets!$B$2:$B$201,$AB98)&amp;"",IF($Z98="F",INDEX(FTE_Allocation!$B$2:$B$201,$AB98)&amp;"","")))</f>
        <v/>
      </c>
      <c r="E98" s="7">
        <f>IF($Z98="C",INDEX(Contracts!$P$2:$P$151,$AB98)&amp;"",IF($Z98="A",INDEX(Fixed_Assets!$K$2:$K$201,$AB98)&amp;"",IF($Z98="F",IF(INDEX(FTE_Allocation!$D$2:$D$201,$AB98)="PROJECT",IFERROR(INDEX(Projects!$D:$D,MATCH(INDEX(FTE_Allocation!$E$2:$E$201,$AB98),Projects!$A:$A,0))&amp;"","#PROJECT?"),INDEX(FTE_Allocation!$E$2:$E$201,$AB98)&amp;""),"")))</f>
        <v/>
      </c>
      <c r="F98" s="7">
        <f>IF($Z98="C",INDEX(Contracts!$Q$2:$Q$151,$AB98)&amp;"",IF($Z98="A",INDEX(Fixed_Assets!$L$2:$L$201,$AB98)&amp;"",IF($Z98="F",INDEX(Workforce!$K$2:$K$151,MATCH(INDEX(FTE_Allocation!$A$2:$A$201,$AB98),Workforce!$A$2:$A$151,0))&amp;"","")))</f>
        <v/>
      </c>
      <c r="G98" s="7">
        <f>IF($Z98="C",INDEX(Contracts!$F$2:$F$151,$AB98)&amp;" / "&amp;INDEX(Contracts!$G$2:$G$151,$AB98),IF($Z98="A",INDEX(Fixed_Assets!$E$2:$E$201,$AB98)&amp;"",IF($Z98="F","Personnel "&amp;INDEX(FTE_Allocation!$A$2:$A$201,$AB98)&amp;IF(INDEX(FTE_Allocation!$D$2:$D$201,$AB98)="PROJECT"," ("&amp;INDEX(FTE_Allocation!$E$2:$E$201,$AB98)&amp;")",""),"")))</f>
        <v/>
      </c>
      <c r="H98" s="7">
        <f>IF($Z98="C","CONTRACT",IF($Z98="A","ASSET",IF($Z98="F","WORKFORCE","")))</f>
        <v/>
      </c>
      <c r="I98" s="7">
        <f>IF($Z98="C",INDEX(Contracts!$L$2:$L$151,$AB98)&amp;"",IF($Z98="A",INDEX(Fixed_Assets!$I$2:$I$201,$AB98)&amp;"",IF($Z98="F",INDEX(Workforce!$G$2:$G$151,MATCH(INDEX(FTE_Allocation!$A$2:$A$201,$AB98),Workforce!$A$2:$A$151,0))&amp;"","")))</f>
        <v/>
      </c>
      <c r="J98" s="18">
        <f>IF($Z98="","",IF(AND(DATE($AD98,1,1)&gt;=$AE98,DATE($AD98,1,1)&lt;=$AF98),ROUND($AG98,2),0))</f>
        <v/>
      </c>
      <c r="K98" s="18">
        <f>IF($Z98="","",IF(AND(DATE($AD98,2,1)&gt;=$AE98,DATE($AD98,2,1)&lt;=$AF98),ROUND($AG98,2),0))</f>
        <v/>
      </c>
      <c r="L98" s="18">
        <f>IF($Z98="","",IF(AND(DATE($AD98,3,1)&gt;=$AE98,DATE($AD98,3,1)&lt;=$AF98),ROUND($AG98,2),0))</f>
        <v/>
      </c>
      <c r="M98" s="18">
        <f>IF($Z98="","",IF(AND(DATE($AD98,4,1)&gt;=$AE98,DATE($AD98,4,1)&lt;=$AF98),ROUND($AG98,2),0))</f>
        <v/>
      </c>
      <c r="N98" s="18">
        <f>IF($Z98="","",IF(AND(DATE($AD98,5,1)&gt;=$AE98,DATE($AD98,5,1)&lt;=$AF98),ROUND($AG98,2),0))</f>
        <v/>
      </c>
      <c r="O98" s="18">
        <f>IF($Z98="","",IF(AND(DATE($AD98,6,1)&gt;=$AE98,DATE($AD98,6,1)&lt;=$AF98),ROUND($AG98,2),0))</f>
        <v/>
      </c>
      <c r="P98" s="18">
        <f>IF($Z98="","",IF(AND(DATE($AD98,7,1)&gt;=$AE98,DATE($AD98,7,1)&lt;=$AF98),ROUND($AG98,2),0))</f>
        <v/>
      </c>
      <c r="Q98" s="18">
        <f>IF($Z98="","",IF(AND(DATE($AD98,8,1)&gt;=$AE98,DATE($AD98,8,1)&lt;=$AF98),ROUND($AG98,2),0))</f>
        <v/>
      </c>
      <c r="R98" s="18">
        <f>IF($Z98="","",IF(AND(DATE($AD98,9,1)&gt;=$AE98,DATE($AD98,9,1)&lt;=$AF98),ROUND($AG98,2),0))</f>
        <v/>
      </c>
      <c r="S98" s="18">
        <f>IF($Z98="","",IF(AND(DATE($AD98,10,1)&gt;=$AE98,DATE($AD98,10,1)&lt;=$AF98),ROUND($AG98,2),0))</f>
        <v/>
      </c>
      <c r="T98" s="18">
        <f>IF($Z98="","",IF(AND(DATE($AD98,11,1)&gt;=$AE98,DATE($AD98,11,1)&lt;=$AF98),ROUND($AG98,2),0))</f>
        <v/>
      </c>
      <c r="U98" s="18">
        <f>IF($Z98="","",IF(AND(DATE($AD98,12,1)&gt;=$AE98,DATE($AD98,12,1)&lt;=$AF98),ROUND($AG98,2),0))</f>
        <v/>
      </c>
      <c r="V98" s="7">
        <f>IF($Z98="C","Generated from "&amp;INDEX(Contracts!$A$2:$A$151,$AB98),IF($Z98="A","Generated from "&amp;INDEX(Fixed_Assets!$A$2:$A$201,$AB98),IF($Z98="F","Generated from "&amp;INDEX(FTE_Allocation!$A$2:$A$201,$AB98),"")))</f>
        <v/>
      </c>
      <c r="X98" s="19">
        <f>IF($Z98="","",SUM(J98:U98))</f>
        <v/>
      </c>
      <c r="Y98" s="20">
        <f>ROW()-1</f>
        <v/>
      </c>
      <c r="Z98" s="20">
        <f>IF($Y98&lt;=Settings!$B$4*3,"C",IF($Y98&lt;=(Settings!$B$4+Settings!$B$5)*3,"A",IF($Y98&lt;=(Settings!$B$4+Settings!$B$5+Settings!$B$6)*3,"F","")))</f>
        <v/>
      </c>
      <c r="AA98" s="20">
        <f>IF($Z98="C",$Y98,IF($Z98="A",$Y98-Settings!$B$4*3,IF($Z98="F",$Y98-(Settings!$B$4+Settings!$B$5)*3,"")))</f>
        <v/>
      </c>
      <c r="AB98" s="20">
        <f>IF($Z98="","",INT(($AA98-1)/3)+1)</f>
        <v/>
      </c>
      <c r="AC98" s="20">
        <f>IF($Z98="","",MOD($AA98-1,3)+1)</f>
        <v/>
      </c>
      <c r="AD98" s="20">
        <f>IF($Z98="","",Settings!$B$2+$AC98-1)</f>
        <v/>
      </c>
      <c r="AE98" s="21">
        <f>IF($Z98="C",DATE(YEAR(INDEX(Contracts!$J$2:$J$151,$AB98)),MONTH(INDEX(Contracts!$J$2:$J$151,$AB98)),1),IF($Z98="A",DATE(YEAR(INDEX(Fixed_Assets!$G$2:$G$201,$AB98)),MONTH(INDEX(Fixed_Assets!$G$2:$G$201,$AB98)),1),IF($Z98="F",DATE(YEAR(MAX(N(INDEX(Workforce!$I$2:$I$151,MATCH(INDEX(FTE_Allocation!$A$2:$A$201,$AB98),Workforce!$A$2:$A$151,0))),N(INDEX(FTE_Allocation!$I$2:$I$201,$AB98)))),MONTH(MAX(N(INDEX(Workforce!$I$2:$I$151,MATCH(INDEX(FTE_Allocation!$A$2:$A$201,$AB98),Workforce!$A$2:$A$151,0))),N(INDEX(FTE_Allocation!$I$2:$I$201,$AB98)))),1),"")))</f>
        <v/>
      </c>
      <c r="AF98" s="21">
        <f>IF($Z98="C",IF(INDEX(Contracts!$I$2:$I$151,$AB98)="PREPAID",EDATE(DATE(YEAR(INDEX(Contracts!$J$2:$J$151,$AB98)),MONTH(INDEX(Contracts!$J$2:$J$151,$AB98)),1),IF(INDEX(Contracts!$N$2:$N$151,$AB98)="",12,INDEX(Contracts!$N$2:$N$151,$AB98))-1),IF(INDEX(Contracts!$I$2:$I$151,$AB98)="MONTHLY",IF(INDEX(Contracts!$K$2:$K$151,$AB98)="",2958101,INDEX(Contracts!$K$2:$K$151,$AB98)),0)),IF($Z98="A",EDATE(DATE(YEAR(INDEX(Fixed_Assets!$G$2:$G$201,$AB98)),MONTH(INDEX(Fixed_Assets!$G$2:$G$201,$AB98)),1),INDEX(Fixed_Assets!$J$2:$J$201,$AB98)-1),IF($Z98="F",MIN(IF(INDEX(Workforce!$J$2:$J$151,MATCH(INDEX(FTE_Allocation!$A$2:$A$201,$AB98),Workforce!$A$2:$A$151,0))="",2958101,INDEX(Workforce!$J$2:$J$151,MATCH(INDEX(FTE_Allocation!$A$2:$A$201,$AB98),Workforce!$A$2:$A$151,0))),IF(INDEX(FTE_Allocation!$J$2:$J$201,$AB98)="",2958101,INDEX(FTE_Allocation!$J$2:$J$201,$AB98))),"")))</f>
        <v/>
      </c>
      <c r="AG98" s="19">
        <f>IF($Z98="C",IF(INDEX(Contracts!$I$2:$I$151,$AB98)="PREPAID",INDEX(Contracts!$M$2:$M$151,$AB98)/IF(INDEX(Contracts!$N$2:$N$151,$AB98)="",12,INDEX(Contracts!$N$2:$N$151,$AB98)),IF(INDEX(Contracts!$I$2:$I$151,$AB98)="MONTHLY",INDEX(Contracts!$M$2:$M$151,$AB98),0))*(1-N(INDEX(Contracts!$O$2:$O$151,$AB98))),IF($Z98="A",INDEX(Fixed_Assets!$H$2:$H$201,$AB98)/INDEX(Fixed_Assets!$J$2:$J$201,$AB98),IF($Z98="F",INDEX(Workforce!$F$2:$F$151,MATCH(INDEX(FTE_Allocation!$A$2:$A$201,$AB98),Workforce!$A$2:$A$151,0))*N(INDEX(FTE_Allocation!$F$2:$H$201,$AB98,$AC98)),"")))</f>
        <v/>
      </c>
    </row>
    <row r="99">
      <c r="A99" s="7">
        <f>IF($Z99="","",$AD99)</f>
        <v/>
      </c>
      <c r="B99" s="7">
        <f>IF($Z99="C",INDEX(Contracts!$D$2:$D$151,$AB99)&amp;"",IF($Z99="A",INDEX(Fixed_Assets!$C$2:$C$201,$AB99)&amp;"",IF($Z99="F",INDEX(Workforce!$B$2:$B$151,MATCH(INDEX(FTE_Allocation!$A$2:$A$201,$AB99),Workforce!$A$2:$A$151,0))&amp;"","")))</f>
        <v/>
      </c>
      <c r="C99" s="7">
        <f>IF($Z99="C",INDEX(Contracts!$E$2:$E$151,$AB99)&amp;"",IF($Z99="A",INDEX(Fixed_Assets!$D$2:$D$201,$AB99)&amp;"",IF($Z99="F",INDEX(FTE_Allocation!$C$2:$C$201,$AB99)&amp;"","")))</f>
        <v/>
      </c>
      <c r="D99" s="7">
        <f>IF($Z99="C",INDEX(Contracts!$B$2:$B$151,$AB99)&amp;"",IF($Z99="A",INDEX(Fixed_Assets!$B$2:$B$201,$AB99)&amp;"",IF($Z99="F",INDEX(FTE_Allocation!$B$2:$B$201,$AB99)&amp;"","")))</f>
        <v/>
      </c>
      <c r="E99" s="7">
        <f>IF($Z99="C",INDEX(Contracts!$P$2:$P$151,$AB99)&amp;"",IF($Z99="A",INDEX(Fixed_Assets!$K$2:$K$201,$AB99)&amp;"",IF($Z99="F",IF(INDEX(FTE_Allocation!$D$2:$D$201,$AB99)="PROJECT",IFERROR(INDEX(Projects!$D:$D,MATCH(INDEX(FTE_Allocation!$E$2:$E$201,$AB99),Projects!$A:$A,0))&amp;"","#PROJECT?"),INDEX(FTE_Allocation!$E$2:$E$201,$AB99)&amp;""),"")))</f>
        <v/>
      </c>
      <c r="F99" s="7">
        <f>IF($Z99="C",INDEX(Contracts!$Q$2:$Q$151,$AB99)&amp;"",IF($Z99="A",INDEX(Fixed_Assets!$L$2:$L$201,$AB99)&amp;"",IF($Z99="F",INDEX(Workforce!$K$2:$K$151,MATCH(INDEX(FTE_Allocation!$A$2:$A$201,$AB99),Workforce!$A$2:$A$151,0))&amp;"","")))</f>
        <v/>
      </c>
      <c r="G99" s="7">
        <f>IF($Z99="C",INDEX(Contracts!$F$2:$F$151,$AB99)&amp;" / "&amp;INDEX(Contracts!$G$2:$G$151,$AB99),IF($Z99="A",INDEX(Fixed_Assets!$E$2:$E$201,$AB99)&amp;"",IF($Z99="F","Personnel "&amp;INDEX(FTE_Allocation!$A$2:$A$201,$AB99)&amp;IF(INDEX(FTE_Allocation!$D$2:$D$201,$AB99)="PROJECT"," ("&amp;INDEX(FTE_Allocation!$E$2:$E$201,$AB99)&amp;")",""),"")))</f>
        <v/>
      </c>
      <c r="H99" s="7">
        <f>IF($Z99="C","CONTRACT",IF($Z99="A","ASSET",IF($Z99="F","WORKFORCE","")))</f>
        <v/>
      </c>
      <c r="I99" s="7">
        <f>IF($Z99="C",INDEX(Contracts!$L$2:$L$151,$AB99)&amp;"",IF($Z99="A",INDEX(Fixed_Assets!$I$2:$I$201,$AB99)&amp;"",IF($Z99="F",INDEX(Workforce!$G$2:$G$151,MATCH(INDEX(FTE_Allocation!$A$2:$A$201,$AB99),Workforce!$A$2:$A$151,0))&amp;"","")))</f>
        <v/>
      </c>
      <c r="J99" s="18">
        <f>IF($Z99="","",IF(AND(DATE($AD99,1,1)&gt;=$AE99,DATE($AD99,1,1)&lt;=$AF99),ROUND($AG99,2),0))</f>
        <v/>
      </c>
      <c r="K99" s="18">
        <f>IF($Z99="","",IF(AND(DATE($AD99,2,1)&gt;=$AE99,DATE($AD99,2,1)&lt;=$AF99),ROUND($AG99,2),0))</f>
        <v/>
      </c>
      <c r="L99" s="18">
        <f>IF($Z99="","",IF(AND(DATE($AD99,3,1)&gt;=$AE99,DATE($AD99,3,1)&lt;=$AF99),ROUND($AG99,2),0))</f>
        <v/>
      </c>
      <c r="M99" s="18">
        <f>IF($Z99="","",IF(AND(DATE($AD99,4,1)&gt;=$AE99,DATE($AD99,4,1)&lt;=$AF99),ROUND($AG99,2),0))</f>
        <v/>
      </c>
      <c r="N99" s="18">
        <f>IF($Z99="","",IF(AND(DATE($AD99,5,1)&gt;=$AE99,DATE($AD99,5,1)&lt;=$AF99),ROUND($AG99,2),0))</f>
        <v/>
      </c>
      <c r="O99" s="18">
        <f>IF($Z99="","",IF(AND(DATE($AD99,6,1)&gt;=$AE99,DATE($AD99,6,1)&lt;=$AF99),ROUND($AG99,2),0))</f>
        <v/>
      </c>
      <c r="P99" s="18">
        <f>IF($Z99="","",IF(AND(DATE($AD99,7,1)&gt;=$AE99,DATE($AD99,7,1)&lt;=$AF99),ROUND($AG99,2),0))</f>
        <v/>
      </c>
      <c r="Q99" s="18">
        <f>IF($Z99="","",IF(AND(DATE($AD99,8,1)&gt;=$AE99,DATE($AD99,8,1)&lt;=$AF99),ROUND($AG99,2),0))</f>
        <v/>
      </c>
      <c r="R99" s="18">
        <f>IF($Z99="","",IF(AND(DATE($AD99,9,1)&gt;=$AE99,DATE($AD99,9,1)&lt;=$AF99),ROUND($AG99,2),0))</f>
        <v/>
      </c>
      <c r="S99" s="18">
        <f>IF($Z99="","",IF(AND(DATE($AD99,10,1)&gt;=$AE99,DATE($AD99,10,1)&lt;=$AF99),ROUND($AG99,2),0))</f>
        <v/>
      </c>
      <c r="T99" s="18">
        <f>IF($Z99="","",IF(AND(DATE($AD99,11,1)&gt;=$AE99,DATE($AD99,11,1)&lt;=$AF99),ROUND($AG99,2),0))</f>
        <v/>
      </c>
      <c r="U99" s="18">
        <f>IF($Z99="","",IF(AND(DATE($AD99,12,1)&gt;=$AE99,DATE($AD99,12,1)&lt;=$AF99),ROUND($AG99,2),0))</f>
        <v/>
      </c>
      <c r="V99" s="7">
        <f>IF($Z99="C","Generated from "&amp;INDEX(Contracts!$A$2:$A$151,$AB99),IF($Z99="A","Generated from "&amp;INDEX(Fixed_Assets!$A$2:$A$201,$AB99),IF($Z99="F","Generated from "&amp;INDEX(FTE_Allocation!$A$2:$A$201,$AB99),"")))</f>
        <v/>
      </c>
      <c r="X99" s="19">
        <f>IF($Z99="","",SUM(J99:U99))</f>
        <v/>
      </c>
      <c r="Y99" s="20">
        <f>ROW()-1</f>
        <v/>
      </c>
      <c r="Z99" s="20">
        <f>IF($Y99&lt;=Settings!$B$4*3,"C",IF($Y99&lt;=(Settings!$B$4+Settings!$B$5)*3,"A",IF($Y99&lt;=(Settings!$B$4+Settings!$B$5+Settings!$B$6)*3,"F","")))</f>
        <v/>
      </c>
      <c r="AA99" s="20">
        <f>IF($Z99="C",$Y99,IF($Z99="A",$Y99-Settings!$B$4*3,IF($Z99="F",$Y99-(Settings!$B$4+Settings!$B$5)*3,"")))</f>
        <v/>
      </c>
      <c r="AB99" s="20">
        <f>IF($Z99="","",INT(($AA99-1)/3)+1)</f>
        <v/>
      </c>
      <c r="AC99" s="20">
        <f>IF($Z99="","",MOD($AA99-1,3)+1)</f>
        <v/>
      </c>
      <c r="AD99" s="20">
        <f>IF($Z99="","",Settings!$B$2+$AC99-1)</f>
        <v/>
      </c>
      <c r="AE99" s="21">
        <f>IF($Z99="C",DATE(YEAR(INDEX(Contracts!$J$2:$J$151,$AB99)),MONTH(INDEX(Contracts!$J$2:$J$151,$AB99)),1),IF($Z99="A",DATE(YEAR(INDEX(Fixed_Assets!$G$2:$G$201,$AB99)),MONTH(INDEX(Fixed_Assets!$G$2:$G$201,$AB99)),1),IF($Z99="F",DATE(YEAR(MAX(N(INDEX(Workforce!$I$2:$I$151,MATCH(INDEX(FTE_Allocation!$A$2:$A$201,$AB99),Workforce!$A$2:$A$151,0))),N(INDEX(FTE_Allocation!$I$2:$I$201,$AB99)))),MONTH(MAX(N(INDEX(Workforce!$I$2:$I$151,MATCH(INDEX(FTE_Allocation!$A$2:$A$201,$AB99),Workforce!$A$2:$A$151,0))),N(INDEX(FTE_Allocation!$I$2:$I$201,$AB99)))),1),"")))</f>
        <v/>
      </c>
      <c r="AF99" s="21">
        <f>IF($Z99="C",IF(INDEX(Contracts!$I$2:$I$151,$AB99)="PREPAID",EDATE(DATE(YEAR(INDEX(Contracts!$J$2:$J$151,$AB99)),MONTH(INDEX(Contracts!$J$2:$J$151,$AB99)),1),IF(INDEX(Contracts!$N$2:$N$151,$AB99)="",12,INDEX(Contracts!$N$2:$N$151,$AB99))-1),IF(INDEX(Contracts!$I$2:$I$151,$AB99)="MONTHLY",IF(INDEX(Contracts!$K$2:$K$151,$AB99)="",2958101,INDEX(Contracts!$K$2:$K$151,$AB99)),0)),IF($Z99="A",EDATE(DATE(YEAR(INDEX(Fixed_Assets!$G$2:$G$201,$AB99)),MONTH(INDEX(Fixed_Assets!$G$2:$G$201,$AB99)),1),INDEX(Fixed_Assets!$J$2:$J$201,$AB99)-1),IF($Z99="F",MIN(IF(INDEX(Workforce!$J$2:$J$151,MATCH(INDEX(FTE_Allocation!$A$2:$A$201,$AB99),Workforce!$A$2:$A$151,0))="",2958101,INDEX(Workforce!$J$2:$J$151,MATCH(INDEX(FTE_Allocation!$A$2:$A$201,$AB99),Workforce!$A$2:$A$151,0))),IF(INDEX(FTE_Allocation!$J$2:$J$201,$AB99)="",2958101,INDEX(FTE_Allocation!$J$2:$J$201,$AB99))),"")))</f>
        <v/>
      </c>
      <c r="AG99" s="19">
        <f>IF($Z99="C",IF(INDEX(Contracts!$I$2:$I$151,$AB99)="PREPAID",INDEX(Contracts!$M$2:$M$151,$AB99)/IF(INDEX(Contracts!$N$2:$N$151,$AB99)="",12,INDEX(Contracts!$N$2:$N$151,$AB99)),IF(INDEX(Contracts!$I$2:$I$151,$AB99)="MONTHLY",INDEX(Contracts!$M$2:$M$151,$AB99),0))*(1-N(INDEX(Contracts!$O$2:$O$151,$AB99))),IF($Z99="A",INDEX(Fixed_Assets!$H$2:$H$201,$AB99)/INDEX(Fixed_Assets!$J$2:$J$201,$AB99),IF($Z99="F",INDEX(Workforce!$F$2:$F$151,MATCH(INDEX(FTE_Allocation!$A$2:$A$201,$AB99),Workforce!$A$2:$A$151,0))*N(INDEX(FTE_Allocation!$F$2:$H$201,$AB99,$AC99)),"")))</f>
        <v/>
      </c>
    </row>
    <row r="100">
      <c r="A100" s="7">
        <f>IF($Z100="","",$AD100)</f>
        <v/>
      </c>
      <c r="B100" s="7">
        <f>IF($Z100="C",INDEX(Contracts!$D$2:$D$151,$AB100)&amp;"",IF($Z100="A",INDEX(Fixed_Assets!$C$2:$C$201,$AB100)&amp;"",IF($Z100="F",INDEX(Workforce!$B$2:$B$151,MATCH(INDEX(FTE_Allocation!$A$2:$A$201,$AB100),Workforce!$A$2:$A$151,0))&amp;"","")))</f>
        <v/>
      </c>
      <c r="C100" s="7">
        <f>IF($Z100="C",INDEX(Contracts!$E$2:$E$151,$AB100)&amp;"",IF($Z100="A",INDEX(Fixed_Assets!$D$2:$D$201,$AB100)&amp;"",IF($Z100="F",INDEX(FTE_Allocation!$C$2:$C$201,$AB100)&amp;"","")))</f>
        <v/>
      </c>
      <c r="D100" s="7">
        <f>IF($Z100="C",INDEX(Contracts!$B$2:$B$151,$AB100)&amp;"",IF($Z100="A",INDEX(Fixed_Assets!$B$2:$B$201,$AB100)&amp;"",IF($Z100="F",INDEX(FTE_Allocation!$B$2:$B$201,$AB100)&amp;"","")))</f>
        <v/>
      </c>
      <c r="E100" s="7">
        <f>IF($Z100="C",INDEX(Contracts!$P$2:$P$151,$AB100)&amp;"",IF($Z100="A",INDEX(Fixed_Assets!$K$2:$K$201,$AB100)&amp;"",IF($Z100="F",IF(INDEX(FTE_Allocation!$D$2:$D$201,$AB100)="PROJECT",IFERROR(INDEX(Projects!$D:$D,MATCH(INDEX(FTE_Allocation!$E$2:$E$201,$AB100),Projects!$A:$A,0))&amp;"","#PROJECT?"),INDEX(FTE_Allocation!$E$2:$E$201,$AB100)&amp;""),"")))</f>
        <v/>
      </c>
      <c r="F100" s="7">
        <f>IF($Z100="C",INDEX(Contracts!$Q$2:$Q$151,$AB100)&amp;"",IF($Z100="A",INDEX(Fixed_Assets!$L$2:$L$201,$AB100)&amp;"",IF($Z100="F",INDEX(Workforce!$K$2:$K$151,MATCH(INDEX(FTE_Allocation!$A$2:$A$201,$AB100),Workforce!$A$2:$A$151,0))&amp;"","")))</f>
        <v/>
      </c>
      <c r="G100" s="7">
        <f>IF($Z100="C",INDEX(Contracts!$F$2:$F$151,$AB100)&amp;" / "&amp;INDEX(Contracts!$G$2:$G$151,$AB100),IF($Z100="A",INDEX(Fixed_Assets!$E$2:$E$201,$AB100)&amp;"",IF($Z100="F","Personnel "&amp;INDEX(FTE_Allocation!$A$2:$A$201,$AB100)&amp;IF(INDEX(FTE_Allocation!$D$2:$D$201,$AB100)="PROJECT"," ("&amp;INDEX(FTE_Allocation!$E$2:$E$201,$AB100)&amp;")",""),"")))</f>
        <v/>
      </c>
      <c r="H100" s="7">
        <f>IF($Z100="C","CONTRACT",IF($Z100="A","ASSET",IF($Z100="F","WORKFORCE","")))</f>
        <v/>
      </c>
      <c r="I100" s="7">
        <f>IF($Z100="C",INDEX(Contracts!$L$2:$L$151,$AB100)&amp;"",IF($Z100="A",INDEX(Fixed_Assets!$I$2:$I$201,$AB100)&amp;"",IF($Z100="F",INDEX(Workforce!$G$2:$G$151,MATCH(INDEX(FTE_Allocation!$A$2:$A$201,$AB100),Workforce!$A$2:$A$151,0))&amp;"","")))</f>
        <v/>
      </c>
      <c r="J100" s="18">
        <f>IF($Z100="","",IF(AND(DATE($AD100,1,1)&gt;=$AE100,DATE($AD100,1,1)&lt;=$AF100),ROUND($AG100,2),0))</f>
        <v/>
      </c>
      <c r="K100" s="18">
        <f>IF($Z100="","",IF(AND(DATE($AD100,2,1)&gt;=$AE100,DATE($AD100,2,1)&lt;=$AF100),ROUND($AG100,2),0))</f>
        <v/>
      </c>
      <c r="L100" s="18">
        <f>IF($Z100="","",IF(AND(DATE($AD100,3,1)&gt;=$AE100,DATE($AD100,3,1)&lt;=$AF100),ROUND($AG100,2),0))</f>
        <v/>
      </c>
      <c r="M100" s="18">
        <f>IF($Z100="","",IF(AND(DATE($AD100,4,1)&gt;=$AE100,DATE($AD100,4,1)&lt;=$AF100),ROUND($AG100,2),0))</f>
        <v/>
      </c>
      <c r="N100" s="18">
        <f>IF($Z100="","",IF(AND(DATE($AD100,5,1)&gt;=$AE100,DATE($AD100,5,1)&lt;=$AF100),ROUND($AG100,2),0))</f>
        <v/>
      </c>
      <c r="O100" s="18">
        <f>IF($Z100="","",IF(AND(DATE($AD100,6,1)&gt;=$AE100,DATE($AD100,6,1)&lt;=$AF100),ROUND($AG100,2),0))</f>
        <v/>
      </c>
      <c r="P100" s="18">
        <f>IF($Z100="","",IF(AND(DATE($AD100,7,1)&gt;=$AE100,DATE($AD100,7,1)&lt;=$AF100),ROUND($AG100,2),0))</f>
        <v/>
      </c>
      <c r="Q100" s="18">
        <f>IF($Z100="","",IF(AND(DATE($AD100,8,1)&gt;=$AE100,DATE($AD100,8,1)&lt;=$AF100),ROUND($AG100,2),0))</f>
        <v/>
      </c>
      <c r="R100" s="18">
        <f>IF($Z100="","",IF(AND(DATE($AD100,9,1)&gt;=$AE100,DATE($AD100,9,1)&lt;=$AF100),ROUND($AG100,2),0))</f>
        <v/>
      </c>
      <c r="S100" s="18">
        <f>IF($Z100="","",IF(AND(DATE($AD100,10,1)&gt;=$AE100,DATE($AD100,10,1)&lt;=$AF100),ROUND($AG100,2),0))</f>
        <v/>
      </c>
      <c r="T100" s="18">
        <f>IF($Z100="","",IF(AND(DATE($AD100,11,1)&gt;=$AE100,DATE($AD100,11,1)&lt;=$AF100),ROUND($AG100,2),0))</f>
        <v/>
      </c>
      <c r="U100" s="18">
        <f>IF($Z100="","",IF(AND(DATE($AD100,12,1)&gt;=$AE100,DATE($AD100,12,1)&lt;=$AF100),ROUND($AG100,2),0))</f>
        <v/>
      </c>
      <c r="V100" s="7">
        <f>IF($Z100="C","Generated from "&amp;INDEX(Contracts!$A$2:$A$151,$AB100),IF($Z100="A","Generated from "&amp;INDEX(Fixed_Assets!$A$2:$A$201,$AB100),IF($Z100="F","Generated from "&amp;INDEX(FTE_Allocation!$A$2:$A$201,$AB100),"")))</f>
        <v/>
      </c>
      <c r="X100" s="19">
        <f>IF($Z100="","",SUM(J100:U100))</f>
        <v/>
      </c>
      <c r="Y100" s="20">
        <f>ROW()-1</f>
        <v/>
      </c>
      <c r="Z100" s="20">
        <f>IF($Y100&lt;=Settings!$B$4*3,"C",IF($Y100&lt;=(Settings!$B$4+Settings!$B$5)*3,"A",IF($Y100&lt;=(Settings!$B$4+Settings!$B$5+Settings!$B$6)*3,"F","")))</f>
        <v/>
      </c>
      <c r="AA100" s="20">
        <f>IF($Z100="C",$Y100,IF($Z100="A",$Y100-Settings!$B$4*3,IF($Z100="F",$Y100-(Settings!$B$4+Settings!$B$5)*3,"")))</f>
        <v/>
      </c>
      <c r="AB100" s="20">
        <f>IF($Z100="","",INT(($AA100-1)/3)+1)</f>
        <v/>
      </c>
      <c r="AC100" s="20">
        <f>IF($Z100="","",MOD($AA100-1,3)+1)</f>
        <v/>
      </c>
      <c r="AD100" s="20">
        <f>IF($Z100="","",Settings!$B$2+$AC100-1)</f>
        <v/>
      </c>
      <c r="AE100" s="21">
        <f>IF($Z100="C",DATE(YEAR(INDEX(Contracts!$J$2:$J$151,$AB100)),MONTH(INDEX(Contracts!$J$2:$J$151,$AB100)),1),IF($Z100="A",DATE(YEAR(INDEX(Fixed_Assets!$G$2:$G$201,$AB100)),MONTH(INDEX(Fixed_Assets!$G$2:$G$201,$AB100)),1),IF($Z100="F",DATE(YEAR(MAX(N(INDEX(Workforce!$I$2:$I$151,MATCH(INDEX(FTE_Allocation!$A$2:$A$201,$AB100),Workforce!$A$2:$A$151,0))),N(INDEX(FTE_Allocation!$I$2:$I$201,$AB100)))),MONTH(MAX(N(INDEX(Workforce!$I$2:$I$151,MATCH(INDEX(FTE_Allocation!$A$2:$A$201,$AB100),Workforce!$A$2:$A$151,0))),N(INDEX(FTE_Allocation!$I$2:$I$201,$AB100)))),1),"")))</f>
        <v/>
      </c>
      <c r="AF100" s="21">
        <f>IF($Z100="C",IF(INDEX(Contracts!$I$2:$I$151,$AB100)="PREPAID",EDATE(DATE(YEAR(INDEX(Contracts!$J$2:$J$151,$AB100)),MONTH(INDEX(Contracts!$J$2:$J$151,$AB100)),1),IF(INDEX(Contracts!$N$2:$N$151,$AB100)="",12,INDEX(Contracts!$N$2:$N$151,$AB100))-1),IF(INDEX(Contracts!$I$2:$I$151,$AB100)="MONTHLY",IF(INDEX(Contracts!$K$2:$K$151,$AB100)="",2958101,INDEX(Contracts!$K$2:$K$151,$AB100)),0)),IF($Z100="A",EDATE(DATE(YEAR(INDEX(Fixed_Assets!$G$2:$G$201,$AB100)),MONTH(INDEX(Fixed_Assets!$G$2:$G$201,$AB100)),1),INDEX(Fixed_Assets!$J$2:$J$201,$AB100)-1),IF($Z100="F",MIN(IF(INDEX(Workforce!$J$2:$J$151,MATCH(INDEX(FTE_Allocation!$A$2:$A$201,$AB100),Workforce!$A$2:$A$151,0))="",2958101,INDEX(Workforce!$J$2:$J$151,MATCH(INDEX(FTE_Allocation!$A$2:$A$201,$AB100),Workforce!$A$2:$A$151,0))),IF(INDEX(FTE_Allocation!$J$2:$J$201,$AB100)="",2958101,INDEX(FTE_Allocation!$J$2:$J$201,$AB100))),"")))</f>
        <v/>
      </c>
      <c r="AG100" s="19">
        <f>IF($Z100="C",IF(INDEX(Contracts!$I$2:$I$151,$AB100)="PREPAID",INDEX(Contracts!$M$2:$M$151,$AB100)/IF(INDEX(Contracts!$N$2:$N$151,$AB100)="",12,INDEX(Contracts!$N$2:$N$151,$AB100)),IF(INDEX(Contracts!$I$2:$I$151,$AB100)="MONTHLY",INDEX(Contracts!$M$2:$M$151,$AB100),0))*(1-N(INDEX(Contracts!$O$2:$O$151,$AB100))),IF($Z100="A",INDEX(Fixed_Assets!$H$2:$H$201,$AB100)/INDEX(Fixed_Assets!$J$2:$J$201,$AB100),IF($Z100="F",INDEX(Workforce!$F$2:$F$151,MATCH(INDEX(FTE_Allocation!$A$2:$A$201,$AB100),Workforce!$A$2:$A$151,0))*N(INDEX(FTE_Allocation!$F$2:$H$201,$AB100,$AC100)),"")))</f>
        <v/>
      </c>
    </row>
    <row r="101">
      <c r="A101" s="7">
        <f>IF($Z101="","",$AD101)</f>
        <v/>
      </c>
      <c r="B101" s="7">
        <f>IF($Z101="C",INDEX(Contracts!$D$2:$D$151,$AB101)&amp;"",IF($Z101="A",INDEX(Fixed_Assets!$C$2:$C$201,$AB101)&amp;"",IF($Z101="F",INDEX(Workforce!$B$2:$B$151,MATCH(INDEX(FTE_Allocation!$A$2:$A$201,$AB101),Workforce!$A$2:$A$151,0))&amp;"","")))</f>
        <v/>
      </c>
      <c r="C101" s="7">
        <f>IF($Z101="C",INDEX(Contracts!$E$2:$E$151,$AB101)&amp;"",IF($Z101="A",INDEX(Fixed_Assets!$D$2:$D$201,$AB101)&amp;"",IF($Z101="F",INDEX(FTE_Allocation!$C$2:$C$201,$AB101)&amp;"","")))</f>
        <v/>
      </c>
      <c r="D101" s="7">
        <f>IF($Z101="C",INDEX(Contracts!$B$2:$B$151,$AB101)&amp;"",IF($Z101="A",INDEX(Fixed_Assets!$B$2:$B$201,$AB101)&amp;"",IF($Z101="F",INDEX(FTE_Allocation!$B$2:$B$201,$AB101)&amp;"","")))</f>
        <v/>
      </c>
      <c r="E101" s="7">
        <f>IF($Z101="C",INDEX(Contracts!$P$2:$P$151,$AB101)&amp;"",IF($Z101="A",INDEX(Fixed_Assets!$K$2:$K$201,$AB101)&amp;"",IF($Z101="F",IF(INDEX(FTE_Allocation!$D$2:$D$201,$AB101)="PROJECT",IFERROR(INDEX(Projects!$D:$D,MATCH(INDEX(FTE_Allocation!$E$2:$E$201,$AB101),Projects!$A:$A,0))&amp;"","#PROJECT?"),INDEX(FTE_Allocation!$E$2:$E$201,$AB101)&amp;""),"")))</f>
        <v/>
      </c>
      <c r="F101" s="7">
        <f>IF($Z101="C",INDEX(Contracts!$Q$2:$Q$151,$AB101)&amp;"",IF($Z101="A",INDEX(Fixed_Assets!$L$2:$L$201,$AB101)&amp;"",IF($Z101="F",INDEX(Workforce!$K$2:$K$151,MATCH(INDEX(FTE_Allocation!$A$2:$A$201,$AB101),Workforce!$A$2:$A$151,0))&amp;"","")))</f>
        <v/>
      </c>
      <c r="G101" s="7">
        <f>IF($Z101="C",INDEX(Contracts!$F$2:$F$151,$AB101)&amp;" / "&amp;INDEX(Contracts!$G$2:$G$151,$AB101),IF($Z101="A",INDEX(Fixed_Assets!$E$2:$E$201,$AB101)&amp;"",IF($Z101="F","Personnel "&amp;INDEX(FTE_Allocation!$A$2:$A$201,$AB101)&amp;IF(INDEX(FTE_Allocation!$D$2:$D$201,$AB101)="PROJECT"," ("&amp;INDEX(FTE_Allocation!$E$2:$E$201,$AB101)&amp;")",""),"")))</f>
        <v/>
      </c>
      <c r="H101" s="7">
        <f>IF($Z101="C","CONTRACT",IF($Z101="A","ASSET",IF($Z101="F","WORKFORCE","")))</f>
        <v/>
      </c>
      <c r="I101" s="7">
        <f>IF($Z101="C",INDEX(Contracts!$L$2:$L$151,$AB101)&amp;"",IF($Z101="A",INDEX(Fixed_Assets!$I$2:$I$201,$AB101)&amp;"",IF($Z101="F",INDEX(Workforce!$G$2:$G$151,MATCH(INDEX(FTE_Allocation!$A$2:$A$201,$AB101),Workforce!$A$2:$A$151,0))&amp;"","")))</f>
        <v/>
      </c>
      <c r="J101" s="18">
        <f>IF($Z101="","",IF(AND(DATE($AD101,1,1)&gt;=$AE101,DATE($AD101,1,1)&lt;=$AF101),ROUND($AG101,2),0))</f>
        <v/>
      </c>
      <c r="K101" s="18">
        <f>IF($Z101="","",IF(AND(DATE($AD101,2,1)&gt;=$AE101,DATE($AD101,2,1)&lt;=$AF101),ROUND($AG101,2),0))</f>
        <v/>
      </c>
      <c r="L101" s="18">
        <f>IF($Z101="","",IF(AND(DATE($AD101,3,1)&gt;=$AE101,DATE($AD101,3,1)&lt;=$AF101),ROUND($AG101,2),0))</f>
        <v/>
      </c>
      <c r="M101" s="18">
        <f>IF($Z101="","",IF(AND(DATE($AD101,4,1)&gt;=$AE101,DATE($AD101,4,1)&lt;=$AF101),ROUND($AG101,2),0))</f>
        <v/>
      </c>
      <c r="N101" s="18">
        <f>IF($Z101="","",IF(AND(DATE($AD101,5,1)&gt;=$AE101,DATE($AD101,5,1)&lt;=$AF101),ROUND($AG101,2),0))</f>
        <v/>
      </c>
      <c r="O101" s="18">
        <f>IF($Z101="","",IF(AND(DATE($AD101,6,1)&gt;=$AE101,DATE($AD101,6,1)&lt;=$AF101),ROUND($AG101,2),0))</f>
        <v/>
      </c>
      <c r="P101" s="18">
        <f>IF($Z101="","",IF(AND(DATE($AD101,7,1)&gt;=$AE101,DATE($AD101,7,1)&lt;=$AF101),ROUND($AG101,2),0))</f>
        <v/>
      </c>
      <c r="Q101" s="18">
        <f>IF($Z101="","",IF(AND(DATE($AD101,8,1)&gt;=$AE101,DATE($AD101,8,1)&lt;=$AF101),ROUND($AG101,2),0))</f>
        <v/>
      </c>
      <c r="R101" s="18">
        <f>IF($Z101="","",IF(AND(DATE($AD101,9,1)&gt;=$AE101,DATE($AD101,9,1)&lt;=$AF101),ROUND($AG101,2),0))</f>
        <v/>
      </c>
      <c r="S101" s="18">
        <f>IF($Z101="","",IF(AND(DATE($AD101,10,1)&gt;=$AE101,DATE($AD101,10,1)&lt;=$AF101),ROUND($AG101,2),0))</f>
        <v/>
      </c>
      <c r="T101" s="18">
        <f>IF($Z101="","",IF(AND(DATE($AD101,11,1)&gt;=$AE101,DATE($AD101,11,1)&lt;=$AF101),ROUND($AG101,2),0))</f>
        <v/>
      </c>
      <c r="U101" s="18">
        <f>IF($Z101="","",IF(AND(DATE($AD101,12,1)&gt;=$AE101,DATE($AD101,12,1)&lt;=$AF101),ROUND($AG101,2),0))</f>
        <v/>
      </c>
      <c r="V101" s="7">
        <f>IF($Z101="C","Generated from "&amp;INDEX(Contracts!$A$2:$A$151,$AB101),IF($Z101="A","Generated from "&amp;INDEX(Fixed_Assets!$A$2:$A$201,$AB101),IF($Z101="F","Generated from "&amp;INDEX(FTE_Allocation!$A$2:$A$201,$AB101),"")))</f>
        <v/>
      </c>
      <c r="X101" s="19">
        <f>IF($Z101="","",SUM(J101:U101))</f>
        <v/>
      </c>
      <c r="Y101" s="20">
        <f>ROW()-1</f>
        <v/>
      </c>
      <c r="Z101" s="20">
        <f>IF($Y101&lt;=Settings!$B$4*3,"C",IF($Y101&lt;=(Settings!$B$4+Settings!$B$5)*3,"A",IF($Y101&lt;=(Settings!$B$4+Settings!$B$5+Settings!$B$6)*3,"F","")))</f>
        <v/>
      </c>
      <c r="AA101" s="20">
        <f>IF($Z101="C",$Y101,IF($Z101="A",$Y101-Settings!$B$4*3,IF($Z101="F",$Y101-(Settings!$B$4+Settings!$B$5)*3,"")))</f>
        <v/>
      </c>
      <c r="AB101" s="20">
        <f>IF($Z101="","",INT(($AA101-1)/3)+1)</f>
        <v/>
      </c>
      <c r="AC101" s="20">
        <f>IF($Z101="","",MOD($AA101-1,3)+1)</f>
        <v/>
      </c>
      <c r="AD101" s="20">
        <f>IF($Z101="","",Settings!$B$2+$AC101-1)</f>
        <v/>
      </c>
      <c r="AE101" s="21">
        <f>IF($Z101="C",DATE(YEAR(INDEX(Contracts!$J$2:$J$151,$AB101)),MONTH(INDEX(Contracts!$J$2:$J$151,$AB101)),1),IF($Z101="A",DATE(YEAR(INDEX(Fixed_Assets!$G$2:$G$201,$AB101)),MONTH(INDEX(Fixed_Assets!$G$2:$G$201,$AB101)),1),IF($Z101="F",DATE(YEAR(MAX(N(INDEX(Workforce!$I$2:$I$151,MATCH(INDEX(FTE_Allocation!$A$2:$A$201,$AB101),Workforce!$A$2:$A$151,0))),N(INDEX(FTE_Allocation!$I$2:$I$201,$AB101)))),MONTH(MAX(N(INDEX(Workforce!$I$2:$I$151,MATCH(INDEX(FTE_Allocation!$A$2:$A$201,$AB101),Workforce!$A$2:$A$151,0))),N(INDEX(FTE_Allocation!$I$2:$I$201,$AB101)))),1),"")))</f>
        <v/>
      </c>
      <c r="AF101" s="21">
        <f>IF($Z101="C",IF(INDEX(Contracts!$I$2:$I$151,$AB101)="PREPAID",EDATE(DATE(YEAR(INDEX(Contracts!$J$2:$J$151,$AB101)),MONTH(INDEX(Contracts!$J$2:$J$151,$AB101)),1),IF(INDEX(Contracts!$N$2:$N$151,$AB101)="",12,INDEX(Contracts!$N$2:$N$151,$AB101))-1),IF(INDEX(Contracts!$I$2:$I$151,$AB101)="MONTHLY",IF(INDEX(Contracts!$K$2:$K$151,$AB101)="",2958101,INDEX(Contracts!$K$2:$K$151,$AB101)),0)),IF($Z101="A",EDATE(DATE(YEAR(INDEX(Fixed_Assets!$G$2:$G$201,$AB101)),MONTH(INDEX(Fixed_Assets!$G$2:$G$201,$AB101)),1),INDEX(Fixed_Assets!$J$2:$J$201,$AB101)-1),IF($Z101="F",MIN(IF(INDEX(Workforce!$J$2:$J$151,MATCH(INDEX(FTE_Allocation!$A$2:$A$201,$AB101),Workforce!$A$2:$A$151,0))="",2958101,INDEX(Workforce!$J$2:$J$151,MATCH(INDEX(FTE_Allocation!$A$2:$A$201,$AB101),Workforce!$A$2:$A$151,0))),IF(INDEX(FTE_Allocation!$J$2:$J$201,$AB101)="",2958101,INDEX(FTE_Allocation!$J$2:$J$201,$AB101))),"")))</f>
        <v/>
      </c>
      <c r="AG101" s="19">
        <f>IF($Z101="C",IF(INDEX(Contracts!$I$2:$I$151,$AB101)="PREPAID",INDEX(Contracts!$M$2:$M$151,$AB101)/IF(INDEX(Contracts!$N$2:$N$151,$AB101)="",12,INDEX(Contracts!$N$2:$N$151,$AB101)),IF(INDEX(Contracts!$I$2:$I$151,$AB101)="MONTHLY",INDEX(Contracts!$M$2:$M$151,$AB101),0))*(1-N(INDEX(Contracts!$O$2:$O$151,$AB101))),IF($Z101="A",INDEX(Fixed_Assets!$H$2:$H$201,$AB101)/INDEX(Fixed_Assets!$J$2:$J$201,$AB101),IF($Z101="F",INDEX(Workforce!$F$2:$F$151,MATCH(INDEX(FTE_Allocation!$A$2:$A$201,$AB101),Workforce!$A$2:$A$151,0))*N(INDEX(FTE_Allocation!$F$2:$H$201,$AB101,$AC101)),"")))</f>
        <v/>
      </c>
    </row>
    <row r="102">
      <c r="A102" s="7">
        <f>IF($Z102="","",$AD102)</f>
        <v/>
      </c>
      <c r="B102" s="7">
        <f>IF($Z102="C",INDEX(Contracts!$D$2:$D$151,$AB102)&amp;"",IF($Z102="A",INDEX(Fixed_Assets!$C$2:$C$201,$AB102)&amp;"",IF($Z102="F",INDEX(Workforce!$B$2:$B$151,MATCH(INDEX(FTE_Allocation!$A$2:$A$201,$AB102),Workforce!$A$2:$A$151,0))&amp;"","")))</f>
        <v/>
      </c>
      <c r="C102" s="7">
        <f>IF($Z102="C",INDEX(Contracts!$E$2:$E$151,$AB102)&amp;"",IF($Z102="A",INDEX(Fixed_Assets!$D$2:$D$201,$AB102)&amp;"",IF($Z102="F",INDEX(FTE_Allocation!$C$2:$C$201,$AB102)&amp;"","")))</f>
        <v/>
      </c>
      <c r="D102" s="7">
        <f>IF($Z102="C",INDEX(Contracts!$B$2:$B$151,$AB102)&amp;"",IF($Z102="A",INDEX(Fixed_Assets!$B$2:$B$201,$AB102)&amp;"",IF($Z102="F",INDEX(FTE_Allocation!$B$2:$B$201,$AB102)&amp;"","")))</f>
        <v/>
      </c>
      <c r="E102" s="7">
        <f>IF($Z102="C",INDEX(Contracts!$P$2:$P$151,$AB102)&amp;"",IF($Z102="A",INDEX(Fixed_Assets!$K$2:$K$201,$AB102)&amp;"",IF($Z102="F",IF(INDEX(FTE_Allocation!$D$2:$D$201,$AB102)="PROJECT",IFERROR(INDEX(Projects!$D:$D,MATCH(INDEX(FTE_Allocation!$E$2:$E$201,$AB102),Projects!$A:$A,0))&amp;"","#PROJECT?"),INDEX(FTE_Allocation!$E$2:$E$201,$AB102)&amp;""),"")))</f>
        <v/>
      </c>
      <c r="F102" s="7">
        <f>IF($Z102="C",INDEX(Contracts!$Q$2:$Q$151,$AB102)&amp;"",IF($Z102="A",INDEX(Fixed_Assets!$L$2:$L$201,$AB102)&amp;"",IF($Z102="F",INDEX(Workforce!$K$2:$K$151,MATCH(INDEX(FTE_Allocation!$A$2:$A$201,$AB102),Workforce!$A$2:$A$151,0))&amp;"","")))</f>
        <v/>
      </c>
      <c r="G102" s="7">
        <f>IF($Z102="C",INDEX(Contracts!$F$2:$F$151,$AB102)&amp;" / "&amp;INDEX(Contracts!$G$2:$G$151,$AB102),IF($Z102="A",INDEX(Fixed_Assets!$E$2:$E$201,$AB102)&amp;"",IF($Z102="F","Personnel "&amp;INDEX(FTE_Allocation!$A$2:$A$201,$AB102)&amp;IF(INDEX(FTE_Allocation!$D$2:$D$201,$AB102)="PROJECT"," ("&amp;INDEX(FTE_Allocation!$E$2:$E$201,$AB102)&amp;")",""),"")))</f>
        <v/>
      </c>
      <c r="H102" s="7">
        <f>IF($Z102="C","CONTRACT",IF($Z102="A","ASSET",IF($Z102="F","WORKFORCE","")))</f>
        <v/>
      </c>
      <c r="I102" s="7">
        <f>IF($Z102="C",INDEX(Contracts!$L$2:$L$151,$AB102)&amp;"",IF($Z102="A",INDEX(Fixed_Assets!$I$2:$I$201,$AB102)&amp;"",IF($Z102="F",INDEX(Workforce!$G$2:$G$151,MATCH(INDEX(FTE_Allocation!$A$2:$A$201,$AB102),Workforce!$A$2:$A$151,0))&amp;"","")))</f>
        <v/>
      </c>
      <c r="J102" s="18">
        <f>IF($Z102="","",IF(AND(DATE($AD102,1,1)&gt;=$AE102,DATE($AD102,1,1)&lt;=$AF102),ROUND($AG102,2),0))</f>
        <v/>
      </c>
      <c r="K102" s="18">
        <f>IF($Z102="","",IF(AND(DATE($AD102,2,1)&gt;=$AE102,DATE($AD102,2,1)&lt;=$AF102),ROUND($AG102,2),0))</f>
        <v/>
      </c>
      <c r="L102" s="18">
        <f>IF($Z102="","",IF(AND(DATE($AD102,3,1)&gt;=$AE102,DATE($AD102,3,1)&lt;=$AF102),ROUND($AG102,2),0))</f>
        <v/>
      </c>
      <c r="M102" s="18">
        <f>IF($Z102="","",IF(AND(DATE($AD102,4,1)&gt;=$AE102,DATE($AD102,4,1)&lt;=$AF102),ROUND($AG102,2),0))</f>
        <v/>
      </c>
      <c r="N102" s="18">
        <f>IF($Z102="","",IF(AND(DATE($AD102,5,1)&gt;=$AE102,DATE($AD102,5,1)&lt;=$AF102),ROUND($AG102,2),0))</f>
        <v/>
      </c>
      <c r="O102" s="18">
        <f>IF($Z102="","",IF(AND(DATE($AD102,6,1)&gt;=$AE102,DATE($AD102,6,1)&lt;=$AF102),ROUND($AG102,2),0))</f>
        <v/>
      </c>
      <c r="P102" s="18">
        <f>IF($Z102="","",IF(AND(DATE($AD102,7,1)&gt;=$AE102,DATE($AD102,7,1)&lt;=$AF102),ROUND($AG102,2),0))</f>
        <v/>
      </c>
      <c r="Q102" s="18">
        <f>IF($Z102="","",IF(AND(DATE($AD102,8,1)&gt;=$AE102,DATE($AD102,8,1)&lt;=$AF102),ROUND($AG102,2),0))</f>
        <v/>
      </c>
      <c r="R102" s="18">
        <f>IF($Z102="","",IF(AND(DATE($AD102,9,1)&gt;=$AE102,DATE($AD102,9,1)&lt;=$AF102),ROUND($AG102,2),0))</f>
        <v/>
      </c>
      <c r="S102" s="18">
        <f>IF($Z102="","",IF(AND(DATE($AD102,10,1)&gt;=$AE102,DATE($AD102,10,1)&lt;=$AF102),ROUND($AG102,2),0))</f>
        <v/>
      </c>
      <c r="T102" s="18">
        <f>IF($Z102="","",IF(AND(DATE($AD102,11,1)&gt;=$AE102,DATE($AD102,11,1)&lt;=$AF102),ROUND($AG102,2),0))</f>
        <v/>
      </c>
      <c r="U102" s="18">
        <f>IF($Z102="","",IF(AND(DATE($AD102,12,1)&gt;=$AE102,DATE($AD102,12,1)&lt;=$AF102),ROUND($AG102,2),0))</f>
        <v/>
      </c>
      <c r="V102" s="7">
        <f>IF($Z102="C","Generated from "&amp;INDEX(Contracts!$A$2:$A$151,$AB102),IF($Z102="A","Generated from "&amp;INDEX(Fixed_Assets!$A$2:$A$201,$AB102),IF($Z102="F","Generated from "&amp;INDEX(FTE_Allocation!$A$2:$A$201,$AB102),"")))</f>
        <v/>
      </c>
      <c r="X102" s="19">
        <f>IF($Z102="","",SUM(J102:U102))</f>
        <v/>
      </c>
      <c r="Y102" s="20">
        <f>ROW()-1</f>
        <v/>
      </c>
      <c r="Z102" s="20">
        <f>IF($Y102&lt;=Settings!$B$4*3,"C",IF($Y102&lt;=(Settings!$B$4+Settings!$B$5)*3,"A",IF($Y102&lt;=(Settings!$B$4+Settings!$B$5+Settings!$B$6)*3,"F","")))</f>
        <v/>
      </c>
      <c r="AA102" s="20">
        <f>IF($Z102="C",$Y102,IF($Z102="A",$Y102-Settings!$B$4*3,IF($Z102="F",$Y102-(Settings!$B$4+Settings!$B$5)*3,"")))</f>
        <v/>
      </c>
      <c r="AB102" s="20">
        <f>IF($Z102="","",INT(($AA102-1)/3)+1)</f>
        <v/>
      </c>
      <c r="AC102" s="20">
        <f>IF($Z102="","",MOD($AA102-1,3)+1)</f>
        <v/>
      </c>
      <c r="AD102" s="20">
        <f>IF($Z102="","",Settings!$B$2+$AC102-1)</f>
        <v/>
      </c>
      <c r="AE102" s="21">
        <f>IF($Z102="C",DATE(YEAR(INDEX(Contracts!$J$2:$J$151,$AB102)),MONTH(INDEX(Contracts!$J$2:$J$151,$AB102)),1),IF($Z102="A",DATE(YEAR(INDEX(Fixed_Assets!$G$2:$G$201,$AB102)),MONTH(INDEX(Fixed_Assets!$G$2:$G$201,$AB102)),1),IF($Z102="F",DATE(YEAR(MAX(N(INDEX(Workforce!$I$2:$I$151,MATCH(INDEX(FTE_Allocation!$A$2:$A$201,$AB102),Workforce!$A$2:$A$151,0))),N(INDEX(FTE_Allocation!$I$2:$I$201,$AB102)))),MONTH(MAX(N(INDEX(Workforce!$I$2:$I$151,MATCH(INDEX(FTE_Allocation!$A$2:$A$201,$AB102),Workforce!$A$2:$A$151,0))),N(INDEX(FTE_Allocation!$I$2:$I$201,$AB102)))),1),"")))</f>
        <v/>
      </c>
      <c r="AF102" s="21">
        <f>IF($Z102="C",IF(INDEX(Contracts!$I$2:$I$151,$AB102)="PREPAID",EDATE(DATE(YEAR(INDEX(Contracts!$J$2:$J$151,$AB102)),MONTH(INDEX(Contracts!$J$2:$J$151,$AB102)),1),IF(INDEX(Contracts!$N$2:$N$151,$AB102)="",12,INDEX(Contracts!$N$2:$N$151,$AB102))-1),IF(INDEX(Contracts!$I$2:$I$151,$AB102)="MONTHLY",IF(INDEX(Contracts!$K$2:$K$151,$AB102)="",2958101,INDEX(Contracts!$K$2:$K$151,$AB102)),0)),IF($Z102="A",EDATE(DATE(YEAR(INDEX(Fixed_Assets!$G$2:$G$201,$AB102)),MONTH(INDEX(Fixed_Assets!$G$2:$G$201,$AB102)),1),INDEX(Fixed_Assets!$J$2:$J$201,$AB102)-1),IF($Z102="F",MIN(IF(INDEX(Workforce!$J$2:$J$151,MATCH(INDEX(FTE_Allocation!$A$2:$A$201,$AB102),Workforce!$A$2:$A$151,0))="",2958101,INDEX(Workforce!$J$2:$J$151,MATCH(INDEX(FTE_Allocation!$A$2:$A$201,$AB102),Workforce!$A$2:$A$151,0))),IF(INDEX(FTE_Allocation!$J$2:$J$201,$AB102)="",2958101,INDEX(FTE_Allocation!$J$2:$J$201,$AB102))),"")))</f>
        <v/>
      </c>
      <c r="AG102" s="19">
        <f>IF($Z102="C",IF(INDEX(Contracts!$I$2:$I$151,$AB102)="PREPAID",INDEX(Contracts!$M$2:$M$151,$AB102)/IF(INDEX(Contracts!$N$2:$N$151,$AB102)="",12,INDEX(Contracts!$N$2:$N$151,$AB102)),IF(INDEX(Contracts!$I$2:$I$151,$AB102)="MONTHLY",INDEX(Contracts!$M$2:$M$151,$AB102),0))*(1-N(INDEX(Contracts!$O$2:$O$151,$AB102))),IF($Z102="A",INDEX(Fixed_Assets!$H$2:$H$201,$AB102)/INDEX(Fixed_Assets!$J$2:$J$201,$AB102),IF($Z102="F",INDEX(Workforce!$F$2:$F$151,MATCH(INDEX(FTE_Allocation!$A$2:$A$201,$AB102),Workforce!$A$2:$A$151,0))*N(INDEX(FTE_Allocation!$F$2:$H$201,$AB102,$AC102)),"")))</f>
        <v/>
      </c>
    </row>
    <row r="103">
      <c r="A103" s="7">
        <f>IF($Z103="","",$AD103)</f>
        <v/>
      </c>
      <c r="B103" s="7">
        <f>IF($Z103="C",INDEX(Contracts!$D$2:$D$151,$AB103)&amp;"",IF($Z103="A",INDEX(Fixed_Assets!$C$2:$C$201,$AB103)&amp;"",IF($Z103="F",INDEX(Workforce!$B$2:$B$151,MATCH(INDEX(FTE_Allocation!$A$2:$A$201,$AB103),Workforce!$A$2:$A$151,0))&amp;"","")))</f>
        <v/>
      </c>
      <c r="C103" s="7">
        <f>IF($Z103="C",INDEX(Contracts!$E$2:$E$151,$AB103)&amp;"",IF($Z103="A",INDEX(Fixed_Assets!$D$2:$D$201,$AB103)&amp;"",IF($Z103="F",INDEX(FTE_Allocation!$C$2:$C$201,$AB103)&amp;"","")))</f>
        <v/>
      </c>
      <c r="D103" s="7">
        <f>IF($Z103="C",INDEX(Contracts!$B$2:$B$151,$AB103)&amp;"",IF($Z103="A",INDEX(Fixed_Assets!$B$2:$B$201,$AB103)&amp;"",IF($Z103="F",INDEX(FTE_Allocation!$B$2:$B$201,$AB103)&amp;"","")))</f>
        <v/>
      </c>
      <c r="E103" s="7">
        <f>IF($Z103="C",INDEX(Contracts!$P$2:$P$151,$AB103)&amp;"",IF($Z103="A",INDEX(Fixed_Assets!$K$2:$K$201,$AB103)&amp;"",IF($Z103="F",IF(INDEX(FTE_Allocation!$D$2:$D$201,$AB103)="PROJECT",IFERROR(INDEX(Projects!$D:$D,MATCH(INDEX(FTE_Allocation!$E$2:$E$201,$AB103),Projects!$A:$A,0))&amp;"","#PROJECT?"),INDEX(FTE_Allocation!$E$2:$E$201,$AB103)&amp;""),"")))</f>
        <v/>
      </c>
      <c r="F103" s="7">
        <f>IF($Z103="C",INDEX(Contracts!$Q$2:$Q$151,$AB103)&amp;"",IF($Z103="A",INDEX(Fixed_Assets!$L$2:$L$201,$AB103)&amp;"",IF($Z103="F",INDEX(Workforce!$K$2:$K$151,MATCH(INDEX(FTE_Allocation!$A$2:$A$201,$AB103),Workforce!$A$2:$A$151,0))&amp;"","")))</f>
        <v/>
      </c>
      <c r="G103" s="7">
        <f>IF($Z103="C",INDEX(Contracts!$F$2:$F$151,$AB103)&amp;" / "&amp;INDEX(Contracts!$G$2:$G$151,$AB103),IF($Z103="A",INDEX(Fixed_Assets!$E$2:$E$201,$AB103)&amp;"",IF($Z103="F","Personnel "&amp;INDEX(FTE_Allocation!$A$2:$A$201,$AB103)&amp;IF(INDEX(FTE_Allocation!$D$2:$D$201,$AB103)="PROJECT"," ("&amp;INDEX(FTE_Allocation!$E$2:$E$201,$AB103)&amp;")",""),"")))</f>
        <v/>
      </c>
      <c r="H103" s="7">
        <f>IF($Z103="C","CONTRACT",IF($Z103="A","ASSET",IF($Z103="F","WORKFORCE","")))</f>
        <v/>
      </c>
      <c r="I103" s="7">
        <f>IF($Z103="C",INDEX(Contracts!$L$2:$L$151,$AB103)&amp;"",IF($Z103="A",INDEX(Fixed_Assets!$I$2:$I$201,$AB103)&amp;"",IF($Z103="F",INDEX(Workforce!$G$2:$G$151,MATCH(INDEX(FTE_Allocation!$A$2:$A$201,$AB103),Workforce!$A$2:$A$151,0))&amp;"","")))</f>
        <v/>
      </c>
      <c r="J103" s="18">
        <f>IF($Z103="","",IF(AND(DATE($AD103,1,1)&gt;=$AE103,DATE($AD103,1,1)&lt;=$AF103),ROUND($AG103,2),0))</f>
        <v/>
      </c>
      <c r="K103" s="18">
        <f>IF($Z103="","",IF(AND(DATE($AD103,2,1)&gt;=$AE103,DATE($AD103,2,1)&lt;=$AF103),ROUND($AG103,2),0))</f>
        <v/>
      </c>
      <c r="L103" s="18">
        <f>IF($Z103="","",IF(AND(DATE($AD103,3,1)&gt;=$AE103,DATE($AD103,3,1)&lt;=$AF103),ROUND($AG103,2),0))</f>
        <v/>
      </c>
      <c r="M103" s="18">
        <f>IF($Z103="","",IF(AND(DATE($AD103,4,1)&gt;=$AE103,DATE($AD103,4,1)&lt;=$AF103),ROUND($AG103,2),0))</f>
        <v/>
      </c>
      <c r="N103" s="18">
        <f>IF($Z103="","",IF(AND(DATE($AD103,5,1)&gt;=$AE103,DATE($AD103,5,1)&lt;=$AF103),ROUND($AG103,2),0))</f>
        <v/>
      </c>
      <c r="O103" s="18">
        <f>IF($Z103="","",IF(AND(DATE($AD103,6,1)&gt;=$AE103,DATE($AD103,6,1)&lt;=$AF103),ROUND($AG103,2),0))</f>
        <v/>
      </c>
      <c r="P103" s="18">
        <f>IF($Z103="","",IF(AND(DATE($AD103,7,1)&gt;=$AE103,DATE($AD103,7,1)&lt;=$AF103),ROUND($AG103,2),0))</f>
        <v/>
      </c>
      <c r="Q103" s="18">
        <f>IF($Z103="","",IF(AND(DATE($AD103,8,1)&gt;=$AE103,DATE($AD103,8,1)&lt;=$AF103),ROUND($AG103,2),0))</f>
        <v/>
      </c>
      <c r="R103" s="18">
        <f>IF($Z103="","",IF(AND(DATE($AD103,9,1)&gt;=$AE103,DATE($AD103,9,1)&lt;=$AF103),ROUND($AG103,2),0))</f>
        <v/>
      </c>
      <c r="S103" s="18">
        <f>IF($Z103="","",IF(AND(DATE($AD103,10,1)&gt;=$AE103,DATE($AD103,10,1)&lt;=$AF103),ROUND($AG103,2),0))</f>
        <v/>
      </c>
      <c r="T103" s="18">
        <f>IF($Z103="","",IF(AND(DATE($AD103,11,1)&gt;=$AE103,DATE($AD103,11,1)&lt;=$AF103),ROUND($AG103,2),0))</f>
        <v/>
      </c>
      <c r="U103" s="18">
        <f>IF($Z103="","",IF(AND(DATE($AD103,12,1)&gt;=$AE103,DATE($AD103,12,1)&lt;=$AF103),ROUND($AG103,2),0))</f>
        <v/>
      </c>
      <c r="V103" s="7">
        <f>IF($Z103="C","Generated from "&amp;INDEX(Contracts!$A$2:$A$151,$AB103),IF($Z103="A","Generated from "&amp;INDEX(Fixed_Assets!$A$2:$A$201,$AB103),IF($Z103="F","Generated from "&amp;INDEX(FTE_Allocation!$A$2:$A$201,$AB103),"")))</f>
        <v/>
      </c>
      <c r="X103" s="19">
        <f>IF($Z103="","",SUM(J103:U103))</f>
        <v/>
      </c>
      <c r="Y103" s="20">
        <f>ROW()-1</f>
        <v/>
      </c>
      <c r="Z103" s="20">
        <f>IF($Y103&lt;=Settings!$B$4*3,"C",IF($Y103&lt;=(Settings!$B$4+Settings!$B$5)*3,"A",IF($Y103&lt;=(Settings!$B$4+Settings!$B$5+Settings!$B$6)*3,"F","")))</f>
        <v/>
      </c>
      <c r="AA103" s="20">
        <f>IF($Z103="C",$Y103,IF($Z103="A",$Y103-Settings!$B$4*3,IF($Z103="F",$Y103-(Settings!$B$4+Settings!$B$5)*3,"")))</f>
        <v/>
      </c>
      <c r="AB103" s="20">
        <f>IF($Z103="","",INT(($AA103-1)/3)+1)</f>
        <v/>
      </c>
      <c r="AC103" s="20">
        <f>IF($Z103="","",MOD($AA103-1,3)+1)</f>
        <v/>
      </c>
      <c r="AD103" s="20">
        <f>IF($Z103="","",Settings!$B$2+$AC103-1)</f>
        <v/>
      </c>
      <c r="AE103" s="21">
        <f>IF($Z103="C",DATE(YEAR(INDEX(Contracts!$J$2:$J$151,$AB103)),MONTH(INDEX(Contracts!$J$2:$J$151,$AB103)),1),IF($Z103="A",DATE(YEAR(INDEX(Fixed_Assets!$G$2:$G$201,$AB103)),MONTH(INDEX(Fixed_Assets!$G$2:$G$201,$AB103)),1),IF($Z103="F",DATE(YEAR(MAX(N(INDEX(Workforce!$I$2:$I$151,MATCH(INDEX(FTE_Allocation!$A$2:$A$201,$AB103),Workforce!$A$2:$A$151,0))),N(INDEX(FTE_Allocation!$I$2:$I$201,$AB103)))),MONTH(MAX(N(INDEX(Workforce!$I$2:$I$151,MATCH(INDEX(FTE_Allocation!$A$2:$A$201,$AB103),Workforce!$A$2:$A$151,0))),N(INDEX(FTE_Allocation!$I$2:$I$201,$AB103)))),1),"")))</f>
        <v/>
      </c>
      <c r="AF103" s="21">
        <f>IF($Z103="C",IF(INDEX(Contracts!$I$2:$I$151,$AB103)="PREPAID",EDATE(DATE(YEAR(INDEX(Contracts!$J$2:$J$151,$AB103)),MONTH(INDEX(Contracts!$J$2:$J$151,$AB103)),1),IF(INDEX(Contracts!$N$2:$N$151,$AB103)="",12,INDEX(Contracts!$N$2:$N$151,$AB103))-1),IF(INDEX(Contracts!$I$2:$I$151,$AB103)="MONTHLY",IF(INDEX(Contracts!$K$2:$K$151,$AB103)="",2958101,INDEX(Contracts!$K$2:$K$151,$AB103)),0)),IF($Z103="A",EDATE(DATE(YEAR(INDEX(Fixed_Assets!$G$2:$G$201,$AB103)),MONTH(INDEX(Fixed_Assets!$G$2:$G$201,$AB103)),1),INDEX(Fixed_Assets!$J$2:$J$201,$AB103)-1),IF($Z103="F",MIN(IF(INDEX(Workforce!$J$2:$J$151,MATCH(INDEX(FTE_Allocation!$A$2:$A$201,$AB103),Workforce!$A$2:$A$151,0))="",2958101,INDEX(Workforce!$J$2:$J$151,MATCH(INDEX(FTE_Allocation!$A$2:$A$201,$AB103),Workforce!$A$2:$A$151,0))),IF(INDEX(FTE_Allocation!$J$2:$J$201,$AB103)="",2958101,INDEX(FTE_Allocation!$J$2:$J$201,$AB103))),"")))</f>
        <v/>
      </c>
      <c r="AG103" s="19">
        <f>IF($Z103="C",IF(INDEX(Contracts!$I$2:$I$151,$AB103)="PREPAID",INDEX(Contracts!$M$2:$M$151,$AB103)/IF(INDEX(Contracts!$N$2:$N$151,$AB103)="",12,INDEX(Contracts!$N$2:$N$151,$AB103)),IF(INDEX(Contracts!$I$2:$I$151,$AB103)="MONTHLY",INDEX(Contracts!$M$2:$M$151,$AB103),0))*(1-N(INDEX(Contracts!$O$2:$O$151,$AB103))),IF($Z103="A",INDEX(Fixed_Assets!$H$2:$H$201,$AB103)/INDEX(Fixed_Assets!$J$2:$J$201,$AB103),IF($Z103="F",INDEX(Workforce!$F$2:$F$151,MATCH(INDEX(FTE_Allocation!$A$2:$A$201,$AB103),Workforce!$A$2:$A$151,0))*N(INDEX(FTE_Allocation!$F$2:$H$201,$AB103,$AC103)),"")))</f>
        <v/>
      </c>
    </row>
    <row r="104">
      <c r="A104" s="7">
        <f>IF($Z104="","",$AD104)</f>
        <v/>
      </c>
      <c r="B104" s="7">
        <f>IF($Z104="C",INDEX(Contracts!$D$2:$D$151,$AB104)&amp;"",IF($Z104="A",INDEX(Fixed_Assets!$C$2:$C$201,$AB104)&amp;"",IF($Z104="F",INDEX(Workforce!$B$2:$B$151,MATCH(INDEX(FTE_Allocation!$A$2:$A$201,$AB104),Workforce!$A$2:$A$151,0))&amp;"","")))</f>
        <v/>
      </c>
      <c r="C104" s="7">
        <f>IF($Z104="C",INDEX(Contracts!$E$2:$E$151,$AB104)&amp;"",IF($Z104="A",INDEX(Fixed_Assets!$D$2:$D$201,$AB104)&amp;"",IF($Z104="F",INDEX(FTE_Allocation!$C$2:$C$201,$AB104)&amp;"","")))</f>
        <v/>
      </c>
      <c r="D104" s="7">
        <f>IF($Z104="C",INDEX(Contracts!$B$2:$B$151,$AB104)&amp;"",IF($Z104="A",INDEX(Fixed_Assets!$B$2:$B$201,$AB104)&amp;"",IF($Z104="F",INDEX(FTE_Allocation!$B$2:$B$201,$AB104)&amp;"","")))</f>
        <v/>
      </c>
      <c r="E104" s="7">
        <f>IF($Z104="C",INDEX(Contracts!$P$2:$P$151,$AB104)&amp;"",IF($Z104="A",INDEX(Fixed_Assets!$K$2:$K$201,$AB104)&amp;"",IF($Z104="F",IF(INDEX(FTE_Allocation!$D$2:$D$201,$AB104)="PROJECT",IFERROR(INDEX(Projects!$D:$D,MATCH(INDEX(FTE_Allocation!$E$2:$E$201,$AB104),Projects!$A:$A,0))&amp;"","#PROJECT?"),INDEX(FTE_Allocation!$E$2:$E$201,$AB104)&amp;""),"")))</f>
        <v/>
      </c>
      <c r="F104" s="7">
        <f>IF($Z104="C",INDEX(Contracts!$Q$2:$Q$151,$AB104)&amp;"",IF($Z104="A",INDEX(Fixed_Assets!$L$2:$L$201,$AB104)&amp;"",IF($Z104="F",INDEX(Workforce!$K$2:$K$151,MATCH(INDEX(FTE_Allocation!$A$2:$A$201,$AB104),Workforce!$A$2:$A$151,0))&amp;"","")))</f>
        <v/>
      </c>
      <c r="G104" s="7">
        <f>IF($Z104="C",INDEX(Contracts!$F$2:$F$151,$AB104)&amp;" / "&amp;INDEX(Contracts!$G$2:$G$151,$AB104),IF($Z104="A",INDEX(Fixed_Assets!$E$2:$E$201,$AB104)&amp;"",IF($Z104="F","Personnel "&amp;INDEX(FTE_Allocation!$A$2:$A$201,$AB104)&amp;IF(INDEX(FTE_Allocation!$D$2:$D$201,$AB104)="PROJECT"," ("&amp;INDEX(FTE_Allocation!$E$2:$E$201,$AB104)&amp;")",""),"")))</f>
        <v/>
      </c>
      <c r="H104" s="7">
        <f>IF($Z104="C","CONTRACT",IF($Z104="A","ASSET",IF($Z104="F","WORKFORCE","")))</f>
        <v/>
      </c>
      <c r="I104" s="7">
        <f>IF($Z104="C",INDEX(Contracts!$L$2:$L$151,$AB104)&amp;"",IF($Z104="A",INDEX(Fixed_Assets!$I$2:$I$201,$AB104)&amp;"",IF($Z104="F",INDEX(Workforce!$G$2:$G$151,MATCH(INDEX(FTE_Allocation!$A$2:$A$201,$AB104),Workforce!$A$2:$A$151,0))&amp;"","")))</f>
        <v/>
      </c>
      <c r="J104" s="18">
        <f>IF($Z104="","",IF(AND(DATE($AD104,1,1)&gt;=$AE104,DATE($AD104,1,1)&lt;=$AF104),ROUND($AG104,2),0))</f>
        <v/>
      </c>
      <c r="K104" s="18">
        <f>IF($Z104="","",IF(AND(DATE($AD104,2,1)&gt;=$AE104,DATE($AD104,2,1)&lt;=$AF104),ROUND($AG104,2),0))</f>
        <v/>
      </c>
      <c r="L104" s="18">
        <f>IF($Z104="","",IF(AND(DATE($AD104,3,1)&gt;=$AE104,DATE($AD104,3,1)&lt;=$AF104),ROUND($AG104,2),0))</f>
        <v/>
      </c>
      <c r="M104" s="18">
        <f>IF($Z104="","",IF(AND(DATE($AD104,4,1)&gt;=$AE104,DATE($AD104,4,1)&lt;=$AF104),ROUND($AG104,2),0))</f>
        <v/>
      </c>
      <c r="N104" s="18">
        <f>IF($Z104="","",IF(AND(DATE($AD104,5,1)&gt;=$AE104,DATE($AD104,5,1)&lt;=$AF104),ROUND($AG104,2),0))</f>
        <v/>
      </c>
      <c r="O104" s="18">
        <f>IF($Z104="","",IF(AND(DATE($AD104,6,1)&gt;=$AE104,DATE($AD104,6,1)&lt;=$AF104),ROUND($AG104,2),0))</f>
        <v/>
      </c>
      <c r="P104" s="18">
        <f>IF($Z104="","",IF(AND(DATE($AD104,7,1)&gt;=$AE104,DATE($AD104,7,1)&lt;=$AF104),ROUND($AG104,2),0))</f>
        <v/>
      </c>
      <c r="Q104" s="18">
        <f>IF($Z104="","",IF(AND(DATE($AD104,8,1)&gt;=$AE104,DATE($AD104,8,1)&lt;=$AF104),ROUND($AG104,2),0))</f>
        <v/>
      </c>
      <c r="R104" s="18">
        <f>IF($Z104="","",IF(AND(DATE($AD104,9,1)&gt;=$AE104,DATE($AD104,9,1)&lt;=$AF104),ROUND($AG104,2),0))</f>
        <v/>
      </c>
      <c r="S104" s="18">
        <f>IF($Z104="","",IF(AND(DATE($AD104,10,1)&gt;=$AE104,DATE($AD104,10,1)&lt;=$AF104),ROUND($AG104,2),0))</f>
        <v/>
      </c>
      <c r="T104" s="18">
        <f>IF($Z104="","",IF(AND(DATE($AD104,11,1)&gt;=$AE104,DATE($AD104,11,1)&lt;=$AF104),ROUND($AG104,2),0))</f>
        <v/>
      </c>
      <c r="U104" s="18">
        <f>IF($Z104="","",IF(AND(DATE($AD104,12,1)&gt;=$AE104,DATE($AD104,12,1)&lt;=$AF104),ROUND($AG104,2),0))</f>
        <v/>
      </c>
      <c r="V104" s="7">
        <f>IF($Z104="C","Generated from "&amp;INDEX(Contracts!$A$2:$A$151,$AB104),IF($Z104="A","Generated from "&amp;INDEX(Fixed_Assets!$A$2:$A$201,$AB104),IF($Z104="F","Generated from "&amp;INDEX(FTE_Allocation!$A$2:$A$201,$AB104),"")))</f>
        <v/>
      </c>
      <c r="X104" s="19">
        <f>IF($Z104="","",SUM(J104:U104))</f>
        <v/>
      </c>
      <c r="Y104" s="20">
        <f>ROW()-1</f>
        <v/>
      </c>
      <c r="Z104" s="20">
        <f>IF($Y104&lt;=Settings!$B$4*3,"C",IF($Y104&lt;=(Settings!$B$4+Settings!$B$5)*3,"A",IF($Y104&lt;=(Settings!$B$4+Settings!$B$5+Settings!$B$6)*3,"F","")))</f>
        <v/>
      </c>
      <c r="AA104" s="20">
        <f>IF($Z104="C",$Y104,IF($Z104="A",$Y104-Settings!$B$4*3,IF($Z104="F",$Y104-(Settings!$B$4+Settings!$B$5)*3,"")))</f>
        <v/>
      </c>
      <c r="AB104" s="20">
        <f>IF($Z104="","",INT(($AA104-1)/3)+1)</f>
        <v/>
      </c>
      <c r="AC104" s="20">
        <f>IF($Z104="","",MOD($AA104-1,3)+1)</f>
        <v/>
      </c>
      <c r="AD104" s="20">
        <f>IF($Z104="","",Settings!$B$2+$AC104-1)</f>
        <v/>
      </c>
      <c r="AE104" s="21">
        <f>IF($Z104="C",DATE(YEAR(INDEX(Contracts!$J$2:$J$151,$AB104)),MONTH(INDEX(Contracts!$J$2:$J$151,$AB104)),1),IF($Z104="A",DATE(YEAR(INDEX(Fixed_Assets!$G$2:$G$201,$AB104)),MONTH(INDEX(Fixed_Assets!$G$2:$G$201,$AB104)),1),IF($Z104="F",DATE(YEAR(MAX(N(INDEX(Workforce!$I$2:$I$151,MATCH(INDEX(FTE_Allocation!$A$2:$A$201,$AB104),Workforce!$A$2:$A$151,0))),N(INDEX(FTE_Allocation!$I$2:$I$201,$AB104)))),MONTH(MAX(N(INDEX(Workforce!$I$2:$I$151,MATCH(INDEX(FTE_Allocation!$A$2:$A$201,$AB104),Workforce!$A$2:$A$151,0))),N(INDEX(FTE_Allocation!$I$2:$I$201,$AB104)))),1),"")))</f>
        <v/>
      </c>
      <c r="AF104" s="21">
        <f>IF($Z104="C",IF(INDEX(Contracts!$I$2:$I$151,$AB104)="PREPAID",EDATE(DATE(YEAR(INDEX(Contracts!$J$2:$J$151,$AB104)),MONTH(INDEX(Contracts!$J$2:$J$151,$AB104)),1),IF(INDEX(Contracts!$N$2:$N$151,$AB104)="",12,INDEX(Contracts!$N$2:$N$151,$AB104))-1),IF(INDEX(Contracts!$I$2:$I$151,$AB104)="MONTHLY",IF(INDEX(Contracts!$K$2:$K$151,$AB104)="",2958101,INDEX(Contracts!$K$2:$K$151,$AB104)),0)),IF($Z104="A",EDATE(DATE(YEAR(INDEX(Fixed_Assets!$G$2:$G$201,$AB104)),MONTH(INDEX(Fixed_Assets!$G$2:$G$201,$AB104)),1),INDEX(Fixed_Assets!$J$2:$J$201,$AB104)-1),IF($Z104="F",MIN(IF(INDEX(Workforce!$J$2:$J$151,MATCH(INDEX(FTE_Allocation!$A$2:$A$201,$AB104),Workforce!$A$2:$A$151,0))="",2958101,INDEX(Workforce!$J$2:$J$151,MATCH(INDEX(FTE_Allocation!$A$2:$A$201,$AB104),Workforce!$A$2:$A$151,0))),IF(INDEX(FTE_Allocation!$J$2:$J$201,$AB104)="",2958101,INDEX(FTE_Allocation!$J$2:$J$201,$AB104))),"")))</f>
        <v/>
      </c>
      <c r="AG104" s="19">
        <f>IF($Z104="C",IF(INDEX(Contracts!$I$2:$I$151,$AB104)="PREPAID",INDEX(Contracts!$M$2:$M$151,$AB104)/IF(INDEX(Contracts!$N$2:$N$151,$AB104)="",12,INDEX(Contracts!$N$2:$N$151,$AB104)),IF(INDEX(Contracts!$I$2:$I$151,$AB104)="MONTHLY",INDEX(Contracts!$M$2:$M$151,$AB104),0))*(1-N(INDEX(Contracts!$O$2:$O$151,$AB104))),IF($Z104="A",INDEX(Fixed_Assets!$H$2:$H$201,$AB104)/INDEX(Fixed_Assets!$J$2:$J$201,$AB104),IF($Z104="F",INDEX(Workforce!$F$2:$F$151,MATCH(INDEX(FTE_Allocation!$A$2:$A$201,$AB104),Workforce!$A$2:$A$151,0))*N(INDEX(FTE_Allocation!$F$2:$H$201,$AB104,$AC104)),"")))</f>
        <v/>
      </c>
    </row>
    <row r="105">
      <c r="A105" s="7">
        <f>IF($Z105="","",$AD105)</f>
        <v/>
      </c>
      <c r="B105" s="7">
        <f>IF($Z105="C",INDEX(Contracts!$D$2:$D$151,$AB105)&amp;"",IF($Z105="A",INDEX(Fixed_Assets!$C$2:$C$201,$AB105)&amp;"",IF($Z105="F",INDEX(Workforce!$B$2:$B$151,MATCH(INDEX(FTE_Allocation!$A$2:$A$201,$AB105),Workforce!$A$2:$A$151,0))&amp;"","")))</f>
        <v/>
      </c>
      <c r="C105" s="7">
        <f>IF($Z105="C",INDEX(Contracts!$E$2:$E$151,$AB105)&amp;"",IF($Z105="A",INDEX(Fixed_Assets!$D$2:$D$201,$AB105)&amp;"",IF($Z105="F",INDEX(FTE_Allocation!$C$2:$C$201,$AB105)&amp;"","")))</f>
        <v/>
      </c>
      <c r="D105" s="7">
        <f>IF($Z105="C",INDEX(Contracts!$B$2:$B$151,$AB105)&amp;"",IF($Z105="A",INDEX(Fixed_Assets!$B$2:$B$201,$AB105)&amp;"",IF($Z105="F",INDEX(FTE_Allocation!$B$2:$B$201,$AB105)&amp;"","")))</f>
        <v/>
      </c>
      <c r="E105" s="7">
        <f>IF($Z105="C",INDEX(Contracts!$P$2:$P$151,$AB105)&amp;"",IF($Z105="A",INDEX(Fixed_Assets!$K$2:$K$201,$AB105)&amp;"",IF($Z105="F",IF(INDEX(FTE_Allocation!$D$2:$D$201,$AB105)="PROJECT",IFERROR(INDEX(Projects!$D:$D,MATCH(INDEX(FTE_Allocation!$E$2:$E$201,$AB105),Projects!$A:$A,0))&amp;"","#PROJECT?"),INDEX(FTE_Allocation!$E$2:$E$201,$AB105)&amp;""),"")))</f>
        <v/>
      </c>
      <c r="F105" s="7">
        <f>IF($Z105="C",INDEX(Contracts!$Q$2:$Q$151,$AB105)&amp;"",IF($Z105="A",INDEX(Fixed_Assets!$L$2:$L$201,$AB105)&amp;"",IF($Z105="F",INDEX(Workforce!$K$2:$K$151,MATCH(INDEX(FTE_Allocation!$A$2:$A$201,$AB105),Workforce!$A$2:$A$151,0))&amp;"","")))</f>
        <v/>
      </c>
      <c r="G105" s="7">
        <f>IF($Z105="C",INDEX(Contracts!$F$2:$F$151,$AB105)&amp;" / "&amp;INDEX(Contracts!$G$2:$G$151,$AB105),IF($Z105="A",INDEX(Fixed_Assets!$E$2:$E$201,$AB105)&amp;"",IF($Z105="F","Personnel "&amp;INDEX(FTE_Allocation!$A$2:$A$201,$AB105)&amp;IF(INDEX(FTE_Allocation!$D$2:$D$201,$AB105)="PROJECT"," ("&amp;INDEX(FTE_Allocation!$E$2:$E$201,$AB105)&amp;")",""),"")))</f>
        <v/>
      </c>
      <c r="H105" s="7">
        <f>IF($Z105="C","CONTRACT",IF($Z105="A","ASSET",IF($Z105="F","WORKFORCE","")))</f>
        <v/>
      </c>
      <c r="I105" s="7">
        <f>IF($Z105="C",INDEX(Contracts!$L$2:$L$151,$AB105)&amp;"",IF($Z105="A",INDEX(Fixed_Assets!$I$2:$I$201,$AB105)&amp;"",IF($Z105="F",INDEX(Workforce!$G$2:$G$151,MATCH(INDEX(FTE_Allocation!$A$2:$A$201,$AB105),Workforce!$A$2:$A$151,0))&amp;"","")))</f>
        <v/>
      </c>
      <c r="J105" s="18">
        <f>IF($Z105="","",IF(AND(DATE($AD105,1,1)&gt;=$AE105,DATE($AD105,1,1)&lt;=$AF105),ROUND($AG105,2),0))</f>
        <v/>
      </c>
      <c r="K105" s="18">
        <f>IF($Z105="","",IF(AND(DATE($AD105,2,1)&gt;=$AE105,DATE($AD105,2,1)&lt;=$AF105),ROUND($AG105,2),0))</f>
        <v/>
      </c>
      <c r="L105" s="18">
        <f>IF($Z105="","",IF(AND(DATE($AD105,3,1)&gt;=$AE105,DATE($AD105,3,1)&lt;=$AF105),ROUND($AG105,2),0))</f>
        <v/>
      </c>
      <c r="M105" s="18">
        <f>IF($Z105="","",IF(AND(DATE($AD105,4,1)&gt;=$AE105,DATE($AD105,4,1)&lt;=$AF105),ROUND($AG105,2),0))</f>
        <v/>
      </c>
      <c r="N105" s="18">
        <f>IF($Z105="","",IF(AND(DATE($AD105,5,1)&gt;=$AE105,DATE($AD105,5,1)&lt;=$AF105),ROUND($AG105,2),0))</f>
        <v/>
      </c>
      <c r="O105" s="18">
        <f>IF($Z105="","",IF(AND(DATE($AD105,6,1)&gt;=$AE105,DATE($AD105,6,1)&lt;=$AF105),ROUND($AG105,2),0))</f>
        <v/>
      </c>
      <c r="P105" s="18">
        <f>IF($Z105="","",IF(AND(DATE($AD105,7,1)&gt;=$AE105,DATE($AD105,7,1)&lt;=$AF105),ROUND($AG105,2),0))</f>
        <v/>
      </c>
      <c r="Q105" s="18">
        <f>IF($Z105="","",IF(AND(DATE($AD105,8,1)&gt;=$AE105,DATE($AD105,8,1)&lt;=$AF105),ROUND($AG105,2),0))</f>
        <v/>
      </c>
      <c r="R105" s="18">
        <f>IF($Z105="","",IF(AND(DATE($AD105,9,1)&gt;=$AE105,DATE($AD105,9,1)&lt;=$AF105),ROUND($AG105,2),0))</f>
        <v/>
      </c>
      <c r="S105" s="18">
        <f>IF($Z105="","",IF(AND(DATE($AD105,10,1)&gt;=$AE105,DATE($AD105,10,1)&lt;=$AF105),ROUND($AG105,2),0))</f>
        <v/>
      </c>
      <c r="T105" s="18">
        <f>IF($Z105="","",IF(AND(DATE($AD105,11,1)&gt;=$AE105,DATE($AD105,11,1)&lt;=$AF105),ROUND($AG105,2),0))</f>
        <v/>
      </c>
      <c r="U105" s="18">
        <f>IF($Z105="","",IF(AND(DATE($AD105,12,1)&gt;=$AE105,DATE($AD105,12,1)&lt;=$AF105),ROUND($AG105,2),0))</f>
        <v/>
      </c>
      <c r="V105" s="7">
        <f>IF($Z105="C","Generated from "&amp;INDEX(Contracts!$A$2:$A$151,$AB105),IF($Z105="A","Generated from "&amp;INDEX(Fixed_Assets!$A$2:$A$201,$AB105),IF($Z105="F","Generated from "&amp;INDEX(FTE_Allocation!$A$2:$A$201,$AB105),"")))</f>
        <v/>
      </c>
      <c r="X105" s="19">
        <f>IF($Z105="","",SUM(J105:U105))</f>
        <v/>
      </c>
      <c r="Y105" s="20">
        <f>ROW()-1</f>
        <v/>
      </c>
      <c r="Z105" s="20">
        <f>IF($Y105&lt;=Settings!$B$4*3,"C",IF($Y105&lt;=(Settings!$B$4+Settings!$B$5)*3,"A",IF($Y105&lt;=(Settings!$B$4+Settings!$B$5+Settings!$B$6)*3,"F","")))</f>
        <v/>
      </c>
      <c r="AA105" s="20">
        <f>IF($Z105="C",$Y105,IF($Z105="A",$Y105-Settings!$B$4*3,IF($Z105="F",$Y105-(Settings!$B$4+Settings!$B$5)*3,"")))</f>
        <v/>
      </c>
      <c r="AB105" s="20">
        <f>IF($Z105="","",INT(($AA105-1)/3)+1)</f>
        <v/>
      </c>
      <c r="AC105" s="20">
        <f>IF($Z105="","",MOD($AA105-1,3)+1)</f>
        <v/>
      </c>
      <c r="AD105" s="20">
        <f>IF($Z105="","",Settings!$B$2+$AC105-1)</f>
        <v/>
      </c>
      <c r="AE105" s="21">
        <f>IF($Z105="C",DATE(YEAR(INDEX(Contracts!$J$2:$J$151,$AB105)),MONTH(INDEX(Contracts!$J$2:$J$151,$AB105)),1),IF($Z105="A",DATE(YEAR(INDEX(Fixed_Assets!$G$2:$G$201,$AB105)),MONTH(INDEX(Fixed_Assets!$G$2:$G$201,$AB105)),1),IF($Z105="F",DATE(YEAR(MAX(N(INDEX(Workforce!$I$2:$I$151,MATCH(INDEX(FTE_Allocation!$A$2:$A$201,$AB105),Workforce!$A$2:$A$151,0))),N(INDEX(FTE_Allocation!$I$2:$I$201,$AB105)))),MONTH(MAX(N(INDEX(Workforce!$I$2:$I$151,MATCH(INDEX(FTE_Allocation!$A$2:$A$201,$AB105),Workforce!$A$2:$A$151,0))),N(INDEX(FTE_Allocation!$I$2:$I$201,$AB105)))),1),"")))</f>
        <v/>
      </c>
      <c r="AF105" s="21">
        <f>IF($Z105="C",IF(INDEX(Contracts!$I$2:$I$151,$AB105)="PREPAID",EDATE(DATE(YEAR(INDEX(Contracts!$J$2:$J$151,$AB105)),MONTH(INDEX(Contracts!$J$2:$J$151,$AB105)),1),IF(INDEX(Contracts!$N$2:$N$151,$AB105)="",12,INDEX(Contracts!$N$2:$N$151,$AB105))-1),IF(INDEX(Contracts!$I$2:$I$151,$AB105)="MONTHLY",IF(INDEX(Contracts!$K$2:$K$151,$AB105)="",2958101,INDEX(Contracts!$K$2:$K$151,$AB105)),0)),IF($Z105="A",EDATE(DATE(YEAR(INDEX(Fixed_Assets!$G$2:$G$201,$AB105)),MONTH(INDEX(Fixed_Assets!$G$2:$G$201,$AB105)),1),INDEX(Fixed_Assets!$J$2:$J$201,$AB105)-1),IF($Z105="F",MIN(IF(INDEX(Workforce!$J$2:$J$151,MATCH(INDEX(FTE_Allocation!$A$2:$A$201,$AB105),Workforce!$A$2:$A$151,0))="",2958101,INDEX(Workforce!$J$2:$J$151,MATCH(INDEX(FTE_Allocation!$A$2:$A$201,$AB105),Workforce!$A$2:$A$151,0))),IF(INDEX(FTE_Allocation!$J$2:$J$201,$AB105)="",2958101,INDEX(FTE_Allocation!$J$2:$J$201,$AB105))),"")))</f>
        <v/>
      </c>
      <c r="AG105" s="19">
        <f>IF($Z105="C",IF(INDEX(Contracts!$I$2:$I$151,$AB105)="PREPAID",INDEX(Contracts!$M$2:$M$151,$AB105)/IF(INDEX(Contracts!$N$2:$N$151,$AB105)="",12,INDEX(Contracts!$N$2:$N$151,$AB105)),IF(INDEX(Contracts!$I$2:$I$151,$AB105)="MONTHLY",INDEX(Contracts!$M$2:$M$151,$AB105),0))*(1-N(INDEX(Contracts!$O$2:$O$151,$AB105))),IF($Z105="A",INDEX(Fixed_Assets!$H$2:$H$201,$AB105)/INDEX(Fixed_Assets!$J$2:$J$201,$AB105),IF($Z105="F",INDEX(Workforce!$F$2:$F$151,MATCH(INDEX(FTE_Allocation!$A$2:$A$201,$AB105),Workforce!$A$2:$A$151,0))*N(INDEX(FTE_Allocation!$F$2:$H$201,$AB105,$AC105)),"")))</f>
        <v/>
      </c>
    </row>
    <row r="106">
      <c r="A106" s="7">
        <f>IF($Z106="","",$AD106)</f>
        <v/>
      </c>
      <c r="B106" s="7">
        <f>IF($Z106="C",INDEX(Contracts!$D$2:$D$151,$AB106)&amp;"",IF($Z106="A",INDEX(Fixed_Assets!$C$2:$C$201,$AB106)&amp;"",IF($Z106="F",INDEX(Workforce!$B$2:$B$151,MATCH(INDEX(FTE_Allocation!$A$2:$A$201,$AB106),Workforce!$A$2:$A$151,0))&amp;"","")))</f>
        <v/>
      </c>
      <c r="C106" s="7">
        <f>IF($Z106="C",INDEX(Contracts!$E$2:$E$151,$AB106)&amp;"",IF($Z106="A",INDEX(Fixed_Assets!$D$2:$D$201,$AB106)&amp;"",IF($Z106="F",INDEX(FTE_Allocation!$C$2:$C$201,$AB106)&amp;"","")))</f>
        <v/>
      </c>
      <c r="D106" s="7">
        <f>IF($Z106="C",INDEX(Contracts!$B$2:$B$151,$AB106)&amp;"",IF($Z106="A",INDEX(Fixed_Assets!$B$2:$B$201,$AB106)&amp;"",IF($Z106="F",INDEX(FTE_Allocation!$B$2:$B$201,$AB106)&amp;"","")))</f>
        <v/>
      </c>
      <c r="E106" s="7">
        <f>IF($Z106="C",INDEX(Contracts!$P$2:$P$151,$AB106)&amp;"",IF($Z106="A",INDEX(Fixed_Assets!$K$2:$K$201,$AB106)&amp;"",IF($Z106="F",IF(INDEX(FTE_Allocation!$D$2:$D$201,$AB106)="PROJECT",IFERROR(INDEX(Projects!$D:$D,MATCH(INDEX(FTE_Allocation!$E$2:$E$201,$AB106),Projects!$A:$A,0))&amp;"","#PROJECT?"),INDEX(FTE_Allocation!$E$2:$E$201,$AB106)&amp;""),"")))</f>
        <v/>
      </c>
      <c r="F106" s="7">
        <f>IF($Z106="C",INDEX(Contracts!$Q$2:$Q$151,$AB106)&amp;"",IF($Z106="A",INDEX(Fixed_Assets!$L$2:$L$201,$AB106)&amp;"",IF($Z106="F",INDEX(Workforce!$K$2:$K$151,MATCH(INDEX(FTE_Allocation!$A$2:$A$201,$AB106),Workforce!$A$2:$A$151,0))&amp;"","")))</f>
        <v/>
      </c>
      <c r="G106" s="7">
        <f>IF($Z106="C",INDEX(Contracts!$F$2:$F$151,$AB106)&amp;" / "&amp;INDEX(Contracts!$G$2:$G$151,$AB106),IF($Z106="A",INDEX(Fixed_Assets!$E$2:$E$201,$AB106)&amp;"",IF($Z106="F","Personnel "&amp;INDEX(FTE_Allocation!$A$2:$A$201,$AB106)&amp;IF(INDEX(FTE_Allocation!$D$2:$D$201,$AB106)="PROJECT"," ("&amp;INDEX(FTE_Allocation!$E$2:$E$201,$AB106)&amp;")",""),"")))</f>
        <v/>
      </c>
      <c r="H106" s="7">
        <f>IF($Z106="C","CONTRACT",IF($Z106="A","ASSET",IF($Z106="F","WORKFORCE","")))</f>
        <v/>
      </c>
      <c r="I106" s="7">
        <f>IF($Z106="C",INDEX(Contracts!$L$2:$L$151,$AB106)&amp;"",IF($Z106="A",INDEX(Fixed_Assets!$I$2:$I$201,$AB106)&amp;"",IF($Z106="F",INDEX(Workforce!$G$2:$G$151,MATCH(INDEX(FTE_Allocation!$A$2:$A$201,$AB106),Workforce!$A$2:$A$151,0))&amp;"","")))</f>
        <v/>
      </c>
      <c r="J106" s="18">
        <f>IF($Z106="","",IF(AND(DATE($AD106,1,1)&gt;=$AE106,DATE($AD106,1,1)&lt;=$AF106),ROUND($AG106,2),0))</f>
        <v/>
      </c>
      <c r="K106" s="18">
        <f>IF($Z106="","",IF(AND(DATE($AD106,2,1)&gt;=$AE106,DATE($AD106,2,1)&lt;=$AF106),ROUND($AG106,2),0))</f>
        <v/>
      </c>
      <c r="L106" s="18">
        <f>IF($Z106="","",IF(AND(DATE($AD106,3,1)&gt;=$AE106,DATE($AD106,3,1)&lt;=$AF106),ROUND($AG106,2),0))</f>
        <v/>
      </c>
      <c r="M106" s="18">
        <f>IF($Z106="","",IF(AND(DATE($AD106,4,1)&gt;=$AE106,DATE($AD106,4,1)&lt;=$AF106),ROUND($AG106,2),0))</f>
        <v/>
      </c>
      <c r="N106" s="18">
        <f>IF($Z106="","",IF(AND(DATE($AD106,5,1)&gt;=$AE106,DATE($AD106,5,1)&lt;=$AF106),ROUND($AG106,2),0))</f>
        <v/>
      </c>
      <c r="O106" s="18">
        <f>IF($Z106="","",IF(AND(DATE($AD106,6,1)&gt;=$AE106,DATE($AD106,6,1)&lt;=$AF106),ROUND($AG106,2),0))</f>
        <v/>
      </c>
      <c r="P106" s="18">
        <f>IF($Z106="","",IF(AND(DATE($AD106,7,1)&gt;=$AE106,DATE($AD106,7,1)&lt;=$AF106),ROUND($AG106,2),0))</f>
        <v/>
      </c>
      <c r="Q106" s="18">
        <f>IF($Z106="","",IF(AND(DATE($AD106,8,1)&gt;=$AE106,DATE($AD106,8,1)&lt;=$AF106),ROUND($AG106,2),0))</f>
        <v/>
      </c>
      <c r="R106" s="18">
        <f>IF($Z106="","",IF(AND(DATE($AD106,9,1)&gt;=$AE106,DATE($AD106,9,1)&lt;=$AF106),ROUND($AG106,2),0))</f>
        <v/>
      </c>
      <c r="S106" s="18">
        <f>IF($Z106="","",IF(AND(DATE($AD106,10,1)&gt;=$AE106,DATE($AD106,10,1)&lt;=$AF106),ROUND($AG106,2),0))</f>
        <v/>
      </c>
      <c r="T106" s="18">
        <f>IF($Z106="","",IF(AND(DATE($AD106,11,1)&gt;=$AE106,DATE($AD106,11,1)&lt;=$AF106),ROUND($AG106,2),0))</f>
        <v/>
      </c>
      <c r="U106" s="18">
        <f>IF($Z106="","",IF(AND(DATE($AD106,12,1)&gt;=$AE106,DATE($AD106,12,1)&lt;=$AF106),ROUND($AG106,2),0))</f>
        <v/>
      </c>
      <c r="V106" s="7">
        <f>IF($Z106="C","Generated from "&amp;INDEX(Contracts!$A$2:$A$151,$AB106),IF($Z106="A","Generated from "&amp;INDEX(Fixed_Assets!$A$2:$A$201,$AB106),IF($Z106="F","Generated from "&amp;INDEX(FTE_Allocation!$A$2:$A$201,$AB106),"")))</f>
        <v/>
      </c>
      <c r="X106" s="19">
        <f>IF($Z106="","",SUM(J106:U106))</f>
        <v/>
      </c>
      <c r="Y106" s="20">
        <f>ROW()-1</f>
        <v/>
      </c>
      <c r="Z106" s="20">
        <f>IF($Y106&lt;=Settings!$B$4*3,"C",IF($Y106&lt;=(Settings!$B$4+Settings!$B$5)*3,"A",IF($Y106&lt;=(Settings!$B$4+Settings!$B$5+Settings!$B$6)*3,"F","")))</f>
        <v/>
      </c>
      <c r="AA106" s="20">
        <f>IF($Z106="C",$Y106,IF($Z106="A",$Y106-Settings!$B$4*3,IF($Z106="F",$Y106-(Settings!$B$4+Settings!$B$5)*3,"")))</f>
        <v/>
      </c>
      <c r="AB106" s="20">
        <f>IF($Z106="","",INT(($AA106-1)/3)+1)</f>
        <v/>
      </c>
      <c r="AC106" s="20">
        <f>IF($Z106="","",MOD($AA106-1,3)+1)</f>
        <v/>
      </c>
      <c r="AD106" s="20">
        <f>IF($Z106="","",Settings!$B$2+$AC106-1)</f>
        <v/>
      </c>
      <c r="AE106" s="21">
        <f>IF($Z106="C",DATE(YEAR(INDEX(Contracts!$J$2:$J$151,$AB106)),MONTH(INDEX(Contracts!$J$2:$J$151,$AB106)),1),IF($Z106="A",DATE(YEAR(INDEX(Fixed_Assets!$G$2:$G$201,$AB106)),MONTH(INDEX(Fixed_Assets!$G$2:$G$201,$AB106)),1),IF($Z106="F",DATE(YEAR(MAX(N(INDEX(Workforce!$I$2:$I$151,MATCH(INDEX(FTE_Allocation!$A$2:$A$201,$AB106),Workforce!$A$2:$A$151,0))),N(INDEX(FTE_Allocation!$I$2:$I$201,$AB106)))),MONTH(MAX(N(INDEX(Workforce!$I$2:$I$151,MATCH(INDEX(FTE_Allocation!$A$2:$A$201,$AB106),Workforce!$A$2:$A$151,0))),N(INDEX(FTE_Allocation!$I$2:$I$201,$AB106)))),1),"")))</f>
        <v/>
      </c>
      <c r="AF106" s="21">
        <f>IF($Z106="C",IF(INDEX(Contracts!$I$2:$I$151,$AB106)="PREPAID",EDATE(DATE(YEAR(INDEX(Contracts!$J$2:$J$151,$AB106)),MONTH(INDEX(Contracts!$J$2:$J$151,$AB106)),1),IF(INDEX(Contracts!$N$2:$N$151,$AB106)="",12,INDEX(Contracts!$N$2:$N$151,$AB106))-1),IF(INDEX(Contracts!$I$2:$I$151,$AB106)="MONTHLY",IF(INDEX(Contracts!$K$2:$K$151,$AB106)="",2958101,INDEX(Contracts!$K$2:$K$151,$AB106)),0)),IF($Z106="A",EDATE(DATE(YEAR(INDEX(Fixed_Assets!$G$2:$G$201,$AB106)),MONTH(INDEX(Fixed_Assets!$G$2:$G$201,$AB106)),1),INDEX(Fixed_Assets!$J$2:$J$201,$AB106)-1),IF($Z106="F",MIN(IF(INDEX(Workforce!$J$2:$J$151,MATCH(INDEX(FTE_Allocation!$A$2:$A$201,$AB106),Workforce!$A$2:$A$151,0))="",2958101,INDEX(Workforce!$J$2:$J$151,MATCH(INDEX(FTE_Allocation!$A$2:$A$201,$AB106),Workforce!$A$2:$A$151,0))),IF(INDEX(FTE_Allocation!$J$2:$J$201,$AB106)="",2958101,INDEX(FTE_Allocation!$J$2:$J$201,$AB106))),"")))</f>
        <v/>
      </c>
      <c r="AG106" s="19">
        <f>IF($Z106="C",IF(INDEX(Contracts!$I$2:$I$151,$AB106)="PREPAID",INDEX(Contracts!$M$2:$M$151,$AB106)/IF(INDEX(Contracts!$N$2:$N$151,$AB106)="",12,INDEX(Contracts!$N$2:$N$151,$AB106)),IF(INDEX(Contracts!$I$2:$I$151,$AB106)="MONTHLY",INDEX(Contracts!$M$2:$M$151,$AB106),0))*(1-N(INDEX(Contracts!$O$2:$O$151,$AB106))),IF($Z106="A",INDEX(Fixed_Assets!$H$2:$H$201,$AB106)/INDEX(Fixed_Assets!$J$2:$J$201,$AB106),IF($Z106="F",INDEX(Workforce!$F$2:$F$151,MATCH(INDEX(FTE_Allocation!$A$2:$A$201,$AB106),Workforce!$A$2:$A$151,0))*N(INDEX(FTE_Allocation!$F$2:$H$201,$AB106,$AC106)),"")))</f>
        <v/>
      </c>
    </row>
    <row r="107">
      <c r="A107" s="7">
        <f>IF($Z107="","",$AD107)</f>
        <v/>
      </c>
      <c r="B107" s="7">
        <f>IF($Z107="C",INDEX(Contracts!$D$2:$D$151,$AB107)&amp;"",IF($Z107="A",INDEX(Fixed_Assets!$C$2:$C$201,$AB107)&amp;"",IF($Z107="F",INDEX(Workforce!$B$2:$B$151,MATCH(INDEX(FTE_Allocation!$A$2:$A$201,$AB107),Workforce!$A$2:$A$151,0))&amp;"","")))</f>
        <v/>
      </c>
      <c r="C107" s="7">
        <f>IF($Z107="C",INDEX(Contracts!$E$2:$E$151,$AB107)&amp;"",IF($Z107="A",INDEX(Fixed_Assets!$D$2:$D$201,$AB107)&amp;"",IF($Z107="F",INDEX(FTE_Allocation!$C$2:$C$201,$AB107)&amp;"","")))</f>
        <v/>
      </c>
      <c r="D107" s="7">
        <f>IF($Z107="C",INDEX(Contracts!$B$2:$B$151,$AB107)&amp;"",IF($Z107="A",INDEX(Fixed_Assets!$B$2:$B$201,$AB107)&amp;"",IF($Z107="F",INDEX(FTE_Allocation!$B$2:$B$201,$AB107)&amp;"","")))</f>
        <v/>
      </c>
      <c r="E107" s="7">
        <f>IF($Z107="C",INDEX(Contracts!$P$2:$P$151,$AB107)&amp;"",IF($Z107="A",INDEX(Fixed_Assets!$K$2:$K$201,$AB107)&amp;"",IF($Z107="F",IF(INDEX(FTE_Allocation!$D$2:$D$201,$AB107)="PROJECT",IFERROR(INDEX(Projects!$D:$D,MATCH(INDEX(FTE_Allocation!$E$2:$E$201,$AB107),Projects!$A:$A,0))&amp;"","#PROJECT?"),INDEX(FTE_Allocation!$E$2:$E$201,$AB107)&amp;""),"")))</f>
        <v/>
      </c>
      <c r="F107" s="7">
        <f>IF($Z107="C",INDEX(Contracts!$Q$2:$Q$151,$AB107)&amp;"",IF($Z107="A",INDEX(Fixed_Assets!$L$2:$L$201,$AB107)&amp;"",IF($Z107="F",INDEX(Workforce!$K$2:$K$151,MATCH(INDEX(FTE_Allocation!$A$2:$A$201,$AB107),Workforce!$A$2:$A$151,0))&amp;"","")))</f>
        <v/>
      </c>
      <c r="G107" s="7">
        <f>IF($Z107="C",INDEX(Contracts!$F$2:$F$151,$AB107)&amp;" / "&amp;INDEX(Contracts!$G$2:$G$151,$AB107),IF($Z107="A",INDEX(Fixed_Assets!$E$2:$E$201,$AB107)&amp;"",IF($Z107="F","Personnel "&amp;INDEX(FTE_Allocation!$A$2:$A$201,$AB107)&amp;IF(INDEX(FTE_Allocation!$D$2:$D$201,$AB107)="PROJECT"," ("&amp;INDEX(FTE_Allocation!$E$2:$E$201,$AB107)&amp;")",""),"")))</f>
        <v/>
      </c>
      <c r="H107" s="7">
        <f>IF($Z107="C","CONTRACT",IF($Z107="A","ASSET",IF($Z107="F","WORKFORCE","")))</f>
        <v/>
      </c>
      <c r="I107" s="7">
        <f>IF($Z107="C",INDEX(Contracts!$L$2:$L$151,$AB107)&amp;"",IF($Z107="A",INDEX(Fixed_Assets!$I$2:$I$201,$AB107)&amp;"",IF($Z107="F",INDEX(Workforce!$G$2:$G$151,MATCH(INDEX(FTE_Allocation!$A$2:$A$201,$AB107),Workforce!$A$2:$A$151,0))&amp;"","")))</f>
        <v/>
      </c>
      <c r="J107" s="18">
        <f>IF($Z107="","",IF(AND(DATE($AD107,1,1)&gt;=$AE107,DATE($AD107,1,1)&lt;=$AF107),ROUND($AG107,2),0))</f>
        <v/>
      </c>
      <c r="K107" s="18">
        <f>IF($Z107="","",IF(AND(DATE($AD107,2,1)&gt;=$AE107,DATE($AD107,2,1)&lt;=$AF107),ROUND($AG107,2),0))</f>
        <v/>
      </c>
      <c r="L107" s="18">
        <f>IF($Z107="","",IF(AND(DATE($AD107,3,1)&gt;=$AE107,DATE($AD107,3,1)&lt;=$AF107),ROUND($AG107,2),0))</f>
        <v/>
      </c>
      <c r="M107" s="18">
        <f>IF($Z107="","",IF(AND(DATE($AD107,4,1)&gt;=$AE107,DATE($AD107,4,1)&lt;=$AF107),ROUND($AG107,2),0))</f>
        <v/>
      </c>
      <c r="N107" s="18">
        <f>IF($Z107="","",IF(AND(DATE($AD107,5,1)&gt;=$AE107,DATE($AD107,5,1)&lt;=$AF107),ROUND($AG107,2),0))</f>
        <v/>
      </c>
      <c r="O107" s="18">
        <f>IF($Z107="","",IF(AND(DATE($AD107,6,1)&gt;=$AE107,DATE($AD107,6,1)&lt;=$AF107),ROUND($AG107,2),0))</f>
        <v/>
      </c>
      <c r="P107" s="18">
        <f>IF($Z107="","",IF(AND(DATE($AD107,7,1)&gt;=$AE107,DATE($AD107,7,1)&lt;=$AF107),ROUND($AG107,2),0))</f>
        <v/>
      </c>
      <c r="Q107" s="18">
        <f>IF($Z107="","",IF(AND(DATE($AD107,8,1)&gt;=$AE107,DATE($AD107,8,1)&lt;=$AF107),ROUND($AG107,2),0))</f>
        <v/>
      </c>
      <c r="R107" s="18">
        <f>IF($Z107="","",IF(AND(DATE($AD107,9,1)&gt;=$AE107,DATE($AD107,9,1)&lt;=$AF107),ROUND($AG107,2),0))</f>
        <v/>
      </c>
      <c r="S107" s="18">
        <f>IF($Z107="","",IF(AND(DATE($AD107,10,1)&gt;=$AE107,DATE($AD107,10,1)&lt;=$AF107),ROUND($AG107,2),0))</f>
        <v/>
      </c>
      <c r="T107" s="18">
        <f>IF($Z107="","",IF(AND(DATE($AD107,11,1)&gt;=$AE107,DATE($AD107,11,1)&lt;=$AF107),ROUND($AG107,2),0))</f>
        <v/>
      </c>
      <c r="U107" s="18">
        <f>IF($Z107="","",IF(AND(DATE($AD107,12,1)&gt;=$AE107,DATE($AD107,12,1)&lt;=$AF107),ROUND($AG107,2),0))</f>
        <v/>
      </c>
      <c r="V107" s="7">
        <f>IF($Z107="C","Generated from "&amp;INDEX(Contracts!$A$2:$A$151,$AB107),IF($Z107="A","Generated from "&amp;INDEX(Fixed_Assets!$A$2:$A$201,$AB107),IF($Z107="F","Generated from "&amp;INDEX(FTE_Allocation!$A$2:$A$201,$AB107),"")))</f>
        <v/>
      </c>
      <c r="X107" s="19">
        <f>IF($Z107="","",SUM(J107:U107))</f>
        <v/>
      </c>
      <c r="Y107" s="20">
        <f>ROW()-1</f>
        <v/>
      </c>
      <c r="Z107" s="20">
        <f>IF($Y107&lt;=Settings!$B$4*3,"C",IF($Y107&lt;=(Settings!$B$4+Settings!$B$5)*3,"A",IF($Y107&lt;=(Settings!$B$4+Settings!$B$5+Settings!$B$6)*3,"F","")))</f>
        <v/>
      </c>
      <c r="AA107" s="20">
        <f>IF($Z107="C",$Y107,IF($Z107="A",$Y107-Settings!$B$4*3,IF($Z107="F",$Y107-(Settings!$B$4+Settings!$B$5)*3,"")))</f>
        <v/>
      </c>
      <c r="AB107" s="20">
        <f>IF($Z107="","",INT(($AA107-1)/3)+1)</f>
        <v/>
      </c>
      <c r="AC107" s="20">
        <f>IF($Z107="","",MOD($AA107-1,3)+1)</f>
        <v/>
      </c>
      <c r="AD107" s="20">
        <f>IF($Z107="","",Settings!$B$2+$AC107-1)</f>
        <v/>
      </c>
      <c r="AE107" s="21">
        <f>IF($Z107="C",DATE(YEAR(INDEX(Contracts!$J$2:$J$151,$AB107)),MONTH(INDEX(Contracts!$J$2:$J$151,$AB107)),1),IF($Z107="A",DATE(YEAR(INDEX(Fixed_Assets!$G$2:$G$201,$AB107)),MONTH(INDEX(Fixed_Assets!$G$2:$G$201,$AB107)),1),IF($Z107="F",DATE(YEAR(MAX(N(INDEX(Workforce!$I$2:$I$151,MATCH(INDEX(FTE_Allocation!$A$2:$A$201,$AB107),Workforce!$A$2:$A$151,0))),N(INDEX(FTE_Allocation!$I$2:$I$201,$AB107)))),MONTH(MAX(N(INDEX(Workforce!$I$2:$I$151,MATCH(INDEX(FTE_Allocation!$A$2:$A$201,$AB107),Workforce!$A$2:$A$151,0))),N(INDEX(FTE_Allocation!$I$2:$I$201,$AB107)))),1),"")))</f>
        <v/>
      </c>
      <c r="AF107" s="21">
        <f>IF($Z107="C",IF(INDEX(Contracts!$I$2:$I$151,$AB107)="PREPAID",EDATE(DATE(YEAR(INDEX(Contracts!$J$2:$J$151,$AB107)),MONTH(INDEX(Contracts!$J$2:$J$151,$AB107)),1),IF(INDEX(Contracts!$N$2:$N$151,$AB107)="",12,INDEX(Contracts!$N$2:$N$151,$AB107))-1),IF(INDEX(Contracts!$I$2:$I$151,$AB107)="MONTHLY",IF(INDEX(Contracts!$K$2:$K$151,$AB107)="",2958101,INDEX(Contracts!$K$2:$K$151,$AB107)),0)),IF($Z107="A",EDATE(DATE(YEAR(INDEX(Fixed_Assets!$G$2:$G$201,$AB107)),MONTH(INDEX(Fixed_Assets!$G$2:$G$201,$AB107)),1),INDEX(Fixed_Assets!$J$2:$J$201,$AB107)-1),IF($Z107="F",MIN(IF(INDEX(Workforce!$J$2:$J$151,MATCH(INDEX(FTE_Allocation!$A$2:$A$201,$AB107),Workforce!$A$2:$A$151,0))="",2958101,INDEX(Workforce!$J$2:$J$151,MATCH(INDEX(FTE_Allocation!$A$2:$A$201,$AB107),Workforce!$A$2:$A$151,0))),IF(INDEX(FTE_Allocation!$J$2:$J$201,$AB107)="",2958101,INDEX(FTE_Allocation!$J$2:$J$201,$AB107))),"")))</f>
        <v/>
      </c>
      <c r="AG107" s="19">
        <f>IF($Z107="C",IF(INDEX(Contracts!$I$2:$I$151,$AB107)="PREPAID",INDEX(Contracts!$M$2:$M$151,$AB107)/IF(INDEX(Contracts!$N$2:$N$151,$AB107)="",12,INDEX(Contracts!$N$2:$N$151,$AB107)),IF(INDEX(Contracts!$I$2:$I$151,$AB107)="MONTHLY",INDEX(Contracts!$M$2:$M$151,$AB107),0))*(1-N(INDEX(Contracts!$O$2:$O$151,$AB107))),IF($Z107="A",INDEX(Fixed_Assets!$H$2:$H$201,$AB107)/INDEX(Fixed_Assets!$J$2:$J$201,$AB107),IF($Z107="F",INDEX(Workforce!$F$2:$F$151,MATCH(INDEX(FTE_Allocation!$A$2:$A$201,$AB107),Workforce!$A$2:$A$151,0))*N(INDEX(FTE_Allocation!$F$2:$H$201,$AB107,$AC107)),"")))</f>
        <v/>
      </c>
    </row>
    <row r="108">
      <c r="A108" s="7">
        <f>IF($Z108="","",$AD108)</f>
        <v/>
      </c>
      <c r="B108" s="7">
        <f>IF($Z108="C",INDEX(Contracts!$D$2:$D$151,$AB108)&amp;"",IF($Z108="A",INDEX(Fixed_Assets!$C$2:$C$201,$AB108)&amp;"",IF($Z108="F",INDEX(Workforce!$B$2:$B$151,MATCH(INDEX(FTE_Allocation!$A$2:$A$201,$AB108),Workforce!$A$2:$A$151,0))&amp;"","")))</f>
        <v/>
      </c>
      <c r="C108" s="7">
        <f>IF($Z108="C",INDEX(Contracts!$E$2:$E$151,$AB108)&amp;"",IF($Z108="A",INDEX(Fixed_Assets!$D$2:$D$201,$AB108)&amp;"",IF($Z108="F",INDEX(FTE_Allocation!$C$2:$C$201,$AB108)&amp;"","")))</f>
        <v/>
      </c>
      <c r="D108" s="7">
        <f>IF($Z108="C",INDEX(Contracts!$B$2:$B$151,$AB108)&amp;"",IF($Z108="A",INDEX(Fixed_Assets!$B$2:$B$201,$AB108)&amp;"",IF($Z108="F",INDEX(FTE_Allocation!$B$2:$B$201,$AB108)&amp;"","")))</f>
        <v/>
      </c>
      <c r="E108" s="7">
        <f>IF($Z108="C",INDEX(Contracts!$P$2:$P$151,$AB108)&amp;"",IF($Z108="A",INDEX(Fixed_Assets!$K$2:$K$201,$AB108)&amp;"",IF($Z108="F",IF(INDEX(FTE_Allocation!$D$2:$D$201,$AB108)="PROJECT",IFERROR(INDEX(Projects!$D:$D,MATCH(INDEX(FTE_Allocation!$E$2:$E$201,$AB108),Projects!$A:$A,0))&amp;"","#PROJECT?"),INDEX(FTE_Allocation!$E$2:$E$201,$AB108)&amp;""),"")))</f>
        <v/>
      </c>
      <c r="F108" s="7">
        <f>IF($Z108="C",INDEX(Contracts!$Q$2:$Q$151,$AB108)&amp;"",IF($Z108="A",INDEX(Fixed_Assets!$L$2:$L$201,$AB108)&amp;"",IF($Z108="F",INDEX(Workforce!$K$2:$K$151,MATCH(INDEX(FTE_Allocation!$A$2:$A$201,$AB108),Workforce!$A$2:$A$151,0))&amp;"","")))</f>
        <v/>
      </c>
      <c r="G108" s="7">
        <f>IF($Z108="C",INDEX(Contracts!$F$2:$F$151,$AB108)&amp;" / "&amp;INDEX(Contracts!$G$2:$G$151,$AB108),IF($Z108="A",INDEX(Fixed_Assets!$E$2:$E$201,$AB108)&amp;"",IF($Z108="F","Personnel "&amp;INDEX(FTE_Allocation!$A$2:$A$201,$AB108)&amp;IF(INDEX(FTE_Allocation!$D$2:$D$201,$AB108)="PROJECT"," ("&amp;INDEX(FTE_Allocation!$E$2:$E$201,$AB108)&amp;")",""),"")))</f>
        <v/>
      </c>
      <c r="H108" s="7">
        <f>IF($Z108="C","CONTRACT",IF($Z108="A","ASSET",IF($Z108="F","WORKFORCE","")))</f>
        <v/>
      </c>
      <c r="I108" s="7">
        <f>IF($Z108="C",INDEX(Contracts!$L$2:$L$151,$AB108)&amp;"",IF($Z108="A",INDEX(Fixed_Assets!$I$2:$I$201,$AB108)&amp;"",IF($Z108="F",INDEX(Workforce!$G$2:$G$151,MATCH(INDEX(FTE_Allocation!$A$2:$A$201,$AB108),Workforce!$A$2:$A$151,0))&amp;"","")))</f>
        <v/>
      </c>
      <c r="J108" s="18">
        <f>IF($Z108="","",IF(AND(DATE($AD108,1,1)&gt;=$AE108,DATE($AD108,1,1)&lt;=$AF108),ROUND($AG108,2),0))</f>
        <v/>
      </c>
      <c r="K108" s="18">
        <f>IF($Z108="","",IF(AND(DATE($AD108,2,1)&gt;=$AE108,DATE($AD108,2,1)&lt;=$AF108),ROUND($AG108,2),0))</f>
        <v/>
      </c>
      <c r="L108" s="18">
        <f>IF($Z108="","",IF(AND(DATE($AD108,3,1)&gt;=$AE108,DATE($AD108,3,1)&lt;=$AF108),ROUND($AG108,2),0))</f>
        <v/>
      </c>
      <c r="M108" s="18">
        <f>IF($Z108="","",IF(AND(DATE($AD108,4,1)&gt;=$AE108,DATE($AD108,4,1)&lt;=$AF108),ROUND($AG108,2),0))</f>
        <v/>
      </c>
      <c r="N108" s="18">
        <f>IF($Z108="","",IF(AND(DATE($AD108,5,1)&gt;=$AE108,DATE($AD108,5,1)&lt;=$AF108),ROUND($AG108,2),0))</f>
        <v/>
      </c>
      <c r="O108" s="18">
        <f>IF($Z108="","",IF(AND(DATE($AD108,6,1)&gt;=$AE108,DATE($AD108,6,1)&lt;=$AF108),ROUND($AG108,2),0))</f>
        <v/>
      </c>
      <c r="P108" s="18">
        <f>IF($Z108="","",IF(AND(DATE($AD108,7,1)&gt;=$AE108,DATE($AD108,7,1)&lt;=$AF108),ROUND($AG108,2),0))</f>
        <v/>
      </c>
      <c r="Q108" s="18">
        <f>IF($Z108="","",IF(AND(DATE($AD108,8,1)&gt;=$AE108,DATE($AD108,8,1)&lt;=$AF108),ROUND($AG108,2),0))</f>
        <v/>
      </c>
      <c r="R108" s="18">
        <f>IF($Z108="","",IF(AND(DATE($AD108,9,1)&gt;=$AE108,DATE($AD108,9,1)&lt;=$AF108),ROUND($AG108,2),0))</f>
        <v/>
      </c>
      <c r="S108" s="18">
        <f>IF($Z108="","",IF(AND(DATE($AD108,10,1)&gt;=$AE108,DATE($AD108,10,1)&lt;=$AF108),ROUND($AG108,2),0))</f>
        <v/>
      </c>
      <c r="T108" s="18">
        <f>IF($Z108="","",IF(AND(DATE($AD108,11,1)&gt;=$AE108,DATE($AD108,11,1)&lt;=$AF108),ROUND($AG108,2),0))</f>
        <v/>
      </c>
      <c r="U108" s="18">
        <f>IF($Z108="","",IF(AND(DATE($AD108,12,1)&gt;=$AE108,DATE($AD108,12,1)&lt;=$AF108),ROUND($AG108,2),0))</f>
        <v/>
      </c>
      <c r="V108" s="7">
        <f>IF($Z108="C","Generated from "&amp;INDEX(Contracts!$A$2:$A$151,$AB108),IF($Z108="A","Generated from "&amp;INDEX(Fixed_Assets!$A$2:$A$201,$AB108),IF($Z108="F","Generated from "&amp;INDEX(FTE_Allocation!$A$2:$A$201,$AB108),"")))</f>
        <v/>
      </c>
      <c r="X108" s="19">
        <f>IF($Z108="","",SUM(J108:U108))</f>
        <v/>
      </c>
      <c r="Y108" s="20">
        <f>ROW()-1</f>
        <v/>
      </c>
      <c r="Z108" s="20">
        <f>IF($Y108&lt;=Settings!$B$4*3,"C",IF($Y108&lt;=(Settings!$B$4+Settings!$B$5)*3,"A",IF($Y108&lt;=(Settings!$B$4+Settings!$B$5+Settings!$B$6)*3,"F","")))</f>
        <v/>
      </c>
      <c r="AA108" s="20">
        <f>IF($Z108="C",$Y108,IF($Z108="A",$Y108-Settings!$B$4*3,IF($Z108="F",$Y108-(Settings!$B$4+Settings!$B$5)*3,"")))</f>
        <v/>
      </c>
      <c r="AB108" s="20">
        <f>IF($Z108="","",INT(($AA108-1)/3)+1)</f>
        <v/>
      </c>
      <c r="AC108" s="20">
        <f>IF($Z108="","",MOD($AA108-1,3)+1)</f>
        <v/>
      </c>
      <c r="AD108" s="20">
        <f>IF($Z108="","",Settings!$B$2+$AC108-1)</f>
        <v/>
      </c>
      <c r="AE108" s="21">
        <f>IF($Z108="C",DATE(YEAR(INDEX(Contracts!$J$2:$J$151,$AB108)),MONTH(INDEX(Contracts!$J$2:$J$151,$AB108)),1),IF($Z108="A",DATE(YEAR(INDEX(Fixed_Assets!$G$2:$G$201,$AB108)),MONTH(INDEX(Fixed_Assets!$G$2:$G$201,$AB108)),1),IF($Z108="F",DATE(YEAR(MAX(N(INDEX(Workforce!$I$2:$I$151,MATCH(INDEX(FTE_Allocation!$A$2:$A$201,$AB108),Workforce!$A$2:$A$151,0))),N(INDEX(FTE_Allocation!$I$2:$I$201,$AB108)))),MONTH(MAX(N(INDEX(Workforce!$I$2:$I$151,MATCH(INDEX(FTE_Allocation!$A$2:$A$201,$AB108),Workforce!$A$2:$A$151,0))),N(INDEX(FTE_Allocation!$I$2:$I$201,$AB108)))),1),"")))</f>
        <v/>
      </c>
      <c r="AF108" s="21">
        <f>IF($Z108="C",IF(INDEX(Contracts!$I$2:$I$151,$AB108)="PREPAID",EDATE(DATE(YEAR(INDEX(Contracts!$J$2:$J$151,$AB108)),MONTH(INDEX(Contracts!$J$2:$J$151,$AB108)),1),IF(INDEX(Contracts!$N$2:$N$151,$AB108)="",12,INDEX(Contracts!$N$2:$N$151,$AB108))-1),IF(INDEX(Contracts!$I$2:$I$151,$AB108)="MONTHLY",IF(INDEX(Contracts!$K$2:$K$151,$AB108)="",2958101,INDEX(Contracts!$K$2:$K$151,$AB108)),0)),IF($Z108="A",EDATE(DATE(YEAR(INDEX(Fixed_Assets!$G$2:$G$201,$AB108)),MONTH(INDEX(Fixed_Assets!$G$2:$G$201,$AB108)),1),INDEX(Fixed_Assets!$J$2:$J$201,$AB108)-1),IF($Z108="F",MIN(IF(INDEX(Workforce!$J$2:$J$151,MATCH(INDEX(FTE_Allocation!$A$2:$A$201,$AB108),Workforce!$A$2:$A$151,0))="",2958101,INDEX(Workforce!$J$2:$J$151,MATCH(INDEX(FTE_Allocation!$A$2:$A$201,$AB108),Workforce!$A$2:$A$151,0))),IF(INDEX(FTE_Allocation!$J$2:$J$201,$AB108)="",2958101,INDEX(FTE_Allocation!$J$2:$J$201,$AB108))),"")))</f>
        <v/>
      </c>
      <c r="AG108" s="19">
        <f>IF($Z108="C",IF(INDEX(Contracts!$I$2:$I$151,$AB108)="PREPAID",INDEX(Contracts!$M$2:$M$151,$AB108)/IF(INDEX(Contracts!$N$2:$N$151,$AB108)="",12,INDEX(Contracts!$N$2:$N$151,$AB108)),IF(INDEX(Contracts!$I$2:$I$151,$AB108)="MONTHLY",INDEX(Contracts!$M$2:$M$151,$AB108),0))*(1-N(INDEX(Contracts!$O$2:$O$151,$AB108))),IF($Z108="A",INDEX(Fixed_Assets!$H$2:$H$201,$AB108)/INDEX(Fixed_Assets!$J$2:$J$201,$AB108),IF($Z108="F",INDEX(Workforce!$F$2:$F$151,MATCH(INDEX(FTE_Allocation!$A$2:$A$201,$AB108),Workforce!$A$2:$A$151,0))*N(INDEX(FTE_Allocation!$F$2:$H$201,$AB108,$AC108)),"")))</f>
        <v/>
      </c>
    </row>
    <row r="109">
      <c r="A109" s="7">
        <f>IF($Z109="","",$AD109)</f>
        <v/>
      </c>
      <c r="B109" s="7">
        <f>IF($Z109="C",INDEX(Contracts!$D$2:$D$151,$AB109)&amp;"",IF($Z109="A",INDEX(Fixed_Assets!$C$2:$C$201,$AB109)&amp;"",IF($Z109="F",INDEX(Workforce!$B$2:$B$151,MATCH(INDEX(FTE_Allocation!$A$2:$A$201,$AB109),Workforce!$A$2:$A$151,0))&amp;"","")))</f>
        <v/>
      </c>
      <c r="C109" s="7">
        <f>IF($Z109="C",INDEX(Contracts!$E$2:$E$151,$AB109)&amp;"",IF($Z109="A",INDEX(Fixed_Assets!$D$2:$D$201,$AB109)&amp;"",IF($Z109="F",INDEX(FTE_Allocation!$C$2:$C$201,$AB109)&amp;"","")))</f>
        <v/>
      </c>
      <c r="D109" s="7">
        <f>IF($Z109="C",INDEX(Contracts!$B$2:$B$151,$AB109)&amp;"",IF($Z109="A",INDEX(Fixed_Assets!$B$2:$B$201,$AB109)&amp;"",IF($Z109="F",INDEX(FTE_Allocation!$B$2:$B$201,$AB109)&amp;"","")))</f>
        <v/>
      </c>
      <c r="E109" s="7">
        <f>IF($Z109="C",INDEX(Contracts!$P$2:$P$151,$AB109)&amp;"",IF($Z109="A",INDEX(Fixed_Assets!$K$2:$K$201,$AB109)&amp;"",IF($Z109="F",IF(INDEX(FTE_Allocation!$D$2:$D$201,$AB109)="PROJECT",IFERROR(INDEX(Projects!$D:$D,MATCH(INDEX(FTE_Allocation!$E$2:$E$201,$AB109),Projects!$A:$A,0))&amp;"","#PROJECT?"),INDEX(FTE_Allocation!$E$2:$E$201,$AB109)&amp;""),"")))</f>
        <v/>
      </c>
      <c r="F109" s="7">
        <f>IF($Z109="C",INDEX(Contracts!$Q$2:$Q$151,$AB109)&amp;"",IF($Z109="A",INDEX(Fixed_Assets!$L$2:$L$201,$AB109)&amp;"",IF($Z109="F",INDEX(Workforce!$K$2:$K$151,MATCH(INDEX(FTE_Allocation!$A$2:$A$201,$AB109),Workforce!$A$2:$A$151,0))&amp;"","")))</f>
        <v/>
      </c>
      <c r="G109" s="7">
        <f>IF($Z109="C",INDEX(Contracts!$F$2:$F$151,$AB109)&amp;" / "&amp;INDEX(Contracts!$G$2:$G$151,$AB109),IF($Z109="A",INDEX(Fixed_Assets!$E$2:$E$201,$AB109)&amp;"",IF($Z109="F","Personnel "&amp;INDEX(FTE_Allocation!$A$2:$A$201,$AB109)&amp;IF(INDEX(FTE_Allocation!$D$2:$D$201,$AB109)="PROJECT"," ("&amp;INDEX(FTE_Allocation!$E$2:$E$201,$AB109)&amp;")",""),"")))</f>
        <v/>
      </c>
      <c r="H109" s="7">
        <f>IF($Z109="C","CONTRACT",IF($Z109="A","ASSET",IF($Z109="F","WORKFORCE","")))</f>
        <v/>
      </c>
      <c r="I109" s="7">
        <f>IF($Z109="C",INDEX(Contracts!$L$2:$L$151,$AB109)&amp;"",IF($Z109="A",INDEX(Fixed_Assets!$I$2:$I$201,$AB109)&amp;"",IF($Z109="F",INDEX(Workforce!$G$2:$G$151,MATCH(INDEX(FTE_Allocation!$A$2:$A$201,$AB109),Workforce!$A$2:$A$151,0))&amp;"","")))</f>
        <v/>
      </c>
      <c r="J109" s="18">
        <f>IF($Z109="","",IF(AND(DATE($AD109,1,1)&gt;=$AE109,DATE($AD109,1,1)&lt;=$AF109),ROUND($AG109,2),0))</f>
        <v/>
      </c>
      <c r="K109" s="18">
        <f>IF($Z109="","",IF(AND(DATE($AD109,2,1)&gt;=$AE109,DATE($AD109,2,1)&lt;=$AF109),ROUND($AG109,2),0))</f>
        <v/>
      </c>
      <c r="L109" s="18">
        <f>IF($Z109="","",IF(AND(DATE($AD109,3,1)&gt;=$AE109,DATE($AD109,3,1)&lt;=$AF109),ROUND($AG109,2),0))</f>
        <v/>
      </c>
      <c r="M109" s="18">
        <f>IF($Z109="","",IF(AND(DATE($AD109,4,1)&gt;=$AE109,DATE($AD109,4,1)&lt;=$AF109),ROUND($AG109,2),0))</f>
        <v/>
      </c>
      <c r="N109" s="18">
        <f>IF($Z109="","",IF(AND(DATE($AD109,5,1)&gt;=$AE109,DATE($AD109,5,1)&lt;=$AF109),ROUND($AG109,2),0))</f>
        <v/>
      </c>
      <c r="O109" s="18">
        <f>IF($Z109="","",IF(AND(DATE($AD109,6,1)&gt;=$AE109,DATE($AD109,6,1)&lt;=$AF109),ROUND($AG109,2),0))</f>
        <v/>
      </c>
      <c r="P109" s="18">
        <f>IF($Z109="","",IF(AND(DATE($AD109,7,1)&gt;=$AE109,DATE($AD109,7,1)&lt;=$AF109),ROUND($AG109,2),0))</f>
        <v/>
      </c>
      <c r="Q109" s="18">
        <f>IF($Z109="","",IF(AND(DATE($AD109,8,1)&gt;=$AE109,DATE($AD109,8,1)&lt;=$AF109),ROUND($AG109,2),0))</f>
        <v/>
      </c>
      <c r="R109" s="18">
        <f>IF($Z109="","",IF(AND(DATE($AD109,9,1)&gt;=$AE109,DATE($AD109,9,1)&lt;=$AF109),ROUND($AG109,2),0))</f>
        <v/>
      </c>
      <c r="S109" s="18">
        <f>IF($Z109="","",IF(AND(DATE($AD109,10,1)&gt;=$AE109,DATE($AD109,10,1)&lt;=$AF109),ROUND($AG109,2),0))</f>
        <v/>
      </c>
      <c r="T109" s="18">
        <f>IF($Z109="","",IF(AND(DATE($AD109,11,1)&gt;=$AE109,DATE($AD109,11,1)&lt;=$AF109),ROUND($AG109,2),0))</f>
        <v/>
      </c>
      <c r="U109" s="18">
        <f>IF($Z109="","",IF(AND(DATE($AD109,12,1)&gt;=$AE109,DATE($AD109,12,1)&lt;=$AF109),ROUND($AG109,2),0))</f>
        <v/>
      </c>
      <c r="V109" s="7">
        <f>IF($Z109="C","Generated from "&amp;INDEX(Contracts!$A$2:$A$151,$AB109),IF($Z109="A","Generated from "&amp;INDEX(Fixed_Assets!$A$2:$A$201,$AB109),IF($Z109="F","Generated from "&amp;INDEX(FTE_Allocation!$A$2:$A$201,$AB109),"")))</f>
        <v/>
      </c>
      <c r="X109" s="19">
        <f>IF($Z109="","",SUM(J109:U109))</f>
        <v/>
      </c>
      <c r="Y109" s="20">
        <f>ROW()-1</f>
        <v/>
      </c>
      <c r="Z109" s="20">
        <f>IF($Y109&lt;=Settings!$B$4*3,"C",IF($Y109&lt;=(Settings!$B$4+Settings!$B$5)*3,"A",IF($Y109&lt;=(Settings!$B$4+Settings!$B$5+Settings!$B$6)*3,"F","")))</f>
        <v/>
      </c>
      <c r="AA109" s="20">
        <f>IF($Z109="C",$Y109,IF($Z109="A",$Y109-Settings!$B$4*3,IF($Z109="F",$Y109-(Settings!$B$4+Settings!$B$5)*3,"")))</f>
        <v/>
      </c>
      <c r="AB109" s="20">
        <f>IF($Z109="","",INT(($AA109-1)/3)+1)</f>
        <v/>
      </c>
      <c r="AC109" s="20">
        <f>IF($Z109="","",MOD($AA109-1,3)+1)</f>
        <v/>
      </c>
      <c r="AD109" s="20">
        <f>IF($Z109="","",Settings!$B$2+$AC109-1)</f>
        <v/>
      </c>
      <c r="AE109" s="21">
        <f>IF($Z109="C",DATE(YEAR(INDEX(Contracts!$J$2:$J$151,$AB109)),MONTH(INDEX(Contracts!$J$2:$J$151,$AB109)),1),IF($Z109="A",DATE(YEAR(INDEX(Fixed_Assets!$G$2:$G$201,$AB109)),MONTH(INDEX(Fixed_Assets!$G$2:$G$201,$AB109)),1),IF($Z109="F",DATE(YEAR(MAX(N(INDEX(Workforce!$I$2:$I$151,MATCH(INDEX(FTE_Allocation!$A$2:$A$201,$AB109),Workforce!$A$2:$A$151,0))),N(INDEX(FTE_Allocation!$I$2:$I$201,$AB109)))),MONTH(MAX(N(INDEX(Workforce!$I$2:$I$151,MATCH(INDEX(FTE_Allocation!$A$2:$A$201,$AB109),Workforce!$A$2:$A$151,0))),N(INDEX(FTE_Allocation!$I$2:$I$201,$AB109)))),1),"")))</f>
        <v/>
      </c>
      <c r="AF109" s="21">
        <f>IF($Z109="C",IF(INDEX(Contracts!$I$2:$I$151,$AB109)="PREPAID",EDATE(DATE(YEAR(INDEX(Contracts!$J$2:$J$151,$AB109)),MONTH(INDEX(Contracts!$J$2:$J$151,$AB109)),1),IF(INDEX(Contracts!$N$2:$N$151,$AB109)="",12,INDEX(Contracts!$N$2:$N$151,$AB109))-1),IF(INDEX(Contracts!$I$2:$I$151,$AB109)="MONTHLY",IF(INDEX(Contracts!$K$2:$K$151,$AB109)="",2958101,INDEX(Contracts!$K$2:$K$151,$AB109)),0)),IF($Z109="A",EDATE(DATE(YEAR(INDEX(Fixed_Assets!$G$2:$G$201,$AB109)),MONTH(INDEX(Fixed_Assets!$G$2:$G$201,$AB109)),1),INDEX(Fixed_Assets!$J$2:$J$201,$AB109)-1),IF($Z109="F",MIN(IF(INDEX(Workforce!$J$2:$J$151,MATCH(INDEX(FTE_Allocation!$A$2:$A$201,$AB109),Workforce!$A$2:$A$151,0))="",2958101,INDEX(Workforce!$J$2:$J$151,MATCH(INDEX(FTE_Allocation!$A$2:$A$201,$AB109),Workforce!$A$2:$A$151,0))),IF(INDEX(FTE_Allocation!$J$2:$J$201,$AB109)="",2958101,INDEX(FTE_Allocation!$J$2:$J$201,$AB109))),"")))</f>
        <v/>
      </c>
      <c r="AG109" s="19">
        <f>IF($Z109="C",IF(INDEX(Contracts!$I$2:$I$151,$AB109)="PREPAID",INDEX(Contracts!$M$2:$M$151,$AB109)/IF(INDEX(Contracts!$N$2:$N$151,$AB109)="",12,INDEX(Contracts!$N$2:$N$151,$AB109)),IF(INDEX(Contracts!$I$2:$I$151,$AB109)="MONTHLY",INDEX(Contracts!$M$2:$M$151,$AB109),0))*(1-N(INDEX(Contracts!$O$2:$O$151,$AB109))),IF($Z109="A",INDEX(Fixed_Assets!$H$2:$H$201,$AB109)/INDEX(Fixed_Assets!$J$2:$J$201,$AB109),IF($Z109="F",INDEX(Workforce!$F$2:$F$151,MATCH(INDEX(FTE_Allocation!$A$2:$A$201,$AB109),Workforce!$A$2:$A$151,0))*N(INDEX(FTE_Allocation!$F$2:$H$201,$AB109,$AC109)),"")))</f>
        <v/>
      </c>
    </row>
    <row r="110">
      <c r="A110" s="7">
        <f>IF($Z110="","",$AD110)</f>
        <v/>
      </c>
      <c r="B110" s="7">
        <f>IF($Z110="C",INDEX(Contracts!$D$2:$D$151,$AB110)&amp;"",IF($Z110="A",INDEX(Fixed_Assets!$C$2:$C$201,$AB110)&amp;"",IF($Z110="F",INDEX(Workforce!$B$2:$B$151,MATCH(INDEX(FTE_Allocation!$A$2:$A$201,$AB110),Workforce!$A$2:$A$151,0))&amp;"","")))</f>
        <v/>
      </c>
      <c r="C110" s="7">
        <f>IF($Z110="C",INDEX(Contracts!$E$2:$E$151,$AB110)&amp;"",IF($Z110="A",INDEX(Fixed_Assets!$D$2:$D$201,$AB110)&amp;"",IF($Z110="F",INDEX(FTE_Allocation!$C$2:$C$201,$AB110)&amp;"","")))</f>
        <v/>
      </c>
      <c r="D110" s="7">
        <f>IF($Z110="C",INDEX(Contracts!$B$2:$B$151,$AB110)&amp;"",IF($Z110="A",INDEX(Fixed_Assets!$B$2:$B$201,$AB110)&amp;"",IF($Z110="F",INDEX(FTE_Allocation!$B$2:$B$201,$AB110)&amp;"","")))</f>
        <v/>
      </c>
      <c r="E110" s="7">
        <f>IF($Z110="C",INDEX(Contracts!$P$2:$P$151,$AB110)&amp;"",IF($Z110="A",INDEX(Fixed_Assets!$K$2:$K$201,$AB110)&amp;"",IF($Z110="F",IF(INDEX(FTE_Allocation!$D$2:$D$201,$AB110)="PROJECT",IFERROR(INDEX(Projects!$D:$D,MATCH(INDEX(FTE_Allocation!$E$2:$E$201,$AB110),Projects!$A:$A,0))&amp;"","#PROJECT?"),INDEX(FTE_Allocation!$E$2:$E$201,$AB110)&amp;""),"")))</f>
        <v/>
      </c>
      <c r="F110" s="7">
        <f>IF($Z110="C",INDEX(Contracts!$Q$2:$Q$151,$AB110)&amp;"",IF($Z110="A",INDEX(Fixed_Assets!$L$2:$L$201,$AB110)&amp;"",IF($Z110="F",INDEX(Workforce!$K$2:$K$151,MATCH(INDEX(FTE_Allocation!$A$2:$A$201,$AB110),Workforce!$A$2:$A$151,0))&amp;"","")))</f>
        <v/>
      </c>
      <c r="G110" s="7">
        <f>IF($Z110="C",INDEX(Contracts!$F$2:$F$151,$AB110)&amp;" / "&amp;INDEX(Contracts!$G$2:$G$151,$AB110),IF($Z110="A",INDEX(Fixed_Assets!$E$2:$E$201,$AB110)&amp;"",IF($Z110="F","Personnel "&amp;INDEX(FTE_Allocation!$A$2:$A$201,$AB110)&amp;IF(INDEX(FTE_Allocation!$D$2:$D$201,$AB110)="PROJECT"," ("&amp;INDEX(FTE_Allocation!$E$2:$E$201,$AB110)&amp;")",""),"")))</f>
        <v/>
      </c>
      <c r="H110" s="7">
        <f>IF($Z110="C","CONTRACT",IF($Z110="A","ASSET",IF($Z110="F","WORKFORCE","")))</f>
        <v/>
      </c>
      <c r="I110" s="7">
        <f>IF($Z110="C",INDEX(Contracts!$L$2:$L$151,$AB110)&amp;"",IF($Z110="A",INDEX(Fixed_Assets!$I$2:$I$201,$AB110)&amp;"",IF($Z110="F",INDEX(Workforce!$G$2:$G$151,MATCH(INDEX(FTE_Allocation!$A$2:$A$201,$AB110),Workforce!$A$2:$A$151,0))&amp;"","")))</f>
        <v/>
      </c>
      <c r="J110" s="18">
        <f>IF($Z110="","",IF(AND(DATE($AD110,1,1)&gt;=$AE110,DATE($AD110,1,1)&lt;=$AF110),ROUND($AG110,2),0))</f>
        <v/>
      </c>
      <c r="K110" s="18">
        <f>IF($Z110="","",IF(AND(DATE($AD110,2,1)&gt;=$AE110,DATE($AD110,2,1)&lt;=$AF110),ROUND($AG110,2),0))</f>
        <v/>
      </c>
      <c r="L110" s="18">
        <f>IF($Z110="","",IF(AND(DATE($AD110,3,1)&gt;=$AE110,DATE($AD110,3,1)&lt;=$AF110),ROUND($AG110,2),0))</f>
        <v/>
      </c>
      <c r="M110" s="18">
        <f>IF($Z110="","",IF(AND(DATE($AD110,4,1)&gt;=$AE110,DATE($AD110,4,1)&lt;=$AF110),ROUND($AG110,2),0))</f>
        <v/>
      </c>
      <c r="N110" s="18">
        <f>IF($Z110="","",IF(AND(DATE($AD110,5,1)&gt;=$AE110,DATE($AD110,5,1)&lt;=$AF110),ROUND($AG110,2),0))</f>
        <v/>
      </c>
      <c r="O110" s="18">
        <f>IF($Z110="","",IF(AND(DATE($AD110,6,1)&gt;=$AE110,DATE($AD110,6,1)&lt;=$AF110),ROUND($AG110,2),0))</f>
        <v/>
      </c>
      <c r="P110" s="18">
        <f>IF($Z110="","",IF(AND(DATE($AD110,7,1)&gt;=$AE110,DATE($AD110,7,1)&lt;=$AF110),ROUND($AG110,2),0))</f>
        <v/>
      </c>
      <c r="Q110" s="18">
        <f>IF($Z110="","",IF(AND(DATE($AD110,8,1)&gt;=$AE110,DATE($AD110,8,1)&lt;=$AF110),ROUND($AG110,2),0))</f>
        <v/>
      </c>
      <c r="R110" s="18">
        <f>IF($Z110="","",IF(AND(DATE($AD110,9,1)&gt;=$AE110,DATE($AD110,9,1)&lt;=$AF110),ROUND($AG110,2),0))</f>
        <v/>
      </c>
      <c r="S110" s="18">
        <f>IF($Z110="","",IF(AND(DATE($AD110,10,1)&gt;=$AE110,DATE($AD110,10,1)&lt;=$AF110),ROUND($AG110,2),0))</f>
        <v/>
      </c>
      <c r="T110" s="18">
        <f>IF($Z110="","",IF(AND(DATE($AD110,11,1)&gt;=$AE110,DATE($AD110,11,1)&lt;=$AF110),ROUND($AG110,2),0))</f>
        <v/>
      </c>
      <c r="U110" s="18">
        <f>IF($Z110="","",IF(AND(DATE($AD110,12,1)&gt;=$AE110,DATE($AD110,12,1)&lt;=$AF110),ROUND($AG110,2),0))</f>
        <v/>
      </c>
      <c r="V110" s="7">
        <f>IF($Z110="C","Generated from "&amp;INDEX(Contracts!$A$2:$A$151,$AB110),IF($Z110="A","Generated from "&amp;INDEX(Fixed_Assets!$A$2:$A$201,$AB110),IF($Z110="F","Generated from "&amp;INDEX(FTE_Allocation!$A$2:$A$201,$AB110),"")))</f>
        <v/>
      </c>
      <c r="X110" s="19">
        <f>IF($Z110="","",SUM(J110:U110))</f>
        <v/>
      </c>
      <c r="Y110" s="20">
        <f>ROW()-1</f>
        <v/>
      </c>
      <c r="Z110" s="20">
        <f>IF($Y110&lt;=Settings!$B$4*3,"C",IF($Y110&lt;=(Settings!$B$4+Settings!$B$5)*3,"A",IF($Y110&lt;=(Settings!$B$4+Settings!$B$5+Settings!$B$6)*3,"F","")))</f>
        <v/>
      </c>
      <c r="AA110" s="20">
        <f>IF($Z110="C",$Y110,IF($Z110="A",$Y110-Settings!$B$4*3,IF($Z110="F",$Y110-(Settings!$B$4+Settings!$B$5)*3,"")))</f>
        <v/>
      </c>
      <c r="AB110" s="20">
        <f>IF($Z110="","",INT(($AA110-1)/3)+1)</f>
        <v/>
      </c>
      <c r="AC110" s="20">
        <f>IF($Z110="","",MOD($AA110-1,3)+1)</f>
        <v/>
      </c>
      <c r="AD110" s="20">
        <f>IF($Z110="","",Settings!$B$2+$AC110-1)</f>
        <v/>
      </c>
      <c r="AE110" s="21">
        <f>IF($Z110="C",DATE(YEAR(INDEX(Contracts!$J$2:$J$151,$AB110)),MONTH(INDEX(Contracts!$J$2:$J$151,$AB110)),1),IF($Z110="A",DATE(YEAR(INDEX(Fixed_Assets!$G$2:$G$201,$AB110)),MONTH(INDEX(Fixed_Assets!$G$2:$G$201,$AB110)),1),IF($Z110="F",DATE(YEAR(MAX(N(INDEX(Workforce!$I$2:$I$151,MATCH(INDEX(FTE_Allocation!$A$2:$A$201,$AB110),Workforce!$A$2:$A$151,0))),N(INDEX(FTE_Allocation!$I$2:$I$201,$AB110)))),MONTH(MAX(N(INDEX(Workforce!$I$2:$I$151,MATCH(INDEX(FTE_Allocation!$A$2:$A$201,$AB110),Workforce!$A$2:$A$151,0))),N(INDEX(FTE_Allocation!$I$2:$I$201,$AB110)))),1),"")))</f>
        <v/>
      </c>
      <c r="AF110" s="21">
        <f>IF($Z110="C",IF(INDEX(Contracts!$I$2:$I$151,$AB110)="PREPAID",EDATE(DATE(YEAR(INDEX(Contracts!$J$2:$J$151,$AB110)),MONTH(INDEX(Contracts!$J$2:$J$151,$AB110)),1),IF(INDEX(Contracts!$N$2:$N$151,$AB110)="",12,INDEX(Contracts!$N$2:$N$151,$AB110))-1),IF(INDEX(Contracts!$I$2:$I$151,$AB110)="MONTHLY",IF(INDEX(Contracts!$K$2:$K$151,$AB110)="",2958101,INDEX(Contracts!$K$2:$K$151,$AB110)),0)),IF($Z110="A",EDATE(DATE(YEAR(INDEX(Fixed_Assets!$G$2:$G$201,$AB110)),MONTH(INDEX(Fixed_Assets!$G$2:$G$201,$AB110)),1),INDEX(Fixed_Assets!$J$2:$J$201,$AB110)-1),IF($Z110="F",MIN(IF(INDEX(Workforce!$J$2:$J$151,MATCH(INDEX(FTE_Allocation!$A$2:$A$201,$AB110),Workforce!$A$2:$A$151,0))="",2958101,INDEX(Workforce!$J$2:$J$151,MATCH(INDEX(FTE_Allocation!$A$2:$A$201,$AB110),Workforce!$A$2:$A$151,0))),IF(INDEX(FTE_Allocation!$J$2:$J$201,$AB110)="",2958101,INDEX(FTE_Allocation!$J$2:$J$201,$AB110))),"")))</f>
        <v/>
      </c>
      <c r="AG110" s="19">
        <f>IF($Z110="C",IF(INDEX(Contracts!$I$2:$I$151,$AB110)="PREPAID",INDEX(Contracts!$M$2:$M$151,$AB110)/IF(INDEX(Contracts!$N$2:$N$151,$AB110)="",12,INDEX(Contracts!$N$2:$N$151,$AB110)),IF(INDEX(Contracts!$I$2:$I$151,$AB110)="MONTHLY",INDEX(Contracts!$M$2:$M$151,$AB110),0))*(1-N(INDEX(Contracts!$O$2:$O$151,$AB110))),IF($Z110="A",INDEX(Fixed_Assets!$H$2:$H$201,$AB110)/INDEX(Fixed_Assets!$J$2:$J$201,$AB110),IF($Z110="F",INDEX(Workforce!$F$2:$F$151,MATCH(INDEX(FTE_Allocation!$A$2:$A$201,$AB110),Workforce!$A$2:$A$151,0))*N(INDEX(FTE_Allocation!$F$2:$H$201,$AB110,$AC110)),"")))</f>
        <v/>
      </c>
    </row>
    <row r="111">
      <c r="A111" s="7">
        <f>IF($Z111="","",$AD111)</f>
        <v/>
      </c>
      <c r="B111" s="7">
        <f>IF($Z111="C",INDEX(Contracts!$D$2:$D$151,$AB111)&amp;"",IF($Z111="A",INDEX(Fixed_Assets!$C$2:$C$201,$AB111)&amp;"",IF($Z111="F",INDEX(Workforce!$B$2:$B$151,MATCH(INDEX(FTE_Allocation!$A$2:$A$201,$AB111),Workforce!$A$2:$A$151,0))&amp;"","")))</f>
        <v/>
      </c>
      <c r="C111" s="7">
        <f>IF($Z111="C",INDEX(Contracts!$E$2:$E$151,$AB111)&amp;"",IF($Z111="A",INDEX(Fixed_Assets!$D$2:$D$201,$AB111)&amp;"",IF($Z111="F",INDEX(FTE_Allocation!$C$2:$C$201,$AB111)&amp;"","")))</f>
        <v/>
      </c>
      <c r="D111" s="7">
        <f>IF($Z111="C",INDEX(Contracts!$B$2:$B$151,$AB111)&amp;"",IF($Z111="A",INDEX(Fixed_Assets!$B$2:$B$201,$AB111)&amp;"",IF($Z111="F",INDEX(FTE_Allocation!$B$2:$B$201,$AB111)&amp;"","")))</f>
        <v/>
      </c>
      <c r="E111" s="7">
        <f>IF($Z111="C",INDEX(Contracts!$P$2:$P$151,$AB111)&amp;"",IF($Z111="A",INDEX(Fixed_Assets!$K$2:$K$201,$AB111)&amp;"",IF($Z111="F",IF(INDEX(FTE_Allocation!$D$2:$D$201,$AB111)="PROJECT",IFERROR(INDEX(Projects!$D:$D,MATCH(INDEX(FTE_Allocation!$E$2:$E$201,$AB111),Projects!$A:$A,0))&amp;"","#PROJECT?"),INDEX(FTE_Allocation!$E$2:$E$201,$AB111)&amp;""),"")))</f>
        <v/>
      </c>
      <c r="F111" s="7">
        <f>IF($Z111="C",INDEX(Contracts!$Q$2:$Q$151,$AB111)&amp;"",IF($Z111="A",INDEX(Fixed_Assets!$L$2:$L$201,$AB111)&amp;"",IF($Z111="F",INDEX(Workforce!$K$2:$K$151,MATCH(INDEX(FTE_Allocation!$A$2:$A$201,$AB111),Workforce!$A$2:$A$151,0))&amp;"","")))</f>
        <v/>
      </c>
      <c r="G111" s="7">
        <f>IF($Z111="C",INDEX(Contracts!$F$2:$F$151,$AB111)&amp;" / "&amp;INDEX(Contracts!$G$2:$G$151,$AB111),IF($Z111="A",INDEX(Fixed_Assets!$E$2:$E$201,$AB111)&amp;"",IF($Z111="F","Personnel "&amp;INDEX(FTE_Allocation!$A$2:$A$201,$AB111)&amp;IF(INDEX(FTE_Allocation!$D$2:$D$201,$AB111)="PROJECT"," ("&amp;INDEX(FTE_Allocation!$E$2:$E$201,$AB111)&amp;")",""),"")))</f>
        <v/>
      </c>
      <c r="H111" s="7">
        <f>IF($Z111="C","CONTRACT",IF($Z111="A","ASSET",IF($Z111="F","WORKFORCE","")))</f>
        <v/>
      </c>
      <c r="I111" s="7">
        <f>IF($Z111="C",INDEX(Contracts!$L$2:$L$151,$AB111)&amp;"",IF($Z111="A",INDEX(Fixed_Assets!$I$2:$I$201,$AB111)&amp;"",IF($Z111="F",INDEX(Workforce!$G$2:$G$151,MATCH(INDEX(FTE_Allocation!$A$2:$A$201,$AB111),Workforce!$A$2:$A$151,0))&amp;"","")))</f>
        <v/>
      </c>
      <c r="J111" s="18">
        <f>IF($Z111="","",IF(AND(DATE($AD111,1,1)&gt;=$AE111,DATE($AD111,1,1)&lt;=$AF111),ROUND($AG111,2),0))</f>
        <v/>
      </c>
      <c r="K111" s="18">
        <f>IF($Z111="","",IF(AND(DATE($AD111,2,1)&gt;=$AE111,DATE($AD111,2,1)&lt;=$AF111),ROUND($AG111,2),0))</f>
        <v/>
      </c>
      <c r="L111" s="18">
        <f>IF($Z111="","",IF(AND(DATE($AD111,3,1)&gt;=$AE111,DATE($AD111,3,1)&lt;=$AF111),ROUND($AG111,2),0))</f>
        <v/>
      </c>
      <c r="M111" s="18">
        <f>IF($Z111="","",IF(AND(DATE($AD111,4,1)&gt;=$AE111,DATE($AD111,4,1)&lt;=$AF111),ROUND($AG111,2),0))</f>
        <v/>
      </c>
      <c r="N111" s="18">
        <f>IF($Z111="","",IF(AND(DATE($AD111,5,1)&gt;=$AE111,DATE($AD111,5,1)&lt;=$AF111),ROUND($AG111,2),0))</f>
        <v/>
      </c>
      <c r="O111" s="18">
        <f>IF($Z111="","",IF(AND(DATE($AD111,6,1)&gt;=$AE111,DATE($AD111,6,1)&lt;=$AF111),ROUND($AG111,2),0))</f>
        <v/>
      </c>
      <c r="P111" s="18">
        <f>IF($Z111="","",IF(AND(DATE($AD111,7,1)&gt;=$AE111,DATE($AD111,7,1)&lt;=$AF111),ROUND($AG111,2),0))</f>
        <v/>
      </c>
      <c r="Q111" s="18">
        <f>IF($Z111="","",IF(AND(DATE($AD111,8,1)&gt;=$AE111,DATE($AD111,8,1)&lt;=$AF111),ROUND($AG111,2),0))</f>
        <v/>
      </c>
      <c r="R111" s="18">
        <f>IF($Z111="","",IF(AND(DATE($AD111,9,1)&gt;=$AE111,DATE($AD111,9,1)&lt;=$AF111),ROUND($AG111,2),0))</f>
        <v/>
      </c>
      <c r="S111" s="18">
        <f>IF($Z111="","",IF(AND(DATE($AD111,10,1)&gt;=$AE111,DATE($AD111,10,1)&lt;=$AF111),ROUND($AG111,2),0))</f>
        <v/>
      </c>
      <c r="T111" s="18">
        <f>IF($Z111="","",IF(AND(DATE($AD111,11,1)&gt;=$AE111,DATE($AD111,11,1)&lt;=$AF111),ROUND($AG111,2),0))</f>
        <v/>
      </c>
      <c r="U111" s="18">
        <f>IF($Z111="","",IF(AND(DATE($AD111,12,1)&gt;=$AE111,DATE($AD111,12,1)&lt;=$AF111),ROUND($AG111,2),0))</f>
        <v/>
      </c>
      <c r="V111" s="7">
        <f>IF($Z111="C","Generated from "&amp;INDEX(Contracts!$A$2:$A$151,$AB111),IF($Z111="A","Generated from "&amp;INDEX(Fixed_Assets!$A$2:$A$201,$AB111),IF($Z111="F","Generated from "&amp;INDEX(FTE_Allocation!$A$2:$A$201,$AB111),"")))</f>
        <v/>
      </c>
      <c r="X111" s="19">
        <f>IF($Z111="","",SUM(J111:U111))</f>
        <v/>
      </c>
      <c r="Y111" s="20">
        <f>ROW()-1</f>
        <v/>
      </c>
      <c r="Z111" s="20">
        <f>IF($Y111&lt;=Settings!$B$4*3,"C",IF($Y111&lt;=(Settings!$B$4+Settings!$B$5)*3,"A",IF($Y111&lt;=(Settings!$B$4+Settings!$B$5+Settings!$B$6)*3,"F","")))</f>
        <v/>
      </c>
      <c r="AA111" s="20">
        <f>IF($Z111="C",$Y111,IF($Z111="A",$Y111-Settings!$B$4*3,IF($Z111="F",$Y111-(Settings!$B$4+Settings!$B$5)*3,"")))</f>
        <v/>
      </c>
      <c r="AB111" s="20">
        <f>IF($Z111="","",INT(($AA111-1)/3)+1)</f>
        <v/>
      </c>
      <c r="AC111" s="20">
        <f>IF($Z111="","",MOD($AA111-1,3)+1)</f>
        <v/>
      </c>
      <c r="AD111" s="20">
        <f>IF($Z111="","",Settings!$B$2+$AC111-1)</f>
        <v/>
      </c>
      <c r="AE111" s="21">
        <f>IF($Z111="C",DATE(YEAR(INDEX(Contracts!$J$2:$J$151,$AB111)),MONTH(INDEX(Contracts!$J$2:$J$151,$AB111)),1),IF($Z111="A",DATE(YEAR(INDEX(Fixed_Assets!$G$2:$G$201,$AB111)),MONTH(INDEX(Fixed_Assets!$G$2:$G$201,$AB111)),1),IF($Z111="F",DATE(YEAR(MAX(N(INDEX(Workforce!$I$2:$I$151,MATCH(INDEX(FTE_Allocation!$A$2:$A$201,$AB111),Workforce!$A$2:$A$151,0))),N(INDEX(FTE_Allocation!$I$2:$I$201,$AB111)))),MONTH(MAX(N(INDEX(Workforce!$I$2:$I$151,MATCH(INDEX(FTE_Allocation!$A$2:$A$201,$AB111),Workforce!$A$2:$A$151,0))),N(INDEX(FTE_Allocation!$I$2:$I$201,$AB111)))),1),"")))</f>
        <v/>
      </c>
      <c r="AF111" s="21">
        <f>IF($Z111="C",IF(INDEX(Contracts!$I$2:$I$151,$AB111)="PREPAID",EDATE(DATE(YEAR(INDEX(Contracts!$J$2:$J$151,$AB111)),MONTH(INDEX(Contracts!$J$2:$J$151,$AB111)),1),IF(INDEX(Contracts!$N$2:$N$151,$AB111)="",12,INDEX(Contracts!$N$2:$N$151,$AB111))-1),IF(INDEX(Contracts!$I$2:$I$151,$AB111)="MONTHLY",IF(INDEX(Contracts!$K$2:$K$151,$AB111)="",2958101,INDEX(Contracts!$K$2:$K$151,$AB111)),0)),IF($Z111="A",EDATE(DATE(YEAR(INDEX(Fixed_Assets!$G$2:$G$201,$AB111)),MONTH(INDEX(Fixed_Assets!$G$2:$G$201,$AB111)),1),INDEX(Fixed_Assets!$J$2:$J$201,$AB111)-1),IF($Z111="F",MIN(IF(INDEX(Workforce!$J$2:$J$151,MATCH(INDEX(FTE_Allocation!$A$2:$A$201,$AB111),Workforce!$A$2:$A$151,0))="",2958101,INDEX(Workforce!$J$2:$J$151,MATCH(INDEX(FTE_Allocation!$A$2:$A$201,$AB111),Workforce!$A$2:$A$151,0))),IF(INDEX(FTE_Allocation!$J$2:$J$201,$AB111)="",2958101,INDEX(FTE_Allocation!$J$2:$J$201,$AB111))),"")))</f>
        <v/>
      </c>
      <c r="AG111" s="19">
        <f>IF($Z111="C",IF(INDEX(Contracts!$I$2:$I$151,$AB111)="PREPAID",INDEX(Contracts!$M$2:$M$151,$AB111)/IF(INDEX(Contracts!$N$2:$N$151,$AB111)="",12,INDEX(Contracts!$N$2:$N$151,$AB111)),IF(INDEX(Contracts!$I$2:$I$151,$AB111)="MONTHLY",INDEX(Contracts!$M$2:$M$151,$AB111),0))*(1-N(INDEX(Contracts!$O$2:$O$151,$AB111))),IF($Z111="A",INDEX(Fixed_Assets!$H$2:$H$201,$AB111)/INDEX(Fixed_Assets!$J$2:$J$201,$AB111),IF($Z111="F",INDEX(Workforce!$F$2:$F$151,MATCH(INDEX(FTE_Allocation!$A$2:$A$201,$AB111),Workforce!$A$2:$A$151,0))*N(INDEX(FTE_Allocation!$F$2:$H$201,$AB111,$AC111)),"")))</f>
        <v/>
      </c>
    </row>
    <row r="112">
      <c r="A112" s="7">
        <f>IF($Z112="","",$AD112)</f>
        <v/>
      </c>
      <c r="B112" s="7">
        <f>IF($Z112="C",INDEX(Contracts!$D$2:$D$151,$AB112)&amp;"",IF($Z112="A",INDEX(Fixed_Assets!$C$2:$C$201,$AB112)&amp;"",IF($Z112="F",INDEX(Workforce!$B$2:$B$151,MATCH(INDEX(FTE_Allocation!$A$2:$A$201,$AB112),Workforce!$A$2:$A$151,0))&amp;"","")))</f>
        <v/>
      </c>
      <c r="C112" s="7">
        <f>IF($Z112="C",INDEX(Contracts!$E$2:$E$151,$AB112)&amp;"",IF($Z112="A",INDEX(Fixed_Assets!$D$2:$D$201,$AB112)&amp;"",IF($Z112="F",INDEX(FTE_Allocation!$C$2:$C$201,$AB112)&amp;"","")))</f>
        <v/>
      </c>
      <c r="D112" s="7">
        <f>IF($Z112="C",INDEX(Contracts!$B$2:$B$151,$AB112)&amp;"",IF($Z112="A",INDEX(Fixed_Assets!$B$2:$B$201,$AB112)&amp;"",IF($Z112="F",INDEX(FTE_Allocation!$B$2:$B$201,$AB112)&amp;"","")))</f>
        <v/>
      </c>
      <c r="E112" s="7">
        <f>IF($Z112="C",INDEX(Contracts!$P$2:$P$151,$AB112)&amp;"",IF($Z112="A",INDEX(Fixed_Assets!$K$2:$K$201,$AB112)&amp;"",IF($Z112="F",IF(INDEX(FTE_Allocation!$D$2:$D$201,$AB112)="PROJECT",IFERROR(INDEX(Projects!$D:$D,MATCH(INDEX(FTE_Allocation!$E$2:$E$201,$AB112),Projects!$A:$A,0))&amp;"","#PROJECT?"),INDEX(FTE_Allocation!$E$2:$E$201,$AB112)&amp;""),"")))</f>
        <v/>
      </c>
      <c r="F112" s="7">
        <f>IF($Z112="C",INDEX(Contracts!$Q$2:$Q$151,$AB112)&amp;"",IF($Z112="A",INDEX(Fixed_Assets!$L$2:$L$201,$AB112)&amp;"",IF($Z112="F",INDEX(Workforce!$K$2:$K$151,MATCH(INDEX(FTE_Allocation!$A$2:$A$201,$AB112),Workforce!$A$2:$A$151,0))&amp;"","")))</f>
        <v/>
      </c>
      <c r="G112" s="7">
        <f>IF($Z112="C",INDEX(Contracts!$F$2:$F$151,$AB112)&amp;" / "&amp;INDEX(Contracts!$G$2:$G$151,$AB112),IF($Z112="A",INDEX(Fixed_Assets!$E$2:$E$201,$AB112)&amp;"",IF($Z112="F","Personnel "&amp;INDEX(FTE_Allocation!$A$2:$A$201,$AB112)&amp;IF(INDEX(FTE_Allocation!$D$2:$D$201,$AB112)="PROJECT"," ("&amp;INDEX(FTE_Allocation!$E$2:$E$201,$AB112)&amp;")",""),"")))</f>
        <v/>
      </c>
      <c r="H112" s="7">
        <f>IF($Z112="C","CONTRACT",IF($Z112="A","ASSET",IF($Z112="F","WORKFORCE","")))</f>
        <v/>
      </c>
      <c r="I112" s="7">
        <f>IF($Z112="C",INDEX(Contracts!$L$2:$L$151,$AB112)&amp;"",IF($Z112="A",INDEX(Fixed_Assets!$I$2:$I$201,$AB112)&amp;"",IF($Z112="F",INDEX(Workforce!$G$2:$G$151,MATCH(INDEX(FTE_Allocation!$A$2:$A$201,$AB112),Workforce!$A$2:$A$151,0))&amp;"","")))</f>
        <v/>
      </c>
      <c r="J112" s="18">
        <f>IF($Z112="","",IF(AND(DATE($AD112,1,1)&gt;=$AE112,DATE($AD112,1,1)&lt;=$AF112),ROUND($AG112,2),0))</f>
        <v/>
      </c>
      <c r="K112" s="18">
        <f>IF($Z112="","",IF(AND(DATE($AD112,2,1)&gt;=$AE112,DATE($AD112,2,1)&lt;=$AF112),ROUND($AG112,2),0))</f>
        <v/>
      </c>
      <c r="L112" s="18">
        <f>IF($Z112="","",IF(AND(DATE($AD112,3,1)&gt;=$AE112,DATE($AD112,3,1)&lt;=$AF112),ROUND($AG112,2),0))</f>
        <v/>
      </c>
      <c r="M112" s="18">
        <f>IF($Z112="","",IF(AND(DATE($AD112,4,1)&gt;=$AE112,DATE($AD112,4,1)&lt;=$AF112),ROUND($AG112,2),0))</f>
        <v/>
      </c>
      <c r="N112" s="18">
        <f>IF($Z112="","",IF(AND(DATE($AD112,5,1)&gt;=$AE112,DATE($AD112,5,1)&lt;=$AF112),ROUND($AG112,2),0))</f>
        <v/>
      </c>
      <c r="O112" s="18">
        <f>IF($Z112="","",IF(AND(DATE($AD112,6,1)&gt;=$AE112,DATE($AD112,6,1)&lt;=$AF112),ROUND($AG112,2),0))</f>
        <v/>
      </c>
      <c r="P112" s="18">
        <f>IF($Z112="","",IF(AND(DATE($AD112,7,1)&gt;=$AE112,DATE($AD112,7,1)&lt;=$AF112),ROUND($AG112,2),0))</f>
        <v/>
      </c>
      <c r="Q112" s="18">
        <f>IF($Z112="","",IF(AND(DATE($AD112,8,1)&gt;=$AE112,DATE($AD112,8,1)&lt;=$AF112),ROUND($AG112,2),0))</f>
        <v/>
      </c>
      <c r="R112" s="18">
        <f>IF($Z112="","",IF(AND(DATE($AD112,9,1)&gt;=$AE112,DATE($AD112,9,1)&lt;=$AF112),ROUND($AG112,2),0))</f>
        <v/>
      </c>
      <c r="S112" s="18">
        <f>IF($Z112="","",IF(AND(DATE($AD112,10,1)&gt;=$AE112,DATE($AD112,10,1)&lt;=$AF112),ROUND($AG112,2),0))</f>
        <v/>
      </c>
      <c r="T112" s="18">
        <f>IF($Z112="","",IF(AND(DATE($AD112,11,1)&gt;=$AE112,DATE($AD112,11,1)&lt;=$AF112),ROUND($AG112,2),0))</f>
        <v/>
      </c>
      <c r="U112" s="18">
        <f>IF($Z112="","",IF(AND(DATE($AD112,12,1)&gt;=$AE112,DATE($AD112,12,1)&lt;=$AF112),ROUND($AG112,2),0))</f>
        <v/>
      </c>
      <c r="V112" s="7">
        <f>IF($Z112="C","Generated from "&amp;INDEX(Contracts!$A$2:$A$151,$AB112),IF($Z112="A","Generated from "&amp;INDEX(Fixed_Assets!$A$2:$A$201,$AB112),IF($Z112="F","Generated from "&amp;INDEX(FTE_Allocation!$A$2:$A$201,$AB112),"")))</f>
        <v/>
      </c>
      <c r="X112" s="19">
        <f>IF($Z112="","",SUM(J112:U112))</f>
        <v/>
      </c>
      <c r="Y112" s="20">
        <f>ROW()-1</f>
        <v/>
      </c>
      <c r="Z112" s="20">
        <f>IF($Y112&lt;=Settings!$B$4*3,"C",IF($Y112&lt;=(Settings!$B$4+Settings!$B$5)*3,"A",IF($Y112&lt;=(Settings!$B$4+Settings!$B$5+Settings!$B$6)*3,"F","")))</f>
        <v/>
      </c>
      <c r="AA112" s="20">
        <f>IF($Z112="C",$Y112,IF($Z112="A",$Y112-Settings!$B$4*3,IF($Z112="F",$Y112-(Settings!$B$4+Settings!$B$5)*3,"")))</f>
        <v/>
      </c>
      <c r="AB112" s="20">
        <f>IF($Z112="","",INT(($AA112-1)/3)+1)</f>
        <v/>
      </c>
      <c r="AC112" s="20">
        <f>IF($Z112="","",MOD($AA112-1,3)+1)</f>
        <v/>
      </c>
      <c r="AD112" s="20">
        <f>IF($Z112="","",Settings!$B$2+$AC112-1)</f>
        <v/>
      </c>
      <c r="AE112" s="21">
        <f>IF($Z112="C",DATE(YEAR(INDEX(Contracts!$J$2:$J$151,$AB112)),MONTH(INDEX(Contracts!$J$2:$J$151,$AB112)),1),IF($Z112="A",DATE(YEAR(INDEX(Fixed_Assets!$G$2:$G$201,$AB112)),MONTH(INDEX(Fixed_Assets!$G$2:$G$201,$AB112)),1),IF($Z112="F",DATE(YEAR(MAX(N(INDEX(Workforce!$I$2:$I$151,MATCH(INDEX(FTE_Allocation!$A$2:$A$201,$AB112),Workforce!$A$2:$A$151,0))),N(INDEX(FTE_Allocation!$I$2:$I$201,$AB112)))),MONTH(MAX(N(INDEX(Workforce!$I$2:$I$151,MATCH(INDEX(FTE_Allocation!$A$2:$A$201,$AB112),Workforce!$A$2:$A$151,0))),N(INDEX(FTE_Allocation!$I$2:$I$201,$AB112)))),1),"")))</f>
        <v/>
      </c>
      <c r="AF112" s="21">
        <f>IF($Z112="C",IF(INDEX(Contracts!$I$2:$I$151,$AB112)="PREPAID",EDATE(DATE(YEAR(INDEX(Contracts!$J$2:$J$151,$AB112)),MONTH(INDEX(Contracts!$J$2:$J$151,$AB112)),1),IF(INDEX(Contracts!$N$2:$N$151,$AB112)="",12,INDEX(Contracts!$N$2:$N$151,$AB112))-1),IF(INDEX(Contracts!$I$2:$I$151,$AB112)="MONTHLY",IF(INDEX(Contracts!$K$2:$K$151,$AB112)="",2958101,INDEX(Contracts!$K$2:$K$151,$AB112)),0)),IF($Z112="A",EDATE(DATE(YEAR(INDEX(Fixed_Assets!$G$2:$G$201,$AB112)),MONTH(INDEX(Fixed_Assets!$G$2:$G$201,$AB112)),1),INDEX(Fixed_Assets!$J$2:$J$201,$AB112)-1),IF($Z112="F",MIN(IF(INDEX(Workforce!$J$2:$J$151,MATCH(INDEX(FTE_Allocation!$A$2:$A$201,$AB112),Workforce!$A$2:$A$151,0))="",2958101,INDEX(Workforce!$J$2:$J$151,MATCH(INDEX(FTE_Allocation!$A$2:$A$201,$AB112),Workforce!$A$2:$A$151,0))),IF(INDEX(FTE_Allocation!$J$2:$J$201,$AB112)="",2958101,INDEX(FTE_Allocation!$J$2:$J$201,$AB112))),"")))</f>
        <v/>
      </c>
      <c r="AG112" s="19">
        <f>IF($Z112="C",IF(INDEX(Contracts!$I$2:$I$151,$AB112)="PREPAID",INDEX(Contracts!$M$2:$M$151,$AB112)/IF(INDEX(Contracts!$N$2:$N$151,$AB112)="",12,INDEX(Contracts!$N$2:$N$151,$AB112)),IF(INDEX(Contracts!$I$2:$I$151,$AB112)="MONTHLY",INDEX(Contracts!$M$2:$M$151,$AB112),0))*(1-N(INDEX(Contracts!$O$2:$O$151,$AB112))),IF($Z112="A",INDEX(Fixed_Assets!$H$2:$H$201,$AB112)/INDEX(Fixed_Assets!$J$2:$J$201,$AB112),IF($Z112="F",INDEX(Workforce!$F$2:$F$151,MATCH(INDEX(FTE_Allocation!$A$2:$A$201,$AB112),Workforce!$A$2:$A$151,0))*N(INDEX(FTE_Allocation!$F$2:$H$201,$AB112,$AC112)),"")))</f>
        <v/>
      </c>
    </row>
    <row r="113">
      <c r="A113" s="7">
        <f>IF($Z113="","",$AD113)</f>
        <v/>
      </c>
      <c r="B113" s="7">
        <f>IF($Z113="C",INDEX(Contracts!$D$2:$D$151,$AB113)&amp;"",IF($Z113="A",INDEX(Fixed_Assets!$C$2:$C$201,$AB113)&amp;"",IF($Z113="F",INDEX(Workforce!$B$2:$B$151,MATCH(INDEX(FTE_Allocation!$A$2:$A$201,$AB113),Workforce!$A$2:$A$151,0))&amp;"","")))</f>
        <v/>
      </c>
      <c r="C113" s="7">
        <f>IF($Z113="C",INDEX(Contracts!$E$2:$E$151,$AB113)&amp;"",IF($Z113="A",INDEX(Fixed_Assets!$D$2:$D$201,$AB113)&amp;"",IF($Z113="F",INDEX(FTE_Allocation!$C$2:$C$201,$AB113)&amp;"","")))</f>
        <v/>
      </c>
      <c r="D113" s="7">
        <f>IF($Z113="C",INDEX(Contracts!$B$2:$B$151,$AB113)&amp;"",IF($Z113="A",INDEX(Fixed_Assets!$B$2:$B$201,$AB113)&amp;"",IF($Z113="F",INDEX(FTE_Allocation!$B$2:$B$201,$AB113)&amp;"","")))</f>
        <v/>
      </c>
      <c r="E113" s="7">
        <f>IF($Z113="C",INDEX(Contracts!$P$2:$P$151,$AB113)&amp;"",IF($Z113="A",INDEX(Fixed_Assets!$K$2:$K$201,$AB113)&amp;"",IF($Z113="F",IF(INDEX(FTE_Allocation!$D$2:$D$201,$AB113)="PROJECT",IFERROR(INDEX(Projects!$D:$D,MATCH(INDEX(FTE_Allocation!$E$2:$E$201,$AB113),Projects!$A:$A,0))&amp;"","#PROJECT?"),INDEX(FTE_Allocation!$E$2:$E$201,$AB113)&amp;""),"")))</f>
        <v/>
      </c>
      <c r="F113" s="7">
        <f>IF($Z113="C",INDEX(Contracts!$Q$2:$Q$151,$AB113)&amp;"",IF($Z113="A",INDEX(Fixed_Assets!$L$2:$L$201,$AB113)&amp;"",IF($Z113="F",INDEX(Workforce!$K$2:$K$151,MATCH(INDEX(FTE_Allocation!$A$2:$A$201,$AB113),Workforce!$A$2:$A$151,0))&amp;"","")))</f>
        <v/>
      </c>
      <c r="G113" s="7">
        <f>IF($Z113="C",INDEX(Contracts!$F$2:$F$151,$AB113)&amp;" / "&amp;INDEX(Contracts!$G$2:$G$151,$AB113),IF($Z113="A",INDEX(Fixed_Assets!$E$2:$E$201,$AB113)&amp;"",IF($Z113="F","Personnel "&amp;INDEX(FTE_Allocation!$A$2:$A$201,$AB113)&amp;IF(INDEX(FTE_Allocation!$D$2:$D$201,$AB113)="PROJECT"," ("&amp;INDEX(FTE_Allocation!$E$2:$E$201,$AB113)&amp;")",""),"")))</f>
        <v/>
      </c>
      <c r="H113" s="7">
        <f>IF($Z113="C","CONTRACT",IF($Z113="A","ASSET",IF($Z113="F","WORKFORCE","")))</f>
        <v/>
      </c>
      <c r="I113" s="7">
        <f>IF($Z113="C",INDEX(Contracts!$L$2:$L$151,$AB113)&amp;"",IF($Z113="A",INDEX(Fixed_Assets!$I$2:$I$201,$AB113)&amp;"",IF($Z113="F",INDEX(Workforce!$G$2:$G$151,MATCH(INDEX(FTE_Allocation!$A$2:$A$201,$AB113),Workforce!$A$2:$A$151,0))&amp;"","")))</f>
        <v/>
      </c>
      <c r="J113" s="18">
        <f>IF($Z113="","",IF(AND(DATE($AD113,1,1)&gt;=$AE113,DATE($AD113,1,1)&lt;=$AF113),ROUND($AG113,2),0))</f>
        <v/>
      </c>
      <c r="K113" s="18">
        <f>IF($Z113="","",IF(AND(DATE($AD113,2,1)&gt;=$AE113,DATE($AD113,2,1)&lt;=$AF113),ROUND($AG113,2),0))</f>
        <v/>
      </c>
      <c r="L113" s="18">
        <f>IF($Z113="","",IF(AND(DATE($AD113,3,1)&gt;=$AE113,DATE($AD113,3,1)&lt;=$AF113),ROUND($AG113,2),0))</f>
        <v/>
      </c>
      <c r="M113" s="18">
        <f>IF($Z113="","",IF(AND(DATE($AD113,4,1)&gt;=$AE113,DATE($AD113,4,1)&lt;=$AF113),ROUND($AG113,2),0))</f>
        <v/>
      </c>
      <c r="N113" s="18">
        <f>IF($Z113="","",IF(AND(DATE($AD113,5,1)&gt;=$AE113,DATE($AD113,5,1)&lt;=$AF113),ROUND($AG113,2),0))</f>
        <v/>
      </c>
      <c r="O113" s="18">
        <f>IF($Z113="","",IF(AND(DATE($AD113,6,1)&gt;=$AE113,DATE($AD113,6,1)&lt;=$AF113),ROUND($AG113,2),0))</f>
        <v/>
      </c>
      <c r="P113" s="18">
        <f>IF($Z113="","",IF(AND(DATE($AD113,7,1)&gt;=$AE113,DATE($AD113,7,1)&lt;=$AF113),ROUND($AG113,2),0))</f>
        <v/>
      </c>
      <c r="Q113" s="18">
        <f>IF($Z113="","",IF(AND(DATE($AD113,8,1)&gt;=$AE113,DATE($AD113,8,1)&lt;=$AF113),ROUND($AG113,2),0))</f>
        <v/>
      </c>
      <c r="R113" s="18">
        <f>IF($Z113="","",IF(AND(DATE($AD113,9,1)&gt;=$AE113,DATE($AD113,9,1)&lt;=$AF113),ROUND($AG113,2),0))</f>
        <v/>
      </c>
      <c r="S113" s="18">
        <f>IF($Z113="","",IF(AND(DATE($AD113,10,1)&gt;=$AE113,DATE($AD113,10,1)&lt;=$AF113),ROUND($AG113,2),0))</f>
        <v/>
      </c>
      <c r="T113" s="18">
        <f>IF($Z113="","",IF(AND(DATE($AD113,11,1)&gt;=$AE113,DATE($AD113,11,1)&lt;=$AF113),ROUND($AG113,2),0))</f>
        <v/>
      </c>
      <c r="U113" s="18">
        <f>IF($Z113="","",IF(AND(DATE($AD113,12,1)&gt;=$AE113,DATE($AD113,12,1)&lt;=$AF113),ROUND($AG113,2),0))</f>
        <v/>
      </c>
      <c r="V113" s="7">
        <f>IF($Z113="C","Generated from "&amp;INDEX(Contracts!$A$2:$A$151,$AB113),IF($Z113="A","Generated from "&amp;INDEX(Fixed_Assets!$A$2:$A$201,$AB113),IF($Z113="F","Generated from "&amp;INDEX(FTE_Allocation!$A$2:$A$201,$AB113),"")))</f>
        <v/>
      </c>
      <c r="X113" s="19">
        <f>IF($Z113="","",SUM(J113:U113))</f>
        <v/>
      </c>
      <c r="Y113" s="20">
        <f>ROW()-1</f>
        <v/>
      </c>
      <c r="Z113" s="20">
        <f>IF($Y113&lt;=Settings!$B$4*3,"C",IF($Y113&lt;=(Settings!$B$4+Settings!$B$5)*3,"A",IF($Y113&lt;=(Settings!$B$4+Settings!$B$5+Settings!$B$6)*3,"F","")))</f>
        <v/>
      </c>
      <c r="AA113" s="20">
        <f>IF($Z113="C",$Y113,IF($Z113="A",$Y113-Settings!$B$4*3,IF($Z113="F",$Y113-(Settings!$B$4+Settings!$B$5)*3,"")))</f>
        <v/>
      </c>
      <c r="AB113" s="20">
        <f>IF($Z113="","",INT(($AA113-1)/3)+1)</f>
        <v/>
      </c>
      <c r="AC113" s="20">
        <f>IF($Z113="","",MOD($AA113-1,3)+1)</f>
        <v/>
      </c>
      <c r="AD113" s="20">
        <f>IF($Z113="","",Settings!$B$2+$AC113-1)</f>
        <v/>
      </c>
      <c r="AE113" s="21">
        <f>IF($Z113="C",DATE(YEAR(INDEX(Contracts!$J$2:$J$151,$AB113)),MONTH(INDEX(Contracts!$J$2:$J$151,$AB113)),1),IF($Z113="A",DATE(YEAR(INDEX(Fixed_Assets!$G$2:$G$201,$AB113)),MONTH(INDEX(Fixed_Assets!$G$2:$G$201,$AB113)),1),IF($Z113="F",DATE(YEAR(MAX(N(INDEX(Workforce!$I$2:$I$151,MATCH(INDEX(FTE_Allocation!$A$2:$A$201,$AB113),Workforce!$A$2:$A$151,0))),N(INDEX(FTE_Allocation!$I$2:$I$201,$AB113)))),MONTH(MAX(N(INDEX(Workforce!$I$2:$I$151,MATCH(INDEX(FTE_Allocation!$A$2:$A$201,$AB113),Workforce!$A$2:$A$151,0))),N(INDEX(FTE_Allocation!$I$2:$I$201,$AB113)))),1),"")))</f>
        <v/>
      </c>
      <c r="AF113" s="21">
        <f>IF($Z113="C",IF(INDEX(Contracts!$I$2:$I$151,$AB113)="PREPAID",EDATE(DATE(YEAR(INDEX(Contracts!$J$2:$J$151,$AB113)),MONTH(INDEX(Contracts!$J$2:$J$151,$AB113)),1),IF(INDEX(Contracts!$N$2:$N$151,$AB113)="",12,INDEX(Contracts!$N$2:$N$151,$AB113))-1),IF(INDEX(Contracts!$I$2:$I$151,$AB113)="MONTHLY",IF(INDEX(Contracts!$K$2:$K$151,$AB113)="",2958101,INDEX(Contracts!$K$2:$K$151,$AB113)),0)),IF($Z113="A",EDATE(DATE(YEAR(INDEX(Fixed_Assets!$G$2:$G$201,$AB113)),MONTH(INDEX(Fixed_Assets!$G$2:$G$201,$AB113)),1),INDEX(Fixed_Assets!$J$2:$J$201,$AB113)-1),IF($Z113="F",MIN(IF(INDEX(Workforce!$J$2:$J$151,MATCH(INDEX(FTE_Allocation!$A$2:$A$201,$AB113),Workforce!$A$2:$A$151,0))="",2958101,INDEX(Workforce!$J$2:$J$151,MATCH(INDEX(FTE_Allocation!$A$2:$A$201,$AB113),Workforce!$A$2:$A$151,0))),IF(INDEX(FTE_Allocation!$J$2:$J$201,$AB113)="",2958101,INDEX(FTE_Allocation!$J$2:$J$201,$AB113))),"")))</f>
        <v/>
      </c>
      <c r="AG113" s="19">
        <f>IF($Z113="C",IF(INDEX(Contracts!$I$2:$I$151,$AB113)="PREPAID",INDEX(Contracts!$M$2:$M$151,$AB113)/IF(INDEX(Contracts!$N$2:$N$151,$AB113)="",12,INDEX(Contracts!$N$2:$N$151,$AB113)),IF(INDEX(Contracts!$I$2:$I$151,$AB113)="MONTHLY",INDEX(Contracts!$M$2:$M$151,$AB113),0))*(1-N(INDEX(Contracts!$O$2:$O$151,$AB113))),IF($Z113="A",INDEX(Fixed_Assets!$H$2:$H$201,$AB113)/INDEX(Fixed_Assets!$J$2:$J$201,$AB113),IF($Z113="F",INDEX(Workforce!$F$2:$F$151,MATCH(INDEX(FTE_Allocation!$A$2:$A$201,$AB113),Workforce!$A$2:$A$151,0))*N(INDEX(FTE_Allocation!$F$2:$H$201,$AB113,$AC113)),"")))</f>
        <v/>
      </c>
    </row>
    <row r="114">
      <c r="A114" s="7">
        <f>IF($Z114="","",$AD114)</f>
        <v/>
      </c>
      <c r="B114" s="7">
        <f>IF($Z114="C",INDEX(Contracts!$D$2:$D$151,$AB114)&amp;"",IF($Z114="A",INDEX(Fixed_Assets!$C$2:$C$201,$AB114)&amp;"",IF($Z114="F",INDEX(Workforce!$B$2:$B$151,MATCH(INDEX(FTE_Allocation!$A$2:$A$201,$AB114),Workforce!$A$2:$A$151,0))&amp;"","")))</f>
        <v/>
      </c>
      <c r="C114" s="7">
        <f>IF($Z114="C",INDEX(Contracts!$E$2:$E$151,$AB114)&amp;"",IF($Z114="A",INDEX(Fixed_Assets!$D$2:$D$201,$AB114)&amp;"",IF($Z114="F",INDEX(FTE_Allocation!$C$2:$C$201,$AB114)&amp;"","")))</f>
        <v/>
      </c>
      <c r="D114" s="7">
        <f>IF($Z114="C",INDEX(Contracts!$B$2:$B$151,$AB114)&amp;"",IF($Z114="A",INDEX(Fixed_Assets!$B$2:$B$201,$AB114)&amp;"",IF($Z114="F",INDEX(FTE_Allocation!$B$2:$B$201,$AB114)&amp;"","")))</f>
        <v/>
      </c>
      <c r="E114" s="7">
        <f>IF($Z114="C",INDEX(Contracts!$P$2:$P$151,$AB114)&amp;"",IF($Z114="A",INDEX(Fixed_Assets!$K$2:$K$201,$AB114)&amp;"",IF($Z114="F",IF(INDEX(FTE_Allocation!$D$2:$D$201,$AB114)="PROJECT",IFERROR(INDEX(Projects!$D:$D,MATCH(INDEX(FTE_Allocation!$E$2:$E$201,$AB114),Projects!$A:$A,0))&amp;"","#PROJECT?"),INDEX(FTE_Allocation!$E$2:$E$201,$AB114)&amp;""),"")))</f>
        <v/>
      </c>
      <c r="F114" s="7">
        <f>IF($Z114="C",INDEX(Contracts!$Q$2:$Q$151,$AB114)&amp;"",IF($Z114="A",INDEX(Fixed_Assets!$L$2:$L$201,$AB114)&amp;"",IF($Z114="F",INDEX(Workforce!$K$2:$K$151,MATCH(INDEX(FTE_Allocation!$A$2:$A$201,$AB114),Workforce!$A$2:$A$151,0))&amp;"","")))</f>
        <v/>
      </c>
      <c r="G114" s="7">
        <f>IF($Z114="C",INDEX(Contracts!$F$2:$F$151,$AB114)&amp;" / "&amp;INDEX(Contracts!$G$2:$G$151,$AB114),IF($Z114="A",INDEX(Fixed_Assets!$E$2:$E$201,$AB114)&amp;"",IF($Z114="F","Personnel "&amp;INDEX(FTE_Allocation!$A$2:$A$201,$AB114)&amp;IF(INDEX(FTE_Allocation!$D$2:$D$201,$AB114)="PROJECT"," ("&amp;INDEX(FTE_Allocation!$E$2:$E$201,$AB114)&amp;")",""),"")))</f>
        <v/>
      </c>
      <c r="H114" s="7">
        <f>IF($Z114="C","CONTRACT",IF($Z114="A","ASSET",IF($Z114="F","WORKFORCE","")))</f>
        <v/>
      </c>
      <c r="I114" s="7">
        <f>IF($Z114="C",INDEX(Contracts!$L$2:$L$151,$AB114)&amp;"",IF($Z114="A",INDEX(Fixed_Assets!$I$2:$I$201,$AB114)&amp;"",IF($Z114="F",INDEX(Workforce!$G$2:$G$151,MATCH(INDEX(FTE_Allocation!$A$2:$A$201,$AB114),Workforce!$A$2:$A$151,0))&amp;"","")))</f>
        <v/>
      </c>
      <c r="J114" s="18">
        <f>IF($Z114="","",IF(AND(DATE($AD114,1,1)&gt;=$AE114,DATE($AD114,1,1)&lt;=$AF114),ROUND($AG114,2),0))</f>
        <v/>
      </c>
      <c r="K114" s="18">
        <f>IF($Z114="","",IF(AND(DATE($AD114,2,1)&gt;=$AE114,DATE($AD114,2,1)&lt;=$AF114),ROUND($AG114,2),0))</f>
        <v/>
      </c>
      <c r="L114" s="18">
        <f>IF($Z114="","",IF(AND(DATE($AD114,3,1)&gt;=$AE114,DATE($AD114,3,1)&lt;=$AF114),ROUND($AG114,2),0))</f>
        <v/>
      </c>
      <c r="M114" s="18">
        <f>IF($Z114="","",IF(AND(DATE($AD114,4,1)&gt;=$AE114,DATE($AD114,4,1)&lt;=$AF114),ROUND($AG114,2),0))</f>
        <v/>
      </c>
      <c r="N114" s="18">
        <f>IF($Z114="","",IF(AND(DATE($AD114,5,1)&gt;=$AE114,DATE($AD114,5,1)&lt;=$AF114),ROUND($AG114,2),0))</f>
        <v/>
      </c>
      <c r="O114" s="18">
        <f>IF($Z114="","",IF(AND(DATE($AD114,6,1)&gt;=$AE114,DATE($AD114,6,1)&lt;=$AF114),ROUND($AG114,2),0))</f>
        <v/>
      </c>
      <c r="P114" s="18">
        <f>IF($Z114="","",IF(AND(DATE($AD114,7,1)&gt;=$AE114,DATE($AD114,7,1)&lt;=$AF114),ROUND($AG114,2),0))</f>
        <v/>
      </c>
      <c r="Q114" s="18">
        <f>IF($Z114="","",IF(AND(DATE($AD114,8,1)&gt;=$AE114,DATE($AD114,8,1)&lt;=$AF114),ROUND($AG114,2),0))</f>
        <v/>
      </c>
      <c r="R114" s="18">
        <f>IF($Z114="","",IF(AND(DATE($AD114,9,1)&gt;=$AE114,DATE($AD114,9,1)&lt;=$AF114),ROUND($AG114,2),0))</f>
        <v/>
      </c>
      <c r="S114" s="18">
        <f>IF($Z114="","",IF(AND(DATE($AD114,10,1)&gt;=$AE114,DATE($AD114,10,1)&lt;=$AF114),ROUND($AG114,2),0))</f>
        <v/>
      </c>
      <c r="T114" s="18">
        <f>IF($Z114="","",IF(AND(DATE($AD114,11,1)&gt;=$AE114,DATE($AD114,11,1)&lt;=$AF114),ROUND($AG114,2),0))</f>
        <v/>
      </c>
      <c r="U114" s="18">
        <f>IF($Z114="","",IF(AND(DATE($AD114,12,1)&gt;=$AE114,DATE($AD114,12,1)&lt;=$AF114),ROUND($AG114,2),0))</f>
        <v/>
      </c>
      <c r="V114" s="7">
        <f>IF($Z114="C","Generated from "&amp;INDEX(Contracts!$A$2:$A$151,$AB114),IF($Z114="A","Generated from "&amp;INDEX(Fixed_Assets!$A$2:$A$201,$AB114),IF($Z114="F","Generated from "&amp;INDEX(FTE_Allocation!$A$2:$A$201,$AB114),"")))</f>
        <v/>
      </c>
      <c r="X114" s="19">
        <f>IF($Z114="","",SUM(J114:U114))</f>
        <v/>
      </c>
      <c r="Y114" s="20">
        <f>ROW()-1</f>
        <v/>
      </c>
      <c r="Z114" s="20">
        <f>IF($Y114&lt;=Settings!$B$4*3,"C",IF($Y114&lt;=(Settings!$B$4+Settings!$B$5)*3,"A",IF($Y114&lt;=(Settings!$B$4+Settings!$B$5+Settings!$B$6)*3,"F","")))</f>
        <v/>
      </c>
      <c r="AA114" s="20">
        <f>IF($Z114="C",$Y114,IF($Z114="A",$Y114-Settings!$B$4*3,IF($Z114="F",$Y114-(Settings!$B$4+Settings!$B$5)*3,"")))</f>
        <v/>
      </c>
      <c r="AB114" s="20">
        <f>IF($Z114="","",INT(($AA114-1)/3)+1)</f>
        <v/>
      </c>
      <c r="AC114" s="20">
        <f>IF($Z114="","",MOD($AA114-1,3)+1)</f>
        <v/>
      </c>
      <c r="AD114" s="20">
        <f>IF($Z114="","",Settings!$B$2+$AC114-1)</f>
        <v/>
      </c>
      <c r="AE114" s="21">
        <f>IF($Z114="C",DATE(YEAR(INDEX(Contracts!$J$2:$J$151,$AB114)),MONTH(INDEX(Contracts!$J$2:$J$151,$AB114)),1),IF($Z114="A",DATE(YEAR(INDEX(Fixed_Assets!$G$2:$G$201,$AB114)),MONTH(INDEX(Fixed_Assets!$G$2:$G$201,$AB114)),1),IF($Z114="F",DATE(YEAR(MAX(N(INDEX(Workforce!$I$2:$I$151,MATCH(INDEX(FTE_Allocation!$A$2:$A$201,$AB114),Workforce!$A$2:$A$151,0))),N(INDEX(FTE_Allocation!$I$2:$I$201,$AB114)))),MONTH(MAX(N(INDEX(Workforce!$I$2:$I$151,MATCH(INDEX(FTE_Allocation!$A$2:$A$201,$AB114),Workforce!$A$2:$A$151,0))),N(INDEX(FTE_Allocation!$I$2:$I$201,$AB114)))),1),"")))</f>
        <v/>
      </c>
      <c r="AF114" s="21">
        <f>IF($Z114="C",IF(INDEX(Contracts!$I$2:$I$151,$AB114)="PREPAID",EDATE(DATE(YEAR(INDEX(Contracts!$J$2:$J$151,$AB114)),MONTH(INDEX(Contracts!$J$2:$J$151,$AB114)),1),IF(INDEX(Contracts!$N$2:$N$151,$AB114)="",12,INDEX(Contracts!$N$2:$N$151,$AB114))-1),IF(INDEX(Contracts!$I$2:$I$151,$AB114)="MONTHLY",IF(INDEX(Contracts!$K$2:$K$151,$AB114)="",2958101,INDEX(Contracts!$K$2:$K$151,$AB114)),0)),IF($Z114="A",EDATE(DATE(YEAR(INDEX(Fixed_Assets!$G$2:$G$201,$AB114)),MONTH(INDEX(Fixed_Assets!$G$2:$G$201,$AB114)),1),INDEX(Fixed_Assets!$J$2:$J$201,$AB114)-1),IF($Z114="F",MIN(IF(INDEX(Workforce!$J$2:$J$151,MATCH(INDEX(FTE_Allocation!$A$2:$A$201,$AB114),Workforce!$A$2:$A$151,0))="",2958101,INDEX(Workforce!$J$2:$J$151,MATCH(INDEX(FTE_Allocation!$A$2:$A$201,$AB114),Workforce!$A$2:$A$151,0))),IF(INDEX(FTE_Allocation!$J$2:$J$201,$AB114)="",2958101,INDEX(FTE_Allocation!$J$2:$J$201,$AB114))),"")))</f>
        <v/>
      </c>
      <c r="AG114" s="19">
        <f>IF($Z114="C",IF(INDEX(Contracts!$I$2:$I$151,$AB114)="PREPAID",INDEX(Contracts!$M$2:$M$151,$AB114)/IF(INDEX(Contracts!$N$2:$N$151,$AB114)="",12,INDEX(Contracts!$N$2:$N$151,$AB114)),IF(INDEX(Contracts!$I$2:$I$151,$AB114)="MONTHLY",INDEX(Contracts!$M$2:$M$151,$AB114),0))*(1-N(INDEX(Contracts!$O$2:$O$151,$AB114))),IF($Z114="A",INDEX(Fixed_Assets!$H$2:$H$201,$AB114)/INDEX(Fixed_Assets!$J$2:$J$201,$AB114),IF($Z114="F",INDEX(Workforce!$F$2:$F$151,MATCH(INDEX(FTE_Allocation!$A$2:$A$201,$AB114),Workforce!$A$2:$A$151,0))*N(INDEX(FTE_Allocation!$F$2:$H$201,$AB114,$AC114)),"")))</f>
        <v/>
      </c>
    </row>
    <row r="115">
      <c r="A115" s="7">
        <f>IF($Z115="","",$AD115)</f>
        <v/>
      </c>
      <c r="B115" s="7">
        <f>IF($Z115="C",INDEX(Contracts!$D$2:$D$151,$AB115)&amp;"",IF($Z115="A",INDEX(Fixed_Assets!$C$2:$C$201,$AB115)&amp;"",IF($Z115="F",INDEX(Workforce!$B$2:$B$151,MATCH(INDEX(FTE_Allocation!$A$2:$A$201,$AB115),Workforce!$A$2:$A$151,0))&amp;"","")))</f>
        <v/>
      </c>
      <c r="C115" s="7">
        <f>IF($Z115="C",INDEX(Contracts!$E$2:$E$151,$AB115)&amp;"",IF($Z115="A",INDEX(Fixed_Assets!$D$2:$D$201,$AB115)&amp;"",IF($Z115="F",INDEX(FTE_Allocation!$C$2:$C$201,$AB115)&amp;"","")))</f>
        <v/>
      </c>
      <c r="D115" s="7">
        <f>IF($Z115="C",INDEX(Contracts!$B$2:$B$151,$AB115)&amp;"",IF($Z115="A",INDEX(Fixed_Assets!$B$2:$B$201,$AB115)&amp;"",IF($Z115="F",INDEX(FTE_Allocation!$B$2:$B$201,$AB115)&amp;"","")))</f>
        <v/>
      </c>
      <c r="E115" s="7">
        <f>IF($Z115="C",INDEX(Contracts!$P$2:$P$151,$AB115)&amp;"",IF($Z115="A",INDEX(Fixed_Assets!$K$2:$K$201,$AB115)&amp;"",IF($Z115="F",IF(INDEX(FTE_Allocation!$D$2:$D$201,$AB115)="PROJECT",IFERROR(INDEX(Projects!$D:$D,MATCH(INDEX(FTE_Allocation!$E$2:$E$201,$AB115),Projects!$A:$A,0))&amp;"","#PROJECT?"),INDEX(FTE_Allocation!$E$2:$E$201,$AB115)&amp;""),"")))</f>
        <v/>
      </c>
      <c r="F115" s="7">
        <f>IF($Z115="C",INDEX(Contracts!$Q$2:$Q$151,$AB115)&amp;"",IF($Z115="A",INDEX(Fixed_Assets!$L$2:$L$201,$AB115)&amp;"",IF($Z115="F",INDEX(Workforce!$K$2:$K$151,MATCH(INDEX(FTE_Allocation!$A$2:$A$201,$AB115),Workforce!$A$2:$A$151,0))&amp;"","")))</f>
        <v/>
      </c>
      <c r="G115" s="7">
        <f>IF($Z115="C",INDEX(Contracts!$F$2:$F$151,$AB115)&amp;" / "&amp;INDEX(Contracts!$G$2:$G$151,$AB115),IF($Z115="A",INDEX(Fixed_Assets!$E$2:$E$201,$AB115)&amp;"",IF($Z115="F","Personnel "&amp;INDEX(FTE_Allocation!$A$2:$A$201,$AB115)&amp;IF(INDEX(FTE_Allocation!$D$2:$D$201,$AB115)="PROJECT"," ("&amp;INDEX(FTE_Allocation!$E$2:$E$201,$AB115)&amp;")",""),"")))</f>
        <v/>
      </c>
      <c r="H115" s="7">
        <f>IF($Z115="C","CONTRACT",IF($Z115="A","ASSET",IF($Z115="F","WORKFORCE","")))</f>
        <v/>
      </c>
      <c r="I115" s="7">
        <f>IF($Z115="C",INDEX(Contracts!$L$2:$L$151,$AB115)&amp;"",IF($Z115="A",INDEX(Fixed_Assets!$I$2:$I$201,$AB115)&amp;"",IF($Z115="F",INDEX(Workforce!$G$2:$G$151,MATCH(INDEX(FTE_Allocation!$A$2:$A$201,$AB115),Workforce!$A$2:$A$151,0))&amp;"","")))</f>
        <v/>
      </c>
      <c r="J115" s="18">
        <f>IF($Z115="","",IF(AND(DATE($AD115,1,1)&gt;=$AE115,DATE($AD115,1,1)&lt;=$AF115),ROUND($AG115,2),0))</f>
        <v/>
      </c>
      <c r="K115" s="18">
        <f>IF($Z115="","",IF(AND(DATE($AD115,2,1)&gt;=$AE115,DATE($AD115,2,1)&lt;=$AF115),ROUND($AG115,2),0))</f>
        <v/>
      </c>
      <c r="L115" s="18">
        <f>IF($Z115="","",IF(AND(DATE($AD115,3,1)&gt;=$AE115,DATE($AD115,3,1)&lt;=$AF115),ROUND($AG115,2),0))</f>
        <v/>
      </c>
      <c r="M115" s="18">
        <f>IF($Z115="","",IF(AND(DATE($AD115,4,1)&gt;=$AE115,DATE($AD115,4,1)&lt;=$AF115),ROUND($AG115,2),0))</f>
        <v/>
      </c>
      <c r="N115" s="18">
        <f>IF($Z115="","",IF(AND(DATE($AD115,5,1)&gt;=$AE115,DATE($AD115,5,1)&lt;=$AF115),ROUND($AG115,2),0))</f>
        <v/>
      </c>
      <c r="O115" s="18">
        <f>IF($Z115="","",IF(AND(DATE($AD115,6,1)&gt;=$AE115,DATE($AD115,6,1)&lt;=$AF115),ROUND($AG115,2),0))</f>
        <v/>
      </c>
      <c r="P115" s="18">
        <f>IF($Z115="","",IF(AND(DATE($AD115,7,1)&gt;=$AE115,DATE($AD115,7,1)&lt;=$AF115),ROUND($AG115,2),0))</f>
        <v/>
      </c>
      <c r="Q115" s="18">
        <f>IF($Z115="","",IF(AND(DATE($AD115,8,1)&gt;=$AE115,DATE($AD115,8,1)&lt;=$AF115),ROUND($AG115,2),0))</f>
        <v/>
      </c>
      <c r="R115" s="18">
        <f>IF($Z115="","",IF(AND(DATE($AD115,9,1)&gt;=$AE115,DATE($AD115,9,1)&lt;=$AF115),ROUND($AG115,2),0))</f>
        <v/>
      </c>
      <c r="S115" s="18">
        <f>IF($Z115="","",IF(AND(DATE($AD115,10,1)&gt;=$AE115,DATE($AD115,10,1)&lt;=$AF115),ROUND($AG115,2),0))</f>
        <v/>
      </c>
      <c r="T115" s="18">
        <f>IF($Z115="","",IF(AND(DATE($AD115,11,1)&gt;=$AE115,DATE($AD115,11,1)&lt;=$AF115),ROUND($AG115,2),0))</f>
        <v/>
      </c>
      <c r="U115" s="18">
        <f>IF($Z115="","",IF(AND(DATE($AD115,12,1)&gt;=$AE115,DATE($AD115,12,1)&lt;=$AF115),ROUND($AG115,2),0))</f>
        <v/>
      </c>
      <c r="V115" s="7">
        <f>IF($Z115="C","Generated from "&amp;INDEX(Contracts!$A$2:$A$151,$AB115),IF($Z115="A","Generated from "&amp;INDEX(Fixed_Assets!$A$2:$A$201,$AB115),IF($Z115="F","Generated from "&amp;INDEX(FTE_Allocation!$A$2:$A$201,$AB115),"")))</f>
        <v/>
      </c>
      <c r="X115" s="19">
        <f>IF($Z115="","",SUM(J115:U115))</f>
        <v/>
      </c>
      <c r="Y115" s="20">
        <f>ROW()-1</f>
        <v/>
      </c>
      <c r="Z115" s="20">
        <f>IF($Y115&lt;=Settings!$B$4*3,"C",IF($Y115&lt;=(Settings!$B$4+Settings!$B$5)*3,"A",IF($Y115&lt;=(Settings!$B$4+Settings!$B$5+Settings!$B$6)*3,"F","")))</f>
        <v/>
      </c>
      <c r="AA115" s="20">
        <f>IF($Z115="C",$Y115,IF($Z115="A",$Y115-Settings!$B$4*3,IF($Z115="F",$Y115-(Settings!$B$4+Settings!$B$5)*3,"")))</f>
        <v/>
      </c>
      <c r="AB115" s="20">
        <f>IF($Z115="","",INT(($AA115-1)/3)+1)</f>
        <v/>
      </c>
      <c r="AC115" s="20">
        <f>IF($Z115="","",MOD($AA115-1,3)+1)</f>
        <v/>
      </c>
      <c r="AD115" s="20">
        <f>IF($Z115="","",Settings!$B$2+$AC115-1)</f>
        <v/>
      </c>
      <c r="AE115" s="21">
        <f>IF($Z115="C",DATE(YEAR(INDEX(Contracts!$J$2:$J$151,$AB115)),MONTH(INDEX(Contracts!$J$2:$J$151,$AB115)),1),IF($Z115="A",DATE(YEAR(INDEX(Fixed_Assets!$G$2:$G$201,$AB115)),MONTH(INDEX(Fixed_Assets!$G$2:$G$201,$AB115)),1),IF($Z115="F",DATE(YEAR(MAX(N(INDEX(Workforce!$I$2:$I$151,MATCH(INDEX(FTE_Allocation!$A$2:$A$201,$AB115),Workforce!$A$2:$A$151,0))),N(INDEX(FTE_Allocation!$I$2:$I$201,$AB115)))),MONTH(MAX(N(INDEX(Workforce!$I$2:$I$151,MATCH(INDEX(FTE_Allocation!$A$2:$A$201,$AB115),Workforce!$A$2:$A$151,0))),N(INDEX(FTE_Allocation!$I$2:$I$201,$AB115)))),1),"")))</f>
        <v/>
      </c>
      <c r="AF115" s="21">
        <f>IF($Z115="C",IF(INDEX(Contracts!$I$2:$I$151,$AB115)="PREPAID",EDATE(DATE(YEAR(INDEX(Contracts!$J$2:$J$151,$AB115)),MONTH(INDEX(Contracts!$J$2:$J$151,$AB115)),1),IF(INDEX(Contracts!$N$2:$N$151,$AB115)="",12,INDEX(Contracts!$N$2:$N$151,$AB115))-1),IF(INDEX(Contracts!$I$2:$I$151,$AB115)="MONTHLY",IF(INDEX(Contracts!$K$2:$K$151,$AB115)="",2958101,INDEX(Contracts!$K$2:$K$151,$AB115)),0)),IF($Z115="A",EDATE(DATE(YEAR(INDEX(Fixed_Assets!$G$2:$G$201,$AB115)),MONTH(INDEX(Fixed_Assets!$G$2:$G$201,$AB115)),1),INDEX(Fixed_Assets!$J$2:$J$201,$AB115)-1),IF($Z115="F",MIN(IF(INDEX(Workforce!$J$2:$J$151,MATCH(INDEX(FTE_Allocation!$A$2:$A$201,$AB115),Workforce!$A$2:$A$151,0))="",2958101,INDEX(Workforce!$J$2:$J$151,MATCH(INDEX(FTE_Allocation!$A$2:$A$201,$AB115),Workforce!$A$2:$A$151,0))),IF(INDEX(FTE_Allocation!$J$2:$J$201,$AB115)="",2958101,INDEX(FTE_Allocation!$J$2:$J$201,$AB115))),"")))</f>
        <v/>
      </c>
      <c r="AG115" s="19">
        <f>IF($Z115="C",IF(INDEX(Contracts!$I$2:$I$151,$AB115)="PREPAID",INDEX(Contracts!$M$2:$M$151,$AB115)/IF(INDEX(Contracts!$N$2:$N$151,$AB115)="",12,INDEX(Contracts!$N$2:$N$151,$AB115)),IF(INDEX(Contracts!$I$2:$I$151,$AB115)="MONTHLY",INDEX(Contracts!$M$2:$M$151,$AB115),0))*(1-N(INDEX(Contracts!$O$2:$O$151,$AB115))),IF($Z115="A",INDEX(Fixed_Assets!$H$2:$H$201,$AB115)/INDEX(Fixed_Assets!$J$2:$J$201,$AB115),IF($Z115="F",INDEX(Workforce!$F$2:$F$151,MATCH(INDEX(FTE_Allocation!$A$2:$A$201,$AB115),Workforce!$A$2:$A$151,0))*N(INDEX(FTE_Allocation!$F$2:$H$201,$AB115,$AC115)),"")))</f>
        <v/>
      </c>
    </row>
    <row r="116">
      <c r="A116" s="7">
        <f>IF($Z116="","",$AD116)</f>
        <v/>
      </c>
      <c r="B116" s="7">
        <f>IF($Z116="C",INDEX(Contracts!$D$2:$D$151,$AB116)&amp;"",IF($Z116="A",INDEX(Fixed_Assets!$C$2:$C$201,$AB116)&amp;"",IF($Z116="F",INDEX(Workforce!$B$2:$B$151,MATCH(INDEX(FTE_Allocation!$A$2:$A$201,$AB116),Workforce!$A$2:$A$151,0))&amp;"","")))</f>
        <v/>
      </c>
      <c r="C116" s="7">
        <f>IF($Z116="C",INDEX(Contracts!$E$2:$E$151,$AB116)&amp;"",IF($Z116="A",INDEX(Fixed_Assets!$D$2:$D$201,$AB116)&amp;"",IF($Z116="F",INDEX(FTE_Allocation!$C$2:$C$201,$AB116)&amp;"","")))</f>
        <v/>
      </c>
      <c r="D116" s="7">
        <f>IF($Z116="C",INDEX(Contracts!$B$2:$B$151,$AB116)&amp;"",IF($Z116="A",INDEX(Fixed_Assets!$B$2:$B$201,$AB116)&amp;"",IF($Z116="F",INDEX(FTE_Allocation!$B$2:$B$201,$AB116)&amp;"","")))</f>
        <v/>
      </c>
      <c r="E116" s="7">
        <f>IF($Z116="C",INDEX(Contracts!$P$2:$P$151,$AB116)&amp;"",IF($Z116="A",INDEX(Fixed_Assets!$K$2:$K$201,$AB116)&amp;"",IF($Z116="F",IF(INDEX(FTE_Allocation!$D$2:$D$201,$AB116)="PROJECT",IFERROR(INDEX(Projects!$D:$D,MATCH(INDEX(FTE_Allocation!$E$2:$E$201,$AB116),Projects!$A:$A,0))&amp;"","#PROJECT?"),INDEX(FTE_Allocation!$E$2:$E$201,$AB116)&amp;""),"")))</f>
        <v/>
      </c>
      <c r="F116" s="7">
        <f>IF($Z116="C",INDEX(Contracts!$Q$2:$Q$151,$AB116)&amp;"",IF($Z116="A",INDEX(Fixed_Assets!$L$2:$L$201,$AB116)&amp;"",IF($Z116="F",INDEX(Workforce!$K$2:$K$151,MATCH(INDEX(FTE_Allocation!$A$2:$A$201,$AB116),Workforce!$A$2:$A$151,0))&amp;"","")))</f>
        <v/>
      </c>
      <c r="G116" s="7">
        <f>IF($Z116="C",INDEX(Contracts!$F$2:$F$151,$AB116)&amp;" / "&amp;INDEX(Contracts!$G$2:$G$151,$AB116),IF($Z116="A",INDEX(Fixed_Assets!$E$2:$E$201,$AB116)&amp;"",IF($Z116="F","Personnel "&amp;INDEX(FTE_Allocation!$A$2:$A$201,$AB116)&amp;IF(INDEX(FTE_Allocation!$D$2:$D$201,$AB116)="PROJECT"," ("&amp;INDEX(FTE_Allocation!$E$2:$E$201,$AB116)&amp;")",""),"")))</f>
        <v/>
      </c>
      <c r="H116" s="7">
        <f>IF($Z116="C","CONTRACT",IF($Z116="A","ASSET",IF($Z116="F","WORKFORCE","")))</f>
        <v/>
      </c>
      <c r="I116" s="7">
        <f>IF($Z116="C",INDEX(Contracts!$L$2:$L$151,$AB116)&amp;"",IF($Z116="A",INDEX(Fixed_Assets!$I$2:$I$201,$AB116)&amp;"",IF($Z116="F",INDEX(Workforce!$G$2:$G$151,MATCH(INDEX(FTE_Allocation!$A$2:$A$201,$AB116),Workforce!$A$2:$A$151,0))&amp;"","")))</f>
        <v/>
      </c>
      <c r="J116" s="18">
        <f>IF($Z116="","",IF(AND(DATE($AD116,1,1)&gt;=$AE116,DATE($AD116,1,1)&lt;=$AF116),ROUND($AG116,2),0))</f>
        <v/>
      </c>
      <c r="K116" s="18">
        <f>IF($Z116="","",IF(AND(DATE($AD116,2,1)&gt;=$AE116,DATE($AD116,2,1)&lt;=$AF116),ROUND($AG116,2),0))</f>
        <v/>
      </c>
      <c r="L116" s="18">
        <f>IF($Z116="","",IF(AND(DATE($AD116,3,1)&gt;=$AE116,DATE($AD116,3,1)&lt;=$AF116),ROUND($AG116,2),0))</f>
        <v/>
      </c>
      <c r="M116" s="18">
        <f>IF($Z116="","",IF(AND(DATE($AD116,4,1)&gt;=$AE116,DATE($AD116,4,1)&lt;=$AF116),ROUND($AG116,2),0))</f>
        <v/>
      </c>
      <c r="N116" s="18">
        <f>IF($Z116="","",IF(AND(DATE($AD116,5,1)&gt;=$AE116,DATE($AD116,5,1)&lt;=$AF116),ROUND($AG116,2),0))</f>
        <v/>
      </c>
      <c r="O116" s="18">
        <f>IF($Z116="","",IF(AND(DATE($AD116,6,1)&gt;=$AE116,DATE($AD116,6,1)&lt;=$AF116),ROUND($AG116,2),0))</f>
        <v/>
      </c>
      <c r="P116" s="18">
        <f>IF($Z116="","",IF(AND(DATE($AD116,7,1)&gt;=$AE116,DATE($AD116,7,1)&lt;=$AF116),ROUND($AG116,2),0))</f>
        <v/>
      </c>
      <c r="Q116" s="18">
        <f>IF($Z116="","",IF(AND(DATE($AD116,8,1)&gt;=$AE116,DATE($AD116,8,1)&lt;=$AF116),ROUND($AG116,2),0))</f>
        <v/>
      </c>
      <c r="R116" s="18">
        <f>IF($Z116="","",IF(AND(DATE($AD116,9,1)&gt;=$AE116,DATE($AD116,9,1)&lt;=$AF116),ROUND($AG116,2),0))</f>
        <v/>
      </c>
      <c r="S116" s="18">
        <f>IF($Z116="","",IF(AND(DATE($AD116,10,1)&gt;=$AE116,DATE($AD116,10,1)&lt;=$AF116),ROUND($AG116,2),0))</f>
        <v/>
      </c>
      <c r="T116" s="18">
        <f>IF($Z116="","",IF(AND(DATE($AD116,11,1)&gt;=$AE116,DATE($AD116,11,1)&lt;=$AF116),ROUND($AG116,2),0))</f>
        <v/>
      </c>
      <c r="U116" s="18">
        <f>IF($Z116="","",IF(AND(DATE($AD116,12,1)&gt;=$AE116,DATE($AD116,12,1)&lt;=$AF116),ROUND($AG116,2),0))</f>
        <v/>
      </c>
      <c r="V116" s="7">
        <f>IF($Z116="C","Generated from "&amp;INDEX(Contracts!$A$2:$A$151,$AB116),IF($Z116="A","Generated from "&amp;INDEX(Fixed_Assets!$A$2:$A$201,$AB116),IF($Z116="F","Generated from "&amp;INDEX(FTE_Allocation!$A$2:$A$201,$AB116),"")))</f>
        <v/>
      </c>
      <c r="X116" s="19">
        <f>IF($Z116="","",SUM(J116:U116))</f>
        <v/>
      </c>
      <c r="Y116" s="20">
        <f>ROW()-1</f>
        <v/>
      </c>
      <c r="Z116" s="20">
        <f>IF($Y116&lt;=Settings!$B$4*3,"C",IF($Y116&lt;=(Settings!$B$4+Settings!$B$5)*3,"A",IF($Y116&lt;=(Settings!$B$4+Settings!$B$5+Settings!$B$6)*3,"F","")))</f>
        <v/>
      </c>
      <c r="AA116" s="20">
        <f>IF($Z116="C",$Y116,IF($Z116="A",$Y116-Settings!$B$4*3,IF($Z116="F",$Y116-(Settings!$B$4+Settings!$B$5)*3,"")))</f>
        <v/>
      </c>
      <c r="AB116" s="20">
        <f>IF($Z116="","",INT(($AA116-1)/3)+1)</f>
        <v/>
      </c>
      <c r="AC116" s="20">
        <f>IF($Z116="","",MOD($AA116-1,3)+1)</f>
        <v/>
      </c>
      <c r="AD116" s="20">
        <f>IF($Z116="","",Settings!$B$2+$AC116-1)</f>
        <v/>
      </c>
      <c r="AE116" s="21">
        <f>IF($Z116="C",DATE(YEAR(INDEX(Contracts!$J$2:$J$151,$AB116)),MONTH(INDEX(Contracts!$J$2:$J$151,$AB116)),1),IF($Z116="A",DATE(YEAR(INDEX(Fixed_Assets!$G$2:$G$201,$AB116)),MONTH(INDEX(Fixed_Assets!$G$2:$G$201,$AB116)),1),IF($Z116="F",DATE(YEAR(MAX(N(INDEX(Workforce!$I$2:$I$151,MATCH(INDEX(FTE_Allocation!$A$2:$A$201,$AB116),Workforce!$A$2:$A$151,0))),N(INDEX(FTE_Allocation!$I$2:$I$201,$AB116)))),MONTH(MAX(N(INDEX(Workforce!$I$2:$I$151,MATCH(INDEX(FTE_Allocation!$A$2:$A$201,$AB116),Workforce!$A$2:$A$151,0))),N(INDEX(FTE_Allocation!$I$2:$I$201,$AB116)))),1),"")))</f>
        <v/>
      </c>
      <c r="AF116" s="21">
        <f>IF($Z116="C",IF(INDEX(Contracts!$I$2:$I$151,$AB116)="PREPAID",EDATE(DATE(YEAR(INDEX(Contracts!$J$2:$J$151,$AB116)),MONTH(INDEX(Contracts!$J$2:$J$151,$AB116)),1),IF(INDEX(Contracts!$N$2:$N$151,$AB116)="",12,INDEX(Contracts!$N$2:$N$151,$AB116))-1),IF(INDEX(Contracts!$I$2:$I$151,$AB116)="MONTHLY",IF(INDEX(Contracts!$K$2:$K$151,$AB116)="",2958101,INDEX(Contracts!$K$2:$K$151,$AB116)),0)),IF($Z116="A",EDATE(DATE(YEAR(INDEX(Fixed_Assets!$G$2:$G$201,$AB116)),MONTH(INDEX(Fixed_Assets!$G$2:$G$201,$AB116)),1),INDEX(Fixed_Assets!$J$2:$J$201,$AB116)-1),IF($Z116="F",MIN(IF(INDEX(Workforce!$J$2:$J$151,MATCH(INDEX(FTE_Allocation!$A$2:$A$201,$AB116),Workforce!$A$2:$A$151,0))="",2958101,INDEX(Workforce!$J$2:$J$151,MATCH(INDEX(FTE_Allocation!$A$2:$A$201,$AB116),Workforce!$A$2:$A$151,0))),IF(INDEX(FTE_Allocation!$J$2:$J$201,$AB116)="",2958101,INDEX(FTE_Allocation!$J$2:$J$201,$AB116))),"")))</f>
        <v/>
      </c>
      <c r="AG116" s="19">
        <f>IF($Z116="C",IF(INDEX(Contracts!$I$2:$I$151,$AB116)="PREPAID",INDEX(Contracts!$M$2:$M$151,$AB116)/IF(INDEX(Contracts!$N$2:$N$151,$AB116)="",12,INDEX(Contracts!$N$2:$N$151,$AB116)),IF(INDEX(Contracts!$I$2:$I$151,$AB116)="MONTHLY",INDEX(Contracts!$M$2:$M$151,$AB116),0))*(1-N(INDEX(Contracts!$O$2:$O$151,$AB116))),IF($Z116="A",INDEX(Fixed_Assets!$H$2:$H$201,$AB116)/INDEX(Fixed_Assets!$J$2:$J$201,$AB116),IF($Z116="F",INDEX(Workforce!$F$2:$F$151,MATCH(INDEX(FTE_Allocation!$A$2:$A$201,$AB116),Workforce!$A$2:$A$151,0))*N(INDEX(FTE_Allocation!$F$2:$H$201,$AB116,$AC116)),"")))</f>
        <v/>
      </c>
    </row>
    <row r="117">
      <c r="A117" s="7">
        <f>IF($Z117="","",$AD117)</f>
        <v/>
      </c>
      <c r="B117" s="7">
        <f>IF($Z117="C",INDEX(Contracts!$D$2:$D$151,$AB117)&amp;"",IF($Z117="A",INDEX(Fixed_Assets!$C$2:$C$201,$AB117)&amp;"",IF($Z117="F",INDEX(Workforce!$B$2:$B$151,MATCH(INDEX(FTE_Allocation!$A$2:$A$201,$AB117),Workforce!$A$2:$A$151,0))&amp;"","")))</f>
        <v/>
      </c>
      <c r="C117" s="7">
        <f>IF($Z117="C",INDEX(Contracts!$E$2:$E$151,$AB117)&amp;"",IF($Z117="A",INDEX(Fixed_Assets!$D$2:$D$201,$AB117)&amp;"",IF($Z117="F",INDEX(FTE_Allocation!$C$2:$C$201,$AB117)&amp;"","")))</f>
        <v/>
      </c>
      <c r="D117" s="7">
        <f>IF($Z117="C",INDEX(Contracts!$B$2:$B$151,$AB117)&amp;"",IF($Z117="A",INDEX(Fixed_Assets!$B$2:$B$201,$AB117)&amp;"",IF($Z117="F",INDEX(FTE_Allocation!$B$2:$B$201,$AB117)&amp;"","")))</f>
        <v/>
      </c>
      <c r="E117" s="7">
        <f>IF($Z117="C",INDEX(Contracts!$P$2:$P$151,$AB117)&amp;"",IF($Z117="A",INDEX(Fixed_Assets!$K$2:$K$201,$AB117)&amp;"",IF($Z117="F",IF(INDEX(FTE_Allocation!$D$2:$D$201,$AB117)="PROJECT",IFERROR(INDEX(Projects!$D:$D,MATCH(INDEX(FTE_Allocation!$E$2:$E$201,$AB117),Projects!$A:$A,0))&amp;"","#PROJECT?"),INDEX(FTE_Allocation!$E$2:$E$201,$AB117)&amp;""),"")))</f>
        <v/>
      </c>
      <c r="F117" s="7">
        <f>IF($Z117="C",INDEX(Contracts!$Q$2:$Q$151,$AB117)&amp;"",IF($Z117="A",INDEX(Fixed_Assets!$L$2:$L$201,$AB117)&amp;"",IF($Z117="F",INDEX(Workforce!$K$2:$K$151,MATCH(INDEX(FTE_Allocation!$A$2:$A$201,$AB117),Workforce!$A$2:$A$151,0))&amp;"","")))</f>
        <v/>
      </c>
      <c r="G117" s="7">
        <f>IF($Z117="C",INDEX(Contracts!$F$2:$F$151,$AB117)&amp;" / "&amp;INDEX(Contracts!$G$2:$G$151,$AB117),IF($Z117="A",INDEX(Fixed_Assets!$E$2:$E$201,$AB117)&amp;"",IF($Z117="F","Personnel "&amp;INDEX(FTE_Allocation!$A$2:$A$201,$AB117)&amp;IF(INDEX(FTE_Allocation!$D$2:$D$201,$AB117)="PROJECT"," ("&amp;INDEX(FTE_Allocation!$E$2:$E$201,$AB117)&amp;")",""),"")))</f>
        <v/>
      </c>
      <c r="H117" s="7">
        <f>IF($Z117="C","CONTRACT",IF($Z117="A","ASSET",IF($Z117="F","WORKFORCE","")))</f>
        <v/>
      </c>
      <c r="I117" s="7">
        <f>IF($Z117="C",INDEX(Contracts!$L$2:$L$151,$AB117)&amp;"",IF($Z117="A",INDEX(Fixed_Assets!$I$2:$I$201,$AB117)&amp;"",IF($Z117="F",INDEX(Workforce!$G$2:$G$151,MATCH(INDEX(FTE_Allocation!$A$2:$A$201,$AB117),Workforce!$A$2:$A$151,0))&amp;"","")))</f>
        <v/>
      </c>
      <c r="J117" s="18">
        <f>IF($Z117="","",IF(AND(DATE($AD117,1,1)&gt;=$AE117,DATE($AD117,1,1)&lt;=$AF117),ROUND($AG117,2),0))</f>
        <v/>
      </c>
      <c r="K117" s="18">
        <f>IF($Z117="","",IF(AND(DATE($AD117,2,1)&gt;=$AE117,DATE($AD117,2,1)&lt;=$AF117),ROUND($AG117,2),0))</f>
        <v/>
      </c>
      <c r="L117" s="18">
        <f>IF($Z117="","",IF(AND(DATE($AD117,3,1)&gt;=$AE117,DATE($AD117,3,1)&lt;=$AF117),ROUND($AG117,2),0))</f>
        <v/>
      </c>
      <c r="M117" s="18">
        <f>IF($Z117="","",IF(AND(DATE($AD117,4,1)&gt;=$AE117,DATE($AD117,4,1)&lt;=$AF117),ROUND($AG117,2),0))</f>
        <v/>
      </c>
      <c r="N117" s="18">
        <f>IF($Z117="","",IF(AND(DATE($AD117,5,1)&gt;=$AE117,DATE($AD117,5,1)&lt;=$AF117),ROUND($AG117,2),0))</f>
        <v/>
      </c>
      <c r="O117" s="18">
        <f>IF($Z117="","",IF(AND(DATE($AD117,6,1)&gt;=$AE117,DATE($AD117,6,1)&lt;=$AF117),ROUND($AG117,2),0))</f>
        <v/>
      </c>
      <c r="P117" s="18">
        <f>IF($Z117="","",IF(AND(DATE($AD117,7,1)&gt;=$AE117,DATE($AD117,7,1)&lt;=$AF117),ROUND($AG117,2),0))</f>
        <v/>
      </c>
      <c r="Q117" s="18">
        <f>IF($Z117="","",IF(AND(DATE($AD117,8,1)&gt;=$AE117,DATE($AD117,8,1)&lt;=$AF117),ROUND($AG117,2),0))</f>
        <v/>
      </c>
      <c r="R117" s="18">
        <f>IF($Z117="","",IF(AND(DATE($AD117,9,1)&gt;=$AE117,DATE($AD117,9,1)&lt;=$AF117),ROUND($AG117,2),0))</f>
        <v/>
      </c>
      <c r="S117" s="18">
        <f>IF($Z117="","",IF(AND(DATE($AD117,10,1)&gt;=$AE117,DATE($AD117,10,1)&lt;=$AF117),ROUND($AG117,2),0))</f>
        <v/>
      </c>
      <c r="T117" s="18">
        <f>IF($Z117="","",IF(AND(DATE($AD117,11,1)&gt;=$AE117,DATE($AD117,11,1)&lt;=$AF117),ROUND($AG117,2),0))</f>
        <v/>
      </c>
      <c r="U117" s="18">
        <f>IF($Z117="","",IF(AND(DATE($AD117,12,1)&gt;=$AE117,DATE($AD117,12,1)&lt;=$AF117),ROUND($AG117,2),0))</f>
        <v/>
      </c>
      <c r="V117" s="7">
        <f>IF($Z117="C","Generated from "&amp;INDEX(Contracts!$A$2:$A$151,$AB117),IF($Z117="A","Generated from "&amp;INDEX(Fixed_Assets!$A$2:$A$201,$AB117),IF($Z117="F","Generated from "&amp;INDEX(FTE_Allocation!$A$2:$A$201,$AB117),"")))</f>
        <v/>
      </c>
      <c r="X117" s="19">
        <f>IF($Z117="","",SUM(J117:U117))</f>
        <v/>
      </c>
      <c r="Y117" s="20">
        <f>ROW()-1</f>
        <v/>
      </c>
      <c r="Z117" s="20">
        <f>IF($Y117&lt;=Settings!$B$4*3,"C",IF($Y117&lt;=(Settings!$B$4+Settings!$B$5)*3,"A",IF($Y117&lt;=(Settings!$B$4+Settings!$B$5+Settings!$B$6)*3,"F","")))</f>
        <v/>
      </c>
      <c r="AA117" s="20">
        <f>IF($Z117="C",$Y117,IF($Z117="A",$Y117-Settings!$B$4*3,IF($Z117="F",$Y117-(Settings!$B$4+Settings!$B$5)*3,"")))</f>
        <v/>
      </c>
      <c r="AB117" s="20">
        <f>IF($Z117="","",INT(($AA117-1)/3)+1)</f>
        <v/>
      </c>
      <c r="AC117" s="20">
        <f>IF($Z117="","",MOD($AA117-1,3)+1)</f>
        <v/>
      </c>
      <c r="AD117" s="20">
        <f>IF($Z117="","",Settings!$B$2+$AC117-1)</f>
        <v/>
      </c>
      <c r="AE117" s="21">
        <f>IF($Z117="C",DATE(YEAR(INDEX(Contracts!$J$2:$J$151,$AB117)),MONTH(INDEX(Contracts!$J$2:$J$151,$AB117)),1),IF($Z117="A",DATE(YEAR(INDEX(Fixed_Assets!$G$2:$G$201,$AB117)),MONTH(INDEX(Fixed_Assets!$G$2:$G$201,$AB117)),1),IF($Z117="F",DATE(YEAR(MAX(N(INDEX(Workforce!$I$2:$I$151,MATCH(INDEX(FTE_Allocation!$A$2:$A$201,$AB117),Workforce!$A$2:$A$151,0))),N(INDEX(FTE_Allocation!$I$2:$I$201,$AB117)))),MONTH(MAX(N(INDEX(Workforce!$I$2:$I$151,MATCH(INDEX(FTE_Allocation!$A$2:$A$201,$AB117),Workforce!$A$2:$A$151,0))),N(INDEX(FTE_Allocation!$I$2:$I$201,$AB117)))),1),"")))</f>
        <v/>
      </c>
      <c r="AF117" s="21">
        <f>IF($Z117="C",IF(INDEX(Contracts!$I$2:$I$151,$AB117)="PREPAID",EDATE(DATE(YEAR(INDEX(Contracts!$J$2:$J$151,$AB117)),MONTH(INDEX(Contracts!$J$2:$J$151,$AB117)),1),IF(INDEX(Contracts!$N$2:$N$151,$AB117)="",12,INDEX(Contracts!$N$2:$N$151,$AB117))-1),IF(INDEX(Contracts!$I$2:$I$151,$AB117)="MONTHLY",IF(INDEX(Contracts!$K$2:$K$151,$AB117)="",2958101,INDEX(Contracts!$K$2:$K$151,$AB117)),0)),IF($Z117="A",EDATE(DATE(YEAR(INDEX(Fixed_Assets!$G$2:$G$201,$AB117)),MONTH(INDEX(Fixed_Assets!$G$2:$G$201,$AB117)),1),INDEX(Fixed_Assets!$J$2:$J$201,$AB117)-1),IF($Z117="F",MIN(IF(INDEX(Workforce!$J$2:$J$151,MATCH(INDEX(FTE_Allocation!$A$2:$A$201,$AB117),Workforce!$A$2:$A$151,0))="",2958101,INDEX(Workforce!$J$2:$J$151,MATCH(INDEX(FTE_Allocation!$A$2:$A$201,$AB117),Workforce!$A$2:$A$151,0))),IF(INDEX(FTE_Allocation!$J$2:$J$201,$AB117)="",2958101,INDEX(FTE_Allocation!$J$2:$J$201,$AB117))),"")))</f>
        <v/>
      </c>
      <c r="AG117" s="19">
        <f>IF($Z117="C",IF(INDEX(Contracts!$I$2:$I$151,$AB117)="PREPAID",INDEX(Contracts!$M$2:$M$151,$AB117)/IF(INDEX(Contracts!$N$2:$N$151,$AB117)="",12,INDEX(Contracts!$N$2:$N$151,$AB117)),IF(INDEX(Contracts!$I$2:$I$151,$AB117)="MONTHLY",INDEX(Contracts!$M$2:$M$151,$AB117),0))*(1-N(INDEX(Contracts!$O$2:$O$151,$AB117))),IF($Z117="A",INDEX(Fixed_Assets!$H$2:$H$201,$AB117)/INDEX(Fixed_Assets!$J$2:$J$201,$AB117),IF($Z117="F",INDEX(Workforce!$F$2:$F$151,MATCH(INDEX(FTE_Allocation!$A$2:$A$201,$AB117),Workforce!$A$2:$A$151,0))*N(INDEX(FTE_Allocation!$F$2:$H$201,$AB117,$AC117)),"")))</f>
        <v/>
      </c>
    </row>
    <row r="118">
      <c r="A118" s="7">
        <f>IF($Z118="","",$AD118)</f>
        <v/>
      </c>
      <c r="B118" s="7">
        <f>IF($Z118="C",INDEX(Contracts!$D$2:$D$151,$AB118)&amp;"",IF($Z118="A",INDEX(Fixed_Assets!$C$2:$C$201,$AB118)&amp;"",IF($Z118="F",INDEX(Workforce!$B$2:$B$151,MATCH(INDEX(FTE_Allocation!$A$2:$A$201,$AB118),Workforce!$A$2:$A$151,0))&amp;"","")))</f>
        <v/>
      </c>
      <c r="C118" s="7">
        <f>IF($Z118="C",INDEX(Contracts!$E$2:$E$151,$AB118)&amp;"",IF($Z118="A",INDEX(Fixed_Assets!$D$2:$D$201,$AB118)&amp;"",IF($Z118="F",INDEX(FTE_Allocation!$C$2:$C$201,$AB118)&amp;"","")))</f>
        <v/>
      </c>
      <c r="D118" s="7">
        <f>IF($Z118="C",INDEX(Contracts!$B$2:$B$151,$AB118)&amp;"",IF($Z118="A",INDEX(Fixed_Assets!$B$2:$B$201,$AB118)&amp;"",IF($Z118="F",INDEX(FTE_Allocation!$B$2:$B$201,$AB118)&amp;"","")))</f>
        <v/>
      </c>
      <c r="E118" s="7">
        <f>IF($Z118="C",INDEX(Contracts!$P$2:$P$151,$AB118)&amp;"",IF($Z118="A",INDEX(Fixed_Assets!$K$2:$K$201,$AB118)&amp;"",IF($Z118="F",IF(INDEX(FTE_Allocation!$D$2:$D$201,$AB118)="PROJECT",IFERROR(INDEX(Projects!$D:$D,MATCH(INDEX(FTE_Allocation!$E$2:$E$201,$AB118),Projects!$A:$A,0))&amp;"","#PROJECT?"),INDEX(FTE_Allocation!$E$2:$E$201,$AB118)&amp;""),"")))</f>
        <v/>
      </c>
      <c r="F118" s="7">
        <f>IF($Z118="C",INDEX(Contracts!$Q$2:$Q$151,$AB118)&amp;"",IF($Z118="A",INDEX(Fixed_Assets!$L$2:$L$201,$AB118)&amp;"",IF($Z118="F",INDEX(Workforce!$K$2:$K$151,MATCH(INDEX(FTE_Allocation!$A$2:$A$201,$AB118),Workforce!$A$2:$A$151,0))&amp;"","")))</f>
        <v/>
      </c>
      <c r="G118" s="7">
        <f>IF($Z118="C",INDEX(Contracts!$F$2:$F$151,$AB118)&amp;" / "&amp;INDEX(Contracts!$G$2:$G$151,$AB118),IF($Z118="A",INDEX(Fixed_Assets!$E$2:$E$201,$AB118)&amp;"",IF($Z118="F","Personnel "&amp;INDEX(FTE_Allocation!$A$2:$A$201,$AB118)&amp;IF(INDEX(FTE_Allocation!$D$2:$D$201,$AB118)="PROJECT"," ("&amp;INDEX(FTE_Allocation!$E$2:$E$201,$AB118)&amp;")",""),"")))</f>
        <v/>
      </c>
      <c r="H118" s="7">
        <f>IF($Z118="C","CONTRACT",IF($Z118="A","ASSET",IF($Z118="F","WORKFORCE","")))</f>
        <v/>
      </c>
      <c r="I118" s="7">
        <f>IF($Z118="C",INDEX(Contracts!$L$2:$L$151,$AB118)&amp;"",IF($Z118="A",INDEX(Fixed_Assets!$I$2:$I$201,$AB118)&amp;"",IF($Z118="F",INDEX(Workforce!$G$2:$G$151,MATCH(INDEX(FTE_Allocation!$A$2:$A$201,$AB118),Workforce!$A$2:$A$151,0))&amp;"","")))</f>
        <v/>
      </c>
      <c r="J118" s="18">
        <f>IF($Z118="","",IF(AND(DATE($AD118,1,1)&gt;=$AE118,DATE($AD118,1,1)&lt;=$AF118),ROUND($AG118,2),0))</f>
        <v/>
      </c>
      <c r="K118" s="18">
        <f>IF($Z118="","",IF(AND(DATE($AD118,2,1)&gt;=$AE118,DATE($AD118,2,1)&lt;=$AF118),ROUND($AG118,2),0))</f>
        <v/>
      </c>
      <c r="L118" s="18">
        <f>IF($Z118="","",IF(AND(DATE($AD118,3,1)&gt;=$AE118,DATE($AD118,3,1)&lt;=$AF118),ROUND($AG118,2),0))</f>
        <v/>
      </c>
      <c r="M118" s="18">
        <f>IF($Z118="","",IF(AND(DATE($AD118,4,1)&gt;=$AE118,DATE($AD118,4,1)&lt;=$AF118),ROUND($AG118,2),0))</f>
        <v/>
      </c>
      <c r="N118" s="18">
        <f>IF($Z118="","",IF(AND(DATE($AD118,5,1)&gt;=$AE118,DATE($AD118,5,1)&lt;=$AF118),ROUND($AG118,2),0))</f>
        <v/>
      </c>
      <c r="O118" s="18">
        <f>IF($Z118="","",IF(AND(DATE($AD118,6,1)&gt;=$AE118,DATE($AD118,6,1)&lt;=$AF118),ROUND($AG118,2),0))</f>
        <v/>
      </c>
      <c r="P118" s="18">
        <f>IF($Z118="","",IF(AND(DATE($AD118,7,1)&gt;=$AE118,DATE($AD118,7,1)&lt;=$AF118),ROUND($AG118,2),0))</f>
        <v/>
      </c>
      <c r="Q118" s="18">
        <f>IF($Z118="","",IF(AND(DATE($AD118,8,1)&gt;=$AE118,DATE($AD118,8,1)&lt;=$AF118),ROUND($AG118,2),0))</f>
        <v/>
      </c>
      <c r="R118" s="18">
        <f>IF($Z118="","",IF(AND(DATE($AD118,9,1)&gt;=$AE118,DATE($AD118,9,1)&lt;=$AF118),ROUND($AG118,2),0))</f>
        <v/>
      </c>
      <c r="S118" s="18">
        <f>IF($Z118="","",IF(AND(DATE($AD118,10,1)&gt;=$AE118,DATE($AD118,10,1)&lt;=$AF118),ROUND($AG118,2),0))</f>
        <v/>
      </c>
      <c r="T118" s="18">
        <f>IF($Z118="","",IF(AND(DATE($AD118,11,1)&gt;=$AE118,DATE($AD118,11,1)&lt;=$AF118),ROUND($AG118,2),0))</f>
        <v/>
      </c>
      <c r="U118" s="18">
        <f>IF($Z118="","",IF(AND(DATE($AD118,12,1)&gt;=$AE118,DATE($AD118,12,1)&lt;=$AF118),ROUND($AG118,2),0))</f>
        <v/>
      </c>
      <c r="V118" s="7">
        <f>IF($Z118="C","Generated from "&amp;INDEX(Contracts!$A$2:$A$151,$AB118),IF($Z118="A","Generated from "&amp;INDEX(Fixed_Assets!$A$2:$A$201,$AB118),IF($Z118="F","Generated from "&amp;INDEX(FTE_Allocation!$A$2:$A$201,$AB118),"")))</f>
        <v/>
      </c>
      <c r="X118" s="19">
        <f>IF($Z118="","",SUM(J118:U118))</f>
        <v/>
      </c>
      <c r="Y118" s="20">
        <f>ROW()-1</f>
        <v/>
      </c>
      <c r="Z118" s="20">
        <f>IF($Y118&lt;=Settings!$B$4*3,"C",IF($Y118&lt;=(Settings!$B$4+Settings!$B$5)*3,"A",IF($Y118&lt;=(Settings!$B$4+Settings!$B$5+Settings!$B$6)*3,"F","")))</f>
        <v/>
      </c>
      <c r="AA118" s="20">
        <f>IF($Z118="C",$Y118,IF($Z118="A",$Y118-Settings!$B$4*3,IF($Z118="F",$Y118-(Settings!$B$4+Settings!$B$5)*3,"")))</f>
        <v/>
      </c>
      <c r="AB118" s="20">
        <f>IF($Z118="","",INT(($AA118-1)/3)+1)</f>
        <v/>
      </c>
      <c r="AC118" s="20">
        <f>IF($Z118="","",MOD($AA118-1,3)+1)</f>
        <v/>
      </c>
      <c r="AD118" s="20">
        <f>IF($Z118="","",Settings!$B$2+$AC118-1)</f>
        <v/>
      </c>
      <c r="AE118" s="21">
        <f>IF($Z118="C",DATE(YEAR(INDEX(Contracts!$J$2:$J$151,$AB118)),MONTH(INDEX(Contracts!$J$2:$J$151,$AB118)),1),IF($Z118="A",DATE(YEAR(INDEX(Fixed_Assets!$G$2:$G$201,$AB118)),MONTH(INDEX(Fixed_Assets!$G$2:$G$201,$AB118)),1),IF($Z118="F",DATE(YEAR(MAX(N(INDEX(Workforce!$I$2:$I$151,MATCH(INDEX(FTE_Allocation!$A$2:$A$201,$AB118),Workforce!$A$2:$A$151,0))),N(INDEX(FTE_Allocation!$I$2:$I$201,$AB118)))),MONTH(MAX(N(INDEX(Workforce!$I$2:$I$151,MATCH(INDEX(FTE_Allocation!$A$2:$A$201,$AB118),Workforce!$A$2:$A$151,0))),N(INDEX(FTE_Allocation!$I$2:$I$201,$AB118)))),1),"")))</f>
        <v/>
      </c>
      <c r="AF118" s="21">
        <f>IF($Z118="C",IF(INDEX(Contracts!$I$2:$I$151,$AB118)="PREPAID",EDATE(DATE(YEAR(INDEX(Contracts!$J$2:$J$151,$AB118)),MONTH(INDEX(Contracts!$J$2:$J$151,$AB118)),1),IF(INDEX(Contracts!$N$2:$N$151,$AB118)="",12,INDEX(Contracts!$N$2:$N$151,$AB118))-1),IF(INDEX(Contracts!$I$2:$I$151,$AB118)="MONTHLY",IF(INDEX(Contracts!$K$2:$K$151,$AB118)="",2958101,INDEX(Contracts!$K$2:$K$151,$AB118)),0)),IF($Z118="A",EDATE(DATE(YEAR(INDEX(Fixed_Assets!$G$2:$G$201,$AB118)),MONTH(INDEX(Fixed_Assets!$G$2:$G$201,$AB118)),1),INDEX(Fixed_Assets!$J$2:$J$201,$AB118)-1),IF($Z118="F",MIN(IF(INDEX(Workforce!$J$2:$J$151,MATCH(INDEX(FTE_Allocation!$A$2:$A$201,$AB118),Workforce!$A$2:$A$151,0))="",2958101,INDEX(Workforce!$J$2:$J$151,MATCH(INDEX(FTE_Allocation!$A$2:$A$201,$AB118),Workforce!$A$2:$A$151,0))),IF(INDEX(FTE_Allocation!$J$2:$J$201,$AB118)="",2958101,INDEX(FTE_Allocation!$J$2:$J$201,$AB118))),"")))</f>
        <v/>
      </c>
      <c r="AG118" s="19">
        <f>IF($Z118="C",IF(INDEX(Contracts!$I$2:$I$151,$AB118)="PREPAID",INDEX(Contracts!$M$2:$M$151,$AB118)/IF(INDEX(Contracts!$N$2:$N$151,$AB118)="",12,INDEX(Contracts!$N$2:$N$151,$AB118)),IF(INDEX(Contracts!$I$2:$I$151,$AB118)="MONTHLY",INDEX(Contracts!$M$2:$M$151,$AB118),0))*(1-N(INDEX(Contracts!$O$2:$O$151,$AB118))),IF($Z118="A",INDEX(Fixed_Assets!$H$2:$H$201,$AB118)/INDEX(Fixed_Assets!$J$2:$J$201,$AB118),IF($Z118="F",INDEX(Workforce!$F$2:$F$151,MATCH(INDEX(FTE_Allocation!$A$2:$A$201,$AB118),Workforce!$A$2:$A$151,0))*N(INDEX(FTE_Allocation!$F$2:$H$201,$AB118,$AC118)),"")))</f>
        <v/>
      </c>
    </row>
    <row r="119">
      <c r="A119" s="7">
        <f>IF($Z119="","",$AD119)</f>
        <v/>
      </c>
      <c r="B119" s="7">
        <f>IF($Z119="C",INDEX(Contracts!$D$2:$D$151,$AB119)&amp;"",IF($Z119="A",INDEX(Fixed_Assets!$C$2:$C$201,$AB119)&amp;"",IF($Z119="F",INDEX(Workforce!$B$2:$B$151,MATCH(INDEX(FTE_Allocation!$A$2:$A$201,$AB119),Workforce!$A$2:$A$151,0))&amp;"","")))</f>
        <v/>
      </c>
      <c r="C119" s="7">
        <f>IF($Z119="C",INDEX(Contracts!$E$2:$E$151,$AB119)&amp;"",IF($Z119="A",INDEX(Fixed_Assets!$D$2:$D$201,$AB119)&amp;"",IF($Z119="F",INDEX(FTE_Allocation!$C$2:$C$201,$AB119)&amp;"","")))</f>
        <v/>
      </c>
      <c r="D119" s="7">
        <f>IF($Z119="C",INDEX(Contracts!$B$2:$B$151,$AB119)&amp;"",IF($Z119="A",INDEX(Fixed_Assets!$B$2:$B$201,$AB119)&amp;"",IF($Z119="F",INDEX(FTE_Allocation!$B$2:$B$201,$AB119)&amp;"","")))</f>
        <v/>
      </c>
      <c r="E119" s="7">
        <f>IF($Z119="C",INDEX(Contracts!$P$2:$P$151,$AB119)&amp;"",IF($Z119="A",INDEX(Fixed_Assets!$K$2:$K$201,$AB119)&amp;"",IF($Z119="F",IF(INDEX(FTE_Allocation!$D$2:$D$201,$AB119)="PROJECT",IFERROR(INDEX(Projects!$D:$D,MATCH(INDEX(FTE_Allocation!$E$2:$E$201,$AB119),Projects!$A:$A,0))&amp;"","#PROJECT?"),INDEX(FTE_Allocation!$E$2:$E$201,$AB119)&amp;""),"")))</f>
        <v/>
      </c>
      <c r="F119" s="7">
        <f>IF($Z119="C",INDEX(Contracts!$Q$2:$Q$151,$AB119)&amp;"",IF($Z119="A",INDEX(Fixed_Assets!$L$2:$L$201,$AB119)&amp;"",IF($Z119="F",INDEX(Workforce!$K$2:$K$151,MATCH(INDEX(FTE_Allocation!$A$2:$A$201,$AB119),Workforce!$A$2:$A$151,0))&amp;"","")))</f>
        <v/>
      </c>
      <c r="G119" s="7">
        <f>IF($Z119="C",INDEX(Contracts!$F$2:$F$151,$AB119)&amp;" / "&amp;INDEX(Contracts!$G$2:$G$151,$AB119),IF($Z119="A",INDEX(Fixed_Assets!$E$2:$E$201,$AB119)&amp;"",IF($Z119="F","Personnel "&amp;INDEX(FTE_Allocation!$A$2:$A$201,$AB119)&amp;IF(INDEX(FTE_Allocation!$D$2:$D$201,$AB119)="PROJECT"," ("&amp;INDEX(FTE_Allocation!$E$2:$E$201,$AB119)&amp;")",""),"")))</f>
        <v/>
      </c>
      <c r="H119" s="7">
        <f>IF($Z119="C","CONTRACT",IF($Z119="A","ASSET",IF($Z119="F","WORKFORCE","")))</f>
        <v/>
      </c>
      <c r="I119" s="7">
        <f>IF($Z119="C",INDEX(Contracts!$L$2:$L$151,$AB119)&amp;"",IF($Z119="A",INDEX(Fixed_Assets!$I$2:$I$201,$AB119)&amp;"",IF($Z119="F",INDEX(Workforce!$G$2:$G$151,MATCH(INDEX(FTE_Allocation!$A$2:$A$201,$AB119),Workforce!$A$2:$A$151,0))&amp;"","")))</f>
        <v/>
      </c>
      <c r="J119" s="18">
        <f>IF($Z119="","",IF(AND(DATE($AD119,1,1)&gt;=$AE119,DATE($AD119,1,1)&lt;=$AF119),ROUND($AG119,2),0))</f>
        <v/>
      </c>
      <c r="K119" s="18">
        <f>IF($Z119="","",IF(AND(DATE($AD119,2,1)&gt;=$AE119,DATE($AD119,2,1)&lt;=$AF119),ROUND($AG119,2),0))</f>
        <v/>
      </c>
      <c r="L119" s="18">
        <f>IF($Z119="","",IF(AND(DATE($AD119,3,1)&gt;=$AE119,DATE($AD119,3,1)&lt;=$AF119),ROUND($AG119,2),0))</f>
        <v/>
      </c>
      <c r="M119" s="18">
        <f>IF($Z119="","",IF(AND(DATE($AD119,4,1)&gt;=$AE119,DATE($AD119,4,1)&lt;=$AF119),ROUND($AG119,2),0))</f>
        <v/>
      </c>
      <c r="N119" s="18">
        <f>IF($Z119="","",IF(AND(DATE($AD119,5,1)&gt;=$AE119,DATE($AD119,5,1)&lt;=$AF119),ROUND($AG119,2),0))</f>
        <v/>
      </c>
      <c r="O119" s="18">
        <f>IF($Z119="","",IF(AND(DATE($AD119,6,1)&gt;=$AE119,DATE($AD119,6,1)&lt;=$AF119),ROUND($AG119,2),0))</f>
        <v/>
      </c>
      <c r="P119" s="18">
        <f>IF($Z119="","",IF(AND(DATE($AD119,7,1)&gt;=$AE119,DATE($AD119,7,1)&lt;=$AF119),ROUND($AG119,2),0))</f>
        <v/>
      </c>
      <c r="Q119" s="18">
        <f>IF($Z119="","",IF(AND(DATE($AD119,8,1)&gt;=$AE119,DATE($AD119,8,1)&lt;=$AF119),ROUND($AG119,2),0))</f>
        <v/>
      </c>
      <c r="R119" s="18">
        <f>IF($Z119="","",IF(AND(DATE($AD119,9,1)&gt;=$AE119,DATE($AD119,9,1)&lt;=$AF119),ROUND($AG119,2),0))</f>
        <v/>
      </c>
      <c r="S119" s="18">
        <f>IF($Z119="","",IF(AND(DATE($AD119,10,1)&gt;=$AE119,DATE($AD119,10,1)&lt;=$AF119),ROUND($AG119,2),0))</f>
        <v/>
      </c>
      <c r="T119" s="18">
        <f>IF($Z119="","",IF(AND(DATE($AD119,11,1)&gt;=$AE119,DATE($AD119,11,1)&lt;=$AF119),ROUND($AG119,2),0))</f>
        <v/>
      </c>
      <c r="U119" s="18">
        <f>IF($Z119="","",IF(AND(DATE($AD119,12,1)&gt;=$AE119,DATE($AD119,12,1)&lt;=$AF119),ROUND($AG119,2),0))</f>
        <v/>
      </c>
      <c r="V119" s="7">
        <f>IF($Z119="C","Generated from "&amp;INDEX(Contracts!$A$2:$A$151,$AB119),IF($Z119="A","Generated from "&amp;INDEX(Fixed_Assets!$A$2:$A$201,$AB119),IF($Z119="F","Generated from "&amp;INDEX(FTE_Allocation!$A$2:$A$201,$AB119),"")))</f>
        <v/>
      </c>
      <c r="X119" s="19">
        <f>IF($Z119="","",SUM(J119:U119))</f>
        <v/>
      </c>
      <c r="Y119" s="20">
        <f>ROW()-1</f>
        <v/>
      </c>
      <c r="Z119" s="20">
        <f>IF($Y119&lt;=Settings!$B$4*3,"C",IF($Y119&lt;=(Settings!$B$4+Settings!$B$5)*3,"A",IF($Y119&lt;=(Settings!$B$4+Settings!$B$5+Settings!$B$6)*3,"F","")))</f>
        <v/>
      </c>
      <c r="AA119" s="20">
        <f>IF($Z119="C",$Y119,IF($Z119="A",$Y119-Settings!$B$4*3,IF($Z119="F",$Y119-(Settings!$B$4+Settings!$B$5)*3,"")))</f>
        <v/>
      </c>
      <c r="AB119" s="20">
        <f>IF($Z119="","",INT(($AA119-1)/3)+1)</f>
        <v/>
      </c>
      <c r="AC119" s="20">
        <f>IF($Z119="","",MOD($AA119-1,3)+1)</f>
        <v/>
      </c>
      <c r="AD119" s="20">
        <f>IF($Z119="","",Settings!$B$2+$AC119-1)</f>
        <v/>
      </c>
      <c r="AE119" s="21">
        <f>IF($Z119="C",DATE(YEAR(INDEX(Contracts!$J$2:$J$151,$AB119)),MONTH(INDEX(Contracts!$J$2:$J$151,$AB119)),1),IF($Z119="A",DATE(YEAR(INDEX(Fixed_Assets!$G$2:$G$201,$AB119)),MONTH(INDEX(Fixed_Assets!$G$2:$G$201,$AB119)),1),IF($Z119="F",DATE(YEAR(MAX(N(INDEX(Workforce!$I$2:$I$151,MATCH(INDEX(FTE_Allocation!$A$2:$A$201,$AB119),Workforce!$A$2:$A$151,0))),N(INDEX(FTE_Allocation!$I$2:$I$201,$AB119)))),MONTH(MAX(N(INDEX(Workforce!$I$2:$I$151,MATCH(INDEX(FTE_Allocation!$A$2:$A$201,$AB119),Workforce!$A$2:$A$151,0))),N(INDEX(FTE_Allocation!$I$2:$I$201,$AB119)))),1),"")))</f>
        <v/>
      </c>
      <c r="AF119" s="21">
        <f>IF($Z119="C",IF(INDEX(Contracts!$I$2:$I$151,$AB119)="PREPAID",EDATE(DATE(YEAR(INDEX(Contracts!$J$2:$J$151,$AB119)),MONTH(INDEX(Contracts!$J$2:$J$151,$AB119)),1),IF(INDEX(Contracts!$N$2:$N$151,$AB119)="",12,INDEX(Contracts!$N$2:$N$151,$AB119))-1),IF(INDEX(Contracts!$I$2:$I$151,$AB119)="MONTHLY",IF(INDEX(Contracts!$K$2:$K$151,$AB119)="",2958101,INDEX(Contracts!$K$2:$K$151,$AB119)),0)),IF($Z119="A",EDATE(DATE(YEAR(INDEX(Fixed_Assets!$G$2:$G$201,$AB119)),MONTH(INDEX(Fixed_Assets!$G$2:$G$201,$AB119)),1),INDEX(Fixed_Assets!$J$2:$J$201,$AB119)-1),IF($Z119="F",MIN(IF(INDEX(Workforce!$J$2:$J$151,MATCH(INDEX(FTE_Allocation!$A$2:$A$201,$AB119),Workforce!$A$2:$A$151,0))="",2958101,INDEX(Workforce!$J$2:$J$151,MATCH(INDEX(FTE_Allocation!$A$2:$A$201,$AB119),Workforce!$A$2:$A$151,0))),IF(INDEX(FTE_Allocation!$J$2:$J$201,$AB119)="",2958101,INDEX(FTE_Allocation!$J$2:$J$201,$AB119))),"")))</f>
        <v/>
      </c>
      <c r="AG119" s="19">
        <f>IF($Z119="C",IF(INDEX(Contracts!$I$2:$I$151,$AB119)="PREPAID",INDEX(Contracts!$M$2:$M$151,$AB119)/IF(INDEX(Contracts!$N$2:$N$151,$AB119)="",12,INDEX(Contracts!$N$2:$N$151,$AB119)),IF(INDEX(Contracts!$I$2:$I$151,$AB119)="MONTHLY",INDEX(Contracts!$M$2:$M$151,$AB119),0))*(1-N(INDEX(Contracts!$O$2:$O$151,$AB119))),IF($Z119="A",INDEX(Fixed_Assets!$H$2:$H$201,$AB119)/INDEX(Fixed_Assets!$J$2:$J$201,$AB119),IF($Z119="F",INDEX(Workforce!$F$2:$F$151,MATCH(INDEX(FTE_Allocation!$A$2:$A$201,$AB119),Workforce!$A$2:$A$151,0))*N(INDEX(FTE_Allocation!$F$2:$H$201,$AB119,$AC119)),"")))</f>
        <v/>
      </c>
    </row>
    <row r="120">
      <c r="A120" s="7">
        <f>IF($Z120="","",$AD120)</f>
        <v/>
      </c>
      <c r="B120" s="7">
        <f>IF($Z120="C",INDEX(Contracts!$D$2:$D$151,$AB120)&amp;"",IF($Z120="A",INDEX(Fixed_Assets!$C$2:$C$201,$AB120)&amp;"",IF($Z120="F",INDEX(Workforce!$B$2:$B$151,MATCH(INDEX(FTE_Allocation!$A$2:$A$201,$AB120),Workforce!$A$2:$A$151,0))&amp;"","")))</f>
        <v/>
      </c>
      <c r="C120" s="7">
        <f>IF($Z120="C",INDEX(Contracts!$E$2:$E$151,$AB120)&amp;"",IF($Z120="A",INDEX(Fixed_Assets!$D$2:$D$201,$AB120)&amp;"",IF($Z120="F",INDEX(FTE_Allocation!$C$2:$C$201,$AB120)&amp;"","")))</f>
        <v/>
      </c>
      <c r="D120" s="7">
        <f>IF($Z120="C",INDEX(Contracts!$B$2:$B$151,$AB120)&amp;"",IF($Z120="A",INDEX(Fixed_Assets!$B$2:$B$201,$AB120)&amp;"",IF($Z120="F",INDEX(FTE_Allocation!$B$2:$B$201,$AB120)&amp;"","")))</f>
        <v/>
      </c>
      <c r="E120" s="7">
        <f>IF($Z120="C",INDEX(Contracts!$P$2:$P$151,$AB120)&amp;"",IF($Z120="A",INDEX(Fixed_Assets!$K$2:$K$201,$AB120)&amp;"",IF($Z120="F",IF(INDEX(FTE_Allocation!$D$2:$D$201,$AB120)="PROJECT",IFERROR(INDEX(Projects!$D:$D,MATCH(INDEX(FTE_Allocation!$E$2:$E$201,$AB120),Projects!$A:$A,0))&amp;"","#PROJECT?"),INDEX(FTE_Allocation!$E$2:$E$201,$AB120)&amp;""),"")))</f>
        <v/>
      </c>
      <c r="F120" s="7">
        <f>IF($Z120="C",INDEX(Contracts!$Q$2:$Q$151,$AB120)&amp;"",IF($Z120="A",INDEX(Fixed_Assets!$L$2:$L$201,$AB120)&amp;"",IF($Z120="F",INDEX(Workforce!$K$2:$K$151,MATCH(INDEX(FTE_Allocation!$A$2:$A$201,$AB120),Workforce!$A$2:$A$151,0))&amp;"","")))</f>
        <v/>
      </c>
      <c r="G120" s="7">
        <f>IF($Z120="C",INDEX(Contracts!$F$2:$F$151,$AB120)&amp;" / "&amp;INDEX(Contracts!$G$2:$G$151,$AB120),IF($Z120="A",INDEX(Fixed_Assets!$E$2:$E$201,$AB120)&amp;"",IF($Z120="F","Personnel "&amp;INDEX(FTE_Allocation!$A$2:$A$201,$AB120)&amp;IF(INDEX(FTE_Allocation!$D$2:$D$201,$AB120)="PROJECT"," ("&amp;INDEX(FTE_Allocation!$E$2:$E$201,$AB120)&amp;")",""),"")))</f>
        <v/>
      </c>
      <c r="H120" s="7">
        <f>IF($Z120="C","CONTRACT",IF($Z120="A","ASSET",IF($Z120="F","WORKFORCE","")))</f>
        <v/>
      </c>
      <c r="I120" s="7">
        <f>IF($Z120="C",INDEX(Contracts!$L$2:$L$151,$AB120)&amp;"",IF($Z120="A",INDEX(Fixed_Assets!$I$2:$I$201,$AB120)&amp;"",IF($Z120="F",INDEX(Workforce!$G$2:$G$151,MATCH(INDEX(FTE_Allocation!$A$2:$A$201,$AB120),Workforce!$A$2:$A$151,0))&amp;"","")))</f>
        <v/>
      </c>
      <c r="J120" s="18">
        <f>IF($Z120="","",IF(AND(DATE($AD120,1,1)&gt;=$AE120,DATE($AD120,1,1)&lt;=$AF120),ROUND($AG120,2),0))</f>
        <v/>
      </c>
      <c r="K120" s="18">
        <f>IF($Z120="","",IF(AND(DATE($AD120,2,1)&gt;=$AE120,DATE($AD120,2,1)&lt;=$AF120),ROUND($AG120,2),0))</f>
        <v/>
      </c>
      <c r="L120" s="18">
        <f>IF($Z120="","",IF(AND(DATE($AD120,3,1)&gt;=$AE120,DATE($AD120,3,1)&lt;=$AF120),ROUND($AG120,2),0))</f>
        <v/>
      </c>
      <c r="M120" s="18">
        <f>IF($Z120="","",IF(AND(DATE($AD120,4,1)&gt;=$AE120,DATE($AD120,4,1)&lt;=$AF120),ROUND($AG120,2),0))</f>
        <v/>
      </c>
      <c r="N120" s="18">
        <f>IF($Z120="","",IF(AND(DATE($AD120,5,1)&gt;=$AE120,DATE($AD120,5,1)&lt;=$AF120),ROUND($AG120,2),0))</f>
        <v/>
      </c>
      <c r="O120" s="18">
        <f>IF($Z120="","",IF(AND(DATE($AD120,6,1)&gt;=$AE120,DATE($AD120,6,1)&lt;=$AF120),ROUND($AG120,2),0))</f>
        <v/>
      </c>
      <c r="P120" s="18">
        <f>IF($Z120="","",IF(AND(DATE($AD120,7,1)&gt;=$AE120,DATE($AD120,7,1)&lt;=$AF120),ROUND($AG120,2),0))</f>
        <v/>
      </c>
      <c r="Q120" s="18">
        <f>IF($Z120="","",IF(AND(DATE($AD120,8,1)&gt;=$AE120,DATE($AD120,8,1)&lt;=$AF120),ROUND($AG120,2),0))</f>
        <v/>
      </c>
      <c r="R120" s="18">
        <f>IF($Z120="","",IF(AND(DATE($AD120,9,1)&gt;=$AE120,DATE($AD120,9,1)&lt;=$AF120),ROUND($AG120,2),0))</f>
        <v/>
      </c>
      <c r="S120" s="18">
        <f>IF($Z120="","",IF(AND(DATE($AD120,10,1)&gt;=$AE120,DATE($AD120,10,1)&lt;=$AF120),ROUND($AG120,2),0))</f>
        <v/>
      </c>
      <c r="T120" s="18">
        <f>IF($Z120="","",IF(AND(DATE($AD120,11,1)&gt;=$AE120,DATE($AD120,11,1)&lt;=$AF120),ROUND($AG120,2),0))</f>
        <v/>
      </c>
      <c r="U120" s="18">
        <f>IF($Z120="","",IF(AND(DATE($AD120,12,1)&gt;=$AE120,DATE($AD120,12,1)&lt;=$AF120),ROUND($AG120,2),0))</f>
        <v/>
      </c>
      <c r="V120" s="7">
        <f>IF($Z120="C","Generated from "&amp;INDEX(Contracts!$A$2:$A$151,$AB120),IF($Z120="A","Generated from "&amp;INDEX(Fixed_Assets!$A$2:$A$201,$AB120),IF($Z120="F","Generated from "&amp;INDEX(FTE_Allocation!$A$2:$A$201,$AB120),"")))</f>
        <v/>
      </c>
      <c r="X120" s="19">
        <f>IF($Z120="","",SUM(J120:U120))</f>
        <v/>
      </c>
      <c r="Y120" s="20">
        <f>ROW()-1</f>
        <v/>
      </c>
      <c r="Z120" s="20">
        <f>IF($Y120&lt;=Settings!$B$4*3,"C",IF($Y120&lt;=(Settings!$B$4+Settings!$B$5)*3,"A",IF($Y120&lt;=(Settings!$B$4+Settings!$B$5+Settings!$B$6)*3,"F","")))</f>
        <v/>
      </c>
      <c r="AA120" s="20">
        <f>IF($Z120="C",$Y120,IF($Z120="A",$Y120-Settings!$B$4*3,IF($Z120="F",$Y120-(Settings!$B$4+Settings!$B$5)*3,"")))</f>
        <v/>
      </c>
      <c r="AB120" s="20">
        <f>IF($Z120="","",INT(($AA120-1)/3)+1)</f>
        <v/>
      </c>
      <c r="AC120" s="20">
        <f>IF($Z120="","",MOD($AA120-1,3)+1)</f>
        <v/>
      </c>
      <c r="AD120" s="20">
        <f>IF($Z120="","",Settings!$B$2+$AC120-1)</f>
        <v/>
      </c>
      <c r="AE120" s="21">
        <f>IF($Z120="C",DATE(YEAR(INDEX(Contracts!$J$2:$J$151,$AB120)),MONTH(INDEX(Contracts!$J$2:$J$151,$AB120)),1),IF($Z120="A",DATE(YEAR(INDEX(Fixed_Assets!$G$2:$G$201,$AB120)),MONTH(INDEX(Fixed_Assets!$G$2:$G$201,$AB120)),1),IF($Z120="F",DATE(YEAR(MAX(N(INDEX(Workforce!$I$2:$I$151,MATCH(INDEX(FTE_Allocation!$A$2:$A$201,$AB120),Workforce!$A$2:$A$151,0))),N(INDEX(FTE_Allocation!$I$2:$I$201,$AB120)))),MONTH(MAX(N(INDEX(Workforce!$I$2:$I$151,MATCH(INDEX(FTE_Allocation!$A$2:$A$201,$AB120),Workforce!$A$2:$A$151,0))),N(INDEX(FTE_Allocation!$I$2:$I$201,$AB120)))),1),"")))</f>
        <v/>
      </c>
      <c r="AF120" s="21">
        <f>IF($Z120="C",IF(INDEX(Contracts!$I$2:$I$151,$AB120)="PREPAID",EDATE(DATE(YEAR(INDEX(Contracts!$J$2:$J$151,$AB120)),MONTH(INDEX(Contracts!$J$2:$J$151,$AB120)),1),IF(INDEX(Contracts!$N$2:$N$151,$AB120)="",12,INDEX(Contracts!$N$2:$N$151,$AB120))-1),IF(INDEX(Contracts!$I$2:$I$151,$AB120)="MONTHLY",IF(INDEX(Contracts!$K$2:$K$151,$AB120)="",2958101,INDEX(Contracts!$K$2:$K$151,$AB120)),0)),IF($Z120="A",EDATE(DATE(YEAR(INDEX(Fixed_Assets!$G$2:$G$201,$AB120)),MONTH(INDEX(Fixed_Assets!$G$2:$G$201,$AB120)),1),INDEX(Fixed_Assets!$J$2:$J$201,$AB120)-1),IF($Z120="F",MIN(IF(INDEX(Workforce!$J$2:$J$151,MATCH(INDEX(FTE_Allocation!$A$2:$A$201,$AB120),Workforce!$A$2:$A$151,0))="",2958101,INDEX(Workforce!$J$2:$J$151,MATCH(INDEX(FTE_Allocation!$A$2:$A$201,$AB120),Workforce!$A$2:$A$151,0))),IF(INDEX(FTE_Allocation!$J$2:$J$201,$AB120)="",2958101,INDEX(FTE_Allocation!$J$2:$J$201,$AB120))),"")))</f>
        <v/>
      </c>
      <c r="AG120" s="19">
        <f>IF($Z120="C",IF(INDEX(Contracts!$I$2:$I$151,$AB120)="PREPAID",INDEX(Contracts!$M$2:$M$151,$AB120)/IF(INDEX(Contracts!$N$2:$N$151,$AB120)="",12,INDEX(Contracts!$N$2:$N$151,$AB120)),IF(INDEX(Contracts!$I$2:$I$151,$AB120)="MONTHLY",INDEX(Contracts!$M$2:$M$151,$AB120),0))*(1-N(INDEX(Contracts!$O$2:$O$151,$AB120))),IF($Z120="A",INDEX(Fixed_Assets!$H$2:$H$201,$AB120)/INDEX(Fixed_Assets!$J$2:$J$201,$AB120),IF($Z120="F",INDEX(Workforce!$F$2:$F$151,MATCH(INDEX(FTE_Allocation!$A$2:$A$201,$AB120),Workforce!$A$2:$A$151,0))*N(INDEX(FTE_Allocation!$F$2:$H$201,$AB120,$AC120)),"")))</f>
        <v/>
      </c>
    </row>
    <row r="121">
      <c r="A121" s="7">
        <f>IF($Z121="","",$AD121)</f>
        <v/>
      </c>
      <c r="B121" s="7">
        <f>IF($Z121="C",INDEX(Contracts!$D$2:$D$151,$AB121)&amp;"",IF($Z121="A",INDEX(Fixed_Assets!$C$2:$C$201,$AB121)&amp;"",IF($Z121="F",INDEX(Workforce!$B$2:$B$151,MATCH(INDEX(FTE_Allocation!$A$2:$A$201,$AB121),Workforce!$A$2:$A$151,0))&amp;"","")))</f>
        <v/>
      </c>
      <c r="C121" s="7">
        <f>IF($Z121="C",INDEX(Contracts!$E$2:$E$151,$AB121)&amp;"",IF($Z121="A",INDEX(Fixed_Assets!$D$2:$D$201,$AB121)&amp;"",IF($Z121="F",INDEX(FTE_Allocation!$C$2:$C$201,$AB121)&amp;"","")))</f>
        <v/>
      </c>
      <c r="D121" s="7">
        <f>IF($Z121="C",INDEX(Contracts!$B$2:$B$151,$AB121)&amp;"",IF($Z121="A",INDEX(Fixed_Assets!$B$2:$B$201,$AB121)&amp;"",IF($Z121="F",INDEX(FTE_Allocation!$B$2:$B$201,$AB121)&amp;"","")))</f>
        <v/>
      </c>
      <c r="E121" s="7">
        <f>IF($Z121="C",INDEX(Contracts!$P$2:$P$151,$AB121)&amp;"",IF($Z121="A",INDEX(Fixed_Assets!$K$2:$K$201,$AB121)&amp;"",IF($Z121="F",IF(INDEX(FTE_Allocation!$D$2:$D$201,$AB121)="PROJECT",IFERROR(INDEX(Projects!$D:$D,MATCH(INDEX(FTE_Allocation!$E$2:$E$201,$AB121),Projects!$A:$A,0))&amp;"","#PROJECT?"),INDEX(FTE_Allocation!$E$2:$E$201,$AB121)&amp;""),"")))</f>
        <v/>
      </c>
      <c r="F121" s="7">
        <f>IF($Z121="C",INDEX(Contracts!$Q$2:$Q$151,$AB121)&amp;"",IF($Z121="A",INDEX(Fixed_Assets!$L$2:$L$201,$AB121)&amp;"",IF($Z121="F",INDEX(Workforce!$K$2:$K$151,MATCH(INDEX(FTE_Allocation!$A$2:$A$201,$AB121),Workforce!$A$2:$A$151,0))&amp;"","")))</f>
        <v/>
      </c>
      <c r="G121" s="7">
        <f>IF($Z121="C",INDEX(Contracts!$F$2:$F$151,$AB121)&amp;" / "&amp;INDEX(Contracts!$G$2:$G$151,$AB121),IF($Z121="A",INDEX(Fixed_Assets!$E$2:$E$201,$AB121)&amp;"",IF($Z121="F","Personnel "&amp;INDEX(FTE_Allocation!$A$2:$A$201,$AB121)&amp;IF(INDEX(FTE_Allocation!$D$2:$D$201,$AB121)="PROJECT"," ("&amp;INDEX(FTE_Allocation!$E$2:$E$201,$AB121)&amp;")",""),"")))</f>
        <v/>
      </c>
      <c r="H121" s="7">
        <f>IF($Z121="C","CONTRACT",IF($Z121="A","ASSET",IF($Z121="F","WORKFORCE","")))</f>
        <v/>
      </c>
      <c r="I121" s="7">
        <f>IF($Z121="C",INDEX(Contracts!$L$2:$L$151,$AB121)&amp;"",IF($Z121="A",INDEX(Fixed_Assets!$I$2:$I$201,$AB121)&amp;"",IF($Z121="F",INDEX(Workforce!$G$2:$G$151,MATCH(INDEX(FTE_Allocation!$A$2:$A$201,$AB121),Workforce!$A$2:$A$151,0))&amp;"","")))</f>
        <v/>
      </c>
      <c r="J121" s="18">
        <f>IF($Z121="","",IF(AND(DATE($AD121,1,1)&gt;=$AE121,DATE($AD121,1,1)&lt;=$AF121),ROUND($AG121,2),0))</f>
        <v/>
      </c>
      <c r="K121" s="18">
        <f>IF($Z121="","",IF(AND(DATE($AD121,2,1)&gt;=$AE121,DATE($AD121,2,1)&lt;=$AF121),ROUND($AG121,2),0))</f>
        <v/>
      </c>
      <c r="L121" s="18">
        <f>IF($Z121="","",IF(AND(DATE($AD121,3,1)&gt;=$AE121,DATE($AD121,3,1)&lt;=$AF121),ROUND($AG121,2),0))</f>
        <v/>
      </c>
      <c r="M121" s="18">
        <f>IF($Z121="","",IF(AND(DATE($AD121,4,1)&gt;=$AE121,DATE($AD121,4,1)&lt;=$AF121),ROUND($AG121,2),0))</f>
        <v/>
      </c>
      <c r="N121" s="18">
        <f>IF($Z121="","",IF(AND(DATE($AD121,5,1)&gt;=$AE121,DATE($AD121,5,1)&lt;=$AF121),ROUND($AG121,2),0))</f>
        <v/>
      </c>
      <c r="O121" s="18">
        <f>IF($Z121="","",IF(AND(DATE($AD121,6,1)&gt;=$AE121,DATE($AD121,6,1)&lt;=$AF121),ROUND($AG121,2),0))</f>
        <v/>
      </c>
      <c r="P121" s="18">
        <f>IF($Z121="","",IF(AND(DATE($AD121,7,1)&gt;=$AE121,DATE($AD121,7,1)&lt;=$AF121),ROUND($AG121,2),0))</f>
        <v/>
      </c>
      <c r="Q121" s="18">
        <f>IF($Z121="","",IF(AND(DATE($AD121,8,1)&gt;=$AE121,DATE($AD121,8,1)&lt;=$AF121),ROUND($AG121,2),0))</f>
        <v/>
      </c>
      <c r="R121" s="18">
        <f>IF($Z121="","",IF(AND(DATE($AD121,9,1)&gt;=$AE121,DATE($AD121,9,1)&lt;=$AF121),ROUND($AG121,2),0))</f>
        <v/>
      </c>
      <c r="S121" s="18">
        <f>IF($Z121="","",IF(AND(DATE($AD121,10,1)&gt;=$AE121,DATE($AD121,10,1)&lt;=$AF121),ROUND($AG121,2),0))</f>
        <v/>
      </c>
      <c r="T121" s="18">
        <f>IF($Z121="","",IF(AND(DATE($AD121,11,1)&gt;=$AE121,DATE($AD121,11,1)&lt;=$AF121),ROUND($AG121,2),0))</f>
        <v/>
      </c>
      <c r="U121" s="18">
        <f>IF($Z121="","",IF(AND(DATE($AD121,12,1)&gt;=$AE121,DATE($AD121,12,1)&lt;=$AF121),ROUND($AG121,2),0))</f>
        <v/>
      </c>
      <c r="V121" s="7">
        <f>IF($Z121="C","Generated from "&amp;INDEX(Contracts!$A$2:$A$151,$AB121),IF($Z121="A","Generated from "&amp;INDEX(Fixed_Assets!$A$2:$A$201,$AB121),IF($Z121="F","Generated from "&amp;INDEX(FTE_Allocation!$A$2:$A$201,$AB121),"")))</f>
        <v/>
      </c>
      <c r="X121" s="19">
        <f>IF($Z121="","",SUM(J121:U121))</f>
        <v/>
      </c>
      <c r="Y121" s="20">
        <f>ROW()-1</f>
        <v/>
      </c>
      <c r="Z121" s="20">
        <f>IF($Y121&lt;=Settings!$B$4*3,"C",IF($Y121&lt;=(Settings!$B$4+Settings!$B$5)*3,"A",IF($Y121&lt;=(Settings!$B$4+Settings!$B$5+Settings!$B$6)*3,"F","")))</f>
        <v/>
      </c>
      <c r="AA121" s="20">
        <f>IF($Z121="C",$Y121,IF($Z121="A",$Y121-Settings!$B$4*3,IF($Z121="F",$Y121-(Settings!$B$4+Settings!$B$5)*3,"")))</f>
        <v/>
      </c>
      <c r="AB121" s="20">
        <f>IF($Z121="","",INT(($AA121-1)/3)+1)</f>
        <v/>
      </c>
      <c r="AC121" s="20">
        <f>IF($Z121="","",MOD($AA121-1,3)+1)</f>
        <v/>
      </c>
      <c r="AD121" s="20">
        <f>IF($Z121="","",Settings!$B$2+$AC121-1)</f>
        <v/>
      </c>
      <c r="AE121" s="21">
        <f>IF($Z121="C",DATE(YEAR(INDEX(Contracts!$J$2:$J$151,$AB121)),MONTH(INDEX(Contracts!$J$2:$J$151,$AB121)),1),IF($Z121="A",DATE(YEAR(INDEX(Fixed_Assets!$G$2:$G$201,$AB121)),MONTH(INDEX(Fixed_Assets!$G$2:$G$201,$AB121)),1),IF($Z121="F",DATE(YEAR(MAX(N(INDEX(Workforce!$I$2:$I$151,MATCH(INDEX(FTE_Allocation!$A$2:$A$201,$AB121),Workforce!$A$2:$A$151,0))),N(INDEX(FTE_Allocation!$I$2:$I$201,$AB121)))),MONTH(MAX(N(INDEX(Workforce!$I$2:$I$151,MATCH(INDEX(FTE_Allocation!$A$2:$A$201,$AB121),Workforce!$A$2:$A$151,0))),N(INDEX(FTE_Allocation!$I$2:$I$201,$AB121)))),1),"")))</f>
        <v/>
      </c>
      <c r="AF121" s="21">
        <f>IF($Z121="C",IF(INDEX(Contracts!$I$2:$I$151,$AB121)="PREPAID",EDATE(DATE(YEAR(INDEX(Contracts!$J$2:$J$151,$AB121)),MONTH(INDEX(Contracts!$J$2:$J$151,$AB121)),1),IF(INDEX(Contracts!$N$2:$N$151,$AB121)="",12,INDEX(Contracts!$N$2:$N$151,$AB121))-1),IF(INDEX(Contracts!$I$2:$I$151,$AB121)="MONTHLY",IF(INDEX(Contracts!$K$2:$K$151,$AB121)="",2958101,INDEX(Contracts!$K$2:$K$151,$AB121)),0)),IF($Z121="A",EDATE(DATE(YEAR(INDEX(Fixed_Assets!$G$2:$G$201,$AB121)),MONTH(INDEX(Fixed_Assets!$G$2:$G$201,$AB121)),1),INDEX(Fixed_Assets!$J$2:$J$201,$AB121)-1),IF($Z121="F",MIN(IF(INDEX(Workforce!$J$2:$J$151,MATCH(INDEX(FTE_Allocation!$A$2:$A$201,$AB121),Workforce!$A$2:$A$151,0))="",2958101,INDEX(Workforce!$J$2:$J$151,MATCH(INDEX(FTE_Allocation!$A$2:$A$201,$AB121),Workforce!$A$2:$A$151,0))),IF(INDEX(FTE_Allocation!$J$2:$J$201,$AB121)="",2958101,INDEX(FTE_Allocation!$J$2:$J$201,$AB121))),"")))</f>
        <v/>
      </c>
      <c r="AG121" s="19">
        <f>IF($Z121="C",IF(INDEX(Contracts!$I$2:$I$151,$AB121)="PREPAID",INDEX(Contracts!$M$2:$M$151,$AB121)/IF(INDEX(Contracts!$N$2:$N$151,$AB121)="",12,INDEX(Contracts!$N$2:$N$151,$AB121)),IF(INDEX(Contracts!$I$2:$I$151,$AB121)="MONTHLY",INDEX(Contracts!$M$2:$M$151,$AB121),0))*(1-N(INDEX(Contracts!$O$2:$O$151,$AB121))),IF($Z121="A",INDEX(Fixed_Assets!$H$2:$H$201,$AB121)/INDEX(Fixed_Assets!$J$2:$J$201,$AB121),IF($Z121="F",INDEX(Workforce!$F$2:$F$151,MATCH(INDEX(FTE_Allocation!$A$2:$A$201,$AB121),Workforce!$A$2:$A$151,0))*N(INDEX(FTE_Allocation!$F$2:$H$201,$AB121,$AC121)),"")))</f>
        <v/>
      </c>
    </row>
    <row r="122">
      <c r="A122" s="7">
        <f>IF($Z122="","",$AD122)</f>
        <v/>
      </c>
      <c r="B122" s="7">
        <f>IF($Z122="C",INDEX(Contracts!$D$2:$D$151,$AB122)&amp;"",IF($Z122="A",INDEX(Fixed_Assets!$C$2:$C$201,$AB122)&amp;"",IF($Z122="F",INDEX(Workforce!$B$2:$B$151,MATCH(INDEX(FTE_Allocation!$A$2:$A$201,$AB122),Workforce!$A$2:$A$151,0))&amp;"","")))</f>
        <v/>
      </c>
      <c r="C122" s="7">
        <f>IF($Z122="C",INDEX(Contracts!$E$2:$E$151,$AB122)&amp;"",IF($Z122="A",INDEX(Fixed_Assets!$D$2:$D$201,$AB122)&amp;"",IF($Z122="F",INDEX(FTE_Allocation!$C$2:$C$201,$AB122)&amp;"","")))</f>
        <v/>
      </c>
      <c r="D122" s="7">
        <f>IF($Z122="C",INDEX(Contracts!$B$2:$B$151,$AB122)&amp;"",IF($Z122="A",INDEX(Fixed_Assets!$B$2:$B$201,$AB122)&amp;"",IF($Z122="F",INDEX(FTE_Allocation!$B$2:$B$201,$AB122)&amp;"","")))</f>
        <v/>
      </c>
      <c r="E122" s="7">
        <f>IF($Z122="C",INDEX(Contracts!$P$2:$P$151,$AB122)&amp;"",IF($Z122="A",INDEX(Fixed_Assets!$K$2:$K$201,$AB122)&amp;"",IF($Z122="F",IF(INDEX(FTE_Allocation!$D$2:$D$201,$AB122)="PROJECT",IFERROR(INDEX(Projects!$D:$D,MATCH(INDEX(FTE_Allocation!$E$2:$E$201,$AB122),Projects!$A:$A,0))&amp;"","#PROJECT?"),INDEX(FTE_Allocation!$E$2:$E$201,$AB122)&amp;""),"")))</f>
        <v/>
      </c>
      <c r="F122" s="7">
        <f>IF($Z122="C",INDEX(Contracts!$Q$2:$Q$151,$AB122)&amp;"",IF($Z122="A",INDEX(Fixed_Assets!$L$2:$L$201,$AB122)&amp;"",IF($Z122="F",INDEX(Workforce!$K$2:$K$151,MATCH(INDEX(FTE_Allocation!$A$2:$A$201,$AB122),Workforce!$A$2:$A$151,0))&amp;"","")))</f>
        <v/>
      </c>
      <c r="G122" s="7">
        <f>IF($Z122="C",INDEX(Contracts!$F$2:$F$151,$AB122)&amp;" / "&amp;INDEX(Contracts!$G$2:$G$151,$AB122),IF($Z122="A",INDEX(Fixed_Assets!$E$2:$E$201,$AB122)&amp;"",IF($Z122="F","Personnel "&amp;INDEX(FTE_Allocation!$A$2:$A$201,$AB122)&amp;IF(INDEX(FTE_Allocation!$D$2:$D$201,$AB122)="PROJECT"," ("&amp;INDEX(FTE_Allocation!$E$2:$E$201,$AB122)&amp;")",""),"")))</f>
        <v/>
      </c>
      <c r="H122" s="7">
        <f>IF($Z122="C","CONTRACT",IF($Z122="A","ASSET",IF($Z122="F","WORKFORCE","")))</f>
        <v/>
      </c>
      <c r="I122" s="7">
        <f>IF($Z122="C",INDEX(Contracts!$L$2:$L$151,$AB122)&amp;"",IF($Z122="A",INDEX(Fixed_Assets!$I$2:$I$201,$AB122)&amp;"",IF($Z122="F",INDEX(Workforce!$G$2:$G$151,MATCH(INDEX(FTE_Allocation!$A$2:$A$201,$AB122),Workforce!$A$2:$A$151,0))&amp;"","")))</f>
        <v/>
      </c>
      <c r="J122" s="18">
        <f>IF($Z122="","",IF(AND(DATE($AD122,1,1)&gt;=$AE122,DATE($AD122,1,1)&lt;=$AF122),ROUND($AG122,2),0))</f>
        <v/>
      </c>
      <c r="K122" s="18">
        <f>IF($Z122="","",IF(AND(DATE($AD122,2,1)&gt;=$AE122,DATE($AD122,2,1)&lt;=$AF122),ROUND($AG122,2),0))</f>
        <v/>
      </c>
      <c r="L122" s="18">
        <f>IF($Z122="","",IF(AND(DATE($AD122,3,1)&gt;=$AE122,DATE($AD122,3,1)&lt;=$AF122),ROUND($AG122,2),0))</f>
        <v/>
      </c>
      <c r="M122" s="18">
        <f>IF($Z122="","",IF(AND(DATE($AD122,4,1)&gt;=$AE122,DATE($AD122,4,1)&lt;=$AF122),ROUND($AG122,2),0))</f>
        <v/>
      </c>
      <c r="N122" s="18">
        <f>IF($Z122="","",IF(AND(DATE($AD122,5,1)&gt;=$AE122,DATE($AD122,5,1)&lt;=$AF122),ROUND($AG122,2),0))</f>
        <v/>
      </c>
      <c r="O122" s="18">
        <f>IF($Z122="","",IF(AND(DATE($AD122,6,1)&gt;=$AE122,DATE($AD122,6,1)&lt;=$AF122),ROUND($AG122,2),0))</f>
        <v/>
      </c>
      <c r="P122" s="18">
        <f>IF($Z122="","",IF(AND(DATE($AD122,7,1)&gt;=$AE122,DATE($AD122,7,1)&lt;=$AF122),ROUND($AG122,2),0))</f>
        <v/>
      </c>
      <c r="Q122" s="18">
        <f>IF($Z122="","",IF(AND(DATE($AD122,8,1)&gt;=$AE122,DATE($AD122,8,1)&lt;=$AF122),ROUND($AG122,2),0))</f>
        <v/>
      </c>
      <c r="R122" s="18">
        <f>IF($Z122="","",IF(AND(DATE($AD122,9,1)&gt;=$AE122,DATE($AD122,9,1)&lt;=$AF122),ROUND($AG122,2),0))</f>
        <v/>
      </c>
      <c r="S122" s="18">
        <f>IF($Z122="","",IF(AND(DATE($AD122,10,1)&gt;=$AE122,DATE($AD122,10,1)&lt;=$AF122),ROUND($AG122,2),0))</f>
        <v/>
      </c>
      <c r="T122" s="18">
        <f>IF($Z122="","",IF(AND(DATE($AD122,11,1)&gt;=$AE122,DATE($AD122,11,1)&lt;=$AF122),ROUND($AG122,2),0))</f>
        <v/>
      </c>
      <c r="U122" s="18">
        <f>IF($Z122="","",IF(AND(DATE($AD122,12,1)&gt;=$AE122,DATE($AD122,12,1)&lt;=$AF122),ROUND($AG122,2),0))</f>
        <v/>
      </c>
      <c r="V122" s="7">
        <f>IF($Z122="C","Generated from "&amp;INDEX(Contracts!$A$2:$A$151,$AB122),IF($Z122="A","Generated from "&amp;INDEX(Fixed_Assets!$A$2:$A$201,$AB122),IF($Z122="F","Generated from "&amp;INDEX(FTE_Allocation!$A$2:$A$201,$AB122),"")))</f>
        <v/>
      </c>
      <c r="X122" s="19">
        <f>IF($Z122="","",SUM(J122:U122))</f>
        <v/>
      </c>
      <c r="Y122" s="20">
        <f>ROW()-1</f>
        <v/>
      </c>
      <c r="Z122" s="20">
        <f>IF($Y122&lt;=Settings!$B$4*3,"C",IF($Y122&lt;=(Settings!$B$4+Settings!$B$5)*3,"A",IF($Y122&lt;=(Settings!$B$4+Settings!$B$5+Settings!$B$6)*3,"F","")))</f>
        <v/>
      </c>
      <c r="AA122" s="20">
        <f>IF($Z122="C",$Y122,IF($Z122="A",$Y122-Settings!$B$4*3,IF($Z122="F",$Y122-(Settings!$B$4+Settings!$B$5)*3,"")))</f>
        <v/>
      </c>
      <c r="AB122" s="20">
        <f>IF($Z122="","",INT(($AA122-1)/3)+1)</f>
        <v/>
      </c>
      <c r="AC122" s="20">
        <f>IF($Z122="","",MOD($AA122-1,3)+1)</f>
        <v/>
      </c>
      <c r="AD122" s="20">
        <f>IF($Z122="","",Settings!$B$2+$AC122-1)</f>
        <v/>
      </c>
      <c r="AE122" s="21">
        <f>IF($Z122="C",DATE(YEAR(INDEX(Contracts!$J$2:$J$151,$AB122)),MONTH(INDEX(Contracts!$J$2:$J$151,$AB122)),1),IF($Z122="A",DATE(YEAR(INDEX(Fixed_Assets!$G$2:$G$201,$AB122)),MONTH(INDEX(Fixed_Assets!$G$2:$G$201,$AB122)),1),IF($Z122="F",DATE(YEAR(MAX(N(INDEX(Workforce!$I$2:$I$151,MATCH(INDEX(FTE_Allocation!$A$2:$A$201,$AB122),Workforce!$A$2:$A$151,0))),N(INDEX(FTE_Allocation!$I$2:$I$201,$AB122)))),MONTH(MAX(N(INDEX(Workforce!$I$2:$I$151,MATCH(INDEX(FTE_Allocation!$A$2:$A$201,$AB122),Workforce!$A$2:$A$151,0))),N(INDEX(FTE_Allocation!$I$2:$I$201,$AB122)))),1),"")))</f>
        <v/>
      </c>
      <c r="AF122" s="21">
        <f>IF($Z122="C",IF(INDEX(Contracts!$I$2:$I$151,$AB122)="PREPAID",EDATE(DATE(YEAR(INDEX(Contracts!$J$2:$J$151,$AB122)),MONTH(INDEX(Contracts!$J$2:$J$151,$AB122)),1),IF(INDEX(Contracts!$N$2:$N$151,$AB122)="",12,INDEX(Contracts!$N$2:$N$151,$AB122))-1),IF(INDEX(Contracts!$I$2:$I$151,$AB122)="MONTHLY",IF(INDEX(Contracts!$K$2:$K$151,$AB122)="",2958101,INDEX(Contracts!$K$2:$K$151,$AB122)),0)),IF($Z122="A",EDATE(DATE(YEAR(INDEX(Fixed_Assets!$G$2:$G$201,$AB122)),MONTH(INDEX(Fixed_Assets!$G$2:$G$201,$AB122)),1),INDEX(Fixed_Assets!$J$2:$J$201,$AB122)-1),IF($Z122="F",MIN(IF(INDEX(Workforce!$J$2:$J$151,MATCH(INDEX(FTE_Allocation!$A$2:$A$201,$AB122),Workforce!$A$2:$A$151,0))="",2958101,INDEX(Workforce!$J$2:$J$151,MATCH(INDEX(FTE_Allocation!$A$2:$A$201,$AB122),Workforce!$A$2:$A$151,0))),IF(INDEX(FTE_Allocation!$J$2:$J$201,$AB122)="",2958101,INDEX(FTE_Allocation!$J$2:$J$201,$AB122))),"")))</f>
        <v/>
      </c>
      <c r="AG122" s="19">
        <f>IF($Z122="C",IF(INDEX(Contracts!$I$2:$I$151,$AB122)="PREPAID",INDEX(Contracts!$M$2:$M$151,$AB122)/IF(INDEX(Contracts!$N$2:$N$151,$AB122)="",12,INDEX(Contracts!$N$2:$N$151,$AB122)),IF(INDEX(Contracts!$I$2:$I$151,$AB122)="MONTHLY",INDEX(Contracts!$M$2:$M$151,$AB122),0))*(1-N(INDEX(Contracts!$O$2:$O$151,$AB122))),IF($Z122="A",INDEX(Fixed_Assets!$H$2:$H$201,$AB122)/INDEX(Fixed_Assets!$J$2:$J$201,$AB122),IF($Z122="F",INDEX(Workforce!$F$2:$F$151,MATCH(INDEX(FTE_Allocation!$A$2:$A$201,$AB122),Workforce!$A$2:$A$151,0))*N(INDEX(FTE_Allocation!$F$2:$H$201,$AB122,$AC122)),"")))</f>
        <v/>
      </c>
    </row>
    <row r="123">
      <c r="A123" s="7">
        <f>IF($Z123="","",$AD123)</f>
        <v/>
      </c>
      <c r="B123" s="7">
        <f>IF($Z123="C",INDEX(Contracts!$D$2:$D$151,$AB123)&amp;"",IF($Z123="A",INDEX(Fixed_Assets!$C$2:$C$201,$AB123)&amp;"",IF($Z123="F",INDEX(Workforce!$B$2:$B$151,MATCH(INDEX(FTE_Allocation!$A$2:$A$201,$AB123),Workforce!$A$2:$A$151,0))&amp;"","")))</f>
        <v/>
      </c>
      <c r="C123" s="7">
        <f>IF($Z123="C",INDEX(Contracts!$E$2:$E$151,$AB123)&amp;"",IF($Z123="A",INDEX(Fixed_Assets!$D$2:$D$201,$AB123)&amp;"",IF($Z123="F",INDEX(FTE_Allocation!$C$2:$C$201,$AB123)&amp;"","")))</f>
        <v/>
      </c>
      <c r="D123" s="7">
        <f>IF($Z123="C",INDEX(Contracts!$B$2:$B$151,$AB123)&amp;"",IF($Z123="A",INDEX(Fixed_Assets!$B$2:$B$201,$AB123)&amp;"",IF($Z123="F",INDEX(FTE_Allocation!$B$2:$B$201,$AB123)&amp;"","")))</f>
        <v/>
      </c>
      <c r="E123" s="7">
        <f>IF($Z123="C",INDEX(Contracts!$P$2:$P$151,$AB123)&amp;"",IF($Z123="A",INDEX(Fixed_Assets!$K$2:$K$201,$AB123)&amp;"",IF($Z123="F",IF(INDEX(FTE_Allocation!$D$2:$D$201,$AB123)="PROJECT",IFERROR(INDEX(Projects!$D:$D,MATCH(INDEX(FTE_Allocation!$E$2:$E$201,$AB123),Projects!$A:$A,0))&amp;"","#PROJECT?"),INDEX(FTE_Allocation!$E$2:$E$201,$AB123)&amp;""),"")))</f>
        <v/>
      </c>
      <c r="F123" s="7">
        <f>IF($Z123="C",INDEX(Contracts!$Q$2:$Q$151,$AB123)&amp;"",IF($Z123="A",INDEX(Fixed_Assets!$L$2:$L$201,$AB123)&amp;"",IF($Z123="F",INDEX(Workforce!$K$2:$K$151,MATCH(INDEX(FTE_Allocation!$A$2:$A$201,$AB123),Workforce!$A$2:$A$151,0))&amp;"","")))</f>
        <v/>
      </c>
      <c r="G123" s="7">
        <f>IF($Z123="C",INDEX(Contracts!$F$2:$F$151,$AB123)&amp;" / "&amp;INDEX(Contracts!$G$2:$G$151,$AB123),IF($Z123="A",INDEX(Fixed_Assets!$E$2:$E$201,$AB123)&amp;"",IF($Z123="F","Personnel "&amp;INDEX(FTE_Allocation!$A$2:$A$201,$AB123)&amp;IF(INDEX(FTE_Allocation!$D$2:$D$201,$AB123)="PROJECT"," ("&amp;INDEX(FTE_Allocation!$E$2:$E$201,$AB123)&amp;")",""),"")))</f>
        <v/>
      </c>
      <c r="H123" s="7">
        <f>IF($Z123="C","CONTRACT",IF($Z123="A","ASSET",IF($Z123="F","WORKFORCE","")))</f>
        <v/>
      </c>
      <c r="I123" s="7">
        <f>IF($Z123="C",INDEX(Contracts!$L$2:$L$151,$AB123)&amp;"",IF($Z123="A",INDEX(Fixed_Assets!$I$2:$I$201,$AB123)&amp;"",IF($Z123="F",INDEX(Workforce!$G$2:$G$151,MATCH(INDEX(FTE_Allocation!$A$2:$A$201,$AB123),Workforce!$A$2:$A$151,0))&amp;"","")))</f>
        <v/>
      </c>
      <c r="J123" s="18">
        <f>IF($Z123="","",IF(AND(DATE($AD123,1,1)&gt;=$AE123,DATE($AD123,1,1)&lt;=$AF123),ROUND($AG123,2),0))</f>
        <v/>
      </c>
      <c r="K123" s="18">
        <f>IF($Z123="","",IF(AND(DATE($AD123,2,1)&gt;=$AE123,DATE($AD123,2,1)&lt;=$AF123),ROUND($AG123,2),0))</f>
        <v/>
      </c>
      <c r="L123" s="18">
        <f>IF($Z123="","",IF(AND(DATE($AD123,3,1)&gt;=$AE123,DATE($AD123,3,1)&lt;=$AF123),ROUND($AG123,2),0))</f>
        <v/>
      </c>
      <c r="M123" s="18">
        <f>IF($Z123="","",IF(AND(DATE($AD123,4,1)&gt;=$AE123,DATE($AD123,4,1)&lt;=$AF123),ROUND($AG123,2),0))</f>
        <v/>
      </c>
      <c r="N123" s="18">
        <f>IF($Z123="","",IF(AND(DATE($AD123,5,1)&gt;=$AE123,DATE($AD123,5,1)&lt;=$AF123),ROUND($AG123,2),0))</f>
        <v/>
      </c>
      <c r="O123" s="18">
        <f>IF($Z123="","",IF(AND(DATE($AD123,6,1)&gt;=$AE123,DATE($AD123,6,1)&lt;=$AF123),ROUND($AG123,2),0))</f>
        <v/>
      </c>
      <c r="P123" s="18">
        <f>IF($Z123="","",IF(AND(DATE($AD123,7,1)&gt;=$AE123,DATE($AD123,7,1)&lt;=$AF123),ROUND($AG123,2),0))</f>
        <v/>
      </c>
      <c r="Q123" s="18">
        <f>IF($Z123="","",IF(AND(DATE($AD123,8,1)&gt;=$AE123,DATE($AD123,8,1)&lt;=$AF123),ROUND($AG123,2),0))</f>
        <v/>
      </c>
      <c r="R123" s="18">
        <f>IF($Z123="","",IF(AND(DATE($AD123,9,1)&gt;=$AE123,DATE($AD123,9,1)&lt;=$AF123),ROUND($AG123,2),0))</f>
        <v/>
      </c>
      <c r="S123" s="18">
        <f>IF($Z123="","",IF(AND(DATE($AD123,10,1)&gt;=$AE123,DATE($AD123,10,1)&lt;=$AF123),ROUND($AG123,2),0))</f>
        <v/>
      </c>
      <c r="T123" s="18">
        <f>IF($Z123="","",IF(AND(DATE($AD123,11,1)&gt;=$AE123,DATE($AD123,11,1)&lt;=$AF123),ROUND($AG123,2),0))</f>
        <v/>
      </c>
      <c r="U123" s="18">
        <f>IF($Z123="","",IF(AND(DATE($AD123,12,1)&gt;=$AE123,DATE($AD123,12,1)&lt;=$AF123),ROUND($AG123,2),0))</f>
        <v/>
      </c>
      <c r="V123" s="7">
        <f>IF($Z123="C","Generated from "&amp;INDEX(Contracts!$A$2:$A$151,$AB123),IF($Z123="A","Generated from "&amp;INDEX(Fixed_Assets!$A$2:$A$201,$AB123),IF($Z123="F","Generated from "&amp;INDEX(FTE_Allocation!$A$2:$A$201,$AB123),"")))</f>
        <v/>
      </c>
      <c r="X123" s="19">
        <f>IF($Z123="","",SUM(J123:U123))</f>
        <v/>
      </c>
      <c r="Y123" s="20">
        <f>ROW()-1</f>
        <v/>
      </c>
      <c r="Z123" s="20">
        <f>IF($Y123&lt;=Settings!$B$4*3,"C",IF($Y123&lt;=(Settings!$B$4+Settings!$B$5)*3,"A",IF($Y123&lt;=(Settings!$B$4+Settings!$B$5+Settings!$B$6)*3,"F","")))</f>
        <v/>
      </c>
      <c r="AA123" s="20">
        <f>IF($Z123="C",$Y123,IF($Z123="A",$Y123-Settings!$B$4*3,IF($Z123="F",$Y123-(Settings!$B$4+Settings!$B$5)*3,"")))</f>
        <v/>
      </c>
      <c r="AB123" s="20">
        <f>IF($Z123="","",INT(($AA123-1)/3)+1)</f>
        <v/>
      </c>
      <c r="AC123" s="20">
        <f>IF($Z123="","",MOD($AA123-1,3)+1)</f>
        <v/>
      </c>
      <c r="AD123" s="20">
        <f>IF($Z123="","",Settings!$B$2+$AC123-1)</f>
        <v/>
      </c>
      <c r="AE123" s="21">
        <f>IF($Z123="C",DATE(YEAR(INDEX(Contracts!$J$2:$J$151,$AB123)),MONTH(INDEX(Contracts!$J$2:$J$151,$AB123)),1),IF($Z123="A",DATE(YEAR(INDEX(Fixed_Assets!$G$2:$G$201,$AB123)),MONTH(INDEX(Fixed_Assets!$G$2:$G$201,$AB123)),1),IF($Z123="F",DATE(YEAR(MAX(N(INDEX(Workforce!$I$2:$I$151,MATCH(INDEX(FTE_Allocation!$A$2:$A$201,$AB123),Workforce!$A$2:$A$151,0))),N(INDEX(FTE_Allocation!$I$2:$I$201,$AB123)))),MONTH(MAX(N(INDEX(Workforce!$I$2:$I$151,MATCH(INDEX(FTE_Allocation!$A$2:$A$201,$AB123),Workforce!$A$2:$A$151,0))),N(INDEX(FTE_Allocation!$I$2:$I$201,$AB123)))),1),"")))</f>
        <v/>
      </c>
      <c r="AF123" s="21">
        <f>IF($Z123="C",IF(INDEX(Contracts!$I$2:$I$151,$AB123)="PREPAID",EDATE(DATE(YEAR(INDEX(Contracts!$J$2:$J$151,$AB123)),MONTH(INDEX(Contracts!$J$2:$J$151,$AB123)),1),IF(INDEX(Contracts!$N$2:$N$151,$AB123)="",12,INDEX(Contracts!$N$2:$N$151,$AB123))-1),IF(INDEX(Contracts!$I$2:$I$151,$AB123)="MONTHLY",IF(INDEX(Contracts!$K$2:$K$151,$AB123)="",2958101,INDEX(Contracts!$K$2:$K$151,$AB123)),0)),IF($Z123="A",EDATE(DATE(YEAR(INDEX(Fixed_Assets!$G$2:$G$201,$AB123)),MONTH(INDEX(Fixed_Assets!$G$2:$G$201,$AB123)),1),INDEX(Fixed_Assets!$J$2:$J$201,$AB123)-1),IF($Z123="F",MIN(IF(INDEX(Workforce!$J$2:$J$151,MATCH(INDEX(FTE_Allocation!$A$2:$A$201,$AB123),Workforce!$A$2:$A$151,0))="",2958101,INDEX(Workforce!$J$2:$J$151,MATCH(INDEX(FTE_Allocation!$A$2:$A$201,$AB123),Workforce!$A$2:$A$151,0))),IF(INDEX(FTE_Allocation!$J$2:$J$201,$AB123)="",2958101,INDEX(FTE_Allocation!$J$2:$J$201,$AB123))),"")))</f>
        <v/>
      </c>
      <c r="AG123" s="19">
        <f>IF($Z123="C",IF(INDEX(Contracts!$I$2:$I$151,$AB123)="PREPAID",INDEX(Contracts!$M$2:$M$151,$AB123)/IF(INDEX(Contracts!$N$2:$N$151,$AB123)="",12,INDEX(Contracts!$N$2:$N$151,$AB123)),IF(INDEX(Contracts!$I$2:$I$151,$AB123)="MONTHLY",INDEX(Contracts!$M$2:$M$151,$AB123),0))*(1-N(INDEX(Contracts!$O$2:$O$151,$AB123))),IF($Z123="A",INDEX(Fixed_Assets!$H$2:$H$201,$AB123)/INDEX(Fixed_Assets!$J$2:$J$201,$AB123),IF($Z123="F",INDEX(Workforce!$F$2:$F$151,MATCH(INDEX(FTE_Allocation!$A$2:$A$201,$AB123),Workforce!$A$2:$A$151,0))*N(INDEX(FTE_Allocation!$F$2:$H$201,$AB123,$AC123)),"")))</f>
        <v/>
      </c>
    </row>
    <row r="124">
      <c r="A124" s="7">
        <f>IF($Z124="","",$AD124)</f>
        <v/>
      </c>
      <c r="B124" s="7">
        <f>IF($Z124="C",INDEX(Contracts!$D$2:$D$151,$AB124)&amp;"",IF($Z124="A",INDEX(Fixed_Assets!$C$2:$C$201,$AB124)&amp;"",IF($Z124="F",INDEX(Workforce!$B$2:$B$151,MATCH(INDEX(FTE_Allocation!$A$2:$A$201,$AB124),Workforce!$A$2:$A$151,0))&amp;"","")))</f>
        <v/>
      </c>
      <c r="C124" s="7">
        <f>IF($Z124="C",INDEX(Contracts!$E$2:$E$151,$AB124)&amp;"",IF($Z124="A",INDEX(Fixed_Assets!$D$2:$D$201,$AB124)&amp;"",IF($Z124="F",INDEX(FTE_Allocation!$C$2:$C$201,$AB124)&amp;"","")))</f>
        <v/>
      </c>
      <c r="D124" s="7">
        <f>IF($Z124="C",INDEX(Contracts!$B$2:$B$151,$AB124)&amp;"",IF($Z124="A",INDEX(Fixed_Assets!$B$2:$B$201,$AB124)&amp;"",IF($Z124="F",INDEX(FTE_Allocation!$B$2:$B$201,$AB124)&amp;"","")))</f>
        <v/>
      </c>
      <c r="E124" s="7">
        <f>IF($Z124="C",INDEX(Contracts!$P$2:$P$151,$AB124)&amp;"",IF($Z124="A",INDEX(Fixed_Assets!$K$2:$K$201,$AB124)&amp;"",IF($Z124="F",IF(INDEX(FTE_Allocation!$D$2:$D$201,$AB124)="PROJECT",IFERROR(INDEX(Projects!$D:$D,MATCH(INDEX(FTE_Allocation!$E$2:$E$201,$AB124),Projects!$A:$A,0))&amp;"","#PROJECT?"),INDEX(FTE_Allocation!$E$2:$E$201,$AB124)&amp;""),"")))</f>
        <v/>
      </c>
      <c r="F124" s="7">
        <f>IF($Z124="C",INDEX(Contracts!$Q$2:$Q$151,$AB124)&amp;"",IF($Z124="A",INDEX(Fixed_Assets!$L$2:$L$201,$AB124)&amp;"",IF($Z124="F",INDEX(Workforce!$K$2:$K$151,MATCH(INDEX(FTE_Allocation!$A$2:$A$201,$AB124),Workforce!$A$2:$A$151,0))&amp;"","")))</f>
        <v/>
      </c>
      <c r="G124" s="7">
        <f>IF($Z124="C",INDEX(Contracts!$F$2:$F$151,$AB124)&amp;" / "&amp;INDEX(Contracts!$G$2:$G$151,$AB124),IF($Z124="A",INDEX(Fixed_Assets!$E$2:$E$201,$AB124)&amp;"",IF($Z124="F","Personnel "&amp;INDEX(FTE_Allocation!$A$2:$A$201,$AB124)&amp;IF(INDEX(FTE_Allocation!$D$2:$D$201,$AB124)="PROJECT"," ("&amp;INDEX(FTE_Allocation!$E$2:$E$201,$AB124)&amp;")",""),"")))</f>
        <v/>
      </c>
      <c r="H124" s="7">
        <f>IF($Z124="C","CONTRACT",IF($Z124="A","ASSET",IF($Z124="F","WORKFORCE","")))</f>
        <v/>
      </c>
      <c r="I124" s="7">
        <f>IF($Z124="C",INDEX(Contracts!$L$2:$L$151,$AB124)&amp;"",IF($Z124="A",INDEX(Fixed_Assets!$I$2:$I$201,$AB124)&amp;"",IF($Z124="F",INDEX(Workforce!$G$2:$G$151,MATCH(INDEX(FTE_Allocation!$A$2:$A$201,$AB124),Workforce!$A$2:$A$151,0))&amp;"","")))</f>
        <v/>
      </c>
      <c r="J124" s="18">
        <f>IF($Z124="","",IF(AND(DATE($AD124,1,1)&gt;=$AE124,DATE($AD124,1,1)&lt;=$AF124),ROUND($AG124,2),0))</f>
        <v/>
      </c>
      <c r="K124" s="18">
        <f>IF($Z124="","",IF(AND(DATE($AD124,2,1)&gt;=$AE124,DATE($AD124,2,1)&lt;=$AF124),ROUND($AG124,2),0))</f>
        <v/>
      </c>
      <c r="L124" s="18">
        <f>IF($Z124="","",IF(AND(DATE($AD124,3,1)&gt;=$AE124,DATE($AD124,3,1)&lt;=$AF124),ROUND($AG124,2),0))</f>
        <v/>
      </c>
      <c r="M124" s="18">
        <f>IF($Z124="","",IF(AND(DATE($AD124,4,1)&gt;=$AE124,DATE($AD124,4,1)&lt;=$AF124),ROUND($AG124,2),0))</f>
        <v/>
      </c>
      <c r="N124" s="18">
        <f>IF($Z124="","",IF(AND(DATE($AD124,5,1)&gt;=$AE124,DATE($AD124,5,1)&lt;=$AF124),ROUND($AG124,2),0))</f>
        <v/>
      </c>
      <c r="O124" s="18">
        <f>IF($Z124="","",IF(AND(DATE($AD124,6,1)&gt;=$AE124,DATE($AD124,6,1)&lt;=$AF124),ROUND($AG124,2),0))</f>
        <v/>
      </c>
      <c r="P124" s="18">
        <f>IF($Z124="","",IF(AND(DATE($AD124,7,1)&gt;=$AE124,DATE($AD124,7,1)&lt;=$AF124),ROUND($AG124,2),0))</f>
        <v/>
      </c>
      <c r="Q124" s="18">
        <f>IF($Z124="","",IF(AND(DATE($AD124,8,1)&gt;=$AE124,DATE($AD124,8,1)&lt;=$AF124),ROUND($AG124,2),0))</f>
        <v/>
      </c>
      <c r="R124" s="18">
        <f>IF($Z124="","",IF(AND(DATE($AD124,9,1)&gt;=$AE124,DATE($AD124,9,1)&lt;=$AF124),ROUND($AG124,2),0))</f>
        <v/>
      </c>
      <c r="S124" s="18">
        <f>IF($Z124="","",IF(AND(DATE($AD124,10,1)&gt;=$AE124,DATE($AD124,10,1)&lt;=$AF124),ROUND($AG124,2),0))</f>
        <v/>
      </c>
      <c r="T124" s="18">
        <f>IF($Z124="","",IF(AND(DATE($AD124,11,1)&gt;=$AE124,DATE($AD124,11,1)&lt;=$AF124),ROUND($AG124,2),0))</f>
        <v/>
      </c>
      <c r="U124" s="18">
        <f>IF($Z124="","",IF(AND(DATE($AD124,12,1)&gt;=$AE124,DATE($AD124,12,1)&lt;=$AF124),ROUND($AG124,2),0))</f>
        <v/>
      </c>
      <c r="V124" s="7">
        <f>IF($Z124="C","Generated from "&amp;INDEX(Contracts!$A$2:$A$151,$AB124),IF($Z124="A","Generated from "&amp;INDEX(Fixed_Assets!$A$2:$A$201,$AB124),IF($Z124="F","Generated from "&amp;INDEX(FTE_Allocation!$A$2:$A$201,$AB124),"")))</f>
        <v/>
      </c>
      <c r="X124" s="19">
        <f>IF($Z124="","",SUM(J124:U124))</f>
        <v/>
      </c>
      <c r="Y124" s="20">
        <f>ROW()-1</f>
        <v/>
      </c>
      <c r="Z124" s="20">
        <f>IF($Y124&lt;=Settings!$B$4*3,"C",IF($Y124&lt;=(Settings!$B$4+Settings!$B$5)*3,"A",IF($Y124&lt;=(Settings!$B$4+Settings!$B$5+Settings!$B$6)*3,"F","")))</f>
        <v/>
      </c>
      <c r="AA124" s="20">
        <f>IF($Z124="C",$Y124,IF($Z124="A",$Y124-Settings!$B$4*3,IF($Z124="F",$Y124-(Settings!$B$4+Settings!$B$5)*3,"")))</f>
        <v/>
      </c>
      <c r="AB124" s="20">
        <f>IF($Z124="","",INT(($AA124-1)/3)+1)</f>
        <v/>
      </c>
      <c r="AC124" s="20">
        <f>IF($Z124="","",MOD($AA124-1,3)+1)</f>
        <v/>
      </c>
      <c r="AD124" s="20">
        <f>IF($Z124="","",Settings!$B$2+$AC124-1)</f>
        <v/>
      </c>
      <c r="AE124" s="21">
        <f>IF($Z124="C",DATE(YEAR(INDEX(Contracts!$J$2:$J$151,$AB124)),MONTH(INDEX(Contracts!$J$2:$J$151,$AB124)),1),IF($Z124="A",DATE(YEAR(INDEX(Fixed_Assets!$G$2:$G$201,$AB124)),MONTH(INDEX(Fixed_Assets!$G$2:$G$201,$AB124)),1),IF($Z124="F",DATE(YEAR(MAX(N(INDEX(Workforce!$I$2:$I$151,MATCH(INDEX(FTE_Allocation!$A$2:$A$201,$AB124),Workforce!$A$2:$A$151,0))),N(INDEX(FTE_Allocation!$I$2:$I$201,$AB124)))),MONTH(MAX(N(INDEX(Workforce!$I$2:$I$151,MATCH(INDEX(FTE_Allocation!$A$2:$A$201,$AB124),Workforce!$A$2:$A$151,0))),N(INDEX(FTE_Allocation!$I$2:$I$201,$AB124)))),1),"")))</f>
        <v/>
      </c>
      <c r="AF124" s="21">
        <f>IF($Z124="C",IF(INDEX(Contracts!$I$2:$I$151,$AB124)="PREPAID",EDATE(DATE(YEAR(INDEX(Contracts!$J$2:$J$151,$AB124)),MONTH(INDEX(Contracts!$J$2:$J$151,$AB124)),1),IF(INDEX(Contracts!$N$2:$N$151,$AB124)="",12,INDEX(Contracts!$N$2:$N$151,$AB124))-1),IF(INDEX(Contracts!$I$2:$I$151,$AB124)="MONTHLY",IF(INDEX(Contracts!$K$2:$K$151,$AB124)="",2958101,INDEX(Contracts!$K$2:$K$151,$AB124)),0)),IF($Z124="A",EDATE(DATE(YEAR(INDEX(Fixed_Assets!$G$2:$G$201,$AB124)),MONTH(INDEX(Fixed_Assets!$G$2:$G$201,$AB124)),1),INDEX(Fixed_Assets!$J$2:$J$201,$AB124)-1),IF($Z124="F",MIN(IF(INDEX(Workforce!$J$2:$J$151,MATCH(INDEX(FTE_Allocation!$A$2:$A$201,$AB124),Workforce!$A$2:$A$151,0))="",2958101,INDEX(Workforce!$J$2:$J$151,MATCH(INDEX(FTE_Allocation!$A$2:$A$201,$AB124),Workforce!$A$2:$A$151,0))),IF(INDEX(FTE_Allocation!$J$2:$J$201,$AB124)="",2958101,INDEX(FTE_Allocation!$J$2:$J$201,$AB124))),"")))</f>
        <v/>
      </c>
      <c r="AG124" s="19">
        <f>IF($Z124="C",IF(INDEX(Contracts!$I$2:$I$151,$AB124)="PREPAID",INDEX(Contracts!$M$2:$M$151,$AB124)/IF(INDEX(Contracts!$N$2:$N$151,$AB124)="",12,INDEX(Contracts!$N$2:$N$151,$AB124)),IF(INDEX(Contracts!$I$2:$I$151,$AB124)="MONTHLY",INDEX(Contracts!$M$2:$M$151,$AB124),0))*(1-N(INDEX(Contracts!$O$2:$O$151,$AB124))),IF($Z124="A",INDEX(Fixed_Assets!$H$2:$H$201,$AB124)/INDEX(Fixed_Assets!$J$2:$J$201,$AB124),IF($Z124="F",INDEX(Workforce!$F$2:$F$151,MATCH(INDEX(FTE_Allocation!$A$2:$A$201,$AB124),Workforce!$A$2:$A$151,0))*N(INDEX(FTE_Allocation!$F$2:$H$201,$AB124,$AC124)),"")))</f>
        <v/>
      </c>
    </row>
    <row r="125">
      <c r="A125" s="7">
        <f>IF($Z125="","",$AD125)</f>
        <v/>
      </c>
      <c r="B125" s="7">
        <f>IF($Z125="C",INDEX(Contracts!$D$2:$D$151,$AB125)&amp;"",IF($Z125="A",INDEX(Fixed_Assets!$C$2:$C$201,$AB125)&amp;"",IF($Z125="F",INDEX(Workforce!$B$2:$B$151,MATCH(INDEX(FTE_Allocation!$A$2:$A$201,$AB125),Workforce!$A$2:$A$151,0))&amp;"","")))</f>
        <v/>
      </c>
      <c r="C125" s="7">
        <f>IF($Z125="C",INDEX(Contracts!$E$2:$E$151,$AB125)&amp;"",IF($Z125="A",INDEX(Fixed_Assets!$D$2:$D$201,$AB125)&amp;"",IF($Z125="F",INDEX(FTE_Allocation!$C$2:$C$201,$AB125)&amp;"","")))</f>
        <v/>
      </c>
      <c r="D125" s="7">
        <f>IF($Z125="C",INDEX(Contracts!$B$2:$B$151,$AB125)&amp;"",IF($Z125="A",INDEX(Fixed_Assets!$B$2:$B$201,$AB125)&amp;"",IF($Z125="F",INDEX(FTE_Allocation!$B$2:$B$201,$AB125)&amp;"","")))</f>
        <v/>
      </c>
      <c r="E125" s="7">
        <f>IF($Z125="C",INDEX(Contracts!$P$2:$P$151,$AB125)&amp;"",IF($Z125="A",INDEX(Fixed_Assets!$K$2:$K$201,$AB125)&amp;"",IF($Z125="F",IF(INDEX(FTE_Allocation!$D$2:$D$201,$AB125)="PROJECT",IFERROR(INDEX(Projects!$D:$D,MATCH(INDEX(FTE_Allocation!$E$2:$E$201,$AB125),Projects!$A:$A,0))&amp;"","#PROJECT?"),INDEX(FTE_Allocation!$E$2:$E$201,$AB125)&amp;""),"")))</f>
        <v/>
      </c>
      <c r="F125" s="7">
        <f>IF($Z125="C",INDEX(Contracts!$Q$2:$Q$151,$AB125)&amp;"",IF($Z125="A",INDEX(Fixed_Assets!$L$2:$L$201,$AB125)&amp;"",IF($Z125="F",INDEX(Workforce!$K$2:$K$151,MATCH(INDEX(FTE_Allocation!$A$2:$A$201,$AB125),Workforce!$A$2:$A$151,0))&amp;"","")))</f>
        <v/>
      </c>
      <c r="G125" s="7">
        <f>IF($Z125="C",INDEX(Contracts!$F$2:$F$151,$AB125)&amp;" / "&amp;INDEX(Contracts!$G$2:$G$151,$AB125),IF($Z125="A",INDEX(Fixed_Assets!$E$2:$E$201,$AB125)&amp;"",IF($Z125="F","Personnel "&amp;INDEX(FTE_Allocation!$A$2:$A$201,$AB125)&amp;IF(INDEX(FTE_Allocation!$D$2:$D$201,$AB125)="PROJECT"," ("&amp;INDEX(FTE_Allocation!$E$2:$E$201,$AB125)&amp;")",""),"")))</f>
        <v/>
      </c>
      <c r="H125" s="7">
        <f>IF($Z125="C","CONTRACT",IF($Z125="A","ASSET",IF($Z125="F","WORKFORCE","")))</f>
        <v/>
      </c>
      <c r="I125" s="7">
        <f>IF($Z125="C",INDEX(Contracts!$L$2:$L$151,$AB125)&amp;"",IF($Z125="A",INDEX(Fixed_Assets!$I$2:$I$201,$AB125)&amp;"",IF($Z125="F",INDEX(Workforce!$G$2:$G$151,MATCH(INDEX(FTE_Allocation!$A$2:$A$201,$AB125),Workforce!$A$2:$A$151,0))&amp;"","")))</f>
        <v/>
      </c>
      <c r="J125" s="18">
        <f>IF($Z125="","",IF(AND(DATE($AD125,1,1)&gt;=$AE125,DATE($AD125,1,1)&lt;=$AF125),ROUND($AG125,2),0))</f>
        <v/>
      </c>
      <c r="K125" s="18">
        <f>IF($Z125="","",IF(AND(DATE($AD125,2,1)&gt;=$AE125,DATE($AD125,2,1)&lt;=$AF125),ROUND($AG125,2),0))</f>
        <v/>
      </c>
      <c r="L125" s="18">
        <f>IF($Z125="","",IF(AND(DATE($AD125,3,1)&gt;=$AE125,DATE($AD125,3,1)&lt;=$AF125),ROUND($AG125,2),0))</f>
        <v/>
      </c>
      <c r="M125" s="18">
        <f>IF($Z125="","",IF(AND(DATE($AD125,4,1)&gt;=$AE125,DATE($AD125,4,1)&lt;=$AF125),ROUND($AG125,2),0))</f>
        <v/>
      </c>
      <c r="N125" s="18">
        <f>IF($Z125="","",IF(AND(DATE($AD125,5,1)&gt;=$AE125,DATE($AD125,5,1)&lt;=$AF125),ROUND($AG125,2),0))</f>
        <v/>
      </c>
      <c r="O125" s="18">
        <f>IF($Z125="","",IF(AND(DATE($AD125,6,1)&gt;=$AE125,DATE($AD125,6,1)&lt;=$AF125),ROUND($AG125,2),0))</f>
        <v/>
      </c>
      <c r="P125" s="18">
        <f>IF($Z125="","",IF(AND(DATE($AD125,7,1)&gt;=$AE125,DATE($AD125,7,1)&lt;=$AF125),ROUND($AG125,2),0))</f>
        <v/>
      </c>
      <c r="Q125" s="18">
        <f>IF($Z125="","",IF(AND(DATE($AD125,8,1)&gt;=$AE125,DATE($AD125,8,1)&lt;=$AF125),ROUND($AG125,2),0))</f>
        <v/>
      </c>
      <c r="R125" s="18">
        <f>IF($Z125="","",IF(AND(DATE($AD125,9,1)&gt;=$AE125,DATE($AD125,9,1)&lt;=$AF125),ROUND($AG125,2),0))</f>
        <v/>
      </c>
      <c r="S125" s="18">
        <f>IF($Z125="","",IF(AND(DATE($AD125,10,1)&gt;=$AE125,DATE($AD125,10,1)&lt;=$AF125),ROUND($AG125,2),0))</f>
        <v/>
      </c>
      <c r="T125" s="18">
        <f>IF($Z125="","",IF(AND(DATE($AD125,11,1)&gt;=$AE125,DATE($AD125,11,1)&lt;=$AF125),ROUND($AG125,2),0))</f>
        <v/>
      </c>
      <c r="U125" s="18">
        <f>IF($Z125="","",IF(AND(DATE($AD125,12,1)&gt;=$AE125,DATE($AD125,12,1)&lt;=$AF125),ROUND($AG125,2),0))</f>
        <v/>
      </c>
      <c r="V125" s="7">
        <f>IF($Z125="C","Generated from "&amp;INDEX(Contracts!$A$2:$A$151,$AB125),IF($Z125="A","Generated from "&amp;INDEX(Fixed_Assets!$A$2:$A$201,$AB125),IF($Z125="F","Generated from "&amp;INDEX(FTE_Allocation!$A$2:$A$201,$AB125),"")))</f>
        <v/>
      </c>
      <c r="X125" s="19">
        <f>IF($Z125="","",SUM(J125:U125))</f>
        <v/>
      </c>
      <c r="Y125" s="20">
        <f>ROW()-1</f>
        <v/>
      </c>
      <c r="Z125" s="20">
        <f>IF($Y125&lt;=Settings!$B$4*3,"C",IF($Y125&lt;=(Settings!$B$4+Settings!$B$5)*3,"A",IF($Y125&lt;=(Settings!$B$4+Settings!$B$5+Settings!$B$6)*3,"F","")))</f>
        <v/>
      </c>
      <c r="AA125" s="20">
        <f>IF($Z125="C",$Y125,IF($Z125="A",$Y125-Settings!$B$4*3,IF($Z125="F",$Y125-(Settings!$B$4+Settings!$B$5)*3,"")))</f>
        <v/>
      </c>
      <c r="AB125" s="20">
        <f>IF($Z125="","",INT(($AA125-1)/3)+1)</f>
        <v/>
      </c>
      <c r="AC125" s="20">
        <f>IF($Z125="","",MOD($AA125-1,3)+1)</f>
        <v/>
      </c>
      <c r="AD125" s="20">
        <f>IF($Z125="","",Settings!$B$2+$AC125-1)</f>
        <v/>
      </c>
      <c r="AE125" s="21">
        <f>IF($Z125="C",DATE(YEAR(INDEX(Contracts!$J$2:$J$151,$AB125)),MONTH(INDEX(Contracts!$J$2:$J$151,$AB125)),1),IF($Z125="A",DATE(YEAR(INDEX(Fixed_Assets!$G$2:$G$201,$AB125)),MONTH(INDEX(Fixed_Assets!$G$2:$G$201,$AB125)),1),IF($Z125="F",DATE(YEAR(MAX(N(INDEX(Workforce!$I$2:$I$151,MATCH(INDEX(FTE_Allocation!$A$2:$A$201,$AB125),Workforce!$A$2:$A$151,0))),N(INDEX(FTE_Allocation!$I$2:$I$201,$AB125)))),MONTH(MAX(N(INDEX(Workforce!$I$2:$I$151,MATCH(INDEX(FTE_Allocation!$A$2:$A$201,$AB125),Workforce!$A$2:$A$151,0))),N(INDEX(FTE_Allocation!$I$2:$I$201,$AB125)))),1),"")))</f>
        <v/>
      </c>
      <c r="AF125" s="21">
        <f>IF($Z125="C",IF(INDEX(Contracts!$I$2:$I$151,$AB125)="PREPAID",EDATE(DATE(YEAR(INDEX(Contracts!$J$2:$J$151,$AB125)),MONTH(INDEX(Contracts!$J$2:$J$151,$AB125)),1),IF(INDEX(Contracts!$N$2:$N$151,$AB125)="",12,INDEX(Contracts!$N$2:$N$151,$AB125))-1),IF(INDEX(Contracts!$I$2:$I$151,$AB125)="MONTHLY",IF(INDEX(Contracts!$K$2:$K$151,$AB125)="",2958101,INDEX(Contracts!$K$2:$K$151,$AB125)),0)),IF($Z125="A",EDATE(DATE(YEAR(INDEX(Fixed_Assets!$G$2:$G$201,$AB125)),MONTH(INDEX(Fixed_Assets!$G$2:$G$201,$AB125)),1),INDEX(Fixed_Assets!$J$2:$J$201,$AB125)-1),IF($Z125="F",MIN(IF(INDEX(Workforce!$J$2:$J$151,MATCH(INDEX(FTE_Allocation!$A$2:$A$201,$AB125),Workforce!$A$2:$A$151,0))="",2958101,INDEX(Workforce!$J$2:$J$151,MATCH(INDEX(FTE_Allocation!$A$2:$A$201,$AB125),Workforce!$A$2:$A$151,0))),IF(INDEX(FTE_Allocation!$J$2:$J$201,$AB125)="",2958101,INDEX(FTE_Allocation!$J$2:$J$201,$AB125))),"")))</f>
        <v/>
      </c>
      <c r="AG125" s="19">
        <f>IF($Z125="C",IF(INDEX(Contracts!$I$2:$I$151,$AB125)="PREPAID",INDEX(Contracts!$M$2:$M$151,$AB125)/IF(INDEX(Contracts!$N$2:$N$151,$AB125)="",12,INDEX(Contracts!$N$2:$N$151,$AB125)),IF(INDEX(Contracts!$I$2:$I$151,$AB125)="MONTHLY",INDEX(Contracts!$M$2:$M$151,$AB125),0))*(1-N(INDEX(Contracts!$O$2:$O$151,$AB125))),IF($Z125="A",INDEX(Fixed_Assets!$H$2:$H$201,$AB125)/INDEX(Fixed_Assets!$J$2:$J$201,$AB125),IF($Z125="F",INDEX(Workforce!$F$2:$F$151,MATCH(INDEX(FTE_Allocation!$A$2:$A$201,$AB125),Workforce!$A$2:$A$151,0))*N(INDEX(FTE_Allocation!$F$2:$H$201,$AB125,$AC125)),"")))</f>
        <v/>
      </c>
    </row>
    <row r="126">
      <c r="A126" s="7">
        <f>IF($Z126="","",$AD126)</f>
        <v/>
      </c>
      <c r="B126" s="7">
        <f>IF($Z126="C",INDEX(Contracts!$D$2:$D$151,$AB126)&amp;"",IF($Z126="A",INDEX(Fixed_Assets!$C$2:$C$201,$AB126)&amp;"",IF($Z126="F",INDEX(Workforce!$B$2:$B$151,MATCH(INDEX(FTE_Allocation!$A$2:$A$201,$AB126),Workforce!$A$2:$A$151,0))&amp;"","")))</f>
        <v/>
      </c>
      <c r="C126" s="7">
        <f>IF($Z126="C",INDEX(Contracts!$E$2:$E$151,$AB126)&amp;"",IF($Z126="A",INDEX(Fixed_Assets!$D$2:$D$201,$AB126)&amp;"",IF($Z126="F",INDEX(FTE_Allocation!$C$2:$C$201,$AB126)&amp;"","")))</f>
        <v/>
      </c>
      <c r="D126" s="7">
        <f>IF($Z126="C",INDEX(Contracts!$B$2:$B$151,$AB126)&amp;"",IF($Z126="A",INDEX(Fixed_Assets!$B$2:$B$201,$AB126)&amp;"",IF($Z126="F",INDEX(FTE_Allocation!$B$2:$B$201,$AB126)&amp;"","")))</f>
        <v/>
      </c>
      <c r="E126" s="7">
        <f>IF($Z126="C",INDEX(Contracts!$P$2:$P$151,$AB126)&amp;"",IF($Z126="A",INDEX(Fixed_Assets!$K$2:$K$201,$AB126)&amp;"",IF($Z126="F",IF(INDEX(FTE_Allocation!$D$2:$D$201,$AB126)="PROJECT",IFERROR(INDEX(Projects!$D:$D,MATCH(INDEX(FTE_Allocation!$E$2:$E$201,$AB126),Projects!$A:$A,0))&amp;"","#PROJECT?"),INDEX(FTE_Allocation!$E$2:$E$201,$AB126)&amp;""),"")))</f>
        <v/>
      </c>
      <c r="F126" s="7">
        <f>IF($Z126="C",INDEX(Contracts!$Q$2:$Q$151,$AB126)&amp;"",IF($Z126="A",INDEX(Fixed_Assets!$L$2:$L$201,$AB126)&amp;"",IF($Z126="F",INDEX(Workforce!$K$2:$K$151,MATCH(INDEX(FTE_Allocation!$A$2:$A$201,$AB126),Workforce!$A$2:$A$151,0))&amp;"","")))</f>
        <v/>
      </c>
      <c r="G126" s="7">
        <f>IF($Z126="C",INDEX(Contracts!$F$2:$F$151,$AB126)&amp;" / "&amp;INDEX(Contracts!$G$2:$G$151,$AB126),IF($Z126="A",INDEX(Fixed_Assets!$E$2:$E$201,$AB126)&amp;"",IF($Z126="F","Personnel "&amp;INDEX(FTE_Allocation!$A$2:$A$201,$AB126)&amp;IF(INDEX(FTE_Allocation!$D$2:$D$201,$AB126)="PROJECT"," ("&amp;INDEX(FTE_Allocation!$E$2:$E$201,$AB126)&amp;")",""),"")))</f>
        <v/>
      </c>
      <c r="H126" s="7">
        <f>IF($Z126="C","CONTRACT",IF($Z126="A","ASSET",IF($Z126="F","WORKFORCE","")))</f>
        <v/>
      </c>
      <c r="I126" s="7">
        <f>IF($Z126="C",INDEX(Contracts!$L$2:$L$151,$AB126)&amp;"",IF($Z126="A",INDEX(Fixed_Assets!$I$2:$I$201,$AB126)&amp;"",IF($Z126="F",INDEX(Workforce!$G$2:$G$151,MATCH(INDEX(FTE_Allocation!$A$2:$A$201,$AB126),Workforce!$A$2:$A$151,0))&amp;"","")))</f>
        <v/>
      </c>
      <c r="J126" s="18">
        <f>IF($Z126="","",IF(AND(DATE($AD126,1,1)&gt;=$AE126,DATE($AD126,1,1)&lt;=$AF126),ROUND($AG126,2),0))</f>
        <v/>
      </c>
      <c r="K126" s="18">
        <f>IF($Z126="","",IF(AND(DATE($AD126,2,1)&gt;=$AE126,DATE($AD126,2,1)&lt;=$AF126),ROUND($AG126,2),0))</f>
        <v/>
      </c>
      <c r="L126" s="18">
        <f>IF($Z126="","",IF(AND(DATE($AD126,3,1)&gt;=$AE126,DATE($AD126,3,1)&lt;=$AF126),ROUND($AG126,2),0))</f>
        <v/>
      </c>
      <c r="M126" s="18">
        <f>IF($Z126="","",IF(AND(DATE($AD126,4,1)&gt;=$AE126,DATE($AD126,4,1)&lt;=$AF126),ROUND($AG126,2),0))</f>
        <v/>
      </c>
      <c r="N126" s="18">
        <f>IF($Z126="","",IF(AND(DATE($AD126,5,1)&gt;=$AE126,DATE($AD126,5,1)&lt;=$AF126),ROUND($AG126,2),0))</f>
        <v/>
      </c>
      <c r="O126" s="18">
        <f>IF($Z126="","",IF(AND(DATE($AD126,6,1)&gt;=$AE126,DATE($AD126,6,1)&lt;=$AF126),ROUND($AG126,2),0))</f>
        <v/>
      </c>
      <c r="P126" s="18">
        <f>IF($Z126="","",IF(AND(DATE($AD126,7,1)&gt;=$AE126,DATE($AD126,7,1)&lt;=$AF126),ROUND($AG126,2),0))</f>
        <v/>
      </c>
      <c r="Q126" s="18">
        <f>IF($Z126="","",IF(AND(DATE($AD126,8,1)&gt;=$AE126,DATE($AD126,8,1)&lt;=$AF126),ROUND($AG126,2),0))</f>
        <v/>
      </c>
      <c r="R126" s="18">
        <f>IF($Z126="","",IF(AND(DATE($AD126,9,1)&gt;=$AE126,DATE($AD126,9,1)&lt;=$AF126),ROUND($AG126,2),0))</f>
        <v/>
      </c>
      <c r="S126" s="18">
        <f>IF($Z126="","",IF(AND(DATE($AD126,10,1)&gt;=$AE126,DATE($AD126,10,1)&lt;=$AF126),ROUND($AG126,2),0))</f>
        <v/>
      </c>
      <c r="T126" s="18">
        <f>IF($Z126="","",IF(AND(DATE($AD126,11,1)&gt;=$AE126,DATE($AD126,11,1)&lt;=$AF126),ROUND($AG126,2),0))</f>
        <v/>
      </c>
      <c r="U126" s="18">
        <f>IF($Z126="","",IF(AND(DATE($AD126,12,1)&gt;=$AE126,DATE($AD126,12,1)&lt;=$AF126),ROUND($AG126,2),0))</f>
        <v/>
      </c>
      <c r="V126" s="7">
        <f>IF($Z126="C","Generated from "&amp;INDEX(Contracts!$A$2:$A$151,$AB126),IF($Z126="A","Generated from "&amp;INDEX(Fixed_Assets!$A$2:$A$201,$AB126),IF($Z126="F","Generated from "&amp;INDEX(FTE_Allocation!$A$2:$A$201,$AB126),"")))</f>
        <v/>
      </c>
      <c r="X126" s="19">
        <f>IF($Z126="","",SUM(J126:U126))</f>
        <v/>
      </c>
      <c r="Y126" s="20">
        <f>ROW()-1</f>
        <v/>
      </c>
      <c r="Z126" s="20">
        <f>IF($Y126&lt;=Settings!$B$4*3,"C",IF($Y126&lt;=(Settings!$B$4+Settings!$B$5)*3,"A",IF($Y126&lt;=(Settings!$B$4+Settings!$B$5+Settings!$B$6)*3,"F","")))</f>
        <v/>
      </c>
      <c r="AA126" s="20">
        <f>IF($Z126="C",$Y126,IF($Z126="A",$Y126-Settings!$B$4*3,IF($Z126="F",$Y126-(Settings!$B$4+Settings!$B$5)*3,"")))</f>
        <v/>
      </c>
      <c r="AB126" s="20">
        <f>IF($Z126="","",INT(($AA126-1)/3)+1)</f>
        <v/>
      </c>
      <c r="AC126" s="20">
        <f>IF($Z126="","",MOD($AA126-1,3)+1)</f>
        <v/>
      </c>
      <c r="AD126" s="20">
        <f>IF($Z126="","",Settings!$B$2+$AC126-1)</f>
        <v/>
      </c>
      <c r="AE126" s="21">
        <f>IF($Z126="C",DATE(YEAR(INDEX(Contracts!$J$2:$J$151,$AB126)),MONTH(INDEX(Contracts!$J$2:$J$151,$AB126)),1),IF($Z126="A",DATE(YEAR(INDEX(Fixed_Assets!$G$2:$G$201,$AB126)),MONTH(INDEX(Fixed_Assets!$G$2:$G$201,$AB126)),1),IF($Z126="F",DATE(YEAR(MAX(N(INDEX(Workforce!$I$2:$I$151,MATCH(INDEX(FTE_Allocation!$A$2:$A$201,$AB126),Workforce!$A$2:$A$151,0))),N(INDEX(FTE_Allocation!$I$2:$I$201,$AB126)))),MONTH(MAX(N(INDEX(Workforce!$I$2:$I$151,MATCH(INDEX(FTE_Allocation!$A$2:$A$201,$AB126),Workforce!$A$2:$A$151,0))),N(INDEX(FTE_Allocation!$I$2:$I$201,$AB126)))),1),"")))</f>
        <v/>
      </c>
      <c r="AF126" s="21">
        <f>IF($Z126="C",IF(INDEX(Contracts!$I$2:$I$151,$AB126)="PREPAID",EDATE(DATE(YEAR(INDEX(Contracts!$J$2:$J$151,$AB126)),MONTH(INDEX(Contracts!$J$2:$J$151,$AB126)),1),IF(INDEX(Contracts!$N$2:$N$151,$AB126)="",12,INDEX(Contracts!$N$2:$N$151,$AB126))-1),IF(INDEX(Contracts!$I$2:$I$151,$AB126)="MONTHLY",IF(INDEX(Contracts!$K$2:$K$151,$AB126)="",2958101,INDEX(Contracts!$K$2:$K$151,$AB126)),0)),IF($Z126="A",EDATE(DATE(YEAR(INDEX(Fixed_Assets!$G$2:$G$201,$AB126)),MONTH(INDEX(Fixed_Assets!$G$2:$G$201,$AB126)),1),INDEX(Fixed_Assets!$J$2:$J$201,$AB126)-1),IF($Z126="F",MIN(IF(INDEX(Workforce!$J$2:$J$151,MATCH(INDEX(FTE_Allocation!$A$2:$A$201,$AB126),Workforce!$A$2:$A$151,0))="",2958101,INDEX(Workforce!$J$2:$J$151,MATCH(INDEX(FTE_Allocation!$A$2:$A$201,$AB126),Workforce!$A$2:$A$151,0))),IF(INDEX(FTE_Allocation!$J$2:$J$201,$AB126)="",2958101,INDEX(FTE_Allocation!$J$2:$J$201,$AB126))),"")))</f>
        <v/>
      </c>
      <c r="AG126" s="19">
        <f>IF($Z126="C",IF(INDEX(Contracts!$I$2:$I$151,$AB126)="PREPAID",INDEX(Contracts!$M$2:$M$151,$AB126)/IF(INDEX(Contracts!$N$2:$N$151,$AB126)="",12,INDEX(Contracts!$N$2:$N$151,$AB126)),IF(INDEX(Contracts!$I$2:$I$151,$AB126)="MONTHLY",INDEX(Contracts!$M$2:$M$151,$AB126),0))*(1-N(INDEX(Contracts!$O$2:$O$151,$AB126))),IF($Z126="A",INDEX(Fixed_Assets!$H$2:$H$201,$AB126)/INDEX(Fixed_Assets!$J$2:$J$201,$AB126),IF($Z126="F",INDEX(Workforce!$F$2:$F$151,MATCH(INDEX(FTE_Allocation!$A$2:$A$201,$AB126),Workforce!$A$2:$A$151,0))*N(INDEX(FTE_Allocation!$F$2:$H$201,$AB126,$AC126)),"")))</f>
        <v/>
      </c>
    </row>
    <row r="127">
      <c r="A127" s="7">
        <f>IF($Z127="","",$AD127)</f>
        <v/>
      </c>
      <c r="B127" s="7">
        <f>IF($Z127="C",INDEX(Contracts!$D$2:$D$151,$AB127)&amp;"",IF($Z127="A",INDEX(Fixed_Assets!$C$2:$C$201,$AB127)&amp;"",IF($Z127="F",INDEX(Workforce!$B$2:$B$151,MATCH(INDEX(FTE_Allocation!$A$2:$A$201,$AB127),Workforce!$A$2:$A$151,0))&amp;"","")))</f>
        <v/>
      </c>
      <c r="C127" s="7">
        <f>IF($Z127="C",INDEX(Contracts!$E$2:$E$151,$AB127)&amp;"",IF($Z127="A",INDEX(Fixed_Assets!$D$2:$D$201,$AB127)&amp;"",IF($Z127="F",INDEX(FTE_Allocation!$C$2:$C$201,$AB127)&amp;"","")))</f>
        <v/>
      </c>
      <c r="D127" s="7">
        <f>IF($Z127="C",INDEX(Contracts!$B$2:$B$151,$AB127)&amp;"",IF($Z127="A",INDEX(Fixed_Assets!$B$2:$B$201,$AB127)&amp;"",IF($Z127="F",INDEX(FTE_Allocation!$B$2:$B$201,$AB127)&amp;"","")))</f>
        <v/>
      </c>
      <c r="E127" s="7">
        <f>IF($Z127="C",INDEX(Contracts!$P$2:$P$151,$AB127)&amp;"",IF($Z127="A",INDEX(Fixed_Assets!$K$2:$K$201,$AB127)&amp;"",IF($Z127="F",IF(INDEX(FTE_Allocation!$D$2:$D$201,$AB127)="PROJECT",IFERROR(INDEX(Projects!$D:$D,MATCH(INDEX(FTE_Allocation!$E$2:$E$201,$AB127),Projects!$A:$A,0))&amp;"","#PROJECT?"),INDEX(FTE_Allocation!$E$2:$E$201,$AB127)&amp;""),"")))</f>
        <v/>
      </c>
      <c r="F127" s="7">
        <f>IF($Z127="C",INDEX(Contracts!$Q$2:$Q$151,$AB127)&amp;"",IF($Z127="A",INDEX(Fixed_Assets!$L$2:$L$201,$AB127)&amp;"",IF($Z127="F",INDEX(Workforce!$K$2:$K$151,MATCH(INDEX(FTE_Allocation!$A$2:$A$201,$AB127),Workforce!$A$2:$A$151,0))&amp;"","")))</f>
        <v/>
      </c>
      <c r="G127" s="7">
        <f>IF($Z127="C",INDEX(Contracts!$F$2:$F$151,$AB127)&amp;" / "&amp;INDEX(Contracts!$G$2:$G$151,$AB127),IF($Z127="A",INDEX(Fixed_Assets!$E$2:$E$201,$AB127)&amp;"",IF($Z127="F","Personnel "&amp;INDEX(FTE_Allocation!$A$2:$A$201,$AB127)&amp;IF(INDEX(FTE_Allocation!$D$2:$D$201,$AB127)="PROJECT"," ("&amp;INDEX(FTE_Allocation!$E$2:$E$201,$AB127)&amp;")",""),"")))</f>
        <v/>
      </c>
      <c r="H127" s="7">
        <f>IF($Z127="C","CONTRACT",IF($Z127="A","ASSET",IF($Z127="F","WORKFORCE","")))</f>
        <v/>
      </c>
      <c r="I127" s="7">
        <f>IF($Z127="C",INDEX(Contracts!$L$2:$L$151,$AB127)&amp;"",IF($Z127="A",INDEX(Fixed_Assets!$I$2:$I$201,$AB127)&amp;"",IF($Z127="F",INDEX(Workforce!$G$2:$G$151,MATCH(INDEX(FTE_Allocation!$A$2:$A$201,$AB127),Workforce!$A$2:$A$151,0))&amp;"","")))</f>
        <v/>
      </c>
      <c r="J127" s="18">
        <f>IF($Z127="","",IF(AND(DATE($AD127,1,1)&gt;=$AE127,DATE($AD127,1,1)&lt;=$AF127),ROUND($AG127,2),0))</f>
        <v/>
      </c>
      <c r="K127" s="18">
        <f>IF($Z127="","",IF(AND(DATE($AD127,2,1)&gt;=$AE127,DATE($AD127,2,1)&lt;=$AF127),ROUND($AG127,2),0))</f>
        <v/>
      </c>
      <c r="L127" s="18">
        <f>IF($Z127="","",IF(AND(DATE($AD127,3,1)&gt;=$AE127,DATE($AD127,3,1)&lt;=$AF127),ROUND($AG127,2),0))</f>
        <v/>
      </c>
      <c r="M127" s="18">
        <f>IF($Z127="","",IF(AND(DATE($AD127,4,1)&gt;=$AE127,DATE($AD127,4,1)&lt;=$AF127),ROUND($AG127,2),0))</f>
        <v/>
      </c>
      <c r="N127" s="18">
        <f>IF($Z127="","",IF(AND(DATE($AD127,5,1)&gt;=$AE127,DATE($AD127,5,1)&lt;=$AF127),ROUND($AG127,2),0))</f>
        <v/>
      </c>
      <c r="O127" s="18">
        <f>IF($Z127="","",IF(AND(DATE($AD127,6,1)&gt;=$AE127,DATE($AD127,6,1)&lt;=$AF127),ROUND($AG127,2),0))</f>
        <v/>
      </c>
      <c r="P127" s="18">
        <f>IF($Z127="","",IF(AND(DATE($AD127,7,1)&gt;=$AE127,DATE($AD127,7,1)&lt;=$AF127),ROUND($AG127,2),0))</f>
        <v/>
      </c>
      <c r="Q127" s="18">
        <f>IF($Z127="","",IF(AND(DATE($AD127,8,1)&gt;=$AE127,DATE($AD127,8,1)&lt;=$AF127),ROUND($AG127,2),0))</f>
        <v/>
      </c>
      <c r="R127" s="18">
        <f>IF($Z127="","",IF(AND(DATE($AD127,9,1)&gt;=$AE127,DATE($AD127,9,1)&lt;=$AF127),ROUND($AG127,2),0))</f>
        <v/>
      </c>
      <c r="S127" s="18">
        <f>IF($Z127="","",IF(AND(DATE($AD127,10,1)&gt;=$AE127,DATE($AD127,10,1)&lt;=$AF127),ROUND($AG127,2),0))</f>
        <v/>
      </c>
      <c r="T127" s="18">
        <f>IF($Z127="","",IF(AND(DATE($AD127,11,1)&gt;=$AE127,DATE($AD127,11,1)&lt;=$AF127),ROUND($AG127,2),0))</f>
        <v/>
      </c>
      <c r="U127" s="18">
        <f>IF($Z127="","",IF(AND(DATE($AD127,12,1)&gt;=$AE127,DATE($AD127,12,1)&lt;=$AF127),ROUND($AG127,2),0))</f>
        <v/>
      </c>
      <c r="V127" s="7">
        <f>IF($Z127="C","Generated from "&amp;INDEX(Contracts!$A$2:$A$151,$AB127),IF($Z127="A","Generated from "&amp;INDEX(Fixed_Assets!$A$2:$A$201,$AB127),IF($Z127="F","Generated from "&amp;INDEX(FTE_Allocation!$A$2:$A$201,$AB127),"")))</f>
        <v/>
      </c>
      <c r="X127" s="19">
        <f>IF($Z127="","",SUM(J127:U127))</f>
        <v/>
      </c>
      <c r="Y127" s="20">
        <f>ROW()-1</f>
        <v/>
      </c>
      <c r="Z127" s="20">
        <f>IF($Y127&lt;=Settings!$B$4*3,"C",IF($Y127&lt;=(Settings!$B$4+Settings!$B$5)*3,"A",IF($Y127&lt;=(Settings!$B$4+Settings!$B$5+Settings!$B$6)*3,"F","")))</f>
        <v/>
      </c>
      <c r="AA127" s="20">
        <f>IF($Z127="C",$Y127,IF($Z127="A",$Y127-Settings!$B$4*3,IF($Z127="F",$Y127-(Settings!$B$4+Settings!$B$5)*3,"")))</f>
        <v/>
      </c>
      <c r="AB127" s="20">
        <f>IF($Z127="","",INT(($AA127-1)/3)+1)</f>
        <v/>
      </c>
      <c r="AC127" s="20">
        <f>IF($Z127="","",MOD($AA127-1,3)+1)</f>
        <v/>
      </c>
      <c r="AD127" s="20">
        <f>IF($Z127="","",Settings!$B$2+$AC127-1)</f>
        <v/>
      </c>
      <c r="AE127" s="21">
        <f>IF($Z127="C",DATE(YEAR(INDEX(Contracts!$J$2:$J$151,$AB127)),MONTH(INDEX(Contracts!$J$2:$J$151,$AB127)),1),IF($Z127="A",DATE(YEAR(INDEX(Fixed_Assets!$G$2:$G$201,$AB127)),MONTH(INDEX(Fixed_Assets!$G$2:$G$201,$AB127)),1),IF($Z127="F",DATE(YEAR(MAX(N(INDEX(Workforce!$I$2:$I$151,MATCH(INDEX(FTE_Allocation!$A$2:$A$201,$AB127),Workforce!$A$2:$A$151,0))),N(INDEX(FTE_Allocation!$I$2:$I$201,$AB127)))),MONTH(MAX(N(INDEX(Workforce!$I$2:$I$151,MATCH(INDEX(FTE_Allocation!$A$2:$A$201,$AB127),Workforce!$A$2:$A$151,0))),N(INDEX(FTE_Allocation!$I$2:$I$201,$AB127)))),1),"")))</f>
        <v/>
      </c>
      <c r="AF127" s="21">
        <f>IF($Z127="C",IF(INDEX(Contracts!$I$2:$I$151,$AB127)="PREPAID",EDATE(DATE(YEAR(INDEX(Contracts!$J$2:$J$151,$AB127)),MONTH(INDEX(Contracts!$J$2:$J$151,$AB127)),1),IF(INDEX(Contracts!$N$2:$N$151,$AB127)="",12,INDEX(Contracts!$N$2:$N$151,$AB127))-1),IF(INDEX(Contracts!$I$2:$I$151,$AB127)="MONTHLY",IF(INDEX(Contracts!$K$2:$K$151,$AB127)="",2958101,INDEX(Contracts!$K$2:$K$151,$AB127)),0)),IF($Z127="A",EDATE(DATE(YEAR(INDEX(Fixed_Assets!$G$2:$G$201,$AB127)),MONTH(INDEX(Fixed_Assets!$G$2:$G$201,$AB127)),1),INDEX(Fixed_Assets!$J$2:$J$201,$AB127)-1),IF($Z127="F",MIN(IF(INDEX(Workforce!$J$2:$J$151,MATCH(INDEX(FTE_Allocation!$A$2:$A$201,$AB127),Workforce!$A$2:$A$151,0))="",2958101,INDEX(Workforce!$J$2:$J$151,MATCH(INDEX(FTE_Allocation!$A$2:$A$201,$AB127),Workforce!$A$2:$A$151,0))),IF(INDEX(FTE_Allocation!$J$2:$J$201,$AB127)="",2958101,INDEX(FTE_Allocation!$J$2:$J$201,$AB127))),"")))</f>
        <v/>
      </c>
      <c r="AG127" s="19">
        <f>IF($Z127="C",IF(INDEX(Contracts!$I$2:$I$151,$AB127)="PREPAID",INDEX(Contracts!$M$2:$M$151,$AB127)/IF(INDEX(Contracts!$N$2:$N$151,$AB127)="",12,INDEX(Contracts!$N$2:$N$151,$AB127)),IF(INDEX(Contracts!$I$2:$I$151,$AB127)="MONTHLY",INDEX(Contracts!$M$2:$M$151,$AB127),0))*(1-N(INDEX(Contracts!$O$2:$O$151,$AB127))),IF($Z127="A",INDEX(Fixed_Assets!$H$2:$H$201,$AB127)/INDEX(Fixed_Assets!$J$2:$J$201,$AB127),IF($Z127="F",INDEX(Workforce!$F$2:$F$151,MATCH(INDEX(FTE_Allocation!$A$2:$A$201,$AB127),Workforce!$A$2:$A$151,0))*N(INDEX(FTE_Allocation!$F$2:$H$201,$AB127,$AC127)),"")))</f>
        <v/>
      </c>
    </row>
    <row r="128">
      <c r="A128" s="7">
        <f>IF($Z128="","",$AD128)</f>
        <v/>
      </c>
      <c r="B128" s="7">
        <f>IF($Z128="C",INDEX(Contracts!$D$2:$D$151,$AB128)&amp;"",IF($Z128="A",INDEX(Fixed_Assets!$C$2:$C$201,$AB128)&amp;"",IF($Z128="F",INDEX(Workforce!$B$2:$B$151,MATCH(INDEX(FTE_Allocation!$A$2:$A$201,$AB128),Workforce!$A$2:$A$151,0))&amp;"","")))</f>
        <v/>
      </c>
      <c r="C128" s="7">
        <f>IF($Z128="C",INDEX(Contracts!$E$2:$E$151,$AB128)&amp;"",IF($Z128="A",INDEX(Fixed_Assets!$D$2:$D$201,$AB128)&amp;"",IF($Z128="F",INDEX(FTE_Allocation!$C$2:$C$201,$AB128)&amp;"","")))</f>
        <v/>
      </c>
      <c r="D128" s="7">
        <f>IF($Z128="C",INDEX(Contracts!$B$2:$B$151,$AB128)&amp;"",IF($Z128="A",INDEX(Fixed_Assets!$B$2:$B$201,$AB128)&amp;"",IF($Z128="F",INDEX(FTE_Allocation!$B$2:$B$201,$AB128)&amp;"","")))</f>
        <v/>
      </c>
      <c r="E128" s="7">
        <f>IF($Z128="C",INDEX(Contracts!$P$2:$P$151,$AB128)&amp;"",IF($Z128="A",INDEX(Fixed_Assets!$K$2:$K$201,$AB128)&amp;"",IF($Z128="F",IF(INDEX(FTE_Allocation!$D$2:$D$201,$AB128)="PROJECT",IFERROR(INDEX(Projects!$D:$D,MATCH(INDEX(FTE_Allocation!$E$2:$E$201,$AB128),Projects!$A:$A,0))&amp;"","#PROJECT?"),INDEX(FTE_Allocation!$E$2:$E$201,$AB128)&amp;""),"")))</f>
        <v/>
      </c>
      <c r="F128" s="7">
        <f>IF($Z128="C",INDEX(Contracts!$Q$2:$Q$151,$AB128)&amp;"",IF($Z128="A",INDEX(Fixed_Assets!$L$2:$L$201,$AB128)&amp;"",IF($Z128="F",INDEX(Workforce!$K$2:$K$151,MATCH(INDEX(FTE_Allocation!$A$2:$A$201,$AB128),Workforce!$A$2:$A$151,0))&amp;"","")))</f>
        <v/>
      </c>
      <c r="G128" s="7">
        <f>IF($Z128="C",INDEX(Contracts!$F$2:$F$151,$AB128)&amp;" / "&amp;INDEX(Contracts!$G$2:$G$151,$AB128),IF($Z128="A",INDEX(Fixed_Assets!$E$2:$E$201,$AB128)&amp;"",IF($Z128="F","Personnel "&amp;INDEX(FTE_Allocation!$A$2:$A$201,$AB128)&amp;IF(INDEX(FTE_Allocation!$D$2:$D$201,$AB128)="PROJECT"," ("&amp;INDEX(FTE_Allocation!$E$2:$E$201,$AB128)&amp;")",""),"")))</f>
        <v/>
      </c>
      <c r="H128" s="7">
        <f>IF($Z128="C","CONTRACT",IF($Z128="A","ASSET",IF($Z128="F","WORKFORCE","")))</f>
        <v/>
      </c>
      <c r="I128" s="7">
        <f>IF($Z128="C",INDEX(Contracts!$L$2:$L$151,$AB128)&amp;"",IF($Z128="A",INDEX(Fixed_Assets!$I$2:$I$201,$AB128)&amp;"",IF($Z128="F",INDEX(Workforce!$G$2:$G$151,MATCH(INDEX(FTE_Allocation!$A$2:$A$201,$AB128),Workforce!$A$2:$A$151,0))&amp;"","")))</f>
        <v/>
      </c>
      <c r="J128" s="18">
        <f>IF($Z128="","",IF(AND(DATE($AD128,1,1)&gt;=$AE128,DATE($AD128,1,1)&lt;=$AF128),ROUND($AG128,2),0))</f>
        <v/>
      </c>
      <c r="K128" s="18">
        <f>IF($Z128="","",IF(AND(DATE($AD128,2,1)&gt;=$AE128,DATE($AD128,2,1)&lt;=$AF128),ROUND($AG128,2),0))</f>
        <v/>
      </c>
      <c r="L128" s="18">
        <f>IF($Z128="","",IF(AND(DATE($AD128,3,1)&gt;=$AE128,DATE($AD128,3,1)&lt;=$AF128),ROUND($AG128,2),0))</f>
        <v/>
      </c>
      <c r="M128" s="18">
        <f>IF($Z128="","",IF(AND(DATE($AD128,4,1)&gt;=$AE128,DATE($AD128,4,1)&lt;=$AF128),ROUND($AG128,2),0))</f>
        <v/>
      </c>
      <c r="N128" s="18">
        <f>IF($Z128="","",IF(AND(DATE($AD128,5,1)&gt;=$AE128,DATE($AD128,5,1)&lt;=$AF128),ROUND($AG128,2),0))</f>
        <v/>
      </c>
      <c r="O128" s="18">
        <f>IF($Z128="","",IF(AND(DATE($AD128,6,1)&gt;=$AE128,DATE($AD128,6,1)&lt;=$AF128),ROUND($AG128,2),0))</f>
        <v/>
      </c>
      <c r="P128" s="18">
        <f>IF($Z128="","",IF(AND(DATE($AD128,7,1)&gt;=$AE128,DATE($AD128,7,1)&lt;=$AF128),ROUND($AG128,2),0))</f>
        <v/>
      </c>
      <c r="Q128" s="18">
        <f>IF($Z128="","",IF(AND(DATE($AD128,8,1)&gt;=$AE128,DATE($AD128,8,1)&lt;=$AF128),ROUND($AG128,2),0))</f>
        <v/>
      </c>
      <c r="R128" s="18">
        <f>IF($Z128="","",IF(AND(DATE($AD128,9,1)&gt;=$AE128,DATE($AD128,9,1)&lt;=$AF128),ROUND($AG128,2),0))</f>
        <v/>
      </c>
      <c r="S128" s="18">
        <f>IF($Z128="","",IF(AND(DATE($AD128,10,1)&gt;=$AE128,DATE($AD128,10,1)&lt;=$AF128),ROUND($AG128,2),0))</f>
        <v/>
      </c>
      <c r="T128" s="18">
        <f>IF($Z128="","",IF(AND(DATE($AD128,11,1)&gt;=$AE128,DATE($AD128,11,1)&lt;=$AF128),ROUND($AG128,2),0))</f>
        <v/>
      </c>
      <c r="U128" s="18">
        <f>IF($Z128="","",IF(AND(DATE($AD128,12,1)&gt;=$AE128,DATE($AD128,12,1)&lt;=$AF128),ROUND($AG128,2),0))</f>
        <v/>
      </c>
      <c r="V128" s="7">
        <f>IF($Z128="C","Generated from "&amp;INDEX(Contracts!$A$2:$A$151,$AB128),IF($Z128="A","Generated from "&amp;INDEX(Fixed_Assets!$A$2:$A$201,$AB128),IF($Z128="F","Generated from "&amp;INDEX(FTE_Allocation!$A$2:$A$201,$AB128),"")))</f>
        <v/>
      </c>
      <c r="X128" s="19">
        <f>IF($Z128="","",SUM(J128:U128))</f>
        <v/>
      </c>
      <c r="Y128" s="20">
        <f>ROW()-1</f>
        <v/>
      </c>
      <c r="Z128" s="20">
        <f>IF($Y128&lt;=Settings!$B$4*3,"C",IF($Y128&lt;=(Settings!$B$4+Settings!$B$5)*3,"A",IF($Y128&lt;=(Settings!$B$4+Settings!$B$5+Settings!$B$6)*3,"F","")))</f>
        <v/>
      </c>
      <c r="AA128" s="20">
        <f>IF($Z128="C",$Y128,IF($Z128="A",$Y128-Settings!$B$4*3,IF($Z128="F",$Y128-(Settings!$B$4+Settings!$B$5)*3,"")))</f>
        <v/>
      </c>
      <c r="AB128" s="20">
        <f>IF($Z128="","",INT(($AA128-1)/3)+1)</f>
        <v/>
      </c>
      <c r="AC128" s="20">
        <f>IF($Z128="","",MOD($AA128-1,3)+1)</f>
        <v/>
      </c>
      <c r="AD128" s="20">
        <f>IF($Z128="","",Settings!$B$2+$AC128-1)</f>
        <v/>
      </c>
      <c r="AE128" s="21">
        <f>IF($Z128="C",DATE(YEAR(INDEX(Contracts!$J$2:$J$151,$AB128)),MONTH(INDEX(Contracts!$J$2:$J$151,$AB128)),1),IF($Z128="A",DATE(YEAR(INDEX(Fixed_Assets!$G$2:$G$201,$AB128)),MONTH(INDEX(Fixed_Assets!$G$2:$G$201,$AB128)),1),IF($Z128="F",DATE(YEAR(MAX(N(INDEX(Workforce!$I$2:$I$151,MATCH(INDEX(FTE_Allocation!$A$2:$A$201,$AB128),Workforce!$A$2:$A$151,0))),N(INDEX(FTE_Allocation!$I$2:$I$201,$AB128)))),MONTH(MAX(N(INDEX(Workforce!$I$2:$I$151,MATCH(INDEX(FTE_Allocation!$A$2:$A$201,$AB128),Workforce!$A$2:$A$151,0))),N(INDEX(FTE_Allocation!$I$2:$I$201,$AB128)))),1),"")))</f>
        <v/>
      </c>
      <c r="AF128" s="21">
        <f>IF($Z128="C",IF(INDEX(Contracts!$I$2:$I$151,$AB128)="PREPAID",EDATE(DATE(YEAR(INDEX(Contracts!$J$2:$J$151,$AB128)),MONTH(INDEX(Contracts!$J$2:$J$151,$AB128)),1),IF(INDEX(Contracts!$N$2:$N$151,$AB128)="",12,INDEX(Contracts!$N$2:$N$151,$AB128))-1),IF(INDEX(Contracts!$I$2:$I$151,$AB128)="MONTHLY",IF(INDEX(Contracts!$K$2:$K$151,$AB128)="",2958101,INDEX(Contracts!$K$2:$K$151,$AB128)),0)),IF($Z128="A",EDATE(DATE(YEAR(INDEX(Fixed_Assets!$G$2:$G$201,$AB128)),MONTH(INDEX(Fixed_Assets!$G$2:$G$201,$AB128)),1),INDEX(Fixed_Assets!$J$2:$J$201,$AB128)-1),IF($Z128="F",MIN(IF(INDEX(Workforce!$J$2:$J$151,MATCH(INDEX(FTE_Allocation!$A$2:$A$201,$AB128),Workforce!$A$2:$A$151,0))="",2958101,INDEX(Workforce!$J$2:$J$151,MATCH(INDEX(FTE_Allocation!$A$2:$A$201,$AB128),Workforce!$A$2:$A$151,0))),IF(INDEX(FTE_Allocation!$J$2:$J$201,$AB128)="",2958101,INDEX(FTE_Allocation!$J$2:$J$201,$AB128))),"")))</f>
        <v/>
      </c>
      <c r="AG128" s="19">
        <f>IF($Z128="C",IF(INDEX(Contracts!$I$2:$I$151,$AB128)="PREPAID",INDEX(Contracts!$M$2:$M$151,$AB128)/IF(INDEX(Contracts!$N$2:$N$151,$AB128)="",12,INDEX(Contracts!$N$2:$N$151,$AB128)),IF(INDEX(Contracts!$I$2:$I$151,$AB128)="MONTHLY",INDEX(Contracts!$M$2:$M$151,$AB128),0))*(1-N(INDEX(Contracts!$O$2:$O$151,$AB128))),IF($Z128="A",INDEX(Fixed_Assets!$H$2:$H$201,$AB128)/INDEX(Fixed_Assets!$J$2:$J$201,$AB128),IF($Z128="F",INDEX(Workforce!$F$2:$F$151,MATCH(INDEX(FTE_Allocation!$A$2:$A$201,$AB128),Workforce!$A$2:$A$151,0))*N(INDEX(FTE_Allocation!$F$2:$H$201,$AB128,$AC128)),"")))</f>
        <v/>
      </c>
    </row>
    <row r="129">
      <c r="A129" s="7">
        <f>IF($Z129="","",$AD129)</f>
        <v/>
      </c>
      <c r="B129" s="7">
        <f>IF($Z129="C",INDEX(Contracts!$D$2:$D$151,$AB129)&amp;"",IF($Z129="A",INDEX(Fixed_Assets!$C$2:$C$201,$AB129)&amp;"",IF($Z129="F",INDEX(Workforce!$B$2:$B$151,MATCH(INDEX(FTE_Allocation!$A$2:$A$201,$AB129),Workforce!$A$2:$A$151,0))&amp;"","")))</f>
        <v/>
      </c>
      <c r="C129" s="7">
        <f>IF($Z129="C",INDEX(Contracts!$E$2:$E$151,$AB129)&amp;"",IF($Z129="A",INDEX(Fixed_Assets!$D$2:$D$201,$AB129)&amp;"",IF($Z129="F",INDEX(FTE_Allocation!$C$2:$C$201,$AB129)&amp;"","")))</f>
        <v/>
      </c>
      <c r="D129" s="7">
        <f>IF($Z129="C",INDEX(Contracts!$B$2:$B$151,$AB129)&amp;"",IF($Z129="A",INDEX(Fixed_Assets!$B$2:$B$201,$AB129)&amp;"",IF($Z129="F",INDEX(FTE_Allocation!$B$2:$B$201,$AB129)&amp;"","")))</f>
        <v/>
      </c>
      <c r="E129" s="7">
        <f>IF($Z129="C",INDEX(Contracts!$P$2:$P$151,$AB129)&amp;"",IF($Z129="A",INDEX(Fixed_Assets!$K$2:$K$201,$AB129)&amp;"",IF($Z129="F",IF(INDEX(FTE_Allocation!$D$2:$D$201,$AB129)="PROJECT",IFERROR(INDEX(Projects!$D:$D,MATCH(INDEX(FTE_Allocation!$E$2:$E$201,$AB129),Projects!$A:$A,0))&amp;"","#PROJECT?"),INDEX(FTE_Allocation!$E$2:$E$201,$AB129)&amp;""),"")))</f>
        <v/>
      </c>
      <c r="F129" s="7">
        <f>IF($Z129="C",INDEX(Contracts!$Q$2:$Q$151,$AB129)&amp;"",IF($Z129="A",INDEX(Fixed_Assets!$L$2:$L$201,$AB129)&amp;"",IF($Z129="F",INDEX(Workforce!$K$2:$K$151,MATCH(INDEX(FTE_Allocation!$A$2:$A$201,$AB129),Workforce!$A$2:$A$151,0))&amp;"","")))</f>
        <v/>
      </c>
      <c r="G129" s="7">
        <f>IF($Z129="C",INDEX(Contracts!$F$2:$F$151,$AB129)&amp;" / "&amp;INDEX(Contracts!$G$2:$G$151,$AB129),IF($Z129="A",INDEX(Fixed_Assets!$E$2:$E$201,$AB129)&amp;"",IF($Z129="F","Personnel "&amp;INDEX(FTE_Allocation!$A$2:$A$201,$AB129)&amp;IF(INDEX(FTE_Allocation!$D$2:$D$201,$AB129)="PROJECT"," ("&amp;INDEX(FTE_Allocation!$E$2:$E$201,$AB129)&amp;")",""),"")))</f>
        <v/>
      </c>
      <c r="H129" s="7">
        <f>IF($Z129="C","CONTRACT",IF($Z129="A","ASSET",IF($Z129="F","WORKFORCE","")))</f>
        <v/>
      </c>
      <c r="I129" s="7">
        <f>IF($Z129="C",INDEX(Contracts!$L$2:$L$151,$AB129)&amp;"",IF($Z129="A",INDEX(Fixed_Assets!$I$2:$I$201,$AB129)&amp;"",IF($Z129="F",INDEX(Workforce!$G$2:$G$151,MATCH(INDEX(FTE_Allocation!$A$2:$A$201,$AB129),Workforce!$A$2:$A$151,0))&amp;"","")))</f>
        <v/>
      </c>
      <c r="J129" s="18">
        <f>IF($Z129="","",IF(AND(DATE($AD129,1,1)&gt;=$AE129,DATE($AD129,1,1)&lt;=$AF129),ROUND($AG129,2),0))</f>
        <v/>
      </c>
      <c r="K129" s="18">
        <f>IF($Z129="","",IF(AND(DATE($AD129,2,1)&gt;=$AE129,DATE($AD129,2,1)&lt;=$AF129),ROUND($AG129,2),0))</f>
        <v/>
      </c>
      <c r="L129" s="18">
        <f>IF($Z129="","",IF(AND(DATE($AD129,3,1)&gt;=$AE129,DATE($AD129,3,1)&lt;=$AF129),ROUND($AG129,2),0))</f>
        <v/>
      </c>
      <c r="M129" s="18">
        <f>IF($Z129="","",IF(AND(DATE($AD129,4,1)&gt;=$AE129,DATE($AD129,4,1)&lt;=$AF129),ROUND($AG129,2),0))</f>
        <v/>
      </c>
      <c r="N129" s="18">
        <f>IF($Z129="","",IF(AND(DATE($AD129,5,1)&gt;=$AE129,DATE($AD129,5,1)&lt;=$AF129),ROUND($AG129,2),0))</f>
        <v/>
      </c>
      <c r="O129" s="18">
        <f>IF($Z129="","",IF(AND(DATE($AD129,6,1)&gt;=$AE129,DATE($AD129,6,1)&lt;=$AF129),ROUND($AG129,2),0))</f>
        <v/>
      </c>
      <c r="P129" s="18">
        <f>IF($Z129="","",IF(AND(DATE($AD129,7,1)&gt;=$AE129,DATE($AD129,7,1)&lt;=$AF129),ROUND($AG129,2),0))</f>
        <v/>
      </c>
      <c r="Q129" s="18">
        <f>IF($Z129="","",IF(AND(DATE($AD129,8,1)&gt;=$AE129,DATE($AD129,8,1)&lt;=$AF129),ROUND($AG129,2),0))</f>
        <v/>
      </c>
      <c r="R129" s="18">
        <f>IF($Z129="","",IF(AND(DATE($AD129,9,1)&gt;=$AE129,DATE($AD129,9,1)&lt;=$AF129),ROUND($AG129,2),0))</f>
        <v/>
      </c>
      <c r="S129" s="18">
        <f>IF($Z129="","",IF(AND(DATE($AD129,10,1)&gt;=$AE129,DATE($AD129,10,1)&lt;=$AF129),ROUND($AG129,2),0))</f>
        <v/>
      </c>
      <c r="T129" s="18">
        <f>IF($Z129="","",IF(AND(DATE($AD129,11,1)&gt;=$AE129,DATE($AD129,11,1)&lt;=$AF129),ROUND($AG129,2),0))</f>
        <v/>
      </c>
      <c r="U129" s="18">
        <f>IF($Z129="","",IF(AND(DATE($AD129,12,1)&gt;=$AE129,DATE($AD129,12,1)&lt;=$AF129),ROUND($AG129,2),0))</f>
        <v/>
      </c>
      <c r="V129" s="7">
        <f>IF($Z129="C","Generated from "&amp;INDEX(Contracts!$A$2:$A$151,$AB129),IF($Z129="A","Generated from "&amp;INDEX(Fixed_Assets!$A$2:$A$201,$AB129),IF($Z129="F","Generated from "&amp;INDEX(FTE_Allocation!$A$2:$A$201,$AB129),"")))</f>
        <v/>
      </c>
      <c r="X129" s="19">
        <f>IF($Z129="","",SUM(J129:U129))</f>
        <v/>
      </c>
      <c r="Y129" s="20">
        <f>ROW()-1</f>
        <v/>
      </c>
      <c r="Z129" s="20">
        <f>IF($Y129&lt;=Settings!$B$4*3,"C",IF($Y129&lt;=(Settings!$B$4+Settings!$B$5)*3,"A",IF($Y129&lt;=(Settings!$B$4+Settings!$B$5+Settings!$B$6)*3,"F","")))</f>
        <v/>
      </c>
      <c r="AA129" s="20">
        <f>IF($Z129="C",$Y129,IF($Z129="A",$Y129-Settings!$B$4*3,IF($Z129="F",$Y129-(Settings!$B$4+Settings!$B$5)*3,"")))</f>
        <v/>
      </c>
      <c r="AB129" s="20">
        <f>IF($Z129="","",INT(($AA129-1)/3)+1)</f>
        <v/>
      </c>
      <c r="AC129" s="20">
        <f>IF($Z129="","",MOD($AA129-1,3)+1)</f>
        <v/>
      </c>
      <c r="AD129" s="20">
        <f>IF($Z129="","",Settings!$B$2+$AC129-1)</f>
        <v/>
      </c>
      <c r="AE129" s="21">
        <f>IF($Z129="C",DATE(YEAR(INDEX(Contracts!$J$2:$J$151,$AB129)),MONTH(INDEX(Contracts!$J$2:$J$151,$AB129)),1),IF($Z129="A",DATE(YEAR(INDEX(Fixed_Assets!$G$2:$G$201,$AB129)),MONTH(INDEX(Fixed_Assets!$G$2:$G$201,$AB129)),1),IF($Z129="F",DATE(YEAR(MAX(N(INDEX(Workforce!$I$2:$I$151,MATCH(INDEX(FTE_Allocation!$A$2:$A$201,$AB129),Workforce!$A$2:$A$151,0))),N(INDEX(FTE_Allocation!$I$2:$I$201,$AB129)))),MONTH(MAX(N(INDEX(Workforce!$I$2:$I$151,MATCH(INDEX(FTE_Allocation!$A$2:$A$201,$AB129),Workforce!$A$2:$A$151,0))),N(INDEX(FTE_Allocation!$I$2:$I$201,$AB129)))),1),"")))</f>
        <v/>
      </c>
      <c r="AF129" s="21">
        <f>IF($Z129="C",IF(INDEX(Contracts!$I$2:$I$151,$AB129)="PREPAID",EDATE(DATE(YEAR(INDEX(Contracts!$J$2:$J$151,$AB129)),MONTH(INDEX(Contracts!$J$2:$J$151,$AB129)),1),IF(INDEX(Contracts!$N$2:$N$151,$AB129)="",12,INDEX(Contracts!$N$2:$N$151,$AB129))-1),IF(INDEX(Contracts!$I$2:$I$151,$AB129)="MONTHLY",IF(INDEX(Contracts!$K$2:$K$151,$AB129)="",2958101,INDEX(Contracts!$K$2:$K$151,$AB129)),0)),IF($Z129="A",EDATE(DATE(YEAR(INDEX(Fixed_Assets!$G$2:$G$201,$AB129)),MONTH(INDEX(Fixed_Assets!$G$2:$G$201,$AB129)),1),INDEX(Fixed_Assets!$J$2:$J$201,$AB129)-1),IF($Z129="F",MIN(IF(INDEX(Workforce!$J$2:$J$151,MATCH(INDEX(FTE_Allocation!$A$2:$A$201,$AB129),Workforce!$A$2:$A$151,0))="",2958101,INDEX(Workforce!$J$2:$J$151,MATCH(INDEX(FTE_Allocation!$A$2:$A$201,$AB129),Workforce!$A$2:$A$151,0))),IF(INDEX(FTE_Allocation!$J$2:$J$201,$AB129)="",2958101,INDEX(FTE_Allocation!$J$2:$J$201,$AB129))),"")))</f>
        <v/>
      </c>
      <c r="AG129" s="19">
        <f>IF($Z129="C",IF(INDEX(Contracts!$I$2:$I$151,$AB129)="PREPAID",INDEX(Contracts!$M$2:$M$151,$AB129)/IF(INDEX(Contracts!$N$2:$N$151,$AB129)="",12,INDEX(Contracts!$N$2:$N$151,$AB129)),IF(INDEX(Contracts!$I$2:$I$151,$AB129)="MONTHLY",INDEX(Contracts!$M$2:$M$151,$AB129),0))*(1-N(INDEX(Contracts!$O$2:$O$151,$AB129))),IF($Z129="A",INDEX(Fixed_Assets!$H$2:$H$201,$AB129)/INDEX(Fixed_Assets!$J$2:$J$201,$AB129),IF($Z129="F",INDEX(Workforce!$F$2:$F$151,MATCH(INDEX(FTE_Allocation!$A$2:$A$201,$AB129),Workforce!$A$2:$A$151,0))*N(INDEX(FTE_Allocation!$F$2:$H$201,$AB129,$AC129)),"")))</f>
        <v/>
      </c>
    </row>
    <row r="130">
      <c r="A130" s="7">
        <f>IF($Z130="","",$AD130)</f>
        <v/>
      </c>
      <c r="B130" s="7">
        <f>IF($Z130="C",INDEX(Contracts!$D$2:$D$151,$AB130)&amp;"",IF($Z130="A",INDEX(Fixed_Assets!$C$2:$C$201,$AB130)&amp;"",IF($Z130="F",INDEX(Workforce!$B$2:$B$151,MATCH(INDEX(FTE_Allocation!$A$2:$A$201,$AB130),Workforce!$A$2:$A$151,0))&amp;"","")))</f>
        <v/>
      </c>
      <c r="C130" s="7">
        <f>IF($Z130="C",INDEX(Contracts!$E$2:$E$151,$AB130)&amp;"",IF($Z130="A",INDEX(Fixed_Assets!$D$2:$D$201,$AB130)&amp;"",IF($Z130="F",INDEX(FTE_Allocation!$C$2:$C$201,$AB130)&amp;"","")))</f>
        <v/>
      </c>
      <c r="D130" s="7">
        <f>IF($Z130="C",INDEX(Contracts!$B$2:$B$151,$AB130)&amp;"",IF($Z130="A",INDEX(Fixed_Assets!$B$2:$B$201,$AB130)&amp;"",IF($Z130="F",INDEX(FTE_Allocation!$B$2:$B$201,$AB130)&amp;"","")))</f>
        <v/>
      </c>
      <c r="E130" s="7">
        <f>IF($Z130="C",INDEX(Contracts!$P$2:$P$151,$AB130)&amp;"",IF($Z130="A",INDEX(Fixed_Assets!$K$2:$K$201,$AB130)&amp;"",IF($Z130="F",IF(INDEX(FTE_Allocation!$D$2:$D$201,$AB130)="PROJECT",IFERROR(INDEX(Projects!$D:$D,MATCH(INDEX(FTE_Allocation!$E$2:$E$201,$AB130),Projects!$A:$A,0))&amp;"","#PROJECT?"),INDEX(FTE_Allocation!$E$2:$E$201,$AB130)&amp;""),"")))</f>
        <v/>
      </c>
      <c r="F130" s="7">
        <f>IF($Z130="C",INDEX(Contracts!$Q$2:$Q$151,$AB130)&amp;"",IF($Z130="A",INDEX(Fixed_Assets!$L$2:$L$201,$AB130)&amp;"",IF($Z130="F",INDEX(Workforce!$K$2:$K$151,MATCH(INDEX(FTE_Allocation!$A$2:$A$201,$AB130),Workforce!$A$2:$A$151,0))&amp;"","")))</f>
        <v/>
      </c>
      <c r="G130" s="7">
        <f>IF($Z130="C",INDEX(Contracts!$F$2:$F$151,$AB130)&amp;" / "&amp;INDEX(Contracts!$G$2:$G$151,$AB130),IF($Z130="A",INDEX(Fixed_Assets!$E$2:$E$201,$AB130)&amp;"",IF($Z130="F","Personnel "&amp;INDEX(FTE_Allocation!$A$2:$A$201,$AB130)&amp;IF(INDEX(FTE_Allocation!$D$2:$D$201,$AB130)="PROJECT"," ("&amp;INDEX(FTE_Allocation!$E$2:$E$201,$AB130)&amp;")",""),"")))</f>
        <v/>
      </c>
      <c r="H130" s="7">
        <f>IF($Z130="C","CONTRACT",IF($Z130="A","ASSET",IF($Z130="F","WORKFORCE","")))</f>
        <v/>
      </c>
      <c r="I130" s="7">
        <f>IF($Z130="C",INDEX(Contracts!$L$2:$L$151,$AB130)&amp;"",IF($Z130="A",INDEX(Fixed_Assets!$I$2:$I$201,$AB130)&amp;"",IF($Z130="F",INDEX(Workforce!$G$2:$G$151,MATCH(INDEX(FTE_Allocation!$A$2:$A$201,$AB130),Workforce!$A$2:$A$151,0))&amp;"","")))</f>
        <v/>
      </c>
      <c r="J130" s="18">
        <f>IF($Z130="","",IF(AND(DATE($AD130,1,1)&gt;=$AE130,DATE($AD130,1,1)&lt;=$AF130),ROUND($AG130,2),0))</f>
        <v/>
      </c>
      <c r="K130" s="18">
        <f>IF($Z130="","",IF(AND(DATE($AD130,2,1)&gt;=$AE130,DATE($AD130,2,1)&lt;=$AF130),ROUND($AG130,2),0))</f>
        <v/>
      </c>
      <c r="L130" s="18">
        <f>IF($Z130="","",IF(AND(DATE($AD130,3,1)&gt;=$AE130,DATE($AD130,3,1)&lt;=$AF130),ROUND($AG130,2),0))</f>
        <v/>
      </c>
      <c r="M130" s="18">
        <f>IF($Z130="","",IF(AND(DATE($AD130,4,1)&gt;=$AE130,DATE($AD130,4,1)&lt;=$AF130),ROUND($AG130,2),0))</f>
        <v/>
      </c>
      <c r="N130" s="18">
        <f>IF($Z130="","",IF(AND(DATE($AD130,5,1)&gt;=$AE130,DATE($AD130,5,1)&lt;=$AF130),ROUND($AG130,2),0))</f>
        <v/>
      </c>
      <c r="O130" s="18">
        <f>IF($Z130="","",IF(AND(DATE($AD130,6,1)&gt;=$AE130,DATE($AD130,6,1)&lt;=$AF130),ROUND($AG130,2),0))</f>
        <v/>
      </c>
      <c r="P130" s="18">
        <f>IF($Z130="","",IF(AND(DATE($AD130,7,1)&gt;=$AE130,DATE($AD130,7,1)&lt;=$AF130),ROUND($AG130,2),0))</f>
        <v/>
      </c>
      <c r="Q130" s="18">
        <f>IF($Z130="","",IF(AND(DATE($AD130,8,1)&gt;=$AE130,DATE($AD130,8,1)&lt;=$AF130),ROUND($AG130,2),0))</f>
        <v/>
      </c>
      <c r="R130" s="18">
        <f>IF($Z130="","",IF(AND(DATE($AD130,9,1)&gt;=$AE130,DATE($AD130,9,1)&lt;=$AF130),ROUND($AG130,2),0))</f>
        <v/>
      </c>
      <c r="S130" s="18">
        <f>IF($Z130="","",IF(AND(DATE($AD130,10,1)&gt;=$AE130,DATE($AD130,10,1)&lt;=$AF130),ROUND($AG130,2),0))</f>
        <v/>
      </c>
      <c r="T130" s="18">
        <f>IF($Z130="","",IF(AND(DATE($AD130,11,1)&gt;=$AE130,DATE($AD130,11,1)&lt;=$AF130),ROUND($AG130,2),0))</f>
        <v/>
      </c>
      <c r="U130" s="18">
        <f>IF($Z130="","",IF(AND(DATE($AD130,12,1)&gt;=$AE130,DATE($AD130,12,1)&lt;=$AF130),ROUND($AG130,2),0))</f>
        <v/>
      </c>
      <c r="V130" s="7">
        <f>IF($Z130="C","Generated from "&amp;INDEX(Contracts!$A$2:$A$151,$AB130),IF($Z130="A","Generated from "&amp;INDEX(Fixed_Assets!$A$2:$A$201,$AB130),IF($Z130="F","Generated from "&amp;INDEX(FTE_Allocation!$A$2:$A$201,$AB130),"")))</f>
        <v/>
      </c>
      <c r="X130" s="19">
        <f>IF($Z130="","",SUM(J130:U130))</f>
        <v/>
      </c>
      <c r="Y130" s="20">
        <f>ROW()-1</f>
        <v/>
      </c>
      <c r="Z130" s="20">
        <f>IF($Y130&lt;=Settings!$B$4*3,"C",IF($Y130&lt;=(Settings!$B$4+Settings!$B$5)*3,"A",IF($Y130&lt;=(Settings!$B$4+Settings!$B$5+Settings!$B$6)*3,"F","")))</f>
        <v/>
      </c>
      <c r="AA130" s="20">
        <f>IF($Z130="C",$Y130,IF($Z130="A",$Y130-Settings!$B$4*3,IF($Z130="F",$Y130-(Settings!$B$4+Settings!$B$5)*3,"")))</f>
        <v/>
      </c>
      <c r="AB130" s="20">
        <f>IF($Z130="","",INT(($AA130-1)/3)+1)</f>
        <v/>
      </c>
      <c r="AC130" s="20">
        <f>IF($Z130="","",MOD($AA130-1,3)+1)</f>
        <v/>
      </c>
      <c r="AD130" s="20">
        <f>IF($Z130="","",Settings!$B$2+$AC130-1)</f>
        <v/>
      </c>
      <c r="AE130" s="21">
        <f>IF($Z130="C",DATE(YEAR(INDEX(Contracts!$J$2:$J$151,$AB130)),MONTH(INDEX(Contracts!$J$2:$J$151,$AB130)),1),IF($Z130="A",DATE(YEAR(INDEX(Fixed_Assets!$G$2:$G$201,$AB130)),MONTH(INDEX(Fixed_Assets!$G$2:$G$201,$AB130)),1),IF($Z130="F",DATE(YEAR(MAX(N(INDEX(Workforce!$I$2:$I$151,MATCH(INDEX(FTE_Allocation!$A$2:$A$201,$AB130),Workforce!$A$2:$A$151,0))),N(INDEX(FTE_Allocation!$I$2:$I$201,$AB130)))),MONTH(MAX(N(INDEX(Workforce!$I$2:$I$151,MATCH(INDEX(FTE_Allocation!$A$2:$A$201,$AB130),Workforce!$A$2:$A$151,0))),N(INDEX(FTE_Allocation!$I$2:$I$201,$AB130)))),1),"")))</f>
        <v/>
      </c>
      <c r="AF130" s="21">
        <f>IF($Z130="C",IF(INDEX(Contracts!$I$2:$I$151,$AB130)="PREPAID",EDATE(DATE(YEAR(INDEX(Contracts!$J$2:$J$151,$AB130)),MONTH(INDEX(Contracts!$J$2:$J$151,$AB130)),1),IF(INDEX(Contracts!$N$2:$N$151,$AB130)="",12,INDEX(Contracts!$N$2:$N$151,$AB130))-1),IF(INDEX(Contracts!$I$2:$I$151,$AB130)="MONTHLY",IF(INDEX(Contracts!$K$2:$K$151,$AB130)="",2958101,INDEX(Contracts!$K$2:$K$151,$AB130)),0)),IF($Z130="A",EDATE(DATE(YEAR(INDEX(Fixed_Assets!$G$2:$G$201,$AB130)),MONTH(INDEX(Fixed_Assets!$G$2:$G$201,$AB130)),1),INDEX(Fixed_Assets!$J$2:$J$201,$AB130)-1),IF($Z130="F",MIN(IF(INDEX(Workforce!$J$2:$J$151,MATCH(INDEX(FTE_Allocation!$A$2:$A$201,$AB130),Workforce!$A$2:$A$151,0))="",2958101,INDEX(Workforce!$J$2:$J$151,MATCH(INDEX(FTE_Allocation!$A$2:$A$201,$AB130),Workforce!$A$2:$A$151,0))),IF(INDEX(FTE_Allocation!$J$2:$J$201,$AB130)="",2958101,INDEX(FTE_Allocation!$J$2:$J$201,$AB130))),"")))</f>
        <v/>
      </c>
      <c r="AG130" s="19">
        <f>IF($Z130="C",IF(INDEX(Contracts!$I$2:$I$151,$AB130)="PREPAID",INDEX(Contracts!$M$2:$M$151,$AB130)/IF(INDEX(Contracts!$N$2:$N$151,$AB130)="",12,INDEX(Contracts!$N$2:$N$151,$AB130)),IF(INDEX(Contracts!$I$2:$I$151,$AB130)="MONTHLY",INDEX(Contracts!$M$2:$M$151,$AB130),0))*(1-N(INDEX(Contracts!$O$2:$O$151,$AB130))),IF($Z130="A",INDEX(Fixed_Assets!$H$2:$H$201,$AB130)/INDEX(Fixed_Assets!$J$2:$J$201,$AB130),IF($Z130="F",INDEX(Workforce!$F$2:$F$151,MATCH(INDEX(FTE_Allocation!$A$2:$A$201,$AB130),Workforce!$A$2:$A$151,0))*N(INDEX(FTE_Allocation!$F$2:$H$201,$AB130,$AC130)),"")))</f>
        <v/>
      </c>
    </row>
    <row r="131">
      <c r="A131" s="7">
        <f>IF($Z131="","",$AD131)</f>
        <v/>
      </c>
      <c r="B131" s="7">
        <f>IF($Z131="C",INDEX(Contracts!$D$2:$D$151,$AB131)&amp;"",IF($Z131="A",INDEX(Fixed_Assets!$C$2:$C$201,$AB131)&amp;"",IF($Z131="F",INDEX(Workforce!$B$2:$B$151,MATCH(INDEX(FTE_Allocation!$A$2:$A$201,$AB131),Workforce!$A$2:$A$151,0))&amp;"","")))</f>
        <v/>
      </c>
      <c r="C131" s="7">
        <f>IF($Z131="C",INDEX(Contracts!$E$2:$E$151,$AB131)&amp;"",IF($Z131="A",INDEX(Fixed_Assets!$D$2:$D$201,$AB131)&amp;"",IF($Z131="F",INDEX(FTE_Allocation!$C$2:$C$201,$AB131)&amp;"","")))</f>
        <v/>
      </c>
      <c r="D131" s="7">
        <f>IF($Z131="C",INDEX(Contracts!$B$2:$B$151,$AB131)&amp;"",IF($Z131="A",INDEX(Fixed_Assets!$B$2:$B$201,$AB131)&amp;"",IF($Z131="F",INDEX(FTE_Allocation!$B$2:$B$201,$AB131)&amp;"","")))</f>
        <v/>
      </c>
      <c r="E131" s="7">
        <f>IF($Z131="C",INDEX(Contracts!$P$2:$P$151,$AB131)&amp;"",IF($Z131="A",INDEX(Fixed_Assets!$K$2:$K$201,$AB131)&amp;"",IF($Z131="F",IF(INDEX(FTE_Allocation!$D$2:$D$201,$AB131)="PROJECT",IFERROR(INDEX(Projects!$D:$D,MATCH(INDEX(FTE_Allocation!$E$2:$E$201,$AB131),Projects!$A:$A,0))&amp;"","#PROJECT?"),INDEX(FTE_Allocation!$E$2:$E$201,$AB131)&amp;""),"")))</f>
        <v/>
      </c>
      <c r="F131" s="7">
        <f>IF($Z131="C",INDEX(Contracts!$Q$2:$Q$151,$AB131)&amp;"",IF($Z131="A",INDEX(Fixed_Assets!$L$2:$L$201,$AB131)&amp;"",IF($Z131="F",INDEX(Workforce!$K$2:$K$151,MATCH(INDEX(FTE_Allocation!$A$2:$A$201,$AB131),Workforce!$A$2:$A$151,0))&amp;"","")))</f>
        <v/>
      </c>
      <c r="G131" s="7">
        <f>IF($Z131="C",INDEX(Contracts!$F$2:$F$151,$AB131)&amp;" / "&amp;INDEX(Contracts!$G$2:$G$151,$AB131),IF($Z131="A",INDEX(Fixed_Assets!$E$2:$E$201,$AB131)&amp;"",IF($Z131="F","Personnel "&amp;INDEX(FTE_Allocation!$A$2:$A$201,$AB131)&amp;IF(INDEX(FTE_Allocation!$D$2:$D$201,$AB131)="PROJECT"," ("&amp;INDEX(FTE_Allocation!$E$2:$E$201,$AB131)&amp;")",""),"")))</f>
        <v/>
      </c>
      <c r="H131" s="7">
        <f>IF($Z131="C","CONTRACT",IF($Z131="A","ASSET",IF($Z131="F","WORKFORCE","")))</f>
        <v/>
      </c>
      <c r="I131" s="7">
        <f>IF($Z131="C",INDEX(Contracts!$L$2:$L$151,$AB131)&amp;"",IF($Z131="A",INDEX(Fixed_Assets!$I$2:$I$201,$AB131)&amp;"",IF($Z131="F",INDEX(Workforce!$G$2:$G$151,MATCH(INDEX(FTE_Allocation!$A$2:$A$201,$AB131),Workforce!$A$2:$A$151,0))&amp;"","")))</f>
        <v/>
      </c>
      <c r="J131" s="18">
        <f>IF($Z131="","",IF(AND(DATE($AD131,1,1)&gt;=$AE131,DATE($AD131,1,1)&lt;=$AF131),ROUND($AG131,2),0))</f>
        <v/>
      </c>
      <c r="K131" s="18">
        <f>IF($Z131="","",IF(AND(DATE($AD131,2,1)&gt;=$AE131,DATE($AD131,2,1)&lt;=$AF131),ROUND($AG131,2),0))</f>
        <v/>
      </c>
      <c r="L131" s="18">
        <f>IF($Z131="","",IF(AND(DATE($AD131,3,1)&gt;=$AE131,DATE($AD131,3,1)&lt;=$AF131),ROUND($AG131,2),0))</f>
        <v/>
      </c>
      <c r="M131" s="18">
        <f>IF($Z131="","",IF(AND(DATE($AD131,4,1)&gt;=$AE131,DATE($AD131,4,1)&lt;=$AF131),ROUND($AG131,2),0))</f>
        <v/>
      </c>
      <c r="N131" s="18">
        <f>IF($Z131="","",IF(AND(DATE($AD131,5,1)&gt;=$AE131,DATE($AD131,5,1)&lt;=$AF131),ROUND($AG131,2),0))</f>
        <v/>
      </c>
      <c r="O131" s="18">
        <f>IF($Z131="","",IF(AND(DATE($AD131,6,1)&gt;=$AE131,DATE($AD131,6,1)&lt;=$AF131),ROUND($AG131,2),0))</f>
        <v/>
      </c>
      <c r="P131" s="18">
        <f>IF($Z131="","",IF(AND(DATE($AD131,7,1)&gt;=$AE131,DATE($AD131,7,1)&lt;=$AF131),ROUND($AG131,2),0))</f>
        <v/>
      </c>
      <c r="Q131" s="18">
        <f>IF($Z131="","",IF(AND(DATE($AD131,8,1)&gt;=$AE131,DATE($AD131,8,1)&lt;=$AF131),ROUND($AG131,2),0))</f>
        <v/>
      </c>
      <c r="R131" s="18">
        <f>IF($Z131="","",IF(AND(DATE($AD131,9,1)&gt;=$AE131,DATE($AD131,9,1)&lt;=$AF131),ROUND($AG131,2),0))</f>
        <v/>
      </c>
      <c r="S131" s="18">
        <f>IF($Z131="","",IF(AND(DATE($AD131,10,1)&gt;=$AE131,DATE($AD131,10,1)&lt;=$AF131),ROUND($AG131,2),0))</f>
        <v/>
      </c>
      <c r="T131" s="18">
        <f>IF($Z131="","",IF(AND(DATE($AD131,11,1)&gt;=$AE131,DATE($AD131,11,1)&lt;=$AF131),ROUND($AG131,2),0))</f>
        <v/>
      </c>
      <c r="U131" s="18">
        <f>IF($Z131="","",IF(AND(DATE($AD131,12,1)&gt;=$AE131,DATE($AD131,12,1)&lt;=$AF131),ROUND($AG131,2),0))</f>
        <v/>
      </c>
      <c r="V131" s="7">
        <f>IF($Z131="C","Generated from "&amp;INDEX(Contracts!$A$2:$A$151,$AB131),IF($Z131="A","Generated from "&amp;INDEX(Fixed_Assets!$A$2:$A$201,$AB131),IF($Z131="F","Generated from "&amp;INDEX(FTE_Allocation!$A$2:$A$201,$AB131),"")))</f>
        <v/>
      </c>
      <c r="X131" s="19">
        <f>IF($Z131="","",SUM(J131:U131))</f>
        <v/>
      </c>
      <c r="Y131" s="20">
        <f>ROW()-1</f>
        <v/>
      </c>
      <c r="Z131" s="20">
        <f>IF($Y131&lt;=Settings!$B$4*3,"C",IF($Y131&lt;=(Settings!$B$4+Settings!$B$5)*3,"A",IF($Y131&lt;=(Settings!$B$4+Settings!$B$5+Settings!$B$6)*3,"F","")))</f>
        <v/>
      </c>
      <c r="AA131" s="20">
        <f>IF($Z131="C",$Y131,IF($Z131="A",$Y131-Settings!$B$4*3,IF($Z131="F",$Y131-(Settings!$B$4+Settings!$B$5)*3,"")))</f>
        <v/>
      </c>
      <c r="AB131" s="20">
        <f>IF($Z131="","",INT(($AA131-1)/3)+1)</f>
        <v/>
      </c>
      <c r="AC131" s="20">
        <f>IF($Z131="","",MOD($AA131-1,3)+1)</f>
        <v/>
      </c>
      <c r="AD131" s="20">
        <f>IF($Z131="","",Settings!$B$2+$AC131-1)</f>
        <v/>
      </c>
      <c r="AE131" s="21">
        <f>IF($Z131="C",DATE(YEAR(INDEX(Contracts!$J$2:$J$151,$AB131)),MONTH(INDEX(Contracts!$J$2:$J$151,$AB131)),1),IF($Z131="A",DATE(YEAR(INDEX(Fixed_Assets!$G$2:$G$201,$AB131)),MONTH(INDEX(Fixed_Assets!$G$2:$G$201,$AB131)),1),IF($Z131="F",DATE(YEAR(MAX(N(INDEX(Workforce!$I$2:$I$151,MATCH(INDEX(FTE_Allocation!$A$2:$A$201,$AB131),Workforce!$A$2:$A$151,0))),N(INDEX(FTE_Allocation!$I$2:$I$201,$AB131)))),MONTH(MAX(N(INDEX(Workforce!$I$2:$I$151,MATCH(INDEX(FTE_Allocation!$A$2:$A$201,$AB131),Workforce!$A$2:$A$151,0))),N(INDEX(FTE_Allocation!$I$2:$I$201,$AB131)))),1),"")))</f>
        <v/>
      </c>
      <c r="AF131" s="21">
        <f>IF($Z131="C",IF(INDEX(Contracts!$I$2:$I$151,$AB131)="PREPAID",EDATE(DATE(YEAR(INDEX(Contracts!$J$2:$J$151,$AB131)),MONTH(INDEX(Contracts!$J$2:$J$151,$AB131)),1),IF(INDEX(Contracts!$N$2:$N$151,$AB131)="",12,INDEX(Contracts!$N$2:$N$151,$AB131))-1),IF(INDEX(Contracts!$I$2:$I$151,$AB131)="MONTHLY",IF(INDEX(Contracts!$K$2:$K$151,$AB131)="",2958101,INDEX(Contracts!$K$2:$K$151,$AB131)),0)),IF($Z131="A",EDATE(DATE(YEAR(INDEX(Fixed_Assets!$G$2:$G$201,$AB131)),MONTH(INDEX(Fixed_Assets!$G$2:$G$201,$AB131)),1),INDEX(Fixed_Assets!$J$2:$J$201,$AB131)-1),IF($Z131="F",MIN(IF(INDEX(Workforce!$J$2:$J$151,MATCH(INDEX(FTE_Allocation!$A$2:$A$201,$AB131),Workforce!$A$2:$A$151,0))="",2958101,INDEX(Workforce!$J$2:$J$151,MATCH(INDEX(FTE_Allocation!$A$2:$A$201,$AB131),Workforce!$A$2:$A$151,0))),IF(INDEX(FTE_Allocation!$J$2:$J$201,$AB131)="",2958101,INDEX(FTE_Allocation!$J$2:$J$201,$AB131))),"")))</f>
        <v/>
      </c>
      <c r="AG131" s="19">
        <f>IF($Z131="C",IF(INDEX(Contracts!$I$2:$I$151,$AB131)="PREPAID",INDEX(Contracts!$M$2:$M$151,$AB131)/IF(INDEX(Contracts!$N$2:$N$151,$AB131)="",12,INDEX(Contracts!$N$2:$N$151,$AB131)),IF(INDEX(Contracts!$I$2:$I$151,$AB131)="MONTHLY",INDEX(Contracts!$M$2:$M$151,$AB131),0))*(1-N(INDEX(Contracts!$O$2:$O$151,$AB131))),IF($Z131="A",INDEX(Fixed_Assets!$H$2:$H$201,$AB131)/INDEX(Fixed_Assets!$J$2:$J$201,$AB131),IF($Z131="F",INDEX(Workforce!$F$2:$F$151,MATCH(INDEX(FTE_Allocation!$A$2:$A$201,$AB131),Workforce!$A$2:$A$151,0))*N(INDEX(FTE_Allocation!$F$2:$H$201,$AB131,$AC131)),"")))</f>
        <v/>
      </c>
    </row>
    <row r="132">
      <c r="A132" s="7">
        <f>IF($Z132="","",$AD132)</f>
        <v/>
      </c>
      <c r="B132" s="7">
        <f>IF($Z132="C",INDEX(Contracts!$D$2:$D$151,$AB132)&amp;"",IF($Z132="A",INDEX(Fixed_Assets!$C$2:$C$201,$AB132)&amp;"",IF($Z132="F",INDEX(Workforce!$B$2:$B$151,MATCH(INDEX(FTE_Allocation!$A$2:$A$201,$AB132),Workforce!$A$2:$A$151,0))&amp;"","")))</f>
        <v/>
      </c>
      <c r="C132" s="7">
        <f>IF($Z132="C",INDEX(Contracts!$E$2:$E$151,$AB132)&amp;"",IF($Z132="A",INDEX(Fixed_Assets!$D$2:$D$201,$AB132)&amp;"",IF($Z132="F",INDEX(FTE_Allocation!$C$2:$C$201,$AB132)&amp;"","")))</f>
        <v/>
      </c>
      <c r="D132" s="7">
        <f>IF($Z132="C",INDEX(Contracts!$B$2:$B$151,$AB132)&amp;"",IF($Z132="A",INDEX(Fixed_Assets!$B$2:$B$201,$AB132)&amp;"",IF($Z132="F",INDEX(FTE_Allocation!$B$2:$B$201,$AB132)&amp;"","")))</f>
        <v/>
      </c>
      <c r="E132" s="7">
        <f>IF($Z132="C",INDEX(Contracts!$P$2:$P$151,$AB132)&amp;"",IF($Z132="A",INDEX(Fixed_Assets!$K$2:$K$201,$AB132)&amp;"",IF($Z132="F",IF(INDEX(FTE_Allocation!$D$2:$D$201,$AB132)="PROJECT",IFERROR(INDEX(Projects!$D:$D,MATCH(INDEX(FTE_Allocation!$E$2:$E$201,$AB132),Projects!$A:$A,0))&amp;"","#PROJECT?"),INDEX(FTE_Allocation!$E$2:$E$201,$AB132)&amp;""),"")))</f>
        <v/>
      </c>
      <c r="F132" s="7">
        <f>IF($Z132="C",INDEX(Contracts!$Q$2:$Q$151,$AB132)&amp;"",IF($Z132="A",INDEX(Fixed_Assets!$L$2:$L$201,$AB132)&amp;"",IF($Z132="F",INDEX(Workforce!$K$2:$K$151,MATCH(INDEX(FTE_Allocation!$A$2:$A$201,$AB132),Workforce!$A$2:$A$151,0))&amp;"","")))</f>
        <v/>
      </c>
      <c r="G132" s="7">
        <f>IF($Z132="C",INDEX(Contracts!$F$2:$F$151,$AB132)&amp;" / "&amp;INDEX(Contracts!$G$2:$G$151,$AB132),IF($Z132="A",INDEX(Fixed_Assets!$E$2:$E$201,$AB132)&amp;"",IF($Z132="F","Personnel "&amp;INDEX(FTE_Allocation!$A$2:$A$201,$AB132)&amp;IF(INDEX(FTE_Allocation!$D$2:$D$201,$AB132)="PROJECT"," ("&amp;INDEX(FTE_Allocation!$E$2:$E$201,$AB132)&amp;")",""),"")))</f>
        <v/>
      </c>
      <c r="H132" s="7">
        <f>IF($Z132="C","CONTRACT",IF($Z132="A","ASSET",IF($Z132="F","WORKFORCE","")))</f>
        <v/>
      </c>
      <c r="I132" s="7">
        <f>IF($Z132="C",INDEX(Contracts!$L$2:$L$151,$AB132)&amp;"",IF($Z132="A",INDEX(Fixed_Assets!$I$2:$I$201,$AB132)&amp;"",IF($Z132="F",INDEX(Workforce!$G$2:$G$151,MATCH(INDEX(FTE_Allocation!$A$2:$A$201,$AB132),Workforce!$A$2:$A$151,0))&amp;"","")))</f>
        <v/>
      </c>
      <c r="J132" s="18">
        <f>IF($Z132="","",IF(AND(DATE($AD132,1,1)&gt;=$AE132,DATE($AD132,1,1)&lt;=$AF132),ROUND($AG132,2),0))</f>
        <v/>
      </c>
      <c r="K132" s="18">
        <f>IF($Z132="","",IF(AND(DATE($AD132,2,1)&gt;=$AE132,DATE($AD132,2,1)&lt;=$AF132),ROUND($AG132,2),0))</f>
        <v/>
      </c>
      <c r="L132" s="18">
        <f>IF($Z132="","",IF(AND(DATE($AD132,3,1)&gt;=$AE132,DATE($AD132,3,1)&lt;=$AF132),ROUND($AG132,2),0))</f>
        <v/>
      </c>
      <c r="M132" s="18">
        <f>IF($Z132="","",IF(AND(DATE($AD132,4,1)&gt;=$AE132,DATE($AD132,4,1)&lt;=$AF132),ROUND($AG132,2),0))</f>
        <v/>
      </c>
      <c r="N132" s="18">
        <f>IF($Z132="","",IF(AND(DATE($AD132,5,1)&gt;=$AE132,DATE($AD132,5,1)&lt;=$AF132),ROUND($AG132,2),0))</f>
        <v/>
      </c>
      <c r="O132" s="18">
        <f>IF($Z132="","",IF(AND(DATE($AD132,6,1)&gt;=$AE132,DATE($AD132,6,1)&lt;=$AF132),ROUND($AG132,2),0))</f>
        <v/>
      </c>
      <c r="P132" s="18">
        <f>IF($Z132="","",IF(AND(DATE($AD132,7,1)&gt;=$AE132,DATE($AD132,7,1)&lt;=$AF132),ROUND($AG132,2),0))</f>
        <v/>
      </c>
      <c r="Q132" s="18">
        <f>IF($Z132="","",IF(AND(DATE($AD132,8,1)&gt;=$AE132,DATE($AD132,8,1)&lt;=$AF132),ROUND($AG132,2),0))</f>
        <v/>
      </c>
      <c r="R132" s="18">
        <f>IF($Z132="","",IF(AND(DATE($AD132,9,1)&gt;=$AE132,DATE($AD132,9,1)&lt;=$AF132),ROUND($AG132,2),0))</f>
        <v/>
      </c>
      <c r="S132" s="18">
        <f>IF($Z132="","",IF(AND(DATE($AD132,10,1)&gt;=$AE132,DATE($AD132,10,1)&lt;=$AF132),ROUND($AG132,2),0))</f>
        <v/>
      </c>
      <c r="T132" s="18">
        <f>IF($Z132="","",IF(AND(DATE($AD132,11,1)&gt;=$AE132,DATE($AD132,11,1)&lt;=$AF132),ROUND($AG132,2),0))</f>
        <v/>
      </c>
      <c r="U132" s="18">
        <f>IF($Z132="","",IF(AND(DATE($AD132,12,1)&gt;=$AE132,DATE($AD132,12,1)&lt;=$AF132),ROUND($AG132,2),0))</f>
        <v/>
      </c>
      <c r="V132" s="7">
        <f>IF($Z132="C","Generated from "&amp;INDEX(Contracts!$A$2:$A$151,$AB132),IF($Z132="A","Generated from "&amp;INDEX(Fixed_Assets!$A$2:$A$201,$AB132),IF($Z132="F","Generated from "&amp;INDEX(FTE_Allocation!$A$2:$A$201,$AB132),"")))</f>
        <v/>
      </c>
      <c r="X132" s="19">
        <f>IF($Z132="","",SUM(J132:U132))</f>
        <v/>
      </c>
      <c r="Y132" s="20">
        <f>ROW()-1</f>
        <v/>
      </c>
      <c r="Z132" s="20">
        <f>IF($Y132&lt;=Settings!$B$4*3,"C",IF($Y132&lt;=(Settings!$B$4+Settings!$B$5)*3,"A",IF($Y132&lt;=(Settings!$B$4+Settings!$B$5+Settings!$B$6)*3,"F","")))</f>
        <v/>
      </c>
      <c r="AA132" s="20">
        <f>IF($Z132="C",$Y132,IF($Z132="A",$Y132-Settings!$B$4*3,IF($Z132="F",$Y132-(Settings!$B$4+Settings!$B$5)*3,"")))</f>
        <v/>
      </c>
      <c r="AB132" s="20">
        <f>IF($Z132="","",INT(($AA132-1)/3)+1)</f>
        <v/>
      </c>
      <c r="AC132" s="20">
        <f>IF($Z132="","",MOD($AA132-1,3)+1)</f>
        <v/>
      </c>
      <c r="AD132" s="20">
        <f>IF($Z132="","",Settings!$B$2+$AC132-1)</f>
        <v/>
      </c>
      <c r="AE132" s="21">
        <f>IF($Z132="C",DATE(YEAR(INDEX(Contracts!$J$2:$J$151,$AB132)),MONTH(INDEX(Contracts!$J$2:$J$151,$AB132)),1),IF($Z132="A",DATE(YEAR(INDEX(Fixed_Assets!$G$2:$G$201,$AB132)),MONTH(INDEX(Fixed_Assets!$G$2:$G$201,$AB132)),1),IF($Z132="F",DATE(YEAR(MAX(N(INDEX(Workforce!$I$2:$I$151,MATCH(INDEX(FTE_Allocation!$A$2:$A$201,$AB132),Workforce!$A$2:$A$151,0))),N(INDEX(FTE_Allocation!$I$2:$I$201,$AB132)))),MONTH(MAX(N(INDEX(Workforce!$I$2:$I$151,MATCH(INDEX(FTE_Allocation!$A$2:$A$201,$AB132),Workforce!$A$2:$A$151,0))),N(INDEX(FTE_Allocation!$I$2:$I$201,$AB132)))),1),"")))</f>
        <v/>
      </c>
      <c r="AF132" s="21">
        <f>IF($Z132="C",IF(INDEX(Contracts!$I$2:$I$151,$AB132)="PREPAID",EDATE(DATE(YEAR(INDEX(Contracts!$J$2:$J$151,$AB132)),MONTH(INDEX(Contracts!$J$2:$J$151,$AB132)),1),IF(INDEX(Contracts!$N$2:$N$151,$AB132)="",12,INDEX(Contracts!$N$2:$N$151,$AB132))-1),IF(INDEX(Contracts!$I$2:$I$151,$AB132)="MONTHLY",IF(INDEX(Contracts!$K$2:$K$151,$AB132)="",2958101,INDEX(Contracts!$K$2:$K$151,$AB132)),0)),IF($Z132="A",EDATE(DATE(YEAR(INDEX(Fixed_Assets!$G$2:$G$201,$AB132)),MONTH(INDEX(Fixed_Assets!$G$2:$G$201,$AB132)),1),INDEX(Fixed_Assets!$J$2:$J$201,$AB132)-1),IF($Z132="F",MIN(IF(INDEX(Workforce!$J$2:$J$151,MATCH(INDEX(FTE_Allocation!$A$2:$A$201,$AB132),Workforce!$A$2:$A$151,0))="",2958101,INDEX(Workforce!$J$2:$J$151,MATCH(INDEX(FTE_Allocation!$A$2:$A$201,$AB132),Workforce!$A$2:$A$151,0))),IF(INDEX(FTE_Allocation!$J$2:$J$201,$AB132)="",2958101,INDEX(FTE_Allocation!$J$2:$J$201,$AB132))),"")))</f>
        <v/>
      </c>
      <c r="AG132" s="19">
        <f>IF($Z132="C",IF(INDEX(Contracts!$I$2:$I$151,$AB132)="PREPAID",INDEX(Contracts!$M$2:$M$151,$AB132)/IF(INDEX(Contracts!$N$2:$N$151,$AB132)="",12,INDEX(Contracts!$N$2:$N$151,$AB132)),IF(INDEX(Contracts!$I$2:$I$151,$AB132)="MONTHLY",INDEX(Contracts!$M$2:$M$151,$AB132),0))*(1-N(INDEX(Contracts!$O$2:$O$151,$AB132))),IF($Z132="A",INDEX(Fixed_Assets!$H$2:$H$201,$AB132)/INDEX(Fixed_Assets!$J$2:$J$201,$AB132),IF($Z132="F",INDEX(Workforce!$F$2:$F$151,MATCH(INDEX(FTE_Allocation!$A$2:$A$201,$AB132),Workforce!$A$2:$A$151,0))*N(INDEX(FTE_Allocation!$F$2:$H$201,$AB132,$AC132)),"")))</f>
        <v/>
      </c>
    </row>
    <row r="133">
      <c r="A133" s="7">
        <f>IF($Z133="","",$AD133)</f>
        <v/>
      </c>
      <c r="B133" s="7">
        <f>IF($Z133="C",INDEX(Contracts!$D$2:$D$151,$AB133)&amp;"",IF($Z133="A",INDEX(Fixed_Assets!$C$2:$C$201,$AB133)&amp;"",IF($Z133="F",INDEX(Workforce!$B$2:$B$151,MATCH(INDEX(FTE_Allocation!$A$2:$A$201,$AB133),Workforce!$A$2:$A$151,0))&amp;"","")))</f>
        <v/>
      </c>
      <c r="C133" s="7">
        <f>IF($Z133="C",INDEX(Contracts!$E$2:$E$151,$AB133)&amp;"",IF($Z133="A",INDEX(Fixed_Assets!$D$2:$D$201,$AB133)&amp;"",IF($Z133="F",INDEX(FTE_Allocation!$C$2:$C$201,$AB133)&amp;"","")))</f>
        <v/>
      </c>
      <c r="D133" s="7">
        <f>IF($Z133="C",INDEX(Contracts!$B$2:$B$151,$AB133)&amp;"",IF($Z133="A",INDEX(Fixed_Assets!$B$2:$B$201,$AB133)&amp;"",IF($Z133="F",INDEX(FTE_Allocation!$B$2:$B$201,$AB133)&amp;"","")))</f>
        <v/>
      </c>
      <c r="E133" s="7">
        <f>IF($Z133="C",INDEX(Contracts!$P$2:$P$151,$AB133)&amp;"",IF($Z133="A",INDEX(Fixed_Assets!$K$2:$K$201,$AB133)&amp;"",IF($Z133="F",IF(INDEX(FTE_Allocation!$D$2:$D$201,$AB133)="PROJECT",IFERROR(INDEX(Projects!$D:$D,MATCH(INDEX(FTE_Allocation!$E$2:$E$201,$AB133),Projects!$A:$A,0))&amp;"","#PROJECT?"),INDEX(FTE_Allocation!$E$2:$E$201,$AB133)&amp;""),"")))</f>
        <v/>
      </c>
      <c r="F133" s="7">
        <f>IF($Z133="C",INDEX(Contracts!$Q$2:$Q$151,$AB133)&amp;"",IF($Z133="A",INDEX(Fixed_Assets!$L$2:$L$201,$AB133)&amp;"",IF($Z133="F",INDEX(Workforce!$K$2:$K$151,MATCH(INDEX(FTE_Allocation!$A$2:$A$201,$AB133),Workforce!$A$2:$A$151,0))&amp;"","")))</f>
        <v/>
      </c>
      <c r="G133" s="7">
        <f>IF($Z133="C",INDEX(Contracts!$F$2:$F$151,$AB133)&amp;" / "&amp;INDEX(Contracts!$G$2:$G$151,$AB133),IF($Z133="A",INDEX(Fixed_Assets!$E$2:$E$201,$AB133)&amp;"",IF($Z133="F","Personnel "&amp;INDEX(FTE_Allocation!$A$2:$A$201,$AB133)&amp;IF(INDEX(FTE_Allocation!$D$2:$D$201,$AB133)="PROJECT"," ("&amp;INDEX(FTE_Allocation!$E$2:$E$201,$AB133)&amp;")",""),"")))</f>
        <v/>
      </c>
      <c r="H133" s="7">
        <f>IF($Z133="C","CONTRACT",IF($Z133="A","ASSET",IF($Z133="F","WORKFORCE","")))</f>
        <v/>
      </c>
      <c r="I133" s="7">
        <f>IF($Z133="C",INDEX(Contracts!$L$2:$L$151,$AB133)&amp;"",IF($Z133="A",INDEX(Fixed_Assets!$I$2:$I$201,$AB133)&amp;"",IF($Z133="F",INDEX(Workforce!$G$2:$G$151,MATCH(INDEX(FTE_Allocation!$A$2:$A$201,$AB133),Workforce!$A$2:$A$151,0))&amp;"","")))</f>
        <v/>
      </c>
      <c r="J133" s="18">
        <f>IF($Z133="","",IF(AND(DATE($AD133,1,1)&gt;=$AE133,DATE($AD133,1,1)&lt;=$AF133),ROUND($AG133,2),0))</f>
        <v/>
      </c>
      <c r="K133" s="18">
        <f>IF($Z133="","",IF(AND(DATE($AD133,2,1)&gt;=$AE133,DATE($AD133,2,1)&lt;=$AF133),ROUND($AG133,2),0))</f>
        <v/>
      </c>
      <c r="L133" s="18">
        <f>IF($Z133="","",IF(AND(DATE($AD133,3,1)&gt;=$AE133,DATE($AD133,3,1)&lt;=$AF133),ROUND($AG133,2),0))</f>
        <v/>
      </c>
      <c r="M133" s="18">
        <f>IF($Z133="","",IF(AND(DATE($AD133,4,1)&gt;=$AE133,DATE($AD133,4,1)&lt;=$AF133),ROUND($AG133,2),0))</f>
        <v/>
      </c>
      <c r="N133" s="18">
        <f>IF($Z133="","",IF(AND(DATE($AD133,5,1)&gt;=$AE133,DATE($AD133,5,1)&lt;=$AF133),ROUND($AG133,2),0))</f>
        <v/>
      </c>
      <c r="O133" s="18">
        <f>IF($Z133="","",IF(AND(DATE($AD133,6,1)&gt;=$AE133,DATE($AD133,6,1)&lt;=$AF133),ROUND($AG133,2),0))</f>
        <v/>
      </c>
      <c r="P133" s="18">
        <f>IF($Z133="","",IF(AND(DATE($AD133,7,1)&gt;=$AE133,DATE($AD133,7,1)&lt;=$AF133),ROUND($AG133,2),0))</f>
        <v/>
      </c>
      <c r="Q133" s="18">
        <f>IF($Z133="","",IF(AND(DATE($AD133,8,1)&gt;=$AE133,DATE($AD133,8,1)&lt;=$AF133),ROUND($AG133,2),0))</f>
        <v/>
      </c>
      <c r="R133" s="18">
        <f>IF($Z133="","",IF(AND(DATE($AD133,9,1)&gt;=$AE133,DATE($AD133,9,1)&lt;=$AF133),ROUND($AG133,2),0))</f>
        <v/>
      </c>
      <c r="S133" s="18">
        <f>IF($Z133="","",IF(AND(DATE($AD133,10,1)&gt;=$AE133,DATE($AD133,10,1)&lt;=$AF133),ROUND($AG133,2),0))</f>
        <v/>
      </c>
      <c r="T133" s="18">
        <f>IF($Z133="","",IF(AND(DATE($AD133,11,1)&gt;=$AE133,DATE($AD133,11,1)&lt;=$AF133),ROUND($AG133,2),0))</f>
        <v/>
      </c>
      <c r="U133" s="18">
        <f>IF($Z133="","",IF(AND(DATE($AD133,12,1)&gt;=$AE133,DATE($AD133,12,1)&lt;=$AF133),ROUND($AG133,2),0))</f>
        <v/>
      </c>
      <c r="V133" s="7">
        <f>IF($Z133="C","Generated from "&amp;INDEX(Contracts!$A$2:$A$151,$AB133),IF($Z133="A","Generated from "&amp;INDEX(Fixed_Assets!$A$2:$A$201,$AB133),IF($Z133="F","Generated from "&amp;INDEX(FTE_Allocation!$A$2:$A$201,$AB133),"")))</f>
        <v/>
      </c>
      <c r="X133" s="19">
        <f>IF($Z133="","",SUM(J133:U133))</f>
        <v/>
      </c>
      <c r="Y133" s="20">
        <f>ROW()-1</f>
        <v/>
      </c>
      <c r="Z133" s="20">
        <f>IF($Y133&lt;=Settings!$B$4*3,"C",IF($Y133&lt;=(Settings!$B$4+Settings!$B$5)*3,"A",IF($Y133&lt;=(Settings!$B$4+Settings!$B$5+Settings!$B$6)*3,"F","")))</f>
        <v/>
      </c>
      <c r="AA133" s="20">
        <f>IF($Z133="C",$Y133,IF($Z133="A",$Y133-Settings!$B$4*3,IF($Z133="F",$Y133-(Settings!$B$4+Settings!$B$5)*3,"")))</f>
        <v/>
      </c>
      <c r="AB133" s="20">
        <f>IF($Z133="","",INT(($AA133-1)/3)+1)</f>
        <v/>
      </c>
      <c r="AC133" s="20">
        <f>IF($Z133="","",MOD($AA133-1,3)+1)</f>
        <v/>
      </c>
      <c r="AD133" s="20">
        <f>IF($Z133="","",Settings!$B$2+$AC133-1)</f>
        <v/>
      </c>
      <c r="AE133" s="21">
        <f>IF($Z133="C",DATE(YEAR(INDEX(Contracts!$J$2:$J$151,$AB133)),MONTH(INDEX(Contracts!$J$2:$J$151,$AB133)),1),IF($Z133="A",DATE(YEAR(INDEX(Fixed_Assets!$G$2:$G$201,$AB133)),MONTH(INDEX(Fixed_Assets!$G$2:$G$201,$AB133)),1),IF($Z133="F",DATE(YEAR(MAX(N(INDEX(Workforce!$I$2:$I$151,MATCH(INDEX(FTE_Allocation!$A$2:$A$201,$AB133),Workforce!$A$2:$A$151,0))),N(INDEX(FTE_Allocation!$I$2:$I$201,$AB133)))),MONTH(MAX(N(INDEX(Workforce!$I$2:$I$151,MATCH(INDEX(FTE_Allocation!$A$2:$A$201,$AB133),Workforce!$A$2:$A$151,0))),N(INDEX(FTE_Allocation!$I$2:$I$201,$AB133)))),1),"")))</f>
        <v/>
      </c>
      <c r="AF133" s="21">
        <f>IF($Z133="C",IF(INDEX(Contracts!$I$2:$I$151,$AB133)="PREPAID",EDATE(DATE(YEAR(INDEX(Contracts!$J$2:$J$151,$AB133)),MONTH(INDEX(Contracts!$J$2:$J$151,$AB133)),1),IF(INDEX(Contracts!$N$2:$N$151,$AB133)="",12,INDEX(Contracts!$N$2:$N$151,$AB133))-1),IF(INDEX(Contracts!$I$2:$I$151,$AB133)="MONTHLY",IF(INDEX(Contracts!$K$2:$K$151,$AB133)="",2958101,INDEX(Contracts!$K$2:$K$151,$AB133)),0)),IF($Z133="A",EDATE(DATE(YEAR(INDEX(Fixed_Assets!$G$2:$G$201,$AB133)),MONTH(INDEX(Fixed_Assets!$G$2:$G$201,$AB133)),1),INDEX(Fixed_Assets!$J$2:$J$201,$AB133)-1),IF($Z133="F",MIN(IF(INDEX(Workforce!$J$2:$J$151,MATCH(INDEX(FTE_Allocation!$A$2:$A$201,$AB133),Workforce!$A$2:$A$151,0))="",2958101,INDEX(Workforce!$J$2:$J$151,MATCH(INDEX(FTE_Allocation!$A$2:$A$201,$AB133),Workforce!$A$2:$A$151,0))),IF(INDEX(FTE_Allocation!$J$2:$J$201,$AB133)="",2958101,INDEX(FTE_Allocation!$J$2:$J$201,$AB133))),"")))</f>
        <v/>
      </c>
      <c r="AG133" s="19">
        <f>IF($Z133="C",IF(INDEX(Contracts!$I$2:$I$151,$AB133)="PREPAID",INDEX(Contracts!$M$2:$M$151,$AB133)/IF(INDEX(Contracts!$N$2:$N$151,$AB133)="",12,INDEX(Contracts!$N$2:$N$151,$AB133)),IF(INDEX(Contracts!$I$2:$I$151,$AB133)="MONTHLY",INDEX(Contracts!$M$2:$M$151,$AB133),0))*(1-N(INDEX(Contracts!$O$2:$O$151,$AB133))),IF($Z133="A",INDEX(Fixed_Assets!$H$2:$H$201,$AB133)/INDEX(Fixed_Assets!$J$2:$J$201,$AB133),IF($Z133="F",INDEX(Workforce!$F$2:$F$151,MATCH(INDEX(FTE_Allocation!$A$2:$A$201,$AB133),Workforce!$A$2:$A$151,0))*N(INDEX(FTE_Allocation!$F$2:$H$201,$AB133,$AC133)),"")))</f>
        <v/>
      </c>
    </row>
    <row r="134">
      <c r="A134" s="7">
        <f>IF($Z134="","",$AD134)</f>
        <v/>
      </c>
      <c r="B134" s="7">
        <f>IF($Z134="C",INDEX(Contracts!$D$2:$D$151,$AB134)&amp;"",IF($Z134="A",INDEX(Fixed_Assets!$C$2:$C$201,$AB134)&amp;"",IF($Z134="F",INDEX(Workforce!$B$2:$B$151,MATCH(INDEX(FTE_Allocation!$A$2:$A$201,$AB134),Workforce!$A$2:$A$151,0))&amp;"","")))</f>
        <v/>
      </c>
      <c r="C134" s="7">
        <f>IF($Z134="C",INDEX(Contracts!$E$2:$E$151,$AB134)&amp;"",IF($Z134="A",INDEX(Fixed_Assets!$D$2:$D$201,$AB134)&amp;"",IF($Z134="F",INDEX(FTE_Allocation!$C$2:$C$201,$AB134)&amp;"","")))</f>
        <v/>
      </c>
      <c r="D134" s="7">
        <f>IF($Z134="C",INDEX(Contracts!$B$2:$B$151,$AB134)&amp;"",IF($Z134="A",INDEX(Fixed_Assets!$B$2:$B$201,$AB134)&amp;"",IF($Z134="F",INDEX(FTE_Allocation!$B$2:$B$201,$AB134)&amp;"","")))</f>
        <v/>
      </c>
      <c r="E134" s="7">
        <f>IF($Z134="C",INDEX(Contracts!$P$2:$P$151,$AB134)&amp;"",IF($Z134="A",INDEX(Fixed_Assets!$K$2:$K$201,$AB134)&amp;"",IF($Z134="F",IF(INDEX(FTE_Allocation!$D$2:$D$201,$AB134)="PROJECT",IFERROR(INDEX(Projects!$D:$D,MATCH(INDEX(FTE_Allocation!$E$2:$E$201,$AB134),Projects!$A:$A,0))&amp;"","#PROJECT?"),INDEX(FTE_Allocation!$E$2:$E$201,$AB134)&amp;""),"")))</f>
        <v/>
      </c>
      <c r="F134" s="7">
        <f>IF($Z134="C",INDEX(Contracts!$Q$2:$Q$151,$AB134)&amp;"",IF($Z134="A",INDEX(Fixed_Assets!$L$2:$L$201,$AB134)&amp;"",IF($Z134="F",INDEX(Workforce!$K$2:$K$151,MATCH(INDEX(FTE_Allocation!$A$2:$A$201,$AB134),Workforce!$A$2:$A$151,0))&amp;"","")))</f>
        <v/>
      </c>
      <c r="G134" s="7">
        <f>IF($Z134="C",INDEX(Contracts!$F$2:$F$151,$AB134)&amp;" / "&amp;INDEX(Contracts!$G$2:$G$151,$AB134),IF($Z134="A",INDEX(Fixed_Assets!$E$2:$E$201,$AB134)&amp;"",IF($Z134="F","Personnel "&amp;INDEX(FTE_Allocation!$A$2:$A$201,$AB134)&amp;IF(INDEX(FTE_Allocation!$D$2:$D$201,$AB134)="PROJECT"," ("&amp;INDEX(FTE_Allocation!$E$2:$E$201,$AB134)&amp;")",""),"")))</f>
        <v/>
      </c>
      <c r="H134" s="7">
        <f>IF($Z134="C","CONTRACT",IF($Z134="A","ASSET",IF($Z134="F","WORKFORCE","")))</f>
        <v/>
      </c>
      <c r="I134" s="7">
        <f>IF($Z134="C",INDEX(Contracts!$L$2:$L$151,$AB134)&amp;"",IF($Z134="A",INDEX(Fixed_Assets!$I$2:$I$201,$AB134)&amp;"",IF($Z134="F",INDEX(Workforce!$G$2:$G$151,MATCH(INDEX(FTE_Allocation!$A$2:$A$201,$AB134),Workforce!$A$2:$A$151,0))&amp;"","")))</f>
        <v/>
      </c>
      <c r="J134" s="18">
        <f>IF($Z134="","",IF(AND(DATE($AD134,1,1)&gt;=$AE134,DATE($AD134,1,1)&lt;=$AF134),ROUND($AG134,2),0))</f>
        <v/>
      </c>
      <c r="K134" s="18">
        <f>IF($Z134="","",IF(AND(DATE($AD134,2,1)&gt;=$AE134,DATE($AD134,2,1)&lt;=$AF134),ROUND($AG134,2),0))</f>
        <v/>
      </c>
      <c r="L134" s="18">
        <f>IF($Z134="","",IF(AND(DATE($AD134,3,1)&gt;=$AE134,DATE($AD134,3,1)&lt;=$AF134),ROUND($AG134,2),0))</f>
        <v/>
      </c>
      <c r="M134" s="18">
        <f>IF($Z134="","",IF(AND(DATE($AD134,4,1)&gt;=$AE134,DATE($AD134,4,1)&lt;=$AF134),ROUND($AG134,2),0))</f>
        <v/>
      </c>
      <c r="N134" s="18">
        <f>IF($Z134="","",IF(AND(DATE($AD134,5,1)&gt;=$AE134,DATE($AD134,5,1)&lt;=$AF134),ROUND($AG134,2),0))</f>
        <v/>
      </c>
      <c r="O134" s="18">
        <f>IF($Z134="","",IF(AND(DATE($AD134,6,1)&gt;=$AE134,DATE($AD134,6,1)&lt;=$AF134),ROUND($AG134,2),0))</f>
        <v/>
      </c>
      <c r="P134" s="18">
        <f>IF($Z134="","",IF(AND(DATE($AD134,7,1)&gt;=$AE134,DATE($AD134,7,1)&lt;=$AF134),ROUND($AG134,2),0))</f>
        <v/>
      </c>
      <c r="Q134" s="18">
        <f>IF($Z134="","",IF(AND(DATE($AD134,8,1)&gt;=$AE134,DATE($AD134,8,1)&lt;=$AF134),ROUND($AG134,2),0))</f>
        <v/>
      </c>
      <c r="R134" s="18">
        <f>IF($Z134="","",IF(AND(DATE($AD134,9,1)&gt;=$AE134,DATE($AD134,9,1)&lt;=$AF134),ROUND($AG134,2),0))</f>
        <v/>
      </c>
      <c r="S134" s="18">
        <f>IF($Z134="","",IF(AND(DATE($AD134,10,1)&gt;=$AE134,DATE($AD134,10,1)&lt;=$AF134),ROUND($AG134,2),0))</f>
        <v/>
      </c>
      <c r="T134" s="18">
        <f>IF($Z134="","",IF(AND(DATE($AD134,11,1)&gt;=$AE134,DATE($AD134,11,1)&lt;=$AF134),ROUND($AG134,2),0))</f>
        <v/>
      </c>
      <c r="U134" s="18">
        <f>IF($Z134="","",IF(AND(DATE($AD134,12,1)&gt;=$AE134,DATE($AD134,12,1)&lt;=$AF134),ROUND($AG134,2),0))</f>
        <v/>
      </c>
      <c r="V134" s="7">
        <f>IF($Z134="C","Generated from "&amp;INDEX(Contracts!$A$2:$A$151,$AB134),IF($Z134="A","Generated from "&amp;INDEX(Fixed_Assets!$A$2:$A$201,$AB134),IF($Z134="F","Generated from "&amp;INDEX(FTE_Allocation!$A$2:$A$201,$AB134),"")))</f>
        <v/>
      </c>
      <c r="X134" s="19">
        <f>IF($Z134="","",SUM(J134:U134))</f>
        <v/>
      </c>
      <c r="Y134" s="20">
        <f>ROW()-1</f>
        <v/>
      </c>
      <c r="Z134" s="20">
        <f>IF($Y134&lt;=Settings!$B$4*3,"C",IF($Y134&lt;=(Settings!$B$4+Settings!$B$5)*3,"A",IF($Y134&lt;=(Settings!$B$4+Settings!$B$5+Settings!$B$6)*3,"F","")))</f>
        <v/>
      </c>
      <c r="AA134" s="20">
        <f>IF($Z134="C",$Y134,IF($Z134="A",$Y134-Settings!$B$4*3,IF($Z134="F",$Y134-(Settings!$B$4+Settings!$B$5)*3,"")))</f>
        <v/>
      </c>
      <c r="AB134" s="20">
        <f>IF($Z134="","",INT(($AA134-1)/3)+1)</f>
        <v/>
      </c>
      <c r="AC134" s="20">
        <f>IF($Z134="","",MOD($AA134-1,3)+1)</f>
        <v/>
      </c>
      <c r="AD134" s="20">
        <f>IF($Z134="","",Settings!$B$2+$AC134-1)</f>
        <v/>
      </c>
      <c r="AE134" s="21">
        <f>IF($Z134="C",DATE(YEAR(INDEX(Contracts!$J$2:$J$151,$AB134)),MONTH(INDEX(Contracts!$J$2:$J$151,$AB134)),1),IF($Z134="A",DATE(YEAR(INDEX(Fixed_Assets!$G$2:$G$201,$AB134)),MONTH(INDEX(Fixed_Assets!$G$2:$G$201,$AB134)),1),IF($Z134="F",DATE(YEAR(MAX(N(INDEX(Workforce!$I$2:$I$151,MATCH(INDEX(FTE_Allocation!$A$2:$A$201,$AB134),Workforce!$A$2:$A$151,0))),N(INDEX(FTE_Allocation!$I$2:$I$201,$AB134)))),MONTH(MAX(N(INDEX(Workforce!$I$2:$I$151,MATCH(INDEX(FTE_Allocation!$A$2:$A$201,$AB134),Workforce!$A$2:$A$151,0))),N(INDEX(FTE_Allocation!$I$2:$I$201,$AB134)))),1),"")))</f>
        <v/>
      </c>
      <c r="AF134" s="21">
        <f>IF($Z134="C",IF(INDEX(Contracts!$I$2:$I$151,$AB134)="PREPAID",EDATE(DATE(YEAR(INDEX(Contracts!$J$2:$J$151,$AB134)),MONTH(INDEX(Contracts!$J$2:$J$151,$AB134)),1),IF(INDEX(Contracts!$N$2:$N$151,$AB134)="",12,INDEX(Contracts!$N$2:$N$151,$AB134))-1),IF(INDEX(Contracts!$I$2:$I$151,$AB134)="MONTHLY",IF(INDEX(Contracts!$K$2:$K$151,$AB134)="",2958101,INDEX(Contracts!$K$2:$K$151,$AB134)),0)),IF($Z134="A",EDATE(DATE(YEAR(INDEX(Fixed_Assets!$G$2:$G$201,$AB134)),MONTH(INDEX(Fixed_Assets!$G$2:$G$201,$AB134)),1),INDEX(Fixed_Assets!$J$2:$J$201,$AB134)-1),IF($Z134="F",MIN(IF(INDEX(Workforce!$J$2:$J$151,MATCH(INDEX(FTE_Allocation!$A$2:$A$201,$AB134),Workforce!$A$2:$A$151,0))="",2958101,INDEX(Workforce!$J$2:$J$151,MATCH(INDEX(FTE_Allocation!$A$2:$A$201,$AB134),Workforce!$A$2:$A$151,0))),IF(INDEX(FTE_Allocation!$J$2:$J$201,$AB134)="",2958101,INDEX(FTE_Allocation!$J$2:$J$201,$AB134))),"")))</f>
        <v/>
      </c>
      <c r="AG134" s="19">
        <f>IF($Z134="C",IF(INDEX(Contracts!$I$2:$I$151,$AB134)="PREPAID",INDEX(Contracts!$M$2:$M$151,$AB134)/IF(INDEX(Contracts!$N$2:$N$151,$AB134)="",12,INDEX(Contracts!$N$2:$N$151,$AB134)),IF(INDEX(Contracts!$I$2:$I$151,$AB134)="MONTHLY",INDEX(Contracts!$M$2:$M$151,$AB134),0))*(1-N(INDEX(Contracts!$O$2:$O$151,$AB134))),IF($Z134="A",INDEX(Fixed_Assets!$H$2:$H$201,$AB134)/INDEX(Fixed_Assets!$J$2:$J$201,$AB134),IF($Z134="F",INDEX(Workforce!$F$2:$F$151,MATCH(INDEX(FTE_Allocation!$A$2:$A$201,$AB134),Workforce!$A$2:$A$151,0))*N(INDEX(FTE_Allocation!$F$2:$H$201,$AB134,$AC134)),"")))</f>
        <v/>
      </c>
    </row>
    <row r="135">
      <c r="A135" s="7">
        <f>IF($Z135="","",$AD135)</f>
        <v/>
      </c>
      <c r="B135" s="7">
        <f>IF($Z135="C",INDEX(Contracts!$D$2:$D$151,$AB135)&amp;"",IF($Z135="A",INDEX(Fixed_Assets!$C$2:$C$201,$AB135)&amp;"",IF($Z135="F",INDEX(Workforce!$B$2:$B$151,MATCH(INDEX(FTE_Allocation!$A$2:$A$201,$AB135),Workforce!$A$2:$A$151,0))&amp;"","")))</f>
        <v/>
      </c>
      <c r="C135" s="7">
        <f>IF($Z135="C",INDEX(Contracts!$E$2:$E$151,$AB135)&amp;"",IF($Z135="A",INDEX(Fixed_Assets!$D$2:$D$201,$AB135)&amp;"",IF($Z135="F",INDEX(FTE_Allocation!$C$2:$C$201,$AB135)&amp;"","")))</f>
        <v/>
      </c>
      <c r="D135" s="7">
        <f>IF($Z135="C",INDEX(Contracts!$B$2:$B$151,$AB135)&amp;"",IF($Z135="A",INDEX(Fixed_Assets!$B$2:$B$201,$AB135)&amp;"",IF($Z135="F",INDEX(FTE_Allocation!$B$2:$B$201,$AB135)&amp;"","")))</f>
        <v/>
      </c>
      <c r="E135" s="7">
        <f>IF($Z135="C",INDEX(Contracts!$P$2:$P$151,$AB135)&amp;"",IF($Z135="A",INDEX(Fixed_Assets!$K$2:$K$201,$AB135)&amp;"",IF($Z135="F",IF(INDEX(FTE_Allocation!$D$2:$D$201,$AB135)="PROJECT",IFERROR(INDEX(Projects!$D:$D,MATCH(INDEX(FTE_Allocation!$E$2:$E$201,$AB135),Projects!$A:$A,0))&amp;"","#PROJECT?"),INDEX(FTE_Allocation!$E$2:$E$201,$AB135)&amp;""),"")))</f>
        <v/>
      </c>
      <c r="F135" s="7">
        <f>IF($Z135="C",INDEX(Contracts!$Q$2:$Q$151,$AB135)&amp;"",IF($Z135="A",INDEX(Fixed_Assets!$L$2:$L$201,$AB135)&amp;"",IF($Z135="F",INDEX(Workforce!$K$2:$K$151,MATCH(INDEX(FTE_Allocation!$A$2:$A$201,$AB135),Workforce!$A$2:$A$151,0))&amp;"","")))</f>
        <v/>
      </c>
      <c r="G135" s="7">
        <f>IF($Z135="C",INDEX(Contracts!$F$2:$F$151,$AB135)&amp;" / "&amp;INDEX(Contracts!$G$2:$G$151,$AB135),IF($Z135="A",INDEX(Fixed_Assets!$E$2:$E$201,$AB135)&amp;"",IF($Z135="F","Personnel "&amp;INDEX(FTE_Allocation!$A$2:$A$201,$AB135)&amp;IF(INDEX(FTE_Allocation!$D$2:$D$201,$AB135)="PROJECT"," ("&amp;INDEX(FTE_Allocation!$E$2:$E$201,$AB135)&amp;")",""),"")))</f>
        <v/>
      </c>
      <c r="H135" s="7">
        <f>IF($Z135="C","CONTRACT",IF($Z135="A","ASSET",IF($Z135="F","WORKFORCE","")))</f>
        <v/>
      </c>
      <c r="I135" s="7">
        <f>IF($Z135="C",INDEX(Contracts!$L$2:$L$151,$AB135)&amp;"",IF($Z135="A",INDEX(Fixed_Assets!$I$2:$I$201,$AB135)&amp;"",IF($Z135="F",INDEX(Workforce!$G$2:$G$151,MATCH(INDEX(FTE_Allocation!$A$2:$A$201,$AB135),Workforce!$A$2:$A$151,0))&amp;"","")))</f>
        <v/>
      </c>
      <c r="J135" s="18">
        <f>IF($Z135="","",IF(AND(DATE($AD135,1,1)&gt;=$AE135,DATE($AD135,1,1)&lt;=$AF135),ROUND($AG135,2),0))</f>
        <v/>
      </c>
      <c r="K135" s="18">
        <f>IF($Z135="","",IF(AND(DATE($AD135,2,1)&gt;=$AE135,DATE($AD135,2,1)&lt;=$AF135),ROUND($AG135,2),0))</f>
        <v/>
      </c>
      <c r="L135" s="18">
        <f>IF($Z135="","",IF(AND(DATE($AD135,3,1)&gt;=$AE135,DATE($AD135,3,1)&lt;=$AF135),ROUND($AG135,2),0))</f>
        <v/>
      </c>
      <c r="M135" s="18">
        <f>IF($Z135="","",IF(AND(DATE($AD135,4,1)&gt;=$AE135,DATE($AD135,4,1)&lt;=$AF135),ROUND($AG135,2),0))</f>
        <v/>
      </c>
      <c r="N135" s="18">
        <f>IF($Z135="","",IF(AND(DATE($AD135,5,1)&gt;=$AE135,DATE($AD135,5,1)&lt;=$AF135),ROUND($AG135,2),0))</f>
        <v/>
      </c>
      <c r="O135" s="18">
        <f>IF($Z135="","",IF(AND(DATE($AD135,6,1)&gt;=$AE135,DATE($AD135,6,1)&lt;=$AF135),ROUND($AG135,2),0))</f>
        <v/>
      </c>
      <c r="P135" s="18">
        <f>IF($Z135="","",IF(AND(DATE($AD135,7,1)&gt;=$AE135,DATE($AD135,7,1)&lt;=$AF135),ROUND($AG135,2),0))</f>
        <v/>
      </c>
      <c r="Q135" s="18">
        <f>IF($Z135="","",IF(AND(DATE($AD135,8,1)&gt;=$AE135,DATE($AD135,8,1)&lt;=$AF135),ROUND($AG135,2),0))</f>
        <v/>
      </c>
      <c r="R135" s="18">
        <f>IF($Z135="","",IF(AND(DATE($AD135,9,1)&gt;=$AE135,DATE($AD135,9,1)&lt;=$AF135),ROUND($AG135,2),0))</f>
        <v/>
      </c>
      <c r="S135" s="18">
        <f>IF($Z135="","",IF(AND(DATE($AD135,10,1)&gt;=$AE135,DATE($AD135,10,1)&lt;=$AF135),ROUND($AG135,2),0))</f>
        <v/>
      </c>
      <c r="T135" s="18">
        <f>IF($Z135="","",IF(AND(DATE($AD135,11,1)&gt;=$AE135,DATE($AD135,11,1)&lt;=$AF135),ROUND($AG135,2),0))</f>
        <v/>
      </c>
      <c r="U135" s="18">
        <f>IF($Z135="","",IF(AND(DATE($AD135,12,1)&gt;=$AE135,DATE($AD135,12,1)&lt;=$AF135),ROUND($AG135,2),0))</f>
        <v/>
      </c>
      <c r="V135" s="7">
        <f>IF($Z135="C","Generated from "&amp;INDEX(Contracts!$A$2:$A$151,$AB135),IF($Z135="A","Generated from "&amp;INDEX(Fixed_Assets!$A$2:$A$201,$AB135),IF($Z135="F","Generated from "&amp;INDEX(FTE_Allocation!$A$2:$A$201,$AB135),"")))</f>
        <v/>
      </c>
      <c r="X135" s="19">
        <f>IF($Z135="","",SUM(J135:U135))</f>
        <v/>
      </c>
      <c r="Y135" s="20">
        <f>ROW()-1</f>
        <v/>
      </c>
      <c r="Z135" s="20">
        <f>IF($Y135&lt;=Settings!$B$4*3,"C",IF($Y135&lt;=(Settings!$B$4+Settings!$B$5)*3,"A",IF($Y135&lt;=(Settings!$B$4+Settings!$B$5+Settings!$B$6)*3,"F","")))</f>
        <v/>
      </c>
      <c r="AA135" s="20">
        <f>IF($Z135="C",$Y135,IF($Z135="A",$Y135-Settings!$B$4*3,IF($Z135="F",$Y135-(Settings!$B$4+Settings!$B$5)*3,"")))</f>
        <v/>
      </c>
      <c r="AB135" s="20">
        <f>IF($Z135="","",INT(($AA135-1)/3)+1)</f>
        <v/>
      </c>
      <c r="AC135" s="20">
        <f>IF($Z135="","",MOD($AA135-1,3)+1)</f>
        <v/>
      </c>
      <c r="AD135" s="20">
        <f>IF($Z135="","",Settings!$B$2+$AC135-1)</f>
        <v/>
      </c>
      <c r="AE135" s="21">
        <f>IF($Z135="C",DATE(YEAR(INDEX(Contracts!$J$2:$J$151,$AB135)),MONTH(INDEX(Contracts!$J$2:$J$151,$AB135)),1),IF($Z135="A",DATE(YEAR(INDEX(Fixed_Assets!$G$2:$G$201,$AB135)),MONTH(INDEX(Fixed_Assets!$G$2:$G$201,$AB135)),1),IF($Z135="F",DATE(YEAR(MAX(N(INDEX(Workforce!$I$2:$I$151,MATCH(INDEX(FTE_Allocation!$A$2:$A$201,$AB135),Workforce!$A$2:$A$151,0))),N(INDEX(FTE_Allocation!$I$2:$I$201,$AB135)))),MONTH(MAX(N(INDEX(Workforce!$I$2:$I$151,MATCH(INDEX(FTE_Allocation!$A$2:$A$201,$AB135),Workforce!$A$2:$A$151,0))),N(INDEX(FTE_Allocation!$I$2:$I$201,$AB135)))),1),"")))</f>
        <v/>
      </c>
      <c r="AF135" s="21">
        <f>IF($Z135="C",IF(INDEX(Contracts!$I$2:$I$151,$AB135)="PREPAID",EDATE(DATE(YEAR(INDEX(Contracts!$J$2:$J$151,$AB135)),MONTH(INDEX(Contracts!$J$2:$J$151,$AB135)),1),IF(INDEX(Contracts!$N$2:$N$151,$AB135)="",12,INDEX(Contracts!$N$2:$N$151,$AB135))-1),IF(INDEX(Contracts!$I$2:$I$151,$AB135)="MONTHLY",IF(INDEX(Contracts!$K$2:$K$151,$AB135)="",2958101,INDEX(Contracts!$K$2:$K$151,$AB135)),0)),IF($Z135="A",EDATE(DATE(YEAR(INDEX(Fixed_Assets!$G$2:$G$201,$AB135)),MONTH(INDEX(Fixed_Assets!$G$2:$G$201,$AB135)),1),INDEX(Fixed_Assets!$J$2:$J$201,$AB135)-1),IF($Z135="F",MIN(IF(INDEX(Workforce!$J$2:$J$151,MATCH(INDEX(FTE_Allocation!$A$2:$A$201,$AB135),Workforce!$A$2:$A$151,0))="",2958101,INDEX(Workforce!$J$2:$J$151,MATCH(INDEX(FTE_Allocation!$A$2:$A$201,$AB135),Workforce!$A$2:$A$151,0))),IF(INDEX(FTE_Allocation!$J$2:$J$201,$AB135)="",2958101,INDEX(FTE_Allocation!$J$2:$J$201,$AB135))),"")))</f>
        <v/>
      </c>
      <c r="AG135" s="19">
        <f>IF($Z135="C",IF(INDEX(Contracts!$I$2:$I$151,$AB135)="PREPAID",INDEX(Contracts!$M$2:$M$151,$AB135)/IF(INDEX(Contracts!$N$2:$N$151,$AB135)="",12,INDEX(Contracts!$N$2:$N$151,$AB135)),IF(INDEX(Contracts!$I$2:$I$151,$AB135)="MONTHLY",INDEX(Contracts!$M$2:$M$151,$AB135),0))*(1-N(INDEX(Contracts!$O$2:$O$151,$AB135))),IF($Z135="A",INDEX(Fixed_Assets!$H$2:$H$201,$AB135)/INDEX(Fixed_Assets!$J$2:$J$201,$AB135),IF($Z135="F",INDEX(Workforce!$F$2:$F$151,MATCH(INDEX(FTE_Allocation!$A$2:$A$201,$AB135),Workforce!$A$2:$A$151,0))*N(INDEX(FTE_Allocation!$F$2:$H$201,$AB135,$AC135)),"")))</f>
        <v/>
      </c>
    </row>
    <row r="136">
      <c r="A136" s="7">
        <f>IF($Z136="","",$AD136)</f>
        <v/>
      </c>
      <c r="B136" s="7">
        <f>IF($Z136="C",INDEX(Contracts!$D$2:$D$151,$AB136)&amp;"",IF($Z136="A",INDEX(Fixed_Assets!$C$2:$C$201,$AB136)&amp;"",IF($Z136="F",INDEX(Workforce!$B$2:$B$151,MATCH(INDEX(FTE_Allocation!$A$2:$A$201,$AB136),Workforce!$A$2:$A$151,0))&amp;"","")))</f>
        <v/>
      </c>
      <c r="C136" s="7">
        <f>IF($Z136="C",INDEX(Contracts!$E$2:$E$151,$AB136)&amp;"",IF($Z136="A",INDEX(Fixed_Assets!$D$2:$D$201,$AB136)&amp;"",IF($Z136="F",INDEX(FTE_Allocation!$C$2:$C$201,$AB136)&amp;"","")))</f>
        <v/>
      </c>
      <c r="D136" s="7">
        <f>IF($Z136="C",INDEX(Contracts!$B$2:$B$151,$AB136)&amp;"",IF($Z136="A",INDEX(Fixed_Assets!$B$2:$B$201,$AB136)&amp;"",IF($Z136="F",INDEX(FTE_Allocation!$B$2:$B$201,$AB136)&amp;"","")))</f>
        <v/>
      </c>
      <c r="E136" s="7">
        <f>IF($Z136="C",INDEX(Contracts!$P$2:$P$151,$AB136)&amp;"",IF($Z136="A",INDEX(Fixed_Assets!$K$2:$K$201,$AB136)&amp;"",IF($Z136="F",IF(INDEX(FTE_Allocation!$D$2:$D$201,$AB136)="PROJECT",IFERROR(INDEX(Projects!$D:$D,MATCH(INDEX(FTE_Allocation!$E$2:$E$201,$AB136),Projects!$A:$A,0))&amp;"","#PROJECT?"),INDEX(FTE_Allocation!$E$2:$E$201,$AB136)&amp;""),"")))</f>
        <v/>
      </c>
      <c r="F136" s="7">
        <f>IF($Z136="C",INDEX(Contracts!$Q$2:$Q$151,$AB136)&amp;"",IF($Z136="A",INDEX(Fixed_Assets!$L$2:$L$201,$AB136)&amp;"",IF($Z136="F",INDEX(Workforce!$K$2:$K$151,MATCH(INDEX(FTE_Allocation!$A$2:$A$201,$AB136),Workforce!$A$2:$A$151,0))&amp;"","")))</f>
        <v/>
      </c>
      <c r="G136" s="7">
        <f>IF($Z136="C",INDEX(Contracts!$F$2:$F$151,$AB136)&amp;" / "&amp;INDEX(Contracts!$G$2:$G$151,$AB136),IF($Z136="A",INDEX(Fixed_Assets!$E$2:$E$201,$AB136)&amp;"",IF($Z136="F","Personnel "&amp;INDEX(FTE_Allocation!$A$2:$A$201,$AB136)&amp;IF(INDEX(FTE_Allocation!$D$2:$D$201,$AB136)="PROJECT"," ("&amp;INDEX(FTE_Allocation!$E$2:$E$201,$AB136)&amp;")",""),"")))</f>
        <v/>
      </c>
      <c r="H136" s="7">
        <f>IF($Z136="C","CONTRACT",IF($Z136="A","ASSET",IF($Z136="F","WORKFORCE","")))</f>
        <v/>
      </c>
      <c r="I136" s="7">
        <f>IF($Z136="C",INDEX(Contracts!$L$2:$L$151,$AB136)&amp;"",IF($Z136="A",INDEX(Fixed_Assets!$I$2:$I$201,$AB136)&amp;"",IF($Z136="F",INDEX(Workforce!$G$2:$G$151,MATCH(INDEX(FTE_Allocation!$A$2:$A$201,$AB136),Workforce!$A$2:$A$151,0))&amp;"","")))</f>
        <v/>
      </c>
      <c r="J136" s="18">
        <f>IF($Z136="","",IF(AND(DATE($AD136,1,1)&gt;=$AE136,DATE($AD136,1,1)&lt;=$AF136),ROUND($AG136,2),0))</f>
        <v/>
      </c>
      <c r="K136" s="18">
        <f>IF($Z136="","",IF(AND(DATE($AD136,2,1)&gt;=$AE136,DATE($AD136,2,1)&lt;=$AF136),ROUND($AG136,2),0))</f>
        <v/>
      </c>
      <c r="L136" s="18">
        <f>IF($Z136="","",IF(AND(DATE($AD136,3,1)&gt;=$AE136,DATE($AD136,3,1)&lt;=$AF136),ROUND($AG136,2),0))</f>
        <v/>
      </c>
      <c r="M136" s="18">
        <f>IF($Z136="","",IF(AND(DATE($AD136,4,1)&gt;=$AE136,DATE($AD136,4,1)&lt;=$AF136),ROUND($AG136,2),0))</f>
        <v/>
      </c>
      <c r="N136" s="18">
        <f>IF($Z136="","",IF(AND(DATE($AD136,5,1)&gt;=$AE136,DATE($AD136,5,1)&lt;=$AF136),ROUND($AG136,2),0))</f>
        <v/>
      </c>
      <c r="O136" s="18">
        <f>IF($Z136="","",IF(AND(DATE($AD136,6,1)&gt;=$AE136,DATE($AD136,6,1)&lt;=$AF136),ROUND($AG136,2),0))</f>
        <v/>
      </c>
      <c r="P136" s="18">
        <f>IF($Z136="","",IF(AND(DATE($AD136,7,1)&gt;=$AE136,DATE($AD136,7,1)&lt;=$AF136),ROUND($AG136,2),0))</f>
        <v/>
      </c>
      <c r="Q136" s="18">
        <f>IF($Z136="","",IF(AND(DATE($AD136,8,1)&gt;=$AE136,DATE($AD136,8,1)&lt;=$AF136),ROUND($AG136,2),0))</f>
        <v/>
      </c>
      <c r="R136" s="18">
        <f>IF($Z136="","",IF(AND(DATE($AD136,9,1)&gt;=$AE136,DATE($AD136,9,1)&lt;=$AF136),ROUND($AG136,2),0))</f>
        <v/>
      </c>
      <c r="S136" s="18">
        <f>IF($Z136="","",IF(AND(DATE($AD136,10,1)&gt;=$AE136,DATE($AD136,10,1)&lt;=$AF136),ROUND($AG136,2),0))</f>
        <v/>
      </c>
      <c r="T136" s="18">
        <f>IF($Z136="","",IF(AND(DATE($AD136,11,1)&gt;=$AE136,DATE($AD136,11,1)&lt;=$AF136),ROUND($AG136,2),0))</f>
        <v/>
      </c>
      <c r="U136" s="18">
        <f>IF($Z136="","",IF(AND(DATE($AD136,12,1)&gt;=$AE136,DATE($AD136,12,1)&lt;=$AF136),ROUND($AG136,2),0))</f>
        <v/>
      </c>
      <c r="V136" s="7">
        <f>IF($Z136="C","Generated from "&amp;INDEX(Contracts!$A$2:$A$151,$AB136),IF($Z136="A","Generated from "&amp;INDEX(Fixed_Assets!$A$2:$A$201,$AB136),IF($Z136="F","Generated from "&amp;INDEX(FTE_Allocation!$A$2:$A$201,$AB136),"")))</f>
        <v/>
      </c>
      <c r="X136" s="19">
        <f>IF($Z136="","",SUM(J136:U136))</f>
        <v/>
      </c>
      <c r="Y136" s="20">
        <f>ROW()-1</f>
        <v/>
      </c>
      <c r="Z136" s="20">
        <f>IF($Y136&lt;=Settings!$B$4*3,"C",IF($Y136&lt;=(Settings!$B$4+Settings!$B$5)*3,"A",IF($Y136&lt;=(Settings!$B$4+Settings!$B$5+Settings!$B$6)*3,"F","")))</f>
        <v/>
      </c>
      <c r="AA136" s="20">
        <f>IF($Z136="C",$Y136,IF($Z136="A",$Y136-Settings!$B$4*3,IF($Z136="F",$Y136-(Settings!$B$4+Settings!$B$5)*3,"")))</f>
        <v/>
      </c>
      <c r="AB136" s="20">
        <f>IF($Z136="","",INT(($AA136-1)/3)+1)</f>
        <v/>
      </c>
      <c r="AC136" s="20">
        <f>IF($Z136="","",MOD($AA136-1,3)+1)</f>
        <v/>
      </c>
      <c r="AD136" s="20">
        <f>IF($Z136="","",Settings!$B$2+$AC136-1)</f>
        <v/>
      </c>
      <c r="AE136" s="21">
        <f>IF($Z136="C",DATE(YEAR(INDEX(Contracts!$J$2:$J$151,$AB136)),MONTH(INDEX(Contracts!$J$2:$J$151,$AB136)),1),IF($Z136="A",DATE(YEAR(INDEX(Fixed_Assets!$G$2:$G$201,$AB136)),MONTH(INDEX(Fixed_Assets!$G$2:$G$201,$AB136)),1),IF($Z136="F",DATE(YEAR(MAX(N(INDEX(Workforce!$I$2:$I$151,MATCH(INDEX(FTE_Allocation!$A$2:$A$201,$AB136),Workforce!$A$2:$A$151,0))),N(INDEX(FTE_Allocation!$I$2:$I$201,$AB136)))),MONTH(MAX(N(INDEX(Workforce!$I$2:$I$151,MATCH(INDEX(FTE_Allocation!$A$2:$A$201,$AB136),Workforce!$A$2:$A$151,0))),N(INDEX(FTE_Allocation!$I$2:$I$201,$AB136)))),1),"")))</f>
        <v/>
      </c>
      <c r="AF136" s="21">
        <f>IF($Z136="C",IF(INDEX(Contracts!$I$2:$I$151,$AB136)="PREPAID",EDATE(DATE(YEAR(INDEX(Contracts!$J$2:$J$151,$AB136)),MONTH(INDEX(Contracts!$J$2:$J$151,$AB136)),1),IF(INDEX(Contracts!$N$2:$N$151,$AB136)="",12,INDEX(Contracts!$N$2:$N$151,$AB136))-1),IF(INDEX(Contracts!$I$2:$I$151,$AB136)="MONTHLY",IF(INDEX(Contracts!$K$2:$K$151,$AB136)="",2958101,INDEX(Contracts!$K$2:$K$151,$AB136)),0)),IF($Z136="A",EDATE(DATE(YEAR(INDEX(Fixed_Assets!$G$2:$G$201,$AB136)),MONTH(INDEX(Fixed_Assets!$G$2:$G$201,$AB136)),1),INDEX(Fixed_Assets!$J$2:$J$201,$AB136)-1),IF($Z136="F",MIN(IF(INDEX(Workforce!$J$2:$J$151,MATCH(INDEX(FTE_Allocation!$A$2:$A$201,$AB136),Workforce!$A$2:$A$151,0))="",2958101,INDEX(Workforce!$J$2:$J$151,MATCH(INDEX(FTE_Allocation!$A$2:$A$201,$AB136),Workforce!$A$2:$A$151,0))),IF(INDEX(FTE_Allocation!$J$2:$J$201,$AB136)="",2958101,INDEX(FTE_Allocation!$J$2:$J$201,$AB136))),"")))</f>
        <v/>
      </c>
      <c r="AG136" s="19">
        <f>IF($Z136="C",IF(INDEX(Contracts!$I$2:$I$151,$AB136)="PREPAID",INDEX(Contracts!$M$2:$M$151,$AB136)/IF(INDEX(Contracts!$N$2:$N$151,$AB136)="",12,INDEX(Contracts!$N$2:$N$151,$AB136)),IF(INDEX(Contracts!$I$2:$I$151,$AB136)="MONTHLY",INDEX(Contracts!$M$2:$M$151,$AB136),0))*(1-N(INDEX(Contracts!$O$2:$O$151,$AB136))),IF($Z136="A",INDEX(Fixed_Assets!$H$2:$H$201,$AB136)/INDEX(Fixed_Assets!$J$2:$J$201,$AB136),IF($Z136="F",INDEX(Workforce!$F$2:$F$151,MATCH(INDEX(FTE_Allocation!$A$2:$A$201,$AB136),Workforce!$A$2:$A$151,0))*N(INDEX(FTE_Allocation!$F$2:$H$201,$AB136,$AC136)),"")))</f>
        <v/>
      </c>
    </row>
    <row r="137">
      <c r="A137" s="7">
        <f>IF($Z137="","",$AD137)</f>
        <v/>
      </c>
      <c r="B137" s="7">
        <f>IF($Z137="C",INDEX(Contracts!$D$2:$D$151,$AB137)&amp;"",IF($Z137="A",INDEX(Fixed_Assets!$C$2:$C$201,$AB137)&amp;"",IF($Z137="F",INDEX(Workforce!$B$2:$B$151,MATCH(INDEX(FTE_Allocation!$A$2:$A$201,$AB137),Workforce!$A$2:$A$151,0))&amp;"","")))</f>
        <v/>
      </c>
      <c r="C137" s="7">
        <f>IF($Z137="C",INDEX(Contracts!$E$2:$E$151,$AB137)&amp;"",IF($Z137="A",INDEX(Fixed_Assets!$D$2:$D$201,$AB137)&amp;"",IF($Z137="F",INDEX(FTE_Allocation!$C$2:$C$201,$AB137)&amp;"","")))</f>
        <v/>
      </c>
      <c r="D137" s="7">
        <f>IF($Z137="C",INDEX(Contracts!$B$2:$B$151,$AB137)&amp;"",IF($Z137="A",INDEX(Fixed_Assets!$B$2:$B$201,$AB137)&amp;"",IF($Z137="F",INDEX(FTE_Allocation!$B$2:$B$201,$AB137)&amp;"","")))</f>
        <v/>
      </c>
      <c r="E137" s="7">
        <f>IF($Z137="C",INDEX(Contracts!$P$2:$P$151,$AB137)&amp;"",IF($Z137="A",INDEX(Fixed_Assets!$K$2:$K$201,$AB137)&amp;"",IF($Z137="F",IF(INDEX(FTE_Allocation!$D$2:$D$201,$AB137)="PROJECT",IFERROR(INDEX(Projects!$D:$D,MATCH(INDEX(FTE_Allocation!$E$2:$E$201,$AB137),Projects!$A:$A,0))&amp;"","#PROJECT?"),INDEX(FTE_Allocation!$E$2:$E$201,$AB137)&amp;""),"")))</f>
        <v/>
      </c>
      <c r="F137" s="7">
        <f>IF($Z137="C",INDEX(Contracts!$Q$2:$Q$151,$AB137)&amp;"",IF($Z137="A",INDEX(Fixed_Assets!$L$2:$L$201,$AB137)&amp;"",IF($Z137="F",INDEX(Workforce!$K$2:$K$151,MATCH(INDEX(FTE_Allocation!$A$2:$A$201,$AB137),Workforce!$A$2:$A$151,0))&amp;"","")))</f>
        <v/>
      </c>
      <c r="G137" s="7">
        <f>IF($Z137="C",INDEX(Contracts!$F$2:$F$151,$AB137)&amp;" / "&amp;INDEX(Contracts!$G$2:$G$151,$AB137),IF($Z137="A",INDEX(Fixed_Assets!$E$2:$E$201,$AB137)&amp;"",IF($Z137="F","Personnel "&amp;INDEX(FTE_Allocation!$A$2:$A$201,$AB137)&amp;IF(INDEX(FTE_Allocation!$D$2:$D$201,$AB137)="PROJECT"," ("&amp;INDEX(FTE_Allocation!$E$2:$E$201,$AB137)&amp;")",""),"")))</f>
        <v/>
      </c>
      <c r="H137" s="7">
        <f>IF($Z137="C","CONTRACT",IF($Z137="A","ASSET",IF($Z137="F","WORKFORCE","")))</f>
        <v/>
      </c>
      <c r="I137" s="7">
        <f>IF($Z137="C",INDEX(Contracts!$L$2:$L$151,$AB137)&amp;"",IF($Z137="A",INDEX(Fixed_Assets!$I$2:$I$201,$AB137)&amp;"",IF($Z137="F",INDEX(Workforce!$G$2:$G$151,MATCH(INDEX(FTE_Allocation!$A$2:$A$201,$AB137),Workforce!$A$2:$A$151,0))&amp;"","")))</f>
        <v/>
      </c>
      <c r="J137" s="18">
        <f>IF($Z137="","",IF(AND(DATE($AD137,1,1)&gt;=$AE137,DATE($AD137,1,1)&lt;=$AF137),ROUND($AG137,2),0))</f>
        <v/>
      </c>
      <c r="K137" s="18">
        <f>IF($Z137="","",IF(AND(DATE($AD137,2,1)&gt;=$AE137,DATE($AD137,2,1)&lt;=$AF137),ROUND($AG137,2),0))</f>
        <v/>
      </c>
      <c r="L137" s="18">
        <f>IF($Z137="","",IF(AND(DATE($AD137,3,1)&gt;=$AE137,DATE($AD137,3,1)&lt;=$AF137),ROUND($AG137,2),0))</f>
        <v/>
      </c>
      <c r="M137" s="18">
        <f>IF($Z137="","",IF(AND(DATE($AD137,4,1)&gt;=$AE137,DATE($AD137,4,1)&lt;=$AF137),ROUND($AG137,2),0))</f>
        <v/>
      </c>
      <c r="N137" s="18">
        <f>IF($Z137="","",IF(AND(DATE($AD137,5,1)&gt;=$AE137,DATE($AD137,5,1)&lt;=$AF137),ROUND($AG137,2),0))</f>
        <v/>
      </c>
      <c r="O137" s="18">
        <f>IF($Z137="","",IF(AND(DATE($AD137,6,1)&gt;=$AE137,DATE($AD137,6,1)&lt;=$AF137),ROUND($AG137,2),0))</f>
        <v/>
      </c>
      <c r="P137" s="18">
        <f>IF($Z137="","",IF(AND(DATE($AD137,7,1)&gt;=$AE137,DATE($AD137,7,1)&lt;=$AF137),ROUND($AG137,2),0))</f>
        <v/>
      </c>
      <c r="Q137" s="18">
        <f>IF($Z137="","",IF(AND(DATE($AD137,8,1)&gt;=$AE137,DATE($AD137,8,1)&lt;=$AF137),ROUND($AG137,2),0))</f>
        <v/>
      </c>
      <c r="R137" s="18">
        <f>IF($Z137="","",IF(AND(DATE($AD137,9,1)&gt;=$AE137,DATE($AD137,9,1)&lt;=$AF137),ROUND($AG137,2),0))</f>
        <v/>
      </c>
      <c r="S137" s="18">
        <f>IF($Z137="","",IF(AND(DATE($AD137,10,1)&gt;=$AE137,DATE($AD137,10,1)&lt;=$AF137),ROUND($AG137,2),0))</f>
        <v/>
      </c>
      <c r="T137" s="18">
        <f>IF($Z137="","",IF(AND(DATE($AD137,11,1)&gt;=$AE137,DATE($AD137,11,1)&lt;=$AF137),ROUND($AG137,2),0))</f>
        <v/>
      </c>
      <c r="U137" s="18">
        <f>IF($Z137="","",IF(AND(DATE($AD137,12,1)&gt;=$AE137,DATE($AD137,12,1)&lt;=$AF137),ROUND($AG137,2),0))</f>
        <v/>
      </c>
      <c r="V137" s="7">
        <f>IF($Z137="C","Generated from "&amp;INDEX(Contracts!$A$2:$A$151,$AB137),IF($Z137="A","Generated from "&amp;INDEX(Fixed_Assets!$A$2:$A$201,$AB137),IF($Z137="F","Generated from "&amp;INDEX(FTE_Allocation!$A$2:$A$201,$AB137),"")))</f>
        <v/>
      </c>
      <c r="X137" s="19">
        <f>IF($Z137="","",SUM(J137:U137))</f>
        <v/>
      </c>
      <c r="Y137" s="20">
        <f>ROW()-1</f>
        <v/>
      </c>
      <c r="Z137" s="20">
        <f>IF($Y137&lt;=Settings!$B$4*3,"C",IF($Y137&lt;=(Settings!$B$4+Settings!$B$5)*3,"A",IF($Y137&lt;=(Settings!$B$4+Settings!$B$5+Settings!$B$6)*3,"F","")))</f>
        <v/>
      </c>
      <c r="AA137" s="20">
        <f>IF($Z137="C",$Y137,IF($Z137="A",$Y137-Settings!$B$4*3,IF($Z137="F",$Y137-(Settings!$B$4+Settings!$B$5)*3,"")))</f>
        <v/>
      </c>
      <c r="AB137" s="20">
        <f>IF($Z137="","",INT(($AA137-1)/3)+1)</f>
        <v/>
      </c>
      <c r="AC137" s="20">
        <f>IF($Z137="","",MOD($AA137-1,3)+1)</f>
        <v/>
      </c>
      <c r="AD137" s="20">
        <f>IF($Z137="","",Settings!$B$2+$AC137-1)</f>
        <v/>
      </c>
      <c r="AE137" s="21">
        <f>IF($Z137="C",DATE(YEAR(INDEX(Contracts!$J$2:$J$151,$AB137)),MONTH(INDEX(Contracts!$J$2:$J$151,$AB137)),1),IF($Z137="A",DATE(YEAR(INDEX(Fixed_Assets!$G$2:$G$201,$AB137)),MONTH(INDEX(Fixed_Assets!$G$2:$G$201,$AB137)),1),IF($Z137="F",DATE(YEAR(MAX(N(INDEX(Workforce!$I$2:$I$151,MATCH(INDEX(FTE_Allocation!$A$2:$A$201,$AB137),Workforce!$A$2:$A$151,0))),N(INDEX(FTE_Allocation!$I$2:$I$201,$AB137)))),MONTH(MAX(N(INDEX(Workforce!$I$2:$I$151,MATCH(INDEX(FTE_Allocation!$A$2:$A$201,$AB137),Workforce!$A$2:$A$151,0))),N(INDEX(FTE_Allocation!$I$2:$I$201,$AB137)))),1),"")))</f>
        <v/>
      </c>
      <c r="AF137" s="21">
        <f>IF($Z137="C",IF(INDEX(Contracts!$I$2:$I$151,$AB137)="PREPAID",EDATE(DATE(YEAR(INDEX(Contracts!$J$2:$J$151,$AB137)),MONTH(INDEX(Contracts!$J$2:$J$151,$AB137)),1),IF(INDEX(Contracts!$N$2:$N$151,$AB137)="",12,INDEX(Contracts!$N$2:$N$151,$AB137))-1),IF(INDEX(Contracts!$I$2:$I$151,$AB137)="MONTHLY",IF(INDEX(Contracts!$K$2:$K$151,$AB137)="",2958101,INDEX(Contracts!$K$2:$K$151,$AB137)),0)),IF($Z137="A",EDATE(DATE(YEAR(INDEX(Fixed_Assets!$G$2:$G$201,$AB137)),MONTH(INDEX(Fixed_Assets!$G$2:$G$201,$AB137)),1),INDEX(Fixed_Assets!$J$2:$J$201,$AB137)-1),IF($Z137="F",MIN(IF(INDEX(Workforce!$J$2:$J$151,MATCH(INDEX(FTE_Allocation!$A$2:$A$201,$AB137),Workforce!$A$2:$A$151,0))="",2958101,INDEX(Workforce!$J$2:$J$151,MATCH(INDEX(FTE_Allocation!$A$2:$A$201,$AB137),Workforce!$A$2:$A$151,0))),IF(INDEX(FTE_Allocation!$J$2:$J$201,$AB137)="",2958101,INDEX(FTE_Allocation!$J$2:$J$201,$AB137))),"")))</f>
        <v/>
      </c>
      <c r="AG137" s="19">
        <f>IF($Z137="C",IF(INDEX(Contracts!$I$2:$I$151,$AB137)="PREPAID",INDEX(Contracts!$M$2:$M$151,$AB137)/IF(INDEX(Contracts!$N$2:$N$151,$AB137)="",12,INDEX(Contracts!$N$2:$N$151,$AB137)),IF(INDEX(Contracts!$I$2:$I$151,$AB137)="MONTHLY",INDEX(Contracts!$M$2:$M$151,$AB137),0))*(1-N(INDEX(Contracts!$O$2:$O$151,$AB137))),IF($Z137="A",INDEX(Fixed_Assets!$H$2:$H$201,$AB137)/INDEX(Fixed_Assets!$J$2:$J$201,$AB137),IF($Z137="F",INDEX(Workforce!$F$2:$F$151,MATCH(INDEX(FTE_Allocation!$A$2:$A$201,$AB137),Workforce!$A$2:$A$151,0))*N(INDEX(FTE_Allocation!$F$2:$H$201,$AB137,$AC137)),"")))</f>
        <v/>
      </c>
    </row>
    <row r="138">
      <c r="A138" s="7">
        <f>IF($Z138="","",$AD138)</f>
        <v/>
      </c>
      <c r="B138" s="7">
        <f>IF($Z138="C",INDEX(Contracts!$D$2:$D$151,$AB138)&amp;"",IF($Z138="A",INDEX(Fixed_Assets!$C$2:$C$201,$AB138)&amp;"",IF($Z138="F",INDEX(Workforce!$B$2:$B$151,MATCH(INDEX(FTE_Allocation!$A$2:$A$201,$AB138),Workforce!$A$2:$A$151,0))&amp;"","")))</f>
        <v/>
      </c>
      <c r="C138" s="7">
        <f>IF($Z138="C",INDEX(Contracts!$E$2:$E$151,$AB138)&amp;"",IF($Z138="A",INDEX(Fixed_Assets!$D$2:$D$201,$AB138)&amp;"",IF($Z138="F",INDEX(FTE_Allocation!$C$2:$C$201,$AB138)&amp;"","")))</f>
        <v/>
      </c>
      <c r="D138" s="7">
        <f>IF($Z138="C",INDEX(Contracts!$B$2:$B$151,$AB138)&amp;"",IF($Z138="A",INDEX(Fixed_Assets!$B$2:$B$201,$AB138)&amp;"",IF($Z138="F",INDEX(FTE_Allocation!$B$2:$B$201,$AB138)&amp;"","")))</f>
        <v/>
      </c>
      <c r="E138" s="7">
        <f>IF($Z138="C",INDEX(Contracts!$P$2:$P$151,$AB138)&amp;"",IF($Z138="A",INDEX(Fixed_Assets!$K$2:$K$201,$AB138)&amp;"",IF($Z138="F",IF(INDEX(FTE_Allocation!$D$2:$D$201,$AB138)="PROJECT",IFERROR(INDEX(Projects!$D:$D,MATCH(INDEX(FTE_Allocation!$E$2:$E$201,$AB138),Projects!$A:$A,0))&amp;"","#PROJECT?"),INDEX(FTE_Allocation!$E$2:$E$201,$AB138)&amp;""),"")))</f>
        <v/>
      </c>
      <c r="F138" s="7">
        <f>IF($Z138="C",INDEX(Contracts!$Q$2:$Q$151,$AB138)&amp;"",IF($Z138="A",INDEX(Fixed_Assets!$L$2:$L$201,$AB138)&amp;"",IF($Z138="F",INDEX(Workforce!$K$2:$K$151,MATCH(INDEX(FTE_Allocation!$A$2:$A$201,$AB138),Workforce!$A$2:$A$151,0))&amp;"","")))</f>
        <v/>
      </c>
      <c r="G138" s="7">
        <f>IF($Z138="C",INDEX(Contracts!$F$2:$F$151,$AB138)&amp;" / "&amp;INDEX(Contracts!$G$2:$G$151,$AB138),IF($Z138="A",INDEX(Fixed_Assets!$E$2:$E$201,$AB138)&amp;"",IF($Z138="F","Personnel "&amp;INDEX(FTE_Allocation!$A$2:$A$201,$AB138)&amp;IF(INDEX(FTE_Allocation!$D$2:$D$201,$AB138)="PROJECT"," ("&amp;INDEX(FTE_Allocation!$E$2:$E$201,$AB138)&amp;")",""),"")))</f>
        <v/>
      </c>
      <c r="H138" s="7">
        <f>IF($Z138="C","CONTRACT",IF($Z138="A","ASSET",IF($Z138="F","WORKFORCE","")))</f>
        <v/>
      </c>
      <c r="I138" s="7">
        <f>IF($Z138="C",INDEX(Contracts!$L$2:$L$151,$AB138)&amp;"",IF($Z138="A",INDEX(Fixed_Assets!$I$2:$I$201,$AB138)&amp;"",IF($Z138="F",INDEX(Workforce!$G$2:$G$151,MATCH(INDEX(FTE_Allocation!$A$2:$A$201,$AB138),Workforce!$A$2:$A$151,0))&amp;"","")))</f>
        <v/>
      </c>
      <c r="J138" s="18">
        <f>IF($Z138="","",IF(AND(DATE($AD138,1,1)&gt;=$AE138,DATE($AD138,1,1)&lt;=$AF138),ROUND($AG138,2),0))</f>
        <v/>
      </c>
      <c r="K138" s="18">
        <f>IF($Z138="","",IF(AND(DATE($AD138,2,1)&gt;=$AE138,DATE($AD138,2,1)&lt;=$AF138),ROUND($AG138,2),0))</f>
        <v/>
      </c>
      <c r="L138" s="18">
        <f>IF($Z138="","",IF(AND(DATE($AD138,3,1)&gt;=$AE138,DATE($AD138,3,1)&lt;=$AF138),ROUND($AG138,2),0))</f>
        <v/>
      </c>
      <c r="M138" s="18">
        <f>IF($Z138="","",IF(AND(DATE($AD138,4,1)&gt;=$AE138,DATE($AD138,4,1)&lt;=$AF138),ROUND($AG138,2),0))</f>
        <v/>
      </c>
      <c r="N138" s="18">
        <f>IF($Z138="","",IF(AND(DATE($AD138,5,1)&gt;=$AE138,DATE($AD138,5,1)&lt;=$AF138),ROUND($AG138,2),0))</f>
        <v/>
      </c>
      <c r="O138" s="18">
        <f>IF($Z138="","",IF(AND(DATE($AD138,6,1)&gt;=$AE138,DATE($AD138,6,1)&lt;=$AF138),ROUND($AG138,2),0))</f>
        <v/>
      </c>
      <c r="P138" s="18">
        <f>IF($Z138="","",IF(AND(DATE($AD138,7,1)&gt;=$AE138,DATE($AD138,7,1)&lt;=$AF138),ROUND($AG138,2),0))</f>
        <v/>
      </c>
      <c r="Q138" s="18">
        <f>IF($Z138="","",IF(AND(DATE($AD138,8,1)&gt;=$AE138,DATE($AD138,8,1)&lt;=$AF138),ROUND($AG138,2),0))</f>
        <v/>
      </c>
      <c r="R138" s="18">
        <f>IF($Z138="","",IF(AND(DATE($AD138,9,1)&gt;=$AE138,DATE($AD138,9,1)&lt;=$AF138),ROUND($AG138,2),0))</f>
        <v/>
      </c>
      <c r="S138" s="18">
        <f>IF($Z138="","",IF(AND(DATE($AD138,10,1)&gt;=$AE138,DATE($AD138,10,1)&lt;=$AF138),ROUND($AG138,2),0))</f>
        <v/>
      </c>
      <c r="T138" s="18">
        <f>IF($Z138="","",IF(AND(DATE($AD138,11,1)&gt;=$AE138,DATE($AD138,11,1)&lt;=$AF138),ROUND($AG138,2),0))</f>
        <v/>
      </c>
      <c r="U138" s="18">
        <f>IF($Z138="","",IF(AND(DATE($AD138,12,1)&gt;=$AE138,DATE($AD138,12,1)&lt;=$AF138),ROUND($AG138,2),0))</f>
        <v/>
      </c>
      <c r="V138" s="7">
        <f>IF($Z138="C","Generated from "&amp;INDEX(Contracts!$A$2:$A$151,$AB138),IF($Z138="A","Generated from "&amp;INDEX(Fixed_Assets!$A$2:$A$201,$AB138),IF($Z138="F","Generated from "&amp;INDEX(FTE_Allocation!$A$2:$A$201,$AB138),"")))</f>
        <v/>
      </c>
      <c r="X138" s="19">
        <f>IF($Z138="","",SUM(J138:U138))</f>
        <v/>
      </c>
      <c r="Y138" s="20">
        <f>ROW()-1</f>
        <v/>
      </c>
      <c r="Z138" s="20">
        <f>IF($Y138&lt;=Settings!$B$4*3,"C",IF($Y138&lt;=(Settings!$B$4+Settings!$B$5)*3,"A",IF($Y138&lt;=(Settings!$B$4+Settings!$B$5+Settings!$B$6)*3,"F","")))</f>
        <v/>
      </c>
      <c r="AA138" s="20">
        <f>IF($Z138="C",$Y138,IF($Z138="A",$Y138-Settings!$B$4*3,IF($Z138="F",$Y138-(Settings!$B$4+Settings!$B$5)*3,"")))</f>
        <v/>
      </c>
      <c r="AB138" s="20">
        <f>IF($Z138="","",INT(($AA138-1)/3)+1)</f>
        <v/>
      </c>
      <c r="AC138" s="20">
        <f>IF($Z138="","",MOD($AA138-1,3)+1)</f>
        <v/>
      </c>
      <c r="AD138" s="20">
        <f>IF($Z138="","",Settings!$B$2+$AC138-1)</f>
        <v/>
      </c>
      <c r="AE138" s="21">
        <f>IF($Z138="C",DATE(YEAR(INDEX(Contracts!$J$2:$J$151,$AB138)),MONTH(INDEX(Contracts!$J$2:$J$151,$AB138)),1),IF($Z138="A",DATE(YEAR(INDEX(Fixed_Assets!$G$2:$G$201,$AB138)),MONTH(INDEX(Fixed_Assets!$G$2:$G$201,$AB138)),1),IF($Z138="F",DATE(YEAR(MAX(N(INDEX(Workforce!$I$2:$I$151,MATCH(INDEX(FTE_Allocation!$A$2:$A$201,$AB138),Workforce!$A$2:$A$151,0))),N(INDEX(FTE_Allocation!$I$2:$I$201,$AB138)))),MONTH(MAX(N(INDEX(Workforce!$I$2:$I$151,MATCH(INDEX(FTE_Allocation!$A$2:$A$201,$AB138),Workforce!$A$2:$A$151,0))),N(INDEX(FTE_Allocation!$I$2:$I$201,$AB138)))),1),"")))</f>
        <v/>
      </c>
      <c r="AF138" s="21">
        <f>IF($Z138="C",IF(INDEX(Contracts!$I$2:$I$151,$AB138)="PREPAID",EDATE(DATE(YEAR(INDEX(Contracts!$J$2:$J$151,$AB138)),MONTH(INDEX(Contracts!$J$2:$J$151,$AB138)),1),IF(INDEX(Contracts!$N$2:$N$151,$AB138)="",12,INDEX(Contracts!$N$2:$N$151,$AB138))-1),IF(INDEX(Contracts!$I$2:$I$151,$AB138)="MONTHLY",IF(INDEX(Contracts!$K$2:$K$151,$AB138)="",2958101,INDEX(Contracts!$K$2:$K$151,$AB138)),0)),IF($Z138="A",EDATE(DATE(YEAR(INDEX(Fixed_Assets!$G$2:$G$201,$AB138)),MONTH(INDEX(Fixed_Assets!$G$2:$G$201,$AB138)),1),INDEX(Fixed_Assets!$J$2:$J$201,$AB138)-1),IF($Z138="F",MIN(IF(INDEX(Workforce!$J$2:$J$151,MATCH(INDEX(FTE_Allocation!$A$2:$A$201,$AB138),Workforce!$A$2:$A$151,0))="",2958101,INDEX(Workforce!$J$2:$J$151,MATCH(INDEX(FTE_Allocation!$A$2:$A$201,$AB138),Workforce!$A$2:$A$151,0))),IF(INDEX(FTE_Allocation!$J$2:$J$201,$AB138)="",2958101,INDEX(FTE_Allocation!$J$2:$J$201,$AB138))),"")))</f>
        <v/>
      </c>
      <c r="AG138" s="19">
        <f>IF($Z138="C",IF(INDEX(Contracts!$I$2:$I$151,$AB138)="PREPAID",INDEX(Contracts!$M$2:$M$151,$AB138)/IF(INDEX(Contracts!$N$2:$N$151,$AB138)="",12,INDEX(Contracts!$N$2:$N$151,$AB138)),IF(INDEX(Contracts!$I$2:$I$151,$AB138)="MONTHLY",INDEX(Contracts!$M$2:$M$151,$AB138),0))*(1-N(INDEX(Contracts!$O$2:$O$151,$AB138))),IF($Z138="A",INDEX(Fixed_Assets!$H$2:$H$201,$AB138)/INDEX(Fixed_Assets!$J$2:$J$201,$AB138),IF($Z138="F",INDEX(Workforce!$F$2:$F$151,MATCH(INDEX(FTE_Allocation!$A$2:$A$201,$AB138),Workforce!$A$2:$A$151,0))*N(INDEX(FTE_Allocation!$F$2:$H$201,$AB138,$AC138)),"")))</f>
        <v/>
      </c>
    </row>
    <row r="139">
      <c r="A139" s="7">
        <f>IF($Z139="","",$AD139)</f>
        <v/>
      </c>
      <c r="B139" s="7">
        <f>IF($Z139="C",INDEX(Contracts!$D$2:$D$151,$AB139)&amp;"",IF($Z139="A",INDEX(Fixed_Assets!$C$2:$C$201,$AB139)&amp;"",IF($Z139="F",INDEX(Workforce!$B$2:$B$151,MATCH(INDEX(FTE_Allocation!$A$2:$A$201,$AB139),Workforce!$A$2:$A$151,0))&amp;"","")))</f>
        <v/>
      </c>
      <c r="C139" s="7">
        <f>IF($Z139="C",INDEX(Contracts!$E$2:$E$151,$AB139)&amp;"",IF($Z139="A",INDEX(Fixed_Assets!$D$2:$D$201,$AB139)&amp;"",IF($Z139="F",INDEX(FTE_Allocation!$C$2:$C$201,$AB139)&amp;"","")))</f>
        <v/>
      </c>
      <c r="D139" s="7">
        <f>IF($Z139="C",INDEX(Contracts!$B$2:$B$151,$AB139)&amp;"",IF($Z139="A",INDEX(Fixed_Assets!$B$2:$B$201,$AB139)&amp;"",IF($Z139="F",INDEX(FTE_Allocation!$B$2:$B$201,$AB139)&amp;"","")))</f>
        <v/>
      </c>
      <c r="E139" s="7">
        <f>IF($Z139="C",INDEX(Contracts!$P$2:$P$151,$AB139)&amp;"",IF($Z139="A",INDEX(Fixed_Assets!$K$2:$K$201,$AB139)&amp;"",IF($Z139="F",IF(INDEX(FTE_Allocation!$D$2:$D$201,$AB139)="PROJECT",IFERROR(INDEX(Projects!$D:$D,MATCH(INDEX(FTE_Allocation!$E$2:$E$201,$AB139),Projects!$A:$A,0))&amp;"","#PROJECT?"),INDEX(FTE_Allocation!$E$2:$E$201,$AB139)&amp;""),"")))</f>
        <v/>
      </c>
      <c r="F139" s="7">
        <f>IF($Z139="C",INDEX(Contracts!$Q$2:$Q$151,$AB139)&amp;"",IF($Z139="A",INDEX(Fixed_Assets!$L$2:$L$201,$AB139)&amp;"",IF($Z139="F",INDEX(Workforce!$K$2:$K$151,MATCH(INDEX(FTE_Allocation!$A$2:$A$201,$AB139),Workforce!$A$2:$A$151,0))&amp;"","")))</f>
        <v/>
      </c>
      <c r="G139" s="7">
        <f>IF($Z139="C",INDEX(Contracts!$F$2:$F$151,$AB139)&amp;" / "&amp;INDEX(Contracts!$G$2:$G$151,$AB139),IF($Z139="A",INDEX(Fixed_Assets!$E$2:$E$201,$AB139)&amp;"",IF($Z139="F","Personnel "&amp;INDEX(FTE_Allocation!$A$2:$A$201,$AB139)&amp;IF(INDEX(FTE_Allocation!$D$2:$D$201,$AB139)="PROJECT"," ("&amp;INDEX(FTE_Allocation!$E$2:$E$201,$AB139)&amp;")",""),"")))</f>
        <v/>
      </c>
      <c r="H139" s="7">
        <f>IF($Z139="C","CONTRACT",IF($Z139="A","ASSET",IF($Z139="F","WORKFORCE","")))</f>
        <v/>
      </c>
      <c r="I139" s="7">
        <f>IF($Z139="C",INDEX(Contracts!$L$2:$L$151,$AB139)&amp;"",IF($Z139="A",INDEX(Fixed_Assets!$I$2:$I$201,$AB139)&amp;"",IF($Z139="F",INDEX(Workforce!$G$2:$G$151,MATCH(INDEX(FTE_Allocation!$A$2:$A$201,$AB139),Workforce!$A$2:$A$151,0))&amp;"","")))</f>
        <v/>
      </c>
      <c r="J139" s="18">
        <f>IF($Z139="","",IF(AND(DATE($AD139,1,1)&gt;=$AE139,DATE($AD139,1,1)&lt;=$AF139),ROUND($AG139,2),0))</f>
        <v/>
      </c>
      <c r="K139" s="18">
        <f>IF($Z139="","",IF(AND(DATE($AD139,2,1)&gt;=$AE139,DATE($AD139,2,1)&lt;=$AF139),ROUND($AG139,2),0))</f>
        <v/>
      </c>
      <c r="L139" s="18">
        <f>IF($Z139="","",IF(AND(DATE($AD139,3,1)&gt;=$AE139,DATE($AD139,3,1)&lt;=$AF139),ROUND($AG139,2),0))</f>
        <v/>
      </c>
      <c r="M139" s="18">
        <f>IF($Z139="","",IF(AND(DATE($AD139,4,1)&gt;=$AE139,DATE($AD139,4,1)&lt;=$AF139),ROUND($AG139,2),0))</f>
        <v/>
      </c>
      <c r="N139" s="18">
        <f>IF($Z139="","",IF(AND(DATE($AD139,5,1)&gt;=$AE139,DATE($AD139,5,1)&lt;=$AF139),ROUND($AG139,2),0))</f>
        <v/>
      </c>
      <c r="O139" s="18">
        <f>IF($Z139="","",IF(AND(DATE($AD139,6,1)&gt;=$AE139,DATE($AD139,6,1)&lt;=$AF139),ROUND($AG139,2),0))</f>
        <v/>
      </c>
      <c r="P139" s="18">
        <f>IF($Z139="","",IF(AND(DATE($AD139,7,1)&gt;=$AE139,DATE($AD139,7,1)&lt;=$AF139),ROUND($AG139,2),0))</f>
        <v/>
      </c>
      <c r="Q139" s="18">
        <f>IF($Z139="","",IF(AND(DATE($AD139,8,1)&gt;=$AE139,DATE($AD139,8,1)&lt;=$AF139),ROUND($AG139,2),0))</f>
        <v/>
      </c>
      <c r="R139" s="18">
        <f>IF($Z139="","",IF(AND(DATE($AD139,9,1)&gt;=$AE139,DATE($AD139,9,1)&lt;=$AF139),ROUND($AG139,2),0))</f>
        <v/>
      </c>
      <c r="S139" s="18">
        <f>IF($Z139="","",IF(AND(DATE($AD139,10,1)&gt;=$AE139,DATE($AD139,10,1)&lt;=$AF139),ROUND($AG139,2),0))</f>
        <v/>
      </c>
      <c r="T139" s="18">
        <f>IF($Z139="","",IF(AND(DATE($AD139,11,1)&gt;=$AE139,DATE($AD139,11,1)&lt;=$AF139),ROUND($AG139,2),0))</f>
        <v/>
      </c>
      <c r="U139" s="18">
        <f>IF($Z139="","",IF(AND(DATE($AD139,12,1)&gt;=$AE139,DATE($AD139,12,1)&lt;=$AF139),ROUND($AG139,2),0))</f>
        <v/>
      </c>
      <c r="V139" s="7">
        <f>IF($Z139="C","Generated from "&amp;INDEX(Contracts!$A$2:$A$151,$AB139),IF($Z139="A","Generated from "&amp;INDEX(Fixed_Assets!$A$2:$A$201,$AB139),IF($Z139="F","Generated from "&amp;INDEX(FTE_Allocation!$A$2:$A$201,$AB139),"")))</f>
        <v/>
      </c>
      <c r="X139" s="19">
        <f>IF($Z139="","",SUM(J139:U139))</f>
        <v/>
      </c>
      <c r="Y139" s="20">
        <f>ROW()-1</f>
        <v/>
      </c>
      <c r="Z139" s="20">
        <f>IF($Y139&lt;=Settings!$B$4*3,"C",IF($Y139&lt;=(Settings!$B$4+Settings!$B$5)*3,"A",IF($Y139&lt;=(Settings!$B$4+Settings!$B$5+Settings!$B$6)*3,"F","")))</f>
        <v/>
      </c>
      <c r="AA139" s="20">
        <f>IF($Z139="C",$Y139,IF($Z139="A",$Y139-Settings!$B$4*3,IF($Z139="F",$Y139-(Settings!$B$4+Settings!$B$5)*3,"")))</f>
        <v/>
      </c>
      <c r="AB139" s="20">
        <f>IF($Z139="","",INT(($AA139-1)/3)+1)</f>
        <v/>
      </c>
      <c r="AC139" s="20">
        <f>IF($Z139="","",MOD($AA139-1,3)+1)</f>
        <v/>
      </c>
      <c r="AD139" s="20">
        <f>IF($Z139="","",Settings!$B$2+$AC139-1)</f>
        <v/>
      </c>
      <c r="AE139" s="21">
        <f>IF($Z139="C",DATE(YEAR(INDEX(Contracts!$J$2:$J$151,$AB139)),MONTH(INDEX(Contracts!$J$2:$J$151,$AB139)),1),IF($Z139="A",DATE(YEAR(INDEX(Fixed_Assets!$G$2:$G$201,$AB139)),MONTH(INDEX(Fixed_Assets!$G$2:$G$201,$AB139)),1),IF($Z139="F",DATE(YEAR(MAX(N(INDEX(Workforce!$I$2:$I$151,MATCH(INDEX(FTE_Allocation!$A$2:$A$201,$AB139),Workforce!$A$2:$A$151,0))),N(INDEX(FTE_Allocation!$I$2:$I$201,$AB139)))),MONTH(MAX(N(INDEX(Workforce!$I$2:$I$151,MATCH(INDEX(FTE_Allocation!$A$2:$A$201,$AB139),Workforce!$A$2:$A$151,0))),N(INDEX(FTE_Allocation!$I$2:$I$201,$AB139)))),1),"")))</f>
        <v/>
      </c>
      <c r="AF139" s="21">
        <f>IF($Z139="C",IF(INDEX(Contracts!$I$2:$I$151,$AB139)="PREPAID",EDATE(DATE(YEAR(INDEX(Contracts!$J$2:$J$151,$AB139)),MONTH(INDEX(Contracts!$J$2:$J$151,$AB139)),1),IF(INDEX(Contracts!$N$2:$N$151,$AB139)="",12,INDEX(Contracts!$N$2:$N$151,$AB139))-1),IF(INDEX(Contracts!$I$2:$I$151,$AB139)="MONTHLY",IF(INDEX(Contracts!$K$2:$K$151,$AB139)="",2958101,INDEX(Contracts!$K$2:$K$151,$AB139)),0)),IF($Z139="A",EDATE(DATE(YEAR(INDEX(Fixed_Assets!$G$2:$G$201,$AB139)),MONTH(INDEX(Fixed_Assets!$G$2:$G$201,$AB139)),1),INDEX(Fixed_Assets!$J$2:$J$201,$AB139)-1),IF($Z139="F",MIN(IF(INDEX(Workforce!$J$2:$J$151,MATCH(INDEX(FTE_Allocation!$A$2:$A$201,$AB139),Workforce!$A$2:$A$151,0))="",2958101,INDEX(Workforce!$J$2:$J$151,MATCH(INDEX(FTE_Allocation!$A$2:$A$201,$AB139),Workforce!$A$2:$A$151,0))),IF(INDEX(FTE_Allocation!$J$2:$J$201,$AB139)="",2958101,INDEX(FTE_Allocation!$J$2:$J$201,$AB139))),"")))</f>
        <v/>
      </c>
      <c r="AG139" s="19">
        <f>IF($Z139="C",IF(INDEX(Contracts!$I$2:$I$151,$AB139)="PREPAID",INDEX(Contracts!$M$2:$M$151,$AB139)/IF(INDEX(Contracts!$N$2:$N$151,$AB139)="",12,INDEX(Contracts!$N$2:$N$151,$AB139)),IF(INDEX(Contracts!$I$2:$I$151,$AB139)="MONTHLY",INDEX(Contracts!$M$2:$M$151,$AB139),0))*(1-N(INDEX(Contracts!$O$2:$O$151,$AB139))),IF($Z139="A",INDEX(Fixed_Assets!$H$2:$H$201,$AB139)/INDEX(Fixed_Assets!$J$2:$J$201,$AB139),IF($Z139="F",INDEX(Workforce!$F$2:$F$151,MATCH(INDEX(FTE_Allocation!$A$2:$A$201,$AB139),Workforce!$A$2:$A$151,0))*N(INDEX(FTE_Allocation!$F$2:$H$201,$AB139,$AC139)),"")))</f>
        <v/>
      </c>
    </row>
    <row r="140">
      <c r="A140" s="7">
        <f>IF($Z140="","",$AD140)</f>
        <v/>
      </c>
      <c r="B140" s="7">
        <f>IF($Z140="C",INDEX(Contracts!$D$2:$D$151,$AB140)&amp;"",IF($Z140="A",INDEX(Fixed_Assets!$C$2:$C$201,$AB140)&amp;"",IF($Z140="F",INDEX(Workforce!$B$2:$B$151,MATCH(INDEX(FTE_Allocation!$A$2:$A$201,$AB140),Workforce!$A$2:$A$151,0))&amp;"","")))</f>
        <v/>
      </c>
      <c r="C140" s="7">
        <f>IF($Z140="C",INDEX(Contracts!$E$2:$E$151,$AB140)&amp;"",IF($Z140="A",INDEX(Fixed_Assets!$D$2:$D$201,$AB140)&amp;"",IF($Z140="F",INDEX(FTE_Allocation!$C$2:$C$201,$AB140)&amp;"","")))</f>
        <v/>
      </c>
      <c r="D140" s="7">
        <f>IF($Z140="C",INDEX(Contracts!$B$2:$B$151,$AB140)&amp;"",IF($Z140="A",INDEX(Fixed_Assets!$B$2:$B$201,$AB140)&amp;"",IF($Z140="F",INDEX(FTE_Allocation!$B$2:$B$201,$AB140)&amp;"","")))</f>
        <v/>
      </c>
      <c r="E140" s="7">
        <f>IF($Z140="C",INDEX(Contracts!$P$2:$P$151,$AB140)&amp;"",IF($Z140="A",INDEX(Fixed_Assets!$K$2:$K$201,$AB140)&amp;"",IF($Z140="F",IF(INDEX(FTE_Allocation!$D$2:$D$201,$AB140)="PROJECT",IFERROR(INDEX(Projects!$D:$D,MATCH(INDEX(FTE_Allocation!$E$2:$E$201,$AB140),Projects!$A:$A,0))&amp;"","#PROJECT?"),INDEX(FTE_Allocation!$E$2:$E$201,$AB140)&amp;""),"")))</f>
        <v/>
      </c>
      <c r="F140" s="7">
        <f>IF($Z140="C",INDEX(Contracts!$Q$2:$Q$151,$AB140)&amp;"",IF($Z140="A",INDEX(Fixed_Assets!$L$2:$L$201,$AB140)&amp;"",IF($Z140="F",INDEX(Workforce!$K$2:$K$151,MATCH(INDEX(FTE_Allocation!$A$2:$A$201,$AB140),Workforce!$A$2:$A$151,0))&amp;"","")))</f>
        <v/>
      </c>
      <c r="G140" s="7">
        <f>IF($Z140="C",INDEX(Contracts!$F$2:$F$151,$AB140)&amp;" / "&amp;INDEX(Contracts!$G$2:$G$151,$AB140),IF($Z140="A",INDEX(Fixed_Assets!$E$2:$E$201,$AB140)&amp;"",IF($Z140="F","Personnel "&amp;INDEX(FTE_Allocation!$A$2:$A$201,$AB140)&amp;IF(INDEX(FTE_Allocation!$D$2:$D$201,$AB140)="PROJECT"," ("&amp;INDEX(FTE_Allocation!$E$2:$E$201,$AB140)&amp;")",""),"")))</f>
        <v/>
      </c>
      <c r="H140" s="7">
        <f>IF($Z140="C","CONTRACT",IF($Z140="A","ASSET",IF($Z140="F","WORKFORCE","")))</f>
        <v/>
      </c>
      <c r="I140" s="7">
        <f>IF($Z140="C",INDEX(Contracts!$L$2:$L$151,$AB140)&amp;"",IF($Z140="A",INDEX(Fixed_Assets!$I$2:$I$201,$AB140)&amp;"",IF($Z140="F",INDEX(Workforce!$G$2:$G$151,MATCH(INDEX(FTE_Allocation!$A$2:$A$201,$AB140),Workforce!$A$2:$A$151,0))&amp;"","")))</f>
        <v/>
      </c>
      <c r="J140" s="18">
        <f>IF($Z140="","",IF(AND(DATE($AD140,1,1)&gt;=$AE140,DATE($AD140,1,1)&lt;=$AF140),ROUND($AG140,2),0))</f>
        <v/>
      </c>
      <c r="K140" s="18">
        <f>IF($Z140="","",IF(AND(DATE($AD140,2,1)&gt;=$AE140,DATE($AD140,2,1)&lt;=$AF140),ROUND($AG140,2),0))</f>
        <v/>
      </c>
      <c r="L140" s="18">
        <f>IF($Z140="","",IF(AND(DATE($AD140,3,1)&gt;=$AE140,DATE($AD140,3,1)&lt;=$AF140),ROUND($AG140,2),0))</f>
        <v/>
      </c>
      <c r="M140" s="18">
        <f>IF($Z140="","",IF(AND(DATE($AD140,4,1)&gt;=$AE140,DATE($AD140,4,1)&lt;=$AF140),ROUND($AG140,2),0))</f>
        <v/>
      </c>
      <c r="N140" s="18">
        <f>IF($Z140="","",IF(AND(DATE($AD140,5,1)&gt;=$AE140,DATE($AD140,5,1)&lt;=$AF140),ROUND($AG140,2),0))</f>
        <v/>
      </c>
      <c r="O140" s="18">
        <f>IF($Z140="","",IF(AND(DATE($AD140,6,1)&gt;=$AE140,DATE($AD140,6,1)&lt;=$AF140),ROUND($AG140,2),0))</f>
        <v/>
      </c>
      <c r="P140" s="18">
        <f>IF($Z140="","",IF(AND(DATE($AD140,7,1)&gt;=$AE140,DATE($AD140,7,1)&lt;=$AF140),ROUND($AG140,2),0))</f>
        <v/>
      </c>
      <c r="Q140" s="18">
        <f>IF($Z140="","",IF(AND(DATE($AD140,8,1)&gt;=$AE140,DATE($AD140,8,1)&lt;=$AF140),ROUND($AG140,2),0))</f>
        <v/>
      </c>
      <c r="R140" s="18">
        <f>IF($Z140="","",IF(AND(DATE($AD140,9,1)&gt;=$AE140,DATE($AD140,9,1)&lt;=$AF140),ROUND($AG140,2),0))</f>
        <v/>
      </c>
      <c r="S140" s="18">
        <f>IF($Z140="","",IF(AND(DATE($AD140,10,1)&gt;=$AE140,DATE($AD140,10,1)&lt;=$AF140),ROUND($AG140,2),0))</f>
        <v/>
      </c>
      <c r="T140" s="18">
        <f>IF($Z140="","",IF(AND(DATE($AD140,11,1)&gt;=$AE140,DATE($AD140,11,1)&lt;=$AF140),ROUND($AG140,2),0))</f>
        <v/>
      </c>
      <c r="U140" s="18">
        <f>IF($Z140="","",IF(AND(DATE($AD140,12,1)&gt;=$AE140,DATE($AD140,12,1)&lt;=$AF140),ROUND($AG140,2),0))</f>
        <v/>
      </c>
      <c r="V140" s="7">
        <f>IF($Z140="C","Generated from "&amp;INDEX(Contracts!$A$2:$A$151,$AB140),IF($Z140="A","Generated from "&amp;INDEX(Fixed_Assets!$A$2:$A$201,$AB140),IF($Z140="F","Generated from "&amp;INDEX(FTE_Allocation!$A$2:$A$201,$AB140),"")))</f>
        <v/>
      </c>
      <c r="X140" s="19">
        <f>IF($Z140="","",SUM(J140:U140))</f>
        <v/>
      </c>
      <c r="Y140" s="20">
        <f>ROW()-1</f>
        <v/>
      </c>
      <c r="Z140" s="20">
        <f>IF($Y140&lt;=Settings!$B$4*3,"C",IF($Y140&lt;=(Settings!$B$4+Settings!$B$5)*3,"A",IF($Y140&lt;=(Settings!$B$4+Settings!$B$5+Settings!$B$6)*3,"F","")))</f>
        <v/>
      </c>
      <c r="AA140" s="20">
        <f>IF($Z140="C",$Y140,IF($Z140="A",$Y140-Settings!$B$4*3,IF($Z140="F",$Y140-(Settings!$B$4+Settings!$B$5)*3,"")))</f>
        <v/>
      </c>
      <c r="AB140" s="20">
        <f>IF($Z140="","",INT(($AA140-1)/3)+1)</f>
        <v/>
      </c>
      <c r="AC140" s="20">
        <f>IF($Z140="","",MOD($AA140-1,3)+1)</f>
        <v/>
      </c>
      <c r="AD140" s="20">
        <f>IF($Z140="","",Settings!$B$2+$AC140-1)</f>
        <v/>
      </c>
      <c r="AE140" s="21">
        <f>IF($Z140="C",DATE(YEAR(INDEX(Contracts!$J$2:$J$151,$AB140)),MONTH(INDEX(Contracts!$J$2:$J$151,$AB140)),1),IF($Z140="A",DATE(YEAR(INDEX(Fixed_Assets!$G$2:$G$201,$AB140)),MONTH(INDEX(Fixed_Assets!$G$2:$G$201,$AB140)),1),IF($Z140="F",DATE(YEAR(MAX(N(INDEX(Workforce!$I$2:$I$151,MATCH(INDEX(FTE_Allocation!$A$2:$A$201,$AB140),Workforce!$A$2:$A$151,0))),N(INDEX(FTE_Allocation!$I$2:$I$201,$AB140)))),MONTH(MAX(N(INDEX(Workforce!$I$2:$I$151,MATCH(INDEX(FTE_Allocation!$A$2:$A$201,$AB140),Workforce!$A$2:$A$151,0))),N(INDEX(FTE_Allocation!$I$2:$I$201,$AB140)))),1),"")))</f>
        <v/>
      </c>
      <c r="AF140" s="21">
        <f>IF($Z140="C",IF(INDEX(Contracts!$I$2:$I$151,$AB140)="PREPAID",EDATE(DATE(YEAR(INDEX(Contracts!$J$2:$J$151,$AB140)),MONTH(INDEX(Contracts!$J$2:$J$151,$AB140)),1),IF(INDEX(Contracts!$N$2:$N$151,$AB140)="",12,INDEX(Contracts!$N$2:$N$151,$AB140))-1),IF(INDEX(Contracts!$I$2:$I$151,$AB140)="MONTHLY",IF(INDEX(Contracts!$K$2:$K$151,$AB140)="",2958101,INDEX(Contracts!$K$2:$K$151,$AB140)),0)),IF($Z140="A",EDATE(DATE(YEAR(INDEX(Fixed_Assets!$G$2:$G$201,$AB140)),MONTH(INDEX(Fixed_Assets!$G$2:$G$201,$AB140)),1),INDEX(Fixed_Assets!$J$2:$J$201,$AB140)-1),IF($Z140="F",MIN(IF(INDEX(Workforce!$J$2:$J$151,MATCH(INDEX(FTE_Allocation!$A$2:$A$201,$AB140),Workforce!$A$2:$A$151,0))="",2958101,INDEX(Workforce!$J$2:$J$151,MATCH(INDEX(FTE_Allocation!$A$2:$A$201,$AB140),Workforce!$A$2:$A$151,0))),IF(INDEX(FTE_Allocation!$J$2:$J$201,$AB140)="",2958101,INDEX(FTE_Allocation!$J$2:$J$201,$AB140))),"")))</f>
        <v/>
      </c>
      <c r="AG140" s="19">
        <f>IF($Z140="C",IF(INDEX(Contracts!$I$2:$I$151,$AB140)="PREPAID",INDEX(Contracts!$M$2:$M$151,$AB140)/IF(INDEX(Contracts!$N$2:$N$151,$AB140)="",12,INDEX(Contracts!$N$2:$N$151,$AB140)),IF(INDEX(Contracts!$I$2:$I$151,$AB140)="MONTHLY",INDEX(Contracts!$M$2:$M$151,$AB140),0))*(1-N(INDEX(Contracts!$O$2:$O$151,$AB140))),IF($Z140="A",INDEX(Fixed_Assets!$H$2:$H$201,$AB140)/INDEX(Fixed_Assets!$J$2:$J$201,$AB140),IF($Z140="F",INDEX(Workforce!$F$2:$F$151,MATCH(INDEX(FTE_Allocation!$A$2:$A$201,$AB140),Workforce!$A$2:$A$151,0))*N(INDEX(FTE_Allocation!$F$2:$H$201,$AB140,$AC140)),"")))</f>
        <v/>
      </c>
    </row>
    <row r="141">
      <c r="A141" s="7">
        <f>IF($Z141="","",$AD141)</f>
        <v/>
      </c>
      <c r="B141" s="7">
        <f>IF($Z141="C",INDEX(Contracts!$D$2:$D$151,$AB141)&amp;"",IF($Z141="A",INDEX(Fixed_Assets!$C$2:$C$201,$AB141)&amp;"",IF($Z141="F",INDEX(Workforce!$B$2:$B$151,MATCH(INDEX(FTE_Allocation!$A$2:$A$201,$AB141),Workforce!$A$2:$A$151,0))&amp;"","")))</f>
        <v/>
      </c>
      <c r="C141" s="7">
        <f>IF($Z141="C",INDEX(Contracts!$E$2:$E$151,$AB141)&amp;"",IF($Z141="A",INDEX(Fixed_Assets!$D$2:$D$201,$AB141)&amp;"",IF($Z141="F",INDEX(FTE_Allocation!$C$2:$C$201,$AB141)&amp;"","")))</f>
        <v/>
      </c>
      <c r="D141" s="7">
        <f>IF($Z141="C",INDEX(Contracts!$B$2:$B$151,$AB141)&amp;"",IF($Z141="A",INDEX(Fixed_Assets!$B$2:$B$201,$AB141)&amp;"",IF($Z141="F",INDEX(FTE_Allocation!$B$2:$B$201,$AB141)&amp;"","")))</f>
        <v/>
      </c>
      <c r="E141" s="7">
        <f>IF($Z141="C",INDEX(Contracts!$P$2:$P$151,$AB141)&amp;"",IF($Z141="A",INDEX(Fixed_Assets!$K$2:$K$201,$AB141)&amp;"",IF($Z141="F",IF(INDEX(FTE_Allocation!$D$2:$D$201,$AB141)="PROJECT",IFERROR(INDEX(Projects!$D:$D,MATCH(INDEX(FTE_Allocation!$E$2:$E$201,$AB141),Projects!$A:$A,0))&amp;"","#PROJECT?"),INDEX(FTE_Allocation!$E$2:$E$201,$AB141)&amp;""),"")))</f>
        <v/>
      </c>
      <c r="F141" s="7">
        <f>IF($Z141="C",INDEX(Contracts!$Q$2:$Q$151,$AB141)&amp;"",IF($Z141="A",INDEX(Fixed_Assets!$L$2:$L$201,$AB141)&amp;"",IF($Z141="F",INDEX(Workforce!$K$2:$K$151,MATCH(INDEX(FTE_Allocation!$A$2:$A$201,$AB141),Workforce!$A$2:$A$151,0))&amp;"","")))</f>
        <v/>
      </c>
      <c r="G141" s="7">
        <f>IF($Z141="C",INDEX(Contracts!$F$2:$F$151,$AB141)&amp;" / "&amp;INDEX(Contracts!$G$2:$G$151,$AB141),IF($Z141="A",INDEX(Fixed_Assets!$E$2:$E$201,$AB141)&amp;"",IF($Z141="F","Personnel "&amp;INDEX(FTE_Allocation!$A$2:$A$201,$AB141)&amp;IF(INDEX(FTE_Allocation!$D$2:$D$201,$AB141)="PROJECT"," ("&amp;INDEX(FTE_Allocation!$E$2:$E$201,$AB141)&amp;")",""),"")))</f>
        <v/>
      </c>
      <c r="H141" s="7">
        <f>IF($Z141="C","CONTRACT",IF($Z141="A","ASSET",IF($Z141="F","WORKFORCE","")))</f>
        <v/>
      </c>
      <c r="I141" s="7">
        <f>IF($Z141="C",INDEX(Contracts!$L$2:$L$151,$AB141)&amp;"",IF($Z141="A",INDEX(Fixed_Assets!$I$2:$I$201,$AB141)&amp;"",IF($Z141="F",INDEX(Workforce!$G$2:$G$151,MATCH(INDEX(FTE_Allocation!$A$2:$A$201,$AB141),Workforce!$A$2:$A$151,0))&amp;"","")))</f>
        <v/>
      </c>
      <c r="J141" s="18">
        <f>IF($Z141="","",IF(AND(DATE($AD141,1,1)&gt;=$AE141,DATE($AD141,1,1)&lt;=$AF141),ROUND($AG141,2),0))</f>
        <v/>
      </c>
      <c r="K141" s="18">
        <f>IF($Z141="","",IF(AND(DATE($AD141,2,1)&gt;=$AE141,DATE($AD141,2,1)&lt;=$AF141),ROUND($AG141,2),0))</f>
        <v/>
      </c>
      <c r="L141" s="18">
        <f>IF($Z141="","",IF(AND(DATE($AD141,3,1)&gt;=$AE141,DATE($AD141,3,1)&lt;=$AF141),ROUND($AG141,2),0))</f>
        <v/>
      </c>
      <c r="M141" s="18">
        <f>IF($Z141="","",IF(AND(DATE($AD141,4,1)&gt;=$AE141,DATE($AD141,4,1)&lt;=$AF141),ROUND($AG141,2),0))</f>
        <v/>
      </c>
      <c r="N141" s="18">
        <f>IF($Z141="","",IF(AND(DATE($AD141,5,1)&gt;=$AE141,DATE($AD141,5,1)&lt;=$AF141),ROUND($AG141,2),0))</f>
        <v/>
      </c>
      <c r="O141" s="18">
        <f>IF($Z141="","",IF(AND(DATE($AD141,6,1)&gt;=$AE141,DATE($AD141,6,1)&lt;=$AF141),ROUND($AG141,2),0))</f>
        <v/>
      </c>
      <c r="P141" s="18">
        <f>IF($Z141="","",IF(AND(DATE($AD141,7,1)&gt;=$AE141,DATE($AD141,7,1)&lt;=$AF141),ROUND($AG141,2),0))</f>
        <v/>
      </c>
      <c r="Q141" s="18">
        <f>IF($Z141="","",IF(AND(DATE($AD141,8,1)&gt;=$AE141,DATE($AD141,8,1)&lt;=$AF141),ROUND($AG141,2),0))</f>
        <v/>
      </c>
      <c r="R141" s="18">
        <f>IF($Z141="","",IF(AND(DATE($AD141,9,1)&gt;=$AE141,DATE($AD141,9,1)&lt;=$AF141),ROUND($AG141,2),0))</f>
        <v/>
      </c>
      <c r="S141" s="18">
        <f>IF($Z141="","",IF(AND(DATE($AD141,10,1)&gt;=$AE141,DATE($AD141,10,1)&lt;=$AF141),ROUND($AG141,2),0))</f>
        <v/>
      </c>
      <c r="T141" s="18">
        <f>IF($Z141="","",IF(AND(DATE($AD141,11,1)&gt;=$AE141,DATE($AD141,11,1)&lt;=$AF141),ROUND($AG141,2),0))</f>
        <v/>
      </c>
      <c r="U141" s="18">
        <f>IF($Z141="","",IF(AND(DATE($AD141,12,1)&gt;=$AE141,DATE($AD141,12,1)&lt;=$AF141),ROUND($AG141,2),0))</f>
        <v/>
      </c>
      <c r="V141" s="7">
        <f>IF($Z141="C","Generated from "&amp;INDEX(Contracts!$A$2:$A$151,$AB141),IF($Z141="A","Generated from "&amp;INDEX(Fixed_Assets!$A$2:$A$201,$AB141),IF($Z141="F","Generated from "&amp;INDEX(FTE_Allocation!$A$2:$A$201,$AB141),"")))</f>
        <v/>
      </c>
      <c r="X141" s="19">
        <f>IF($Z141="","",SUM(J141:U141))</f>
        <v/>
      </c>
      <c r="Y141" s="20">
        <f>ROW()-1</f>
        <v/>
      </c>
      <c r="Z141" s="20">
        <f>IF($Y141&lt;=Settings!$B$4*3,"C",IF($Y141&lt;=(Settings!$B$4+Settings!$B$5)*3,"A",IF($Y141&lt;=(Settings!$B$4+Settings!$B$5+Settings!$B$6)*3,"F","")))</f>
        <v/>
      </c>
      <c r="AA141" s="20">
        <f>IF($Z141="C",$Y141,IF($Z141="A",$Y141-Settings!$B$4*3,IF($Z141="F",$Y141-(Settings!$B$4+Settings!$B$5)*3,"")))</f>
        <v/>
      </c>
      <c r="AB141" s="20">
        <f>IF($Z141="","",INT(($AA141-1)/3)+1)</f>
        <v/>
      </c>
      <c r="AC141" s="20">
        <f>IF($Z141="","",MOD($AA141-1,3)+1)</f>
        <v/>
      </c>
      <c r="AD141" s="20">
        <f>IF($Z141="","",Settings!$B$2+$AC141-1)</f>
        <v/>
      </c>
      <c r="AE141" s="21">
        <f>IF($Z141="C",DATE(YEAR(INDEX(Contracts!$J$2:$J$151,$AB141)),MONTH(INDEX(Contracts!$J$2:$J$151,$AB141)),1),IF($Z141="A",DATE(YEAR(INDEX(Fixed_Assets!$G$2:$G$201,$AB141)),MONTH(INDEX(Fixed_Assets!$G$2:$G$201,$AB141)),1),IF($Z141="F",DATE(YEAR(MAX(N(INDEX(Workforce!$I$2:$I$151,MATCH(INDEX(FTE_Allocation!$A$2:$A$201,$AB141),Workforce!$A$2:$A$151,0))),N(INDEX(FTE_Allocation!$I$2:$I$201,$AB141)))),MONTH(MAX(N(INDEX(Workforce!$I$2:$I$151,MATCH(INDEX(FTE_Allocation!$A$2:$A$201,$AB141),Workforce!$A$2:$A$151,0))),N(INDEX(FTE_Allocation!$I$2:$I$201,$AB141)))),1),"")))</f>
        <v/>
      </c>
      <c r="AF141" s="21">
        <f>IF($Z141="C",IF(INDEX(Contracts!$I$2:$I$151,$AB141)="PREPAID",EDATE(DATE(YEAR(INDEX(Contracts!$J$2:$J$151,$AB141)),MONTH(INDEX(Contracts!$J$2:$J$151,$AB141)),1),IF(INDEX(Contracts!$N$2:$N$151,$AB141)="",12,INDEX(Contracts!$N$2:$N$151,$AB141))-1),IF(INDEX(Contracts!$I$2:$I$151,$AB141)="MONTHLY",IF(INDEX(Contracts!$K$2:$K$151,$AB141)="",2958101,INDEX(Contracts!$K$2:$K$151,$AB141)),0)),IF($Z141="A",EDATE(DATE(YEAR(INDEX(Fixed_Assets!$G$2:$G$201,$AB141)),MONTH(INDEX(Fixed_Assets!$G$2:$G$201,$AB141)),1),INDEX(Fixed_Assets!$J$2:$J$201,$AB141)-1),IF($Z141="F",MIN(IF(INDEX(Workforce!$J$2:$J$151,MATCH(INDEX(FTE_Allocation!$A$2:$A$201,$AB141),Workforce!$A$2:$A$151,0))="",2958101,INDEX(Workforce!$J$2:$J$151,MATCH(INDEX(FTE_Allocation!$A$2:$A$201,$AB141),Workforce!$A$2:$A$151,0))),IF(INDEX(FTE_Allocation!$J$2:$J$201,$AB141)="",2958101,INDEX(FTE_Allocation!$J$2:$J$201,$AB141))),"")))</f>
        <v/>
      </c>
      <c r="AG141" s="19">
        <f>IF($Z141="C",IF(INDEX(Contracts!$I$2:$I$151,$AB141)="PREPAID",INDEX(Contracts!$M$2:$M$151,$AB141)/IF(INDEX(Contracts!$N$2:$N$151,$AB141)="",12,INDEX(Contracts!$N$2:$N$151,$AB141)),IF(INDEX(Contracts!$I$2:$I$151,$AB141)="MONTHLY",INDEX(Contracts!$M$2:$M$151,$AB141),0))*(1-N(INDEX(Contracts!$O$2:$O$151,$AB141))),IF($Z141="A",INDEX(Fixed_Assets!$H$2:$H$201,$AB141)/INDEX(Fixed_Assets!$J$2:$J$201,$AB141),IF($Z141="F",INDEX(Workforce!$F$2:$F$151,MATCH(INDEX(FTE_Allocation!$A$2:$A$201,$AB141),Workforce!$A$2:$A$151,0))*N(INDEX(FTE_Allocation!$F$2:$H$201,$AB141,$AC141)),"")))</f>
        <v/>
      </c>
    </row>
    <row r="142">
      <c r="A142" s="7">
        <f>IF($Z142="","",$AD142)</f>
        <v/>
      </c>
      <c r="B142" s="7">
        <f>IF($Z142="C",INDEX(Contracts!$D$2:$D$151,$AB142)&amp;"",IF($Z142="A",INDEX(Fixed_Assets!$C$2:$C$201,$AB142)&amp;"",IF($Z142="F",INDEX(Workforce!$B$2:$B$151,MATCH(INDEX(FTE_Allocation!$A$2:$A$201,$AB142),Workforce!$A$2:$A$151,0))&amp;"","")))</f>
        <v/>
      </c>
      <c r="C142" s="7">
        <f>IF($Z142="C",INDEX(Contracts!$E$2:$E$151,$AB142)&amp;"",IF($Z142="A",INDEX(Fixed_Assets!$D$2:$D$201,$AB142)&amp;"",IF($Z142="F",INDEX(FTE_Allocation!$C$2:$C$201,$AB142)&amp;"","")))</f>
        <v/>
      </c>
      <c r="D142" s="7">
        <f>IF($Z142="C",INDEX(Contracts!$B$2:$B$151,$AB142)&amp;"",IF($Z142="A",INDEX(Fixed_Assets!$B$2:$B$201,$AB142)&amp;"",IF($Z142="F",INDEX(FTE_Allocation!$B$2:$B$201,$AB142)&amp;"","")))</f>
        <v/>
      </c>
      <c r="E142" s="7">
        <f>IF($Z142="C",INDEX(Contracts!$P$2:$P$151,$AB142)&amp;"",IF($Z142="A",INDEX(Fixed_Assets!$K$2:$K$201,$AB142)&amp;"",IF($Z142="F",IF(INDEX(FTE_Allocation!$D$2:$D$201,$AB142)="PROJECT",IFERROR(INDEX(Projects!$D:$D,MATCH(INDEX(FTE_Allocation!$E$2:$E$201,$AB142),Projects!$A:$A,0))&amp;"","#PROJECT?"),INDEX(FTE_Allocation!$E$2:$E$201,$AB142)&amp;""),"")))</f>
        <v/>
      </c>
      <c r="F142" s="7">
        <f>IF($Z142="C",INDEX(Contracts!$Q$2:$Q$151,$AB142)&amp;"",IF($Z142="A",INDEX(Fixed_Assets!$L$2:$L$201,$AB142)&amp;"",IF($Z142="F",INDEX(Workforce!$K$2:$K$151,MATCH(INDEX(FTE_Allocation!$A$2:$A$201,$AB142),Workforce!$A$2:$A$151,0))&amp;"","")))</f>
        <v/>
      </c>
      <c r="G142" s="7">
        <f>IF($Z142="C",INDEX(Contracts!$F$2:$F$151,$AB142)&amp;" / "&amp;INDEX(Contracts!$G$2:$G$151,$AB142),IF($Z142="A",INDEX(Fixed_Assets!$E$2:$E$201,$AB142)&amp;"",IF($Z142="F","Personnel "&amp;INDEX(FTE_Allocation!$A$2:$A$201,$AB142)&amp;IF(INDEX(FTE_Allocation!$D$2:$D$201,$AB142)="PROJECT"," ("&amp;INDEX(FTE_Allocation!$E$2:$E$201,$AB142)&amp;")",""),"")))</f>
        <v/>
      </c>
      <c r="H142" s="7">
        <f>IF($Z142="C","CONTRACT",IF($Z142="A","ASSET",IF($Z142="F","WORKFORCE","")))</f>
        <v/>
      </c>
      <c r="I142" s="7">
        <f>IF($Z142="C",INDEX(Contracts!$L$2:$L$151,$AB142)&amp;"",IF($Z142="A",INDEX(Fixed_Assets!$I$2:$I$201,$AB142)&amp;"",IF($Z142="F",INDEX(Workforce!$G$2:$G$151,MATCH(INDEX(FTE_Allocation!$A$2:$A$201,$AB142),Workforce!$A$2:$A$151,0))&amp;"","")))</f>
        <v/>
      </c>
      <c r="J142" s="18">
        <f>IF($Z142="","",IF(AND(DATE($AD142,1,1)&gt;=$AE142,DATE($AD142,1,1)&lt;=$AF142),ROUND($AG142,2),0))</f>
        <v/>
      </c>
      <c r="K142" s="18">
        <f>IF($Z142="","",IF(AND(DATE($AD142,2,1)&gt;=$AE142,DATE($AD142,2,1)&lt;=$AF142),ROUND($AG142,2),0))</f>
        <v/>
      </c>
      <c r="L142" s="18">
        <f>IF($Z142="","",IF(AND(DATE($AD142,3,1)&gt;=$AE142,DATE($AD142,3,1)&lt;=$AF142),ROUND($AG142,2),0))</f>
        <v/>
      </c>
      <c r="M142" s="18">
        <f>IF($Z142="","",IF(AND(DATE($AD142,4,1)&gt;=$AE142,DATE($AD142,4,1)&lt;=$AF142),ROUND($AG142,2),0))</f>
        <v/>
      </c>
      <c r="N142" s="18">
        <f>IF($Z142="","",IF(AND(DATE($AD142,5,1)&gt;=$AE142,DATE($AD142,5,1)&lt;=$AF142),ROUND($AG142,2),0))</f>
        <v/>
      </c>
      <c r="O142" s="18">
        <f>IF($Z142="","",IF(AND(DATE($AD142,6,1)&gt;=$AE142,DATE($AD142,6,1)&lt;=$AF142),ROUND($AG142,2),0))</f>
        <v/>
      </c>
      <c r="P142" s="18">
        <f>IF($Z142="","",IF(AND(DATE($AD142,7,1)&gt;=$AE142,DATE($AD142,7,1)&lt;=$AF142),ROUND($AG142,2),0))</f>
        <v/>
      </c>
      <c r="Q142" s="18">
        <f>IF($Z142="","",IF(AND(DATE($AD142,8,1)&gt;=$AE142,DATE($AD142,8,1)&lt;=$AF142),ROUND($AG142,2),0))</f>
        <v/>
      </c>
      <c r="R142" s="18">
        <f>IF($Z142="","",IF(AND(DATE($AD142,9,1)&gt;=$AE142,DATE($AD142,9,1)&lt;=$AF142),ROUND($AG142,2),0))</f>
        <v/>
      </c>
      <c r="S142" s="18">
        <f>IF($Z142="","",IF(AND(DATE($AD142,10,1)&gt;=$AE142,DATE($AD142,10,1)&lt;=$AF142),ROUND($AG142,2),0))</f>
        <v/>
      </c>
      <c r="T142" s="18">
        <f>IF($Z142="","",IF(AND(DATE($AD142,11,1)&gt;=$AE142,DATE($AD142,11,1)&lt;=$AF142),ROUND($AG142,2),0))</f>
        <v/>
      </c>
      <c r="U142" s="18">
        <f>IF($Z142="","",IF(AND(DATE($AD142,12,1)&gt;=$AE142,DATE($AD142,12,1)&lt;=$AF142),ROUND($AG142,2),0))</f>
        <v/>
      </c>
      <c r="V142" s="7">
        <f>IF($Z142="C","Generated from "&amp;INDEX(Contracts!$A$2:$A$151,$AB142),IF($Z142="A","Generated from "&amp;INDEX(Fixed_Assets!$A$2:$A$201,$AB142),IF($Z142="F","Generated from "&amp;INDEX(FTE_Allocation!$A$2:$A$201,$AB142),"")))</f>
        <v/>
      </c>
      <c r="X142" s="19">
        <f>IF($Z142="","",SUM(J142:U142))</f>
        <v/>
      </c>
      <c r="Y142" s="20">
        <f>ROW()-1</f>
        <v/>
      </c>
      <c r="Z142" s="20">
        <f>IF($Y142&lt;=Settings!$B$4*3,"C",IF($Y142&lt;=(Settings!$B$4+Settings!$B$5)*3,"A",IF($Y142&lt;=(Settings!$B$4+Settings!$B$5+Settings!$B$6)*3,"F","")))</f>
        <v/>
      </c>
      <c r="AA142" s="20">
        <f>IF($Z142="C",$Y142,IF($Z142="A",$Y142-Settings!$B$4*3,IF($Z142="F",$Y142-(Settings!$B$4+Settings!$B$5)*3,"")))</f>
        <v/>
      </c>
      <c r="AB142" s="20">
        <f>IF($Z142="","",INT(($AA142-1)/3)+1)</f>
        <v/>
      </c>
      <c r="AC142" s="20">
        <f>IF($Z142="","",MOD($AA142-1,3)+1)</f>
        <v/>
      </c>
      <c r="AD142" s="20">
        <f>IF($Z142="","",Settings!$B$2+$AC142-1)</f>
        <v/>
      </c>
      <c r="AE142" s="21">
        <f>IF($Z142="C",DATE(YEAR(INDEX(Contracts!$J$2:$J$151,$AB142)),MONTH(INDEX(Contracts!$J$2:$J$151,$AB142)),1),IF($Z142="A",DATE(YEAR(INDEX(Fixed_Assets!$G$2:$G$201,$AB142)),MONTH(INDEX(Fixed_Assets!$G$2:$G$201,$AB142)),1),IF($Z142="F",DATE(YEAR(MAX(N(INDEX(Workforce!$I$2:$I$151,MATCH(INDEX(FTE_Allocation!$A$2:$A$201,$AB142),Workforce!$A$2:$A$151,0))),N(INDEX(FTE_Allocation!$I$2:$I$201,$AB142)))),MONTH(MAX(N(INDEX(Workforce!$I$2:$I$151,MATCH(INDEX(FTE_Allocation!$A$2:$A$201,$AB142),Workforce!$A$2:$A$151,0))),N(INDEX(FTE_Allocation!$I$2:$I$201,$AB142)))),1),"")))</f>
        <v/>
      </c>
      <c r="AF142" s="21">
        <f>IF($Z142="C",IF(INDEX(Contracts!$I$2:$I$151,$AB142)="PREPAID",EDATE(DATE(YEAR(INDEX(Contracts!$J$2:$J$151,$AB142)),MONTH(INDEX(Contracts!$J$2:$J$151,$AB142)),1),IF(INDEX(Contracts!$N$2:$N$151,$AB142)="",12,INDEX(Contracts!$N$2:$N$151,$AB142))-1),IF(INDEX(Contracts!$I$2:$I$151,$AB142)="MONTHLY",IF(INDEX(Contracts!$K$2:$K$151,$AB142)="",2958101,INDEX(Contracts!$K$2:$K$151,$AB142)),0)),IF($Z142="A",EDATE(DATE(YEAR(INDEX(Fixed_Assets!$G$2:$G$201,$AB142)),MONTH(INDEX(Fixed_Assets!$G$2:$G$201,$AB142)),1),INDEX(Fixed_Assets!$J$2:$J$201,$AB142)-1),IF($Z142="F",MIN(IF(INDEX(Workforce!$J$2:$J$151,MATCH(INDEX(FTE_Allocation!$A$2:$A$201,$AB142),Workforce!$A$2:$A$151,0))="",2958101,INDEX(Workforce!$J$2:$J$151,MATCH(INDEX(FTE_Allocation!$A$2:$A$201,$AB142),Workforce!$A$2:$A$151,0))),IF(INDEX(FTE_Allocation!$J$2:$J$201,$AB142)="",2958101,INDEX(FTE_Allocation!$J$2:$J$201,$AB142))),"")))</f>
        <v/>
      </c>
      <c r="AG142" s="19">
        <f>IF($Z142="C",IF(INDEX(Contracts!$I$2:$I$151,$AB142)="PREPAID",INDEX(Contracts!$M$2:$M$151,$AB142)/IF(INDEX(Contracts!$N$2:$N$151,$AB142)="",12,INDEX(Contracts!$N$2:$N$151,$AB142)),IF(INDEX(Contracts!$I$2:$I$151,$AB142)="MONTHLY",INDEX(Contracts!$M$2:$M$151,$AB142),0))*(1-N(INDEX(Contracts!$O$2:$O$151,$AB142))),IF($Z142="A",INDEX(Fixed_Assets!$H$2:$H$201,$AB142)/INDEX(Fixed_Assets!$J$2:$J$201,$AB142),IF($Z142="F",INDEX(Workforce!$F$2:$F$151,MATCH(INDEX(FTE_Allocation!$A$2:$A$201,$AB142),Workforce!$A$2:$A$151,0))*N(INDEX(FTE_Allocation!$F$2:$H$201,$AB142,$AC142)),"")))</f>
        <v/>
      </c>
    </row>
    <row r="143">
      <c r="A143" s="7">
        <f>IF($Z143="","",$AD143)</f>
        <v/>
      </c>
      <c r="B143" s="7">
        <f>IF($Z143="C",INDEX(Contracts!$D$2:$D$151,$AB143)&amp;"",IF($Z143="A",INDEX(Fixed_Assets!$C$2:$C$201,$AB143)&amp;"",IF($Z143="F",INDEX(Workforce!$B$2:$B$151,MATCH(INDEX(FTE_Allocation!$A$2:$A$201,$AB143),Workforce!$A$2:$A$151,0))&amp;"","")))</f>
        <v/>
      </c>
      <c r="C143" s="7">
        <f>IF($Z143="C",INDEX(Contracts!$E$2:$E$151,$AB143)&amp;"",IF($Z143="A",INDEX(Fixed_Assets!$D$2:$D$201,$AB143)&amp;"",IF($Z143="F",INDEX(FTE_Allocation!$C$2:$C$201,$AB143)&amp;"","")))</f>
        <v/>
      </c>
      <c r="D143" s="7">
        <f>IF($Z143="C",INDEX(Contracts!$B$2:$B$151,$AB143)&amp;"",IF($Z143="A",INDEX(Fixed_Assets!$B$2:$B$201,$AB143)&amp;"",IF($Z143="F",INDEX(FTE_Allocation!$B$2:$B$201,$AB143)&amp;"","")))</f>
        <v/>
      </c>
      <c r="E143" s="7">
        <f>IF($Z143="C",INDEX(Contracts!$P$2:$P$151,$AB143)&amp;"",IF($Z143="A",INDEX(Fixed_Assets!$K$2:$K$201,$AB143)&amp;"",IF($Z143="F",IF(INDEX(FTE_Allocation!$D$2:$D$201,$AB143)="PROJECT",IFERROR(INDEX(Projects!$D:$D,MATCH(INDEX(FTE_Allocation!$E$2:$E$201,$AB143),Projects!$A:$A,0))&amp;"","#PROJECT?"),INDEX(FTE_Allocation!$E$2:$E$201,$AB143)&amp;""),"")))</f>
        <v/>
      </c>
      <c r="F143" s="7">
        <f>IF($Z143="C",INDEX(Contracts!$Q$2:$Q$151,$AB143)&amp;"",IF($Z143="A",INDEX(Fixed_Assets!$L$2:$L$201,$AB143)&amp;"",IF($Z143="F",INDEX(Workforce!$K$2:$K$151,MATCH(INDEX(FTE_Allocation!$A$2:$A$201,$AB143),Workforce!$A$2:$A$151,0))&amp;"","")))</f>
        <v/>
      </c>
      <c r="G143" s="7">
        <f>IF($Z143="C",INDEX(Contracts!$F$2:$F$151,$AB143)&amp;" / "&amp;INDEX(Contracts!$G$2:$G$151,$AB143),IF($Z143="A",INDEX(Fixed_Assets!$E$2:$E$201,$AB143)&amp;"",IF($Z143="F","Personnel "&amp;INDEX(FTE_Allocation!$A$2:$A$201,$AB143)&amp;IF(INDEX(FTE_Allocation!$D$2:$D$201,$AB143)="PROJECT"," ("&amp;INDEX(FTE_Allocation!$E$2:$E$201,$AB143)&amp;")",""),"")))</f>
        <v/>
      </c>
      <c r="H143" s="7">
        <f>IF($Z143="C","CONTRACT",IF($Z143="A","ASSET",IF($Z143="F","WORKFORCE","")))</f>
        <v/>
      </c>
      <c r="I143" s="7">
        <f>IF($Z143="C",INDEX(Contracts!$L$2:$L$151,$AB143)&amp;"",IF($Z143="A",INDEX(Fixed_Assets!$I$2:$I$201,$AB143)&amp;"",IF($Z143="F",INDEX(Workforce!$G$2:$G$151,MATCH(INDEX(FTE_Allocation!$A$2:$A$201,$AB143),Workforce!$A$2:$A$151,0))&amp;"","")))</f>
        <v/>
      </c>
      <c r="J143" s="18">
        <f>IF($Z143="","",IF(AND(DATE($AD143,1,1)&gt;=$AE143,DATE($AD143,1,1)&lt;=$AF143),ROUND($AG143,2),0))</f>
        <v/>
      </c>
      <c r="K143" s="18">
        <f>IF($Z143="","",IF(AND(DATE($AD143,2,1)&gt;=$AE143,DATE($AD143,2,1)&lt;=$AF143),ROUND($AG143,2),0))</f>
        <v/>
      </c>
      <c r="L143" s="18">
        <f>IF($Z143="","",IF(AND(DATE($AD143,3,1)&gt;=$AE143,DATE($AD143,3,1)&lt;=$AF143),ROUND($AG143,2),0))</f>
        <v/>
      </c>
      <c r="M143" s="18">
        <f>IF($Z143="","",IF(AND(DATE($AD143,4,1)&gt;=$AE143,DATE($AD143,4,1)&lt;=$AF143),ROUND($AG143,2),0))</f>
        <v/>
      </c>
      <c r="N143" s="18">
        <f>IF($Z143="","",IF(AND(DATE($AD143,5,1)&gt;=$AE143,DATE($AD143,5,1)&lt;=$AF143),ROUND($AG143,2),0))</f>
        <v/>
      </c>
      <c r="O143" s="18">
        <f>IF($Z143="","",IF(AND(DATE($AD143,6,1)&gt;=$AE143,DATE($AD143,6,1)&lt;=$AF143),ROUND($AG143,2),0))</f>
        <v/>
      </c>
      <c r="P143" s="18">
        <f>IF($Z143="","",IF(AND(DATE($AD143,7,1)&gt;=$AE143,DATE($AD143,7,1)&lt;=$AF143),ROUND($AG143,2),0))</f>
        <v/>
      </c>
      <c r="Q143" s="18">
        <f>IF($Z143="","",IF(AND(DATE($AD143,8,1)&gt;=$AE143,DATE($AD143,8,1)&lt;=$AF143),ROUND($AG143,2),0))</f>
        <v/>
      </c>
      <c r="R143" s="18">
        <f>IF($Z143="","",IF(AND(DATE($AD143,9,1)&gt;=$AE143,DATE($AD143,9,1)&lt;=$AF143),ROUND($AG143,2),0))</f>
        <v/>
      </c>
      <c r="S143" s="18">
        <f>IF($Z143="","",IF(AND(DATE($AD143,10,1)&gt;=$AE143,DATE($AD143,10,1)&lt;=$AF143),ROUND($AG143,2),0))</f>
        <v/>
      </c>
      <c r="T143" s="18">
        <f>IF($Z143="","",IF(AND(DATE($AD143,11,1)&gt;=$AE143,DATE($AD143,11,1)&lt;=$AF143),ROUND($AG143,2),0))</f>
        <v/>
      </c>
      <c r="U143" s="18">
        <f>IF($Z143="","",IF(AND(DATE($AD143,12,1)&gt;=$AE143,DATE($AD143,12,1)&lt;=$AF143),ROUND($AG143,2),0))</f>
        <v/>
      </c>
      <c r="V143" s="7">
        <f>IF($Z143="C","Generated from "&amp;INDEX(Contracts!$A$2:$A$151,$AB143),IF($Z143="A","Generated from "&amp;INDEX(Fixed_Assets!$A$2:$A$201,$AB143),IF($Z143="F","Generated from "&amp;INDEX(FTE_Allocation!$A$2:$A$201,$AB143),"")))</f>
        <v/>
      </c>
      <c r="X143" s="19">
        <f>IF($Z143="","",SUM(J143:U143))</f>
        <v/>
      </c>
      <c r="Y143" s="20">
        <f>ROW()-1</f>
        <v/>
      </c>
      <c r="Z143" s="20">
        <f>IF($Y143&lt;=Settings!$B$4*3,"C",IF($Y143&lt;=(Settings!$B$4+Settings!$B$5)*3,"A",IF($Y143&lt;=(Settings!$B$4+Settings!$B$5+Settings!$B$6)*3,"F","")))</f>
        <v/>
      </c>
      <c r="AA143" s="20">
        <f>IF($Z143="C",$Y143,IF($Z143="A",$Y143-Settings!$B$4*3,IF($Z143="F",$Y143-(Settings!$B$4+Settings!$B$5)*3,"")))</f>
        <v/>
      </c>
      <c r="AB143" s="20">
        <f>IF($Z143="","",INT(($AA143-1)/3)+1)</f>
        <v/>
      </c>
      <c r="AC143" s="20">
        <f>IF($Z143="","",MOD($AA143-1,3)+1)</f>
        <v/>
      </c>
      <c r="AD143" s="20">
        <f>IF($Z143="","",Settings!$B$2+$AC143-1)</f>
        <v/>
      </c>
      <c r="AE143" s="21">
        <f>IF($Z143="C",DATE(YEAR(INDEX(Contracts!$J$2:$J$151,$AB143)),MONTH(INDEX(Contracts!$J$2:$J$151,$AB143)),1),IF($Z143="A",DATE(YEAR(INDEX(Fixed_Assets!$G$2:$G$201,$AB143)),MONTH(INDEX(Fixed_Assets!$G$2:$G$201,$AB143)),1),IF($Z143="F",DATE(YEAR(MAX(N(INDEX(Workforce!$I$2:$I$151,MATCH(INDEX(FTE_Allocation!$A$2:$A$201,$AB143),Workforce!$A$2:$A$151,0))),N(INDEX(FTE_Allocation!$I$2:$I$201,$AB143)))),MONTH(MAX(N(INDEX(Workforce!$I$2:$I$151,MATCH(INDEX(FTE_Allocation!$A$2:$A$201,$AB143),Workforce!$A$2:$A$151,0))),N(INDEX(FTE_Allocation!$I$2:$I$201,$AB143)))),1),"")))</f>
        <v/>
      </c>
      <c r="AF143" s="21">
        <f>IF($Z143="C",IF(INDEX(Contracts!$I$2:$I$151,$AB143)="PREPAID",EDATE(DATE(YEAR(INDEX(Contracts!$J$2:$J$151,$AB143)),MONTH(INDEX(Contracts!$J$2:$J$151,$AB143)),1),IF(INDEX(Contracts!$N$2:$N$151,$AB143)="",12,INDEX(Contracts!$N$2:$N$151,$AB143))-1),IF(INDEX(Contracts!$I$2:$I$151,$AB143)="MONTHLY",IF(INDEX(Contracts!$K$2:$K$151,$AB143)="",2958101,INDEX(Contracts!$K$2:$K$151,$AB143)),0)),IF($Z143="A",EDATE(DATE(YEAR(INDEX(Fixed_Assets!$G$2:$G$201,$AB143)),MONTH(INDEX(Fixed_Assets!$G$2:$G$201,$AB143)),1),INDEX(Fixed_Assets!$J$2:$J$201,$AB143)-1),IF($Z143="F",MIN(IF(INDEX(Workforce!$J$2:$J$151,MATCH(INDEX(FTE_Allocation!$A$2:$A$201,$AB143),Workforce!$A$2:$A$151,0))="",2958101,INDEX(Workforce!$J$2:$J$151,MATCH(INDEX(FTE_Allocation!$A$2:$A$201,$AB143),Workforce!$A$2:$A$151,0))),IF(INDEX(FTE_Allocation!$J$2:$J$201,$AB143)="",2958101,INDEX(FTE_Allocation!$J$2:$J$201,$AB143))),"")))</f>
        <v/>
      </c>
      <c r="AG143" s="19">
        <f>IF($Z143="C",IF(INDEX(Contracts!$I$2:$I$151,$AB143)="PREPAID",INDEX(Contracts!$M$2:$M$151,$AB143)/IF(INDEX(Contracts!$N$2:$N$151,$AB143)="",12,INDEX(Contracts!$N$2:$N$151,$AB143)),IF(INDEX(Contracts!$I$2:$I$151,$AB143)="MONTHLY",INDEX(Contracts!$M$2:$M$151,$AB143),0))*(1-N(INDEX(Contracts!$O$2:$O$151,$AB143))),IF($Z143="A",INDEX(Fixed_Assets!$H$2:$H$201,$AB143)/INDEX(Fixed_Assets!$J$2:$J$201,$AB143),IF($Z143="F",INDEX(Workforce!$F$2:$F$151,MATCH(INDEX(FTE_Allocation!$A$2:$A$201,$AB143),Workforce!$A$2:$A$151,0))*N(INDEX(FTE_Allocation!$F$2:$H$201,$AB143,$AC143)),"")))</f>
        <v/>
      </c>
    </row>
    <row r="144">
      <c r="A144" s="7">
        <f>IF($Z144="","",$AD144)</f>
        <v/>
      </c>
      <c r="B144" s="7">
        <f>IF($Z144="C",INDEX(Contracts!$D$2:$D$151,$AB144)&amp;"",IF($Z144="A",INDEX(Fixed_Assets!$C$2:$C$201,$AB144)&amp;"",IF($Z144="F",INDEX(Workforce!$B$2:$B$151,MATCH(INDEX(FTE_Allocation!$A$2:$A$201,$AB144),Workforce!$A$2:$A$151,0))&amp;"","")))</f>
        <v/>
      </c>
      <c r="C144" s="7">
        <f>IF($Z144="C",INDEX(Contracts!$E$2:$E$151,$AB144)&amp;"",IF($Z144="A",INDEX(Fixed_Assets!$D$2:$D$201,$AB144)&amp;"",IF($Z144="F",INDEX(FTE_Allocation!$C$2:$C$201,$AB144)&amp;"","")))</f>
        <v/>
      </c>
      <c r="D144" s="7">
        <f>IF($Z144="C",INDEX(Contracts!$B$2:$B$151,$AB144)&amp;"",IF($Z144="A",INDEX(Fixed_Assets!$B$2:$B$201,$AB144)&amp;"",IF($Z144="F",INDEX(FTE_Allocation!$B$2:$B$201,$AB144)&amp;"","")))</f>
        <v/>
      </c>
      <c r="E144" s="7">
        <f>IF($Z144="C",INDEX(Contracts!$P$2:$P$151,$AB144)&amp;"",IF($Z144="A",INDEX(Fixed_Assets!$K$2:$K$201,$AB144)&amp;"",IF($Z144="F",IF(INDEX(FTE_Allocation!$D$2:$D$201,$AB144)="PROJECT",IFERROR(INDEX(Projects!$D:$D,MATCH(INDEX(FTE_Allocation!$E$2:$E$201,$AB144),Projects!$A:$A,0))&amp;"","#PROJECT?"),INDEX(FTE_Allocation!$E$2:$E$201,$AB144)&amp;""),"")))</f>
        <v/>
      </c>
      <c r="F144" s="7">
        <f>IF($Z144="C",INDEX(Contracts!$Q$2:$Q$151,$AB144)&amp;"",IF($Z144="A",INDEX(Fixed_Assets!$L$2:$L$201,$AB144)&amp;"",IF($Z144="F",INDEX(Workforce!$K$2:$K$151,MATCH(INDEX(FTE_Allocation!$A$2:$A$201,$AB144),Workforce!$A$2:$A$151,0))&amp;"","")))</f>
        <v/>
      </c>
      <c r="G144" s="7">
        <f>IF($Z144="C",INDEX(Contracts!$F$2:$F$151,$AB144)&amp;" / "&amp;INDEX(Contracts!$G$2:$G$151,$AB144),IF($Z144="A",INDEX(Fixed_Assets!$E$2:$E$201,$AB144)&amp;"",IF($Z144="F","Personnel "&amp;INDEX(FTE_Allocation!$A$2:$A$201,$AB144)&amp;IF(INDEX(FTE_Allocation!$D$2:$D$201,$AB144)="PROJECT"," ("&amp;INDEX(FTE_Allocation!$E$2:$E$201,$AB144)&amp;")",""),"")))</f>
        <v/>
      </c>
      <c r="H144" s="7">
        <f>IF($Z144="C","CONTRACT",IF($Z144="A","ASSET",IF($Z144="F","WORKFORCE","")))</f>
        <v/>
      </c>
      <c r="I144" s="7">
        <f>IF($Z144="C",INDEX(Contracts!$L$2:$L$151,$AB144)&amp;"",IF($Z144="A",INDEX(Fixed_Assets!$I$2:$I$201,$AB144)&amp;"",IF($Z144="F",INDEX(Workforce!$G$2:$G$151,MATCH(INDEX(FTE_Allocation!$A$2:$A$201,$AB144),Workforce!$A$2:$A$151,0))&amp;"","")))</f>
        <v/>
      </c>
      <c r="J144" s="18">
        <f>IF($Z144="","",IF(AND(DATE($AD144,1,1)&gt;=$AE144,DATE($AD144,1,1)&lt;=$AF144),ROUND($AG144,2),0))</f>
        <v/>
      </c>
      <c r="K144" s="18">
        <f>IF($Z144="","",IF(AND(DATE($AD144,2,1)&gt;=$AE144,DATE($AD144,2,1)&lt;=$AF144),ROUND($AG144,2),0))</f>
        <v/>
      </c>
      <c r="L144" s="18">
        <f>IF($Z144="","",IF(AND(DATE($AD144,3,1)&gt;=$AE144,DATE($AD144,3,1)&lt;=$AF144),ROUND($AG144,2),0))</f>
        <v/>
      </c>
      <c r="M144" s="18">
        <f>IF($Z144="","",IF(AND(DATE($AD144,4,1)&gt;=$AE144,DATE($AD144,4,1)&lt;=$AF144),ROUND($AG144,2),0))</f>
        <v/>
      </c>
      <c r="N144" s="18">
        <f>IF($Z144="","",IF(AND(DATE($AD144,5,1)&gt;=$AE144,DATE($AD144,5,1)&lt;=$AF144),ROUND($AG144,2),0))</f>
        <v/>
      </c>
      <c r="O144" s="18">
        <f>IF($Z144="","",IF(AND(DATE($AD144,6,1)&gt;=$AE144,DATE($AD144,6,1)&lt;=$AF144),ROUND($AG144,2),0))</f>
        <v/>
      </c>
      <c r="P144" s="18">
        <f>IF($Z144="","",IF(AND(DATE($AD144,7,1)&gt;=$AE144,DATE($AD144,7,1)&lt;=$AF144),ROUND($AG144,2),0))</f>
        <v/>
      </c>
      <c r="Q144" s="18">
        <f>IF($Z144="","",IF(AND(DATE($AD144,8,1)&gt;=$AE144,DATE($AD144,8,1)&lt;=$AF144),ROUND($AG144,2),0))</f>
        <v/>
      </c>
      <c r="R144" s="18">
        <f>IF($Z144="","",IF(AND(DATE($AD144,9,1)&gt;=$AE144,DATE($AD144,9,1)&lt;=$AF144),ROUND($AG144,2),0))</f>
        <v/>
      </c>
      <c r="S144" s="18">
        <f>IF($Z144="","",IF(AND(DATE($AD144,10,1)&gt;=$AE144,DATE($AD144,10,1)&lt;=$AF144),ROUND($AG144,2),0))</f>
        <v/>
      </c>
      <c r="T144" s="18">
        <f>IF($Z144="","",IF(AND(DATE($AD144,11,1)&gt;=$AE144,DATE($AD144,11,1)&lt;=$AF144),ROUND($AG144,2),0))</f>
        <v/>
      </c>
      <c r="U144" s="18">
        <f>IF($Z144="","",IF(AND(DATE($AD144,12,1)&gt;=$AE144,DATE($AD144,12,1)&lt;=$AF144),ROUND($AG144,2),0))</f>
        <v/>
      </c>
      <c r="V144" s="7">
        <f>IF($Z144="C","Generated from "&amp;INDEX(Contracts!$A$2:$A$151,$AB144),IF($Z144="A","Generated from "&amp;INDEX(Fixed_Assets!$A$2:$A$201,$AB144),IF($Z144="F","Generated from "&amp;INDEX(FTE_Allocation!$A$2:$A$201,$AB144),"")))</f>
        <v/>
      </c>
      <c r="X144" s="19">
        <f>IF($Z144="","",SUM(J144:U144))</f>
        <v/>
      </c>
      <c r="Y144" s="20">
        <f>ROW()-1</f>
        <v/>
      </c>
      <c r="Z144" s="20">
        <f>IF($Y144&lt;=Settings!$B$4*3,"C",IF($Y144&lt;=(Settings!$B$4+Settings!$B$5)*3,"A",IF($Y144&lt;=(Settings!$B$4+Settings!$B$5+Settings!$B$6)*3,"F","")))</f>
        <v/>
      </c>
      <c r="AA144" s="20">
        <f>IF($Z144="C",$Y144,IF($Z144="A",$Y144-Settings!$B$4*3,IF($Z144="F",$Y144-(Settings!$B$4+Settings!$B$5)*3,"")))</f>
        <v/>
      </c>
      <c r="AB144" s="20">
        <f>IF($Z144="","",INT(($AA144-1)/3)+1)</f>
        <v/>
      </c>
      <c r="AC144" s="20">
        <f>IF($Z144="","",MOD($AA144-1,3)+1)</f>
        <v/>
      </c>
      <c r="AD144" s="20">
        <f>IF($Z144="","",Settings!$B$2+$AC144-1)</f>
        <v/>
      </c>
      <c r="AE144" s="21">
        <f>IF($Z144="C",DATE(YEAR(INDEX(Contracts!$J$2:$J$151,$AB144)),MONTH(INDEX(Contracts!$J$2:$J$151,$AB144)),1),IF($Z144="A",DATE(YEAR(INDEX(Fixed_Assets!$G$2:$G$201,$AB144)),MONTH(INDEX(Fixed_Assets!$G$2:$G$201,$AB144)),1),IF($Z144="F",DATE(YEAR(MAX(N(INDEX(Workforce!$I$2:$I$151,MATCH(INDEX(FTE_Allocation!$A$2:$A$201,$AB144),Workforce!$A$2:$A$151,0))),N(INDEX(FTE_Allocation!$I$2:$I$201,$AB144)))),MONTH(MAX(N(INDEX(Workforce!$I$2:$I$151,MATCH(INDEX(FTE_Allocation!$A$2:$A$201,$AB144),Workforce!$A$2:$A$151,0))),N(INDEX(FTE_Allocation!$I$2:$I$201,$AB144)))),1),"")))</f>
        <v/>
      </c>
      <c r="AF144" s="21">
        <f>IF($Z144="C",IF(INDEX(Contracts!$I$2:$I$151,$AB144)="PREPAID",EDATE(DATE(YEAR(INDEX(Contracts!$J$2:$J$151,$AB144)),MONTH(INDEX(Contracts!$J$2:$J$151,$AB144)),1),IF(INDEX(Contracts!$N$2:$N$151,$AB144)="",12,INDEX(Contracts!$N$2:$N$151,$AB144))-1),IF(INDEX(Contracts!$I$2:$I$151,$AB144)="MONTHLY",IF(INDEX(Contracts!$K$2:$K$151,$AB144)="",2958101,INDEX(Contracts!$K$2:$K$151,$AB144)),0)),IF($Z144="A",EDATE(DATE(YEAR(INDEX(Fixed_Assets!$G$2:$G$201,$AB144)),MONTH(INDEX(Fixed_Assets!$G$2:$G$201,$AB144)),1),INDEX(Fixed_Assets!$J$2:$J$201,$AB144)-1),IF($Z144="F",MIN(IF(INDEX(Workforce!$J$2:$J$151,MATCH(INDEX(FTE_Allocation!$A$2:$A$201,$AB144),Workforce!$A$2:$A$151,0))="",2958101,INDEX(Workforce!$J$2:$J$151,MATCH(INDEX(FTE_Allocation!$A$2:$A$201,$AB144),Workforce!$A$2:$A$151,0))),IF(INDEX(FTE_Allocation!$J$2:$J$201,$AB144)="",2958101,INDEX(FTE_Allocation!$J$2:$J$201,$AB144))),"")))</f>
        <v/>
      </c>
      <c r="AG144" s="19">
        <f>IF($Z144="C",IF(INDEX(Contracts!$I$2:$I$151,$AB144)="PREPAID",INDEX(Contracts!$M$2:$M$151,$AB144)/IF(INDEX(Contracts!$N$2:$N$151,$AB144)="",12,INDEX(Contracts!$N$2:$N$151,$AB144)),IF(INDEX(Contracts!$I$2:$I$151,$AB144)="MONTHLY",INDEX(Contracts!$M$2:$M$151,$AB144),0))*(1-N(INDEX(Contracts!$O$2:$O$151,$AB144))),IF($Z144="A",INDEX(Fixed_Assets!$H$2:$H$201,$AB144)/INDEX(Fixed_Assets!$J$2:$J$201,$AB144),IF($Z144="F",INDEX(Workforce!$F$2:$F$151,MATCH(INDEX(FTE_Allocation!$A$2:$A$201,$AB144),Workforce!$A$2:$A$151,0))*N(INDEX(FTE_Allocation!$F$2:$H$201,$AB144,$AC144)),"")))</f>
        <v/>
      </c>
    </row>
    <row r="145">
      <c r="A145" s="7">
        <f>IF($Z145="","",$AD145)</f>
        <v/>
      </c>
      <c r="B145" s="7">
        <f>IF($Z145="C",INDEX(Contracts!$D$2:$D$151,$AB145)&amp;"",IF($Z145="A",INDEX(Fixed_Assets!$C$2:$C$201,$AB145)&amp;"",IF($Z145="F",INDEX(Workforce!$B$2:$B$151,MATCH(INDEX(FTE_Allocation!$A$2:$A$201,$AB145),Workforce!$A$2:$A$151,0))&amp;"","")))</f>
        <v/>
      </c>
      <c r="C145" s="7">
        <f>IF($Z145="C",INDEX(Contracts!$E$2:$E$151,$AB145)&amp;"",IF($Z145="A",INDEX(Fixed_Assets!$D$2:$D$201,$AB145)&amp;"",IF($Z145="F",INDEX(FTE_Allocation!$C$2:$C$201,$AB145)&amp;"","")))</f>
        <v/>
      </c>
      <c r="D145" s="7">
        <f>IF($Z145="C",INDEX(Contracts!$B$2:$B$151,$AB145)&amp;"",IF($Z145="A",INDEX(Fixed_Assets!$B$2:$B$201,$AB145)&amp;"",IF($Z145="F",INDEX(FTE_Allocation!$B$2:$B$201,$AB145)&amp;"","")))</f>
        <v/>
      </c>
      <c r="E145" s="7">
        <f>IF($Z145="C",INDEX(Contracts!$P$2:$P$151,$AB145)&amp;"",IF($Z145="A",INDEX(Fixed_Assets!$K$2:$K$201,$AB145)&amp;"",IF($Z145="F",IF(INDEX(FTE_Allocation!$D$2:$D$201,$AB145)="PROJECT",IFERROR(INDEX(Projects!$D:$D,MATCH(INDEX(FTE_Allocation!$E$2:$E$201,$AB145),Projects!$A:$A,0))&amp;"","#PROJECT?"),INDEX(FTE_Allocation!$E$2:$E$201,$AB145)&amp;""),"")))</f>
        <v/>
      </c>
      <c r="F145" s="7">
        <f>IF($Z145="C",INDEX(Contracts!$Q$2:$Q$151,$AB145)&amp;"",IF($Z145="A",INDEX(Fixed_Assets!$L$2:$L$201,$AB145)&amp;"",IF($Z145="F",INDEX(Workforce!$K$2:$K$151,MATCH(INDEX(FTE_Allocation!$A$2:$A$201,$AB145),Workforce!$A$2:$A$151,0))&amp;"","")))</f>
        <v/>
      </c>
      <c r="G145" s="7">
        <f>IF($Z145="C",INDEX(Contracts!$F$2:$F$151,$AB145)&amp;" / "&amp;INDEX(Contracts!$G$2:$G$151,$AB145),IF($Z145="A",INDEX(Fixed_Assets!$E$2:$E$201,$AB145)&amp;"",IF($Z145="F","Personnel "&amp;INDEX(FTE_Allocation!$A$2:$A$201,$AB145)&amp;IF(INDEX(FTE_Allocation!$D$2:$D$201,$AB145)="PROJECT"," ("&amp;INDEX(FTE_Allocation!$E$2:$E$201,$AB145)&amp;")",""),"")))</f>
        <v/>
      </c>
      <c r="H145" s="7">
        <f>IF($Z145="C","CONTRACT",IF($Z145="A","ASSET",IF($Z145="F","WORKFORCE","")))</f>
        <v/>
      </c>
      <c r="I145" s="7">
        <f>IF($Z145="C",INDEX(Contracts!$L$2:$L$151,$AB145)&amp;"",IF($Z145="A",INDEX(Fixed_Assets!$I$2:$I$201,$AB145)&amp;"",IF($Z145="F",INDEX(Workforce!$G$2:$G$151,MATCH(INDEX(FTE_Allocation!$A$2:$A$201,$AB145),Workforce!$A$2:$A$151,0))&amp;"","")))</f>
        <v/>
      </c>
      <c r="J145" s="18">
        <f>IF($Z145="","",IF(AND(DATE($AD145,1,1)&gt;=$AE145,DATE($AD145,1,1)&lt;=$AF145),ROUND($AG145,2),0))</f>
        <v/>
      </c>
      <c r="K145" s="18">
        <f>IF($Z145="","",IF(AND(DATE($AD145,2,1)&gt;=$AE145,DATE($AD145,2,1)&lt;=$AF145),ROUND($AG145,2),0))</f>
        <v/>
      </c>
      <c r="L145" s="18">
        <f>IF($Z145="","",IF(AND(DATE($AD145,3,1)&gt;=$AE145,DATE($AD145,3,1)&lt;=$AF145),ROUND($AG145,2),0))</f>
        <v/>
      </c>
      <c r="M145" s="18">
        <f>IF($Z145="","",IF(AND(DATE($AD145,4,1)&gt;=$AE145,DATE($AD145,4,1)&lt;=$AF145),ROUND($AG145,2),0))</f>
        <v/>
      </c>
      <c r="N145" s="18">
        <f>IF($Z145="","",IF(AND(DATE($AD145,5,1)&gt;=$AE145,DATE($AD145,5,1)&lt;=$AF145),ROUND($AG145,2),0))</f>
        <v/>
      </c>
      <c r="O145" s="18">
        <f>IF($Z145="","",IF(AND(DATE($AD145,6,1)&gt;=$AE145,DATE($AD145,6,1)&lt;=$AF145),ROUND($AG145,2),0))</f>
        <v/>
      </c>
      <c r="P145" s="18">
        <f>IF($Z145="","",IF(AND(DATE($AD145,7,1)&gt;=$AE145,DATE($AD145,7,1)&lt;=$AF145),ROUND($AG145,2),0))</f>
        <v/>
      </c>
      <c r="Q145" s="18">
        <f>IF($Z145="","",IF(AND(DATE($AD145,8,1)&gt;=$AE145,DATE($AD145,8,1)&lt;=$AF145),ROUND($AG145,2),0))</f>
        <v/>
      </c>
      <c r="R145" s="18">
        <f>IF($Z145="","",IF(AND(DATE($AD145,9,1)&gt;=$AE145,DATE($AD145,9,1)&lt;=$AF145),ROUND($AG145,2),0))</f>
        <v/>
      </c>
      <c r="S145" s="18">
        <f>IF($Z145="","",IF(AND(DATE($AD145,10,1)&gt;=$AE145,DATE($AD145,10,1)&lt;=$AF145),ROUND($AG145,2),0))</f>
        <v/>
      </c>
      <c r="T145" s="18">
        <f>IF($Z145="","",IF(AND(DATE($AD145,11,1)&gt;=$AE145,DATE($AD145,11,1)&lt;=$AF145),ROUND($AG145,2),0))</f>
        <v/>
      </c>
      <c r="U145" s="18">
        <f>IF($Z145="","",IF(AND(DATE($AD145,12,1)&gt;=$AE145,DATE($AD145,12,1)&lt;=$AF145),ROUND($AG145,2),0))</f>
        <v/>
      </c>
      <c r="V145" s="7">
        <f>IF($Z145="C","Generated from "&amp;INDEX(Contracts!$A$2:$A$151,$AB145),IF($Z145="A","Generated from "&amp;INDEX(Fixed_Assets!$A$2:$A$201,$AB145),IF($Z145="F","Generated from "&amp;INDEX(FTE_Allocation!$A$2:$A$201,$AB145),"")))</f>
        <v/>
      </c>
      <c r="X145" s="19">
        <f>IF($Z145="","",SUM(J145:U145))</f>
        <v/>
      </c>
      <c r="Y145" s="20">
        <f>ROW()-1</f>
        <v/>
      </c>
      <c r="Z145" s="20">
        <f>IF($Y145&lt;=Settings!$B$4*3,"C",IF($Y145&lt;=(Settings!$B$4+Settings!$B$5)*3,"A",IF($Y145&lt;=(Settings!$B$4+Settings!$B$5+Settings!$B$6)*3,"F","")))</f>
        <v/>
      </c>
      <c r="AA145" s="20">
        <f>IF($Z145="C",$Y145,IF($Z145="A",$Y145-Settings!$B$4*3,IF($Z145="F",$Y145-(Settings!$B$4+Settings!$B$5)*3,"")))</f>
        <v/>
      </c>
      <c r="AB145" s="20">
        <f>IF($Z145="","",INT(($AA145-1)/3)+1)</f>
        <v/>
      </c>
      <c r="AC145" s="20">
        <f>IF($Z145="","",MOD($AA145-1,3)+1)</f>
        <v/>
      </c>
      <c r="AD145" s="20">
        <f>IF($Z145="","",Settings!$B$2+$AC145-1)</f>
        <v/>
      </c>
      <c r="AE145" s="21">
        <f>IF($Z145="C",DATE(YEAR(INDEX(Contracts!$J$2:$J$151,$AB145)),MONTH(INDEX(Contracts!$J$2:$J$151,$AB145)),1),IF($Z145="A",DATE(YEAR(INDEX(Fixed_Assets!$G$2:$G$201,$AB145)),MONTH(INDEX(Fixed_Assets!$G$2:$G$201,$AB145)),1),IF($Z145="F",DATE(YEAR(MAX(N(INDEX(Workforce!$I$2:$I$151,MATCH(INDEX(FTE_Allocation!$A$2:$A$201,$AB145),Workforce!$A$2:$A$151,0))),N(INDEX(FTE_Allocation!$I$2:$I$201,$AB145)))),MONTH(MAX(N(INDEX(Workforce!$I$2:$I$151,MATCH(INDEX(FTE_Allocation!$A$2:$A$201,$AB145),Workforce!$A$2:$A$151,0))),N(INDEX(FTE_Allocation!$I$2:$I$201,$AB145)))),1),"")))</f>
        <v/>
      </c>
      <c r="AF145" s="21">
        <f>IF($Z145="C",IF(INDEX(Contracts!$I$2:$I$151,$AB145)="PREPAID",EDATE(DATE(YEAR(INDEX(Contracts!$J$2:$J$151,$AB145)),MONTH(INDEX(Contracts!$J$2:$J$151,$AB145)),1),IF(INDEX(Contracts!$N$2:$N$151,$AB145)="",12,INDEX(Contracts!$N$2:$N$151,$AB145))-1),IF(INDEX(Contracts!$I$2:$I$151,$AB145)="MONTHLY",IF(INDEX(Contracts!$K$2:$K$151,$AB145)="",2958101,INDEX(Contracts!$K$2:$K$151,$AB145)),0)),IF($Z145="A",EDATE(DATE(YEAR(INDEX(Fixed_Assets!$G$2:$G$201,$AB145)),MONTH(INDEX(Fixed_Assets!$G$2:$G$201,$AB145)),1),INDEX(Fixed_Assets!$J$2:$J$201,$AB145)-1),IF($Z145="F",MIN(IF(INDEX(Workforce!$J$2:$J$151,MATCH(INDEX(FTE_Allocation!$A$2:$A$201,$AB145),Workforce!$A$2:$A$151,0))="",2958101,INDEX(Workforce!$J$2:$J$151,MATCH(INDEX(FTE_Allocation!$A$2:$A$201,$AB145),Workforce!$A$2:$A$151,0))),IF(INDEX(FTE_Allocation!$J$2:$J$201,$AB145)="",2958101,INDEX(FTE_Allocation!$J$2:$J$201,$AB145))),"")))</f>
        <v/>
      </c>
      <c r="AG145" s="19">
        <f>IF($Z145="C",IF(INDEX(Contracts!$I$2:$I$151,$AB145)="PREPAID",INDEX(Contracts!$M$2:$M$151,$AB145)/IF(INDEX(Contracts!$N$2:$N$151,$AB145)="",12,INDEX(Contracts!$N$2:$N$151,$AB145)),IF(INDEX(Contracts!$I$2:$I$151,$AB145)="MONTHLY",INDEX(Contracts!$M$2:$M$151,$AB145),0))*(1-N(INDEX(Contracts!$O$2:$O$151,$AB145))),IF($Z145="A",INDEX(Fixed_Assets!$H$2:$H$201,$AB145)/INDEX(Fixed_Assets!$J$2:$J$201,$AB145),IF($Z145="F",INDEX(Workforce!$F$2:$F$151,MATCH(INDEX(FTE_Allocation!$A$2:$A$201,$AB145),Workforce!$A$2:$A$151,0))*N(INDEX(FTE_Allocation!$F$2:$H$201,$AB145,$AC145)),"")))</f>
        <v/>
      </c>
    </row>
    <row r="146">
      <c r="A146" s="7">
        <f>IF($Z146="","",$AD146)</f>
        <v/>
      </c>
      <c r="B146" s="7">
        <f>IF($Z146="C",INDEX(Contracts!$D$2:$D$151,$AB146)&amp;"",IF($Z146="A",INDEX(Fixed_Assets!$C$2:$C$201,$AB146)&amp;"",IF($Z146="F",INDEX(Workforce!$B$2:$B$151,MATCH(INDEX(FTE_Allocation!$A$2:$A$201,$AB146),Workforce!$A$2:$A$151,0))&amp;"","")))</f>
        <v/>
      </c>
      <c r="C146" s="7">
        <f>IF($Z146="C",INDEX(Contracts!$E$2:$E$151,$AB146)&amp;"",IF($Z146="A",INDEX(Fixed_Assets!$D$2:$D$201,$AB146)&amp;"",IF($Z146="F",INDEX(FTE_Allocation!$C$2:$C$201,$AB146)&amp;"","")))</f>
        <v/>
      </c>
      <c r="D146" s="7">
        <f>IF($Z146="C",INDEX(Contracts!$B$2:$B$151,$AB146)&amp;"",IF($Z146="A",INDEX(Fixed_Assets!$B$2:$B$201,$AB146)&amp;"",IF($Z146="F",INDEX(FTE_Allocation!$B$2:$B$201,$AB146)&amp;"","")))</f>
        <v/>
      </c>
      <c r="E146" s="7">
        <f>IF($Z146="C",INDEX(Contracts!$P$2:$P$151,$AB146)&amp;"",IF($Z146="A",INDEX(Fixed_Assets!$K$2:$K$201,$AB146)&amp;"",IF($Z146="F",IF(INDEX(FTE_Allocation!$D$2:$D$201,$AB146)="PROJECT",IFERROR(INDEX(Projects!$D:$D,MATCH(INDEX(FTE_Allocation!$E$2:$E$201,$AB146),Projects!$A:$A,0))&amp;"","#PROJECT?"),INDEX(FTE_Allocation!$E$2:$E$201,$AB146)&amp;""),"")))</f>
        <v/>
      </c>
      <c r="F146" s="7">
        <f>IF($Z146="C",INDEX(Contracts!$Q$2:$Q$151,$AB146)&amp;"",IF($Z146="A",INDEX(Fixed_Assets!$L$2:$L$201,$AB146)&amp;"",IF($Z146="F",INDEX(Workforce!$K$2:$K$151,MATCH(INDEX(FTE_Allocation!$A$2:$A$201,$AB146),Workforce!$A$2:$A$151,0))&amp;"","")))</f>
        <v/>
      </c>
      <c r="G146" s="7">
        <f>IF($Z146="C",INDEX(Contracts!$F$2:$F$151,$AB146)&amp;" / "&amp;INDEX(Contracts!$G$2:$G$151,$AB146),IF($Z146="A",INDEX(Fixed_Assets!$E$2:$E$201,$AB146)&amp;"",IF($Z146="F","Personnel "&amp;INDEX(FTE_Allocation!$A$2:$A$201,$AB146)&amp;IF(INDEX(FTE_Allocation!$D$2:$D$201,$AB146)="PROJECT"," ("&amp;INDEX(FTE_Allocation!$E$2:$E$201,$AB146)&amp;")",""),"")))</f>
        <v/>
      </c>
      <c r="H146" s="7">
        <f>IF($Z146="C","CONTRACT",IF($Z146="A","ASSET",IF($Z146="F","WORKFORCE","")))</f>
        <v/>
      </c>
      <c r="I146" s="7">
        <f>IF($Z146="C",INDEX(Contracts!$L$2:$L$151,$AB146)&amp;"",IF($Z146="A",INDEX(Fixed_Assets!$I$2:$I$201,$AB146)&amp;"",IF($Z146="F",INDEX(Workforce!$G$2:$G$151,MATCH(INDEX(FTE_Allocation!$A$2:$A$201,$AB146),Workforce!$A$2:$A$151,0))&amp;"","")))</f>
        <v/>
      </c>
      <c r="J146" s="18">
        <f>IF($Z146="","",IF(AND(DATE($AD146,1,1)&gt;=$AE146,DATE($AD146,1,1)&lt;=$AF146),ROUND($AG146,2),0))</f>
        <v/>
      </c>
      <c r="K146" s="18">
        <f>IF($Z146="","",IF(AND(DATE($AD146,2,1)&gt;=$AE146,DATE($AD146,2,1)&lt;=$AF146),ROUND($AG146,2),0))</f>
        <v/>
      </c>
      <c r="L146" s="18">
        <f>IF($Z146="","",IF(AND(DATE($AD146,3,1)&gt;=$AE146,DATE($AD146,3,1)&lt;=$AF146),ROUND($AG146,2),0))</f>
        <v/>
      </c>
      <c r="M146" s="18">
        <f>IF($Z146="","",IF(AND(DATE($AD146,4,1)&gt;=$AE146,DATE($AD146,4,1)&lt;=$AF146),ROUND($AG146,2),0))</f>
        <v/>
      </c>
      <c r="N146" s="18">
        <f>IF($Z146="","",IF(AND(DATE($AD146,5,1)&gt;=$AE146,DATE($AD146,5,1)&lt;=$AF146),ROUND($AG146,2),0))</f>
        <v/>
      </c>
      <c r="O146" s="18">
        <f>IF($Z146="","",IF(AND(DATE($AD146,6,1)&gt;=$AE146,DATE($AD146,6,1)&lt;=$AF146),ROUND($AG146,2),0))</f>
        <v/>
      </c>
      <c r="P146" s="18">
        <f>IF($Z146="","",IF(AND(DATE($AD146,7,1)&gt;=$AE146,DATE($AD146,7,1)&lt;=$AF146),ROUND($AG146,2),0))</f>
        <v/>
      </c>
      <c r="Q146" s="18">
        <f>IF($Z146="","",IF(AND(DATE($AD146,8,1)&gt;=$AE146,DATE($AD146,8,1)&lt;=$AF146),ROUND($AG146,2),0))</f>
        <v/>
      </c>
      <c r="R146" s="18">
        <f>IF($Z146="","",IF(AND(DATE($AD146,9,1)&gt;=$AE146,DATE($AD146,9,1)&lt;=$AF146),ROUND($AG146,2),0))</f>
        <v/>
      </c>
      <c r="S146" s="18">
        <f>IF($Z146="","",IF(AND(DATE($AD146,10,1)&gt;=$AE146,DATE($AD146,10,1)&lt;=$AF146),ROUND($AG146,2),0))</f>
        <v/>
      </c>
      <c r="T146" s="18">
        <f>IF($Z146="","",IF(AND(DATE($AD146,11,1)&gt;=$AE146,DATE($AD146,11,1)&lt;=$AF146),ROUND($AG146,2),0))</f>
        <v/>
      </c>
      <c r="U146" s="18">
        <f>IF($Z146="","",IF(AND(DATE($AD146,12,1)&gt;=$AE146,DATE($AD146,12,1)&lt;=$AF146),ROUND($AG146,2),0))</f>
        <v/>
      </c>
      <c r="V146" s="7">
        <f>IF($Z146="C","Generated from "&amp;INDEX(Contracts!$A$2:$A$151,$AB146),IF($Z146="A","Generated from "&amp;INDEX(Fixed_Assets!$A$2:$A$201,$AB146),IF($Z146="F","Generated from "&amp;INDEX(FTE_Allocation!$A$2:$A$201,$AB146),"")))</f>
        <v/>
      </c>
      <c r="X146" s="19">
        <f>IF($Z146="","",SUM(J146:U146))</f>
        <v/>
      </c>
      <c r="Y146" s="20">
        <f>ROW()-1</f>
        <v/>
      </c>
      <c r="Z146" s="20">
        <f>IF($Y146&lt;=Settings!$B$4*3,"C",IF($Y146&lt;=(Settings!$B$4+Settings!$B$5)*3,"A",IF($Y146&lt;=(Settings!$B$4+Settings!$B$5+Settings!$B$6)*3,"F","")))</f>
        <v/>
      </c>
      <c r="AA146" s="20">
        <f>IF($Z146="C",$Y146,IF($Z146="A",$Y146-Settings!$B$4*3,IF($Z146="F",$Y146-(Settings!$B$4+Settings!$B$5)*3,"")))</f>
        <v/>
      </c>
      <c r="AB146" s="20">
        <f>IF($Z146="","",INT(($AA146-1)/3)+1)</f>
        <v/>
      </c>
      <c r="AC146" s="20">
        <f>IF($Z146="","",MOD($AA146-1,3)+1)</f>
        <v/>
      </c>
      <c r="AD146" s="20">
        <f>IF($Z146="","",Settings!$B$2+$AC146-1)</f>
        <v/>
      </c>
      <c r="AE146" s="21">
        <f>IF($Z146="C",DATE(YEAR(INDEX(Contracts!$J$2:$J$151,$AB146)),MONTH(INDEX(Contracts!$J$2:$J$151,$AB146)),1),IF($Z146="A",DATE(YEAR(INDEX(Fixed_Assets!$G$2:$G$201,$AB146)),MONTH(INDEX(Fixed_Assets!$G$2:$G$201,$AB146)),1),IF($Z146="F",DATE(YEAR(MAX(N(INDEX(Workforce!$I$2:$I$151,MATCH(INDEX(FTE_Allocation!$A$2:$A$201,$AB146),Workforce!$A$2:$A$151,0))),N(INDEX(FTE_Allocation!$I$2:$I$201,$AB146)))),MONTH(MAX(N(INDEX(Workforce!$I$2:$I$151,MATCH(INDEX(FTE_Allocation!$A$2:$A$201,$AB146),Workforce!$A$2:$A$151,0))),N(INDEX(FTE_Allocation!$I$2:$I$201,$AB146)))),1),"")))</f>
        <v/>
      </c>
      <c r="AF146" s="21">
        <f>IF($Z146="C",IF(INDEX(Contracts!$I$2:$I$151,$AB146)="PREPAID",EDATE(DATE(YEAR(INDEX(Contracts!$J$2:$J$151,$AB146)),MONTH(INDEX(Contracts!$J$2:$J$151,$AB146)),1),IF(INDEX(Contracts!$N$2:$N$151,$AB146)="",12,INDEX(Contracts!$N$2:$N$151,$AB146))-1),IF(INDEX(Contracts!$I$2:$I$151,$AB146)="MONTHLY",IF(INDEX(Contracts!$K$2:$K$151,$AB146)="",2958101,INDEX(Contracts!$K$2:$K$151,$AB146)),0)),IF($Z146="A",EDATE(DATE(YEAR(INDEX(Fixed_Assets!$G$2:$G$201,$AB146)),MONTH(INDEX(Fixed_Assets!$G$2:$G$201,$AB146)),1),INDEX(Fixed_Assets!$J$2:$J$201,$AB146)-1),IF($Z146="F",MIN(IF(INDEX(Workforce!$J$2:$J$151,MATCH(INDEX(FTE_Allocation!$A$2:$A$201,$AB146),Workforce!$A$2:$A$151,0))="",2958101,INDEX(Workforce!$J$2:$J$151,MATCH(INDEX(FTE_Allocation!$A$2:$A$201,$AB146),Workforce!$A$2:$A$151,0))),IF(INDEX(FTE_Allocation!$J$2:$J$201,$AB146)="",2958101,INDEX(FTE_Allocation!$J$2:$J$201,$AB146))),"")))</f>
        <v/>
      </c>
      <c r="AG146" s="19">
        <f>IF($Z146="C",IF(INDEX(Contracts!$I$2:$I$151,$AB146)="PREPAID",INDEX(Contracts!$M$2:$M$151,$AB146)/IF(INDEX(Contracts!$N$2:$N$151,$AB146)="",12,INDEX(Contracts!$N$2:$N$151,$AB146)),IF(INDEX(Contracts!$I$2:$I$151,$AB146)="MONTHLY",INDEX(Contracts!$M$2:$M$151,$AB146),0))*(1-N(INDEX(Contracts!$O$2:$O$151,$AB146))),IF($Z146="A",INDEX(Fixed_Assets!$H$2:$H$201,$AB146)/INDEX(Fixed_Assets!$J$2:$J$201,$AB146),IF($Z146="F",INDEX(Workforce!$F$2:$F$151,MATCH(INDEX(FTE_Allocation!$A$2:$A$201,$AB146),Workforce!$A$2:$A$151,0))*N(INDEX(FTE_Allocation!$F$2:$H$201,$AB146,$AC146)),"")))</f>
        <v/>
      </c>
    </row>
    <row r="147">
      <c r="A147" s="7">
        <f>IF($Z147="","",$AD147)</f>
        <v/>
      </c>
      <c r="B147" s="7">
        <f>IF($Z147="C",INDEX(Contracts!$D$2:$D$151,$AB147)&amp;"",IF($Z147="A",INDEX(Fixed_Assets!$C$2:$C$201,$AB147)&amp;"",IF($Z147="F",INDEX(Workforce!$B$2:$B$151,MATCH(INDEX(FTE_Allocation!$A$2:$A$201,$AB147),Workforce!$A$2:$A$151,0))&amp;"","")))</f>
        <v/>
      </c>
      <c r="C147" s="7">
        <f>IF($Z147="C",INDEX(Contracts!$E$2:$E$151,$AB147)&amp;"",IF($Z147="A",INDEX(Fixed_Assets!$D$2:$D$201,$AB147)&amp;"",IF($Z147="F",INDEX(FTE_Allocation!$C$2:$C$201,$AB147)&amp;"","")))</f>
        <v/>
      </c>
      <c r="D147" s="7">
        <f>IF($Z147="C",INDEX(Contracts!$B$2:$B$151,$AB147)&amp;"",IF($Z147="A",INDEX(Fixed_Assets!$B$2:$B$201,$AB147)&amp;"",IF($Z147="F",INDEX(FTE_Allocation!$B$2:$B$201,$AB147)&amp;"","")))</f>
        <v/>
      </c>
      <c r="E147" s="7">
        <f>IF($Z147="C",INDEX(Contracts!$P$2:$P$151,$AB147)&amp;"",IF($Z147="A",INDEX(Fixed_Assets!$K$2:$K$201,$AB147)&amp;"",IF($Z147="F",IF(INDEX(FTE_Allocation!$D$2:$D$201,$AB147)="PROJECT",IFERROR(INDEX(Projects!$D:$D,MATCH(INDEX(FTE_Allocation!$E$2:$E$201,$AB147),Projects!$A:$A,0))&amp;"","#PROJECT?"),INDEX(FTE_Allocation!$E$2:$E$201,$AB147)&amp;""),"")))</f>
        <v/>
      </c>
      <c r="F147" s="7">
        <f>IF($Z147="C",INDEX(Contracts!$Q$2:$Q$151,$AB147)&amp;"",IF($Z147="A",INDEX(Fixed_Assets!$L$2:$L$201,$AB147)&amp;"",IF($Z147="F",INDEX(Workforce!$K$2:$K$151,MATCH(INDEX(FTE_Allocation!$A$2:$A$201,$AB147),Workforce!$A$2:$A$151,0))&amp;"","")))</f>
        <v/>
      </c>
      <c r="G147" s="7">
        <f>IF($Z147="C",INDEX(Contracts!$F$2:$F$151,$AB147)&amp;" / "&amp;INDEX(Contracts!$G$2:$G$151,$AB147),IF($Z147="A",INDEX(Fixed_Assets!$E$2:$E$201,$AB147)&amp;"",IF($Z147="F","Personnel "&amp;INDEX(FTE_Allocation!$A$2:$A$201,$AB147)&amp;IF(INDEX(FTE_Allocation!$D$2:$D$201,$AB147)="PROJECT"," ("&amp;INDEX(FTE_Allocation!$E$2:$E$201,$AB147)&amp;")",""),"")))</f>
        <v/>
      </c>
      <c r="H147" s="7">
        <f>IF($Z147="C","CONTRACT",IF($Z147="A","ASSET",IF($Z147="F","WORKFORCE","")))</f>
        <v/>
      </c>
      <c r="I147" s="7">
        <f>IF($Z147="C",INDEX(Contracts!$L$2:$L$151,$AB147)&amp;"",IF($Z147="A",INDEX(Fixed_Assets!$I$2:$I$201,$AB147)&amp;"",IF($Z147="F",INDEX(Workforce!$G$2:$G$151,MATCH(INDEX(FTE_Allocation!$A$2:$A$201,$AB147),Workforce!$A$2:$A$151,0))&amp;"","")))</f>
        <v/>
      </c>
      <c r="J147" s="18">
        <f>IF($Z147="","",IF(AND(DATE($AD147,1,1)&gt;=$AE147,DATE($AD147,1,1)&lt;=$AF147),ROUND($AG147,2),0))</f>
        <v/>
      </c>
      <c r="K147" s="18">
        <f>IF($Z147="","",IF(AND(DATE($AD147,2,1)&gt;=$AE147,DATE($AD147,2,1)&lt;=$AF147),ROUND($AG147,2),0))</f>
        <v/>
      </c>
      <c r="L147" s="18">
        <f>IF($Z147="","",IF(AND(DATE($AD147,3,1)&gt;=$AE147,DATE($AD147,3,1)&lt;=$AF147),ROUND($AG147,2),0))</f>
        <v/>
      </c>
      <c r="M147" s="18">
        <f>IF($Z147="","",IF(AND(DATE($AD147,4,1)&gt;=$AE147,DATE($AD147,4,1)&lt;=$AF147),ROUND($AG147,2),0))</f>
        <v/>
      </c>
      <c r="N147" s="18">
        <f>IF($Z147="","",IF(AND(DATE($AD147,5,1)&gt;=$AE147,DATE($AD147,5,1)&lt;=$AF147),ROUND($AG147,2),0))</f>
        <v/>
      </c>
      <c r="O147" s="18">
        <f>IF($Z147="","",IF(AND(DATE($AD147,6,1)&gt;=$AE147,DATE($AD147,6,1)&lt;=$AF147),ROUND($AG147,2),0))</f>
        <v/>
      </c>
      <c r="P147" s="18">
        <f>IF($Z147="","",IF(AND(DATE($AD147,7,1)&gt;=$AE147,DATE($AD147,7,1)&lt;=$AF147),ROUND($AG147,2),0))</f>
        <v/>
      </c>
      <c r="Q147" s="18">
        <f>IF($Z147="","",IF(AND(DATE($AD147,8,1)&gt;=$AE147,DATE($AD147,8,1)&lt;=$AF147),ROUND($AG147,2),0))</f>
        <v/>
      </c>
      <c r="R147" s="18">
        <f>IF($Z147="","",IF(AND(DATE($AD147,9,1)&gt;=$AE147,DATE($AD147,9,1)&lt;=$AF147),ROUND($AG147,2),0))</f>
        <v/>
      </c>
      <c r="S147" s="18">
        <f>IF($Z147="","",IF(AND(DATE($AD147,10,1)&gt;=$AE147,DATE($AD147,10,1)&lt;=$AF147),ROUND($AG147,2),0))</f>
        <v/>
      </c>
      <c r="T147" s="18">
        <f>IF($Z147="","",IF(AND(DATE($AD147,11,1)&gt;=$AE147,DATE($AD147,11,1)&lt;=$AF147),ROUND($AG147,2),0))</f>
        <v/>
      </c>
      <c r="U147" s="18">
        <f>IF($Z147="","",IF(AND(DATE($AD147,12,1)&gt;=$AE147,DATE($AD147,12,1)&lt;=$AF147),ROUND($AG147,2),0))</f>
        <v/>
      </c>
      <c r="V147" s="7">
        <f>IF($Z147="C","Generated from "&amp;INDEX(Contracts!$A$2:$A$151,$AB147),IF($Z147="A","Generated from "&amp;INDEX(Fixed_Assets!$A$2:$A$201,$AB147),IF($Z147="F","Generated from "&amp;INDEX(FTE_Allocation!$A$2:$A$201,$AB147),"")))</f>
        <v/>
      </c>
      <c r="X147" s="19">
        <f>IF($Z147="","",SUM(J147:U147))</f>
        <v/>
      </c>
      <c r="Y147" s="20">
        <f>ROW()-1</f>
        <v/>
      </c>
      <c r="Z147" s="20">
        <f>IF($Y147&lt;=Settings!$B$4*3,"C",IF($Y147&lt;=(Settings!$B$4+Settings!$B$5)*3,"A",IF($Y147&lt;=(Settings!$B$4+Settings!$B$5+Settings!$B$6)*3,"F","")))</f>
        <v/>
      </c>
      <c r="AA147" s="20">
        <f>IF($Z147="C",$Y147,IF($Z147="A",$Y147-Settings!$B$4*3,IF($Z147="F",$Y147-(Settings!$B$4+Settings!$B$5)*3,"")))</f>
        <v/>
      </c>
      <c r="AB147" s="20">
        <f>IF($Z147="","",INT(($AA147-1)/3)+1)</f>
        <v/>
      </c>
      <c r="AC147" s="20">
        <f>IF($Z147="","",MOD($AA147-1,3)+1)</f>
        <v/>
      </c>
      <c r="AD147" s="20">
        <f>IF($Z147="","",Settings!$B$2+$AC147-1)</f>
        <v/>
      </c>
      <c r="AE147" s="21">
        <f>IF($Z147="C",DATE(YEAR(INDEX(Contracts!$J$2:$J$151,$AB147)),MONTH(INDEX(Contracts!$J$2:$J$151,$AB147)),1),IF($Z147="A",DATE(YEAR(INDEX(Fixed_Assets!$G$2:$G$201,$AB147)),MONTH(INDEX(Fixed_Assets!$G$2:$G$201,$AB147)),1),IF($Z147="F",DATE(YEAR(MAX(N(INDEX(Workforce!$I$2:$I$151,MATCH(INDEX(FTE_Allocation!$A$2:$A$201,$AB147),Workforce!$A$2:$A$151,0))),N(INDEX(FTE_Allocation!$I$2:$I$201,$AB147)))),MONTH(MAX(N(INDEX(Workforce!$I$2:$I$151,MATCH(INDEX(FTE_Allocation!$A$2:$A$201,$AB147),Workforce!$A$2:$A$151,0))),N(INDEX(FTE_Allocation!$I$2:$I$201,$AB147)))),1),"")))</f>
        <v/>
      </c>
      <c r="AF147" s="21">
        <f>IF($Z147="C",IF(INDEX(Contracts!$I$2:$I$151,$AB147)="PREPAID",EDATE(DATE(YEAR(INDEX(Contracts!$J$2:$J$151,$AB147)),MONTH(INDEX(Contracts!$J$2:$J$151,$AB147)),1),IF(INDEX(Contracts!$N$2:$N$151,$AB147)="",12,INDEX(Contracts!$N$2:$N$151,$AB147))-1),IF(INDEX(Contracts!$I$2:$I$151,$AB147)="MONTHLY",IF(INDEX(Contracts!$K$2:$K$151,$AB147)="",2958101,INDEX(Contracts!$K$2:$K$151,$AB147)),0)),IF($Z147="A",EDATE(DATE(YEAR(INDEX(Fixed_Assets!$G$2:$G$201,$AB147)),MONTH(INDEX(Fixed_Assets!$G$2:$G$201,$AB147)),1),INDEX(Fixed_Assets!$J$2:$J$201,$AB147)-1),IF($Z147="F",MIN(IF(INDEX(Workforce!$J$2:$J$151,MATCH(INDEX(FTE_Allocation!$A$2:$A$201,$AB147),Workforce!$A$2:$A$151,0))="",2958101,INDEX(Workforce!$J$2:$J$151,MATCH(INDEX(FTE_Allocation!$A$2:$A$201,$AB147),Workforce!$A$2:$A$151,0))),IF(INDEX(FTE_Allocation!$J$2:$J$201,$AB147)="",2958101,INDEX(FTE_Allocation!$J$2:$J$201,$AB147))),"")))</f>
        <v/>
      </c>
      <c r="AG147" s="19">
        <f>IF($Z147="C",IF(INDEX(Contracts!$I$2:$I$151,$AB147)="PREPAID",INDEX(Contracts!$M$2:$M$151,$AB147)/IF(INDEX(Contracts!$N$2:$N$151,$AB147)="",12,INDEX(Contracts!$N$2:$N$151,$AB147)),IF(INDEX(Contracts!$I$2:$I$151,$AB147)="MONTHLY",INDEX(Contracts!$M$2:$M$151,$AB147),0))*(1-N(INDEX(Contracts!$O$2:$O$151,$AB147))),IF($Z147="A",INDEX(Fixed_Assets!$H$2:$H$201,$AB147)/INDEX(Fixed_Assets!$J$2:$J$201,$AB147),IF($Z147="F",INDEX(Workforce!$F$2:$F$151,MATCH(INDEX(FTE_Allocation!$A$2:$A$201,$AB147),Workforce!$A$2:$A$151,0))*N(INDEX(FTE_Allocation!$F$2:$H$201,$AB147,$AC147)),"")))</f>
        <v/>
      </c>
    </row>
    <row r="148">
      <c r="A148" s="7">
        <f>IF($Z148="","",$AD148)</f>
        <v/>
      </c>
      <c r="B148" s="7">
        <f>IF($Z148="C",INDEX(Contracts!$D$2:$D$151,$AB148)&amp;"",IF($Z148="A",INDEX(Fixed_Assets!$C$2:$C$201,$AB148)&amp;"",IF($Z148="F",INDEX(Workforce!$B$2:$B$151,MATCH(INDEX(FTE_Allocation!$A$2:$A$201,$AB148),Workforce!$A$2:$A$151,0))&amp;"","")))</f>
        <v/>
      </c>
      <c r="C148" s="7">
        <f>IF($Z148="C",INDEX(Contracts!$E$2:$E$151,$AB148)&amp;"",IF($Z148="A",INDEX(Fixed_Assets!$D$2:$D$201,$AB148)&amp;"",IF($Z148="F",INDEX(FTE_Allocation!$C$2:$C$201,$AB148)&amp;"","")))</f>
        <v/>
      </c>
      <c r="D148" s="7">
        <f>IF($Z148="C",INDEX(Contracts!$B$2:$B$151,$AB148)&amp;"",IF($Z148="A",INDEX(Fixed_Assets!$B$2:$B$201,$AB148)&amp;"",IF($Z148="F",INDEX(FTE_Allocation!$B$2:$B$201,$AB148)&amp;"","")))</f>
        <v/>
      </c>
      <c r="E148" s="7">
        <f>IF($Z148="C",INDEX(Contracts!$P$2:$P$151,$AB148)&amp;"",IF($Z148="A",INDEX(Fixed_Assets!$K$2:$K$201,$AB148)&amp;"",IF($Z148="F",IF(INDEX(FTE_Allocation!$D$2:$D$201,$AB148)="PROJECT",IFERROR(INDEX(Projects!$D:$D,MATCH(INDEX(FTE_Allocation!$E$2:$E$201,$AB148),Projects!$A:$A,0))&amp;"","#PROJECT?"),INDEX(FTE_Allocation!$E$2:$E$201,$AB148)&amp;""),"")))</f>
        <v/>
      </c>
      <c r="F148" s="7">
        <f>IF($Z148="C",INDEX(Contracts!$Q$2:$Q$151,$AB148)&amp;"",IF($Z148="A",INDEX(Fixed_Assets!$L$2:$L$201,$AB148)&amp;"",IF($Z148="F",INDEX(Workforce!$K$2:$K$151,MATCH(INDEX(FTE_Allocation!$A$2:$A$201,$AB148),Workforce!$A$2:$A$151,0))&amp;"","")))</f>
        <v/>
      </c>
      <c r="G148" s="7">
        <f>IF($Z148="C",INDEX(Contracts!$F$2:$F$151,$AB148)&amp;" / "&amp;INDEX(Contracts!$G$2:$G$151,$AB148),IF($Z148="A",INDEX(Fixed_Assets!$E$2:$E$201,$AB148)&amp;"",IF($Z148="F","Personnel "&amp;INDEX(FTE_Allocation!$A$2:$A$201,$AB148)&amp;IF(INDEX(FTE_Allocation!$D$2:$D$201,$AB148)="PROJECT"," ("&amp;INDEX(FTE_Allocation!$E$2:$E$201,$AB148)&amp;")",""),"")))</f>
        <v/>
      </c>
      <c r="H148" s="7">
        <f>IF($Z148="C","CONTRACT",IF($Z148="A","ASSET",IF($Z148="F","WORKFORCE","")))</f>
        <v/>
      </c>
      <c r="I148" s="7">
        <f>IF($Z148="C",INDEX(Contracts!$L$2:$L$151,$AB148)&amp;"",IF($Z148="A",INDEX(Fixed_Assets!$I$2:$I$201,$AB148)&amp;"",IF($Z148="F",INDEX(Workforce!$G$2:$G$151,MATCH(INDEX(FTE_Allocation!$A$2:$A$201,$AB148),Workforce!$A$2:$A$151,0))&amp;"","")))</f>
        <v/>
      </c>
      <c r="J148" s="18">
        <f>IF($Z148="","",IF(AND(DATE($AD148,1,1)&gt;=$AE148,DATE($AD148,1,1)&lt;=$AF148),ROUND($AG148,2),0))</f>
        <v/>
      </c>
      <c r="K148" s="18">
        <f>IF($Z148="","",IF(AND(DATE($AD148,2,1)&gt;=$AE148,DATE($AD148,2,1)&lt;=$AF148),ROUND($AG148,2),0))</f>
        <v/>
      </c>
      <c r="L148" s="18">
        <f>IF($Z148="","",IF(AND(DATE($AD148,3,1)&gt;=$AE148,DATE($AD148,3,1)&lt;=$AF148),ROUND($AG148,2),0))</f>
        <v/>
      </c>
      <c r="M148" s="18">
        <f>IF($Z148="","",IF(AND(DATE($AD148,4,1)&gt;=$AE148,DATE($AD148,4,1)&lt;=$AF148),ROUND($AG148,2),0))</f>
        <v/>
      </c>
      <c r="N148" s="18">
        <f>IF($Z148="","",IF(AND(DATE($AD148,5,1)&gt;=$AE148,DATE($AD148,5,1)&lt;=$AF148),ROUND($AG148,2),0))</f>
        <v/>
      </c>
      <c r="O148" s="18">
        <f>IF($Z148="","",IF(AND(DATE($AD148,6,1)&gt;=$AE148,DATE($AD148,6,1)&lt;=$AF148),ROUND($AG148,2),0))</f>
        <v/>
      </c>
      <c r="P148" s="18">
        <f>IF($Z148="","",IF(AND(DATE($AD148,7,1)&gt;=$AE148,DATE($AD148,7,1)&lt;=$AF148),ROUND($AG148,2),0))</f>
        <v/>
      </c>
      <c r="Q148" s="18">
        <f>IF($Z148="","",IF(AND(DATE($AD148,8,1)&gt;=$AE148,DATE($AD148,8,1)&lt;=$AF148),ROUND($AG148,2),0))</f>
        <v/>
      </c>
      <c r="R148" s="18">
        <f>IF($Z148="","",IF(AND(DATE($AD148,9,1)&gt;=$AE148,DATE($AD148,9,1)&lt;=$AF148),ROUND($AG148,2),0))</f>
        <v/>
      </c>
      <c r="S148" s="18">
        <f>IF($Z148="","",IF(AND(DATE($AD148,10,1)&gt;=$AE148,DATE($AD148,10,1)&lt;=$AF148),ROUND($AG148,2),0))</f>
        <v/>
      </c>
      <c r="T148" s="18">
        <f>IF($Z148="","",IF(AND(DATE($AD148,11,1)&gt;=$AE148,DATE($AD148,11,1)&lt;=$AF148),ROUND($AG148,2),0))</f>
        <v/>
      </c>
      <c r="U148" s="18">
        <f>IF($Z148="","",IF(AND(DATE($AD148,12,1)&gt;=$AE148,DATE($AD148,12,1)&lt;=$AF148),ROUND($AG148,2),0))</f>
        <v/>
      </c>
      <c r="V148" s="7">
        <f>IF($Z148="C","Generated from "&amp;INDEX(Contracts!$A$2:$A$151,$AB148),IF($Z148="A","Generated from "&amp;INDEX(Fixed_Assets!$A$2:$A$201,$AB148),IF($Z148="F","Generated from "&amp;INDEX(FTE_Allocation!$A$2:$A$201,$AB148),"")))</f>
        <v/>
      </c>
      <c r="X148" s="19">
        <f>IF($Z148="","",SUM(J148:U148))</f>
        <v/>
      </c>
      <c r="Y148" s="20">
        <f>ROW()-1</f>
        <v/>
      </c>
      <c r="Z148" s="20">
        <f>IF($Y148&lt;=Settings!$B$4*3,"C",IF($Y148&lt;=(Settings!$B$4+Settings!$B$5)*3,"A",IF($Y148&lt;=(Settings!$B$4+Settings!$B$5+Settings!$B$6)*3,"F","")))</f>
        <v/>
      </c>
      <c r="AA148" s="20">
        <f>IF($Z148="C",$Y148,IF($Z148="A",$Y148-Settings!$B$4*3,IF($Z148="F",$Y148-(Settings!$B$4+Settings!$B$5)*3,"")))</f>
        <v/>
      </c>
      <c r="AB148" s="20">
        <f>IF($Z148="","",INT(($AA148-1)/3)+1)</f>
        <v/>
      </c>
      <c r="AC148" s="20">
        <f>IF($Z148="","",MOD($AA148-1,3)+1)</f>
        <v/>
      </c>
      <c r="AD148" s="20">
        <f>IF($Z148="","",Settings!$B$2+$AC148-1)</f>
        <v/>
      </c>
      <c r="AE148" s="21">
        <f>IF($Z148="C",DATE(YEAR(INDEX(Contracts!$J$2:$J$151,$AB148)),MONTH(INDEX(Contracts!$J$2:$J$151,$AB148)),1),IF($Z148="A",DATE(YEAR(INDEX(Fixed_Assets!$G$2:$G$201,$AB148)),MONTH(INDEX(Fixed_Assets!$G$2:$G$201,$AB148)),1),IF($Z148="F",DATE(YEAR(MAX(N(INDEX(Workforce!$I$2:$I$151,MATCH(INDEX(FTE_Allocation!$A$2:$A$201,$AB148),Workforce!$A$2:$A$151,0))),N(INDEX(FTE_Allocation!$I$2:$I$201,$AB148)))),MONTH(MAX(N(INDEX(Workforce!$I$2:$I$151,MATCH(INDEX(FTE_Allocation!$A$2:$A$201,$AB148),Workforce!$A$2:$A$151,0))),N(INDEX(FTE_Allocation!$I$2:$I$201,$AB148)))),1),"")))</f>
        <v/>
      </c>
      <c r="AF148" s="21">
        <f>IF($Z148="C",IF(INDEX(Contracts!$I$2:$I$151,$AB148)="PREPAID",EDATE(DATE(YEAR(INDEX(Contracts!$J$2:$J$151,$AB148)),MONTH(INDEX(Contracts!$J$2:$J$151,$AB148)),1),IF(INDEX(Contracts!$N$2:$N$151,$AB148)="",12,INDEX(Contracts!$N$2:$N$151,$AB148))-1),IF(INDEX(Contracts!$I$2:$I$151,$AB148)="MONTHLY",IF(INDEX(Contracts!$K$2:$K$151,$AB148)="",2958101,INDEX(Contracts!$K$2:$K$151,$AB148)),0)),IF($Z148="A",EDATE(DATE(YEAR(INDEX(Fixed_Assets!$G$2:$G$201,$AB148)),MONTH(INDEX(Fixed_Assets!$G$2:$G$201,$AB148)),1),INDEX(Fixed_Assets!$J$2:$J$201,$AB148)-1),IF($Z148="F",MIN(IF(INDEX(Workforce!$J$2:$J$151,MATCH(INDEX(FTE_Allocation!$A$2:$A$201,$AB148),Workforce!$A$2:$A$151,0))="",2958101,INDEX(Workforce!$J$2:$J$151,MATCH(INDEX(FTE_Allocation!$A$2:$A$201,$AB148),Workforce!$A$2:$A$151,0))),IF(INDEX(FTE_Allocation!$J$2:$J$201,$AB148)="",2958101,INDEX(FTE_Allocation!$J$2:$J$201,$AB148))),"")))</f>
        <v/>
      </c>
      <c r="AG148" s="19">
        <f>IF($Z148="C",IF(INDEX(Contracts!$I$2:$I$151,$AB148)="PREPAID",INDEX(Contracts!$M$2:$M$151,$AB148)/IF(INDEX(Contracts!$N$2:$N$151,$AB148)="",12,INDEX(Contracts!$N$2:$N$151,$AB148)),IF(INDEX(Contracts!$I$2:$I$151,$AB148)="MONTHLY",INDEX(Contracts!$M$2:$M$151,$AB148),0))*(1-N(INDEX(Contracts!$O$2:$O$151,$AB148))),IF($Z148="A",INDEX(Fixed_Assets!$H$2:$H$201,$AB148)/INDEX(Fixed_Assets!$J$2:$J$201,$AB148),IF($Z148="F",INDEX(Workforce!$F$2:$F$151,MATCH(INDEX(FTE_Allocation!$A$2:$A$201,$AB148),Workforce!$A$2:$A$151,0))*N(INDEX(FTE_Allocation!$F$2:$H$201,$AB148,$AC148)),"")))</f>
        <v/>
      </c>
    </row>
    <row r="149">
      <c r="A149" s="7">
        <f>IF($Z149="","",$AD149)</f>
        <v/>
      </c>
      <c r="B149" s="7">
        <f>IF($Z149="C",INDEX(Contracts!$D$2:$D$151,$AB149)&amp;"",IF($Z149="A",INDEX(Fixed_Assets!$C$2:$C$201,$AB149)&amp;"",IF($Z149="F",INDEX(Workforce!$B$2:$B$151,MATCH(INDEX(FTE_Allocation!$A$2:$A$201,$AB149),Workforce!$A$2:$A$151,0))&amp;"","")))</f>
        <v/>
      </c>
      <c r="C149" s="7">
        <f>IF($Z149="C",INDEX(Contracts!$E$2:$E$151,$AB149)&amp;"",IF($Z149="A",INDEX(Fixed_Assets!$D$2:$D$201,$AB149)&amp;"",IF($Z149="F",INDEX(FTE_Allocation!$C$2:$C$201,$AB149)&amp;"","")))</f>
        <v/>
      </c>
      <c r="D149" s="7">
        <f>IF($Z149="C",INDEX(Contracts!$B$2:$B$151,$AB149)&amp;"",IF($Z149="A",INDEX(Fixed_Assets!$B$2:$B$201,$AB149)&amp;"",IF($Z149="F",INDEX(FTE_Allocation!$B$2:$B$201,$AB149)&amp;"","")))</f>
        <v/>
      </c>
      <c r="E149" s="7">
        <f>IF($Z149="C",INDEX(Contracts!$P$2:$P$151,$AB149)&amp;"",IF($Z149="A",INDEX(Fixed_Assets!$K$2:$K$201,$AB149)&amp;"",IF($Z149="F",IF(INDEX(FTE_Allocation!$D$2:$D$201,$AB149)="PROJECT",IFERROR(INDEX(Projects!$D:$D,MATCH(INDEX(FTE_Allocation!$E$2:$E$201,$AB149),Projects!$A:$A,0))&amp;"","#PROJECT?"),INDEX(FTE_Allocation!$E$2:$E$201,$AB149)&amp;""),"")))</f>
        <v/>
      </c>
      <c r="F149" s="7">
        <f>IF($Z149="C",INDEX(Contracts!$Q$2:$Q$151,$AB149)&amp;"",IF($Z149="A",INDEX(Fixed_Assets!$L$2:$L$201,$AB149)&amp;"",IF($Z149="F",INDEX(Workforce!$K$2:$K$151,MATCH(INDEX(FTE_Allocation!$A$2:$A$201,$AB149),Workforce!$A$2:$A$151,0))&amp;"","")))</f>
        <v/>
      </c>
      <c r="G149" s="7">
        <f>IF($Z149="C",INDEX(Contracts!$F$2:$F$151,$AB149)&amp;" / "&amp;INDEX(Contracts!$G$2:$G$151,$AB149),IF($Z149="A",INDEX(Fixed_Assets!$E$2:$E$201,$AB149)&amp;"",IF($Z149="F","Personnel "&amp;INDEX(FTE_Allocation!$A$2:$A$201,$AB149)&amp;IF(INDEX(FTE_Allocation!$D$2:$D$201,$AB149)="PROJECT"," ("&amp;INDEX(FTE_Allocation!$E$2:$E$201,$AB149)&amp;")",""),"")))</f>
        <v/>
      </c>
      <c r="H149" s="7">
        <f>IF($Z149="C","CONTRACT",IF($Z149="A","ASSET",IF($Z149="F","WORKFORCE","")))</f>
        <v/>
      </c>
      <c r="I149" s="7">
        <f>IF($Z149="C",INDEX(Contracts!$L$2:$L$151,$AB149)&amp;"",IF($Z149="A",INDEX(Fixed_Assets!$I$2:$I$201,$AB149)&amp;"",IF($Z149="F",INDEX(Workforce!$G$2:$G$151,MATCH(INDEX(FTE_Allocation!$A$2:$A$201,$AB149),Workforce!$A$2:$A$151,0))&amp;"","")))</f>
        <v/>
      </c>
      <c r="J149" s="18">
        <f>IF($Z149="","",IF(AND(DATE($AD149,1,1)&gt;=$AE149,DATE($AD149,1,1)&lt;=$AF149),ROUND($AG149,2),0))</f>
        <v/>
      </c>
      <c r="K149" s="18">
        <f>IF($Z149="","",IF(AND(DATE($AD149,2,1)&gt;=$AE149,DATE($AD149,2,1)&lt;=$AF149),ROUND($AG149,2),0))</f>
        <v/>
      </c>
      <c r="L149" s="18">
        <f>IF($Z149="","",IF(AND(DATE($AD149,3,1)&gt;=$AE149,DATE($AD149,3,1)&lt;=$AF149),ROUND($AG149,2),0))</f>
        <v/>
      </c>
      <c r="M149" s="18">
        <f>IF($Z149="","",IF(AND(DATE($AD149,4,1)&gt;=$AE149,DATE($AD149,4,1)&lt;=$AF149),ROUND($AG149,2),0))</f>
        <v/>
      </c>
      <c r="N149" s="18">
        <f>IF($Z149="","",IF(AND(DATE($AD149,5,1)&gt;=$AE149,DATE($AD149,5,1)&lt;=$AF149),ROUND($AG149,2),0))</f>
        <v/>
      </c>
      <c r="O149" s="18">
        <f>IF($Z149="","",IF(AND(DATE($AD149,6,1)&gt;=$AE149,DATE($AD149,6,1)&lt;=$AF149),ROUND($AG149,2),0))</f>
        <v/>
      </c>
      <c r="P149" s="18">
        <f>IF($Z149="","",IF(AND(DATE($AD149,7,1)&gt;=$AE149,DATE($AD149,7,1)&lt;=$AF149),ROUND($AG149,2),0))</f>
        <v/>
      </c>
      <c r="Q149" s="18">
        <f>IF($Z149="","",IF(AND(DATE($AD149,8,1)&gt;=$AE149,DATE($AD149,8,1)&lt;=$AF149),ROUND($AG149,2),0))</f>
        <v/>
      </c>
      <c r="R149" s="18">
        <f>IF($Z149="","",IF(AND(DATE($AD149,9,1)&gt;=$AE149,DATE($AD149,9,1)&lt;=$AF149),ROUND($AG149,2),0))</f>
        <v/>
      </c>
      <c r="S149" s="18">
        <f>IF($Z149="","",IF(AND(DATE($AD149,10,1)&gt;=$AE149,DATE($AD149,10,1)&lt;=$AF149),ROUND($AG149,2),0))</f>
        <v/>
      </c>
      <c r="T149" s="18">
        <f>IF($Z149="","",IF(AND(DATE($AD149,11,1)&gt;=$AE149,DATE($AD149,11,1)&lt;=$AF149),ROUND($AG149,2),0))</f>
        <v/>
      </c>
      <c r="U149" s="18">
        <f>IF($Z149="","",IF(AND(DATE($AD149,12,1)&gt;=$AE149,DATE($AD149,12,1)&lt;=$AF149),ROUND($AG149,2),0))</f>
        <v/>
      </c>
      <c r="V149" s="7">
        <f>IF($Z149="C","Generated from "&amp;INDEX(Contracts!$A$2:$A$151,$AB149),IF($Z149="A","Generated from "&amp;INDEX(Fixed_Assets!$A$2:$A$201,$AB149),IF($Z149="F","Generated from "&amp;INDEX(FTE_Allocation!$A$2:$A$201,$AB149),"")))</f>
        <v/>
      </c>
      <c r="X149" s="19">
        <f>IF($Z149="","",SUM(J149:U149))</f>
        <v/>
      </c>
      <c r="Y149" s="20">
        <f>ROW()-1</f>
        <v/>
      </c>
      <c r="Z149" s="20">
        <f>IF($Y149&lt;=Settings!$B$4*3,"C",IF($Y149&lt;=(Settings!$B$4+Settings!$B$5)*3,"A",IF($Y149&lt;=(Settings!$B$4+Settings!$B$5+Settings!$B$6)*3,"F","")))</f>
        <v/>
      </c>
      <c r="AA149" s="20">
        <f>IF($Z149="C",$Y149,IF($Z149="A",$Y149-Settings!$B$4*3,IF($Z149="F",$Y149-(Settings!$B$4+Settings!$B$5)*3,"")))</f>
        <v/>
      </c>
      <c r="AB149" s="20">
        <f>IF($Z149="","",INT(($AA149-1)/3)+1)</f>
        <v/>
      </c>
      <c r="AC149" s="20">
        <f>IF($Z149="","",MOD($AA149-1,3)+1)</f>
        <v/>
      </c>
      <c r="AD149" s="20">
        <f>IF($Z149="","",Settings!$B$2+$AC149-1)</f>
        <v/>
      </c>
      <c r="AE149" s="21">
        <f>IF($Z149="C",DATE(YEAR(INDEX(Contracts!$J$2:$J$151,$AB149)),MONTH(INDEX(Contracts!$J$2:$J$151,$AB149)),1),IF($Z149="A",DATE(YEAR(INDEX(Fixed_Assets!$G$2:$G$201,$AB149)),MONTH(INDEX(Fixed_Assets!$G$2:$G$201,$AB149)),1),IF($Z149="F",DATE(YEAR(MAX(N(INDEX(Workforce!$I$2:$I$151,MATCH(INDEX(FTE_Allocation!$A$2:$A$201,$AB149),Workforce!$A$2:$A$151,0))),N(INDEX(FTE_Allocation!$I$2:$I$201,$AB149)))),MONTH(MAX(N(INDEX(Workforce!$I$2:$I$151,MATCH(INDEX(FTE_Allocation!$A$2:$A$201,$AB149),Workforce!$A$2:$A$151,0))),N(INDEX(FTE_Allocation!$I$2:$I$201,$AB149)))),1),"")))</f>
        <v/>
      </c>
      <c r="AF149" s="21">
        <f>IF($Z149="C",IF(INDEX(Contracts!$I$2:$I$151,$AB149)="PREPAID",EDATE(DATE(YEAR(INDEX(Contracts!$J$2:$J$151,$AB149)),MONTH(INDEX(Contracts!$J$2:$J$151,$AB149)),1),IF(INDEX(Contracts!$N$2:$N$151,$AB149)="",12,INDEX(Contracts!$N$2:$N$151,$AB149))-1),IF(INDEX(Contracts!$I$2:$I$151,$AB149)="MONTHLY",IF(INDEX(Contracts!$K$2:$K$151,$AB149)="",2958101,INDEX(Contracts!$K$2:$K$151,$AB149)),0)),IF($Z149="A",EDATE(DATE(YEAR(INDEX(Fixed_Assets!$G$2:$G$201,$AB149)),MONTH(INDEX(Fixed_Assets!$G$2:$G$201,$AB149)),1),INDEX(Fixed_Assets!$J$2:$J$201,$AB149)-1),IF($Z149="F",MIN(IF(INDEX(Workforce!$J$2:$J$151,MATCH(INDEX(FTE_Allocation!$A$2:$A$201,$AB149),Workforce!$A$2:$A$151,0))="",2958101,INDEX(Workforce!$J$2:$J$151,MATCH(INDEX(FTE_Allocation!$A$2:$A$201,$AB149),Workforce!$A$2:$A$151,0))),IF(INDEX(FTE_Allocation!$J$2:$J$201,$AB149)="",2958101,INDEX(FTE_Allocation!$J$2:$J$201,$AB149))),"")))</f>
        <v/>
      </c>
      <c r="AG149" s="19">
        <f>IF($Z149="C",IF(INDEX(Contracts!$I$2:$I$151,$AB149)="PREPAID",INDEX(Contracts!$M$2:$M$151,$AB149)/IF(INDEX(Contracts!$N$2:$N$151,$AB149)="",12,INDEX(Contracts!$N$2:$N$151,$AB149)),IF(INDEX(Contracts!$I$2:$I$151,$AB149)="MONTHLY",INDEX(Contracts!$M$2:$M$151,$AB149),0))*(1-N(INDEX(Contracts!$O$2:$O$151,$AB149))),IF($Z149="A",INDEX(Fixed_Assets!$H$2:$H$201,$AB149)/INDEX(Fixed_Assets!$J$2:$J$201,$AB149),IF($Z149="F",INDEX(Workforce!$F$2:$F$151,MATCH(INDEX(FTE_Allocation!$A$2:$A$201,$AB149),Workforce!$A$2:$A$151,0))*N(INDEX(FTE_Allocation!$F$2:$H$201,$AB149,$AC149)),"")))</f>
        <v/>
      </c>
    </row>
    <row r="150">
      <c r="A150" s="7">
        <f>IF($Z150="","",$AD150)</f>
        <v/>
      </c>
      <c r="B150" s="7">
        <f>IF($Z150="C",INDEX(Contracts!$D$2:$D$151,$AB150)&amp;"",IF($Z150="A",INDEX(Fixed_Assets!$C$2:$C$201,$AB150)&amp;"",IF($Z150="F",INDEX(Workforce!$B$2:$B$151,MATCH(INDEX(FTE_Allocation!$A$2:$A$201,$AB150),Workforce!$A$2:$A$151,0))&amp;"","")))</f>
        <v/>
      </c>
      <c r="C150" s="7">
        <f>IF($Z150="C",INDEX(Contracts!$E$2:$E$151,$AB150)&amp;"",IF($Z150="A",INDEX(Fixed_Assets!$D$2:$D$201,$AB150)&amp;"",IF($Z150="F",INDEX(FTE_Allocation!$C$2:$C$201,$AB150)&amp;"","")))</f>
        <v/>
      </c>
      <c r="D150" s="7">
        <f>IF($Z150="C",INDEX(Contracts!$B$2:$B$151,$AB150)&amp;"",IF($Z150="A",INDEX(Fixed_Assets!$B$2:$B$201,$AB150)&amp;"",IF($Z150="F",INDEX(FTE_Allocation!$B$2:$B$201,$AB150)&amp;"","")))</f>
        <v/>
      </c>
      <c r="E150" s="7">
        <f>IF($Z150="C",INDEX(Contracts!$P$2:$P$151,$AB150)&amp;"",IF($Z150="A",INDEX(Fixed_Assets!$K$2:$K$201,$AB150)&amp;"",IF($Z150="F",IF(INDEX(FTE_Allocation!$D$2:$D$201,$AB150)="PROJECT",IFERROR(INDEX(Projects!$D:$D,MATCH(INDEX(FTE_Allocation!$E$2:$E$201,$AB150),Projects!$A:$A,0))&amp;"","#PROJECT?"),INDEX(FTE_Allocation!$E$2:$E$201,$AB150)&amp;""),"")))</f>
        <v/>
      </c>
      <c r="F150" s="7">
        <f>IF($Z150="C",INDEX(Contracts!$Q$2:$Q$151,$AB150)&amp;"",IF($Z150="A",INDEX(Fixed_Assets!$L$2:$L$201,$AB150)&amp;"",IF($Z150="F",INDEX(Workforce!$K$2:$K$151,MATCH(INDEX(FTE_Allocation!$A$2:$A$201,$AB150),Workforce!$A$2:$A$151,0))&amp;"","")))</f>
        <v/>
      </c>
      <c r="G150" s="7">
        <f>IF($Z150="C",INDEX(Contracts!$F$2:$F$151,$AB150)&amp;" / "&amp;INDEX(Contracts!$G$2:$G$151,$AB150),IF($Z150="A",INDEX(Fixed_Assets!$E$2:$E$201,$AB150)&amp;"",IF($Z150="F","Personnel "&amp;INDEX(FTE_Allocation!$A$2:$A$201,$AB150)&amp;IF(INDEX(FTE_Allocation!$D$2:$D$201,$AB150)="PROJECT"," ("&amp;INDEX(FTE_Allocation!$E$2:$E$201,$AB150)&amp;")",""),"")))</f>
        <v/>
      </c>
      <c r="H150" s="7">
        <f>IF($Z150="C","CONTRACT",IF($Z150="A","ASSET",IF($Z150="F","WORKFORCE","")))</f>
        <v/>
      </c>
      <c r="I150" s="7">
        <f>IF($Z150="C",INDEX(Contracts!$L$2:$L$151,$AB150)&amp;"",IF($Z150="A",INDEX(Fixed_Assets!$I$2:$I$201,$AB150)&amp;"",IF($Z150="F",INDEX(Workforce!$G$2:$G$151,MATCH(INDEX(FTE_Allocation!$A$2:$A$201,$AB150),Workforce!$A$2:$A$151,0))&amp;"","")))</f>
        <v/>
      </c>
      <c r="J150" s="18">
        <f>IF($Z150="","",IF(AND(DATE($AD150,1,1)&gt;=$AE150,DATE($AD150,1,1)&lt;=$AF150),ROUND($AG150,2),0))</f>
        <v/>
      </c>
      <c r="K150" s="18">
        <f>IF($Z150="","",IF(AND(DATE($AD150,2,1)&gt;=$AE150,DATE($AD150,2,1)&lt;=$AF150),ROUND($AG150,2),0))</f>
        <v/>
      </c>
      <c r="L150" s="18">
        <f>IF($Z150="","",IF(AND(DATE($AD150,3,1)&gt;=$AE150,DATE($AD150,3,1)&lt;=$AF150),ROUND($AG150,2),0))</f>
        <v/>
      </c>
      <c r="M150" s="18">
        <f>IF($Z150="","",IF(AND(DATE($AD150,4,1)&gt;=$AE150,DATE($AD150,4,1)&lt;=$AF150),ROUND($AG150,2),0))</f>
        <v/>
      </c>
      <c r="N150" s="18">
        <f>IF($Z150="","",IF(AND(DATE($AD150,5,1)&gt;=$AE150,DATE($AD150,5,1)&lt;=$AF150),ROUND($AG150,2),0))</f>
        <v/>
      </c>
      <c r="O150" s="18">
        <f>IF($Z150="","",IF(AND(DATE($AD150,6,1)&gt;=$AE150,DATE($AD150,6,1)&lt;=$AF150),ROUND($AG150,2),0))</f>
        <v/>
      </c>
      <c r="P150" s="18">
        <f>IF($Z150="","",IF(AND(DATE($AD150,7,1)&gt;=$AE150,DATE($AD150,7,1)&lt;=$AF150),ROUND($AG150,2),0))</f>
        <v/>
      </c>
      <c r="Q150" s="18">
        <f>IF($Z150="","",IF(AND(DATE($AD150,8,1)&gt;=$AE150,DATE($AD150,8,1)&lt;=$AF150),ROUND($AG150,2),0))</f>
        <v/>
      </c>
      <c r="R150" s="18">
        <f>IF($Z150="","",IF(AND(DATE($AD150,9,1)&gt;=$AE150,DATE($AD150,9,1)&lt;=$AF150),ROUND($AG150,2),0))</f>
        <v/>
      </c>
      <c r="S150" s="18">
        <f>IF($Z150="","",IF(AND(DATE($AD150,10,1)&gt;=$AE150,DATE($AD150,10,1)&lt;=$AF150),ROUND($AG150,2),0))</f>
        <v/>
      </c>
      <c r="T150" s="18">
        <f>IF($Z150="","",IF(AND(DATE($AD150,11,1)&gt;=$AE150,DATE($AD150,11,1)&lt;=$AF150),ROUND($AG150,2),0))</f>
        <v/>
      </c>
      <c r="U150" s="18">
        <f>IF($Z150="","",IF(AND(DATE($AD150,12,1)&gt;=$AE150,DATE($AD150,12,1)&lt;=$AF150),ROUND($AG150,2),0))</f>
        <v/>
      </c>
      <c r="V150" s="7">
        <f>IF($Z150="C","Generated from "&amp;INDEX(Contracts!$A$2:$A$151,$AB150),IF($Z150="A","Generated from "&amp;INDEX(Fixed_Assets!$A$2:$A$201,$AB150),IF($Z150="F","Generated from "&amp;INDEX(FTE_Allocation!$A$2:$A$201,$AB150),"")))</f>
        <v/>
      </c>
      <c r="X150" s="19">
        <f>IF($Z150="","",SUM(J150:U150))</f>
        <v/>
      </c>
      <c r="Y150" s="20">
        <f>ROW()-1</f>
        <v/>
      </c>
      <c r="Z150" s="20">
        <f>IF($Y150&lt;=Settings!$B$4*3,"C",IF($Y150&lt;=(Settings!$B$4+Settings!$B$5)*3,"A",IF($Y150&lt;=(Settings!$B$4+Settings!$B$5+Settings!$B$6)*3,"F","")))</f>
        <v/>
      </c>
      <c r="AA150" s="20">
        <f>IF($Z150="C",$Y150,IF($Z150="A",$Y150-Settings!$B$4*3,IF($Z150="F",$Y150-(Settings!$B$4+Settings!$B$5)*3,"")))</f>
        <v/>
      </c>
      <c r="AB150" s="20">
        <f>IF($Z150="","",INT(($AA150-1)/3)+1)</f>
        <v/>
      </c>
      <c r="AC150" s="20">
        <f>IF($Z150="","",MOD($AA150-1,3)+1)</f>
        <v/>
      </c>
      <c r="AD150" s="20">
        <f>IF($Z150="","",Settings!$B$2+$AC150-1)</f>
        <v/>
      </c>
      <c r="AE150" s="21">
        <f>IF($Z150="C",DATE(YEAR(INDEX(Contracts!$J$2:$J$151,$AB150)),MONTH(INDEX(Contracts!$J$2:$J$151,$AB150)),1),IF($Z150="A",DATE(YEAR(INDEX(Fixed_Assets!$G$2:$G$201,$AB150)),MONTH(INDEX(Fixed_Assets!$G$2:$G$201,$AB150)),1),IF($Z150="F",DATE(YEAR(MAX(N(INDEX(Workforce!$I$2:$I$151,MATCH(INDEX(FTE_Allocation!$A$2:$A$201,$AB150),Workforce!$A$2:$A$151,0))),N(INDEX(FTE_Allocation!$I$2:$I$201,$AB150)))),MONTH(MAX(N(INDEX(Workforce!$I$2:$I$151,MATCH(INDEX(FTE_Allocation!$A$2:$A$201,$AB150),Workforce!$A$2:$A$151,0))),N(INDEX(FTE_Allocation!$I$2:$I$201,$AB150)))),1),"")))</f>
        <v/>
      </c>
      <c r="AF150" s="21">
        <f>IF($Z150="C",IF(INDEX(Contracts!$I$2:$I$151,$AB150)="PREPAID",EDATE(DATE(YEAR(INDEX(Contracts!$J$2:$J$151,$AB150)),MONTH(INDEX(Contracts!$J$2:$J$151,$AB150)),1),IF(INDEX(Contracts!$N$2:$N$151,$AB150)="",12,INDEX(Contracts!$N$2:$N$151,$AB150))-1),IF(INDEX(Contracts!$I$2:$I$151,$AB150)="MONTHLY",IF(INDEX(Contracts!$K$2:$K$151,$AB150)="",2958101,INDEX(Contracts!$K$2:$K$151,$AB150)),0)),IF($Z150="A",EDATE(DATE(YEAR(INDEX(Fixed_Assets!$G$2:$G$201,$AB150)),MONTH(INDEX(Fixed_Assets!$G$2:$G$201,$AB150)),1),INDEX(Fixed_Assets!$J$2:$J$201,$AB150)-1),IF($Z150="F",MIN(IF(INDEX(Workforce!$J$2:$J$151,MATCH(INDEX(FTE_Allocation!$A$2:$A$201,$AB150),Workforce!$A$2:$A$151,0))="",2958101,INDEX(Workforce!$J$2:$J$151,MATCH(INDEX(FTE_Allocation!$A$2:$A$201,$AB150),Workforce!$A$2:$A$151,0))),IF(INDEX(FTE_Allocation!$J$2:$J$201,$AB150)="",2958101,INDEX(FTE_Allocation!$J$2:$J$201,$AB150))),"")))</f>
        <v/>
      </c>
      <c r="AG150" s="19">
        <f>IF($Z150="C",IF(INDEX(Contracts!$I$2:$I$151,$AB150)="PREPAID",INDEX(Contracts!$M$2:$M$151,$AB150)/IF(INDEX(Contracts!$N$2:$N$151,$AB150)="",12,INDEX(Contracts!$N$2:$N$151,$AB150)),IF(INDEX(Contracts!$I$2:$I$151,$AB150)="MONTHLY",INDEX(Contracts!$M$2:$M$151,$AB150),0))*(1-N(INDEX(Contracts!$O$2:$O$151,$AB150))),IF($Z150="A",INDEX(Fixed_Assets!$H$2:$H$201,$AB150)/INDEX(Fixed_Assets!$J$2:$J$201,$AB150),IF($Z150="F",INDEX(Workforce!$F$2:$F$151,MATCH(INDEX(FTE_Allocation!$A$2:$A$201,$AB150),Workforce!$A$2:$A$151,0))*N(INDEX(FTE_Allocation!$F$2:$H$201,$AB150,$AC150)),"")))</f>
        <v/>
      </c>
    </row>
    <row r="151">
      <c r="A151" s="7">
        <f>IF($Z151="","",$AD151)</f>
        <v/>
      </c>
      <c r="B151" s="7">
        <f>IF($Z151="C",INDEX(Contracts!$D$2:$D$151,$AB151)&amp;"",IF($Z151="A",INDEX(Fixed_Assets!$C$2:$C$201,$AB151)&amp;"",IF($Z151="F",INDEX(Workforce!$B$2:$B$151,MATCH(INDEX(FTE_Allocation!$A$2:$A$201,$AB151),Workforce!$A$2:$A$151,0))&amp;"","")))</f>
        <v/>
      </c>
      <c r="C151" s="7">
        <f>IF($Z151="C",INDEX(Contracts!$E$2:$E$151,$AB151)&amp;"",IF($Z151="A",INDEX(Fixed_Assets!$D$2:$D$201,$AB151)&amp;"",IF($Z151="F",INDEX(FTE_Allocation!$C$2:$C$201,$AB151)&amp;"","")))</f>
        <v/>
      </c>
      <c r="D151" s="7">
        <f>IF($Z151="C",INDEX(Contracts!$B$2:$B$151,$AB151)&amp;"",IF($Z151="A",INDEX(Fixed_Assets!$B$2:$B$201,$AB151)&amp;"",IF($Z151="F",INDEX(FTE_Allocation!$B$2:$B$201,$AB151)&amp;"","")))</f>
        <v/>
      </c>
      <c r="E151" s="7">
        <f>IF($Z151="C",INDEX(Contracts!$P$2:$P$151,$AB151)&amp;"",IF($Z151="A",INDEX(Fixed_Assets!$K$2:$K$201,$AB151)&amp;"",IF($Z151="F",IF(INDEX(FTE_Allocation!$D$2:$D$201,$AB151)="PROJECT",IFERROR(INDEX(Projects!$D:$D,MATCH(INDEX(FTE_Allocation!$E$2:$E$201,$AB151),Projects!$A:$A,0))&amp;"","#PROJECT?"),INDEX(FTE_Allocation!$E$2:$E$201,$AB151)&amp;""),"")))</f>
        <v/>
      </c>
      <c r="F151" s="7">
        <f>IF($Z151="C",INDEX(Contracts!$Q$2:$Q$151,$AB151)&amp;"",IF($Z151="A",INDEX(Fixed_Assets!$L$2:$L$201,$AB151)&amp;"",IF($Z151="F",INDEX(Workforce!$K$2:$K$151,MATCH(INDEX(FTE_Allocation!$A$2:$A$201,$AB151),Workforce!$A$2:$A$151,0))&amp;"","")))</f>
        <v/>
      </c>
      <c r="G151" s="7">
        <f>IF($Z151="C",INDEX(Contracts!$F$2:$F$151,$AB151)&amp;" / "&amp;INDEX(Contracts!$G$2:$G$151,$AB151),IF($Z151="A",INDEX(Fixed_Assets!$E$2:$E$201,$AB151)&amp;"",IF($Z151="F","Personnel "&amp;INDEX(FTE_Allocation!$A$2:$A$201,$AB151)&amp;IF(INDEX(FTE_Allocation!$D$2:$D$201,$AB151)="PROJECT"," ("&amp;INDEX(FTE_Allocation!$E$2:$E$201,$AB151)&amp;")",""),"")))</f>
        <v/>
      </c>
      <c r="H151" s="7">
        <f>IF($Z151="C","CONTRACT",IF($Z151="A","ASSET",IF($Z151="F","WORKFORCE","")))</f>
        <v/>
      </c>
      <c r="I151" s="7">
        <f>IF($Z151="C",INDEX(Contracts!$L$2:$L$151,$AB151)&amp;"",IF($Z151="A",INDEX(Fixed_Assets!$I$2:$I$201,$AB151)&amp;"",IF($Z151="F",INDEX(Workforce!$G$2:$G$151,MATCH(INDEX(FTE_Allocation!$A$2:$A$201,$AB151),Workforce!$A$2:$A$151,0))&amp;"","")))</f>
        <v/>
      </c>
      <c r="J151" s="18">
        <f>IF($Z151="","",IF(AND(DATE($AD151,1,1)&gt;=$AE151,DATE($AD151,1,1)&lt;=$AF151),ROUND($AG151,2),0))</f>
        <v/>
      </c>
      <c r="K151" s="18">
        <f>IF($Z151="","",IF(AND(DATE($AD151,2,1)&gt;=$AE151,DATE($AD151,2,1)&lt;=$AF151),ROUND($AG151,2),0))</f>
        <v/>
      </c>
      <c r="L151" s="18">
        <f>IF($Z151="","",IF(AND(DATE($AD151,3,1)&gt;=$AE151,DATE($AD151,3,1)&lt;=$AF151),ROUND($AG151,2),0))</f>
        <v/>
      </c>
      <c r="M151" s="18">
        <f>IF($Z151="","",IF(AND(DATE($AD151,4,1)&gt;=$AE151,DATE($AD151,4,1)&lt;=$AF151),ROUND($AG151,2),0))</f>
        <v/>
      </c>
      <c r="N151" s="18">
        <f>IF($Z151="","",IF(AND(DATE($AD151,5,1)&gt;=$AE151,DATE($AD151,5,1)&lt;=$AF151),ROUND($AG151,2),0))</f>
        <v/>
      </c>
      <c r="O151" s="18">
        <f>IF($Z151="","",IF(AND(DATE($AD151,6,1)&gt;=$AE151,DATE($AD151,6,1)&lt;=$AF151),ROUND($AG151,2),0))</f>
        <v/>
      </c>
      <c r="P151" s="18">
        <f>IF($Z151="","",IF(AND(DATE($AD151,7,1)&gt;=$AE151,DATE($AD151,7,1)&lt;=$AF151),ROUND($AG151,2),0))</f>
        <v/>
      </c>
      <c r="Q151" s="18">
        <f>IF($Z151="","",IF(AND(DATE($AD151,8,1)&gt;=$AE151,DATE($AD151,8,1)&lt;=$AF151),ROUND($AG151,2),0))</f>
        <v/>
      </c>
      <c r="R151" s="18">
        <f>IF($Z151="","",IF(AND(DATE($AD151,9,1)&gt;=$AE151,DATE($AD151,9,1)&lt;=$AF151),ROUND($AG151,2),0))</f>
        <v/>
      </c>
      <c r="S151" s="18">
        <f>IF($Z151="","",IF(AND(DATE($AD151,10,1)&gt;=$AE151,DATE($AD151,10,1)&lt;=$AF151),ROUND($AG151,2),0))</f>
        <v/>
      </c>
      <c r="T151" s="18">
        <f>IF($Z151="","",IF(AND(DATE($AD151,11,1)&gt;=$AE151,DATE($AD151,11,1)&lt;=$AF151),ROUND($AG151,2),0))</f>
        <v/>
      </c>
      <c r="U151" s="18">
        <f>IF($Z151="","",IF(AND(DATE($AD151,12,1)&gt;=$AE151,DATE($AD151,12,1)&lt;=$AF151),ROUND($AG151,2),0))</f>
        <v/>
      </c>
      <c r="V151" s="7">
        <f>IF($Z151="C","Generated from "&amp;INDEX(Contracts!$A$2:$A$151,$AB151),IF($Z151="A","Generated from "&amp;INDEX(Fixed_Assets!$A$2:$A$201,$AB151),IF($Z151="F","Generated from "&amp;INDEX(FTE_Allocation!$A$2:$A$201,$AB151),"")))</f>
        <v/>
      </c>
      <c r="X151" s="19">
        <f>IF($Z151="","",SUM(J151:U151))</f>
        <v/>
      </c>
      <c r="Y151" s="20">
        <f>ROW()-1</f>
        <v/>
      </c>
      <c r="Z151" s="20">
        <f>IF($Y151&lt;=Settings!$B$4*3,"C",IF($Y151&lt;=(Settings!$B$4+Settings!$B$5)*3,"A",IF($Y151&lt;=(Settings!$B$4+Settings!$B$5+Settings!$B$6)*3,"F","")))</f>
        <v/>
      </c>
      <c r="AA151" s="20">
        <f>IF($Z151="C",$Y151,IF($Z151="A",$Y151-Settings!$B$4*3,IF($Z151="F",$Y151-(Settings!$B$4+Settings!$B$5)*3,"")))</f>
        <v/>
      </c>
      <c r="AB151" s="20">
        <f>IF($Z151="","",INT(($AA151-1)/3)+1)</f>
        <v/>
      </c>
      <c r="AC151" s="20">
        <f>IF($Z151="","",MOD($AA151-1,3)+1)</f>
        <v/>
      </c>
      <c r="AD151" s="20">
        <f>IF($Z151="","",Settings!$B$2+$AC151-1)</f>
        <v/>
      </c>
      <c r="AE151" s="21">
        <f>IF($Z151="C",DATE(YEAR(INDEX(Contracts!$J$2:$J$151,$AB151)),MONTH(INDEX(Contracts!$J$2:$J$151,$AB151)),1),IF($Z151="A",DATE(YEAR(INDEX(Fixed_Assets!$G$2:$G$201,$AB151)),MONTH(INDEX(Fixed_Assets!$G$2:$G$201,$AB151)),1),IF($Z151="F",DATE(YEAR(MAX(N(INDEX(Workforce!$I$2:$I$151,MATCH(INDEX(FTE_Allocation!$A$2:$A$201,$AB151),Workforce!$A$2:$A$151,0))),N(INDEX(FTE_Allocation!$I$2:$I$201,$AB151)))),MONTH(MAX(N(INDEX(Workforce!$I$2:$I$151,MATCH(INDEX(FTE_Allocation!$A$2:$A$201,$AB151),Workforce!$A$2:$A$151,0))),N(INDEX(FTE_Allocation!$I$2:$I$201,$AB151)))),1),"")))</f>
        <v/>
      </c>
      <c r="AF151" s="21">
        <f>IF($Z151="C",IF(INDEX(Contracts!$I$2:$I$151,$AB151)="PREPAID",EDATE(DATE(YEAR(INDEX(Contracts!$J$2:$J$151,$AB151)),MONTH(INDEX(Contracts!$J$2:$J$151,$AB151)),1),IF(INDEX(Contracts!$N$2:$N$151,$AB151)="",12,INDEX(Contracts!$N$2:$N$151,$AB151))-1),IF(INDEX(Contracts!$I$2:$I$151,$AB151)="MONTHLY",IF(INDEX(Contracts!$K$2:$K$151,$AB151)="",2958101,INDEX(Contracts!$K$2:$K$151,$AB151)),0)),IF($Z151="A",EDATE(DATE(YEAR(INDEX(Fixed_Assets!$G$2:$G$201,$AB151)),MONTH(INDEX(Fixed_Assets!$G$2:$G$201,$AB151)),1),INDEX(Fixed_Assets!$J$2:$J$201,$AB151)-1),IF($Z151="F",MIN(IF(INDEX(Workforce!$J$2:$J$151,MATCH(INDEX(FTE_Allocation!$A$2:$A$201,$AB151),Workforce!$A$2:$A$151,0))="",2958101,INDEX(Workforce!$J$2:$J$151,MATCH(INDEX(FTE_Allocation!$A$2:$A$201,$AB151),Workforce!$A$2:$A$151,0))),IF(INDEX(FTE_Allocation!$J$2:$J$201,$AB151)="",2958101,INDEX(FTE_Allocation!$J$2:$J$201,$AB151))),"")))</f>
        <v/>
      </c>
      <c r="AG151" s="19">
        <f>IF($Z151="C",IF(INDEX(Contracts!$I$2:$I$151,$AB151)="PREPAID",INDEX(Contracts!$M$2:$M$151,$AB151)/IF(INDEX(Contracts!$N$2:$N$151,$AB151)="",12,INDEX(Contracts!$N$2:$N$151,$AB151)),IF(INDEX(Contracts!$I$2:$I$151,$AB151)="MONTHLY",INDEX(Contracts!$M$2:$M$151,$AB151),0))*(1-N(INDEX(Contracts!$O$2:$O$151,$AB151))),IF($Z151="A",INDEX(Fixed_Assets!$H$2:$H$201,$AB151)/INDEX(Fixed_Assets!$J$2:$J$201,$AB151),IF($Z151="F",INDEX(Workforce!$F$2:$F$151,MATCH(INDEX(FTE_Allocation!$A$2:$A$201,$AB151),Workforce!$A$2:$A$151,0))*N(INDEX(FTE_Allocation!$F$2:$H$201,$AB151,$AC151)),"")))</f>
        <v/>
      </c>
    </row>
    <row r="152">
      <c r="A152" s="7">
        <f>IF($Z152="","",$AD152)</f>
        <v/>
      </c>
      <c r="B152" s="7">
        <f>IF($Z152="C",INDEX(Contracts!$D$2:$D$151,$AB152)&amp;"",IF($Z152="A",INDEX(Fixed_Assets!$C$2:$C$201,$AB152)&amp;"",IF($Z152="F",INDEX(Workforce!$B$2:$B$151,MATCH(INDEX(FTE_Allocation!$A$2:$A$201,$AB152),Workforce!$A$2:$A$151,0))&amp;"","")))</f>
        <v/>
      </c>
      <c r="C152" s="7">
        <f>IF($Z152="C",INDEX(Contracts!$E$2:$E$151,$AB152)&amp;"",IF($Z152="A",INDEX(Fixed_Assets!$D$2:$D$201,$AB152)&amp;"",IF($Z152="F",INDEX(FTE_Allocation!$C$2:$C$201,$AB152)&amp;"","")))</f>
        <v/>
      </c>
      <c r="D152" s="7">
        <f>IF($Z152="C",INDEX(Contracts!$B$2:$B$151,$AB152)&amp;"",IF($Z152="A",INDEX(Fixed_Assets!$B$2:$B$201,$AB152)&amp;"",IF($Z152="F",INDEX(FTE_Allocation!$B$2:$B$201,$AB152)&amp;"","")))</f>
        <v/>
      </c>
      <c r="E152" s="7">
        <f>IF($Z152="C",INDEX(Contracts!$P$2:$P$151,$AB152)&amp;"",IF($Z152="A",INDEX(Fixed_Assets!$K$2:$K$201,$AB152)&amp;"",IF($Z152="F",IF(INDEX(FTE_Allocation!$D$2:$D$201,$AB152)="PROJECT",IFERROR(INDEX(Projects!$D:$D,MATCH(INDEX(FTE_Allocation!$E$2:$E$201,$AB152),Projects!$A:$A,0))&amp;"","#PROJECT?"),INDEX(FTE_Allocation!$E$2:$E$201,$AB152)&amp;""),"")))</f>
        <v/>
      </c>
      <c r="F152" s="7">
        <f>IF($Z152="C",INDEX(Contracts!$Q$2:$Q$151,$AB152)&amp;"",IF($Z152="A",INDEX(Fixed_Assets!$L$2:$L$201,$AB152)&amp;"",IF($Z152="F",INDEX(Workforce!$K$2:$K$151,MATCH(INDEX(FTE_Allocation!$A$2:$A$201,$AB152),Workforce!$A$2:$A$151,0))&amp;"","")))</f>
        <v/>
      </c>
      <c r="G152" s="7">
        <f>IF($Z152="C",INDEX(Contracts!$F$2:$F$151,$AB152)&amp;" / "&amp;INDEX(Contracts!$G$2:$G$151,$AB152),IF($Z152="A",INDEX(Fixed_Assets!$E$2:$E$201,$AB152)&amp;"",IF($Z152="F","Personnel "&amp;INDEX(FTE_Allocation!$A$2:$A$201,$AB152)&amp;IF(INDEX(FTE_Allocation!$D$2:$D$201,$AB152)="PROJECT"," ("&amp;INDEX(FTE_Allocation!$E$2:$E$201,$AB152)&amp;")",""),"")))</f>
        <v/>
      </c>
      <c r="H152" s="7">
        <f>IF($Z152="C","CONTRACT",IF($Z152="A","ASSET",IF($Z152="F","WORKFORCE","")))</f>
        <v/>
      </c>
      <c r="I152" s="7">
        <f>IF($Z152="C",INDEX(Contracts!$L$2:$L$151,$AB152)&amp;"",IF($Z152="A",INDEX(Fixed_Assets!$I$2:$I$201,$AB152)&amp;"",IF($Z152="F",INDEX(Workforce!$G$2:$G$151,MATCH(INDEX(FTE_Allocation!$A$2:$A$201,$AB152),Workforce!$A$2:$A$151,0))&amp;"","")))</f>
        <v/>
      </c>
      <c r="J152" s="18">
        <f>IF($Z152="","",IF(AND(DATE($AD152,1,1)&gt;=$AE152,DATE($AD152,1,1)&lt;=$AF152),ROUND($AG152,2),0))</f>
        <v/>
      </c>
      <c r="K152" s="18">
        <f>IF($Z152="","",IF(AND(DATE($AD152,2,1)&gt;=$AE152,DATE($AD152,2,1)&lt;=$AF152),ROUND($AG152,2),0))</f>
        <v/>
      </c>
      <c r="L152" s="18">
        <f>IF($Z152="","",IF(AND(DATE($AD152,3,1)&gt;=$AE152,DATE($AD152,3,1)&lt;=$AF152),ROUND($AG152,2),0))</f>
        <v/>
      </c>
      <c r="M152" s="18">
        <f>IF($Z152="","",IF(AND(DATE($AD152,4,1)&gt;=$AE152,DATE($AD152,4,1)&lt;=$AF152),ROUND($AG152,2),0))</f>
        <v/>
      </c>
      <c r="N152" s="18">
        <f>IF($Z152="","",IF(AND(DATE($AD152,5,1)&gt;=$AE152,DATE($AD152,5,1)&lt;=$AF152),ROUND($AG152,2),0))</f>
        <v/>
      </c>
      <c r="O152" s="18">
        <f>IF($Z152="","",IF(AND(DATE($AD152,6,1)&gt;=$AE152,DATE($AD152,6,1)&lt;=$AF152),ROUND($AG152,2),0))</f>
        <v/>
      </c>
      <c r="P152" s="18">
        <f>IF($Z152="","",IF(AND(DATE($AD152,7,1)&gt;=$AE152,DATE($AD152,7,1)&lt;=$AF152),ROUND($AG152,2),0))</f>
        <v/>
      </c>
      <c r="Q152" s="18">
        <f>IF($Z152="","",IF(AND(DATE($AD152,8,1)&gt;=$AE152,DATE($AD152,8,1)&lt;=$AF152),ROUND($AG152,2),0))</f>
        <v/>
      </c>
      <c r="R152" s="18">
        <f>IF($Z152="","",IF(AND(DATE($AD152,9,1)&gt;=$AE152,DATE($AD152,9,1)&lt;=$AF152),ROUND($AG152,2),0))</f>
        <v/>
      </c>
      <c r="S152" s="18">
        <f>IF($Z152="","",IF(AND(DATE($AD152,10,1)&gt;=$AE152,DATE($AD152,10,1)&lt;=$AF152),ROUND($AG152,2),0))</f>
        <v/>
      </c>
      <c r="T152" s="18">
        <f>IF($Z152="","",IF(AND(DATE($AD152,11,1)&gt;=$AE152,DATE($AD152,11,1)&lt;=$AF152),ROUND($AG152,2),0))</f>
        <v/>
      </c>
      <c r="U152" s="18">
        <f>IF($Z152="","",IF(AND(DATE($AD152,12,1)&gt;=$AE152,DATE($AD152,12,1)&lt;=$AF152),ROUND($AG152,2),0))</f>
        <v/>
      </c>
      <c r="V152" s="7">
        <f>IF($Z152="C","Generated from "&amp;INDEX(Contracts!$A$2:$A$151,$AB152),IF($Z152="A","Generated from "&amp;INDEX(Fixed_Assets!$A$2:$A$201,$AB152),IF($Z152="F","Generated from "&amp;INDEX(FTE_Allocation!$A$2:$A$201,$AB152),"")))</f>
        <v/>
      </c>
      <c r="X152" s="19">
        <f>IF($Z152="","",SUM(J152:U152))</f>
        <v/>
      </c>
      <c r="Y152" s="20">
        <f>ROW()-1</f>
        <v/>
      </c>
      <c r="Z152" s="20">
        <f>IF($Y152&lt;=Settings!$B$4*3,"C",IF($Y152&lt;=(Settings!$B$4+Settings!$B$5)*3,"A",IF($Y152&lt;=(Settings!$B$4+Settings!$B$5+Settings!$B$6)*3,"F","")))</f>
        <v/>
      </c>
      <c r="AA152" s="20">
        <f>IF($Z152="C",$Y152,IF($Z152="A",$Y152-Settings!$B$4*3,IF($Z152="F",$Y152-(Settings!$B$4+Settings!$B$5)*3,"")))</f>
        <v/>
      </c>
      <c r="AB152" s="20">
        <f>IF($Z152="","",INT(($AA152-1)/3)+1)</f>
        <v/>
      </c>
      <c r="AC152" s="20">
        <f>IF($Z152="","",MOD($AA152-1,3)+1)</f>
        <v/>
      </c>
      <c r="AD152" s="20">
        <f>IF($Z152="","",Settings!$B$2+$AC152-1)</f>
        <v/>
      </c>
      <c r="AE152" s="21">
        <f>IF($Z152="C",DATE(YEAR(INDEX(Contracts!$J$2:$J$151,$AB152)),MONTH(INDEX(Contracts!$J$2:$J$151,$AB152)),1),IF($Z152="A",DATE(YEAR(INDEX(Fixed_Assets!$G$2:$G$201,$AB152)),MONTH(INDEX(Fixed_Assets!$G$2:$G$201,$AB152)),1),IF($Z152="F",DATE(YEAR(MAX(N(INDEX(Workforce!$I$2:$I$151,MATCH(INDEX(FTE_Allocation!$A$2:$A$201,$AB152),Workforce!$A$2:$A$151,0))),N(INDEX(FTE_Allocation!$I$2:$I$201,$AB152)))),MONTH(MAX(N(INDEX(Workforce!$I$2:$I$151,MATCH(INDEX(FTE_Allocation!$A$2:$A$201,$AB152),Workforce!$A$2:$A$151,0))),N(INDEX(FTE_Allocation!$I$2:$I$201,$AB152)))),1),"")))</f>
        <v/>
      </c>
      <c r="AF152" s="21">
        <f>IF($Z152="C",IF(INDEX(Contracts!$I$2:$I$151,$AB152)="PREPAID",EDATE(DATE(YEAR(INDEX(Contracts!$J$2:$J$151,$AB152)),MONTH(INDEX(Contracts!$J$2:$J$151,$AB152)),1),IF(INDEX(Contracts!$N$2:$N$151,$AB152)="",12,INDEX(Contracts!$N$2:$N$151,$AB152))-1),IF(INDEX(Contracts!$I$2:$I$151,$AB152)="MONTHLY",IF(INDEX(Contracts!$K$2:$K$151,$AB152)="",2958101,INDEX(Contracts!$K$2:$K$151,$AB152)),0)),IF($Z152="A",EDATE(DATE(YEAR(INDEX(Fixed_Assets!$G$2:$G$201,$AB152)),MONTH(INDEX(Fixed_Assets!$G$2:$G$201,$AB152)),1),INDEX(Fixed_Assets!$J$2:$J$201,$AB152)-1),IF($Z152="F",MIN(IF(INDEX(Workforce!$J$2:$J$151,MATCH(INDEX(FTE_Allocation!$A$2:$A$201,$AB152),Workforce!$A$2:$A$151,0))="",2958101,INDEX(Workforce!$J$2:$J$151,MATCH(INDEX(FTE_Allocation!$A$2:$A$201,$AB152),Workforce!$A$2:$A$151,0))),IF(INDEX(FTE_Allocation!$J$2:$J$201,$AB152)="",2958101,INDEX(FTE_Allocation!$J$2:$J$201,$AB152))),"")))</f>
        <v/>
      </c>
      <c r="AG152" s="19">
        <f>IF($Z152="C",IF(INDEX(Contracts!$I$2:$I$151,$AB152)="PREPAID",INDEX(Contracts!$M$2:$M$151,$AB152)/IF(INDEX(Contracts!$N$2:$N$151,$AB152)="",12,INDEX(Contracts!$N$2:$N$151,$AB152)),IF(INDEX(Contracts!$I$2:$I$151,$AB152)="MONTHLY",INDEX(Contracts!$M$2:$M$151,$AB152),0))*(1-N(INDEX(Contracts!$O$2:$O$151,$AB152))),IF($Z152="A",INDEX(Fixed_Assets!$H$2:$H$201,$AB152)/INDEX(Fixed_Assets!$J$2:$J$201,$AB152),IF($Z152="F",INDEX(Workforce!$F$2:$F$151,MATCH(INDEX(FTE_Allocation!$A$2:$A$201,$AB152),Workforce!$A$2:$A$151,0))*N(INDEX(FTE_Allocation!$F$2:$H$201,$AB152,$AC152)),"")))</f>
        <v/>
      </c>
    </row>
    <row r="153">
      <c r="A153" s="7">
        <f>IF($Z153="","",$AD153)</f>
        <v/>
      </c>
      <c r="B153" s="7">
        <f>IF($Z153="C",INDEX(Contracts!$D$2:$D$151,$AB153)&amp;"",IF($Z153="A",INDEX(Fixed_Assets!$C$2:$C$201,$AB153)&amp;"",IF($Z153="F",INDEX(Workforce!$B$2:$B$151,MATCH(INDEX(FTE_Allocation!$A$2:$A$201,$AB153),Workforce!$A$2:$A$151,0))&amp;"","")))</f>
        <v/>
      </c>
      <c r="C153" s="7">
        <f>IF($Z153="C",INDEX(Contracts!$E$2:$E$151,$AB153)&amp;"",IF($Z153="A",INDEX(Fixed_Assets!$D$2:$D$201,$AB153)&amp;"",IF($Z153="F",INDEX(FTE_Allocation!$C$2:$C$201,$AB153)&amp;"","")))</f>
        <v/>
      </c>
      <c r="D153" s="7">
        <f>IF($Z153="C",INDEX(Contracts!$B$2:$B$151,$AB153)&amp;"",IF($Z153="A",INDEX(Fixed_Assets!$B$2:$B$201,$AB153)&amp;"",IF($Z153="F",INDEX(FTE_Allocation!$B$2:$B$201,$AB153)&amp;"","")))</f>
        <v/>
      </c>
      <c r="E153" s="7">
        <f>IF($Z153="C",INDEX(Contracts!$P$2:$P$151,$AB153)&amp;"",IF($Z153="A",INDEX(Fixed_Assets!$K$2:$K$201,$AB153)&amp;"",IF($Z153="F",IF(INDEX(FTE_Allocation!$D$2:$D$201,$AB153)="PROJECT",IFERROR(INDEX(Projects!$D:$D,MATCH(INDEX(FTE_Allocation!$E$2:$E$201,$AB153),Projects!$A:$A,0))&amp;"","#PROJECT?"),INDEX(FTE_Allocation!$E$2:$E$201,$AB153)&amp;""),"")))</f>
        <v/>
      </c>
      <c r="F153" s="7">
        <f>IF($Z153="C",INDEX(Contracts!$Q$2:$Q$151,$AB153)&amp;"",IF($Z153="A",INDEX(Fixed_Assets!$L$2:$L$201,$AB153)&amp;"",IF($Z153="F",INDEX(Workforce!$K$2:$K$151,MATCH(INDEX(FTE_Allocation!$A$2:$A$201,$AB153),Workforce!$A$2:$A$151,0))&amp;"","")))</f>
        <v/>
      </c>
      <c r="G153" s="7">
        <f>IF($Z153="C",INDEX(Contracts!$F$2:$F$151,$AB153)&amp;" / "&amp;INDEX(Contracts!$G$2:$G$151,$AB153),IF($Z153="A",INDEX(Fixed_Assets!$E$2:$E$201,$AB153)&amp;"",IF($Z153="F","Personnel "&amp;INDEX(FTE_Allocation!$A$2:$A$201,$AB153)&amp;IF(INDEX(FTE_Allocation!$D$2:$D$201,$AB153)="PROJECT"," ("&amp;INDEX(FTE_Allocation!$E$2:$E$201,$AB153)&amp;")",""),"")))</f>
        <v/>
      </c>
      <c r="H153" s="7">
        <f>IF($Z153="C","CONTRACT",IF($Z153="A","ASSET",IF($Z153="F","WORKFORCE","")))</f>
        <v/>
      </c>
      <c r="I153" s="7">
        <f>IF($Z153="C",INDEX(Contracts!$L$2:$L$151,$AB153)&amp;"",IF($Z153="A",INDEX(Fixed_Assets!$I$2:$I$201,$AB153)&amp;"",IF($Z153="F",INDEX(Workforce!$G$2:$G$151,MATCH(INDEX(FTE_Allocation!$A$2:$A$201,$AB153),Workforce!$A$2:$A$151,0))&amp;"","")))</f>
        <v/>
      </c>
      <c r="J153" s="18">
        <f>IF($Z153="","",IF(AND(DATE($AD153,1,1)&gt;=$AE153,DATE($AD153,1,1)&lt;=$AF153),ROUND($AG153,2),0))</f>
        <v/>
      </c>
      <c r="K153" s="18">
        <f>IF($Z153="","",IF(AND(DATE($AD153,2,1)&gt;=$AE153,DATE($AD153,2,1)&lt;=$AF153),ROUND($AG153,2),0))</f>
        <v/>
      </c>
      <c r="L153" s="18">
        <f>IF($Z153="","",IF(AND(DATE($AD153,3,1)&gt;=$AE153,DATE($AD153,3,1)&lt;=$AF153),ROUND($AG153,2),0))</f>
        <v/>
      </c>
      <c r="M153" s="18">
        <f>IF($Z153="","",IF(AND(DATE($AD153,4,1)&gt;=$AE153,DATE($AD153,4,1)&lt;=$AF153),ROUND($AG153,2),0))</f>
        <v/>
      </c>
      <c r="N153" s="18">
        <f>IF($Z153="","",IF(AND(DATE($AD153,5,1)&gt;=$AE153,DATE($AD153,5,1)&lt;=$AF153),ROUND($AG153,2),0))</f>
        <v/>
      </c>
      <c r="O153" s="18">
        <f>IF($Z153="","",IF(AND(DATE($AD153,6,1)&gt;=$AE153,DATE($AD153,6,1)&lt;=$AF153),ROUND($AG153,2),0))</f>
        <v/>
      </c>
      <c r="P153" s="18">
        <f>IF($Z153="","",IF(AND(DATE($AD153,7,1)&gt;=$AE153,DATE($AD153,7,1)&lt;=$AF153),ROUND($AG153,2),0))</f>
        <v/>
      </c>
      <c r="Q153" s="18">
        <f>IF($Z153="","",IF(AND(DATE($AD153,8,1)&gt;=$AE153,DATE($AD153,8,1)&lt;=$AF153),ROUND($AG153,2),0))</f>
        <v/>
      </c>
      <c r="R153" s="18">
        <f>IF($Z153="","",IF(AND(DATE($AD153,9,1)&gt;=$AE153,DATE($AD153,9,1)&lt;=$AF153),ROUND($AG153,2),0))</f>
        <v/>
      </c>
      <c r="S153" s="18">
        <f>IF($Z153="","",IF(AND(DATE($AD153,10,1)&gt;=$AE153,DATE($AD153,10,1)&lt;=$AF153),ROUND($AG153,2),0))</f>
        <v/>
      </c>
      <c r="T153" s="18">
        <f>IF($Z153="","",IF(AND(DATE($AD153,11,1)&gt;=$AE153,DATE($AD153,11,1)&lt;=$AF153),ROUND($AG153,2),0))</f>
        <v/>
      </c>
      <c r="U153" s="18">
        <f>IF($Z153="","",IF(AND(DATE($AD153,12,1)&gt;=$AE153,DATE($AD153,12,1)&lt;=$AF153),ROUND($AG153,2),0))</f>
        <v/>
      </c>
      <c r="V153" s="7">
        <f>IF($Z153="C","Generated from "&amp;INDEX(Contracts!$A$2:$A$151,$AB153),IF($Z153="A","Generated from "&amp;INDEX(Fixed_Assets!$A$2:$A$201,$AB153),IF($Z153="F","Generated from "&amp;INDEX(FTE_Allocation!$A$2:$A$201,$AB153),"")))</f>
        <v/>
      </c>
      <c r="X153" s="19">
        <f>IF($Z153="","",SUM(J153:U153))</f>
        <v/>
      </c>
      <c r="Y153" s="20">
        <f>ROW()-1</f>
        <v/>
      </c>
      <c r="Z153" s="20">
        <f>IF($Y153&lt;=Settings!$B$4*3,"C",IF($Y153&lt;=(Settings!$B$4+Settings!$B$5)*3,"A",IF($Y153&lt;=(Settings!$B$4+Settings!$B$5+Settings!$B$6)*3,"F","")))</f>
        <v/>
      </c>
      <c r="AA153" s="20">
        <f>IF($Z153="C",$Y153,IF($Z153="A",$Y153-Settings!$B$4*3,IF($Z153="F",$Y153-(Settings!$B$4+Settings!$B$5)*3,"")))</f>
        <v/>
      </c>
      <c r="AB153" s="20">
        <f>IF($Z153="","",INT(($AA153-1)/3)+1)</f>
        <v/>
      </c>
      <c r="AC153" s="20">
        <f>IF($Z153="","",MOD($AA153-1,3)+1)</f>
        <v/>
      </c>
      <c r="AD153" s="20">
        <f>IF($Z153="","",Settings!$B$2+$AC153-1)</f>
        <v/>
      </c>
      <c r="AE153" s="21">
        <f>IF($Z153="C",DATE(YEAR(INDEX(Contracts!$J$2:$J$151,$AB153)),MONTH(INDEX(Contracts!$J$2:$J$151,$AB153)),1),IF($Z153="A",DATE(YEAR(INDEX(Fixed_Assets!$G$2:$G$201,$AB153)),MONTH(INDEX(Fixed_Assets!$G$2:$G$201,$AB153)),1),IF($Z153="F",DATE(YEAR(MAX(N(INDEX(Workforce!$I$2:$I$151,MATCH(INDEX(FTE_Allocation!$A$2:$A$201,$AB153),Workforce!$A$2:$A$151,0))),N(INDEX(FTE_Allocation!$I$2:$I$201,$AB153)))),MONTH(MAX(N(INDEX(Workforce!$I$2:$I$151,MATCH(INDEX(FTE_Allocation!$A$2:$A$201,$AB153),Workforce!$A$2:$A$151,0))),N(INDEX(FTE_Allocation!$I$2:$I$201,$AB153)))),1),"")))</f>
        <v/>
      </c>
      <c r="AF153" s="21">
        <f>IF($Z153="C",IF(INDEX(Contracts!$I$2:$I$151,$AB153)="PREPAID",EDATE(DATE(YEAR(INDEX(Contracts!$J$2:$J$151,$AB153)),MONTH(INDEX(Contracts!$J$2:$J$151,$AB153)),1),IF(INDEX(Contracts!$N$2:$N$151,$AB153)="",12,INDEX(Contracts!$N$2:$N$151,$AB153))-1),IF(INDEX(Contracts!$I$2:$I$151,$AB153)="MONTHLY",IF(INDEX(Contracts!$K$2:$K$151,$AB153)="",2958101,INDEX(Contracts!$K$2:$K$151,$AB153)),0)),IF($Z153="A",EDATE(DATE(YEAR(INDEX(Fixed_Assets!$G$2:$G$201,$AB153)),MONTH(INDEX(Fixed_Assets!$G$2:$G$201,$AB153)),1),INDEX(Fixed_Assets!$J$2:$J$201,$AB153)-1),IF($Z153="F",MIN(IF(INDEX(Workforce!$J$2:$J$151,MATCH(INDEX(FTE_Allocation!$A$2:$A$201,$AB153),Workforce!$A$2:$A$151,0))="",2958101,INDEX(Workforce!$J$2:$J$151,MATCH(INDEX(FTE_Allocation!$A$2:$A$201,$AB153),Workforce!$A$2:$A$151,0))),IF(INDEX(FTE_Allocation!$J$2:$J$201,$AB153)="",2958101,INDEX(FTE_Allocation!$J$2:$J$201,$AB153))),"")))</f>
        <v/>
      </c>
      <c r="AG153" s="19">
        <f>IF($Z153="C",IF(INDEX(Contracts!$I$2:$I$151,$AB153)="PREPAID",INDEX(Contracts!$M$2:$M$151,$AB153)/IF(INDEX(Contracts!$N$2:$N$151,$AB153)="",12,INDEX(Contracts!$N$2:$N$151,$AB153)),IF(INDEX(Contracts!$I$2:$I$151,$AB153)="MONTHLY",INDEX(Contracts!$M$2:$M$151,$AB153),0))*(1-N(INDEX(Contracts!$O$2:$O$151,$AB153))),IF($Z153="A",INDEX(Fixed_Assets!$H$2:$H$201,$AB153)/INDEX(Fixed_Assets!$J$2:$J$201,$AB153),IF($Z153="F",INDEX(Workforce!$F$2:$F$151,MATCH(INDEX(FTE_Allocation!$A$2:$A$201,$AB153),Workforce!$A$2:$A$151,0))*N(INDEX(FTE_Allocation!$F$2:$H$201,$AB153,$AC153)),"")))</f>
        <v/>
      </c>
    </row>
    <row r="154">
      <c r="A154" s="7">
        <f>IF($Z154="","",$AD154)</f>
        <v/>
      </c>
      <c r="B154" s="7">
        <f>IF($Z154="C",INDEX(Contracts!$D$2:$D$151,$AB154)&amp;"",IF($Z154="A",INDEX(Fixed_Assets!$C$2:$C$201,$AB154)&amp;"",IF($Z154="F",INDEX(Workforce!$B$2:$B$151,MATCH(INDEX(FTE_Allocation!$A$2:$A$201,$AB154),Workforce!$A$2:$A$151,0))&amp;"","")))</f>
        <v/>
      </c>
      <c r="C154" s="7">
        <f>IF($Z154="C",INDEX(Contracts!$E$2:$E$151,$AB154)&amp;"",IF($Z154="A",INDEX(Fixed_Assets!$D$2:$D$201,$AB154)&amp;"",IF($Z154="F",INDEX(FTE_Allocation!$C$2:$C$201,$AB154)&amp;"","")))</f>
        <v/>
      </c>
      <c r="D154" s="7">
        <f>IF($Z154="C",INDEX(Contracts!$B$2:$B$151,$AB154)&amp;"",IF($Z154="A",INDEX(Fixed_Assets!$B$2:$B$201,$AB154)&amp;"",IF($Z154="F",INDEX(FTE_Allocation!$B$2:$B$201,$AB154)&amp;"","")))</f>
        <v/>
      </c>
      <c r="E154" s="7">
        <f>IF($Z154="C",INDEX(Contracts!$P$2:$P$151,$AB154)&amp;"",IF($Z154="A",INDEX(Fixed_Assets!$K$2:$K$201,$AB154)&amp;"",IF($Z154="F",IF(INDEX(FTE_Allocation!$D$2:$D$201,$AB154)="PROJECT",IFERROR(INDEX(Projects!$D:$D,MATCH(INDEX(FTE_Allocation!$E$2:$E$201,$AB154),Projects!$A:$A,0))&amp;"","#PROJECT?"),INDEX(FTE_Allocation!$E$2:$E$201,$AB154)&amp;""),"")))</f>
        <v/>
      </c>
      <c r="F154" s="7">
        <f>IF($Z154="C",INDEX(Contracts!$Q$2:$Q$151,$AB154)&amp;"",IF($Z154="A",INDEX(Fixed_Assets!$L$2:$L$201,$AB154)&amp;"",IF($Z154="F",INDEX(Workforce!$K$2:$K$151,MATCH(INDEX(FTE_Allocation!$A$2:$A$201,$AB154),Workforce!$A$2:$A$151,0))&amp;"","")))</f>
        <v/>
      </c>
      <c r="G154" s="7">
        <f>IF($Z154="C",INDEX(Contracts!$F$2:$F$151,$AB154)&amp;" / "&amp;INDEX(Contracts!$G$2:$G$151,$AB154),IF($Z154="A",INDEX(Fixed_Assets!$E$2:$E$201,$AB154)&amp;"",IF($Z154="F","Personnel "&amp;INDEX(FTE_Allocation!$A$2:$A$201,$AB154)&amp;IF(INDEX(FTE_Allocation!$D$2:$D$201,$AB154)="PROJECT"," ("&amp;INDEX(FTE_Allocation!$E$2:$E$201,$AB154)&amp;")",""),"")))</f>
        <v/>
      </c>
      <c r="H154" s="7">
        <f>IF($Z154="C","CONTRACT",IF($Z154="A","ASSET",IF($Z154="F","WORKFORCE","")))</f>
        <v/>
      </c>
      <c r="I154" s="7">
        <f>IF($Z154="C",INDEX(Contracts!$L$2:$L$151,$AB154)&amp;"",IF($Z154="A",INDEX(Fixed_Assets!$I$2:$I$201,$AB154)&amp;"",IF($Z154="F",INDEX(Workforce!$G$2:$G$151,MATCH(INDEX(FTE_Allocation!$A$2:$A$201,$AB154),Workforce!$A$2:$A$151,0))&amp;"","")))</f>
        <v/>
      </c>
      <c r="J154" s="18">
        <f>IF($Z154="","",IF(AND(DATE($AD154,1,1)&gt;=$AE154,DATE($AD154,1,1)&lt;=$AF154),ROUND($AG154,2),0))</f>
        <v/>
      </c>
      <c r="K154" s="18">
        <f>IF($Z154="","",IF(AND(DATE($AD154,2,1)&gt;=$AE154,DATE($AD154,2,1)&lt;=$AF154),ROUND($AG154,2),0))</f>
        <v/>
      </c>
      <c r="L154" s="18">
        <f>IF($Z154="","",IF(AND(DATE($AD154,3,1)&gt;=$AE154,DATE($AD154,3,1)&lt;=$AF154),ROUND($AG154,2),0))</f>
        <v/>
      </c>
      <c r="M154" s="18">
        <f>IF($Z154="","",IF(AND(DATE($AD154,4,1)&gt;=$AE154,DATE($AD154,4,1)&lt;=$AF154),ROUND($AG154,2),0))</f>
        <v/>
      </c>
      <c r="N154" s="18">
        <f>IF($Z154="","",IF(AND(DATE($AD154,5,1)&gt;=$AE154,DATE($AD154,5,1)&lt;=$AF154),ROUND($AG154,2),0))</f>
        <v/>
      </c>
      <c r="O154" s="18">
        <f>IF($Z154="","",IF(AND(DATE($AD154,6,1)&gt;=$AE154,DATE($AD154,6,1)&lt;=$AF154),ROUND($AG154,2),0))</f>
        <v/>
      </c>
      <c r="P154" s="18">
        <f>IF($Z154="","",IF(AND(DATE($AD154,7,1)&gt;=$AE154,DATE($AD154,7,1)&lt;=$AF154),ROUND($AG154,2),0))</f>
        <v/>
      </c>
      <c r="Q154" s="18">
        <f>IF($Z154="","",IF(AND(DATE($AD154,8,1)&gt;=$AE154,DATE($AD154,8,1)&lt;=$AF154),ROUND($AG154,2),0))</f>
        <v/>
      </c>
      <c r="R154" s="18">
        <f>IF($Z154="","",IF(AND(DATE($AD154,9,1)&gt;=$AE154,DATE($AD154,9,1)&lt;=$AF154),ROUND($AG154,2),0))</f>
        <v/>
      </c>
      <c r="S154" s="18">
        <f>IF($Z154="","",IF(AND(DATE($AD154,10,1)&gt;=$AE154,DATE($AD154,10,1)&lt;=$AF154),ROUND($AG154,2),0))</f>
        <v/>
      </c>
      <c r="T154" s="18">
        <f>IF($Z154="","",IF(AND(DATE($AD154,11,1)&gt;=$AE154,DATE($AD154,11,1)&lt;=$AF154),ROUND($AG154,2),0))</f>
        <v/>
      </c>
      <c r="U154" s="18">
        <f>IF($Z154="","",IF(AND(DATE($AD154,12,1)&gt;=$AE154,DATE($AD154,12,1)&lt;=$AF154),ROUND($AG154,2),0))</f>
        <v/>
      </c>
      <c r="V154" s="7">
        <f>IF($Z154="C","Generated from "&amp;INDEX(Contracts!$A$2:$A$151,$AB154),IF($Z154="A","Generated from "&amp;INDEX(Fixed_Assets!$A$2:$A$201,$AB154),IF($Z154="F","Generated from "&amp;INDEX(FTE_Allocation!$A$2:$A$201,$AB154),"")))</f>
        <v/>
      </c>
      <c r="X154" s="19">
        <f>IF($Z154="","",SUM(J154:U154))</f>
        <v/>
      </c>
      <c r="Y154" s="20">
        <f>ROW()-1</f>
        <v/>
      </c>
      <c r="Z154" s="20">
        <f>IF($Y154&lt;=Settings!$B$4*3,"C",IF($Y154&lt;=(Settings!$B$4+Settings!$B$5)*3,"A",IF($Y154&lt;=(Settings!$B$4+Settings!$B$5+Settings!$B$6)*3,"F","")))</f>
        <v/>
      </c>
      <c r="AA154" s="20">
        <f>IF($Z154="C",$Y154,IF($Z154="A",$Y154-Settings!$B$4*3,IF($Z154="F",$Y154-(Settings!$B$4+Settings!$B$5)*3,"")))</f>
        <v/>
      </c>
      <c r="AB154" s="20">
        <f>IF($Z154="","",INT(($AA154-1)/3)+1)</f>
        <v/>
      </c>
      <c r="AC154" s="20">
        <f>IF($Z154="","",MOD($AA154-1,3)+1)</f>
        <v/>
      </c>
      <c r="AD154" s="20">
        <f>IF($Z154="","",Settings!$B$2+$AC154-1)</f>
        <v/>
      </c>
      <c r="AE154" s="21">
        <f>IF($Z154="C",DATE(YEAR(INDEX(Contracts!$J$2:$J$151,$AB154)),MONTH(INDEX(Contracts!$J$2:$J$151,$AB154)),1),IF($Z154="A",DATE(YEAR(INDEX(Fixed_Assets!$G$2:$G$201,$AB154)),MONTH(INDEX(Fixed_Assets!$G$2:$G$201,$AB154)),1),IF($Z154="F",DATE(YEAR(MAX(N(INDEX(Workforce!$I$2:$I$151,MATCH(INDEX(FTE_Allocation!$A$2:$A$201,$AB154),Workforce!$A$2:$A$151,0))),N(INDEX(FTE_Allocation!$I$2:$I$201,$AB154)))),MONTH(MAX(N(INDEX(Workforce!$I$2:$I$151,MATCH(INDEX(FTE_Allocation!$A$2:$A$201,$AB154),Workforce!$A$2:$A$151,0))),N(INDEX(FTE_Allocation!$I$2:$I$201,$AB154)))),1),"")))</f>
        <v/>
      </c>
      <c r="AF154" s="21">
        <f>IF($Z154="C",IF(INDEX(Contracts!$I$2:$I$151,$AB154)="PREPAID",EDATE(DATE(YEAR(INDEX(Contracts!$J$2:$J$151,$AB154)),MONTH(INDEX(Contracts!$J$2:$J$151,$AB154)),1),IF(INDEX(Contracts!$N$2:$N$151,$AB154)="",12,INDEX(Contracts!$N$2:$N$151,$AB154))-1),IF(INDEX(Contracts!$I$2:$I$151,$AB154)="MONTHLY",IF(INDEX(Contracts!$K$2:$K$151,$AB154)="",2958101,INDEX(Contracts!$K$2:$K$151,$AB154)),0)),IF($Z154="A",EDATE(DATE(YEAR(INDEX(Fixed_Assets!$G$2:$G$201,$AB154)),MONTH(INDEX(Fixed_Assets!$G$2:$G$201,$AB154)),1),INDEX(Fixed_Assets!$J$2:$J$201,$AB154)-1),IF($Z154="F",MIN(IF(INDEX(Workforce!$J$2:$J$151,MATCH(INDEX(FTE_Allocation!$A$2:$A$201,$AB154),Workforce!$A$2:$A$151,0))="",2958101,INDEX(Workforce!$J$2:$J$151,MATCH(INDEX(FTE_Allocation!$A$2:$A$201,$AB154),Workforce!$A$2:$A$151,0))),IF(INDEX(FTE_Allocation!$J$2:$J$201,$AB154)="",2958101,INDEX(FTE_Allocation!$J$2:$J$201,$AB154))),"")))</f>
        <v/>
      </c>
      <c r="AG154" s="19">
        <f>IF($Z154="C",IF(INDEX(Contracts!$I$2:$I$151,$AB154)="PREPAID",INDEX(Contracts!$M$2:$M$151,$AB154)/IF(INDEX(Contracts!$N$2:$N$151,$AB154)="",12,INDEX(Contracts!$N$2:$N$151,$AB154)),IF(INDEX(Contracts!$I$2:$I$151,$AB154)="MONTHLY",INDEX(Contracts!$M$2:$M$151,$AB154),0))*(1-N(INDEX(Contracts!$O$2:$O$151,$AB154))),IF($Z154="A",INDEX(Fixed_Assets!$H$2:$H$201,$AB154)/INDEX(Fixed_Assets!$J$2:$J$201,$AB154),IF($Z154="F",INDEX(Workforce!$F$2:$F$151,MATCH(INDEX(FTE_Allocation!$A$2:$A$201,$AB154),Workforce!$A$2:$A$151,0))*N(INDEX(FTE_Allocation!$F$2:$H$201,$AB154,$AC154)),"")))</f>
        <v/>
      </c>
    </row>
    <row r="155">
      <c r="A155" s="7">
        <f>IF($Z155="","",$AD155)</f>
        <v/>
      </c>
      <c r="B155" s="7">
        <f>IF($Z155="C",INDEX(Contracts!$D$2:$D$151,$AB155)&amp;"",IF($Z155="A",INDEX(Fixed_Assets!$C$2:$C$201,$AB155)&amp;"",IF($Z155="F",INDEX(Workforce!$B$2:$B$151,MATCH(INDEX(FTE_Allocation!$A$2:$A$201,$AB155),Workforce!$A$2:$A$151,0))&amp;"","")))</f>
        <v/>
      </c>
      <c r="C155" s="7">
        <f>IF($Z155="C",INDEX(Contracts!$E$2:$E$151,$AB155)&amp;"",IF($Z155="A",INDEX(Fixed_Assets!$D$2:$D$201,$AB155)&amp;"",IF($Z155="F",INDEX(FTE_Allocation!$C$2:$C$201,$AB155)&amp;"","")))</f>
        <v/>
      </c>
      <c r="D155" s="7">
        <f>IF($Z155="C",INDEX(Contracts!$B$2:$B$151,$AB155)&amp;"",IF($Z155="A",INDEX(Fixed_Assets!$B$2:$B$201,$AB155)&amp;"",IF($Z155="F",INDEX(FTE_Allocation!$B$2:$B$201,$AB155)&amp;"","")))</f>
        <v/>
      </c>
      <c r="E155" s="7">
        <f>IF($Z155="C",INDEX(Contracts!$P$2:$P$151,$AB155)&amp;"",IF($Z155="A",INDEX(Fixed_Assets!$K$2:$K$201,$AB155)&amp;"",IF($Z155="F",IF(INDEX(FTE_Allocation!$D$2:$D$201,$AB155)="PROJECT",IFERROR(INDEX(Projects!$D:$D,MATCH(INDEX(FTE_Allocation!$E$2:$E$201,$AB155),Projects!$A:$A,0))&amp;"","#PROJECT?"),INDEX(FTE_Allocation!$E$2:$E$201,$AB155)&amp;""),"")))</f>
        <v/>
      </c>
      <c r="F155" s="7">
        <f>IF($Z155="C",INDEX(Contracts!$Q$2:$Q$151,$AB155)&amp;"",IF($Z155="A",INDEX(Fixed_Assets!$L$2:$L$201,$AB155)&amp;"",IF($Z155="F",INDEX(Workforce!$K$2:$K$151,MATCH(INDEX(FTE_Allocation!$A$2:$A$201,$AB155),Workforce!$A$2:$A$151,0))&amp;"","")))</f>
        <v/>
      </c>
      <c r="G155" s="7">
        <f>IF($Z155="C",INDEX(Contracts!$F$2:$F$151,$AB155)&amp;" / "&amp;INDEX(Contracts!$G$2:$G$151,$AB155),IF($Z155="A",INDEX(Fixed_Assets!$E$2:$E$201,$AB155)&amp;"",IF($Z155="F","Personnel "&amp;INDEX(FTE_Allocation!$A$2:$A$201,$AB155)&amp;IF(INDEX(FTE_Allocation!$D$2:$D$201,$AB155)="PROJECT"," ("&amp;INDEX(FTE_Allocation!$E$2:$E$201,$AB155)&amp;")",""),"")))</f>
        <v/>
      </c>
      <c r="H155" s="7">
        <f>IF($Z155="C","CONTRACT",IF($Z155="A","ASSET",IF($Z155="F","WORKFORCE","")))</f>
        <v/>
      </c>
      <c r="I155" s="7">
        <f>IF($Z155="C",INDEX(Contracts!$L$2:$L$151,$AB155)&amp;"",IF($Z155="A",INDEX(Fixed_Assets!$I$2:$I$201,$AB155)&amp;"",IF($Z155="F",INDEX(Workforce!$G$2:$G$151,MATCH(INDEX(FTE_Allocation!$A$2:$A$201,$AB155),Workforce!$A$2:$A$151,0))&amp;"","")))</f>
        <v/>
      </c>
      <c r="J155" s="18">
        <f>IF($Z155="","",IF(AND(DATE($AD155,1,1)&gt;=$AE155,DATE($AD155,1,1)&lt;=$AF155),ROUND($AG155,2),0))</f>
        <v/>
      </c>
      <c r="K155" s="18">
        <f>IF($Z155="","",IF(AND(DATE($AD155,2,1)&gt;=$AE155,DATE($AD155,2,1)&lt;=$AF155),ROUND($AG155,2),0))</f>
        <v/>
      </c>
      <c r="L155" s="18">
        <f>IF($Z155="","",IF(AND(DATE($AD155,3,1)&gt;=$AE155,DATE($AD155,3,1)&lt;=$AF155),ROUND($AG155,2),0))</f>
        <v/>
      </c>
      <c r="M155" s="18">
        <f>IF($Z155="","",IF(AND(DATE($AD155,4,1)&gt;=$AE155,DATE($AD155,4,1)&lt;=$AF155),ROUND($AG155,2),0))</f>
        <v/>
      </c>
      <c r="N155" s="18">
        <f>IF($Z155="","",IF(AND(DATE($AD155,5,1)&gt;=$AE155,DATE($AD155,5,1)&lt;=$AF155),ROUND($AG155,2),0))</f>
        <v/>
      </c>
      <c r="O155" s="18">
        <f>IF($Z155="","",IF(AND(DATE($AD155,6,1)&gt;=$AE155,DATE($AD155,6,1)&lt;=$AF155),ROUND($AG155,2),0))</f>
        <v/>
      </c>
      <c r="P155" s="18">
        <f>IF($Z155="","",IF(AND(DATE($AD155,7,1)&gt;=$AE155,DATE($AD155,7,1)&lt;=$AF155),ROUND($AG155,2),0))</f>
        <v/>
      </c>
      <c r="Q155" s="18">
        <f>IF($Z155="","",IF(AND(DATE($AD155,8,1)&gt;=$AE155,DATE($AD155,8,1)&lt;=$AF155),ROUND($AG155,2),0))</f>
        <v/>
      </c>
      <c r="R155" s="18">
        <f>IF($Z155="","",IF(AND(DATE($AD155,9,1)&gt;=$AE155,DATE($AD155,9,1)&lt;=$AF155),ROUND($AG155,2),0))</f>
        <v/>
      </c>
      <c r="S155" s="18">
        <f>IF($Z155="","",IF(AND(DATE($AD155,10,1)&gt;=$AE155,DATE($AD155,10,1)&lt;=$AF155),ROUND($AG155,2),0))</f>
        <v/>
      </c>
      <c r="T155" s="18">
        <f>IF($Z155="","",IF(AND(DATE($AD155,11,1)&gt;=$AE155,DATE($AD155,11,1)&lt;=$AF155),ROUND($AG155,2),0))</f>
        <v/>
      </c>
      <c r="U155" s="18">
        <f>IF($Z155="","",IF(AND(DATE($AD155,12,1)&gt;=$AE155,DATE($AD155,12,1)&lt;=$AF155),ROUND($AG155,2),0))</f>
        <v/>
      </c>
      <c r="V155" s="7">
        <f>IF($Z155="C","Generated from "&amp;INDEX(Contracts!$A$2:$A$151,$AB155),IF($Z155="A","Generated from "&amp;INDEX(Fixed_Assets!$A$2:$A$201,$AB155),IF($Z155="F","Generated from "&amp;INDEX(FTE_Allocation!$A$2:$A$201,$AB155),"")))</f>
        <v/>
      </c>
      <c r="X155" s="19">
        <f>IF($Z155="","",SUM(J155:U155))</f>
        <v/>
      </c>
      <c r="Y155" s="20">
        <f>ROW()-1</f>
        <v/>
      </c>
      <c r="Z155" s="20">
        <f>IF($Y155&lt;=Settings!$B$4*3,"C",IF($Y155&lt;=(Settings!$B$4+Settings!$B$5)*3,"A",IF($Y155&lt;=(Settings!$B$4+Settings!$B$5+Settings!$B$6)*3,"F","")))</f>
        <v/>
      </c>
      <c r="AA155" s="20">
        <f>IF($Z155="C",$Y155,IF($Z155="A",$Y155-Settings!$B$4*3,IF($Z155="F",$Y155-(Settings!$B$4+Settings!$B$5)*3,"")))</f>
        <v/>
      </c>
      <c r="AB155" s="20">
        <f>IF($Z155="","",INT(($AA155-1)/3)+1)</f>
        <v/>
      </c>
      <c r="AC155" s="20">
        <f>IF($Z155="","",MOD($AA155-1,3)+1)</f>
        <v/>
      </c>
      <c r="AD155" s="20">
        <f>IF($Z155="","",Settings!$B$2+$AC155-1)</f>
        <v/>
      </c>
      <c r="AE155" s="21">
        <f>IF($Z155="C",DATE(YEAR(INDEX(Contracts!$J$2:$J$151,$AB155)),MONTH(INDEX(Contracts!$J$2:$J$151,$AB155)),1),IF($Z155="A",DATE(YEAR(INDEX(Fixed_Assets!$G$2:$G$201,$AB155)),MONTH(INDEX(Fixed_Assets!$G$2:$G$201,$AB155)),1),IF($Z155="F",DATE(YEAR(MAX(N(INDEX(Workforce!$I$2:$I$151,MATCH(INDEX(FTE_Allocation!$A$2:$A$201,$AB155),Workforce!$A$2:$A$151,0))),N(INDEX(FTE_Allocation!$I$2:$I$201,$AB155)))),MONTH(MAX(N(INDEX(Workforce!$I$2:$I$151,MATCH(INDEX(FTE_Allocation!$A$2:$A$201,$AB155),Workforce!$A$2:$A$151,0))),N(INDEX(FTE_Allocation!$I$2:$I$201,$AB155)))),1),"")))</f>
        <v/>
      </c>
      <c r="AF155" s="21">
        <f>IF($Z155="C",IF(INDEX(Contracts!$I$2:$I$151,$AB155)="PREPAID",EDATE(DATE(YEAR(INDEX(Contracts!$J$2:$J$151,$AB155)),MONTH(INDEX(Contracts!$J$2:$J$151,$AB155)),1),IF(INDEX(Contracts!$N$2:$N$151,$AB155)="",12,INDEX(Contracts!$N$2:$N$151,$AB155))-1),IF(INDEX(Contracts!$I$2:$I$151,$AB155)="MONTHLY",IF(INDEX(Contracts!$K$2:$K$151,$AB155)="",2958101,INDEX(Contracts!$K$2:$K$151,$AB155)),0)),IF($Z155="A",EDATE(DATE(YEAR(INDEX(Fixed_Assets!$G$2:$G$201,$AB155)),MONTH(INDEX(Fixed_Assets!$G$2:$G$201,$AB155)),1),INDEX(Fixed_Assets!$J$2:$J$201,$AB155)-1),IF($Z155="F",MIN(IF(INDEX(Workforce!$J$2:$J$151,MATCH(INDEX(FTE_Allocation!$A$2:$A$201,$AB155),Workforce!$A$2:$A$151,0))="",2958101,INDEX(Workforce!$J$2:$J$151,MATCH(INDEX(FTE_Allocation!$A$2:$A$201,$AB155),Workforce!$A$2:$A$151,0))),IF(INDEX(FTE_Allocation!$J$2:$J$201,$AB155)="",2958101,INDEX(FTE_Allocation!$J$2:$J$201,$AB155))),"")))</f>
        <v/>
      </c>
      <c r="AG155" s="19">
        <f>IF($Z155="C",IF(INDEX(Contracts!$I$2:$I$151,$AB155)="PREPAID",INDEX(Contracts!$M$2:$M$151,$AB155)/IF(INDEX(Contracts!$N$2:$N$151,$AB155)="",12,INDEX(Contracts!$N$2:$N$151,$AB155)),IF(INDEX(Contracts!$I$2:$I$151,$AB155)="MONTHLY",INDEX(Contracts!$M$2:$M$151,$AB155),0))*(1-N(INDEX(Contracts!$O$2:$O$151,$AB155))),IF($Z155="A",INDEX(Fixed_Assets!$H$2:$H$201,$AB155)/INDEX(Fixed_Assets!$J$2:$J$201,$AB155),IF($Z155="F",INDEX(Workforce!$F$2:$F$151,MATCH(INDEX(FTE_Allocation!$A$2:$A$201,$AB155),Workforce!$A$2:$A$151,0))*N(INDEX(FTE_Allocation!$F$2:$H$201,$AB155,$AC155)),"")))</f>
        <v/>
      </c>
    </row>
    <row r="156">
      <c r="A156" s="7">
        <f>IF($Z156="","",$AD156)</f>
        <v/>
      </c>
      <c r="B156" s="7">
        <f>IF($Z156="C",INDEX(Contracts!$D$2:$D$151,$AB156)&amp;"",IF($Z156="A",INDEX(Fixed_Assets!$C$2:$C$201,$AB156)&amp;"",IF($Z156="F",INDEX(Workforce!$B$2:$B$151,MATCH(INDEX(FTE_Allocation!$A$2:$A$201,$AB156),Workforce!$A$2:$A$151,0))&amp;"","")))</f>
        <v/>
      </c>
      <c r="C156" s="7">
        <f>IF($Z156="C",INDEX(Contracts!$E$2:$E$151,$AB156)&amp;"",IF($Z156="A",INDEX(Fixed_Assets!$D$2:$D$201,$AB156)&amp;"",IF($Z156="F",INDEX(FTE_Allocation!$C$2:$C$201,$AB156)&amp;"","")))</f>
        <v/>
      </c>
      <c r="D156" s="7">
        <f>IF($Z156="C",INDEX(Contracts!$B$2:$B$151,$AB156)&amp;"",IF($Z156="A",INDEX(Fixed_Assets!$B$2:$B$201,$AB156)&amp;"",IF($Z156="F",INDEX(FTE_Allocation!$B$2:$B$201,$AB156)&amp;"","")))</f>
        <v/>
      </c>
      <c r="E156" s="7">
        <f>IF($Z156="C",INDEX(Contracts!$P$2:$P$151,$AB156)&amp;"",IF($Z156="A",INDEX(Fixed_Assets!$K$2:$K$201,$AB156)&amp;"",IF($Z156="F",IF(INDEX(FTE_Allocation!$D$2:$D$201,$AB156)="PROJECT",IFERROR(INDEX(Projects!$D:$D,MATCH(INDEX(FTE_Allocation!$E$2:$E$201,$AB156),Projects!$A:$A,0))&amp;"","#PROJECT?"),INDEX(FTE_Allocation!$E$2:$E$201,$AB156)&amp;""),"")))</f>
        <v/>
      </c>
      <c r="F156" s="7">
        <f>IF($Z156="C",INDEX(Contracts!$Q$2:$Q$151,$AB156)&amp;"",IF($Z156="A",INDEX(Fixed_Assets!$L$2:$L$201,$AB156)&amp;"",IF($Z156="F",INDEX(Workforce!$K$2:$K$151,MATCH(INDEX(FTE_Allocation!$A$2:$A$201,$AB156),Workforce!$A$2:$A$151,0))&amp;"","")))</f>
        <v/>
      </c>
      <c r="G156" s="7">
        <f>IF($Z156="C",INDEX(Contracts!$F$2:$F$151,$AB156)&amp;" / "&amp;INDEX(Contracts!$G$2:$G$151,$AB156),IF($Z156="A",INDEX(Fixed_Assets!$E$2:$E$201,$AB156)&amp;"",IF($Z156="F","Personnel "&amp;INDEX(FTE_Allocation!$A$2:$A$201,$AB156)&amp;IF(INDEX(FTE_Allocation!$D$2:$D$201,$AB156)="PROJECT"," ("&amp;INDEX(FTE_Allocation!$E$2:$E$201,$AB156)&amp;")",""),"")))</f>
        <v/>
      </c>
      <c r="H156" s="7">
        <f>IF($Z156="C","CONTRACT",IF($Z156="A","ASSET",IF($Z156="F","WORKFORCE","")))</f>
        <v/>
      </c>
      <c r="I156" s="7">
        <f>IF($Z156="C",INDEX(Contracts!$L$2:$L$151,$AB156)&amp;"",IF($Z156="A",INDEX(Fixed_Assets!$I$2:$I$201,$AB156)&amp;"",IF($Z156="F",INDEX(Workforce!$G$2:$G$151,MATCH(INDEX(FTE_Allocation!$A$2:$A$201,$AB156),Workforce!$A$2:$A$151,0))&amp;"","")))</f>
        <v/>
      </c>
      <c r="J156" s="18">
        <f>IF($Z156="","",IF(AND(DATE($AD156,1,1)&gt;=$AE156,DATE($AD156,1,1)&lt;=$AF156),ROUND($AG156,2),0))</f>
        <v/>
      </c>
      <c r="K156" s="18">
        <f>IF($Z156="","",IF(AND(DATE($AD156,2,1)&gt;=$AE156,DATE($AD156,2,1)&lt;=$AF156),ROUND($AG156,2),0))</f>
        <v/>
      </c>
      <c r="L156" s="18">
        <f>IF($Z156="","",IF(AND(DATE($AD156,3,1)&gt;=$AE156,DATE($AD156,3,1)&lt;=$AF156),ROUND($AG156,2),0))</f>
        <v/>
      </c>
      <c r="M156" s="18">
        <f>IF($Z156="","",IF(AND(DATE($AD156,4,1)&gt;=$AE156,DATE($AD156,4,1)&lt;=$AF156),ROUND($AG156,2),0))</f>
        <v/>
      </c>
      <c r="N156" s="18">
        <f>IF($Z156="","",IF(AND(DATE($AD156,5,1)&gt;=$AE156,DATE($AD156,5,1)&lt;=$AF156),ROUND($AG156,2),0))</f>
        <v/>
      </c>
      <c r="O156" s="18">
        <f>IF($Z156="","",IF(AND(DATE($AD156,6,1)&gt;=$AE156,DATE($AD156,6,1)&lt;=$AF156),ROUND($AG156,2),0))</f>
        <v/>
      </c>
      <c r="P156" s="18">
        <f>IF($Z156="","",IF(AND(DATE($AD156,7,1)&gt;=$AE156,DATE($AD156,7,1)&lt;=$AF156),ROUND($AG156,2),0))</f>
        <v/>
      </c>
      <c r="Q156" s="18">
        <f>IF($Z156="","",IF(AND(DATE($AD156,8,1)&gt;=$AE156,DATE($AD156,8,1)&lt;=$AF156),ROUND($AG156,2),0))</f>
        <v/>
      </c>
      <c r="R156" s="18">
        <f>IF($Z156="","",IF(AND(DATE($AD156,9,1)&gt;=$AE156,DATE($AD156,9,1)&lt;=$AF156),ROUND($AG156,2),0))</f>
        <v/>
      </c>
      <c r="S156" s="18">
        <f>IF($Z156="","",IF(AND(DATE($AD156,10,1)&gt;=$AE156,DATE($AD156,10,1)&lt;=$AF156),ROUND($AG156,2),0))</f>
        <v/>
      </c>
      <c r="T156" s="18">
        <f>IF($Z156="","",IF(AND(DATE($AD156,11,1)&gt;=$AE156,DATE($AD156,11,1)&lt;=$AF156),ROUND($AG156,2),0))</f>
        <v/>
      </c>
      <c r="U156" s="18">
        <f>IF($Z156="","",IF(AND(DATE($AD156,12,1)&gt;=$AE156,DATE($AD156,12,1)&lt;=$AF156),ROUND($AG156,2),0))</f>
        <v/>
      </c>
      <c r="V156" s="7">
        <f>IF($Z156="C","Generated from "&amp;INDEX(Contracts!$A$2:$A$151,$AB156),IF($Z156="A","Generated from "&amp;INDEX(Fixed_Assets!$A$2:$A$201,$AB156),IF($Z156="F","Generated from "&amp;INDEX(FTE_Allocation!$A$2:$A$201,$AB156),"")))</f>
        <v/>
      </c>
      <c r="X156" s="19">
        <f>IF($Z156="","",SUM(J156:U156))</f>
        <v/>
      </c>
      <c r="Y156" s="20">
        <f>ROW()-1</f>
        <v/>
      </c>
      <c r="Z156" s="20">
        <f>IF($Y156&lt;=Settings!$B$4*3,"C",IF($Y156&lt;=(Settings!$B$4+Settings!$B$5)*3,"A",IF($Y156&lt;=(Settings!$B$4+Settings!$B$5+Settings!$B$6)*3,"F","")))</f>
        <v/>
      </c>
      <c r="AA156" s="20">
        <f>IF($Z156="C",$Y156,IF($Z156="A",$Y156-Settings!$B$4*3,IF($Z156="F",$Y156-(Settings!$B$4+Settings!$B$5)*3,"")))</f>
        <v/>
      </c>
      <c r="AB156" s="20">
        <f>IF($Z156="","",INT(($AA156-1)/3)+1)</f>
        <v/>
      </c>
      <c r="AC156" s="20">
        <f>IF($Z156="","",MOD($AA156-1,3)+1)</f>
        <v/>
      </c>
      <c r="AD156" s="20">
        <f>IF($Z156="","",Settings!$B$2+$AC156-1)</f>
        <v/>
      </c>
      <c r="AE156" s="21">
        <f>IF($Z156="C",DATE(YEAR(INDEX(Contracts!$J$2:$J$151,$AB156)),MONTH(INDEX(Contracts!$J$2:$J$151,$AB156)),1),IF($Z156="A",DATE(YEAR(INDEX(Fixed_Assets!$G$2:$G$201,$AB156)),MONTH(INDEX(Fixed_Assets!$G$2:$G$201,$AB156)),1),IF($Z156="F",DATE(YEAR(MAX(N(INDEX(Workforce!$I$2:$I$151,MATCH(INDEX(FTE_Allocation!$A$2:$A$201,$AB156),Workforce!$A$2:$A$151,0))),N(INDEX(FTE_Allocation!$I$2:$I$201,$AB156)))),MONTH(MAX(N(INDEX(Workforce!$I$2:$I$151,MATCH(INDEX(FTE_Allocation!$A$2:$A$201,$AB156),Workforce!$A$2:$A$151,0))),N(INDEX(FTE_Allocation!$I$2:$I$201,$AB156)))),1),"")))</f>
        <v/>
      </c>
      <c r="AF156" s="21">
        <f>IF($Z156="C",IF(INDEX(Contracts!$I$2:$I$151,$AB156)="PREPAID",EDATE(DATE(YEAR(INDEX(Contracts!$J$2:$J$151,$AB156)),MONTH(INDEX(Contracts!$J$2:$J$151,$AB156)),1),IF(INDEX(Contracts!$N$2:$N$151,$AB156)="",12,INDEX(Contracts!$N$2:$N$151,$AB156))-1),IF(INDEX(Contracts!$I$2:$I$151,$AB156)="MONTHLY",IF(INDEX(Contracts!$K$2:$K$151,$AB156)="",2958101,INDEX(Contracts!$K$2:$K$151,$AB156)),0)),IF($Z156="A",EDATE(DATE(YEAR(INDEX(Fixed_Assets!$G$2:$G$201,$AB156)),MONTH(INDEX(Fixed_Assets!$G$2:$G$201,$AB156)),1),INDEX(Fixed_Assets!$J$2:$J$201,$AB156)-1),IF($Z156="F",MIN(IF(INDEX(Workforce!$J$2:$J$151,MATCH(INDEX(FTE_Allocation!$A$2:$A$201,$AB156),Workforce!$A$2:$A$151,0))="",2958101,INDEX(Workforce!$J$2:$J$151,MATCH(INDEX(FTE_Allocation!$A$2:$A$201,$AB156),Workforce!$A$2:$A$151,0))),IF(INDEX(FTE_Allocation!$J$2:$J$201,$AB156)="",2958101,INDEX(FTE_Allocation!$J$2:$J$201,$AB156))),"")))</f>
        <v/>
      </c>
      <c r="AG156" s="19">
        <f>IF($Z156="C",IF(INDEX(Contracts!$I$2:$I$151,$AB156)="PREPAID",INDEX(Contracts!$M$2:$M$151,$AB156)/IF(INDEX(Contracts!$N$2:$N$151,$AB156)="",12,INDEX(Contracts!$N$2:$N$151,$AB156)),IF(INDEX(Contracts!$I$2:$I$151,$AB156)="MONTHLY",INDEX(Contracts!$M$2:$M$151,$AB156),0))*(1-N(INDEX(Contracts!$O$2:$O$151,$AB156))),IF($Z156="A",INDEX(Fixed_Assets!$H$2:$H$201,$AB156)/INDEX(Fixed_Assets!$J$2:$J$201,$AB156),IF($Z156="F",INDEX(Workforce!$F$2:$F$151,MATCH(INDEX(FTE_Allocation!$A$2:$A$201,$AB156),Workforce!$A$2:$A$151,0))*N(INDEX(FTE_Allocation!$F$2:$H$201,$AB156,$AC156)),"")))</f>
        <v/>
      </c>
    </row>
    <row r="157">
      <c r="A157" s="7">
        <f>IF($Z157="","",$AD157)</f>
        <v/>
      </c>
      <c r="B157" s="7">
        <f>IF($Z157="C",INDEX(Contracts!$D$2:$D$151,$AB157)&amp;"",IF($Z157="A",INDEX(Fixed_Assets!$C$2:$C$201,$AB157)&amp;"",IF($Z157="F",INDEX(Workforce!$B$2:$B$151,MATCH(INDEX(FTE_Allocation!$A$2:$A$201,$AB157),Workforce!$A$2:$A$151,0))&amp;"","")))</f>
        <v/>
      </c>
      <c r="C157" s="7">
        <f>IF($Z157="C",INDEX(Contracts!$E$2:$E$151,$AB157)&amp;"",IF($Z157="A",INDEX(Fixed_Assets!$D$2:$D$201,$AB157)&amp;"",IF($Z157="F",INDEX(FTE_Allocation!$C$2:$C$201,$AB157)&amp;"","")))</f>
        <v/>
      </c>
      <c r="D157" s="7">
        <f>IF($Z157="C",INDEX(Contracts!$B$2:$B$151,$AB157)&amp;"",IF($Z157="A",INDEX(Fixed_Assets!$B$2:$B$201,$AB157)&amp;"",IF($Z157="F",INDEX(FTE_Allocation!$B$2:$B$201,$AB157)&amp;"","")))</f>
        <v/>
      </c>
      <c r="E157" s="7">
        <f>IF($Z157="C",INDEX(Contracts!$P$2:$P$151,$AB157)&amp;"",IF($Z157="A",INDEX(Fixed_Assets!$K$2:$K$201,$AB157)&amp;"",IF($Z157="F",IF(INDEX(FTE_Allocation!$D$2:$D$201,$AB157)="PROJECT",IFERROR(INDEX(Projects!$D:$D,MATCH(INDEX(FTE_Allocation!$E$2:$E$201,$AB157),Projects!$A:$A,0))&amp;"","#PROJECT?"),INDEX(FTE_Allocation!$E$2:$E$201,$AB157)&amp;""),"")))</f>
        <v/>
      </c>
      <c r="F157" s="7">
        <f>IF($Z157="C",INDEX(Contracts!$Q$2:$Q$151,$AB157)&amp;"",IF($Z157="A",INDEX(Fixed_Assets!$L$2:$L$201,$AB157)&amp;"",IF($Z157="F",INDEX(Workforce!$K$2:$K$151,MATCH(INDEX(FTE_Allocation!$A$2:$A$201,$AB157),Workforce!$A$2:$A$151,0))&amp;"","")))</f>
        <v/>
      </c>
      <c r="G157" s="7">
        <f>IF($Z157="C",INDEX(Contracts!$F$2:$F$151,$AB157)&amp;" / "&amp;INDEX(Contracts!$G$2:$G$151,$AB157),IF($Z157="A",INDEX(Fixed_Assets!$E$2:$E$201,$AB157)&amp;"",IF($Z157="F","Personnel "&amp;INDEX(FTE_Allocation!$A$2:$A$201,$AB157)&amp;IF(INDEX(FTE_Allocation!$D$2:$D$201,$AB157)="PROJECT"," ("&amp;INDEX(FTE_Allocation!$E$2:$E$201,$AB157)&amp;")",""),"")))</f>
        <v/>
      </c>
      <c r="H157" s="7">
        <f>IF($Z157="C","CONTRACT",IF($Z157="A","ASSET",IF($Z157="F","WORKFORCE","")))</f>
        <v/>
      </c>
      <c r="I157" s="7">
        <f>IF($Z157="C",INDEX(Contracts!$L$2:$L$151,$AB157)&amp;"",IF($Z157="A",INDEX(Fixed_Assets!$I$2:$I$201,$AB157)&amp;"",IF($Z157="F",INDEX(Workforce!$G$2:$G$151,MATCH(INDEX(FTE_Allocation!$A$2:$A$201,$AB157),Workforce!$A$2:$A$151,0))&amp;"","")))</f>
        <v/>
      </c>
      <c r="J157" s="18">
        <f>IF($Z157="","",IF(AND(DATE($AD157,1,1)&gt;=$AE157,DATE($AD157,1,1)&lt;=$AF157),ROUND($AG157,2),0))</f>
        <v/>
      </c>
      <c r="K157" s="18">
        <f>IF($Z157="","",IF(AND(DATE($AD157,2,1)&gt;=$AE157,DATE($AD157,2,1)&lt;=$AF157),ROUND($AG157,2),0))</f>
        <v/>
      </c>
      <c r="L157" s="18">
        <f>IF($Z157="","",IF(AND(DATE($AD157,3,1)&gt;=$AE157,DATE($AD157,3,1)&lt;=$AF157),ROUND($AG157,2),0))</f>
        <v/>
      </c>
      <c r="M157" s="18">
        <f>IF($Z157="","",IF(AND(DATE($AD157,4,1)&gt;=$AE157,DATE($AD157,4,1)&lt;=$AF157),ROUND($AG157,2),0))</f>
        <v/>
      </c>
      <c r="N157" s="18">
        <f>IF($Z157="","",IF(AND(DATE($AD157,5,1)&gt;=$AE157,DATE($AD157,5,1)&lt;=$AF157),ROUND($AG157,2),0))</f>
        <v/>
      </c>
      <c r="O157" s="18">
        <f>IF($Z157="","",IF(AND(DATE($AD157,6,1)&gt;=$AE157,DATE($AD157,6,1)&lt;=$AF157),ROUND($AG157,2),0))</f>
        <v/>
      </c>
      <c r="P157" s="18">
        <f>IF($Z157="","",IF(AND(DATE($AD157,7,1)&gt;=$AE157,DATE($AD157,7,1)&lt;=$AF157),ROUND($AG157,2),0))</f>
        <v/>
      </c>
      <c r="Q157" s="18">
        <f>IF($Z157="","",IF(AND(DATE($AD157,8,1)&gt;=$AE157,DATE($AD157,8,1)&lt;=$AF157),ROUND($AG157,2),0))</f>
        <v/>
      </c>
      <c r="R157" s="18">
        <f>IF($Z157="","",IF(AND(DATE($AD157,9,1)&gt;=$AE157,DATE($AD157,9,1)&lt;=$AF157),ROUND($AG157,2),0))</f>
        <v/>
      </c>
      <c r="S157" s="18">
        <f>IF($Z157="","",IF(AND(DATE($AD157,10,1)&gt;=$AE157,DATE($AD157,10,1)&lt;=$AF157),ROUND($AG157,2),0))</f>
        <v/>
      </c>
      <c r="T157" s="18">
        <f>IF($Z157="","",IF(AND(DATE($AD157,11,1)&gt;=$AE157,DATE($AD157,11,1)&lt;=$AF157),ROUND($AG157,2),0))</f>
        <v/>
      </c>
      <c r="U157" s="18">
        <f>IF($Z157="","",IF(AND(DATE($AD157,12,1)&gt;=$AE157,DATE($AD157,12,1)&lt;=$AF157),ROUND($AG157,2),0))</f>
        <v/>
      </c>
      <c r="V157" s="7">
        <f>IF($Z157="C","Generated from "&amp;INDEX(Contracts!$A$2:$A$151,$AB157),IF($Z157="A","Generated from "&amp;INDEX(Fixed_Assets!$A$2:$A$201,$AB157),IF($Z157="F","Generated from "&amp;INDEX(FTE_Allocation!$A$2:$A$201,$AB157),"")))</f>
        <v/>
      </c>
      <c r="X157" s="19">
        <f>IF($Z157="","",SUM(J157:U157))</f>
        <v/>
      </c>
      <c r="Y157" s="20">
        <f>ROW()-1</f>
        <v/>
      </c>
      <c r="Z157" s="20">
        <f>IF($Y157&lt;=Settings!$B$4*3,"C",IF($Y157&lt;=(Settings!$B$4+Settings!$B$5)*3,"A",IF($Y157&lt;=(Settings!$B$4+Settings!$B$5+Settings!$B$6)*3,"F","")))</f>
        <v/>
      </c>
      <c r="AA157" s="20">
        <f>IF($Z157="C",$Y157,IF($Z157="A",$Y157-Settings!$B$4*3,IF($Z157="F",$Y157-(Settings!$B$4+Settings!$B$5)*3,"")))</f>
        <v/>
      </c>
      <c r="AB157" s="20">
        <f>IF($Z157="","",INT(($AA157-1)/3)+1)</f>
        <v/>
      </c>
      <c r="AC157" s="20">
        <f>IF($Z157="","",MOD($AA157-1,3)+1)</f>
        <v/>
      </c>
      <c r="AD157" s="20">
        <f>IF($Z157="","",Settings!$B$2+$AC157-1)</f>
        <v/>
      </c>
      <c r="AE157" s="21">
        <f>IF($Z157="C",DATE(YEAR(INDEX(Contracts!$J$2:$J$151,$AB157)),MONTH(INDEX(Contracts!$J$2:$J$151,$AB157)),1),IF($Z157="A",DATE(YEAR(INDEX(Fixed_Assets!$G$2:$G$201,$AB157)),MONTH(INDEX(Fixed_Assets!$G$2:$G$201,$AB157)),1),IF($Z157="F",DATE(YEAR(MAX(N(INDEX(Workforce!$I$2:$I$151,MATCH(INDEX(FTE_Allocation!$A$2:$A$201,$AB157),Workforce!$A$2:$A$151,0))),N(INDEX(FTE_Allocation!$I$2:$I$201,$AB157)))),MONTH(MAX(N(INDEX(Workforce!$I$2:$I$151,MATCH(INDEX(FTE_Allocation!$A$2:$A$201,$AB157),Workforce!$A$2:$A$151,0))),N(INDEX(FTE_Allocation!$I$2:$I$201,$AB157)))),1),"")))</f>
        <v/>
      </c>
      <c r="AF157" s="21">
        <f>IF($Z157="C",IF(INDEX(Contracts!$I$2:$I$151,$AB157)="PREPAID",EDATE(DATE(YEAR(INDEX(Contracts!$J$2:$J$151,$AB157)),MONTH(INDEX(Contracts!$J$2:$J$151,$AB157)),1),IF(INDEX(Contracts!$N$2:$N$151,$AB157)="",12,INDEX(Contracts!$N$2:$N$151,$AB157))-1),IF(INDEX(Contracts!$I$2:$I$151,$AB157)="MONTHLY",IF(INDEX(Contracts!$K$2:$K$151,$AB157)="",2958101,INDEX(Contracts!$K$2:$K$151,$AB157)),0)),IF($Z157="A",EDATE(DATE(YEAR(INDEX(Fixed_Assets!$G$2:$G$201,$AB157)),MONTH(INDEX(Fixed_Assets!$G$2:$G$201,$AB157)),1),INDEX(Fixed_Assets!$J$2:$J$201,$AB157)-1),IF($Z157="F",MIN(IF(INDEX(Workforce!$J$2:$J$151,MATCH(INDEX(FTE_Allocation!$A$2:$A$201,$AB157),Workforce!$A$2:$A$151,0))="",2958101,INDEX(Workforce!$J$2:$J$151,MATCH(INDEX(FTE_Allocation!$A$2:$A$201,$AB157),Workforce!$A$2:$A$151,0))),IF(INDEX(FTE_Allocation!$J$2:$J$201,$AB157)="",2958101,INDEX(FTE_Allocation!$J$2:$J$201,$AB157))),"")))</f>
        <v/>
      </c>
      <c r="AG157" s="19">
        <f>IF($Z157="C",IF(INDEX(Contracts!$I$2:$I$151,$AB157)="PREPAID",INDEX(Contracts!$M$2:$M$151,$AB157)/IF(INDEX(Contracts!$N$2:$N$151,$AB157)="",12,INDEX(Contracts!$N$2:$N$151,$AB157)),IF(INDEX(Contracts!$I$2:$I$151,$AB157)="MONTHLY",INDEX(Contracts!$M$2:$M$151,$AB157),0))*(1-N(INDEX(Contracts!$O$2:$O$151,$AB157))),IF($Z157="A",INDEX(Fixed_Assets!$H$2:$H$201,$AB157)/INDEX(Fixed_Assets!$J$2:$J$201,$AB157),IF($Z157="F",INDEX(Workforce!$F$2:$F$151,MATCH(INDEX(FTE_Allocation!$A$2:$A$201,$AB157),Workforce!$A$2:$A$151,0))*N(INDEX(FTE_Allocation!$F$2:$H$201,$AB157,$AC157)),"")))</f>
        <v/>
      </c>
    </row>
    <row r="158">
      <c r="A158" s="7">
        <f>IF($Z158="","",$AD158)</f>
        <v/>
      </c>
      <c r="B158" s="7">
        <f>IF($Z158="C",INDEX(Contracts!$D$2:$D$151,$AB158)&amp;"",IF($Z158="A",INDEX(Fixed_Assets!$C$2:$C$201,$AB158)&amp;"",IF($Z158="F",INDEX(Workforce!$B$2:$B$151,MATCH(INDEX(FTE_Allocation!$A$2:$A$201,$AB158),Workforce!$A$2:$A$151,0))&amp;"","")))</f>
        <v/>
      </c>
      <c r="C158" s="7">
        <f>IF($Z158="C",INDEX(Contracts!$E$2:$E$151,$AB158)&amp;"",IF($Z158="A",INDEX(Fixed_Assets!$D$2:$D$201,$AB158)&amp;"",IF($Z158="F",INDEX(FTE_Allocation!$C$2:$C$201,$AB158)&amp;"","")))</f>
        <v/>
      </c>
      <c r="D158" s="7">
        <f>IF($Z158="C",INDEX(Contracts!$B$2:$B$151,$AB158)&amp;"",IF($Z158="A",INDEX(Fixed_Assets!$B$2:$B$201,$AB158)&amp;"",IF($Z158="F",INDEX(FTE_Allocation!$B$2:$B$201,$AB158)&amp;"","")))</f>
        <v/>
      </c>
      <c r="E158" s="7">
        <f>IF($Z158="C",INDEX(Contracts!$P$2:$P$151,$AB158)&amp;"",IF($Z158="A",INDEX(Fixed_Assets!$K$2:$K$201,$AB158)&amp;"",IF($Z158="F",IF(INDEX(FTE_Allocation!$D$2:$D$201,$AB158)="PROJECT",IFERROR(INDEX(Projects!$D:$D,MATCH(INDEX(FTE_Allocation!$E$2:$E$201,$AB158),Projects!$A:$A,0))&amp;"","#PROJECT?"),INDEX(FTE_Allocation!$E$2:$E$201,$AB158)&amp;""),"")))</f>
        <v/>
      </c>
      <c r="F158" s="7">
        <f>IF($Z158="C",INDEX(Contracts!$Q$2:$Q$151,$AB158)&amp;"",IF($Z158="A",INDEX(Fixed_Assets!$L$2:$L$201,$AB158)&amp;"",IF($Z158="F",INDEX(Workforce!$K$2:$K$151,MATCH(INDEX(FTE_Allocation!$A$2:$A$201,$AB158),Workforce!$A$2:$A$151,0))&amp;"","")))</f>
        <v/>
      </c>
      <c r="G158" s="7">
        <f>IF($Z158="C",INDEX(Contracts!$F$2:$F$151,$AB158)&amp;" / "&amp;INDEX(Contracts!$G$2:$G$151,$AB158),IF($Z158="A",INDEX(Fixed_Assets!$E$2:$E$201,$AB158)&amp;"",IF($Z158="F","Personnel "&amp;INDEX(FTE_Allocation!$A$2:$A$201,$AB158)&amp;IF(INDEX(FTE_Allocation!$D$2:$D$201,$AB158)="PROJECT"," ("&amp;INDEX(FTE_Allocation!$E$2:$E$201,$AB158)&amp;")",""),"")))</f>
        <v/>
      </c>
      <c r="H158" s="7">
        <f>IF($Z158="C","CONTRACT",IF($Z158="A","ASSET",IF($Z158="F","WORKFORCE","")))</f>
        <v/>
      </c>
      <c r="I158" s="7">
        <f>IF($Z158="C",INDEX(Contracts!$L$2:$L$151,$AB158)&amp;"",IF($Z158="A",INDEX(Fixed_Assets!$I$2:$I$201,$AB158)&amp;"",IF($Z158="F",INDEX(Workforce!$G$2:$G$151,MATCH(INDEX(FTE_Allocation!$A$2:$A$201,$AB158),Workforce!$A$2:$A$151,0))&amp;"","")))</f>
        <v/>
      </c>
      <c r="J158" s="18">
        <f>IF($Z158="","",IF(AND(DATE($AD158,1,1)&gt;=$AE158,DATE($AD158,1,1)&lt;=$AF158),ROUND($AG158,2),0))</f>
        <v/>
      </c>
      <c r="K158" s="18">
        <f>IF($Z158="","",IF(AND(DATE($AD158,2,1)&gt;=$AE158,DATE($AD158,2,1)&lt;=$AF158),ROUND($AG158,2),0))</f>
        <v/>
      </c>
      <c r="L158" s="18">
        <f>IF($Z158="","",IF(AND(DATE($AD158,3,1)&gt;=$AE158,DATE($AD158,3,1)&lt;=$AF158),ROUND($AG158,2),0))</f>
        <v/>
      </c>
      <c r="M158" s="18">
        <f>IF($Z158="","",IF(AND(DATE($AD158,4,1)&gt;=$AE158,DATE($AD158,4,1)&lt;=$AF158),ROUND($AG158,2),0))</f>
        <v/>
      </c>
      <c r="N158" s="18">
        <f>IF($Z158="","",IF(AND(DATE($AD158,5,1)&gt;=$AE158,DATE($AD158,5,1)&lt;=$AF158),ROUND($AG158,2),0))</f>
        <v/>
      </c>
      <c r="O158" s="18">
        <f>IF($Z158="","",IF(AND(DATE($AD158,6,1)&gt;=$AE158,DATE($AD158,6,1)&lt;=$AF158),ROUND($AG158,2),0))</f>
        <v/>
      </c>
      <c r="P158" s="18">
        <f>IF($Z158="","",IF(AND(DATE($AD158,7,1)&gt;=$AE158,DATE($AD158,7,1)&lt;=$AF158),ROUND($AG158,2),0))</f>
        <v/>
      </c>
      <c r="Q158" s="18">
        <f>IF($Z158="","",IF(AND(DATE($AD158,8,1)&gt;=$AE158,DATE($AD158,8,1)&lt;=$AF158),ROUND($AG158,2),0))</f>
        <v/>
      </c>
      <c r="R158" s="18">
        <f>IF($Z158="","",IF(AND(DATE($AD158,9,1)&gt;=$AE158,DATE($AD158,9,1)&lt;=$AF158),ROUND($AG158,2),0))</f>
        <v/>
      </c>
      <c r="S158" s="18">
        <f>IF($Z158="","",IF(AND(DATE($AD158,10,1)&gt;=$AE158,DATE($AD158,10,1)&lt;=$AF158),ROUND($AG158,2),0))</f>
        <v/>
      </c>
      <c r="T158" s="18">
        <f>IF($Z158="","",IF(AND(DATE($AD158,11,1)&gt;=$AE158,DATE($AD158,11,1)&lt;=$AF158),ROUND($AG158,2),0))</f>
        <v/>
      </c>
      <c r="U158" s="18">
        <f>IF($Z158="","",IF(AND(DATE($AD158,12,1)&gt;=$AE158,DATE($AD158,12,1)&lt;=$AF158),ROUND($AG158,2),0))</f>
        <v/>
      </c>
      <c r="V158" s="7">
        <f>IF($Z158="C","Generated from "&amp;INDEX(Contracts!$A$2:$A$151,$AB158),IF($Z158="A","Generated from "&amp;INDEX(Fixed_Assets!$A$2:$A$201,$AB158),IF($Z158="F","Generated from "&amp;INDEX(FTE_Allocation!$A$2:$A$201,$AB158),"")))</f>
        <v/>
      </c>
      <c r="X158" s="19">
        <f>IF($Z158="","",SUM(J158:U158))</f>
        <v/>
      </c>
      <c r="Y158" s="20">
        <f>ROW()-1</f>
        <v/>
      </c>
      <c r="Z158" s="20">
        <f>IF($Y158&lt;=Settings!$B$4*3,"C",IF($Y158&lt;=(Settings!$B$4+Settings!$B$5)*3,"A",IF($Y158&lt;=(Settings!$B$4+Settings!$B$5+Settings!$B$6)*3,"F","")))</f>
        <v/>
      </c>
      <c r="AA158" s="20">
        <f>IF($Z158="C",$Y158,IF($Z158="A",$Y158-Settings!$B$4*3,IF($Z158="F",$Y158-(Settings!$B$4+Settings!$B$5)*3,"")))</f>
        <v/>
      </c>
      <c r="AB158" s="20">
        <f>IF($Z158="","",INT(($AA158-1)/3)+1)</f>
        <v/>
      </c>
      <c r="AC158" s="20">
        <f>IF($Z158="","",MOD($AA158-1,3)+1)</f>
        <v/>
      </c>
      <c r="AD158" s="20">
        <f>IF($Z158="","",Settings!$B$2+$AC158-1)</f>
        <v/>
      </c>
      <c r="AE158" s="21">
        <f>IF($Z158="C",DATE(YEAR(INDEX(Contracts!$J$2:$J$151,$AB158)),MONTH(INDEX(Contracts!$J$2:$J$151,$AB158)),1),IF($Z158="A",DATE(YEAR(INDEX(Fixed_Assets!$G$2:$G$201,$AB158)),MONTH(INDEX(Fixed_Assets!$G$2:$G$201,$AB158)),1),IF($Z158="F",DATE(YEAR(MAX(N(INDEX(Workforce!$I$2:$I$151,MATCH(INDEX(FTE_Allocation!$A$2:$A$201,$AB158),Workforce!$A$2:$A$151,0))),N(INDEX(FTE_Allocation!$I$2:$I$201,$AB158)))),MONTH(MAX(N(INDEX(Workforce!$I$2:$I$151,MATCH(INDEX(FTE_Allocation!$A$2:$A$201,$AB158),Workforce!$A$2:$A$151,0))),N(INDEX(FTE_Allocation!$I$2:$I$201,$AB158)))),1),"")))</f>
        <v/>
      </c>
      <c r="AF158" s="21">
        <f>IF($Z158="C",IF(INDEX(Contracts!$I$2:$I$151,$AB158)="PREPAID",EDATE(DATE(YEAR(INDEX(Contracts!$J$2:$J$151,$AB158)),MONTH(INDEX(Contracts!$J$2:$J$151,$AB158)),1),IF(INDEX(Contracts!$N$2:$N$151,$AB158)="",12,INDEX(Contracts!$N$2:$N$151,$AB158))-1),IF(INDEX(Contracts!$I$2:$I$151,$AB158)="MONTHLY",IF(INDEX(Contracts!$K$2:$K$151,$AB158)="",2958101,INDEX(Contracts!$K$2:$K$151,$AB158)),0)),IF($Z158="A",EDATE(DATE(YEAR(INDEX(Fixed_Assets!$G$2:$G$201,$AB158)),MONTH(INDEX(Fixed_Assets!$G$2:$G$201,$AB158)),1),INDEX(Fixed_Assets!$J$2:$J$201,$AB158)-1),IF($Z158="F",MIN(IF(INDEX(Workforce!$J$2:$J$151,MATCH(INDEX(FTE_Allocation!$A$2:$A$201,$AB158),Workforce!$A$2:$A$151,0))="",2958101,INDEX(Workforce!$J$2:$J$151,MATCH(INDEX(FTE_Allocation!$A$2:$A$201,$AB158),Workforce!$A$2:$A$151,0))),IF(INDEX(FTE_Allocation!$J$2:$J$201,$AB158)="",2958101,INDEX(FTE_Allocation!$J$2:$J$201,$AB158))),"")))</f>
        <v/>
      </c>
      <c r="AG158" s="19">
        <f>IF($Z158="C",IF(INDEX(Contracts!$I$2:$I$151,$AB158)="PREPAID",INDEX(Contracts!$M$2:$M$151,$AB158)/IF(INDEX(Contracts!$N$2:$N$151,$AB158)="",12,INDEX(Contracts!$N$2:$N$151,$AB158)),IF(INDEX(Contracts!$I$2:$I$151,$AB158)="MONTHLY",INDEX(Contracts!$M$2:$M$151,$AB158),0))*(1-N(INDEX(Contracts!$O$2:$O$151,$AB158))),IF($Z158="A",INDEX(Fixed_Assets!$H$2:$H$201,$AB158)/INDEX(Fixed_Assets!$J$2:$J$201,$AB158),IF($Z158="F",INDEX(Workforce!$F$2:$F$151,MATCH(INDEX(FTE_Allocation!$A$2:$A$201,$AB158),Workforce!$A$2:$A$151,0))*N(INDEX(FTE_Allocation!$F$2:$H$201,$AB158,$AC158)),"")))</f>
        <v/>
      </c>
    </row>
    <row r="159">
      <c r="A159" s="7">
        <f>IF($Z159="","",$AD159)</f>
        <v/>
      </c>
      <c r="B159" s="7">
        <f>IF($Z159="C",INDEX(Contracts!$D$2:$D$151,$AB159)&amp;"",IF($Z159="A",INDEX(Fixed_Assets!$C$2:$C$201,$AB159)&amp;"",IF($Z159="F",INDEX(Workforce!$B$2:$B$151,MATCH(INDEX(FTE_Allocation!$A$2:$A$201,$AB159),Workforce!$A$2:$A$151,0))&amp;"","")))</f>
        <v/>
      </c>
      <c r="C159" s="7">
        <f>IF($Z159="C",INDEX(Contracts!$E$2:$E$151,$AB159)&amp;"",IF($Z159="A",INDEX(Fixed_Assets!$D$2:$D$201,$AB159)&amp;"",IF($Z159="F",INDEX(FTE_Allocation!$C$2:$C$201,$AB159)&amp;"","")))</f>
        <v/>
      </c>
      <c r="D159" s="7">
        <f>IF($Z159="C",INDEX(Contracts!$B$2:$B$151,$AB159)&amp;"",IF($Z159="A",INDEX(Fixed_Assets!$B$2:$B$201,$AB159)&amp;"",IF($Z159="F",INDEX(FTE_Allocation!$B$2:$B$201,$AB159)&amp;"","")))</f>
        <v/>
      </c>
      <c r="E159" s="7">
        <f>IF($Z159="C",INDEX(Contracts!$P$2:$P$151,$AB159)&amp;"",IF($Z159="A",INDEX(Fixed_Assets!$K$2:$K$201,$AB159)&amp;"",IF($Z159="F",IF(INDEX(FTE_Allocation!$D$2:$D$201,$AB159)="PROJECT",IFERROR(INDEX(Projects!$D:$D,MATCH(INDEX(FTE_Allocation!$E$2:$E$201,$AB159),Projects!$A:$A,0))&amp;"","#PROJECT?"),INDEX(FTE_Allocation!$E$2:$E$201,$AB159)&amp;""),"")))</f>
        <v/>
      </c>
      <c r="F159" s="7">
        <f>IF($Z159="C",INDEX(Contracts!$Q$2:$Q$151,$AB159)&amp;"",IF($Z159="A",INDEX(Fixed_Assets!$L$2:$L$201,$AB159)&amp;"",IF($Z159="F",INDEX(Workforce!$K$2:$K$151,MATCH(INDEX(FTE_Allocation!$A$2:$A$201,$AB159),Workforce!$A$2:$A$151,0))&amp;"","")))</f>
        <v/>
      </c>
      <c r="G159" s="7">
        <f>IF($Z159="C",INDEX(Contracts!$F$2:$F$151,$AB159)&amp;" / "&amp;INDEX(Contracts!$G$2:$G$151,$AB159),IF($Z159="A",INDEX(Fixed_Assets!$E$2:$E$201,$AB159)&amp;"",IF($Z159="F","Personnel "&amp;INDEX(FTE_Allocation!$A$2:$A$201,$AB159)&amp;IF(INDEX(FTE_Allocation!$D$2:$D$201,$AB159)="PROJECT"," ("&amp;INDEX(FTE_Allocation!$E$2:$E$201,$AB159)&amp;")",""),"")))</f>
        <v/>
      </c>
      <c r="H159" s="7">
        <f>IF($Z159="C","CONTRACT",IF($Z159="A","ASSET",IF($Z159="F","WORKFORCE","")))</f>
        <v/>
      </c>
      <c r="I159" s="7">
        <f>IF($Z159="C",INDEX(Contracts!$L$2:$L$151,$AB159)&amp;"",IF($Z159="A",INDEX(Fixed_Assets!$I$2:$I$201,$AB159)&amp;"",IF($Z159="F",INDEX(Workforce!$G$2:$G$151,MATCH(INDEX(FTE_Allocation!$A$2:$A$201,$AB159),Workforce!$A$2:$A$151,0))&amp;"","")))</f>
        <v/>
      </c>
      <c r="J159" s="18">
        <f>IF($Z159="","",IF(AND(DATE($AD159,1,1)&gt;=$AE159,DATE($AD159,1,1)&lt;=$AF159),ROUND($AG159,2),0))</f>
        <v/>
      </c>
      <c r="K159" s="18">
        <f>IF($Z159="","",IF(AND(DATE($AD159,2,1)&gt;=$AE159,DATE($AD159,2,1)&lt;=$AF159),ROUND($AG159,2),0))</f>
        <v/>
      </c>
      <c r="L159" s="18">
        <f>IF($Z159="","",IF(AND(DATE($AD159,3,1)&gt;=$AE159,DATE($AD159,3,1)&lt;=$AF159),ROUND($AG159,2),0))</f>
        <v/>
      </c>
      <c r="M159" s="18">
        <f>IF($Z159="","",IF(AND(DATE($AD159,4,1)&gt;=$AE159,DATE($AD159,4,1)&lt;=$AF159),ROUND($AG159,2),0))</f>
        <v/>
      </c>
      <c r="N159" s="18">
        <f>IF($Z159="","",IF(AND(DATE($AD159,5,1)&gt;=$AE159,DATE($AD159,5,1)&lt;=$AF159),ROUND($AG159,2),0))</f>
        <v/>
      </c>
      <c r="O159" s="18">
        <f>IF($Z159="","",IF(AND(DATE($AD159,6,1)&gt;=$AE159,DATE($AD159,6,1)&lt;=$AF159),ROUND($AG159,2),0))</f>
        <v/>
      </c>
      <c r="P159" s="18">
        <f>IF($Z159="","",IF(AND(DATE($AD159,7,1)&gt;=$AE159,DATE($AD159,7,1)&lt;=$AF159),ROUND($AG159,2),0))</f>
        <v/>
      </c>
      <c r="Q159" s="18">
        <f>IF($Z159="","",IF(AND(DATE($AD159,8,1)&gt;=$AE159,DATE($AD159,8,1)&lt;=$AF159),ROUND($AG159,2),0))</f>
        <v/>
      </c>
      <c r="R159" s="18">
        <f>IF($Z159="","",IF(AND(DATE($AD159,9,1)&gt;=$AE159,DATE($AD159,9,1)&lt;=$AF159),ROUND($AG159,2),0))</f>
        <v/>
      </c>
      <c r="S159" s="18">
        <f>IF($Z159="","",IF(AND(DATE($AD159,10,1)&gt;=$AE159,DATE($AD159,10,1)&lt;=$AF159),ROUND($AG159,2),0))</f>
        <v/>
      </c>
      <c r="T159" s="18">
        <f>IF($Z159="","",IF(AND(DATE($AD159,11,1)&gt;=$AE159,DATE($AD159,11,1)&lt;=$AF159),ROUND($AG159,2),0))</f>
        <v/>
      </c>
      <c r="U159" s="18">
        <f>IF($Z159="","",IF(AND(DATE($AD159,12,1)&gt;=$AE159,DATE($AD159,12,1)&lt;=$AF159),ROUND($AG159,2),0))</f>
        <v/>
      </c>
      <c r="V159" s="7">
        <f>IF($Z159="C","Generated from "&amp;INDEX(Contracts!$A$2:$A$151,$AB159),IF($Z159="A","Generated from "&amp;INDEX(Fixed_Assets!$A$2:$A$201,$AB159),IF($Z159="F","Generated from "&amp;INDEX(FTE_Allocation!$A$2:$A$201,$AB159),"")))</f>
        <v/>
      </c>
      <c r="X159" s="19">
        <f>IF($Z159="","",SUM(J159:U159))</f>
        <v/>
      </c>
      <c r="Y159" s="20">
        <f>ROW()-1</f>
        <v/>
      </c>
      <c r="Z159" s="20">
        <f>IF($Y159&lt;=Settings!$B$4*3,"C",IF($Y159&lt;=(Settings!$B$4+Settings!$B$5)*3,"A",IF($Y159&lt;=(Settings!$B$4+Settings!$B$5+Settings!$B$6)*3,"F","")))</f>
        <v/>
      </c>
      <c r="AA159" s="20">
        <f>IF($Z159="C",$Y159,IF($Z159="A",$Y159-Settings!$B$4*3,IF($Z159="F",$Y159-(Settings!$B$4+Settings!$B$5)*3,"")))</f>
        <v/>
      </c>
      <c r="AB159" s="20">
        <f>IF($Z159="","",INT(($AA159-1)/3)+1)</f>
        <v/>
      </c>
      <c r="AC159" s="20">
        <f>IF($Z159="","",MOD($AA159-1,3)+1)</f>
        <v/>
      </c>
      <c r="AD159" s="20">
        <f>IF($Z159="","",Settings!$B$2+$AC159-1)</f>
        <v/>
      </c>
      <c r="AE159" s="21">
        <f>IF($Z159="C",DATE(YEAR(INDEX(Contracts!$J$2:$J$151,$AB159)),MONTH(INDEX(Contracts!$J$2:$J$151,$AB159)),1),IF($Z159="A",DATE(YEAR(INDEX(Fixed_Assets!$G$2:$G$201,$AB159)),MONTH(INDEX(Fixed_Assets!$G$2:$G$201,$AB159)),1),IF($Z159="F",DATE(YEAR(MAX(N(INDEX(Workforce!$I$2:$I$151,MATCH(INDEX(FTE_Allocation!$A$2:$A$201,$AB159),Workforce!$A$2:$A$151,0))),N(INDEX(FTE_Allocation!$I$2:$I$201,$AB159)))),MONTH(MAX(N(INDEX(Workforce!$I$2:$I$151,MATCH(INDEX(FTE_Allocation!$A$2:$A$201,$AB159),Workforce!$A$2:$A$151,0))),N(INDEX(FTE_Allocation!$I$2:$I$201,$AB159)))),1),"")))</f>
        <v/>
      </c>
      <c r="AF159" s="21">
        <f>IF($Z159="C",IF(INDEX(Contracts!$I$2:$I$151,$AB159)="PREPAID",EDATE(DATE(YEAR(INDEX(Contracts!$J$2:$J$151,$AB159)),MONTH(INDEX(Contracts!$J$2:$J$151,$AB159)),1),IF(INDEX(Contracts!$N$2:$N$151,$AB159)="",12,INDEX(Contracts!$N$2:$N$151,$AB159))-1),IF(INDEX(Contracts!$I$2:$I$151,$AB159)="MONTHLY",IF(INDEX(Contracts!$K$2:$K$151,$AB159)="",2958101,INDEX(Contracts!$K$2:$K$151,$AB159)),0)),IF($Z159="A",EDATE(DATE(YEAR(INDEX(Fixed_Assets!$G$2:$G$201,$AB159)),MONTH(INDEX(Fixed_Assets!$G$2:$G$201,$AB159)),1),INDEX(Fixed_Assets!$J$2:$J$201,$AB159)-1),IF($Z159="F",MIN(IF(INDEX(Workforce!$J$2:$J$151,MATCH(INDEX(FTE_Allocation!$A$2:$A$201,$AB159),Workforce!$A$2:$A$151,0))="",2958101,INDEX(Workforce!$J$2:$J$151,MATCH(INDEX(FTE_Allocation!$A$2:$A$201,$AB159),Workforce!$A$2:$A$151,0))),IF(INDEX(FTE_Allocation!$J$2:$J$201,$AB159)="",2958101,INDEX(FTE_Allocation!$J$2:$J$201,$AB159))),"")))</f>
        <v/>
      </c>
      <c r="AG159" s="19">
        <f>IF($Z159="C",IF(INDEX(Contracts!$I$2:$I$151,$AB159)="PREPAID",INDEX(Contracts!$M$2:$M$151,$AB159)/IF(INDEX(Contracts!$N$2:$N$151,$AB159)="",12,INDEX(Contracts!$N$2:$N$151,$AB159)),IF(INDEX(Contracts!$I$2:$I$151,$AB159)="MONTHLY",INDEX(Contracts!$M$2:$M$151,$AB159),0))*(1-N(INDEX(Contracts!$O$2:$O$151,$AB159))),IF($Z159="A",INDEX(Fixed_Assets!$H$2:$H$201,$AB159)/INDEX(Fixed_Assets!$J$2:$J$201,$AB159),IF($Z159="F",INDEX(Workforce!$F$2:$F$151,MATCH(INDEX(FTE_Allocation!$A$2:$A$201,$AB159),Workforce!$A$2:$A$151,0))*N(INDEX(FTE_Allocation!$F$2:$H$201,$AB159,$AC159)),"")))</f>
        <v/>
      </c>
    </row>
    <row r="160">
      <c r="A160" s="7">
        <f>IF($Z160="","",$AD160)</f>
        <v/>
      </c>
      <c r="B160" s="7">
        <f>IF($Z160="C",INDEX(Contracts!$D$2:$D$151,$AB160)&amp;"",IF($Z160="A",INDEX(Fixed_Assets!$C$2:$C$201,$AB160)&amp;"",IF($Z160="F",INDEX(Workforce!$B$2:$B$151,MATCH(INDEX(FTE_Allocation!$A$2:$A$201,$AB160),Workforce!$A$2:$A$151,0))&amp;"","")))</f>
        <v/>
      </c>
      <c r="C160" s="7">
        <f>IF($Z160="C",INDEX(Contracts!$E$2:$E$151,$AB160)&amp;"",IF($Z160="A",INDEX(Fixed_Assets!$D$2:$D$201,$AB160)&amp;"",IF($Z160="F",INDEX(FTE_Allocation!$C$2:$C$201,$AB160)&amp;"","")))</f>
        <v/>
      </c>
      <c r="D160" s="7">
        <f>IF($Z160="C",INDEX(Contracts!$B$2:$B$151,$AB160)&amp;"",IF($Z160="A",INDEX(Fixed_Assets!$B$2:$B$201,$AB160)&amp;"",IF($Z160="F",INDEX(FTE_Allocation!$B$2:$B$201,$AB160)&amp;"","")))</f>
        <v/>
      </c>
      <c r="E160" s="7">
        <f>IF($Z160="C",INDEX(Contracts!$P$2:$P$151,$AB160)&amp;"",IF($Z160="A",INDEX(Fixed_Assets!$K$2:$K$201,$AB160)&amp;"",IF($Z160="F",IF(INDEX(FTE_Allocation!$D$2:$D$201,$AB160)="PROJECT",IFERROR(INDEX(Projects!$D:$D,MATCH(INDEX(FTE_Allocation!$E$2:$E$201,$AB160),Projects!$A:$A,0))&amp;"","#PROJECT?"),INDEX(FTE_Allocation!$E$2:$E$201,$AB160)&amp;""),"")))</f>
        <v/>
      </c>
      <c r="F160" s="7">
        <f>IF($Z160="C",INDEX(Contracts!$Q$2:$Q$151,$AB160)&amp;"",IF($Z160="A",INDEX(Fixed_Assets!$L$2:$L$201,$AB160)&amp;"",IF($Z160="F",INDEX(Workforce!$K$2:$K$151,MATCH(INDEX(FTE_Allocation!$A$2:$A$201,$AB160),Workforce!$A$2:$A$151,0))&amp;"","")))</f>
        <v/>
      </c>
      <c r="G160" s="7">
        <f>IF($Z160="C",INDEX(Contracts!$F$2:$F$151,$AB160)&amp;" / "&amp;INDEX(Contracts!$G$2:$G$151,$AB160),IF($Z160="A",INDEX(Fixed_Assets!$E$2:$E$201,$AB160)&amp;"",IF($Z160="F","Personnel "&amp;INDEX(FTE_Allocation!$A$2:$A$201,$AB160)&amp;IF(INDEX(FTE_Allocation!$D$2:$D$201,$AB160)="PROJECT"," ("&amp;INDEX(FTE_Allocation!$E$2:$E$201,$AB160)&amp;")",""),"")))</f>
        <v/>
      </c>
      <c r="H160" s="7">
        <f>IF($Z160="C","CONTRACT",IF($Z160="A","ASSET",IF($Z160="F","WORKFORCE","")))</f>
        <v/>
      </c>
      <c r="I160" s="7">
        <f>IF($Z160="C",INDEX(Contracts!$L$2:$L$151,$AB160)&amp;"",IF($Z160="A",INDEX(Fixed_Assets!$I$2:$I$201,$AB160)&amp;"",IF($Z160="F",INDEX(Workforce!$G$2:$G$151,MATCH(INDEX(FTE_Allocation!$A$2:$A$201,$AB160),Workforce!$A$2:$A$151,0))&amp;"","")))</f>
        <v/>
      </c>
      <c r="J160" s="18">
        <f>IF($Z160="","",IF(AND(DATE($AD160,1,1)&gt;=$AE160,DATE($AD160,1,1)&lt;=$AF160),ROUND($AG160,2),0))</f>
        <v/>
      </c>
      <c r="K160" s="18">
        <f>IF($Z160="","",IF(AND(DATE($AD160,2,1)&gt;=$AE160,DATE($AD160,2,1)&lt;=$AF160),ROUND($AG160,2),0))</f>
        <v/>
      </c>
      <c r="L160" s="18">
        <f>IF($Z160="","",IF(AND(DATE($AD160,3,1)&gt;=$AE160,DATE($AD160,3,1)&lt;=$AF160),ROUND($AG160,2),0))</f>
        <v/>
      </c>
      <c r="M160" s="18">
        <f>IF($Z160="","",IF(AND(DATE($AD160,4,1)&gt;=$AE160,DATE($AD160,4,1)&lt;=$AF160),ROUND($AG160,2),0))</f>
        <v/>
      </c>
      <c r="N160" s="18">
        <f>IF($Z160="","",IF(AND(DATE($AD160,5,1)&gt;=$AE160,DATE($AD160,5,1)&lt;=$AF160),ROUND($AG160,2),0))</f>
        <v/>
      </c>
      <c r="O160" s="18">
        <f>IF($Z160="","",IF(AND(DATE($AD160,6,1)&gt;=$AE160,DATE($AD160,6,1)&lt;=$AF160),ROUND($AG160,2),0))</f>
        <v/>
      </c>
      <c r="P160" s="18">
        <f>IF($Z160="","",IF(AND(DATE($AD160,7,1)&gt;=$AE160,DATE($AD160,7,1)&lt;=$AF160),ROUND($AG160,2),0))</f>
        <v/>
      </c>
      <c r="Q160" s="18">
        <f>IF($Z160="","",IF(AND(DATE($AD160,8,1)&gt;=$AE160,DATE($AD160,8,1)&lt;=$AF160),ROUND($AG160,2),0))</f>
        <v/>
      </c>
      <c r="R160" s="18">
        <f>IF($Z160="","",IF(AND(DATE($AD160,9,1)&gt;=$AE160,DATE($AD160,9,1)&lt;=$AF160),ROUND($AG160,2),0))</f>
        <v/>
      </c>
      <c r="S160" s="18">
        <f>IF($Z160="","",IF(AND(DATE($AD160,10,1)&gt;=$AE160,DATE($AD160,10,1)&lt;=$AF160),ROUND($AG160,2),0))</f>
        <v/>
      </c>
      <c r="T160" s="18">
        <f>IF($Z160="","",IF(AND(DATE($AD160,11,1)&gt;=$AE160,DATE($AD160,11,1)&lt;=$AF160),ROUND($AG160,2),0))</f>
        <v/>
      </c>
      <c r="U160" s="18">
        <f>IF($Z160="","",IF(AND(DATE($AD160,12,1)&gt;=$AE160,DATE($AD160,12,1)&lt;=$AF160),ROUND($AG160,2),0))</f>
        <v/>
      </c>
      <c r="V160" s="7">
        <f>IF($Z160="C","Generated from "&amp;INDEX(Contracts!$A$2:$A$151,$AB160),IF($Z160="A","Generated from "&amp;INDEX(Fixed_Assets!$A$2:$A$201,$AB160),IF($Z160="F","Generated from "&amp;INDEX(FTE_Allocation!$A$2:$A$201,$AB160),"")))</f>
        <v/>
      </c>
      <c r="X160" s="19">
        <f>IF($Z160="","",SUM(J160:U160))</f>
        <v/>
      </c>
      <c r="Y160" s="20">
        <f>ROW()-1</f>
        <v/>
      </c>
      <c r="Z160" s="20">
        <f>IF($Y160&lt;=Settings!$B$4*3,"C",IF($Y160&lt;=(Settings!$B$4+Settings!$B$5)*3,"A",IF($Y160&lt;=(Settings!$B$4+Settings!$B$5+Settings!$B$6)*3,"F","")))</f>
        <v/>
      </c>
      <c r="AA160" s="20">
        <f>IF($Z160="C",$Y160,IF($Z160="A",$Y160-Settings!$B$4*3,IF($Z160="F",$Y160-(Settings!$B$4+Settings!$B$5)*3,"")))</f>
        <v/>
      </c>
      <c r="AB160" s="20">
        <f>IF($Z160="","",INT(($AA160-1)/3)+1)</f>
        <v/>
      </c>
      <c r="AC160" s="20">
        <f>IF($Z160="","",MOD($AA160-1,3)+1)</f>
        <v/>
      </c>
      <c r="AD160" s="20">
        <f>IF($Z160="","",Settings!$B$2+$AC160-1)</f>
        <v/>
      </c>
      <c r="AE160" s="21">
        <f>IF($Z160="C",DATE(YEAR(INDEX(Contracts!$J$2:$J$151,$AB160)),MONTH(INDEX(Contracts!$J$2:$J$151,$AB160)),1),IF($Z160="A",DATE(YEAR(INDEX(Fixed_Assets!$G$2:$G$201,$AB160)),MONTH(INDEX(Fixed_Assets!$G$2:$G$201,$AB160)),1),IF($Z160="F",DATE(YEAR(MAX(N(INDEX(Workforce!$I$2:$I$151,MATCH(INDEX(FTE_Allocation!$A$2:$A$201,$AB160),Workforce!$A$2:$A$151,0))),N(INDEX(FTE_Allocation!$I$2:$I$201,$AB160)))),MONTH(MAX(N(INDEX(Workforce!$I$2:$I$151,MATCH(INDEX(FTE_Allocation!$A$2:$A$201,$AB160),Workforce!$A$2:$A$151,0))),N(INDEX(FTE_Allocation!$I$2:$I$201,$AB160)))),1),"")))</f>
        <v/>
      </c>
      <c r="AF160" s="21">
        <f>IF($Z160="C",IF(INDEX(Contracts!$I$2:$I$151,$AB160)="PREPAID",EDATE(DATE(YEAR(INDEX(Contracts!$J$2:$J$151,$AB160)),MONTH(INDEX(Contracts!$J$2:$J$151,$AB160)),1),IF(INDEX(Contracts!$N$2:$N$151,$AB160)="",12,INDEX(Contracts!$N$2:$N$151,$AB160))-1),IF(INDEX(Contracts!$I$2:$I$151,$AB160)="MONTHLY",IF(INDEX(Contracts!$K$2:$K$151,$AB160)="",2958101,INDEX(Contracts!$K$2:$K$151,$AB160)),0)),IF($Z160="A",EDATE(DATE(YEAR(INDEX(Fixed_Assets!$G$2:$G$201,$AB160)),MONTH(INDEX(Fixed_Assets!$G$2:$G$201,$AB160)),1),INDEX(Fixed_Assets!$J$2:$J$201,$AB160)-1),IF($Z160="F",MIN(IF(INDEX(Workforce!$J$2:$J$151,MATCH(INDEX(FTE_Allocation!$A$2:$A$201,$AB160),Workforce!$A$2:$A$151,0))="",2958101,INDEX(Workforce!$J$2:$J$151,MATCH(INDEX(FTE_Allocation!$A$2:$A$201,$AB160),Workforce!$A$2:$A$151,0))),IF(INDEX(FTE_Allocation!$J$2:$J$201,$AB160)="",2958101,INDEX(FTE_Allocation!$J$2:$J$201,$AB160))),"")))</f>
        <v/>
      </c>
      <c r="AG160" s="19">
        <f>IF($Z160="C",IF(INDEX(Contracts!$I$2:$I$151,$AB160)="PREPAID",INDEX(Contracts!$M$2:$M$151,$AB160)/IF(INDEX(Contracts!$N$2:$N$151,$AB160)="",12,INDEX(Contracts!$N$2:$N$151,$AB160)),IF(INDEX(Contracts!$I$2:$I$151,$AB160)="MONTHLY",INDEX(Contracts!$M$2:$M$151,$AB160),0))*(1-N(INDEX(Contracts!$O$2:$O$151,$AB160))),IF($Z160="A",INDEX(Fixed_Assets!$H$2:$H$201,$AB160)/INDEX(Fixed_Assets!$J$2:$J$201,$AB160),IF($Z160="F",INDEX(Workforce!$F$2:$F$151,MATCH(INDEX(FTE_Allocation!$A$2:$A$201,$AB160),Workforce!$A$2:$A$151,0))*N(INDEX(FTE_Allocation!$F$2:$H$201,$AB160,$AC160)),"")))</f>
        <v/>
      </c>
    </row>
    <row r="161">
      <c r="A161" s="7">
        <f>IF($Z161="","",$AD161)</f>
        <v/>
      </c>
      <c r="B161" s="7">
        <f>IF($Z161="C",INDEX(Contracts!$D$2:$D$151,$AB161)&amp;"",IF($Z161="A",INDEX(Fixed_Assets!$C$2:$C$201,$AB161)&amp;"",IF($Z161="F",INDEX(Workforce!$B$2:$B$151,MATCH(INDEX(FTE_Allocation!$A$2:$A$201,$AB161),Workforce!$A$2:$A$151,0))&amp;"","")))</f>
        <v/>
      </c>
      <c r="C161" s="7">
        <f>IF($Z161="C",INDEX(Contracts!$E$2:$E$151,$AB161)&amp;"",IF($Z161="A",INDEX(Fixed_Assets!$D$2:$D$201,$AB161)&amp;"",IF($Z161="F",INDEX(FTE_Allocation!$C$2:$C$201,$AB161)&amp;"","")))</f>
        <v/>
      </c>
      <c r="D161" s="7">
        <f>IF($Z161="C",INDEX(Contracts!$B$2:$B$151,$AB161)&amp;"",IF($Z161="A",INDEX(Fixed_Assets!$B$2:$B$201,$AB161)&amp;"",IF($Z161="F",INDEX(FTE_Allocation!$B$2:$B$201,$AB161)&amp;"","")))</f>
        <v/>
      </c>
      <c r="E161" s="7">
        <f>IF($Z161="C",INDEX(Contracts!$P$2:$P$151,$AB161)&amp;"",IF($Z161="A",INDEX(Fixed_Assets!$K$2:$K$201,$AB161)&amp;"",IF($Z161="F",IF(INDEX(FTE_Allocation!$D$2:$D$201,$AB161)="PROJECT",IFERROR(INDEX(Projects!$D:$D,MATCH(INDEX(FTE_Allocation!$E$2:$E$201,$AB161),Projects!$A:$A,0))&amp;"","#PROJECT?"),INDEX(FTE_Allocation!$E$2:$E$201,$AB161)&amp;""),"")))</f>
        <v/>
      </c>
      <c r="F161" s="7">
        <f>IF($Z161="C",INDEX(Contracts!$Q$2:$Q$151,$AB161)&amp;"",IF($Z161="A",INDEX(Fixed_Assets!$L$2:$L$201,$AB161)&amp;"",IF($Z161="F",INDEX(Workforce!$K$2:$K$151,MATCH(INDEX(FTE_Allocation!$A$2:$A$201,$AB161),Workforce!$A$2:$A$151,0))&amp;"","")))</f>
        <v/>
      </c>
      <c r="G161" s="7">
        <f>IF($Z161="C",INDEX(Contracts!$F$2:$F$151,$AB161)&amp;" / "&amp;INDEX(Contracts!$G$2:$G$151,$AB161),IF($Z161="A",INDEX(Fixed_Assets!$E$2:$E$201,$AB161)&amp;"",IF($Z161="F","Personnel "&amp;INDEX(FTE_Allocation!$A$2:$A$201,$AB161)&amp;IF(INDEX(FTE_Allocation!$D$2:$D$201,$AB161)="PROJECT"," ("&amp;INDEX(FTE_Allocation!$E$2:$E$201,$AB161)&amp;")",""),"")))</f>
        <v/>
      </c>
      <c r="H161" s="7">
        <f>IF($Z161="C","CONTRACT",IF($Z161="A","ASSET",IF($Z161="F","WORKFORCE","")))</f>
        <v/>
      </c>
      <c r="I161" s="7">
        <f>IF($Z161="C",INDEX(Contracts!$L$2:$L$151,$AB161)&amp;"",IF($Z161="A",INDEX(Fixed_Assets!$I$2:$I$201,$AB161)&amp;"",IF($Z161="F",INDEX(Workforce!$G$2:$G$151,MATCH(INDEX(FTE_Allocation!$A$2:$A$201,$AB161),Workforce!$A$2:$A$151,0))&amp;"","")))</f>
        <v/>
      </c>
      <c r="J161" s="18">
        <f>IF($Z161="","",IF(AND(DATE($AD161,1,1)&gt;=$AE161,DATE($AD161,1,1)&lt;=$AF161),ROUND($AG161,2),0))</f>
        <v/>
      </c>
      <c r="K161" s="18">
        <f>IF($Z161="","",IF(AND(DATE($AD161,2,1)&gt;=$AE161,DATE($AD161,2,1)&lt;=$AF161),ROUND($AG161,2),0))</f>
        <v/>
      </c>
      <c r="L161" s="18">
        <f>IF($Z161="","",IF(AND(DATE($AD161,3,1)&gt;=$AE161,DATE($AD161,3,1)&lt;=$AF161),ROUND($AG161,2),0))</f>
        <v/>
      </c>
      <c r="M161" s="18">
        <f>IF($Z161="","",IF(AND(DATE($AD161,4,1)&gt;=$AE161,DATE($AD161,4,1)&lt;=$AF161),ROUND($AG161,2),0))</f>
        <v/>
      </c>
      <c r="N161" s="18">
        <f>IF($Z161="","",IF(AND(DATE($AD161,5,1)&gt;=$AE161,DATE($AD161,5,1)&lt;=$AF161),ROUND($AG161,2),0))</f>
        <v/>
      </c>
      <c r="O161" s="18">
        <f>IF($Z161="","",IF(AND(DATE($AD161,6,1)&gt;=$AE161,DATE($AD161,6,1)&lt;=$AF161),ROUND($AG161,2),0))</f>
        <v/>
      </c>
      <c r="P161" s="18">
        <f>IF($Z161="","",IF(AND(DATE($AD161,7,1)&gt;=$AE161,DATE($AD161,7,1)&lt;=$AF161),ROUND($AG161,2),0))</f>
        <v/>
      </c>
      <c r="Q161" s="18">
        <f>IF($Z161="","",IF(AND(DATE($AD161,8,1)&gt;=$AE161,DATE($AD161,8,1)&lt;=$AF161),ROUND($AG161,2),0))</f>
        <v/>
      </c>
      <c r="R161" s="18">
        <f>IF($Z161="","",IF(AND(DATE($AD161,9,1)&gt;=$AE161,DATE($AD161,9,1)&lt;=$AF161),ROUND($AG161,2),0))</f>
        <v/>
      </c>
      <c r="S161" s="18">
        <f>IF($Z161="","",IF(AND(DATE($AD161,10,1)&gt;=$AE161,DATE($AD161,10,1)&lt;=$AF161),ROUND($AG161,2),0))</f>
        <v/>
      </c>
      <c r="T161" s="18">
        <f>IF($Z161="","",IF(AND(DATE($AD161,11,1)&gt;=$AE161,DATE($AD161,11,1)&lt;=$AF161),ROUND($AG161,2),0))</f>
        <v/>
      </c>
      <c r="U161" s="18">
        <f>IF($Z161="","",IF(AND(DATE($AD161,12,1)&gt;=$AE161,DATE($AD161,12,1)&lt;=$AF161),ROUND($AG161,2),0))</f>
        <v/>
      </c>
      <c r="V161" s="7">
        <f>IF($Z161="C","Generated from "&amp;INDEX(Contracts!$A$2:$A$151,$AB161),IF($Z161="A","Generated from "&amp;INDEX(Fixed_Assets!$A$2:$A$201,$AB161),IF($Z161="F","Generated from "&amp;INDEX(FTE_Allocation!$A$2:$A$201,$AB161),"")))</f>
        <v/>
      </c>
      <c r="X161" s="19">
        <f>IF($Z161="","",SUM(J161:U161))</f>
        <v/>
      </c>
      <c r="Y161" s="20">
        <f>ROW()-1</f>
        <v/>
      </c>
      <c r="Z161" s="20">
        <f>IF($Y161&lt;=Settings!$B$4*3,"C",IF($Y161&lt;=(Settings!$B$4+Settings!$B$5)*3,"A",IF($Y161&lt;=(Settings!$B$4+Settings!$B$5+Settings!$B$6)*3,"F","")))</f>
        <v/>
      </c>
      <c r="AA161" s="20">
        <f>IF($Z161="C",$Y161,IF($Z161="A",$Y161-Settings!$B$4*3,IF($Z161="F",$Y161-(Settings!$B$4+Settings!$B$5)*3,"")))</f>
        <v/>
      </c>
      <c r="AB161" s="20">
        <f>IF($Z161="","",INT(($AA161-1)/3)+1)</f>
        <v/>
      </c>
      <c r="AC161" s="20">
        <f>IF($Z161="","",MOD($AA161-1,3)+1)</f>
        <v/>
      </c>
      <c r="AD161" s="20">
        <f>IF($Z161="","",Settings!$B$2+$AC161-1)</f>
        <v/>
      </c>
      <c r="AE161" s="21">
        <f>IF($Z161="C",DATE(YEAR(INDEX(Contracts!$J$2:$J$151,$AB161)),MONTH(INDEX(Contracts!$J$2:$J$151,$AB161)),1),IF($Z161="A",DATE(YEAR(INDEX(Fixed_Assets!$G$2:$G$201,$AB161)),MONTH(INDEX(Fixed_Assets!$G$2:$G$201,$AB161)),1),IF($Z161="F",DATE(YEAR(MAX(N(INDEX(Workforce!$I$2:$I$151,MATCH(INDEX(FTE_Allocation!$A$2:$A$201,$AB161),Workforce!$A$2:$A$151,0))),N(INDEX(FTE_Allocation!$I$2:$I$201,$AB161)))),MONTH(MAX(N(INDEX(Workforce!$I$2:$I$151,MATCH(INDEX(FTE_Allocation!$A$2:$A$201,$AB161),Workforce!$A$2:$A$151,0))),N(INDEX(FTE_Allocation!$I$2:$I$201,$AB161)))),1),"")))</f>
        <v/>
      </c>
      <c r="AF161" s="21">
        <f>IF($Z161="C",IF(INDEX(Contracts!$I$2:$I$151,$AB161)="PREPAID",EDATE(DATE(YEAR(INDEX(Contracts!$J$2:$J$151,$AB161)),MONTH(INDEX(Contracts!$J$2:$J$151,$AB161)),1),IF(INDEX(Contracts!$N$2:$N$151,$AB161)="",12,INDEX(Contracts!$N$2:$N$151,$AB161))-1),IF(INDEX(Contracts!$I$2:$I$151,$AB161)="MONTHLY",IF(INDEX(Contracts!$K$2:$K$151,$AB161)="",2958101,INDEX(Contracts!$K$2:$K$151,$AB161)),0)),IF($Z161="A",EDATE(DATE(YEAR(INDEX(Fixed_Assets!$G$2:$G$201,$AB161)),MONTH(INDEX(Fixed_Assets!$G$2:$G$201,$AB161)),1),INDEX(Fixed_Assets!$J$2:$J$201,$AB161)-1),IF($Z161="F",MIN(IF(INDEX(Workforce!$J$2:$J$151,MATCH(INDEX(FTE_Allocation!$A$2:$A$201,$AB161),Workforce!$A$2:$A$151,0))="",2958101,INDEX(Workforce!$J$2:$J$151,MATCH(INDEX(FTE_Allocation!$A$2:$A$201,$AB161),Workforce!$A$2:$A$151,0))),IF(INDEX(FTE_Allocation!$J$2:$J$201,$AB161)="",2958101,INDEX(FTE_Allocation!$J$2:$J$201,$AB161))),"")))</f>
        <v/>
      </c>
      <c r="AG161" s="19">
        <f>IF($Z161="C",IF(INDEX(Contracts!$I$2:$I$151,$AB161)="PREPAID",INDEX(Contracts!$M$2:$M$151,$AB161)/IF(INDEX(Contracts!$N$2:$N$151,$AB161)="",12,INDEX(Contracts!$N$2:$N$151,$AB161)),IF(INDEX(Contracts!$I$2:$I$151,$AB161)="MONTHLY",INDEX(Contracts!$M$2:$M$151,$AB161),0))*(1-N(INDEX(Contracts!$O$2:$O$151,$AB161))),IF($Z161="A",INDEX(Fixed_Assets!$H$2:$H$201,$AB161)/INDEX(Fixed_Assets!$J$2:$J$201,$AB161),IF($Z161="F",INDEX(Workforce!$F$2:$F$151,MATCH(INDEX(FTE_Allocation!$A$2:$A$201,$AB161),Workforce!$A$2:$A$151,0))*N(INDEX(FTE_Allocation!$F$2:$H$201,$AB161,$AC161)),"")))</f>
        <v/>
      </c>
    </row>
    <row r="162">
      <c r="A162" s="7">
        <f>IF($Z162="","",$AD162)</f>
        <v/>
      </c>
      <c r="B162" s="7">
        <f>IF($Z162="C",INDEX(Contracts!$D$2:$D$151,$AB162)&amp;"",IF($Z162="A",INDEX(Fixed_Assets!$C$2:$C$201,$AB162)&amp;"",IF($Z162="F",INDEX(Workforce!$B$2:$B$151,MATCH(INDEX(FTE_Allocation!$A$2:$A$201,$AB162),Workforce!$A$2:$A$151,0))&amp;"","")))</f>
        <v/>
      </c>
      <c r="C162" s="7">
        <f>IF($Z162="C",INDEX(Contracts!$E$2:$E$151,$AB162)&amp;"",IF($Z162="A",INDEX(Fixed_Assets!$D$2:$D$201,$AB162)&amp;"",IF($Z162="F",INDEX(FTE_Allocation!$C$2:$C$201,$AB162)&amp;"","")))</f>
        <v/>
      </c>
      <c r="D162" s="7">
        <f>IF($Z162="C",INDEX(Contracts!$B$2:$B$151,$AB162)&amp;"",IF($Z162="A",INDEX(Fixed_Assets!$B$2:$B$201,$AB162)&amp;"",IF($Z162="F",INDEX(FTE_Allocation!$B$2:$B$201,$AB162)&amp;"","")))</f>
        <v/>
      </c>
      <c r="E162" s="7">
        <f>IF($Z162="C",INDEX(Contracts!$P$2:$P$151,$AB162)&amp;"",IF($Z162="A",INDEX(Fixed_Assets!$K$2:$K$201,$AB162)&amp;"",IF($Z162="F",IF(INDEX(FTE_Allocation!$D$2:$D$201,$AB162)="PROJECT",IFERROR(INDEX(Projects!$D:$D,MATCH(INDEX(FTE_Allocation!$E$2:$E$201,$AB162),Projects!$A:$A,0))&amp;"","#PROJECT?"),INDEX(FTE_Allocation!$E$2:$E$201,$AB162)&amp;""),"")))</f>
        <v/>
      </c>
      <c r="F162" s="7">
        <f>IF($Z162="C",INDEX(Contracts!$Q$2:$Q$151,$AB162)&amp;"",IF($Z162="A",INDEX(Fixed_Assets!$L$2:$L$201,$AB162)&amp;"",IF($Z162="F",INDEX(Workforce!$K$2:$K$151,MATCH(INDEX(FTE_Allocation!$A$2:$A$201,$AB162),Workforce!$A$2:$A$151,0))&amp;"","")))</f>
        <v/>
      </c>
      <c r="G162" s="7">
        <f>IF($Z162="C",INDEX(Contracts!$F$2:$F$151,$AB162)&amp;" / "&amp;INDEX(Contracts!$G$2:$G$151,$AB162),IF($Z162="A",INDEX(Fixed_Assets!$E$2:$E$201,$AB162)&amp;"",IF($Z162="F","Personnel "&amp;INDEX(FTE_Allocation!$A$2:$A$201,$AB162)&amp;IF(INDEX(FTE_Allocation!$D$2:$D$201,$AB162)="PROJECT"," ("&amp;INDEX(FTE_Allocation!$E$2:$E$201,$AB162)&amp;")",""),"")))</f>
        <v/>
      </c>
      <c r="H162" s="7">
        <f>IF($Z162="C","CONTRACT",IF($Z162="A","ASSET",IF($Z162="F","WORKFORCE","")))</f>
        <v/>
      </c>
      <c r="I162" s="7">
        <f>IF($Z162="C",INDEX(Contracts!$L$2:$L$151,$AB162)&amp;"",IF($Z162="A",INDEX(Fixed_Assets!$I$2:$I$201,$AB162)&amp;"",IF($Z162="F",INDEX(Workforce!$G$2:$G$151,MATCH(INDEX(FTE_Allocation!$A$2:$A$201,$AB162),Workforce!$A$2:$A$151,0))&amp;"","")))</f>
        <v/>
      </c>
      <c r="J162" s="18">
        <f>IF($Z162="","",IF(AND(DATE($AD162,1,1)&gt;=$AE162,DATE($AD162,1,1)&lt;=$AF162),ROUND($AG162,2),0))</f>
        <v/>
      </c>
      <c r="K162" s="18">
        <f>IF($Z162="","",IF(AND(DATE($AD162,2,1)&gt;=$AE162,DATE($AD162,2,1)&lt;=$AF162),ROUND($AG162,2),0))</f>
        <v/>
      </c>
      <c r="L162" s="18">
        <f>IF($Z162="","",IF(AND(DATE($AD162,3,1)&gt;=$AE162,DATE($AD162,3,1)&lt;=$AF162),ROUND($AG162,2),0))</f>
        <v/>
      </c>
      <c r="M162" s="18">
        <f>IF($Z162="","",IF(AND(DATE($AD162,4,1)&gt;=$AE162,DATE($AD162,4,1)&lt;=$AF162),ROUND($AG162,2),0))</f>
        <v/>
      </c>
      <c r="N162" s="18">
        <f>IF($Z162="","",IF(AND(DATE($AD162,5,1)&gt;=$AE162,DATE($AD162,5,1)&lt;=$AF162),ROUND($AG162,2),0))</f>
        <v/>
      </c>
      <c r="O162" s="18">
        <f>IF($Z162="","",IF(AND(DATE($AD162,6,1)&gt;=$AE162,DATE($AD162,6,1)&lt;=$AF162),ROUND($AG162,2),0))</f>
        <v/>
      </c>
      <c r="P162" s="18">
        <f>IF($Z162="","",IF(AND(DATE($AD162,7,1)&gt;=$AE162,DATE($AD162,7,1)&lt;=$AF162),ROUND($AG162,2),0))</f>
        <v/>
      </c>
      <c r="Q162" s="18">
        <f>IF($Z162="","",IF(AND(DATE($AD162,8,1)&gt;=$AE162,DATE($AD162,8,1)&lt;=$AF162),ROUND($AG162,2),0))</f>
        <v/>
      </c>
      <c r="R162" s="18">
        <f>IF($Z162="","",IF(AND(DATE($AD162,9,1)&gt;=$AE162,DATE($AD162,9,1)&lt;=$AF162),ROUND($AG162,2),0))</f>
        <v/>
      </c>
      <c r="S162" s="18">
        <f>IF($Z162="","",IF(AND(DATE($AD162,10,1)&gt;=$AE162,DATE($AD162,10,1)&lt;=$AF162),ROUND($AG162,2),0))</f>
        <v/>
      </c>
      <c r="T162" s="18">
        <f>IF($Z162="","",IF(AND(DATE($AD162,11,1)&gt;=$AE162,DATE($AD162,11,1)&lt;=$AF162),ROUND($AG162,2),0))</f>
        <v/>
      </c>
      <c r="U162" s="18">
        <f>IF($Z162="","",IF(AND(DATE($AD162,12,1)&gt;=$AE162,DATE($AD162,12,1)&lt;=$AF162),ROUND($AG162,2),0))</f>
        <v/>
      </c>
      <c r="V162" s="7">
        <f>IF($Z162="C","Generated from "&amp;INDEX(Contracts!$A$2:$A$151,$AB162),IF($Z162="A","Generated from "&amp;INDEX(Fixed_Assets!$A$2:$A$201,$AB162),IF($Z162="F","Generated from "&amp;INDEX(FTE_Allocation!$A$2:$A$201,$AB162),"")))</f>
        <v/>
      </c>
      <c r="X162" s="19">
        <f>IF($Z162="","",SUM(J162:U162))</f>
        <v/>
      </c>
      <c r="Y162" s="20">
        <f>ROW()-1</f>
        <v/>
      </c>
      <c r="Z162" s="20">
        <f>IF($Y162&lt;=Settings!$B$4*3,"C",IF($Y162&lt;=(Settings!$B$4+Settings!$B$5)*3,"A",IF($Y162&lt;=(Settings!$B$4+Settings!$B$5+Settings!$B$6)*3,"F","")))</f>
        <v/>
      </c>
      <c r="AA162" s="20">
        <f>IF($Z162="C",$Y162,IF($Z162="A",$Y162-Settings!$B$4*3,IF($Z162="F",$Y162-(Settings!$B$4+Settings!$B$5)*3,"")))</f>
        <v/>
      </c>
      <c r="AB162" s="20">
        <f>IF($Z162="","",INT(($AA162-1)/3)+1)</f>
        <v/>
      </c>
      <c r="AC162" s="20">
        <f>IF($Z162="","",MOD($AA162-1,3)+1)</f>
        <v/>
      </c>
      <c r="AD162" s="20">
        <f>IF($Z162="","",Settings!$B$2+$AC162-1)</f>
        <v/>
      </c>
      <c r="AE162" s="21">
        <f>IF($Z162="C",DATE(YEAR(INDEX(Contracts!$J$2:$J$151,$AB162)),MONTH(INDEX(Contracts!$J$2:$J$151,$AB162)),1),IF($Z162="A",DATE(YEAR(INDEX(Fixed_Assets!$G$2:$G$201,$AB162)),MONTH(INDEX(Fixed_Assets!$G$2:$G$201,$AB162)),1),IF($Z162="F",DATE(YEAR(MAX(N(INDEX(Workforce!$I$2:$I$151,MATCH(INDEX(FTE_Allocation!$A$2:$A$201,$AB162),Workforce!$A$2:$A$151,0))),N(INDEX(FTE_Allocation!$I$2:$I$201,$AB162)))),MONTH(MAX(N(INDEX(Workforce!$I$2:$I$151,MATCH(INDEX(FTE_Allocation!$A$2:$A$201,$AB162),Workforce!$A$2:$A$151,0))),N(INDEX(FTE_Allocation!$I$2:$I$201,$AB162)))),1),"")))</f>
        <v/>
      </c>
      <c r="AF162" s="21">
        <f>IF($Z162="C",IF(INDEX(Contracts!$I$2:$I$151,$AB162)="PREPAID",EDATE(DATE(YEAR(INDEX(Contracts!$J$2:$J$151,$AB162)),MONTH(INDEX(Contracts!$J$2:$J$151,$AB162)),1),IF(INDEX(Contracts!$N$2:$N$151,$AB162)="",12,INDEX(Contracts!$N$2:$N$151,$AB162))-1),IF(INDEX(Contracts!$I$2:$I$151,$AB162)="MONTHLY",IF(INDEX(Contracts!$K$2:$K$151,$AB162)="",2958101,INDEX(Contracts!$K$2:$K$151,$AB162)),0)),IF($Z162="A",EDATE(DATE(YEAR(INDEX(Fixed_Assets!$G$2:$G$201,$AB162)),MONTH(INDEX(Fixed_Assets!$G$2:$G$201,$AB162)),1),INDEX(Fixed_Assets!$J$2:$J$201,$AB162)-1),IF($Z162="F",MIN(IF(INDEX(Workforce!$J$2:$J$151,MATCH(INDEX(FTE_Allocation!$A$2:$A$201,$AB162),Workforce!$A$2:$A$151,0))="",2958101,INDEX(Workforce!$J$2:$J$151,MATCH(INDEX(FTE_Allocation!$A$2:$A$201,$AB162),Workforce!$A$2:$A$151,0))),IF(INDEX(FTE_Allocation!$J$2:$J$201,$AB162)="",2958101,INDEX(FTE_Allocation!$J$2:$J$201,$AB162))),"")))</f>
        <v/>
      </c>
      <c r="AG162" s="19">
        <f>IF($Z162="C",IF(INDEX(Contracts!$I$2:$I$151,$AB162)="PREPAID",INDEX(Contracts!$M$2:$M$151,$AB162)/IF(INDEX(Contracts!$N$2:$N$151,$AB162)="",12,INDEX(Contracts!$N$2:$N$151,$AB162)),IF(INDEX(Contracts!$I$2:$I$151,$AB162)="MONTHLY",INDEX(Contracts!$M$2:$M$151,$AB162),0))*(1-N(INDEX(Contracts!$O$2:$O$151,$AB162))),IF($Z162="A",INDEX(Fixed_Assets!$H$2:$H$201,$AB162)/INDEX(Fixed_Assets!$J$2:$J$201,$AB162),IF($Z162="F",INDEX(Workforce!$F$2:$F$151,MATCH(INDEX(FTE_Allocation!$A$2:$A$201,$AB162),Workforce!$A$2:$A$151,0))*N(INDEX(FTE_Allocation!$F$2:$H$201,$AB162,$AC162)),"")))</f>
        <v/>
      </c>
    </row>
    <row r="163">
      <c r="A163" s="7">
        <f>IF($Z163="","",$AD163)</f>
        <v/>
      </c>
      <c r="B163" s="7">
        <f>IF($Z163="C",INDEX(Contracts!$D$2:$D$151,$AB163)&amp;"",IF($Z163="A",INDEX(Fixed_Assets!$C$2:$C$201,$AB163)&amp;"",IF($Z163="F",INDEX(Workforce!$B$2:$B$151,MATCH(INDEX(FTE_Allocation!$A$2:$A$201,$AB163),Workforce!$A$2:$A$151,0))&amp;"","")))</f>
        <v/>
      </c>
      <c r="C163" s="7">
        <f>IF($Z163="C",INDEX(Contracts!$E$2:$E$151,$AB163)&amp;"",IF($Z163="A",INDEX(Fixed_Assets!$D$2:$D$201,$AB163)&amp;"",IF($Z163="F",INDEX(FTE_Allocation!$C$2:$C$201,$AB163)&amp;"","")))</f>
        <v/>
      </c>
      <c r="D163" s="7">
        <f>IF($Z163="C",INDEX(Contracts!$B$2:$B$151,$AB163)&amp;"",IF($Z163="A",INDEX(Fixed_Assets!$B$2:$B$201,$AB163)&amp;"",IF($Z163="F",INDEX(FTE_Allocation!$B$2:$B$201,$AB163)&amp;"","")))</f>
        <v/>
      </c>
      <c r="E163" s="7">
        <f>IF($Z163="C",INDEX(Contracts!$P$2:$P$151,$AB163)&amp;"",IF($Z163="A",INDEX(Fixed_Assets!$K$2:$K$201,$AB163)&amp;"",IF($Z163="F",IF(INDEX(FTE_Allocation!$D$2:$D$201,$AB163)="PROJECT",IFERROR(INDEX(Projects!$D:$D,MATCH(INDEX(FTE_Allocation!$E$2:$E$201,$AB163),Projects!$A:$A,0))&amp;"","#PROJECT?"),INDEX(FTE_Allocation!$E$2:$E$201,$AB163)&amp;""),"")))</f>
        <v/>
      </c>
      <c r="F163" s="7">
        <f>IF($Z163="C",INDEX(Contracts!$Q$2:$Q$151,$AB163)&amp;"",IF($Z163="A",INDEX(Fixed_Assets!$L$2:$L$201,$AB163)&amp;"",IF($Z163="F",INDEX(Workforce!$K$2:$K$151,MATCH(INDEX(FTE_Allocation!$A$2:$A$201,$AB163),Workforce!$A$2:$A$151,0))&amp;"","")))</f>
        <v/>
      </c>
      <c r="G163" s="7">
        <f>IF($Z163="C",INDEX(Contracts!$F$2:$F$151,$AB163)&amp;" / "&amp;INDEX(Contracts!$G$2:$G$151,$AB163),IF($Z163="A",INDEX(Fixed_Assets!$E$2:$E$201,$AB163)&amp;"",IF($Z163="F","Personnel "&amp;INDEX(FTE_Allocation!$A$2:$A$201,$AB163)&amp;IF(INDEX(FTE_Allocation!$D$2:$D$201,$AB163)="PROJECT"," ("&amp;INDEX(FTE_Allocation!$E$2:$E$201,$AB163)&amp;")",""),"")))</f>
        <v/>
      </c>
      <c r="H163" s="7">
        <f>IF($Z163="C","CONTRACT",IF($Z163="A","ASSET",IF($Z163="F","WORKFORCE","")))</f>
        <v/>
      </c>
      <c r="I163" s="7">
        <f>IF($Z163="C",INDEX(Contracts!$L$2:$L$151,$AB163)&amp;"",IF($Z163="A",INDEX(Fixed_Assets!$I$2:$I$201,$AB163)&amp;"",IF($Z163="F",INDEX(Workforce!$G$2:$G$151,MATCH(INDEX(FTE_Allocation!$A$2:$A$201,$AB163),Workforce!$A$2:$A$151,0))&amp;"","")))</f>
        <v/>
      </c>
      <c r="J163" s="18">
        <f>IF($Z163="","",IF(AND(DATE($AD163,1,1)&gt;=$AE163,DATE($AD163,1,1)&lt;=$AF163),ROUND($AG163,2),0))</f>
        <v/>
      </c>
      <c r="K163" s="18">
        <f>IF($Z163="","",IF(AND(DATE($AD163,2,1)&gt;=$AE163,DATE($AD163,2,1)&lt;=$AF163),ROUND($AG163,2),0))</f>
        <v/>
      </c>
      <c r="L163" s="18">
        <f>IF($Z163="","",IF(AND(DATE($AD163,3,1)&gt;=$AE163,DATE($AD163,3,1)&lt;=$AF163),ROUND($AG163,2),0))</f>
        <v/>
      </c>
      <c r="M163" s="18">
        <f>IF($Z163="","",IF(AND(DATE($AD163,4,1)&gt;=$AE163,DATE($AD163,4,1)&lt;=$AF163),ROUND($AG163,2),0))</f>
        <v/>
      </c>
      <c r="N163" s="18">
        <f>IF($Z163="","",IF(AND(DATE($AD163,5,1)&gt;=$AE163,DATE($AD163,5,1)&lt;=$AF163),ROUND($AG163,2),0))</f>
        <v/>
      </c>
      <c r="O163" s="18">
        <f>IF($Z163="","",IF(AND(DATE($AD163,6,1)&gt;=$AE163,DATE($AD163,6,1)&lt;=$AF163),ROUND($AG163,2),0))</f>
        <v/>
      </c>
      <c r="P163" s="18">
        <f>IF($Z163="","",IF(AND(DATE($AD163,7,1)&gt;=$AE163,DATE($AD163,7,1)&lt;=$AF163),ROUND($AG163,2),0))</f>
        <v/>
      </c>
      <c r="Q163" s="18">
        <f>IF($Z163="","",IF(AND(DATE($AD163,8,1)&gt;=$AE163,DATE($AD163,8,1)&lt;=$AF163),ROUND($AG163,2),0))</f>
        <v/>
      </c>
      <c r="R163" s="18">
        <f>IF($Z163="","",IF(AND(DATE($AD163,9,1)&gt;=$AE163,DATE($AD163,9,1)&lt;=$AF163),ROUND($AG163,2),0))</f>
        <v/>
      </c>
      <c r="S163" s="18">
        <f>IF($Z163="","",IF(AND(DATE($AD163,10,1)&gt;=$AE163,DATE($AD163,10,1)&lt;=$AF163),ROUND($AG163,2),0))</f>
        <v/>
      </c>
      <c r="T163" s="18">
        <f>IF($Z163="","",IF(AND(DATE($AD163,11,1)&gt;=$AE163,DATE($AD163,11,1)&lt;=$AF163),ROUND($AG163,2),0))</f>
        <v/>
      </c>
      <c r="U163" s="18">
        <f>IF($Z163="","",IF(AND(DATE($AD163,12,1)&gt;=$AE163,DATE($AD163,12,1)&lt;=$AF163),ROUND($AG163,2),0))</f>
        <v/>
      </c>
      <c r="V163" s="7">
        <f>IF($Z163="C","Generated from "&amp;INDEX(Contracts!$A$2:$A$151,$AB163),IF($Z163="A","Generated from "&amp;INDEX(Fixed_Assets!$A$2:$A$201,$AB163),IF($Z163="F","Generated from "&amp;INDEX(FTE_Allocation!$A$2:$A$201,$AB163),"")))</f>
        <v/>
      </c>
      <c r="X163" s="19">
        <f>IF($Z163="","",SUM(J163:U163))</f>
        <v/>
      </c>
      <c r="Y163" s="20">
        <f>ROW()-1</f>
        <v/>
      </c>
      <c r="Z163" s="20">
        <f>IF($Y163&lt;=Settings!$B$4*3,"C",IF($Y163&lt;=(Settings!$B$4+Settings!$B$5)*3,"A",IF($Y163&lt;=(Settings!$B$4+Settings!$B$5+Settings!$B$6)*3,"F","")))</f>
        <v/>
      </c>
      <c r="AA163" s="20">
        <f>IF($Z163="C",$Y163,IF($Z163="A",$Y163-Settings!$B$4*3,IF($Z163="F",$Y163-(Settings!$B$4+Settings!$B$5)*3,"")))</f>
        <v/>
      </c>
      <c r="AB163" s="20">
        <f>IF($Z163="","",INT(($AA163-1)/3)+1)</f>
        <v/>
      </c>
      <c r="AC163" s="20">
        <f>IF($Z163="","",MOD($AA163-1,3)+1)</f>
        <v/>
      </c>
      <c r="AD163" s="20">
        <f>IF($Z163="","",Settings!$B$2+$AC163-1)</f>
        <v/>
      </c>
      <c r="AE163" s="21">
        <f>IF($Z163="C",DATE(YEAR(INDEX(Contracts!$J$2:$J$151,$AB163)),MONTH(INDEX(Contracts!$J$2:$J$151,$AB163)),1),IF($Z163="A",DATE(YEAR(INDEX(Fixed_Assets!$G$2:$G$201,$AB163)),MONTH(INDEX(Fixed_Assets!$G$2:$G$201,$AB163)),1),IF($Z163="F",DATE(YEAR(MAX(N(INDEX(Workforce!$I$2:$I$151,MATCH(INDEX(FTE_Allocation!$A$2:$A$201,$AB163),Workforce!$A$2:$A$151,0))),N(INDEX(FTE_Allocation!$I$2:$I$201,$AB163)))),MONTH(MAX(N(INDEX(Workforce!$I$2:$I$151,MATCH(INDEX(FTE_Allocation!$A$2:$A$201,$AB163),Workforce!$A$2:$A$151,0))),N(INDEX(FTE_Allocation!$I$2:$I$201,$AB163)))),1),"")))</f>
        <v/>
      </c>
      <c r="AF163" s="21">
        <f>IF($Z163="C",IF(INDEX(Contracts!$I$2:$I$151,$AB163)="PREPAID",EDATE(DATE(YEAR(INDEX(Contracts!$J$2:$J$151,$AB163)),MONTH(INDEX(Contracts!$J$2:$J$151,$AB163)),1),IF(INDEX(Contracts!$N$2:$N$151,$AB163)="",12,INDEX(Contracts!$N$2:$N$151,$AB163))-1),IF(INDEX(Contracts!$I$2:$I$151,$AB163)="MONTHLY",IF(INDEX(Contracts!$K$2:$K$151,$AB163)="",2958101,INDEX(Contracts!$K$2:$K$151,$AB163)),0)),IF($Z163="A",EDATE(DATE(YEAR(INDEX(Fixed_Assets!$G$2:$G$201,$AB163)),MONTH(INDEX(Fixed_Assets!$G$2:$G$201,$AB163)),1),INDEX(Fixed_Assets!$J$2:$J$201,$AB163)-1),IF($Z163="F",MIN(IF(INDEX(Workforce!$J$2:$J$151,MATCH(INDEX(FTE_Allocation!$A$2:$A$201,$AB163),Workforce!$A$2:$A$151,0))="",2958101,INDEX(Workforce!$J$2:$J$151,MATCH(INDEX(FTE_Allocation!$A$2:$A$201,$AB163),Workforce!$A$2:$A$151,0))),IF(INDEX(FTE_Allocation!$J$2:$J$201,$AB163)="",2958101,INDEX(FTE_Allocation!$J$2:$J$201,$AB163))),"")))</f>
        <v/>
      </c>
      <c r="AG163" s="19">
        <f>IF($Z163="C",IF(INDEX(Contracts!$I$2:$I$151,$AB163)="PREPAID",INDEX(Contracts!$M$2:$M$151,$AB163)/IF(INDEX(Contracts!$N$2:$N$151,$AB163)="",12,INDEX(Contracts!$N$2:$N$151,$AB163)),IF(INDEX(Contracts!$I$2:$I$151,$AB163)="MONTHLY",INDEX(Contracts!$M$2:$M$151,$AB163),0))*(1-N(INDEX(Contracts!$O$2:$O$151,$AB163))),IF($Z163="A",INDEX(Fixed_Assets!$H$2:$H$201,$AB163)/INDEX(Fixed_Assets!$J$2:$J$201,$AB163),IF($Z163="F",INDEX(Workforce!$F$2:$F$151,MATCH(INDEX(FTE_Allocation!$A$2:$A$201,$AB163),Workforce!$A$2:$A$151,0))*N(INDEX(FTE_Allocation!$F$2:$H$201,$AB163,$AC163)),"")))</f>
        <v/>
      </c>
    </row>
    <row r="164">
      <c r="A164" s="7">
        <f>IF($Z164="","",$AD164)</f>
        <v/>
      </c>
      <c r="B164" s="7">
        <f>IF($Z164="C",INDEX(Contracts!$D$2:$D$151,$AB164)&amp;"",IF($Z164="A",INDEX(Fixed_Assets!$C$2:$C$201,$AB164)&amp;"",IF($Z164="F",INDEX(Workforce!$B$2:$B$151,MATCH(INDEX(FTE_Allocation!$A$2:$A$201,$AB164),Workforce!$A$2:$A$151,0))&amp;"","")))</f>
        <v/>
      </c>
      <c r="C164" s="7">
        <f>IF($Z164="C",INDEX(Contracts!$E$2:$E$151,$AB164)&amp;"",IF($Z164="A",INDEX(Fixed_Assets!$D$2:$D$201,$AB164)&amp;"",IF($Z164="F",INDEX(FTE_Allocation!$C$2:$C$201,$AB164)&amp;"","")))</f>
        <v/>
      </c>
      <c r="D164" s="7">
        <f>IF($Z164="C",INDEX(Contracts!$B$2:$B$151,$AB164)&amp;"",IF($Z164="A",INDEX(Fixed_Assets!$B$2:$B$201,$AB164)&amp;"",IF($Z164="F",INDEX(FTE_Allocation!$B$2:$B$201,$AB164)&amp;"","")))</f>
        <v/>
      </c>
      <c r="E164" s="7">
        <f>IF($Z164="C",INDEX(Contracts!$P$2:$P$151,$AB164)&amp;"",IF($Z164="A",INDEX(Fixed_Assets!$K$2:$K$201,$AB164)&amp;"",IF($Z164="F",IF(INDEX(FTE_Allocation!$D$2:$D$201,$AB164)="PROJECT",IFERROR(INDEX(Projects!$D:$D,MATCH(INDEX(FTE_Allocation!$E$2:$E$201,$AB164),Projects!$A:$A,0))&amp;"","#PROJECT?"),INDEX(FTE_Allocation!$E$2:$E$201,$AB164)&amp;""),"")))</f>
        <v/>
      </c>
      <c r="F164" s="7">
        <f>IF($Z164="C",INDEX(Contracts!$Q$2:$Q$151,$AB164)&amp;"",IF($Z164="A",INDEX(Fixed_Assets!$L$2:$L$201,$AB164)&amp;"",IF($Z164="F",INDEX(Workforce!$K$2:$K$151,MATCH(INDEX(FTE_Allocation!$A$2:$A$201,$AB164),Workforce!$A$2:$A$151,0))&amp;"","")))</f>
        <v/>
      </c>
      <c r="G164" s="7">
        <f>IF($Z164="C",INDEX(Contracts!$F$2:$F$151,$AB164)&amp;" / "&amp;INDEX(Contracts!$G$2:$G$151,$AB164),IF($Z164="A",INDEX(Fixed_Assets!$E$2:$E$201,$AB164)&amp;"",IF($Z164="F","Personnel "&amp;INDEX(FTE_Allocation!$A$2:$A$201,$AB164)&amp;IF(INDEX(FTE_Allocation!$D$2:$D$201,$AB164)="PROJECT"," ("&amp;INDEX(FTE_Allocation!$E$2:$E$201,$AB164)&amp;")",""),"")))</f>
        <v/>
      </c>
      <c r="H164" s="7">
        <f>IF($Z164="C","CONTRACT",IF($Z164="A","ASSET",IF($Z164="F","WORKFORCE","")))</f>
        <v/>
      </c>
      <c r="I164" s="7">
        <f>IF($Z164="C",INDEX(Contracts!$L$2:$L$151,$AB164)&amp;"",IF($Z164="A",INDEX(Fixed_Assets!$I$2:$I$201,$AB164)&amp;"",IF($Z164="F",INDEX(Workforce!$G$2:$G$151,MATCH(INDEX(FTE_Allocation!$A$2:$A$201,$AB164),Workforce!$A$2:$A$151,0))&amp;"","")))</f>
        <v/>
      </c>
      <c r="J164" s="18">
        <f>IF($Z164="","",IF(AND(DATE($AD164,1,1)&gt;=$AE164,DATE($AD164,1,1)&lt;=$AF164),ROUND($AG164,2),0))</f>
        <v/>
      </c>
      <c r="K164" s="18">
        <f>IF($Z164="","",IF(AND(DATE($AD164,2,1)&gt;=$AE164,DATE($AD164,2,1)&lt;=$AF164),ROUND($AG164,2),0))</f>
        <v/>
      </c>
      <c r="L164" s="18">
        <f>IF($Z164="","",IF(AND(DATE($AD164,3,1)&gt;=$AE164,DATE($AD164,3,1)&lt;=$AF164),ROUND($AG164,2),0))</f>
        <v/>
      </c>
      <c r="M164" s="18">
        <f>IF($Z164="","",IF(AND(DATE($AD164,4,1)&gt;=$AE164,DATE($AD164,4,1)&lt;=$AF164),ROUND($AG164,2),0))</f>
        <v/>
      </c>
      <c r="N164" s="18">
        <f>IF($Z164="","",IF(AND(DATE($AD164,5,1)&gt;=$AE164,DATE($AD164,5,1)&lt;=$AF164),ROUND($AG164,2),0))</f>
        <v/>
      </c>
      <c r="O164" s="18">
        <f>IF($Z164="","",IF(AND(DATE($AD164,6,1)&gt;=$AE164,DATE($AD164,6,1)&lt;=$AF164),ROUND($AG164,2),0))</f>
        <v/>
      </c>
      <c r="P164" s="18">
        <f>IF($Z164="","",IF(AND(DATE($AD164,7,1)&gt;=$AE164,DATE($AD164,7,1)&lt;=$AF164),ROUND($AG164,2),0))</f>
        <v/>
      </c>
      <c r="Q164" s="18">
        <f>IF($Z164="","",IF(AND(DATE($AD164,8,1)&gt;=$AE164,DATE($AD164,8,1)&lt;=$AF164),ROUND($AG164,2),0))</f>
        <v/>
      </c>
      <c r="R164" s="18">
        <f>IF($Z164="","",IF(AND(DATE($AD164,9,1)&gt;=$AE164,DATE($AD164,9,1)&lt;=$AF164),ROUND($AG164,2),0))</f>
        <v/>
      </c>
      <c r="S164" s="18">
        <f>IF($Z164="","",IF(AND(DATE($AD164,10,1)&gt;=$AE164,DATE($AD164,10,1)&lt;=$AF164),ROUND($AG164,2),0))</f>
        <v/>
      </c>
      <c r="T164" s="18">
        <f>IF($Z164="","",IF(AND(DATE($AD164,11,1)&gt;=$AE164,DATE($AD164,11,1)&lt;=$AF164),ROUND($AG164,2),0))</f>
        <v/>
      </c>
      <c r="U164" s="18">
        <f>IF($Z164="","",IF(AND(DATE($AD164,12,1)&gt;=$AE164,DATE($AD164,12,1)&lt;=$AF164),ROUND($AG164,2),0))</f>
        <v/>
      </c>
      <c r="V164" s="7">
        <f>IF($Z164="C","Generated from "&amp;INDEX(Contracts!$A$2:$A$151,$AB164),IF($Z164="A","Generated from "&amp;INDEX(Fixed_Assets!$A$2:$A$201,$AB164),IF($Z164="F","Generated from "&amp;INDEX(FTE_Allocation!$A$2:$A$201,$AB164),"")))</f>
        <v/>
      </c>
      <c r="X164" s="19">
        <f>IF($Z164="","",SUM(J164:U164))</f>
        <v/>
      </c>
      <c r="Y164" s="20">
        <f>ROW()-1</f>
        <v/>
      </c>
      <c r="Z164" s="20">
        <f>IF($Y164&lt;=Settings!$B$4*3,"C",IF($Y164&lt;=(Settings!$B$4+Settings!$B$5)*3,"A",IF($Y164&lt;=(Settings!$B$4+Settings!$B$5+Settings!$B$6)*3,"F","")))</f>
        <v/>
      </c>
      <c r="AA164" s="20">
        <f>IF($Z164="C",$Y164,IF($Z164="A",$Y164-Settings!$B$4*3,IF($Z164="F",$Y164-(Settings!$B$4+Settings!$B$5)*3,"")))</f>
        <v/>
      </c>
      <c r="AB164" s="20">
        <f>IF($Z164="","",INT(($AA164-1)/3)+1)</f>
        <v/>
      </c>
      <c r="AC164" s="20">
        <f>IF($Z164="","",MOD($AA164-1,3)+1)</f>
        <v/>
      </c>
      <c r="AD164" s="20">
        <f>IF($Z164="","",Settings!$B$2+$AC164-1)</f>
        <v/>
      </c>
      <c r="AE164" s="21">
        <f>IF($Z164="C",DATE(YEAR(INDEX(Contracts!$J$2:$J$151,$AB164)),MONTH(INDEX(Contracts!$J$2:$J$151,$AB164)),1),IF($Z164="A",DATE(YEAR(INDEX(Fixed_Assets!$G$2:$G$201,$AB164)),MONTH(INDEX(Fixed_Assets!$G$2:$G$201,$AB164)),1),IF($Z164="F",DATE(YEAR(MAX(N(INDEX(Workforce!$I$2:$I$151,MATCH(INDEX(FTE_Allocation!$A$2:$A$201,$AB164),Workforce!$A$2:$A$151,0))),N(INDEX(FTE_Allocation!$I$2:$I$201,$AB164)))),MONTH(MAX(N(INDEX(Workforce!$I$2:$I$151,MATCH(INDEX(FTE_Allocation!$A$2:$A$201,$AB164),Workforce!$A$2:$A$151,0))),N(INDEX(FTE_Allocation!$I$2:$I$201,$AB164)))),1),"")))</f>
        <v/>
      </c>
      <c r="AF164" s="21">
        <f>IF($Z164="C",IF(INDEX(Contracts!$I$2:$I$151,$AB164)="PREPAID",EDATE(DATE(YEAR(INDEX(Contracts!$J$2:$J$151,$AB164)),MONTH(INDEX(Contracts!$J$2:$J$151,$AB164)),1),IF(INDEX(Contracts!$N$2:$N$151,$AB164)="",12,INDEX(Contracts!$N$2:$N$151,$AB164))-1),IF(INDEX(Contracts!$I$2:$I$151,$AB164)="MONTHLY",IF(INDEX(Contracts!$K$2:$K$151,$AB164)="",2958101,INDEX(Contracts!$K$2:$K$151,$AB164)),0)),IF($Z164="A",EDATE(DATE(YEAR(INDEX(Fixed_Assets!$G$2:$G$201,$AB164)),MONTH(INDEX(Fixed_Assets!$G$2:$G$201,$AB164)),1),INDEX(Fixed_Assets!$J$2:$J$201,$AB164)-1),IF($Z164="F",MIN(IF(INDEX(Workforce!$J$2:$J$151,MATCH(INDEX(FTE_Allocation!$A$2:$A$201,$AB164),Workforce!$A$2:$A$151,0))="",2958101,INDEX(Workforce!$J$2:$J$151,MATCH(INDEX(FTE_Allocation!$A$2:$A$201,$AB164),Workforce!$A$2:$A$151,0))),IF(INDEX(FTE_Allocation!$J$2:$J$201,$AB164)="",2958101,INDEX(FTE_Allocation!$J$2:$J$201,$AB164))),"")))</f>
        <v/>
      </c>
      <c r="AG164" s="19">
        <f>IF($Z164="C",IF(INDEX(Contracts!$I$2:$I$151,$AB164)="PREPAID",INDEX(Contracts!$M$2:$M$151,$AB164)/IF(INDEX(Contracts!$N$2:$N$151,$AB164)="",12,INDEX(Contracts!$N$2:$N$151,$AB164)),IF(INDEX(Contracts!$I$2:$I$151,$AB164)="MONTHLY",INDEX(Contracts!$M$2:$M$151,$AB164),0))*(1-N(INDEX(Contracts!$O$2:$O$151,$AB164))),IF($Z164="A",INDEX(Fixed_Assets!$H$2:$H$201,$AB164)/INDEX(Fixed_Assets!$J$2:$J$201,$AB164),IF($Z164="F",INDEX(Workforce!$F$2:$F$151,MATCH(INDEX(FTE_Allocation!$A$2:$A$201,$AB164),Workforce!$A$2:$A$151,0))*N(INDEX(FTE_Allocation!$F$2:$H$201,$AB164,$AC164)),"")))</f>
        <v/>
      </c>
    </row>
    <row r="165">
      <c r="A165" s="7">
        <f>IF($Z165="","",$AD165)</f>
        <v/>
      </c>
      <c r="B165" s="7">
        <f>IF($Z165="C",INDEX(Contracts!$D$2:$D$151,$AB165)&amp;"",IF($Z165="A",INDEX(Fixed_Assets!$C$2:$C$201,$AB165)&amp;"",IF($Z165="F",INDEX(Workforce!$B$2:$B$151,MATCH(INDEX(FTE_Allocation!$A$2:$A$201,$AB165),Workforce!$A$2:$A$151,0))&amp;"","")))</f>
        <v/>
      </c>
      <c r="C165" s="7">
        <f>IF($Z165="C",INDEX(Contracts!$E$2:$E$151,$AB165)&amp;"",IF($Z165="A",INDEX(Fixed_Assets!$D$2:$D$201,$AB165)&amp;"",IF($Z165="F",INDEX(FTE_Allocation!$C$2:$C$201,$AB165)&amp;"","")))</f>
        <v/>
      </c>
      <c r="D165" s="7">
        <f>IF($Z165="C",INDEX(Contracts!$B$2:$B$151,$AB165)&amp;"",IF($Z165="A",INDEX(Fixed_Assets!$B$2:$B$201,$AB165)&amp;"",IF($Z165="F",INDEX(FTE_Allocation!$B$2:$B$201,$AB165)&amp;"","")))</f>
        <v/>
      </c>
      <c r="E165" s="7">
        <f>IF($Z165="C",INDEX(Contracts!$P$2:$P$151,$AB165)&amp;"",IF($Z165="A",INDEX(Fixed_Assets!$K$2:$K$201,$AB165)&amp;"",IF($Z165="F",IF(INDEX(FTE_Allocation!$D$2:$D$201,$AB165)="PROJECT",IFERROR(INDEX(Projects!$D:$D,MATCH(INDEX(FTE_Allocation!$E$2:$E$201,$AB165),Projects!$A:$A,0))&amp;"","#PROJECT?"),INDEX(FTE_Allocation!$E$2:$E$201,$AB165)&amp;""),"")))</f>
        <v/>
      </c>
      <c r="F165" s="7">
        <f>IF($Z165="C",INDEX(Contracts!$Q$2:$Q$151,$AB165)&amp;"",IF($Z165="A",INDEX(Fixed_Assets!$L$2:$L$201,$AB165)&amp;"",IF($Z165="F",INDEX(Workforce!$K$2:$K$151,MATCH(INDEX(FTE_Allocation!$A$2:$A$201,$AB165),Workforce!$A$2:$A$151,0))&amp;"","")))</f>
        <v/>
      </c>
      <c r="G165" s="7">
        <f>IF($Z165="C",INDEX(Contracts!$F$2:$F$151,$AB165)&amp;" / "&amp;INDEX(Contracts!$G$2:$G$151,$AB165),IF($Z165="A",INDEX(Fixed_Assets!$E$2:$E$201,$AB165)&amp;"",IF($Z165="F","Personnel "&amp;INDEX(FTE_Allocation!$A$2:$A$201,$AB165)&amp;IF(INDEX(FTE_Allocation!$D$2:$D$201,$AB165)="PROJECT"," ("&amp;INDEX(FTE_Allocation!$E$2:$E$201,$AB165)&amp;")",""),"")))</f>
        <v/>
      </c>
      <c r="H165" s="7">
        <f>IF($Z165="C","CONTRACT",IF($Z165="A","ASSET",IF($Z165="F","WORKFORCE","")))</f>
        <v/>
      </c>
      <c r="I165" s="7">
        <f>IF($Z165="C",INDEX(Contracts!$L$2:$L$151,$AB165)&amp;"",IF($Z165="A",INDEX(Fixed_Assets!$I$2:$I$201,$AB165)&amp;"",IF($Z165="F",INDEX(Workforce!$G$2:$G$151,MATCH(INDEX(FTE_Allocation!$A$2:$A$201,$AB165),Workforce!$A$2:$A$151,0))&amp;"","")))</f>
        <v/>
      </c>
      <c r="J165" s="18">
        <f>IF($Z165="","",IF(AND(DATE($AD165,1,1)&gt;=$AE165,DATE($AD165,1,1)&lt;=$AF165),ROUND($AG165,2),0))</f>
        <v/>
      </c>
      <c r="K165" s="18">
        <f>IF($Z165="","",IF(AND(DATE($AD165,2,1)&gt;=$AE165,DATE($AD165,2,1)&lt;=$AF165),ROUND($AG165,2),0))</f>
        <v/>
      </c>
      <c r="L165" s="18">
        <f>IF($Z165="","",IF(AND(DATE($AD165,3,1)&gt;=$AE165,DATE($AD165,3,1)&lt;=$AF165),ROUND($AG165,2),0))</f>
        <v/>
      </c>
      <c r="M165" s="18">
        <f>IF($Z165="","",IF(AND(DATE($AD165,4,1)&gt;=$AE165,DATE($AD165,4,1)&lt;=$AF165),ROUND($AG165,2),0))</f>
        <v/>
      </c>
      <c r="N165" s="18">
        <f>IF($Z165="","",IF(AND(DATE($AD165,5,1)&gt;=$AE165,DATE($AD165,5,1)&lt;=$AF165),ROUND($AG165,2),0))</f>
        <v/>
      </c>
      <c r="O165" s="18">
        <f>IF($Z165="","",IF(AND(DATE($AD165,6,1)&gt;=$AE165,DATE($AD165,6,1)&lt;=$AF165),ROUND($AG165,2),0))</f>
        <v/>
      </c>
      <c r="P165" s="18">
        <f>IF($Z165="","",IF(AND(DATE($AD165,7,1)&gt;=$AE165,DATE($AD165,7,1)&lt;=$AF165),ROUND($AG165,2),0))</f>
        <v/>
      </c>
      <c r="Q165" s="18">
        <f>IF($Z165="","",IF(AND(DATE($AD165,8,1)&gt;=$AE165,DATE($AD165,8,1)&lt;=$AF165),ROUND($AG165,2),0))</f>
        <v/>
      </c>
      <c r="R165" s="18">
        <f>IF($Z165="","",IF(AND(DATE($AD165,9,1)&gt;=$AE165,DATE($AD165,9,1)&lt;=$AF165),ROUND($AG165,2),0))</f>
        <v/>
      </c>
      <c r="S165" s="18">
        <f>IF($Z165="","",IF(AND(DATE($AD165,10,1)&gt;=$AE165,DATE($AD165,10,1)&lt;=$AF165),ROUND($AG165,2),0))</f>
        <v/>
      </c>
      <c r="T165" s="18">
        <f>IF($Z165="","",IF(AND(DATE($AD165,11,1)&gt;=$AE165,DATE($AD165,11,1)&lt;=$AF165),ROUND($AG165,2),0))</f>
        <v/>
      </c>
      <c r="U165" s="18">
        <f>IF($Z165="","",IF(AND(DATE($AD165,12,1)&gt;=$AE165,DATE($AD165,12,1)&lt;=$AF165),ROUND($AG165,2),0))</f>
        <v/>
      </c>
      <c r="V165" s="7">
        <f>IF($Z165="C","Generated from "&amp;INDEX(Contracts!$A$2:$A$151,$AB165),IF($Z165="A","Generated from "&amp;INDEX(Fixed_Assets!$A$2:$A$201,$AB165),IF($Z165="F","Generated from "&amp;INDEX(FTE_Allocation!$A$2:$A$201,$AB165),"")))</f>
        <v/>
      </c>
      <c r="X165" s="19">
        <f>IF($Z165="","",SUM(J165:U165))</f>
        <v/>
      </c>
      <c r="Y165" s="20">
        <f>ROW()-1</f>
        <v/>
      </c>
      <c r="Z165" s="20">
        <f>IF($Y165&lt;=Settings!$B$4*3,"C",IF($Y165&lt;=(Settings!$B$4+Settings!$B$5)*3,"A",IF($Y165&lt;=(Settings!$B$4+Settings!$B$5+Settings!$B$6)*3,"F","")))</f>
        <v/>
      </c>
      <c r="AA165" s="20">
        <f>IF($Z165="C",$Y165,IF($Z165="A",$Y165-Settings!$B$4*3,IF($Z165="F",$Y165-(Settings!$B$4+Settings!$B$5)*3,"")))</f>
        <v/>
      </c>
      <c r="AB165" s="20">
        <f>IF($Z165="","",INT(($AA165-1)/3)+1)</f>
        <v/>
      </c>
      <c r="AC165" s="20">
        <f>IF($Z165="","",MOD($AA165-1,3)+1)</f>
        <v/>
      </c>
      <c r="AD165" s="20">
        <f>IF($Z165="","",Settings!$B$2+$AC165-1)</f>
        <v/>
      </c>
      <c r="AE165" s="21">
        <f>IF($Z165="C",DATE(YEAR(INDEX(Contracts!$J$2:$J$151,$AB165)),MONTH(INDEX(Contracts!$J$2:$J$151,$AB165)),1),IF($Z165="A",DATE(YEAR(INDEX(Fixed_Assets!$G$2:$G$201,$AB165)),MONTH(INDEX(Fixed_Assets!$G$2:$G$201,$AB165)),1),IF($Z165="F",DATE(YEAR(MAX(N(INDEX(Workforce!$I$2:$I$151,MATCH(INDEX(FTE_Allocation!$A$2:$A$201,$AB165),Workforce!$A$2:$A$151,0))),N(INDEX(FTE_Allocation!$I$2:$I$201,$AB165)))),MONTH(MAX(N(INDEX(Workforce!$I$2:$I$151,MATCH(INDEX(FTE_Allocation!$A$2:$A$201,$AB165),Workforce!$A$2:$A$151,0))),N(INDEX(FTE_Allocation!$I$2:$I$201,$AB165)))),1),"")))</f>
        <v/>
      </c>
      <c r="AF165" s="21">
        <f>IF($Z165="C",IF(INDEX(Contracts!$I$2:$I$151,$AB165)="PREPAID",EDATE(DATE(YEAR(INDEX(Contracts!$J$2:$J$151,$AB165)),MONTH(INDEX(Contracts!$J$2:$J$151,$AB165)),1),IF(INDEX(Contracts!$N$2:$N$151,$AB165)="",12,INDEX(Contracts!$N$2:$N$151,$AB165))-1),IF(INDEX(Contracts!$I$2:$I$151,$AB165)="MONTHLY",IF(INDEX(Contracts!$K$2:$K$151,$AB165)="",2958101,INDEX(Contracts!$K$2:$K$151,$AB165)),0)),IF($Z165="A",EDATE(DATE(YEAR(INDEX(Fixed_Assets!$G$2:$G$201,$AB165)),MONTH(INDEX(Fixed_Assets!$G$2:$G$201,$AB165)),1),INDEX(Fixed_Assets!$J$2:$J$201,$AB165)-1),IF($Z165="F",MIN(IF(INDEX(Workforce!$J$2:$J$151,MATCH(INDEX(FTE_Allocation!$A$2:$A$201,$AB165),Workforce!$A$2:$A$151,0))="",2958101,INDEX(Workforce!$J$2:$J$151,MATCH(INDEX(FTE_Allocation!$A$2:$A$201,$AB165),Workforce!$A$2:$A$151,0))),IF(INDEX(FTE_Allocation!$J$2:$J$201,$AB165)="",2958101,INDEX(FTE_Allocation!$J$2:$J$201,$AB165))),"")))</f>
        <v/>
      </c>
      <c r="AG165" s="19">
        <f>IF($Z165="C",IF(INDEX(Contracts!$I$2:$I$151,$AB165)="PREPAID",INDEX(Contracts!$M$2:$M$151,$AB165)/IF(INDEX(Contracts!$N$2:$N$151,$AB165)="",12,INDEX(Contracts!$N$2:$N$151,$AB165)),IF(INDEX(Contracts!$I$2:$I$151,$AB165)="MONTHLY",INDEX(Contracts!$M$2:$M$151,$AB165),0))*(1-N(INDEX(Contracts!$O$2:$O$151,$AB165))),IF($Z165="A",INDEX(Fixed_Assets!$H$2:$H$201,$AB165)/INDEX(Fixed_Assets!$J$2:$J$201,$AB165),IF($Z165="F",INDEX(Workforce!$F$2:$F$151,MATCH(INDEX(FTE_Allocation!$A$2:$A$201,$AB165),Workforce!$A$2:$A$151,0))*N(INDEX(FTE_Allocation!$F$2:$H$201,$AB165,$AC165)),"")))</f>
        <v/>
      </c>
    </row>
    <row r="166">
      <c r="A166" s="7">
        <f>IF($Z166="","",$AD166)</f>
        <v/>
      </c>
      <c r="B166" s="7">
        <f>IF($Z166="C",INDEX(Contracts!$D$2:$D$151,$AB166)&amp;"",IF($Z166="A",INDEX(Fixed_Assets!$C$2:$C$201,$AB166)&amp;"",IF($Z166="F",INDEX(Workforce!$B$2:$B$151,MATCH(INDEX(FTE_Allocation!$A$2:$A$201,$AB166),Workforce!$A$2:$A$151,0))&amp;"","")))</f>
        <v/>
      </c>
      <c r="C166" s="7">
        <f>IF($Z166="C",INDEX(Contracts!$E$2:$E$151,$AB166)&amp;"",IF($Z166="A",INDEX(Fixed_Assets!$D$2:$D$201,$AB166)&amp;"",IF($Z166="F",INDEX(FTE_Allocation!$C$2:$C$201,$AB166)&amp;"","")))</f>
        <v/>
      </c>
      <c r="D166" s="7">
        <f>IF($Z166="C",INDEX(Contracts!$B$2:$B$151,$AB166)&amp;"",IF($Z166="A",INDEX(Fixed_Assets!$B$2:$B$201,$AB166)&amp;"",IF($Z166="F",INDEX(FTE_Allocation!$B$2:$B$201,$AB166)&amp;"","")))</f>
        <v/>
      </c>
      <c r="E166" s="7">
        <f>IF($Z166="C",INDEX(Contracts!$P$2:$P$151,$AB166)&amp;"",IF($Z166="A",INDEX(Fixed_Assets!$K$2:$K$201,$AB166)&amp;"",IF($Z166="F",IF(INDEX(FTE_Allocation!$D$2:$D$201,$AB166)="PROJECT",IFERROR(INDEX(Projects!$D:$D,MATCH(INDEX(FTE_Allocation!$E$2:$E$201,$AB166),Projects!$A:$A,0))&amp;"","#PROJECT?"),INDEX(FTE_Allocation!$E$2:$E$201,$AB166)&amp;""),"")))</f>
        <v/>
      </c>
      <c r="F166" s="7">
        <f>IF($Z166="C",INDEX(Contracts!$Q$2:$Q$151,$AB166)&amp;"",IF($Z166="A",INDEX(Fixed_Assets!$L$2:$L$201,$AB166)&amp;"",IF($Z166="F",INDEX(Workforce!$K$2:$K$151,MATCH(INDEX(FTE_Allocation!$A$2:$A$201,$AB166),Workforce!$A$2:$A$151,0))&amp;"","")))</f>
        <v/>
      </c>
      <c r="G166" s="7">
        <f>IF($Z166="C",INDEX(Contracts!$F$2:$F$151,$AB166)&amp;" / "&amp;INDEX(Contracts!$G$2:$G$151,$AB166),IF($Z166="A",INDEX(Fixed_Assets!$E$2:$E$201,$AB166)&amp;"",IF($Z166="F","Personnel "&amp;INDEX(FTE_Allocation!$A$2:$A$201,$AB166)&amp;IF(INDEX(FTE_Allocation!$D$2:$D$201,$AB166)="PROJECT"," ("&amp;INDEX(FTE_Allocation!$E$2:$E$201,$AB166)&amp;")",""),"")))</f>
        <v/>
      </c>
      <c r="H166" s="7">
        <f>IF($Z166="C","CONTRACT",IF($Z166="A","ASSET",IF($Z166="F","WORKFORCE","")))</f>
        <v/>
      </c>
      <c r="I166" s="7">
        <f>IF($Z166="C",INDEX(Contracts!$L$2:$L$151,$AB166)&amp;"",IF($Z166="A",INDEX(Fixed_Assets!$I$2:$I$201,$AB166)&amp;"",IF($Z166="F",INDEX(Workforce!$G$2:$G$151,MATCH(INDEX(FTE_Allocation!$A$2:$A$201,$AB166),Workforce!$A$2:$A$151,0))&amp;"","")))</f>
        <v/>
      </c>
      <c r="J166" s="18">
        <f>IF($Z166="","",IF(AND(DATE($AD166,1,1)&gt;=$AE166,DATE($AD166,1,1)&lt;=$AF166),ROUND($AG166,2),0))</f>
        <v/>
      </c>
      <c r="K166" s="18">
        <f>IF($Z166="","",IF(AND(DATE($AD166,2,1)&gt;=$AE166,DATE($AD166,2,1)&lt;=$AF166),ROUND($AG166,2),0))</f>
        <v/>
      </c>
      <c r="L166" s="18">
        <f>IF($Z166="","",IF(AND(DATE($AD166,3,1)&gt;=$AE166,DATE($AD166,3,1)&lt;=$AF166),ROUND($AG166,2),0))</f>
        <v/>
      </c>
      <c r="M166" s="18">
        <f>IF($Z166="","",IF(AND(DATE($AD166,4,1)&gt;=$AE166,DATE($AD166,4,1)&lt;=$AF166),ROUND($AG166,2),0))</f>
        <v/>
      </c>
      <c r="N166" s="18">
        <f>IF($Z166="","",IF(AND(DATE($AD166,5,1)&gt;=$AE166,DATE($AD166,5,1)&lt;=$AF166),ROUND($AG166,2),0))</f>
        <v/>
      </c>
      <c r="O166" s="18">
        <f>IF($Z166="","",IF(AND(DATE($AD166,6,1)&gt;=$AE166,DATE($AD166,6,1)&lt;=$AF166),ROUND($AG166,2),0))</f>
        <v/>
      </c>
      <c r="P166" s="18">
        <f>IF($Z166="","",IF(AND(DATE($AD166,7,1)&gt;=$AE166,DATE($AD166,7,1)&lt;=$AF166),ROUND($AG166,2),0))</f>
        <v/>
      </c>
      <c r="Q166" s="18">
        <f>IF($Z166="","",IF(AND(DATE($AD166,8,1)&gt;=$AE166,DATE($AD166,8,1)&lt;=$AF166),ROUND($AG166,2),0))</f>
        <v/>
      </c>
      <c r="R166" s="18">
        <f>IF($Z166="","",IF(AND(DATE($AD166,9,1)&gt;=$AE166,DATE($AD166,9,1)&lt;=$AF166),ROUND($AG166,2),0))</f>
        <v/>
      </c>
      <c r="S166" s="18">
        <f>IF($Z166="","",IF(AND(DATE($AD166,10,1)&gt;=$AE166,DATE($AD166,10,1)&lt;=$AF166),ROUND($AG166,2),0))</f>
        <v/>
      </c>
      <c r="T166" s="18">
        <f>IF($Z166="","",IF(AND(DATE($AD166,11,1)&gt;=$AE166,DATE($AD166,11,1)&lt;=$AF166),ROUND($AG166,2),0))</f>
        <v/>
      </c>
      <c r="U166" s="18">
        <f>IF($Z166="","",IF(AND(DATE($AD166,12,1)&gt;=$AE166,DATE($AD166,12,1)&lt;=$AF166),ROUND($AG166,2),0))</f>
        <v/>
      </c>
      <c r="V166" s="7">
        <f>IF($Z166="C","Generated from "&amp;INDEX(Contracts!$A$2:$A$151,$AB166),IF($Z166="A","Generated from "&amp;INDEX(Fixed_Assets!$A$2:$A$201,$AB166),IF($Z166="F","Generated from "&amp;INDEX(FTE_Allocation!$A$2:$A$201,$AB166),"")))</f>
        <v/>
      </c>
      <c r="X166" s="19">
        <f>IF($Z166="","",SUM(J166:U166))</f>
        <v/>
      </c>
      <c r="Y166" s="20">
        <f>ROW()-1</f>
        <v/>
      </c>
      <c r="Z166" s="20">
        <f>IF($Y166&lt;=Settings!$B$4*3,"C",IF($Y166&lt;=(Settings!$B$4+Settings!$B$5)*3,"A",IF($Y166&lt;=(Settings!$B$4+Settings!$B$5+Settings!$B$6)*3,"F","")))</f>
        <v/>
      </c>
      <c r="AA166" s="20">
        <f>IF($Z166="C",$Y166,IF($Z166="A",$Y166-Settings!$B$4*3,IF($Z166="F",$Y166-(Settings!$B$4+Settings!$B$5)*3,"")))</f>
        <v/>
      </c>
      <c r="AB166" s="20">
        <f>IF($Z166="","",INT(($AA166-1)/3)+1)</f>
        <v/>
      </c>
      <c r="AC166" s="20">
        <f>IF($Z166="","",MOD($AA166-1,3)+1)</f>
        <v/>
      </c>
      <c r="AD166" s="20">
        <f>IF($Z166="","",Settings!$B$2+$AC166-1)</f>
        <v/>
      </c>
      <c r="AE166" s="21">
        <f>IF($Z166="C",DATE(YEAR(INDEX(Contracts!$J$2:$J$151,$AB166)),MONTH(INDEX(Contracts!$J$2:$J$151,$AB166)),1),IF($Z166="A",DATE(YEAR(INDEX(Fixed_Assets!$G$2:$G$201,$AB166)),MONTH(INDEX(Fixed_Assets!$G$2:$G$201,$AB166)),1),IF($Z166="F",DATE(YEAR(MAX(N(INDEX(Workforce!$I$2:$I$151,MATCH(INDEX(FTE_Allocation!$A$2:$A$201,$AB166),Workforce!$A$2:$A$151,0))),N(INDEX(FTE_Allocation!$I$2:$I$201,$AB166)))),MONTH(MAX(N(INDEX(Workforce!$I$2:$I$151,MATCH(INDEX(FTE_Allocation!$A$2:$A$201,$AB166),Workforce!$A$2:$A$151,0))),N(INDEX(FTE_Allocation!$I$2:$I$201,$AB166)))),1),"")))</f>
        <v/>
      </c>
      <c r="AF166" s="21">
        <f>IF($Z166="C",IF(INDEX(Contracts!$I$2:$I$151,$AB166)="PREPAID",EDATE(DATE(YEAR(INDEX(Contracts!$J$2:$J$151,$AB166)),MONTH(INDEX(Contracts!$J$2:$J$151,$AB166)),1),IF(INDEX(Contracts!$N$2:$N$151,$AB166)="",12,INDEX(Contracts!$N$2:$N$151,$AB166))-1),IF(INDEX(Contracts!$I$2:$I$151,$AB166)="MONTHLY",IF(INDEX(Contracts!$K$2:$K$151,$AB166)="",2958101,INDEX(Contracts!$K$2:$K$151,$AB166)),0)),IF($Z166="A",EDATE(DATE(YEAR(INDEX(Fixed_Assets!$G$2:$G$201,$AB166)),MONTH(INDEX(Fixed_Assets!$G$2:$G$201,$AB166)),1),INDEX(Fixed_Assets!$J$2:$J$201,$AB166)-1),IF($Z166="F",MIN(IF(INDEX(Workforce!$J$2:$J$151,MATCH(INDEX(FTE_Allocation!$A$2:$A$201,$AB166),Workforce!$A$2:$A$151,0))="",2958101,INDEX(Workforce!$J$2:$J$151,MATCH(INDEX(FTE_Allocation!$A$2:$A$201,$AB166),Workforce!$A$2:$A$151,0))),IF(INDEX(FTE_Allocation!$J$2:$J$201,$AB166)="",2958101,INDEX(FTE_Allocation!$J$2:$J$201,$AB166))),"")))</f>
        <v/>
      </c>
      <c r="AG166" s="19">
        <f>IF($Z166="C",IF(INDEX(Contracts!$I$2:$I$151,$AB166)="PREPAID",INDEX(Contracts!$M$2:$M$151,$AB166)/IF(INDEX(Contracts!$N$2:$N$151,$AB166)="",12,INDEX(Contracts!$N$2:$N$151,$AB166)),IF(INDEX(Contracts!$I$2:$I$151,$AB166)="MONTHLY",INDEX(Contracts!$M$2:$M$151,$AB166),0))*(1-N(INDEX(Contracts!$O$2:$O$151,$AB166))),IF($Z166="A",INDEX(Fixed_Assets!$H$2:$H$201,$AB166)/INDEX(Fixed_Assets!$J$2:$J$201,$AB166),IF($Z166="F",INDEX(Workforce!$F$2:$F$151,MATCH(INDEX(FTE_Allocation!$A$2:$A$201,$AB166),Workforce!$A$2:$A$151,0))*N(INDEX(FTE_Allocation!$F$2:$H$201,$AB166,$AC166)),"")))</f>
        <v/>
      </c>
    </row>
    <row r="167">
      <c r="A167" s="7">
        <f>IF($Z167="","",$AD167)</f>
        <v/>
      </c>
      <c r="B167" s="7">
        <f>IF($Z167="C",INDEX(Contracts!$D$2:$D$151,$AB167)&amp;"",IF($Z167="A",INDEX(Fixed_Assets!$C$2:$C$201,$AB167)&amp;"",IF($Z167="F",INDEX(Workforce!$B$2:$B$151,MATCH(INDEX(FTE_Allocation!$A$2:$A$201,$AB167),Workforce!$A$2:$A$151,0))&amp;"","")))</f>
        <v/>
      </c>
      <c r="C167" s="7">
        <f>IF($Z167="C",INDEX(Contracts!$E$2:$E$151,$AB167)&amp;"",IF($Z167="A",INDEX(Fixed_Assets!$D$2:$D$201,$AB167)&amp;"",IF($Z167="F",INDEX(FTE_Allocation!$C$2:$C$201,$AB167)&amp;"","")))</f>
        <v/>
      </c>
      <c r="D167" s="7">
        <f>IF($Z167="C",INDEX(Contracts!$B$2:$B$151,$AB167)&amp;"",IF($Z167="A",INDEX(Fixed_Assets!$B$2:$B$201,$AB167)&amp;"",IF($Z167="F",INDEX(FTE_Allocation!$B$2:$B$201,$AB167)&amp;"","")))</f>
        <v/>
      </c>
      <c r="E167" s="7">
        <f>IF($Z167="C",INDEX(Contracts!$P$2:$P$151,$AB167)&amp;"",IF($Z167="A",INDEX(Fixed_Assets!$K$2:$K$201,$AB167)&amp;"",IF($Z167="F",IF(INDEX(FTE_Allocation!$D$2:$D$201,$AB167)="PROJECT",IFERROR(INDEX(Projects!$D:$D,MATCH(INDEX(FTE_Allocation!$E$2:$E$201,$AB167),Projects!$A:$A,0))&amp;"","#PROJECT?"),INDEX(FTE_Allocation!$E$2:$E$201,$AB167)&amp;""),"")))</f>
        <v/>
      </c>
      <c r="F167" s="7">
        <f>IF($Z167="C",INDEX(Contracts!$Q$2:$Q$151,$AB167)&amp;"",IF($Z167="A",INDEX(Fixed_Assets!$L$2:$L$201,$AB167)&amp;"",IF($Z167="F",INDEX(Workforce!$K$2:$K$151,MATCH(INDEX(FTE_Allocation!$A$2:$A$201,$AB167),Workforce!$A$2:$A$151,0))&amp;"","")))</f>
        <v/>
      </c>
      <c r="G167" s="7">
        <f>IF($Z167="C",INDEX(Contracts!$F$2:$F$151,$AB167)&amp;" / "&amp;INDEX(Contracts!$G$2:$G$151,$AB167),IF($Z167="A",INDEX(Fixed_Assets!$E$2:$E$201,$AB167)&amp;"",IF($Z167="F","Personnel "&amp;INDEX(FTE_Allocation!$A$2:$A$201,$AB167)&amp;IF(INDEX(FTE_Allocation!$D$2:$D$201,$AB167)="PROJECT"," ("&amp;INDEX(FTE_Allocation!$E$2:$E$201,$AB167)&amp;")",""),"")))</f>
        <v/>
      </c>
      <c r="H167" s="7">
        <f>IF($Z167="C","CONTRACT",IF($Z167="A","ASSET",IF($Z167="F","WORKFORCE","")))</f>
        <v/>
      </c>
      <c r="I167" s="7">
        <f>IF($Z167="C",INDEX(Contracts!$L$2:$L$151,$AB167)&amp;"",IF($Z167="A",INDEX(Fixed_Assets!$I$2:$I$201,$AB167)&amp;"",IF($Z167="F",INDEX(Workforce!$G$2:$G$151,MATCH(INDEX(FTE_Allocation!$A$2:$A$201,$AB167),Workforce!$A$2:$A$151,0))&amp;"","")))</f>
        <v/>
      </c>
      <c r="J167" s="18">
        <f>IF($Z167="","",IF(AND(DATE($AD167,1,1)&gt;=$AE167,DATE($AD167,1,1)&lt;=$AF167),ROUND($AG167,2),0))</f>
        <v/>
      </c>
      <c r="K167" s="18">
        <f>IF($Z167="","",IF(AND(DATE($AD167,2,1)&gt;=$AE167,DATE($AD167,2,1)&lt;=$AF167),ROUND($AG167,2),0))</f>
        <v/>
      </c>
      <c r="L167" s="18">
        <f>IF($Z167="","",IF(AND(DATE($AD167,3,1)&gt;=$AE167,DATE($AD167,3,1)&lt;=$AF167),ROUND($AG167,2),0))</f>
        <v/>
      </c>
      <c r="M167" s="18">
        <f>IF($Z167="","",IF(AND(DATE($AD167,4,1)&gt;=$AE167,DATE($AD167,4,1)&lt;=$AF167),ROUND($AG167,2),0))</f>
        <v/>
      </c>
      <c r="N167" s="18">
        <f>IF($Z167="","",IF(AND(DATE($AD167,5,1)&gt;=$AE167,DATE($AD167,5,1)&lt;=$AF167),ROUND($AG167,2),0))</f>
        <v/>
      </c>
      <c r="O167" s="18">
        <f>IF($Z167="","",IF(AND(DATE($AD167,6,1)&gt;=$AE167,DATE($AD167,6,1)&lt;=$AF167),ROUND($AG167,2),0))</f>
        <v/>
      </c>
      <c r="P167" s="18">
        <f>IF($Z167="","",IF(AND(DATE($AD167,7,1)&gt;=$AE167,DATE($AD167,7,1)&lt;=$AF167),ROUND($AG167,2),0))</f>
        <v/>
      </c>
      <c r="Q167" s="18">
        <f>IF($Z167="","",IF(AND(DATE($AD167,8,1)&gt;=$AE167,DATE($AD167,8,1)&lt;=$AF167),ROUND($AG167,2),0))</f>
        <v/>
      </c>
      <c r="R167" s="18">
        <f>IF($Z167="","",IF(AND(DATE($AD167,9,1)&gt;=$AE167,DATE($AD167,9,1)&lt;=$AF167),ROUND($AG167,2),0))</f>
        <v/>
      </c>
      <c r="S167" s="18">
        <f>IF($Z167="","",IF(AND(DATE($AD167,10,1)&gt;=$AE167,DATE($AD167,10,1)&lt;=$AF167),ROUND($AG167,2),0))</f>
        <v/>
      </c>
      <c r="T167" s="18">
        <f>IF($Z167="","",IF(AND(DATE($AD167,11,1)&gt;=$AE167,DATE($AD167,11,1)&lt;=$AF167),ROUND($AG167,2),0))</f>
        <v/>
      </c>
      <c r="U167" s="18">
        <f>IF($Z167="","",IF(AND(DATE($AD167,12,1)&gt;=$AE167,DATE($AD167,12,1)&lt;=$AF167),ROUND($AG167,2),0))</f>
        <v/>
      </c>
      <c r="V167" s="7">
        <f>IF($Z167="C","Generated from "&amp;INDEX(Contracts!$A$2:$A$151,$AB167),IF($Z167="A","Generated from "&amp;INDEX(Fixed_Assets!$A$2:$A$201,$AB167),IF($Z167="F","Generated from "&amp;INDEX(FTE_Allocation!$A$2:$A$201,$AB167),"")))</f>
        <v/>
      </c>
      <c r="X167" s="19">
        <f>IF($Z167="","",SUM(J167:U167))</f>
        <v/>
      </c>
      <c r="Y167" s="20">
        <f>ROW()-1</f>
        <v/>
      </c>
      <c r="Z167" s="20">
        <f>IF($Y167&lt;=Settings!$B$4*3,"C",IF($Y167&lt;=(Settings!$B$4+Settings!$B$5)*3,"A",IF($Y167&lt;=(Settings!$B$4+Settings!$B$5+Settings!$B$6)*3,"F","")))</f>
        <v/>
      </c>
      <c r="AA167" s="20">
        <f>IF($Z167="C",$Y167,IF($Z167="A",$Y167-Settings!$B$4*3,IF($Z167="F",$Y167-(Settings!$B$4+Settings!$B$5)*3,"")))</f>
        <v/>
      </c>
      <c r="AB167" s="20">
        <f>IF($Z167="","",INT(($AA167-1)/3)+1)</f>
        <v/>
      </c>
      <c r="AC167" s="20">
        <f>IF($Z167="","",MOD($AA167-1,3)+1)</f>
        <v/>
      </c>
      <c r="AD167" s="20">
        <f>IF($Z167="","",Settings!$B$2+$AC167-1)</f>
        <v/>
      </c>
      <c r="AE167" s="21">
        <f>IF($Z167="C",DATE(YEAR(INDEX(Contracts!$J$2:$J$151,$AB167)),MONTH(INDEX(Contracts!$J$2:$J$151,$AB167)),1),IF($Z167="A",DATE(YEAR(INDEX(Fixed_Assets!$G$2:$G$201,$AB167)),MONTH(INDEX(Fixed_Assets!$G$2:$G$201,$AB167)),1),IF($Z167="F",DATE(YEAR(MAX(N(INDEX(Workforce!$I$2:$I$151,MATCH(INDEX(FTE_Allocation!$A$2:$A$201,$AB167),Workforce!$A$2:$A$151,0))),N(INDEX(FTE_Allocation!$I$2:$I$201,$AB167)))),MONTH(MAX(N(INDEX(Workforce!$I$2:$I$151,MATCH(INDEX(FTE_Allocation!$A$2:$A$201,$AB167),Workforce!$A$2:$A$151,0))),N(INDEX(FTE_Allocation!$I$2:$I$201,$AB167)))),1),"")))</f>
        <v/>
      </c>
      <c r="AF167" s="21">
        <f>IF($Z167="C",IF(INDEX(Contracts!$I$2:$I$151,$AB167)="PREPAID",EDATE(DATE(YEAR(INDEX(Contracts!$J$2:$J$151,$AB167)),MONTH(INDEX(Contracts!$J$2:$J$151,$AB167)),1),IF(INDEX(Contracts!$N$2:$N$151,$AB167)="",12,INDEX(Contracts!$N$2:$N$151,$AB167))-1),IF(INDEX(Contracts!$I$2:$I$151,$AB167)="MONTHLY",IF(INDEX(Contracts!$K$2:$K$151,$AB167)="",2958101,INDEX(Contracts!$K$2:$K$151,$AB167)),0)),IF($Z167="A",EDATE(DATE(YEAR(INDEX(Fixed_Assets!$G$2:$G$201,$AB167)),MONTH(INDEX(Fixed_Assets!$G$2:$G$201,$AB167)),1),INDEX(Fixed_Assets!$J$2:$J$201,$AB167)-1),IF($Z167="F",MIN(IF(INDEX(Workforce!$J$2:$J$151,MATCH(INDEX(FTE_Allocation!$A$2:$A$201,$AB167),Workforce!$A$2:$A$151,0))="",2958101,INDEX(Workforce!$J$2:$J$151,MATCH(INDEX(FTE_Allocation!$A$2:$A$201,$AB167),Workforce!$A$2:$A$151,0))),IF(INDEX(FTE_Allocation!$J$2:$J$201,$AB167)="",2958101,INDEX(FTE_Allocation!$J$2:$J$201,$AB167))),"")))</f>
        <v/>
      </c>
      <c r="AG167" s="19">
        <f>IF($Z167="C",IF(INDEX(Contracts!$I$2:$I$151,$AB167)="PREPAID",INDEX(Contracts!$M$2:$M$151,$AB167)/IF(INDEX(Contracts!$N$2:$N$151,$AB167)="",12,INDEX(Contracts!$N$2:$N$151,$AB167)),IF(INDEX(Contracts!$I$2:$I$151,$AB167)="MONTHLY",INDEX(Contracts!$M$2:$M$151,$AB167),0))*(1-N(INDEX(Contracts!$O$2:$O$151,$AB167))),IF($Z167="A",INDEX(Fixed_Assets!$H$2:$H$201,$AB167)/INDEX(Fixed_Assets!$J$2:$J$201,$AB167),IF($Z167="F",INDEX(Workforce!$F$2:$F$151,MATCH(INDEX(FTE_Allocation!$A$2:$A$201,$AB167),Workforce!$A$2:$A$151,0))*N(INDEX(FTE_Allocation!$F$2:$H$201,$AB167,$AC167)),"")))</f>
        <v/>
      </c>
    </row>
    <row r="168">
      <c r="A168" s="7">
        <f>IF($Z168="","",$AD168)</f>
        <v/>
      </c>
      <c r="B168" s="7">
        <f>IF($Z168="C",INDEX(Contracts!$D$2:$D$151,$AB168)&amp;"",IF($Z168="A",INDEX(Fixed_Assets!$C$2:$C$201,$AB168)&amp;"",IF($Z168="F",INDEX(Workforce!$B$2:$B$151,MATCH(INDEX(FTE_Allocation!$A$2:$A$201,$AB168),Workforce!$A$2:$A$151,0))&amp;"","")))</f>
        <v/>
      </c>
      <c r="C168" s="7">
        <f>IF($Z168="C",INDEX(Contracts!$E$2:$E$151,$AB168)&amp;"",IF($Z168="A",INDEX(Fixed_Assets!$D$2:$D$201,$AB168)&amp;"",IF($Z168="F",INDEX(FTE_Allocation!$C$2:$C$201,$AB168)&amp;"","")))</f>
        <v/>
      </c>
      <c r="D168" s="7">
        <f>IF($Z168="C",INDEX(Contracts!$B$2:$B$151,$AB168)&amp;"",IF($Z168="A",INDEX(Fixed_Assets!$B$2:$B$201,$AB168)&amp;"",IF($Z168="F",INDEX(FTE_Allocation!$B$2:$B$201,$AB168)&amp;"","")))</f>
        <v/>
      </c>
      <c r="E168" s="7">
        <f>IF($Z168="C",INDEX(Contracts!$P$2:$P$151,$AB168)&amp;"",IF($Z168="A",INDEX(Fixed_Assets!$K$2:$K$201,$AB168)&amp;"",IF($Z168="F",IF(INDEX(FTE_Allocation!$D$2:$D$201,$AB168)="PROJECT",IFERROR(INDEX(Projects!$D:$D,MATCH(INDEX(FTE_Allocation!$E$2:$E$201,$AB168),Projects!$A:$A,0))&amp;"","#PROJECT?"),INDEX(FTE_Allocation!$E$2:$E$201,$AB168)&amp;""),"")))</f>
        <v/>
      </c>
      <c r="F168" s="7">
        <f>IF($Z168="C",INDEX(Contracts!$Q$2:$Q$151,$AB168)&amp;"",IF($Z168="A",INDEX(Fixed_Assets!$L$2:$L$201,$AB168)&amp;"",IF($Z168="F",INDEX(Workforce!$K$2:$K$151,MATCH(INDEX(FTE_Allocation!$A$2:$A$201,$AB168),Workforce!$A$2:$A$151,0))&amp;"","")))</f>
        <v/>
      </c>
      <c r="G168" s="7">
        <f>IF($Z168="C",INDEX(Contracts!$F$2:$F$151,$AB168)&amp;" / "&amp;INDEX(Contracts!$G$2:$G$151,$AB168),IF($Z168="A",INDEX(Fixed_Assets!$E$2:$E$201,$AB168)&amp;"",IF($Z168="F","Personnel "&amp;INDEX(FTE_Allocation!$A$2:$A$201,$AB168)&amp;IF(INDEX(FTE_Allocation!$D$2:$D$201,$AB168)="PROJECT"," ("&amp;INDEX(FTE_Allocation!$E$2:$E$201,$AB168)&amp;")",""),"")))</f>
        <v/>
      </c>
      <c r="H168" s="7">
        <f>IF($Z168="C","CONTRACT",IF($Z168="A","ASSET",IF($Z168="F","WORKFORCE","")))</f>
        <v/>
      </c>
      <c r="I168" s="7">
        <f>IF($Z168="C",INDEX(Contracts!$L$2:$L$151,$AB168)&amp;"",IF($Z168="A",INDEX(Fixed_Assets!$I$2:$I$201,$AB168)&amp;"",IF($Z168="F",INDEX(Workforce!$G$2:$G$151,MATCH(INDEX(FTE_Allocation!$A$2:$A$201,$AB168),Workforce!$A$2:$A$151,0))&amp;"","")))</f>
        <v/>
      </c>
      <c r="J168" s="18">
        <f>IF($Z168="","",IF(AND(DATE($AD168,1,1)&gt;=$AE168,DATE($AD168,1,1)&lt;=$AF168),ROUND($AG168,2),0))</f>
        <v/>
      </c>
      <c r="K168" s="18">
        <f>IF($Z168="","",IF(AND(DATE($AD168,2,1)&gt;=$AE168,DATE($AD168,2,1)&lt;=$AF168),ROUND($AG168,2),0))</f>
        <v/>
      </c>
      <c r="L168" s="18">
        <f>IF($Z168="","",IF(AND(DATE($AD168,3,1)&gt;=$AE168,DATE($AD168,3,1)&lt;=$AF168),ROUND($AG168,2),0))</f>
        <v/>
      </c>
      <c r="M168" s="18">
        <f>IF($Z168="","",IF(AND(DATE($AD168,4,1)&gt;=$AE168,DATE($AD168,4,1)&lt;=$AF168),ROUND($AG168,2),0))</f>
        <v/>
      </c>
      <c r="N168" s="18">
        <f>IF($Z168="","",IF(AND(DATE($AD168,5,1)&gt;=$AE168,DATE($AD168,5,1)&lt;=$AF168),ROUND($AG168,2),0))</f>
        <v/>
      </c>
      <c r="O168" s="18">
        <f>IF($Z168="","",IF(AND(DATE($AD168,6,1)&gt;=$AE168,DATE($AD168,6,1)&lt;=$AF168),ROUND($AG168,2),0))</f>
        <v/>
      </c>
      <c r="P168" s="18">
        <f>IF($Z168="","",IF(AND(DATE($AD168,7,1)&gt;=$AE168,DATE($AD168,7,1)&lt;=$AF168),ROUND($AG168,2),0))</f>
        <v/>
      </c>
      <c r="Q168" s="18">
        <f>IF($Z168="","",IF(AND(DATE($AD168,8,1)&gt;=$AE168,DATE($AD168,8,1)&lt;=$AF168),ROUND($AG168,2),0))</f>
        <v/>
      </c>
      <c r="R168" s="18">
        <f>IF($Z168="","",IF(AND(DATE($AD168,9,1)&gt;=$AE168,DATE($AD168,9,1)&lt;=$AF168),ROUND($AG168,2),0))</f>
        <v/>
      </c>
      <c r="S168" s="18">
        <f>IF($Z168="","",IF(AND(DATE($AD168,10,1)&gt;=$AE168,DATE($AD168,10,1)&lt;=$AF168),ROUND($AG168,2),0))</f>
        <v/>
      </c>
      <c r="T168" s="18">
        <f>IF($Z168="","",IF(AND(DATE($AD168,11,1)&gt;=$AE168,DATE($AD168,11,1)&lt;=$AF168),ROUND($AG168,2),0))</f>
        <v/>
      </c>
      <c r="U168" s="18">
        <f>IF($Z168="","",IF(AND(DATE($AD168,12,1)&gt;=$AE168,DATE($AD168,12,1)&lt;=$AF168),ROUND($AG168,2),0))</f>
        <v/>
      </c>
      <c r="V168" s="7">
        <f>IF($Z168="C","Generated from "&amp;INDEX(Contracts!$A$2:$A$151,$AB168),IF($Z168="A","Generated from "&amp;INDEX(Fixed_Assets!$A$2:$A$201,$AB168),IF($Z168="F","Generated from "&amp;INDEX(FTE_Allocation!$A$2:$A$201,$AB168),"")))</f>
        <v/>
      </c>
      <c r="X168" s="19">
        <f>IF($Z168="","",SUM(J168:U168))</f>
        <v/>
      </c>
      <c r="Y168" s="20">
        <f>ROW()-1</f>
        <v/>
      </c>
      <c r="Z168" s="20">
        <f>IF($Y168&lt;=Settings!$B$4*3,"C",IF($Y168&lt;=(Settings!$B$4+Settings!$B$5)*3,"A",IF($Y168&lt;=(Settings!$B$4+Settings!$B$5+Settings!$B$6)*3,"F","")))</f>
        <v/>
      </c>
      <c r="AA168" s="20">
        <f>IF($Z168="C",$Y168,IF($Z168="A",$Y168-Settings!$B$4*3,IF($Z168="F",$Y168-(Settings!$B$4+Settings!$B$5)*3,"")))</f>
        <v/>
      </c>
      <c r="AB168" s="20">
        <f>IF($Z168="","",INT(($AA168-1)/3)+1)</f>
        <v/>
      </c>
      <c r="AC168" s="20">
        <f>IF($Z168="","",MOD($AA168-1,3)+1)</f>
        <v/>
      </c>
      <c r="AD168" s="20">
        <f>IF($Z168="","",Settings!$B$2+$AC168-1)</f>
        <v/>
      </c>
      <c r="AE168" s="21">
        <f>IF($Z168="C",DATE(YEAR(INDEX(Contracts!$J$2:$J$151,$AB168)),MONTH(INDEX(Contracts!$J$2:$J$151,$AB168)),1),IF($Z168="A",DATE(YEAR(INDEX(Fixed_Assets!$G$2:$G$201,$AB168)),MONTH(INDEX(Fixed_Assets!$G$2:$G$201,$AB168)),1),IF($Z168="F",DATE(YEAR(MAX(N(INDEX(Workforce!$I$2:$I$151,MATCH(INDEX(FTE_Allocation!$A$2:$A$201,$AB168),Workforce!$A$2:$A$151,0))),N(INDEX(FTE_Allocation!$I$2:$I$201,$AB168)))),MONTH(MAX(N(INDEX(Workforce!$I$2:$I$151,MATCH(INDEX(FTE_Allocation!$A$2:$A$201,$AB168),Workforce!$A$2:$A$151,0))),N(INDEX(FTE_Allocation!$I$2:$I$201,$AB168)))),1),"")))</f>
        <v/>
      </c>
      <c r="AF168" s="21">
        <f>IF($Z168="C",IF(INDEX(Contracts!$I$2:$I$151,$AB168)="PREPAID",EDATE(DATE(YEAR(INDEX(Contracts!$J$2:$J$151,$AB168)),MONTH(INDEX(Contracts!$J$2:$J$151,$AB168)),1),IF(INDEX(Contracts!$N$2:$N$151,$AB168)="",12,INDEX(Contracts!$N$2:$N$151,$AB168))-1),IF(INDEX(Contracts!$I$2:$I$151,$AB168)="MONTHLY",IF(INDEX(Contracts!$K$2:$K$151,$AB168)="",2958101,INDEX(Contracts!$K$2:$K$151,$AB168)),0)),IF($Z168="A",EDATE(DATE(YEAR(INDEX(Fixed_Assets!$G$2:$G$201,$AB168)),MONTH(INDEX(Fixed_Assets!$G$2:$G$201,$AB168)),1),INDEX(Fixed_Assets!$J$2:$J$201,$AB168)-1),IF($Z168="F",MIN(IF(INDEX(Workforce!$J$2:$J$151,MATCH(INDEX(FTE_Allocation!$A$2:$A$201,$AB168),Workforce!$A$2:$A$151,0))="",2958101,INDEX(Workforce!$J$2:$J$151,MATCH(INDEX(FTE_Allocation!$A$2:$A$201,$AB168),Workforce!$A$2:$A$151,0))),IF(INDEX(FTE_Allocation!$J$2:$J$201,$AB168)="",2958101,INDEX(FTE_Allocation!$J$2:$J$201,$AB168))),"")))</f>
        <v/>
      </c>
      <c r="AG168" s="19">
        <f>IF($Z168="C",IF(INDEX(Contracts!$I$2:$I$151,$AB168)="PREPAID",INDEX(Contracts!$M$2:$M$151,$AB168)/IF(INDEX(Contracts!$N$2:$N$151,$AB168)="",12,INDEX(Contracts!$N$2:$N$151,$AB168)),IF(INDEX(Contracts!$I$2:$I$151,$AB168)="MONTHLY",INDEX(Contracts!$M$2:$M$151,$AB168),0))*(1-N(INDEX(Contracts!$O$2:$O$151,$AB168))),IF($Z168="A",INDEX(Fixed_Assets!$H$2:$H$201,$AB168)/INDEX(Fixed_Assets!$J$2:$J$201,$AB168),IF($Z168="F",INDEX(Workforce!$F$2:$F$151,MATCH(INDEX(FTE_Allocation!$A$2:$A$201,$AB168),Workforce!$A$2:$A$151,0))*N(INDEX(FTE_Allocation!$F$2:$H$201,$AB168,$AC168)),"")))</f>
        <v/>
      </c>
    </row>
    <row r="169">
      <c r="A169" s="7">
        <f>IF($Z169="","",$AD169)</f>
        <v/>
      </c>
      <c r="B169" s="7">
        <f>IF($Z169="C",INDEX(Contracts!$D$2:$D$151,$AB169)&amp;"",IF($Z169="A",INDEX(Fixed_Assets!$C$2:$C$201,$AB169)&amp;"",IF($Z169="F",INDEX(Workforce!$B$2:$B$151,MATCH(INDEX(FTE_Allocation!$A$2:$A$201,$AB169),Workforce!$A$2:$A$151,0))&amp;"","")))</f>
        <v/>
      </c>
      <c r="C169" s="7">
        <f>IF($Z169="C",INDEX(Contracts!$E$2:$E$151,$AB169)&amp;"",IF($Z169="A",INDEX(Fixed_Assets!$D$2:$D$201,$AB169)&amp;"",IF($Z169="F",INDEX(FTE_Allocation!$C$2:$C$201,$AB169)&amp;"","")))</f>
        <v/>
      </c>
      <c r="D169" s="7">
        <f>IF($Z169="C",INDEX(Contracts!$B$2:$B$151,$AB169)&amp;"",IF($Z169="A",INDEX(Fixed_Assets!$B$2:$B$201,$AB169)&amp;"",IF($Z169="F",INDEX(FTE_Allocation!$B$2:$B$201,$AB169)&amp;"","")))</f>
        <v/>
      </c>
      <c r="E169" s="7">
        <f>IF($Z169="C",INDEX(Contracts!$P$2:$P$151,$AB169)&amp;"",IF($Z169="A",INDEX(Fixed_Assets!$K$2:$K$201,$AB169)&amp;"",IF($Z169="F",IF(INDEX(FTE_Allocation!$D$2:$D$201,$AB169)="PROJECT",IFERROR(INDEX(Projects!$D:$D,MATCH(INDEX(FTE_Allocation!$E$2:$E$201,$AB169),Projects!$A:$A,0))&amp;"","#PROJECT?"),INDEX(FTE_Allocation!$E$2:$E$201,$AB169)&amp;""),"")))</f>
        <v/>
      </c>
      <c r="F169" s="7">
        <f>IF($Z169="C",INDEX(Contracts!$Q$2:$Q$151,$AB169)&amp;"",IF($Z169="A",INDEX(Fixed_Assets!$L$2:$L$201,$AB169)&amp;"",IF($Z169="F",INDEX(Workforce!$K$2:$K$151,MATCH(INDEX(FTE_Allocation!$A$2:$A$201,$AB169),Workforce!$A$2:$A$151,0))&amp;"","")))</f>
        <v/>
      </c>
      <c r="G169" s="7">
        <f>IF($Z169="C",INDEX(Contracts!$F$2:$F$151,$AB169)&amp;" / "&amp;INDEX(Contracts!$G$2:$G$151,$AB169),IF($Z169="A",INDEX(Fixed_Assets!$E$2:$E$201,$AB169)&amp;"",IF($Z169="F","Personnel "&amp;INDEX(FTE_Allocation!$A$2:$A$201,$AB169)&amp;IF(INDEX(FTE_Allocation!$D$2:$D$201,$AB169)="PROJECT"," ("&amp;INDEX(FTE_Allocation!$E$2:$E$201,$AB169)&amp;")",""),"")))</f>
        <v/>
      </c>
      <c r="H169" s="7">
        <f>IF($Z169="C","CONTRACT",IF($Z169="A","ASSET",IF($Z169="F","WORKFORCE","")))</f>
        <v/>
      </c>
      <c r="I169" s="7">
        <f>IF($Z169="C",INDEX(Contracts!$L$2:$L$151,$AB169)&amp;"",IF($Z169="A",INDEX(Fixed_Assets!$I$2:$I$201,$AB169)&amp;"",IF($Z169="F",INDEX(Workforce!$G$2:$G$151,MATCH(INDEX(FTE_Allocation!$A$2:$A$201,$AB169),Workforce!$A$2:$A$151,0))&amp;"","")))</f>
        <v/>
      </c>
      <c r="J169" s="18">
        <f>IF($Z169="","",IF(AND(DATE($AD169,1,1)&gt;=$AE169,DATE($AD169,1,1)&lt;=$AF169),ROUND($AG169,2),0))</f>
        <v/>
      </c>
      <c r="K169" s="18">
        <f>IF($Z169="","",IF(AND(DATE($AD169,2,1)&gt;=$AE169,DATE($AD169,2,1)&lt;=$AF169),ROUND($AG169,2),0))</f>
        <v/>
      </c>
      <c r="L169" s="18">
        <f>IF($Z169="","",IF(AND(DATE($AD169,3,1)&gt;=$AE169,DATE($AD169,3,1)&lt;=$AF169),ROUND($AG169,2),0))</f>
        <v/>
      </c>
      <c r="M169" s="18">
        <f>IF($Z169="","",IF(AND(DATE($AD169,4,1)&gt;=$AE169,DATE($AD169,4,1)&lt;=$AF169),ROUND($AG169,2),0))</f>
        <v/>
      </c>
      <c r="N169" s="18">
        <f>IF($Z169="","",IF(AND(DATE($AD169,5,1)&gt;=$AE169,DATE($AD169,5,1)&lt;=$AF169),ROUND($AG169,2),0))</f>
        <v/>
      </c>
      <c r="O169" s="18">
        <f>IF($Z169="","",IF(AND(DATE($AD169,6,1)&gt;=$AE169,DATE($AD169,6,1)&lt;=$AF169),ROUND($AG169,2),0))</f>
        <v/>
      </c>
      <c r="P169" s="18">
        <f>IF($Z169="","",IF(AND(DATE($AD169,7,1)&gt;=$AE169,DATE($AD169,7,1)&lt;=$AF169),ROUND($AG169,2),0))</f>
        <v/>
      </c>
      <c r="Q169" s="18">
        <f>IF($Z169="","",IF(AND(DATE($AD169,8,1)&gt;=$AE169,DATE($AD169,8,1)&lt;=$AF169),ROUND($AG169,2),0))</f>
        <v/>
      </c>
      <c r="R169" s="18">
        <f>IF($Z169="","",IF(AND(DATE($AD169,9,1)&gt;=$AE169,DATE($AD169,9,1)&lt;=$AF169),ROUND($AG169,2),0))</f>
        <v/>
      </c>
      <c r="S169" s="18">
        <f>IF($Z169="","",IF(AND(DATE($AD169,10,1)&gt;=$AE169,DATE($AD169,10,1)&lt;=$AF169),ROUND($AG169,2),0))</f>
        <v/>
      </c>
      <c r="T169" s="18">
        <f>IF($Z169="","",IF(AND(DATE($AD169,11,1)&gt;=$AE169,DATE($AD169,11,1)&lt;=$AF169),ROUND($AG169,2),0))</f>
        <v/>
      </c>
      <c r="U169" s="18">
        <f>IF($Z169="","",IF(AND(DATE($AD169,12,1)&gt;=$AE169,DATE($AD169,12,1)&lt;=$AF169),ROUND($AG169,2),0))</f>
        <v/>
      </c>
      <c r="V169" s="7">
        <f>IF($Z169="C","Generated from "&amp;INDEX(Contracts!$A$2:$A$151,$AB169),IF($Z169="A","Generated from "&amp;INDEX(Fixed_Assets!$A$2:$A$201,$AB169),IF($Z169="F","Generated from "&amp;INDEX(FTE_Allocation!$A$2:$A$201,$AB169),"")))</f>
        <v/>
      </c>
      <c r="X169" s="19">
        <f>IF($Z169="","",SUM(J169:U169))</f>
        <v/>
      </c>
      <c r="Y169" s="20">
        <f>ROW()-1</f>
        <v/>
      </c>
      <c r="Z169" s="20">
        <f>IF($Y169&lt;=Settings!$B$4*3,"C",IF($Y169&lt;=(Settings!$B$4+Settings!$B$5)*3,"A",IF($Y169&lt;=(Settings!$B$4+Settings!$B$5+Settings!$B$6)*3,"F","")))</f>
        <v/>
      </c>
      <c r="AA169" s="20">
        <f>IF($Z169="C",$Y169,IF($Z169="A",$Y169-Settings!$B$4*3,IF($Z169="F",$Y169-(Settings!$B$4+Settings!$B$5)*3,"")))</f>
        <v/>
      </c>
      <c r="AB169" s="20">
        <f>IF($Z169="","",INT(($AA169-1)/3)+1)</f>
        <v/>
      </c>
      <c r="AC169" s="20">
        <f>IF($Z169="","",MOD($AA169-1,3)+1)</f>
        <v/>
      </c>
      <c r="AD169" s="20">
        <f>IF($Z169="","",Settings!$B$2+$AC169-1)</f>
        <v/>
      </c>
      <c r="AE169" s="21">
        <f>IF($Z169="C",DATE(YEAR(INDEX(Contracts!$J$2:$J$151,$AB169)),MONTH(INDEX(Contracts!$J$2:$J$151,$AB169)),1),IF($Z169="A",DATE(YEAR(INDEX(Fixed_Assets!$G$2:$G$201,$AB169)),MONTH(INDEX(Fixed_Assets!$G$2:$G$201,$AB169)),1),IF($Z169="F",DATE(YEAR(MAX(N(INDEX(Workforce!$I$2:$I$151,MATCH(INDEX(FTE_Allocation!$A$2:$A$201,$AB169),Workforce!$A$2:$A$151,0))),N(INDEX(FTE_Allocation!$I$2:$I$201,$AB169)))),MONTH(MAX(N(INDEX(Workforce!$I$2:$I$151,MATCH(INDEX(FTE_Allocation!$A$2:$A$201,$AB169),Workforce!$A$2:$A$151,0))),N(INDEX(FTE_Allocation!$I$2:$I$201,$AB169)))),1),"")))</f>
        <v/>
      </c>
      <c r="AF169" s="21">
        <f>IF($Z169="C",IF(INDEX(Contracts!$I$2:$I$151,$AB169)="PREPAID",EDATE(DATE(YEAR(INDEX(Contracts!$J$2:$J$151,$AB169)),MONTH(INDEX(Contracts!$J$2:$J$151,$AB169)),1),IF(INDEX(Contracts!$N$2:$N$151,$AB169)="",12,INDEX(Contracts!$N$2:$N$151,$AB169))-1),IF(INDEX(Contracts!$I$2:$I$151,$AB169)="MONTHLY",IF(INDEX(Contracts!$K$2:$K$151,$AB169)="",2958101,INDEX(Contracts!$K$2:$K$151,$AB169)),0)),IF($Z169="A",EDATE(DATE(YEAR(INDEX(Fixed_Assets!$G$2:$G$201,$AB169)),MONTH(INDEX(Fixed_Assets!$G$2:$G$201,$AB169)),1),INDEX(Fixed_Assets!$J$2:$J$201,$AB169)-1),IF($Z169="F",MIN(IF(INDEX(Workforce!$J$2:$J$151,MATCH(INDEX(FTE_Allocation!$A$2:$A$201,$AB169),Workforce!$A$2:$A$151,0))="",2958101,INDEX(Workforce!$J$2:$J$151,MATCH(INDEX(FTE_Allocation!$A$2:$A$201,$AB169),Workforce!$A$2:$A$151,0))),IF(INDEX(FTE_Allocation!$J$2:$J$201,$AB169)="",2958101,INDEX(FTE_Allocation!$J$2:$J$201,$AB169))),"")))</f>
        <v/>
      </c>
      <c r="AG169" s="19">
        <f>IF($Z169="C",IF(INDEX(Contracts!$I$2:$I$151,$AB169)="PREPAID",INDEX(Contracts!$M$2:$M$151,$AB169)/IF(INDEX(Contracts!$N$2:$N$151,$AB169)="",12,INDEX(Contracts!$N$2:$N$151,$AB169)),IF(INDEX(Contracts!$I$2:$I$151,$AB169)="MONTHLY",INDEX(Contracts!$M$2:$M$151,$AB169),0))*(1-N(INDEX(Contracts!$O$2:$O$151,$AB169))),IF($Z169="A",INDEX(Fixed_Assets!$H$2:$H$201,$AB169)/INDEX(Fixed_Assets!$J$2:$J$201,$AB169),IF($Z169="F",INDEX(Workforce!$F$2:$F$151,MATCH(INDEX(FTE_Allocation!$A$2:$A$201,$AB169),Workforce!$A$2:$A$151,0))*N(INDEX(FTE_Allocation!$F$2:$H$201,$AB169,$AC169)),"")))</f>
        <v/>
      </c>
    </row>
    <row r="170">
      <c r="A170" s="7">
        <f>IF($Z170="","",$AD170)</f>
        <v/>
      </c>
      <c r="B170" s="7">
        <f>IF($Z170="C",INDEX(Contracts!$D$2:$D$151,$AB170)&amp;"",IF($Z170="A",INDEX(Fixed_Assets!$C$2:$C$201,$AB170)&amp;"",IF($Z170="F",INDEX(Workforce!$B$2:$B$151,MATCH(INDEX(FTE_Allocation!$A$2:$A$201,$AB170),Workforce!$A$2:$A$151,0))&amp;"","")))</f>
        <v/>
      </c>
      <c r="C170" s="7">
        <f>IF($Z170="C",INDEX(Contracts!$E$2:$E$151,$AB170)&amp;"",IF($Z170="A",INDEX(Fixed_Assets!$D$2:$D$201,$AB170)&amp;"",IF($Z170="F",INDEX(FTE_Allocation!$C$2:$C$201,$AB170)&amp;"","")))</f>
        <v/>
      </c>
      <c r="D170" s="7">
        <f>IF($Z170="C",INDEX(Contracts!$B$2:$B$151,$AB170)&amp;"",IF($Z170="A",INDEX(Fixed_Assets!$B$2:$B$201,$AB170)&amp;"",IF($Z170="F",INDEX(FTE_Allocation!$B$2:$B$201,$AB170)&amp;"","")))</f>
        <v/>
      </c>
      <c r="E170" s="7">
        <f>IF($Z170="C",INDEX(Contracts!$P$2:$P$151,$AB170)&amp;"",IF($Z170="A",INDEX(Fixed_Assets!$K$2:$K$201,$AB170)&amp;"",IF($Z170="F",IF(INDEX(FTE_Allocation!$D$2:$D$201,$AB170)="PROJECT",IFERROR(INDEX(Projects!$D:$D,MATCH(INDEX(FTE_Allocation!$E$2:$E$201,$AB170),Projects!$A:$A,0))&amp;"","#PROJECT?"),INDEX(FTE_Allocation!$E$2:$E$201,$AB170)&amp;""),"")))</f>
        <v/>
      </c>
      <c r="F170" s="7">
        <f>IF($Z170="C",INDEX(Contracts!$Q$2:$Q$151,$AB170)&amp;"",IF($Z170="A",INDEX(Fixed_Assets!$L$2:$L$201,$AB170)&amp;"",IF($Z170="F",INDEX(Workforce!$K$2:$K$151,MATCH(INDEX(FTE_Allocation!$A$2:$A$201,$AB170),Workforce!$A$2:$A$151,0))&amp;"","")))</f>
        <v/>
      </c>
      <c r="G170" s="7">
        <f>IF($Z170="C",INDEX(Contracts!$F$2:$F$151,$AB170)&amp;" / "&amp;INDEX(Contracts!$G$2:$G$151,$AB170),IF($Z170="A",INDEX(Fixed_Assets!$E$2:$E$201,$AB170)&amp;"",IF($Z170="F","Personnel "&amp;INDEX(FTE_Allocation!$A$2:$A$201,$AB170)&amp;IF(INDEX(FTE_Allocation!$D$2:$D$201,$AB170)="PROJECT"," ("&amp;INDEX(FTE_Allocation!$E$2:$E$201,$AB170)&amp;")",""),"")))</f>
        <v/>
      </c>
      <c r="H170" s="7">
        <f>IF($Z170="C","CONTRACT",IF($Z170="A","ASSET",IF($Z170="F","WORKFORCE","")))</f>
        <v/>
      </c>
      <c r="I170" s="7">
        <f>IF($Z170="C",INDEX(Contracts!$L$2:$L$151,$AB170)&amp;"",IF($Z170="A",INDEX(Fixed_Assets!$I$2:$I$201,$AB170)&amp;"",IF($Z170="F",INDEX(Workforce!$G$2:$G$151,MATCH(INDEX(FTE_Allocation!$A$2:$A$201,$AB170),Workforce!$A$2:$A$151,0))&amp;"","")))</f>
        <v/>
      </c>
      <c r="J170" s="18">
        <f>IF($Z170="","",IF(AND(DATE($AD170,1,1)&gt;=$AE170,DATE($AD170,1,1)&lt;=$AF170),ROUND($AG170,2),0))</f>
        <v/>
      </c>
      <c r="K170" s="18">
        <f>IF($Z170="","",IF(AND(DATE($AD170,2,1)&gt;=$AE170,DATE($AD170,2,1)&lt;=$AF170),ROUND($AG170,2),0))</f>
        <v/>
      </c>
      <c r="L170" s="18">
        <f>IF($Z170="","",IF(AND(DATE($AD170,3,1)&gt;=$AE170,DATE($AD170,3,1)&lt;=$AF170),ROUND($AG170,2),0))</f>
        <v/>
      </c>
      <c r="M170" s="18">
        <f>IF($Z170="","",IF(AND(DATE($AD170,4,1)&gt;=$AE170,DATE($AD170,4,1)&lt;=$AF170),ROUND($AG170,2),0))</f>
        <v/>
      </c>
      <c r="N170" s="18">
        <f>IF($Z170="","",IF(AND(DATE($AD170,5,1)&gt;=$AE170,DATE($AD170,5,1)&lt;=$AF170),ROUND($AG170,2),0))</f>
        <v/>
      </c>
      <c r="O170" s="18">
        <f>IF($Z170="","",IF(AND(DATE($AD170,6,1)&gt;=$AE170,DATE($AD170,6,1)&lt;=$AF170),ROUND($AG170,2),0))</f>
        <v/>
      </c>
      <c r="P170" s="18">
        <f>IF($Z170="","",IF(AND(DATE($AD170,7,1)&gt;=$AE170,DATE($AD170,7,1)&lt;=$AF170),ROUND($AG170,2),0))</f>
        <v/>
      </c>
      <c r="Q170" s="18">
        <f>IF($Z170="","",IF(AND(DATE($AD170,8,1)&gt;=$AE170,DATE($AD170,8,1)&lt;=$AF170),ROUND($AG170,2),0))</f>
        <v/>
      </c>
      <c r="R170" s="18">
        <f>IF($Z170="","",IF(AND(DATE($AD170,9,1)&gt;=$AE170,DATE($AD170,9,1)&lt;=$AF170),ROUND($AG170,2),0))</f>
        <v/>
      </c>
      <c r="S170" s="18">
        <f>IF($Z170="","",IF(AND(DATE($AD170,10,1)&gt;=$AE170,DATE($AD170,10,1)&lt;=$AF170),ROUND($AG170,2),0))</f>
        <v/>
      </c>
      <c r="T170" s="18">
        <f>IF($Z170="","",IF(AND(DATE($AD170,11,1)&gt;=$AE170,DATE($AD170,11,1)&lt;=$AF170),ROUND($AG170,2),0))</f>
        <v/>
      </c>
      <c r="U170" s="18">
        <f>IF($Z170="","",IF(AND(DATE($AD170,12,1)&gt;=$AE170,DATE($AD170,12,1)&lt;=$AF170),ROUND($AG170,2),0))</f>
        <v/>
      </c>
      <c r="V170" s="7">
        <f>IF($Z170="C","Generated from "&amp;INDEX(Contracts!$A$2:$A$151,$AB170),IF($Z170="A","Generated from "&amp;INDEX(Fixed_Assets!$A$2:$A$201,$AB170),IF($Z170="F","Generated from "&amp;INDEX(FTE_Allocation!$A$2:$A$201,$AB170),"")))</f>
        <v/>
      </c>
      <c r="X170" s="19">
        <f>IF($Z170="","",SUM(J170:U170))</f>
        <v/>
      </c>
      <c r="Y170" s="20">
        <f>ROW()-1</f>
        <v/>
      </c>
      <c r="Z170" s="20">
        <f>IF($Y170&lt;=Settings!$B$4*3,"C",IF($Y170&lt;=(Settings!$B$4+Settings!$B$5)*3,"A",IF($Y170&lt;=(Settings!$B$4+Settings!$B$5+Settings!$B$6)*3,"F","")))</f>
        <v/>
      </c>
      <c r="AA170" s="20">
        <f>IF($Z170="C",$Y170,IF($Z170="A",$Y170-Settings!$B$4*3,IF($Z170="F",$Y170-(Settings!$B$4+Settings!$B$5)*3,"")))</f>
        <v/>
      </c>
      <c r="AB170" s="20">
        <f>IF($Z170="","",INT(($AA170-1)/3)+1)</f>
        <v/>
      </c>
      <c r="AC170" s="20">
        <f>IF($Z170="","",MOD($AA170-1,3)+1)</f>
        <v/>
      </c>
      <c r="AD170" s="20">
        <f>IF($Z170="","",Settings!$B$2+$AC170-1)</f>
        <v/>
      </c>
      <c r="AE170" s="21">
        <f>IF($Z170="C",DATE(YEAR(INDEX(Contracts!$J$2:$J$151,$AB170)),MONTH(INDEX(Contracts!$J$2:$J$151,$AB170)),1),IF($Z170="A",DATE(YEAR(INDEX(Fixed_Assets!$G$2:$G$201,$AB170)),MONTH(INDEX(Fixed_Assets!$G$2:$G$201,$AB170)),1),IF($Z170="F",DATE(YEAR(MAX(N(INDEX(Workforce!$I$2:$I$151,MATCH(INDEX(FTE_Allocation!$A$2:$A$201,$AB170),Workforce!$A$2:$A$151,0))),N(INDEX(FTE_Allocation!$I$2:$I$201,$AB170)))),MONTH(MAX(N(INDEX(Workforce!$I$2:$I$151,MATCH(INDEX(FTE_Allocation!$A$2:$A$201,$AB170),Workforce!$A$2:$A$151,0))),N(INDEX(FTE_Allocation!$I$2:$I$201,$AB170)))),1),"")))</f>
        <v/>
      </c>
      <c r="AF170" s="21">
        <f>IF($Z170="C",IF(INDEX(Contracts!$I$2:$I$151,$AB170)="PREPAID",EDATE(DATE(YEAR(INDEX(Contracts!$J$2:$J$151,$AB170)),MONTH(INDEX(Contracts!$J$2:$J$151,$AB170)),1),IF(INDEX(Contracts!$N$2:$N$151,$AB170)="",12,INDEX(Contracts!$N$2:$N$151,$AB170))-1),IF(INDEX(Contracts!$I$2:$I$151,$AB170)="MONTHLY",IF(INDEX(Contracts!$K$2:$K$151,$AB170)="",2958101,INDEX(Contracts!$K$2:$K$151,$AB170)),0)),IF($Z170="A",EDATE(DATE(YEAR(INDEX(Fixed_Assets!$G$2:$G$201,$AB170)),MONTH(INDEX(Fixed_Assets!$G$2:$G$201,$AB170)),1),INDEX(Fixed_Assets!$J$2:$J$201,$AB170)-1),IF($Z170="F",MIN(IF(INDEX(Workforce!$J$2:$J$151,MATCH(INDEX(FTE_Allocation!$A$2:$A$201,$AB170),Workforce!$A$2:$A$151,0))="",2958101,INDEX(Workforce!$J$2:$J$151,MATCH(INDEX(FTE_Allocation!$A$2:$A$201,$AB170),Workforce!$A$2:$A$151,0))),IF(INDEX(FTE_Allocation!$J$2:$J$201,$AB170)="",2958101,INDEX(FTE_Allocation!$J$2:$J$201,$AB170))),"")))</f>
        <v/>
      </c>
      <c r="AG170" s="19">
        <f>IF($Z170="C",IF(INDEX(Contracts!$I$2:$I$151,$AB170)="PREPAID",INDEX(Contracts!$M$2:$M$151,$AB170)/IF(INDEX(Contracts!$N$2:$N$151,$AB170)="",12,INDEX(Contracts!$N$2:$N$151,$AB170)),IF(INDEX(Contracts!$I$2:$I$151,$AB170)="MONTHLY",INDEX(Contracts!$M$2:$M$151,$AB170),0))*(1-N(INDEX(Contracts!$O$2:$O$151,$AB170))),IF($Z170="A",INDEX(Fixed_Assets!$H$2:$H$201,$AB170)/INDEX(Fixed_Assets!$J$2:$J$201,$AB170),IF($Z170="F",INDEX(Workforce!$F$2:$F$151,MATCH(INDEX(FTE_Allocation!$A$2:$A$201,$AB170),Workforce!$A$2:$A$151,0))*N(INDEX(FTE_Allocation!$F$2:$H$201,$AB170,$AC170)),"")))</f>
        <v/>
      </c>
    </row>
    <row r="171">
      <c r="A171" s="7">
        <f>IF($Z171="","",$AD171)</f>
        <v/>
      </c>
      <c r="B171" s="7">
        <f>IF($Z171="C",INDEX(Contracts!$D$2:$D$151,$AB171)&amp;"",IF($Z171="A",INDEX(Fixed_Assets!$C$2:$C$201,$AB171)&amp;"",IF($Z171="F",INDEX(Workforce!$B$2:$B$151,MATCH(INDEX(FTE_Allocation!$A$2:$A$201,$AB171),Workforce!$A$2:$A$151,0))&amp;"","")))</f>
        <v/>
      </c>
      <c r="C171" s="7">
        <f>IF($Z171="C",INDEX(Contracts!$E$2:$E$151,$AB171)&amp;"",IF($Z171="A",INDEX(Fixed_Assets!$D$2:$D$201,$AB171)&amp;"",IF($Z171="F",INDEX(FTE_Allocation!$C$2:$C$201,$AB171)&amp;"","")))</f>
        <v/>
      </c>
      <c r="D171" s="7">
        <f>IF($Z171="C",INDEX(Contracts!$B$2:$B$151,$AB171)&amp;"",IF($Z171="A",INDEX(Fixed_Assets!$B$2:$B$201,$AB171)&amp;"",IF($Z171="F",INDEX(FTE_Allocation!$B$2:$B$201,$AB171)&amp;"","")))</f>
        <v/>
      </c>
      <c r="E171" s="7">
        <f>IF($Z171="C",INDEX(Contracts!$P$2:$P$151,$AB171)&amp;"",IF($Z171="A",INDEX(Fixed_Assets!$K$2:$K$201,$AB171)&amp;"",IF($Z171="F",IF(INDEX(FTE_Allocation!$D$2:$D$201,$AB171)="PROJECT",IFERROR(INDEX(Projects!$D:$D,MATCH(INDEX(FTE_Allocation!$E$2:$E$201,$AB171),Projects!$A:$A,0))&amp;"","#PROJECT?"),INDEX(FTE_Allocation!$E$2:$E$201,$AB171)&amp;""),"")))</f>
        <v/>
      </c>
      <c r="F171" s="7">
        <f>IF($Z171="C",INDEX(Contracts!$Q$2:$Q$151,$AB171)&amp;"",IF($Z171="A",INDEX(Fixed_Assets!$L$2:$L$201,$AB171)&amp;"",IF($Z171="F",INDEX(Workforce!$K$2:$K$151,MATCH(INDEX(FTE_Allocation!$A$2:$A$201,$AB171),Workforce!$A$2:$A$151,0))&amp;"","")))</f>
        <v/>
      </c>
      <c r="G171" s="7">
        <f>IF($Z171="C",INDEX(Contracts!$F$2:$F$151,$AB171)&amp;" / "&amp;INDEX(Contracts!$G$2:$G$151,$AB171),IF($Z171="A",INDEX(Fixed_Assets!$E$2:$E$201,$AB171)&amp;"",IF($Z171="F","Personnel "&amp;INDEX(FTE_Allocation!$A$2:$A$201,$AB171)&amp;IF(INDEX(FTE_Allocation!$D$2:$D$201,$AB171)="PROJECT"," ("&amp;INDEX(FTE_Allocation!$E$2:$E$201,$AB171)&amp;")",""),"")))</f>
        <v/>
      </c>
      <c r="H171" s="7">
        <f>IF($Z171="C","CONTRACT",IF($Z171="A","ASSET",IF($Z171="F","WORKFORCE","")))</f>
        <v/>
      </c>
      <c r="I171" s="7">
        <f>IF($Z171="C",INDEX(Contracts!$L$2:$L$151,$AB171)&amp;"",IF($Z171="A",INDEX(Fixed_Assets!$I$2:$I$201,$AB171)&amp;"",IF($Z171="F",INDEX(Workforce!$G$2:$G$151,MATCH(INDEX(FTE_Allocation!$A$2:$A$201,$AB171),Workforce!$A$2:$A$151,0))&amp;"","")))</f>
        <v/>
      </c>
      <c r="J171" s="18">
        <f>IF($Z171="","",IF(AND(DATE($AD171,1,1)&gt;=$AE171,DATE($AD171,1,1)&lt;=$AF171),ROUND($AG171,2),0))</f>
        <v/>
      </c>
      <c r="K171" s="18">
        <f>IF($Z171="","",IF(AND(DATE($AD171,2,1)&gt;=$AE171,DATE($AD171,2,1)&lt;=$AF171),ROUND($AG171,2),0))</f>
        <v/>
      </c>
      <c r="L171" s="18">
        <f>IF($Z171="","",IF(AND(DATE($AD171,3,1)&gt;=$AE171,DATE($AD171,3,1)&lt;=$AF171),ROUND($AG171,2),0))</f>
        <v/>
      </c>
      <c r="M171" s="18">
        <f>IF($Z171="","",IF(AND(DATE($AD171,4,1)&gt;=$AE171,DATE($AD171,4,1)&lt;=$AF171),ROUND($AG171,2),0))</f>
        <v/>
      </c>
      <c r="N171" s="18">
        <f>IF($Z171="","",IF(AND(DATE($AD171,5,1)&gt;=$AE171,DATE($AD171,5,1)&lt;=$AF171),ROUND($AG171,2),0))</f>
        <v/>
      </c>
      <c r="O171" s="18">
        <f>IF($Z171="","",IF(AND(DATE($AD171,6,1)&gt;=$AE171,DATE($AD171,6,1)&lt;=$AF171),ROUND($AG171,2),0))</f>
        <v/>
      </c>
      <c r="P171" s="18">
        <f>IF($Z171="","",IF(AND(DATE($AD171,7,1)&gt;=$AE171,DATE($AD171,7,1)&lt;=$AF171),ROUND($AG171,2),0))</f>
        <v/>
      </c>
      <c r="Q171" s="18">
        <f>IF($Z171="","",IF(AND(DATE($AD171,8,1)&gt;=$AE171,DATE($AD171,8,1)&lt;=$AF171),ROUND($AG171,2),0))</f>
        <v/>
      </c>
      <c r="R171" s="18">
        <f>IF($Z171="","",IF(AND(DATE($AD171,9,1)&gt;=$AE171,DATE($AD171,9,1)&lt;=$AF171),ROUND($AG171,2),0))</f>
        <v/>
      </c>
      <c r="S171" s="18">
        <f>IF($Z171="","",IF(AND(DATE($AD171,10,1)&gt;=$AE171,DATE($AD171,10,1)&lt;=$AF171),ROUND($AG171,2),0))</f>
        <v/>
      </c>
      <c r="T171" s="18">
        <f>IF($Z171="","",IF(AND(DATE($AD171,11,1)&gt;=$AE171,DATE($AD171,11,1)&lt;=$AF171),ROUND($AG171,2),0))</f>
        <v/>
      </c>
      <c r="U171" s="18">
        <f>IF($Z171="","",IF(AND(DATE($AD171,12,1)&gt;=$AE171,DATE($AD171,12,1)&lt;=$AF171),ROUND($AG171,2),0))</f>
        <v/>
      </c>
      <c r="V171" s="7">
        <f>IF($Z171="C","Generated from "&amp;INDEX(Contracts!$A$2:$A$151,$AB171),IF($Z171="A","Generated from "&amp;INDEX(Fixed_Assets!$A$2:$A$201,$AB171),IF($Z171="F","Generated from "&amp;INDEX(FTE_Allocation!$A$2:$A$201,$AB171),"")))</f>
        <v/>
      </c>
      <c r="X171" s="19">
        <f>IF($Z171="","",SUM(J171:U171))</f>
        <v/>
      </c>
      <c r="Y171" s="20">
        <f>ROW()-1</f>
        <v/>
      </c>
      <c r="Z171" s="20">
        <f>IF($Y171&lt;=Settings!$B$4*3,"C",IF($Y171&lt;=(Settings!$B$4+Settings!$B$5)*3,"A",IF($Y171&lt;=(Settings!$B$4+Settings!$B$5+Settings!$B$6)*3,"F","")))</f>
        <v/>
      </c>
      <c r="AA171" s="20">
        <f>IF($Z171="C",$Y171,IF($Z171="A",$Y171-Settings!$B$4*3,IF($Z171="F",$Y171-(Settings!$B$4+Settings!$B$5)*3,"")))</f>
        <v/>
      </c>
      <c r="AB171" s="20">
        <f>IF($Z171="","",INT(($AA171-1)/3)+1)</f>
        <v/>
      </c>
      <c r="AC171" s="20">
        <f>IF($Z171="","",MOD($AA171-1,3)+1)</f>
        <v/>
      </c>
      <c r="AD171" s="20">
        <f>IF($Z171="","",Settings!$B$2+$AC171-1)</f>
        <v/>
      </c>
      <c r="AE171" s="21">
        <f>IF($Z171="C",DATE(YEAR(INDEX(Contracts!$J$2:$J$151,$AB171)),MONTH(INDEX(Contracts!$J$2:$J$151,$AB171)),1),IF($Z171="A",DATE(YEAR(INDEX(Fixed_Assets!$G$2:$G$201,$AB171)),MONTH(INDEX(Fixed_Assets!$G$2:$G$201,$AB171)),1),IF($Z171="F",DATE(YEAR(MAX(N(INDEX(Workforce!$I$2:$I$151,MATCH(INDEX(FTE_Allocation!$A$2:$A$201,$AB171),Workforce!$A$2:$A$151,0))),N(INDEX(FTE_Allocation!$I$2:$I$201,$AB171)))),MONTH(MAX(N(INDEX(Workforce!$I$2:$I$151,MATCH(INDEX(FTE_Allocation!$A$2:$A$201,$AB171),Workforce!$A$2:$A$151,0))),N(INDEX(FTE_Allocation!$I$2:$I$201,$AB171)))),1),"")))</f>
        <v/>
      </c>
      <c r="AF171" s="21">
        <f>IF($Z171="C",IF(INDEX(Contracts!$I$2:$I$151,$AB171)="PREPAID",EDATE(DATE(YEAR(INDEX(Contracts!$J$2:$J$151,$AB171)),MONTH(INDEX(Contracts!$J$2:$J$151,$AB171)),1),IF(INDEX(Contracts!$N$2:$N$151,$AB171)="",12,INDEX(Contracts!$N$2:$N$151,$AB171))-1),IF(INDEX(Contracts!$I$2:$I$151,$AB171)="MONTHLY",IF(INDEX(Contracts!$K$2:$K$151,$AB171)="",2958101,INDEX(Contracts!$K$2:$K$151,$AB171)),0)),IF($Z171="A",EDATE(DATE(YEAR(INDEX(Fixed_Assets!$G$2:$G$201,$AB171)),MONTH(INDEX(Fixed_Assets!$G$2:$G$201,$AB171)),1),INDEX(Fixed_Assets!$J$2:$J$201,$AB171)-1),IF($Z171="F",MIN(IF(INDEX(Workforce!$J$2:$J$151,MATCH(INDEX(FTE_Allocation!$A$2:$A$201,$AB171),Workforce!$A$2:$A$151,0))="",2958101,INDEX(Workforce!$J$2:$J$151,MATCH(INDEX(FTE_Allocation!$A$2:$A$201,$AB171),Workforce!$A$2:$A$151,0))),IF(INDEX(FTE_Allocation!$J$2:$J$201,$AB171)="",2958101,INDEX(FTE_Allocation!$J$2:$J$201,$AB171))),"")))</f>
        <v/>
      </c>
      <c r="AG171" s="19">
        <f>IF($Z171="C",IF(INDEX(Contracts!$I$2:$I$151,$AB171)="PREPAID",INDEX(Contracts!$M$2:$M$151,$AB171)/IF(INDEX(Contracts!$N$2:$N$151,$AB171)="",12,INDEX(Contracts!$N$2:$N$151,$AB171)),IF(INDEX(Contracts!$I$2:$I$151,$AB171)="MONTHLY",INDEX(Contracts!$M$2:$M$151,$AB171),0))*(1-N(INDEX(Contracts!$O$2:$O$151,$AB171))),IF($Z171="A",INDEX(Fixed_Assets!$H$2:$H$201,$AB171)/INDEX(Fixed_Assets!$J$2:$J$201,$AB171),IF($Z171="F",INDEX(Workforce!$F$2:$F$151,MATCH(INDEX(FTE_Allocation!$A$2:$A$201,$AB171),Workforce!$A$2:$A$151,0))*N(INDEX(FTE_Allocation!$F$2:$H$201,$AB171,$AC171)),"")))</f>
        <v/>
      </c>
    </row>
    <row r="172">
      <c r="A172" s="7">
        <f>IF($Z172="","",$AD172)</f>
        <v/>
      </c>
      <c r="B172" s="7">
        <f>IF($Z172="C",INDEX(Contracts!$D$2:$D$151,$AB172)&amp;"",IF($Z172="A",INDEX(Fixed_Assets!$C$2:$C$201,$AB172)&amp;"",IF($Z172="F",INDEX(Workforce!$B$2:$B$151,MATCH(INDEX(FTE_Allocation!$A$2:$A$201,$AB172),Workforce!$A$2:$A$151,0))&amp;"","")))</f>
        <v/>
      </c>
      <c r="C172" s="7">
        <f>IF($Z172="C",INDEX(Contracts!$E$2:$E$151,$AB172)&amp;"",IF($Z172="A",INDEX(Fixed_Assets!$D$2:$D$201,$AB172)&amp;"",IF($Z172="F",INDEX(FTE_Allocation!$C$2:$C$201,$AB172)&amp;"","")))</f>
        <v/>
      </c>
      <c r="D172" s="7">
        <f>IF($Z172="C",INDEX(Contracts!$B$2:$B$151,$AB172)&amp;"",IF($Z172="A",INDEX(Fixed_Assets!$B$2:$B$201,$AB172)&amp;"",IF($Z172="F",INDEX(FTE_Allocation!$B$2:$B$201,$AB172)&amp;"","")))</f>
        <v/>
      </c>
      <c r="E172" s="7">
        <f>IF($Z172="C",INDEX(Contracts!$P$2:$P$151,$AB172)&amp;"",IF($Z172="A",INDEX(Fixed_Assets!$K$2:$K$201,$AB172)&amp;"",IF($Z172="F",IF(INDEX(FTE_Allocation!$D$2:$D$201,$AB172)="PROJECT",IFERROR(INDEX(Projects!$D:$D,MATCH(INDEX(FTE_Allocation!$E$2:$E$201,$AB172),Projects!$A:$A,0))&amp;"","#PROJECT?"),INDEX(FTE_Allocation!$E$2:$E$201,$AB172)&amp;""),"")))</f>
        <v/>
      </c>
      <c r="F172" s="7">
        <f>IF($Z172="C",INDEX(Contracts!$Q$2:$Q$151,$AB172)&amp;"",IF($Z172="A",INDEX(Fixed_Assets!$L$2:$L$201,$AB172)&amp;"",IF($Z172="F",INDEX(Workforce!$K$2:$K$151,MATCH(INDEX(FTE_Allocation!$A$2:$A$201,$AB172),Workforce!$A$2:$A$151,0))&amp;"","")))</f>
        <v/>
      </c>
      <c r="G172" s="7">
        <f>IF($Z172="C",INDEX(Contracts!$F$2:$F$151,$AB172)&amp;" / "&amp;INDEX(Contracts!$G$2:$G$151,$AB172),IF($Z172="A",INDEX(Fixed_Assets!$E$2:$E$201,$AB172)&amp;"",IF($Z172="F","Personnel "&amp;INDEX(FTE_Allocation!$A$2:$A$201,$AB172)&amp;IF(INDEX(FTE_Allocation!$D$2:$D$201,$AB172)="PROJECT"," ("&amp;INDEX(FTE_Allocation!$E$2:$E$201,$AB172)&amp;")",""),"")))</f>
        <v/>
      </c>
      <c r="H172" s="7">
        <f>IF($Z172="C","CONTRACT",IF($Z172="A","ASSET",IF($Z172="F","WORKFORCE","")))</f>
        <v/>
      </c>
      <c r="I172" s="7">
        <f>IF($Z172="C",INDEX(Contracts!$L$2:$L$151,$AB172)&amp;"",IF($Z172="A",INDEX(Fixed_Assets!$I$2:$I$201,$AB172)&amp;"",IF($Z172="F",INDEX(Workforce!$G$2:$G$151,MATCH(INDEX(FTE_Allocation!$A$2:$A$201,$AB172),Workforce!$A$2:$A$151,0))&amp;"","")))</f>
        <v/>
      </c>
      <c r="J172" s="18">
        <f>IF($Z172="","",IF(AND(DATE($AD172,1,1)&gt;=$AE172,DATE($AD172,1,1)&lt;=$AF172),ROUND($AG172,2),0))</f>
        <v/>
      </c>
      <c r="K172" s="18">
        <f>IF($Z172="","",IF(AND(DATE($AD172,2,1)&gt;=$AE172,DATE($AD172,2,1)&lt;=$AF172),ROUND($AG172,2),0))</f>
        <v/>
      </c>
      <c r="L172" s="18">
        <f>IF($Z172="","",IF(AND(DATE($AD172,3,1)&gt;=$AE172,DATE($AD172,3,1)&lt;=$AF172),ROUND($AG172,2),0))</f>
        <v/>
      </c>
      <c r="M172" s="18">
        <f>IF($Z172="","",IF(AND(DATE($AD172,4,1)&gt;=$AE172,DATE($AD172,4,1)&lt;=$AF172),ROUND($AG172,2),0))</f>
        <v/>
      </c>
      <c r="N172" s="18">
        <f>IF($Z172="","",IF(AND(DATE($AD172,5,1)&gt;=$AE172,DATE($AD172,5,1)&lt;=$AF172),ROUND($AG172,2),0))</f>
        <v/>
      </c>
      <c r="O172" s="18">
        <f>IF($Z172="","",IF(AND(DATE($AD172,6,1)&gt;=$AE172,DATE($AD172,6,1)&lt;=$AF172),ROUND($AG172,2),0))</f>
        <v/>
      </c>
      <c r="P172" s="18">
        <f>IF($Z172="","",IF(AND(DATE($AD172,7,1)&gt;=$AE172,DATE($AD172,7,1)&lt;=$AF172),ROUND($AG172,2),0))</f>
        <v/>
      </c>
      <c r="Q172" s="18">
        <f>IF($Z172="","",IF(AND(DATE($AD172,8,1)&gt;=$AE172,DATE($AD172,8,1)&lt;=$AF172),ROUND($AG172,2),0))</f>
        <v/>
      </c>
      <c r="R172" s="18">
        <f>IF($Z172="","",IF(AND(DATE($AD172,9,1)&gt;=$AE172,DATE($AD172,9,1)&lt;=$AF172),ROUND($AG172,2),0))</f>
        <v/>
      </c>
      <c r="S172" s="18">
        <f>IF($Z172="","",IF(AND(DATE($AD172,10,1)&gt;=$AE172,DATE($AD172,10,1)&lt;=$AF172),ROUND($AG172,2),0))</f>
        <v/>
      </c>
      <c r="T172" s="18">
        <f>IF($Z172="","",IF(AND(DATE($AD172,11,1)&gt;=$AE172,DATE($AD172,11,1)&lt;=$AF172),ROUND($AG172,2),0))</f>
        <v/>
      </c>
      <c r="U172" s="18">
        <f>IF($Z172="","",IF(AND(DATE($AD172,12,1)&gt;=$AE172,DATE($AD172,12,1)&lt;=$AF172),ROUND($AG172,2),0))</f>
        <v/>
      </c>
      <c r="V172" s="7">
        <f>IF($Z172="C","Generated from "&amp;INDEX(Contracts!$A$2:$A$151,$AB172),IF($Z172="A","Generated from "&amp;INDEX(Fixed_Assets!$A$2:$A$201,$AB172),IF($Z172="F","Generated from "&amp;INDEX(FTE_Allocation!$A$2:$A$201,$AB172),"")))</f>
        <v/>
      </c>
      <c r="X172" s="19">
        <f>IF($Z172="","",SUM(J172:U172))</f>
        <v/>
      </c>
      <c r="Y172" s="20">
        <f>ROW()-1</f>
        <v/>
      </c>
      <c r="Z172" s="20">
        <f>IF($Y172&lt;=Settings!$B$4*3,"C",IF($Y172&lt;=(Settings!$B$4+Settings!$B$5)*3,"A",IF($Y172&lt;=(Settings!$B$4+Settings!$B$5+Settings!$B$6)*3,"F","")))</f>
        <v/>
      </c>
      <c r="AA172" s="20">
        <f>IF($Z172="C",$Y172,IF($Z172="A",$Y172-Settings!$B$4*3,IF($Z172="F",$Y172-(Settings!$B$4+Settings!$B$5)*3,"")))</f>
        <v/>
      </c>
      <c r="AB172" s="20">
        <f>IF($Z172="","",INT(($AA172-1)/3)+1)</f>
        <v/>
      </c>
      <c r="AC172" s="20">
        <f>IF($Z172="","",MOD($AA172-1,3)+1)</f>
        <v/>
      </c>
      <c r="AD172" s="20">
        <f>IF($Z172="","",Settings!$B$2+$AC172-1)</f>
        <v/>
      </c>
      <c r="AE172" s="21">
        <f>IF($Z172="C",DATE(YEAR(INDEX(Contracts!$J$2:$J$151,$AB172)),MONTH(INDEX(Contracts!$J$2:$J$151,$AB172)),1),IF($Z172="A",DATE(YEAR(INDEX(Fixed_Assets!$G$2:$G$201,$AB172)),MONTH(INDEX(Fixed_Assets!$G$2:$G$201,$AB172)),1),IF($Z172="F",DATE(YEAR(MAX(N(INDEX(Workforce!$I$2:$I$151,MATCH(INDEX(FTE_Allocation!$A$2:$A$201,$AB172),Workforce!$A$2:$A$151,0))),N(INDEX(FTE_Allocation!$I$2:$I$201,$AB172)))),MONTH(MAX(N(INDEX(Workforce!$I$2:$I$151,MATCH(INDEX(FTE_Allocation!$A$2:$A$201,$AB172),Workforce!$A$2:$A$151,0))),N(INDEX(FTE_Allocation!$I$2:$I$201,$AB172)))),1),"")))</f>
        <v/>
      </c>
      <c r="AF172" s="21">
        <f>IF($Z172="C",IF(INDEX(Contracts!$I$2:$I$151,$AB172)="PREPAID",EDATE(DATE(YEAR(INDEX(Contracts!$J$2:$J$151,$AB172)),MONTH(INDEX(Contracts!$J$2:$J$151,$AB172)),1),IF(INDEX(Contracts!$N$2:$N$151,$AB172)="",12,INDEX(Contracts!$N$2:$N$151,$AB172))-1),IF(INDEX(Contracts!$I$2:$I$151,$AB172)="MONTHLY",IF(INDEX(Contracts!$K$2:$K$151,$AB172)="",2958101,INDEX(Contracts!$K$2:$K$151,$AB172)),0)),IF($Z172="A",EDATE(DATE(YEAR(INDEX(Fixed_Assets!$G$2:$G$201,$AB172)),MONTH(INDEX(Fixed_Assets!$G$2:$G$201,$AB172)),1),INDEX(Fixed_Assets!$J$2:$J$201,$AB172)-1),IF($Z172="F",MIN(IF(INDEX(Workforce!$J$2:$J$151,MATCH(INDEX(FTE_Allocation!$A$2:$A$201,$AB172),Workforce!$A$2:$A$151,0))="",2958101,INDEX(Workforce!$J$2:$J$151,MATCH(INDEX(FTE_Allocation!$A$2:$A$201,$AB172),Workforce!$A$2:$A$151,0))),IF(INDEX(FTE_Allocation!$J$2:$J$201,$AB172)="",2958101,INDEX(FTE_Allocation!$J$2:$J$201,$AB172))),"")))</f>
        <v/>
      </c>
      <c r="AG172" s="19">
        <f>IF($Z172="C",IF(INDEX(Contracts!$I$2:$I$151,$AB172)="PREPAID",INDEX(Contracts!$M$2:$M$151,$AB172)/IF(INDEX(Contracts!$N$2:$N$151,$AB172)="",12,INDEX(Contracts!$N$2:$N$151,$AB172)),IF(INDEX(Contracts!$I$2:$I$151,$AB172)="MONTHLY",INDEX(Contracts!$M$2:$M$151,$AB172),0))*(1-N(INDEX(Contracts!$O$2:$O$151,$AB172))),IF($Z172="A",INDEX(Fixed_Assets!$H$2:$H$201,$AB172)/INDEX(Fixed_Assets!$J$2:$J$201,$AB172),IF($Z172="F",INDEX(Workforce!$F$2:$F$151,MATCH(INDEX(FTE_Allocation!$A$2:$A$201,$AB172),Workforce!$A$2:$A$151,0))*N(INDEX(FTE_Allocation!$F$2:$H$201,$AB172,$AC172)),"")))</f>
        <v/>
      </c>
    </row>
    <row r="173">
      <c r="A173" s="7">
        <f>IF($Z173="","",$AD173)</f>
        <v/>
      </c>
      <c r="B173" s="7">
        <f>IF($Z173="C",INDEX(Contracts!$D$2:$D$151,$AB173)&amp;"",IF($Z173="A",INDEX(Fixed_Assets!$C$2:$C$201,$AB173)&amp;"",IF($Z173="F",INDEX(Workforce!$B$2:$B$151,MATCH(INDEX(FTE_Allocation!$A$2:$A$201,$AB173),Workforce!$A$2:$A$151,0))&amp;"","")))</f>
        <v/>
      </c>
      <c r="C173" s="7">
        <f>IF($Z173="C",INDEX(Contracts!$E$2:$E$151,$AB173)&amp;"",IF($Z173="A",INDEX(Fixed_Assets!$D$2:$D$201,$AB173)&amp;"",IF($Z173="F",INDEX(FTE_Allocation!$C$2:$C$201,$AB173)&amp;"","")))</f>
        <v/>
      </c>
      <c r="D173" s="7">
        <f>IF($Z173="C",INDEX(Contracts!$B$2:$B$151,$AB173)&amp;"",IF($Z173="A",INDEX(Fixed_Assets!$B$2:$B$201,$AB173)&amp;"",IF($Z173="F",INDEX(FTE_Allocation!$B$2:$B$201,$AB173)&amp;"","")))</f>
        <v/>
      </c>
      <c r="E173" s="7">
        <f>IF($Z173="C",INDEX(Contracts!$P$2:$P$151,$AB173)&amp;"",IF($Z173="A",INDEX(Fixed_Assets!$K$2:$K$201,$AB173)&amp;"",IF($Z173="F",IF(INDEX(FTE_Allocation!$D$2:$D$201,$AB173)="PROJECT",IFERROR(INDEX(Projects!$D:$D,MATCH(INDEX(FTE_Allocation!$E$2:$E$201,$AB173),Projects!$A:$A,0))&amp;"","#PROJECT?"),INDEX(FTE_Allocation!$E$2:$E$201,$AB173)&amp;""),"")))</f>
        <v/>
      </c>
      <c r="F173" s="7">
        <f>IF($Z173="C",INDEX(Contracts!$Q$2:$Q$151,$AB173)&amp;"",IF($Z173="A",INDEX(Fixed_Assets!$L$2:$L$201,$AB173)&amp;"",IF($Z173="F",INDEX(Workforce!$K$2:$K$151,MATCH(INDEX(FTE_Allocation!$A$2:$A$201,$AB173),Workforce!$A$2:$A$151,0))&amp;"","")))</f>
        <v/>
      </c>
      <c r="G173" s="7">
        <f>IF($Z173="C",INDEX(Contracts!$F$2:$F$151,$AB173)&amp;" / "&amp;INDEX(Contracts!$G$2:$G$151,$AB173),IF($Z173="A",INDEX(Fixed_Assets!$E$2:$E$201,$AB173)&amp;"",IF($Z173="F","Personnel "&amp;INDEX(FTE_Allocation!$A$2:$A$201,$AB173)&amp;IF(INDEX(FTE_Allocation!$D$2:$D$201,$AB173)="PROJECT"," ("&amp;INDEX(FTE_Allocation!$E$2:$E$201,$AB173)&amp;")",""),"")))</f>
        <v/>
      </c>
      <c r="H173" s="7">
        <f>IF($Z173="C","CONTRACT",IF($Z173="A","ASSET",IF($Z173="F","WORKFORCE","")))</f>
        <v/>
      </c>
      <c r="I173" s="7">
        <f>IF($Z173="C",INDEX(Contracts!$L$2:$L$151,$AB173)&amp;"",IF($Z173="A",INDEX(Fixed_Assets!$I$2:$I$201,$AB173)&amp;"",IF($Z173="F",INDEX(Workforce!$G$2:$G$151,MATCH(INDEX(FTE_Allocation!$A$2:$A$201,$AB173),Workforce!$A$2:$A$151,0))&amp;"","")))</f>
        <v/>
      </c>
      <c r="J173" s="18">
        <f>IF($Z173="","",IF(AND(DATE($AD173,1,1)&gt;=$AE173,DATE($AD173,1,1)&lt;=$AF173),ROUND($AG173,2),0))</f>
        <v/>
      </c>
      <c r="K173" s="18">
        <f>IF($Z173="","",IF(AND(DATE($AD173,2,1)&gt;=$AE173,DATE($AD173,2,1)&lt;=$AF173),ROUND($AG173,2),0))</f>
        <v/>
      </c>
      <c r="L173" s="18">
        <f>IF($Z173="","",IF(AND(DATE($AD173,3,1)&gt;=$AE173,DATE($AD173,3,1)&lt;=$AF173),ROUND($AG173,2),0))</f>
        <v/>
      </c>
      <c r="M173" s="18">
        <f>IF($Z173="","",IF(AND(DATE($AD173,4,1)&gt;=$AE173,DATE($AD173,4,1)&lt;=$AF173),ROUND($AG173,2),0))</f>
        <v/>
      </c>
      <c r="N173" s="18">
        <f>IF($Z173="","",IF(AND(DATE($AD173,5,1)&gt;=$AE173,DATE($AD173,5,1)&lt;=$AF173),ROUND($AG173,2),0))</f>
        <v/>
      </c>
      <c r="O173" s="18">
        <f>IF($Z173="","",IF(AND(DATE($AD173,6,1)&gt;=$AE173,DATE($AD173,6,1)&lt;=$AF173),ROUND($AG173,2),0))</f>
        <v/>
      </c>
      <c r="P173" s="18">
        <f>IF($Z173="","",IF(AND(DATE($AD173,7,1)&gt;=$AE173,DATE($AD173,7,1)&lt;=$AF173),ROUND($AG173,2),0))</f>
        <v/>
      </c>
      <c r="Q173" s="18">
        <f>IF($Z173="","",IF(AND(DATE($AD173,8,1)&gt;=$AE173,DATE($AD173,8,1)&lt;=$AF173),ROUND($AG173,2),0))</f>
        <v/>
      </c>
      <c r="R173" s="18">
        <f>IF($Z173="","",IF(AND(DATE($AD173,9,1)&gt;=$AE173,DATE($AD173,9,1)&lt;=$AF173),ROUND($AG173,2),0))</f>
        <v/>
      </c>
      <c r="S173" s="18">
        <f>IF($Z173="","",IF(AND(DATE($AD173,10,1)&gt;=$AE173,DATE($AD173,10,1)&lt;=$AF173),ROUND($AG173,2),0))</f>
        <v/>
      </c>
      <c r="T173" s="18">
        <f>IF($Z173="","",IF(AND(DATE($AD173,11,1)&gt;=$AE173,DATE($AD173,11,1)&lt;=$AF173),ROUND($AG173,2),0))</f>
        <v/>
      </c>
      <c r="U173" s="18">
        <f>IF($Z173="","",IF(AND(DATE($AD173,12,1)&gt;=$AE173,DATE($AD173,12,1)&lt;=$AF173),ROUND($AG173,2),0))</f>
        <v/>
      </c>
      <c r="V173" s="7">
        <f>IF($Z173="C","Generated from "&amp;INDEX(Contracts!$A$2:$A$151,$AB173),IF($Z173="A","Generated from "&amp;INDEX(Fixed_Assets!$A$2:$A$201,$AB173),IF($Z173="F","Generated from "&amp;INDEX(FTE_Allocation!$A$2:$A$201,$AB173),"")))</f>
        <v/>
      </c>
      <c r="X173" s="19">
        <f>IF($Z173="","",SUM(J173:U173))</f>
        <v/>
      </c>
      <c r="Y173" s="20">
        <f>ROW()-1</f>
        <v/>
      </c>
      <c r="Z173" s="20">
        <f>IF($Y173&lt;=Settings!$B$4*3,"C",IF($Y173&lt;=(Settings!$B$4+Settings!$B$5)*3,"A",IF($Y173&lt;=(Settings!$B$4+Settings!$B$5+Settings!$B$6)*3,"F","")))</f>
        <v/>
      </c>
      <c r="AA173" s="20">
        <f>IF($Z173="C",$Y173,IF($Z173="A",$Y173-Settings!$B$4*3,IF($Z173="F",$Y173-(Settings!$B$4+Settings!$B$5)*3,"")))</f>
        <v/>
      </c>
      <c r="AB173" s="20">
        <f>IF($Z173="","",INT(($AA173-1)/3)+1)</f>
        <v/>
      </c>
      <c r="AC173" s="20">
        <f>IF($Z173="","",MOD($AA173-1,3)+1)</f>
        <v/>
      </c>
      <c r="AD173" s="20">
        <f>IF($Z173="","",Settings!$B$2+$AC173-1)</f>
        <v/>
      </c>
      <c r="AE173" s="21">
        <f>IF($Z173="C",DATE(YEAR(INDEX(Contracts!$J$2:$J$151,$AB173)),MONTH(INDEX(Contracts!$J$2:$J$151,$AB173)),1),IF($Z173="A",DATE(YEAR(INDEX(Fixed_Assets!$G$2:$G$201,$AB173)),MONTH(INDEX(Fixed_Assets!$G$2:$G$201,$AB173)),1),IF($Z173="F",DATE(YEAR(MAX(N(INDEX(Workforce!$I$2:$I$151,MATCH(INDEX(FTE_Allocation!$A$2:$A$201,$AB173),Workforce!$A$2:$A$151,0))),N(INDEX(FTE_Allocation!$I$2:$I$201,$AB173)))),MONTH(MAX(N(INDEX(Workforce!$I$2:$I$151,MATCH(INDEX(FTE_Allocation!$A$2:$A$201,$AB173),Workforce!$A$2:$A$151,0))),N(INDEX(FTE_Allocation!$I$2:$I$201,$AB173)))),1),"")))</f>
        <v/>
      </c>
      <c r="AF173" s="21">
        <f>IF($Z173="C",IF(INDEX(Contracts!$I$2:$I$151,$AB173)="PREPAID",EDATE(DATE(YEAR(INDEX(Contracts!$J$2:$J$151,$AB173)),MONTH(INDEX(Contracts!$J$2:$J$151,$AB173)),1),IF(INDEX(Contracts!$N$2:$N$151,$AB173)="",12,INDEX(Contracts!$N$2:$N$151,$AB173))-1),IF(INDEX(Contracts!$I$2:$I$151,$AB173)="MONTHLY",IF(INDEX(Contracts!$K$2:$K$151,$AB173)="",2958101,INDEX(Contracts!$K$2:$K$151,$AB173)),0)),IF($Z173="A",EDATE(DATE(YEAR(INDEX(Fixed_Assets!$G$2:$G$201,$AB173)),MONTH(INDEX(Fixed_Assets!$G$2:$G$201,$AB173)),1),INDEX(Fixed_Assets!$J$2:$J$201,$AB173)-1),IF($Z173="F",MIN(IF(INDEX(Workforce!$J$2:$J$151,MATCH(INDEX(FTE_Allocation!$A$2:$A$201,$AB173),Workforce!$A$2:$A$151,0))="",2958101,INDEX(Workforce!$J$2:$J$151,MATCH(INDEX(FTE_Allocation!$A$2:$A$201,$AB173),Workforce!$A$2:$A$151,0))),IF(INDEX(FTE_Allocation!$J$2:$J$201,$AB173)="",2958101,INDEX(FTE_Allocation!$J$2:$J$201,$AB173))),"")))</f>
        <v/>
      </c>
      <c r="AG173" s="19">
        <f>IF($Z173="C",IF(INDEX(Contracts!$I$2:$I$151,$AB173)="PREPAID",INDEX(Contracts!$M$2:$M$151,$AB173)/IF(INDEX(Contracts!$N$2:$N$151,$AB173)="",12,INDEX(Contracts!$N$2:$N$151,$AB173)),IF(INDEX(Contracts!$I$2:$I$151,$AB173)="MONTHLY",INDEX(Contracts!$M$2:$M$151,$AB173),0))*(1-N(INDEX(Contracts!$O$2:$O$151,$AB173))),IF($Z173="A",INDEX(Fixed_Assets!$H$2:$H$201,$AB173)/INDEX(Fixed_Assets!$J$2:$J$201,$AB173),IF($Z173="F",INDEX(Workforce!$F$2:$F$151,MATCH(INDEX(FTE_Allocation!$A$2:$A$201,$AB173),Workforce!$A$2:$A$151,0))*N(INDEX(FTE_Allocation!$F$2:$H$201,$AB173,$AC173)),"")))</f>
        <v/>
      </c>
    </row>
    <row r="174">
      <c r="A174" s="7">
        <f>IF($Z174="","",$AD174)</f>
        <v/>
      </c>
      <c r="B174" s="7">
        <f>IF($Z174="C",INDEX(Contracts!$D$2:$D$151,$AB174)&amp;"",IF($Z174="A",INDEX(Fixed_Assets!$C$2:$C$201,$AB174)&amp;"",IF($Z174="F",INDEX(Workforce!$B$2:$B$151,MATCH(INDEX(FTE_Allocation!$A$2:$A$201,$AB174),Workforce!$A$2:$A$151,0))&amp;"","")))</f>
        <v/>
      </c>
      <c r="C174" s="7">
        <f>IF($Z174="C",INDEX(Contracts!$E$2:$E$151,$AB174)&amp;"",IF($Z174="A",INDEX(Fixed_Assets!$D$2:$D$201,$AB174)&amp;"",IF($Z174="F",INDEX(FTE_Allocation!$C$2:$C$201,$AB174)&amp;"","")))</f>
        <v/>
      </c>
      <c r="D174" s="7">
        <f>IF($Z174="C",INDEX(Contracts!$B$2:$B$151,$AB174)&amp;"",IF($Z174="A",INDEX(Fixed_Assets!$B$2:$B$201,$AB174)&amp;"",IF($Z174="F",INDEX(FTE_Allocation!$B$2:$B$201,$AB174)&amp;"","")))</f>
        <v/>
      </c>
      <c r="E174" s="7">
        <f>IF($Z174="C",INDEX(Contracts!$P$2:$P$151,$AB174)&amp;"",IF($Z174="A",INDEX(Fixed_Assets!$K$2:$K$201,$AB174)&amp;"",IF($Z174="F",IF(INDEX(FTE_Allocation!$D$2:$D$201,$AB174)="PROJECT",IFERROR(INDEX(Projects!$D:$D,MATCH(INDEX(FTE_Allocation!$E$2:$E$201,$AB174),Projects!$A:$A,0))&amp;"","#PROJECT?"),INDEX(FTE_Allocation!$E$2:$E$201,$AB174)&amp;""),"")))</f>
        <v/>
      </c>
      <c r="F174" s="7">
        <f>IF($Z174="C",INDEX(Contracts!$Q$2:$Q$151,$AB174)&amp;"",IF($Z174="A",INDEX(Fixed_Assets!$L$2:$L$201,$AB174)&amp;"",IF($Z174="F",INDEX(Workforce!$K$2:$K$151,MATCH(INDEX(FTE_Allocation!$A$2:$A$201,$AB174),Workforce!$A$2:$A$151,0))&amp;"","")))</f>
        <v/>
      </c>
      <c r="G174" s="7">
        <f>IF($Z174="C",INDEX(Contracts!$F$2:$F$151,$AB174)&amp;" / "&amp;INDEX(Contracts!$G$2:$G$151,$AB174),IF($Z174="A",INDEX(Fixed_Assets!$E$2:$E$201,$AB174)&amp;"",IF($Z174="F","Personnel "&amp;INDEX(FTE_Allocation!$A$2:$A$201,$AB174)&amp;IF(INDEX(FTE_Allocation!$D$2:$D$201,$AB174)="PROJECT"," ("&amp;INDEX(FTE_Allocation!$E$2:$E$201,$AB174)&amp;")",""),"")))</f>
        <v/>
      </c>
      <c r="H174" s="7">
        <f>IF($Z174="C","CONTRACT",IF($Z174="A","ASSET",IF($Z174="F","WORKFORCE","")))</f>
        <v/>
      </c>
      <c r="I174" s="7">
        <f>IF($Z174="C",INDEX(Contracts!$L$2:$L$151,$AB174)&amp;"",IF($Z174="A",INDEX(Fixed_Assets!$I$2:$I$201,$AB174)&amp;"",IF($Z174="F",INDEX(Workforce!$G$2:$G$151,MATCH(INDEX(FTE_Allocation!$A$2:$A$201,$AB174),Workforce!$A$2:$A$151,0))&amp;"","")))</f>
        <v/>
      </c>
      <c r="J174" s="18">
        <f>IF($Z174="","",IF(AND(DATE($AD174,1,1)&gt;=$AE174,DATE($AD174,1,1)&lt;=$AF174),ROUND($AG174,2),0))</f>
        <v/>
      </c>
      <c r="K174" s="18">
        <f>IF($Z174="","",IF(AND(DATE($AD174,2,1)&gt;=$AE174,DATE($AD174,2,1)&lt;=$AF174),ROUND($AG174,2),0))</f>
        <v/>
      </c>
      <c r="L174" s="18">
        <f>IF($Z174="","",IF(AND(DATE($AD174,3,1)&gt;=$AE174,DATE($AD174,3,1)&lt;=$AF174),ROUND($AG174,2),0))</f>
        <v/>
      </c>
      <c r="M174" s="18">
        <f>IF($Z174="","",IF(AND(DATE($AD174,4,1)&gt;=$AE174,DATE($AD174,4,1)&lt;=$AF174),ROUND($AG174,2),0))</f>
        <v/>
      </c>
      <c r="N174" s="18">
        <f>IF($Z174="","",IF(AND(DATE($AD174,5,1)&gt;=$AE174,DATE($AD174,5,1)&lt;=$AF174),ROUND($AG174,2),0))</f>
        <v/>
      </c>
      <c r="O174" s="18">
        <f>IF($Z174="","",IF(AND(DATE($AD174,6,1)&gt;=$AE174,DATE($AD174,6,1)&lt;=$AF174),ROUND($AG174,2),0))</f>
        <v/>
      </c>
      <c r="P174" s="18">
        <f>IF($Z174="","",IF(AND(DATE($AD174,7,1)&gt;=$AE174,DATE($AD174,7,1)&lt;=$AF174),ROUND($AG174,2),0))</f>
        <v/>
      </c>
      <c r="Q174" s="18">
        <f>IF($Z174="","",IF(AND(DATE($AD174,8,1)&gt;=$AE174,DATE($AD174,8,1)&lt;=$AF174),ROUND($AG174,2),0))</f>
        <v/>
      </c>
      <c r="R174" s="18">
        <f>IF($Z174="","",IF(AND(DATE($AD174,9,1)&gt;=$AE174,DATE($AD174,9,1)&lt;=$AF174),ROUND($AG174,2),0))</f>
        <v/>
      </c>
      <c r="S174" s="18">
        <f>IF($Z174="","",IF(AND(DATE($AD174,10,1)&gt;=$AE174,DATE($AD174,10,1)&lt;=$AF174),ROUND($AG174,2),0))</f>
        <v/>
      </c>
      <c r="T174" s="18">
        <f>IF($Z174="","",IF(AND(DATE($AD174,11,1)&gt;=$AE174,DATE($AD174,11,1)&lt;=$AF174),ROUND($AG174,2),0))</f>
        <v/>
      </c>
      <c r="U174" s="18">
        <f>IF($Z174="","",IF(AND(DATE($AD174,12,1)&gt;=$AE174,DATE($AD174,12,1)&lt;=$AF174),ROUND($AG174,2),0))</f>
        <v/>
      </c>
      <c r="V174" s="7">
        <f>IF($Z174="C","Generated from "&amp;INDEX(Contracts!$A$2:$A$151,$AB174),IF($Z174="A","Generated from "&amp;INDEX(Fixed_Assets!$A$2:$A$201,$AB174),IF($Z174="F","Generated from "&amp;INDEX(FTE_Allocation!$A$2:$A$201,$AB174),"")))</f>
        <v/>
      </c>
      <c r="X174" s="19">
        <f>IF($Z174="","",SUM(J174:U174))</f>
        <v/>
      </c>
      <c r="Y174" s="20">
        <f>ROW()-1</f>
        <v/>
      </c>
      <c r="Z174" s="20">
        <f>IF($Y174&lt;=Settings!$B$4*3,"C",IF($Y174&lt;=(Settings!$B$4+Settings!$B$5)*3,"A",IF($Y174&lt;=(Settings!$B$4+Settings!$B$5+Settings!$B$6)*3,"F","")))</f>
        <v/>
      </c>
      <c r="AA174" s="20">
        <f>IF($Z174="C",$Y174,IF($Z174="A",$Y174-Settings!$B$4*3,IF($Z174="F",$Y174-(Settings!$B$4+Settings!$B$5)*3,"")))</f>
        <v/>
      </c>
      <c r="AB174" s="20">
        <f>IF($Z174="","",INT(($AA174-1)/3)+1)</f>
        <v/>
      </c>
      <c r="AC174" s="20">
        <f>IF($Z174="","",MOD($AA174-1,3)+1)</f>
        <v/>
      </c>
      <c r="AD174" s="20">
        <f>IF($Z174="","",Settings!$B$2+$AC174-1)</f>
        <v/>
      </c>
      <c r="AE174" s="21">
        <f>IF($Z174="C",DATE(YEAR(INDEX(Contracts!$J$2:$J$151,$AB174)),MONTH(INDEX(Contracts!$J$2:$J$151,$AB174)),1),IF($Z174="A",DATE(YEAR(INDEX(Fixed_Assets!$G$2:$G$201,$AB174)),MONTH(INDEX(Fixed_Assets!$G$2:$G$201,$AB174)),1),IF($Z174="F",DATE(YEAR(MAX(N(INDEX(Workforce!$I$2:$I$151,MATCH(INDEX(FTE_Allocation!$A$2:$A$201,$AB174),Workforce!$A$2:$A$151,0))),N(INDEX(FTE_Allocation!$I$2:$I$201,$AB174)))),MONTH(MAX(N(INDEX(Workforce!$I$2:$I$151,MATCH(INDEX(FTE_Allocation!$A$2:$A$201,$AB174),Workforce!$A$2:$A$151,0))),N(INDEX(FTE_Allocation!$I$2:$I$201,$AB174)))),1),"")))</f>
        <v/>
      </c>
      <c r="AF174" s="21">
        <f>IF($Z174="C",IF(INDEX(Contracts!$I$2:$I$151,$AB174)="PREPAID",EDATE(DATE(YEAR(INDEX(Contracts!$J$2:$J$151,$AB174)),MONTH(INDEX(Contracts!$J$2:$J$151,$AB174)),1),IF(INDEX(Contracts!$N$2:$N$151,$AB174)="",12,INDEX(Contracts!$N$2:$N$151,$AB174))-1),IF(INDEX(Contracts!$I$2:$I$151,$AB174)="MONTHLY",IF(INDEX(Contracts!$K$2:$K$151,$AB174)="",2958101,INDEX(Contracts!$K$2:$K$151,$AB174)),0)),IF($Z174="A",EDATE(DATE(YEAR(INDEX(Fixed_Assets!$G$2:$G$201,$AB174)),MONTH(INDEX(Fixed_Assets!$G$2:$G$201,$AB174)),1),INDEX(Fixed_Assets!$J$2:$J$201,$AB174)-1),IF($Z174="F",MIN(IF(INDEX(Workforce!$J$2:$J$151,MATCH(INDEX(FTE_Allocation!$A$2:$A$201,$AB174),Workforce!$A$2:$A$151,0))="",2958101,INDEX(Workforce!$J$2:$J$151,MATCH(INDEX(FTE_Allocation!$A$2:$A$201,$AB174),Workforce!$A$2:$A$151,0))),IF(INDEX(FTE_Allocation!$J$2:$J$201,$AB174)="",2958101,INDEX(FTE_Allocation!$J$2:$J$201,$AB174))),"")))</f>
        <v/>
      </c>
      <c r="AG174" s="19">
        <f>IF($Z174="C",IF(INDEX(Contracts!$I$2:$I$151,$AB174)="PREPAID",INDEX(Contracts!$M$2:$M$151,$AB174)/IF(INDEX(Contracts!$N$2:$N$151,$AB174)="",12,INDEX(Contracts!$N$2:$N$151,$AB174)),IF(INDEX(Contracts!$I$2:$I$151,$AB174)="MONTHLY",INDEX(Contracts!$M$2:$M$151,$AB174),0))*(1-N(INDEX(Contracts!$O$2:$O$151,$AB174))),IF($Z174="A",INDEX(Fixed_Assets!$H$2:$H$201,$AB174)/INDEX(Fixed_Assets!$J$2:$J$201,$AB174),IF($Z174="F",INDEX(Workforce!$F$2:$F$151,MATCH(INDEX(FTE_Allocation!$A$2:$A$201,$AB174),Workforce!$A$2:$A$151,0))*N(INDEX(FTE_Allocation!$F$2:$H$201,$AB174,$AC174)),"")))</f>
        <v/>
      </c>
    </row>
    <row r="175">
      <c r="A175" s="7">
        <f>IF($Z175="","",$AD175)</f>
        <v/>
      </c>
      <c r="B175" s="7">
        <f>IF($Z175="C",INDEX(Contracts!$D$2:$D$151,$AB175)&amp;"",IF($Z175="A",INDEX(Fixed_Assets!$C$2:$C$201,$AB175)&amp;"",IF($Z175="F",INDEX(Workforce!$B$2:$B$151,MATCH(INDEX(FTE_Allocation!$A$2:$A$201,$AB175),Workforce!$A$2:$A$151,0))&amp;"","")))</f>
        <v/>
      </c>
      <c r="C175" s="7">
        <f>IF($Z175="C",INDEX(Contracts!$E$2:$E$151,$AB175)&amp;"",IF($Z175="A",INDEX(Fixed_Assets!$D$2:$D$201,$AB175)&amp;"",IF($Z175="F",INDEX(FTE_Allocation!$C$2:$C$201,$AB175)&amp;"","")))</f>
        <v/>
      </c>
      <c r="D175" s="7">
        <f>IF($Z175="C",INDEX(Contracts!$B$2:$B$151,$AB175)&amp;"",IF($Z175="A",INDEX(Fixed_Assets!$B$2:$B$201,$AB175)&amp;"",IF($Z175="F",INDEX(FTE_Allocation!$B$2:$B$201,$AB175)&amp;"","")))</f>
        <v/>
      </c>
      <c r="E175" s="7">
        <f>IF($Z175="C",INDEX(Contracts!$P$2:$P$151,$AB175)&amp;"",IF($Z175="A",INDEX(Fixed_Assets!$K$2:$K$201,$AB175)&amp;"",IF($Z175="F",IF(INDEX(FTE_Allocation!$D$2:$D$201,$AB175)="PROJECT",IFERROR(INDEX(Projects!$D:$D,MATCH(INDEX(FTE_Allocation!$E$2:$E$201,$AB175),Projects!$A:$A,0))&amp;"","#PROJECT?"),INDEX(FTE_Allocation!$E$2:$E$201,$AB175)&amp;""),"")))</f>
        <v/>
      </c>
      <c r="F175" s="7">
        <f>IF($Z175="C",INDEX(Contracts!$Q$2:$Q$151,$AB175)&amp;"",IF($Z175="A",INDEX(Fixed_Assets!$L$2:$L$201,$AB175)&amp;"",IF($Z175="F",INDEX(Workforce!$K$2:$K$151,MATCH(INDEX(FTE_Allocation!$A$2:$A$201,$AB175),Workforce!$A$2:$A$151,0))&amp;"","")))</f>
        <v/>
      </c>
      <c r="G175" s="7">
        <f>IF($Z175="C",INDEX(Contracts!$F$2:$F$151,$AB175)&amp;" / "&amp;INDEX(Contracts!$G$2:$G$151,$AB175),IF($Z175="A",INDEX(Fixed_Assets!$E$2:$E$201,$AB175)&amp;"",IF($Z175="F","Personnel "&amp;INDEX(FTE_Allocation!$A$2:$A$201,$AB175)&amp;IF(INDEX(FTE_Allocation!$D$2:$D$201,$AB175)="PROJECT"," ("&amp;INDEX(FTE_Allocation!$E$2:$E$201,$AB175)&amp;")",""),"")))</f>
        <v/>
      </c>
      <c r="H175" s="7">
        <f>IF($Z175="C","CONTRACT",IF($Z175="A","ASSET",IF($Z175="F","WORKFORCE","")))</f>
        <v/>
      </c>
      <c r="I175" s="7">
        <f>IF($Z175="C",INDEX(Contracts!$L$2:$L$151,$AB175)&amp;"",IF($Z175="A",INDEX(Fixed_Assets!$I$2:$I$201,$AB175)&amp;"",IF($Z175="F",INDEX(Workforce!$G$2:$G$151,MATCH(INDEX(FTE_Allocation!$A$2:$A$201,$AB175),Workforce!$A$2:$A$151,0))&amp;"","")))</f>
        <v/>
      </c>
      <c r="J175" s="18">
        <f>IF($Z175="","",IF(AND(DATE($AD175,1,1)&gt;=$AE175,DATE($AD175,1,1)&lt;=$AF175),ROUND($AG175,2),0))</f>
        <v/>
      </c>
      <c r="K175" s="18">
        <f>IF($Z175="","",IF(AND(DATE($AD175,2,1)&gt;=$AE175,DATE($AD175,2,1)&lt;=$AF175),ROUND($AG175,2),0))</f>
        <v/>
      </c>
      <c r="L175" s="18">
        <f>IF($Z175="","",IF(AND(DATE($AD175,3,1)&gt;=$AE175,DATE($AD175,3,1)&lt;=$AF175),ROUND($AG175,2),0))</f>
        <v/>
      </c>
      <c r="M175" s="18">
        <f>IF($Z175="","",IF(AND(DATE($AD175,4,1)&gt;=$AE175,DATE($AD175,4,1)&lt;=$AF175),ROUND($AG175,2),0))</f>
        <v/>
      </c>
      <c r="N175" s="18">
        <f>IF($Z175="","",IF(AND(DATE($AD175,5,1)&gt;=$AE175,DATE($AD175,5,1)&lt;=$AF175),ROUND($AG175,2),0))</f>
        <v/>
      </c>
      <c r="O175" s="18">
        <f>IF($Z175="","",IF(AND(DATE($AD175,6,1)&gt;=$AE175,DATE($AD175,6,1)&lt;=$AF175),ROUND($AG175,2),0))</f>
        <v/>
      </c>
      <c r="P175" s="18">
        <f>IF($Z175="","",IF(AND(DATE($AD175,7,1)&gt;=$AE175,DATE($AD175,7,1)&lt;=$AF175),ROUND($AG175,2),0))</f>
        <v/>
      </c>
      <c r="Q175" s="18">
        <f>IF($Z175="","",IF(AND(DATE($AD175,8,1)&gt;=$AE175,DATE($AD175,8,1)&lt;=$AF175),ROUND($AG175,2),0))</f>
        <v/>
      </c>
      <c r="R175" s="18">
        <f>IF($Z175="","",IF(AND(DATE($AD175,9,1)&gt;=$AE175,DATE($AD175,9,1)&lt;=$AF175),ROUND($AG175,2),0))</f>
        <v/>
      </c>
      <c r="S175" s="18">
        <f>IF($Z175="","",IF(AND(DATE($AD175,10,1)&gt;=$AE175,DATE($AD175,10,1)&lt;=$AF175),ROUND($AG175,2),0))</f>
        <v/>
      </c>
      <c r="T175" s="18">
        <f>IF($Z175="","",IF(AND(DATE($AD175,11,1)&gt;=$AE175,DATE($AD175,11,1)&lt;=$AF175),ROUND($AG175,2),0))</f>
        <v/>
      </c>
      <c r="U175" s="18">
        <f>IF($Z175="","",IF(AND(DATE($AD175,12,1)&gt;=$AE175,DATE($AD175,12,1)&lt;=$AF175),ROUND($AG175,2),0))</f>
        <v/>
      </c>
      <c r="V175" s="7">
        <f>IF($Z175="C","Generated from "&amp;INDEX(Contracts!$A$2:$A$151,$AB175),IF($Z175="A","Generated from "&amp;INDEX(Fixed_Assets!$A$2:$A$201,$AB175),IF($Z175="F","Generated from "&amp;INDEX(FTE_Allocation!$A$2:$A$201,$AB175),"")))</f>
        <v/>
      </c>
      <c r="X175" s="19">
        <f>IF($Z175="","",SUM(J175:U175))</f>
        <v/>
      </c>
      <c r="Y175" s="20">
        <f>ROW()-1</f>
        <v/>
      </c>
      <c r="Z175" s="20">
        <f>IF($Y175&lt;=Settings!$B$4*3,"C",IF($Y175&lt;=(Settings!$B$4+Settings!$B$5)*3,"A",IF($Y175&lt;=(Settings!$B$4+Settings!$B$5+Settings!$B$6)*3,"F","")))</f>
        <v/>
      </c>
      <c r="AA175" s="20">
        <f>IF($Z175="C",$Y175,IF($Z175="A",$Y175-Settings!$B$4*3,IF($Z175="F",$Y175-(Settings!$B$4+Settings!$B$5)*3,"")))</f>
        <v/>
      </c>
      <c r="AB175" s="20">
        <f>IF($Z175="","",INT(($AA175-1)/3)+1)</f>
        <v/>
      </c>
      <c r="AC175" s="20">
        <f>IF($Z175="","",MOD($AA175-1,3)+1)</f>
        <v/>
      </c>
      <c r="AD175" s="20">
        <f>IF($Z175="","",Settings!$B$2+$AC175-1)</f>
        <v/>
      </c>
      <c r="AE175" s="21">
        <f>IF($Z175="C",DATE(YEAR(INDEX(Contracts!$J$2:$J$151,$AB175)),MONTH(INDEX(Contracts!$J$2:$J$151,$AB175)),1),IF($Z175="A",DATE(YEAR(INDEX(Fixed_Assets!$G$2:$G$201,$AB175)),MONTH(INDEX(Fixed_Assets!$G$2:$G$201,$AB175)),1),IF($Z175="F",DATE(YEAR(MAX(N(INDEX(Workforce!$I$2:$I$151,MATCH(INDEX(FTE_Allocation!$A$2:$A$201,$AB175),Workforce!$A$2:$A$151,0))),N(INDEX(FTE_Allocation!$I$2:$I$201,$AB175)))),MONTH(MAX(N(INDEX(Workforce!$I$2:$I$151,MATCH(INDEX(FTE_Allocation!$A$2:$A$201,$AB175),Workforce!$A$2:$A$151,0))),N(INDEX(FTE_Allocation!$I$2:$I$201,$AB175)))),1),"")))</f>
        <v/>
      </c>
      <c r="AF175" s="21">
        <f>IF($Z175="C",IF(INDEX(Contracts!$I$2:$I$151,$AB175)="PREPAID",EDATE(DATE(YEAR(INDEX(Contracts!$J$2:$J$151,$AB175)),MONTH(INDEX(Contracts!$J$2:$J$151,$AB175)),1),IF(INDEX(Contracts!$N$2:$N$151,$AB175)="",12,INDEX(Contracts!$N$2:$N$151,$AB175))-1),IF(INDEX(Contracts!$I$2:$I$151,$AB175)="MONTHLY",IF(INDEX(Contracts!$K$2:$K$151,$AB175)="",2958101,INDEX(Contracts!$K$2:$K$151,$AB175)),0)),IF($Z175="A",EDATE(DATE(YEAR(INDEX(Fixed_Assets!$G$2:$G$201,$AB175)),MONTH(INDEX(Fixed_Assets!$G$2:$G$201,$AB175)),1),INDEX(Fixed_Assets!$J$2:$J$201,$AB175)-1),IF($Z175="F",MIN(IF(INDEX(Workforce!$J$2:$J$151,MATCH(INDEX(FTE_Allocation!$A$2:$A$201,$AB175),Workforce!$A$2:$A$151,0))="",2958101,INDEX(Workforce!$J$2:$J$151,MATCH(INDEX(FTE_Allocation!$A$2:$A$201,$AB175),Workforce!$A$2:$A$151,0))),IF(INDEX(FTE_Allocation!$J$2:$J$201,$AB175)="",2958101,INDEX(FTE_Allocation!$J$2:$J$201,$AB175))),"")))</f>
        <v/>
      </c>
      <c r="AG175" s="19">
        <f>IF($Z175="C",IF(INDEX(Contracts!$I$2:$I$151,$AB175)="PREPAID",INDEX(Contracts!$M$2:$M$151,$AB175)/IF(INDEX(Contracts!$N$2:$N$151,$AB175)="",12,INDEX(Contracts!$N$2:$N$151,$AB175)),IF(INDEX(Contracts!$I$2:$I$151,$AB175)="MONTHLY",INDEX(Contracts!$M$2:$M$151,$AB175),0))*(1-N(INDEX(Contracts!$O$2:$O$151,$AB175))),IF($Z175="A",INDEX(Fixed_Assets!$H$2:$H$201,$AB175)/INDEX(Fixed_Assets!$J$2:$J$201,$AB175),IF($Z175="F",INDEX(Workforce!$F$2:$F$151,MATCH(INDEX(FTE_Allocation!$A$2:$A$201,$AB175),Workforce!$A$2:$A$151,0))*N(INDEX(FTE_Allocation!$F$2:$H$201,$AB175,$AC175)),"")))</f>
        <v/>
      </c>
    </row>
    <row r="176">
      <c r="A176" s="7">
        <f>IF($Z176="","",$AD176)</f>
        <v/>
      </c>
      <c r="B176" s="7">
        <f>IF($Z176="C",INDEX(Contracts!$D$2:$D$151,$AB176)&amp;"",IF($Z176="A",INDEX(Fixed_Assets!$C$2:$C$201,$AB176)&amp;"",IF($Z176="F",INDEX(Workforce!$B$2:$B$151,MATCH(INDEX(FTE_Allocation!$A$2:$A$201,$AB176),Workforce!$A$2:$A$151,0))&amp;"","")))</f>
        <v/>
      </c>
      <c r="C176" s="7">
        <f>IF($Z176="C",INDEX(Contracts!$E$2:$E$151,$AB176)&amp;"",IF($Z176="A",INDEX(Fixed_Assets!$D$2:$D$201,$AB176)&amp;"",IF($Z176="F",INDEX(FTE_Allocation!$C$2:$C$201,$AB176)&amp;"","")))</f>
        <v/>
      </c>
      <c r="D176" s="7">
        <f>IF($Z176="C",INDEX(Contracts!$B$2:$B$151,$AB176)&amp;"",IF($Z176="A",INDEX(Fixed_Assets!$B$2:$B$201,$AB176)&amp;"",IF($Z176="F",INDEX(FTE_Allocation!$B$2:$B$201,$AB176)&amp;"","")))</f>
        <v/>
      </c>
      <c r="E176" s="7">
        <f>IF($Z176="C",INDEX(Contracts!$P$2:$P$151,$AB176)&amp;"",IF($Z176="A",INDEX(Fixed_Assets!$K$2:$K$201,$AB176)&amp;"",IF($Z176="F",IF(INDEX(FTE_Allocation!$D$2:$D$201,$AB176)="PROJECT",IFERROR(INDEX(Projects!$D:$D,MATCH(INDEX(FTE_Allocation!$E$2:$E$201,$AB176),Projects!$A:$A,0))&amp;"","#PROJECT?"),INDEX(FTE_Allocation!$E$2:$E$201,$AB176)&amp;""),"")))</f>
        <v/>
      </c>
      <c r="F176" s="7">
        <f>IF($Z176="C",INDEX(Contracts!$Q$2:$Q$151,$AB176)&amp;"",IF($Z176="A",INDEX(Fixed_Assets!$L$2:$L$201,$AB176)&amp;"",IF($Z176="F",INDEX(Workforce!$K$2:$K$151,MATCH(INDEX(FTE_Allocation!$A$2:$A$201,$AB176),Workforce!$A$2:$A$151,0))&amp;"","")))</f>
        <v/>
      </c>
      <c r="G176" s="7">
        <f>IF($Z176="C",INDEX(Contracts!$F$2:$F$151,$AB176)&amp;" / "&amp;INDEX(Contracts!$G$2:$G$151,$AB176),IF($Z176="A",INDEX(Fixed_Assets!$E$2:$E$201,$AB176)&amp;"",IF($Z176="F","Personnel "&amp;INDEX(FTE_Allocation!$A$2:$A$201,$AB176)&amp;IF(INDEX(FTE_Allocation!$D$2:$D$201,$AB176)="PROJECT"," ("&amp;INDEX(FTE_Allocation!$E$2:$E$201,$AB176)&amp;")",""),"")))</f>
        <v/>
      </c>
      <c r="H176" s="7">
        <f>IF($Z176="C","CONTRACT",IF($Z176="A","ASSET",IF($Z176="F","WORKFORCE","")))</f>
        <v/>
      </c>
      <c r="I176" s="7">
        <f>IF($Z176="C",INDEX(Contracts!$L$2:$L$151,$AB176)&amp;"",IF($Z176="A",INDEX(Fixed_Assets!$I$2:$I$201,$AB176)&amp;"",IF($Z176="F",INDEX(Workforce!$G$2:$G$151,MATCH(INDEX(FTE_Allocation!$A$2:$A$201,$AB176),Workforce!$A$2:$A$151,0))&amp;"","")))</f>
        <v/>
      </c>
      <c r="J176" s="18">
        <f>IF($Z176="","",IF(AND(DATE($AD176,1,1)&gt;=$AE176,DATE($AD176,1,1)&lt;=$AF176),ROUND($AG176,2),0))</f>
        <v/>
      </c>
      <c r="K176" s="18">
        <f>IF($Z176="","",IF(AND(DATE($AD176,2,1)&gt;=$AE176,DATE($AD176,2,1)&lt;=$AF176),ROUND($AG176,2),0))</f>
        <v/>
      </c>
      <c r="L176" s="18">
        <f>IF($Z176="","",IF(AND(DATE($AD176,3,1)&gt;=$AE176,DATE($AD176,3,1)&lt;=$AF176),ROUND($AG176,2),0))</f>
        <v/>
      </c>
      <c r="M176" s="18">
        <f>IF($Z176="","",IF(AND(DATE($AD176,4,1)&gt;=$AE176,DATE($AD176,4,1)&lt;=$AF176),ROUND($AG176,2),0))</f>
        <v/>
      </c>
      <c r="N176" s="18">
        <f>IF($Z176="","",IF(AND(DATE($AD176,5,1)&gt;=$AE176,DATE($AD176,5,1)&lt;=$AF176),ROUND($AG176,2),0))</f>
        <v/>
      </c>
      <c r="O176" s="18">
        <f>IF($Z176="","",IF(AND(DATE($AD176,6,1)&gt;=$AE176,DATE($AD176,6,1)&lt;=$AF176),ROUND($AG176,2),0))</f>
        <v/>
      </c>
      <c r="P176" s="18">
        <f>IF($Z176="","",IF(AND(DATE($AD176,7,1)&gt;=$AE176,DATE($AD176,7,1)&lt;=$AF176),ROUND($AG176,2),0))</f>
        <v/>
      </c>
      <c r="Q176" s="18">
        <f>IF($Z176="","",IF(AND(DATE($AD176,8,1)&gt;=$AE176,DATE($AD176,8,1)&lt;=$AF176),ROUND($AG176,2),0))</f>
        <v/>
      </c>
      <c r="R176" s="18">
        <f>IF($Z176="","",IF(AND(DATE($AD176,9,1)&gt;=$AE176,DATE($AD176,9,1)&lt;=$AF176),ROUND($AG176,2),0))</f>
        <v/>
      </c>
      <c r="S176" s="18">
        <f>IF($Z176="","",IF(AND(DATE($AD176,10,1)&gt;=$AE176,DATE($AD176,10,1)&lt;=$AF176),ROUND($AG176,2),0))</f>
        <v/>
      </c>
      <c r="T176" s="18">
        <f>IF($Z176="","",IF(AND(DATE($AD176,11,1)&gt;=$AE176,DATE($AD176,11,1)&lt;=$AF176),ROUND($AG176,2),0))</f>
        <v/>
      </c>
      <c r="U176" s="18">
        <f>IF($Z176="","",IF(AND(DATE($AD176,12,1)&gt;=$AE176,DATE($AD176,12,1)&lt;=$AF176),ROUND($AG176,2),0))</f>
        <v/>
      </c>
      <c r="V176" s="7">
        <f>IF($Z176="C","Generated from "&amp;INDEX(Contracts!$A$2:$A$151,$AB176),IF($Z176="A","Generated from "&amp;INDEX(Fixed_Assets!$A$2:$A$201,$AB176),IF($Z176="F","Generated from "&amp;INDEX(FTE_Allocation!$A$2:$A$201,$AB176),"")))</f>
        <v/>
      </c>
      <c r="X176" s="19">
        <f>IF($Z176="","",SUM(J176:U176))</f>
        <v/>
      </c>
      <c r="Y176" s="20">
        <f>ROW()-1</f>
        <v/>
      </c>
      <c r="Z176" s="20">
        <f>IF($Y176&lt;=Settings!$B$4*3,"C",IF($Y176&lt;=(Settings!$B$4+Settings!$B$5)*3,"A",IF($Y176&lt;=(Settings!$B$4+Settings!$B$5+Settings!$B$6)*3,"F","")))</f>
        <v/>
      </c>
      <c r="AA176" s="20">
        <f>IF($Z176="C",$Y176,IF($Z176="A",$Y176-Settings!$B$4*3,IF($Z176="F",$Y176-(Settings!$B$4+Settings!$B$5)*3,"")))</f>
        <v/>
      </c>
      <c r="AB176" s="20">
        <f>IF($Z176="","",INT(($AA176-1)/3)+1)</f>
        <v/>
      </c>
      <c r="AC176" s="20">
        <f>IF($Z176="","",MOD($AA176-1,3)+1)</f>
        <v/>
      </c>
      <c r="AD176" s="20">
        <f>IF($Z176="","",Settings!$B$2+$AC176-1)</f>
        <v/>
      </c>
      <c r="AE176" s="21">
        <f>IF($Z176="C",DATE(YEAR(INDEX(Contracts!$J$2:$J$151,$AB176)),MONTH(INDEX(Contracts!$J$2:$J$151,$AB176)),1),IF($Z176="A",DATE(YEAR(INDEX(Fixed_Assets!$G$2:$G$201,$AB176)),MONTH(INDEX(Fixed_Assets!$G$2:$G$201,$AB176)),1),IF($Z176="F",DATE(YEAR(MAX(N(INDEX(Workforce!$I$2:$I$151,MATCH(INDEX(FTE_Allocation!$A$2:$A$201,$AB176),Workforce!$A$2:$A$151,0))),N(INDEX(FTE_Allocation!$I$2:$I$201,$AB176)))),MONTH(MAX(N(INDEX(Workforce!$I$2:$I$151,MATCH(INDEX(FTE_Allocation!$A$2:$A$201,$AB176),Workforce!$A$2:$A$151,0))),N(INDEX(FTE_Allocation!$I$2:$I$201,$AB176)))),1),"")))</f>
        <v/>
      </c>
      <c r="AF176" s="21">
        <f>IF($Z176="C",IF(INDEX(Contracts!$I$2:$I$151,$AB176)="PREPAID",EDATE(DATE(YEAR(INDEX(Contracts!$J$2:$J$151,$AB176)),MONTH(INDEX(Contracts!$J$2:$J$151,$AB176)),1),IF(INDEX(Contracts!$N$2:$N$151,$AB176)="",12,INDEX(Contracts!$N$2:$N$151,$AB176))-1),IF(INDEX(Contracts!$I$2:$I$151,$AB176)="MONTHLY",IF(INDEX(Contracts!$K$2:$K$151,$AB176)="",2958101,INDEX(Contracts!$K$2:$K$151,$AB176)),0)),IF($Z176="A",EDATE(DATE(YEAR(INDEX(Fixed_Assets!$G$2:$G$201,$AB176)),MONTH(INDEX(Fixed_Assets!$G$2:$G$201,$AB176)),1),INDEX(Fixed_Assets!$J$2:$J$201,$AB176)-1),IF($Z176="F",MIN(IF(INDEX(Workforce!$J$2:$J$151,MATCH(INDEX(FTE_Allocation!$A$2:$A$201,$AB176),Workforce!$A$2:$A$151,0))="",2958101,INDEX(Workforce!$J$2:$J$151,MATCH(INDEX(FTE_Allocation!$A$2:$A$201,$AB176),Workforce!$A$2:$A$151,0))),IF(INDEX(FTE_Allocation!$J$2:$J$201,$AB176)="",2958101,INDEX(FTE_Allocation!$J$2:$J$201,$AB176))),"")))</f>
        <v/>
      </c>
      <c r="AG176" s="19">
        <f>IF($Z176="C",IF(INDEX(Contracts!$I$2:$I$151,$AB176)="PREPAID",INDEX(Contracts!$M$2:$M$151,$AB176)/IF(INDEX(Contracts!$N$2:$N$151,$AB176)="",12,INDEX(Contracts!$N$2:$N$151,$AB176)),IF(INDEX(Contracts!$I$2:$I$151,$AB176)="MONTHLY",INDEX(Contracts!$M$2:$M$151,$AB176),0))*(1-N(INDEX(Contracts!$O$2:$O$151,$AB176))),IF($Z176="A",INDEX(Fixed_Assets!$H$2:$H$201,$AB176)/INDEX(Fixed_Assets!$J$2:$J$201,$AB176),IF($Z176="F",INDEX(Workforce!$F$2:$F$151,MATCH(INDEX(FTE_Allocation!$A$2:$A$201,$AB176),Workforce!$A$2:$A$151,0))*N(INDEX(FTE_Allocation!$F$2:$H$201,$AB176,$AC176)),"")))</f>
        <v/>
      </c>
    </row>
    <row r="177">
      <c r="A177" s="7">
        <f>IF($Z177="","",$AD177)</f>
        <v/>
      </c>
      <c r="B177" s="7">
        <f>IF($Z177="C",INDEX(Contracts!$D$2:$D$151,$AB177)&amp;"",IF($Z177="A",INDEX(Fixed_Assets!$C$2:$C$201,$AB177)&amp;"",IF($Z177="F",INDEX(Workforce!$B$2:$B$151,MATCH(INDEX(FTE_Allocation!$A$2:$A$201,$AB177),Workforce!$A$2:$A$151,0))&amp;"","")))</f>
        <v/>
      </c>
      <c r="C177" s="7">
        <f>IF($Z177="C",INDEX(Contracts!$E$2:$E$151,$AB177)&amp;"",IF($Z177="A",INDEX(Fixed_Assets!$D$2:$D$201,$AB177)&amp;"",IF($Z177="F",INDEX(FTE_Allocation!$C$2:$C$201,$AB177)&amp;"","")))</f>
        <v/>
      </c>
      <c r="D177" s="7">
        <f>IF($Z177="C",INDEX(Contracts!$B$2:$B$151,$AB177)&amp;"",IF($Z177="A",INDEX(Fixed_Assets!$B$2:$B$201,$AB177)&amp;"",IF($Z177="F",INDEX(FTE_Allocation!$B$2:$B$201,$AB177)&amp;"","")))</f>
        <v/>
      </c>
      <c r="E177" s="7">
        <f>IF($Z177="C",INDEX(Contracts!$P$2:$P$151,$AB177)&amp;"",IF($Z177="A",INDEX(Fixed_Assets!$K$2:$K$201,$AB177)&amp;"",IF($Z177="F",IF(INDEX(FTE_Allocation!$D$2:$D$201,$AB177)="PROJECT",IFERROR(INDEX(Projects!$D:$D,MATCH(INDEX(FTE_Allocation!$E$2:$E$201,$AB177),Projects!$A:$A,0))&amp;"","#PROJECT?"),INDEX(FTE_Allocation!$E$2:$E$201,$AB177)&amp;""),"")))</f>
        <v/>
      </c>
      <c r="F177" s="7">
        <f>IF($Z177="C",INDEX(Contracts!$Q$2:$Q$151,$AB177)&amp;"",IF($Z177="A",INDEX(Fixed_Assets!$L$2:$L$201,$AB177)&amp;"",IF($Z177="F",INDEX(Workforce!$K$2:$K$151,MATCH(INDEX(FTE_Allocation!$A$2:$A$201,$AB177),Workforce!$A$2:$A$151,0))&amp;"","")))</f>
        <v/>
      </c>
      <c r="G177" s="7">
        <f>IF($Z177="C",INDEX(Contracts!$F$2:$F$151,$AB177)&amp;" / "&amp;INDEX(Contracts!$G$2:$G$151,$AB177),IF($Z177="A",INDEX(Fixed_Assets!$E$2:$E$201,$AB177)&amp;"",IF($Z177="F","Personnel "&amp;INDEX(FTE_Allocation!$A$2:$A$201,$AB177)&amp;IF(INDEX(FTE_Allocation!$D$2:$D$201,$AB177)="PROJECT"," ("&amp;INDEX(FTE_Allocation!$E$2:$E$201,$AB177)&amp;")",""),"")))</f>
        <v/>
      </c>
      <c r="H177" s="7">
        <f>IF($Z177="C","CONTRACT",IF($Z177="A","ASSET",IF($Z177="F","WORKFORCE","")))</f>
        <v/>
      </c>
      <c r="I177" s="7">
        <f>IF($Z177="C",INDEX(Contracts!$L$2:$L$151,$AB177)&amp;"",IF($Z177="A",INDEX(Fixed_Assets!$I$2:$I$201,$AB177)&amp;"",IF($Z177="F",INDEX(Workforce!$G$2:$G$151,MATCH(INDEX(FTE_Allocation!$A$2:$A$201,$AB177),Workforce!$A$2:$A$151,0))&amp;"","")))</f>
        <v/>
      </c>
      <c r="J177" s="18">
        <f>IF($Z177="","",IF(AND(DATE($AD177,1,1)&gt;=$AE177,DATE($AD177,1,1)&lt;=$AF177),ROUND($AG177,2),0))</f>
        <v/>
      </c>
      <c r="K177" s="18">
        <f>IF($Z177="","",IF(AND(DATE($AD177,2,1)&gt;=$AE177,DATE($AD177,2,1)&lt;=$AF177),ROUND($AG177,2),0))</f>
        <v/>
      </c>
      <c r="L177" s="18">
        <f>IF($Z177="","",IF(AND(DATE($AD177,3,1)&gt;=$AE177,DATE($AD177,3,1)&lt;=$AF177),ROUND($AG177,2),0))</f>
        <v/>
      </c>
      <c r="M177" s="18">
        <f>IF($Z177="","",IF(AND(DATE($AD177,4,1)&gt;=$AE177,DATE($AD177,4,1)&lt;=$AF177),ROUND($AG177,2),0))</f>
        <v/>
      </c>
      <c r="N177" s="18">
        <f>IF($Z177="","",IF(AND(DATE($AD177,5,1)&gt;=$AE177,DATE($AD177,5,1)&lt;=$AF177),ROUND($AG177,2),0))</f>
        <v/>
      </c>
      <c r="O177" s="18">
        <f>IF($Z177="","",IF(AND(DATE($AD177,6,1)&gt;=$AE177,DATE($AD177,6,1)&lt;=$AF177),ROUND($AG177,2),0))</f>
        <v/>
      </c>
      <c r="P177" s="18">
        <f>IF($Z177="","",IF(AND(DATE($AD177,7,1)&gt;=$AE177,DATE($AD177,7,1)&lt;=$AF177),ROUND($AG177,2),0))</f>
        <v/>
      </c>
      <c r="Q177" s="18">
        <f>IF($Z177="","",IF(AND(DATE($AD177,8,1)&gt;=$AE177,DATE($AD177,8,1)&lt;=$AF177),ROUND($AG177,2),0))</f>
        <v/>
      </c>
      <c r="R177" s="18">
        <f>IF($Z177="","",IF(AND(DATE($AD177,9,1)&gt;=$AE177,DATE($AD177,9,1)&lt;=$AF177),ROUND($AG177,2),0))</f>
        <v/>
      </c>
      <c r="S177" s="18">
        <f>IF($Z177="","",IF(AND(DATE($AD177,10,1)&gt;=$AE177,DATE($AD177,10,1)&lt;=$AF177),ROUND($AG177,2),0))</f>
        <v/>
      </c>
      <c r="T177" s="18">
        <f>IF($Z177="","",IF(AND(DATE($AD177,11,1)&gt;=$AE177,DATE($AD177,11,1)&lt;=$AF177),ROUND($AG177,2),0))</f>
        <v/>
      </c>
      <c r="U177" s="18">
        <f>IF($Z177="","",IF(AND(DATE($AD177,12,1)&gt;=$AE177,DATE($AD177,12,1)&lt;=$AF177),ROUND($AG177,2),0))</f>
        <v/>
      </c>
      <c r="V177" s="7">
        <f>IF($Z177="C","Generated from "&amp;INDEX(Contracts!$A$2:$A$151,$AB177),IF($Z177="A","Generated from "&amp;INDEX(Fixed_Assets!$A$2:$A$201,$AB177),IF($Z177="F","Generated from "&amp;INDEX(FTE_Allocation!$A$2:$A$201,$AB177),"")))</f>
        <v/>
      </c>
      <c r="X177" s="19">
        <f>IF($Z177="","",SUM(J177:U177))</f>
        <v/>
      </c>
      <c r="Y177" s="20">
        <f>ROW()-1</f>
        <v/>
      </c>
      <c r="Z177" s="20">
        <f>IF($Y177&lt;=Settings!$B$4*3,"C",IF($Y177&lt;=(Settings!$B$4+Settings!$B$5)*3,"A",IF($Y177&lt;=(Settings!$B$4+Settings!$B$5+Settings!$B$6)*3,"F","")))</f>
        <v/>
      </c>
      <c r="AA177" s="20">
        <f>IF($Z177="C",$Y177,IF($Z177="A",$Y177-Settings!$B$4*3,IF($Z177="F",$Y177-(Settings!$B$4+Settings!$B$5)*3,"")))</f>
        <v/>
      </c>
      <c r="AB177" s="20">
        <f>IF($Z177="","",INT(($AA177-1)/3)+1)</f>
        <v/>
      </c>
      <c r="AC177" s="20">
        <f>IF($Z177="","",MOD($AA177-1,3)+1)</f>
        <v/>
      </c>
      <c r="AD177" s="20">
        <f>IF($Z177="","",Settings!$B$2+$AC177-1)</f>
        <v/>
      </c>
      <c r="AE177" s="21">
        <f>IF($Z177="C",DATE(YEAR(INDEX(Contracts!$J$2:$J$151,$AB177)),MONTH(INDEX(Contracts!$J$2:$J$151,$AB177)),1),IF($Z177="A",DATE(YEAR(INDEX(Fixed_Assets!$G$2:$G$201,$AB177)),MONTH(INDEX(Fixed_Assets!$G$2:$G$201,$AB177)),1),IF($Z177="F",DATE(YEAR(MAX(N(INDEX(Workforce!$I$2:$I$151,MATCH(INDEX(FTE_Allocation!$A$2:$A$201,$AB177),Workforce!$A$2:$A$151,0))),N(INDEX(FTE_Allocation!$I$2:$I$201,$AB177)))),MONTH(MAX(N(INDEX(Workforce!$I$2:$I$151,MATCH(INDEX(FTE_Allocation!$A$2:$A$201,$AB177),Workforce!$A$2:$A$151,0))),N(INDEX(FTE_Allocation!$I$2:$I$201,$AB177)))),1),"")))</f>
        <v/>
      </c>
      <c r="AF177" s="21">
        <f>IF($Z177="C",IF(INDEX(Contracts!$I$2:$I$151,$AB177)="PREPAID",EDATE(DATE(YEAR(INDEX(Contracts!$J$2:$J$151,$AB177)),MONTH(INDEX(Contracts!$J$2:$J$151,$AB177)),1),IF(INDEX(Contracts!$N$2:$N$151,$AB177)="",12,INDEX(Contracts!$N$2:$N$151,$AB177))-1),IF(INDEX(Contracts!$I$2:$I$151,$AB177)="MONTHLY",IF(INDEX(Contracts!$K$2:$K$151,$AB177)="",2958101,INDEX(Contracts!$K$2:$K$151,$AB177)),0)),IF($Z177="A",EDATE(DATE(YEAR(INDEX(Fixed_Assets!$G$2:$G$201,$AB177)),MONTH(INDEX(Fixed_Assets!$G$2:$G$201,$AB177)),1),INDEX(Fixed_Assets!$J$2:$J$201,$AB177)-1),IF($Z177="F",MIN(IF(INDEX(Workforce!$J$2:$J$151,MATCH(INDEX(FTE_Allocation!$A$2:$A$201,$AB177),Workforce!$A$2:$A$151,0))="",2958101,INDEX(Workforce!$J$2:$J$151,MATCH(INDEX(FTE_Allocation!$A$2:$A$201,$AB177),Workforce!$A$2:$A$151,0))),IF(INDEX(FTE_Allocation!$J$2:$J$201,$AB177)="",2958101,INDEX(FTE_Allocation!$J$2:$J$201,$AB177))),"")))</f>
        <v/>
      </c>
      <c r="AG177" s="19">
        <f>IF($Z177="C",IF(INDEX(Contracts!$I$2:$I$151,$AB177)="PREPAID",INDEX(Contracts!$M$2:$M$151,$AB177)/IF(INDEX(Contracts!$N$2:$N$151,$AB177)="",12,INDEX(Contracts!$N$2:$N$151,$AB177)),IF(INDEX(Contracts!$I$2:$I$151,$AB177)="MONTHLY",INDEX(Contracts!$M$2:$M$151,$AB177),0))*(1-N(INDEX(Contracts!$O$2:$O$151,$AB177))),IF($Z177="A",INDEX(Fixed_Assets!$H$2:$H$201,$AB177)/INDEX(Fixed_Assets!$J$2:$J$201,$AB177),IF($Z177="F",INDEX(Workforce!$F$2:$F$151,MATCH(INDEX(FTE_Allocation!$A$2:$A$201,$AB177),Workforce!$A$2:$A$151,0))*N(INDEX(FTE_Allocation!$F$2:$H$201,$AB177,$AC177)),"")))</f>
        <v/>
      </c>
    </row>
    <row r="178">
      <c r="A178" s="7">
        <f>IF($Z178="","",$AD178)</f>
        <v/>
      </c>
      <c r="B178" s="7">
        <f>IF($Z178="C",INDEX(Contracts!$D$2:$D$151,$AB178)&amp;"",IF($Z178="A",INDEX(Fixed_Assets!$C$2:$C$201,$AB178)&amp;"",IF($Z178="F",INDEX(Workforce!$B$2:$B$151,MATCH(INDEX(FTE_Allocation!$A$2:$A$201,$AB178),Workforce!$A$2:$A$151,0))&amp;"","")))</f>
        <v/>
      </c>
      <c r="C178" s="7">
        <f>IF($Z178="C",INDEX(Contracts!$E$2:$E$151,$AB178)&amp;"",IF($Z178="A",INDEX(Fixed_Assets!$D$2:$D$201,$AB178)&amp;"",IF($Z178="F",INDEX(FTE_Allocation!$C$2:$C$201,$AB178)&amp;"","")))</f>
        <v/>
      </c>
      <c r="D178" s="7">
        <f>IF($Z178="C",INDEX(Contracts!$B$2:$B$151,$AB178)&amp;"",IF($Z178="A",INDEX(Fixed_Assets!$B$2:$B$201,$AB178)&amp;"",IF($Z178="F",INDEX(FTE_Allocation!$B$2:$B$201,$AB178)&amp;"","")))</f>
        <v/>
      </c>
      <c r="E178" s="7">
        <f>IF($Z178="C",INDEX(Contracts!$P$2:$P$151,$AB178)&amp;"",IF($Z178="A",INDEX(Fixed_Assets!$K$2:$K$201,$AB178)&amp;"",IF($Z178="F",IF(INDEX(FTE_Allocation!$D$2:$D$201,$AB178)="PROJECT",IFERROR(INDEX(Projects!$D:$D,MATCH(INDEX(FTE_Allocation!$E$2:$E$201,$AB178),Projects!$A:$A,0))&amp;"","#PROJECT?"),INDEX(FTE_Allocation!$E$2:$E$201,$AB178)&amp;""),"")))</f>
        <v/>
      </c>
      <c r="F178" s="7">
        <f>IF($Z178="C",INDEX(Contracts!$Q$2:$Q$151,$AB178)&amp;"",IF($Z178="A",INDEX(Fixed_Assets!$L$2:$L$201,$AB178)&amp;"",IF($Z178="F",INDEX(Workforce!$K$2:$K$151,MATCH(INDEX(FTE_Allocation!$A$2:$A$201,$AB178),Workforce!$A$2:$A$151,0))&amp;"","")))</f>
        <v/>
      </c>
      <c r="G178" s="7">
        <f>IF($Z178="C",INDEX(Contracts!$F$2:$F$151,$AB178)&amp;" / "&amp;INDEX(Contracts!$G$2:$G$151,$AB178),IF($Z178="A",INDEX(Fixed_Assets!$E$2:$E$201,$AB178)&amp;"",IF($Z178="F","Personnel "&amp;INDEX(FTE_Allocation!$A$2:$A$201,$AB178)&amp;IF(INDEX(FTE_Allocation!$D$2:$D$201,$AB178)="PROJECT"," ("&amp;INDEX(FTE_Allocation!$E$2:$E$201,$AB178)&amp;")",""),"")))</f>
        <v/>
      </c>
      <c r="H178" s="7">
        <f>IF($Z178="C","CONTRACT",IF($Z178="A","ASSET",IF($Z178="F","WORKFORCE","")))</f>
        <v/>
      </c>
      <c r="I178" s="7">
        <f>IF($Z178="C",INDEX(Contracts!$L$2:$L$151,$AB178)&amp;"",IF($Z178="A",INDEX(Fixed_Assets!$I$2:$I$201,$AB178)&amp;"",IF($Z178="F",INDEX(Workforce!$G$2:$G$151,MATCH(INDEX(FTE_Allocation!$A$2:$A$201,$AB178),Workforce!$A$2:$A$151,0))&amp;"","")))</f>
        <v/>
      </c>
      <c r="J178" s="18">
        <f>IF($Z178="","",IF(AND(DATE($AD178,1,1)&gt;=$AE178,DATE($AD178,1,1)&lt;=$AF178),ROUND($AG178,2),0))</f>
        <v/>
      </c>
      <c r="K178" s="18">
        <f>IF($Z178="","",IF(AND(DATE($AD178,2,1)&gt;=$AE178,DATE($AD178,2,1)&lt;=$AF178),ROUND($AG178,2),0))</f>
        <v/>
      </c>
      <c r="L178" s="18">
        <f>IF($Z178="","",IF(AND(DATE($AD178,3,1)&gt;=$AE178,DATE($AD178,3,1)&lt;=$AF178),ROUND($AG178,2),0))</f>
        <v/>
      </c>
      <c r="M178" s="18">
        <f>IF($Z178="","",IF(AND(DATE($AD178,4,1)&gt;=$AE178,DATE($AD178,4,1)&lt;=$AF178),ROUND($AG178,2),0))</f>
        <v/>
      </c>
      <c r="N178" s="18">
        <f>IF($Z178="","",IF(AND(DATE($AD178,5,1)&gt;=$AE178,DATE($AD178,5,1)&lt;=$AF178),ROUND($AG178,2),0))</f>
        <v/>
      </c>
      <c r="O178" s="18">
        <f>IF($Z178="","",IF(AND(DATE($AD178,6,1)&gt;=$AE178,DATE($AD178,6,1)&lt;=$AF178),ROUND($AG178,2),0))</f>
        <v/>
      </c>
      <c r="P178" s="18">
        <f>IF($Z178="","",IF(AND(DATE($AD178,7,1)&gt;=$AE178,DATE($AD178,7,1)&lt;=$AF178),ROUND($AG178,2),0))</f>
        <v/>
      </c>
      <c r="Q178" s="18">
        <f>IF($Z178="","",IF(AND(DATE($AD178,8,1)&gt;=$AE178,DATE($AD178,8,1)&lt;=$AF178),ROUND($AG178,2),0))</f>
        <v/>
      </c>
      <c r="R178" s="18">
        <f>IF($Z178="","",IF(AND(DATE($AD178,9,1)&gt;=$AE178,DATE($AD178,9,1)&lt;=$AF178),ROUND($AG178,2),0))</f>
        <v/>
      </c>
      <c r="S178" s="18">
        <f>IF($Z178="","",IF(AND(DATE($AD178,10,1)&gt;=$AE178,DATE($AD178,10,1)&lt;=$AF178),ROUND($AG178,2),0))</f>
        <v/>
      </c>
      <c r="T178" s="18">
        <f>IF($Z178="","",IF(AND(DATE($AD178,11,1)&gt;=$AE178,DATE($AD178,11,1)&lt;=$AF178),ROUND($AG178,2),0))</f>
        <v/>
      </c>
      <c r="U178" s="18">
        <f>IF($Z178="","",IF(AND(DATE($AD178,12,1)&gt;=$AE178,DATE($AD178,12,1)&lt;=$AF178),ROUND($AG178,2),0))</f>
        <v/>
      </c>
      <c r="V178" s="7">
        <f>IF($Z178="C","Generated from "&amp;INDEX(Contracts!$A$2:$A$151,$AB178),IF($Z178="A","Generated from "&amp;INDEX(Fixed_Assets!$A$2:$A$201,$AB178),IF($Z178="F","Generated from "&amp;INDEX(FTE_Allocation!$A$2:$A$201,$AB178),"")))</f>
        <v/>
      </c>
      <c r="X178" s="19">
        <f>IF($Z178="","",SUM(J178:U178))</f>
        <v/>
      </c>
      <c r="Y178" s="20">
        <f>ROW()-1</f>
        <v/>
      </c>
      <c r="Z178" s="20">
        <f>IF($Y178&lt;=Settings!$B$4*3,"C",IF($Y178&lt;=(Settings!$B$4+Settings!$B$5)*3,"A",IF($Y178&lt;=(Settings!$B$4+Settings!$B$5+Settings!$B$6)*3,"F","")))</f>
        <v/>
      </c>
      <c r="AA178" s="20">
        <f>IF($Z178="C",$Y178,IF($Z178="A",$Y178-Settings!$B$4*3,IF($Z178="F",$Y178-(Settings!$B$4+Settings!$B$5)*3,"")))</f>
        <v/>
      </c>
      <c r="AB178" s="20">
        <f>IF($Z178="","",INT(($AA178-1)/3)+1)</f>
        <v/>
      </c>
      <c r="AC178" s="20">
        <f>IF($Z178="","",MOD($AA178-1,3)+1)</f>
        <v/>
      </c>
      <c r="AD178" s="20">
        <f>IF($Z178="","",Settings!$B$2+$AC178-1)</f>
        <v/>
      </c>
      <c r="AE178" s="21">
        <f>IF($Z178="C",DATE(YEAR(INDEX(Contracts!$J$2:$J$151,$AB178)),MONTH(INDEX(Contracts!$J$2:$J$151,$AB178)),1),IF($Z178="A",DATE(YEAR(INDEX(Fixed_Assets!$G$2:$G$201,$AB178)),MONTH(INDEX(Fixed_Assets!$G$2:$G$201,$AB178)),1),IF($Z178="F",DATE(YEAR(MAX(N(INDEX(Workforce!$I$2:$I$151,MATCH(INDEX(FTE_Allocation!$A$2:$A$201,$AB178),Workforce!$A$2:$A$151,0))),N(INDEX(FTE_Allocation!$I$2:$I$201,$AB178)))),MONTH(MAX(N(INDEX(Workforce!$I$2:$I$151,MATCH(INDEX(FTE_Allocation!$A$2:$A$201,$AB178),Workforce!$A$2:$A$151,0))),N(INDEX(FTE_Allocation!$I$2:$I$201,$AB178)))),1),"")))</f>
        <v/>
      </c>
      <c r="AF178" s="21">
        <f>IF($Z178="C",IF(INDEX(Contracts!$I$2:$I$151,$AB178)="PREPAID",EDATE(DATE(YEAR(INDEX(Contracts!$J$2:$J$151,$AB178)),MONTH(INDEX(Contracts!$J$2:$J$151,$AB178)),1),IF(INDEX(Contracts!$N$2:$N$151,$AB178)="",12,INDEX(Contracts!$N$2:$N$151,$AB178))-1),IF(INDEX(Contracts!$I$2:$I$151,$AB178)="MONTHLY",IF(INDEX(Contracts!$K$2:$K$151,$AB178)="",2958101,INDEX(Contracts!$K$2:$K$151,$AB178)),0)),IF($Z178="A",EDATE(DATE(YEAR(INDEX(Fixed_Assets!$G$2:$G$201,$AB178)),MONTH(INDEX(Fixed_Assets!$G$2:$G$201,$AB178)),1),INDEX(Fixed_Assets!$J$2:$J$201,$AB178)-1),IF($Z178="F",MIN(IF(INDEX(Workforce!$J$2:$J$151,MATCH(INDEX(FTE_Allocation!$A$2:$A$201,$AB178),Workforce!$A$2:$A$151,0))="",2958101,INDEX(Workforce!$J$2:$J$151,MATCH(INDEX(FTE_Allocation!$A$2:$A$201,$AB178),Workforce!$A$2:$A$151,0))),IF(INDEX(FTE_Allocation!$J$2:$J$201,$AB178)="",2958101,INDEX(FTE_Allocation!$J$2:$J$201,$AB178))),"")))</f>
        <v/>
      </c>
      <c r="AG178" s="19">
        <f>IF($Z178="C",IF(INDEX(Contracts!$I$2:$I$151,$AB178)="PREPAID",INDEX(Contracts!$M$2:$M$151,$AB178)/IF(INDEX(Contracts!$N$2:$N$151,$AB178)="",12,INDEX(Contracts!$N$2:$N$151,$AB178)),IF(INDEX(Contracts!$I$2:$I$151,$AB178)="MONTHLY",INDEX(Contracts!$M$2:$M$151,$AB178),0))*(1-N(INDEX(Contracts!$O$2:$O$151,$AB178))),IF($Z178="A",INDEX(Fixed_Assets!$H$2:$H$201,$AB178)/INDEX(Fixed_Assets!$J$2:$J$201,$AB178),IF($Z178="F",INDEX(Workforce!$F$2:$F$151,MATCH(INDEX(FTE_Allocation!$A$2:$A$201,$AB178),Workforce!$A$2:$A$151,0))*N(INDEX(FTE_Allocation!$F$2:$H$201,$AB178,$AC178)),"")))</f>
        <v/>
      </c>
    </row>
    <row r="179">
      <c r="A179" s="7">
        <f>IF($Z179="","",$AD179)</f>
        <v/>
      </c>
      <c r="B179" s="7">
        <f>IF($Z179="C",INDEX(Contracts!$D$2:$D$151,$AB179)&amp;"",IF($Z179="A",INDEX(Fixed_Assets!$C$2:$C$201,$AB179)&amp;"",IF($Z179="F",INDEX(Workforce!$B$2:$B$151,MATCH(INDEX(FTE_Allocation!$A$2:$A$201,$AB179),Workforce!$A$2:$A$151,0))&amp;"","")))</f>
        <v/>
      </c>
      <c r="C179" s="7">
        <f>IF($Z179="C",INDEX(Contracts!$E$2:$E$151,$AB179)&amp;"",IF($Z179="A",INDEX(Fixed_Assets!$D$2:$D$201,$AB179)&amp;"",IF($Z179="F",INDEX(FTE_Allocation!$C$2:$C$201,$AB179)&amp;"","")))</f>
        <v/>
      </c>
      <c r="D179" s="7">
        <f>IF($Z179="C",INDEX(Contracts!$B$2:$B$151,$AB179)&amp;"",IF($Z179="A",INDEX(Fixed_Assets!$B$2:$B$201,$AB179)&amp;"",IF($Z179="F",INDEX(FTE_Allocation!$B$2:$B$201,$AB179)&amp;"","")))</f>
        <v/>
      </c>
      <c r="E179" s="7">
        <f>IF($Z179="C",INDEX(Contracts!$P$2:$P$151,$AB179)&amp;"",IF($Z179="A",INDEX(Fixed_Assets!$K$2:$K$201,$AB179)&amp;"",IF($Z179="F",IF(INDEX(FTE_Allocation!$D$2:$D$201,$AB179)="PROJECT",IFERROR(INDEX(Projects!$D:$D,MATCH(INDEX(FTE_Allocation!$E$2:$E$201,$AB179),Projects!$A:$A,0))&amp;"","#PROJECT?"),INDEX(FTE_Allocation!$E$2:$E$201,$AB179)&amp;""),"")))</f>
        <v/>
      </c>
      <c r="F179" s="7">
        <f>IF($Z179="C",INDEX(Contracts!$Q$2:$Q$151,$AB179)&amp;"",IF($Z179="A",INDEX(Fixed_Assets!$L$2:$L$201,$AB179)&amp;"",IF($Z179="F",INDEX(Workforce!$K$2:$K$151,MATCH(INDEX(FTE_Allocation!$A$2:$A$201,$AB179),Workforce!$A$2:$A$151,0))&amp;"","")))</f>
        <v/>
      </c>
      <c r="G179" s="7">
        <f>IF($Z179="C",INDEX(Contracts!$F$2:$F$151,$AB179)&amp;" / "&amp;INDEX(Contracts!$G$2:$G$151,$AB179),IF($Z179="A",INDEX(Fixed_Assets!$E$2:$E$201,$AB179)&amp;"",IF($Z179="F","Personnel "&amp;INDEX(FTE_Allocation!$A$2:$A$201,$AB179)&amp;IF(INDEX(FTE_Allocation!$D$2:$D$201,$AB179)="PROJECT"," ("&amp;INDEX(FTE_Allocation!$E$2:$E$201,$AB179)&amp;")",""),"")))</f>
        <v/>
      </c>
      <c r="H179" s="7">
        <f>IF($Z179="C","CONTRACT",IF($Z179="A","ASSET",IF($Z179="F","WORKFORCE","")))</f>
        <v/>
      </c>
      <c r="I179" s="7">
        <f>IF($Z179="C",INDEX(Contracts!$L$2:$L$151,$AB179)&amp;"",IF($Z179="A",INDEX(Fixed_Assets!$I$2:$I$201,$AB179)&amp;"",IF($Z179="F",INDEX(Workforce!$G$2:$G$151,MATCH(INDEX(FTE_Allocation!$A$2:$A$201,$AB179),Workforce!$A$2:$A$151,0))&amp;"","")))</f>
        <v/>
      </c>
      <c r="J179" s="18">
        <f>IF($Z179="","",IF(AND(DATE($AD179,1,1)&gt;=$AE179,DATE($AD179,1,1)&lt;=$AF179),ROUND($AG179,2),0))</f>
        <v/>
      </c>
      <c r="K179" s="18">
        <f>IF($Z179="","",IF(AND(DATE($AD179,2,1)&gt;=$AE179,DATE($AD179,2,1)&lt;=$AF179),ROUND($AG179,2),0))</f>
        <v/>
      </c>
      <c r="L179" s="18">
        <f>IF($Z179="","",IF(AND(DATE($AD179,3,1)&gt;=$AE179,DATE($AD179,3,1)&lt;=$AF179),ROUND($AG179,2),0))</f>
        <v/>
      </c>
      <c r="M179" s="18">
        <f>IF($Z179="","",IF(AND(DATE($AD179,4,1)&gt;=$AE179,DATE($AD179,4,1)&lt;=$AF179),ROUND($AG179,2),0))</f>
        <v/>
      </c>
      <c r="N179" s="18">
        <f>IF($Z179="","",IF(AND(DATE($AD179,5,1)&gt;=$AE179,DATE($AD179,5,1)&lt;=$AF179),ROUND($AG179,2),0))</f>
        <v/>
      </c>
      <c r="O179" s="18">
        <f>IF($Z179="","",IF(AND(DATE($AD179,6,1)&gt;=$AE179,DATE($AD179,6,1)&lt;=$AF179),ROUND($AG179,2),0))</f>
        <v/>
      </c>
      <c r="P179" s="18">
        <f>IF($Z179="","",IF(AND(DATE($AD179,7,1)&gt;=$AE179,DATE($AD179,7,1)&lt;=$AF179),ROUND($AG179,2),0))</f>
        <v/>
      </c>
      <c r="Q179" s="18">
        <f>IF($Z179="","",IF(AND(DATE($AD179,8,1)&gt;=$AE179,DATE($AD179,8,1)&lt;=$AF179),ROUND($AG179,2),0))</f>
        <v/>
      </c>
      <c r="R179" s="18">
        <f>IF($Z179="","",IF(AND(DATE($AD179,9,1)&gt;=$AE179,DATE($AD179,9,1)&lt;=$AF179),ROUND($AG179,2),0))</f>
        <v/>
      </c>
      <c r="S179" s="18">
        <f>IF($Z179="","",IF(AND(DATE($AD179,10,1)&gt;=$AE179,DATE($AD179,10,1)&lt;=$AF179),ROUND($AG179,2),0))</f>
        <v/>
      </c>
      <c r="T179" s="18">
        <f>IF($Z179="","",IF(AND(DATE($AD179,11,1)&gt;=$AE179,DATE($AD179,11,1)&lt;=$AF179),ROUND($AG179,2),0))</f>
        <v/>
      </c>
      <c r="U179" s="18">
        <f>IF($Z179="","",IF(AND(DATE($AD179,12,1)&gt;=$AE179,DATE($AD179,12,1)&lt;=$AF179),ROUND($AG179,2),0))</f>
        <v/>
      </c>
      <c r="V179" s="7">
        <f>IF($Z179="C","Generated from "&amp;INDEX(Contracts!$A$2:$A$151,$AB179),IF($Z179="A","Generated from "&amp;INDEX(Fixed_Assets!$A$2:$A$201,$AB179),IF($Z179="F","Generated from "&amp;INDEX(FTE_Allocation!$A$2:$A$201,$AB179),"")))</f>
        <v/>
      </c>
      <c r="X179" s="19">
        <f>IF($Z179="","",SUM(J179:U179))</f>
        <v/>
      </c>
      <c r="Y179" s="20">
        <f>ROW()-1</f>
        <v/>
      </c>
      <c r="Z179" s="20">
        <f>IF($Y179&lt;=Settings!$B$4*3,"C",IF($Y179&lt;=(Settings!$B$4+Settings!$B$5)*3,"A",IF($Y179&lt;=(Settings!$B$4+Settings!$B$5+Settings!$B$6)*3,"F","")))</f>
        <v/>
      </c>
      <c r="AA179" s="20">
        <f>IF($Z179="C",$Y179,IF($Z179="A",$Y179-Settings!$B$4*3,IF($Z179="F",$Y179-(Settings!$B$4+Settings!$B$5)*3,"")))</f>
        <v/>
      </c>
      <c r="AB179" s="20">
        <f>IF($Z179="","",INT(($AA179-1)/3)+1)</f>
        <v/>
      </c>
      <c r="AC179" s="20">
        <f>IF($Z179="","",MOD($AA179-1,3)+1)</f>
        <v/>
      </c>
      <c r="AD179" s="20">
        <f>IF($Z179="","",Settings!$B$2+$AC179-1)</f>
        <v/>
      </c>
      <c r="AE179" s="21">
        <f>IF($Z179="C",DATE(YEAR(INDEX(Contracts!$J$2:$J$151,$AB179)),MONTH(INDEX(Contracts!$J$2:$J$151,$AB179)),1),IF($Z179="A",DATE(YEAR(INDEX(Fixed_Assets!$G$2:$G$201,$AB179)),MONTH(INDEX(Fixed_Assets!$G$2:$G$201,$AB179)),1),IF($Z179="F",DATE(YEAR(MAX(N(INDEX(Workforce!$I$2:$I$151,MATCH(INDEX(FTE_Allocation!$A$2:$A$201,$AB179),Workforce!$A$2:$A$151,0))),N(INDEX(FTE_Allocation!$I$2:$I$201,$AB179)))),MONTH(MAX(N(INDEX(Workforce!$I$2:$I$151,MATCH(INDEX(FTE_Allocation!$A$2:$A$201,$AB179),Workforce!$A$2:$A$151,0))),N(INDEX(FTE_Allocation!$I$2:$I$201,$AB179)))),1),"")))</f>
        <v/>
      </c>
      <c r="AF179" s="21">
        <f>IF($Z179="C",IF(INDEX(Contracts!$I$2:$I$151,$AB179)="PREPAID",EDATE(DATE(YEAR(INDEX(Contracts!$J$2:$J$151,$AB179)),MONTH(INDEX(Contracts!$J$2:$J$151,$AB179)),1),IF(INDEX(Contracts!$N$2:$N$151,$AB179)="",12,INDEX(Contracts!$N$2:$N$151,$AB179))-1),IF(INDEX(Contracts!$I$2:$I$151,$AB179)="MONTHLY",IF(INDEX(Contracts!$K$2:$K$151,$AB179)="",2958101,INDEX(Contracts!$K$2:$K$151,$AB179)),0)),IF($Z179="A",EDATE(DATE(YEAR(INDEX(Fixed_Assets!$G$2:$G$201,$AB179)),MONTH(INDEX(Fixed_Assets!$G$2:$G$201,$AB179)),1),INDEX(Fixed_Assets!$J$2:$J$201,$AB179)-1),IF($Z179="F",MIN(IF(INDEX(Workforce!$J$2:$J$151,MATCH(INDEX(FTE_Allocation!$A$2:$A$201,$AB179),Workforce!$A$2:$A$151,0))="",2958101,INDEX(Workforce!$J$2:$J$151,MATCH(INDEX(FTE_Allocation!$A$2:$A$201,$AB179),Workforce!$A$2:$A$151,0))),IF(INDEX(FTE_Allocation!$J$2:$J$201,$AB179)="",2958101,INDEX(FTE_Allocation!$J$2:$J$201,$AB179))),"")))</f>
        <v/>
      </c>
      <c r="AG179" s="19">
        <f>IF($Z179="C",IF(INDEX(Contracts!$I$2:$I$151,$AB179)="PREPAID",INDEX(Contracts!$M$2:$M$151,$AB179)/IF(INDEX(Contracts!$N$2:$N$151,$AB179)="",12,INDEX(Contracts!$N$2:$N$151,$AB179)),IF(INDEX(Contracts!$I$2:$I$151,$AB179)="MONTHLY",INDEX(Contracts!$M$2:$M$151,$AB179),0))*(1-N(INDEX(Contracts!$O$2:$O$151,$AB179))),IF($Z179="A",INDEX(Fixed_Assets!$H$2:$H$201,$AB179)/INDEX(Fixed_Assets!$J$2:$J$201,$AB179),IF($Z179="F",INDEX(Workforce!$F$2:$F$151,MATCH(INDEX(FTE_Allocation!$A$2:$A$201,$AB179),Workforce!$A$2:$A$151,0))*N(INDEX(FTE_Allocation!$F$2:$H$201,$AB179,$AC179)),"")))</f>
        <v/>
      </c>
    </row>
    <row r="180">
      <c r="A180" s="7">
        <f>IF($Z180="","",$AD180)</f>
        <v/>
      </c>
      <c r="B180" s="7">
        <f>IF($Z180="C",INDEX(Contracts!$D$2:$D$151,$AB180)&amp;"",IF($Z180="A",INDEX(Fixed_Assets!$C$2:$C$201,$AB180)&amp;"",IF($Z180="F",INDEX(Workforce!$B$2:$B$151,MATCH(INDEX(FTE_Allocation!$A$2:$A$201,$AB180),Workforce!$A$2:$A$151,0))&amp;"","")))</f>
        <v/>
      </c>
      <c r="C180" s="7">
        <f>IF($Z180="C",INDEX(Contracts!$E$2:$E$151,$AB180)&amp;"",IF($Z180="A",INDEX(Fixed_Assets!$D$2:$D$201,$AB180)&amp;"",IF($Z180="F",INDEX(FTE_Allocation!$C$2:$C$201,$AB180)&amp;"","")))</f>
        <v/>
      </c>
      <c r="D180" s="7">
        <f>IF($Z180="C",INDEX(Contracts!$B$2:$B$151,$AB180)&amp;"",IF($Z180="A",INDEX(Fixed_Assets!$B$2:$B$201,$AB180)&amp;"",IF($Z180="F",INDEX(FTE_Allocation!$B$2:$B$201,$AB180)&amp;"","")))</f>
        <v/>
      </c>
      <c r="E180" s="7">
        <f>IF($Z180="C",INDEX(Contracts!$P$2:$P$151,$AB180)&amp;"",IF($Z180="A",INDEX(Fixed_Assets!$K$2:$K$201,$AB180)&amp;"",IF($Z180="F",IF(INDEX(FTE_Allocation!$D$2:$D$201,$AB180)="PROJECT",IFERROR(INDEX(Projects!$D:$D,MATCH(INDEX(FTE_Allocation!$E$2:$E$201,$AB180),Projects!$A:$A,0))&amp;"","#PROJECT?"),INDEX(FTE_Allocation!$E$2:$E$201,$AB180)&amp;""),"")))</f>
        <v/>
      </c>
      <c r="F180" s="7">
        <f>IF($Z180="C",INDEX(Contracts!$Q$2:$Q$151,$AB180)&amp;"",IF($Z180="A",INDEX(Fixed_Assets!$L$2:$L$201,$AB180)&amp;"",IF($Z180="F",INDEX(Workforce!$K$2:$K$151,MATCH(INDEX(FTE_Allocation!$A$2:$A$201,$AB180),Workforce!$A$2:$A$151,0))&amp;"","")))</f>
        <v/>
      </c>
      <c r="G180" s="7">
        <f>IF($Z180="C",INDEX(Contracts!$F$2:$F$151,$AB180)&amp;" / "&amp;INDEX(Contracts!$G$2:$G$151,$AB180),IF($Z180="A",INDEX(Fixed_Assets!$E$2:$E$201,$AB180)&amp;"",IF($Z180="F","Personnel "&amp;INDEX(FTE_Allocation!$A$2:$A$201,$AB180)&amp;IF(INDEX(FTE_Allocation!$D$2:$D$201,$AB180)="PROJECT"," ("&amp;INDEX(FTE_Allocation!$E$2:$E$201,$AB180)&amp;")",""),"")))</f>
        <v/>
      </c>
      <c r="H180" s="7">
        <f>IF($Z180="C","CONTRACT",IF($Z180="A","ASSET",IF($Z180="F","WORKFORCE","")))</f>
        <v/>
      </c>
      <c r="I180" s="7">
        <f>IF($Z180="C",INDEX(Contracts!$L$2:$L$151,$AB180)&amp;"",IF($Z180="A",INDEX(Fixed_Assets!$I$2:$I$201,$AB180)&amp;"",IF($Z180="F",INDEX(Workforce!$G$2:$G$151,MATCH(INDEX(FTE_Allocation!$A$2:$A$201,$AB180),Workforce!$A$2:$A$151,0))&amp;"","")))</f>
        <v/>
      </c>
      <c r="J180" s="18">
        <f>IF($Z180="","",IF(AND(DATE($AD180,1,1)&gt;=$AE180,DATE($AD180,1,1)&lt;=$AF180),ROUND($AG180,2),0))</f>
        <v/>
      </c>
      <c r="K180" s="18">
        <f>IF($Z180="","",IF(AND(DATE($AD180,2,1)&gt;=$AE180,DATE($AD180,2,1)&lt;=$AF180),ROUND($AG180,2),0))</f>
        <v/>
      </c>
      <c r="L180" s="18">
        <f>IF($Z180="","",IF(AND(DATE($AD180,3,1)&gt;=$AE180,DATE($AD180,3,1)&lt;=$AF180),ROUND($AG180,2),0))</f>
        <v/>
      </c>
      <c r="M180" s="18">
        <f>IF($Z180="","",IF(AND(DATE($AD180,4,1)&gt;=$AE180,DATE($AD180,4,1)&lt;=$AF180),ROUND($AG180,2),0))</f>
        <v/>
      </c>
      <c r="N180" s="18">
        <f>IF($Z180="","",IF(AND(DATE($AD180,5,1)&gt;=$AE180,DATE($AD180,5,1)&lt;=$AF180),ROUND($AG180,2),0))</f>
        <v/>
      </c>
      <c r="O180" s="18">
        <f>IF($Z180="","",IF(AND(DATE($AD180,6,1)&gt;=$AE180,DATE($AD180,6,1)&lt;=$AF180),ROUND($AG180,2),0))</f>
        <v/>
      </c>
      <c r="P180" s="18">
        <f>IF($Z180="","",IF(AND(DATE($AD180,7,1)&gt;=$AE180,DATE($AD180,7,1)&lt;=$AF180),ROUND($AG180,2),0))</f>
        <v/>
      </c>
      <c r="Q180" s="18">
        <f>IF($Z180="","",IF(AND(DATE($AD180,8,1)&gt;=$AE180,DATE($AD180,8,1)&lt;=$AF180),ROUND($AG180,2),0))</f>
        <v/>
      </c>
      <c r="R180" s="18">
        <f>IF($Z180="","",IF(AND(DATE($AD180,9,1)&gt;=$AE180,DATE($AD180,9,1)&lt;=$AF180),ROUND($AG180,2),0))</f>
        <v/>
      </c>
      <c r="S180" s="18">
        <f>IF($Z180="","",IF(AND(DATE($AD180,10,1)&gt;=$AE180,DATE($AD180,10,1)&lt;=$AF180),ROUND($AG180,2),0))</f>
        <v/>
      </c>
      <c r="T180" s="18">
        <f>IF($Z180="","",IF(AND(DATE($AD180,11,1)&gt;=$AE180,DATE($AD180,11,1)&lt;=$AF180),ROUND($AG180,2),0))</f>
        <v/>
      </c>
      <c r="U180" s="18">
        <f>IF($Z180="","",IF(AND(DATE($AD180,12,1)&gt;=$AE180,DATE($AD180,12,1)&lt;=$AF180),ROUND($AG180,2),0))</f>
        <v/>
      </c>
      <c r="V180" s="7">
        <f>IF($Z180="C","Generated from "&amp;INDEX(Contracts!$A$2:$A$151,$AB180),IF($Z180="A","Generated from "&amp;INDEX(Fixed_Assets!$A$2:$A$201,$AB180),IF($Z180="F","Generated from "&amp;INDEX(FTE_Allocation!$A$2:$A$201,$AB180),"")))</f>
        <v/>
      </c>
      <c r="X180" s="19">
        <f>IF($Z180="","",SUM(J180:U180))</f>
        <v/>
      </c>
      <c r="Y180" s="20">
        <f>ROW()-1</f>
        <v/>
      </c>
      <c r="Z180" s="20">
        <f>IF($Y180&lt;=Settings!$B$4*3,"C",IF($Y180&lt;=(Settings!$B$4+Settings!$B$5)*3,"A",IF($Y180&lt;=(Settings!$B$4+Settings!$B$5+Settings!$B$6)*3,"F","")))</f>
        <v/>
      </c>
      <c r="AA180" s="20">
        <f>IF($Z180="C",$Y180,IF($Z180="A",$Y180-Settings!$B$4*3,IF($Z180="F",$Y180-(Settings!$B$4+Settings!$B$5)*3,"")))</f>
        <v/>
      </c>
      <c r="AB180" s="20">
        <f>IF($Z180="","",INT(($AA180-1)/3)+1)</f>
        <v/>
      </c>
      <c r="AC180" s="20">
        <f>IF($Z180="","",MOD($AA180-1,3)+1)</f>
        <v/>
      </c>
      <c r="AD180" s="20">
        <f>IF($Z180="","",Settings!$B$2+$AC180-1)</f>
        <v/>
      </c>
      <c r="AE180" s="21">
        <f>IF($Z180="C",DATE(YEAR(INDEX(Contracts!$J$2:$J$151,$AB180)),MONTH(INDEX(Contracts!$J$2:$J$151,$AB180)),1),IF($Z180="A",DATE(YEAR(INDEX(Fixed_Assets!$G$2:$G$201,$AB180)),MONTH(INDEX(Fixed_Assets!$G$2:$G$201,$AB180)),1),IF($Z180="F",DATE(YEAR(MAX(N(INDEX(Workforce!$I$2:$I$151,MATCH(INDEX(FTE_Allocation!$A$2:$A$201,$AB180),Workforce!$A$2:$A$151,0))),N(INDEX(FTE_Allocation!$I$2:$I$201,$AB180)))),MONTH(MAX(N(INDEX(Workforce!$I$2:$I$151,MATCH(INDEX(FTE_Allocation!$A$2:$A$201,$AB180),Workforce!$A$2:$A$151,0))),N(INDEX(FTE_Allocation!$I$2:$I$201,$AB180)))),1),"")))</f>
        <v/>
      </c>
      <c r="AF180" s="21">
        <f>IF($Z180="C",IF(INDEX(Contracts!$I$2:$I$151,$AB180)="PREPAID",EDATE(DATE(YEAR(INDEX(Contracts!$J$2:$J$151,$AB180)),MONTH(INDEX(Contracts!$J$2:$J$151,$AB180)),1),IF(INDEX(Contracts!$N$2:$N$151,$AB180)="",12,INDEX(Contracts!$N$2:$N$151,$AB180))-1),IF(INDEX(Contracts!$I$2:$I$151,$AB180)="MONTHLY",IF(INDEX(Contracts!$K$2:$K$151,$AB180)="",2958101,INDEX(Contracts!$K$2:$K$151,$AB180)),0)),IF($Z180="A",EDATE(DATE(YEAR(INDEX(Fixed_Assets!$G$2:$G$201,$AB180)),MONTH(INDEX(Fixed_Assets!$G$2:$G$201,$AB180)),1),INDEX(Fixed_Assets!$J$2:$J$201,$AB180)-1),IF($Z180="F",MIN(IF(INDEX(Workforce!$J$2:$J$151,MATCH(INDEX(FTE_Allocation!$A$2:$A$201,$AB180),Workforce!$A$2:$A$151,0))="",2958101,INDEX(Workforce!$J$2:$J$151,MATCH(INDEX(FTE_Allocation!$A$2:$A$201,$AB180),Workforce!$A$2:$A$151,0))),IF(INDEX(FTE_Allocation!$J$2:$J$201,$AB180)="",2958101,INDEX(FTE_Allocation!$J$2:$J$201,$AB180))),"")))</f>
        <v/>
      </c>
      <c r="AG180" s="19">
        <f>IF($Z180="C",IF(INDEX(Contracts!$I$2:$I$151,$AB180)="PREPAID",INDEX(Contracts!$M$2:$M$151,$AB180)/IF(INDEX(Contracts!$N$2:$N$151,$AB180)="",12,INDEX(Contracts!$N$2:$N$151,$AB180)),IF(INDEX(Contracts!$I$2:$I$151,$AB180)="MONTHLY",INDEX(Contracts!$M$2:$M$151,$AB180),0))*(1-N(INDEX(Contracts!$O$2:$O$151,$AB180))),IF($Z180="A",INDEX(Fixed_Assets!$H$2:$H$201,$AB180)/INDEX(Fixed_Assets!$J$2:$J$201,$AB180),IF($Z180="F",INDEX(Workforce!$F$2:$F$151,MATCH(INDEX(FTE_Allocation!$A$2:$A$201,$AB180),Workforce!$A$2:$A$151,0))*N(INDEX(FTE_Allocation!$F$2:$H$201,$AB180,$AC180)),"")))</f>
        <v/>
      </c>
    </row>
    <row r="181">
      <c r="A181" s="7">
        <f>IF($Z181="","",$AD181)</f>
        <v/>
      </c>
      <c r="B181" s="7">
        <f>IF($Z181="C",INDEX(Contracts!$D$2:$D$151,$AB181)&amp;"",IF($Z181="A",INDEX(Fixed_Assets!$C$2:$C$201,$AB181)&amp;"",IF($Z181="F",INDEX(Workforce!$B$2:$B$151,MATCH(INDEX(FTE_Allocation!$A$2:$A$201,$AB181),Workforce!$A$2:$A$151,0))&amp;"","")))</f>
        <v/>
      </c>
      <c r="C181" s="7">
        <f>IF($Z181="C",INDEX(Contracts!$E$2:$E$151,$AB181)&amp;"",IF($Z181="A",INDEX(Fixed_Assets!$D$2:$D$201,$AB181)&amp;"",IF($Z181="F",INDEX(FTE_Allocation!$C$2:$C$201,$AB181)&amp;"","")))</f>
        <v/>
      </c>
      <c r="D181" s="7">
        <f>IF($Z181="C",INDEX(Contracts!$B$2:$B$151,$AB181)&amp;"",IF($Z181="A",INDEX(Fixed_Assets!$B$2:$B$201,$AB181)&amp;"",IF($Z181="F",INDEX(FTE_Allocation!$B$2:$B$201,$AB181)&amp;"","")))</f>
        <v/>
      </c>
      <c r="E181" s="7">
        <f>IF($Z181="C",INDEX(Contracts!$P$2:$P$151,$AB181)&amp;"",IF($Z181="A",INDEX(Fixed_Assets!$K$2:$K$201,$AB181)&amp;"",IF($Z181="F",IF(INDEX(FTE_Allocation!$D$2:$D$201,$AB181)="PROJECT",IFERROR(INDEX(Projects!$D:$D,MATCH(INDEX(FTE_Allocation!$E$2:$E$201,$AB181),Projects!$A:$A,0))&amp;"","#PROJECT?"),INDEX(FTE_Allocation!$E$2:$E$201,$AB181)&amp;""),"")))</f>
        <v/>
      </c>
      <c r="F181" s="7">
        <f>IF($Z181="C",INDEX(Contracts!$Q$2:$Q$151,$AB181)&amp;"",IF($Z181="A",INDEX(Fixed_Assets!$L$2:$L$201,$AB181)&amp;"",IF($Z181="F",INDEX(Workforce!$K$2:$K$151,MATCH(INDEX(FTE_Allocation!$A$2:$A$201,$AB181),Workforce!$A$2:$A$151,0))&amp;"","")))</f>
        <v/>
      </c>
      <c r="G181" s="7">
        <f>IF($Z181="C",INDEX(Contracts!$F$2:$F$151,$AB181)&amp;" / "&amp;INDEX(Contracts!$G$2:$G$151,$AB181),IF($Z181="A",INDEX(Fixed_Assets!$E$2:$E$201,$AB181)&amp;"",IF($Z181="F","Personnel "&amp;INDEX(FTE_Allocation!$A$2:$A$201,$AB181)&amp;IF(INDEX(FTE_Allocation!$D$2:$D$201,$AB181)="PROJECT"," ("&amp;INDEX(FTE_Allocation!$E$2:$E$201,$AB181)&amp;")",""),"")))</f>
        <v/>
      </c>
      <c r="H181" s="7">
        <f>IF($Z181="C","CONTRACT",IF($Z181="A","ASSET",IF($Z181="F","WORKFORCE","")))</f>
        <v/>
      </c>
      <c r="I181" s="7">
        <f>IF($Z181="C",INDEX(Contracts!$L$2:$L$151,$AB181)&amp;"",IF($Z181="A",INDEX(Fixed_Assets!$I$2:$I$201,$AB181)&amp;"",IF($Z181="F",INDEX(Workforce!$G$2:$G$151,MATCH(INDEX(FTE_Allocation!$A$2:$A$201,$AB181),Workforce!$A$2:$A$151,0))&amp;"","")))</f>
        <v/>
      </c>
      <c r="J181" s="18">
        <f>IF($Z181="","",IF(AND(DATE($AD181,1,1)&gt;=$AE181,DATE($AD181,1,1)&lt;=$AF181),ROUND($AG181,2),0))</f>
        <v/>
      </c>
      <c r="K181" s="18">
        <f>IF($Z181="","",IF(AND(DATE($AD181,2,1)&gt;=$AE181,DATE($AD181,2,1)&lt;=$AF181),ROUND($AG181,2),0))</f>
        <v/>
      </c>
      <c r="L181" s="18">
        <f>IF($Z181="","",IF(AND(DATE($AD181,3,1)&gt;=$AE181,DATE($AD181,3,1)&lt;=$AF181),ROUND($AG181,2),0))</f>
        <v/>
      </c>
      <c r="M181" s="18">
        <f>IF($Z181="","",IF(AND(DATE($AD181,4,1)&gt;=$AE181,DATE($AD181,4,1)&lt;=$AF181),ROUND($AG181,2),0))</f>
        <v/>
      </c>
      <c r="N181" s="18">
        <f>IF($Z181="","",IF(AND(DATE($AD181,5,1)&gt;=$AE181,DATE($AD181,5,1)&lt;=$AF181),ROUND($AG181,2),0))</f>
        <v/>
      </c>
      <c r="O181" s="18">
        <f>IF($Z181="","",IF(AND(DATE($AD181,6,1)&gt;=$AE181,DATE($AD181,6,1)&lt;=$AF181),ROUND($AG181,2),0))</f>
        <v/>
      </c>
      <c r="P181" s="18">
        <f>IF($Z181="","",IF(AND(DATE($AD181,7,1)&gt;=$AE181,DATE($AD181,7,1)&lt;=$AF181),ROUND($AG181,2),0))</f>
        <v/>
      </c>
      <c r="Q181" s="18">
        <f>IF($Z181="","",IF(AND(DATE($AD181,8,1)&gt;=$AE181,DATE($AD181,8,1)&lt;=$AF181),ROUND($AG181,2),0))</f>
        <v/>
      </c>
      <c r="R181" s="18">
        <f>IF($Z181="","",IF(AND(DATE($AD181,9,1)&gt;=$AE181,DATE($AD181,9,1)&lt;=$AF181),ROUND($AG181,2),0))</f>
        <v/>
      </c>
      <c r="S181" s="18">
        <f>IF($Z181="","",IF(AND(DATE($AD181,10,1)&gt;=$AE181,DATE($AD181,10,1)&lt;=$AF181),ROUND($AG181,2),0))</f>
        <v/>
      </c>
      <c r="T181" s="18">
        <f>IF($Z181="","",IF(AND(DATE($AD181,11,1)&gt;=$AE181,DATE($AD181,11,1)&lt;=$AF181),ROUND($AG181,2),0))</f>
        <v/>
      </c>
      <c r="U181" s="18">
        <f>IF($Z181="","",IF(AND(DATE($AD181,12,1)&gt;=$AE181,DATE($AD181,12,1)&lt;=$AF181),ROUND($AG181,2),0))</f>
        <v/>
      </c>
      <c r="V181" s="7">
        <f>IF($Z181="C","Generated from "&amp;INDEX(Contracts!$A$2:$A$151,$AB181),IF($Z181="A","Generated from "&amp;INDEX(Fixed_Assets!$A$2:$A$201,$AB181),IF($Z181="F","Generated from "&amp;INDEX(FTE_Allocation!$A$2:$A$201,$AB181),"")))</f>
        <v/>
      </c>
      <c r="X181" s="19">
        <f>IF($Z181="","",SUM(J181:U181))</f>
        <v/>
      </c>
      <c r="Y181" s="20">
        <f>ROW()-1</f>
        <v/>
      </c>
      <c r="Z181" s="20">
        <f>IF($Y181&lt;=Settings!$B$4*3,"C",IF($Y181&lt;=(Settings!$B$4+Settings!$B$5)*3,"A",IF($Y181&lt;=(Settings!$B$4+Settings!$B$5+Settings!$B$6)*3,"F","")))</f>
        <v/>
      </c>
      <c r="AA181" s="20">
        <f>IF($Z181="C",$Y181,IF($Z181="A",$Y181-Settings!$B$4*3,IF($Z181="F",$Y181-(Settings!$B$4+Settings!$B$5)*3,"")))</f>
        <v/>
      </c>
      <c r="AB181" s="20">
        <f>IF($Z181="","",INT(($AA181-1)/3)+1)</f>
        <v/>
      </c>
      <c r="AC181" s="20">
        <f>IF($Z181="","",MOD($AA181-1,3)+1)</f>
        <v/>
      </c>
      <c r="AD181" s="20">
        <f>IF($Z181="","",Settings!$B$2+$AC181-1)</f>
        <v/>
      </c>
      <c r="AE181" s="21">
        <f>IF($Z181="C",DATE(YEAR(INDEX(Contracts!$J$2:$J$151,$AB181)),MONTH(INDEX(Contracts!$J$2:$J$151,$AB181)),1),IF($Z181="A",DATE(YEAR(INDEX(Fixed_Assets!$G$2:$G$201,$AB181)),MONTH(INDEX(Fixed_Assets!$G$2:$G$201,$AB181)),1),IF($Z181="F",DATE(YEAR(MAX(N(INDEX(Workforce!$I$2:$I$151,MATCH(INDEX(FTE_Allocation!$A$2:$A$201,$AB181),Workforce!$A$2:$A$151,0))),N(INDEX(FTE_Allocation!$I$2:$I$201,$AB181)))),MONTH(MAX(N(INDEX(Workforce!$I$2:$I$151,MATCH(INDEX(FTE_Allocation!$A$2:$A$201,$AB181),Workforce!$A$2:$A$151,0))),N(INDEX(FTE_Allocation!$I$2:$I$201,$AB181)))),1),"")))</f>
        <v/>
      </c>
      <c r="AF181" s="21">
        <f>IF($Z181="C",IF(INDEX(Contracts!$I$2:$I$151,$AB181)="PREPAID",EDATE(DATE(YEAR(INDEX(Contracts!$J$2:$J$151,$AB181)),MONTH(INDEX(Contracts!$J$2:$J$151,$AB181)),1),IF(INDEX(Contracts!$N$2:$N$151,$AB181)="",12,INDEX(Contracts!$N$2:$N$151,$AB181))-1),IF(INDEX(Contracts!$I$2:$I$151,$AB181)="MONTHLY",IF(INDEX(Contracts!$K$2:$K$151,$AB181)="",2958101,INDEX(Contracts!$K$2:$K$151,$AB181)),0)),IF($Z181="A",EDATE(DATE(YEAR(INDEX(Fixed_Assets!$G$2:$G$201,$AB181)),MONTH(INDEX(Fixed_Assets!$G$2:$G$201,$AB181)),1),INDEX(Fixed_Assets!$J$2:$J$201,$AB181)-1),IF($Z181="F",MIN(IF(INDEX(Workforce!$J$2:$J$151,MATCH(INDEX(FTE_Allocation!$A$2:$A$201,$AB181),Workforce!$A$2:$A$151,0))="",2958101,INDEX(Workforce!$J$2:$J$151,MATCH(INDEX(FTE_Allocation!$A$2:$A$201,$AB181),Workforce!$A$2:$A$151,0))),IF(INDEX(FTE_Allocation!$J$2:$J$201,$AB181)="",2958101,INDEX(FTE_Allocation!$J$2:$J$201,$AB181))),"")))</f>
        <v/>
      </c>
      <c r="AG181" s="19">
        <f>IF($Z181="C",IF(INDEX(Contracts!$I$2:$I$151,$AB181)="PREPAID",INDEX(Contracts!$M$2:$M$151,$AB181)/IF(INDEX(Contracts!$N$2:$N$151,$AB181)="",12,INDEX(Contracts!$N$2:$N$151,$AB181)),IF(INDEX(Contracts!$I$2:$I$151,$AB181)="MONTHLY",INDEX(Contracts!$M$2:$M$151,$AB181),0))*(1-N(INDEX(Contracts!$O$2:$O$151,$AB181))),IF($Z181="A",INDEX(Fixed_Assets!$H$2:$H$201,$AB181)/INDEX(Fixed_Assets!$J$2:$J$201,$AB181),IF($Z181="F",INDEX(Workforce!$F$2:$F$151,MATCH(INDEX(FTE_Allocation!$A$2:$A$201,$AB181),Workforce!$A$2:$A$151,0))*N(INDEX(FTE_Allocation!$F$2:$H$201,$AB181,$AC181)),"")))</f>
        <v/>
      </c>
    </row>
    <row r="182">
      <c r="A182" s="7">
        <f>IF($Z182="","",$AD182)</f>
        <v/>
      </c>
      <c r="B182" s="7">
        <f>IF($Z182="C",INDEX(Contracts!$D$2:$D$151,$AB182)&amp;"",IF($Z182="A",INDEX(Fixed_Assets!$C$2:$C$201,$AB182)&amp;"",IF($Z182="F",INDEX(Workforce!$B$2:$B$151,MATCH(INDEX(FTE_Allocation!$A$2:$A$201,$AB182),Workforce!$A$2:$A$151,0))&amp;"","")))</f>
        <v/>
      </c>
      <c r="C182" s="7">
        <f>IF($Z182="C",INDEX(Contracts!$E$2:$E$151,$AB182)&amp;"",IF($Z182="A",INDEX(Fixed_Assets!$D$2:$D$201,$AB182)&amp;"",IF($Z182="F",INDEX(FTE_Allocation!$C$2:$C$201,$AB182)&amp;"","")))</f>
        <v/>
      </c>
      <c r="D182" s="7">
        <f>IF($Z182="C",INDEX(Contracts!$B$2:$B$151,$AB182)&amp;"",IF($Z182="A",INDEX(Fixed_Assets!$B$2:$B$201,$AB182)&amp;"",IF($Z182="F",INDEX(FTE_Allocation!$B$2:$B$201,$AB182)&amp;"","")))</f>
        <v/>
      </c>
      <c r="E182" s="7">
        <f>IF($Z182="C",INDEX(Contracts!$P$2:$P$151,$AB182)&amp;"",IF($Z182="A",INDEX(Fixed_Assets!$K$2:$K$201,$AB182)&amp;"",IF($Z182="F",IF(INDEX(FTE_Allocation!$D$2:$D$201,$AB182)="PROJECT",IFERROR(INDEX(Projects!$D:$D,MATCH(INDEX(FTE_Allocation!$E$2:$E$201,$AB182),Projects!$A:$A,0))&amp;"","#PROJECT?"),INDEX(FTE_Allocation!$E$2:$E$201,$AB182)&amp;""),"")))</f>
        <v/>
      </c>
      <c r="F182" s="7">
        <f>IF($Z182="C",INDEX(Contracts!$Q$2:$Q$151,$AB182)&amp;"",IF($Z182="A",INDEX(Fixed_Assets!$L$2:$L$201,$AB182)&amp;"",IF($Z182="F",INDEX(Workforce!$K$2:$K$151,MATCH(INDEX(FTE_Allocation!$A$2:$A$201,$AB182),Workforce!$A$2:$A$151,0))&amp;"","")))</f>
        <v/>
      </c>
      <c r="G182" s="7">
        <f>IF($Z182="C",INDEX(Contracts!$F$2:$F$151,$AB182)&amp;" / "&amp;INDEX(Contracts!$G$2:$G$151,$AB182),IF($Z182="A",INDEX(Fixed_Assets!$E$2:$E$201,$AB182)&amp;"",IF($Z182="F","Personnel "&amp;INDEX(FTE_Allocation!$A$2:$A$201,$AB182)&amp;IF(INDEX(FTE_Allocation!$D$2:$D$201,$AB182)="PROJECT"," ("&amp;INDEX(FTE_Allocation!$E$2:$E$201,$AB182)&amp;")",""),"")))</f>
        <v/>
      </c>
      <c r="H182" s="7">
        <f>IF($Z182="C","CONTRACT",IF($Z182="A","ASSET",IF($Z182="F","WORKFORCE","")))</f>
        <v/>
      </c>
      <c r="I182" s="7">
        <f>IF($Z182="C",INDEX(Contracts!$L$2:$L$151,$AB182)&amp;"",IF($Z182="A",INDEX(Fixed_Assets!$I$2:$I$201,$AB182)&amp;"",IF($Z182="F",INDEX(Workforce!$G$2:$G$151,MATCH(INDEX(FTE_Allocation!$A$2:$A$201,$AB182),Workforce!$A$2:$A$151,0))&amp;"","")))</f>
        <v/>
      </c>
      <c r="J182" s="18">
        <f>IF($Z182="","",IF(AND(DATE($AD182,1,1)&gt;=$AE182,DATE($AD182,1,1)&lt;=$AF182),ROUND($AG182,2),0))</f>
        <v/>
      </c>
      <c r="K182" s="18">
        <f>IF($Z182="","",IF(AND(DATE($AD182,2,1)&gt;=$AE182,DATE($AD182,2,1)&lt;=$AF182),ROUND($AG182,2),0))</f>
        <v/>
      </c>
      <c r="L182" s="18">
        <f>IF($Z182="","",IF(AND(DATE($AD182,3,1)&gt;=$AE182,DATE($AD182,3,1)&lt;=$AF182),ROUND($AG182,2),0))</f>
        <v/>
      </c>
      <c r="M182" s="18">
        <f>IF($Z182="","",IF(AND(DATE($AD182,4,1)&gt;=$AE182,DATE($AD182,4,1)&lt;=$AF182),ROUND($AG182,2),0))</f>
        <v/>
      </c>
      <c r="N182" s="18">
        <f>IF($Z182="","",IF(AND(DATE($AD182,5,1)&gt;=$AE182,DATE($AD182,5,1)&lt;=$AF182),ROUND($AG182,2),0))</f>
        <v/>
      </c>
      <c r="O182" s="18">
        <f>IF($Z182="","",IF(AND(DATE($AD182,6,1)&gt;=$AE182,DATE($AD182,6,1)&lt;=$AF182),ROUND($AG182,2),0))</f>
        <v/>
      </c>
      <c r="P182" s="18">
        <f>IF($Z182="","",IF(AND(DATE($AD182,7,1)&gt;=$AE182,DATE($AD182,7,1)&lt;=$AF182),ROUND($AG182,2),0))</f>
        <v/>
      </c>
      <c r="Q182" s="18">
        <f>IF($Z182="","",IF(AND(DATE($AD182,8,1)&gt;=$AE182,DATE($AD182,8,1)&lt;=$AF182),ROUND($AG182,2),0))</f>
        <v/>
      </c>
      <c r="R182" s="18">
        <f>IF($Z182="","",IF(AND(DATE($AD182,9,1)&gt;=$AE182,DATE($AD182,9,1)&lt;=$AF182),ROUND($AG182,2),0))</f>
        <v/>
      </c>
      <c r="S182" s="18">
        <f>IF($Z182="","",IF(AND(DATE($AD182,10,1)&gt;=$AE182,DATE($AD182,10,1)&lt;=$AF182),ROUND($AG182,2),0))</f>
        <v/>
      </c>
      <c r="T182" s="18">
        <f>IF($Z182="","",IF(AND(DATE($AD182,11,1)&gt;=$AE182,DATE($AD182,11,1)&lt;=$AF182),ROUND($AG182,2),0))</f>
        <v/>
      </c>
      <c r="U182" s="18">
        <f>IF($Z182="","",IF(AND(DATE($AD182,12,1)&gt;=$AE182,DATE($AD182,12,1)&lt;=$AF182),ROUND($AG182,2),0))</f>
        <v/>
      </c>
      <c r="V182" s="7">
        <f>IF($Z182="C","Generated from "&amp;INDEX(Contracts!$A$2:$A$151,$AB182),IF($Z182="A","Generated from "&amp;INDEX(Fixed_Assets!$A$2:$A$201,$AB182),IF($Z182="F","Generated from "&amp;INDEX(FTE_Allocation!$A$2:$A$201,$AB182),"")))</f>
        <v/>
      </c>
      <c r="X182" s="19">
        <f>IF($Z182="","",SUM(J182:U182))</f>
        <v/>
      </c>
      <c r="Y182" s="20">
        <f>ROW()-1</f>
        <v/>
      </c>
      <c r="Z182" s="20">
        <f>IF($Y182&lt;=Settings!$B$4*3,"C",IF($Y182&lt;=(Settings!$B$4+Settings!$B$5)*3,"A",IF($Y182&lt;=(Settings!$B$4+Settings!$B$5+Settings!$B$6)*3,"F","")))</f>
        <v/>
      </c>
      <c r="AA182" s="20">
        <f>IF($Z182="C",$Y182,IF($Z182="A",$Y182-Settings!$B$4*3,IF($Z182="F",$Y182-(Settings!$B$4+Settings!$B$5)*3,"")))</f>
        <v/>
      </c>
      <c r="AB182" s="20">
        <f>IF($Z182="","",INT(($AA182-1)/3)+1)</f>
        <v/>
      </c>
      <c r="AC182" s="20">
        <f>IF($Z182="","",MOD($AA182-1,3)+1)</f>
        <v/>
      </c>
      <c r="AD182" s="20">
        <f>IF($Z182="","",Settings!$B$2+$AC182-1)</f>
        <v/>
      </c>
      <c r="AE182" s="21">
        <f>IF($Z182="C",DATE(YEAR(INDEX(Contracts!$J$2:$J$151,$AB182)),MONTH(INDEX(Contracts!$J$2:$J$151,$AB182)),1),IF($Z182="A",DATE(YEAR(INDEX(Fixed_Assets!$G$2:$G$201,$AB182)),MONTH(INDEX(Fixed_Assets!$G$2:$G$201,$AB182)),1),IF($Z182="F",DATE(YEAR(MAX(N(INDEX(Workforce!$I$2:$I$151,MATCH(INDEX(FTE_Allocation!$A$2:$A$201,$AB182),Workforce!$A$2:$A$151,0))),N(INDEX(FTE_Allocation!$I$2:$I$201,$AB182)))),MONTH(MAX(N(INDEX(Workforce!$I$2:$I$151,MATCH(INDEX(FTE_Allocation!$A$2:$A$201,$AB182),Workforce!$A$2:$A$151,0))),N(INDEX(FTE_Allocation!$I$2:$I$201,$AB182)))),1),"")))</f>
        <v/>
      </c>
      <c r="AF182" s="21">
        <f>IF($Z182="C",IF(INDEX(Contracts!$I$2:$I$151,$AB182)="PREPAID",EDATE(DATE(YEAR(INDEX(Contracts!$J$2:$J$151,$AB182)),MONTH(INDEX(Contracts!$J$2:$J$151,$AB182)),1),IF(INDEX(Contracts!$N$2:$N$151,$AB182)="",12,INDEX(Contracts!$N$2:$N$151,$AB182))-1),IF(INDEX(Contracts!$I$2:$I$151,$AB182)="MONTHLY",IF(INDEX(Contracts!$K$2:$K$151,$AB182)="",2958101,INDEX(Contracts!$K$2:$K$151,$AB182)),0)),IF($Z182="A",EDATE(DATE(YEAR(INDEX(Fixed_Assets!$G$2:$G$201,$AB182)),MONTH(INDEX(Fixed_Assets!$G$2:$G$201,$AB182)),1),INDEX(Fixed_Assets!$J$2:$J$201,$AB182)-1),IF($Z182="F",MIN(IF(INDEX(Workforce!$J$2:$J$151,MATCH(INDEX(FTE_Allocation!$A$2:$A$201,$AB182),Workforce!$A$2:$A$151,0))="",2958101,INDEX(Workforce!$J$2:$J$151,MATCH(INDEX(FTE_Allocation!$A$2:$A$201,$AB182),Workforce!$A$2:$A$151,0))),IF(INDEX(FTE_Allocation!$J$2:$J$201,$AB182)="",2958101,INDEX(FTE_Allocation!$J$2:$J$201,$AB182))),"")))</f>
        <v/>
      </c>
      <c r="AG182" s="19">
        <f>IF($Z182="C",IF(INDEX(Contracts!$I$2:$I$151,$AB182)="PREPAID",INDEX(Contracts!$M$2:$M$151,$AB182)/IF(INDEX(Contracts!$N$2:$N$151,$AB182)="",12,INDEX(Contracts!$N$2:$N$151,$AB182)),IF(INDEX(Contracts!$I$2:$I$151,$AB182)="MONTHLY",INDEX(Contracts!$M$2:$M$151,$AB182),0))*(1-N(INDEX(Contracts!$O$2:$O$151,$AB182))),IF($Z182="A",INDEX(Fixed_Assets!$H$2:$H$201,$AB182)/INDEX(Fixed_Assets!$J$2:$J$201,$AB182),IF($Z182="F",INDEX(Workforce!$F$2:$F$151,MATCH(INDEX(FTE_Allocation!$A$2:$A$201,$AB182),Workforce!$A$2:$A$151,0))*N(INDEX(FTE_Allocation!$F$2:$H$201,$AB182,$AC182)),"")))</f>
        <v/>
      </c>
    </row>
    <row r="183">
      <c r="A183" s="7">
        <f>IF($Z183="","",$AD183)</f>
        <v/>
      </c>
      <c r="B183" s="7">
        <f>IF($Z183="C",INDEX(Contracts!$D$2:$D$151,$AB183)&amp;"",IF($Z183="A",INDEX(Fixed_Assets!$C$2:$C$201,$AB183)&amp;"",IF($Z183="F",INDEX(Workforce!$B$2:$B$151,MATCH(INDEX(FTE_Allocation!$A$2:$A$201,$AB183),Workforce!$A$2:$A$151,0))&amp;"","")))</f>
        <v/>
      </c>
      <c r="C183" s="7">
        <f>IF($Z183="C",INDEX(Contracts!$E$2:$E$151,$AB183)&amp;"",IF($Z183="A",INDEX(Fixed_Assets!$D$2:$D$201,$AB183)&amp;"",IF($Z183="F",INDEX(FTE_Allocation!$C$2:$C$201,$AB183)&amp;"","")))</f>
        <v/>
      </c>
      <c r="D183" s="7">
        <f>IF($Z183="C",INDEX(Contracts!$B$2:$B$151,$AB183)&amp;"",IF($Z183="A",INDEX(Fixed_Assets!$B$2:$B$201,$AB183)&amp;"",IF($Z183="F",INDEX(FTE_Allocation!$B$2:$B$201,$AB183)&amp;"","")))</f>
        <v/>
      </c>
      <c r="E183" s="7">
        <f>IF($Z183="C",INDEX(Contracts!$P$2:$P$151,$AB183)&amp;"",IF($Z183="A",INDEX(Fixed_Assets!$K$2:$K$201,$AB183)&amp;"",IF($Z183="F",IF(INDEX(FTE_Allocation!$D$2:$D$201,$AB183)="PROJECT",IFERROR(INDEX(Projects!$D:$D,MATCH(INDEX(FTE_Allocation!$E$2:$E$201,$AB183),Projects!$A:$A,0))&amp;"","#PROJECT?"),INDEX(FTE_Allocation!$E$2:$E$201,$AB183)&amp;""),"")))</f>
        <v/>
      </c>
      <c r="F183" s="7">
        <f>IF($Z183="C",INDEX(Contracts!$Q$2:$Q$151,$AB183)&amp;"",IF($Z183="A",INDEX(Fixed_Assets!$L$2:$L$201,$AB183)&amp;"",IF($Z183="F",INDEX(Workforce!$K$2:$K$151,MATCH(INDEX(FTE_Allocation!$A$2:$A$201,$AB183),Workforce!$A$2:$A$151,0))&amp;"","")))</f>
        <v/>
      </c>
      <c r="G183" s="7">
        <f>IF($Z183="C",INDEX(Contracts!$F$2:$F$151,$AB183)&amp;" / "&amp;INDEX(Contracts!$G$2:$G$151,$AB183),IF($Z183="A",INDEX(Fixed_Assets!$E$2:$E$201,$AB183)&amp;"",IF($Z183="F","Personnel "&amp;INDEX(FTE_Allocation!$A$2:$A$201,$AB183)&amp;IF(INDEX(FTE_Allocation!$D$2:$D$201,$AB183)="PROJECT"," ("&amp;INDEX(FTE_Allocation!$E$2:$E$201,$AB183)&amp;")",""),"")))</f>
        <v/>
      </c>
      <c r="H183" s="7">
        <f>IF($Z183="C","CONTRACT",IF($Z183="A","ASSET",IF($Z183="F","WORKFORCE","")))</f>
        <v/>
      </c>
      <c r="I183" s="7">
        <f>IF($Z183="C",INDEX(Contracts!$L$2:$L$151,$AB183)&amp;"",IF($Z183="A",INDEX(Fixed_Assets!$I$2:$I$201,$AB183)&amp;"",IF($Z183="F",INDEX(Workforce!$G$2:$G$151,MATCH(INDEX(FTE_Allocation!$A$2:$A$201,$AB183),Workforce!$A$2:$A$151,0))&amp;"","")))</f>
        <v/>
      </c>
      <c r="J183" s="18">
        <f>IF($Z183="","",IF(AND(DATE($AD183,1,1)&gt;=$AE183,DATE($AD183,1,1)&lt;=$AF183),ROUND($AG183,2),0))</f>
        <v/>
      </c>
      <c r="K183" s="18">
        <f>IF($Z183="","",IF(AND(DATE($AD183,2,1)&gt;=$AE183,DATE($AD183,2,1)&lt;=$AF183),ROUND($AG183,2),0))</f>
        <v/>
      </c>
      <c r="L183" s="18">
        <f>IF($Z183="","",IF(AND(DATE($AD183,3,1)&gt;=$AE183,DATE($AD183,3,1)&lt;=$AF183),ROUND($AG183,2),0))</f>
        <v/>
      </c>
      <c r="M183" s="18">
        <f>IF($Z183="","",IF(AND(DATE($AD183,4,1)&gt;=$AE183,DATE($AD183,4,1)&lt;=$AF183),ROUND($AG183,2),0))</f>
        <v/>
      </c>
      <c r="N183" s="18">
        <f>IF($Z183="","",IF(AND(DATE($AD183,5,1)&gt;=$AE183,DATE($AD183,5,1)&lt;=$AF183),ROUND($AG183,2),0))</f>
        <v/>
      </c>
      <c r="O183" s="18">
        <f>IF($Z183="","",IF(AND(DATE($AD183,6,1)&gt;=$AE183,DATE($AD183,6,1)&lt;=$AF183),ROUND($AG183,2),0))</f>
        <v/>
      </c>
      <c r="P183" s="18">
        <f>IF($Z183="","",IF(AND(DATE($AD183,7,1)&gt;=$AE183,DATE($AD183,7,1)&lt;=$AF183),ROUND($AG183,2),0))</f>
        <v/>
      </c>
      <c r="Q183" s="18">
        <f>IF($Z183="","",IF(AND(DATE($AD183,8,1)&gt;=$AE183,DATE($AD183,8,1)&lt;=$AF183),ROUND($AG183,2),0))</f>
        <v/>
      </c>
      <c r="R183" s="18">
        <f>IF($Z183="","",IF(AND(DATE($AD183,9,1)&gt;=$AE183,DATE($AD183,9,1)&lt;=$AF183),ROUND($AG183,2),0))</f>
        <v/>
      </c>
      <c r="S183" s="18">
        <f>IF($Z183="","",IF(AND(DATE($AD183,10,1)&gt;=$AE183,DATE($AD183,10,1)&lt;=$AF183),ROUND($AG183,2),0))</f>
        <v/>
      </c>
      <c r="T183" s="18">
        <f>IF($Z183="","",IF(AND(DATE($AD183,11,1)&gt;=$AE183,DATE($AD183,11,1)&lt;=$AF183),ROUND($AG183,2),0))</f>
        <v/>
      </c>
      <c r="U183" s="18">
        <f>IF($Z183="","",IF(AND(DATE($AD183,12,1)&gt;=$AE183,DATE($AD183,12,1)&lt;=$AF183),ROUND($AG183,2),0))</f>
        <v/>
      </c>
      <c r="V183" s="7">
        <f>IF($Z183="C","Generated from "&amp;INDEX(Contracts!$A$2:$A$151,$AB183),IF($Z183="A","Generated from "&amp;INDEX(Fixed_Assets!$A$2:$A$201,$AB183),IF($Z183="F","Generated from "&amp;INDEX(FTE_Allocation!$A$2:$A$201,$AB183),"")))</f>
        <v/>
      </c>
      <c r="X183" s="19">
        <f>IF($Z183="","",SUM(J183:U183))</f>
        <v/>
      </c>
      <c r="Y183" s="20">
        <f>ROW()-1</f>
        <v/>
      </c>
      <c r="Z183" s="20">
        <f>IF($Y183&lt;=Settings!$B$4*3,"C",IF($Y183&lt;=(Settings!$B$4+Settings!$B$5)*3,"A",IF($Y183&lt;=(Settings!$B$4+Settings!$B$5+Settings!$B$6)*3,"F","")))</f>
        <v/>
      </c>
      <c r="AA183" s="20">
        <f>IF($Z183="C",$Y183,IF($Z183="A",$Y183-Settings!$B$4*3,IF($Z183="F",$Y183-(Settings!$B$4+Settings!$B$5)*3,"")))</f>
        <v/>
      </c>
      <c r="AB183" s="20">
        <f>IF($Z183="","",INT(($AA183-1)/3)+1)</f>
        <v/>
      </c>
      <c r="AC183" s="20">
        <f>IF($Z183="","",MOD($AA183-1,3)+1)</f>
        <v/>
      </c>
      <c r="AD183" s="20">
        <f>IF($Z183="","",Settings!$B$2+$AC183-1)</f>
        <v/>
      </c>
      <c r="AE183" s="21">
        <f>IF($Z183="C",DATE(YEAR(INDEX(Contracts!$J$2:$J$151,$AB183)),MONTH(INDEX(Contracts!$J$2:$J$151,$AB183)),1),IF($Z183="A",DATE(YEAR(INDEX(Fixed_Assets!$G$2:$G$201,$AB183)),MONTH(INDEX(Fixed_Assets!$G$2:$G$201,$AB183)),1),IF($Z183="F",DATE(YEAR(MAX(N(INDEX(Workforce!$I$2:$I$151,MATCH(INDEX(FTE_Allocation!$A$2:$A$201,$AB183),Workforce!$A$2:$A$151,0))),N(INDEX(FTE_Allocation!$I$2:$I$201,$AB183)))),MONTH(MAX(N(INDEX(Workforce!$I$2:$I$151,MATCH(INDEX(FTE_Allocation!$A$2:$A$201,$AB183),Workforce!$A$2:$A$151,0))),N(INDEX(FTE_Allocation!$I$2:$I$201,$AB183)))),1),"")))</f>
        <v/>
      </c>
      <c r="AF183" s="21">
        <f>IF($Z183="C",IF(INDEX(Contracts!$I$2:$I$151,$AB183)="PREPAID",EDATE(DATE(YEAR(INDEX(Contracts!$J$2:$J$151,$AB183)),MONTH(INDEX(Contracts!$J$2:$J$151,$AB183)),1),IF(INDEX(Contracts!$N$2:$N$151,$AB183)="",12,INDEX(Contracts!$N$2:$N$151,$AB183))-1),IF(INDEX(Contracts!$I$2:$I$151,$AB183)="MONTHLY",IF(INDEX(Contracts!$K$2:$K$151,$AB183)="",2958101,INDEX(Contracts!$K$2:$K$151,$AB183)),0)),IF($Z183="A",EDATE(DATE(YEAR(INDEX(Fixed_Assets!$G$2:$G$201,$AB183)),MONTH(INDEX(Fixed_Assets!$G$2:$G$201,$AB183)),1),INDEX(Fixed_Assets!$J$2:$J$201,$AB183)-1),IF($Z183="F",MIN(IF(INDEX(Workforce!$J$2:$J$151,MATCH(INDEX(FTE_Allocation!$A$2:$A$201,$AB183),Workforce!$A$2:$A$151,0))="",2958101,INDEX(Workforce!$J$2:$J$151,MATCH(INDEX(FTE_Allocation!$A$2:$A$201,$AB183),Workforce!$A$2:$A$151,0))),IF(INDEX(FTE_Allocation!$J$2:$J$201,$AB183)="",2958101,INDEX(FTE_Allocation!$J$2:$J$201,$AB183))),"")))</f>
        <v/>
      </c>
      <c r="AG183" s="19">
        <f>IF($Z183="C",IF(INDEX(Contracts!$I$2:$I$151,$AB183)="PREPAID",INDEX(Contracts!$M$2:$M$151,$AB183)/IF(INDEX(Contracts!$N$2:$N$151,$AB183)="",12,INDEX(Contracts!$N$2:$N$151,$AB183)),IF(INDEX(Contracts!$I$2:$I$151,$AB183)="MONTHLY",INDEX(Contracts!$M$2:$M$151,$AB183),0))*(1-N(INDEX(Contracts!$O$2:$O$151,$AB183))),IF($Z183="A",INDEX(Fixed_Assets!$H$2:$H$201,$AB183)/INDEX(Fixed_Assets!$J$2:$J$201,$AB183),IF($Z183="F",INDEX(Workforce!$F$2:$F$151,MATCH(INDEX(FTE_Allocation!$A$2:$A$201,$AB183),Workforce!$A$2:$A$151,0))*N(INDEX(FTE_Allocation!$F$2:$H$201,$AB183,$AC183)),"")))</f>
        <v/>
      </c>
    </row>
    <row r="184">
      <c r="A184" s="7">
        <f>IF($Z184="","",$AD184)</f>
        <v/>
      </c>
      <c r="B184" s="7">
        <f>IF($Z184="C",INDEX(Contracts!$D$2:$D$151,$AB184)&amp;"",IF($Z184="A",INDEX(Fixed_Assets!$C$2:$C$201,$AB184)&amp;"",IF($Z184="F",INDEX(Workforce!$B$2:$B$151,MATCH(INDEX(FTE_Allocation!$A$2:$A$201,$AB184),Workforce!$A$2:$A$151,0))&amp;"","")))</f>
        <v/>
      </c>
      <c r="C184" s="7">
        <f>IF($Z184="C",INDEX(Contracts!$E$2:$E$151,$AB184)&amp;"",IF($Z184="A",INDEX(Fixed_Assets!$D$2:$D$201,$AB184)&amp;"",IF($Z184="F",INDEX(FTE_Allocation!$C$2:$C$201,$AB184)&amp;"","")))</f>
        <v/>
      </c>
      <c r="D184" s="7">
        <f>IF($Z184="C",INDEX(Contracts!$B$2:$B$151,$AB184)&amp;"",IF($Z184="A",INDEX(Fixed_Assets!$B$2:$B$201,$AB184)&amp;"",IF($Z184="F",INDEX(FTE_Allocation!$B$2:$B$201,$AB184)&amp;"","")))</f>
        <v/>
      </c>
      <c r="E184" s="7">
        <f>IF($Z184="C",INDEX(Contracts!$P$2:$P$151,$AB184)&amp;"",IF($Z184="A",INDEX(Fixed_Assets!$K$2:$K$201,$AB184)&amp;"",IF($Z184="F",IF(INDEX(FTE_Allocation!$D$2:$D$201,$AB184)="PROJECT",IFERROR(INDEX(Projects!$D:$D,MATCH(INDEX(FTE_Allocation!$E$2:$E$201,$AB184),Projects!$A:$A,0))&amp;"","#PROJECT?"),INDEX(FTE_Allocation!$E$2:$E$201,$AB184)&amp;""),"")))</f>
        <v/>
      </c>
      <c r="F184" s="7">
        <f>IF($Z184="C",INDEX(Contracts!$Q$2:$Q$151,$AB184)&amp;"",IF($Z184="A",INDEX(Fixed_Assets!$L$2:$L$201,$AB184)&amp;"",IF($Z184="F",INDEX(Workforce!$K$2:$K$151,MATCH(INDEX(FTE_Allocation!$A$2:$A$201,$AB184),Workforce!$A$2:$A$151,0))&amp;"","")))</f>
        <v/>
      </c>
      <c r="G184" s="7">
        <f>IF($Z184="C",INDEX(Contracts!$F$2:$F$151,$AB184)&amp;" / "&amp;INDEX(Contracts!$G$2:$G$151,$AB184),IF($Z184="A",INDEX(Fixed_Assets!$E$2:$E$201,$AB184)&amp;"",IF($Z184="F","Personnel "&amp;INDEX(FTE_Allocation!$A$2:$A$201,$AB184)&amp;IF(INDEX(FTE_Allocation!$D$2:$D$201,$AB184)="PROJECT"," ("&amp;INDEX(FTE_Allocation!$E$2:$E$201,$AB184)&amp;")",""),"")))</f>
        <v/>
      </c>
      <c r="H184" s="7">
        <f>IF($Z184="C","CONTRACT",IF($Z184="A","ASSET",IF($Z184="F","WORKFORCE","")))</f>
        <v/>
      </c>
      <c r="I184" s="7">
        <f>IF($Z184="C",INDEX(Contracts!$L$2:$L$151,$AB184)&amp;"",IF($Z184="A",INDEX(Fixed_Assets!$I$2:$I$201,$AB184)&amp;"",IF($Z184="F",INDEX(Workforce!$G$2:$G$151,MATCH(INDEX(FTE_Allocation!$A$2:$A$201,$AB184),Workforce!$A$2:$A$151,0))&amp;"","")))</f>
        <v/>
      </c>
      <c r="J184" s="18">
        <f>IF($Z184="","",IF(AND(DATE($AD184,1,1)&gt;=$AE184,DATE($AD184,1,1)&lt;=$AF184),ROUND($AG184,2),0))</f>
        <v/>
      </c>
      <c r="K184" s="18">
        <f>IF($Z184="","",IF(AND(DATE($AD184,2,1)&gt;=$AE184,DATE($AD184,2,1)&lt;=$AF184),ROUND($AG184,2),0))</f>
        <v/>
      </c>
      <c r="L184" s="18">
        <f>IF($Z184="","",IF(AND(DATE($AD184,3,1)&gt;=$AE184,DATE($AD184,3,1)&lt;=$AF184),ROUND($AG184,2),0))</f>
        <v/>
      </c>
      <c r="M184" s="18">
        <f>IF($Z184="","",IF(AND(DATE($AD184,4,1)&gt;=$AE184,DATE($AD184,4,1)&lt;=$AF184),ROUND($AG184,2),0))</f>
        <v/>
      </c>
      <c r="N184" s="18">
        <f>IF($Z184="","",IF(AND(DATE($AD184,5,1)&gt;=$AE184,DATE($AD184,5,1)&lt;=$AF184),ROUND($AG184,2),0))</f>
        <v/>
      </c>
      <c r="O184" s="18">
        <f>IF($Z184="","",IF(AND(DATE($AD184,6,1)&gt;=$AE184,DATE($AD184,6,1)&lt;=$AF184),ROUND($AG184,2),0))</f>
        <v/>
      </c>
      <c r="P184" s="18">
        <f>IF($Z184="","",IF(AND(DATE($AD184,7,1)&gt;=$AE184,DATE($AD184,7,1)&lt;=$AF184),ROUND($AG184,2),0))</f>
        <v/>
      </c>
      <c r="Q184" s="18">
        <f>IF($Z184="","",IF(AND(DATE($AD184,8,1)&gt;=$AE184,DATE($AD184,8,1)&lt;=$AF184),ROUND($AG184,2),0))</f>
        <v/>
      </c>
      <c r="R184" s="18">
        <f>IF($Z184="","",IF(AND(DATE($AD184,9,1)&gt;=$AE184,DATE($AD184,9,1)&lt;=$AF184),ROUND($AG184,2),0))</f>
        <v/>
      </c>
      <c r="S184" s="18">
        <f>IF($Z184="","",IF(AND(DATE($AD184,10,1)&gt;=$AE184,DATE($AD184,10,1)&lt;=$AF184),ROUND($AG184,2),0))</f>
        <v/>
      </c>
      <c r="T184" s="18">
        <f>IF($Z184="","",IF(AND(DATE($AD184,11,1)&gt;=$AE184,DATE($AD184,11,1)&lt;=$AF184),ROUND($AG184,2),0))</f>
        <v/>
      </c>
      <c r="U184" s="18">
        <f>IF($Z184="","",IF(AND(DATE($AD184,12,1)&gt;=$AE184,DATE($AD184,12,1)&lt;=$AF184),ROUND($AG184,2),0))</f>
        <v/>
      </c>
      <c r="V184" s="7">
        <f>IF($Z184="C","Generated from "&amp;INDEX(Contracts!$A$2:$A$151,$AB184),IF($Z184="A","Generated from "&amp;INDEX(Fixed_Assets!$A$2:$A$201,$AB184),IF($Z184="F","Generated from "&amp;INDEX(FTE_Allocation!$A$2:$A$201,$AB184),"")))</f>
        <v/>
      </c>
      <c r="X184" s="19">
        <f>IF($Z184="","",SUM(J184:U184))</f>
        <v/>
      </c>
      <c r="Y184" s="20">
        <f>ROW()-1</f>
        <v/>
      </c>
      <c r="Z184" s="20">
        <f>IF($Y184&lt;=Settings!$B$4*3,"C",IF($Y184&lt;=(Settings!$B$4+Settings!$B$5)*3,"A",IF($Y184&lt;=(Settings!$B$4+Settings!$B$5+Settings!$B$6)*3,"F","")))</f>
        <v/>
      </c>
      <c r="AA184" s="20">
        <f>IF($Z184="C",$Y184,IF($Z184="A",$Y184-Settings!$B$4*3,IF($Z184="F",$Y184-(Settings!$B$4+Settings!$B$5)*3,"")))</f>
        <v/>
      </c>
      <c r="AB184" s="20">
        <f>IF($Z184="","",INT(($AA184-1)/3)+1)</f>
        <v/>
      </c>
      <c r="AC184" s="20">
        <f>IF($Z184="","",MOD($AA184-1,3)+1)</f>
        <v/>
      </c>
      <c r="AD184" s="20">
        <f>IF($Z184="","",Settings!$B$2+$AC184-1)</f>
        <v/>
      </c>
      <c r="AE184" s="21">
        <f>IF($Z184="C",DATE(YEAR(INDEX(Contracts!$J$2:$J$151,$AB184)),MONTH(INDEX(Contracts!$J$2:$J$151,$AB184)),1),IF($Z184="A",DATE(YEAR(INDEX(Fixed_Assets!$G$2:$G$201,$AB184)),MONTH(INDEX(Fixed_Assets!$G$2:$G$201,$AB184)),1),IF($Z184="F",DATE(YEAR(MAX(N(INDEX(Workforce!$I$2:$I$151,MATCH(INDEX(FTE_Allocation!$A$2:$A$201,$AB184),Workforce!$A$2:$A$151,0))),N(INDEX(FTE_Allocation!$I$2:$I$201,$AB184)))),MONTH(MAX(N(INDEX(Workforce!$I$2:$I$151,MATCH(INDEX(FTE_Allocation!$A$2:$A$201,$AB184),Workforce!$A$2:$A$151,0))),N(INDEX(FTE_Allocation!$I$2:$I$201,$AB184)))),1),"")))</f>
        <v/>
      </c>
      <c r="AF184" s="21">
        <f>IF($Z184="C",IF(INDEX(Contracts!$I$2:$I$151,$AB184)="PREPAID",EDATE(DATE(YEAR(INDEX(Contracts!$J$2:$J$151,$AB184)),MONTH(INDEX(Contracts!$J$2:$J$151,$AB184)),1),IF(INDEX(Contracts!$N$2:$N$151,$AB184)="",12,INDEX(Contracts!$N$2:$N$151,$AB184))-1),IF(INDEX(Contracts!$I$2:$I$151,$AB184)="MONTHLY",IF(INDEX(Contracts!$K$2:$K$151,$AB184)="",2958101,INDEX(Contracts!$K$2:$K$151,$AB184)),0)),IF($Z184="A",EDATE(DATE(YEAR(INDEX(Fixed_Assets!$G$2:$G$201,$AB184)),MONTH(INDEX(Fixed_Assets!$G$2:$G$201,$AB184)),1),INDEX(Fixed_Assets!$J$2:$J$201,$AB184)-1),IF($Z184="F",MIN(IF(INDEX(Workforce!$J$2:$J$151,MATCH(INDEX(FTE_Allocation!$A$2:$A$201,$AB184),Workforce!$A$2:$A$151,0))="",2958101,INDEX(Workforce!$J$2:$J$151,MATCH(INDEX(FTE_Allocation!$A$2:$A$201,$AB184),Workforce!$A$2:$A$151,0))),IF(INDEX(FTE_Allocation!$J$2:$J$201,$AB184)="",2958101,INDEX(FTE_Allocation!$J$2:$J$201,$AB184))),"")))</f>
        <v/>
      </c>
      <c r="AG184" s="19">
        <f>IF($Z184="C",IF(INDEX(Contracts!$I$2:$I$151,$AB184)="PREPAID",INDEX(Contracts!$M$2:$M$151,$AB184)/IF(INDEX(Contracts!$N$2:$N$151,$AB184)="",12,INDEX(Contracts!$N$2:$N$151,$AB184)),IF(INDEX(Contracts!$I$2:$I$151,$AB184)="MONTHLY",INDEX(Contracts!$M$2:$M$151,$AB184),0))*(1-N(INDEX(Contracts!$O$2:$O$151,$AB184))),IF($Z184="A",INDEX(Fixed_Assets!$H$2:$H$201,$AB184)/INDEX(Fixed_Assets!$J$2:$J$201,$AB184),IF($Z184="F",INDEX(Workforce!$F$2:$F$151,MATCH(INDEX(FTE_Allocation!$A$2:$A$201,$AB184),Workforce!$A$2:$A$151,0))*N(INDEX(FTE_Allocation!$F$2:$H$201,$AB184,$AC184)),"")))</f>
        <v/>
      </c>
    </row>
    <row r="185">
      <c r="A185" s="7">
        <f>IF($Z185="","",$AD185)</f>
        <v/>
      </c>
      <c r="B185" s="7">
        <f>IF($Z185="C",INDEX(Contracts!$D$2:$D$151,$AB185)&amp;"",IF($Z185="A",INDEX(Fixed_Assets!$C$2:$C$201,$AB185)&amp;"",IF($Z185="F",INDEX(Workforce!$B$2:$B$151,MATCH(INDEX(FTE_Allocation!$A$2:$A$201,$AB185),Workforce!$A$2:$A$151,0))&amp;"","")))</f>
        <v/>
      </c>
      <c r="C185" s="7">
        <f>IF($Z185="C",INDEX(Contracts!$E$2:$E$151,$AB185)&amp;"",IF($Z185="A",INDEX(Fixed_Assets!$D$2:$D$201,$AB185)&amp;"",IF($Z185="F",INDEX(FTE_Allocation!$C$2:$C$201,$AB185)&amp;"","")))</f>
        <v/>
      </c>
      <c r="D185" s="7">
        <f>IF($Z185="C",INDEX(Contracts!$B$2:$B$151,$AB185)&amp;"",IF($Z185="A",INDEX(Fixed_Assets!$B$2:$B$201,$AB185)&amp;"",IF($Z185="F",INDEX(FTE_Allocation!$B$2:$B$201,$AB185)&amp;"","")))</f>
        <v/>
      </c>
      <c r="E185" s="7">
        <f>IF($Z185="C",INDEX(Contracts!$P$2:$P$151,$AB185)&amp;"",IF($Z185="A",INDEX(Fixed_Assets!$K$2:$K$201,$AB185)&amp;"",IF($Z185="F",IF(INDEX(FTE_Allocation!$D$2:$D$201,$AB185)="PROJECT",IFERROR(INDEX(Projects!$D:$D,MATCH(INDEX(FTE_Allocation!$E$2:$E$201,$AB185),Projects!$A:$A,0))&amp;"","#PROJECT?"),INDEX(FTE_Allocation!$E$2:$E$201,$AB185)&amp;""),"")))</f>
        <v/>
      </c>
      <c r="F185" s="7">
        <f>IF($Z185="C",INDEX(Contracts!$Q$2:$Q$151,$AB185)&amp;"",IF($Z185="A",INDEX(Fixed_Assets!$L$2:$L$201,$AB185)&amp;"",IF($Z185="F",INDEX(Workforce!$K$2:$K$151,MATCH(INDEX(FTE_Allocation!$A$2:$A$201,$AB185),Workforce!$A$2:$A$151,0))&amp;"","")))</f>
        <v/>
      </c>
      <c r="G185" s="7">
        <f>IF($Z185="C",INDEX(Contracts!$F$2:$F$151,$AB185)&amp;" / "&amp;INDEX(Contracts!$G$2:$G$151,$AB185),IF($Z185="A",INDEX(Fixed_Assets!$E$2:$E$201,$AB185)&amp;"",IF($Z185="F","Personnel "&amp;INDEX(FTE_Allocation!$A$2:$A$201,$AB185)&amp;IF(INDEX(FTE_Allocation!$D$2:$D$201,$AB185)="PROJECT"," ("&amp;INDEX(FTE_Allocation!$E$2:$E$201,$AB185)&amp;")",""),"")))</f>
        <v/>
      </c>
      <c r="H185" s="7">
        <f>IF($Z185="C","CONTRACT",IF($Z185="A","ASSET",IF($Z185="F","WORKFORCE","")))</f>
        <v/>
      </c>
      <c r="I185" s="7">
        <f>IF($Z185="C",INDEX(Contracts!$L$2:$L$151,$AB185)&amp;"",IF($Z185="A",INDEX(Fixed_Assets!$I$2:$I$201,$AB185)&amp;"",IF($Z185="F",INDEX(Workforce!$G$2:$G$151,MATCH(INDEX(FTE_Allocation!$A$2:$A$201,$AB185),Workforce!$A$2:$A$151,0))&amp;"","")))</f>
        <v/>
      </c>
      <c r="J185" s="18">
        <f>IF($Z185="","",IF(AND(DATE($AD185,1,1)&gt;=$AE185,DATE($AD185,1,1)&lt;=$AF185),ROUND($AG185,2),0))</f>
        <v/>
      </c>
      <c r="K185" s="18">
        <f>IF($Z185="","",IF(AND(DATE($AD185,2,1)&gt;=$AE185,DATE($AD185,2,1)&lt;=$AF185),ROUND($AG185,2),0))</f>
        <v/>
      </c>
      <c r="L185" s="18">
        <f>IF($Z185="","",IF(AND(DATE($AD185,3,1)&gt;=$AE185,DATE($AD185,3,1)&lt;=$AF185),ROUND($AG185,2),0))</f>
        <v/>
      </c>
      <c r="M185" s="18">
        <f>IF($Z185="","",IF(AND(DATE($AD185,4,1)&gt;=$AE185,DATE($AD185,4,1)&lt;=$AF185),ROUND($AG185,2),0))</f>
        <v/>
      </c>
      <c r="N185" s="18">
        <f>IF($Z185="","",IF(AND(DATE($AD185,5,1)&gt;=$AE185,DATE($AD185,5,1)&lt;=$AF185),ROUND($AG185,2),0))</f>
        <v/>
      </c>
      <c r="O185" s="18">
        <f>IF($Z185="","",IF(AND(DATE($AD185,6,1)&gt;=$AE185,DATE($AD185,6,1)&lt;=$AF185),ROUND($AG185,2),0))</f>
        <v/>
      </c>
      <c r="P185" s="18">
        <f>IF($Z185="","",IF(AND(DATE($AD185,7,1)&gt;=$AE185,DATE($AD185,7,1)&lt;=$AF185),ROUND($AG185,2),0))</f>
        <v/>
      </c>
      <c r="Q185" s="18">
        <f>IF($Z185="","",IF(AND(DATE($AD185,8,1)&gt;=$AE185,DATE($AD185,8,1)&lt;=$AF185),ROUND($AG185,2),0))</f>
        <v/>
      </c>
      <c r="R185" s="18">
        <f>IF($Z185="","",IF(AND(DATE($AD185,9,1)&gt;=$AE185,DATE($AD185,9,1)&lt;=$AF185),ROUND($AG185,2),0))</f>
        <v/>
      </c>
      <c r="S185" s="18">
        <f>IF($Z185="","",IF(AND(DATE($AD185,10,1)&gt;=$AE185,DATE($AD185,10,1)&lt;=$AF185),ROUND($AG185,2),0))</f>
        <v/>
      </c>
      <c r="T185" s="18">
        <f>IF($Z185="","",IF(AND(DATE($AD185,11,1)&gt;=$AE185,DATE($AD185,11,1)&lt;=$AF185),ROUND($AG185,2),0))</f>
        <v/>
      </c>
      <c r="U185" s="18">
        <f>IF($Z185="","",IF(AND(DATE($AD185,12,1)&gt;=$AE185,DATE($AD185,12,1)&lt;=$AF185),ROUND($AG185,2),0))</f>
        <v/>
      </c>
      <c r="V185" s="7">
        <f>IF($Z185="C","Generated from "&amp;INDEX(Contracts!$A$2:$A$151,$AB185),IF($Z185="A","Generated from "&amp;INDEX(Fixed_Assets!$A$2:$A$201,$AB185),IF($Z185="F","Generated from "&amp;INDEX(FTE_Allocation!$A$2:$A$201,$AB185),"")))</f>
        <v/>
      </c>
      <c r="X185" s="19">
        <f>IF($Z185="","",SUM(J185:U185))</f>
        <v/>
      </c>
      <c r="Y185" s="20">
        <f>ROW()-1</f>
        <v/>
      </c>
      <c r="Z185" s="20">
        <f>IF($Y185&lt;=Settings!$B$4*3,"C",IF($Y185&lt;=(Settings!$B$4+Settings!$B$5)*3,"A",IF($Y185&lt;=(Settings!$B$4+Settings!$B$5+Settings!$B$6)*3,"F","")))</f>
        <v/>
      </c>
      <c r="AA185" s="20">
        <f>IF($Z185="C",$Y185,IF($Z185="A",$Y185-Settings!$B$4*3,IF($Z185="F",$Y185-(Settings!$B$4+Settings!$B$5)*3,"")))</f>
        <v/>
      </c>
      <c r="AB185" s="20">
        <f>IF($Z185="","",INT(($AA185-1)/3)+1)</f>
        <v/>
      </c>
      <c r="AC185" s="20">
        <f>IF($Z185="","",MOD($AA185-1,3)+1)</f>
        <v/>
      </c>
      <c r="AD185" s="20">
        <f>IF($Z185="","",Settings!$B$2+$AC185-1)</f>
        <v/>
      </c>
      <c r="AE185" s="21">
        <f>IF($Z185="C",DATE(YEAR(INDEX(Contracts!$J$2:$J$151,$AB185)),MONTH(INDEX(Contracts!$J$2:$J$151,$AB185)),1),IF($Z185="A",DATE(YEAR(INDEX(Fixed_Assets!$G$2:$G$201,$AB185)),MONTH(INDEX(Fixed_Assets!$G$2:$G$201,$AB185)),1),IF($Z185="F",DATE(YEAR(MAX(N(INDEX(Workforce!$I$2:$I$151,MATCH(INDEX(FTE_Allocation!$A$2:$A$201,$AB185),Workforce!$A$2:$A$151,0))),N(INDEX(FTE_Allocation!$I$2:$I$201,$AB185)))),MONTH(MAX(N(INDEX(Workforce!$I$2:$I$151,MATCH(INDEX(FTE_Allocation!$A$2:$A$201,$AB185),Workforce!$A$2:$A$151,0))),N(INDEX(FTE_Allocation!$I$2:$I$201,$AB185)))),1),"")))</f>
        <v/>
      </c>
      <c r="AF185" s="21">
        <f>IF($Z185="C",IF(INDEX(Contracts!$I$2:$I$151,$AB185)="PREPAID",EDATE(DATE(YEAR(INDEX(Contracts!$J$2:$J$151,$AB185)),MONTH(INDEX(Contracts!$J$2:$J$151,$AB185)),1),IF(INDEX(Contracts!$N$2:$N$151,$AB185)="",12,INDEX(Contracts!$N$2:$N$151,$AB185))-1),IF(INDEX(Contracts!$I$2:$I$151,$AB185)="MONTHLY",IF(INDEX(Contracts!$K$2:$K$151,$AB185)="",2958101,INDEX(Contracts!$K$2:$K$151,$AB185)),0)),IF($Z185="A",EDATE(DATE(YEAR(INDEX(Fixed_Assets!$G$2:$G$201,$AB185)),MONTH(INDEX(Fixed_Assets!$G$2:$G$201,$AB185)),1),INDEX(Fixed_Assets!$J$2:$J$201,$AB185)-1),IF($Z185="F",MIN(IF(INDEX(Workforce!$J$2:$J$151,MATCH(INDEX(FTE_Allocation!$A$2:$A$201,$AB185),Workforce!$A$2:$A$151,0))="",2958101,INDEX(Workforce!$J$2:$J$151,MATCH(INDEX(FTE_Allocation!$A$2:$A$201,$AB185),Workforce!$A$2:$A$151,0))),IF(INDEX(FTE_Allocation!$J$2:$J$201,$AB185)="",2958101,INDEX(FTE_Allocation!$J$2:$J$201,$AB185))),"")))</f>
        <v/>
      </c>
      <c r="AG185" s="19">
        <f>IF($Z185="C",IF(INDEX(Contracts!$I$2:$I$151,$AB185)="PREPAID",INDEX(Contracts!$M$2:$M$151,$AB185)/IF(INDEX(Contracts!$N$2:$N$151,$AB185)="",12,INDEX(Contracts!$N$2:$N$151,$AB185)),IF(INDEX(Contracts!$I$2:$I$151,$AB185)="MONTHLY",INDEX(Contracts!$M$2:$M$151,$AB185),0))*(1-N(INDEX(Contracts!$O$2:$O$151,$AB185))),IF($Z185="A",INDEX(Fixed_Assets!$H$2:$H$201,$AB185)/INDEX(Fixed_Assets!$J$2:$J$201,$AB185),IF($Z185="F",INDEX(Workforce!$F$2:$F$151,MATCH(INDEX(FTE_Allocation!$A$2:$A$201,$AB185),Workforce!$A$2:$A$151,0))*N(INDEX(FTE_Allocation!$F$2:$H$201,$AB185,$AC185)),"")))</f>
        <v/>
      </c>
    </row>
    <row r="186">
      <c r="A186" s="7">
        <f>IF($Z186="","",$AD186)</f>
        <v/>
      </c>
      <c r="B186" s="7">
        <f>IF($Z186="C",INDEX(Contracts!$D$2:$D$151,$AB186)&amp;"",IF($Z186="A",INDEX(Fixed_Assets!$C$2:$C$201,$AB186)&amp;"",IF($Z186="F",INDEX(Workforce!$B$2:$B$151,MATCH(INDEX(FTE_Allocation!$A$2:$A$201,$AB186),Workforce!$A$2:$A$151,0))&amp;"","")))</f>
        <v/>
      </c>
      <c r="C186" s="7">
        <f>IF($Z186="C",INDEX(Contracts!$E$2:$E$151,$AB186)&amp;"",IF($Z186="A",INDEX(Fixed_Assets!$D$2:$D$201,$AB186)&amp;"",IF($Z186="F",INDEX(FTE_Allocation!$C$2:$C$201,$AB186)&amp;"","")))</f>
        <v/>
      </c>
      <c r="D186" s="7">
        <f>IF($Z186="C",INDEX(Contracts!$B$2:$B$151,$AB186)&amp;"",IF($Z186="A",INDEX(Fixed_Assets!$B$2:$B$201,$AB186)&amp;"",IF($Z186="F",INDEX(FTE_Allocation!$B$2:$B$201,$AB186)&amp;"","")))</f>
        <v/>
      </c>
      <c r="E186" s="7">
        <f>IF($Z186="C",INDEX(Contracts!$P$2:$P$151,$AB186)&amp;"",IF($Z186="A",INDEX(Fixed_Assets!$K$2:$K$201,$AB186)&amp;"",IF($Z186="F",IF(INDEX(FTE_Allocation!$D$2:$D$201,$AB186)="PROJECT",IFERROR(INDEX(Projects!$D:$D,MATCH(INDEX(FTE_Allocation!$E$2:$E$201,$AB186),Projects!$A:$A,0))&amp;"","#PROJECT?"),INDEX(FTE_Allocation!$E$2:$E$201,$AB186)&amp;""),"")))</f>
        <v/>
      </c>
      <c r="F186" s="7">
        <f>IF($Z186="C",INDEX(Contracts!$Q$2:$Q$151,$AB186)&amp;"",IF($Z186="A",INDEX(Fixed_Assets!$L$2:$L$201,$AB186)&amp;"",IF($Z186="F",INDEX(Workforce!$K$2:$K$151,MATCH(INDEX(FTE_Allocation!$A$2:$A$201,$AB186),Workforce!$A$2:$A$151,0))&amp;"","")))</f>
        <v/>
      </c>
      <c r="G186" s="7">
        <f>IF($Z186="C",INDEX(Contracts!$F$2:$F$151,$AB186)&amp;" / "&amp;INDEX(Contracts!$G$2:$G$151,$AB186),IF($Z186="A",INDEX(Fixed_Assets!$E$2:$E$201,$AB186)&amp;"",IF($Z186="F","Personnel "&amp;INDEX(FTE_Allocation!$A$2:$A$201,$AB186)&amp;IF(INDEX(FTE_Allocation!$D$2:$D$201,$AB186)="PROJECT"," ("&amp;INDEX(FTE_Allocation!$E$2:$E$201,$AB186)&amp;")",""),"")))</f>
        <v/>
      </c>
      <c r="H186" s="7">
        <f>IF($Z186="C","CONTRACT",IF($Z186="A","ASSET",IF($Z186="F","WORKFORCE","")))</f>
        <v/>
      </c>
      <c r="I186" s="7">
        <f>IF($Z186="C",INDEX(Contracts!$L$2:$L$151,$AB186)&amp;"",IF($Z186="A",INDEX(Fixed_Assets!$I$2:$I$201,$AB186)&amp;"",IF($Z186="F",INDEX(Workforce!$G$2:$G$151,MATCH(INDEX(FTE_Allocation!$A$2:$A$201,$AB186),Workforce!$A$2:$A$151,0))&amp;"","")))</f>
        <v/>
      </c>
      <c r="J186" s="18">
        <f>IF($Z186="","",IF(AND(DATE($AD186,1,1)&gt;=$AE186,DATE($AD186,1,1)&lt;=$AF186),ROUND($AG186,2),0))</f>
        <v/>
      </c>
      <c r="K186" s="18">
        <f>IF($Z186="","",IF(AND(DATE($AD186,2,1)&gt;=$AE186,DATE($AD186,2,1)&lt;=$AF186),ROUND($AG186,2),0))</f>
        <v/>
      </c>
      <c r="L186" s="18">
        <f>IF($Z186="","",IF(AND(DATE($AD186,3,1)&gt;=$AE186,DATE($AD186,3,1)&lt;=$AF186),ROUND($AG186,2),0))</f>
        <v/>
      </c>
      <c r="M186" s="18">
        <f>IF($Z186="","",IF(AND(DATE($AD186,4,1)&gt;=$AE186,DATE($AD186,4,1)&lt;=$AF186),ROUND($AG186,2),0))</f>
        <v/>
      </c>
      <c r="N186" s="18">
        <f>IF($Z186="","",IF(AND(DATE($AD186,5,1)&gt;=$AE186,DATE($AD186,5,1)&lt;=$AF186),ROUND($AG186,2),0))</f>
        <v/>
      </c>
      <c r="O186" s="18">
        <f>IF($Z186="","",IF(AND(DATE($AD186,6,1)&gt;=$AE186,DATE($AD186,6,1)&lt;=$AF186),ROUND($AG186,2),0))</f>
        <v/>
      </c>
      <c r="P186" s="18">
        <f>IF($Z186="","",IF(AND(DATE($AD186,7,1)&gt;=$AE186,DATE($AD186,7,1)&lt;=$AF186),ROUND($AG186,2),0))</f>
        <v/>
      </c>
      <c r="Q186" s="18">
        <f>IF($Z186="","",IF(AND(DATE($AD186,8,1)&gt;=$AE186,DATE($AD186,8,1)&lt;=$AF186),ROUND($AG186,2),0))</f>
        <v/>
      </c>
      <c r="R186" s="18">
        <f>IF($Z186="","",IF(AND(DATE($AD186,9,1)&gt;=$AE186,DATE($AD186,9,1)&lt;=$AF186),ROUND($AG186,2),0))</f>
        <v/>
      </c>
      <c r="S186" s="18">
        <f>IF($Z186="","",IF(AND(DATE($AD186,10,1)&gt;=$AE186,DATE($AD186,10,1)&lt;=$AF186),ROUND($AG186,2),0))</f>
        <v/>
      </c>
      <c r="T186" s="18">
        <f>IF($Z186="","",IF(AND(DATE($AD186,11,1)&gt;=$AE186,DATE($AD186,11,1)&lt;=$AF186),ROUND($AG186,2),0))</f>
        <v/>
      </c>
      <c r="U186" s="18">
        <f>IF($Z186="","",IF(AND(DATE($AD186,12,1)&gt;=$AE186,DATE($AD186,12,1)&lt;=$AF186),ROUND($AG186,2),0))</f>
        <v/>
      </c>
      <c r="V186" s="7">
        <f>IF($Z186="C","Generated from "&amp;INDEX(Contracts!$A$2:$A$151,$AB186),IF($Z186="A","Generated from "&amp;INDEX(Fixed_Assets!$A$2:$A$201,$AB186),IF($Z186="F","Generated from "&amp;INDEX(FTE_Allocation!$A$2:$A$201,$AB186),"")))</f>
        <v/>
      </c>
      <c r="X186" s="19">
        <f>IF($Z186="","",SUM(J186:U186))</f>
        <v/>
      </c>
      <c r="Y186" s="20">
        <f>ROW()-1</f>
        <v/>
      </c>
      <c r="Z186" s="20">
        <f>IF($Y186&lt;=Settings!$B$4*3,"C",IF($Y186&lt;=(Settings!$B$4+Settings!$B$5)*3,"A",IF($Y186&lt;=(Settings!$B$4+Settings!$B$5+Settings!$B$6)*3,"F","")))</f>
        <v/>
      </c>
      <c r="AA186" s="20">
        <f>IF($Z186="C",$Y186,IF($Z186="A",$Y186-Settings!$B$4*3,IF($Z186="F",$Y186-(Settings!$B$4+Settings!$B$5)*3,"")))</f>
        <v/>
      </c>
      <c r="AB186" s="20">
        <f>IF($Z186="","",INT(($AA186-1)/3)+1)</f>
        <v/>
      </c>
      <c r="AC186" s="20">
        <f>IF($Z186="","",MOD($AA186-1,3)+1)</f>
        <v/>
      </c>
      <c r="AD186" s="20">
        <f>IF($Z186="","",Settings!$B$2+$AC186-1)</f>
        <v/>
      </c>
      <c r="AE186" s="21">
        <f>IF($Z186="C",DATE(YEAR(INDEX(Contracts!$J$2:$J$151,$AB186)),MONTH(INDEX(Contracts!$J$2:$J$151,$AB186)),1),IF($Z186="A",DATE(YEAR(INDEX(Fixed_Assets!$G$2:$G$201,$AB186)),MONTH(INDEX(Fixed_Assets!$G$2:$G$201,$AB186)),1),IF($Z186="F",DATE(YEAR(MAX(N(INDEX(Workforce!$I$2:$I$151,MATCH(INDEX(FTE_Allocation!$A$2:$A$201,$AB186),Workforce!$A$2:$A$151,0))),N(INDEX(FTE_Allocation!$I$2:$I$201,$AB186)))),MONTH(MAX(N(INDEX(Workforce!$I$2:$I$151,MATCH(INDEX(FTE_Allocation!$A$2:$A$201,$AB186),Workforce!$A$2:$A$151,0))),N(INDEX(FTE_Allocation!$I$2:$I$201,$AB186)))),1),"")))</f>
        <v/>
      </c>
      <c r="AF186" s="21">
        <f>IF($Z186="C",IF(INDEX(Contracts!$I$2:$I$151,$AB186)="PREPAID",EDATE(DATE(YEAR(INDEX(Contracts!$J$2:$J$151,$AB186)),MONTH(INDEX(Contracts!$J$2:$J$151,$AB186)),1),IF(INDEX(Contracts!$N$2:$N$151,$AB186)="",12,INDEX(Contracts!$N$2:$N$151,$AB186))-1),IF(INDEX(Contracts!$I$2:$I$151,$AB186)="MONTHLY",IF(INDEX(Contracts!$K$2:$K$151,$AB186)="",2958101,INDEX(Contracts!$K$2:$K$151,$AB186)),0)),IF($Z186="A",EDATE(DATE(YEAR(INDEX(Fixed_Assets!$G$2:$G$201,$AB186)),MONTH(INDEX(Fixed_Assets!$G$2:$G$201,$AB186)),1),INDEX(Fixed_Assets!$J$2:$J$201,$AB186)-1),IF($Z186="F",MIN(IF(INDEX(Workforce!$J$2:$J$151,MATCH(INDEX(FTE_Allocation!$A$2:$A$201,$AB186),Workforce!$A$2:$A$151,0))="",2958101,INDEX(Workforce!$J$2:$J$151,MATCH(INDEX(FTE_Allocation!$A$2:$A$201,$AB186),Workforce!$A$2:$A$151,0))),IF(INDEX(FTE_Allocation!$J$2:$J$201,$AB186)="",2958101,INDEX(FTE_Allocation!$J$2:$J$201,$AB186))),"")))</f>
        <v/>
      </c>
      <c r="AG186" s="19">
        <f>IF($Z186="C",IF(INDEX(Contracts!$I$2:$I$151,$AB186)="PREPAID",INDEX(Contracts!$M$2:$M$151,$AB186)/IF(INDEX(Contracts!$N$2:$N$151,$AB186)="",12,INDEX(Contracts!$N$2:$N$151,$AB186)),IF(INDEX(Contracts!$I$2:$I$151,$AB186)="MONTHLY",INDEX(Contracts!$M$2:$M$151,$AB186),0))*(1-N(INDEX(Contracts!$O$2:$O$151,$AB186))),IF($Z186="A",INDEX(Fixed_Assets!$H$2:$H$201,$AB186)/INDEX(Fixed_Assets!$J$2:$J$201,$AB186),IF($Z186="F",INDEX(Workforce!$F$2:$F$151,MATCH(INDEX(FTE_Allocation!$A$2:$A$201,$AB186),Workforce!$A$2:$A$151,0))*N(INDEX(FTE_Allocation!$F$2:$H$201,$AB186,$AC186)),"")))</f>
        <v/>
      </c>
    </row>
    <row r="187">
      <c r="A187" s="7">
        <f>IF($Z187="","",$AD187)</f>
        <v/>
      </c>
      <c r="B187" s="7">
        <f>IF($Z187="C",INDEX(Contracts!$D$2:$D$151,$AB187)&amp;"",IF($Z187="A",INDEX(Fixed_Assets!$C$2:$C$201,$AB187)&amp;"",IF($Z187="F",INDEX(Workforce!$B$2:$B$151,MATCH(INDEX(FTE_Allocation!$A$2:$A$201,$AB187),Workforce!$A$2:$A$151,0))&amp;"","")))</f>
        <v/>
      </c>
      <c r="C187" s="7">
        <f>IF($Z187="C",INDEX(Contracts!$E$2:$E$151,$AB187)&amp;"",IF($Z187="A",INDEX(Fixed_Assets!$D$2:$D$201,$AB187)&amp;"",IF($Z187="F",INDEX(FTE_Allocation!$C$2:$C$201,$AB187)&amp;"","")))</f>
        <v/>
      </c>
      <c r="D187" s="7">
        <f>IF($Z187="C",INDEX(Contracts!$B$2:$B$151,$AB187)&amp;"",IF($Z187="A",INDEX(Fixed_Assets!$B$2:$B$201,$AB187)&amp;"",IF($Z187="F",INDEX(FTE_Allocation!$B$2:$B$201,$AB187)&amp;"","")))</f>
        <v/>
      </c>
      <c r="E187" s="7">
        <f>IF($Z187="C",INDEX(Contracts!$P$2:$P$151,$AB187)&amp;"",IF($Z187="A",INDEX(Fixed_Assets!$K$2:$K$201,$AB187)&amp;"",IF($Z187="F",IF(INDEX(FTE_Allocation!$D$2:$D$201,$AB187)="PROJECT",IFERROR(INDEX(Projects!$D:$D,MATCH(INDEX(FTE_Allocation!$E$2:$E$201,$AB187),Projects!$A:$A,0))&amp;"","#PROJECT?"),INDEX(FTE_Allocation!$E$2:$E$201,$AB187)&amp;""),"")))</f>
        <v/>
      </c>
      <c r="F187" s="7">
        <f>IF($Z187="C",INDEX(Contracts!$Q$2:$Q$151,$AB187)&amp;"",IF($Z187="A",INDEX(Fixed_Assets!$L$2:$L$201,$AB187)&amp;"",IF($Z187="F",INDEX(Workforce!$K$2:$K$151,MATCH(INDEX(FTE_Allocation!$A$2:$A$201,$AB187),Workforce!$A$2:$A$151,0))&amp;"","")))</f>
        <v/>
      </c>
      <c r="G187" s="7">
        <f>IF($Z187="C",INDEX(Contracts!$F$2:$F$151,$AB187)&amp;" / "&amp;INDEX(Contracts!$G$2:$G$151,$AB187),IF($Z187="A",INDEX(Fixed_Assets!$E$2:$E$201,$AB187)&amp;"",IF($Z187="F","Personnel "&amp;INDEX(FTE_Allocation!$A$2:$A$201,$AB187)&amp;IF(INDEX(FTE_Allocation!$D$2:$D$201,$AB187)="PROJECT"," ("&amp;INDEX(FTE_Allocation!$E$2:$E$201,$AB187)&amp;")",""),"")))</f>
        <v/>
      </c>
      <c r="H187" s="7">
        <f>IF($Z187="C","CONTRACT",IF($Z187="A","ASSET",IF($Z187="F","WORKFORCE","")))</f>
        <v/>
      </c>
      <c r="I187" s="7">
        <f>IF($Z187="C",INDEX(Contracts!$L$2:$L$151,$AB187)&amp;"",IF($Z187="A",INDEX(Fixed_Assets!$I$2:$I$201,$AB187)&amp;"",IF($Z187="F",INDEX(Workforce!$G$2:$G$151,MATCH(INDEX(FTE_Allocation!$A$2:$A$201,$AB187),Workforce!$A$2:$A$151,0))&amp;"","")))</f>
        <v/>
      </c>
      <c r="J187" s="18">
        <f>IF($Z187="","",IF(AND(DATE($AD187,1,1)&gt;=$AE187,DATE($AD187,1,1)&lt;=$AF187),ROUND($AG187,2),0))</f>
        <v/>
      </c>
      <c r="K187" s="18">
        <f>IF($Z187="","",IF(AND(DATE($AD187,2,1)&gt;=$AE187,DATE($AD187,2,1)&lt;=$AF187),ROUND($AG187,2),0))</f>
        <v/>
      </c>
      <c r="L187" s="18">
        <f>IF($Z187="","",IF(AND(DATE($AD187,3,1)&gt;=$AE187,DATE($AD187,3,1)&lt;=$AF187),ROUND($AG187,2),0))</f>
        <v/>
      </c>
      <c r="M187" s="18">
        <f>IF($Z187="","",IF(AND(DATE($AD187,4,1)&gt;=$AE187,DATE($AD187,4,1)&lt;=$AF187),ROUND($AG187,2),0))</f>
        <v/>
      </c>
      <c r="N187" s="18">
        <f>IF($Z187="","",IF(AND(DATE($AD187,5,1)&gt;=$AE187,DATE($AD187,5,1)&lt;=$AF187),ROUND($AG187,2),0))</f>
        <v/>
      </c>
      <c r="O187" s="18">
        <f>IF($Z187="","",IF(AND(DATE($AD187,6,1)&gt;=$AE187,DATE($AD187,6,1)&lt;=$AF187),ROUND($AG187,2),0))</f>
        <v/>
      </c>
      <c r="P187" s="18">
        <f>IF($Z187="","",IF(AND(DATE($AD187,7,1)&gt;=$AE187,DATE($AD187,7,1)&lt;=$AF187),ROUND($AG187,2),0))</f>
        <v/>
      </c>
      <c r="Q187" s="18">
        <f>IF($Z187="","",IF(AND(DATE($AD187,8,1)&gt;=$AE187,DATE($AD187,8,1)&lt;=$AF187),ROUND($AG187,2),0))</f>
        <v/>
      </c>
      <c r="R187" s="18">
        <f>IF($Z187="","",IF(AND(DATE($AD187,9,1)&gt;=$AE187,DATE($AD187,9,1)&lt;=$AF187),ROUND($AG187,2),0))</f>
        <v/>
      </c>
      <c r="S187" s="18">
        <f>IF($Z187="","",IF(AND(DATE($AD187,10,1)&gt;=$AE187,DATE($AD187,10,1)&lt;=$AF187),ROUND($AG187,2),0))</f>
        <v/>
      </c>
      <c r="T187" s="18">
        <f>IF($Z187="","",IF(AND(DATE($AD187,11,1)&gt;=$AE187,DATE($AD187,11,1)&lt;=$AF187),ROUND($AG187,2),0))</f>
        <v/>
      </c>
      <c r="U187" s="18">
        <f>IF($Z187="","",IF(AND(DATE($AD187,12,1)&gt;=$AE187,DATE($AD187,12,1)&lt;=$AF187),ROUND($AG187,2),0))</f>
        <v/>
      </c>
      <c r="V187" s="7">
        <f>IF($Z187="C","Generated from "&amp;INDEX(Contracts!$A$2:$A$151,$AB187),IF($Z187="A","Generated from "&amp;INDEX(Fixed_Assets!$A$2:$A$201,$AB187),IF($Z187="F","Generated from "&amp;INDEX(FTE_Allocation!$A$2:$A$201,$AB187),"")))</f>
        <v/>
      </c>
      <c r="X187" s="19">
        <f>IF($Z187="","",SUM(J187:U187))</f>
        <v/>
      </c>
      <c r="Y187" s="20">
        <f>ROW()-1</f>
        <v/>
      </c>
      <c r="Z187" s="20">
        <f>IF($Y187&lt;=Settings!$B$4*3,"C",IF($Y187&lt;=(Settings!$B$4+Settings!$B$5)*3,"A",IF($Y187&lt;=(Settings!$B$4+Settings!$B$5+Settings!$B$6)*3,"F","")))</f>
        <v/>
      </c>
      <c r="AA187" s="20">
        <f>IF($Z187="C",$Y187,IF($Z187="A",$Y187-Settings!$B$4*3,IF($Z187="F",$Y187-(Settings!$B$4+Settings!$B$5)*3,"")))</f>
        <v/>
      </c>
      <c r="AB187" s="20">
        <f>IF($Z187="","",INT(($AA187-1)/3)+1)</f>
        <v/>
      </c>
      <c r="AC187" s="20">
        <f>IF($Z187="","",MOD($AA187-1,3)+1)</f>
        <v/>
      </c>
      <c r="AD187" s="20">
        <f>IF($Z187="","",Settings!$B$2+$AC187-1)</f>
        <v/>
      </c>
      <c r="AE187" s="21">
        <f>IF($Z187="C",DATE(YEAR(INDEX(Contracts!$J$2:$J$151,$AB187)),MONTH(INDEX(Contracts!$J$2:$J$151,$AB187)),1),IF($Z187="A",DATE(YEAR(INDEX(Fixed_Assets!$G$2:$G$201,$AB187)),MONTH(INDEX(Fixed_Assets!$G$2:$G$201,$AB187)),1),IF($Z187="F",DATE(YEAR(MAX(N(INDEX(Workforce!$I$2:$I$151,MATCH(INDEX(FTE_Allocation!$A$2:$A$201,$AB187),Workforce!$A$2:$A$151,0))),N(INDEX(FTE_Allocation!$I$2:$I$201,$AB187)))),MONTH(MAX(N(INDEX(Workforce!$I$2:$I$151,MATCH(INDEX(FTE_Allocation!$A$2:$A$201,$AB187),Workforce!$A$2:$A$151,0))),N(INDEX(FTE_Allocation!$I$2:$I$201,$AB187)))),1),"")))</f>
        <v/>
      </c>
      <c r="AF187" s="21">
        <f>IF($Z187="C",IF(INDEX(Contracts!$I$2:$I$151,$AB187)="PREPAID",EDATE(DATE(YEAR(INDEX(Contracts!$J$2:$J$151,$AB187)),MONTH(INDEX(Contracts!$J$2:$J$151,$AB187)),1),IF(INDEX(Contracts!$N$2:$N$151,$AB187)="",12,INDEX(Contracts!$N$2:$N$151,$AB187))-1),IF(INDEX(Contracts!$I$2:$I$151,$AB187)="MONTHLY",IF(INDEX(Contracts!$K$2:$K$151,$AB187)="",2958101,INDEX(Contracts!$K$2:$K$151,$AB187)),0)),IF($Z187="A",EDATE(DATE(YEAR(INDEX(Fixed_Assets!$G$2:$G$201,$AB187)),MONTH(INDEX(Fixed_Assets!$G$2:$G$201,$AB187)),1),INDEX(Fixed_Assets!$J$2:$J$201,$AB187)-1),IF($Z187="F",MIN(IF(INDEX(Workforce!$J$2:$J$151,MATCH(INDEX(FTE_Allocation!$A$2:$A$201,$AB187),Workforce!$A$2:$A$151,0))="",2958101,INDEX(Workforce!$J$2:$J$151,MATCH(INDEX(FTE_Allocation!$A$2:$A$201,$AB187),Workforce!$A$2:$A$151,0))),IF(INDEX(FTE_Allocation!$J$2:$J$201,$AB187)="",2958101,INDEX(FTE_Allocation!$J$2:$J$201,$AB187))),"")))</f>
        <v/>
      </c>
      <c r="AG187" s="19">
        <f>IF($Z187="C",IF(INDEX(Contracts!$I$2:$I$151,$AB187)="PREPAID",INDEX(Contracts!$M$2:$M$151,$AB187)/IF(INDEX(Contracts!$N$2:$N$151,$AB187)="",12,INDEX(Contracts!$N$2:$N$151,$AB187)),IF(INDEX(Contracts!$I$2:$I$151,$AB187)="MONTHLY",INDEX(Contracts!$M$2:$M$151,$AB187),0))*(1-N(INDEX(Contracts!$O$2:$O$151,$AB187))),IF($Z187="A",INDEX(Fixed_Assets!$H$2:$H$201,$AB187)/INDEX(Fixed_Assets!$J$2:$J$201,$AB187),IF($Z187="F",INDEX(Workforce!$F$2:$F$151,MATCH(INDEX(FTE_Allocation!$A$2:$A$201,$AB187),Workforce!$A$2:$A$151,0))*N(INDEX(FTE_Allocation!$F$2:$H$201,$AB187,$AC187)),"")))</f>
        <v/>
      </c>
    </row>
    <row r="188">
      <c r="A188" s="7">
        <f>IF($Z188="","",$AD188)</f>
        <v/>
      </c>
      <c r="B188" s="7">
        <f>IF($Z188="C",INDEX(Contracts!$D$2:$D$151,$AB188)&amp;"",IF($Z188="A",INDEX(Fixed_Assets!$C$2:$C$201,$AB188)&amp;"",IF($Z188="F",INDEX(Workforce!$B$2:$B$151,MATCH(INDEX(FTE_Allocation!$A$2:$A$201,$AB188),Workforce!$A$2:$A$151,0))&amp;"","")))</f>
        <v/>
      </c>
      <c r="C188" s="7">
        <f>IF($Z188="C",INDEX(Contracts!$E$2:$E$151,$AB188)&amp;"",IF($Z188="A",INDEX(Fixed_Assets!$D$2:$D$201,$AB188)&amp;"",IF($Z188="F",INDEX(FTE_Allocation!$C$2:$C$201,$AB188)&amp;"","")))</f>
        <v/>
      </c>
      <c r="D188" s="7">
        <f>IF($Z188="C",INDEX(Contracts!$B$2:$B$151,$AB188)&amp;"",IF($Z188="A",INDEX(Fixed_Assets!$B$2:$B$201,$AB188)&amp;"",IF($Z188="F",INDEX(FTE_Allocation!$B$2:$B$201,$AB188)&amp;"","")))</f>
        <v/>
      </c>
      <c r="E188" s="7">
        <f>IF($Z188="C",INDEX(Contracts!$P$2:$P$151,$AB188)&amp;"",IF($Z188="A",INDEX(Fixed_Assets!$K$2:$K$201,$AB188)&amp;"",IF($Z188="F",IF(INDEX(FTE_Allocation!$D$2:$D$201,$AB188)="PROJECT",IFERROR(INDEX(Projects!$D:$D,MATCH(INDEX(FTE_Allocation!$E$2:$E$201,$AB188),Projects!$A:$A,0))&amp;"","#PROJECT?"),INDEX(FTE_Allocation!$E$2:$E$201,$AB188)&amp;""),"")))</f>
        <v/>
      </c>
      <c r="F188" s="7">
        <f>IF($Z188="C",INDEX(Contracts!$Q$2:$Q$151,$AB188)&amp;"",IF($Z188="A",INDEX(Fixed_Assets!$L$2:$L$201,$AB188)&amp;"",IF($Z188="F",INDEX(Workforce!$K$2:$K$151,MATCH(INDEX(FTE_Allocation!$A$2:$A$201,$AB188),Workforce!$A$2:$A$151,0))&amp;"","")))</f>
        <v/>
      </c>
      <c r="G188" s="7">
        <f>IF($Z188="C",INDEX(Contracts!$F$2:$F$151,$AB188)&amp;" / "&amp;INDEX(Contracts!$G$2:$G$151,$AB188),IF($Z188="A",INDEX(Fixed_Assets!$E$2:$E$201,$AB188)&amp;"",IF($Z188="F","Personnel "&amp;INDEX(FTE_Allocation!$A$2:$A$201,$AB188)&amp;IF(INDEX(FTE_Allocation!$D$2:$D$201,$AB188)="PROJECT"," ("&amp;INDEX(FTE_Allocation!$E$2:$E$201,$AB188)&amp;")",""),"")))</f>
        <v/>
      </c>
      <c r="H188" s="7">
        <f>IF($Z188="C","CONTRACT",IF($Z188="A","ASSET",IF($Z188="F","WORKFORCE","")))</f>
        <v/>
      </c>
      <c r="I188" s="7">
        <f>IF($Z188="C",INDEX(Contracts!$L$2:$L$151,$AB188)&amp;"",IF($Z188="A",INDEX(Fixed_Assets!$I$2:$I$201,$AB188)&amp;"",IF($Z188="F",INDEX(Workforce!$G$2:$G$151,MATCH(INDEX(FTE_Allocation!$A$2:$A$201,$AB188),Workforce!$A$2:$A$151,0))&amp;"","")))</f>
        <v/>
      </c>
      <c r="J188" s="18">
        <f>IF($Z188="","",IF(AND(DATE($AD188,1,1)&gt;=$AE188,DATE($AD188,1,1)&lt;=$AF188),ROUND($AG188,2),0))</f>
        <v/>
      </c>
      <c r="K188" s="18">
        <f>IF($Z188="","",IF(AND(DATE($AD188,2,1)&gt;=$AE188,DATE($AD188,2,1)&lt;=$AF188),ROUND($AG188,2),0))</f>
        <v/>
      </c>
      <c r="L188" s="18">
        <f>IF($Z188="","",IF(AND(DATE($AD188,3,1)&gt;=$AE188,DATE($AD188,3,1)&lt;=$AF188),ROUND($AG188,2),0))</f>
        <v/>
      </c>
      <c r="M188" s="18">
        <f>IF($Z188="","",IF(AND(DATE($AD188,4,1)&gt;=$AE188,DATE($AD188,4,1)&lt;=$AF188),ROUND($AG188,2),0))</f>
        <v/>
      </c>
      <c r="N188" s="18">
        <f>IF($Z188="","",IF(AND(DATE($AD188,5,1)&gt;=$AE188,DATE($AD188,5,1)&lt;=$AF188),ROUND($AG188,2),0))</f>
        <v/>
      </c>
      <c r="O188" s="18">
        <f>IF($Z188="","",IF(AND(DATE($AD188,6,1)&gt;=$AE188,DATE($AD188,6,1)&lt;=$AF188),ROUND($AG188,2),0))</f>
        <v/>
      </c>
      <c r="P188" s="18">
        <f>IF($Z188="","",IF(AND(DATE($AD188,7,1)&gt;=$AE188,DATE($AD188,7,1)&lt;=$AF188),ROUND($AG188,2),0))</f>
        <v/>
      </c>
      <c r="Q188" s="18">
        <f>IF($Z188="","",IF(AND(DATE($AD188,8,1)&gt;=$AE188,DATE($AD188,8,1)&lt;=$AF188),ROUND($AG188,2),0))</f>
        <v/>
      </c>
      <c r="R188" s="18">
        <f>IF($Z188="","",IF(AND(DATE($AD188,9,1)&gt;=$AE188,DATE($AD188,9,1)&lt;=$AF188),ROUND($AG188,2),0))</f>
        <v/>
      </c>
      <c r="S188" s="18">
        <f>IF($Z188="","",IF(AND(DATE($AD188,10,1)&gt;=$AE188,DATE($AD188,10,1)&lt;=$AF188),ROUND($AG188,2),0))</f>
        <v/>
      </c>
      <c r="T188" s="18">
        <f>IF($Z188="","",IF(AND(DATE($AD188,11,1)&gt;=$AE188,DATE($AD188,11,1)&lt;=$AF188),ROUND($AG188,2),0))</f>
        <v/>
      </c>
      <c r="U188" s="18">
        <f>IF($Z188="","",IF(AND(DATE($AD188,12,1)&gt;=$AE188,DATE($AD188,12,1)&lt;=$AF188),ROUND($AG188,2),0))</f>
        <v/>
      </c>
      <c r="V188" s="7">
        <f>IF($Z188="C","Generated from "&amp;INDEX(Contracts!$A$2:$A$151,$AB188),IF($Z188="A","Generated from "&amp;INDEX(Fixed_Assets!$A$2:$A$201,$AB188),IF($Z188="F","Generated from "&amp;INDEX(FTE_Allocation!$A$2:$A$201,$AB188),"")))</f>
        <v/>
      </c>
      <c r="X188" s="19">
        <f>IF($Z188="","",SUM(J188:U188))</f>
        <v/>
      </c>
      <c r="Y188" s="20">
        <f>ROW()-1</f>
        <v/>
      </c>
      <c r="Z188" s="20">
        <f>IF($Y188&lt;=Settings!$B$4*3,"C",IF($Y188&lt;=(Settings!$B$4+Settings!$B$5)*3,"A",IF($Y188&lt;=(Settings!$B$4+Settings!$B$5+Settings!$B$6)*3,"F","")))</f>
        <v/>
      </c>
      <c r="AA188" s="20">
        <f>IF($Z188="C",$Y188,IF($Z188="A",$Y188-Settings!$B$4*3,IF($Z188="F",$Y188-(Settings!$B$4+Settings!$B$5)*3,"")))</f>
        <v/>
      </c>
      <c r="AB188" s="20">
        <f>IF($Z188="","",INT(($AA188-1)/3)+1)</f>
        <v/>
      </c>
      <c r="AC188" s="20">
        <f>IF($Z188="","",MOD($AA188-1,3)+1)</f>
        <v/>
      </c>
      <c r="AD188" s="20">
        <f>IF($Z188="","",Settings!$B$2+$AC188-1)</f>
        <v/>
      </c>
      <c r="AE188" s="21">
        <f>IF($Z188="C",DATE(YEAR(INDEX(Contracts!$J$2:$J$151,$AB188)),MONTH(INDEX(Contracts!$J$2:$J$151,$AB188)),1),IF($Z188="A",DATE(YEAR(INDEX(Fixed_Assets!$G$2:$G$201,$AB188)),MONTH(INDEX(Fixed_Assets!$G$2:$G$201,$AB188)),1),IF($Z188="F",DATE(YEAR(MAX(N(INDEX(Workforce!$I$2:$I$151,MATCH(INDEX(FTE_Allocation!$A$2:$A$201,$AB188),Workforce!$A$2:$A$151,0))),N(INDEX(FTE_Allocation!$I$2:$I$201,$AB188)))),MONTH(MAX(N(INDEX(Workforce!$I$2:$I$151,MATCH(INDEX(FTE_Allocation!$A$2:$A$201,$AB188),Workforce!$A$2:$A$151,0))),N(INDEX(FTE_Allocation!$I$2:$I$201,$AB188)))),1),"")))</f>
        <v/>
      </c>
      <c r="AF188" s="21">
        <f>IF($Z188="C",IF(INDEX(Contracts!$I$2:$I$151,$AB188)="PREPAID",EDATE(DATE(YEAR(INDEX(Contracts!$J$2:$J$151,$AB188)),MONTH(INDEX(Contracts!$J$2:$J$151,$AB188)),1),IF(INDEX(Contracts!$N$2:$N$151,$AB188)="",12,INDEX(Contracts!$N$2:$N$151,$AB188))-1),IF(INDEX(Contracts!$I$2:$I$151,$AB188)="MONTHLY",IF(INDEX(Contracts!$K$2:$K$151,$AB188)="",2958101,INDEX(Contracts!$K$2:$K$151,$AB188)),0)),IF($Z188="A",EDATE(DATE(YEAR(INDEX(Fixed_Assets!$G$2:$G$201,$AB188)),MONTH(INDEX(Fixed_Assets!$G$2:$G$201,$AB188)),1),INDEX(Fixed_Assets!$J$2:$J$201,$AB188)-1),IF($Z188="F",MIN(IF(INDEX(Workforce!$J$2:$J$151,MATCH(INDEX(FTE_Allocation!$A$2:$A$201,$AB188),Workforce!$A$2:$A$151,0))="",2958101,INDEX(Workforce!$J$2:$J$151,MATCH(INDEX(FTE_Allocation!$A$2:$A$201,$AB188),Workforce!$A$2:$A$151,0))),IF(INDEX(FTE_Allocation!$J$2:$J$201,$AB188)="",2958101,INDEX(FTE_Allocation!$J$2:$J$201,$AB188))),"")))</f>
        <v/>
      </c>
      <c r="AG188" s="19">
        <f>IF($Z188="C",IF(INDEX(Contracts!$I$2:$I$151,$AB188)="PREPAID",INDEX(Contracts!$M$2:$M$151,$AB188)/IF(INDEX(Contracts!$N$2:$N$151,$AB188)="",12,INDEX(Contracts!$N$2:$N$151,$AB188)),IF(INDEX(Contracts!$I$2:$I$151,$AB188)="MONTHLY",INDEX(Contracts!$M$2:$M$151,$AB188),0))*(1-N(INDEX(Contracts!$O$2:$O$151,$AB188))),IF($Z188="A",INDEX(Fixed_Assets!$H$2:$H$201,$AB188)/INDEX(Fixed_Assets!$J$2:$J$201,$AB188),IF($Z188="F",INDEX(Workforce!$F$2:$F$151,MATCH(INDEX(FTE_Allocation!$A$2:$A$201,$AB188),Workforce!$A$2:$A$151,0))*N(INDEX(FTE_Allocation!$F$2:$H$201,$AB188,$AC188)),"")))</f>
        <v/>
      </c>
    </row>
    <row r="189">
      <c r="A189" s="7">
        <f>IF($Z189="","",$AD189)</f>
        <v/>
      </c>
      <c r="B189" s="7">
        <f>IF($Z189="C",INDEX(Contracts!$D$2:$D$151,$AB189)&amp;"",IF($Z189="A",INDEX(Fixed_Assets!$C$2:$C$201,$AB189)&amp;"",IF($Z189="F",INDEX(Workforce!$B$2:$B$151,MATCH(INDEX(FTE_Allocation!$A$2:$A$201,$AB189),Workforce!$A$2:$A$151,0))&amp;"","")))</f>
        <v/>
      </c>
      <c r="C189" s="7">
        <f>IF($Z189="C",INDEX(Contracts!$E$2:$E$151,$AB189)&amp;"",IF($Z189="A",INDEX(Fixed_Assets!$D$2:$D$201,$AB189)&amp;"",IF($Z189="F",INDEX(FTE_Allocation!$C$2:$C$201,$AB189)&amp;"","")))</f>
        <v/>
      </c>
      <c r="D189" s="7">
        <f>IF($Z189="C",INDEX(Contracts!$B$2:$B$151,$AB189)&amp;"",IF($Z189="A",INDEX(Fixed_Assets!$B$2:$B$201,$AB189)&amp;"",IF($Z189="F",INDEX(FTE_Allocation!$B$2:$B$201,$AB189)&amp;"","")))</f>
        <v/>
      </c>
      <c r="E189" s="7">
        <f>IF($Z189="C",INDEX(Contracts!$P$2:$P$151,$AB189)&amp;"",IF($Z189="A",INDEX(Fixed_Assets!$K$2:$K$201,$AB189)&amp;"",IF($Z189="F",IF(INDEX(FTE_Allocation!$D$2:$D$201,$AB189)="PROJECT",IFERROR(INDEX(Projects!$D:$D,MATCH(INDEX(FTE_Allocation!$E$2:$E$201,$AB189),Projects!$A:$A,0))&amp;"","#PROJECT?"),INDEX(FTE_Allocation!$E$2:$E$201,$AB189)&amp;""),"")))</f>
        <v/>
      </c>
      <c r="F189" s="7">
        <f>IF($Z189="C",INDEX(Contracts!$Q$2:$Q$151,$AB189)&amp;"",IF($Z189="A",INDEX(Fixed_Assets!$L$2:$L$201,$AB189)&amp;"",IF($Z189="F",INDEX(Workforce!$K$2:$K$151,MATCH(INDEX(FTE_Allocation!$A$2:$A$201,$AB189),Workforce!$A$2:$A$151,0))&amp;"","")))</f>
        <v/>
      </c>
      <c r="G189" s="7">
        <f>IF($Z189="C",INDEX(Contracts!$F$2:$F$151,$AB189)&amp;" / "&amp;INDEX(Contracts!$G$2:$G$151,$AB189),IF($Z189="A",INDEX(Fixed_Assets!$E$2:$E$201,$AB189)&amp;"",IF($Z189="F","Personnel "&amp;INDEX(FTE_Allocation!$A$2:$A$201,$AB189)&amp;IF(INDEX(FTE_Allocation!$D$2:$D$201,$AB189)="PROJECT"," ("&amp;INDEX(FTE_Allocation!$E$2:$E$201,$AB189)&amp;")",""),"")))</f>
        <v/>
      </c>
      <c r="H189" s="7">
        <f>IF($Z189="C","CONTRACT",IF($Z189="A","ASSET",IF($Z189="F","WORKFORCE","")))</f>
        <v/>
      </c>
      <c r="I189" s="7">
        <f>IF($Z189="C",INDEX(Contracts!$L$2:$L$151,$AB189)&amp;"",IF($Z189="A",INDEX(Fixed_Assets!$I$2:$I$201,$AB189)&amp;"",IF($Z189="F",INDEX(Workforce!$G$2:$G$151,MATCH(INDEX(FTE_Allocation!$A$2:$A$201,$AB189),Workforce!$A$2:$A$151,0))&amp;"","")))</f>
        <v/>
      </c>
      <c r="J189" s="18">
        <f>IF($Z189="","",IF(AND(DATE($AD189,1,1)&gt;=$AE189,DATE($AD189,1,1)&lt;=$AF189),ROUND($AG189,2),0))</f>
        <v/>
      </c>
      <c r="K189" s="18">
        <f>IF($Z189="","",IF(AND(DATE($AD189,2,1)&gt;=$AE189,DATE($AD189,2,1)&lt;=$AF189),ROUND($AG189,2),0))</f>
        <v/>
      </c>
      <c r="L189" s="18">
        <f>IF($Z189="","",IF(AND(DATE($AD189,3,1)&gt;=$AE189,DATE($AD189,3,1)&lt;=$AF189),ROUND($AG189,2),0))</f>
        <v/>
      </c>
      <c r="M189" s="18">
        <f>IF($Z189="","",IF(AND(DATE($AD189,4,1)&gt;=$AE189,DATE($AD189,4,1)&lt;=$AF189),ROUND($AG189,2),0))</f>
        <v/>
      </c>
      <c r="N189" s="18">
        <f>IF($Z189="","",IF(AND(DATE($AD189,5,1)&gt;=$AE189,DATE($AD189,5,1)&lt;=$AF189),ROUND($AG189,2),0))</f>
        <v/>
      </c>
      <c r="O189" s="18">
        <f>IF($Z189="","",IF(AND(DATE($AD189,6,1)&gt;=$AE189,DATE($AD189,6,1)&lt;=$AF189),ROUND($AG189,2),0))</f>
        <v/>
      </c>
      <c r="P189" s="18">
        <f>IF($Z189="","",IF(AND(DATE($AD189,7,1)&gt;=$AE189,DATE($AD189,7,1)&lt;=$AF189),ROUND($AG189,2),0))</f>
        <v/>
      </c>
      <c r="Q189" s="18">
        <f>IF($Z189="","",IF(AND(DATE($AD189,8,1)&gt;=$AE189,DATE($AD189,8,1)&lt;=$AF189),ROUND($AG189,2),0))</f>
        <v/>
      </c>
      <c r="R189" s="18">
        <f>IF($Z189="","",IF(AND(DATE($AD189,9,1)&gt;=$AE189,DATE($AD189,9,1)&lt;=$AF189),ROUND($AG189,2),0))</f>
        <v/>
      </c>
      <c r="S189" s="18">
        <f>IF($Z189="","",IF(AND(DATE($AD189,10,1)&gt;=$AE189,DATE($AD189,10,1)&lt;=$AF189),ROUND($AG189,2),0))</f>
        <v/>
      </c>
      <c r="T189" s="18">
        <f>IF($Z189="","",IF(AND(DATE($AD189,11,1)&gt;=$AE189,DATE($AD189,11,1)&lt;=$AF189),ROUND($AG189,2),0))</f>
        <v/>
      </c>
      <c r="U189" s="18">
        <f>IF($Z189="","",IF(AND(DATE($AD189,12,1)&gt;=$AE189,DATE($AD189,12,1)&lt;=$AF189),ROUND($AG189,2),0))</f>
        <v/>
      </c>
      <c r="V189" s="7">
        <f>IF($Z189="C","Generated from "&amp;INDEX(Contracts!$A$2:$A$151,$AB189),IF($Z189="A","Generated from "&amp;INDEX(Fixed_Assets!$A$2:$A$201,$AB189),IF($Z189="F","Generated from "&amp;INDEX(FTE_Allocation!$A$2:$A$201,$AB189),"")))</f>
        <v/>
      </c>
      <c r="X189" s="19">
        <f>IF($Z189="","",SUM(J189:U189))</f>
        <v/>
      </c>
      <c r="Y189" s="20">
        <f>ROW()-1</f>
        <v/>
      </c>
      <c r="Z189" s="20">
        <f>IF($Y189&lt;=Settings!$B$4*3,"C",IF($Y189&lt;=(Settings!$B$4+Settings!$B$5)*3,"A",IF($Y189&lt;=(Settings!$B$4+Settings!$B$5+Settings!$B$6)*3,"F","")))</f>
        <v/>
      </c>
      <c r="AA189" s="20">
        <f>IF($Z189="C",$Y189,IF($Z189="A",$Y189-Settings!$B$4*3,IF($Z189="F",$Y189-(Settings!$B$4+Settings!$B$5)*3,"")))</f>
        <v/>
      </c>
      <c r="AB189" s="20">
        <f>IF($Z189="","",INT(($AA189-1)/3)+1)</f>
        <v/>
      </c>
      <c r="AC189" s="20">
        <f>IF($Z189="","",MOD($AA189-1,3)+1)</f>
        <v/>
      </c>
      <c r="AD189" s="20">
        <f>IF($Z189="","",Settings!$B$2+$AC189-1)</f>
        <v/>
      </c>
      <c r="AE189" s="21">
        <f>IF($Z189="C",DATE(YEAR(INDEX(Contracts!$J$2:$J$151,$AB189)),MONTH(INDEX(Contracts!$J$2:$J$151,$AB189)),1),IF($Z189="A",DATE(YEAR(INDEX(Fixed_Assets!$G$2:$G$201,$AB189)),MONTH(INDEX(Fixed_Assets!$G$2:$G$201,$AB189)),1),IF($Z189="F",DATE(YEAR(MAX(N(INDEX(Workforce!$I$2:$I$151,MATCH(INDEX(FTE_Allocation!$A$2:$A$201,$AB189),Workforce!$A$2:$A$151,0))),N(INDEX(FTE_Allocation!$I$2:$I$201,$AB189)))),MONTH(MAX(N(INDEX(Workforce!$I$2:$I$151,MATCH(INDEX(FTE_Allocation!$A$2:$A$201,$AB189),Workforce!$A$2:$A$151,0))),N(INDEX(FTE_Allocation!$I$2:$I$201,$AB189)))),1),"")))</f>
        <v/>
      </c>
      <c r="AF189" s="21">
        <f>IF($Z189="C",IF(INDEX(Contracts!$I$2:$I$151,$AB189)="PREPAID",EDATE(DATE(YEAR(INDEX(Contracts!$J$2:$J$151,$AB189)),MONTH(INDEX(Contracts!$J$2:$J$151,$AB189)),1),IF(INDEX(Contracts!$N$2:$N$151,$AB189)="",12,INDEX(Contracts!$N$2:$N$151,$AB189))-1),IF(INDEX(Contracts!$I$2:$I$151,$AB189)="MONTHLY",IF(INDEX(Contracts!$K$2:$K$151,$AB189)="",2958101,INDEX(Contracts!$K$2:$K$151,$AB189)),0)),IF($Z189="A",EDATE(DATE(YEAR(INDEX(Fixed_Assets!$G$2:$G$201,$AB189)),MONTH(INDEX(Fixed_Assets!$G$2:$G$201,$AB189)),1),INDEX(Fixed_Assets!$J$2:$J$201,$AB189)-1),IF($Z189="F",MIN(IF(INDEX(Workforce!$J$2:$J$151,MATCH(INDEX(FTE_Allocation!$A$2:$A$201,$AB189),Workforce!$A$2:$A$151,0))="",2958101,INDEX(Workforce!$J$2:$J$151,MATCH(INDEX(FTE_Allocation!$A$2:$A$201,$AB189),Workforce!$A$2:$A$151,0))),IF(INDEX(FTE_Allocation!$J$2:$J$201,$AB189)="",2958101,INDEX(FTE_Allocation!$J$2:$J$201,$AB189))),"")))</f>
        <v/>
      </c>
      <c r="AG189" s="19">
        <f>IF($Z189="C",IF(INDEX(Contracts!$I$2:$I$151,$AB189)="PREPAID",INDEX(Contracts!$M$2:$M$151,$AB189)/IF(INDEX(Contracts!$N$2:$N$151,$AB189)="",12,INDEX(Contracts!$N$2:$N$151,$AB189)),IF(INDEX(Contracts!$I$2:$I$151,$AB189)="MONTHLY",INDEX(Contracts!$M$2:$M$151,$AB189),0))*(1-N(INDEX(Contracts!$O$2:$O$151,$AB189))),IF($Z189="A",INDEX(Fixed_Assets!$H$2:$H$201,$AB189)/INDEX(Fixed_Assets!$J$2:$J$201,$AB189),IF($Z189="F",INDEX(Workforce!$F$2:$F$151,MATCH(INDEX(FTE_Allocation!$A$2:$A$201,$AB189),Workforce!$A$2:$A$151,0))*N(INDEX(FTE_Allocation!$F$2:$H$201,$AB189,$AC189)),"")))</f>
        <v/>
      </c>
    </row>
    <row r="190">
      <c r="A190" s="7">
        <f>IF($Z190="","",$AD190)</f>
        <v/>
      </c>
      <c r="B190" s="7">
        <f>IF($Z190="C",INDEX(Contracts!$D$2:$D$151,$AB190)&amp;"",IF($Z190="A",INDEX(Fixed_Assets!$C$2:$C$201,$AB190)&amp;"",IF($Z190="F",INDEX(Workforce!$B$2:$B$151,MATCH(INDEX(FTE_Allocation!$A$2:$A$201,$AB190),Workforce!$A$2:$A$151,0))&amp;"","")))</f>
        <v/>
      </c>
      <c r="C190" s="7">
        <f>IF($Z190="C",INDEX(Contracts!$E$2:$E$151,$AB190)&amp;"",IF($Z190="A",INDEX(Fixed_Assets!$D$2:$D$201,$AB190)&amp;"",IF($Z190="F",INDEX(FTE_Allocation!$C$2:$C$201,$AB190)&amp;"","")))</f>
        <v/>
      </c>
      <c r="D190" s="7">
        <f>IF($Z190="C",INDEX(Contracts!$B$2:$B$151,$AB190)&amp;"",IF($Z190="A",INDEX(Fixed_Assets!$B$2:$B$201,$AB190)&amp;"",IF($Z190="F",INDEX(FTE_Allocation!$B$2:$B$201,$AB190)&amp;"","")))</f>
        <v/>
      </c>
      <c r="E190" s="7">
        <f>IF($Z190="C",INDEX(Contracts!$P$2:$P$151,$AB190)&amp;"",IF($Z190="A",INDEX(Fixed_Assets!$K$2:$K$201,$AB190)&amp;"",IF($Z190="F",IF(INDEX(FTE_Allocation!$D$2:$D$201,$AB190)="PROJECT",IFERROR(INDEX(Projects!$D:$D,MATCH(INDEX(FTE_Allocation!$E$2:$E$201,$AB190),Projects!$A:$A,0))&amp;"","#PROJECT?"),INDEX(FTE_Allocation!$E$2:$E$201,$AB190)&amp;""),"")))</f>
        <v/>
      </c>
      <c r="F190" s="7">
        <f>IF($Z190="C",INDEX(Contracts!$Q$2:$Q$151,$AB190)&amp;"",IF($Z190="A",INDEX(Fixed_Assets!$L$2:$L$201,$AB190)&amp;"",IF($Z190="F",INDEX(Workforce!$K$2:$K$151,MATCH(INDEX(FTE_Allocation!$A$2:$A$201,$AB190),Workforce!$A$2:$A$151,0))&amp;"","")))</f>
        <v/>
      </c>
      <c r="G190" s="7">
        <f>IF($Z190="C",INDEX(Contracts!$F$2:$F$151,$AB190)&amp;" / "&amp;INDEX(Contracts!$G$2:$G$151,$AB190),IF($Z190="A",INDEX(Fixed_Assets!$E$2:$E$201,$AB190)&amp;"",IF($Z190="F","Personnel "&amp;INDEX(FTE_Allocation!$A$2:$A$201,$AB190)&amp;IF(INDEX(FTE_Allocation!$D$2:$D$201,$AB190)="PROJECT"," ("&amp;INDEX(FTE_Allocation!$E$2:$E$201,$AB190)&amp;")",""),"")))</f>
        <v/>
      </c>
      <c r="H190" s="7">
        <f>IF($Z190="C","CONTRACT",IF($Z190="A","ASSET",IF($Z190="F","WORKFORCE","")))</f>
        <v/>
      </c>
      <c r="I190" s="7">
        <f>IF($Z190="C",INDEX(Contracts!$L$2:$L$151,$AB190)&amp;"",IF($Z190="A",INDEX(Fixed_Assets!$I$2:$I$201,$AB190)&amp;"",IF($Z190="F",INDEX(Workforce!$G$2:$G$151,MATCH(INDEX(FTE_Allocation!$A$2:$A$201,$AB190),Workforce!$A$2:$A$151,0))&amp;"","")))</f>
        <v/>
      </c>
      <c r="J190" s="18">
        <f>IF($Z190="","",IF(AND(DATE($AD190,1,1)&gt;=$AE190,DATE($AD190,1,1)&lt;=$AF190),ROUND($AG190,2),0))</f>
        <v/>
      </c>
      <c r="K190" s="18">
        <f>IF($Z190="","",IF(AND(DATE($AD190,2,1)&gt;=$AE190,DATE($AD190,2,1)&lt;=$AF190),ROUND($AG190,2),0))</f>
        <v/>
      </c>
      <c r="L190" s="18">
        <f>IF($Z190="","",IF(AND(DATE($AD190,3,1)&gt;=$AE190,DATE($AD190,3,1)&lt;=$AF190),ROUND($AG190,2),0))</f>
        <v/>
      </c>
      <c r="M190" s="18">
        <f>IF($Z190="","",IF(AND(DATE($AD190,4,1)&gt;=$AE190,DATE($AD190,4,1)&lt;=$AF190),ROUND($AG190,2),0))</f>
        <v/>
      </c>
      <c r="N190" s="18">
        <f>IF($Z190="","",IF(AND(DATE($AD190,5,1)&gt;=$AE190,DATE($AD190,5,1)&lt;=$AF190),ROUND($AG190,2),0))</f>
        <v/>
      </c>
      <c r="O190" s="18">
        <f>IF($Z190="","",IF(AND(DATE($AD190,6,1)&gt;=$AE190,DATE($AD190,6,1)&lt;=$AF190),ROUND($AG190,2),0))</f>
        <v/>
      </c>
      <c r="P190" s="18">
        <f>IF($Z190="","",IF(AND(DATE($AD190,7,1)&gt;=$AE190,DATE($AD190,7,1)&lt;=$AF190),ROUND($AG190,2),0))</f>
        <v/>
      </c>
      <c r="Q190" s="18">
        <f>IF($Z190="","",IF(AND(DATE($AD190,8,1)&gt;=$AE190,DATE($AD190,8,1)&lt;=$AF190),ROUND($AG190,2),0))</f>
        <v/>
      </c>
      <c r="R190" s="18">
        <f>IF($Z190="","",IF(AND(DATE($AD190,9,1)&gt;=$AE190,DATE($AD190,9,1)&lt;=$AF190),ROUND($AG190,2),0))</f>
        <v/>
      </c>
      <c r="S190" s="18">
        <f>IF($Z190="","",IF(AND(DATE($AD190,10,1)&gt;=$AE190,DATE($AD190,10,1)&lt;=$AF190),ROUND($AG190,2),0))</f>
        <v/>
      </c>
      <c r="T190" s="18">
        <f>IF($Z190="","",IF(AND(DATE($AD190,11,1)&gt;=$AE190,DATE($AD190,11,1)&lt;=$AF190),ROUND($AG190,2),0))</f>
        <v/>
      </c>
      <c r="U190" s="18">
        <f>IF($Z190="","",IF(AND(DATE($AD190,12,1)&gt;=$AE190,DATE($AD190,12,1)&lt;=$AF190),ROUND($AG190,2),0))</f>
        <v/>
      </c>
      <c r="V190" s="7">
        <f>IF($Z190="C","Generated from "&amp;INDEX(Contracts!$A$2:$A$151,$AB190),IF($Z190="A","Generated from "&amp;INDEX(Fixed_Assets!$A$2:$A$201,$AB190),IF($Z190="F","Generated from "&amp;INDEX(FTE_Allocation!$A$2:$A$201,$AB190),"")))</f>
        <v/>
      </c>
      <c r="X190" s="19">
        <f>IF($Z190="","",SUM(J190:U190))</f>
        <v/>
      </c>
      <c r="Y190" s="20">
        <f>ROW()-1</f>
        <v/>
      </c>
      <c r="Z190" s="20">
        <f>IF($Y190&lt;=Settings!$B$4*3,"C",IF($Y190&lt;=(Settings!$B$4+Settings!$B$5)*3,"A",IF($Y190&lt;=(Settings!$B$4+Settings!$B$5+Settings!$B$6)*3,"F","")))</f>
        <v/>
      </c>
      <c r="AA190" s="20">
        <f>IF($Z190="C",$Y190,IF($Z190="A",$Y190-Settings!$B$4*3,IF($Z190="F",$Y190-(Settings!$B$4+Settings!$B$5)*3,"")))</f>
        <v/>
      </c>
      <c r="AB190" s="20">
        <f>IF($Z190="","",INT(($AA190-1)/3)+1)</f>
        <v/>
      </c>
      <c r="AC190" s="20">
        <f>IF($Z190="","",MOD($AA190-1,3)+1)</f>
        <v/>
      </c>
      <c r="AD190" s="20">
        <f>IF($Z190="","",Settings!$B$2+$AC190-1)</f>
        <v/>
      </c>
      <c r="AE190" s="21">
        <f>IF($Z190="C",DATE(YEAR(INDEX(Contracts!$J$2:$J$151,$AB190)),MONTH(INDEX(Contracts!$J$2:$J$151,$AB190)),1),IF($Z190="A",DATE(YEAR(INDEX(Fixed_Assets!$G$2:$G$201,$AB190)),MONTH(INDEX(Fixed_Assets!$G$2:$G$201,$AB190)),1),IF($Z190="F",DATE(YEAR(MAX(N(INDEX(Workforce!$I$2:$I$151,MATCH(INDEX(FTE_Allocation!$A$2:$A$201,$AB190),Workforce!$A$2:$A$151,0))),N(INDEX(FTE_Allocation!$I$2:$I$201,$AB190)))),MONTH(MAX(N(INDEX(Workforce!$I$2:$I$151,MATCH(INDEX(FTE_Allocation!$A$2:$A$201,$AB190),Workforce!$A$2:$A$151,0))),N(INDEX(FTE_Allocation!$I$2:$I$201,$AB190)))),1),"")))</f>
        <v/>
      </c>
      <c r="AF190" s="21">
        <f>IF($Z190="C",IF(INDEX(Contracts!$I$2:$I$151,$AB190)="PREPAID",EDATE(DATE(YEAR(INDEX(Contracts!$J$2:$J$151,$AB190)),MONTH(INDEX(Contracts!$J$2:$J$151,$AB190)),1),IF(INDEX(Contracts!$N$2:$N$151,$AB190)="",12,INDEX(Contracts!$N$2:$N$151,$AB190))-1),IF(INDEX(Contracts!$I$2:$I$151,$AB190)="MONTHLY",IF(INDEX(Contracts!$K$2:$K$151,$AB190)="",2958101,INDEX(Contracts!$K$2:$K$151,$AB190)),0)),IF($Z190="A",EDATE(DATE(YEAR(INDEX(Fixed_Assets!$G$2:$G$201,$AB190)),MONTH(INDEX(Fixed_Assets!$G$2:$G$201,$AB190)),1),INDEX(Fixed_Assets!$J$2:$J$201,$AB190)-1),IF($Z190="F",MIN(IF(INDEX(Workforce!$J$2:$J$151,MATCH(INDEX(FTE_Allocation!$A$2:$A$201,$AB190),Workforce!$A$2:$A$151,0))="",2958101,INDEX(Workforce!$J$2:$J$151,MATCH(INDEX(FTE_Allocation!$A$2:$A$201,$AB190),Workforce!$A$2:$A$151,0))),IF(INDEX(FTE_Allocation!$J$2:$J$201,$AB190)="",2958101,INDEX(FTE_Allocation!$J$2:$J$201,$AB190))),"")))</f>
        <v/>
      </c>
      <c r="AG190" s="19">
        <f>IF($Z190="C",IF(INDEX(Contracts!$I$2:$I$151,$AB190)="PREPAID",INDEX(Contracts!$M$2:$M$151,$AB190)/IF(INDEX(Contracts!$N$2:$N$151,$AB190)="",12,INDEX(Contracts!$N$2:$N$151,$AB190)),IF(INDEX(Contracts!$I$2:$I$151,$AB190)="MONTHLY",INDEX(Contracts!$M$2:$M$151,$AB190),0))*(1-N(INDEX(Contracts!$O$2:$O$151,$AB190))),IF($Z190="A",INDEX(Fixed_Assets!$H$2:$H$201,$AB190)/INDEX(Fixed_Assets!$J$2:$J$201,$AB190),IF($Z190="F",INDEX(Workforce!$F$2:$F$151,MATCH(INDEX(FTE_Allocation!$A$2:$A$201,$AB190),Workforce!$A$2:$A$151,0))*N(INDEX(FTE_Allocation!$F$2:$H$201,$AB190,$AC190)),"")))</f>
        <v/>
      </c>
    </row>
    <row r="191">
      <c r="A191" s="7">
        <f>IF($Z191="","",$AD191)</f>
        <v/>
      </c>
      <c r="B191" s="7">
        <f>IF($Z191="C",INDEX(Contracts!$D$2:$D$151,$AB191)&amp;"",IF($Z191="A",INDEX(Fixed_Assets!$C$2:$C$201,$AB191)&amp;"",IF($Z191="F",INDEX(Workforce!$B$2:$B$151,MATCH(INDEX(FTE_Allocation!$A$2:$A$201,$AB191),Workforce!$A$2:$A$151,0))&amp;"","")))</f>
        <v/>
      </c>
      <c r="C191" s="7">
        <f>IF($Z191="C",INDEX(Contracts!$E$2:$E$151,$AB191)&amp;"",IF($Z191="A",INDEX(Fixed_Assets!$D$2:$D$201,$AB191)&amp;"",IF($Z191="F",INDEX(FTE_Allocation!$C$2:$C$201,$AB191)&amp;"","")))</f>
        <v/>
      </c>
      <c r="D191" s="7">
        <f>IF($Z191="C",INDEX(Contracts!$B$2:$B$151,$AB191)&amp;"",IF($Z191="A",INDEX(Fixed_Assets!$B$2:$B$201,$AB191)&amp;"",IF($Z191="F",INDEX(FTE_Allocation!$B$2:$B$201,$AB191)&amp;"","")))</f>
        <v/>
      </c>
      <c r="E191" s="7">
        <f>IF($Z191="C",INDEX(Contracts!$P$2:$P$151,$AB191)&amp;"",IF($Z191="A",INDEX(Fixed_Assets!$K$2:$K$201,$AB191)&amp;"",IF($Z191="F",IF(INDEX(FTE_Allocation!$D$2:$D$201,$AB191)="PROJECT",IFERROR(INDEX(Projects!$D:$D,MATCH(INDEX(FTE_Allocation!$E$2:$E$201,$AB191),Projects!$A:$A,0))&amp;"","#PROJECT?"),INDEX(FTE_Allocation!$E$2:$E$201,$AB191)&amp;""),"")))</f>
        <v/>
      </c>
      <c r="F191" s="7">
        <f>IF($Z191="C",INDEX(Contracts!$Q$2:$Q$151,$AB191)&amp;"",IF($Z191="A",INDEX(Fixed_Assets!$L$2:$L$201,$AB191)&amp;"",IF($Z191="F",INDEX(Workforce!$K$2:$K$151,MATCH(INDEX(FTE_Allocation!$A$2:$A$201,$AB191),Workforce!$A$2:$A$151,0))&amp;"","")))</f>
        <v/>
      </c>
      <c r="G191" s="7">
        <f>IF($Z191="C",INDEX(Contracts!$F$2:$F$151,$AB191)&amp;" / "&amp;INDEX(Contracts!$G$2:$G$151,$AB191),IF($Z191="A",INDEX(Fixed_Assets!$E$2:$E$201,$AB191)&amp;"",IF($Z191="F","Personnel "&amp;INDEX(FTE_Allocation!$A$2:$A$201,$AB191)&amp;IF(INDEX(FTE_Allocation!$D$2:$D$201,$AB191)="PROJECT"," ("&amp;INDEX(FTE_Allocation!$E$2:$E$201,$AB191)&amp;")",""),"")))</f>
        <v/>
      </c>
      <c r="H191" s="7">
        <f>IF($Z191="C","CONTRACT",IF($Z191="A","ASSET",IF($Z191="F","WORKFORCE","")))</f>
        <v/>
      </c>
      <c r="I191" s="7">
        <f>IF($Z191="C",INDEX(Contracts!$L$2:$L$151,$AB191)&amp;"",IF($Z191="A",INDEX(Fixed_Assets!$I$2:$I$201,$AB191)&amp;"",IF($Z191="F",INDEX(Workforce!$G$2:$G$151,MATCH(INDEX(FTE_Allocation!$A$2:$A$201,$AB191),Workforce!$A$2:$A$151,0))&amp;"","")))</f>
        <v/>
      </c>
      <c r="J191" s="18">
        <f>IF($Z191="","",IF(AND(DATE($AD191,1,1)&gt;=$AE191,DATE($AD191,1,1)&lt;=$AF191),ROUND($AG191,2),0))</f>
        <v/>
      </c>
      <c r="K191" s="18">
        <f>IF($Z191="","",IF(AND(DATE($AD191,2,1)&gt;=$AE191,DATE($AD191,2,1)&lt;=$AF191),ROUND($AG191,2),0))</f>
        <v/>
      </c>
      <c r="L191" s="18">
        <f>IF($Z191="","",IF(AND(DATE($AD191,3,1)&gt;=$AE191,DATE($AD191,3,1)&lt;=$AF191),ROUND($AG191,2),0))</f>
        <v/>
      </c>
      <c r="M191" s="18">
        <f>IF($Z191="","",IF(AND(DATE($AD191,4,1)&gt;=$AE191,DATE($AD191,4,1)&lt;=$AF191),ROUND($AG191,2),0))</f>
        <v/>
      </c>
      <c r="N191" s="18">
        <f>IF($Z191="","",IF(AND(DATE($AD191,5,1)&gt;=$AE191,DATE($AD191,5,1)&lt;=$AF191),ROUND($AG191,2),0))</f>
        <v/>
      </c>
      <c r="O191" s="18">
        <f>IF($Z191="","",IF(AND(DATE($AD191,6,1)&gt;=$AE191,DATE($AD191,6,1)&lt;=$AF191),ROUND($AG191,2),0))</f>
        <v/>
      </c>
      <c r="P191" s="18">
        <f>IF($Z191="","",IF(AND(DATE($AD191,7,1)&gt;=$AE191,DATE($AD191,7,1)&lt;=$AF191),ROUND($AG191,2),0))</f>
        <v/>
      </c>
      <c r="Q191" s="18">
        <f>IF($Z191="","",IF(AND(DATE($AD191,8,1)&gt;=$AE191,DATE($AD191,8,1)&lt;=$AF191),ROUND($AG191,2),0))</f>
        <v/>
      </c>
      <c r="R191" s="18">
        <f>IF($Z191="","",IF(AND(DATE($AD191,9,1)&gt;=$AE191,DATE($AD191,9,1)&lt;=$AF191),ROUND($AG191,2),0))</f>
        <v/>
      </c>
      <c r="S191" s="18">
        <f>IF($Z191="","",IF(AND(DATE($AD191,10,1)&gt;=$AE191,DATE($AD191,10,1)&lt;=$AF191),ROUND($AG191,2),0))</f>
        <v/>
      </c>
      <c r="T191" s="18">
        <f>IF($Z191="","",IF(AND(DATE($AD191,11,1)&gt;=$AE191,DATE($AD191,11,1)&lt;=$AF191),ROUND($AG191,2),0))</f>
        <v/>
      </c>
      <c r="U191" s="18">
        <f>IF($Z191="","",IF(AND(DATE($AD191,12,1)&gt;=$AE191,DATE($AD191,12,1)&lt;=$AF191),ROUND($AG191,2),0))</f>
        <v/>
      </c>
      <c r="V191" s="7">
        <f>IF($Z191="C","Generated from "&amp;INDEX(Contracts!$A$2:$A$151,$AB191),IF($Z191="A","Generated from "&amp;INDEX(Fixed_Assets!$A$2:$A$201,$AB191),IF($Z191="F","Generated from "&amp;INDEX(FTE_Allocation!$A$2:$A$201,$AB191),"")))</f>
        <v/>
      </c>
      <c r="X191" s="19">
        <f>IF($Z191="","",SUM(J191:U191))</f>
        <v/>
      </c>
      <c r="Y191" s="20">
        <f>ROW()-1</f>
        <v/>
      </c>
      <c r="Z191" s="20">
        <f>IF($Y191&lt;=Settings!$B$4*3,"C",IF($Y191&lt;=(Settings!$B$4+Settings!$B$5)*3,"A",IF($Y191&lt;=(Settings!$B$4+Settings!$B$5+Settings!$B$6)*3,"F","")))</f>
        <v/>
      </c>
      <c r="AA191" s="20">
        <f>IF($Z191="C",$Y191,IF($Z191="A",$Y191-Settings!$B$4*3,IF($Z191="F",$Y191-(Settings!$B$4+Settings!$B$5)*3,"")))</f>
        <v/>
      </c>
      <c r="AB191" s="20">
        <f>IF($Z191="","",INT(($AA191-1)/3)+1)</f>
        <v/>
      </c>
      <c r="AC191" s="20">
        <f>IF($Z191="","",MOD($AA191-1,3)+1)</f>
        <v/>
      </c>
      <c r="AD191" s="20">
        <f>IF($Z191="","",Settings!$B$2+$AC191-1)</f>
        <v/>
      </c>
      <c r="AE191" s="21">
        <f>IF($Z191="C",DATE(YEAR(INDEX(Contracts!$J$2:$J$151,$AB191)),MONTH(INDEX(Contracts!$J$2:$J$151,$AB191)),1),IF($Z191="A",DATE(YEAR(INDEX(Fixed_Assets!$G$2:$G$201,$AB191)),MONTH(INDEX(Fixed_Assets!$G$2:$G$201,$AB191)),1),IF($Z191="F",DATE(YEAR(MAX(N(INDEX(Workforce!$I$2:$I$151,MATCH(INDEX(FTE_Allocation!$A$2:$A$201,$AB191),Workforce!$A$2:$A$151,0))),N(INDEX(FTE_Allocation!$I$2:$I$201,$AB191)))),MONTH(MAX(N(INDEX(Workforce!$I$2:$I$151,MATCH(INDEX(FTE_Allocation!$A$2:$A$201,$AB191),Workforce!$A$2:$A$151,0))),N(INDEX(FTE_Allocation!$I$2:$I$201,$AB191)))),1),"")))</f>
        <v/>
      </c>
      <c r="AF191" s="21">
        <f>IF($Z191="C",IF(INDEX(Contracts!$I$2:$I$151,$AB191)="PREPAID",EDATE(DATE(YEAR(INDEX(Contracts!$J$2:$J$151,$AB191)),MONTH(INDEX(Contracts!$J$2:$J$151,$AB191)),1),IF(INDEX(Contracts!$N$2:$N$151,$AB191)="",12,INDEX(Contracts!$N$2:$N$151,$AB191))-1),IF(INDEX(Contracts!$I$2:$I$151,$AB191)="MONTHLY",IF(INDEX(Contracts!$K$2:$K$151,$AB191)="",2958101,INDEX(Contracts!$K$2:$K$151,$AB191)),0)),IF($Z191="A",EDATE(DATE(YEAR(INDEX(Fixed_Assets!$G$2:$G$201,$AB191)),MONTH(INDEX(Fixed_Assets!$G$2:$G$201,$AB191)),1),INDEX(Fixed_Assets!$J$2:$J$201,$AB191)-1),IF($Z191="F",MIN(IF(INDEX(Workforce!$J$2:$J$151,MATCH(INDEX(FTE_Allocation!$A$2:$A$201,$AB191),Workforce!$A$2:$A$151,0))="",2958101,INDEX(Workforce!$J$2:$J$151,MATCH(INDEX(FTE_Allocation!$A$2:$A$201,$AB191),Workforce!$A$2:$A$151,0))),IF(INDEX(FTE_Allocation!$J$2:$J$201,$AB191)="",2958101,INDEX(FTE_Allocation!$J$2:$J$201,$AB191))),"")))</f>
        <v/>
      </c>
      <c r="AG191" s="19">
        <f>IF($Z191="C",IF(INDEX(Contracts!$I$2:$I$151,$AB191)="PREPAID",INDEX(Contracts!$M$2:$M$151,$AB191)/IF(INDEX(Contracts!$N$2:$N$151,$AB191)="",12,INDEX(Contracts!$N$2:$N$151,$AB191)),IF(INDEX(Contracts!$I$2:$I$151,$AB191)="MONTHLY",INDEX(Contracts!$M$2:$M$151,$AB191),0))*(1-N(INDEX(Contracts!$O$2:$O$151,$AB191))),IF($Z191="A",INDEX(Fixed_Assets!$H$2:$H$201,$AB191)/INDEX(Fixed_Assets!$J$2:$J$201,$AB191),IF($Z191="F",INDEX(Workforce!$F$2:$F$151,MATCH(INDEX(FTE_Allocation!$A$2:$A$201,$AB191),Workforce!$A$2:$A$151,0))*N(INDEX(FTE_Allocation!$F$2:$H$201,$AB191,$AC191)),"")))</f>
        <v/>
      </c>
    </row>
    <row r="192">
      <c r="A192" s="7">
        <f>IF($Z192="","",$AD192)</f>
        <v/>
      </c>
      <c r="B192" s="7">
        <f>IF($Z192="C",INDEX(Contracts!$D$2:$D$151,$AB192)&amp;"",IF($Z192="A",INDEX(Fixed_Assets!$C$2:$C$201,$AB192)&amp;"",IF($Z192="F",INDEX(Workforce!$B$2:$B$151,MATCH(INDEX(FTE_Allocation!$A$2:$A$201,$AB192),Workforce!$A$2:$A$151,0))&amp;"","")))</f>
        <v/>
      </c>
      <c r="C192" s="7">
        <f>IF($Z192="C",INDEX(Contracts!$E$2:$E$151,$AB192)&amp;"",IF($Z192="A",INDEX(Fixed_Assets!$D$2:$D$201,$AB192)&amp;"",IF($Z192="F",INDEX(FTE_Allocation!$C$2:$C$201,$AB192)&amp;"","")))</f>
        <v/>
      </c>
      <c r="D192" s="7">
        <f>IF($Z192="C",INDEX(Contracts!$B$2:$B$151,$AB192)&amp;"",IF($Z192="A",INDEX(Fixed_Assets!$B$2:$B$201,$AB192)&amp;"",IF($Z192="F",INDEX(FTE_Allocation!$B$2:$B$201,$AB192)&amp;"","")))</f>
        <v/>
      </c>
      <c r="E192" s="7">
        <f>IF($Z192="C",INDEX(Contracts!$P$2:$P$151,$AB192)&amp;"",IF($Z192="A",INDEX(Fixed_Assets!$K$2:$K$201,$AB192)&amp;"",IF($Z192="F",IF(INDEX(FTE_Allocation!$D$2:$D$201,$AB192)="PROJECT",IFERROR(INDEX(Projects!$D:$D,MATCH(INDEX(FTE_Allocation!$E$2:$E$201,$AB192),Projects!$A:$A,0))&amp;"","#PROJECT?"),INDEX(FTE_Allocation!$E$2:$E$201,$AB192)&amp;""),"")))</f>
        <v/>
      </c>
      <c r="F192" s="7">
        <f>IF($Z192="C",INDEX(Contracts!$Q$2:$Q$151,$AB192)&amp;"",IF($Z192="A",INDEX(Fixed_Assets!$L$2:$L$201,$AB192)&amp;"",IF($Z192="F",INDEX(Workforce!$K$2:$K$151,MATCH(INDEX(FTE_Allocation!$A$2:$A$201,$AB192),Workforce!$A$2:$A$151,0))&amp;"","")))</f>
        <v/>
      </c>
      <c r="G192" s="7">
        <f>IF($Z192="C",INDEX(Contracts!$F$2:$F$151,$AB192)&amp;" / "&amp;INDEX(Contracts!$G$2:$G$151,$AB192),IF($Z192="A",INDEX(Fixed_Assets!$E$2:$E$201,$AB192)&amp;"",IF($Z192="F","Personnel "&amp;INDEX(FTE_Allocation!$A$2:$A$201,$AB192)&amp;IF(INDEX(FTE_Allocation!$D$2:$D$201,$AB192)="PROJECT"," ("&amp;INDEX(FTE_Allocation!$E$2:$E$201,$AB192)&amp;")",""),"")))</f>
        <v/>
      </c>
      <c r="H192" s="7">
        <f>IF($Z192="C","CONTRACT",IF($Z192="A","ASSET",IF($Z192="F","WORKFORCE","")))</f>
        <v/>
      </c>
      <c r="I192" s="7">
        <f>IF($Z192="C",INDEX(Contracts!$L$2:$L$151,$AB192)&amp;"",IF($Z192="A",INDEX(Fixed_Assets!$I$2:$I$201,$AB192)&amp;"",IF($Z192="F",INDEX(Workforce!$G$2:$G$151,MATCH(INDEX(FTE_Allocation!$A$2:$A$201,$AB192),Workforce!$A$2:$A$151,0))&amp;"","")))</f>
        <v/>
      </c>
      <c r="J192" s="18">
        <f>IF($Z192="","",IF(AND(DATE($AD192,1,1)&gt;=$AE192,DATE($AD192,1,1)&lt;=$AF192),ROUND($AG192,2),0))</f>
        <v/>
      </c>
      <c r="K192" s="18">
        <f>IF($Z192="","",IF(AND(DATE($AD192,2,1)&gt;=$AE192,DATE($AD192,2,1)&lt;=$AF192),ROUND($AG192,2),0))</f>
        <v/>
      </c>
      <c r="L192" s="18">
        <f>IF($Z192="","",IF(AND(DATE($AD192,3,1)&gt;=$AE192,DATE($AD192,3,1)&lt;=$AF192),ROUND($AG192,2),0))</f>
        <v/>
      </c>
      <c r="M192" s="18">
        <f>IF($Z192="","",IF(AND(DATE($AD192,4,1)&gt;=$AE192,DATE($AD192,4,1)&lt;=$AF192),ROUND($AG192,2),0))</f>
        <v/>
      </c>
      <c r="N192" s="18">
        <f>IF($Z192="","",IF(AND(DATE($AD192,5,1)&gt;=$AE192,DATE($AD192,5,1)&lt;=$AF192),ROUND($AG192,2),0))</f>
        <v/>
      </c>
      <c r="O192" s="18">
        <f>IF($Z192="","",IF(AND(DATE($AD192,6,1)&gt;=$AE192,DATE($AD192,6,1)&lt;=$AF192),ROUND($AG192,2),0))</f>
        <v/>
      </c>
      <c r="P192" s="18">
        <f>IF($Z192="","",IF(AND(DATE($AD192,7,1)&gt;=$AE192,DATE($AD192,7,1)&lt;=$AF192),ROUND($AG192,2),0))</f>
        <v/>
      </c>
      <c r="Q192" s="18">
        <f>IF($Z192="","",IF(AND(DATE($AD192,8,1)&gt;=$AE192,DATE($AD192,8,1)&lt;=$AF192),ROUND($AG192,2),0))</f>
        <v/>
      </c>
      <c r="R192" s="18">
        <f>IF($Z192="","",IF(AND(DATE($AD192,9,1)&gt;=$AE192,DATE($AD192,9,1)&lt;=$AF192),ROUND($AG192,2),0))</f>
        <v/>
      </c>
      <c r="S192" s="18">
        <f>IF($Z192="","",IF(AND(DATE($AD192,10,1)&gt;=$AE192,DATE($AD192,10,1)&lt;=$AF192),ROUND($AG192,2),0))</f>
        <v/>
      </c>
      <c r="T192" s="18">
        <f>IF($Z192="","",IF(AND(DATE($AD192,11,1)&gt;=$AE192,DATE($AD192,11,1)&lt;=$AF192),ROUND($AG192,2),0))</f>
        <v/>
      </c>
      <c r="U192" s="18">
        <f>IF($Z192="","",IF(AND(DATE($AD192,12,1)&gt;=$AE192,DATE($AD192,12,1)&lt;=$AF192),ROUND($AG192,2),0))</f>
        <v/>
      </c>
      <c r="V192" s="7">
        <f>IF($Z192="C","Generated from "&amp;INDEX(Contracts!$A$2:$A$151,$AB192),IF($Z192="A","Generated from "&amp;INDEX(Fixed_Assets!$A$2:$A$201,$AB192),IF($Z192="F","Generated from "&amp;INDEX(FTE_Allocation!$A$2:$A$201,$AB192),"")))</f>
        <v/>
      </c>
      <c r="X192" s="19">
        <f>IF($Z192="","",SUM(J192:U192))</f>
        <v/>
      </c>
      <c r="Y192" s="20">
        <f>ROW()-1</f>
        <v/>
      </c>
      <c r="Z192" s="20">
        <f>IF($Y192&lt;=Settings!$B$4*3,"C",IF($Y192&lt;=(Settings!$B$4+Settings!$B$5)*3,"A",IF($Y192&lt;=(Settings!$B$4+Settings!$B$5+Settings!$B$6)*3,"F","")))</f>
        <v/>
      </c>
      <c r="AA192" s="20">
        <f>IF($Z192="C",$Y192,IF($Z192="A",$Y192-Settings!$B$4*3,IF($Z192="F",$Y192-(Settings!$B$4+Settings!$B$5)*3,"")))</f>
        <v/>
      </c>
      <c r="AB192" s="20">
        <f>IF($Z192="","",INT(($AA192-1)/3)+1)</f>
        <v/>
      </c>
      <c r="AC192" s="20">
        <f>IF($Z192="","",MOD($AA192-1,3)+1)</f>
        <v/>
      </c>
      <c r="AD192" s="20">
        <f>IF($Z192="","",Settings!$B$2+$AC192-1)</f>
        <v/>
      </c>
      <c r="AE192" s="21">
        <f>IF($Z192="C",DATE(YEAR(INDEX(Contracts!$J$2:$J$151,$AB192)),MONTH(INDEX(Contracts!$J$2:$J$151,$AB192)),1),IF($Z192="A",DATE(YEAR(INDEX(Fixed_Assets!$G$2:$G$201,$AB192)),MONTH(INDEX(Fixed_Assets!$G$2:$G$201,$AB192)),1),IF($Z192="F",DATE(YEAR(MAX(N(INDEX(Workforce!$I$2:$I$151,MATCH(INDEX(FTE_Allocation!$A$2:$A$201,$AB192),Workforce!$A$2:$A$151,0))),N(INDEX(FTE_Allocation!$I$2:$I$201,$AB192)))),MONTH(MAX(N(INDEX(Workforce!$I$2:$I$151,MATCH(INDEX(FTE_Allocation!$A$2:$A$201,$AB192),Workforce!$A$2:$A$151,0))),N(INDEX(FTE_Allocation!$I$2:$I$201,$AB192)))),1),"")))</f>
        <v/>
      </c>
      <c r="AF192" s="21">
        <f>IF($Z192="C",IF(INDEX(Contracts!$I$2:$I$151,$AB192)="PREPAID",EDATE(DATE(YEAR(INDEX(Contracts!$J$2:$J$151,$AB192)),MONTH(INDEX(Contracts!$J$2:$J$151,$AB192)),1),IF(INDEX(Contracts!$N$2:$N$151,$AB192)="",12,INDEX(Contracts!$N$2:$N$151,$AB192))-1),IF(INDEX(Contracts!$I$2:$I$151,$AB192)="MONTHLY",IF(INDEX(Contracts!$K$2:$K$151,$AB192)="",2958101,INDEX(Contracts!$K$2:$K$151,$AB192)),0)),IF($Z192="A",EDATE(DATE(YEAR(INDEX(Fixed_Assets!$G$2:$G$201,$AB192)),MONTH(INDEX(Fixed_Assets!$G$2:$G$201,$AB192)),1),INDEX(Fixed_Assets!$J$2:$J$201,$AB192)-1),IF($Z192="F",MIN(IF(INDEX(Workforce!$J$2:$J$151,MATCH(INDEX(FTE_Allocation!$A$2:$A$201,$AB192),Workforce!$A$2:$A$151,0))="",2958101,INDEX(Workforce!$J$2:$J$151,MATCH(INDEX(FTE_Allocation!$A$2:$A$201,$AB192),Workforce!$A$2:$A$151,0))),IF(INDEX(FTE_Allocation!$J$2:$J$201,$AB192)="",2958101,INDEX(FTE_Allocation!$J$2:$J$201,$AB192))),"")))</f>
        <v/>
      </c>
      <c r="AG192" s="19">
        <f>IF($Z192="C",IF(INDEX(Contracts!$I$2:$I$151,$AB192)="PREPAID",INDEX(Contracts!$M$2:$M$151,$AB192)/IF(INDEX(Contracts!$N$2:$N$151,$AB192)="",12,INDEX(Contracts!$N$2:$N$151,$AB192)),IF(INDEX(Contracts!$I$2:$I$151,$AB192)="MONTHLY",INDEX(Contracts!$M$2:$M$151,$AB192),0))*(1-N(INDEX(Contracts!$O$2:$O$151,$AB192))),IF($Z192="A",INDEX(Fixed_Assets!$H$2:$H$201,$AB192)/INDEX(Fixed_Assets!$J$2:$J$201,$AB192),IF($Z192="F",INDEX(Workforce!$F$2:$F$151,MATCH(INDEX(FTE_Allocation!$A$2:$A$201,$AB192),Workforce!$A$2:$A$151,0))*N(INDEX(FTE_Allocation!$F$2:$H$201,$AB192,$AC192)),"")))</f>
        <v/>
      </c>
    </row>
    <row r="193">
      <c r="A193" s="7">
        <f>IF($Z193="","",$AD193)</f>
        <v/>
      </c>
      <c r="B193" s="7">
        <f>IF($Z193="C",INDEX(Contracts!$D$2:$D$151,$AB193)&amp;"",IF($Z193="A",INDEX(Fixed_Assets!$C$2:$C$201,$AB193)&amp;"",IF($Z193="F",INDEX(Workforce!$B$2:$B$151,MATCH(INDEX(FTE_Allocation!$A$2:$A$201,$AB193),Workforce!$A$2:$A$151,0))&amp;"","")))</f>
        <v/>
      </c>
      <c r="C193" s="7">
        <f>IF($Z193="C",INDEX(Contracts!$E$2:$E$151,$AB193)&amp;"",IF($Z193="A",INDEX(Fixed_Assets!$D$2:$D$201,$AB193)&amp;"",IF($Z193="F",INDEX(FTE_Allocation!$C$2:$C$201,$AB193)&amp;"","")))</f>
        <v/>
      </c>
      <c r="D193" s="7">
        <f>IF($Z193="C",INDEX(Contracts!$B$2:$B$151,$AB193)&amp;"",IF($Z193="A",INDEX(Fixed_Assets!$B$2:$B$201,$AB193)&amp;"",IF($Z193="F",INDEX(FTE_Allocation!$B$2:$B$201,$AB193)&amp;"","")))</f>
        <v/>
      </c>
      <c r="E193" s="7">
        <f>IF($Z193="C",INDEX(Contracts!$P$2:$P$151,$AB193)&amp;"",IF($Z193="A",INDEX(Fixed_Assets!$K$2:$K$201,$AB193)&amp;"",IF($Z193="F",IF(INDEX(FTE_Allocation!$D$2:$D$201,$AB193)="PROJECT",IFERROR(INDEX(Projects!$D:$D,MATCH(INDEX(FTE_Allocation!$E$2:$E$201,$AB193),Projects!$A:$A,0))&amp;"","#PROJECT?"),INDEX(FTE_Allocation!$E$2:$E$201,$AB193)&amp;""),"")))</f>
        <v/>
      </c>
      <c r="F193" s="7">
        <f>IF($Z193="C",INDEX(Contracts!$Q$2:$Q$151,$AB193)&amp;"",IF($Z193="A",INDEX(Fixed_Assets!$L$2:$L$201,$AB193)&amp;"",IF($Z193="F",INDEX(Workforce!$K$2:$K$151,MATCH(INDEX(FTE_Allocation!$A$2:$A$201,$AB193),Workforce!$A$2:$A$151,0))&amp;"","")))</f>
        <v/>
      </c>
      <c r="G193" s="7">
        <f>IF($Z193="C",INDEX(Contracts!$F$2:$F$151,$AB193)&amp;" / "&amp;INDEX(Contracts!$G$2:$G$151,$AB193),IF($Z193="A",INDEX(Fixed_Assets!$E$2:$E$201,$AB193)&amp;"",IF($Z193="F","Personnel "&amp;INDEX(FTE_Allocation!$A$2:$A$201,$AB193)&amp;IF(INDEX(FTE_Allocation!$D$2:$D$201,$AB193)="PROJECT"," ("&amp;INDEX(FTE_Allocation!$E$2:$E$201,$AB193)&amp;")",""),"")))</f>
        <v/>
      </c>
      <c r="H193" s="7">
        <f>IF($Z193="C","CONTRACT",IF($Z193="A","ASSET",IF($Z193="F","WORKFORCE","")))</f>
        <v/>
      </c>
      <c r="I193" s="7">
        <f>IF($Z193="C",INDEX(Contracts!$L$2:$L$151,$AB193)&amp;"",IF($Z193="A",INDEX(Fixed_Assets!$I$2:$I$201,$AB193)&amp;"",IF($Z193="F",INDEX(Workforce!$G$2:$G$151,MATCH(INDEX(FTE_Allocation!$A$2:$A$201,$AB193),Workforce!$A$2:$A$151,0))&amp;"","")))</f>
        <v/>
      </c>
      <c r="J193" s="18">
        <f>IF($Z193="","",IF(AND(DATE($AD193,1,1)&gt;=$AE193,DATE($AD193,1,1)&lt;=$AF193),ROUND($AG193,2),0))</f>
        <v/>
      </c>
      <c r="K193" s="18">
        <f>IF($Z193="","",IF(AND(DATE($AD193,2,1)&gt;=$AE193,DATE($AD193,2,1)&lt;=$AF193),ROUND($AG193,2),0))</f>
        <v/>
      </c>
      <c r="L193" s="18">
        <f>IF($Z193="","",IF(AND(DATE($AD193,3,1)&gt;=$AE193,DATE($AD193,3,1)&lt;=$AF193),ROUND($AG193,2),0))</f>
        <v/>
      </c>
      <c r="M193" s="18">
        <f>IF($Z193="","",IF(AND(DATE($AD193,4,1)&gt;=$AE193,DATE($AD193,4,1)&lt;=$AF193),ROUND($AG193,2),0))</f>
        <v/>
      </c>
      <c r="N193" s="18">
        <f>IF($Z193="","",IF(AND(DATE($AD193,5,1)&gt;=$AE193,DATE($AD193,5,1)&lt;=$AF193),ROUND($AG193,2),0))</f>
        <v/>
      </c>
      <c r="O193" s="18">
        <f>IF($Z193="","",IF(AND(DATE($AD193,6,1)&gt;=$AE193,DATE($AD193,6,1)&lt;=$AF193),ROUND($AG193,2),0))</f>
        <v/>
      </c>
      <c r="P193" s="18">
        <f>IF($Z193="","",IF(AND(DATE($AD193,7,1)&gt;=$AE193,DATE($AD193,7,1)&lt;=$AF193),ROUND($AG193,2),0))</f>
        <v/>
      </c>
      <c r="Q193" s="18">
        <f>IF($Z193="","",IF(AND(DATE($AD193,8,1)&gt;=$AE193,DATE($AD193,8,1)&lt;=$AF193),ROUND($AG193,2),0))</f>
        <v/>
      </c>
      <c r="R193" s="18">
        <f>IF($Z193="","",IF(AND(DATE($AD193,9,1)&gt;=$AE193,DATE($AD193,9,1)&lt;=$AF193),ROUND($AG193,2),0))</f>
        <v/>
      </c>
      <c r="S193" s="18">
        <f>IF($Z193="","",IF(AND(DATE($AD193,10,1)&gt;=$AE193,DATE($AD193,10,1)&lt;=$AF193),ROUND($AG193,2),0))</f>
        <v/>
      </c>
      <c r="T193" s="18">
        <f>IF($Z193="","",IF(AND(DATE($AD193,11,1)&gt;=$AE193,DATE($AD193,11,1)&lt;=$AF193),ROUND($AG193,2),0))</f>
        <v/>
      </c>
      <c r="U193" s="18">
        <f>IF($Z193="","",IF(AND(DATE($AD193,12,1)&gt;=$AE193,DATE($AD193,12,1)&lt;=$AF193),ROUND($AG193,2),0))</f>
        <v/>
      </c>
      <c r="V193" s="7">
        <f>IF($Z193="C","Generated from "&amp;INDEX(Contracts!$A$2:$A$151,$AB193),IF($Z193="A","Generated from "&amp;INDEX(Fixed_Assets!$A$2:$A$201,$AB193),IF($Z193="F","Generated from "&amp;INDEX(FTE_Allocation!$A$2:$A$201,$AB193),"")))</f>
        <v/>
      </c>
      <c r="X193" s="19">
        <f>IF($Z193="","",SUM(J193:U193))</f>
        <v/>
      </c>
      <c r="Y193" s="20">
        <f>ROW()-1</f>
        <v/>
      </c>
      <c r="Z193" s="20">
        <f>IF($Y193&lt;=Settings!$B$4*3,"C",IF($Y193&lt;=(Settings!$B$4+Settings!$B$5)*3,"A",IF($Y193&lt;=(Settings!$B$4+Settings!$B$5+Settings!$B$6)*3,"F","")))</f>
        <v/>
      </c>
      <c r="AA193" s="20">
        <f>IF($Z193="C",$Y193,IF($Z193="A",$Y193-Settings!$B$4*3,IF($Z193="F",$Y193-(Settings!$B$4+Settings!$B$5)*3,"")))</f>
        <v/>
      </c>
      <c r="AB193" s="20">
        <f>IF($Z193="","",INT(($AA193-1)/3)+1)</f>
        <v/>
      </c>
      <c r="AC193" s="20">
        <f>IF($Z193="","",MOD($AA193-1,3)+1)</f>
        <v/>
      </c>
      <c r="AD193" s="20">
        <f>IF($Z193="","",Settings!$B$2+$AC193-1)</f>
        <v/>
      </c>
      <c r="AE193" s="21">
        <f>IF($Z193="C",DATE(YEAR(INDEX(Contracts!$J$2:$J$151,$AB193)),MONTH(INDEX(Contracts!$J$2:$J$151,$AB193)),1),IF($Z193="A",DATE(YEAR(INDEX(Fixed_Assets!$G$2:$G$201,$AB193)),MONTH(INDEX(Fixed_Assets!$G$2:$G$201,$AB193)),1),IF($Z193="F",DATE(YEAR(MAX(N(INDEX(Workforce!$I$2:$I$151,MATCH(INDEX(FTE_Allocation!$A$2:$A$201,$AB193),Workforce!$A$2:$A$151,0))),N(INDEX(FTE_Allocation!$I$2:$I$201,$AB193)))),MONTH(MAX(N(INDEX(Workforce!$I$2:$I$151,MATCH(INDEX(FTE_Allocation!$A$2:$A$201,$AB193),Workforce!$A$2:$A$151,0))),N(INDEX(FTE_Allocation!$I$2:$I$201,$AB193)))),1),"")))</f>
        <v/>
      </c>
      <c r="AF193" s="21">
        <f>IF($Z193="C",IF(INDEX(Contracts!$I$2:$I$151,$AB193)="PREPAID",EDATE(DATE(YEAR(INDEX(Contracts!$J$2:$J$151,$AB193)),MONTH(INDEX(Contracts!$J$2:$J$151,$AB193)),1),IF(INDEX(Contracts!$N$2:$N$151,$AB193)="",12,INDEX(Contracts!$N$2:$N$151,$AB193))-1),IF(INDEX(Contracts!$I$2:$I$151,$AB193)="MONTHLY",IF(INDEX(Contracts!$K$2:$K$151,$AB193)="",2958101,INDEX(Contracts!$K$2:$K$151,$AB193)),0)),IF($Z193="A",EDATE(DATE(YEAR(INDEX(Fixed_Assets!$G$2:$G$201,$AB193)),MONTH(INDEX(Fixed_Assets!$G$2:$G$201,$AB193)),1),INDEX(Fixed_Assets!$J$2:$J$201,$AB193)-1),IF($Z193="F",MIN(IF(INDEX(Workforce!$J$2:$J$151,MATCH(INDEX(FTE_Allocation!$A$2:$A$201,$AB193),Workforce!$A$2:$A$151,0))="",2958101,INDEX(Workforce!$J$2:$J$151,MATCH(INDEX(FTE_Allocation!$A$2:$A$201,$AB193),Workforce!$A$2:$A$151,0))),IF(INDEX(FTE_Allocation!$J$2:$J$201,$AB193)="",2958101,INDEX(FTE_Allocation!$J$2:$J$201,$AB193))),"")))</f>
        <v/>
      </c>
      <c r="AG193" s="19">
        <f>IF($Z193="C",IF(INDEX(Contracts!$I$2:$I$151,$AB193)="PREPAID",INDEX(Contracts!$M$2:$M$151,$AB193)/IF(INDEX(Contracts!$N$2:$N$151,$AB193)="",12,INDEX(Contracts!$N$2:$N$151,$AB193)),IF(INDEX(Contracts!$I$2:$I$151,$AB193)="MONTHLY",INDEX(Contracts!$M$2:$M$151,$AB193),0))*(1-N(INDEX(Contracts!$O$2:$O$151,$AB193))),IF($Z193="A",INDEX(Fixed_Assets!$H$2:$H$201,$AB193)/INDEX(Fixed_Assets!$J$2:$J$201,$AB193),IF($Z193="F",INDEX(Workforce!$F$2:$F$151,MATCH(INDEX(FTE_Allocation!$A$2:$A$201,$AB193),Workforce!$A$2:$A$151,0))*N(INDEX(FTE_Allocation!$F$2:$H$201,$AB193,$AC193)),"")))</f>
        <v/>
      </c>
    </row>
    <row r="194">
      <c r="A194" s="7">
        <f>IF($Z194="","",$AD194)</f>
        <v/>
      </c>
      <c r="B194" s="7">
        <f>IF($Z194="C",INDEX(Contracts!$D$2:$D$151,$AB194)&amp;"",IF($Z194="A",INDEX(Fixed_Assets!$C$2:$C$201,$AB194)&amp;"",IF($Z194="F",INDEX(Workforce!$B$2:$B$151,MATCH(INDEX(FTE_Allocation!$A$2:$A$201,$AB194),Workforce!$A$2:$A$151,0))&amp;"","")))</f>
        <v/>
      </c>
      <c r="C194" s="7">
        <f>IF($Z194="C",INDEX(Contracts!$E$2:$E$151,$AB194)&amp;"",IF($Z194="A",INDEX(Fixed_Assets!$D$2:$D$201,$AB194)&amp;"",IF($Z194="F",INDEX(FTE_Allocation!$C$2:$C$201,$AB194)&amp;"","")))</f>
        <v/>
      </c>
      <c r="D194" s="7">
        <f>IF($Z194="C",INDEX(Contracts!$B$2:$B$151,$AB194)&amp;"",IF($Z194="A",INDEX(Fixed_Assets!$B$2:$B$201,$AB194)&amp;"",IF($Z194="F",INDEX(FTE_Allocation!$B$2:$B$201,$AB194)&amp;"","")))</f>
        <v/>
      </c>
      <c r="E194" s="7">
        <f>IF($Z194="C",INDEX(Contracts!$P$2:$P$151,$AB194)&amp;"",IF($Z194="A",INDEX(Fixed_Assets!$K$2:$K$201,$AB194)&amp;"",IF($Z194="F",IF(INDEX(FTE_Allocation!$D$2:$D$201,$AB194)="PROJECT",IFERROR(INDEX(Projects!$D:$D,MATCH(INDEX(FTE_Allocation!$E$2:$E$201,$AB194),Projects!$A:$A,0))&amp;"","#PROJECT?"),INDEX(FTE_Allocation!$E$2:$E$201,$AB194)&amp;""),"")))</f>
        <v/>
      </c>
      <c r="F194" s="7">
        <f>IF($Z194="C",INDEX(Contracts!$Q$2:$Q$151,$AB194)&amp;"",IF($Z194="A",INDEX(Fixed_Assets!$L$2:$L$201,$AB194)&amp;"",IF($Z194="F",INDEX(Workforce!$K$2:$K$151,MATCH(INDEX(FTE_Allocation!$A$2:$A$201,$AB194),Workforce!$A$2:$A$151,0))&amp;"","")))</f>
        <v/>
      </c>
      <c r="G194" s="7">
        <f>IF($Z194="C",INDEX(Contracts!$F$2:$F$151,$AB194)&amp;" / "&amp;INDEX(Contracts!$G$2:$G$151,$AB194),IF($Z194="A",INDEX(Fixed_Assets!$E$2:$E$201,$AB194)&amp;"",IF($Z194="F","Personnel "&amp;INDEX(FTE_Allocation!$A$2:$A$201,$AB194)&amp;IF(INDEX(FTE_Allocation!$D$2:$D$201,$AB194)="PROJECT"," ("&amp;INDEX(FTE_Allocation!$E$2:$E$201,$AB194)&amp;")",""),"")))</f>
        <v/>
      </c>
      <c r="H194" s="7">
        <f>IF($Z194="C","CONTRACT",IF($Z194="A","ASSET",IF($Z194="F","WORKFORCE","")))</f>
        <v/>
      </c>
      <c r="I194" s="7">
        <f>IF($Z194="C",INDEX(Contracts!$L$2:$L$151,$AB194)&amp;"",IF($Z194="A",INDEX(Fixed_Assets!$I$2:$I$201,$AB194)&amp;"",IF($Z194="F",INDEX(Workforce!$G$2:$G$151,MATCH(INDEX(FTE_Allocation!$A$2:$A$201,$AB194),Workforce!$A$2:$A$151,0))&amp;"","")))</f>
        <v/>
      </c>
      <c r="J194" s="18">
        <f>IF($Z194="","",IF(AND(DATE($AD194,1,1)&gt;=$AE194,DATE($AD194,1,1)&lt;=$AF194),ROUND($AG194,2),0))</f>
        <v/>
      </c>
      <c r="K194" s="18">
        <f>IF($Z194="","",IF(AND(DATE($AD194,2,1)&gt;=$AE194,DATE($AD194,2,1)&lt;=$AF194),ROUND($AG194,2),0))</f>
        <v/>
      </c>
      <c r="L194" s="18">
        <f>IF($Z194="","",IF(AND(DATE($AD194,3,1)&gt;=$AE194,DATE($AD194,3,1)&lt;=$AF194),ROUND($AG194,2),0))</f>
        <v/>
      </c>
      <c r="M194" s="18">
        <f>IF($Z194="","",IF(AND(DATE($AD194,4,1)&gt;=$AE194,DATE($AD194,4,1)&lt;=$AF194),ROUND($AG194,2),0))</f>
        <v/>
      </c>
      <c r="N194" s="18">
        <f>IF($Z194="","",IF(AND(DATE($AD194,5,1)&gt;=$AE194,DATE($AD194,5,1)&lt;=$AF194),ROUND($AG194,2),0))</f>
        <v/>
      </c>
      <c r="O194" s="18">
        <f>IF($Z194="","",IF(AND(DATE($AD194,6,1)&gt;=$AE194,DATE($AD194,6,1)&lt;=$AF194),ROUND($AG194,2),0))</f>
        <v/>
      </c>
      <c r="P194" s="18">
        <f>IF($Z194="","",IF(AND(DATE($AD194,7,1)&gt;=$AE194,DATE($AD194,7,1)&lt;=$AF194),ROUND($AG194,2),0))</f>
        <v/>
      </c>
      <c r="Q194" s="18">
        <f>IF($Z194="","",IF(AND(DATE($AD194,8,1)&gt;=$AE194,DATE($AD194,8,1)&lt;=$AF194),ROUND($AG194,2),0))</f>
        <v/>
      </c>
      <c r="R194" s="18">
        <f>IF($Z194="","",IF(AND(DATE($AD194,9,1)&gt;=$AE194,DATE($AD194,9,1)&lt;=$AF194),ROUND($AG194,2),0))</f>
        <v/>
      </c>
      <c r="S194" s="18">
        <f>IF($Z194="","",IF(AND(DATE($AD194,10,1)&gt;=$AE194,DATE($AD194,10,1)&lt;=$AF194),ROUND($AG194,2),0))</f>
        <v/>
      </c>
      <c r="T194" s="18">
        <f>IF($Z194="","",IF(AND(DATE($AD194,11,1)&gt;=$AE194,DATE($AD194,11,1)&lt;=$AF194),ROUND($AG194,2),0))</f>
        <v/>
      </c>
      <c r="U194" s="18">
        <f>IF($Z194="","",IF(AND(DATE($AD194,12,1)&gt;=$AE194,DATE($AD194,12,1)&lt;=$AF194),ROUND($AG194,2),0))</f>
        <v/>
      </c>
      <c r="V194" s="7">
        <f>IF($Z194="C","Generated from "&amp;INDEX(Contracts!$A$2:$A$151,$AB194),IF($Z194="A","Generated from "&amp;INDEX(Fixed_Assets!$A$2:$A$201,$AB194),IF($Z194="F","Generated from "&amp;INDEX(FTE_Allocation!$A$2:$A$201,$AB194),"")))</f>
        <v/>
      </c>
      <c r="X194" s="19">
        <f>IF($Z194="","",SUM(J194:U194))</f>
        <v/>
      </c>
      <c r="Y194" s="20">
        <f>ROW()-1</f>
        <v/>
      </c>
      <c r="Z194" s="20">
        <f>IF($Y194&lt;=Settings!$B$4*3,"C",IF($Y194&lt;=(Settings!$B$4+Settings!$B$5)*3,"A",IF($Y194&lt;=(Settings!$B$4+Settings!$B$5+Settings!$B$6)*3,"F","")))</f>
        <v/>
      </c>
      <c r="AA194" s="20">
        <f>IF($Z194="C",$Y194,IF($Z194="A",$Y194-Settings!$B$4*3,IF($Z194="F",$Y194-(Settings!$B$4+Settings!$B$5)*3,"")))</f>
        <v/>
      </c>
      <c r="AB194" s="20">
        <f>IF($Z194="","",INT(($AA194-1)/3)+1)</f>
        <v/>
      </c>
      <c r="AC194" s="20">
        <f>IF($Z194="","",MOD($AA194-1,3)+1)</f>
        <v/>
      </c>
      <c r="AD194" s="20">
        <f>IF($Z194="","",Settings!$B$2+$AC194-1)</f>
        <v/>
      </c>
      <c r="AE194" s="21">
        <f>IF($Z194="C",DATE(YEAR(INDEX(Contracts!$J$2:$J$151,$AB194)),MONTH(INDEX(Contracts!$J$2:$J$151,$AB194)),1),IF($Z194="A",DATE(YEAR(INDEX(Fixed_Assets!$G$2:$G$201,$AB194)),MONTH(INDEX(Fixed_Assets!$G$2:$G$201,$AB194)),1),IF($Z194="F",DATE(YEAR(MAX(N(INDEX(Workforce!$I$2:$I$151,MATCH(INDEX(FTE_Allocation!$A$2:$A$201,$AB194),Workforce!$A$2:$A$151,0))),N(INDEX(FTE_Allocation!$I$2:$I$201,$AB194)))),MONTH(MAX(N(INDEX(Workforce!$I$2:$I$151,MATCH(INDEX(FTE_Allocation!$A$2:$A$201,$AB194),Workforce!$A$2:$A$151,0))),N(INDEX(FTE_Allocation!$I$2:$I$201,$AB194)))),1),"")))</f>
        <v/>
      </c>
      <c r="AF194" s="21">
        <f>IF($Z194="C",IF(INDEX(Contracts!$I$2:$I$151,$AB194)="PREPAID",EDATE(DATE(YEAR(INDEX(Contracts!$J$2:$J$151,$AB194)),MONTH(INDEX(Contracts!$J$2:$J$151,$AB194)),1),IF(INDEX(Contracts!$N$2:$N$151,$AB194)="",12,INDEX(Contracts!$N$2:$N$151,$AB194))-1),IF(INDEX(Contracts!$I$2:$I$151,$AB194)="MONTHLY",IF(INDEX(Contracts!$K$2:$K$151,$AB194)="",2958101,INDEX(Contracts!$K$2:$K$151,$AB194)),0)),IF($Z194="A",EDATE(DATE(YEAR(INDEX(Fixed_Assets!$G$2:$G$201,$AB194)),MONTH(INDEX(Fixed_Assets!$G$2:$G$201,$AB194)),1),INDEX(Fixed_Assets!$J$2:$J$201,$AB194)-1),IF($Z194="F",MIN(IF(INDEX(Workforce!$J$2:$J$151,MATCH(INDEX(FTE_Allocation!$A$2:$A$201,$AB194),Workforce!$A$2:$A$151,0))="",2958101,INDEX(Workforce!$J$2:$J$151,MATCH(INDEX(FTE_Allocation!$A$2:$A$201,$AB194),Workforce!$A$2:$A$151,0))),IF(INDEX(FTE_Allocation!$J$2:$J$201,$AB194)="",2958101,INDEX(FTE_Allocation!$J$2:$J$201,$AB194))),"")))</f>
        <v/>
      </c>
      <c r="AG194" s="19">
        <f>IF($Z194="C",IF(INDEX(Contracts!$I$2:$I$151,$AB194)="PREPAID",INDEX(Contracts!$M$2:$M$151,$AB194)/IF(INDEX(Contracts!$N$2:$N$151,$AB194)="",12,INDEX(Contracts!$N$2:$N$151,$AB194)),IF(INDEX(Contracts!$I$2:$I$151,$AB194)="MONTHLY",INDEX(Contracts!$M$2:$M$151,$AB194),0))*(1-N(INDEX(Contracts!$O$2:$O$151,$AB194))),IF($Z194="A",INDEX(Fixed_Assets!$H$2:$H$201,$AB194)/INDEX(Fixed_Assets!$J$2:$J$201,$AB194),IF($Z194="F",INDEX(Workforce!$F$2:$F$151,MATCH(INDEX(FTE_Allocation!$A$2:$A$201,$AB194),Workforce!$A$2:$A$151,0))*N(INDEX(FTE_Allocation!$F$2:$H$201,$AB194,$AC194)),"")))</f>
        <v/>
      </c>
    </row>
    <row r="195">
      <c r="A195" s="7">
        <f>IF($Z195="","",$AD195)</f>
        <v/>
      </c>
      <c r="B195" s="7">
        <f>IF($Z195="C",INDEX(Contracts!$D$2:$D$151,$AB195)&amp;"",IF($Z195="A",INDEX(Fixed_Assets!$C$2:$C$201,$AB195)&amp;"",IF($Z195="F",INDEX(Workforce!$B$2:$B$151,MATCH(INDEX(FTE_Allocation!$A$2:$A$201,$AB195),Workforce!$A$2:$A$151,0))&amp;"","")))</f>
        <v/>
      </c>
      <c r="C195" s="7">
        <f>IF($Z195="C",INDEX(Contracts!$E$2:$E$151,$AB195)&amp;"",IF($Z195="A",INDEX(Fixed_Assets!$D$2:$D$201,$AB195)&amp;"",IF($Z195="F",INDEX(FTE_Allocation!$C$2:$C$201,$AB195)&amp;"","")))</f>
        <v/>
      </c>
      <c r="D195" s="7">
        <f>IF($Z195="C",INDEX(Contracts!$B$2:$B$151,$AB195)&amp;"",IF($Z195="A",INDEX(Fixed_Assets!$B$2:$B$201,$AB195)&amp;"",IF($Z195="F",INDEX(FTE_Allocation!$B$2:$B$201,$AB195)&amp;"","")))</f>
        <v/>
      </c>
      <c r="E195" s="7">
        <f>IF($Z195="C",INDEX(Contracts!$P$2:$P$151,$AB195)&amp;"",IF($Z195="A",INDEX(Fixed_Assets!$K$2:$K$201,$AB195)&amp;"",IF($Z195="F",IF(INDEX(FTE_Allocation!$D$2:$D$201,$AB195)="PROJECT",IFERROR(INDEX(Projects!$D:$D,MATCH(INDEX(FTE_Allocation!$E$2:$E$201,$AB195),Projects!$A:$A,0))&amp;"","#PROJECT?"),INDEX(FTE_Allocation!$E$2:$E$201,$AB195)&amp;""),"")))</f>
        <v/>
      </c>
      <c r="F195" s="7">
        <f>IF($Z195="C",INDEX(Contracts!$Q$2:$Q$151,$AB195)&amp;"",IF($Z195="A",INDEX(Fixed_Assets!$L$2:$L$201,$AB195)&amp;"",IF($Z195="F",INDEX(Workforce!$K$2:$K$151,MATCH(INDEX(FTE_Allocation!$A$2:$A$201,$AB195),Workforce!$A$2:$A$151,0))&amp;"","")))</f>
        <v/>
      </c>
      <c r="G195" s="7">
        <f>IF($Z195="C",INDEX(Contracts!$F$2:$F$151,$AB195)&amp;" / "&amp;INDEX(Contracts!$G$2:$G$151,$AB195),IF($Z195="A",INDEX(Fixed_Assets!$E$2:$E$201,$AB195)&amp;"",IF($Z195="F","Personnel "&amp;INDEX(FTE_Allocation!$A$2:$A$201,$AB195)&amp;IF(INDEX(FTE_Allocation!$D$2:$D$201,$AB195)="PROJECT"," ("&amp;INDEX(FTE_Allocation!$E$2:$E$201,$AB195)&amp;")",""),"")))</f>
        <v/>
      </c>
      <c r="H195" s="7">
        <f>IF($Z195="C","CONTRACT",IF($Z195="A","ASSET",IF($Z195="F","WORKFORCE","")))</f>
        <v/>
      </c>
      <c r="I195" s="7">
        <f>IF($Z195="C",INDEX(Contracts!$L$2:$L$151,$AB195)&amp;"",IF($Z195="A",INDEX(Fixed_Assets!$I$2:$I$201,$AB195)&amp;"",IF($Z195="F",INDEX(Workforce!$G$2:$G$151,MATCH(INDEX(FTE_Allocation!$A$2:$A$201,$AB195),Workforce!$A$2:$A$151,0))&amp;"","")))</f>
        <v/>
      </c>
      <c r="J195" s="18">
        <f>IF($Z195="","",IF(AND(DATE($AD195,1,1)&gt;=$AE195,DATE($AD195,1,1)&lt;=$AF195),ROUND($AG195,2),0))</f>
        <v/>
      </c>
      <c r="K195" s="18">
        <f>IF($Z195="","",IF(AND(DATE($AD195,2,1)&gt;=$AE195,DATE($AD195,2,1)&lt;=$AF195),ROUND($AG195,2),0))</f>
        <v/>
      </c>
      <c r="L195" s="18">
        <f>IF($Z195="","",IF(AND(DATE($AD195,3,1)&gt;=$AE195,DATE($AD195,3,1)&lt;=$AF195),ROUND($AG195,2),0))</f>
        <v/>
      </c>
      <c r="M195" s="18">
        <f>IF($Z195="","",IF(AND(DATE($AD195,4,1)&gt;=$AE195,DATE($AD195,4,1)&lt;=$AF195),ROUND($AG195,2),0))</f>
        <v/>
      </c>
      <c r="N195" s="18">
        <f>IF($Z195="","",IF(AND(DATE($AD195,5,1)&gt;=$AE195,DATE($AD195,5,1)&lt;=$AF195),ROUND($AG195,2),0))</f>
        <v/>
      </c>
      <c r="O195" s="18">
        <f>IF($Z195="","",IF(AND(DATE($AD195,6,1)&gt;=$AE195,DATE($AD195,6,1)&lt;=$AF195),ROUND($AG195,2),0))</f>
        <v/>
      </c>
      <c r="P195" s="18">
        <f>IF($Z195="","",IF(AND(DATE($AD195,7,1)&gt;=$AE195,DATE($AD195,7,1)&lt;=$AF195),ROUND($AG195,2),0))</f>
        <v/>
      </c>
      <c r="Q195" s="18">
        <f>IF($Z195="","",IF(AND(DATE($AD195,8,1)&gt;=$AE195,DATE($AD195,8,1)&lt;=$AF195),ROUND($AG195,2),0))</f>
        <v/>
      </c>
      <c r="R195" s="18">
        <f>IF($Z195="","",IF(AND(DATE($AD195,9,1)&gt;=$AE195,DATE($AD195,9,1)&lt;=$AF195),ROUND($AG195,2),0))</f>
        <v/>
      </c>
      <c r="S195" s="18">
        <f>IF($Z195="","",IF(AND(DATE($AD195,10,1)&gt;=$AE195,DATE($AD195,10,1)&lt;=$AF195),ROUND($AG195,2),0))</f>
        <v/>
      </c>
      <c r="T195" s="18">
        <f>IF($Z195="","",IF(AND(DATE($AD195,11,1)&gt;=$AE195,DATE($AD195,11,1)&lt;=$AF195),ROUND($AG195,2),0))</f>
        <v/>
      </c>
      <c r="U195" s="18">
        <f>IF($Z195="","",IF(AND(DATE($AD195,12,1)&gt;=$AE195,DATE($AD195,12,1)&lt;=$AF195),ROUND($AG195,2),0))</f>
        <v/>
      </c>
      <c r="V195" s="7">
        <f>IF($Z195="C","Generated from "&amp;INDEX(Contracts!$A$2:$A$151,$AB195),IF($Z195="A","Generated from "&amp;INDEX(Fixed_Assets!$A$2:$A$201,$AB195),IF($Z195="F","Generated from "&amp;INDEX(FTE_Allocation!$A$2:$A$201,$AB195),"")))</f>
        <v/>
      </c>
      <c r="X195" s="19">
        <f>IF($Z195="","",SUM(J195:U195))</f>
        <v/>
      </c>
      <c r="Y195" s="20">
        <f>ROW()-1</f>
        <v/>
      </c>
      <c r="Z195" s="20">
        <f>IF($Y195&lt;=Settings!$B$4*3,"C",IF($Y195&lt;=(Settings!$B$4+Settings!$B$5)*3,"A",IF($Y195&lt;=(Settings!$B$4+Settings!$B$5+Settings!$B$6)*3,"F","")))</f>
        <v/>
      </c>
      <c r="AA195" s="20">
        <f>IF($Z195="C",$Y195,IF($Z195="A",$Y195-Settings!$B$4*3,IF($Z195="F",$Y195-(Settings!$B$4+Settings!$B$5)*3,"")))</f>
        <v/>
      </c>
      <c r="AB195" s="20">
        <f>IF($Z195="","",INT(($AA195-1)/3)+1)</f>
        <v/>
      </c>
      <c r="AC195" s="20">
        <f>IF($Z195="","",MOD($AA195-1,3)+1)</f>
        <v/>
      </c>
      <c r="AD195" s="20">
        <f>IF($Z195="","",Settings!$B$2+$AC195-1)</f>
        <v/>
      </c>
      <c r="AE195" s="21">
        <f>IF($Z195="C",DATE(YEAR(INDEX(Contracts!$J$2:$J$151,$AB195)),MONTH(INDEX(Contracts!$J$2:$J$151,$AB195)),1),IF($Z195="A",DATE(YEAR(INDEX(Fixed_Assets!$G$2:$G$201,$AB195)),MONTH(INDEX(Fixed_Assets!$G$2:$G$201,$AB195)),1),IF($Z195="F",DATE(YEAR(MAX(N(INDEX(Workforce!$I$2:$I$151,MATCH(INDEX(FTE_Allocation!$A$2:$A$201,$AB195),Workforce!$A$2:$A$151,0))),N(INDEX(FTE_Allocation!$I$2:$I$201,$AB195)))),MONTH(MAX(N(INDEX(Workforce!$I$2:$I$151,MATCH(INDEX(FTE_Allocation!$A$2:$A$201,$AB195),Workforce!$A$2:$A$151,0))),N(INDEX(FTE_Allocation!$I$2:$I$201,$AB195)))),1),"")))</f>
        <v/>
      </c>
      <c r="AF195" s="21">
        <f>IF($Z195="C",IF(INDEX(Contracts!$I$2:$I$151,$AB195)="PREPAID",EDATE(DATE(YEAR(INDEX(Contracts!$J$2:$J$151,$AB195)),MONTH(INDEX(Contracts!$J$2:$J$151,$AB195)),1),IF(INDEX(Contracts!$N$2:$N$151,$AB195)="",12,INDEX(Contracts!$N$2:$N$151,$AB195))-1),IF(INDEX(Contracts!$I$2:$I$151,$AB195)="MONTHLY",IF(INDEX(Contracts!$K$2:$K$151,$AB195)="",2958101,INDEX(Contracts!$K$2:$K$151,$AB195)),0)),IF($Z195="A",EDATE(DATE(YEAR(INDEX(Fixed_Assets!$G$2:$G$201,$AB195)),MONTH(INDEX(Fixed_Assets!$G$2:$G$201,$AB195)),1),INDEX(Fixed_Assets!$J$2:$J$201,$AB195)-1),IF($Z195="F",MIN(IF(INDEX(Workforce!$J$2:$J$151,MATCH(INDEX(FTE_Allocation!$A$2:$A$201,$AB195),Workforce!$A$2:$A$151,0))="",2958101,INDEX(Workforce!$J$2:$J$151,MATCH(INDEX(FTE_Allocation!$A$2:$A$201,$AB195),Workforce!$A$2:$A$151,0))),IF(INDEX(FTE_Allocation!$J$2:$J$201,$AB195)="",2958101,INDEX(FTE_Allocation!$J$2:$J$201,$AB195))),"")))</f>
        <v/>
      </c>
      <c r="AG195" s="19">
        <f>IF($Z195="C",IF(INDEX(Contracts!$I$2:$I$151,$AB195)="PREPAID",INDEX(Contracts!$M$2:$M$151,$AB195)/IF(INDEX(Contracts!$N$2:$N$151,$AB195)="",12,INDEX(Contracts!$N$2:$N$151,$AB195)),IF(INDEX(Contracts!$I$2:$I$151,$AB195)="MONTHLY",INDEX(Contracts!$M$2:$M$151,$AB195),0))*(1-N(INDEX(Contracts!$O$2:$O$151,$AB195))),IF($Z195="A",INDEX(Fixed_Assets!$H$2:$H$201,$AB195)/INDEX(Fixed_Assets!$J$2:$J$201,$AB195),IF($Z195="F",INDEX(Workforce!$F$2:$F$151,MATCH(INDEX(FTE_Allocation!$A$2:$A$201,$AB195),Workforce!$A$2:$A$151,0))*N(INDEX(FTE_Allocation!$F$2:$H$201,$AB195,$AC195)),"")))</f>
        <v/>
      </c>
    </row>
    <row r="196">
      <c r="A196" s="7">
        <f>IF($Z196="","",$AD196)</f>
        <v/>
      </c>
      <c r="B196" s="7">
        <f>IF($Z196="C",INDEX(Contracts!$D$2:$D$151,$AB196)&amp;"",IF($Z196="A",INDEX(Fixed_Assets!$C$2:$C$201,$AB196)&amp;"",IF($Z196="F",INDEX(Workforce!$B$2:$B$151,MATCH(INDEX(FTE_Allocation!$A$2:$A$201,$AB196),Workforce!$A$2:$A$151,0))&amp;"","")))</f>
        <v/>
      </c>
      <c r="C196" s="7">
        <f>IF($Z196="C",INDEX(Contracts!$E$2:$E$151,$AB196)&amp;"",IF($Z196="A",INDEX(Fixed_Assets!$D$2:$D$201,$AB196)&amp;"",IF($Z196="F",INDEX(FTE_Allocation!$C$2:$C$201,$AB196)&amp;"","")))</f>
        <v/>
      </c>
      <c r="D196" s="7">
        <f>IF($Z196="C",INDEX(Contracts!$B$2:$B$151,$AB196)&amp;"",IF($Z196="A",INDEX(Fixed_Assets!$B$2:$B$201,$AB196)&amp;"",IF($Z196="F",INDEX(FTE_Allocation!$B$2:$B$201,$AB196)&amp;"","")))</f>
        <v/>
      </c>
      <c r="E196" s="7">
        <f>IF($Z196="C",INDEX(Contracts!$P$2:$P$151,$AB196)&amp;"",IF($Z196="A",INDEX(Fixed_Assets!$K$2:$K$201,$AB196)&amp;"",IF($Z196="F",IF(INDEX(FTE_Allocation!$D$2:$D$201,$AB196)="PROJECT",IFERROR(INDEX(Projects!$D:$D,MATCH(INDEX(FTE_Allocation!$E$2:$E$201,$AB196),Projects!$A:$A,0))&amp;"","#PROJECT?"),INDEX(FTE_Allocation!$E$2:$E$201,$AB196)&amp;""),"")))</f>
        <v/>
      </c>
      <c r="F196" s="7">
        <f>IF($Z196="C",INDEX(Contracts!$Q$2:$Q$151,$AB196)&amp;"",IF($Z196="A",INDEX(Fixed_Assets!$L$2:$L$201,$AB196)&amp;"",IF($Z196="F",INDEX(Workforce!$K$2:$K$151,MATCH(INDEX(FTE_Allocation!$A$2:$A$201,$AB196),Workforce!$A$2:$A$151,0))&amp;"","")))</f>
        <v/>
      </c>
      <c r="G196" s="7">
        <f>IF($Z196="C",INDEX(Contracts!$F$2:$F$151,$AB196)&amp;" / "&amp;INDEX(Contracts!$G$2:$G$151,$AB196),IF($Z196="A",INDEX(Fixed_Assets!$E$2:$E$201,$AB196)&amp;"",IF($Z196="F","Personnel "&amp;INDEX(FTE_Allocation!$A$2:$A$201,$AB196)&amp;IF(INDEX(FTE_Allocation!$D$2:$D$201,$AB196)="PROJECT"," ("&amp;INDEX(FTE_Allocation!$E$2:$E$201,$AB196)&amp;")",""),"")))</f>
        <v/>
      </c>
      <c r="H196" s="7">
        <f>IF($Z196="C","CONTRACT",IF($Z196="A","ASSET",IF($Z196="F","WORKFORCE","")))</f>
        <v/>
      </c>
      <c r="I196" s="7">
        <f>IF($Z196="C",INDEX(Contracts!$L$2:$L$151,$AB196)&amp;"",IF($Z196="A",INDEX(Fixed_Assets!$I$2:$I$201,$AB196)&amp;"",IF($Z196="F",INDEX(Workforce!$G$2:$G$151,MATCH(INDEX(FTE_Allocation!$A$2:$A$201,$AB196),Workforce!$A$2:$A$151,0))&amp;"","")))</f>
        <v/>
      </c>
      <c r="J196" s="18">
        <f>IF($Z196="","",IF(AND(DATE($AD196,1,1)&gt;=$AE196,DATE($AD196,1,1)&lt;=$AF196),ROUND($AG196,2),0))</f>
        <v/>
      </c>
      <c r="K196" s="18">
        <f>IF($Z196="","",IF(AND(DATE($AD196,2,1)&gt;=$AE196,DATE($AD196,2,1)&lt;=$AF196),ROUND($AG196,2),0))</f>
        <v/>
      </c>
      <c r="L196" s="18">
        <f>IF($Z196="","",IF(AND(DATE($AD196,3,1)&gt;=$AE196,DATE($AD196,3,1)&lt;=$AF196),ROUND($AG196,2),0))</f>
        <v/>
      </c>
      <c r="M196" s="18">
        <f>IF($Z196="","",IF(AND(DATE($AD196,4,1)&gt;=$AE196,DATE($AD196,4,1)&lt;=$AF196),ROUND($AG196,2),0))</f>
        <v/>
      </c>
      <c r="N196" s="18">
        <f>IF($Z196="","",IF(AND(DATE($AD196,5,1)&gt;=$AE196,DATE($AD196,5,1)&lt;=$AF196),ROUND($AG196,2),0))</f>
        <v/>
      </c>
      <c r="O196" s="18">
        <f>IF($Z196="","",IF(AND(DATE($AD196,6,1)&gt;=$AE196,DATE($AD196,6,1)&lt;=$AF196),ROUND($AG196,2),0))</f>
        <v/>
      </c>
      <c r="P196" s="18">
        <f>IF($Z196="","",IF(AND(DATE($AD196,7,1)&gt;=$AE196,DATE($AD196,7,1)&lt;=$AF196),ROUND($AG196,2),0))</f>
        <v/>
      </c>
      <c r="Q196" s="18">
        <f>IF($Z196="","",IF(AND(DATE($AD196,8,1)&gt;=$AE196,DATE($AD196,8,1)&lt;=$AF196),ROUND($AG196,2),0))</f>
        <v/>
      </c>
      <c r="R196" s="18">
        <f>IF($Z196="","",IF(AND(DATE($AD196,9,1)&gt;=$AE196,DATE($AD196,9,1)&lt;=$AF196),ROUND($AG196,2),0))</f>
        <v/>
      </c>
      <c r="S196" s="18">
        <f>IF($Z196="","",IF(AND(DATE($AD196,10,1)&gt;=$AE196,DATE($AD196,10,1)&lt;=$AF196),ROUND($AG196,2),0))</f>
        <v/>
      </c>
      <c r="T196" s="18">
        <f>IF($Z196="","",IF(AND(DATE($AD196,11,1)&gt;=$AE196,DATE($AD196,11,1)&lt;=$AF196),ROUND($AG196,2),0))</f>
        <v/>
      </c>
      <c r="U196" s="18">
        <f>IF($Z196="","",IF(AND(DATE($AD196,12,1)&gt;=$AE196,DATE($AD196,12,1)&lt;=$AF196),ROUND($AG196,2),0))</f>
        <v/>
      </c>
      <c r="V196" s="7">
        <f>IF($Z196="C","Generated from "&amp;INDEX(Contracts!$A$2:$A$151,$AB196),IF($Z196="A","Generated from "&amp;INDEX(Fixed_Assets!$A$2:$A$201,$AB196),IF($Z196="F","Generated from "&amp;INDEX(FTE_Allocation!$A$2:$A$201,$AB196),"")))</f>
        <v/>
      </c>
      <c r="X196" s="19">
        <f>IF($Z196="","",SUM(J196:U196))</f>
        <v/>
      </c>
      <c r="Y196" s="20">
        <f>ROW()-1</f>
        <v/>
      </c>
      <c r="Z196" s="20">
        <f>IF($Y196&lt;=Settings!$B$4*3,"C",IF($Y196&lt;=(Settings!$B$4+Settings!$B$5)*3,"A",IF($Y196&lt;=(Settings!$B$4+Settings!$B$5+Settings!$B$6)*3,"F","")))</f>
        <v/>
      </c>
      <c r="AA196" s="20">
        <f>IF($Z196="C",$Y196,IF($Z196="A",$Y196-Settings!$B$4*3,IF($Z196="F",$Y196-(Settings!$B$4+Settings!$B$5)*3,"")))</f>
        <v/>
      </c>
      <c r="AB196" s="20">
        <f>IF($Z196="","",INT(($AA196-1)/3)+1)</f>
        <v/>
      </c>
      <c r="AC196" s="20">
        <f>IF($Z196="","",MOD($AA196-1,3)+1)</f>
        <v/>
      </c>
      <c r="AD196" s="20">
        <f>IF($Z196="","",Settings!$B$2+$AC196-1)</f>
        <v/>
      </c>
      <c r="AE196" s="21">
        <f>IF($Z196="C",DATE(YEAR(INDEX(Contracts!$J$2:$J$151,$AB196)),MONTH(INDEX(Contracts!$J$2:$J$151,$AB196)),1),IF($Z196="A",DATE(YEAR(INDEX(Fixed_Assets!$G$2:$G$201,$AB196)),MONTH(INDEX(Fixed_Assets!$G$2:$G$201,$AB196)),1),IF($Z196="F",DATE(YEAR(MAX(N(INDEX(Workforce!$I$2:$I$151,MATCH(INDEX(FTE_Allocation!$A$2:$A$201,$AB196),Workforce!$A$2:$A$151,0))),N(INDEX(FTE_Allocation!$I$2:$I$201,$AB196)))),MONTH(MAX(N(INDEX(Workforce!$I$2:$I$151,MATCH(INDEX(FTE_Allocation!$A$2:$A$201,$AB196),Workforce!$A$2:$A$151,0))),N(INDEX(FTE_Allocation!$I$2:$I$201,$AB196)))),1),"")))</f>
        <v/>
      </c>
      <c r="AF196" s="21">
        <f>IF($Z196="C",IF(INDEX(Contracts!$I$2:$I$151,$AB196)="PREPAID",EDATE(DATE(YEAR(INDEX(Contracts!$J$2:$J$151,$AB196)),MONTH(INDEX(Contracts!$J$2:$J$151,$AB196)),1),IF(INDEX(Contracts!$N$2:$N$151,$AB196)="",12,INDEX(Contracts!$N$2:$N$151,$AB196))-1),IF(INDEX(Contracts!$I$2:$I$151,$AB196)="MONTHLY",IF(INDEX(Contracts!$K$2:$K$151,$AB196)="",2958101,INDEX(Contracts!$K$2:$K$151,$AB196)),0)),IF($Z196="A",EDATE(DATE(YEAR(INDEX(Fixed_Assets!$G$2:$G$201,$AB196)),MONTH(INDEX(Fixed_Assets!$G$2:$G$201,$AB196)),1),INDEX(Fixed_Assets!$J$2:$J$201,$AB196)-1),IF($Z196="F",MIN(IF(INDEX(Workforce!$J$2:$J$151,MATCH(INDEX(FTE_Allocation!$A$2:$A$201,$AB196),Workforce!$A$2:$A$151,0))="",2958101,INDEX(Workforce!$J$2:$J$151,MATCH(INDEX(FTE_Allocation!$A$2:$A$201,$AB196),Workforce!$A$2:$A$151,0))),IF(INDEX(FTE_Allocation!$J$2:$J$201,$AB196)="",2958101,INDEX(FTE_Allocation!$J$2:$J$201,$AB196))),"")))</f>
        <v/>
      </c>
      <c r="AG196" s="19">
        <f>IF($Z196="C",IF(INDEX(Contracts!$I$2:$I$151,$AB196)="PREPAID",INDEX(Contracts!$M$2:$M$151,$AB196)/IF(INDEX(Contracts!$N$2:$N$151,$AB196)="",12,INDEX(Contracts!$N$2:$N$151,$AB196)),IF(INDEX(Contracts!$I$2:$I$151,$AB196)="MONTHLY",INDEX(Contracts!$M$2:$M$151,$AB196),0))*(1-N(INDEX(Contracts!$O$2:$O$151,$AB196))),IF($Z196="A",INDEX(Fixed_Assets!$H$2:$H$201,$AB196)/INDEX(Fixed_Assets!$J$2:$J$201,$AB196),IF($Z196="F",INDEX(Workforce!$F$2:$F$151,MATCH(INDEX(FTE_Allocation!$A$2:$A$201,$AB196),Workforce!$A$2:$A$151,0))*N(INDEX(FTE_Allocation!$F$2:$H$201,$AB196,$AC196)),"")))</f>
        <v/>
      </c>
    </row>
    <row r="197">
      <c r="A197" s="7">
        <f>IF($Z197="","",$AD197)</f>
        <v/>
      </c>
      <c r="B197" s="7">
        <f>IF($Z197="C",INDEX(Contracts!$D$2:$D$151,$AB197)&amp;"",IF($Z197="A",INDEX(Fixed_Assets!$C$2:$C$201,$AB197)&amp;"",IF($Z197="F",INDEX(Workforce!$B$2:$B$151,MATCH(INDEX(FTE_Allocation!$A$2:$A$201,$AB197),Workforce!$A$2:$A$151,0))&amp;"","")))</f>
        <v/>
      </c>
      <c r="C197" s="7">
        <f>IF($Z197="C",INDEX(Contracts!$E$2:$E$151,$AB197)&amp;"",IF($Z197="A",INDEX(Fixed_Assets!$D$2:$D$201,$AB197)&amp;"",IF($Z197="F",INDEX(FTE_Allocation!$C$2:$C$201,$AB197)&amp;"","")))</f>
        <v/>
      </c>
      <c r="D197" s="7">
        <f>IF($Z197="C",INDEX(Contracts!$B$2:$B$151,$AB197)&amp;"",IF($Z197="A",INDEX(Fixed_Assets!$B$2:$B$201,$AB197)&amp;"",IF($Z197="F",INDEX(FTE_Allocation!$B$2:$B$201,$AB197)&amp;"","")))</f>
        <v/>
      </c>
      <c r="E197" s="7">
        <f>IF($Z197="C",INDEX(Contracts!$P$2:$P$151,$AB197)&amp;"",IF($Z197="A",INDEX(Fixed_Assets!$K$2:$K$201,$AB197)&amp;"",IF($Z197="F",IF(INDEX(FTE_Allocation!$D$2:$D$201,$AB197)="PROJECT",IFERROR(INDEX(Projects!$D:$D,MATCH(INDEX(FTE_Allocation!$E$2:$E$201,$AB197),Projects!$A:$A,0))&amp;"","#PROJECT?"),INDEX(FTE_Allocation!$E$2:$E$201,$AB197)&amp;""),"")))</f>
        <v/>
      </c>
      <c r="F197" s="7">
        <f>IF($Z197="C",INDEX(Contracts!$Q$2:$Q$151,$AB197)&amp;"",IF($Z197="A",INDEX(Fixed_Assets!$L$2:$L$201,$AB197)&amp;"",IF($Z197="F",INDEX(Workforce!$K$2:$K$151,MATCH(INDEX(FTE_Allocation!$A$2:$A$201,$AB197),Workforce!$A$2:$A$151,0))&amp;"","")))</f>
        <v/>
      </c>
      <c r="G197" s="7">
        <f>IF($Z197="C",INDEX(Contracts!$F$2:$F$151,$AB197)&amp;" / "&amp;INDEX(Contracts!$G$2:$G$151,$AB197),IF($Z197="A",INDEX(Fixed_Assets!$E$2:$E$201,$AB197)&amp;"",IF($Z197="F","Personnel "&amp;INDEX(FTE_Allocation!$A$2:$A$201,$AB197)&amp;IF(INDEX(FTE_Allocation!$D$2:$D$201,$AB197)="PROJECT"," ("&amp;INDEX(FTE_Allocation!$E$2:$E$201,$AB197)&amp;")",""),"")))</f>
        <v/>
      </c>
      <c r="H197" s="7">
        <f>IF($Z197="C","CONTRACT",IF($Z197="A","ASSET",IF($Z197="F","WORKFORCE","")))</f>
        <v/>
      </c>
      <c r="I197" s="7">
        <f>IF($Z197="C",INDEX(Contracts!$L$2:$L$151,$AB197)&amp;"",IF($Z197="A",INDEX(Fixed_Assets!$I$2:$I$201,$AB197)&amp;"",IF($Z197="F",INDEX(Workforce!$G$2:$G$151,MATCH(INDEX(FTE_Allocation!$A$2:$A$201,$AB197),Workforce!$A$2:$A$151,0))&amp;"","")))</f>
        <v/>
      </c>
      <c r="J197" s="18">
        <f>IF($Z197="","",IF(AND(DATE($AD197,1,1)&gt;=$AE197,DATE($AD197,1,1)&lt;=$AF197),ROUND($AG197,2),0))</f>
        <v/>
      </c>
      <c r="K197" s="18">
        <f>IF($Z197="","",IF(AND(DATE($AD197,2,1)&gt;=$AE197,DATE($AD197,2,1)&lt;=$AF197),ROUND($AG197,2),0))</f>
        <v/>
      </c>
      <c r="L197" s="18">
        <f>IF($Z197="","",IF(AND(DATE($AD197,3,1)&gt;=$AE197,DATE($AD197,3,1)&lt;=$AF197),ROUND($AG197,2),0))</f>
        <v/>
      </c>
      <c r="M197" s="18">
        <f>IF($Z197="","",IF(AND(DATE($AD197,4,1)&gt;=$AE197,DATE($AD197,4,1)&lt;=$AF197),ROUND($AG197,2),0))</f>
        <v/>
      </c>
      <c r="N197" s="18">
        <f>IF($Z197="","",IF(AND(DATE($AD197,5,1)&gt;=$AE197,DATE($AD197,5,1)&lt;=$AF197),ROUND($AG197,2),0))</f>
        <v/>
      </c>
      <c r="O197" s="18">
        <f>IF($Z197="","",IF(AND(DATE($AD197,6,1)&gt;=$AE197,DATE($AD197,6,1)&lt;=$AF197),ROUND($AG197,2),0))</f>
        <v/>
      </c>
      <c r="P197" s="18">
        <f>IF($Z197="","",IF(AND(DATE($AD197,7,1)&gt;=$AE197,DATE($AD197,7,1)&lt;=$AF197),ROUND($AG197,2),0))</f>
        <v/>
      </c>
      <c r="Q197" s="18">
        <f>IF($Z197="","",IF(AND(DATE($AD197,8,1)&gt;=$AE197,DATE($AD197,8,1)&lt;=$AF197),ROUND($AG197,2),0))</f>
        <v/>
      </c>
      <c r="R197" s="18">
        <f>IF($Z197="","",IF(AND(DATE($AD197,9,1)&gt;=$AE197,DATE($AD197,9,1)&lt;=$AF197),ROUND($AG197,2),0))</f>
        <v/>
      </c>
      <c r="S197" s="18">
        <f>IF($Z197="","",IF(AND(DATE($AD197,10,1)&gt;=$AE197,DATE($AD197,10,1)&lt;=$AF197),ROUND($AG197,2),0))</f>
        <v/>
      </c>
      <c r="T197" s="18">
        <f>IF($Z197="","",IF(AND(DATE($AD197,11,1)&gt;=$AE197,DATE($AD197,11,1)&lt;=$AF197),ROUND($AG197,2),0))</f>
        <v/>
      </c>
      <c r="U197" s="18">
        <f>IF($Z197="","",IF(AND(DATE($AD197,12,1)&gt;=$AE197,DATE($AD197,12,1)&lt;=$AF197),ROUND($AG197,2),0))</f>
        <v/>
      </c>
      <c r="V197" s="7">
        <f>IF($Z197="C","Generated from "&amp;INDEX(Contracts!$A$2:$A$151,$AB197),IF($Z197="A","Generated from "&amp;INDEX(Fixed_Assets!$A$2:$A$201,$AB197),IF($Z197="F","Generated from "&amp;INDEX(FTE_Allocation!$A$2:$A$201,$AB197),"")))</f>
        <v/>
      </c>
      <c r="X197" s="19">
        <f>IF($Z197="","",SUM(J197:U197))</f>
        <v/>
      </c>
      <c r="Y197" s="20">
        <f>ROW()-1</f>
        <v/>
      </c>
      <c r="Z197" s="20">
        <f>IF($Y197&lt;=Settings!$B$4*3,"C",IF($Y197&lt;=(Settings!$B$4+Settings!$B$5)*3,"A",IF($Y197&lt;=(Settings!$B$4+Settings!$B$5+Settings!$B$6)*3,"F","")))</f>
        <v/>
      </c>
      <c r="AA197" s="20">
        <f>IF($Z197="C",$Y197,IF($Z197="A",$Y197-Settings!$B$4*3,IF($Z197="F",$Y197-(Settings!$B$4+Settings!$B$5)*3,"")))</f>
        <v/>
      </c>
      <c r="AB197" s="20">
        <f>IF($Z197="","",INT(($AA197-1)/3)+1)</f>
        <v/>
      </c>
      <c r="AC197" s="20">
        <f>IF($Z197="","",MOD($AA197-1,3)+1)</f>
        <v/>
      </c>
      <c r="AD197" s="20">
        <f>IF($Z197="","",Settings!$B$2+$AC197-1)</f>
        <v/>
      </c>
      <c r="AE197" s="21">
        <f>IF($Z197="C",DATE(YEAR(INDEX(Contracts!$J$2:$J$151,$AB197)),MONTH(INDEX(Contracts!$J$2:$J$151,$AB197)),1),IF($Z197="A",DATE(YEAR(INDEX(Fixed_Assets!$G$2:$G$201,$AB197)),MONTH(INDEX(Fixed_Assets!$G$2:$G$201,$AB197)),1),IF($Z197="F",DATE(YEAR(MAX(N(INDEX(Workforce!$I$2:$I$151,MATCH(INDEX(FTE_Allocation!$A$2:$A$201,$AB197),Workforce!$A$2:$A$151,0))),N(INDEX(FTE_Allocation!$I$2:$I$201,$AB197)))),MONTH(MAX(N(INDEX(Workforce!$I$2:$I$151,MATCH(INDEX(FTE_Allocation!$A$2:$A$201,$AB197),Workforce!$A$2:$A$151,0))),N(INDEX(FTE_Allocation!$I$2:$I$201,$AB197)))),1),"")))</f>
        <v/>
      </c>
      <c r="AF197" s="21">
        <f>IF($Z197="C",IF(INDEX(Contracts!$I$2:$I$151,$AB197)="PREPAID",EDATE(DATE(YEAR(INDEX(Contracts!$J$2:$J$151,$AB197)),MONTH(INDEX(Contracts!$J$2:$J$151,$AB197)),1),IF(INDEX(Contracts!$N$2:$N$151,$AB197)="",12,INDEX(Contracts!$N$2:$N$151,$AB197))-1),IF(INDEX(Contracts!$I$2:$I$151,$AB197)="MONTHLY",IF(INDEX(Contracts!$K$2:$K$151,$AB197)="",2958101,INDEX(Contracts!$K$2:$K$151,$AB197)),0)),IF($Z197="A",EDATE(DATE(YEAR(INDEX(Fixed_Assets!$G$2:$G$201,$AB197)),MONTH(INDEX(Fixed_Assets!$G$2:$G$201,$AB197)),1),INDEX(Fixed_Assets!$J$2:$J$201,$AB197)-1),IF($Z197="F",MIN(IF(INDEX(Workforce!$J$2:$J$151,MATCH(INDEX(FTE_Allocation!$A$2:$A$201,$AB197),Workforce!$A$2:$A$151,0))="",2958101,INDEX(Workforce!$J$2:$J$151,MATCH(INDEX(FTE_Allocation!$A$2:$A$201,$AB197),Workforce!$A$2:$A$151,0))),IF(INDEX(FTE_Allocation!$J$2:$J$201,$AB197)="",2958101,INDEX(FTE_Allocation!$J$2:$J$201,$AB197))),"")))</f>
        <v/>
      </c>
      <c r="AG197" s="19">
        <f>IF($Z197="C",IF(INDEX(Contracts!$I$2:$I$151,$AB197)="PREPAID",INDEX(Contracts!$M$2:$M$151,$AB197)/IF(INDEX(Contracts!$N$2:$N$151,$AB197)="",12,INDEX(Contracts!$N$2:$N$151,$AB197)),IF(INDEX(Contracts!$I$2:$I$151,$AB197)="MONTHLY",INDEX(Contracts!$M$2:$M$151,$AB197),0))*(1-N(INDEX(Contracts!$O$2:$O$151,$AB197))),IF($Z197="A",INDEX(Fixed_Assets!$H$2:$H$201,$AB197)/INDEX(Fixed_Assets!$J$2:$J$201,$AB197),IF($Z197="F",INDEX(Workforce!$F$2:$F$151,MATCH(INDEX(FTE_Allocation!$A$2:$A$201,$AB197),Workforce!$A$2:$A$151,0))*N(INDEX(FTE_Allocation!$F$2:$H$201,$AB197,$AC197)),"")))</f>
        <v/>
      </c>
    </row>
    <row r="198">
      <c r="A198" s="7">
        <f>IF($Z198="","",$AD198)</f>
        <v/>
      </c>
      <c r="B198" s="7">
        <f>IF($Z198="C",INDEX(Contracts!$D$2:$D$151,$AB198)&amp;"",IF($Z198="A",INDEX(Fixed_Assets!$C$2:$C$201,$AB198)&amp;"",IF($Z198="F",INDEX(Workforce!$B$2:$B$151,MATCH(INDEX(FTE_Allocation!$A$2:$A$201,$AB198),Workforce!$A$2:$A$151,0))&amp;"","")))</f>
        <v/>
      </c>
      <c r="C198" s="7">
        <f>IF($Z198="C",INDEX(Contracts!$E$2:$E$151,$AB198)&amp;"",IF($Z198="A",INDEX(Fixed_Assets!$D$2:$D$201,$AB198)&amp;"",IF($Z198="F",INDEX(FTE_Allocation!$C$2:$C$201,$AB198)&amp;"","")))</f>
        <v/>
      </c>
      <c r="D198" s="7">
        <f>IF($Z198="C",INDEX(Contracts!$B$2:$B$151,$AB198)&amp;"",IF($Z198="A",INDEX(Fixed_Assets!$B$2:$B$201,$AB198)&amp;"",IF($Z198="F",INDEX(FTE_Allocation!$B$2:$B$201,$AB198)&amp;"","")))</f>
        <v/>
      </c>
      <c r="E198" s="7">
        <f>IF($Z198="C",INDEX(Contracts!$P$2:$P$151,$AB198)&amp;"",IF($Z198="A",INDEX(Fixed_Assets!$K$2:$K$201,$AB198)&amp;"",IF($Z198="F",IF(INDEX(FTE_Allocation!$D$2:$D$201,$AB198)="PROJECT",IFERROR(INDEX(Projects!$D:$D,MATCH(INDEX(FTE_Allocation!$E$2:$E$201,$AB198),Projects!$A:$A,0))&amp;"","#PROJECT?"),INDEX(FTE_Allocation!$E$2:$E$201,$AB198)&amp;""),"")))</f>
        <v/>
      </c>
      <c r="F198" s="7">
        <f>IF($Z198="C",INDEX(Contracts!$Q$2:$Q$151,$AB198)&amp;"",IF($Z198="A",INDEX(Fixed_Assets!$L$2:$L$201,$AB198)&amp;"",IF($Z198="F",INDEX(Workforce!$K$2:$K$151,MATCH(INDEX(FTE_Allocation!$A$2:$A$201,$AB198),Workforce!$A$2:$A$151,0))&amp;"","")))</f>
        <v/>
      </c>
      <c r="G198" s="7">
        <f>IF($Z198="C",INDEX(Contracts!$F$2:$F$151,$AB198)&amp;" / "&amp;INDEX(Contracts!$G$2:$G$151,$AB198),IF($Z198="A",INDEX(Fixed_Assets!$E$2:$E$201,$AB198)&amp;"",IF($Z198="F","Personnel "&amp;INDEX(FTE_Allocation!$A$2:$A$201,$AB198)&amp;IF(INDEX(FTE_Allocation!$D$2:$D$201,$AB198)="PROJECT"," ("&amp;INDEX(FTE_Allocation!$E$2:$E$201,$AB198)&amp;")",""),"")))</f>
        <v/>
      </c>
      <c r="H198" s="7">
        <f>IF($Z198="C","CONTRACT",IF($Z198="A","ASSET",IF($Z198="F","WORKFORCE","")))</f>
        <v/>
      </c>
      <c r="I198" s="7">
        <f>IF($Z198="C",INDEX(Contracts!$L$2:$L$151,$AB198)&amp;"",IF($Z198="A",INDEX(Fixed_Assets!$I$2:$I$201,$AB198)&amp;"",IF($Z198="F",INDEX(Workforce!$G$2:$G$151,MATCH(INDEX(FTE_Allocation!$A$2:$A$201,$AB198),Workforce!$A$2:$A$151,0))&amp;"","")))</f>
        <v/>
      </c>
      <c r="J198" s="18">
        <f>IF($Z198="","",IF(AND(DATE($AD198,1,1)&gt;=$AE198,DATE($AD198,1,1)&lt;=$AF198),ROUND($AG198,2),0))</f>
        <v/>
      </c>
      <c r="K198" s="18">
        <f>IF($Z198="","",IF(AND(DATE($AD198,2,1)&gt;=$AE198,DATE($AD198,2,1)&lt;=$AF198),ROUND($AG198,2),0))</f>
        <v/>
      </c>
      <c r="L198" s="18">
        <f>IF($Z198="","",IF(AND(DATE($AD198,3,1)&gt;=$AE198,DATE($AD198,3,1)&lt;=$AF198),ROUND($AG198,2),0))</f>
        <v/>
      </c>
      <c r="M198" s="18">
        <f>IF($Z198="","",IF(AND(DATE($AD198,4,1)&gt;=$AE198,DATE($AD198,4,1)&lt;=$AF198),ROUND($AG198,2),0))</f>
        <v/>
      </c>
      <c r="N198" s="18">
        <f>IF($Z198="","",IF(AND(DATE($AD198,5,1)&gt;=$AE198,DATE($AD198,5,1)&lt;=$AF198),ROUND($AG198,2),0))</f>
        <v/>
      </c>
      <c r="O198" s="18">
        <f>IF($Z198="","",IF(AND(DATE($AD198,6,1)&gt;=$AE198,DATE($AD198,6,1)&lt;=$AF198),ROUND($AG198,2),0))</f>
        <v/>
      </c>
      <c r="P198" s="18">
        <f>IF($Z198="","",IF(AND(DATE($AD198,7,1)&gt;=$AE198,DATE($AD198,7,1)&lt;=$AF198),ROUND($AG198,2),0))</f>
        <v/>
      </c>
      <c r="Q198" s="18">
        <f>IF($Z198="","",IF(AND(DATE($AD198,8,1)&gt;=$AE198,DATE($AD198,8,1)&lt;=$AF198),ROUND($AG198,2),0))</f>
        <v/>
      </c>
      <c r="R198" s="18">
        <f>IF($Z198="","",IF(AND(DATE($AD198,9,1)&gt;=$AE198,DATE($AD198,9,1)&lt;=$AF198),ROUND($AG198,2),0))</f>
        <v/>
      </c>
      <c r="S198" s="18">
        <f>IF($Z198="","",IF(AND(DATE($AD198,10,1)&gt;=$AE198,DATE($AD198,10,1)&lt;=$AF198),ROUND($AG198,2),0))</f>
        <v/>
      </c>
      <c r="T198" s="18">
        <f>IF($Z198="","",IF(AND(DATE($AD198,11,1)&gt;=$AE198,DATE($AD198,11,1)&lt;=$AF198),ROUND($AG198,2),0))</f>
        <v/>
      </c>
      <c r="U198" s="18">
        <f>IF($Z198="","",IF(AND(DATE($AD198,12,1)&gt;=$AE198,DATE($AD198,12,1)&lt;=$AF198),ROUND($AG198,2),0))</f>
        <v/>
      </c>
      <c r="V198" s="7">
        <f>IF($Z198="C","Generated from "&amp;INDEX(Contracts!$A$2:$A$151,$AB198),IF($Z198="A","Generated from "&amp;INDEX(Fixed_Assets!$A$2:$A$201,$AB198),IF($Z198="F","Generated from "&amp;INDEX(FTE_Allocation!$A$2:$A$201,$AB198),"")))</f>
        <v/>
      </c>
      <c r="X198" s="19">
        <f>IF($Z198="","",SUM(J198:U198))</f>
        <v/>
      </c>
      <c r="Y198" s="20">
        <f>ROW()-1</f>
        <v/>
      </c>
      <c r="Z198" s="20">
        <f>IF($Y198&lt;=Settings!$B$4*3,"C",IF($Y198&lt;=(Settings!$B$4+Settings!$B$5)*3,"A",IF($Y198&lt;=(Settings!$B$4+Settings!$B$5+Settings!$B$6)*3,"F","")))</f>
        <v/>
      </c>
      <c r="AA198" s="20">
        <f>IF($Z198="C",$Y198,IF($Z198="A",$Y198-Settings!$B$4*3,IF($Z198="F",$Y198-(Settings!$B$4+Settings!$B$5)*3,"")))</f>
        <v/>
      </c>
      <c r="AB198" s="20">
        <f>IF($Z198="","",INT(($AA198-1)/3)+1)</f>
        <v/>
      </c>
      <c r="AC198" s="20">
        <f>IF($Z198="","",MOD($AA198-1,3)+1)</f>
        <v/>
      </c>
      <c r="AD198" s="20">
        <f>IF($Z198="","",Settings!$B$2+$AC198-1)</f>
        <v/>
      </c>
      <c r="AE198" s="21">
        <f>IF($Z198="C",DATE(YEAR(INDEX(Contracts!$J$2:$J$151,$AB198)),MONTH(INDEX(Contracts!$J$2:$J$151,$AB198)),1),IF($Z198="A",DATE(YEAR(INDEX(Fixed_Assets!$G$2:$G$201,$AB198)),MONTH(INDEX(Fixed_Assets!$G$2:$G$201,$AB198)),1),IF($Z198="F",DATE(YEAR(MAX(N(INDEX(Workforce!$I$2:$I$151,MATCH(INDEX(FTE_Allocation!$A$2:$A$201,$AB198),Workforce!$A$2:$A$151,0))),N(INDEX(FTE_Allocation!$I$2:$I$201,$AB198)))),MONTH(MAX(N(INDEX(Workforce!$I$2:$I$151,MATCH(INDEX(FTE_Allocation!$A$2:$A$201,$AB198),Workforce!$A$2:$A$151,0))),N(INDEX(FTE_Allocation!$I$2:$I$201,$AB198)))),1),"")))</f>
        <v/>
      </c>
      <c r="AF198" s="21">
        <f>IF($Z198="C",IF(INDEX(Contracts!$I$2:$I$151,$AB198)="PREPAID",EDATE(DATE(YEAR(INDEX(Contracts!$J$2:$J$151,$AB198)),MONTH(INDEX(Contracts!$J$2:$J$151,$AB198)),1),IF(INDEX(Contracts!$N$2:$N$151,$AB198)="",12,INDEX(Contracts!$N$2:$N$151,$AB198))-1),IF(INDEX(Contracts!$I$2:$I$151,$AB198)="MONTHLY",IF(INDEX(Contracts!$K$2:$K$151,$AB198)="",2958101,INDEX(Contracts!$K$2:$K$151,$AB198)),0)),IF($Z198="A",EDATE(DATE(YEAR(INDEX(Fixed_Assets!$G$2:$G$201,$AB198)),MONTH(INDEX(Fixed_Assets!$G$2:$G$201,$AB198)),1),INDEX(Fixed_Assets!$J$2:$J$201,$AB198)-1),IF($Z198="F",MIN(IF(INDEX(Workforce!$J$2:$J$151,MATCH(INDEX(FTE_Allocation!$A$2:$A$201,$AB198),Workforce!$A$2:$A$151,0))="",2958101,INDEX(Workforce!$J$2:$J$151,MATCH(INDEX(FTE_Allocation!$A$2:$A$201,$AB198),Workforce!$A$2:$A$151,0))),IF(INDEX(FTE_Allocation!$J$2:$J$201,$AB198)="",2958101,INDEX(FTE_Allocation!$J$2:$J$201,$AB198))),"")))</f>
        <v/>
      </c>
      <c r="AG198" s="19">
        <f>IF($Z198="C",IF(INDEX(Contracts!$I$2:$I$151,$AB198)="PREPAID",INDEX(Contracts!$M$2:$M$151,$AB198)/IF(INDEX(Contracts!$N$2:$N$151,$AB198)="",12,INDEX(Contracts!$N$2:$N$151,$AB198)),IF(INDEX(Contracts!$I$2:$I$151,$AB198)="MONTHLY",INDEX(Contracts!$M$2:$M$151,$AB198),0))*(1-N(INDEX(Contracts!$O$2:$O$151,$AB198))),IF($Z198="A",INDEX(Fixed_Assets!$H$2:$H$201,$AB198)/INDEX(Fixed_Assets!$J$2:$J$201,$AB198),IF($Z198="F",INDEX(Workforce!$F$2:$F$151,MATCH(INDEX(FTE_Allocation!$A$2:$A$201,$AB198),Workforce!$A$2:$A$151,0))*N(INDEX(FTE_Allocation!$F$2:$H$201,$AB198,$AC198)),"")))</f>
        <v/>
      </c>
    </row>
    <row r="199">
      <c r="A199" s="7">
        <f>IF($Z199="","",$AD199)</f>
        <v/>
      </c>
      <c r="B199" s="7">
        <f>IF($Z199="C",INDEX(Contracts!$D$2:$D$151,$AB199)&amp;"",IF($Z199="A",INDEX(Fixed_Assets!$C$2:$C$201,$AB199)&amp;"",IF($Z199="F",INDEX(Workforce!$B$2:$B$151,MATCH(INDEX(FTE_Allocation!$A$2:$A$201,$AB199),Workforce!$A$2:$A$151,0))&amp;"","")))</f>
        <v/>
      </c>
      <c r="C199" s="7">
        <f>IF($Z199="C",INDEX(Contracts!$E$2:$E$151,$AB199)&amp;"",IF($Z199="A",INDEX(Fixed_Assets!$D$2:$D$201,$AB199)&amp;"",IF($Z199="F",INDEX(FTE_Allocation!$C$2:$C$201,$AB199)&amp;"","")))</f>
        <v/>
      </c>
      <c r="D199" s="7">
        <f>IF($Z199="C",INDEX(Contracts!$B$2:$B$151,$AB199)&amp;"",IF($Z199="A",INDEX(Fixed_Assets!$B$2:$B$201,$AB199)&amp;"",IF($Z199="F",INDEX(FTE_Allocation!$B$2:$B$201,$AB199)&amp;"","")))</f>
        <v/>
      </c>
      <c r="E199" s="7">
        <f>IF($Z199="C",INDEX(Contracts!$P$2:$P$151,$AB199)&amp;"",IF($Z199="A",INDEX(Fixed_Assets!$K$2:$K$201,$AB199)&amp;"",IF($Z199="F",IF(INDEX(FTE_Allocation!$D$2:$D$201,$AB199)="PROJECT",IFERROR(INDEX(Projects!$D:$D,MATCH(INDEX(FTE_Allocation!$E$2:$E$201,$AB199),Projects!$A:$A,0))&amp;"","#PROJECT?"),INDEX(FTE_Allocation!$E$2:$E$201,$AB199)&amp;""),"")))</f>
        <v/>
      </c>
      <c r="F199" s="7">
        <f>IF($Z199="C",INDEX(Contracts!$Q$2:$Q$151,$AB199)&amp;"",IF($Z199="A",INDEX(Fixed_Assets!$L$2:$L$201,$AB199)&amp;"",IF($Z199="F",INDEX(Workforce!$K$2:$K$151,MATCH(INDEX(FTE_Allocation!$A$2:$A$201,$AB199),Workforce!$A$2:$A$151,0))&amp;"","")))</f>
        <v/>
      </c>
      <c r="G199" s="7">
        <f>IF($Z199="C",INDEX(Contracts!$F$2:$F$151,$AB199)&amp;" / "&amp;INDEX(Contracts!$G$2:$G$151,$AB199),IF($Z199="A",INDEX(Fixed_Assets!$E$2:$E$201,$AB199)&amp;"",IF($Z199="F","Personnel "&amp;INDEX(FTE_Allocation!$A$2:$A$201,$AB199)&amp;IF(INDEX(FTE_Allocation!$D$2:$D$201,$AB199)="PROJECT"," ("&amp;INDEX(FTE_Allocation!$E$2:$E$201,$AB199)&amp;")",""),"")))</f>
        <v/>
      </c>
      <c r="H199" s="7">
        <f>IF($Z199="C","CONTRACT",IF($Z199="A","ASSET",IF($Z199="F","WORKFORCE","")))</f>
        <v/>
      </c>
      <c r="I199" s="7">
        <f>IF($Z199="C",INDEX(Contracts!$L$2:$L$151,$AB199)&amp;"",IF($Z199="A",INDEX(Fixed_Assets!$I$2:$I$201,$AB199)&amp;"",IF($Z199="F",INDEX(Workforce!$G$2:$G$151,MATCH(INDEX(FTE_Allocation!$A$2:$A$201,$AB199),Workforce!$A$2:$A$151,0))&amp;"","")))</f>
        <v/>
      </c>
      <c r="J199" s="18">
        <f>IF($Z199="","",IF(AND(DATE($AD199,1,1)&gt;=$AE199,DATE($AD199,1,1)&lt;=$AF199),ROUND($AG199,2),0))</f>
        <v/>
      </c>
      <c r="K199" s="18">
        <f>IF($Z199="","",IF(AND(DATE($AD199,2,1)&gt;=$AE199,DATE($AD199,2,1)&lt;=$AF199),ROUND($AG199,2),0))</f>
        <v/>
      </c>
      <c r="L199" s="18">
        <f>IF($Z199="","",IF(AND(DATE($AD199,3,1)&gt;=$AE199,DATE($AD199,3,1)&lt;=$AF199),ROUND($AG199,2),0))</f>
        <v/>
      </c>
      <c r="M199" s="18">
        <f>IF($Z199="","",IF(AND(DATE($AD199,4,1)&gt;=$AE199,DATE($AD199,4,1)&lt;=$AF199),ROUND($AG199,2),0))</f>
        <v/>
      </c>
      <c r="N199" s="18">
        <f>IF($Z199="","",IF(AND(DATE($AD199,5,1)&gt;=$AE199,DATE($AD199,5,1)&lt;=$AF199),ROUND($AG199,2),0))</f>
        <v/>
      </c>
      <c r="O199" s="18">
        <f>IF($Z199="","",IF(AND(DATE($AD199,6,1)&gt;=$AE199,DATE($AD199,6,1)&lt;=$AF199),ROUND($AG199,2),0))</f>
        <v/>
      </c>
      <c r="P199" s="18">
        <f>IF($Z199="","",IF(AND(DATE($AD199,7,1)&gt;=$AE199,DATE($AD199,7,1)&lt;=$AF199),ROUND($AG199,2),0))</f>
        <v/>
      </c>
      <c r="Q199" s="18">
        <f>IF($Z199="","",IF(AND(DATE($AD199,8,1)&gt;=$AE199,DATE($AD199,8,1)&lt;=$AF199),ROUND($AG199,2),0))</f>
        <v/>
      </c>
      <c r="R199" s="18">
        <f>IF($Z199="","",IF(AND(DATE($AD199,9,1)&gt;=$AE199,DATE($AD199,9,1)&lt;=$AF199),ROUND($AG199,2),0))</f>
        <v/>
      </c>
      <c r="S199" s="18">
        <f>IF($Z199="","",IF(AND(DATE($AD199,10,1)&gt;=$AE199,DATE($AD199,10,1)&lt;=$AF199),ROUND($AG199,2),0))</f>
        <v/>
      </c>
      <c r="T199" s="18">
        <f>IF($Z199="","",IF(AND(DATE($AD199,11,1)&gt;=$AE199,DATE($AD199,11,1)&lt;=$AF199),ROUND($AG199,2),0))</f>
        <v/>
      </c>
      <c r="U199" s="18">
        <f>IF($Z199="","",IF(AND(DATE($AD199,12,1)&gt;=$AE199,DATE($AD199,12,1)&lt;=$AF199),ROUND($AG199,2),0))</f>
        <v/>
      </c>
      <c r="V199" s="7">
        <f>IF($Z199="C","Generated from "&amp;INDEX(Contracts!$A$2:$A$151,$AB199),IF($Z199="A","Generated from "&amp;INDEX(Fixed_Assets!$A$2:$A$201,$AB199),IF($Z199="F","Generated from "&amp;INDEX(FTE_Allocation!$A$2:$A$201,$AB199),"")))</f>
        <v/>
      </c>
      <c r="X199" s="19">
        <f>IF($Z199="","",SUM(J199:U199))</f>
        <v/>
      </c>
      <c r="Y199" s="20">
        <f>ROW()-1</f>
        <v/>
      </c>
      <c r="Z199" s="20">
        <f>IF($Y199&lt;=Settings!$B$4*3,"C",IF($Y199&lt;=(Settings!$B$4+Settings!$B$5)*3,"A",IF($Y199&lt;=(Settings!$B$4+Settings!$B$5+Settings!$B$6)*3,"F","")))</f>
        <v/>
      </c>
      <c r="AA199" s="20">
        <f>IF($Z199="C",$Y199,IF($Z199="A",$Y199-Settings!$B$4*3,IF($Z199="F",$Y199-(Settings!$B$4+Settings!$B$5)*3,"")))</f>
        <v/>
      </c>
      <c r="AB199" s="20">
        <f>IF($Z199="","",INT(($AA199-1)/3)+1)</f>
        <v/>
      </c>
      <c r="AC199" s="20">
        <f>IF($Z199="","",MOD($AA199-1,3)+1)</f>
        <v/>
      </c>
      <c r="AD199" s="20">
        <f>IF($Z199="","",Settings!$B$2+$AC199-1)</f>
        <v/>
      </c>
      <c r="AE199" s="21">
        <f>IF($Z199="C",DATE(YEAR(INDEX(Contracts!$J$2:$J$151,$AB199)),MONTH(INDEX(Contracts!$J$2:$J$151,$AB199)),1),IF($Z199="A",DATE(YEAR(INDEX(Fixed_Assets!$G$2:$G$201,$AB199)),MONTH(INDEX(Fixed_Assets!$G$2:$G$201,$AB199)),1),IF($Z199="F",DATE(YEAR(MAX(N(INDEX(Workforce!$I$2:$I$151,MATCH(INDEX(FTE_Allocation!$A$2:$A$201,$AB199),Workforce!$A$2:$A$151,0))),N(INDEX(FTE_Allocation!$I$2:$I$201,$AB199)))),MONTH(MAX(N(INDEX(Workforce!$I$2:$I$151,MATCH(INDEX(FTE_Allocation!$A$2:$A$201,$AB199),Workforce!$A$2:$A$151,0))),N(INDEX(FTE_Allocation!$I$2:$I$201,$AB199)))),1),"")))</f>
        <v/>
      </c>
      <c r="AF199" s="21">
        <f>IF($Z199="C",IF(INDEX(Contracts!$I$2:$I$151,$AB199)="PREPAID",EDATE(DATE(YEAR(INDEX(Contracts!$J$2:$J$151,$AB199)),MONTH(INDEX(Contracts!$J$2:$J$151,$AB199)),1),IF(INDEX(Contracts!$N$2:$N$151,$AB199)="",12,INDEX(Contracts!$N$2:$N$151,$AB199))-1),IF(INDEX(Contracts!$I$2:$I$151,$AB199)="MONTHLY",IF(INDEX(Contracts!$K$2:$K$151,$AB199)="",2958101,INDEX(Contracts!$K$2:$K$151,$AB199)),0)),IF($Z199="A",EDATE(DATE(YEAR(INDEX(Fixed_Assets!$G$2:$G$201,$AB199)),MONTH(INDEX(Fixed_Assets!$G$2:$G$201,$AB199)),1),INDEX(Fixed_Assets!$J$2:$J$201,$AB199)-1),IF($Z199="F",MIN(IF(INDEX(Workforce!$J$2:$J$151,MATCH(INDEX(FTE_Allocation!$A$2:$A$201,$AB199),Workforce!$A$2:$A$151,0))="",2958101,INDEX(Workforce!$J$2:$J$151,MATCH(INDEX(FTE_Allocation!$A$2:$A$201,$AB199),Workforce!$A$2:$A$151,0))),IF(INDEX(FTE_Allocation!$J$2:$J$201,$AB199)="",2958101,INDEX(FTE_Allocation!$J$2:$J$201,$AB199))),"")))</f>
        <v/>
      </c>
      <c r="AG199" s="19">
        <f>IF($Z199="C",IF(INDEX(Contracts!$I$2:$I$151,$AB199)="PREPAID",INDEX(Contracts!$M$2:$M$151,$AB199)/IF(INDEX(Contracts!$N$2:$N$151,$AB199)="",12,INDEX(Contracts!$N$2:$N$151,$AB199)),IF(INDEX(Contracts!$I$2:$I$151,$AB199)="MONTHLY",INDEX(Contracts!$M$2:$M$151,$AB199),0))*(1-N(INDEX(Contracts!$O$2:$O$151,$AB199))),IF($Z199="A",INDEX(Fixed_Assets!$H$2:$H$201,$AB199)/INDEX(Fixed_Assets!$J$2:$J$201,$AB199),IF($Z199="F",INDEX(Workforce!$F$2:$F$151,MATCH(INDEX(FTE_Allocation!$A$2:$A$201,$AB199),Workforce!$A$2:$A$151,0))*N(INDEX(FTE_Allocation!$F$2:$H$201,$AB199,$AC199)),"")))</f>
        <v/>
      </c>
    </row>
    <row r="200">
      <c r="A200" s="7">
        <f>IF($Z200="","",$AD200)</f>
        <v/>
      </c>
      <c r="B200" s="7">
        <f>IF($Z200="C",INDEX(Contracts!$D$2:$D$151,$AB200)&amp;"",IF($Z200="A",INDEX(Fixed_Assets!$C$2:$C$201,$AB200)&amp;"",IF($Z200="F",INDEX(Workforce!$B$2:$B$151,MATCH(INDEX(FTE_Allocation!$A$2:$A$201,$AB200),Workforce!$A$2:$A$151,0))&amp;"","")))</f>
        <v/>
      </c>
      <c r="C200" s="7">
        <f>IF($Z200="C",INDEX(Contracts!$E$2:$E$151,$AB200)&amp;"",IF($Z200="A",INDEX(Fixed_Assets!$D$2:$D$201,$AB200)&amp;"",IF($Z200="F",INDEX(FTE_Allocation!$C$2:$C$201,$AB200)&amp;"","")))</f>
        <v/>
      </c>
      <c r="D200" s="7">
        <f>IF($Z200="C",INDEX(Contracts!$B$2:$B$151,$AB200)&amp;"",IF($Z200="A",INDEX(Fixed_Assets!$B$2:$B$201,$AB200)&amp;"",IF($Z200="F",INDEX(FTE_Allocation!$B$2:$B$201,$AB200)&amp;"","")))</f>
        <v/>
      </c>
      <c r="E200" s="7">
        <f>IF($Z200="C",INDEX(Contracts!$P$2:$P$151,$AB200)&amp;"",IF($Z200="A",INDEX(Fixed_Assets!$K$2:$K$201,$AB200)&amp;"",IF($Z200="F",IF(INDEX(FTE_Allocation!$D$2:$D$201,$AB200)="PROJECT",IFERROR(INDEX(Projects!$D:$D,MATCH(INDEX(FTE_Allocation!$E$2:$E$201,$AB200),Projects!$A:$A,0))&amp;"","#PROJECT?"),INDEX(FTE_Allocation!$E$2:$E$201,$AB200)&amp;""),"")))</f>
        <v/>
      </c>
      <c r="F200" s="7">
        <f>IF($Z200="C",INDEX(Contracts!$Q$2:$Q$151,$AB200)&amp;"",IF($Z200="A",INDEX(Fixed_Assets!$L$2:$L$201,$AB200)&amp;"",IF($Z200="F",INDEX(Workforce!$K$2:$K$151,MATCH(INDEX(FTE_Allocation!$A$2:$A$201,$AB200),Workforce!$A$2:$A$151,0))&amp;"","")))</f>
        <v/>
      </c>
      <c r="G200" s="7">
        <f>IF($Z200="C",INDEX(Contracts!$F$2:$F$151,$AB200)&amp;" / "&amp;INDEX(Contracts!$G$2:$G$151,$AB200),IF($Z200="A",INDEX(Fixed_Assets!$E$2:$E$201,$AB200)&amp;"",IF($Z200="F","Personnel "&amp;INDEX(FTE_Allocation!$A$2:$A$201,$AB200)&amp;IF(INDEX(FTE_Allocation!$D$2:$D$201,$AB200)="PROJECT"," ("&amp;INDEX(FTE_Allocation!$E$2:$E$201,$AB200)&amp;")",""),"")))</f>
        <v/>
      </c>
      <c r="H200" s="7">
        <f>IF($Z200="C","CONTRACT",IF($Z200="A","ASSET",IF($Z200="F","WORKFORCE","")))</f>
        <v/>
      </c>
      <c r="I200" s="7">
        <f>IF($Z200="C",INDEX(Contracts!$L$2:$L$151,$AB200)&amp;"",IF($Z200="A",INDEX(Fixed_Assets!$I$2:$I$201,$AB200)&amp;"",IF($Z200="F",INDEX(Workforce!$G$2:$G$151,MATCH(INDEX(FTE_Allocation!$A$2:$A$201,$AB200),Workforce!$A$2:$A$151,0))&amp;"","")))</f>
        <v/>
      </c>
      <c r="J200" s="18">
        <f>IF($Z200="","",IF(AND(DATE($AD200,1,1)&gt;=$AE200,DATE($AD200,1,1)&lt;=$AF200),ROUND($AG200,2),0))</f>
        <v/>
      </c>
      <c r="K200" s="18">
        <f>IF($Z200="","",IF(AND(DATE($AD200,2,1)&gt;=$AE200,DATE($AD200,2,1)&lt;=$AF200),ROUND($AG200,2),0))</f>
        <v/>
      </c>
      <c r="L200" s="18">
        <f>IF($Z200="","",IF(AND(DATE($AD200,3,1)&gt;=$AE200,DATE($AD200,3,1)&lt;=$AF200),ROUND($AG200,2),0))</f>
        <v/>
      </c>
      <c r="M200" s="18">
        <f>IF($Z200="","",IF(AND(DATE($AD200,4,1)&gt;=$AE200,DATE($AD200,4,1)&lt;=$AF200),ROUND($AG200,2),0))</f>
        <v/>
      </c>
      <c r="N200" s="18">
        <f>IF($Z200="","",IF(AND(DATE($AD200,5,1)&gt;=$AE200,DATE($AD200,5,1)&lt;=$AF200),ROUND($AG200,2),0))</f>
        <v/>
      </c>
      <c r="O200" s="18">
        <f>IF($Z200="","",IF(AND(DATE($AD200,6,1)&gt;=$AE200,DATE($AD200,6,1)&lt;=$AF200),ROUND($AG200,2),0))</f>
        <v/>
      </c>
      <c r="P200" s="18">
        <f>IF($Z200="","",IF(AND(DATE($AD200,7,1)&gt;=$AE200,DATE($AD200,7,1)&lt;=$AF200),ROUND($AG200,2),0))</f>
        <v/>
      </c>
      <c r="Q200" s="18">
        <f>IF($Z200="","",IF(AND(DATE($AD200,8,1)&gt;=$AE200,DATE($AD200,8,1)&lt;=$AF200),ROUND($AG200,2),0))</f>
        <v/>
      </c>
      <c r="R200" s="18">
        <f>IF($Z200="","",IF(AND(DATE($AD200,9,1)&gt;=$AE200,DATE($AD200,9,1)&lt;=$AF200),ROUND($AG200,2),0))</f>
        <v/>
      </c>
      <c r="S200" s="18">
        <f>IF($Z200="","",IF(AND(DATE($AD200,10,1)&gt;=$AE200,DATE($AD200,10,1)&lt;=$AF200),ROUND($AG200,2),0))</f>
        <v/>
      </c>
      <c r="T200" s="18">
        <f>IF($Z200="","",IF(AND(DATE($AD200,11,1)&gt;=$AE200,DATE($AD200,11,1)&lt;=$AF200),ROUND($AG200,2),0))</f>
        <v/>
      </c>
      <c r="U200" s="18">
        <f>IF($Z200="","",IF(AND(DATE($AD200,12,1)&gt;=$AE200,DATE($AD200,12,1)&lt;=$AF200),ROUND($AG200,2),0))</f>
        <v/>
      </c>
      <c r="V200" s="7">
        <f>IF($Z200="C","Generated from "&amp;INDEX(Contracts!$A$2:$A$151,$AB200),IF($Z200="A","Generated from "&amp;INDEX(Fixed_Assets!$A$2:$A$201,$AB200),IF($Z200="F","Generated from "&amp;INDEX(FTE_Allocation!$A$2:$A$201,$AB200),"")))</f>
        <v/>
      </c>
      <c r="X200" s="19">
        <f>IF($Z200="","",SUM(J200:U200))</f>
        <v/>
      </c>
      <c r="Y200" s="20">
        <f>ROW()-1</f>
        <v/>
      </c>
      <c r="Z200" s="20">
        <f>IF($Y200&lt;=Settings!$B$4*3,"C",IF($Y200&lt;=(Settings!$B$4+Settings!$B$5)*3,"A",IF($Y200&lt;=(Settings!$B$4+Settings!$B$5+Settings!$B$6)*3,"F","")))</f>
        <v/>
      </c>
      <c r="AA200" s="20">
        <f>IF($Z200="C",$Y200,IF($Z200="A",$Y200-Settings!$B$4*3,IF($Z200="F",$Y200-(Settings!$B$4+Settings!$B$5)*3,"")))</f>
        <v/>
      </c>
      <c r="AB200" s="20">
        <f>IF($Z200="","",INT(($AA200-1)/3)+1)</f>
        <v/>
      </c>
      <c r="AC200" s="20">
        <f>IF($Z200="","",MOD($AA200-1,3)+1)</f>
        <v/>
      </c>
      <c r="AD200" s="20">
        <f>IF($Z200="","",Settings!$B$2+$AC200-1)</f>
        <v/>
      </c>
      <c r="AE200" s="21">
        <f>IF($Z200="C",DATE(YEAR(INDEX(Contracts!$J$2:$J$151,$AB200)),MONTH(INDEX(Contracts!$J$2:$J$151,$AB200)),1),IF($Z200="A",DATE(YEAR(INDEX(Fixed_Assets!$G$2:$G$201,$AB200)),MONTH(INDEX(Fixed_Assets!$G$2:$G$201,$AB200)),1),IF($Z200="F",DATE(YEAR(MAX(N(INDEX(Workforce!$I$2:$I$151,MATCH(INDEX(FTE_Allocation!$A$2:$A$201,$AB200),Workforce!$A$2:$A$151,0))),N(INDEX(FTE_Allocation!$I$2:$I$201,$AB200)))),MONTH(MAX(N(INDEX(Workforce!$I$2:$I$151,MATCH(INDEX(FTE_Allocation!$A$2:$A$201,$AB200),Workforce!$A$2:$A$151,0))),N(INDEX(FTE_Allocation!$I$2:$I$201,$AB200)))),1),"")))</f>
        <v/>
      </c>
      <c r="AF200" s="21">
        <f>IF($Z200="C",IF(INDEX(Contracts!$I$2:$I$151,$AB200)="PREPAID",EDATE(DATE(YEAR(INDEX(Contracts!$J$2:$J$151,$AB200)),MONTH(INDEX(Contracts!$J$2:$J$151,$AB200)),1),IF(INDEX(Contracts!$N$2:$N$151,$AB200)="",12,INDEX(Contracts!$N$2:$N$151,$AB200))-1),IF(INDEX(Contracts!$I$2:$I$151,$AB200)="MONTHLY",IF(INDEX(Contracts!$K$2:$K$151,$AB200)="",2958101,INDEX(Contracts!$K$2:$K$151,$AB200)),0)),IF($Z200="A",EDATE(DATE(YEAR(INDEX(Fixed_Assets!$G$2:$G$201,$AB200)),MONTH(INDEX(Fixed_Assets!$G$2:$G$201,$AB200)),1),INDEX(Fixed_Assets!$J$2:$J$201,$AB200)-1),IF($Z200="F",MIN(IF(INDEX(Workforce!$J$2:$J$151,MATCH(INDEX(FTE_Allocation!$A$2:$A$201,$AB200),Workforce!$A$2:$A$151,0))="",2958101,INDEX(Workforce!$J$2:$J$151,MATCH(INDEX(FTE_Allocation!$A$2:$A$201,$AB200),Workforce!$A$2:$A$151,0))),IF(INDEX(FTE_Allocation!$J$2:$J$201,$AB200)="",2958101,INDEX(FTE_Allocation!$J$2:$J$201,$AB200))),"")))</f>
        <v/>
      </c>
      <c r="AG200" s="19">
        <f>IF($Z200="C",IF(INDEX(Contracts!$I$2:$I$151,$AB200)="PREPAID",INDEX(Contracts!$M$2:$M$151,$AB200)/IF(INDEX(Contracts!$N$2:$N$151,$AB200)="",12,INDEX(Contracts!$N$2:$N$151,$AB200)),IF(INDEX(Contracts!$I$2:$I$151,$AB200)="MONTHLY",INDEX(Contracts!$M$2:$M$151,$AB200),0))*(1-N(INDEX(Contracts!$O$2:$O$151,$AB200))),IF($Z200="A",INDEX(Fixed_Assets!$H$2:$H$201,$AB200)/INDEX(Fixed_Assets!$J$2:$J$201,$AB200),IF($Z200="F",INDEX(Workforce!$F$2:$F$151,MATCH(INDEX(FTE_Allocation!$A$2:$A$201,$AB200),Workforce!$A$2:$A$151,0))*N(INDEX(FTE_Allocation!$F$2:$H$201,$AB200,$AC200)),"")))</f>
        <v/>
      </c>
    </row>
    <row r="201">
      <c r="A201" s="7">
        <f>IF($Z201="","",$AD201)</f>
        <v/>
      </c>
      <c r="B201" s="7">
        <f>IF($Z201="C",INDEX(Contracts!$D$2:$D$151,$AB201)&amp;"",IF($Z201="A",INDEX(Fixed_Assets!$C$2:$C$201,$AB201)&amp;"",IF($Z201="F",INDEX(Workforce!$B$2:$B$151,MATCH(INDEX(FTE_Allocation!$A$2:$A$201,$AB201),Workforce!$A$2:$A$151,0))&amp;"","")))</f>
        <v/>
      </c>
      <c r="C201" s="7">
        <f>IF($Z201="C",INDEX(Contracts!$E$2:$E$151,$AB201)&amp;"",IF($Z201="A",INDEX(Fixed_Assets!$D$2:$D$201,$AB201)&amp;"",IF($Z201="F",INDEX(FTE_Allocation!$C$2:$C$201,$AB201)&amp;"","")))</f>
        <v/>
      </c>
      <c r="D201" s="7">
        <f>IF($Z201="C",INDEX(Contracts!$B$2:$B$151,$AB201)&amp;"",IF($Z201="A",INDEX(Fixed_Assets!$B$2:$B$201,$AB201)&amp;"",IF($Z201="F",INDEX(FTE_Allocation!$B$2:$B$201,$AB201)&amp;"","")))</f>
        <v/>
      </c>
      <c r="E201" s="7">
        <f>IF($Z201="C",INDEX(Contracts!$P$2:$P$151,$AB201)&amp;"",IF($Z201="A",INDEX(Fixed_Assets!$K$2:$K$201,$AB201)&amp;"",IF($Z201="F",IF(INDEX(FTE_Allocation!$D$2:$D$201,$AB201)="PROJECT",IFERROR(INDEX(Projects!$D:$D,MATCH(INDEX(FTE_Allocation!$E$2:$E$201,$AB201),Projects!$A:$A,0))&amp;"","#PROJECT?"),INDEX(FTE_Allocation!$E$2:$E$201,$AB201)&amp;""),"")))</f>
        <v/>
      </c>
      <c r="F201" s="7">
        <f>IF($Z201="C",INDEX(Contracts!$Q$2:$Q$151,$AB201)&amp;"",IF($Z201="A",INDEX(Fixed_Assets!$L$2:$L$201,$AB201)&amp;"",IF($Z201="F",INDEX(Workforce!$K$2:$K$151,MATCH(INDEX(FTE_Allocation!$A$2:$A$201,$AB201),Workforce!$A$2:$A$151,0))&amp;"","")))</f>
        <v/>
      </c>
      <c r="G201" s="7">
        <f>IF($Z201="C",INDEX(Contracts!$F$2:$F$151,$AB201)&amp;" / "&amp;INDEX(Contracts!$G$2:$G$151,$AB201),IF($Z201="A",INDEX(Fixed_Assets!$E$2:$E$201,$AB201)&amp;"",IF($Z201="F","Personnel "&amp;INDEX(FTE_Allocation!$A$2:$A$201,$AB201)&amp;IF(INDEX(FTE_Allocation!$D$2:$D$201,$AB201)="PROJECT"," ("&amp;INDEX(FTE_Allocation!$E$2:$E$201,$AB201)&amp;")",""),"")))</f>
        <v/>
      </c>
      <c r="H201" s="7">
        <f>IF($Z201="C","CONTRACT",IF($Z201="A","ASSET",IF($Z201="F","WORKFORCE","")))</f>
        <v/>
      </c>
      <c r="I201" s="7">
        <f>IF($Z201="C",INDEX(Contracts!$L$2:$L$151,$AB201)&amp;"",IF($Z201="A",INDEX(Fixed_Assets!$I$2:$I$201,$AB201)&amp;"",IF($Z201="F",INDEX(Workforce!$G$2:$G$151,MATCH(INDEX(FTE_Allocation!$A$2:$A$201,$AB201),Workforce!$A$2:$A$151,0))&amp;"","")))</f>
        <v/>
      </c>
      <c r="J201" s="18">
        <f>IF($Z201="","",IF(AND(DATE($AD201,1,1)&gt;=$AE201,DATE($AD201,1,1)&lt;=$AF201),ROUND($AG201,2),0))</f>
        <v/>
      </c>
      <c r="K201" s="18">
        <f>IF($Z201="","",IF(AND(DATE($AD201,2,1)&gt;=$AE201,DATE($AD201,2,1)&lt;=$AF201),ROUND($AG201,2),0))</f>
        <v/>
      </c>
      <c r="L201" s="18">
        <f>IF($Z201="","",IF(AND(DATE($AD201,3,1)&gt;=$AE201,DATE($AD201,3,1)&lt;=$AF201),ROUND($AG201,2),0))</f>
        <v/>
      </c>
      <c r="M201" s="18">
        <f>IF($Z201="","",IF(AND(DATE($AD201,4,1)&gt;=$AE201,DATE($AD201,4,1)&lt;=$AF201),ROUND($AG201,2),0))</f>
        <v/>
      </c>
      <c r="N201" s="18">
        <f>IF($Z201="","",IF(AND(DATE($AD201,5,1)&gt;=$AE201,DATE($AD201,5,1)&lt;=$AF201),ROUND($AG201,2),0))</f>
        <v/>
      </c>
      <c r="O201" s="18">
        <f>IF($Z201="","",IF(AND(DATE($AD201,6,1)&gt;=$AE201,DATE($AD201,6,1)&lt;=$AF201),ROUND($AG201,2),0))</f>
        <v/>
      </c>
      <c r="P201" s="18">
        <f>IF($Z201="","",IF(AND(DATE($AD201,7,1)&gt;=$AE201,DATE($AD201,7,1)&lt;=$AF201),ROUND($AG201,2),0))</f>
        <v/>
      </c>
      <c r="Q201" s="18">
        <f>IF($Z201="","",IF(AND(DATE($AD201,8,1)&gt;=$AE201,DATE($AD201,8,1)&lt;=$AF201),ROUND($AG201,2),0))</f>
        <v/>
      </c>
      <c r="R201" s="18">
        <f>IF($Z201="","",IF(AND(DATE($AD201,9,1)&gt;=$AE201,DATE($AD201,9,1)&lt;=$AF201),ROUND($AG201,2),0))</f>
        <v/>
      </c>
      <c r="S201" s="18">
        <f>IF($Z201="","",IF(AND(DATE($AD201,10,1)&gt;=$AE201,DATE($AD201,10,1)&lt;=$AF201),ROUND($AG201,2),0))</f>
        <v/>
      </c>
      <c r="T201" s="18">
        <f>IF($Z201="","",IF(AND(DATE($AD201,11,1)&gt;=$AE201,DATE($AD201,11,1)&lt;=$AF201),ROUND($AG201,2),0))</f>
        <v/>
      </c>
      <c r="U201" s="18">
        <f>IF($Z201="","",IF(AND(DATE($AD201,12,1)&gt;=$AE201,DATE($AD201,12,1)&lt;=$AF201),ROUND($AG201,2),0))</f>
        <v/>
      </c>
      <c r="V201" s="7">
        <f>IF($Z201="C","Generated from "&amp;INDEX(Contracts!$A$2:$A$151,$AB201),IF($Z201="A","Generated from "&amp;INDEX(Fixed_Assets!$A$2:$A$201,$AB201),IF($Z201="F","Generated from "&amp;INDEX(FTE_Allocation!$A$2:$A$201,$AB201),"")))</f>
        <v/>
      </c>
      <c r="X201" s="19">
        <f>IF($Z201="","",SUM(J201:U201))</f>
        <v/>
      </c>
      <c r="Y201" s="20">
        <f>ROW()-1</f>
        <v/>
      </c>
      <c r="Z201" s="20">
        <f>IF($Y201&lt;=Settings!$B$4*3,"C",IF($Y201&lt;=(Settings!$B$4+Settings!$B$5)*3,"A",IF($Y201&lt;=(Settings!$B$4+Settings!$B$5+Settings!$B$6)*3,"F","")))</f>
        <v/>
      </c>
      <c r="AA201" s="20">
        <f>IF($Z201="C",$Y201,IF($Z201="A",$Y201-Settings!$B$4*3,IF($Z201="F",$Y201-(Settings!$B$4+Settings!$B$5)*3,"")))</f>
        <v/>
      </c>
      <c r="AB201" s="20">
        <f>IF($Z201="","",INT(($AA201-1)/3)+1)</f>
        <v/>
      </c>
      <c r="AC201" s="20">
        <f>IF($Z201="","",MOD($AA201-1,3)+1)</f>
        <v/>
      </c>
      <c r="AD201" s="20">
        <f>IF($Z201="","",Settings!$B$2+$AC201-1)</f>
        <v/>
      </c>
      <c r="AE201" s="21">
        <f>IF($Z201="C",DATE(YEAR(INDEX(Contracts!$J$2:$J$151,$AB201)),MONTH(INDEX(Contracts!$J$2:$J$151,$AB201)),1),IF($Z201="A",DATE(YEAR(INDEX(Fixed_Assets!$G$2:$G$201,$AB201)),MONTH(INDEX(Fixed_Assets!$G$2:$G$201,$AB201)),1),IF($Z201="F",DATE(YEAR(MAX(N(INDEX(Workforce!$I$2:$I$151,MATCH(INDEX(FTE_Allocation!$A$2:$A$201,$AB201),Workforce!$A$2:$A$151,0))),N(INDEX(FTE_Allocation!$I$2:$I$201,$AB201)))),MONTH(MAX(N(INDEX(Workforce!$I$2:$I$151,MATCH(INDEX(FTE_Allocation!$A$2:$A$201,$AB201),Workforce!$A$2:$A$151,0))),N(INDEX(FTE_Allocation!$I$2:$I$201,$AB201)))),1),"")))</f>
        <v/>
      </c>
      <c r="AF201" s="21">
        <f>IF($Z201="C",IF(INDEX(Contracts!$I$2:$I$151,$AB201)="PREPAID",EDATE(DATE(YEAR(INDEX(Contracts!$J$2:$J$151,$AB201)),MONTH(INDEX(Contracts!$J$2:$J$151,$AB201)),1),IF(INDEX(Contracts!$N$2:$N$151,$AB201)="",12,INDEX(Contracts!$N$2:$N$151,$AB201))-1),IF(INDEX(Contracts!$I$2:$I$151,$AB201)="MONTHLY",IF(INDEX(Contracts!$K$2:$K$151,$AB201)="",2958101,INDEX(Contracts!$K$2:$K$151,$AB201)),0)),IF($Z201="A",EDATE(DATE(YEAR(INDEX(Fixed_Assets!$G$2:$G$201,$AB201)),MONTH(INDEX(Fixed_Assets!$G$2:$G$201,$AB201)),1),INDEX(Fixed_Assets!$J$2:$J$201,$AB201)-1),IF($Z201="F",MIN(IF(INDEX(Workforce!$J$2:$J$151,MATCH(INDEX(FTE_Allocation!$A$2:$A$201,$AB201),Workforce!$A$2:$A$151,0))="",2958101,INDEX(Workforce!$J$2:$J$151,MATCH(INDEX(FTE_Allocation!$A$2:$A$201,$AB201),Workforce!$A$2:$A$151,0))),IF(INDEX(FTE_Allocation!$J$2:$J$201,$AB201)="",2958101,INDEX(FTE_Allocation!$J$2:$J$201,$AB201))),"")))</f>
        <v/>
      </c>
      <c r="AG201" s="19">
        <f>IF($Z201="C",IF(INDEX(Contracts!$I$2:$I$151,$AB201)="PREPAID",INDEX(Contracts!$M$2:$M$151,$AB201)/IF(INDEX(Contracts!$N$2:$N$151,$AB201)="",12,INDEX(Contracts!$N$2:$N$151,$AB201)),IF(INDEX(Contracts!$I$2:$I$151,$AB201)="MONTHLY",INDEX(Contracts!$M$2:$M$151,$AB201),0))*(1-N(INDEX(Contracts!$O$2:$O$151,$AB201))),IF($Z201="A",INDEX(Fixed_Assets!$H$2:$H$201,$AB201)/INDEX(Fixed_Assets!$J$2:$J$201,$AB201),IF($Z201="F",INDEX(Workforce!$F$2:$F$151,MATCH(INDEX(FTE_Allocation!$A$2:$A$201,$AB201),Workforce!$A$2:$A$151,0))*N(INDEX(FTE_Allocation!$F$2:$H$201,$AB201,$AC201)),"")))</f>
        <v/>
      </c>
    </row>
    <row r="202">
      <c r="A202" s="7">
        <f>IF($Z202="","",$AD202)</f>
        <v/>
      </c>
      <c r="B202" s="7">
        <f>IF($Z202="C",INDEX(Contracts!$D$2:$D$151,$AB202)&amp;"",IF($Z202="A",INDEX(Fixed_Assets!$C$2:$C$201,$AB202)&amp;"",IF($Z202="F",INDEX(Workforce!$B$2:$B$151,MATCH(INDEX(FTE_Allocation!$A$2:$A$201,$AB202),Workforce!$A$2:$A$151,0))&amp;"","")))</f>
        <v/>
      </c>
      <c r="C202" s="7">
        <f>IF($Z202="C",INDEX(Contracts!$E$2:$E$151,$AB202)&amp;"",IF($Z202="A",INDEX(Fixed_Assets!$D$2:$D$201,$AB202)&amp;"",IF($Z202="F",INDEX(FTE_Allocation!$C$2:$C$201,$AB202)&amp;"","")))</f>
        <v/>
      </c>
      <c r="D202" s="7">
        <f>IF($Z202="C",INDEX(Contracts!$B$2:$B$151,$AB202)&amp;"",IF($Z202="A",INDEX(Fixed_Assets!$B$2:$B$201,$AB202)&amp;"",IF($Z202="F",INDEX(FTE_Allocation!$B$2:$B$201,$AB202)&amp;"","")))</f>
        <v/>
      </c>
      <c r="E202" s="7">
        <f>IF($Z202="C",INDEX(Contracts!$P$2:$P$151,$AB202)&amp;"",IF($Z202="A",INDEX(Fixed_Assets!$K$2:$K$201,$AB202)&amp;"",IF($Z202="F",IF(INDEX(FTE_Allocation!$D$2:$D$201,$AB202)="PROJECT",IFERROR(INDEX(Projects!$D:$D,MATCH(INDEX(FTE_Allocation!$E$2:$E$201,$AB202),Projects!$A:$A,0))&amp;"","#PROJECT?"),INDEX(FTE_Allocation!$E$2:$E$201,$AB202)&amp;""),"")))</f>
        <v/>
      </c>
      <c r="F202" s="7">
        <f>IF($Z202="C",INDEX(Contracts!$Q$2:$Q$151,$AB202)&amp;"",IF($Z202="A",INDEX(Fixed_Assets!$L$2:$L$201,$AB202)&amp;"",IF($Z202="F",INDEX(Workforce!$K$2:$K$151,MATCH(INDEX(FTE_Allocation!$A$2:$A$201,$AB202),Workforce!$A$2:$A$151,0))&amp;"","")))</f>
        <v/>
      </c>
      <c r="G202" s="7">
        <f>IF($Z202="C",INDEX(Contracts!$F$2:$F$151,$AB202)&amp;" / "&amp;INDEX(Contracts!$G$2:$G$151,$AB202),IF($Z202="A",INDEX(Fixed_Assets!$E$2:$E$201,$AB202)&amp;"",IF($Z202="F","Personnel "&amp;INDEX(FTE_Allocation!$A$2:$A$201,$AB202)&amp;IF(INDEX(FTE_Allocation!$D$2:$D$201,$AB202)="PROJECT"," ("&amp;INDEX(FTE_Allocation!$E$2:$E$201,$AB202)&amp;")",""),"")))</f>
        <v/>
      </c>
      <c r="H202" s="7">
        <f>IF($Z202="C","CONTRACT",IF($Z202="A","ASSET",IF($Z202="F","WORKFORCE","")))</f>
        <v/>
      </c>
      <c r="I202" s="7">
        <f>IF($Z202="C",INDEX(Contracts!$L$2:$L$151,$AB202)&amp;"",IF($Z202="A",INDEX(Fixed_Assets!$I$2:$I$201,$AB202)&amp;"",IF($Z202="F",INDEX(Workforce!$G$2:$G$151,MATCH(INDEX(FTE_Allocation!$A$2:$A$201,$AB202),Workforce!$A$2:$A$151,0))&amp;"","")))</f>
        <v/>
      </c>
      <c r="J202" s="18">
        <f>IF($Z202="","",IF(AND(DATE($AD202,1,1)&gt;=$AE202,DATE($AD202,1,1)&lt;=$AF202),ROUND($AG202,2),0))</f>
        <v/>
      </c>
      <c r="K202" s="18">
        <f>IF($Z202="","",IF(AND(DATE($AD202,2,1)&gt;=$AE202,DATE($AD202,2,1)&lt;=$AF202),ROUND($AG202,2),0))</f>
        <v/>
      </c>
      <c r="L202" s="18">
        <f>IF($Z202="","",IF(AND(DATE($AD202,3,1)&gt;=$AE202,DATE($AD202,3,1)&lt;=$AF202),ROUND($AG202,2),0))</f>
        <v/>
      </c>
      <c r="M202" s="18">
        <f>IF($Z202="","",IF(AND(DATE($AD202,4,1)&gt;=$AE202,DATE($AD202,4,1)&lt;=$AF202),ROUND($AG202,2),0))</f>
        <v/>
      </c>
      <c r="N202" s="18">
        <f>IF($Z202="","",IF(AND(DATE($AD202,5,1)&gt;=$AE202,DATE($AD202,5,1)&lt;=$AF202),ROUND($AG202,2),0))</f>
        <v/>
      </c>
      <c r="O202" s="18">
        <f>IF($Z202="","",IF(AND(DATE($AD202,6,1)&gt;=$AE202,DATE($AD202,6,1)&lt;=$AF202),ROUND($AG202,2),0))</f>
        <v/>
      </c>
      <c r="P202" s="18">
        <f>IF($Z202="","",IF(AND(DATE($AD202,7,1)&gt;=$AE202,DATE($AD202,7,1)&lt;=$AF202),ROUND($AG202,2),0))</f>
        <v/>
      </c>
      <c r="Q202" s="18">
        <f>IF($Z202="","",IF(AND(DATE($AD202,8,1)&gt;=$AE202,DATE($AD202,8,1)&lt;=$AF202),ROUND($AG202,2),0))</f>
        <v/>
      </c>
      <c r="R202" s="18">
        <f>IF($Z202="","",IF(AND(DATE($AD202,9,1)&gt;=$AE202,DATE($AD202,9,1)&lt;=$AF202),ROUND($AG202,2),0))</f>
        <v/>
      </c>
      <c r="S202" s="18">
        <f>IF($Z202="","",IF(AND(DATE($AD202,10,1)&gt;=$AE202,DATE($AD202,10,1)&lt;=$AF202),ROUND($AG202,2),0))</f>
        <v/>
      </c>
      <c r="T202" s="18">
        <f>IF($Z202="","",IF(AND(DATE($AD202,11,1)&gt;=$AE202,DATE($AD202,11,1)&lt;=$AF202),ROUND($AG202,2),0))</f>
        <v/>
      </c>
      <c r="U202" s="18">
        <f>IF($Z202="","",IF(AND(DATE($AD202,12,1)&gt;=$AE202,DATE($AD202,12,1)&lt;=$AF202),ROUND($AG202,2),0))</f>
        <v/>
      </c>
      <c r="V202" s="7">
        <f>IF($Z202="C","Generated from "&amp;INDEX(Contracts!$A$2:$A$151,$AB202),IF($Z202="A","Generated from "&amp;INDEX(Fixed_Assets!$A$2:$A$201,$AB202),IF($Z202="F","Generated from "&amp;INDEX(FTE_Allocation!$A$2:$A$201,$AB202),"")))</f>
        <v/>
      </c>
      <c r="X202" s="19">
        <f>IF($Z202="","",SUM(J202:U202))</f>
        <v/>
      </c>
      <c r="Y202" s="20">
        <f>ROW()-1</f>
        <v/>
      </c>
      <c r="Z202" s="20">
        <f>IF($Y202&lt;=Settings!$B$4*3,"C",IF($Y202&lt;=(Settings!$B$4+Settings!$B$5)*3,"A",IF($Y202&lt;=(Settings!$B$4+Settings!$B$5+Settings!$B$6)*3,"F","")))</f>
        <v/>
      </c>
      <c r="AA202" s="20">
        <f>IF($Z202="C",$Y202,IF($Z202="A",$Y202-Settings!$B$4*3,IF($Z202="F",$Y202-(Settings!$B$4+Settings!$B$5)*3,"")))</f>
        <v/>
      </c>
      <c r="AB202" s="20">
        <f>IF($Z202="","",INT(($AA202-1)/3)+1)</f>
        <v/>
      </c>
      <c r="AC202" s="20">
        <f>IF($Z202="","",MOD($AA202-1,3)+1)</f>
        <v/>
      </c>
      <c r="AD202" s="20">
        <f>IF($Z202="","",Settings!$B$2+$AC202-1)</f>
        <v/>
      </c>
      <c r="AE202" s="21">
        <f>IF($Z202="C",DATE(YEAR(INDEX(Contracts!$J$2:$J$151,$AB202)),MONTH(INDEX(Contracts!$J$2:$J$151,$AB202)),1),IF($Z202="A",DATE(YEAR(INDEX(Fixed_Assets!$G$2:$G$201,$AB202)),MONTH(INDEX(Fixed_Assets!$G$2:$G$201,$AB202)),1),IF($Z202="F",DATE(YEAR(MAX(N(INDEX(Workforce!$I$2:$I$151,MATCH(INDEX(FTE_Allocation!$A$2:$A$201,$AB202),Workforce!$A$2:$A$151,0))),N(INDEX(FTE_Allocation!$I$2:$I$201,$AB202)))),MONTH(MAX(N(INDEX(Workforce!$I$2:$I$151,MATCH(INDEX(FTE_Allocation!$A$2:$A$201,$AB202),Workforce!$A$2:$A$151,0))),N(INDEX(FTE_Allocation!$I$2:$I$201,$AB202)))),1),"")))</f>
        <v/>
      </c>
      <c r="AF202" s="21">
        <f>IF($Z202="C",IF(INDEX(Contracts!$I$2:$I$151,$AB202)="PREPAID",EDATE(DATE(YEAR(INDEX(Contracts!$J$2:$J$151,$AB202)),MONTH(INDEX(Contracts!$J$2:$J$151,$AB202)),1),IF(INDEX(Contracts!$N$2:$N$151,$AB202)="",12,INDEX(Contracts!$N$2:$N$151,$AB202))-1),IF(INDEX(Contracts!$I$2:$I$151,$AB202)="MONTHLY",IF(INDEX(Contracts!$K$2:$K$151,$AB202)="",2958101,INDEX(Contracts!$K$2:$K$151,$AB202)),0)),IF($Z202="A",EDATE(DATE(YEAR(INDEX(Fixed_Assets!$G$2:$G$201,$AB202)),MONTH(INDEX(Fixed_Assets!$G$2:$G$201,$AB202)),1),INDEX(Fixed_Assets!$J$2:$J$201,$AB202)-1),IF($Z202="F",MIN(IF(INDEX(Workforce!$J$2:$J$151,MATCH(INDEX(FTE_Allocation!$A$2:$A$201,$AB202),Workforce!$A$2:$A$151,0))="",2958101,INDEX(Workforce!$J$2:$J$151,MATCH(INDEX(FTE_Allocation!$A$2:$A$201,$AB202),Workforce!$A$2:$A$151,0))),IF(INDEX(FTE_Allocation!$J$2:$J$201,$AB202)="",2958101,INDEX(FTE_Allocation!$J$2:$J$201,$AB202))),"")))</f>
        <v/>
      </c>
      <c r="AG202" s="19">
        <f>IF($Z202="C",IF(INDEX(Contracts!$I$2:$I$151,$AB202)="PREPAID",INDEX(Contracts!$M$2:$M$151,$AB202)/IF(INDEX(Contracts!$N$2:$N$151,$AB202)="",12,INDEX(Contracts!$N$2:$N$151,$AB202)),IF(INDEX(Contracts!$I$2:$I$151,$AB202)="MONTHLY",INDEX(Contracts!$M$2:$M$151,$AB202),0))*(1-N(INDEX(Contracts!$O$2:$O$151,$AB202))),IF($Z202="A",INDEX(Fixed_Assets!$H$2:$H$201,$AB202)/INDEX(Fixed_Assets!$J$2:$J$201,$AB202),IF($Z202="F",INDEX(Workforce!$F$2:$F$151,MATCH(INDEX(FTE_Allocation!$A$2:$A$201,$AB202),Workforce!$A$2:$A$151,0))*N(INDEX(FTE_Allocation!$F$2:$H$201,$AB202,$AC202)),"")))</f>
        <v/>
      </c>
    </row>
    <row r="203">
      <c r="A203" s="7">
        <f>IF($Z203="","",$AD203)</f>
        <v/>
      </c>
      <c r="B203" s="7">
        <f>IF($Z203="C",INDEX(Contracts!$D$2:$D$151,$AB203)&amp;"",IF($Z203="A",INDEX(Fixed_Assets!$C$2:$C$201,$AB203)&amp;"",IF($Z203="F",INDEX(Workforce!$B$2:$B$151,MATCH(INDEX(FTE_Allocation!$A$2:$A$201,$AB203),Workforce!$A$2:$A$151,0))&amp;"","")))</f>
        <v/>
      </c>
      <c r="C203" s="7">
        <f>IF($Z203="C",INDEX(Contracts!$E$2:$E$151,$AB203)&amp;"",IF($Z203="A",INDEX(Fixed_Assets!$D$2:$D$201,$AB203)&amp;"",IF($Z203="F",INDEX(FTE_Allocation!$C$2:$C$201,$AB203)&amp;"","")))</f>
        <v/>
      </c>
      <c r="D203" s="7">
        <f>IF($Z203="C",INDEX(Contracts!$B$2:$B$151,$AB203)&amp;"",IF($Z203="A",INDEX(Fixed_Assets!$B$2:$B$201,$AB203)&amp;"",IF($Z203="F",INDEX(FTE_Allocation!$B$2:$B$201,$AB203)&amp;"","")))</f>
        <v/>
      </c>
      <c r="E203" s="7">
        <f>IF($Z203="C",INDEX(Contracts!$P$2:$P$151,$AB203)&amp;"",IF($Z203="A",INDEX(Fixed_Assets!$K$2:$K$201,$AB203)&amp;"",IF($Z203="F",IF(INDEX(FTE_Allocation!$D$2:$D$201,$AB203)="PROJECT",IFERROR(INDEX(Projects!$D:$D,MATCH(INDEX(FTE_Allocation!$E$2:$E$201,$AB203),Projects!$A:$A,0))&amp;"","#PROJECT?"),INDEX(FTE_Allocation!$E$2:$E$201,$AB203)&amp;""),"")))</f>
        <v/>
      </c>
      <c r="F203" s="7">
        <f>IF($Z203="C",INDEX(Contracts!$Q$2:$Q$151,$AB203)&amp;"",IF($Z203="A",INDEX(Fixed_Assets!$L$2:$L$201,$AB203)&amp;"",IF($Z203="F",INDEX(Workforce!$K$2:$K$151,MATCH(INDEX(FTE_Allocation!$A$2:$A$201,$AB203),Workforce!$A$2:$A$151,0))&amp;"","")))</f>
        <v/>
      </c>
      <c r="G203" s="7">
        <f>IF($Z203="C",INDEX(Contracts!$F$2:$F$151,$AB203)&amp;" / "&amp;INDEX(Contracts!$G$2:$G$151,$AB203),IF($Z203="A",INDEX(Fixed_Assets!$E$2:$E$201,$AB203)&amp;"",IF($Z203="F","Personnel "&amp;INDEX(FTE_Allocation!$A$2:$A$201,$AB203)&amp;IF(INDEX(FTE_Allocation!$D$2:$D$201,$AB203)="PROJECT"," ("&amp;INDEX(FTE_Allocation!$E$2:$E$201,$AB203)&amp;")",""),"")))</f>
        <v/>
      </c>
      <c r="H203" s="7">
        <f>IF($Z203="C","CONTRACT",IF($Z203="A","ASSET",IF($Z203="F","WORKFORCE","")))</f>
        <v/>
      </c>
      <c r="I203" s="7">
        <f>IF($Z203="C",INDEX(Contracts!$L$2:$L$151,$AB203)&amp;"",IF($Z203="A",INDEX(Fixed_Assets!$I$2:$I$201,$AB203)&amp;"",IF($Z203="F",INDEX(Workforce!$G$2:$G$151,MATCH(INDEX(FTE_Allocation!$A$2:$A$201,$AB203),Workforce!$A$2:$A$151,0))&amp;"","")))</f>
        <v/>
      </c>
      <c r="J203" s="18">
        <f>IF($Z203="","",IF(AND(DATE($AD203,1,1)&gt;=$AE203,DATE($AD203,1,1)&lt;=$AF203),ROUND($AG203,2),0))</f>
        <v/>
      </c>
      <c r="K203" s="18">
        <f>IF($Z203="","",IF(AND(DATE($AD203,2,1)&gt;=$AE203,DATE($AD203,2,1)&lt;=$AF203),ROUND($AG203,2),0))</f>
        <v/>
      </c>
      <c r="L203" s="18">
        <f>IF($Z203="","",IF(AND(DATE($AD203,3,1)&gt;=$AE203,DATE($AD203,3,1)&lt;=$AF203),ROUND($AG203,2),0))</f>
        <v/>
      </c>
      <c r="M203" s="18">
        <f>IF($Z203="","",IF(AND(DATE($AD203,4,1)&gt;=$AE203,DATE($AD203,4,1)&lt;=$AF203),ROUND($AG203,2),0))</f>
        <v/>
      </c>
      <c r="N203" s="18">
        <f>IF($Z203="","",IF(AND(DATE($AD203,5,1)&gt;=$AE203,DATE($AD203,5,1)&lt;=$AF203),ROUND($AG203,2),0))</f>
        <v/>
      </c>
      <c r="O203" s="18">
        <f>IF($Z203="","",IF(AND(DATE($AD203,6,1)&gt;=$AE203,DATE($AD203,6,1)&lt;=$AF203),ROUND($AG203,2),0))</f>
        <v/>
      </c>
      <c r="P203" s="18">
        <f>IF($Z203="","",IF(AND(DATE($AD203,7,1)&gt;=$AE203,DATE($AD203,7,1)&lt;=$AF203),ROUND($AG203,2),0))</f>
        <v/>
      </c>
      <c r="Q203" s="18">
        <f>IF($Z203="","",IF(AND(DATE($AD203,8,1)&gt;=$AE203,DATE($AD203,8,1)&lt;=$AF203),ROUND($AG203,2),0))</f>
        <v/>
      </c>
      <c r="R203" s="18">
        <f>IF($Z203="","",IF(AND(DATE($AD203,9,1)&gt;=$AE203,DATE($AD203,9,1)&lt;=$AF203),ROUND($AG203,2),0))</f>
        <v/>
      </c>
      <c r="S203" s="18">
        <f>IF($Z203="","",IF(AND(DATE($AD203,10,1)&gt;=$AE203,DATE($AD203,10,1)&lt;=$AF203),ROUND($AG203,2),0))</f>
        <v/>
      </c>
      <c r="T203" s="18">
        <f>IF($Z203="","",IF(AND(DATE($AD203,11,1)&gt;=$AE203,DATE($AD203,11,1)&lt;=$AF203),ROUND($AG203,2),0))</f>
        <v/>
      </c>
      <c r="U203" s="18">
        <f>IF($Z203="","",IF(AND(DATE($AD203,12,1)&gt;=$AE203,DATE($AD203,12,1)&lt;=$AF203),ROUND($AG203,2),0))</f>
        <v/>
      </c>
      <c r="V203" s="7">
        <f>IF($Z203="C","Generated from "&amp;INDEX(Contracts!$A$2:$A$151,$AB203),IF($Z203="A","Generated from "&amp;INDEX(Fixed_Assets!$A$2:$A$201,$AB203),IF($Z203="F","Generated from "&amp;INDEX(FTE_Allocation!$A$2:$A$201,$AB203),"")))</f>
        <v/>
      </c>
      <c r="X203" s="19">
        <f>IF($Z203="","",SUM(J203:U203))</f>
        <v/>
      </c>
      <c r="Y203" s="20">
        <f>ROW()-1</f>
        <v/>
      </c>
      <c r="Z203" s="20">
        <f>IF($Y203&lt;=Settings!$B$4*3,"C",IF($Y203&lt;=(Settings!$B$4+Settings!$B$5)*3,"A",IF($Y203&lt;=(Settings!$B$4+Settings!$B$5+Settings!$B$6)*3,"F","")))</f>
        <v/>
      </c>
      <c r="AA203" s="20">
        <f>IF($Z203="C",$Y203,IF($Z203="A",$Y203-Settings!$B$4*3,IF($Z203="F",$Y203-(Settings!$B$4+Settings!$B$5)*3,"")))</f>
        <v/>
      </c>
      <c r="AB203" s="20">
        <f>IF($Z203="","",INT(($AA203-1)/3)+1)</f>
        <v/>
      </c>
      <c r="AC203" s="20">
        <f>IF($Z203="","",MOD($AA203-1,3)+1)</f>
        <v/>
      </c>
      <c r="AD203" s="20">
        <f>IF($Z203="","",Settings!$B$2+$AC203-1)</f>
        <v/>
      </c>
      <c r="AE203" s="21">
        <f>IF($Z203="C",DATE(YEAR(INDEX(Contracts!$J$2:$J$151,$AB203)),MONTH(INDEX(Contracts!$J$2:$J$151,$AB203)),1),IF($Z203="A",DATE(YEAR(INDEX(Fixed_Assets!$G$2:$G$201,$AB203)),MONTH(INDEX(Fixed_Assets!$G$2:$G$201,$AB203)),1),IF($Z203="F",DATE(YEAR(MAX(N(INDEX(Workforce!$I$2:$I$151,MATCH(INDEX(FTE_Allocation!$A$2:$A$201,$AB203),Workforce!$A$2:$A$151,0))),N(INDEX(FTE_Allocation!$I$2:$I$201,$AB203)))),MONTH(MAX(N(INDEX(Workforce!$I$2:$I$151,MATCH(INDEX(FTE_Allocation!$A$2:$A$201,$AB203),Workforce!$A$2:$A$151,0))),N(INDEX(FTE_Allocation!$I$2:$I$201,$AB203)))),1),"")))</f>
        <v/>
      </c>
      <c r="AF203" s="21">
        <f>IF($Z203="C",IF(INDEX(Contracts!$I$2:$I$151,$AB203)="PREPAID",EDATE(DATE(YEAR(INDEX(Contracts!$J$2:$J$151,$AB203)),MONTH(INDEX(Contracts!$J$2:$J$151,$AB203)),1),IF(INDEX(Contracts!$N$2:$N$151,$AB203)="",12,INDEX(Contracts!$N$2:$N$151,$AB203))-1),IF(INDEX(Contracts!$I$2:$I$151,$AB203)="MONTHLY",IF(INDEX(Contracts!$K$2:$K$151,$AB203)="",2958101,INDEX(Contracts!$K$2:$K$151,$AB203)),0)),IF($Z203="A",EDATE(DATE(YEAR(INDEX(Fixed_Assets!$G$2:$G$201,$AB203)),MONTH(INDEX(Fixed_Assets!$G$2:$G$201,$AB203)),1),INDEX(Fixed_Assets!$J$2:$J$201,$AB203)-1),IF($Z203="F",MIN(IF(INDEX(Workforce!$J$2:$J$151,MATCH(INDEX(FTE_Allocation!$A$2:$A$201,$AB203),Workforce!$A$2:$A$151,0))="",2958101,INDEX(Workforce!$J$2:$J$151,MATCH(INDEX(FTE_Allocation!$A$2:$A$201,$AB203),Workforce!$A$2:$A$151,0))),IF(INDEX(FTE_Allocation!$J$2:$J$201,$AB203)="",2958101,INDEX(FTE_Allocation!$J$2:$J$201,$AB203))),"")))</f>
        <v/>
      </c>
      <c r="AG203" s="19">
        <f>IF($Z203="C",IF(INDEX(Contracts!$I$2:$I$151,$AB203)="PREPAID",INDEX(Contracts!$M$2:$M$151,$AB203)/IF(INDEX(Contracts!$N$2:$N$151,$AB203)="",12,INDEX(Contracts!$N$2:$N$151,$AB203)),IF(INDEX(Contracts!$I$2:$I$151,$AB203)="MONTHLY",INDEX(Contracts!$M$2:$M$151,$AB203),0))*(1-N(INDEX(Contracts!$O$2:$O$151,$AB203))),IF($Z203="A",INDEX(Fixed_Assets!$H$2:$H$201,$AB203)/INDEX(Fixed_Assets!$J$2:$J$201,$AB203),IF($Z203="F",INDEX(Workforce!$F$2:$F$151,MATCH(INDEX(FTE_Allocation!$A$2:$A$201,$AB203),Workforce!$A$2:$A$151,0))*N(INDEX(FTE_Allocation!$F$2:$H$201,$AB203,$AC203)),"")))</f>
        <v/>
      </c>
    </row>
    <row r="204">
      <c r="A204" s="7">
        <f>IF($Z204="","",$AD204)</f>
        <v/>
      </c>
      <c r="B204" s="7">
        <f>IF($Z204="C",INDEX(Contracts!$D$2:$D$151,$AB204)&amp;"",IF($Z204="A",INDEX(Fixed_Assets!$C$2:$C$201,$AB204)&amp;"",IF($Z204="F",INDEX(Workforce!$B$2:$B$151,MATCH(INDEX(FTE_Allocation!$A$2:$A$201,$AB204),Workforce!$A$2:$A$151,0))&amp;"","")))</f>
        <v/>
      </c>
      <c r="C204" s="7">
        <f>IF($Z204="C",INDEX(Contracts!$E$2:$E$151,$AB204)&amp;"",IF($Z204="A",INDEX(Fixed_Assets!$D$2:$D$201,$AB204)&amp;"",IF($Z204="F",INDEX(FTE_Allocation!$C$2:$C$201,$AB204)&amp;"","")))</f>
        <v/>
      </c>
      <c r="D204" s="7">
        <f>IF($Z204="C",INDEX(Contracts!$B$2:$B$151,$AB204)&amp;"",IF($Z204="A",INDEX(Fixed_Assets!$B$2:$B$201,$AB204)&amp;"",IF($Z204="F",INDEX(FTE_Allocation!$B$2:$B$201,$AB204)&amp;"","")))</f>
        <v/>
      </c>
      <c r="E204" s="7">
        <f>IF($Z204="C",INDEX(Contracts!$P$2:$P$151,$AB204)&amp;"",IF($Z204="A",INDEX(Fixed_Assets!$K$2:$K$201,$AB204)&amp;"",IF($Z204="F",IF(INDEX(FTE_Allocation!$D$2:$D$201,$AB204)="PROJECT",IFERROR(INDEX(Projects!$D:$D,MATCH(INDEX(FTE_Allocation!$E$2:$E$201,$AB204),Projects!$A:$A,0))&amp;"","#PROJECT?"),INDEX(FTE_Allocation!$E$2:$E$201,$AB204)&amp;""),"")))</f>
        <v/>
      </c>
      <c r="F204" s="7">
        <f>IF($Z204="C",INDEX(Contracts!$Q$2:$Q$151,$AB204)&amp;"",IF($Z204="A",INDEX(Fixed_Assets!$L$2:$L$201,$AB204)&amp;"",IF($Z204="F",INDEX(Workforce!$K$2:$K$151,MATCH(INDEX(FTE_Allocation!$A$2:$A$201,$AB204),Workforce!$A$2:$A$151,0))&amp;"","")))</f>
        <v/>
      </c>
      <c r="G204" s="7">
        <f>IF($Z204="C",INDEX(Contracts!$F$2:$F$151,$AB204)&amp;" / "&amp;INDEX(Contracts!$G$2:$G$151,$AB204),IF($Z204="A",INDEX(Fixed_Assets!$E$2:$E$201,$AB204)&amp;"",IF($Z204="F","Personnel "&amp;INDEX(FTE_Allocation!$A$2:$A$201,$AB204)&amp;IF(INDEX(FTE_Allocation!$D$2:$D$201,$AB204)="PROJECT"," ("&amp;INDEX(FTE_Allocation!$E$2:$E$201,$AB204)&amp;")",""),"")))</f>
        <v/>
      </c>
      <c r="H204" s="7">
        <f>IF($Z204="C","CONTRACT",IF($Z204="A","ASSET",IF($Z204="F","WORKFORCE","")))</f>
        <v/>
      </c>
      <c r="I204" s="7">
        <f>IF($Z204="C",INDEX(Contracts!$L$2:$L$151,$AB204)&amp;"",IF($Z204="A",INDEX(Fixed_Assets!$I$2:$I$201,$AB204)&amp;"",IF($Z204="F",INDEX(Workforce!$G$2:$G$151,MATCH(INDEX(FTE_Allocation!$A$2:$A$201,$AB204),Workforce!$A$2:$A$151,0))&amp;"","")))</f>
        <v/>
      </c>
      <c r="J204" s="18">
        <f>IF($Z204="","",IF(AND(DATE($AD204,1,1)&gt;=$AE204,DATE($AD204,1,1)&lt;=$AF204),ROUND($AG204,2),0))</f>
        <v/>
      </c>
      <c r="K204" s="18">
        <f>IF($Z204="","",IF(AND(DATE($AD204,2,1)&gt;=$AE204,DATE($AD204,2,1)&lt;=$AF204),ROUND($AG204,2),0))</f>
        <v/>
      </c>
      <c r="L204" s="18">
        <f>IF($Z204="","",IF(AND(DATE($AD204,3,1)&gt;=$AE204,DATE($AD204,3,1)&lt;=$AF204),ROUND($AG204,2),0))</f>
        <v/>
      </c>
      <c r="M204" s="18">
        <f>IF($Z204="","",IF(AND(DATE($AD204,4,1)&gt;=$AE204,DATE($AD204,4,1)&lt;=$AF204),ROUND($AG204,2),0))</f>
        <v/>
      </c>
      <c r="N204" s="18">
        <f>IF($Z204="","",IF(AND(DATE($AD204,5,1)&gt;=$AE204,DATE($AD204,5,1)&lt;=$AF204),ROUND($AG204,2),0))</f>
        <v/>
      </c>
      <c r="O204" s="18">
        <f>IF($Z204="","",IF(AND(DATE($AD204,6,1)&gt;=$AE204,DATE($AD204,6,1)&lt;=$AF204),ROUND($AG204,2),0))</f>
        <v/>
      </c>
      <c r="P204" s="18">
        <f>IF($Z204="","",IF(AND(DATE($AD204,7,1)&gt;=$AE204,DATE($AD204,7,1)&lt;=$AF204),ROUND($AG204,2),0))</f>
        <v/>
      </c>
      <c r="Q204" s="18">
        <f>IF($Z204="","",IF(AND(DATE($AD204,8,1)&gt;=$AE204,DATE($AD204,8,1)&lt;=$AF204),ROUND($AG204,2),0))</f>
        <v/>
      </c>
      <c r="R204" s="18">
        <f>IF($Z204="","",IF(AND(DATE($AD204,9,1)&gt;=$AE204,DATE($AD204,9,1)&lt;=$AF204),ROUND($AG204,2),0))</f>
        <v/>
      </c>
      <c r="S204" s="18">
        <f>IF($Z204="","",IF(AND(DATE($AD204,10,1)&gt;=$AE204,DATE($AD204,10,1)&lt;=$AF204),ROUND($AG204,2),0))</f>
        <v/>
      </c>
      <c r="T204" s="18">
        <f>IF($Z204="","",IF(AND(DATE($AD204,11,1)&gt;=$AE204,DATE($AD204,11,1)&lt;=$AF204),ROUND($AG204,2),0))</f>
        <v/>
      </c>
      <c r="U204" s="18">
        <f>IF($Z204="","",IF(AND(DATE($AD204,12,1)&gt;=$AE204,DATE($AD204,12,1)&lt;=$AF204),ROUND($AG204,2),0))</f>
        <v/>
      </c>
      <c r="V204" s="7">
        <f>IF($Z204="C","Generated from "&amp;INDEX(Contracts!$A$2:$A$151,$AB204),IF($Z204="A","Generated from "&amp;INDEX(Fixed_Assets!$A$2:$A$201,$AB204),IF($Z204="F","Generated from "&amp;INDEX(FTE_Allocation!$A$2:$A$201,$AB204),"")))</f>
        <v/>
      </c>
      <c r="X204" s="19">
        <f>IF($Z204="","",SUM(J204:U204))</f>
        <v/>
      </c>
      <c r="Y204" s="20">
        <f>ROW()-1</f>
        <v/>
      </c>
      <c r="Z204" s="20">
        <f>IF($Y204&lt;=Settings!$B$4*3,"C",IF($Y204&lt;=(Settings!$B$4+Settings!$B$5)*3,"A",IF($Y204&lt;=(Settings!$B$4+Settings!$B$5+Settings!$B$6)*3,"F","")))</f>
        <v/>
      </c>
      <c r="AA204" s="20">
        <f>IF($Z204="C",$Y204,IF($Z204="A",$Y204-Settings!$B$4*3,IF($Z204="F",$Y204-(Settings!$B$4+Settings!$B$5)*3,"")))</f>
        <v/>
      </c>
      <c r="AB204" s="20">
        <f>IF($Z204="","",INT(($AA204-1)/3)+1)</f>
        <v/>
      </c>
      <c r="AC204" s="20">
        <f>IF($Z204="","",MOD($AA204-1,3)+1)</f>
        <v/>
      </c>
      <c r="AD204" s="20">
        <f>IF($Z204="","",Settings!$B$2+$AC204-1)</f>
        <v/>
      </c>
      <c r="AE204" s="21">
        <f>IF($Z204="C",DATE(YEAR(INDEX(Contracts!$J$2:$J$151,$AB204)),MONTH(INDEX(Contracts!$J$2:$J$151,$AB204)),1),IF($Z204="A",DATE(YEAR(INDEX(Fixed_Assets!$G$2:$G$201,$AB204)),MONTH(INDEX(Fixed_Assets!$G$2:$G$201,$AB204)),1),IF($Z204="F",DATE(YEAR(MAX(N(INDEX(Workforce!$I$2:$I$151,MATCH(INDEX(FTE_Allocation!$A$2:$A$201,$AB204),Workforce!$A$2:$A$151,0))),N(INDEX(FTE_Allocation!$I$2:$I$201,$AB204)))),MONTH(MAX(N(INDEX(Workforce!$I$2:$I$151,MATCH(INDEX(FTE_Allocation!$A$2:$A$201,$AB204),Workforce!$A$2:$A$151,0))),N(INDEX(FTE_Allocation!$I$2:$I$201,$AB204)))),1),"")))</f>
        <v/>
      </c>
      <c r="AF204" s="21">
        <f>IF($Z204="C",IF(INDEX(Contracts!$I$2:$I$151,$AB204)="PREPAID",EDATE(DATE(YEAR(INDEX(Contracts!$J$2:$J$151,$AB204)),MONTH(INDEX(Contracts!$J$2:$J$151,$AB204)),1),IF(INDEX(Contracts!$N$2:$N$151,$AB204)="",12,INDEX(Contracts!$N$2:$N$151,$AB204))-1),IF(INDEX(Contracts!$I$2:$I$151,$AB204)="MONTHLY",IF(INDEX(Contracts!$K$2:$K$151,$AB204)="",2958101,INDEX(Contracts!$K$2:$K$151,$AB204)),0)),IF($Z204="A",EDATE(DATE(YEAR(INDEX(Fixed_Assets!$G$2:$G$201,$AB204)),MONTH(INDEX(Fixed_Assets!$G$2:$G$201,$AB204)),1),INDEX(Fixed_Assets!$J$2:$J$201,$AB204)-1),IF($Z204="F",MIN(IF(INDEX(Workforce!$J$2:$J$151,MATCH(INDEX(FTE_Allocation!$A$2:$A$201,$AB204),Workforce!$A$2:$A$151,0))="",2958101,INDEX(Workforce!$J$2:$J$151,MATCH(INDEX(FTE_Allocation!$A$2:$A$201,$AB204),Workforce!$A$2:$A$151,0))),IF(INDEX(FTE_Allocation!$J$2:$J$201,$AB204)="",2958101,INDEX(FTE_Allocation!$J$2:$J$201,$AB204))),"")))</f>
        <v/>
      </c>
      <c r="AG204" s="19">
        <f>IF($Z204="C",IF(INDEX(Contracts!$I$2:$I$151,$AB204)="PREPAID",INDEX(Contracts!$M$2:$M$151,$AB204)/IF(INDEX(Contracts!$N$2:$N$151,$AB204)="",12,INDEX(Contracts!$N$2:$N$151,$AB204)),IF(INDEX(Contracts!$I$2:$I$151,$AB204)="MONTHLY",INDEX(Contracts!$M$2:$M$151,$AB204),0))*(1-N(INDEX(Contracts!$O$2:$O$151,$AB204))),IF($Z204="A",INDEX(Fixed_Assets!$H$2:$H$201,$AB204)/INDEX(Fixed_Assets!$J$2:$J$201,$AB204),IF($Z204="F",INDEX(Workforce!$F$2:$F$151,MATCH(INDEX(FTE_Allocation!$A$2:$A$201,$AB204),Workforce!$A$2:$A$151,0))*N(INDEX(FTE_Allocation!$F$2:$H$201,$AB204,$AC204)),"")))</f>
        <v/>
      </c>
    </row>
    <row r="205">
      <c r="A205" s="7">
        <f>IF($Z205="","",$AD205)</f>
        <v/>
      </c>
      <c r="B205" s="7">
        <f>IF($Z205="C",INDEX(Contracts!$D$2:$D$151,$AB205)&amp;"",IF($Z205="A",INDEX(Fixed_Assets!$C$2:$C$201,$AB205)&amp;"",IF($Z205="F",INDEX(Workforce!$B$2:$B$151,MATCH(INDEX(FTE_Allocation!$A$2:$A$201,$AB205),Workforce!$A$2:$A$151,0))&amp;"","")))</f>
        <v/>
      </c>
      <c r="C205" s="7">
        <f>IF($Z205="C",INDEX(Contracts!$E$2:$E$151,$AB205)&amp;"",IF($Z205="A",INDEX(Fixed_Assets!$D$2:$D$201,$AB205)&amp;"",IF($Z205="F",INDEX(FTE_Allocation!$C$2:$C$201,$AB205)&amp;"","")))</f>
        <v/>
      </c>
      <c r="D205" s="7">
        <f>IF($Z205="C",INDEX(Contracts!$B$2:$B$151,$AB205)&amp;"",IF($Z205="A",INDEX(Fixed_Assets!$B$2:$B$201,$AB205)&amp;"",IF($Z205="F",INDEX(FTE_Allocation!$B$2:$B$201,$AB205)&amp;"","")))</f>
        <v/>
      </c>
      <c r="E205" s="7">
        <f>IF($Z205="C",INDEX(Contracts!$P$2:$P$151,$AB205)&amp;"",IF($Z205="A",INDEX(Fixed_Assets!$K$2:$K$201,$AB205)&amp;"",IF($Z205="F",IF(INDEX(FTE_Allocation!$D$2:$D$201,$AB205)="PROJECT",IFERROR(INDEX(Projects!$D:$D,MATCH(INDEX(FTE_Allocation!$E$2:$E$201,$AB205),Projects!$A:$A,0))&amp;"","#PROJECT?"),INDEX(FTE_Allocation!$E$2:$E$201,$AB205)&amp;""),"")))</f>
        <v/>
      </c>
      <c r="F205" s="7">
        <f>IF($Z205="C",INDEX(Contracts!$Q$2:$Q$151,$AB205)&amp;"",IF($Z205="A",INDEX(Fixed_Assets!$L$2:$L$201,$AB205)&amp;"",IF($Z205="F",INDEX(Workforce!$K$2:$K$151,MATCH(INDEX(FTE_Allocation!$A$2:$A$201,$AB205),Workforce!$A$2:$A$151,0))&amp;"","")))</f>
        <v/>
      </c>
      <c r="G205" s="7">
        <f>IF($Z205="C",INDEX(Contracts!$F$2:$F$151,$AB205)&amp;" / "&amp;INDEX(Contracts!$G$2:$G$151,$AB205),IF($Z205="A",INDEX(Fixed_Assets!$E$2:$E$201,$AB205)&amp;"",IF($Z205="F","Personnel "&amp;INDEX(FTE_Allocation!$A$2:$A$201,$AB205)&amp;IF(INDEX(FTE_Allocation!$D$2:$D$201,$AB205)="PROJECT"," ("&amp;INDEX(FTE_Allocation!$E$2:$E$201,$AB205)&amp;")",""),"")))</f>
        <v/>
      </c>
      <c r="H205" s="7">
        <f>IF($Z205="C","CONTRACT",IF($Z205="A","ASSET",IF($Z205="F","WORKFORCE","")))</f>
        <v/>
      </c>
      <c r="I205" s="7">
        <f>IF($Z205="C",INDEX(Contracts!$L$2:$L$151,$AB205)&amp;"",IF($Z205="A",INDEX(Fixed_Assets!$I$2:$I$201,$AB205)&amp;"",IF($Z205="F",INDEX(Workforce!$G$2:$G$151,MATCH(INDEX(FTE_Allocation!$A$2:$A$201,$AB205),Workforce!$A$2:$A$151,0))&amp;"","")))</f>
        <v/>
      </c>
      <c r="J205" s="18">
        <f>IF($Z205="","",IF(AND(DATE($AD205,1,1)&gt;=$AE205,DATE($AD205,1,1)&lt;=$AF205),ROUND($AG205,2),0))</f>
        <v/>
      </c>
      <c r="K205" s="18">
        <f>IF($Z205="","",IF(AND(DATE($AD205,2,1)&gt;=$AE205,DATE($AD205,2,1)&lt;=$AF205),ROUND($AG205,2),0))</f>
        <v/>
      </c>
      <c r="L205" s="18">
        <f>IF($Z205="","",IF(AND(DATE($AD205,3,1)&gt;=$AE205,DATE($AD205,3,1)&lt;=$AF205),ROUND($AG205,2),0))</f>
        <v/>
      </c>
      <c r="M205" s="18">
        <f>IF($Z205="","",IF(AND(DATE($AD205,4,1)&gt;=$AE205,DATE($AD205,4,1)&lt;=$AF205),ROUND($AG205,2),0))</f>
        <v/>
      </c>
      <c r="N205" s="18">
        <f>IF($Z205="","",IF(AND(DATE($AD205,5,1)&gt;=$AE205,DATE($AD205,5,1)&lt;=$AF205),ROUND($AG205,2),0))</f>
        <v/>
      </c>
      <c r="O205" s="18">
        <f>IF($Z205="","",IF(AND(DATE($AD205,6,1)&gt;=$AE205,DATE($AD205,6,1)&lt;=$AF205),ROUND($AG205,2),0))</f>
        <v/>
      </c>
      <c r="P205" s="18">
        <f>IF($Z205="","",IF(AND(DATE($AD205,7,1)&gt;=$AE205,DATE($AD205,7,1)&lt;=$AF205),ROUND($AG205,2),0))</f>
        <v/>
      </c>
      <c r="Q205" s="18">
        <f>IF($Z205="","",IF(AND(DATE($AD205,8,1)&gt;=$AE205,DATE($AD205,8,1)&lt;=$AF205),ROUND($AG205,2),0))</f>
        <v/>
      </c>
      <c r="R205" s="18">
        <f>IF($Z205="","",IF(AND(DATE($AD205,9,1)&gt;=$AE205,DATE($AD205,9,1)&lt;=$AF205),ROUND($AG205,2),0))</f>
        <v/>
      </c>
      <c r="S205" s="18">
        <f>IF($Z205="","",IF(AND(DATE($AD205,10,1)&gt;=$AE205,DATE($AD205,10,1)&lt;=$AF205),ROUND($AG205,2),0))</f>
        <v/>
      </c>
      <c r="T205" s="18">
        <f>IF($Z205="","",IF(AND(DATE($AD205,11,1)&gt;=$AE205,DATE($AD205,11,1)&lt;=$AF205),ROUND($AG205,2),0))</f>
        <v/>
      </c>
      <c r="U205" s="18">
        <f>IF($Z205="","",IF(AND(DATE($AD205,12,1)&gt;=$AE205,DATE($AD205,12,1)&lt;=$AF205),ROUND($AG205,2),0))</f>
        <v/>
      </c>
      <c r="V205" s="7">
        <f>IF($Z205="C","Generated from "&amp;INDEX(Contracts!$A$2:$A$151,$AB205),IF($Z205="A","Generated from "&amp;INDEX(Fixed_Assets!$A$2:$A$201,$AB205),IF($Z205="F","Generated from "&amp;INDEX(FTE_Allocation!$A$2:$A$201,$AB205),"")))</f>
        <v/>
      </c>
      <c r="X205" s="19">
        <f>IF($Z205="","",SUM(J205:U205))</f>
        <v/>
      </c>
      <c r="Y205" s="20">
        <f>ROW()-1</f>
        <v/>
      </c>
      <c r="Z205" s="20">
        <f>IF($Y205&lt;=Settings!$B$4*3,"C",IF($Y205&lt;=(Settings!$B$4+Settings!$B$5)*3,"A",IF($Y205&lt;=(Settings!$B$4+Settings!$B$5+Settings!$B$6)*3,"F","")))</f>
        <v/>
      </c>
      <c r="AA205" s="20">
        <f>IF($Z205="C",$Y205,IF($Z205="A",$Y205-Settings!$B$4*3,IF($Z205="F",$Y205-(Settings!$B$4+Settings!$B$5)*3,"")))</f>
        <v/>
      </c>
      <c r="AB205" s="20">
        <f>IF($Z205="","",INT(($AA205-1)/3)+1)</f>
        <v/>
      </c>
      <c r="AC205" s="20">
        <f>IF($Z205="","",MOD($AA205-1,3)+1)</f>
        <v/>
      </c>
      <c r="AD205" s="20">
        <f>IF($Z205="","",Settings!$B$2+$AC205-1)</f>
        <v/>
      </c>
      <c r="AE205" s="21">
        <f>IF($Z205="C",DATE(YEAR(INDEX(Contracts!$J$2:$J$151,$AB205)),MONTH(INDEX(Contracts!$J$2:$J$151,$AB205)),1),IF($Z205="A",DATE(YEAR(INDEX(Fixed_Assets!$G$2:$G$201,$AB205)),MONTH(INDEX(Fixed_Assets!$G$2:$G$201,$AB205)),1),IF($Z205="F",DATE(YEAR(MAX(N(INDEX(Workforce!$I$2:$I$151,MATCH(INDEX(FTE_Allocation!$A$2:$A$201,$AB205),Workforce!$A$2:$A$151,0))),N(INDEX(FTE_Allocation!$I$2:$I$201,$AB205)))),MONTH(MAX(N(INDEX(Workforce!$I$2:$I$151,MATCH(INDEX(FTE_Allocation!$A$2:$A$201,$AB205),Workforce!$A$2:$A$151,0))),N(INDEX(FTE_Allocation!$I$2:$I$201,$AB205)))),1),"")))</f>
        <v/>
      </c>
      <c r="AF205" s="21">
        <f>IF($Z205="C",IF(INDEX(Contracts!$I$2:$I$151,$AB205)="PREPAID",EDATE(DATE(YEAR(INDEX(Contracts!$J$2:$J$151,$AB205)),MONTH(INDEX(Contracts!$J$2:$J$151,$AB205)),1),IF(INDEX(Contracts!$N$2:$N$151,$AB205)="",12,INDEX(Contracts!$N$2:$N$151,$AB205))-1),IF(INDEX(Contracts!$I$2:$I$151,$AB205)="MONTHLY",IF(INDEX(Contracts!$K$2:$K$151,$AB205)="",2958101,INDEX(Contracts!$K$2:$K$151,$AB205)),0)),IF($Z205="A",EDATE(DATE(YEAR(INDEX(Fixed_Assets!$G$2:$G$201,$AB205)),MONTH(INDEX(Fixed_Assets!$G$2:$G$201,$AB205)),1),INDEX(Fixed_Assets!$J$2:$J$201,$AB205)-1),IF($Z205="F",MIN(IF(INDEX(Workforce!$J$2:$J$151,MATCH(INDEX(FTE_Allocation!$A$2:$A$201,$AB205),Workforce!$A$2:$A$151,0))="",2958101,INDEX(Workforce!$J$2:$J$151,MATCH(INDEX(FTE_Allocation!$A$2:$A$201,$AB205),Workforce!$A$2:$A$151,0))),IF(INDEX(FTE_Allocation!$J$2:$J$201,$AB205)="",2958101,INDEX(FTE_Allocation!$J$2:$J$201,$AB205))),"")))</f>
        <v/>
      </c>
      <c r="AG205" s="19">
        <f>IF($Z205="C",IF(INDEX(Contracts!$I$2:$I$151,$AB205)="PREPAID",INDEX(Contracts!$M$2:$M$151,$AB205)/IF(INDEX(Contracts!$N$2:$N$151,$AB205)="",12,INDEX(Contracts!$N$2:$N$151,$AB205)),IF(INDEX(Contracts!$I$2:$I$151,$AB205)="MONTHLY",INDEX(Contracts!$M$2:$M$151,$AB205),0))*(1-N(INDEX(Contracts!$O$2:$O$151,$AB205))),IF($Z205="A",INDEX(Fixed_Assets!$H$2:$H$201,$AB205)/INDEX(Fixed_Assets!$J$2:$J$201,$AB205),IF($Z205="F",INDEX(Workforce!$F$2:$F$151,MATCH(INDEX(FTE_Allocation!$A$2:$A$201,$AB205),Workforce!$A$2:$A$151,0))*N(INDEX(FTE_Allocation!$F$2:$H$201,$AB205,$AC205)),"")))</f>
        <v/>
      </c>
    </row>
    <row r="206">
      <c r="A206" s="7">
        <f>IF($Z206="","",$AD206)</f>
        <v/>
      </c>
      <c r="B206" s="7">
        <f>IF($Z206="C",INDEX(Contracts!$D$2:$D$151,$AB206)&amp;"",IF($Z206="A",INDEX(Fixed_Assets!$C$2:$C$201,$AB206)&amp;"",IF($Z206="F",INDEX(Workforce!$B$2:$B$151,MATCH(INDEX(FTE_Allocation!$A$2:$A$201,$AB206),Workforce!$A$2:$A$151,0))&amp;"","")))</f>
        <v/>
      </c>
      <c r="C206" s="7">
        <f>IF($Z206="C",INDEX(Contracts!$E$2:$E$151,$AB206)&amp;"",IF($Z206="A",INDEX(Fixed_Assets!$D$2:$D$201,$AB206)&amp;"",IF($Z206="F",INDEX(FTE_Allocation!$C$2:$C$201,$AB206)&amp;"","")))</f>
        <v/>
      </c>
      <c r="D206" s="7">
        <f>IF($Z206="C",INDEX(Contracts!$B$2:$B$151,$AB206)&amp;"",IF($Z206="A",INDEX(Fixed_Assets!$B$2:$B$201,$AB206)&amp;"",IF($Z206="F",INDEX(FTE_Allocation!$B$2:$B$201,$AB206)&amp;"","")))</f>
        <v/>
      </c>
      <c r="E206" s="7">
        <f>IF($Z206="C",INDEX(Contracts!$P$2:$P$151,$AB206)&amp;"",IF($Z206="A",INDEX(Fixed_Assets!$K$2:$K$201,$AB206)&amp;"",IF($Z206="F",IF(INDEX(FTE_Allocation!$D$2:$D$201,$AB206)="PROJECT",IFERROR(INDEX(Projects!$D:$D,MATCH(INDEX(FTE_Allocation!$E$2:$E$201,$AB206),Projects!$A:$A,0))&amp;"","#PROJECT?"),INDEX(FTE_Allocation!$E$2:$E$201,$AB206)&amp;""),"")))</f>
        <v/>
      </c>
      <c r="F206" s="7">
        <f>IF($Z206="C",INDEX(Contracts!$Q$2:$Q$151,$AB206)&amp;"",IF($Z206="A",INDEX(Fixed_Assets!$L$2:$L$201,$AB206)&amp;"",IF($Z206="F",INDEX(Workforce!$K$2:$K$151,MATCH(INDEX(FTE_Allocation!$A$2:$A$201,$AB206),Workforce!$A$2:$A$151,0))&amp;"","")))</f>
        <v/>
      </c>
      <c r="G206" s="7">
        <f>IF($Z206="C",INDEX(Contracts!$F$2:$F$151,$AB206)&amp;" / "&amp;INDEX(Contracts!$G$2:$G$151,$AB206),IF($Z206="A",INDEX(Fixed_Assets!$E$2:$E$201,$AB206)&amp;"",IF($Z206="F","Personnel "&amp;INDEX(FTE_Allocation!$A$2:$A$201,$AB206)&amp;IF(INDEX(FTE_Allocation!$D$2:$D$201,$AB206)="PROJECT"," ("&amp;INDEX(FTE_Allocation!$E$2:$E$201,$AB206)&amp;")",""),"")))</f>
        <v/>
      </c>
      <c r="H206" s="7">
        <f>IF($Z206="C","CONTRACT",IF($Z206="A","ASSET",IF($Z206="F","WORKFORCE","")))</f>
        <v/>
      </c>
      <c r="I206" s="7">
        <f>IF($Z206="C",INDEX(Contracts!$L$2:$L$151,$AB206)&amp;"",IF($Z206="A",INDEX(Fixed_Assets!$I$2:$I$201,$AB206)&amp;"",IF($Z206="F",INDEX(Workforce!$G$2:$G$151,MATCH(INDEX(FTE_Allocation!$A$2:$A$201,$AB206),Workforce!$A$2:$A$151,0))&amp;"","")))</f>
        <v/>
      </c>
      <c r="J206" s="18">
        <f>IF($Z206="","",IF(AND(DATE($AD206,1,1)&gt;=$AE206,DATE($AD206,1,1)&lt;=$AF206),ROUND($AG206,2),0))</f>
        <v/>
      </c>
      <c r="K206" s="18">
        <f>IF($Z206="","",IF(AND(DATE($AD206,2,1)&gt;=$AE206,DATE($AD206,2,1)&lt;=$AF206),ROUND($AG206,2),0))</f>
        <v/>
      </c>
      <c r="L206" s="18">
        <f>IF($Z206="","",IF(AND(DATE($AD206,3,1)&gt;=$AE206,DATE($AD206,3,1)&lt;=$AF206),ROUND($AG206,2),0))</f>
        <v/>
      </c>
      <c r="M206" s="18">
        <f>IF($Z206="","",IF(AND(DATE($AD206,4,1)&gt;=$AE206,DATE($AD206,4,1)&lt;=$AF206),ROUND($AG206,2),0))</f>
        <v/>
      </c>
      <c r="N206" s="18">
        <f>IF($Z206="","",IF(AND(DATE($AD206,5,1)&gt;=$AE206,DATE($AD206,5,1)&lt;=$AF206),ROUND($AG206,2),0))</f>
        <v/>
      </c>
      <c r="O206" s="18">
        <f>IF($Z206="","",IF(AND(DATE($AD206,6,1)&gt;=$AE206,DATE($AD206,6,1)&lt;=$AF206),ROUND($AG206,2),0))</f>
        <v/>
      </c>
      <c r="P206" s="18">
        <f>IF($Z206="","",IF(AND(DATE($AD206,7,1)&gt;=$AE206,DATE($AD206,7,1)&lt;=$AF206),ROUND($AG206,2),0))</f>
        <v/>
      </c>
      <c r="Q206" s="18">
        <f>IF($Z206="","",IF(AND(DATE($AD206,8,1)&gt;=$AE206,DATE($AD206,8,1)&lt;=$AF206),ROUND($AG206,2),0))</f>
        <v/>
      </c>
      <c r="R206" s="18">
        <f>IF($Z206="","",IF(AND(DATE($AD206,9,1)&gt;=$AE206,DATE($AD206,9,1)&lt;=$AF206),ROUND($AG206,2),0))</f>
        <v/>
      </c>
      <c r="S206" s="18">
        <f>IF($Z206="","",IF(AND(DATE($AD206,10,1)&gt;=$AE206,DATE($AD206,10,1)&lt;=$AF206),ROUND($AG206,2),0))</f>
        <v/>
      </c>
      <c r="T206" s="18">
        <f>IF($Z206="","",IF(AND(DATE($AD206,11,1)&gt;=$AE206,DATE($AD206,11,1)&lt;=$AF206),ROUND($AG206,2),0))</f>
        <v/>
      </c>
      <c r="U206" s="18">
        <f>IF($Z206="","",IF(AND(DATE($AD206,12,1)&gt;=$AE206,DATE($AD206,12,1)&lt;=$AF206),ROUND($AG206,2),0))</f>
        <v/>
      </c>
      <c r="V206" s="7">
        <f>IF($Z206="C","Generated from "&amp;INDEX(Contracts!$A$2:$A$151,$AB206),IF($Z206="A","Generated from "&amp;INDEX(Fixed_Assets!$A$2:$A$201,$AB206),IF($Z206="F","Generated from "&amp;INDEX(FTE_Allocation!$A$2:$A$201,$AB206),"")))</f>
        <v/>
      </c>
      <c r="X206" s="19">
        <f>IF($Z206="","",SUM(J206:U206))</f>
        <v/>
      </c>
      <c r="Y206" s="20">
        <f>ROW()-1</f>
        <v/>
      </c>
      <c r="Z206" s="20">
        <f>IF($Y206&lt;=Settings!$B$4*3,"C",IF($Y206&lt;=(Settings!$B$4+Settings!$B$5)*3,"A",IF($Y206&lt;=(Settings!$B$4+Settings!$B$5+Settings!$B$6)*3,"F","")))</f>
        <v/>
      </c>
      <c r="AA206" s="20">
        <f>IF($Z206="C",$Y206,IF($Z206="A",$Y206-Settings!$B$4*3,IF($Z206="F",$Y206-(Settings!$B$4+Settings!$B$5)*3,"")))</f>
        <v/>
      </c>
      <c r="AB206" s="20">
        <f>IF($Z206="","",INT(($AA206-1)/3)+1)</f>
        <v/>
      </c>
      <c r="AC206" s="20">
        <f>IF($Z206="","",MOD($AA206-1,3)+1)</f>
        <v/>
      </c>
      <c r="AD206" s="20">
        <f>IF($Z206="","",Settings!$B$2+$AC206-1)</f>
        <v/>
      </c>
      <c r="AE206" s="21">
        <f>IF($Z206="C",DATE(YEAR(INDEX(Contracts!$J$2:$J$151,$AB206)),MONTH(INDEX(Contracts!$J$2:$J$151,$AB206)),1),IF($Z206="A",DATE(YEAR(INDEX(Fixed_Assets!$G$2:$G$201,$AB206)),MONTH(INDEX(Fixed_Assets!$G$2:$G$201,$AB206)),1),IF($Z206="F",DATE(YEAR(MAX(N(INDEX(Workforce!$I$2:$I$151,MATCH(INDEX(FTE_Allocation!$A$2:$A$201,$AB206),Workforce!$A$2:$A$151,0))),N(INDEX(FTE_Allocation!$I$2:$I$201,$AB206)))),MONTH(MAX(N(INDEX(Workforce!$I$2:$I$151,MATCH(INDEX(FTE_Allocation!$A$2:$A$201,$AB206),Workforce!$A$2:$A$151,0))),N(INDEX(FTE_Allocation!$I$2:$I$201,$AB206)))),1),"")))</f>
        <v/>
      </c>
      <c r="AF206" s="21">
        <f>IF($Z206="C",IF(INDEX(Contracts!$I$2:$I$151,$AB206)="PREPAID",EDATE(DATE(YEAR(INDEX(Contracts!$J$2:$J$151,$AB206)),MONTH(INDEX(Contracts!$J$2:$J$151,$AB206)),1),IF(INDEX(Contracts!$N$2:$N$151,$AB206)="",12,INDEX(Contracts!$N$2:$N$151,$AB206))-1),IF(INDEX(Contracts!$I$2:$I$151,$AB206)="MONTHLY",IF(INDEX(Contracts!$K$2:$K$151,$AB206)="",2958101,INDEX(Contracts!$K$2:$K$151,$AB206)),0)),IF($Z206="A",EDATE(DATE(YEAR(INDEX(Fixed_Assets!$G$2:$G$201,$AB206)),MONTH(INDEX(Fixed_Assets!$G$2:$G$201,$AB206)),1),INDEX(Fixed_Assets!$J$2:$J$201,$AB206)-1),IF($Z206="F",MIN(IF(INDEX(Workforce!$J$2:$J$151,MATCH(INDEX(FTE_Allocation!$A$2:$A$201,$AB206),Workforce!$A$2:$A$151,0))="",2958101,INDEX(Workforce!$J$2:$J$151,MATCH(INDEX(FTE_Allocation!$A$2:$A$201,$AB206),Workforce!$A$2:$A$151,0))),IF(INDEX(FTE_Allocation!$J$2:$J$201,$AB206)="",2958101,INDEX(FTE_Allocation!$J$2:$J$201,$AB206))),"")))</f>
        <v/>
      </c>
      <c r="AG206" s="19">
        <f>IF($Z206="C",IF(INDEX(Contracts!$I$2:$I$151,$AB206)="PREPAID",INDEX(Contracts!$M$2:$M$151,$AB206)/IF(INDEX(Contracts!$N$2:$N$151,$AB206)="",12,INDEX(Contracts!$N$2:$N$151,$AB206)),IF(INDEX(Contracts!$I$2:$I$151,$AB206)="MONTHLY",INDEX(Contracts!$M$2:$M$151,$AB206),0))*(1-N(INDEX(Contracts!$O$2:$O$151,$AB206))),IF($Z206="A",INDEX(Fixed_Assets!$H$2:$H$201,$AB206)/INDEX(Fixed_Assets!$J$2:$J$201,$AB206),IF($Z206="F",INDEX(Workforce!$F$2:$F$151,MATCH(INDEX(FTE_Allocation!$A$2:$A$201,$AB206),Workforce!$A$2:$A$151,0))*N(INDEX(FTE_Allocation!$F$2:$H$201,$AB206,$AC206)),"")))</f>
        <v/>
      </c>
    </row>
    <row r="207">
      <c r="A207" s="7">
        <f>IF($Z207="","",$AD207)</f>
        <v/>
      </c>
      <c r="B207" s="7">
        <f>IF($Z207="C",INDEX(Contracts!$D$2:$D$151,$AB207)&amp;"",IF($Z207="A",INDEX(Fixed_Assets!$C$2:$C$201,$AB207)&amp;"",IF($Z207="F",INDEX(Workforce!$B$2:$B$151,MATCH(INDEX(FTE_Allocation!$A$2:$A$201,$AB207),Workforce!$A$2:$A$151,0))&amp;"","")))</f>
        <v/>
      </c>
      <c r="C207" s="7">
        <f>IF($Z207="C",INDEX(Contracts!$E$2:$E$151,$AB207)&amp;"",IF($Z207="A",INDEX(Fixed_Assets!$D$2:$D$201,$AB207)&amp;"",IF($Z207="F",INDEX(FTE_Allocation!$C$2:$C$201,$AB207)&amp;"","")))</f>
        <v/>
      </c>
      <c r="D207" s="7">
        <f>IF($Z207="C",INDEX(Contracts!$B$2:$B$151,$AB207)&amp;"",IF($Z207="A",INDEX(Fixed_Assets!$B$2:$B$201,$AB207)&amp;"",IF($Z207="F",INDEX(FTE_Allocation!$B$2:$B$201,$AB207)&amp;"","")))</f>
        <v/>
      </c>
      <c r="E207" s="7">
        <f>IF($Z207="C",INDEX(Contracts!$P$2:$P$151,$AB207)&amp;"",IF($Z207="A",INDEX(Fixed_Assets!$K$2:$K$201,$AB207)&amp;"",IF($Z207="F",IF(INDEX(FTE_Allocation!$D$2:$D$201,$AB207)="PROJECT",IFERROR(INDEX(Projects!$D:$D,MATCH(INDEX(FTE_Allocation!$E$2:$E$201,$AB207),Projects!$A:$A,0))&amp;"","#PROJECT?"),INDEX(FTE_Allocation!$E$2:$E$201,$AB207)&amp;""),"")))</f>
        <v/>
      </c>
      <c r="F207" s="7">
        <f>IF($Z207="C",INDEX(Contracts!$Q$2:$Q$151,$AB207)&amp;"",IF($Z207="A",INDEX(Fixed_Assets!$L$2:$L$201,$AB207)&amp;"",IF($Z207="F",INDEX(Workforce!$K$2:$K$151,MATCH(INDEX(FTE_Allocation!$A$2:$A$201,$AB207),Workforce!$A$2:$A$151,0))&amp;"","")))</f>
        <v/>
      </c>
      <c r="G207" s="7">
        <f>IF($Z207="C",INDEX(Contracts!$F$2:$F$151,$AB207)&amp;" / "&amp;INDEX(Contracts!$G$2:$G$151,$AB207),IF($Z207="A",INDEX(Fixed_Assets!$E$2:$E$201,$AB207)&amp;"",IF($Z207="F","Personnel "&amp;INDEX(FTE_Allocation!$A$2:$A$201,$AB207)&amp;IF(INDEX(FTE_Allocation!$D$2:$D$201,$AB207)="PROJECT"," ("&amp;INDEX(FTE_Allocation!$E$2:$E$201,$AB207)&amp;")",""),"")))</f>
        <v/>
      </c>
      <c r="H207" s="7">
        <f>IF($Z207="C","CONTRACT",IF($Z207="A","ASSET",IF($Z207="F","WORKFORCE","")))</f>
        <v/>
      </c>
      <c r="I207" s="7">
        <f>IF($Z207="C",INDEX(Contracts!$L$2:$L$151,$AB207)&amp;"",IF($Z207="A",INDEX(Fixed_Assets!$I$2:$I$201,$AB207)&amp;"",IF($Z207="F",INDEX(Workforce!$G$2:$G$151,MATCH(INDEX(FTE_Allocation!$A$2:$A$201,$AB207),Workforce!$A$2:$A$151,0))&amp;"","")))</f>
        <v/>
      </c>
      <c r="J207" s="18">
        <f>IF($Z207="","",IF(AND(DATE($AD207,1,1)&gt;=$AE207,DATE($AD207,1,1)&lt;=$AF207),ROUND($AG207,2),0))</f>
        <v/>
      </c>
      <c r="K207" s="18">
        <f>IF($Z207="","",IF(AND(DATE($AD207,2,1)&gt;=$AE207,DATE($AD207,2,1)&lt;=$AF207),ROUND($AG207,2),0))</f>
        <v/>
      </c>
      <c r="L207" s="18">
        <f>IF($Z207="","",IF(AND(DATE($AD207,3,1)&gt;=$AE207,DATE($AD207,3,1)&lt;=$AF207),ROUND($AG207,2),0))</f>
        <v/>
      </c>
      <c r="M207" s="18">
        <f>IF($Z207="","",IF(AND(DATE($AD207,4,1)&gt;=$AE207,DATE($AD207,4,1)&lt;=$AF207),ROUND($AG207,2),0))</f>
        <v/>
      </c>
      <c r="N207" s="18">
        <f>IF($Z207="","",IF(AND(DATE($AD207,5,1)&gt;=$AE207,DATE($AD207,5,1)&lt;=$AF207),ROUND($AG207,2),0))</f>
        <v/>
      </c>
      <c r="O207" s="18">
        <f>IF($Z207="","",IF(AND(DATE($AD207,6,1)&gt;=$AE207,DATE($AD207,6,1)&lt;=$AF207),ROUND($AG207,2),0))</f>
        <v/>
      </c>
      <c r="P207" s="18">
        <f>IF($Z207="","",IF(AND(DATE($AD207,7,1)&gt;=$AE207,DATE($AD207,7,1)&lt;=$AF207),ROUND($AG207,2),0))</f>
        <v/>
      </c>
      <c r="Q207" s="18">
        <f>IF($Z207="","",IF(AND(DATE($AD207,8,1)&gt;=$AE207,DATE($AD207,8,1)&lt;=$AF207),ROUND($AG207,2),0))</f>
        <v/>
      </c>
      <c r="R207" s="18">
        <f>IF($Z207="","",IF(AND(DATE($AD207,9,1)&gt;=$AE207,DATE($AD207,9,1)&lt;=$AF207),ROUND($AG207,2),0))</f>
        <v/>
      </c>
      <c r="S207" s="18">
        <f>IF($Z207="","",IF(AND(DATE($AD207,10,1)&gt;=$AE207,DATE($AD207,10,1)&lt;=$AF207),ROUND($AG207,2),0))</f>
        <v/>
      </c>
      <c r="T207" s="18">
        <f>IF($Z207="","",IF(AND(DATE($AD207,11,1)&gt;=$AE207,DATE($AD207,11,1)&lt;=$AF207),ROUND($AG207,2),0))</f>
        <v/>
      </c>
      <c r="U207" s="18">
        <f>IF($Z207="","",IF(AND(DATE($AD207,12,1)&gt;=$AE207,DATE($AD207,12,1)&lt;=$AF207),ROUND($AG207,2),0))</f>
        <v/>
      </c>
      <c r="V207" s="7">
        <f>IF($Z207="C","Generated from "&amp;INDEX(Contracts!$A$2:$A$151,$AB207),IF($Z207="A","Generated from "&amp;INDEX(Fixed_Assets!$A$2:$A$201,$AB207),IF($Z207="F","Generated from "&amp;INDEX(FTE_Allocation!$A$2:$A$201,$AB207),"")))</f>
        <v/>
      </c>
      <c r="X207" s="19">
        <f>IF($Z207="","",SUM(J207:U207))</f>
        <v/>
      </c>
      <c r="Y207" s="20">
        <f>ROW()-1</f>
        <v/>
      </c>
      <c r="Z207" s="20">
        <f>IF($Y207&lt;=Settings!$B$4*3,"C",IF($Y207&lt;=(Settings!$B$4+Settings!$B$5)*3,"A",IF($Y207&lt;=(Settings!$B$4+Settings!$B$5+Settings!$B$6)*3,"F","")))</f>
        <v/>
      </c>
      <c r="AA207" s="20">
        <f>IF($Z207="C",$Y207,IF($Z207="A",$Y207-Settings!$B$4*3,IF($Z207="F",$Y207-(Settings!$B$4+Settings!$B$5)*3,"")))</f>
        <v/>
      </c>
      <c r="AB207" s="20">
        <f>IF($Z207="","",INT(($AA207-1)/3)+1)</f>
        <v/>
      </c>
      <c r="AC207" s="20">
        <f>IF($Z207="","",MOD($AA207-1,3)+1)</f>
        <v/>
      </c>
      <c r="AD207" s="20">
        <f>IF($Z207="","",Settings!$B$2+$AC207-1)</f>
        <v/>
      </c>
      <c r="AE207" s="21">
        <f>IF($Z207="C",DATE(YEAR(INDEX(Contracts!$J$2:$J$151,$AB207)),MONTH(INDEX(Contracts!$J$2:$J$151,$AB207)),1),IF($Z207="A",DATE(YEAR(INDEX(Fixed_Assets!$G$2:$G$201,$AB207)),MONTH(INDEX(Fixed_Assets!$G$2:$G$201,$AB207)),1),IF($Z207="F",DATE(YEAR(MAX(N(INDEX(Workforce!$I$2:$I$151,MATCH(INDEX(FTE_Allocation!$A$2:$A$201,$AB207),Workforce!$A$2:$A$151,0))),N(INDEX(FTE_Allocation!$I$2:$I$201,$AB207)))),MONTH(MAX(N(INDEX(Workforce!$I$2:$I$151,MATCH(INDEX(FTE_Allocation!$A$2:$A$201,$AB207),Workforce!$A$2:$A$151,0))),N(INDEX(FTE_Allocation!$I$2:$I$201,$AB207)))),1),"")))</f>
        <v/>
      </c>
      <c r="AF207" s="21">
        <f>IF($Z207="C",IF(INDEX(Contracts!$I$2:$I$151,$AB207)="PREPAID",EDATE(DATE(YEAR(INDEX(Contracts!$J$2:$J$151,$AB207)),MONTH(INDEX(Contracts!$J$2:$J$151,$AB207)),1),IF(INDEX(Contracts!$N$2:$N$151,$AB207)="",12,INDEX(Contracts!$N$2:$N$151,$AB207))-1),IF(INDEX(Contracts!$I$2:$I$151,$AB207)="MONTHLY",IF(INDEX(Contracts!$K$2:$K$151,$AB207)="",2958101,INDEX(Contracts!$K$2:$K$151,$AB207)),0)),IF($Z207="A",EDATE(DATE(YEAR(INDEX(Fixed_Assets!$G$2:$G$201,$AB207)),MONTH(INDEX(Fixed_Assets!$G$2:$G$201,$AB207)),1),INDEX(Fixed_Assets!$J$2:$J$201,$AB207)-1),IF($Z207="F",MIN(IF(INDEX(Workforce!$J$2:$J$151,MATCH(INDEX(FTE_Allocation!$A$2:$A$201,$AB207),Workforce!$A$2:$A$151,0))="",2958101,INDEX(Workforce!$J$2:$J$151,MATCH(INDEX(FTE_Allocation!$A$2:$A$201,$AB207),Workforce!$A$2:$A$151,0))),IF(INDEX(FTE_Allocation!$J$2:$J$201,$AB207)="",2958101,INDEX(FTE_Allocation!$J$2:$J$201,$AB207))),"")))</f>
        <v/>
      </c>
      <c r="AG207" s="19">
        <f>IF($Z207="C",IF(INDEX(Contracts!$I$2:$I$151,$AB207)="PREPAID",INDEX(Contracts!$M$2:$M$151,$AB207)/IF(INDEX(Contracts!$N$2:$N$151,$AB207)="",12,INDEX(Contracts!$N$2:$N$151,$AB207)),IF(INDEX(Contracts!$I$2:$I$151,$AB207)="MONTHLY",INDEX(Contracts!$M$2:$M$151,$AB207),0))*(1-N(INDEX(Contracts!$O$2:$O$151,$AB207))),IF($Z207="A",INDEX(Fixed_Assets!$H$2:$H$201,$AB207)/INDEX(Fixed_Assets!$J$2:$J$201,$AB207),IF($Z207="F",INDEX(Workforce!$F$2:$F$151,MATCH(INDEX(FTE_Allocation!$A$2:$A$201,$AB207),Workforce!$A$2:$A$151,0))*N(INDEX(FTE_Allocation!$F$2:$H$201,$AB207,$AC207)),"")))</f>
        <v/>
      </c>
    </row>
    <row r="208">
      <c r="A208" s="7">
        <f>IF($Z208="","",$AD208)</f>
        <v/>
      </c>
      <c r="B208" s="7">
        <f>IF($Z208="C",INDEX(Contracts!$D$2:$D$151,$AB208)&amp;"",IF($Z208="A",INDEX(Fixed_Assets!$C$2:$C$201,$AB208)&amp;"",IF($Z208="F",INDEX(Workforce!$B$2:$B$151,MATCH(INDEX(FTE_Allocation!$A$2:$A$201,$AB208),Workforce!$A$2:$A$151,0))&amp;"","")))</f>
        <v/>
      </c>
      <c r="C208" s="7">
        <f>IF($Z208="C",INDEX(Contracts!$E$2:$E$151,$AB208)&amp;"",IF($Z208="A",INDEX(Fixed_Assets!$D$2:$D$201,$AB208)&amp;"",IF($Z208="F",INDEX(FTE_Allocation!$C$2:$C$201,$AB208)&amp;"","")))</f>
        <v/>
      </c>
      <c r="D208" s="7">
        <f>IF($Z208="C",INDEX(Contracts!$B$2:$B$151,$AB208)&amp;"",IF($Z208="A",INDEX(Fixed_Assets!$B$2:$B$201,$AB208)&amp;"",IF($Z208="F",INDEX(FTE_Allocation!$B$2:$B$201,$AB208)&amp;"","")))</f>
        <v/>
      </c>
      <c r="E208" s="7">
        <f>IF($Z208="C",INDEX(Contracts!$P$2:$P$151,$AB208)&amp;"",IF($Z208="A",INDEX(Fixed_Assets!$K$2:$K$201,$AB208)&amp;"",IF($Z208="F",IF(INDEX(FTE_Allocation!$D$2:$D$201,$AB208)="PROJECT",IFERROR(INDEX(Projects!$D:$D,MATCH(INDEX(FTE_Allocation!$E$2:$E$201,$AB208),Projects!$A:$A,0))&amp;"","#PROJECT?"),INDEX(FTE_Allocation!$E$2:$E$201,$AB208)&amp;""),"")))</f>
        <v/>
      </c>
      <c r="F208" s="7">
        <f>IF($Z208="C",INDEX(Contracts!$Q$2:$Q$151,$AB208)&amp;"",IF($Z208="A",INDEX(Fixed_Assets!$L$2:$L$201,$AB208)&amp;"",IF($Z208="F",INDEX(Workforce!$K$2:$K$151,MATCH(INDEX(FTE_Allocation!$A$2:$A$201,$AB208),Workforce!$A$2:$A$151,0))&amp;"","")))</f>
        <v/>
      </c>
      <c r="G208" s="7">
        <f>IF($Z208="C",INDEX(Contracts!$F$2:$F$151,$AB208)&amp;" / "&amp;INDEX(Contracts!$G$2:$G$151,$AB208),IF($Z208="A",INDEX(Fixed_Assets!$E$2:$E$201,$AB208)&amp;"",IF($Z208="F","Personnel "&amp;INDEX(FTE_Allocation!$A$2:$A$201,$AB208)&amp;IF(INDEX(FTE_Allocation!$D$2:$D$201,$AB208)="PROJECT"," ("&amp;INDEX(FTE_Allocation!$E$2:$E$201,$AB208)&amp;")",""),"")))</f>
        <v/>
      </c>
      <c r="H208" s="7">
        <f>IF($Z208="C","CONTRACT",IF($Z208="A","ASSET",IF($Z208="F","WORKFORCE","")))</f>
        <v/>
      </c>
      <c r="I208" s="7">
        <f>IF($Z208="C",INDEX(Contracts!$L$2:$L$151,$AB208)&amp;"",IF($Z208="A",INDEX(Fixed_Assets!$I$2:$I$201,$AB208)&amp;"",IF($Z208="F",INDEX(Workforce!$G$2:$G$151,MATCH(INDEX(FTE_Allocation!$A$2:$A$201,$AB208),Workforce!$A$2:$A$151,0))&amp;"","")))</f>
        <v/>
      </c>
      <c r="J208" s="18">
        <f>IF($Z208="","",IF(AND(DATE($AD208,1,1)&gt;=$AE208,DATE($AD208,1,1)&lt;=$AF208),ROUND($AG208,2),0))</f>
        <v/>
      </c>
      <c r="K208" s="18">
        <f>IF($Z208="","",IF(AND(DATE($AD208,2,1)&gt;=$AE208,DATE($AD208,2,1)&lt;=$AF208),ROUND($AG208,2),0))</f>
        <v/>
      </c>
      <c r="L208" s="18">
        <f>IF($Z208="","",IF(AND(DATE($AD208,3,1)&gt;=$AE208,DATE($AD208,3,1)&lt;=$AF208),ROUND($AG208,2),0))</f>
        <v/>
      </c>
      <c r="M208" s="18">
        <f>IF($Z208="","",IF(AND(DATE($AD208,4,1)&gt;=$AE208,DATE($AD208,4,1)&lt;=$AF208),ROUND($AG208,2),0))</f>
        <v/>
      </c>
      <c r="N208" s="18">
        <f>IF($Z208="","",IF(AND(DATE($AD208,5,1)&gt;=$AE208,DATE($AD208,5,1)&lt;=$AF208),ROUND($AG208,2),0))</f>
        <v/>
      </c>
      <c r="O208" s="18">
        <f>IF($Z208="","",IF(AND(DATE($AD208,6,1)&gt;=$AE208,DATE($AD208,6,1)&lt;=$AF208),ROUND($AG208,2),0))</f>
        <v/>
      </c>
      <c r="P208" s="18">
        <f>IF($Z208="","",IF(AND(DATE($AD208,7,1)&gt;=$AE208,DATE($AD208,7,1)&lt;=$AF208),ROUND($AG208,2),0))</f>
        <v/>
      </c>
      <c r="Q208" s="18">
        <f>IF($Z208="","",IF(AND(DATE($AD208,8,1)&gt;=$AE208,DATE($AD208,8,1)&lt;=$AF208),ROUND($AG208,2),0))</f>
        <v/>
      </c>
      <c r="R208" s="18">
        <f>IF($Z208="","",IF(AND(DATE($AD208,9,1)&gt;=$AE208,DATE($AD208,9,1)&lt;=$AF208),ROUND($AG208,2),0))</f>
        <v/>
      </c>
      <c r="S208" s="18">
        <f>IF($Z208="","",IF(AND(DATE($AD208,10,1)&gt;=$AE208,DATE($AD208,10,1)&lt;=$AF208),ROUND($AG208,2),0))</f>
        <v/>
      </c>
      <c r="T208" s="18">
        <f>IF($Z208="","",IF(AND(DATE($AD208,11,1)&gt;=$AE208,DATE($AD208,11,1)&lt;=$AF208),ROUND($AG208,2),0))</f>
        <v/>
      </c>
      <c r="U208" s="18">
        <f>IF($Z208="","",IF(AND(DATE($AD208,12,1)&gt;=$AE208,DATE($AD208,12,1)&lt;=$AF208),ROUND($AG208,2),0))</f>
        <v/>
      </c>
      <c r="V208" s="7">
        <f>IF($Z208="C","Generated from "&amp;INDEX(Contracts!$A$2:$A$151,$AB208),IF($Z208="A","Generated from "&amp;INDEX(Fixed_Assets!$A$2:$A$201,$AB208),IF($Z208="F","Generated from "&amp;INDEX(FTE_Allocation!$A$2:$A$201,$AB208),"")))</f>
        <v/>
      </c>
      <c r="X208" s="19">
        <f>IF($Z208="","",SUM(J208:U208))</f>
        <v/>
      </c>
      <c r="Y208" s="20">
        <f>ROW()-1</f>
        <v/>
      </c>
      <c r="Z208" s="20">
        <f>IF($Y208&lt;=Settings!$B$4*3,"C",IF($Y208&lt;=(Settings!$B$4+Settings!$B$5)*3,"A",IF($Y208&lt;=(Settings!$B$4+Settings!$B$5+Settings!$B$6)*3,"F","")))</f>
        <v/>
      </c>
      <c r="AA208" s="20">
        <f>IF($Z208="C",$Y208,IF($Z208="A",$Y208-Settings!$B$4*3,IF($Z208="F",$Y208-(Settings!$B$4+Settings!$B$5)*3,"")))</f>
        <v/>
      </c>
      <c r="AB208" s="20">
        <f>IF($Z208="","",INT(($AA208-1)/3)+1)</f>
        <v/>
      </c>
      <c r="AC208" s="20">
        <f>IF($Z208="","",MOD($AA208-1,3)+1)</f>
        <v/>
      </c>
      <c r="AD208" s="20">
        <f>IF($Z208="","",Settings!$B$2+$AC208-1)</f>
        <v/>
      </c>
      <c r="AE208" s="21">
        <f>IF($Z208="C",DATE(YEAR(INDEX(Contracts!$J$2:$J$151,$AB208)),MONTH(INDEX(Contracts!$J$2:$J$151,$AB208)),1),IF($Z208="A",DATE(YEAR(INDEX(Fixed_Assets!$G$2:$G$201,$AB208)),MONTH(INDEX(Fixed_Assets!$G$2:$G$201,$AB208)),1),IF($Z208="F",DATE(YEAR(MAX(N(INDEX(Workforce!$I$2:$I$151,MATCH(INDEX(FTE_Allocation!$A$2:$A$201,$AB208),Workforce!$A$2:$A$151,0))),N(INDEX(FTE_Allocation!$I$2:$I$201,$AB208)))),MONTH(MAX(N(INDEX(Workforce!$I$2:$I$151,MATCH(INDEX(FTE_Allocation!$A$2:$A$201,$AB208),Workforce!$A$2:$A$151,0))),N(INDEX(FTE_Allocation!$I$2:$I$201,$AB208)))),1),"")))</f>
        <v/>
      </c>
      <c r="AF208" s="21">
        <f>IF($Z208="C",IF(INDEX(Contracts!$I$2:$I$151,$AB208)="PREPAID",EDATE(DATE(YEAR(INDEX(Contracts!$J$2:$J$151,$AB208)),MONTH(INDEX(Contracts!$J$2:$J$151,$AB208)),1),IF(INDEX(Contracts!$N$2:$N$151,$AB208)="",12,INDEX(Contracts!$N$2:$N$151,$AB208))-1),IF(INDEX(Contracts!$I$2:$I$151,$AB208)="MONTHLY",IF(INDEX(Contracts!$K$2:$K$151,$AB208)="",2958101,INDEX(Contracts!$K$2:$K$151,$AB208)),0)),IF($Z208="A",EDATE(DATE(YEAR(INDEX(Fixed_Assets!$G$2:$G$201,$AB208)),MONTH(INDEX(Fixed_Assets!$G$2:$G$201,$AB208)),1),INDEX(Fixed_Assets!$J$2:$J$201,$AB208)-1),IF($Z208="F",MIN(IF(INDEX(Workforce!$J$2:$J$151,MATCH(INDEX(FTE_Allocation!$A$2:$A$201,$AB208),Workforce!$A$2:$A$151,0))="",2958101,INDEX(Workforce!$J$2:$J$151,MATCH(INDEX(FTE_Allocation!$A$2:$A$201,$AB208),Workforce!$A$2:$A$151,0))),IF(INDEX(FTE_Allocation!$J$2:$J$201,$AB208)="",2958101,INDEX(FTE_Allocation!$J$2:$J$201,$AB208))),"")))</f>
        <v/>
      </c>
      <c r="AG208" s="19">
        <f>IF($Z208="C",IF(INDEX(Contracts!$I$2:$I$151,$AB208)="PREPAID",INDEX(Contracts!$M$2:$M$151,$AB208)/IF(INDEX(Contracts!$N$2:$N$151,$AB208)="",12,INDEX(Contracts!$N$2:$N$151,$AB208)),IF(INDEX(Contracts!$I$2:$I$151,$AB208)="MONTHLY",INDEX(Contracts!$M$2:$M$151,$AB208),0))*(1-N(INDEX(Contracts!$O$2:$O$151,$AB208))),IF($Z208="A",INDEX(Fixed_Assets!$H$2:$H$201,$AB208)/INDEX(Fixed_Assets!$J$2:$J$201,$AB208),IF($Z208="F",INDEX(Workforce!$F$2:$F$151,MATCH(INDEX(FTE_Allocation!$A$2:$A$201,$AB208),Workforce!$A$2:$A$151,0))*N(INDEX(FTE_Allocation!$F$2:$H$201,$AB208,$AC208)),"")))</f>
        <v/>
      </c>
    </row>
    <row r="209">
      <c r="A209" s="7">
        <f>IF($Z209="","",$AD209)</f>
        <v/>
      </c>
      <c r="B209" s="7">
        <f>IF($Z209="C",INDEX(Contracts!$D$2:$D$151,$AB209)&amp;"",IF($Z209="A",INDEX(Fixed_Assets!$C$2:$C$201,$AB209)&amp;"",IF($Z209="F",INDEX(Workforce!$B$2:$B$151,MATCH(INDEX(FTE_Allocation!$A$2:$A$201,$AB209),Workforce!$A$2:$A$151,0))&amp;"","")))</f>
        <v/>
      </c>
      <c r="C209" s="7">
        <f>IF($Z209="C",INDEX(Contracts!$E$2:$E$151,$AB209)&amp;"",IF($Z209="A",INDEX(Fixed_Assets!$D$2:$D$201,$AB209)&amp;"",IF($Z209="F",INDEX(FTE_Allocation!$C$2:$C$201,$AB209)&amp;"","")))</f>
        <v/>
      </c>
      <c r="D209" s="7">
        <f>IF($Z209="C",INDEX(Contracts!$B$2:$B$151,$AB209)&amp;"",IF($Z209="A",INDEX(Fixed_Assets!$B$2:$B$201,$AB209)&amp;"",IF($Z209="F",INDEX(FTE_Allocation!$B$2:$B$201,$AB209)&amp;"","")))</f>
        <v/>
      </c>
      <c r="E209" s="7">
        <f>IF($Z209="C",INDEX(Contracts!$P$2:$P$151,$AB209)&amp;"",IF($Z209="A",INDEX(Fixed_Assets!$K$2:$K$201,$AB209)&amp;"",IF($Z209="F",IF(INDEX(FTE_Allocation!$D$2:$D$201,$AB209)="PROJECT",IFERROR(INDEX(Projects!$D:$D,MATCH(INDEX(FTE_Allocation!$E$2:$E$201,$AB209),Projects!$A:$A,0))&amp;"","#PROJECT?"),INDEX(FTE_Allocation!$E$2:$E$201,$AB209)&amp;""),"")))</f>
        <v/>
      </c>
      <c r="F209" s="7">
        <f>IF($Z209="C",INDEX(Contracts!$Q$2:$Q$151,$AB209)&amp;"",IF($Z209="A",INDEX(Fixed_Assets!$L$2:$L$201,$AB209)&amp;"",IF($Z209="F",INDEX(Workforce!$K$2:$K$151,MATCH(INDEX(FTE_Allocation!$A$2:$A$201,$AB209),Workforce!$A$2:$A$151,0))&amp;"","")))</f>
        <v/>
      </c>
      <c r="G209" s="7">
        <f>IF($Z209="C",INDEX(Contracts!$F$2:$F$151,$AB209)&amp;" / "&amp;INDEX(Contracts!$G$2:$G$151,$AB209),IF($Z209="A",INDEX(Fixed_Assets!$E$2:$E$201,$AB209)&amp;"",IF($Z209="F","Personnel "&amp;INDEX(FTE_Allocation!$A$2:$A$201,$AB209)&amp;IF(INDEX(FTE_Allocation!$D$2:$D$201,$AB209)="PROJECT"," ("&amp;INDEX(FTE_Allocation!$E$2:$E$201,$AB209)&amp;")",""),"")))</f>
        <v/>
      </c>
      <c r="H209" s="7">
        <f>IF($Z209="C","CONTRACT",IF($Z209="A","ASSET",IF($Z209="F","WORKFORCE","")))</f>
        <v/>
      </c>
      <c r="I209" s="7">
        <f>IF($Z209="C",INDEX(Contracts!$L$2:$L$151,$AB209)&amp;"",IF($Z209="A",INDEX(Fixed_Assets!$I$2:$I$201,$AB209)&amp;"",IF($Z209="F",INDEX(Workforce!$G$2:$G$151,MATCH(INDEX(FTE_Allocation!$A$2:$A$201,$AB209),Workforce!$A$2:$A$151,0))&amp;"","")))</f>
        <v/>
      </c>
      <c r="J209" s="18">
        <f>IF($Z209="","",IF(AND(DATE($AD209,1,1)&gt;=$AE209,DATE($AD209,1,1)&lt;=$AF209),ROUND($AG209,2),0))</f>
        <v/>
      </c>
      <c r="K209" s="18">
        <f>IF($Z209="","",IF(AND(DATE($AD209,2,1)&gt;=$AE209,DATE($AD209,2,1)&lt;=$AF209),ROUND($AG209,2),0))</f>
        <v/>
      </c>
      <c r="L209" s="18">
        <f>IF($Z209="","",IF(AND(DATE($AD209,3,1)&gt;=$AE209,DATE($AD209,3,1)&lt;=$AF209),ROUND($AG209,2),0))</f>
        <v/>
      </c>
      <c r="M209" s="18">
        <f>IF($Z209="","",IF(AND(DATE($AD209,4,1)&gt;=$AE209,DATE($AD209,4,1)&lt;=$AF209),ROUND($AG209,2),0))</f>
        <v/>
      </c>
      <c r="N209" s="18">
        <f>IF($Z209="","",IF(AND(DATE($AD209,5,1)&gt;=$AE209,DATE($AD209,5,1)&lt;=$AF209),ROUND($AG209,2),0))</f>
        <v/>
      </c>
      <c r="O209" s="18">
        <f>IF($Z209="","",IF(AND(DATE($AD209,6,1)&gt;=$AE209,DATE($AD209,6,1)&lt;=$AF209),ROUND($AG209,2),0))</f>
        <v/>
      </c>
      <c r="P209" s="18">
        <f>IF($Z209="","",IF(AND(DATE($AD209,7,1)&gt;=$AE209,DATE($AD209,7,1)&lt;=$AF209),ROUND($AG209,2),0))</f>
        <v/>
      </c>
      <c r="Q209" s="18">
        <f>IF($Z209="","",IF(AND(DATE($AD209,8,1)&gt;=$AE209,DATE($AD209,8,1)&lt;=$AF209),ROUND($AG209,2),0))</f>
        <v/>
      </c>
      <c r="R209" s="18">
        <f>IF($Z209="","",IF(AND(DATE($AD209,9,1)&gt;=$AE209,DATE($AD209,9,1)&lt;=$AF209),ROUND($AG209,2),0))</f>
        <v/>
      </c>
      <c r="S209" s="18">
        <f>IF($Z209="","",IF(AND(DATE($AD209,10,1)&gt;=$AE209,DATE($AD209,10,1)&lt;=$AF209),ROUND($AG209,2),0))</f>
        <v/>
      </c>
      <c r="T209" s="18">
        <f>IF($Z209="","",IF(AND(DATE($AD209,11,1)&gt;=$AE209,DATE($AD209,11,1)&lt;=$AF209),ROUND($AG209,2),0))</f>
        <v/>
      </c>
      <c r="U209" s="18">
        <f>IF($Z209="","",IF(AND(DATE($AD209,12,1)&gt;=$AE209,DATE($AD209,12,1)&lt;=$AF209),ROUND($AG209,2),0))</f>
        <v/>
      </c>
      <c r="V209" s="7">
        <f>IF($Z209="C","Generated from "&amp;INDEX(Contracts!$A$2:$A$151,$AB209),IF($Z209="A","Generated from "&amp;INDEX(Fixed_Assets!$A$2:$A$201,$AB209),IF($Z209="F","Generated from "&amp;INDEX(FTE_Allocation!$A$2:$A$201,$AB209),"")))</f>
        <v/>
      </c>
      <c r="X209" s="19">
        <f>IF($Z209="","",SUM(J209:U209))</f>
        <v/>
      </c>
      <c r="Y209" s="20">
        <f>ROW()-1</f>
        <v/>
      </c>
      <c r="Z209" s="20">
        <f>IF($Y209&lt;=Settings!$B$4*3,"C",IF($Y209&lt;=(Settings!$B$4+Settings!$B$5)*3,"A",IF($Y209&lt;=(Settings!$B$4+Settings!$B$5+Settings!$B$6)*3,"F","")))</f>
        <v/>
      </c>
      <c r="AA209" s="20">
        <f>IF($Z209="C",$Y209,IF($Z209="A",$Y209-Settings!$B$4*3,IF($Z209="F",$Y209-(Settings!$B$4+Settings!$B$5)*3,"")))</f>
        <v/>
      </c>
      <c r="AB209" s="20">
        <f>IF($Z209="","",INT(($AA209-1)/3)+1)</f>
        <v/>
      </c>
      <c r="AC209" s="20">
        <f>IF($Z209="","",MOD($AA209-1,3)+1)</f>
        <v/>
      </c>
      <c r="AD209" s="20">
        <f>IF($Z209="","",Settings!$B$2+$AC209-1)</f>
        <v/>
      </c>
      <c r="AE209" s="21">
        <f>IF($Z209="C",DATE(YEAR(INDEX(Contracts!$J$2:$J$151,$AB209)),MONTH(INDEX(Contracts!$J$2:$J$151,$AB209)),1),IF($Z209="A",DATE(YEAR(INDEX(Fixed_Assets!$G$2:$G$201,$AB209)),MONTH(INDEX(Fixed_Assets!$G$2:$G$201,$AB209)),1),IF($Z209="F",DATE(YEAR(MAX(N(INDEX(Workforce!$I$2:$I$151,MATCH(INDEX(FTE_Allocation!$A$2:$A$201,$AB209),Workforce!$A$2:$A$151,0))),N(INDEX(FTE_Allocation!$I$2:$I$201,$AB209)))),MONTH(MAX(N(INDEX(Workforce!$I$2:$I$151,MATCH(INDEX(FTE_Allocation!$A$2:$A$201,$AB209),Workforce!$A$2:$A$151,0))),N(INDEX(FTE_Allocation!$I$2:$I$201,$AB209)))),1),"")))</f>
        <v/>
      </c>
      <c r="AF209" s="21">
        <f>IF($Z209="C",IF(INDEX(Contracts!$I$2:$I$151,$AB209)="PREPAID",EDATE(DATE(YEAR(INDEX(Contracts!$J$2:$J$151,$AB209)),MONTH(INDEX(Contracts!$J$2:$J$151,$AB209)),1),IF(INDEX(Contracts!$N$2:$N$151,$AB209)="",12,INDEX(Contracts!$N$2:$N$151,$AB209))-1),IF(INDEX(Contracts!$I$2:$I$151,$AB209)="MONTHLY",IF(INDEX(Contracts!$K$2:$K$151,$AB209)="",2958101,INDEX(Contracts!$K$2:$K$151,$AB209)),0)),IF($Z209="A",EDATE(DATE(YEAR(INDEX(Fixed_Assets!$G$2:$G$201,$AB209)),MONTH(INDEX(Fixed_Assets!$G$2:$G$201,$AB209)),1),INDEX(Fixed_Assets!$J$2:$J$201,$AB209)-1),IF($Z209="F",MIN(IF(INDEX(Workforce!$J$2:$J$151,MATCH(INDEX(FTE_Allocation!$A$2:$A$201,$AB209),Workforce!$A$2:$A$151,0))="",2958101,INDEX(Workforce!$J$2:$J$151,MATCH(INDEX(FTE_Allocation!$A$2:$A$201,$AB209),Workforce!$A$2:$A$151,0))),IF(INDEX(FTE_Allocation!$J$2:$J$201,$AB209)="",2958101,INDEX(FTE_Allocation!$J$2:$J$201,$AB209))),"")))</f>
        <v/>
      </c>
      <c r="AG209" s="19">
        <f>IF($Z209="C",IF(INDEX(Contracts!$I$2:$I$151,$AB209)="PREPAID",INDEX(Contracts!$M$2:$M$151,$AB209)/IF(INDEX(Contracts!$N$2:$N$151,$AB209)="",12,INDEX(Contracts!$N$2:$N$151,$AB209)),IF(INDEX(Contracts!$I$2:$I$151,$AB209)="MONTHLY",INDEX(Contracts!$M$2:$M$151,$AB209),0))*(1-N(INDEX(Contracts!$O$2:$O$151,$AB209))),IF($Z209="A",INDEX(Fixed_Assets!$H$2:$H$201,$AB209)/INDEX(Fixed_Assets!$J$2:$J$201,$AB209),IF($Z209="F",INDEX(Workforce!$F$2:$F$151,MATCH(INDEX(FTE_Allocation!$A$2:$A$201,$AB209),Workforce!$A$2:$A$151,0))*N(INDEX(FTE_Allocation!$F$2:$H$201,$AB209,$AC209)),"")))</f>
        <v/>
      </c>
    </row>
    <row r="210">
      <c r="A210" s="7">
        <f>IF($Z210="","",$AD210)</f>
        <v/>
      </c>
      <c r="B210" s="7">
        <f>IF($Z210="C",INDEX(Contracts!$D$2:$D$151,$AB210)&amp;"",IF($Z210="A",INDEX(Fixed_Assets!$C$2:$C$201,$AB210)&amp;"",IF($Z210="F",INDEX(Workforce!$B$2:$B$151,MATCH(INDEX(FTE_Allocation!$A$2:$A$201,$AB210),Workforce!$A$2:$A$151,0))&amp;"","")))</f>
        <v/>
      </c>
      <c r="C210" s="7">
        <f>IF($Z210="C",INDEX(Contracts!$E$2:$E$151,$AB210)&amp;"",IF($Z210="A",INDEX(Fixed_Assets!$D$2:$D$201,$AB210)&amp;"",IF($Z210="F",INDEX(FTE_Allocation!$C$2:$C$201,$AB210)&amp;"","")))</f>
        <v/>
      </c>
      <c r="D210" s="7">
        <f>IF($Z210="C",INDEX(Contracts!$B$2:$B$151,$AB210)&amp;"",IF($Z210="A",INDEX(Fixed_Assets!$B$2:$B$201,$AB210)&amp;"",IF($Z210="F",INDEX(FTE_Allocation!$B$2:$B$201,$AB210)&amp;"","")))</f>
        <v/>
      </c>
      <c r="E210" s="7">
        <f>IF($Z210="C",INDEX(Contracts!$P$2:$P$151,$AB210)&amp;"",IF($Z210="A",INDEX(Fixed_Assets!$K$2:$K$201,$AB210)&amp;"",IF($Z210="F",IF(INDEX(FTE_Allocation!$D$2:$D$201,$AB210)="PROJECT",IFERROR(INDEX(Projects!$D:$D,MATCH(INDEX(FTE_Allocation!$E$2:$E$201,$AB210),Projects!$A:$A,0))&amp;"","#PROJECT?"),INDEX(FTE_Allocation!$E$2:$E$201,$AB210)&amp;""),"")))</f>
        <v/>
      </c>
      <c r="F210" s="7">
        <f>IF($Z210="C",INDEX(Contracts!$Q$2:$Q$151,$AB210)&amp;"",IF($Z210="A",INDEX(Fixed_Assets!$L$2:$L$201,$AB210)&amp;"",IF($Z210="F",INDEX(Workforce!$K$2:$K$151,MATCH(INDEX(FTE_Allocation!$A$2:$A$201,$AB210),Workforce!$A$2:$A$151,0))&amp;"","")))</f>
        <v/>
      </c>
      <c r="G210" s="7">
        <f>IF($Z210="C",INDEX(Contracts!$F$2:$F$151,$AB210)&amp;" / "&amp;INDEX(Contracts!$G$2:$G$151,$AB210),IF($Z210="A",INDEX(Fixed_Assets!$E$2:$E$201,$AB210)&amp;"",IF($Z210="F","Personnel "&amp;INDEX(FTE_Allocation!$A$2:$A$201,$AB210)&amp;IF(INDEX(FTE_Allocation!$D$2:$D$201,$AB210)="PROJECT"," ("&amp;INDEX(FTE_Allocation!$E$2:$E$201,$AB210)&amp;")",""),"")))</f>
        <v/>
      </c>
      <c r="H210" s="7">
        <f>IF($Z210="C","CONTRACT",IF($Z210="A","ASSET",IF($Z210="F","WORKFORCE","")))</f>
        <v/>
      </c>
      <c r="I210" s="7">
        <f>IF($Z210="C",INDEX(Contracts!$L$2:$L$151,$AB210)&amp;"",IF($Z210="A",INDEX(Fixed_Assets!$I$2:$I$201,$AB210)&amp;"",IF($Z210="F",INDEX(Workforce!$G$2:$G$151,MATCH(INDEX(FTE_Allocation!$A$2:$A$201,$AB210),Workforce!$A$2:$A$151,0))&amp;"","")))</f>
        <v/>
      </c>
      <c r="J210" s="18">
        <f>IF($Z210="","",IF(AND(DATE($AD210,1,1)&gt;=$AE210,DATE($AD210,1,1)&lt;=$AF210),ROUND($AG210,2),0))</f>
        <v/>
      </c>
      <c r="K210" s="18">
        <f>IF($Z210="","",IF(AND(DATE($AD210,2,1)&gt;=$AE210,DATE($AD210,2,1)&lt;=$AF210),ROUND($AG210,2),0))</f>
        <v/>
      </c>
      <c r="L210" s="18">
        <f>IF($Z210="","",IF(AND(DATE($AD210,3,1)&gt;=$AE210,DATE($AD210,3,1)&lt;=$AF210),ROUND($AG210,2),0))</f>
        <v/>
      </c>
      <c r="M210" s="18">
        <f>IF($Z210="","",IF(AND(DATE($AD210,4,1)&gt;=$AE210,DATE($AD210,4,1)&lt;=$AF210),ROUND($AG210,2),0))</f>
        <v/>
      </c>
      <c r="N210" s="18">
        <f>IF($Z210="","",IF(AND(DATE($AD210,5,1)&gt;=$AE210,DATE($AD210,5,1)&lt;=$AF210),ROUND($AG210,2),0))</f>
        <v/>
      </c>
      <c r="O210" s="18">
        <f>IF($Z210="","",IF(AND(DATE($AD210,6,1)&gt;=$AE210,DATE($AD210,6,1)&lt;=$AF210),ROUND($AG210,2),0))</f>
        <v/>
      </c>
      <c r="P210" s="18">
        <f>IF($Z210="","",IF(AND(DATE($AD210,7,1)&gt;=$AE210,DATE($AD210,7,1)&lt;=$AF210),ROUND($AG210,2),0))</f>
        <v/>
      </c>
      <c r="Q210" s="18">
        <f>IF($Z210="","",IF(AND(DATE($AD210,8,1)&gt;=$AE210,DATE($AD210,8,1)&lt;=$AF210),ROUND($AG210,2),0))</f>
        <v/>
      </c>
      <c r="R210" s="18">
        <f>IF($Z210="","",IF(AND(DATE($AD210,9,1)&gt;=$AE210,DATE($AD210,9,1)&lt;=$AF210),ROUND($AG210,2),0))</f>
        <v/>
      </c>
      <c r="S210" s="18">
        <f>IF($Z210="","",IF(AND(DATE($AD210,10,1)&gt;=$AE210,DATE($AD210,10,1)&lt;=$AF210),ROUND($AG210,2),0))</f>
        <v/>
      </c>
      <c r="T210" s="18">
        <f>IF($Z210="","",IF(AND(DATE($AD210,11,1)&gt;=$AE210,DATE($AD210,11,1)&lt;=$AF210),ROUND($AG210,2),0))</f>
        <v/>
      </c>
      <c r="U210" s="18">
        <f>IF($Z210="","",IF(AND(DATE($AD210,12,1)&gt;=$AE210,DATE($AD210,12,1)&lt;=$AF210),ROUND($AG210,2),0))</f>
        <v/>
      </c>
      <c r="V210" s="7">
        <f>IF($Z210="C","Generated from "&amp;INDEX(Contracts!$A$2:$A$151,$AB210),IF($Z210="A","Generated from "&amp;INDEX(Fixed_Assets!$A$2:$A$201,$AB210),IF($Z210="F","Generated from "&amp;INDEX(FTE_Allocation!$A$2:$A$201,$AB210),"")))</f>
        <v/>
      </c>
      <c r="X210" s="19">
        <f>IF($Z210="","",SUM(J210:U210))</f>
        <v/>
      </c>
      <c r="Y210" s="20">
        <f>ROW()-1</f>
        <v/>
      </c>
      <c r="Z210" s="20">
        <f>IF($Y210&lt;=Settings!$B$4*3,"C",IF($Y210&lt;=(Settings!$B$4+Settings!$B$5)*3,"A",IF($Y210&lt;=(Settings!$B$4+Settings!$B$5+Settings!$B$6)*3,"F","")))</f>
        <v/>
      </c>
      <c r="AA210" s="20">
        <f>IF($Z210="C",$Y210,IF($Z210="A",$Y210-Settings!$B$4*3,IF($Z210="F",$Y210-(Settings!$B$4+Settings!$B$5)*3,"")))</f>
        <v/>
      </c>
      <c r="AB210" s="20">
        <f>IF($Z210="","",INT(($AA210-1)/3)+1)</f>
        <v/>
      </c>
      <c r="AC210" s="20">
        <f>IF($Z210="","",MOD($AA210-1,3)+1)</f>
        <v/>
      </c>
      <c r="AD210" s="20">
        <f>IF($Z210="","",Settings!$B$2+$AC210-1)</f>
        <v/>
      </c>
      <c r="AE210" s="21">
        <f>IF($Z210="C",DATE(YEAR(INDEX(Contracts!$J$2:$J$151,$AB210)),MONTH(INDEX(Contracts!$J$2:$J$151,$AB210)),1),IF($Z210="A",DATE(YEAR(INDEX(Fixed_Assets!$G$2:$G$201,$AB210)),MONTH(INDEX(Fixed_Assets!$G$2:$G$201,$AB210)),1),IF($Z210="F",DATE(YEAR(MAX(N(INDEX(Workforce!$I$2:$I$151,MATCH(INDEX(FTE_Allocation!$A$2:$A$201,$AB210),Workforce!$A$2:$A$151,0))),N(INDEX(FTE_Allocation!$I$2:$I$201,$AB210)))),MONTH(MAX(N(INDEX(Workforce!$I$2:$I$151,MATCH(INDEX(FTE_Allocation!$A$2:$A$201,$AB210),Workforce!$A$2:$A$151,0))),N(INDEX(FTE_Allocation!$I$2:$I$201,$AB210)))),1),"")))</f>
        <v/>
      </c>
      <c r="AF210" s="21">
        <f>IF($Z210="C",IF(INDEX(Contracts!$I$2:$I$151,$AB210)="PREPAID",EDATE(DATE(YEAR(INDEX(Contracts!$J$2:$J$151,$AB210)),MONTH(INDEX(Contracts!$J$2:$J$151,$AB210)),1),IF(INDEX(Contracts!$N$2:$N$151,$AB210)="",12,INDEX(Contracts!$N$2:$N$151,$AB210))-1),IF(INDEX(Contracts!$I$2:$I$151,$AB210)="MONTHLY",IF(INDEX(Contracts!$K$2:$K$151,$AB210)="",2958101,INDEX(Contracts!$K$2:$K$151,$AB210)),0)),IF($Z210="A",EDATE(DATE(YEAR(INDEX(Fixed_Assets!$G$2:$G$201,$AB210)),MONTH(INDEX(Fixed_Assets!$G$2:$G$201,$AB210)),1),INDEX(Fixed_Assets!$J$2:$J$201,$AB210)-1),IF($Z210="F",MIN(IF(INDEX(Workforce!$J$2:$J$151,MATCH(INDEX(FTE_Allocation!$A$2:$A$201,$AB210),Workforce!$A$2:$A$151,0))="",2958101,INDEX(Workforce!$J$2:$J$151,MATCH(INDEX(FTE_Allocation!$A$2:$A$201,$AB210),Workforce!$A$2:$A$151,0))),IF(INDEX(FTE_Allocation!$J$2:$J$201,$AB210)="",2958101,INDEX(FTE_Allocation!$J$2:$J$201,$AB210))),"")))</f>
        <v/>
      </c>
      <c r="AG210" s="19">
        <f>IF($Z210="C",IF(INDEX(Contracts!$I$2:$I$151,$AB210)="PREPAID",INDEX(Contracts!$M$2:$M$151,$AB210)/IF(INDEX(Contracts!$N$2:$N$151,$AB210)="",12,INDEX(Contracts!$N$2:$N$151,$AB210)),IF(INDEX(Contracts!$I$2:$I$151,$AB210)="MONTHLY",INDEX(Contracts!$M$2:$M$151,$AB210),0))*(1-N(INDEX(Contracts!$O$2:$O$151,$AB210))),IF($Z210="A",INDEX(Fixed_Assets!$H$2:$H$201,$AB210)/INDEX(Fixed_Assets!$J$2:$J$201,$AB210),IF($Z210="F",INDEX(Workforce!$F$2:$F$151,MATCH(INDEX(FTE_Allocation!$A$2:$A$201,$AB210),Workforce!$A$2:$A$151,0))*N(INDEX(FTE_Allocation!$F$2:$H$201,$AB210,$AC210)),"")))</f>
        <v/>
      </c>
    </row>
    <row r="211">
      <c r="A211" s="7">
        <f>IF($Z211="","",$AD211)</f>
        <v/>
      </c>
      <c r="B211" s="7">
        <f>IF($Z211="C",INDEX(Contracts!$D$2:$D$151,$AB211)&amp;"",IF($Z211="A",INDEX(Fixed_Assets!$C$2:$C$201,$AB211)&amp;"",IF($Z211="F",INDEX(Workforce!$B$2:$B$151,MATCH(INDEX(FTE_Allocation!$A$2:$A$201,$AB211),Workforce!$A$2:$A$151,0))&amp;"","")))</f>
        <v/>
      </c>
      <c r="C211" s="7">
        <f>IF($Z211="C",INDEX(Contracts!$E$2:$E$151,$AB211)&amp;"",IF($Z211="A",INDEX(Fixed_Assets!$D$2:$D$201,$AB211)&amp;"",IF($Z211="F",INDEX(FTE_Allocation!$C$2:$C$201,$AB211)&amp;"","")))</f>
        <v/>
      </c>
      <c r="D211" s="7">
        <f>IF($Z211="C",INDEX(Contracts!$B$2:$B$151,$AB211)&amp;"",IF($Z211="A",INDEX(Fixed_Assets!$B$2:$B$201,$AB211)&amp;"",IF($Z211="F",INDEX(FTE_Allocation!$B$2:$B$201,$AB211)&amp;"","")))</f>
        <v/>
      </c>
      <c r="E211" s="7">
        <f>IF($Z211="C",INDEX(Contracts!$P$2:$P$151,$AB211)&amp;"",IF($Z211="A",INDEX(Fixed_Assets!$K$2:$K$201,$AB211)&amp;"",IF($Z211="F",IF(INDEX(FTE_Allocation!$D$2:$D$201,$AB211)="PROJECT",IFERROR(INDEX(Projects!$D:$D,MATCH(INDEX(FTE_Allocation!$E$2:$E$201,$AB211),Projects!$A:$A,0))&amp;"","#PROJECT?"),INDEX(FTE_Allocation!$E$2:$E$201,$AB211)&amp;""),"")))</f>
        <v/>
      </c>
      <c r="F211" s="7">
        <f>IF($Z211="C",INDEX(Contracts!$Q$2:$Q$151,$AB211)&amp;"",IF($Z211="A",INDEX(Fixed_Assets!$L$2:$L$201,$AB211)&amp;"",IF($Z211="F",INDEX(Workforce!$K$2:$K$151,MATCH(INDEX(FTE_Allocation!$A$2:$A$201,$AB211),Workforce!$A$2:$A$151,0))&amp;"","")))</f>
        <v/>
      </c>
      <c r="G211" s="7">
        <f>IF($Z211="C",INDEX(Contracts!$F$2:$F$151,$AB211)&amp;" / "&amp;INDEX(Contracts!$G$2:$G$151,$AB211),IF($Z211="A",INDEX(Fixed_Assets!$E$2:$E$201,$AB211)&amp;"",IF($Z211="F","Personnel "&amp;INDEX(FTE_Allocation!$A$2:$A$201,$AB211)&amp;IF(INDEX(FTE_Allocation!$D$2:$D$201,$AB211)="PROJECT"," ("&amp;INDEX(FTE_Allocation!$E$2:$E$201,$AB211)&amp;")",""),"")))</f>
        <v/>
      </c>
      <c r="H211" s="7">
        <f>IF($Z211="C","CONTRACT",IF($Z211="A","ASSET",IF($Z211="F","WORKFORCE","")))</f>
        <v/>
      </c>
      <c r="I211" s="7">
        <f>IF($Z211="C",INDEX(Contracts!$L$2:$L$151,$AB211)&amp;"",IF($Z211="A",INDEX(Fixed_Assets!$I$2:$I$201,$AB211)&amp;"",IF($Z211="F",INDEX(Workforce!$G$2:$G$151,MATCH(INDEX(FTE_Allocation!$A$2:$A$201,$AB211),Workforce!$A$2:$A$151,0))&amp;"","")))</f>
        <v/>
      </c>
      <c r="J211" s="18">
        <f>IF($Z211="","",IF(AND(DATE($AD211,1,1)&gt;=$AE211,DATE($AD211,1,1)&lt;=$AF211),ROUND($AG211,2),0))</f>
        <v/>
      </c>
      <c r="K211" s="18">
        <f>IF($Z211="","",IF(AND(DATE($AD211,2,1)&gt;=$AE211,DATE($AD211,2,1)&lt;=$AF211),ROUND($AG211,2),0))</f>
        <v/>
      </c>
      <c r="L211" s="18">
        <f>IF($Z211="","",IF(AND(DATE($AD211,3,1)&gt;=$AE211,DATE($AD211,3,1)&lt;=$AF211),ROUND($AG211,2),0))</f>
        <v/>
      </c>
      <c r="M211" s="18">
        <f>IF($Z211="","",IF(AND(DATE($AD211,4,1)&gt;=$AE211,DATE($AD211,4,1)&lt;=$AF211),ROUND($AG211,2),0))</f>
        <v/>
      </c>
      <c r="N211" s="18">
        <f>IF($Z211="","",IF(AND(DATE($AD211,5,1)&gt;=$AE211,DATE($AD211,5,1)&lt;=$AF211),ROUND($AG211,2),0))</f>
        <v/>
      </c>
      <c r="O211" s="18">
        <f>IF($Z211="","",IF(AND(DATE($AD211,6,1)&gt;=$AE211,DATE($AD211,6,1)&lt;=$AF211),ROUND($AG211,2),0))</f>
        <v/>
      </c>
      <c r="P211" s="18">
        <f>IF($Z211="","",IF(AND(DATE($AD211,7,1)&gt;=$AE211,DATE($AD211,7,1)&lt;=$AF211),ROUND($AG211,2),0))</f>
        <v/>
      </c>
      <c r="Q211" s="18">
        <f>IF($Z211="","",IF(AND(DATE($AD211,8,1)&gt;=$AE211,DATE($AD211,8,1)&lt;=$AF211),ROUND($AG211,2),0))</f>
        <v/>
      </c>
      <c r="R211" s="18">
        <f>IF($Z211="","",IF(AND(DATE($AD211,9,1)&gt;=$AE211,DATE($AD211,9,1)&lt;=$AF211),ROUND($AG211,2),0))</f>
        <v/>
      </c>
      <c r="S211" s="18">
        <f>IF($Z211="","",IF(AND(DATE($AD211,10,1)&gt;=$AE211,DATE($AD211,10,1)&lt;=$AF211),ROUND($AG211,2),0))</f>
        <v/>
      </c>
      <c r="T211" s="18">
        <f>IF($Z211="","",IF(AND(DATE($AD211,11,1)&gt;=$AE211,DATE($AD211,11,1)&lt;=$AF211),ROUND($AG211,2),0))</f>
        <v/>
      </c>
      <c r="U211" s="18">
        <f>IF($Z211="","",IF(AND(DATE($AD211,12,1)&gt;=$AE211,DATE($AD211,12,1)&lt;=$AF211),ROUND($AG211,2),0))</f>
        <v/>
      </c>
      <c r="V211" s="7">
        <f>IF($Z211="C","Generated from "&amp;INDEX(Contracts!$A$2:$A$151,$AB211),IF($Z211="A","Generated from "&amp;INDEX(Fixed_Assets!$A$2:$A$201,$AB211),IF($Z211="F","Generated from "&amp;INDEX(FTE_Allocation!$A$2:$A$201,$AB211),"")))</f>
        <v/>
      </c>
      <c r="X211" s="19">
        <f>IF($Z211="","",SUM(J211:U211))</f>
        <v/>
      </c>
      <c r="Y211" s="20">
        <f>ROW()-1</f>
        <v/>
      </c>
      <c r="Z211" s="20">
        <f>IF($Y211&lt;=Settings!$B$4*3,"C",IF($Y211&lt;=(Settings!$B$4+Settings!$B$5)*3,"A",IF($Y211&lt;=(Settings!$B$4+Settings!$B$5+Settings!$B$6)*3,"F","")))</f>
        <v/>
      </c>
      <c r="AA211" s="20">
        <f>IF($Z211="C",$Y211,IF($Z211="A",$Y211-Settings!$B$4*3,IF($Z211="F",$Y211-(Settings!$B$4+Settings!$B$5)*3,"")))</f>
        <v/>
      </c>
      <c r="AB211" s="20">
        <f>IF($Z211="","",INT(($AA211-1)/3)+1)</f>
        <v/>
      </c>
      <c r="AC211" s="20">
        <f>IF($Z211="","",MOD($AA211-1,3)+1)</f>
        <v/>
      </c>
      <c r="AD211" s="20">
        <f>IF($Z211="","",Settings!$B$2+$AC211-1)</f>
        <v/>
      </c>
      <c r="AE211" s="21">
        <f>IF($Z211="C",DATE(YEAR(INDEX(Contracts!$J$2:$J$151,$AB211)),MONTH(INDEX(Contracts!$J$2:$J$151,$AB211)),1),IF($Z211="A",DATE(YEAR(INDEX(Fixed_Assets!$G$2:$G$201,$AB211)),MONTH(INDEX(Fixed_Assets!$G$2:$G$201,$AB211)),1),IF($Z211="F",DATE(YEAR(MAX(N(INDEX(Workforce!$I$2:$I$151,MATCH(INDEX(FTE_Allocation!$A$2:$A$201,$AB211),Workforce!$A$2:$A$151,0))),N(INDEX(FTE_Allocation!$I$2:$I$201,$AB211)))),MONTH(MAX(N(INDEX(Workforce!$I$2:$I$151,MATCH(INDEX(FTE_Allocation!$A$2:$A$201,$AB211),Workforce!$A$2:$A$151,0))),N(INDEX(FTE_Allocation!$I$2:$I$201,$AB211)))),1),"")))</f>
        <v/>
      </c>
      <c r="AF211" s="21">
        <f>IF($Z211="C",IF(INDEX(Contracts!$I$2:$I$151,$AB211)="PREPAID",EDATE(DATE(YEAR(INDEX(Contracts!$J$2:$J$151,$AB211)),MONTH(INDEX(Contracts!$J$2:$J$151,$AB211)),1),IF(INDEX(Contracts!$N$2:$N$151,$AB211)="",12,INDEX(Contracts!$N$2:$N$151,$AB211))-1),IF(INDEX(Contracts!$I$2:$I$151,$AB211)="MONTHLY",IF(INDEX(Contracts!$K$2:$K$151,$AB211)="",2958101,INDEX(Contracts!$K$2:$K$151,$AB211)),0)),IF($Z211="A",EDATE(DATE(YEAR(INDEX(Fixed_Assets!$G$2:$G$201,$AB211)),MONTH(INDEX(Fixed_Assets!$G$2:$G$201,$AB211)),1),INDEX(Fixed_Assets!$J$2:$J$201,$AB211)-1),IF($Z211="F",MIN(IF(INDEX(Workforce!$J$2:$J$151,MATCH(INDEX(FTE_Allocation!$A$2:$A$201,$AB211),Workforce!$A$2:$A$151,0))="",2958101,INDEX(Workforce!$J$2:$J$151,MATCH(INDEX(FTE_Allocation!$A$2:$A$201,$AB211),Workforce!$A$2:$A$151,0))),IF(INDEX(FTE_Allocation!$J$2:$J$201,$AB211)="",2958101,INDEX(FTE_Allocation!$J$2:$J$201,$AB211))),"")))</f>
        <v/>
      </c>
      <c r="AG211" s="19">
        <f>IF($Z211="C",IF(INDEX(Contracts!$I$2:$I$151,$AB211)="PREPAID",INDEX(Contracts!$M$2:$M$151,$AB211)/IF(INDEX(Contracts!$N$2:$N$151,$AB211)="",12,INDEX(Contracts!$N$2:$N$151,$AB211)),IF(INDEX(Contracts!$I$2:$I$151,$AB211)="MONTHLY",INDEX(Contracts!$M$2:$M$151,$AB211),0))*(1-N(INDEX(Contracts!$O$2:$O$151,$AB211))),IF($Z211="A",INDEX(Fixed_Assets!$H$2:$H$201,$AB211)/INDEX(Fixed_Assets!$J$2:$J$201,$AB211),IF($Z211="F",INDEX(Workforce!$F$2:$F$151,MATCH(INDEX(FTE_Allocation!$A$2:$A$201,$AB211),Workforce!$A$2:$A$151,0))*N(INDEX(FTE_Allocation!$F$2:$H$201,$AB211,$AC211)),"")))</f>
        <v/>
      </c>
    </row>
    <row r="212">
      <c r="A212" s="7">
        <f>IF($Z212="","",$AD212)</f>
        <v/>
      </c>
      <c r="B212" s="7">
        <f>IF($Z212="C",INDEX(Contracts!$D$2:$D$151,$AB212)&amp;"",IF($Z212="A",INDEX(Fixed_Assets!$C$2:$C$201,$AB212)&amp;"",IF($Z212="F",INDEX(Workforce!$B$2:$B$151,MATCH(INDEX(FTE_Allocation!$A$2:$A$201,$AB212),Workforce!$A$2:$A$151,0))&amp;"","")))</f>
        <v/>
      </c>
      <c r="C212" s="7">
        <f>IF($Z212="C",INDEX(Contracts!$E$2:$E$151,$AB212)&amp;"",IF($Z212="A",INDEX(Fixed_Assets!$D$2:$D$201,$AB212)&amp;"",IF($Z212="F",INDEX(FTE_Allocation!$C$2:$C$201,$AB212)&amp;"","")))</f>
        <v/>
      </c>
      <c r="D212" s="7">
        <f>IF($Z212="C",INDEX(Contracts!$B$2:$B$151,$AB212)&amp;"",IF($Z212="A",INDEX(Fixed_Assets!$B$2:$B$201,$AB212)&amp;"",IF($Z212="F",INDEX(FTE_Allocation!$B$2:$B$201,$AB212)&amp;"","")))</f>
        <v/>
      </c>
      <c r="E212" s="7">
        <f>IF($Z212="C",INDEX(Contracts!$P$2:$P$151,$AB212)&amp;"",IF($Z212="A",INDEX(Fixed_Assets!$K$2:$K$201,$AB212)&amp;"",IF($Z212="F",IF(INDEX(FTE_Allocation!$D$2:$D$201,$AB212)="PROJECT",IFERROR(INDEX(Projects!$D:$D,MATCH(INDEX(FTE_Allocation!$E$2:$E$201,$AB212),Projects!$A:$A,0))&amp;"","#PROJECT?"),INDEX(FTE_Allocation!$E$2:$E$201,$AB212)&amp;""),"")))</f>
        <v/>
      </c>
      <c r="F212" s="7">
        <f>IF($Z212="C",INDEX(Contracts!$Q$2:$Q$151,$AB212)&amp;"",IF($Z212="A",INDEX(Fixed_Assets!$L$2:$L$201,$AB212)&amp;"",IF($Z212="F",INDEX(Workforce!$K$2:$K$151,MATCH(INDEX(FTE_Allocation!$A$2:$A$201,$AB212),Workforce!$A$2:$A$151,0))&amp;"","")))</f>
        <v/>
      </c>
      <c r="G212" s="7">
        <f>IF($Z212="C",INDEX(Contracts!$F$2:$F$151,$AB212)&amp;" / "&amp;INDEX(Contracts!$G$2:$G$151,$AB212),IF($Z212="A",INDEX(Fixed_Assets!$E$2:$E$201,$AB212)&amp;"",IF($Z212="F","Personnel "&amp;INDEX(FTE_Allocation!$A$2:$A$201,$AB212)&amp;IF(INDEX(FTE_Allocation!$D$2:$D$201,$AB212)="PROJECT"," ("&amp;INDEX(FTE_Allocation!$E$2:$E$201,$AB212)&amp;")",""),"")))</f>
        <v/>
      </c>
      <c r="H212" s="7">
        <f>IF($Z212="C","CONTRACT",IF($Z212="A","ASSET",IF($Z212="F","WORKFORCE","")))</f>
        <v/>
      </c>
      <c r="I212" s="7">
        <f>IF($Z212="C",INDEX(Contracts!$L$2:$L$151,$AB212)&amp;"",IF($Z212="A",INDEX(Fixed_Assets!$I$2:$I$201,$AB212)&amp;"",IF($Z212="F",INDEX(Workforce!$G$2:$G$151,MATCH(INDEX(FTE_Allocation!$A$2:$A$201,$AB212),Workforce!$A$2:$A$151,0))&amp;"","")))</f>
        <v/>
      </c>
      <c r="J212" s="18">
        <f>IF($Z212="","",IF(AND(DATE($AD212,1,1)&gt;=$AE212,DATE($AD212,1,1)&lt;=$AF212),ROUND($AG212,2),0))</f>
        <v/>
      </c>
      <c r="K212" s="18">
        <f>IF($Z212="","",IF(AND(DATE($AD212,2,1)&gt;=$AE212,DATE($AD212,2,1)&lt;=$AF212),ROUND($AG212,2),0))</f>
        <v/>
      </c>
      <c r="L212" s="18">
        <f>IF($Z212="","",IF(AND(DATE($AD212,3,1)&gt;=$AE212,DATE($AD212,3,1)&lt;=$AF212),ROUND($AG212,2),0))</f>
        <v/>
      </c>
      <c r="M212" s="18">
        <f>IF($Z212="","",IF(AND(DATE($AD212,4,1)&gt;=$AE212,DATE($AD212,4,1)&lt;=$AF212),ROUND($AG212,2),0))</f>
        <v/>
      </c>
      <c r="N212" s="18">
        <f>IF($Z212="","",IF(AND(DATE($AD212,5,1)&gt;=$AE212,DATE($AD212,5,1)&lt;=$AF212),ROUND($AG212,2),0))</f>
        <v/>
      </c>
      <c r="O212" s="18">
        <f>IF($Z212="","",IF(AND(DATE($AD212,6,1)&gt;=$AE212,DATE($AD212,6,1)&lt;=$AF212),ROUND($AG212,2),0))</f>
        <v/>
      </c>
      <c r="P212" s="18">
        <f>IF($Z212="","",IF(AND(DATE($AD212,7,1)&gt;=$AE212,DATE($AD212,7,1)&lt;=$AF212),ROUND($AG212,2),0))</f>
        <v/>
      </c>
      <c r="Q212" s="18">
        <f>IF($Z212="","",IF(AND(DATE($AD212,8,1)&gt;=$AE212,DATE($AD212,8,1)&lt;=$AF212),ROUND($AG212,2),0))</f>
        <v/>
      </c>
      <c r="R212" s="18">
        <f>IF($Z212="","",IF(AND(DATE($AD212,9,1)&gt;=$AE212,DATE($AD212,9,1)&lt;=$AF212),ROUND($AG212,2),0))</f>
        <v/>
      </c>
      <c r="S212" s="18">
        <f>IF($Z212="","",IF(AND(DATE($AD212,10,1)&gt;=$AE212,DATE($AD212,10,1)&lt;=$AF212),ROUND($AG212,2),0))</f>
        <v/>
      </c>
      <c r="T212" s="18">
        <f>IF($Z212="","",IF(AND(DATE($AD212,11,1)&gt;=$AE212,DATE($AD212,11,1)&lt;=$AF212),ROUND($AG212,2),0))</f>
        <v/>
      </c>
      <c r="U212" s="18">
        <f>IF($Z212="","",IF(AND(DATE($AD212,12,1)&gt;=$AE212,DATE($AD212,12,1)&lt;=$AF212),ROUND($AG212,2),0))</f>
        <v/>
      </c>
      <c r="V212" s="7">
        <f>IF($Z212="C","Generated from "&amp;INDEX(Contracts!$A$2:$A$151,$AB212),IF($Z212="A","Generated from "&amp;INDEX(Fixed_Assets!$A$2:$A$201,$AB212),IF($Z212="F","Generated from "&amp;INDEX(FTE_Allocation!$A$2:$A$201,$AB212),"")))</f>
        <v/>
      </c>
      <c r="X212" s="19">
        <f>IF($Z212="","",SUM(J212:U212))</f>
        <v/>
      </c>
      <c r="Y212" s="20">
        <f>ROW()-1</f>
        <v/>
      </c>
      <c r="Z212" s="20">
        <f>IF($Y212&lt;=Settings!$B$4*3,"C",IF($Y212&lt;=(Settings!$B$4+Settings!$B$5)*3,"A",IF($Y212&lt;=(Settings!$B$4+Settings!$B$5+Settings!$B$6)*3,"F","")))</f>
        <v/>
      </c>
      <c r="AA212" s="20">
        <f>IF($Z212="C",$Y212,IF($Z212="A",$Y212-Settings!$B$4*3,IF($Z212="F",$Y212-(Settings!$B$4+Settings!$B$5)*3,"")))</f>
        <v/>
      </c>
      <c r="AB212" s="20">
        <f>IF($Z212="","",INT(($AA212-1)/3)+1)</f>
        <v/>
      </c>
      <c r="AC212" s="20">
        <f>IF($Z212="","",MOD($AA212-1,3)+1)</f>
        <v/>
      </c>
      <c r="AD212" s="20">
        <f>IF($Z212="","",Settings!$B$2+$AC212-1)</f>
        <v/>
      </c>
      <c r="AE212" s="21">
        <f>IF($Z212="C",DATE(YEAR(INDEX(Contracts!$J$2:$J$151,$AB212)),MONTH(INDEX(Contracts!$J$2:$J$151,$AB212)),1),IF($Z212="A",DATE(YEAR(INDEX(Fixed_Assets!$G$2:$G$201,$AB212)),MONTH(INDEX(Fixed_Assets!$G$2:$G$201,$AB212)),1),IF($Z212="F",DATE(YEAR(MAX(N(INDEX(Workforce!$I$2:$I$151,MATCH(INDEX(FTE_Allocation!$A$2:$A$201,$AB212),Workforce!$A$2:$A$151,0))),N(INDEX(FTE_Allocation!$I$2:$I$201,$AB212)))),MONTH(MAX(N(INDEX(Workforce!$I$2:$I$151,MATCH(INDEX(FTE_Allocation!$A$2:$A$201,$AB212),Workforce!$A$2:$A$151,0))),N(INDEX(FTE_Allocation!$I$2:$I$201,$AB212)))),1),"")))</f>
        <v/>
      </c>
      <c r="AF212" s="21">
        <f>IF($Z212="C",IF(INDEX(Contracts!$I$2:$I$151,$AB212)="PREPAID",EDATE(DATE(YEAR(INDEX(Contracts!$J$2:$J$151,$AB212)),MONTH(INDEX(Contracts!$J$2:$J$151,$AB212)),1),IF(INDEX(Contracts!$N$2:$N$151,$AB212)="",12,INDEX(Contracts!$N$2:$N$151,$AB212))-1),IF(INDEX(Contracts!$I$2:$I$151,$AB212)="MONTHLY",IF(INDEX(Contracts!$K$2:$K$151,$AB212)="",2958101,INDEX(Contracts!$K$2:$K$151,$AB212)),0)),IF($Z212="A",EDATE(DATE(YEAR(INDEX(Fixed_Assets!$G$2:$G$201,$AB212)),MONTH(INDEX(Fixed_Assets!$G$2:$G$201,$AB212)),1),INDEX(Fixed_Assets!$J$2:$J$201,$AB212)-1),IF($Z212="F",MIN(IF(INDEX(Workforce!$J$2:$J$151,MATCH(INDEX(FTE_Allocation!$A$2:$A$201,$AB212),Workforce!$A$2:$A$151,0))="",2958101,INDEX(Workforce!$J$2:$J$151,MATCH(INDEX(FTE_Allocation!$A$2:$A$201,$AB212),Workforce!$A$2:$A$151,0))),IF(INDEX(FTE_Allocation!$J$2:$J$201,$AB212)="",2958101,INDEX(FTE_Allocation!$J$2:$J$201,$AB212))),"")))</f>
        <v/>
      </c>
      <c r="AG212" s="19">
        <f>IF($Z212="C",IF(INDEX(Contracts!$I$2:$I$151,$AB212)="PREPAID",INDEX(Contracts!$M$2:$M$151,$AB212)/IF(INDEX(Contracts!$N$2:$N$151,$AB212)="",12,INDEX(Contracts!$N$2:$N$151,$AB212)),IF(INDEX(Contracts!$I$2:$I$151,$AB212)="MONTHLY",INDEX(Contracts!$M$2:$M$151,$AB212),0))*(1-N(INDEX(Contracts!$O$2:$O$151,$AB212))),IF($Z212="A",INDEX(Fixed_Assets!$H$2:$H$201,$AB212)/INDEX(Fixed_Assets!$J$2:$J$201,$AB212),IF($Z212="F",INDEX(Workforce!$F$2:$F$151,MATCH(INDEX(FTE_Allocation!$A$2:$A$201,$AB212),Workforce!$A$2:$A$151,0))*N(INDEX(FTE_Allocation!$F$2:$H$201,$AB212,$AC212)),"")))</f>
        <v/>
      </c>
    </row>
    <row r="213">
      <c r="A213" s="7">
        <f>IF($Z213="","",$AD213)</f>
        <v/>
      </c>
      <c r="B213" s="7">
        <f>IF($Z213="C",INDEX(Contracts!$D$2:$D$151,$AB213)&amp;"",IF($Z213="A",INDEX(Fixed_Assets!$C$2:$C$201,$AB213)&amp;"",IF($Z213="F",INDEX(Workforce!$B$2:$B$151,MATCH(INDEX(FTE_Allocation!$A$2:$A$201,$AB213),Workforce!$A$2:$A$151,0))&amp;"","")))</f>
        <v/>
      </c>
      <c r="C213" s="7">
        <f>IF($Z213="C",INDEX(Contracts!$E$2:$E$151,$AB213)&amp;"",IF($Z213="A",INDEX(Fixed_Assets!$D$2:$D$201,$AB213)&amp;"",IF($Z213="F",INDEX(FTE_Allocation!$C$2:$C$201,$AB213)&amp;"","")))</f>
        <v/>
      </c>
      <c r="D213" s="7">
        <f>IF($Z213="C",INDEX(Contracts!$B$2:$B$151,$AB213)&amp;"",IF($Z213="A",INDEX(Fixed_Assets!$B$2:$B$201,$AB213)&amp;"",IF($Z213="F",INDEX(FTE_Allocation!$B$2:$B$201,$AB213)&amp;"","")))</f>
        <v/>
      </c>
      <c r="E213" s="7">
        <f>IF($Z213="C",INDEX(Contracts!$P$2:$P$151,$AB213)&amp;"",IF($Z213="A",INDEX(Fixed_Assets!$K$2:$K$201,$AB213)&amp;"",IF($Z213="F",IF(INDEX(FTE_Allocation!$D$2:$D$201,$AB213)="PROJECT",IFERROR(INDEX(Projects!$D:$D,MATCH(INDEX(FTE_Allocation!$E$2:$E$201,$AB213),Projects!$A:$A,0))&amp;"","#PROJECT?"),INDEX(FTE_Allocation!$E$2:$E$201,$AB213)&amp;""),"")))</f>
        <v/>
      </c>
      <c r="F213" s="7">
        <f>IF($Z213="C",INDEX(Contracts!$Q$2:$Q$151,$AB213)&amp;"",IF($Z213="A",INDEX(Fixed_Assets!$L$2:$L$201,$AB213)&amp;"",IF($Z213="F",INDEX(Workforce!$K$2:$K$151,MATCH(INDEX(FTE_Allocation!$A$2:$A$201,$AB213),Workforce!$A$2:$A$151,0))&amp;"","")))</f>
        <v/>
      </c>
      <c r="G213" s="7">
        <f>IF($Z213="C",INDEX(Contracts!$F$2:$F$151,$AB213)&amp;" / "&amp;INDEX(Contracts!$G$2:$G$151,$AB213),IF($Z213="A",INDEX(Fixed_Assets!$E$2:$E$201,$AB213)&amp;"",IF($Z213="F","Personnel "&amp;INDEX(FTE_Allocation!$A$2:$A$201,$AB213)&amp;IF(INDEX(FTE_Allocation!$D$2:$D$201,$AB213)="PROJECT"," ("&amp;INDEX(FTE_Allocation!$E$2:$E$201,$AB213)&amp;")",""),"")))</f>
        <v/>
      </c>
      <c r="H213" s="7">
        <f>IF($Z213="C","CONTRACT",IF($Z213="A","ASSET",IF($Z213="F","WORKFORCE","")))</f>
        <v/>
      </c>
      <c r="I213" s="7">
        <f>IF($Z213="C",INDEX(Contracts!$L$2:$L$151,$AB213)&amp;"",IF($Z213="A",INDEX(Fixed_Assets!$I$2:$I$201,$AB213)&amp;"",IF($Z213="F",INDEX(Workforce!$G$2:$G$151,MATCH(INDEX(FTE_Allocation!$A$2:$A$201,$AB213),Workforce!$A$2:$A$151,0))&amp;"","")))</f>
        <v/>
      </c>
      <c r="J213" s="18">
        <f>IF($Z213="","",IF(AND(DATE($AD213,1,1)&gt;=$AE213,DATE($AD213,1,1)&lt;=$AF213),ROUND($AG213,2),0))</f>
        <v/>
      </c>
      <c r="K213" s="18">
        <f>IF($Z213="","",IF(AND(DATE($AD213,2,1)&gt;=$AE213,DATE($AD213,2,1)&lt;=$AF213),ROUND($AG213,2),0))</f>
        <v/>
      </c>
      <c r="L213" s="18">
        <f>IF($Z213="","",IF(AND(DATE($AD213,3,1)&gt;=$AE213,DATE($AD213,3,1)&lt;=$AF213),ROUND($AG213,2),0))</f>
        <v/>
      </c>
      <c r="M213" s="18">
        <f>IF($Z213="","",IF(AND(DATE($AD213,4,1)&gt;=$AE213,DATE($AD213,4,1)&lt;=$AF213),ROUND($AG213,2),0))</f>
        <v/>
      </c>
      <c r="N213" s="18">
        <f>IF($Z213="","",IF(AND(DATE($AD213,5,1)&gt;=$AE213,DATE($AD213,5,1)&lt;=$AF213),ROUND($AG213,2),0))</f>
        <v/>
      </c>
      <c r="O213" s="18">
        <f>IF($Z213="","",IF(AND(DATE($AD213,6,1)&gt;=$AE213,DATE($AD213,6,1)&lt;=$AF213),ROUND($AG213,2),0))</f>
        <v/>
      </c>
      <c r="P213" s="18">
        <f>IF($Z213="","",IF(AND(DATE($AD213,7,1)&gt;=$AE213,DATE($AD213,7,1)&lt;=$AF213),ROUND($AG213,2),0))</f>
        <v/>
      </c>
      <c r="Q213" s="18">
        <f>IF($Z213="","",IF(AND(DATE($AD213,8,1)&gt;=$AE213,DATE($AD213,8,1)&lt;=$AF213),ROUND($AG213,2),0))</f>
        <v/>
      </c>
      <c r="R213" s="18">
        <f>IF($Z213="","",IF(AND(DATE($AD213,9,1)&gt;=$AE213,DATE($AD213,9,1)&lt;=$AF213),ROUND($AG213,2),0))</f>
        <v/>
      </c>
      <c r="S213" s="18">
        <f>IF($Z213="","",IF(AND(DATE($AD213,10,1)&gt;=$AE213,DATE($AD213,10,1)&lt;=$AF213),ROUND($AG213,2),0))</f>
        <v/>
      </c>
      <c r="T213" s="18">
        <f>IF($Z213="","",IF(AND(DATE($AD213,11,1)&gt;=$AE213,DATE($AD213,11,1)&lt;=$AF213),ROUND($AG213,2),0))</f>
        <v/>
      </c>
      <c r="U213" s="18">
        <f>IF($Z213="","",IF(AND(DATE($AD213,12,1)&gt;=$AE213,DATE($AD213,12,1)&lt;=$AF213),ROUND($AG213,2),0))</f>
        <v/>
      </c>
      <c r="V213" s="7">
        <f>IF($Z213="C","Generated from "&amp;INDEX(Contracts!$A$2:$A$151,$AB213),IF($Z213="A","Generated from "&amp;INDEX(Fixed_Assets!$A$2:$A$201,$AB213),IF($Z213="F","Generated from "&amp;INDEX(FTE_Allocation!$A$2:$A$201,$AB213),"")))</f>
        <v/>
      </c>
      <c r="X213" s="19">
        <f>IF($Z213="","",SUM(J213:U213))</f>
        <v/>
      </c>
      <c r="Y213" s="20">
        <f>ROW()-1</f>
        <v/>
      </c>
      <c r="Z213" s="20">
        <f>IF($Y213&lt;=Settings!$B$4*3,"C",IF($Y213&lt;=(Settings!$B$4+Settings!$B$5)*3,"A",IF($Y213&lt;=(Settings!$B$4+Settings!$B$5+Settings!$B$6)*3,"F","")))</f>
        <v/>
      </c>
      <c r="AA213" s="20">
        <f>IF($Z213="C",$Y213,IF($Z213="A",$Y213-Settings!$B$4*3,IF($Z213="F",$Y213-(Settings!$B$4+Settings!$B$5)*3,"")))</f>
        <v/>
      </c>
      <c r="AB213" s="20">
        <f>IF($Z213="","",INT(($AA213-1)/3)+1)</f>
        <v/>
      </c>
      <c r="AC213" s="20">
        <f>IF($Z213="","",MOD($AA213-1,3)+1)</f>
        <v/>
      </c>
      <c r="AD213" s="20">
        <f>IF($Z213="","",Settings!$B$2+$AC213-1)</f>
        <v/>
      </c>
      <c r="AE213" s="21">
        <f>IF($Z213="C",DATE(YEAR(INDEX(Contracts!$J$2:$J$151,$AB213)),MONTH(INDEX(Contracts!$J$2:$J$151,$AB213)),1),IF($Z213="A",DATE(YEAR(INDEX(Fixed_Assets!$G$2:$G$201,$AB213)),MONTH(INDEX(Fixed_Assets!$G$2:$G$201,$AB213)),1),IF($Z213="F",DATE(YEAR(MAX(N(INDEX(Workforce!$I$2:$I$151,MATCH(INDEX(FTE_Allocation!$A$2:$A$201,$AB213),Workforce!$A$2:$A$151,0))),N(INDEX(FTE_Allocation!$I$2:$I$201,$AB213)))),MONTH(MAX(N(INDEX(Workforce!$I$2:$I$151,MATCH(INDEX(FTE_Allocation!$A$2:$A$201,$AB213),Workforce!$A$2:$A$151,0))),N(INDEX(FTE_Allocation!$I$2:$I$201,$AB213)))),1),"")))</f>
        <v/>
      </c>
      <c r="AF213" s="21">
        <f>IF($Z213="C",IF(INDEX(Contracts!$I$2:$I$151,$AB213)="PREPAID",EDATE(DATE(YEAR(INDEX(Contracts!$J$2:$J$151,$AB213)),MONTH(INDEX(Contracts!$J$2:$J$151,$AB213)),1),IF(INDEX(Contracts!$N$2:$N$151,$AB213)="",12,INDEX(Contracts!$N$2:$N$151,$AB213))-1),IF(INDEX(Contracts!$I$2:$I$151,$AB213)="MONTHLY",IF(INDEX(Contracts!$K$2:$K$151,$AB213)="",2958101,INDEX(Contracts!$K$2:$K$151,$AB213)),0)),IF($Z213="A",EDATE(DATE(YEAR(INDEX(Fixed_Assets!$G$2:$G$201,$AB213)),MONTH(INDEX(Fixed_Assets!$G$2:$G$201,$AB213)),1),INDEX(Fixed_Assets!$J$2:$J$201,$AB213)-1),IF($Z213="F",MIN(IF(INDEX(Workforce!$J$2:$J$151,MATCH(INDEX(FTE_Allocation!$A$2:$A$201,$AB213),Workforce!$A$2:$A$151,0))="",2958101,INDEX(Workforce!$J$2:$J$151,MATCH(INDEX(FTE_Allocation!$A$2:$A$201,$AB213),Workforce!$A$2:$A$151,0))),IF(INDEX(FTE_Allocation!$J$2:$J$201,$AB213)="",2958101,INDEX(FTE_Allocation!$J$2:$J$201,$AB213))),"")))</f>
        <v/>
      </c>
      <c r="AG213" s="19">
        <f>IF($Z213="C",IF(INDEX(Contracts!$I$2:$I$151,$AB213)="PREPAID",INDEX(Contracts!$M$2:$M$151,$AB213)/IF(INDEX(Contracts!$N$2:$N$151,$AB213)="",12,INDEX(Contracts!$N$2:$N$151,$AB213)),IF(INDEX(Contracts!$I$2:$I$151,$AB213)="MONTHLY",INDEX(Contracts!$M$2:$M$151,$AB213),0))*(1-N(INDEX(Contracts!$O$2:$O$151,$AB213))),IF($Z213="A",INDEX(Fixed_Assets!$H$2:$H$201,$AB213)/INDEX(Fixed_Assets!$J$2:$J$201,$AB213),IF($Z213="F",INDEX(Workforce!$F$2:$F$151,MATCH(INDEX(FTE_Allocation!$A$2:$A$201,$AB213),Workforce!$A$2:$A$151,0))*N(INDEX(FTE_Allocation!$F$2:$H$201,$AB213,$AC213)),"")))</f>
        <v/>
      </c>
    </row>
    <row r="214">
      <c r="A214" s="7">
        <f>IF($Z214="","",$AD214)</f>
        <v/>
      </c>
      <c r="B214" s="7">
        <f>IF($Z214="C",INDEX(Contracts!$D$2:$D$151,$AB214)&amp;"",IF($Z214="A",INDEX(Fixed_Assets!$C$2:$C$201,$AB214)&amp;"",IF($Z214="F",INDEX(Workforce!$B$2:$B$151,MATCH(INDEX(FTE_Allocation!$A$2:$A$201,$AB214),Workforce!$A$2:$A$151,0))&amp;"","")))</f>
        <v/>
      </c>
      <c r="C214" s="7">
        <f>IF($Z214="C",INDEX(Contracts!$E$2:$E$151,$AB214)&amp;"",IF($Z214="A",INDEX(Fixed_Assets!$D$2:$D$201,$AB214)&amp;"",IF($Z214="F",INDEX(FTE_Allocation!$C$2:$C$201,$AB214)&amp;"","")))</f>
        <v/>
      </c>
      <c r="D214" s="7">
        <f>IF($Z214="C",INDEX(Contracts!$B$2:$B$151,$AB214)&amp;"",IF($Z214="A",INDEX(Fixed_Assets!$B$2:$B$201,$AB214)&amp;"",IF($Z214="F",INDEX(FTE_Allocation!$B$2:$B$201,$AB214)&amp;"","")))</f>
        <v/>
      </c>
      <c r="E214" s="7">
        <f>IF($Z214="C",INDEX(Contracts!$P$2:$P$151,$AB214)&amp;"",IF($Z214="A",INDEX(Fixed_Assets!$K$2:$K$201,$AB214)&amp;"",IF($Z214="F",IF(INDEX(FTE_Allocation!$D$2:$D$201,$AB214)="PROJECT",IFERROR(INDEX(Projects!$D:$D,MATCH(INDEX(FTE_Allocation!$E$2:$E$201,$AB214),Projects!$A:$A,0))&amp;"","#PROJECT?"),INDEX(FTE_Allocation!$E$2:$E$201,$AB214)&amp;""),"")))</f>
        <v/>
      </c>
      <c r="F214" s="7">
        <f>IF($Z214="C",INDEX(Contracts!$Q$2:$Q$151,$AB214)&amp;"",IF($Z214="A",INDEX(Fixed_Assets!$L$2:$L$201,$AB214)&amp;"",IF($Z214="F",INDEX(Workforce!$K$2:$K$151,MATCH(INDEX(FTE_Allocation!$A$2:$A$201,$AB214),Workforce!$A$2:$A$151,0))&amp;"","")))</f>
        <v/>
      </c>
      <c r="G214" s="7">
        <f>IF($Z214="C",INDEX(Contracts!$F$2:$F$151,$AB214)&amp;" / "&amp;INDEX(Contracts!$G$2:$G$151,$AB214),IF($Z214="A",INDEX(Fixed_Assets!$E$2:$E$201,$AB214)&amp;"",IF($Z214="F","Personnel "&amp;INDEX(FTE_Allocation!$A$2:$A$201,$AB214)&amp;IF(INDEX(FTE_Allocation!$D$2:$D$201,$AB214)="PROJECT"," ("&amp;INDEX(FTE_Allocation!$E$2:$E$201,$AB214)&amp;")",""),"")))</f>
        <v/>
      </c>
      <c r="H214" s="7">
        <f>IF($Z214="C","CONTRACT",IF($Z214="A","ASSET",IF($Z214="F","WORKFORCE","")))</f>
        <v/>
      </c>
      <c r="I214" s="7">
        <f>IF($Z214="C",INDEX(Contracts!$L$2:$L$151,$AB214)&amp;"",IF($Z214="A",INDEX(Fixed_Assets!$I$2:$I$201,$AB214)&amp;"",IF($Z214="F",INDEX(Workforce!$G$2:$G$151,MATCH(INDEX(FTE_Allocation!$A$2:$A$201,$AB214),Workforce!$A$2:$A$151,0))&amp;"","")))</f>
        <v/>
      </c>
      <c r="J214" s="18">
        <f>IF($Z214="","",IF(AND(DATE($AD214,1,1)&gt;=$AE214,DATE($AD214,1,1)&lt;=$AF214),ROUND($AG214,2),0))</f>
        <v/>
      </c>
      <c r="K214" s="18">
        <f>IF($Z214="","",IF(AND(DATE($AD214,2,1)&gt;=$AE214,DATE($AD214,2,1)&lt;=$AF214),ROUND($AG214,2),0))</f>
        <v/>
      </c>
      <c r="L214" s="18">
        <f>IF($Z214="","",IF(AND(DATE($AD214,3,1)&gt;=$AE214,DATE($AD214,3,1)&lt;=$AF214),ROUND($AG214,2),0))</f>
        <v/>
      </c>
      <c r="M214" s="18">
        <f>IF($Z214="","",IF(AND(DATE($AD214,4,1)&gt;=$AE214,DATE($AD214,4,1)&lt;=$AF214),ROUND($AG214,2),0))</f>
        <v/>
      </c>
      <c r="N214" s="18">
        <f>IF($Z214="","",IF(AND(DATE($AD214,5,1)&gt;=$AE214,DATE($AD214,5,1)&lt;=$AF214),ROUND($AG214,2),0))</f>
        <v/>
      </c>
      <c r="O214" s="18">
        <f>IF($Z214="","",IF(AND(DATE($AD214,6,1)&gt;=$AE214,DATE($AD214,6,1)&lt;=$AF214),ROUND($AG214,2),0))</f>
        <v/>
      </c>
      <c r="P214" s="18">
        <f>IF($Z214="","",IF(AND(DATE($AD214,7,1)&gt;=$AE214,DATE($AD214,7,1)&lt;=$AF214),ROUND($AG214,2),0))</f>
        <v/>
      </c>
      <c r="Q214" s="18">
        <f>IF($Z214="","",IF(AND(DATE($AD214,8,1)&gt;=$AE214,DATE($AD214,8,1)&lt;=$AF214),ROUND($AG214,2),0))</f>
        <v/>
      </c>
      <c r="R214" s="18">
        <f>IF($Z214="","",IF(AND(DATE($AD214,9,1)&gt;=$AE214,DATE($AD214,9,1)&lt;=$AF214),ROUND($AG214,2),0))</f>
        <v/>
      </c>
      <c r="S214" s="18">
        <f>IF($Z214="","",IF(AND(DATE($AD214,10,1)&gt;=$AE214,DATE($AD214,10,1)&lt;=$AF214),ROUND($AG214,2),0))</f>
        <v/>
      </c>
      <c r="T214" s="18">
        <f>IF($Z214="","",IF(AND(DATE($AD214,11,1)&gt;=$AE214,DATE($AD214,11,1)&lt;=$AF214),ROUND($AG214,2),0))</f>
        <v/>
      </c>
      <c r="U214" s="18">
        <f>IF($Z214="","",IF(AND(DATE($AD214,12,1)&gt;=$AE214,DATE($AD214,12,1)&lt;=$AF214),ROUND($AG214,2),0))</f>
        <v/>
      </c>
      <c r="V214" s="7">
        <f>IF($Z214="C","Generated from "&amp;INDEX(Contracts!$A$2:$A$151,$AB214),IF($Z214="A","Generated from "&amp;INDEX(Fixed_Assets!$A$2:$A$201,$AB214),IF($Z214="F","Generated from "&amp;INDEX(FTE_Allocation!$A$2:$A$201,$AB214),"")))</f>
        <v/>
      </c>
      <c r="X214" s="19">
        <f>IF($Z214="","",SUM(J214:U214))</f>
        <v/>
      </c>
      <c r="Y214" s="20">
        <f>ROW()-1</f>
        <v/>
      </c>
      <c r="Z214" s="20">
        <f>IF($Y214&lt;=Settings!$B$4*3,"C",IF($Y214&lt;=(Settings!$B$4+Settings!$B$5)*3,"A",IF($Y214&lt;=(Settings!$B$4+Settings!$B$5+Settings!$B$6)*3,"F","")))</f>
        <v/>
      </c>
      <c r="AA214" s="20">
        <f>IF($Z214="C",$Y214,IF($Z214="A",$Y214-Settings!$B$4*3,IF($Z214="F",$Y214-(Settings!$B$4+Settings!$B$5)*3,"")))</f>
        <v/>
      </c>
      <c r="AB214" s="20">
        <f>IF($Z214="","",INT(($AA214-1)/3)+1)</f>
        <v/>
      </c>
      <c r="AC214" s="20">
        <f>IF($Z214="","",MOD($AA214-1,3)+1)</f>
        <v/>
      </c>
      <c r="AD214" s="20">
        <f>IF($Z214="","",Settings!$B$2+$AC214-1)</f>
        <v/>
      </c>
      <c r="AE214" s="21">
        <f>IF($Z214="C",DATE(YEAR(INDEX(Contracts!$J$2:$J$151,$AB214)),MONTH(INDEX(Contracts!$J$2:$J$151,$AB214)),1),IF($Z214="A",DATE(YEAR(INDEX(Fixed_Assets!$G$2:$G$201,$AB214)),MONTH(INDEX(Fixed_Assets!$G$2:$G$201,$AB214)),1),IF($Z214="F",DATE(YEAR(MAX(N(INDEX(Workforce!$I$2:$I$151,MATCH(INDEX(FTE_Allocation!$A$2:$A$201,$AB214),Workforce!$A$2:$A$151,0))),N(INDEX(FTE_Allocation!$I$2:$I$201,$AB214)))),MONTH(MAX(N(INDEX(Workforce!$I$2:$I$151,MATCH(INDEX(FTE_Allocation!$A$2:$A$201,$AB214),Workforce!$A$2:$A$151,0))),N(INDEX(FTE_Allocation!$I$2:$I$201,$AB214)))),1),"")))</f>
        <v/>
      </c>
      <c r="AF214" s="21">
        <f>IF($Z214="C",IF(INDEX(Contracts!$I$2:$I$151,$AB214)="PREPAID",EDATE(DATE(YEAR(INDEX(Contracts!$J$2:$J$151,$AB214)),MONTH(INDEX(Contracts!$J$2:$J$151,$AB214)),1),IF(INDEX(Contracts!$N$2:$N$151,$AB214)="",12,INDEX(Contracts!$N$2:$N$151,$AB214))-1),IF(INDEX(Contracts!$I$2:$I$151,$AB214)="MONTHLY",IF(INDEX(Contracts!$K$2:$K$151,$AB214)="",2958101,INDEX(Contracts!$K$2:$K$151,$AB214)),0)),IF($Z214="A",EDATE(DATE(YEAR(INDEX(Fixed_Assets!$G$2:$G$201,$AB214)),MONTH(INDEX(Fixed_Assets!$G$2:$G$201,$AB214)),1),INDEX(Fixed_Assets!$J$2:$J$201,$AB214)-1),IF($Z214="F",MIN(IF(INDEX(Workforce!$J$2:$J$151,MATCH(INDEX(FTE_Allocation!$A$2:$A$201,$AB214),Workforce!$A$2:$A$151,0))="",2958101,INDEX(Workforce!$J$2:$J$151,MATCH(INDEX(FTE_Allocation!$A$2:$A$201,$AB214),Workforce!$A$2:$A$151,0))),IF(INDEX(FTE_Allocation!$J$2:$J$201,$AB214)="",2958101,INDEX(FTE_Allocation!$J$2:$J$201,$AB214))),"")))</f>
        <v/>
      </c>
      <c r="AG214" s="19">
        <f>IF($Z214="C",IF(INDEX(Contracts!$I$2:$I$151,$AB214)="PREPAID",INDEX(Contracts!$M$2:$M$151,$AB214)/IF(INDEX(Contracts!$N$2:$N$151,$AB214)="",12,INDEX(Contracts!$N$2:$N$151,$AB214)),IF(INDEX(Contracts!$I$2:$I$151,$AB214)="MONTHLY",INDEX(Contracts!$M$2:$M$151,$AB214),0))*(1-N(INDEX(Contracts!$O$2:$O$151,$AB214))),IF($Z214="A",INDEX(Fixed_Assets!$H$2:$H$201,$AB214)/INDEX(Fixed_Assets!$J$2:$J$201,$AB214),IF($Z214="F",INDEX(Workforce!$F$2:$F$151,MATCH(INDEX(FTE_Allocation!$A$2:$A$201,$AB214),Workforce!$A$2:$A$151,0))*N(INDEX(FTE_Allocation!$F$2:$H$201,$AB214,$AC214)),"")))</f>
        <v/>
      </c>
    </row>
    <row r="215">
      <c r="A215" s="7">
        <f>IF($Z215="","",$AD215)</f>
        <v/>
      </c>
      <c r="B215" s="7">
        <f>IF($Z215="C",INDEX(Contracts!$D$2:$D$151,$AB215)&amp;"",IF($Z215="A",INDEX(Fixed_Assets!$C$2:$C$201,$AB215)&amp;"",IF($Z215="F",INDEX(Workforce!$B$2:$B$151,MATCH(INDEX(FTE_Allocation!$A$2:$A$201,$AB215),Workforce!$A$2:$A$151,0))&amp;"","")))</f>
        <v/>
      </c>
      <c r="C215" s="7">
        <f>IF($Z215="C",INDEX(Contracts!$E$2:$E$151,$AB215)&amp;"",IF($Z215="A",INDEX(Fixed_Assets!$D$2:$D$201,$AB215)&amp;"",IF($Z215="F",INDEX(FTE_Allocation!$C$2:$C$201,$AB215)&amp;"","")))</f>
        <v/>
      </c>
      <c r="D215" s="7">
        <f>IF($Z215="C",INDEX(Contracts!$B$2:$B$151,$AB215)&amp;"",IF($Z215="A",INDEX(Fixed_Assets!$B$2:$B$201,$AB215)&amp;"",IF($Z215="F",INDEX(FTE_Allocation!$B$2:$B$201,$AB215)&amp;"","")))</f>
        <v/>
      </c>
      <c r="E215" s="7">
        <f>IF($Z215="C",INDEX(Contracts!$P$2:$P$151,$AB215)&amp;"",IF($Z215="A",INDEX(Fixed_Assets!$K$2:$K$201,$AB215)&amp;"",IF($Z215="F",IF(INDEX(FTE_Allocation!$D$2:$D$201,$AB215)="PROJECT",IFERROR(INDEX(Projects!$D:$D,MATCH(INDEX(FTE_Allocation!$E$2:$E$201,$AB215),Projects!$A:$A,0))&amp;"","#PROJECT?"),INDEX(FTE_Allocation!$E$2:$E$201,$AB215)&amp;""),"")))</f>
        <v/>
      </c>
      <c r="F215" s="7">
        <f>IF($Z215="C",INDEX(Contracts!$Q$2:$Q$151,$AB215)&amp;"",IF($Z215="A",INDEX(Fixed_Assets!$L$2:$L$201,$AB215)&amp;"",IF($Z215="F",INDEX(Workforce!$K$2:$K$151,MATCH(INDEX(FTE_Allocation!$A$2:$A$201,$AB215),Workforce!$A$2:$A$151,0))&amp;"","")))</f>
        <v/>
      </c>
      <c r="G215" s="7">
        <f>IF($Z215="C",INDEX(Contracts!$F$2:$F$151,$AB215)&amp;" / "&amp;INDEX(Contracts!$G$2:$G$151,$AB215),IF($Z215="A",INDEX(Fixed_Assets!$E$2:$E$201,$AB215)&amp;"",IF($Z215="F","Personnel "&amp;INDEX(FTE_Allocation!$A$2:$A$201,$AB215)&amp;IF(INDEX(FTE_Allocation!$D$2:$D$201,$AB215)="PROJECT"," ("&amp;INDEX(FTE_Allocation!$E$2:$E$201,$AB215)&amp;")",""),"")))</f>
        <v/>
      </c>
      <c r="H215" s="7">
        <f>IF($Z215="C","CONTRACT",IF($Z215="A","ASSET",IF($Z215="F","WORKFORCE","")))</f>
        <v/>
      </c>
      <c r="I215" s="7">
        <f>IF($Z215="C",INDEX(Contracts!$L$2:$L$151,$AB215)&amp;"",IF($Z215="A",INDEX(Fixed_Assets!$I$2:$I$201,$AB215)&amp;"",IF($Z215="F",INDEX(Workforce!$G$2:$G$151,MATCH(INDEX(FTE_Allocation!$A$2:$A$201,$AB215),Workforce!$A$2:$A$151,0))&amp;"","")))</f>
        <v/>
      </c>
      <c r="J215" s="18">
        <f>IF($Z215="","",IF(AND(DATE($AD215,1,1)&gt;=$AE215,DATE($AD215,1,1)&lt;=$AF215),ROUND($AG215,2),0))</f>
        <v/>
      </c>
      <c r="K215" s="18">
        <f>IF($Z215="","",IF(AND(DATE($AD215,2,1)&gt;=$AE215,DATE($AD215,2,1)&lt;=$AF215),ROUND($AG215,2),0))</f>
        <v/>
      </c>
      <c r="L215" s="18">
        <f>IF($Z215="","",IF(AND(DATE($AD215,3,1)&gt;=$AE215,DATE($AD215,3,1)&lt;=$AF215),ROUND($AG215,2),0))</f>
        <v/>
      </c>
      <c r="M215" s="18">
        <f>IF($Z215="","",IF(AND(DATE($AD215,4,1)&gt;=$AE215,DATE($AD215,4,1)&lt;=$AF215),ROUND($AG215,2),0))</f>
        <v/>
      </c>
      <c r="N215" s="18">
        <f>IF($Z215="","",IF(AND(DATE($AD215,5,1)&gt;=$AE215,DATE($AD215,5,1)&lt;=$AF215),ROUND($AG215,2),0))</f>
        <v/>
      </c>
      <c r="O215" s="18">
        <f>IF($Z215="","",IF(AND(DATE($AD215,6,1)&gt;=$AE215,DATE($AD215,6,1)&lt;=$AF215),ROUND($AG215,2),0))</f>
        <v/>
      </c>
      <c r="P215" s="18">
        <f>IF($Z215="","",IF(AND(DATE($AD215,7,1)&gt;=$AE215,DATE($AD215,7,1)&lt;=$AF215),ROUND($AG215,2),0))</f>
        <v/>
      </c>
      <c r="Q215" s="18">
        <f>IF($Z215="","",IF(AND(DATE($AD215,8,1)&gt;=$AE215,DATE($AD215,8,1)&lt;=$AF215),ROUND($AG215,2),0))</f>
        <v/>
      </c>
      <c r="R215" s="18">
        <f>IF($Z215="","",IF(AND(DATE($AD215,9,1)&gt;=$AE215,DATE($AD215,9,1)&lt;=$AF215),ROUND($AG215,2),0))</f>
        <v/>
      </c>
      <c r="S215" s="18">
        <f>IF($Z215="","",IF(AND(DATE($AD215,10,1)&gt;=$AE215,DATE($AD215,10,1)&lt;=$AF215),ROUND($AG215,2),0))</f>
        <v/>
      </c>
      <c r="T215" s="18">
        <f>IF($Z215="","",IF(AND(DATE($AD215,11,1)&gt;=$AE215,DATE($AD215,11,1)&lt;=$AF215),ROUND($AG215,2),0))</f>
        <v/>
      </c>
      <c r="U215" s="18">
        <f>IF($Z215="","",IF(AND(DATE($AD215,12,1)&gt;=$AE215,DATE($AD215,12,1)&lt;=$AF215),ROUND($AG215,2),0))</f>
        <v/>
      </c>
      <c r="V215" s="7">
        <f>IF($Z215="C","Generated from "&amp;INDEX(Contracts!$A$2:$A$151,$AB215),IF($Z215="A","Generated from "&amp;INDEX(Fixed_Assets!$A$2:$A$201,$AB215),IF($Z215="F","Generated from "&amp;INDEX(FTE_Allocation!$A$2:$A$201,$AB215),"")))</f>
        <v/>
      </c>
      <c r="X215" s="19">
        <f>IF($Z215="","",SUM(J215:U215))</f>
        <v/>
      </c>
      <c r="Y215" s="20">
        <f>ROW()-1</f>
        <v/>
      </c>
      <c r="Z215" s="20">
        <f>IF($Y215&lt;=Settings!$B$4*3,"C",IF($Y215&lt;=(Settings!$B$4+Settings!$B$5)*3,"A",IF($Y215&lt;=(Settings!$B$4+Settings!$B$5+Settings!$B$6)*3,"F","")))</f>
        <v/>
      </c>
      <c r="AA215" s="20">
        <f>IF($Z215="C",$Y215,IF($Z215="A",$Y215-Settings!$B$4*3,IF($Z215="F",$Y215-(Settings!$B$4+Settings!$B$5)*3,"")))</f>
        <v/>
      </c>
      <c r="AB215" s="20">
        <f>IF($Z215="","",INT(($AA215-1)/3)+1)</f>
        <v/>
      </c>
      <c r="AC215" s="20">
        <f>IF($Z215="","",MOD($AA215-1,3)+1)</f>
        <v/>
      </c>
      <c r="AD215" s="20">
        <f>IF($Z215="","",Settings!$B$2+$AC215-1)</f>
        <v/>
      </c>
      <c r="AE215" s="21">
        <f>IF($Z215="C",DATE(YEAR(INDEX(Contracts!$J$2:$J$151,$AB215)),MONTH(INDEX(Contracts!$J$2:$J$151,$AB215)),1),IF($Z215="A",DATE(YEAR(INDEX(Fixed_Assets!$G$2:$G$201,$AB215)),MONTH(INDEX(Fixed_Assets!$G$2:$G$201,$AB215)),1),IF($Z215="F",DATE(YEAR(MAX(N(INDEX(Workforce!$I$2:$I$151,MATCH(INDEX(FTE_Allocation!$A$2:$A$201,$AB215),Workforce!$A$2:$A$151,0))),N(INDEX(FTE_Allocation!$I$2:$I$201,$AB215)))),MONTH(MAX(N(INDEX(Workforce!$I$2:$I$151,MATCH(INDEX(FTE_Allocation!$A$2:$A$201,$AB215),Workforce!$A$2:$A$151,0))),N(INDEX(FTE_Allocation!$I$2:$I$201,$AB215)))),1),"")))</f>
        <v/>
      </c>
      <c r="AF215" s="21">
        <f>IF($Z215="C",IF(INDEX(Contracts!$I$2:$I$151,$AB215)="PREPAID",EDATE(DATE(YEAR(INDEX(Contracts!$J$2:$J$151,$AB215)),MONTH(INDEX(Contracts!$J$2:$J$151,$AB215)),1),IF(INDEX(Contracts!$N$2:$N$151,$AB215)="",12,INDEX(Contracts!$N$2:$N$151,$AB215))-1),IF(INDEX(Contracts!$I$2:$I$151,$AB215)="MONTHLY",IF(INDEX(Contracts!$K$2:$K$151,$AB215)="",2958101,INDEX(Contracts!$K$2:$K$151,$AB215)),0)),IF($Z215="A",EDATE(DATE(YEAR(INDEX(Fixed_Assets!$G$2:$G$201,$AB215)),MONTH(INDEX(Fixed_Assets!$G$2:$G$201,$AB215)),1),INDEX(Fixed_Assets!$J$2:$J$201,$AB215)-1),IF($Z215="F",MIN(IF(INDEX(Workforce!$J$2:$J$151,MATCH(INDEX(FTE_Allocation!$A$2:$A$201,$AB215),Workforce!$A$2:$A$151,0))="",2958101,INDEX(Workforce!$J$2:$J$151,MATCH(INDEX(FTE_Allocation!$A$2:$A$201,$AB215),Workforce!$A$2:$A$151,0))),IF(INDEX(FTE_Allocation!$J$2:$J$201,$AB215)="",2958101,INDEX(FTE_Allocation!$J$2:$J$201,$AB215))),"")))</f>
        <v/>
      </c>
      <c r="AG215" s="19">
        <f>IF($Z215="C",IF(INDEX(Contracts!$I$2:$I$151,$AB215)="PREPAID",INDEX(Contracts!$M$2:$M$151,$AB215)/IF(INDEX(Contracts!$N$2:$N$151,$AB215)="",12,INDEX(Contracts!$N$2:$N$151,$AB215)),IF(INDEX(Contracts!$I$2:$I$151,$AB215)="MONTHLY",INDEX(Contracts!$M$2:$M$151,$AB215),0))*(1-N(INDEX(Contracts!$O$2:$O$151,$AB215))),IF($Z215="A",INDEX(Fixed_Assets!$H$2:$H$201,$AB215)/INDEX(Fixed_Assets!$J$2:$J$201,$AB215),IF($Z215="F",INDEX(Workforce!$F$2:$F$151,MATCH(INDEX(FTE_Allocation!$A$2:$A$201,$AB215),Workforce!$A$2:$A$151,0))*N(INDEX(FTE_Allocation!$F$2:$H$201,$AB215,$AC215)),"")))</f>
        <v/>
      </c>
    </row>
    <row r="216">
      <c r="A216" s="7">
        <f>IF($Z216="","",$AD216)</f>
        <v/>
      </c>
      <c r="B216" s="7">
        <f>IF($Z216="C",INDEX(Contracts!$D$2:$D$151,$AB216)&amp;"",IF($Z216="A",INDEX(Fixed_Assets!$C$2:$C$201,$AB216)&amp;"",IF($Z216="F",INDEX(Workforce!$B$2:$B$151,MATCH(INDEX(FTE_Allocation!$A$2:$A$201,$AB216),Workforce!$A$2:$A$151,0))&amp;"","")))</f>
        <v/>
      </c>
      <c r="C216" s="7">
        <f>IF($Z216="C",INDEX(Contracts!$E$2:$E$151,$AB216)&amp;"",IF($Z216="A",INDEX(Fixed_Assets!$D$2:$D$201,$AB216)&amp;"",IF($Z216="F",INDEX(FTE_Allocation!$C$2:$C$201,$AB216)&amp;"","")))</f>
        <v/>
      </c>
      <c r="D216" s="7">
        <f>IF($Z216="C",INDEX(Contracts!$B$2:$B$151,$AB216)&amp;"",IF($Z216="A",INDEX(Fixed_Assets!$B$2:$B$201,$AB216)&amp;"",IF($Z216="F",INDEX(FTE_Allocation!$B$2:$B$201,$AB216)&amp;"","")))</f>
        <v/>
      </c>
      <c r="E216" s="7">
        <f>IF($Z216="C",INDEX(Contracts!$P$2:$P$151,$AB216)&amp;"",IF($Z216="A",INDEX(Fixed_Assets!$K$2:$K$201,$AB216)&amp;"",IF($Z216="F",IF(INDEX(FTE_Allocation!$D$2:$D$201,$AB216)="PROJECT",IFERROR(INDEX(Projects!$D:$D,MATCH(INDEX(FTE_Allocation!$E$2:$E$201,$AB216),Projects!$A:$A,0))&amp;"","#PROJECT?"),INDEX(FTE_Allocation!$E$2:$E$201,$AB216)&amp;""),"")))</f>
        <v/>
      </c>
      <c r="F216" s="7">
        <f>IF($Z216="C",INDEX(Contracts!$Q$2:$Q$151,$AB216)&amp;"",IF($Z216="A",INDEX(Fixed_Assets!$L$2:$L$201,$AB216)&amp;"",IF($Z216="F",INDEX(Workforce!$K$2:$K$151,MATCH(INDEX(FTE_Allocation!$A$2:$A$201,$AB216),Workforce!$A$2:$A$151,0))&amp;"","")))</f>
        <v/>
      </c>
      <c r="G216" s="7">
        <f>IF($Z216="C",INDEX(Contracts!$F$2:$F$151,$AB216)&amp;" / "&amp;INDEX(Contracts!$G$2:$G$151,$AB216),IF($Z216="A",INDEX(Fixed_Assets!$E$2:$E$201,$AB216)&amp;"",IF($Z216="F","Personnel "&amp;INDEX(FTE_Allocation!$A$2:$A$201,$AB216)&amp;IF(INDEX(FTE_Allocation!$D$2:$D$201,$AB216)="PROJECT"," ("&amp;INDEX(FTE_Allocation!$E$2:$E$201,$AB216)&amp;")",""),"")))</f>
        <v/>
      </c>
      <c r="H216" s="7">
        <f>IF($Z216="C","CONTRACT",IF($Z216="A","ASSET",IF($Z216="F","WORKFORCE","")))</f>
        <v/>
      </c>
      <c r="I216" s="7">
        <f>IF($Z216="C",INDEX(Contracts!$L$2:$L$151,$AB216)&amp;"",IF($Z216="A",INDEX(Fixed_Assets!$I$2:$I$201,$AB216)&amp;"",IF($Z216="F",INDEX(Workforce!$G$2:$G$151,MATCH(INDEX(FTE_Allocation!$A$2:$A$201,$AB216),Workforce!$A$2:$A$151,0))&amp;"","")))</f>
        <v/>
      </c>
      <c r="J216" s="18">
        <f>IF($Z216="","",IF(AND(DATE($AD216,1,1)&gt;=$AE216,DATE($AD216,1,1)&lt;=$AF216),ROUND($AG216,2),0))</f>
        <v/>
      </c>
      <c r="K216" s="18">
        <f>IF($Z216="","",IF(AND(DATE($AD216,2,1)&gt;=$AE216,DATE($AD216,2,1)&lt;=$AF216),ROUND($AG216,2),0))</f>
        <v/>
      </c>
      <c r="L216" s="18">
        <f>IF($Z216="","",IF(AND(DATE($AD216,3,1)&gt;=$AE216,DATE($AD216,3,1)&lt;=$AF216),ROUND($AG216,2),0))</f>
        <v/>
      </c>
      <c r="M216" s="18">
        <f>IF($Z216="","",IF(AND(DATE($AD216,4,1)&gt;=$AE216,DATE($AD216,4,1)&lt;=$AF216),ROUND($AG216,2),0))</f>
        <v/>
      </c>
      <c r="N216" s="18">
        <f>IF($Z216="","",IF(AND(DATE($AD216,5,1)&gt;=$AE216,DATE($AD216,5,1)&lt;=$AF216),ROUND($AG216,2),0))</f>
        <v/>
      </c>
      <c r="O216" s="18">
        <f>IF($Z216="","",IF(AND(DATE($AD216,6,1)&gt;=$AE216,DATE($AD216,6,1)&lt;=$AF216),ROUND($AG216,2),0))</f>
        <v/>
      </c>
      <c r="P216" s="18">
        <f>IF($Z216="","",IF(AND(DATE($AD216,7,1)&gt;=$AE216,DATE($AD216,7,1)&lt;=$AF216),ROUND($AG216,2),0))</f>
        <v/>
      </c>
      <c r="Q216" s="18">
        <f>IF($Z216="","",IF(AND(DATE($AD216,8,1)&gt;=$AE216,DATE($AD216,8,1)&lt;=$AF216),ROUND($AG216,2),0))</f>
        <v/>
      </c>
      <c r="R216" s="18">
        <f>IF($Z216="","",IF(AND(DATE($AD216,9,1)&gt;=$AE216,DATE($AD216,9,1)&lt;=$AF216),ROUND($AG216,2),0))</f>
        <v/>
      </c>
      <c r="S216" s="18">
        <f>IF($Z216="","",IF(AND(DATE($AD216,10,1)&gt;=$AE216,DATE($AD216,10,1)&lt;=$AF216),ROUND($AG216,2),0))</f>
        <v/>
      </c>
      <c r="T216" s="18">
        <f>IF($Z216="","",IF(AND(DATE($AD216,11,1)&gt;=$AE216,DATE($AD216,11,1)&lt;=$AF216),ROUND($AG216,2),0))</f>
        <v/>
      </c>
      <c r="U216" s="18">
        <f>IF($Z216="","",IF(AND(DATE($AD216,12,1)&gt;=$AE216,DATE($AD216,12,1)&lt;=$AF216),ROUND($AG216,2),0))</f>
        <v/>
      </c>
      <c r="V216" s="7">
        <f>IF($Z216="C","Generated from "&amp;INDEX(Contracts!$A$2:$A$151,$AB216),IF($Z216="A","Generated from "&amp;INDEX(Fixed_Assets!$A$2:$A$201,$AB216),IF($Z216="F","Generated from "&amp;INDEX(FTE_Allocation!$A$2:$A$201,$AB216),"")))</f>
        <v/>
      </c>
      <c r="X216" s="19">
        <f>IF($Z216="","",SUM(J216:U216))</f>
        <v/>
      </c>
      <c r="Y216" s="20">
        <f>ROW()-1</f>
        <v/>
      </c>
      <c r="Z216" s="20">
        <f>IF($Y216&lt;=Settings!$B$4*3,"C",IF($Y216&lt;=(Settings!$B$4+Settings!$B$5)*3,"A",IF($Y216&lt;=(Settings!$B$4+Settings!$B$5+Settings!$B$6)*3,"F","")))</f>
        <v/>
      </c>
      <c r="AA216" s="20">
        <f>IF($Z216="C",$Y216,IF($Z216="A",$Y216-Settings!$B$4*3,IF($Z216="F",$Y216-(Settings!$B$4+Settings!$B$5)*3,"")))</f>
        <v/>
      </c>
      <c r="AB216" s="20">
        <f>IF($Z216="","",INT(($AA216-1)/3)+1)</f>
        <v/>
      </c>
      <c r="AC216" s="20">
        <f>IF($Z216="","",MOD($AA216-1,3)+1)</f>
        <v/>
      </c>
      <c r="AD216" s="20">
        <f>IF($Z216="","",Settings!$B$2+$AC216-1)</f>
        <v/>
      </c>
      <c r="AE216" s="21">
        <f>IF($Z216="C",DATE(YEAR(INDEX(Contracts!$J$2:$J$151,$AB216)),MONTH(INDEX(Contracts!$J$2:$J$151,$AB216)),1),IF($Z216="A",DATE(YEAR(INDEX(Fixed_Assets!$G$2:$G$201,$AB216)),MONTH(INDEX(Fixed_Assets!$G$2:$G$201,$AB216)),1),IF($Z216="F",DATE(YEAR(MAX(N(INDEX(Workforce!$I$2:$I$151,MATCH(INDEX(FTE_Allocation!$A$2:$A$201,$AB216),Workforce!$A$2:$A$151,0))),N(INDEX(FTE_Allocation!$I$2:$I$201,$AB216)))),MONTH(MAX(N(INDEX(Workforce!$I$2:$I$151,MATCH(INDEX(FTE_Allocation!$A$2:$A$201,$AB216),Workforce!$A$2:$A$151,0))),N(INDEX(FTE_Allocation!$I$2:$I$201,$AB216)))),1),"")))</f>
        <v/>
      </c>
      <c r="AF216" s="21">
        <f>IF($Z216="C",IF(INDEX(Contracts!$I$2:$I$151,$AB216)="PREPAID",EDATE(DATE(YEAR(INDEX(Contracts!$J$2:$J$151,$AB216)),MONTH(INDEX(Contracts!$J$2:$J$151,$AB216)),1),IF(INDEX(Contracts!$N$2:$N$151,$AB216)="",12,INDEX(Contracts!$N$2:$N$151,$AB216))-1),IF(INDEX(Contracts!$I$2:$I$151,$AB216)="MONTHLY",IF(INDEX(Contracts!$K$2:$K$151,$AB216)="",2958101,INDEX(Contracts!$K$2:$K$151,$AB216)),0)),IF($Z216="A",EDATE(DATE(YEAR(INDEX(Fixed_Assets!$G$2:$G$201,$AB216)),MONTH(INDEX(Fixed_Assets!$G$2:$G$201,$AB216)),1),INDEX(Fixed_Assets!$J$2:$J$201,$AB216)-1),IF($Z216="F",MIN(IF(INDEX(Workforce!$J$2:$J$151,MATCH(INDEX(FTE_Allocation!$A$2:$A$201,$AB216),Workforce!$A$2:$A$151,0))="",2958101,INDEX(Workforce!$J$2:$J$151,MATCH(INDEX(FTE_Allocation!$A$2:$A$201,$AB216),Workforce!$A$2:$A$151,0))),IF(INDEX(FTE_Allocation!$J$2:$J$201,$AB216)="",2958101,INDEX(FTE_Allocation!$J$2:$J$201,$AB216))),"")))</f>
        <v/>
      </c>
      <c r="AG216" s="19">
        <f>IF($Z216="C",IF(INDEX(Contracts!$I$2:$I$151,$AB216)="PREPAID",INDEX(Contracts!$M$2:$M$151,$AB216)/IF(INDEX(Contracts!$N$2:$N$151,$AB216)="",12,INDEX(Contracts!$N$2:$N$151,$AB216)),IF(INDEX(Contracts!$I$2:$I$151,$AB216)="MONTHLY",INDEX(Contracts!$M$2:$M$151,$AB216),0))*(1-N(INDEX(Contracts!$O$2:$O$151,$AB216))),IF($Z216="A",INDEX(Fixed_Assets!$H$2:$H$201,$AB216)/INDEX(Fixed_Assets!$J$2:$J$201,$AB216),IF($Z216="F",INDEX(Workforce!$F$2:$F$151,MATCH(INDEX(FTE_Allocation!$A$2:$A$201,$AB216),Workforce!$A$2:$A$151,0))*N(INDEX(FTE_Allocation!$F$2:$H$201,$AB216,$AC216)),"")))</f>
        <v/>
      </c>
    </row>
    <row r="217">
      <c r="A217" s="7">
        <f>IF($Z217="","",$AD217)</f>
        <v/>
      </c>
      <c r="B217" s="7">
        <f>IF($Z217="C",INDEX(Contracts!$D$2:$D$151,$AB217)&amp;"",IF($Z217="A",INDEX(Fixed_Assets!$C$2:$C$201,$AB217)&amp;"",IF($Z217="F",INDEX(Workforce!$B$2:$B$151,MATCH(INDEX(FTE_Allocation!$A$2:$A$201,$AB217),Workforce!$A$2:$A$151,0))&amp;"","")))</f>
        <v/>
      </c>
      <c r="C217" s="7">
        <f>IF($Z217="C",INDEX(Contracts!$E$2:$E$151,$AB217)&amp;"",IF($Z217="A",INDEX(Fixed_Assets!$D$2:$D$201,$AB217)&amp;"",IF($Z217="F",INDEX(FTE_Allocation!$C$2:$C$201,$AB217)&amp;"","")))</f>
        <v/>
      </c>
      <c r="D217" s="7">
        <f>IF($Z217="C",INDEX(Contracts!$B$2:$B$151,$AB217)&amp;"",IF($Z217="A",INDEX(Fixed_Assets!$B$2:$B$201,$AB217)&amp;"",IF($Z217="F",INDEX(FTE_Allocation!$B$2:$B$201,$AB217)&amp;"","")))</f>
        <v/>
      </c>
      <c r="E217" s="7">
        <f>IF($Z217="C",INDEX(Contracts!$P$2:$P$151,$AB217)&amp;"",IF($Z217="A",INDEX(Fixed_Assets!$K$2:$K$201,$AB217)&amp;"",IF($Z217="F",IF(INDEX(FTE_Allocation!$D$2:$D$201,$AB217)="PROJECT",IFERROR(INDEX(Projects!$D:$D,MATCH(INDEX(FTE_Allocation!$E$2:$E$201,$AB217),Projects!$A:$A,0))&amp;"","#PROJECT?"),INDEX(FTE_Allocation!$E$2:$E$201,$AB217)&amp;""),"")))</f>
        <v/>
      </c>
      <c r="F217" s="7">
        <f>IF($Z217="C",INDEX(Contracts!$Q$2:$Q$151,$AB217)&amp;"",IF($Z217="A",INDEX(Fixed_Assets!$L$2:$L$201,$AB217)&amp;"",IF($Z217="F",INDEX(Workforce!$K$2:$K$151,MATCH(INDEX(FTE_Allocation!$A$2:$A$201,$AB217),Workforce!$A$2:$A$151,0))&amp;"","")))</f>
        <v/>
      </c>
      <c r="G217" s="7">
        <f>IF($Z217="C",INDEX(Contracts!$F$2:$F$151,$AB217)&amp;" / "&amp;INDEX(Contracts!$G$2:$G$151,$AB217),IF($Z217="A",INDEX(Fixed_Assets!$E$2:$E$201,$AB217)&amp;"",IF($Z217="F","Personnel "&amp;INDEX(FTE_Allocation!$A$2:$A$201,$AB217)&amp;IF(INDEX(FTE_Allocation!$D$2:$D$201,$AB217)="PROJECT"," ("&amp;INDEX(FTE_Allocation!$E$2:$E$201,$AB217)&amp;")",""),"")))</f>
        <v/>
      </c>
      <c r="H217" s="7">
        <f>IF($Z217="C","CONTRACT",IF($Z217="A","ASSET",IF($Z217="F","WORKFORCE","")))</f>
        <v/>
      </c>
      <c r="I217" s="7">
        <f>IF($Z217="C",INDEX(Contracts!$L$2:$L$151,$AB217)&amp;"",IF($Z217="A",INDEX(Fixed_Assets!$I$2:$I$201,$AB217)&amp;"",IF($Z217="F",INDEX(Workforce!$G$2:$G$151,MATCH(INDEX(FTE_Allocation!$A$2:$A$201,$AB217),Workforce!$A$2:$A$151,0))&amp;"","")))</f>
        <v/>
      </c>
      <c r="J217" s="18">
        <f>IF($Z217="","",IF(AND(DATE($AD217,1,1)&gt;=$AE217,DATE($AD217,1,1)&lt;=$AF217),ROUND($AG217,2),0))</f>
        <v/>
      </c>
      <c r="K217" s="18">
        <f>IF($Z217="","",IF(AND(DATE($AD217,2,1)&gt;=$AE217,DATE($AD217,2,1)&lt;=$AF217),ROUND($AG217,2),0))</f>
        <v/>
      </c>
      <c r="L217" s="18">
        <f>IF($Z217="","",IF(AND(DATE($AD217,3,1)&gt;=$AE217,DATE($AD217,3,1)&lt;=$AF217),ROUND($AG217,2),0))</f>
        <v/>
      </c>
      <c r="M217" s="18">
        <f>IF($Z217="","",IF(AND(DATE($AD217,4,1)&gt;=$AE217,DATE($AD217,4,1)&lt;=$AF217),ROUND($AG217,2),0))</f>
        <v/>
      </c>
      <c r="N217" s="18">
        <f>IF($Z217="","",IF(AND(DATE($AD217,5,1)&gt;=$AE217,DATE($AD217,5,1)&lt;=$AF217),ROUND($AG217,2),0))</f>
        <v/>
      </c>
      <c r="O217" s="18">
        <f>IF($Z217="","",IF(AND(DATE($AD217,6,1)&gt;=$AE217,DATE($AD217,6,1)&lt;=$AF217),ROUND($AG217,2),0))</f>
        <v/>
      </c>
      <c r="P217" s="18">
        <f>IF($Z217="","",IF(AND(DATE($AD217,7,1)&gt;=$AE217,DATE($AD217,7,1)&lt;=$AF217),ROUND($AG217,2),0))</f>
        <v/>
      </c>
      <c r="Q217" s="18">
        <f>IF($Z217="","",IF(AND(DATE($AD217,8,1)&gt;=$AE217,DATE($AD217,8,1)&lt;=$AF217),ROUND($AG217,2),0))</f>
        <v/>
      </c>
      <c r="R217" s="18">
        <f>IF($Z217="","",IF(AND(DATE($AD217,9,1)&gt;=$AE217,DATE($AD217,9,1)&lt;=$AF217),ROUND($AG217,2),0))</f>
        <v/>
      </c>
      <c r="S217" s="18">
        <f>IF($Z217="","",IF(AND(DATE($AD217,10,1)&gt;=$AE217,DATE($AD217,10,1)&lt;=$AF217),ROUND($AG217,2),0))</f>
        <v/>
      </c>
      <c r="T217" s="18">
        <f>IF($Z217="","",IF(AND(DATE($AD217,11,1)&gt;=$AE217,DATE($AD217,11,1)&lt;=$AF217),ROUND($AG217,2),0))</f>
        <v/>
      </c>
      <c r="U217" s="18">
        <f>IF($Z217="","",IF(AND(DATE($AD217,12,1)&gt;=$AE217,DATE($AD217,12,1)&lt;=$AF217),ROUND($AG217,2),0))</f>
        <v/>
      </c>
      <c r="V217" s="7">
        <f>IF($Z217="C","Generated from "&amp;INDEX(Contracts!$A$2:$A$151,$AB217),IF($Z217="A","Generated from "&amp;INDEX(Fixed_Assets!$A$2:$A$201,$AB217),IF($Z217="F","Generated from "&amp;INDEX(FTE_Allocation!$A$2:$A$201,$AB217),"")))</f>
        <v/>
      </c>
      <c r="X217" s="19">
        <f>IF($Z217="","",SUM(J217:U217))</f>
        <v/>
      </c>
      <c r="Y217" s="20">
        <f>ROW()-1</f>
        <v/>
      </c>
      <c r="Z217" s="20">
        <f>IF($Y217&lt;=Settings!$B$4*3,"C",IF($Y217&lt;=(Settings!$B$4+Settings!$B$5)*3,"A",IF($Y217&lt;=(Settings!$B$4+Settings!$B$5+Settings!$B$6)*3,"F","")))</f>
        <v/>
      </c>
      <c r="AA217" s="20">
        <f>IF($Z217="C",$Y217,IF($Z217="A",$Y217-Settings!$B$4*3,IF($Z217="F",$Y217-(Settings!$B$4+Settings!$B$5)*3,"")))</f>
        <v/>
      </c>
      <c r="AB217" s="20">
        <f>IF($Z217="","",INT(($AA217-1)/3)+1)</f>
        <v/>
      </c>
      <c r="AC217" s="20">
        <f>IF($Z217="","",MOD($AA217-1,3)+1)</f>
        <v/>
      </c>
      <c r="AD217" s="20">
        <f>IF($Z217="","",Settings!$B$2+$AC217-1)</f>
        <v/>
      </c>
      <c r="AE217" s="21">
        <f>IF($Z217="C",DATE(YEAR(INDEX(Contracts!$J$2:$J$151,$AB217)),MONTH(INDEX(Contracts!$J$2:$J$151,$AB217)),1),IF($Z217="A",DATE(YEAR(INDEX(Fixed_Assets!$G$2:$G$201,$AB217)),MONTH(INDEX(Fixed_Assets!$G$2:$G$201,$AB217)),1),IF($Z217="F",DATE(YEAR(MAX(N(INDEX(Workforce!$I$2:$I$151,MATCH(INDEX(FTE_Allocation!$A$2:$A$201,$AB217),Workforce!$A$2:$A$151,0))),N(INDEX(FTE_Allocation!$I$2:$I$201,$AB217)))),MONTH(MAX(N(INDEX(Workforce!$I$2:$I$151,MATCH(INDEX(FTE_Allocation!$A$2:$A$201,$AB217),Workforce!$A$2:$A$151,0))),N(INDEX(FTE_Allocation!$I$2:$I$201,$AB217)))),1),"")))</f>
        <v/>
      </c>
      <c r="AF217" s="21">
        <f>IF($Z217="C",IF(INDEX(Contracts!$I$2:$I$151,$AB217)="PREPAID",EDATE(DATE(YEAR(INDEX(Contracts!$J$2:$J$151,$AB217)),MONTH(INDEX(Contracts!$J$2:$J$151,$AB217)),1),IF(INDEX(Contracts!$N$2:$N$151,$AB217)="",12,INDEX(Contracts!$N$2:$N$151,$AB217))-1),IF(INDEX(Contracts!$I$2:$I$151,$AB217)="MONTHLY",IF(INDEX(Contracts!$K$2:$K$151,$AB217)="",2958101,INDEX(Contracts!$K$2:$K$151,$AB217)),0)),IF($Z217="A",EDATE(DATE(YEAR(INDEX(Fixed_Assets!$G$2:$G$201,$AB217)),MONTH(INDEX(Fixed_Assets!$G$2:$G$201,$AB217)),1),INDEX(Fixed_Assets!$J$2:$J$201,$AB217)-1),IF($Z217="F",MIN(IF(INDEX(Workforce!$J$2:$J$151,MATCH(INDEX(FTE_Allocation!$A$2:$A$201,$AB217),Workforce!$A$2:$A$151,0))="",2958101,INDEX(Workforce!$J$2:$J$151,MATCH(INDEX(FTE_Allocation!$A$2:$A$201,$AB217),Workforce!$A$2:$A$151,0))),IF(INDEX(FTE_Allocation!$J$2:$J$201,$AB217)="",2958101,INDEX(FTE_Allocation!$J$2:$J$201,$AB217))),"")))</f>
        <v/>
      </c>
      <c r="AG217" s="19">
        <f>IF($Z217="C",IF(INDEX(Contracts!$I$2:$I$151,$AB217)="PREPAID",INDEX(Contracts!$M$2:$M$151,$AB217)/IF(INDEX(Contracts!$N$2:$N$151,$AB217)="",12,INDEX(Contracts!$N$2:$N$151,$AB217)),IF(INDEX(Contracts!$I$2:$I$151,$AB217)="MONTHLY",INDEX(Contracts!$M$2:$M$151,$AB217),0))*(1-N(INDEX(Contracts!$O$2:$O$151,$AB217))),IF($Z217="A",INDEX(Fixed_Assets!$H$2:$H$201,$AB217)/INDEX(Fixed_Assets!$J$2:$J$201,$AB217),IF($Z217="F",INDEX(Workforce!$F$2:$F$151,MATCH(INDEX(FTE_Allocation!$A$2:$A$201,$AB217),Workforce!$A$2:$A$151,0))*N(INDEX(FTE_Allocation!$F$2:$H$201,$AB217,$AC217)),"")))</f>
        <v/>
      </c>
    </row>
    <row r="218">
      <c r="A218" s="7">
        <f>IF($Z218="","",$AD218)</f>
        <v/>
      </c>
      <c r="B218" s="7">
        <f>IF($Z218="C",INDEX(Contracts!$D$2:$D$151,$AB218)&amp;"",IF($Z218="A",INDEX(Fixed_Assets!$C$2:$C$201,$AB218)&amp;"",IF($Z218="F",INDEX(Workforce!$B$2:$B$151,MATCH(INDEX(FTE_Allocation!$A$2:$A$201,$AB218),Workforce!$A$2:$A$151,0))&amp;"","")))</f>
        <v/>
      </c>
      <c r="C218" s="7">
        <f>IF($Z218="C",INDEX(Contracts!$E$2:$E$151,$AB218)&amp;"",IF($Z218="A",INDEX(Fixed_Assets!$D$2:$D$201,$AB218)&amp;"",IF($Z218="F",INDEX(FTE_Allocation!$C$2:$C$201,$AB218)&amp;"","")))</f>
        <v/>
      </c>
      <c r="D218" s="7">
        <f>IF($Z218="C",INDEX(Contracts!$B$2:$B$151,$AB218)&amp;"",IF($Z218="A",INDEX(Fixed_Assets!$B$2:$B$201,$AB218)&amp;"",IF($Z218="F",INDEX(FTE_Allocation!$B$2:$B$201,$AB218)&amp;"","")))</f>
        <v/>
      </c>
      <c r="E218" s="7">
        <f>IF($Z218="C",INDEX(Contracts!$P$2:$P$151,$AB218)&amp;"",IF($Z218="A",INDEX(Fixed_Assets!$K$2:$K$201,$AB218)&amp;"",IF($Z218="F",IF(INDEX(FTE_Allocation!$D$2:$D$201,$AB218)="PROJECT",IFERROR(INDEX(Projects!$D:$D,MATCH(INDEX(FTE_Allocation!$E$2:$E$201,$AB218),Projects!$A:$A,0))&amp;"","#PROJECT?"),INDEX(FTE_Allocation!$E$2:$E$201,$AB218)&amp;""),"")))</f>
        <v/>
      </c>
      <c r="F218" s="7">
        <f>IF($Z218="C",INDEX(Contracts!$Q$2:$Q$151,$AB218)&amp;"",IF($Z218="A",INDEX(Fixed_Assets!$L$2:$L$201,$AB218)&amp;"",IF($Z218="F",INDEX(Workforce!$K$2:$K$151,MATCH(INDEX(FTE_Allocation!$A$2:$A$201,$AB218),Workforce!$A$2:$A$151,0))&amp;"","")))</f>
        <v/>
      </c>
      <c r="G218" s="7">
        <f>IF($Z218="C",INDEX(Contracts!$F$2:$F$151,$AB218)&amp;" / "&amp;INDEX(Contracts!$G$2:$G$151,$AB218),IF($Z218="A",INDEX(Fixed_Assets!$E$2:$E$201,$AB218)&amp;"",IF($Z218="F","Personnel "&amp;INDEX(FTE_Allocation!$A$2:$A$201,$AB218)&amp;IF(INDEX(FTE_Allocation!$D$2:$D$201,$AB218)="PROJECT"," ("&amp;INDEX(FTE_Allocation!$E$2:$E$201,$AB218)&amp;")",""),"")))</f>
        <v/>
      </c>
      <c r="H218" s="7">
        <f>IF($Z218="C","CONTRACT",IF($Z218="A","ASSET",IF($Z218="F","WORKFORCE","")))</f>
        <v/>
      </c>
      <c r="I218" s="7">
        <f>IF($Z218="C",INDEX(Contracts!$L$2:$L$151,$AB218)&amp;"",IF($Z218="A",INDEX(Fixed_Assets!$I$2:$I$201,$AB218)&amp;"",IF($Z218="F",INDEX(Workforce!$G$2:$G$151,MATCH(INDEX(FTE_Allocation!$A$2:$A$201,$AB218),Workforce!$A$2:$A$151,0))&amp;"","")))</f>
        <v/>
      </c>
      <c r="J218" s="18">
        <f>IF($Z218="","",IF(AND(DATE($AD218,1,1)&gt;=$AE218,DATE($AD218,1,1)&lt;=$AF218),ROUND($AG218,2),0))</f>
        <v/>
      </c>
      <c r="K218" s="18">
        <f>IF($Z218="","",IF(AND(DATE($AD218,2,1)&gt;=$AE218,DATE($AD218,2,1)&lt;=$AF218),ROUND($AG218,2),0))</f>
        <v/>
      </c>
      <c r="L218" s="18">
        <f>IF($Z218="","",IF(AND(DATE($AD218,3,1)&gt;=$AE218,DATE($AD218,3,1)&lt;=$AF218),ROUND($AG218,2),0))</f>
        <v/>
      </c>
      <c r="M218" s="18">
        <f>IF($Z218="","",IF(AND(DATE($AD218,4,1)&gt;=$AE218,DATE($AD218,4,1)&lt;=$AF218),ROUND($AG218,2),0))</f>
        <v/>
      </c>
      <c r="N218" s="18">
        <f>IF($Z218="","",IF(AND(DATE($AD218,5,1)&gt;=$AE218,DATE($AD218,5,1)&lt;=$AF218),ROUND($AG218,2),0))</f>
        <v/>
      </c>
      <c r="O218" s="18">
        <f>IF($Z218="","",IF(AND(DATE($AD218,6,1)&gt;=$AE218,DATE($AD218,6,1)&lt;=$AF218),ROUND($AG218,2),0))</f>
        <v/>
      </c>
      <c r="P218" s="18">
        <f>IF($Z218="","",IF(AND(DATE($AD218,7,1)&gt;=$AE218,DATE($AD218,7,1)&lt;=$AF218),ROUND($AG218,2),0))</f>
        <v/>
      </c>
      <c r="Q218" s="18">
        <f>IF($Z218="","",IF(AND(DATE($AD218,8,1)&gt;=$AE218,DATE($AD218,8,1)&lt;=$AF218),ROUND($AG218,2),0))</f>
        <v/>
      </c>
      <c r="R218" s="18">
        <f>IF($Z218="","",IF(AND(DATE($AD218,9,1)&gt;=$AE218,DATE($AD218,9,1)&lt;=$AF218),ROUND($AG218,2),0))</f>
        <v/>
      </c>
      <c r="S218" s="18">
        <f>IF($Z218="","",IF(AND(DATE($AD218,10,1)&gt;=$AE218,DATE($AD218,10,1)&lt;=$AF218),ROUND($AG218,2),0))</f>
        <v/>
      </c>
      <c r="T218" s="18">
        <f>IF($Z218="","",IF(AND(DATE($AD218,11,1)&gt;=$AE218,DATE($AD218,11,1)&lt;=$AF218),ROUND($AG218,2),0))</f>
        <v/>
      </c>
      <c r="U218" s="18">
        <f>IF($Z218="","",IF(AND(DATE($AD218,12,1)&gt;=$AE218,DATE($AD218,12,1)&lt;=$AF218),ROUND($AG218,2),0))</f>
        <v/>
      </c>
      <c r="V218" s="7">
        <f>IF($Z218="C","Generated from "&amp;INDEX(Contracts!$A$2:$A$151,$AB218),IF($Z218="A","Generated from "&amp;INDEX(Fixed_Assets!$A$2:$A$201,$AB218),IF($Z218="F","Generated from "&amp;INDEX(FTE_Allocation!$A$2:$A$201,$AB218),"")))</f>
        <v/>
      </c>
      <c r="X218" s="19">
        <f>IF($Z218="","",SUM(J218:U218))</f>
        <v/>
      </c>
      <c r="Y218" s="20">
        <f>ROW()-1</f>
        <v/>
      </c>
      <c r="Z218" s="20">
        <f>IF($Y218&lt;=Settings!$B$4*3,"C",IF($Y218&lt;=(Settings!$B$4+Settings!$B$5)*3,"A",IF($Y218&lt;=(Settings!$B$4+Settings!$B$5+Settings!$B$6)*3,"F","")))</f>
        <v/>
      </c>
      <c r="AA218" s="20">
        <f>IF($Z218="C",$Y218,IF($Z218="A",$Y218-Settings!$B$4*3,IF($Z218="F",$Y218-(Settings!$B$4+Settings!$B$5)*3,"")))</f>
        <v/>
      </c>
      <c r="AB218" s="20">
        <f>IF($Z218="","",INT(($AA218-1)/3)+1)</f>
        <v/>
      </c>
      <c r="AC218" s="20">
        <f>IF($Z218="","",MOD($AA218-1,3)+1)</f>
        <v/>
      </c>
      <c r="AD218" s="20">
        <f>IF($Z218="","",Settings!$B$2+$AC218-1)</f>
        <v/>
      </c>
      <c r="AE218" s="21">
        <f>IF($Z218="C",DATE(YEAR(INDEX(Contracts!$J$2:$J$151,$AB218)),MONTH(INDEX(Contracts!$J$2:$J$151,$AB218)),1),IF($Z218="A",DATE(YEAR(INDEX(Fixed_Assets!$G$2:$G$201,$AB218)),MONTH(INDEX(Fixed_Assets!$G$2:$G$201,$AB218)),1),IF($Z218="F",DATE(YEAR(MAX(N(INDEX(Workforce!$I$2:$I$151,MATCH(INDEX(FTE_Allocation!$A$2:$A$201,$AB218),Workforce!$A$2:$A$151,0))),N(INDEX(FTE_Allocation!$I$2:$I$201,$AB218)))),MONTH(MAX(N(INDEX(Workforce!$I$2:$I$151,MATCH(INDEX(FTE_Allocation!$A$2:$A$201,$AB218),Workforce!$A$2:$A$151,0))),N(INDEX(FTE_Allocation!$I$2:$I$201,$AB218)))),1),"")))</f>
        <v/>
      </c>
      <c r="AF218" s="21">
        <f>IF($Z218="C",IF(INDEX(Contracts!$I$2:$I$151,$AB218)="PREPAID",EDATE(DATE(YEAR(INDEX(Contracts!$J$2:$J$151,$AB218)),MONTH(INDEX(Contracts!$J$2:$J$151,$AB218)),1),IF(INDEX(Contracts!$N$2:$N$151,$AB218)="",12,INDEX(Contracts!$N$2:$N$151,$AB218))-1),IF(INDEX(Contracts!$I$2:$I$151,$AB218)="MONTHLY",IF(INDEX(Contracts!$K$2:$K$151,$AB218)="",2958101,INDEX(Contracts!$K$2:$K$151,$AB218)),0)),IF($Z218="A",EDATE(DATE(YEAR(INDEX(Fixed_Assets!$G$2:$G$201,$AB218)),MONTH(INDEX(Fixed_Assets!$G$2:$G$201,$AB218)),1),INDEX(Fixed_Assets!$J$2:$J$201,$AB218)-1),IF($Z218="F",MIN(IF(INDEX(Workforce!$J$2:$J$151,MATCH(INDEX(FTE_Allocation!$A$2:$A$201,$AB218),Workforce!$A$2:$A$151,0))="",2958101,INDEX(Workforce!$J$2:$J$151,MATCH(INDEX(FTE_Allocation!$A$2:$A$201,$AB218),Workforce!$A$2:$A$151,0))),IF(INDEX(FTE_Allocation!$J$2:$J$201,$AB218)="",2958101,INDEX(FTE_Allocation!$J$2:$J$201,$AB218))),"")))</f>
        <v/>
      </c>
      <c r="AG218" s="19">
        <f>IF($Z218="C",IF(INDEX(Contracts!$I$2:$I$151,$AB218)="PREPAID",INDEX(Contracts!$M$2:$M$151,$AB218)/IF(INDEX(Contracts!$N$2:$N$151,$AB218)="",12,INDEX(Contracts!$N$2:$N$151,$AB218)),IF(INDEX(Contracts!$I$2:$I$151,$AB218)="MONTHLY",INDEX(Contracts!$M$2:$M$151,$AB218),0))*(1-N(INDEX(Contracts!$O$2:$O$151,$AB218))),IF($Z218="A",INDEX(Fixed_Assets!$H$2:$H$201,$AB218)/INDEX(Fixed_Assets!$J$2:$J$201,$AB218),IF($Z218="F",INDEX(Workforce!$F$2:$F$151,MATCH(INDEX(FTE_Allocation!$A$2:$A$201,$AB218),Workforce!$A$2:$A$151,0))*N(INDEX(FTE_Allocation!$F$2:$H$201,$AB218,$AC218)),"")))</f>
        <v/>
      </c>
    </row>
    <row r="219">
      <c r="A219" s="7">
        <f>IF($Z219="","",$AD219)</f>
        <v/>
      </c>
      <c r="B219" s="7">
        <f>IF($Z219="C",INDEX(Contracts!$D$2:$D$151,$AB219)&amp;"",IF($Z219="A",INDEX(Fixed_Assets!$C$2:$C$201,$AB219)&amp;"",IF($Z219="F",INDEX(Workforce!$B$2:$B$151,MATCH(INDEX(FTE_Allocation!$A$2:$A$201,$AB219),Workforce!$A$2:$A$151,0))&amp;"","")))</f>
        <v/>
      </c>
      <c r="C219" s="7">
        <f>IF($Z219="C",INDEX(Contracts!$E$2:$E$151,$AB219)&amp;"",IF($Z219="A",INDEX(Fixed_Assets!$D$2:$D$201,$AB219)&amp;"",IF($Z219="F",INDEX(FTE_Allocation!$C$2:$C$201,$AB219)&amp;"","")))</f>
        <v/>
      </c>
      <c r="D219" s="7">
        <f>IF($Z219="C",INDEX(Contracts!$B$2:$B$151,$AB219)&amp;"",IF($Z219="A",INDEX(Fixed_Assets!$B$2:$B$201,$AB219)&amp;"",IF($Z219="F",INDEX(FTE_Allocation!$B$2:$B$201,$AB219)&amp;"","")))</f>
        <v/>
      </c>
      <c r="E219" s="7">
        <f>IF($Z219="C",INDEX(Contracts!$P$2:$P$151,$AB219)&amp;"",IF($Z219="A",INDEX(Fixed_Assets!$K$2:$K$201,$AB219)&amp;"",IF($Z219="F",IF(INDEX(FTE_Allocation!$D$2:$D$201,$AB219)="PROJECT",IFERROR(INDEX(Projects!$D:$D,MATCH(INDEX(FTE_Allocation!$E$2:$E$201,$AB219),Projects!$A:$A,0))&amp;"","#PROJECT?"),INDEX(FTE_Allocation!$E$2:$E$201,$AB219)&amp;""),"")))</f>
        <v/>
      </c>
      <c r="F219" s="7">
        <f>IF($Z219="C",INDEX(Contracts!$Q$2:$Q$151,$AB219)&amp;"",IF($Z219="A",INDEX(Fixed_Assets!$L$2:$L$201,$AB219)&amp;"",IF($Z219="F",INDEX(Workforce!$K$2:$K$151,MATCH(INDEX(FTE_Allocation!$A$2:$A$201,$AB219),Workforce!$A$2:$A$151,0))&amp;"","")))</f>
        <v/>
      </c>
      <c r="G219" s="7">
        <f>IF($Z219="C",INDEX(Contracts!$F$2:$F$151,$AB219)&amp;" / "&amp;INDEX(Contracts!$G$2:$G$151,$AB219),IF($Z219="A",INDEX(Fixed_Assets!$E$2:$E$201,$AB219)&amp;"",IF($Z219="F","Personnel "&amp;INDEX(FTE_Allocation!$A$2:$A$201,$AB219)&amp;IF(INDEX(FTE_Allocation!$D$2:$D$201,$AB219)="PROJECT"," ("&amp;INDEX(FTE_Allocation!$E$2:$E$201,$AB219)&amp;")",""),"")))</f>
        <v/>
      </c>
      <c r="H219" s="7">
        <f>IF($Z219="C","CONTRACT",IF($Z219="A","ASSET",IF($Z219="F","WORKFORCE","")))</f>
        <v/>
      </c>
      <c r="I219" s="7">
        <f>IF($Z219="C",INDEX(Contracts!$L$2:$L$151,$AB219)&amp;"",IF($Z219="A",INDEX(Fixed_Assets!$I$2:$I$201,$AB219)&amp;"",IF($Z219="F",INDEX(Workforce!$G$2:$G$151,MATCH(INDEX(FTE_Allocation!$A$2:$A$201,$AB219),Workforce!$A$2:$A$151,0))&amp;"","")))</f>
        <v/>
      </c>
      <c r="J219" s="18">
        <f>IF($Z219="","",IF(AND(DATE($AD219,1,1)&gt;=$AE219,DATE($AD219,1,1)&lt;=$AF219),ROUND($AG219,2),0))</f>
        <v/>
      </c>
      <c r="K219" s="18">
        <f>IF($Z219="","",IF(AND(DATE($AD219,2,1)&gt;=$AE219,DATE($AD219,2,1)&lt;=$AF219),ROUND($AG219,2),0))</f>
        <v/>
      </c>
      <c r="L219" s="18">
        <f>IF($Z219="","",IF(AND(DATE($AD219,3,1)&gt;=$AE219,DATE($AD219,3,1)&lt;=$AF219),ROUND($AG219,2),0))</f>
        <v/>
      </c>
      <c r="M219" s="18">
        <f>IF($Z219="","",IF(AND(DATE($AD219,4,1)&gt;=$AE219,DATE($AD219,4,1)&lt;=$AF219),ROUND($AG219,2),0))</f>
        <v/>
      </c>
      <c r="N219" s="18">
        <f>IF($Z219="","",IF(AND(DATE($AD219,5,1)&gt;=$AE219,DATE($AD219,5,1)&lt;=$AF219),ROUND($AG219,2),0))</f>
        <v/>
      </c>
      <c r="O219" s="18">
        <f>IF($Z219="","",IF(AND(DATE($AD219,6,1)&gt;=$AE219,DATE($AD219,6,1)&lt;=$AF219),ROUND($AG219,2),0))</f>
        <v/>
      </c>
      <c r="P219" s="18">
        <f>IF($Z219="","",IF(AND(DATE($AD219,7,1)&gt;=$AE219,DATE($AD219,7,1)&lt;=$AF219),ROUND($AG219,2),0))</f>
        <v/>
      </c>
      <c r="Q219" s="18">
        <f>IF($Z219="","",IF(AND(DATE($AD219,8,1)&gt;=$AE219,DATE($AD219,8,1)&lt;=$AF219),ROUND($AG219,2),0))</f>
        <v/>
      </c>
      <c r="R219" s="18">
        <f>IF($Z219="","",IF(AND(DATE($AD219,9,1)&gt;=$AE219,DATE($AD219,9,1)&lt;=$AF219),ROUND($AG219,2),0))</f>
        <v/>
      </c>
      <c r="S219" s="18">
        <f>IF($Z219="","",IF(AND(DATE($AD219,10,1)&gt;=$AE219,DATE($AD219,10,1)&lt;=$AF219),ROUND($AG219,2),0))</f>
        <v/>
      </c>
      <c r="T219" s="18">
        <f>IF($Z219="","",IF(AND(DATE($AD219,11,1)&gt;=$AE219,DATE($AD219,11,1)&lt;=$AF219),ROUND($AG219,2),0))</f>
        <v/>
      </c>
      <c r="U219" s="18">
        <f>IF($Z219="","",IF(AND(DATE($AD219,12,1)&gt;=$AE219,DATE($AD219,12,1)&lt;=$AF219),ROUND($AG219,2),0))</f>
        <v/>
      </c>
      <c r="V219" s="7">
        <f>IF($Z219="C","Generated from "&amp;INDEX(Contracts!$A$2:$A$151,$AB219),IF($Z219="A","Generated from "&amp;INDEX(Fixed_Assets!$A$2:$A$201,$AB219),IF($Z219="F","Generated from "&amp;INDEX(FTE_Allocation!$A$2:$A$201,$AB219),"")))</f>
        <v/>
      </c>
      <c r="X219" s="19">
        <f>IF($Z219="","",SUM(J219:U219))</f>
        <v/>
      </c>
      <c r="Y219" s="20">
        <f>ROW()-1</f>
        <v/>
      </c>
      <c r="Z219" s="20">
        <f>IF($Y219&lt;=Settings!$B$4*3,"C",IF($Y219&lt;=(Settings!$B$4+Settings!$B$5)*3,"A",IF($Y219&lt;=(Settings!$B$4+Settings!$B$5+Settings!$B$6)*3,"F","")))</f>
        <v/>
      </c>
      <c r="AA219" s="20">
        <f>IF($Z219="C",$Y219,IF($Z219="A",$Y219-Settings!$B$4*3,IF($Z219="F",$Y219-(Settings!$B$4+Settings!$B$5)*3,"")))</f>
        <v/>
      </c>
      <c r="AB219" s="20">
        <f>IF($Z219="","",INT(($AA219-1)/3)+1)</f>
        <v/>
      </c>
      <c r="AC219" s="20">
        <f>IF($Z219="","",MOD($AA219-1,3)+1)</f>
        <v/>
      </c>
      <c r="AD219" s="20">
        <f>IF($Z219="","",Settings!$B$2+$AC219-1)</f>
        <v/>
      </c>
      <c r="AE219" s="21">
        <f>IF($Z219="C",DATE(YEAR(INDEX(Contracts!$J$2:$J$151,$AB219)),MONTH(INDEX(Contracts!$J$2:$J$151,$AB219)),1),IF($Z219="A",DATE(YEAR(INDEX(Fixed_Assets!$G$2:$G$201,$AB219)),MONTH(INDEX(Fixed_Assets!$G$2:$G$201,$AB219)),1),IF($Z219="F",DATE(YEAR(MAX(N(INDEX(Workforce!$I$2:$I$151,MATCH(INDEX(FTE_Allocation!$A$2:$A$201,$AB219),Workforce!$A$2:$A$151,0))),N(INDEX(FTE_Allocation!$I$2:$I$201,$AB219)))),MONTH(MAX(N(INDEX(Workforce!$I$2:$I$151,MATCH(INDEX(FTE_Allocation!$A$2:$A$201,$AB219),Workforce!$A$2:$A$151,0))),N(INDEX(FTE_Allocation!$I$2:$I$201,$AB219)))),1),"")))</f>
        <v/>
      </c>
      <c r="AF219" s="21">
        <f>IF($Z219="C",IF(INDEX(Contracts!$I$2:$I$151,$AB219)="PREPAID",EDATE(DATE(YEAR(INDEX(Contracts!$J$2:$J$151,$AB219)),MONTH(INDEX(Contracts!$J$2:$J$151,$AB219)),1),IF(INDEX(Contracts!$N$2:$N$151,$AB219)="",12,INDEX(Contracts!$N$2:$N$151,$AB219))-1),IF(INDEX(Contracts!$I$2:$I$151,$AB219)="MONTHLY",IF(INDEX(Contracts!$K$2:$K$151,$AB219)="",2958101,INDEX(Contracts!$K$2:$K$151,$AB219)),0)),IF($Z219="A",EDATE(DATE(YEAR(INDEX(Fixed_Assets!$G$2:$G$201,$AB219)),MONTH(INDEX(Fixed_Assets!$G$2:$G$201,$AB219)),1),INDEX(Fixed_Assets!$J$2:$J$201,$AB219)-1),IF($Z219="F",MIN(IF(INDEX(Workforce!$J$2:$J$151,MATCH(INDEX(FTE_Allocation!$A$2:$A$201,$AB219),Workforce!$A$2:$A$151,0))="",2958101,INDEX(Workforce!$J$2:$J$151,MATCH(INDEX(FTE_Allocation!$A$2:$A$201,$AB219),Workforce!$A$2:$A$151,0))),IF(INDEX(FTE_Allocation!$J$2:$J$201,$AB219)="",2958101,INDEX(FTE_Allocation!$J$2:$J$201,$AB219))),"")))</f>
        <v/>
      </c>
      <c r="AG219" s="19">
        <f>IF($Z219="C",IF(INDEX(Contracts!$I$2:$I$151,$AB219)="PREPAID",INDEX(Contracts!$M$2:$M$151,$AB219)/IF(INDEX(Contracts!$N$2:$N$151,$AB219)="",12,INDEX(Contracts!$N$2:$N$151,$AB219)),IF(INDEX(Contracts!$I$2:$I$151,$AB219)="MONTHLY",INDEX(Contracts!$M$2:$M$151,$AB219),0))*(1-N(INDEX(Contracts!$O$2:$O$151,$AB219))),IF($Z219="A",INDEX(Fixed_Assets!$H$2:$H$201,$AB219)/INDEX(Fixed_Assets!$J$2:$J$201,$AB219),IF($Z219="F",INDEX(Workforce!$F$2:$F$151,MATCH(INDEX(FTE_Allocation!$A$2:$A$201,$AB219),Workforce!$A$2:$A$151,0))*N(INDEX(FTE_Allocation!$F$2:$H$201,$AB219,$AC219)),"")))</f>
        <v/>
      </c>
    </row>
    <row r="220">
      <c r="A220" s="7">
        <f>IF($Z220="","",$AD220)</f>
        <v/>
      </c>
      <c r="B220" s="7">
        <f>IF($Z220="C",INDEX(Contracts!$D$2:$D$151,$AB220)&amp;"",IF($Z220="A",INDEX(Fixed_Assets!$C$2:$C$201,$AB220)&amp;"",IF($Z220="F",INDEX(Workforce!$B$2:$B$151,MATCH(INDEX(FTE_Allocation!$A$2:$A$201,$AB220),Workforce!$A$2:$A$151,0))&amp;"","")))</f>
        <v/>
      </c>
      <c r="C220" s="7">
        <f>IF($Z220="C",INDEX(Contracts!$E$2:$E$151,$AB220)&amp;"",IF($Z220="A",INDEX(Fixed_Assets!$D$2:$D$201,$AB220)&amp;"",IF($Z220="F",INDEX(FTE_Allocation!$C$2:$C$201,$AB220)&amp;"","")))</f>
        <v/>
      </c>
      <c r="D220" s="7">
        <f>IF($Z220="C",INDEX(Contracts!$B$2:$B$151,$AB220)&amp;"",IF($Z220="A",INDEX(Fixed_Assets!$B$2:$B$201,$AB220)&amp;"",IF($Z220="F",INDEX(FTE_Allocation!$B$2:$B$201,$AB220)&amp;"","")))</f>
        <v/>
      </c>
      <c r="E220" s="7">
        <f>IF($Z220="C",INDEX(Contracts!$P$2:$P$151,$AB220)&amp;"",IF($Z220="A",INDEX(Fixed_Assets!$K$2:$K$201,$AB220)&amp;"",IF($Z220="F",IF(INDEX(FTE_Allocation!$D$2:$D$201,$AB220)="PROJECT",IFERROR(INDEX(Projects!$D:$D,MATCH(INDEX(FTE_Allocation!$E$2:$E$201,$AB220),Projects!$A:$A,0))&amp;"","#PROJECT?"),INDEX(FTE_Allocation!$E$2:$E$201,$AB220)&amp;""),"")))</f>
        <v/>
      </c>
      <c r="F220" s="7">
        <f>IF($Z220="C",INDEX(Contracts!$Q$2:$Q$151,$AB220)&amp;"",IF($Z220="A",INDEX(Fixed_Assets!$L$2:$L$201,$AB220)&amp;"",IF($Z220="F",INDEX(Workforce!$K$2:$K$151,MATCH(INDEX(FTE_Allocation!$A$2:$A$201,$AB220),Workforce!$A$2:$A$151,0))&amp;"","")))</f>
        <v/>
      </c>
      <c r="G220" s="7">
        <f>IF($Z220="C",INDEX(Contracts!$F$2:$F$151,$AB220)&amp;" / "&amp;INDEX(Contracts!$G$2:$G$151,$AB220),IF($Z220="A",INDEX(Fixed_Assets!$E$2:$E$201,$AB220)&amp;"",IF($Z220="F","Personnel "&amp;INDEX(FTE_Allocation!$A$2:$A$201,$AB220)&amp;IF(INDEX(FTE_Allocation!$D$2:$D$201,$AB220)="PROJECT"," ("&amp;INDEX(FTE_Allocation!$E$2:$E$201,$AB220)&amp;")",""),"")))</f>
        <v/>
      </c>
      <c r="H220" s="7">
        <f>IF($Z220="C","CONTRACT",IF($Z220="A","ASSET",IF($Z220="F","WORKFORCE","")))</f>
        <v/>
      </c>
      <c r="I220" s="7">
        <f>IF($Z220="C",INDEX(Contracts!$L$2:$L$151,$AB220)&amp;"",IF($Z220="A",INDEX(Fixed_Assets!$I$2:$I$201,$AB220)&amp;"",IF($Z220="F",INDEX(Workforce!$G$2:$G$151,MATCH(INDEX(FTE_Allocation!$A$2:$A$201,$AB220),Workforce!$A$2:$A$151,0))&amp;"","")))</f>
        <v/>
      </c>
      <c r="J220" s="18">
        <f>IF($Z220="","",IF(AND(DATE($AD220,1,1)&gt;=$AE220,DATE($AD220,1,1)&lt;=$AF220),ROUND($AG220,2),0))</f>
        <v/>
      </c>
      <c r="K220" s="18">
        <f>IF($Z220="","",IF(AND(DATE($AD220,2,1)&gt;=$AE220,DATE($AD220,2,1)&lt;=$AF220),ROUND($AG220,2),0))</f>
        <v/>
      </c>
      <c r="L220" s="18">
        <f>IF($Z220="","",IF(AND(DATE($AD220,3,1)&gt;=$AE220,DATE($AD220,3,1)&lt;=$AF220),ROUND($AG220,2),0))</f>
        <v/>
      </c>
      <c r="M220" s="18">
        <f>IF($Z220="","",IF(AND(DATE($AD220,4,1)&gt;=$AE220,DATE($AD220,4,1)&lt;=$AF220),ROUND($AG220,2),0))</f>
        <v/>
      </c>
      <c r="N220" s="18">
        <f>IF($Z220="","",IF(AND(DATE($AD220,5,1)&gt;=$AE220,DATE($AD220,5,1)&lt;=$AF220),ROUND($AG220,2),0))</f>
        <v/>
      </c>
      <c r="O220" s="18">
        <f>IF($Z220="","",IF(AND(DATE($AD220,6,1)&gt;=$AE220,DATE($AD220,6,1)&lt;=$AF220),ROUND($AG220,2),0))</f>
        <v/>
      </c>
      <c r="P220" s="18">
        <f>IF($Z220="","",IF(AND(DATE($AD220,7,1)&gt;=$AE220,DATE($AD220,7,1)&lt;=$AF220),ROUND($AG220,2),0))</f>
        <v/>
      </c>
      <c r="Q220" s="18">
        <f>IF($Z220="","",IF(AND(DATE($AD220,8,1)&gt;=$AE220,DATE($AD220,8,1)&lt;=$AF220),ROUND($AG220,2),0))</f>
        <v/>
      </c>
      <c r="R220" s="18">
        <f>IF($Z220="","",IF(AND(DATE($AD220,9,1)&gt;=$AE220,DATE($AD220,9,1)&lt;=$AF220),ROUND($AG220,2),0))</f>
        <v/>
      </c>
      <c r="S220" s="18">
        <f>IF($Z220="","",IF(AND(DATE($AD220,10,1)&gt;=$AE220,DATE($AD220,10,1)&lt;=$AF220),ROUND($AG220,2),0))</f>
        <v/>
      </c>
      <c r="T220" s="18">
        <f>IF($Z220="","",IF(AND(DATE($AD220,11,1)&gt;=$AE220,DATE($AD220,11,1)&lt;=$AF220),ROUND($AG220,2),0))</f>
        <v/>
      </c>
      <c r="U220" s="18">
        <f>IF($Z220="","",IF(AND(DATE($AD220,12,1)&gt;=$AE220,DATE($AD220,12,1)&lt;=$AF220),ROUND($AG220,2),0))</f>
        <v/>
      </c>
      <c r="V220" s="7">
        <f>IF($Z220="C","Generated from "&amp;INDEX(Contracts!$A$2:$A$151,$AB220),IF($Z220="A","Generated from "&amp;INDEX(Fixed_Assets!$A$2:$A$201,$AB220),IF($Z220="F","Generated from "&amp;INDEX(FTE_Allocation!$A$2:$A$201,$AB220),"")))</f>
        <v/>
      </c>
      <c r="X220" s="19">
        <f>IF($Z220="","",SUM(J220:U220))</f>
        <v/>
      </c>
      <c r="Y220" s="20">
        <f>ROW()-1</f>
        <v/>
      </c>
      <c r="Z220" s="20">
        <f>IF($Y220&lt;=Settings!$B$4*3,"C",IF($Y220&lt;=(Settings!$B$4+Settings!$B$5)*3,"A",IF($Y220&lt;=(Settings!$B$4+Settings!$B$5+Settings!$B$6)*3,"F","")))</f>
        <v/>
      </c>
      <c r="AA220" s="20">
        <f>IF($Z220="C",$Y220,IF($Z220="A",$Y220-Settings!$B$4*3,IF($Z220="F",$Y220-(Settings!$B$4+Settings!$B$5)*3,"")))</f>
        <v/>
      </c>
      <c r="AB220" s="20">
        <f>IF($Z220="","",INT(($AA220-1)/3)+1)</f>
        <v/>
      </c>
      <c r="AC220" s="20">
        <f>IF($Z220="","",MOD($AA220-1,3)+1)</f>
        <v/>
      </c>
      <c r="AD220" s="20">
        <f>IF($Z220="","",Settings!$B$2+$AC220-1)</f>
        <v/>
      </c>
      <c r="AE220" s="21">
        <f>IF($Z220="C",DATE(YEAR(INDEX(Contracts!$J$2:$J$151,$AB220)),MONTH(INDEX(Contracts!$J$2:$J$151,$AB220)),1),IF($Z220="A",DATE(YEAR(INDEX(Fixed_Assets!$G$2:$G$201,$AB220)),MONTH(INDEX(Fixed_Assets!$G$2:$G$201,$AB220)),1),IF($Z220="F",DATE(YEAR(MAX(N(INDEX(Workforce!$I$2:$I$151,MATCH(INDEX(FTE_Allocation!$A$2:$A$201,$AB220),Workforce!$A$2:$A$151,0))),N(INDEX(FTE_Allocation!$I$2:$I$201,$AB220)))),MONTH(MAX(N(INDEX(Workforce!$I$2:$I$151,MATCH(INDEX(FTE_Allocation!$A$2:$A$201,$AB220),Workforce!$A$2:$A$151,0))),N(INDEX(FTE_Allocation!$I$2:$I$201,$AB220)))),1),"")))</f>
        <v/>
      </c>
      <c r="AF220" s="21">
        <f>IF($Z220="C",IF(INDEX(Contracts!$I$2:$I$151,$AB220)="PREPAID",EDATE(DATE(YEAR(INDEX(Contracts!$J$2:$J$151,$AB220)),MONTH(INDEX(Contracts!$J$2:$J$151,$AB220)),1),IF(INDEX(Contracts!$N$2:$N$151,$AB220)="",12,INDEX(Contracts!$N$2:$N$151,$AB220))-1),IF(INDEX(Contracts!$I$2:$I$151,$AB220)="MONTHLY",IF(INDEX(Contracts!$K$2:$K$151,$AB220)="",2958101,INDEX(Contracts!$K$2:$K$151,$AB220)),0)),IF($Z220="A",EDATE(DATE(YEAR(INDEX(Fixed_Assets!$G$2:$G$201,$AB220)),MONTH(INDEX(Fixed_Assets!$G$2:$G$201,$AB220)),1),INDEX(Fixed_Assets!$J$2:$J$201,$AB220)-1),IF($Z220="F",MIN(IF(INDEX(Workforce!$J$2:$J$151,MATCH(INDEX(FTE_Allocation!$A$2:$A$201,$AB220),Workforce!$A$2:$A$151,0))="",2958101,INDEX(Workforce!$J$2:$J$151,MATCH(INDEX(FTE_Allocation!$A$2:$A$201,$AB220),Workforce!$A$2:$A$151,0))),IF(INDEX(FTE_Allocation!$J$2:$J$201,$AB220)="",2958101,INDEX(FTE_Allocation!$J$2:$J$201,$AB220))),"")))</f>
        <v/>
      </c>
      <c r="AG220" s="19">
        <f>IF($Z220="C",IF(INDEX(Contracts!$I$2:$I$151,$AB220)="PREPAID",INDEX(Contracts!$M$2:$M$151,$AB220)/IF(INDEX(Contracts!$N$2:$N$151,$AB220)="",12,INDEX(Contracts!$N$2:$N$151,$AB220)),IF(INDEX(Contracts!$I$2:$I$151,$AB220)="MONTHLY",INDEX(Contracts!$M$2:$M$151,$AB220),0))*(1-N(INDEX(Contracts!$O$2:$O$151,$AB220))),IF($Z220="A",INDEX(Fixed_Assets!$H$2:$H$201,$AB220)/INDEX(Fixed_Assets!$J$2:$J$201,$AB220),IF($Z220="F",INDEX(Workforce!$F$2:$F$151,MATCH(INDEX(FTE_Allocation!$A$2:$A$201,$AB220),Workforce!$A$2:$A$151,0))*N(INDEX(FTE_Allocation!$F$2:$H$201,$AB220,$AC220)),"")))</f>
        <v/>
      </c>
    </row>
    <row r="221">
      <c r="A221" s="7">
        <f>IF($Z221="","",$AD221)</f>
        <v/>
      </c>
      <c r="B221" s="7">
        <f>IF($Z221="C",INDEX(Contracts!$D$2:$D$151,$AB221)&amp;"",IF($Z221="A",INDEX(Fixed_Assets!$C$2:$C$201,$AB221)&amp;"",IF($Z221="F",INDEX(Workforce!$B$2:$B$151,MATCH(INDEX(FTE_Allocation!$A$2:$A$201,$AB221),Workforce!$A$2:$A$151,0))&amp;"","")))</f>
        <v/>
      </c>
      <c r="C221" s="7">
        <f>IF($Z221="C",INDEX(Contracts!$E$2:$E$151,$AB221)&amp;"",IF($Z221="A",INDEX(Fixed_Assets!$D$2:$D$201,$AB221)&amp;"",IF($Z221="F",INDEX(FTE_Allocation!$C$2:$C$201,$AB221)&amp;"","")))</f>
        <v/>
      </c>
      <c r="D221" s="7">
        <f>IF($Z221="C",INDEX(Contracts!$B$2:$B$151,$AB221)&amp;"",IF($Z221="A",INDEX(Fixed_Assets!$B$2:$B$201,$AB221)&amp;"",IF($Z221="F",INDEX(FTE_Allocation!$B$2:$B$201,$AB221)&amp;"","")))</f>
        <v/>
      </c>
      <c r="E221" s="7">
        <f>IF($Z221="C",INDEX(Contracts!$P$2:$P$151,$AB221)&amp;"",IF($Z221="A",INDEX(Fixed_Assets!$K$2:$K$201,$AB221)&amp;"",IF($Z221="F",IF(INDEX(FTE_Allocation!$D$2:$D$201,$AB221)="PROJECT",IFERROR(INDEX(Projects!$D:$D,MATCH(INDEX(FTE_Allocation!$E$2:$E$201,$AB221),Projects!$A:$A,0))&amp;"","#PROJECT?"),INDEX(FTE_Allocation!$E$2:$E$201,$AB221)&amp;""),"")))</f>
        <v/>
      </c>
      <c r="F221" s="7">
        <f>IF($Z221="C",INDEX(Contracts!$Q$2:$Q$151,$AB221)&amp;"",IF($Z221="A",INDEX(Fixed_Assets!$L$2:$L$201,$AB221)&amp;"",IF($Z221="F",INDEX(Workforce!$K$2:$K$151,MATCH(INDEX(FTE_Allocation!$A$2:$A$201,$AB221),Workforce!$A$2:$A$151,0))&amp;"","")))</f>
        <v/>
      </c>
      <c r="G221" s="7">
        <f>IF($Z221="C",INDEX(Contracts!$F$2:$F$151,$AB221)&amp;" / "&amp;INDEX(Contracts!$G$2:$G$151,$AB221),IF($Z221="A",INDEX(Fixed_Assets!$E$2:$E$201,$AB221)&amp;"",IF($Z221="F","Personnel "&amp;INDEX(FTE_Allocation!$A$2:$A$201,$AB221)&amp;IF(INDEX(FTE_Allocation!$D$2:$D$201,$AB221)="PROJECT"," ("&amp;INDEX(FTE_Allocation!$E$2:$E$201,$AB221)&amp;")",""),"")))</f>
        <v/>
      </c>
      <c r="H221" s="7">
        <f>IF($Z221="C","CONTRACT",IF($Z221="A","ASSET",IF($Z221="F","WORKFORCE","")))</f>
        <v/>
      </c>
      <c r="I221" s="7">
        <f>IF($Z221="C",INDEX(Contracts!$L$2:$L$151,$AB221)&amp;"",IF($Z221="A",INDEX(Fixed_Assets!$I$2:$I$201,$AB221)&amp;"",IF($Z221="F",INDEX(Workforce!$G$2:$G$151,MATCH(INDEX(FTE_Allocation!$A$2:$A$201,$AB221),Workforce!$A$2:$A$151,0))&amp;"","")))</f>
        <v/>
      </c>
      <c r="J221" s="18">
        <f>IF($Z221="","",IF(AND(DATE($AD221,1,1)&gt;=$AE221,DATE($AD221,1,1)&lt;=$AF221),ROUND($AG221,2),0))</f>
        <v/>
      </c>
      <c r="K221" s="18">
        <f>IF($Z221="","",IF(AND(DATE($AD221,2,1)&gt;=$AE221,DATE($AD221,2,1)&lt;=$AF221),ROUND($AG221,2),0))</f>
        <v/>
      </c>
      <c r="L221" s="18">
        <f>IF($Z221="","",IF(AND(DATE($AD221,3,1)&gt;=$AE221,DATE($AD221,3,1)&lt;=$AF221),ROUND($AG221,2),0))</f>
        <v/>
      </c>
      <c r="M221" s="18">
        <f>IF($Z221="","",IF(AND(DATE($AD221,4,1)&gt;=$AE221,DATE($AD221,4,1)&lt;=$AF221),ROUND($AG221,2),0))</f>
        <v/>
      </c>
      <c r="N221" s="18">
        <f>IF($Z221="","",IF(AND(DATE($AD221,5,1)&gt;=$AE221,DATE($AD221,5,1)&lt;=$AF221),ROUND($AG221,2),0))</f>
        <v/>
      </c>
      <c r="O221" s="18">
        <f>IF($Z221="","",IF(AND(DATE($AD221,6,1)&gt;=$AE221,DATE($AD221,6,1)&lt;=$AF221),ROUND($AG221,2),0))</f>
        <v/>
      </c>
      <c r="P221" s="18">
        <f>IF($Z221="","",IF(AND(DATE($AD221,7,1)&gt;=$AE221,DATE($AD221,7,1)&lt;=$AF221),ROUND($AG221,2),0))</f>
        <v/>
      </c>
      <c r="Q221" s="18">
        <f>IF($Z221="","",IF(AND(DATE($AD221,8,1)&gt;=$AE221,DATE($AD221,8,1)&lt;=$AF221),ROUND($AG221,2),0))</f>
        <v/>
      </c>
      <c r="R221" s="18">
        <f>IF($Z221="","",IF(AND(DATE($AD221,9,1)&gt;=$AE221,DATE($AD221,9,1)&lt;=$AF221),ROUND($AG221,2),0))</f>
        <v/>
      </c>
      <c r="S221" s="18">
        <f>IF($Z221="","",IF(AND(DATE($AD221,10,1)&gt;=$AE221,DATE($AD221,10,1)&lt;=$AF221),ROUND($AG221,2),0))</f>
        <v/>
      </c>
      <c r="T221" s="18">
        <f>IF($Z221="","",IF(AND(DATE($AD221,11,1)&gt;=$AE221,DATE($AD221,11,1)&lt;=$AF221),ROUND($AG221,2),0))</f>
        <v/>
      </c>
      <c r="U221" s="18">
        <f>IF($Z221="","",IF(AND(DATE($AD221,12,1)&gt;=$AE221,DATE($AD221,12,1)&lt;=$AF221),ROUND($AG221,2),0))</f>
        <v/>
      </c>
      <c r="V221" s="7">
        <f>IF($Z221="C","Generated from "&amp;INDEX(Contracts!$A$2:$A$151,$AB221),IF($Z221="A","Generated from "&amp;INDEX(Fixed_Assets!$A$2:$A$201,$AB221),IF($Z221="F","Generated from "&amp;INDEX(FTE_Allocation!$A$2:$A$201,$AB221),"")))</f>
        <v/>
      </c>
      <c r="X221" s="19">
        <f>IF($Z221="","",SUM(J221:U221))</f>
        <v/>
      </c>
      <c r="Y221" s="20">
        <f>ROW()-1</f>
        <v/>
      </c>
      <c r="Z221" s="20">
        <f>IF($Y221&lt;=Settings!$B$4*3,"C",IF($Y221&lt;=(Settings!$B$4+Settings!$B$5)*3,"A",IF($Y221&lt;=(Settings!$B$4+Settings!$B$5+Settings!$B$6)*3,"F","")))</f>
        <v/>
      </c>
      <c r="AA221" s="20">
        <f>IF($Z221="C",$Y221,IF($Z221="A",$Y221-Settings!$B$4*3,IF($Z221="F",$Y221-(Settings!$B$4+Settings!$B$5)*3,"")))</f>
        <v/>
      </c>
      <c r="AB221" s="20">
        <f>IF($Z221="","",INT(($AA221-1)/3)+1)</f>
        <v/>
      </c>
      <c r="AC221" s="20">
        <f>IF($Z221="","",MOD($AA221-1,3)+1)</f>
        <v/>
      </c>
      <c r="AD221" s="20">
        <f>IF($Z221="","",Settings!$B$2+$AC221-1)</f>
        <v/>
      </c>
      <c r="AE221" s="21">
        <f>IF($Z221="C",DATE(YEAR(INDEX(Contracts!$J$2:$J$151,$AB221)),MONTH(INDEX(Contracts!$J$2:$J$151,$AB221)),1),IF($Z221="A",DATE(YEAR(INDEX(Fixed_Assets!$G$2:$G$201,$AB221)),MONTH(INDEX(Fixed_Assets!$G$2:$G$201,$AB221)),1),IF($Z221="F",DATE(YEAR(MAX(N(INDEX(Workforce!$I$2:$I$151,MATCH(INDEX(FTE_Allocation!$A$2:$A$201,$AB221),Workforce!$A$2:$A$151,0))),N(INDEX(FTE_Allocation!$I$2:$I$201,$AB221)))),MONTH(MAX(N(INDEX(Workforce!$I$2:$I$151,MATCH(INDEX(FTE_Allocation!$A$2:$A$201,$AB221),Workforce!$A$2:$A$151,0))),N(INDEX(FTE_Allocation!$I$2:$I$201,$AB221)))),1),"")))</f>
        <v/>
      </c>
      <c r="AF221" s="21">
        <f>IF($Z221="C",IF(INDEX(Contracts!$I$2:$I$151,$AB221)="PREPAID",EDATE(DATE(YEAR(INDEX(Contracts!$J$2:$J$151,$AB221)),MONTH(INDEX(Contracts!$J$2:$J$151,$AB221)),1),IF(INDEX(Contracts!$N$2:$N$151,$AB221)="",12,INDEX(Contracts!$N$2:$N$151,$AB221))-1),IF(INDEX(Contracts!$I$2:$I$151,$AB221)="MONTHLY",IF(INDEX(Contracts!$K$2:$K$151,$AB221)="",2958101,INDEX(Contracts!$K$2:$K$151,$AB221)),0)),IF($Z221="A",EDATE(DATE(YEAR(INDEX(Fixed_Assets!$G$2:$G$201,$AB221)),MONTH(INDEX(Fixed_Assets!$G$2:$G$201,$AB221)),1),INDEX(Fixed_Assets!$J$2:$J$201,$AB221)-1),IF($Z221="F",MIN(IF(INDEX(Workforce!$J$2:$J$151,MATCH(INDEX(FTE_Allocation!$A$2:$A$201,$AB221),Workforce!$A$2:$A$151,0))="",2958101,INDEX(Workforce!$J$2:$J$151,MATCH(INDEX(FTE_Allocation!$A$2:$A$201,$AB221),Workforce!$A$2:$A$151,0))),IF(INDEX(FTE_Allocation!$J$2:$J$201,$AB221)="",2958101,INDEX(FTE_Allocation!$J$2:$J$201,$AB221))),"")))</f>
        <v/>
      </c>
      <c r="AG221" s="19">
        <f>IF($Z221="C",IF(INDEX(Contracts!$I$2:$I$151,$AB221)="PREPAID",INDEX(Contracts!$M$2:$M$151,$AB221)/IF(INDEX(Contracts!$N$2:$N$151,$AB221)="",12,INDEX(Contracts!$N$2:$N$151,$AB221)),IF(INDEX(Contracts!$I$2:$I$151,$AB221)="MONTHLY",INDEX(Contracts!$M$2:$M$151,$AB221),0))*(1-N(INDEX(Contracts!$O$2:$O$151,$AB221))),IF($Z221="A",INDEX(Fixed_Assets!$H$2:$H$201,$AB221)/INDEX(Fixed_Assets!$J$2:$J$201,$AB221),IF($Z221="F",INDEX(Workforce!$F$2:$F$151,MATCH(INDEX(FTE_Allocation!$A$2:$A$201,$AB221),Workforce!$A$2:$A$151,0))*N(INDEX(FTE_Allocation!$F$2:$H$201,$AB221,$AC221)),"")))</f>
        <v/>
      </c>
    </row>
    <row r="222">
      <c r="A222" s="7">
        <f>IF($Z222="","",$AD222)</f>
        <v/>
      </c>
      <c r="B222" s="7">
        <f>IF($Z222="C",INDEX(Contracts!$D$2:$D$151,$AB222)&amp;"",IF($Z222="A",INDEX(Fixed_Assets!$C$2:$C$201,$AB222)&amp;"",IF($Z222="F",INDEX(Workforce!$B$2:$B$151,MATCH(INDEX(FTE_Allocation!$A$2:$A$201,$AB222),Workforce!$A$2:$A$151,0))&amp;"","")))</f>
        <v/>
      </c>
      <c r="C222" s="7">
        <f>IF($Z222="C",INDEX(Contracts!$E$2:$E$151,$AB222)&amp;"",IF($Z222="A",INDEX(Fixed_Assets!$D$2:$D$201,$AB222)&amp;"",IF($Z222="F",INDEX(FTE_Allocation!$C$2:$C$201,$AB222)&amp;"","")))</f>
        <v/>
      </c>
      <c r="D222" s="7">
        <f>IF($Z222="C",INDEX(Contracts!$B$2:$B$151,$AB222)&amp;"",IF($Z222="A",INDEX(Fixed_Assets!$B$2:$B$201,$AB222)&amp;"",IF($Z222="F",INDEX(FTE_Allocation!$B$2:$B$201,$AB222)&amp;"","")))</f>
        <v/>
      </c>
      <c r="E222" s="7">
        <f>IF($Z222="C",INDEX(Contracts!$P$2:$P$151,$AB222)&amp;"",IF($Z222="A",INDEX(Fixed_Assets!$K$2:$K$201,$AB222)&amp;"",IF($Z222="F",IF(INDEX(FTE_Allocation!$D$2:$D$201,$AB222)="PROJECT",IFERROR(INDEX(Projects!$D:$D,MATCH(INDEX(FTE_Allocation!$E$2:$E$201,$AB222),Projects!$A:$A,0))&amp;"","#PROJECT?"),INDEX(FTE_Allocation!$E$2:$E$201,$AB222)&amp;""),"")))</f>
        <v/>
      </c>
      <c r="F222" s="7">
        <f>IF($Z222="C",INDEX(Contracts!$Q$2:$Q$151,$AB222)&amp;"",IF($Z222="A",INDEX(Fixed_Assets!$L$2:$L$201,$AB222)&amp;"",IF($Z222="F",INDEX(Workforce!$K$2:$K$151,MATCH(INDEX(FTE_Allocation!$A$2:$A$201,$AB222),Workforce!$A$2:$A$151,0))&amp;"","")))</f>
        <v/>
      </c>
      <c r="G222" s="7">
        <f>IF($Z222="C",INDEX(Contracts!$F$2:$F$151,$AB222)&amp;" / "&amp;INDEX(Contracts!$G$2:$G$151,$AB222),IF($Z222="A",INDEX(Fixed_Assets!$E$2:$E$201,$AB222)&amp;"",IF($Z222="F","Personnel "&amp;INDEX(FTE_Allocation!$A$2:$A$201,$AB222)&amp;IF(INDEX(FTE_Allocation!$D$2:$D$201,$AB222)="PROJECT"," ("&amp;INDEX(FTE_Allocation!$E$2:$E$201,$AB222)&amp;")",""),"")))</f>
        <v/>
      </c>
      <c r="H222" s="7">
        <f>IF($Z222="C","CONTRACT",IF($Z222="A","ASSET",IF($Z222="F","WORKFORCE","")))</f>
        <v/>
      </c>
      <c r="I222" s="7">
        <f>IF($Z222="C",INDEX(Contracts!$L$2:$L$151,$AB222)&amp;"",IF($Z222="A",INDEX(Fixed_Assets!$I$2:$I$201,$AB222)&amp;"",IF($Z222="F",INDEX(Workforce!$G$2:$G$151,MATCH(INDEX(FTE_Allocation!$A$2:$A$201,$AB222),Workforce!$A$2:$A$151,0))&amp;"","")))</f>
        <v/>
      </c>
      <c r="J222" s="18">
        <f>IF($Z222="","",IF(AND(DATE($AD222,1,1)&gt;=$AE222,DATE($AD222,1,1)&lt;=$AF222),ROUND($AG222,2),0))</f>
        <v/>
      </c>
      <c r="K222" s="18">
        <f>IF($Z222="","",IF(AND(DATE($AD222,2,1)&gt;=$AE222,DATE($AD222,2,1)&lt;=$AF222),ROUND($AG222,2),0))</f>
        <v/>
      </c>
      <c r="L222" s="18">
        <f>IF($Z222="","",IF(AND(DATE($AD222,3,1)&gt;=$AE222,DATE($AD222,3,1)&lt;=$AF222),ROUND($AG222,2),0))</f>
        <v/>
      </c>
      <c r="M222" s="18">
        <f>IF($Z222="","",IF(AND(DATE($AD222,4,1)&gt;=$AE222,DATE($AD222,4,1)&lt;=$AF222),ROUND($AG222,2),0))</f>
        <v/>
      </c>
      <c r="N222" s="18">
        <f>IF($Z222="","",IF(AND(DATE($AD222,5,1)&gt;=$AE222,DATE($AD222,5,1)&lt;=$AF222),ROUND($AG222,2),0))</f>
        <v/>
      </c>
      <c r="O222" s="18">
        <f>IF($Z222="","",IF(AND(DATE($AD222,6,1)&gt;=$AE222,DATE($AD222,6,1)&lt;=$AF222),ROUND($AG222,2),0))</f>
        <v/>
      </c>
      <c r="P222" s="18">
        <f>IF($Z222="","",IF(AND(DATE($AD222,7,1)&gt;=$AE222,DATE($AD222,7,1)&lt;=$AF222),ROUND($AG222,2),0))</f>
        <v/>
      </c>
      <c r="Q222" s="18">
        <f>IF($Z222="","",IF(AND(DATE($AD222,8,1)&gt;=$AE222,DATE($AD222,8,1)&lt;=$AF222),ROUND($AG222,2),0))</f>
        <v/>
      </c>
      <c r="R222" s="18">
        <f>IF($Z222="","",IF(AND(DATE($AD222,9,1)&gt;=$AE222,DATE($AD222,9,1)&lt;=$AF222),ROUND($AG222,2),0))</f>
        <v/>
      </c>
      <c r="S222" s="18">
        <f>IF($Z222="","",IF(AND(DATE($AD222,10,1)&gt;=$AE222,DATE($AD222,10,1)&lt;=$AF222),ROUND($AG222,2),0))</f>
        <v/>
      </c>
      <c r="T222" s="18">
        <f>IF($Z222="","",IF(AND(DATE($AD222,11,1)&gt;=$AE222,DATE($AD222,11,1)&lt;=$AF222),ROUND($AG222,2),0))</f>
        <v/>
      </c>
      <c r="U222" s="18">
        <f>IF($Z222="","",IF(AND(DATE($AD222,12,1)&gt;=$AE222,DATE($AD222,12,1)&lt;=$AF222),ROUND($AG222,2),0))</f>
        <v/>
      </c>
      <c r="V222" s="7">
        <f>IF($Z222="C","Generated from "&amp;INDEX(Contracts!$A$2:$A$151,$AB222),IF($Z222="A","Generated from "&amp;INDEX(Fixed_Assets!$A$2:$A$201,$AB222),IF($Z222="F","Generated from "&amp;INDEX(FTE_Allocation!$A$2:$A$201,$AB222),"")))</f>
        <v/>
      </c>
      <c r="X222" s="19">
        <f>IF($Z222="","",SUM(J222:U222))</f>
        <v/>
      </c>
      <c r="Y222" s="20">
        <f>ROW()-1</f>
        <v/>
      </c>
      <c r="Z222" s="20">
        <f>IF($Y222&lt;=Settings!$B$4*3,"C",IF($Y222&lt;=(Settings!$B$4+Settings!$B$5)*3,"A",IF($Y222&lt;=(Settings!$B$4+Settings!$B$5+Settings!$B$6)*3,"F","")))</f>
        <v/>
      </c>
      <c r="AA222" s="20">
        <f>IF($Z222="C",$Y222,IF($Z222="A",$Y222-Settings!$B$4*3,IF($Z222="F",$Y222-(Settings!$B$4+Settings!$B$5)*3,"")))</f>
        <v/>
      </c>
      <c r="AB222" s="20">
        <f>IF($Z222="","",INT(($AA222-1)/3)+1)</f>
        <v/>
      </c>
      <c r="AC222" s="20">
        <f>IF($Z222="","",MOD($AA222-1,3)+1)</f>
        <v/>
      </c>
      <c r="AD222" s="20">
        <f>IF($Z222="","",Settings!$B$2+$AC222-1)</f>
        <v/>
      </c>
      <c r="AE222" s="21">
        <f>IF($Z222="C",DATE(YEAR(INDEX(Contracts!$J$2:$J$151,$AB222)),MONTH(INDEX(Contracts!$J$2:$J$151,$AB222)),1),IF($Z222="A",DATE(YEAR(INDEX(Fixed_Assets!$G$2:$G$201,$AB222)),MONTH(INDEX(Fixed_Assets!$G$2:$G$201,$AB222)),1),IF($Z222="F",DATE(YEAR(MAX(N(INDEX(Workforce!$I$2:$I$151,MATCH(INDEX(FTE_Allocation!$A$2:$A$201,$AB222),Workforce!$A$2:$A$151,0))),N(INDEX(FTE_Allocation!$I$2:$I$201,$AB222)))),MONTH(MAX(N(INDEX(Workforce!$I$2:$I$151,MATCH(INDEX(FTE_Allocation!$A$2:$A$201,$AB222),Workforce!$A$2:$A$151,0))),N(INDEX(FTE_Allocation!$I$2:$I$201,$AB222)))),1),"")))</f>
        <v/>
      </c>
      <c r="AF222" s="21">
        <f>IF($Z222="C",IF(INDEX(Contracts!$I$2:$I$151,$AB222)="PREPAID",EDATE(DATE(YEAR(INDEX(Contracts!$J$2:$J$151,$AB222)),MONTH(INDEX(Contracts!$J$2:$J$151,$AB222)),1),IF(INDEX(Contracts!$N$2:$N$151,$AB222)="",12,INDEX(Contracts!$N$2:$N$151,$AB222))-1),IF(INDEX(Contracts!$I$2:$I$151,$AB222)="MONTHLY",IF(INDEX(Contracts!$K$2:$K$151,$AB222)="",2958101,INDEX(Contracts!$K$2:$K$151,$AB222)),0)),IF($Z222="A",EDATE(DATE(YEAR(INDEX(Fixed_Assets!$G$2:$G$201,$AB222)),MONTH(INDEX(Fixed_Assets!$G$2:$G$201,$AB222)),1),INDEX(Fixed_Assets!$J$2:$J$201,$AB222)-1),IF($Z222="F",MIN(IF(INDEX(Workforce!$J$2:$J$151,MATCH(INDEX(FTE_Allocation!$A$2:$A$201,$AB222),Workforce!$A$2:$A$151,0))="",2958101,INDEX(Workforce!$J$2:$J$151,MATCH(INDEX(FTE_Allocation!$A$2:$A$201,$AB222),Workforce!$A$2:$A$151,0))),IF(INDEX(FTE_Allocation!$J$2:$J$201,$AB222)="",2958101,INDEX(FTE_Allocation!$J$2:$J$201,$AB222))),"")))</f>
        <v/>
      </c>
      <c r="AG222" s="19">
        <f>IF($Z222="C",IF(INDEX(Contracts!$I$2:$I$151,$AB222)="PREPAID",INDEX(Contracts!$M$2:$M$151,$AB222)/IF(INDEX(Contracts!$N$2:$N$151,$AB222)="",12,INDEX(Contracts!$N$2:$N$151,$AB222)),IF(INDEX(Contracts!$I$2:$I$151,$AB222)="MONTHLY",INDEX(Contracts!$M$2:$M$151,$AB222),0))*(1-N(INDEX(Contracts!$O$2:$O$151,$AB222))),IF($Z222="A",INDEX(Fixed_Assets!$H$2:$H$201,$AB222)/INDEX(Fixed_Assets!$J$2:$J$201,$AB222),IF($Z222="F",INDEX(Workforce!$F$2:$F$151,MATCH(INDEX(FTE_Allocation!$A$2:$A$201,$AB222),Workforce!$A$2:$A$151,0))*N(INDEX(FTE_Allocation!$F$2:$H$201,$AB222,$AC222)),"")))</f>
        <v/>
      </c>
    </row>
    <row r="223">
      <c r="A223" s="7">
        <f>IF($Z223="","",$AD223)</f>
        <v/>
      </c>
      <c r="B223" s="7">
        <f>IF($Z223="C",INDEX(Contracts!$D$2:$D$151,$AB223)&amp;"",IF($Z223="A",INDEX(Fixed_Assets!$C$2:$C$201,$AB223)&amp;"",IF($Z223="F",INDEX(Workforce!$B$2:$B$151,MATCH(INDEX(FTE_Allocation!$A$2:$A$201,$AB223),Workforce!$A$2:$A$151,0))&amp;"","")))</f>
        <v/>
      </c>
      <c r="C223" s="7">
        <f>IF($Z223="C",INDEX(Contracts!$E$2:$E$151,$AB223)&amp;"",IF($Z223="A",INDEX(Fixed_Assets!$D$2:$D$201,$AB223)&amp;"",IF($Z223="F",INDEX(FTE_Allocation!$C$2:$C$201,$AB223)&amp;"","")))</f>
        <v/>
      </c>
      <c r="D223" s="7">
        <f>IF($Z223="C",INDEX(Contracts!$B$2:$B$151,$AB223)&amp;"",IF($Z223="A",INDEX(Fixed_Assets!$B$2:$B$201,$AB223)&amp;"",IF($Z223="F",INDEX(FTE_Allocation!$B$2:$B$201,$AB223)&amp;"","")))</f>
        <v/>
      </c>
      <c r="E223" s="7">
        <f>IF($Z223="C",INDEX(Contracts!$P$2:$P$151,$AB223)&amp;"",IF($Z223="A",INDEX(Fixed_Assets!$K$2:$K$201,$AB223)&amp;"",IF($Z223="F",IF(INDEX(FTE_Allocation!$D$2:$D$201,$AB223)="PROJECT",IFERROR(INDEX(Projects!$D:$D,MATCH(INDEX(FTE_Allocation!$E$2:$E$201,$AB223),Projects!$A:$A,0))&amp;"","#PROJECT?"),INDEX(FTE_Allocation!$E$2:$E$201,$AB223)&amp;""),"")))</f>
        <v/>
      </c>
      <c r="F223" s="7">
        <f>IF($Z223="C",INDEX(Contracts!$Q$2:$Q$151,$AB223)&amp;"",IF($Z223="A",INDEX(Fixed_Assets!$L$2:$L$201,$AB223)&amp;"",IF($Z223="F",INDEX(Workforce!$K$2:$K$151,MATCH(INDEX(FTE_Allocation!$A$2:$A$201,$AB223),Workforce!$A$2:$A$151,0))&amp;"","")))</f>
        <v/>
      </c>
      <c r="G223" s="7">
        <f>IF($Z223="C",INDEX(Contracts!$F$2:$F$151,$AB223)&amp;" / "&amp;INDEX(Contracts!$G$2:$G$151,$AB223),IF($Z223="A",INDEX(Fixed_Assets!$E$2:$E$201,$AB223)&amp;"",IF($Z223="F","Personnel "&amp;INDEX(FTE_Allocation!$A$2:$A$201,$AB223)&amp;IF(INDEX(FTE_Allocation!$D$2:$D$201,$AB223)="PROJECT"," ("&amp;INDEX(FTE_Allocation!$E$2:$E$201,$AB223)&amp;")",""),"")))</f>
        <v/>
      </c>
      <c r="H223" s="7">
        <f>IF($Z223="C","CONTRACT",IF($Z223="A","ASSET",IF($Z223="F","WORKFORCE","")))</f>
        <v/>
      </c>
      <c r="I223" s="7">
        <f>IF($Z223="C",INDEX(Contracts!$L$2:$L$151,$AB223)&amp;"",IF($Z223="A",INDEX(Fixed_Assets!$I$2:$I$201,$AB223)&amp;"",IF($Z223="F",INDEX(Workforce!$G$2:$G$151,MATCH(INDEX(FTE_Allocation!$A$2:$A$201,$AB223),Workforce!$A$2:$A$151,0))&amp;"","")))</f>
        <v/>
      </c>
      <c r="J223" s="18">
        <f>IF($Z223="","",IF(AND(DATE($AD223,1,1)&gt;=$AE223,DATE($AD223,1,1)&lt;=$AF223),ROUND($AG223,2),0))</f>
        <v/>
      </c>
      <c r="K223" s="18">
        <f>IF($Z223="","",IF(AND(DATE($AD223,2,1)&gt;=$AE223,DATE($AD223,2,1)&lt;=$AF223),ROUND($AG223,2),0))</f>
        <v/>
      </c>
      <c r="L223" s="18">
        <f>IF($Z223="","",IF(AND(DATE($AD223,3,1)&gt;=$AE223,DATE($AD223,3,1)&lt;=$AF223),ROUND($AG223,2),0))</f>
        <v/>
      </c>
      <c r="M223" s="18">
        <f>IF($Z223="","",IF(AND(DATE($AD223,4,1)&gt;=$AE223,DATE($AD223,4,1)&lt;=$AF223),ROUND($AG223,2),0))</f>
        <v/>
      </c>
      <c r="N223" s="18">
        <f>IF($Z223="","",IF(AND(DATE($AD223,5,1)&gt;=$AE223,DATE($AD223,5,1)&lt;=$AF223),ROUND($AG223,2),0))</f>
        <v/>
      </c>
      <c r="O223" s="18">
        <f>IF($Z223="","",IF(AND(DATE($AD223,6,1)&gt;=$AE223,DATE($AD223,6,1)&lt;=$AF223),ROUND($AG223,2),0))</f>
        <v/>
      </c>
      <c r="P223" s="18">
        <f>IF($Z223="","",IF(AND(DATE($AD223,7,1)&gt;=$AE223,DATE($AD223,7,1)&lt;=$AF223),ROUND($AG223,2),0))</f>
        <v/>
      </c>
      <c r="Q223" s="18">
        <f>IF($Z223="","",IF(AND(DATE($AD223,8,1)&gt;=$AE223,DATE($AD223,8,1)&lt;=$AF223),ROUND($AG223,2),0))</f>
        <v/>
      </c>
      <c r="R223" s="18">
        <f>IF($Z223="","",IF(AND(DATE($AD223,9,1)&gt;=$AE223,DATE($AD223,9,1)&lt;=$AF223),ROUND($AG223,2),0))</f>
        <v/>
      </c>
      <c r="S223" s="18">
        <f>IF($Z223="","",IF(AND(DATE($AD223,10,1)&gt;=$AE223,DATE($AD223,10,1)&lt;=$AF223),ROUND($AG223,2),0))</f>
        <v/>
      </c>
      <c r="T223" s="18">
        <f>IF($Z223="","",IF(AND(DATE($AD223,11,1)&gt;=$AE223,DATE($AD223,11,1)&lt;=$AF223),ROUND($AG223,2),0))</f>
        <v/>
      </c>
      <c r="U223" s="18">
        <f>IF($Z223="","",IF(AND(DATE($AD223,12,1)&gt;=$AE223,DATE($AD223,12,1)&lt;=$AF223),ROUND($AG223,2),0))</f>
        <v/>
      </c>
      <c r="V223" s="7">
        <f>IF($Z223="C","Generated from "&amp;INDEX(Contracts!$A$2:$A$151,$AB223),IF($Z223="A","Generated from "&amp;INDEX(Fixed_Assets!$A$2:$A$201,$AB223),IF($Z223="F","Generated from "&amp;INDEX(FTE_Allocation!$A$2:$A$201,$AB223),"")))</f>
        <v/>
      </c>
      <c r="X223" s="19">
        <f>IF($Z223="","",SUM(J223:U223))</f>
        <v/>
      </c>
      <c r="Y223" s="20">
        <f>ROW()-1</f>
        <v/>
      </c>
      <c r="Z223" s="20">
        <f>IF($Y223&lt;=Settings!$B$4*3,"C",IF($Y223&lt;=(Settings!$B$4+Settings!$B$5)*3,"A",IF($Y223&lt;=(Settings!$B$4+Settings!$B$5+Settings!$B$6)*3,"F","")))</f>
        <v/>
      </c>
      <c r="AA223" s="20">
        <f>IF($Z223="C",$Y223,IF($Z223="A",$Y223-Settings!$B$4*3,IF($Z223="F",$Y223-(Settings!$B$4+Settings!$B$5)*3,"")))</f>
        <v/>
      </c>
      <c r="AB223" s="20">
        <f>IF($Z223="","",INT(($AA223-1)/3)+1)</f>
        <v/>
      </c>
      <c r="AC223" s="20">
        <f>IF($Z223="","",MOD($AA223-1,3)+1)</f>
        <v/>
      </c>
      <c r="AD223" s="20">
        <f>IF($Z223="","",Settings!$B$2+$AC223-1)</f>
        <v/>
      </c>
      <c r="AE223" s="21">
        <f>IF($Z223="C",DATE(YEAR(INDEX(Contracts!$J$2:$J$151,$AB223)),MONTH(INDEX(Contracts!$J$2:$J$151,$AB223)),1),IF($Z223="A",DATE(YEAR(INDEX(Fixed_Assets!$G$2:$G$201,$AB223)),MONTH(INDEX(Fixed_Assets!$G$2:$G$201,$AB223)),1),IF($Z223="F",DATE(YEAR(MAX(N(INDEX(Workforce!$I$2:$I$151,MATCH(INDEX(FTE_Allocation!$A$2:$A$201,$AB223),Workforce!$A$2:$A$151,0))),N(INDEX(FTE_Allocation!$I$2:$I$201,$AB223)))),MONTH(MAX(N(INDEX(Workforce!$I$2:$I$151,MATCH(INDEX(FTE_Allocation!$A$2:$A$201,$AB223),Workforce!$A$2:$A$151,0))),N(INDEX(FTE_Allocation!$I$2:$I$201,$AB223)))),1),"")))</f>
        <v/>
      </c>
      <c r="AF223" s="21">
        <f>IF($Z223="C",IF(INDEX(Contracts!$I$2:$I$151,$AB223)="PREPAID",EDATE(DATE(YEAR(INDEX(Contracts!$J$2:$J$151,$AB223)),MONTH(INDEX(Contracts!$J$2:$J$151,$AB223)),1),IF(INDEX(Contracts!$N$2:$N$151,$AB223)="",12,INDEX(Contracts!$N$2:$N$151,$AB223))-1),IF(INDEX(Contracts!$I$2:$I$151,$AB223)="MONTHLY",IF(INDEX(Contracts!$K$2:$K$151,$AB223)="",2958101,INDEX(Contracts!$K$2:$K$151,$AB223)),0)),IF($Z223="A",EDATE(DATE(YEAR(INDEX(Fixed_Assets!$G$2:$G$201,$AB223)),MONTH(INDEX(Fixed_Assets!$G$2:$G$201,$AB223)),1),INDEX(Fixed_Assets!$J$2:$J$201,$AB223)-1),IF($Z223="F",MIN(IF(INDEX(Workforce!$J$2:$J$151,MATCH(INDEX(FTE_Allocation!$A$2:$A$201,$AB223),Workforce!$A$2:$A$151,0))="",2958101,INDEX(Workforce!$J$2:$J$151,MATCH(INDEX(FTE_Allocation!$A$2:$A$201,$AB223),Workforce!$A$2:$A$151,0))),IF(INDEX(FTE_Allocation!$J$2:$J$201,$AB223)="",2958101,INDEX(FTE_Allocation!$J$2:$J$201,$AB223))),"")))</f>
        <v/>
      </c>
      <c r="AG223" s="19">
        <f>IF($Z223="C",IF(INDEX(Contracts!$I$2:$I$151,$AB223)="PREPAID",INDEX(Contracts!$M$2:$M$151,$AB223)/IF(INDEX(Contracts!$N$2:$N$151,$AB223)="",12,INDEX(Contracts!$N$2:$N$151,$AB223)),IF(INDEX(Contracts!$I$2:$I$151,$AB223)="MONTHLY",INDEX(Contracts!$M$2:$M$151,$AB223),0))*(1-N(INDEX(Contracts!$O$2:$O$151,$AB223))),IF($Z223="A",INDEX(Fixed_Assets!$H$2:$H$201,$AB223)/INDEX(Fixed_Assets!$J$2:$J$201,$AB223),IF($Z223="F",INDEX(Workforce!$F$2:$F$151,MATCH(INDEX(FTE_Allocation!$A$2:$A$201,$AB223),Workforce!$A$2:$A$151,0))*N(INDEX(FTE_Allocation!$F$2:$H$201,$AB223,$AC223)),"")))</f>
        <v/>
      </c>
    </row>
    <row r="224">
      <c r="A224" s="7">
        <f>IF($Z224="","",$AD224)</f>
        <v/>
      </c>
      <c r="B224" s="7">
        <f>IF($Z224="C",INDEX(Contracts!$D$2:$D$151,$AB224)&amp;"",IF($Z224="A",INDEX(Fixed_Assets!$C$2:$C$201,$AB224)&amp;"",IF($Z224="F",INDEX(Workforce!$B$2:$B$151,MATCH(INDEX(FTE_Allocation!$A$2:$A$201,$AB224),Workforce!$A$2:$A$151,0))&amp;"","")))</f>
        <v/>
      </c>
      <c r="C224" s="7">
        <f>IF($Z224="C",INDEX(Contracts!$E$2:$E$151,$AB224)&amp;"",IF($Z224="A",INDEX(Fixed_Assets!$D$2:$D$201,$AB224)&amp;"",IF($Z224="F",INDEX(FTE_Allocation!$C$2:$C$201,$AB224)&amp;"","")))</f>
        <v/>
      </c>
      <c r="D224" s="7">
        <f>IF($Z224="C",INDEX(Contracts!$B$2:$B$151,$AB224)&amp;"",IF($Z224="A",INDEX(Fixed_Assets!$B$2:$B$201,$AB224)&amp;"",IF($Z224="F",INDEX(FTE_Allocation!$B$2:$B$201,$AB224)&amp;"","")))</f>
        <v/>
      </c>
      <c r="E224" s="7">
        <f>IF($Z224="C",INDEX(Contracts!$P$2:$P$151,$AB224)&amp;"",IF($Z224="A",INDEX(Fixed_Assets!$K$2:$K$201,$AB224)&amp;"",IF($Z224="F",IF(INDEX(FTE_Allocation!$D$2:$D$201,$AB224)="PROJECT",IFERROR(INDEX(Projects!$D:$D,MATCH(INDEX(FTE_Allocation!$E$2:$E$201,$AB224),Projects!$A:$A,0))&amp;"","#PROJECT?"),INDEX(FTE_Allocation!$E$2:$E$201,$AB224)&amp;""),"")))</f>
        <v/>
      </c>
      <c r="F224" s="7">
        <f>IF($Z224="C",INDEX(Contracts!$Q$2:$Q$151,$AB224)&amp;"",IF($Z224="A",INDEX(Fixed_Assets!$L$2:$L$201,$AB224)&amp;"",IF($Z224="F",INDEX(Workforce!$K$2:$K$151,MATCH(INDEX(FTE_Allocation!$A$2:$A$201,$AB224),Workforce!$A$2:$A$151,0))&amp;"","")))</f>
        <v/>
      </c>
      <c r="G224" s="7">
        <f>IF($Z224="C",INDEX(Contracts!$F$2:$F$151,$AB224)&amp;" / "&amp;INDEX(Contracts!$G$2:$G$151,$AB224),IF($Z224="A",INDEX(Fixed_Assets!$E$2:$E$201,$AB224)&amp;"",IF($Z224="F","Personnel "&amp;INDEX(FTE_Allocation!$A$2:$A$201,$AB224)&amp;IF(INDEX(FTE_Allocation!$D$2:$D$201,$AB224)="PROJECT"," ("&amp;INDEX(FTE_Allocation!$E$2:$E$201,$AB224)&amp;")",""),"")))</f>
        <v/>
      </c>
      <c r="H224" s="7">
        <f>IF($Z224="C","CONTRACT",IF($Z224="A","ASSET",IF($Z224="F","WORKFORCE","")))</f>
        <v/>
      </c>
      <c r="I224" s="7">
        <f>IF($Z224="C",INDEX(Contracts!$L$2:$L$151,$AB224)&amp;"",IF($Z224="A",INDEX(Fixed_Assets!$I$2:$I$201,$AB224)&amp;"",IF($Z224="F",INDEX(Workforce!$G$2:$G$151,MATCH(INDEX(FTE_Allocation!$A$2:$A$201,$AB224),Workforce!$A$2:$A$151,0))&amp;"","")))</f>
        <v/>
      </c>
      <c r="J224" s="18">
        <f>IF($Z224="","",IF(AND(DATE($AD224,1,1)&gt;=$AE224,DATE($AD224,1,1)&lt;=$AF224),ROUND($AG224,2),0))</f>
        <v/>
      </c>
      <c r="K224" s="18">
        <f>IF($Z224="","",IF(AND(DATE($AD224,2,1)&gt;=$AE224,DATE($AD224,2,1)&lt;=$AF224),ROUND($AG224,2),0))</f>
        <v/>
      </c>
      <c r="L224" s="18">
        <f>IF($Z224="","",IF(AND(DATE($AD224,3,1)&gt;=$AE224,DATE($AD224,3,1)&lt;=$AF224),ROUND($AG224,2),0))</f>
        <v/>
      </c>
      <c r="M224" s="18">
        <f>IF($Z224="","",IF(AND(DATE($AD224,4,1)&gt;=$AE224,DATE($AD224,4,1)&lt;=$AF224),ROUND($AG224,2),0))</f>
        <v/>
      </c>
      <c r="N224" s="18">
        <f>IF($Z224="","",IF(AND(DATE($AD224,5,1)&gt;=$AE224,DATE($AD224,5,1)&lt;=$AF224),ROUND($AG224,2),0))</f>
        <v/>
      </c>
      <c r="O224" s="18">
        <f>IF($Z224="","",IF(AND(DATE($AD224,6,1)&gt;=$AE224,DATE($AD224,6,1)&lt;=$AF224),ROUND($AG224,2),0))</f>
        <v/>
      </c>
      <c r="P224" s="18">
        <f>IF($Z224="","",IF(AND(DATE($AD224,7,1)&gt;=$AE224,DATE($AD224,7,1)&lt;=$AF224),ROUND($AG224,2),0))</f>
        <v/>
      </c>
      <c r="Q224" s="18">
        <f>IF($Z224="","",IF(AND(DATE($AD224,8,1)&gt;=$AE224,DATE($AD224,8,1)&lt;=$AF224),ROUND($AG224,2),0))</f>
        <v/>
      </c>
      <c r="R224" s="18">
        <f>IF($Z224="","",IF(AND(DATE($AD224,9,1)&gt;=$AE224,DATE($AD224,9,1)&lt;=$AF224),ROUND($AG224,2),0))</f>
        <v/>
      </c>
      <c r="S224" s="18">
        <f>IF($Z224="","",IF(AND(DATE($AD224,10,1)&gt;=$AE224,DATE($AD224,10,1)&lt;=$AF224),ROUND($AG224,2),0))</f>
        <v/>
      </c>
      <c r="T224" s="18">
        <f>IF($Z224="","",IF(AND(DATE($AD224,11,1)&gt;=$AE224,DATE($AD224,11,1)&lt;=$AF224),ROUND($AG224,2),0))</f>
        <v/>
      </c>
      <c r="U224" s="18">
        <f>IF($Z224="","",IF(AND(DATE($AD224,12,1)&gt;=$AE224,DATE($AD224,12,1)&lt;=$AF224),ROUND($AG224,2),0))</f>
        <v/>
      </c>
      <c r="V224" s="7">
        <f>IF($Z224="C","Generated from "&amp;INDEX(Contracts!$A$2:$A$151,$AB224),IF($Z224="A","Generated from "&amp;INDEX(Fixed_Assets!$A$2:$A$201,$AB224),IF($Z224="F","Generated from "&amp;INDEX(FTE_Allocation!$A$2:$A$201,$AB224),"")))</f>
        <v/>
      </c>
      <c r="X224" s="19">
        <f>IF($Z224="","",SUM(J224:U224))</f>
        <v/>
      </c>
      <c r="Y224" s="20">
        <f>ROW()-1</f>
        <v/>
      </c>
      <c r="Z224" s="20">
        <f>IF($Y224&lt;=Settings!$B$4*3,"C",IF($Y224&lt;=(Settings!$B$4+Settings!$B$5)*3,"A",IF($Y224&lt;=(Settings!$B$4+Settings!$B$5+Settings!$B$6)*3,"F","")))</f>
        <v/>
      </c>
      <c r="AA224" s="20">
        <f>IF($Z224="C",$Y224,IF($Z224="A",$Y224-Settings!$B$4*3,IF($Z224="F",$Y224-(Settings!$B$4+Settings!$B$5)*3,"")))</f>
        <v/>
      </c>
      <c r="AB224" s="20">
        <f>IF($Z224="","",INT(($AA224-1)/3)+1)</f>
        <v/>
      </c>
      <c r="AC224" s="20">
        <f>IF($Z224="","",MOD($AA224-1,3)+1)</f>
        <v/>
      </c>
      <c r="AD224" s="20">
        <f>IF($Z224="","",Settings!$B$2+$AC224-1)</f>
        <v/>
      </c>
      <c r="AE224" s="21">
        <f>IF($Z224="C",DATE(YEAR(INDEX(Contracts!$J$2:$J$151,$AB224)),MONTH(INDEX(Contracts!$J$2:$J$151,$AB224)),1),IF($Z224="A",DATE(YEAR(INDEX(Fixed_Assets!$G$2:$G$201,$AB224)),MONTH(INDEX(Fixed_Assets!$G$2:$G$201,$AB224)),1),IF($Z224="F",DATE(YEAR(MAX(N(INDEX(Workforce!$I$2:$I$151,MATCH(INDEX(FTE_Allocation!$A$2:$A$201,$AB224),Workforce!$A$2:$A$151,0))),N(INDEX(FTE_Allocation!$I$2:$I$201,$AB224)))),MONTH(MAX(N(INDEX(Workforce!$I$2:$I$151,MATCH(INDEX(FTE_Allocation!$A$2:$A$201,$AB224),Workforce!$A$2:$A$151,0))),N(INDEX(FTE_Allocation!$I$2:$I$201,$AB224)))),1),"")))</f>
        <v/>
      </c>
      <c r="AF224" s="21">
        <f>IF($Z224="C",IF(INDEX(Contracts!$I$2:$I$151,$AB224)="PREPAID",EDATE(DATE(YEAR(INDEX(Contracts!$J$2:$J$151,$AB224)),MONTH(INDEX(Contracts!$J$2:$J$151,$AB224)),1),IF(INDEX(Contracts!$N$2:$N$151,$AB224)="",12,INDEX(Contracts!$N$2:$N$151,$AB224))-1),IF(INDEX(Contracts!$I$2:$I$151,$AB224)="MONTHLY",IF(INDEX(Contracts!$K$2:$K$151,$AB224)="",2958101,INDEX(Contracts!$K$2:$K$151,$AB224)),0)),IF($Z224="A",EDATE(DATE(YEAR(INDEX(Fixed_Assets!$G$2:$G$201,$AB224)),MONTH(INDEX(Fixed_Assets!$G$2:$G$201,$AB224)),1),INDEX(Fixed_Assets!$J$2:$J$201,$AB224)-1),IF($Z224="F",MIN(IF(INDEX(Workforce!$J$2:$J$151,MATCH(INDEX(FTE_Allocation!$A$2:$A$201,$AB224),Workforce!$A$2:$A$151,0))="",2958101,INDEX(Workforce!$J$2:$J$151,MATCH(INDEX(FTE_Allocation!$A$2:$A$201,$AB224),Workforce!$A$2:$A$151,0))),IF(INDEX(FTE_Allocation!$J$2:$J$201,$AB224)="",2958101,INDEX(FTE_Allocation!$J$2:$J$201,$AB224))),"")))</f>
        <v/>
      </c>
      <c r="AG224" s="19">
        <f>IF($Z224="C",IF(INDEX(Contracts!$I$2:$I$151,$AB224)="PREPAID",INDEX(Contracts!$M$2:$M$151,$AB224)/IF(INDEX(Contracts!$N$2:$N$151,$AB224)="",12,INDEX(Contracts!$N$2:$N$151,$AB224)),IF(INDEX(Contracts!$I$2:$I$151,$AB224)="MONTHLY",INDEX(Contracts!$M$2:$M$151,$AB224),0))*(1-N(INDEX(Contracts!$O$2:$O$151,$AB224))),IF($Z224="A",INDEX(Fixed_Assets!$H$2:$H$201,$AB224)/INDEX(Fixed_Assets!$J$2:$J$201,$AB224),IF($Z224="F",INDEX(Workforce!$F$2:$F$151,MATCH(INDEX(FTE_Allocation!$A$2:$A$201,$AB224),Workforce!$A$2:$A$151,0))*N(INDEX(FTE_Allocation!$F$2:$H$201,$AB224,$AC224)),"")))</f>
        <v/>
      </c>
    </row>
    <row r="225">
      <c r="A225" s="7">
        <f>IF($Z225="","",$AD225)</f>
        <v/>
      </c>
      <c r="B225" s="7">
        <f>IF($Z225="C",INDEX(Contracts!$D$2:$D$151,$AB225)&amp;"",IF($Z225="A",INDEX(Fixed_Assets!$C$2:$C$201,$AB225)&amp;"",IF($Z225="F",INDEX(Workforce!$B$2:$B$151,MATCH(INDEX(FTE_Allocation!$A$2:$A$201,$AB225),Workforce!$A$2:$A$151,0))&amp;"","")))</f>
        <v/>
      </c>
      <c r="C225" s="7">
        <f>IF($Z225="C",INDEX(Contracts!$E$2:$E$151,$AB225)&amp;"",IF($Z225="A",INDEX(Fixed_Assets!$D$2:$D$201,$AB225)&amp;"",IF($Z225="F",INDEX(FTE_Allocation!$C$2:$C$201,$AB225)&amp;"","")))</f>
        <v/>
      </c>
      <c r="D225" s="7">
        <f>IF($Z225="C",INDEX(Contracts!$B$2:$B$151,$AB225)&amp;"",IF($Z225="A",INDEX(Fixed_Assets!$B$2:$B$201,$AB225)&amp;"",IF($Z225="F",INDEX(FTE_Allocation!$B$2:$B$201,$AB225)&amp;"","")))</f>
        <v/>
      </c>
      <c r="E225" s="7">
        <f>IF($Z225="C",INDEX(Contracts!$P$2:$P$151,$AB225)&amp;"",IF($Z225="A",INDEX(Fixed_Assets!$K$2:$K$201,$AB225)&amp;"",IF($Z225="F",IF(INDEX(FTE_Allocation!$D$2:$D$201,$AB225)="PROJECT",IFERROR(INDEX(Projects!$D:$D,MATCH(INDEX(FTE_Allocation!$E$2:$E$201,$AB225),Projects!$A:$A,0))&amp;"","#PROJECT?"),INDEX(FTE_Allocation!$E$2:$E$201,$AB225)&amp;""),"")))</f>
        <v/>
      </c>
      <c r="F225" s="7">
        <f>IF($Z225="C",INDEX(Contracts!$Q$2:$Q$151,$AB225)&amp;"",IF($Z225="A",INDEX(Fixed_Assets!$L$2:$L$201,$AB225)&amp;"",IF($Z225="F",INDEX(Workforce!$K$2:$K$151,MATCH(INDEX(FTE_Allocation!$A$2:$A$201,$AB225),Workforce!$A$2:$A$151,0))&amp;"","")))</f>
        <v/>
      </c>
      <c r="G225" s="7">
        <f>IF($Z225="C",INDEX(Contracts!$F$2:$F$151,$AB225)&amp;" / "&amp;INDEX(Contracts!$G$2:$G$151,$AB225),IF($Z225="A",INDEX(Fixed_Assets!$E$2:$E$201,$AB225)&amp;"",IF($Z225="F","Personnel "&amp;INDEX(FTE_Allocation!$A$2:$A$201,$AB225)&amp;IF(INDEX(FTE_Allocation!$D$2:$D$201,$AB225)="PROJECT"," ("&amp;INDEX(FTE_Allocation!$E$2:$E$201,$AB225)&amp;")",""),"")))</f>
        <v/>
      </c>
      <c r="H225" s="7">
        <f>IF($Z225="C","CONTRACT",IF($Z225="A","ASSET",IF($Z225="F","WORKFORCE","")))</f>
        <v/>
      </c>
      <c r="I225" s="7">
        <f>IF($Z225="C",INDEX(Contracts!$L$2:$L$151,$AB225)&amp;"",IF($Z225="A",INDEX(Fixed_Assets!$I$2:$I$201,$AB225)&amp;"",IF($Z225="F",INDEX(Workforce!$G$2:$G$151,MATCH(INDEX(FTE_Allocation!$A$2:$A$201,$AB225),Workforce!$A$2:$A$151,0))&amp;"","")))</f>
        <v/>
      </c>
      <c r="J225" s="18">
        <f>IF($Z225="","",IF(AND(DATE($AD225,1,1)&gt;=$AE225,DATE($AD225,1,1)&lt;=$AF225),ROUND($AG225,2),0))</f>
        <v/>
      </c>
      <c r="K225" s="18">
        <f>IF($Z225="","",IF(AND(DATE($AD225,2,1)&gt;=$AE225,DATE($AD225,2,1)&lt;=$AF225),ROUND($AG225,2),0))</f>
        <v/>
      </c>
      <c r="L225" s="18">
        <f>IF($Z225="","",IF(AND(DATE($AD225,3,1)&gt;=$AE225,DATE($AD225,3,1)&lt;=$AF225),ROUND($AG225,2),0))</f>
        <v/>
      </c>
      <c r="M225" s="18">
        <f>IF($Z225="","",IF(AND(DATE($AD225,4,1)&gt;=$AE225,DATE($AD225,4,1)&lt;=$AF225),ROUND($AG225,2),0))</f>
        <v/>
      </c>
      <c r="N225" s="18">
        <f>IF($Z225="","",IF(AND(DATE($AD225,5,1)&gt;=$AE225,DATE($AD225,5,1)&lt;=$AF225),ROUND($AG225,2),0))</f>
        <v/>
      </c>
      <c r="O225" s="18">
        <f>IF($Z225="","",IF(AND(DATE($AD225,6,1)&gt;=$AE225,DATE($AD225,6,1)&lt;=$AF225),ROUND($AG225,2),0))</f>
        <v/>
      </c>
      <c r="P225" s="18">
        <f>IF($Z225="","",IF(AND(DATE($AD225,7,1)&gt;=$AE225,DATE($AD225,7,1)&lt;=$AF225),ROUND($AG225,2),0))</f>
        <v/>
      </c>
      <c r="Q225" s="18">
        <f>IF($Z225="","",IF(AND(DATE($AD225,8,1)&gt;=$AE225,DATE($AD225,8,1)&lt;=$AF225),ROUND($AG225,2),0))</f>
        <v/>
      </c>
      <c r="R225" s="18">
        <f>IF($Z225="","",IF(AND(DATE($AD225,9,1)&gt;=$AE225,DATE($AD225,9,1)&lt;=$AF225),ROUND($AG225,2),0))</f>
        <v/>
      </c>
      <c r="S225" s="18">
        <f>IF($Z225="","",IF(AND(DATE($AD225,10,1)&gt;=$AE225,DATE($AD225,10,1)&lt;=$AF225),ROUND($AG225,2),0))</f>
        <v/>
      </c>
      <c r="T225" s="18">
        <f>IF($Z225="","",IF(AND(DATE($AD225,11,1)&gt;=$AE225,DATE($AD225,11,1)&lt;=$AF225),ROUND($AG225,2),0))</f>
        <v/>
      </c>
      <c r="U225" s="18">
        <f>IF($Z225="","",IF(AND(DATE($AD225,12,1)&gt;=$AE225,DATE($AD225,12,1)&lt;=$AF225),ROUND($AG225,2),0))</f>
        <v/>
      </c>
      <c r="V225" s="7">
        <f>IF($Z225="C","Generated from "&amp;INDEX(Contracts!$A$2:$A$151,$AB225),IF($Z225="A","Generated from "&amp;INDEX(Fixed_Assets!$A$2:$A$201,$AB225),IF($Z225="F","Generated from "&amp;INDEX(FTE_Allocation!$A$2:$A$201,$AB225),"")))</f>
        <v/>
      </c>
      <c r="X225" s="19">
        <f>IF($Z225="","",SUM(J225:U225))</f>
        <v/>
      </c>
      <c r="Y225" s="20">
        <f>ROW()-1</f>
        <v/>
      </c>
      <c r="Z225" s="20">
        <f>IF($Y225&lt;=Settings!$B$4*3,"C",IF($Y225&lt;=(Settings!$B$4+Settings!$B$5)*3,"A",IF($Y225&lt;=(Settings!$B$4+Settings!$B$5+Settings!$B$6)*3,"F","")))</f>
        <v/>
      </c>
      <c r="AA225" s="20">
        <f>IF($Z225="C",$Y225,IF($Z225="A",$Y225-Settings!$B$4*3,IF($Z225="F",$Y225-(Settings!$B$4+Settings!$B$5)*3,"")))</f>
        <v/>
      </c>
      <c r="AB225" s="20">
        <f>IF($Z225="","",INT(($AA225-1)/3)+1)</f>
        <v/>
      </c>
      <c r="AC225" s="20">
        <f>IF($Z225="","",MOD($AA225-1,3)+1)</f>
        <v/>
      </c>
      <c r="AD225" s="20">
        <f>IF($Z225="","",Settings!$B$2+$AC225-1)</f>
        <v/>
      </c>
      <c r="AE225" s="21">
        <f>IF($Z225="C",DATE(YEAR(INDEX(Contracts!$J$2:$J$151,$AB225)),MONTH(INDEX(Contracts!$J$2:$J$151,$AB225)),1),IF($Z225="A",DATE(YEAR(INDEX(Fixed_Assets!$G$2:$G$201,$AB225)),MONTH(INDEX(Fixed_Assets!$G$2:$G$201,$AB225)),1),IF($Z225="F",DATE(YEAR(MAX(N(INDEX(Workforce!$I$2:$I$151,MATCH(INDEX(FTE_Allocation!$A$2:$A$201,$AB225),Workforce!$A$2:$A$151,0))),N(INDEX(FTE_Allocation!$I$2:$I$201,$AB225)))),MONTH(MAX(N(INDEX(Workforce!$I$2:$I$151,MATCH(INDEX(FTE_Allocation!$A$2:$A$201,$AB225),Workforce!$A$2:$A$151,0))),N(INDEX(FTE_Allocation!$I$2:$I$201,$AB225)))),1),"")))</f>
        <v/>
      </c>
      <c r="AF225" s="21">
        <f>IF($Z225="C",IF(INDEX(Contracts!$I$2:$I$151,$AB225)="PREPAID",EDATE(DATE(YEAR(INDEX(Contracts!$J$2:$J$151,$AB225)),MONTH(INDEX(Contracts!$J$2:$J$151,$AB225)),1),IF(INDEX(Contracts!$N$2:$N$151,$AB225)="",12,INDEX(Contracts!$N$2:$N$151,$AB225))-1),IF(INDEX(Contracts!$I$2:$I$151,$AB225)="MONTHLY",IF(INDEX(Contracts!$K$2:$K$151,$AB225)="",2958101,INDEX(Contracts!$K$2:$K$151,$AB225)),0)),IF($Z225="A",EDATE(DATE(YEAR(INDEX(Fixed_Assets!$G$2:$G$201,$AB225)),MONTH(INDEX(Fixed_Assets!$G$2:$G$201,$AB225)),1),INDEX(Fixed_Assets!$J$2:$J$201,$AB225)-1),IF($Z225="F",MIN(IF(INDEX(Workforce!$J$2:$J$151,MATCH(INDEX(FTE_Allocation!$A$2:$A$201,$AB225),Workforce!$A$2:$A$151,0))="",2958101,INDEX(Workforce!$J$2:$J$151,MATCH(INDEX(FTE_Allocation!$A$2:$A$201,$AB225),Workforce!$A$2:$A$151,0))),IF(INDEX(FTE_Allocation!$J$2:$J$201,$AB225)="",2958101,INDEX(FTE_Allocation!$J$2:$J$201,$AB225))),"")))</f>
        <v/>
      </c>
      <c r="AG225" s="19">
        <f>IF($Z225="C",IF(INDEX(Contracts!$I$2:$I$151,$AB225)="PREPAID",INDEX(Contracts!$M$2:$M$151,$AB225)/IF(INDEX(Contracts!$N$2:$N$151,$AB225)="",12,INDEX(Contracts!$N$2:$N$151,$AB225)),IF(INDEX(Contracts!$I$2:$I$151,$AB225)="MONTHLY",INDEX(Contracts!$M$2:$M$151,$AB225),0))*(1-N(INDEX(Contracts!$O$2:$O$151,$AB225))),IF($Z225="A",INDEX(Fixed_Assets!$H$2:$H$201,$AB225)/INDEX(Fixed_Assets!$J$2:$J$201,$AB225),IF($Z225="F",INDEX(Workforce!$F$2:$F$151,MATCH(INDEX(FTE_Allocation!$A$2:$A$201,$AB225),Workforce!$A$2:$A$151,0))*N(INDEX(FTE_Allocation!$F$2:$H$201,$AB225,$AC225)),"")))</f>
        <v/>
      </c>
    </row>
    <row r="226">
      <c r="A226" s="7">
        <f>IF($Z226="","",$AD226)</f>
        <v/>
      </c>
      <c r="B226" s="7">
        <f>IF($Z226="C",INDEX(Contracts!$D$2:$D$151,$AB226)&amp;"",IF($Z226="A",INDEX(Fixed_Assets!$C$2:$C$201,$AB226)&amp;"",IF($Z226="F",INDEX(Workforce!$B$2:$B$151,MATCH(INDEX(FTE_Allocation!$A$2:$A$201,$AB226),Workforce!$A$2:$A$151,0))&amp;"","")))</f>
        <v/>
      </c>
      <c r="C226" s="7">
        <f>IF($Z226="C",INDEX(Contracts!$E$2:$E$151,$AB226)&amp;"",IF($Z226="A",INDEX(Fixed_Assets!$D$2:$D$201,$AB226)&amp;"",IF($Z226="F",INDEX(FTE_Allocation!$C$2:$C$201,$AB226)&amp;"","")))</f>
        <v/>
      </c>
      <c r="D226" s="7">
        <f>IF($Z226="C",INDEX(Contracts!$B$2:$B$151,$AB226)&amp;"",IF($Z226="A",INDEX(Fixed_Assets!$B$2:$B$201,$AB226)&amp;"",IF($Z226="F",INDEX(FTE_Allocation!$B$2:$B$201,$AB226)&amp;"","")))</f>
        <v/>
      </c>
      <c r="E226" s="7">
        <f>IF($Z226="C",INDEX(Contracts!$P$2:$P$151,$AB226)&amp;"",IF($Z226="A",INDEX(Fixed_Assets!$K$2:$K$201,$AB226)&amp;"",IF($Z226="F",IF(INDEX(FTE_Allocation!$D$2:$D$201,$AB226)="PROJECT",IFERROR(INDEX(Projects!$D:$D,MATCH(INDEX(FTE_Allocation!$E$2:$E$201,$AB226),Projects!$A:$A,0))&amp;"","#PROJECT?"),INDEX(FTE_Allocation!$E$2:$E$201,$AB226)&amp;""),"")))</f>
        <v/>
      </c>
      <c r="F226" s="7">
        <f>IF($Z226="C",INDEX(Contracts!$Q$2:$Q$151,$AB226)&amp;"",IF($Z226="A",INDEX(Fixed_Assets!$L$2:$L$201,$AB226)&amp;"",IF($Z226="F",INDEX(Workforce!$K$2:$K$151,MATCH(INDEX(FTE_Allocation!$A$2:$A$201,$AB226),Workforce!$A$2:$A$151,0))&amp;"","")))</f>
        <v/>
      </c>
      <c r="G226" s="7">
        <f>IF($Z226="C",INDEX(Contracts!$F$2:$F$151,$AB226)&amp;" / "&amp;INDEX(Contracts!$G$2:$G$151,$AB226),IF($Z226="A",INDEX(Fixed_Assets!$E$2:$E$201,$AB226)&amp;"",IF($Z226="F","Personnel "&amp;INDEX(FTE_Allocation!$A$2:$A$201,$AB226)&amp;IF(INDEX(FTE_Allocation!$D$2:$D$201,$AB226)="PROJECT"," ("&amp;INDEX(FTE_Allocation!$E$2:$E$201,$AB226)&amp;")",""),"")))</f>
        <v/>
      </c>
      <c r="H226" s="7">
        <f>IF($Z226="C","CONTRACT",IF($Z226="A","ASSET",IF($Z226="F","WORKFORCE","")))</f>
        <v/>
      </c>
      <c r="I226" s="7">
        <f>IF($Z226="C",INDEX(Contracts!$L$2:$L$151,$AB226)&amp;"",IF($Z226="A",INDEX(Fixed_Assets!$I$2:$I$201,$AB226)&amp;"",IF($Z226="F",INDEX(Workforce!$G$2:$G$151,MATCH(INDEX(FTE_Allocation!$A$2:$A$201,$AB226),Workforce!$A$2:$A$151,0))&amp;"","")))</f>
        <v/>
      </c>
      <c r="J226" s="18">
        <f>IF($Z226="","",IF(AND(DATE($AD226,1,1)&gt;=$AE226,DATE($AD226,1,1)&lt;=$AF226),ROUND($AG226,2),0))</f>
        <v/>
      </c>
      <c r="K226" s="18">
        <f>IF($Z226="","",IF(AND(DATE($AD226,2,1)&gt;=$AE226,DATE($AD226,2,1)&lt;=$AF226),ROUND($AG226,2),0))</f>
        <v/>
      </c>
      <c r="L226" s="18">
        <f>IF($Z226="","",IF(AND(DATE($AD226,3,1)&gt;=$AE226,DATE($AD226,3,1)&lt;=$AF226),ROUND($AG226,2),0))</f>
        <v/>
      </c>
      <c r="M226" s="18">
        <f>IF($Z226="","",IF(AND(DATE($AD226,4,1)&gt;=$AE226,DATE($AD226,4,1)&lt;=$AF226),ROUND($AG226,2),0))</f>
        <v/>
      </c>
      <c r="N226" s="18">
        <f>IF($Z226="","",IF(AND(DATE($AD226,5,1)&gt;=$AE226,DATE($AD226,5,1)&lt;=$AF226),ROUND($AG226,2),0))</f>
        <v/>
      </c>
      <c r="O226" s="18">
        <f>IF($Z226="","",IF(AND(DATE($AD226,6,1)&gt;=$AE226,DATE($AD226,6,1)&lt;=$AF226),ROUND($AG226,2),0))</f>
        <v/>
      </c>
      <c r="P226" s="18">
        <f>IF($Z226="","",IF(AND(DATE($AD226,7,1)&gt;=$AE226,DATE($AD226,7,1)&lt;=$AF226),ROUND($AG226,2),0))</f>
        <v/>
      </c>
      <c r="Q226" s="18">
        <f>IF($Z226="","",IF(AND(DATE($AD226,8,1)&gt;=$AE226,DATE($AD226,8,1)&lt;=$AF226),ROUND($AG226,2),0))</f>
        <v/>
      </c>
      <c r="R226" s="18">
        <f>IF($Z226="","",IF(AND(DATE($AD226,9,1)&gt;=$AE226,DATE($AD226,9,1)&lt;=$AF226),ROUND($AG226,2),0))</f>
        <v/>
      </c>
      <c r="S226" s="18">
        <f>IF($Z226="","",IF(AND(DATE($AD226,10,1)&gt;=$AE226,DATE($AD226,10,1)&lt;=$AF226),ROUND($AG226,2),0))</f>
        <v/>
      </c>
      <c r="T226" s="18">
        <f>IF($Z226="","",IF(AND(DATE($AD226,11,1)&gt;=$AE226,DATE($AD226,11,1)&lt;=$AF226),ROUND($AG226,2),0))</f>
        <v/>
      </c>
      <c r="U226" s="18">
        <f>IF($Z226="","",IF(AND(DATE($AD226,12,1)&gt;=$AE226,DATE($AD226,12,1)&lt;=$AF226),ROUND($AG226,2),0))</f>
        <v/>
      </c>
      <c r="V226" s="7">
        <f>IF($Z226="C","Generated from "&amp;INDEX(Contracts!$A$2:$A$151,$AB226),IF($Z226="A","Generated from "&amp;INDEX(Fixed_Assets!$A$2:$A$201,$AB226),IF($Z226="F","Generated from "&amp;INDEX(FTE_Allocation!$A$2:$A$201,$AB226),"")))</f>
        <v/>
      </c>
      <c r="X226" s="19">
        <f>IF($Z226="","",SUM(J226:U226))</f>
        <v/>
      </c>
      <c r="Y226" s="20">
        <f>ROW()-1</f>
        <v/>
      </c>
      <c r="Z226" s="20">
        <f>IF($Y226&lt;=Settings!$B$4*3,"C",IF($Y226&lt;=(Settings!$B$4+Settings!$B$5)*3,"A",IF($Y226&lt;=(Settings!$B$4+Settings!$B$5+Settings!$B$6)*3,"F","")))</f>
        <v/>
      </c>
      <c r="AA226" s="20">
        <f>IF($Z226="C",$Y226,IF($Z226="A",$Y226-Settings!$B$4*3,IF($Z226="F",$Y226-(Settings!$B$4+Settings!$B$5)*3,"")))</f>
        <v/>
      </c>
      <c r="AB226" s="20">
        <f>IF($Z226="","",INT(($AA226-1)/3)+1)</f>
        <v/>
      </c>
      <c r="AC226" s="20">
        <f>IF($Z226="","",MOD($AA226-1,3)+1)</f>
        <v/>
      </c>
      <c r="AD226" s="20">
        <f>IF($Z226="","",Settings!$B$2+$AC226-1)</f>
        <v/>
      </c>
      <c r="AE226" s="21">
        <f>IF($Z226="C",DATE(YEAR(INDEX(Contracts!$J$2:$J$151,$AB226)),MONTH(INDEX(Contracts!$J$2:$J$151,$AB226)),1),IF($Z226="A",DATE(YEAR(INDEX(Fixed_Assets!$G$2:$G$201,$AB226)),MONTH(INDEX(Fixed_Assets!$G$2:$G$201,$AB226)),1),IF($Z226="F",DATE(YEAR(MAX(N(INDEX(Workforce!$I$2:$I$151,MATCH(INDEX(FTE_Allocation!$A$2:$A$201,$AB226),Workforce!$A$2:$A$151,0))),N(INDEX(FTE_Allocation!$I$2:$I$201,$AB226)))),MONTH(MAX(N(INDEX(Workforce!$I$2:$I$151,MATCH(INDEX(FTE_Allocation!$A$2:$A$201,$AB226),Workforce!$A$2:$A$151,0))),N(INDEX(FTE_Allocation!$I$2:$I$201,$AB226)))),1),"")))</f>
        <v/>
      </c>
      <c r="AF226" s="21">
        <f>IF($Z226="C",IF(INDEX(Contracts!$I$2:$I$151,$AB226)="PREPAID",EDATE(DATE(YEAR(INDEX(Contracts!$J$2:$J$151,$AB226)),MONTH(INDEX(Contracts!$J$2:$J$151,$AB226)),1),IF(INDEX(Contracts!$N$2:$N$151,$AB226)="",12,INDEX(Contracts!$N$2:$N$151,$AB226))-1),IF(INDEX(Contracts!$I$2:$I$151,$AB226)="MONTHLY",IF(INDEX(Contracts!$K$2:$K$151,$AB226)="",2958101,INDEX(Contracts!$K$2:$K$151,$AB226)),0)),IF($Z226="A",EDATE(DATE(YEAR(INDEX(Fixed_Assets!$G$2:$G$201,$AB226)),MONTH(INDEX(Fixed_Assets!$G$2:$G$201,$AB226)),1),INDEX(Fixed_Assets!$J$2:$J$201,$AB226)-1),IF($Z226="F",MIN(IF(INDEX(Workforce!$J$2:$J$151,MATCH(INDEX(FTE_Allocation!$A$2:$A$201,$AB226),Workforce!$A$2:$A$151,0))="",2958101,INDEX(Workforce!$J$2:$J$151,MATCH(INDEX(FTE_Allocation!$A$2:$A$201,$AB226),Workforce!$A$2:$A$151,0))),IF(INDEX(FTE_Allocation!$J$2:$J$201,$AB226)="",2958101,INDEX(FTE_Allocation!$J$2:$J$201,$AB226))),"")))</f>
        <v/>
      </c>
      <c r="AG226" s="19">
        <f>IF($Z226="C",IF(INDEX(Contracts!$I$2:$I$151,$AB226)="PREPAID",INDEX(Contracts!$M$2:$M$151,$AB226)/IF(INDEX(Contracts!$N$2:$N$151,$AB226)="",12,INDEX(Contracts!$N$2:$N$151,$AB226)),IF(INDEX(Contracts!$I$2:$I$151,$AB226)="MONTHLY",INDEX(Contracts!$M$2:$M$151,$AB226),0))*(1-N(INDEX(Contracts!$O$2:$O$151,$AB226))),IF($Z226="A",INDEX(Fixed_Assets!$H$2:$H$201,$AB226)/INDEX(Fixed_Assets!$J$2:$J$201,$AB226),IF($Z226="F",INDEX(Workforce!$F$2:$F$151,MATCH(INDEX(FTE_Allocation!$A$2:$A$201,$AB226),Workforce!$A$2:$A$151,0))*N(INDEX(FTE_Allocation!$F$2:$H$201,$AB226,$AC226)),"")))</f>
        <v/>
      </c>
    </row>
    <row r="227">
      <c r="A227" s="7">
        <f>IF($Z227="","",$AD227)</f>
        <v/>
      </c>
      <c r="B227" s="7">
        <f>IF($Z227="C",INDEX(Contracts!$D$2:$D$151,$AB227)&amp;"",IF($Z227="A",INDEX(Fixed_Assets!$C$2:$C$201,$AB227)&amp;"",IF($Z227="F",INDEX(Workforce!$B$2:$B$151,MATCH(INDEX(FTE_Allocation!$A$2:$A$201,$AB227),Workforce!$A$2:$A$151,0))&amp;"","")))</f>
        <v/>
      </c>
      <c r="C227" s="7">
        <f>IF($Z227="C",INDEX(Contracts!$E$2:$E$151,$AB227)&amp;"",IF($Z227="A",INDEX(Fixed_Assets!$D$2:$D$201,$AB227)&amp;"",IF($Z227="F",INDEX(FTE_Allocation!$C$2:$C$201,$AB227)&amp;"","")))</f>
        <v/>
      </c>
      <c r="D227" s="7">
        <f>IF($Z227="C",INDEX(Contracts!$B$2:$B$151,$AB227)&amp;"",IF($Z227="A",INDEX(Fixed_Assets!$B$2:$B$201,$AB227)&amp;"",IF($Z227="F",INDEX(FTE_Allocation!$B$2:$B$201,$AB227)&amp;"","")))</f>
        <v/>
      </c>
      <c r="E227" s="7">
        <f>IF($Z227="C",INDEX(Contracts!$P$2:$P$151,$AB227)&amp;"",IF($Z227="A",INDEX(Fixed_Assets!$K$2:$K$201,$AB227)&amp;"",IF($Z227="F",IF(INDEX(FTE_Allocation!$D$2:$D$201,$AB227)="PROJECT",IFERROR(INDEX(Projects!$D:$D,MATCH(INDEX(FTE_Allocation!$E$2:$E$201,$AB227),Projects!$A:$A,0))&amp;"","#PROJECT?"),INDEX(FTE_Allocation!$E$2:$E$201,$AB227)&amp;""),"")))</f>
        <v/>
      </c>
      <c r="F227" s="7">
        <f>IF($Z227="C",INDEX(Contracts!$Q$2:$Q$151,$AB227)&amp;"",IF($Z227="A",INDEX(Fixed_Assets!$L$2:$L$201,$AB227)&amp;"",IF($Z227="F",INDEX(Workforce!$K$2:$K$151,MATCH(INDEX(FTE_Allocation!$A$2:$A$201,$AB227),Workforce!$A$2:$A$151,0))&amp;"","")))</f>
        <v/>
      </c>
      <c r="G227" s="7">
        <f>IF($Z227="C",INDEX(Contracts!$F$2:$F$151,$AB227)&amp;" / "&amp;INDEX(Contracts!$G$2:$G$151,$AB227),IF($Z227="A",INDEX(Fixed_Assets!$E$2:$E$201,$AB227)&amp;"",IF($Z227="F","Personnel "&amp;INDEX(FTE_Allocation!$A$2:$A$201,$AB227)&amp;IF(INDEX(FTE_Allocation!$D$2:$D$201,$AB227)="PROJECT"," ("&amp;INDEX(FTE_Allocation!$E$2:$E$201,$AB227)&amp;")",""),"")))</f>
        <v/>
      </c>
      <c r="H227" s="7">
        <f>IF($Z227="C","CONTRACT",IF($Z227="A","ASSET",IF($Z227="F","WORKFORCE","")))</f>
        <v/>
      </c>
      <c r="I227" s="7">
        <f>IF($Z227="C",INDEX(Contracts!$L$2:$L$151,$AB227)&amp;"",IF($Z227="A",INDEX(Fixed_Assets!$I$2:$I$201,$AB227)&amp;"",IF($Z227="F",INDEX(Workforce!$G$2:$G$151,MATCH(INDEX(FTE_Allocation!$A$2:$A$201,$AB227),Workforce!$A$2:$A$151,0))&amp;"","")))</f>
        <v/>
      </c>
      <c r="J227" s="18">
        <f>IF($Z227="","",IF(AND(DATE($AD227,1,1)&gt;=$AE227,DATE($AD227,1,1)&lt;=$AF227),ROUND($AG227,2),0))</f>
        <v/>
      </c>
      <c r="K227" s="18">
        <f>IF($Z227="","",IF(AND(DATE($AD227,2,1)&gt;=$AE227,DATE($AD227,2,1)&lt;=$AF227),ROUND($AG227,2),0))</f>
        <v/>
      </c>
      <c r="L227" s="18">
        <f>IF($Z227="","",IF(AND(DATE($AD227,3,1)&gt;=$AE227,DATE($AD227,3,1)&lt;=$AF227),ROUND($AG227,2),0))</f>
        <v/>
      </c>
      <c r="M227" s="18">
        <f>IF($Z227="","",IF(AND(DATE($AD227,4,1)&gt;=$AE227,DATE($AD227,4,1)&lt;=$AF227),ROUND($AG227,2),0))</f>
        <v/>
      </c>
      <c r="N227" s="18">
        <f>IF($Z227="","",IF(AND(DATE($AD227,5,1)&gt;=$AE227,DATE($AD227,5,1)&lt;=$AF227),ROUND($AG227,2),0))</f>
        <v/>
      </c>
      <c r="O227" s="18">
        <f>IF($Z227="","",IF(AND(DATE($AD227,6,1)&gt;=$AE227,DATE($AD227,6,1)&lt;=$AF227),ROUND($AG227,2),0))</f>
        <v/>
      </c>
      <c r="P227" s="18">
        <f>IF($Z227="","",IF(AND(DATE($AD227,7,1)&gt;=$AE227,DATE($AD227,7,1)&lt;=$AF227),ROUND($AG227,2),0))</f>
        <v/>
      </c>
      <c r="Q227" s="18">
        <f>IF($Z227="","",IF(AND(DATE($AD227,8,1)&gt;=$AE227,DATE($AD227,8,1)&lt;=$AF227),ROUND($AG227,2),0))</f>
        <v/>
      </c>
      <c r="R227" s="18">
        <f>IF($Z227="","",IF(AND(DATE($AD227,9,1)&gt;=$AE227,DATE($AD227,9,1)&lt;=$AF227),ROUND($AG227,2),0))</f>
        <v/>
      </c>
      <c r="S227" s="18">
        <f>IF($Z227="","",IF(AND(DATE($AD227,10,1)&gt;=$AE227,DATE($AD227,10,1)&lt;=$AF227),ROUND($AG227,2),0))</f>
        <v/>
      </c>
      <c r="T227" s="18">
        <f>IF($Z227="","",IF(AND(DATE($AD227,11,1)&gt;=$AE227,DATE($AD227,11,1)&lt;=$AF227),ROUND($AG227,2),0))</f>
        <v/>
      </c>
      <c r="U227" s="18">
        <f>IF($Z227="","",IF(AND(DATE($AD227,12,1)&gt;=$AE227,DATE($AD227,12,1)&lt;=$AF227),ROUND($AG227,2),0))</f>
        <v/>
      </c>
      <c r="V227" s="7">
        <f>IF($Z227="C","Generated from "&amp;INDEX(Contracts!$A$2:$A$151,$AB227),IF($Z227="A","Generated from "&amp;INDEX(Fixed_Assets!$A$2:$A$201,$AB227),IF($Z227="F","Generated from "&amp;INDEX(FTE_Allocation!$A$2:$A$201,$AB227),"")))</f>
        <v/>
      </c>
      <c r="X227" s="19">
        <f>IF($Z227="","",SUM(J227:U227))</f>
        <v/>
      </c>
      <c r="Y227" s="20">
        <f>ROW()-1</f>
        <v/>
      </c>
      <c r="Z227" s="20">
        <f>IF($Y227&lt;=Settings!$B$4*3,"C",IF($Y227&lt;=(Settings!$B$4+Settings!$B$5)*3,"A",IF($Y227&lt;=(Settings!$B$4+Settings!$B$5+Settings!$B$6)*3,"F","")))</f>
        <v/>
      </c>
      <c r="AA227" s="20">
        <f>IF($Z227="C",$Y227,IF($Z227="A",$Y227-Settings!$B$4*3,IF($Z227="F",$Y227-(Settings!$B$4+Settings!$B$5)*3,"")))</f>
        <v/>
      </c>
      <c r="AB227" s="20">
        <f>IF($Z227="","",INT(($AA227-1)/3)+1)</f>
        <v/>
      </c>
      <c r="AC227" s="20">
        <f>IF($Z227="","",MOD($AA227-1,3)+1)</f>
        <v/>
      </c>
      <c r="AD227" s="20">
        <f>IF($Z227="","",Settings!$B$2+$AC227-1)</f>
        <v/>
      </c>
      <c r="AE227" s="21">
        <f>IF($Z227="C",DATE(YEAR(INDEX(Contracts!$J$2:$J$151,$AB227)),MONTH(INDEX(Contracts!$J$2:$J$151,$AB227)),1),IF($Z227="A",DATE(YEAR(INDEX(Fixed_Assets!$G$2:$G$201,$AB227)),MONTH(INDEX(Fixed_Assets!$G$2:$G$201,$AB227)),1),IF($Z227="F",DATE(YEAR(MAX(N(INDEX(Workforce!$I$2:$I$151,MATCH(INDEX(FTE_Allocation!$A$2:$A$201,$AB227),Workforce!$A$2:$A$151,0))),N(INDEX(FTE_Allocation!$I$2:$I$201,$AB227)))),MONTH(MAX(N(INDEX(Workforce!$I$2:$I$151,MATCH(INDEX(FTE_Allocation!$A$2:$A$201,$AB227),Workforce!$A$2:$A$151,0))),N(INDEX(FTE_Allocation!$I$2:$I$201,$AB227)))),1),"")))</f>
        <v/>
      </c>
      <c r="AF227" s="21">
        <f>IF($Z227="C",IF(INDEX(Contracts!$I$2:$I$151,$AB227)="PREPAID",EDATE(DATE(YEAR(INDEX(Contracts!$J$2:$J$151,$AB227)),MONTH(INDEX(Contracts!$J$2:$J$151,$AB227)),1),IF(INDEX(Contracts!$N$2:$N$151,$AB227)="",12,INDEX(Contracts!$N$2:$N$151,$AB227))-1),IF(INDEX(Contracts!$I$2:$I$151,$AB227)="MONTHLY",IF(INDEX(Contracts!$K$2:$K$151,$AB227)="",2958101,INDEX(Contracts!$K$2:$K$151,$AB227)),0)),IF($Z227="A",EDATE(DATE(YEAR(INDEX(Fixed_Assets!$G$2:$G$201,$AB227)),MONTH(INDEX(Fixed_Assets!$G$2:$G$201,$AB227)),1),INDEX(Fixed_Assets!$J$2:$J$201,$AB227)-1),IF($Z227="F",MIN(IF(INDEX(Workforce!$J$2:$J$151,MATCH(INDEX(FTE_Allocation!$A$2:$A$201,$AB227),Workforce!$A$2:$A$151,0))="",2958101,INDEX(Workforce!$J$2:$J$151,MATCH(INDEX(FTE_Allocation!$A$2:$A$201,$AB227),Workforce!$A$2:$A$151,0))),IF(INDEX(FTE_Allocation!$J$2:$J$201,$AB227)="",2958101,INDEX(FTE_Allocation!$J$2:$J$201,$AB227))),"")))</f>
        <v/>
      </c>
      <c r="AG227" s="19">
        <f>IF($Z227="C",IF(INDEX(Contracts!$I$2:$I$151,$AB227)="PREPAID",INDEX(Contracts!$M$2:$M$151,$AB227)/IF(INDEX(Contracts!$N$2:$N$151,$AB227)="",12,INDEX(Contracts!$N$2:$N$151,$AB227)),IF(INDEX(Contracts!$I$2:$I$151,$AB227)="MONTHLY",INDEX(Contracts!$M$2:$M$151,$AB227),0))*(1-N(INDEX(Contracts!$O$2:$O$151,$AB227))),IF($Z227="A",INDEX(Fixed_Assets!$H$2:$H$201,$AB227)/INDEX(Fixed_Assets!$J$2:$J$201,$AB227),IF($Z227="F",INDEX(Workforce!$F$2:$F$151,MATCH(INDEX(FTE_Allocation!$A$2:$A$201,$AB227),Workforce!$A$2:$A$151,0))*N(INDEX(FTE_Allocation!$F$2:$H$201,$AB227,$AC227)),"")))</f>
        <v/>
      </c>
    </row>
    <row r="228">
      <c r="A228" s="7">
        <f>IF($Z228="","",$AD228)</f>
        <v/>
      </c>
      <c r="B228" s="7">
        <f>IF($Z228="C",INDEX(Contracts!$D$2:$D$151,$AB228)&amp;"",IF($Z228="A",INDEX(Fixed_Assets!$C$2:$C$201,$AB228)&amp;"",IF($Z228="F",INDEX(Workforce!$B$2:$B$151,MATCH(INDEX(FTE_Allocation!$A$2:$A$201,$AB228),Workforce!$A$2:$A$151,0))&amp;"","")))</f>
        <v/>
      </c>
      <c r="C228" s="7">
        <f>IF($Z228="C",INDEX(Contracts!$E$2:$E$151,$AB228)&amp;"",IF($Z228="A",INDEX(Fixed_Assets!$D$2:$D$201,$AB228)&amp;"",IF($Z228="F",INDEX(FTE_Allocation!$C$2:$C$201,$AB228)&amp;"","")))</f>
        <v/>
      </c>
      <c r="D228" s="7">
        <f>IF($Z228="C",INDEX(Contracts!$B$2:$B$151,$AB228)&amp;"",IF($Z228="A",INDEX(Fixed_Assets!$B$2:$B$201,$AB228)&amp;"",IF($Z228="F",INDEX(FTE_Allocation!$B$2:$B$201,$AB228)&amp;"","")))</f>
        <v/>
      </c>
      <c r="E228" s="7">
        <f>IF($Z228="C",INDEX(Contracts!$P$2:$P$151,$AB228)&amp;"",IF($Z228="A",INDEX(Fixed_Assets!$K$2:$K$201,$AB228)&amp;"",IF($Z228="F",IF(INDEX(FTE_Allocation!$D$2:$D$201,$AB228)="PROJECT",IFERROR(INDEX(Projects!$D:$D,MATCH(INDEX(FTE_Allocation!$E$2:$E$201,$AB228),Projects!$A:$A,0))&amp;"","#PROJECT?"),INDEX(FTE_Allocation!$E$2:$E$201,$AB228)&amp;""),"")))</f>
        <v/>
      </c>
      <c r="F228" s="7">
        <f>IF($Z228="C",INDEX(Contracts!$Q$2:$Q$151,$AB228)&amp;"",IF($Z228="A",INDEX(Fixed_Assets!$L$2:$L$201,$AB228)&amp;"",IF($Z228="F",INDEX(Workforce!$K$2:$K$151,MATCH(INDEX(FTE_Allocation!$A$2:$A$201,$AB228),Workforce!$A$2:$A$151,0))&amp;"","")))</f>
        <v/>
      </c>
      <c r="G228" s="7">
        <f>IF($Z228="C",INDEX(Contracts!$F$2:$F$151,$AB228)&amp;" / "&amp;INDEX(Contracts!$G$2:$G$151,$AB228),IF($Z228="A",INDEX(Fixed_Assets!$E$2:$E$201,$AB228)&amp;"",IF($Z228="F","Personnel "&amp;INDEX(FTE_Allocation!$A$2:$A$201,$AB228)&amp;IF(INDEX(FTE_Allocation!$D$2:$D$201,$AB228)="PROJECT"," ("&amp;INDEX(FTE_Allocation!$E$2:$E$201,$AB228)&amp;")",""),"")))</f>
        <v/>
      </c>
      <c r="H228" s="7">
        <f>IF($Z228="C","CONTRACT",IF($Z228="A","ASSET",IF($Z228="F","WORKFORCE","")))</f>
        <v/>
      </c>
      <c r="I228" s="7">
        <f>IF($Z228="C",INDEX(Contracts!$L$2:$L$151,$AB228)&amp;"",IF($Z228="A",INDEX(Fixed_Assets!$I$2:$I$201,$AB228)&amp;"",IF($Z228="F",INDEX(Workforce!$G$2:$G$151,MATCH(INDEX(FTE_Allocation!$A$2:$A$201,$AB228),Workforce!$A$2:$A$151,0))&amp;"","")))</f>
        <v/>
      </c>
      <c r="J228" s="18">
        <f>IF($Z228="","",IF(AND(DATE($AD228,1,1)&gt;=$AE228,DATE($AD228,1,1)&lt;=$AF228),ROUND($AG228,2),0))</f>
        <v/>
      </c>
      <c r="K228" s="18">
        <f>IF($Z228="","",IF(AND(DATE($AD228,2,1)&gt;=$AE228,DATE($AD228,2,1)&lt;=$AF228),ROUND($AG228,2),0))</f>
        <v/>
      </c>
      <c r="L228" s="18">
        <f>IF($Z228="","",IF(AND(DATE($AD228,3,1)&gt;=$AE228,DATE($AD228,3,1)&lt;=$AF228),ROUND($AG228,2),0))</f>
        <v/>
      </c>
      <c r="M228" s="18">
        <f>IF($Z228="","",IF(AND(DATE($AD228,4,1)&gt;=$AE228,DATE($AD228,4,1)&lt;=$AF228),ROUND($AG228,2),0))</f>
        <v/>
      </c>
      <c r="N228" s="18">
        <f>IF($Z228="","",IF(AND(DATE($AD228,5,1)&gt;=$AE228,DATE($AD228,5,1)&lt;=$AF228),ROUND($AG228,2),0))</f>
        <v/>
      </c>
      <c r="O228" s="18">
        <f>IF($Z228="","",IF(AND(DATE($AD228,6,1)&gt;=$AE228,DATE($AD228,6,1)&lt;=$AF228),ROUND($AG228,2),0))</f>
        <v/>
      </c>
      <c r="P228" s="18">
        <f>IF($Z228="","",IF(AND(DATE($AD228,7,1)&gt;=$AE228,DATE($AD228,7,1)&lt;=$AF228),ROUND($AG228,2),0))</f>
        <v/>
      </c>
      <c r="Q228" s="18">
        <f>IF($Z228="","",IF(AND(DATE($AD228,8,1)&gt;=$AE228,DATE($AD228,8,1)&lt;=$AF228),ROUND($AG228,2),0))</f>
        <v/>
      </c>
      <c r="R228" s="18">
        <f>IF($Z228="","",IF(AND(DATE($AD228,9,1)&gt;=$AE228,DATE($AD228,9,1)&lt;=$AF228),ROUND($AG228,2),0))</f>
        <v/>
      </c>
      <c r="S228" s="18">
        <f>IF($Z228="","",IF(AND(DATE($AD228,10,1)&gt;=$AE228,DATE($AD228,10,1)&lt;=$AF228),ROUND($AG228,2),0))</f>
        <v/>
      </c>
      <c r="T228" s="18">
        <f>IF($Z228="","",IF(AND(DATE($AD228,11,1)&gt;=$AE228,DATE($AD228,11,1)&lt;=$AF228),ROUND($AG228,2),0))</f>
        <v/>
      </c>
      <c r="U228" s="18">
        <f>IF($Z228="","",IF(AND(DATE($AD228,12,1)&gt;=$AE228,DATE($AD228,12,1)&lt;=$AF228),ROUND($AG228,2),0))</f>
        <v/>
      </c>
      <c r="V228" s="7">
        <f>IF($Z228="C","Generated from "&amp;INDEX(Contracts!$A$2:$A$151,$AB228),IF($Z228="A","Generated from "&amp;INDEX(Fixed_Assets!$A$2:$A$201,$AB228),IF($Z228="F","Generated from "&amp;INDEX(FTE_Allocation!$A$2:$A$201,$AB228),"")))</f>
        <v/>
      </c>
      <c r="X228" s="19">
        <f>IF($Z228="","",SUM(J228:U228))</f>
        <v/>
      </c>
      <c r="Y228" s="20">
        <f>ROW()-1</f>
        <v/>
      </c>
      <c r="Z228" s="20">
        <f>IF($Y228&lt;=Settings!$B$4*3,"C",IF($Y228&lt;=(Settings!$B$4+Settings!$B$5)*3,"A",IF($Y228&lt;=(Settings!$B$4+Settings!$B$5+Settings!$B$6)*3,"F","")))</f>
        <v/>
      </c>
      <c r="AA228" s="20">
        <f>IF($Z228="C",$Y228,IF($Z228="A",$Y228-Settings!$B$4*3,IF($Z228="F",$Y228-(Settings!$B$4+Settings!$B$5)*3,"")))</f>
        <v/>
      </c>
      <c r="AB228" s="20">
        <f>IF($Z228="","",INT(($AA228-1)/3)+1)</f>
        <v/>
      </c>
      <c r="AC228" s="20">
        <f>IF($Z228="","",MOD($AA228-1,3)+1)</f>
        <v/>
      </c>
      <c r="AD228" s="20">
        <f>IF($Z228="","",Settings!$B$2+$AC228-1)</f>
        <v/>
      </c>
      <c r="AE228" s="21">
        <f>IF($Z228="C",DATE(YEAR(INDEX(Contracts!$J$2:$J$151,$AB228)),MONTH(INDEX(Contracts!$J$2:$J$151,$AB228)),1),IF($Z228="A",DATE(YEAR(INDEX(Fixed_Assets!$G$2:$G$201,$AB228)),MONTH(INDEX(Fixed_Assets!$G$2:$G$201,$AB228)),1),IF($Z228="F",DATE(YEAR(MAX(N(INDEX(Workforce!$I$2:$I$151,MATCH(INDEX(FTE_Allocation!$A$2:$A$201,$AB228),Workforce!$A$2:$A$151,0))),N(INDEX(FTE_Allocation!$I$2:$I$201,$AB228)))),MONTH(MAX(N(INDEX(Workforce!$I$2:$I$151,MATCH(INDEX(FTE_Allocation!$A$2:$A$201,$AB228),Workforce!$A$2:$A$151,0))),N(INDEX(FTE_Allocation!$I$2:$I$201,$AB228)))),1),"")))</f>
        <v/>
      </c>
      <c r="AF228" s="21">
        <f>IF($Z228="C",IF(INDEX(Contracts!$I$2:$I$151,$AB228)="PREPAID",EDATE(DATE(YEAR(INDEX(Contracts!$J$2:$J$151,$AB228)),MONTH(INDEX(Contracts!$J$2:$J$151,$AB228)),1),IF(INDEX(Contracts!$N$2:$N$151,$AB228)="",12,INDEX(Contracts!$N$2:$N$151,$AB228))-1),IF(INDEX(Contracts!$I$2:$I$151,$AB228)="MONTHLY",IF(INDEX(Contracts!$K$2:$K$151,$AB228)="",2958101,INDEX(Contracts!$K$2:$K$151,$AB228)),0)),IF($Z228="A",EDATE(DATE(YEAR(INDEX(Fixed_Assets!$G$2:$G$201,$AB228)),MONTH(INDEX(Fixed_Assets!$G$2:$G$201,$AB228)),1),INDEX(Fixed_Assets!$J$2:$J$201,$AB228)-1),IF($Z228="F",MIN(IF(INDEX(Workforce!$J$2:$J$151,MATCH(INDEX(FTE_Allocation!$A$2:$A$201,$AB228),Workforce!$A$2:$A$151,0))="",2958101,INDEX(Workforce!$J$2:$J$151,MATCH(INDEX(FTE_Allocation!$A$2:$A$201,$AB228),Workforce!$A$2:$A$151,0))),IF(INDEX(FTE_Allocation!$J$2:$J$201,$AB228)="",2958101,INDEX(FTE_Allocation!$J$2:$J$201,$AB228))),"")))</f>
        <v/>
      </c>
      <c r="AG228" s="19">
        <f>IF($Z228="C",IF(INDEX(Contracts!$I$2:$I$151,$AB228)="PREPAID",INDEX(Contracts!$M$2:$M$151,$AB228)/IF(INDEX(Contracts!$N$2:$N$151,$AB228)="",12,INDEX(Contracts!$N$2:$N$151,$AB228)),IF(INDEX(Contracts!$I$2:$I$151,$AB228)="MONTHLY",INDEX(Contracts!$M$2:$M$151,$AB228),0))*(1-N(INDEX(Contracts!$O$2:$O$151,$AB228))),IF($Z228="A",INDEX(Fixed_Assets!$H$2:$H$201,$AB228)/INDEX(Fixed_Assets!$J$2:$J$201,$AB228),IF($Z228="F",INDEX(Workforce!$F$2:$F$151,MATCH(INDEX(FTE_Allocation!$A$2:$A$201,$AB228),Workforce!$A$2:$A$151,0))*N(INDEX(FTE_Allocation!$F$2:$H$201,$AB228,$AC228)),"")))</f>
        <v/>
      </c>
    </row>
    <row r="229">
      <c r="A229" s="7">
        <f>IF($Z229="","",$AD229)</f>
        <v/>
      </c>
      <c r="B229" s="7">
        <f>IF($Z229="C",INDEX(Contracts!$D$2:$D$151,$AB229)&amp;"",IF($Z229="A",INDEX(Fixed_Assets!$C$2:$C$201,$AB229)&amp;"",IF($Z229="F",INDEX(Workforce!$B$2:$B$151,MATCH(INDEX(FTE_Allocation!$A$2:$A$201,$AB229),Workforce!$A$2:$A$151,0))&amp;"","")))</f>
        <v/>
      </c>
      <c r="C229" s="7">
        <f>IF($Z229="C",INDEX(Contracts!$E$2:$E$151,$AB229)&amp;"",IF($Z229="A",INDEX(Fixed_Assets!$D$2:$D$201,$AB229)&amp;"",IF($Z229="F",INDEX(FTE_Allocation!$C$2:$C$201,$AB229)&amp;"","")))</f>
        <v/>
      </c>
      <c r="D229" s="7">
        <f>IF($Z229="C",INDEX(Contracts!$B$2:$B$151,$AB229)&amp;"",IF($Z229="A",INDEX(Fixed_Assets!$B$2:$B$201,$AB229)&amp;"",IF($Z229="F",INDEX(FTE_Allocation!$B$2:$B$201,$AB229)&amp;"","")))</f>
        <v/>
      </c>
      <c r="E229" s="7">
        <f>IF($Z229="C",INDEX(Contracts!$P$2:$P$151,$AB229)&amp;"",IF($Z229="A",INDEX(Fixed_Assets!$K$2:$K$201,$AB229)&amp;"",IF($Z229="F",IF(INDEX(FTE_Allocation!$D$2:$D$201,$AB229)="PROJECT",IFERROR(INDEX(Projects!$D:$D,MATCH(INDEX(FTE_Allocation!$E$2:$E$201,$AB229),Projects!$A:$A,0))&amp;"","#PROJECT?"),INDEX(FTE_Allocation!$E$2:$E$201,$AB229)&amp;""),"")))</f>
        <v/>
      </c>
      <c r="F229" s="7">
        <f>IF($Z229="C",INDEX(Contracts!$Q$2:$Q$151,$AB229)&amp;"",IF($Z229="A",INDEX(Fixed_Assets!$L$2:$L$201,$AB229)&amp;"",IF($Z229="F",INDEX(Workforce!$K$2:$K$151,MATCH(INDEX(FTE_Allocation!$A$2:$A$201,$AB229),Workforce!$A$2:$A$151,0))&amp;"","")))</f>
        <v/>
      </c>
      <c r="G229" s="7">
        <f>IF($Z229="C",INDEX(Contracts!$F$2:$F$151,$AB229)&amp;" / "&amp;INDEX(Contracts!$G$2:$G$151,$AB229),IF($Z229="A",INDEX(Fixed_Assets!$E$2:$E$201,$AB229)&amp;"",IF($Z229="F","Personnel "&amp;INDEX(FTE_Allocation!$A$2:$A$201,$AB229)&amp;IF(INDEX(FTE_Allocation!$D$2:$D$201,$AB229)="PROJECT"," ("&amp;INDEX(FTE_Allocation!$E$2:$E$201,$AB229)&amp;")",""),"")))</f>
        <v/>
      </c>
      <c r="H229" s="7">
        <f>IF($Z229="C","CONTRACT",IF($Z229="A","ASSET",IF($Z229="F","WORKFORCE","")))</f>
        <v/>
      </c>
      <c r="I229" s="7">
        <f>IF($Z229="C",INDEX(Contracts!$L$2:$L$151,$AB229)&amp;"",IF($Z229="A",INDEX(Fixed_Assets!$I$2:$I$201,$AB229)&amp;"",IF($Z229="F",INDEX(Workforce!$G$2:$G$151,MATCH(INDEX(FTE_Allocation!$A$2:$A$201,$AB229),Workforce!$A$2:$A$151,0))&amp;"","")))</f>
        <v/>
      </c>
      <c r="J229" s="18">
        <f>IF($Z229="","",IF(AND(DATE($AD229,1,1)&gt;=$AE229,DATE($AD229,1,1)&lt;=$AF229),ROUND($AG229,2),0))</f>
        <v/>
      </c>
      <c r="K229" s="18">
        <f>IF($Z229="","",IF(AND(DATE($AD229,2,1)&gt;=$AE229,DATE($AD229,2,1)&lt;=$AF229),ROUND($AG229,2),0))</f>
        <v/>
      </c>
      <c r="L229" s="18">
        <f>IF($Z229="","",IF(AND(DATE($AD229,3,1)&gt;=$AE229,DATE($AD229,3,1)&lt;=$AF229),ROUND($AG229,2),0))</f>
        <v/>
      </c>
      <c r="M229" s="18">
        <f>IF($Z229="","",IF(AND(DATE($AD229,4,1)&gt;=$AE229,DATE($AD229,4,1)&lt;=$AF229),ROUND($AG229,2),0))</f>
        <v/>
      </c>
      <c r="N229" s="18">
        <f>IF($Z229="","",IF(AND(DATE($AD229,5,1)&gt;=$AE229,DATE($AD229,5,1)&lt;=$AF229),ROUND($AG229,2),0))</f>
        <v/>
      </c>
      <c r="O229" s="18">
        <f>IF($Z229="","",IF(AND(DATE($AD229,6,1)&gt;=$AE229,DATE($AD229,6,1)&lt;=$AF229),ROUND($AG229,2),0))</f>
        <v/>
      </c>
      <c r="P229" s="18">
        <f>IF($Z229="","",IF(AND(DATE($AD229,7,1)&gt;=$AE229,DATE($AD229,7,1)&lt;=$AF229),ROUND($AG229,2),0))</f>
        <v/>
      </c>
      <c r="Q229" s="18">
        <f>IF($Z229="","",IF(AND(DATE($AD229,8,1)&gt;=$AE229,DATE($AD229,8,1)&lt;=$AF229),ROUND($AG229,2),0))</f>
        <v/>
      </c>
      <c r="R229" s="18">
        <f>IF($Z229="","",IF(AND(DATE($AD229,9,1)&gt;=$AE229,DATE($AD229,9,1)&lt;=$AF229),ROUND($AG229,2),0))</f>
        <v/>
      </c>
      <c r="S229" s="18">
        <f>IF($Z229="","",IF(AND(DATE($AD229,10,1)&gt;=$AE229,DATE($AD229,10,1)&lt;=$AF229),ROUND($AG229,2),0))</f>
        <v/>
      </c>
      <c r="T229" s="18">
        <f>IF($Z229="","",IF(AND(DATE($AD229,11,1)&gt;=$AE229,DATE($AD229,11,1)&lt;=$AF229),ROUND($AG229,2),0))</f>
        <v/>
      </c>
      <c r="U229" s="18">
        <f>IF($Z229="","",IF(AND(DATE($AD229,12,1)&gt;=$AE229,DATE($AD229,12,1)&lt;=$AF229),ROUND($AG229,2),0))</f>
        <v/>
      </c>
      <c r="V229" s="7">
        <f>IF($Z229="C","Generated from "&amp;INDEX(Contracts!$A$2:$A$151,$AB229),IF($Z229="A","Generated from "&amp;INDEX(Fixed_Assets!$A$2:$A$201,$AB229),IF($Z229="F","Generated from "&amp;INDEX(FTE_Allocation!$A$2:$A$201,$AB229),"")))</f>
        <v/>
      </c>
      <c r="X229" s="19">
        <f>IF($Z229="","",SUM(J229:U229))</f>
        <v/>
      </c>
      <c r="Y229" s="20">
        <f>ROW()-1</f>
        <v/>
      </c>
      <c r="Z229" s="20">
        <f>IF($Y229&lt;=Settings!$B$4*3,"C",IF($Y229&lt;=(Settings!$B$4+Settings!$B$5)*3,"A",IF($Y229&lt;=(Settings!$B$4+Settings!$B$5+Settings!$B$6)*3,"F","")))</f>
        <v/>
      </c>
      <c r="AA229" s="20">
        <f>IF($Z229="C",$Y229,IF($Z229="A",$Y229-Settings!$B$4*3,IF($Z229="F",$Y229-(Settings!$B$4+Settings!$B$5)*3,"")))</f>
        <v/>
      </c>
      <c r="AB229" s="20">
        <f>IF($Z229="","",INT(($AA229-1)/3)+1)</f>
        <v/>
      </c>
      <c r="AC229" s="20">
        <f>IF($Z229="","",MOD($AA229-1,3)+1)</f>
        <v/>
      </c>
      <c r="AD229" s="20">
        <f>IF($Z229="","",Settings!$B$2+$AC229-1)</f>
        <v/>
      </c>
      <c r="AE229" s="21">
        <f>IF($Z229="C",DATE(YEAR(INDEX(Contracts!$J$2:$J$151,$AB229)),MONTH(INDEX(Contracts!$J$2:$J$151,$AB229)),1),IF($Z229="A",DATE(YEAR(INDEX(Fixed_Assets!$G$2:$G$201,$AB229)),MONTH(INDEX(Fixed_Assets!$G$2:$G$201,$AB229)),1),IF($Z229="F",DATE(YEAR(MAX(N(INDEX(Workforce!$I$2:$I$151,MATCH(INDEX(FTE_Allocation!$A$2:$A$201,$AB229),Workforce!$A$2:$A$151,0))),N(INDEX(FTE_Allocation!$I$2:$I$201,$AB229)))),MONTH(MAX(N(INDEX(Workforce!$I$2:$I$151,MATCH(INDEX(FTE_Allocation!$A$2:$A$201,$AB229),Workforce!$A$2:$A$151,0))),N(INDEX(FTE_Allocation!$I$2:$I$201,$AB229)))),1),"")))</f>
        <v/>
      </c>
      <c r="AF229" s="21">
        <f>IF($Z229="C",IF(INDEX(Contracts!$I$2:$I$151,$AB229)="PREPAID",EDATE(DATE(YEAR(INDEX(Contracts!$J$2:$J$151,$AB229)),MONTH(INDEX(Contracts!$J$2:$J$151,$AB229)),1),IF(INDEX(Contracts!$N$2:$N$151,$AB229)="",12,INDEX(Contracts!$N$2:$N$151,$AB229))-1),IF(INDEX(Contracts!$I$2:$I$151,$AB229)="MONTHLY",IF(INDEX(Contracts!$K$2:$K$151,$AB229)="",2958101,INDEX(Contracts!$K$2:$K$151,$AB229)),0)),IF($Z229="A",EDATE(DATE(YEAR(INDEX(Fixed_Assets!$G$2:$G$201,$AB229)),MONTH(INDEX(Fixed_Assets!$G$2:$G$201,$AB229)),1),INDEX(Fixed_Assets!$J$2:$J$201,$AB229)-1),IF($Z229="F",MIN(IF(INDEX(Workforce!$J$2:$J$151,MATCH(INDEX(FTE_Allocation!$A$2:$A$201,$AB229),Workforce!$A$2:$A$151,0))="",2958101,INDEX(Workforce!$J$2:$J$151,MATCH(INDEX(FTE_Allocation!$A$2:$A$201,$AB229),Workforce!$A$2:$A$151,0))),IF(INDEX(FTE_Allocation!$J$2:$J$201,$AB229)="",2958101,INDEX(FTE_Allocation!$J$2:$J$201,$AB229))),"")))</f>
        <v/>
      </c>
      <c r="AG229" s="19">
        <f>IF($Z229="C",IF(INDEX(Contracts!$I$2:$I$151,$AB229)="PREPAID",INDEX(Contracts!$M$2:$M$151,$AB229)/IF(INDEX(Contracts!$N$2:$N$151,$AB229)="",12,INDEX(Contracts!$N$2:$N$151,$AB229)),IF(INDEX(Contracts!$I$2:$I$151,$AB229)="MONTHLY",INDEX(Contracts!$M$2:$M$151,$AB229),0))*(1-N(INDEX(Contracts!$O$2:$O$151,$AB229))),IF($Z229="A",INDEX(Fixed_Assets!$H$2:$H$201,$AB229)/INDEX(Fixed_Assets!$J$2:$J$201,$AB229),IF($Z229="F",INDEX(Workforce!$F$2:$F$151,MATCH(INDEX(FTE_Allocation!$A$2:$A$201,$AB229),Workforce!$A$2:$A$151,0))*N(INDEX(FTE_Allocation!$F$2:$H$201,$AB229,$AC229)),"")))</f>
        <v/>
      </c>
    </row>
    <row r="230">
      <c r="A230" s="7">
        <f>IF($Z230="","",$AD230)</f>
        <v/>
      </c>
      <c r="B230" s="7">
        <f>IF($Z230="C",INDEX(Contracts!$D$2:$D$151,$AB230)&amp;"",IF($Z230="A",INDEX(Fixed_Assets!$C$2:$C$201,$AB230)&amp;"",IF($Z230="F",INDEX(Workforce!$B$2:$B$151,MATCH(INDEX(FTE_Allocation!$A$2:$A$201,$AB230),Workforce!$A$2:$A$151,0))&amp;"","")))</f>
        <v/>
      </c>
      <c r="C230" s="7">
        <f>IF($Z230="C",INDEX(Contracts!$E$2:$E$151,$AB230)&amp;"",IF($Z230="A",INDEX(Fixed_Assets!$D$2:$D$201,$AB230)&amp;"",IF($Z230="F",INDEX(FTE_Allocation!$C$2:$C$201,$AB230)&amp;"","")))</f>
        <v/>
      </c>
      <c r="D230" s="7">
        <f>IF($Z230="C",INDEX(Contracts!$B$2:$B$151,$AB230)&amp;"",IF($Z230="A",INDEX(Fixed_Assets!$B$2:$B$201,$AB230)&amp;"",IF($Z230="F",INDEX(FTE_Allocation!$B$2:$B$201,$AB230)&amp;"","")))</f>
        <v/>
      </c>
      <c r="E230" s="7">
        <f>IF($Z230="C",INDEX(Contracts!$P$2:$P$151,$AB230)&amp;"",IF($Z230="A",INDEX(Fixed_Assets!$K$2:$K$201,$AB230)&amp;"",IF($Z230="F",IF(INDEX(FTE_Allocation!$D$2:$D$201,$AB230)="PROJECT",IFERROR(INDEX(Projects!$D:$D,MATCH(INDEX(FTE_Allocation!$E$2:$E$201,$AB230),Projects!$A:$A,0))&amp;"","#PROJECT?"),INDEX(FTE_Allocation!$E$2:$E$201,$AB230)&amp;""),"")))</f>
        <v/>
      </c>
      <c r="F230" s="7">
        <f>IF($Z230="C",INDEX(Contracts!$Q$2:$Q$151,$AB230)&amp;"",IF($Z230="A",INDEX(Fixed_Assets!$L$2:$L$201,$AB230)&amp;"",IF($Z230="F",INDEX(Workforce!$K$2:$K$151,MATCH(INDEX(FTE_Allocation!$A$2:$A$201,$AB230),Workforce!$A$2:$A$151,0))&amp;"","")))</f>
        <v/>
      </c>
      <c r="G230" s="7">
        <f>IF($Z230="C",INDEX(Contracts!$F$2:$F$151,$AB230)&amp;" / "&amp;INDEX(Contracts!$G$2:$G$151,$AB230),IF($Z230="A",INDEX(Fixed_Assets!$E$2:$E$201,$AB230)&amp;"",IF($Z230="F","Personnel "&amp;INDEX(FTE_Allocation!$A$2:$A$201,$AB230)&amp;IF(INDEX(FTE_Allocation!$D$2:$D$201,$AB230)="PROJECT"," ("&amp;INDEX(FTE_Allocation!$E$2:$E$201,$AB230)&amp;")",""),"")))</f>
        <v/>
      </c>
      <c r="H230" s="7">
        <f>IF($Z230="C","CONTRACT",IF($Z230="A","ASSET",IF($Z230="F","WORKFORCE","")))</f>
        <v/>
      </c>
      <c r="I230" s="7">
        <f>IF($Z230="C",INDEX(Contracts!$L$2:$L$151,$AB230)&amp;"",IF($Z230="A",INDEX(Fixed_Assets!$I$2:$I$201,$AB230)&amp;"",IF($Z230="F",INDEX(Workforce!$G$2:$G$151,MATCH(INDEX(FTE_Allocation!$A$2:$A$201,$AB230),Workforce!$A$2:$A$151,0))&amp;"","")))</f>
        <v/>
      </c>
      <c r="J230" s="18">
        <f>IF($Z230="","",IF(AND(DATE($AD230,1,1)&gt;=$AE230,DATE($AD230,1,1)&lt;=$AF230),ROUND($AG230,2),0))</f>
        <v/>
      </c>
      <c r="K230" s="18">
        <f>IF($Z230="","",IF(AND(DATE($AD230,2,1)&gt;=$AE230,DATE($AD230,2,1)&lt;=$AF230),ROUND($AG230,2),0))</f>
        <v/>
      </c>
      <c r="L230" s="18">
        <f>IF($Z230="","",IF(AND(DATE($AD230,3,1)&gt;=$AE230,DATE($AD230,3,1)&lt;=$AF230),ROUND($AG230,2),0))</f>
        <v/>
      </c>
      <c r="M230" s="18">
        <f>IF($Z230="","",IF(AND(DATE($AD230,4,1)&gt;=$AE230,DATE($AD230,4,1)&lt;=$AF230),ROUND($AG230,2),0))</f>
        <v/>
      </c>
      <c r="N230" s="18">
        <f>IF($Z230="","",IF(AND(DATE($AD230,5,1)&gt;=$AE230,DATE($AD230,5,1)&lt;=$AF230),ROUND($AG230,2),0))</f>
        <v/>
      </c>
      <c r="O230" s="18">
        <f>IF($Z230="","",IF(AND(DATE($AD230,6,1)&gt;=$AE230,DATE($AD230,6,1)&lt;=$AF230),ROUND($AG230,2),0))</f>
        <v/>
      </c>
      <c r="P230" s="18">
        <f>IF($Z230="","",IF(AND(DATE($AD230,7,1)&gt;=$AE230,DATE($AD230,7,1)&lt;=$AF230),ROUND($AG230,2),0))</f>
        <v/>
      </c>
      <c r="Q230" s="18">
        <f>IF($Z230="","",IF(AND(DATE($AD230,8,1)&gt;=$AE230,DATE($AD230,8,1)&lt;=$AF230),ROUND($AG230,2),0))</f>
        <v/>
      </c>
      <c r="R230" s="18">
        <f>IF($Z230="","",IF(AND(DATE($AD230,9,1)&gt;=$AE230,DATE($AD230,9,1)&lt;=$AF230),ROUND($AG230,2),0))</f>
        <v/>
      </c>
      <c r="S230" s="18">
        <f>IF($Z230="","",IF(AND(DATE($AD230,10,1)&gt;=$AE230,DATE($AD230,10,1)&lt;=$AF230),ROUND($AG230,2),0))</f>
        <v/>
      </c>
      <c r="T230" s="18">
        <f>IF($Z230="","",IF(AND(DATE($AD230,11,1)&gt;=$AE230,DATE($AD230,11,1)&lt;=$AF230),ROUND($AG230,2),0))</f>
        <v/>
      </c>
      <c r="U230" s="18">
        <f>IF($Z230="","",IF(AND(DATE($AD230,12,1)&gt;=$AE230,DATE($AD230,12,1)&lt;=$AF230),ROUND($AG230,2),0))</f>
        <v/>
      </c>
      <c r="V230" s="7">
        <f>IF($Z230="C","Generated from "&amp;INDEX(Contracts!$A$2:$A$151,$AB230),IF($Z230="A","Generated from "&amp;INDEX(Fixed_Assets!$A$2:$A$201,$AB230),IF($Z230="F","Generated from "&amp;INDEX(FTE_Allocation!$A$2:$A$201,$AB230),"")))</f>
        <v/>
      </c>
      <c r="X230" s="19">
        <f>IF($Z230="","",SUM(J230:U230))</f>
        <v/>
      </c>
      <c r="Y230" s="20">
        <f>ROW()-1</f>
        <v/>
      </c>
      <c r="Z230" s="20">
        <f>IF($Y230&lt;=Settings!$B$4*3,"C",IF($Y230&lt;=(Settings!$B$4+Settings!$B$5)*3,"A",IF($Y230&lt;=(Settings!$B$4+Settings!$B$5+Settings!$B$6)*3,"F","")))</f>
        <v/>
      </c>
      <c r="AA230" s="20">
        <f>IF($Z230="C",$Y230,IF($Z230="A",$Y230-Settings!$B$4*3,IF($Z230="F",$Y230-(Settings!$B$4+Settings!$B$5)*3,"")))</f>
        <v/>
      </c>
      <c r="AB230" s="20">
        <f>IF($Z230="","",INT(($AA230-1)/3)+1)</f>
        <v/>
      </c>
      <c r="AC230" s="20">
        <f>IF($Z230="","",MOD($AA230-1,3)+1)</f>
        <v/>
      </c>
      <c r="AD230" s="20">
        <f>IF($Z230="","",Settings!$B$2+$AC230-1)</f>
        <v/>
      </c>
      <c r="AE230" s="21">
        <f>IF($Z230="C",DATE(YEAR(INDEX(Contracts!$J$2:$J$151,$AB230)),MONTH(INDEX(Contracts!$J$2:$J$151,$AB230)),1),IF($Z230="A",DATE(YEAR(INDEX(Fixed_Assets!$G$2:$G$201,$AB230)),MONTH(INDEX(Fixed_Assets!$G$2:$G$201,$AB230)),1),IF($Z230="F",DATE(YEAR(MAX(N(INDEX(Workforce!$I$2:$I$151,MATCH(INDEX(FTE_Allocation!$A$2:$A$201,$AB230),Workforce!$A$2:$A$151,0))),N(INDEX(FTE_Allocation!$I$2:$I$201,$AB230)))),MONTH(MAX(N(INDEX(Workforce!$I$2:$I$151,MATCH(INDEX(FTE_Allocation!$A$2:$A$201,$AB230),Workforce!$A$2:$A$151,0))),N(INDEX(FTE_Allocation!$I$2:$I$201,$AB230)))),1),"")))</f>
        <v/>
      </c>
      <c r="AF230" s="21">
        <f>IF($Z230="C",IF(INDEX(Contracts!$I$2:$I$151,$AB230)="PREPAID",EDATE(DATE(YEAR(INDEX(Contracts!$J$2:$J$151,$AB230)),MONTH(INDEX(Contracts!$J$2:$J$151,$AB230)),1),IF(INDEX(Contracts!$N$2:$N$151,$AB230)="",12,INDEX(Contracts!$N$2:$N$151,$AB230))-1),IF(INDEX(Contracts!$I$2:$I$151,$AB230)="MONTHLY",IF(INDEX(Contracts!$K$2:$K$151,$AB230)="",2958101,INDEX(Contracts!$K$2:$K$151,$AB230)),0)),IF($Z230="A",EDATE(DATE(YEAR(INDEX(Fixed_Assets!$G$2:$G$201,$AB230)),MONTH(INDEX(Fixed_Assets!$G$2:$G$201,$AB230)),1),INDEX(Fixed_Assets!$J$2:$J$201,$AB230)-1),IF($Z230="F",MIN(IF(INDEX(Workforce!$J$2:$J$151,MATCH(INDEX(FTE_Allocation!$A$2:$A$201,$AB230),Workforce!$A$2:$A$151,0))="",2958101,INDEX(Workforce!$J$2:$J$151,MATCH(INDEX(FTE_Allocation!$A$2:$A$201,$AB230),Workforce!$A$2:$A$151,0))),IF(INDEX(FTE_Allocation!$J$2:$J$201,$AB230)="",2958101,INDEX(FTE_Allocation!$J$2:$J$201,$AB230))),"")))</f>
        <v/>
      </c>
      <c r="AG230" s="19">
        <f>IF($Z230="C",IF(INDEX(Contracts!$I$2:$I$151,$AB230)="PREPAID",INDEX(Contracts!$M$2:$M$151,$AB230)/IF(INDEX(Contracts!$N$2:$N$151,$AB230)="",12,INDEX(Contracts!$N$2:$N$151,$AB230)),IF(INDEX(Contracts!$I$2:$I$151,$AB230)="MONTHLY",INDEX(Contracts!$M$2:$M$151,$AB230),0))*(1-N(INDEX(Contracts!$O$2:$O$151,$AB230))),IF($Z230="A",INDEX(Fixed_Assets!$H$2:$H$201,$AB230)/INDEX(Fixed_Assets!$J$2:$J$201,$AB230),IF($Z230="F",INDEX(Workforce!$F$2:$F$151,MATCH(INDEX(FTE_Allocation!$A$2:$A$201,$AB230),Workforce!$A$2:$A$151,0))*N(INDEX(FTE_Allocation!$F$2:$H$201,$AB230,$AC230)),"")))</f>
        <v/>
      </c>
    </row>
    <row r="231">
      <c r="A231" s="7">
        <f>IF($Z231="","",$AD231)</f>
        <v/>
      </c>
      <c r="B231" s="7">
        <f>IF($Z231="C",INDEX(Contracts!$D$2:$D$151,$AB231)&amp;"",IF($Z231="A",INDEX(Fixed_Assets!$C$2:$C$201,$AB231)&amp;"",IF($Z231="F",INDEX(Workforce!$B$2:$B$151,MATCH(INDEX(FTE_Allocation!$A$2:$A$201,$AB231),Workforce!$A$2:$A$151,0))&amp;"","")))</f>
        <v/>
      </c>
      <c r="C231" s="7">
        <f>IF($Z231="C",INDEX(Contracts!$E$2:$E$151,$AB231)&amp;"",IF($Z231="A",INDEX(Fixed_Assets!$D$2:$D$201,$AB231)&amp;"",IF($Z231="F",INDEX(FTE_Allocation!$C$2:$C$201,$AB231)&amp;"","")))</f>
        <v/>
      </c>
      <c r="D231" s="7">
        <f>IF($Z231="C",INDEX(Contracts!$B$2:$B$151,$AB231)&amp;"",IF($Z231="A",INDEX(Fixed_Assets!$B$2:$B$201,$AB231)&amp;"",IF($Z231="F",INDEX(FTE_Allocation!$B$2:$B$201,$AB231)&amp;"","")))</f>
        <v/>
      </c>
      <c r="E231" s="7">
        <f>IF($Z231="C",INDEX(Contracts!$P$2:$P$151,$AB231)&amp;"",IF($Z231="A",INDEX(Fixed_Assets!$K$2:$K$201,$AB231)&amp;"",IF($Z231="F",IF(INDEX(FTE_Allocation!$D$2:$D$201,$AB231)="PROJECT",IFERROR(INDEX(Projects!$D:$D,MATCH(INDEX(FTE_Allocation!$E$2:$E$201,$AB231),Projects!$A:$A,0))&amp;"","#PROJECT?"),INDEX(FTE_Allocation!$E$2:$E$201,$AB231)&amp;""),"")))</f>
        <v/>
      </c>
      <c r="F231" s="7">
        <f>IF($Z231="C",INDEX(Contracts!$Q$2:$Q$151,$AB231)&amp;"",IF($Z231="A",INDEX(Fixed_Assets!$L$2:$L$201,$AB231)&amp;"",IF($Z231="F",INDEX(Workforce!$K$2:$K$151,MATCH(INDEX(FTE_Allocation!$A$2:$A$201,$AB231),Workforce!$A$2:$A$151,0))&amp;"","")))</f>
        <v/>
      </c>
      <c r="G231" s="7">
        <f>IF($Z231="C",INDEX(Contracts!$F$2:$F$151,$AB231)&amp;" / "&amp;INDEX(Contracts!$G$2:$G$151,$AB231),IF($Z231="A",INDEX(Fixed_Assets!$E$2:$E$201,$AB231)&amp;"",IF($Z231="F","Personnel "&amp;INDEX(FTE_Allocation!$A$2:$A$201,$AB231)&amp;IF(INDEX(FTE_Allocation!$D$2:$D$201,$AB231)="PROJECT"," ("&amp;INDEX(FTE_Allocation!$E$2:$E$201,$AB231)&amp;")",""),"")))</f>
        <v/>
      </c>
      <c r="H231" s="7">
        <f>IF($Z231="C","CONTRACT",IF($Z231="A","ASSET",IF($Z231="F","WORKFORCE","")))</f>
        <v/>
      </c>
      <c r="I231" s="7">
        <f>IF($Z231="C",INDEX(Contracts!$L$2:$L$151,$AB231)&amp;"",IF($Z231="A",INDEX(Fixed_Assets!$I$2:$I$201,$AB231)&amp;"",IF($Z231="F",INDEX(Workforce!$G$2:$G$151,MATCH(INDEX(FTE_Allocation!$A$2:$A$201,$AB231),Workforce!$A$2:$A$151,0))&amp;"","")))</f>
        <v/>
      </c>
      <c r="J231" s="18">
        <f>IF($Z231="","",IF(AND(DATE($AD231,1,1)&gt;=$AE231,DATE($AD231,1,1)&lt;=$AF231),ROUND($AG231,2),0))</f>
        <v/>
      </c>
      <c r="K231" s="18">
        <f>IF($Z231="","",IF(AND(DATE($AD231,2,1)&gt;=$AE231,DATE($AD231,2,1)&lt;=$AF231),ROUND($AG231,2),0))</f>
        <v/>
      </c>
      <c r="L231" s="18">
        <f>IF($Z231="","",IF(AND(DATE($AD231,3,1)&gt;=$AE231,DATE($AD231,3,1)&lt;=$AF231),ROUND($AG231,2),0))</f>
        <v/>
      </c>
      <c r="M231" s="18">
        <f>IF($Z231="","",IF(AND(DATE($AD231,4,1)&gt;=$AE231,DATE($AD231,4,1)&lt;=$AF231),ROUND($AG231,2),0))</f>
        <v/>
      </c>
      <c r="N231" s="18">
        <f>IF($Z231="","",IF(AND(DATE($AD231,5,1)&gt;=$AE231,DATE($AD231,5,1)&lt;=$AF231),ROUND($AG231,2),0))</f>
        <v/>
      </c>
      <c r="O231" s="18">
        <f>IF($Z231="","",IF(AND(DATE($AD231,6,1)&gt;=$AE231,DATE($AD231,6,1)&lt;=$AF231),ROUND($AG231,2),0))</f>
        <v/>
      </c>
      <c r="P231" s="18">
        <f>IF($Z231="","",IF(AND(DATE($AD231,7,1)&gt;=$AE231,DATE($AD231,7,1)&lt;=$AF231),ROUND($AG231,2),0))</f>
        <v/>
      </c>
      <c r="Q231" s="18">
        <f>IF($Z231="","",IF(AND(DATE($AD231,8,1)&gt;=$AE231,DATE($AD231,8,1)&lt;=$AF231),ROUND($AG231,2),0))</f>
        <v/>
      </c>
      <c r="R231" s="18">
        <f>IF($Z231="","",IF(AND(DATE($AD231,9,1)&gt;=$AE231,DATE($AD231,9,1)&lt;=$AF231),ROUND($AG231,2),0))</f>
        <v/>
      </c>
      <c r="S231" s="18">
        <f>IF($Z231="","",IF(AND(DATE($AD231,10,1)&gt;=$AE231,DATE($AD231,10,1)&lt;=$AF231),ROUND($AG231,2),0))</f>
        <v/>
      </c>
      <c r="T231" s="18">
        <f>IF($Z231="","",IF(AND(DATE($AD231,11,1)&gt;=$AE231,DATE($AD231,11,1)&lt;=$AF231),ROUND($AG231,2),0))</f>
        <v/>
      </c>
      <c r="U231" s="18">
        <f>IF($Z231="","",IF(AND(DATE($AD231,12,1)&gt;=$AE231,DATE($AD231,12,1)&lt;=$AF231),ROUND($AG231,2),0))</f>
        <v/>
      </c>
      <c r="V231" s="7">
        <f>IF($Z231="C","Generated from "&amp;INDEX(Contracts!$A$2:$A$151,$AB231),IF($Z231="A","Generated from "&amp;INDEX(Fixed_Assets!$A$2:$A$201,$AB231),IF($Z231="F","Generated from "&amp;INDEX(FTE_Allocation!$A$2:$A$201,$AB231),"")))</f>
        <v/>
      </c>
      <c r="X231" s="19">
        <f>IF($Z231="","",SUM(J231:U231))</f>
        <v/>
      </c>
      <c r="Y231" s="20">
        <f>ROW()-1</f>
        <v/>
      </c>
      <c r="Z231" s="20">
        <f>IF($Y231&lt;=Settings!$B$4*3,"C",IF($Y231&lt;=(Settings!$B$4+Settings!$B$5)*3,"A",IF($Y231&lt;=(Settings!$B$4+Settings!$B$5+Settings!$B$6)*3,"F","")))</f>
        <v/>
      </c>
      <c r="AA231" s="20">
        <f>IF($Z231="C",$Y231,IF($Z231="A",$Y231-Settings!$B$4*3,IF($Z231="F",$Y231-(Settings!$B$4+Settings!$B$5)*3,"")))</f>
        <v/>
      </c>
      <c r="AB231" s="20">
        <f>IF($Z231="","",INT(($AA231-1)/3)+1)</f>
        <v/>
      </c>
      <c r="AC231" s="20">
        <f>IF($Z231="","",MOD($AA231-1,3)+1)</f>
        <v/>
      </c>
      <c r="AD231" s="20">
        <f>IF($Z231="","",Settings!$B$2+$AC231-1)</f>
        <v/>
      </c>
      <c r="AE231" s="21">
        <f>IF($Z231="C",DATE(YEAR(INDEX(Contracts!$J$2:$J$151,$AB231)),MONTH(INDEX(Contracts!$J$2:$J$151,$AB231)),1),IF($Z231="A",DATE(YEAR(INDEX(Fixed_Assets!$G$2:$G$201,$AB231)),MONTH(INDEX(Fixed_Assets!$G$2:$G$201,$AB231)),1),IF($Z231="F",DATE(YEAR(MAX(N(INDEX(Workforce!$I$2:$I$151,MATCH(INDEX(FTE_Allocation!$A$2:$A$201,$AB231),Workforce!$A$2:$A$151,0))),N(INDEX(FTE_Allocation!$I$2:$I$201,$AB231)))),MONTH(MAX(N(INDEX(Workforce!$I$2:$I$151,MATCH(INDEX(FTE_Allocation!$A$2:$A$201,$AB231),Workforce!$A$2:$A$151,0))),N(INDEX(FTE_Allocation!$I$2:$I$201,$AB231)))),1),"")))</f>
        <v/>
      </c>
      <c r="AF231" s="21">
        <f>IF($Z231="C",IF(INDEX(Contracts!$I$2:$I$151,$AB231)="PREPAID",EDATE(DATE(YEAR(INDEX(Contracts!$J$2:$J$151,$AB231)),MONTH(INDEX(Contracts!$J$2:$J$151,$AB231)),1),IF(INDEX(Contracts!$N$2:$N$151,$AB231)="",12,INDEX(Contracts!$N$2:$N$151,$AB231))-1),IF(INDEX(Contracts!$I$2:$I$151,$AB231)="MONTHLY",IF(INDEX(Contracts!$K$2:$K$151,$AB231)="",2958101,INDEX(Contracts!$K$2:$K$151,$AB231)),0)),IF($Z231="A",EDATE(DATE(YEAR(INDEX(Fixed_Assets!$G$2:$G$201,$AB231)),MONTH(INDEX(Fixed_Assets!$G$2:$G$201,$AB231)),1),INDEX(Fixed_Assets!$J$2:$J$201,$AB231)-1),IF($Z231="F",MIN(IF(INDEX(Workforce!$J$2:$J$151,MATCH(INDEX(FTE_Allocation!$A$2:$A$201,$AB231),Workforce!$A$2:$A$151,0))="",2958101,INDEX(Workforce!$J$2:$J$151,MATCH(INDEX(FTE_Allocation!$A$2:$A$201,$AB231),Workforce!$A$2:$A$151,0))),IF(INDEX(FTE_Allocation!$J$2:$J$201,$AB231)="",2958101,INDEX(FTE_Allocation!$J$2:$J$201,$AB231))),"")))</f>
        <v/>
      </c>
      <c r="AG231" s="19">
        <f>IF($Z231="C",IF(INDEX(Contracts!$I$2:$I$151,$AB231)="PREPAID",INDEX(Contracts!$M$2:$M$151,$AB231)/IF(INDEX(Contracts!$N$2:$N$151,$AB231)="",12,INDEX(Contracts!$N$2:$N$151,$AB231)),IF(INDEX(Contracts!$I$2:$I$151,$AB231)="MONTHLY",INDEX(Contracts!$M$2:$M$151,$AB231),0))*(1-N(INDEX(Contracts!$O$2:$O$151,$AB231))),IF($Z231="A",INDEX(Fixed_Assets!$H$2:$H$201,$AB231)/INDEX(Fixed_Assets!$J$2:$J$201,$AB231),IF($Z231="F",INDEX(Workforce!$F$2:$F$151,MATCH(INDEX(FTE_Allocation!$A$2:$A$201,$AB231),Workforce!$A$2:$A$151,0))*N(INDEX(FTE_Allocation!$F$2:$H$201,$AB231,$AC231)),"")))</f>
        <v/>
      </c>
    </row>
    <row r="232">
      <c r="A232" s="7">
        <f>IF($Z232="","",$AD232)</f>
        <v/>
      </c>
      <c r="B232" s="7">
        <f>IF($Z232="C",INDEX(Contracts!$D$2:$D$151,$AB232)&amp;"",IF($Z232="A",INDEX(Fixed_Assets!$C$2:$C$201,$AB232)&amp;"",IF($Z232="F",INDEX(Workforce!$B$2:$B$151,MATCH(INDEX(FTE_Allocation!$A$2:$A$201,$AB232),Workforce!$A$2:$A$151,0))&amp;"","")))</f>
        <v/>
      </c>
      <c r="C232" s="7">
        <f>IF($Z232="C",INDEX(Contracts!$E$2:$E$151,$AB232)&amp;"",IF($Z232="A",INDEX(Fixed_Assets!$D$2:$D$201,$AB232)&amp;"",IF($Z232="F",INDEX(FTE_Allocation!$C$2:$C$201,$AB232)&amp;"","")))</f>
        <v/>
      </c>
      <c r="D232" s="7">
        <f>IF($Z232="C",INDEX(Contracts!$B$2:$B$151,$AB232)&amp;"",IF($Z232="A",INDEX(Fixed_Assets!$B$2:$B$201,$AB232)&amp;"",IF($Z232="F",INDEX(FTE_Allocation!$B$2:$B$201,$AB232)&amp;"","")))</f>
        <v/>
      </c>
      <c r="E232" s="7">
        <f>IF($Z232="C",INDEX(Contracts!$P$2:$P$151,$AB232)&amp;"",IF($Z232="A",INDEX(Fixed_Assets!$K$2:$K$201,$AB232)&amp;"",IF($Z232="F",IF(INDEX(FTE_Allocation!$D$2:$D$201,$AB232)="PROJECT",IFERROR(INDEX(Projects!$D:$D,MATCH(INDEX(FTE_Allocation!$E$2:$E$201,$AB232),Projects!$A:$A,0))&amp;"","#PROJECT?"),INDEX(FTE_Allocation!$E$2:$E$201,$AB232)&amp;""),"")))</f>
        <v/>
      </c>
      <c r="F232" s="7">
        <f>IF($Z232="C",INDEX(Contracts!$Q$2:$Q$151,$AB232)&amp;"",IF($Z232="A",INDEX(Fixed_Assets!$L$2:$L$201,$AB232)&amp;"",IF($Z232="F",INDEX(Workforce!$K$2:$K$151,MATCH(INDEX(FTE_Allocation!$A$2:$A$201,$AB232),Workforce!$A$2:$A$151,0))&amp;"","")))</f>
        <v/>
      </c>
      <c r="G232" s="7">
        <f>IF($Z232="C",INDEX(Contracts!$F$2:$F$151,$AB232)&amp;" / "&amp;INDEX(Contracts!$G$2:$G$151,$AB232),IF($Z232="A",INDEX(Fixed_Assets!$E$2:$E$201,$AB232)&amp;"",IF($Z232="F","Personnel "&amp;INDEX(FTE_Allocation!$A$2:$A$201,$AB232)&amp;IF(INDEX(FTE_Allocation!$D$2:$D$201,$AB232)="PROJECT"," ("&amp;INDEX(FTE_Allocation!$E$2:$E$201,$AB232)&amp;")",""),"")))</f>
        <v/>
      </c>
      <c r="H232" s="7">
        <f>IF($Z232="C","CONTRACT",IF($Z232="A","ASSET",IF($Z232="F","WORKFORCE","")))</f>
        <v/>
      </c>
      <c r="I232" s="7">
        <f>IF($Z232="C",INDEX(Contracts!$L$2:$L$151,$AB232)&amp;"",IF($Z232="A",INDEX(Fixed_Assets!$I$2:$I$201,$AB232)&amp;"",IF($Z232="F",INDEX(Workforce!$G$2:$G$151,MATCH(INDEX(FTE_Allocation!$A$2:$A$201,$AB232),Workforce!$A$2:$A$151,0))&amp;"","")))</f>
        <v/>
      </c>
      <c r="J232" s="18">
        <f>IF($Z232="","",IF(AND(DATE($AD232,1,1)&gt;=$AE232,DATE($AD232,1,1)&lt;=$AF232),ROUND($AG232,2),0))</f>
        <v/>
      </c>
      <c r="K232" s="18">
        <f>IF($Z232="","",IF(AND(DATE($AD232,2,1)&gt;=$AE232,DATE($AD232,2,1)&lt;=$AF232),ROUND($AG232,2),0))</f>
        <v/>
      </c>
      <c r="L232" s="18">
        <f>IF($Z232="","",IF(AND(DATE($AD232,3,1)&gt;=$AE232,DATE($AD232,3,1)&lt;=$AF232),ROUND($AG232,2),0))</f>
        <v/>
      </c>
      <c r="M232" s="18">
        <f>IF($Z232="","",IF(AND(DATE($AD232,4,1)&gt;=$AE232,DATE($AD232,4,1)&lt;=$AF232),ROUND($AG232,2),0))</f>
        <v/>
      </c>
      <c r="N232" s="18">
        <f>IF($Z232="","",IF(AND(DATE($AD232,5,1)&gt;=$AE232,DATE($AD232,5,1)&lt;=$AF232),ROUND($AG232,2),0))</f>
        <v/>
      </c>
      <c r="O232" s="18">
        <f>IF($Z232="","",IF(AND(DATE($AD232,6,1)&gt;=$AE232,DATE($AD232,6,1)&lt;=$AF232),ROUND($AG232,2),0))</f>
        <v/>
      </c>
      <c r="P232" s="18">
        <f>IF($Z232="","",IF(AND(DATE($AD232,7,1)&gt;=$AE232,DATE($AD232,7,1)&lt;=$AF232),ROUND($AG232,2),0))</f>
        <v/>
      </c>
      <c r="Q232" s="18">
        <f>IF($Z232="","",IF(AND(DATE($AD232,8,1)&gt;=$AE232,DATE($AD232,8,1)&lt;=$AF232),ROUND($AG232,2),0))</f>
        <v/>
      </c>
      <c r="R232" s="18">
        <f>IF($Z232="","",IF(AND(DATE($AD232,9,1)&gt;=$AE232,DATE($AD232,9,1)&lt;=$AF232),ROUND($AG232,2),0))</f>
        <v/>
      </c>
      <c r="S232" s="18">
        <f>IF($Z232="","",IF(AND(DATE($AD232,10,1)&gt;=$AE232,DATE($AD232,10,1)&lt;=$AF232),ROUND($AG232,2),0))</f>
        <v/>
      </c>
      <c r="T232" s="18">
        <f>IF($Z232="","",IF(AND(DATE($AD232,11,1)&gt;=$AE232,DATE($AD232,11,1)&lt;=$AF232),ROUND($AG232,2),0))</f>
        <v/>
      </c>
      <c r="U232" s="18">
        <f>IF($Z232="","",IF(AND(DATE($AD232,12,1)&gt;=$AE232,DATE($AD232,12,1)&lt;=$AF232),ROUND($AG232,2),0))</f>
        <v/>
      </c>
      <c r="V232" s="7">
        <f>IF($Z232="C","Generated from "&amp;INDEX(Contracts!$A$2:$A$151,$AB232),IF($Z232="A","Generated from "&amp;INDEX(Fixed_Assets!$A$2:$A$201,$AB232),IF($Z232="F","Generated from "&amp;INDEX(FTE_Allocation!$A$2:$A$201,$AB232),"")))</f>
        <v/>
      </c>
      <c r="X232" s="19">
        <f>IF($Z232="","",SUM(J232:U232))</f>
        <v/>
      </c>
      <c r="Y232" s="20">
        <f>ROW()-1</f>
        <v/>
      </c>
      <c r="Z232" s="20">
        <f>IF($Y232&lt;=Settings!$B$4*3,"C",IF($Y232&lt;=(Settings!$B$4+Settings!$B$5)*3,"A",IF($Y232&lt;=(Settings!$B$4+Settings!$B$5+Settings!$B$6)*3,"F","")))</f>
        <v/>
      </c>
      <c r="AA232" s="20">
        <f>IF($Z232="C",$Y232,IF($Z232="A",$Y232-Settings!$B$4*3,IF($Z232="F",$Y232-(Settings!$B$4+Settings!$B$5)*3,"")))</f>
        <v/>
      </c>
      <c r="AB232" s="20">
        <f>IF($Z232="","",INT(($AA232-1)/3)+1)</f>
        <v/>
      </c>
      <c r="AC232" s="20">
        <f>IF($Z232="","",MOD($AA232-1,3)+1)</f>
        <v/>
      </c>
      <c r="AD232" s="20">
        <f>IF($Z232="","",Settings!$B$2+$AC232-1)</f>
        <v/>
      </c>
      <c r="AE232" s="21">
        <f>IF($Z232="C",DATE(YEAR(INDEX(Contracts!$J$2:$J$151,$AB232)),MONTH(INDEX(Contracts!$J$2:$J$151,$AB232)),1),IF($Z232="A",DATE(YEAR(INDEX(Fixed_Assets!$G$2:$G$201,$AB232)),MONTH(INDEX(Fixed_Assets!$G$2:$G$201,$AB232)),1),IF($Z232="F",DATE(YEAR(MAX(N(INDEX(Workforce!$I$2:$I$151,MATCH(INDEX(FTE_Allocation!$A$2:$A$201,$AB232),Workforce!$A$2:$A$151,0))),N(INDEX(FTE_Allocation!$I$2:$I$201,$AB232)))),MONTH(MAX(N(INDEX(Workforce!$I$2:$I$151,MATCH(INDEX(FTE_Allocation!$A$2:$A$201,$AB232),Workforce!$A$2:$A$151,0))),N(INDEX(FTE_Allocation!$I$2:$I$201,$AB232)))),1),"")))</f>
        <v/>
      </c>
      <c r="AF232" s="21">
        <f>IF($Z232="C",IF(INDEX(Contracts!$I$2:$I$151,$AB232)="PREPAID",EDATE(DATE(YEAR(INDEX(Contracts!$J$2:$J$151,$AB232)),MONTH(INDEX(Contracts!$J$2:$J$151,$AB232)),1),IF(INDEX(Contracts!$N$2:$N$151,$AB232)="",12,INDEX(Contracts!$N$2:$N$151,$AB232))-1),IF(INDEX(Contracts!$I$2:$I$151,$AB232)="MONTHLY",IF(INDEX(Contracts!$K$2:$K$151,$AB232)="",2958101,INDEX(Contracts!$K$2:$K$151,$AB232)),0)),IF($Z232="A",EDATE(DATE(YEAR(INDEX(Fixed_Assets!$G$2:$G$201,$AB232)),MONTH(INDEX(Fixed_Assets!$G$2:$G$201,$AB232)),1),INDEX(Fixed_Assets!$J$2:$J$201,$AB232)-1),IF($Z232="F",MIN(IF(INDEX(Workforce!$J$2:$J$151,MATCH(INDEX(FTE_Allocation!$A$2:$A$201,$AB232),Workforce!$A$2:$A$151,0))="",2958101,INDEX(Workforce!$J$2:$J$151,MATCH(INDEX(FTE_Allocation!$A$2:$A$201,$AB232),Workforce!$A$2:$A$151,0))),IF(INDEX(FTE_Allocation!$J$2:$J$201,$AB232)="",2958101,INDEX(FTE_Allocation!$J$2:$J$201,$AB232))),"")))</f>
        <v/>
      </c>
      <c r="AG232" s="19">
        <f>IF($Z232="C",IF(INDEX(Contracts!$I$2:$I$151,$AB232)="PREPAID",INDEX(Contracts!$M$2:$M$151,$AB232)/IF(INDEX(Contracts!$N$2:$N$151,$AB232)="",12,INDEX(Contracts!$N$2:$N$151,$AB232)),IF(INDEX(Contracts!$I$2:$I$151,$AB232)="MONTHLY",INDEX(Contracts!$M$2:$M$151,$AB232),0))*(1-N(INDEX(Contracts!$O$2:$O$151,$AB232))),IF($Z232="A",INDEX(Fixed_Assets!$H$2:$H$201,$AB232)/INDEX(Fixed_Assets!$J$2:$J$201,$AB232),IF($Z232="F",INDEX(Workforce!$F$2:$F$151,MATCH(INDEX(FTE_Allocation!$A$2:$A$201,$AB232),Workforce!$A$2:$A$151,0))*N(INDEX(FTE_Allocation!$F$2:$H$201,$AB232,$AC232)),"")))</f>
        <v/>
      </c>
    </row>
    <row r="233">
      <c r="A233" s="7">
        <f>IF($Z233="","",$AD233)</f>
        <v/>
      </c>
      <c r="B233" s="7">
        <f>IF($Z233="C",INDEX(Contracts!$D$2:$D$151,$AB233)&amp;"",IF($Z233="A",INDEX(Fixed_Assets!$C$2:$C$201,$AB233)&amp;"",IF($Z233="F",INDEX(Workforce!$B$2:$B$151,MATCH(INDEX(FTE_Allocation!$A$2:$A$201,$AB233),Workforce!$A$2:$A$151,0))&amp;"","")))</f>
        <v/>
      </c>
      <c r="C233" s="7">
        <f>IF($Z233="C",INDEX(Contracts!$E$2:$E$151,$AB233)&amp;"",IF($Z233="A",INDEX(Fixed_Assets!$D$2:$D$201,$AB233)&amp;"",IF($Z233="F",INDEX(FTE_Allocation!$C$2:$C$201,$AB233)&amp;"","")))</f>
        <v/>
      </c>
      <c r="D233" s="7">
        <f>IF($Z233="C",INDEX(Contracts!$B$2:$B$151,$AB233)&amp;"",IF($Z233="A",INDEX(Fixed_Assets!$B$2:$B$201,$AB233)&amp;"",IF($Z233="F",INDEX(FTE_Allocation!$B$2:$B$201,$AB233)&amp;"","")))</f>
        <v/>
      </c>
      <c r="E233" s="7">
        <f>IF($Z233="C",INDEX(Contracts!$P$2:$P$151,$AB233)&amp;"",IF($Z233="A",INDEX(Fixed_Assets!$K$2:$K$201,$AB233)&amp;"",IF($Z233="F",IF(INDEX(FTE_Allocation!$D$2:$D$201,$AB233)="PROJECT",IFERROR(INDEX(Projects!$D:$D,MATCH(INDEX(FTE_Allocation!$E$2:$E$201,$AB233),Projects!$A:$A,0))&amp;"","#PROJECT?"),INDEX(FTE_Allocation!$E$2:$E$201,$AB233)&amp;""),"")))</f>
        <v/>
      </c>
      <c r="F233" s="7">
        <f>IF($Z233="C",INDEX(Contracts!$Q$2:$Q$151,$AB233)&amp;"",IF($Z233="A",INDEX(Fixed_Assets!$L$2:$L$201,$AB233)&amp;"",IF($Z233="F",INDEX(Workforce!$K$2:$K$151,MATCH(INDEX(FTE_Allocation!$A$2:$A$201,$AB233),Workforce!$A$2:$A$151,0))&amp;"","")))</f>
        <v/>
      </c>
      <c r="G233" s="7">
        <f>IF($Z233="C",INDEX(Contracts!$F$2:$F$151,$AB233)&amp;" / "&amp;INDEX(Contracts!$G$2:$G$151,$AB233),IF($Z233="A",INDEX(Fixed_Assets!$E$2:$E$201,$AB233)&amp;"",IF($Z233="F","Personnel "&amp;INDEX(FTE_Allocation!$A$2:$A$201,$AB233)&amp;IF(INDEX(FTE_Allocation!$D$2:$D$201,$AB233)="PROJECT"," ("&amp;INDEX(FTE_Allocation!$E$2:$E$201,$AB233)&amp;")",""),"")))</f>
        <v/>
      </c>
      <c r="H233" s="7">
        <f>IF($Z233="C","CONTRACT",IF($Z233="A","ASSET",IF($Z233="F","WORKFORCE","")))</f>
        <v/>
      </c>
      <c r="I233" s="7">
        <f>IF($Z233="C",INDEX(Contracts!$L$2:$L$151,$AB233)&amp;"",IF($Z233="A",INDEX(Fixed_Assets!$I$2:$I$201,$AB233)&amp;"",IF($Z233="F",INDEX(Workforce!$G$2:$G$151,MATCH(INDEX(FTE_Allocation!$A$2:$A$201,$AB233),Workforce!$A$2:$A$151,0))&amp;"","")))</f>
        <v/>
      </c>
      <c r="J233" s="18">
        <f>IF($Z233="","",IF(AND(DATE($AD233,1,1)&gt;=$AE233,DATE($AD233,1,1)&lt;=$AF233),ROUND($AG233,2),0))</f>
        <v/>
      </c>
      <c r="K233" s="18">
        <f>IF($Z233="","",IF(AND(DATE($AD233,2,1)&gt;=$AE233,DATE($AD233,2,1)&lt;=$AF233),ROUND($AG233,2),0))</f>
        <v/>
      </c>
      <c r="L233" s="18">
        <f>IF($Z233="","",IF(AND(DATE($AD233,3,1)&gt;=$AE233,DATE($AD233,3,1)&lt;=$AF233),ROUND($AG233,2),0))</f>
        <v/>
      </c>
      <c r="M233" s="18">
        <f>IF($Z233="","",IF(AND(DATE($AD233,4,1)&gt;=$AE233,DATE($AD233,4,1)&lt;=$AF233),ROUND($AG233,2),0))</f>
        <v/>
      </c>
      <c r="N233" s="18">
        <f>IF($Z233="","",IF(AND(DATE($AD233,5,1)&gt;=$AE233,DATE($AD233,5,1)&lt;=$AF233),ROUND($AG233,2),0))</f>
        <v/>
      </c>
      <c r="O233" s="18">
        <f>IF($Z233="","",IF(AND(DATE($AD233,6,1)&gt;=$AE233,DATE($AD233,6,1)&lt;=$AF233),ROUND($AG233,2),0))</f>
        <v/>
      </c>
      <c r="P233" s="18">
        <f>IF($Z233="","",IF(AND(DATE($AD233,7,1)&gt;=$AE233,DATE($AD233,7,1)&lt;=$AF233),ROUND($AG233,2),0))</f>
        <v/>
      </c>
      <c r="Q233" s="18">
        <f>IF($Z233="","",IF(AND(DATE($AD233,8,1)&gt;=$AE233,DATE($AD233,8,1)&lt;=$AF233),ROUND($AG233,2),0))</f>
        <v/>
      </c>
      <c r="R233" s="18">
        <f>IF($Z233="","",IF(AND(DATE($AD233,9,1)&gt;=$AE233,DATE($AD233,9,1)&lt;=$AF233),ROUND($AG233,2),0))</f>
        <v/>
      </c>
      <c r="S233" s="18">
        <f>IF($Z233="","",IF(AND(DATE($AD233,10,1)&gt;=$AE233,DATE($AD233,10,1)&lt;=$AF233),ROUND($AG233,2),0))</f>
        <v/>
      </c>
      <c r="T233" s="18">
        <f>IF($Z233="","",IF(AND(DATE($AD233,11,1)&gt;=$AE233,DATE($AD233,11,1)&lt;=$AF233),ROUND($AG233,2),0))</f>
        <v/>
      </c>
      <c r="U233" s="18">
        <f>IF($Z233="","",IF(AND(DATE($AD233,12,1)&gt;=$AE233,DATE($AD233,12,1)&lt;=$AF233),ROUND($AG233,2),0))</f>
        <v/>
      </c>
      <c r="V233" s="7">
        <f>IF($Z233="C","Generated from "&amp;INDEX(Contracts!$A$2:$A$151,$AB233),IF($Z233="A","Generated from "&amp;INDEX(Fixed_Assets!$A$2:$A$201,$AB233),IF($Z233="F","Generated from "&amp;INDEX(FTE_Allocation!$A$2:$A$201,$AB233),"")))</f>
        <v/>
      </c>
      <c r="X233" s="19">
        <f>IF($Z233="","",SUM(J233:U233))</f>
        <v/>
      </c>
      <c r="Y233" s="20">
        <f>ROW()-1</f>
        <v/>
      </c>
      <c r="Z233" s="20">
        <f>IF($Y233&lt;=Settings!$B$4*3,"C",IF($Y233&lt;=(Settings!$B$4+Settings!$B$5)*3,"A",IF($Y233&lt;=(Settings!$B$4+Settings!$B$5+Settings!$B$6)*3,"F","")))</f>
        <v/>
      </c>
      <c r="AA233" s="20">
        <f>IF($Z233="C",$Y233,IF($Z233="A",$Y233-Settings!$B$4*3,IF($Z233="F",$Y233-(Settings!$B$4+Settings!$B$5)*3,"")))</f>
        <v/>
      </c>
      <c r="AB233" s="20">
        <f>IF($Z233="","",INT(($AA233-1)/3)+1)</f>
        <v/>
      </c>
      <c r="AC233" s="20">
        <f>IF($Z233="","",MOD($AA233-1,3)+1)</f>
        <v/>
      </c>
      <c r="AD233" s="20">
        <f>IF($Z233="","",Settings!$B$2+$AC233-1)</f>
        <v/>
      </c>
      <c r="AE233" s="21">
        <f>IF($Z233="C",DATE(YEAR(INDEX(Contracts!$J$2:$J$151,$AB233)),MONTH(INDEX(Contracts!$J$2:$J$151,$AB233)),1),IF($Z233="A",DATE(YEAR(INDEX(Fixed_Assets!$G$2:$G$201,$AB233)),MONTH(INDEX(Fixed_Assets!$G$2:$G$201,$AB233)),1),IF($Z233="F",DATE(YEAR(MAX(N(INDEX(Workforce!$I$2:$I$151,MATCH(INDEX(FTE_Allocation!$A$2:$A$201,$AB233),Workforce!$A$2:$A$151,0))),N(INDEX(FTE_Allocation!$I$2:$I$201,$AB233)))),MONTH(MAX(N(INDEX(Workforce!$I$2:$I$151,MATCH(INDEX(FTE_Allocation!$A$2:$A$201,$AB233),Workforce!$A$2:$A$151,0))),N(INDEX(FTE_Allocation!$I$2:$I$201,$AB233)))),1),"")))</f>
        <v/>
      </c>
      <c r="AF233" s="21">
        <f>IF($Z233="C",IF(INDEX(Contracts!$I$2:$I$151,$AB233)="PREPAID",EDATE(DATE(YEAR(INDEX(Contracts!$J$2:$J$151,$AB233)),MONTH(INDEX(Contracts!$J$2:$J$151,$AB233)),1),IF(INDEX(Contracts!$N$2:$N$151,$AB233)="",12,INDEX(Contracts!$N$2:$N$151,$AB233))-1),IF(INDEX(Contracts!$I$2:$I$151,$AB233)="MONTHLY",IF(INDEX(Contracts!$K$2:$K$151,$AB233)="",2958101,INDEX(Contracts!$K$2:$K$151,$AB233)),0)),IF($Z233="A",EDATE(DATE(YEAR(INDEX(Fixed_Assets!$G$2:$G$201,$AB233)),MONTH(INDEX(Fixed_Assets!$G$2:$G$201,$AB233)),1),INDEX(Fixed_Assets!$J$2:$J$201,$AB233)-1),IF($Z233="F",MIN(IF(INDEX(Workforce!$J$2:$J$151,MATCH(INDEX(FTE_Allocation!$A$2:$A$201,$AB233),Workforce!$A$2:$A$151,0))="",2958101,INDEX(Workforce!$J$2:$J$151,MATCH(INDEX(FTE_Allocation!$A$2:$A$201,$AB233),Workforce!$A$2:$A$151,0))),IF(INDEX(FTE_Allocation!$J$2:$J$201,$AB233)="",2958101,INDEX(FTE_Allocation!$J$2:$J$201,$AB233))),"")))</f>
        <v/>
      </c>
      <c r="AG233" s="19">
        <f>IF($Z233="C",IF(INDEX(Contracts!$I$2:$I$151,$AB233)="PREPAID",INDEX(Contracts!$M$2:$M$151,$AB233)/IF(INDEX(Contracts!$N$2:$N$151,$AB233)="",12,INDEX(Contracts!$N$2:$N$151,$AB233)),IF(INDEX(Contracts!$I$2:$I$151,$AB233)="MONTHLY",INDEX(Contracts!$M$2:$M$151,$AB233),0))*(1-N(INDEX(Contracts!$O$2:$O$151,$AB233))),IF($Z233="A",INDEX(Fixed_Assets!$H$2:$H$201,$AB233)/INDEX(Fixed_Assets!$J$2:$J$201,$AB233),IF($Z233="F",INDEX(Workforce!$F$2:$F$151,MATCH(INDEX(FTE_Allocation!$A$2:$A$201,$AB233),Workforce!$A$2:$A$151,0))*N(INDEX(FTE_Allocation!$F$2:$H$201,$AB233,$AC233)),"")))</f>
        <v/>
      </c>
    </row>
    <row r="234">
      <c r="A234" s="7">
        <f>IF($Z234="","",$AD234)</f>
        <v/>
      </c>
      <c r="B234" s="7">
        <f>IF($Z234="C",INDEX(Contracts!$D$2:$D$151,$AB234)&amp;"",IF($Z234="A",INDEX(Fixed_Assets!$C$2:$C$201,$AB234)&amp;"",IF($Z234="F",INDEX(Workforce!$B$2:$B$151,MATCH(INDEX(FTE_Allocation!$A$2:$A$201,$AB234),Workforce!$A$2:$A$151,0))&amp;"","")))</f>
        <v/>
      </c>
      <c r="C234" s="7">
        <f>IF($Z234="C",INDEX(Contracts!$E$2:$E$151,$AB234)&amp;"",IF($Z234="A",INDEX(Fixed_Assets!$D$2:$D$201,$AB234)&amp;"",IF($Z234="F",INDEX(FTE_Allocation!$C$2:$C$201,$AB234)&amp;"","")))</f>
        <v/>
      </c>
      <c r="D234" s="7">
        <f>IF($Z234="C",INDEX(Contracts!$B$2:$B$151,$AB234)&amp;"",IF($Z234="A",INDEX(Fixed_Assets!$B$2:$B$201,$AB234)&amp;"",IF($Z234="F",INDEX(FTE_Allocation!$B$2:$B$201,$AB234)&amp;"","")))</f>
        <v/>
      </c>
      <c r="E234" s="7">
        <f>IF($Z234="C",INDEX(Contracts!$P$2:$P$151,$AB234)&amp;"",IF($Z234="A",INDEX(Fixed_Assets!$K$2:$K$201,$AB234)&amp;"",IF($Z234="F",IF(INDEX(FTE_Allocation!$D$2:$D$201,$AB234)="PROJECT",IFERROR(INDEX(Projects!$D:$D,MATCH(INDEX(FTE_Allocation!$E$2:$E$201,$AB234),Projects!$A:$A,0))&amp;"","#PROJECT?"),INDEX(FTE_Allocation!$E$2:$E$201,$AB234)&amp;""),"")))</f>
        <v/>
      </c>
      <c r="F234" s="7">
        <f>IF($Z234="C",INDEX(Contracts!$Q$2:$Q$151,$AB234)&amp;"",IF($Z234="A",INDEX(Fixed_Assets!$L$2:$L$201,$AB234)&amp;"",IF($Z234="F",INDEX(Workforce!$K$2:$K$151,MATCH(INDEX(FTE_Allocation!$A$2:$A$201,$AB234),Workforce!$A$2:$A$151,0))&amp;"","")))</f>
        <v/>
      </c>
      <c r="G234" s="7">
        <f>IF($Z234="C",INDEX(Contracts!$F$2:$F$151,$AB234)&amp;" / "&amp;INDEX(Contracts!$G$2:$G$151,$AB234),IF($Z234="A",INDEX(Fixed_Assets!$E$2:$E$201,$AB234)&amp;"",IF($Z234="F","Personnel "&amp;INDEX(FTE_Allocation!$A$2:$A$201,$AB234)&amp;IF(INDEX(FTE_Allocation!$D$2:$D$201,$AB234)="PROJECT"," ("&amp;INDEX(FTE_Allocation!$E$2:$E$201,$AB234)&amp;")",""),"")))</f>
        <v/>
      </c>
      <c r="H234" s="7">
        <f>IF($Z234="C","CONTRACT",IF($Z234="A","ASSET",IF($Z234="F","WORKFORCE","")))</f>
        <v/>
      </c>
      <c r="I234" s="7">
        <f>IF($Z234="C",INDEX(Contracts!$L$2:$L$151,$AB234)&amp;"",IF($Z234="A",INDEX(Fixed_Assets!$I$2:$I$201,$AB234)&amp;"",IF($Z234="F",INDEX(Workforce!$G$2:$G$151,MATCH(INDEX(FTE_Allocation!$A$2:$A$201,$AB234),Workforce!$A$2:$A$151,0))&amp;"","")))</f>
        <v/>
      </c>
      <c r="J234" s="18">
        <f>IF($Z234="","",IF(AND(DATE($AD234,1,1)&gt;=$AE234,DATE($AD234,1,1)&lt;=$AF234),ROUND($AG234,2),0))</f>
        <v/>
      </c>
      <c r="K234" s="18">
        <f>IF($Z234="","",IF(AND(DATE($AD234,2,1)&gt;=$AE234,DATE($AD234,2,1)&lt;=$AF234),ROUND($AG234,2),0))</f>
        <v/>
      </c>
      <c r="L234" s="18">
        <f>IF($Z234="","",IF(AND(DATE($AD234,3,1)&gt;=$AE234,DATE($AD234,3,1)&lt;=$AF234),ROUND($AG234,2),0))</f>
        <v/>
      </c>
      <c r="M234" s="18">
        <f>IF($Z234="","",IF(AND(DATE($AD234,4,1)&gt;=$AE234,DATE($AD234,4,1)&lt;=$AF234),ROUND($AG234,2),0))</f>
        <v/>
      </c>
      <c r="N234" s="18">
        <f>IF($Z234="","",IF(AND(DATE($AD234,5,1)&gt;=$AE234,DATE($AD234,5,1)&lt;=$AF234),ROUND($AG234,2),0))</f>
        <v/>
      </c>
      <c r="O234" s="18">
        <f>IF($Z234="","",IF(AND(DATE($AD234,6,1)&gt;=$AE234,DATE($AD234,6,1)&lt;=$AF234),ROUND($AG234,2),0))</f>
        <v/>
      </c>
      <c r="P234" s="18">
        <f>IF($Z234="","",IF(AND(DATE($AD234,7,1)&gt;=$AE234,DATE($AD234,7,1)&lt;=$AF234),ROUND($AG234,2),0))</f>
        <v/>
      </c>
      <c r="Q234" s="18">
        <f>IF($Z234="","",IF(AND(DATE($AD234,8,1)&gt;=$AE234,DATE($AD234,8,1)&lt;=$AF234),ROUND($AG234,2),0))</f>
        <v/>
      </c>
      <c r="R234" s="18">
        <f>IF($Z234="","",IF(AND(DATE($AD234,9,1)&gt;=$AE234,DATE($AD234,9,1)&lt;=$AF234),ROUND($AG234,2),0))</f>
        <v/>
      </c>
      <c r="S234" s="18">
        <f>IF($Z234="","",IF(AND(DATE($AD234,10,1)&gt;=$AE234,DATE($AD234,10,1)&lt;=$AF234),ROUND($AG234,2),0))</f>
        <v/>
      </c>
      <c r="T234" s="18">
        <f>IF($Z234="","",IF(AND(DATE($AD234,11,1)&gt;=$AE234,DATE($AD234,11,1)&lt;=$AF234),ROUND($AG234,2),0))</f>
        <v/>
      </c>
      <c r="U234" s="18">
        <f>IF($Z234="","",IF(AND(DATE($AD234,12,1)&gt;=$AE234,DATE($AD234,12,1)&lt;=$AF234),ROUND($AG234,2),0))</f>
        <v/>
      </c>
      <c r="V234" s="7">
        <f>IF($Z234="C","Generated from "&amp;INDEX(Contracts!$A$2:$A$151,$AB234),IF($Z234="A","Generated from "&amp;INDEX(Fixed_Assets!$A$2:$A$201,$AB234),IF($Z234="F","Generated from "&amp;INDEX(FTE_Allocation!$A$2:$A$201,$AB234),"")))</f>
        <v/>
      </c>
      <c r="X234" s="19">
        <f>IF($Z234="","",SUM(J234:U234))</f>
        <v/>
      </c>
      <c r="Y234" s="20">
        <f>ROW()-1</f>
        <v/>
      </c>
      <c r="Z234" s="20">
        <f>IF($Y234&lt;=Settings!$B$4*3,"C",IF($Y234&lt;=(Settings!$B$4+Settings!$B$5)*3,"A",IF($Y234&lt;=(Settings!$B$4+Settings!$B$5+Settings!$B$6)*3,"F","")))</f>
        <v/>
      </c>
      <c r="AA234" s="20">
        <f>IF($Z234="C",$Y234,IF($Z234="A",$Y234-Settings!$B$4*3,IF($Z234="F",$Y234-(Settings!$B$4+Settings!$B$5)*3,"")))</f>
        <v/>
      </c>
      <c r="AB234" s="20">
        <f>IF($Z234="","",INT(($AA234-1)/3)+1)</f>
        <v/>
      </c>
      <c r="AC234" s="20">
        <f>IF($Z234="","",MOD($AA234-1,3)+1)</f>
        <v/>
      </c>
      <c r="AD234" s="20">
        <f>IF($Z234="","",Settings!$B$2+$AC234-1)</f>
        <v/>
      </c>
      <c r="AE234" s="21">
        <f>IF($Z234="C",DATE(YEAR(INDEX(Contracts!$J$2:$J$151,$AB234)),MONTH(INDEX(Contracts!$J$2:$J$151,$AB234)),1),IF($Z234="A",DATE(YEAR(INDEX(Fixed_Assets!$G$2:$G$201,$AB234)),MONTH(INDEX(Fixed_Assets!$G$2:$G$201,$AB234)),1),IF($Z234="F",DATE(YEAR(MAX(N(INDEX(Workforce!$I$2:$I$151,MATCH(INDEX(FTE_Allocation!$A$2:$A$201,$AB234),Workforce!$A$2:$A$151,0))),N(INDEX(FTE_Allocation!$I$2:$I$201,$AB234)))),MONTH(MAX(N(INDEX(Workforce!$I$2:$I$151,MATCH(INDEX(FTE_Allocation!$A$2:$A$201,$AB234),Workforce!$A$2:$A$151,0))),N(INDEX(FTE_Allocation!$I$2:$I$201,$AB234)))),1),"")))</f>
        <v/>
      </c>
      <c r="AF234" s="21">
        <f>IF($Z234="C",IF(INDEX(Contracts!$I$2:$I$151,$AB234)="PREPAID",EDATE(DATE(YEAR(INDEX(Contracts!$J$2:$J$151,$AB234)),MONTH(INDEX(Contracts!$J$2:$J$151,$AB234)),1),IF(INDEX(Contracts!$N$2:$N$151,$AB234)="",12,INDEX(Contracts!$N$2:$N$151,$AB234))-1),IF(INDEX(Contracts!$I$2:$I$151,$AB234)="MONTHLY",IF(INDEX(Contracts!$K$2:$K$151,$AB234)="",2958101,INDEX(Contracts!$K$2:$K$151,$AB234)),0)),IF($Z234="A",EDATE(DATE(YEAR(INDEX(Fixed_Assets!$G$2:$G$201,$AB234)),MONTH(INDEX(Fixed_Assets!$G$2:$G$201,$AB234)),1),INDEX(Fixed_Assets!$J$2:$J$201,$AB234)-1),IF($Z234="F",MIN(IF(INDEX(Workforce!$J$2:$J$151,MATCH(INDEX(FTE_Allocation!$A$2:$A$201,$AB234),Workforce!$A$2:$A$151,0))="",2958101,INDEX(Workforce!$J$2:$J$151,MATCH(INDEX(FTE_Allocation!$A$2:$A$201,$AB234),Workforce!$A$2:$A$151,0))),IF(INDEX(FTE_Allocation!$J$2:$J$201,$AB234)="",2958101,INDEX(FTE_Allocation!$J$2:$J$201,$AB234))),"")))</f>
        <v/>
      </c>
      <c r="AG234" s="19">
        <f>IF($Z234="C",IF(INDEX(Contracts!$I$2:$I$151,$AB234)="PREPAID",INDEX(Contracts!$M$2:$M$151,$AB234)/IF(INDEX(Contracts!$N$2:$N$151,$AB234)="",12,INDEX(Contracts!$N$2:$N$151,$AB234)),IF(INDEX(Contracts!$I$2:$I$151,$AB234)="MONTHLY",INDEX(Contracts!$M$2:$M$151,$AB234),0))*(1-N(INDEX(Contracts!$O$2:$O$151,$AB234))),IF($Z234="A",INDEX(Fixed_Assets!$H$2:$H$201,$AB234)/INDEX(Fixed_Assets!$J$2:$J$201,$AB234),IF($Z234="F",INDEX(Workforce!$F$2:$F$151,MATCH(INDEX(FTE_Allocation!$A$2:$A$201,$AB234),Workforce!$A$2:$A$151,0))*N(INDEX(FTE_Allocation!$F$2:$H$201,$AB234,$AC234)),"")))</f>
        <v/>
      </c>
    </row>
    <row r="235">
      <c r="A235" s="7">
        <f>IF($Z235="","",$AD235)</f>
        <v/>
      </c>
      <c r="B235" s="7">
        <f>IF($Z235="C",INDEX(Contracts!$D$2:$D$151,$AB235)&amp;"",IF($Z235="A",INDEX(Fixed_Assets!$C$2:$C$201,$AB235)&amp;"",IF($Z235="F",INDEX(Workforce!$B$2:$B$151,MATCH(INDEX(FTE_Allocation!$A$2:$A$201,$AB235),Workforce!$A$2:$A$151,0))&amp;"","")))</f>
        <v/>
      </c>
      <c r="C235" s="7">
        <f>IF($Z235="C",INDEX(Contracts!$E$2:$E$151,$AB235)&amp;"",IF($Z235="A",INDEX(Fixed_Assets!$D$2:$D$201,$AB235)&amp;"",IF($Z235="F",INDEX(FTE_Allocation!$C$2:$C$201,$AB235)&amp;"","")))</f>
        <v/>
      </c>
      <c r="D235" s="7">
        <f>IF($Z235="C",INDEX(Contracts!$B$2:$B$151,$AB235)&amp;"",IF($Z235="A",INDEX(Fixed_Assets!$B$2:$B$201,$AB235)&amp;"",IF($Z235="F",INDEX(FTE_Allocation!$B$2:$B$201,$AB235)&amp;"","")))</f>
        <v/>
      </c>
      <c r="E235" s="7">
        <f>IF($Z235="C",INDEX(Contracts!$P$2:$P$151,$AB235)&amp;"",IF($Z235="A",INDEX(Fixed_Assets!$K$2:$K$201,$AB235)&amp;"",IF($Z235="F",IF(INDEX(FTE_Allocation!$D$2:$D$201,$AB235)="PROJECT",IFERROR(INDEX(Projects!$D:$D,MATCH(INDEX(FTE_Allocation!$E$2:$E$201,$AB235),Projects!$A:$A,0))&amp;"","#PROJECT?"),INDEX(FTE_Allocation!$E$2:$E$201,$AB235)&amp;""),"")))</f>
        <v/>
      </c>
      <c r="F235" s="7">
        <f>IF($Z235="C",INDEX(Contracts!$Q$2:$Q$151,$AB235)&amp;"",IF($Z235="A",INDEX(Fixed_Assets!$L$2:$L$201,$AB235)&amp;"",IF($Z235="F",INDEX(Workforce!$K$2:$K$151,MATCH(INDEX(FTE_Allocation!$A$2:$A$201,$AB235),Workforce!$A$2:$A$151,0))&amp;"","")))</f>
        <v/>
      </c>
      <c r="G235" s="7">
        <f>IF($Z235="C",INDEX(Contracts!$F$2:$F$151,$AB235)&amp;" / "&amp;INDEX(Contracts!$G$2:$G$151,$AB235),IF($Z235="A",INDEX(Fixed_Assets!$E$2:$E$201,$AB235)&amp;"",IF($Z235="F","Personnel "&amp;INDEX(FTE_Allocation!$A$2:$A$201,$AB235)&amp;IF(INDEX(FTE_Allocation!$D$2:$D$201,$AB235)="PROJECT"," ("&amp;INDEX(FTE_Allocation!$E$2:$E$201,$AB235)&amp;")",""),"")))</f>
        <v/>
      </c>
      <c r="H235" s="7">
        <f>IF($Z235="C","CONTRACT",IF($Z235="A","ASSET",IF($Z235="F","WORKFORCE","")))</f>
        <v/>
      </c>
      <c r="I235" s="7">
        <f>IF($Z235="C",INDEX(Contracts!$L$2:$L$151,$AB235)&amp;"",IF($Z235="A",INDEX(Fixed_Assets!$I$2:$I$201,$AB235)&amp;"",IF($Z235="F",INDEX(Workforce!$G$2:$G$151,MATCH(INDEX(FTE_Allocation!$A$2:$A$201,$AB235),Workforce!$A$2:$A$151,0))&amp;"","")))</f>
        <v/>
      </c>
      <c r="J235" s="18">
        <f>IF($Z235="","",IF(AND(DATE($AD235,1,1)&gt;=$AE235,DATE($AD235,1,1)&lt;=$AF235),ROUND($AG235,2),0))</f>
        <v/>
      </c>
      <c r="K235" s="18">
        <f>IF($Z235="","",IF(AND(DATE($AD235,2,1)&gt;=$AE235,DATE($AD235,2,1)&lt;=$AF235),ROUND($AG235,2),0))</f>
        <v/>
      </c>
      <c r="L235" s="18">
        <f>IF($Z235="","",IF(AND(DATE($AD235,3,1)&gt;=$AE235,DATE($AD235,3,1)&lt;=$AF235),ROUND($AG235,2),0))</f>
        <v/>
      </c>
      <c r="M235" s="18">
        <f>IF($Z235="","",IF(AND(DATE($AD235,4,1)&gt;=$AE235,DATE($AD235,4,1)&lt;=$AF235),ROUND($AG235,2),0))</f>
        <v/>
      </c>
      <c r="N235" s="18">
        <f>IF($Z235="","",IF(AND(DATE($AD235,5,1)&gt;=$AE235,DATE($AD235,5,1)&lt;=$AF235),ROUND($AG235,2),0))</f>
        <v/>
      </c>
      <c r="O235" s="18">
        <f>IF($Z235="","",IF(AND(DATE($AD235,6,1)&gt;=$AE235,DATE($AD235,6,1)&lt;=$AF235),ROUND($AG235,2),0))</f>
        <v/>
      </c>
      <c r="P235" s="18">
        <f>IF($Z235="","",IF(AND(DATE($AD235,7,1)&gt;=$AE235,DATE($AD235,7,1)&lt;=$AF235),ROUND($AG235,2),0))</f>
        <v/>
      </c>
      <c r="Q235" s="18">
        <f>IF($Z235="","",IF(AND(DATE($AD235,8,1)&gt;=$AE235,DATE($AD235,8,1)&lt;=$AF235),ROUND($AG235,2),0))</f>
        <v/>
      </c>
      <c r="R235" s="18">
        <f>IF($Z235="","",IF(AND(DATE($AD235,9,1)&gt;=$AE235,DATE($AD235,9,1)&lt;=$AF235),ROUND($AG235,2),0))</f>
        <v/>
      </c>
      <c r="S235" s="18">
        <f>IF($Z235="","",IF(AND(DATE($AD235,10,1)&gt;=$AE235,DATE($AD235,10,1)&lt;=$AF235),ROUND($AG235,2),0))</f>
        <v/>
      </c>
      <c r="T235" s="18">
        <f>IF($Z235="","",IF(AND(DATE($AD235,11,1)&gt;=$AE235,DATE($AD235,11,1)&lt;=$AF235),ROUND($AG235,2),0))</f>
        <v/>
      </c>
      <c r="U235" s="18">
        <f>IF($Z235="","",IF(AND(DATE($AD235,12,1)&gt;=$AE235,DATE($AD235,12,1)&lt;=$AF235),ROUND($AG235,2),0))</f>
        <v/>
      </c>
      <c r="V235" s="7">
        <f>IF($Z235="C","Generated from "&amp;INDEX(Contracts!$A$2:$A$151,$AB235),IF($Z235="A","Generated from "&amp;INDEX(Fixed_Assets!$A$2:$A$201,$AB235),IF($Z235="F","Generated from "&amp;INDEX(FTE_Allocation!$A$2:$A$201,$AB235),"")))</f>
        <v/>
      </c>
      <c r="X235" s="19">
        <f>IF($Z235="","",SUM(J235:U235))</f>
        <v/>
      </c>
      <c r="Y235" s="20">
        <f>ROW()-1</f>
        <v/>
      </c>
      <c r="Z235" s="20">
        <f>IF($Y235&lt;=Settings!$B$4*3,"C",IF($Y235&lt;=(Settings!$B$4+Settings!$B$5)*3,"A",IF($Y235&lt;=(Settings!$B$4+Settings!$B$5+Settings!$B$6)*3,"F","")))</f>
        <v/>
      </c>
      <c r="AA235" s="20">
        <f>IF($Z235="C",$Y235,IF($Z235="A",$Y235-Settings!$B$4*3,IF($Z235="F",$Y235-(Settings!$B$4+Settings!$B$5)*3,"")))</f>
        <v/>
      </c>
      <c r="AB235" s="20">
        <f>IF($Z235="","",INT(($AA235-1)/3)+1)</f>
        <v/>
      </c>
      <c r="AC235" s="20">
        <f>IF($Z235="","",MOD($AA235-1,3)+1)</f>
        <v/>
      </c>
      <c r="AD235" s="20">
        <f>IF($Z235="","",Settings!$B$2+$AC235-1)</f>
        <v/>
      </c>
      <c r="AE235" s="21">
        <f>IF($Z235="C",DATE(YEAR(INDEX(Contracts!$J$2:$J$151,$AB235)),MONTH(INDEX(Contracts!$J$2:$J$151,$AB235)),1),IF($Z235="A",DATE(YEAR(INDEX(Fixed_Assets!$G$2:$G$201,$AB235)),MONTH(INDEX(Fixed_Assets!$G$2:$G$201,$AB235)),1),IF($Z235="F",DATE(YEAR(MAX(N(INDEX(Workforce!$I$2:$I$151,MATCH(INDEX(FTE_Allocation!$A$2:$A$201,$AB235),Workforce!$A$2:$A$151,0))),N(INDEX(FTE_Allocation!$I$2:$I$201,$AB235)))),MONTH(MAX(N(INDEX(Workforce!$I$2:$I$151,MATCH(INDEX(FTE_Allocation!$A$2:$A$201,$AB235),Workforce!$A$2:$A$151,0))),N(INDEX(FTE_Allocation!$I$2:$I$201,$AB235)))),1),"")))</f>
        <v/>
      </c>
      <c r="AF235" s="21">
        <f>IF($Z235="C",IF(INDEX(Contracts!$I$2:$I$151,$AB235)="PREPAID",EDATE(DATE(YEAR(INDEX(Contracts!$J$2:$J$151,$AB235)),MONTH(INDEX(Contracts!$J$2:$J$151,$AB235)),1),IF(INDEX(Contracts!$N$2:$N$151,$AB235)="",12,INDEX(Contracts!$N$2:$N$151,$AB235))-1),IF(INDEX(Contracts!$I$2:$I$151,$AB235)="MONTHLY",IF(INDEX(Contracts!$K$2:$K$151,$AB235)="",2958101,INDEX(Contracts!$K$2:$K$151,$AB235)),0)),IF($Z235="A",EDATE(DATE(YEAR(INDEX(Fixed_Assets!$G$2:$G$201,$AB235)),MONTH(INDEX(Fixed_Assets!$G$2:$G$201,$AB235)),1),INDEX(Fixed_Assets!$J$2:$J$201,$AB235)-1),IF($Z235="F",MIN(IF(INDEX(Workforce!$J$2:$J$151,MATCH(INDEX(FTE_Allocation!$A$2:$A$201,$AB235),Workforce!$A$2:$A$151,0))="",2958101,INDEX(Workforce!$J$2:$J$151,MATCH(INDEX(FTE_Allocation!$A$2:$A$201,$AB235),Workforce!$A$2:$A$151,0))),IF(INDEX(FTE_Allocation!$J$2:$J$201,$AB235)="",2958101,INDEX(FTE_Allocation!$J$2:$J$201,$AB235))),"")))</f>
        <v/>
      </c>
      <c r="AG235" s="19">
        <f>IF($Z235="C",IF(INDEX(Contracts!$I$2:$I$151,$AB235)="PREPAID",INDEX(Contracts!$M$2:$M$151,$AB235)/IF(INDEX(Contracts!$N$2:$N$151,$AB235)="",12,INDEX(Contracts!$N$2:$N$151,$AB235)),IF(INDEX(Contracts!$I$2:$I$151,$AB235)="MONTHLY",INDEX(Contracts!$M$2:$M$151,$AB235),0))*(1-N(INDEX(Contracts!$O$2:$O$151,$AB235))),IF($Z235="A",INDEX(Fixed_Assets!$H$2:$H$201,$AB235)/INDEX(Fixed_Assets!$J$2:$J$201,$AB235),IF($Z235="F",INDEX(Workforce!$F$2:$F$151,MATCH(INDEX(FTE_Allocation!$A$2:$A$201,$AB235),Workforce!$A$2:$A$151,0))*N(INDEX(FTE_Allocation!$F$2:$H$201,$AB235,$AC235)),"")))</f>
        <v/>
      </c>
    </row>
    <row r="236">
      <c r="A236" s="7">
        <f>IF($Z236="","",$AD236)</f>
        <v/>
      </c>
      <c r="B236" s="7">
        <f>IF($Z236="C",INDEX(Contracts!$D$2:$D$151,$AB236)&amp;"",IF($Z236="A",INDEX(Fixed_Assets!$C$2:$C$201,$AB236)&amp;"",IF($Z236="F",INDEX(Workforce!$B$2:$B$151,MATCH(INDEX(FTE_Allocation!$A$2:$A$201,$AB236),Workforce!$A$2:$A$151,0))&amp;"","")))</f>
        <v/>
      </c>
      <c r="C236" s="7">
        <f>IF($Z236="C",INDEX(Contracts!$E$2:$E$151,$AB236)&amp;"",IF($Z236="A",INDEX(Fixed_Assets!$D$2:$D$201,$AB236)&amp;"",IF($Z236="F",INDEX(FTE_Allocation!$C$2:$C$201,$AB236)&amp;"","")))</f>
        <v/>
      </c>
      <c r="D236" s="7">
        <f>IF($Z236="C",INDEX(Contracts!$B$2:$B$151,$AB236)&amp;"",IF($Z236="A",INDEX(Fixed_Assets!$B$2:$B$201,$AB236)&amp;"",IF($Z236="F",INDEX(FTE_Allocation!$B$2:$B$201,$AB236)&amp;"","")))</f>
        <v/>
      </c>
      <c r="E236" s="7">
        <f>IF($Z236="C",INDEX(Contracts!$P$2:$P$151,$AB236)&amp;"",IF($Z236="A",INDEX(Fixed_Assets!$K$2:$K$201,$AB236)&amp;"",IF($Z236="F",IF(INDEX(FTE_Allocation!$D$2:$D$201,$AB236)="PROJECT",IFERROR(INDEX(Projects!$D:$D,MATCH(INDEX(FTE_Allocation!$E$2:$E$201,$AB236),Projects!$A:$A,0))&amp;"","#PROJECT?"),INDEX(FTE_Allocation!$E$2:$E$201,$AB236)&amp;""),"")))</f>
        <v/>
      </c>
      <c r="F236" s="7">
        <f>IF($Z236="C",INDEX(Contracts!$Q$2:$Q$151,$AB236)&amp;"",IF($Z236="A",INDEX(Fixed_Assets!$L$2:$L$201,$AB236)&amp;"",IF($Z236="F",INDEX(Workforce!$K$2:$K$151,MATCH(INDEX(FTE_Allocation!$A$2:$A$201,$AB236),Workforce!$A$2:$A$151,0))&amp;"","")))</f>
        <v/>
      </c>
      <c r="G236" s="7">
        <f>IF($Z236="C",INDEX(Contracts!$F$2:$F$151,$AB236)&amp;" / "&amp;INDEX(Contracts!$G$2:$G$151,$AB236),IF($Z236="A",INDEX(Fixed_Assets!$E$2:$E$201,$AB236)&amp;"",IF($Z236="F","Personnel "&amp;INDEX(FTE_Allocation!$A$2:$A$201,$AB236)&amp;IF(INDEX(FTE_Allocation!$D$2:$D$201,$AB236)="PROJECT"," ("&amp;INDEX(FTE_Allocation!$E$2:$E$201,$AB236)&amp;")",""),"")))</f>
        <v/>
      </c>
      <c r="H236" s="7">
        <f>IF($Z236="C","CONTRACT",IF($Z236="A","ASSET",IF($Z236="F","WORKFORCE","")))</f>
        <v/>
      </c>
      <c r="I236" s="7">
        <f>IF($Z236="C",INDEX(Contracts!$L$2:$L$151,$AB236)&amp;"",IF($Z236="A",INDEX(Fixed_Assets!$I$2:$I$201,$AB236)&amp;"",IF($Z236="F",INDEX(Workforce!$G$2:$G$151,MATCH(INDEX(FTE_Allocation!$A$2:$A$201,$AB236),Workforce!$A$2:$A$151,0))&amp;"","")))</f>
        <v/>
      </c>
      <c r="J236" s="18">
        <f>IF($Z236="","",IF(AND(DATE($AD236,1,1)&gt;=$AE236,DATE($AD236,1,1)&lt;=$AF236),ROUND($AG236,2),0))</f>
        <v/>
      </c>
      <c r="K236" s="18">
        <f>IF($Z236="","",IF(AND(DATE($AD236,2,1)&gt;=$AE236,DATE($AD236,2,1)&lt;=$AF236),ROUND($AG236,2),0))</f>
        <v/>
      </c>
      <c r="L236" s="18">
        <f>IF($Z236="","",IF(AND(DATE($AD236,3,1)&gt;=$AE236,DATE($AD236,3,1)&lt;=$AF236),ROUND($AG236,2),0))</f>
        <v/>
      </c>
      <c r="M236" s="18">
        <f>IF($Z236="","",IF(AND(DATE($AD236,4,1)&gt;=$AE236,DATE($AD236,4,1)&lt;=$AF236),ROUND($AG236,2),0))</f>
        <v/>
      </c>
      <c r="N236" s="18">
        <f>IF($Z236="","",IF(AND(DATE($AD236,5,1)&gt;=$AE236,DATE($AD236,5,1)&lt;=$AF236),ROUND($AG236,2),0))</f>
        <v/>
      </c>
      <c r="O236" s="18">
        <f>IF($Z236="","",IF(AND(DATE($AD236,6,1)&gt;=$AE236,DATE($AD236,6,1)&lt;=$AF236),ROUND($AG236,2),0))</f>
        <v/>
      </c>
      <c r="P236" s="18">
        <f>IF($Z236="","",IF(AND(DATE($AD236,7,1)&gt;=$AE236,DATE($AD236,7,1)&lt;=$AF236),ROUND($AG236,2),0))</f>
        <v/>
      </c>
      <c r="Q236" s="18">
        <f>IF($Z236="","",IF(AND(DATE($AD236,8,1)&gt;=$AE236,DATE($AD236,8,1)&lt;=$AF236),ROUND($AG236,2),0))</f>
        <v/>
      </c>
      <c r="R236" s="18">
        <f>IF($Z236="","",IF(AND(DATE($AD236,9,1)&gt;=$AE236,DATE($AD236,9,1)&lt;=$AF236),ROUND($AG236,2),0))</f>
        <v/>
      </c>
      <c r="S236" s="18">
        <f>IF($Z236="","",IF(AND(DATE($AD236,10,1)&gt;=$AE236,DATE($AD236,10,1)&lt;=$AF236),ROUND($AG236,2),0))</f>
        <v/>
      </c>
      <c r="T236" s="18">
        <f>IF($Z236="","",IF(AND(DATE($AD236,11,1)&gt;=$AE236,DATE($AD236,11,1)&lt;=$AF236),ROUND($AG236,2),0))</f>
        <v/>
      </c>
      <c r="U236" s="18">
        <f>IF($Z236="","",IF(AND(DATE($AD236,12,1)&gt;=$AE236,DATE($AD236,12,1)&lt;=$AF236),ROUND($AG236,2),0))</f>
        <v/>
      </c>
      <c r="V236" s="7">
        <f>IF($Z236="C","Generated from "&amp;INDEX(Contracts!$A$2:$A$151,$AB236),IF($Z236="A","Generated from "&amp;INDEX(Fixed_Assets!$A$2:$A$201,$AB236),IF($Z236="F","Generated from "&amp;INDEX(FTE_Allocation!$A$2:$A$201,$AB236),"")))</f>
        <v/>
      </c>
      <c r="X236" s="19">
        <f>IF($Z236="","",SUM(J236:U236))</f>
        <v/>
      </c>
      <c r="Y236" s="20">
        <f>ROW()-1</f>
        <v/>
      </c>
      <c r="Z236" s="20">
        <f>IF($Y236&lt;=Settings!$B$4*3,"C",IF($Y236&lt;=(Settings!$B$4+Settings!$B$5)*3,"A",IF($Y236&lt;=(Settings!$B$4+Settings!$B$5+Settings!$B$6)*3,"F","")))</f>
        <v/>
      </c>
      <c r="AA236" s="20">
        <f>IF($Z236="C",$Y236,IF($Z236="A",$Y236-Settings!$B$4*3,IF($Z236="F",$Y236-(Settings!$B$4+Settings!$B$5)*3,"")))</f>
        <v/>
      </c>
      <c r="AB236" s="20">
        <f>IF($Z236="","",INT(($AA236-1)/3)+1)</f>
        <v/>
      </c>
      <c r="AC236" s="20">
        <f>IF($Z236="","",MOD($AA236-1,3)+1)</f>
        <v/>
      </c>
      <c r="AD236" s="20">
        <f>IF($Z236="","",Settings!$B$2+$AC236-1)</f>
        <v/>
      </c>
      <c r="AE236" s="21">
        <f>IF($Z236="C",DATE(YEAR(INDEX(Contracts!$J$2:$J$151,$AB236)),MONTH(INDEX(Contracts!$J$2:$J$151,$AB236)),1),IF($Z236="A",DATE(YEAR(INDEX(Fixed_Assets!$G$2:$G$201,$AB236)),MONTH(INDEX(Fixed_Assets!$G$2:$G$201,$AB236)),1),IF($Z236="F",DATE(YEAR(MAX(N(INDEX(Workforce!$I$2:$I$151,MATCH(INDEX(FTE_Allocation!$A$2:$A$201,$AB236),Workforce!$A$2:$A$151,0))),N(INDEX(FTE_Allocation!$I$2:$I$201,$AB236)))),MONTH(MAX(N(INDEX(Workforce!$I$2:$I$151,MATCH(INDEX(FTE_Allocation!$A$2:$A$201,$AB236),Workforce!$A$2:$A$151,0))),N(INDEX(FTE_Allocation!$I$2:$I$201,$AB236)))),1),"")))</f>
        <v/>
      </c>
      <c r="AF236" s="21">
        <f>IF($Z236="C",IF(INDEX(Contracts!$I$2:$I$151,$AB236)="PREPAID",EDATE(DATE(YEAR(INDEX(Contracts!$J$2:$J$151,$AB236)),MONTH(INDEX(Contracts!$J$2:$J$151,$AB236)),1),IF(INDEX(Contracts!$N$2:$N$151,$AB236)="",12,INDEX(Contracts!$N$2:$N$151,$AB236))-1),IF(INDEX(Contracts!$I$2:$I$151,$AB236)="MONTHLY",IF(INDEX(Contracts!$K$2:$K$151,$AB236)="",2958101,INDEX(Contracts!$K$2:$K$151,$AB236)),0)),IF($Z236="A",EDATE(DATE(YEAR(INDEX(Fixed_Assets!$G$2:$G$201,$AB236)),MONTH(INDEX(Fixed_Assets!$G$2:$G$201,$AB236)),1),INDEX(Fixed_Assets!$J$2:$J$201,$AB236)-1),IF($Z236="F",MIN(IF(INDEX(Workforce!$J$2:$J$151,MATCH(INDEX(FTE_Allocation!$A$2:$A$201,$AB236),Workforce!$A$2:$A$151,0))="",2958101,INDEX(Workforce!$J$2:$J$151,MATCH(INDEX(FTE_Allocation!$A$2:$A$201,$AB236),Workforce!$A$2:$A$151,0))),IF(INDEX(FTE_Allocation!$J$2:$J$201,$AB236)="",2958101,INDEX(FTE_Allocation!$J$2:$J$201,$AB236))),"")))</f>
        <v/>
      </c>
      <c r="AG236" s="19">
        <f>IF($Z236="C",IF(INDEX(Contracts!$I$2:$I$151,$AB236)="PREPAID",INDEX(Contracts!$M$2:$M$151,$AB236)/IF(INDEX(Contracts!$N$2:$N$151,$AB236)="",12,INDEX(Contracts!$N$2:$N$151,$AB236)),IF(INDEX(Contracts!$I$2:$I$151,$AB236)="MONTHLY",INDEX(Contracts!$M$2:$M$151,$AB236),0))*(1-N(INDEX(Contracts!$O$2:$O$151,$AB236))),IF($Z236="A",INDEX(Fixed_Assets!$H$2:$H$201,$AB236)/INDEX(Fixed_Assets!$J$2:$J$201,$AB236),IF($Z236="F",INDEX(Workforce!$F$2:$F$151,MATCH(INDEX(FTE_Allocation!$A$2:$A$201,$AB236),Workforce!$A$2:$A$151,0))*N(INDEX(FTE_Allocation!$F$2:$H$201,$AB236,$AC236)),"")))</f>
        <v/>
      </c>
    </row>
    <row r="237">
      <c r="A237" s="7">
        <f>IF($Z237="","",$AD237)</f>
        <v/>
      </c>
      <c r="B237" s="7">
        <f>IF($Z237="C",INDEX(Contracts!$D$2:$D$151,$AB237)&amp;"",IF($Z237="A",INDEX(Fixed_Assets!$C$2:$C$201,$AB237)&amp;"",IF($Z237="F",INDEX(Workforce!$B$2:$B$151,MATCH(INDEX(FTE_Allocation!$A$2:$A$201,$AB237),Workforce!$A$2:$A$151,0))&amp;"","")))</f>
        <v/>
      </c>
      <c r="C237" s="7">
        <f>IF($Z237="C",INDEX(Contracts!$E$2:$E$151,$AB237)&amp;"",IF($Z237="A",INDEX(Fixed_Assets!$D$2:$D$201,$AB237)&amp;"",IF($Z237="F",INDEX(FTE_Allocation!$C$2:$C$201,$AB237)&amp;"","")))</f>
        <v/>
      </c>
      <c r="D237" s="7">
        <f>IF($Z237="C",INDEX(Contracts!$B$2:$B$151,$AB237)&amp;"",IF($Z237="A",INDEX(Fixed_Assets!$B$2:$B$201,$AB237)&amp;"",IF($Z237="F",INDEX(FTE_Allocation!$B$2:$B$201,$AB237)&amp;"","")))</f>
        <v/>
      </c>
      <c r="E237" s="7">
        <f>IF($Z237="C",INDEX(Contracts!$P$2:$P$151,$AB237)&amp;"",IF($Z237="A",INDEX(Fixed_Assets!$K$2:$K$201,$AB237)&amp;"",IF($Z237="F",IF(INDEX(FTE_Allocation!$D$2:$D$201,$AB237)="PROJECT",IFERROR(INDEX(Projects!$D:$D,MATCH(INDEX(FTE_Allocation!$E$2:$E$201,$AB237),Projects!$A:$A,0))&amp;"","#PROJECT?"),INDEX(FTE_Allocation!$E$2:$E$201,$AB237)&amp;""),"")))</f>
        <v/>
      </c>
      <c r="F237" s="7">
        <f>IF($Z237="C",INDEX(Contracts!$Q$2:$Q$151,$AB237)&amp;"",IF($Z237="A",INDEX(Fixed_Assets!$L$2:$L$201,$AB237)&amp;"",IF($Z237="F",INDEX(Workforce!$K$2:$K$151,MATCH(INDEX(FTE_Allocation!$A$2:$A$201,$AB237),Workforce!$A$2:$A$151,0))&amp;"","")))</f>
        <v/>
      </c>
      <c r="G237" s="7">
        <f>IF($Z237="C",INDEX(Contracts!$F$2:$F$151,$AB237)&amp;" / "&amp;INDEX(Contracts!$G$2:$G$151,$AB237),IF($Z237="A",INDEX(Fixed_Assets!$E$2:$E$201,$AB237)&amp;"",IF($Z237="F","Personnel "&amp;INDEX(FTE_Allocation!$A$2:$A$201,$AB237)&amp;IF(INDEX(FTE_Allocation!$D$2:$D$201,$AB237)="PROJECT"," ("&amp;INDEX(FTE_Allocation!$E$2:$E$201,$AB237)&amp;")",""),"")))</f>
        <v/>
      </c>
      <c r="H237" s="7">
        <f>IF($Z237="C","CONTRACT",IF($Z237="A","ASSET",IF($Z237="F","WORKFORCE","")))</f>
        <v/>
      </c>
      <c r="I237" s="7">
        <f>IF($Z237="C",INDEX(Contracts!$L$2:$L$151,$AB237)&amp;"",IF($Z237="A",INDEX(Fixed_Assets!$I$2:$I$201,$AB237)&amp;"",IF($Z237="F",INDEX(Workforce!$G$2:$G$151,MATCH(INDEX(FTE_Allocation!$A$2:$A$201,$AB237),Workforce!$A$2:$A$151,0))&amp;"","")))</f>
        <v/>
      </c>
      <c r="J237" s="18">
        <f>IF($Z237="","",IF(AND(DATE($AD237,1,1)&gt;=$AE237,DATE($AD237,1,1)&lt;=$AF237),ROUND($AG237,2),0))</f>
        <v/>
      </c>
      <c r="K237" s="18">
        <f>IF($Z237="","",IF(AND(DATE($AD237,2,1)&gt;=$AE237,DATE($AD237,2,1)&lt;=$AF237),ROUND($AG237,2),0))</f>
        <v/>
      </c>
      <c r="L237" s="18">
        <f>IF($Z237="","",IF(AND(DATE($AD237,3,1)&gt;=$AE237,DATE($AD237,3,1)&lt;=$AF237),ROUND($AG237,2),0))</f>
        <v/>
      </c>
      <c r="M237" s="18">
        <f>IF($Z237="","",IF(AND(DATE($AD237,4,1)&gt;=$AE237,DATE($AD237,4,1)&lt;=$AF237),ROUND($AG237,2),0))</f>
        <v/>
      </c>
      <c r="N237" s="18">
        <f>IF($Z237="","",IF(AND(DATE($AD237,5,1)&gt;=$AE237,DATE($AD237,5,1)&lt;=$AF237),ROUND($AG237,2),0))</f>
        <v/>
      </c>
      <c r="O237" s="18">
        <f>IF($Z237="","",IF(AND(DATE($AD237,6,1)&gt;=$AE237,DATE($AD237,6,1)&lt;=$AF237),ROUND($AG237,2),0))</f>
        <v/>
      </c>
      <c r="P237" s="18">
        <f>IF($Z237="","",IF(AND(DATE($AD237,7,1)&gt;=$AE237,DATE($AD237,7,1)&lt;=$AF237),ROUND($AG237,2),0))</f>
        <v/>
      </c>
      <c r="Q237" s="18">
        <f>IF($Z237="","",IF(AND(DATE($AD237,8,1)&gt;=$AE237,DATE($AD237,8,1)&lt;=$AF237),ROUND($AG237,2),0))</f>
        <v/>
      </c>
      <c r="R237" s="18">
        <f>IF($Z237="","",IF(AND(DATE($AD237,9,1)&gt;=$AE237,DATE($AD237,9,1)&lt;=$AF237),ROUND($AG237,2),0))</f>
        <v/>
      </c>
      <c r="S237" s="18">
        <f>IF($Z237="","",IF(AND(DATE($AD237,10,1)&gt;=$AE237,DATE($AD237,10,1)&lt;=$AF237),ROUND($AG237,2),0))</f>
        <v/>
      </c>
      <c r="T237" s="18">
        <f>IF($Z237="","",IF(AND(DATE($AD237,11,1)&gt;=$AE237,DATE($AD237,11,1)&lt;=$AF237),ROUND($AG237,2),0))</f>
        <v/>
      </c>
      <c r="U237" s="18">
        <f>IF($Z237="","",IF(AND(DATE($AD237,12,1)&gt;=$AE237,DATE($AD237,12,1)&lt;=$AF237),ROUND($AG237,2),0))</f>
        <v/>
      </c>
      <c r="V237" s="7">
        <f>IF($Z237="C","Generated from "&amp;INDEX(Contracts!$A$2:$A$151,$AB237),IF($Z237="A","Generated from "&amp;INDEX(Fixed_Assets!$A$2:$A$201,$AB237),IF($Z237="F","Generated from "&amp;INDEX(FTE_Allocation!$A$2:$A$201,$AB237),"")))</f>
        <v/>
      </c>
      <c r="X237" s="19">
        <f>IF($Z237="","",SUM(J237:U237))</f>
        <v/>
      </c>
      <c r="Y237" s="20">
        <f>ROW()-1</f>
        <v/>
      </c>
      <c r="Z237" s="20">
        <f>IF($Y237&lt;=Settings!$B$4*3,"C",IF($Y237&lt;=(Settings!$B$4+Settings!$B$5)*3,"A",IF($Y237&lt;=(Settings!$B$4+Settings!$B$5+Settings!$B$6)*3,"F","")))</f>
        <v/>
      </c>
      <c r="AA237" s="20">
        <f>IF($Z237="C",$Y237,IF($Z237="A",$Y237-Settings!$B$4*3,IF($Z237="F",$Y237-(Settings!$B$4+Settings!$B$5)*3,"")))</f>
        <v/>
      </c>
      <c r="AB237" s="20">
        <f>IF($Z237="","",INT(($AA237-1)/3)+1)</f>
        <v/>
      </c>
      <c r="AC237" s="20">
        <f>IF($Z237="","",MOD($AA237-1,3)+1)</f>
        <v/>
      </c>
      <c r="AD237" s="20">
        <f>IF($Z237="","",Settings!$B$2+$AC237-1)</f>
        <v/>
      </c>
      <c r="AE237" s="21">
        <f>IF($Z237="C",DATE(YEAR(INDEX(Contracts!$J$2:$J$151,$AB237)),MONTH(INDEX(Contracts!$J$2:$J$151,$AB237)),1),IF($Z237="A",DATE(YEAR(INDEX(Fixed_Assets!$G$2:$G$201,$AB237)),MONTH(INDEX(Fixed_Assets!$G$2:$G$201,$AB237)),1),IF($Z237="F",DATE(YEAR(MAX(N(INDEX(Workforce!$I$2:$I$151,MATCH(INDEX(FTE_Allocation!$A$2:$A$201,$AB237),Workforce!$A$2:$A$151,0))),N(INDEX(FTE_Allocation!$I$2:$I$201,$AB237)))),MONTH(MAX(N(INDEX(Workforce!$I$2:$I$151,MATCH(INDEX(FTE_Allocation!$A$2:$A$201,$AB237),Workforce!$A$2:$A$151,0))),N(INDEX(FTE_Allocation!$I$2:$I$201,$AB237)))),1),"")))</f>
        <v/>
      </c>
      <c r="AF237" s="21">
        <f>IF($Z237="C",IF(INDEX(Contracts!$I$2:$I$151,$AB237)="PREPAID",EDATE(DATE(YEAR(INDEX(Contracts!$J$2:$J$151,$AB237)),MONTH(INDEX(Contracts!$J$2:$J$151,$AB237)),1),IF(INDEX(Contracts!$N$2:$N$151,$AB237)="",12,INDEX(Contracts!$N$2:$N$151,$AB237))-1),IF(INDEX(Contracts!$I$2:$I$151,$AB237)="MONTHLY",IF(INDEX(Contracts!$K$2:$K$151,$AB237)="",2958101,INDEX(Contracts!$K$2:$K$151,$AB237)),0)),IF($Z237="A",EDATE(DATE(YEAR(INDEX(Fixed_Assets!$G$2:$G$201,$AB237)),MONTH(INDEX(Fixed_Assets!$G$2:$G$201,$AB237)),1),INDEX(Fixed_Assets!$J$2:$J$201,$AB237)-1),IF($Z237="F",MIN(IF(INDEX(Workforce!$J$2:$J$151,MATCH(INDEX(FTE_Allocation!$A$2:$A$201,$AB237),Workforce!$A$2:$A$151,0))="",2958101,INDEX(Workforce!$J$2:$J$151,MATCH(INDEX(FTE_Allocation!$A$2:$A$201,$AB237),Workforce!$A$2:$A$151,0))),IF(INDEX(FTE_Allocation!$J$2:$J$201,$AB237)="",2958101,INDEX(FTE_Allocation!$J$2:$J$201,$AB237))),"")))</f>
        <v/>
      </c>
      <c r="AG237" s="19">
        <f>IF($Z237="C",IF(INDEX(Contracts!$I$2:$I$151,$AB237)="PREPAID",INDEX(Contracts!$M$2:$M$151,$AB237)/IF(INDEX(Contracts!$N$2:$N$151,$AB237)="",12,INDEX(Contracts!$N$2:$N$151,$AB237)),IF(INDEX(Contracts!$I$2:$I$151,$AB237)="MONTHLY",INDEX(Contracts!$M$2:$M$151,$AB237),0))*(1-N(INDEX(Contracts!$O$2:$O$151,$AB237))),IF($Z237="A",INDEX(Fixed_Assets!$H$2:$H$201,$AB237)/INDEX(Fixed_Assets!$J$2:$J$201,$AB237),IF($Z237="F",INDEX(Workforce!$F$2:$F$151,MATCH(INDEX(FTE_Allocation!$A$2:$A$201,$AB237),Workforce!$A$2:$A$151,0))*N(INDEX(FTE_Allocation!$F$2:$H$201,$AB237,$AC237)),"")))</f>
        <v/>
      </c>
    </row>
    <row r="238">
      <c r="A238" s="7">
        <f>IF($Z238="","",$AD238)</f>
        <v/>
      </c>
      <c r="B238" s="7">
        <f>IF($Z238="C",INDEX(Contracts!$D$2:$D$151,$AB238)&amp;"",IF($Z238="A",INDEX(Fixed_Assets!$C$2:$C$201,$AB238)&amp;"",IF($Z238="F",INDEX(Workforce!$B$2:$B$151,MATCH(INDEX(FTE_Allocation!$A$2:$A$201,$AB238),Workforce!$A$2:$A$151,0))&amp;"","")))</f>
        <v/>
      </c>
      <c r="C238" s="7">
        <f>IF($Z238="C",INDEX(Contracts!$E$2:$E$151,$AB238)&amp;"",IF($Z238="A",INDEX(Fixed_Assets!$D$2:$D$201,$AB238)&amp;"",IF($Z238="F",INDEX(FTE_Allocation!$C$2:$C$201,$AB238)&amp;"","")))</f>
        <v/>
      </c>
      <c r="D238" s="7">
        <f>IF($Z238="C",INDEX(Contracts!$B$2:$B$151,$AB238)&amp;"",IF($Z238="A",INDEX(Fixed_Assets!$B$2:$B$201,$AB238)&amp;"",IF($Z238="F",INDEX(FTE_Allocation!$B$2:$B$201,$AB238)&amp;"","")))</f>
        <v/>
      </c>
      <c r="E238" s="7">
        <f>IF($Z238="C",INDEX(Contracts!$P$2:$P$151,$AB238)&amp;"",IF($Z238="A",INDEX(Fixed_Assets!$K$2:$K$201,$AB238)&amp;"",IF($Z238="F",IF(INDEX(FTE_Allocation!$D$2:$D$201,$AB238)="PROJECT",IFERROR(INDEX(Projects!$D:$D,MATCH(INDEX(FTE_Allocation!$E$2:$E$201,$AB238),Projects!$A:$A,0))&amp;"","#PROJECT?"),INDEX(FTE_Allocation!$E$2:$E$201,$AB238)&amp;""),"")))</f>
        <v/>
      </c>
      <c r="F238" s="7">
        <f>IF($Z238="C",INDEX(Contracts!$Q$2:$Q$151,$AB238)&amp;"",IF($Z238="A",INDEX(Fixed_Assets!$L$2:$L$201,$AB238)&amp;"",IF($Z238="F",INDEX(Workforce!$K$2:$K$151,MATCH(INDEX(FTE_Allocation!$A$2:$A$201,$AB238),Workforce!$A$2:$A$151,0))&amp;"","")))</f>
        <v/>
      </c>
      <c r="G238" s="7">
        <f>IF($Z238="C",INDEX(Contracts!$F$2:$F$151,$AB238)&amp;" / "&amp;INDEX(Contracts!$G$2:$G$151,$AB238),IF($Z238="A",INDEX(Fixed_Assets!$E$2:$E$201,$AB238)&amp;"",IF($Z238="F","Personnel "&amp;INDEX(FTE_Allocation!$A$2:$A$201,$AB238)&amp;IF(INDEX(FTE_Allocation!$D$2:$D$201,$AB238)="PROJECT"," ("&amp;INDEX(FTE_Allocation!$E$2:$E$201,$AB238)&amp;")",""),"")))</f>
        <v/>
      </c>
      <c r="H238" s="7">
        <f>IF($Z238="C","CONTRACT",IF($Z238="A","ASSET",IF($Z238="F","WORKFORCE","")))</f>
        <v/>
      </c>
      <c r="I238" s="7">
        <f>IF($Z238="C",INDEX(Contracts!$L$2:$L$151,$AB238)&amp;"",IF($Z238="A",INDEX(Fixed_Assets!$I$2:$I$201,$AB238)&amp;"",IF($Z238="F",INDEX(Workforce!$G$2:$G$151,MATCH(INDEX(FTE_Allocation!$A$2:$A$201,$AB238),Workforce!$A$2:$A$151,0))&amp;"","")))</f>
        <v/>
      </c>
      <c r="J238" s="18">
        <f>IF($Z238="","",IF(AND(DATE($AD238,1,1)&gt;=$AE238,DATE($AD238,1,1)&lt;=$AF238),ROUND($AG238,2),0))</f>
        <v/>
      </c>
      <c r="K238" s="18">
        <f>IF($Z238="","",IF(AND(DATE($AD238,2,1)&gt;=$AE238,DATE($AD238,2,1)&lt;=$AF238),ROUND($AG238,2),0))</f>
        <v/>
      </c>
      <c r="L238" s="18">
        <f>IF($Z238="","",IF(AND(DATE($AD238,3,1)&gt;=$AE238,DATE($AD238,3,1)&lt;=$AF238),ROUND($AG238,2),0))</f>
        <v/>
      </c>
      <c r="M238" s="18">
        <f>IF($Z238="","",IF(AND(DATE($AD238,4,1)&gt;=$AE238,DATE($AD238,4,1)&lt;=$AF238),ROUND($AG238,2),0))</f>
        <v/>
      </c>
      <c r="N238" s="18">
        <f>IF($Z238="","",IF(AND(DATE($AD238,5,1)&gt;=$AE238,DATE($AD238,5,1)&lt;=$AF238),ROUND($AG238,2),0))</f>
        <v/>
      </c>
      <c r="O238" s="18">
        <f>IF($Z238="","",IF(AND(DATE($AD238,6,1)&gt;=$AE238,DATE($AD238,6,1)&lt;=$AF238),ROUND($AG238,2),0))</f>
        <v/>
      </c>
      <c r="P238" s="18">
        <f>IF($Z238="","",IF(AND(DATE($AD238,7,1)&gt;=$AE238,DATE($AD238,7,1)&lt;=$AF238),ROUND($AG238,2),0))</f>
        <v/>
      </c>
      <c r="Q238" s="18">
        <f>IF($Z238="","",IF(AND(DATE($AD238,8,1)&gt;=$AE238,DATE($AD238,8,1)&lt;=$AF238),ROUND($AG238,2),0))</f>
        <v/>
      </c>
      <c r="R238" s="18">
        <f>IF($Z238="","",IF(AND(DATE($AD238,9,1)&gt;=$AE238,DATE($AD238,9,1)&lt;=$AF238),ROUND($AG238,2),0))</f>
        <v/>
      </c>
      <c r="S238" s="18">
        <f>IF($Z238="","",IF(AND(DATE($AD238,10,1)&gt;=$AE238,DATE($AD238,10,1)&lt;=$AF238),ROUND($AG238,2),0))</f>
        <v/>
      </c>
      <c r="T238" s="18">
        <f>IF($Z238="","",IF(AND(DATE($AD238,11,1)&gt;=$AE238,DATE($AD238,11,1)&lt;=$AF238),ROUND($AG238,2),0))</f>
        <v/>
      </c>
      <c r="U238" s="18">
        <f>IF($Z238="","",IF(AND(DATE($AD238,12,1)&gt;=$AE238,DATE($AD238,12,1)&lt;=$AF238),ROUND($AG238,2),0))</f>
        <v/>
      </c>
      <c r="V238" s="7">
        <f>IF($Z238="C","Generated from "&amp;INDEX(Contracts!$A$2:$A$151,$AB238),IF($Z238="A","Generated from "&amp;INDEX(Fixed_Assets!$A$2:$A$201,$AB238),IF($Z238="F","Generated from "&amp;INDEX(FTE_Allocation!$A$2:$A$201,$AB238),"")))</f>
        <v/>
      </c>
      <c r="X238" s="19">
        <f>IF($Z238="","",SUM(J238:U238))</f>
        <v/>
      </c>
      <c r="Y238" s="20">
        <f>ROW()-1</f>
        <v/>
      </c>
      <c r="Z238" s="20">
        <f>IF($Y238&lt;=Settings!$B$4*3,"C",IF($Y238&lt;=(Settings!$B$4+Settings!$B$5)*3,"A",IF($Y238&lt;=(Settings!$B$4+Settings!$B$5+Settings!$B$6)*3,"F","")))</f>
        <v/>
      </c>
      <c r="AA238" s="20">
        <f>IF($Z238="C",$Y238,IF($Z238="A",$Y238-Settings!$B$4*3,IF($Z238="F",$Y238-(Settings!$B$4+Settings!$B$5)*3,"")))</f>
        <v/>
      </c>
      <c r="AB238" s="20">
        <f>IF($Z238="","",INT(($AA238-1)/3)+1)</f>
        <v/>
      </c>
      <c r="AC238" s="20">
        <f>IF($Z238="","",MOD($AA238-1,3)+1)</f>
        <v/>
      </c>
      <c r="AD238" s="20">
        <f>IF($Z238="","",Settings!$B$2+$AC238-1)</f>
        <v/>
      </c>
      <c r="AE238" s="21">
        <f>IF($Z238="C",DATE(YEAR(INDEX(Contracts!$J$2:$J$151,$AB238)),MONTH(INDEX(Contracts!$J$2:$J$151,$AB238)),1),IF($Z238="A",DATE(YEAR(INDEX(Fixed_Assets!$G$2:$G$201,$AB238)),MONTH(INDEX(Fixed_Assets!$G$2:$G$201,$AB238)),1),IF($Z238="F",DATE(YEAR(MAX(N(INDEX(Workforce!$I$2:$I$151,MATCH(INDEX(FTE_Allocation!$A$2:$A$201,$AB238),Workforce!$A$2:$A$151,0))),N(INDEX(FTE_Allocation!$I$2:$I$201,$AB238)))),MONTH(MAX(N(INDEX(Workforce!$I$2:$I$151,MATCH(INDEX(FTE_Allocation!$A$2:$A$201,$AB238),Workforce!$A$2:$A$151,0))),N(INDEX(FTE_Allocation!$I$2:$I$201,$AB238)))),1),"")))</f>
        <v/>
      </c>
      <c r="AF238" s="21">
        <f>IF($Z238="C",IF(INDEX(Contracts!$I$2:$I$151,$AB238)="PREPAID",EDATE(DATE(YEAR(INDEX(Contracts!$J$2:$J$151,$AB238)),MONTH(INDEX(Contracts!$J$2:$J$151,$AB238)),1),IF(INDEX(Contracts!$N$2:$N$151,$AB238)="",12,INDEX(Contracts!$N$2:$N$151,$AB238))-1),IF(INDEX(Contracts!$I$2:$I$151,$AB238)="MONTHLY",IF(INDEX(Contracts!$K$2:$K$151,$AB238)="",2958101,INDEX(Contracts!$K$2:$K$151,$AB238)),0)),IF($Z238="A",EDATE(DATE(YEAR(INDEX(Fixed_Assets!$G$2:$G$201,$AB238)),MONTH(INDEX(Fixed_Assets!$G$2:$G$201,$AB238)),1),INDEX(Fixed_Assets!$J$2:$J$201,$AB238)-1),IF($Z238="F",MIN(IF(INDEX(Workforce!$J$2:$J$151,MATCH(INDEX(FTE_Allocation!$A$2:$A$201,$AB238),Workforce!$A$2:$A$151,0))="",2958101,INDEX(Workforce!$J$2:$J$151,MATCH(INDEX(FTE_Allocation!$A$2:$A$201,$AB238),Workforce!$A$2:$A$151,0))),IF(INDEX(FTE_Allocation!$J$2:$J$201,$AB238)="",2958101,INDEX(FTE_Allocation!$J$2:$J$201,$AB238))),"")))</f>
        <v/>
      </c>
      <c r="AG238" s="19">
        <f>IF($Z238="C",IF(INDEX(Contracts!$I$2:$I$151,$AB238)="PREPAID",INDEX(Contracts!$M$2:$M$151,$AB238)/IF(INDEX(Contracts!$N$2:$N$151,$AB238)="",12,INDEX(Contracts!$N$2:$N$151,$AB238)),IF(INDEX(Contracts!$I$2:$I$151,$AB238)="MONTHLY",INDEX(Contracts!$M$2:$M$151,$AB238),0))*(1-N(INDEX(Contracts!$O$2:$O$151,$AB238))),IF($Z238="A",INDEX(Fixed_Assets!$H$2:$H$201,$AB238)/INDEX(Fixed_Assets!$J$2:$J$201,$AB238),IF($Z238="F",INDEX(Workforce!$F$2:$F$151,MATCH(INDEX(FTE_Allocation!$A$2:$A$201,$AB238),Workforce!$A$2:$A$151,0))*N(INDEX(FTE_Allocation!$F$2:$H$201,$AB238,$AC238)),"")))</f>
        <v/>
      </c>
    </row>
    <row r="239">
      <c r="A239" s="7">
        <f>IF($Z239="","",$AD239)</f>
        <v/>
      </c>
      <c r="B239" s="7">
        <f>IF($Z239="C",INDEX(Contracts!$D$2:$D$151,$AB239)&amp;"",IF($Z239="A",INDEX(Fixed_Assets!$C$2:$C$201,$AB239)&amp;"",IF($Z239="F",INDEX(Workforce!$B$2:$B$151,MATCH(INDEX(FTE_Allocation!$A$2:$A$201,$AB239),Workforce!$A$2:$A$151,0))&amp;"","")))</f>
        <v/>
      </c>
      <c r="C239" s="7">
        <f>IF($Z239="C",INDEX(Contracts!$E$2:$E$151,$AB239)&amp;"",IF($Z239="A",INDEX(Fixed_Assets!$D$2:$D$201,$AB239)&amp;"",IF($Z239="F",INDEX(FTE_Allocation!$C$2:$C$201,$AB239)&amp;"","")))</f>
        <v/>
      </c>
      <c r="D239" s="7">
        <f>IF($Z239="C",INDEX(Contracts!$B$2:$B$151,$AB239)&amp;"",IF($Z239="A",INDEX(Fixed_Assets!$B$2:$B$201,$AB239)&amp;"",IF($Z239="F",INDEX(FTE_Allocation!$B$2:$B$201,$AB239)&amp;"","")))</f>
        <v/>
      </c>
      <c r="E239" s="7">
        <f>IF($Z239="C",INDEX(Contracts!$P$2:$P$151,$AB239)&amp;"",IF($Z239="A",INDEX(Fixed_Assets!$K$2:$K$201,$AB239)&amp;"",IF($Z239="F",IF(INDEX(FTE_Allocation!$D$2:$D$201,$AB239)="PROJECT",IFERROR(INDEX(Projects!$D:$D,MATCH(INDEX(FTE_Allocation!$E$2:$E$201,$AB239),Projects!$A:$A,0))&amp;"","#PROJECT?"),INDEX(FTE_Allocation!$E$2:$E$201,$AB239)&amp;""),"")))</f>
        <v/>
      </c>
      <c r="F239" s="7">
        <f>IF($Z239="C",INDEX(Contracts!$Q$2:$Q$151,$AB239)&amp;"",IF($Z239="A",INDEX(Fixed_Assets!$L$2:$L$201,$AB239)&amp;"",IF($Z239="F",INDEX(Workforce!$K$2:$K$151,MATCH(INDEX(FTE_Allocation!$A$2:$A$201,$AB239),Workforce!$A$2:$A$151,0))&amp;"","")))</f>
        <v/>
      </c>
      <c r="G239" s="7">
        <f>IF($Z239="C",INDEX(Contracts!$F$2:$F$151,$AB239)&amp;" / "&amp;INDEX(Contracts!$G$2:$G$151,$AB239),IF($Z239="A",INDEX(Fixed_Assets!$E$2:$E$201,$AB239)&amp;"",IF($Z239="F","Personnel "&amp;INDEX(FTE_Allocation!$A$2:$A$201,$AB239)&amp;IF(INDEX(FTE_Allocation!$D$2:$D$201,$AB239)="PROJECT"," ("&amp;INDEX(FTE_Allocation!$E$2:$E$201,$AB239)&amp;")",""),"")))</f>
        <v/>
      </c>
      <c r="H239" s="7">
        <f>IF($Z239="C","CONTRACT",IF($Z239="A","ASSET",IF($Z239="F","WORKFORCE","")))</f>
        <v/>
      </c>
      <c r="I239" s="7">
        <f>IF($Z239="C",INDEX(Contracts!$L$2:$L$151,$AB239)&amp;"",IF($Z239="A",INDEX(Fixed_Assets!$I$2:$I$201,$AB239)&amp;"",IF($Z239="F",INDEX(Workforce!$G$2:$G$151,MATCH(INDEX(FTE_Allocation!$A$2:$A$201,$AB239),Workforce!$A$2:$A$151,0))&amp;"","")))</f>
        <v/>
      </c>
      <c r="J239" s="18">
        <f>IF($Z239="","",IF(AND(DATE($AD239,1,1)&gt;=$AE239,DATE($AD239,1,1)&lt;=$AF239),ROUND($AG239,2),0))</f>
        <v/>
      </c>
      <c r="K239" s="18">
        <f>IF($Z239="","",IF(AND(DATE($AD239,2,1)&gt;=$AE239,DATE($AD239,2,1)&lt;=$AF239),ROUND($AG239,2),0))</f>
        <v/>
      </c>
      <c r="L239" s="18">
        <f>IF($Z239="","",IF(AND(DATE($AD239,3,1)&gt;=$AE239,DATE($AD239,3,1)&lt;=$AF239),ROUND($AG239,2),0))</f>
        <v/>
      </c>
      <c r="M239" s="18">
        <f>IF($Z239="","",IF(AND(DATE($AD239,4,1)&gt;=$AE239,DATE($AD239,4,1)&lt;=$AF239),ROUND($AG239,2),0))</f>
        <v/>
      </c>
      <c r="N239" s="18">
        <f>IF($Z239="","",IF(AND(DATE($AD239,5,1)&gt;=$AE239,DATE($AD239,5,1)&lt;=$AF239),ROUND($AG239,2),0))</f>
        <v/>
      </c>
      <c r="O239" s="18">
        <f>IF($Z239="","",IF(AND(DATE($AD239,6,1)&gt;=$AE239,DATE($AD239,6,1)&lt;=$AF239),ROUND($AG239,2),0))</f>
        <v/>
      </c>
      <c r="P239" s="18">
        <f>IF($Z239="","",IF(AND(DATE($AD239,7,1)&gt;=$AE239,DATE($AD239,7,1)&lt;=$AF239),ROUND($AG239,2),0))</f>
        <v/>
      </c>
      <c r="Q239" s="18">
        <f>IF($Z239="","",IF(AND(DATE($AD239,8,1)&gt;=$AE239,DATE($AD239,8,1)&lt;=$AF239),ROUND($AG239,2),0))</f>
        <v/>
      </c>
      <c r="R239" s="18">
        <f>IF($Z239="","",IF(AND(DATE($AD239,9,1)&gt;=$AE239,DATE($AD239,9,1)&lt;=$AF239),ROUND($AG239,2),0))</f>
        <v/>
      </c>
      <c r="S239" s="18">
        <f>IF($Z239="","",IF(AND(DATE($AD239,10,1)&gt;=$AE239,DATE($AD239,10,1)&lt;=$AF239),ROUND($AG239,2),0))</f>
        <v/>
      </c>
      <c r="T239" s="18">
        <f>IF($Z239="","",IF(AND(DATE($AD239,11,1)&gt;=$AE239,DATE($AD239,11,1)&lt;=$AF239),ROUND($AG239,2),0))</f>
        <v/>
      </c>
      <c r="U239" s="18">
        <f>IF($Z239="","",IF(AND(DATE($AD239,12,1)&gt;=$AE239,DATE($AD239,12,1)&lt;=$AF239),ROUND($AG239,2),0))</f>
        <v/>
      </c>
      <c r="V239" s="7">
        <f>IF($Z239="C","Generated from "&amp;INDEX(Contracts!$A$2:$A$151,$AB239),IF($Z239="A","Generated from "&amp;INDEX(Fixed_Assets!$A$2:$A$201,$AB239),IF($Z239="F","Generated from "&amp;INDEX(FTE_Allocation!$A$2:$A$201,$AB239),"")))</f>
        <v/>
      </c>
      <c r="X239" s="19">
        <f>IF($Z239="","",SUM(J239:U239))</f>
        <v/>
      </c>
      <c r="Y239" s="20">
        <f>ROW()-1</f>
        <v/>
      </c>
      <c r="Z239" s="20">
        <f>IF($Y239&lt;=Settings!$B$4*3,"C",IF($Y239&lt;=(Settings!$B$4+Settings!$B$5)*3,"A",IF($Y239&lt;=(Settings!$B$4+Settings!$B$5+Settings!$B$6)*3,"F","")))</f>
        <v/>
      </c>
      <c r="AA239" s="20">
        <f>IF($Z239="C",$Y239,IF($Z239="A",$Y239-Settings!$B$4*3,IF($Z239="F",$Y239-(Settings!$B$4+Settings!$B$5)*3,"")))</f>
        <v/>
      </c>
      <c r="AB239" s="20">
        <f>IF($Z239="","",INT(($AA239-1)/3)+1)</f>
        <v/>
      </c>
      <c r="AC239" s="20">
        <f>IF($Z239="","",MOD($AA239-1,3)+1)</f>
        <v/>
      </c>
      <c r="AD239" s="20">
        <f>IF($Z239="","",Settings!$B$2+$AC239-1)</f>
        <v/>
      </c>
      <c r="AE239" s="21">
        <f>IF($Z239="C",DATE(YEAR(INDEX(Contracts!$J$2:$J$151,$AB239)),MONTH(INDEX(Contracts!$J$2:$J$151,$AB239)),1),IF($Z239="A",DATE(YEAR(INDEX(Fixed_Assets!$G$2:$G$201,$AB239)),MONTH(INDEX(Fixed_Assets!$G$2:$G$201,$AB239)),1),IF($Z239="F",DATE(YEAR(MAX(N(INDEX(Workforce!$I$2:$I$151,MATCH(INDEX(FTE_Allocation!$A$2:$A$201,$AB239),Workforce!$A$2:$A$151,0))),N(INDEX(FTE_Allocation!$I$2:$I$201,$AB239)))),MONTH(MAX(N(INDEX(Workforce!$I$2:$I$151,MATCH(INDEX(FTE_Allocation!$A$2:$A$201,$AB239),Workforce!$A$2:$A$151,0))),N(INDEX(FTE_Allocation!$I$2:$I$201,$AB239)))),1),"")))</f>
        <v/>
      </c>
      <c r="AF239" s="21">
        <f>IF($Z239="C",IF(INDEX(Contracts!$I$2:$I$151,$AB239)="PREPAID",EDATE(DATE(YEAR(INDEX(Contracts!$J$2:$J$151,$AB239)),MONTH(INDEX(Contracts!$J$2:$J$151,$AB239)),1),IF(INDEX(Contracts!$N$2:$N$151,$AB239)="",12,INDEX(Contracts!$N$2:$N$151,$AB239))-1),IF(INDEX(Contracts!$I$2:$I$151,$AB239)="MONTHLY",IF(INDEX(Contracts!$K$2:$K$151,$AB239)="",2958101,INDEX(Contracts!$K$2:$K$151,$AB239)),0)),IF($Z239="A",EDATE(DATE(YEAR(INDEX(Fixed_Assets!$G$2:$G$201,$AB239)),MONTH(INDEX(Fixed_Assets!$G$2:$G$201,$AB239)),1),INDEX(Fixed_Assets!$J$2:$J$201,$AB239)-1),IF($Z239="F",MIN(IF(INDEX(Workforce!$J$2:$J$151,MATCH(INDEX(FTE_Allocation!$A$2:$A$201,$AB239),Workforce!$A$2:$A$151,0))="",2958101,INDEX(Workforce!$J$2:$J$151,MATCH(INDEX(FTE_Allocation!$A$2:$A$201,$AB239),Workforce!$A$2:$A$151,0))),IF(INDEX(FTE_Allocation!$J$2:$J$201,$AB239)="",2958101,INDEX(FTE_Allocation!$J$2:$J$201,$AB239))),"")))</f>
        <v/>
      </c>
      <c r="AG239" s="19">
        <f>IF($Z239="C",IF(INDEX(Contracts!$I$2:$I$151,$AB239)="PREPAID",INDEX(Contracts!$M$2:$M$151,$AB239)/IF(INDEX(Contracts!$N$2:$N$151,$AB239)="",12,INDEX(Contracts!$N$2:$N$151,$AB239)),IF(INDEX(Contracts!$I$2:$I$151,$AB239)="MONTHLY",INDEX(Contracts!$M$2:$M$151,$AB239),0))*(1-N(INDEX(Contracts!$O$2:$O$151,$AB239))),IF($Z239="A",INDEX(Fixed_Assets!$H$2:$H$201,$AB239)/INDEX(Fixed_Assets!$J$2:$J$201,$AB239),IF($Z239="F",INDEX(Workforce!$F$2:$F$151,MATCH(INDEX(FTE_Allocation!$A$2:$A$201,$AB239),Workforce!$A$2:$A$151,0))*N(INDEX(FTE_Allocation!$F$2:$H$201,$AB239,$AC239)),"")))</f>
        <v/>
      </c>
    </row>
    <row r="240">
      <c r="A240" s="7">
        <f>IF($Z240="","",$AD240)</f>
        <v/>
      </c>
      <c r="B240" s="7">
        <f>IF($Z240="C",INDEX(Contracts!$D$2:$D$151,$AB240)&amp;"",IF($Z240="A",INDEX(Fixed_Assets!$C$2:$C$201,$AB240)&amp;"",IF($Z240="F",INDEX(Workforce!$B$2:$B$151,MATCH(INDEX(FTE_Allocation!$A$2:$A$201,$AB240),Workforce!$A$2:$A$151,0))&amp;"","")))</f>
        <v/>
      </c>
      <c r="C240" s="7">
        <f>IF($Z240="C",INDEX(Contracts!$E$2:$E$151,$AB240)&amp;"",IF($Z240="A",INDEX(Fixed_Assets!$D$2:$D$201,$AB240)&amp;"",IF($Z240="F",INDEX(FTE_Allocation!$C$2:$C$201,$AB240)&amp;"","")))</f>
        <v/>
      </c>
      <c r="D240" s="7">
        <f>IF($Z240="C",INDEX(Contracts!$B$2:$B$151,$AB240)&amp;"",IF($Z240="A",INDEX(Fixed_Assets!$B$2:$B$201,$AB240)&amp;"",IF($Z240="F",INDEX(FTE_Allocation!$B$2:$B$201,$AB240)&amp;"","")))</f>
        <v/>
      </c>
      <c r="E240" s="7">
        <f>IF($Z240="C",INDEX(Contracts!$P$2:$P$151,$AB240)&amp;"",IF($Z240="A",INDEX(Fixed_Assets!$K$2:$K$201,$AB240)&amp;"",IF($Z240="F",IF(INDEX(FTE_Allocation!$D$2:$D$201,$AB240)="PROJECT",IFERROR(INDEX(Projects!$D:$D,MATCH(INDEX(FTE_Allocation!$E$2:$E$201,$AB240),Projects!$A:$A,0))&amp;"","#PROJECT?"),INDEX(FTE_Allocation!$E$2:$E$201,$AB240)&amp;""),"")))</f>
        <v/>
      </c>
      <c r="F240" s="7">
        <f>IF($Z240="C",INDEX(Contracts!$Q$2:$Q$151,$AB240)&amp;"",IF($Z240="A",INDEX(Fixed_Assets!$L$2:$L$201,$AB240)&amp;"",IF($Z240="F",INDEX(Workforce!$K$2:$K$151,MATCH(INDEX(FTE_Allocation!$A$2:$A$201,$AB240),Workforce!$A$2:$A$151,0))&amp;"","")))</f>
        <v/>
      </c>
      <c r="G240" s="7">
        <f>IF($Z240="C",INDEX(Contracts!$F$2:$F$151,$AB240)&amp;" / "&amp;INDEX(Contracts!$G$2:$G$151,$AB240),IF($Z240="A",INDEX(Fixed_Assets!$E$2:$E$201,$AB240)&amp;"",IF($Z240="F","Personnel "&amp;INDEX(FTE_Allocation!$A$2:$A$201,$AB240)&amp;IF(INDEX(FTE_Allocation!$D$2:$D$201,$AB240)="PROJECT"," ("&amp;INDEX(FTE_Allocation!$E$2:$E$201,$AB240)&amp;")",""),"")))</f>
        <v/>
      </c>
      <c r="H240" s="7">
        <f>IF($Z240="C","CONTRACT",IF($Z240="A","ASSET",IF($Z240="F","WORKFORCE","")))</f>
        <v/>
      </c>
      <c r="I240" s="7">
        <f>IF($Z240="C",INDEX(Contracts!$L$2:$L$151,$AB240)&amp;"",IF($Z240="A",INDEX(Fixed_Assets!$I$2:$I$201,$AB240)&amp;"",IF($Z240="F",INDEX(Workforce!$G$2:$G$151,MATCH(INDEX(FTE_Allocation!$A$2:$A$201,$AB240),Workforce!$A$2:$A$151,0))&amp;"","")))</f>
        <v/>
      </c>
      <c r="J240" s="18">
        <f>IF($Z240="","",IF(AND(DATE($AD240,1,1)&gt;=$AE240,DATE($AD240,1,1)&lt;=$AF240),ROUND($AG240,2),0))</f>
        <v/>
      </c>
      <c r="K240" s="18">
        <f>IF($Z240="","",IF(AND(DATE($AD240,2,1)&gt;=$AE240,DATE($AD240,2,1)&lt;=$AF240),ROUND($AG240,2),0))</f>
        <v/>
      </c>
      <c r="L240" s="18">
        <f>IF($Z240="","",IF(AND(DATE($AD240,3,1)&gt;=$AE240,DATE($AD240,3,1)&lt;=$AF240),ROUND($AG240,2),0))</f>
        <v/>
      </c>
      <c r="M240" s="18">
        <f>IF($Z240="","",IF(AND(DATE($AD240,4,1)&gt;=$AE240,DATE($AD240,4,1)&lt;=$AF240),ROUND($AG240,2),0))</f>
        <v/>
      </c>
      <c r="N240" s="18">
        <f>IF($Z240="","",IF(AND(DATE($AD240,5,1)&gt;=$AE240,DATE($AD240,5,1)&lt;=$AF240),ROUND($AG240,2),0))</f>
        <v/>
      </c>
      <c r="O240" s="18">
        <f>IF($Z240="","",IF(AND(DATE($AD240,6,1)&gt;=$AE240,DATE($AD240,6,1)&lt;=$AF240),ROUND($AG240,2),0))</f>
        <v/>
      </c>
      <c r="P240" s="18">
        <f>IF($Z240="","",IF(AND(DATE($AD240,7,1)&gt;=$AE240,DATE($AD240,7,1)&lt;=$AF240),ROUND($AG240,2),0))</f>
        <v/>
      </c>
      <c r="Q240" s="18">
        <f>IF($Z240="","",IF(AND(DATE($AD240,8,1)&gt;=$AE240,DATE($AD240,8,1)&lt;=$AF240),ROUND($AG240,2),0))</f>
        <v/>
      </c>
      <c r="R240" s="18">
        <f>IF($Z240="","",IF(AND(DATE($AD240,9,1)&gt;=$AE240,DATE($AD240,9,1)&lt;=$AF240),ROUND($AG240,2),0))</f>
        <v/>
      </c>
      <c r="S240" s="18">
        <f>IF($Z240="","",IF(AND(DATE($AD240,10,1)&gt;=$AE240,DATE($AD240,10,1)&lt;=$AF240),ROUND($AG240,2),0))</f>
        <v/>
      </c>
      <c r="T240" s="18">
        <f>IF($Z240="","",IF(AND(DATE($AD240,11,1)&gt;=$AE240,DATE($AD240,11,1)&lt;=$AF240),ROUND($AG240,2),0))</f>
        <v/>
      </c>
      <c r="U240" s="18">
        <f>IF($Z240="","",IF(AND(DATE($AD240,12,1)&gt;=$AE240,DATE($AD240,12,1)&lt;=$AF240),ROUND($AG240,2),0))</f>
        <v/>
      </c>
      <c r="V240" s="7">
        <f>IF($Z240="C","Generated from "&amp;INDEX(Contracts!$A$2:$A$151,$AB240),IF($Z240="A","Generated from "&amp;INDEX(Fixed_Assets!$A$2:$A$201,$AB240),IF($Z240="F","Generated from "&amp;INDEX(FTE_Allocation!$A$2:$A$201,$AB240),"")))</f>
        <v/>
      </c>
      <c r="X240" s="19">
        <f>IF($Z240="","",SUM(J240:U240))</f>
        <v/>
      </c>
      <c r="Y240" s="20">
        <f>ROW()-1</f>
        <v/>
      </c>
      <c r="Z240" s="20">
        <f>IF($Y240&lt;=Settings!$B$4*3,"C",IF($Y240&lt;=(Settings!$B$4+Settings!$B$5)*3,"A",IF($Y240&lt;=(Settings!$B$4+Settings!$B$5+Settings!$B$6)*3,"F","")))</f>
        <v/>
      </c>
      <c r="AA240" s="20">
        <f>IF($Z240="C",$Y240,IF($Z240="A",$Y240-Settings!$B$4*3,IF($Z240="F",$Y240-(Settings!$B$4+Settings!$B$5)*3,"")))</f>
        <v/>
      </c>
      <c r="AB240" s="20">
        <f>IF($Z240="","",INT(($AA240-1)/3)+1)</f>
        <v/>
      </c>
      <c r="AC240" s="20">
        <f>IF($Z240="","",MOD($AA240-1,3)+1)</f>
        <v/>
      </c>
      <c r="AD240" s="20">
        <f>IF($Z240="","",Settings!$B$2+$AC240-1)</f>
        <v/>
      </c>
      <c r="AE240" s="21">
        <f>IF($Z240="C",DATE(YEAR(INDEX(Contracts!$J$2:$J$151,$AB240)),MONTH(INDEX(Contracts!$J$2:$J$151,$AB240)),1),IF($Z240="A",DATE(YEAR(INDEX(Fixed_Assets!$G$2:$G$201,$AB240)),MONTH(INDEX(Fixed_Assets!$G$2:$G$201,$AB240)),1),IF($Z240="F",DATE(YEAR(MAX(N(INDEX(Workforce!$I$2:$I$151,MATCH(INDEX(FTE_Allocation!$A$2:$A$201,$AB240),Workforce!$A$2:$A$151,0))),N(INDEX(FTE_Allocation!$I$2:$I$201,$AB240)))),MONTH(MAX(N(INDEX(Workforce!$I$2:$I$151,MATCH(INDEX(FTE_Allocation!$A$2:$A$201,$AB240),Workforce!$A$2:$A$151,0))),N(INDEX(FTE_Allocation!$I$2:$I$201,$AB240)))),1),"")))</f>
        <v/>
      </c>
      <c r="AF240" s="21">
        <f>IF($Z240="C",IF(INDEX(Contracts!$I$2:$I$151,$AB240)="PREPAID",EDATE(DATE(YEAR(INDEX(Contracts!$J$2:$J$151,$AB240)),MONTH(INDEX(Contracts!$J$2:$J$151,$AB240)),1),IF(INDEX(Contracts!$N$2:$N$151,$AB240)="",12,INDEX(Contracts!$N$2:$N$151,$AB240))-1),IF(INDEX(Contracts!$I$2:$I$151,$AB240)="MONTHLY",IF(INDEX(Contracts!$K$2:$K$151,$AB240)="",2958101,INDEX(Contracts!$K$2:$K$151,$AB240)),0)),IF($Z240="A",EDATE(DATE(YEAR(INDEX(Fixed_Assets!$G$2:$G$201,$AB240)),MONTH(INDEX(Fixed_Assets!$G$2:$G$201,$AB240)),1),INDEX(Fixed_Assets!$J$2:$J$201,$AB240)-1),IF($Z240="F",MIN(IF(INDEX(Workforce!$J$2:$J$151,MATCH(INDEX(FTE_Allocation!$A$2:$A$201,$AB240),Workforce!$A$2:$A$151,0))="",2958101,INDEX(Workforce!$J$2:$J$151,MATCH(INDEX(FTE_Allocation!$A$2:$A$201,$AB240),Workforce!$A$2:$A$151,0))),IF(INDEX(FTE_Allocation!$J$2:$J$201,$AB240)="",2958101,INDEX(FTE_Allocation!$J$2:$J$201,$AB240))),"")))</f>
        <v/>
      </c>
      <c r="AG240" s="19">
        <f>IF($Z240="C",IF(INDEX(Contracts!$I$2:$I$151,$AB240)="PREPAID",INDEX(Contracts!$M$2:$M$151,$AB240)/IF(INDEX(Contracts!$N$2:$N$151,$AB240)="",12,INDEX(Contracts!$N$2:$N$151,$AB240)),IF(INDEX(Contracts!$I$2:$I$151,$AB240)="MONTHLY",INDEX(Contracts!$M$2:$M$151,$AB240),0))*(1-N(INDEX(Contracts!$O$2:$O$151,$AB240))),IF($Z240="A",INDEX(Fixed_Assets!$H$2:$H$201,$AB240)/INDEX(Fixed_Assets!$J$2:$J$201,$AB240),IF($Z240="F",INDEX(Workforce!$F$2:$F$151,MATCH(INDEX(FTE_Allocation!$A$2:$A$201,$AB240),Workforce!$A$2:$A$151,0))*N(INDEX(FTE_Allocation!$F$2:$H$201,$AB240,$AC240)),"")))</f>
        <v/>
      </c>
    </row>
    <row r="241">
      <c r="A241" s="7">
        <f>IF($Z241="","",$AD241)</f>
        <v/>
      </c>
      <c r="B241" s="7">
        <f>IF($Z241="C",INDEX(Contracts!$D$2:$D$151,$AB241)&amp;"",IF($Z241="A",INDEX(Fixed_Assets!$C$2:$C$201,$AB241)&amp;"",IF($Z241="F",INDEX(Workforce!$B$2:$B$151,MATCH(INDEX(FTE_Allocation!$A$2:$A$201,$AB241),Workforce!$A$2:$A$151,0))&amp;"","")))</f>
        <v/>
      </c>
      <c r="C241" s="7">
        <f>IF($Z241="C",INDEX(Contracts!$E$2:$E$151,$AB241)&amp;"",IF($Z241="A",INDEX(Fixed_Assets!$D$2:$D$201,$AB241)&amp;"",IF($Z241="F",INDEX(FTE_Allocation!$C$2:$C$201,$AB241)&amp;"","")))</f>
        <v/>
      </c>
      <c r="D241" s="7">
        <f>IF($Z241="C",INDEX(Contracts!$B$2:$B$151,$AB241)&amp;"",IF($Z241="A",INDEX(Fixed_Assets!$B$2:$B$201,$AB241)&amp;"",IF($Z241="F",INDEX(FTE_Allocation!$B$2:$B$201,$AB241)&amp;"","")))</f>
        <v/>
      </c>
      <c r="E241" s="7">
        <f>IF($Z241="C",INDEX(Contracts!$P$2:$P$151,$AB241)&amp;"",IF($Z241="A",INDEX(Fixed_Assets!$K$2:$K$201,$AB241)&amp;"",IF($Z241="F",IF(INDEX(FTE_Allocation!$D$2:$D$201,$AB241)="PROJECT",IFERROR(INDEX(Projects!$D:$D,MATCH(INDEX(FTE_Allocation!$E$2:$E$201,$AB241),Projects!$A:$A,0))&amp;"","#PROJECT?"),INDEX(FTE_Allocation!$E$2:$E$201,$AB241)&amp;""),"")))</f>
        <v/>
      </c>
      <c r="F241" s="7">
        <f>IF($Z241="C",INDEX(Contracts!$Q$2:$Q$151,$AB241)&amp;"",IF($Z241="A",INDEX(Fixed_Assets!$L$2:$L$201,$AB241)&amp;"",IF($Z241="F",INDEX(Workforce!$K$2:$K$151,MATCH(INDEX(FTE_Allocation!$A$2:$A$201,$AB241),Workforce!$A$2:$A$151,0))&amp;"","")))</f>
        <v/>
      </c>
      <c r="G241" s="7">
        <f>IF($Z241="C",INDEX(Contracts!$F$2:$F$151,$AB241)&amp;" / "&amp;INDEX(Contracts!$G$2:$G$151,$AB241),IF($Z241="A",INDEX(Fixed_Assets!$E$2:$E$201,$AB241)&amp;"",IF($Z241="F","Personnel "&amp;INDEX(FTE_Allocation!$A$2:$A$201,$AB241)&amp;IF(INDEX(FTE_Allocation!$D$2:$D$201,$AB241)="PROJECT"," ("&amp;INDEX(FTE_Allocation!$E$2:$E$201,$AB241)&amp;")",""),"")))</f>
        <v/>
      </c>
      <c r="H241" s="7">
        <f>IF($Z241="C","CONTRACT",IF($Z241="A","ASSET",IF($Z241="F","WORKFORCE","")))</f>
        <v/>
      </c>
      <c r="I241" s="7">
        <f>IF($Z241="C",INDEX(Contracts!$L$2:$L$151,$AB241)&amp;"",IF($Z241="A",INDEX(Fixed_Assets!$I$2:$I$201,$AB241)&amp;"",IF($Z241="F",INDEX(Workforce!$G$2:$G$151,MATCH(INDEX(FTE_Allocation!$A$2:$A$201,$AB241),Workforce!$A$2:$A$151,0))&amp;"","")))</f>
        <v/>
      </c>
      <c r="J241" s="18">
        <f>IF($Z241="","",IF(AND(DATE($AD241,1,1)&gt;=$AE241,DATE($AD241,1,1)&lt;=$AF241),ROUND($AG241,2),0))</f>
        <v/>
      </c>
      <c r="K241" s="18">
        <f>IF($Z241="","",IF(AND(DATE($AD241,2,1)&gt;=$AE241,DATE($AD241,2,1)&lt;=$AF241),ROUND($AG241,2),0))</f>
        <v/>
      </c>
      <c r="L241" s="18">
        <f>IF($Z241="","",IF(AND(DATE($AD241,3,1)&gt;=$AE241,DATE($AD241,3,1)&lt;=$AF241),ROUND($AG241,2),0))</f>
        <v/>
      </c>
      <c r="M241" s="18">
        <f>IF($Z241="","",IF(AND(DATE($AD241,4,1)&gt;=$AE241,DATE($AD241,4,1)&lt;=$AF241),ROUND($AG241,2),0))</f>
        <v/>
      </c>
      <c r="N241" s="18">
        <f>IF($Z241="","",IF(AND(DATE($AD241,5,1)&gt;=$AE241,DATE($AD241,5,1)&lt;=$AF241),ROUND($AG241,2),0))</f>
        <v/>
      </c>
      <c r="O241" s="18">
        <f>IF($Z241="","",IF(AND(DATE($AD241,6,1)&gt;=$AE241,DATE($AD241,6,1)&lt;=$AF241),ROUND($AG241,2),0))</f>
        <v/>
      </c>
      <c r="P241" s="18">
        <f>IF($Z241="","",IF(AND(DATE($AD241,7,1)&gt;=$AE241,DATE($AD241,7,1)&lt;=$AF241),ROUND($AG241,2),0))</f>
        <v/>
      </c>
      <c r="Q241" s="18">
        <f>IF($Z241="","",IF(AND(DATE($AD241,8,1)&gt;=$AE241,DATE($AD241,8,1)&lt;=$AF241),ROUND($AG241,2),0))</f>
        <v/>
      </c>
      <c r="R241" s="18">
        <f>IF($Z241="","",IF(AND(DATE($AD241,9,1)&gt;=$AE241,DATE($AD241,9,1)&lt;=$AF241),ROUND($AG241,2),0))</f>
        <v/>
      </c>
      <c r="S241" s="18">
        <f>IF($Z241="","",IF(AND(DATE($AD241,10,1)&gt;=$AE241,DATE($AD241,10,1)&lt;=$AF241),ROUND($AG241,2),0))</f>
        <v/>
      </c>
      <c r="T241" s="18">
        <f>IF($Z241="","",IF(AND(DATE($AD241,11,1)&gt;=$AE241,DATE($AD241,11,1)&lt;=$AF241),ROUND($AG241,2),0))</f>
        <v/>
      </c>
      <c r="U241" s="18">
        <f>IF($Z241="","",IF(AND(DATE($AD241,12,1)&gt;=$AE241,DATE($AD241,12,1)&lt;=$AF241),ROUND($AG241,2),0))</f>
        <v/>
      </c>
      <c r="V241" s="7">
        <f>IF($Z241="C","Generated from "&amp;INDEX(Contracts!$A$2:$A$151,$AB241),IF($Z241="A","Generated from "&amp;INDEX(Fixed_Assets!$A$2:$A$201,$AB241),IF($Z241="F","Generated from "&amp;INDEX(FTE_Allocation!$A$2:$A$201,$AB241),"")))</f>
        <v/>
      </c>
      <c r="X241" s="19">
        <f>IF($Z241="","",SUM(J241:U241))</f>
        <v/>
      </c>
      <c r="Y241" s="20">
        <f>ROW()-1</f>
        <v/>
      </c>
      <c r="Z241" s="20">
        <f>IF($Y241&lt;=Settings!$B$4*3,"C",IF($Y241&lt;=(Settings!$B$4+Settings!$B$5)*3,"A",IF($Y241&lt;=(Settings!$B$4+Settings!$B$5+Settings!$B$6)*3,"F","")))</f>
        <v/>
      </c>
      <c r="AA241" s="20">
        <f>IF($Z241="C",$Y241,IF($Z241="A",$Y241-Settings!$B$4*3,IF($Z241="F",$Y241-(Settings!$B$4+Settings!$B$5)*3,"")))</f>
        <v/>
      </c>
      <c r="AB241" s="20">
        <f>IF($Z241="","",INT(($AA241-1)/3)+1)</f>
        <v/>
      </c>
      <c r="AC241" s="20">
        <f>IF($Z241="","",MOD($AA241-1,3)+1)</f>
        <v/>
      </c>
      <c r="AD241" s="20">
        <f>IF($Z241="","",Settings!$B$2+$AC241-1)</f>
        <v/>
      </c>
      <c r="AE241" s="21">
        <f>IF($Z241="C",DATE(YEAR(INDEX(Contracts!$J$2:$J$151,$AB241)),MONTH(INDEX(Contracts!$J$2:$J$151,$AB241)),1),IF($Z241="A",DATE(YEAR(INDEX(Fixed_Assets!$G$2:$G$201,$AB241)),MONTH(INDEX(Fixed_Assets!$G$2:$G$201,$AB241)),1),IF($Z241="F",DATE(YEAR(MAX(N(INDEX(Workforce!$I$2:$I$151,MATCH(INDEX(FTE_Allocation!$A$2:$A$201,$AB241),Workforce!$A$2:$A$151,0))),N(INDEX(FTE_Allocation!$I$2:$I$201,$AB241)))),MONTH(MAX(N(INDEX(Workforce!$I$2:$I$151,MATCH(INDEX(FTE_Allocation!$A$2:$A$201,$AB241),Workforce!$A$2:$A$151,0))),N(INDEX(FTE_Allocation!$I$2:$I$201,$AB241)))),1),"")))</f>
        <v/>
      </c>
      <c r="AF241" s="21">
        <f>IF($Z241="C",IF(INDEX(Contracts!$I$2:$I$151,$AB241)="PREPAID",EDATE(DATE(YEAR(INDEX(Contracts!$J$2:$J$151,$AB241)),MONTH(INDEX(Contracts!$J$2:$J$151,$AB241)),1),IF(INDEX(Contracts!$N$2:$N$151,$AB241)="",12,INDEX(Contracts!$N$2:$N$151,$AB241))-1),IF(INDEX(Contracts!$I$2:$I$151,$AB241)="MONTHLY",IF(INDEX(Contracts!$K$2:$K$151,$AB241)="",2958101,INDEX(Contracts!$K$2:$K$151,$AB241)),0)),IF($Z241="A",EDATE(DATE(YEAR(INDEX(Fixed_Assets!$G$2:$G$201,$AB241)),MONTH(INDEX(Fixed_Assets!$G$2:$G$201,$AB241)),1),INDEX(Fixed_Assets!$J$2:$J$201,$AB241)-1),IF($Z241="F",MIN(IF(INDEX(Workforce!$J$2:$J$151,MATCH(INDEX(FTE_Allocation!$A$2:$A$201,$AB241),Workforce!$A$2:$A$151,0))="",2958101,INDEX(Workforce!$J$2:$J$151,MATCH(INDEX(FTE_Allocation!$A$2:$A$201,$AB241),Workforce!$A$2:$A$151,0))),IF(INDEX(FTE_Allocation!$J$2:$J$201,$AB241)="",2958101,INDEX(FTE_Allocation!$J$2:$J$201,$AB241))),"")))</f>
        <v/>
      </c>
      <c r="AG241" s="19">
        <f>IF($Z241="C",IF(INDEX(Contracts!$I$2:$I$151,$AB241)="PREPAID",INDEX(Contracts!$M$2:$M$151,$AB241)/IF(INDEX(Contracts!$N$2:$N$151,$AB241)="",12,INDEX(Contracts!$N$2:$N$151,$AB241)),IF(INDEX(Contracts!$I$2:$I$151,$AB241)="MONTHLY",INDEX(Contracts!$M$2:$M$151,$AB241),0))*(1-N(INDEX(Contracts!$O$2:$O$151,$AB241))),IF($Z241="A",INDEX(Fixed_Assets!$H$2:$H$201,$AB241)/INDEX(Fixed_Assets!$J$2:$J$201,$AB241),IF($Z241="F",INDEX(Workforce!$F$2:$F$151,MATCH(INDEX(FTE_Allocation!$A$2:$A$201,$AB241),Workforce!$A$2:$A$151,0))*N(INDEX(FTE_Allocation!$F$2:$H$201,$AB241,$AC241)),"")))</f>
        <v/>
      </c>
    </row>
    <row r="242">
      <c r="A242" s="7">
        <f>IF($Z242="","",$AD242)</f>
        <v/>
      </c>
      <c r="B242" s="7">
        <f>IF($Z242="C",INDEX(Contracts!$D$2:$D$151,$AB242)&amp;"",IF($Z242="A",INDEX(Fixed_Assets!$C$2:$C$201,$AB242)&amp;"",IF($Z242="F",INDEX(Workforce!$B$2:$B$151,MATCH(INDEX(FTE_Allocation!$A$2:$A$201,$AB242),Workforce!$A$2:$A$151,0))&amp;"","")))</f>
        <v/>
      </c>
      <c r="C242" s="7">
        <f>IF($Z242="C",INDEX(Contracts!$E$2:$E$151,$AB242)&amp;"",IF($Z242="A",INDEX(Fixed_Assets!$D$2:$D$201,$AB242)&amp;"",IF($Z242="F",INDEX(FTE_Allocation!$C$2:$C$201,$AB242)&amp;"","")))</f>
        <v/>
      </c>
      <c r="D242" s="7">
        <f>IF($Z242="C",INDEX(Contracts!$B$2:$B$151,$AB242)&amp;"",IF($Z242="A",INDEX(Fixed_Assets!$B$2:$B$201,$AB242)&amp;"",IF($Z242="F",INDEX(FTE_Allocation!$B$2:$B$201,$AB242)&amp;"","")))</f>
        <v/>
      </c>
      <c r="E242" s="7">
        <f>IF($Z242="C",INDEX(Contracts!$P$2:$P$151,$AB242)&amp;"",IF($Z242="A",INDEX(Fixed_Assets!$K$2:$K$201,$AB242)&amp;"",IF($Z242="F",IF(INDEX(FTE_Allocation!$D$2:$D$201,$AB242)="PROJECT",IFERROR(INDEX(Projects!$D:$D,MATCH(INDEX(FTE_Allocation!$E$2:$E$201,$AB242),Projects!$A:$A,0))&amp;"","#PROJECT?"),INDEX(FTE_Allocation!$E$2:$E$201,$AB242)&amp;""),"")))</f>
        <v/>
      </c>
      <c r="F242" s="7">
        <f>IF($Z242="C",INDEX(Contracts!$Q$2:$Q$151,$AB242)&amp;"",IF($Z242="A",INDEX(Fixed_Assets!$L$2:$L$201,$AB242)&amp;"",IF($Z242="F",INDEX(Workforce!$K$2:$K$151,MATCH(INDEX(FTE_Allocation!$A$2:$A$201,$AB242),Workforce!$A$2:$A$151,0))&amp;"","")))</f>
        <v/>
      </c>
      <c r="G242" s="7">
        <f>IF($Z242="C",INDEX(Contracts!$F$2:$F$151,$AB242)&amp;" / "&amp;INDEX(Contracts!$G$2:$G$151,$AB242),IF($Z242="A",INDEX(Fixed_Assets!$E$2:$E$201,$AB242)&amp;"",IF($Z242="F","Personnel "&amp;INDEX(FTE_Allocation!$A$2:$A$201,$AB242)&amp;IF(INDEX(FTE_Allocation!$D$2:$D$201,$AB242)="PROJECT"," ("&amp;INDEX(FTE_Allocation!$E$2:$E$201,$AB242)&amp;")",""),"")))</f>
        <v/>
      </c>
      <c r="H242" s="7">
        <f>IF($Z242="C","CONTRACT",IF($Z242="A","ASSET",IF($Z242="F","WORKFORCE","")))</f>
        <v/>
      </c>
      <c r="I242" s="7">
        <f>IF($Z242="C",INDEX(Contracts!$L$2:$L$151,$AB242)&amp;"",IF($Z242="A",INDEX(Fixed_Assets!$I$2:$I$201,$AB242)&amp;"",IF($Z242="F",INDEX(Workforce!$G$2:$G$151,MATCH(INDEX(FTE_Allocation!$A$2:$A$201,$AB242),Workforce!$A$2:$A$151,0))&amp;"","")))</f>
        <v/>
      </c>
      <c r="J242" s="18">
        <f>IF($Z242="","",IF(AND(DATE($AD242,1,1)&gt;=$AE242,DATE($AD242,1,1)&lt;=$AF242),ROUND($AG242,2),0))</f>
        <v/>
      </c>
      <c r="K242" s="18">
        <f>IF($Z242="","",IF(AND(DATE($AD242,2,1)&gt;=$AE242,DATE($AD242,2,1)&lt;=$AF242),ROUND($AG242,2),0))</f>
        <v/>
      </c>
      <c r="L242" s="18">
        <f>IF($Z242="","",IF(AND(DATE($AD242,3,1)&gt;=$AE242,DATE($AD242,3,1)&lt;=$AF242),ROUND($AG242,2),0))</f>
        <v/>
      </c>
      <c r="M242" s="18">
        <f>IF($Z242="","",IF(AND(DATE($AD242,4,1)&gt;=$AE242,DATE($AD242,4,1)&lt;=$AF242),ROUND($AG242,2),0))</f>
        <v/>
      </c>
      <c r="N242" s="18">
        <f>IF($Z242="","",IF(AND(DATE($AD242,5,1)&gt;=$AE242,DATE($AD242,5,1)&lt;=$AF242),ROUND($AG242,2),0))</f>
        <v/>
      </c>
      <c r="O242" s="18">
        <f>IF($Z242="","",IF(AND(DATE($AD242,6,1)&gt;=$AE242,DATE($AD242,6,1)&lt;=$AF242),ROUND($AG242,2),0))</f>
        <v/>
      </c>
      <c r="P242" s="18">
        <f>IF($Z242="","",IF(AND(DATE($AD242,7,1)&gt;=$AE242,DATE($AD242,7,1)&lt;=$AF242),ROUND($AG242,2),0))</f>
        <v/>
      </c>
      <c r="Q242" s="18">
        <f>IF($Z242="","",IF(AND(DATE($AD242,8,1)&gt;=$AE242,DATE($AD242,8,1)&lt;=$AF242),ROUND($AG242,2),0))</f>
        <v/>
      </c>
      <c r="R242" s="18">
        <f>IF($Z242="","",IF(AND(DATE($AD242,9,1)&gt;=$AE242,DATE($AD242,9,1)&lt;=$AF242),ROUND($AG242,2),0))</f>
        <v/>
      </c>
      <c r="S242" s="18">
        <f>IF($Z242="","",IF(AND(DATE($AD242,10,1)&gt;=$AE242,DATE($AD242,10,1)&lt;=$AF242),ROUND($AG242,2),0))</f>
        <v/>
      </c>
      <c r="T242" s="18">
        <f>IF($Z242="","",IF(AND(DATE($AD242,11,1)&gt;=$AE242,DATE($AD242,11,1)&lt;=$AF242),ROUND($AG242,2),0))</f>
        <v/>
      </c>
      <c r="U242" s="18">
        <f>IF($Z242="","",IF(AND(DATE($AD242,12,1)&gt;=$AE242,DATE($AD242,12,1)&lt;=$AF242),ROUND($AG242,2),0))</f>
        <v/>
      </c>
      <c r="V242" s="7">
        <f>IF($Z242="C","Generated from "&amp;INDEX(Contracts!$A$2:$A$151,$AB242),IF($Z242="A","Generated from "&amp;INDEX(Fixed_Assets!$A$2:$A$201,$AB242),IF($Z242="F","Generated from "&amp;INDEX(FTE_Allocation!$A$2:$A$201,$AB242),"")))</f>
        <v/>
      </c>
      <c r="X242" s="19">
        <f>IF($Z242="","",SUM(J242:U242))</f>
        <v/>
      </c>
      <c r="Y242" s="20">
        <f>ROW()-1</f>
        <v/>
      </c>
      <c r="Z242" s="20">
        <f>IF($Y242&lt;=Settings!$B$4*3,"C",IF($Y242&lt;=(Settings!$B$4+Settings!$B$5)*3,"A",IF($Y242&lt;=(Settings!$B$4+Settings!$B$5+Settings!$B$6)*3,"F","")))</f>
        <v/>
      </c>
      <c r="AA242" s="20">
        <f>IF($Z242="C",$Y242,IF($Z242="A",$Y242-Settings!$B$4*3,IF($Z242="F",$Y242-(Settings!$B$4+Settings!$B$5)*3,"")))</f>
        <v/>
      </c>
      <c r="AB242" s="20">
        <f>IF($Z242="","",INT(($AA242-1)/3)+1)</f>
        <v/>
      </c>
      <c r="AC242" s="20">
        <f>IF($Z242="","",MOD($AA242-1,3)+1)</f>
        <v/>
      </c>
      <c r="AD242" s="20">
        <f>IF($Z242="","",Settings!$B$2+$AC242-1)</f>
        <v/>
      </c>
      <c r="AE242" s="21">
        <f>IF($Z242="C",DATE(YEAR(INDEX(Contracts!$J$2:$J$151,$AB242)),MONTH(INDEX(Contracts!$J$2:$J$151,$AB242)),1),IF($Z242="A",DATE(YEAR(INDEX(Fixed_Assets!$G$2:$G$201,$AB242)),MONTH(INDEX(Fixed_Assets!$G$2:$G$201,$AB242)),1),IF($Z242="F",DATE(YEAR(MAX(N(INDEX(Workforce!$I$2:$I$151,MATCH(INDEX(FTE_Allocation!$A$2:$A$201,$AB242),Workforce!$A$2:$A$151,0))),N(INDEX(FTE_Allocation!$I$2:$I$201,$AB242)))),MONTH(MAX(N(INDEX(Workforce!$I$2:$I$151,MATCH(INDEX(FTE_Allocation!$A$2:$A$201,$AB242),Workforce!$A$2:$A$151,0))),N(INDEX(FTE_Allocation!$I$2:$I$201,$AB242)))),1),"")))</f>
        <v/>
      </c>
      <c r="AF242" s="21">
        <f>IF($Z242="C",IF(INDEX(Contracts!$I$2:$I$151,$AB242)="PREPAID",EDATE(DATE(YEAR(INDEX(Contracts!$J$2:$J$151,$AB242)),MONTH(INDEX(Contracts!$J$2:$J$151,$AB242)),1),IF(INDEX(Contracts!$N$2:$N$151,$AB242)="",12,INDEX(Contracts!$N$2:$N$151,$AB242))-1),IF(INDEX(Contracts!$I$2:$I$151,$AB242)="MONTHLY",IF(INDEX(Contracts!$K$2:$K$151,$AB242)="",2958101,INDEX(Contracts!$K$2:$K$151,$AB242)),0)),IF($Z242="A",EDATE(DATE(YEAR(INDEX(Fixed_Assets!$G$2:$G$201,$AB242)),MONTH(INDEX(Fixed_Assets!$G$2:$G$201,$AB242)),1),INDEX(Fixed_Assets!$J$2:$J$201,$AB242)-1),IF($Z242="F",MIN(IF(INDEX(Workforce!$J$2:$J$151,MATCH(INDEX(FTE_Allocation!$A$2:$A$201,$AB242),Workforce!$A$2:$A$151,0))="",2958101,INDEX(Workforce!$J$2:$J$151,MATCH(INDEX(FTE_Allocation!$A$2:$A$201,$AB242),Workforce!$A$2:$A$151,0))),IF(INDEX(FTE_Allocation!$J$2:$J$201,$AB242)="",2958101,INDEX(FTE_Allocation!$J$2:$J$201,$AB242))),"")))</f>
        <v/>
      </c>
      <c r="AG242" s="19">
        <f>IF($Z242="C",IF(INDEX(Contracts!$I$2:$I$151,$AB242)="PREPAID",INDEX(Contracts!$M$2:$M$151,$AB242)/IF(INDEX(Contracts!$N$2:$N$151,$AB242)="",12,INDEX(Contracts!$N$2:$N$151,$AB242)),IF(INDEX(Contracts!$I$2:$I$151,$AB242)="MONTHLY",INDEX(Contracts!$M$2:$M$151,$AB242),0))*(1-N(INDEX(Contracts!$O$2:$O$151,$AB242))),IF($Z242="A",INDEX(Fixed_Assets!$H$2:$H$201,$AB242)/INDEX(Fixed_Assets!$J$2:$J$201,$AB242),IF($Z242="F",INDEX(Workforce!$F$2:$F$151,MATCH(INDEX(FTE_Allocation!$A$2:$A$201,$AB242),Workforce!$A$2:$A$151,0))*N(INDEX(FTE_Allocation!$F$2:$H$201,$AB242,$AC242)),"")))</f>
        <v/>
      </c>
    </row>
    <row r="243">
      <c r="A243" s="7">
        <f>IF($Z243="","",$AD243)</f>
        <v/>
      </c>
      <c r="B243" s="7">
        <f>IF($Z243="C",INDEX(Contracts!$D$2:$D$151,$AB243)&amp;"",IF($Z243="A",INDEX(Fixed_Assets!$C$2:$C$201,$AB243)&amp;"",IF($Z243="F",INDEX(Workforce!$B$2:$B$151,MATCH(INDEX(FTE_Allocation!$A$2:$A$201,$AB243),Workforce!$A$2:$A$151,0))&amp;"","")))</f>
        <v/>
      </c>
      <c r="C243" s="7">
        <f>IF($Z243="C",INDEX(Contracts!$E$2:$E$151,$AB243)&amp;"",IF($Z243="A",INDEX(Fixed_Assets!$D$2:$D$201,$AB243)&amp;"",IF($Z243="F",INDEX(FTE_Allocation!$C$2:$C$201,$AB243)&amp;"","")))</f>
        <v/>
      </c>
      <c r="D243" s="7">
        <f>IF($Z243="C",INDEX(Contracts!$B$2:$B$151,$AB243)&amp;"",IF($Z243="A",INDEX(Fixed_Assets!$B$2:$B$201,$AB243)&amp;"",IF($Z243="F",INDEX(FTE_Allocation!$B$2:$B$201,$AB243)&amp;"","")))</f>
        <v/>
      </c>
      <c r="E243" s="7">
        <f>IF($Z243="C",INDEX(Contracts!$P$2:$P$151,$AB243)&amp;"",IF($Z243="A",INDEX(Fixed_Assets!$K$2:$K$201,$AB243)&amp;"",IF($Z243="F",IF(INDEX(FTE_Allocation!$D$2:$D$201,$AB243)="PROJECT",IFERROR(INDEX(Projects!$D:$D,MATCH(INDEX(FTE_Allocation!$E$2:$E$201,$AB243),Projects!$A:$A,0))&amp;"","#PROJECT?"),INDEX(FTE_Allocation!$E$2:$E$201,$AB243)&amp;""),"")))</f>
        <v/>
      </c>
      <c r="F243" s="7">
        <f>IF($Z243="C",INDEX(Contracts!$Q$2:$Q$151,$AB243)&amp;"",IF($Z243="A",INDEX(Fixed_Assets!$L$2:$L$201,$AB243)&amp;"",IF($Z243="F",INDEX(Workforce!$K$2:$K$151,MATCH(INDEX(FTE_Allocation!$A$2:$A$201,$AB243),Workforce!$A$2:$A$151,0))&amp;"","")))</f>
        <v/>
      </c>
      <c r="G243" s="7">
        <f>IF($Z243="C",INDEX(Contracts!$F$2:$F$151,$AB243)&amp;" / "&amp;INDEX(Contracts!$G$2:$G$151,$AB243),IF($Z243="A",INDEX(Fixed_Assets!$E$2:$E$201,$AB243)&amp;"",IF($Z243="F","Personnel "&amp;INDEX(FTE_Allocation!$A$2:$A$201,$AB243)&amp;IF(INDEX(FTE_Allocation!$D$2:$D$201,$AB243)="PROJECT"," ("&amp;INDEX(FTE_Allocation!$E$2:$E$201,$AB243)&amp;")",""),"")))</f>
        <v/>
      </c>
      <c r="H243" s="7">
        <f>IF($Z243="C","CONTRACT",IF($Z243="A","ASSET",IF($Z243="F","WORKFORCE","")))</f>
        <v/>
      </c>
      <c r="I243" s="7">
        <f>IF($Z243="C",INDEX(Contracts!$L$2:$L$151,$AB243)&amp;"",IF($Z243="A",INDEX(Fixed_Assets!$I$2:$I$201,$AB243)&amp;"",IF($Z243="F",INDEX(Workforce!$G$2:$G$151,MATCH(INDEX(FTE_Allocation!$A$2:$A$201,$AB243),Workforce!$A$2:$A$151,0))&amp;"","")))</f>
        <v/>
      </c>
      <c r="J243" s="18">
        <f>IF($Z243="","",IF(AND(DATE($AD243,1,1)&gt;=$AE243,DATE($AD243,1,1)&lt;=$AF243),ROUND($AG243,2),0))</f>
        <v/>
      </c>
      <c r="K243" s="18">
        <f>IF($Z243="","",IF(AND(DATE($AD243,2,1)&gt;=$AE243,DATE($AD243,2,1)&lt;=$AF243),ROUND($AG243,2),0))</f>
        <v/>
      </c>
      <c r="L243" s="18">
        <f>IF($Z243="","",IF(AND(DATE($AD243,3,1)&gt;=$AE243,DATE($AD243,3,1)&lt;=$AF243),ROUND($AG243,2),0))</f>
        <v/>
      </c>
      <c r="M243" s="18">
        <f>IF($Z243="","",IF(AND(DATE($AD243,4,1)&gt;=$AE243,DATE($AD243,4,1)&lt;=$AF243),ROUND($AG243,2),0))</f>
        <v/>
      </c>
      <c r="N243" s="18">
        <f>IF($Z243="","",IF(AND(DATE($AD243,5,1)&gt;=$AE243,DATE($AD243,5,1)&lt;=$AF243),ROUND($AG243,2),0))</f>
        <v/>
      </c>
      <c r="O243" s="18">
        <f>IF($Z243="","",IF(AND(DATE($AD243,6,1)&gt;=$AE243,DATE($AD243,6,1)&lt;=$AF243),ROUND($AG243,2),0))</f>
        <v/>
      </c>
      <c r="P243" s="18">
        <f>IF($Z243="","",IF(AND(DATE($AD243,7,1)&gt;=$AE243,DATE($AD243,7,1)&lt;=$AF243),ROUND($AG243,2),0))</f>
        <v/>
      </c>
      <c r="Q243" s="18">
        <f>IF($Z243="","",IF(AND(DATE($AD243,8,1)&gt;=$AE243,DATE($AD243,8,1)&lt;=$AF243),ROUND($AG243,2),0))</f>
        <v/>
      </c>
      <c r="R243" s="18">
        <f>IF($Z243="","",IF(AND(DATE($AD243,9,1)&gt;=$AE243,DATE($AD243,9,1)&lt;=$AF243),ROUND($AG243,2),0))</f>
        <v/>
      </c>
      <c r="S243" s="18">
        <f>IF($Z243="","",IF(AND(DATE($AD243,10,1)&gt;=$AE243,DATE($AD243,10,1)&lt;=$AF243),ROUND($AG243,2),0))</f>
        <v/>
      </c>
      <c r="T243" s="18">
        <f>IF($Z243="","",IF(AND(DATE($AD243,11,1)&gt;=$AE243,DATE($AD243,11,1)&lt;=$AF243),ROUND($AG243,2),0))</f>
        <v/>
      </c>
      <c r="U243" s="18">
        <f>IF($Z243="","",IF(AND(DATE($AD243,12,1)&gt;=$AE243,DATE($AD243,12,1)&lt;=$AF243),ROUND($AG243,2),0))</f>
        <v/>
      </c>
      <c r="V243" s="7">
        <f>IF($Z243="C","Generated from "&amp;INDEX(Contracts!$A$2:$A$151,$AB243),IF($Z243="A","Generated from "&amp;INDEX(Fixed_Assets!$A$2:$A$201,$AB243),IF($Z243="F","Generated from "&amp;INDEX(FTE_Allocation!$A$2:$A$201,$AB243),"")))</f>
        <v/>
      </c>
      <c r="X243" s="19">
        <f>IF($Z243="","",SUM(J243:U243))</f>
        <v/>
      </c>
      <c r="Y243" s="20">
        <f>ROW()-1</f>
        <v/>
      </c>
      <c r="Z243" s="20">
        <f>IF($Y243&lt;=Settings!$B$4*3,"C",IF($Y243&lt;=(Settings!$B$4+Settings!$B$5)*3,"A",IF($Y243&lt;=(Settings!$B$4+Settings!$B$5+Settings!$B$6)*3,"F","")))</f>
        <v/>
      </c>
      <c r="AA243" s="20">
        <f>IF($Z243="C",$Y243,IF($Z243="A",$Y243-Settings!$B$4*3,IF($Z243="F",$Y243-(Settings!$B$4+Settings!$B$5)*3,"")))</f>
        <v/>
      </c>
      <c r="AB243" s="20">
        <f>IF($Z243="","",INT(($AA243-1)/3)+1)</f>
        <v/>
      </c>
      <c r="AC243" s="20">
        <f>IF($Z243="","",MOD($AA243-1,3)+1)</f>
        <v/>
      </c>
      <c r="AD243" s="20">
        <f>IF($Z243="","",Settings!$B$2+$AC243-1)</f>
        <v/>
      </c>
      <c r="AE243" s="21">
        <f>IF($Z243="C",DATE(YEAR(INDEX(Contracts!$J$2:$J$151,$AB243)),MONTH(INDEX(Contracts!$J$2:$J$151,$AB243)),1),IF($Z243="A",DATE(YEAR(INDEX(Fixed_Assets!$G$2:$G$201,$AB243)),MONTH(INDEX(Fixed_Assets!$G$2:$G$201,$AB243)),1),IF($Z243="F",DATE(YEAR(MAX(N(INDEX(Workforce!$I$2:$I$151,MATCH(INDEX(FTE_Allocation!$A$2:$A$201,$AB243),Workforce!$A$2:$A$151,0))),N(INDEX(FTE_Allocation!$I$2:$I$201,$AB243)))),MONTH(MAX(N(INDEX(Workforce!$I$2:$I$151,MATCH(INDEX(FTE_Allocation!$A$2:$A$201,$AB243),Workforce!$A$2:$A$151,0))),N(INDEX(FTE_Allocation!$I$2:$I$201,$AB243)))),1),"")))</f>
        <v/>
      </c>
      <c r="AF243" s="21">
        <f>IF($Z243="C",IF(INDEX(Contracts!$I$2:$I$151,$AB243)="PREPAID",EDATE(DATE(YEAR(INDEX(Contracts!$J$2:$J$151,$AB243)),MONTH(INDEX(Contracts!$J$2:$J$151,$AB243)),1),IF(INDEX(Contracts!$N$2:$N$151,$AB243)="",12,INDEX(Contracts!$N$2:$N$151,$AB243))-1),IF(INDEX(Contracts!$I$2:$I$151,$AB243)="MONTHLY",IF(INDEX(Contracts!$K$2:$K$151,$AB243)="",2958101,INDEX(Contracts!$K$2:$K$151,$AB243)),0)),IF($Z243="A",EDATE(DATE(YEAR(INDEX(Fixed_Assets!$G$2:$G$201,$AB243)),MONTH(INDEX(Fixed_Assets!$G$2:$G$201,$AB243)),1),INDEX(Fixed_Assets!$J$2:$J$201,$AB243)-1),IF($Z243="F",MIN(IF(INDEX(Workforce!$J$2:$J$151,MATCH(INDEX(FTE_Allocation!$A$2:$A$201,$AB243),Workforce!$A$2:$A$151,0))="",2958101,INDEX(Workforce!$J$2:$J$151,MATCH(INDEX(FTE_Allocation!$A$2:$A$201,$AB243),Workforce!$A$2:$A$151,0))),IF(INDEX(FTE_Allocation!$J$2:$J$201,$AB243)="",2958101,INDEX(FTE_Allocation!$J$2:$J$201,$AB243))),"")))</f>
        <v/>
      </c>
      <c r="AG243" s="19">
        <f>IF($Z243="C",IF(INDEX(Contracts!$I$2:$I$151,$AB243)="PREPAID",INDEX(Contracts!$M$2:$M$151,$AB243)/IF(INDEX(Contracts!$N$2:$N$151,$AB243)="",12,INDEX(Contracts!$N$2:$N$151,$AB243)),IF(INDEX(Contracts!$I$2:$I$151,$AB243)="MONTHLY",INDEX(Contracts!$M$2:$M$151,$AB243),0))*(1-N(INDEX(Contracts!$O$2:$O$151,$AB243))),IF($Z243="A",INDEX(Fixed_Assets!$H$2:$H$201,$AB243)/INDEX(Fixed_Assets!$J$2:$J$201,$AB243),IF($Z243="F",INDEX(Workforce!$F$2:$F$151,MATCH(INDEX(FTE_Allocation!$A$2:$A$201,$AB243),Workforce!$A$2:$A$151,0))*N(INDEX(FTE_Allocation!$F$2:$H$201,$AB243,$AC243)),"")))</f>
        <v/>
      </c>
    </row>
    <row r="244">
      <c r="A244" s="7">
        <f>IF($Z244="","",$AD244)</f>
        <v/>
      </c>
      <c r="B244" s="7">
        <f>IF($Z244="C",INDEX(Contracts!$D$2:$D$151,$AB244)&amp;"",IF($Z244="A",INDEX(Fixed_Assets!$C$2:$C$201,$AB244)&amp;"",IF($Z244="F",INDEX(Workforce!$B$2:$B$151,MATCH(INDEX(FTE_Allocation!$A$2:$A$201,$AB244),Workforce!$A$2:$A$151,0))&amp;"","")))</f>
        <v/>
      </c>
      <c r="C244" s="7">
        <f>IF($Z244="C",INDEX(Contracts!$E$2:$E$151,$AB244)&amp;"",IF($Z244="A",INDEX(Fixed_Assets!$D$2:$D$201,$AB244)&amp;"",IF($Z244="F",INDEX(FTE_Allocation!$C$2:$C$201,$AB244)&amp;"","")))</f>
        <v/>
      </c>
      <c r="D244" s="7">
        <f>IF($Z244="C",INDEX(Contracts!$B$2:$B$151,$AB244)&amp;"",IF($Z244="A",INDEX(Fixed_Assets!$B$2:$B$201,$AB244)&amp;"",IF($Z244="F",INDEX(FTE_Allocation!$B$2:$B$201,$AB244)&amp;"","")))</f>
        <v/>
      </c>
      <c r="E244" s="7">
        <f>IF($Z244="C",INDEX(Contracts!$P$2:$P$151,$AB244)&amp;"",IF($Z244="A",INDEX(Fixed_Assets!$K$2:$K$201,$AB244)&amp;"",IF($Z244="F",IF(INDEX(FTE_Allocation!$D$2:$D$201,$AB244)="PROJECT",IFERROR(INDEX(Projects!$D:$D,MATCH(INDEX(FTE_Allocation!$E$2:$E$201,$AB244),Projects!$A:$A,0))&amp;"","#PROJECT?"),INDEX(FTE_Allocation!$E$2:$E$201,$AB244)&amp;""),"")))</f>
        <v/>
      </c>
      <c r="F244" s="7">
        <f>IF($Z244="C",INDEX(Contracts!$Q$2:$Q$151,$AB244)&amp;"",IF($Z244="A",INDEX(Fixed_Assets!$L$2:$L$201,$AB244)&amp;"",IF($Z244="F",INDEX(Workforce!$K$2:$K$151,MATCH(INDEX(FTE_Allocation!$A$2:$A$201,$AB244),Workforce!$A$2:$A$151,0))&amp;"","")))</f>
        <v/>
      </c>
      <c r="G244" s="7">
        <f>IF($Z244="C",INDEX(Contracts!$F$2:$F$151,$AB244)&amp;" / "&amp;INDEX(Contracts!$G$2:$G$151,$AB244),IF($Z244="A",INDEX(Fixed_Assets!$E$2:$E$201,$AB244)&amp;"",IF($Z244="F","Personnel "&amp;INDEX(FTE_Allocation!$A$2:$A$201,$AB244)&amp;IF(INDEX(FTE_Allocation!$D$2:$D$201,$AB244)="PROJECT"," ("&amp;INDEX(FTE_Allocation!$E$2:$E$201,$AB244)&amp;")",""),"")))</f>
        <v/>
      </c>
      <c r="H244" s="7">
        <f>IF($Z244="C","CONTRACT",IF($Z244="A","ASSET",IF($Z244="F","WORKFORCE","")))</f>
        <v/>
      </c>
      <c r="I244" s="7">
        <f>IF($Z244="C",INDEX(Contracts!$L$2:$L$151,$AB244)&amp;"",IF($Z244="A",INDEX(Fixed_Assets!$I$2:$I$201,$AB244)&amp;"",IF($Z244="F",INDEX(Workforce!$G$2:$G$151,MATCH(INDEX(FTE_Allocation!$A$2:$A$201,$AB244),Workforce!$A$2:$A$151,0))&amp;"","")))</f>
        <v/>
      </c>
      <c r="J244" s="18">
        <f>IF($Z244="","",IF(AND(DATE($AD244,1,1)&gt;=$AE244,DATE($AD244,1,1)&lt;=$AF244),ROUND($AG244,2),0))</f>
        <v/>
      </c>
      <c r="K244" s="18">
        <f>IF($Z244="","",IF(AND(DATE($AD244,2,1)&gt;=$AE244,DATE($AD244,2,1)&lt;=$AF244),ROUND($AG244,2),0))</f>
        <v/>
      </c>
      <c r="L244" s="18">
        <f>IF($Z244="","",IF(AND(DATE($AD244,3,1)&gt;=$AE244,DATE($AD244,3,1)&lt;=$AF244),ROUND($AG244,2),0))</f>
        <v/>
      </c>
      <c r="M244" s="18">
        <f>IF($Z244="","",IF(AND(DATE($AD244,4,1)&gt;=$AE244,DATE($AD244,4,1)&lt;=$AF244),ROUND($AG244,2),0))</f>
        <v/>
      </c>
      <c r="N244" s="18">
        <f>IF($Z244="","",IF(AND(DATE($AD244,5,1)&gt;=$AE244,DATE($AD244,5,1)&lt;=$AF244),ROUND($AG244,2),0))</f>
        <v/>
      </c>
      <c r="O244" s="18">
        <f>IF($Z244="","",IF(AND(DATE($AD244,6,1)&gt;=$AE244,DATE($AD244,6,1)&lt;=$AF244),ROUND($AG244,2),0))</f>
        <v/>
      </c>
      <c r="P244" s="18">
        <f>IF($Z244="","",IF(AND(DATE($AD244,7,1)&gt;=$AE244,DATE($AD244,7,1)&lt;=$AF244),ROUND($AG244,2),0))</f>
        <v/>
      </c>
      <c r="Q244" s="18">
        <f>IF($Z244="","",IF(AND(DATE($AD244,8,1)&gt;=$AE244,DATE($AD244,8,1)&lt;=$AF244),ROUND($AG244,2),0))</f>
        <v/>
      </c>
      <c r="R244" s="18">
        <f>IF($Z244="","",IF(AND(DATE($AD244,9,1)&gt;=$AE244,DATE($AD244,9,1)&lt;=$AF244),ROUND($AG244,2),0))</f>
        <v/>
      </c>
      <c r="S244" s="18">
        <f>IF($Z244="","",IF(AND(DATE($AD244,10,1)&gt;=$AE244,DATE($AD244,10,1)&lt;=$AF244),ROUND($AG244,2),0))</f>
        <v/>
      </c>
      <c r="T244" s="18">
        <f>IF($Z244="","",IF(AND(DATE($AD244,11,1)&gt;=$AE244,DATE($AD244,11,1)&lt;=$AF244),ROUND($AG244,2),0))</f>
        <v/>
      </c>
      <c r="U244" s="18">
        <f>IF($Z244="","",IF(AND(DATE($AD244,12,1)&gt;=$AE244,DATE($AD244,12,1)&lt;=$AF244),ROUND($AG244,2),0))</f>
        <v/>
      </c>
      <c r="V244" s="7">
        <f>IF($Z244="C","Generated from "&amp;INDEX(Contracts!$A$2:$A$151,$AB244),IF($Z244="A","Generated from "&amp;INDEX(Fixed_Assets!$A$2:$A$201,$AB244),IF($Z244="F","Generated from "&amp;INDEX(FTE_Allocation!$A$2:$A$201,$AB244),"")))</f>
        <v/>
      </c>
      <c r="X244" s="19">
        <f>IF($Z244="","",SUM(J244:U244))</f>
        <v/>
      </c>
      <c r="Y244" s="20">
        <f>ROW()-1</f>
        <v/>
      </c>
      <c r="Z244" s="20">
        <f>IF($Y244&lt;=Settings!$B$4*3,"C",IF($Y244&lt;=(Settings!$B$4+Settings!$B$5)*3,"A",IF($Y244&lt;=(Settings!$B$4+Settings!$B$5+Settings!$B$6)*3,"F","")))</f>
        <v/>
      </c>
      <c r="AA244" s="20">
        <f>IF($Z244="C",$Y244,IF($Z244="A",$Y244-Settings!$B$4*3,IF($Z244="F",$Y244-(Settings!$B$4+Settings!$B$5)*3,"")))</f>
        <v/>
      </c>
      <c r="AB244" s="20">
        <f>IF($Z244="","",INT(($AA244-1)/3)+1)</f>
        <v/>
      </c>
      <c r="AC244" s="20">
        <f>IF($Z244="","",MOD($AA244-1,3)+1)</f>
        <v/>
      </c>
      <c r="AD244" s="20">
        <f>IF($Z244="","",Settings!$B$2+$AC244-1)</f>
        <v/>
      </c>
      <c r="AE244" s="21">
        <f>IF($Z244="C",DATE(YEAR(INDEX(Contracts!$J$2:$J$151,$AB244)),MONTH(INDEX(Contracts!$J$2:$J$151,$AB244)),1),IF($Z244="A",DATE(YEAR(INDEX(Fixed_Assets!$G$2:$G$201,$AB244)),MONTH(INDEX(Fixed_Assets!$G$2:$G$201,$AB244)),1),IF($Z244="F",DATE(YEAR(MAX(N(INDEX(Workforce!$I$2:$I$151,MATCH(INDEX(FTE_Allocation!$A$2:$A$201,$AB244),Workforce!$A$2:$A$151,0))),N(INDEX(FTE_Allocation!$I$2:$I$201,$AB244)))),MONTH(MAX(N(INDEX(Workforce!$I$2:$I$151,MATCH(INDEX(FTE_Allocation!$A$2:$A$201,$AB244),Workforce!$A$2:$A$151,0))),N(INDEX(FTE_Allocation!$I$2:$I$201,$AB244)))),1),"")))</f>
        <v/>
      </c>
      <c r="AF244" s="21">
        <f>IF($Z244="C",IF(INDEX(Contracts!$I$2:$I$151,$AB244)="PREPAID",EDATE(DATE(YEAR(INDEX(Contracts!$J$2:$J$151,$AB244)),MONTH(INDEX(Contracts!$J$2:$J$151,$AB244)),1),IF(INDEX(Contracts!$N$2:$N$151,$AB244)="",12,INDEX(Contracts!$N$2:$N$151,$AB244))-1),IF(INDEX(Contracts!$I$2:$I$151,$AB244)="MONTHLY",IF(INDEX(Contracts!$K$2:$K$151,$AB244)="",2958101,INDEX(Contracts!$K$2:$K$151,$AB244)),0)),IF($Z244="A",EDATE(DATE(YEAR(INDEX(Fixed_Assets!$G$2:$G$201,$AB244)),MONTH(INDEX(Fixed_Assets!$G$2:$G$201,$AB244)),1),INDEX(Fixed_Assets!$J$2:$J$201,$AB244)-1),IF($Z244="F",MIN(IF(INDEX(Workforce!$J$2:$J$151,MATCH(INDEX(FTE_Allocation!$A$2:$A$201,$AB244),Workforce!$A$2:$A$151,0))="",2958101,INDEX(Workforce!$J$2:$J$151,MATCH(INDEX(FTE_Allocation!$A$2:$A$201,$AB244),Workforce!$A$2:$A$151,0))),IF(INDEX(FTE_Allocation!$J$2:$J$201,$AB244)="",2958101,INDEX(FTE_Allocation!$J$2:$J$201,$AB244))),"")))</f>
        <v/>
      </c>
      <c r="AG244" s="19">
        <f>IF($Z244="C",IF(INDEX(Contracts!$I$2:$I$151,$AB244)="PREPAID",INDEX(Contracts!$M$2:$M$151,$AB244)/IF(INDEX(Contracts!$N$2:$N$151,$AB244)="",12,INDEX(Contracts!$N$2:$N$151,$AB244)),IF(INDEX(Contracts!$I$2:$I$151,$AB244)="MONTHLY",INDEX(Contracts!$M$2:$M$151,$AB244),0))*(1-N(INDEX(Contracts!$O$2:$O$151,$AB244))),IF($Z244="A",INDEX(Fixed_Assets!$H$2:$H$201,$AB244)/INDEX(Fixed_Assets!$J$2:$J$201,$AB244),IF($Z244="F",INDEX(Workforce!$F$2:$F$151,MATCH(INDEX(FTE_Allocation!$A$2:$A$201,$AB244),Workforce!$A$2:$A$151,0))*N(INDEX(FTE_Allocation!$F$2:$H$201,$AB244,$AC244)),"")))</f>
        <v/>
      </c>
    </row>
    <row r="245">
      <c r="A245" s="7">
        <f>IF($Z245="","",$AD245)</f>
        <v/>
      </c>
      <c r="B245" s="7">
        <f>IF($Z245="C",INDEX(Contracts!$D$2:$D$151,$AB245)&amp;"",IF($Z245="A",INDEX(Fixed_Assets!$C$2:$C$201,$AB245)&amp;"",IF($Z245="F",INDEX(Workforce!$B$2:$B$151,MATCH(INDEX(FTE_Allocation!$A$2:$A$201,$AB245),Workforce!$A$2:$A$151,0))&amp;"","")))</f>
        <v/>
      </c>
      <c r="C245" s="7">
        <f>IF($Z245="C",INDEX(Contracts!$E$2:$E$151,$AB245)&amp;"",IF($Z245="A",INDEX(Fixed_Assets!$D$2:$D$201,$AB245)&amp;"",IF($Z245="F",INDEX(FTE_Allocation!$C$2:$C$201,$AB245)&amp;"","")))</f>
        <v/>
      </c>
      <c r="D245" s="7">
        <f>IF($Z245="C",INDEX(Contracts!$B$2:$B$151,$AB245)&amp;"",IF($Z245="A",INDEX(Fixed_Assets!$B$2:$B$201,$AB245)&amp;"",IF($Z245="F",INDEX(FTE_Allocation!$B$2:$B$201,$AB245)&amp;"","")))</f>
        <v/>
      </c>
      <c r="E245" s="7">
        <f>IF($Z245="C",INDEX(Contracts!$P$2:$P$151,$AB245)&amp;"",IF($Z245="A",INDEX(Fixed_Assets!$K$2:$K$201,$AB245)&amp;"",IF($Z245="F",IF(INDEX(FTE_Allocation!$D$2:$D$201,$AB245)="PROJECT",IFERROR(INDEX(Projects!$D:$D,MATCH(INDEX(FTE_Allocation!$E$2:$E$201,$AB245),Projects!$A:$A,0))&amp;"","#PROJECT?"),INDEX(FTE_Allocation!$E$2:$E$201,$AB245)&amp;""),"")))</f>
        <v/>
      </c>
      <c r="F245" s="7">
        <f>IF($Z245="C",INDEX(Contracts!$Q$2:$Q$151,$AB245)&amp;"",IF($Z245="A",INDEX(Fixed_Assets!$L$2:$L$201,$AB245)&amp;"",IF($Z245="F",INDEX(Workforce!$K$2:$K$151,MATCH(INDEX(FTE_Allocation!$A$2:$A$201,$AB245),Workforce!$A$2:$A$151,0))&amp;"","")))</f>
        <v/>
      </c>
      <c r="G245" s="7">
        <f>IF($Z245="C",INDEX(Contracts!$F$2:$F$151,$AB245)&amp;" / "&amp;INDEX(Contracts!$G$2:$G$151,$AB245),IF($Z245="A",INDEX(Fixed_Assets!$E$2:$E$201,$AB245)&amp;"",IF($Z245="F","Personnel "&amp;INDEX(FTE_Allocation!$A$2:$A$201,$AB245)&amp;IF(INDEX(FTE_Allocation!$D$2:$D$201,$AB245)="PROJECT"," ("&amp;INDEX(FTE_Allocation!$E$2:$E$201,$AB245)&amp;")",""),"")))</f>
        <v/>
      </c>
      <c r="H245" s="7">
        <f>IF($Z245="C","CONTRACT",IF($Z245="A","ASSET",IF($Z245="F","WORKFORCE","")))</f>
        <v/>
      </c>
      <c r="I245" s="7">
        <f>IF($Z245="C",INDEX(Contracts!$L$2:$L$151,$AB245)&amp;"",IF($Z245="A",INDEX(Fixed_Assets!$I$2:$I$201,$AB245)&amp;"",IF($Z245="F",INDEX(Workforce!$G$2:$G$151,MATCH(INDEX(FTE_Allocation!$A$2:$A$201,$AB245),Workforce!$A$2:$A$151,0))&amp;"","")))</f>
        <v/>
      </c>
      <c r="J245" s="18">
        <f>IF($Z245="","",IF(AND(DATE($AD245,1,1)&gt;=$AE245,DATE($AD245,1,1)&lt;=$AF245),ROUND($AG245,2),0))</f>
        <v/>
      </c>
      <c r="K245" s="18">
        <f>IF($Z245="","",IF(AND(DATE($AD245,2,1)&gt;=$AE245,DATE($AD245,2,1)&lt;=$AF245),ROUND($AG245,2),0))</f>
        <v/>
      </c>
      <c r="L245" s="18">
        <f>IF($Z245="","",IF(AND(DATE($AD245,3,1)&gt;=$AE245,DATE($AD245,3,1)&lt;=$AF245),ROUND($AG245,2),0))</f>
        <v/>
      </c>
      <c r="M245" s="18">
        <f>IF($Z245="","",IF(AND(DATE($AD245,4,1)&gt;=$AE245,DATE($AD245,4,1)&lt;=$AF245),ROUND($AG245,2),0))</f>
        <v/>
      </c>
      <c r="N245" s="18">
        <f>IF($Z245="","",IF(AND(DATE($AD245,5,1)&gt;=$AE245,DATE($AD245,5,1)&lt;=$AF245),ROUND($AG245,2),0))</f>
        <v/>
      </c>
      <c r="O245" s="18">
        <f>IF($Z245="","",IF(AND(DATE($AD245,6,1)&gt;=$AE245,DATE($AD245,6,1)&lt;=$AF245),ROUND($AG245,2),0))</f>
        <v/>
      </c>
      <c r="P245" s="18">
        <f>IF($Z245="","",IF(AND(DATE($AD245,7,1)&gt;=$AE245,DATE($AD245,7,1)&lt;=$AF245),ROUND($AG245,2),0))</f>
        <v/>
      </c>
      <c r="Q245" s="18">
        <f>IF($Z245="","",IF(AND(DATE($AD245,8,1)&gt;=$AE245,DATE($AD245,8,1)&lt;=$AF245),ROUND($AG245,2),0))</f>
        <v/>
      </c>
      <c r="R245" s="18">
        <f>IF($Z245="","",IF(AND(DATE($AD245,9,1)&gt;=$AE245,DATE($AD245,9,1)&lt;=$AF245),ROUND($AG245,2),0))</f>
        <v/>
      </c>
      <c r="S245" s="18">
        <f>IF($Z245="","",IF(AND(DATE($AD245,10,1)&gt;=$AE245,DATE($AD245,10,1)&lt;=$AF245),ROUND($AG245,2),0))</f>
        <v/>
      </c>
      <c r="T245" s="18">
        <f>IF($Z245="","",IF(AND(DATE($AD245,11,1)&gt;=$AE245,DATE($AD245,11,1)&lt;=$AF245),ROUND($AG245,2),0))</f>
        <v/>
      </c>
      <c r="U245" s="18">
        <f>IF($Z245="","",IF(AND(DATE($AD245,12,1)&gt;=$AE245,DATE($AD245,12,1)&lt;=$AF245),ROUND($AG245,2),0))</f>
        <v/>
      </c>
      <c r="V245" s="7">
        <f>IF($Z245="C","Generated from "&amp;INDEX(Contracts!$A$2:$A$151,$AB245),IF($Z245="A","Generated from "&amp;INDEX(Fixed_Assets!$A$2:$A$201,$AB245),IF($Z245="F","Generated from "&amp;INDEX(FTE_Allocation!$A$2:$A$201,$AB245),"")))</f>
        <v/>
      </c>
      <c r="X245" s="19">
        <f>IF($Z245="","",SUM(J245:U245))</f>
        <v/>
      </c>
      <c r="Y245" s="20">
        <f>ROW()-1</f>
        <v/>
      </c>
      <c r="Z245" s="20">
        <f>IF($Y245&lt;=Settings!$B$4*3,"C",IF($Y245&lt;=(Settings!$B$4+Settings!$B$5)*3,"A",IF($Y245&lt;=(Settings!$B$4+Settings!$B$5+Settings!$B$6)*3,"F","")))</f>
        <v/>
      </c>
      <c r="AA245" s="20">
        <f>IF($Z245="C",$Y245,IF($Z245="A",$Y245-Settings!$B$4*3,IF($Z245="F",$Y245-(Settings!$B$4+Settings!$B$5)*3,"")))</f>
        <v/>
      </c>
      <c r="AB245" s="20">
        <f>IF($Z245="","",INT(($AA245-1)/3)+1)</f>
        <v/>
      </c>
      <c r="AC245" s="20">
        <f>IF($Z245="","",MOD($AA245-1,3)+1)</f>
        <v/>
      </c>
      <c r="AD245" s="20">
        <f>IF($Z245="","",Settings!$B$2+$AC245-1)</f>
        <v/>
      </c>
      <c r="AE245" s="21">
        <f>IF($Z245="C",DATE(YEAR(INDEX(Contracts!$J$2:$J$151,$AB245)),MONTH(INDEX(Contracts!$J$2:$J$151,$AB245)),1),IF($Z245="A",DATE(YEAR(INDEX(Fixed_Assets!$G$2:$G$201,$AB245)),MONTH(INDEX(Fixed_Assets!$G$2:$G$201,$AB245)),1),IF($Z245="F",DATE(YEAR(MAX(N(INDEX(Workforce!$I$2:$I$151,MATCH(INDEX(FTE_Allocation!$A$2:$A$201,$AB245),Workforce!$A$2:$A$151,0))),N(INDEX(FTE_Allocation!$I$2:$I$201,$AB245)))),MONTH(MAX(N(INDEX(Workforce!$I$2:$I$151,MATCH(INDEX(FTE_Allocation!$A$2:$A$201,$AB245),Workforce!$A$2:$A$151,0))),N(INDEX(FTE_Allocation!$I$2:$I$201,$AB245)))),1),"")))</f>
        <v/>
      </c>
      <c r="AF245" s="21">
        <f>IF($Z245="C",IF(INDEX(Contracts!$I$2:$I$151,$AB245)="PREPAID",EDATE(DATE(YEAR(INDEX(Contracts!$J$2:$J$151,$AB245)),MONTH(INDEX(Contracts!$J$2:$J$151,$AB245)),1),IF(INDEX(Contracts!$N$2:$N$151,$AB245)="",12,INDEX(Contracts!$N$2:$N$151,$AB245))-1),IF(INDEX(Contracts!$I$2:$I$151,$AB245)="MONTHLY",IF(INDEX(Contracts!$K$2:$K$151,$AB245)="",2958101,INDEX(Contracts!$K$2:$K$151,$AB245)),0)),IF($Z245="A",EDATE(DATE(YEAR(INDEX(Fixed_Assets!$G$2:$G$201,$AB245)),MONTH(INDEX(Fixed_Assets!$G$2:$G$201,$AB245)),1),INDEX(Fixed_Assets!$J$2:$J$201,$AB245)-1),IF($Z245="F",MIN(IF(INDEX(Workforce!$J$2:$J$151,MATCH(INDEX(FTE_Allocation!$A$2:$A$201,$AB245),Workforce!$A$2:$A$151,0))="",2958101,INDEX(Workforce!$J$2:$J$151,MATCH(INDEX(FTE_Allocation!$A$2:$A$201,$AB245),Workforce!$A$2:$A$151,0))),IF(INDEX(FTE_Allocation!$J$2:$J$201,$AB245)="",2958101,INDEX(FTE_Allocation!$J$2:$J$201,$AB245))),"")))</f>
        <v/>
      </c>
      <c r="AG245" s="19">
        <f>IF($Z245="C",IF(INDEX(Contracts!$I$2:$I$151,$AB245)="PREPAID",INDEX(Contracts!$M$2:$M$151,$AB245)/IF(INDEX(Contracts!$N$2:$N$151,$AB245)="",12,INDEX(Contracts!$N$2:$N$151,$AB245)),IF(INDEX(Contracts!$I$2:$I$151,$AB245)="MONTHLY",INDEX(Contracts!$M$2:$M$151,$AB245),0))*(1-N(INDEX(Contracts!$O$2:$O$151,$AB245))),IF($Z245="A",INDEX(Fixed_Assets!$H$2:$H$201,$AB245)/INDEX(Fixed_Assets!$J$2:$J$201,$AB245),IF($Z245="F",INDEX(Workforce!$F$2:$F$151,MATCH(INDEX(FTE_Allocation!$A$2:$A$201,$AB245),Workforce!$A$2:$A$151,0))*N(INDEX(FTE_Allocation!$F$2:$H$201,$AB245,$AC245)),"")))</f>
        <v/>
      </c>
    </row>
    <row r="246">
      <c r="A246" s="7">
        <f>IF($Z246="","",$AD246)</f>
        <v/>
      </c>
      <c r="B246" s="7">
        <f>IF($Z246="C",INDEX(Contracts!$D$2:$D$151,$AB246)&amp;"",IF($Z246="A",INDEX(Fixed_Assets!$C$2:$C$201,$AB246)&amp;"",IF($Z246="F",INDEX(Workforce!$B$2:$B$151,MATCH(INDEX(FTE_Allocation!$A$2:$A$201,$AB246),Workforce!$A$2:$A$151,0))&amp;"","")))</f>
        <v/>
      </c>
      <c r="C246" s="7">
        <f>IF($Z246="C",INDEX(Contracts!$E$2:$E$151,$AB246)&amp;"",IF($Z246="A",INDEX(Fixed_Assets!$D$2:$D$201,$AB246)&amp;"",IF($Z246="F",INDEX(FTE_Allocation!$C$2:$C$201,$AB246)&amp;"","")))</f>
        <v/>
      </c>
      <c r="D246" s="7">
        <f>IF($Z246="C",INDEX(Contracts!$B$2:$B$151,$AB246)&amp;"",IF($Z246="A",INDEX(Fixed_Assets!$B$2:$B$201,$AB246)&amp;"",IF($Z246="F",INDEX(FTE_Allocation!$B$2:$B$201,$AB246)&amp;"","")))</f>
        <v/>
      </c>
      <c r="E246" s="7">
        <f>IF($Z246="C",INDEX(Contracts!$P$2:$P$151,$AB246)&amp;"",IF($Z246="A",INDEX(Fixed_Assets!$K$2:$K$201,$AB246)&amp;"",IF($Z246="F",IF(INDEX(FTE_Allocation!$D$2:$D$201,$AB246)="PROJECT",IFERROR(INDEX(Projects!$D:$D,MATCH(INDEX(FTE_Allocation!$E$2:$E$201,$AB246),Projects!$A:$A,0))&amp;"","#PROJECT?"),INDEX(FTE_Allocation!$E$2:$E$201,$AB246)&amp;""),"")))</f>
        <v/>
      </c>
      <c r="F246" s="7">
        <f>IF($Z246="C",INDEX(Contracts!$Q$2:$Q$151,$AB246)&amp;"",IF($Z246="A",INDEX(Fixed_Assets!$L$2:$L$201,$AB246)&amp;"",IF($Z246="F",INDEX(Workforce!$K$2:$K$151,MATCH(INDEX(FTE_Allocation!$A$2:$A$201,$AB246),Workforce!$A$2:$A$151,0))&amp;"","")))</f>
        <v/>
      </c>
      <c r="G246" s="7">
        <f>IF($Z246="C",INDEX(Contracts!$F$2:$F$151,$AB246)&amp;" / "&amp;INDEX(Contracts!$G$2:$G$151,$AB246),IF($Z246="A",INDEX(Fixed_Assets!$E$2:$E$201,$AB246)&amp;"",IF($Z246="F","Personnel "&amp;INDEX(FTE_Allocation!$A$2:$A$201,$AB246)&amp;IF(INDEX(FTE_Allocation!$D$2:$D$201,$AB246)="PROJECT"," ("&amp;INDEX(FTE_Allocation!$E$2:$E$201,$AB246)&amp;")",""),"")))</f>
        <v/>
      </c>
      <c r="H246" s="7">
        <f>IF($Z246="C","CONTRACT",IF($Z246="A","ASSET",IF($Z246="F","WORKFORCE","")))</f>
        <v/>
      </c>
      <c r="I246" s="7">
        <f>IF($Z246="C",INDEX(Contracts!$L$2:$L$151,$AB246)&amp;"",IF($Z246="A",INDEX(Fixed_Assets!$I$2:$I$201,$AB246)&amp;"",IF($Z246="F",INDEX(Workforce!$G$2:$G$151,MATCH(INDEX(FTE_Allocation!$A$2:$A$201,$AB246),Workforce!$A$2:$A$151,0))&amp;"","")))</f>
        <v/>
      </c>
      <c r="J246" s="18">
        <f>IF($Z246="","",IF(AND(DATE($AD246,1,1)&gt;=$AE246,DATE($AD246,1,1)&lt;=$AF246),ROUND($AG246,2),0))</f>
        <v/>
      </c>
      <c r="K246" s="18">
        <f>IF($Z246="","",IF(AND(DATE($AD246,2,1)&gt;=$AE246,DATE($AD246,2,1)&lt;=$AF246),ROUND($AG246,2),0))</f>
        <v/>
      </c>
      <c r="L246" s="18">
        <f>IF($Z246="","",IF(AND(DATE($AD246,3,1)&gt;=$AE246,DATE($AD246,3,1)&lt;=$AF246),ROUND($AG246,2),0))</f>
        <v/>
      </c>
      <c r="M246" s="18">
        <f>IF($Z246="","",IF(AND(DATE($AD246,4,1)&gt;=$AE246,DATE($AD246,4,1)&lt;=$AF246),ROUND($AG246,2),0))</f>
        <v/>
      </c>
      <c r="N246" s="18">
        <f>IF($Z246="","",IF(AND(DATE($AD246,5,1)&gt;=$AE246,DATE($AD246,5,1)&lt;=$AF246),ROUND($AG246,2),0))</f>
        <v/>
      </c>
      <c r="O246" s="18">
        <f>IF($Z246="","",IF(AND(DATE($AD246,6,1)&gt;=$AE246,DATE($AD246,6,1)&lt;=$AF246),ROUND($AG246,2),0))</f>
        <v/>
      </c>
      <c r="P246" s="18">
        <f>IF($Z246="","",IF(AND(DATE($AD246,7,1)&gt;=$AE246,DATE($AD246,7,1)&lt;=$AF246),ROUND($AG246,2),0))</f>
        <v/>
      </c>
      <c r="Q246" s="18">
        <f>IF($Z246="","",IF(AND(DATE($AD246,8,1)&gt;=$AE246,DATE($AD246,8,1)&lt;=$AF246),ROUND($AG246,2),0))</f>
        <v/>
      </c>
      <c r="R246" s="18">
        <f>IF($Z246="","",IF(AND(DATE($AD246,9,1)&gt;=$AE246,DATE($AD246,9,1)&lt;=$AF246),ROUND($AG246,2),0))</f>
        <v/>
      </c>
      <c r="S246" s="18">
        <f>IF($Z246="","",IF(AND(DATE($AD246,10,1)&gt;=$AE246,DATE($AD246,10,1)&lt;=$AF246),ROUND($AG246,2),0))</f>
        <v/>
      </c>
      <c r="T246" s="18">
        <f>IF($Z246="","",IF(AND(DATE($AD246,11,1)&gt;=$AE246,DATE($AD246,11,1)&lt;=$AF246),ROUND($AG246,2),0))</f>
        <v/>
      </c>
      <c r="U246" s="18">
        <f>IF($Z246="","",IF(AND(DATE($AD246,12,1)&gt;=$AE246,DATE($AD246,12,1)&lt;=$AF246),ROUND($AG246,2),0))</f>
        <v/>
      </c>
      <c r="V246" s="7">
        <f>IF($Z246="C","Generated from "&amp;INDEX(Contracts!$A$2:$A$151,$AB246),IF($Z246="A","Generated from "&amp;INDEX(Fixed_Assets!$A$2:$A$201,$AB246),IF($Z246="F","Generated from "&amp;INDEX(FTE_Allocation!$A$2:$A$201,$AB246),"")))</f>
        <v/>
      </c>
      <c r="X246" s="19">
        <f>IF($Z246="","",SUM(J246:U246))</f>
        <v/>
      </c>
      <c r="Y246" s="20">
        <f>ROW()-1</f>
        <v/>
      </c>
      <c r="Z246" s="20">
        <f>IF($Y246&lt;=Settings!$B$4*3,"C",IF($Y246&lt;=(Settings!$B$4+Settings!$B$5)*3,"A",IF($Y246&lt;=(Settings!$B$4+Settings!$B$5+Settings!$B$6)*3,"F","")))</f>
        <v/>
      </c>
      <c r="AA246" s="20">
        <f>IF($Z246="C",$Y246,IF($Z246="A",$Y246-Settings!$B$4*3,IF($Z246="F",$Y246-(Settings!$B$4+Settings!$B$5)*3,"")))</f>
        <v/>
      </c>
      <c r="AB246" s="20">
        <f>IF($Z246="","",INT(($AA246-1)/3)+1)</f>
        <v/>
      </c>
      <c r="AC246" s="20">
        <f>IF($Z246="","",MOD($AA246-1,3)+1)</f>
        <v/>
      </c>
      <c r="AD246" s="20">
        <f>IF($Z246="","",Settings!$B$2+$AC246-1)</f>
        <v/>
      </c>
      <c r="AE246" s="21">
        <f>IF($Z246="C",DATE(YEAR(INDEX(Contracts!$J$2:$J$151,$AB246)),MONTH(INDEX(Contracts!$J$2:$J$151,$AB246)),1),IF($Z246="A",DATE(YEAR(INDEX(Fixed_Assets!$G$2:$G$201,$AB246)),MONTH(INDEX(Fixed_Assets!$G$2:$G$201,$AB246)),1),IF($Z246="F",DATE(YEAR(MAX(N(INDEX(Workforce!$I$2:$I$151,MATCH(INDEX(FTE_Allocation!$A$2:$A$201,$AB246),Workforce!$A$2:$A$151,0))),N(INDEX(FTE_Allocation!$I$2:$I$201,$AB246)))),MONTH(MAX(N(INDEX(Workforce!$I$2:$I$151,MATCH(INDEX(FTE_Allocation!$A$2:$A$201,$AB246),Workforce!$A$2:$A$151,0))),N(INDEX(FTE_Allocation!$I$2:$I$201,$AB246)))),1),"")))</f>
        <v/>
      </c>
      <c r="AF246" s="21">
        <f>IF($Z246="C",IF(INDEX(Contracts!$I$2:$I$151,$AB246)="PREPAID",EDATE(DATE(YEAR(INDEX(Contracts!$J$2:$J$151,$AB246)),MONTH(INDEX(Contracts!$J$2:$J$151,$AB246)),1),IF(INDEX(Contracts!$N$2:$N$151,$AB246)="",12,INDEX(Contracts!$N$2:$N$151,$AB246))-1),IF(INDEX(Contracts!$I$2:$I$151,$AB246)="MONTHLY",IF(INDEX(Contracts!$K$2:$K$151,$AB246)="",2958101,INDEX(Contracts!$K$2:$K$151,$AB246)),0)),IF($Z246="A",EDATE(DATE(YEAR(INDEX(Fixed_Assets!$G$2:$G$201,$AB246)),MONTH(INDEX(Fixed_Assets!$G$2:$G$201,$AB246)),1),INDEX(Fixed_Assets!$J$2:$J$201,$AB246)-1),IF($Z246="F",MIN(IF(INDEX(Workforce!$J$2:$J$151,MATCH(INDEX(FTE_Allocation!$A$2:$A$201,$AB246),Workforce!$A$2:$A$151,0))="",2958101,INDEX(Workforce!$J$2:$J$151,MATCH(INDEX(FTE_Allocation!$A$2:$A$201,$AB246),Workforce!$A$2:$A$151,0))),IF(INDEX(FTE_Allocation!$J$2:$J$201,$AB246)="",2958101,INDEX(FTE_Allocation!$J$2:$J$201,$AB246))),"")))</f>
        <v/>
      </c>
      <c r="AG246" s="19">
        <f>IF($Z246="C",IF(INDEX(Contracts!$I$2:$I$151,$AB246)="PREPAID",INDEX(Contracts!$M$2:$M$151,$AB246)/IF(INDEX(Contracts!$N$2:$N$151,$AB246)="",12,INDEX(Contracts!$N$2:$N$151,$AB246)),IF(INDEX(Contracts!$I$2:$I$151,$AB246)="MONTHLY",INDEX(Contracts!$M$2:$M$151,$AB246),0))*(1-N(INDEX(Contracts!$O$2:$O$151,$AB246))),IF($Z246="A",INDEX(Fixed_Assets!$H$2:$H$201,$AB246)/INDEX(Fixed_Assets!$J$2:$J$201,$AB246),IF($Z246="F",INDEX(Workforce!$F$2:$F$151,MATCH(INDEX(FTE_Allocation!$A$2:$A$201,$AB246),Workforce!$A$2:$A$151,0))*N(INDEX(FTE_Allocation!$F$2:$H$201,$AB246,$AC246)),"")))</f>
        <v/>
      </c>
    </row>
    <row r="247">
      <c r="A247" s="7">
        <f>IF($Z247="","",$AD247)</f>
        <v/>
      </c>
      <c r="B247" s="7">
        <f>IF($Z247="C",INDEX(Contracts!$D$2:$D$151,$AB247)&amp;"",IF($Z247="A",INDEX(Fixed_Assets!$C$2:$C$201,$AB247)&amp;"",IF($Z247="F",INDEX(Workforce!$B$2:$B$151,MATCH(INDEX(FTE_Allocation!$A$2:$A$201,$AB247),Workforce!$A$2:$A$151,0))&amp;"","")))</f>
        <v/>
      </c>
      <c r="C247" s="7">
        <f>IF($Z247="C",INDEX(Contracts!$E$2:$E$151,$AB247)&amp;"",IF($Z247="A",INDEX(Fixed_Assets!$D$2:$D$201,$AB247)&amp;"",IF($Z247="F",INDEX(FTE_Allocation!$C$2:$C$201,$AB247)&amp;"","")))</f>
        <v/>
      </c>
      <c r="D247" s="7">
        <f>IF($Z247="C",INDEX(Contracts!$B$2:$B$151,$AB247)&amp;"",IF($Z247="A",INDEX(Fixed_Assets!$B$2:$B$201,$AB247)&amp;"",IF($Z247="F",INDEX(FTE_Allocation!$B$2:$B$201,$AB247)&amp;"","")))</f>
        <v/>
      </c>
      <c r="E247" s="7">
        <f>IF($Z247="C",INDEX(Contracts!$P$2:$P$151,$AB247)&amp;"",IF($Z247="A",INDEX(Fixed_Assets!$K$2:$K$201,$AB247)&amp;"",IF($Z247="F",IF(INDEX(FTE_Allocation!$D$2:$D$201,$AB247)="PROJECT",IFERROR(INDEX(Projects!$D:$D,MATCH(INDEX(FTE_Allocation!$E$2:$E$201,$AB247),Projects!$A:$A,0))&amp;"","#PROJECT?"),INDEX(FTE_Allocation!$E$2:$E$201,$AB247)&amp;""),"")))</f>
        <v/>
      </c>
      <c r="F247" s="7">
        <f>IF($Z247="C",INDEX(Contracts!$Q$2:$Q$151,$AB247)&amp;"",IF($Z247="A",INDEX(Fixed_Assets!$L$2:$L$201,$AB247)&amp;"",IF($Z247="F",INDEX(Workforce!$K$2:$K$151,MATCH(INDEX(FTE_Allocation!$A$2:$A$201,$AB247),Workforce!$A$2:$A$151,0))&amp;"","")))</f>
        <v/>
      </c>
      <c r="G247" s="7">
        <f>IF($Z247="C",INDEX(Contracts!$F$2:$F$151,$AB247)&amp;" / "&amp;INDEX(Contracts!$G$2:$G$151,$AB247),IF($Z247="A",INDEX(Fixed_Assets!$E$2:$E$201,$AB247)&amp;"",IF($Z247="F","Personnel "&amp;INDEX(FTE_Allocation!$A$2:$A$201,$AB247)&amp;IF(INDEX(FTE_Allocation!$D$2:$D$201,$AB247)="PROJECT"," ("&amp;INDEX(FTE_Allocation!$E$2:$E$201,$AB247)&amp;")",""),"")))</f>
        <v/>
      </c>
      <c r="H247" s="7">
        <f>IF($Z247="C","CONTRACT",IF($Z247="A","ASSET",IF($Z247="F","WORKFORCE","")))</f>
        <v/>
      </c>
      <c r="I247" s="7">
        <f>IF($Z247="C",INDEX(Contracts!$L$2:$L$151,$AB247)&amp;"",IF($Z247="A",INDEX(Fixed_Assets!$I$2:$I$201,$AB247)&amp;"",IF($Z247="F",INDEX(Workforce!$G$2:$G$151,MATCH(INDEX(FTE_Allocation!$A$2:$A$201,$AB247),Workforce!$A$2:$A$151,0))&amp;"","")))</f>
        <v/>
      </c>
      <c r="J247" s="18">
        <f>IF($Z247="","",IF(AND(DATE($AD247,1,1)&gt;=$AE247,DATE($AD247,1,1)&lt;=$AF247),ROUND($AG247,2),0))</f>
        <v/>
      </c>
      <c r="K247" s="18">
        <f>IF($Z247="","",IF(AND(DATE($AD247,2,1)&gt;=$AE247,DATE($AD247,2,1)&lt;=$AF247),ROUND($AG247,2),0))</f>
        <v/>
      </c>
      <c r="L247" s="18">
        <f>IF($Z247="","",IF(AND(DATE($AD247,3,1)&gt;=$AE247,DATE($AD247,3,1)&lt;=$AF247),ROUND($AG247,2),0))</f>
        <v/>
      </c>
      <c r="M247" s="18">
        <f>IF($Z247="","",IF(AND(DATE($AD247,4,1)&gt;=$AE247,DATE($AD247,4,1)&lt;=$AF247),ROUND($AG247,2),0))</f>
        <v/>
      </c>
      <c r="N247" s="18">
        <f>IF($Z247="","",IF(AND(DATE($AD247,5,1)&gt;=$AE247,DATE($AD247,5,1)&lt;=$AF247),ROUND($AG247,2),0))</f>
        <v/>
      </c>
      <c r="O247" s="18">
        <f>IF($Z247="","",IF(AND(DATE($AD247,6,1)&gt;=$AE247,DATE($AD247,6,1)&lt;=$AF247),ROUND($AG247,2),0))</f>
        <v/>
      </c>
      <c r="P247" s="18">
        <f>IF($Z247="","",IF(AND(DATE($AD247,7,1)&gt;=$AE247,DATE($AD247,7,1)&lt;=$AF247),ROUND($AG247,2),0))</f>
        <v/>
      </c>
      <c r="Q247" s="18">
        <f>IF($Z247="","",IF(AND(DATE($AD247,8,1)&gt;=$AE247,DATE($AD247,8,1)&lt;=$AF247),ROUND($AG247,2),0))</f>
        <v/>
      </c>
      <c r="R247" s="18">
        <f>IF($Z247="","",IF(AND(DATE($AD247,9,1)&gt;=$AE247,DATE($AD247,9,1)&lt;=$AF247),ROUND($AG247,2),0))</f>
        <v/>
      </c>
      <c r="S247" s="18">
        <f>IF($Z247="","",IF(AND(DATE($AD247,10,1)&gt;=$AE247,DATE($AD247,10,1)&lt;=$AF247),ROUND($AG247,2),0))</f>
        <v/>
      </c>
      <c r="T247" s="18">
        <f>IF($Z247="","",IF(AND(DATE($AD247,11,1)&gt;=$AE247,DATE($AD247,11,1)&lt;=$AF247),ROUND($AG247,2),0))</f>
        <v/>
      </c>
      <c r="U247" s="18">
        <f>IF($Z247="","",IF(AND(DATE($AD247,12,1)&gt;=$AE247,DATE($AD247,12,1)&lt;=$AF247),ROUND($AG247,2),0))</f>
        <v/>
      </c>
      <c r="V247" s="7">
        <f>IF($Z247="C","Generated from "&amp;INDEX(Contracts!$A$2:$A$151,$AB247),IF($Z247="A","Generated from "&amp;INDEX(Fixed_Assets!$A$2:$A$201,$AB247),IF($Z247="F","Generated from "&amp;INDEX(FTE_Allocation!$A$2:$A$201,$AB247),"")))</f>
        <v/>
      </c>
      <c r="X247" s="19">
        <f>IF($Z247="","",SUM(J247:U247))</f>
        <v/>
      </c>
      <c r="Y247" s="20">
        <f>ROW()-1</f>
        <v/>
      </c>
      <c r="Z247" s="20">
        <f>IF($Y247&lt;=Settings!$B$4*3,"C",IF($Y247&lt;=(Settings!$B$4+Settings!$B$5)*3,"A",IF($Y247&lt;=(Settings!$B$4+Settings!$B$5+Settings!$B$6)*3,"F","")))</f>
        <v/>
      </c>
      <c r="AA247" s="20">
        <f>IF($Z247="C",$Y247,IF($Z247="A",$Y247-Settings!$B$4*3,IF($Z247="F",$Y247-(Settings!$B$4+Settings!$B$5)*3,"")))</f>
        <v/>
      </c>
      <c r="AB247" s="20">
        <f>IF($Z247="","",INT(($AA247-1)/3)+1)</f>
        <v/>
      </c>
      <c r="AC247" s="20">
        <f>IF($Z247="","",MOD($AA247-1,3)+1)</f>
        <v/>
      </c>
      <c r="AD247" s="20">
        <f>IF($Z247="","",Settings!$B$2+$AC247-1)</f>
        <v/>
      </c>
      <c r="AE247" s="21">
        <f>IF($Z247="C",DATE(YEAR(INDEX(Contracts!$J$2:$J$151,$AB247)),MONTH(INDEX(Contracts!$J$2:$J$151,$AB247)),1),IF($Z247="A",DATE(YEAR(INDEX(Fixed_Assets!$G$2:$G$201,$AB247)),MONTH(INDEX(Fixed_Assets!$G$2:$G$201,$AB247)),1),IF($Z247="F",DATE(YEAR(MAX(N(INDEX(Workforce!$I$2:$I$151,MATCH(INDEX(FTE_Allocation!$A$2:$A$201,$AB247),Workforce!$A$2:$A$151,0))),N(INDEX(FTE_Allocation!$I$2:$I$201,$AB247)))),MONTH(MAX(N(INDEX(Workforce!$I$2:$I$151,MATCH(INDEX(FTE_Allocation!$A$2:$A$201,$AB247),Workforce!$A$2:$A$151,0))),N(INDEX(FTE_Allocation!$I$2:$I$201,$AB247)))),1),"")))</f>
        <v/>
      </c>
      <c r="AF247" s="21">
        <f>IF($Z247="C",IF(INDEX(Contracts!$I$2:$I$151,$AB247)="PREPAID",EDATE(DATE(YEAR(INDEX(Contracts!$J$2:$J$151,$AB247)),MONTH(INDEX(Contracts!$J$2:$J$151,$AB247)),1),IF(INDEX(Contracts!$N$2:$N$151,$AB247)="",12,INDEX(Contracts!$N$2:$N$151,$AB247))-1),IF(INDEX(Contracts!$I$2:$I$151,$AB247)="MONTHLY",IF(INDEX(Contracts!$K$2:$K$151,$AB247)="",2958101,INDEX(Contracts!$K$2:$K$151,$AB247)),0)),IF($Z247="A",EDATE(DATE(YEAR(INDEX(Fixed_Assets!$G$2:$G$201,$AB247)),MONTH(INDEX(Fixed_Assets!$G$2:$G$201,$AB247)),1),INDEX(Fixed_Assets!$J$2:$J$201,$AB247)-1),IF($Z247="F",MIN(IF(INDEX(Workforce!$J$2:$J$151,MATCH(INDEX(FTE_Allocation!$A$2:$A$201,$AB247),Workforce!$A$2:$A$151,0))="",2958101,INDEX(Workforce!$J$2:$J$151,MATCH(INDEX(FTE_Allocation!$A$2:$A$201,$AB247),Workforce!$A$2:$A$151,0))),IF(INDEX(FTE_Allocation!$J$2:$J$201,$AB247)="",2958101,INDEX(FTE_Allocation!$J$2:$J$201,$AB247))),"")))</f>
        <v/>
      </c>
      <c r="AG247" s="19">
        <f>IF($Z247="C",IF(INDEX(Contracts!$I$2:$I$151,$AB247)="PREPAID",INDEX(Contracts!$M$2:$M$151,$AB247)/IF(INDEX(Contracts!$N$2:$N$151,$AB247)="",12,INDEX(Contracts!$N$2:$N$151,$AB247)),IF(INDEX(Contracts!$I$2:$I$151,$AB247)="MONTHLY",INDEX(Contracts!$M$2:$M$151,$AB247),0))*(1-N(INDEX(Contracts!$O$2:$O$151,$AB247))),IF($Z247="A",INDEX(Fixed_Assets!$H$2:$H$201,$AB247)/INDEX(Fixed_Assets!$J$2:$J$201,$AB247),IF($Z247="F",INDEX(Workforce!$F$2:$F$151,MATCH(INDEX(FTE_Allocation!$A$2:$A$201,$AB247),Workforce!$A$2:$A$151,0))*N(INDEX(FTE_Allocation!$F$2:$H$201,$AB247,$AC247)),"")))</f>
        <v/>
      </c>
    </row>
    <row r="248">
      <c r="A248" s="7">
        <f>IF($Z248="","",$AD248)</f>
        <v/>
      </c>
      <c r="B248" s="7">
        <f>IF($Z248="C",INDEX(Contracts!$D$2:$D$151,$AB248)&amp;"",IF($Z248="A",INDEX(Fixed_Assets!$C$2:$C$201,$AB248)&amp;"",IF($Z248="F",INDEX(Workforce!$B$2:$B$151,MATCH(INDEX(FTE_Allocation!$A$2:$A$201,$AB248),Workforce!$A$2:$A$151,0))&amp;"","")))</f>
        <v/>
      </c>
      <c r="C248" s="7">
        <f>IF($Z248="C",INDEX(Contracts!$E$2:$E$151,$AB248)&amp;"",IF($Z248="A",INDEX(Fixed_Assets!$D$2:$D$201,$AB248)&amp;"",IF($Z248="F",INDEX(FTE_Allocation!$C$2:$C$201,$AB248)&amp;"","")))</f>
        <v/>
      </c>
      <c r="D248" s="7">
        <f>IF($Z248="C",INDEX(Contracts!$B$2:$B$151,$AB248)&amp;"",IF($Z248="A",INDEX(Fixed_Assets!$B$2:$B$201,$AB248)&amp;"",IF($Z248="F",INDEX(FTE_Allocation!$B$2:$B$201,$AB248)&amp;"","")))</f>
        <v/>
      </c>
      <c r="E248" s="7">
        <f>IF($Z248="C",INDEX(Contracts!$P$2:$P$151,$AB248)&amp;"",IF($Z248="A",INDEX(Fixed_Assets!$K$2:$K$201,$AB248)&amp;"",IF($Z248="F",IF(INDEX(FTE_Allocation!$D$2:$D$201,$AB248)="PROJECT",IFERROR(INDEX(Projects!$D:$D,MATCH(INDEX(FTE_Allocation!$E$2:$E$201,$AB248),Projects!$A:$A,0))&amp;"","#PROJECT?"),INDEX(FTE_Allocation!$E$2:$E$201,$AB248)&amp;""),"")))</f>
        <v/>
      </c>
      <c r="F248" s="7">
        <f>IF($Z248="C",INDEX(Contracts!$Q$2:$Q$151,$AB248)&amp;"",IF($Z248="A",INDEX(Fixed_Assets!$L$2:$L$201,$AB248)&amp;"",IF($Z248="F",INDEX(Workforce!$K$2:$K$151,MATCH(INDEX(FTE_Allocation!$A$2:$A$201,$AB248),Workforce!$A$2:$A$151,0))&amp;"","")))</f>
        <v/>
      </c>
      <c r="G248" s="7">
        <f>IF($Z248="C",INDEX(Contracts!$F$2:$F$151,$AB248)&amp;" / "&amp;INDEX(Contracts!$G$2:$G$151,$AB248),IF($Z248="A",INDEX(Fixed_Assets!$E$2:$E$201,$AB248)&amp;"",IF($Z248="F","Personnel "&amp;INDEX(FTE_Allocation!$A$2:$A$201,$AB248)&amp;IF(INDEX(FTE_Allocation!$D$2:$D$201,$AB248)="PROJECT"," ("&amp;INDEX(FTE_Allocation!$E$2:$E$201,$AB248)&amp;")",""),"")))</f>
        <v/>
      </c>
      <c r="H248" s="7">
        <f>IF($Z248="C","CONTRACT",IF($Z248="A","ASSET",IF($Z248="F","WORKFORCE","")))</f>
        <v/>
      </c>
      <c r="I248" s="7">
        <f>IF($Z248="C",INDEX(Contracts!$L$2:$L$151,$AB248)&amp;"",IF($Z248="A",INDEX(Fixed_Assets!$I$2:$I$201,$AB248)&amp;"",IF($Z248="F",INDEX(Workforce!$G$2:$G$151,MATCH(INDEX(FTE_Allocation!$A$2:$A$201,$AB248),Workforce!$A$2:$A$151,0))&amp;"","")))</f>
        <v/>
      </c>
      <c r="J248" s="18">
        <f>IF($Z248="","",IF(AND(DATE($AD248,1,1)&gt;=$AE248,DATE($AD248,1,1)&lt;=$AF248),ROUND($AG248,2),0))</f>
        <v/>
      </c>
      <c r="K248" s="18">
        <f>IF($Z248="","",IF(AND(DATE($AD248,2,1)&gt;=$AE248,DATE($AD248,2,1)&lt;=$AF248),ROUND($AG248,2),0))</f>
        <v/>
      </c>
      <c r="L248" s="18">
        <f>IF($Z248="","",IF(AND(DATE($AD248,3,1)&gt;=$AE248,DATE($AD248,3,1)&lt;=$AF248),ROUND($AG248,2),0))</f>
        <v/>
      </c>
      <c r="M248" s="18">
        <f>IF($Z248="","",IF(AND(DATE($AD248,4,1)&gt;=$AE248,DATE($AD248,4,1)&lt;=$AF248),ROUND($AG248,2),0))</f>
        <v/>
      </c>
      <c r="N248" s="18">
        <f>IF($Z248="","",IF(AND(DATE($AD248,5,1)&gt;=$AE248,DATE($AD248,5,1)&lt;=$AF248),ROUND($AG248,2),0))</f>
        <v/>
      </c>
      <c r="O248" s="18">
        <f>IF($Z248="","",IF(AND(DATE($AD248,6,1)&gt;=$AE248,DATE($AD248,6,1)&lt;=$AF248),ROUND($AG248,2),0))</f>
        <v/>
      </c>
      <c r="P248" s="18">
        <f>IF($Z248="","",IF(AND(DATE($AD248,7,1)&gt;=$AE248,DATE($AD248,7,1)&lt;=$AF248),ROUND($AG248,2),0))</f>
        <v/>
      </c>
      <c r="Q248" s="18">
        <f>IF($Z248="","",IF(AND(DATE($AD248,8,1)&gt;=$AE248,DATE($AD248,8,1)&lt;=$AF248),ROUND($AG248,2),0))</f>
        <v/>
      </c>
      <c r="R248" s="18">
        <f>IF($Z248="","",IF(AND(DATE($AD248,9,1)&gt;=$AE248,DATE($AD248,9,1)&lt;=$AF248),ROUND($AG248,2),0))</f>
        <v/>
      </c>
      <c r="S248" s="18">
        <f>IF($Z248="","",IF(AND(DATE($AD248,10,1)&gt;=$AE248,DATE($AD248,10,1)&lt;=$AF248),ROUND($AG248,2),0))</f>
        <v/>
      </c>
      <c r="T248" s="18">
        <f>IF($Z248="","",IF(AND(DATE($AD248,11,1)&gt;=$AE248,DATE($AD248,11,1)&lt;=$AF248),ROUND($AG248,2),0))</f>
        <v/>
      </c>
      <c r="U248" s="18">
        <f>IF($Z248="","",IF(AND(DATE($AD248,12,1)&gt;=$AE248,DATE($AD248,12,1)&lt;=$AF248),ROUND($AG248,2),0))</f>
        <v/>
      </c>
      <c r="V248" s="7">
        <f>IF($Z248="C","Generated from "&amp;INDEX(Contracts!$A$2:$A$151,$AB248),IF($Z248="A","Generated from "&amp;INDEX(Fixed_Assets!$A$2:$A$201,$AB248),IF($Z248="F","Generated from "&amp;INDEX(FTE_Allocation!$A$2:$A$201,$AB248),"")))</f>
        <v/>
      </c>
      <c r="X248" s="19">
        <f>IF($Z248="","",SUM(J248:U248))</f>
        <v/>
      </c>
      <c r="Y248" s="20">
        <f>ROW()-1</f>
        <v/>
      </c>
      <c r="Z248" s="20">
        <f>IF($Y248&lt;=Settings!$B$4*3,"C",IF($Y248&lt;=(Settings!$B$4+Settings!$B$5)*3,"A",IF($Y248&lt;=(Settings!$B$4+Settings!$B$5+Settings!$B$6)*3,"F","")))</f>
        <v/>
      </c>
      <c r="AA248" s="20">
        <f>IF($Z248="C",$Y248,IF($Z248="A",$Y248-Settings!$B$4*3,IF($Z248="F",$Y248-(Settings!$B$4+Settings!$B$5)*3,"")))</f>
        <v/>
      </c>
      <c r="AB248" s="20">
        <f>IF($Z248="","",INT(($AA248-1)/3)+1)</f>
        <v/>
      </c>
      <c r="AC248" s="20">
        <f>IF($Z248="","",MOD($AA248-1,3)+1)</f>
        <v/>
      </c>
      <c r="AD248" s="20">
        <f>IF($Z248="","",Settings!$B$2+$AC248-1)</f>
        <v/>
      </c>
      <c r="AE248" s="21">
        <f>IF($Z248="C",DATE(YEAR(INDEX(Contracts!$J$2:$J$151,$AB248)),MONTH(INDEX(Contracts!$J$2:$J$151,$AB248)),1),IF($Z248="A",DATE(YEAR(INDEX(Fixed_Assets!$G$2:$G$201,$AB248)),MONTH(INDEX(Fixed_Assets!$G$2:$G$201,$AB248)),1),IF($Z248="F",DATE(YEAR(MAX(N(INDEX(Workforce!$I$2:$I$151,MATCH(INDEX(FTE_Allocation!$A$2:$A$201,$AB248),Workforce!$A$2:$A$151,0))),N(INDEX(FTE_Allocation!$I$2:$I$201,$AB248)))),MONTH(MAX(N(INDEX(Workforce!$I$2:$I$151,MATCH(INDEX(FTE_Allocation!$A$2:$A$201,$AB248),Workforce!$A$2:$A$151,0))),N(INDEX(FTE_Allocation!$I$2:$I$201,$AB248)))),1),"")))</f>
        <v/>
      </c>
      <c r="AF248" s="21">
        <f>IF($Z248="C",IF(INDEX(Contracts!$I$2:$I$151,$AB248)="PREPAID",EDATE(DATE(YEAR(INDEX(Contracts!$J$2:$J$151,$AB248)),MONTH(INDEX(Contracts!$J$2:$J$151,$AB248)),1),IF(INDEX(Contracts!$N$2:$N$151,$AB248)="",12,INDEX(Contracts!$N$2:$N$151,$AB248))-1),IF(INDEX(Contracts!$I$2:$I$151,$AB248)="MONTHLY",IF(INDEX(Contracts!$K$2:$K$151,$AB248)="",2958101,INDEX(Contracts!$K$2:$K$151,$AB248)),0)),IF($Z248="A",EDATE(DATE(YEAR(INDEX(Fixed_Assets!$G$2:$G$201,$AB248)),MONTH(INDEX(Fixed_Assets!$G$2:$G$201,$AB248)),1),INDEX(Fixed_Assets!$J$2:$J$201,$AB248)-1),IF($Z248="F",MIN(IF(INDEX(Workforce!$J$2:$J$151,MATCH(INDEX(FTE_Allocation!$A$2:$A$201,$AB248),Workforce!$A$2:$A$151,0))="",2958101,INDEX(Workforce!$J$2:$J$151,MATCH(INDEX(FTE_Allocation!$A$2:$A$201,$AB248),Workforce!$A$2:$A$151,0))),IF(INDEX(FTE_Allocation!$J$2:$J$201,$AB248)="",2958101,INDEX(FTE_Allocation!$J$2:$J$201,$AB248))),"")))</f>
        <v/>
      </c>
      <c r="AG248" s="19">
        <f>IF($Z248="C",IF(INDEX(Contracts!$I$2:$I$151,$AB248)="PREPAID",INDEX(Contracts!$M$2:$M$151,$AB248)/IF(INDEX(Contracts!$N$2:$N$151,$AB248)="",12,INDEX(Contracts!$N$2:$N$151,$AB248)),IF(INDEX(Contracts!$I$2:$I$151,$AB248)="MONTHLY",INDEX(Contracts!$M$2:$M$151,$AB248),0))*(1-N(INDEX(Contracts!$O$2:$O$151,$AB248))),IF($Z248="A",INDEX(Fixed_Assets!$H$2:$H$201,$AB248)/INDEX(Fixed_Assets!$J$2:$J$201,$AB248),IF($Z248="F",INDEX(Workforce!$F$2:$F$151,MATCH(INDEX(FTE_Allocation!$A$2:$A$201,$AB248),Workforce!$A$2:$A$151,0))*N(INDEX(FTE_Allocation!$F$2:$H$201,$AB248,$AC248)),"")))</f>
        <v/>
      </c>
    </row>
    <row r="249">
      <c r="A249" s="7">
        <f>IF($Z249="","",$AD249)</f>
        <v/>
      </c>
      <c r="B249" s="7">
        <f>IF($Z249="C",INDEX(Contracts!$D$2:$D$151,$AB249)&amp;"",IF($Z249="A",INDEX(Fixed_Assets!$C$2:$C$201,$AB249)&amp;"",IF($Z249="F",INDEX(Workforce!$B$2:$B$151,MATCH(INDEX(FTE_Allocation!$A$2:$A$201,$AB249),Workforce!$A$2:$A$151,0))&amp;"","")))</f>
        <v/>
      </c>
      <c r="C249" s="7">
        <f>IF($Z249="C",INDEX(Contracts!$E$2:$E$151,$AB249)&amp;"",IF($Z249="A",INDEX(Fixed_Assets!$D$2:$D$201,$AB249)&amp;"",IF($Z249="F",INDEX(FTE_Allocation!$C$2:$C$201,$AB249)&amp;"","")))</f>
        <v/>
      </c>
      <c r="D249" s="7">
        <f>IF($Z249="C",INDEX(Contracts!$B$2:$B$151,$AB249)&amp;"",IF($Z249="A",INDEX(Fixed_Assets!$B$2:$B$201,$AB249)&amp;"",IF($Z249="F",INDEX(FTE_Allocation!$B$2:$B$201,$AB249)&amp;"","")))</f>
        <v/>
      </c>
      <c r="E249" s="7">
        <f>IF($Z249="C",INDEX(Contracts!$P$2:$P$151,$AB249)&amp;"",IF($Z249="A",INDEX(Fixed_Assets!$K$2:$K$201,$AB249)&amp;"",IF($Z249="F",IF(INDEX(FTE_Allocation!$D$2:$D$201,$AB249)="PROJECT",IFERROR(INDEX(Projects!$D:$D,MATCH(INDEX(FTE_Allocation!$E$2:$E$201,$AB249),Projects!$A:$A,0))&amp;"","#PROJECT?"),INDEX(FTE_Allocation!$E$2:$E$201,$AB249)&amp;""),"")))</f>
        <v/>
      </c>
      <c r="F249" s="7">
        <f>IF($Z249="C",INDEX(Contracts!$Q$2:$Q$151,$AB249)&amp;"",IF($Z249="A",INDEX(Fixed_Assets!$L$2:$L$201,$AB249)&amp;"",IF($Z249="F",INDEX(Workforce!$K$2:$K$151,MATCH(INDEX(FTE_Allocation!$A$2:$A$201,$AB249),Workforce!$A$2:$A$151,0))&amp;"","")))</f>
        <v/>
      </c>
      <c r="G249" s="7">
        <f>IF($Z249="C",INDEX(Contracts!$F$2:$F$151,$AB249)&amp;" / "&amp;INDEX(Contracts!$G$2:$G$151,$AB249),IF($Z249="A",INDEX(Fixed_Assets!$E$2:$E$201,$AB249)&amp;"",IF($Z249="F","Personnel "&amp;INDEX(FTE_Allocation!$A$2:$A$201,$AB249)&amp;IF(INDEX(FTE_Allocation!$D$2:$D$201,$AB249)="PROJECT"," ("&amp;INDEX(FTE_Allocation!$E$2:$E$201,$AB249)&amp;")",""),"")))</f>
        <v/>
      </c>
      <c r="H249" s="7">
        <f>IF($Z249="C","CONTRACT",IF($Z249="A","ASSET",IF($Z249="F","WORKFORCE","")))</f>
        <v/>
      </c>
      <c r="I249" s="7">
        <f>IF($Z249="C",INDEX(Contracts!$L$2:$L$151,$AB249)&amp;"",IF($Z249="A",INDEX(Fixed_Assets!$I$2:$I$201,$AB249)&amp;"",IF($Z249="F",INDEX(Workforce!$G$2:$G$151,MATCH(INDEX(FTE_Allocation!$A$2:$A$201,$AB249),Workforce!$A$2:$A$151,0))&amp;"","")))</f>
        <v/>
      </c>
      <c r="J249" s="18">
        <f>IF($Z249="","",IF(AND(DATE($AD249,1,1)&gt;=$AE249,DATE($AD249,1,1)&lt;=$AF249),ROUND($AG249,2),0))</f>
        <v/>
      </c>
      <c r="K249" s="18">
        <f>IF($Z249="","",IF(AND(DATE($AD249,2,1)&gt;=$AE249,DATE($AD249,2,1)&lt;=$AF249),ROUND($AG249,2),0))</f>
        <v/>
      </c>
      <c r="L249" s="18">
        <f>IF($Z249="","",IF(AND(DATE($AD249,3,1)&gt;=$AE249,DATE($AD249,3,1)&lt;=$AF249),ROUND($AG249,2),0))</f>
        <v/>
      </c>
      <c r="M249" s="18">
        <f>IF($Z249="","",IF(AND(DATE($AD249,4,1)&gt;=$AE249,DATE($AD249,4,1)&lt;=$AF249),ROUND($AG249,2),0))</f>
        <v/>
      </c>
      <c r="N249" s="18">
        <f>IF($Z249="","",IF(AND(DATE($AD249,5,1)&gt;=$AE249,DATE($AD249,5,1)&lt;=$AF249),ROUND($AG249,2),0))</f>
        <v/>
      </c>
      <c r="O249" s="18">
        <f>IF($Z249="","",IF(AND(DATE($AD249,6,1)&gt;=$AE249,DATE($AD249,6,1)&lt;=$AF249),ROUND($AG249,2),0))</f>
        <v/>
      </c>
      <c r="P249" s="18">
        <f>IF($Z249="","",IF(AND(DATE($AD249,7,1)&gt;=$AE249,DATE($AD249,7,1)&lt;=$AF249),ROUND($AG249,2),0))</f>
        <v/>
      </c>
      <c r="Q249" s="18">
        <f>IF($Z249="","",IF(AND(DATE($AD249,8,1)&gt;=$AE249,DATE($AD249,8,1)&lt;=$AF249),ROUND($AG249,2),0))</f>
        <v/>
      </c>
      <c r="R249" s="18">
        <f>IF($Z249="","",IF(AND(DATE($AD249,9,1)&gt;=$AE249,DATE($AD249,9,1)&lt;=$AF249),ROUND($AG249,2),0))</f>
        <v/>
      </c>
      <c r="S249" s="18">
        <f>IF($Z249="","",IF(AND(DATE($AD249,10,1)&gt;=$AE249,DATE($AD249,10,1)&lt;=$AF249),ROUND($AG249,2),0))</f>
        <v/>
      </c>
      <c r="T249" s="18">
        <f>IF($Z249="","",IF(AND(DATE($AD249,11,1)&gt;=$AE249,DATE($AD249,11,1)&lt;=$AF249),ROUND($AG249,2),0))</f>
        <v/>
      </c>
      <c r="U249" s="18">
        <f>IF($Z249="","",IF(AND(DATE($AD249,12,1)&gt;=$AE249,DATE($AD249,12,1)&lt;=$AF249),ROUND($AG249,2),0))</f>
        <v/>
      </c>
      <c r="V249" s="7">
        <f>IF($Z249="C","Generated from "&amp;INDEX(Contracts!$A$2:$A$151,$AB249),IF($Z249="A","Generated from "&amp;INDEX(Fixed_Assets!$A$2:$A$201,$AB249),IF($Z249="F","Generated from "&amp;INDEX(FTE_Allocation!$A$2:$A$201,$AB249),"")))</f>
        <v/>
      </c>
      <c r="X249" s="19">
        <f>IF($Z249="","",SUM(J249:U249))</f>
        <v/>
      </c>
      <c r="Y249" s="20">
        <f>ROW()-1</f>
        <v/>
      </c>
      <c r="Z249" s="20">
        <f>IF($Y249&lt;=Settings!$B$4*3,"C",IF($Y249&lt;=(Settings!$B$4+Settings!$B$5)*3,"A",IF($Y249&lt;=(Settings!$B$4+Settings!$B$5+Settings!$B$6)*3,"F","")))</f>
        <v/>
      </c>
      <c r="AA249" s="20">
        <f>IF($Z249="C",$Y249,IF($Z249="A",$Y249-Settings!$B$4*3,IF($Z249="F",$Y249-(Settings!$B$4+Settings!$B$5)*3,"")))</f>
        <v/>
      </c>
      <c r="AB249" s="20">
        <f>IF($Z249="","",INT(($AA249-1)/3)+1)</f>
        <v/>
      </c>
      <c r="AC249" s="20">
        <f>IF($Z249="","",MOD($AA249-1,3)+1)</f>
        <v/>
      </c>
      <c r="AD249" s="20">
        <f>IF($Z249="","",Settings!$B$2+$AC249-1)</f>
        <v/>
      </c>
      <c r="AE249" s="21">
        <f>IF($Z249="C",DATE(YEAR(INDEX(Contracts!$J$2:$J$151,$AB249)),MONTH(INDEX(Contracts!$J$2:$J$151,$AB249)),1),IF($Z249="A",DATE(YEAR(INDEX(Fixed_Assets!$G$2:$G$201,$AB249)),MONTH(INDEX(Fixed_Assets!$G$2:$G$201,$AB249)),1),IF($Z249="F",DATE(YEAR(MAX(N(INDEX(Workforce!$I$2:$I$151,MATCH(INDEX(FTE_Allocation!$A$2:$A$201,$AB249),Workforce!$A$2:$A$151,0))),N(INDEX(FTE_Allocation!$I$2:$I$201,$AB249)))),MONTH(MAX(N(INDEX(Workforce!$I$2:$I$151,MATCH(INDEX(FTE_Allocation!$A$2:$A$201,$AB249),Workforce!$A$2:$A$151,0))),N(INDEX(FTE_Allocation!$I$2:$I$201,$AB249)))),1),"")))</f>
        <v/>
      </c>
      <c r="AF249" s="21">
        <f>IF($Z249="C",IF(INDEX(Contracts!$I$2:$I$151,$AB249)="PREPAID",EDATE(DATE(YEAR(INDEX(Contracts!$J$2:$J$151,$AB249)),MONTH(INDEX(Contracts!$J$2:$J$151,$AB249)),1),IF(INDEX(Contracts!$N$2:$N$151,$AB249)="",12,INDEX(Contracts!$N$2:$N$151,$AB249))-1),IF(INDEX(Contracts!$I$2:$I$151,$AB249)="MONTHLY",IF(INDEX(Contracts!$K$2:$K$151,$AB249)="",2958101,INDEX(Contracts!$K$2:$K$151,$AB249)),0)),IF($Z249="A",EDATE(DATE(YEAR(INDEX(Fixed_Assets!$G$2:$G$201,$AB249)),MONTH(INDEX(Fixed_Assets!$G$2:$G$201,$AB249)),1),INDEX(Fixed_Assets!$J$2:$J$201,$AB249)-1),IF($Z249="F",MIN(IF(INDEX(Workforce!$J$2:$J$151,MATCH(INDEX(FTE_Allocation!$A$2:$A$201,$AB249),Workforce!$A$2:$A$151,0))="",2958101,INDEX(Workforce!$J$2:$J$151,MATCH(INDEX(FTE_Allocation!$A$2:$A$201,$AB249),Workforce!$A$2:$A$151,0))),IF(INDEX(FTE_Allocation!$J$2:$J$201,$AB249)="",2958101,INDEX(FTE_Allocation!$J$2:$J$201,$AB249))),"")))</f>
        <v/>
      </c>
      <c r="AG249" s="19">
        <f>IF($Z249="C",IF(INDEX(Contracts!$I$2:$I$151,$AB249)="PREPAID",INDEX(Contracts!$M$2:$M$151,$AB249)/IF(INDEX(Contracts!$N$2:$N$151,$AB249)="",12,INDEX(Contracts!$N$2:$N$151,$AB249)),IF(INDEX(Contracts!$I$2:$I$151,$AB249)="MONTHLY",INDEX(Contracts!$M$2:$M$151,$AB249),0))*(1-N(INDEX(Contracts!$O$2:$O$151,$AB249))),IF($Z249="A",INDEX(Fixed_Assets!$H$2:$H$201,$AB249)/INDEX(Fixed_Assets!$J$2:$J$201,$AB249),IF($Z249="F",INDEX(Workforce!$F$2:$F$151,MATCH(INDEX(FTE_Allocation!$A$2:$A$201,$AB249),Workforce!$A$2:$A$151,0))*N(INDEX(FTE_Allocation!$F$2:$H$201,$AB249,$AC249)),"")))</f>
        <v/>
      </c>
    </row>
    <row r="250">
      <c r="A250" s="7">
        <f>IF($Z250="","",$AD250)</f>
        <v/>
      </c>
      <c r="B250" s="7">
        <f>IF($Z250="C",INDEX(Contracts!$D$2:$D$151,$AB250)&amp;"",IF($Z250="A",INDEX(Fixed_Assets!$C$2:$C$201,$AB250)&amp;"",IF($Z250="F",INDEX(Workforce!$B$2:$B$151,MATCH(INDEX(FTE_Allocation!$A$2:$A$201,$AB250),Workforce!$A$2:$A$151,0))&amp;"","")))</f>
        <v/>
      </c>
      <c r="C250" s="7">
        <f>IF($Z250="C",INDEX(Contracts!$E$2:$E$151,$AB250)&amp;"",IF($Z250="A",INDEX(Fixed_Assets!$D$2:$D$201,$AB250)&amp;"",IF($Z250="F",INDEX(FTE_Allocation!$C$2:$C$201,$AB250)&amp;"","")))</f>
        <v/>
      </c>
      <c r="D250" s="7">
        <f>IF($Z250="C",INDEX(Contracts!$B$2:$B$151,$AB250)&amp;"",IF($Z250="A",INDEX(Fixed_Assets!$B$2:$B$201,$AB250)&amp;"",IF($Z250="F",INDEX(FTE_Allocation!$B$2:$B$201,$AB250)&amp;"","")))</f>
        <v/>
      </c>
      <c r="E250" s="7">
        <f>IF($Z250="C",INDEX(Contracts!$P$2:$P$151,$AB250)&amp;"",IF($Z250="A",INDEX(Fixed_Assets!$K$2:$K$201,$AB250)&amp;"",IF($Z250="F",IF(INDEX(FTE_Allocation!$D$2:$D$201,$AB250)="PROJECT",IFERROR(INDEX(Projects!$D:$D,MATCH(INDEX(FTE_Allocation!$E$2:$E$201,$AB250),Projects!$A:$A,0))&amp;"","#PROJECT?"),INDEX(FTE_Allocation!$E$2:$E$201,$AB250)&amp;""),"")))</f>
        <v/>
      </c>
      <c r="F250" s="7">
        <f>IF($Z250="C",INDEX(Contracts!$Q$2:$Q$151,$AB250)&amp;"",IF($Z250="A",INDEX(Fixed_Assets!$L$2:$L$201,$AB250)&amp;"",IF($Z250="F",INDEX(Workforce!$K$2:$K$151,MATCH(INDEX(FTE_Allocation!$A$2:$A$201,$AB250),Workforce!$A$2:$A$151,0))&amp;"","")))</f>
        <v/>
      </c>
      <c r="G250" s="7">
        <f>IF($Z250="C",INDEX(Contracts!$F$2:$F$151,$AB250)&amp;" / "&amp;INDEX(Contracts!$G$2:$G$151,$AB250),IF($Z250="A",INDEX(Fixed_Assets!$E$2:$E$201,$AB250)&amp;"",IF($Z250="F","Personnel "&amp;INDEX(FTE_Allocation!$A$2:$A$201,$AB250)&amp;IF(INDEX(FTE_Allocation!$D$2:$D$201,$AB250)="PROJECT"," ("&amp;INDEX(FTE_Allocation!$E$2:$E$201,$AB250)&amp;")",""),"")))</f>
        <v/>
      </c>
      <c r="H250" s="7">
        <f>IF($Z250="C","CONTRACT",IF($Z250="A","ASSET",IF($Z250="F","WORKFORCE","")))</f>
        <v/>
      </c>
      <c r="I250" s="7">
        <f>IF($Z250="C",INDEX(Contracts!$L$2:$L$151,$AB250)&amp;"",IF($Z250="A",INDEX(Fixed_Assets!$I$2:$I$201,$AB250)&amp;"",IF($Z250="F",INDEX(Workforce!$G$2:$G$151,MATCH(INDEX(FTE_Allocation!$A$2:$A$201,$AB250),Workforce!$A$2:$A$151,0))&amp;"","")))</f>
        <v/>
      </c>
      <c r="J250" s="18">
        <f>IF($Z250="","",IF(AND(DATE($AD250,1,1)&gt;=$AE250,DATE($AD250,1,1)&lt;=$AF250),ROUND($AG250,2),0))</f>
        <v/>
      </c>
      <c r="K250" s="18">
        <f>IF($Z250="","",IF(AND(DATE($AD250,2,1)&gt;=$AE250,DATE($AD250,2,1)&lt;=$AF250),ROUND($AG250,2),0))</f>
        <v/>
      </c>
      <c r="L250" s="18">
        <f>IF($Z250="","",IF(AND(DATE($AD250,3,1)&gt;=$AE250,DATE($AD250,3,1)&lt;=$AF250),ROUND($AG250,2),0))</f>
        <v/>
      </c>
      <c r="M250" s="18">
        <f>IF($Z250="","",IF(AND(DATE($AD250,4,1)&gt;=$AE250,DATE($AD250,4,1)&lt;=$AF250),ROUND($AG250,2),0))</f>
        <v/>
      </c>
      <c r="N250" s="18">
        <f>IF($Z250="","",IF(AND(DATE($AD250,5,1)&gt;=$AE250,DATE($AD250,5,1)&lt;=$AF250),ROUND($AG250,2),0))</f>
        <v/>
      </c>
      <c r="O250" s="18">
        <f>IF($Z250="","",IF(AND(DATE($AD250,6,1)&gt;=$AE250,DATE($AD250,6,1)&lt;=$AF250),ROUND($AG250,2),0))</f>
        <v/>
      </c>
      <c r="P250" s="18">
        <f>IF($Z250="","",IF(AND(DATE($AD250,7,1)&gt;=$AE250,DATE($AD250,7,1)&lt;=$AF250),ROUND($AG250,2),0))</f>
        <v/>
      </c>
      <c r="Q250" s="18">
        <f>IF($Z250="","",IF(AND(DATE($AD250,8,1)&gt;=$AE250,DATE($AD250,8,1)&lt;=$AF250),ROUND($AG250,2),0))</f>
        <v/>
      </c>
      <c r="R250" s="18">
        <f>IF($Z250="","",IF(AND(DATE($AD250,9,1)&gt;=$AE250,DATE($AD250,9,1)&lt;=$AF250),ROUND($AG250,2),0))</f>
        <v/>
      </c>
      <c r="S250" s="18">
        <f>IF($Z250="","",IF(AND(DATE($AD250,10,1)&gt;=$AE250,DATE($AD250,10,1)&lt;=$AF250),ROUND($AG250,2),0))</f>
        <v/>
      </c>
      <c r="T250" s="18">
        <f>IF($Z250="","",IF(AND(DATE($AD250,11,1)&gt;=$AE250,DATE($AD250,11,1)&lt;=$AF250),ROUND($AG250,2),0))</f>
        <v/>
      </c>
      <c r="U250" s="18">
        <f>IF($Z250="","",IF(AND(DATE($AD250,12,1)&gt;=$AE250,DATE($AD250,12,1)&lt;=$AF250),ROUND($AG250,2),0))</f>
        <v/>
      </c>
      <c r="V250" s="7">
        <f>IF($Z250="C","Generated from "&amp;INDEX(Contracts!$A$2:$A$151,$AB250),IF($Z250="A","Generated from "&amp;INDEX(Fixed_Assets!$A$2:$A$201,$AB250),IF($Z250="F","Generated from "&amp;INDEX(FTE_Allocation!$A$2:$A$201,$AB250),"")))</f>
        <v/>
      </c>
      <c r="X250" s="19">
        <f>IF($Z250="","",SUM(J250:U250))</f>
        <v/>
      </c>
      <c r="Y250" s="20">
        <f>ROW()-1</f>
        <v/>
      </c>
      <c r="Z250" s="20">
        <f>IF($Y250&lt;=Settings!$B$4*3,"C",IF($Y250&lt;=(Settings!$B$4+Settings!$B$5)*3,"A",IF($Y250&lt;=(Settings!$B$4+Settings!$B$5+Settings!$B$6)*3,"F","")))</f>
        <v/>
      </c>
      <c r="AA250" s="20">
        <f>IF($Z250="C",$Y250,IF($Z250="A",$Y250-Settings!$B$4*3,IF($Z250="F",$Y250-(Settings!$B$4+Settings!$B$5)*3,"")))</f>
        <v/>
      </c>
      <c r="AB250" s="20">
        <f>IF($Z250="","",INT(($AA250-1)/3)+1)</f>
        <v/>
      </c>
      <c r="AC250" s="20">
        <f>IF($Z250="","",MOD($AA250-1,3)+1)</f>
        <v/>
      </c>
      <c r="AD250" s="20">
        <f>IF($Z250="","",Settings!$B$2+$AC250-1)</f>
        <v/>
      </c>
      <c r="AE250" s="21">
        <f>IF($Z250="C",DATE(YEAR(INDEX(Contracts!$J$2:$J$151,$AB250)),MONTH(INDEX(Contracts!$J$2:$J$151,$AB250)),1),IF($Z250="A",DATE(YEAR(INDEX(Fixed_Assets!$G$2:$G$201,$AB250)),MONTH(INDEX(Fixed_Assets!$G$2:$G$201,$AB250)),1),IF($Z250="F",DATE(YEAR(MAX(N(INDEX(Workforce!$I$2:$I$151,MATCH(INDEX(FTE_Allocation!$A$2:$A$201,$AB250),Workforce!$A$2:$A$151,0))),N(INDEX(FTE_Allocation!$I$2:$I$201,$AB250)))),MONTH(MAX(N(INDEX(Workforce!$I$2:$I$151,MATCH(INDEX(FTE_Allocation!$A$2:$A$201,$AB250),Workforce!$A$2:$A$151,0))),N(INDEX(FTE_Allocation!$I$2:$I$201,$AB250)))),1),"")))</f>
        <v/>
      </c>
      <c r="AF250" s="21">
        <f>IF($Z250="C",IF(INDEX(Contracts!$I$2:$I$151,$AB250)="PREPAID",EDATE(DATE(YEAR(INDEX(Contracts!$J$2:$J$151,$AB250)),MONTH(INDEX(Contracts!$J$2:$J$151,$AB250)),1),IF(INDEX(Contracts!$N$2:$N$151,$AB250)="",12,INDEX(Contracts!$N$2:$N$151,$AB250))-1),IF(INDEX(Contracts!$I$2:$I$151,$AB250)="MONTHLY",IF(INDEX(Contracts!$K$2:$K$151,$AB250)="",2958101,INDEX(Contracts!$K$2:$K$151,$AB250)),0)),IF($Z250="A",EDATE(DATE(YEAR(INDEX(Fixed_Assets!$G$2:$G$201,$AB250)),MONTH(INDEX(Fixed_Assets!$G$2:$G$201,$AB250)),1),INDEX(Fixed_Assets!$J$2:$J$201,$AB250)-1),IF($Z250="F",MIN(IF(INDEX(Workforce!$J$2:$J$151,MATCH(INDEX(FTE_Allocation!$A$2:$A$201,$AB250),Workforce!$A$2:$A$151,0))="",2958101,INDEX(Workforce!$J$2:$J$151,MATCH(INDEX(FTE_Allocation!$A$2:$A$201,$AB250),Workforce!$A$2:$A$151,0))),IF(INDEX(FTE_Allocation!$J$2:$J$201,$AB250)="",2958101,INDEX(FTE_Allocation!$J$2:$J$201,$AB250))),"")))</f>
        <v/>
      </c>
      <c r="AG250" s="19">
        <f>IF($Z250="C",IF(INDEX(Contracts!$I$2:$I$151,$AB250)="PREPAID",INDEX(Contracts!$M$2:$M$151,$AB250)/IF(INDEX(Contracts!$N$2:$N$151,$AB250)="",12,INDEX(Contracts!$N$2:$N$151,$AB250)),IF(INDEX(Contracts!$I$2:$I$151,$AB250)="MONTHLY",INDEX(Contracts!$M$2:$M$151,$AB250),0))*(1-N(INDEX(Contracts!$O$2:$O$151,$AB250))),IF($Z250="A",INDEX(Fixed_Assets!$H$2:$H$201,$AB250)/INDEX(Fixed_Assets!$J$2:$J$201,$AB250),IF($Z250="F",INDEX(Workforce!$F$2:$F$151,MATCH(INDEX(FTE_Allocation!$A$2:$A$201,$AB250),Workforce!$A$2:$A$151,0))*N(INDEX(FTE_Allocation!$F$2:$H$201,$AB250,$AC250)),"")))</f>
        <v/>
      </c>
    </row>
    <row r="251">
      <c r="A251" s="7">
        <f>IF($Z251="","",$AD251)</f>
        <v/>
      </c>
      <c r="B251" s="7">
        <f>IF($Z251="C",INDEX(Contracts!$D$2:$D$151,$AB251)&amp;"",IF($Z251="A",INDEX(Fixed_Assets!$C$2:$C$201,$AB251)&amp;"",IF($Z251="F",INDEX(Workforce!$B$2:$B$151,MATCH(INDEX(FTE_Allocation!$A$2:$A$201,$AB251),Workforce!$A$2:$A$151,0))&amp;"","")))</f>
        <v/>
      </c>
      <c r="C251" s="7">
        <f>IF($Z251="C",INDEX(Contracts!$E$2:$E$151,$AB251)&amp;"",IF($Z251="A",INDEX(Fixed_Assets!$D$2:$D$201,$AB251)&amp;"",IF($Z251="F",INDEX(FTE_Allocation!$C$2:$C$201,$AB251)&amp;"","")))</f>
        <v/>
      </c>
      <c r="D251" s="7">
        <f>IF($Z251="C",INDEX(Contracts!$B$2:$B$151,$AB251)&amp;"",IF($Z251="A",INDEX(Fixed_Assets!$B$2:$B$201,$AB251)&amp;"",IF($Z251="F",INDEX(FTE_Allocation!$B$2:$B$201,$AB251)&amp;"","")))</f>
        <v/>
      </c>
      <c r="E251" s="7">
        <f>IF($Z251="C",INDEX(Contracts!$P$2:$P$151,$AB251)&amp;"",IF($Z251="A",INDEX(Fixed_Assets!$K$2:$K$201,$AB251)&amp;"",IF($Z251="F",IF(INDEX(FTE_Allocation!$D$2:$D$201,$AB251)="PROJECT",IFERROR(INDEX(Projects!$D:$D,MATCH(INDEX(FTE_Allocation!$E$2:$E$201,$AB251),Projects!$A:$A,0))&amp;"","#PROJECT?"),INDEX(FTE_Allocation!$E$2:$E$201,$AB251)&amp;""),"")))</f>
        <v/>
      </c>
      <c r="F251" s="7">
        <f>IF($Z251="C",INDEX(Contracts!$Q$2:$Q$151,$AB251)&amp;"",IF($Z251="A",INDEX(Fixed_Assets!$L$2:$L$201,$AB251)&amp;"",IF($Z251="F",INDEX(Workforce!$K$2:$K$151,MATCH(INDEX(FTE_Allocation!$A$2:$A$201,$AB251),Workforce!$A$2:$A$151,0))&amp;"","")))</f>
        <v/>
      </c>
      <c r="G251" s="7">
        <f>IF($Z251="C",INDEX(Contracts!$F$2:$F$151,$AB251)&amp;" / "&amp;INDEX(Contracts!$G$2:$G$151,$AB251),IF($Z251="A",INDEX(Fixed_Assets!$E$2:$E$201,$AB251)&amp;"",IF($Z251="F","Personnel "&amp;INDEX(FTE_Allocation!$A$2:$A$201,$AB251)&amp;IF(INDEX(FTE_Allocation!$D$2:$D$201,$AB251)="PROJECT"," ("&amp;INDEX(FTE_Allocation!$E$2:$E$201,$AB251)&amp;")",""),"")))</f>
        <v/>
      </c>
      <c r="H251" s="7">
        <f>IF($Z251="C","CONTRACT",IF($Z251="A","ASSET",IF($Z251="F","WORKFORCE","")))</f>
        <v/>
      </c>
      <c r="I251" s="7">
        <f>IF($Z251="C",INDEX(Contracts!$L$2:$L$151,$AB251)&amp;"",IF($Z251="A",INDEX(Fixed_Assets!$I$2:$I$201,$AB251)&amp;"",IF($Z251="F",INDEX(Workforce!$G$2:$G$151,MATCH(INDEX(FTE_Allocation!$A$2:$A$201,$AB251),Workforce!$A$2:$A$151,0))&amp;"","")))</f>
        <v/>
      </c>
      <c r="J251" s="18">
        <f>IF($Z251="","",IF(AND(DATE($AD251,1,1)&gt;=$AE251,DATE($AD251,1,1)&lt;=$AF251),ROUND($AG251,2),0))</f>
        <v/>
      </c>
      <c r="K251" s="18">
        <f>IF($Z251="","",IF(AND(DATE($AD251,2,1)&gt;=$AE251,DATE($AD251,2,1)&lt;=$AF251),ROUND($AG251,2),0))</f>
        <v/>
      </c>
      <c r="L251" s="18">
        <f>IF($Z251="","",IF(AND(DATE($AD251,3,1)&gt;=$AE251,DATE($AD251,3,1)&lt;=$AF251),ROUND($AG251,2),0))</f>
        <v/>
      </c>
      <c r="M251" s="18">
        <f>IF($Z251="","",IF(AND(DATE($AD251,4,1)&gt;=$AE251,DATE($AD251,4,1)&lt;=$AF251),ROUND($AG251,2),0))</f>
        <v/>
      </c>
      <c r="N251" s="18">
        <f>IF($Z251="","",IF(AND(DATE($AD251,5,1)&gt;=$AE251,DATE($AD251,5,1)&lt;=$AF251),ROUND($AG251,2),0))</f>
        <v/>
      </c>
      <c r="O251" s="18">
        <f>IF($Z251="","",IF(AND(DATE($AD251,6,1)&gt;=$AE251,DATE($AD251,6,1)&lt;=$AF251),ROUND($AG251,2),0))</f>
        <v/>
      </c>
      <c r="P251" s="18">
        <f>IF($Z251="","",IF(AND(DATE($AD251,7,1)&gt;=$AE251,DATE($AD251,7,1)&lt;=$AF251),ROUND($AG251,2),0))</f>
        <v/>
      </c>
      <c r="Q251" s="18">
        <f>IF($Z251="","",IF(AND(DATE($AD251,8,1)&gt;=$AE251,DATE($AD251,8,1)&lt;=$AF251),ROUND($AG251,2),0))</f>
        <v/>
      </c>
      <c r="R251" s="18">
        <f>IF($Z251="","",IF(AND(DATE($AD251,9,1)&gt;=$AE251,DATE($AD251,9,1)&lt;=$AF251),ROUND($AG251,2),0))</f>
        <v/>
      </c>
      <c r="S251" s="18">
        <f>IF($Z251="","",IF(AND(DATE($AD251,10,1)&gt;=$AE251,DATE($AD251,10,1)&lt;=$AF251),ROUND($AG251,2),0))</f>
        <v/>
      </c>
      <c r="T251" s="18">
        <f>IF($Z251="","",IF(AND(DATE($AD251,11,1)&gt;=$AE251,DATE($AD251,11,1)&lt;=$AF251),ROUND($AG251,2),0))</f>
        <v/>
      </c>
      <c r="U251" s="18">
        <f>IF($Z251="","",IF(AND(DATE($AD251,12,1)&gt;=$AE251,DATE($AD251,12,1)&lt;=$AF251),ROUND($AG251,2),0))</f>
        <v/>
      </c>
      <c r="V251" s="7">
        <f>IF($Z251="C","Generated from "&amp;INDEX(Contracts!$A$2:$A$151,$AB251),IF($Z251="A","Generated from "&amp;INDEX(Fixed_Assets!$A$2:$A$201,$AB251),IF($Z251="F","Generated from "&amp;INDEX(FTE_Allocation!$A$2:$A$201,$AB251),"")))</f>
        <v/>
      </c>
      <c r="X251" s="19">
        <f>IF($Z251="","",SUM(J251:U251))</f>
        <v/>
      </c>
      <c r="Y251" s="20">
        <f>ROW()-1</f>
        <v/>
      </c>
      <c r="Z251" s="20">
        <f>IF($Y251&lt;=Settings!$B$4*3,"C",IF($Y251&lt;=(Settings!$B$4+Settings!$B$5)*3,"A",IF($Y251&lt;=(Settings!$B$4+Settings!$B$5+Settings!$B$6)*3,"F","")))</f>
        <v/>
      </c>
      <c r="AA251" s="20">
        <f>IF($Z251="C",$Y251,IF($Z251="A",$Y251-Settings!$B$4*3,IF($Z251="F",$Y251-(Settings!$B$4+Settings!$B$5)*3,"")))</f>
        <v/>
      </c>
      <c r="AB251" s="20">
        <f>IF($Z251="","",INT(($AA251-1)/3)+1)</f>
        <v/>
      </c>
      <c r="AC251" s="20">
        <f>IF($Z251="","",MOD($AA251-1,3)+1)</f>
        <v/>
      </c>
      <c r="AD251" s="20">
        <f>IF($Z251="","",Settings!$B$2+$AC251-1)</f>
        <v/>
      </c>
      <c r="AE251" s="21">
        <f>IF($Z251="C",DATE(YEAR(INDEX(Contracts!$J$2:$J$151,$AB251)),MONTH(INDEX(Contracts!$J$2:$J$151,$AB251)),1),IF($Z251="A",DATE(YEAR(INDEX(Fixed_Assets!$G$2:$G$201,$AB251)),MONTH(INDEX(Fixed_Assets!$G$2:$G$201,$AB251)),1),IF($Z251="F",DATE(YEAR(MAX(N(INDEX(Workforce!$I$2:$I$151,MATCH(INDEX(FTE_Allocation!$A$2:$A$201,$AB251),Workforce!$A$2:$A$151,0))),N(INDEX(FTE_Allocation!$I$2:$I$201,$AB251)))),MONTH(MAX(N(INDEX(Workforce!$I$2:$I$151,MATCH(INDEX(FTE_Allocation!$A$2:$A$201,$AB251),Workforce!$A$2:$A$151,0))),N(INDEX(FTE_Allocation!$I$2:$I$201,$AB251)))),1),"")))</f>
        <v/>
      </c>
      <c r="AF251" s="21">
        <f>IF($Z251="C",IF(INDEX(Contracts!$I$2:$I$151,$AB251)="PREPAID",EDATE(DATE(YEAR(INDEX(Contracts!$J$2:$J$151,$AB251)),MONTH(INDEX(Contracts!$J$2:$J$151,$AB251)),1),IF(INDEX(Contracts!$N$2:$N$151,$AB251)="",12,INDEX(Contracts!$N$2:$N$151,$AB251))-1),IF(INDEX(Contracts!$I$2:$I$151,$AB251)="MONTHLY",IF(INDEX(Contracts!$K$2:$K$151,$AB251)="",2958101,INDEX(Contracts!$K$2:$K$151,$AB251)),0)),IF($Z251="A",EDATE(DATE(YEAR(INDEX(Fixed_Assets!$G$2:$G$201,$AB251)),MONTH(INDEX(Fixed_Assets!$G$2:$G$201,$AB251)),1),INDEX(Fixed_Assets!$J$2:$J$201,$AB251)-1),IF($Z251="F",MIN(IF(INDEX(Workforce!$J$2:$J$151,MATCH(INDEX(FTE_Allocation!$A$2:$A$201,$AB251),Workforce!$A$2:$A$151,0))="",2958101,INDEX(Workforce!$J$2:$J$151,MATCH(INDEX(FTE_Allocation!$A$2:$A$201,$AB251),Workforce!$A$2:$A$151,0))),IF(INDEX(FTE_Allocation!$J$2:$J$201,$AB251)="",2958101,INDEX(FTE_Allocation!$J$2:$J$201,$AB251))),"")))</f>
        <v/>
      </c>
      <c r="AG251" s="19">
        <f>IF($Z251="C",IF(INDEX(Contracts!$I$2:$I$151,$AB251)="PREPAID",INDEX(Contracts!$M$2:$M$151,$AB251)/IF(INDEX(Contracts!$N$2:$N$151,$AB251)="",12,INDEX(Contracts!$N$2:$N$151,$AB251)),IF(INDEX(Contracts!$I$2:$I$151,$AB251)="MONTHLY",INDEX(Contracts!$M$2:$M$151,$AB251),0))*(1-N(INDEX(Contracts!$O$2:$O$151,$AB251))),IF($Z251="A",INDEX(Fixed_Assets!$H$2:$H$201,$AB251)/INDEX(Fixed_Assets!$J$2:$J$201,$AB251),IF($Z251="F",INDEX(Workforce!$F$2:$F$151,MATCH(INDEX(FTE_Allocation!$A$2:$A$201,$AB251),Workforce!$A$2:$A$151,0))*N(INDEX(FTE_Allocation!$F$2:$H$201,$AB251,$AC251)),"")))</f>
        <v/>
      </c>
    </row>
    <row r="252">
      <c r="A252" s="7">
        <f>IF($Z252="","",$AD252)</f>
        <v/>
      </c>
      <c r="B252" s="7">
        <f>IF($Z252="C",INDEX(Contracts!$D$2:$D$151,$AB252)&amp;"",IF($Z252="A",INDEX(Fixed_Assets!$C$2:$C$201,$AB252)&amp;"",IF($Z252="F",INDEX(Workforce!$B$2:$B$151,MATCH(INDEX(FTE_Allocation!$A$2:$A$201,$AB252),Workforce!$A$2:$A$151,0))&amp;"","")))</f>
        <v/>
      </c>
      <c r="C252" s="7">
        <f>IF($Z252="C",INDEX(Contracts!$E$2:$E$151,$AB252)&amp;"",IF($Z252="A",INDEX(Fixed_Assets!$D$2:$D$201,$AB252)&amp;"",IF($Z252="F",INDEX(FTE_Allocation!$C$2:$C$201,$AB252)&amp;"","")))</f>
        <v/>
      </c>
      <c r="D252" s="7">
        <f>IF($Z252="C",INDEX(Contracts!$B$2:$B$151,$AB252)&amp;"",IF($Z252="A",INDEX(Fixed_Assets!$B$2:$B$201,$AB252)&amp;"",IF($Z252="F",INDEX(FTE_Allocation!$B$2:$B$201,$AB252)&amp;"","")))</f>
        <v/>
      </c>
      <c r="E252" s="7">
        <f>IF($Z252="C",INDEX(Contracts!$P$2:$P$151,$AB252)&amp;"",IF($Z252="A",INDEX(Fixed_Assets!$K$2:$K$201,$AB252)&amp;"",IF($Z252="F",IF(INDEX(FTE_Allocation!$D$2:$D$201,$AB252)="PROJECT",IFERROR(INDEX(Projects!$D:$D,MATCH(INDEX(FTE_Allocation!$E$2:$E$201,$AB252),Projects!$A:$A,0))&amp;"","#PROJECT?"),INDEX(FTE_Allocation!$E$2:$E$201,$AB252)&amp;""),"")))</f>
        <v/>
      </c>
      <c r="F252" s="7">
        <f>IF($Z252="C",INDEX(Contracts!$Q$2:$Q$151,$AB252)&amp;"",IF($Z252="A",INDEX(Fixed_Assets!$L$2:$L$201,$AB252)&amp;"",IF($Z252="F",INDEX(Workforce!$K$2:$K$151,MATCH(INDEX(FTE_Allocation!$A$2:$A$201,$AB252),Workforce!$A$2:$A$151,0))&amp;"","")))</f>
        <v/>
      </c>
      <c r="G252" s="7">
        <f>IF($Z252="C",INDEX(Contracts!$F$2:$F$151,$AB252)&amp;" / "&amp;INDEX(Contracts!$G$2:$G$151,$AB252),IF($Z252="A",INDEX(Fixed_Assets!$E$2:$E$201,$AB252)&amp;"",IF($Z252="F","Personnel "&amp;INDEX(FTE_Allocation!$A$2:$A$201,$AB252)&amp;IF(INDEX(FTE_Allocation!$D$2:$D$201,$AB252)="PROJECT"," ("&amp;INDEX(FTE_Allocation!$E$2:$E$201,$AB252)&amp;")",""),"")))</f>
        <v/>
      </c>
      <c r="H252" s="7">
        <f>IF($Z252="C","CONTRACT",IF($Z252="A","ASSET",IF($Z252="F","WORKFORCE","")))</f>
        <v/>
      </c>
      <c r="I252" s="7">
        <f>IF($Z252="C",INDEX(Contracts!$L$2:$L$151,$AB252)&amp;"",IF($Z252="A",INDEX(Fixed_Assets!$I$2:$I$201,$AB252)&amp;"",IF($Z252="F",INDEX(Workforce!$G$2:$G$151,MATCH(INDEX(FTE_Allocation!$A$2:$A$201,$AB252),Workforce!$A$2:$A$151,0))&amp;"","")))</f>
        <v/>
      </c>
      <c r="J252" s="18">
        <f>IF($Z252="","",IF(AND(DATE($AD252,1,1)&gt;=$AE252,DATE($AD252,1,1)&lt;=$AF252),ROUND($AG252,2),0))</f>
        <v/>
      </c>
      <c r="K252" s="18">
        <f>IF($Z252="","",IF(AND(DATE($AD252,2,1)&gt;=$AE252,DATE($AD252,2,1)&lt;=$AF252),ROUND($AG252,2),0))</f>
        <v/>
      </c>
      <c r="L252" s="18">
        <f>IF($Z252="","",IF(AND(DATE($AD252,3,1)&gt;=$AE252,DATE($AD252,3,1)&lt;=$AF252),ROUND($AG252,2),0))</f>
        <v/>
      </c>
      <c r="M252" s="18">
        <f>IF($Z252="","",IF(AND(DATE($AD252,4,1)&gt;=$AE252,DATE($AD252,4,1)&lt;=$AF252),ROUND($AG252,2),0))</f>
        <v/>
      </c>
      <c r="N252" s="18">
        <f>IF($Z252="","",IF(AND(DATE($AD252,5,1)&gt;=$AE252,DATE($AD252,5,1)&lt;=$AF252),ROUND($AG252,2),0))</f>
        <v/>
      </c>
      <c r="O252" s="18">
        <f>IF($Z252="","",IF(AND(DATE($AD252,6,1)&gt;=$AE252,DATE($AD252,6,1)&lt;=$AF252),ROUND($AG252,2),0))</f>
        <v/>
      </c>
      <c r="P252" s="18">
        <f>IF($Z252="","",IF(AND(DATE($AD252,7,1)&gt;=$AE252,DATE($AD252,7,1)&lt;=$AF252),ROUND($AG252,2),0))</f>
        <v/>
      </c>
      <c r="Q252" s="18">
        <f>IF($Z252="","",IF(AND(DATE($AD252,8,1)&gt;=$AE252,DATE($AD252,8,1)&lt;=$AF252),ROUND($AG252,2),0))</f>
        <v/>
      </c>
      <c r="R252" s="18">
        <f>IF($Z252="","",IF(AND(DATE($AD252,9,1)&gt;=$AE252,DATE($AD252,9,1)&lt;=$AF252),ROUND($AG252,2),0))</f>
        <v/>
      </c>
      <c r="S252" s="18">
        <f>IF($Z252="","",IF(AND(DATE($AD252,10,1)&gt;=$AE252,DATE($AD252,10,1)&lt;=$AF252),ROUND($AG252,2),0))</f>
        <v/>
      </c>
      <c r="T252" s="18">
        <f>IF($Z252="","",IF(AND(DATE($AD252,11,1)&gt;=$AE252,DATE($AD252,11,1)&lt;=$AF252),ROUND($AG252,2),0))</f>
        <v/>
      </c>
      <c r="U252" s="18">
        <f>IF($Z252="","",IF(AND(DATE($AD252,12,1)&gt;=$AE252,DATE($AD252,12,1)&lt;=$AF252),ROUND($AG252,2),0))</f>
        <v/>
      </c>
      <c r="V252" s="7">
        <f>IF($Z252="C","Generated from "&amp;INDEX(Contracts!$A$2:$A$151,$AB252),IF($Z252="A","Generated from "&amp;INDEX(Fixed_Assets!$A$2:$A$201,$AB252),IF($Z252="F","Generated from "&amp;INDEX(FTE_Allocation!$A$2:$A$201,$AB252),"")))</f>
        <v/>
      </c>
      <c r="X252" s="19">
        <f>IF($Z252="","",SUM(J252:U252))</f>
        <v/>
      </c>
      <c r="Y252" s="20">
        <f>ROW()-1</f>
        <v/>
      </c>
      <c r="Z252" s="20">
        <f>IF($Y252&lt;=Settings!$B$4*3,"C",IF($Y252&lt;=(Settings!$B$4+Settings!$B$5)*3,"A",IF($Y252&lt;=(Settings!$B$4+Settings!$B$5+Settings!$B$6)*3,"F","")))</f>
        <v/>
      </c>
      <c r="AA252" s="20">
        <f>IF($Z252="C",$Y252,IF($Z252="A",$Y252-Settings!$B$4*3,IF($Z252="F",$Y252-(Settings!$B$4+Settings!$B$5)*3,"")))</f>
        <v/>
      </c>
      <c r="AB252" s="20">
        <f>IF($Z252="","",INT(($AA252-1)/3)+1)</f>
        <v/>
      </c>
      <c r="AC252" s="20">
        <f>IF($Z252="","",MOD($AA252-1,3)+1)</f>
        <v/>
      </c>
      <c r="AD252" s="20">
        <f>IF($Z252="","",Settings!$B$2+$AC252-1)</f>
        <v/>
      </c>
      <c r="AE252" s="21">
        <f>IF($Z252="C",DATE(YEAR(INDEX(Contracts!$J$2:$J$151,$AB252)),MONTH(INDEX(Contracts!$J$2:$J$151,$AB252)),1),IF($Z252="A",DATE(YEAR(INDEX(Fixed_Assets!$G$2:$G$201,$AB252)),MONTH(INDEX(Fixed_Assets!$G$2:$G$201,$AB252)),1),IF($Z252="F",DATE(YEAR(MAX(N(INDEX(Workforce!$I$2:$I$151,MATCH(INDEX(FTE_Allocation!$A$2:$A$201,$AB252),Workforce!$A$2:$A$151,0))),N(INDEX(FTE_Allocation!$I$2:$I$201,$AB252)))),MONTH(MAX(N(INDEX(Workforce!$I$2:$I$151,MATCH(INDEX(FTE_Allocation!$A$2:$A$201,$AB252),Workforce!$A$2:$A$151,0))),N(INDEX(FTE_Allocation!$I$2:$I$201,$AB252)))),1),"")))</f>
        <v/>
      </c>
      <c r="AF252" s="21">
        <f>IF($Z252="C",IF(INDEX(Contracts!$I$2:$I$151,$AB252)="PREPAID",EDATE(DATE(YEAR(INDEX(Contracts!$J$2:$J$151,$AB252)),MONTH(INDEX(Contracts!$J$2:$J$151,$AB252)),1),IF(INDEX(Contracts!$N$2:$N$151,$AB252)="",12,INDEX(Contracts!$N$2:$N$151,$AB252))-1),IF(INDEX(Contracts!$I$2:$I$151,$AB252)="MONTHLY",IF(INDEX(Contracts!$K$2:$K$151,$AB252)="",2958101,INDEX(Contracts!$K$2:$K$151,$AB252)),0)),IF($Z252="A",EDATE(DATE(YEAR(INDEX(Fixed_Assets!$G$2:$G$201,$AB252)),MONTH(INDEX(Fixed_Assets!$G$2:$G$201,$AB252)),1),INDEX(Fixed_Assets!$J$2:$J$201,$AB252)-1),IF($Z252="F",MIN(IF(INDEX(Workforce!$J$2:$J$151,MATCH(INDEX(FTE_Allocation!$A$2:$A$201,$AB252),Workforce!$A$2:$A$151,0))="",2958101,INDEX(Workforce!$J$2:$J$151,MATCH(INDEX(FTE_Allocation!$A$2:$A$201,$AB252),Workforce!$A$2:$A$151,0))),IF(INDEX(FTE_Allocation!$J$2:$J$201,$AB252)="",2958101,INDEX(FTE_Allocation!$J$2:$J$201,$AB252))),"")))</f>
        <v/>
      </c>
      <c r="AG252" s="19">
        <f>IF($Z252="C",IF(INDEX(Contracts!$I$2:$I$151,$AB252)="PREPAID",INDEX(Contracts!$M$2:$M$151,$AB252)/IF(INDEX(Contracts!$N$2:$N$151,$AB252)="",12,INDEX(Contracts!$N$2:$N$151,$AB252)),IF(INDEX(Contracts!$I$2:$I$151,$AB252)="MONTHLY",INDEX(Contracts!$M$2:$M$151,$AB252),0))*(1-N(INDEX(Contracts!$O$2:$O$151,$AB252))),IF($Z252="A",INDEX(Fixed_Assets!$H$2:$H$201,$AB252)/INDEX(Fixed_Assets!$J$2:$J$201,$AB252),IF($Z252="F",INDEX(Workforce!$F$2:$F$151,MATCH(INDEX(FTE_Allocation!$A$2:$A$201,$AB252),Workforce!$A$2:$A$151,0))*N(INDEX(FTE_Allocation!$F$2:$H$201,$AB252,$AC252)),"")))</f>
        <v/>
      </c>
    </row>
    <row r="253">
      <c r="A253" s="7">
        <f>IF($Z253="","",$AD253)</f>
        <v/>
      </c>
      <c r="B253" s="7">
        <f>IF($Z253="C",INDEX(Contracts!$D$2:$D$151,$AB253)&amp;"",IF($Z253="A",INDEX(Fixed_Assets!$C$2:$C$201,$AB253)&amp;"",IF($Z253="F",INDEX(Workforce!$B$2:$B$151,MATCH(INDEX(FTE_Allocation!$A$2:$A$201,$AB253),Workforce!$A$2:$A$151,0))&amp;"","")))</f>
        <v/>
      </c>
      <c r="C253" s="7">
        <f>IF($Z253="C",INDEX(Contracts!$E$2:$E$151,$AB253)&amp;"",IF($Z253="A",INDEX(Fixed_Assets!$D$2:$D$201,$AB253)&amp;"",IF($Z253="F",INDEX(FTE_Allocation!$C$2:$C$201,$AB253)&amp;"","")))</f>
        <v/>
      </c>
      <c r="D253" s="7">
        <f>IF($Z253="C",INDEX(Contracts!$B$2:$B$151,$AB253)&amp;"",IF($Z253="A",INDEX(Fixed_Assets!$B$2:$B$201,$AB253)&amp;"",IF($Z253="F",INDEX(FTE_Allocation!$B$2:$B$201,$AB253)&amp;"","")))</f>
        <v/>
      </c>
      <c r="E253" s="7">
        <f>IF($Z253="C",INDEX(Contracts!$P$2:$P$151,$AB253)&amp;"",IF($Z253="A",INDEX(Fixed_Assets!$K$2:$K$201,$AB253)&amp;"",IF($Z253="F",IF(INDEX(FTE_Allocation!$D$2:$D$201,$AB253)="PROJECT",IFERROR(INDEX(Projects!$D:$D,MATCH(INDEX(FTE_Allocation!$E$2:$E$201,$AB253),Projects!$A:$A,0))&amp;"","#PROJECT?"),INDEX(FTE_Allocation!$E$2:$E$201,$AB253)&amp;""),"")))</f>
        <v/>
      </c>
      <c r="F253" s="7">
        <f>IF($Z253="C",INDEX(Contracts!$Q$2:$Q$151,$AB253)&amp;"",IF($Z253="A",INDEX(Fixed_Assets!$L$2:$L$201,$AB253)&amp;"",IF($Z253="F",INDEX(Workforce!$K$2:$K$151,MATCH(INDEX(FTE_Allocation!$A$2:$A$201,$AB253),Workforce!$A$2:$A$151,0))&amp;"","")))</f>
        <v/>
      </c>
      <c r="G253" s="7">
        <f>IF($Z253="C",INDEX(Contracts!$F$2:$F$151,$AB253)&amp;" / "&amp;INDEX(Contracts!$G$2:$G$151,$AB253),IF($Z253="A",INDEX(Fixed_Assets!$E$2:$E$201,$AB253)&amp;"",IF($Z253="F","Personnel "&amp;INDEX(FTE_Allocation!$A$2:$A$201,$AB253)&amp;IF(INDEX(FTE_Allocation!$D$2:$D$201,$AB253)="PROJECT"," ("&amp;INDEX(FTE_Allocation!$E$2:$E$201,$AB253)&amp;")",""),"")))</f>
        <v/>
      </c>
      <c r="H253" s="7">
        <f>IF($Z253="C","CONTRACT",IF($Z253="A","ASSET",IF($Z253="F","WORKFORCE","")))</f>
        <v/>
      </c>
      <c r="I253" s="7">
        <f>IF($Z253="C",INDEX(Contracts!$L$2:$L$151,$AB253)&amp;"",IF($Z253="A",INDEX(Fixed_Assets!$I$2:$I$201,$AB253)&amp;"",IF($Z253="F",INDEX(Workforce!$G$2:$G$151,MATCH(INDEX(FTE_Allocation!$A$2:$A$201,$AB253),Workforce!$A$2:$A$151,0))&amp;"","")))</f>
        <v/>
      </c>
      <c r="J253" s="18">
        <f>IF($Z253="","",IF(AND(DATE($AD253,1,1)&gt;=$AE253,DATE($AD253,1,1)&lt;=$AF253),ROUND($AG253,2),0))</f>
        <v/>
      </c>
      <c r="K253" s="18">
        <f>IF($Z253="","",IF(AND(DATE($AD253,2,1)&gt;=$AE253,DATE($AD253,2,1)&lt;=$AF253),ROUND($AG253,2),0))</f>
        <v/>
      </c>
      <c r="L253" s="18">
        <f>IF($Z253="","",IF(AND(DATE($AD253,3,1)&gt;=$AE253,DATE($AD253,3,1)&lt;=$AF253),ROUND($AG253,2),0))</f>
        <v/>
      </c>
      <c r="M253" s="18">
        <f>IF($Z253="","",IF(AND(DATE($AD253,4,1)&gt;=$AE253,DATE($AD253,4,1)&lt;=$AF253),ROUND($AG253,2),0))</f>
        <v/>
      </c>
      <c r="N253" s="18">
        <f>IF($Z253="","",IF(AND(DATE($AD253,5,1)&gt;=$AE253,DATE($AD253,5,1)&lt;=$AF253),ROUND($AG253,2),0))</f>
        <v/>
      </c>
      <c r="O253" s="18">
        <f>IF($Z253="","",IF(AND(DATE($AD253,6,1)&gt;=$AE253,DATE($AD253,6,1)&lt;=$AF253),ROUND($AG253,2),0))</f>
        <v/>
      </c>
      <c r="P253" s="18">
        <f>IF($Z253="","",IF(AND(DATE($AD253,7,1)&gt;=$AE253,DATE($AD253,7,1)&lt;=$AF253),ROUND($AG253,2),0))</f>
        <v/>
      </c>
      <c r="Q253" s="18">
        <f>IF($Z253="","",IF(AND(DATE($AD253,8,1)&gt;=$AE253,DATE($AD253,8,1)&lt;=$AF253),ROUND($AG253,2),0))</f>
        <v/>
      </c>
      <c r="R253" s="18">
        <f>IF($Z253="","",IF(AND(DATE($AD253,9,1)&gt;=$AE253,DATE($AD253,9,1)&lt;=$AF253),ROUND($AG253,2),0))</f>
        <v/>
      </c>
      <c r="S253" s="18">
        <f>IF($Z253="","",IF(AND(DATE($AD253,10,1)&gt;=$AE253,DATE($AD253,10,1)&lt;=$AF253),ROUND($AG253,2),0))</f>
        <v/>
      </c>
      <c r="T253" s="18">
        <f>IF($Z253="","",IF(AND(DATE($AD253,11,1)&gt;=$AE253,DATE($AD253,11,1)&lt;=$AF253),ROUND($AG253,2),0))</f>
        <v/>
      </c>
      <c r="U253" s="18">
        <f>IF($Z253="","",IF(AND(DATE($AD253,12,1)&gt;=$AE253,DATE($AD253,12,1)&lt;=$AF253),ROUND($AG253,2),0))</f>
        <v/>
      </c>
      <c r="V253" s="7">
        <f>IF($Z253="C","Generated from "&amp;INDEX(Contracts!$A$2:$A$151,$AB253),IF($Z253="A","Generated from "&amp;INDEX(Fixed_Assets!$A$2:$A$201,$AB253),IF($Z253="F","Generated from "&amp;INDEX(FTE_Allocation!$A$2:$A$201,$AB253),"")))</f>
        <v/>
      </c>
      <c r="X253" s="19">
        <f>IF($Z253="","",SUM(J253:U253))</f>
        <v/>
      </c>
      <c r="Y253" s="20">
        <f>ROW()-1</f>
        <v/>
      </c>
      <c r="Z253" s="20">
        <f>IF($Y253&lt;=Settings!$B$4*3,"C",IF($Y253&lt;=(Settings!$B$4+Settings!$B$5)*3,"A",IF($Y253&lt;=(Settings!$B$4+Settings!$B$5+Settings!$B$6)*3,"F","")))</f>
        <v/>
      </c>
      <c r="AA253" s="20">
        <f>IF($Z253="C",$Y253,IF($Z253="A",$Y253-Settings!$B$4*3,IF($Z253="F",$Y253-(Settings!$B$4+Settings!$B$5)*3,"")))</f>
        <v/>
      </c>
      <c r="AB253" s="20">
        <f>IF($Z253="","",INT(($AA253-1)/3)+1)</f>
        <v/>
      </c>
      <c r="AC253" s="20">
        <f>IF($Z253="","",MOD($AA253-1,3)+1)</f>
        <v/>
      </c>
      <c r="AD253" s="20">
        <f>IF($Z253="","",Settings!$B$2+$AC253-1)</f>
        <v/>
      </c>
      <c r="AE253" s="21">
        <f>IF($Z253="C",DATE(YEAR(INDEX(Contracts!$J$2:$J$151,$AB253)),MONTH(INDEX(Contracts!$J$2:$J$151,$AB253)),1),IF($Z253="A",DATE(YEAR(INDEX(Fixed_Assets!$G$2:$G$201,$AB253)),MONTH(INDEX(Fixed_Assets!$G$2:$G$201,$AB253)),1),IF($Z253="F",DATE(YEAR(MAX(N(INDEX(Workforce!$I$2:$I$151,MATCH(INDEX(FTE_Allocation!$A$2:$A$201,$AB253),Workforce!$A$2:$A$151,0))),N(INDEX(FTE_Allocation!$I$2:$I$201,$AB253)))),MONTH(MAX(N(INDEX(Workforce!$I$2:$I$151,MATCH(INDEX(FTE_Allocation!$A$2:$A$201,$AB253),Workforce!$A$2:$A$151,0))),N(INDEX(FTE_Allocation!$I$2:$I$201,$AB253)))),1),"")))</f>
        <v/>
      </c>
      <c r="AF253" s="21">
        <f>IF($Z253="C",IF(INDEX(Contracts!$I$2:$I$151,$AB253)="PREPAID",EDATE(DATE(YEAR(INDEX(Contracts!$J$2:$J$151,$AB253)),MONTH(INDEX(Contracts!$J$2:$J$151,$AB253)),1),IF(INDEX(Contracts!$N$2:$N$151,$AB253)="",12,INDEX(Contracts!$N$2:$N$151,$AB253))-1),IF(INDEX(Contracts!$I$2:$I$151,$AB253)="MONTHLY",IF(INDEX(Contracts!$K$2:$K$151,$AB253)="",2958101,INDEX(Contracts!$K$2:$K$151,$AB253)),0)),IF($Z253="A",EDATE(DATE(YEAR(INDEX(Fixed_Assets!$G$2:$G$201,$AB253)),MONTH(INDEX(Fixed_Assets!$G$2:$G$201,$AB253)),1),INDEX(Fixed_Assets!$J$2:$J$201,$AB253)-1),IF($Z253="F",MIN(IF(INDEX(Workforce!$J$2:$J$151,MATCH(INDEX(FTE_Allocation!$A$2:$A$201,$AB253),Workforce!$A$2:$A$151,0))="",2958101,INDEX(Workforce!$J$2:$J$151,MATCH(INDEX(FTE_Allocation!$A$2:$A$201,$AB253),Workforce!$A$2:$A$151,0))),IF(INDEX(FTE_Allocation!$J$2:$J$201,$AB253)="",2958101,INDEX(FTE_Allocation!$J$2:$J$201,$AB253))),"")))</f>
        <v/>
      </c>
      <c r="AG253" s="19">
        <f>IF($Z253="C",IF(INDEX(Contracts!$I$2:$I$151,$AB253)="PREPAID",INDEX(Contracts!$M$2:$M$151,$AB253)/IF(INDEX(Contracts!$N$2:$N$151,$AB253)="",12,INDEX(Contracts!$N$2:$N$151,$AB253)),IF(INDEX(Contracts!$I$2:$I$151,$AB253)="MONTHLY",INDEX(Contracts!$M$2:$M$151,$AB253),0))*(1-N(INDEX(Contracts!$O$2:$O$151,$AB253))),IF($Z253="A",INDEX(Fixed_Assets!$H$2:$H$201,$AB253)/INDEX(Fixed_Assets!$J$2:$J$201,$AB253),IF($Z253="F",INDEX(Workforce!$F$2:$F$151,MATCH(INDEX(FTE_Allocation!$A$2:$A$201,$AB253),Workforce!$A$2:$A$151,0))*N(INDEX(FTE_Allocation!$F$2:$H$201,$AB253,$AC253)),"")))</f>
        <v/>
      </c>
    </row>
    <row r="254">
      <c r="A254" s="7">
        <f>IF($Z254="","",$AD254)</f>
        <v/>
      </c>
      <c r="B254" s="7">
        <f>IF($Z254="C",INDEX(Contracts!$D$2:$D$151,$AB254)&amp;"",IF($Z254="A",INDEX(Fixed_Assets!$C$2:$C$201,$AB254)&amp;"",IF($Z254="F",INDEX(Workforce!$B$2:$B$151,MATCH(INDEX(FTE_Allocation!$A$2:$A$201,$AB254),Workforce!$A$2:$A$151,0))&amp;"","")))</f>
        <v/>
      </c>
      <c r="C254" s="7">
        <f>IF($Z254="C",INDEX(Contracts!$E$2:$E$151,$AB254)&amp;"",IF($Z254="A",INDEX(Fixed_Assets!$D$2:$D$201,$AB254)&amp;"",IF($Z254="F",INDEX(FTE_Allocation!$C$2:$C$201,$AB254)&amp;"","")))</f>
        <v/>
      </c>
      <c r="D254" s="7">
        <f>IF($Z254="C",INDEX(Contracts!$B$2:$B$151,$AB254)&amp;"",IF($Z254="A",INDEX(Fixed_Assets!$B$2:$B$201,$AB254)&amp;"",IF($Z254="F",INDEX(FTE_Allocation!$B$2:$B$201,$AB254)&amp;"","")))</f>
        <v/>
      </c>
      <c r="E254" s="7">
        <f>IF($Z254="C",INDEX(Contracts!$P$2:$P$151,$AB254)&amp;"",IF($Z254="A",INDEX(Fixed_Assets!$K$2:$K$201,$AB254)&amp;"",IF($Z254="F",IF(INDEX(FTE_Allocation!$D$2:$D$201,$AB254)="PROJECT",IFERROR(INDEX(Projects!$D:$D,MATCH(INDEX(FTE_Allocation!$E$2:$E$201,$AB254),Projects!$A:$A,0))&amp;"","#PROJECT?"),INDEX(FTE_Allocation!$E$2:$E$201,$AB254)&amp;""),"")))</f>
        <v/>
      </c>
      <c r="F254" s="7">
        <f>IF($Z254="C",INDEX(Contracts!$Q$2:$Q$151,$AB254)&amp;"",IF($Z254="A",INDEX(Fixed_Assets!$L$2:$L$201,$AB254)&amp;"",IF($Z254="F",INDEX(Workforce!$K$2:$K$151,MATCH(INDEX(FTE_Allocation!$A$2:$A$201,$AB254),Workforce!$A$2:$A$151,0))&amp;"","")))</f>
        <v/>
      </c>
      <c r="G254" s="7">
        <f>IF($Z254="C",INDEX(Contracts!$F$2:$F$151,$AB254)&amp;" / "&amp;INDEX(Contracts!$G$2:$G$151,$AB254),IF($Z254="A",INDEX(Fixed_Assets!$E$2:$E$201,$AB254)&amp;"",IF($Z254="F","Personnel "&amp;INDEX(FTE_Allocation!$A$2:$A$201,$AB254)&amp;IF(INDEX(FTE_Allocation!$D$2:$D$201,$AB254)="PROJECT"," ("&amp;INDEX(FTE_Allocation!$E$2:$E$201,$AB254)&amp;")",""),"")))</f>
        <v/>
      </c>
      <c r="H254" s="7">
        <f>IF($Z254="C","CONTRACT",IF($Z254="A","ASSET",IF($Z254="F","WORKFORCE","")))</f>
        <v/>
      </c>
      <c r="I254" s="7">
        <f>IF($Z254="C",INDEX(Contracts!$L$2:$L$151,$AB254)&amp;"",IF($Z254="A",INDEX(Fixed_Assets!$I$2:$I$201,$AB254)&amp;"",IF($Z254="F",INDEX(Workforce!$G$2:$G$151,MATCH(INDEX(FTE_Allocation!$A$2:$A$201,$AB254),Workforce!$A$2:$A$151,0))&amp;"","")))</f>
        <v/>
      </c>
      <c r="J254" s="18">
        <f>IF($Z254="","",IF(AND(DATE($AD254,1,1)&gt;=$AE254,DATE($AD254,1,1)&lt;=$AF254),ROUND($AG254,2),0))</f>
        <v/>
      </c>
      <c r="K254" s="18">
        <f>IF($Z254="","",IF(AND(DATE($AD254,2,1)&gt;=$AE254,DATE($AD254,2,1)&lt;=$AF254),ROUND($AG254,2),0))</f>
        <v/>
      </c>
      <c r="L254" s="18">
        <f>IF($Z254="","",IF(AND(DATE($AD254,3,1)&gt;=$AE254,DATE($AD254,3,1)&lt;=$AF254),ROUND($AG254,2),0))</f>
        <v/>
      </c>
      <c r="M254" s="18">
        <f>IF($Z254="","",IF(AND(DATE($AD254,4,1)&gt;=$AE254,DATE($AD254,4,1)&lt;=$AF254),ROUND($AG254,2),0))</f>
        <v/>
      </c>
      <c r="N254" s="18">
        <f>IF($Z254="","",IF(AND(DATE($AD254,5,1)&gt;=$AE254,DATE($AD254,5,1)&lt;=$AF254),ROUND($AG254,2),0))</f>
        <v/>
      </c>
      <c r="O254" s="18">
        <f>IF($Z254="","",IF(AND(DATE($AD254,6,1)&gt;=$AE254,DATE($AD254,6,1)&lt;=$AF254),ROUND($AG254,2),0))</f>
        <v/>
      </c>
      <c r="P254" s="18">
        <f>IF($Z254="","",IF(AND(DATE($AD254,7,1)&gt;=$AE254,DATE($AD254,7,1)&lt;=$AF254),ROUND($AG254,2),0))</f>
        <v/>
      </c>
      <c r="Q254" s="18">
        <f>IF($Z254="","",IF(AND(DATE($AD254,8,1)&gt;=$AE254,DATE($AD254,8,1)&lt;=$AF254),ROUND($AG254,2),0))</f>
        <v/>
      </c>
      <c r="R254" s="18">
        <f>IF($Z254="","",IF(AND(DATE($AD254,9,1)&gt;=$AE254,DATE($AD254,9,1)&lt;=$AF254),ROUND($AG254,2),0))</f>
        <v/>
      </c>
      <c r="S254" s="18">
        <f>IF($Z254="","",IF(AND(DATE($AD254,10,1)&gt;=$AE254,DATE($AD254,10,1)&lt;=$AF254),ROUND($AG254,2),0))</f>
        <v/>
      </c>
      <c r="T254" s="18">
        <f>IF($Z254="","",IF(AND(DATE($AD254,11,1)&gt;=$AE254,DATE($AD254,11,1)&lt;=$AF254),ROUND($AG254,2),0))</f>
        <v/>
      </c>
      <c r="U254" s="18">
        <f>IF($Z254="","",IF(AND(DATE($AD254,12,1)&gt;=$AE254,DATE($AD254,12,1)&lt;=$AF254),ROUND($AG254,2),0))</f>
        <v/>
      </c>
      <c r="V254" s="7">
        <f>IF($Z254="C","Generated from "&amp;INDEX(Contracts!$A$2:$A$151,$AB254),IF($Z254="A","Generated from "&amp;INDEX(Fixed_Assets!$A$2:$A$201,$AB254),IF($Z254="F","Generated from "&amp;INDEX(FTE_Allocation!$A$2:$A$201,$AB254),"")))</f>
        <v/>
      </c>
      <c r="X254" s="19">
        <f>IF($Z254="","",SUM(J254:U254))</f>
        <v/>
      </c>
      <c r="Y254" s="20">
        <f>ROW()-1</f>
        <v/>
      </c>
      <c r="Z254" s="20">
        <f>IF($Y254&lt;=Settings!$B$4*3,"C",IF($Y254&lt;=(Settings!$B$4+Settings!$B$5)*3,"A",IF($Y254&lt;=(Settings!$B$4+Settings!$B$5+Settings!$B$6)*3,"F","")))</f>
        <v/>
      </c>
      <c r="AA254" s="20">
        <f>IF($Z254="C",$Y254,IF($Z254="A",$Y254-Settings!$B$4*3,IF($Z254="F",$Y254-(Settings!$B$4+Settings!$B$5)*3,"")))</f>
        <v/>
      </c>
      <c r="AB254" s="20">
        <f>IF($Z254="","",INT(($AA254-1)/3)+1)</f>
        <v/>
      </c>
      <c r="AC254" s="20">
        <f>IF($Z254="","",MOD($AA254-1,3)+1)</f>
        <v/>
      </c>
      <c r="AD254" s="20">
        <f>IF($Z254="","",Settings!$B$2+$AC254-1)</f>
        <v/>
      </c>
      <c r="AE254" s="21">
        <f>IF($Z254="C",DATE(YEAR(INDEX(Contracts!$J$2:$J$151,$AB254)),MONTH(INDEX(Contracts!$J$2:$J$151,$AB254)),1),IF($Z254="A",DATE(YEAR(INDEX(Fixed_Assets!$G$2:$G$201,$AB254)),MONTH(INDEX(Fixed_Assets!$G$2:$G$201,$AB254)),1),IF($Z254="F",DATE(YEAR(MAX(N(INDEX(Workforce!$I$2:$I$151,MATCH(INDEX(FTE_Allocation!$A$2:$A$201,$AB254),Workforce!$A$2:$A$151,0))),N(INDEX(FTE_Allocation!$I$2:$I$201,$AB254)))),MONTH(MAX(N(INDEX(Workforce!$I$2:$I$151,MATCH(INDEX(FTE_Allocation!$A$2:$A$201,$AB254),Workforce!$A$2:$A$151,0))),N(INDEX(FTE_Allocation!$I$2:$I$201,$AB254)))),1),"")))</f>
        <v/>
      </c>
      <c r="AF254" s="21">
        <f>IF($Z254="C",IF(INDEX(Contracts!$I$2:$I$151,$AB254)="PREPAID",EDATE(DATE(YEAR(INDEX(Contracts!$J$2:$J$151,$AB254)),MONTH(INDEX(Contracts!$J$2:$J$151,$AB254)),1),IF(INDEX(Contracts!$N$2:$N$151,$AB254)="",12,INDEX(Contracts!$N$2:$N$151,$AB254))-1),IF(INDEX(Contracts!$I$2:$I$151,$AB254)="MONTHLY",IF(INDEX(Contracts!$K$2:$K$151,$AB254)="",2958101,INDEX(Contracts!$K$2:$K$151,$AB254)),0)),IF($Z254="A",EDATE(DATE(YEAR(INDEX(Fixed_Assets!$G$2:$G$201,$AB254)),MONTH(INDEX(Fixed_Assets!$G$2:$G$201,$AB254)),1),INDEX(Fixed_Assets!$J$2:$J$201,$AB254)-1),IF($Z254="F",MIN(IF(INDEX(Workforce!$J$2:$J$151,MATCH(INDEX(FTE_Allocation!$A$2:$A$201,$AB254),Workforce!$A$2:$A$151,0))="",2958101,INDEX(Workforce!$J$2:$J$151,MATCH(INDEX(FTE_Allocation!$A$2:$A$201,$AB254),Workforce!$A$2:$A$151,0))),IF(INDEX(FTE_Allocation!$J$2:$J$201,$AB254)="",2958101,INDEX(FTE_Allocation!$J$2:$J$201,$AB254))),"")))</f>
        <v/>
      </c>
      <c r="AG254" s="19">
        <f>IF($Z254="C",IF(INDEX(Contracts!$I$2:$I$151,$AB254)="PREPAID",INDEX(Contracts!$M$2:$M$151,$AB254)/IF(INDEX(Contracts!$N$2:$N$151,$AB254)="",12,INDEX(Contracts!$N$2:$N$151,$AB254)),IF(INDEX(Contracts!$I$2:$I$151,$AB254)="MONTHLY",INDEX(Contracts!$M$2:$M$151,$AB254),0))*(1-N(INDEX(Contracts!$O$2:$O$151,$AB254))),IF($Z254="A",INDEX(Fixed_Assets!$H$2:$H$201,$AB254)/INDEX(Fixed_Assets!$J$2:$J$201,$AB254),IF($Z254="F",INDEX(Workforce!$F$2:$F$151,MATCH(INDEX(FTE_Allocation!$A$2:$A$201,$AB254),Workforce!$A$2:$A$151,0))*N(INDEX(FTE_Allocation!$F$2:$H$201,$AB254,$AC254)),"")))</f>
        <v/>
      </c>
    </row>
    <row r="255">
      <c r="A255" s="7">
        <f>IF($Z255="","",$AD255)</f>
        <v/>
      </c>
      <c r="B255" s="7">
        <f>IF($Z255="C",INDEX(Contracts!$D$2:$D$151,$AB255)&amp;"",IF($Z255="A",INDEX(Fixed_Assets!$C$2:$C$201,$AB255)&amp;"",IF($Z255="F",INDEX(Workforce!$B$2:$B$151,MATCH(INDEX(FTE_Allocation!$A$2:$A$201,$AB255),Workforce!$A$2:$A$151,0))&amp;"","")))</f>
        <v/>
      </c>
      <c r="C255" s="7">
        <f>IF($Z255="C",INDEX(Contracts!$E$2:$E$151,$AB255)&amp;"",IF($Z255="A",INDEX(Fixed_Assets!$D$2:$D$201,$AB255)&amp;"",IF($Z255="F",INDEX(FTE_Allocation!$C$2:$C$201,$AB255)&amp;"","")))</f>
        <v/>
      </c>
      <c r="D255" s="7">
        <f>IF($Z255="C",INDEX(Contracts!$B$2:$B$151,$AB255)&amp;"",IF($Z255="A",INDEX(Fixed_Assets!$B$2:$B$201,$AB255)&amp;"",IF($Z255="F",INDEX(FTE_Allocation!$B$2:$B$201,$AB255)&amp;"","")))</f>
        <v/>
      </c>
      <c r="E255" s="7">
        <f>IF($Z255="C",INDEX(Contracts!$P$2:$P$151,$AB255)&amp;"",IF($Z255="A",INDEX(Fixed_Assets!$K$2:$K$201,$AB255)&amp;"",IF($Z255="F",IF(INDEX(FTE_Allocation!$D$2:$D$201,$AB255)="PROJECT",IFERROR(INDEX(Projects!$D:$D,MATCH(INDEX(FTE_Allocation!$E$2:$E$201,$AB255),Projects!$A:$A,0))&amp;"","#PROJECT?"),INDEX(FTE_Allocation!$E$2:$E$201,$AB255)&amp;""),"")))</f>
        <v/>
      </c>
      <c r="F255" s="7">
        <f>IF($Z255="C",INDEX(Contracts!$Q$2:$Q$151,$AB255)&amp;"",IF($Z255="A",INDEX(Fixed_Assets!$L$2:$L$201,$AB255)&amp;"",IF($Z255="F",INDEX(Workforce!$K$2:$K$151,MATCH(INDEX(FTE_Allocation!$A$2:$A$201,$AB255),Workforce!$A$2:$A$151,0))&amp;"","")))</f>
        <v/>
      </c>
      <c r="G255" s="7">
        <f>IF($Z255="C",INDEX(Contracts!$F$2:$F$151,$AB255)&amp;" / "&amp;INDEX(Contracts!$G$2:$G$151,$AB255),IF($Z255="A",INDEX(Fixed_Assets!$E$2:$E$201,$AB255)&amp;"",IF($Z255="F","Personnel "&amp;INDEX(FTE_Allocation!$A$2:$A$201,$AB255)&amp;IF(INDEX(FTE_Allocation!$D$2:$D$201,$AB255)="PROJECT"," ("&amp;INDEX(FTE_Allocation!$E$2:$E$201,$AB255)&amp;")",""),"")))</f>
        <v/>
      </c>
      <c r="H255" s="7">
        <f>IF($Z255="C","CONTRACT",IF($Z255="A","ASSET",IF($Z255="F","WORKFORCE","")))</f>
        <v/>
      </c>
      <c r="I255" s="7">
        <f>IF($Z255="C",INDEX(Contracts!$L$2:$L$151,$AB255)&amp;"",IF($Z255="A",INDEX(Fixed_Assets!$I$2:$I$201,$AB255)&amp;"",IF($Z255="F",INDEX(Workforce!$G$2:$G$151,MATCH(INDEX(FTE_Allocation!$A$2:$A$201,$AB255),Workforce!$A$2:$A$151,0))&amp;"","")))</f>
        <v/>
      </c>
      <c r="J255" s="18">
        <f>IF($Z255="","",IF(AND(DATE($AD255,1,1)&gt;=$AE255,DATE($AD255,1,1)&lt;=$AF255),ROUND($AG255,2),0))</f>
        <v/>
      </c>
      <c r="K255" s="18">
        <f>IF($Z255="","",IF(AND(DATE($AD255,2,1)&gt;=$AE255,DATE($AD255,2,1)&lt;=$AF255),ROUND($AG255,2),0))</f>
        <v/>
      </c>
      <c r="L255" s="18">
        <f>IF($Z255="","",IF(AND(DATE($AD255,3,1)&gt;=$AE255,DATE($AD255,3,1)&lt;=$AF255),ROUND($AG255,2),0))</f>
        <v/>
      </c>
      <c r="M255" s="18">
        <f>IF($Z255="","",IF(AND(DATE($AD255,4,1)&gt;=$AE255,DATE($AD255,4,1)&lt;=$AF255),ROUND($AG255,2),0))</f>
        <v/>
      </c>
      <c r="N255" s="18">
        <f>IF($Z255="","",IF(AND(DATE($AD255,5,1)&gt;=$AE255,DATE($AD255,5,1)&lt;=$AF255),ROUND($AG255,2),0))</f>
        <v/>
      </c>
      <c r="O255" s="18">
        <f>IF($Z255="","",IF(AND(DATE($AD255,6,1)&gt;=$AE255,DATE($AD255,6,1)&lt;=$AF255),ROUND($AG255,2),0))</f>
        <v/>
      </c>
      <c r="P255" s="18">
        <f>IF($Z255="","",IF(AND(DATE($AD255,7,1)&gt;=$AE255,DATE($AD255,7,1)&lt;=$AF255),ROUND($AG255,2),0))</f>
        <v/>
      </c>
      <c r="Q255" s="18">
        <f>IF($Z255="","",IF(AND(DATE($AD255,8,1)&gt;=$AE255,DATE($AD255,8,1)&lt;=$AF255),ROUND($AG255,2),0))</f>
        <v/>
      </c>
      <c r="R255" s="18">
        <f>IF($Z255="","",IF(AND(DATE($AD255,9,1)&gt;=$AE255,DATE($AD255,9,1)&lt;=$AF255),ROUND($AG255,2),0))</f>
        <v/>
      </c>
      <c r="S255" s="18">
        <f>IF($Z255="","",IF(AND(DATE($AD255,10,1)&gt;=$AE255,DATE($AD255,10,1)&lt;=$AF255),ROUND($AG255,2),0))</f>
        <v/>
      </c>
      <c r="T255" s="18">
        <f>IF($Z255="","",IF(AND(DATE($AD255,11,1)&gt;=$AE255,DATE($AD255,11,1)&lt;=$AF255),ROUND($AG255,2),0))</f>
        <v/>
      </c>
      <c r="U255" s="18">
        <f>IF($Z255="","",IF(AND(DATE($AD255,12,1)&gt;=$AE255,DATE($AD255,12,1)&lt;=$AF255),ROUND($AG255,2),0))</f>
        <v/>
      </c>
      <c r="V255" s="7">
        <f>IF($Z255="C","Generated from "&amp;INDEX(Contracts!$A$2:$A$151,$AB255),IF($Z255="A","Generated from "&amp;INDEX(Fixed_Assets!$A$2:$A$201,$AB255),IF($Z255="F","Generated from "&amp;INDEX(FTE_Allocation!$A$2:$A$201,$AB255),"")))</f>
        <v/>
      </c>
      <c r="X255" s="19">
        <f>IF($Z255="","",SUM(J255:U255))</f>
        <v/>
      </c>
      <c r="Y255" s="20">
        <f>ROW()-1</f>
        <v/>
      </c>
      <c r="Z255" s="20">
        <f>IF($Y255&lt;=Settings!$B$4*3,"C",IF($Y255&lt;=(Settings!$B$4+Settings!$B$5)*3,"A",IF($Y255&lt;=(Settings!$B$4+Settings!$B$5+Settings!$B$6)*3,"F","")))</f>
        <v/>
      </c>
      <c r="AA255" s="20">
        <f>IF($Z255="C",$Y255,IF($Z255="A",$Y255-Settings!$B$4*3,IF($Z255="F",$Y255-(Settings!$B$4+Settings!$B$5)*3,"")))</f>
        <v/>
      </c>
      <c r="AB255" s="20">
        <f>IF($Z255="","",INT(($AA255-1)/3)+1)</f>
        <v/>
      </c>
      <c r="AC255" s="20">
        <f>IF($Z255="","",MOD($AA255-1,3)+1)</f>
        <v/>
      </c>
      <c r="AD255" s="20">
        <f>IF($Z255="","",Settings!$B$2+$AC255-1)</f>
        <v/>
      </c>
      <c r="AE255" s="21">
        <f>IF($Z255="C",DATE(YEAR(INDEX(Contracts!$J$2:$J$151,$AB255)),MONTH(INDEX(Contracts!$J$2:$J$151,$AB255)),1),IF($Z255="A",DATE(YEAR(INDEX(Fixed_Assets!$G$2:$G$201,$AB255)),MONTH(INDEX(Fixed_Assets!$G$2:$G$201,$AB255)),1),IF($Z255="F",DATE(YEAR(MAX(N(INDEX(Workforce!$I$2:$I$151,MATCH(INDEX(FTE_Allocation!$A$2:$A$201,$AB255),Workforce!$A$2:$A$151,0))),N(INDEX(FTE_Allocation!$I$2:$I$201,$AB255)))),MONTH(MAX(N(INDEX(Workforce!$I$2:$I$151,MATCH(INDEX(FTE_Allocation!$A$2:$A$201,$AB255),Workforce!$A$2:$A$151,0))),N(INDEX(FTE_Allocation!$I$2:$I$201,$AB255)))),1),"")))</f>
        <v/>
      </c>
      <c r="AF255" s="21">
        <f>IF($Z255="C",IF(INDEX(Contracts!$I$2:$I$151,$AB255)="PREPAID",EDATE(DATE(YEAR(INDEX(Contracts!$J$2:$J$151,$AB255)),MONTH(INDEX(Contracts!$J$2:$J$151,$AB255)),1),IF(INDEX(Contracts!$N$2:$N$151,$AB255)="",12,INDEX(Contracts!$N$2:$N$151,$AB255))-1),IF(INDEX(Contracts!$I$2:$I$151,$AB255)="MONTHLY",IF(INDEX(Contracts!$K$2:$K$151,$AB255)="",2958101,INDEX(Contracts!$K$2:$K$151,$AB255)),0)),IF($Z255="A",EDATE(DATE(YEAR(INDEX(Fixed_Assets!$G$2:$G$201,$AB255)),MONTH(INDEX(Fixed_Assets!$G$2:$G$201,$AB255)),1),INDEX(Fixed_Assets!$J$2:$J$201,$AB255)-1),IF($Z255="F",MIN(IF(INDEX(Workforce!$J$2:$J$151,MATCH(INDEX(FTE_Allocation!$A$2:$A$201,$AB255),Workforce!$A$2:$A$151,0))="",2958101,INDEX(Workforce!$J$2:$J$151,MATCH(INDEX(FTE_Allocation!$A$2:$A$201,$AB255),Workforce!$A$2:$A$151,0))),IF(INDEX(FTE_Allocation!$J$2:$J$201,$AB255)="",2958101,INDEX(FTE_Allocation!$J$2:$J$201,$AB255))),"")))</f>
        <v/>
      </c>
      <c r="AG255" s="19">
        <f>IF($Z255="C",IF(INDEX(Contracts!$I$2:$I$151,$AB255)="PREPAID",INDEX(Contracts!$M$2:$M$151,$AB255)/IF(INDEX(Contracts!$N$2:$N$151,$AB255)="",12,INDEX(Contracts!$N$2:$N$151,$AB255)),IF(INDEX(Contracts!$I$2:$I$151,$AB255)="MONTHLY",INDEX(Contracts!$M$2:$M$151,$AB255),0))*(1-N(INDEX(Contracts!$O$2:$O$151,$AB255))),IF($Z255="A",INDEX(Fixed_Assets!$H$2:$H$201,$AB255)/INDEX(Fixed_Assets!$J$2:$J$201,$AB255),IF($Z255="F",INDEX(Workforce!$F$2:$F$151,MATCH(INDEX(FTE_Allocation!$A$2:$A$201,$AB255),Workforce!$A$2:$A$151,0))*N(INDEX(FTE_Allocation!$F$2:$H$201,$AB255,$AC255)),"")))</f>
        <v/>
      </c>
    </row>
    <row r="256">
      <c r="A256" s="7">
        <f>IF($Z256="","",$AD256)</f>
        <v/>
      </c>
      <c r="B256" s="7">
        <f>IF($Z256="C",INDEX(Contracts!$D$2:$D$151,$AB256)&amp;"",IF($Z256="A",INDEX(Fixed_Assets!$C$2:$C$201,$AB256)&amp;"",IF($Z256="F",INDEX(Workforce!$B$2:$B$151,MATCH(INDEX(FTE_Allocation!$A$2:$A$201,$AB256),Workforce!$A$2:$A$151,0))&amp;"","")))</f>
        <v/>
      </c>
      <c r="C256" s="7">
        <f>IF($Z256="C",INDEX(Contracts!$E$2:$E$151,$AB256)&amp;"",IF($Z256="A",INDEX(Fixed_Assets!$D$2:$D$201,$AB256)&amp;"",IF($Z256="F",INDEX(FTE_Allocation!$C$2:$C$201,$AB256)&amp;"","")))</f>
        <v/>
      </c>
      <c r="D256" s="7">
        <f>IF($Z256="C",INDEX(Contracts!$B$2:$B$151,$AB256)&amp;"",IF($Z256="A",INDEX(Fixed_Assets!$B$2:$B$201,$AB256)&amp;"",IF($Z256="F",INDEX(FTE_Allocation!$B$2:$B$201,$AB256)&amp;"","")))</f>
        <v/>
      </c>
      <c r="E256" s="7">
        <f>IF($Z256="C",INDEX(Contracts!$P$2:$P$151,$AB256)&amp;"",IF($Z256="A",INDEX(Fixed_Assets!$K$2:$K$201,$AB256)&amp;"",IF($Z256="F",IF(INDEX(FTE_Allocation!$D$2:$D$201,$AB256)="PROJECT",IFERROR(INDEX(Projects!$D:$D,MATCH(INDEX(FTE_Allocation!$E$2:$E$201,$AB256),Projects!$A:$A,0))&amp;"","#PROJECT?"),INDEX(FTE_Allocation!$E$2:$E$201,$AB256)&amp;""),"")))</f>
        <v/>
      </c>
      <c r="F256" s="7">
        <f>IF($Z256="C",INDEX(Contracts!$Q$2:$Q$151,$AB256)&amp;"",IF($Z256="A",INDEX(Fixed_Assets!$L$2:$L$201,$AB256)&amp;"",IF($Z256="F",INDEX(Workforce!$K$2:$K$151,MATCH(INDEX(FTE_Allocation!$A$2:$A$201,$AB256),Workforce!$A$2:$A$151,0))&amp;"","")))</f>
        <v/>
      </c>
      <c r="G256" s="7">
        <f>IF($Z256="C",INDEX(Contracts!$F$2:$F$151,$AB256)&amp;" / "&amp;INDEX(Contracts!$G$2:$G$151,$AB256),IF($Z256="A",INDEX(Fixed_Assets!$E$2:$E$201,$AB256)&amp;"",IF($Z256="F","Personnel "&amp;INDEX(FTE_Allocation!$A$2:$A$201,$AB256)&amp;IF(INDEX(FTE_Allocation!$D$2:$D$201,$AB256)="PROJECT"," ("&amp;INDEX(FTE_Allocation!$E$2:$E$201,$AB256)&amp;")",""),"")))</f>
        <v/>
      </c>
      <c r="H256" s="7">
        <f>IF($Z256="C","CONTRACT",IF($Z256="A","ASSET",IF($Z256="F","WORKFORCE","")))</f>
        <v/>
      </c>
      <c r="I256" s="7">
        <f>IF($Z256="C",INDEX(Contracts!$L$2:$L$151,$AB256)&amp;"",IF($Z256="A",INDEX(Fixed_Assets!$I$2:$I$201,$AB256)&amp;"",IF($Z256="F",INDEX(Workforce!$G$2:$G$151,MATCH(INDEX(FTE_Allocation!$A$2:$A$201,$AB256),Workforce!$A$2:$A$151,0))&amp;"","")))</f>
        <v/>
      </c>
      <c r="J256" s="18">
        <f>IF($Z256="","",IF(AND(DATE($AD256,1,1)&gt;=$AE256,DATE($AD256,1,1)&lt;=$AF256),ROUND($AG256,2),0))</f>
        <v/>
      </c>
      <c r="K256" s="18">
        <f>IF($Z256="","",IF(AND(DATE($AD256,2,1)&gt;=$AE256,DATE($AD256,2,1)&lt;=$AF256),ROUND($AG256,2),0))</f>
        <v/>
      </c>
      <c r="L256" s="18">
        <f>IF($Z256="","",IF(AND(DATE($AD256,3,1)&gt;=$AE256,DATE($AD256,3,1)&lt;=$AF256),ROUND($AG256,2),0))</f>
        <v/>
      </c>
      <c r="M256" s="18">
        <f>IF($Z256="","",IF(AND(DATE($AD256,4,1)&gt;=$AE256,DATE($AD256,4,1)&lt;=$AF256),ROUND($AG256,2),0))</f>
        <v/>
      </c>
      <c r="N256" s="18">
        <f>IF($Z256="","",IF(AND(DATE($AD256,5,1)&gt;=$AE256,DATE($AD256,5,1)&lt;=$AF256),ROUND($AG256,2),0))</f>
        <v/>
      </c>
      <c r="O256" s="18">
        <f>IF($Z256="","",IF(AND(DATE($AD256,6,1)&gt;=$AE256,DATE($AD256,6,1)&lt;=$AF256),ROUND($AG256,2),0))</f>
        <v/>
      </c>
      <c r="P256" s="18">
        <f>IF($Z256="","",IF(AND(DATE($AD256,7,1)&gt;=$AE256,DATE($AD256,7,1)&lt;=$AF256),ROUND($AG256,2),0))</f>
        <v/>
      </c>
      <c r="Q256" s="18">
        <f>IF($Z256="","",IF(AND(DATE($AD256,8,1)&gt;=$AE256,DATE($AD256,8,1)&lt;=$AF256),ROUND($AG256,2),0))</f>
        <v/>
      </c>
      <c r="R256" s="18">
        <f>IF($Z256="","",IF(AND(DATE($AD256,9,1)&gt;=$AE256,DATE($AD256,9,1)&lt;=$AF256),ROUND($AG256,2),0))</f>
        <v/>
      </c>
      <c r="S256" s="18">
        <f>IF($Z256="","",IF(AND(DATE($AD256,10,1)&gt;=$AE256,DATE($AD256,10,1)&lt;=$AF256),ROUND($AG256,2),0))</f>
        <v/>
      </c>
      <c r="T256" s="18">
        <f>IF($Z256="","",IF(AND(DATE($AD256,11,1)&gt;=$AE256,DATE($AD256,11,1)&lt;=$AF256),ROUND($AG256,2),0))</f>
        <v/>
      </c>
      <c r="U256" s="18">
        <f>IF($Z256="","",IF(AND(DATE($AD256,12,1)&gt;=$AE256,DATE($AD256,12,1)&lt;=$AF256),ROUND($AG256,2),0))</f>
        <v/>
      </c>
      <c r="V256" s="7">
        <f>IF($Z256="C","Generated from "&amp;INDEX(Contracts!$A$2:$A$151,$AB256),IF($Z256="A","Generated from "&amp;INDEX(Fixed_Assets!$A$2:$A$201,$AB256),IF($Z256="F","Generated from "&amp;INDEX(FTE_Allocation!$A$2:$A$201,$AB256),"")))</f>
        <v/>
      </c>
      <c r="X256" s="19">
        <f>IF($Z256="","",SUM(J256:U256))</f>
        <v/>
      </c>
      <c r="Y256" s="20">
        <f>ROW()-1</f>
        <v/>
      </c>
      <c r="Z256" s="20">
        <f>IF($Y256&lt;=Settings!$B$4*3,"C",IF($Y256&lt;=(Settings!$B$4+Settings!$B$5)*3,"A",IF($Y256&lt;=(Settings!$B$4+Settings!$B$5+Settings!$B$6)*3,"F","")))</f>
        <v/>
      </c>
      <c r="AA256" s="20">
        <f>IF($Z256="C",$Y256,IF($Z256="A",$Y256-Settings!$B$4*3,IF($Z256="F",$Y256-(Settings!$B$4+Settings!$B$5)*3,"")))</f>
        <v/>
      </c>
      <c r="AB256" s="20">
        <f>IF($Z256="","",INT(($AA256-1)/3)+1)</f>
        <v/>
      </c>
      <c r="AC256" s="20">
        <f>IF($Z256="","",MOD($AA256-1,3)+1)</f>
        <v/>
      </c>
      <c r="AD256" s="20">
        <f>IF($Z256="","",Settings!$B$2+$AC256-1)</f>
        <v/>
      </c>
      <c r="AE256" s="21">
        <f>IF($Z256="C",DATE(YEAR(INDEX(Contracts!$J$2:$J$151,$AB256)),MONTH(INDEX(Contracts!$J$2:$J$151,$AB256)),1),IF($Z256="A",DATE(YEAR(INDEX(Fixed_Assets!$G$2:$G$201,$AB256)),MONTH(INDEX(Fixed_Assets!$G$2:$G$201,$AB256)),1),IF($Z256="F",DATE(YEAR(MAX(N(INDEX(Workforce!$I$2:$I$151,MATCH(INDEX(FTE_Allocation!$A$2:$A$201,$AB256),Workforce!$A$2:$A$151,0))),N(INDEX(FTE_Allocation!$I$2:$I$201,$AB256)))),MONTH(MAX(N(INDEX(Workforce!$I$2:$I$151,MATCH(INDEX(FTE_Allocation!$A$2:$A$201,$AB256),Workforce!$A$2:$A$151,0))),N(INDEX(FTE_Allocation!$I$2:$I$201,$AB256)))),1),"")))</f>
        <v/>
      </c>
      <c r="AF256" s="21">
        <f>IF($Z256="C",IF(INDEX(Contracts!$I$2:$I$151,$AB256)="PREPAID",EDATE(DATE(YEAR(INDEX(Contracts!$J$2:$J$151,$AB256)),MONTH(INDEX(Contracts!$J$2:$J$151,$AB256)),1),IF(INDEX(Contracts!$N$2:$N$151,$AB256)="",12,INDEX(Contracts!$N$2:$N$151,$AB256))-1),IF(INDEX(Contracts!$I$2:$I$151,$AB256)="MONTHLY",IF(INDEX(Contracts!$K$2:$K$151,$AB256)="",2958101,INDEX(Contracts!$K$2:$K$151,$AB256)),0)),IF($Z256="A",EDATE(DATE(YEAR(INDEX(Fixed_Assets!$G$2:$G$201,$AB256)),MONTH(INDEX(Fixed_Assets!$G$2:$G$201,$AB256)),1),INDEX(Fixed_Assets!$J$2:$J$201,$AB256)-1),IF($Z256="F",MIN(IF(INDEX(Workforce!$J$2:$J$151,MATCH(INDEX(FTE_Allocation!$A$2:$A$201,$AB256),Workforce!$A$2:$A$151,0))="",2958101,INDEX(Workforce!$J$2:$J$151,MATCH(INDEX(FTE_Allocation!$A$2:$A$201,$AB256),Workforce!$A$2:$A$151,0))),IF(INDEX(FTE_Allocation!$J$2:$J$201,$AB256)="",2958101,INDEX(FTE_Allocation!$J$2:$J$201,$AB256))),"")))</f>
        <v/>
      </c>
      <c r="AG256" s="19">
        <f>IF($Z256="C",IF(INDEX(Contracts!$I$2:$I$151,$AB256)="PREPAID",INDEX(Contracts!$M$2:$M$151,$AB256)/IF(INDEX(Contracts!$N$2:$N$151,$AB256)="",12,INDEX(Contracts!$N$2:$N$151,$AB256)),IF(INDEX(Contracts!$I$2:$I$151,$AB256)="MONTHLY",INDEX(Contracts!$M$2:$M$151,$AB256),0))*(1-N(INDEX(Contracts!$O$2:$O$151,$AB256))),IF($Z256="A",INDEX(Fixed_Assets!$H$2:$H$201,$AB256)/INDEX(Fixed_Assets!$J$2:$J$201,$AB256),IF($Z256="F",INDEX(Workforce!$F$2:$F$151,MATCH(INDEX(FTE_Allocation!$A$2:$A$201,$AB256),Workforce!$A$2:$A$151,0))*N(INDEX(FTE_Allocation!$F$2:$H$201,$AB256,$AC256)),"")))</f>
        <v/>
      </c>
    </row>
    <row r="257">
      <c r="A257" s="7">
        <f>IF($Z257="","",$AD257)</f>
        <v/>
      </c>
      <c r="B257" s="7">
        <f>IF($Z257="C",INDEX(Contracts!$D$2:$D$151,$AB257)&amp;"",IF($Z257="A",INDEX(Fixed_Assets!$C$2:$C$201,$AB257)&amp;"",IF($Z257="F",INDEX(Workforce!$B$2:$B$151,MATCH(INDEX(FTE_Allocation!$A$2:$A$201,$AB257),Workforce!$A$2:$A$151,0))&amp;"","")))</f>
        <v/>
      </c>
      <c r="C257" s="7">
        <f>IF($Z257="C",INDEX(Contracts!$E$2:$E$151,$AB257)&amp;"",IF($Z257="A",INDEX(Fixed_Assets!$D$2:$D$201,$AB257)&amp;"",IF($Z257="F",INDEX(FTE_Allocation!$C$2:$C$201,$AB257)&amp;"","")))</f>
        <v/>
      </c>
      <c r="D257" s="7">
        <f>IF($Z257="C",INDEX(Contracts!$B$2:$B$151,$AB257)&amp;"",IF($Z257="A",INDEX(Fixed_Assets!$B$2:$B$201,$AB257)&amp;"",IF($Z257="F",INDEX(FTE_Allocation!$B$2:$B$201,$AB257)&amp;"","")))</f>
        <v/>
      </c>
      <c r="E257" s="7">
        <f>IF($Z257="C",INDEX(Contracts!$P$2:$P$151,$AB257)&amp;"",IF($Z257="A",INDEX(Fixed_Assets!$K$2:$K$201,$AB257)&amp;"",IF($Z257="F",IF(INDEX(FTE_Allocation!$D$2:$D$201,$AB257)="PROJECT",IFERROR(INDEX(Projects!$D:$D,MATCH(INDEX(FTE_Allocation!$E$2:$E$201,$AB257),Projects!$A:$A,0))&amp;"","#PROJECT?"),INDEX(FTE_Allocation!$E$2:$E$201,$AB257)&amp;""),"")))</f>
        <v/>
      </c>
      <c r="F257" s="7">
        <f>IF($Z257="C",INDEX(Contracts!$Q$2:$Q$151,$AB257)&amp;"",IF($Z257="A",INDEX(Fixed_Assets!$L$2:$L$201,$AB257)&amp;"",IF($Z257="F",INDEX(Workforce!$K$2:$K$151,MATCH(INDEX(FTE_Allocation!$A$2:$A$201,$AB257),Workforce!$A$2:$A$151,0))&amp;"","")))</f>
        <v/>
      </c>
      <c r="G257" s="7">
        <f>IF($Z257="C",INDEX(Contracts!$F$2:$F$151,$AB257)&amp;" / "&amp;INDEX(Contracts!$G$2:$G$151,$AB257),IF($Z257="A",INDEX(Fixed_Assets!$E$2:$E$201,$AB257)&amp;"",IF($Z257="F","Personnel "&amp;INDEX(FTE_Allocation!$A$2:$A$201,$AB257)&amp;IF(INDEX(FTE_Allocation!$D$2:$D$201,$AB257)="PROJECT"," ("&amp;INDEX(FTE_Allocation!$E$2:$E$201,$AB257)&amp;")",""),"")))</f>
        <v/>
      </c>
      <c r="H257" s="7">
        <f>IF($Z257="C","CONTRACT",IF($Z257="A","ASSET",IF($Z257="F","WORKFORCE","")))</f>
        <v/>
      </c>
      <c r="I257" s="7">
        <f>IF($Z257="C",INDEX(Contracts!$L$2:$L$151,$AB257)&amp;"",IF($Z257="A",INDEX(Fixed_Assets!$I$2:$I$201,$AB257)&amp;"",IF($Z257="F",INDEX(Workforce!$G$2:$G$151,MATCH(INDEX(FTE_Allocation!$A$2:$A$201,$AB257),Workforce!$A$2:$A$151,0))&amp;"","")))</f>
        <v/>
      </c>
      <c r="J257" s="18">
        <f>IF($Z257="","",IF(AND(DATE($AD257,1,1)&gt;=$AE257,DATE($AD257,1,1)&lt;=$AF257),ROUND($AG257,2),0))</f>
        <v/>
      </c>
      <c r="K257" s="18">
        <f>IF($Z257="","",IF(AND(DATE($AD257,2,1)&gt;=$AE257,DATE($AD257,2,1)&lt;=$AF257),ROUND($AG257,2),0))</f>
        <v/>
      </c>
      <c r="L257" s="18">
        <f>IF($Z257="","",IF(AND(DATE($AD257,3,1)&gt;=$AE257,DATE($AD257,3,1)&lt;=$AF257),ROUND($AG257,2),0))</f>
        <v/>
      </c>
      <c r="M257" s="18">
        <f>IF($Z257="","",IF(AND(DATE($AD257,4,1)&gt;=$AE257,DATE($AD257,4,1)&lt;=$AF257),ROUND($AG257,2),0))</f>
        <v/>
      </c>
      <c r="N257" s="18">
        <f>IF($Z257="","",IF(AND(DATE($AD257,5,1)&gt;=$AE257,DATE($AD257,5,1)&lt;=$AF257),ROUND($AG257,2),0))</f>
        <v/>
      </c>
      <c r="O257" s="18">
        <f>IF($Z257="","",IF(AND(DATE($AD257,6,1)&gt;=$AE257,DATE($AD257,6,1)&lt;=$AF257),ROUND($AG257,2),0))</f>
        <v/>
      </c>
      <c r="P257" s="18">
        <f>IF($Z257="","",IF(AND(DATE($AD257,7,1)&gt;=$AE257,DATE($AD257,7,1)&lt;=$AF257),ROUND($AG257,2),0))</f>
        <v/>
      </c>
      <c r="Q257" s="18">
        <f>IF($Z257="","",IF(AND(DATE($AD257,8,1)&gt;=$AE257,DATE($AD257,8,1)&lt;=$AF257),ROUND($AG257,2),0))</f>
        <v/>
      </c>
      <c r="R257" s="18">
        <f>IF($Z257="","",IF(AND(DATE($AD257,9,1)&gt;=$AE257,DATE($AD257,9,1)&lt;=$AF257),ROUND($AG257,2),0))</f>
        <v/>
      </c>
      <c r="S257" s="18">
        <f>IF($Z257="","",IF(AND(DATE($AD257,10,1)&gt;=$AE257,DATE($AD257,10,1)&lt;=$AF257),ROUND($AG257,2),0))</f>
        <v/>
      </c>
      <c r="T257" s="18">
        <f>IF($Z257="","",IF(AND(DATE($AD257,11,1)&gt;=$AE257,DATE($AD257,11,1)&lt;=$AF257),ROUND($AG257,2),0))</f>
        <v/>
      </c>
      <c r="U257" s="18">
        <f>IF($Z257="","",IF(AND(DATE($AD257,12,1)&gt;=$AE257,DATE($AD257,12,1)&lt;=$AF257),ROUND($AG257,2),0))</f>
        <v/>
      </c>
      <c r="V257" s="7">
        <f>IF($Z257="C","Generated from "&amp;INDEX(Contracts!$A$2:$A$151,$AB257),IF($Z257="A","Generated from "&amp;INDEX(Fixed_Assets!$A$2:$A$201,$AB257),IF($Z257="F","Generated from "&amp;INDEX(FTE_Allocation!$A$2:$A$201,$AB257),"")))</f>
        <v/>
      </c>
      <c r="X257" s="19">
        <f>IF($Z257="","",SUM(J257:U257))</f>
        <v/>
      </c>
      <c r="Y257" s="20">
        <f>ROW()-1</f>
        <v/>
      </c>
      <c r="Z257" s="20">
        <f>IF($Y257&lt;=Settings!$B$4*3,"C",IF($Y257&lt;=(Settings!$B$4+Settings!$B$5)*3,"A",IF($Y257&lt;=(Settings!$B$4+Settings!$B$5+Settings!$B$6)*3,"F","")))</f>
        <v/>
      </c>
      <c r="AA257" s="20">
        <f>IF($Z257="C",$Y257,IF($Z257="A",$Y257-Settings!$B$4*3,IF($Z257="F",$Y257-(Settings!$B$4+Settings!$B$5)*3,"")))</f>
        <v/>
      </c>
      <c r="AB257" s="20">
        <f>IF($Z257="","",INT(($AA257-1)/3)+1)</f>
        <v/>
      </c>
      <c r="AC257" s="20">
        <f>IF($Z257="","",MOD($AA257-1,3)+1)</f>
        <v/>
      </c>
      <c r="AD257" s="20">
        <f>IF($Z257="","",Settings!$B$2+$AC257-1)</f>
        <v/>
      </c>
      <c r="AE257" s="21">
        <f>IF($Z257="C",DATE(YEAR(INDEX(Contracts!$J$2:$J$151,$AB257)),MONTH(INDEX(Contracts!$J$2:$J$151,$AB257)),1),IF($Z257="A",DATE(YEAR(INDEX(Fixed_Assets!$G$2:$G$201,$AB257)),MONTH(INDEX(Fixed_Assets!$G$2:$G$201,$AB257)),1),IF($Z257="F",DATE(YEAR(MAX(N(INDEX(Workforce!$I$2:$I$151,MATCH(INDEX(FTE_Allocation!$A$2:$A$201,$AB257),Workforce!$A$2:$A$151,0))),N(INDEX(FTE_Allocation!$I$2:$I$201,$AB257)))),MONTH(MAX(N(INDEX(Workforce!$I$2:$I$151,MATCH(INDEX(FTE_Allocation!$A$2:$A$201,$AB257),Workforce!$A$2:$A$151,0))),N(INDEX(FTE_Allocation!$I$2:$I$201,$AB257)))),1),"")))</f>
        <v/>
      </c>
      <c r="AF257" s="21">
        <f>IF($Z257="C",IF(INDEX(Contracts!$I$2:$I$151,$AB257)="PREPAID",EDATE(DATE(YEAR(INDEX(Contracts!$J$2:$J$151,$AB257)),MONTH(INDEX(Contracts!$J$2:$J$151,$AB257)),1),IF(INDEX(Contracts!$N$2:$N$151,$AB257)="",12,INDEX(Contracts!$N$2:$N$151,$AB257))-1),IF(INDEX(Contracts!$I$2:$I$151,$AB257)="MONTHLY",IF(INDEX(Contracts!$K$2:$K$151,$AB257)="",2958101,INDEX(Contracts!$K$2:$K$151,$AB257)),0)),IF($Z257="A",EDATE(DATE(YEAR(INDEX(Fixed_Assets!$G$2:$G$201,$AB257)),MONTH(INDEX(Fixed_Assets!$G$2:$G$201,$AB257)),1),INDEX(Fixed_Assets!$J$2:$J$201,$AB257)-1),IF($Z257="F",MIN(IF(INDEX(Workforce!$J$2:$J$151,MATCH(INDEX(FTE_Allocation!$A$2:$A$201,$AB257),Workforce!$A$2:$A$151,0))="",2958101,INDEX(Workforce!$J$2:$J$151,MATCH(INDEX(FTE_Allocation!$A$2:$A$201,$AB257),Workforce!$A$2:$A$151,0))),IF(INDEX(FTE_Allocation!$J$2:$J$201,$AB257)="",2958101,INDEX(FTE_Allocation!$J$2:$J$201,$AB257))),"")))</f>
        <v/>
      </c>
      <c r="AG257" s="19">
        <f>IF($Z257="C",IF(INDEX(Contracts!$I$2:$I$151,$AB257)="PREPAID",INDEX(Contracts!$M$2:$M$151,$AB257)/IF(INDEX(Contracts!$N$2:$N$151,$AB257)="",12,INDEX(Contracts!$N$2:$N$151,$AB257)),IF(INDEX(Contracts!$I$2:$I$151,$AB257)="MONTHLY",INDEX(Contracts!$M$2:$M$151,$AB257),0))*(1-N(INDEX(Contracts!$O$2:$O$151,$AB257))),IF($Z257="A",INDEX(Fixed_Assets!$H$2:$H$201,$AB257)/INDEX(Fixed_Assets!$J$2:$J$201,$AB257),IF($Z257="F",INDEX(Workforce!$F$2:$F$151,MATCH(INDEX(FTE_Allocation!$A$2:$A$201,$AB257),Workforce!$A$2:$A$151,0))*N(INDEX(FTE_Allocation!$F$2:$H$201,$AB257,$AC257)),"")))</f>
        <v/>
      </c>
    </row>
    <row r="258">
      <c r="A258" s="7">
        <f>IF($Z258="","",$AD258)</f>
        <v/>
      </c>
      <c r="B258" s="7">
        <f>IF($Z258="C",INDEX(Contracts!$D$2:$D$151,$AB258)&amp;"",IF($Z258="A",INDEX(Fixed_Assets!$C$2:$C$201,$AB258)&amp;"",IF($Z258="F",INDEX(Workforce!$B$2:$B$151,MATCH(INDEX(FTE_Allocation!$A$2:$A$201,$AB258),Workforce!$A$2:$A$151,0))&amp;"","")))</f>
        <v/>
      </c>
      <c r="C258" s="7">
        <f>IF($Z258="C",INDEX(Contracts!$E$2:$E$151,$AB258)&amp;"",IF($Z258="A",INDEX(Fixed_Assets!$D$2:$D$201,$AB258)&amp;"",IF($Z258="F",INDEX(FTE_Allocation!$C$2:$C$201,$AB258)&amp;"","")))</f>
        <v/>
      </c>
      <c r="D258" s="7">
        <f>IF($Z258="C",INDEX(Contracts!$B$2:$B$151,$AB258)&amp;"",IF($Z258="A",INDEX(Fixed_Assets!$B$2:$B$201,$AB258)&amp;"",IF($Z258="F",INDEX(FTE_Allocation!$B$2:$B$201,$AB258)&amp;"","")))</f>
        <v/>
      </c>
      <c r="E258" s="7">
        <f>IF($Z258="C",INDEX(Contracts!$P$2:$P$151,$AB258)&amp;"",IF($Z258="A",INDEX(Fixed_Assets!$K$2:$K$201,$AB258)&amp;"",IF($Z258="F",IF(INDEX(FTE_Allocation!$D$2:$D$201,$AB258)="PROJECT",IFERROR(INDEX(Projects!$D:$D,MATCH(INDEX(FTE_Allocation!$E$2:$E$201,$AB258),Projects!$A:$A,0))&amp;"","#PROJECT?"),INDEX(FTE_Allocation!$E$2:$E$201,$AB258)&amp;""),"")))</f>
        <v/>
      </c>
      <c r="F258" s="7">
        <f>IF($Z258="C",INDEX(Contracts!$Q$2:$Q$151,$AB258)&amp;"",IF($Z258="A",INDEX(Fixed_Assets!$L$2:$L$201,$AB258)&amp;"",IF($Z258="F",INDEX(Workforce!$K$2:$K$151,MATCH(INDEX(FTE_Allocation!$A$2:$A$201,$AB258),Workforce!$A$2:$A$151,0))&amp;"","")))</f>
        <v/>
      </c>
      <c r="G258" s="7">
        <f>IF($Z258="C",INDEX(Contracts!$F$2:$F$151,$AB258)&amp;" / "&amp;INDEX(Contracts!$G$2:$G$151,$AB258),IF($Z258="A",INDEX(Fixed_Assets!$E$2:$E$201,$AB258)&amp;"",IF($Z258="F","Personnel "&amp;INDEX(FTE_Allocation!$A$2:$A$201,$AB258)&amp;IF(INDEX(FTE_Allocation!$D$2:$D$201,$AB258)="PROJECT"," ("&amp;INDEX(FTE_Allocation!$E$2:$E$201,$AB258)&amp;")",""),"")))</f>
        <v/>
      </c>
      <c r="H258" s="7">
        <f>IF($Z258="C","CONTRACT",IF($Z258="A","ASSET",IF($Z258="F","WORKFORCE","")))</f>
        <v/>
      </c>
      <c r="I258" s="7">
        <f>IF($Z258="C",INDEX(Contracts!$L$2:$L$151,$AB258)&amp;"",IF($Z258="A",INDEX(Fixed_Assets!$I$2:$I$201,$AB258)&amp;"",IF($Z258="F",INDEX(Workforce!$G$2:$G$151,MATCH(INDEX(FTE_Allocation!$A$2:$A$201,$AB258),Workforce!$A$2:$A$151,0))&amp;"","")))</f>
        <v/>
      </c>
      <c r="J258" s="18">
        <f>IF($Z258="","",IF(AND(DATE($AD258,1,1)&gt;=$AE258,DATE($AD258,1,1)&lt;=$AF258),ROUND($AG258,2),0))</f>
        <v/>
      </c>
      <c r="K258" s="18">
        <f>IF($Z258="","",IF(AND(DATE($AD258,2,1)&gt;=$AE258,DATE($AD258,2,1)&lt;=$AF258),ROUND($AG258,2),0))</f>
        <v/>
      </c>
      <c r="L258" s="18">
        <f>IF($Z258="","",IF(AND(DATE($AD258,3,1)&gt;=$AE258,DATE($AD258,3,1)&lt;=$AF258),ROUND($AG258,2),0))</f>
        <v/>
      </c>
      <c r="M258" s="18">
        <f>IF($Z258="","",IF(AND(DATE($AD258,4,1)&gt;=$AE258,DATE($AD258,4,1)&lt;=$AF258),ROUND($AG258,2),0))</f>
        <v/>
      </c>
      <c r="N258" s="18">
        <f>IF($Z258="","",IF(AND(DATE($AD258,5,1)&gt;=$AE258,DATE($AD258,5,1)&lt;=$AF258),ROUND($AG258,2),0))</f>
        <v/>
      </c>
      <c r="O258" s="18">
        <f>IF($Z258="","",IF(AND(DATE($AD258,6,1)&gt;=$AE258,DATE($AD258,6,1)&lt;=$AF258),ROUND($AG258,2),0))</f>
        <v/>
      </c>
      <c r="P258" s="18">
        <f>IF($Z258="","",IF(AND(DATE($AD258,7,1)&gt;=$AE258,DATE($AD258,7,1)&lt;=$AF258),ROUND($AG258,2),0))</f>
        <v/>
      </c>
      <c r="Q258" s="18">
        <f>IF($Z258="","",IF(AND(DATE($AD258,8,1)&gt;=$AE258,DATE($AD258,8,1)&lt;=$AF258),ROUND($AG258,2),0))</f>
        <v/>
      </c>
      <c r="R258" s="18">
        <f>IF($Z258="","",IF(AND(DATE($AD258,9,1)&gt;=$AE258,DATE($AD258,9,1)&lt;=$AF258),ROUND($AG258,2),0))</f>
        <v/>
      </c>
      <c r="S258" s="18">
        <f>IF($Z258="","",IF(AND(DATE($AD258,10,1)&gt;=$AE258,DATE($AD258,10,1)&lt;=$AF258),ROUND($AG258,2),0))</f>
        <v/>
      </c>
      <c r="T258" s="18">
        <f>IF($Z258="","",IF(AND(DATE($AD258,11,1)&gt;=$AE258,DATE($AD258,11,1)&lt;=$AF258),ROUND($AG258,2),0))</f>
        <v/>
      </c>
      <c r="U258" s="18">
        <f>IF($Z258="","",IF(AND(DATE($AD258,12,1)&gt;=$AE258,DATE($AD258,12,1)&lt;=$AF258),ROUND($AG258,2),0))</f>
        <v/>
      </c>
      <c r="V258" s="7">
        <f>IF($Z258="C","Generated from "&amp;INDEX(Contracts!$A$2:$A$151,$AB258),IF($Z258="A","Generated from "&amp;INDEX(Fixed_Assets!$A$2:$A$201,$AB258),IF($Z258="F","Generated from "&amp;INDEX(FTE_Allocation!$A$2:$A$201,$AB258),"")))</f>
        <v/>
      </c>
      <c r="X258" s="19">
        <f>IF($Z258="","",SUM(J258:U258))</f>
        <v/>
      </c>
      <c r="Y258" s="20">
        <f>ROW()-1</f>
        <v/>
      </c>
      <c r="Z258" s="20">
        <f>IF($Y258&lt;=Settings!$B$4*3,"C",IF($Y258&lt;=(Settings!$B$4+Settings!$B$5)*3,"A",IF($Y258&lt;=(Settings!$B$4+Settings!$B$5+Settings!$B$6)*3,"F","")))</f>
        <v/>
      </c>
      <c r="AA258" s="20">
        <f>IF($Z258="C",$Y258,IF($Z258="A",$Y258-Settings!$B$4*3,IF($Z258="F",$Y258-(Settings!$B$4+Settings!$B$5)*3,"")))</f>
        <v/>
      </c>
      <c r="AB258" s="20">
        <f>IF($Z258="","",INT(($AA258-1)/3)+1)</f>
        <v/>
      </c>
      <c r="AC258" s="20">
        <f>IF($Z258="","",MOD($AA258-1,3)+1)</f>
        <v/>
      </c>
      <c r="AD258" s="20">
        <f>IF($Z258="","",Settings!$B$2+$AC258-1)</f>
        <v/>
      </c>
      <c r="AE258" s="21">
        <f>IF($Z258="C",DATE(YEAR(INDEX(Contracts!$J$2:$J$151,$AB258)),MONTH(INDEX(Contracts!$J$2:$J$151,$AB258)),1),IF($Z258="A",DATE(YEAR(INDEX(Fixed_Assets!$G$2:$G$201,$AB258)),MONTH(INDEX(Fixed_Assets!$G$2:$G$201,$AB258)),1),IF($Z258="F",DATE(YEAR(MAX(N(INDEX(Workforce!$I$2:$I$151,MATCH(INDEX(FTE_Allocation!$A$2:$A$201,$AB258),Workforce!$A$2:$A$151,0))),N(INDEX(FTE_Allocation!$I$2:$I$201,$AB258)))),MONTH(MAX(N(INDEX(Workforce!$I$2:$I$151,MATCH(INDEX(FTE_Allocation!$A$2:$A$201,$AB258),Workforce!$A$2:$A$151,0))),N(INDEX(FTE_Allocation!$I$2:$I$201,$AB258)))),1),"")))</f>
        <v/>
      </c>
      <c r="AF258" s="21">
        <f>IF($Z258="C",IF(INDEX(Contracts!$I$2:$I$151,$AB258)="PREPAID",EDATE(DATE(YEAR(INDEX(Contracts!$J$2:$J$151,$AB258)),MONTH(INDEX(Contracts!$J$2:$J$151,$AB258)),1),IF(INDEX(Contracts!$N$2:$N$151,$AB258)="",12,INDEX(Contracts!$N$2:$N$151,$AB258))-1),IF(INDEX(Contracts!$I$2:$I$151,$AB258)="MONTHLY",IF(INDEX(Contracts!$K$2:$K$151,$AB258)="",2958101,INDEX(Contracts!$K$2:$K$151,$AB258)),0)),IF($Z258="A",EDATE(DATE(YEAR(INDEX(Fixed_Assets!$G$2:$G$201,$AB258)),MONTH(INDEX(Fixed_Assets!$G$2:$G$201,$AB258)),1),INDEX(Fixed_Assets!$J$2:$J$201,$AB258)-1),IF($Z258="F",MIN(IF(INDEX(Workforce!$J$2:$J$151,MATCH(INDEX(FTE_Allocation!$A$2:$A$201,$AB258),Workforce!$A$2:$A$151,0))="",2958101,INDEX(Workforce!$J$2:$J$151,MATCH(INDEX(FTE_Allocation!$A$2:$A$201,$AB258),Workforce!$A$2:$A$151,0))),IF(INDEX(FTE_Allocation!$J$2:$J$201,$AB258)="",2958101,INDEX(FTE_Allocation!$J$2:$J$201,$AB258))),"")))</f>
        <v/>
      </c>
      <c r="AG258" s="19">
        <f>IF($Z258="C",IF(INDEX(Contracts!$I$2:$I$151,$AB258)="PREPAID",INDEX(Contracts!$M$2:$M$151,$AB258)/IF(INDEX(Contracts!$N$2:$N$151,$AB258)="",12,INDEX(Contracts!$N$2:$N$151,$AB258)),IF(INDEX(Contracts!$I$2:$I$151,$AB258)="MONTHLY",INDEX(Contracts!$M$2:$M$151,$AB258),0))*(1-N(INDEX(Contracts!$O$2:$O$151,$AB258))),IF($Z258="A",INDEX(Fixed_Assets!$H$2:$H$201,$AB258)/INDEX(Fixed_Assets!$J$2:$J$201,$AB258),IF($Z258="F",INDEX(Workforce!$F$2:$F$151,MATCH(INDEX(FTE_Allocation!$A$2:$A$201,$AB258),Workforce!$A$2:$A$151,0))*N(INDEX(FTE_Allocation!$F$2:$H$201,$AB258,$AC258)),"")))</f>
        <v/>
      </c>
    </row>
    <row r="259">
      <c r="A259" s="7">
        <f>IF($Z259="","",$AD259)</f>
        <v/>
      </c>
      <c r="B259" s="7">
        <f>IF($Z259="C",INDEX(Contracts!$D$2:$D$151,$AB259)&amp;"",IF($Z259="A",INDEX(Fixed_Assets!$C$2:$C$201,$AB259)&amp;"",IF($Z259="F",INDEX(Workforce!$B$2:$B$151,MATCH(INDEX(FTE_Allocation!$A$2:$A$201,$AB259),Workforce!$A$2:$A$151,0))&amp;"","")))</f>
        <v/>
      </c>
      <c r="C259" s="7">
        <f>IF($Z259="C",INDEX(Contracts!$E$2:$E$151,$AB259)&amp;"",IF($Z259="A",INDEX(Fixed_Assets!$D$2:$D$201,$AB259)&amp;"",IF($Z259="F",INDEX(FTE_Allocation!$C$2:$C$201,$AB259)&amp;"","")))</f>
        <v/>
      </c>
      <c r="D259" s="7">
        <f>IF($Z259="C",INDEX(Contracts!$B$2:$B$151,$AB259)&amp;"",IF($Z259="A",INDEX(Fixed_Assets!$B$2:$B$201,$AB259)&amp;"",IF($Z259="F",INDEX(FTE_Allocation!$B$2:$B$201,$AB259)&amp;"","")))</f>
        <v/>
      </c>
      <c r="E259" s="7">
        <f>IF($Z259="C",INDEX(Contracts!$P$2:$P$151,$AB259)&amp;"",IF($Z259="A",INDEX(Fixed_Assets!$K$2:$K$201,$AB259)&amp;"",IF($Z259="F",IF(INDEX(FTE_Allocation!$D$2:$D$201,$AB259)="PROJECT",IFERROR(INDEX(Projects!$D:$D,MATCH(INDEX(FTE_Allocation!$E$2:$E$201,$AB259),Projects!$A:$A,0))&amp;"","#PROJECT?"),INDEX(FTE_Allocation!$E$2:$E$201,$AB259)&amp;""),"")))</f>
        <v/>
      </c>
      <c r="F259" s="7">
        <f>IF($Z259="C",INDEX(Contracts!$Q$2:$Q$151,$AB259)&amp;"",IF($Z259="A",INDEX(Fixed_Assets!$L$2:$L$201,$AB259)&amp;"",IF($Z259="F",INDEX(Workforce!$K$2:$K$151,MATCH(INDEX(FTE_Allocation!$A$2:$A$201,$AB259),Workforce!$A$2:$A$151,0))&amp;"","")))</f>
        <v/>
      </c>
      <c r="G259" s="7">
        <f>IF($Z259="C",INDEX(Contracts!$F$2:$F$151,$AB259)&amp;" / "&amp;INDEX(Contracts!$G$2:$G$151,$AB259),IF($Z259="A",INDEX(Fixed_Assets!$E$2:$E$201,$AB259)&amp;"",IF($Z259="F","Personnel "&amp;INDEX(FTE_Allocation!$A$2:$A$201,$AB259)&amp;IF(INDEX(FTE_Allocation!$D$2:$D$201,$AB259)="PROJECT"," ("&amp;INDEX(FTE_Allocation!$E$2:$E$201,$AB259)&amp;")",""),"")))</f>
        <v/>
      </c>
      <c r="H259" s="7">
        <f>IF($Z259="C","CONTRACT",IF($Z259="A","ASSET",IF($Z259="F","WORKFORCE","")))</f>
        <v/>
      </c>
      <c r="I259" s="7">
        <f>IF($Z259="C",INDEX(Contracts!$L$2:$L$151,$AB259)&amp;"",IF($Z259="A",INDEX(Fixed_Assets!$I$2:$I$201,$AB259)&amp;"",IF($Z259="F",INDEX(Workforce!$G$2:$G$151,MATCH(INDEX(FTE_Allocation!$A$2:$A$201,$AB259),Workforce!$A$2:$A$151,0))&amp;"","")))</f>
        <v/>
      </c>
      <c r="J259" s="18">
        <f>IF($Z259="","",IF(AND(DATE($AD259,1,1)&gt;=$AE259,DATE($AD259,1,1)&lt;=$AF259),ROUND($AG259,2),0))</f>
        <v/>
      </c>
      <c r="K259" s="18">
        <f>IF($Z259="","",IF(AND(DATE($AD259,2,1)&gt;=$AE259,DATE($AD259,2,1)&lt;=$AF259),ROUND($AG259,2),0))</f>
        <v/>
      </c>
      <c r="L259" s="18">
        <f>IF($Z259="","",IF(AND(DATE($AD259,3,1)&gt;=$AE259,DATE($AD259,3,1)&lt;=$AF259),ROUND($AG259,2),0))</f>
        <v/>
      </c>
      <c r="M259" s="18">
        <f>IF($Z259="","",IF(AND(DATE($AD259,4,1)&gt;=$AE259,DATE($AD259,4,1)&lt;=$AF259),ROUND($AG259,2),0))</f>
        <v/>
      </c>
      <c r="N259" s="18">
        <f>IF($Z259="","",IF(AND(DATE($AD259,5,1)&gt;=$AE259,DATE($AD259,5,1)&lt;=$AF259),ROUND($AG259,2),0))</f>
        <v/>
      </c>
      <c r="O259" s="18">
        <f>IF($Z259="","",IF(AND(DATE($AD259,6,1)&gt;=$AE259,DATE($AD259,6,1)&lt;=$AF259),ROUND($AG259,2),0))</f>
        <v/>
      </c>
      <c r="P259" s="18">
        <f>IF($Z259="","",IF(AND(DATE($AD259,7,1)&gt;=$AE259,DATE($AD259,7,1)&lt;=$AF259),ROUND($AG259,2),0))</f>
        <v/>
      </c>
      <c r="Q259" s="18">
        <f>IF($Z259="","",IF(AND(DATE($AD259,8,1)&gt;=$AE259,DATE($AD259,8,1)&lt;=$AF259),ROUND($AG259,2),0))</f>
        <v/>
      </c>
      <c r="R259" s="18">
        <f>IF($Z259="","",IF(AND(DATE($AD259,9,1)&gt;=$AE259,DATE($AD259,9,1)&lt;=$AF259),ROUND($AG259,2),0))</f>
        <v/>
      </c>
      <c r="S259" s="18">
        <f>IF($Z259="","",IF(AND(DATE($AD259,10,1)&gt;=$AE259,DATE($AD259,10,1)&lt;=$AF259),ROUND($AG259,2),0))</f>
        <v/>
      </c>
      <c r="T259" s="18">
        <f>IF($Z259="","",IF(AND(DATE($AD259,11,1)&gt;=$AE259,DATE($AD259,11,1)&lt;=$AF259),ROUND($AG259,2),0))</f>
        <v/>
      </c>
      <c r="U259" s="18">
        <f>IF($Z259="","",IF(AND(DATE($AD259,12,1)&gt;=$AE259,DATE($AD259,12,1)&lt;=$AF259),ROUND($AG259,2),0))</f>
        <v/>
      </c>
      <c r="V259" s="7">
        <f>IF($Z259="C","Generated from "&amp;INDEX(Contracts!$A$2:$A$151,$AB259),IF($Z259="A","Generated from "&amp;INDEX(Fixed_Assets!$A$2:$A$201,$AB259),IF($Z259="F","Generated from "&amp;INDEX(FTE_Allocation!$A$2:$A$201,$AB259),"")))</f>
        <v/>
      </c>
      <c r="X259" s="19">
        <f>IF($Z259="","",SUM(J259:U259))</f>
        <v/>
      </c>
      <c r="Y259" s="20">
        <f>ROW()-1</f>
        <v/>
      </c>
      <c r="Z259" s="20">
        <f>IF($Y259&lt;=Settings!$B$4*3,"C",IF($Y259&lt;=(Settings!$B$4+Settings!$B$5)*3,"A",IF($Y259&lt;=(Settings!$B$4+Settings!$B$5+Settings!$B$6)*3,"F","")))</f>
        <v/>
      </c>
      <c r="AA259" s="20">
        <f>IF($Z259="C",$Y259,IF($Z259="A",$Y259-Settings!$B$4*3,IF($Z259="F",$Y259-(Settings!$B$4+Settings!$B$5)*3,"")))</f>
        <v/>
      </c>
      <c r="AB259" s="20">
        <f>IF($Z259="","",INT(($AA259-1)/3)+1)</f>
        <v/>
      </c>
      <c r="AC259" s="20">
        <f>IF($Z259="","",MOD($AA259-1,3)+1)</f>
        <v/>
      </c>
      <c r="AD259" s="20">
        <f>IF($Z259="","",Settings!$B$2+$AC259-1)</f>
        <v/>
      </c>
      <c r="AE259" s="21">
        <f>IF($Z259="C",DATE(YEAR(INDEX(Contracts!$J$2:$J$151,$AB259)),MONTH(INDEX(Contracts!$J$2:$J$151,$AB259)),1),IF($Z259="A",DATE(YEAR(INDEX(Fixed_Assets!$G$2:$G$201,$AB259)),MONTH(INDEX(Fixed_Assets!$G$2:$G$201,$AB259)),1),IF($Z259="F",DATE(YEAR(MAX(N(INDEX(Workforce!$I$2:$I$151,MATCH(INDEX(FTE_Allocation!$A$2:$A$201,$AB259),Workforce!$A$2:$A$151,0))),N(INDEX(FTE_Allocation!$I$2:$I$201,$AB259)))),MONTH(MAX(N(INDEX(Workforce!$I$2:$I$151,MATCH(INDEX(FTE_Allocation!$A$2:$A$201,$AB259),Workforce!$A$2:$A$151,0))),N(INDEX(FTE_Allocation!$I$2:$I$201,$AB259)))),1),"")))</f>
        <v/>
      </c>
      <c r="AF259" s="21">
        <f>IF($Z259="C",IF(INDEX(Contracts!$I$2:$I$151,$AB259)="PREPAID",EDATE(DATE(YEAR(INDEX(Contracts!$J$2:$J$151,$AB259)),MONTH(INDEX(Contracts!$J$2:$J$151,$AB259)),1),IF(INDEX(Contracts!$N$2:$N$151,$AB259)="",12,INDEX(Contracts!$N$2:$N$151,$AB259))-1),IF(INDEX(Contracts!$I$2:$I$151,$AB259)="MONTHLY",IF(INDEX(Contracts!$K$2:$K$151,$AB259)="",2958101,INDEX(Contracts!$K$2:$K$151,$AB259)),0)),IF($Z259="A",EDATE(DATE(YEAR(INDEX(Fixed_Assets!$G$2:$G$201,$AB259)),MONTH(INDEX(Fixed_Assets!$G$2:$G$201,$AB259)),1),INDEX(Fixed_Assets!$J$2:$J$201,$AB259)-1),IF($Z259="F",MIN(IF(INDEX(Workforce!$J$2:$J$151,MATCH(INDEX(FTE_Allocation!$A$2:$A$201,$AB259),Workforce!$A$2:$A$151,0))="",2958101,INDEX(Workforce!$J$2:$J$151,MATCH(INDEX(FTE_Allocation!$A$2:$A$201,$AB259),Workforce!$A$2:$A$151,0))),IF(INDEX(FTE_Allocation!$J$2:$J$201,$AB259)="",2958101,INDEX(FTE_Allocation!$J$2:$J$201,$AB259))),"")))</f>
        <v/>
      </c>
      <c r="AG259" s="19">
        <f>IF($Z259="C",IF(INDEX(Contracts!$I$2:$I$151,$AB259)="PREPAID",INDEX(Contracts!$M$2:$M$151,$AB259)/IF(INDEX(Contracts!$N$2:$N$151,$AB259)="",12,INDEX(Contracts!$N$2:$N$151,$AB259)),IF(INDEX(Contracts!$I$2:$I$151,$AB259)="MONTHLY",INDEX(Contracts!$M$2:$M$151,$AB259),0))*(1-N(INDEX(Contracts!$O$2:$O$151,$AB259))),IF($Z259="A",INDEX(Fixed_Assets!$H$2:$H$201,$AB259)/INDEX(Fixed_Assets!$J$2:$J$201,$AB259),IF($Z259="F",INDEX(Workforce!$F$2:$F$151,MATCH(INDEX(FTE_Allocation!$A$2:$A$201,$AB259),Workforce!$A$2:$A$151,0))*N(INDEX(FTE_Allocation!$F$2:$H$201,$AB259,$AC259)),"")))</f>
        <v/>
      </c>
    </row>
    <row r="260">
      <c r="A260" s="7">
        <f>IF($Z260="","",$AD260)</f>
        <v/>
      </c>
      <c r="B260" s="7">
        <f>IF($Z260="C",INDEX(Contracts!$D$2:$D$151,$AB260)&amp;"",IF($Z260="A",INDEX(Fixed_Assets!$C$2:$C$201,$AB260)&amp;"",IF($Z260="F",INDEX(Workforce!$B$2:$B$151,MATCH(INDEX(FTE_Allocation!$A$2:$A$201,$AB260),Workforce!$A$2:$A$151,0))&amp;"","")))</f>
        <v/>
      </c>
      <c r="C260" s="7">
        <f>IF($Z260="C",INDEX(Contracts!$E$2:$E$151,$AB260)&amp;"",IF($Z260="A",INDEX(Fixed_Assets!$D$2:$D$201,$AB260)&amp;"",IF($Z260="F",INDEX(FTE_Allocation!$C$2:$C$201,$AB260)&amp;"","")))</f>
        <v/>
      </c>
      <c r="D260" s="7">
        <f>IF($Z260="C",INDEX(Contracts!$B$2:$B$151,$AB260)&amp;"",IF($Z260="A",INDEX(Fixed_Assets!$B$2:$B$201,$AB260)&amp;"",IF($Z260="F",INDEX(FTE_Allocation!$B$2:$B$201,$AB260)&amp;"","")))</f>
        <v/>
      </c>
      <c r="E260" s="7">
        <f>IF($Z260="C",INDEX(Contracts!$P$2:$P$151,$AB260)&amp;"",IF($Z260="A",INDEX(Fixed_Assets!$K$2:$K$201,$AB260)&amp;"",IF($Z260="F",IF(INDEX(FTE_Allocation!$D$2:$D$201,$AB260)="PROJECT",IFERROR(INDEX(Projects!$D:$D,MATCH(INDEX(FTE_Allocation!$E$2:$E$201,$AB260),Projects!$A:$A,0))&amp;"","#PROJECT?"),INDEX(FTE_Allocation!$E$2:$E$201,$AB260)&amp;""),"")))</f>
        <v/>
      </c>
      <c r="F260" s="7">
        <f>IF($Z260="C",INDEX(Contracts!$Q$2:$Q$151,$AB260)&amp;"",IF($Z260="A",INDEX(Fixed_Assets!$L$2:$L$201,$AB260)&amp;"",IF($Z260="F",INDEX(Workforce!$K$2:$K$151,MATCH(INDEX(FTE_Allocation!$A$2:$A$201,$AB260),Workforce!$A$2:$A$151,0))&amp;"","")))</f>
        <v/>
      </c>
      <c r="G260" s="7">
        <f>IF($Z260="C",INDEX(Contracts!$F$2:$F$151,$AB260)&amp;" / "&amp;INDEX(Contracts!$G$2:$G$151,$AB260),IF($Z260="A",INDEX(Fixed_Assets!$E$2:$E$201,$AB260)&amp;"",IF($Z260="F","Personnel "&amp;INDEX(FTE_Allocation!$A$2:$A$201,$AB260)&amp;IF(INDEX(FTE_Allocation!$D$2:$D$201,$AB260)="PROJECT"," ("&amp;INDEX(FTE_Allocation!$E$2:$E$201,$AB260)&amp;")",""),"")))</f>
        <v/>
      </c>
      <c r="H260" s="7">
        <f>IF($Z260="C","CONTRACT",IF($Z260="A","ASSET",IF($Z260="F","WORKFORCE","")))</f>
        <v/>
      </c>
      <c r="I260" s="7">
        <f>IF($Z260="C",INDEX(Contracts!$L$2:$L$151,$AB260)&amp;"",IF($Z260="A",INDEX(Fixed_Assets!$I$2:$I$201,$AB260)&amp;"",IF($Z260="F",INDEX(Workforce!$G$2:$G$151,MATCH(INDEX(FTE_Allocation!$A$2:$A$201,$AB260),Workforce!$A$2:$A$151,0))&amp;"","")))</f>
        <v/>
      </c>
      <c r="J260" s="18">
        <f>IF($Z260="","",IF(AND(DATE($AD260,1,1)&gt;=$AE260,DATE($AD260,1,1)&lt;=$AF260),ROUND($AG260,2),0))</f>
        <v/>
      </c>
      <c r="K260" s="18">
        <f>IF($Z260="","",IF(AND(DATE($AD260,2,1)&gt;=$AE260,DATE($AD260,2,1)&lt;=$AF260),ROUND($AG260,2),0))</f>
        <v/>
      </c>
      <c r="L260" s="18">
        <f>IF($Z260="","",IF(AND(DATE($AD260,3,1)&gt;=$AE260,DATE($AD260,3,1)&lt;=$AF260),ROUND($AG260,2),0))</f>
        <v/>
      </c>
      <c r="M260" s="18">
        <f>IF($Z260="","",IF(AND(DATE($AD260,4,1)&gt;=$AE260,DATE($AD260,4,1)&lt;=$AF260),ROUND($AG260,2),0))</f>
        <v/>
      </c>
      <c r="N260" s="18">
        <f>IF($Z260="","",IF(AND(DATE($AD260,5,1)&gt;=$AE260,DATE($AD260,5,1)&lt;=$AF260),ROUND($AG260,2),0))</f>
        <v/>
      </c>
      <c r="O260" s="18">
        <f>IF($Z260="","",IF(AND(DATE($AD260,6,1)&gt;=$AE260,DATE($AD260,6,1)&lt;=$AF260),ROUND($AG260,2),0))</f>
        <v/>
      </c>
      <c r="P260" s="18">
        <f>IF($Z260="","",IF(AND(DATE($AD260,7,1)&gt;=$AE260,DATE($AD260,7,1)&lt;=$AF260),ROUND($AG260,2),0))</f>
        <v/>
      </c>
      <c r="Q260" s="18">
        <f>IF($Z260="","",IF(AND(DATE($AD260,8,1)&gt;=$AE260,DATE($AD260,8,1)&lt;=$AF260),ROUND($AG260,2),0))</f>
        <v/>
      </c>
      <c r="R260" s="18">
        <f>IF($Z260="","",IF(AND(DATE($AD260,9,1)&gt;=$AE260,DATE($AD260,9,1)&lt;=$AF260),ROUND($AG260,2),0))</f>
        <v/>
      </c>
      <c r="S260" s="18">
        <f>IF($Z260="","",IF(AND(DATE($AD260,10,1)&gt;=$AE260,DATE($AD260,10,1)&lt;=$AF260),ROUND($AG260,2),0))</f>
        <v/>
      </c>
      <c r="T260" s="18">
        <f>IF($Z260="","",IF(AND(DATE($AD260,11,1)&gt;=$AE260,DATE($AD260,11,1)&lt;=$AF260),ROUND($AG260,2),0))</f>
        <v/>
      </c>
      <c r="U260" s="18">
        <f>IF($Z260="","",IF(AND(DATE($AD260,12,1)&gt;=$AE260,DATE($AD260,12,1)&lt;=$AF260),ROUND($AG260,2),0))</f>
        <v/>
      </c>
      <c r="V260" s="7">
        <f>IF($Z260="C","Generated from "&amp;INDEX(Contracts!$A$2:$A$151,$AB260),IF($Z260="A","Generated from "&amp;INDEX(Fixed_Assets!$A$2:$A$201,$AB260),IF($Z260="F","Generated from "&amp;INDEX(FTE_Allocation!$A$2:$A$201,$AB260),"")))</f>
        <v/>
      </c>
      <c r="X260" s="19">
        <f>IF($Z260="","",SUM(J260:U260))</f>
        <v/>
      </c>
      <c r="Y260" s="20">
        <f>ROW()-1</f>
        <v/>
      </c>
      <c r="Z260" s="20">
        <f>IF($Y260&lt;=Settings!$B$4*3,"C",IF($Y260&lt;=(Settings!$B$4+Settings!$B$5)*3,"A",IF($Y260&lt;=(Settings!$B$4+Settings!$B$5+Settings!$B$6)*3,"F","")))</f>
        <v/>
      </c>
      <c r="AA260" s="20">
        <f>IF($Z260="C",$Y260,IF($Z260="A",$Y260-Settings!$B$4*3,IF($Z260="F",$Y260-(Settings!$B$4+Settings!$B$5)*3,"")))</f>
        <v/>
      </c>
      <c r="AB260" s="20">
        <f>IF($Z260="","",INT(($AA260-1)/3)+1)</f>
        <v/>
      </c>
      <c r="AC260" s="20">
        <f>IF($Z260="","",MOD($AA260-1,3)+1)</f>
        <v/>
      </c>
      <c r="AD260" s="20">
        <f>IF($Z260="","",Settings!$B$2+$AC260-1)</f>
        <v/>
      </c>
      <c r="AE260" s="21">
        <f>IF($Z260="C",DATE(YEAR(INDEX(Contracts!$J$2:$J$151,$AB260)),MONTH(INDEX(Contracts!$J$2:$J$151,$AB260)),1),IF($Z260="A",DATE(YEAR(INDEX(Fixed_Assets!$G$2:$G$201,$AB260)),MONTH(INDEX(Fixed_Assets!$G$2:$G$201,$AB260)),1),IF($Z260="F",DATE(YEAR(MAX(N(INDEX(Workforce!$I$2:$I$151,MATCH(INDEX(FTE_Allocation!$A$2:$A$201,$AB260),Workforce!$A$2:$A$151,0))),N(INDEX(FTE_Allocation!$I$2:$I$201,$AB260)))),MONTH(MAX(N(INDEX(Workforce!$I$2:$I$151,MATCH(INDEX(FTE_Allocation!$A$2:$A$201,$AB260),Workforce!$A$2:$A$151,0))),N(INDEX(FTE_Allocation!$I$2:$I$201,$AB260)))),1),"")))</f>
        <v/>
      </c>
      <c r="AF260" s="21">
        <f>IF($Z260="C",IF(INDEX(Contracts!$I$2:$I$151,$AB260)="PREPAID",EDATE(DATE(YEAR(INDEX(Contracts!$J$2:$J$151,$AB260)),MONTH(INDEX(Contracts!$J$2:$J$151,$AB260)),1),IF(INDEX(Contracts!$N$2:$N$151,$AB260)="",12,INDEX(Contracts!$N$2:$N$151,$AB260))-1),IF(INDEX(Contracts!$I$2:$I$151,$AB260)="MONTHLY",IF(INDEX(Contracts!$K$2:$K$151,$AB260)="",2958101,INDEX(Contracts!$K$2:$K$151,$AB260)),0)),IF($Z260="A",EDATE(DATE(YEAR(INDEX(Fixed_Assets!$G$2:$G$201,$AB260)),MONTH(INDEX(Fixed_Assets!$G$2:$G$201,$AB260)),1),INDEX(Fixed_Assets!$J$2:$J$201,$AB260)-1),IF($Z260="F",MIN(IF(INDEX(Workforce!$J$2:$J$151,MATCH(INDEX(FTE_Allocation!$A$2:$A$201,$AB260),Workforce!$A$2:$A$151,0))="",2958101,INDEX(Workforce!$J$2:$J$151,MATCH(INDEX(FTE_Allocation!$A$2:$A$201,$AB260),Workforce!$A$2:$A$151,0))),IF(INDEX(FTE_Allocation!$J$2:$J$201,$AB260)="",2958101,INDEX(FTE_Allocation!$J$2:$J$201,$AB260))),"")))</f>
        <v/>
      </c>
      <c r="AG260" s="19">
        <f>IF($Z260="C",IF(INDEX(Contracts!$I$2:$I$151,$AB260)="PREPAID",INDEX(Contracts!$M$2:$M$151,$AB260)/IF(INDEX(Contracts!$N$2:$N$151,$AB260)="",12,INDEX(Contracts!$N$2:$N$151,$AB260)),IF(INDEX(Contracts!$I$2:$I$151,$AB260)="MONTHLY",INDEX(Contracts!$M$2:$M$151,$AB260),0))*(1-N(INDEX(Contracts!$O$2:$O$151,$AB260))),IF($Z260="A",INDEX(Fixed_Assets!$H$2:$H$201,$AB260)/INDEX(Fixed_Assets!$J$2:$J$201,$AB260),IF($Z260="F",INDEX(Workforce!$F$2:$F$151,MATCH(INDEX(FTE_Allocation!$A$2:$A$201,$AB260),Workforce!$A$2:$A$151,0))*N(INDEX(FTE_Allocation!$F$2:$H$201,$AB260,$AC260)),"")))</f>
        <v/>
      </c>
    </row>
    <row r="261">
      <c r="A261" s="7">
        <f>IF($Z261="","",$AD261)</f>
        <v/>
      </c>
      <c r="B261" s="7">
        <f>IF($Z261="C",INDEX(Contracts!$D$2:$D$151,$AB261)&amp;"",IF($Z261="A",INDEX(Fixed_Assets!$C$2:$C$201,$AB261)&amp;"",IF($Z261="F",INDEX(Workforce!$B$2:$B$151,MATCH(INDEX(FTE_Allocation!$A$2:$A$201,$AB261),Workforce!$A$2:$A$151,0))&amp;"","")))</f>
        <v/>
      </c>
      <c r="C261" s="7">
        <f>IF($Z261="C",INDEX(Contracts!$E$2:$E$151,$AB261)&amp;"",IF($Z261="A",INDEX(Fixed_Assets!$D$2:$D$201,$AB261)&amp;"",IF($Z261="F",INDEX(FTE_Allocation!$C$2:$C$201,$AB261)&amp;"","")))</f>
        <v/>
      </c>
      <c r="D261" s="7">
        <f>IF($Z261="C",INDEX(Contracts!$B$2:$B$151,$AB261)&amp;"",IF($Z261="A",INDEX(Fixed_Assets!$B$2:$B$201,$AB261)&amp;"",IF($Z261="F",INDEX(FTE_Allocation!$B$2:$B$201,$AB261)&amp;"","")))</f>
        <v/>
      </c>
      <c r="E261" s="7">
        <f>IF($Z261="C",INDEX(Contracts!$P$2:$P$151,$AB261)&amp;"",IF($Z261="A",INDEX(Fixed_Assets!$K$2:$K$201,$AB261)&amp;"",IF($Z261="F",IF(INDEX(FTE_Allocation!$D$2:$D$201,$AB261)="PROJECT",IFERROR(INDEX(Projects!$D:$D,MATCH(INDEX(FTE_Allocation!$E$2:$E$201,$AB261),Projects!$A:$A,0))&amp;"","#PROJECT?"),INDEX(FTE_Allocation!$E$2:$E$201,$AB261)&amp;""),"")))</f>
        <v/>
      </c>
      <c r="F261" s="7">
        <f>IF($Z261="C",INDEX(Contracts!$Q$2:$Q$151,$AB261)&amp;"",IF($Z261="A",INDEX(Fixed_Assets!$L$2:$L$201,$AB261)&amp;"",IF($Z261="F",INDEX(Workforce!$K$2:$K$151,MATCH(INDEX(FTE_Allocation!$A$2:$A$201,$AB261),Workforce!$A$2:$A$151,0))&amp;"","")))</f>
        <v/>
      </c>
      <c r="G261" s="7">
        <f>IF($Z261="C",INDEX(Contracts!$F$2:$F$151,$AB261)&amp;" / "&amp;INDEX(Contracts!$G$2:$G$151,$AB261),IF($Z261="A",INDEX(Fixed_Assets!$E$2:$E$201,$AB261)&amp;"",IF($Z261="F","Personnel "&amp;INDEX(FTE_Allocation!$A$2:$A$201,$AB261)&amp;IF(INDEX(FTE_Allocation!$D$2:$D$201,$AB261)="PROJECT"," ("&amp;INDEX(FTE_Allocation!$E$2:$E$201,$AB261)&amp;")",""),"")))</f>
        <v/>
      </c>
      <c r="H261" s="7">
        <f>IF($Z261="C","CONTRACT",IF($Z261="A","ASSET",IF($Z261="F","WORKFORCE","")))</f>
        <v/>
      </c>
      <c r="I261" s="7">
        <f>IF($Z261="C",INDEX(Contracts!$L$2:$L$151,$AB261)&amp;"",IF($Z261="A",INDEX(Fixed_Assets!$I$2:$I$201,$AB261)&amp;"",IF($Z261="F",INDEX(Workforce!$G$2:$G$151,MATCH(INDEX(FTE_Allocation!$A$2:$A$201,$AB261),Workforce!$A$2:$A$151,0))&amp;"","")))</f>
        <v/>
      </c>
      <c r="J261" s="18">
        <f>IF($Z261="","",IF(AND(DATE($AD261,1,1)&gt;=$AE261,DATE($AD261,1,1)&lt;=$AF261),ROUND($AG261,2),0))</f>
        <v/>
      </c>
      <c r="K261" s="18">
        <f>IF($Z261="","",IF(AND(DATE($AD261,2,1)&gt;=$AE261,DATE($AD261,2,1)&lt;=$AF261),ROUND($AG261,2),0))</f>
        <v/>
      </c>
      <c r="L261" s="18">
        <f>IF($Z261="","",IF(AND(DATE($AD261,3,1)&gt;=$AE261,DATE($AD261,3,1)&lt;=$AF261),ROUND($AG261,2),0))</f>
        <v/>
      </c>
      <c r="M261" s="18">
        <f>IF($Z261="","",IF(AND(DATE($AD261,4,1)&gt;=$AE261,DATE($AD261,4,1)&lt;=$AF261),ROUND($AG261,2),0))</f>
        <v/>
      </c>
      <c r="N261" s="18">
        <f>IF($Z261="","",IF(AND(DATE($AD261,5,1)&gt;=$AE261,DATE($AD261,5,1)&lt;=$AF261),ROUND($AG261,2),0))</f>
        <v/>
      </c>
      <c r="O261" s="18">
        <f>IF($Z261="","",IF(AND(DATE($AD261,6,1)&gt;=$AE261,DATE($AD261,6,1)&lt;=$AF261),ROUND($AG261,2),0))</f>
        <v/>
      </c>
      <c r="P261" s="18">
        <f>IF($Z261="","",IF(AND(DATE($AD261,7,1)&gt;=$AE261,DATE($AD261,7,1)&lt;=$AF261),ROUND($AG261,2),0))</f>
        <v/>
      </c>
      <c r="Q261" s="18">
        <f>IF($Z261="","",IF(AND(DATE($AD261,8,1)&gt;=$AE261,DATE($AD261,8,1)&lt;=$AF261),ROUND($AG261,2),0))</f>
        <v/>
      </c>
      <c r="R261" s="18">
        <f>IF($Z261="","",IF(AND(DATE($AD261,9,1)&gt;=$AE261,DATE($AD261,9,1)&lt;=$AF261),ROUND($AG261,2),0))</f>
        <v/>
      </c>
      <c r="S261" s="18">
        <f>IF($Z261="","",IF(AND(DATE($AD261,10,1)&gt;=$AE261,DATE($AD261,10,1)&lt;=$AF261),ROUND($AG261,2),0))</f>
        <v/>
      </c>
      <c r="T261" s="18">
        <f>IF($Z261="","",IF(AND(DATE($AD261,11,1)&gt;=$AE261,DATE($AD261,11,1)&lt;=$AF261),ROUND($AG261,2),0))</f>
        <v/>
      </c>
      <c r="U261" s="18">
        <f>IF($Z261="","",IF(AND(DATE($AD261,12,1)&gt;=$AE261,DATE($AD261,12,1)&lt;=$AF261),ROUND($AG261,2),0))</f>
        <v/>
      </c>
      <c r="V261" s="7">
        <f>IF($Z261="C","Generated from "&amp;INDEX(Contracts!$A$2:$A$151,$AB261),IF($Z261="A","Generated from "&amp;INDEX(Fixed_Assets!$A$2:$A$201,$AB261),IF($Z261="F","Generated from "&amp;INDEX(FTE_Allocation!$A$2:$A$201,$AB261),"")))</f>
        <v/>
      </c>
      <c r="X261" s="19">
        <f>IF($Z261="","",SUM(J261:U261))</f>
        <v/>
      </c>
      <c r="Y261" s="20">
        <f>ROW()-1</f>
        <v/>
      </c>
      <c r="Z261" s="20">
        <f>IF($Y261&lt;=Settings!$B$4*3,"C",IF($Y261&lt;=(Settings!$B$4+Settings!$B$5)*3,"A",IF($Y261&lt;=(Settings!$B$4+Settings!$B$5+Settings!$B$6)*3,"F","")))</f>
        <v/>
      </c>
      <c r="AA261" s="20">
        <f>IF($Z261="C",$Y261,IF($Z261="A",$Y261-Settings!$B$4*3,IF($Z261="F",$Y261-(Settings!$B$4+Settings!$B$5)*3,"")))</f>
        <v/>
      </c>
      <c r="AB261" s="20">
        <f>IF($Z261="","",INT(($AA261-1)/3)+1)</f>
        <v/>
      </c>
      <c r="AC261" s="20">
        <f>IF($Z261="","",MOD($AA261-1,3)+1)</f>
        <v/>
      </c>
      <c r="AD261" s="20">
        <f>IF($Z261="","",Settings!$B$2+$AC261-1)</f>
        <v/>
      </c>
      <c r="AE261" s="21">
        <f>IF($Z261="C",DATE(YEAR(INDEX(Contracts!$J$2:$J$151,$AB261)),MONTH(INDEX(Contracts!$J$2:$J$151,$AB261)),1),IF($Z261="A",DATE(YEAR(INDEX(Fixed_Assets!$G$2:$G$201,$AB261)),MONTH(INDEX(Fixed_Assets!$G$2:$G$201,$AB261)),1),IF($Z261="F",DATE(YEAR(MAX(N(INDEX(Workforce!$I$2:$I$151,MATCH(INDEX(FTE_Allocation!$A$2:$A$201,$AB261),Workforce!$A$2:$A$151,0))),N(INDEX(FTE_Allocation!$I$2:$I$201,$AB261)))),MONTH(MAX(N(INDEX(Workforce!$I$2:$I$151,MATCH(INDEX(FTE_Allocation!$A$2:$A$201,$AB261),Workforce!$A$2:$A$151,0))),N(INDEX(FTE_Allocation!$I$2:$I$201,$AB261)))),1),"")))</f>
        <v/>
      </c>
      <c r="AF261" s="21">
        <f>IF($Z261="C",IF(INDEX(Contracts!$I$2:$I$151,$AB261)="PREPAID",EDATE(DATE(YEAR(INDEX(Contracts!$J$2:$J$151,$AB261)),MONTH(INDEX(Contracts!$J$2:$J$151,$AB261)),1),IF(INDEX(Contracts!$N$2:$N$151,$AB261)="",12,INDEX(Contracts!$N$2:$N$151,$AB261))-1),IF(INDEX(Contracts!$I$2:$I$151,$AB261)="MONTHLY",IF(INDEX(Contracts!$K$2:$K$151,$AB261)="",2958101,INDEX(Contracts!$K$2:$K$151,$AB261)),0)),IF($Z261="A",EDATE(DATE(YEAR(INDEX(Fixed_Assets!$G$2:$G$201,$AB261)),MONTH(INDEX(Fixed_Assets!$G$2:$G$201,$AB261)),1),INDEX(Fixed_Assets!$J$2:$J$201,$AB261)-1),IF($Z261="F",MIN(IF(INDEX(Workforce!$J$2:$J$151,MATCH(INDEX(FTE_Allocation!$A$2:$A$201,$AB261),Workforce!$A$2:$A$151,0))="",2958101,INDEX(Workforce!$J$2:$J$151,MATCH(INDEX(FTE_Allocation!$A$2:$A$201,$AB261),Workforce!$A$2:$A$151,0))),IF(INDEX(FTE_Allocation!$J$2:$J$201,$AB261)="",2958101,INDEX(FTE_Allocation!$J$2:$J$201,$AB261))),"")))</f>
        <v/>
      </c>
      <c r="AG261" s="19">
        <f>IF($Z261="C",IF(INDEX(Contracts!$I$2:$I$151,$AB261)="PREPAID",INDEX(Contracts!$M$2:$M$151,$AB261)/IF(INDEX(Contracts!$N$2:$N$151,$AB261)="",12,INDEX(Contracts!$N$2:$N$151,$AB261)),IF(INDEX(Contracts!$I$2:$I$151,$AB261)="MONTHLY",INDEX(Contracts!$M$2:$M$151,$AB261),0))*(1-N(INDEX(Contracts!$O$2:$O$151,$AB261))),IF($Z261="A",INDEX(Fixed_Assets!$H$2:$H$201,$AB261)/INDEX(Fixed_Assets!$J$2:$J$201,$AB261),IF($Z261="F",INDEX(Workforce!$F$2:$F$151,MATCH(INDEX(FTE_Allocation!$A$2:$A$201,$AB261),Workforce!$A$2:$A$151,0))*N(INDEX(FTE_Allocation!$F$2:$H$201,$AB261,$AC261)),"")))</f>
        <v/>
      </c>
    </row>
    <row r="262">
      <c r="A262" s="7">
        <f>IF($Z262="","",$AD262)</f>
        <v/>
      </c>
      <c r="B262" s="7">
        <f>IF($Z262="C",INDEX(Contracts!$D$2:$D$151,$AB262)&amp;"",IF($Z262="A",INDEX(Fixed_Assets!$C$2:$C$201,$AB262)&amp;"",IF($Z262="F",INDEX(Workforce!$B$2:$B$151,MATCH(INDEX(FTE_Allocation!$A$2:$A$201,$AB262),Workforce!$A$2:$A$151,0))&amp;"","")))</f>
        <v/>
      </c>
      <c r="C262" s="7">
        <f>IF($Z262="C",INDEX(Contracts!$E$2:$E$151,$AB262)&amp;"",IF($Z262="A",INDEX(Fixed_Assets!$D$2:$D$201,$AB262)&amp;"",IF($Z262="F",INDEX(FTE_Allocation!$C$2:$C$201,$AB262)&amp;"","")))</f>
        <v/>
      </c>
      <c r="D262" s="7">
        <f>IF($Z262="C",INDEX(Contracts!$B$2:$B$151,$AB262)&amp;"",IF($Z262="A",INDEX(Fixed_Assets!$B$2:$B$201,$AB262)&amp;"",IF($Z262="F",INDEX(FTE_Allocation!$B$2:$B$201,$AB262)&amp;"","")))</f>
        <v/>
      </c>
      <c r="E262" s="7">
        <f>IF($Z262="C",INDEX(Contracts!$P$2:$P$151,$AB262)&amp;"",IF($Z262="A",INDEX(Fixed_Assets!$K$2:$K$201,$AB262)&amp;"",IF($Z262="F",IF(INDEX(FTE_Allocation!$D$2:$D$201,$AB262)="PROJECT",IFERROR(INDEX(Projects!$D:$D,MATCH(INDEX(FTE_Allocation!$E$2:$E$201,$AB262),Projects!$A:$A,0))&amp;"","#PROJECT?"),INDEX(FTE_Allocation!$E$2:$E$201,$AB262)&amp;""),"")))</f>
        <v/>
      </c>
      <c r="F262" s="7">
        <f>IF($Z262="C",INDEX(Contracts!$Q$2:$Q$151,$AB262)&amp;"",IF($Z262="A",INDEX(Fixed_Assets!$L$2:$L$201,$AB262)&amp;"",IF($Z262="F",INDEX(Workforce!$K$2:$K$151,MATCH(INDEX(FTE_Allocation!$A$2:$A$201,$AB262),Workforce!$A$2:$A$151,0))&amp;"","")))</f>
        <v/>
      </c>
      <c r="G262" s="7">
        <f>IF($Z262="C",INDEX(Contracts!$F$2:$F$151,$AB262)&amp;" / "&amp;INDEX(Contracts!$G$2:$G$151,$AB262),IF($Z262="A",INDEX(Fixed_Assets!$E$2:$E$201,$AB262)&amp;"",IF($Z262="F","Personnel "&amp;INDEX(FTE_Allocation!$A$2:$A$201,$AB262)&amp;IF(INDEX(FTE_Allocation!$D$2:$D$201,$AB262)="PROJECT"," ("&amp;INDEX(FTE_Allocation!$E$2:$E$201,$AB262)&amp;")",""),"")))</f>
        <v/>
      </c>
      <c r="H262" s="7">
        <f>IF($Z262="C","CONTRACT",IF($Z262="A","ASSET",IF($Z262="F","WORKFORCE","")))</f>
        <v/>
      </c>
      <c r="I262" s="7">
        <f>IF($Z262="C",INDEX(Contracts!$L$2:$L$151,$AB262)&amp;"",IF($Z262="A",INDEX(Fixed_Assets!$I$2:$I$201,$AB262)&amp;"",IF($Z262="F",INDEX(Workforce!$G$2:$G$151,MATCH(INDEX(FTE_Allocation!$A$2:$A$201,$AB262),Workforce!$A$2:$A$151,0))&amp;"","")))</f>
        <v/>
      </c>
      <c r="J262" s="18">
        <f>IF($Z262="","",IF(AND(DATE($AD262,1,1)&gt;=$AE262,DATE($AD262,1,1)&lt;=$AF262),ROUND($AG262,2),0))</f>
        <v/>
      </c>
      <c r="K262" s="18">
        <f>IF($Z262="","",IF(AND(DATE($AD262,2,1)&gt;=$AE262,DATE($AD262,2,1)&lt;=$AF262),ROUND($AG262,2),0))</f>
        <v/>
      </c>
      <c r="L262" s="18">
        <f>IF($Z262="","",IF(AND(DATE($AD262,3,1)&gt;=$AE262,DATE($AD262,3,1)&lt;=$AF262),ROUND($AG262,2),0))</f>
        <v/>
      </c>
      <c r="M262" s="18">
        <f>IF($Z262="","",IF(AND(DATE($AD262,4,1)&gt;=$AE262,DATE($AD262,4,1)&lt;=$AF262),ROUND($AG262,2),0))</f>
        <v/>
      </c>
      <c r="N262" s="18">
        <f>IF($Z262="","",IF(AND(DATE($AD262,5,1)&gt;=$AE262,DATE($AD262,5,1)&lt;=$AF262),ROUND($AG262,2),0))</f>
        <v/>
      </c>
      <c r="O262" s="18">
        <f>IF($Z262="","",IF(AND(DATE($AD262,6,1)&gt;=$AE262,DATE($AD262,6,1)&lt;=$AF262),ROUND($AG262,2),0))</f>
        <v/>
      </c>
      <c r="P262" s="18">
        <f>IF($Z262="","",IF(AND(DATE($AD262,7,1)&gt;=$AE262,DATE($AD262,7,1)&lt;=$AF262),ROUND($AG262,2),0))</f>
        <v/>
      </c>
      <c r="Q262" s="18">
        <f>IF($Z262="","",IF(AND(DATE($AD262,8,1)&gt;=$AE262,DATE($AD262,8,1)&lt;=$AF262),ROUND($AG262,2),0))</f>
        <v/>
      </c>
      <c r="R262" s="18">
        <f>IF($Z262="","",IF(AND(DATE($AD262,9,1)&gt;=$AE262,DATE($AD262,9,1)&lt;=$AF262),ROUND($AG262,2),0))</f>
        <v/>
      </c>
      <c r="S262" s="18">
        <f>IF($Z262="","",IF(AND(DATE($AD262,10,1)&gt;=$AE262,DATE($AD262,10,1)&lt;=$AF262),ROUND($AG262,2),0))</f>
        <v/>
      </c>
      <c r="T262" s="18">
        <f>IF($Z262="","",IF(AND(DATE($AD262,11,1)&gt;=$AE262,DATE($AD262,11,1)&lt;=$AF262),ROUND($AG262,2),0))</f>
        <v/>
      </c>
      <c r="U262" s="18">
        <f>IF($Z262="","",IF(AND(DATE($AD262,12,1)&gt;=$AE262,DATE($AD262,12,1)&lt;=$AF262),ROUND($AG262,2),0))</f>
        <v/>
      </c>
      <c r="V262" s="7">
        <f>IF($Z262="C","Generated from "&amp;INDEX(Contracts!$A$2:$A$151,$AB262),IF($Z262="A","Generated from "&amp;INDEX(Fixed_Assets!$A$2:$A$201,$AB262),IF($Z262="F","Generated from "&amp;INDEX(FTE_Allocation!$A$2:$A$201,$AB262),"")))</f>
        <v/>
      </c>
      <c r="X262" s="19">
        <f>IF($Z262="","",SUM(J262:U262))</f>
        <v/>
      </c>
      <c r="Y262" s="20">
        <f>ROW()-1</f>
        <v/>
      </c>
      <c r="Z262" s="20">
        <f>IF($Y262&lt;=Settings!$B$4*3,"C",IF($Y262&lt;=(Settings!$B$4+Settings!$B$5)*3,"A",IF($Y262&lt;=(Settings!$B$4+Settings!$B$5+Settings!$B$6)*3,"F","")))</f>
        <v/>
      </c>
      <c r="AA262" s="20">
        <f>IF($Z262="C",$Y262,IF($Z262="A",$Y262-Settings!$B$4*3,IF($Z262="F",$Y262-(Settings!$B$4+Settings!$B$5)*3,"")))</f>
        <v/>
      </c>
      <c r="AB262" s="20">
        <f>IF($Z262="","",INT(($AA262-1)/3)+1)</f>
        <v/>
      </c>
      <c r="AC262" s="20">
        <f>IF($Z262="","",MOD($AA262-1,3)+1)</f>
        <v/>
      </c>
      <c r="AD262" s="20">
        <f>IF($Z262="","",Settings!$B$2+$AC262-1)</f>
        <v/>
      </c>
      <c r="AE262" s="21">
        <f>IF($Z262="C",DATE(YEAR(INDEX(Contracts!$J$2:$J$151,$AB262)),MONTH(INDEX(Contracts!$J$2:$J$151,$AB262)),1),IF($Z262="A",DATE(YEAR(INDEX(Fixed_Assets!$G$2:$G$201,$AB262)),MONTH(INDEX(Fixed_Assets!$G$2:$G$201,$AB262)),1),IF($Z262="F",DATE(YEAR(MAX(N(INDEX(Workforce!$I$2:$I$151,MATCH(INDEX(FTE_Allocation!$A$2:$A$201,$AB262),Workforce!$A$2:$A$151,0))),N(INDEX(FTE_Allocation!$I$2:$I$201,$AB262)))),MONTH(MAX(N(INDEX(Workforce!$I$2:$I$151,MATCH(INDEX(FTE_Allocation!$A$2:$A$201,$AB262),Workforce!$A$2:$A$151,0))),N(INDEX(FTE_Allocation!$I$2:$I$201,$AB262)))),1),"")))</f>
        <v/>
      </c>
      <c r="AF262" s="21">
        <f>IF($Z262="C",IF(INDEX(Contracts!$I$2:$I$151,$AB262)="PREPAID",EDATE(DATE(YEAR(INDEX(Contracts!$J$2:$J$151,$AB262)),MONTH(INDEX(Contracts!$J$2:$J$151,$AB262)),1),IF(INDEX(Contracts!$N$2:$N$151,$AB262)="",12,INDEX(Contracts!$N$2:$N$151,$AB262))-1),IF(INDEX(Contracts!$I$2:$I$151,$AB262)="MONTHLY",IF(INDEX(Contracts!$K$2:$K$151,$AB262)="",2958101,INDEX(Contracts!$K$2:$K$151,$AB262)),0)),IF($Z262="A",EDATE(DATE(YEAR(INDEX(Fixed_Assets!$G$2:$G$201,$AB262)),MONTH(INDEX(Fixed_Assets!$G$2:$G$201,$AB262)),1),INDEX(Fixed_Assets!$J$2:$J$201,$AB262)-1),IF($Z262="F",MIN(IF(INDEX(Workforce!$J$2:$J$151,MATCH(INDEX(FTE_Allocation!$A$2:$A$201,$AB262),Workforce!$A$2:$A$151,0))="",2958101,INDEX(Workforce!$J$2:$J$151,MATCH(INDEX(FTE_Allocation!$A$2:$A$201,$AB262),Workforce!$A$2:$A$151,0))),IF(INDEX(FTE_Allocation!$J$2:$J$201,$AB262)="",2958101,INDEX(FTE_Allocation!$J$2:$J$201,$AB262))),"")))</f>
        <v/>
      </c>
      <c r="AG262" s="19">
        <f>IF($Z262="C",IF(INDEX(Contracts!$I$2:$I$151,$AB262)="PREPAID",INDEX(Contracts!$M$2:$M$151,$AB262)/IF(INDEX(Contracts!$N$2:$N$151,$AB262)="",12,INDEX(Contracts!$N$2:$N$151,$AB262)),IF(INDEX(Contracts!$I$2:$I$151,$AB262)="MONTHLY",INDEX(Contracts!$M$2:$M$151,$AB262),0))*(1-N(INDEX(Contracts!$O$2:$O$151,$AB262))),IF($Z262="A",INDEX(Fixed_Assets!$H$2:$H$201,$AB262)/INDEX(Fixed_Assets!$J$2:$J$201,$AB262),IF($Z262="F",INDEX(Workforce!$F$2:$F$151,MATCH(INDEX(FTE_Allocation!$A$2:$A$201,$AB262),Workforce!$A$2:$A$151,0))*N(INDEX(FTE_Allocation!$F$2:$H$201,$AB262,$AC262)),"")))</f>
        <v/>
      </c>
    </row>
    <row r="263">
      <c r="A263" s="7">
        <f>IF($Z263="","",$AD263)</f>
        <v/>
      </c>
      <c r="B263" s="7">
        <f>IF($Z263="C",INDEX(Contracts!$D$2:$D$151,$AB263)&amp;"",IF($Z263="A",INDEX(Fixed_Assets!$C$2:$C$201,$AB263)&amp;"",IF($Z263="F",INDEX(Workforce!$B$2:$B$151,MATCH(INDEX(FTE_Allocation!$A$2:$A$201,$AB263),Workforce!$A$2:$A$151,0))&amp;"","")))</f>
        <v/>
      </c>
      <c r="C263" s="7">
        <f>IF($Z263="C",INDEX(Contracts!$E$2:$E$151,$AB263)&amp;"",IF($Z263="A",INDEX(Fixed_Assets!$D$2:$D$201,$AB263)&amp;"",IF($Z263="F",INDEX(FTE_Allocation!$C$2:$C$201,$AB263)&amp;"","")))</f>
        <v/>
      </c>
      <c r="D263" s="7">
        <f>IF($Z263="C",INDEX(Contracts!$B$2:$B$151,$AB263)&amp;"",IF($Z263="A",INDEX(Fixed_Assets!$B$2:$B$201,$AB263)&amp;"",IF($Z263="F",INDEX(FTE_Allocation!$B$2:$B$201,$AB263)&amp;"","")))</f>
        <v/>
      </c>
      <c r="E263" s="7">
        <f>IF($Z263="C",INDEX(Contracts!$P$2:$P$151,$AB263)&amp;"",IF($Z263="A",INDEX(Fixed_Assets!$K$2:$K$201,$AB263)&amp;"",IF($Z263="F",IF(INDEX(FTE_Allocation!$D$2:$D$201,$AB263)="PROJECT",IFERROR(INDEX(Projects!$D:$D,MATCH(INDEX(FTE_Allocation!$E$2:$E$201,$AB263),Projects!$A:$A,0))&amp;"","#PROJECT?"),INDEX(FTE_Allocation!$E$2:$E$201,$AB263)&amp;""),"")))</f>
        <v/>
      </c>
      <c r="F263" s="7">
        <f>IF($Z263="C",INDEX(Contracts!$Q$2:$Q$151,$AB263)&amp;"",IF($Z263="A",INDEX(Fixed_Assets!$L$2:$L$201,$AB263)&amp;"",IF($Z263="F",INDEX(Workforce!$K$2:$K$151,MATCH(INDEX(FTE_Allocation!$A$2:$A$201,$AB263),Workforce!$A$2:$A$151,0))&amp;"","")))</f>
        <v/>
      </c>
      <c r="G263" s="7">
        <f>IF($Z263="C",INDEX(Contracts!$F$2:$F$151,$AB263)&amp;" / "&amp;INDEX(Contracts!$G$2:$G$151,$AB263),IF($Z263="A",INDEX(Fixed_Assets!$E$2:$E$201,$AB263)&amp;"",IF($Z263="F","Personnel "&amp;INDEX(FTE_Allocation!$A$2:$A$201,$AB263)&amp;IF(INDEX(FTE_Allocation!$D$2:$D$201,$AB263)="PROJECT"," ("&amp;INDEX(FTE_Allocation!$E$2:$E$201,$AB263)&amp;")",""),"")))</f>
        <v/>
      </c>
      <c r="H263" s="7">
        <f>IF($Z263="C","CONTRACT",IF($Z263="A","ASSET",IF($Z263="F","WORKFORCE","")))</f>
        <v/>
      </c>
      <c r="I263" s="7">
        <f>IF($Z263="C",INDEX(Contracts!$L$2:$L$151,$AB263)&amp;"",IF($Z263="A",INDEX(Fixed_Assets!$I$2:$I$201,$AB263)&amp;"",IF($Z263="F",INDEX(Workforce!$G$2:$G$151,MATCH(INDEX(FTE_Allocation!$A$2:$A$201,$AB263),Workforce!$A$2:$A$151,0))&amp;"","")))</f>
        <v/>
      </c>
      <c r="J263" s="18">
        <f>IF($Z263="","",IF(AND(DATE($AD263,1,1)&gt;=$AE263,DATE($AD263,1,1)&lt;=$AF263),ROUND($AG263,2),0))</f>
        <v/>
      </c>
      <c r="K263" s="18">
        <f>IF($Z263="","",IF(AND(DATE($AD263,2,1)&gt;=$AE263,DATE($AD263,2,1)&lt;=$AF263),ROUND($AG263,2),0))</f>
        <v/>
      </c>
      <c r="L263" s="18">
        <f>IF($Z263="","",IF(AND(DATE($AD263,3,1)&gt;=$AE263,DATE($AD263,3,1)&lt;=$AF263),ROUND($AG263,2),0))</f>
        <v/>
      </c>
      <c r="M263" s="18">
        <f>IF($Z263="","",IF(AND(DATE($AD263,4,1)&gt;=$AE263,DATE($AD263,4,1)&lt;=$AF263),ROUND($AG263,2),0))</f>
        <v/>
      </c>
      <c r="N263" s="18">
        <f>IF($Z263="","",IF(AND(DATE($AD263,5,1)&gt;=$AE263,DATE($AD263,5,1)&lt;=$AF263),ROUND($AG263,2),0))</f>
        <v/>
      </c>
      <c r="O263" s="18">
        <f>IF($Z263="","",IF(AND(DATE($AD263,6,1)&gt;=$AE263,DATE($AD263,6,1)&lt;=$AF263),ROUND($AG263,2),0))</f>
        <v/>
      </c>
      <c r="P263" s="18">
        <f>IF($Z263="","",IF(AND(DATE($AD263,7,1)&gt;=$AE263,DATE($AD263,7,1)&lt;=$AF263),ROUND($AG263,2),0))</f>
        <v/>
      </c>
      <c r="Q263" s="18">
        <f>IF($Z263="","",IF(AND(DATE($AD263,8,1)&gt;=$AE263,DATE($AD263,8,1)&lt;=$AF263),ROUND($AG263,2),0))</f>
        <v/>
      </c>
      <c r="R263" s="18">
        <f>IF($Z263="","",IF(AND(DATE($AD263,9,1)&gt;=$AE263,DATE($AD263,9,1)&lt;=$AF263),ROUND($AG263,2),0))</f>
        <v/>
      </c>
      <c r="S263" s="18">
        <f>IF($Z263="","",IF(AND(DATE($AD263,10,1)&gt;=$AE263,DATE($AD263,10,1)&lt;=$AF263),ROUND($AG263,2),0))</f>
        <v/>
      </c>
      <c r="T263" s="18">
        <f>IF($Z263="","",IF(AND(DATE($AD263,11,1)&gt;=$AE263,DATE($AD263,11,1)&lt;=$AF263),ROUND($AG263,2),0))</f>
        <v/>
      </c>
      <c r="U263" s="18">
        <f>IF($Z263="","",IF(AND(DATE($AD263,12,1)&gt;=$AE263,DATE($AD263,12,1)&lt;=$AF263),ROUND($AG263,2),0))</f>
        <v/>
      </c>
      <c r="V263" s="7">
        <f>IF($Z263="C","Generated from "&amp;INDEX(Contracts!$A$2:$A$151,$AB263),IF($Z263="A","Generated from "&amp;INDEX(Fixed_Assets!$A$2:$A$201,$AB263),IF($Z263="F","Generated from "&amp;INDEX(FTE_Allocation!$A$2:$A$201,$AB263),"")))</f>
        <v/>
      </c>
      <c r="X263" s="19">
        <f>IF($Z263="","",SUM(J263:U263))</f>
        <v/>
      </c>
      <c r="Y263" s="20">
        <f>ROW()-1</f>
        <v/>
      </c>
      <c r="Z263" s="20">
        <f>IF($Y263&lt;=Settings!$B$4*3,"C",IF($Y263&lt;=(Settings!$B$4+Settings!$B$5)*3,"A",IF($Y263&lt;=(Settings!$B$4+Settings!$B$5+Settings!$B$6)*3,"F","")))</f>
        <v/>
      </c>
      <c r="AA263" s="20">
        <f>IF($Z263="C",$Y263,IF($Z263="A",$Y263-Settings!$B$4*3,IF($Z263="F",$Y263-(Settings!$B$4+Settings!$B$5)*3,"")))</f>
        <v/>
      </c>
      <c r="AB263" s="20">
        <f>IF($Z263="","",INT(($AA263-1)/3)+1)</f>
        <v/>
      </c>
      <c r="AC263" s="20">
        <f>IF($Z263="","",MOD($AA263-1,3)+1)</f>
        <v/>
      </c>
      <c r="AD263" s="20">
        <f>IF($Z263="","",Settings!$B$2+$AC263-1)</f>
        <v/>
      </c>
      <c r="AE263" s="21">
        <f>IF($Z263="C",DATE(YEAR(INDEX(Contracts!$J$2:$J$151,$AB263)),MONTH(INDEX(Contracts!$J$2:$J$151,$AB263)),1),IF($Z263="A",DATE(YEAR(INDEX(Fixed_Assets!$G$2:$G$201,$AB263)),MONTH(INDEX(Fixed_Assets!$G$2:$G$201,$AB263)),1),IF($Z263="F",DATE(YEAR(MAX(N(INDEX(Workforce!$I$2:$I$151,MATCH(INDEX(FTE_Allocation!$A$2:$A$201,$AB263),Workforce!$A$2:$A$151,0))),N(INDEX(FTE_Allocation!$I$2:$I$201,$AB263)))),MONTH(MAX(N(INDEX(Workforce!$I$2:$I$151,MATCH(INDEX(FTE_Allocation!$A$2:$A$201,$AB263),Workforce!$A$2:$A$151,0))),N(INDEX(FTE_Allocation!$I$2:$I$201,$AB263)))),1),"")))</f>
        <v/>
      </c>
      <c r="AF263" s="21">
        <f>IF($Z263="C",IF(INDEX(Contracts!$I$2:$I$151,$AB263)="PREPAID",EDATE(DATE(YEAR(INDEX(Contracts!$J$2:$J$151,$AB263)),MONTH(INDEX(Contracts!$J$2:$J$151,$AB263)),1),IF(INDEX(Contracts!$N$2:$N$151,$AB263)="",12,INDEX(Contracts!$N$2:$N$151,$AB263))-1),IF(INDEX(Contracts!$I$2:$I$151,$AB263)="MONTHLY",IF(INDEX(Contracts!$K$2:$K$151,$AB263)="",2958101,INDEX(Contracts!$K$2:$K$151,$AB263)),0)),IF($Z263="A",EDATE(DATE(YEAR(INDEX(Fixed_Assets!$G$2:$G$201,$AB263)),MONTH(INDEX(Fixed_Assets!$G$2:$G$201,$AB263)),1),INDEX(Fixed_Assets!$J$2:$J$201,$AB263)-1),IF($Z263="F",MIN(IF(INDEX(Workforce!$J$2:$J$151,MATCH(INDEX(FTE_Allocation!$A$2:$A$201,$AB263),Workforce!$A$2:$A$151,0))="",2958101,INDEX(Workforce!$J$2:$J$151,MATCH(INDEX(FTE_Allocation!$A$2:$A$201,$AB263),Workforce!$A$2:$A$151,0))),IF(INDEX(FTE_Allocation!$J$2:$J$201,$AB263)="",2958101,INDEX(FTE_Allocation!$J$2:$J$201,$AB263))),"")))</f>
        <v/>
      </c>
      <c r="AG263" s="19">
        <f>IF($Z263="C",IF(INDEX(Contracts!$I$2:$I$151,$AB263)="PREPAID",INDEX(Contracts!$M$2:$M$151,$AB263)/IF(INDEX(Contracts!$N$2:$N$151,$AB263)="",12,INDEX(Contracts!$N$2:$N$151,$AB263)),IF(INDEX(Contracts!$I$2:$I$151,$AB263)="MONTHLY",INDEX(Contracts!$M$2:$M$151,$AB263),0))*(1-N(INDEX(Contracts!$O$2:$O$151,$AB263))),IF($Z263="A",INDEX(Fixed_Assets!$H$2:$H$201,$AB263)/INDEX(Fixed_Assets!$J$2:$J$201,$AB263),IF($Z263="F",INDEX(Workforce!$F$2:$F$151,MATCH(INDEX(FTE_Allocation!$A$2:$A$201,$AB263),Workforce!$A$2:$A$151,0))*N(INDEX(FTE_Allocation!$F$2:$H$201,$AB263,$AC263)),"")))</f>
        <v/>
      </c>
    </row>
    <row r="264">
      <c r="A264" s="7">
        <f>IF($Z264="","",$AD264)</f>
        <v/>
      </c>
      <c r="B264" s="7">
        <f>IF($Z264="C",INDEX(Contracts!$D$2:$D$151,$AB264)&amp;"",IF($Z264="A",INDEX(Fixed_Assets!$C$2:$C$201,$AB264)&amp;"",IF($Z264="F",INDEX(Workforce!$B$2:$B$151,MATCH(INDEX(FTE_Allocation!$A$2:$A$201,$AB264),Workforce!$A$2:$A$151,0))&amp;"","")))</f>
        <v/>
      </c>
      <c r="C264" s="7">
        <f>IF($Z264="C",INDEX(Contracts!$E$2:$E$151,$AB264)&amp;"",IF($Z264="A",INDEX(Fixed_Assets!$D$2:$D$201,$AB264)&amp;"",IF($Z264="F",INDEX(FTE_Allocation!$C$2:$C$201,$AB264)&amp;"","")))</f>
        <v/>
      </c>
      <c r="D264" s="7">
        <f>IF($Z264="C",INDEX(Contracts!$B$2:$B$151,$AB264)&amp;"",IF($Z264="A",INDEX(Fixed_Assets!$B$2:$B$201,$AB264)&amp;"",IF($Z264="F",INDEX(FTE_Allocation!$B$2:$B$201,$AB264)&amp;"","")))</f>
        <v/>
      </c>
      <c r="E264" s="7">
        <f>IF($Z264="C",INDEX(Contracts!$P$2:$P$151,$AB264)&amp;"",IF($Z264="A",INDEX(Fixed_Assets!$K$2:$K$201,$AB264)&amp;"",IF($Z264="F",IF(INDEX(FTE_Allocation!$D$2:$D$201,$AB264)="PROJECT",IFERROR(INDEX(Projects!$D:$D,MATCH(INDEX(FTE_Allocation!$E$2:$E$201,$AB264),Projects!$A:$A,0))&amp;"","#PROJECT?"),INDEX(FTE_Allocation!$E$2:$E$201,$AB264)&amp;""),"")))</f>
        <v/>
      </c>
      <c r="F264" s="7">
        <f>IF($Z264="C",INDEX(Contracts!$Q$2:$Q$151,$AB264)&amp;"",IF($Z264="A",INDEX(Fixed_Assets!$L$2:$L$201,$AB264)&amp;"",IF($Z264="F",INDEX(Workforce!$K$2:$K$151,MATCH(INDEX(FTE_Allocation!$A$2:$A$201,$AB264),Workforce!$A$2:$A$151,0))&amp;"","")))</f>
        <v/>
      </c>
      <c r="G264" s="7">
        <f>IF($Z264="C",INDEX(Contracts!$F$2:$F$151,$AB264)&amp;" / "&amp;INDEX(Contracts!$G$2:$G$151,$AB264),IF($Z264="A",INDEX(Fixed_Assets!$E$2:$E$201,$AB264)&amp;"",IF($Z264="F","Personnel "&amp;INDEX(FTE_Allocation!$A$2:$A$201,$AB264)&amp;IF(INDEX(FTE_Allocation!$D$2:$D$201,$AB264)="PROJECT"," ("&amp;INDEX(FTE_Allocation!$E$2:$E$201,$AB264)&amp;")",""),"")))</f>
        <v/>
      </c>
      <c r="H264" s="7">
        <f>IF($Z264="C","CONTRACT",IF($Z264="A","ASSET",IF($Z264="F","WORKFORCE","")))</f>
        <v/>
      </c>
      <c r="I264" s="7">
        <f>IF($Z264="C",INDEX(Contracts!$L$2:$L$151,$AB264)&amp;"",IF($Z264="A",INDEX(Fixed_Assets!$I$2:$I$201,$AB264)&amp;"",IF($Z264="F",INDEX(Workforce!$G$2:$G$151,MATCH(INDEX(FTE_Allocation!$A$2:$A$201,$AB264),Workforce!$A$2:$A$151,0))&amp;"","")))</f>
        <v/>
      </c>
      <c r="J264" s="18">
        <f>IF($Z264="","",IF(AND(DATE($AD264,1,1)&gt;=$AE264,DATE($AD264,1,1)&lt;=$AF264),ROUND($AG264,2),0))</f>
        <v/>
      </c>
      <c r="K264" s="18">
        <f>IF($Z264="","",IF(AND(DATE($AD264,2,1)&gt;=$AE264,DATE($AD264,2,1)&lt;=$AF264),ROUND($AG264,2),0))</f>
        <v/>
      </c>
      <c r="L264" s="18">
        <f>IF($Z264="","",IF(AND(DATE($AD264,3,1)&gt;=$AE264,DATE($AD264,3,1)&lt;=$AF264),ROUND($AG264,2),0))</f>
        <v/>
      </c>
      <c r="M264" s="18">
        <f>IF($Z264="","",IF(AND(DATE($AD264,4,1)&gt;=$AE264,DATE($AD264,4,1)&lt;=$AF264),ROUND($AG264,2),0))</f>
        <v/>
      </c>
      <c r="N264" s="18">
        <f>IF($Z264="","",IF(AND(DATE($AD264,5,1)&gt;=$AE264,DATE($AD264,5,1)&lt;=$AF264),ROUND($AG264,2),0))</f>
        <v/>
      </c>
      <c r="O264" s="18">
        <f>IF($Z264="","",IF(AND(DATE($AD264,6,1)&gt;=$AE264,DATE($AD264,6,1)&lt;=$AF264),ROUND($AG264,2),0))</f>
        <v/>
      </c>
      <c r="P264" s="18">
        <f>IF($Z264="","",IF(AND(DATE($AD264,7,1)&gt;=$AE264,DATE($AD264,7,1)&lt;=$AF264),ROUND($AG264,2),0))</f>
        <v/>
      </c>
      <c r="Q264" s="18">
        <f>IF($Z264="","",IF(AND(DATE($AD264,8,1)&gt;=$AE264,DATE($AD264,8,1)&lt;=$AF264),ROUND($AG264,2),0))</f>
        <v/>
      </c>
      <c r="R264" s="18">
        <f>IF($Z264="","",IF(AND(DATE($AD264,9,1)&gt;=$AE264,DATE($AD264,9,1)&lt;=$AF264),ROUND($AG264,2),0))</f>
        <v/>
      </c>
      <c r="S264" s="18">
        <f>IF($Z264="","",IF(AND(DATE($AD264,10,1)&gt;=$AE264,DATE($AD264,10,1)&lt;=$AF264),ROUND($AG264,2),0))</f>
        <v/>
      </c>
      <c r="T264" s="18">
        <f>IF($Z264="","",IF(AND(DATE($AD264,11,1)&gt;=$AE264,DATE($AD264,11,1)&lt;=$AF264),ROUND($AG264,2),0))</f>
        <v/>
      </c>
      <c r="U264" s="18">
        <f>IF($Z264="","",IF(AND(DATE($AD264,12,1)&gt;=$AE264,DATE($AD264,12,1)&lt;=$AF264),ROUND($AG264,2),0))</f>
        <v/>
      </c>
      <c r="V264" s="7">
        <f>IF($Z264="C","Generated from "&amp;INDEX(Contracts!$A$2:$A$151,$AB264),IF($Z264="A","Generated from "&amp;INDEX(Fixed_Assets!$A$2:$A$201,$AB264),IF($Z264="F","Generated from "&amp;INDEX(FTE_Allocation!$A$2:$A$201,$AB264),"")))</f>
        <v/>
      </c>
      <c r="X264" s="19">
        <f>IF($Z264="","",SUM(J264:U264))</f>
        <v/>
      </c>
      <c r="Y264" s="20">
        <f>ROW()-1</f>
        <v/>
      </c>
      <c r="Z264" s="20">
        <f>IF($Y264&lt;=Settings!$B$4*3,"C",IF($Y264&lt;=(Settings!$B$4+Settings!$B$5)*3,"A",IF($Y264&lt;=(Settings!$B$4+Settings!$B$5+Settings!$B$6)*3,"F","")))</f>
        <v/>
      </c>
      <c r="AA264" s="20">
        <f>IF($Z264="C",$Y264,IF($Z264="A",$Y264-Settings!$B$4*3,IF($Z264="F",$Y264-(Settings!$B$4+Settings!$B$5)*3,"")))</f>
        <v/>
      </c>
      <c r="AB264" s="20">
        <f>IF($Z264="","",INT(($AA264-1)/3)+1)</f>
        <v/>
      </c>
      <c r="AC264" s="20">
        <f>IF($Z264="","",MOD($AA264-1,3)+1)</f>
        <v/>
      </c>
      <c r="AD264" s="20">
        <f>IF($Z264="","",Settings!$B$2+$AC264-1)</f>
        <v/>
      </c>
      <c r="AE264" s="21">
        <f>IF($Z264="C",DATE(YEAR(INDEX(Contracts!$J$2:$J$151,$AB264)),MONTH(INDEX(Contracts!$J$2:$J$151,$AB264)),1),IF($Z264="A",DATE(YEAR(INDEX(Fixed_Assets!$G$2:$G$201,$AB264)),MONTH(INDEX(Fixed_Assets!$G$2:$G$201,$AB264)),1),IF($Z264="F",DATE(YEAR(MAX(N(INDEX(Workforce!$I$2:$I$151,MATCH(INDEX(FTE_Allocation!$A$2:$A$201,$AB264),Workforce!$A$2:$A$151,0))),N(INDEX(FTE_Allocation!$I$2:$I$201,$AB264)))),MONTH(MAX(N(INDEX(Workforce!$I$2:$I$151,MATCH(INDEX(FTE_Allocation!$A$2:$A$201,$AB264),Workforce!$A$2:$A$151,0))),N(INDEX(FTE_Allocation!$I$2:$I$201,$AB264)))),1),"")))</f>
        <v/>
      </c>
      <c r="AF264" s="21">
        <f>IF($Z264="C",IF(INDEX(Contracts!$I$2:$I$151,$AB264)="PREPAID",EDATE(DATE(YEAR(INDEX(Contracts!$J$2:$J$151,$AB264)),MONTH(INDEX(Contracts!$J$2:$J$151,$AB264)),1),IF(INDEX(Contracts!$N$2:$N$151,$AB264)="",12,INDEX(Contracts!$N$2:$N$151,$AB264))-1),IF(INDEX(Contracts!$I$2:$I$151,$AB264)="MONTHLY",IF(INDEX(Contracts!$K$2:$K$151,$AB264)="",2958101,INDEX(Contracts!$K$2:$K$151,$AB264)),0)),IF($Z264="A",EDATE(DATE(YEAR(INDEX(Fixed_Assets!$G$2:$G$201,$AB264)),MONTH(INDEX(Fixed_Assets!$G$2:$G$201,$AB264)),1),INDEX(Fixed_Assets!$J$2:$J$201,$AB264)-1),IF($Z264="F",MIN(IF(INDEX(Workforce!$J$2:$J$151,MATCH(INDEX(FTE_Allocation!$A$2:$A$201,$AB264),Workforce!$A$2:$A$151,0))="",2958101,INDEX(Workforce!$J$2:$J$151,MATCH(INDEX(FTE_Allocation!$A$2:$A$201,$AB264),Workforce!$A$2:$A$151,0))),IF(INDEX(FTE_Allocation!$J$2:$J$201,$AB264)="",2958101,INDEX(FTE_Allocation!$J$2:$J$201,$AB264))),"")))</f>
        <v/>
      </c>
      <c r="AG264" s="19">
        <f>IF($Z264="C",IF(INDEX(Contracts!$I$2:$I$151,$AB264)="PREPAID",INDEX(Contracts!$M$2:$M$151,$AB264)/IF(INDEX(Contracts!$N$2:$N$151,$AB264)="",12,INDEX(Contracts!$N$2:$N$151,$AB264)),IF(INDEX(Contracts!$I$2:$I$151,$AB264)="MONTHLY",INDEX(Contracts!$M$2:$M$151,$AB264),0))*(1-N(INDEX(Contracts!$O$2:$O$151,$AB264))),IF($Z264="A",INDEX(Fixed_Assets!$H$2:$H$201,$AB264)/INDEX(Fixed_Assets!$J$2:$J$201,$AB264),IF($Z264="F",INDEX(Workforce!$F$2:$F$151,MATCH(INDEX(FTE_Allocation!$A$2:$A$201,$AB264),Workforce!$A$2:$A$151,0))*N(INDEX(FTE_Allocation!$F$2:$H$201,$AB264,$AC264)),"")))</f>
        <v/>
      </c>
    </row>
    <row r="265">
      <c r="A265" s="7">
        <f>IF($Z265="","",$AD265)</f>
        <v/>
      </c>
      <c r="B265" s="7">
        <f>IF($Z265="C",INDEX(Contracts!$D$2:$D$151,$AB265)&amp;"",IF($Z265="A",INDEX(Fixed_Assets!$C$2:$C$201,$AB265)&amp;"",IF($Z265="F",INDEX(Workforce!$B$2:$B$151,MATCH(INDEX(FTE_Allocation!$A$2:$A$201,$AB265),Workforce!$A$2:$A$151,0))&amp;"","")))</f>
        <v/>
      </c>
      <c r="C265" s="7">
        <f>IF($Z265="C",INDEX(Contracts!$E$2:$E$151,$AB265)&amp;"",IF($Z265="A",INDEX(Fixed_Assets!$D$2:$D$201,$AB265)&amp;"",IF($Z265="F",INDEX(FTE_Allocation!$C$2:$C$201,$AB265)&amp;"","")))</f>
        <v/>
      </c>
      <c r="D265" s="7">
        <f>IF($Z265="C",INDEX(Contracts!$B$2:$B$151,$AB265)&amp;"",IF($Z265="A",INDEX(Fixed_Assets!$B$2:$B$201,$AB265)&amp;"",IF($Z265="F",INDEX(FTE_Allocation!$B$2:$B$201,$AB265)&amp;"","")))</f>
        <v/>
      </c>
      <c r="E265" s="7">
        <f>IF($Z265="C",INDEX(Contracts!$P$2:$P$151,$AB265)&amp;"",IF($Z265="A",INDEX(Fixed_Assets!$K$2:$K$201,$AB265)&amp;"",IF($Z265="F",IF(INDEX(FTE_Allocation!$D$2:$D$201,$AB265)="PROJECT",IFERROR(INDEX(Projects!$D:$D,MATCH(INDEX(FTE_Allocation!$E$2:$E$201,$AB265),Projects!$A:$A,0))&amp;"","#PROJECT?"),INDEX(FTE_Allocation!$E$2:$E$201,$AB265)&amp;""),"")))</f>
        <v/>
      </c>
      <c r="F265" s="7">
        <f>IF($Z265="C",INDEX(Contracts!$Q$2:$Q$151,$AB265)&amp;"",IF($Z265="A",INDEX(Fixed_Assets!$L$2:$L$201,$AB265)&amp;"",IF($Z265="F",INDEX(Workforce!$K$2:$K$151,MATCH(INDEX(FTE_Allocation!$A$2:$A$201,$AB265),Workforce!$A$2:$A$151,0))&amp;"","")))</f>
        <v/>
      </c>
      <c r="G265" s="7">
        <f>IF($Z265="C",INDEX(Contracts!$F$2:$F$151,$AB265)&amp;" / "&amp;INDEX(Contracts!$G$2:$G$151,$AB265),IF($Z265="A",INDEX(Fixed_Assets!$E$2:$E$201,$AB265)&amp;"",IF($Z265="F","Personnel "&amp;INDEX(FTE_Allocation!$A$2:$A$201,$AB265)&amp;IF(INDEX(FTE_Allocation!$D$2:$D$201,$AB265)="PROJECT"," ("&amp;INDEX(FTE_Allocation!$E$2:$E$201,$AB265)&amp;")",""),"")))</f>
        <v/>
      </c>
      <c r="H265" s="7">
        <f>IF($Z265="C","CONTRACT",IF($Z265="A","ASSET",IF($Z265="F","WORKFORCE","")))</f>
        <v/>
      </c>
      <c r="I265" s="7">
        <f>IF($Z265="C",INDEX(Contracts!$L$2:$L$151,$AB265)&amp;"",IF($Z265="A",INDEX(Fixed_Assets!$I$2:$I$201,$AB265)&amp;"",IF($Z265="F",INDEX(Workforce!$G$2:$G$151,MATCH(INDEX(FTE_Allocation!$A$2:$A$201,$AB265),Workforce!$A$2:$A$151,0))&amp;"","")))</f>
        <v/>
      </c>
      <c r="J265" s="18">
        <f>IF($Z265="","",IF(AND(DATE($AD265,1,1)&gt;=$AE265,DATE($AD265,1,1)&lt;=$AF265),ROUND($AG265,2),0))</f>
        <v/>
      </c>
      <c r="K265" s="18">
        <f>IF($Z265="","",IF(AND(DATE($AD265,2,1)&gt;=$AE265,DATE($AD265,2,1)&lt;=$AF265),ROUND($AG265,2),0))</f>
        <v/>
      </c>
      <c r="L265" s="18">
        <f>IF($Z265="","",IF(AND(DATE($AD265,3,1)&gt;=$AE265,DATE($AD265,3,1)&lt;=$AF265),ROUND($AG265,2),0))</f>
        <v/>
      </c>
      <c r="M265" s="18">
        <f>IF($Z265="","",IF(AND(DATE($AD265,4,1)&gt;=$AE265,DATE($AD265,4,1)&lt;=$AF265),ROUND($AG265,2),0))</f>
        <v/>
      </c>
      <c r="N265" s="18">
        <f>IF($Z265="","",IF(AND(DATE($AD265,5,1)&gt;=$AE265,DATE($AD265,5,1)&lt;=$AF265),ROUND($AG265,2),0))</f>
        <v/>
      </c>
      <c r="O265" s="18">
        <f>IF($Z265="","",IF(AND(DATE($AD265,6,1)&gt;=$AE265,DATE($AD265,6,1)&lt;=$AF265),ROUND($AG265,2),0))</f>
        <v/>
      </c>
      <c r="P265" s="18">
        <f>IF($Z265="","",IF(AND(DATE($AD265,7,1)&gt;=$AE265,DATE($AD265,7,1)&lt;=$AF265),ROUND($AG265,2),0))</f>
        <v/>
      </c>
      <c r="Q265" s="18">
        <f>IF($Z265="","",IF(AND(DATE($AD265,8,1)&gt;=$AE265,DATE($AD265,8,1)&lt;=$AF265),ROUND($AG265,2),0))</f>
        <v/>
      </c>
      <c r="R265" s="18">
        <f>IF($Z265="","",IF(AND(DATE($AD265,9,1)&gt;=$AE265,DATE($AD265,9,1)&lt;=$AF265),ROUND($AG265,2),0))</f>
        <v/>
      </c>
      <c r="S265" s="18">
        <f>IF($Z265="","",IF(AND(DATE($AD265,10,1)&gt;=$AE265,DATE($AD265,10,1)&lt;=$AF265),ROUND($AG265,2),0))</f>
        <v/>
      </c>
      <c r="T265" s="18">
        <f>IF($Z265="","",IF(AND(DATE($AD265,11,1)&gt;=$AE265,DATE($AD265,11,1)&lt;=$AF265),ROUND($AG265,2),0))</f>
        <v/>
      </c>
      <c r="U265" s="18">
        <f>IF($Z265="","",IF(AND(DATE($AD265,12,1)&gt;=$AE265,DATE($AD265,12,1)&lt;=$AF265),ROUND($AG265,2),0))</f>
        <v/>
      </c>
      <c r="V265" s="7">
        <f>IF($Z265="C","Generated from "&amp;INDEX(Contracts!$A$2:$A$151,$AB265),IF($Z265="A","Generated from "&amp;INDEX(Fixed_Assets!$A$2:$A$201,$AB265),IF($Z265="F","Generated from "&amp;INDEX(FTE_Allocation!$A$2:$A$201,$AB265),"")))</f>
        <v/>
      </c>
      <c r="X265" s="19">
        <f>IF($Z265="","",SUM(J265:U265))</f>
        <v/>
      </c>
      <c r="Y265" s="20">
        <f>ROW()-1</f>
        <v/>
      </c>
      <c r="Z265" s="20">
        <f>IF($Y265&lt;=Settings!$B$4*3,"C",IF($Y265&lt;=(Settings!$B$4+Settings!$B$5)*3,"A",IF($Y265&lt;=(Settings!$B$4+Settings!$B$5+Settings!$B$6)*3,"F","")))</f>
        <v/>
      </c>
      <c r="AA265" s="20">
        <f>IF($Z265="C",$Y265,IF($Z265="A",$Y265-Settings!$B$4*3,IF($Z265="F",$Y265-(Settings!$B$4+Settings!$B$5)*3,"")))</f>
        <v/>
      </c>
      <c r="AB265" s="20">
        <f>IF($Z265="","",INT(($AA265-1)/3)+1)</f>
        <v/>
      </c>
      <c r="AC265" s="20">
        <f>IF($Z265="","",MOD($AA265-1,3)+1)</f>
        <v/>
      </c>
      <c r="AD265" s="20">
        <f>IF($Z265="","",Settings!$B$2+$AC265-1)</f>
        <v/>
      </c>
      <c r="AE265" s="21">
        <f>IF($Z265="C",DATE(YEAR(INDEX(Contracts!$J$2:$J$151,$AB265)),MONTH(INDEX(Contracts!$J$2:$J$151,$AB265)),1),IF($Z265="A",DATE(YEAR(INDEX(Fixed_Assets!$G$2:$G$201,$AB265)),MONTH(INDEX(Fixed_Assets!$G$2:$G$201,$AB265)),1),IF($Z265="F",DATE(YEAR(MAX(N(INDEX(Workforce!$I$2:$I$151,MATCH(INDEX(FTE_Allocation!$A$2:$A$201,$AB265),Workforce!$A$2:$A$151,0))),N(INDEX(FTE_Allocation!$I$2:$I$201,$AB265)))),MONTH(MAX(N(INDEX(Workforce!$I$2:$I$151,MATCH(INDEX(FTE_Allocation!$A$2:$A$201,$AB265),Workforce!$A$2:$A$151,0))),N(INDEX(FTE_Allocation!$I$2:$I$201,$AB265)))),1),"")))</f>
        <v/>
      </c>
      <c r="AF265" s="21">
        <f>IF($Z265="C",IF(INDEX(Contracts!$I$2:$I$151,$AB265)="PREPAID",EDATE(DATE(YEAR(INDEX(Contracts!$J$2:$J$151,$AB265)),MONTH(INDEX(Contracts!$J$2:$J$151,$AB265)),1),IF(INDEX(Contracts!$N$2:$N$151,$AB265)="",12,INDEX(Contracts!$N$2:$N$151,$AB265))-1),IF(INDEX(Contracts!$I$2:$I$151,$AB265)="MONTHLY",IF(INDEX(Contracts!$K$2:$K$151,$AB265)="",2958101,INDEX(Contracts!$K$2:$K$151,$AB265)),0)),IF($Z265="A",EDATE(DATE(YEAR(INDEX(Fixed_Assets!$G$2:$G$201,$AB265)),MONTH(INDEX(Fixed_Assets!$G$2:$G$201,$AB265)),1),INDEX(Fixed_Assets!$J$2:$J$201,$AB265)-1),IF($Z265="F",MIN(IF(INDEX(Workforce!$J$2:$J$151,MATCH(INDEX(FTE_Allocation!$A$2:$A$201,$AB265),Workforce!$A$2:$A$151,0))="",2958101,INDEX(Workforce!$J$2:$J$151,MATCH(INDEX(FTE_Allocation!$A$2:$A$201,$AB265),Workforce!$A$2:$A$151,0))),IF(INDEX(FTE_Allocation!$J$2:$J$201,$AB265)="",2958101,INDEX(FTE_Allocation!$J$2:$J$201,$AB265))),"")))</f>
        <v/>
      </c>
      <c r="AG265" s="19">
        <f>IF($Z265="C",IF(INDEX(Contracts!$I$2:$I$151,$AB265)="PREPAID",INDEX(Contracts!$M$2:$M$151,$AB265)/IF(INDEX(Contracts!$N$2:$N$151,$AB265)="",12,INDEX(Contracts!$N$2:$N$151,$AB265)),IF(INDEX(Contracts!$I$2:$I$151,$AB265)="MONTHLY",INDEX(Contracts!$M$2:$M$151,$AB265),0))*(1-N(INDEX(Contracts!$O$2:$O$151,$AB265))),IF($Z265="A",INDEX(Fixed_Assets!$H$2:$H$201,$AB265)/INDEX(Fixed_Assets!$J$2:$J$201,$AB265),IF($Z265="F",INDEX(Workforce!$F$2:$F$151,MATCH(INDEX(FTE_Allocation!$A$2:$A$201,$AB265),Workforce!$A$2:$A$151,0))*N(INDEX(FTE_Allocation!$F$2:$H$201,$AB265,$AC265)),"")))</f>
        <v/>
      </c>
    </row>
    <row r="266">
      <c r="A266" s="7">
        <f>IF($Z266="","",$AD266)</f>
        <v/>
      </c>
      <c r="B266" s="7">
        <f>IF($Z266="C",INDEX(Contracts!$D$2:$D$151,$AB266)&amp;"",IF($Z266="A",INDEX(Fixed_Assets!$C$2:$C$201,$AB266)&amp;"",IF($Z266="F",INDEX(Workforce!$B$2:$B$151,MATCH(INDEX(FTE_Allocation!$A$2:$A$201,$AB266),Workforce!$A$2:$A$151,0))&amp;"","")))</f>
        <v/>
      </c>
      <c r="C266" s="7">
        <f>IF($Z266="C",INDEX(Contracts!$E$2:$E$151,$AB266)&amp;"",IF($Z266="A",INDEX(Fixed_Assets!$D$2:$D$201,$AB266)&amp;"",IF($Z266="F",INDEX(FTE_Allocation!$C$2:$C$201,$AB266)&amp;"","")))</f>
        <v/>
      </c>
      <c r="D266" s="7">
        <f>IF($Z266="C",INDEX(Contracts!$B$2:$B$151,$AB266)&amp;"",IF($Z266="A",INDEX(Fixed_Assets!$B$2:$B$201,$AB266)&amp;"",IF($Z266="F",INDEX(FTE_Allocation!$B$2:$B$201,$AB266)&amp;"","")))</f>
        <v/>
      </c>
      <c r="E266" s="7">
        <f>IF($Z266="C",INDEX(Contracts!$P$2:$P$151,$AB266)&amp;"",IF($Z266="A",INDEX(Fixed_Assets!$K$2:$K$201,$AB266)&amp;"",IF($Z266="F",IF(INDEX(FTE_Allocation!$D$2:$D$201,$AB266)="PROJECT",IFERROR(INDEX(Projects!$D:$D,MATCH(INDEX(FTE_Allocation!$E$2:$E$201,$AB266),Projects!$A:$A,0))&amp;"","#PROJECT?"),INDEX(FTE_Allocation!$E$2:$E$201,$AB266)&amp;""),"")))</f>
        <v/>
      </c>
      <c r="F266" s="7">
        <f>IF($Z266="C",INDEX(Contracts!$Q$2:$Q$151,$AB266)&amp;"",IF($Z266="A",INDEX(Fixed_Assets!$L$2:$L$201,$AB266)&amp;"",IF($Z266="F",INDEX(Workforce!$K$2:$K$151,MATCH(INDEX(FTE_Allocation!$A$2:$A$201,$AB266),Workforce!$A$2:$A$151,0))&amp;"","")))</f>
        <v/>
      </c>
      <c r="G266" s="7">
        <f>IF($Z266="C",INDEX(Contracts!$F$2:$F$151,$AB266)&amp;" / "&amp;INDEX(Contracts!$G$2:$G$151,$AB266),IF($Z266="A",INDEX(Fixed_Assets!$E$2:$E$201,$AB266)&amp;"",IF($Z266="F","Personnel "&amp;INDEX(FTE_Allocation!$A$2:$A$201,$AB266)&amp;IF(INDEX(FTE_Allocation!$D$2:$D$201,$AB266)="PROJECT"," ("&amp;INDEX(FTE_Allocation!$E$2:$E$201,$AB266)&amp;")",""),"")))</f>
        <v/>
      </c>
      <c r="H266" s="7">
        <f>IF($Z266="C","CONTRACT",IF($Z266="A","ASSET",IF($Z266="F","WORKFORCE","")))</f>
        <v/>
      </c>
      <c r="I266" s="7">
        <f>IF($Z266="C",INDEX(Contracts!$L$2:$L$151,$AB266)&amp;"",IF($Z266="A",INDEX(Fixed_Assets!$I$2:$I$201,$AB266)&amp;"",IF($Z266="F",INDEX(Workforce!$G$2:$G$151,MATCH(INDEX(FTE_Allocation!$A$2:$A$201,$AB266),Workforce!$A$2:$A$151,0))&amp;"","")))</f>
        <v/>
      </c>
      <c r="J266" s="18">
        <f>IF($Z266="","",IF(AND(DATE($AD266,1,1)&gt;=$AE266,DATE($AD266,1,1)&lt;=$AF266),ROUND($AG266,2),0))</f>
        <v/>
      </c>
      <c r="K266" s="18">
        <f>IF($Z266="","",IF(AND(DATE($AD266,2,1)&gt;=$AE266,DATE($AD266,2,1)&lt;=$AF266),ROUND($AG266,2),0))</f>
        <v/>
      </c>
      <c r="L266" s="18">
        <f>IF($Z266="","",IF(AND(DATE($AD266,3,1)&gt;=$AE266,DATE($AD266,3,1)&lt;=$AF266),ROUND($AG266,2),0))</f>
        <v/>
      </c>
      <c r="M266" s="18">
        <f>IF($Z266="","",IF(AND(DATE($AD266,4,1)&gt;=$AE266,DATE($AD266,4,1)&lt;=$AF266),ROUND($AG266,2),0))</f>
        <v/>
      </c>
      <c r="N266" s="18">
        <f>IF($Z266="","",IF(AND(DATE($AD266,5,1)&gt;=$AE266,DATE($AD266,5,1)&lt;=$AF266),ROUND($AG266,2),0))</f>
        <v/>
      </c>
      <c r="O266" s="18">
        <f>IF($Z266="","",IF(AND(DATE($AD266,6,1)&gt;=$AE266,DATE($AD266,6,1)&lt;=$AF266),ROUND($AG266,2),0))</f>
        <v/>
      </c>
      <c r="P266" s="18">
        <f>IF($Z266="","",IF(AND(DATE($AD266,7,1)&gt;=$AE266,DATE($AD266,7,1)&lt;=$AF266),ROUND($AG266,2),0))</f>
        <v/>
      </c>
      <c r="Q266" s="18">
        <f>IF($Z266="","",IF(AND(DATE($AD266,8,1)&gt;=$AE266,DATE($AD266,8,1)&lt;=$AF266),ROUND($AG266,2),0))</f>
        <v/>
      </c>
      <c r="R266" s="18">
        <f>IF($Z266="","",IF(AND(DATE($AD266,9,1)&gt;=$AE266,DATE($AD266,9,1)&lt;=$AF266),ROUND($AG266,2),0))</f>
        <v/>
      </c>
      <c r="S266" s="18">
        <f>IF($Z266="","",IF(AND(DATE($AD266,10,1)&gt;=$AE266,DATE($AD266,10,1)&lt;=$AF266),ROUND($AG266,2),0))</f>
        <v/>
      </c>
      <c r="T266" s="18">
        <f>IF($Z266="","",IF(AND(DATE($AD266,11,1)&gt;=$AE266,DATE($AD266,11,1)&lt;=$AF266),ROUND($AG266,2),0))</f>
        <v/>
      </c>
      <c r="U266" s="18">
        <f>IF($Z266="","",IF(AND(DATE($AD266,12,1)&gt;=$AE266,DATE($AD266,12,1)&lt;=$AF266),ROUND($AG266,2),0))</f>
        <v/>
      </c>
      <c r="V266" s="7">
        <f>IF($Z266="C","Generated from "&amp;INDEX(Contracts!$A$2:$A$151,$AB266),IF($Z266="A","Generated from "&amp;INDEX(Fixed_Assets!$A$2:$A$201,$AB266),IF($Z266="F","Generated from "&amp;INDEX(FTE_Allocation!$A$2:$A$201,$AB266),"")))</f>
        <v/>
      </c>
      <c r="X266" s="19">
        <f>IF($Z266="","",SUM(J266:U266))</f>
        <v/>
      </c>
      <c r="Y266" s="20">
        <f>ROW()-1</f>
        <v/>
      </c>
      <c r="Z266" s="20">
        <f>IF($Y266&lt;=Settings!$B$4*3,"C",IF($Y266&lt;=(Settings!$B$4+Settings!$B$5)*3,"A",IF($Y266&lt;=(Settings!$B$4+Settings!$B$5+Settings!$B$6)*3,"F","")))</f>
        <v/>
      </c>
      <c r="AA266" s="20">
        <f>IF($Z266="C",$Y266,IF($Z266="A",$Y266-Settings!$B$4*3,IF($Z266="F",$Y266-(Settings!$B$4+Settings!$B$5)*3,"")))</f>
        <v/>
      </c>
      <c r="AB266" s="20">
        <f>IF($Z266="","",INT(($AA266-1)/3)+1)</f>
        <v/>
      </c>
      <c r="AC266" s="20">
        <f>IF($Z266="","",MOD($AA266-1,3)+1)</f>
        <v/>
      </c>
      <c r="AD266" s="20">
        <f>IF($Z266="","",Settings!$B$2+$AC266-1)</f>
        <v/>
      </c>
      <c r="AE266" s="21">
        <f>IF($Z266="C",DATE(YEAR(INDEX(Contracts!$J$2:$J$151,$AB266)),MONTH(INDEX(Contracts!$J$2:$J$151,$AB266)),1),IF($Z266="A",DATE(YEAR(INDEX(Fixed_Assets!$G$2:$G$201,$AB266)),MONTH(INDEX(Fixed_Assets!$G$2:$G$201,$AB266)),1),IF($Z266="F",DATE(YEAR(MAX(N(INDEX(Workforce!$I$2:$I$151,MATCH(INDEX(FTE_Allocation!$A$2:$A$201,$AB266),Workforce!$A$2:$A$151,0))),N(INDEX(FTE_Allocation!$I$2:$I$201,$AB266)))),MONTH(MAX(N(INDEX(Workforce!$I$2:$I$151,MATCH(INDEX(FTE_Allocation!$A$2:$A$201,$AB266),Workforce!$A$2:$A$151,0))),N(INDEX(FTE_Allocation!$I$2:$I$201,$AB266)))),1),"")))</f>
        <v/>
      </c>
      <c r="AF266" s="21">
        <f>IF($Z266="C",IF(INDEX(Contracts!$I$2:$I$151,$AB266)="PREPAID",EDATE(DATE(YEAR(INDEX(Contracts!$J$2:$J$151,$AB266)),MONTH(INDEX(Contracts!$J$2:$J$151,$AB266)),1),IF(INDEX(Contracts!$N$2:$N$151,$AB266)="",12,INDEX(Contracts!$N$2:$N$151,$AB266))-1),IF(INDEX(Contracts!$I$2:$I$151,$AB266)="MONTHLY",IF(INDEX(Contracts!$K$2:$K$151,$AB266)="",2958101,INDEX(Contracts!$K$2:$K$151,$AB266)),0)),IF($Z266="A",EDATE(DATE(YEAR(INDEX(Fixed_Assets!$G$2:$G$201,$AB266)),MONTH(INDEX(Fixed_Assets!$G$2:$G$201,$AB266)),1),INDEX(Fixed_Assets!$J$2:$J$201,$AB266)-1),IF($Z266="F",MIN(IF(INDEX(Workforce!$J$2:$J$151,MATCH(INDEX(FTE_Allocation!$A$2:$A$201,$AB266),Workforce!$A$2:$A$151,0))="",2958101,INDEX(Workforce!$J$2:$J$151,MATCH(INDEX(FTE_Allocation!$A$2:$A$201,$AB266),Workforce!$A$2:$A$151,0))),IF(INDEX(FTE_Allocation!$J$2:$J$201,$AB266)="",2958101,INDEX(FTE_Allocation!$J$2:$J$201,$AB266))),"")))</f>
        <v/>
      </c>
      <c r="AG266" s="19">
        <f>IF($Z266="C",IF(INDEX(Contracts!$I$2:$I$151,$AB266)="PREPAID",INDEX(Contracts!$M$2:$M$151,$AB266)/IF(INDEX(Contracts!$N$2:$N$151,$AB266)="",12,INDEX(Contracts!$N$2:$N$151,$AB266)),IF(INDEX(Contracts!$I$2:$I$151,$AB266)="MONTHLY",INDEX(Contracts!$M$2:$M$151,$AB266),0))*(1-N(INDEX(Contracts!$O$2:$O$151,$AB266))),IF($Z266="A",INDEX(Fixed_Assets!$H$2:$H$201,$AB266)/INDEX(Fixed_Assets!$J$2:$J$201,$AB266),IF($Z266="F",INDEX(Workforce!$F$2:$F$151,MATCH(INDEX(FTE_Allocation!$A$2:$A$201,$AB266),Workforce!$A$2:$A$151,0))*N(INDEX(FTE_Allocation!$F$2:$H$201,$AB266,$AC266)),"")))</f>
        <v/>
      </c>
    </row>
    <row r="267">
      <c r="A267" s="7">
        <f>IF($Z267="","",$AD267)</f>
        <v/>
      </c>
      <c r="B267" s="7">
        <f>IF($Z267="C",INDEX(Contracts!$D$2:$D$151,$AB267)&amp;"",IF($Z267="A",INDEX(Fixed_Assets!$C$2:$C$201,$AB267)&amp;"",IF($Z267="F",INDEX(Workforce!$B$2:$B$151,MATCH(INDEX(FTE_Allocation!$A$2:$A$201,$AB267),Workforce!$A$2:$A$151,0))&amp;"","")))</f>
        <v/>
      </c>
      <c r="C267" s="7">
        <f>IF($Z267="C",INDEX(Contracts!$E$2:$E$151,$AB267)&amp;"",IF($Z267="A",INDEX(Fixed_Assets!$D$2:$D$201,$AB267)&amp;"",IF($Z267="F",INDEX(FTE_Allocation!$C$2:$C$201,$AB267)&amp;"","")))</f>
        <v/>
      </c>
      <c r="D267" s="7">
        <f>IF($Z267="C",INDEX(Contracts!$B$2:$B$151,$AB267)&amp;"",IF($Z267="A",INDEX(Fixed_Assets!$B$2:$B$201,$AB267)&amp;"",IF($Z267="F",INDEX(FTE_Allocation!$B$2:$B$201,$AB267)&amp;"","")))</f>
        <v/>
      </c>
      <c r="E267" s="7">
        <f>IF($Z267="C",INDEX(Contracts!$P$2:$P$151,$AB267)&amp;"",IF($Z267="A",INDEX(Fixed_Assets!$K$2:$K$201,$AB267)&amp;"",IF($Z267="F",IF(INDEX(FTE_Allocation!$D$2:$D$201,$AB267)="PROJECT",IFERROR(INDEX(Projects!$D:$D,MATCH(INDEX(FTE_Allocation!$E$2:$E$201,$AB267),Projects!$A:$A,0))&amp;"","#PROJECT?"),INDEX(FTE_Allocation!$E$2:$E$201,$AB267)&amp;""),"")))</f>
        <v/>
      </c>
      <c r="F267" s="7">
        <f>IF($Z267="C",INDEX(Contracts!$Q$2:$Q$151,$AB267)&amp;"",IF($Z267="A",INDEX(Fixed_Assets!$L$2:$L$201,$AB267)&amp;"",IF($Z267="F",INDEX(Workforce!$K$2:$K$151,MATCH(INDEX(FTE_Allocation!$A$2:$A$201,$AB267),Workforce!$A$2:$A$151,0))&amp;"","")))</f>
        <v/>
      </c>
      <c r="G267" s="7">
        <f>IF($Z267="C",INDEX(Contracts!$F$2:$F$151,$AB267)&amp;" / "&amp;INDEX(Contracts!$G$2:$G$151,$AB267),IF($Z267="A",INDEX(Fixed_Assets!$E$2:$E$201,$AB267)&amp;"",IF($Z267="F","Personnel "&amp;INDEX(FTE_Allocation!$A$2:$A$201,$AB267)&amp;IF(INDEX(FTE_Allocation!$D$2:$D$201,$AB267)="PROJECT"," ("&amp;INDEX(FTE_Allocation!$E$2:$E$201,$AB267)&amp;")",""),"")))</f>
        <v/>
      </c>
      <c r="H267" s="7">
        <f>IF($Z267="C","CONTRACT",IF($Z267="A","ASSET",IF($Z267="F","WORKFORCE","")))</f>
        <v/>
      </c>
      <c r="I267" s="7">
        <f>IF($Z267="C",INDEX(Contracts!$L$2:$L$151,$AB267)&amp;"",IF($Z267="A",INDEX(Fixed_Assets!$I$2:$I$201,$AB267)&amp;"",IF($Z267="F",INDEX(Workforce!$G$2:$G$151,MATCH(INDEX(FTE_Allocation!$A$2:$A$201,$AB267),Workforce!$A$2:$A$151,0))&amp;"","")))</f>
        <v/>
      </c>
      <c r="J267" s="18">
        <f>IF($Z267="","",IF(AND(DATE($AD267,1,1)&gt;=$AE267,DATE($AD267,1,1)&lt;=$AF267),ROUND($AG267,2),0))</f>
        <v/>
      </c>
      <c r="K267" s="18">
        <f>IF($Z267="","",IF(AND(DATE($AD267,2,1)&gt;=$AE267,DATE($AD267,2,1)&lt;=$AF267),ROUND($AG267,2),0))</f>
        <v/>
      </c>
      <c r="L267" s="18">
        <f>IF($Z267="","",IF(AND(DATE($AD267,3,1)&gt;=$AE267,DATE($AD267,3,1)&lt;=$AF267),ROUND($AG267,2),0))</f>
        <v/>
      </c>
      <c r="M267" s="18">
        <f>IF($Z267="","",IF(AND(DATE($AD267,4,1)&gt;=$AE267,DATE($AD267,4,1)&lt;=$AF267),ROUND($AG267,2),0))</f>
        <v/>
      </c>
      <c r="N267" s="18">
        <f>IF($Z267="","",IF(AND(DATE($AD267,5,1)&gt;=$AE267,DATE($AD267,5,1)&lt;=$AF267),ROUND($AG267,2),0))</f>
        <v/>
      </c>
      <c r="O267" s="18">
        <f>IF($Z267="","",IF(AND(DATE($AD267,6,1)&gt;=$AE267,DATE($AD267,6,1)&lt;=$AF267),ROUND($AG267,2),0))</f>
        <v/>
      </c>
      <c r="P267" s="18">
        <f>IF($Z267="","",IF(AND(DATE($AD267,7,1)&gt;=$AE267,DATE($AD267,7,1)&lt;=$AF267),ROUND($AG267,2),0))</f>
        <v/>
      </c>
      <c r="Q267" s="18">
        <f>IF($Z267="","",IF(AND(DATE($AD267,8,1)&gt;=$AE267,DATE($AD267,8,1)&lt;=$AF267),ROUND($AG267,2),0))</f>
        <v/>
      </c>
      <c r="R267" s="18">
        <f>IF($Z267="","",IF(AND(DATE($AD267,9,1)&gt;=$AE267,DATE($AD267,9,1)&lt;=$AF267),ROUND($AG267,2),0))</f>
        <v/>
      </c>
      <c r="S267" s="18">
        <f>IF($Z267="","",IF(AND(DATE($AD267,10,1)&gt;=$AE267,DATE($AD267,10,1)&lt;=$AF267),ROUND($AG267,2),0))</f>
        <v/>
      </c>
      <c r="T267" s="18">
        <f>IF($Z267="","",IF(AND(DATE($AD267,11,1)&gt;=$AE267,DATE($AD267,11,1)&lt;=$AF267),ROUND($AG267,2),0))</f>
        <v/>
      </c>
      <c r="U267" s="18">
        <f>IF($Z267="","",IF(AND(DATE($AD267,12,1)&gt;=$AE267,DATE($AD267,12,1)&lt;=$AF267),ROUND($AG267,2),0))</f>
        <v/>
      </c>
      <c r="V267" s="7">
        <f>IF($Z267="C","Generated from "&amp;INDEX(Contracts!$A$2:$A$151,$AB267),IF($Z267="A","Generated from "&amp;INDEX(Fixed_Assets!$A$2:$A$201,$AB267),IF($Z267="F","Generated from "&amp;INDEX(FTE_Allocation!$A$2:$A$201,$AB267),"")))</f>
        <v/>
      </c>
      <c r="X267" s="19">
        <f>IF($Z267="","",SUM(J267:U267))</f>
        <v/>
      </c>
      <c r="Y267" s="20">
        <f>ROW()-1</f>
        <v/>
      </c>
      <c r="Z267" s="20">
        <f>IF($Y267&lt;=Settings!$B$4*3,"C",IF($Y267&lt;=(Settings!$B$4+Settings!$B$5)*3,"A",IF($Y267&lt;=(Settings!$B$4+Settings!$B$5+Settings!$B$6)*3,"F","")))</f>
        <v/>
      </c>
      <c r="AA267" s="20">
        <f>IF($Z267="C",$Y267,IF($Z267="A",$Y267-Settings!$B$4*3,IF($Z267="F",$Y267-(Settings!$B$4+Settings!$B$5)*3,"")))</f>
        <v/>
      </c>
      <c r="AB267" s="20">
        <f>IF($Z267="","",INT(($AA267-1)/3)+1)</f>
        <v/>
      </c>
      <c r="AC267" s="20">
        <f>IF($Z267="","",MOD($AA267-1,3)+1)</f>
        <v/>
      </c>
      <c r="AD267" s="20">
        <f>IF($Z267="","",Settings!$B$2+$AC267-1)</f>
        <v/>
      </c>
      <c r="AE267" s="21">
        <f>IF($Z267="C",DATE(YEAR(INDEX(Contracts!$J$2:$J$151,$AB267)),MONTH(INDEX(Contracts!$J$2:$J$151,$AB267)),1),IF($Z267="A",DATE(YEAR(INDEX(Fixed_Assets!$G$2:$G$201,$AB267)),MONTH(INDEX(Fixed_Assets!$G$2:$G$201,$AB267)),1),IF($Z267="F",DATE(YEAR(MAX(N(INDEX(Workforce!$I$2:$I$151,MATCH(INDEX(FTE_Allocation!$A$2:$A$201,$AB267),Workforce!$A$2:$A$151,0))),N(INDEX(FTE_Allocation!$I$2:$I$201,$AB267)))),MONTH(MAX(N(INDEX(Workforce!$I$2:$I$151,MATCH(INDEX(FTE_Allocation!$A$2:$A$201,$AB267),Workforce!$A$2:$A$151,0))),N(INDEX(FTE_Allocation!$I$2:$I$201,$AB267)))),1),"")))</f>
        <v/>
      </c>
      <c r="AF267" s="21">
        <f>IF($Z267="C",IF(INDEX(Contracts!$I$2:$I$151,$AB267)="PREPAID",EDATE(DATE(YEAR(INDEX(Contracts!$J$2:$J$151,$AB267)),MONTH(INDEX(Contracts!$J$2:$J$151,$AB267)),1),IF(INDEX(Contracts!$N$2:$N$151,$AB267)="",12,INDEX(Contracts!$N$2:$N$151,$AB267))-1),IF(INDEX(Contracts!$I$2:$I$151,$AB267)="MONTHLY",IF(INDEX(Contracts!$K$2:$K$151,$AB267)="",2958101,INDEX(Contracts!$K$2:$K$151,$AB267)),0)),IF($Z267="A",EDATE(DATE(YEAR(INDEX(Fixed_Assets!$G$2:$G$201,$AB267)),MONTH(INDEX(Fixed_Assets!$G$2:$G$201,$AB267)),1),INDEX(Fixed_Assets!$J$2:$J$201,$AB267)-1),IF($Z267="F",MIN(IF(INDEX(Workforce!$J$2:$J$151,MATCH(INDEX(FTE_Allocation!$A$2:$A$201,$AB267),Workforce!$A$2:$A$151,0))="",2958101,INDEX(Workforce!$J$2:$J$151,MATCH(INDEX(FTE_Allocation!$A$2:$A$201,$AB267),Workforce!$A$2:$A$151,0))),IF(INDEX(FTE_Allocation!$J$2:$J$201,$AB267)="",2958101,INDEX(FTE_Allocation!$J$2:$J$201,$AB267))),"")))</f>
        <v/>
      </c>
      <c r="AG267" s="19">
        <f>IF($Z267="C",IF(INDEX(Contracts!$I$2:$I$151,$AB267)="PREPAID",INDEX(Contracts!$M$2:$M$151,$AB267)/IF(INDEX(Contracts!$N$2:$N$151,$AB267)="",12,INDEX(Contracts!$N$2:$N$151,$AB267)),IF(INDEX(Contracts!$I$2:$I$151,$AB267)="MONTHLY",INDEX(Contracts!$M$2:$M$151,$AB267),0))*(1-N(INDEX(Contracts!$O$2:$O$151,$AB267))),IF($Z267="A",INDEX(Fixed_Assets!$H$2:$H$201,$AB267)/INDEX(Fixed_Assets!$J$2:$J$201,$AB267),IF($Z267="F",INDEX(Workforce!$F$2:$F$151,MATCH(INDEX(FTE_Allocation!$A$2:$A$201,$AB267),Workforce!$A$2:$A$151,0))*N(INDEX(FTE_Allocation!$F$2:$H$201,$AB267,$AC267)),"")))</f>
        <v/>
      </c>
    </row>
    <row r="268">
      <c r="A268" s="7">
        <f>IF($Z268="","",$AD268)</f>
        <v/>
      </c>
      <c r="B268" s="7">
        <f>IF($Z268="C",INDEX(Contracts!$D$2:$D$151,$AB268)&amp;"",IF($Z268="A",INDEX(Fixed_Assets!$C$2:$C$201,$AB268)&amp;"",IF($Z268="F",INDEX(Workforce!$B$2:$B$151,MATCH(INDEX(FTE_Allocation!$A$2:$A$201,$AB268),Workforce!$A$2:$A$151,0))&amp;"","")))</f>
        <v/>
      </c>
      <c r="C268" s="7">
        <f>IF($Z268="C",INDEX(Contracts!$E$2:$E$151,$AB268)&amp;"",IF($Z268="A",INDEX(Fixed_Assets!$D$2:$D$201,$AB268)&amp;"",IF($Z268="F",INDEX(FTE_Allocation!$C$2:$C$201,$AB268)&amp;"","")))</f>
        <v/>
      </c>
      <c r="D268" s="7">
        <f>IF($Z268="C",INDEX(Contracts!$B$2:$B$151,$AB268)&amp;"",IF($Z268="A",INDEX(Fixed_Assets!$B$2:$B$201,$AB268)&amp;"",IF($Z268="F",INDEX(FTE_Allocation!$B$2:$B$201,$AB268)&amp;"","")))</f>
        <v/>
      </c>
      <c r="E268" s="7">
        <f>IF($Z268="C",INDEX(Contracts!$P$2:$P$151,$AB268)&amp;"",IF($Z268="A",INDEX(Fixed_Assets!$K$2:$K$201,$AB268)&amp;"",IF($Z268="F",IF(INDEX(FTE_Allocation!$D$2:$D$201,$AB268)="PROJECT",IFERROR(INDEX(Projects!$D:$D,MATCH(INDEX(FTE_Allocation!$E$2:$E$201,$AB268),Projects!$A:$A,0))&amp;"","#PROJECT?"),INDEX(FTE_Allocation!$E$2:$E$201,$AB268)&amp;""),"")))</f>
        <v/>
      </c>
      <c r="F268" s="7">
        <f>IF($Z268="C",INDEX(Contracts!$Q$2:$Q$151,$AB268)&amp;"",IF($Z268="A",INDEX(Fixed_Assets!$L$2:$L$201,$AB268)&amp;"",IF($Z268="F",INDEX(Workforce!$K$2:$K$151,MATCH(INDEX(FTE_Allocation!$A$2:$A$201,$AB268),Workforce!$A$2:$A$151,0))&amp;"","")))</f>
        <v/>
      </c>
      <c r="G268" s="7">
        <f>IF($Z268="C",INDEX(Contracts!$F$2:$F$151,$AB268)&amp;" / "&amp;INDEX(Contracts!$G$2:$G$151,$AB268),IF($Z268="A",INDEX(Fixed_Assets!$E$2:$E$201,$AB268)&amp;"",IF($Z268="F","Personnel "&amp;INDEX(FTE_Allocation!$A$2:$A$201,$AB268)&amp;IF(INDEX(FTE_Allocation!$D$2:$D$201,$AB268)="PROJECT"," ("&amp;INDEX(FTE_Allocation!$E$2:$E$201,$AB268)&amp;")",""),"")))</f>
        <v/>
      </c>
      <c r="H268" s="7">
        <f>IF($Z268="C","CONTRACT",IF($Z268="A","ASSET",IF($Z268="F","WORKFORCE","")))</f>
        <v/>
      </c>
      <c r="I268" s="7">
        <f>IF($Z268="C",INDEX(Contracts!$L$2:$L$151,$AB268)&amp;"",IF($Z268="A",INDEX(Fixed_Assets!$I$2:$I$201,$AB268)&amp;"",IF($Z268="F",INDEX(Workforce!$G$2:$G$151,MATCH(INDEX(FTE_Allocation!$A$2:$A$201,$AB268),Workforce!$A$2:$A$151,0))&amp;"","")))</f>
        <v/>
      </c>
      <c r="J268" s="18">
        <f>IF($Z268="","",IF(AND(DATE($AD268,1,1)&gt;=$AE268,DATE($AD268,1,1)&lt;=$AF268),ROUND($AG268,2),0))</f>
        <v/>
      </c>
      <c r="K268" s="18">
        <f>IF($Z268="","",IF(AND(DATE($AD268,2,1)&gt;=$AE268,DATE($AD268,2,1)&lt;=$AF268),ROUND($AG268,2),0))</f>
        <v/>
      </c>
      <c r="L268" s="18">
        <f>IF($Z268="","",IF(AND(DATE($AD268,3,1)&gt;=$AE268,DATE($AD268,3,1)&lt;=$AF268),ROUND($AG268,2),0))</f>
        <v/>
      </c>
      <c r="M268" s="18">
        <f>IF($Z268="","",IF(AND(DATE($AD268,4,1)&gt;=$AE268,DATE($AD268,4,1)&lt;=$AF268),ROUND($AG268,2),0))</f>
        <v/>
      </c>
      <c r="N268" s="18">
        <f>IF($Z268="","",IF(AND(DATE($AD268,5,1)&gt;=$AE268,DATE($AD268,5,1)&lt;=$AF268),ROUND($AG268,2),0))</f>
        <v/>
      </c>
      <c r="O268" s="18">
        <f>IF($Z268="","",IF(AND(DATE($AD268,6,1)&gt;=$AE268,DATE($AD268,6,1)&lt;=$AF268),ROUND($AG268,2),0))</f>
        <v/>
      </c>
      <c r="P268" s="18">
        <f>IF($Z268="","",IF(AND(DATE($AD268,7,1)&gt;=$AE268,DATE($AD268,7,1)&lt;=$AF268),ROUND($AG268,2),0))</f>
        <v/>
      </c>
      <c r="Q268" s="18">
        <f>IF($Z268="","",IF(AND(DATE($AD268,8,1)&gt;=$AE268,DATE($AD268,8,1)&lt;=$AF268),ROUND($AG268,2),0))</f>
        <v/>
      </c>
      <c r="R268" s="18">
        <f>IF($Z268="","",IF(AND(DATE($AD268,9,1)&gt;=$AE268,DATE($AD268,9,1)&lt;=$AF268),ROUND($AG268,2),0))</f>
        <v/>
      </c>
      <c r="S268" s="18">
        <f>IF($Z268="","",IF(AND(DATE($AD268,10,1)&gt;=$AE268,DATE($AD268,10,1)&lt;=$AF268),ROUND($AG268,2),0))</f>
        <v/>
      </c>
      <c r="T268" s="18">
        <f>IF($Z268="","",IF(AND(DATE($AD268,11,1)&gt;=$AE268,DATE($AD268,11,1)&lt;=$AF268),ROUND($AG268,2),0))</f>
        <v/>
      </c>
      <c r="U268" s="18">
        <f>IF($Z268="","",IF(AND(DATE($AD268,12,1)&gt;=$AE268,DATE($AD268,12,1)&lt;=$AF268),ROUND($AG268,2),0))</f>
        <v/>
      </c>
      <c r="V268" s="7">
        <f>IF($Z268="C","Generated from "&amp;INDEX(Contracts!$A$2:$A$151,$AB268),IF($Z268="A","Generated from "&amp;INDEX(Fixed_Assets!$A$2:$A$201,$AB268),IF($Z268="F","Generated from "&amp;INDEX(FTE_Allocation!$A$2:$A$201,$AB268),"")))</f>
        <v/>
      </c>
      <c r="X268" s="19">
        <f>IF($Z268="","",SUM(J268:U268))</f>
        <v/>
      </c>
      <c r="Y268" s="20">
        <f>ROW()-1</f>
        <v/>
      </c>
      <c r="Z268" s="20">
        <f>IF($Y268&lt;=Settings!$B$4*3,"C",IF($Y268&lt;=(Settings!$B$4+Settings!$B$5)*3,"A",IF($Y268&lt;=(Settings!$B$4+Settings!$B$5+Settings!$B$6)*3,"F","")))</f>
        <v/>
      </c>
      <c r="AA268" s="20">
        <f>IF($Z268="C",$Y268,IF($Z268="A",$Y268-Settings!$B$4*3,IF($Z268="F",$Y268-(Settings!$B$4+Settings!$B$5)*3,"")))</f>
        <v/>
      </c>
      <c r="AB268" s="20">
        <f>IF($Z268="","",INT(($AA268-1)/3)+1)</f>
        <v/>
      </c>
      <c r="AC268" s="20">
        <f>IF($Z268="","",MOD($AA268-1,3)+1)</f>
        <v/>
      </c>
      <c r="AD268" s="20">
        <f>IF($Z268="","",Settings!$B$2+$AC268-1)</f>
        <v/>
      </c>
      <c r="AE268" s="21">
        <f>IF($Z268="C",DATE(YEAR(INDEX(Contracts!$J$2:$J$151,$AB268)),MONTH(INDEX(Contracts!$J$2:$J$151,$AB268)),1),IF($Z268="A",DATE(YEAR(INDEX(Fixed_Assets!$G$2:$G$201,$AB268)),MONTH(INDEX(Fixed_Assets!$G$2:$G$201,$AB268)),1),IF($Z268="F",DATE(YEAR(MAX(N(INDEX(Workforce!$I$2:$I$151,MATCH(INDEX(FTE_Allocation!$A$2:$A$201,$AB268),Workforce!$A$2:$A$151,0))),N(INDEX(FTE_Allocation!$I$2:$I$201,$AB268)))),MONTH(MAX(N(INDEX(Workforce!$I$2:$I$151,MATCH(INDEX(FTE_Allocation!$A$2:$A$201,$AB268),Workforce!$A$2:$A$151,0))),N(INDEX(FTE_Allocation!$I$2:$I$201,$AB268)))),1),"")))</f>
        <v/>
      </c>
      <c r="AF268" s="21">
        <f>IF($Z268="C",IF(INDEX(Contracts!$I$2:$I$151,$AB268)="PREPAID",EDATE(DATE(YEAR(INDEX(Contracts!$J$2:$J$151,$AB268)),MONTH(INDEX(Contracts!$J$2:$J$151,$AB268)),1),IF(INDEX(Contracts!$N$2:$N$151,$AB268)="",12,INDEX(Contracts!$N$2:$N$151,$AB268))-1),IF(INDEX(Contracts!$I$2:$I$151,$AB268)="MONTHLY",IF(INDEX(Contracts!$K$2:$K$151,$AB268)="",2958101,INDEX(Contracts!$K$2:$K$151,$AB268)),0)),IF($Z268="A",EDATE(DATE(YEAR(INDEX(Fixed_Assets!$G$2:$G$201,$AB268)),MONTH(INDEX(Fixed_Assets!$G$2:$G$201,$AB268)),1),INDEX(Fixed_Assets!$J$2:$J$201,$AB268)-1),IF($Z268="F",MIN(IF(INDEX(Workforce!$J$2:$J$151,MATCH(INDEX(FTE_Allocation!$A$2:$A$201,$AB268),Workforce!$A$2:$A$151,0))="",2958101,INDEX(Workforce!$J$2:$J$151,MATCH(INDEX(FTE_Allocation!$A$2:$A$201,$AB268),Workforce!$A$2:$A$151,0))),IF(INDEX(FTE_Allocation!$J$2:$J$201,$AB268)="",2958101,INDEX(FTE_Allocation!$J$2:$J$201,$AB268))),"")))</f>
        <v/>
      </c>
      <c r="AG268" s="19">
        <f>IF($Z268="C",IF(INDEX(Contracts!$I$2:$I$151,$AB268)="PREPAID",INDEX(Contracts!$M$2:$M$151,$AB268)/IF(INDEX(Contracts!$N$2:$N$151,$AB268)="",12,INDEX(Contracts!$N$2:$N$151,$AB268)),IF(INDEX(Contracts!$I$2:$I$151,$AB268)="MONTHLY",INDEX(Contracts!$M$2:$M$151,$AB268),0))*(1-N(INDEX(Contracts!$O$2:$O$151,$AB268))),IF($Z268="A",INDEX(Fixed_Assets!$H$2:$H$201,$AB268)/INDEX(Fixed_Assets!$J$2:$J$201,$AB268),IF($Z268="F",INDEX(Workforce!$F$2:$F$151,MATCH(INDEX(FTE_Allocation!$A$2:$A$201,$AB268),Workforce!$A$2:$A$151,0))*N(INDEX(FTE_Allocation!$F$2:$H$201,$AB268,$AC268)),"")))</f>
        <v/>
      </c>
    </row>
    <row r="269">
      <c r="A269" s="7">
        <f>IF($Z269="","",$AD269)</f>
        <v/>
      </c>
      <c r="B269" s="7">
        <f>IF($Z269="C",INDEX(Contracts!$D$2:$D$151,$AB269)&amp;"",IF($Z269="A",INDEX(Fixed_Assets!$C$2:$C$201,$AB269)&amp;"",IF($Z269="F",INDEX(Workforce!$B$2:$B$151,MATCH(INDEX(FTE_Allocation!$A$2:$A$201,$AB269),Workforce!$A$2:$A$151,0))&amp;"","")))</f>
        <v/>
      </c>
      <c r="C269" s="7">
        <f>IF($Z269="C",INDEX(Contracts!$E$2:$E$151,$AB269)&amp;"",IF($Z269="A",INDEX(Fixed_Assets!$D$2:$D$201,$AB269)&amp;"",IF($Z269="F",INDEX(FTE_Allocation!$C$2:$C$201,$AB269)&amp;"","")))</f>
        <v/>
      </c>
      <c r="D269" s="7">
        <f>IF($Z269="C",INDEX(Contracts!$B$2:$B$151,$AB269)&amp;"",IF($Z269="A",INDEX(Fixed_Assets!$B$2:$B$201,$AB269)&amp;"",IF($Z269="F",INDEX(FTE_Allocation!$B$2:$B$201,$AB269)&amp;"","")))</f>
        <v/>
      </c>
      <c r="E269" s="7">
        <f>IF($Z269="C",INDEX(Contracts!$P$2:$P$151,$AB269)&amp;"",IF($Z269="A",INDEX(Fixed_Assets!$K$2:$K$201,$AB269)&amp;"",IF($Z269="F",IF(INDEX(FTE_Allocation!$D$2:$D$201,$AB269)="PROJECT",IFERROR(INDEX(Projects!$D:$D,MATCH(INDEX(FTE_Allocation!$E$2:$E$201,$AB269),Projects!$A:$A,0))&amp;"","#PROJECT?"),INDEX(FTE_Allocation!$E$2:$E$201,$AB269)&amp;""),"")))</f>
        <v/>
      </c>
      <c r="F269" s="7">
        <f>IF($Z269="C",INDEX(Contracts!$Q$2:$Q$151,$AB269)&amp;"",IF($Z269="A",INDEX(Fixed_Assets!$L$2:$L$201,$AB269)&amp;"",IF($Z269="F",INDEX(Workforce!$K$2:$K$151,MATCH(INDEX(FTE_Allocation!$A$2:$A$201,$AB269),Workforce!$A$2:$A$151,0))&amp;"","")))</f>
        <v/>
      </c>
      <c r="G269" s="7">
        <f>IF($Z269="C",INDEX(Contracts!$F$2:$F$151,$AB269)&amp;" / "&amp;INDEX(Contracts!$G$2:$G$151,$AB269),IF($Z269="A",INDEX(Fixed_Assets!$E$2:$E$201,$AB269)&amp;"",IF($Z269="F","Personnel "&amp;INDEX(FTE_Allocation!$A$2:$A$201,$AB269)&amp;IF(INDEX(FTE_Allocation!$D$2:$D$201,$AB269)="PROJECT"," ("&amp;INDEX(FTE_Allocation!$E$2:$E$201,$AB269)&amp;")",""),"")))</f>
        <v/>
      </c>
      <c r="H269" s="7">
        <f>IF($Z269="C","CONTRACT",IF($Z269="A","ASSET",IF($Z269="F","WORKFORCE","")))</f>
        <v/>
      </c>
      <c r="I269" s="7">
        <f>IF($Z269="C",INDEX(Contracts!$L$2:$L$151,$AB269)&amp;"",IF($Z269="A",INDEX(Fixed_Assets!$I$2:$I$201,$AB269)&amp;"",IF($Z269="F",INDEX(Workforce!$G$2:$G$151,MATCH(INDEX(FTE_Allocation!$A$2:$A$201,$AB269),Workforce!$A$2:$A$151,0))&amp;"","")))</f>
        <v/>
      </c>
      <c r="J269" s="18">
        <f>IF($Z269="","",IF(AND(DATE($AD269,1,1)&gt;=$AE269,DATE($AD269,1,1)&lt;=$AF269),ROUND($AG269,2),0))</f>
        <v/>
      </c>
      <c r="K269" s="18">
        <f>IF($Z269="","",IF(AND(DATE($AD269,2,1)&gt;=$AE269,DATE($AD269,2,1)&lt;=$AF269),ROUND($AG269,2),0))</f>
        <v/>
      </c>
      <c r="L269" s="18">
        <f>IF($Z269="","",IF(AND(DATE($AD269,3,1)&gt;=$AE269,DATE($AD269,3,1)&lt;=$AF269),ROUND($AG269,2),0))</f>
        <v/>
      </c>
      <c r="M269" s="18">
        <f>IF($Z269="","",IF(AND(DATE($AD269,4,1)&gt;=$AE269,DATE($AD269,4,1)&lt;=$AF269),ROUND($AG269,2),0))</f>
        <v/>
      </c>
      <c r="N269" s="18">
        <f>IF($Z269="","",IF(AND(DATE($AD269,5,1)&gt;=$AE269,DATE($AD269,5,1)&lt;=$AF269),ROUND($AG269,2),0))</f>
        <v/>
      </c>
      <c r="O269" s="18">
        <f>IF($Z269="","",IF(AND(DATE($AD269,6,1)&gt;=$AE269,DATE($AD269,6,1)&lt;=$AF269),ROUND($AG269,2),0))</f>
        <v/>
      </c>
      <c r="P269" s="18">
        <f>IF($Z269="","",IF(AND(DATE($AD269,7,1)&gt;=$AE269,DATE($AD269,7,1)&lt;=$AF269),ROUND($AG269,2),0))</f>
        <v/>
      </c>
      <c r="Q269" s="18">
        <f>IF($Z269="","",IF(AND(DATE($AD269,8,1)&gt;=$AE269,DATE($AD269,8,1)&lt;=$AF269),ROUND($AG269,2),0))</f>
        <v/>
      </c>
      <c r="R269" s="18">
        <f>IF($Z269="","",IF(AND(DATE($AD269,9,1)&gt;=$AE269,DATE($AD269,9,1)&lt;=$AF269),ROUND($AG269,2),0))</f>
        <v/>
      </c>
      <c r="S269" s="18">
        <f>IF($Z269="","",IF(AND(DATE($AD269,10,1)&gt;=$AE269,DATE($AD269,10,1)&lt;=$AF269),ROUND($AG269,2),0))</f>
        <v/>
      </c>
      <c r="T269" s="18">
        <f>IF($Z269="","",IF(AND(DATE($AD269,11,1)&gt;=$AE269,DATE($AD269,11,1)&lt;=$AF269),ROUND($AG269,2),0))</f>
        <v/>
      </c>
      <c r="U269" s="18">
        <f>IF($Z269="","",IF(AND(DATE($AD269,12,1)&gt;=$AE269,DATE($AD269,12,1)&lt;=$AF269),ROUND($AG269,2),0))</f>
        <v/>
      </c>
      <c r="V269" s="7">
        <f>IF($Z269="C","Generated from "&amp;INDEX(Contracts!$A$2:$A$151,$AB269),IF($Z269="A","Generated from "&amp;INDEX(Fixed_Assets!$A$2:$A$201,$AB269),IF($Z269="F","Generated from "&amp;INDEX(FTE_Allocation!$A$2:$A$201,$AB269),"")))</f>
        <v/>
      </c>
      <c r="X269" s="19">
        <f>IF($Z269="","",SUM(J269:U269))</f>
        <v/>
      </c>
      <c r="Y269" s="20">
        <f>ROW()-1</f>
        <v/>
      </c>
      <c r="Z269" s="20">
        <f>IF($Y269&lt;=Settings!$B$4*3,"C",IF($Y269&lt;=(Settings!$B$4+Settings!$B$5)*3,"A",IF($Y269&lt;=(Settings!$B$4+Settings!$B$5+Settings!$B$6)*3,"F","")))</f>
        <v/>
      </c>
      <c r="AA269" s="20">
        <f>IF($Z269="C",$Y269,IF($Z269="A",$Y269-Settings!$B$4*3,IF($Z269="F",$Y269-(Settings!$B$4+Settings!$B$5)*3,"")))</f>
        <v/>
      </c>
      <c r="AB269" s="20">
        <f>IF($Z269="","",INT(($AA269-1)/3)+1)</f>
        <v/>
      </c>
      <c r="AC269" s="20">
        <f>IF($Z269="","",MOD($AA269-1,3)+1)</f>
        <v/>
      </c>
      <c r="AD269" s="20">
        <f>IF($Z269="","",Settings!$B$2+$AC269-1)</f>
        <v/>
      </c>
      <c r="AE269" s="21">
        <f>IF($Z269="C",DATE(YEAR(INDEX(Contracts!$J$2:$J$151,$AB269)),MONTH(INDEX(Contracts!$J$2:$J$151,$AB269)),1),IF($Z269="A",DATE(YEAR(INDEX(Fixed_Assets!$G$2:$G$201,$AB269)),MONTH(INDEX(Fixed_Assets!$G$2:$G$201,$AB269)),1),IF($Z269="F",DATE(YEAR(MAX(N(INDEX(Workforce!$I$2:$I$151,MATCH(INDEX(FTE_Allocation!$A$2:$A$201,$AB269),Workforce!$A$2:$A$151,0))),N(INDEX(FTE_Allocation!$I$2:$I$201,$AB269)))),MONTH(MAX(N(INDEX(Workforce!$I$2:$I$151,MATCH(INDEX(FTE_Allocation!$A$2:$A$201,$AB269),Workforce!$A$2:$A$151,0))),N(INDEX(FTE_Allocation!$I$2:$I$201,$AB269)))),1),"")))</f>
        <v/>
      </c>
      <c r="AF269" s="21">
        <f>IF($Z269="C",IF(INDEX(Contracts!$I$2:$I$151,$AB269)="PREPAID",EDATE(DATE(YEAR(INDEX(Contracts!$J$2:$J$151,$AB269)),MONTH(INDEX(Contracts!$J$2:$J$151,$AB269)),1),IF(INDEX(Contracts!$N$2:$N$151,$AB269)="",12,INDEX(Contracts!$N$2:$N$151,$AB269))-1),IF(INDEX(Contracts!$I$2:$I$151,$AB269)="MONTHLY",IF(INDEX(Contracts!$K$2:$K$151,$AB269)="",2958101,INDEX(Contracts!$K$2:$K$151,$AB269)),0)),IF($Z269="A",EDATE(DATE(YEAR(INDEX(Fixed_Assets!$G$2:$G$201,$AB269)),MONTH(INDEX(Fixed_Assets!$G$2:$G$201,$AB269)),1),INDEX(Fixed_Assets!$J$2:$J$201,$AB269)-1),IF($Z269="F",MIN(IF(INDEX(Workforce!$J$2:$J$151,MATCH(INDEX(FTE_Allocation!$A$2:$A$201,$AB269),Workforce!$A$2:$A$151,0))="",2958101,INDEX(Workforce!$J$2:$J$151,MATCH(INDEX(FTE_Allocation!$A$2:$A$201,$AB269),Workforce!$A$2:$A$151,0))),IF(INDEX(FTE_Allocation!$J$2:$J$201,$AB269)="",2958101,INDEX(FTE_Allocation!$J$2:$J$201,$AB269))),"")))</f>
        <v/>
      </c>
      <c r="AG269" s="19">
        <f>IF($Z269="C",IF(INDEX(Contracts!$I$2:$I$151,$AB269)="PREPAID",INDEX(Contracts!$M$2:$M$151,$AB269)/IF(INDEX(Contracts!$N$2:$N$151,$AB269)="",12,INDEX(Contracts!$N$2:$N$151,$AB269)),IF(INDEX(Contracts!$I$2:$I$151,$AB269)="MONTHLY",INDEX(Contracts!$M$2:$M$151,$AB269),0))*(1-N(INDEX(Contracts!$O$2:$O$151,$AB269))),IF($Z269="A",INDEX(Fixed_Assets!$H$2:$H$201,$AB269)/INDEX(Fixed_Assets!$J$2:$J$201,$AB269),IF($Z269="F",INDEX(Workforce!$F$2:$F$151,MATCH(INDEX(FTE_Allocation!$A$2:$A$201,$AB269),Workforce!$A$2:$A$151,0))*N(INDEX(FTE_Allocation!$F$2:$H$201,$AB269,$AC269)),"")))</f>
        <v/>
      </c>
    </row>
    <row r="270">
      <c r="A270" s="7">
        <f>IF($Z270="","",$AD270)</f>
        <v/>
      </c>
      <c r="B270" s="7">
        <f>IF($Z270="C",INDEX(Contracts!$D$2:$D$151,$AB270)&amp;"",IF($Z270="A",INDEX(Fixed_Assets!$C$2:$C$201,$AB270)&amp;"",IF($Z270="F",INDEX(Workforce!$B$2:$B$151,MATCH(INDEX(FTE_Allocation!$A$2:$A$201,$AB270),Workforce!$A$2:$A$151,0))&amp;"","")))</f>
        <v/>
      </c>
      <c r="C270" s="7">
        <f>IF($Z270="C",INDEX(Contracts!$E$2:$E$151,$AB270)&amp;"",IF($Z270="A",INDEX(Fixed_Assets!$D$2:$D$201,$AB270)&amp;"",IF($Z270="F",INDEX(FTE_Allocation!$C$2:$C$201,$AB270)&amp;"","")))</f>
        <v/>
      </c>
      <c r="D270" s="7">
        <f>IF($Z270="C",INDEX(Contracts!$B$2:$B$151,$AB270)&amp;"",IF($Z270="A",INDEX(Fixed_Assets!$B$2:$B$201,$AB270)&amp;"",IF($Z270="F",INDEX(FTE_Allocation!$B$2:$B$201,$AB270)&amp;"","")))</f>
        <v/>
      </c>
      <c r="E270" s="7">
        <f>IF($Z270="C",INDEX(Contracts!$P$2:$P$151,$AB270)&amp;"",IF($Z270="A",INDEX(Fixed_Assets!$K$2:$K$201,$AB270)&amp;"",IF($Z270="F",IF(INDEX(FTE_Allocation!$D$2:$D$201,$AB270)="PROJECT",IFERROR(INDEX(Projects!$D:$D,MATCH(INDEX(FTE_Allocation!$E$2:$E$201,$AB270),Projects!$A:$A,0))&amp;"","#PROJECT?"),INDEX(FTE_Allocation!$E$2:$E$201,$AB270)&amp;""),"")))</f>
        <v/>
      </c>
      <c r="F270" s="7">
        <f>IF($Z270="C",INDEX(Contracts!$Q$2:$Q$151,$AB270)&amp;"",IF($Z270="A",INDEX(Fixed_Assets!$L$2:$L$201,$AB270)&amp;"",IF($Z270="F",INDEX(Workforce!$K$2:$K$151,MATCH(INDEX(FTE_Allocation!$A$2:$A$201,$AB270),Workforce!$A$2:$A$151,0))&amp;"","")))</f>
        <v/>
      </c>
      <c r="G270" s="7">
        <f>IF($Z270="C",INDEX(Contracts!$F$2:$F$151,$AB270)&amp;" / "&amp;INDEX(Contracts!$G$2:$G$151,$AB270),IF($Z270="A",INDEX(Fixed_Assets!$E$2:$E$201,$AB270)&amp;"",IF($Z270="F","Personnel "&amp;INDEX(FTE_Allocation!$A$2:$A$201,$AB270)&amp;IF(INDEX(FTE_Allocation!$D$2:$D$201,$AB270)="PROJECT"," ("&amp;INDEX(FTE_Allocation!$E$2:$E$201,$AB270)&amp;")",""),"")))</f>
        <v/>
      </c>
      <c r="H270" s="7">
        <f>IF($Z270="C","CONTRACT",IF($Z270="A","ASSET",IF($Z270="F","WORKFORCE","")))</f>
        <v/>
      </c>
      <c r="I270" s="7">
        <f>IF($Z270="C",INDEX(Contracts!$L$2:$L$151,$AB270)&amp;"",IF($Z270="A",INDEX(Fixed_Assets!$I$2:$I$201,$AB270)&amp;"",IF($Z270="F",INDEX(Workforce!$G$2:$G$151,MATCH(INDEX(FTE_Allocation!$A$2:$A$201,$AB270),Workforce!$A$2:$A$151,0))&amp;"","")))</f>
        <v/>
      </c>
      <c r="J270" s="18">
        <f>IF($Z270="","",IF(AND(DATE($AD270,1,1)&gt;=$AE270,DATE($AD270,1,1)&lt;=$AF270),ROUND($AG270,2),0))</f>
        <v/>
      </c>
      <c r="K270" s="18">
        <f>IF($Z270="","",IF(AND(DATE($AD270,2,1)&gt;=$AE270,DATE($AD270,2,1)&lt;=$AF270),ROUND($AG270,2),0))</f>
        <v/>
      </c>
      <c r="L270" s="18">
        <f>IF($Z270="","",IF(AND(DATE($AD270,3,1)&gt;=$AE270,DATE($AD270,3,1)&lt;=$AF270),ROUND($AG270,2),0))</f>
        <v/>
      </c>
      <c r="M270" s="18">
        <f>IF($Z270="","",IF(AND(DATE($AD270,4,1)&gt;=$AE270,DATE($AD270,4,1)&lt;=$AF270),ROUND($AG270,2),0))</f>
        <v/>
      </c>
      <c r="N270" s="18">
        <f>IF($Z270="","",IF(AND(DATE($AD270,5,1)&gt;=$AE270,DATE($AD270,5,1)&lt;=$AF270),ROUND($AG270,2),0))</f>
        <v/>
      </c>
      <c r="O270" s="18">
        <f>IF($Z270="","",IF(AND(DATE($AD270,6,1)&gt;=$AE270,DATE($AD270,6,1)&lt;=$AF270),ROUND($AG270,2),0))</f>
        <v/>
      </c>
      <c r="P270" s="18">
        <f>IF($Z270="","",IF(AND(DATE($AD270,7,1)&gt;=$AE270,DATE($AD270,7,1)&lt;=$AF270),ROUND($AG270,2),0))</f>
        <v/>
      </c>
      <c r="Q270" s="18">
        <f>IF($Z270="","",IF(AND(DATE($AD270,8,1)&gt;=$AE270,DATE($AD270,8,1)&lt;=$AF270),ROUND($AG270,2),0))</f>
        <v/>
      </c>
      <c r="R270" s="18">
        <f>IF($Z270="","",IF(AND(DATE($AD270,9,1)&gt;=$AE270,DATE($AD270,9,1)&lt;=$AF270),ROUND($AG270,2),0))</f>
        <v/>
      </c>
      <c r="S270" s="18">
        <f>IF($Z270="","",IF(AND(DATE($AD270,10,1)&gt;=$AE270,DATE($AD270,10,1)&lt;=$AF270),ROUND($AG270,2),0))</f>
        <v/>
      </c>
      <c r="T270" s="18">
        <f>IF($Z270="","",IF(AND(DATE($AD270,11,1)&gt;=$AE270,DATE($AD270,11,1)&lt;=$AF270),ROUND($AG270,2),0))</f>
        <v/>
      </c>
      <c r="U270" s="18">
        <f>IF($Z270="","",IF(AND(DATE($AD270,12,1)&gt;=$AE270,DATE($AD270,12,1)&lt;=$AF270),ROUND($AG270,2),0))</f>
        <v/>
      </c>
      <c r="V270" s="7">
        <f>IF($Z270="C","Generated from "&amp;INDEX(Contracts!$A$2:$A$151,$AB270),IF($Z270="A","Generated from "&amp;INDEX(Fixed_Assets!$A$2:$A$201,$AB270),IF($Z270="F","Generated from "&amp;INDEX(FTE_Allocation!$A$2:$A$201,$AB270),"")))</f>
        <v/>
      </c>
      <c r="X270" s="19">
        <f>IF($Z270="","",SUM(J270:U270))</f>
        <v/>
      </c>
      <c r="Y270" s="20">
        <f>ROW()-1</f>
        <v/>
      </c>
      <c r="Z270" s="20">
        <f>IF($Y270&lt;=Settings!$B$4*3,"C",IF($Y270&lt;=(Settings!$B$4+Settings!$B$5)*3,"A",IF($Y270&lt;=(Settings!$B$4+Settings!$B$5+Settings!$B$6)*3,"F","")))</f>
        <v/>
      </c>
      <c r="AA270" s="20">
        <f>IF($Z270="C",$Y270,IF($Z270="A",$Y270-Settings!$B$4*3,IF($Z270="F",$Y270-(Settings!$B$4+Settings!$B$5)*3,"")))</f>
        <v/>
      </c>
      <c r="AB270" s="20">
        <f>IF($Z270="","",INT(($AA270-1)/3)+1)</f>
        <v/>
      </c>
      <c r="AC270" s="20">
        <f>IF($Z270="","",MOD($AA270-1,3)+1)</f>
        <v/>
      </c>
      <c r="AD270" s="20">
        <f>IF($Z270="","",Settings!$B$2+$AC270-1)</f>
        <v/>
      </c>
      <c r="AE270" s="21">
        <f>IF($Z270="C",DATE(YEAR(INDEX(Contracts!$J$2:$J$151,$AB270)),MONTH(INDEX(Contracts!$J$2:$J$151,$AB270)),1),IF($Z270="A",DATE(YEAR(INDEX(Fixed_Assets!$G$2:$G$201,$AB270)),MONTH(INDEX(Fixed_Assets!$G$2:$G$201,$AB270)),1),IF($Z270="F",DATE(YEAR(MAX(N(INDEX(Workforce!$I$2:$I$151,MATCH(INDEX(FTE_Allocation!$A$2:$A$201,$AB270),Workforce!$A$2:$A$151,0))),N(INDEX(FTE_Allocation!$I$2:$I$201,$AB270)))),MONTH(MAX(N(INDEX(Workforce!$I$2:$I$151,MATCH(INDEX(FTE_Allocation!$A$2:$A$201,$AB270),Workforce!$A$2:$A$151,0))),N(INDEX(FTE_Allocation!$I$2:$I$201,$AB270)))),1),"")))</f>
        <v/>
      </c>
      <c r="AF270" s="21">
        <f>IF($Z270="C",IF(INDEX(Contracts!$I$2:$I$151,$AB270)="PREPAID",EDATE(DATE(YEAR(INDEX(Contracts!$J$2:$J$151,$AB270)),MONTH(INDEX(Contracts!$J$2:$J$151,$AB270)),1),IF(INDEX(Contracts!$N$2:$N$151,$AB270)="",12,INDEX(Contracts!$N$2:$N$151,$AB270))-1),IF(INDEX(Contracts!$I$2:$I$151,$AB270)="MONTHLY",IF(INDEX(Contracts!$K$2:$K$151,$AB270)="",2958101,INDEX(Contracts!$K$2:$K$151,$AB270)),0)),IF($Z270="A",EDATE(DATE(YEAR(INDEX(Fixed_Assets!$G$2:$G$201,$AB270)),MONTH(INDEX(Fixed_Assets!$G$2:$G$201,$AB270)),1),INDEX(Fixed_Assets!$J$2:$J$201,$AB270)-1),IF($Z270="F",MIN(IF(INDEX(Workforce!$J$2:$J$151,MATCH(INDEX(FTE_Allocation!$A$2:$A$201,$AB270),Workforce!$A$2:$A$151,0))="",2958101,INDEX(Workforce!$J$2:$J$151,MATCH(INDEX(FTE_Allocation!$A$2:$A$201,$AB270),Workforce!$A$2:$A$151,0))),IF(INDEX(FTE_Allocation!$J$2:$J$201,$AB270)="",2958101,INDEX(FTE_Allocation!$J$2:$J$201,$AB270))),"")))</f>
        <v/>
      </c>
      <c r="AG270" s="19">
        <f>IF($Z270="C",IF(INDEX(Contracts!$I$2:$I$151,$AB270)="PREPAID",INDEX(Contracts!$M$2:$M$151,$AB270)/IF(INDEX(Contracts!$N$2:$N$151,$AB270)="",12,INDEX(Contracts!$N$2:$N$151,$AB270)),IF(INDEX(Contracts!$I$2:$I$151,$AB270)="MONTHLY",INDEX(Contracts!$M$2:$M$151,$AB270),0))*(1-N(INDEX(Contracts!$O$2:$O$151,$AB270))),IF($Z270="A",INDEX(Fixed_Assets!$H$2:$H$201,$AB270)/INDEX(Fixed_Assets!$J$2:$J$201,$AB270),IF($Z270="F",INDEX(Workforce!$F$2:$F$151,MATCH(INDEX(FTE_Allocation!$A$2:$A$201,$AB270),Workforce!$A$2:$A$151,0))*N(INDEX(FTE_Allocation!$F$2:$H$201,$AB270,$AC270)),"")))</f>
        <v/>
      </c>
    </row>
    <row r="271">
      <c r="A271" s="7">
        <f>IF($Z271="","",$AD271)</f>
        <v/>
      </c>
      <c r="B271" s="7">
        <f>IF($Z271="C",INDEX(Contracts!$D$2:$D$151,$AB271)&amp;"",IF($Z271="A",INDEX(Fixed_Assets!$C$2:$C$201,$AB271)&amp;"",IF($Z271="F",INDEX(Workforce!$B$2:$B$151,MATCH(INDEX(FTE_Allocation!$A$2:$A$201,$AB271),Workforce!$A$2:$A$151,0))&amp;"","")))</f>
        <v/>
      </c>
      <c r="C271" s="7">
        <f>IF($Z271="C",INDEX(Contracts!$E$2:$E$151,$AB271)&amp;"",IF($Z271="A",INDEX(Fixed_Assets!$D$2:$D$201,$AB271)&amp;"",IF($Z271="F",INDEX(FTE_Allocation!$C$2:$C$201,$AB271)&amp;"","")))</f>
        <v/>
      </c>
      <c r="D271" s="7">
        <f>IF($Z271="C",INDEX(Contracts!$B$2:$B$151,$AB271)&amp;"",IF($Z271="A",INDEX(Fixed_Assets!$B$2:$B$201,$AB271)&amp;"",IF($Z271="F",INDEX(FTE_Allocation!$B$2:$B$201,$AB271)&amp;"","")))</f>
        <v/>
      </c>
      <c r="E271" s="7">
        <f>IF($Z271="C",INDEX(Contracts!$P$2:$P$151,$AB271)&amp;"",IF($Z271="A",INDEX(Fixed_Assets!$K$2:$K$201,$AB271)&amp;"",IF($Z271="F",IF(INDEX(FTE_Allocation!$D$2:$D$201,$AB271)="PROJECT",IFERROR(INDEX(Projects!$D:$D,MATCH(INDEX(FTE_Allocation!$E$2:$E$201,$AB271),Projects!$A:$A,0))&amp;"","#PROJECT?"),INDEX(FTE_Allocation!$E$2:$E$201,$AB271)&amp;""),"")))</f>
        <v/>
      </c>
      <c r="F271" s="7">
        <f>IF($Z271="C",INDEX(Contracts!$Q$2:$Q$151,$AB271)&amp;"",IF($Z271="A",INDEX(Fixed_Assets!$L$2:$L$201,$AB271)&amp;"",IF($Z271="F",INDEX(Workforce!$K$2:$K$151,MATCH(INDEX(FTE_Allocation!$A$2:$A$201,$AB271),Workforce!$A$2:$A$151,0))&amp;"","")))</f>
        <v/>
      </c>
      <c r="G271" s="7">
        <f>IF($Z271="C",INDEX(Contracts!$F$2:$F$151,$AB271)&amp;" / "&amp;INDEX(Contracts!$G$2:$G$151,$AB271),IF($Z271="A",INDEX(Fixed_Assets!$E$2:$E$201,$AB271)&amp;"",IF($Z271="F","Personnel "&amp;INDEX(FTE_Allocation!$A$2:$A$201,$AB271)&amp;IF(INDEX(FTE_Allocation!$D$2:$D$201,$AB271)="PROJECT"," ("&amp;INDEX(FTE_Allocation!$E$2:$E$201,$AB271)&amp;")",""),"")))</f>
        <v/>
      </c>
      <c r="H271" s="7">
        <f>IF($Z271="C","CONTRACT",IF($Z271="A","ASSET",IF($Z271="F","WORKFORCE","")))</f>
        <v/>
      </c>
      <c r="I271" s="7">
        <f>IF($Z271="C",INDEX(Contracts!$L$2:$L$151,$AB271)&amp;"",IF($Z271="A",INDEX(Fixed_Assets!$I$2:$I$201,$AB271)&amp;"",IF($Z271="F",INDEX(Workforce!$G$2:$G$151,MATCH(INDEX(FTE_Allocation!$A$2:$A$201,$AB271),Workforce!$A$2:$A$151,0))&amp;"","")))</f>
        <v/>
      </c>
      <c r="J271" s="18">
        <f>IF($Z271="","",IF(AND(DATE($AD271,1,1)&gt;=$AE271,DATE($AD271,1,1)&lt;=$AF271),ROUND($AG271,2),0))</f>
        <v/>
      </c>
      <c r="K271" s="18">
        <f>IF($Z271="","",IF(AND(DATE($AD271,2,1)&gt;=$AE271,DATE($AD271,2,1)&lt;=$AF271),ROUND($AG271,2),0))</f>
        <v/>
      </c>
      <c r="L271" s="18">
        <f>IF($Z271="","",IF(AND(DATE($AD271,3,1)&gt;=$AE271,DATE($AD271,3,1)&lt;=$AF271),ROUND($AG271,2),0))</f>
        <v/>
      </c>
      <c r="M271" s="18">
        <f>IF($Z271="","",IF(AND(DATE($AD271,4,1)&gt;=$AE271,DATE($AD271,4,1)&lt;=$AF271),ROUND($AG271,2),0))</f>
        <v/>
      </c>
      <c r="N271" s="18">
        <f>IF($Z271="","",IF(AND(DATE($AD271,5,1)&gt;=$AE271,DATE($AD271,5,1)&lt;=$AF271),ROUND($AG271,2),0))</f>
        <v/>
      </c>
      <c r="O271" s="18">
        <f>IF($Z271="","",IF(AND(DATE($AD271,6,1)&gt;=$AE271,DATE($AD271,6,1)&lt;=$AF271),ROUND($AG271,2),0))</f>
        <v/>
      </c>
      <c r="P271" s="18">
        <f>IF($Z271="","",IF(AND(DATE($AD271,7,1)&gt;=$AE271,DATE($AD271,7,1)&lt;=$AF271),ROUND($AG271,2),0))</f>
        <v/>
      </c>
      <c r="Q271" s="18">
        <f>IF($Z271="","",IF(AND(DATE($AD271,8,1)&gt;=$AE271,DATE($AD271,8,1)&lt;=$AF271),ROUND($AG271,2),0))</f>
        <v/>
      </c>
      <c r="R271" s="18">
        <f>IF($Z271="","",IF(AND(DATE($AD271,9,1)&gt;=$AE271,DATE($AD271,9,1)&lt;=$AF271),ROUND($AG271,2),0))</f>
        <v/>
      </c>
      <c r="S271" s="18">
        <f>IF($Z271="","",IF(AND(DATE($AD271,10,1)&gt;=$AE271,DATE($AD271,10,1)&lt;=$AF271),ROUND($AG271,2),0))</f>
        <v/>
      </c>
      <c r="T271" s="18">
        <f>IF($Z271="","",IF(AND(DATE($AD271,11,1)&gt;=$AE271,DATE($AD271,11,1)&lt;=$AF271),ROUND($AG271,2),0))</f>
        <v/>
      </c>
      <c r="U271" s="18">
        <f>IF($Z271="","",IF(AND(DATE($AD271,12,1)&gt;=$AE271,DATE($AD271,12,1)&lt;=$AF271),ROUND($AG271,2),0))</f>
        <v/>
      </c>
      <c r="V271" s="7">
        <f>IF($Z271="C","Generated from "&amp;INDEX(Contracts!$A$2:$A$151,$AB271),IF($Z271="A","Generated from "&amp;INDEX(Fixed_Assets!$A$2:$A$201,$AB271),IF($Z271="F","Generated from "&amp;INDEX(FTE_Allocation!$A$2:$A$201,$AB271),"")))</f>
        <v/>
      </c>
      <c r="X271" s="19">
        <f>IF($Z271="","",SUM(J271:U271))</f>
        <v/>
      </c>
      <c r="Y271" s="20">
        <f>ROW()-1</f>
        <v/>
      </c>
      <c r="Z271" s="20">
        <f>IF($Y271&lt;=Settings!$B$4*3,"C",IF($Y271&lt;=(Settings!$B$4+Settings!$B$5)*3,"A",IF($Y271&lt;=(Settings!$B$4+Settings!$B$5+Settings!$B$6)*3,"F","")))</f>
        <v/>
      </c>
      <c r="AA271" s="20">
        <f>IF($Z271="C",$Y271,IF($Z271="A",$Y271-Settings!$B$4*3,IF($Z271="F",$Y271-(Settings!$B$4+Settings!$B$5)*3,"")))</f>
        <v/>
      </c>
      <c r="AB271" s="20">
        <f>IF($Z271="","",INT(($AA271-1)/3)+1)</f>
        <v/>
      </c>
      <c r="AC271" s="20">
        <f>IF($Z271="","",MOD($AA271-1,3)+1)</f>
        <v/>
      </c>
      <c r="AD271" s="20">
        <f>IF($Z271="","",Settings!$B$2+$AC271-1)</f>
        <v/>
      </c>
      <c r="AE271" s="21">
        <f>IF($Z271="C",DATE(YEAR(INDEX(Contracts!$J$2:$J$151,$AB271)),MONTH(INDEX(Contracts!$J$2:$J$151,$AB271)),1),IF($Z271="A",DATE(YEAR(INDEX(Fixed_Assets!$G$2:$G$201,$AB271)),MONTH(INDEX(Fixed_Assets!$G$2:$G$201,$AB271)),1),IF($Z271="F",DATE(YEAR(MAX(N(INDEX(Workforce!$I$2:$I$151,MATCH(INDEX(FTE_Allocation!$A$2:$A$201,$AB271),Workforce!$A$2:$A$151,0))),N(INDEX(FTE_Allocation!$I$2:$I$201,$AB271)))),MONTH(MAX(N(INDEX(Workforce!$I$2:$I$151,MATCH(INDEX(FTE_Allocation!$A$2:$A$201,$AB271),Workforce!$A$2:$A$151,0))),N(INDEX(FTE_Allocation!$I$2:$I$201,$AB271)))),1),"")))</f>
        <v/>
      </c>
      <c r="AF271" s="21">
        <f>IF($Z271="C",IF(INDEX(Contracts!$I$2:$I$151,$AB271)="PREPAID",EDATE(DATE(YEAR(INDEX(Contracts!$J$2:$J$151,$AB271)),MONTH(INDEX(Contracts!$J$2:$J$151,$AB271)),1),IF(INDEX(Contracts!$N$2:$N$151,$AB271)="",12,INDEX(Contracts!$N$2:$N$151,$AB271))-1),IF(INDEX(Contracts!$I$2:$I$151,$AB271)="MONTHLY",IF(INDEX(Contracts!$K$2:$K$151,$AB271)="",2958101,INDEX(Contracts!$K$2:$K$151,$AB271)),0)),IF($Z271="A",EDATE(DATE(YEAR(INDEX(Fixed_Assets!$G$2:$G$201,$AB271)),MONTH(INDEX(Fixed_Assets!$G$2:$G$201,$AB271)),1),INDEX(Fixed_Assets!$J$2:$J$201,$AB271)-1),IF($Z271="F",MIN(IF(INDEX(Workforce!$J$2:$J$151,MATCH(INDEX(FTE_Allocation!$A$2:$A$201,$AB271),Workforce!$A$2:$A$151,0))="",2958101,INDEX(Workforce!$J$2:$J$151,MATCH(INDEX(FTE_Allocation!$A$2:$A$201,$AB271),Workforce!$A$2:$A$151,0))),IF(INDEX(FTE_Allocation!$J$2:$J$201,$AB271)="",2958101,INDEX(FTE_Allocation!$J$2:$J$201,$AB271))),"")))</f>
        <v/>
      </c>
      <c r="AG271" s="19">
        <f>IF($Z271="C",IF(INDEX(Contracts!$I$2:$I$151,$AB271)="PREPAID",INDEX(Contracts!$M$2:$M$151,$AB271)/IF(INDEX(Contracts!$N$2:$N$151,$AB271)="",12,INDEX(Contracts!$N$2:$N$151,$AB271)),IF(INDEX(Contracts!$I$2:$I$151,$AB271)="MONTHLY",INDEX(Contracts!$M$2:$M$151,$AB271),0))*(1-N(INDEX(Contracts!$O$2:$O$151,$AB271))),IF($Z271="A",INDEX(Fixed_Assets!$H$2:$H$201,$AB271)/INDEX(Fixed_Assets!$J$2:$J$201,$AB271),IF($Z271="F",INDEX(Workforce!$F$2:$F$151,MATCH(INDEX(FTE_Allocation!$A$2:$A$201,$AB271),Workforce!$A$2:$A$151,0))*N(INDEX(FTE_Allocation!$F$2:$H$201,$AB271,$AC271)),"")))</f>
        <v/>
      </c>
    </row>
    <row r="272">
      <c r="A272" s="7">
        <f>IF($Z272="","",$AD272)</f>
        <v/>
      </c>
      <c r="B272" s="7">
        <f>IF($Z272="C",INDEX(Contracts!$D$2:$D$151,$AB272)&amp;"",IF($Z272="A",INDEX(Fixed_Assets!$C$2:$C$201,$AB272)&amp;"",IF($Z272="F",INDEX(Workforce!$B$2:$B$151,MATCH(INDEX(FTE_Allocation!$A$2:$A$201,$AB272),Workforce!$A$2:$A$151,0))&amp;"","")))</f>
        <v/>
      </c>
      <c r="C272" s="7">
        <f>IF($Z272="C",INDEX(Contracts!$E$2:$E$151,$AB272)&amp;"",IF($Z272="A",INDEX(Fixed_Assets!$D$2:$D$201,$AB272)&amp;"",IF($Z272="F",INDEX(FTE_Allocation!$C$2:$C$201,$AB272)&amp;"","")))</f>
        <v/>
      </c>
      <c r="D272" s="7">
        <f>IF($Z272="C",INDEX(Contracts!$B$2:$B$151,$AB272)&amp;"",IF($Z272="A",INDEX(Fixed_Assets!$B$2:$B$201,$AB272)&amp;"",IF($Z272="F",INDEX(FTE_Allocation!$B$2:$B$201,$AB272)&amp;"","")))</f>
        <v/>
      </c>
      <c r="E272" s="7">
        <f>IF($Z272="C",INDEX(Contracts!$P$2:$P$151,$AB272)&amp;"",IF($Z272="A",INDEX(Fixed_Assets!$K$2:$K$201,$AB272)&amp;"",IF($Z272="F",IF(INDEX(FTE_Allocation!$D$2:$D$201,$AB272)="PROJECT",IFERROR(INDEX(Projects!$D:$D,MATCH(INDEX(FTE_Allocation!$E$2:$E$201,$AB272),Projects!$A:$A,0))&amp;"","#PROJECT?"),INDEX(FTE_Allocation!$E$2:$E$201,$AB272)&amp;""),"")))</f>
        <v/>
      </c>
      <c r="F272" s="7">
        <f>IF($Z272="C",INDEX(Contracts!$Q$2:$Q$151,$AB272)&amp;"",IF($Z272="A",INDEX(Fixed_Assets!$L$2:$L$201,$AB272)&amp;"",IF($Z272="F",INDEX(Workforce!$K$2:$K$151,MATCH(INDEX(FTE_Allocation!$A$2:$A$201,$AB272),Workforce!$A$2:$A$151,0))&amp;"","")))</f>
        <v/>
      </c>
      <c r="G272" s="7">
        <f>IF($Z272="C",INDEX(Contracts!$F$2:$F$151,$AB272)&amp;" / "&amp;INDEX(Contracts!$G$2:$G$151,$AB272),IF($Z272="A",INDEX(Fixed_Assets!$E$2:$E$201,$AB272)&amp;"",IF($Z272="F","Personnel "&amp;INDEX(FTE_Allocation!$A$2:$A$201,$AB272)&amp;IF(INDEX(FTE_Allocation!$D$2:$D$201,$AB272)="PROJECT"," ("&amp;INDEX(FTE_Allocation!$E$2:$E$201,$AB272)&amp;")",""),"")))</f>
        <v/>
      </c>
      <c r="H272" s="7">
        <f>IF($Z272="C","CONTRACT",IF($Z272="A","ASSET",IF($Z272="F","WORKFORCE","")))</f>
        <v/>
      </c>
      <c r="I272" s="7">
        <f>IF($Z272="C",INDEX(Contracts!$L$2:$L$151,$AB272)&amp;"",IF($Z272="A",INDEX(Fixed_Assets!$I$2:$I$201,$AB272)&amp;"",IF($Z272="F",INDEX(Workforce!$G$2:$G$151,MATCH(INDEX(FTE_Allocation!$A$2:$A$201,$AB272),Workforce!$A$2:$A$151,0))&amp;"","")))</f>
        <v/>
      </c>
      <c r="J272" s="18">
        <f>IF($Z272="","",IF(AND(DATE($AD272,1,1)&gt;=$AE272,DATE($AD272,1,1)&lt;=$AF272),ROUND($AG272,2),0))</f>
        <v/>
      </c>
      <c r="K272" s="18">
        <f>IF($Z272="","",IF(AND(DATE($AD272,2,1)&gt;=$AE272,DATE($AD272,2,1)&lt;=$AF272),ROUND($AG272,2),0))</f>
        <v/>
      </c>
      <c r="L272" s="18">
        <f>IF($Z272="","",IF(AND(DATE($AD272,3,1)&gt;=$AE272,DATE($AD272,3,1)&lt;=$AF272),ROUND($AG272,2),0))</f>
        <v/>
      </c>
      <c r="M272" s="18">
        <f>IF($Z272="","",IF(AND(DATE($AD272,4,1)&gt;=$AE272,DATE($AD272,4,1)&lt;=$AF272),ROUND($AG272,2),0))</f>
        <v/>
      </c>
      <c r="N272" s="18">
        <f>IF($Z272="","",IF(AND(DATE($AD272,5,1)&gt;=$AE272,DATE($AD272,5,1)&lt;=$AF272),ROUND($AG272,2),0))</f>
        <v/>
      </c>
      <c r="O272" s="18">
        <f>IF($Z272="","",IF(AND(DATE($AD272,6,1)&gt;=$AE272,DATE($AD272,6,1)&lt;=$AF272),ROUND($AG272,2),0))</f>
        <v/>
      </c>
      <c r="P272" s="18">
        <f>IF($Z272="","",IF(AND(DATE($AD272,7,1)&gt;=$AE272,DATE($AD272,7,1)&lt;=$AF272),ROUND($AG272,2),0))</f>
        <v/>
      </c>
      <c r="Q272" s="18">
        <f>IF($Z272="","",IF(AND(DATE($AD272,8,1)&gt;=$AE272,DATE($AD272,8,1)&lt;=$AF272),ROUND($AG272,2),0))</f>
        <v/>
      </c>
      <c r="R272" s="18">
        <f>IF($Z272="","",IF(AND(DATE($AD272,9,1)&gt;=$AE272,DATE($AD272,9,1)&lt;=$AF272),ROUND($AG272,2),0))</f>
        <v/>
      </c>
      <c r="S272" s="18">
        <f>IF($Z272="","",IF(AND(DATE($AD272,10,1)&gt;=$AE272,DATE($AD272,10,1)&lt;=$AF272),ROUND($AG272,2),0))</f>
        <v/>
      </c>
      <c r="T272" s="18">
        <f>IF($Z272="","",IF(AND(DATE($AD272,11,1)&gt;=$AE272,DATE($AD272,11,1)&lt;=$AF272),ROUND($AG272,2),0))</f>
        <v/>
      </c>
      <c r="U272" s="18">
        <f>IF($Z272="","",IF(AND(DATE($AD272,12,1)&gt;=$AE272,DATE($AD272,12,1)&lt;=$AF272),ROUND($AG272,2),0))</f>
        <v/>
      </c>
      <c r="V272" s="7">
        <f>IF($Z272="C","Generated from "&amp;INDEX(Contracts!$A$2:$A$151,$AB272),IF($Z272="A","Generated from "&amp;INDEX(Fixed_Assets!$A$2:$A$201,$AB272),IF($Z272="F","Generated from "&amp;INDEX(FTE_Allocation!$A$2:$A$201,$AB272),"")))</f>
        <v/>
      </c>
      <c r="X272" s="19">
        <f>IF($Z272="","",SUM(J272:U272))</f>
        <v/>
      </c>
      <c r="Y272" s="20">
        <f>ROW()-1</f>
        <v/>
      </c>
      <c r="Z272" s="20">
        <f>IF($Y272&lt;=Settings!$B$4*3,"C",IF($Y272&lt;=(Settings!$B$4+Settings!$B$5)*3,"A",IF($Y272&lt;=(Settings!$B$4+Settings!$B$5+Settings!$B$6)*3,"F","")))</f>
        <v/>
      </c>
      <c r="AA272" s="20">
        <f>IF($Z272="C",$Y272,IF($Z272="A",$Y272-Settings!$B$4*3,IF($Z272="F",$Y272-(Settings!$B$4+Settings!$B$5)*3,"")))</f>
        <v/>
      </c>
      <c r="AB272" s="20">
        <f>IF($Z272="","",INT(($AA272-1)/3)+1)</f>
        <v/>
      </c>
      <c r="AC272" s="20">
        <f>IF($Z272="","",MOD($AA272-1,3)+1)</f>
        <v/>
      </c>
      <c r="AD272" s="20">
        <f>IF($Z272="","",Settings!$B$2+$AC272-1)</f>
        <v/>
      </c>
      <c r="AE272" s="21">
        <f>IF($Z272="C",DATE(YEAR(INDEX(Contracts!$J$2:$J$151,$AB272)),MONTH(INDEX(Contracts!$J$2:$J$151,$AB272)),1),IF($Z272="A",DATE(YEAR(INDEX(Fixed_Assets!$G$2:$G$201,$AB272)),MONTH(INDEX(Fixed_Assets!$G$2:$G$201,$AB272)),1),IF($Z272="F",DATE(YEAR(MAX(N(INDEX(Workforce!$I$2:$I$151,MATCH(INDEX(FTE_Allocation!$A$2:$A$201,$AB272),Workforce!$A$2:$A$151,0))),N(INDEX(FTE_Allocation!$I$2:$I$201,$AB272)))),MONTH(MAX(N(INDEX(Workforce!$I$2:$I$151,MATCH(INDEX(FTE_Allocation!$A$2:$A$201,$AB272),Workforce!$A$2:$A$151,0))),N(INDEX(FTE_Allocation!$I$2:$I$201,$AB272)))),1),"")))</f>
        <v/>
      </c>
      <c r="AF272" s="21">
        <f>IF($Z272="C",IF(INDEX(Contracts!$I$2:$I$151,$AB272)="PREPAID",EDATE(DATE(YEAR(INDEX(Contracts!$J$2:$J$151,$AB272)),MONTH(INDEX(Contracts!$J$2:$J$151,$AB272)),1),IF(INDEX(Contracts!$N$2:$N$151,$AB272)="",12,INDEX(Contracts!$N$2:$N$151,$AB272))-1),IF(INDEX(Contracts!$I$2:$I$151,$AB272)="MONTHLY",IF(INDEX(Contracts!$K$2:$K$151,$AB272)="",2958101,INDEX(Contracts!$K$2:$K$151,$AB272)),0)),IF($Z272="A",EDATE(DATE(YEAR(INDEX(Fixed_Assets!$G$2:$G$201,$AB272)),MONTH(INDEX(Fixed_Assets!$G$2:$G$201,$AB272)),1),INDEX(Fixed_Assets!$J$2:$J$201,$AB272)-1),IF($Z272="F",MIN(IF(INDEX(Workforce!$J$2:$J$151,MATCH(INDEX(FTE_Allocation!$A$2:$A$201,$AB272),Workforce!$A$2:$A$151,0))="",2958101,INDEX(Workforce!$J$2:$J$151,MATCH(INDEX(FTE_Allocation!$A$2:$A$201,$AB272),Workforce!$A$2:$A$151,0))),IF(INDEX(FTE_Allocation!$J$2:$J$201,$AB272)="",2958101,INDEX(FTE_Allocation!$J$2:$J$201,$AB272))),"")))</f>
        <v/>
      </c>
      <c r="AG272" s="19">
        <f>IF($Z272="C",IF(INDEX(Contracts!$I$2:$I$151,$AB272)="PREPAID",INDEX(Contracts!$M$2:$M$151,$AB272)/IF(INDEX(Contracts!$N$2:$N$151,$AB272)="",12,INDEX(Contracts!$N$2:$N$151,$AB272)),IF(INDEX(Contracts!$I$2:$I$151,$AB272)="MONTHLY",INDEX(Contracts!$M$2:$M$151,$AB272),0))*(1-N(INDEX(Contracts!$O$2:$O$151,$AB272))),IF($Z272="A",INDEX(Fixed_Assets!$H$2:$H$201,$AB272)/INDEX(Fixed_Assets!$J$2:$J$201,$AB272),IF($Z272="F",INDEX(Workforce!$F$2:$F$151,MATCH(INDEX(FTE_Allocation!$A$2:$A$201,$AB272),Workforce!$A$2:$A$151,0))*N(INDEX(FTE_Allocation!$F$2:$H$201,$AB272,$AC272)),"")))</f>
        <v/>
      </c>
    </row>
    <row r="273">
      <c r="A273" s="7">
        <f>IF($Z273="","",$AD273)</f>
        <v/>
      </c>
      <c r="B273" s="7">
        <f>IF($Z273="C",INDEX(Contracts!$D$2:$D$151,$AB273)&amp;"",IF($Z273="A",INDEX(Fixed_Assets!$C$2:$C$201,$AB273)&amp;"",IF($Z273="F",INDEX(Workforce!$B$2:$B$151,MATCH(INDEX(FTE_Allocation!$A$2:$A$201,$AB273),Workforce!$A$2:$A$151,0))&amp;"","")))</f>
        <v/>
      </c>
      <c r="C273" s="7">
        <f>IF($Z273="C",INDEX(Contracts!$E$2:$E$151,$AB273)&amp;"",IF($Z273="A",INDEX(Fixed_Assets!$D$2:$D$201,$AB273)&amp;"",IF($Z273="F",INDEX(FTE_Allocation!$C$2:$C$201,$AB273)&amp;"","")))</f>
        <v/>
      </c>
      <c r="D273" s="7">
        <f>IF($Z273="C",INDEX(Contracts!$B$2:$B$151,$AB273)&amp;"",IF($Z273="A",INDEX(Fixed_Assets!$B$2:$B$201,$AB273)&amp;"",IF($Z273="F",INDEX(FTE_Allocation!$B$2:$B$201,$AB273)&amp;"","")))</f>
        <v/>
      </c>
      <c r="E273" s="7">
        <f>IF($Z273="C",INDEX(Contracts!$P$2:$P$151,$AB273)&amp;"",IF($Z273="A",INDEX(Fixed_Assets!$K$2:$K$201,$AB273)&amp;"",IF($Z273="F",IF(INDEX(FTE_Allocation!$D$2:$D$201,$AB273)="PROJECT",IFERROR(INDEX(Projects!$D:$D,MATCH(INDEX(FTE_Allocation!$E$2:$E$201,$AB273),Projects!$A:$A,0))&amp;"","#PROJECT?"),INDEX(FTE_Allocation!$E$2:$E$201,$AB273)&amp;""),"")))</f>
        <v/>
      </c>
      <c r="F273" s="7">
        <f>IF($Z273="C",INDEX(Contracts!$Q$2:$Q$151,$AB273)&amp;"",IF($Z273="A",INDEX(Fixed_Assets!$L$2:$L$201,$AB273)&amp;"",IF($Z273="F",INDEX(Workforce!$K$2:$K$151,MATCH(INDEX(FTE_Allocation!$A$2:$A$201,$AB273),Workforce!$A$2:$A$151,0))&amp;"","")))</f>
        <v/>
      </c>
      <c r="G273" s="7">
        <f>IF($Z273="C",INDEX(Contracts!$F$2:$F$151,$AB273)&amp;" / "&amp;INDEX(Contracts!$G$2:$G$151,$AB273),IF($Z273="A",INDEX(Fixed_Assets!$E$2:$E$201,$AB273)&amp;"",IF($Z273="F","Personnel "&amp;INDEX(FTE_Allocation!$A$2:$A$201,$AB273)&amp;IF(INDEX(FTE_Allocation!$D$2:$D$201,$AB273)="PROJECT"," ("&amp;INDEX(FTE_Allocation!$E$2:$E$201,$AB273)&amp;")",""),"")))</f>
        <v/>
      </c>
      <c r="H273" s="7">
        <f>IF($Z273="C","CONTRACT",IF($Z273="A","ASSET",IF($Z273="F","WORKFORCE","")))</f>
        <v/>
      </c>
      <c r="I273" s="7">
        <f>IF($Z273="C",INDEX(Contracts!$L$2:$L$151,$AB273)&amp;"",IF($Z273="A",INDEX(Fixed_Assets!$I$2:$I$201,$AB273)&amp;"",IF($Z273="F",INDEX(Workforce!$G$2:$G$151,MATCH(INDEX(FTE_Allocation!$A$2:$A$201,$AB273),Workforce!$A$2:$A$151,0))&amp;"","")))</f>
        <v/>
      </c>
      <c r="J273" s="18">
        <f>IF($Z273="","",IF(AND(DATE($AD273,1,1)&gt;=$AE273,DATE($AD273,1,1)&lt;=$AF273),ROUND($AG273,2),0))</f>
        <v/>
      </c>
      <c r="K273" s="18">
        <f>IF($Z273="","",IF(AND(DATE($AD273,2,1)&gt;=$AE273,DATE($AD273,2,1)&lt;=$AF273),ROUND($AG273,2),0))</f>
        <v/>
      </c>
      <c r="L273" s="18">
        <f>IF($Z273="","",IF(AND(DATE($AD273,3,1)&gt;=$AE273,DATE($AD273,3,1)&lt;=$AF273),ROUND($AG273,2),0))</f>
        <v/>
      </c>
      <c r="M273" s="18">
        <f>IF($Z273="","",IF(AND(DATE($AD273,4,1)&gt;=$AE273,DATE($AD273,4,1)&lt;=$AF273),ROUND($AG273,2),0))</f>
        <v/>
      </c>
      <c r="N273" s="18">
        <f>IF($Z273="","",IF(AND(DATE($AD273,5,1)&gt;=$AE273,DATE($AD273,5,1)&lt;=$AF273),ROUND($AG273,2),0))</f>
        <v/>
      </c>
      <c r="O273" s="18">
        <f>IF($Z273="","",IF(AND(DATE($AD273,6,1)&gt;=$AE273,DATE($AD273,6,1)&lt;=$AF273),ROUND($AG273,2),0))</f>
        <v/>
      </c>
      <c r="P273" s="18">
        <f>IF($Z273="","",IF(AND(DATE($AD273,7,1)&gt;=$AE273,DATE($AD273,7,1)&lt;=$AF273),ROUND($AG273,2),0))</f>
        <v/>
      </c>
      <c r="Q273" s="18">
        <f>IF($Z273="","",IF(AND(DATE($AD273,8,1)&gt;=$AE273,DATE($AD273,8,1)&lt;=$AF273),ROUND($AG273,2),0))</f>
        <v/>
      </c>
      <c r="R273" s="18">
        <f>IF($Z273="","",IF(AND(DATE($AD273,9,1)&gt;=$AE273,DATE($AD273,9,1)&lt;=$AF273),ROUND($AG273,2),0))</f>
        <v/>
      </c>
      <c r="S273" s="18">
        <f>IF($Z273="","",IF(AND(DATE($AD273,10,1)&gt;=$AE273,DATE($AD273,10,1)&lt;=$AF273),ROUND($AG273,2),0))</f>
        <v/>
      </c>
      <c r="T273" s="18">
        <f>IF($Z273="","",IF(AND(DATE($AD273,11,1)&gt;=$AE273,DATE($AD273,11,1)&lt;=$AF273),ROUND($AG273,2),0))</f>
        <v/>
      </c>
      <c r="U273" s="18">
        <f>IF($Z273="","",IF(AND(DATE($AD273,12,1)&gt;=$AE273,DATE($AD273,12,1)&lt;=$AF273),ROUND($AG273,2),0))</f>
        <v/>
      </c>
      <c r="V273" s="7">
        <f>IF($Z273="C","Generated from "&amp;INDEX(Contracts!$A$2:$A$151,$AB273),IF($Z273="A","Generated from "&amp;INDEX(Fixed_Assets!$A$2:$A$201,$AB273),IF($Z273="F","Generated from "&amp;INDEX(FTE_Allocation!$A$2:$A$201,$AB273),"")))</f>
        <v/>
      </c>
      <c r="X273" s="19">
        <f>IF($Z273="","",SUM(J273:U273))</f>
        <v/>
      </c>
      <c r="Y273" s="20">
        <f>ROW()-1</f>
        <v/>
      </c>
      <c r="Z273" s="20">
        <f>IF($Y273&lt;=Settings!$B$4*3,"C",IF($Y273&lt;=(Settings!$B$4+Settings!$B$5)*3,"A",IF($Y273&lt;=(Settings!$B$4+Settings!$B$5+Settings!$B$6)*3,"F","")))</f>
        <v/>
      </c>
      <c r="AA273" s="20">
        <f>IF($Z273="C",$Y273,IF($Z273="A",$Y273-Settings!$B$4*3,IF($Z273="F",$Y273-(Settings!$B$4+Settings!$B$5)*3,"")))</f>
        <v/>
      </c>
      <c r="AB273" s="20">
        <f>IF($Z273="","",INT(($AA273-1)/3)+1)</f>
        <v/>
      </c>
      <c r="AC273" s="20">
        <f>IF($Z273="","",MOD($AA273-1,3)+1)</f>
        <v/>
      </c>
      <c r="AD273" s="20">
        <f>IF($Z273="","",Settings!$B$2+$AC273-1)</f>
        <v/>
      </c>
      <c r="AE273" s="21">
        <f>IF($Z273="C",DATE(YEAR(INDEX(Contracts!$J$2:$J$151,$AB273)),MONTH(INDEX(Contracts!$J$2:$J$151,$AB273)),1),IF($Z273="A",DATE(YEAR(INDEX(Fixed_Assets!$G$2:$G$201,$AB273)),MONTH(INDEX(Fixed_Assets!$G$2:$G$201,$AB273)),1),IF($Z273="F",DATE(YEAR(MAX(N(INDEX(Workforce!$I$2:$I$151,MATCH(INDEX(FTE_Allocation!$A$2:$A$201,$AB273),Workforce!$A$2:$A$151,0))),N(INDEX(FTE_Allocation!$I$2:$I$201,$AB273)))),MONTH(MAX(N(INDEX(Workforce!$I$2:$I$151,MATCH(INDEX(FTE_Allocation!$A$2:$A$201,$AB273),Workforce!$A$2:$A$151,0))),N(INDEX(FTE_Allocation!$I$2:$I$201,$AB273)))),1),"")))</f>
        <v/>
      </c>
      <c r="AF273" s="21">
        <f>IF($Z273="C",IF(INDEX(Contracts!$I$2:$I$151,$AB273)="PREPAID",EDATE(DATE(YEAR(INDEX(Contracts!$J$2:$J$151,$AB273)),MONTH(INDEX(Contracts!$J$2:$J$151,$AB273)),1),IF(INDEX(Contracts!$N$2:$N$151,$AB273)="",12,INDEX(Contracts!$N$2:$N$151,$AB273))-1),IF(INDEX(Contracts!$I$2:$I$151,$AB273)="MONTHLY",IF(INDEX(Contracts!$K$2:$K$151,$AB273)="",2958101,INDEX(Contracts!$K$2:$K$151,$AB273)),0)),IF($Z273="A",EDATE(DATE(YEAR(INDEX(Fixed_Assets!$G$2:$G$201,$AB273)),MONTH(INDEX(Fixed_Assets!$G$2:$G$201,$AB273)),1),INDEX(Fixed_Assets!$J$2:$J$201,$AB273)-1),IF($Z273="F",MIN(IF(INDEX(Workforce!$J$2:$J$151,MATCH(INDEX(FTE_Allocation!$A$2:$A$201,$AB273),Workforce!$A$2:$A$151,0))="",2958101,INDEX(Workforce!$J$2:$J$151,MATCH(INDEX(FTE_Allocation!$A$2:$A$201,$AB273),Workforce!$A$2:$A$151,0))),IF(INDEX(FTE_Allocation!$J$2:$J$201,$AB273)="",2958101,INDEX(FTE_Allocation!$J$2:$J$201,$AB273))),"")))</f>
        <v/>
      </c>
      <c r="AG273" s="19">
        <f>IF($Z273="C",IF(INDEX(Contracts!$I$2:$I$151,$AB273)="PREPAID",INDEX(Contracts!$M$2:$M$151,$AB273)/IF(INDEX(Contracts!$N$2:$N$151,$AB273)="",12,INDEX(Contracts!$N$2:$N$151,$AB273)),IF(INDEX(Contracts!$I$2:$I$151,$AB273)="MONTHLY",INDEX(Contracts!$M$2:$M$151,$AB273),0))*(1-N(INDEX(Contracts!$O$2:$O$151,$AB273))),IF($Z273="A",INDEX(Fixed_Assets!$H$2:$H$201,$AB273)/INDEX(Fixed_Assets!$J$2:$J$201,$AB273),IF($Z273="F",INDEX(Workforce!$F$2:$F$151,MATCH(INDEX(FTE_Allocation!$A$2:$A$201,$AB273),Workforce!$A$2:$A$151,0))*N(INDEX(FTE_Allocation!$F$2:$H$201,$AB273,$AC273)),"")))</f>
        <v/>
      </c>
    </row>
    <row r="274">
      <c r="A274" s="7">
        <f>IF($Z274="","",$AD274)</f>
        <v/>
      </c>
      <c r="B274" s="7">
        <f>IF($Z274="C",INDEX(Contracts!$D$2:$D$151,$AB274)&amp;"",IF($Z274="A",INDEX(Fixed_Assets!$C$2:$C$201,$AB274)&amp;"",IF($Z274="F",INDEX(Workforce!$B$2:$B$151,MATCH(INDEX(FTE_Allocation!$A$2:$A$201,$AB274),Workforce!$A$2:$A$151,0))&amp;"","")))</f>
        <v/>
      </c>
      <c r="C274" s="7">
        <f>IF($Z274="C",INDEX(Contracts!$E$2:$E$151,$AB274)&amp;"",IF($Z274="A",INDEX(Fixed_Assets!$D$2:$D$201,$AB274)&amp;"",IF($Z274="F",INDEX(FTE_Allocation!$C$2:$C$201,$AB274)&amp;"","")))</f>
        <v/>
      </c>
      <c r="D274" s="7">
        <f>IF($Z274="C",INDEX(Contracts!$B$2:$B$151,$AB274)&amp;"",IF($Z274="A",INDEX(Fixed_Assets!$B$2:$B$201,$AB274)&amp;"",IF($Z274="F",INDEX(FTE_Allocation!$B$2:$B$201,$AB274)&amp;"","")))</f>
        <v/>
      </c>
      <c r="E274" s="7">
        <f>IF($Z274="C",INDEX(Contracts!$P$2:$P$151,$AB274)&amp;"",IF($Z274="A",INDEX(Fixed_Assets!$K$2:$K$201,$AB274)&amp;"",IF($Z274="F",IF(INDEX(FTE_Allocation!$D$2:$D$201,$AB274)="PROJECT",IFERROR(INDEX(Projects!$D:$D,MATCH(INDEX(FTE_Allocation!$E$2:$E$201,$AB274),Projects!$A:$A,0))&amp;"","#PROJECT?"),INDEX(FTE_Allocation!$E$2:$E$201,$AB274)&amp;""),"")))</f>
        <v/>
      </c>
      <c r="F274" s="7">
        <f>IF($Z274="C",INDEX(Contracts!$Q$2:$Q$151,$AB274)&amp;"",IF($Z274="A",INDEX(Fixed_Assets!$L$2:$L$201,$AB274)&amp;"",IF($Z274="F",INDEX(Workforce!$K$2:$K$151,MATCH(INDEX(FTE_Allocation!$A$2:$A$201,$AB274),Workforce!$A$2:$A$151,0))&amp;"","")))</f>
        <v/>
      </c>
      <c r="G274" s="7">
        <f>IF($Z274="C",INDEX(Contracts!$F$2:$F$151,$AB274)&amp;" / "&amp;INDEX(Contracts!$G$2:$G$151,$AB274),IF($Z274="A",INDEX(Fixed_Assets!$E$2:$E$201,$AB274)&amp;"",IF($Z274="F","Personnel "&amp;INDEX(FTE_Allocation!$A$2:$A$201,$AB274)&amp;IF(INDEX(FTE_Allocation!$D$2:$D$201,$AB274)="PROJECT"," ("&amp;INDEX(FTE_Allocation!$E$2:$E$201,$AB274)&amp;")",""),"")))</f>
        <v/>
      </c>
      <c r="H274" s="7">
        <f>IF($Z274="C","CONTRACT",IF($Z274="A","ASSET",IF($Z274="F","WORKFORCE","")))</f>
        <v/>
      </c>
      <c r="I274" s="7">
        <f>IF($Z274="C",INDEX(Contracts!$L$2:$L$151,$AB274)&amp;"",IF($Z274="A",INDEX(Fixed_Assets!$I$2:$I$201,$AB274)&amp;"",IF($Z274="F",INDEX(Workforce!$G$2:$G$151,MATCH(INDEX(FTE_Allocation!$A$2:$A$201,$AB274),Workforce!$A$2:$A$151,0))&amp;"","")))</f>
        <v/>
      </c>
      <c r="J274" s="18">
        <f>IF($Z274="","",IF(AND(DATE($AD274,1,1)&gt;=$AE274,DATE($AD274,1,1)&lt;=$AF274),ROUND($AG274,2),0))</f>
        <v/>
      </c>
      <c r="K274" s="18">
        <f>IF($Z274="","",IF(AND(DATE($AD274,2,1)&gt;=$AE274,DATE($AD274,2,1)&lt;=$AF274),ROUND($AG274,2),0))</f>
        <v/>
      </c>
      <c r="L274" s="18">
        <f>IF($Z274="","",IF(AND(DATE($AD274,3,1)&gt;=$AE274,DATE($AD274,3,1)&lt;=$AF274),ROUND($AG274,2),0))</f>
        <v/>
      </c>
      <c r="M274" s="18">
        <f>IF($Z274="","",IF(AND(DATE($AD274,4,1)&gt;=$AE274,DATE($AD274,4,1)&lt;=$AF274),ROUND($AG274,2),0))</f>
        <v/>
      </c>
      <c r="N274" s="18">
        <f>IF($Z274="","",IF(AND(DATE($AD274,5,1)&gt;=$AE274,DATE($AD274,5,1)&lt;=$AF274),ROUND($AG274,2),0))</f>
        <v/>
      </c>
      <c r="O274" s="18">
        <f>IF($Z274="","",IF(AND(DATE($AD274,6,1)&gt;=$AE274,DATE($AD274,6,1)&lt;=$AF274),ROUND($AG274,2),0))</f>
        <v/>
      </c>
      <c r="P274" s="18">
        <f>IF($Z274="","",IF(AND(DATE($AD274,7,1)&gt;=$AE274,DATE($AD274,7,1)&lt;=$AF274),ROUND($AG274,2),0))</f>
        <v/>
      </c>
      <c r="Q274" s="18">
        <f>IF($Z274="","",IF(AND(DATE($AD274,8,1)&gt;=$AE274,DATE($AD274,8,1)&lt;=$AF274),ROUND($AG274,2),0))</f>
        <v/>
      </c>
      <c r="R274" s="18">
        <f>IF($Z274="","",IF(AND(DATE($AD274,9,1)&gt;=$AE274,DATE($AD274,9,1)&lt;=$AF274),ROUND($AG274,2),0))</f>
        <v/>
      </c>
      <c r="S274" s="18">
        <f>IF($Z274="","",IF(AND(DATE($AD274,10,1)&gt;=$AE274,DATE($AD274,10,1)&lt;=$AF274),ROUND($AG274,2),0))</f>
        <v/>
      </c>
      <c r="T274" s="18">
        <f>IF($Z274="","",IF(AND(DATE($AD274,11,1)&gt;=$AE274,DATE($AD274,11,1)&lt;=$AF274),ROUND($AG274,2),0))</f>
        <v/>
      </c>
      <c r="U274" s="18">
        <f>IF($Z274="","",IF(AND(DATE($AD274,12,1)&gt;=$AE274,DATE($AD274,12,1)&lt;=$AF274),ROUND($AG274,2),0))</f>
        <v/>
      </c>
      <c r="V274" s="7">
        <f>IF($Z274="C","Generated from "&amp;INDEX(Contracts!$A$2:$A$151,$AB274),IF($Z274="A","Generated from "&amp;INDEX(Fixed_Assets!$A$2:$A$201,$AB274),IF($Z274="F","Generated from "&amp;INDEX(FTE_Allocation!$A$2:$A$201,$AB274),"")))</f>
        <v/>
      </c>
      <c r="X274" s="19">
        <f>IF($Z274="","",SUM(J274:U274))</f>
        <v/>
      </c>
      <c r="Y274" s="20">
        <f>ROW()-1</f>
        <v/>
      </c>
      <c r="Z274" s="20">
        <f>IF($Y274&lt;=Settings!$B$4*3,"C",IF($Y274&lt;=(Settings!$B$4+Settings!$B$5)*3,"A",IF($Y274&lt;=(Settings!$B$4+Settings!$B$5+Settings!$B$6)*3,"F","")))</f>
        <v/>
      </c>
      <c r="AA274" s="20">
        <f>IF($Z274="C",$Y274,IF($Z274="A",$Y274-Settings!$B$4*3,IF($Z274="F",$Y274-(Settings!$B$4+Settings!$B$5)*3,"")))</f>
        <v/>
      </c>
      <c r="AB274" s="20">
        <f>IF($Z274="","",INT(($AA274-1)/3)+1)</f>
        <v/>
      </c>
      <c r="AC274" s="20">
        <f>IF($Z274="","",MOD($AA274-1,3)+1)</f>
        <v/>
      </c>
      <c r="AD274" s="20">
        <f>IF($Z274="","",Settings!$B$2+$AC274-1)</f>
        <v/>
      </c>
      <c r="AE274" s="21">
        <f>IF($Z274="C",DATE(YEAR(INDEX(Contracts!$J$2:$J$151,$AB274)),MONTH(INDEX(Contracts!$J$2:$J$151,$AB274)),1),IF($Z274="A",DATE(YEAR(INDEX(Fixed_Assets!$G$2:$G$201,$AB274)),MONTH(INDEX(Fixed_Assets!$G$2:$G$201,$AB274)),1),IF($Z274="F",DATE(YEAR(MAX(N(INDEX(Workforce!$I$2:$I$151,MATCH(INDEX(FTE_Allocation!$A$2:$A$201,$AB274),Workforce!$A$2:$A$151,0))),N(INDEX(FTE_Allocation!$I$2:$I$201,$AB274)))),MONTH(MAX(N(INDEX(Workforce!$I$2:$I$151,MATCH(INDEX(FTE_Allocation!$A$2:$A$201,$AB274),Workforce!$A$2:$A$151,0))),N(INDEX(FTE_Allocation!$I$2:$I$201,$AB274)))),1),"")))</f>
        <v/>
      </c>
      <c r="AF274" s="21">
        <f>IF($Z274="C",IF(INDEX(Contracts!$I$2:$I$151,$AB274)="PREPAID",EDATE(DATE(YEAR(INDEX(Contracts!$J$2:$J$151,$AB274)),MONTH(INDEX(Contracts!$J$2:$J$151,$AB274)),1),IF(INDEX(Contracts!$N$2:$N$151,$AB274)="",12,INDEX(Contracts!$N$2:$N$151,$AB274))-1),IF(INDEX(Contracts!$I$2:$I$151,$AB274)="MONTHLY",IF(INDEX(Contracts!$K$2:$K$151,$AB274)="",2958101,INDEX(Contracts!$K$2:$K$151,$AB274)),0)),IF($Z274="A",EDATE(DATE(YEAR(INDEX(Fixed_Assets!$G$2:$G$201,$AB274)),MONTH(INDEX(Fixed_Assets!$G$2:$G$201,$AB274)),1),INDEX(Fixed_Assets!$J$2:$J$201,$AB274)-1),IF($Z274="F",MIN(IF(INDEX(Workforce!$J$2:$J$151,MATCH(INDEX(FTE_Allocation!$A$2:$A$201,$AB274),Workforce!$A$2:$A$151,0))="",2958101,INDEX(Workforce!$J$2:$J$151,MATCH(INDEX(FTE_Allocation!$A$2:$A$201,$AB274),Workforce!$A$2:$A$151,0))),IF(INDEX(FTE_Allocation!$J$2:$J$201,$AB274)="",2958101,INDEX(FTE_Allocation!$J$2:$J$201,$AB274))),"")))</f>
        <v/>
      </c>
      <c r="AG274" s="19">
        <f>IF($Z274="C",IF(INDEX(Contracts!$I$2:$I$151,$AB274)="PREPAID",INDEX(Contracts!$M$2:$M$151,$AB274)/IF(INDEX(Contracts!$N$2:$N$151,$AB274)="",12,INDEX(Contracts!$N$2:$N$151,$AB274)),IF(INDEX(Contracts!$I$2:$I$151,$AB274)="MONTHLY",INDEX(Contracts!$M$2:$M$151,$AB274),0))*(1-N(INDEX(Contracts!$O$2:$O$151,$AB274))),IF($Z274="A",INDEX(Fixed_Assets!$H$2:$H$201,$AB274)/INDEX(Fixed_Assets!$J$2:$J$201,$AB274),IF($Z274="F",INDEX(Workforce!$F$2:$F$151,MATCH(INDEX(FTE_Allocation!$A$2:$A$201,$AB274),Workforce!$A$2:$A$151,0))*N(INDEX(FTE_Allocation!$F$2:$H$201,$AB274,$AC274)),"")))</f>
        <v/>
      </c>
    </row>
    <row r="275">
      <c r="A275" s="7">
        <f>IF($Z275="","",$AD275)</f>
        <v/>
      </c>
      <c r="B275" s="7">
        <f>IF($Z275="C",INDEX(Contracts!$D$2:$D$151,$AB275)&amp;"",IF($Z275="A",INDEX(Fixed_Assets!$C$2:$C$201,$AB275)&amp;"",IF($Z275="F",INDEX(Workforce!$B$2:$B$151,MATCH(INDEX(FTE_Allocation!$A$2:$A$201,$AB275),Workforce!$A$2:$A$151,0))&amp;"","")))</f>
        <v/>
      </c>
      <c r="C275" s="7">
        <f>IF($Z275="C",INDEX(Contracts!$E$2:$E$151,$AB275)&amp;"",IF($Z275="A",INDEX(Fixed_Assets!$D$2:$D$201,$AB275)&amp;"",IF($Z275="F",INDEX(FTE_Allocation!$C$2:$C$201,$AB275)&amp;"","")))</f>
        <v/>
      </c>
      <c r="D275" s="7">
        <f>IF($Z275="C",INDEX(Contracts!$B$2:$B$151,$AB275)&amp;"",IF($Z275="A",INDEX(Fixed_Assets!$B$2:$B$201,$AB275)&amp;"",IF($Z275="F",INDEX(FTE_Allocation!$B$2:$B$201,$AB275)&amp;"","")))</f>
        <v/>
      </c>
      <c r="E275" s="7">
        <f>IF($Z275="C",INDEX(Contracts!$P$2:$P$151,$AB275)&amp;"",IF($Z275="A",INDEX(Fixed_Assets!$K$2:$K$201,$AB275)&amp;"",IF($Z275="F",IF(INDEX(FTE_Allocation!$D$2:$D$201,$AB275)="PROJECT",IFERROR(INDEX(Projects!$D:$D,MATCH(INDEX(FTE_Allocation!$E$2:$E$201,$AB275),Projects!$A:$A,0))&amp;"","#PROJECT?"),INDEX(FTE_Allocation!$E$2:$E$201,$AB275)&amp;""),"")))</f>
        <v/>
      </c>
      <c r="F275" s="7">
        <f>IF($Z275="C",INDEX(Contracts!$Q$2:$Q$151,$AB275)&amp;"",IF($Z275="A",INDEX(Fixed_Assets!$L$2:$L$201,$AB275)&amp;"",IF($Z275="F",INDEX(Workforce!$K$2:$K$151,MATCH(INDEX(FTE_Allocation!$A$2:$A$201,$AB275),Workforce!$A$2:$A$151,0))&amp;"","")))</f>
        <v/>
      </c>
      <c r="G275" s="7">
        <f>IF($Z275="C",INDEX(Contracts!$F$2:$F$151,$AB275)&amp;" / "&amp;INDEX(Contracts!$G$2:$G$151,$AB275),IF($Z275="A",INDEX(Fixed_Assets!$E$2:$E$201,$AB275)&amp;"",IF($Z275="F","Personnel "&amp;INDEX(FTE_Allocation!$A$2:$A$201,$AB275)&amp;IF(INDEX(FTE_Allocation!$D$2:$D$201,$AB275)="PROJECT"," ("&amp;INDEX(FTE_Allocation!$E$2:$E$201,$AB275)&amp;")",""),"")))</f>
        <v/>
      </c>
      <c r="H275" s="7">
        <f>IF($Z275="C","CONTRACT",IF($Z275="A","ASSET",IF($Z275="F","WORKFORCE","")))</f>
        <v/>
      </c>
      <c r="I275" s="7">
        <f>IF($Z275="C",INDEX(Contracts!$L$2:$L$151,$AB275)&amp;"",IF($Z275="A",INDEX(Fixed_Assets!$I$2:$I$201,$AB275)&amp;"",IF($Z275="F",INDEX(Workforce!$G$2:$G$151,MATCH(INDEX(FTE_Allocation!$A$2:$A$201,$AB275),Workforce!$A$2:$A$151,0))&amp;"","")))</f>
        <v/>
      </c>
      <c r="J275" s="18">
        <f>IF($Z275="","",IF(AND(DATE($AD275,1,1)&gt;=$AE275,DATE($AD275,1,1)&lt;=$AF275),ROUND($AG275,2),0))</f>
        <v/>
      </c>
      <c r="K275" s="18">
        <f>IF($Z275="","",IF(AND(DATE($AD275,2,1)&gt;=$AE275,DATE($AD275,2,1)&lt;=$AF275),ROUND($AG275,2),0))</f>
        <v/>
      </c>
      <c r="L275" s="18">
        <f>IF($Z275="","",IF(AND(DATE($AD275,3,1)&gt;=$AE275,DATE($AD275,3,1)&lt;=$AF275),ROUND($AG275,2),0))</f>
        <v/>
      </c>
      <c r="M275" s="18">
        <f>IF($Z275="","",IF(AND(DATE($AD275,4,1)&gt;=$AE275,DATE($AD275,4,1)&lt;=$AF275),ROUND($AG275,2),0))</f>
        <v/>
      </c>
      <c r="N275" s="18">
        <f>IF($Z275="","",IF(AND(DATE($AD275,5,1)&gt;=$AE275,DATE($AD275,5,1)&lt;=$AF275),ROUND($AG275,2),0))</f>
        <v/>
      </c>
      <c r="O275" s="18">
        <f>IF($Z275="","",IF(AND(DATE($AD275,6,1)&gt;=$AE275,DATE($AD275,6,1)&lt;=$AF275),ROUND($AG275,2),0))</f>
        <v/>
      </c>
      <c r="P275" s="18">
        <f>IF($Z275="","",IF(AND(DATE($AD275,7,1)&gt;=$AE275,DATE($AD275,7,1)&lt;=$AF275),ROUND($AG275,2),0))</f>
        <v/>
      </c>
      <c r="Q275" s="18">
        <f>IF($Z275="","",IF(AND(DATE($AD275,8,1)&gt;=$AE275,DATE($AD275,8,1)&lt;=$AF275),ROUND($AG275,2),0))</f>
        <v/>
      </c>
      <c r="R275" s="18">
        <f>IF($Z275="","",IF(AND(DATE($AD275,9,1)&gt;=$AE275,DATE($AD275,9,1)&lt;=$AF275),ROUND($AG275,2),0))</f>
        <v/>
      </c>
      <c r="S275" s="18">
        <f>IF($Z275="","",IF(AND(DATE($AD275,10,1)&gt;=$AE275,DATE($AD275,10,1)&lt;=$AF275),ROUND($AG275,2),0))</f>
        <v/>
      </c>
      <c r="T275" s="18">
        <f>IF($Z275="","",IF(AND(DATE($AD275,11,1)&gt;=$AE275,DATE($AD275,11,1)&lt;=$AF275),ROUND($AG275,2),0))</f>
        <v/>
      </c>
      <c r="U275" s="18">
        <f>IF($Z275="","",IF(AND(DATE($AD275,12,1)&gt;=$AE275,DATE($AD275,12,1)&lt;=$AF275),ROUND($AG275,2),0))</f>
        <v/>
      </c>
      <c r="V275" s="7">
        <f>IF($Z275="C","Generated from "&amp;INDEX(Contracts!$A$2:$A$151,$AB275),IF($Z275="A","Generated from "&amp;INDEX(Fixed_Assets!$A$2:$A$201,$AB275),IF($Z275="F","Generated from "&amp;INDEX(FTE_Allocation!$A$2:$A$201,$AB275),"")))</f>
        <v/>
      </c>
      <c r="X275" s="19">
        <f>IF($Z275="","",SUM(J275:U275))</f>
        <v/>
      </c>
      <c r="Y275" s="20">
        <f>ROW()-1</f>
        <v/>
      </c>
      <c r="Z275" s="20">
        <f>IF($Y275&lt;=Settings!$B$4*3,"C",IF($Y275&lt;=(Settings!$B$4+Settings!$B$5)*3,"A",IF($Y275&lt;=(Settings!$B$4+Settings!$B$5+Settings!$B$6)*3,"F","")))</f>
        <v/>
      </c>
      <c r="AA275" s="20">
        <f>IF($Z275="C",$Y275,IF($Z275="A",$Y275-Settings!$B$4*3,IF($Z275="F",$Y275-(Settings!$B$4+Settings!$B$5)*3,"")))</f>
        <v/>
      </c>
      <c r="AB275" s="20">
        <f>IF($Z275="","",INT(($AA275-1)/3)+1)</f>
        <v/>
      </c>
      <c r="AC275" s="20">
        <f>IF($Z275="","",MOD($AA275-1,3)+1)</f>
        <v/>
      </c>
      <c r="AD275" s="20">
        <f>IF($Z275="","",Settings!$B$2+$AC275-1)</f>
        <v/>
      </c>
      <c r="AE275" s="21">
        <f>IF($Z275="C",DATE(YEAR(INDEX(Contracts!$J$2:$J$151,$AB275)),MONTH(INDEX(Contracts!$J$2:$J$151,$AB275)),1),IF($Z275="A",DATE(YEAR(INDEX(Fixed_Assets!$G$2:$G$201,$AB275)),MONTH(INDEX(Fixed_Assets!$G$2:$G$201,$AB275)),1),IF($Z275="F",DATE(YEAR(MAX(N(INDEX(Workforce!$I$2:$I$151,MATCH(INDEX(FTE_Allocation!$A$2:$A$201,$AB275),Workforce!$A$2:$A$151,0))),N(INDEX(FTE_Allocation!$I$2:$I$201,$AB275)))),MONTH(MAX(N(INDEX(Workforce!$I$2:$I$151,MATCH(INDEX(FTE_Allocation!$A$2:$A$201,$AB275),Workforce!$A$2:$A$151,0))),N(INDEX(FTE_Allocation!$I$2:$I$201,$AB275)))),1),"")))</f>
        <v/>
      </c>
      <c r="AF275" s="21">
        <f>IF($Z275="C",IF(INDEX(Contracts!$I$2:$I$151,$AB275)="PREPAID",EDATE(DATE(YEAR(INDEX(Contracts!$J$2:$J$151,$AB275)),MONTH(INDEX(Contracts!$J$2:$J$151,$AB275)),1),IF(INDEX(Contracts!$N$2:$N$151,$AB275)="",12,INDEX(Contracts!$N$2:$N$151,$AB275))-1),IF(INDEX(Contracts!$I$2:$I$151,$AB275)="MONTHLY",IF(INDEX(Contracts!$K$2:$K$151,$AB275)="",2958101,INDEX(Contracts!$K$2:$K$151,$AB275)),0)),IF($Z275="A",EDATE(DATE(YEAR(INDEX(Fixed_Assets!$G$2:$G$201,$AB275)),MONTH(INDEX(Fixed_Assets!$G$2:$G$201,$AB275)),1),INDEX(Fixed_Assets!$J$2:$J$201,$AB275)-1),IF($Z275="F",MIN(IF(INDEX(Workforce!$J$2:$J$151,MATCH(INDEX(FTE_Allocation!$A$2:$A$201,$AB275),Workforce!$A$2:$A$151,0))="",2958101,INDEX(Workforce!$J$2:$J$151,MATCH(INDEX(FTE_Allocation!$A$2:$A$201,$AB275),Workforce!$A$2:$A$151,0))),IF(INDEX(FTE_Allocation!$J$2:$J$201,$AB275)="",2958101,INDEX(FTE_Allocation!$J$2:$J$201,$AB275))),"")))</f>
        <v/>
      </c>
      <c r="AG275" s="19">
        <f>IF($Z275="C",IF(INDEX(Contracts!$I$2:$I$151,$AB275)="PREPAID",INDEX(Contracts!$M$2:$M$151,$AB275)/IF(INDEX(Contracts!$N$2:$N$151,$AB275)="",12,INDEX(Contracts!$N$2:$N$151,$AB275)),IF(INDEX(Contracts!$I$2:$I$151,$AB275)="MONTHLY",INDEX(Contracts!$M$2:$M$151,$AB275),0))*(1-N(INDEX(Contracts!$O$2:$O$151,$AB275))),IF($Z275="A",INDEX(Fixed_Assets!$H$2:$H$201,$AB275)/INDEX(Fixed_Assets!$J$2:$J$201,$AB275),IF($Z275="F",INDEX(Workforce!$F$2:$F$151,MATCH(INDEX(FTE_Allocation!$A$2:$A$201,$AB275),Workforce!$A$2:$A$151,0))*N(INDEX(FTE_Allocation!$F$2:$H$201,$AB275,$AC275)),"")))</f>
        <v/>
      </c>
    </row>
    <row r="276">
      <c r="A276" s="7">
        <f>IF($Z276="","",$AD276)</f>
        <v/>
      </c>
      <c r="B276" s="7">
        <f>IF($Z276="C",INDEX(Contracts!$D$2:$D$151,$AB276)&amp;"",IF($Z276="A",INDEX(Fixed_Assets!$C$2:$C$201,$AB276)&amp;"",IF($Z276="F",INDEX(Workforce!$B$2:$B$151,MATCH(INDEX(FTE_Allocation!$A$2:$A$201,$AB276),Workforce!$A$2:$A$151,0))&amp;"","")))</f>
        <v/>
      </c>
      <c r="C276" s="7">
        <f>IF($Z276="C",INDEX(Contracts!$E$2:$E$151,$AB276)&amp;"",IF($Z276="A",INDEX(Fixed_Assets!$D$2:$D$201,$AB276)&amp;"",IF($Z276="F",INDEX(FTE_Allocation!$C$2:$C$201,$AB276)&amp;"","")))</f>
        <v/>
      </c>
      <c r="D276" s="7">
        <f>IF($Z276="C",INDEX(Contracts!$B$2:$B$151,$AB276)&amp;"",IF($Z276="A",INDEX(Fixed_Assets!$B$2:$B$201,$AB276)&amp;"",IF($Z276="F",INDEX(FTE_Allocation!$B$2:$B$201,$AB276)&amp;"","")))</f>
        <v/>
      </c>
      <c r="E276" s="7">
        <f>IF($Z276="C",INDEX(Contracts!$P$2:$P$151,$AB276)&amp;"",IF($Z276="A",INDEX(Fixed_Assets!$K$2:$K$201,$AB276)&amp;"",IF($Z276="F",IF(INDEX(FTE_Allocation!$D$2:$D$201,$AB276)="PROJECT",IFERROR(INDEX(Projects!$D:$D,MATCH(INDEX(FTE_Allocation!$E$2:$E$201,$AB276),Projects!$A:$A,0))&amp;"","#PROJECT?"),INDEX(FTE_Allocation!$E$2:$E$201,$AB276)&amp;""),"")))</f>
        <v/>
      </c>
      <c r="F276" s="7">
        <f>IF($Z276="C",INDEX(Contracts!$Q$2:$Q$151,$AB276)&amp;"",IF($Z276="A",INDEX(Fixed_Assets!$L$2:$L$201,$AB276)&amp;"",IF($Z276="F",INDEX(Workforce!$K$2:$K$151,MATCH(INDEX(FTE_Allocation!$A$2:$A$201,$AB276),Workforce!$A$2:$A$151,0))&amp;"","")))</f>
        <v/>
      </c>
      <c r="G276" s="7">
        <f>IF($Z276="C",INDEX(Contracts!$F$2:$F$151,$AB276)&amp;" / "&amp;INDEX(Contracts!$G$2:$G$151,$AB276),IF($Z276="A",INDEX(Fixed_Assets!$E$2:$E$201,$AB276)&amp;"",IF($Z276="F","Personnel "&amp;INDEX(FTE_Allocation!$A$2:$A$201,$AB276)&amp;IF(INDEX(FTE_Allocation!$D$2:$D$201,$AB276)="PROJECT"," ("&amp;INDEX(FTE_Allocation!$E$2:$E$201,$AB276)&amp;")",""),"")))</f>
        <v/>
      </c>
      <c r="H276" s="7">
        <f>IF($Z276="C","CONTRACT",IF($Z276="A","ASSET",IF($Z276="F","WORKFORCE","")))</f>
        <v/>
      </c>
      <c r="I276" s="7">
        <f>IF($Z276="C",INDEX(Contracts!$L$2:$L$151,$AB276)&amp;"",IF($Z276="A",INDEX(Fixed_Assets!$I$2:$I$201,$AB276)&amp;"",IF($Z276="F",INDEX(Workforce!$G$2:$G$151,MATCH(INDEX(FTE_Allocation!$A$2:$A$201,$AB276),Workforce!$A$2:$A$151,0))&amp;"","")))</f>
        <v/>
      </c>
      <c r="J276" s="18">
        <f>IF($Z276="","",IF(AND(DATE($AD276,1,1)&gt;=$AE276,DATE($AD276,1,1)&lt;=$AF276),ROUND($AG276,2),0))</f>
        <v/>
      </c>
      <c r="K276" s="18">
        <f>IF($Z276="","",IF(AND(DATE($AD276,2,1)&gt;=$AE276,DATE($AD276,2,1)&lt;=$AF276),ROUND($AG276,2),0))</f>
        <v/>
      </c>
      <c r="L276" s="18">
        <f>IF($Z276="","",IF(AND(DATE($AD276,3,1)&gt;=$AE276,DATE($AD276,3,1)&lt;=$AF276),ROUND($AG276,2),0))</f>
        <v/>
      </c>
      <c r="M276" s="18">
        <f>IF($Z276="","",IF(AND(DATE($AD276,4,1)&gt;=$AE276,DATE($AD276,4,1)&lt;=$AF276),ROUND($AG276,2),0))</f>
        <v/>
      </c>
      <c r="N276" s="18">
        <f>IF($Z276="","",IF(AND(DATE($AD276,5,1)&gt;=$AE276,DATE($AD276,5,1)&lt;=$AF276),ROUND($AG276,2),0))</f>
        <v/>
      </c>
      <c r="O276" s="18">
        <f>IF($Z276="","",IF(AND(DATE($AD276,6,1)&gt;=$AE276,DATE($AD276,6,1)&lt;=$AF276),ROUND($AG276,2),0))</f>
        <v/>
      </c>
      <c r="P276" s="18">
        <f>IF($Z276="","",IF(AND(DATE($AD276,7,1)&gt;=$AE276,DATE($AD276,7,1)&lt;=$AF276),ROUND($AG276,2),0))</f>
        <v/>
      </c>
      <c r="Q276" s="18">
        <f>IF($Z276="","",IF(AND(DATE($AD276,8,1)&gt;=$AE276,DATE($AD276,8,1)&lt;=$AF276),ROUND($AG276,2),0))</f>
        <v/>
      </c>
      <c r="R276" s="18">
        <f>IF($Z276="","",IF(AND(DATE($AD276,9,1)&gt;=$AE276,DATE($AD276,9,1)&lt;=$AF276),ROUND($AG276,2),0))</f>
        <v/>
      </c>
      <c r="S276" s="18">
        <f>IF($Z276="","",IF(AND(DATE($AD276,10,1)&gt;=$AE276,DATE($AD276,10,1)&lt;=$AF276),ROUND($AG276,2),0))</f>
        <v/>
      </c>
      <c r="T276" s="18">
        <f>IF($Z276="","",IF(AND(DATE($AD276,11,1)&gt;=$AE276,DATE($AD276,11,1)&lt;=$AF276),ROUND($AG276,2),0))</f>
        <v/>
      </c>
      <c r="U276" s="18">
        <f>IF($Z276="","",IF(AND(DATE($AD276,12,1)&gt;=$AE276,DATE($AD276,12,1)&lt;=$AF276),ROUND($AG276,2),0))</f>
        <v/>
      </c>
      <c r="V276" s="7">
        <f>IF($Z276="C","Generated from "&amp;INDEX(Contracts!$A$2:$A$151,$AB276),IF($Z276="A","Generated from "&amp;INDEX(Fixed_Assets!$A$2:$A$201,$AB276),IF($Z276="F","Generated from "&amp;INDEX(FTE_Allocation!$A$2:$A$201,$AB276),"")))</f>
        <v/>
      </c>
      <c r="X276" s="19">
        <f>IF($Z276="","",SUM(J276:U276))</f>
        <v/>
      </c>
      <c r="Y276" s="20">
        <f>ROW()-1</f>
        <v/>
      </c>
      <c r="Z276" s="20">
        <f>IF($Y276&lt;=Settings!$B$4*3,"C",IF($Y276&lt;=(Settings!$B$4+Settings!$B$5)*3,"A",IF($Y276&lt;=(Settings!$B$4+Settings!$B$5+Settings!$B$6)*3,"F","")))</f>
        <v/>
      </c>
      <c r="AA276" s="20">
        <f>IF($Z276="C",$Y276,IF($Z276="A",$Y276-Settings!$B$4*3,IF($Z276="F",$Y276-(Settings!$B$4+Settings!$B$5)*3,"")))</f>
        <v/>
      </c>
      <c r="AB276" s="20">
        <f>IF($Z276="","",INT(($AA276-1)/3)+1)</f>
        <v/>
      </c>
      <c r="AC276" s="20">
        <f>IF($Z276="","",MOD($AA276-1,3)+1)</f>
        <v/>
      </c>
      <c r="AD276" s="20">
        <f>IF($Z276="","",Settings!$B$2+$AC276-1)</f>
        <v/>
      </c>
      <c r="AE276" s="21">
        <f>IF($Z276="C",DATE(YEAR(INDEX(Contracts!$J$2:$J$151,$AB276)),MONTH(INDEX(Contracts!$J$2:$J$151,$AB276)),1),IF($Z276="A",DATE(YEAR(INDEX(Fixed_Assets!$G$2:$G$201,$AB276)),MONTH(INDEX(Fixed_Assets!$G$2:$G$201,$AB276)),1),IF($Z276="F",DATE(YEAR(MAX(N(INDEX(Workforce!$I$2:$I$151,MATCH(INDEX(FTE_Allocation!$A$2:$A$201,$AB276),Workforce!$A$2:$A$151,0))),N(INDEX(FTE_Allocation!$I$2:$I$201,$AB276)))),MONTH(MAX(N(INDEX(Workforce!$I$2:$I$151,MATCH(INDEX(FTE_Allocation!$A$2:$A$201,$AB276),Workforce!$A$2:$A$151,0))),N(INDEX(FTE_Allocation!$I$2:$I$201,$AB276)))),1),"")))</f>
        <v/>
      </c>
      <c r="AF276" s="21">
        <f>IF($Z276="C",IF(INDEX(Contracts!$I$2:$I$151,$AB276)="PREPAID",EDATE(DATE(YEAR(INDEX(Contracts!$J$2:$J$151,$AB276)),MONTH(INDEX(Contracts!$J$2:$J$151,$AB276)),1),IF(INDEX(Contracts!$N$2:$N$151,$AB276)="",12,INDEX(Contracts!$N$2:$N$151,$AB276))-1),IF(INDEX(Contracts!$I$2:$I$151,$AB276)="MONTHLY",IF(INDEX(Contracts!$K$2:$K$151,$AB276)="",2958101,INDEX(Contracts!$K$2:$K$151,$AB276)),0)),IF($Z276="A",EDATE(DATE(YEAR(INDEX(Fixed_Assets!$G$2:$G$201,$AB276)),MONTH(INDEX(Fixed_Assets!$G$2:$G$201,$AB276)),1),INDEX(Fixed_Assets!$J$2:$J$201,$AB276)-1),IF($Z276="F",MIN(IF(INDEX(Workforce!$J$2:$J$151,MATCH(INDEX(FTE_Allocation!$A$2:$A$201,$AB276),Workforce!$A$2:$A$151,0))="",2958101,INDEX(Workforce!$J$2:$J$151,MATCH(INDEX(FTE_Allocation!$A$2:$A$201,$AB276),Workforce!$A$2:$A$151,0))),IF(INDEX(FTE_Allocation!$J$2:$J$201,$AB276)="",2958101,INDEX(FTE_Allocation!$J$2:$J$201,$AB276))),"")))</f>
        <v/>
      </c>
      <c r="AG276" s="19">
        <f>IF($Z276="C",IF(INDEX(Contracts!$I$2:$I$151,$AB276)="PREPAID",INDEX(Contracts!$M$2:$M$151,$AB276)/IF(INDEX(Contracts!$N$2:$N$151,$AB276)="",12,INDEX(Contracts!$N$2:$N$151,$AB276)),IF(INDEX(Contracts!$I$2:$I$151,$AB276)="MONTHLY",INDEX(Contracts!$M$2:$M$151,$AB276),0))*(1-N(INDEX(Contracts!$O$2:$O$151,$AB276))),IF($Z276="A",INDEX(Fixed_Assets!$H$2:$H$201,$AB276)/INDEX(Fixed_Assets!$J$2:$J$201,$AB276),IF($Z276="F",INDEX(Workforce!$F$2:$F$151,MATCH(INDEX(FTE_Allocation!$A$2:$A$201,$AB276),Workforce!$A$2:$A$151,0))*N(INDEX(FTE_Allocation!$F$2:$H$201,$AB276,$AC276)),"")))</f>
        <v/>
      </c>
    </row>
    <row r="277">
      <c r="A277" s="7">
        <f>IF($Z277="","",$AD277)</f>
        <v/>
      </c>
      <c r="B277" s="7">
        <f>IF($Z277="C",INDEX(Contracts!$D$2:$D$151,$AB277)&amp;"",IF($Z277="A",INDEX(Fixed_Assets!$C$2:$C$201,$AB277)&amp;"",IF($Z277="F",INDEX(Workforce!$B$2:$B$151,MATCH(INDEX(FTE_Allocation!$A$2:$A$201,$AB277),Workforce!$A$2:$A$151,0))&amp;"","")))</f>
        <v/>
      </c>
      <c r="C277" s="7">
        <f>IF($Z277="C",INDEX(Contracts!$E$2:$E$151,$AB277)&amp;"",IF($Z277="A",INDEX(Fixed_Assets!$D$2:$D$201,$AB277)&amp;"",IF($Z277="F",INDEX(FTE_Allocation!$C$2:$C$201,$AB277)&amp;"","")))</f>
        <v/>
      </c>
      <c r="D277" s="7">
        <f>IF($Z277="C",INDEX(Contracts!$B$2:$B$151,$AB277)&amp;"",IF($Z277="A",INDEX(Fixed_Assets!$B$2:$B$201,$AB277)&amp;"",IF($Z277="F",INDEX(FTE_Allocation!$B$2:$B$201,$AB277)&amp;"","")))</f>
        <v/>
      </c>
      <c r="E277" s="7">
        <f>IF($Z277="C",INDEX(Contracts!$P$2:$P$151,$AB277)&amp;"",IF($Z277="A",INDEX(Fixed_Assets!$K$2:$K$201,$AB277)&amp;"",IF($Z277="F",IF(INDEX(FTE_Allocation!$D$2:$D$201,$AB277)="PROJECT",IFERROR(INDEX(Projects!$D:$D,MATCH(INDEX(FTE_Allocation!$E$2:$E$201,$AB277),Projects!$A:$A,0))&amp;"","#PROJECT?"),INDEX(FTE_Allocation!$E$2:$E$201,$AB277)&amp;""),"")))</f>
        <v/>
      </c>
      <c r="F277" s="7">
        <f>IF($Z277="C",INDEX(Contracts!$Q$2:$Q$151,$AB277)&amp;"",IF($Z277="A",INDEX(Fixed_Assets!$L$2:$L$201,$AB277)&amp;"",IF($Z277="F",INDEX(Workforce!$K$2:$K$151,MATCH(INDEX(FTE_Allocation!$A$2:$A$201,$AB277),Workforce!$A$2:$A$151,0))&amp;"","")))</f>
        <v/>
      </c>
      <c r="G277" s="7">
        <f>IF($Z277="C",INDEX(Contracts!$F$2:$F$151,$AB277)&amp;" / "&amp;INDEX(Contracts!$G$2:$G$151,$AB277),IF($Z277="A",INDEX(Fixed_Assets!$E$2:$E$201,$AB277)&amp;"",IF($Z277="F","Personnel "&amp;INDEX(FTE_Allocation!$A$2:$A$201,$AB277)&amp;IF(INDEX(FTE_Allocation!$D$2:$D$201,$AB277)="PROJECT"," ("&amp;INDEX(FTE_Allocation!$E$2:$E$201,$AB277)&amp;")",""),"")))</f>
        <v/>
      </c>
      <c r="H277" s="7">
        <f>IF($Z277="C","CONTRACT",IF($Z277="A","ASSET",IF($Z277="F","WORKFORCE","")))</f>
        <v/>
      </c>
      <c r="I277" s="7">
        <f>IF($Z277="C",INDEX(Contracts!$L$2:$L$151,$AB277)&amp;"",IF($Z277="A",INDEX(Fixed_Assets!$I$2:$I$201,$AB277)&amp;"",IF($Z277="F",INDEX(Workforce!$G$2:$G$151,MATCH(INDEX(FTE_Allocation!$A$2:$A$201,$AB277),Workforce!$A$2:$A$151,0))&amp;"","")))</f>
        <v/>
      </c>
      <c r="J277" s="18">
        <f>IF($Z277="","",IF(AND(DATE($AD277,1,1)&gt;=$AE277,DATE($AD277,1,1)&lt;=$AF277),ROUND($AG277,2),0))</f>
        <v/>
      </c>
      <c r="K277" s="18">
        <f>IF($Z277="","",IF(AND(DATE($AD277,2,1)&gt;=$AE277,DATE($AD277,2,1)&lt;=$AF277),ROUND($AG277,2),0))</f>
        <v/>
      </c>
      <c r="L277" s="18">
        <f>IF($Z277="","",IF(AND(DATE($AD277,3,1)&gt;=$AE277,DATE($AD277,3,1)&lt;=$AF277),ROUND($AG277,2),0))</f>
        <v/>
      </c>
      <c r="M277" s="18">
        <f>IF($Z277="","",IF(AND(DATE($AD277,4,1)&gt;=$AE277,DATE($AD277,4,1)&lt;=$AF277),ROUND($AG277,2),0))</f>
        <v/>
      </c>
      <c r="N277" s="18">
        <f>IF($Z277="","",IF(AND(DATE($AD277,5,1)&gt;=$AE277,DATE($AD277,5,1)&lt;=$AF277),ROUND($AG277,2),0))</f>
        <v/>
      </c>
      <c r="O277" s="18">
        <f>IF($Z277="","",IF(AND(DATE($AD277,6,1)&gt;=$AE277,DATE($AD277,6,1)&lt;=$AF277),ROUND($AG277,2),0))</f>
        <v/>
      </c>
      <c r="P277" s="18">
        <f>IF($Z277="","",IF(AND(DATE($AD277,7,1)&gt;=$AE277,DATE($AD277,7,1)&lt;=$AF277),ROUND($AG277,2),0))</f>
        <v/>
      </c>
      <c r="Q277" s="18">
        <f>IF($Z277="","",IF(AND(DATE($AD277,8,1)&gt;=$AE277,DATE($AD277,8,1)&lt;=$AF277),ROUND($AG277,2),0))</f>
        <v/>
      </c>
      <c r="R277" s="18">
        <f>IF($Z277="","",IF(AND(DATE($AD277,9,1)&gt;=$AE277,DATE($AD277,9,1)&lt;=$AF277),ROUND($AG277,2),0))</f>
        <v/>
      </c>
      <c r="S277" s="18">
        <f>IF($Z277="","",IF(AND(DATE($AD277,10,1)&gt;=$AE277,DATE($AD277,10,1)&lt;=$AF277),ROUND($AG277,2),0))</f>
        <v/>
      </c>
      <c r="T277" s="18">
        <f>IF($Z277="","",IF(AND(DATE($AD277,11,1)&gt;=$AE277,DATE($AD277,11,1)&lt;=$AF277),ROUND($AG277,2),0))</f>
        <v/>
      </c>
      <c r="U277" s="18">
        <f>IF($Z277="","",IF(AND(DATE($AD277,12,1)&gt;=$AE277,DATE($AD277,12,1)&lt;=$AF277),ROUND($AG277,2),0))</f>
        <v/>
      </c>
      <c r="V277" s="7">
        <f>IF($Z277="C","Generated from "&amp;INDEX(Contracts!$A$2:$A$151,$AB277),IF($Z277="A","Generated from "&amp;INDEX(Fixed_Assets!$A$2:$A$201,$AB277),IF($Z277="F","Generated from "&amp;INDEX(FTE_Allocation!$A$2:$A$201,$AB277),"")))</f>
        <v/>
      </c>
      <c r="X277" s="19">
        <f>IF($Z277="","",SUM(J277:U277))</f>
        <v/>
      </c>
      <c r="Y277" s="20">
        <f>ROW()-1</f>
        <v/>
      </c>
      <c r="Z277" s="20">
        <f>IF($Y277&lt;=Settings!$B$4*3,"C",IF($Y277&lt;=(Settings!$B$4+Settings!$B$5)*3,"A",IF($Y277&lt;=(Settings!$B$4+Settings!$B$5+Settings!$B$6)*3,"F","")))</f>
        <v/>
      </c>
      <c r="AA277" s="20">
        <f>IF($Z277="C",$Y277,IF($Z277="A",$Y277-Settings!$B$4*3,IF($Z277="F",$Y277-(Settings!$B$4+Settings!$B$5)*3,"")))</f>
        <v/>
      </c>
      <c r="AB277" s="20">
        <f>IF($Z277="","",INT(($AA277-1)/3)+1)</f>
        <v/>
      </c>
      <c r="AC277" s="20">
        <f>IF($Z277="","",MOD($AA277-1,3)+1)</f>
        <v/>
      </c>
      <c r="AD277" s="20">
        <f>IF($Z277="","",Settings!$B$2+$AC277-1)</f>
        <v/>
      </c>
      <c r="AE277" s="21">
        <f>IF($Z277="C",DATE(YEAR(INDEX(Contracts!$J$2:$J$151,$AB277)),MONTH(INDEX(Contracts!$J$2:$J$151,$AB277)),1),IF($Z277="A",DATE(YEAR(INDEX(Fixed_Assets!$G$2:$G$201,$AB277)),MONTH(INDEX(Fixed_Assets!$G$2:$G$201,$AB277)),1),IF($Z277="F",DATE(YEAR(MAX(N(INDEX(Workforce!$I$2:$I$151,MATCH(INDEX(FTE_Allocation!$A$2:$A$201,$AB277),Workforce!$A$2:$A$151,0))),N(INDEX(FTE_Allocation!$I$2:$I$201,$AB277)))),MONTH(MAX(N(INDEX(Workforce!$I$2:$I$151,MATCH(INDEX(FTE_Allocation!$A$2:$A$201,$AB277),Workforce!$A$2:$A$151,0))),N(INDEX(FTE_Allocation!$I$2:$I$201,$AB277)))),1),"")))</f>
        <v/>
      </c>
      <c r="AF277" s="21">
        <f>IF($Z277="C",IF(INDEX(Contracts!$I$2:$I$151,$AB277)="PREPAID",EDATE(DATE(YEAR(INDEX(Contracts!$J$2:$J$151,$AB277)),MONTH(INDEX(Contracts!$J$2:$J$151,$AB277)),1),IF(INDEX(Contracts!$N$2:$N$151,$AB277)="",12,INDEX(Contracts!$N$2:$N$151,$AB277))-1),IF(INDEX(Contracts!$I$2:$I$151,$AB277)="MONTHLY",IF(INDEX(Contracts!$K$2:$K$151,$AB277)="",2958101,INDEX(Contracts!$K$2:$K$151,$AB277)),0)),IF($Z277="A",EDATE(DATE(YEAR(INDEX(Fixed_Assets!$G$2:$G$201,$AB277)),MONTH(INDEX(Fixed_Assets!$G$2:$G$201,$AB277)),1),INDEX(Fixed_Assets!$J$2:$J$201,$AB277)-1),IF($Z277="F",MIN(IF(INDEX(Workforce!$J$2:$J$151,MATCH(INDEX(FTE_Allocation!$A$2:$A$201,$AB277),Workforce!$A$2:$A$151,0))="",2958101,INDEX(Workforce!$J$2:$J$151,MATCH(INDEX(FTE_Allocation!$A$2:$A$201,$AB277),Workforce!$A$2:$A$151,0))),IF(INDEX(FTE_Allocation!$J$2:$J$201,$AB277)="",2958101,INDEX(FTE_Allocation!$J$2:$J$201,$AB277))),"")))</f>
        <v/>
      </c>
      <c r="AG277" s="19">
        <f>IF($Z277="C",IF(INDEX(Contracts!$I$2:$I$151,$AB277)="PREPAID",INDEX(Contracts!$M$2:$M$151,$AB277)/IF(INDEX(Contracts!$N$2:$N$151,$AB277)="",12,INDEX(Contracts!$N$2:$N$151,$AB277)),IF(INDEX(Contracts!$I$2:$I$151,$AB277)="MONTHLY",INDEX(Contracts!$M$2:$M$151,$AB277),0))*(1-N(INDEX(Contracts!$O$2:$O$151,$AB277))),IF($Z277="A",INDEX(Fixed_Assets!$H$2:$H$201,$AB277)/INDEX(Fixed_Assets!$J$2:$J$201,$AB277),IF($Z277="F",INDEX(Workforce!$F$2:$F$151,MATCH(INDEX(FTE_Allocation!$A$2:$A$201,$AB277),Workforce!$A$2:$A$151,0))*N(INDEX(FTE_Allocation!$F$2:$H$201,$AB277,$AC277)),"")))</f>
        <v/>
      </c>
    </row>
    <row r="278">
      <c r="A278" s="7">
        <f>IF($Z278="","",$AD278)</f>
        <v/>
      </c>
      <c r="B278" s="7">
        <f>IF($Z278="C",INDEX(Contracts!$D$2:$D$151,$AB278)&amp;"",IF($Z278="A",INDEX(Fixed_Assets!$C$2:$C$201,$AB278)&amp;"",IF($Z278="F",INDEX(Workforce!$B$2:$B$151,MATCH(INDEX(FTE_Allocation!$A$2:$A$201,$AB278),Workforce!$A$2:$A$151,0))&amp;"","")))</f>
        <v/>
      </c>
      <c r="C278" s="7">
        <f>IF($Z278="C",INDEX(Contracts!$E$2:$E$151,$AB278)&amp;"",IF($Z278="A",INDEX(Fixed_Assets!$D$2:$D$201,$AB278)&amp;"",IF($Z278="F",INDEX(FTE_Allocation!$C$2:$C$201,$AB278)&amp;"","")))</f>
        <v/>
      </c>
      <c r="D278" s="7">
        <f>IF($Z278="C",INDEX(Contracts!$B$2:$B$151,$AB278)&amp;"",IF($Z278="A",INDEX(Fixed_Assets!$B$2:$B$201,$AB278)&amp;"",IF($Z278="F",INDEX(FTE_Allocation!$B$2:$B$201,$AB278)&amp;"","")))</f>
        <v/>
      </c>
      <c r="E278" s="7">
        <f>IF($Z278="C",INDEX(Contracts!$P$2:$P$151,$AB278)&amp;"",IF($Z278="A",INDEX(Fixed_Assets!$K$2:$K$201,$AB278)&amp;"",IF($Z278="F",IF(INDEX(FTE_Allocation!$D$2:$D$201,$AB278)="PROJECT",IFERROR(INDEX(Projects!$D:$D,MATCH(INDEX(FTE_Allocation!$E$2:$E$201,$AB278),Projects!$A:$A,0))&amp;"","#PROJECT?"),INDEX(FTE_Allocation!$E$2:$E$201,$AB278)&amp;""),"")))</f>
        <v/>
      </c>
      <c r="F278" s="7">
        <f>IF($Z278="C",INDEX(Contracts!$Q$2:$Q$151,$AB278)&amp;"",IF($Z278="A",INDEX(Fixed_Assets!$L$2:$L$201,$AB278)&amp;"",IF($Z278="F",INDEX(Workforce!$K$2:$K$151,MATCH(INDEX(FTE_Allocation!$A$2:$A$201,$AB278),Workforce!$A$2:$A$151,0))&amp;"","")))</f>
        <v/>
      </c>
      <c r="G278" s="7">
        <f>IF($Z278="C",INDEX(Contracts!$F$2:$F$151,$AB278)&amp;" / "&amp;INDEX(Contracts!$G$2:$G$151,$AB278),IF($Z278="A",INDEX(Fixed_Assets!$E$2:$E$201,$AB278)&amp;"",IF($Z278="F","Personnel "&amp;INDEX(FTE_Allocation!$A$2:$A$201,$AB278)&amp;IF(INDEX(FTE_Allocation!$D$2:$D$201,$AB278)="PROJECT"," ("&amp;INDEX(FTE_Allocation!$E$2:$E$201,$AB278)&amp;")",""),"")))</f>
        <v/>
      </c>
      <c r="H278" s="7">
        <f>IF($Z278="C","CONTRACT",IF($Z278="A","ASSET",IF($Z278="F","WORKFORCE","")))</f>
        <v/>
      </c>
      <c r="I278" s="7">
        <f>IF($Z278="C",INDEX(Contracts!$L$2:$L$151,$AB278)&amp;"",IF($Z278="A",INDEX(Fixed_Assets!$I$2:$I$201,$AB278)&amp;"",IF($Z278="F",INDEX(Workforce!$G$2:$G$151,MATCH(INDEX(FTE_Allocation!$A$2:$A$201,$AB278),Workforce!$A$2:$A$151,0))&amp;"","")))</f>
        <v/>
      </c>
      <c r="J278" s="18">
        <f>IF($Z278="","",IF(AND(DATE($AD278,1,1)&gt;=$AE278,DATE($AD278,1,1)&lt;=$AF278),ROUND($AG278,2),0))</f>
        <v/>
      </c>
      <c r="K278" s="18">
        <f>IF($Z278="","",IF(AND(DATE($AD278,2,1)&gt;=$AE278,DATE($AD278,2,1)&lt;=$AF278),ROUND($AG278,2),0))</f>
        <v/>
      </c>
      <c r="L278" s="18">
        <f>IF($Z278="","",IF(AND(DATE($AD278,3,1)&gt;=$AE278,DATE($AD278,3,1)&lt;=$AF278),ROUND($AG278,2),0))</f>
        <v/>
      </c>
      <c r="M278" s="18">
        <f>IF($Z278="","",IF(AND(DATE($AD278,4,1)&gt;=$AE278,DATE($AD278,4,1)&lt;=$AF278),ROUND($AG278,2),0))</f>
        <v/>
      </c>
      <c r="N278" s="18">
        <f>IF($Z278="","",IF(AND(DATE($AD278,5,1)&gt;=$AE278,DATE($AD278,5,1)&lt;=$AF278),ROUND($AG278,2),0))</f>
        <v/>
      </c>
      <c r="O278" s="18">
        <f>IF($Z278="","",IF(AND(DATE($AD278,6,1)&gt;=$AE278,DATE($AD278,6,1)&lt;=$AF278),ROUND($AG278,2),0))</f>
        <v/>
      </c>
      <c r="P278" s="18">
        <f>IF($Z278="","",IF(AND(DATE($AD278,7,1)&gt;=$AE278,DATE($AD278,7,1)&lt;=$AF278),ROUND($AG278,2),0))</f>
        <v/>
      </c>
      <c r="Q278" s="18">
        <f>IF($Z278="","",IF(AND(DATE($AD278,8,1)&gt;=$AE278,DATE($AD278,8,1)&lt;=$AF278),ROUND($AG278,2),0))</f>
        <v/>
      </c>
      <c r="R278" s="18">
        <f>IF($Z278="","",IF(AND(DATE($AD278,9,1)&gt;=$AE278,DATE($AD278,9,1)&lt;=$AF278),ROUND($AG278,2),0))</f>
        <v/>
      </c>
      <c r="S278" s="18">
        <f>IF($Z278="","",IF(AND(DATE($AD278,10,1)&gt;=$AE278,DATE($AD278,10,1)&lt;=$AF278),ROUND($AG278,2),0))</f>
        <v/>
      </c>
      <c r="T278" s="18">
        <f>IF($Z278="","",IF(AND(DATE($AD278,11,1)&gt;=$AE278,DATE($AD278,11,1)&lt;=$AF278),ROUND($AG278,2),0))</f>
        <v/>
      </c>
      <c r="U278" s="18">
        <f>IF($Z278="","",IF(AND(DATE($AD278,12,1)&gt;=$AE278,DATE($AD278,12,1)&lt;=$AF278),ROUND($AG278,2),0))</f>
        <v/>
      </c>
      <c r="V278" s="7">
        <f>IF($Z278="C","Generated from "&amp;INDEX(Contracts!$A$2:$A$151,$AB278),IF($Z278="A","Generated from "&amp;INDEX(Fixed_Assets!$A$2:$A$201,$AB278),IF($Z278="F","Generated from "&amp;INDEX(FTE_Allocation!$A$2:$A$201,$AB278),"")))</f>
        <v/>
      </c>
      <c r="X278" s="19">
        <f>IF($Z278="","",SUM(J278:U278))</f>
        <v/>
      </c>
      <c r="Y278" s="20">
        <f>ROW()-1</f>
        <v/>
      </c>
      <c r="Z278" s="20">
        <f>IF($Y278&lt;=Settings!$B$4*3,"C",IF($Y278&lt;=(Settings!$B$4+Settings!$B$5)*3,"A",IF($Y278&lt;=(Settings!$B$4+Settings!$B$5+Settings!$B$6)*3,"F","")))</f>
        <v/>
      </c>
      <c r="AA278" s="20">
        <f>IF($Z278="C",$Y278,IF($Z278="A",$Y278-Settings!$B$4*3,IF($Z278="F",$Y278-(Settings!$B$4+Settings!$B$5)*3,"")))</f>
        <v/>
      </c>
      <c r="AB278" s="20">
        <f>IF($Z278="","",INT(($AA278-1)/3)+1)</f>
        <v/>
      </c>
      <c r="AC278" s="20">
        <f>IF($Z278="","",MOD($AA278-1,3)+1)</f>
        <v/>
      </c>
      <c r="AD278" s="20">
        <f>IF($Z278="","",Settings!$B$2+$AC278-1)</f>
        <v/>
      </c>
      <c r="AE278" s="21">
        <f>IF($Z278="C",DATE(YEAR(INDEX(Contracts!$J$2:$J$151,$AB278)),MONTH(INDEX(Contracts!$J$2:$J$151,$AB278)),1),IF($Z278="A",DATE(YEAR(INDEX(Fixed_Assets!$G$2:$G$201,$AB278)),MONTH(INDEX(Fixed_Assets!$G$2:$G$201,$AB278)),1),IF($Z278="F",DATE(YEAR(MAX(N(INDEX(Workforce!$I$2:$I$151,MATCH(INDEX(FTE_Allocation!$A$2:$A$201,$AB278),Workforce!$A$2:$A$151,0))),N(INDEX(FTE_Allocation!$I$2:$I$201,$AB278)))),MONTH(MAX(N(INDEX(Workforce!$I$2:$I$151,MATCH(INDEX(FTE_Allocation!$A$2:$A$201,$AB278),Workforce!$A$2:$A$151,0))),N(INDEX(FTE_Allocation!$I$2:$I$201,$AB278)))),1),"")))</f>
        <v/>
      </c>
      <c r="AF278" s="21">
        <f>IF($Z278="C",IF(INDEX(Contracts!$I$2:$I$151,$AB278)="PREPAID",EDATE(DATE(YEAR(INDEX(Contracts!$J$2:$J$151,$AB278)),MONTH(INDEX(Contracts!$J$2:$J$151,$AB278)),1),IF(INDEX(Contracts!$N$2:$N$151,$AB278)="",12,INDEX(Contracts!$N$2:$N$151,$AB278))-1),IF(INDEX(Contracts!$I$2:$I$151,$AB278)="MONTHLY",IF(INDEX(Contracts!$K$2:$K$151,$AB278)="",2958101,INDEX(Contracts!$K$2:$K$151,$AB278)),0)),IF($Z278="A",EDATE(DATE(YEAR(INDEX(Fixed_Assets!$G$2:$G$201,$AB278)),MONTH(INDEX(Fixed_Assets!$G$2:$G$201,$AB278)),1),INDEX(Fixed_Assets!$J$2:$J$201,$AB278)-1),IF($Z278="F",MIN(IF(INDEX(Workforce!$J$2:$J$151,MATCH(INDEX(FTE_Allocation!$A$2:$A$201,$AB278),Workforce!$A$2:$A$151,0))="",2958101,INDEX(Workforce!$J$2:$J$151,MATCH(INDEX(FTE_Allocation!$A$2:$A$201,$AB278),Workforce!$A$2:$A$151,0))),IF(INDEX(FTE_Allocation!$J$2:$J$201,$AB278)="",2958101,INDEX(FTE_Allocation!$J$2:$J$201,$AB278))),"")))</f>
        <v/>
      </c>
      <c r="AG278" s="19">
        <f>IF($Z278="C",IF(INDEX(Contracts!$I$2:$I$151,$AB278)="PREPAID",INDEX(Contracts!$M$2:$M$151,$AB278)/IF(INDEX(Contracts!$N$2:$N$151,$AB278)="",12,INDEX(Contracts!$N$2:$N$151,$AB278)),IF(INDEX(Contracts!$I$2:$I$151,$AB278)="MONTHLY",INDEX(Contracts!$M$2:$M$151,$AB278),0))*(1-N(INDEX(Contracts!$O$2:$O$151,$AB278))),IF($Z278="A",INDEX(Fixed_Assets!$H$2:$H$201,$AB278)/INDEX(Fixed_Assets!$J$2:$J$201,$AB278),IF($Z278="F",INDEX(Workforce!$F$2:$F$151,MATCH(INDEX(FTE_Allocation!$A$2:$A$201,$AB278),Workforce!$A$2:$A$151,0))*N(INDEX(FTE_Allocation!$F$2:$H$201,$AB278,$AC278)),"")))</f>
        <v/>
      </c>
    </row>
    <row r="279">
      <c r="A279" s="7">
        <f>IF($Z279="","",$AD279)</f>
        <v/>
      </c>
      <c r="B279" s="7">
        <f>IF($Z279="C",INDEX(Contracts!$D$2:$D$151,$AB279)&amp;"",IF($Z279="A",INDEX(Fixed_Assets!$C$2:$C$201,$AB279)&amp;"",IF($Z279="F",INDEX(Workforce!$B$2:$B$151,MATCH(INDEX(FTE_Allocation!$A$2:$A$201,$AB279),Workforce!$A$2:$A$151,0))&amp;"","")))</f>
        <v/>
      </c>
      <c r="C279" s="7">
        <f>IF($Z279="C",INDEX(Contracts!$E$2:$E$151,$AB279)&amp;"",IF($Z279="A",INDEX(Fixed_Assets!$D$2:$D$201,$AB279)&amp;"",IF($Z279="F",INDEX(FTE_Allocation!$C$2:$C$201,$AB279)&amp;"","")))</f>
        <v/>
      </c>
      <c r="D279" s="7">
        <f>IF($Z279="C",INDEX(Contracts!$B$2:$B$151,$AB279)&amp;"",IF($Z279="A",INDEX(Fixed_Assets!$B$2:$B$201,$AB279)&amp;"",IF($Z279="F",INDEX(FTE_Allocation!$B$2:$B$201,$AB279)&amp;"","")))</f>
        <v/>
      </c>
      <c r="E279" s="7">
        <f>IF($Z279="C",INDEX(Contracts!$P$2:$P$151,$AB279)&amp;"",IF($Z279="A",INDEX(Fixed_Assets!$K$2:$K$201,$AB279)&amp;"",IF($Z279="F",IF(INDEX(FTE_Allocation!$D$2:$D$201,$AB279)="PROJECT",IFERROR(INDEX(Projects!$D:$D,MATCH(INDEX(FTE_Allocation!$E$2:$E$201,$AB279),Projects!$A:$A,0))&amp;"","#PROJECT?"),INDEX(FTE_Allocation!$E$2:$E$201,$AB279)&amp;""),"")))</f>
        <v/>
      </c>
      <c r="F279" s="7">
        <f>IF($Z279="C",INDEX(Contracts!$Q$2:$Q$151,$AB279)&amp;"",IF($Z279="A",INDEX(Fixed_Assets!$L$2:$L$201,$AB279)&amp;"",IF($Z279="F",INDEX(Workforce!$K$2:$K$151,MATCH(INDEX(FTE_Allocation!$A$2:$A$201,$AB279),Workforce!$A$2:$A$151,0))&amp;"","")))</f>
        <v/>
      </c>
      <c r="G279" s="7">
        <f>IF($Z279="C",INDEX(Contracts!$F$2:$F$151,$AB279)&amp;" / "&amp;INDEX(Contracts!$G$2:$G$151,$AB279),IF($Z279="A",INDEX(Fixed_Assets!$E$2:$E$201,$AB279)&amp;"",IF($Z279="F","Personnel "&amp;INDEX(FTE_Allocation!$A$2:$A$201,$AB279)&amp;IF(INDEX(FTE_Allocation!$D$2:$D$201,$AB279)="PROJECT"," ("&amp;INDEX(FTE_Allocation!$E$2:$E$201,$AB279)&amp;")",""),"")))</f>
        <v/>
      </c>
      <c r="H279" s="7">
        <f>IF($Z279="C","CONTRACT",IF($Z279="A","ASSET",IF($Z279="F","WORKFORCE","")))</f>
        <v/>
      </c>
      <c r="I279" s="7">
        <f>IF($Z279="C",INDEX(Contracts!$L$2:$L$151,$AB279)&amp;"",IF($Z279="A",INDEX(Fixed_Assets!$I$2:$I$201,$AB279)&amp;"",IF($Z279="F",INDEX(Workforce!$G$2:$G$151,MATCH(INDEX(FTE_Allocation!$A$2:$A$201,$AB279),Workforce!$A$2:$A$151,0))&amp;"","")))</f>
        <v/>
      </c>
      <c r="J279" s="18">
        <f>IF($Z279="","",IF(AND(DATE($AD279,1,1)&gt;=$AE279,DATE($AD279,1,1)&lt;=$AF279),ROUND($AG279,2),0))</f>
        <v/>
      </c>
      <c r="K279" s="18">
        <f>IF($Z279="","",IF(AND(DATE($AD279,2,1)&gt;=$AE279,DATE($AD279,2,1)&lt;=$AF279),ROUND($AG279,2),0))</f>
        <v/>
      </c>
      <c r="L279" s="18">
        <f>IF($Z279="","",IF(AND(DATE($AD279,3,1)&gt;=$AE279,DATE($AD279,3,1)&lt;=$AF279),ROUND($AG279,2),0))</f>
        <v/>
      </c>
      <c r="M279" s="18">
        <f>IF($Z279="","",IF(AND(DATE($AD279,4,1)&gt;=$AE279,DATE($AD279,4,1)&lt;=$AF279),ROUND($AG279,2),0))</f>
        <v/>
      </c>
      <c r="N279" s="18">
        <f>IF($Z279="","",IF(AND(DATE($AD279,5,1)&gt;=$AE279,DATE($AD279,5,1)&lt;=$AF279),ROUND($AG279,2),0))</f>
        <v/>
      </c>
      <c r="O279" s="18">
        <f>IF($Z279="","",IF(AND(DATE($AD279,6,1)&gt;=$AE279,DATE($AD279,6,1)&lt;=$AF279),ROUND($AG279,2),0))</f>
        <v/>
      </c>
      <c r="P279" s="18">
        <f>IF($Z279="","",IF(AND(DATE($AD279,7,1)&gt;=$AE279,DATE($AD279,7,1)&lt;=$AF279),ROUND($AG279,2),0))</f>
        <v/>
      </c>
      <c r="Q279" s="18">
        <f>IF($Z279="","",IF(AND(DATE($AD279,8,1)&gt;=$AE279,DATE($AD279,8,1)&lt;=$AF279),ROUND($AG279,2),0))</f>
        <v/>
      </c>
      <c r="R279" s="18">
        <f>IF($Z279="","",IF(AND(DATE($AD279,9,1)&gt;=$AE279,DATE($AD279,9,1)&lt;=$AF279),ROUND($AG279,2),0))</f>
        <v/>
      </c>
      <c r="S279" s="18">
        <f>IF($Z279="","",IF(AND(DATE($AD279,10,1)&gt;=$AE279,DATE($AD279,10,1)&lt;=$AF279),ROUND($AG279,2),0))</f>
        <v/>
      </c>
      <c r="T279" s="18">
        <f>IF($Z279="","",IF(AND(DATE($AD279,11,1)&gt;=$AE279,DATE($AD279,11,1)&lt;=$AF279),ROUND($AG279,2),0))</f>
        <v/>
      </c>
      <c r="U279" s="18">
        <f>IF($Z279="","",IF(AND(DATE($AD279,12,1)&gt;=$AE279,DATE($AD279,12,1)&lt;=$AF279),ROUND($AG279,2),0))</f>
        <v/>
      </c>
      <c r="V279" s="7">
        <f>IF($Z279="C","Generated from "&amp;INDEX(Contracts!$A$2:$A$151,$AB279),IF($Z279="A","Generated from "&amp;INDEX(Fixed_Assets!$A$2:$A$201,$AB279),IF($Z279="F","Generated from "&amp;INDEX(FTE_Allocation!$A$2:$A$201,$AB279),"")))</f>
        <v/>
      </c>
      <c r="X279" s="19">
        <f>IF($Z279="","",SUM(J279:U279))</f>
        <v/>
      </c>
      <c r="Y279" s="20">
        <f>ROW()-1</f>
        <v/>
      </c>
      <c r="Z279" s="20">
        <f>IF($Y279&lt;=Settings!$B$4*3,"C",IF($Y279&lt;=(Settings!$B$4+Settings!$B$5)*3,"A",IF($Y279&lt;=(Settings!$B$4+Settings!$B$5+Settings!$B$6)*3,"F","")))</f>
        <v/>
      </c>
      <c r="AA279" s="20">
        <f>IF($Z279="C",$Y279,IF($Z279="A",$Y279-Settings!$B$4*3,IF($Z279="F",$Y279-(Settings!$B$4+Settings!$B$5)*3,"")))</f>
        <v/>
      </c>
      <c r="AB279" s="20">
        <f>IF($Z279="","",INT(($AA279-1)/3)+1)</f>
        <v/>
      </c>
      <c r="AC279" s="20">
        <f>IF($Z279="","",MOD($AA279-1,3)+1)</f>
        <v/>
      </c>
      <c r="AD279" s="20">
        <f>IF($Z279="","",Settings!$B$2+$AC279-1)</f>
        <v/>
      </c>
      <c r="AE279" s="21">
        <f>IF($Z279="C",DATE(YEAR(INDEX(Contracts!$J$2:$J$151,$AB279)),MONTH(INDEX(Contracts!$J$2:$J$151,$AB279)),1),IF($Z279="A",DATE(YEAR(INDEX(Fixed_Assets!$G$2:$G$201,$AB279)),MONTH(INDEX(Fixed_Assets!$G$2:$G$201,$AB279)),1),IF($Z279="F",DATE(YEAR(MAX(N(INDEX(Workforce!$I$2:$I$151,MATCH(INDEX(FTE_Allocation!$A$2:$A$201,$AB279),Workforce!$A$2:$A$151,0))),N(INDEX(FTE_Allocation!$I$2:$I$201,$AB279)))),MONTH(MAX(N(INDEX(Workforce!$I$2:$I$151,MATCH(INDEX(FTE_Allocation!$A$2:$A$201,$AB279),Workforce!$A$2:$A$151,0))),N(INDEX(FTE_Allocation!$I$2:$I$201,$AB279)))),1),"")))</f>
        <v/>
      </c>
      <c r="AF279" s="21">
        <f>IF($Z279="C",IF(INDEX(Contracts!$I$2:$I$151,$AB279)="PREPAID",EDATE(DATE(YEAR(INDEX(Contracts!$J$2:$J$151,$AB279)),MONTH(INDEX(Contracts!$J$2:$J$151,$AB279)),1),IF(INDEX(Contracts!$N$2:$N$151,$AB279)="",12,INDEX(Contracts!$N$2:$N$151,$AB279))-1),IF(INDEX(Contracts!$I$2:$I$151,$AB279)="MONTHLY",IF(INDEX(Contracts!$K$2:$K$151,$AB279)="",2958101,INDEX(Contracts!$K$2:$K$151,$AB279)),0)),IF($Z279="A",EDATE(DATE(YEAR(INDEX(Fixed_Assets!$G$2:$G$201,$AB279)),MONTH(INDEX(Fixed_Assets!$G$2:$G$201,$AB279)),1),INDEX(Fixed_Assets!$J$2:$J$201,$AB279)-1),IF($Z279="F",MIN(IF(INDEX(Workforce!$J$2:$J$151,MATCH(INDEX(FTE_Allocation!$A$2:$A$201,$AB279),Workforce!$A$2:$A$151,0))="",2958101,INDEX(Workforce!$J$2:$J$151,MATCH(INDEX(FTE_Allocation!$A$2:$A$201,$AB279),Workforce!$A$2:$A$151,0))),IF(INDEX(FTE_Allocation!$J$2:$J$201,$AB279)="",2958101,INDEX(FTE_Allocation!$J$2:$J$201,$AB279))),"")))</f>
        <v/>
      </c>
      <c r="AG279" s="19">
        <f>IF($Z279="C",IF(INDEX(Contracts!$I$2:$I$151,$AB279)="PREPAID",INDEX(Contracts!$M$2:$M$151,$AB279)/IF(INDEX(Contracts!$N$2:$N$151,$AB279)="",12,INDEX(Contracts!$N$2:$N$151,$AB279)),IF(INDEX(Contracts!$I$2:$I$151,$AB279)="MONTHLY",INDEX(Contracts!$M$2:$M$151,$AB279),0))*(1-N(INDEX(Contracts!$O$2:$O$151,$AB279))),IF($Z279="A",INDEX(Fixed_Assets!$H$2:$H$201,$AB279)/INDEX(Fixed_Assets!$J$2:$J$201,$AB279),IF($Z279="F",INDEX(Workforce!$F$2:$F$151,MATCH(INDEX(FTE_Allocation!$A$2:$A$201,$AB279),Workforce!$A$2:$A$151,0))*N(INDEX(FTE_Allocation!$F$2:$H$201,$AB279,$AC279)),"")))</f>
        <v/>
      </c>
    </row>
    <row r="280">
      <c r="A280" s="7">
        <f>IF($Z280="","",$AD280)</f>
        <v/>
      </c>
      <c r="B280" s="7">
        <f>IF($Z280="C",INDEX(Contracts!$D$2:$D$151,$AB280)&amp;"",IF($Z280="A",INDEX(Fixed_Assets!$C$2:$C$201,$AB280)&amp;"",IF($Z280="F",INDEX(Workforce!$B$2:$B$151,MATCH(INDEX(FTE_Allocation!$A$2:$A$201,$AB280),Workforce!$A$2:$A$151,0))&amp;"","")))</f>
        <v/>
      </c>
      <c r="C280" s="7">
        <f>IF($Z280="C",INDEX(Contracts!$E$2:$E$151,$AB280)&amp;"",IF($Z280="A",INDEX(Fixed_Assets!$D$2:$D$201,$AB280)&amp;"",IF($Z280="F",INDEX(FTE_Allocation!$C$2:$C$201,$AB280)&amp;"","")))</f>
        <v/>
      </c>
      <c r="D280" s="7">
        <f>IF($Z280="C",INDEX(Contracts!$B$2:$B$151,$AB280)&amp;"",IF($Z280="A",INDEX(Fixed_Assets!$B$2:$B$201,$AB280)&amp;"",IF($Z280="F",INDEX(FTE_Allocation!$B$2:$B$201,$AB280)&amp;"","")))</f>
        <v/>
      </c>
      <c r="E280" s="7">
        <f>IF($Z280="C",INDEX(Contracts!$P$2:$P$151,$AB280)&amp;"",IF($Z280="A",INDEX(Fixed_Assets!$K$2:$K$201,$AB280)&amp;"",IF($Z280="F",IF(INDEX(FTE_Allocation!$D$2:$D$201,$AB280)="PROJECT",IFERROR(INDEX(Projects!$D:$D,MATCH(INDEX(FTE_Allocation!$E$2:$E$201,$AB280),Projects!$A:$A,0))&amp;"","#PROJECT?"),INDEX(FTE_Allocation!$E$2:$E$201,$AB280)&amp;""),"")))</f>
        <v/>
      </c>
      <c r="F280" s="7">
        <f>IF($Z280="C",INDEX(Contracts!$Q$2:$Q$151,$AB280)&amp;"",IF($Z280="A",INDEX(Fixed_Assets!$L$2:$L$201,$AB280)&amp;"",IF($Z280="F",INDEX(Workforce!$K$2:$K$151,MATCH(INDEX(FTE_Allocation!$A$2:$A$201,$AB280),Workforce!$A$2:$A$151,0))&amp;"","")))</f>
        <v/>
      </c>
      <c r="G280" s="7">
        <f>IF($Z280="C",INDEX(Contracts!$F$2:$F$151,$AB280)&amp;" / "&amp;INDEX(Contracts!$G$2:$G$151,$AB280),IF($Z280="A",INDEX(Fixed_Assets!$E$2:$E$201,$AB280)&amp;"",IF($Z280="F","Personnel "&amp;INDEX(FTE_Allocation!$A$2:$A$201,$AB280)&amp;IF(INDEX(FTE_Allocation!$D$2:$D$201,$AB280)="PROJECT"," ("&amp;INDEX(FTE_Allocation!$E$2:$E$201,$AB280)&amp;")",""),"")))</f>
        <v/>
      </c>
      <c r="H280" s="7">
        <f>IF($Z280="C","CONTRACT",IF($Z280="A","ASSET",IF($Z280="F","WORKFORCE","")))</f>
        <v/>
      </c>
      <c r="I280" s="7">
        <f>IF($Z280="C",INDEX(Contracts!$L$2:$L$151,$AB280)&amp;"",IF($Z280="A",INDEX(Fixed_Assets!$I$2:$I$201,$AB280)&amp;"",IF($Z280="F",INDEX(Workforce!$G$2:$G$151,MATCH(INDEX(FTE_Allocation!$A$2:$A$201,$AB280),Workforce!$A$2:$A$151,0))&amp;"","")))</f>
        <v/>
      </c>
      <c r="J280" s="18">
        <f>IF($Z280="","",IF(AND(DATE($AD280,1,1)&gt;=$AE280,DATE($AD280,1,1)&lt;=$AF280),ROUND($AG280,2),0))</f>
        <v/>
      </c>
      <c r="K280" s="18">
        <f>IF($Z280="","",IF(AND(DATE($AD280,2,1)&gt;=$AE280,DATE($AD280,2,1)&lt;=$AF280),ROUND($AG280,2),0))</f>
        <v/>
      </c>
      <c r="L280" s="18">
        <f>IF($Z280="","",IF(AND(DATE($AD280,3,1)&gt;=$AE280,DATE($AD280,3,1)&lt;=$AF280),ROUND($AG280,2),0))</f>
        <v/>
      </c>
      <c r="M280" s="18">
        <f>IF($Z280="","",IF(AND(DATE($AD280,4,1)&gt;=$AE280,DATE($AD280,4,1)&lt;=$AF280),ROUND($AG280,2),0))</f>
        <v/>
      </c>
      <c r="N280" s="18">
        <f>IF($Z280="","",IF(AND(DATE($AD280,5,1)&gt;=$AE280,DATE($AD280,5,1)&lt;=$AF280),ROUND($AG280,2),0))</f>
        <v/>
      </c>
      <c r="O280" s="18">
        <f>IF($Z280="","",IF(AND(DATE($AD280,6,1)&gt;=$AE280,DATE($AD280,6,1)&lt;=$AF280),ROUND($AG280,2),0))</f>
        <v/>
      </c>
      <c r="P280" s="18">
        <f>IF($Z280="","",IF(AND(DATE($AD280,7,1)&gt;=$AE280,DATE($AD280,7,1)&lt;=$AF280),ROUND($AG280,2),0))</f>
        <v/>
      </c>
      <c r="Q280" s="18">
        <f>IF($Z280="","",IF(AND(DATE($AD280,8,1)&gt;=$AE280,DATE($AD280,8,1)&lt;=$AF280),ROUND($AG280,2),0))</f>
        <v/>
      </c>
      <c r="R280" s="18">
        <f>IF($Z280="","",IF(AND(DATE($AD280,9,1)&gt;=$AE280,DATE($AD280,9,1)&lt;=$AF280),ROUND($AG280,2),0))</f>
        <v/>
      </c>
      <c r="S280" s="18">
        <f>IF($Z280="","",IF(AND(DATE($AD280,10,1)&gt;=$AE280,DATE($AD280,10,1)&lt;=$AF280),ROUND($AG280,2),0))</f>
        <v/>
      </c>
      <c r="T280" s="18">
        <f>IF($Z280="","",IF(AND(DATE($AD280,11,1)&gt;=$AE280,DATE($AD280,11,1)&lt;=$AF280),ROUND($AG280,2),0))</f>
        <v/>
      </c>
      <c r="U280" s="18">
        <f>IF($Z280="","",IF(AND(DATE($AD280,12,1)&gt;=$AE280,DATE($AD280,12,1)&lt;=$AF280),ROUND($AG280,2),0))</f>
        <v/>
      </c>
      <c r="V280" s="7">
        <f>IF($Z280="C","Generated from "&amp;INDEX(Contracts!$A$2:$A$151,$AB280),IF($Z280="A","Generated from "&amp;INDEX(Fixed_Assets!$A$2:$A$201,$AB280),IF($Z280="F","Generated from "&amp;INDEX(FTE_Allocation!$A$2:$A$201,$AB280),"")))</f>
        <v/>
      </c>
      <c r="X280" s="19">
        <f>IF($Z280="","",SUM(J280:U280))</f>
        <v/>
      </c>
      <c r="Y280" s="20">
        <f>ROW()-1</f>
        <v/>
      </c>
      <c r="Z280" s="20">
        <f>IF($Y280&lt;=Settings!$B$4*3,"C",IF($Y280&lt;=(Settings!$B$4+Settings!$B$5)*3,"A",IF($Y280&lt;=(Settings!$B$4+Settings!$B$5+Settings!$B$6)*3,"F","")))</f>
        <v/>
      </c>
      <c r="AA280" s="20">
        <f>IF($Z280="C",$Y280,IF($Z280="A",$Y280-Settings!$B$4*3,IF($Z280="F",$Y280-(Settings!$B$4+Settings!$B$5)*3,"")))</f>
        <v/>
      </c>
      <c r="AB280" s="20">
        <f>IF($Z280="","",INT(($AA280-1)/3)+1)</f>
        <v/>
      </c>
      <c r="AC280" s="20">
        <f>IF($Z280="","",MOD($AA280-1,3)+1)</f>
        <v/>
      </c>
      <c r="AD280" s="20">
        <f>IF($Z280="","",Settings!$B$2+$AC280-1)</f>
        <v/>
      </c>
      <c r="AE280" s="21">
        <f>IF($Z280="C",DATE(YEAR(INDEX(Contracts!$J$2:$J$151,$AB280)),MONTH(INDEX(Contracts!$J$2:$J$151,$AB280)),1),IF($Z280="A",DATE(YEAR(INDEX(Fixed_Assets!$G$2:$G$201,$AB280)),MONTH(INDEX(Fixed_Assets!$G$2:$G$201,$AB280)),1),IF($Z280="F",DATE(YEAR(MAX(N(INDEX(Workforce!$I$2:$I$151,MATCH(INDEX(FTE_Allocation!$A$2:$A$201,$AB280),Workforce!$A$2:$A$151,0))),N(INDEX(FTE_Allocation!$I$2:$I$201,$AB280)))),MONTH(MAX(N(INDEX(Workforce!$I$2:$I$151,MATCH(INDEX(FTE_Allocation!$A$2:$A$201,$AB280),Workforce!$A$2:$A$151,0))),N(INDEX(FTE_Allocation!$I$2:$I$201,$AB280)))),1),"")))</f>
        <v/>
      </c>
      <c r="AF280" s="21">
        <f>IF($Z280="C",IF(INDEX(Contracts!$I$2:$I$151,$AB280)="PREPAID",EDATE(DATE(YEAR(INDEX(Contracts!$J$2:$J$151,$AB280)),MONTH(INDEX(Contracts!$J$2:$J$151,$AB280)),1),IF(INDEX(Contracts!$N$2:$N$151,$AB280)="",12,INDEX(Contracts!$N$2:$N$151,$AB280))-1),IF(INDEX(Contracts!$I$2:$I$151,$AB280)="MONTHLY",IF(INDEX(Contracts!$K$2:$K$151,$AB280)="",2958101,INDEX(Contracts!$K$2:$K$151,$AB280)),0)),IF($Z280="A",EDATE(DATE(YEAR(INDEX(Fixed_Assets!$G$2:$G$201,$AB280)),MONTH(INDEX(Fixed_Assets!$G$2:$G$201,$AB280)),1),INDEX(Fixed_Assets!$J$2:$J$201,$AB280)-1),IF($Z280="F",MIN(IF(INDEX(Workforce!$J$2:$J$151,MATCH(INDEX(FTE_Allocation!$A$2:$A$201,$AB280),Workforce!$A$2:$A$151,0))="",2958101,INDEX(Workforce!$J$2:$J$151,MATCH(INDEX(FTE_Allocation!$A$2:$A$201,$AB280),Workforce!$A$2:$A$151,0))),IF(INDEX(FTE_Allocation!$J$2:$J$201,$AB280)="",2958101,INDEX(FTE_Allocation!$J$2:$J$201,$AB280))),"")))</f>
        <v/>
      </c>
      <c r="AG280" s="19">
        <f>IF($Z280="C",IF(INDEX(Contracts!$I$2:$I$151,$AB280)="PREPAID",INDEX(Contracts!$M$2:$M$151,$AB280)/IF(INDEX(Contracts!$N$2:$N$151,$AB280)="",12,INDEX(Contracts!$N$2:$N$151,$AB280)),IF(INDEX(Contracts!$I$2:$I$151,$AB280)="MONTHLY",INDEX(Contracts!$M$2:$M$151,$AB280),0))*(1-N(INDEX(Contracts!$O$2:$O$151,$AB280))),IF($Z280="A",INDEX(Fixed_Assets!$H$2:$H$201,$AB280)/INDEX(Fixed_Assets!$J$2:$J$201,$AB280),IF($Z280="F",INDEX(Workforce!$F$2:$F$151,MATCH(INDEX(FTE_Allocation!$A$2:$A$201,$AB280),Workforce!$A$2:$A$151,0))*N(INDEX(FTE_Allocation!$F$2:$H$201,$AB280,$AC280)),"")))</f>
        <v/>
      </c>
    </row>
    <row r="281">
      <c r="A281" s="7">
        <f>IF($Z281="","",$AD281)</f>
        <v/>
      </c>
      <c r="B281" s="7">
        <f>IF($Z281="C",INDEX(Contracts!$D$2:$D$151,$AB281)&amp;"",IF($Z281="A",INDEX(Fixed_Assets!$C$2:$C$201,$AB281)&amp;"",IF($Z281="F",INDEX(Workforce!$B$2:$B$151,MATCH(INDEX(FTE_Allocation!$A$2:$A$201,$AB281),Workforce!$A$2:$A$151,0))&amp;"","")))</f>
        <v/>
      </c>
      <c r="C281" s="7">
        <f>IF($Z281="C",INDEX(Contracts!$E$2:$E$151,$AB281)&amp;"",IF($Z281="A",INDEX(Fixed_Assets!$D$2:$D$201,$AB281)&amp;"",IF($Z281="F",INDEX(FTE_Allocation!$C$2:$C$201,$AB281)&amp;"","")))</f>
        <v/>
      </c>
      <c r="D281" s="7">
        <f>IF($Z281="C",INDEX(Contracts!$B$2:$B$151,$AB281)&amp;"",IF($Z281="A",INDEX(Fixed_Assets!$B$2:$B$201,$AB281)&amp;"",IF($Z281="F",INDEX(FTE_Allocation!$B$2:$B$201,$AB281)&amp;"","")))</f>
        <v/>
      </c>
      <c r="E281" s="7">
        <f>IF($Z281="C",INDEX(Contracts!$P$2:$P$151,$AB281)&amp;"",IF($Z281="A",INDEX(Fixed_Assets!$K$2:$K$201,$AB281)&amp;"",IF($Z281="F",IF(INDEX(FTE_Allocation!$D$2:$D$201,$AB281)="PROJECT",IFERROR(INDEX(Projects!$D:$D,MATCH(INDEX(FTE_Allocation!$E$2:$E$201,$AB281),Projects!$A:$A,0))&amp;"","#PROJECT?"),INDEX(FTE_Allocation!$E$2:$E$201,$AB281)&amp;""),"")))</f>
        <v/>
      </c>
      <c r="F281" s="7">
        <f>IF($Z281="C",INDEX(Contracts!$Q$2:$Q$151,$AB281)&amp;"",IF($Z281="A",INDEX(Fixed_Assets!$L$2:$L$201,$AB281)&amp;"",IF($Z281="F",INDEX(Workforce!$K$2:$K$151,MATCH(INDEX(FTE_Allocation!$A$2:$A$201,$AB281),Workforce!$A$2:$A$151,0))&amp;"","")))</f>
        <v/>
      </c>
      <c r="G281" s="7">
        <f>IF($Z281="C",INDEX(Contracts!$F$2:$F$151,$AB281)&amp;" / "&amp;INDEX(Contracts!$G$2:$G$151,$AB281),IF($Z281="A",INDEX(Fixed_Assets!$E$2:$E$201,$AB281)&amp;"",IF($Z281="F","Personnel "&amp;INDEX(FTE_Allocation!$A$2:$A$201,$AB281)&amp;IF(INDEX(FTE_Allocation!$D$2:$D$201,$AB281)="PROJECT"," ("&amp;INDEX(FTE_Allocation!$E$2:$E$201,$AB281)&amp;")",""),"")))</f>
        <v/>
      </c>
      <c r="H281" s="7">
        <f>IF($Z281="C","CONTRACT",IF($Z281="A","ASSET",IF($Z281="F","WORKFORCE","")))</f>
        <v/>
      </c>
      <c r="I281" s="7">
        <f>IF($Z281="C",INDEX(Contracts!$L$2:$L$151,$AB281)&amp;"",IF($Z281="A",INDEX(Fixed_Assets!$I$2:$I$201,$AB281)&amp;"",IF($Z281="F",INDEX(Workforce!$G$2:$G$151,MATCH(INDEX(FTE_Allocation!$A$2:$A$201,$AB281),Workforce!$A$2:$A$151,0))&amp;"","")))</f>
        <v/>
      </c>
      <c r="J281" s="18">
        <f>IF($Z281="","",IF(AND(DATE($AD281,1,1)&gt;=$AE281,DATE($AD281,1,1)&lt;=$AF281),ROUND($AG281,2),0))</f>
        <v/>
      </c>
      <c r="K281" s="18">
        <f>IF($Z281="","",IF(AND(DATE($AD281,2,1)&gt;=$AE281,DATE($AD281,2,1)&lt;=$AF281),ROUND($AG281,2),0))</f>
        <v/>
      </c>
      <c r="L281" s="18">
        <f>IF($Z281="","",IF(AND(DATE($AD281,3,1)&gt;=$AE281,DATE($AD281,3,1)&lt;=$AF281),ROUND($AG281,2),0))</f>
        <v/>
      </c>
      <c r="M281" s="18">
        <f>IF($Z281="","",IF(AND(DATE($AD281,4,1)&gt;=$AE281,DATE($AD281,4,1)&lt;=$AF281),ROUND($AG281,2),0))</f>
        <v/>
      </c>
      <c r="N281" s="18">
        <f>IF($Z281="","",IF(AND(DATE($AD281,5,1)&gt;=$AE281,DATE($AD281,5,1)&lt;=$AF281),ROUND($AG281,2),0))</f>
        <v/>
      </c>
      <c r="O281" s="18">
        <f>IF($Z281="","",IF(AND(DATE($AD281,6,1)&gt;=$AE281,DATE($AD281,6,1)&lt;=$AF281),ROUND($AG281,2),0))</f>
        <v/>
      </c>
      <c r="P281" s="18">
        <f>IF($Z281="","",IF(AND(DATE($AD281,7,1)&gt;=$AE281,DATE($AD281,7,1)&lt;=$AF281),ROUND($AG281,2),0))</f>
        <v/>
      </c>
      <c r="Q281" s="18">
        <f>IF($Z281="","",IF(AND(DATE($AD281,8,1)&gt;=$AE281,DATE($AD281,8,1)&lt;=$AF281),ROUND($AG281,2),0))</f>
        <v/>
      </c>
      <c r="R281" s="18">
        <f>IF($Z281="","",IF(AND(DATE($AD281,9,1)&gt;=$AE281,DATE($AD281,9,1)&lt;=$AF281),ROUND($AG281,2),0))</f>
        <v/>
      </c>
      <c r="S281" s="18">
        <f>IF($Z281="","",IF(AND(DATE($AD281,10,1)&gt;=$AE281,DATE($AD281,10,1)&lt;=$AF281),ROUND($AG281,2),0))</f>
        <v/>
      </c>
      <c r="T281" s="18">
        <f>IF($Z281="","",IF(AND(DATE($AD281,11,1)&gt;=$AE281,DATE($AD281,11,1)&lt;=$AF281),ROUND($AG281,2),0))</f>
        <v/>
      </c>
      <c r="U281" s="18">
        <f>IF($Z281="","",IF(AND(DATE($AD281,12,1)&gt;=$AE281,DATE($AD281,12,1)&lt;=$AF281),ROUND($AG281,2),0))</f>
        <v/>
      </c>
      <c r="V281" s="7">
        <f>IF($Z281="C","Generated from "&amp;INDEX(Contracts!$A$2:$A$151,$AB281),IF($Z281="A","Generated from "&amp;INDEX(Fixed_Assets!$A$2:$A$201,$AB281),IF($Z281="F","Generated from "&amp;INDEX(FTE_Allocation!$A$2:$A$201,$AB281),"")))</f>
        <v/>
      </c>
      <c r="X281" s="19">
        <f>IF($Z281="","",SUM(J281:U281))</f>
        <v/>
      </c>
      <c r="Y281" s="20">
        <f>ROW()-1</f>
        <v/>
      </c>
      <c r="Z281" s="20">
        <f>IF($Y281&lt;=Settings!$B$4*3,"C",IF($Y281&lt;=(Settings!$B$4+Settings!$B$5)*3,"A",IF($Y281&lt;=(Settings!$B$4+Settings!$B$5+Settings!$B$6)*3,"F","")))</f>
        <v/>
      </c>
      <c r="AA281" s="20">
        <f>IF($Z281="C",$Y281,IF($Z281="A",$Y281-Settings!$B$4*3,IF($Z281="F",$Y281-(Settings!$B$4+Settings!$B$5)*3,"")))</f>
        <v/>
      </c>
      <c r="AB281" s="20">
        <f>IF($Z281="","",INT(($AA281-1)/3)+1)</f>
        <v/>
      </c>
      <c r="AC281" s="20">
        <f>IF($Z281="","",MOD($AA281-1,3)+1)</f>
        <v/>
      </c>
      <c r="AD281" s="20">
        <f>IF($Z281="","",Settings!$B$2+$AC281-1)</f>
        <v/>
      </c>
      <c r="AE281" s="21">
        <f>IF($Z281="C",DATE(YEAR(INDEX(Contracts!$J$2:$J$151,$AB281)),MONTH(INDEX(Contracts!$J$2:$J$151,$AB281)),1),IF($Z281="A",DATE(YEAR(INDEX(Fixed_Assets!$G$2:$G$201,$AB281)),MONTH(INDEX(Fixed_Assets!$G$2:$G$201,$AB281)),1),IF($Z281="F",DATE(YEAR(MAX(N(INDEX(Workforce!$I$2:$I$151,MATCH(INDEX(FTE_Allocation!$A$2:$A$201,$AB281),Workforce!$A$2:$A$151,0))),N(INDEX(FTE_Allocation!$I$2:$I$201,$AB281)))),MONTH(MAX(N(INDEX(Workforce!$I$2:$I$151,MATCH(INDEX(FTE_Allocation!$A$2:$A$201,$AB281),Workforce!$A$2:$A$151,0))),N(INDEX(FTE_Allocation!$I$2:$I$201,$AB281)))),1),"")))</f>
        <v/>
      </c>
      <c r="AF281" s="21">
        <f>IF($Z281="C",IF(INDEX(Contracts!$I$2:$I$151,$AB281)="PREPAID",EDATE(DATE(YEAR(INDEX(Contracts!$J$2:$J$151,$AB281)),MONTH(INDEX(Contracts!$J$2:$J$151,$AB281)),1),IF(INDEX(Contracts!$N$2:$N$151,$AB281)="",12,INDEX(Contracts!$N$2:$N$151,$AB281))-1),IF(INDEX(Contracts!$I$2:$I$151,$AB281)="MONTHLY",IF(INDEX(Contracts!$K$2:$K$151,$AB281)="",2958101,INDEX(Contracts!$K$2:$K$151,$AB281)),0)),IF($Z281="A",EDATE(DATE(YEAR(INDEX(Fixed_Assets!$G$2:$G$201,$AB281)),MONTH(INDEX(Fixed_Assets!$G$2:$G$201,$AB281)),1),INDEX(Fixed_Assets!$J$2:$J$201,$AB281)-1),IF($Z281="F",MIN(IF(INDEX(Workforce!$J$2:$J$151,MATCH(INDEX(FTE_Allocation!$A$2:$A$201,$AB281),Workforce!$A$2:$A$151,0))="",2958101,INDEX(Workforce!$J$2:$J$151,MATCH(INDEX(FTE_Allocation!$A$2:$A$201,$AB281),Workforce!$A$2:$A$151,0))),IF(INDEX(FTE_Allocation!$J$2:$J$201,$AB281)="",2958101,INDEX(FTE_Allocation!$J$2:$J$201,$AB281))),"")))</f>
        <v/>
      </c>
      <c r="AG281" s="19">
        <f>IF($Z281="C",IF(INDEX(Contracts!$I$2:$I$151,$AB281)="PREPAID",INDEX(Contracts!$M$2:$M$151,$AB281)/IF(INDEX(Contracts!$N$2:$N$151,$AB281)="",12,INDEX(Contracts!$N$2:$N$151,$AB281)),IF(INDEX(Contracts!$I$2:$I$151,$AB281)="MONTHLY",INDEX(Contracts!$M$2:$M$151,$AB281),0))*(1-N(INDEX(Contracts!$O$2:$O$151,$AB281))),IF($Z281="A",INDEX(Fixed_Assets!$H$2:$H$201,$AB281)/INDEX(Fixed_Assets!$J$2:$J$201,$AB281),IF($Z281="F",INDEX(Workforce!$F$2:$F$151,MATCH(INDEX(FTE_Allocation!$A$2:$A$201,$AB281),Workforce!$A$2:$A$151,0))*N(INDEX(FTE_Allocation!$F$2:$H$201,$AB281,$AC281)),"")))</f>
        <v/>
      </c>
    </row>
    <row r="282">
      <c r="A282" s="7">
        <f>IF($Z282="","",$AD282)</f>
        <v/>
      </c>
      <c r="B282" s="7">
        <f>IF($Z282="C",INDEX(Contracts!$D$2:$D$151,$AB282)&amp;"",IF($Z282="A",INDEX(Fixed_Assets!$C$2:$C$201,$AB282)&amp;"",IF($Z282="F",INDEX(Workforce!$B$2:$B$151,MATCH(INDEX(FTE_Allocation!$A$2:$A$201,$AB282),Workforce!$A$2:$A$151,0))&amp;"","")))</f>
        <v/>
      </c>
      <c r="C282" s="7">
        <f>IF($Z282="C",INDEX(Contracts!$E$2:$E$151,$AB282)&amp;"",IF($Z282="A",INDEX(Fixed_Assets!$D$2:$D$201,$AB282)&amp;"",IF($Z282="F",INDEX(FTE_Allocation!$C$2:$C$201,$AB282)&amp;"","")))</f>
        <v/>
      </c>
      <c r="D282" s="7">
        <f>IF($Z282="C",INDEX(Contracts!$B$2:$B$151,$AB282)&amp;"",IF($Z282="A",INDEX(Fixed_Assets!$B$2:$B$201,$AB282)&amp;"",IF($Z282="F",INDEX(FTE_Allocation!$B$2:$B$201,$AB282)&amp;"","")))</f>
        <v/>
      </c>
      <c r="E282" s="7">
        <f>IF($Z282="C",INDEX(Contracts!$P$2:$P$151,$AB282)&amp;"",IF($Z282="A",INDEX(Fixed_Assets!$K$2:$K$201,$AB282)&amp;"",IF($Z282="F",IF(INDEX(FTE_Allocation!$D$2:$D$201,$AB282)="PROJECT",IFERROR(INDEX(Projects!$D:$D,MATCH(INDEX(FTE_Allocation!$E$2:$E$201,$AB282),Projects!$A:$A,0))&amp;"","#PROJECT?"),INDEX(FTE_Allocation!$E$2:$E$201,$AB282)&amp;""),"")))</f>
        <v/>
      </c>
      <c r="F282" s="7">
        <f>IF($Z282="C",INDEX(Contracts!$Q$2:$Q$151,$AB282)&amp;"",IF($Z282="A",INDEX(Fixed_Assets!$L$2:$L$201,$AB282)&amp;"",IF($Z282="F",INDEX(Workforce!$K$2:$K$151,MATCH(INDEX(FTE_Allocation!$A$2:$A$201,$AB282),Workforce!$A$2:$A$151,0))&amp;"","")))</f>
        <v/>
      </c>
      <c r="G282" s="7">
        <f>IF($Z282="C",INDEX(Contracts!$F$2:$F$151,$AB282)&amp;" / "&amp;INDEX(Contracts!$G$2:$G$151,$AB282),IF($Z282="A",INDEX(Fixed_Assets!$E$2:$E$201,$AB282)&amp;"",IF($Z282="F","Personnel "&amp;INDEX(FTE_Allocation!$A$2:$A$201,$AB282)&amp;IF(INDEX(FTE_Allocation!$D$2:$D$201,$AB282)="PROJECT"," ("&amp;INDEX(FTE_Allocation!$E$2:$E$201,$AB282)&amp;")",""),"")))</f>
        <v/>
      </c>
      <c r="H282" s="7">
        <f>IF($Z282="C","CONTRACT",IF($Z282="A","ASSET",IF($Z282="F","WORKFORCE","")))</f>
        <v/>
      </c>
      <c r="I282" s="7">
        <f>IF($Z282="C",INDEX(Contracts!$L$2:$L$151,$AB282)&amp;"",IF($Z282="A",INDEX(Fixed_Assets!$I$2:$I$201,$AB282)&amp;"",IF($Z282="F",INDEX(Workforce!$G$2:$G$151,MATCH(INDEX(FTE_Allocation!$A$2:$A$201,$AB282),Workforce!$A$2:$A$151,0))&amp;"","")))</f>
        <v/>
      </c>
      <c r="J282" s="18">
        <f>IF($Z282="","",IF(AND(DATE($AD282,1,1)&gt;=$AE282,DATE($AD282,1,1)&lt;=$AF282),ROUND($AG282,2),0))</f>
        <v/>
      </c>
      <c r="K282" s="18">
        <f>IF($Z282="","",IF(AND(DATE($AD282,2,1)&gt;=$AE282,DATE($AD282,2,1)&lt;=$AF282),ROUND($AG282,2),0))</f>
        <v/>
      </c>
      <c r="L282" s="18">
        <f>IF($Z282="","",IF(AND(DATE($AD282,3,1)&gt;=$AE282,DATE($AD282,3,1)&lt;=$AF282),ROUND($AG282,2),0))</f>
        <v/>
      </c>
      <c r="M282" s="18">
        <f>IF($Z282="","",IF(AND(DATE($AD282,4,1)&gt;=$AE282,DATE($AD282,4,1)&lt;=$AF282),ROUND($AG282,2),0))</f>
        <v/>
      </c>
      <c r="N282" s="18">
        <f>IF($Z282="","",IF(AND(DATE($AD282,5,1)&gt;=$AE282,DATE($AD282,5,1)&lt;=$AF282),ROUND($AG282,2),0))</f>
        <v/>
      </c>
      <c r="O282" s="18">
        <f>IF($Z282="","",IF(AND(DATE($AD282,6,1)&gt;=$AE282,DATE($AD282,6,1)&lt;=$AF282),ROUND($AG282,2),0))</f>
        <v/>
      </c>
      <c r="P282" s="18">
        <f>IF($Z282="","",IF(AND(DATE($AD282,7,1)&gt;=$AE282,DATE($AD282,7,1)&lt;=$AF282),ROUND($AG282,2),0))</f>
        <v/>
      </c>
      <c r="Q282" s="18">
        <f>IF($Z282="","",IF(AND(DATE($AD282,8,1)&gt;=$AE282,DATE($AD282,8,1)&lt;=$AF282),ROUND($AG282,2),0))</f>
        <v/>
      </c>
      <c r="R282" s="18">
        <f>IF($Z282="","",IF(AND(DATE($AD282,9,1)&gt;=$AE282,DATE($AD282,9,1)&lt;=$AF282),ROUND($AG282,2),0))</f>
        <v/>
      </c>
      <c r="S282" s="18">
        <f>IF($Z282="","",IF(AND(DATE($AD282,10,1)&gt;=$AE282,DATE($AD282,10,1)&lt;=$AF282),ROUND($AG282,2),0))</f>
        <v/>
      </c>
      <c r="T282" s="18">
        <f>IF($Z282="","",IF(AND(DATE($AD282,11,1)&gt;=$AE282,DATE($AD282,11,1)&lt;=$AF282),ROUND($AG282,2),0))</f>
        <v/>
      </c>
      <c r="U282" s="18">
        <f>IF($Z282="","",IF(AND(DATE($AD282,12,1)&gt;=$AE282,DATE($AD282,12,1)&lt;=$AF282),ROUND($AG282,2),0))</f>
        <v/>
      </c>
      <c r="V282" s="7">
        <f>IF($Z282="C","Generated from "&amp;INDEX(Contracts!$A$2:$A$151,$AB282),IF($Z282="A","Generated from "&amp;INDEX(Fixed_Assets!$A$2:$A$201,$AB282),IF($Z282="F","Generated from "&amp;INDEX(FTE_Allocation!$A$2:$A$201,$AB282),"")))</f>
        <v/>
      </c>
      <c r="X282" s="19">
        <f>IF($Z282="","",SUM(J282:U282))</f>
        <v/>
      </c>
      <c r="Y282" s="20">
        <f>ROW()-1</f>
        <v/>
      </c>
      <c r="Z282" s="20">
        <f>IF($Y282&lt;=Settings!$B$4*3,"C",IF($Y282&lt;=(Settings!$B$4+Settings!$B$5)*3,"A",IF($Y282&lt;=(Settings!$B$4+Settings!$B$5+Settings!$B$6)*3,"F","")))</f>
        <v/>
      </c>
      <c r="AA282" s="20">
        <f>IF($Z282="C",$Y282,IF($Z282="A",$Y282-Settings!$B$4*3,IF($Z282="F",$Y282-(Settings!$B$4+Settings!$B$5)*3,"")))</f>
        <v/>
      </c>
      <c r="AB282" s="20">
        <f>IF($Z282="","",INT(($AA282-1)/3)+1)</f>
        <v/>
      </c>
      <c r="AC282" s="20">
        <f>IF($Z282="","",MOD($AA282-1,3)+1)</f>
        <v/>
      </c>
      <c r="AD282" s="20">
        <f>IF($Z282="","",Settings!$B$2+$AC282-1)</f>
        <v/>
      </c>
      <c r="AE282" s="21">
        <f>IF($Z282="C",DATE(YEAR(INDEX(Contracts!$J$2:$J$151,$AB282)),MONTH(INDEX(Contracts!$J$2:$J$151,$AB282)),1),IF($Z282="A",DATE(YEAR(INDEX(Fixed_Assets!$G$2:$G$201,$AB282)),MONTH(INDEX(Fixed_Assets!$G$2:$G$201,$AB282)),1),IF($Z282="F",DATE(YEAR(MAX(N(INDEX(Workforce!$I$2:$I$151,MATCH(INDEX(FTE_Allocation!$A$2:$A$201,$AB282),Workforce!$A$2:$A$151,0))),N(INDEX(FTE_Allocation!$I$2:$I$201,$AB282)))),MONTH(MAX(N(INDEX(Workforce!$I$2:$I$151,MATCH(INDEX(FTE_Allocation!$A$2:$A$201,$AB282),Workforce!$A$2:$A$151,0))),N(INDEX(FTE_Allocation!$I$2:$I$201,$AB282)))),1),"")))</f>
        <v/>
      </c>
      <c r="AF282" s="21">
        <f>IF($Z282="C",IF(INDEX(Contracts!$I$2:$I$151,$AB282)="PREPAID",EDATE(DATE(YEAR(INDEX(Contracts!$J$2:$J$151,$AB282)),MONTH(INDEX(Contracts!$J$2:$J$151,$AB282)),1),IF(INDEX(Contracts!$N$2:$N$151,$AB282)="",12,INDEX(Contracts!$N$2:$N$151,$AB282))-1),IF(INDEX(Contracts!$I$2:$I$151,$AB282)="MONTHLY",IF(INDEX(Contracts!$K$2:$K$151,$AB282)="",2958101,INDEX(Contracts!$K$2:$K$151,$AB282)),0)),IF($Z282="A",EDATE(DATE(YEAR(INDEX(Fixed_Assets!$G$2:$G$201,$AB282)),MONTH(INDEX(Fixed_Assets!$G$2:$G$201,$AB282)),1),INDEX(Fixed_Assets!$J$2:$J$201,$AB282)-1),IF($Z282="F",MIN(IF(INDEX(Workforce!$J$2:$J$151,MATCH(INDEX(FTE_Allocation!$A$2:$A$201,$AB282),Workforce!$A$2:$A$151,0))="",2958101,INDEX(Workforce!$J$2:$J$151,MATCH(INDEX(FTE_Allocation!$A$2:$A$201,$AB282),Workforce!$A$2:$A$151,0))),IF(INDEX(FTE_Allocation!$J$2:$J$201,$AB282)="",2958101,INDEX(FTE_Allocation!$J$2:$J$201,$AB282))),"")))</f>
        <v/>
      </c>
      <c r="AG282" s="19">
        <f>IF($Z282="C",IF(INDEX(Contracts!$I$2:$I$151,$AB282)="PREPAID",INDEX(Contracts!$M$2:$M$151,$AB282)/IF(INDEX(Contracts!$N$2:$N$151,$AB282)="",12,INDEX(Contracts!$N$2:$N$151,$AB282)),IF(INDEX(Contracts!$I$2:$I$151,$AB282)="MONTHLY",INDEX(Contracts!$M$2:$M$151,$AB282),0))*(1-N(INDEX(Contracts!$O$2:$O$151,$AB282))),IF($Z282="A",INDEX(Fixed_Assets!$H$2:$H$201,$AB282)/INDEX(Fixed_Assets!$J$2:$J$201,$AB282),IF($Z282="F",INDEX(Workforce!$F$2:$F$151,MATCH(INDEX(FTE_Allocation!$A$2:$A$201,$AB282),Workforce!$A$2:$A$151,0))*N(INDEX(FTE_Allocation!$F$2:$H$201,$AB282,$AC282)),"")))</f>
        <v/>
      </c>
    </row>
    <row r="283">
      <c r="A283" s="7">
        <f>IF($Z283="","",$AD283)</f>
        <v/>
      </c>
      <c r="B283" s="7">
        <f>IF($Z283="C",INDEX(Contracts!$D$2:$D$151,$AB283)&amp;"",IF($Z283="A",INDEX(Fixed_Assets!$C$2:$C$201,$AB283)&amp;"",IF($Z283="F",INDEX(Workforce!$B$2:$B$151,MATCH(INDEX(FTE_Allocation!$A$2:$A$201,$AB283),Workforce!$A$2:$A$151,0))&amp;"","")))</f>
        <v/>
      </c>
      <c r="C283" s="7">
        <f>IF($Z283="C",INDEX(Contracts!$E$2:$E$151,$AB283)&amp;"",IF($Z283="A",INDEX(Fixed_Assets!$D$2:$D$201,$AB283)&amp;"",IF($Z283="F",INDEX(FTE_Allocation!$C$2:$C$201,$AB283)&amp;"","")))</f>
        <v/>
      </c>
      <c r="D283" s="7">
        <f>IF($Z283="C",INDEX(Contracts!$B$2:$B$151,$AB283)&amp;"",IF($Z283="A",INDEX(Fixed_Assets!$B$2:$B$201,$AB283)&amp;"",IF($Z283="F",INDEX(FTE_Allocation!$B$2:$B$201,$AB283)&amp;"","")))</f>
        <v/>
      </c>
      <c r="E283" s="7">
        <f>IF($Z283="C",INDEX(Contracts!$P$2:$P$151,$AB283)&amp;"",IF($Z283="A",INDEX(Fixed_Assets!$K$2:$K$201,$AB283)&amp;"",IF($Z283="F",IF(INDEX(FTE_Allocation!$D$2:$D$201,$AB283)="PROJECT",IFERROR(INDEX(Projects!$D:$D,MATCH(INDEX(FTE_Allocation!$E$2:$E$201,$AB283),Projects!$A:$A,0))&amp;"","#PROJECT?"),INDEX(FTE_Allocation!$E$2:$E$201,$AB283)&amp;""),"")))</f>
        <v/>
      </c>
      <c r="F283" s="7">
        <f>IF($Z283="C",INDEX(Contracts!$Q$2:$Q$151,$AB283)&amp;"",IF($Z283="A",INDEX(Fixed_Assets!$L$2:$L$201,$AB283)&amp;"",IF($Z283="F",INDEX(Workforce!$K$2:$K$151,MATCH(INDEX(FTE_Allocation!$A$2:$A$201,$AB283),Workforce!$A$2:$A$151,0))&amp;"","")))</f>
        <v/>
      </c>
      <c r="G283" s="7">
        <f>IF($Z283="C",INDEX(Contracts!$F$2:$F$151,$AB283)&amp;" / "&amp;INDEX(Contracts!$G$2:$G$151,$AB283),IF($Z283="A",INDEX(Fixed_Assets!$E$2:$E$201,$AB283)&amp;"",IF($Z283="F","Personnel "&amp;INDEX(FTE_Allocation!$A$2:$A$201,$AB283)&amp;IF(INDEX(FTE_Allocation!$D$2:$D$201,$AB283)="PROJECT"," ("&amp;INDEX(FTE_Allocation!$E$2:$E$201,$AB283)&amp;")",""),"")))</f>
        <v/>
      </c>
      <c r="H283" s="7">
        <f>IF($Z283="C","CONTRACT",IF($Z283="A","ASSET",IF($Z283="F","WORKFORCE","")))</f>
        <v/>
      </c>
      <c r="I283" s="7">
        <f>IF($Z283="C",INDEX(Contracts!$L$2:$L$151,$AB283)&amp;"",IF($Z283="A",INDEX(Fixed_Assets!$I$2:$I$201,$AB283)&amp;"",IF($Z283="F",INDEX(Workforce!$G$2:$G$151,MATCH(INDEX(FTE_Allocation!$A$2:$A$201,$AB283),Workforce!$A$2:$A$151,0))&amp;"","")))</f>
        <v/>
      </c>
      <c r="J283" s="18">
        <f>IF($Z283="","",IF(AND(DATE($AD283,1,1)&gt;=$AE283,DATE($AD283,1,1)&lt;=$AF283),ROUND($AG283,2),0))</f>
        <v/>
      </c>
      <c r="K283" s="18">
        <f>IF($Z283="","",IF(AND(DATE($AD283,2,1)&gt;=$AE283,DATE($AD283,2,1)&lt;=$AF283),ROUND($AG283,2),0))</f>
        <v/>
      </c>
      <c r="L283" s="18">
        <f>IF($Z283="","",IF(AND(DATE($AD283,3,1)&gt;=$AE283,DATE($AD283,3,1)&lt;=$AF283),ROUND($AG283,2),0))</f>
        <v/>
      </c>
      <c r="M283" s="18">
        <f>IF($Z283="","",IF(AND(DATE($AD283,4,1)&gt;=$AE283,DATE($AD283,4,1)&lt;=$AF283),ROUND($AG283,2),0))</f>
        <v/>
      </c>
      <c r="N283" s="18">
        <f>IF($Z283="","",IF(AND(DATE($AD283,5,1)&gt;=$AE283,DATE($AD283,5,1)&lt;=$AF283),ROUND($AG283,2),0))</f>
        <v/>
      </c>
      <c r="O283" s="18">
        <f>IF($Z283="","",IF(AND(DATE($AD283,6,1)&gt;=$AE283,DATE($AD283,6,1)&lt;=$AF283),ROUND($AG283,2),0))</f>
        <v/>
      </c>
      <c r="P283" s="18">
        <f>IF($Z283="","",IF(AND(DATE($AD283,7,1)&gt;=$AE283,DATE($AD283,7,1)&lt;=$AF283),ROUND($AG283,2),0))</f>
        <v/>
      </c>
      <c r="Q283" s="18">
        <f>IF($Z283="","",IF(AND(DATE($AD283,8,1)&gt;=$AE283,DATE($AD283,8,1)&lt;=$AF283),ROUND($AG283,2),0))</f>
        <v/>
      </c>
      <c r="R283" s="18">
        <f>IF($Z283="","",IF(AND(DATE($AD283,9,1)&gt;=$AE283,DATE($AD283,9,1)&lt;=$AF283),ROUND($AG283,2),0))</f>
        <v/>
      </c>
      <c r="S283" s="18">
        <f>IF($Z283="","",IF(AND(DATE($AD283,10,1)&gt;=$AE283,DATE($AD283,10,1)&lt;=$AF283),ROUND($AG283,2),0))</f>
        <v/>
      </c>
      <c r="T283" s="18">
        <f>IF($Z283="","",IF(AND(DATE($AD283,11,1)&gt;=$AE283,DATE($AD283,11,1)&lt;=$AF283),ROUND($AG283,2),0))</f>
        <v/>
      </c>
      <c r="U283" s="18">
        <f>IF($Z283="","",IF(AND(DATE($AD283,12,1)&gt;=$AE283,DATE($AD283,12,1)&lt;=$AF283),ROUND($AG283,2),0))</f>
        <v/>
      </c>
      <c r="V283" s="7">
        <f>IF($Z283="C","Generated from "&amp;INDEX(Contracts!$A$2:$A$151,$AB283),IF($Z283="A","Generated from "&amp;INDEX(Fixed_Assets!$A$2:$A$201,$AB283),IF($Z283="F","Generated from "&amp;INDEX(FTE_Allocation!$A$2:$A$201,$AB283),"")))</f>
        <v/>
      </c>
      <c r="X283" s="19">
        <f>IF($Z283="","",SUM(J283:U283))</f>
        <v/>
      </c>
      <c r="Y283" s="20">
        <f>ROW()-1</f>
        <v/>
      </c>
      <c r="Z283" s="20">
        <f>IF($Y283&lt;=Settings!$B$4*3,"C",IF($Y283&lt;=(Settings!$B$4+Settings!$B$5)*3,"A",IF($Y283&lt;=(Settings!$B$4+Settings!$B$5+Settings!$B$6)*3,"F","")))</f>
        <v/>
      </c>
      <c r="AA283" s="20">
        <f>IF($Z283="C",$Y283,IF($Z283="A",$Y283-Settings!$B$4*3,IF($Z283="F",$Y283-(Settings!$B$4+Settings!$B$5)*3,"")))</f>
        <v/>
      </c>
      <c r="AB283" s="20">
        <f>IF($Z283="","",INT(($AA283-1)/3)+1)</f>
        <v/>
      </c>
      <c r="AC283" s="20">
        <f>IF($Z283="","",MOD($AA283-1,3)+1)</f>
        <v/>
      </c>
      <c r="AD283" s="20">
        <f>IF($Z283="","",Settings!$B$2+$AC283-1)</f>
        <v/>
      </c>
      <c r="AE283" s="21">
        <f>IF($Z283="C",DATE(YEAR(INDEX(Contracts!$J$2:$J$151,$AB283)),MONTH(INDEX(Contracts!$J$2:$J$151,$AB283)),1),IF($Z283="A",DATE(YEAR(INDEX(Fixed_Assets!$G$2:$G$201,$AB283)),MONTH(INDEX(Fixed_Assets!$G$2:$G$201,$AB283)),1),IF($Z283="F",DATE(YEAR(MAX(N(INDEX(Workforce!$I$2:$I$151,MATCH(INDEX(FTE_Allocation!$A$2:$A$201,$AB283),Workforce!$A$2:$A$151,0))),N(INDEX(FTE_Allocation!$I$2:$I$201,$AB283)))),MONTH(MAX(N(INDEX(Workforce!$I$2:$I$151,MATCH(INDEX(FTE_Allocation!$A$2:$A$201,$AB283),Workforce!$A$2:$A$151,0))),N(INDEX(FTE_Allocation!$I$2:$I$201,$AB283)))),1),"")))</f>
        <v/>
      </c>
      <c r="AF283" s="21">
        <f>IF($Z283="C",IF(INDEX(Contracts!$I$2:$I$151,$AB283)="PREPAID",EDATE(DATE(YEAR(INDEX(Contracts!$J$2:$J$151,$AB283)),MONTH(INDEX(Contracts!$J$2:$J$151,$AB283)),1),IF(INDEX(Contracts!$N$2:$N$151,$AB283)="",12,INDEX(Contracts!$N$2:$N$151,$AB283))-1),IF(INDEX(Contracts!$I$2:$I$151,$AB283)="MONTHLY",IF(INDEX(Contracts!$K$2:$K$151,$AB283)="",2958101,INDEX(Contracts!$K$2:$K$151,$AB283)),0)),IF($Z283="A",EDATE(DATE(YEAR(INDEX(Fixed_Assets!$G$2:$G$201,$AB283)),MONTH(INDEX(Fixed_Assets!$G$2:$G$201,$AB283)),1),INDEX(Fixed_Assets!$J$2:$J$201,$AB283)-1),IF($Z283="F",MIN(IF(INDEX(Workforce!$J$2:$J$151,MATCH(INDEX(FTE_Allocation!$A$2:$A$201,$AB283),Workforce!$A$2:$A$151,0))="",2958101,INDEX(Workforce!$J$2:$J$151,MATCH(INDEX(FTE_Allocation!$A$2:$A$201,$AB283),Workforce!$A$2:$A$151,0))),IF(INDEX(FTE_Allocation!$J$2:$J$201,$AB283)="",2958101,INDEX(FTE_Allocation!$J$2:$J$201,$AB283))),"")))</f>
        <v/>
      </c>
      <c r="AG283" s="19">
        <f>IF($Z283="C",IF(INDEX(Contracts!$I$2:$I$151,$AB283)="PREPAID",INDEX(Contracts!$M$2:$M$151,$AB283)/IF(INDEX(Contracts!$N$2:$N$151,$AB283)="",12,INDEX(Contracts!$N$2:$N$151,$AB283)),IF(INDEX(Contracts!$I$2:$I$151,$AB283)="MONTHLY",INDEX(Contracts!$M$2:$M$151,$AB283),0))*(1-N(INDEX(Contracts!$O$2:$O$151,$AB283))),IF($Z283="A",INDEX(Fixed_Assets!$H$2:$H$201,$AB283)/INDEX(Fixed_Assets!$J$2:$J$201,$AB283),IF($Z283="F",INDEX(Workforce!$F$2:$F$151,MATCH(INDEX(FTE_Allocation!$A$2:$A$201,$AB283),Workforce!$A$2:$A$151,0))*N(INDEX(FTE_Allocation!$F$2:$H$201,$AB283,$AC283)),"")))</f>
        <v/>
      </c>
    </row>
    <row r="284">
      <c r="A284" s="7">
        <f>IF($Z284="","",$AD284)</f>
        <v/>
      </c>
      <c r="B284" s="7">
        <f>IF($Z284="C",INDEX(Contracts!$D$2:$D$151,$AB284)&amp;"",IF($Z284="A",INDEX(Fixed_Assets!$C$2:$C$201,$AB284)&amp;"",IF($Z284="F",INDEX(Workforce!$B$2:$B$151,MATCH(INDEX(FTE_Allocation!$A$2:$A$201,$AB284),Workforce!$A$2:$A$151,0))&amp;"","")))</f>
        <v/>
      </c>
      <c r="C284" s="7">
        <f>IF($Z284="C",INDEX(Contracts!$E$2:$E$151,$AB284)&amp;"",IF($Z284="A",INDEX(Fixed_Assets!$D$2:$D$201,$AB284)&amp;"",IF($Z284="F",INDEX(FTE_Allocation!$C$2:$C$201,$AB284)&amp;"","")))</f>
        <v/>
      </c>
      <c r="D284" s="7">
        <f>IF($Z284="C",INDEX(Contracts!$B$2:$B$151,$AB284)&amp;"",IF($Z284="A",INDEX(Fixed_Assets!$B$2:$B$201,$AB284)&amp;"",IF($Z284="F",INDEX(FTE_Allocation!$B$2:$B$201,$AB284)&amp;"","")))</f>
        <v/>
      </c>
      <c r="E284" s="7">
        <f>IF($Z284="C",INDEX(Contracts!$P$2:$P$151,$AB284)&amp;"",IF($Z284="A",INDEX(Fixed_Assets!$K$2:$K$201,$AB284)&amp;"",IF($Z284="F",IF(INDEX(FTE_Allocation!$D$2:$D$201,$AB284)="PROJECT",IFERROR(INDEX(Projects!$D:$D,MATCH(INDEX(FTE_Allocation!$E$2:$E$201,$AB284),Projects!$A:$A,0))&amp;"","#PROJECT?"),INDEX(FTE_Allocation!$E$2:$E$201,$AB284)&amp;""),"")))</f>
        <v/>
      </c>
      <c r="F284" s="7">
        <f>IF($Z284="C",INDEX(Contracts!$Q$2:$Q$151,$AB284)&amp;"",IF($Z284="A",INDEX(Fixed_Assets!$L$2:$L$201,$AB284)&amp;"",IF($Z284="F",INDEX(Workforce!$K$2:$K$151,MATCH(INDEX(FTE_Allocation!$A$2:$A$201,$AB284),Workforce!$A$2:$A$151,0))&amp;"","")))</f>
        <v/>
      </c>
      <c r="G284" s="7">
        <f>IF($Z284="C",INDEX(Contracts!$F$2:$F$151,$AB284)&amp;" / "&amp;INDEX(Contracts!$G$2:$G$151,$AB284),IF($Z284="A",INDEX(Fixed_Assets!$E$2:$E$201,$AB284)&amp;"",IF($Z284="F","Personnel "&amp;INDEX(FTE_Allocation!$A$2:$A$201,$AB284)&amp;IF(INDEX(FTE_Allocation!$D$2:$D$201,$AB284)="PROJECT"," ("&amp;INDEX(FTE_Allocation!$E$2:$E$201,$AB284)&amp;")",""),"")))</f>
        <v/>
      </c>
      <c r="H284" s="7">
        <f>IF($Z284="C","CONTRACT",IF($Z284="A","ASSET",IF($Z284="F","WORKFORCE","")))</f>
        <v/>
      </c>
      <c r="I284" s="7">
        <f>IF($Z284="C",INDEX(Contracts!$L$2:$L$151,$AB284)&amp;"",IF($Z284="A",INDEX(Fixed_Assets!$I$2:$I$201,$AB284)&amp;"",IF($Z284="F",INDEX(Workforce!$G$2:$G$151,MATCH(INDEX(FTE_Allocation!$A$2:$A$201,$AB284),Workforce!$A$2:$A$151,0))&amp;"","")))</f>
        <v/>
      </c>
      <c r="J284" s="18">
        <f>IF($Z284="","",IF(AND(DATE($AD284,1,1)&gt;=$AE284,DATE($AD284,1,1)&lt;=$AF284),ROUND($AG284,2),0))</f>
        <v/>
      </c>
      <c r="K284" s="18">
        <f>IF($Z284="","",IF(AND(DATE($AD284,2,1)&gt;=$AE284,DATE($AD284,2,1)&lt;=$AF284),ROUND($AG284,2),0))</f>
        <v/>
      </c>
      <c r="L284" s="18">
        <f>IF($Z284="","",IF(AND(DATE($AD284,3,1)&gt;=$AE284,DATE($AD284,3,1)&lt;=$AF284),ROUND($AG284,2),0))</f>
        <v/>
      </c>
      <c r="M284" s="18">
        <f>IF($Z284="","",IF(AND(DATE($AD284,4,1)&gt;=$AE284,DATE($AD284,4,1)&lt;=$AF284),ROUND($AG284,2),0))</f>
        <v/>
      </c>
      <c r="N284" s="18">
        <f>IF($Z284="","",IF(AND(DATE($AD284,5,1)&gt;=$AE284,DATE($AD284,5,1)&lt;=$AF284),ROUND($AG284,2),0))</f>
        <v/>
      </c>
      <c r="O284" s="18">
        <f>IF($Z284="","",IF(AND(DATE($AD284,6,1)&gt;=$AE284,DATE($AD284,6,1)&lt;=$AF284),ROUND($AG284,2),0))</f>
        <v/>
      </c>
      <c r="P284" s="18">
        <f>IF($Z284="","",IF(AND(DATE($AD284,7,1)&gt;=$AE284,DATE($AD284,7,1)&lt;=$AF284),ROUND($AG284,2),0))</f>
        <v/>
      </c>
      <c r="Q284" s="18">
        <f>IF($Z284="","",IF(AND(DATE($AD284,8,1)&gt;=$AE284,DATE($AD284,8,1)&lt;=$AF284),ROUND($AG284,2),0))</f>
        <v/>
      </c>
      <c r="R284" s="18">
        <f>IF($Z284="","",IF(AND(DATE($AD284,9,1)&gt;=$AE284,DATE($AD284,9,1)&lt;=$AF284),ROUND($AG284,2),0))</f>
        <v/>
      </c>
      <c r="S284" s="18">
        <f>IF($Z284="","",IF(AND(DATE($AD284,10,1)&gt;=$AE284,DATE($AD284,10,1)&lt;=$AF284),ROUND($AG284,2),0))</f>
        <v/>
      </c>
      <c r="T284" s="18">
        <f>IF($Z284="","",IF(AND(DATE($AD284,11,1)&gt;=$AE284,DATE($AD284,11,1)&lt;=$AF284),ROUND($AG284,2),0))</f>
        <v/>
      </c>
      <c r="U284" s="18">
        <f>IF($Z284="","",IF(AND(DATE($AD284,12,1)&gt;=$AE284,DATE($AD284,12,1)&lt;=$AF284),ROUND($AG284,2),0))</f>
        <v/>
      </c>
      <c r="V284" s="7">
        <f>IF($Z284="C","Generated from "&amp;INDEX(Contracts!$A$2:$A$151,$AB284),IF($Z284="A","Generated from "&amp;INDEX(Fixed_Assets!$A$2:$A$201,$AB284),IF($Z284="F","Generated from "&amp;INDEX(FTE_Allocation!$A$2:$A$201,$AB284),"")))</f>
        <v/>
      </c>
      <c r="X284" s="19">
        <f>IF($Z284="","",SUM(J284:U284))</f>
        <v/>
      </c>
      <c r="Y284" s="20">
        <f>ROW()-1</f>
        <v/>
      </c>
      <c r="Z284" s="20">
        <f>IF($Y284&lt;=Settings!$B$4*3,"C",IF($Y284&lt;=(Settings!$B$4+Settings!$B$5)*3,"A",IF($Y284&lt;=(Settings!$B$4+Settings!$B$5+Settings!$B$6)*3,"F","")))</f>
        <v/>
      </c>
      <c r="AA284" s="20">
        <f>IF($Z284="C",$Y284,IF($Z284="A",$Y284-Settings!$B$4*3,IF($Z284="F",$Y284-(Settings!$B$4+Settings!$B$5)*3,"")))</f>
        <v/>
      </c>
      <c r="AB284" s="20">
        <f>IF($Z284="","",INT(($AA284-1)/3)+1)</f>
        <v/>
      </c>
      <c r="AC284" s="20">
        <f>IF($Z284="","",MOD($AA284-1,3)+1)</f>
        <v/>
      </c>
      <c r="AD284" s="20">
        <f>IF($Z284="","",Settings!$B$2+$AC284-1)</f>
        <v/>
      </c>
      <c r="AE284" s="21">
        <f>IF($Z284="C",DATE(YEAR(INDEX(Contracts!$J$2:$J$151,$AB284)),MONTH(INDEX(Contracts!$J$2:$J$151,$AB284)),1),IF($Z284="A",DATE(YEAR(INDEX(Fixed_Assets!$G$2:$G$201,$AB284)),MONTH(INDEX(Fixed_Assets!$G$2:$G$201,$AB284)),1),IF($Z284="F",DATE(YEAR(MAX(N(INDEX(Workforce!$I$2:$I$151,MATCH(INDEX(FTE_Allocation!$A$2:$A$201,$AB284),Workforce!$A$2:$A$151,0))),N(INDEX(FTE_Allocation!$I$2:$I$201,$AB284)))),MONTH(MAX(N(INDEX(Workforce!$I$2:$I$151,MATCH(INDEX(FTE_Allocation!$A$2:$A$201,$AB284),Workforce!$A$2:$A$151,0))),N(INDEX(FTE_Allocation!$I$2:$I$201,$AB284)))),1),"")))</f>
        <v/>
      </c>
      <c r="AF284" s="21">
        <f>IF($Z284="C",IF(INDEX(Contracts!$I$2:$I$151,$AB284)="PREPAID",EDATE(DATE(YEAR(INDEX(Contracts!$J$2:$J$151,$AB284)),MONTH(INDEX(Contracts!$J$2:$J$151,$AB284)),1),IF(INDEX(Contracts!$N$2:$N$151,$AB284)="",12,INDEX(Contracts!$N$2:$N$151,$AB284))-1),IF(INDEX(Contracts!$I$2:$I$151,$AB284)="MONTHLY",IF(INDEX(Contracts!$K$2:$K$151,$AB284)="",2958101,INDEX(Contracts!$K$2:$K$151,$AB284)),0)),IF($Z284="A",EDATE(DATE(YEAR(INDEX(Fixed_Assets!$G$2:$G$201,$AB284)),MONTH(INDEX(Fixed_Assets!$G$2:$G$201,$AB284)),1),INDEX(Fixed_Assets!$J$2:$J$201,$AB284)-1),IF($Z284="F",MIN(IF(INDEX(Workforce!$J$2:$J$151,MATCH(INDEX(FTE_Allocation!$A$2:$A$201,$AB284),Workforce!$A$2:$A$151,0))="",2958101,INDEX(Workforce!$J$2:$J$151,MATCH(INDEX(FTE_Allocation!$A$2:$A$201,$AB284),Workforce!$A$2:$A$151,0))),IF(INDEX(FTE_Allocation!$J$2:$J$201,$AB284)="",2958101,INDEX(FTE_Allocation!$J$2:$J$201,$AB284))),"")))</f>
        <v/>
      </c>
      <c r="AG284" s="19">
        <f>IF($Z284="C",IF(INDEX(Contracts!$I$2:$I$151,$AB284)="PREPAID",INDEX(Contracts!$M$2:$M$151,$AB284)/IF(INDEX(Contracts!$N$2:$N$151,$AB284)="",12,INDEX(Contracts!$N$2:$N$151,$AB284)),IF(INDEX(Contracts!$I$2:$I$151,$AB284)="MONTHLY",INDEX(Contracts!$M$2:$M$151,$AB284),0))*(1-N(INDEX(Contracts!$O$2:$O$151,$AB284))),IF($Z284="A",INDEX(Fixed_Assets!$H$2:$H$201,$AB284)/INDEX(Fixed_Assets!$J$2:$J$201,$AB284),IF($Z284="F",INDEX(Workforce!$F$2:$F$151,MATCH(INDEX(FTE_Allocation!$A$2:$A$201,$AB284),Workforce!$A$2:$A$151,0))*N(INDEX(FTE_Allocation!$F$2:$H$201,$AB284,$AC284)),"")))</f>
        <v/>
      </c>
    </row>
    <row r="285">
      <c r="A285" s="7">
        <f>IF($Z285="","",$AD285)</f>
        <v/>
      </c>
      <c r="B285" s="7">
        <f>IF($Z285="C",INDEX(Contracts!$D$2:$D$151,$AB285)&amp;"",IF($Z285="A",INDEX(Fixed_Assets!$C$2:$C$201,$AB285)&amp;"",IF($Z285="F",INDEX(Workforce!$B$2:$B$151,MATCH(INDEX(FTE_Allocation!$A$2:$A$201,$AB285),Workforce!$A$2:$A$151,0))&amp;"","")))</f>
        <v/>
      </c>
      <c r="C285" s="7">
        <f>IF($Z285="C",INDEX(Contracts!$E$2:$E$151,$AB285)&amp;"",IF($Z285="A",INDEX(Fixed_Assets!$D$2:$D$201,$AB285)&amp;"",IF($Z285="F",INDEX(FTE_Allocation!$C$2:$C$201,$AB285)&amp;"","")))</f>
        <v/>
      </c>
      <c r="D285" s="7">
        <f>IF($Z285="C",INDEX(Contracts!$B$2:$B$151,$AB285)&amp;"",IF($Z285="A",INDEX(Fixed_Assets!$B$2:$B$201,$AB285)&amp;"",IF($Z285="F",INDEX(FTE_Allocation!$B$2:$B$201,$AB285)&amp;"","")))</f>
        <v/>
      </c>
      <c r="E285" s="7">
        <f>IF($Z285="C",INDEX(Contracts!$P$2:$P$151,$AB285)&amp;"",IF($Z285="A",INDEX(Fixed_Assets!$K$2:$K$201,$AB285)&amp;"",IF($Z285="F",IF(INDEX(FTE_Allocation!$D$2:$D$201,$AB285)="PROJECT",IFERROR(INDEX(Projects!$D:$D,MATCH(INDEX(FTE_Allocation!$E$2:$E$201,$AB285),Projects!$A:$A,0))&amp;"","#PROJECT?"),INDEX(FTE_Allocation!$E$2:$E$201,$AB285)&amp;""),"")))</f>
        <v/>
      </c>
      <c r="F285" s="7">
        <f>IF($Z285="C",INDEX(Contracts!$Q$2:$Q$151,$AB285)&amp;"",IF($Z285="A",INDEX(Fixed_Assets!$L$2:$L$201,$AB285)&amp;"",IF($Z285="F",INDEX(Workforce!$K$2:$K$151,MATCH(INDEX(FTE_Allocation!$A$2:$A$201,$AB285),Workforce!$A$2:$A$151,0))&amp;"","")))</f>
        <v/>
      </c>
      <c r="G285" s="7">
        <f>IF($Z285="C",INDEX(Contracts!$F$2:$F$151,$AB285)&amp;" / "&amp;INDEX(Contracts!$G$2:$G$151,$AB285),IF($Z285="A",INDEX(Fixed_Assets!$E$2:$E$201,$AB285)&amp;"",IF($Z285="F","Personnel "&amp;INDEX(FTE_Allocation!$A$2:$A$201,$AB285)&amp;IF(INDEX(FTE_Allocation!$D$2:$D$201,$AB285)="PROJECT"," ("&amp;INDEX(FTE_Allocation!$E$2:$E$201,$AB285)&amp;")",""),"")))</f>
        <v/>
      </c>
      <c r="H285" s="7">
        <f>IF($Z285="C","CONTRACT",IF($Z285="A","ASSET",IF($Z285="F","WORKFORCE","")))</f>
        <v/>
      </c>
      <c r="I285" s="7">
        <f>IF($Z285="C",INDEX(Contracts!$L$2:$L$151,$AB285)&amp;"",IF($Z285="A",INDEX(Fixed_Assets!$I$2:$I$201,$AB285)&amp;"",IF($Z285="F",INDEX(Workforce!$G$2:$G$151,MATCH(INDEX(FTE_Allocation!$A$2:$A$201,$AB285),Workforce!$A$2:$A$151,0))&amp;"","")))</f>
        <v/>
      </c>
      <c r="J285" s="18">
        <f>IF($Z285="","",IF(AND(DATE($AD285,1,1)&gt;=$AE285,DATE($AD285,1,1)&lt;=$AF285),ROUND($AG285,2),0))</f>
        <v/>
      </c>
      <c r="K285" s="18">
        <f>IF($Z285="","",IF(AND(DATE($AD285,2,1)&gt;=$AE285,DATE($AD285,2,1)&lt;=$AF285),ROUND($AG285,2),0))</f>
        <v/>
      </c>
      <c r="L285" s="18">
        <f>IF($Z285="","",IF(AND(DATE($AD285,3,1)&gt;=$AE285,DATE($AD285,3,1)&lt;=$AF285),ROUND($AG285,2),0))</f>
        <v/>
      </c>
      <c r="M285" s="18">
        <f>IF($Z285="","",IF(AND(DATE($AD285,4,1)&gt;=$AE285,DATE($AD285,4,1)&lt;=$AF285),ROUND($AG285,2),0))</f>
        <v/>
      </c>
      <c r="N285" s="18">
        <f>IF($Z285="","",IF(AND(DATE($AD285,5,1)&gt;=$AE285,DATE($AD285,5,1)&lt;=$AF285),ROUND($AG285,2),0))</f>
        <v/>
      </c>
      <c r="O285" s="18">
        <f>IF($Z285="","",IF(AND(DATE($AD285,6,1)&gt;=$AE285,DATE($AD285,6,1)&lt;=$AF285),ROUND($AG285,2),0))</f>
        <v/>
      </c>
      <c r="P285" s="18">
        <f>IF($Z285="","",IF(AND(DATE($AD285,7,1)&gt;=$AE285,DATE($AD285,7,1)&lt;=$AF285),ROUND($AG285,2),0))</f>
        <v/>
      </c>
      <c r="Q285" s="18">
        <f>IF($Z285="","",IF(AND(DATE($AD285,8,1)&gt;=$AE285,DATE($AD285,8,1)&lt;=$AF285),ROUND($AG285,2),0))</f>
        <v/>
      </c>
      <c r="R285" s="18">
        <f>IF($Z285="","",IF(AND(DATE($AD285,9,1)&gt;=$AE285,DATE($AD285,9,1)&lt;=$AF285),ROUND($AG285,2),0))</f>
        <v/>
      </c>
      <c r="S285" s="18">
        <f>IF($Z285="","",IF(AND(DATE($AD285,10,1)&gt;=$AE285,DATE($AD285,10,1)&lt;=$AF285),ROUND($AG285,2),0))</f>
        <v/>
      </c>
      <c r="T285" s="18">
        <f>IF($Z285="","",IF(AND(DATE($AD285,11,1)&gt;=$AE285,DATE($AD285,11,1)&lt;=$AF285),ROUND($AG285,2),0))</f>
        <v/>
      </c>
      <c r="U285" s="18">
        <f>IF($Z285="","",IF(AND(DATE($AD285,12,1)&gt;=$AE285,DATE($AD285,12,1)&lt;=$AF285),ROUND($AG285,2),0))</f>
        <v/>
      </c>
      <c r="V285" s="7">
        <f>IF($Z285="C","Generated from "&amp;INDEX(Contracts!$A$2:$A$151,$AB285),IF($Z285="A","Generated from "&amp;INDEX(Fixed_Assets!$A$2:$A$201,$AB285),IF($Z285="F","Generated from "&amp;INDEX(FTE_Allocation!$A$2:$A$201,$AB285),"")))</f>
        <v/>
      </c>
      <c r="X285" s="19">
        <f>IF($Z285="","",SUM(J285:U285))</f>
        <v/>
      </c>
      <c r="Y285" s="20">
        <f>ROW()-1</f>
        <v/>
      </c>
      <c r="Z285" s="20">
        <f>IF($Y285&lt;=Settings!$B$4*3,"C",IF($Y285&lt;=(Settings!$B$4+Settings!$B$5)*3,"A",IF($Y285&lt;=(Settings!$B$4+Settings!$B$5+Settings!$B$6)*3,"F","")))</f>
        <v/>
      </c>
      <c r="AA285" s="20">
        <f>IF($Z285="C",$Y285,IF($Z285="A",$Y285-Settings!$B$4*3,IF($Z285="F",$Y285-(Settings!$B$4+Settings!$B$5)*3,"")))</f>
        <v/>
      </c>
      <c r="AB285" s="20">
        <f>IF($Z285="","",INT(($AA285-1)/3)+1)</f>
        <v/>
      </c>
      <c r="AC285" s="20">
        <f>IF($Z285="","",MOD($AA285-1,3)+1)</f>
        <v/>
      </c>
      <c r="AD285" s="20">
        <f>IF($Z285="","",Settings!$B$2+$AC285-1)</f>
        <v/>
      </c>
      <c r="AE285" s="21">
        <f>IF($Z285="C",DATE(YEAR(INDEX(Contracts!$J$2:$J$151,$AB285)),MONTH(INDEX(Contracts!$J$2:$J$151,$AB285)),1),IF($Z285="A",DATE(YEAR(INDEX(Fixed_Assets!$G$2:$G$201,$AB285)),MONTH(INDEX(Fixed_Assets!$G$2:$G$201,$AB285)),1),IF($Z285="F",DATE(YEAR(MAX(N(INDEX(Workforce!$I$2:$I$151,MATCH(INDEX(FTE_Allocation!$A$2:$A$201,$AB285),Workforce!$A$2:$A$151,0))),N(INDEX(FTE_Allocation!$I$2:$I$201,$AB285)))),MONTH(MAX(N(INDEX(Workforce!$I$2:$I$151,MATCH(INDEX(FTE_Allocation!$A$2:$A$201,$AB285),Workforce!$A$2:$A$151,0))),N(INDEX(FTE_Allocation!$I$2:$I$201,$AB285)))),1),"")))</f>
        <v/>
      </c>
      <c r="AF285" s="21">
        <f>IF($Z285="C",IF(INDEX(Contracts!$I$2:$I$151,$AB285)="PREPAID",EDATE(DATE(YEAR(INDEX(Contracts!$J$2:$J$151,$AB285)),MONTH(INDEX(Contracts!$J$2:$J$151,$AB285)),1),IF(INDEX(Contracts!$N$2:$N$151,$AB285)="",12,INDEX(Contracts!$N$2:$N$151,$AB285))-1),IF(INDEX(Contracts!$I$2:$I$151,$AB285)="MONTHLY",IF(INDEX(Contracts!$K$2:$K$151,$AB285)="",2958101,INDEX(Contracts!$K$2:$K$151,$AB285)),0)),IF($Z285="A",EDATE(DATE(YEAR(INDEX(Fixed_Assets!$G$2:$G$201,$AB285)),MONTH(INDEX(Fixed_Assets!$G$2:$G$201,$AB285)),1),INDEX(Fixed_Assets!$J$2:$J$201,$AB285)-1),IF($Z285="F",MIN(IF(INDEX(Workforce!$J$2:$J$151,MATCH(INDEX(FTE_Allocation!$A$2:$A$201,$AB285),Workforce!$A$2:$A$151,0))="",2958101,INDEX(Workforce!$J$2:$J$151,MATCH(INDEX(FTE_Allocation!$A$2:$A$201,$AB285),Workforce!$A$2:$A$151,0))),IF(INDEX(FTE_Allocation!$J$2:$J$201,$AB285)="",2958101,INDEX(FTE_Allocation!$J$2:$J$201,$AB285))),"")))</f>
        <v/>
      </c>
      <c r="AG285" s="19">
        <f>IF($Z285="C",IF(INDEX(Contracts!$I$2:$I$151,$AB285)="PREPAID",INDEX(Contracts!$M$2:$M$151,$AB285)/IF(INDEX(Contracts!$N$2:$N$151,$AB285)="",12,INDEX(Contracts!$N$2:$N$151,$AB285)),IF(INDEX(Contracts!$I$2:$I$151,$AB285)="MONTHLY",INDEX(Contracts!$M$2:$M$151,$AB285),0))*(1-N(INDEX(Contracts!$O$2:$O$151,$AB285))),IF($Z285="A",INDEX(Fixed_Assets!$H$2:$H$201,$AB285)/INDEX(Fixed_Assets!$J$2:$J$201,$AB285),IF($Z285="F",INDEX(Workforce!$F$2:$F$151,MATCH(INDEX(FTE_Allocation!$A$2:$A$201,$AB285),Workforce!$A$2:$A$151,0))*N(INDEX(FTE_Allocation!$F$2:$H$201,$AB285,$AC285)),"")))</f>
        <v/>
      </c>
    </row>
    <row r="286">
      <c r="A286" s="7">
        <f>IF($Z286="","",$AD286)</f>
        <v/>
      </c>
      <c r="B286" s="7">
        <f>IF($Z286="C",INDEX(Contracts!$D$2:$D$151,$AB286)&amp;"",IF($Z286="A",INDEX(Fixed_Assets!$C$2:$C$201,$AB286)&amp;"",IF($Z286="F",INDEX(Workforce!$B$2:$B$151,MATCH(INDEX(FTE_Allocation!$A$2:$A$201,$AB286),Workforce!$A$2:$A$151,0))&amp;"","")))</f>
        <v/>
      </c>
      <c r="C286" s="7">
        <f>IF($Z286="C",INDEX(Contracts!$E$2:$E$151,$AB286)&amp;"",IF($Z286="A",INDEX(Fixed_Assets!$D$2:$D$201,$AB286)&amp;"",IF($Z286="F",INDEX(FTE_Allocation!$C$2:$C$201,$AB286)&amp;"","")))</f>
        <v/>
      </c>
      <c r="D286" s="7">
        <f>IF($Z286="C",INDEX(Contracts!$B$2:$B$151,$AB286)&amp;"",IF($Z286="A",INDEX(Fixed_Assets!$B$2:$B$201,$AB286)&amp;"",IF($Z286="F",INDEX(FTE_Allocation!$B$2:$B$201,$AB286)&amp;"","")))</f>
        <v/>
      </c>
      <c r="E286" s="7">
        <f>IF($Z286="C",INDEX(Contracts!$P$2:$P$151,$AB286)&amp;"",IF($Z286="A",INDEX(Fixed_Assets!$K$2:$K$201,$AB286)&amp;"",IF($Z286="F",IF(INDEX(FTE_Allocation!$D$2:$D$201,$AB286)="PROJECT",IFERROR(INDEX(Projects!$D:$D,MATCH(INDEX(FTE_Allocation!$E$2:$E$201,$AB286),Projects!$A:$A,0))&amp;"","#PROJECT?"),INDEX(FTE_Allocation!$E$2:$E$201,$AB286)&amp;""),"")))</f>
        <v/>
      </c>
      <c r="F286" s="7">
        <f>IF($Z286="C",INDEX(Contracts!$Q$2:$Q$151,$AB286)&amp;"",IF($Z286="A",INDEX(Fixed_Assets!$L$2:$L$201,$AB286)&amp;"",IF($Z286="F",INDEX(Workforce!$K$2:$K$151,MATCH(INDEX(FTE_Allocation!$A$2:$A$201,$AB286),Workforce!$A$2:$A$151,0))&amp;"","")))</f>
        <v/>
      </c>
      <c r="G286" s="7">
        <f>IF($Z286="C",INDEX(Contracts!$F$2:$F$151,$AB286)&amp;" / "&amp;INDEX(Contracts!$G$2:$G$151,$AB286),IF($Z286="A",INDEX(Fixed_Assets!$E$2:$E$201,$AB286)&amp;"",IF($Z286="F","Personnel "&amp;INDEX(FTE_Allocation!$A$2:$A$201,$AB286)&amp;IF(INDEX(FTE_Allocation!$D$2:$D$201,$AB286)="PROJECT"," ("&amp;INDEX(FTE_Allocation!$E$2:$E$201,$AB286)&amp;")",""),"")))</f>
        <v/>
      </c>
      <c r="H286" s="7">
        <f>IF($Z286="C","CONTRACT",IF($Z286="A","ASSET",IF($Z286="F","WORKFORCE","")))</f>
        <v/>
      </c>
      <c r="I286" s="7">
        <f>IF($Z286="C",INDEX(Contracts!$L$2:$L$151,$AB286)&amp;"",IF($Z286="A",INDEX(Fixed_Assets!$I$2:$I$201,$AB286)&amp;"",IF($Z286="F",INDEX(Workforce!$G$2:$G$151,MATCH(INDEX(FTE_Allocation!$A$2:$A$201,$AB286),Workforce!$A$2:$A$151,0))&amp;"","")))</f>
        <v/>
      </c>
      <c r="J286" s="18">
        <f>IF($Z286="","",IF(AND(DATE($AD286,1,1)&gt;=$AE286,DATE($AD286,1,1)&lt;=$AF286),ROUND($AG286,2),0))</f>
        <v/>
      </c>
      <c r="K286" s="18">
        <f>IF($Z286="","",IF(AND(DATE($AD286,2,1)&gt;=$AE286,DATE($AD286,2,1)&lt;=$AF286),ROUND($AG286,2),0))</f>
        <v/>
      </c>
      <c r="L286" s="18">
        <f>IF($Z286="","",IF(AND(DATE($AD286,3,1)&gt;=$AE286,DATE($AD286,3,1)&lt;=$AF286),ROUND($AG286,2),0))</f>
        <v/>
      </c>
      <c r="M286" s="18">
        <f>IF($Z286="","",IF(AND(DATE($AD286,4,1)&gt;=$AE286,DATE($AD286,4,1)&lt;=$AF286),ROUND($AG286,2),0))</f>
        <v/>
      </c>
      <c r="N286" s="18">
        <f>IF($Z286="","",IF(AND(DATE($AD286,5,1)&gt;=$AE286,DATE($AD286,5,1)&lt;=$AF286),ROUND($AG286,2),0))</f>
        <v/>
      </c>
      <c r="O286" s="18">
        <f>IF($Z286="","",IF(AND(DATE($AD286,6,1)&gt;=$AE286,DATE($AD286,6,1)&lt;=$AF286),ROUND($AG286,2),0))</f>
        <v/>
      </c>
      <c r="P286" s="18">
        <f>IF($Z286="","",IF(AND(DATE($AD286,7,1)&gt;=$AE286,DATE($AD286,7,1)&lt;=$AF286),ROUND($AG286,2),0))</f>
        <v/>
      </c>
      <c r="Q286" s="18">
        <f>IF($Z286="","",IF(AND(DATE($AD286,8,1)&gt;=$AE286,DATE($AD286,8,1)&lt;=$AF286),ROUND($AG286,2),0))</f>
        <v/>
      </c>
      <c r="R286" s="18">
        <f>IF($Z286="","",IF(AND(DATE($AD286,9,1)&gt;=$AE286,DATE($AD286,9,1)&lt;=$AF286),ROUND($AG286,2),0))</f>
        <v/>
      </c>
      <c r="S286" s="18">
        <f>IF($Z286="","",IF(AND(DATE($AD286,10,1)&gt;=$AE286,DATE($AD286,10,1)&lt;=$AF286),ROUND($AG286,2),0))</f>
        <v/>
      </c>
      <c r="T286" s="18">
        <f>IF($Z286="","",IF(AND(DATE($AD286,11,1)&gt;=$AE286,DATE($AD286,11,1)&lt;=$AF286),ROUND($AG286,2),0))</f>
        <v/>
      </c>
      <c r="U286" s="18">
        <f>IF($Z286="","",IF(AND(DATE($AD286,12,1)&gt;=$AE286,DATE($AD286,12,1)&lt;=$AF286),ROUND($AG286,2),0))</f>
        <v/>
      </c>
      <c r="V286" s="7">
        <f>IF($Z286="C","Generated from "&amp;INDEX(Contracts!$A$2:$A$151,$AB286),IF($Z286="A","Generated from "&amp;INDEX(Fixed_Assets!$A$2:$A$201,$AB286),IF($Z286="F","Generated from "&amp;INDEX(FTE_Allocation!$A$2:$A$201,$AB286),"")))</f>
        <v/>
      </c>
      <c r="X286" s="19">
        <f>IF($Z286="","",SUM(J286:U286))</f>
        <v/>
      </c>
      <c r="Y286" s="20">
        <f>ROW()-1</f>
        <v/>
      </c>
      <c r="Z286" s="20">
        <f>IF($Y286&lt;=Settings!$B$4*3,"C",IF($Y286&lt;=(Settings!$B$4+Settings!$B$5)*3,"A",IF($Y286&lt;=(Settings!$B$4+Settings!$B$5+Settings!$B$6)*3,"F","")))</f>
        <v/>
      </c>
      <c r="AA286" s="20">
        <f>IF($Z286="C",$Y286,IF($Z286="A",$Y286-Settings!$B$4*3,IF($Z286="F",$Y286-(Settings!$B$4+Settings!$B$5)*3,"")))</f>
        <v/>
      </c>
      <c r="AB286" s="20">
        <f>IF($Z286="","",INT(($AA286-1)/3)+1)</f>
        <v/>
      </c>
      <c r="AC286" s="20">
        <f>IF($Z286="","",MOD($AA286-1,3)+1)</f>
        <v/>
      </c>
      <c r="AD286" s="20">
        <f>IF($Z286="","",Settings!$B$2+$AC286-1)</f>
        <v/>
      </c>
      <c r="AE286" s="21">
        <f>IF($Z286="C",DATE(YEAR(INDEX(Contracts!$J$2:$J$151,$AB286)),MONTH(INDEX(Contracts!$J$2:$J$151,$AB286)),1),IF($Z286="A",DATE(YEAR(INDEX(Fixed_Assets!$G$2:$G$201,$AB286)),MONTH(INDEX(Fixed_Assets!$G$2:$G$201,$AB286)),1),IF($Z286="F",DATE(YEAR(MAX(N(INDEX(Workforce!$I$2:$I$151,MATCH(INDEX(FTE_Allocation!$A$2:$A$201,$AB286),Workforce!$A$2:$A$151,0))),N(INDEX(FTE_Allocation!$I$2:$I$201,$AB286)))),MONTH(MAX(N(INDEX(Workforce!$I$2:$I$151,MATCH(INDEX(FTE_Allocation!$A$2:$A$201,$AB286),Workforce!$A$2:$A$151,0))),N(INDEX(FTE_Allocation!$I$2:$I$201,$AB286)))),1),"")))</f>
        <v/>
      </c>
      <c r="AF286" s="21">
        <f>IF($Z286="C",IF(INDEX(Contracts!$I$2:$I$151,$AB286)="PREPAID",EDATE(DATE(YEAR(INDEX(Contracts!$J$2:$J$151,$AB286)),MONTH(INDEX(Contracts!$J$2:$J$151,$AB286)),1),IF(INDEX(Contracts!$N$2:$N$151,$AB286)="",12,INDEX(Contracts!$N$2:$N$151,$AB286))-1),IF(INDEX(Contracts!$I$2:$I$151,$AB286)="MONTHLY",IF(INDEX(Contracts!$K$2:$K$151,$AB286)="",2958101,INDEX(Contracts!$K$2:$K$151,$AB286)),0)),IF($Z286="A",EDATE(DATE(YEAR(INDEX(Fixed_Assets!$G$2:$G$201,$AB286)),MONTH(INDEX(Fixed_Assets!$G$2:$G$201,$AB286)),1),INDEX(Fixed_Assets!$J$2:$J$201,$AB286)-1),IF($Z286="F",MIN(IF(INDEX(Workforce!$J$2:$J$151,MATCH(INDEX(FTE_Allocation!$A$2:$A$201,$AB286),Workforce!$A$2:$A$151,0))="",2958101,INDEX(Workforce!$J$2:$J$151,MATCH(INDEX(FTE_Allocation!$A$2:$A$201,$AB286),Workforce!$A$2:$A$151,0))),IF(INDEX(FTE_Allocation!$J$2:$J$201,$AB286)="",2958101,INDEX(FTE_Allocation!$J$2:$J$201,$AB286))),"")))</f>
        <v/>
      </c>
      <c r="AG286" s="19">
        <f>IF($Z286="C",IF(INDEX(Contracts!$I$2:$I$151,$AB286)="PREPAID",INDEX(Contracts!$M$2:$M$151,$AB286)/IF(INDEX(Contracts!$N$2:$N$151,$AB286)="",12,INDEX(Contracts!$N$2:$N$151,$AB286)),IF(INDEX(Contracts!$I$2:$I$151,$AB286)="MONTHLY",INDEX(Contracts!$M$2:$M$151,$AB286),0))*(1-N(INDEX(Contracts!$O$2:$O$151,$AB286))),IF($Z286="A",INDEX(Fixed_Assets!$H$2:$H$201,$AB286)/INDEX(Fixed_Assets!$J$2:$J$201,$AB286),IF($Z286="F",INDEX(Workforce!$F$2:$F$151,MATCH(INDEX(FTE_Allocation!$A$2:$A$201,$AB286),Workforce!$A$2:$A$151,0))*N(INDEX(FTE_Allocation!$F$2:$H$201,$AB286,$AC286)),"")))</f>
        <v/>
      </c>
    </row>
    <row r="287">
      <c r="A287" s="7">
        <f>IF($Z287="","",$AD287)</f>
        <v/>
      </c>
      <c r="B287" s="7">
        <f>IF($Z287="C",INDEX(Contracts!$D$2:$D$151,$AB287)&amp;"",IF($Z287="A",INDEX(Fixed_Assets!$C$2:$C$201,$AB287)&amp;"",IF($Z287="F",INDEX(Workforce!$B$2:$B$151,MATCH(INDEX(FTE_Allocation!$A$2:$A$201,$AB287),Workforce!$A$2:$A$151,0))&amp;"","")))</f>
        <v/>
      </c>
      <c r="C287" s="7">
        <f>IF($Z287="C",INDEX(Contracts!$E$2:$E$151,$AB287)&amp;"",IF($Z287="A",INDEX(Fixed_Assets!$D$2:$D$201,$AB287)&amp;"",IF($Z287="F",INDEX(FTE_Allocation!$C$2:$C$201,$AB287)&amp;"","")))</f>
        <v/>
      </c>
      <c r="D287" s="7">
        <f>IF($Z287="C",INDEX(Contracts!$B$2:$B$151,$AB287)&amp;"",IF($Z287="A",INDEX(Fixed_Assets!$B$2:$B$201,$AB287)&amp;"",IF($Z287="F",INDEX(FTE_Allocation!$B$2:$B$201,$AB287)&amp;"","")))</f>
        <v/>
      </c>
      <c r="E287" s="7">
        <f>IF($Z287="C",INDEX(Contracts!$P$2:$P$151,$AB287)&amp;"",IF($Z287="A",INDEX(Fixed_Assets!$K$2:$K$201,$AB287)&amp;"",IF($Z287="F",IF(INDEX(FTE_Allocation!$D$2:$D$201,$AB287)="PROJECT",IFERROR(INDEX(Projects!$D:$D,MATCH(INDEX(FTE_Allocation!$E$2:$E$201,$AB287),Projects!$A:$A,0))&amp;"","#PROJECT?"),INDEX(FTE_Allocation!$E$2:$E$201,$AB287)&amp;""),"")))</f>
        <v/>
      </c>
      <c r="F287" s="7">
        <f>IF($Z287="C",INDEX(Contracts!$Q$2:$Q$151,$AB287)&amp;"",IF($Z287="A",INDEX(Fixed_Assets!$L$2:$L$201,$AB287)&amp;"",IF($Z287="F",INDEX(Workforce!$K$2:$K$151,MATCH(INDEX(FTE_Allocation!$A$2:$A$201,$AB287),Workforce!$A$2:$A$151,0))&amp;"","")))</f>
        <v/>
      </c>
      <c r="G287" s="7">
        <f>IF($Z287="C",INDEX(Contracts!$F$2:$F$151,$AB287)&amp;" / "&amp;INDEX(Contracts!$G$2:$G$151,$AB287),IF($Z287="A",INDEX(Fixed_Assets!$E$2:$E$201,$AB287)&amp;"",IF($Z287="F","Personnel "&amp;INDEX(FTE_Allocation!$A$2:$A$201,$AB287)&amp;IF(INDEX(FTE_Allocation!$D$2:$D$201,$AB287)="PROJECT"," ("&amp;INDEX(FTE_Allocation!$E$2:$E$201,$AB287)&amp;")",""),"")))</f>
        <v/>
      </c>
      <c r="H287" s="7">
        <f>IF($Z287="C","CONTRACT",IF($Z287="A","ASSET",IF($Z287="F","WORKFORCE","")))</f>
        <v/>
      </c>
      <c r="I287" s="7">
        <f>IF($Z287="C",INDEX(Contracts!$L$2:$L$151,$AB287)&amp;"",IF($Z287="A",INDEX(Fixed_Assets!$I$2:$I$201,$AB287)&amp;"",IF($Z287="F",INDEX(Workforce!$G$2:$G$151,MATCH(INDEX(FTE_Allocation!$A$2:$A$201,$AB287),Workforce!$A$2:$A$151,0))&amp;"","")))</f>
        <v/>
      </c>
      <c r="J287" s="18">
        <f>IF($Z287="","",IF(AND(DATE($AD287,1,1)&gt;=$AE287,DATE($AD287,1,1)&lt;=$AF287),ROUND($AG287,2),0))</f>
        <v/>
      </c>
      <c r="K287" s="18">
        <f>IF($Z287="","",IF(AND(DATE($AD287,2,1)&gt;=$AE287,DATE($AD287,2,1)&lt;=$AF287),ROUND($AG287,2),0))</f>
        <v/>
      </c>
      <c r="L287" s="18">
        <f>IF($Z287="","",IF(AND(DATE($AD287,3,1)&gt;=$AE287,DATE($AD287,3,1)&lt;=$AF287),ROUND($AG287,2),0))</f>
        <v/>
      </c>
      <c r="M287" s="18">
        <f>IF($Z287="","",IF(AND(DATE($AD287,4,1)&gt;=$AE287,DATE($AD287,4,1)&lt;=$AF287),ROUND($AG287,2),0))</f>
        <v/>
      </c>
      <c r="N287" s="18">
        <f>IF($Z287="","",IF(AND(DATE($AD287,5,1)&gt;=$AE287,DATE($AD287,5,1)&lt;=$AF287),ROUND($AG287,2),0))</f>
        <v/>
      </c>
      <c r="O287" s="18">
        <f>IF($Z287="","",IF(AND(DATE($AD287,6,1)&gt;=$AE287,DATE($AD287,6,1)&lt;=$AF287),ROUND($AG287,2),0))</f>
        <v/>
      </c>
      <c r="P287" s="18">
        <f>IF($Z287="","",IF(AND(DATE($AD287,7,1)&gt;=$AE287,DATE($AD287,7,1)&lt;=$AF287),ROUND($AG287,2),0))</f>
        <v/>
      </c>
      <c r="Q287" s="18">
        <f>IF($Z287="","",IF(AND(DATE($AD287,8,1)&gt;=$AE287,DATE($AD287,8,1)&lt;=$AF287),ROUND($AG287,2),0))</f>
        <v/>
      </c>
      <c r="R287" s="18">
        <f>IF($Z287="","",IF(AND(DATE($AD287,9,1)&gt;=$AE287,DATE($AD287,9,1)&lt;=$AF287),ROUND($AG287,2),0))</f>
        <v/>
      </c>
      <c r="S287" s="18">
        <f>IF($Z287="","",IF(AND(DATE($AD287,10,1)&gt;=$AE287,DATE($AD287,10,1)&lt;=$AF287),ROUND($AG287,2),0))</f>
        <v/>
      </c>
      <c r="T287" s="18">
        <f>IF($Z287="","",IF(AND(DATE($AD287,11,1)&gt;=$AE287,DATE($AD287,11,1)&lt;=$AF287),ROUND($AG287,2),0))</f>
        <v/>
      </c>
      <c r="U287" s="18">
        <f>IF($Z287="","",IF(AND(DATE($AD287,12,1)&gt;=$AE287,DATE($AD287,12,1)&lt;=$AF287),ROUND($AG287,2),0))</f>
        <v/>
      </c>
      <c r="V287" s="7">
        <f>IF($Z287="C","Generated from "&amp;INDEX(Contracts!$A$2:$A$151,$AB287),IF($Z287="A","Generated from "&amp;INDEX(Fixed_Assets!$A$2:$A$201,$AB287),IF($Z287="F","Generated from "&amp;INDEX(FTE_Allocation!$A$2:$A$201,$AB287),"")))</f>
        <v/>
      </c>
      <c r="X287" s="19">
        <f>IF($Z287="","",SUM(J287:U287))</f>
        <v/>
      </c>
      <c r="Y287" s="20">
        <f>ROW()-1</f>
        <v/>
      </c>
      <c r="Z287" s="20">
        <f>IF($Y287&lt;=Settings!$B$4*3,"C",IF($Y287&lt;=(Settings!$B$4+Settings!$B$5)*3,"A",IF($Y287&lt;=(Settings!$B$4+Settings!$B$5+Settings!$B$6)*3,"F","")))</f>
        <v/>
      </c>
      <c r="AA287" s="20">
        <f>IF($Z287="C",$Y287,IF($Z287="A",$Y287-Settings!$B$4*3,IF($Z287="F",$Y287-(Settings!$B$4+Settings!$B$5)*3,"")))</f>
        <v/>
      </c>
      <c r="AB287" s="20">
        <f>IF($Z287="","",INT(($AA287-1)/3)+1)</f>
        <v/>
      </c>
      <c r="AC287" s="20">
        <f>IF($Z287="","",MOD($AA287-1,3)+1)</f>
        <v/>
      </c>
      <c r="AD287" s="20">
        <f>IF($Z287="","",Settings!$B$2+$AC287-1)</f>
        <v/>
      </c>
      <c r="AE287" s="21">
        <f>IF($Z287="C",DATE(YEAR(INDEX(Contracts!$J$2:$J$151,$AB287)),MONTH(INDEX(Contracts!$J$2:$J$151,$AB287)),1),IF($Z287="A",DATE(YEAR(INDEX(Fixed_Assets!$G$2:$G$201,$AB287)),MONTH(INDEX(Fixed_Assets!$G$2:$G$201,$AB287)),1),IF($Z287="F",DATE(YEAR(MAX(N(INDEX(Workforce!$I$2:$I$151,MATCH(INDEX(FTE_Allocation!$A$2:$A$201,$AB287),Workforce!$A$2:$A$151,0))),N(INDEX(FTE_Allocation!$I$2:$I$201,$AB287)))),MONTH(MAX(N(INDEX(Workforce!$I$2:$I$151,MATCH(INDEX(FTE_Allocation!$A$2:$A$201,$AB287),Workforce!$A$2:$A$151,0))),N(INDEX(FTE_Allocation!$I$2:$I$201,$AB287)))),1),"")))</f>
        <v/>
      </c>
      <c r="AF287" s="21">
        <f>IF($Z287="C",IF(INDEX(Contracts!$I$2:$I$151,$AB287)="PREPAID",EDATE(DATE(YEAR(INDEX(Contracts!$J$2:$J$151,$AB287)),MONTH(INDEX(Contracts!$J$2:$J$151,$AB287)),1),IF(INDEX(Contracts!$N$2:$N$151,$AB287)="",12,INDEX(Contracts!$N$2:$N$151,$AB287))-1),IF(INDEX(Contracts!$I$2:$I$151,$AB287)="MONTHLY",IF(INDEX(Contracts!$K$2:$K$151,$AB287)="",2958101,INDEX(Contracts!$K$2:$K$151,$AB287)),0)),IF($Z287="A",EDATE(DATE(YEAR(INDEX(Fixed_Assets!$G$2:$G$201,$AB287)),MONTH(INDEX(Fixed_Assets!$G$2:$G$201,$AB287)),1),INDEX(Fixed_Assets!$J$2:$J$201,$AB287)-1),IF($Z287="F",MIN(IF(INDEX(Workforce!$J$2:$J$151,MATCH(INDEX(FTE_Allocation!$A$2:$A$201,$AB287),Workforce!$A$2:$A$151,0))="",2958101,INDEX(Workforce!$J$2:$J$151,MATCH(INDEX(FTE_Allocation!$A$2:$A$201,$AB287),Workforce!$A$2:$A$151,0))),IF(INDEX(FTE_Allocation!$J$2:$J$201,$AB287)="",2958101,INDEX(FTE_Allocation!$J$2:$J$201,$AB287))),"")))</f>
        <v/>
      </c>
      <c r="AG287" s="19">
        <f>IF($Z287="C",IF(INDEX(Contracts!$I$2:$I$151,$AB287)="PREPAID",INDEX(Contracts!$M$2:$M$151,$AB287)/IF(INDEX(Contracts!$N$2:$N$151,$AB287)="",12,INDEX(Contracts!$N$2:$N$151,$AB287)),IF(INDEX(Contracts!$I$2:$I$151,$AB287)="MONTHLY",INDEX(Contracts!$M$2:$M$151,$AB287),0))*(1-N(INDEX(Contracts!$O$2:$O$151,$AB287))),IF($Z287="A",INDEX(Fixed_Assets!$H$2:$H$201,$AB287)/INDEX(Fixed_Assets!$J$2:$J$201,$AB287),IF($Z287="F",INDEX(Workforce!$F$2:$F$151,MATCH(INDEX(FTE_Allocation!$A$2:$A$201,$AB287),Workforce!$A$2:$A$151,0))*N(INDEX(FTE_Allocation!$F$2:$H$201,$AB287,$AC287)),"")))</f>
        <v/>
      </c>
    </row>
    <row r="288">
      <c r="A288" s="7">
        <f>IF($Z288="","",$AD288)</f>
        <v/>
      </c>
      <c r="B288" s="7">
        <f>IF($Z288="C",INDEX(Contracts!$D$2:$D$151,$AB288)&amp;"",IF($Z288="A",INDEX(Fixed_Assets!$C$2:$C$201,$AB288)&amp;"",IF($Z288="F",INDEX(Workforce!$B$2:$B$151,MATCH(INDEX(FTE_Allocation!$A$2:$A$201,$AB288),Workforce!$A$2:$A$151,0))&amp;"","")))</f>
        <v/>
      </c>
      <c r="C288" s="7">
        <f>IF($Z288="C",INDEX(Contracts!$E$2:$E$151,$AB288)&amp;"",IF($Z288="A",INDEX(Fixed_Assets!$D$2:$D$201,$AB288)&amp;"",IF($Z288="F",INDEX(FTE_Allocation!$C$2:$C$201,$AB288)&amp;"","")))</f>
        <v/>
      </c>
      <c r="D288" s="7">
        <f>IF($Z288="C",INDEX(Contracts!$B$2:$B$151,$AB288)&amp;"",IF($Z288="A",INDEX(Fixed_Assets!$B$2:$B$201,$AB288)&amp;"",IF($Z288="F",INDEX(FTE_Allocation!$B$2:$B$201,$AB288)&amp;"","")))</f>
        <v/>
      </c>
      <c r="E288" s="7">
        <f>IF($Z288="C",INDEX(Contracts!$P$2:$P$151,$AB288)&amp;"",IF($Z288="A",INDEX(Fixed_Assets!$K$2:$K$201,$AB288)&amp;"",IF($Z288="F",IF(INDEX(FTE_Allocation!$D$2:$D$201,$AB288)="PROJECT",IFERROR(INDEX(Projects!$D:$D,MATCH(INDEX(FTE_Allocation!$E$2:$E$201,$AB288),Projects!$A:$A,0))&amp;"","#PROJECT?"),INDEX(FTE_Allocation!$E$2:$E$201,$AB288)&amp;""),"")))</f>
        <v/>
      </c>
      <c r="F288" s="7">
        <f>IF($Z288="C",INDEX(Contracts!$Q$2:$Q$151,$AB288)&amp;"",IF($Z288="A",INDEX(Fixed_Assets!$L$2:$L$201,$AB288)&amp;"",IF($Z288="F",INDEX(Workforce!$K$2:$K$151,MATCH(INDEX(FTE_Allocation!$A$2:$A$201,$AB288),Workforce!$A$2:$A$151,0))&amp;"","")))</f>
        <v/>
      </c>
      <c r="G288" s="7">
        <f>IF($Z288="C",INDEX(Contracts!$F$2:$F$151,$AB288)&amp;" / "&amp;INDEX(Contracts!$G$2:$G$151,$AB288),IF($Z288="A",INDEX(Fixed_Assets!$E$2:$E$201,$AB288)&amp;"",IF($Z288="F","Personnel "&amp;INDEX(FTE_Allocation!$A$2:$A$201,$AB288)&amp;IF(INDEX(FTE_Allocation!$D$2:$D$201,$AB288)="PROJECT"," ("&amp;INDEX(FTE_Allocation!$E$2:$E$201,$AB288)&amp;")",""),"")))</f>
        <v/>
      </c>
      <c r="H288" s="7">
        <f>IF($Z288="C","CONTRACT",IF($Z288="A","ASSET",IF($Z288="F","WORKFORCE","")))</f>
        <v/>
      </c>
      <c r="I288" s="7">
        <f>IF($Z288="C",INDEX(Contracts!$L$2:$L$151,$AB288)&amp;"",IF($Z288="A",INDEX(Fixed_Assets!$I$2:$I$201,$AB288)&amp;"",IF($Z288="F",INDEX(Workforce!$G$2:$G$151,MATCH(INDEX(FTE_Allocation!$A$2:$A$201,$AB288),Workforce!$A$2:$A$151,0))&amp;"","")))</f>
        <v/>
      </c>
      <c r="J288" s="18">
        <f>IF($Z288="","",IF(AND(DATE($AD288,1,1)&gt;=$AE288,DATE($AD288,1,1)&lt;=$AF288),ROUND($AG288,2),0))</f>
        <v/>
      </c>
      <c r="K288" s="18">
        <f>IF($Z288="","",IF(AND(DATE($AD288,2,1)&gt;=$AE288,DATE($AD288,2,1)&lt;=$AF288),ROUND($AG288,2),0))</f>
        <v/>
      </c>
      <c r="L288" s="18">
        <f>IF($Z288="","",IF(AND(DATE($AD288,3,1)&gt;=$AE288,DATE($AD288,3,1)&lt;=$AF288),ROUND($AG288,2),0))</f>
        <v/>
      </c>
      <c r="M288" s="18">
        <f>IF($Z288="","",IF(AND(DATE($AD288,4,1)&gt;=$AE288,DATE($AD288,4,1)&lt;=$AF288),ROUND($AG288,2),0))</f>
        <v/>
      </c>
      <c r="N288" s="18">
        <f>IF($Z288="","",IF(AND(DATE($AD288,5,1)&gt;=$AE288,DATE($AD288,5,1)&lt;=$AF288),ROUND($AG288,2),0))</f>
        <v/>
      </c>
      <c r="O288" s="18">
        <f>IF($Z288="","",IF(AND(DATE($AD288,6,1)&gt;=$AE288,DATE($AD288,6,1)&lt;=$AF288),ROUND($AG288,2),0))</f>
        <v/>
      </c>
      <c r="P288" s="18">
        <f>IF($Z288="","",IF(AND(DATE($AD288,7,1)&gt;=$AE288,DATE($AD288,7,1)&lt;=$AF288),ROUND($AG288,2),0))</f>
        <v/>
      </c>
      <c r="Q288" s="18">
        <f>IF($Z288="","",IF(AND(DATE($AD288,8,1)&gt;=$AE288,DATE($AD288,8,1)&lt;=$AF288),ROUND($AG288,2),0))</f>
        <v/>
      </c>
      <c r="R288" s="18">
        <f>IF($Z288="","",IF(AND(DATE($AD288,9,1)&gt;=$AE288,DATE($AD288,9,1)&lt;=$AF288),ROUND($AG288,2),0))</f>
        <v/>
      </c>
      <c r="S288" s="18">
        <f>IF($Z288="","",IF(AND(DATE($AD288,10,1)&gt;=$AE288,DATE($AD288,10,1)&lt;=$AF288),ROUND($AG288,2),0))</f>
        <v/>
      </c>
      <c r="T288" s="18">
        <f>IF($Z288="","",IF(AND(DATE($AD288,11,1)&gt;=$AE288,DATE($AD288,11,1)&lt;=$AF288),ROUND($AG288,2),0))</f>
        <v/>
      </c>
      <c r="U288" s="18">
        <f>IF($Z288="","",IF(AND(DATE($AD288,12,1)&gt;=$AE288,DATE($AD288,12,1)&lt;=$AF288),ROUND($AG288,2),0))</f>
        <v/>
      </c>
      <c r="V288" s="7">
        <f>IF($Z288="C","Generated from "&amp;INDEX(Contracts!$A$2:$A$151,$AB288),IF($Z288="A","Generated from "&amp;INDEX(Fixed_Assets!$A$2:$A$201,$AB288),IF($Z288="F","Generated from "&amp;INDEX(FTE_Allocation!$A$2:$A$201,$AB288),"")))</f>
        <v/>
      </c>
      <c r="X288" s="19">
        <f>IF($Z288="","",SUM(J288:U288))</f>
        <v/>
      </c>
      <c r="Y288" s="20">
        <f>ROW()-1</f>
        <v/>
      </c>
      <c r="Z288" s="20">
        <f>IF($Y288&lt;=Settings!$B$4*3,"C",IF($Y288&lt;=(Settings!$B$4+Settings!$B$5)*3,"A",IF($Y288&lt;=(Settings!$B$4+Settings!$B$5+Settings!$B$6)*3,"F","")))</f>
        <v/>
      </c>
      <c r="AA288" s="20">
        <f>IF($Z288="C",$Y288,IF($Z288="A",$Y288-Settings!$B$4*3,IF($Z288="F",$Y288-(Settings!$B$4+Settings!$B$5)*3,"")))</f>
        <v/>
      </c>
      <c r="AB288" s="20">
        <f>IF($Z288="","",INT(($AA288-1)/3)+1)</f>
        <v/>
      </c>
      <c r="AC288" s="20">
        <f>IF($Z288="","",MOD($AA288-1,3)+1)</f>
        <v/>
      </c>
      <c r="AD288" s="20">
        <f>IF($Z288="","",Settings!$B$2+$AC288-1)</f>
        <v/>
      </c>
      <c r="AE288" s="21">
        <f>IF($Z288="C",DATE(YEAR(INDEX(Contracts!$J$2:$J$151,$AB288)),MONTH(INDEX(Contracts!$J$2:$J$151,$AB288)),1),IF($Z288="A",DATE(YEAR(INDEX(Fixed_Assets!$G$2:$G$201,$AB288)),MONTH(INDEX(Fixed_Assets!$G$2:$G$201,$AB288)),1),IF($Z288="F",DATE(YEAR(MAX(N(INDEX(Workforce!$I$2:$I$151,MATCH(INDEX(FTE_Allocation!$A$2:$A$201,$AB288),Workforce!$A$2:$A$151,0))),N(INDEX(FTE_Allocation!$I$2:$I$201,$AB288)))),MONTH(MAX(N(INDEX(Workforce!$I$2:$I$151,MATCH(INDEX(FTE_Allocation!$A$2:$A$201,$AB288),Workforce!$A$2:$A$151,0))),N(INDEX(FTE_Allocation!$I$2:$I$201,$AB288)))),1),"")))</f>
        <v/>
      </c>
      <c r="AF288" s="21">
        <f>IF($Z288="C",IF(INDEX(Contracts!$I$2:$I$151,$AB288)="PREPAID",EDATE(DATE(YEAR(INDEX(Contracts!$J$2:$J$151,$AB288)),MONTH(INDEX(Contracts!$J$2:$J$151,$AB288)),1),IF(INDEX(Contracts!$N$2:$N$151,$AB288)="",12,INDEX(Contracts!$N$2:$N$151,$AB288))-1),IF(INDEX(Contracts!$I$2:$I$151,$AB288)="MONTHLY",IF(INDEX(Contracts!$K$2:$K$151,$AB288)="",2958101,INDEX(Contracts!$K$2:$K$151,$AB288)),0)),IF($Z288="A",EDATE(DATE(YEAR(INDEX(Fixed_Assets!$G$2:$G$201,$AB288)),MONTH(INDEX(Fixed_Assets!$G$2:$G$201,$AB288)),1),INDEX(Fixed_Assets!$J$2:$J$201,$AB288)-1),IF($Z288="F",MIN(IF(INDEX(Workforce!$J$2:$J$151,MATCH(INDEX(FTE_Allocation!$A$2:$A$201,$AB288),Workforce!$A$2:$A$151,0))="",2958101,INDEX(Workforce!$J$2:$J$151,MATCH(INDEX(FTE_Allocation!$A$2:$A$201,$AB288),Workforce!$A$2:$A$151,0))),IF(INDEX(FTE_Allocation!$J$2:$J$201,$AB288)="",2958101,INDEX(FTE_Allocation!$J$2:$J$201,$AB288))),"")))</f>
        <v/>
      </c>
      <c r="AG288" s="19">
        <f>IF($Z288="C",IF(INDEX(Contracts!$I$2:$I$151,$AB288)="PREPAID",INDEX(Contracts!$M$2:$M$151,$AB288)/IF(INDEX(Contracts!$N$2:$N$151,$AB288)="",12,INDEX(Contracts!$N$2:$N$151,$AB288)),IF(INDEX(Contracts!$I$2:$I$151,$AB288)="MONTHLY",INDEX(Contracts!$M$2:$M$151,$AB288),0))*(1-N(INDEX(Contracts!$O$2:$O$151,$AB288))),IF($Z288="A",INDEX(Fixed_Assets!$H$2:$H$201,$AB288)/INDEX(Fixed_Assets!$J$2:$J$201,$AB288),IF($Z288="F",INDEX(Workforce!$F$2:$F$151,MATCH(INDEX(FTE_Allocation!$A$2:$A$201,$AB288),Workforce!$A$2:$A$151,0))*N(INDEX(FTE_Allocation!$F$2:$H$201,$AB288,$AC288)),"")))</f>
        <v/>
      </c>
    </row>
    <row r="289">
      <c r="A289" s="7">
        <f>IF($Z289="","",$AD289)</f>
        <v/>
      </c>
      <c r="B289" s="7">
        <f>IF($Z289="C",INDEX(Contracts!$D$2:$D$151,$AB289)&amp;"",IF($Z289="A",INDEX(Fixed_Assets!$C$2:$C$201,$AB289)&amp;"",IF($Z289="F",INDEX(Workforce!$B$2:$B$151,MATCH(INDEX(FTE_Allocation!$A$2:$A$201,$AB289),Workforce!$A$2:$A$151,0))&amp;"","")))</f>
        <v/>
      </c>
      <c r="C289" s="7">
        <f>IF($Z289="C",INDEX(Contracts!$E$2:$E$151,$AB289)&amp;"",IF($Z289="A",INDEX(Fixed_Assets!$D$2:$D$201,$AB289)&amp;"",IF($Z289="F",INDEX(FTE_Allocation!$C$2:$C$201,$AB289)&amp;"","")))</f>
        <v/>
      </c>
      <c r="D289" s="7">
        <f>IF($Z289="C",INDEX(Contracts!$B$2:$B$151,$AB289)&amp;"",IF($Z289="A",INDEX(Fixed_Assets!$B$2:$B$201,$AB289)&amp;"",IF($Z289="F",INDEX(FTE_Allocation!$B$2:$B$201,$AB289)&amp;"","")))</f>
        <v/>
      </c>
      <c r="E289" s="7">
        <f>IF($Z289="C",INDEX(Contracts!$P$2:$P$151,$AB289)&amp;"",IF($Z289="A",INDEX(Fixed_Assets!$K$2:$K$201,$AB289)&amp;"",IF($Z289="F",IF(INDEX(FTE_Allocation!$D$2:$D$201,$AB289)="PROJECT",IFERROR(INDEX(Projects!$D:$D,MATCH(INDEX(FTE_Allocation!$E$2:$E$201,$AB289),Projects!$A:$A,0))&amp;"","#PROJECT?"),INDEX(FTE_Allocation!$E$2:$E$201,$AB289)&amp;""),"")))</f>
        <v/>
      </c>
      <c r="F289" s="7">
        <f>IF($Z289="C",INDEX(Contracts!$Q$2:$Q$151,$AB289)&amp;"",IF($Z289="A",INDEX(Fixed_Assets!$L$2:$L$201,$AB289)&amp;"",IF($Z289="F",INDEX(Workforce!$K$2:$K$151,MATCH(INDEX(FTE_Allocation!$A$2:$A$201,$AB289),Workforce!$A$2:$A$151,0))&amp;"","")))</f>
        <v/>
      </c>
      <c r="G289" s="7">
        <f>IF($Z289="C",INDEX(Contracts!$F$2:$F$151,$AB289)&amp;" / "&amp;INDEX(Contracts!$G$2:$G$151,$AB289),IF($Z289="A",INDEX(Fixed_Assets!$E$2:$E$201,$AB289)&amp;"",IF($Z289="F","Personnel "&amp;INDEX(FTE_Allocation!$A$2:$A$201,$AB289)&amp;IF(INDEX(FTE_Allocation!$D$2:$D$201,$AB289)="PROJECT"," ("&amp;INDEX(FTE_Allocation!$E$2:$E$201,$AB289)&amp;")",""),"")))</f>
        <v/>
      </c>
      <c r="H289" s="7">
        <f>IF($Z289="C","CONTRACT",IF($Z289="A","ASSET",IF($Z289="F","WORKFORCE","")))</f>
        <v/>
      </c>
      <c r="I289" s="7">
        <f>IF($Z289="C",INDEX(Contracts!$L$2:$L$151,$AB289)&amp;"",IF($Z289="A",INDEX(Fixed_Assets!$I$2:$I$201,$AB289)&amp;"",IF($Z289="F",INDEX(Workforce!$G$2:$G$151,MATCH(INDEX(FTE_Allocation!$A$2:$A$201,$AB289),Workforce!$A$2:$A$151,0))&amp;"","")))</f>
        <v/>
      </c>
      <c r="J289" s="18">
        <f>IF($Z289="","",IF(AND(DATE($AD289,1,1)&gt;=$AE289,DATE($AD289,1,1)&lt;=$AF289),ROUND($AG289,2),0))</f>
        <v/>
      </c>
      <c r="K289" s="18">
        <f>IF($Z289="","",IF(AND(DATE($AD289,2,1)&gt;=$AE289,DATE($AD289,2,1)&lt;=$AF289),ROUND($AG289,2),0))</f>
        <v/>
      </c>
      <c r="L289" s="18">
        <f>IF($Z289="","",IF(AND(DATE($AD289,3,1)&gt;=$AE289,DATE($AD289,3,1)&lt;=$AF289),ROUND($AG289,2),0))</f>
        <v/>
      </c>
      <c r="M289" s="18">
        <f>IF($Z289="","",IF(AND(DATE($AD289,4,1)&gt;=$AE289,DATE($AD289,4,1)&lt;=$AF289),ROUND($AG289,2),0))</f>
        <v/>
      </c>
      <c r="N289" s="18">
        <f>IF($Z289="","",IF(AND(DATE($AD289,5,1)&gt;=$AE289,DATE($AD289,5,1)&lt;=$AF289),ROUND($AG289,2),0))</f>
        <v/>
      </c>
      <c r="O289" s="18">
        <f>IF($Z289="","",IF(AND(DATE($AD289,6,1)&gt;=$AE289,DATE($AD289,6,1)&lt;=$AF289),ROUND($AG289,2),0))</f>
        <v/>
      </c>
      <c r="P289" s="18">
        <f>IF($Z289="","",IF(AND(DATE($AD289,7,1)&gt;=$AE289,DATE($AD289,7,1)&lt;=$AF289),ROUND($AG289,2),0))</f>
        <v/>
      </c>
      <c r="Q289" s="18">
        <f>IF($Z289="","",IF(AND(DATE($AD289,8,1)&gt;=$AE289,DATE($AD289,8,1)&lt;=$AF289),ROUND($AG289,2),0))</f>
        <v/>
      </c>
      <c r="R289" s="18">
        <f>IF($Z289="","",IF(AND(DATE($AD289,9,1)&gt;=$AE289,DATE($AD289,9,1)&lt;=$AF289),ROUND($AG289,2),0))</f>
        <v/>
      </c>
      <c r="S289" s="18">
        <f>IF($Z289="","",IF(AND(DATE($AD289,10,1)&gt;=$AE289,DATE($AD289,10,1)&lt;=$AF289),ROUND($AG289,2),0))</f>
        <v/>
      </c>
      <c r="T289" s="18">
        <f>IF($Z289="","",IF(AND(DATE($AD289,11,1)&gt;=$AE289,DATE($AD289,11,1)&lt;=$AF289),ROUND($AG289,2),0))</f>
        <v/>
      </c>
      <c r="U289" s="18">
        <f>IF($Z289="","",IF(AND(DATE($AD289,12,1)&gt;=$AE289,DATE($AD289,12,1)&lt;=$AF289),ROUND($AG289,2),0))</f>
        <v/>
      </c>
      <c r="V289" s="7">
        <f>IF($Z289="C","Generated from "&amp;INDEX(Contracts!$A$2:$A$151,$AB289),IF($Z289="A","Generated from "&amp;INDEX(Fixed_Assets!$A$2:$A$201,$AB289),IF($Z289="F","Generated from "&amp;INDEX(FTE_Allocation!$A$2:$A$201,$AB289),"")))</f>
        <v/>
      </c>
      <c r="X289" s="19">
        <f>IF($Z289="","",SUM(J289:U289))</f>
        <v/>
      </c>
      <c r="Y289" s="20">
        <f>ROW()-1</f>
        <v/>
      </c>
      <c r="Z289" s="20">
        <f>IF($Y289&lt;=Settings!$B$4*3,"C",IF($Y289&lt;=(Settings!$B$4+Settings!$B$5)*3,"A",IF($Y289&lt;=(Settings!$B$4+Settings!$B$5+Settings!$B$6)*3,"F","")))</f>
        <v/>
      </c>
      <c r="AA289" s="20">
        <f>IF($Z289="C",$Y289,IF($Z289="A",$Y289-Settings!$B$4*3,IF($Z289="F",$Y289-(Settings!$B$4+Settings!$B$5)*3,"")))</f>
        <v/>
      </c>
      <c r="AB289" s="20">
        <f>IF($Z289="","",INT(($AA289-1)/3)+1)</f>
        <v/>
      </c>
      <c r="AC289" s="20">
        <f>IF($Z289="","",MOD($AA289-1,3)+1)</f>
        <v/>
      </c>
      <c r="AD289" s="20">
        <f>IF($Z289="","",Settings!$B$2+$AC289-1)</f>
        <v/>
      </c>
      <c r="AE289" s="21">
        <f>IF($Z289="C",DATE(YEAR(INDEX(Contracts!$J$2:$J$151,$AB289)),MONTH(INDEX(Contracts!$J$2:$J$151,$AB289)),1),IF($Z289="A",DATE(YEAR(INDEX(Fixed_Assets!$G$2:$G$201,$AB289)),MONTH(INDEX(Fixed_Assets!$G$2:$G$201,$AB289)),1),IF($Z289="F",DATE(YEAR(MAX(N(INDEX(Workforce!$I$2:$I$151,MATCH(INDEX(FTE_Allocation!$A$2:$A$201,$AB289),Workforce!$A$2:$A$151,0))),N(INDEX(FTE_Allocation!$I$2:$I$201,$AB289)))),MONTH(MAX(N(INDEX(Workforce!$I$2:$I$151,MATCH(INDEX(FTE_Allocation!$A$2:$A$201,$AB289),Workforce!$A$2:$A$151,0))),N(INDEX(FTE_Allocation!$I$2:$I$201,$AB289)))),1),"")))</f>
        <v/>
      </c>
      <c r="AF289" s="21">
        <f>IF($Z289="C",IF(INDEX(Contracts!$I$2:$I$151,$AB289)="PREPAID",EDATE(DATE(YEAR(INDEX(Contracts!$J$2:$J$151,$AB289)),MONTH(INDEX(Contracts!$J$2:$J$151,$AB289)),1),IF(INDEX(Contracts!$N$2:$N$151,$AB289)="",12,INDEX(Contracts!$N$2:$N$151,$AB289))-1),IF(INDEX(Contracts!$I$2:$I$151,$AB289)="MONTHLY",IF(INDEX(Contracts!$K$2:$K$151,$AB289)="",2958101,INDEX(Contracts!$K$2:$K$151,$AB289)),0)),IF($Z289="A",EDATE(DATE(YEAR(INDEX(Fixed_Assets!$G$2:$G$201,$AB289)),MONTH(INDEX(Fixed_Assets!$G$2:$G$201,$AB289)),1),INDEX(Fixed_Assets!$J$2:$J$201,$AB289)-1),IF($Z289="F",MIN(IF(INDEX(Workforce!$J$2:$J$151,MATCH(INDEX(FTE_Allocation!$A$2:$A$201,$AB289),Workforce!$A$2:$A$151,0))="",2958101,INDEX(Workforce!$J$2:$J$151,MATCH(INDEX(FTE_Allocation!$A$2:$A$201,$AB289),Workforce!$A$2:$A$151,0))),IF(INDEX(FTE_Allocation!$J$2:$J$201,$AB289)="",2958101,INDEX(FTE_Allocation!$J$2:$J$201,$AB289))),"")))</f>
        <v/>
      </c>
      <c r="AG289" s="19">
        <f>IF($Z289="C",IF(INDEX(Contracts!$I$2:$I$151,$AB289)="PREPAID",INDEX(Contracts!$M$2:$M$151,$AB289)/IF(INDEX(Contracts!$N$2:$N$151,$AB289)="",12,INDEX(Contracts!$N$2:$N$151,$AB289)),IF(INDEX(Contracts!$I$2:$I$151,$AB289)="MONTHLY",INDEX(Contracts!$M$2:$M$151,$AB289),0))*(1-N(INDEX(Contracts!$O$2:$O$151,$AB289))),IF($Z289="A",INDEX(Fixed_Assets!$H$2:$H$201,$AB289)/INDEX(Fixed_Assets!$J$2:$J$201,$AB289),IF($Z289="F",INDEX(Workforce!$F$2:$F$151,MATCH(INDEX(FTE_Allocation!$A$2:$A$201,$AB289),Workforce!$A$2:$A$151,0))*N(INDEX(FTE_Allocation!$F$2:$H$201,$AB289,$AC289)),"")))</f>
        <v/>
      </c>
    </row>
    <row r="290">
      <c r="A290" s="7">
        <f>IF($Z290="","",$AD290)</f>
        <v/>
      </c>
      <c r="B290" s="7">
        <f>IF($Z290="C",INDEX(Contracts!$D$2:$D$151,$AB290)&amp;"",IF($Z290="A",INDEX(Fixed_Assets!$C$2:$C$201,$AB290)&amp;"",IF($Z290="F",INDEX(Workforce!$B$2:$B$151,MATCH(INDEX(FTE_Allocation!$A$2:$A$201,$AB290),Workforce!$A$2:$A$151,0))&amp;"","")))</f>
        <v/>
      </c>
      <c r="C290" s="7">
        <f>IF($Z290="C",INDEX(Contracts!$E$2:$E$151,$AB290)&amp;"",IF($Z290="A",INDEX(Fixed_Assets!$D$2:$D$201,$AB290)&amp;"",IF($Z290="F",INDEX(FTE_Allocation!$C$2:$C$201,$AB290)&amp;"","")))</f>
        <v/>
      </c>
      <c r="D290" s="7">
        <f>IF($Z290="C",INDEX(Contracts!$B$2:$B$151,$AB290)&amp;"",IF($Z290="A",INDEX(Fixed_Assets!$B$2:$B$201,$AB290)&amp;"",IF($Z290="F",INDEX(FTE_Allocation!$B$2:$B$201,$AB290)&amp;"","")))</f>
        <v/>
      </c>
      <c r="E290" s="7">
        <f>IF($Z290="C",INDEX(Contracts!$P$2:$P$151,$AB290)&amp;"",IF($Z290="A",INDEX(Fixed_Assets!$K$2:$K$201,$AB290)&amp;"",IF($Z290="F",IF(INDEX(FTE_Allocation!$D$2:$D$201,$AB290)="PROJECT",IFERROR(INDEX(Projects!$D:$D,MATCH(INDEX(FTE_Allocation!$E$2:$E$201,$AB290),Projects!$A:$A,0))&amp;"","#PROJECT?"),INDEX(FTE_Allocation!$E$2:$E$201,$AB290)&amp;""),"")))</f>
        <v/>
      </c>
      <c r="F290" s="7">
        <f>IF($Z290="C",INDEX(Contracts!$Q$2:$Q$151,$AB290)&amp;"",IF($Z290="A",INDEX(Fixed_Assets!$L$2:$L$201,$AB290)&amp;"",IF($Z290="F",INDEX(Workforce!$K$2:$K$151,MATCH(INDEX(FTE_Allocation!$A$2:$A$201,$AB290),Workforce!$A$2:$A$151,0))&amp;"","")))</f>
        <v/>
      </c>
      <c r="G290" s="7">
        <f>IF($Z290="C",INDEX(Contracts!$F$2:$F$151,$AB290)&amp;" / "&amp;INDEX(Contracts!$G$2:$G$151,$AB290),IF($Z290="A",INDEX(Fixed_Assets!$E$2:$E$201,$AB290)&amp;"",IF($Z290="F","Personnel "&amp;INDEX(FTE_Allocation!$A$2:$A$201,$AB290)&amp;IF(INDEX(FTE_Allocation!$D$2:$D$201,$AB290)="PROJECT"," ("&amp;INDEX(FTE_Allocation!$E$2:$E$201,$AB290)&amp;")",""),"")))</f>
        <v/>
      </c>
      <c r="H290" s="7">
        <f>IF($Z290="C","CONTRACT",IF($Z290="A","ASSET",IF($Z290="F","WORKFORCE","")))</f>
        <v/>
      </c>
      <c r="I290" s="7">
        <f>IF($Z290="C",INDEX(Contracts!$L$2:$L$151,$AB290)&amp;"",IF($Z290="A",INDEX(Fixed_Assets!$I$2:$I$201,$AB290)&amp;"",IF($Z290="F",INDEX(Workforce!$G$2:$G$151,MATCH(INDEX(FTE_Allocation!$A$2:$A$201,$AB290),Workforce!$A$2:$A$151,0))&amp;"","")))</f>
        <v/>
      </c>
      <c r="J290" s="18">
        <f>IF($Z290="","",IF(AND(DATE($AD290,1,1)&gt;=$AE290,DATE($AD290,1,1)&lt;=$AF290),ROUND($AG290,2),0))</f>
        <v/>
      </c>
      <c r="K290" s="18">
        <f>IF($Z290="","",IF(AND(DATE($AD290,2,1)&gt;=$AE290,DATE($AD290,2,1)&lt;=$AF290),ROUND($AG290,2),0))</f>
        <v/>
      </c>
      <c r="L290" s="18">
        <f>IF($Z290="","",IF(AND(DATE($AD290,3,1)&gt;=$AE290,DATE($AD290,3,1)&lt;=$AF290),ROUND($AG290,2),0))</f>
        <v/>
      </c>
      <c r="M290" s="18">
        <f>IF($Z290="","",IF(AND(DATE($AD290,4,1)&gt;=$AE290,DATE($AD290,4,1)&lt;=$AF290),ROUND($AG290,2),0))</f>
        <v/>
      </c>
      <c r="N290" s="18">
        <f>IF($Z290="","",IF(AND(DATE($AD290,5,1)&gt;=$AE290,DATE($AD290,5,1)&lt;=$AF290),ROUND($AG290,2),0))</f>
        <v/>
      </c>
      <c r="O290" s="18">
        <f>IF($Z290="","",IF(AND(DATE($AD290,6,1)&gt;=$AE290,DATE($AD290,6,1)&lt;=$AF290),ROUND($AG290,2),0))</f>
        <v/>
      </c>
      <c r="P290" s="18">
        <f>IF($Z290="","",IF(AND(DATE($AD290,7,1)&gt;=$AE290,DATE($AD290,7,1)&lt;=$AF290),ROUND($AG290,2),0))</f>
        <v/>
      </c>
      <c r="Q290" s="18">
        <f>IF($Z290="","",IF(AND(DATE($AD290,8,1)&gt;=$AE290,DATE($AD290,8,1)&lt;=$AF290),ROUND($AG290,2),0))</f>
        <v/>
      </c>
      <c r="R290" s="18">
        <f>IF($Z290="","",IF(AND(DATE($AD290,9,1)&gt;=$AE290,DATE($AD290,9,1)&lt;=$AF290),ROUND($AG290,2),0))</f>
        <v/>
      </c>
      <c r="S290" s="18">
        <f>IF($Z290="","",IF(AND(DATE($AD290,10,1)&gt;=$AE290,DATE($AD290,10,1)&lt;=$AF290),ROUND($AG290,2),0))</f>
        <v/>
      </c>
      <c r="T290" s="18">
        <f>IF($Z290="","",IF(AND(DATE($AD290,11,1)&gt;=$AE290,DATE($AD290,11,1)&lt;=$AF290),ROUND($AG290,2),0))</f>
        <v/>
      </c>
      <c r="U290" s="18">
        <f>IF($Z290="","",IF(AND(DATE($AD290,12,1)&gt;=$AE290,DATE($AD290,12,1)&lt;=$AF290),ROUND($AG290,2),0))</f>
        <v/>
      </c>
      <c r="V290" s="7">
        <f>IF($Z290="C","Generated from "&amp;INDEX(Contracts!$A$2:$A$151,$AB290),IF($Z290="A","Generated from "&amp;INDEX(Fixed_Assets!$A$2:$A$201,$AB290),IF($Z290="F","Generated from "&amp;INDEX(FTE_Allocation!$A$2:$A$201,$AB290),"")))</f>
        <v/>
      </c>
      <c r="X290" s="19">
        <f>IF($Z290="","",SUM(J290:U290))</f>
        <v/>
      </c>
      <c r="Y290" s="20">
        <f>ROW()-1</f>
        <v/>
      </c>
      <c r="Z290" s="20">
        <f>IF($Y290&lt;=Settings!$B$4*3,"C",IF($Y290&lt;=(Settings!$B$4+Settings!$B$5)*3,"A",IF($Y290&lt;=(Settings!$B$4+Settings!$B$5+Settings!$B$6)*3,"F","")))</f>
        <v/>
      </c>
      <c r="AA290" s="20">
        <f>IF($Z290="C",$Y290,IF($Z290="A",$Y290-Settings!$B$4*3,IF($Z290="F",$Y290-(Settings!$B$4+Settings!$B$5)*3,"")))</f>
        <v/>
      </c>
      <c r="AB290" s="20">
        <f>IF($Z290="","",INT(($AA290-1)/3)+1)</f>
        <v/>
      </c>
      <c r="AC290" s="20">
        <f>IF($Z290="","",MOD($AA290-1,3)+1)</f>
        <v/>
      </c>
      <c r="AD290" s="20">
        <f>IF($Z290="","",Settings!$B$2+$AC290-1)</f>
        <v/>
      </c>
      <c r="AE290" s="21">
        <f>IF($Z290="C",DATE(YEAR(INDEX(Contracts!$J$2:$J$151,$AB290)),MONTH(INDEX(Contracts!$J$2:$J$151,$AB290)),1),IF($Z290="A",DATE(YEAR(INDEX(Fixed_Assets!$G$2:$G$201,$AB290)),MONTH(INDEX(Fixed_Assets!$G$2:$G$201,$AB290)),1),IF($Z290="F",DATE(YEAR(MAX(N(INDEX(Workforce!$I$2:$I$151,MATCH(INDEX(FTE_Allocation!$A$2:$A$201,$AB290),Workforce!$A$2:$A$151,0))),N(INDEX(FTE_Allocation!$I$2:$I$201,$AB290)))),MONTH(MAX(N(INDEX(Workforce!$I$2:$I$151,MATCH(INDEX(FTE_Allocation!$A$2:$A$201,$AB290),Workforce!$A$2:$A$151,0))),N(INDEX(FTE_Allocation!$I$2:$I$201,$AB290)))),1),"")))</f>
        <v/>
      </c>
      <c r="AF290" s="21">
        <f>IF($Z290="C",IF(INDEX(Contracts!$I$2:$I$151,$AB290)="PREPAID",EDATE(DATE(YEAR(INDEX(Contracts!$J$2:$J$151,$AB290)),MONTH(INDEX(Contracts!$J$2:$J$151,$AB290)),1),IF(INDEX(Contracts!$N$2:$N$151,$AB290)="",12,INDEX(Contracts!$N$2:$N$151,$AB290))-1),IF(INDEX(Contracts!$I$2:$I$151,$AB290)="MONTHLY",IF(INDEX(Contracts!$K$2:$K$151,$AB290)="",2958101,INDEX(Contracts!$K$2:$K$151,$AB290)),0)),IF($Z290="A",EDATE(DATE(YEAR(INDEX(Fixed_Assets!$G$2:$G$201,$AB290)),MONTH(INDEX(Fixed_Assets!$G$2:$G$201,$AB290)),1),INDEX(Fixed_Assets!$J$2:$J$201,$AB290)-1),IF($Z290="F",MIN(IF(INDEX(Workforce!$J$2:$J$151,MATCH(INDEX(FTE_Allocation!$A$2:$A$201,$AB290),Workforce!$A$2:$A$151,0))="",2958101,INDEX(Workforce!$J$2:$J$151,MATCH(INDEX(FTE_Allocation!$A$2:$A$201,$AB290),Workforce!$A$2:$A$151,0))),IF(INDEX(FTE_Allocation!$J$2:$J$201,$AB290)="",2958101,INDEX(FTE_Allocation!$J$2:$J$201,$AB290))),"")))</f>
        <v/>
      </c>
      <c r="AG290" s="19">
        <f>IF($Z290="C",IF(INDEX(Contracts!$I$2:$I$151,$AB290)="PREPAID",INDEX(Contracts!$M$2:$M$151,$AB290)/IF(INDEX(Contracts!$N$2:$N$151,$AB290)="",12,INDEX(Contracts!$N$2:$N$151,$AB290)),IF(INDEX(Contracts!$I$2:$I$151,$AB290)="MONTHLY",INDEX(Contracts!$M$2:$M$151,$AB290),0))*(1-N(INDEX(Contracts!$O$2:$O$151,$AB290))),IF($Z290="A",INDEX(Fixed_Assets!$H$2:$H$201,$AB290)/INDEX(Fixed_Assets!$J$2:$J$201,$AB290),IF($Z290="F",INDEX(Workforce!$F$2:$F$151,MATCH(INDEX(FTE_Allocation!$A$2:$A$201,$AB290),Workforce!$A$2:$A$151,0))*N(INDEX(FTE_Allocation!$F$2:$H$201,$AB290,$AC290)),"")))</f>
        <v/>
      </c>
    </row>
    <row r="291">
      <c r="A291" s="7">
        <f>IF($Z291="","",$AD291)</f>
        <v/>
      </c>
      <c r="B291" s="7">
        <f>IF($Z291="C",INDEX(Contracts!$D$2:$D$151,$AB291)&amp;"",IF($Z291="A",INDEX(Fixed_Assets!$C$2:$C$201,$AB291)&amp;"",IF($Z291="F",INDEX(Workforce!$B$2:$B$151,MATCH(INDEX(FTE_Allocation!$A$2:$A$201,$AB291),Workforce!$A$2:$A$151,0))&amp;"","")))</f>
        <v/>
      </c>
      <c r="C291" s="7">
        <f>IF($Z291="C",INDEX(Contracts!$E$2:$E$151,$AB291)&amp;"",IF($Z291="A",INDEX(Fixed_Assets!$D$2:$D$201,$AB291)&amp;"",IF($Z291="F",INDEX(FTE_Allocation!$C$2:$C$201,$AB291)&amp;"","")))</f>
        <v/>
      </c>
      <c r="D291" s="7">
        <f>IF($Z291="C",INDEX(Contracts!$B$2:$B$151,$AB291)&amp;"",IF($Z291="A",INDEX(Fixed_Assets!$B$2:$B$201,$AB291)&amp;"",IF($Z291="F",INDEX(FTE_Allocation!$B$2:$B$201,$AB291)&amp;"","")))</f>
        <v/>
      </c>
      <c r="E291" s="7">
        <f>IF($Z291="C",INDEX(Contracts!$P$2:$P$151,$AB291)&amp;"",IF($Z291="A",INDEX(Fixed_Assets!$K$2:$K$201,$AB291)&amp;"",IF($Z291="F",IF(INDEX(FTE_Allocation!$D$2:$D$201,$AB291)="PROJECT",IFERROR(INDEX(Projects!$D:$D,MATCH(INDEX(FTE_Allocation!$E$2:$E$201,$AB291),Projects!$A:$A,0))&amp;"","#PROJECT?"),INDEX(FTE_Allocation!$E$2:$E$201,$AB291)&amp;""),"")))</f>
        <v/>
      </c>
      <c r="F291" s="7">
        <f>IF($Z291="C",INDEX(Contracts!$Q$2:$Q$151,$AB291)&amp;"",IF($Z291="A",INDEX(Fixed_Assets!$L$2:$L$201,$AB291)&amp;"",IF($Z291="F",INDEX(Workforce!$K$2:$K$151,MATCH(INDEX(FTE_Allocation!$A$2:$A$201,$AB291),Workforce!$A$2:$A$151,0))&amp;"","")))</f>
        <v/>
      </c>
      <c r="G291" s="7">
        <f>IF($Z291="C",INDEX(Contracts!$F$2:$F$151,$AB291)&amp;" / "&amp;INDEX(Contracts!$G$2:$G$151,$AB291),IF($Z291="A",INDEX(Fixed_Assets!$E$2:$E$201,$AB291)&amp;"",IF($Z291="F","Personnel "&amp;INDEX(FTE_Allocation!$A$2:$A$201,$AB291)&amp;IF(INDEX(FTE_Allocation!$D$2:$D$201,$AB291)="PROJECT"," ("&amp;INDEX(FTE_Allocation!$E$2:$E$201,$AB291)&amp;")",""),"")))</f>
        <v/>
      </c>
      <c r="H291" s="7">
        <f>IF($Z291="C","CONTRACT",IF($Z291="A","ASSET",IF($Z291="F","WORKFORCE","")))</f>
        <v/>
      </c>
      <c r="I291" s="7">
        <f>IF($Z291="C",INDEX(Contracts!$L$2:$L$151,$AB291)&amp;"",IF($Z291="A",INDEX(Fixed_Assets!$I$2:$I$201,$AB291)&amp;"",IF($Z291="F",INDEX(Workforce!$G$2:$G$151,MATCH(INDEX(FTE_Allocation!$A$2:$A$201,$AB291),Workforce!$A$2:$A$151,0))&amp;"","")))</f>
        <v/>
      </c>
      <c r="J291" s="18">
        <f>IF($Z291="","",IF(AND(DATE($AD291,1,1)&gt;=$AE291,DATE($AD291,1,1)&lt;=$AF291),ROUND($AG291,2),0))</f>
        <v/>
      </c>
      <c r="K291" s="18">
        <f>IF($Z291="","",IF(AND(DATE($AD291,2,1)&gt;=$AE291,DATE($AD291,2,1)&lt;=$AF291),ROUND($AG291,2),0))</f>
        <v/>
      </c>
      <c r="L291" s="18">
        <f>IF($Z291="","",IF(AND(DATE($AD291,3,1)&gt;=$AE291,DATE($AD291,3,1)&lt;=$AF291),ROUND($AG291,2),0))</f>
        <v/>
      </c>
      <c r="M291" s="18">
        <f>IF($Z291="","",IF(AND(DATE($AD291,4,1)&gt;=$AE291,DATE($AD291,4,1)&lt;=$AF291),ROUND($AG291,2),0))</f>
        <v/>
      </c>
      <c r="N291" s="18">
        <f>IF($Z291="","",IF(AND(DATE($AD291,5,1)&gt;=$AE291,DATE($AD291,5,1)&lt;=$AF291),ROUND($AG291,2),0))</f>
        <v/>
      </c>
      <c r="O291" s="18">
        <f>IF($Z291="","",IF(AND(DATE($AD291,6,1)&gt;=$AE291,DATE($AD291,6,1)&lt;=$AF291),ROUND($AG291,2),0))</f>
        <v/>
      </c>
      <c r="P291" s="18">
        <f>IF($Z291="","",IF(AND(DATE($AD291,7,1)&gt;=$AE291,DATE($AD291,7,1)&lt;=$AF291),ROUND($AG291,2),0))</f>
        <v/>
      </c>
      <c r="Q291" s="18">
        <f>IF($Z291="","",IF(AND(DATE($AD291,8,1)&gt;=$AE291,DATE($AD291,8,1)&lt;=$AF291),ROUND($AG291,2),0))</f>
        <v/>
      </c>
      <c r="R291" s="18">
        <f>IF($Z291="","",IF(AND(DATE($AD291,9,1)&gt;=$AE291,DATE($AD291,9,1)&lt;=$AF291),ROUND($AG291,2),0))</f>
        <v/>
      </c>
      <c r="S291" s="18">
        <f>IF($Z291="","",IF(AND(DATE($AD291,10,1)&gt;=$AE291,DATE($AD291,10,1)&lt;=$AF291),ROUND($AG291,2),0))</f>
        <v/>
      </c>
      <c r="T291" s="18">
        <f>IF($Z291="","",IF(AND(DATE($AD291,11,1)&gt;=$AE291,DATE($AD291,11,1)&lt;=$AF291),ROUND($AG291,2),0))</f>
        <v/>
      </c>
      <c r="U291" s="18">
        <f>IF($Z291="","",IF(AND(DATE($AD291,12,1)&gt;=$AE291,DATE($AD291,12,1)&lt;=$AF291),ROUND($AG291,2),0))</f>
        <v/>
      </c>
      <c r="V291" s="7">
        <f>IF($Z291="C","Generated from "&amp;INDEX(Contracts!$A$2:$A$151,$AB291),IF($Z291="A","Generated from "&amp;INDEX(Fixed_Assets!$A$2:$A$201,$AB291),IF($Z291="F","Generated from "&amp;INDEX(FTE_Allocation!$A$2:$A$201,$AB291),"")))</f>
        <v/>
      </c>
      <c r="X291" s="19">
        <f>IF($Z291="","",SUM(J291:U291))</f>
        <v/>
      </c>
      <c r="Y291" s="20">
        <f>ROW()-1</f>
        <v/>
      </c>
      <c r="Z291" s="20">
        <f>IF($Y291&lt;=Settings!$B$4*3,"C",IF($Y291&lt;=(Settings!$B$4+Settings!$B$5)*3,"A",IF($Y291&lt;=(Settings!$B$4+Settings!$B$5+Settings!$B$6)*3,"F","")))</f>
        <v/>
      </c>
      <c r="AA291" s="20">
        <f>IF($Z291="C",$Y291,IF($Z291="A",$Y291-Settings!$B$4*3,IF($Z291="F",$Y291-(Settings!$B$4+Settings!$B$5)*3,"")))</f>
        <v/>
      </c>
      <c r="AB291" s="20">
        <f>IF($Z291="","",INT(($AA291-1)/3)+1)</f>
        <v/>
      </c>
      <c r="AC291" s="20">
        <f>IF($Z291="","",MOD($AA291-1,3)+1)</f>
        <v/>
      </c>
      <c r="AD291" s="20">
        <f>IF($Z291="","",Settings!$B$2+$AC291-1)</f>
        <v/>
      </c>
      <c r="AE291" s="21">
        <f>IF($Z291="C",DATE(YEAR(INDEX(Contracts!$J$2:$J$151,$AB291)),MONTH(INDEX(Contracts!$J$2:$J$151,$AB291)),1),IF($Z291="A",DATE(YEAR(INDEX(Fixed_Assets!$G$2:$G$201,$AB291)),MONTH(INDEX(Fixed_Assets!$G$2:$G$201,$AB291)),1),IF($Z291="F",DATE(YEAR(MAX(N(INDEX(Workforce!$I$2:$I$151,MATCH(INDEX(FTE_Allocation!$A$2:$A$201,$AB291),Workforce!$A$2:$A$151,0))),N(INDEX(FTE_Allocation!$I$2:$I$201,$AB291)))),MONTH(MAX(N(INDEX(Workforce!$I$2:$I$151,MATCH(INDEX(FTE_Allocation!$A$2:$A$201,$AB291),Workforce!$A$2:$A$151,0))),N(INDEX(FTE_Allocation!$I$2:$I$201,$AB291)))),1),"")))</f>
        <v/>
      </c>
      <c r="AF291" s="21">
        <f>IF($Z291="C",IF(INDEX(Contracts!$I$2:$I$151,$AB291)="PREPAID",EDATE(DATE(YEAR(INDEX(Contracts!$J$2:$J$151,$AB291)),MONTH(INDEX(Contracts!$J$2:$J$151,$AB291)),1),IF(INDEX(Contracts!$N$2:$N$151,$AB291)="",12,INDEX(Contracts!$N$2:$N$151,$AB291))-1),IF(INDEX(Contracts!$I$2:$I$151,$AB291)="MONTHLY",IF(INDEX(Contracts!$K$2:$K$151,$AB291)="",2958101,INDEX(Contracts!$K$2:$K$151,$AB291)),0)),IF($Z291="A",EDATE(DATE(YEAR(INDEX(Fixed_Assets!$G$2:$G$201,$AB291)),MONTH(INDEX(Fixed_Assets!$G$2:$G$201,$AB291)),1),INDEX(Fixed_Assets!$J$2:$J$201,$AB291)-1),IF($Z291="F",MIN(IF(INDEX(Workforce!$J$2:$J$151,MATCH(INDEX(FTE_Allocation!$A$2:$A$201,$AB291),Workforce!$A$2:$A$151,0))="",2958101,INDEX(Workforce!$J$2:$J$151,MATCH(INDEX(FTE_Allocation!$A$2:$A$201,$AB291),Workforce!$A$2:$A$151,0))),IF(INDEX(FTE_Allocation!$J$2:$J$201,$AB291)="",2958101,INDEX(FTE_Allocation!$J$2:$J$201,$AB291))),"")))</f>
        <v/>
      </c>
      <c r="AG291" s="19">
        <f>IF($Z291="C",IF(INDEX(Contracts!$I$2:$I$151,$AB291)="PREPAID",INDEX(Contracts!$M$2:$M$151,$AB291)/IF(INDEX(Contracts!$N$2:$N$151,$AB291)="",12,INDEX(Contracts!$N$2:$N$151,$AB291)),IF(INDEX(Contracts!$I$2:$I$151,$AB291)="MONTHLY",INDEX(Contracts!$M$2:$M$151,$AB291),0))*(1-N(INDEX(Contracts!$O$2:$O$151,$AB291))),IF($Z291="A",INDEX(Fixed_Assets!$H$2:$H$201,$AB291)/INDEX(Fixed_Assets!$J$2:$J$201,$AB291),IF($Z291="F",INDEX(Workforce!$F$2:$F$151,MATCH(INDEX(FTE_Allocation!$A$2:$A$201,$AB291),Workforce!$A$2:$A$151,0))*N(INDEX(FTE_Allocation!$F$2:$H$201,$AB291,$AC291)),"")))</f>
        <v/>
      </c>
    </row>
    <row r="292">
      <c r="A292" s="7">
        <f>IF($Z292="","",$AD292)</f>
        <v/>
      </c>
      <c r="B292" s="7">
        <f>IF($Z292="C",INDEX(Contracts!$D$2:$D$151,$AB292)&amp;"",IF($Z292="A",INDEX(Fixed_Assets!$C$2:$C$201,$AB292)&amp;"",IF($Z292="F",INDEX(Workforce!$B$2:$B$151,MATCH(INDEX(FTE_Allocation!$A$2:$A$201,$AB292),Workforce!$A$2:$A$151,0))&amp;"","")))</f>
        <v/>
      </c>
      <c r="C292" s="7">
        <f>IF($Z292="C",INDEX(Contracts!$E$2:$E$151,$AB292)&amp;"",IF($Z292="A",INDEX(Fixed_Assets!$D$2:$D$201,$AB292)&amp;"",IF($Z292="F",INDEX(FTE_Allocation!$C$2:$C$201,$AB292)&amp;"","")))</f>
        <v/>
      </c>
      <c r="D292" s="7">
        <f>IF($Z292="C",INDEX(Contracts!$B$2:$B$151,$AB292)&amp;"",IF($Z292="A",INDEX(Fixed_Assets!$B$2:$B$201,$AB292)&amp;"",IF($Z292="F",INDEX(FTE_Allocation!$B$2:$B$201,$AB292)&amp;"","")))</f>
        <v/>
      </c>
      <c r="E292" s="7">
        <f>IF($Z292="C",INDEX(Contracts!$P$2:$P$151,$AB292)&amp;"",IF($Z292="A",INDEX(Fixed_Assets!$K$2:$K$201,$AB292)&amp;"",IF($Z292="F",IF(INDEX(FTE_Allocation!$D$2:$D$201,$AB292)="PROJECT",IFERROR(INDEX(Projects!$D:$D,MATCH(INDEX(FTE_Allocation!$E$2:$E$201,$AB292),Projects!$A:$A,0))&amp;"","#PROJECT?"),INDEX(FTE_Allocation!$E$2:$E$201,$AB292)&amp;""),"")))</f>
        <v/>
      </c>
      <c r="F292" s="7">
        <f>IF($Z292="C",INDEX(Contracts!$Q$2:$Q$151,$AB292)&amp;"",IF($Z292="A",INDEX(Fixed_Assets!$L$2:$L$201,$AB292)&amp;"",IF($Z292="F",INDEX(Workforce!$K$2:$K$151,MATCH(INDEX(FTE_Allocation!$A$2:$A$201,$AB292),Workforce!$A$2:$A$151,0))&amp;"","")))</f>
        <v/>
      </c>
      <c r="G292" s="7">
        <f>IF($Z292="C",INDEX(Contracts!$F$2:$F$151,$AB292)&amp;" / "&amp;INDEX(Contracts!$G$2:$G$151,$AB292),IF($Z292="A",INDEX(Fixed_Assets!$E$2:$E$201,$AB292)&amp;"",IF($Z292="F","Personnel "&amp;INDEX(FTE_Allocation!$A$2:$A$201,$AB292)&amp;IF(INDEX(FTE_Allocation!$D$2:$D$201,$AB292)="PROJECT"," ("&amp;INDEX(FTE_Allocation!$E$2:$E$201,$AB292)&amp;")",""),"")))</f>
        <v/>
      </c>
      <c r="H292" s="7">
        <f>IF($Z292="C","CONTRACT",IF($Z292="A","ASSET",IF($Z292="F","WORKFORCE","")))</f>
        <v/>
      </c>
      <c r="I292" s="7">
        <f>IF($Z292="C",INDEX(Contracts!$L$2:$L$151,$AB292)&amp;"",IF($Z292="A",INDEX(Fixed_Assets!$I$2:$I$201,$AB292)&amp;"",IF($Z292="F",INDEX(Workforce!$G$2:$G$151,MATCH(INDEX(FTE_Allocation!$A$2:$A$201,$AB292),Workforce!$A$2:$A$151,0))&amp;"","")))</f>
        <v/>
      </c>
      <c r="J292" s="18">
        <f>IF($Z292="","",IF(AND(DATE($AD292,1,1)&gt;=$AE292,DATE($AD292,1,1)&lt;=$AF292),ROUND($AG292,2),0))</f>
        <v/>
      </c>
      <c r="K292" s="18">
        <f>IF($Z292="","",IF(AND(DATE($AD292,2,1)&gt;=$AE292,DATE($AD292,2,1)&lt;=$AF292),ROUND($AG292,2),0))</f>
        <v/>
      </c>
      <c r="L292" s="18">
        <f>IF($Z292="","",IF(AND(DATE($AD292,3,1)&gt;=$AE292,DATE($AD292,3,1)&lt;=$AF292),ROUND($AG292,2),0))</f>
        <v/>
      </c>
      <c r="M292" s="18">
        <f>IF($Z292="","",IF(AND(DATE($AD292,4,1)&gt;=$AE292,DATE($AD292,4,1)&lt;=$AF292),ROUND($AG292,2),0))</f>
        <v/>
      </c>
      <c r="N292" s="18">
        <f>IF($Z292="","",IF(AND(DATE($AD292,5,1)&gt;=$AE292,DATE($AD292,5,1)&lt;=$AF292),ROUND($AG292,2),0))</f>
        <v/>
      </c>
      <c r="O292" s="18">
        <f>IF($Z292="","",IF(AND(DATE($AD292,6,1)&gt;=$AE292,DATE($AD292,6,1)&lt;=$AF292),ROUND($AG292,2),0))</f>
        <v/>
      </c>
      <c r="P292" s="18">
        <f>IF($Z292="","",IF(AND(DATE($AD292,7,1)&gt;=$AE292,DATE($AD292,7,1)&lt;=$AF292),ROUND($AG292,2),0))</f>
        <v/>
      </c>
      <c r="Q292" s="18">
        <f>IF($Z292="","",IF(AND(DATE($AD292,8,1)&gt;=$AE292,DATE($AD292,8,1)&lt;=$AF292),ROUND($AG292,2),0))</f>
        <v/>
      </c>
      <c r="R292" s="18">
        <f>IF($Z292="","",IF(AND(DATE($AD292,9,1)&gt;=$AE292,DATE($AD292,9,1)&lt;=$AF292),ROUND($AG292,2),0))</f>
        <v/>
      </c>
      <c r="S292" s="18">
        <f>IF($Z292="","",IF(AND(DATE($AD292,10,1)&gt;=$AE292,DATE($AD292,10,1)&lt;=$AF292),ROUND($AG292,2),0))</f>
        <v/>
      </c>
      <c r="T292" s="18">
        <f>IF($Z292="","",IF(AND(DATE($AD292,11,1)&gt;=$AE292,DATE($AD292,11,1)&lt;=$AF292),ROUND($AG292,2),0))</f>
        <v/>
      </c>
      <c r="U292" s="18">
        <f>IF($Z292="","",IF(AND(DATE($AD292,12,1)&gt;=$AE292,DATE($AD292,12,1)&lt;=$AF292),ROUND($AG292,2),0))</f>
        <v/>
      </c>
      <c r="V292" s="7">
        <f>IF($Z292="C","Generated from "&amp;INDEX(Contracts!$A$2:$A$151,$AB292),IF($Z292="A","Generated from "&amp;INDEX(Fixed_Assets!$A$2:$A$201,$AB292),IF($Z292="F","Generated from "&amp;INDEX(FTE_Allocation!$A$2:$A$201,$AB292),"")))</f>
        <v/>
      </c>
      <c r="X292" s="19">
        <f>IF($Z292="","",SUM(J292:U292))</f>
        <v/>
      </c>
      <c r="Y292" s="20">
        <f>ROW()-1</f>
        <v/>
      </c>
      <c r="Z292" s="20">
        <f>IF($Y292&lt;=Settings!$B$4*3,"C",IF($Y292&lt;=(Settings!$B$4+Settings!$B$5)*3,"A",IF($Y292&lt;=(Settings!$B$4+Settings!$B$5+Settings!$B$6)*3,"F","")))</f>
        <v/>
      </c>
      <c r="AA292" s="20">
        <f>IF($Z292="C",$Y292,IF($Z292="A",$Y292-Settings!$B$4*3,IF($Z292="F",$Y292-(Settings!$B$4+Settings!$B$5)*3,"")))</f>
        <v/>
      </c>
      <c r="AB292" s="20">
        <f>IF($Z292="","",INT(($AA292-1)/3)+1)</f>
        <v/>
      </c>
      <c r="AC292" s="20">
        <f>IF($Z292="","",MOD($AA292-1,3)+1)</f>
        <v/>
      </c>
      <c r="AD292" s="20">
        <f>IF($Z292="","",Settings!$B$2+$AC292-1)</f>
        <v/>
      </c>
      <c r="AE292" s="21">
        <f>IF($Z292="C",DATE(YEAR(INDEX(Contracts!$J$2:$J$151,$AB292)),MONTH(INDEX(Contracts!$J$2:$J$151,$AB292)),1),IF($Z292="A",DATE(YEAR(INDEX(Fixed_Assets!$G$2:$G$201,$AB292)),MONTH(INDEX(Fixed_Assets!$G$2:$G$201,$AB292)),1),IF($Z292="F",DATE(YEAR(MAX(N(INDEX(Workforce!$I$2:$I$151,MATCH(INDEX(FTE_Allocation!$A$2:$A$201,$AB292),Workforce!$A$2:$A$151,0))),N(INDEX(FTE_Allocation!$I$2:$I$201,$AB292)))),MONTH(MAX(N(INDEX(Workforce!$I$2:$I$151,MATCH(INDEX(FTE_Allocation!$A$2:$A$201,$AB292),Workforce!$A$2:$A$151,0))),N(INDEX(FTE_Allocation!$I$2:$I$201,$AB292)))),1),"")))</f>
        <v/>
      </c>
      <c r="AF292" s="21">
        <f>IF($Z292="C",IF(INDEX(Contracts!$I$2:$I$151,$AB292)="PREPAID",EDATE(DATE(YEAR(INDEX(Contracts!$J$2:$J$151,$AB292)),MONTH(INDEX(Contracts!$J$2:$J$151,$AB292)),1),IF(INDEX(Contracts!$N$2:$N$151,$AB292)="",12,INDEX(Contracts!$N$2:$N$151,$AB292))-1),IF(INDEX(Contracts!$I$2:$I$151,$AB292)="MONTHLY",IF(INDEX(Contracts!$K$2:$K$151,$AB292)="",2958101,INDEX(Contracts!$K$2:$K$151,$AB292)),0)),IF($Z292="A",EDATE(DATE(YEAR(INDEX(Fixed_Assets!$G$2:$G$201,$AB292)),MONTH(INDEX(Fixed_Assets!$G$2:$G$201,$AB292)),1),INDEX(Fixed_Assets!$J$2:$J$201,$AB292)-1),IF($Z292="F",MIN(IF(INDEX(Workforce!$J$2:$J$151,MATCH(INDEX(FTE_Allocation!$A$2:$A$201,$AB292),Workforce!$A$2:$A$151,0))="",2958101,INDEX(Workforce!$J$2:$J$151,MATCH(INDEX(FTE_Allocation!$A$2:$A$201,$AB292),Workforce!$A$2:$A$151,0))),IF(INDEX(FTE_Allocation!$J$2:$J$201,$AB292)="",2958101,INDEX(FTE_Allocation!$J$2:$J$201,$AB292))),"")))</f>
        <v/>
      </c>
      <c r="AG292" s="19">
        <f>IF($Z292="C",IF(INDEX(Contracts!$I$2:$I$151,$AB292)="PREPAID",INDEX(Contracts!$M$2:$M$151,$AB292)/IF(INDEX(Contracts!$N$2:$N$151,$AB292)="",12,INDEX(Contracts!$N$2:$N$151,$AB292)),IF(INDEX(Contracts!$I$2:$I$151,$AB292)="MONTHLY",INDEX(Contracts!$M$2:$M$151,$AB292),0))*(1-N(INDEX(Contracts!$O$2:$O$151,$AB292))),IF($Z292="A",INDEX(Fixed_Assets!$H$2:$H$201,$AB292)/INDEX(Fixed_Assets!$J$2:$J$201,$AB292),IF($Z292="F",INDEX(Workforce!$F$2:$F$151,MATCH(INDEX(FTE_Allocation!$A$2:$A$201,$AB292),Workforce!$A$2:$A$151,0))*N(INDEX(FTE_Allocation!$F$2:$H$201,$AB292,$AC292)),"")))</f>
        <v/>
      </c>
    </row>
    <row r="293">
      <c r="A293" s="7">
        <f>IF($Z293="","",$AD293)</f>
        <v/>
      </c>
      <c r="B293" s="7">
        <f>IF($Z293="C",INDEX(Contracts!$D$2:$D$151,$AB293)&amp;"",IF($Z293="A",INDEX(Fixed_Assets!$C$2:$C$201,$AB293)&amp;"",IF($Z293="F",INDEX(Workforce!$B$2:$B$151,MATCH(INDEX(FTE_Allocation!$A$2:$A$201,$AB293),Workforce!$A$2:$A$151,0))&amp;"","")))</f>
        <v/>
      </c>
      <c r="C293" s="7">
        <f>IF($Z293="C",INDEX(Contracts!$E$2:$E$151,$AB293)&amp;"",IF($Z293="A",INDEX(Fixed_Assets!$D$2:$D$201,$AB293)&amp;"",IF($Z293="F",INDEX(FTE_Allocation!$C$2:$C$201,$AB293)&amp;"","")))</f>
        <v/>
      </c>
      <c r="D293" s="7">
        <f>IF($Z293="C",INDEX(Contracts!$B$2:$B$151,$AB293)&amp;"",IF($Z293="A",INDEX(Fixed_Assets!$B$2:$B$201,$AB293)&amp;"",IF($Z293="F",INDEX(FTE_Allocation!$B$2:$B$201,$AB293)&amp;"","")))</f>
        <v/>
      </c>
      <c r="E293" s="7">
        <f>IF($Z293="C",INDEX(Contracts!$P$2:$P$151,$AB293)&amp;"",IF($Z293="A",INDEX(Fixed_Assets!$K$2:$K$201,$AB293)&amp;"",IF($Z293="F",IF(INDEX(FTE_Allocation!$D$2:$D$201,$AB293)="PROJECT",IFERROR(INDEX(Projects!$D:$D,MATCH(INDEX(FTE_Allocation!$E$2:$E$201,$AB293),Projects!$A:$A,0))&amp;"","#PROJECT?"),INDEX(FTE_Allocation!$E$2:$E$201,$AB293)&amp;""),"")))</f>
        <v/>
      </c>
      <c r="F293" s="7">
        <f>IF($Z293="C",INDEX(Contracts!$Q$2:$Q$151,$AB293)&amp;"",IF($Z293="A",INDEX(Fixed_Assets!$L$2:$L$201,$AB293)&amp;"",IF($Z293="F",INDEX(Workforce!$K$2:$K$151,MATCH(INDEX(FTE_Allocation!$A$2:$A$201,$AB293),Workforce!$A$2:$A$151,0))&amp;"","")))</f>
        <v/>
      </c>
      <c r="G293" s="7">
        <f>IF($Z293="C",INDEX(Contracts!$F$2:$F$151,$AB293)&amp;" / "&amp;INDEX(Contracts!$G$2:$G$151,$AB293),IF($Z293="A",INDEX(Fixed_Assets!$E$2:$E$201,$AB293)&amp;"",IF($Z293="F","Personnel "&amp;INDEX(FTE_Allocation!$A$2:$A$201,$AB293)&amp;IF(INDEX(FTE_Allocation!$D$2:$D$201,$AB293)="PROJECT"," ("&amp;INDEX(FTE_Allocation!$E$2:$E$201,$AB293)&amp;")",""),"")))</f>
        <v/>
      </c>
      <c r="H293" s="7">
        <f>IF($Z293="C","CONTRACT",IF($Z293="A","ASSET",IF($Z293="F","WORKFORCE","")))</f>
        <v/>
      </c>
      <c r="I293" s="7">
        <f>IF($Z293="C",INDEX(Contracts!$L$2:$L$151,$AB293)&amp;"",IF($Z293="A",INDEX(Fixed_Assets!$I$2:$I$201,$AB293)&amp;"",IF($Z293="F",INDEX(Workforce!$G$2:$G$151,MATCH(INDEX(FTE_Allocation!$A$2:$A$201,$AB293),Workforce!$A$2:$A$151,0))&amp;"","")))</f>
        <v/>
      </c>
      <c r="J293" s="18">
        <f>IF($Z293="","",IF(AND(DATE($AD293,1,1)&gt;=$AE293,DATE($AD293,1,1)&lt;=$AF293),ROUND($AG293,2),0))</f>
        <v/>
      </c>
      <c r="K293" s="18">
        <f>IF($Z293="","",IF(AND(DATE($AD293,2,1)&gt;=$AE293,DATE($AD293,2,1)&lt;=$AF293),ROUND($AG293,2),0))</f>
        <v/>
      </c>
      <c r="L293" s="18">
        <f>IF($Z293="","",IF(AND(DATE($AD293,3,1)&gt;=$AE293,DATE($AD293,3,1)&lt;=$AF293),ROUND($AG293,2),0))</f>
        <v/>
      </c>
      <c r="M293" s="18">
        <f>IF($Z293="","",IF(AND(DATE($AD293,4,1)&gt;=$AE293,DATE($AD293,4,1)&lt;=$AF293),ROUND($AG293,2),0))</f>
        <v/>
      </c>
      <c r="N293" s="18">
        <f>IF($Z293="","",IF(AND(DATE($AD293,5,1)&gt;=$AE293,DATE($AD293,5,1)&lt;=$AF293),ROUND($AG293,2),0))</f>
        <v/>
      </c>
      <c r="O293" s="18">
        <f>IF($Z293="","",IF(AND(DATE($AD293,6,1)&gt;=$AE293,DATE($AD293,6,1)&lt;=$AF293),ROUND($AG293,2),0))</f>
        <v/>
      </c>
      <c r="P293" s="18">
        <f>IF($Z293="","",IF(AND(DATE($AD293,7,1)&gt;=$AE293,DATE($AD293,7,1)&lt;=$AF293),ROUND($AG293,2),0))</f>
        <v/>
      </c>
      <c r="Q293" s="18">
        <f>IF($Z293="","",IF(AND(DATE($AD293,8,1)&gt;=$AE293,DATE($AD293,8,1)&lt;=$AF293),ROUND($AG293,2),0))</f>
        <v/>
      </c>
      <c r="R293" s="18">
        <f>IF($Z293="","",IF(AND(DATE($AD293,9,1)&gt;=$AE293,DATE($AD293,9,1)&lt;=$AF293),ROUND($AG293,2),0))</f>
        <v/>
      </c>
      <c r="S293" s="18">
        <f>IF($Z293="","",IF(AND(DATE($AD293,10,1)&gt;=$AE293,DATE($AD293,10,1)&lt;=$AF293),ROUND($AG293,2),0))</f>
        <v/>
      </c>
      <c r="T293" s="18">
        <f>IF($Z293="","",IF(AND(DATE($AD293,11,1)&gt;=$AE293,DATE($AD293,11,1)&lt;=$AF293),ROUND($AG293,2),0))</f>
        <v/>
      </c>
      <c r="U293" s="18">
        <f>IF($Z293="","",IF(AND(DATE($AD293,12,1)&gt;=$AE293,DATE($AD293,12,1)&lt;=$AF293),ROUND($AG293,2),0))</f>
        <v/>
      </c>
      <c r="V293" s="7">
        <f>IF($Z293="C","Generated from "&amp;INDEX(Contracts!$A$2:$A$151,$AB293),IF($Z293="A","Generated from "&amp;INDEX(Fixed_Assets!$A$2:$A$201,$AB293),IF($Z293="F","Generated from "&amp;INDEX(FTE_Allocation!$A$2:$A$201,$AB293),"")))</f>
        <v/>
      </c>
      <c r="X293" s="19">
        <f>IF($Z293="","",SUM(J293:U293))</f>
        <v/>
      </c>
      <c r="Y293" s="20">
        <f>ROW()-1</f>
        <v/>
      </c>
      <c r="Z293" s="20">
        <f>IF($Y293&lt;=Settings!$B$4*3,"C",IF($Y293&lt;=(Settings!$B$4+Settings!$B$5)*3,"A",IF($Y293&lt;=(Settings!$B$4+Settings!$B$5+Settings!$B$6)*3,"F","")))</f>
        <v/>
      </c>
      <c r="AA293" s="20">
        <f>IF($Z293="C",$Y293,IF($Z293="A",$Y293-Settings!$B$4*3,IF($Z293="F",$Y293-(Settings!$B$4+Settings!$B$5)*3,"")))</f>
        <v/>
      </c>
      <c r="AB293" s="20">
        <f>IF($Z293="","",INT(($AA293-1)/3)+1)</f>
        <v/>
      </c>
      <c r="AC293" s="20">
        <f>IF($Z293="","",MOD($AA293-1,3)+1)</f>
        <v/>
      </c>
      <c r="AD293" s="20">
        <f>IF($Z293="","",Settings!$B$2+$AC293-1)</f>
        <v/>
      </c>
      <c r="AE293" s="21">
        <f>IF($Z293="C",DATE(YEAR(INDEX(Contracts!$J$2:$J$151,$AB293)),MONTH(INDEX(Contracts!$J$2:$J$151,$AB293)),1),IF($Z293="A",DATE(YEAR(INDEX(Fixed_Assets!$G$2:$G$201,$AB293)),MONTH(INDEX(Fixed_Assets!$G$2:$G$201,$AB293)),1),IF($Z293="F",DATE(YEAR(MAX(N(INDEX(Workforce!$I$2:$I$151,MATCH(INDEX(FTE_Allocation!$A$2:$A$201,$AB293),Workforce!$A$2:$A$151,0))),N(INDEX(FTE_Allocation!$I$2:$I$201,$AB293)))),MONTH(MAX(N(INDEX(Workforce!$I$2:$I$151,MATCH(INDEX(FTE_Allocation!$A$2:$A$201,$AB293),Workforce!$A$2:$A$151,0))),N(INDEX(FTE_Allocation!$I$2:$I$201,$AB293)))),1),"")))</f>
        <v/>
      </c>
      <c r="AF293" s="21">
        <f>IF($Z293="C",IF(INDEX(Contracts!$I$2:$I$151,$AB293)="PREPAID",EDATE(DATE(YEAR(INDEX(Contracts!$J$2:$J$151,$AB293)),MONTH(INDEX(Contracts!$J$2:$J$151,$AB293)),1),IF(INDEX(Contracts!$N$2:$N$151,$AB293)="",12,INDEX(Contracts!$N$2:$N$151,$AB293))-1),IF(INDEX(Contracts!$I$2:$I$151,$AB293)="MONTHLY",IF(INDEX(Contracts!$K$2:$K$151,$AB293)="",2958101,INDEX(Contracts!$K$2:$K$151,$AB293)),0)),IF($Z293="A",EDATE(DATE(YEAR(INDEX(Fixed_Assets!$G$2:$G$201,$AB293)),MONTH(INDEX(Fixed_Assets!$G$2:$G$201,$AB293)),1),INDEX(Fixed_Assets!$J$2:$J$201,$AB293)-1),IF($Z293="F",MIN(IF(INDEX(Workforce!$J$2:$J$151,MATCH(INDEX(FTE_Allocation!$A$2:$A$201,$AB293),Workforce!$A$2:$A$151,0))="",2958101,INDEX(Workforce!$J$2:$J$151,MATCH(INDEX(FTE_Allocation!$A$2:$A$201,$AB293),Workforce!$A$2:$A$151,0))),IF(INDEX(FTE_Allocation!$J$2:$J$201,$AB293)="",2958101,INDEX(FTE_Allocation!$J$2:$J$201,$AB293))),"")))</f>
        <v/>
      </c>
      <c r="AG293" s="19">
        <f>IF($Z293="C",IF(INDEX(Contracts!$I$2:$I$151,$AB293)="PREPAID",INDEX(Contracts!$M$2:$M$151,$AB293)/IF(INDEX(Contracts!$N$2:$N$151,$AB293)="",12,INDEX(Contracts!$N$2:$N$151,$AB293)),IF(INDEX(Contracts!$I$2:$I$151,$AB293)="MONTHLY",INDEX(Contracts!$M$2:$M$151,$AB293),0))*(1-N(INDEX(Contracts!$O$2:$O$151,$AB293))),IF($Z293="A",INDEX(Fixed_Assets!$H$2:$H$201,$AB293)/INDEX(Fixed_Assets!$J$2:$J$201,$AB293),IF($Z293="F",INDEX(Workforce!$F$2:$F$151,MATCH(INDEX(FTE_Allocation!$A$2:$A$201,$AB293),Workforce!$A$2:$A$151,0))*N(INDEX(FTE_Allocation!$F$2:$H$201,$AB293,$AC293)),"")))</f>
        <v/>
      </c>
    </row>
    <row r="294">
      <c r="A294" s="7">
        <f>IF($Z294="","",$AD294)</f>
        <v/>
      </c>
      <c r="B294" s="7">
        <f>IF($Z294="C",INDEX(Contracts!$D$2:$D$151,$AB294)&amp;"",IF($Z294="A",INDEX(Fixed_Assets!$C$2:$C$201,$AB294)&amp;"",IF($Z294="F",INDEX(Workforce!$B$2:$B$151,MATCH(INDEX(FTE_Allocation!$A$2:$A$201,$AB294),Workforce!$A$2:$A$151,0))&amp;"","")))</f>
        <v/>
      </c>
      <c r="C294" s="7">
        <f>IF($Z294="C",INDEX(Contracts!$E$2:$E$151,$AB294)&amp;"",IF($Z294="A",INDEX(Fixed_Assets!$D$2:$D$201,$AB294)&amp;"",IF($Z294="F",INDEX(FTE_Allocation!$C$2:$C$201,$AB294)&amp;"","")))</f>
        <v/>
      </c>
      <c r="D294" s="7">
        <f>IF($Z294="C",INDEX(Contracts!$B$2:$B$151,$AB294)&amp;"",IF($Z294="A",INDEX(Fixed_Assets!$B$2:$B$201,$AB294)&amp;"",IF($Z294="F",INDEX(FTE_Allocation!$B$2:$B$201,$AB294)&amp;"","")))</f>
        <v/>
      </c>
      <c r="E294" s="7">
        <f>IF($Z294="C",INDEX(Contracts!$P$2:$P$151,$AB294)&amp;"",IF($Z294="A",INDEX(Fixed_Assets!$K$2:$K$201,$AB294)&amp;"",IF($Z294="F",IF(INDEX(FTE_Allocation!$D$2:$D$201,$AB294)="PROJECT",IFERROR(INDEX(Projects!$D:$D,MATCH(INDEX(FTE_Allocation!$E$2:$E$201,$AB294),Projects!$A:$A,0))&amp;"","#PROJECT?"),INDEX(FTE_Allocation!$E$2:$E$201,$AB294)&amp;""),"")))</f>
        <v/>
      </c>
      <c r="F294" s="7">
        <f>IF($Z294="C",INDEX(Contracts!$Q$2:$Q$151,$AB294)&amp;"",IF($Z294="A",INDEX(Fixed_Assets!$L$2:$L$201,$AB294)&amp;"",IF($Z294="F",INDEX(Workforce!$K$2:$K$151,MATCH(INDEX(FTE_Allocation!$A$2:$A$201,$AB294),Workforce!$A$2:$A$151,0))&amp;"","")))</f>
        <v/>
      </c>
      <c r="G294" s="7">
        <f>IF($Z294="C",INDEX(Contracts!$F$2:$F$151,$AB294)&amp;" / "&amp;INDEX(Contracts!$G$2:$G$151,$AB294),IF($Z294="A",INDEX(Fixed_Assets!$E$2:$E$201,$AB294)&amp;"",IF($Z294="F","Personnel "&amp;INDEX(FTE_Allocation!$A$2:$A$201,$AB294)&amp;IF(INDEX(FTE_Allocation!$D$2:$D$201,$AB294)="PROJECT"," ("&amp;INDEX(FTE_Allocation!$E$2:$E$201,$AB294)&amp;")",""),"")))</f>
        <v/>
      </c>
      <c r="H294" s="7">
        <f>IF($Z294="C","CONTRACT",IF($Z294="A","ASSET",IF($Z294="F","WORKFORCE","")))</f>
        <v/>
      </c>
      <c r="I294" s="7">
        <f>IF($Z294="C",INDEX(Contracts!$L$2:$L$151,$AB294)&amp;"",IF($Z294="A",INDEX(Fixed_Assets!$I$2:$I$201,$AB294)&amp;"",IF($Z294="F",INDEX(Workforce!$G$2:$G$151,MATCH(INDEX(FTE_Allocation!$A$2:$A$201,$AB294),Workforce!$A$2:$A$151,0))&amp;"","")))</f>
        <v/>
      </c>
      <c r="J294" s="18">
        <f>IF($Z294="","",IF(AND(DATE($AD294,1,1)&gt;=$AE294,DATE($AD294,1,1)&lt;=$AF294),ROUND($AG294,2),0))</f>
        <v/>
      </c>
      <c r="K294" s="18">
        <f>IF($Z294="","",IF(AND(DATE($AD294,2,1)&gt;=$AE294,DATE($AD294,2,1)&lt;=$AF294),ROUND($AG294,2),0))</f>
        <v/>
      </c>
      <c r="L294" s="18">
        <f>IF($Z294="","",IF(AND(DATE($AD294,3,1)&gt;=$AE294,DATE($AD294,3,1)&lt;=$AF294),ROUND($AG294,2),0))</f>
        <v/>
      </c>
      <c r="M294" s="18">
        <f>IF($Z294="","",IF(AND(DATE($AD294,4,1)&gt;=$AE294,DATE($AD294,4,1)&lt;=$AF294),ROUND($AG294,2),0))</f>
        <v/>
      </c>
      <c r="N294" s="18">
        <f>IF($Z294="","",IF(AND(DATE($AD294,5,1)&gt;=$AE294,DATE($AD294,5,1)&lt;=$AF294),ROUND($AG294,2),0))</f>
        <v/>
      </c>
      <c r="O294" s="18">
        <f>IF($Z294="","",IF(AND(DATE($AD294,6,1)&gt;=$AE294,DATE($AD294,6,1)&lt;=$AF294),ROUND($AG294,2),0))</f>
        <v/>
      </c>
      <c r="P294" s="18">
        <f>IF($Z294="","",IF(AND(DATE($AD294,7,1)&gt;=$AE294,DATE($AD294,7,1)&lt;=$AF294),ROUND($AG294,2),0))</f>
        <v/>
      </c>
      <c r="Q294" s="18">
        <f>IF($Z294="","",IF(AND(DATE($AD294,8,1)&gt;=$AE294,DATE($AD294,8,1)&lt;=$AF294),ROUND($AG294,2),0))</f>
        <v/>
      </c>
      <c r="R294" s="18">
        <f>IF($Z294="","",IF(AND(DATE($AD294,9,1)&gt;=$AE294,DATE($AD294,9,1)&lt;=$AF294),ROUND($AG294,2),0))</f>
        <v/>
      </c>
      <c r="S294" s="18">
        <f>IF($Z294="","",IF(AND(DATE($AD294,10,1)&gt;=$AE294,DATE($AD294,10,1)&lt;=$AF294),ROUND($AG294,2),0))</f>
        <v/>
      </c>
      <c r="T294" s="18">
        <f>IF($Z294="","",IF(AND(DATE($AD294,11,1)&gt;=$AE294,DATE($AD294,11,1)&lt;=$AF294),ROUND($AG294,2),0))</f>
        <v/>
      </c>
      <c r="U294" s="18">
        <f>IF($Z294="","",IF(AND(DATE($AD294,12,1)&gt;=$AE294,DATE($AD294,12,1)&lt;=$AF294),ROUND($AG294,2),0))</f>
        <v/>
      </c>
      <c r="V294" s="7">
        <f>IF($Z294="C","Generated from "&amp;INDEX(Contracts!$A$2:$A$151,$AB294),IF($Z294="A","Generated from "&amp;INDEX(Fixed_Assets!$A$2:$A$201,$AB294),IF($Z294="F","Generated from "&amp;INDEX(FTE_Allocation!$A$2:$A$201,$AB294),"")))</f>
        <v/>
      </c>
      <c r="X294" s="19">
        <f>IF($Z294="","",SUM(J294:U294))</f>
        <v/>
      </c>
      <c r="Y294" s="20">
        <f>ROW()-1</f>
        <v/>
      </c>
      <c r="Z294" s="20">
        <f>IF($Y294&lt;=Settings!$B$4*3,"C",IF($Y294&lt;=(Settings!$B$4+Settings!$B$5)*3,"A",IF($Y294&lt;=(Settings!$B$4+Settings!$B$5+Settings!$B$6)*3,"F","")))</f>
        <v/>
      </c>
      <c r="AA294" s="20">
        <f>IF($Z294="C",$Y294,IF($Z294="A",$Y294-Settings!$B$4*3,IF($Z294="F",$Y294-(Settings!$B$4+Settings!$B$5)*3,"")))</f>
        <v/>
      </c>
      <c r="AB294" s="20">
        <f>IF($Z294="","",INT(($AA294-1)/3)+1)</f>
        <v/>
      </c>
      <c r="AC294" s="20">
        <f>IF($Z294="","",MOD($AA294-1,3)+1)</f>
        <v/>
      </c>
      <c r="AD294" s="20">
        <f>IF($Z294="","",Settings!$B$2+$AC294-1)</f>
        <v/>
      </c>
      <c r="AE294" s="21">
        <f>IF($Z294="C",DATE(YEAR(INDEX(Contracts!$J$2:$J$151,$AB294)),MONTH(INDEX(Contracts!$J$2:$J$151,$AB294)),1),IF($Z294="A",DATE(YEAR(INDEX(Fixed_Assets!$G$2:$G$201,$AB294)),MONTH(INDEX(Fixed_Assets!$G$2:$G$201,$AB294)),1),IF($Z294="F",DATE(YEAR(MAX(N(INDEX(Workforce!$I$2:$I$151,MATCH(INDEX(FTE_Allocation!$A$2:$A$201,$AB294),Workforce!$A$2:$A$151,0))),N(INDEX(FTE_Allocation!$I$2:$I$201,$AB294)))),MONTH(MAX(N(INDEX(Workforce!$I$2:$I$151,MATCH(INDEX(FTE_Allocation!$A$2:$A$201,$AB294),Workforce!$A$2:$A$151,0))),N(INDEX(FTE_Allocation!$I$2:$I$201,$AB294)))),1),"")))</f>
        <v/>
      </c>
      <c r="AF294" s="21">
        <f>IF($Z294="C",IF(INDEX(Contracts!$I$2:$I$151,$AB294)="PREPAID",EDATE(DATE(YEAR(INDEX(Contracts!$J$2:$J$151,$AB294)),MONTH(INDEX(Contracts!$J$2:$J$151,$AB294)),1),IF(INDEX(Contracts!$N$2:$N$151,$AB294)="",12,INDEX(Contracts!$N$2:$N$151,$AB294))-1),IF(INDEX(Contracts!$I$2:$I$151,$AB294)="MONTHLY",IF(INDEX(Contracts!$K$2:$K$151,$AB294)="",2958101,INDEX(Contracts!$K$2:$K$151,$AB294)),0)),IF($Z294="A",EDATE(DATE(YEAR(INDEX(Fixed_Assets!$G$2:$G$201,$AB294)),MONTH(INDEX(Fixed_Assets!$G$2:$G$201,$AB294)),1),INDEX(Fixed_Assets!$J$2:$J$201,$AB294)-1),IF($Z294="F",MIN(IF(INDEX(Workforce!$J$2:$J$151,MATCH(INDEX(FTE_Allocation!$A$2:$A$201,$AB294),Workforce!$A$2:$A$151,0))="",2958101,INDEX(Workforce!$J$2:$J$151,MATCH(INDEX(FTE_Allocation!$A$2:$A$201,$AB294),Workforce!$A$2:$A$151,0))),IF(INDEX(FTE_Allocation!$J$2:$J$201,$AB294)="",2958101,INDEX(FTE_Allocation!$J$2:$J$201,$AB294))),"")))</f>
        <v/>
      </c>
      <c r="AG294" s="19">
        <f>IF($Z294="C",IF(INDEX(Contracts!$I$2:$I$151,$AB294)="PREPAID",INDEX(Contracts!$M$2:$M$151,$AB294)/IF(INDEX(Contracts!$N$2:$N$151,$AB294)="",12,INDEX(Contracts!$N$2:$N$151,$AB294)),IF(INDEX(Contracts!$I$2:$I$151,$AB294)="MONTHLY",INDEX(Contracts!$M$2:$M$151,$AB294),0))*(1-N(INDEX(Contracts!$O$2:$O$151,$AB294))),IF($Z294="A",INDEX(Fixed_Assets!$H$2:$H$201,$AB294)/INDEX(Fixed_Assets!$J$2:$J$201,$AB294),IF($Z294="F",INDEX(Workforce!$F$2:$F$151,MATCH(INDEX(FTE_Allocation!$A$2:$A$201,$AB294),Workforce!$A$2:$A$151,0))*N(INDEX(FTE_Allocation!$F$2:$H$201,$AB294,$AC294)),"")))</f>
        <v/>
      </c>
    </row>
    <row r="295">
      <c r="A295" s="7">
        <f>IF($Z295="","",$AD295)</f>
        <v/>
      </c>
      <c r="B295" s="7">
        <f>IF($Z295="C",INDEX(Contracts!$D$2:$D$151,$AB295)&amp;"",IF($Z295="A",INDEX(Fixed_Assets!$C$2:$C$201,$AB295)&amp;"",IF($Z295="F",INDEX(Workforce!$B$2:$B$151,MATCH(INDEX(FTE_Allocation!$A$2:$A$201,$AB295),Workforce!$A$2:$A$151,0))&amp;"","")))</f>
        <v/>
      </c>
      <c r="C295" s="7">
        <f>IF($Z295="C",INDEX(Contracts!$E$2:$E$151,$AB295)&amp;"",IF($Z295="A",INDEX(Fixed_Assets!$D$2:$D$201,$AB295)&amp;"",IF($Z295="F",INDEX(FTE_Allocation!$C$2:$C$201,$AB295)&amp;"","")))</f>
        <v/>
      </c>
      <c r="D295" s="7">
        <f>IF($Z295="C",INDEX(Contracts!$B$2:$B$151,$AB295)&amp;"",IF($Z295="A",INDEX(Fixed_Assets!$B$2:$B$201,$AB295)&amp;"",IF($Z295="F",INDEX(FTE_Allocation!$B$2:$B$201,$AB295)&amp;"","")))</f>
        <v/>
      </c>
      <c r="E295" s="7">
        <f>IF($Z295="C",INDEX(Contracts!$P$2:$P$151,$AB295)&amp;"",IF($Z295="A",INDEX(Fixed_Assets!$K$2:$K$201,$AB295)&amp;"",IF($Z295="F",IF(INDEX(FTE_Allocation!$D$2:$D$201,$AB295)="PROJECT",IFERROR(INDEX(Projects!$D:$D,MATCH(INDEX(FTE_Allocation!$E$2:$E$201,$AB295),Projects!$A:$A,0))&amp;"","#PROJECT?"),INDEX(FTE_Allocation!$E$2:$E$201,$AB295)&amp;""),"")))</f>
        <v/>
      </c>
      <c r="F295" s="7">
        <f>IF($Z295="C",INDEX(Contracts!$Q$2:$Q$151,$AB295)&amp;"",IF($Z295="A",INDEX(Fixed_Assets!$L$2:$L$201,$AB295)&amp;"",IF($Z295="F",INDEX(Workforce!$K$2:$K$151,MATCH(INDEX(FTE_Allocation!$A$2:$A$201,$AB295),Workforce!$A$2:$A$151,0))&amp;"","")))</f>
        <v/>
      </c>
      <c r="G295" s="7">
        <f>IF($Z295="C",INDEX(Contracts!$F$2:$F$151,$AB295)&amp;" / "&amp;INDEX(Contracts!$G$2:$G$151,$AB295),IF($Z295="A",INDEX(Fixed_Assets!$E$2:$E$201,$AB295)&amp;"",IF($Z295="F","Personnel "&amp;INDEX(FTE_Allocation!$A$2:$A$201,$AB295)&amp;IF(INDEX(FTE_Allocation!$D$2:$D$201,$AB295)="PROJECT"," ("&amp;INDEX(FTE_Allocation!$E$2:$E$201,$AB295)&amp;")",""),"")))</f>
        <v/>
      </c>
      <c r="H295" s="7">
        <f>IF($Z295="C","CONTRACT",IF($Z295="A","ASSET",IF($Z295="F","WORKFORCE","")))</f>
        <v/>
      </c>
      <c r="I295" s="7">
        <f>IF($Z295="C",INDEX(Contracts!$L$2:$L$151,$AB295)&amp;"",IF($Z295="A",INDEX(Fixed_Assets!$I$2:$I$201,$AB295)&amp;"",IF($Z295="F",INDEX(Workforce!$G$2:$G$151,MATCH(INDEX(FTE_Allocation!$A$2:$A$201,$AB295),Workforce!$A$2:$A$151,0))&amp;"","")))</f>
        <v/>
      </c>
      <c r="J295" s="18">
        <f>IF($Z295="","",IF(AND(DATE($AD295,1,1)&gt;=$AE295,DATE($AD295,1,1)&lt;=$AF295),ROUND($AG295,2),0))</f>
        <v/>
      </c>
      <c r="K295" s="18">
        <f>IF($Z295="","",IF(AND(DATE($AD295,2,1)&gt;=$AE295,DATE($AD295,2,1)&lt;=$AF295),ROUND($AG295,2),0))</f>
        <v/>
      </c>
      <c r="L295" s="18">
        <f>IF($Z295="","",IF(AND(DATE($AD295,3,1)&gt;=$AE295,DATE($AD295,3,1)&lt;=$AF295),ROUND($AG295,2),0))</f>
        <v/>
      </c>
      <c r="M295" s="18">
        <f>IF($Z295="","",IF(AND(DATE($AD295,4,1)&gt;=$AE295,DATE($AD295,4,1)&lt;=$AF295),ROUND($AG295,2),0))</f>
        <v/>
      </c>
      <c r="N295" s="18">
        <f>IF($Z295="","",IF(AND(DATE($AD295,5,1)&gt;=$AE295,DATE($AD295,5,1)&lt;=$AF295),ROUND($AG295,2),0))</f>
        <v/>
      </c>
      <c r="O295" s="18">
        <f>IF($Z295="","",IF(AND(DATE($AD295,6,1)&gt;=$AE295,DATE($AD295,6,1)&lt;=$AF295),ROUND($AG295,2),0))</f>
        <v/>
      </c>
      <c r="P295" s="18">
        <f>IF($Z295="","",IF(AND(DATE($AD295,7,1)&gt;=$AE295,DATE($AD295,7,1)&lt;=$AF295),ROUND($AG295,2),0))</f>
        <v/>
      </c>
      <c r="Q295" s="18">
        <f>IF($Z295="","",IF(AND(DATE($AD295,8,1)&gt;=$AE295,DATE($AD295,8,1)&lt;=$AF295),ROUND($AG295,2),0))</f>
        <v/>
      </c>
      <c r="R295" s="18">
        <f>IF($Z295="","",IF(AND(DATE($AD295,9,1)&gt;=$AE295,DATE($AD295,9,1)&lt;=$AF295),ROUND($AG295,2),0))</f>
        <v/>
      </c>
      <c r="S295" s="18">
        <f>IF($Z295="","",IF(AND(DATE($AD295,10,1)&gt;=$AE295,DATE($AD295,10,1)&lt;=$AF295),ROUND($AG295,2),0))</f>
        <v/>
      </c>
      <c r="T295" s="18">
        <f>IF($Z295="","",IF(AND(DATE($AD295,11,1)&gt;=$AE295,DATE($AD295,11,1)&lt;=$AF295),ROUND($AG295,2),0))</f>
        <v/>
      </c>
      <c r="U295" s="18">
        <f>IF($Z295="","",IF(AND(DATE($AD295,12,1)&gt;=$AE295,DATE($AD295,12,1)&lt;=$AF295),ROUND($AG295,2),0))</f>
        <v/>
      </c>
      <c r="V295" s="7">
        <f>IF($Z295="C","Generated from "&amp;INDEX(Contracts!$A$2:$A$151,$AB295),IF($Z295="A","Generated from "&amp;INDEX(Fixed_Assets!$A$2:$A$201,$AB295),IF($Z295="F","Generated from "&amp;INDEX(FTE_Allocation!$A$2:$A$201,$AB295),"")))</f>
        <v/>
      </c>
      <c r="X295" s="19">
        <f>IF($Z295="","",SUM(J295:U295))</f>
        <v/>
      </c>
      <c r="Y295" s="20">
        <f>ROW()-1</f>
        <v/>
      </c>
      <c r="Z295" s="20">
        <f>IF($Y295&lt;=Settings!$B$4*3,"C",IF($Y295&lt;=(Settings!$B$4+Settings!$B$5)*3,"A",IF($Y295&lt;=(Settings!$B$4+Settings!$B$5+Settings!$B$6)*3,"F","")))</f>
        <v/>
      </c>
      <c r="AA295" s="20">
        <f>IF($Z295="C",$Y295,IF($Z295="A",$Y295-Settings!$B$4*3,IF($Z295="F",$Y295-(Settings!$B$4+Settings!$B$5)*3,"")))</f>
        <v/>
      </c>
      <c r="AB295" s="20">
        <f>IF($Z295="","",INT(($AA295-1)/3)+1)</f>
        <v/>
      </c>
      <c r="AC295" s="20">
        <f>IF($Z295="","",MOD($AA295-1,3)+1)</f>
        <v/>
      </c>
      <c r="AD295" s="20">
        <f>IF($Z295="","",Settings!$B$2+$AC295-1)</f>
        <v/>
      </c>
      <c r="AE295" s="21">
        <f>IF($Z295="C",DATE(YEAR(INDEX(Contracts!$J$2:$J$151,$AB295)),MONTH(INDEX(Contracts!$J$2:$J$151,$AB295)),1),IF($Z295="A",DATE(YEAR(INDEX(Fixed_Assets!$G$2:$G$201,$AB295)),MONTH(INDEX(Fixed_Assets!$G$2:$G$201,$AB295)),1),IF($Z295="F",DATE(YEAR(MAX(N(INDEX(Workforce!$I$2:$I$151,MATCH(INDEX(FTE_Allocation!$A$2:$A$201,$AB295),Workforce!$A$2:$A$151,0))),N(INDEX(FTE_Allocation!$I$2:$I$201,$AB295)))),MONTH(MAX(N(INDEX(Workforce!$I$2:$I$151,MATCH(INDEX(FTE_Allocation!$A$2:$A$201,$AB295),Workforce!$A$2:$A$151,0))),N(INDEX(FTE_Allocation!$I$2:$I$201,$AB295)))),1),"")))</f>
        <v/>
      </c>
      <c r="AF295" s="21">
        <f>IF($Z295="C",IF(INDEX(Contracts!$I$2:$I$151,$AB295)="PREPAID",EDATE(DATE(YEAR(INDEX(Contracts!$J$2:$J$151,$AB295)),MONTH(INDEX(Contracts!$J$2:$J$151,$AB295)),1),IF(INDEX(Contracts!$N$2:$N$151,$AB295)="",12,INDEX(Contracts!$N$2:$N$151,$AB295))-1),IF(INDEX(Contracts!$I$2:$I$151,$AB295)="MONTHLY",IF(INDEX(Contracts!$K$2:$K$151,$AB295)="",2958101,INDEX(Contracts!$K$2:$K$151,$AB295)),0)),IF($Z295="A",EDATE(DATE(YEAR(INDEX(Fixed_Assets!$G$2:$G$201,$AB295)),MONTH(INDEX(Fixed_Assets!$G$2:$G$201,$AB295)),1),INDEX(Fixed_Assets!$J$2:$J$201,$AB295)-1),IF($Z295="F",MIN(IF(INDEX(Workforce!$J$2:$J$151,MATCH(INDEX(FTE_Allocation!$A$2:$A$201,$AB295),Workforce!$A$2:$A$151,0))="",2958101,INDEX(Workforce!$J$2:$J$151,MATCH(INDEX(FTE_Allocation!$A$2:$A$201,$AB295),Workforce!$A$2:$A$151,0))),IF(INDEX(FTE_Allocation!$J$2:$J$201,$AB295)="",2958101,INDEX(FTE_Allocation!$J$2:$J$201,$AB295))),"")))</f>
        <v/>
      </c>
      <c r="AG295" s="19">
        <f>IF($Z295="C",IF(INDEX(Contracts!$I$2:$I$151,$AB295)="PREPAID",INDEX(Contracts!$M$2:$M$151,$AB295)/IF(INDEX(Contracts!$N$2:$N$151,$AB295)="",12,INDEX(Contracts!$N$2:$N$151,$AB295)),IF(INDEX(Contracts!$I$2:$I$151,$AB295)="MONTHLY",INDEX(Contracts!$M$2:$M$151,$AB295),0))*(1-N(INDEX(Contracts!$O$2:$O$151,$AB295))),IF($Z295="A",INDEX(Fixed_Assets!$H$2:$H$201,$AB295)/INDEX(Fixed_Assets!$J$2:$J$201,$AB295),IF($Z295="F",INDEX(Workforce!$F$2:$F$151,MATCH(INDEX(FTE_Allocation!$A$2:$A$201,$AB295),Workforce!$A$2:$A$151,0))*N(INDEX(FTE_Allocation!$F$2:$H$201,$AB295,$AC295)),"")))</f>
        <v/>
      </c>
    </row>
    <row r="296">
      <c r="A296" s="7">
        <f>IF($Z296="","",$AD296)</f>
        <v/>
      </c>
      <c r="B296" s="7">
        <f>IF($Z296="C",INDEX(Contracts!$D$2:$D$151,$AB296)&amp;"",IF($Z296="A",INDEX(Fixed_Assets!$C$2:$C$201,$AB296)&amp;"",IF($Z296="F",INDEX(Workforce!$B$2:$B$151,MATCH(INDEX(FTE_Allocation!$A$2:$A$201,$AB296),Workforce!$A$2:$A$151,0))&amp;"","")))</f>
        <v/>
      </c>
      <c r="C296" s="7">
        <f>IF($Z296="C",INDEX(Contracts!$E$2:$E$151,$AB296)&amp;"",IF($Z296="A",INDEX(Fixed_Assets!$D$2:$D$201,$AB296)&amp;"",IF($Z296="F",INDEX(FTE_Allocation!$C$2:$C$201,$AB296)&amp;"","")))</f>
        <v/>
      </c>
      <c r="D296" s="7">
        <f>IF($Z296="C",INDEX(Contracts!$B$2:$B$151,$AB296)&amp;"",IF($Z296="A",INDEX(Fixed_Assets!$B$2:$B$201,$AB296)&amp;"",IF($Z296="F",INDEX(FTE_Allocation!$B$2:$B$201,$AB296)&amp;"","")))</f>
        <v/>
      </c>
      <c r="E296" s="7">
        <f>IF($Z296="C",INDEX(Contracts!$P$2:$P$151,$AB296)&amp;"",IF($Z296="A",INDEX(Fixed_Assets!$K$2:$K$201,$AB296)&amp;"",IF($Z296="F",IF(INDEX(FTE_Allocation!$D$2:$D$201,$AB296)="PROJECT",IFERROR(INDEX(Projects!$D:$D,MATCH(INDEX(FTE_Allocation!$E$2:$E$201,$AB296),Projects!$A:$A,0))&amp;"","#PROJECT?"),INDEX(FTE_Allocation!$E$2:$E$201,$AB296)&amp;""),"")))</f>
        <v/>
      </c>
      <c r="F296" s="7">
        <f>IF($Z296="C",INDEX(Contracts!$Q$2:$Q$151,$AB296)&amp;"",IF($Z296="A",INDEX(Fixed_Assets!$L$2:$L$201,$AB296)&amp;"",IF($Z296="F",INDEX(Workforce!$K$2:$K$151,MATCH(INDEX(FTE_Allocation!$A$2:$A$201,$AB296),Workforce!$A$2:$A$151,0))&amp;"","")))</f>
        <v/>
      </c>
      <c r="G296" s="7">
        <f>IF($Z296="C",INDEX(Contracts!$F$2:$F$151,$AB296)&amp;" / "&amp;INDEX(Contracts!$G$2:$G$151,$AB296),IF($Z296="A",INDEX(Fixed_Assets!$E$2:$E$201,$AB296)&amp;"",IF($Z296="F","Personnel "&amp;INDEX(FTE_Allocation!$A$2:$A$201,$AB296)&amp;IF(INDEX(FTE_Allocation!$D$2:$D$201,$AB296)="PROJECT"," ("&amp;INDEX(FTE_Allocation!$E$2:$E$201,$AB296)&amp;")",""),"")))</f>
        <v/>
      </c>
      <c r="H296" s="7">
        <f>IF($Z296="C","CONTRACT",IF($Z296="A","ASSET",IF($Z296="F","WORKFORCE","")))</f>
        <v/>
      </c>
      <c r="I296" s="7">
        <f>IF($Z296="C",INDEX(Contracts!$L$2:$L$151,$AB296)&amp;"",IF($Z296="A",INDEX(Fixed_Assets!$I$2:$I$201,$AB296)&amp;"",IF($Z296="F",INDEX(Workforce!$G$2:$G$151,MATCH(INDEX(FTE_Allocation!$A$2:$A$201,$AB296),Workforce!$A$2:$A$151,0))&amp;"","")))</f>
        <v/>
      </c>
      <c r="J296" s="18">
        <f>IF($Z296="","",IF(AND(DATE($AD296,1,1)&gt;=$AE296,DATE($AD296,1,1)&lt;=$AF296),ROUND($AG296,2),0))</f>
        <v/>
      </c>
      <c r="K296" s="18">
        <f>IF($Z296="","",IF(AND(DATE($AD296,2,1)&gt;=$AE296,DATE($AD296,2,1)&lt;=$AF296),ROUND($AG296,2),0))</f>
        <v/>
      </c>
      <c r="L296" s="18">
        <f>IF($Z296="","",IF(AND(DATE($AD296,3,1)&gt;=$AE296,DATE($AD296,3,1)&lt;=$AF296),ROUND($AG296,2),0))</f>
        <v/>
      </c>
      <c r="M296" s="18">
        <f>IF($Z296="","",IF(AND(DATE($AD296,4,1)&gt;=$AE296,DATE($AD296,4,1)&lt;=$AF296),ROUND($AG296,2),0))</f>
        <v/>
      </c>
      <c r="N296" s="18">
        <f>IF($Z296="","",IF(AND(DATE($AD296,5,1)&gt;=$AE296,DATE($AD296,5,1)&lt;=$AF296),ROUND($AG296,2),0))</f>
        <v/>
      </c>
      <c r="O296" s="18">
        <f>IF($Z296="","",IF(AND(DATE($AD296,6,1)&gt;=$AE296,DATE($AD296,6,1)&lt;=$AF296),ROUND($AG296,2),0))</f>
        <v/>
      </c>
      <c r="P296" s="18">
        <f>IF($Z296="","",IF(AND(DATE($AD296,7,1)&gt;=$AE296,DATE($AD296,7,1)&lt;=$AF296),ROUND($AG296,2),0))</f>
        <v/>
      </c>
      <c r="Q296" s="18">
        <f>IF($Z296="","",IF(AND(DATE($AD296,8,1)&gt;=$AE296,DATE($AD296,8,1)&lt;=$AF296),ROUND($AG296,2),0))</f>
        <v/>
      </c>
      <c r="R296" s="18">
        <f>IF($Z296="","",IF(AND(DATE($AD296,9,1)&gt;=$AE296,DATE($AD296,9,1)&lt;=$AF296),ROUND($AG296,2),0))</f>
        <v/>
      </c>
      <c r="S296" s="18">
        <f>IF($Z296="","",IF(AND(DATE($AD296,10,1)&gt;=$AE296,DATE($AD296,10,1)&lt;=$AF296),ROUND($AG296,2),0))</f>
        <v/>
      </c>
      <c r="T296" s="18">
        <f>IF($Z296="","",IF(AND(DATE($AD296,11,1)&gt;=$AE296,DATE($AD296,11,1)&lt;=$AF296),ROUND($AG296,2),0))</f>
        <v/>
      </c>
      <c r="U296" s="18">
        <f>IF($Z296="","",IF(AND(DATE($AD296,12,1)&gt;=$AE296,DATE($AD296,12,1)&lt;=$AF296),ROUND($AG296,2),0))</f>
        <v/>
      </c>
      <c r="V296" s="7">
        <f>IF($Z296="C","Generated from "&amp;INDEX(Contracts!$A$2:$A$151,$AB296),IF($Z296="A","Generated from "&amp;INDEX(Fixed_Assets!$A$2:$A$201,$AB296),IF($Z296="F","Generated from "&amp;INDEX(FTE_Allocation!$A$2:$A$201,$AB296),"")))</f>
        <v/>
      </c>
      <c r="X296" s="19">
        <f>IF($Z296="","",SUM(J296:U296))</f>
        <v/>
      </c>
      <c r="Y296" s="20">
        <f>ROW()-1</f>
        <v/>
      </c>
      <c r="Z296" s="20">
        <f>IF($Y296&lt;=Settings!$B$4*3,"C",IF($Y296&lt;=(Settings!$B$4+Settings!$B$5)*3,"A",IF($Y296&lt;=(Settings!$B$4+Settings!$B$5+Settings!$B$6)*3,"F","")))</f>
        <v/>
      </c>
      <c r="AA296" s="20">
        <f>IF($Z296="C",$Y296,IF($Z296="A",$Y296-Settings!$B$4*3,IF($Z296="F",$Y296-(Settings!$B$4+Settings!$B$5)*3,"")))</f>
        <v/>
      </c>
      <c r="AB296" s="20">
        <f>IF($Z296="","",INT(($AA296-1)/3)+1)</f>
        <v/>
      </c>
      <c r="AC296" s="20">
        <f>IF($Z296="","",MOD($AA296-1,3)+1)</f>
        <v/>
      </c>
      <c r="AD296" s="20">
        <f>IF($Z296="","",Settings!$B$2+$AC296-1)</f>
        <v/>
      </c>
      <c r="AE296" s="21">
        <f>IF($Z296="C",DATE(YEAR(INDEX(Contracts!$J$2:$J$151,$AB296)),MONTH(INDEX(Contracts!$J$2:$J$151,$AB296)),1),IF($Z296="A",DATE(YEAR(INDEX(Fixed_Assets!$G$2:$G$201,$AB296)),MONTH(INDEX(Fixed_Assets!$G$2:$G$201,$AB296)),1),IF($Z296="F",DATE(YEAR(MAX(N(INDEX(Workforce!$I$2:$I$151,MATCH(INDEX(FTE_Allocation!$A$2:$A$201,$AB296),Workforce!$A$2:$A$151,0))),N(INDEX(FTE_Allocation!$I$2:$I$201,$AB296)))),MONTH(MAX(N(INDEX(Workforce!$I$2:$I$151,MATCH(INDEX(FTE_Allocation!$A$2:$A$201,$AB296),Workforce!$A$2:$A$151,0))),N(INDEX(FTE_Allocation!$I$2:$I$201,$AB296)))),1),"")))</f>
        <v/>
      </c>
      <c r="AF296" s="21">
        <f>IF($Z296="C",IF(INDEX(Contracts!$I$2:$I$151,$AB296)="PREPAID",EDATE(DATE(YEAR(INDEX(Contracts!$J$2:$J$151,$AB296)),MONTH(INDEX(Contracts!$J$2:$J$151,$AB296)),1),IF(INDEX(Contracts!$N$2:$N$151,$AB296)="",12,INDEX(Contracts!$N$2:$N$151,$AB296))-1),IF(INDEX(Contracts!$I$2:$I$151,$AB296)="MONTHLY",IF(INDEX(Contracts!$K$2:$K$151,$AB296)="",2958101,INDEX(Contracts!$K$2:$K$151,$AB296)),0)),IF($Z296="A",EDATE(DATE(YEAR(INDEX(Fixed_Assets!$G$2:$G$201,$AB296)),MONTH(INDEX(Fixed_Assets!$G$2:$G$201,$AB296)),1),INDEX(Fixed_Assets!$J$2:$J$201,$AB296)-1),IF($Z296="F",MIN(IF(INDEX(Workforce!$J$2:$J$151,MATCH(INDEX(FTE_Allocation!$A$2:$A$201,$AB296),Workforce!$A$2:$A$151,0))="",2958101,INDEX(Workforce!$J$2:$J$151,MATCH(INDEX(FTE_Allocation!$A$2:$A$201,$AB296),Workforce!$A$2:$A$151,0))),IF(INDEX(FTE_Allocation!$J$2:$J$201,$AB296)="",2958101,INDEX(FTE_Allocation!$J$2:$J$201,$AB296))),"")))</f>
        <v/>
      </c>
      <c r="AG296" s="19">
        <f>IF($Z296="C",IF(INDEX(Contracts!$I$2:$I$151,$AB296)="PREPAID",INDEX(Contracts!$M$2:$M$151,$AB296)/IF(INDEX(Contracts!$N$2:$N$151,$AB296)="",12,INDEX(Contracts!$N$2:$N$151,$AB296)),IF(INDEX(Contracts!$I$2:$I$151,$AB296)="MONTHLY",INDEX(Contracts!$M$2:$M$151,$AB296),0))*(1-N(INDEX(Contracts!$O$2:$O$151,$AB296))),IF($Z296="A",INDEX(Fixed_Assets!$H$2:$H$201,$AB296)/INDEX(Fixed_Assets!$J$2:$J$201,$AB296),IF($Z296="F",INDEX(Workforce!$F$2:$F$151,MATCH(INDEX(FTE_Allocation!$A$2:$A$201,$AB296),Workforce!$A$2:$A$151,0))*N(INDEX(FTE_Allocation!$F$2:$H$201,$AB296,$AC296)),"")))</f>
        <v/>
      </c>
    </row>
    <row r="297">
      <c r="A297" s="7">
        <f>IF($Z297="","",$AD297)</f>
        <v/>
      </c>
      <c r="B297" s="7">
        <f>IF($Z297="C",INDEX(Contracts!$D$2:$D$151,$AB297)&amp;"",IF($Z297="A",INDEX(Fixed_Assets!$C$2:$C$201,$AB297)&amp;"",IF($Z297="F",INDEX(Workforce!$B$2:$B$151,MATCH(INDEX(FTE_Allocation!$A$2:$A$201,$AB297),Workforce!$A$2:$A$151,0))&amp;"","")))</f>
        <v/>
      </c>
      <c r="C297" s="7">
        <f>IF($Z297="C",INDEX(Contracts!$E$2:$E$151,$AB297)&amp;"",IF($Z297="A",INDEX(Fixed_Assets!$D$2:$D$201,$AB297)&amp;"",IF($Z297="F",INDEX(FTE_Allocation!$C$2:$C$201,$AB297)&amp;"","")))</f>
        <v/>
      </c>
      <c r="D297" s="7">
        <f>IF($Z297="C",INDEX(Contracts!$B$2:$B$151,$AB297)&amp;"",IF($Z297="A",INDEX(Fixed_Assets!$B$2:$B$201,$AB297)&amp;"",IF($Z297="F",INDEX(FTE_Allocation!$B$2:$B$201,$AB297)&amp;"","")))</f>
        <v/>
      </c>
      <c r="E297" s="7">
        <f>IF($Z297="C",INDEX(Contracts!$P$2:$P$151,$AB297)&amp;"",IF($Z297="A",INDEX(Fixed_Assets!$K$2:$K$201,$AB297)&amp;"",IF($Z297="F",IF(INDEX(FTE_Allocation!$D$2:$D$201,$AB297)="PROJECT",IFERROR(INDEX(Projects!$D:$D,MATCH(INDEX(FTE_Allocation!$E$2:$E$201,$AB297),Projects!$A:$A,0))&amp;"","#PROJECT?"),INDEX(FTE_Allocation!$E$2:$E$201,$AB297)&amp;""),"")))</f>
        <v/>
      </c>
      <c r="F297" s="7">
        <f>IF($Z297="C",INDEX(Contracts!$Q$2:$Q$151,$AB297)&amp;"",IF($Z297="A",INDEX(Fixed_Assets!$L$2:$L$201,$AB297)&amp;"",IF($Z297="F",INDEX(Workforce!$K$2:$K$151,MATCH(INDEX(FTE_Allocation!$A$2:$A$201,$AB297),Workforce!$A$2:$A$151,0))&amp;"","")))</f>
        <v/>
      </c>
      <c r="G297" s="7">
        <f>IF($Z297="C",INDEX(Contracts!$F$2:$F$151,$AB297)&amp;" / "&amp;INDEX(Contracts!$G$2:$G$151,$AB297),IF($Z297="A",INDEX(Fixed_Assets!$E$2:$E$201,$AB297)&amp;"",IF($Z297="F","Personnel "&amp;INDEX(FTE_Allocation!$A$2:$A$201,$AB297)&amp;IF(INDEX(FTE_Allocation!$D$2:$D$201,$AB297)="PROJECT"," ("&amp;INDEX(FTE_Allocation!$E$2:$E$201,$AB297)&amp;")",""),"")))</f>
        <v/>
      </c>
      <c r="H297" s="7">
        <f>IF($Z297="C","CONTRACT",IF($Z297="A","ASSET",IF($Z297="F","WORKFORCE","")))</f>
        <v/>
      </c>
      <c r="I297" s="7">
        <f>IF($Z297="C",INDEX(Contracts!$L$2:$L$151,$AB297)&amp;"",IF($Z297="A",INDEX(Fixed_Assets!$I$2:$I$201,$AB297)&amp;"",IF($Z297="F",INDEX(Workforce!$G$2:$G$151,MATCH(INDEX(FTE_Allocation!$A$2:$A$201,$AB297),Workforce!$A$2:$A$151,0))&amp;"","")))</f>
        <v/>
      </c>
      <c r="J297" s="18">
        <f>IF($Z297="","",IF(AND(DATE($AD297,1,1)&gt;=$AE297,DATE($AD297,1,1)&lt;=$AF297),ROUND($AG297,2),0))</f>
        <v/>
      </c>
      <c r="K297" s="18">
        <f>IF($Z297="","",IF(AND(DATE($AD297,2,1)&gt;=$AE297,DATE($AD297,2,1)&lt;=$AF297),ROUND($AG297,2),0))</f>
        <v/>
      </c>
      <c r="L297" s="18">
        <f>IF($Z297="","",IF(AND(DATE($AD297,3,1)&gt;=$AE297,DATE($AD297,3,1)&lt;=$AF297),ROUND($AG297,2),0))</f>
        <v/>
      </c>
      <c r="M297" s="18">
        <f>IF($Z297="","",IF(AND(DATE($AD297,4,1)&gt;=$AE297,DATE($AD297,4,1)&lt;=$AF297),ROUND($AG297,2),0))</f>
        <v/>
      </c>
      <c r="N297" s="18">
        <f>IF($Z297="","",IF(AND(DATE($AD297,5,1)&gt;=$AE297,DATE($AD297,5,1)&lt;=$AF297),ROUND($AG297,2),0))</f>
        <v/>
      </c>
      <c r="O297" s="18">
        <f>IF($Z297="","",IF(AND(DATE($AD297,6,1)&gt;=$AE297,DATE($AD297,6,1)&lt;=$AF297),ROUND($AG297,2),0))</f>
        <v/>
      </c>
      <c r="P297" s="18">
        <f>IF($Z297="","",IF(AND(DATE($AD297,7,1)&gt;=$AE297,DATE($AD297,7,1)&lt;=$AF297),ROUND($AG297,2),0))</f>
        <v/>
      </c>
      <c r="Q297" s="18">
        <f>IF($Z297="","",IF(AND(DATE($AD297,8,1)&gt;=$AE297,DATE($AD297,8,1)&lt;=$AF297),ROUND($AG297,2),0))</f>
        <v/>
      </c>
      <c r="R297" s="18">
        <f>IF($Z297="","",IF(AND(DATE($AD297,9,1)&gt;=$AE297,DATE($AD297,9,1)&lt;=$AF297),ROUND($AG297,2),0))</f>
        <v/>
      </c>
      <c r="S297" s="18">
        <f>IF($Z297="","",IF(AND(DATE($AD297,10,1)&gt;=$AE297,DATE($AD297,10,1)&lt;=$AF297),ROUND($AG297,2),0))</f>
        <v/>
      </c>
      <c r="T297" s="18">
        <f>IF($Z297="","",IF(AND(DATE($AD297,11,1)&gt;=$AE297,DATE($AD297,11,1)&lt;=$AF297),ROUND($AG297,2),0))</f>
        <v/>
      </c>
      <c r="U297" s="18">
        <f>IF($Z297="","",IF(AND(DATE($AD297,12,1)&gt;=$AE297,DATE($AD297,12,1)&lt;=$AF297),ROUND($AG297,2),0))</f>
        <v/>
      </c>
      <c r="V297" s="7">
        <f>IF($Z297="C","Generated from "&amp;INDEX(Contracts!$A$2:$A$151,$AB297),IF($Z297="A","Generated from "&amp;INDEX(Fixed_Assets!$A$2:$A$201,$AB297),IF($Z297="F","Generated from "&amp;INDEX(FTE_Allocation!$A$2:$A$201,$AB297),"")))</f>
        <v/>
      </c>
      <c r="X297" s="19">
        <f>IF($Z297="","",SUM(J297:U297))</f>
        <v/>
      </c>
      <c r="Y297" s="20">
        <f>ROW()-1</f>
        <v/>
      </c>
      <c r="Z297" s="20">
        <f>IF($Y297&lt;=Settings!$B$4*3,"C",IF($Y297&lt;=(Settings!$B$4+Settings!$B$5)*3,"A",IF($Y297&lt;=(Settings!$B$4+Settings!$B$5+Settings!$B$6)*3,"F","")))</f>
        <v/>
      </c>
      <c r="AA297" s="20">
        <f>IF($Z297="C",$Y297,IF($Z297="A",$Y297-Settings!$B$4*3,IF($Z297="F",$Y297-(Settings!$B$4+Settings!$B$5)*3,"")))</f>
        <v/>
      </c>
      <c r="AB297" s="20">
        <f>IF($Z297="","",INT(($AA297-1)/3)+1)</f>
        <v/>
      </c>
      <c r="AC297" s="20">
        <f>IF($Z297="","",MOD($AA297-1,3)+1)</f>
        <v/>
      </c>
      <c r="AD297" s="20">
        <f>IF($Z297="","",Settings!$B$2+$AC297-1)</f>
        <v/>
      </c>
      <c r="AE297" s="21">
        <f>IF($Z297="C",DATE(YEAR(INDEX(Contracts!$J$2:$J$151,$AB297)),MONTH(INDEX(Contracts!$J$2:$J$151,$AB297)),1),IF($Z297="A",DATE(YEAR(INDEX(Fixed_Assets!$G$2:$G$201,$AB297)),MONTH(INDEX(Fixed_Assets!$G$2:$G$201,$AB297)),1),IF($Z297="F",DATE(YEAR(MAX(N(INDEX(Workforce!$I$2:$I$151,MATCH(INDEX(FTE_Allocation!$A$2:$A$201,$AB297),Workforce!$A$2:$A$151,0))),N(INDEX(FTE_Allocation!$I$2:$I$201,$AB297)))),MONTH(MAX(N(INDEX(Workforce!$I$2:$I$151,MATCH(INDEX(FTE_Allocation!$A$2:$A$201,$AB297),Workforce!$A$2:$A$151,0))),N(INDEX(FTE_Allocation!$I$2:$I$201,$AB297)))),1),"")))</f>
        <v/>
      </c>
      <c r="AF297" s="21">
        <f>IF($Z297="C",IF(INDEX(Contracts!$I$2:$I$151,$AB297)="PREPAID",EDATE(DATE(YEAR(INDEX(Contracts!$J$2:$J$151,$AB297)),MONTH(INDEX(Contracts!$J$2:$J$151,$AB297)),1),IF(INDEX(Contracts!$N$2:$N$151,$AB297)="",12,INDEX(Contracts!$N$2:$N$151,$AB297))-1),IF(INDEX(Contracts!$I$2:$I$151,$AB297)="MONTHLY",IF(INDEX(Contracts!$K$2:$K$151,$AB297)="",2958101,INDEX(Contracts!$K$2:$K$151,$AB297)),0)),IF($Z297="A",EDATE(DATE(YEAR(INDEX(Fixed_Assets!$G$2:$G$201,$AB297)),MONTH(INDEX(Fixed_Assets!$G$2:$G$201,$AB297)),1),INDEX(Fixed_Assets!$J$2:$J$201,$AB297)-1),IF($Z297="F",MIN(IF(INDEX(Workforce!$J$2:$J$151,MATCH(INDEX(FTE_Allocation!$A$2:$A$201,$AB297),Workforce!$A$2:$A$151,0))="",2958101,INDEX(Workforce!$J$2:$J$151,MATCH(INDEX(FTE_Allocation!$A$2:$A$201,$AB297),Workforce!$A$2:$A$151,0))),IF(INDEX(FTE_Allocation!$J$2:$J$201,$AB297)="",2958101,INDEX(FTE_Allocation!$J$2:$J$201,$AB297))),"")))</f>
        <v/>
      </c>
      <c r="AG297" s="19">
        <f>IF($Z297="C",IF(INDEX(Contracts!$I$2:$I$151,$AB297)="PREPAID",INDEX(Contracts!$M$2:$M$151,$AB297)/IF(INDEX(Contracts!$N$2:$N$151,$AB297)="",12,INDEX(Contracts!$N$2:$N$151,$AB297)),IF(INDEX(Contracts!$I$2:$I$151,$AB297)="MONTHLY",INDEX(Contracts!$M$2:$M$151,$AB297),0))*(1-N(INDEX(Contracts!$O$2:$O$151,$AB297))),IF($Z297="A",INDEX(Fixed_Assets!$H$2:$H$201,$AB297)/INDEX(Fixed_Assets!$J$2:$J$201,$AB297),IF($Z297="F",INDEX(Workforce!$F$2:$F$151,MATCH(INDEX(FTE_Allocation!$A$2:$A$201,$AB297),Workforce!$A$2:$A$151,0))*N(INDEX(FTE_Allocation!$F$2:$H$201,$AB297,$AC297)),"")))</f>
        <v/>
      </c>
    </row>
    <row r="298">
      <c r="A298" s="7">
        <f>IF($Z298="","",$AD298)</f>
        <v/>
      </c>
      <c r="B298" s="7">
        <f>IF($Z298="C",INDEX(Contracts!$D$2:$D$151,$AB298)&amp;"",IF($Z298="A",INDEX(Fixed_Assets!$C$2:$C$201,$AB298)&amp;"",IF($Z298="F",INDEX(Workforce!$B$2:$B$151,MATCH(INDEX(FTE_Allocation!$A$2:$A$201,$AB298),Workforce!$A$2:$A$151,0))&amp;"","")))</f>
        <v/>
      </c>
      <c r="C298" s="7">
        <f>IF($Z298="C",INDEX(Contracts!$E$2:$E$151,$AB298)&amp;"",IF($Z298="A",INDEX(Fixed_Assets!$D$2:$D$201,$AB298)&amp;"",IF($Z298="F",INDEX(FTE_Allocation!$C$2:$C$201,$AB298)&amp;"","")))</f>
        <v/>
      </c>
      <c r="D298" s="7">
        <f>IF($Z298="C",INDEX(Contracts!$B$2:$B$151,$AB298)&amp;"",IF($Z298="A",INDEX(Fixed_Assets!$B$2:$B$201,$AB298)&amp;"",IF($Z298="F",INDEX(FTE_Allocation!$B$2:$B$201,$AB298)&amp;"","")))</f>
        <v/>
      </c>
      <c r="E298" s="7">
        <f>IF($Z298="C",INDEX(Contracts!$P$2:$P$151,$AB298)&amp;"",IF($Z298="A",INDEX(Fixed_Assets!$K$2:$K$201,$AB298)&amp;"",IF($Z298="F",IF(INDEX(FTE_Allocation!$D$2:$D$201,$AB298)="PROJECT",IFERROR(INDEX(Projects!$D:$D,MATCH(INDEX(FTE_Allocation!$E$2:$E$201,$AB298),Projects!$A:$A,0))&amp;"","#PROJECT?"),INDEX(FTE_Allocation!$E$2:$E$201,$AB298)&amp;""),"")))</f>
        <v/>
      </c>
      <c r="F298" s="7">
        <f>IF($Z298="C",INDEX(Contracts!$Q$2:$Q$151,$AB298)&amp;"",IF($Z298="A",INDEX(Fixed_Assets!$L$2:$L$201,$AB298)&amp;"",IF($Z298="F",INDEX(Workforce!$K$2:$K$151,MATCH(INDEX(FTE_Allocation!$A$2:$A$201,$AB298),Workforce!$A$2:$A$151,0))&amp;"","")))</f>
        <v/>
      </c>
      <c r="G298" s="7">
        <f>IF($Z298="C",INDEX(Contracts!$F$2:$F$151,$AB298)&amp;" / "&amp;INDEX(Contracts!$G$2:$G$151,$AB298),IF($Z298="A",INDEX(Fixed_Assets!$E$2:$E$201,$AB298)&amp;"",IF($Z298="F","Personnel "&amp;INDEX(FTE_Allocation!$A$2:$A$201,$AB298)&amp;IF(INDEX(FTE_Allocation!$D$2:$D$201,$AB298)="PROJECT"," ("&amp;INDEX(FTE_Allocation!$E$2:$E$201,$AB298)&amp;")",""),"")))</f>
        <v/>
      </c>
      <c r="H298" s="7">
        <f>IF($Z298="C","CONTRACT",IF($Z298="A","ASSET",IF($Z298="F","WORKFORCE","")))</f>
        <v/>
      </c>
      <c r="I298" s="7">
        <f>IF($Z298="C",INDEX(Contracts!$L$2:$L$151,$AB298)&amp;"",IF($Z298="A",INDEX(Fixed_Assets!$I$2:$I$201,$AB298)&amp;"",IF($Z298="F",INDEX(Workforce!$G$2:$G$151,MATCH(INDEX(FTE_Allocation!$A$2:$A$201,$AB298),Workforce!$A$2:$A$151,0))&amp;"","")))</f>
        <v/>
      </c>
      <c r="J298" s="18">
        <f>IF($Z298="","",IF(AND(DATE($AD298,1,1)&gt;=$AE298,DATE($AD298,1,1)&lt;=$AF298),ROUND($AG298,2),0))</f>
        <v/>
      </c>
      <c r="K298" s="18">
        <f>IF($Z298="","",IF(AND(DATE($AD298,2,1)&gt;=$AE298,DATE($AD298,2,1)&lt;=$AF298),ROUND($AG298,2),0))</f>
        <v/>
      </c>
      <c r="L298" s="18">
        <f>IF($Z298="","",IF(AND(DATE($AD298,3,1)&gt;=$AE298,DATE($AD298,3,1)&lt;=$AF298),ROUND($AG298,2),0))</f>
        <v/>
      </c>
      <c r="M298" s="18">
        <f>IF($Z298="","",IF(AND(DATE($AD298,4,1)&gt;=$AE298,DATE($AD298,4,1)&lt;=$AF298),ROUND($AG298,2),0))</f>
        <v/>
      </c>
      <c r="N298" s="18">
        <f>IF($Z298="","",IF(AND(DATE($AD298,5,1)&gt;=$AE298,DATE($AD298,5,1)&lt;=$AF298),ROUND($AG298,2),0))</f>
        <v/>
      </c>
      <c r="O298" s="18">
        <f>IF($Z298="","",IF(AND(DATE($AD298,6,1)&gt;=$AE298,DATE($AD298,6,1)&lt;=$AF298),ROUND($AG298,2),0))</f>
        <v/>
      </c>
      <c r="P298" s="18">
        <f>IF($Z298="","",IF(AND(DATE($AD298,7,1)&gt;=$AE298,DATE($AD298,7,1)&lt;=$AF298),ROUND($AG298,2),0))</f>
        <v/>
      </c>
      <c r="Q298" s="18">
        <f>IF($Z298="","",IF(AND(DATE($AD298,8,1)&gt;=$AE298,DATE($AD298,8,1)&lt;=$AF298),ROUND($AG298,2),0))</f>
        <v/>
      </c>
      <c r="R298" s="18">
        <f>IF($Z298="","",IF(AND(DATE($AD298,9,1)&gt;=$AE298,DATE($AD298,9,1)&lt;=$AF298),ROUND($AG298,2),0))</f>
        <v/>
      </c>
      <c r="S298" s="18">
        <f>IF($Z298="","",IF(AND(DATE($AD298,10,1)&gt;=$AE298,DATE($AD298,10,1)&lt;=$AF298),ROUND($AG298,2),0))</f>
        <v/>
      </c>
      <c r="T298" s="18">
        <f>IF($Z298="","",IF(AND(DATE($AD298,11,1)&gt;=$AE298,DATE($AD298,11,1)&lt;=$AF298),ROUND($AG298,2),0))</f>
        <v/>
      </c>
      <c r="U298" s="18">
        <f>IF($Z298="","",IF(AND(DATE($AD298,12,1)&gt;=$AE298,DATE($AD298,12,1)&lt;=$AF298),ROUND($AG298,2),0))</f>
        <v/>
      </c>
      <c r="V298" s="7">
        <f>IF($Z298="C","Generated from "&amp;INDEX(Contracts!$A$2:$A$151,$AB298),IF($Z298="A","Generated from "&amp;INDEX(Fixed_Assets!$A$2:$A$201,$AB298),IF($Z298="F","Generated from "&amp;INDEX(FTE_Allocation!$A$2:$A$201,$AB298),"")))</f>
        <v/>
      </c>
      <c r="X298" s="19">
        <f>IF($Z298="","",SUM(J298:U298))</f>
        <v/>
      </c>
      <c r="Y298" s="20">
        <f>ROW()-1</f>
        <v/>
      </c>
      <c r="Z298" s="20">
        <f>IF($Y298&lt;=Settings!$B$4*3,"C",IF($Y298&lt;=(Settings!$B$4+Settings!$B$5)*3,"A",IF($Y298&lt;=(Settings!$B$4+Settings!$B$5+Settings!$B$6)*3,"F","")))</f>
        <v/>
      </c>
      <c r="AA298" s="20">
        <f>IF($Z298="C",$Y298,IF($Z298="A",$Y298-Settings!$B$4*3,IF($Z298="F",$Y298-(Settings!$B$4+Settings!$B$5)*3,"")))</f>
        <v/>
      </c>
      <c r="AB298" s="20">
        <f>IF($Z298="","",INT(($AA298-1)/3)+1)</f>
        <v/>
      </c>
      <c r="AC298" s="20">
        <f>IF($Z298="","",MOD($AA298-1,3)+1)</f>
        <v/>
      </c>
      <c r="AD298" s="20">
        <f>IF($Z298="","",Settings!$B$2+$AC298-1)</f>
        <v/>
      </c>
      <c r="AE298" s="21">
        <f>IF($Z298="C",DATE(YEAR(INDEX(Contracts!$J$2:$J$151,$AB298)),MONTH(INDEX(Contracts!$J$2:$J$151,$AB298)),1),IF($Z298="A",DATE(YEAR(INDEX(Fixed_Assets!$G$2:$G$201,$AB298)),MONTH(INDEX(Fixed_Assets!$G$2:$G$201,$AB298)),1),IF($Z298="F",DATE(YEAR(MAX(N(INDEX(Workforce!$I$2:$I$151,MATCH(INDEX(FTE_Allocation!$A$2:$A$201,$AB298),Workforce!$A$2:$A$151,0))),N(INDEX(FTE_Allocation!$I$2:$I$201,$AB298)))),MONTH(MAX(N(INDEX(Workforce!$I$2:$I$151,MATCH(INDEX(FTE_Allocation!$A$2:$A$201,$AB298),Workforce!$A$2:$A$151,0))),N(INDEX(FTE_Allocation!$I$2:$I$201,$AB298)))),1),"")))</f>
        <v/>
      </c>
      <c r="AF298" s="21">
        <f>IF($Z298="C",IF(INDEX(Contracts!$I$2:$I$151,$AB298)="PREPAID",EDATE(DATE(YEAR(INDEX(Contracts!$J$2:$J$151,$AB298)),MONTH(INDEX(Contracts!$J$2:$J$151,$AB298)),1),IF(INDEX(Contracts!$N$2:$N$151,$AB298)="",12,INDEX(Contracts!$N$2:$N$151,$AB298))-1),IF(INDEX(Contracts!$I$2:$I$151,$AB298)="MONTHLY",IF(INDEX(Contracts!$K$2:$K$151,$AB298)="",2958101,INDEX(Contracts!$K$2:$K$151,$AB298)),0)),IF($Z298="A",EDATE(DATE(YEAR(INDEX(Fixed_Assets!$G$2:$G$201,$AB298)),MONTH(INDEX(Fixed_Assets!$G$2:$G$201,$AB298)),1),INDEX(Fixed_Assets!$J$2:$J$201,$AB298)-1),IF($Z298="F",MIN(IF(INDEX(Workforce!$J$2:$J$151,MATCH(INDEX(FTE_Allocation!$A$2:$A$201,$AB298),Workforce!$A$2:$A$151,0))="",2958101,INDEX(Workforce!$J$2:$J$151,MATCH(INDEX(FTE_Allocation!$A$2:$A$201,$AB298),Workforce!$A$2:$A$151,0))),IF(INDEX(FTE_Allocation!$J$2:$J$201,$AB298)="",2958101,INDEX(FTE_Allocation!$J$2:$J$201,$AB298))),"")))</f>
        <v/>
      </c>
      <c r="AG298" s="19">
        <f>IF($Z298="C",IF(INDEX(Contracts!$I$2:$I$151,$AB298)="PREPAID",INDEX(Contracts!$M$2:$M$151,$AB298)/IF(INDEX(Contracts!$N$2:$N$151,$AB298)="",12,INDEX(Contracts!$N$2:$N$151,$AB298)),IF(INDEX(Contracts!$I$2:$I$151,$AB298)="MONTHLY",INDEX(Contracts!$M$2:$M$151,$AB298),0))*(1-N(INDEX(Contracts!$O$2:$O$151,$AB298))),IF($Z298="A",INDEX(Fixed_Assets!$H$2:$H$201,$AB298)/INDEX(Fixed_Assets!$J$2:$J$201,$AB298),IF($Z298="F",INDEX(Workforce!$F$2:$F$151,MATCH(INDEX(FTE_Allocation!$A$2:$A$201,$AB298),Workforce!$A$2:$A$151,0))*N(INDEX(FTE_Allocation!$F$2:$H$201,$AB298,$AC298)),"")))</f>
        <v/>
      </c>
    </row>
    <row r="299">
      <c r="A299" s="7">
        <f>IF($Z299="","",$AD299)</f>
        <v/>
      </c>
      <c r="B299" s="7">
        <f>IF($Z299="C",INDEX(Contracts!$D$2:$D$151,$AB299)&amp;"",IF($Z299="A",INDEX(Fixed_Assets!$C$2:$C$201,$AB299)&amp;"",IF($Z299="F",INDEX(Workforce!$B$2:$B$151,MATCH(INDEX(FTE_Allocation!$A$2:$A$201,$AB299),Workforce!$A$2:$A$151,0))&amp;"","")))</f>
        <v/>
      </c>
      <c r="C299" s="7">
        <f>IF($Z299="C",INDEX(Contracts!$E$2:$E$151,$AB299)&amp;"",IF($Z299="A",INDEX(Fixed_Assets!$D$2:$D$201,$AB299)&amp;"",IF($Z299="F",INDEX(FTE_Allocation!$C$2:$C$201,$AB299)&amp;"","")))</f>
        <v/>
      </c>
      <c r="D299" s="7">
        <f>IF($Z299="C",INDEX(Contracts!$B$2:$B$151,$AB299)&amp;"",IF($Z299="A",INDEX(Fixed_Assets!$B$2:$B$201,$AB299)&amp;"",IF($Z299="F",INDEX(FTE_Allocation!$B$2:$B$201,$AB299)&amp;"","")))</f>
        <v/>
      </c>
      <c r="E299" s="7">
        <f>IF($Z299="C",INDEX(Contracts!$P$2:$P$151,$AB299)&amp;"",IF($Z299="A",INDEX(Fixed_Assets!$K$2:$K$201,$AB299)&amp;"",IF($Z299="F",IF(INDEX(FTE_Allocation!$D$2:$D$201,$AB299)="PROJECT",IFERROR(INDEX(Projects!$D:$D,MATCH(INDEX(FTE_Allocation!$E$2:$E$201,$AB299),Projects!$A:$A,0))&amp;"","#PROJECT?"),INDEX(FTE_Allocation!$E$2:$E$201,$AB299)&amp;""),"")))</f>
        <v/>
      </c>
      <c r="F299" s="7">
        <f>IF($Z299="C",INDEX(Contracts!$Q$2:$Q$151,$AB299)&amp;"",IF($Z299="A",INDEX(Fixed_Assets!$L$2:$L$201,$AB299)&amp;"",IF($Z299="F",INDEX(Workforce!$K$2:$K$151,MATCH(INDEX(FTE_Allocation!$A$2:$A$201,$AB299),Workforce!$A$2:$A$151,0))&amp;"","")))</f>
        <v/>
      </c>
      <c r="G299" s="7">
        <f>IF($Z299="C",INDEX(Contracts!$F$2:$F$151,$AB299)&amp;" / "&amp;INDEX(Contracts!$G$2:$G$151,$AB299),IF($Z299="A",INDEX(Fixed_Assets!$E$2:$E$201,$AB299)&amp;"",IF($Z299="F","Personnel "&amp;INDEX(FTE_Allocation!$A$2:$A$201,$AB299)&amp;IF(INDEX(FTE_Allocation!$D$2:$D$201,$AB299)="PROJECT"," ("&amp;INDEX(FTE_Allocation!$E$2:$E$201,$AB299)&amp;")",""),"")))</f>
        <v/>
      </c>
      <c r="H299" s="7">
        <f>IF($Z299="C","CONTRACT",IF($Z299="A","ASSET",IF($Z299="F","WORKFORCE","")))</f>
        <v/>
      </c>
      <c r="I299" s="7">
        <f>IF($Z299="C",INDEX(Contracts!$L$2:$L$151,$AB299)&amp;"",IF($Z299="A",INDEX(Fixed_Assets!$I$2:$I$201,$AB299)&amp;"",IF($Z299="F",INDEX(Workforce!$G$2:$G$151,MATCH(INDEX(FTE_Allocation!$A$2:$A$201,$AB299),Workforce!$A$2:$A$151,0))&amp;"","")))</f>
        <v/>
      </c>
      <c r="J299" s="18">
        <f>IF($Z299="","",IF(AND(DATE($AD299,1,1)&gt;=$AE299,DATE($AD299,1,1)&lt;=$AF299),ROUND($AG299,2),0))</f>
        <v/>
      </c>
      <c r="K299" s="18">
        <f>IF($Z299="","",IF(AND(DATE($AD299,2,1)&gt;=$AE299,DATE($AD299,2,1)&lt;=$AF299),ROUND($AG299,2),0))</f>
        <v/>
      </c>
      <c r="L299" s="18">
        <f>IF($Z299="","",IF(AND(DATE($AD299,3,1)&gt;=$AE299,DATE($AD299,3,1)&lt;=$AF299),ROUND($AG299,2),0))</f>
        <v/>
      </c>
      <c r="M299" s="18">
        <f>IF($Z299="","",IF(AND(DATE($AD299,4,1)&gt;=$AE299,DATE($AD299,4,1)&lt;=$AF299),ROUND($AG299,2),0))</f>
        <v/>
      </c>
      <c r="N299" s="18">
        <f>IF($Z299="","",IF(AND(DATE($AD299,5,1)&gt;=$AE299,DATE($AD299,5,1)&lt;=$AF299),ROUND($AG299,2),0))</f>
        <v/>
      </c>
      <c r="O299" s="18">
        <f>IF($Z299="","",IF(AND(DATE($AD299,6,1)&gt;=$AE299,DATE($AD299,6,1)&lt;=$AF299),ROUND($AG299,2),0))</f>
        <v/>
      </c>
      <c r="P299" s="18">
        <f>IF($Z299="","",IF(AND(DATE($AD299,7,1)&gt;=$AE299,DATE($AD299,7,1)&lt;=$AF299),ROUND($AG299,2),0))</f>
        <v/>
      </c>
      <c r="Q299" s="18">
        <f>IF($Z299="","",IF(AND(DATE($AD299,8,1)&gt;=$AE299,DATE($AD299,8,1)&lt;=$AF299),ROUND($AG299,2),0))</f>
        <v/>
      </c>
      <c r="R299" s="18">
        <f>IF($Z299="","",IF(AND(DATE($AD299,9,1)&gt;=$AE299,DATE($AD299,9,1)&lt;=$AF299),ROUND($AG299,2),0))</f>
        <v/>
      </c>
      <c r="S299" s="18">
        <f>IF($Z299="","",IF(AND(DATE($AD299,10,1)&gt;=$AE299,DATE($AD299,10,1)&lt;=$AF299),ROUND($AG299,2),0))</f>
        <v/>
      </c>
      <c r="T299" s="18">
        <f>IF($Z299="","",IF(AND(DATE($AD299,11,1)&gt;=$AE299,DATE($AD299,11,1)&lt;=$AF299),ROUND($AG299,2),0))</f>
        <v/>
      </c>
      <c r="U299" s="18">
        <f>IF($Z299="","",IF(AND(DATE($AD299,12,1)&gt;=$AE299,DATE($AD299,12,1)&lt;=$AF299),ROUND($AG299,2),0))</f>
        <v/>
      </c>
      <c r="V299" s="7">
        <f>IF($Z299="C","Generated from "&amp;INDEX(Contracts!$A$2:$A$151,$AB299),IF($Z299="A","Generated from "&amp;INDEX(Fixed_Assets!$A$2:$A$201,$AB299),IF($Z299="F","Generated from "&amp;INDEX(FTE_Allocation!$A$2:$A$201,$AB299),"")))</f>
        <v/>
      </c>
      <c r="X299" s="19">
        <f>IF($Z299="","",SUM(J299:U299))</f>
        <v/>
      </c>
      <c r="Y299" s="20">
        <f>ROW()-1</f>
        <v/>
      </c>
      <c r="Z299" s="20">
        <f>IF($Y299&lt;=Settings!$B$4*3,"C",IF($Y299&lt;=(Settings!$B$4+Settings!$B$5)*3,"A",IF($Y299&lt;=(Settings!$B$4+Settings!$B$5+Settings!$B$6)*3,"F","")))</f>
        <v/>
      </c>
      <c r="AA299" s="20">
        <f>IF($Z299="C",$Y299,IF($Z299="A",$Y299-Settings!$B$4*3,IF($Z299="F",$Y299-(Settings!$B$4+Settings!$B$5)*3,"")))</f>
        <v/>
      </c>
      <c r="AB299" s="20">
        <f>IF($Z299="","",INT(($AA299-1)/3)+1)</f>
        <v/>
      </c>
      <c r="AC299" s="20">
        <f>IF($Z299="","",MOD($AA299-1,3)+1)</f>
        <v/>
      </c>
      <c r="AD299" s="20">
        <f>IF($Z299="","",Settings!$B$2+$AC299-1)</f>
        <v/>
      </c>
      <c r="AE299" s="21">
        <f>IF($Z299="C",DATE(YEAR(INDEX(Contracts!$J$2:$J$151,$AB299)),MONTH(INDEX(Contracts!$J$2:$J$151,$AB299)),1),IF($Z299="A",DATE(YEAR(INDEX(Fixed_Assets!$G$2:$G$201,$AB299)),MONTH(INDEX(Fixed_Assets!$G$2:$G$201,$AB299)),1),IF($Z299="F",DATE(YEAR(MAX(N(INDEX(Workforce!$I$2:$I$151,MATCH(INDEX(FTE_Allocation!$A$2:$A$201,$AB299),Workforce!$A$2:$A$151,0))),N(INDEX(FTE_Allocation!$I$2:$I$201,$AB299)))),MONTH(MAX(N(INDEX(Workforce!$I$2:$I$151,MATCH(INDEX(FTE_Allocation!$A$2:$A$201,$AB299),Workforce!$A$2:$A$151,0))),N(INDEX(FTE_Allocation!$I$2:$I$201,$AB299)))),1),"")))</f>
        <v/>
      </c>
      <c r="AF299" s="21">
        <f>IF($Z299="C",IF(INDEX(Contracts!$I$2:$I$151,$AB299)="PREPAID",EDATE(DATE(YEAR(INDEX(Contracts!$J$2:$J$151,$AB299)),MONTH(INDEX(Contracts!$J$2:$J$151,$AB299)),1),IF(INDEX(Contracts!$N$2:$N$151,$AB299)="",12,INDEX(Contracts!$N$2:$N$151,$AB299))-1),IF(INDEX(Contracts!$I$2:$I$151,$AB299)="MONTHLY",IF(INDEX(Contracts!$K$2:$K$151,$AB299)="",2958101,INDEX(Contracts!$K$2:$K$151,$AB299)),0)),IF($Z299="A",EDATE(DATE(YEAR(INDEX(Fixed_Assets!$G$2:$G$201,$AB299)),MONTH(INDEX(Fixed_Assets!$G$2:$G$201,$AB299)),1),INDEX(Fixed_Assets!$J$2:$J$201,$AB299)-1),IF($Z299="F",MIN(IF(INDEX(Workforce!$J$2:$J$151,MATCH(INDEX(FTE_Allocation!$A$2:$A$201,$AB299),Workforce!$A$2:$A$151,0))="",2958101,INDEX(Workforce!$J$2:$J$151,MATCH(INDEX(FTE_Allocation!$A$2:$A$201,$AB299),Workforce!$A$2:$A$151,0))),IF(INDEX(FTE_Allocation!$J$2:$J$201,$AB299)="",2958101,INDEX(FTE_Allocation!$J$2:$J$201,$AB299))),"")))</f>
        <v/>
      </c>
      <c r="AG299" s="19">
        <f>IF($Z299="C",IF(INDEX(Contracts!$I$2:$I$151,$AB299)="PREPAID",INDEX(Contracts!$M$2:$M$151,$AB299)/IF(INDEX(Contracts!$N$2:$N$151,$AB299)="",12,INDEX(Contracts!$N$2:$N$151,$AB299)),IF(INDEX(Contracts!$I$2:$I$151,$AB299)="MONTHLY",INDEX(Contracts!$M$2:$M$151,$AB299),0))*(1-N(INDEX(Contracts!$O$2:$O$151,$AB299))),IF($Z299="A",INDEX(Fixed_Assets!$H$2:$H$201,$AB299)/INDEX(Fixed_Assets!$J$2:$J$201,$AB299),IF($Z299="F",INDEX(Workforce!$F$2:$F$151,MATCH(INDEX(FTE_Allocation!$A$2:$A$201,$AB299),Workforce!$A$2:$A$151,0))*N(INDEX(FTE_Allocation!$F$2:$H$201,$AB299,$AC299)),"")))</f>
        <v/>
      </c>
    </row>
    <row r="300">
      <c r="A300" s="7">
        <f>IF($Z300="","",$AD300)</f>
        <v/>
      </c>
      <c r="B300" s="7">
        <f>IF($Z300="C",INDEX(Contracts!$D$2:$D$151,$AB300)&amp;"",IF($Z300="A",INDEX(Fixed_Assets!$C$2:$C$201,$AB300)&amp;"",IF($Z300="F",INDEX(Workforce!$B$2:$B$151,MATCH(INDEX(FTE_Allocation!$A$2:$A$201,$AB300),Workforce!$A$2:$A$151,0))&amp;"","")))</f>
        <v/>
      </c>
      <c r="C300" s="7">
        <f>IF($Z300="C",INDEX(Contracts!$E$2:$E$151,$AB300)&amp;"",IF($Z300="A",INDEX(Fixed_Assets!$D$2:$D$201,$AB300)&amp;"",IF($Z300="F",INDEX(FTE_Allocation!$C$2:$C$201,$AB300)&amp;"","")))</f>
        <v/>
      </c>
      <c r="D300" s="7">
        <f>IF($Z300="C",INDEX(Contracts!$B$2:$B$151,$AB300)&amp;"",IF($Z300="A",INDEX(Fixed_Assets!$B$2:$B$201,$AB300)&amp;"",IF($Z300="F",INDEX(FTE_Allocation!$B$2:$B$201,$AB300)&amp;"","")))</f>
        <v/>
      </c>
      <c r="E300" s="7">
        <f>IF($Z300="C",INDEX(Contracts!$P$2:$P$151,$AB300)&amp;"",IF($Z300="A",INDEX(Fixed_Assets!$K$2:$K$201,$AB300)&amp;"",IF($Z300="F",IF(INDEX(FTE_Allocation!$D$2:$D$201,$AB300)="PROJECT",IFERROR(INDEX(Projects!$D:$D,MATCH(INDEX(FTE_Allocation!$E$2:$E$201,$AB300),Projects!$A:$A,0))&amp;"","#PROJECT?"),INDEX(FTE_Allocation!$E$2:$E$201,$AB300)&amp;""),"")))</f>
        <v/>
      </c>
      <c r="F300" s="7">
        <f>IF($Z300="C",INDEX(Contracts!$Q$2:$Q$151,$AB300)&amp;"",IF($Z300="A",INDEX(Fixed_Assets!$L$2:$L$201,$AB300)&amp;"",IF($Z300="F",INDEX(Workforce!$K$2:$K$151,MATCH(INDEX(FTE_Allocation!$A$2:$A$201,$AB300),Workforce!$A$2:$A$151,0))&amp;"","")))</f>
        <v/>
      </c>
      <c r="G300" s="7">
        <f>IF($Z300="C",INDEX(Contracts!$F$2:$F$151,$AB300)&amp;" / "&amp;INDEX(Contracts!$G$2:$G$151,$AB300),IF($Z300="A",INDEX(Fixed_Assets!$E$2:$E$201,$AB300)&amp;"",IF($Z300="F","Personnel "&amp;INDEX(FTE_Allocation!$A$2:$A$201,$AB300)&amp;IF(INDEX(FTE_Allocation!$D$2:$D$201,$AB300)="PROJECT"," ("&amp;INDEX(FTE_Allocation!$E$2:$E$201,$AB300)&amp;")",""),"")))</f>
        <v/>
      </c>
      <c r="H300" s="7">
        <f>IF($Z300="C","CONTRACT",IF($Z300="A","ASSET",IF($Z300="F","WORKFORCE","")))</f>
        <v/>
      </c>
      <c r="I300" s="7">
        <f>IF($Z300="C",INDEX(Contracts!$L$2:$L$151,$AB300)&amp;"",IF($Z300="A",INDEX(Fixed_Assets!$I$2:$I$201,$AB300)&amp;"",IF($Z300="F",INDEX(Workforce!$G$2:$G$151,MATCH(INDEX(FTE_Allocation!$A$2:$A$201,$AB300),Workforce!$A$2:$A$151,0))&amp;"","")))</f>
        <v/>
      </c>
      <c r="J300" s="18">
        <f>IF($Z300="","",IF(AND(DATE($AD300,1,1)&gt;=$AE300,DATE($AD300,1,1)&lt;=$AF300),ROUND($AG300,2),0))</f>
        <v/>
      </c>
      <c r="K300" s="18">
        <f>IF($Z300="","",IF(AND(DATE($AD300,2,1)&gt;=$AE300,DATE($AD300,2,1)&lt;=$AF300),ROUND($AG300,2),0))</f>
        <v/>
      </c>
      <c r="L300" s="18">
        <f>IF($Z300="","",IF(AND(DATE($AD300,3,1)&gt;=$AE300,DATE($AD300,3,1)&lt;=$AF300),ROUND($AG300,2),0))</f>
        <v/>
      </c>
      <c r="M300" s="18">
        <f>IF($Z300="","",IF(AND(DATE($AD300,4,1)&gt;=$AE300,DATE($AD300,4,1)&lt;=$AF300),ROUND($AG300,2),0))</f>
        <v/>
      </c>
      <c r="N300" s="18">
        <f>IF($Z300="","",IF(AND(DATE($AD300,5,1)&gt;=$AE300,DATE($AD300,5,1)&lt;=$AF300),ROUND($AG300,2),0))</f>
        <v/>
      </c>
      <c r="O300" s="18">
        <f>IF($Z300="","",IF(AND(DATE($AD300,6,1)&gt;=$AE300,DATE($AD300,6,1)&lt;=$AF300),ROUND($AG300,2),0))</f>
        <v/>
      </c>
      <c r="P300" s="18">
        <f>IF($Z300="","",IF(AND(DATE($AD300,7,1)&gt;=$AE300,DATE($AD300,7,1)&lt;=$AF300),ROUND($AG300,2),0))</f>
        <v/>
      </c>
      <c r="Q300" s="18">
        <f>IF($Z300="","",IF(AND(DATE($AD300,8,1)&gt;=$AE300,DATE($AD300,8,1)&lt;=$AF300),ROUND($AG300,2),0))</f>
        <v/>
      </c>
      <c r="R300" s="18">
        <f>IF($Z300="","",IF(AND(DATE($AD300,9,1)&gt;=$AE300,DATE($AD300,9,1)&lt;=$AF300),ROUND($AG300,2),0))</f>
        <v/>
      </c>
      <c r="S300" s="18">
        <f>IF($Z300="","",IF(AND(DATE($AD300,10,1)&gt;=$AE300,DATE($AD300,10,1)&lt;=$AF300),ROUND($AG300,2),0))</f>
        <v/>
      </c>
      <c r="T300" s="18">
        <f>IF($Z300="","",IF(AND(DATE($AD300,11,1)&gt;=$AE300,DATE($AD300,11,1)&lt;=$AF300),ROUND($AG300,2),0))</f>
        <v/>
      </c>
      <c r="U300" s="18">
        <f>IF($Z300="","",IF(AND(DATE($AD300,12,1)&gt;=$AE300,DATE($AD300,12,1)&lt;=$AF300),ROUND($AG300,2),0))</f>
        <v/>
      </c>
      <c r="V300" s="7">
        <f>IF($Z300="C","Generated from "&amp;INDEX(Contracts!$A$2:$A$151,$AB300),IF($Z300="A","Generated from "&amp;INDEX(Fixed_Assets!$A$2:$A$201,$AB300),IF($Z300="F","Generated from "&amp;INDEX(FTE_Allocation!$A$2:$A$201,$AB300),"")))</f>
        <v/>
      </c>
      <c r="X300" s="19">
        <f>IF($Z300="","",SUM(J300:U300))</f>
        <v/>
      </c>
      <c r="Y300" s="20">
        <f>ROW()-1</f>
        <v/>
      </c>
      <c r="Z300" s="20">
        <f>IF($Y300&lt;=Settings!$B$4*3,"C",IF($Y300&lt;=(Settings!$B$4+Settings!$B$5)*3,"A",IF($Y300&lt;=(Settings!$B$4+Settings!$B$5+Settings!$B$6)*3,"F","")))</f>
        <v/>
      </c>
      <c r="AA300" s="20">
        <f>IF($Z300="C",$Y300,IF($Z300="A",$Y300-Settings!$B$4*3,IF($Z300="F",$Y300-(Settings!$B$4+Settings!$B$5)*3,"")))</f>
        <v/>
      </c>
      <c r="AB300" s="20">
        <f>IF($Z300="","",INT(($AA300-1)/3)+1)</f>
        <v/>
      </c>
      <c r="AC300" s="20">
        <f>IF($Z300="","",MOD($AA300-1,3)+1)</f>
        <v/>
      </c>
      <c r="AD300" s="20">
        <f>IF($Z300="","",Settings!$B$2+$AC300-1)</f>
        <v/>
      </c>
      <c r="AE300" s="21">
        <f>IF($Z300="C",DATE(YEAR(INDEX(Contracts!$J$2:$J$151,$AB300)),MONTH(INDEX(Contracts!$J$2:$J$151,$AB300)),1),IF($Z300="A",DATE(YEAR(INDEX(Fixed_Assets!$G$2:$G$201,$AB300)),MONTH(INDEX(Fixed_Assets!$G$2:$G$201,$AB300)),1),IF($Z300="F",DATE(YEAR(MAX(N(INDEX(Workforce!$I$2:$I$151,MATCH(INDEX(FTE_Allocation!$A$2:$A$201,$AB300),Workforce!$A$2:$A$151,0))),N(INDEX(FTE_Allocation!$I$2:$I$201,$AB300)))),MONTH(MAX(N(INDEX(Workforce!$I$2:$I$151,MATCH(INDEX(FTE_Allocation!$A$2:$A$201,$AB300),Workforce!$A$2:$A$151,0))),N(INDEX(FTE_Allocation!$I$2:$I$201,$AB300)))),1),"")))</f>
        <v/>
      </c>
      <c r="AF300" s="21">
        <f>IF($Z300="C",IF(INDEX(Contracts!$I$2:$I$151,$AB300)="PREPAID",EDATE(DATE(YEAR(INDEX(Contracts!$J$2:$J$151,$AB300)),MONTH(INDEX(Contracts!$J$2:$J$151,$AB300)),1),IF(INDEX(Contracts!$N$2:$N$151,$AB300)="",12,INDEX(Contracts!$N$2:$N$151,$AB300))-1),IF(INDEX(Contracts!$I$2:$I$151,$AB300)="MONTHLY",IF(INDEX(Contracts!$K$2:$K$151,$AB300)="",2958101,INDEX(Contracts!$K$2:$K$151,$AB300)),0)),IF($Z300="A",EDATE(DATE(YEAR(INDEX(Fixed_Assets!$G$2:$G$201,$AB300)),MONTH(INDEX(Fixed_Assets!$G$2:$G$201,$AB300)),1),INDEX(Fixed_Assets!$J$2:$J$201,$AB300)-1),IF($Z300="F",MIN(IF(INDEX(Workforce!$J$2:$J$151,MATCH(INDEX(FTE_Allocation!$A$2:$A$201,$AB300),Workforce!$A$2:$A$151,0))="",2958101,INDEX(Workforce!$J$2:$J$151,MATCH(INDEX(FTE_Allocation!$A$2:$A$201,$AB300),Workforce!$A$2:$A$151,0))),IF(INDEX(FTE_Allocation!$J$2:$J$201,$AB300)="",2958101,INDEX(FTE_Allocation!$J$2:$J$201,$AB300))),"")))</f>
        <v/>
      </c>
      <c r="AG300" s="19">
        <f>IF($Z300="C",IF(INDEX(Contracts!$I$2:$I$151,$AB300)="PREPAID",INDEX(Contracts!$M$2:$M$151,$AB300)/IF(INDEX(Contracts!$N$2:$N$151,$AB300)="",12,INDEX(Contracts!$N$2:$N$151,$AB300)),IF(INDEX(Contracts!$I$2:$I$151,$AB300)="MONTHLY",INDEX(Contracts!$M$2:$M$151,$AB300),0))*(1-N(INDEX(Contracts!$O$2:$O$151,$AB300))),IF($Z300="A",INDEX(Fixed_Assets!$H$2:$H$201,$AB300)/INDEX(Fixed_Assets!$J$2:$J$201,$AB300),IF($Z300="F",INDEX(Workforce!$F$2:$F$151,MATCH(INDEX(FTE_Allocation!$A$2:$A$201,$AB300),Workforce!$A$2:$A$151,0))*N(INDEX(FTE_Allocation!$F$2:$H$201,$AB300,$AC300)),"")))</f>
        <v/>
      </c>
    </row>
    <row r="301">
      <c r="A301" s="7">
        <f>IF($Z301="","",$AD301)</f>
        <v/>
      </c>
      <c r="B301" s="7">
        <f>IF($Z301="C",INDEX(Contracts!$D$2:$D$151,$AB301)&amp;"",IF($Z301="A",INDEX(Fixed_Assets!$C$2:$C$201,$AB301)&amp;"",IF($Z301="F",INDEX(Workforce!$B$2:$B$151,MATCH(INDEX(FTE_Allocation!$A$2:$A$201,$AB301),Workforce!$A$2:$A$151,0))&amp;"","")))</f>
        <v/>
      </c>
      <c r="C301" s="7">
        <f>IF($Z301="C",INDEX(Contracts!$E$2:$E$151,$AB301)&amp;"",IF($Z301="A",INDEX(Fixed_Assets!$D$2:$D$201,$AB301)&amp;"",IF($Z301="F",INDEX(FTE_Allocation!$C$2:$C$201,$AB301)&amp;"","")))</f>
        <v/>
      </c>
      <c r="D301" s="7">
        <f>IF($Z301="C",INDEX(Contracts!$B$2:$B$151,$AB301)&amp;"",IF($Z301="A",INDEX(Fixed_Assets!$B$2:$B$201,$AB301)&amp;"",IF($Z301="F",INDEX(FTE_Allocation!$B$2:$B$201,$AB301)&amp;"","")))</f>
        <v/>
      </c>
      <c r="E301" s="7">
        <f>IF($Z301="C",INDEX(Contracts!$P$2:$P$151,$AB301)&amp;"",IF($Z301="A",INDEX(Fixed_Assets!$K$2:$K$201,$AB301)&amp;"",IF($Z301="F",IF(INDEX(FTE_Allocation!$D$2:$D$201,$AB301)="PROJECT",IFERROR(INDEX(Projects!$D:$D,MATCH(INDEX(FTE_Allocation!$E$2:$E$201,$AB301),Projects!$A:$A,0))&amp;"","#PROJECT?"),INDEX(FTE_Allocation!$E$2:$E$201,$AB301)&amp;""),"")))</f>
        <v/>
      </c>
      <c r="F301" s="7">
        <f>IF($Z301="C",INDEX(Contracts!$Q$2:$Q$151,$AB301)&amp;"",IF($Z301="A",INDEX(Fixed_Assets!$L$2:$L$201,$AB301)&amp;"",IF($Z301="F",INDEX(Workforce!$K$2:$K$151,MATCH(INDEX(FTE_Allocation!$A$2:$A$201,$AB301),Workforce!$A$2:$A$151,0))&amp;"","")))</f>
        <v/>
      </c>
      <c r="G301" s="7">
        <f>IF($Z301="C",INDEX(Contracts!$F$2:$F$151,$AB301)&amp;" / "&amp;INDEX(Contracts!$G$2:$G$151,$AB301),IF($Z301="A",INDEX(Fixed_Assets!$E$2:$E$201,$AB301)&amp;"",IF($Z301="F","Personnel "&amp;INDEX(FTE_Allocation!$A$2:$A$201,$AB301)&amp;IF(INDEX(FTE_Allocation!$D$2:$D$201,$AB301)="PROJECT"," ("&amp;INDEX(FTE_Allocation!$E$2:$E$201,$AB301)&amp;")",""),"")))</f>
        <v/>
      </c>
      <c r="H301" s="7">
        <f>IF($Z301="C","CONTRACT",IF($Z301="A","ASSET",IF($Z301="F","WORKFORCE","")))</f>
        <v/>
      </c>
      <c r="I301" s="7">
        <f>IF($Z301="C",INDEX(Contracts!$L$2:$L$151,$AB301)&amp;"",IF($Z301="A",INDEX(Fixed_Assets!$I$2:$I$201,$AB301)&amp;"",IF($Z301="F",INDEX(Workforce!$G$2:$G$151,MATCH(INDEX(FTE_Allocation!$A$2:$A$201,$AB301),Workforce!$A$2:$A$151,0))&amp;"","")))</f>
        <v/>
      </c>
      <c r="J301" s="18">
        <f>IF($Z301="","",IF(AND(DATE($AD301,1,1)&gt;=$AE301,DATE($AD301,1,1)&lt;=$AF301),ROUND($AG301,2),0))</f>
        <v/>
      </c>
      <c r="K301" s="18">
        <f>IF($Z301="","",IF(AND(DATE($AD301,2,1)&gt;=$AE301,DATE($AD301,2,1)&lt;=$AF301),ROUND($AG301,2),0))</f>
        <v/>
      </c>
      <c r="L301" s="18">
        <f>IF($Z301="","",IF(AND(DATE($AD301,3,1)&gt;=$AE301,DATE($AD301,3,1)&lt;=$AF301),ROUND($AG301,2),0))</f>
        <v/>
      </c>
      <c r="M301" s="18">
        <f>IF($Z301="","",IF(AND(DATE($AD301,4,1)&gt;=$AE301,DATE($AD301,4,1)&lt;=$AF301),ROUND($AG301,2),0))</f>
        <v/>
      </c>
      <c r="N301" s="18">
        <f>IF($Z301="","",IF(AND(DATE($AD301,5,1)&gt;=$AE301,DATE($AD301,5,1)&lt;=$AF301),ROUND($AG301,2),0))</f>
        <v/>
      </c>
      <c r="O301" s="18">
        <f>IF($Z301="","",IF(AND(DATE($AD301,6,1)&gt;=$AE301,DATE($AD301,6,1)&lt;=$AF301),ROUND($AG301,2),0))</f>
        <v/>
      </c>
      <c r="P301" s="18">
        <f>IF($Z301="","",IF(AND(DATE($AD301,7,1)&gt;=$AE301,DATE($AD301,7,1)&lt;=$AF301),ROUND($AG301,2),0))</f>
        <v/>
      </c>
      <c r="Q301" s="18">
        <f>IF($Z301="","",IF(AND(DATE($AD301,8,1)&gt;=$AE301,DATE($AD301,8,1)&lt;=$AF301),ROUND($AG301,2),0))</f>
        <v/>
      </c>
      <c r="R301" s="18">
        <f>IF($Z301="","",IF(AND(DATE($AD301,9,1)&gt;=$AE301,DATE($AD301,9,1)&lt;=$AF301),ROUND($AG301,2),0))</f>
        <v/>
      </c>
      <c r="S301" s="18">
        <f>IF($Z301="","",IF(AND(DATE($AD301,10,1)&gt;=$AE301,DATE($AD301,10,1)&lt;=$AF301),ROUND($AG301,2),0))</f>
        <v/>
      </c>
      <c r="T301" s="18">
        <f>IF($Z301="","",IF(AND(DATE($AD301,11,1)&gt;=$AE301,DATE($AD301,11,1)&lt;=$AF301),ROUND($AG301,2),0))</f>
        <v/>
      </c>
      <c r="U301" s="18">
        <f>IF($Z301="","",IF(AND(DATE($AD301,12,1)&gt;=$AE301,DATE($AD301,12,1)&lt;=$AF301),ROUND($AG301,2),0))</f>
        <v/>
      </c>
      <c r="V301" s="7">
        <f>IF($Z301="C","Generated from "&amp;INDEX(Contracts!$A$2:$A$151,$AB301),IF($Z301="A","Generated from "&amp;INDEX(Fixed_Assets!$A$2:$A$201,$AB301),IF($Z301="F","Generated from "&amp;INDEX(FTE_Allocation!$A$2:$A$201,$AB301),"")))</f>
        <v/>
      </c>
      <c r="X301" s="19">
        <f>IF($Z301="","",SUM(J301:U301))</f>
        <v/>
      </c>
      <c r="Y301" s="20">
        <f>ROW()-1</f>
        <v/>
      </c>
      <c r="Z301" s="20">
        <f>IF($Y301&lt;=Settings!$B$4*3,"C",IF($Y301&lt;=(Settings!$B$4+Settings!$B$5)*3,"A",IF($Y301&lt;=(Settings!$B$4+Settings!$B$5+Settings!$B$6)*3,"F","")))</f>
        <v/>
      </c>
      <c r="AA301" s="20">
        <f>IF($Z301="C",$Y301,IF($Z301="A",$Y301-Settings!$B$4*3,IF($Z301="F",$Y301-(Settings!$B$4+Settings!$B$5)*3,"")))</f>
        <v/>
      </c>
      <c r="AB301" s="20">
        <f>IF($Z301="","",INT(($AA301-1)/3)+1)</f>
        <v/>
      </c>
      <c r="AC301" s="20">
        <f>IF($Z301="","",MOD($AA301-1,3)+1)</f>
        <v/>
      </c>
      <c r="AD301" s="20">
        <f>IF($Z301="","",Settings!$B$2+$AC301-1)</f>
        <v/>
      </c>
      <c r="AE301" s="21">
        <f>IF($Z301="C",DATE(YEAR(INDEX(Contracts!$J$2:$J$151,$AB301)),MONTH(INDEX(Contracts!$J$2:$J$151,$AB301)),1),IF($Z301="A",DATE(YEAR(INDEX(Fixed_Assets!$G$2:$G$201,$AB301)),MONTH(INDEX(Fixed_Assets!$G$2:$G$201,$AB301)),1),IF($Z301="F",DATE(YEAR(MAX(N(INDEX(Workforce!$I$2:$I$151,MATCH(INDEX(FTE_Allocation!$A$2:$A$201,$AB301),Workforce!$A$2:$A$151,0))),N(INDEX(FTE_Allocation!$I$2:$I$201,$AB301)))),MONTH(MAX(N(INDEX(Workforce!$I$2:$I$151,MATCH(INDEX(FTE_Allocation!$A$2:$A$201,$AB301),Workforce!$A$2:$A$151,0))),N(INDEX(FTE_Allocation!$I$2:$I$201,$AB301)))),1),"")))</f>
        <v/>
      </c>
      <c r="AF301" s="21">
        <f>IF($Z301="C",IF(INDEX(Contracts!$I$2:$I$151,$AB301)="PREPAID",EDATE(DATE(YEAR(INDEX(Contracts!$J$2:$J$151,$AB301)),MONTH(INDEX(Contracts!$J$2:$J$151,$AB301)),1),IF(INDEX(Contracts!$N$2:$N$151,$AB301)="",12,INDEX(Contracts!$N$2:$N$151,$AB301))-1),IF(INDEX(Contracts!$I$2:$I$151,$AB301)="MONTHLY",IF(INDEX(Contracts!$K$2:$K$151,$AB301)="",2958101,INDEX(Contracts!$K$2:$K$151,$AB301)),0)),IF($Z301="A",EDATE(DATE(YEAR(INDEX(Fixed_Assets!$G$2:$G$201,$AB301)),MONTH(INDEX(Fixed_Assets!$G$2:$G$201,$AB301)),1),INDEX(Fixed_Assets!$J$2:$J$201,$AB301)-1),IF($Z301="F",MIN(IF(INDEX(Workforce!$J$2:$J$151,MATCH(INDEX(FTE_Allocation!$A$2:$A$201,$AB301),Workforce!$A$2:$A$151,0))="",2958101,INDEX(Workforce!$J$2:$J$151,MATCH(INDEX(FTE_Allocation!$A$2:$A$201,$AB301),Workforce!$A$2:$A$151,0))),IF(INDEX(FTE_Allocation!$J$2:$J$201,$AB301)="",2958101,INDEX(FTE_Allocation!$J$2:$J$201,$AB301))),"")))</f>
        <v/>
      </c>
      <c r="AG301" s="19">
        <f>IF($Z301="C",IF(INDEX(Contracts!$I$2:$I$151,$AB301)="PREPAID",INDEX(Contracts!$M$2:$M$151,$AB301)/IF(INDEX(Contracts!$N$2:$N$151,$AB301)="",12,INDEX(Contracts!$N$2:$N$151,$AB301)),IF(INDEX(Contracts!$I$2:$I$151,$AB301)="MONTHLY",INDEX(Contracts!$M$2:$M$151,$AB301),0))*(1-N(INDEX(Contracts!$O$2:$O$151,$AB301))),IF($Z301="A",INDEX(Fixed_Assets!$H$2:$H$201,$AB301)/INDEX(Fixed_Assets!$J$2:$J$201,$AB301),IF($Z301="F",INDEX(Workforce!$F$2:$F$151,MATCH(INDEX(FTE_Allocation!$A$2:$A$201,$AB301),Workforce!$A$2:$A$151,0))*N(INDEX(FTE_Allocation!$F$2:$H$201,$AB301,$AC301)),"")))</f>
        <v/>
      </c>
    </row>
    <row r="302">
      <c r="A302" s="7">
        <f>IF($Z302="","",$AD302)</f>
        <v/>
      </c>
      <c r="B302" s="7">
        <f>IF($Z302="C",INDEX(Contracts!$D$2:$D$151,$AB302)&amp;"",IF($Z302="A",INDEX(Fixed_Assets!$C$2:$C$201,$AB302)&amp;"",IF($Z302="F",INDEX(Workforce!$B$2:$B$151,MATCH(INDEX(FTE_Allocation!$A$2:$A$201,$AB302),Workforce!$A$2:$A$151,0))&amp;"","")))</f>
        <v/>
      </c>
      <c r="C302" s="7">
        <f>IF($Z302="C",INDEX(Contracts!$E$2:$E$151,$AB302)&amp;"",IF($Z302="A",INDEX(Fixed_Assets!$D$2:$D$201,$AB302)&amp;"",IF($Z302="F",INDEX(FTE_Allocation!$C$2:$C$201,$AB302)&amp;"","")))</f>
        <v/>
      </c>
      <c r="D302" s="7">
        <f>IF($Z302="C",INDEX(Contracts!$B$2:$B$151,$AB302)&amp;"",IF($Z302="A",INDEX(Fixed_Assets!$B$2:$B$201,$AB302)&amp;"",IF($Z302="F",INDEX(FTE_Allocation!$B$2:$B$201,$AB302)&amp;"","")))</f>
        <v/>
      </c>
      <c r="E302" s="7">
        <f>IF($Z302="C",INDEX(Contracts!$P$2:$P$151,$AB302)&amp;"",IF($Z302="A",INDEX(Fixed_Assets!$K$2:$K$201,$AB302)&amp;"",IF($Z302="F",IF(INDEX(FTE_Allocation!$D$2:$D$201,$AB302)="PROJECT",IFERROR(INDEX(Projects!$D:$D,MATCH(INDEX(FTE_Allocation!$E$2:$E$201,$AB302),Projects!$A:$A,0))&amp;"","#PROJECT?"),INDEX(FTE_Allocation!$E$2:$E$201,$AB302)&amp;""),"")))</f>
        <v/>
      </c>
      <c r="F302" s="7">
        <f>IF($Z302="C",INDEX(Contracts!$Q$2:$Q$151,$AB302)&amp;"",IF($Z302="A",INDEX(Fixed_Assets!$L$2:$L$201,$AB302)&amp;"",IF($Z302="F",INDEX(Workforce!$K$2:$K$151,MATCH(INDEX(FTE_Allocation!$A$2:$A$201,$AB302),Workforce!$A$2:$A$151,0))&amp;"","")))</f>
        <v/>
      </c>
      <c r="G302" s="7">
        <f>IF($Z302="C",INDEX(Contracts!$F$2:$F$151,$AB302)&amp;" / "&amp;INDEX(Contracts!$G$2:$G$151,$AB302),IF($Z302="A",INDEX(Fixed_Assets!$E$2:$E$201,$AB302)&amp;"",IF($Z302="F","Personnel "&amp;INDEX(FTE_Allocation!$A$2:$A$201,$AB302)&amp;IF(INDEX(FTE_Allocation!$D$2:$D$201,$AB302)="PROJECT"," ("&amp;INDEX(FTE_Allocation!$E$2:$E$201,$AB302)&amp;")",""),"")))</f>
        <v/>
      </c>
      <c r="H302" s="7">
        <f>IF($Z302="C","CONTRACT",IF($Z302="A","ASSET",IF($Z302="F","WORKFORCE","")))</f>
        <v/>
      </c>
      <c r="I302" s="7">
        <f>IF($Z302="C",INDEX(Contracts!$L$2:$L$151,$AB302)&amp;"",IF($Z302="A",INDEX(Fixed_Assets!$I$2:$I$201,$AB302)&amp;"",IF($Z302="F",INDEX(Workforce!$G$2:$G$151,MATCH(INDEX(FTE_Allocation!$A$2:$A$201,$AB302),Workforce!$A$2:$A$151,0))&amp;"","")))</f>
        <v/>
      </c>
      <c r="J302" s="18">
        <f>IF($Z302="","",IF(AND(DATE($AD302,1,1)&gt;=$AE302,DATE($AD302,1,1)&lt;=$AF302),ROUND($AG302,2),0))</f>
        <v/>
      </c>
      <c r="K302" s="18">
        <f>IF($Z302="","",IF(AND(DATE($AD302,2,1)&gt;=$AE302,DATE($AD302,2,1)&lt;=$AF302),ROUND($AG302,2),0))</f>
        <v/>
      </c>
      <c r="L302" s="18">
        <f>IF($Z302="","",IF(AND(DATE($AD302,3,1)&gt;=$AE302,DATE($AD302,3,1)&lt;=$AF302),ROUND($AG302,2),0))</f>
        <v/>
      </c>
      <c r="M302" s="18">
        <f>IF($Z302="","",IF(AND(DATE($AD302,4,1)&gt;=$AE302,DATE($AD302,4,1)&lt;=$AF302),ROUND($AG302,2),0))</f>
        <v/>
      </c>
      <c r="N302" s="18">
        <f>IF($Z302="","",IF(AND(DATE($AD302,5,1)&gt;=$AE302,DATE($AD302,5,1)&lt;=$AF302),ROUND($AG302,2),0))</f>
        <v/>
      </c>
      <c r="O302" s="18">
        <f>IF($Z302="","",IF(AND(DATE($AD302,6,1)&gt;=$AE302,DATE($AD302,6,1)&lt;=$AF302),ROUND($AG302,2),0))</f>
        <v/>
      </c>
      <c r="P302" s="18">
        <f>IF($Z302="","",IF(AND(DATE($AD302,7,1)&gt;=$AE302,DATE($AD302,7,1)&lt;=$AF302),ROUND($AG302,2),0))</f>
        <v/>
      </c>
      <c r="Q302" s="18">
        <f>IF($Z302="","",IF(AND(DATE($AD302,8,1)&gt;=$AE302,DATE($AD302,8,1)&lt;=$AF302),ROUND($AG302,2),0))</f>
        <v/>
      </c>
      <c r="R302" s="18">
        <f>IF($Z302="","",IF(AND(DATE($AD302,9,1)&gt;=$AE302,DATE($AD302,9,1)&lt;=$AF302),ROUND($AG302,2),0))</f>
        <v/>
      </c>
      <c r="S302" s="18">
        <f>IF($Z302="","",IF(AND(DATE($AD302,10,1)&gt;=$AE302,DATE($AD302,10,1)&lt;=$AF302),ROUND($AG302,2),0))</f>
        <v/>
      </c>
      <c r="T302" s="18">
        <f>IF($Z302="","",IF(AND(DATE($AD302,11,1)&gt;=$AE302,DATE($AD302,11,1)&lt;=$AF302),ROUND($AG302,2),0))</f>
        <v/>
      </c>
      <c r="U302" s="18">
        <f>IF($Z302="","",IF(AND(DATE($AD302,12,1)&gt;=$AE302,DATE($AD302,12,1)&lt;=$AF302),ROUND($AG302,2),0))</f>
        <v/>
      </c>
      <c r="V302" s="7">
        <f>IF($Z302="C","Generated from "&amp;INDEX(Contracts!$A$2:$A$151,$AB302),IF($Z302="A","Generated from "&amp;INDEX(Fixed_Assets!$A$2:$A$201,$AB302),IF($Z302="F","Generated from "&amp;INDEX(FTE_Allocation!$A$2:$A$201,$AB302),"")))</f>
        <v/>
      </c>
      <c r="X302" s="19">
        <f>IF($Z302="","",SUM(J302:U302))</f>
        <v/>
      </c>
      <c r="Y302" s="20">
        <f>ROW()-1</f>
        <v/>
      </c>
      <c r="Z302" s="20">
        <f>IF($Y302&lt;=Settings!$B$4*3,"C",IF($Y302&lt;=(Settings!$B$4+Settings!$B$5)*3,"A",IF($Y302&lt;=(Settings!$B$4+Settings!$B$5+Settings!$B$6)*3,"F","")))</f>
        <v/>
      </c>
      <c r="AA302" s="20">
        <f>IF($Z302="C",$Y302,IF($Z302="A",$Y302-Settings!$B$4*3,IF($Z302="F",$Y302-(Settings!$B$4+Settings!$B$5)*3,"")))</f>
        <v/>
      </c>
      <c r="AB302" s="20">
        <f>IF($Z302="","",INT(($AA302-1)/3)+1)</f>
        <v/>
      </c>
      <c r="AC302" s="20">
        <f>IF($Z302="","",MOD($AA302-1,3)+1)</f>
        <v/>
      </c>
      <c r="AD302" s="20">
        <f>IF($Z302="","",Settings!$B$2+$AC302-1)</f>
        <v/>
      </c>
      <c r="AE302" s="21">
        <f>IF($Z302="C",DATE(YEAR(INDEX(Contracts!$J$2:$J$151,$AB302)),MONTH(INDEX(Contracts!$J$2:$J$151,$AB302)),1),IF($Z302="A",DATE(YEAR(INDEX(Fixed_Assets!$G$2:$G$201,$AB302)),MONTH(INDEX(Fixed_Assets!$G$2:$G$201,$AB302)),1),IF($Z302="F",DATE(YEAR(MAX(N(INDEX(Workforce!$I$2:$I$151,MATCH(INDEX(FTE_Allocation!$A$2:$A$201,$AB302),Workforce!$A$2:$A$151,0))),N(INDEX(FTE_Allocation!$I$2:$I$201,$AB302)))),MONTH(MAX(N(INDEX(Workforce!$I$2:$I$151,MATCH(INDEX(FTE_Allocation!$A$2:$A$201,$AB302),Workforce!$A$2:$A$151,0))),N(INDEX(FTE_Allocation!$I$2:$I$201,$AB302)))),1),"")))</f>
        <v/>
      </c>
      <c r="AF302" s="21">
        <f>IF($Z302="C",IF(INDEX(Contracts!$I$2:$I$151,$AB302)="PREPAID",EDATE(DATE(YEAR(INDEX(Contracts!$J$2:$J$151,$AB302)),MONTH(INDEX(Contracts!$J$2:$J$151,$AB302)),1),IF(INDEX(Contracts!$N$2:$N$151,$AB302)="",12,INDEX(Contracts!$N$2:$N$151,$AB302))-1),IF(INDEX(Contracts!$I$2:$I$151,$AB302)="MONTHLY",IF(INDEX(Contracts!$K$2:$K$151,$AB302)="",2958101,INDEX(Contracts!$K$2:$K$151,$AB302)),0)),IF($Z302="A",EDATE(DATE(YEAR(INDEX(Fixed_Assets!$G$2:$G$201,$AB302)),MONTH(INDEX(Fixed_Assets!$G$2:$G$201,$AB302)),1),INDEX(Fixed_Assets!$J$2:$J$201,$AB302)-1),IF($Z302="F",MIN(IF(INDEX(Workforce!$J$2:$J$151,MATCH(INDEX(FTE_Allocation!$A$2:$A$201,$AB302),Workforce!$A$2:$A$151,0))="",2958101,INDEX(Workforce!$J$2:$J$151,MATCH(INDEX(FTE_Allocation!$A$2:$A$201,$AB302),Workforce!$A$2:$A$151,0))),IF(INDEX(FTE_Allocation!$J$2:$J$201,$AB302)="",2958101,INDEX(FTE_Allocation!$J$2:$J$201,$AB302))),"")))</f>
        <v/>
      </c>
      <c r="AG302" s="19">
        <f>IF($Z302="C",IF(INDEX(Contracts!$I$2:$I$151,$AB302)="PREPAID",INDEX(Contracts!$M$2:$M$151,$AB302)/IF(INDEX(Contracts!$N$2:$N$151,$AB302)="",12,INDEX(Contracts!$N$2:$N$151,$AB302)),IF(INDEX(Contracts!$I$2:$I$151,$AB302)="MONTHLY",INDEX(Contracts!$M$2:$M$151,$AB302),0))*(1-N(INDEX(Contracts!$O$2:$O$151,$AB302))),IF($Z302="A",INDEX(Fixed_Assets!$H$2:$H$201,$AB302)/INDEX(Fixed_Assets!$J$2:$J$201,$AB302),IF($Z302="F",INDEX(Workforce!$F$2:$F$151,MATCH(INDEX(FTE_Allocation!$A$2:$A$201,$AB302),Workforce!$A$2:$A$151,0))*N(INDEX(FTE_Allocation!$F$2:$H$201,$AB302,$AC302)),"")))</f>
        <v/>
      </c>
    </row>
    <row r="303">
      <c r="A303" s="7">
        <f>IF($Z303="","",$AD303)</f>
        <v/>
      </c>
      <c r="B303" s="7">
        <f>IF($Z303="C",INDEX(Contracts!$D$2:$D$151,$AB303)&amp;"",IF($Z303="A",INDEX(Fixed_Assets!$C$2:$C$201,$AB303)&amp;"",IF($Z303="F",INDEX(Workforce!$B$2:$B$151,MATCH(INDEX(FTE_Allocation!$A$2:$A$201,$AB303),Workforce!$A$2:$A$151,0))&amp;"","")))</f>
        <v/>
      </c>
      <c r="C303" s="7">
        <f>IF($Z303="C",INDEX(Contracts!$E$2:$E$151,$AB303)&amp;"",IF($Z303="A",INDEX(Fixed_Assets!$D$2:$D$201,$AB303)&amp;"",IF($Z303="F",INDEX(FTE_Allocation!$C$2:$C$201,$AB303)&amp;"","")))</f>
        <v/>
      </c>
      <c r="D303" s="7">
        <f>IF($Z303="C",INDEX(Contracts!$B$2:$B$151,$AB303)&amp;"",IF($Z303="A",INDEX(Fixed_Assets!$B$2:$B$201,$AB303)&amp;"",IF($Z303="F",INDEX(FTE_Allocation!$B$2:$B$201,$AB303)&amp;"","")))</f>
        <v/>
      </c>
      <c r="E303" s="7">
        <f>IF($Z303="C",INDEX(Contracts!$P$2:$P$151,$AB303)&amp;"",IF($Z303="A",INDEX(Fixed_Assets!$K$2:$K$201,$AB303)&amp;"",IF($Z303="F",IF(INDEX(FTE_Allocation!$D$2:$D$201,$AB303)="PROJECT",IFERROR(INDEX(Projects!$D:$D,MATCH(INDEX(FTE_Allocation!$E$2:$E$201,$AB303),Projects!$A:$A,0))&amp;"","#PROJECT?"),INDEX(FTE_Allocation!$E$2:$E$201,$AB303)&amp;""),"")))</f>
        <v/>
      </c>
      <c r="F303" s="7">
        <f>IF($Z303="C",INDEX(Contracts!$Q$2:$Q$151,$AB303)&amp;"",IF($Z303="A",INDEX(Fixed_Assets!$L$2:$L$201,$AB303)&amp;"",IF($Z303="F",INDEX(Workforce!$K$2:$K$151,MATCH(INDEX(FTE_Allocation!$A$2:$A$201,$AB303),Workforce!$A$2:$A$151,0))&amp;"","")))</f>
        <v/>
      </c>
      <c r="G303" s="7">
        <f>IF($Z303="C",INDEX(Contracts!$F$2:$F$151,$AB303)&amp;" / "&amp;INDEX(Contracts!$G$2:$G$151,$AB303),IF($Z303="A",INDEX(Fixed_Assets!$E$2:$E$201,$AB303)&amp;"",IF($Z303="F","Personnel "&amp;INDEX(FTE_Allocation!$A$2:$A$201,$AB303)&amp;IF(INDEX(FTE_Allocation!$D$2:$D$201,$AB303)="PROJECT"," ("&amp;INDEX(FTE_Allocation!$E$2:$E$201,$AB303)&amp;")",""),"")))</f>
        <v/>
      </c>
      <c r="H303" s="7">
        <f>IF($Z303="C","CONTRACT",IF($Z303="A","ASSET",IF($Z303="F","WORKFORCE","")))</f>
        <v/>
      </c>
      <c r="I303" s="7">
        <f>IF($Z303="C",INDEX(Contracts!$L$2:$L$151,$AB303)&amp;"",IF($Z303="A",INDEX(Fixed_Assets!$I$2:$I$201,$AB303)&amp;"",IF($Z303="F",INDEX(Workforce!$G$2:$G$151,MATCH(INDEX(FTE_Allocation!$A$2:$A$201,$AB303),Workforce!$A$2:$A$151,0))&amp;"","")))</f>
        <v/>
      </c>
      <c r="J303" s="18">
        <f>IF($Z303="","",IF(AND(DATE($AD303,1,1)&gt;=$AE303,DATE($AD303,1,1)&lt;=$AF303),ROUND($AG303,2),0))</f>
        <v/>
      </c>
      <c r="K303" s="18">
        <f>IF($Z303="","",IF(AND(DATE($AD303,2,1)&gt;=$AE303,DATE($AD303,2,1)&lt;=$AF303),ROUND($AG303,2),0))</f>
        <v/>
      </c>
      <c r="L303" s="18">
        <f>IF($Z303="","",IF(AND(DATE($AD303,3,1)&gt;=$AE303,DATE($AD303,3,1)&lt;=$AF303),ROUND($AG303,2),0))</f>
        <v/>
      </c>
      <c r="M303" s="18">
        <f>IF($Z303="","",IF(AND(DATE($AD303,4,1)&gt;=$AE303,DATE($AD303,4,1)&lt;=$AF303),ROUND($AG303,2),0))</f>
        <v/>
      </c>
      <c r="N303" s="18">
        <f>IF($Z303="","",IF(AND(DATE($AD303,5,1)&gt;=$AE303,DATE($AD303,5,1)&lt;=$AF303),ROUND($AG303,2),0))</f>
        <v/>
      </c>
      <c r="O303" s="18">
        <f>IF($Z303="","",IF(AND(DATE($AD303,6,1)&gt;=$AE303,DATE($AD303,6,1)&lt;=$AF303),ROUND($AG303,2),0))</f>
        <v/>
      </c>
      <c r="P303" s="18">
        <f>IF($Z303="","",IF(AND(DATE($AD303,7,1)&gt;=$AE303,DATE($AD303,7,1)&lt;=$AF303),ROUND($AG303,2),0))</f>
        <v/>
      </c>
      <c r="Q303" s="18">
        <f>IF($Z303="","",IF(AND(DATE($AD303,8,1)&gt;=$AE303,DATE($AD303,8,1)&lt;=$AF303),ROUND($AG303,2),0))</f>
        <v/>
      </c>
      <c r="R303" s="18">
        <f>IF($Z303="","",IF(AND(DATE($AD303,9,1)&gt;=$AE303,DATE($AD303,9,1)&lt;=$AF303),ROUND($AG303,2),0))</f>
        <v/>
      </c>
      <c r="S303" s="18">
        <f>IF($Z303="","",IF(AND(DATE($AD303,10,1)&gt;=$AE303,DATE($AD303,10,1)&lt;=$AF303),ROUND($AG303,2),0))</f>
        <v/>
      </c>
      <c r="T303" s="18">
        <f>IF($Z303="","",IF(AND(DATE($AD303,11,1)&gt;=$AE303,DATE($AD303,11,1)&lt;=$AF303),ROUND($AG303,2),0))</f>
        <v/>
      </c>
      <c r="U303" s="18">
        <f>IF($Z303="","",IF(AND(DATE($AD303,12,1)&gt;=$AE303,DATE($AD303,12,1)&lt;=$AF303),ROUND($AG303,2),0))</f>
        <v/>
      </c>
      <c r="V303" s="7">
        <f>IF($Z303="C","Generated from "&amp;INDEX(Contracts!$A$2:$A$151,$AB303),IF($Z303="A","Generated from "&amp;INDEX(Fixed_Assets!$A$2:$A$201,$AB303),IF($Z303="F","Generated from "&amp;INDEX(FTE_Allocation!$A$2:$A$201,$AB303),"")))</f>
        <v/>
      </c>
      <c r="X303" s="19">
        <f>IF($Z303="","",SUM(J303:U303))</f>
        <v/>
      </c>
      <c r="Y303" s="20">
        <f>ROW()-1</f>
        <v/>
      </c>
      <c r="Z303" s="20">
        <f>IF($Y303&lt;=Settings!$B$4*3,"C",IF($Y303&lt;=(Settings!$B$4+Settings!$B$5)*3,"A",IF($Y303&lt;=(Settings!$B$4+Settings!$B$5+Settings!$B$6)*3,"F","")))</f>
        <v/>
      </c>
      <c r="AA303" s="20">
        <f>IF($Z303="C",$Y303,IF($Z303="A",$Y303-Settings!$B$4*3,IF($Z303="F",$Y303-(Settings!$B$4+Settings!$B$5)*3,"")))</f>
        <v/>
      </c>
      <c r="AB303" s="20">
        <f>IF($Z303="","",INT(($AA303-1)/3)+1)</f>
        <v/>
      </c>
      <c r="AC303" s="20">
        <f>IF($Z303="","",MOD($AA303-1,3)+1)</f>
        <v/>
      </c>
      <c r="AD303" s="20">
        <f>IF($Z303="","",Settings!$B$2+$AC303-1)</f>
        <v/>
      </c>
      <c r="AE303" s="21">
        <f>IF($Z303="C",DATE(YEAR(INDEX(Contracts!$J$2:$J$151,$AB303)),MONTH(INDEX(Contracts!$J$2:$J$151,$AB303)),1),IF($Z303="A",DATE(YEAR(INDEX(Fixed_Assets!$G$2:$G$201,$AB303)),MONTH(INDEX(Fixed_Assets!$G$2:$G$201,$AB303)),1),IF($Z303="F",DATE(YEAR(MAX(N(INDEX(Workforce!$I$2:$I$151,MATCH(INDEX(FTE_Allocation!$A$2:$A$201,$AB303),Workforce!$A$2:$A$151,0))),N(INDEX(FTE_Allocation!$I$2:$I$201,$AB303)))),MONTH(MAX(N(INDEX(Workforce!$I$2:$I$151,MATCH(INDEX(FTE_Allocation!$A$2:$A$201,$AB303),Workforce!$A$2:$A$151,0))),N(INDEX(FTE_Allocation!$I$2:$I$201,$AB303)))),1),"")))</f>
        <v/>
      </c>
      <c r="AF303" s="21">
        <f>IF($Z303="C",IF(INDEX(Contracts!$I$2:$I$151,$AB303)="PREPAID",EDATE(DATE(YEAR(INDEX(Contracts!$J$2:$J$151,$AB303)),MONTH(INDEX(Contracts!$J$2:$J$151,$AB303)),1),IF(INDEX(Contracts!$N$2:$N$151,$AB303)="",12,INDEX(Contracts!$N$2:$N$151,$AB303))-1),IF(INDEX(Contracts!$I$2:$I$151,$AB303)="MONTHLY",IF(INDEX(Contracts!$K$2:$K$151,$AB303)="",2958101,INDEX(Contracts!$K$2:$K$151,$AB303)),0)),IF($Z303="A",EDATE(DATE(YEAR(INDEX(Fixed_Assets!$G$2:$G$201,$AB303)),MONTH(INDEX(Fixed_Assets!$G$2:$G$201,$AB303)),1),INDEX(Fixed_Assets!$J$2:$J$201,$AB303)-1),IF($Z303="F",MIN(IF(INDEX(Workforce!$J$2:$J$151,MATCH(INDEX(FTE_Allocation!$A$2:$A$201,$AB303),Workforce!$A$2:$A$151,0))="",2958101,INDEX(Workforce!$J$2:$J$151,MATCH(INDEX(FTE_Allocation!$A$2:$A$201,$AB303),Workforce!$A$2:$A$151,0))),IF(INDEX(FTE_Allocation!$J$2:$J$201,$AB303)="",2958101,INDEX(FTE_Allocation!$J$2:$J$201,$AB303))),"")))</f>
        <v/>
      </c>
      <c r="AG303" s="19">
        <f>IF($Z303="C",IF(INDEX(Contracts!$I$2:$I$151,$AB303)="PREPAID",INDEX(Contracts!$M$2:$M$151,$AB303)/IF(INDEX(Contracts!$N$2:$N$151,$AB303)="",12,INDEX(Contracts!$N$2:$N$151,$AB303)),IF(INDEX(Contracts!$I$2:$I$151,$AB303)="MONTHLY",INDEX(Contracts!$M$2:$M$151,$AB303),0))*(1-N(INDEX(Contracts!$O$2:$O$151,$AB303))),IF($Z303="A",INDEX(Fixed_Assets!$H$2:$H$201,$AB303)/INDEX(Fixed_Assets!$J$2:$J$201,$AB303),IF($Z303="F",INDEX(Workforce!$F$2:$F$151,MATCH(INDEX(FTE_Allocation!$A$2:$A$201,$AB303),Workforce!$A$2:$A$151,0))*N(INDEX(FTE_Allocation!$F$2:$H$201,$AB303,$AC303)),"")))</f>
        <v/>
      </c>
    </row>
    <row r="304">
      <c r="A304" s="7">
        <f>IF($Z304="","",$AD304)</f>
        <v/>
      </c>
      <c r="B304" s="7">
        <f>IF($Z304="C",INDEX(Contracts!$D$2:$D$151,$AB304)&amp;"",IF($Z304="A",INDEX(Fixed_Assets!$C$2:$C$201,$AB304)&amp;"",IF($Z304="F",INDEX(Workforce!$B$2:$B$151,MATCH(INDEX(FTE_Allocation!$A$2:$A$201,$AB304),Workforce!$A$2:$A$151,0))&amp;"","")))</f>
        <v/>
      </c>
      <c r="C304" s="7">
        <f>IF($Z304="C",INDEX(Contracts!$E$2:$E$151,$AB304)&amp;"",IF($Z304="A",INDEX(Fixed_Assets!$D$2:$D$201,$AB304)&amp;"",IF($Z304="F",INDEX(FTE_Allocation!$C$2:$C$201,$AB304)&amp;"","")))</f>
        <v/>
      </c>
      <c r="D304" s="7">
        <f>IF($Z304="C",INDEX(Contracts!$B$2:$B$151,$AB304)&amp;"",IF($Z304="A",INDEX(Fixed_Assets!$B$2:$B$201,$AB304)&amp;"",IF($Z304="F",INDEX(FTE_Allocation!$B$2:$B$201,$AB304)&amp;"","")))</f>
        <v/>
      </c>
      <c r="E304" s="7">
        <f>IF($Z304="C",INDEX(Contracts!$P$2:$P$151,$AB304)&amp;"",IF($Z304="A",INDEX(Fixed_Assets!$K$2:$K$201,$AB304)&amp;"",IF($Z304="F",IF(INDEX(FTE_Allocation!$D$2:$D$201,$AB304)="PROJECT",IFERROR(INDEX(Projects!$D:$D,MATCH(INDEX(FTE_Allocation!$E$2:$E$201,$AB304),Projects!$A:$A,0))&amp;"","#PROJECT?"),INDEX(FTE_Allocation!$E$2:$E$201,$AB304)&amp;""),"")))</f>
        <v/>
      </c>
      <c r="F304" s="7">
        <f>IF($Z304="C",INDEX(Contracts!$Q$2:$Q$151,$AB304)&amp;"",IF($Z304="A",INDEX(Fixed_Assets!$L$2:$L$201,$AB304)&amp;"",IF($Z304="F",INDEX(Workforce!$K$2:$K$151,MATCH(INDEX(FTE_Allocation!$A$2:$A$201,$AB304),Workforce!$A$2:$A$151,0))&amp;"","")))</f>
        <v/>
      </c>
      <c r="G304" s="7">
        <f>IF($Z304="C",INDEX(Contracts!$F$2:$F$151,$AB304)&amp;" / "&amp;INDEX(Contracts!$G$2:$G$151,$AB304),IF($Z304="A",INDEX(Fixed_Assets!$E$2:$E$201,$AB304)&amp;"",IF($Z304="F","Personnel "&amp;INDEX(FTE_Allocation!$A$2:$A$201,$AB304)&amp;IF(INDEX(FTE_Allocation!$D$2:$D$201,$AB304)="PROJECT"," ("&amp;INDEX(FTE_Allocation!$E$2:$E$201,$AB304)&amp;")",""),"")))</f>
        <v/>
      </c>
      <c r="H304" s="7">
        <f>IF($Z304="C","CONTRACT",IF($Z304="A","ASSET",IF($Z304="F","WORKFORCE","")))</f>
        <v/>
      </c>
      <c r="I304" s="7">
        <f>IF($Z304="C",INDEX(Contracts!$L$2:$L$151,$AB304)&amp;"",IF($Z304="A",INDEX(Fixed_Assets!$I$2:$I$201,$AB304)&amp;"",IF($Z304="F",INDEX(Workforce!$G$2:$G$151,MATCH(INDEX(FTE_Allocation!$A$2:$A$201,$AB304),Workforce!$A$2:$A$151,0))&amp;"","")))</f>
        <v/>
      </c>
      <c r="J304" s="18">
        <f>IF($Z304="","",IF(AND(DATE($AD304,1,1)&gt;=$AE304,DATE($AD304,1,1)&lt;=$AF304),ROUND($AG304,2),0))</f>
        <v/>
      </c>
      <c r="K304" s="18">
        <f>IF($Z304="","",IF(AND(DATE($AD304,2,1)&gt;=$AE304,DATE($AD304,2,1)&lt;=$AF304),ROUND($AG304,2),0))</f>
        <v/>
      </c>
      <c r="L304" s="18">
        <f>IF($Z304="","",IF(AND(DATE($AD304,3,1)&gt;=$AE304,DATE($AD304,3,1)&lt;=$AF304),ROUND($AG304,2),0))</f>
        <v/>
      </c>
      <c r="M304" s="18">
        <f>IF($Z304="","",IF(AND(DATE($AD304,4,1)&gt;=$AE304,DATE($AD304,4,1)&lt;=$AF304),ROUND($AG304,2),0))</f>
        <v/>
      </c>
      <c r="N304" s="18">
        <f>IF($Z304="","",IF(AND(DATE($AD304,5,1)&gt;=$AE304,DATE($AD304,5,1)&lt;=$AF304),ROUND($AG304,2),0))</f>
        <v/>
      </c>
      <c r="O304" s="18">
        <f>IF($Z304="","",IF(AND(DATE($AD304,6,1)&gt;=$AE304,DATE($AD304,6,1)&lt;=$AF304),ROUND($AG304,2),0))</f>
        <v/>
      </c>
      <c r="P304" s="18">
        <f>IF($Z304="","",IF(AND(DATE($AD304,7,1)&gt;=$AE304,DATE($AD304,7,1)&lt;=$AF304),ROUND($AG304,2),0))</f>
        <v/>
      </c>
      <c r="Q304" s="18">
        <f>IF($Z304="","",IF(AND(DATE($AD304,8,1)&gt;=$AE304,DATE($AD304,8,1)&lt;=$AF304),ROUND($AG304,2),0))</f>
        <v/>
      </c>
      <c r="R304" s="18">
        <f>IF($Z304="","",IF(AND(DATE($AD304,9,1)&gt;=$AE304,DATE($AD304,9,1)&lt;=$AF304),ROUND($AG304,2),0))</f>
        <v/>
      </c>
      <c r="S304" s="18">
        <f>IF($Z304="","",IF(AND(DATE($AD304,10,1)&gt;=$AE304,DATE($AD304,10,1)&lt;=$AF304),ROUND($AG304,2),0))</f>
        <v/>
      </c>
      <c r="T304" s="18">
        <f>IF($Z304="","",IF(AND(DATE($AD304,11,1)&gt;=$AE304,DATE($AD304,11,1)&lt;=$AF304),ROUND($AG304,2),0))</f>
        <v/>
      </c>
      <c r="U304" s="18">
        <f>IF($Z304="","",IF(AND(DATE($AD304,12,1)&gt;=$AE304,DATE($AD304,12,1)&lt;=$AF304),ROUND($AG304,2),0))</f>
        <v/>
      </c>
      <c r="V304" s="7">
        <f>IF($Z304="C","Generated from "&amp;INDEX(Contracts!$A$2:$A$151,$AB304),IF($Z304="A","Generated from "&amp;INDEX(Fixed_Assets!$A$2:$A$201,$AB304),IF($Z304="F","Generated from "&amp;INDEX(FTE_Allocation!$A$2:$A$201,$AB304),"")))</f>
        <v/>
      </c>
      <c r="X304" s="19">
        <f>IF($Z304="","",SUM(J304:U304))</f>
        <v/>
      </c>
      <c r="Y304" s="20">
        <f>ROW()-1</f>
        <v/>
      </c>
      <c r="Z304" s="20">
        <f>IF($Y304&lt;=Settings!$B$4*3,"C",IF($Y304&lt;=(Settings!$B$4+Settings!$B$5)*3,"A",IF($Y304&lt;=(Settings!$B$4+Settings!$B$5+Settings!$B$6)*3,"F","")))</f>
        <v/>
      </c>
      <c r="AA304" s="20">
        <f>IF($Z304="C",$Y304,IF($Z304="A",$Y304-Settings!$B$4*3,IF($Z304="F",$Y304-(Settings!$B$4+Settings!$B$5)*3,"")))</f>
        <v/>
      </c>
      <c r="AB304" s="20">
        <f>IF($Z304="","",INT(($AA304-1)/3)+1)</f>
        <v/>
      </c>
      <c r="AC304" s="20">
        <f>IF($Z304="","",MOD($AA304-1,3)+1)</f>
        <v/>
      </c>
      <c r="AD304" s="20">
        <f>IF($Z304="","",Settings!$B$2+$AC304-1)</f>
        <v/>
      </c>
      <c r="AE304" s="21">
        <f>IF($Z304="C",DATE(YEAR(INDEX(Contracts!$J$2:$J$151,$AB304)),MONTH(INDEX(Contracts!$J$2:$J$151,$AB304)),1),IF($Z304="A",DATE(YEAR(INDEX(Fixed_Assets!$G$2:$G$201,$AB304)),MONTH(INDEX(Fixed_Assets!$G$2:$G$201,$AB304)),1),IF($Z304="F",DATE(YEAR(MAX(N(INDEX(Workforce!$I$2:$I$151,MATCH(INDEX(FTE_Allocation!$A$2:$A$201,$AB304),Workforce!$A$2:$A$151,0))),N(INDEX(FTE_Allocation!$I$2:$I$201,$AB304)))),MONTH(MAX(N(INDEX(Workforce!$I$2:$I$151,MATCH(INDEX(FTE_Allocation!$A$2:$A$201,$AB304),Workforce!$A$2:$A$151,0))),N(INDEX(FTE_Allocation!$I$2:$I$201,$AB304)))),1),"")))</f>
        <v/>
      </c>
      <c r="AF304" s="21">
        <f>IF($Z304="C",IF(INDEX(Contracts!$I$2:$I$151,$AB304)="PREPAID",EDATE(DATE(YEAR(INDEX(Contracts!$J$2:$J$151,$AB304)),MONTH(INDEX(Contracts!$J$2:$J$151,$AB304)),1),IF(INDEX(Contracts!$N$2:$N$151,$AB304)="",12,INDEX(Contracts!$N$2:$N$151,$AB304))-1),IF(INDEX(Contracts!$I$2:$I$151,$AB304)="MONTHLY",IF(INDEX(Contracts!$K$2:$K$151,$AB304)="",2958101,INDEX(Contracts!$K$2:$K$151,$AB304)),0)),IF($Z304="A",EDATE(DATE(YEAR(INDEX(Fixed_Assets!$G$2:$G$201,$AB304)),MONTH(INDEX(Fixed_Assets!$G$2:$G$201,$AB304)),1),INDEX(Fixed_Assets!$J$2:$J$201,$AB304)-1),IF($Z304="F",MIN(IF(INDEX(Workforce!$J$2:$J$151,MATCH(INDEX(FTE_Allocation!$A$2:$A$201,$AB304),Workforce!$A$2:$A$151,0))="",2958101,INDEX(Workforce!$J$2:$J$151,MATCH(INDEX(FTE_Allocation!$A$2:$A$201,$AB304),Workforce!$A$2:$A$151,0))),IF(INDEX(FTE_Allocation!$J$2:$J$201,$AB304)="",2958101,INDEX(FTE_Allocation!$J$2:$J$201,$AB304))),"")))</f>
        <v/>
      </c>
      <c r="AG304" s="19">
        <f>IF($Z304="C",IF(INDEX(Contracts!$I$2:$I$151,$AB304)="PREPAID",INDEX(Contracts!$M$2:$M$151,$AB304)/IF(INDEX(Contracts!$N$2:$N$151,$AB304)="",12,INDEX(Contracts!$N$2:$N$151,$AB304)),IF(INDEX(Contracts!$I$2:$I$151,$AB304)="MONTHLY",INDEX(Contracts!$M$2:$M$151,$AB304),0))*(1-N(INDEX(Contracts!$O$2:$O$151,$AB304))),IF($Z304="A",INDEX(Fixed_Assets!$H$2:$H$201,$AB304)/INDEX(Fixed_Assets!$J$2:$J$201,$AB304),IF($Z304="F",INDEX(Workforce!$F$2:$F$151,MATCH(INDEX(FTE_Allocation!$A$2:$A$201,$AB304),Workforce!$A$2:$A$151,0))*N(INDEX(FTE_Allocation!$F$2:$H$201,$AB304,$AC304)),"")))</f>
        <v/>
      </c>
    </row>
    <row r="305">
      <c r="A305" s="7">
        <f>IF($Z305="","",$AD305)</f>
        <v/>
      </c>
      <c r="B305" s="7">
        <f>IF($Z305="C",INDEX(Contracts!$D$2:$D$151,$AB305)&amp;"",IF($Z305="A",INDEX(Fixed_Assets!$C$2:$C$201,$AB305)&amp;"",IF($Z305="F",INDEX(Workforce!$B$2:$B$151,MATCH(INDEX(FTE_Allocation!$A$2:$A$201,$AB305),Workforce!$A$2:$A$151,0))&amp;"","")))</f>
        <v/>
      </c>
      <c r="C305" s="7">
        <f>IF($Z305="C",INDEX(Contracts!$E$2:$E$151,$AB305)&amp;"",IF($Z305="A",INDEX(Fixed_Assets!$D$2:$D$201,$AB305)&amp;"",IF($Z305="F",INDEX(FTE_Allocation!$C$2:$C$201,$AB305)&amp;"","")))</f>
        <v/>
      </c>
      <c r="D305" s="7">
        <f>IF($Z305="C",INDEX(Contracts!$B$2:$B$151,$AB305)&amp;"",IF($Z305="A",INDEX(Fixed_Assets!$B$2:$B$201,$AB305)&amp;"",IF($Z305="F",INDEX(FTE_Allocation!$B$2:$B$201,$AB305)&amp;"","")))</f>
        <v/>
      </c>
      <c r="E305" s="7">
        <f>IF($Z305="C",INDEX(Contracts!$P$2:$P$151,$AB305)&amp;"",IF($Z305="A",INDEX(Fixed_Assets!$K$2:$K$201,$AB305)&amp;"",IF($Z305="F",IF(INDEX(FTE_Allocation!$D$2:$D$201,$AB305)="PROJECT",IFERROR(INDEX(Projects!$D:$D,MATCH(INDEX(FTE_Allocation!$E$2:$E$201,$AB305),Projects!$A:$A,0))&amp;"","#PROJECT?"),INDEX(FTE_Allocation!$E$2:$E$201,$AB305)&amp;""),"")))</f>
        <v/>
      </c>
      <c r="F305" s="7">
        <f>IF($Z305="C",INDEX(Contracts!$Q$2:$Q$151,$AB305)&amp;"",IF($Z305="A",INDEX(Fixed_Assets!$L$2:$L$201,$AB305)&amp;"",IF($Z305="F",INDEX(Workforce!$K$2:$K$151,MATCH(INDEX(FTE_Allocation!$A$2:$A$201,$AB305),Workforce!$A$2:$A$151,0))&amp;"","")))</f>
        <v/>
      </c>
      <c r="G305" s="7">
        <f>IF($Z305="C",INDEX(Contracts!$F$2:$F$151,$AB305)&amp;" / "&amp;INDEX(Contracts!$G$2:$G$151,$AB305),IF($Z305="A",INDEX(Fixed_Assets!$E$2:$E$201,$AB305)&amp;"",IF($Z305="F","Personnel "&amp;INDEX(FTE_Allocation!$A$2:$A$201,$AB305)&amp;IF(INDEX(FTE_Allocation!$D$2:$D$201,$AB305)="PROJECT"," ("&amp;INDEX(FTE_Allocation!$E$2:$E$201,$AB305)&amp;")",""),"")))</f>
        <v/>
      </c>
      <c r="H305" s="7">
        <f>IF($Z305="C","CONTRACT",IF($Z305="A","ASSET",IF($Z305="F","WORKFORCE","")))</f>
        <v/>
      </c>
      <c r="I305" s="7">
        <f>IF($Z305="C",INDEX(Contracts!$L$2:$L$151,$AB305)&amp;"",IF($Z305="A",INDEX(Fixed_Assets!$I$2:$I$201,$AB305)&amp;"",IF($Z305="F",INDEX(Workforce!$G$2:$G$151,MATCH(INDEX(FTE_Allocation!$A$2:$A$201,$AB305),Workforce!$A$2:$A$151,0))&amp;"","")))</f>
        <v/>
      </c>
      <c r="J305" s="18">
        <f>IF($Z305="","",IF(AND(DATE($AD305,1,1)&gt;=$AE305,DATE($AD305,1,1)&lt;=$AF305),ROUND($AG305,2),0))</f>
        <v/>
      </c>
      <c r="K305" s="18">
        <f>IF($Z305="","",IF(AND(DATE($AD305,2,1)&gt;=$AE305,DATE($AD305,2,1)&lt;=$AF305),ROUND($AG305,2),0))</f>
        <v/>
      </c>
      <c r="L305" s="18">
        <f>IF($Z305="","",IF(AND(DATE($AD305,3,1)&gt;=$AE305,DATE($AD305,3,1)&lt;=$AF305),ROUND($AG305,2),0))</f>
        <v/>
      </c>
      <c r="M305" s="18">
        <f>IF($Z305="","",IF(AND(DATE($AD305,4,1)&gt;=$AE305,DATE($AD305,4,1)&lt;=$AF305),ROUND($AG305,2),0))</f>
        <v/>
      </c>
      <c r="N305" s="18">
        <f>IF($Z305="","",IF(AND(DATE($AD305,5,1)&gt;=$AE305,DATE($AD305,5,1)&lt;=$AF305),ROUND($AG305,2),0))</f>
        <v/>
      </c>
      <c r="O305" s="18">
        <f>IF($Z305="","",IF(AND(DATE($AD305,6,1)&gt;=$AE305,DATE($AD305,6,1)&lt;=$AF305),ROUND($AG305,2),0))</f>
        <v/>
      </c>
      <c r="P305" s="18">
        <f>IF($Z305="","",IF(AND(DATE($AD305,7,1)&gt;=$AE305,DATE($AD305,7,1)&lt;=$AF305),ROUND($AG305,2),0))</f>
        <v/>
      </c>
      <c r="Q305" s="18">
        <f>IF($Z305="","",IF(AND(DATE($AD305,8,1)&gt;=$AE305,DATE($AD305,8,1)&lt;=$AF305),ROUND($AG305,2),0))</f>
        <v/>
      </c>
      <c r="R305" s="18">
        <f>IF($Z305="","",IF(AND(DATE($AD305,9,1)&gt;=$AE305,DATE($AD305,9,1)&lt;=$AF305),ROUND($AG305,2),0))</f>
        <v/>
      </c>
      <c r="S305" s="18">
        <f>IF($Z305="","",IF(AND(DATE($AD305,10,1)&gt;=$AE305,DATE($AD305,10,1)&lt;=$AF305),ROUND($AG305,2),0))</f>
        <v/>
      </c>
      <c r="T305" s="18">
        <f>IF($Z305="","",IF(AND(DATE($AD305,11,1)&gt;=$AE305,DATE($AD305,11,1)&lt;=$AF305),ROUND($AG305,2),0))</f>
        <v/>
      </c>
      <c r="U305" s="18">
        <f>IF($Z305="","",IF(AND(DATE($AD305,12,1)&gt;=$AE305,DATE($AD305,12,1)&lt;=$AF305),ROUND($AG305,2),0))</f>
        <v/>
      </c>
      <c r="V305" s="7">
        <f>IF($Z305="C","Generated from "&amp;INDEX(Contracts!$A$2:$A$151,$AB305),IF($Z305="A","Generated from "&amp;INDEX(Fixed_Assets!$A$2:$A$201,$AB305),IF($Z305="F","Generated from "&amp;INDEX(FTE_Allocation!$A$2:$A$201,$AB305),"")))</f>
        <v/>
      </c>
      <c r="X305" s="19">
        <f>IF($Z305="","",SUM(J305:U305))</f>
        <v/>
      </c>
      <c r="Y305" s="20">
        <f>ROW()-1</f>
        <v/>
      </c>
      <c r="Z305" s="20">
        <f>IF($Y305&lt;=Settings!$B$4*3,"C",IF($Y305&lt;=(Settings!$B$4+Settings!$B$5)*3,"A",IF($Y305&lt;=(Settings!$B$4+Settings!$B$5+Settings!$B$6)*3,"F","")))</f>
        <v/>
      </c>
      <c r="AA305" s="20">
        <f>IF($Z305="C",$Y305,IF($Z305="A",$Y305-Settings!$B$4*3,IF($Z305="F",$Y305-(Settings!$B$4+Settings!$B$5)*3,"")))</f>
        <v/>
      </c>
      <c r="AB305" s="20">
        <f>IF($Z305="","",INT(($AA305-1)/3)+1)</f>
        <v/>
      </c>
      <c r="AC305" s="20">
        <f>IF($Z305="","",MOD($AA305-1,3)+1)</f>
        <v/>
      </c>
      <c r="AD305" s="20">
        <f>IF($Z305="","",Settings!$B$2+$AC305-1)</f>
        <v/>
      </c>
      <c r="AE305" s="21">
        <f>IF($Z305="C",DATE(YEAR(INDEX(Contracts!$J$2:$J$151,$AB305)),MONTH(INDEX(Contracts!$J$2:$J$151,$AB305)),1),IF($Z305="A",DATE(YEAR(INDEX(Fixed_Assets!$G$2:$G$201,$AB305)),MONTH(INDEX(Fixed_Assets!$G$2:$G$201,$AB305)),1),IF($Z305="F",DATE(YEAR(MAX(N(INDEX(Workforce!$I$2:$I$151,MATCH(INDEX(FTE_Allocation!$A$2:$A$201,$AB305),Workforce!$A$2:$A$151,0))),N(INDEX(FTE_Allocation!$I$2:$I$201,$AB305)))),MONTH(MAX(N(INDEX(Workforce!$I$2:$I$151,MATCH(INDEX(FTE_Allocation!$A$2:$A$201,$AB305),Workforce!$A$2:$A$151,0))),N(INDEX(FTE_Allocation!$I$2:$I$201,$AB305)))),1),"")))</f>
        <v/>
      </c>
      <c r="AF305" s="21">
        <f>IF($Z305="C",IF(INDEX(Contracts!$I$2:$I$151,$AB305)="PREPAID",EDATE(DATE(YEAR(INDEX(Contracts!$J$2:$J$151,$AB305)),MONTH(INDEX(Contracts!$J$2:$J$151,$AB305)),1),IF(INDEX(Contracts!$N$2:$N$151,$AB305)="",12,INDEX(Contracts!$N$2:$N$151,$AB305))-1),IF(INDEX(Contracts!$I$2:$I$151,$AB305)="MONTHLY",IF(INDEX(Contracts!$K$2:$K$151,$AB305)="",2958101,INDEX(Contracts!$K$2:$K$151,$AB305)),0)),IF($Z305="A",EDATE(DATE(YEAR(INDEX(Fixed_Assets!$G$2:$G$201,$AB305)),MONTH(INDEX(Fixed_Assets!$G$2:$G$201,$AB305)),1),INDEX(Fixed_Assets!$J$2:$J$201,$AB305)-1),IF($Z305="F",MIN(IF(INDEX(Workforce!$J$2:$J$151,MATCH(INDEX(FTE_Allocation!$A$2:$A$201,$AB305),Workforce!$A$2:$A$151,0))="",2958101,INDEX(Workforce!$J$2:$J$151,MATCH(INDEX(FTE_Allocation!$A$2:$A$201,$AB305),Workforce!$A$2:$A$151,0))),IF(INDEX(FTE_Allocation!$J$2:$J$201,$AB305)="",2958101,INDEX(FTE_Allocation!$J$2:$J$201,$AB305))),"")))</f>
        <v/>
      </c>
      <c r="AG305" s="19">
        <f>IF($Z305="C",IF(INDEX(Contracts!$I$2:$I$151,$AB305)="PREPAID",INDEX(Contracts!$M$2:$M$151,$AB305)/IF(INDEX(Contracts!$N$2:$N$151,$AB305)="",12,INDEX(Contracts!$N$2:$N$151,$AB305)),IF(INDEX(Contracts!$I$2:$I$151,$AB305)="MONTHLY",INDEX(Contracts!$M$2:$M$151,$AB305),0))*(1-N(INDEX(Contracts!$O$2:$O$151,$AB305))),IF($Z305="A",INDEX(Fixed_Assets!$H$2:$H$201,$AB305)/INDEX(Fixed_Assets!$J$2:$J$201,$AB305),IF($Z305="F",INDEX(Workforce!$F$2:$F$151,MATCH(INDEX(FTE_Allocation!$A$2:$A$201,$AB305),Workforce!$A$2:$A$151,0))*N(INDEX(FTE_Allocation!$F$2:$H$201,$AB305,$AC305)),"")))</f>
        <v/>
      </c>
    </row>
    <row r="306">
      <c r="A306" s="7">
        <f>IF($Z306="","",$AD306)</f>
        <v/>
      </c>
      <c r="B306" s="7">
        <f>IF($Z306="C",INDEX(Contracts!$D$2:$D$151,$AB306)&amp;"",IF($Z306="A",INDEX(Fixed_Assets!$C$2:$C$201,$AB306)&amp;"",IF($Z306="F",INDEX(Workforce!$B$2:$B$151,MATCH(INDEX(FTE_Allocation!$A$2:$A$201,$AB306),Workforce!$A$2:$A$151,0))&amp;"","")))</f>
        <v/>
      </c>
      <c r="C306" s="7">
        <f>IF($Z306="C",INDEX(Contracts!$E$2:$E$151,$AB306)&amp;"",IF($Z306="A",INDEX(Fixed_Assets!$D$2:$D$201,$AB306)&amp;"",IF($Z306="F",INDEX(FTE_Allocation!$C$2:$C$201,$AB306)&amp;"","")))</f>
        <v/>
      </c>
      <c r="D306" s="7">
        <f>IF($Z306="C",INDEX(Contracts!$B$2:$B$151,$AB306)&amp;"",IF($Z306="A",INDEX(Fixed_Assets!$B$2:$B$201,$AB306)&amp;"",IF($Z306="F",INDEX(FTE_Allocation!$B$2:$B$201,$AB306)&amp;"","")))</f>
        <v/>
      </c>
      <c r="E306" s="7">
        <f>IF($Z306="C",INDEX(Contracts!$P$2:$P$151,$AB306)&amp;"",IF($Z306="A",INDEX(Fixed_Assets!$K$2:$K$201,$AB306)&amp;"",IF($Z306="F",IF(INDEX(FTE_Allocation!$D$2:$D$201,$AB306)="PROJECT",IFERROR(INDEX(Projects!$D:$D,MATCH(INDEX(FTE_Allocation!$E$2:$E$201,$AB306),Projects!$A:$A,0))&amp;"","#PROJECT?"),INDEX(FTE_Allocation!$E$2:$E$201,$AB306)&amp;""),"")))</f>
        <v/>
      </c>
      <c r="F306" s="7">
        <f>IF($Z306="C",INDEX(Contracts!$Q$2:$Q$151,$AB306)&amp;"",IF($Z306="A",INDEX(Fixed_Assets!$L$2:$L$201,$AB306)&amp;"",IF($Z306="F",INDEX(Workforce!$K$2:$K$151,MATCH(INDEX(FTE_Allocation!$A$2:$A$201,$AB306),Workforce!$A$2:$A$151,0))&amp;"","")))</f>
        <v/>
      </c>
      <c r="G306" s="7">
        <f>IF($Z306="C",INDEX(Contracts!$F$2:$F$151,$AB306)&amp;" / "&amp;INDEX(Contracts!$G$2:$G$151,$AB306),IF($Z306="A",INDEX(Fixed_Assets!$E$2:$E$201,$AB306)&amp;"",IF($Z306="F","Personnel "&amp;INDEX(FTE_Allocation!$A$2:$A$201,$AB306)&amp;IF(INDEX(FTE_Allocation!$D$2:$D$201,$AB306)="PROJECT"," ("&amp;INDEX(FTE_Allocation!$E$2:$E$201,$AB306)&amp;")",""),"")))</f>
        <v/>
      </c>
      <c r="H306" s="7">
        <f>IF($Z306="C","CONTRACT",IF($Z306="A","ASSET",IF($Z306="F","WORKFORCE","")))</f>
        <v/>
      </c>
      <c r="I306" s="7">
        <f>IF($Z306="C",INDEX(Contracts!$L$2:$L$151,$AB306)&amp;"",IF($Z306="A",INDEX(Fixed_Assets!$I$2:$I$201,$AB306)&amp;"",IF($Z306="F",INDEX(Workforce!$G$2:$G$151,MATCH(INDEX(FTE_Allocation!$A$2:$A$201,$AB306),Workforce!$A$2:$A$151,0))&amp;"","")))</f>
        <v/>
      </c>
      <c r="J306" s="18">
        <f>IF($Z306="","",IF(AND(DATE($AD306,1,1)&gt;=$AE306,DATE($AD306,1,1)&lt;=$AF306),ROUND($AG306,2),0))</f>
        <v/>
      </c>
      <c r="K306" s="18">
        <f>IF($Z306="","",IF(AND(DATE($AD306,2,1)&gt;=$AE306,DATE($AD306,2,1)&lt;=$AF306),ROUND($AG306,2),0))</f>
        <v/>
      </c>
      <c r="L306" s="18">
        <f>IF($Z306="","",IF(AND(DATE($AD306,3,1)&gt;=$AE306,DATE($AD306,3,1)&lt;=$AF306),ROUND($AG306,2),0))</f>
        <v/>
      </c>
      <c r="M306" s="18">
        <f>IF($Z306="","",IF(AND(DATE($AD306,4,1)&gt;=$AE306,DATE($AD306,4,1)&lt;=$AF306),ROUND($AG306,2),0))</f>
        <v/>
      </c>
      <c r="N306" s="18">
        <f>IF($Z306="","",IF(AND(DATE($AD306,5,1)&gt;=$AE306,DATE($AD306,5,1)&lt;=$AF306),ROUND($AG306,2),0))</f>
        <v/>
      </c>
      <c r="O306" s="18">
        <f>IF($Z306="","",IF(AND(DATE($AD306,6,1)&gt;=$AE306,DATE($AD306,6,1)&lt;=$AF306),ROUND($AG306,2),0))</f>
        <v/>
      </c>
      <c r="P306" s="18">
        <f>IF($Z306="","",IF(AND(DATE($AD306,7,1)&gt;=$AE306,DATE($AD306,7,1)&lt;=$AF306),ROUND($AG306,2),0))</f>
        <v/>
      </c>
      <c r="Q306" s="18">
        <f>IF($Z306="","",IF(AND(DATE($AD306,8,1)&gt;=$AE306,DATE($AD306,8,1)&lt;=$AF306),ROUND($AG306,2),0))</f>
        <v/>
      </c>
      <c r="R306" s="18">
        <f>IF($Z306="","",IF(AND(DATE($AD306,9,1)&gt;=$AE306,DATE($AD306,9,1)&lt;=$AF306),ROUND($AG306,2),0))</f>
        <v/>
      </c>
      <c r="S306" s="18">
        <f>IF($Z306="","",IF(AND(DATE($AD306,10,1)&gt;=$AE306,DATE($AD306,10,1)&lt;=$AF306),ROUND($AG306,2),0))</f>
        <v/>
      </c>
      <c r="T306" s="18">
        <f>IF($Z306="","",IF(AND(DATE($AD306,11,1)&gt;=$AE306,DATE($AD306,11,1)&lt;=$AF306),ROUND($AG306,2),0))</f>
        <v/>
      </c>
      <c r="U306" s="18">
        <f>IF($Z306="","",IF(AND(DATE($AD306,12,1)&gt;=$AE306,DATE($AD306,12,1)&lt;=$AF306),ROUND($AG306,2),0))</f>
        <v/>
      </c>
      <c r="V306" s="7">
        <f>IF($Z306="C","Generated from "&amp;INDEX(Contracts!$A$2:$A$151,$AB306),IF($Z306="A","Generated from "&amp;INDEX(Fixed_Assets!$A$2:$A$201,$AB306),IF($Z306="F","Generated from "&amp;INDEX(FTE_Allocation!$A$2:$A$201,$AB306),"")))</f>
        <v/>
      </c>
      <c r="X306" s="19">
        <f>IF($Z306="","",SUM(J306:U306))</f>
        <v/>
      </c>
      <c r="Y306" s="20">
        <f>ROW()-1</f>
        <v/>
      </c>
      <c r="Z306" s="20">
        <f>IF($Y306&lt;=Settings!$B$4*3,"C",IF($Y306&lt;=(Settings!$B$4+Settings!$B$5)*3,"A",IF($Y306&lt;=(Settings!$B$4+Settings!$B$5+Settings!$B$6)*3,"F","")))</f>
        <v/>
      </c>
      <c r="AA306" s="20">
        <f>IF($Z306="C",$Y306,IF($Z306="A",$Y306-Settings!$B$4*3,IF($Z306="F",$Y306-(Settings!$B$4+Settings!$B$5)*3,"")))</f>
        <v/>
      </c>
      <c r="AB306" s="20">
        <f>IF($Z306="","",INT(($AA306-1)/3)+1)</f>
        <v/>
      </c>
      <c r="AC306" s="20">
        <f>IF($Z306="","",MOD($AA306-1,3)+1)</f>
        <v/>
      </c>
      <c r="AD306" s="20">
        <f>IF($Z306="","",Settings!$B$2+$AC306-1)</f>
        <v/>
      </c>
      <c r="AE306" s="21">
        <f>IF($Z306="C",DATE(YEAR(INDEX(Contracts!$J$2:$J$151,$AB306)),MONTH(INDEX(Contracts!$J$2:$J$151,$AB306)),1),IF($Z306="A",DATE(YEAR(INDEX(Fixed_Assets!$G$2:$G$201,$AB306)),MONTH(INDEX(Fixed_Assets!$G$2:$G$201,$AB306)),1),IF($Z306="F",DATE(YEAR(MAX(N(INDEX(Workforce!$I$2:$I$151,MATCH(INDEX(FTE_Allocation!$A$2:$A$201,$AB306),Workforce!$A$2:$A$151,0))),N(INDEX(FTE_Allocation!$I$2:$I$201,$AB306)))),MONTH(MAX(N(INDEX(Workforce!$I$2:$I$151,MATCH(INDEX(FTE_Allocation!$A$2:$A$201,$AB306),Workforce!$A$2:$A$151,0))),N(INDEX(FTE_Allocation!$I$2:$I$201,$AB306)))),1),"")))</f>
        <v/>
      </c>
      <c r="AF306" s="21">
        <f>IF($Z306="C",IF(INDEX(Contracts!$I$2:$I$151,$AB306)="PREPAID",EDATE(DATE(YEAR(INDEX(Contracts!$J$2:$J$151,$AB306)),MONTH(INDEX(Contracts!$J$2:$J$151,$AB306)),1),IF(INDEX(Contracts!$N$2:$N$151,$AB306)="",12,INDEX(Contracts!$N$2:$N$151,$AB306))-1),IF(INDEX(Contracts!$I$2:$I$151,$AB306)="MONTHLY",IF(INDEX(Contracts!$K$2:$K$151,$AB306)="",2958101,INDEX(Contracts!$K$2:$K$151,$AB306)),0)),IF($Z306="A",EDATE(DATE(YEAR(INDEX(Fixed_Assets!$G$2:$G$201,$AB306)),MONTH(INDEX(Fixed_Assets!$G$2:$G$201,$AB306)),1),INDEX(Fixed_Assets!$J$2:$J$201,$AB306)-1),IF($Z306="F",MIN(IF(INDEX(Workforce!$J$2:$J$151,MATCH(INDEX(FTE_Allocation!$A$2:$A$201,$AB306),Workforce!$A$2:$A$151,0))="",2958101,INDEX(Workforce!$J$2:$J$151,MATCH(INDEX(FTE_Allocation!$A$2:$A$201,$AB306),Workforce!$A$2:$A$151,0))),IF(INDEX(FTE_Allocation!$J$2:$J$201,$AB306)="",2958101,INDEX(FTE_Allocation!$J$2:$J$201,$AB306))),"")))</f>
        <v/>
      </c>
      <c r="AG306" s="19">
        <f>IF($Z306="C",IF(INDEX(Contracts!$I$2:$I$151,$AB306)="PREPAID",INDEX(Contracts!$M$2:$M$151,$AB306)/IF(INDEX(Contracts!$N$2:$N$151,$AB306)="",12,INDEX(Contracts!$N$2:$N$151,$AB306)),IF(INDEX(Contracts!$I$2:$I$151,$AB306)="MONTHLY",INDEX(Contracts!$M$2:$M$151,$AB306),0))*(1-N(INDEX(Contracts!$O$2:$O$151,$AB306))),IF($Z306="A",INDEX(Fixed_Assets!$H$2:$H$201,$AB306)/INDEX(Fixed_Assets!$J$2:$J$201,$AB306),IF($Z306="F",INDEX(Workforce!$F$2:$F$151,MATCH(INDEX(FTE_Allocation!$A$2:$A$201,$AB306),Workforce!$A$2:$A$151,0))*N(INDEX(FTE_Allocation!$F$2:$H$201,$AB306,$AC306)),"")))</f>
        <v/>
      </c>
    </row>
    <row r="307">
      <c r="A307" s="7">
        <f>IF($Z307="","",$AD307)</f>
        <v/>
      </c>
      <c r="B307" s="7">
        <f>IF($Z307="C",INDEX(Contracts!$D$2:$D$151,$AB307)&amp;"",IF($Z307="A",INDEX(Fixed_Assets!$C$2:$C$201,$AB307)&amp;"",IF($Z307="F",INDEX(Workforce!$B$2:$B$151,MATCH(INDEX(FTE_Allocation!$A$2:$A$201,$AB307),Workforce!$A$2:$A$151,0))&amp;"","")))</f>
        <v/>
      </c>
      <c r="C307" s="7">
        <f>IF($Z307="C",INDEX(Contracts!$E$2:$E$151,$AB307)&amp;"",IF($Z307="A",INDEX(Fixed_Assets!$D$2:$D$201,$AB307)&amp;"",IF($Z307="F",INDEX(FTE_Allocation!$C$2:$C$201,$AB307)&amp;"","")))</f>
        <v/>
      </c>
      <c r="D307" s="7">
        <f>IF($Z307="C",INDEX(Contracts!$B$2:$B$151,$AB307)&amp;"",IF($Z307="A",INDEX(Fixed_Assets!$B$2:$B$201,$AB307)&amp;"",IF($Z307="F",INDEX(FTE_Allocation!$B$2:$B$201,$AB307)&amp;"","")))</f>
        <v/>
      </c>
      <c r="E307" s="7">
        <f>IF($Z307="C",INDEX(Contracts!$P$2:$P$151,$AB307)&amp;"",IF($Z307="A",INDEX(Fixed_Assets!$K$2:$K$201,$AB307)&amp;"",IF($Z307="F",IF(INDEX(FTE_Allocation!$D$2:$D$201,$AB307)="PROJECT",IFERROR(INDEX(Projects!$D:$D,MATCH(INDEX(FTE_Allocation!$E$2:$E$201,$AB307),Projects!$A:$A,0))&amp;"","#PROJECT?"),INDEX(FTE_Allocation!$E$2:$E$201,$AB307)&amp;""),"")))</f>
        <v/>
      </c>
      <c r="F307" s="7">
        <f>IF($Z307="C",INDEX(Contracts!$Q$2:$Q$151,$AB307)&amp;"",IF($Z307="A",INDEX(Fixed_Assets!$L$2:$L$201,$AB307)&amp;"",IF($Z307="F",INDEX(Workforce!$K$2:$K$151,MATCH(INDEX(FTE_Allocation!$A$2:$A$201,$AB307),Workforce!$A$2:$A$151,0))&amp;"","")))</f>
        <v/>
      </c>
      <c r="G307" s="7">
        <f>IF($Z307="C",INDEX(Contracts!$F$2:$F$151,$AB307)&amp;" / "&amp;INDEX(Contracts!$G$2:$G$151,$AB307),IF($Z307="A",INDEX(Fixed_Assets!$E$2:$E$201,$AB307)&amp;"",IF($Z307="F","Personnel "&amp;INDEX(FTE_Allocation!$A$2:$A$201,$AB307)&amp;IF(INDEX(FTE_Allocation!$D$2:$D$201,$AB307)="PROJECT"," ("&amp;INDEX(FTE_Allocation!$E$2:$E$201,$AB307)&amp;")",""),"")))</f>
        <v/>
      </c>
      <c r="H307" s="7">
        <f>IF($Z307="C","CONTRACT",IF($Z307="A","ASSET",IF($Z307="F","WORKFORCE","")))</f>
        <v/>
      </c>
      <c r="I307" s="7">
        <f>IF($Z307="C",INDEX(Contracts!$L$2:$L$151,$AB307)&amp;"",IF($Z307="A",INDEX(Fixed_Assets!$I$2:$I$201,$AB307)&amp;"",IF($Z307="F",INDEX(Workforce!$G$2:$G$151,MATCH(INDEX(FTE_Allocation!$A$2:$A$201,$AB307),Workforce!$A$2:$A$151,0))&amp;"","")))</f>
        <v/>
      </c>
      <c r="J307" s="18">
        <f>IF($Z307="","",IF(AND(DATE($AD307,1,1)&gt;=$AE307,DATE($AD307,1,1)&lt;=$AF307),ROUND($AG307,2),0))</f>
        <v/>
      </c>
      <c r="K307" s="18">
        <f>IF($Z307="","",IF(AND(DATE($AD307,2,1)&gt;=$AE307,DATE($AD307,2,1)&lt;=$AF307),ROUND($AG307,2),0))</f>
        <v/>
      </c>
      <c r="L307" s="18">
        <f>IF($Z307="","",IF(AND(DATE($AD307,3,1)&gt;=$AE307,DATE($AD307,3,1)&lt;=$AF307),ROUND($AG307,2),0))</f>
        <v/>
      </c>
      <c r="M307" s="18">
        <f>IF($Z307="","",IF(AND(DATE($AD307,4,1)&gt;=$AE307,DATE($AD307,4,1)&lt;=$AF307),ROUND($AG307,2),0))</f>
        <v/>
      </c>
      <c r="N307" s="18">
        <f>IF($Z307="","",IF(AND(DATE($AD307,5,1)&gt;=$AE307,DATE($AD307,5,1)&lt;=$AF307),ROUND($AG307,2),0))</f>
        <v/>
      </c>
      <c r="O307" s="18">
        <f>IF($Z307="","",IF(AND(DATE($AD307,6,1)&gt;=$AE307,DATE($AD307,6,1)&lt;=$AF307),ROUND($AG307,2),0))</f>
        <v/>
      </c>
      <c r="P307" s="18">
        <f>IF($Z307="","",IF(AND(DATE($AD307,7,1)&gt;=$AE307,DATE($AD307,7,1)&lt;=$AF307),ROUND($AG307,2),0))</f>
        <v/>
      </c>
      <c r="Q307" s="18">
        <f>IF($Z307="","",IF(AND(DATE($AD307,8,1)&gt;=$AE307,DATE($AD307,8,1)&lt;=$AF307),ROUND($AG307,2),0))</f>
        <v/>
      </c>
      <c r="R307" s="18">
        <f>IF($Z307="","",IF(AND(DATE($AD307,9,1)&gt;=$AE307,DATE($AD307,9,1)&lt;=$AF307),ROUND($AG307,2),0))</f>
        <v/>
      </c>
      <c r="S307" s="18">
        <f>IF($Z307="","",IF(AND(DATE($AD307,10,1)&gt;=$AE307,DATE($AD307,10,1)&lt;=$AF307),ROUND($AG307,2),0))</f>
        <v/>
      </c>
      <c r="T307" s="18">
        <f>IF($Z307="","",IF(AND(DATE($AD307,11,1)&gt;=$AE307,DATE($AD307,11,1)&lt;=$AF307),ROUND($AG307,2),0))</f>
        <v/>
      </c>
      <c r="U307" s="18">
        <f>IF($Z307="","",IF(AND(DATE($AD307,12,1)&gt;=$AE307,DATE($AD307,12,1)&lt;=$AF307),ROUND($AG307,2),0))</f>
        <v/>
      </c>
      <c r="V307" s="7">
        <f>IF($Z307="C","Generated from "&amp;INDEX(Contracts!$A$2:$A$151,$AB307),IF($Z307="A","Generated from "&amp;INDEX(Fixed_Assets!$A$2:$A$201,$AB307),IF($Z307="F","Generated from "&amp;INDEX(FTE_Allocation!$A$2:$A$201,$AB307),"")))</f>
        <v/>
      </c>
      <c r="X307" s="19">
        <f>IF($Z307="","",SUM(J307:U307))</f>
        <v/>
      </c>
      <c r="Y307" s="20">
        <f>ROW()-1</f>
        <v/>
      </c>
      <c r="Z307" s="20">
        <f>IF($Y307&lt;=Settings!$B$4*3,"C",IF($Y307&lt;=(Settings!$B$4+Settings!$B$5)*3,"A",IF($Y307&lt;=(Settings!$B$4+Settings!$B$5+Settings!$B$6)*3,"F","")))</f>
        <v/>
      </c>
      <c r="AA307" s="20">
        <f>IF($Z307="C",$Y307,IF($Z307="A",$Y307-Settings!$B$4*3,IF($Z307="F",$Y307-(Settings!$B$4+Settings!$B$5)*3,"")))</f>
        <v/>
      </c>
      <c r="AB307" s="20">
        <f>IF($Z307="","",INT(($AA307-1)/3)+1)</f>
        <v/>
      </c>
      <c r="AC307" s="20">
        <f>IF($Z307="","",MOD($AA307-1,3)+1)</f>
        <v/>
      </c>
      <c r="AD307" s="20">
        <f>IF($Z307="","",Settings!$B$2+$AC307-1)</f>
        <v/>
      </c>
      <c r="AE307" s="21">
        <f>IF($Z307="C",DATE(YEAR(INDEX(Contracts!$J$2:$J$151,$AB307)),MONTH(INDEX(Contracts!$J$2:$J$151,$AB307)),1),IF($Z307="A",DATE(YEAR(INDEX(Fixed_Assets!$G$2:$G$201,$AB307)),MONTH(INDEX(Fixed_Assets!$G$2:$G$201,$AB307)),1),IF($Z307="F",DATE(YEAR(MAX(N(INDEX(Workforce!$I$2:$I$151,MATCH(INDEX(FTE_Allocation!$A$2:$A$201,$AB307),Workforce!$A$2:$A$151,0))),N(INDEX(FTE_Allocation!$I$2:$I$201,$AB307)))),MONTH(MAX(N(INDEX(Workforce!$I$2:$I$151,MATCH(INDEX(FTE_Allocation!$A$2:$A$201,$AB307),Workforce!$A$2:$A$151,0))),N(INDEX(FTE_Allocation!$I$2:$I$201,$AB307)))),1),"")))</f>
        <v/>
      </c>
      <c r="AF307" s="21">
        <f>IF($Z307="C",IF(INDEX(Contracts!$I$2:$I$151,$AB307)="PREPAID",EDATE(DATE(YEAR(INDEX(Contracts!$J$2:$J$151,$AB307)),MONTH(INDEX(Contracts!$J$2:$J$151,$AB307)),1),IF(INDEX(Contracts!$N$2:$N$151,$AB307)="",12,INDEX(Contracts!$N$2:$N$151,$AB307))-1),IF(INDEX(Contracts!$I$2:$I$151,$AB307)="MONTHLY",IF(INDEX(Contracts!$K$2:$K$151,$AB307)="",2958101,INDEX(Contracts!$K$2:$K$151,$AB307)),0)),IF($Z307="A",EDATE(DATE(YEAR(INDEX(Fixed_Assets!$G$2:$G$201,$AB307)),MONTH(INDEX(Fixed_Assets!$G$2:$G$201,$AB307)),1),INDEX(Fixed_Assets!$J$2:$J$201,$AB307)-1),IF($Z307="F",MIN(IF(INDEX(Workforce!$J$2:$J$151,MATCH(INDEX(FTE_Allocation!$A$2:$A$201,$AB307),Workforce!$A$2:$A$151,0))="",2958101,INDEX(Workforce!$J$2:$J$151,MATCH(INDEX(FTE_Allocation!$A$2:$A$201,$AB307),Workforce!$A$2:$A$151,0))),IF(INDEX(FTE_Allocation!$J$2:$J$201,$AB307)="",2958101,INDEX(FTE_Allocation!$J$2:$J$201,$AB307))),"")))</f>
        <v/>
      </c>
      <c r="AG307" s="19">
        <f>IF($Z307="C",IF(INDEX(Contracts!$I$2:$I$151,$AB307)="PREPAID",INDEX(Contracts!$M$2:$M$151,$AB307)/IF(INDEX(Contracts!$N$2:$N$151,$AB307)="",12,INDEX(Contracts!$N$2:$N$151,$AB307)),IF(INDEX(Contracts!$I$2:$I$151,$AB307)="MONTHLY",INDEX(Contracts!$M$2:$M$151,$AB307),0))*(1-N(INDEX(Contracts!$O$2:$O$151,$AB307))),IF($Z307="A",INDEX(Fixed_Assets!$H$2:$H$201,$AB307)/INDEX(Fixed_Assets!$J$2:$J$201,$AB307),IF($Z307="F",INDEX(Workforce!$F$2:$F$151,MATCH(INDEX(FTE_Allocation!$A$2:$A$201,$AB307),Workforce!$A$2:$A$151,0))*N(INDEX(FTE_Allocation!$F$2:$H$201,$AB307,$AC307)),"")))</f>
        <v/>
      </c>
    </row>
    <row r="308">
      <c r="A308" s="7">
        <f>IF($Z308="","",$AD308)</f>
        <v/>
      </c>
      <c r="B308" s="7">
        <f>IF($Z308="C",INDEX(Contracts!$D$2:$D$151,$AB308)&amp;"",IF($Z308="A",INDEX(Fixed_Assets!$C$2:$C$201,$AB308)&amp;"",IF($Z308="F",INDEX(Workforce!$B$2:$B$151,MATCH(INDEX(FTE_Allocation!$A$2:$A$201,$AB308),Workforce!$A$2:$A$151,0))&amp;"","")))</f>
        <v/>
      </c>
      <c r="C308" s="7">
        <f>IF($Z308="C",INDEX(Contracts!$E$2:$E$151,$AB308)&amp;"",IF($Z308="A",INDEX(Fixed_Assets!$D$2:$D$201,$AB308)&amp;"",IF($Z308="F",INDEX(FTE_Allocation!$C$2:$C$201,$AB308)&amp;"","")))</f>
        <v/>
      </c>
      <c r="D308" s="7">
        <f>IF($Z308="C",INDEX(Contracts!$B$2:$B$151,$AB308)&amp;"",IF($Z308="A",INDEX(Fixed_Assets!$B$2:$B$201,$AB308)&amp;"",IF($Z308="F",INDEX(FTE_Allocation!$B$2:$B$201,$AB308)&amp;"","")))</f>
        <v/>
      </c>
      <c r="E308" s="7">
        <f>IF($Z308="C",INDEX(Contracts!$P$2:$P$151,$AB308)&amp;"",IF($Z308="A",INDEX(Fixed_Assets!$K$2:$K$201,$AB308)&amp;"",IF($Z308="F",IF(INDEX(FTE_Allocation!$D$2:$D$201,$AB308)="PROJECT",IFERROR(INDEX(Projects!$D:$D,MATCH(INDEX(FTE_Allocation!$E$2:$E$201,$AB308),Projects!$A:$A,0))&amp;"","#PROJECT?"),INDEX(FTE_Allocation!$E$2:$E$201,$AB308)&amp;""),"")))</f>
        <v/>
      </c>
      <c r="F308" s="7">
        <f>IF($Z308="C",INDEX(Contracts!$Q$2:$Q$151,$AB308)&amp;"",IF($Z308="A",INDEX(Fixed_Assets!$L$2:$L$201,$AB308)&amp;"",IF($Z308="F",INDEX(Workforce!$K$2:$K$151,MATCH(INDEX(FTE_Allocation!$A$2:$A$201,$AB308),Workforce!$A$2:$A$151,0))&amp;"","")))</f>
        <v/>
      </c>
      <c r="G308" s="7">
        <f>IF($Z308="C",INDEX(Contracts!$F$2:$F$151,$AB308)&amp;" / "&amp;INDEX(Contracts!$G$2:$G$151,$AB308),IF($Z308="A",INDEX(Fixed_Assets!$E$2:$E$201,$AB308)&amp;"",IF($Z308="F","Personnel "&amp;INDEX(FTE_Allocation!$A$2:$A$201,$AB308)&amp;IF(INDEX(FTE_Allocation!$D$2:$D$201,$AB308)="PROJECT"," ("&amp;INDEX(FTE_Allocation!$E$2:$E$201,$AB308)&amp;")",""),"")))</f>
        <v/>
      </c>
      <c r="H308" s="7">
        <f>IF($Z308="C","CONTRACT",IF($Z308="A","ASSET",IF($Z308="F","WORKFORCE","")))</f>
        <v/>
      </c>
      <c r="I308" s="7">
        <f>IF($Z308="C",INDEX(Contracts!$L$2:$L$151,$AB308)&amp;"",IF($Z308="A",INDEX(Fixed_Assets!$I$2:$I$201,$AB308)&amp;"",IF($Z308="F",INDEX(Workforce!$G$2:$G$151,MATCH(INDEX(FTE_Allocation!$A$2:$A$201,$AB308),Workforce!$A$2:$A$151,0))&amp;"","")))</f>
        <v/>
      </c>
      <c r="J308" s="18">
        <f>IF($Z308="","",IF(AND(DATE($AD308,1,1)&gt;=$AE308,DATE($AD308,1,1)&lt;=$AF308),ROUND($AG308,2),0))</f>
        <v/>
      </c>
      <c r="K308" s="18">
        <f>IF($Z308="","",IF(AND(DATE($AD308,2,1)&gt;=$AE308,DATE($AD308,2,1)&lt;=$AF308),ROUND($AG308,2),0))</f>
        <v/>
      </c>
      <c r="L308" s="18">
        <f>IF($Z308="","",IF(AND(DATE($AD308,3,1)&gt;=$AE308,DATE($AD308,3,1)&lt;=$AF308),ROUND($AG308,2),0))</f>
        <v/>
      </c>
      <c r="M308" s="18">
        <f>IF($Z308="","",IF(AND(DATE($AD308,4,1)&gt;=$AE308,DATE($AD308,4,1)&lt;=$AF308),ROUND($AG308,2),0))</f>
        <v/>
      </c>
      <c r="N308" s="18">
        <f>IF($Z308="","",IF(AND(DATE($AD308,5,1)&gt;=$AE308,DATE($AD308,5,1)&lt;=$AF308),ROUND($AG308,2),0))</f>
        <v/>
      </c>
      <c r="O308" s="18">
        <f>IF($Z308="","",IF(AND(DATE($AD308,6,1)&gt;=$AE308,DATE($AD308,6,1)&lt;=$AF308),ROUND($AG308,2),0))</f>
        <v/>
      </c>
      <c r="P308" s="18">
        <f>IF($Z308="","",IF(AND(DATE($AD308,7,1)&gt;=$AE308,DATE($AD308,7,1)&lt;=$AF308),ROUND($AG308,2),0))</f>
        <v/>
      </c>
      <c r="Q308" s="18">
        <f>IF($Z308="","",IF(AND(DATE($AD308,8,1)&gt;=$AE308,DATE($AD308,8,1)&lt;=$AF308),ROUND($AG308,2),0))</f>
        <v/>
      </c>
      <c r="R308" s="18">
        <f>IF($Z308="","",IF(AND(DATE($AD308,9,1)&gt;=$AE308,DATE($AD308,9,1)&lt;=$AF308),ROUND($AG308,2),0))</f>
        <v/>
      </c>
      <c r="S308" s="18">
        <f>IF($Z308="","",IF(AND(DATE($AD308,10,1)&gt;=$AE308,DATE($AD308,10,1)&lt;=$AF308),ROUND($AG308,2),0))</f>
        <v/>
      </c>
      <c r="T308" s="18">
        <f>IF($Z308="","",IF(AND(DATE($AD308,11,1)&gt;=$AE308,DATE($AD308,11,1)&lt;=$AF308),ROUND($AG308,2),0))</f>
        <v/>
      </c>
      <c r="U308" s="18">
        <f>IF($Z308="","",IF(AND(DATE($AD308,12,1)&gt;=$AE308,DATE($AD308,12,1)&lt;=$AF308),ROUND($AG308,2),0))</f>
        <v/>
      </c>
      <c r="V308" s="7">
        <f>IF($Z308="C","Generated from "&amp;INDEX(Contracts!$A$2:$A$151,$AB308),IF($Z308="A","Generated from "&amp;INDEX(Fixed_Assets!$A$2:$A$201,$AB308),IF($Z308="F","Generated from "&amp;INDEX(FTE_Allocation!$A$2:$A$201,$AB308),"")))</f>
        <v/>
      </c>
      <c r="X308" s="19">
        <f>IF($Z308="","",SUM(J308:U308))</f>
        <v/>
      </c>
      <c r="Y308" s="20">
        <f>ROW()-1</f>
        <v/>
      </c>
      <c r="Z308" s="20">
        <f>IF($Y308&lt;=Settings!$B$4*3,"C",IF($Y308&lt;=(Settings!$B$4+Settings!$B$5)*3,"A",IF($Y308&lt;=(Settings!$B$4+Settings!$B$5+Settings!$B$6)*3,"F","")))</f>
        <v/>
      </c>
      <c r="AA308" s="20">
        <f>IF($Z308="C",$Y308,IF($Z308="A",$Y308-Settings!$B$4*3,IF($Z308="F",$Y308-(Settings!$B$4+Settings!$B$5)*3,"")))</f>
        <v/>
      </c>
      <c r="AB308" s="20">
        <f>IF($Z308="","",INT(($AA308-1)/3)+1)</f>
        <v/>
      </c>
      <c r="AC308" s="20">
        <f>IF($Z308="","",MOD($AA308-1,3)+1)</f>
        <v/>
      </c>
      <c r="AD308" s="20">
        <f>IF($Z308="","",Settings!$B$2+$AC308-1)</f>
        <v/>
      </c>
      <c r="AE308" s="21">
        <f>IF($Z308="C",DATE(YEAR(INDEX(Contracts!$J$2:$J$151,$AB308)),MONTH(INDEX(Contracts!$J$2:$J$151,$AB308)),1),IF($Z308="A",DATE(YEAR(INDEX(Fixed_Assets!$G$2:$G$201,$AB308)),MONTH(INDEX(Fixed_Assets!$G$2:$G$201,$AB308)),1),IF($Z308="F",DATE(YEAR(MAX(N(INDEX(Workforce!$I$2:$I$151,MATCH(INDEX(FTE_Allocation!$A$2:$A$201,$AB308),Workforce!$A$2:$A$151,0))),N(INDEX(FTE_Allocation!$I$2:$I$201,$AB308)))),MONTH(MAX(N(INDEX(Workforce!$I$2:$I$151,MATCH(INDEX(FTE_Allocation!$A$2:$A$201,$AB308),Workforce!$A$2:$A$151,0))),N(INDEX(FTE_Allocation!$I$2:$I$201,$AB308)))),1),"")))</f>
        <v/>
      </c>
      <c r="AF308" s="21">
        <f>IF($Z308="C",IF(INDEX(Contracts!$I$2:$I$151,$AB308)="PREPAID",EDATE(DATE(YEAR(INDEX(Contracts!$J$2:$J$151,$AB308)),MONTH(INDEX(Contracts!$J$2:$J$151,$AB308)),1),IF(INDEX(Contracts!$N$2:$N$151,$AB308)="",12,INDEX(Contracts!$N$2:$N$151,$AB308))-1),IF(INDEX(Contracts!$I$2:$I$151,$AB308)="MONTHLY",IF(INDEX(Contracts!$K$2:$K$151,$AB308)="",2958101,INDEX(Contracts!$K$2:$K$151,$AB308)),0)),IF($Z308="A",EDATE(DATE(YEAR(INDEX(Fixed_Assets!$G$2:$G$201,$AB308)),MONTH(INDEX(Fixed_Assets!$G$2:$G$201,$AB308)),1),INDEX(Fixed_Assets!$J$2:$J$201,$AB308)-1),IF($Z308="F",MIN(IF(INDEX(Workforce!$J$2:$J$151,MATCH(INDEX(FTE_Allocation!$A$2:$A$201,$AB308),Workforce!$A$2:$A$151,0))="",2958101,INDEX(Workforce!$J$2:$J$151,MATCH(INDEX(FTE_Allocation!$A$2:$A$201,$AB308),Workforce!$A$2:$A$151,0))),IF(INDEX(FTE_Allocation!$J$2:$J$201,$AB308)="",2958101,INDEX(FTE_Allocation!$J$2:$J$201,$AB308))),"")))</f>
        <v/>
      </c>
      <c r="AG308" s="19">
        <f>IF($Z308="C",IF(INDEX(Contracts!$I$2:$I$151,$AB308)="PREPAID",INDEX(Contracts!$M$2:$M$151,$AB308)/IF(INDEX(Contracts!$N$2:$N$151,$AB308)="",12,INDEX(Contracts!$N$2:$N$151,$AB308)),IF(INDEX(Contracts!$I$2:$I$151,$AB308)="MONTHLY",INDEX(Contracts!$M$2:$M$151,$AB308),0))*(1-N(INDEX(Contracts!$O$2:$O$151,$AB308))),IF($Z308="A",INDEX(Fixed_Assets!$H$2:$H$201,$AB308)/INDEX(Fixed_Assets!$J$2:$J$201,$AB308),IF($Z308="F",INDEX(Workforce!$F$2:$F$151,MATCH(INDEX(FTE_Allocation!$A$2:$A$201,$AB308),Workforce!$A$2:$A$151,0))*N(INDEX(FTE_Allocation!$F$2:$H$201,$AB308,$AC308)),"")))</f>
        <v/>
      </c>
    </row>
    <row r="309">
      <c r="A309" s="7">
        <f>IF($Z309="","",$AD309)</f>
        <v/>
      </c>
      <c r="B309" s="7">
        <f>IF($Z309="C",INDEX(Contracts!$D$2:$D$151,$AB309)&amp;"",IF($Z309="A",INDEX(Fixed_Assets!$C$2:$C$201,$AB309)&amp;"",IF($Z309="F",INDEX(Workforce!$B$2:$B$151,MATCH(INDEX(FTE_Allocation!$A$2:$A$201,$AB309),Workforce!$A$2:$A$151,0))&amp;"","")))</f>
        <v/>
      </c>
      <c r="C309" s="7">
        <f>IF($Z309="C",INDEX(Contracts!$E$2:$E$151,$AB309)&amp;"",IF($Z309="A",INDEX(Fixed_Assets!$D$2:$D$201,$AB309)&amp;"",IF($Z309="F",INDEX(FTE_Allocation!$C$2:$C$201,$AB309)&amp;"","")))</f>
        <v/>
      </c>
      <c r="D309" s="7">
        <f>IF($Z309="C",INDEX(Contracts!$B$2:$B$151,$AB309)&amp;"",IF($Z309="A",INDEX(Fixed_Assets!$B$2:$B$201,$AB309)&amp;"",IF($Z309="F",INDEX(FTE_Allocation!$B$2:$B$201,$AB309)&amp;"","")))</f>
        <v/>
      </c>
      <c r="E309" s="7">
        <f>IF($Z309="C",INDEX(Contracts!$P$2:$P$151,$AB309)&amp;"",IF($Z309="A",INDEX(Fixed_Assets!$K$2:$K$201,$AB309)&amp;"",IF($Z309="F",IF(INDEX(FTE_Allocation!$D$2:$D$201,$AB309)="PROJECT",IFERROR(INDEX(Projects!$D:$D,MATCH(INDEX(FTE_Allocation!$E$2:$E$201,$AB309),Projects!$A:$A,0))&amp;"","#PROJECT?"),INDEX(FTE_Allocation!$E$2:$E$201,$AB309)&amp;""),"")))</f>
        <v/>
      </c>
      <c r="F309" s="7">
        <f>IF($Z309="C",INDEX(Contracts!$Q$2:$Q$151,$AB309)&amp;"",IF($Z309="A",INDEX(Fixed_Assets!$L$2:$L$201,$AB309)&amp;"",IF($Z309="F",INDEX(Workforce!$K$2:$K$151,MATCH(INDEX(FTE_Allocation!$A$2:$A$201,$AB309),Workforce!$A$2:$A$151,0))&amp;"","")))</f>
        <v/>
      </c>
      <c r="G309" s="7">
        <f>IF($Z309="C",INDEX(Contracts!$F$2:$F$151,$AB309)&amp;" / "&amp;INDEX(Contracts!$G$2:$G$151,$AB309),IF($Z309="A",INDEX(Fixed_Assets!$E$2:$E$201,$AB309)&amp;"",IF($Z309="F","Personnel "&amp;INDEX(FTE_Allocation!$A$2:$A$201,$AB309)&amp;IF(INDEX(FTE_Allocation!$D$2:$D$201,$AB309)="PROJECT"," ("&amp;INDEX(FTE_Allocation!$E$2:$E$201,$AB309)&amp;")",""),"")))</f>
        <v/>
      </c>
      <c r="H309" s="7">
        <f>IF($Z309="C","CONTRACT",IF($Z309="A","ASSET",IF($Z309="F","WORKFORCE","")))</f>
        <v/>
      </c>
      <c r="I309" s="7">
        <f>IF($Z309="C",INDEX(Contracts!$L$2:$L$151,$AB309)&amp;"",IF($Z309="A",INDEX(Fixed_Assets!$I$2:$I$201,$AB309)&amp;"",IF($Z309="F",INDEX(Workforce!$G$2:$G$151,MATCH(INDEX(FTE_Allocation!$A$2:$A$201,$AB309),Workforce!$A$2:$A$151,0))&amp;"","")))</f>
        <v/>
      </c>
      <c r="J309" s="18">
        <f>IF($Z309="","",IF(AND(DATE($AD309,1,1)&gt;=$AE309,DATE($AD309,1,1)&lt;=$AF309),ROUND($AG309,2),0))</f>
        <v/>
      </c>
      <c r="K309" s="18">
        <f>IF($Z309="","",IF(AND(DATE($AD309,2,1)&gt;=$AE309,DATE($AD309,2,1)&lt;=$AF309),ROUND($AG309,2),0))</f>
        <v/>
      </c>
      <c r="L309" s="18">
        <f>IF($Z309="","",IF(AND(DATE($AD309,3,1)&gt;=$AE309,DATE($AD309,3,1)&lt;=$AF309),ROUND($AG309,2),0))</f>
        <v/>
      </c>
      <c r="M309" s="18">
        <f>IF($Z309="","",IF(AND(DATE($AD309,4,1)&gt;=$AE309,DATE($AD309,4,1)&lt;=$AF309),ROUND($AG309,2),0))</f>
        <v/>
      </c>
      <c r="N309" s="18">
        <f>IF($Z309="","",IF(AND(DATE($AD309,5,1)&gt;=$AE309,DATE($AD309,5,1)&lt;=$AF309),ROUND($AG309,2),0))</f>
        <v/>
      </c>
      <c r="O309" s="18">
        <f>IF($Z309="","",IF(AND(DATE($AD309,6,1)&gt;=$AE309,DATE($AD309,6,1)&lt;=$AF309),ROUND($AG309,2),0))</f>
        <v/>
      </c>
      <c r="P309" s="18">
        <f>IF($Z309="","",IF(AND(DATE($AD309,7,1)&gt;=$AE309,DATE($AD309,7,1)&lt;=$AF309),ROUND($AG309,2),0))</f>
        <v/>
      </c>
      <c r="Q309" s="18">
        <f>IF($Z309="","",IF(AND(DATE($AD309,8,1)&gt;=$AE309,DATE($AD309,8,1)&lt;=$AF309),ROUND($AG309,2),0))</f>
        <v/>
      </c>
      <c r="R309" s="18">
        <f>IF($Z309="","",IF(AND(DATE($AD309,9,1)&gt;=$AE309,DATE($AD309,9,1)&lt;=$AF309),ROUND($AG309,2),0))</f>
        <v/>
      </c>
      <c r="S309" s="18">
        <f>IF($Z309="","",IF(AND(DATE($AD309,10,1)&gt;=$AE309,DATE($AD309,10,1)&lt;=$AF309),ROUND($AG309,2),0))</f>
        <v/>
      </c>
      <c r="T309" s="18">
        <f>IF($Z309="","",IF(AND(DATE($AD309,11,1)&gt;=$AE309,DATE($AD309,11,1)&lt;=$AF309),ROUND($AG309,2),0))</f>
        <v/>
      </c>
      <c r="U309" s="18">
        <f>IF($Z309="","",IF(AND(DATE($AD309,12,1)&gt;=$AE309,DATE($AD309,12,1)&lt;=$AF309),ROUND($AG309,2),0))</f>
        <v/>
      </c>
      <c r="V309" s="7">
        <f>IF($Z309="C","Generated from "&amp;INDEX(Contracts!$A$2:$A$151,$AB309),IF($Z309="A","Generated from "&amp;INDEX(Fixed_Assets!$A$2:$A$201,$AB309),IF($Z309="F","Generated from "&amp;INDEX(FTE_Allocation!$A$2:$A$201,$AB309),"")))</f>
        <v/>
      </c>
      <c r="X309" s="19">
        <f>IF($Z309="","",SUM(J309:U309))</f>
        <v/>
      </c>
      <c r="Y309" s="20">
        <f>ROW()-1</f>
        <v/>
      </c>
      <c r="Z309" s="20">
        <f>IF($Y309&lt;=Settings!$B$4*3,"C",IF($Y309&lt;=(Settings!$B$4+Settings!$B$5)*3,"A",IF($Y309&lt;=(Settings!$B$4+Settings!$B$5+Settings!$B$6)*3,"F","")))</f>
        <v/>
      </c>
      <c r="AA309" s="20">
        <f>IF($Z309="C",$Y309,IF($Z309="A",$Y309-Settings!$B$4*3,IF($Z309="F",$Y309-(Settings!$B$4+Settings!$B$5)*3,"")))</f>
        <v/>
      </c>
      <c r="AB309" s="20">
        <f>IF($Z309="","",INT(($AA309-1)/3)+1)</f>
        <v/>
      </c>
      <c r="AC309" s="20">
        <f>IF($Z309="","",MOD($AA309-1,3)+1)</f>
        <v/>
      </c>
      <c r="AD309" s="20">
        <f>IF($Z309="","",Settings!$B$2+$AC309-1)</f>
        <v/>
      </c>
      <c r="AE309" s="21">
        <f>IF($Z309="C",DATE(YEAR(INDEX(Contracts!$J$2:$J$151,$AB309)),MONTH(INDEX(Contracts!$J$2:$J$151,$AB309)),1),IF($Z309="A",DATE(YEAR(INDEX(Fixed_Assets!$G$2:$G$201,$AB309)),MONTH(INDEX(Fixed_Assets!$G$2:$G$201,$AB309)),1),IF($Z309="F",DATE(YEAR(MAX(N(INDEX(Workforce!$I$2:$I$151,MATCH(INDEX(FTE_Allocation!$A$2:$A$201,$AB309),Workforce!$A$2:$A$151,0))),N(INDEX(FTE_Allocation!$I$2:$I$201,$AB309)))),MONTH(MAX(N(INDEX(Workforce!$I$2:$I$151,MATCH(INDEX(FTE_Allocation!$A$2:$A$201,$AB309),Workforce!$A$2:$A$151,0))),N(INDEX(FTE_Allocation!$I$2:$I$201,$AB309)))),1),"")))</f>
        <v/>
      </c>
      <c r="AF309" s="21">
        <f>IF($Z309="C",IF(INDEX(Contracts!$I$2:$I$151,$AB309)="PREPAID",EDATE(DATE(YEAR(INDEX(Contracts!$J$2:$J$151,$AB309)),MONTH(INDEX(Contracts!$J$2:$J$151,$AB309)),1),IF(INDEX(Contracts!$N$2:$N$151,$AB309)="",12,INDEX(Contracts!$N$2:$N$151,$AB309))-1),IF(INDEX(Contracts!$I$2:$I$151,$AB309)="MONTHLY",IF(INDEX(Contracts!$K$2:$K$151,$AB309)="",2958101,INDEX(Contracts!$K$2:$K$151,$AB309)),0)),IF($Z309="A",EDATE(DATE(YEAR(INDEX(Fixed_Assets!$G$2:$G$201,$AB309)),MONTH(INDEX(Fixed_Assets!$G$2:$G$201,$AB309)),1),INDEX(Fixed_Assets!$J$2:$J$201,$AB309)-1),IF($Z309="F",MIN(IF(INDEX(Workforce!$J$2:$J$151,MATCH(INDEX(FTE_Allocation!$A$2:$A$201,$AB309),Workforce!$A$2:$A$151,0))="",2958101,INDEX(Workforce!$J$2:$J$151,MATCH(INDEX(FTE_Allocation!$A$2:$A$201,$AB309),Workforce!$A$2:$A$151,0))),IF(INDEX(FTE_Allocation!$J$2:$J$201,$AB309)="",2958101,INDEX(FTE_Allocation!$J$2:$J$201,$AB309))),"")))</f>
        <v/>
      </c>
      <c r="AG309" s="19">
        <f>IF($Z309="C",IF(INDEX(Contracts!$I$2:$I$151,$AB309)="PREPAID",INDEX(Contracts!$M$2:$M$151,$AB309)/IF(INDEX(Contracts!$N$2:$N$151,$AB309)="",12,INDEX(Contracts!$N$2:$N$151,$AB309)),IF(INDEX(Contracts!$I$2:$I$151,$AB309)="MONTHLY",INDEX(Contracts!$M$2:$M$151,$AB309),0))*(1-N(INDEX(Contracts!$O$2:$O$151,$AB309))),IF($Z309="A",INDEX(Fixed_Assets!$H$2:$H$201,$AB309)/INDEX(Fixed_Assets!$J$2:$J$201,$AB309),IF($Z309="F",INDEX(Workforce!$F$2:$F$151,MATCH(INDEX(FTE_Allocation!$A$2:$A$201,$AB309),Workforce!$A$2:$A$151,0))*N(INDEX(FTE_Allocation!$F$2:$H$201,$AB309,$AC309)),"")))</f>
        <v/>
      </c>
    </row>
    <row r="310">
      <c r="A310" s="7">
        <f>IF($Z310="","",$AD310)</f>
        <v/>
      </c>
      <c r="B310" s="7">
        <f>IF($Z310="C",INDEX(Contracts!$D$2:$D$151,$AB310)&amp;"",IF($Z310="A",INDEX(Fixed_Assets!$C$2:$C$201,$AB310)&amp;"",IF($Z310="F",INDEX(Workforce!$B$2:$B$151,MATCH(INDEX(FTE_Allocation!$A$2:$A$201,$AB310),Workforce!$A$2:$A$151,0))&amp;"","")))</f>
        <v/>
      </c>
      <c r="C310" s="7">
        <f>IF($Z310="C",INDEX(Contracts!$E$2:$E$151,$AB310)&amp;"",IF($Z310="A",INDEX(Fixed_Assets!$D$2:$D$201,$AB310)&amp;"",IF($Z310="F",INDEX(FTE_Allocation!$C$2:$C$201,$AB310)&amp;"","")))</f>
        <v/>
      </c>
      <c r="D310" s="7">
        <f>IF($Z310="C",INDEX(Contracts!$B$2:$B$151,$AB310)&amp;"",IF($Z310="A",INDEX(Fixed_Assets!$B$2:$B$201,$AB310)&amp;"",IF($Z310="F",INDEX(FTE_Allocation!$B$2:$B$201,$AB310)&amp;"","")))</f>
        <v/>
      </c>
      <c r="E310" s="7">
        <f>IF($Z310="C",INDEX(Contracts!$P$2:$P$151,$AB310)&amp;"",IF($Z310="A",INDEX(Fixed_Assets!$K$2:$K$201,$AB310)&amp;"",IF($Z310="F",IF(INDEX(FTE_Allocation!$D$2:$D$201,$AB310)="PROJECT",IFERROR(INDEX(Projects!$D:$D,MATCH(INDEX(FTE_Allocation!$E$2:$E$201,$AB310),Projects!$A:$A,0))&amp;"","#PROJECT?"),INDEX(FTE_Allocation!$E$2:$E$201,$AB310)&amp;""),"")))</f>
        <v/>
      </c>
      <c r="F310" s="7">
        <f>IF($Z310="C",INDEX(Contracts!$Q$2:$Q$151,$AB310)&amp;"",IF($Z310="A",INDEX(Fixed_Assets!$L$2:$L$201,$AB310)&amp;"",IF($Z310="F",INDEX(Workforce!$K$2:$K$151,MATCH(INDEX(FTE_Allocation!$A$2:$A$201,$AB310),Workforce!$A$2:$A$151,0))&amp;"","")))</f>
        <v/>
      </c>
      <c r="G310" s="7">
        <f>IF($Z310="C",INDEX(Contracts!$F$2:$F$151,$AB310)&amp;" / "&amp;INDEX(Contracts!$G$2:$G$151,$AB310),IF($Z310="A",INDEX(Fixed_Assets!$E$2:$E$201,$AB310)&amp;"",IF($Z310="F","Personnel "&amp;INDEX(FTE_Allocation!$A$2:$A$201,$AB310)&amp;IF(INDEX(FTE_Allocation!$D$2:$D$201,$AB310)="PROJECT"," ("&amp;INDEX(FTE_Allocation!$E$2:$E$201,$AB310)&amp;")",""),"")))</f>
        <v/>
      </c>
      <c r="H310" s="7">
        <f>IF($Z310="C","CONTRACT",IF($Z310="A","ASSET",IF($Z310="F","WORKFORCE","")))</f>
        <v/>
      </c>
      <c r="I310" s="7">
        <f>IF($Z310="C",INDEX(Contracts!$L$2:$L$151,$AB310)&amp;"",IF($Z310="A",INDEX(Fixed_Assets!$I$2:$I$201,$AB310)&amp;"",IF($Z310="F",INDEX(Workforce!$G$2:$G$151,MATCH(INDEX(FTE_Allocation!$A$2:$A$201,$AB310),Workforce!$A$2:$A$151,0))&amp;"","")))</f>
        <v/>
      </c>
      <c r="J310" s="18">
        <f>IF($Z310="","",IF(AND(DATE($AD310,1,1)&gt;=$AE310,DATE($AD310,1,1)&lt;=$AF310),ROUND($AG310,2),0))</f>
        <v/>
      </c>
      <c r="K310" s="18">
        <f>IF($Z310="","",IF(AND(DATE($AD310,2,1)&gt;=$AE310,DATE($AD310,2,1)&lt;=$AF310),ROUND($AG310,2),0))</f>
        <v/>
      </c>
      <c r="L310" s="18">
        <f>IF($Z310="","",IF(AND(DATE($AD310,3,1)&gt;=$AE310,DATE($AD310,3,1)&lt;=$AF310),ROUND($AG310,2),0))</f>
        <v/>
      </c>
      <c r="M310" s="18">
        <f>IF($Z310="","",IF(AND(DATE($AD310,4,1)&gt;=$AE310,DATE($AD310,4,1)&lt;=$AF310),ROUND($AG310,2),0))</f>
        <v/>
      </c>
      <c r="N310" s="18">
        <f>IF($Z310="","",IF(AND(DATE($AD310,5,1)&gt;=$AE310,DATE($AD310,5,1)&lt;=$AF310),ROUND($AG310,2),0))</f>
        <v/>
      </c>
      <c r="O310" s="18">
        <f>IF($Z310="","",IF(AND(DATE($AD310,6,1)&gt;=$AE310,DATE($AD310,6,1)&lt;=$AF310),ROUND($AG310,2),0))</f>
        <v/>
      </c>
      <c r="P310" s="18">
        <f>IF($Z310="","",IF(AND(DATE($AD310,7,1)&gt;=$AE310,DATE($AD310,7,1)&lt;=$AF310),ROUND($AG310,2),0))</f>
        <v/>
      </c>
      <c r="Q310" s="18">
        <f>IF($Z310="","",IF(AND(DATE($AD310,8,1)&gt;=$AE310,DATE($AD310,8,1)&lt;=$AF310),ROUND($AG310,2),0))</f>
        <v/>
      </c>
      <c r="R310" s="18">
        <f>IF($Z310="","",IF(AND(DATE($AD310,9,1)&gt;=$AE310,DATE($AD310,9,1)&lt;=$AF310),ROUND($AG310,2),0))</f>
        <v/>
      </c>
      <c r="S310" s="18">
        <f>IF($Z310="","",IF(AND(DATE($AD310,10,1)&gt;=$AE310,DATE($AD310,10,1)&lt;=$AF310),ROUND($AG310,2),0))</f>
        <v/>
      </c>
      <c r="T310" s="18">
        <f>IF($Z310="","",IF(AND(DATE($AD310,11,1)&gt;=$AE310,DATE($AD310,11,1)&lt;=$AF310),ROUND($AG310,2),0))</f>
        <v/>
      </c>
      <c r="U310" s="18">
        <f>IF($Z310="","",IF(AND(DATE($AD310,12,1)&gt;=$AE310,DATE($AD310,12,1)&lt;=$AF310),ROUND($AG310,2),0))</f>
        <v/>
      </c>
      <c r="V310" s="7">
        <f>IF($Z310="C","Generated from "&amp;INDEX(Contracts!$A$2:$A$151,$AB310),IF($Z310="A","Generated from "&amp;INDEX(Fixed_Assets!$A$2:$A$201,$AB310),IF($Z310="F","Generated from "&amp;INDEX(FTE_Allocation!$A$2:$A$201,$AB310),"")))</f>
        <v/>
      </c>
      <c r="X310" s="19">
        <f>IF($Z310="","",SUM(J310:U310))</f>
        <v/>
      </c>
      <c r="Y310" s="20">
        <f>ROW()-1</f>
        <v/>
      </c>
      <c r="Z310" s="20">
        <f>IF($Y310&lt;=Settings!$B$4*3,"C",IF($Y310&lt;=(Settings!$B$4+Settings!$B$5)*3,"A",IF($Y310&lt;=(Settings!$B$4+Settings!$B$5+Settings!$B$6)*3,"F","")))</f>
        <v/>
      </c>
      <c r="AA310" s="20">
        <f>IF($Z310="C",$Y310,IF($Z310="A",$Y310-Settings!$B$4*3,IF($Z310="F",$Y310-(Settings!$B$4+Settings!$B$5)*3,"")))</f>
        <v/>
      </c>
      <c r="AB310" s="20">
        <f>IF($Z310="","",INT(($AA310-1)/3)+1)</f>
        <v/>
      </c>
      <c r="AC310" s="20">
        <f>IF($Z310="","",MOD($AA310-1,3)+1)</f>
        <v/>
      </c>
      <c r="AD310" s="20">
        <f>IF($Z310="","",Settings!$B$2+$AC310-1)</f>
        <v/>
      </c>
      <c r="AE310" s="21">
        <f>IF($Z310="C",DATE(YEAR(INDEX(Contracts!$J$2:$J$151,$AB310)),MONTH(INDEX(Contracts!$J$2:$J$151,$AB310)),1),IF($Z310="A",DATE(YEAR(INDEX(Fixed_Assets!$G$2:$G$201,$AB310)),MONTH(INDEX(Fixed_Assets!$G$2:$G$201,$AB310)),1),IF($Z310="F",DATE(YEAR(MAX(N(INDEX(Workforce!$I$2:$I$151,MATCH(INDEX(FTE_Allocation!$A$2:$A$201,$AB310),Workforce!$A$2:$A$151,0))),N(INDEX(FTE_Allocation!$I$2:$I$201,$AB310)))),MONTH(MAX(N(INDEX(Workforce!$I$2:$I$151,MATCH(INDEX(FTE_Allocation!$A$2:$A$201,$AB310),Workforce!$A$2:$A$151,0))),N(INDEX(FTE_Allocation!$I$2:$I$201,$AB310)))),1),"")))</f>
        <v/>
      </c>
      <c r="AF310" s="21">
        <f>IF($Z310="C",IF(INDEX(Contracts!$I$2:$I$151,$AB310)="PREPAID",EDATE(DATE(YEAR(INDEX(Contracts!$J$2:$J$151,$AB310)),MONTH(INDEX(Contracts!$J$2:$J$151,$AB310)),1),IF(INDEX(Contracts!$N$2:$N$151,$AB310)="",12,INDEX(Contracts!$N$2:$N$151,$AB310))-1),IF(INDEX(Contracts!$I$2:$I$151,$AB310)="MONTHLY",IF(INDEX(Contracts!$K$2:$K$151,$AB310)="",2958101,INDEX(Contracts!$K$2:$K$151,$AB310)),0)),IF($Z310="A",EDATE(DATE(YEAR(INDEX(Fixed_Assets!$G$2:$G$201,$AB310)),MONTH(INDEX(Fixed_Assets!$G$2:$G$201,$AB310)),1),INDEX(Fixed_Assets!$J$2:$J$201,$AB310)-1),IF($Z310="F",MIN(IF(INDEX(Workforce!$J$2:$J$151,MATCH(INDEX(FTE_Allocation!$A$2:$A$201,$AB310),Workforce!$A$2:$A$151,0))="",2958101,INDEX(Workforce!$J$2:$J$151,MATCH(INDEX(FTE_Allocation!$A$2:$A$201,$AB310),Workforce!$A$2:$A$151,0))),IF(INDEX(FTE_Allocation!$J$2:$J$201,$AB310)="",2958101,INDEX(FTE_Allocation!$J$2:$J$201,$AB310))),"")))</f>
        <v/>
      </c>
      <c r="AG310" s="19">
        <f>IF($Z310="C",IF(INDEX(Contracts!$I$2:$I$151,$AB310)="PREPAID",INDEX(Contracts!$M$2:$M$151,$AB310)/IF(INDEX(Contracts!$N$2:$N$151,$AB310)="",12,INDEX(Contracts!$N$2:$N$151,$AB310)),IF(INDEX(Contracts!$I$2:$I$151,$AB310)="MONTHLY",INDEX(Contracts!$M$2:$M$151,$AB310),0))*(1-N(INDEX(Contracts!$O$2:$O$151,$AB310))),IF($Z310="A",INDEX(Fixed_Assets!$H$2:$H$201,$AB310)/INDEX(Fixed_Assets!$J$2:$J$201,$AB310),IF($Z310="F",INDEX(Workforce!$F$2:$F$151,MATCH(INDEX(FTE_Allocation!$A$2:$A$201,$AB310),Workforce!$A$2:$A$151,0))*N(INDEX(FTE_Allocation!$F$2:$H$201,$AB310,$AC310)),"")))</f>
        <v/>
      </c>
    </row>
    <row r="311">
      <c r="A311" s="7">
        <f>IF($Z311="","",$AD311)</f>
        <v/>
      </c>
      <c r="B311" s="7">
        <f>IF($Z311="C",INDEX(Contracts!$D$2:$D$151,$AB311)&amp;"",IF($Z311="A",INDEX(Fixed_Assets!$C$2:$C$201,$AB311)&amp;"",IF($Z311="F",INDEX(Workforce!$B$2:$B$151,MATCH(INDEX(FTE_Allocation!$A$2:$A$201,$AB311),Workforce!$A$2:$A$151,0))&amp;"","")))</f>
        <v/>
      </c>
      <c r="C311" s="7">
        <f>IF($Z311="C",INDEX(Contracts!$E$2:$E$151,$AB311)&amp;"",IF($Z311="A",INDEX(Fixed_Assets!$D$2:$D$201,$AB311)&amp;"",IF($Z311="F",INDEX(FTE_Allocation!$C$2:$C$201,$AB311)&amp;"","")))</f>
        <v/>
      </c>
      <c r="D311" s="7">
        <f>IF($Z311="C",INDEX(Contracts!$B$2:$B$151,$AB311)&amp;"",IF($Z311="A",INDEX(Fixed_Assets!$B$2:$B$201,$AB311)&amp;"",IF($Z311="F",INDEX(FTE_Allocation!$B$2:$B$201,$AB311)&amp;"","")))</f>
        <v/>
      </c>
      <c r="E311" s="7">
        <f>IF($Z311="C",INDEX(Contracts!$P$2:$P$151,$AB311)&amp;"",IF($Z311="A",INDEX(Fixed_Assets!$K$2:$K$201,$AB311)&amp;"",IF($Z311="F",IF(INDEX(FTE_Allocation!$D$2:$D$201,$AB311)="PROJECT",IFERROR(INDEX(Projects!$D:$D,MATCH(INDEX(FTE_Allocation!$E$2:$E$201,$AB311),Projects!$A:$A,0))&amp;"","#PROJECT?"),INDEX(FTE_Allocation!$E$2:$E$201,$AB311)&amp;""),"")))</f>
        <v/>
      </c>
      <c r="F311" s="7">
        <f>IF($Z311="C",INDEX(Contracts!$Q$2:$Q$151,$AB311)&amp;"",IF($Z311="A",INDEX(Fixed_Assets!$L$2:$L$201,$AB311)&amp;"",IF($Z311="F",INDEX(Workforce!$K$2:$K$151,MATCH(INDEX(FTE_Allocation!$A$2:$A$201,$AB311),Workforce!$A$2:$A$151,0))&amp;"","")))</f>
        <v/>
      </c>
      <c r="G311" s="7">
        <f>IF($Z311="C",INDEX(Contracts!$F$2:$F$151,$AB311)&amp;" / "&amp;INDEX(Contracts!$G$2:$G$151,$AB311),IF($Z311="A",INDEX(Fixed_Assets!$E$2:$E$201,$AB311)&amp;"",IF($Z311="F","Personnel "&amp;INDEX(FTE_Allocation!$A$2:$A$201,$AB311)&amp;IF(INDEX(FTE_Allocation!$D$2:$D$201,$AB311)="PROJECT"," ("&amp;INDEX(FTE_Allocation!$E$2:$E$201,$AB311)&amp;")",""),"")))</f>
        <v/>
      </c>
      <c r="H311" s="7">
        <f>IF($Z311="C","CONTRACT",IF($Z311="A","ASSET",IF($Z311="F","WORKFORCE","")))</f>
        <v/>
      </c>
      <c r="I311" s="7">
        <f>IF($Z311="C",INDEX(Contracts!$L$2:$L$151,$AB311)&amp;"",IF($Z311="A",INDEX(Fixed_Assets!$I$2:$I$201,$AB311)&amp;"",IF($Z311="F",INDEX(Workforce!$G$2:$G$151,MATCH(INDEX(FTE_Allocation!$A$2:$A$201,$AB311),Workforce!$A$2:$A$151,0))&amp;"","")))</f>
        <v/>
      </c>
      <c r="J311" s="18">
        <f>IF($Z311="","",IF(AND(DATE($AD311,1,1)&gt;=$AE311,DATE($AD311,1,1)&lt;=$AF311),ROUND($AG311,2),0))</f>
        <v/>
      </c>
      <c r="K311" s="18">
        <f>IF($Z311="","",IF(AND(DATE($AD311,2,1)&gt;=$AE311,DATE($AD311,2,1)&lt;=$AF311),ROUND($AG311,2),0))</f>
        <v/>
      </c>
      <c r="L311" s="18">
        <f>IF($Z311="","",IF(AND(DATE($AD311,3,1)&gt;=$AE311,DATE($AD311,3,1)&lt;=$AF311),ROUND($AG311,2),0))</f>
        <v/>
      </c>
      <c r="M311" s="18">
        <f>IF($Z311="","",IF(AND(DATE($AD311,4,1)&gt;=$AE311,DATE($AD311,4,1)&lt;=$AF311),ROUND($AG311,2),0))</f>
        <v/>
      </c>
      <c r="N311" s="18">
        <f>IF($Z311="","",IF(AND(DATE($AD311,5,1)&gt;=$AE311,DATE($AD311,5,1)&lt;=$AF311),ROUND($AG311,2),0))</f>
        <v/>
      </c>
      <c r="O311" s="18">
        <f>IF($Z311="","",IF(AND(DATE($AD311,6,1)&gt;=$AE311,DATE($AD311,6,1)&lt;=$AF311),ROUND($AG311,2),0))</f>
        <v/>
      </c>
      <c r="P311" s="18">
        <f>IF($Z311="","",IF(AND(DATE($AD311,7,1)&gt;=$AE311,DATE($AD311,7,1)&lt;=$AF311),ROUND($AG311,2),0))</f>
        <v/>
      </c>
      <c r="Q311" s="18">
        <f>IF($Z311="","",IF(AND(DATE($AD311,8,1)&gt;=$AE311,DATE($AD311,8,1)&lt;=$AF311),ROUND($AG311,2),0))</f>
        <v/>
      </c>
      <c r="R311" s="18">
        <f>IF($Z311="","",IF(AND(DATE($AD311,9,1)&gt;=$AE311,DATE($AD311,9,1)&lt;=$AF311),ROUND($AG311,2),0))</f>
        <v/>
      </c>
      <c r="S311" s="18">
        <f>IF($Z311="","",IF(AND(DATE($AD311,10,1)&gt;=$AE311,DATE($AD311,10,1)&lt;=$AF311),ROUND($AG311,2),0))</f>
        <v/>
      </c>
      <c r="T311" s="18">
        <f>IF($Z311="","",IF(AND(DATE($AD311,11,1)&gt;=$AE311,DATE($AD311,11,1)&lt;=$AF311),ROUND($AG311,2),0))</f>
        <v/>
      </c>
      <c r="U311" s="18">
        <f>IF($Z311="","",IF(AND(DATE($AD311,12,1)&gt;=$AE311,DATE($AD311,12,1)&lt;=$AF311),ROUND($AG311,2),0))</f>
        <v/>
      </c>
      <c r="V311" s="7">
        <f>IF($Z311="C","Generated from "&amp;INDEX(Contracts!$A$2:$A$151,$AB311),IF($Z311="A","Generated from "&amp;INDEX(Fixed_Assets!$A$2:$A$201,$AB311),IF($Z311="F","Generated from "&amp;INDEX(FTE_Allocation!$A$2:$A$201,$AB311),"")))</f>
        <v/>
      </c>
      <c r="X311" s="19">
        <f>IF($Z311="","",SUM(J311:U311))</f>
        <v/>
      </c>
      <c r="Y311" s="20">
        <f>ROW()-1</f>
        <v/>
      </c>
      <c r="Z311" s="20">
        <f>IF($Y311&lt;=Settings!$B$4*3,"C",IF($Y311&lt;=(Settings!$B$4+Settings!$B$5)*3,"A",IF($Y311&lt;=(Settings!$B$4+Settings!$B$5+Settings!$B$6)*3,"F","")))</f>
        <v/>
      </c>
      <c r="AA311" s="20">
        <f>IF($Z311="C",$Y311,IF($Z311="A",$Y311-Settings!$B$4*3,IF($Z311="F",$Y311-(Settings!$B$4+Settings!$B$5)*3,"")))</f>
        <v/>
      </c>
      <c r="AB311" s="20">
        <f>IF($Z311="","",INT(($AA311-1)/3)+1)</f>
        <v/>
      </c>
      <c r="AC311" s="20">
        <f>IF($Z311="","",MOD($AA311-1,3)+1)</f>
        <v/>
      </c>
      <c r="AD311" s="20">
        <f>IF($Z311="","",Settings!$B$2+$AC311-1)</f>
        <v/>
      </c>
      <c r="AE311" s="21">
        <f>IF($Z311="C",DATE(YEAR(INDEX(Contracts!$J$2:$J$151,$AB311)),MONTH(INDEX(Contracts!$J$2:$J$151,$AB311)),1),IF($Z311="A",DATE(YEAR(INDEX(Fixed_Assets!$G$2:$G$201,$AB311)),MONTH(INDEX(Fixed_Assets!$G$2:$G$201,$AB311)),1),IF($Z311="F",DATE(YEAR(MAX(N(INDEX(Workforce!$I$2:$I$151,MATCH(INDEX(FTE_Allocation!$A$2:$A$201,$AB311),Workforce!$A$2:$A$151,0))),N(INDEX(FTE_Allocation!$I$2:$I$201,$AB311)))),MONTH(MAX(N(INDEX(Workforce!$I$2:$I$151,MATCH(INDEX(FTE_Allocation!$A$2:$A$201,$AB311),Workforce!$A$2:$A$151,0))),N(INDEX(FTE_Allocation!$I$2:$I$201,$AB311)))),1),"")))</f>
        <v/>
      </c>
      <c r="AF311" s="21">
        <f>IF($Z311="C",IF(INDEX(Contracts!$I$2:$I$151,$AB311)="PREPAID",EDATE(DATE(YEAR(INDEX(Contracts!$J$2:$J$151,$AB311)),MONTH(INDEX(Contracts!$J$2:$J$151,$AB311)),1),IF(INDEX(Contracts!$N$2:$N$151,$AB311)="",12,INDEX(Contracts!$N$2:$N$151,$AB311))-1),IF(INDEX(Contracts!$I$2:$I$151,$AB311)="MONTHLY",IF(INDEX(Contracts!$K$2:$K$151,$AB311)="",2958101,INDEX(Contracts!$K$2:$K$151,$AB311)),0)),IF($Z311="A",EDATE(DATE(YEAR(INDEX(Fixed_Assets!$G$2:$G$201,$AB311)),MONTH(INDEX(Fixed_Assets!$G$2:$G$201,$AB311)),1),INDEX(Fixed_Assets!$J$2:$J$201,$AB311)-1),IF($Z311="F",MIN(IF(INDEX(Workforce!$J$2:$J$151,MATCH(INDEX(FTE_Allocation!$A$2:$A$201,$AB311),Workforce!$A$2:$A$151,0))="",2958101,INDEX(Workforce!$J$2:$J$151,MATCH(INDEX(FTE_Allocation!$A$2:$A$201,$AB311),Workforce!$A$2:$A$151,0))),IF(INDEX(FTE_Allocation!$J$2:$J$201,$AB311)="",2958101,INDEX(FTE_Allocation!$J$2:$J$201,$AB311))),"")))</f>
        <v/>
      </c>
      <c r="AG311" s="19">
        <f>IF($Z311="C",IF(INDEX(Contracts!$I$2:$I$151,$AB311)="PREPAID",INDEX(Contracts!$M$2:$M$151,$AB311)/IF(INDEX(Contracts!$N$2:$N$151,$AB311)="",12,INDEX(Contracts!$N$2:$N$151,$AB311)),IF(INDEX(Contracts!$I$2:$I$151,$AB311)="MONTHLY",INDEX(Contracts!$M$2:$M$151,$AB311),0))*(1-N(INDEX(Contracts!$O$2:$O$151,$AB311))),IF($Z311="A",INDEX(Fixed_Assets!$H$2:$H$201,$AB311)/INDEX(Fixed_Assets!$J$2:$J$201,$AB311),IF($Z311="F",INDEX(Workforce!$F$2:$F$151,MATCH(INDEX(FTE_Allocation!$A$2:$A$201,$AB311),Workforce!$A$2:$A$151,0))*N(INDEX(FTE_Allocation!$F$2:$H$201,$AB311,$AC311)),"")))</f>
        <v/>
      </c>
    </row>
    <row r="312">
      <c r="A312" s="7">
        <f>IF($Z312="","",$AD312)</f>
        <v/>
      </c>
      <c r="B312" s="7">
        <f>IF($Z312="C",INDEX(Contracts!$D$2:$D$151,$AB312)&amp;"",IF($Z312="A",INDEX(Fixed_Assets!$C$2:$C$201,$AB312)&amp;"",IF($Z312="F",INDEX(Workforce!$B$2:$B$151,MATCH(INDEX(FTE_Allocation!$A$2:$A$201,$AB312),Workforce!$A$2:$A$151,0))&amp;"","")))</f>
        <v/>
      </c>
      <c r="C312" s="7">
        <f>IF($Z312="C",INDEX(Contracts!$E$2:$E$151,$AB312)&amp;"",IF($Z312="A",INDEX(Fixed_Assets!$D$2:$D$201,$AB312)&amp;"",IF($Z312="F",INDEX(FTE_Allocation!$C$2:$C$201,$AB312)&amp;"","")))</f>
        <v/>
      </c>
      <c r="D312" s="7">
        <f>IF($Z312="C",INDEX(Contracts!$B$2:$B$151,$AB312)&amp;"",IF($Z312="A",INDEX(Fixed_Assets!$B$2:$B$201,$AB312)&amp;"",IF($Z312="F",INDEX(FTE_Allocation!$B$2:$B$201,$AB312)&amp;"","")))</f>
        <v/>
      </c>
      <c r="E312" s="7">
        <f>IF($Z312="C",INDEX(Contracts!$P$2:$P$151,$AB312)&amp;"",IF($Z312="A",INDEX(Fixed_Assets!$K$2:$K$201,$AB312)&amp;"",IF($Z312="F",IF(INDEX(FTE_Allocation!$D$2:$D$201,$AB312)="PROJECT",IFERROR(INDEX(Projects!$D:$D,MATCH(INDEX(FTE_Allocation!$E$2:$E$201,$AB312),Projects!$A:$A,0))&amp;"","#PROJECT?"),INDEX(FTE_Allocation!$E$2:$E$201,$AB312)&amp;""),"")))</f>
        <v/>
      </c>
      <c r="F312" s="7">
        <f>IF($Z312="C",INDEX(Contracts!$Q$2:$Q$151,$AB312)&amp;"",IF($Z312="A",INDEX(Fixed_Assets!$L$2:$L$201,$AB312)&amp;"",IF($Z312="F",INDEX(Workforce!$K$2:$K$151,MATCH(INDEX(FTE_Allocation!$A$2:$A$201,$AB312),Workforce!$A$2:$A$151,0))&amp;"","")))</f>
        <v/>
      </c>
      <c r="G312" s="7">
        <f>IF($Z312="C",INDEX(Contracts!$F$2:$F$151,$AB312)&amp;" / "&amp;INDEX(Contracts!$G$2:$G$151,$AB312),IF($Z312="A",INDEX(Fixed_Assets!$E$2:$E$201,$AB312)&amp;"",IF($Z312="F","Personnel "&amp;INDEX(FTE_Allocation!$A$2:$A$201,$AB312)&amp;IF(INDEX(FTE_Allocation!$D$2:$D$201,$AB312)="PROJECT"," ("&amp;INDEX(FTE_Allocation!$E$2:$E$201,$AB312)&amp;")",""),"")))</f>
        <v/>
      </c>
      <c r="H312" s="7">
        <f>IF($Z312="C","CONTRACT",IF($Z312="A","ASSET",IF($Z312="F","WORKFORCE","")))</f>
        <v/>
      </c>
      <c r="I312" s="7">
        <f>IF($Z312="C",INDEX(Contracts!$L$2:$L$151,$AB312)&amp;"",IF($Z312="A",INDEX(Fixed_Assets!$I$2:$I$201,$AB312)&amp;"",IF($Z312="F",INDEX(Workforce!$G$2:$G$151,MATCH(INDEX(FTE_Allocation!$A$2:$A$201,$AB312),Workforce!$A$2:$A$151,0))&amp;"","")))</f>
        <v/>
      </c>
      <c r="J312" s="18">
        <f>IF($Z312="","",IF(AND(DATE($AD312,1,1)&gt;=$AE312,DATE($AD312,1,1)&lt;=$AF312),ROUND($AG312,2),0))</f>
        <v/>
      </c>
      <c r="K312" s="18">
        <f>IF($Z312="","",IF(AND(DATE($AD312,2,1)&gt;=$AE312,DATE($AD312,2,1)&lt;=$AF312),ROUND($AG312,2),0))</f>
        <v/>
      </c>
      <c r="L312" s="18">
        <f>IF($Z312="","",IF(AND(DATE($AD312,3,1)&gt;=$AE312,DATE($AD312,3,1)&lt;=$AF312),ROUND($AG312,2),0))</f>
        <v/>
      </c>
      <c r="M312" s="18">
        <f>IF($Z312="","",IF(AND(DATE($AD312,4,1)&gt;=$AE312,DATE($AD312,4,1)&lt;=$AF312),ROUND($AG312,2),0))</f>
        <v/>
      </c>
      <c r="N312" s="18">
        <f>IF($Z312="","",IF(AND(DATE($AD312,5,1)&gt;=$AE312,DATE($AD312,5,1)&lt;=$AF312),ROUND($AG312,2),0))</f>
        <v/>
      </c>
      <c r="O312" s="18">
        <f>IF($Z312="","",IF(AND(DATE($AD312,6,1)&gt;=$AE312,DATE($AD312,6,1)&lt;=$AF312),ROUND($AG312,2),0))</f>
        <v/>
      </c>
      <c r="P312" s="18">
        <f>IF($Z312="","",IF(AND(DATE($AD312,7,1)&gt;=$AE312,DATE($AD312,7,1)&lt;=$AF312),ROUND($AG312,2),0))</f>
        <v/>
      </c>
      <c r="Q312" s="18">
        <f>IF($Z312="","",IF(AND(DATE($AD312,8,1)&gt;=$AE312,DATE($AD312,8,1)&lt;=$AF312),ROUND($AG312,2),0))</f>
        <v/>
      </c>
      <c r="R312" s="18">
        <f>IF($Z312="","",IF(AND(DATE($AD312,9,1)&gt;=$AE312,DATE($AD312,9,1)&lt;=$AF312),ROUND($AG312,2),0))</f>
        <v/>
      </c>
      <c r="S312" s="18">
        <f>IF($Z312="","",IF(AND(DATE($AD312,10,1)&gt;=$AE312,DATE($AD312,10,1)&lt;=$AF312),ROUND($AG312,2),0))</f>
        <v/>
      </c>
      <c r="T312" s="18">
        <f>IF($Z312="","",IF(AND(DATE($AD312,11,1)&gt;=$AE312,DATE($AD312,11,1)&lt;=$AF312),ROUND($AG312,2),0))</f>
        <v/>
      </c>
      <c r="U312" s="18">
        <f>IF($Z312="","",IF(AND(DATE($AD312,12,1)&gt;=$AE312,DATE($AD312,12,1)&lt;=$AF312),ROUND($AG312,2),0))</f>
        <v/>
      </c>
      <c r="V312" s="7">
        <f>IF($Z312="C","Generated from "&amp;INDEX(Contracts!$A$2:$A$151,$AB312),IF($Z312="A","Generated from "&amp;INDEX(Fixed_Assets!$A$2:$A$201,$AB312),IF($Z312="F","Generated from "&amp;INDEX(FTE_Allocation!$A$2:$A$201,$AB312),"")))</f>
        <v/>
      </c>
      <c r="X312" s="19">
        <f>IF($Z312="","",SUM(J312:U312))</f>
        <v/>
      </c>
      <c r="Y312" s="20">
        <f>ROW()-1</f>
        <v/>
      </c>
      <c r="Z312" s="20">
        <f>IF($Y312&lt;=Settings!$B$4*3,"C",IF($Y312&lt;=(Settings!$B$4+Settings!$B$5)*3,"A",IF($Y312&lt;=(Settings!$B$4+Settings!$B$5+Settings!$B$6)*3,"F","")))</f>
        <v/>
      </c>
      <c r="AA312" s="20">
        <f>IF($Z312="C",$Y312,IF($Z312="A",$Y312-Settings!$B$4*3,IF($Z312="F",$Y312-(Settings!$B$4+Settings!$B$5)*3,"")))</f>
        <v/>
      </c>
      <c r="AB312" s="20">
        <f>IF($Z312="","",INT(($AA312-1)/3)+1)</f>
        <v/>
      </c>
      <c r="AC312" s="20">
        <f>IF($Z312="","",MOD($AA312-1,3)+1)</f>
        <v/>
      </c>
      <c r="AD312" s="20">
        <f>IF($Z312="","",Settings!$B$2+$AC312-1)</f>
        <v/>
      </c>
      <c r="AE312" s="21">
        <f>IF($Z312="C",DATE(YEAR(INDEX(Contracts!$J$2:$J$151,$AB312)),MONTH(INDEX(Contracts!$J$2:$J$151,$AB312)),1),IF($Z312="A",DATE(YEAR(INDEX(Fixed_Assets!$G$2:$G$201,$AB312)),MONTH(INDEX(Fixed_Assets!$G$2:$G$201,$AB312)),1),IF($Z312="F",DATE(YEAR(MAX(N(INDEX(Workforce!$I$2:$I$151,MATCH(INDEX(FTE_Allocation!$A$2:$A$201,$AB312),Workforce!$A$2:$A$151,0))),N(INDEX(FTE_Allocation!$I$2:$I$201,$AB312)))),MONTH(MAX(N(INDEX(Workforce!$I$2:$I$151,MATCH(INDEX(FTE_Allocation!$A$2:$A$201,$AB312),Workforce!$A$2:$A$151,0))),N(INDEX(FTE_Allocation!$I$2:$I$201,$AB312)))),1),"")))</f>
        <v/>
      </c>
      <c r="AF312" s="21">
        <f>IF($Z312="C",IF(INDEX(Contracts!$I$2:$I$151,$AB312)="PREPAID",EDATE(DATE(YEAR(INDEX(Contracts!$J$2:$J$151,$AB312)),MONTH(INDEX(Contracts!$J$2:$J$151,$AB312)),1),IF(INDEX(Contracts!$N$2:$N$151,$AB312)="",12,INDEX(Contracts!$N$2:$N$151,$AB312))-1),IF(INDEX(Contracts!$I$2:$I$151,$AB312)="MONTHLY",IF(INDEX(Contracts!$K$2:$K$151,$AB312)="",2958101,INDEX(Contracts!$K$2:$K$151,$AB312)),0)),IF($Z312="A",EDATE(DATE(YEAR(INDEX(Fixed_Assets!$G$2:$G$201,$AB312)),MONTH(INDEX(Fixed_Assets!$G$2:$G$201,$AB312)),1),INDEX(Fixed_Assets!$J$2:$J$201,$AB312)-1),IF($Z312="F",MIN(IF(INDEX(Workforce!$J$2:$J$151,MATCH(INDEX(FTE_Allocation!$A$2:$A$201,$AB312),Workforce!$A$2:$A$151,0))="",2958101,INDEX(Workforce!$J$2:$J$151,MATCH(INDEX(FTE_Allocation!$A$2:$A$201,$AB312),Workforce!$A$2:$A$151,0))),IF(INDEX(FTE_Allocation!$J$2:$J$201,$AB312)="",2958101,INDEX(FTE_Allocation!$J$2:$J$201,$AB312))),"")))</f>
        <v/>
      </c>
      <c r="AG312" s="19">
        <f>IF($Z312="C",IF(INDEX(Contracts!$I$2:$I$151,$AB312)="PREPAID",INDEX(Contracts!$M$2:$M$151,$AB312)/IF(INDEX(Contracts!$N$2:$N$151,$AB312)="",12,INDEX(Contracts!$N$2:$N$151,$AB312)),IF(INDEX(Contracts!$I$2:$I$151,$AB312)="MONTHLY",INDEX(Contracts!$M$2:$M$151,$AB312),0))*(1-N(INDEX(Contracts!$O$2:$O$151,$AB312))),IF($Z312="A",INDEX(Fixed_Assets!$H$2:$H$201,$AB312)/INDEX(Fixed_Assets!$J$2:$J$201,$AB312),IF($Z312="F",INDEX(Workforce!$F$2:$F$151,MATCH(INDEX(FTE_Allocation!$A$2:$A$201,$AB312),Workforce!$A$2:$A$151,0))*N(INDEX(FTE_Allocation!$F$2:$H$201,$AB312,$AC312)),"")))</f>
        <v/>
      </c>
    </row>
    <row r="313">
      <c r="A313" s="7">
        <f>IF($Z313="","",$AD313)</f>
        <v/>
      </c>
      <c r="B313" s="7">
        <f>IF($Z313="C",INDEX(Contracts!$D$2:$D$151,$AB313)&amp;"",IF($Z313="A",INDEX(Fixed_Assets!$C$2:$C$201,$AB313)&amp;"",IF($Z313="F",INDEX(Workforce!$B$2:$B$151,MATCH(INDEX(FTE_Allocation!$A$2:$A$201,$AB313),Workforce!$A$2:$A$151,0))&amp;"","")))</f>
        <v/>
      </c>
      <c r="C313" s="7">
        <f>IF($Z313="C",INDEX(Contracts!$E$2:$E$151,$AB313)&amp;"",IF($Z313="A",INDEX(Fixed_Assets!$D$2:$D$201,$AB313)&amp;"",IF($Z313="F",INDEX(FTE_Allocation!$C$2:$C$201,$AB313)&amp;"","")))</f>
        <v/>
      </c>
      <c r="D313" s="7">
        <f>IF($Z313="C",INDEX(Contracts!$B$2:$B$151,$AB313)&amp;"",IF($Z313="A",INDEX(Fixed_Assets!$B$2:$B$201,$AB313)&amp;"",IF($Z313="F",INDEX(FTE_Allocation!$B$2:$B$201,$AB313)&amp;"","")))</f>
        <v/>
      </c>
      <c r="E313" s="7">
        <f>IF($Z313="C",INDEX(Contracts!$P$2:$P$151,$AB313)&amp;"",IF($Z313="A",INDEX(Fixed_Assets!$K$2:$K$201,$AB313)&amp;"",IF($Z313="F",IF(INDEX(FTE_Allocation!$D$2:$D$201,$AB313)="PROJECT",IFERROR(INDEX(Projects!$D:$D,MATCH(INDEX(FTE_Allocation!$E$2:$E$201,$AB313),Projects!$A:$A,0))&amp;"","#PROJECT?"),INDEX(FTE_Allocation!$E$2:$E$201,$AB313)&amp;""),"")))</f>
        <v/>
      </c>
      <c r="F313" s="7">
        <f>IF($Z313="C",INDEX(Contracts!$Q$2:$Q$151,$AB313)&amp;"",IF($Z313="A",INDEX(Fixed_Assets!$L$2:$L$201,$AB313)&amp;"",IF($Z313="F",INDEX(Workforce!$K$2:$K$151,MATCH(INDEX(FTE_Allocation!$A$2:$A$201,$AB313),Workforce!$A$2:$A$151,0))&amp;"","")))</f>
        <v/>
      </c>
      <c r="G313" s="7">
        <f>IF($Z313="C",INDEX(Contracts!$F$2:$F$151,$AB313)&amp;" / "&amp;INDEX(Contracts!$G$2:$G$151,$AB313),IF($Z313="A",INDEX(Fixed_Assets!$E$2:$E$201,$AB313)&amp;"",IF($Z313="F","Personnel "&amp;INDEX(FTE_Allocation!$A$2:$A$201,$AB313)&amp;IF(INDEX(FTE_Allocation!$D$2:$D$201,$AB313)="PROJECT"," ("&amp;INDEX(FTE_Allocation!$E$2:$E$201,$AB313)&amp;")",""),"")))</f>
        <v/>
      </c>
      <c r="H313" s="7">
        <f>IF($Z313="C","CONTRACT",IF($Z313="A","ASSET",IF($Z313="F","WORKFORCE","")))</f>
        <v/>
      </c>
      <c r="I313" s="7">
        <f>IF($Z313="C",INDEX(Contracts!$L$2:$L$151,$AB313)&amp;"",IF($Z313="A",INDEX(Fixed_Assets!$I$2:$I$201,$AB313)&amp;"",IF($Z313="F",INDEX(Workforce!$G$2:$G$151,MATCH(INDEX(FTE_Allocation!$A$2:$A$201,$AB313),Workforce!$A$2:$A$151,0))&amp;"","")))</f>
        <v/>
      </c>
      <c r="J313" s="18">
        <f>IF($Z313="","",IF(AND(DATE($AD313,1,1)&gt;=$AE313,DATE($AD313,1,1)&lt;=$AF313),ROUND($AG313,2),0))</f>
        <v/>
      </c>
      <c r="K313" s="18">
        <f>IF($Z313="","",IF(AND(DATE($AD313,2,1)&gt;=$AE313,DATE($AD313,2,1)&lt;=$AF313),ROUND($AG313,2),0))</f>
        <v/>
      </c>
      <c r="L313" s="18">
        <f>IF($Z313="","",IF(AND(DATE($AD313,3,1)&gt;=$AE313,DATE($AD313,3,1)&lt;=$AF313),ROUND($AG313,2),0))</f>
        <v/>
      </c>
      <c r="M313" s="18">
        <f>IF($Z313="","",IF(AND(DATE($AD313,4,1)&gt;=$AE313,DATE($AD313,4,1)&lt;=$AF313),ROUND($AG313,2),0))</f>
        <v/>
      </c>
      <c r="N313" s="18">
        <f>IF($Z313="","",IF(AND(DATE($AD313,5,1)&gt;=$AE313,DATE($AD313,5,1)&lt;=$AF313),ROUND($AG313,2),0))</f>
        <v/>
      </c>
      <c r="O313" s="18">
        <f>IF($Z313="","",IF(AND(DATE($AD313,6,1)&gt;=$AE313,DATE($AD313,6,1)&lt;=$AF313),ROUND($AG313,2),0))</f>
        <v/>
      </c>
      <c r="P313" s="18">
        <f>IF($Z313="","",IF(AND(DATE($AD313,7,1)&gt;=$AE313,DATE($AD313,7,1)&lt;=$AF313),ROUND($AG313,2),0))</f>
        <v/>
      </c>
      <c r="Q313" s="18">
        <f>IF($Z313="","",IF(AND(DATE($AD313,8,1)&gt;=$AE313,DATE($AD313,8,1)&lt;=$AF313),ROUND($AG313,2),0))</f>
        <v/>
      </c>
      <c r="R313" s="18">
        <f>IF($Z313="","",IF(AND(DATE($AD313,9,1)&gt;=$AE313,DATE($AD313,9,1)&lt;=$AF313),ROUND($AG313,2),0))</f>
        <v/>
      </c>
      <c r="S313" s="18">
        <f>IF($Z313="","",IF(AND(DATE($AD313,10,1)&gt;=$AE313,DATE($AD313,10,1)&lt;=$AF313),ROUND($AG313,2),0))</f>
        <v/>
      </c>
      <c r="T313" s="18">
        <f>IF($Z313="","",IF(AND(DATE($AD313,11,1)&gt;=$AE313,DATE($AD313,11,1)&lt;=$AF313),ROUND($AG313,2),0))</f>
        <v/>
      </c>
      <c r="U313" s="18">
        <f>IF($Z313="","",IF(AND(DATE($AD313,12,1)&gt;=$AE313,DATE($AD313,12,1)&lt;=$AF313),ROUND($AG313,2),0))</f>
        <v/>
      </c>
      <c r="V313" s="7">
        <f>IF($Z313="C","Generated from "&amp;INDEX(Contracts!$A$2:$A$151,$AB313),IF($Z313="A","Generated from "&amp;INDEX(Fixed_Assets!$A$2:$A$201,$AB313),IF($Z313="F","Generated from "&amp;INDEX(FTE_Allocation!$A$2:$A$201,$AB313),"")))</f>
        <v/>
      </c>
      <c r="X313" s="19">
        <f>IF($Z313="","",SUM(J313:U313))</f>
        <v/>
      </c>
      <c r="Y313" s="20">
        <f>ROW()-1</f>
        <v/>
      </c>
      <c r="Z313" s="20">
        <f>IF($Y313&lt;=Settings!$B$4*3,"C",IF($Y313&lt;=(Settings!$B$4+Settings!$B$5)*3,"A",IF($Y313&lt;=(Settings!$B$4+Settings!$B$5+Settings!$B$6)*3,"F","")))</f>
        <v/>
      </c>
      <c r="AA313" s="20">
        <f>IF($Z313="C",$Y313,IF($Z313="A",$Y313-Settings!$B$4*3,IF($Z313="F",$Y313-(Settings!$B$4+Settings!$B$5)*3,"")))</f>
        <v/>
      </c>
      <c r="AB313" s="20">
        <f>IF($Z313="","",INT(($AA313-1)/3)+1)</f>
        <v/>
      </c>
      <c r="AC313" s="20">
        <f>IF($Z313="","",MOD($AA313-1,3)+1)</f>
        <v/>
      </c>
      <c r="AD313" s="20">
        <f>IF($Z313="","",Settings!$B$2+$AC313-1)</f>
        <v/>
      </c>
      <c r="AE313" s="21">
        <f>IF($Z313="C",DATE(YEAR(INDEX(Contracts!$J$2:$J$151,$AB313)),MONTH(INDEX(Contracts!$J$2:$J$151,$AB313)),1),IF($Z313="A",DATE(YEAR(INDEX(Fixed_Assets!$G$2:$G$201,$AB313)),MONTH(INDEX(Fixed_Assets!$G$2:$G$201,$AB313)),1),IF($Z313="F",DATE(YEAR(MAX(N(INDEX(Workforce!$I$2:$I$151,MATCH(INDEX(FTE_Allocation!$A$2:$A$201,$AB313),Workforce!$A$2:$A$151,0))),N(INDEX(FTE_Allocation!$I$2:$I$201,$AB313)))),MONTH(MAX(N(INDEX(Workforce!$I$2:$I$151,MATCH(INDEX(FTE_Allocation!$A$2:$A$201,$AB313),Workforce!$A$2:$A$151,0))),N(INDEX(FTE_Allocation!$I$2:$I$201,$AB313)))),1),"")))</f>
        <v/>
      </c>
      <c r="AF313" s="21">
        <f>IF($Z313="C",IF(INDEX(Contracts!$I$2:$I$151,$AB313)="PREPAID",EDATE(DATE(YEAR(INDEX(Contracts!$J$2:$J$151,$AB313)),MONTH(INDEX(Contracts!$J$2:$J$151,$AB313)),1),IF(INDEX(Contracts!$N$2:$N$151,$AB313)="",12,INDEX(Contracts!$N$2:$N$151,$AB313))-1),IF(INDEX(Contracts!$I$2:$I$151,$AB313)="MONTHLY",IF(INDEX(Contracts!$K$2:$K$151,$AB313)="",2958101,INDEX(Contracts!$K$2:$K$151,$AB313)),0)),IF($Z313="A",EDATE(DATE(YEAR(INDEX(Fixed_Assets!$G$2:$G$201,$AB313)),MONTH(INDEX(Fixed_Assets!$G$2:$G$201,$AB313)),1),INDEX(Fixed_Assets!$J$2:$J$201,$AB313)-1),IF($Z313="F",MIN(IF(INDEX(Workforce!$J$2:$J$151,MATCH(INDEX(FTE_Allocation!$A$2:$A$201,$AB313),Workforce!$A$2:$A$151,0))="",2958101,INDEX(Workforce!$J$2:$J$151,MATCH(INDEX(FTE_Allocation!$A$2:$A$201,$AB313),Workforce!$A$2:$A$151,0))),IF(INDEX(FTE_Allocation!$J$2:$J$201,$AB313)="",2958101,INDEX(FTE_Allocation!$J$2:$J$201,$AB313))),"")))</f>
        <v/>
      </c>
      <c r="AG313" s="19">
        <f>IF($Z313="C",IF(INDEX(Contracts!$I$2:$I$151,$AB313)="PREPAID",INDEX(Contracts!$M$2:$M$151,$AB313)/IF(INDEX(Contracts!$N$2:$N$151,$AB313)="",12,INDEX(Contracts!$N$2:$N$151,$AB313)),IF(INDEX(Contracts!$I$2:$I$151,$AB313)="MONTHLY",INDEX(Contracts!$M$2:$M$151,$AB313),0))*(1-N(INDEX(Contracts!$O$2:$O$151,$AB313))),IF($Z313="A",INDEX(Fixed_Assets!$H$2:$H$201,$AB313)/INDEX(Fixed_Assets!$J$2:$J$201,$AB313),IF($Z313="F",INDEX(Workforce!$F$2:$F$151,MATCH(INDEX(FTE_Allocation!$A$2:$A$201,$AB313),Workforce!$A$2:$A$151,0))*N(INDEX(FTE_Allocation!$F$2:$H$201,$AB313,$AC313)),"")))</f>
        <v/>
      </c>
    </row>
    <row r="314">
      <c r="A314" s="7">
        <f>IF($Z314="","",$AD314)</f>
        <v/>
      </c>
      <c r="B314" s="7">
        <f>IF($Z314="C",INDEX(Contracts!$D$2:$D$151,$AB314)&amp;"",IF($Z314="A",INDEX(Fixed_Assets!$C$2:$C$201,$AB314)&amp;"",IF($Z314="F",INDEX(Workforce!$B$2:$B$151,MATCH(INDEX(FTE_Allocation!$A$2:$A$201,$AB314),Workforce!$A$2:$A$151,0))&amp;"","")))</f>
        <v/>
      </c>
      <c r="C314" s="7">
        <f>IF($Z314="C",INDEX(Contracts!$E$2:$E$151,$AB314)&amp;"",IF($Z314="A",INDEX(Fixed_Assets!$D$2:$D$201,$AB314)&amp;"",IF($Z314="F",INDEX(FTE_Allocation!$C$2:$C$201,$AB314)&amp;"","")))</f>
        <v/>
      </c>
      <c r="D314" s="7">
        <f>IF($Z314="C",INDEX(Contracts!$B$2:$B$151,$AB314)&amp;"",IF($Z314="A",INDEX(Fixed_Assets!$B$2:$B$201,$AB314)&amp;"",IF($Z314="F",INDEX(FTE_Allocation!$B$2:$B$201,$AB314)&amp;"","")))</f>
        <v/>
      </c>
      <c r="E314" s="7">
        <f>IF($Z314="C",INDEX(Contracts!$P$2:$P$151,$AB314)&amp;"",IF($Z314="A",INDEX(Fixed_Assets!$K$2:$K$201,$AB314)&amp;"",IF($Z314="F",IF(INDEX(FTE_Allocation!$D$2:$D$201,$AB314)="PROJECT",IFERROR(INDEX(Projects!$D:$D,MATCH(INDEX(FTE_Allocation!$E$2:$E$201,$AB314),Projects!$A:$A,0))&amp;"","#PROJECT?"),INDEX(FTE_Allocation!$E$2:$E$201,$AB314)&amp;""),"")))</f>
        <v/>
      </c>
      <c r="F314" s="7">
        <f>IF($Z314="C",INDEX(Contracts!$Q$2:$Q$151,$AB314)&amp;"",IF($Z314="A",INDEX(Fixed_Assets!$L$2:$L$201,$AB314)&amp;"",IF($Z314="F",INDEX(Workforce!$K$2:$K$151,MATCH(INDEX(FTE_Allocation!$A$2:$A$201,$AB314),Workforce!$A$2:$A$151,0))&amp;"","")))</f>
        <v/>
      </c>
      <c r="G314" s="7">
        <f>IF($Z314="C",INDEX(Contracts!$F$2:$F$151,$AB314)&amp;" / "&amp;INDEX(Contracts!$G$2:$G$151,$AB314),IF($Z314="A",INDEX(Fixed_Assets!$E$2:$E$201,$AB314)&amp;"",IF($Z314="F","Personnel "&amp;INDEX(FTE_Allocation!$A$2:$A$201,$AB314)&amp;IF(INDEX(FTE_Allocation!$D$2:$D$201,$AB314)="PROJECT"," ("&amp;INDEX(FTE_Allocation!$E$2:$E$201,$AB314)&amp;")",""),"")))</f>
        <v/>
      </c>
      <c r="H314" s="7">
        <f>IF($Z314="C","CONTRACT",IF($Z314="A","ASSET",IF($Z314="F","WORKFORCE","")))</f>
        <v/>
      </c>
      <c r="I314" s="7">
        <f>IF($Z314="C",INDEX(Contracts!$L$2:$L$151,$AB314)&amp;"",IF($Z314="A",INDEX(Fixed_Assets!$I$2:$I$201,$AB314)&amp;"",IF($Z314="F",INDEX(Workforce!$G$2:$G$151,MATCH(INDEX(FTE_Allocation!$A$2:$A$201,$AB314),Workforce!$A$2:$A$151,0))&amp;"","")))</f>
        <v/>
      </c>
      <c r="J314" s="18">
        <f>IF($Z314="","",IF(AND(DATE($AD314,1,1)&gt;=$AE314,DATE($AD314,1,1)&lt;=$AF314),ROUND($AG314,2),0))</f>
        <v/>
      </c>
      <c r="K314" s="18">
        <f>IF($Z314="","",IF(AND(DATE($AD314,2,1)&gt;=$AE314,DATE($AD314,2,1)&lt;=$AF314),ROUND($AG314,2),0))</f>
        <v/>
      </c>
      <c r="L314" s="18">
        <f>IF($Z314="","",IF(AND(DATE($AD314,3,1)&gt;=$AE314,DATE($AD314,3,1)&lt;=$AF314),ROUND($AG314,2),0))</f>
        <v/>
      </c>
      <c r="M314" s="18">
        <f>IF($Z314="","",IF(AND(DATE($AD314,4,1)&gt;=$AE314,DATE($AD314,4,1)&lt;=$AF314),ROUND($AG314,2),0))</f>
        <v/>
      </c>
      <c r="N314" s="18">
        <f>IF($Z314="","",IF(AND(DATE($AD314,5,1)&gt;=$AE314,DATE($AD314,5,1)&lt;=$AF314),ROUND($AG314,2),0))</f>
        <v/>
      </c>
      <c r="O314" s="18">
        <f>IF($Z314="","",IF(AND(DATE($AD314,6,1)&gt;=$AE314,DATE($AD314,6,1)&lt;=$AF314),ROUND($AG314,2),0))</f>
        <v/>
      </c>
      <c r="P314" s="18">
        <f>IF($Z314="","",IF(AND(DATE($AD314,7,1)&gt;=$AE314,DATE($AD314,7,1)&lt;=$AF314),ROUND($AG314,2),0))</f>
        <v/>
      </c>
      <c r="Q314" s="18">
        <f>IF($Z314="","",IF(AND(DATE($AD314,8,1)&gt;=$AE314,DATE($AD314,8,1)&lt;=$AF314),ROUND($AG314,2),0))</f>
        <v/>
      </c>
      <c r="R314" s="18">
        <f>IF($Z314="","",IF(AND(DATE($AD314,9,1)&gt;=$AE314,DATE($AD314,9,1)&lt;=$AF314),ROUND($AG314,2),0))</f>
        <v/>
      </c>
      <c r="S314" s="18">
        <f>IF($Z314="","",IF(AND(DATE($AD314,10,1)&gt;=$AE314,DATE($AD314,10,1)&lt;=$AF314),ROUND($AG314,2),0))</f>
        <v/>
      </c>
      <c r="T314" s="18">
        <f>IF($Z314="","",IF(AND(DATE($AD314,11,1)&gt;=$AE314,DATE($AD314,11,1)&lt;=$AF314),ROUND($AG314,2),0))</f>
        <v/>
      </c>
      <c r="U314" s="18">
        <f>IF($Z314="","",IF(AND(DATE($AD314,12,1)&gt;=$AE314,DATE($AD314,12,1)&lt;=$AF314),ROUND($AG314,2),0))</f>
        <v/>
      </c>
      <c r="V314" s="7">
        <f>IF($Z314="C","Generated from "&amp;INDEX(Contracts!$A$2:$A$151,$AB314),IF($Z314="A","Generated from "&amp;INDEX(Fixed_Assets!$A$2:$A$201,$AB314),IF($Z314="F","Generated from "&amp;INDEX(FTE_Allocation!$A$2:$A$201,$AB314),"")))</f>
        <v/>
      </c>
      <c r="X314" s="19">
        <f>IF($Z314="","",SUM(J314:U314))</f>
        <v/>
      </c>
      <c r="Y314" s="20">
        <f>ROW()-1</f>
        <v/>
      </c>
      <c r="Z314" s="20">
        <f>IF($Y314&lt;=Settings!$B$4*3,"C",IF($Y314&lt;=(Settings!$B$4+Settings!$B$5)*3,"A",IF($Y314&lt;=(Settings!$B$4+Settings!$B$5+Settings!$B$6)*3,"F","")))</f>
        <v/>
      </c>
      <c r="AA314" s="20">
        <f>IF($Z314="C",$Y314,IF($Z314="A",$Y314-Settings!$B$4*3,IF($Z314="F",$Y314-(Settings!$B$4+Settings!$B$5)*3,"")))</f>
        <v/>
      </c>
      <c r="AB314" s="20">
        <f>IF($Z314="","",INT(($AA314-1)/3)+1)</f>
        <v/>
      </c>
      <c r="AC314" s="20">
        <f>IF($Z314="","",MOD($AA314-1,3)+1)</f>
        <v/>
      </c>
      <c r="AD314" s="20">
        <f>IF($Z314="","",Settings!$B$2+$AC314-1)</f>
        <v/>
      </c>
      <c r="AE314" s="21">
        <f>IF($Z314="C",DATE(YEAR(INDEX(Contracts!$J$2:$J$151,$AB314)),MONTH(INDEX(Contracts!$J$2:$J$151,$AB314)),1),IF($Z314="A",DATE(YEAR(INDEX(Fixed_Assets!$G$2:$G$201,$AB314)),MONTH(INDEX(Fixed_Assets!$G$2:$G$201,$AB314)),1),IF($Z314="F",DATE(YEAR(MAX(N(INDEX(Workforce!$I$2:$I$151,MATCH(INDEX(FTE_Allocation!$A$2:$A$201,$AB314),Workforce!$A$2:$A$151,0))),N(INDEX(FTE_Allocation!$I$2:$I$201,$AB314)))),MONTH(MAX(N(INDEX(Workforce!$I$2:$I$151,MATCH(INDEX(FTE_Allocation!$A$2:$A$201,$AB314),Workforce!$A$2:$A$151,0))),N(INDEX(FTE_Allocation!$I$2:$I$201,$AB314)))),1),"")))</f>
        <v/>
      </c>
      <c r="AF314" s="21">
        <f>IF($Z314="C",IF(INDEX(Contracts!$I$2:$I$151,$AB314)="PREPAID",EDATE(DATE(YEAR(INDEX(Contracts!$J$2:$J$151,$AB314)),MONTH(INDEX(Contracts!$J$2:$J$151,$AB314)),1),IF(INDEX(Contracts!$N$2:$N$151,$AB314)="",12,INDEX(Contracts!$N$2:$N$151,$AB314))-1),IF(INDEX(Contracts!$I$2:$I$151,$AB314)="MONTHLY",IF(INDEX(Contracts!$K$2:$K$151,$AB314)="",2958101,INDEX(Contracts!$K$2:$K$151,$AB314)),0)),IF($Z314="A",EDATE(DATE(YEAR(INDEX(Fixed_Assets!$G$2:$G$201,$AB314)),MONTH(INDEX(Fixed_Assets!$G$2:$G$201,$AB314)),1),INDEX(Fixed_Assets!$J$2:$J$201,$AB314)-1),IF($Z314="F",MIN(IF(INDEX(Workforce!$J$2:$J$151,MATCH(INDEX(FTE_Allocation!$A$2:$A$201,$AB314),Workforce!$A$2:$A$151,0))="",2958101,INDEX(Workforce!$J$2:$J$151,MATCH(INDEX(FTE_Allocation!$A$2:$A$201,$AB314),Workforce!$A$2:$A$151,0))),IF(INDEX(FTE_Allocation!$J$2:$J$201,$AB314)="",2958101,INDEX(FTE_Allocation!$J$2:$J$201,$AB314))),"")))</f>
        <v/>
      </c>
      <c r="AG314" s="19">
        <f>IF($Z314="C",IF(INDEX(Contracts!$I$2:$I$151,$AB314)="PREPAID",INDEX(Contracts!$M$2:$M$151,$AB314)/IF(INDEX(Contracts!$N$2:$N$151,$AB314)="",12,INDEX(Contracts!$N$2:$N$151,$AB314)),IF(INDEX(Contracts!$I$2:$I$151,$AB314)="MONTHLY",INDEX(Contracts!$M$2:$M$151,$AB314),0))*(1-N(INDEX(Contracts!$O$2:$O$151,$AB314))),IF($Z314="A",INDEX(Fixed_Assets!$H$2:$H$201,$AB314)/INDEX(Fixed_Assets!$J$2:$J$201,$AB314),IF($Z314="F",INDEX(Workforce!$F$2:$F$151,MATCH(INDEX(FTE_Allocation!$A$2:$A$201,$AB314),Workforce!$A$2:$A$151,0))*N(INDEX(FTE_Allocation!$F$2:$H$201,$AB314,$AC314)),"")))</f>
        <v/>
      </c>
    </row>
    <row r="315">
      <c r="A315" s="7">
        <f>IF($Z315="","",$AD315)</f>
        <v/>
      </c>
      <c r="B315" s="7">
        <f>IF($Z315="C",INDEX(Contracts!$D$2:$D$151,$AB315)&amp;"",IF($Z315="A",INDEX(Fixed_Assets!$C$2:$C$201,$AB315)&amp;"",IF($Z315="F",INDEX(Workforce!$B$2:$B$151,MATCH(INDEX(FTE_Allocation!$A$2:$A$201,$AB315),Workforce!$A$2:$A$151,0))&amp;"","")))</f>
        <v/>
      </c>
      <c r="C315" s="7">
        <f>IF($Z315="C",INDEX(Contracts!$E$2:$E$151,$AB315)&amp;"",IF($Z315="A",INDEX(Fixed_Assets!$D$2:$D$201,$AB315)&amp;"",IF($Z315="F",INDEX(FTE_Allocation!$C$2:$C$201,$AB315)&amp;"","")))</f>
        <v/>
      </c>
      <c r="D315" s="7">
        <f>IF($Z315="C",INDEX(Contracts!$B$2:$B$151,$AB315)&amp;"",IF($Z315="A",INDEX(Fixed_Assets!$B$2:$B$201,$AB315)&amp;"",IF($Z315="F",INDEX(FTE_Allocation!$B$2:$B$201,$AB315)&amp;"","")))</f>
        <v/>
      </c>
      <c r="E315" s="7">
        <f>IF($Z315="C",INDEX(Contracts!$P$2:$P$151,$AB315)&amp;"",IF($Z315="A",INDEX(Fixed_Assets!$K$2:$K$201,$AB315)&amp;"",IF($Z315="F",IF(INDEX(FTE_Allocation!$D$2:$D$201,$AB315)="PROJECT",IFERROR(INDEX(Projects!$D:$D,MATCH(INDEX(FTE_Allocation!$E$2:$E$201,$AB315),Projects!$A:$A,0))&amp;"","#PROJECT?"),INDEX(FTE_Allocation!$E$2:$E$201,$AB315)&amp;""),"")))</f>
        <v/>
      </c>
      <c r="F315" s="7">
        <f>IF($Z315="C",INDEX(Contracts!$Q$2:$Q$151,$AB315)&amp;"",IF($Z315="A",INDEX(Fixed_Assets!$L$2:$L$201,$AB315)&amp;"",IF($Z315="F",INDEX(Workforce!$K$2:$K$151,MATCH(INDEX(FTE_Allocation!$A$2:$A$201,$AB315),Workforce!$A$2:$A$151,0))&amp;"","")))</f>
        <v/>
      </c>
      <c r="G315" s="7">
        <f>IF($Z315="C",INDEX(Contracts!$F$2:$F$151,$AB315)&amp;" / "&amp;INDEX(Contracts!$G$2:$G$151,$AB315),IF($Z315="A",INDEX(Fixed_Assets!$E$2:$E$201,$AB315)&amp;"",IF($Z315="F","Personnel "&amp;INDEX(FTE_Allocation!$A$2:$A$201,$AB315)&amp;IF(INDEX(FTE_Allocation!$D$2:$D$201,$AB315)="PROJECT"," ("&amp;INDEX(FTE_Allocation!$E$2:$E$201,$AB315)&amp;")",""),"")))</f>
        <v/>
      </c>
      <c r="H315" s="7">
        <f>IF($Z315="C","CONTRACT",IF($Z315="A","ASSET",IF($Z315="F","WORKFORCE","")))</f>
        <v/>
      </c>
      <c r="I315" s="7">
        <f>IF($Z315="C",INDEX(Contracts!$L$2:$L$151,$AB315)&amp;"",IF($Z315="A",INDEX(Fixed_Assets!$I$2:$I$201,$AB315)&amp;"",IF($Z315="F",INDEX(Workforce!$G$2:$G$151,MATCH(INDEX(FTE_Allocation!$A$2:$A$201,$AB315),Workforce!$A$2:$A$151,0))&amp;"","")))</f>
        <v/>
      </c>
      <c r="J315" s="18">
        <f>IF($Z315="","",IF(AND(DATE($AD315,1,1)&gt;=$AE315,DATE($AD315,1,1)&lt;=$AF315),ROUND($AG315,2),0))</f>
        <v/>
      </c>
      <c r="K315" s="18">
        <f>IF($Z315="","",IF(AND(DATE($AD315,2,1)&gt;=$AE315,DATE($AD315,2,1)&lt;=$AF315),ROUND($AG315,2),0))</f>
        <v/>
      </c>
      <c r="L315" s="18">
        <f>IF($Z315="","",IF(AND(DATE($AD315,3,1)&gt;=$AE315,DATE($AD315,3,1)&lt;=$AF315),ROUND($AG315,2),0))</f>
        <v/>
      </c>
      <c r="M315" s="18">
        <f>IF($Z315="","",IF(AND(DATE($AD315,4,1)&gt;=$AE315,DATE($AD315,4,1)&lt;=$AF315),ROUND($AG315,2),0))</f>
        <v/>
      </c>
      <c r="N315" s="18">
        <f>IF($Z315="","",IF(AND(DATE($AD315,5,1)&gt;=$AE315,DATE($AD315,5,1)&lt;=$AF315),ROUND($AG315,2),0))</f>
        <v/>
      </c>
      <c r="O315" s="18">
        <f>IF($Z315="","",IF(AND(DATE($AD315,6,1)&gt;=$AE315,DATE($AD315,6,1)&lt;=$AF315),ROUND($AG315,2),0))</f>
        <v/>
      </c>
      <c r="P315" s="18">
        <f>IF($Z315="","",IF(AND(DATE($AD315,7,1)&gt;=$AE315,DATE($AD315,7,1)&lt;=$AF315),ROUND($AG315,2),0))</f>
        <v/>
      </c>
      <c r="Q315" s="18">
        <f>IF($Z315="","",IF(AND(DATE($AD315,8,1)&gt;=$AE315,DATE($AD315,8,1)&lt;=$AF315),ROUND($AG315,2),0))</f>
        <v/>
      </c>
      <c r="R315" s="18">
        <f>IF($Z315="","",IF(AND(DATE($AD315,9,1)&gt;=$AE315,DATE($AD315,9,1)&lt;=$AF315),ROUND($AG315,2),0))</f>
        <v/>
      </c>
      <c r="S315" s="18">
        <f>IF($Z315="","",IF(AND(DATE($AD315,10,1)&gt;=$AE315,DATE($AD315,10,1)&lt;=$AF315),ROUND($AG315,2),0))</f>
        <v/>
      </c>
      <c r="T315" s="18">
        <f>IF($Z315="","",IF(AND(DATE($AD315,11,1)&gt;=$AE315,DATE($AD315,11,1)&lt;=$AF315),ROUND($AG315,2),0))</f>
        <v/>
      </c>
      <c r="U315" s="18">
        <f>IF($Z315="","",IF(AND(DATE($AD315,12,1)&gt;=$AE315,DATE($AD315,12,1)&lt;=$AF315),ROUND($AG315,2),0))</f>
        <v/>
      </c>
      <c r="V315" s="7">
        <f>IF($Z315="C","Generated from "&amp;INDEX(Contracts!$A$2:$A$151,$AB315),IF($Z315="A","Generated from "&amp;INDEX(Fixed_Assets!$A$2:$A$201,$AB315),IF($Z315="F","Generated from "&amp;INDEX(FTE_Allocation!$A$2:$A$201,$AB315),"")))</f>
        <v/>
      </c>
      <c r="X315" s="19">
        <f>IF($Z315="","",SUM(J315:U315))</f>
        <v/>
      </c>
      <c r="Y315" s="20">
        <f>ROW()-1</f>
        <v/>
      </c>
      <c r="Z315" s="20">
        <f>IF($Y315&lt;=Settings!$B$4*3,"C",IF($Y315&lt;=(Settings!$B$4+Settings!$B$5)*3,"A",IF($Y315&lt;=(Settings!$B$4+Settings!$B$5+Settings!$B$6)*3,"F","")))</f>
        <v/>
      </c>
      <c r="AA315" s="20">
        <f>IF($Z315="C",$Y315,IF($Z315="A",$Y315-Settings!$B$4*3,IF($Z315="F",$Y315-(Settings!$B$4+Settings!$B$5)*3,"")))</f>
        <v/>
      </c>
      <c r="AB315" s="20">
        <f>IF($Z315="","",INT(($AA315-1)/3)+1)</f>
        <v/>
      </c>
      <c r="AC315" s="20">
        <f>IF($Z315="","",MOD($AA315-1,3)+1)</f>
        <v/>
      </c>
      <c r="AD315" s="20">
        <f>IF($Z315="","",Settings!$B$2+$AC315-1)</f>
        <v/>
      </c>
      <c r="AE315" s="21">
        <f>IF($Z315="C",DATE(YEAR(INDEX(Contracts!$J$2:$J$151,$AB315)),MONTH(INDEX(Contracts!$J$2:$J$151,$AB315)),1),IF($Z315="A",DATE(YEAR(INDEX(Fixed_Assets!$G$2:$G$201,$AB315)),MONTH(INDEX(Fixed_Assets!$G$2:$G$201,$AB315)),1),IF($Z315="F",DATE(YEAR(MAX(N(INDEX(Workforce!$I$2:$I$151,MATCH(INDEX(FTE_Allocation!$A$2:$A$201,$AB315),Workforce!$A$2:$A$151,0))),N(INDEX(FTE_Allocation!$I$2:$I$201,$AB315)))),MONTH(MAX(N(INDEX(Workforce!$I$2:$I$151,MATCH(INDEX(FTE_Allocation!$A$2:$A$201,$AB315),Workforce!$A$2:$A$151,0))),N(INDEX(FTE_Allocation!$I$2:$I$201,$AB315)))),1),"")))</f>
        <v/>
      </c>
      <c r="AF315" s="21">
        <f>IF($Z315="C",IF(INDEX(Contracts!$I$2:$I$151,$AB315)="PREPAID",EDATE(DATE(YEAR(INDEX(Contracts!$J$2:$J$151,$AB315)),MONTH(INDEX(Contracts!$J$2:$J$151,$AB315)),1),IF(INDEX(Contracts!$N$2:$N$151,$AB315)="",12,INDEX(Contracts!$N$2:$N$151,$AB315))-1),IF(INDEX(Contracts!$I$2:$I$151,$AB315)="MONTHLY",IF(INDEX(Contracts!$K$2:$K$151,$AB315)="",2958101,INDEX(Contracts!$K$2:$K$151,$AB315)),0)),IF($Z315="A",EDATE(DATE(YEAR(INDEX(Fixed_Assets!$G$2:$G$201,$AB315)),MONTH(INDEX(Fixed_Assets!$G$2:$G$201,$AB315)),1),INDEX(Fixed_Assets!$J$2:$J$201,$AB315)-1),IF($Z315="F",MIN(IF(INDEX(Workforce!$J$2:$J$151,MATCH(INDEX(FTE_Allocation!$A$2:$A$201,$AB315),Workforce!$A$2:$A$151,0))="",2958101,INDEX(Workforce!$J$2:$J$151,MATCH(INDEX(FTE_Allocation!$A$2:$A$201,$AB315),Workforce!$A$2:$A$151,0))),IF(INDEX(FTE_Allocation!$J$2:$J$201,$AB315)="",2958101,INDEX(FTE_Allocation!$J$2:$J$201,$AB315))),"")))</f>
        <v/>
      </c>
      <c r="AG315" s="19">
        <f>IF($Z315="C",IF(INDEX(Contracts!$I$2:$I$151,$AB315)="PREPAID",INDEX(Contracts!$M$2:$M$151,$AB315)/IF(INDEX(Contracts!$N$2:$N$151,$AB315)="",12,INDEX(Contracts!$N$2:$N$151,$AB315)),IF(INDEX(Contracts!$I$2:$I$151,$AB315)="MONTHLY",INDEX(Contracts!$M$2:$M$151,$AB315),0))*(1-N(INDEX(Contracts!$O$2:$O$151,$AB315))),IF($Z315="A",INDEX(Fixed_Assets!$H$2:$H$201,$AB315)/INDEX(Fixed_Assets!$J$2:$J$201,$AB315),IF($Z315="F",INDEX(Workforce!$F$2:$F$151,MATCH(INDEX(FTE_Allocation!$A$2:$A$201,$AB315),Workforce!$A$2:$A$151,0))*N(INDEX(FTE_Allocation!$F$2:$H$201,$AB315,$AC315)),"")))</f>
        <v/>
      </c>
    </row>
    <row r="316">
      <c r="A316" s="7">
        <f>IF($Z316="","",$AD316)</f>
        <v/>
      </c>
      <c r="B316" s="7">
        <f>IF($Z316="C",INDEX(Contracts!$D$2:$D$151,$AB316)&amp;"",IF($Z316="A",INDEX(Fixed_Assets!$C$2:$C$201,$AB316)&amp;"",IF($Z316="F",INDEX(Workforce!$B$2:$B$151,MATCH(INDEX(FTE_Allocation!$A$2:$A$201,$AB316),Workforce!$A$2:$A$151,0))&amp;"","")))</f>
        <v/>
      </c>
      <c r="C316" s="7">
        <f>IF($Z316="C",INDEX(Contracts!$E$2:$E$151,$AB316)&amp;"",IF($Z316="A",INDEX(Fixed_Assets!$D$2:$D$201,$AB316)&amp;"",IF($Z316="F",INDEX(FTE_Allocation!$C$2:$C$201,$AB316)&amp;"","")))</f>
        <v/>
      </c>
      <c r="D316" s="7">
        <f>IF($Z316="C",INDEX(Contracts!$B$2:$B$151,$AB316)&amp;"",IF($Z316="A",INDEX(Fixed_Assets!$B$2:$B$201,$AB316)&amp;"",IF($Z316="F",INDEX(FTE_Allocation!$B$2:$B$201,$AB316)&amp;"","")))</f>
        <v/>
      </c>
      <c r="E316" s="7">
        <f>IF($Z316="C",INDEX(Contracts!$P$2:$P$151,$AB316)&amp;"",IF($Z316="A",INDEX(Fixed_Assets!$K$2:$K$201,$AB316)&amp;"",IF($Z316="F",IF(INDEX(FTE_Allocation!$D$2:$D$201,$AB316)="PROJECT",IFERROR(INDEX(Projects!$D:$D,MATCH(INDEX(FTE_Allocation!$E$2:$E$201,$AB316),Projects!$A:$A,0))&amp;"","#PROJECT?"),INDEX(FTE_Allocation!$E$2:$E$201,$AB316)&amp;""),"")))</f>
        <v/>
      </c>
      <c r="F316" s="7">
        <f>IF($Z316="C",INDEX(Contracts!$Q$2:$Q$151,$AB316)&amp;"",IF($Z316="A",INDEX(Fixed_Assets!$L$2:$L$201,$AB316)&amp;"",IF($Z316="F",INDEX(Workforce!$K$2:$K$151,MATCH(INDEX(FTE_Allocation!$A$2:$A$201,$AB316),Workforce!$A$2:$A$151,0))&amp;"","")))</f>
        <v/>
      </c>
      <c r="G316" s="7">
        <f>IF($Z316="C",INDEX(Contracts!$F$2:$F$151,$AB316)&amp;" / "&amp;INDEX(Contracts!$G$2:$G$151,$AB316),IF($Z316="A",INDEX(Fixed_Assets!$E$2:$E$201,$AB316)&amp;"",IF($Z316="F","Personnel "&amp;INDEX(FTE_Allocation!$A$2:$A$201,$AB316)&amp;IF(INDEX(FTE_Allocation!$D$2:$D$201,$AB316)="PROJECT"," ("&amp;INDEX(FTE_Allocation!$E$2:$E$201,$AB316)&amp;")",""),"")))</f>
        <v/>
      </c>
      <c r="H316" s="7">
        <f>IF($Z316="C","CONTRACT",IF($Z316="A","ASSET",IF($Z316="F","WORKFORCE","")))</f>
        <v/>
      </c>
      <c r="I316" s="7">
        <f>IF($Z316="C",INDEX(Contracts!$L$2:$L$151,$AB316)&amp;"",IF($Z316="A",INDEX(Fixed_Assets!$I$2:$I$201,$AB316)&amp;"",IF($Z316="F",INDEX(Workforce!$G$2:$G$151,MATCH(INDEX(FTE_Allocation!$A$2:$A$201,$AB316),Workforce!$A$2:$A$151,0))&amp;"","")))</f>
        <v/>
      </c>
      <c r="J316" s="18">
        <f>IF($Z316="","",IF(AND(DATE($AD316,1,1)&gt;=$AE316,DATE($AD316,1,1)&lt;=$AF316),ROUND($AG316,2),0))</f>
        <v/>
      </c>
      <c r="K316" s="18">
        <f>IF($Z316="","",IF(AND(DATE($AD316,2,1)&gt;=$AE316,DATE($AD316,2,1)&lt;=$AF316),ROUND($AG316,2),0))</f>
        <v/>
      </c>
      <c r="L316" s="18">
        <f>IF($Z316="","",IF(AND(DATE($AD316,3,1)&gt;=$AE316,DATE($AD316,3,1)&lt;=$AF316),ROUND($AG316,2),0))</f>
        <v/>
      </c>
      <c r="M316" s="18">
        <f>IF($Z316="","",IF(AND(DATE($AD316,4,1)&gt;=$AE316,DATE($AD316,4,1)&lt;=$AF316),ROUND($AG316,2),0))</f>
        <v/>
      </c>
      <c r="N316" s="18">
        <f>IF($Z316="","",IF(AND(DATE($AD316,5,1)&gt;=$AE316,DATE($AD316,5,1)&lt;=$AF316),ROUND($AG316,2),0))</f>
        <v/>
      </c>
      <c r="O316" s="18">
        <f>IF($Z316="","",IF(AND(DATE($AD316,6,1)&gt;=$AE316,DATE($AD316,6,1)&lt;=$AF316),ROUND($AG316,2),0))</f>
        <v/>
      </c>
      <c r="P316" s="18">
        <f>IF($Z316="","",IF(AND(DATE($AD316,7,1)&gt;=$AE316,DATE($AD316,7,1)&lt;=$AF316),ROUND($AG316,2),0))</f>
        <v/>
      </c>
      <c r="Q316" s="18">
        <f>IF($Z316="","",IF(AND(DATE($AD316,8,1)&gt;=$AE316,DATE($AD316,8,1)&lt;=$AF316),ROUND($AG316,2),0))</f>
        <v/>
      </c>
      <c r="R316" s="18">
        <f>IF($Z316="","",IF(AND(DATE($AD316,9,1)&gt;=$AE316,DATE($AD316,9,1)&lt;=$AF316),ROUND($AG316,2),0))</f>
        <v/>
      </c>
      <c r="S316" s="18">
        <f>IF($Z316="","",IF(AND(DATE($AD316,10,1)&gt;=$AE316,DATE($AD316,10,1)&lt;=$AF316),ROUND($AG316,2),0))</f>
        <v/>
      </c>
      <c r="T316" s="18">
        <f>IF($Z316="","",IF(AND(DATE($AD316,11,1)&gt;=$AE316,DATE($AD316,11,1)&lt;=$AF316),ROUND($AG316,2),0))</f>
        <v/>
      </c>
      <c r="U316" s="18">
        <f>IF($Z316="","",IF(AND(DATE($AD316,12,1)&gt;=$AE316,DATE($AD316,12,1)&lt;=$AF316),ROUND($AG316,2),0))</f>
        <v/>
      </c>
      <c r="V316" s="7">
        <f>IF($Z316="C","Generated from "&amp;INDEX(Contracts!$A$2:$A$151,$AB316),IF($Z316="A","Generated from "&amp;INDEX(Fixed_Assets!$A$2:$A$201,$AB316),IF($Z316="F","Generated from "&amp;INDEX(FTE_Allocation!$A$2:$A$201,$AB316),"")))</f>
        <v/>
      </c>
      <c r="X316" s="19">
        <f>IF($Z316="","",SUM(J316:U316))</f>
        <v/>
      </c>
      <c r="Y316" s="20">
        <f>ROW()-1</f>
        <v/>
      </c>
      <c r="Z316" s="20">
        <f>IF($Y316&lt;=Settings!$B$4*3,"C",IF($Y316&lt;=(Settings!$B$4+Settings!$B$5)*3,"A",IF($Y316&lt;=(Settings!$B$4+Settings!$B$5+Settings!$B$6)*3,"F","")))</f>
        <v/>
      </c>
      <c r="AA316" s="20">
        <f>IF($Z316="C",$Y316,IF($Z316="A",$Y316-Settings!$B$4*3,IF($Z316="F",$Y316-(Settings!$B$4+Settings!$B$5)*3,"")))</f>
        <v/>
      </c>
      <c r="AB316" s="20">
        <f>IF($Z316="","",INT(($AA316-1)/3)+1)</f>
        <v/>
      </c>
      <c r="AC316" s="20">
        <f>IF($Z316="","",MOD($AA316-1,3)+1)</f>
        <v/>
      </c>
      <c r="AD316" s="20">
        <f>IF($Z316="","",Settings!$B$2+$AC316-1)</f>
        <v/>
      </c>
      <c r="AE316" s="21">
        <f>IF($Z316="C",DATE(YEAR(INDEX(Contracts!$J$2:$J$151,$AB316)),MONTH(INDEX(Contracts!$J$2:$J$151,$AB316)),1),IF($Z316="A",DATE(YEAR(INDEX(Fixed_Assets!$G$2:$G$201,$AB316)),MONTH(INDEX(Fixed_Assets!$G$2:$G$201,$AB316)),1),IF($Z316="F",DATE(YEAR(MAX(N(INDEX(Workforce!$I$2:$I$151,MATCH(INDEX(FTE_Allocation!$A$2:$A$201,$AB316),Workforce!$A$2:$A$151,0))),N(INDEX(FTE_Allocation!$I$2:$I$201,$AB316)))),MONTH(MAX(N(INDEX(Workforce!$I$2:$I$151,MATCH(INDEX(FTE_Allocation!$A$2:$A$201,$AB316),Workforce!$A$2:$A$151,0))),N(INDEX(FTE_Allocation!$I$2:$I$201,$AB316)))),1),"")))</f>
        <v/>
      </c>
      <c r="AF316" s="21">
        <f>IF($Z316="C",IF(INDEX(Contracts!$I$2:$I$151,$AB316)="PREPAID",EDATE(DATE(YEAR(INDEX(Contracts!$J$2:$J$151,$AB316)),MONTH(INDEX(Contracts!$J$2:$J$151,$AB316)),1),IF(INDEX(Contracts!$N$2:$N$151,$AB316)="",12,INDEX(Contracts!$N$2:$N$151,$AB316))-1),IF(INDEX(Contracts!$I$2:$I$151,$AB316)="MONTHLY",IF(INDEX(Contracts!$K$2:$K$151,$AB316)="",2958101,INDEX(Contracts!$K$2:$K$151,$AB316)),0)),IF($Z316="A",EDATE(DATE(YEAR(INDEX(Fixed_Assets!$G$2:$G$201,$AB316)),MONTH(INDEX(Fixed_Assets!$G$2:$G$201,$AB316)),1),INDEX(Fixed_Assets!$J$2:$J$201,$AB316)-1),IF($Z316="F",MIN(IF(INDEX(Workforce!$J$2:$J$151,MATCH(INDEX(FTE_Allocation!$A$2:$A$201,$AB316),Workforce!$A$2:$A$151,0))="",2958101,INDEX(Workforce!$J$2:$J$151,MATCH(INDEX(FTE_Allocation!$A$2:$A$201,$AB316),Workforce!$A$2:$A$151,0))),IF(INDEX(FTE_Allocation!$J$2:$J$201,$AB316)="",2958101,INDEX(FTE_Allocation!$J$2:$J$201,$AB316))),"")))</f>
        <v/>
      </c>
      <c r="AG316" s="19">
        <f>IF($Z316="C",IF(INDEX(Contracts!$I$2:$I$151,$AB316)="PREPAID",INDEX(Contracts!$M$2:$M$151,$AB316)/IF(INDEX(Contracts!$N$2:$N$151,$AB316)="",12,INDEX(Contracts!$N$2:$N$151,$AB316)),IF(INDEX(Contracts!$I$2:$I$151,$AB316)="MONTHLY",INDEX(Contracts!$M$2:$M$151,$AB316),0))*(1-N(INDEX(Contracts!$O$2:$O$151,$AB316))),IF($Z316="A",INDEX(Fixed_Assets!$H$2:$H$201,$AB316)/INDEX(Fixed_Assets!$J$2:$J$201,$AB316),IF($Z316="F",INDEX(Workforce!$F$2:$F$151,MATCH(INDEX(FTE_Allocation!$A$2:$A$201,$AB316),Workforce!$A$2:$A$151,0))*N(INDEX(FTE_Allocation!$F$2:$H$201,$AB316,$AC316)),"")))</f>
        <v/>
      </c>
    </row>
    <row r="317">
      <c r="A317" s="7">
        <f>IF($Z317="","",$AD317)</f>
        <v/>
      </c>
      <c r="B317" s="7">
        <f>IF($Z317="C",INDEX(Contracts!$D$2:$D$151,$AB317)&amp;"",IF($Z317="A",INDEX(Fixed_Assets!$C$2:$C$201,$AB317)&amp;"",IF($Z317="F",INDEX(Workforce!$B$2:$B$151,MATCH(INDEX(FTE_Allocation!$A$2:$A$201,$AB317),Workforce!$A$2:$A$151,0))&amp;"","")))</f>
        <v/>
      </c>
      <c r="C317" s="7">
        <f>IF($Z317="C",INDEX(Contracts!$E$2:$E$151,$AB317)&amp;"",IF($Z317="A",INDEX(Fixed_Assets!$D$2:$D$201,$AB317)&amp;"",IF($Z317="F",INDEX(FTE_Allocation!$C$2:$C$201,$AB317)&amp;"","")))</f>
        <v/>
      </c>
      <c r="D317" s="7">
        <f>IF($Z317="C",INDEX(Contracts!$B$2:$B$151,$AB317)&amp;"",IF($Z317="A",INDEX(Fixed_Assets!$B$2:$B$201,$AB317)&amp;"",IF($Z317="F",INDEX(FTE_Allocation!$B$2:$B$201,$AB317)&amp;"","")))</f>
        <v/>
      </c>
      <c r="E317" s="7">
        <f>IF($Z317="C",INDEX(Contracts!$P$2:$P$151,$AB317)&amp;"",IF($Z317="A",INDEX(Fixed_Assets!$K$2:$K$201,$AB317)&amp;"",IF($Z317="F",IF(INDEX(FTE_Allocation!$D$2:$D$201,$AB317)="PROJECT",IFERROR(INDEX(Projects!$D:$D,MATCH(INDEX(FTE_Allocation!$E$2:$E$201,$AB317),Projects!$A:$A,0))&amp;"","#PROJECT?"),INDEX(FTE_Allocation!$E$2:$E$201,$AB317)&amp;""),"")))</f>
        <v/>
      </c>
      <c r="F317" s="7">
        <f>IF($Z317="C",INDEX(Contracts!$Q$2:$Q$151,$AB317)&amp;"",IF($Z317="A",INDEX(Fixed_Assets!$L$2:$L$201,$AB317)&amp;"",IF($Z317="F",INDEX(Workforce!$K$2:$K$151,MATCH(INDEX(FTE_Allocation!$A$2:$A$201,$AB317),Workforce!$A$2:$A$151,0))&amp;"","")))</f>
        <v/>
      </c>
      <c r="G317" s="7">
        <f>IF($Z317="C",INDEX(Contracts!$F$2:$F$151,$AB317)&amp;" / "&amp;INDEX(Contracts!$G$2:$G$151,$AB317),IF($Z317="A",INDEX(Fixed_Assets!$E$2:$E$201,$AB317)&amp;"",IF($Z317="F","Personnel "&amp;INDEX(FTE_Allocation!$A$2:$A$201,$AB317)&amp;IF(INDEX(FTE_Allocation!$D$2:$D$201,$AB317)="PROJECT"," ("&amp;INDEX(FTE_Allocation!$E$2:$E$201,$AB317)&amp;")",""),"")))</f>
        <v/>
      </c>
      <c r="H317" s="7">
        <f>IF($Z317="C","CONTRACT",IF($Z317="A","ASSET",IF($Z317="F","WORKFORCE","")))</f>
        <v/>
      </c>
      <c r="I317" s="7">
        <f>IF($Z317="C",INDEX(Contracts!$L$2:$L$151,$AB317)&amp;"",IF($Z317="A",INDEX(Fixed_Assets!$I$2:$I$201,$AB317)&amp;"",IF($Z317="F",INDEX(Workforce!$G$2:$G$151,MATCH(INDEX(FTE_Allocation!$A$2:$A$201,$AB317),Workforce!$A$2:$A$151,0))&amp;"","")))</f>
        <v/>
      </c>
      <c r="J317" s="18">
        <f>IF($Z317="","",IF(AND(DATE($AD317,1,1)&gt;=$AE317,DATE($AD317,1,1)&lt;=$AF317),ROUND($AG317,2),0))</f>
        <v/>
      </c>
      <c r="K317" s="18">
        <f>IF($Z317="","",IF(AND(DATE($AD317,2,1)&gt;=$AE317,DATE($AD317,2,1)&lt;=$AF317),ROUND($AG317,2),0))</f>
        <v/>
      </c>
      <c r="L317" s="18">
        <f>IF($Z317="","",IF(AND(DATE($AD317,3,1)&gt;=$AE317,DATE($AD317,3,1)&lt;=$AF317),ROUND($AG317,2),0))</f>
        <v/>
      </c>
      <c r="M317" s="18">
        <f>IF($Z317="","",IF(AND(DATE($AD317,4,1)&gt;=$AE317,DATE($AD317,4,1)&lt;=$AF317),ROUND($AG317,2),0))</f>
        <v/>
      </c>
      <c r="N317" s="18">
        <f>IF($Z317="","",IF(AND(DATE($AD317,5,1)&gt;=$AE317,DATE($AD317,5,1)&lt;=$AF317),ROUND($AG317,2),0))</f>
        <v/>
      </c>
      <c r="O317" s="18">
        <f>IF($Z317="","",IF(AND(DATE($AD317,6,1)&gt;=$AE317,DATE($AD317,6,1)&lt;=$AF317),ROUND($AG317,2),0))</f>
        <v/>
      </c>
      <c r="P317" s="18">
        <f>IF($Z317="","",IF(AND(DATE($AD317,7,1)&gt;=$AE317,DATE($AD317,7,1)&lt;=$AF317),ROUND($AG317,2),0))</f>
        <v/>
      </c>
      <c r="Q317" s="18">
        <f>IF($Z317="","",IF(AND(DATE($AD317,8,1)&gt;=$AE317,DATE($AD317,8,1)&lt;=$AF317),ROUND($AG317,2),0))</f>
        <v/>
      </c>
      <c r="R317" s="18">
        <f>IF($Z317="","",IF(AND(DATE($AD317,9,1)&gt;=$AE317,DATE($AD317,9,1)&lt;=$AF317),ROUND($AG317,2),0))</f>
        <v/>
      </c>
      <c r="S317" s="18">
        <f>IF($Z317="","",IF(AND(DATE($AD317,10,1)&gt;=$AE317,DATE($AD317,10,1)&lt;=$AF317),ROUND($AG317,2),0))</f>
        <v/>
      </c>
      <c r="T317" s="18">
        <f>IF($Z317="","",IF(AND(DATE($AD317,11,1)&gt;=$AE317,DATE($AD317,11,1)&lt;=$AF317),ROUND($AG317,2),0))</f>
        <v/>
      </c>
      <c r="U317" s="18">
        <f>IF($Z317="","",IF(AND(DATE($AD317,12,1)&gt;=$AE317,DATE($AD317,12,1)&lt;=$AF317),ROUND($AG317,2),0))</f>
        <v/>
      </c>
      <c r="V317" s="7">
        <f>IF($Z317="C","Generated from "&amp;INDEX(Contracts!$A$2:$A$151,$AB317),IF($Z317="A","Generated from "&amp;INDEX(Fixed_Assets!$A$2:$A$201,$AB317),IF($Z317="F","Generated from "&amp;INDEX(FTE_Allocation!$A$2:$A$201,$AB317),"")))</f>
        <v/>
      </c>
      <c r="X317" s="19">
        <f>IF($Z317="","",SUM(J317:U317))</f>
        <v/>
      </c>
      <c r="Y317" s="20">
        <f>ROW()-1</f>
        <v/>
      </c>
      <c r="Z317" s="20">
        <f>IF($Y317&lt;=Settings!$B$4*3,"C",IF($Y317&lt;=(Settings!$B$4+Settings!$B$5)*3,"A",IF($Y317&lt;=(Settings!$B$4+Settings!$B$5+Settings!$B$6)*3,"F","")))</f>
        <v/>
      </c>
      <c r="AA317" s="20">
        <f>IF($Z317="C",$Y317,IF($Z317="A",$Y317-Settings!$B$4*3,IF($Z317="F",$Y317-(Settings!$B$4+Settings!$B$5)*3,"")))</f>
        <v/>
      </c>
      <c r="AB317" s="20">
        <f>IF($Z317="","",INT(($AA317-1)/3)+1)</f>
        <v/>
      </c>
      <c r="AC317" s="20">
        <f>IF($Z317="","",MOD($AA317-1,3)+1)</f>
        <v/>
      </c>
      <c r="AD317" s="20">
        <f>IF($Z317="","",Settings!$B$2+$AC317-1)</f>
        <v/>
      </c>
      <c r="AE317" s="21">
        <f>IF($Z317="C",DATE(YEAR(INDEX(Contracts!$J$2:$J$151,$AB317)),MONTH(INDEX(Contracts!$J$2:$J$151,$AB317)),1),IF($Z317="A",DATE(YEAR(INDEX(Fixed_Assets!$G$2:$G$201,$AB317)),MONTH(INDEX(Fixed_Assets!$G$2:$G$201,$AB317)),1),IF($Z317="F",DATE(YEAR(MAX(N(INDEX(Workforce!$I$2:$I$151,MATCH(INDEX(FTE_Allocation!$A$2:$A$201,$AB317),Workforce!$A$2:$A$151,0))),N(INDEX(FTE_Allocation!$I$2:$I$201,$AB317)))),MONTH(MAX(N(INDEX(Workforce!$I$2:$I$151,MATCH(INDEX(FTE_Allocation!$A$2:$A$201,$AB317),Workforce!$A$2:$A$151,0))),N(INDEX(FTE_Allocation!$I$2:$I$201,$AB317)))),1),"")))</f>
        <v/>
      </c>
      <c r="AF317" s="21">
        <f>IF($Z317="C",IF(INDEX(Contracts!$I$2:$I$151,$AB317)="PREPAID",EDATE(DATE(YEAR(INDEX(Contracts!$J$2:$J$151,$AB317)),MONTH(INDEX(Contracts!$J$2:$J$151,$AB317)),1),IF(INDEX(Contracts!$N$2:$N$151,$AB317)="",12,INDEX(Contracts!$N$2:$N$151,$AB317))-1),IF(INDEX(Contracts!$I$2:$I$151,$AB317)="MONTHLY",IF(INDEX(Contracts!$K$2:$K$151,$AB317)="",2958101,INDEX(Contracts!$K$2:$K$151,$AB317)),0)),IF($Z317="A",EDATE(DATE(YEAR(INDEX(Fixed_Assets!$G$2:$G$201,$AB317)),MONTH(INDEX(Fixed_Assets!$G$2:$G$201,$AB317)),1),INDEX(Fixed_Assets!$J$2:$J$201,$AB317)-1),IF($Z317="F",MIN(IF(INDEX(Workforce!$J$2:$J$151,MATCH(INDEX(FTE_Allocation!$A$2:$A$201,$AB317),Workforce!$A$2:$A$151,0))="",2958101,INDEX(Workforce!$J$2:$J$151,MATCH(INDEX(FTE_Allocation!$A$2:$A$201,$AB317),Workforce!$A$2:$A$151,0))),IF(INDEX(FTE_Allocation!$J$2:$J$201,$AB317)="",2958101,INDEX(FTE_Allocation!$J$2:$J$201,$AB317))),"")))</f>
        <v/>
      </c>
      <c r="AG317" s="19">
        <f>IF($Z317="C",IF(INDEX(Contracts!$I$2:$I$151,$AB317)="PREPAID",INDEX(Contracts!$M$2:$M$151,$AB317)/IF(INDEX(Contracts!$N$2:$N$151,$AB317)="",12,INDEX(Contracts!$N$2:$N$151,$AB317)),IF(INDEX(Contracts!$I$2:$I$151,$AB317)="MONTHLY",INDEX(Contracts!$M$2:$M$151,$AB317),0))*(1-N(INDEX(Contracts!$O$2:$O$151,$AB317))),IF($Z317="A",INDEX(Fixed_Assets!$H$2:$H$201,$AB317)/INDEX(Fixed_Assets!$J$2:$J$201,$AB317),IF($Z317="F",INDEX(Workforce!$F$2:$F$151,MATCH(INDEX(FTE_Allocation!$A$2:$A$201,$AB317),Workforce!$A$2:$A$151,0))*N(INDEX(FTE_Allocation!$F$2:$H$201,$AB317,$AC317)),"")))</f>
        <v/>
      </c>
    </row>
    <row r="318">
      <c r="A318" s="7">
        <f>IF($Z318="","",$AD318)</f>
        <v/>
      </c>
      <c r="B318" s="7">
        <f>IF($Z318="C",INDEX(Contracts!$D$2:$D$151,$AB318)&amp;"",IF($Z318="A",INDEX(Fixed_Assets!$C$2:$C$201,$AB318)&amp;"",IF($Z318="F",INDEX(Workforce!$B$2:$B$151,MATCH(INDEX(FTE_Allocation!$A$2:$A$201,$AB318),Workforce!$A$2:$A$151,0))&amp;"","")))</f>
        <v/>
      </c>
      <c r="C318" s="7">
        <f>IF($Z318="C",INDEX(Contracts!$E$2:$E$151,$AB318)&amp;"",IF($Z318="A",INDEX(Fixed_Assets!$D$2:$D$201,$AB318)&amp;"",IF($Z318="F",INDEX(FTE_Allocation!$C$2:$C$201,$AB318)&amp;"","")))</f>
        <v/>
      </c>
      <c r="D318" s="7">
        <f>IF($Z318="C",INDEX(Contracts!$B$2:$B$151,$AB318)&amp;"",IF($Z318="A",INDEX(Fixed_Assets!$B$2:$B$201,$AB318)&amp;"",IF($Z318="F",INDEX(FTE_Allocation!$B$2:$B$201,$AB318)&amp;"","")))</f>
        <v/>
      </c>
      <c r="E318" s="7">
        <f>IF($Z318="C",INDEX(Contracts!$P$2:$P$151,$AB318)&amp;"",IF($Z318="A",INDEX(Fixed_Assets!$K$2:$K$201,$AB318)&amp;"",IF($Z318="F",IF(INDEX(FTE_Allocation!$D$2:$D$201,$AB318)="PROJECT",IFERROR(INDEX(Projects!$D:$D,MATCH(INDEX(FTE_Allocation!$E$2:$E$201,$AB318),Projects!$A:$A,0))&amp;"","#PROJECT?"),INDEX(FTE_Allocation!$E$2:$E$201,$AB318)&amp;""),"")))</f>
        <v/>
      </c>
      <c r="F318" s="7">
        <f>IF($Z318="C",INDEX(Contracts!$Q$2:$Q$151,$AB318)&amp;"",IF($Z318="A",INDEX(Fixed_Assets!$L$2:$L$201,$AB318)&amp;"",IF($Z318="F",INDEX(Workforce!$K$2:$K$151,MATCH(INDEX(FTE_Allocation!$A$2:$A$201,$AB318),Workforce!$A$2:$A$151,0))&amp;"","")))</f>
        <v/>
      </c>
      <c r="G318" s="7">
        <f>IF($Z318="C",INDEX(Contracts!$F$2:$F$151,$AB318)&amp;" / "&amp;INDEX(Contracts!$G$2:$G$151,$AB318),IF($Z318="A",INDEX(Fixed_Assets!$E$2:$E$201,$AB318)&amp;"",IF($Z318="F","Personnel "&amp;INDEX(FTE_Allocation!$A$2:$A$201,$AB318)&amp;IF(INDEX(FTE_Allocation!$D$2:$D$201,$AB318)="PROJECT"," ("&amp;INDEX(FTE_Allocation!$E$2:$E$201,$AB318)&amp;")",""),"")))</f>
        <v/>
      </c>
      <c r="H318" s="7">
        <f>IF($Z318="C","CONTRACT",IF($Z318="A","ASSET",IF($Z318="F","WORKFORCE","")))</f>
        <v/>
      </c>
      <c r="I318" s="7">
        <f>IF($Z318="C",INDEX(Contracts!$L$2:$L$151,$AB318)&amp;"",IF($Z318="A",INDEX(Fixed_Assets!$I$2:$I$201,$AB318)&amp;"",IF($Z318="F",INDEX(Workforce!$G$2:$G$151,MATCH(INDEX(FTE_Allocation!$A$2:$A$201,$AB318),Workforce!$A$2:$A$151,0))&amp;"","")))</f>
        <v/>
      </c>
      <c r="J318" s="18">
        <f>IF($Z318="","",IF(AND(DATE($AD318,1,1)&gt;=$AE318,DATE($AD318,1,1)&lt;=$AF318),ROUND($AG318,2),0))</f>
        <v/>
      </c>
      <c r="K318" s="18">
        <f>IF($Z318="","",IF(AND(DATE($AD318,2,1)&gt;=$AE318,DATE($AD318,2,1)&lt;=$AF318),ROUND($AG318,2),0))</f>
        <v/>
      </c>
      <c r="L318" s="18">
        <f>IF($Z318="","",IF(AND(DATE($AD318,3,1)&gt;=$AE318,DATE($AD318,3,1)&lt;=$AF318),ROUND($AG318,2),0))</f>
        <v/>
      </c>
      <c r="M318" s="18">
        <f>IF($Z318="","",IF(AND(DATE($AD318,4,1)&gt;=$AE318,DATE($AD318,4,1)&lt;=$AF318),ROUND($AG318,2),0))</f>
        <v/>
      </c>
      <c r="N318" s="18">
        <f>IF($Z318="","",IF(AND(DATE($AD318,5,1)&gt;=$AE318,DATE($AD318,5,1)&lt;=$AF318),ROUND($AG318,2),0))</f>
        <v/>
      </c>
      <c r="O318" s="18">
        <f>IF($Z318="","",IF(AND(DATE($AD318,6,1)&gt;=$AE318,DATE($AD318,6,1)&lt;=$AF318),ROUND($AG318,2),0))</f>
        <v/>
      </c>
      <c r="P318" s="18">
        <f>IF($Z318="","",IF(AND(DATE($AD318,7,1)&gt;=$AE318,DATE($AD318,7,1)&lt;=$AF318),ROUND($AG318,2),0))</f>
        <v/>
      </c>
      <c r="Q318" s="18">
        <f>IF($Z318="","",IF(AND(DATE($AD318,8,1)&gt;=$AE318,DATE($AD318,8,1)&lt;=$AF318),ROUND($AG318,2),0))</f>
        <v/>
      </c>
      <c r="R318" s="18">
        <f>IF($Z318="","",IF(AND(DATE($AD318,9,1)&gt;=$AE318,DATE($AD318,9,1)&lt;=$AF318),ROUND($AG318,2),0))</f>
        <v/>
      </c>
      <c r="S318" s="18">
        <f>IF($Z318="","",IF(AND(DATE($AD318,10,1)&gt;=$AE318,DATE($AD318,10,1)&lt;=$AF318),ROUND($AG318,2),0))</f>
        <v/>
      </c>
      <c r="T318" s="18">
        <f>IF($Z318="","",IF(AND(DATE($AD318,11,1)&gt;=$AE318,DATE($AD318,11,1)&lt;=$AF318),ROUND($AG318,2),0))</f>
        <v/>
      </c>
      <c r="U318" s="18">
        <f>IF($Z318="","",IF(AND(DATE($AD318,12,1)&gt;=$AE318,DATE($AD318,12,1)&lt;=$AF318),ROUND($AG318,2),0))</f>
        <v/>
      </c>
      <c r="V318" s="7">
        <f>IF($Z318="C","Generated from "&amp;INDEX(Contracts!$A$2:$A$151,$AB318),IF($Z318="A","Generated from "&amp;INDEX(Fixed_Assets!$A$2:$A$201,$AB318),IF($Z318="F","Generated from "&amp;INDEX(FTE_Allocation!$A$2:$A$201,$AB318),"")))</f>
        <v/>
      </c>
      <c r="X318" s="19">
        <f>IF($Z318="","",SUM(J318:U318))</f>
        <v/>
      </c>
      <c r="Y318" s="20">
        <f>ROW()-1</f>
        <v/>
      </c>
      <c r="Z318" s="20">
        <f>IF($Y318&lt;=Settings!$B$4*3,"C",IF($Y318&lt;=(Settings!$B$4+Settings!$B$5)*3,"A",IF($Y318&lt;=(Settings!$B$4+Settings!$B$5+Settings!$B$6)*3,"F","")))</f>
        <v/>
      </c>
      <c r="AA318" s="20">
        <f>IF($Z318="C",$Y318,IF($Z318="A",$Y318-Settings!$B$4*3,IF($Z318="F",$Y318-(Settings!$B$4+Settings!$B$5)*3,"")))</f>
        <v/>
      </c>
      <c r="AB318" s="20">
        <f>IF($Z318="","",INT(($AA318-1)/3)+1)</f>
        <v/>
      </c>
      <c r="AC318" s="20">
        <f>IF($Z318="","",MOD($AA318-1,3)+1)</f>
        <v/>
      </c>
      <c r="AD318" s="20">
        <f>IF($Z318="","",Settings!$B$2+$AC318-1)</f>
        <v/>
      </c>
      <c r="AE318" s="21">
        <f>IF($Z318="C",DATE(YEAR(INDEX(Contracts!$J$2:$J$151,$AB318)),MONTH(INDEX(Contracts!$J$2:$J$151,$AB318)),1),IF($Z318="A",DATE(YEAR(INDEX(Fixed_Assets!$G$2:$G$201,$AB318)),MONTH(INDEX(Fixed_Assets!$G$2:$G$201,$AB318)),1),IF($Z318="F",DATE(YEAR(MAX(N(INDEX(Workforce!$I$2:$I$151,MATCH(INDEX(FTE_Allocation!$A$2:$A$201,$AB318),Workforce!$A$2:$A$151,0))),N(INDEX(FTE_Allocation!$I$2:$I$201,$AB318)))),MONTH(MAX(N(INDEX(Workforce!$I$2:$I$151,MATCH(INDEX(FTE_Allocation!$A$2:$A$201,$AB318),Workforce!$A$2:$A$151,0))),N(INDEX(FTE_Allocation!$I$2:$I$201,$AB318)))),1),"")))</f>
        <v/>
      </c>
      <c r="AF318" s="21">
        <f>IF($Z318="C",IF(INDEX(Contracts!$I$2:$I$151,$AB318)="PREPAID",EDATE(DATE(YEAR(INDEX(Contracts!$J$2:$J$151,$AB318)),MONTH(INDEX(Contracts!$J$2:$J$151,$AB318)),1),IF(INDEX(Contracts!$N$2:$N$151,$AB318)="",12,INDEX(Contracts!$N$2:$N$151,$AB318))-1),IF(INDEX(Contracts!$I$2:$I$151,$AB318)="MONTHLY",IF(INDEX(Contracts!$K$2:$K$151,$AB318)="",2958101,INDEX(Contracts!$K$2:$K$151,$AB318)),0)),IF($Z318="A",EDATE(DATE(YEAR(INDEX(Fixed_Assets!$G$2:$G$201,$AB318)),MONTH(INDEX(Fixed_Assets!$G$2:$G$201,$AB318)),1),INDEX(Fixed_Assets!$J$2:$J$201,$AB318)-1),IF($Z318="F",MIN(IF(INDEX(Workforce!$J$2:$J$151,MATCH(INDEX(FTE_Allocation!$A$2:$A$201,$AB318),Workforce!$A$2:$A$151,0))="",2958101,INDEX(Workforce!$J$2:$J$151,MATCH(INDEX(FTE_Allocation!$A$2:$A$201,$AB318),Workforce!$A$2:$A$151,0))),IF(INDEX(FTE_Allocation!$J$2:$J$201,$AB318)="",2958101,INDEX(FTE_Allocation!$J$2:$J$201,$AB318))),"")))</f>
        <v/>
      </c>
      <c r="AG318" s="19">
        <f>IF($Z318="C",IF(INDEX(Contracts!$I$2:$I$151,$AB318)="PREPAID",INDEX(Contracts!$M$2:$M$151,$AB318)/IF(INDEX(Contracts!$N$2:$N$151,$AB318)="",12,INDEX(Contracts!$N$2:$N$151,$AB318)),IF(INDEX(Contracts!$I$2:$I$151,$AB318)="MONTHLY",INDEX(Contracts!$M$2:$M$151,$AB318),0))*(1-N(INDEX(Contracts!$O$2:$O$151,$AB318))),IF($Z318="A",INDEX(Fixed_Assets!$H$2:$H$201,$AB318)/INDEX(Fixed_Assets!$J$2:$J$201,$AB318),IF($Z318="F",INDEX(Workforce!$F$2:$F$151,MATCH(INDEX(FTE_Allocation!$A$2:$A$201,$AB318),Workforce!$A$2:$A$151,0))*N(INDEX(FTE_Allocation!$F$2:$H$201,$AB318,$AC318)),"")))</f>
        <v/>
      </c>
    </row>
    <row r="319">
      <c r="A319" s="7">
        <f>IF($Z319="","",$AD319)</f>
        <v/>
      </c>
      <c r="B319" s="7">
        <f>IF($Z319="C",INDEX(Contracts!$D$2:$D$151,$AB319)&amp;"",IF($Z319="A",INDEX(Fixed_Assets!$C$2:$C$201,$AB319)&amp;"",IF($Z319="F",INDEX(Workforce!$B$2:$B$151,MATCH(INDEX(FTE_Allocation!$A$2:$A$201,$AB319),Workforce!$A$2:$A$151,0))&amp;"","")))</f>
        <v/>
      </c>
      <c r="C319" s="7">
        <f>IF($Z319="C",INDEX(Contracts!$E$2:$E$151,$AB319)&amp;"",IF($Z319="A",INDEX(Fixed_Assets!$D$2:$D$201,$AB319)&amp;"",IF($Z319="F",INDEX(FTE_Allocation!$C$2:$C$201,$AB319)&amp;"","")))</f>
        <v/>
      </c>
      <c r="D319" s="7">
        <f>IF($Z319="C",INDEX(Contracts!$B$2:$B$151,$AB319)&amp;"",IF($Z319="A",INDEX(Fixed_Assets!$B$2:$B$201,$AB319)&amp;"",IF($Z319="F",INDEX(FTE_Allocation!$B$2:$B$201,$AB319)&amp;"","")))</f>
        <v/>
      </c>
      <c r="E319" s="7">
        <f>IF($Z319="C",INDEX(Contracts!$P$2:$P$151,$AB319)&amp;"",IF($Z319="A",INDEX(Fixed_Assets!$K$2:$K$201,$AB319)&amp;"",IF($Z319="F",IF(INDEX(FTE_Allocation!$D$2:$D$201,$AB319)="PROJECT",IFERROR(INDEX(Projects!$D:$D,MATCH(INDEX(FTE_Allocation!$E$2:$E$201,$AB319),Projects!$A:$A,0))&amp;"","#PROJECT?"),INDEX(FTE_Allocation!$E$2:$E$201,$AB319)&amp;""),"")))</f>
        <v/>
      </c>
      <c r="F319" s="7">
        <f>IF($Z319="C",INDEX(Contracts!$Q$2:$Q$151,$AB319)&amp;"",IF($Z319="A",INDEX(Fixed_Assets!$L$2:$L$201,$AB319)&amp;"",IF($Z319="F",INDEX(Workforce!$K$2:$K$151,MATCH(INDEX(FTE_Allocation!$A$2:$A$201,$AB319),Workforce!$A$2:$A$151,0))&amp;"","")))</f>
        <v/>
      </c>
      <c r="G319" s="7">
        <f>IF($Z319="C",INDEX(Contracts!$F$2:$F$151,$AB319)&amp;" / "&amp;INDEX(Contracts!$G$2:$G$151,$AB319),IF($Z319="A",INDEX(Fixed_Assets!$E$2:$E$201,$AB319)&amp;"",IF($Z319="F","Personnel "&amp;INDEX(FTE_Allocation!$A$2:$A$201,$AB319)&amp;IF(INDEX(FTE_Allocation!$D$2:$D$201,$AB319)="PROJECT"," ("&amp;INDEX(FTE_Allocation!$E$2:$E$201,$AB319)&amp;")",""),"")))</f>
        <v/>
      </c>
      <c r="H319" s="7">
        <f>IF($Z319="C","CONTRACT",IF($Z319="A","ASSET",IF($Z319="F","WORKFORCE","")))</f>
        <v/>
      </c>
      <c r="I319" s="7">
        <f>IF($Z319="C",INDEX(Contracts!$L$2:$L$151,$AB319)&amp;"",IF($Z319="A",INDEX(Fixed_Assets!$I$2:$I$201,$AB319)&amp;"",IF($Z319="F",INDEX(Workforce!$G$2:$G$151,MATCH(INDEX(FTE_Allocation!$A$2:$A$201,$AB319),Workforce!$A$2:$A$151,0))&amp;"","")))</f>
        <v/>
      </c>
      <c r="J319" s="18">
        <f>IF($Z319="","",IF(AND(DATE($AD319,1,1)&gt;=$AE319,DATE($AD319,1,1)&lt;=$AF319),ROUND($AG319,2),0))</f>
        <v/>
      </c>
      <c r="K319" s="18">
        <f>IF($Z319="","",IF(AND(DATE($AD319,2,1)&gt;=$AE319,DATE($AD319,2,1)&lt;=$AF319),ROUND($AG319,2),0))</f>
        <v/>
      </c>
      <c r="L319" s="18">
        <f>IF($Z319="","",IF(AND(DATE($AD319,3,1)&gt;=$AE319,DATE($AD319,3,1)&lt;=$AF319),ROUND($AG319,2),0))</f>
        <v/>
      </c>
      <c r="M319" s="18">
        <f>IF($Z319="","",IF(AND(DATE($AD319,4,1)&gt;=$AE319,DATE($AD319,4,1)&lt;=$AF319),ROUND($AG319,2),0))</f>
        <v/>
      </c>
      <c r="N319" s="18">
        <f>IF($Z319="","",IF(AND(DATE($AD319,5,1)&gt;=$AE319,DATE($AD319,5,1)&lt;=$AF319),ROUND($AG319,2),0))</f>
        <v/>
      </c>
      <c r="O319" s="18">
        <f>IF($Z319="","",IF(AND(DATE($AD319,6,1)&gt;=$AE319,DATE($AD319,6,1)&lt;=$AF319),ROUND($AG319,2),0))</f>
        <v/>
      </c>
      <c r="P319" s="18">
        <f>IF($Z319="","",IF(AND(DATE($AD319,7,1)&gt;=$AE319,DATE($AD319,7,1)&lt;=$AF319),ROUND($AG319,2),0))</f>
        <v/>
      </c>
      <c r="Q319" s="18">
        <f>IF($Z319="","",IF(AND(DATE($AD319,8,1)&gt;=$AE319,DATE($AD319,8,1)&lt;=$AF319),ROUND($AG319,2),0))</f>
        <v/>
      </c>
      <c r="R319" s="18">
        <f>IF($Z319="","",IF(AND(DATE($AD319,9,1)&gt;=$AE319,DATE($AD319,9,1)&lt;=$AF319),ROUND($AG319,2),0))</f>
        <v/>
      </c>
      <c r="S319" s="18">
        <f>IF($Z319="","",IF(AND(DATE($AD319,10,1)&gt;=$AE319,DATE($AD319,10,1)&lt;=$AF319),ROUND($AG319,2),0))</f>
        <v/>
      </c>
      <c r="T319" s="18">
        <f>IF($Z319="","",IF(AND(DATE($AD319,11,1)&gt;=$AE319,DATE($AD319,11,1)&lt;=$AF319),ROUND($AG319,2),0))</f>
        <v/>
      </c>
      <c r="U319" s="18">
        <f>IF($Z319="","",IF(AND(DATE($AD319,12,1)&gt;=$AE319,DATE($AD319,12,1)&lt;=$AF319),ROUND($AG319,2),0))</f>
        <v/>
      </c>
      <c r="V319" s="7">
        <f>IF($Z319="C","Generated from "&amp;INDEX(Contracts!$A$2:$A$151,$AB319),IF($Z319="A","Generated from "&amp;INDEX(Fixed_Assets!$A$2:$A$201,$AB319),IF($Z319="F","Generated from "&amp;INDEX(FTE_Allocation!$A$2:$A$201,$AB319),"")))</f>
        <v/>
      </c>
      <c r="X319" s="19">
        <f>IF($Z319="","",SUM(J319:U319))</f>
        <v/>
      </c>
      <c r="Y319" s="20">
        <f>ROW()-1</f>
        <v/>
      </c>
      <c r="Z319" s="20">
        <f>IF($Y319&lt;=Settings!$B$4*3,"C",IF($Y319&lt;=(Settings!$B$4+Settings!$B$5)*3,"A",IF($Y319&lt;=(Settings!$B$4+Settings!$B$5+Settings!$B$6)*3,"F","")))</f>
        <v/>
      </c>
      <c r="AA319" s="20">
        <f>IF($Z319="C",$Y319,IF($Z319="A",$Y319-Settings!$B$4*3,IF($Z319="F",$Y319-(Settings!$B$4+Settings!$B$5)*3,"")))</f>
        <v/>
      </c>
      <c r="AB319" s="20">
        <f>IF($Z319="","",INT(($AA319-1)/3)+1)</f>
        <v/>
      </c>
      <c r="AC319" s="20">
        <f>IF($Z319="","",MOD($AA319-1,3)+1)</f>
        <v/>
      </c>
      <c r="AD319" s="20">
        <f>IF($Z319="","",Settings!$B$2+$AC319-1)</f>
        <v/>
      </c>
      <c r="AE319" s="21">
        <f>IF($Z319="C",DATE(YEAR(INDEX(Contracts!$J$2:$J$151,$AB319)),MONTH(INDEX(Contracts!$J$2:$J$151,$AB319)),1),IF($Z319="A",DATE(YEAR(INDEX(Fixed_Assets!$G$2:$G$201,$AB319)),MONTH(INDEX(Fixed_Assets!$G$2:$G$201,$AB319)),1),IF($Z319="F",DATE(YEAR(MAX(N(INDEX(Workforce!$I$2:$I$151,MATCH(INDEX(FTE_Allocation!$A$2:$A$201,$AB319),Workforce!$A$2:$A$151,0))),N(INDEX(FTE_Allocation!$I$2:$I$201,$AB319)))),MONTH(MAX(N(INDEX(Workforce!$I$2:$I$151,MATCH(INDEX(FTE_Allocation!$A$2:$A$201,$AB319),Workforce!$A$2:$A$151,0))),N(INDEX(FTE_Allocation!$I$2:$I$201,$AB319)))),1),"")))</f>
        <v/>
      </c>
      <c r="AF319" s="21">
        <f>IF($Z319="C",IF(INDEX(Contracts!$I$2:$I$151,$AB319)="PREPAID",EDATE(DATE(YEAR(INDEX(Contracts!$J$2:$J$151,$AB319)),MONTH(INDEX(Contracts!$J$2:$J$151,$AB319)),1),IF(INDEX(Contracts!$N$2:$N$151,$AB319)="",12,INDEX(Contracts!$N$2:$N$151,$AB319))-1),IF(INDEX(Contracts!$I$2:$I$151,$AB319)="MONTHLY",IF(INDEX(Contracts!$K$2:$K$151,$AB319)="",2958101,INDEX(Contracts!$K$2:$K$151,$AB319)),0)),IF($Z319="A",EDATE(DATE(YEAR(INDEX(Fixed_Assets!$G$2:$G$201,$AB319)),MONTH(INDEX(Fixed_Assets!$G$2:$G$201,$AB319)),1),INDEX(Fixed_Assets!$J$2:$J$201,$AB319)-1),IF($Z319="F",MIN(IF(INDEX(Workforce!$J$2:$J$151,MATCH(INDEX(FTE_Allocation!$A$2:$A$201,$AB319),Workforce!$A$2:$A$151,0))="",2958101,INDEX(Workforce!$J$2:$J$151,MATCH(INDEX(FTE_Allocation!$A$2:$A$201,$AB319),Workforce!$A$2:$A$151,0))),IF(INDEX(FTE_Allocation!$J$2:$J$201,$AB319)="",2958101,INDEX(FTE_Allocation!$J$2:$J$201,$AB319))),"")))</f>
        <v/>
      </c>
      <c r="AG319" s="19">
        <f>IF($Z319="C",IF(INDEX(Contracts!$I$2:$I$151,$AB319)="PREPAID",INDEX(Contracts!$M$2:$M$151,$AB319)/IF(INDEX(Contracts!$N$2:$N$151,$AB319)="",12,INDEX(Contracts!$N$2:$N$151,$AB319)),IF(INDEX(Contracts!$I$2:$I$151,$AB319)="MONTHLY",INDEX(Contracts!$M$2:$M$151,$AB319),0))*(1-N(INDEX(Contracts!$O$2:$O$151,$AB319))),IF($Z319="A",INDEX(Fixed_Assets!$H$2:$H$201,$AB319)/INDEX(Fixed_Assets!$J$2:$J$201,$AB319),IF($Z319="F",INDEX(Workforce!$F$2:$F$151,MATCH(INDEX(FTE_Allocation!$A$2:$A$201,$AB319),Workforce!$A$2:$A$151,0))*N(INDEX(FTE_Allocation!$F$2:$H$201,$AB319,$AC319)),"")))</f>
        <v/>
      </c>
    </row>
    <row r="320">
      <c r="A320" s="7">
        <f>IF($Z320="","",$AD320)</f>
        <v/>
      </c>
      <c r="B320" s="7">
        <f>IF($Z320="C",INDEX(Contracts!$D$2:$D$151,$AB320)&amp;"",IF($Z320="A",INDEX(Fixed_Assets!$C$2:$C$201,$AB320)&amp;"",IF($Z320="F",INDEX(Workforce!$B$2:$B$151,MATCH(INDEX(FTE_Allocation!$A$2:$A$201,$AB320),Workforce!$A$2:$A$151,0))&amp;"","")))</f>
        <v/>
      </c>
      <c r="C320" s="7">
        <f>IF($Z320="C",INDEX(Contracts!$E$2:$E$151,$AB320)&amp;"",IF($Z320="A",INDEX(Fixed_Assets!$D$2:$D$201,$AB320)&amp;"",IF($Z320="F",INDEX(FTE_Allocation!$C$2:$C$201,$AB320)&amp;"","")))</f>
        <v/>
      </c>
      <c r="D320" s="7">
        <f>IF($Z320="C",INDEX(Contracts!$B$2:$B$151,$AB320)&amp;"",IF($Z320="A",INDEX(Fixed_Assets!$B$2:$B$201,$AB320)&amp;"",IF($Z320="F",INDEX(FTE_Allocation!$B$2:$B$201,$AB320)&amp;"","")))</f>
        <v/>
      </c>
      <c r="E320" s="7">
        <f>IF($Z320="C",INDEX(Contracts!$P$2:$P$151,$AB320)&amp;"",IF($Z320="A",INDEX(Fixed_Assets!$K$2:$K$201,$AB320)&amp;"",IF($Z320="F",IF(INDEX(FTE_Allocation!$D$2:$D$201,$AB320)="PROJECT",IFERROR(INDEX(Projects!$D:$D,MATCH(INDEX(FTE_Allocation!$E$2:$E$201,$AB320),Projects!$A:$A,0))&amp;"","#PROJECT?"),INDEX(FTE_Allocation!$E$2:$E$201,$AB320)&amp;""),"")))</f>
        <v/>
      </c>
      <c r="F320" s="7">
        <f>IF($Z320="C",INDEX(Contracts!$Q$2:$Q$151,$AB320)&amp;"",IF($Z320="A",INDEX(Fixed_Assets!$L$2:$L$201,$AB320)&amp;"",IF($Z320="F",INDEX(Workforce!$K$2:$K$151,MATCH(INDEX(FTE_Allocation!$A$2:$A$201,$AB320),Workforce!$A$2:$A$151,0))&amp;"","")))</f>
        <v/>
      </c>
      <c r="G320" s="7">
        <f>IF($Z320="C",INDEX(Contracts!$F$2:$F$151,$AB320)&amp;" / "&amp;INDEX(Contracts!$G$2:$G$151,$AB320),IF($Z320="A",INDEX(Fixed_Assets!$E$2:$E$201,$AB320)&amp;"",IF($Z320="F","Personnel "&amp;INDEX(FTE_Allocation!$A$2:$A$201,$AB320)&amp;IF(INDEX(FTE_Allocation!$D$2:$D$201,$AB320)="PROJECT"," ("&amp;INDEX(FTE_Allocation!$E$2:$E$201,$AB320)&amp;")",""),"")))</f>
        <v/>
      </c>
      <c r="H320" s="7">
        <f>IF($Z320="C","CONTRACT",IF($Z320="A","ASSET",IF($Z320="F","WORKFORCE","")))</f>
        <v/>
      </c>
      <c r="I320" s="7">
        <f>IF($Z320="C",INDEX(Contracts!$L$2:$L$151,$AB320)&amp;"",IF($Z320="A",INDEX(Fixed_Assets!$I$2:$I$201,$AB320)&amp;"",IF($Z320="F",INDEX(Workforce!$G$2:$G$151,MATCH(INDEX(FTE_Allocation!$A$2:$A$201,$AB320),Workforce!$A$2:$A$151,0))&amp;"","")))</f>
        <v/>
      </c>
      <c r="J320" s="18">
        <f>IF($Z320="","",IF(AND(DATE($AD320,1,1)&gt;=$AE320,DATE($AD320,1,1)&lt;=$AF320),ROUND($AG320,2),0))</f>
        <v/>
      </c>
      <c r="K320" s="18">
        <f>IF($Z320="","",IF(AND(DATE($AD320,2,1)&gt;=$AE320,DATE($AD320,2,1)&lt;=$AF320),ROUND($AG320,2),0))</f>
        <v/>
      </c>
      <c r="L320" s="18">
        <f>IF($Z320="","",IF(AND(DATE($AD320,3,1)&gt;=$AE320,DATE($AD320,3,1)&lt;=$AF320),ROUND($AG320,2),0))</f>
        <v/>
      </c>
      <c r="M320" s="18">
        <f>IF($Z320="","",IF(AND(DATE($AD320,4,1)&gt;=$AE320,DATE($AD320,4,1)&lt;=$AF320),ROUND($AG320,2),0))</f>
        <v/>
      </c>
      <c r="N320" s="18">
        <f>IF($Z320="","",IF(AND(DATE($AD320,5,1)&gt;=$AE320,DATE($AD320,5,1)&lt;=$AF320),ROUND($AG320,2),0))</f>
        <v/>
      </c>
      <c r="O320" s="18">
        <f>IF($Z320="","",IF(AND(DATE($AD320,6,1)&gt;=$AE320,DATE($AD320,6,1)&lt;=$AF320),ROUND($AG320,2),0))</f>
        <v/>
      </c>
      <c r="P320" s="18">
        <f>IF($Z320="","",IF(AND(DATE($AD320,7,1)&gt;=$AE320,DATE($AD320,7,1)&lt;=$AF320),ROUND($AG320,2),0))</f>
        <v/>
      </c>
      <c r="Q320" s="18">
        <f>IF($Z320="","",IF(AND(DATE($AD320,8,1)&gt;=$AE320,DATE($AD320,8,1)&lt;=$AF320),ROUND($AG320,2),0))</f>
        <v/>
      </c>
      <c r="R320" s="18">
        <f>IF($Z320="","",IF(AND(DATE($AD320,9,1)&gt;=$AE320,DATE($AD320,9,1)&lt;=$AF320),ROUND($AG320,2),0))</f>
        <v/>
      </c>
      <c r="S320" s="18">
        <f>IF($Z320="","",IF(AND(DATE($AD320,10,1)&gt;=$AE320,DATE($AD320,10,1)&lt;=$AF320),ROUND($AG320,2),0))</f>
        <v/>
      </c>
      <c r="T320" s="18">
        <f>IF($Z320="","",IF(AND(DATE($AD320,11,1)&gt;=$AE320,DATE($AD320,11,1)&lt;=$AF320),ROUND($AG320,2),0))</f>
        <v/>
      </c>
      <c r="U320" s="18">
        <f>IF($Z320="","",IF(AND(DATE($AD320,12,1)&gt;=$AE320,DATE($AD320,12,1)&lt;=$AF320),ROUND($AG320,2),0))</f>
        <v/>
      </c>
      <c r="V320" s="7">
        <f>IF($Z320="C","Generated from "&amp;INDEX(Contracts!$A$2:$A$151,$AB320),IF($Z320="A","Generated from "&amp;INDEX(Fixed_Assets!$A$2:$A$201,$AB320),IF($Z320="F","Generated from "&amp;INDEX(FTE_Allocation!$A$2:$A$201,$AB320),"")))</f>
        <v/>
      </c>
      <c r="X320" s="19">
        <f>IF($Z320="","",SUM(J320:U320))</f>
        <v/>
      </c>
      <c r="Y320" s="20">
        <f>ROW()-1</f>
        <v/>
      </c>
      <c r="Z320" s="20">
        <f>IF($Y320&lt;=Settings!$B$4*3,"C",IF($Y320&lt;=(Settings!$B$4+Settings!$B$5)*3,"A",IF($Y320&lt;=(Settings!$B$4+Settings!$B$5+Settings!$B$6)*3,"F","")))</f>
        <v/>
      </c>
      <c r="AA320" s="20">
        <f>IF($Z320="C",$Y320,IF($Z320="A",$Y320-Settings!$B$4*3,IF($Z320="F",$Y320-(Settings!$B$4+Settings!$B$5)*3,"")))</f>
        <v/>
      </c>
      <c r="AB320" s="20">
        <f>IF($Z320="","",INT(($AA320-1)/3)+1)</f>
        <v/>
      </c>
      <c r="AC320" s="20">
        <f>IF($Z320="","",MOD($AA320-1,3)+1)</f>
        <v/>
      </c>
      <c r="AD320" s="20">
        <f>IF($Z320="","",Settings!$B$2+$AC320-1)</f>
        <v/>
      </c>
      <c r="AE320" s="21">
        <f>IF($Z320="C",DATE(YEAR(INDEX(Contracts!$J$2:$J$151,$AB320)),MONTH(INDEX(Contracts!$J$2:$J$151,$AB320)),1),IF($Z320="A",DATE(YEAR(INDEX(Fixed_Assets!$G$2:$G$201,$AB320)),MONTH(INDEX(Fixed_Assets!$G$2:$G$201,$AB320)),1),IF($Z320="F",DATE(YEAR(MAX(N(INDEX(Workforce!$I$2:$I$151,MATCH(INDEX(FTE_Allocation!$A$2:$A$201,$AB320),Workforce!$A$2:$A$151,0))),N(INDEX(FTE_Allocation!$I$2:$I$201,$AB320)))),MONTH(MAX(N(INDEX(Workforce!$I$2:$I$151,MATCH(INDEX(FTE_Allocation!$A$2:$A$201,$AB320),Workforce!$A$2:$A$151,0))),N(INDEX(FTE_Allocation!$I$2:$I$201,$AB320)))),1),"")))</f>
        <v/>
      </c>
      <c r="AF320" s="21">
        <f>IF($Z320="C",IF(INDEX(Contracts!$I$2:$I$151,$AB320)="PREPAID",EDATE(DATE(YEAR(INDEX(Contracts!$J$2:$J$151,$AB320)),MONTH(INDEX(Contracts!$J$2:$J$151,$AB320)),1),IF(INDEX(Contracts!$N$2:$N$151,$AB320)="",12,INDEX(Contracts!$N$2:$N$151,$AB320))-1),IF(INDEX(Contracts!$I$2:$I$151,$AB320)="MONTHLY",IF(INDEX(Contracts!$K$2:$K$151,$AB320)="",2958101,INDEX(Contracts!$K$2:$K$151,$AB320)),0)),IF($Z320="A",EDATE(DATE(YEAR(INDEX(Fixed_Assets!$G$2:$G$201,$AB320)),MONTH(INDEX(Fixed_Assets!$G$2:$G$201,$AB320)),1),INDEX(Fixed_Assets!$J$2:$J$201,$AB320)-1),IF($Z320="F",MIN(IF(INDEX(Workforce!$J$2:$J$151,MATCH(INDEX(FTE_Allocation!$A$2:$A$201,$AB320),Workforce!$A$2:$A$151,0))="",2958101,INDEX(Workforce!$J$2:$J$151,MATCH(INDEX(FTE_Allocation!$A$2:$A$201,$AB320),Workforce!$A$2:$A$151,0))),IF(INDEX(FTE_Allocation!$J$2:$J$201,$AB320)="",2958101,INDEX(FTE_Allocation!$J$2:$J$201,$AB320))),"")))</f>
        <v/>
      </c>
      <c r="AG320" s="19">
        <f>IF($Z320="C",IF(INDEX(Contracts!$I$2:$I$151,$AB320)="PREPAID",INDEX(Contracts!$M$2:$M$151,$AB320)/IF(INDEX(Contracts!$N$2:$N$151,$AB320)="",12,INDEX(Contracts!$N$2:$N$151,$AB320)),IF(INDEX(Contracts!$I$2:$I$151,$AB320)="MONTHLY",INDEX(Contracts!$M$2:$M$151,$AB320),0))*(1-N(INDEX(Contracts!$O$2:$O$151,$AB320))),IF($Z320="A",INDEX(Fixed_Assets!$H$2:$H$201,$AB320)/INDEX(Fixed_Assets!$J$2:$J$201,$AB320),IF($Z320="F",INDEX(Workforce!$F$2:$F$151,MATCH(INDEX(FTE_Allocation!$A$2:$A$201,$AB320),Workforce!$A$2:$A$151,0))*N(INDEX(FTE_Allocation!$F$2:$H$201,$AB320,$AC320)),"")))</f>
        <v/>
      </c>
    </row>
    <row r="321">
      <c r="A321" s="7">
        <f>IF($Z321="","",$AD321)</f>
        <v/>
      </c>
      <c r="B321" s="7">
        <f>IF($Z321="C",INDEX(Contracts!$D$2:$D$151,$AB321)&amp;"",IF($Z321="A",INDEX(Fixed_Assets!$C$2:$C$201,$AB321)&amp;"",IF($Z321="F",INDEX(Workforce!$B$2:$B$151,MATCH(INDEX(FTE_Allocation!$A$2:$A$201,$AB321),Workforce!$A$2:$A$151,0))&amp;"","")))</f>
        <v/>
      </c>
      <c r="C321" s="7">
        <f>IF($Z321="C",INDEX(Contracts!$E$2:$E$151,$AB321)&amp;"",IF($Z321="A",INDEX(Fixed_Assets!$D$2:$D$201,$AB321)&amp;"",IF($Z321="F",INDEX(FTE_Allocation!$C$2:$C$201,$AB321)&amp;"","")))</f>
        <v/>
      </c>
      <c r="D321" s="7">
        <f>IF($Z321="C",INDEX(Contracts!$B$2:$B$151,$AB321)&amp;"",IF($Z321="A",INDEX(Fixed_Assets!$B$2:$B$201,$AB321)&amp;"",IF($Z321="F",INDEX(FTE_Allocation!$B$2:$B$201,$AB321)&amp;"","")))</f>
        <v/>
      </c>
      <c r="E321" s="7">
        <f>IF($Z321="C",INDEX(Contracts!$P$2:$P$151,$AB321)&amp;"",IF($Z321="A",INDEX(Fixed_Assets!$K$2:$K$201,$AB321)&amp;"",IF($Z321="F",IF(INDEX(FTE_Allocation!$D$2:$D$201,$AB321)="PROJECT",IFERROR(INDEX(Projects!$D:$D,MATCH(INDEX(FTE_Allocation!$E$2:$E$201,$AB321),Projects!$A:$A,0))&amp;"","#PROJECT?"),INDEX(FTE_Allocation!$E$2:$E$201,$AB321)&amp;""),"")))</f>
        <v/>
      </c>
      <c r="F321" s="7">
        <f>IF($Z321="C",INDEX(Contracts!$Q$2:$Q$151,$AB321)&amp;"",IF($Z321="A",INDEX(Fixed_Assets!$L$2:$L$201,$AB321)&amp;"",IF($Z321="F",INDEX(Workforce!$K$2:$K$151,MATCH(INDEX(FTE_Allocation!$A$2:$A$201,$AB321),Workforce!$A$2:$A$151,0))&amp;"","")))</f>
        <v/>
      </c>
      <c r="G321" s="7">
        <f>IF($Z321="C",INDEX(Contracts!$F$2:$F$151,$AB321)&amp;" / "&amp;INDEX(Contracts!$G$2:$G$151,$AB321),IF($Z321="A",INDEX(Fixed_Assets!$E$2:$E$201,$AB321)&amp;"",IF($Z321="F","Personnel "&amp;INDEX(FTE_Allocation!$A$2:$A$201,$AB321)&amp;IF(INDEX(FTE_Allocation!$D$2:$D$201,$AB321)="PROJECT"," ("&amp;INDEX(FTE_Allocation!$E$2:$E$201,$AB321)&amp;")",""),"")))</f>
        <v/>
      </c>
      <c r="H321" s="7">
        <f>IF($Z321="C","CONTRACT",IF($Z321="A","ASSET",IF($Z321="F","WORKFORCE","")))</f>
        <v/>
      </c>
      <c r="I321" s="7">
        <f>IF($Z321="C",INDEX(Contracts!$L$2:$L$151,$AB321)&amp;"",IF($Z321="A",INDEX(Fixed_Assets!$I$2:$I$201,$AB321)&amp;"",IF($Z321="F",INDEX(Workforce!$G$2:$G$151,MATCH(INDEX(FTE_Allocation!$A$2:$A$201,$AB321),Workforce!$A$2:$A$151,0))&amp;"","")))</f>
        <v/>
      </c>
      <c r="J321" s="18">
        <f>IF($Z321="","",IF(AND(DATE($AD321,1,1)&gt;=$AE321,DATE($AD321,1,1)&lt;=$AF321),ROUND($AG321,2),0))</f>
        <v/>
      </c>
      <c r="K321" s="18">
        <f>IF($Z321="","",IF(AND(DATE($AD321,2,1)&gt;=$AE321,DATE($AD321,2,1)&lt;=$AF321),ROUND($AG321,2),0))</f>
        <v/>
      </c>
      <c r="L321" s="18">
        <f>IF($Z321="","",IF(AND(DATE($AD321,3,1)&gt;=$AE321,DATE($AD321,3,1)&lt;=$AF321),ROUND($AG321,2),0))</f>
        <v/>
      </c>
      <c r="M321" s="18">
        <f>IF($Z321="","",IF(AND(DATE($AD321,4,1)&gt;=$AE321,DATE($AD321,4,1)&lt;=$AF321),ROUND($AG321,2),0))</f>
        <v/>
      </c>
      <c r="N321" s="18">
        <f>IF($Z321="","",IF(AND(DATE($AD321,5,1)&gt;=$AE321,DATE($AD321,5,1)&lt;=$AF321),ROUND($AG321,2),0))</f>
        <v/>
      </c>
      <c r="O321" s="18">
        <f>IF($Z321="","",IF(AND(DATE($AD321,6,1)&gt;=$AE321,DATE($AD321,6,1)&lt;=$AF321),ROUND($AG321,2),0))</f>
        <v/>
      </c>
      <c r="P321" s="18">
        <f>IF($Z321="","",IF(AND(DATE($AD321,7,1)&gt;=$AE321,DATE($AD321,7,1)&lt;=$AF321),ROUND($AG321,2),0))</f>
        <v/>
      </c>
      <c r="Q321" s="18">
        <f>IF($Z321="","",IF(AND(DATE($AD321,8,1)&gt;=$AE321,DATE($AD321,8,1)&lt;=$AF321),ROUND($AG321,2),0))</f>
        <v/>
      </c>
      <c r="R321" s="18">
        <f>IF($Z321="","",IF(AND(DATE($AD321,9,1)&gt;=$AE321,DATE($AD321,9,1)&lt;=$AF321),ROUND($AG321,2),0))</f>
        <v/>
      </c>
      <c r="S321" s="18">
        <f>IF($Z321="","",IF(AND(DATE($AD321,10,1)&gt;=$AE321,DATE($AD321,10,1)&lt;=$AF321),ROUND($AG321,2),0))</f>
        <v/>
      </c>
      <c r="T321" s="18">
        <f>IF($Z321="","",IF(AND(DATE($AD321,11,1)&gt;=$AE321,DATE($AD321,11,1)&lt;=$AF321),ROUND($AG321,2),0))</f>
        <v/>
      </c>
      <c r="U321" s="18">
        <f>IF($Z321="","",IF(AND(DATE($AD321,12,1)&gt;=$AE321,DATE($AD321,12,1)&lt;=$AF321),ROUND($AG321,2),0))</f>
        <v/>
      </c>
      <c r="V321" s="7">
        <f>IF($Z321="C","Generated from "&amp;INDEX(Contracts!$A$2:$A$151,$AB321),IF($Z321="A","Generated from "&amp;INDEX(Fixed_Assets!$A$2:$A$201,$AB321),IF($Z321="F","Generated from "&amp;INDEX(FTE_Allocation!$A$2:$A$201,$AB321),"")))</f>
        <v/>
      </c>
      <c r="X321" s="19">
        <f>IF($Z321="","",SUM(J321:U321))</f>
        <v/>
      </c>
      <c r="Y321" s="20">
        <f>ROW()-1</f>
        <v/>
      </c>
      <c r="Z321" s="20">
        <f>IF($Y321&lt;=Settings!$B$4*3,"C",IF($Y321&lt;=(Settings!$B$4+Settings!$B$5)*3,"A",IF($Y321&lt;=(Settings!$B$4+Settings!$B$5+Settings!$B$6)*3,"F","")))</f>
        <v/>
      </c>
      <c r="AA321" s="20">
        <f>IF($Z321="C",$Y321,IF($Z321="A",$Y321-Settings!$B$4*3,IF($Z321="F",$Y321-(Settings!$B$4+Settings!$B$5)*3,"")))</f>
        <v/>
      </c>
      <c r="AB321" s="20">
        <f>IF($Z321="","",INT(($AA321-1)/3)+1)</f>
        <v/>
      </c>
      <c r="AC321" s="20">
        <f>IF($Z321="","",MOD($AA321-1,3)+1)</f>
        <v/>
      </c>
      <c r="AD321" s="20">
        <f>IF($Z321="","",Settings!$B$2+$AC321-1)</f>
        <v/>
      </c>
      <c r="AE321" s="21">
        <f>IF($Z321="C",DATE(YEAR(INDEX(Contracts!$J$2:$J$151,$AB321)),MONTH(INDEX(Contracts!$J$2:$J$151,$AB321)),1),IF($Z321="A",DATE(YEAR(INDEX(Fixed_Assets!$G$2:$G$201,$AB321)),MONTH(INDEX(Fixed_Assets!$G$2:$G$201,$AB321)),1),IF($Z321="F",DATE(YEAR(MAX(N(INDEX(Workforce!$I$2:$I$151,MATCH(INDEX(FTE_Allocation!$A$2:$A$201,$AB321),Workforce!$A$2:$A$151,0))),N(INDEX(FTE_Allocation!$I$2:$I$201,$AB321)))),MONTH(MAX(N(INDEX(Workforce!$I$2:$I$151,MATCH(INDEX(FTE_Allocation!$A$2:$A$201,$AB321),Workforce!$A$2:$A$151,0))),N(INDEX(FTE_Allocation!$I$2:$I$201,$AB321)))),1),"")))</f>
        <v/>
      </c>
      <c r="AF321" s="21">
        <f>IF($Z321="C",IF(INDEX(Contracts!$I$2:$I$151,$AB321)="PREPAID",EDATE(DATE(YEAR(INDEX(Contracts!$J$2:$J$151,$AB321)),MONTH(INDEX(Contracts!$J$2:$J$151,$AB321)),1),IF(INDEX(Contracts!$N$2:$N$151,$AB321)="",12,INDEX(Contracts!$N$2:$N$151,$AB321))-1),IF(INDEX(Contracts!$I$2:$I$151,$AB321)="MONTHLY",IF(INDEX(Contracts!$K$2:$K$151,$AB321)="",2958101,INDEX(Contracts!$K$2:$K$151,$AB321)),0)),IF($Z321="A",EDATE(DATE(YEAR(INDEX(Fixed_Assets!$G$2:$G$201,$AB321)),MONTH(INDEX(Fixed_Assets!$G$2:$G$201,$AB321)),1),INDEX(Fixed_Assets!$J$2:$J$201,$AB321)-1),IF($Z321="F",MIN(IF(INDEX(Workforce!$J$2:$J$151,MATCH(INDEX(FTE_Allocation!$A$2:$A$201,$AB321),Workforce!$A$2:$A$151,0))="",2958101,INDEX(Workforce!$J$2:$J$151,MATCH(INDEX(FTE_Allocation!$A$2:$A$201,$AB321),Workforce!$A$2:$A$151,0))),IF(INDEX(FTE_Allocation!$J$2:$J$201,$AB321)="",2958101,INDEX(FTE_Allocation!$J$2:$J$201,$AB321))),"")))</f>
        <v/>
      </c>
      <c r="AG321" s="19">
        <f>IF($Z321="C",IF(INDEX(Contracts!$I$2:$I$151,$AB321)="PREPAID",INDEX(Contracts!$M$2:$M$151,$AB321)/IF(INDEX(Contracts!$N$2:$N$151,$AB321)="",12,INDEX(Contracts!$N$2:$N$151,$AB321)),IF(INDEX(Contracts!$I$2:$I$151,$AB321)="MONTHLY",INDEX(Contracts!$M$2:$M$151,$AB321),0))*(1-N(INDEX(Contracts!$O$2:$O$151,$AB321))),IF($Z321="A",INDEX(Fixed_Assets!$H$2:$H$201,$AB321)/INDEX(Fixed_Assets!$J$2:$J$201,$AB321),IF($Z321="F",INDEX(Workforce!$F$2:$F$151,MATCH(INDEX(FTE_Allocation!$A$2:$A$201,$AB321),Workforce!$A$2:$A$151,0))*N(INDEX(FTE_Allocation!$F$2:$H$201,$AB321,$AC321)),"")))</f>
        <v/>
      </c>
    </row>
    <row r="322">
      <c r="A322" s="7">
        <f>IF($Z322="","",$AD322)</f>
        <v/>
      </c>
      <c r="B322" s="7">
        <f>IF($Z322="C",INDEX(Contracts!$D$2:$D$151,$AB322)&amp;"",IF($Z322="A",INDEX(Fixed_Assets!$C$2:$C$201,$AB322)&amp;"",IF($Z322="F",INDEX(Workforce!$B$2:$B$151,MATCH(INDEX(FTE_Allocation!$A$2:$A$201,$AB322),Workforce!$A$2:$A$151,0))&amp;"","")))</f>
        <v/>
      </c>
      <c r="C322" s="7">
        <f>IF($Z322="C",INDEX(Contracts!$E$2:$E$151,$AB322)&amp;"",IF($Z322="A",INDEX(Fixed_Assets!$D$2:$D$201,$AB322)&amp;"",IF($Z322="F",INDEX(FTE_Allocation!$C$2:$C$201,$AB322)&amp;"","")))</f>
        <v/>
      </c>
      <c r="D322" s="7">
        <f>IF($Z322="C",INDEX(Contracts!$B$2:$B$151,$AB322)&amp;"",IF($Z322="A",INDEX(Fixed_Assets!$B$2:$B$201,$AB322)&amp;"",IF($Z322="F",INDEX(FTE_Allocation!$B$2:$B$201,$AB322)&amp;"","")))</f>
        <v/>
      </c>
      <c r="E322" s="7">
        <f>IF($Z322="C",INDEX(Contracts!$P$2:$P$151,$AB322)&amp;"",IF($Z322="A",INDEX(Fixed_Assets!$K$2:$K$201,$AB322)&amp;"",IF($Z322="F",IF(INDEX(FTE_Allocation!$D$2:$D$201,$AB322)="PROJECT",IFERROR(INDEX(Projects!$D:$D,MATCH(INDEX(FTE_Allocation!$E$2:$E$201,$AB322),Projects!$A:$A,0))&amp;"","#PROJECT?"),INDEX(FTE_Allocation!$E$2:$E$201,$AB322)&amp;""),"")))</f>
        <v/>
      </c>
      <c r="F322" s="7">
        <f>IF($Z322="C",INDEX(Contracts!$Q$2:$Q$151,$AB322)&amp;"",IF($Z322="A",INDEX(Fixed_Assets!$L$2:$L$201,$AB322)&amp;"",IF($Z322="F",INDEX(Workforce!$K$2:$K$151,MATCH(INDEX(FTE_Allocation!$A$2:$A$201,$AB322),Workforce!$A$2:$A$151,0))&amp;"","")))</f>
        <v/>
      </c>
      <c r="G322" s="7">
        <f>IF($Z322="C",INDEX(Contracts!$F$2:$F$151,$AB322)&amp;" / "&amp;INDEX(Contracts!$G$2:$G$151,$AB322),IF($Z322="A",INDEX(Fixed_Assets!$E$2:$E$201,$AB322)&amp;"",IF($Z322="F","Personnel "&amp;INDEX(FTE_Allocation!$A$2:$A$201,$AB322)&amp;IF(INDEX(FTE_Allocation!$D$2:$D$201,$AB322)="PROJECT"," ("&amp;INDEX(FTE_Allocation!$E$2:$E$201,$AB322)&amp;")",""),"")))</f>
        <v/>
      </c>
      <c r="H322" s="7">
        <f>IF($Z322="C","CONTRACT",IF($Z322="A","ASSET",IF($Z322="F","WORKFORCE","")))</f>
        <v/>
      </c>
      <c r="I322" s="7">
        <f>IF($Z322="C",INDEX(Contracts!$L$2:$L$151,$AB322)&amp;"",IF($Z322="A",INDEX(Fixed_Assets!$I$2:$I$201,$AB322)&amp;"",IF($Z322="F",INDEX(Workforce!$G$2:$G$151,MATCH(INDEX(FTE_Allocation!$A$2:$A$201,$AB322),Workforce!$A$2:$A$151,0))&amp;"","")))</f>
        <v/>
      </c>
      <c r="J322" s="18">
        <f>IF($Z322="","",IF(AND(DATE($AD322,1,1)&gt;=$AE322,DATE($AD322,1,1)&lt;=$AF322),ROUND($AG322,2),0))</f>
        <v/>
      </c>
      <c r="K322" s="18">
        <f>IF($Z322="","",IF(AND(DATE($AD322,2,1)&gt;=$AE322,DATE($AD322,2,1)&lt;=$AF322),ROUND($AG322,2),0))</f>
        <v/>
      </c>
      <c r="L322" s="18">
        <f>IF($Z322="","",IF(AND(DATE($AD322,3,1)&gt;=$AE322,DATE($AD322,3,1)&lt;=$AF322),ROUND($AG322,2),0))</f>
        <v/>
      </c>
      <c r="M322" s="18">
        <f>IF($Z322="","",IF(AND(DATE($AD322,4,1)&gt;=$AE322,DATE($AD322,4,1)&lt;=$AF322),ROUND($AG322,2),0))</f>
        <v/>
      </c>
      <c r="N322" s="18">
        <f>IF($Z322="","",IF(AND(DATE($AD322,5,1)&gt;=$AE322,DATE($AD322,5,1)&lt;=$AF322),ROUND($AG322,2),0))</f>
        <v/>
      </c>
      <c r="O322" s="18">
        <f>IF($Z322="","",IF(AND(DATE($AD322,6,1)&gt;=$AE322,DATE($AD322,6,1)&lt;=$AF322),ROUND($AG322,2),0))</f>
        <v/>
      </c>
      <c r="P322" s="18">
        <f>IF($Z322="","",IF(AND(DATE($AD322,7,1)&gt;=$AE322,DATE($AD322,7,1)&lt;=$AF322),ROUND($AG322,2),0))</f>
        <v/>
      </c>
      <c r="Q322" s="18">
        <f>IF($Z322="","",IF(AND(DATE($AD322,8,1)&gt;=$AE322,DATE($AD322,8,1)&lt;=$AF322),ROUND($AG322,2),0))</f>
        <v/>
      </c>
      <c r="R322" s="18">
        <f>IF($Z322="","",IF(AND(DATE($AD322,9,1)&gt;=$AE322,DATE($AD322,9,1)&lt;=$AF322),ROUND($AG322,2),0))</f>
        <v/>
      </c>
      <c r="S322" s="18">
        <f>IF($Z322="","",IF(AND(DATE($AD322,10,1)&gt;=$AE322,DATE($AD322,10,1)&lt;=$AF322),ROUND($AG322,2),0))</f>
        <v/>
      </c>
      <c r="T322" s="18">
        <f>IF($Z322="","",IF(AND(DATE($AD322,11,1)&gt;=$AE322,DATE($AD322,11,1)&lt;=$AF322),ROUND($AG322,2),0))</f>
        <v/>
      </c>
      <c r="U322" s="18">
        <f>IF($Z322="","",IF(AND(DATE($AD322,12,1)&gt;=$AE322,DATE($AD322,12,1)&lt;=$AF322),ROUND($AG322,2),0))</f>
        <v/>
      </c>
      <c r="V322" s="7">
        <f>IF($Z322="C","Generated from "&amp;INDEX(Contracts!$A$2:$A$151,$AB322),IF($Z322="A","Generated from "&amp;INDEX(Fixed_Assets!$A$2:$A$201,$AB322),IF($Z322="F","Generated from "&amp;INDEX(FTE_Allocation!$A$2:$A$201,$AB322),"")))</f>
        <v/>
      </c>
      <c r="X322" s="19">
        <f>IF($Z322="","",SUM(J322:U322))</f>
        <v/>
      </c>
      <c r="Y322" s="20">
        <f>ROW()-1</f>
        <v/>
      </c>
      <c r="Z322" s="20">
        <f>IF($Y322&lt;=Settings!$B$4*3,"C",IF($Y322&lt;=(Settings!$B$4+Settings!$B$5)*3,"A",IF($Y322&lt;=(Settings!$B$4+Settings!$B$5+Settings!$B$6)*3,"F","")))</f>
        <v/>
      </c>
      <c r="AA322" s="20">
        <f>IF($Z322="C",$Y322,IF($Z322="A",$Y322-Settings!$B$4*3,IF($Z322="F",$Y322-(Settings!$B$4+Settings!$B$5)*3,"")))</f>
        <v/>
      </c>
      <c r="AB322" s="20">
        <f>IF($Z322="","",INT(($AA322-1)/3)+1)</f>
        <v/>
      </c>
      <c r="AC322" s="20">
        <f>IF($Z322="","",MOD($AA322-1,3)+1)</f>
        <v/>
      </c>
      <c r="AD322" s="20">
        <f>IF($Z322="","",Settings!$B$2+$AC322-1)</f>
        <v/>
      </c>
      <c r="AE322" s="21">
        <f>IF($Z322="C",DATE(YEAR(INDEX(Contracts!$J$2:$J$151,$AB322)),MONTH(INDEX(Contracts!$J$2:$J$151,$AB322)),1),IF($Z322="A",DATE(YEAR(INDEX(Fixed_Assets!$G$2:$G$201,$AB322)),MONTH(INDEX(Fixed_Assets!$G$2:$G$201,$AB322)),1),IF($Z322="F",DATE(YEAR(MAX(N(INDEX(Workforce!$I$2:$I$151,MATCH(INDEX(FTE_Allocation!$A$2:$A$201,$AB322),Workforce!$A$2:$A$151,0))),N(INDEX(FTE_Allocation!$I$2:$I$201,$AB322)))),MONTH(MAX(N(INDEX(Workforce!$I$2:$I$151,MATCH(INDEX(FTE_Allocation!$A$2:$A$201,$AB322),Workforce!$A$2:$A$151,0))),N(INDEX(FTE_Allocation!$I$2:$I$201,$AB322)))),1),"")))</f>
        <v/>
      </c>
      <c r="AF322" s="21">
        <f>IF($Z322="C",IF(INDEX(Contracts!$I$2:$I$151,$AB322)="PREPAID",EDATE(DATE(YEAR(INDEX(Contracts!$J$2:$J$151,$AB322)),MONTH(INDEX(Contracts!$J$2:$J$151,$AB322)),1),IF(INDEX(Contracts!$N$2:$N$151,$AB322)="",12,INDEX(Contracts!$N$2:$N$151,$AB322))-1),IF(INDEX(Contracts!$I$2:$I$151,$AB322)="MONTHLY",IF(INDEX(Contracts!$K$2:$K$151,$AB322)="",2958101,INDEX(Contracts!$K$2:$K$151,$AB322)),0)),IF($Z322="A",EDATE(DATE(YEAR(INDEX(Fixed_Assets!$G$2:$G$201,$AB322)),MONTH(INDEX(Fixed_Assets!$G$2:$G$201,$AB322)),1),INDEX(Fixed_Assets!$J$2:$J$201,$AB322)-1),IF($Z322="F",MIN(IF(INDEX(Workforce!$J$2:$J$151,MATCH(INDEX(FTE_Allocation!$A$2:$A$201,$AB322),Workforce!$A$2:$A$151,0))="",2958101,INDEX(Workforce!$J$2:$J$151,MATCH(INDEX(FTE_Allocation!$A$2:$A$201,$AB322),Workforce!$A$2:$A$151,0))),IF(INDEX(FTE_Allocation!$J$2:$J$201,$AB322)="",2958101,INDEX(FTE_Allocation!$J$2:$J$201,$AB322))),"")))</f>
        <v/>
      </c>
      <c r="AG322" s="19">
        <f>IF($Z322="C",IF(INDEX(Contracts!$I$2:$I$151,$AB322)="PREPAID",INDEX(Contracts!$M$2:$M$151,$AB322)/IF(INDEX(Contracts!$N$2:$N$151,$AB322)="",12,INDEX(Contracts!$N$2:$N$151,$AB322)),IF(INDEX(Contracts!$I$2:$I$151,$AB322)="MONTHLY",INDEX(Contracts!$M$2:$M$151,$AB322),0))*(1-N(INDEX(Contracts!$O$2:$O$151,$AB322))),IF($Z322="A",INDEX(Fixed_Assets!$H$2:$H$201,$AB322)/INDEX(Fixed_Assets!$J$2:$J$201,$AB322),IF($Z322="F",INDEX(Workforce!$F$2:$F$151,MATCH(INDEX(FTE_Allocation!$A$2:$A$201,$AB322),Workforce!$A$2:$A$151,0))*N(INDEX(FTE_Allocation!$F$2:$H$201,$AB322,$AC322)),"")))</f>
        <v/>
      </c>
    </row>
    <row r="323">
      <c r="A323" s="7">
        <f>IF($Z323="","",$AD323)</f>
        <v/>
      </c>
      <c r="B323" s="7">
        <f>IF($Z323="C",INDEX(Contracts!$D$2:$D$151,$AB323)&amp;"",IF($Z323="A",INDEX(Fixed_Assets!$C$2:$C$201,$AB323)&amp;"",IF($Z323="F",INDEX(Workforce!$B$2:$B$151,MATCH(INDEX(FTE_Allocation!$A$2:$A$201,$AB323),Workforce!$A$2:$A$151,0))&amp;"","")))</f>
        <v/>
      </c>
      <c r="C323" s="7">
        <f>IF($Z323="C",INDEX(Contracts!$E$2:$E$151,$AB323)&amp;"",IF($Z323="A",INDEX(Fixed_Assets!$D$2:$D$201,$AB323)&amp;"",IF($Z323="F",INDEX(FTE_Allocation!$C$2:$C$201,$AB323)&amp;"","")))</f>
        <v/>
      </c>
      <c r="D323" s="7">
        <f>IF($Z323="C",INDEX(Contracts!$B$2:$B$151,$AB323)&amp;"",IF($Z323="A",INDEX(Fixed_Assets!$B$2:$B$201,$AB323)&amp;"",IF($Z323="F",INDEX(FTE_Allocation!$B$2:$B$201,$AB323)&amp;"","")))</f>
        <v/>
      </c>
      <c r="E323" s="7">
        <f>IF($Z323="C",INDEX(Contracts!$P$2:$P$151,$AB323)&amp;"",IF($Z323="A",INDEX(Fixed_Assets!$K$2:$K$201,$AB323)&amp;"",IF($Z323="F",IF(INDEX(FTE_Allocation!$D$2:$D$201,$AB323)="PROJECT",IFERROR(INDEX(Projects!$D:$D,MATCH(INDEX(FTE_Allocation!$E$2:$E$201,$AB323),Projects!$A:$A,0))&amp;"","#PROJECT?"),INDEX(FTE_Allocation!$E$2:$E$201,$AB323)&amp;""),"")))</f>
        <v/>
      </c>
      <c r="F323" s="7">
        <f>IF($Z323="C",INDEX(Contracts!$Q$2:$Q$151,$AB323)&amp;"",IF($Z323="A",INDEX(Fixed_Assets!$L$2:$L$201,$AB323)&amp;"",IF($Z323="F",INDEX(Workforce!$K$2:$K$151,MATCH(INDEX(FTE_Allocation!$A$2:$A$201,$AB323),Workforce!$A$2:$A$151,0))&amp;"","")))</f>
        <v/>
      </c>
      <c r="G323" s="7">
        <f>IF($Z323="C",INDEX(Contracts!$F$2:$F$151,$AB323)&amp;" / "&amp;INDEX(Contracts!$G$2:$G$151,$AB323),IF($Z323="A",INDEX(Fixed_Assets!$E$2:$E$201,$AB323)&amp;"",IF($Z323="F","Personnel "&amp;INDEX(FTE_Allocation!$A$2:$A$201,$AB323)&amp;IF(INDEX(FTE_Allocation!$D$2:$D$201,$AB323)="PROJECT"," ("&amp;INDEX(FTE_Allocation!$E$2:$E$201,$AB323)&amp;")",""),"")))</f>
        <v/>
      </c>
      <c r="H323" s="7">
        <f>IF($Z323="C","CONTRACT",IF($Z323="A","ASSET",IF($Z323="F","WORKFORCE","")))</f>
        <v/>
      </c>
      <c r="I323" s="7">
        <f>IF($Z323="C",INDEX(Contracts!$L$2:$L$151,$AB323)&amp;"",IF($Z323="A",INDEX(Fixed_Assets!$I$2:$I$201,$AB323)&amp;"",IF($Z323="F",INDEX(Workforce!$G$2:$G$151,MATCH(INDEX(FTE_Allocation!$A$2:$A$201,$AB323),Workforce!$A$2:$A$151,0))&amp;"","")))</f>
        <v/>
      </c>
      <c r="J323" s="18">
        <f>IF($Z323="","",IF(AND(DATE($AD323,1,1)&gt;=$AE323,DATE($AD323,1,1)&lt;=$AF323),ROUND($AG323,2),0))</f>
        <v/>
      </c>
      <c r="K323" s="18">
        <f>IF($Z323="","",IF(AND(DATE($AD323,2,1)&gt;=$AE323,DATE($AD323,2,1)&lt;=$AF323),ROUND($AG323,2),0))</f>
        <v/>
      </c>
      <c r="L323" s="18">
        <f>IF($Z323="","",IF(AND(DATE($AD323,3,1)&gt;=$AE323,DATE($AD323,3,1)&lt;=$AF323),ROUND($AG323,2),0))</f>
        <v/>
      </c>
      <c r="M323" s="18">
        <f>IF($Z323="","",IF(AND(DATE($AD323,4,1)&gt;=$AE323,DATE($AD323,4,1)&lt;=$AF323),ROUND($AG323,2),0))</f>
        <v/>
      </c>
      <c r="N323" s="18">
        <f>IF($Z323="","",IF(AND(DATE($AD323,5,1)&gt;=$AE323,DATE($AD323,5,1)&lt;=$AF323),ROUND($AG323,2),0))</f>
        <v/>
      </c>
      <c r="O323" s="18">
        <f>IF($Z323="","",IF(AND(DATE($AD323,6,1)&gt;=$AE323,DATE($AD323,6,1)&lt;=$AF323),ROUND($AG323,2),0))</f>
        <v/>
      </c>
      <c r="P323" s="18">
        <f>IF($Z323="","",IF(AND(DATE($AD323,7,1)&gt;=$AE323,DATE($AD323,7,1)&lt;=$AF323),ROUND($AG323,2),0))</f>
        <v/>
      </c>
      <c r="Q323" s="18">
        <f>IF($Z323="","",IF(AND(DATE($AD323,8,1)&gt;=$AE323,DATE($AD323,8,1)&lt;=$AF323),ROUND($AG323,2),0))</f>
        <v/>
      </c>
      <c r="R323" s="18">
        <f>IF($Z323="","",IF(AND(DATE($AD323,9,1)&gt;=$AE323,DATE($AD323,9,1)&lt;=$AF323),ROUND($AG323,2),0))</f>
        <v/>
      </c>
      <c r="S323" s="18">
        <f>IF($Z323="","",IF(AND(DATE($AD323,10,1)&gt;=$AE323,DATE($AD323,10,1)&lt;=$AF323),ROUND($AG323,2),0))</f>
        <v/>
      </c>
      <c r="T323" s="18">
        <f>IF($Z323="","",IF(AND(DATE($AD323,11,1)&gt;=$AE323,DATE($AD323,11,1)&lt;=$AF323),ROUND($AG323,2),0))</f>
        <v/>
      </c>
      <c r="U323" s="18">
        <f>IF($Z323="","",IF(AND(DATE($AD323,12,1)&gt;=$AE323,DATE($AD323,12,1)&lt;=$AF323),ROUND($AG323,2),0))</f>
        <v/>
      </c>
      <c r="V323" s="7">
        <f>IF($Z323="C","Generated from "&amp;INDEX(Contracts!$A$2:$A$151,$AB323),IF($Z323="A","Generated from "&amp;INDEX(Fixed_Assets!$A$2:$A$201,$AB323),IF($Z323="F","Generated from "&amp;INDEX(FTE_Allocation!$A$2:$A$201,$AB323),"")))</f>
        <v/>
      </c>
      <c r="X323" s="19">
        <f>IF($Z323="","",SUM(J323:U323))</f>
        <v/>
      </c>
      <c r="Y323" s="20">
        <f>ROW()-1</f>
        <v/>
      </c>
      <c r="Z323" s="20">
        <f>IF($Y323&lt;=Settings!$B$4*3,"C",IF($Y323&lt;=(Settings!$B$4+Settings!$B$5)*3,"A",IF($Y323&lt;=(Settings!$B$4+Settings!$B$5+Settings!$B$6)*3,"F","")))</f>
        <v/>
      </c>
      <c r="AA323" s="20">
        <f>IF($Z323="C",$Y323,IF($Z323="A",$Y323-Settings!$B$4*3,IF($Z323="F",$Y323-(Settings!$B$4+Settings!$B$5)*3,"")))</f>
        <v/>
      </c>
      <c r="AB323" s="20">
        <f>IF($Z323="","",INT(($AA323-1)/3)+1)</f>
        <v/>
      </c>
      <c r="AC323" s="20">
        <f>IF($Z323="","",MOD($AA323-1,3)+1)</f>
        <v/>
      </c>
      <c r="AD323" s="20">
        <f>IF($Z323="","",Settings!$B$2+$AC323-1)</f>
        <v/>
      </c>
      <c r="AE323" s="21">
        <f>IF($Z323="C",DATE(YEAR(INDEX(Contracts!$J$2:$J$151,$AB323)),MONTH(INDEX(Contracts!$J$2:$J$151,$AB323)),1),IF($Z323="A",DATE(YEAR(INDEX(Fixed_Assets!$G$2:$G$201,$AB323)),MONTH(INDEX(Fixed_Assets!$G$2:$G$201,$AB323)),1),IF($Z323="F",DATE(YEAR(MAX(N(INDEX(Workforce!$I$2:$I$151,MATCH(INDEX(FTE_Allocation!$A$2:$A$201,$AB323),Workforce!$A$2:$A$151,0))),N(INDEX(FTE_Allocation!$I$2:$I$201,$AB323)))),MONTH(MAX(N(INDEX(Workforce!$I$2:$I$151,MATCH(INDEX(FTE_Allocation!$A$2:$A$201,$AB323),Workforce!$A$2:$A$151,0))),N(INDEX(FTE_Allocation!$I$2:$I$201,$AB323)))),1),"")))</f>
        <v/>
      </c>
      <c r="AF323" s="21">
        <f>IF($Z323="C",IF(INDEX(Contracts!$I$2:$I$151,$AB323)="PREPAID",EDATE(DATE(YEAR(INDEX(Contracts!$J$2:$J$151,$AB323)),MONTH(INDEX(Contracts!$J$2:$J$151,$AB323)),1),IF(INDEX(Contracts!$N$2:$N$151,$AB323)="",12,INDEX(Contracts!$N$2:$N$151,$AB323))-1),IF(INDEX(Contracts!$I$2:$I$151,$AB323)="MONTHLY",IF(INDEX(Contracts!$K$2:$K$151,$AB323)="",2958101,INDEX(Contracts!$K$2:$K$151,$AB323)),0)),IF($Z323="A",EDATE(DATE(YEAR(INDEX(Fixed_Assets!$G$2:$G$201,$AB323)),MONTH(INDEX(Fixed_Assets!$G$2:$G$201,$AB323)),1),INDEX(Fixed_Assets!$J$2:$J$201,$AB323)-1),IF($Z323="F",MIN(IF(INDEX(Workforce!$J$2:$J$151,MATCH(INDEX(FTE_Allocation!$A$2:$A$201,$AB323),Workforce!$A$2:$A$151,0))="",2958101,INDEX(Workforce!$J$2:$J$151,MATCH(INDEX(FTE_Allocation!$A$2:$A$201,$AB323),Workforce!$A$2:$A$151,0))),IF(INDEX(FTE_Allocation!$J$2:$J$201,$AB323)="",2958101,INDEX(FTE_Allocation!$J$2:$J$201,$AB323))),"")))</f>
        <v/>
      </c>
      <c r="AG323" s="19">
        <f>IF($Z323="C",IF(INDEX(Contracts!$I$2:$I$151,$AB323)="PREPAID",INDEX(Contracts!$M$2:$M$151,$AB323)/IF(INDEX(Contracts!$N$2:$N$151,$AB323)="",12,INDEX(Contracts!$N$2:$N$151,$AB323)),IF(INDEX(Contracts!$I$2:$I$151,$AB323)="MONTHLY",INDEX(Contracts!$M$2:$M$151,$AB323),0))*(1-N(INDEX(Contracts!$O$2:$O$151,$AB323))),IF($Z323="A",INDEX(Fixed_Assets!$H$2:$H$201,$AB323)/INDEX(Fixed_Assets!$J$2:$J$201,$AB323),IF($Z323="F",INDEX(Workforce!$F$2:$F$151,MATCH(INDEX(FTE_Allocation!$A$2:$A$201,$AB323),Workforce!$A$2:$A$151,0))*N(INDEX(FTE_Allocation!$F$2:$H$201,$AB323,$AC323)),"")))</f>
        <v/>
      </c>
    </row>
    <row r="324">
      <c r="A324" s="7">
        <f>IF($Z324="","",$AD324)</f>
        <v/>
      </c>
      <c r="B324" s="7">
        <f>IF($Z324="C",INDEX(Contracts!$D$2:$D$151,$AB324)&amp;"",IF($Z324="A",INDEX(Fixed_Assets!$C$2:$C$201,$AB324)&amp;"",IF($Z324="F",INDEX(Workforce!$B$2:$B$151,MATCH(INDEX(FTE_Allocation!$A$2:$A$201,$AB324),Workforce!$A$2:$A$151,0))&amp;"","")))</f>
        <v/>
      </c>
      <c r="C324" s="7">
        <f>IF($Z324="C",INDEX(Contracts!$E$2:$E$151,$AB324)&amp;"",IF($Z324="A",INDEX(Fixed_Assets!$D$2:$D$201,$AB324)&amp;"",IF($Z324="F",INDEX(FTE_Allocation!$C$2:$C$201,$AB324)&amp;"","")))</f>
        <v/>
      </c>
      <c r="D324" s="7">
        <f>IF($Z324="C",INDEX(Contracts!$B$2:$B$151,$AB324)&amp;"",IF($Z324="A",INDEX(Fixed_Assets!$B$2:$B$201,$AB324)&amp;"",IF($Z324="F",INDEX(FTE_Allocation!$B$2:$B$201,$AB324)&amp;"","")))</f>
        <v/>
      </c>
      <c r="E324" s="7">
        <f>IF($Z324="C",INDEX(Contracts!$P$2:$P$151,$AB324)&amp;"",IF($Z324="A",INDEX(Fixed_Assets!$K$2:$K$201,$AB324)&amp;"",IF($Z324="F",IF(INDEX(FTE_Allocation!$D$2:$D$201,$AB324)="PROJECT",IFERROR(INDEX(Projects!$D:$D,MATCH(INDEX(FTE_Allocation!$E$2:$E$201,$AB324),Projects!$A:$A,0))&amp;"","#PROJECT?"),INDEX(FTE_Allocation!$E$2:$E$201,$AB324)&amp;""),"")))</f>
        <v/>
      </c>
      <c r="F324" s="7">
        <f>IF($Z324="C",INDEX(Contracts!$Q$2:$Q$151,$AB324)&amp;"",IF($Z324="A",INDEX(Fixed_Assets!$L$2:$L$201,$AB324)&amp;"",IF($Z324="F",INDEX(Workforce!$K$2:$K$151,MATCH(INDEX(FTE_Allocation!$A$2:$A$201,$AB324),Workforce!$A$2:$A$151,0))&amp;"","")))</f>
        <v/>
      </c>
      <c r="G324" s="7">
        <f>IF($Z324="C",INDEX(Contracts!$F$2:$F$151,$AB324)&amp;" / "&amp;INDEX(Contracts!$G$2:$G$151,$AB324),IF($Z324="A",INDEX(Fixed_Assets!$E$2:$E$201,$AB324)&amp;"",IF($Z324="F","Personnel "&amp;INDEX(FTE_Allocation!$A$2:$A$201,$AB324)&amp;IF(INDEX(FTE_Allocation!$D$2:$D$201,$AB324)="PROJECT"," ("&amp;INDEX(FTE_Allocation!$E$2:$E$201,$AB324)&amp;")",""),"")))</f>
        <v/>
      </c>
      <c r="H324" s="7">
        <f>IF($Z324="C","CONTRACT",IF($Z324="A","ASSET",IF($Z324="F","WORKFORCE","")))</f>
        <v/>
      </c>
      <c r="I324" s="7">
        <f>IF($Z324="C",INDEX(Contracts!$L$2:$L$151,$AB324)&amp;"",IF($Z324="A",INDEX(Fixed_Assets!$I$2:$I$201,$AB324)&amp;"",IF($Z324="F",INDEX(Workforce!$G$2:$G$151,MATCH(INDEX(FTE_Allocation!$A$2:$A$201,$AB324),Workforce!$A$2:$A$151,0))&amp;"","")))</f>
        <v/>
      </c>
      <c r="J324" s="18">
        <f>IF($Z324="","",IF(AND(DATE($AD324,1,1)&gt;=$AE324,DATE($AD324,1,1)&lt;=$AF324),ROUND($AG324,2),0))</f>
        <v/>
      </c>
      <c r="K324" s="18">
        <f>IF($Z324="","",IF(AND(DATE($AD324,2,1)&gt;=$AE324,DATE($AD324,2,1)&lt;=$AF324),ROUND($AG324,2),0))</f>
        <v/>
      </c>
      <c r="L324" s="18">
        <f>IF($Z324="","",IF(AND(DATE($AD324,3,1)&gt;=$AE324,DATE($AD324,3,1)&lt;=$AF324),ROUND($AG324,2),0))</f>
        <v/>
      </c>
      <c r="M324" s="18">
        <f>IF($Z324="","",IF(AND(DATE($AD324,4,1)&gt;=$AE324,DATE($AD324,4,1)&lt;=$AF324),ROUND($AG324,2),0))</f>
        <v/>
      </c>
      <c r="N324" s="18">
        <f>IF($Z324="","",IF(AND(DATE($AD324,5,1)&gt;=$AE324,DATE($AD324,5,1)&lt;=$AF324),ROUND($AG324,2),0))</f>
        <v/>
      </c>
      <c r="O324" s="18">
        <f>IF($Z324="","",IF(AND(DATE($AD324,6,1)&gt;=$AE324,DATE($AD324,6,1)&lt;=$AF324),ROUND($AG324,2),0))</f>
        <v/>
      </c>
      <c r="P324" s="18">
        <f>IF($Z324="","",IF(AND(DATE($AD324,7,1)&gt;=$AE324,DATE($AD324,7,1)&lt;=$AF324),ROUND($AG324,2),0))</f>
        <v/>
      </c>
      <c r="Q324" s="18">
        <f>IF($Z324="","",IF(AND(DATE($AD324,8,1)&gt;=$AE324,DATE($AD324,8,1)&lt;=$AF324),ROUND($AG324,2),0))</f>
        <v/>
      </c>
      <c r="R324" s="18">
        <f>IF($Z324="","",IF(AND(DATE($AD324,9,1)&gt;=$AE324,DATE($AD324,9,1)&lt;=$AF324),ROUND($AG324,2),0))</f>
        <v/>
      </c>
      <c r="S324" s="18">
        <f>IF($Z324="","",IF(AND(DATE($AD324,10,1)&gt;=$AE324,DATE($AD324,10,1)&lt;=$AF324),ROUND($AG324,2),0))</f>
        <v/>
      </c>
      <c r="T324" s="18">
        <f>IF($Z324="","",IF(AND(DATE($AD324,11,1)&gt;=$AE324,DATE($AD324,11,1)&lt;=$AF324),ROUND($AG324,2),0))</f>
        <v/>
      </c>
      <c r="U324" s="18">
        <f>IF($Z324="","",IF(AND(DATE($AD324,12,1)&gt;=$AE324,DATE($AD324,12,1)&lt;=$AF324),ROUND($AG324,2),0))</f>
        <v/>
      </c>
      <c r="V324" s="7">
        <f>IF($Z324="C","Generated from "&amp;INDEX(Contracts!$A$2:$A$151,$AB324),IF($Z324="A","Generated from "&amp;INDEX(Fixed_Assets!$A$2:$A$201,$AB324),IF($Z324="F","Generated from "&amp;INDEX(FTE_Allocation!$A$2:$A$201,$AB324),"")))</f>
        <v/>
      </c>
      <c r="X324" s="19">
        <f>IF($Z324="","",SUM(J324:U324))</f>
        <v/>
      </c>
      <c r="Y324" s="20">
        <f>ROW()-1</f>
        <v/>
      </c>
      <c r="Z324" s="20">
        <f>IF($Y324&lt;=Settings!$B$4*3,"C",IF($Y324&lt;=(Settings!$B$4+Settings!$B$5)*3,"A",IF($Y324&lt;=(Settings!$B$4+Settings!$B$5+Settings!$B$6)*3,"F","")))</f>
        <v/>
      </c>
      <c r="AA324" s="20">
        <f>IF($Z324="C",$Y324,IF($Z324="A",$Y324-Settings!$B$4*3,IF($Z324="F",$Y324-(Settings!$B$4+Settings!$B$5)*3,"")))</f>
        <v/>
      </c>
      <c r="AB324" s="20">
        <f>IF($Z324="","",INT(($AA324-1)/3)+1)</f>
        <v/>
      </c>
      <c r="AC324" s="20">
        <f>IF($Z324="","",MOD($AA324-1,3)+1)</f>
        <v/>
      </c>
      <c r="AD324" s="20">
        <f>IF($Z324="","",Settings!$B$2+$AC324-1)</f>
        <v/>
      </c>
      <c r="AE324" s="21">
        <f>IF($Z324="C",DATE(YEAR(INDEX(Contracts!$J$2:$J$151,$AB324)),MONTH(INDEX(Contracts!$J$2:$J$151,$AB324)),1),IF($Z324="A",DATE(YEAR(INDEX(Fixed_Assets!$G$2:$G$201,$AB324)),MONTH(INDEX(Fixed_Assets!$G$2:$G$201,$AB324)),1),IF($Z324="F",DATE(YEAR(MAX(N(INDEX(Workforce!$I$2:$I$151,MATCH(INDEX(FTE_Allocation!$A$2:$A$201,$AB324),Workforce!$A$2:$A$151,0))),N(INDEX(FTE_Allocation!$I$2:$I$201,$AB324)))),MONTH(MAX(N(INDEX(Workforce!$I$2:$I$151,MATCH(INDEX(FTE_Allocation!$A$2:$A$201,$AB324),Workforce!$A$2:$A$151,0))),N(INDEX(FTE_Allocation!$I$2:$I$201,$AB324)))),1),"")))</f>
        <v/>
      </c>
      <c r="AF324" s="21">
        <f>IF($Z324="C",IF(INDEX(Contracts!$I$2:$I$151,$AB324)="PREPAID",EDATE(DATE(YEAR(INDEX(Contracts!$J$2:$J$151,$AB324)),MONTH(INDEX(Contracts!$J$2:$J$151,$AB324)),1),IF(INDEX(Contracts!$N$2:$N$151,$AB324)="",12,INDEX(Contracts!$N$2:$N$151,$AB324))-1),IF(INDEX(Contracts!$I$2:$I$151,$AB324)="MONTHLY",IF(INDEX(Contracts!$K$2:$K$151,$AB324)="",2958101,INDEX(Contracts!$K$2:$K$151,$AB324)),0)),IF($Z324="A",EDATE(DATE(YEAR(INDEX(Fixed_Assets!$G$2:$G$201,$AB324)),MONTH(INDEX(Fixed_Assets!$G$2:$G$201,$AB324)),1),INDEX(Fixed_Assets!$J$2:$J$201,$AB324)-1),IF($Z324="F",MIN(IF(INDEX(Workforce!$J$2:$J$151,MATCH(INDEX(FTE_Allocation!$A$2:$A$201,$AB324),Workforce!$A$2:$A$151,0))="",2958101,INDEX(Workforce!$J$2:$J$151,MATCH(INDEX(FTE_Allocation!$A$2:$A$201,$AB324),Workforce!$A$2:$A$151,0))),IF(INDEX(FTE_Allocation!$J$2:$J$201,$AB324)="",2958101,INDEX(FTE_Allocation!$J$2:$J$201,$AB324))),"")))</f>
        <v/>
      </c>
      <c r="AG324" s="19">
        <f>IF($Z324="C",IF(INDEX(Contracts!$I$2:$I$151,$AB324)="PREPAID",INDEX(Contracts!$M$2:$M$151,$AB324)/IF(INDEX(Contracts!$N$2:$N$151,$AB324)="",12,INDEX(Contracts!$N$2:$N$151,$AB324)),IF(INDEX(Contracts!$I$2:$I$151,$AB324)="MONTHLY",INDEX(Contracts!$M$2:$M$151,$AB324),0))*(1-N(INDEX(Contracts!$O$2:$O$151,$AB324))),IF($Z324="A",INDEX(Fixed_Assets!$H$2:$H$201,$AB324)/INDEX(Fixed_Assets!$J$2:$J$201,$AB324),IF($Z324="F",INDEX(Workforce!$F$2:$F$151,MATCH(INDEX(FTE_Allocation!$A$2:$A$201,$AB324),Workforce!$A$2:$A$151,0))*N(INDEX(FTE_Allocation!$F$2:$H$201,$AB324,$AC324)),"")))</f>
        <v/>
      </c>
    </row>
    <row r="325">
      <c r="A325" s="7">
        <f>IF($Z325="","",$AD325)</f>
        <v/>
      </c>
      <c r="B325" s="7">
        <f>IF($Z325="C",INDEX(Contracts!$D$2:$D$151,$AB325)&amp;"",IF($Z325="A",INDEX(Fixed_Assets!$C$2:$C$201,$AB325)&amp;"",IF($Z325="F",INDEX(Workforce!$B$2:$B$151,MATCH(INDEX(FTE_Allocation!$A$2:$A$201,$AB325),Workforce!$A$2:$A$151,0))&amp;"","")))</f>
        <v/>
      </c>
      <c r="C325" s="7">
        <f>IF($Z325="C",INDEX(Contracts!$E$2:$E$151,$AB325)&amp;"",IF($Z325="A",INDEX(Fixed_Assets!$D$2:$D$201,$AB325)&amp;"",IF($Z325="F",INDEX(FTE_Allocation!$C$2:$C$201,$AB325)&amp;"","")))</f>
        <v/>
      </c>
      <c r="D325" s="7">
        <f>IF($Z325="C",INDEX(Contracts!$B$2:$B$151,$AB325)&amp;"",IF($Z325="A",INDEX(Fixed_Assets!$B$2:$B$201,$AB325)&amp;"",IF($Z325="F",INDEX(FTE_Allocation!$B$2:$B$201,$AB325)&amp;"","")))</f>
        <v/>
      </c>
      <c r="E325" s="7">
        <f>IF($Z325="C",INDEX(Contracts!$P$2:$P$151,$AB325)&amp;"",IF($Z325="A",INDEX(Fixed_Assets!$K$2:$K$201,$AB325)&amp;"",IF($Z325="F",IF(INDEX(FTE_Allocation!$D$2:$D$201,$AB325)="PROJECT",IFERROR(INDEX(Projects!$D:$D,MATCH(INDEX(FTE_Allocation!$E$2:$E$201,$AB325),Projects!$A:$A,0))&amp;"","#PROJECT?"),INDEX(FTE_Allocation!$E$2:$E$201,$AB325)&amp;""),"")))</f>
        <v/>
      </c>
      <c r="F325" s="7">
        <f>IF($Z325="C",INDEX(Contracts!$Q$2:$Q$151,$AB325)&amp;"",IF($Z325="A",INDEX(Fixed_Assets!$L$2:$L$201,$AB325)&amp;"",IF($Z325="F",INDEX(Workforce!$K$2:$K$151,MATCH(INDEX(FTE_Allocation!$A$2:$A$201,$AB325),Workforce!$A$2:$A$151,0))&amp;"","")))</f>
        <v/>
      </c>
      <c r="G325" s="7">
        <f>IF($Z325="C",INDEX(Contracts!$F$2:$F$151,$AB325)&amp;" / "&amp;INDEX(Contracts!$G$2:$G$151,$AB325),IF($Z325="A",INDEX(Fixed_Assets!$E$2:$E$201,$AB325)&amp;"",IF($Z325="F","Personnel "&amp;INDEX(FTE_Allocation!$A$2:$A$201,$AB325)&amp;IF(INDEX(FTE_Allocation!$D$2:$D$201,$AB325)="PROJECT"," ("&amp;INDEX(FTE_Allocation!$E$2:$E$201,$AB325)&amp;")",""),"")))</f>
        <v/>
      </c>
      <c r="H325" s="7">
        <f>IF($Z325="C","CONTRACT",IF($Z325="A","ASSET",IF($Z325="F","WORKFORCE","")))</f>
        <v/>
      </c>
      <c r="I325" s="7">
        <f>IF($Z325="C",INDEX(Contracts!$L$2:$L$151,$AB325)&amp;"",IF($Z325="A",INDEX(Fixed_Assets!$I$2:$I$201,$AB325)&amp;"",IF($Z325="F",INDEX(Workforce!$G$2:$G$151,MATCH(INDEX(FTE_Allocation!$A$2:$A$201,$AB325),Workforce!$A$2:$A$151,0))&amp;"","")))</f>
        <v/>
      </c>
      <c r="J325" s="18">
        <f>IF($Z325="","",IF(AND(DATE($AD325,1,1)&gt;=$AE325,DATE($AD325,1,1)&lt;=$AF325),ROUND($AG325,2),0))</f>
        <v/>
      </c>
      <c r="K325" s="18">
        <f>IF($Z325="","",IF(AND(DATE($AD325,2,1)&gt;=$AE325,DATE($AD325,2,1)&lt;=$AF325),ROUND($AG325,2),0))</f>
        <v/>
      </c>
      <c r="L325" s="18">
        <f>IF($Z325="","",IF(AND(DATE($AD325,3,1)&gt;=$AE325,DATE($AD325,3,1)&lt;=$AF325),ROUND($AG325,2),0))</f>
        <v/>
      </c>
      <c r="M325" s="18">
        <f>IF($Z325="","",IF(AND(DATE($AD325,4,1)&gt;=$AE325,DATE($AD325,4,1)&lt;=$AF325),ROUND($AG325,2),0))</f>
        <v/>
      </c>
      <c r="N325" s="18">
        <f>IF($Z325="","",IF(AND(DATE($AD325,5,1)&gt;=$AE325,DATE($AD325,5,1)&lt;=$AF325),ROUND($AG325,2),0))</f>
        <v/>
      </c>
      <c r="O325" s="18">
        <f>IF($Z325="","",IF(AND(DATE($AD325,6,1)&gt;=$AE325,DATE($AD325,6,1)&lt;=$AF325),ROUND($AG325,2),0))</f>
        <v/>
      </c>
      <c r="P325" s="18">
        <f>IF($Z325="","",IF(AND(DATE($AD325,7,1)&gt;=$AE325,DATE($AD325,7,1)&lt;=$AF325),ROUND($AG325,2),0))</f>
        <v/>
      </c>
      <c r="Q325" s="18">
        <f>IF($Z325="","",IF(AND(DATE($AD325,8,1)&gt;=$AE325,DATE($AD325,8,1)&lt;=$AF325),ROUND($AG325,2),0))</f>
        <v/>
      </c>
      <c r="R325" s="18">
        <f>IF($Z325="","",IF(AND(DATE($AD325,9,1)&gt;=$AE325,DATE($AD325,9,1)&lt;=$AF325),ROUND($AG325,2),0))</f>
        <v/>
      </c>
      <c r="S325" s="18">
        <f>IF($Z325="","",IF(AND(DATE($AD325,10,1)&gt;=$AE325,DATE($AD325,10,1)&lt;=$AF325),ROUND($AG325,2),0))</f>
        <v/>
      </c>
      <c r="T325" s="18">
        <f>IF($Z325="","",IF(AND(DATE($AD325,11,1)&gt;=$AE325,DATE($AD325,11,1)&lt;=$AF325),ROUND($AG325,2),0))</f>
        <v/>
      </c>
      <c r="U325" s="18">
        <f>IF($Z325="","",IF(AND(DATE($AD325,12,1)&gt;=$AE325,DATE($AD325,12,1)&lt;=$AF325),ROUND($AG325,2),0))</f>
        <v/>
      </c>
      <c r="V325" s="7">
        <f>IF($Z325="C","Generated from "&amp;INDEX(Contracts!$A$2:$A$151,$AB325),IF($Z325="A","Generated from "&amp;INDEX(Fixed_Assets!$A$2:$A$201,$AB325),IF($Z325="F","Generated from "&amp;INDEX(FTE_Allocation!$A$2:$A$201,$AB325),"")))</f>
        <v/>
      </c>
      <c r="X325" s="19">
        <f>IF($Z325="","",SUM(J325:U325))</f>
        <v/>
      </c>
      <c r="Y325" s="20">
        <f>ROW()-1</f>
        <v/>
      </c>
      <c r="Z325" s="20">
        <f>IF($Y325&lt;=Settings!$B$4*3,"C",IF($Y325&lt;=(Settings!$B$4+Settings!$B$5)*3,"A",IF($Y325&lt;=(Settings!$B$4+Settings!$B$5+Settings!$B$6)*3,"F","")))</f>
        <v/>
      </c>
      <c r="AA325" s="20">
        <f>IF($Z325="C",$Y325,IF($Z325="A",$Y325-Settings!$B$4*3,IF($Z325="F",$Y325-(Settings!$B$4+Settings!$B$5)*3,"")))</f>
        <v/>
      </c>
      <c r="AB325" s="20">
        <f>IF($Z325="","",INT(($AA325-1)/3)+1)</f>
        <v/>
      </c>
      <c r="AC325" s="20">
        <f>IF($Z325="","",MOD($AA325-1,3)+1)</f>
        <v/>
      </c>
      <c r="AD325" s="20">
        <f>IF($Z325="","",Settings!$B$2+$AC325-1)</f>
        <v/>
      </c>
      <c r="AE325" s="21">
        <f>IF($Z325="C",DATE(YEAR(INDEX(Contracts!$J$2:$J$151,$AB325)),MONTH(INDEX(Contracts!$J$2:$J$151,$AB325)),1),IF($Z325="A",DATE(YEAR(INDEX(Fixed_Assets!$G$2:$G$201,$AB325)),MONTH(INDEX(Fixed_Assets!$G$2:$G$201,$AB325)),1),IF($Z325="F",DATE(YEAR(MAX(N(INDEX(Workforce!$I$2:$I$151,MATCH(INDEX(FTE_Allocation!$A$2:$A$201,$AB325),Workforce!$A$2:$A$151,0))),N(INDEX(FTE_Allocation!$I$2:$I$201,$AB325)))),MONTH(MAX(N(INDEX(Workforce!$I$2:$I$151,MATCH(INDEX(FTE_Allocation!$A$2:$A$201,$AB325),Workforce!$A$2:$A$151,0))),N(INDEX(FTE_Allocation!$I$2:$I$201,$AB325)))),1),"")))</f>
        <v/>
      </c>
      <c r="AF325" s="21">
        <f>IF($Z325="C",IF(INDEX(Contracts!$I$2:$I$151,$AB325)="PREPAID",EDATE(DATE(YEAR(INDEX(Contracts!$J$2:$J$151,$AB325)),MONTH(INDEX(Contracts!$J$2:$J$151,$AB325)),1),IF(INDEX(Contracts!$N$2:$N$151,$AB325)="",12,INDEX(Contracts!$N$2:$N$151,$AB325))-1),IF(INDEX(Contracts!$I$2:$I$151,$AB325)="MONTHLY",IF(INDEX(Contracts!$K$2:$K$151,$AB325)="",2958101,INDEX(Contracts!$K$2:$K$151,$AB325)),0)),IF($Z325="A",EDATE(DATE(YEAR(INDEX(Fixed_Assets!$G$2:$G$201,$AB325)),MONTH(INDEX(Fixed_Assets!$G$2:$G$201,$AB325)),1),INDEX(Fixed_Assets!$J$2:$J$201,$AB325)-1),IF($Z325="F",MIN(IF(INDEX(Workforce!$J$2:$J$151,MATCH(INDEX(FTE_Allocation!$A$2:$A$201,$AB325),Workforce!$A$2:$A$151,0))="",2958101,INDEX(Workforce!$J$2:$J$151,MATCH(INDEX(FTE_Allocation!$A$2:$A$201,$AB325),Workforce!$A$2:$A$151,0))),IF(INDEX(FTE_Allocation!$J$2:$J$201,$AB325)="",2958101,INDEX(FTE_Allocation!$J$2:$J$201,$AB325))),"")))</f>
        <v/>
      </c>
      <c r="AG325" s="19">
        <f>IF($Z325="C",IF(INDEX(Contracts!$I$2:$I$151,$AB325)="PREPAID",INDEX(Contracts!$M$2:$M$151,$AB325)/IF(INDEX(Contracts!$N$2:$N$151,$AB325)="",12,INDEX(Contracts!$N$2:$N$151,$AB325)),IF(INDEX(Contracts!$I$2:$I$151,$AB325)="MONTHLY",INDEX(Contracts!$M$2:$M$151,$AB325),0))*(1-N(INDEX(Contracts!$O$2:$O$151,$AB325))),IF($Z325="A",INDEX(Fixed_Assets!$H$2:$H$201,$AB325)/INDEX(Fixed_Assets!$J$2:$J$201,$AB325),IF($Z325="F",INDEX(Workforce!$F$2:$F$151,MATCH(INDEX(FTE_Allocation!$A$2:$A$201,$AB325),Workforce!$A$2:$A$151,0))*N(INDEX(FTE_Allocation!$F$2:$H$201,$AB325,$AC325)),"")))</f>
        <v/>
      </c>
    </row>
    <row r="326">
      <c r="A326" s="7">
        <f>IF($Z326="","",$AD326)</f>
        <v/>
      </c>
      <c r="B326" s="7">
        <f>IF($Z326="C",INDEX(Contracts!$D$2:$D$151,$AB326)&amp;"",IF($Z326="A",INDEX(Fixed_Assets!$C$2:$C$201,$AB326)&amp;"",IF($Z326="F",INDEX(Workforce!$B$2:$B$151,MATCH(INDEX(FTE_Allocation!$A$2:$A$201,$AB326),Workforce!$A$2:$A$151,0))&amp;"","")))</f>
        <v/>
      </c>
      <c r="C326" s="7">
        <f>IF($Z326="C",INDEX(Contracts!$E$2:$E$151,$AB326)&amp;"",IF($Z326="A",INDEX(Fixed_Assets!$D$2:$D$201,$AB326)&amp;"",IF($Z326="F",INDEX(FTE_Allocation!$C$2:$C$201,$AB326)&amp;"","")))</f>
        <v/>
      </c>
      <c r="D326" s="7">
        <f>IF($Z326="C",INDEX(Contracts!$B$2:$B$151,$AB326)&amp;"",IF($Z326="A",INDEX(Fixed_Assets!$B$2:$B$201,$AB326)&amp;"",IF($Z326="F",INDEX(FTE_Allocation!$B$2:$B$201,$AB326)&amp;"","")))</f>
        <v/>
      </c>
      <c r="E326" s="7">
        <f>IF($Z326="C",INDEX(Contracts!$P$2:$P$151,$AB326)&amp;"",IF($Z326="A",INDEX(Fixed_Assets!$K$2:$K$201,$AB326)&amp;"",IF($Z326="F",IF(INDEX(FTE_Allocation!$D$2:$D$201,$AB326)="PROJECT",IFERROR(INDEX(Projects!$D:$D,MATCH(INDEX(FTE_Allocation!$E$2:$E$201,$AB326),Projects!$A:$A,0))&amp;"","#PROJECT?"),INDEX(FTE_Allocation!$E$2:$E$201,$AB326)&amp;""),"")))</f>
        <v/>
      </c>
      <c r="F326" s="7">
        <f>IF($Z326="C",INDEX(Contracts!$Q$2:$Q$151,$AB326)&amp;"",IF($Z326="A",INDEX(Fixed_Assets!$L$2:$L$201,$AB326)&amp;"",IF($Z326="F",INDEX(Workforce!$K$2:$K$151,MATCH(INDEX(FTE_Allocation!$A$2:$A$201,$AB326),Workforce!$A$2:$A$151,0))&amp;"","")))</f>
        <v/>
      </c>
      <c r="G326" s="7">
        <f>IF($Z326="C",INDEX(Contracts!$F$2:$F$151,$AB326)&amp;" / "&amp;INDEX(Contracts!$G$2:$G$151,$AB326),IF($Z326="A",INDEX(Fixed_Assets!$E$2:$E$201,$AB326)&amp;"",IF($Z326="F","Personnel "&amp;INDEX(FTE_Allocation!$A$2:$A$201,$AB326)&amp;IF(INDEX(FTE_Allocation!$D$2:$D$201,$AB326)="PROJECT"," ("&amp;INDEX(FTE_Allocation!$E$2:$E$201,$AB326)&amp;")",""),"")))</f>
        <v/>
      </c>
      <c r="H326" s="7">
        <f>IF($Z326="C","CONTRACT",IF($Z326="A","ASSET",IF($Z326="F","WORKFORCE","")))</f>
        <v/>
      </c>
      <c r="I326" s="7">
        <f>IF($Z326="C",INDEX(Contracts!$L$2:$L$151,$AB326)&amp;"",IF($Z326="A",INDEX(Fixed_Assets!$I$2:$I$201,$AB326)&amp;"",IF($Z326="F",INDEX(Workforce!$G$2:$G$151,MATCH(INDEX(FTE_Allocation!$A$2:$A$201,$AB326),Workforce!$A$2:$A$151,0))&amp;"","")))</f>
        <v/>
      </c>
      <c r="J326" s="18">
        <f>IF($Z326="","",IF(AND(DATE($AD326,1,1)&gt;=$AE326,DATE($AD326,1,1)&lt;=$AF326),ROUND($AG326,2),0))</f>
        <v/>
      </c>
      <c r="K326" s="18">
        <f>IF($Z326="","",IF(AND(DATE($AD326,2,1)&gt;=$AE326,DATE($AD326,2,1)&lt;=$AF326),ROUND($AG326,2),0))</f>
        <v/>
      </c>
      <c r="L326" s="18">
        <f>IF($Z326="","",IF(AND(DATE($AD326,3,1)&gt;=$AE326,DATE($AD326,3,1)&lt;=$AF326),ROUND($AG326,2),0))</f>
        <v/>
      </c>
      <c r="M326" s="18">
        <f>IF($Z326="","",IF(AND(DATE($AD326,4,1)&gt;=$AE326,DATE($AD326,4,1)&lt;=$AF326),ROUND($AG326,2),0))</f>
        <v/>
      </c>
      <c r="N326" s="18">
        <f>IF($Z326="","",IF(AND(DATE($AD326,5,1)&gt;=$AE326,DATE($AD326,5,1)&lt;=$AF326),ROUND($AG326,2),0))</f>
        <v/>
      </c>
      <c r="O326" s="18">
        <f>IF($Z326="","",IF(AND(DATE($AD326,6,1)&gt;=$AE326,DATE($AD326,6,1)&lt;=$AF326),ROUND($AG326,2),0))</f>
        <v/>
      </c>
      <c r="P326" s="18">
        <f>IF($Z326="","",IF(AND(DATE($AD326,7,1)&gt;=$AE326,DATE($AD326,7,1)&lt;=$AF326),ROUND($AG326,2),0))</f>
        <v/>
      </c>
      <c r="Q326" s="18">
        <f>IF($Z326="","",IF(AND(DATE($AD326,8,1)&gt;=$AE326,DATE($AD326,8,1)&lt;=$AF326),ROUND($AG326,2),0))</f>
        <v/>
      </c>
      <c r="R326" s="18">
        <f>IF($Z326="","",IF(AND(DATE($AD326,9,1)&gt;=$AE326,DATE($AD326,9,1)&lt;=$AF326),ROUND($AG326,2),0))</f>
        <v/>
      </c>
      <c r="S326" s="18">
        <f>IF($Z326="","",IF(AND(DATE($AD326,10,1)&gt;=$AE326,DATE($AD326,10,1)&lt;=$AF326),ROUND($AG326,2),0))</f>
        <v/>
      </c>
      <c r="T326" s="18">
        <f>IF($Z326="","",IF(AND(DATE($AD326,11,1)&gt;=$AE326,DATE($AD326,11,1)&lt;=$AF326),ROUND($AG326,2),0))</f>
        <v/>
      </c>
      <c r="U326" s="18">
        <f>IF($Z326="","",IF(AND(DATE($AD326,12,1)&gt;=$AE326,DATE($AD326,12,1)&lt;=$AF326),ROUND($AG326,2),0))</f>
        <v/>
      </c>
      <c r="V326" s="7">
        <f>IF($Z326="C","Generated from "&amp;INDEX(Contracts!$A$2:$A$151,$AB326),IF($Z326="A","Generated from "&amp;INDEX(Fixed_Assets!$A$2:$A$201,$AB326),IF($Z326="F","Generated from "&amp;INDEX(FTE_Allocation!$A$2:$A$201,$AB326),"")))</f>
        <v/>
      </c>
      <c r="X326" s="19">
        <f>IF($Z326="","",SUM(J326:U326))</f>
        <v/>
      </c>
      <c r="Y326" s="20">
        <f>ROW()-1</f>
        <v/>
      </c>
      <c r="Z326" s="20">
        <f>IF($Y326&lt;=Settings!$B$4*3,"C",IF($Y326&lt;=(Settings!$B$4+Settings!$B$5)*3,"A",IF($Y326&lt;=(Settings!$B$4+Settings!$B$5+Settings!$B$6)*3,"F","")))</f>
        <v/>
      </c>
      <c r="AA326" s="20">
        <f>IF($Z326="C",$Y326,IF($Z326="A",$Y326-Settings!$B$4*3,IF($Z326="F",$Y326-(Settings!$B$4+Settings!$B$5)*3,"")))</f>
        <v/>
      </c>
      <c r="AB326" s="20">
        <f>IF($Z326="","",INT(($AA326-1)/3)+1)</f>
        <v/>
      </c>
      <c r="AC326" s="20">
        <f>IF($Z326="","",MOD($AA326-1,3)+1)</f>
        <v/>
      </c>
      <c r="AD326" s="20">
        <f>IF($Z326="","",Settings!$B$2+$AC326-1)</f>
        <v/>
      </c>
      <c r="AE326" s="21">
        <f>IF($Z326="C",DATE(YEAR(INDEX(Contracts!$J$2:$J$151,$AB326)),MONTH(INDEX(Contracts!$J$2:$J$151,$AB326)),1),IF($Z326="A",DATE(YEAR(INDEX(Fixed_Assets!$G$2:$G$201,$AB326)),MONTH(INDEX(Fixed_Assets!$G$2:$G$201,$AB326)),1),IF($Z326="F",DATE(YEAR(MAX(N(INDEX(Workforce!$I$2:$I$151,MATCH(INDEX(FTE_Allocation!$A$2:$A$201,$AB326),Workforce!$A$2:$A$151,0))),N(INDEX(FTE_Allocation!$I$2:$I$201,$AB326)))),MONTH(MAX(N(INDEX(Workforce!$I$2:$I$151,MATCH(INDEX(FTE_Allocation!$A$2:$A$201,$AB326),Workforce!$A$2:$A$151,0))),N(INDEX(FTE_Allocation!$I$2:$I$201,$AB326)))),1),"")))</f>
        <v/>
      </c>
      <c r="AF326" s="21">
        <f>IF($Z326="C",IF(INDEX(Contracts!$I$2:$I$151,$AB326)="PREPAID",EDATE(DATE(YEAR(INDEX(Contracts!$J$2:$J$151,$AB326)),MONTH(INDEX(Contracts!$J$2:$J$151,$AB326)),1),IF(INDEX(Contracts!$N$2:$N$151,$AB326)="",12,INDEX(Contracts!$N$2:$N$151,$AB326))-1),IF(INDEX(Contracts!$I$2:$I$151,$AB326)="MONTHLY",IF(INDEX(Contracts!$K$2:$K$151,$AB326)="",2958101,INDEX(Contracts!$K$2:$K$151,$AB326)),0)),IF($Z326="A",EDATE(DATE(YEAR(INDEX(Fixed_Assets!$G$2:$G$201,$AB326)),MONTH(INDEX(Fixed_Assets!$G$2:$G$201,$AB326)),1),INDEX(Fixed_Assets!$J$2:$J$201,$AB326)-1),IF($Z326="F",MIN(IF(INDEX(Workforce!$J$2:$J$151,MATCH(INDEX(FTE_Allocation!$A$2:$A$201,$AB326),Workforce!$A$2:$A$151,0))="",2958101,INDEX(Workforce!$J$2:$J$151,MATCH(INDEX(FTE_Allocation!$A$2:$A$201,$AB326),Workforce!$A$2:$A$151,0))),IF(INDEX(FTE_Allocation!$J$2:$J$201,$AB326)="",2958101,INDEX(FTE_Allocation!$J$2:$J$201,$AB326))),"")))</f>
        <v/>
      </c>
      <c r="AG326" s="19">
        <f>IF($Z326="C",IF(INDEX(Contracts!$I$2:$I$151,$AB326)="PREPAID",INDEX(Contracts!$M$2:$M$151,$AB326)/IF(INDEX(Contracts!$N$2:$N$151,$AB326)="",12,INDEX(Contracts!$N$2:$N$151,$AB326)),IF(INDEX(Contracts!$I$2:$I$151,$AB326)="MONTHLY",INDEX(Contracts!$M$2:$M$151,$AB326),0))*(1-N(INDEX(Contracts!$O$2:$O$151,$AB326))),IF($Z326="A",INDEX(Fixed_Assets!$H$2:$H$201,$AB326)/INDEX(Fixed_Assets!$J$2:$J$201,$AB326),IF($Z326="F",INDEX(Workforce!$F$2:$F$151,MATCH(INDEX(FTE_Allocation!$A$2:$A$201,$AB326),Workforce!$A$2:$A$151,0))*N(INDEX(FTE_Allocation!$F$2:$H$201,$AB326,$AC326)),"")))</f>
        <v/>
      </c>
    </row>
    <row r="327">
      <c r="A327" s="7">
        <f>IF($Z327="","",$AD327)</f>
        <v/>
      </c>
      <c r="B327" s="7">
        <f>IF($Z327="C",INDEX(Contracts!$D$2:$D$151,$AB327)&amp;"",IF($Z327="A",INDEX(Fixed_Assets!$C$2:$C$201,$AB327)&amp;"",IF($Z327="F",INDEX(Workforce!$B$2:$B$151,MATCH(INDEX(FTE_Allocation!$A$2:$A$201,$AB327),Workforce!$A$2:$A$151,0))&amp;"","")))</f>
        <v/>
      </c>
      <c r="C327" s="7">
        <f>IF($Z327="C",INDEX(Contracts!$E$2:$E$151,$AB327)&amp;"",IF($Z327="A",INDEX(Fixed_Assets!$D$2:$D$201,$AB327)&amp;"",IF($Z327="F",INDEX(FTE_Allocation!$C$2:$C$201,$AB327)&amp;"","")))</f>
        <v/>
      </c>
      <c r="D327" s="7">
        <f>IF($Z327="C",INDEX(Contracts!$B$2:$B$151,$AB327)&amp;"",IF($Z327="A",INDEX(Fixed_Assets!$B$2:$B$201,$AB327)&amp;"",IF($Z327="F",INDEX(FTE_Allocation!$B$2:$B$201,$AB327)&amp;"","")))</f>
        <v/>
      </c>
      <c r="E327" s="7">
        <f>IF($Z327="C",INDEX(Contracts!$P$2:$P$151,$AB327)&amp;"",IF($Z327="A",INDEX(Fixed_Assets!$K$2:$K$201,$AB327)&amp;"",IF($Z327="F",IF(INDEX(FTE_Allocation!$D$2:$D$201,$AB327)="PROJECT",IFERROR(INDEX(Projects!$D:$D,MATCH(INDEX(FTE_Allocation!$E$2:$E$201,$AB327),Projects!$A:$A,0))&amp;"","#PROJECT?"),INDEX(FTE_Allocation!$E$2:$E$201,$AB327)&amp;""),"")))</f>
        <v/>
      </c>
      <c r="F327" s="7">
        <f>IF($Z327="C",INDEX(Contracts!$Q$2:$Q$151,$AB327)&amp;"",IF($Z327="A",INDEX(Fixed_Assets!$L$2:$L$201,$AB327)&amp;"",IF($Z327="F",INDEX(Workforce!$K$2:$K$151,MATCH(INDEX(FTE_Allocation!$A$2:$A$201,$AB327),Workforce!$A$2:$A$151,0))&amp;"","")))</f>
        <v/>
      </c>
      <c r="G327" s="7">
        <f>IF($Z327="C",INDEX(Contracts!$F$2:$F$151,$AB327)&amp;" / "&amp;INDEX(Contracts!$G$2:$G$151,$AB327),IF($Z327="A",INDEX(Fixed_Assets!$E$2:$E$201,$AB327)&amp;"",IF($Z327="F","Personnel "&amp;INDEX(FTE_Allocation!$A$2:$A$201,$AB327)&amp;IF(INDEX(FTE_Allocation!$D$2:$D$201,$AB327)="PROJECT"," ("&amp;INDEX(FTE_Allocation!$E$2:$E$201,$AB327)&amp;")",""),"")))</f>
        <v/>
      </c>
      <c r="H327" s="7">
        <f>IF($Z327="C","CONTRACT",IF($Z327="A","ASSET",IF($Z327="F","WORKFORCE","")))</f>
        <v/>
      </c>
      <c r="I327" s="7">
        <f>IF($Z327="C",INDEX(Contracts!$L$2:$L$151,$AB327)&amp;"",IF($Z327="A",INDEX(Fixed_Assets!$I$2:$I$201,$AB327)&amp;"",IF($Z327="F",INDEX(Workforce!$G$2:$G$151,MATCH(INDEX(FTE_Allocation!$A$2:$A$201,$AB327),Workforce!$A$2:$A$151,0))&amp;"","")))</f>
        <v/>
      </c>
      <c r="J327" s="18">
        <f>IF($Z327="","",IF(AND(DATE($AD327,1,1)&gt;=$AE327,DATE($AD327,1,1)&lt;=$AF327),ROUND($AG327,2),0))</f>
        <v/>
      </c>
      <c r="K327" s="18">
        <f>IF($Z327="","",IF(AND(DATE($AD327,2,1)&gt;=$AE327,DATE($AD327,2,1)&lt;=$AF327),ROUND($AG327,2),0))</f>
        <v/>
      </c>
      <c r="L327" s="18">
        <f>IF($Z327="","",IF(AND(DATE($AD327,3,1)&gt;=$AE327,DATE($AD327,3,1)&lt;=$AF327),ROUND($AG327,2),0))</f>
        <v/>
      </c>
      <c r="M327" s="18">
        <f>IF($Z327="","",IF(AND(DATE($AD327,4,1)&gt;=$AE327,DATE($AD327,4,1)&lt;=$AF327),ROUND($AG327,2),0))</f>
        <v/>
      </c>
      <c r="N327" s="18">
        <f>IF($Z327="","",IF(AND(DATE($AD327,5,1)&gt;=$AE327,DATE($AD327,5,1)&lt;=$AF327),ROUND($AG327,2),0))</f>
        <v/>
      </c>
      <c r="O327" s="18">
        <f>IF($Z327="","",IF(AND(DATE($AD327,6,1)&gt;=$AE327,DATE($AD327,6,1)&lt;=$AF327),ROUND($AG327,2),0))</f>
        <v/>
      </c>
      <c r="P327" s="18">
        <f>IF($Z327="","",IF(AND(DATE($AD327,7,1)&gt;=$AE327,DATE($AD327,7,1)&lt;=$AF327),ROUND($AG327,2),0))</f>
        <v/>
      </c>
      <c r="Q327" s="18">
        <f>IF($Z327="","",IF(AND(DATE($AD327,8,1)&gt;=$AE327,DATE($AD327,8,1)&lt;=$AF327),ROUND($AG327,2),0))</f>
        <v/>
      </c>
      <c r="R327" s="18">
        <f>IF($Z327="","",IF(AND(DATE($AD327,9,1)&gt;=$AE327,DATE($AD327,9,1)&lt;=$AF327),ROUND($AG327,2),0))</f>
        <v/>
      </c>
      <c r="S327" s="18">
        <f>IF($Z327="","",IF(AND(DATE($AD327,10,1)&gt;=$AE327,DATE($AD327,10,1)&lt;=$AF327),ROUND($AG327,2),0))</f>
        <v/>
      </c>
      <c r="T327" s="18">
        <f>IF($Z327="","",IF(AND(DATE($AD327,11,1)&gt;=$AE327,DATE($AD327,11,1)&lt;=$AF327),ROUND($AG327,2),0))</f>
        <v/>
      </c>
      <c r="U327" s="18">
        <f>IF($Z327="","",IF(AND(DATE($AD327,12,1)&gt;=$AE327,DATE($AD327,12,1)&lt;=$AF327),ROUND($AG327,2),0))</f>
        <v/>
      </c>
      <c r="V327" s="7">
        <f>IF($Z327="C","Generated from "&amp;INDEX(Contracts!$A$2:$A$151,$AB327),IF($Z327="A","Generated from "&amp;INDEX(Fixed_Assets!$A$2:$A$201,$AB327),IF($Z327="F","Generated from "&amp;INDEX(FTE_Allocation!$A$2:$A$201,$AB327),"")))</f>
        <v/>
      </c>
      <c r="X327" s="19">
        <f>IF($Z327="","",SUM(J327:U327))</f>
        <v/>
      </c>
      <c r="Y327" s="20">
        <f>ROW()-1</f>
        <v/>
      </c>
      <c r="Z327" s="20">
        <f>IF($Y327&lt;=Settings!$B$4*3,"C",IF($Y327&lt;=(Settings!$B$4+Settings!$B$5)*3,"A",IF($Y327&lt;=(Settings!$B$4+Settings!$B$5+Settings!$B$6)*3,"F","")))</f>
        <v/>
      </c>
      <c r="AA327" s="20">
        <f>IF($Z327="C",$Y327,IF($Z327="A",$Y327-Settings!$B$4*3,IF($Z327="F",$Y327-(Settings!$B$4+Settings!$B$5)*3,"")))</f>
        <v/>
      </c>
      <c r="AB327" s="20">
        <f>IF($Z327="","",INT(($AA327-1)/3)+1)</f>
        <v/>
      </c>
      <c r="AC327" s="20">
        <f>IF($Z327="","",MOD($AA327-1,3)+1)</f>
        <v/>
      </c>
      <c r="AD327" s="20">
        <f>IF($Z327="","",Settings!$B$2+$AC327-1)</f>
        <v/>
      </c>
      <c r="AE327" s="21">
        <f>IF($Z327="C",DATE(YEAR(INDEX(Contracts!$J$2:$J$151,$AB327)),MONTH(INDEX(Contracts!$J$2:$J$151,$AB327)),1),IF($Z327="A",DATE(YEAR(INDEX(Fixed_Assets!$G$2:$G$201,$AB327)),MONTH(INDEX(Fixed_Assets!$G$2:$G$201,$AB327)),1),IF($Z327="F",DATE(YEAR(MAX(N(INDEX(Workforce!$I$2:$I$151,MATCH(INDEX(FTE_Allocation!$A$2:$A$201,$AB327),Workforce!$A$2:$A$151,0))),N(INDEX(FTE_Allocation!$I$2:$I$201,$AB327)))),MONTH(MAX(N(INDEX(Workforce!$I$2:$I$151,MATCH(INDEX(FTE_Allocation!$A$2:$A$201,$AB327),Workforce!$A$2:$A$151,0))),N(INDEX(FTE_Allocation!$I$2:$I$201,$AB327)))),1),"")))</f>
        <v/>
      </c>
      <c r="AF327" s="21">
        <f>IF($Z327="C",IF(INDEX(Contracts!$I$2:$I$151,$AB327)="PREPAID",EDATE(DATE(YEAR(INDEX(Contracts!$J$2:$J$151,$AB327)),MONTH(INDEX(Contracts!$J$2:$J$151,$AB327)),1),IF(INDEX(Contracts!$N$2:$N$151,$AB327)="",12,INDEX(Contracts!$N$2:$N$151,$AB327))-1),IF(INDEX(Contracts!$I$2:$I$151,$AB327)="MONTHLY",IF(INDEX(Contracts!$K$2:$K$151,$AB327)="",2958101,INDEX(Contracts!$K$2:$K$151,$AB327)),0)),IF($Z327="A",EDATE(DATE(YEAR(INDEX(Fixed_Assets!$G$2:$G$201,$AB327)),MONTH(INDEX(Fixed_Assets!$G$2:$G$201,$AB327)),1),INDEX(Fixed_Assets!$J$2:$J$201,$AB327)-1),IF($Z327="F",MIN(IF(INDEX(Workforce!$J$2:$J$151,MATCH(INDEX(FTE_Allocation!$A$2:$A$201,$AB327),Workforce!$A$2:$A$151,0))="",2958101,INDEX(Workforce!$J$2:$J$151,MATCH(INDEX(FTE_Allocation!$A$2:$A$201,$AB327),Workforce!$A$2:$A$151,0))),IF(INDEX(FTE_Allocation!$J$2:$J$201,$AB327)="",2958101,INDEX(FTE_Allocation!$J$2:$J$201,$AB327))),"")))</f>
        <v/>
      </c>
      <c r="AG327" s="19">
        <f>IF($Z327="C",IF(INDEX(Contracts!$I$2:$I$151,$AB327)="PREPAID",INDEX(Contracts!$M$2:$M$151,$AB327)/IF(INDEX(Contracts!$N$2:$N$151,$AB327)="",12,INDEX(Contracts!$N$2:$N$151,$AB327)),IF(INDEX(Contracts!$I$2:$I$151,$AB327)="MONTHLY",INDEX(Contracts!$M$2:$M$151,$AB327),0))*(1-N(INDEX(Contracts!$O$2:$O$151,$AB327))),IF($Z327="A",INDEX(Fixed_Assets!$H$2:$H$201,$AB327)/INDEX(Fixed_Assets!$J$2:$J$201,$AB327),IF($Z327="F",INDEX(Workforce!$F$2:$F$151,MATCH(INDEX(FTE_Allocation!$A$2:$A$201,$AB327),Workforce!$A$2:$A$151,0))*N(INDEX(FTE_Allocation!$F$2:$H$201,$AB327,$AC327)),"")))</f>
        <v/>
      </c>
    </row>
    <row r="328">
      <c r="A328" s="7">
        <f>IF($Z328="","",$AD328)</f>
        <v/>
      </c>
      <c r="B328" s="7">
        <f>IF($Z328="C",INDEX(Contracts!$D$2:$D$151,$AB328)&amp;"",IF($Z328="A",INDEX(Fixed_Assets!$C$2:$C$201,$AB328)&amp;"",IF($Z328="F",INDEX(Workforce!$B$2:$B$151,MATCH(INDEX(FTE_Allocation!$A$2:$A$201,$AB328),Workforce!$A$2:$A$151,0))&amp;"","")))</f>
        <v/>
      </c>
      <c r="C328" s="7">
        <f>IF($Z328="C",INDEX(Contracts!$E$2:$E$151,$AB328)&amp;"",IF($Z328="A",INDEX(Fixed_Assets!$D$2:$D$201,$AB328)&amp;"",IF($Z328="F",INDEX(FTE_Allocation!$C$2:$C$201,$AB328)&amp;"","")))</f>
        <v/>
      </c>
      <c r="D328" s="7">
        <f>IF($Z328="C",INDEX(Contracts!$B$2:$B$151,$AB328)&amp;"",IF($Z328="A",INDEX(Fixed_Assets!$B$2:$B$201,$AB328)&amp;"",IF($Z328="F",INDEX(FTE_Allocation!$B$2:$B$201,$AB328)&amp;"","")))</f>
        <v/>
      </c>
      <c r="E328" s="7">
        <f>IF($Z328="C",INDEX(Contracts!$P$2:$P$151,$AB328)&amp;"",IF($Z328="A",INDEX(Fixed_Assets!$K$2:$K$201,$AB328)&amp;"",IF($Z328="F",IF(INDEX(FTE_Allocation!$D$2:$D$201,$AB328)="PROJECT",IFERROR(INDEX(Projects!$D:$D,MATCH(INDEX(FTE_Allocation!$E$2:$E$201,$AB328),Projects!$A:$A,0))&amp;"","#PROJECT?"),INDEX(FTE_Allocation!$E$2:$E$201,$AB328)&amp;""),"")))</f>
        <v/>
      </c>
      <c r="F328" s="7">
        <f>IF($Z328="C",INDEX(Contracts!$Q$2:$Q$151,$AB328)&amp;"",IF($Z328="A",INDEX(Fixed_Assets!$L$2:$L$201,$AB328)&amp;"",IF($Z328="F",INDEX(Workforce!$K$2:$K$151,MATCH(INDEX(FTE_Allocation!$A$2:$A$201,$AB328),Workforce!$A$2:$A$151,0))&amp;"","")))</f>
        <v/>
      </c>
      <c r="G328" s="7">
        <f>IF($Z328="C",INDEX(Contracts!$F$2:$F$151,$AB328)&amp;" / "&amp;INDEX(Contracts!$G$2:$G$151,$AB328),IF($Z328="A",INDEX(Fixed_Assets!$E$2:$E$201,$AB328)&amp;"",IF($Z328="F","Personnel "&amp;INDEX(FTE_Allocation!$A$2:$A$201,$AB328)&amp;IF(INDEX(FTE_Allocation!$D$2:$D$201,$AB328)="PROJECT"," ("&amp;INDEX(FTE_Allocation!$E$2:$E$201,$AB328)&amp;")",""),"")))</f>
        <v/>
      </c>
      <c r="H328" s="7">
        <f>IF($Z328="C","CONTRACT",IF($Z328="A","ASSET",IF($Z328="F","WORKFORCE","")))</f>
        <v/>
      </c>
      <c r="I328" s="7">
        <f>IF($Z328="C",INDEX(Contracts!$L$2:$L$151,$AB328)&amp;"",IF($Z328="A",INDEX(Fixed_Assets!$I$2:$I$201,$AB328)&amp;"",IF($Z328="F",INDEX(Workforce!$G$2:$G$151,MATCH(INDEX(FTE_Allocation!$A$2:$A$201,$AB328),Workforce!$A$2:$A$151,0))&amp;"","")))</f>
        <v/>
      </c>
      <c r="J328" s="18">
        <f>IF($Z328="","",IF(AND(DATE($AD328,1,1)&gt;=$AE328,DATE($AD328,1,1)&lt;=$AF328),ROUND($AG328,2),0))</f>
        <v/>
      </c>
      <c r="K328" s="18">
        <f>IF($Z328="","",IF(AND(DATE($AD328,2,1)&gt;=$AE328,DATE($AD328,2,1)&lt;=$AF328),ROUND($AG328,2),0))</f>
        <v/>
      </c>
      <c r="L328" s="18">
        <f>IF($Z328="","",IF(AND(DATE($AD328,3,1)&gt;=$AE328,DATE($AD328,3,1)&lt;=$AF328),ROUND($AG328,2),0))</f>
        <v/>
      </c>
      <c r="M328" s="18">
        <f>IF($Z328="","",IF(AND(DATE($AD328,4,1)&gt;=$AE328,DATE($AD328,4,1)&lt;=$AF328),ROUND($AG328,2),0))</f>
        <v/>
      </c>
      <c r="N328" s="18">
        <f>IF($Z328="","",IF(AND(DATE($AD328,5,1)&gt;=$AE328,DATE($AD328,5,1)&lt;=$AF328),ROUND($AG328,2),0))</f>
        <v/>
      </c>
      <c r="O328" s="18">
        <f>IF($Z328="","",IF(AND(DATE($AD328,6,1)&gt;=$AE328,DATE($AD328,6,1)&lt;=$AF328),ROUND($AG328,2),0))</f>
        <v/>
      </c>
      <c r="P328" s="18">
        <f>IF($Z328="","",IF(AND(DATE($AD328,7,1)&gt;=$AE328,DATE($AD328,7,1)&lt;=$AF328),ROUND($AG328,2),0))</f>
        <v/>
      </c>
      <c r="Q328" s="18">
        <f>IF($Z328="","",IF(AND(DATE($AD328,8,1)&gt;=$AE328,DATE($AD328,8,1)&lt;=$AF328),ROUND($AG328,2),0))</f>
        <v/>
      </c>
      <c r="R328" s="18">
        <f>IF($Z328="","",IF(AND(DATE($AD328,9,1)&gt;=$AE328,DATE($AD328,9,1)&lt;=$AF328),ROUND($AG328,2),0))</f>
        <v/>
      </c>
      <c r="S328" s="18">
        <f>IF($Z328="","",IF(AND(DATE($AD328,10,1)&gt;=$AE328,DATE($AD328,10,1)&lt;=$AF328),ROUND($AG328,2),0))</f>
        <v/>
      </c>
      <c r="T328" s="18">
        <f>IF($Z328="","",IF(AND(DATE($AD328,11,1)&gt;=$AE328,DATE($AD328,11,1)&lt;=$AF328),ROUND($AG328,2),0))</f>
        <v/>
      </c>
      <c r="U328" s="18">
        <f>IF($Z328="","",IF(AND(DATE($AD328,12,1)&gt;=$AE328,DATE($AD328,12,1)&lt;=$AF328),ROUND($AG328,2),0))</f>
        <v/>
      </c>
      <c r="V328" s="7">
        <f>IF($Z328="C","Generated from "&amp;INDEX(Contracts!$A$2:$A$151,$AB328),IF($Z328="A","Generated from "&amp;INDEX(Fixed_Assets!$A$2:$A$201,$AB328),IF($Z328="F","Generated from "&amp;INDEX(FTE_Allocation!$A$2:$A$201,$AB328),"")))</f>
        <v/>
      </c>
      <c r="X328" s="19">
        <f>IF($Z328="","",SUM(J328:U328))</f>
        <v/>
      </c>
      <c r="Y328" s="20">
        <f>ROW()-1</f>
        <v/>
      </c>
      <c r="Z328" s="20">
        <f>IF($Y328&lt;=Settings!$B$4*3,"C",IF($Y328&lt;=(Settings!$B$4+Settings!$B$5)*3,"A",IF($Y328&lt;=(Settings!$B$4+Settings!$B$5+Settings!$B$6)*3,"F","")))</f>
        <v/>
      </c>
      <c r="AA328" s="20">
        <f>IF($Z328="C",$Y328,IF($Z328="A",$Y328-Settings!$B$4*3,IF($Z328="F",$Y328-(Settings!$B$4+Settings!$B$5)*3,"")))</f>
        <v/>
      </c>
      <c r="AB328" s="20">
        <f>IF($Z328="","",INT(($AA328-1)/3)+1)</f>
        <v/>
      </c>
      <c r="AC328" s="20">
        <f>IF($Z328="","",MOD($AA328-1,3)+1)</f>
        <v/>
      </c>
      <c r="AD328" s="20">
        <f>IF($Z328="","",Settings!$B$2+$AC328-1)</f>
        <v/>
      </c>
      <c r="AE328" s="21">
        <f>IF($Z328="C",DATE(YEAR(INDEX(Contracts!$J$2:$J$151,$AB328)),MONTH(INDEX(Contracts!$J$2:$J$151,$AB328)),1),IF($Z328="A",DATE(YEAR(INDEX(Fixed_Assets!$G$2:$G$201,$AB328)),MONTH(INDEX(Fixed_Assets!$G$2:$G$201,$AB328)),1),IF($Z328="F",DATE(YEAR(MAX(N(INDEX(Workforce!$I$2:$I$151,MATCH(INDEX(FTE_Allocation!$A$2:$A$201,$AB328),Workforce!$A$2:$A$151,0))),N(INDEX(FTE_Allocation!$I$2:$I$201,$AB328)))),MONTH(MAX(N(INDEX(Workforce!$I$2:$I$151,MATCH(INDEX(FTE_Allocation!$A$2:$A$201,$AB328),Workforce!$A$2:$A$151,0))),N(INDEX(FTE_Allocation!$I$2:$I$201,$AB328)))),1),"")))</f>
        <v/>
      </c>
      <c r="AF328" s="21">
        <f>IF($Z328="C",IF(INDEX(Contracts!$I$2:$I$151,$AB328)="PREPAID",EDATE(DATE(YEAR(INDEX(Contracts!$J$2:$J$151,$AB328)),MONTH(INDEX(Contracts!$J$2:$J$151,$AB328)),1),IF(INDEX(Contracts!$N$2:$N$151,$AB328)="",12,INDEX(Contracts!$N$2:$N$151,$AB328))-1),IF(INDEX(Contracts!$I$2:$I$151,$AB328)="MONTHLY",IF(INDEX(Contracts!$K$2:$K$151,$AB328)="",2958101,INDEX(Contracts!$K$2:$K$151,$AB328)),0)),IF($Z328="A",EDATE(DATE(YEAR(INDEX(Fixed_Assets!$G$2:$G$201,$AB328)),MONTH(INDEX(Fixed_Assets!$G$2:$G$201,$AB328)),1),INDEX(Fixed_Assets!$J$2:$J$201,$AB328)-1),IF($Z328="F",MIN(IF(INDEX(Workforce!$J$2:$J$151,MATCH(INDEX(FTE_Allocation!$A$2:$A$201,$AB328),Workforce!$A$2:$A$151,0))="",2958101,INDEX(Workforce!$J$2:$J$151,MATCH(INDEX(FTE_Allocation!$A$2:$A$201,$AB328),Workforce!$A$2:$A$151,0))),IF(INDEX(FTE_Allocation!$J$2:$J$201,$AB328)="",2958101,INDEX(FTE_Allocation!$J$2:$J$201,$AB328))),"")))</f>
        <v/>
      </c>
      <c r="AG328" s="19">
        <f>IF($Z328="C",IF(INDEX(Contracts!$I$2:$I$151,$AB328)="PREPAID",INDEX(Contracts!$M$2:$M$151,$AB328)/IF(INDEX(Contracts!$N$2:$N$151,$AB328)="",12,INDEX(Contracts!$N$2:$N$151,$AB328)),IF(INDEX(Contracts!$I$2:$I$151,$AB328)="MONTHLY",INDEX(Contracts!$M$2:$M$151,$AB328),0))*(1-N(INDEX(Contracts!$O$2:$O$151,$AB328))),IF($Z328="A",INDEX(Fixed_Assets!$H$2:$H$201,$AB328)/INDEX(Fixed_Assets!$J$2:$J$201,$AB328),IF($Z328="F",INDEX(Workforce!$F$2:$F$151,MATCH(INDEX(FTE_Allocation!$A$2:$A$201,$AB328),Workforce!$A$2:$A$151,0))*N(INDEX(FTE_Allocation!$F$2:$H$201,$AB328,$AC328)),"")))</f>
        <v/>
      </c>
    </row>
    <row r="329">
      <c r="A329" s="7">
        <f>IF($Z329="","",$AD329)</f>
        <v/>
      </c>
      <c r="B329" s="7">
        <f>IF($Z329="C",INDEX(Contracts!$D$2:$D$151,$AB329)&amp;"",IF($Z329="A",INDEX(Fixed_Assets!$C$2:$C$201,$AB329)&amp;"",IF($Z329="F",INDEX(Workforce!$B$2:$B$151,MATCH(INDEX(FTE_Allocation!$A$2:$A$201,$AB329),Workforce!$A$2:$A$151,0))&amp;"","")))</f>
        <v/>
      </c>
      <c r="C329" s="7">
        <f>IF($Z329="C",INDEX(Contracts!$E$2:$E$151,$AB329)&amp;"",IF($Z329="A",INDEX(Fixed_Assets!$D$2:$D$201,$AB329)&amp;"",IF($Z329="F",INDEX(FTE_Allocation!$C$2:$C$201,$AB329)&amp;"","")))</f>
        <v/>
      </c>
      <c r="D329" s="7">
        <f>IF($Z329="C",INDEX(Contracts!$B$2:$B$151,$AB329)&amp;"",IF($Z329="A",INDEX(Fixed_Assets!$B$2:$B$201,$AB329)&amp;"",IF($Z329="F",INDEX(FTE_Allocation!$B$2:$B$201,$AB329)&amp;"","")))</f>
        <v/>
      </c>
      <c r="E329" s="7">
        <f>IF($Z329="C",INDEX(Contracts!$P$2:$P$151,$AB329)&amp;"",IF($Z329="A",INDEX(Fixed_Assets!$K$2:$K$201,$AB329)&amp;"",IF($Z329="F",IF(INDEX(FTE_Allocation!$D$2:$D$201,$AB329)="PROJECT",IFERROR(INDEX(Projects!$D:$D,MATCH(INDEX(FTE_Allocation!$E$2:$E$201,$AB329),Projects!$A:$A,0))&amp;"","#PROJECT?"),INDEX(FTE_Allocation!$E$2:$E$201,$AB329)&amp;""),"")))</f>
        <v/>
      </c>
      <c r="F329" s="7">
        <f>IF($Z329="C",INDEX(Contracts!$Q$2:$Q$151,$AB329)&amp;"",IF($Z329="A",INDEX(Fixed_Assets!$L$2:$L$201,$AB329)&amp;"",IF($Z329="F",INDEX(Workforce!$K$2:$K$151,MATCH(INDEX(FTE_Allocation!$A$2:$A$201,$AB329),Workforce!$A$2:$A$151,0))&amp;"","")))</f>
        <v/>
      </c>
      <c r="G329" s="7">
        <f>IF($Z329="C",INDEX(Contracts!$F$2:$F$151,$AB329)&amp;" / "&amp;INDEX(Contracts!$G$2:$G$151,$AB329),IF($Z329="A",INDEX(Fixed_Assets!$E$2:$E$201,$AB329)&amp;"",IF($Z329="F","Personnel "&amp;INDEX(FTE_Allocation!$A$2:$A$201,$AB329)&amp;IF(INDEX(FTE_Allocation!$D$2:$D$201,$AB329)="PROJECT"," ("&amp;INDEX(FTE_Allocation!$E$2:$E$201,$AB329)&amp;")",""),"")))</f>
        <v/>
      </c>
      <c r="H329" s="7">
        <f>IF($Z329="C","CONTRACT",IF($Z329="A","ASSET",IF($Z329="F","WORKFORCE","")))</f>
        <v/>
      </c>
      <c r="I329" s="7">
        <f>IF($Z329="C",INDEX(Contracts!$L$2:$L$151,$AB329)&amp;"",IF($Z329="A",INDEX(Fixed_Assets!$I$2:$I$201,$AB329)&amp;"",IF($Z329="F",INDEX(Workforce!$G$2:$G$151,MATCH(INDEX(FTE_Allocation!$A$2:$A$201,$AB329),Workforce!$A$2:$A$151,0))&amp;"","")))</f>
        <v/>
      </c>
      <c r="J329" s="18">
        <f>IF($Z329="","",IF(AND(DATE($AD329,1,1)&gt;=$AE329,DATE($AD329,1,1)&lt;=$AF329),ROUND($AG329,2),0))</f>
        <v/>
      </c>
      <c r="K329" s="18">
        <f>IF($Z329="","",IF(AND(DATE($AD329,2,1)&gt;=$AE329,DATE($AD329,2,1)&lt;=$AF329),ROUND($AG329,2),0))</f>
        <v/>
      </c>
      <c r="L329" s="18">
        <f>IF($Z329="","",IF(AND(DATE($AD329,3,1)&gt;=$AE329,DATE($AD329,3,1)&lt;=$AF329),ROUND($AG329,2),0))</f>
        <v/>
      </c>
      <c r="M329" s="18">
        <f>IF($Z329="","",IF(AND(DATE($AD329,4,1)&gt;=$AE329,DATE($AD329,4,1)&lt;=$AF329),ROUND($AG329,2),0))</f>
        <v/>
      </c>
      <c r="N329" s="18">
        <f>IF($Z329="","",IF(AND(DATE($AD329,5,1)&gt;=$AE329,DATE($AD329,5,1)&lt;=$AF329),ROUND($AG329,2),0))</f>
        <v/>
      </c>
      <c r="O329" s="18">
        <f>IF($Z329="","",IF(AND(DATE($AD329,6,1)&gt;=$AE329,DATE($AD329,6,1)&lt;=$AF329),ROUND($AG329,2),0))</f>
        <v/>
      </c>
      <c r="P329" s="18">
        <f>IF($Z329="","",IF(AND(DATE($AD329,7,1)&gt;=$AE329,DATE($AD329,7,1)&lt;=$AF329),ROUND($AG329,2),0))</f>
        <v/>
      </c>
      <c r="Q329" s="18">
        <f>IF($Z329="","",IF(AND(DATE($AD329,8,1)&gt;=$AE329,DATE($AD329,8,1)&lt;=$AF329),ROUND($AG329,2),0))</f>
        <v/>
      </c>
      <c r="R329" s="18">
        <f>IF($Z329="","",IF(AND(DATE($AD329,9,1)&gt;=$AE329,DATE($AD329,9,1)&lt;=$AF329),ROUND($AG329,2),0))</f>
        <v/>
      </c>
      <c r="S329" s="18">
        <f>IF($Z329="","",IF(AND(DATE($AD329,10,1)&gt;=$AE329,DATE($AD329,10,1)&lt;=$AF329),ROUND($AG329,2),0))</f>
        <v/>
      </c>
      <c r="T329" s="18">
        <f>IF($Z329="","",IF(AND(DATE($AD329,11,1)&gt;=$AE329,DATE($AD329,11,1)&lt;=$AF329),ROUND($AG329,2),0))</f>
        <v/>
      </c>
      <c r="U329" s="18">
        <f>IF($Z329="","",IF(AND(DATE($AD329,12,1)&gt;=$AE329,DATE($AD329,12,1)&lt;=$AF329),ROUND($AG329,2),0))</f>
        <v/>
      </c>
      <c r="V329" s="7">
        <f>IF($Z329="C","Generated from "&amp;INDEX(Contracts!$A$2:$A$151,$AB329),IF($Z329="A","Generated from "&amp;INDEX(Fixed_Assets!$A$2:$A$201,$AB329),IF($Z329="F","Generated from "&amp;INDEX(FTE_Allocation!$A$2:$A$201,$AB329),"")))</f>
        <v/>
      </c>
      <c r="X329" s="19">
        <f>IF($Z329="","",SUM(J329:U329))</f>
        <v/>
      </c>
      <c r="Y329" s="20">
        <f>ROW()-1</f>
        <v/>
      </c>
      <c r="Z329" s="20">
        <f>IF($Y329&lt;=Settings!$B$4*3,"C",IF($Y329&lt;=(Settings!$B$4+Settings!$B$5)*3,"A",IF($Y329&lt;=(Settings!$B$4+Settings!$B$5+Settings!$B$6)*3,"F","")))</f>
        <v/>
      </c>
      <c r="AA329" s="20">
        <f>IF($Z329="C",$Y329,IF($Z329="A",$Y329-Settings!$B$4*3,IF($Z329="F",$Y329-(Settings!$B$4+Settings!$B$5)*3,"")))</f>
        <v/>
      </c>
      <c r="AB329" s="20">
        <f>IF($Z329="","",INT(($AA329-1)/3)+1)</f>
        <v/>
      </c>
      <c r="AC329" s="20">
        <f>IF($Z329="","",MOD($AA329-1,3)+1)</f>
        <v/>
      </c>
      <c r="AD329" s="20">
        <f>IF($Z329="","",Settings!$B$2+$AC329-1)</f>
        <v/>
      </c>
      <c r="AE329" s="21">
        <f>IF($Z329="C",DATE(YEAR(INDEX(Contracts!$J$2:$J$151,$AB329)),MONTH(INDEX(Contracts!$J$2:$J$151,$AB329)),1),IF($Z329="A",DATE(YEAR(INDEX(Fixed_Assets!$G$2:$G$201,$AB329)),MONTH(INDEX(Fixed_Assets!$G$2:$G$201,$AB329)),1),IF($Z329="F",DATE(YEAR(MAX(N(INDEX(Workforce!$I$2:$I$151,MATCH(INDEX(FTE_Allocation!$A$2:$A$201,$AB329),Workforce!$A$2:$A$151,0))),N(INDEX(FTE_Allocation!$I$2:$I$201,$AB329)))),MONTH(MAX(N(INDEX(Workforce!$I$2:$I$151,MATCH(INDEX(FTE_Allocation!$A$2:$A$201,$AB329),Workforce!$A$2:$A$151,0))),N(INDEX(FTE_Allocation!$I$2:$I$201,$AB329)))),1),"")))</f>
        <v/>
      </c>
      <c r="AF329" s="21">
        <f>IF($Z329="C",IF(INDEX(Contracts!$I$2:$I$151,$AB329)="PREPAID",EDATE(DATE(YEAR(INDEX(Contracts!$J$2:$J$151,$AB329)),MONTH(INDEX(Contracts!$J$2:$J$151,$AB329)),1),IF(INDEX(Contracts!$N$2:$N$151,$AB329)="",12,INDEX(Contracts!$N$2:$N$151,$AB329))-1),IF(INDEX(Contracts!$I$2:$I$151,$AB329)="MONTHLY",IF(INDEX(Contracts!$K$2:$K$151,$AB329)="",2958101,INDEX(Contracts!$K$2:$K$151,$AB329)),0)),IF($Z329="A",EDATE(DATE(YEAR(INDEX(Fixed_Assets!$G$2:$G$201,$AB329)),MONTH(INDEX(Fixed_Assets!$G$2:$G$201,$AB329)),1),INDEX(Fixed_Assets!$J$2:$J$201,$AB329)-1),IF($Z329="F",MIN(IF(INDEX(Workforce!$J$2:$J$151,MATCH(INDEX(FTE_Allocation!$A$2:$A$201,$AB329),Workforce!$A$2:$A$151,0))="",2958101,INDEX(Workforce!$J$2:$J$151,MATCH(INDEX(FTE_Allocation!$A$2:$A$201,$AB329),Workforce!$A$2:$A$151,0))),IF(INDEX(FTE_Allocation!$J$2:$J$201,$AB329)="",2958101,INDEX(FTE_Allocation!$J$2:$J$201,$AB329))),"")))</f>
        <v/>
      </c>
      <c r="AG329" s="19">
        <f>IF($Z329="C",IF(INDEX(Contracts!$I$2:$I$151,$AB329)="PREPAID",INDEX(Contracts!$M$2:$M$151,$AB329)/IF(INDEX(Contracts!$N$2:$N$151,$AB329)="",12,INDEX(Contracts!$N$2:$N$151,$AB329)),IF(INDEX(Contracts!$I$2:$I$151,$AB329)="MONTHLY",INDEX(Contracts!$M$2:$M$151,$AB329),0))*(1-N(INDEX(Contracts!$O$2:$O$151,$AB329))),IF($Z329="A",INDEX(Fixed_Assets!$H$2:$H$201,$AB329)/INDEX(Fixed_Assets!$J$2:$J$201,$AB329),IF($Z329="F",INDEX(Workforce!$F$2:$F$151,MATCH(INDEX(FTE_Allocation!$A$2:$A$201,$AB329),Workforce!$A$2:$A$151,0))*N(INDEX(FTE_Allocation!$F$2:$H$201,$AB329,$AC329)),"")))</f>
        <v/>
      </c>
    </row>
    <row r="330">
      <c r="A330" s="7">
        <f>IF($Z330="","",$AD330)</f>
        <v/>
      </c>
      <c r="B330" s="7">
        <f>IF($Z330="C",INDEX(Contracts!$D$2:$D$151,$AB330)&amp;"",IF($Z330="A",INDEX(Fixed_Assets!$C$2:$C$201,$AB330)&amp;"",IF($Z330="F",INDEX(Workforce!$B$2:$B$151,MATCH(INDEX(FTE_Allocation!$A$2:$A$201,$AB330),Workforce!$A$2:$A$151,0))&amp;"","")))</f>
        <v/>
      </c>
      <c r="C330" s="7">
        <f>IF($Z330="C",INDEX(Contracts!$E$2:$E$151,$AB330)&amp;"",IF($Z330="A",INDEX(Fixed_Assets!$D$2:$D$201,$AB330)&amp;"",IF($Z330="F",INDEX(FTE_Allocation!$C$2:$C$201,$AB330)&amp;"","")))</f>
        <v/>
      </c>
      <c r="D330" s="7">
        <f>IF($Z330="C",INDEX(Contracts!$B$2:$B$151,$AB330)&amp;"",IF($Z330="A",INDEX(Fixed_Assets!$B$2:$B$201,$AB330)&amp;"",IF($Z330="F",INDEX(FTE_Allocation!$B$2:$B$201,$AB330)&amp;"","")))</f>
        <v/>
      </c>
      <c r="E330" s="7">
        <f>IF($Z330="C",INDEX(Contracts!$P$2:$P$151,$AB330)&amp;"",IF($Z330="A",INDEX(Fixed_Assets!$K$2:$K$201,$AB330)&amp;"",IF($Z330="F",IF(INDEX(FTE_Allocation!$D$2:$D$201,$AB330)="PROJECT",IFERROR(INDEX(Projects!$D:$D,MATCH(INDEX(FTE_Allocation!$E$2:$E$201,$AB330),Projects!$A:$A,0))&amp;"","#PROJECT?"),INDEX(FTE_Allocation!$E$2:$E$201,$AB330)&amp;""),"")))</f>
        <v/>
      </c>
      <c r="F330" s="7">
        <f>IF($Z330="C",INDEX(Contracts!$Q$2:$Q$151,$AB330)&amp;"",IF($Z330="A",INDEX(Fixed_Assets!$L$2:$L$201,$AB330)&amp;"",IF($Z330="F",INDEX(Workforce!$K$2:$K$151,MATCH(INDEX(FTE_Allocation!$A$2:$A$201,$AB330),Workforce!$A$2:$A$151,0))&amp;"","")))</f>
        <v/>
      </c>
      <c r="G330" s="7">
        <f>IF($Z330="C",INDEX(Contracts!$F$2:$F$151,$AB330)&amp;" / "&amp;INDEX(Contracts!$G$2:$G$151,$AB330),IF($Z330="A",INDEX(Fixed_Assets!$E$2:$E$201,$AB330)&amp;"",IF($Z330="F","Personnel "&amp;INDEX(FTE_Allocation!$A$2:$A$201,$AB330)&amp;IF(INDEX(FTE_Allocation!$D$2:$D$201,$AB330)="PROJECT"," ("&amp;INDEX(FTE_Allocation!$E$2:$E$201,$AB330)&amp;")",""),"")))</f>
        <v/>
      </c>
      <c r="H330" s="7">
        <f>IF($Z330="C","CONTRACT",IF($Z330="A","ASSET",IF($Z330="F","WORKFORCE","")))</f>
        <v/>
      </c>
      <c r="I330" s="7">
        <f>IF($Z330="C",INDEX(Contracts!$L$2:$L$151,$AB330)&amp;"",IF($Z330="A",INDEX(Fixed_Assets!$I$2:$I$201,$AB330)&amp;"",IF($Z330="F",INDEX(Workforce!$G$2:$G$151,MATCH(INDEX(FTE_Allocation!$A$2:$A$201,$AB330),Workforce!$A$2:$A$151,0))&amp;"","")))</f>
        <v/>
      </c>
      <c r="J330" s="18">
        <f>IF($Z330="","",IF(AND(DATE($AD330,1,1)&gt;=$AE330,DATE($AD330,1,1)&lt;=$AF330),ROUND($AG330,2),0))</f>
        <v/>
      </c>
      <c r="K330" s="18">
        <f>IF($Z330="","",IF(AND(DATE($AD330,2,1)&gt;=$AE330,DATE($AD330,2,1)&lt;=$AF330),ROUND($AG330,2),0))</f>
        <v/>
      </c>
      <c r="L330" s="18">
        <f>IF($Z330="","",IF(AND(DATE($AD330,3,1)&gt;=$AE330,DATE($AD330,3,1)&lt;=$AF330),ROUND($AG330,2),0))</f>
        <v/>
      </c>
      <c r="M330" s="18">
        <f>IF($Z330="","",IF(AND(DATE($AD330,4,1)&gt;=$AE330,DATE($AD330,4,1)&lt;=$AF330),ROUND($AG330,2),0))</f>
        <v/>
      </c>
      <c r="N330" s="18">
        <f>IF($Z330="","",IF(AND(DATE($AD330,5,1)&gt;=$AE330,DATE($AD330,5,1)&lt;=$AF330),ROUND($AG330,2),0))</f>
        <v/>
      </c>
      <c r="O330" s="18">
        <f>IF($Z330="","",IF(AND(DATE($AD330,6,1)&gt;=$AE330,DATE($AD330,6,1)&lt;=$AF330),ROUND($AG330,2),0))</f>
        <v/>
      </c>
      <c r="P330" s="18">
        <f>IF($Z330="","",IF(AND(DATE($AD330,7,1)&gt;=$AE330,DATE($AD330,7,1)&lt;=$AF330),ROUND($AG330,2),0))</f>
        <v/>
      </c>
      <c r="Q330" s="18">
        <f>IF($Z330="","",IF(AND(DATE($AD330,8,1)&gt;=$AE330,DATE($AD330,8,1)&lt;=$AF330),ROUND($AG330,2),0))</f>
        <v/>
      </c>
      <c r="R330" s="18">
        <f>IF($Z330="","",IF(AND(DATE($AD330,9,1)&gt;=$AE330,DATE($AD330,9,1)&lt;=$AF330),ROUND($AG330,2),0))</f>
        <v/>
      </c>
      <c r="S330" s="18">
        <f>IF($Z330="","",IF(AND(DATE($AD330,10,1)&gt;=$AE330,DATE($AD330,10,1)&lt;=$AF330),ROUND($AG330,2),0))</f>
        <v/>
      </c>
      <c r="T330" s="18">
        <f>IF($Z330="","",IF(AND(DATE($AD330,11,1)&gt;=$AE330,DATE($AD330,11,1)&lt;=$AF330),ROUND($AG330,2),0))</f>
        <v/>
      </c>
      <c r="U330" s="18">
        <f>IF($Z330="","",IF(AND(DATE($AD330,12,1)&gt;=$AE330,DATE($AD330,12,1)&lt;=$AF330),ROUND($AG330,2),0))</f>
        <v/>
      </c>
      <c r="V330" s="7">
        <f>IF($Z330="C","Generated from "&amp;INDEX(Contracts!$A$2:$A$151,$AB330),IF($Z330="A","Generated from "&amp;INDEX(Fixed_Assets!$A$2:$A$201,$AB330),IF($Z330="F","Generated from "&amp;INDEX(FTE_Allocation!$A$2:$A$201,$AB330),"")))</f>
        <v/>
      </c>
      <c r="X330" s="19">
        <f>IF($Z330="","",SUM(J330:U330))</f>
        <v/>
      </c>
      <c r="Y330" s="20">
        <f>ROW()-1</f>
        <v/>
      </c>
      <c r="Z330" s="20">
        <f>IF($Y330&lt;=Settings!$B$4*3,"C",IF($Y330&lt;=(Settings!$B$4+Settings!$B$5)*3,"A",IF($Y330&lt;=(Settings!$B$4+Settings!$B$5+Settings!$B$6)*3,"F","")))</f>
        <v/>
      </c>
      <c r="AA330" s="20">
        <f>IF($Z330="C",$Y330,IF($Z330="A",$Y330-Settings!$B$4*3,IF($Z330="F",$Y330-(Settings!$B$4+Settings!$B$5)*3,"")))</f>
        <v/>
      </c>
      <c r="AB330" s="20">
        <f>IF($Z330="","",INT(($AA330-1)/3)+1)</f>
        <v/>
      </c>
      <c r="AC330" s="20">
        <f>IF($Z330="","",MOD($AA330-1,3)+1)</f>
        <v/>
      </c>
      <c r="AD330" s="20">
        <f>IF($Z330="","",Settings!$B$2+$AC330-1)</f>
        <v/>
      </c>
      <c r="AE330" s="21">
        <f>IF($Z330="C",DATE(YEAR(INDEX(Contracts!$J$2:$J$151,$AB330)),MONTH(INDEX(Contracts!$J$2:$J$151,$AB330)),1),IF($Z330="A",DATE(YEAR(INDEX(Fixed_Assets!$G$2:$G$201,$AB330)),MONTH(INDEX(Fixed_Assets!$G$2:$G$201,$AB330)),1),IF($Z330="F",DATE(YEAR(MAX(N(INDEX(Workforce!$I$2:$I$151,MATCH(INDEX(FTE_Allocation!$A$2:$A$201,$AB330),Workforce!$A$2:$A$151,0))),N(INDEX(FTE_Allocation!$I$2:$I$201,$AB330)))),MONTH(MAX(N(INDEX(Workforce!$I$2:$I$151,MATCH(INDEX(FTE_Allocation!$A$2:$A$201,$AB330),Workforce!$A$2:$A$151,0))),N(INDEX(FTE_Allocation!$I$2:$I$201,$AB330)))),1),"")))</f>
        <v/>
      </c>
      <c r="AF330" s="21">
        <f>IF($Z330="C",IF(INDEX(Contracts!$I$2:$I$151,$AB330)="PREPAID",EDATE(DATE(YEAR(INDEX(Contracts!$J$2:$J$151,$AB330)),MONTH(INDEX(Contracts!$J$2:$J$151,$AB330)),1),IF(INDEX(Contracts!$N$2:$N$151,$AB330)="",12,INDEX(Contracts!$N$2:$N$151,$AB330))-1),IF(INDEX(Contracts!$I$2:$I$151,$AB330)="MONTHLY",IF(INDEX(Contracts!$K$2:$K$151,$AB330)="",2958101,INDEX(Contracts!$K$2:$K$151,$AB330)),0)),IF($Z330="A",EDATE(DATE(YEAR(INDEX(Fixed_Assets!$G$2:$G$201,$AB330)),MONTH(INDEX(Fixed_Assets!$G$2:$G$201,$AB330)),1),INDEX(Fixed_Assets!$J$2:$J$201,$AB330)-1),IF($Z330="F",MIN(IF(INDEX(Workforce!$J$2:$J$151,MATCH(INDEX(FTE_Allocation!$A$2:$A$201,$AB330),Workforce!$A$2:$A$151,0))="",2958101,INDEX(Workforce!$J$2:$J$151,MATCH(INDEX(FTE_Allocation!$A$2:$A$201,$AB330),Workforce!$A$2:$A$151,0))),IF(INDEX(FTE_Allocation!$J$2:$J$201,$AB330)="",2958101,INDEX(FTE_Allocation!$J$2:$J$201,$AB330))),"")))</f>
        <v/>
      </c>
      <c r="AG330" s="19">
        <f>IF($Z330="C",IF(INDEX(Contracts!$I$2:$I$151,$AB330)="PREPAID",INDEX(Contracts!$M$2:$M$151,$AB330)/IF(INDEX(Contracts!$N$2:$N$151,$AB330)="",12,INDEX(Contracts!$N$2:$N$151,$AB330)),IF(INDEX(Contracts!$I$2:$I$151,$AB330)="MONTHLY",INDEX(Contracts!$M$2:$M$151,$AB330),0))*(1-N(INDEX(Contracts!$O$2:$O$151,$AB330))),IF($Z330="A",INDEX(Fixed_Assets!$H$2:$H$201,$AB330)/INDEX(Fixed_Assets!$J$2:$J$201,$AB330),IF($Z330="F",INDEX(Workforce!$F$2:$F$151,MATCH(INDEX(FTE_Allocation!$A$2:$A$201,$AB330),Workforce!$A$2:$A$151,0))*N(INDEX(FTE_Allocation!$F$2:$H$201,$AB330,$AC330)),"")))</f>
        <v/>
      </c>
    </row>
    <row r="331">
      <c r="A331" s="7">
        <f>IF($Z331="","",$AD331)</f>
        <v/>
      </c>
      <c r="B331" s="7">
        <f>IF($Z331="C",INDEX(Contracts!$D$2:$D$151,$AB331)&amp;"",IF($Z331="A",INDEX(Fixed_Assets!$C$2:$C$201,$AB331)&amp;"",IF($Z331="F",INDEX(Workforce!$B$2:$B$151,MATCH(INDEX(FTE_Allocation!$A$2:$A$201,$AB331),Workforce!$A$2:$A$151,0))&amp;"","")))</f>
        <v/>
      </c>
      <c r="C331" s="7">
        <f>IF($Z331="C",INDEX(Contracts!$E$2:$E$151,$AB331)&amp;"",IF($Z331="A",INDEX(Fixed_Assets!$D$2:$D$201,$AB331)&amp;"",IF($Z331="F",INDEX(FTE_Allocation!$C$2:$C$201,$AB331)&amp;"","")))</f>
        <v/>
      </c>
      <c r="D331" s="7">
        <f>IF($Z331="C",INDEX(Contracts!$B$2:$B$151,$AB331)&amp;"",IF($Z331="A",INDEX(Fixed_Assets!$B$2:$B$201,$AB331)&amp;"",IF($Z331="F",INDEX(FTE_Allocation!$B$2:$B$201,$AB331)&amp;"","")))</f>
        <v/>
      </c>
      <c r="E331" s="7">
        <f>IF($Z331="C",INDEX(Contracts!$P$2:$P$151,$AB331)&amp;"",IF($Z331="A",INDEX(Fixed_Assets!$K$2:$K$201,$AB331)&amp;"",IF($Z331="F",IF(INDEX(FTE_Allocation!$D$2:$D$201,$AB331)="PROJECT",IFERROR(INDEX(Projects!$D:$D,MATCH(INDEX(FTE_Allocation!$E$2:$E$201,$AB331),Projects!$A:$A,0))&amp;"","#PROJECT?"),INDEX(FTE_Allocation!$E$2:$E$201,$AB331)&amp;""),"")))</f>
        <v/>
      </c>
      <c r="F331" s="7">
        <f>IF($Z331="C",INDEX(Contracts!$Q$2:$Q$151,$AB331)&amp;"",IF($Z331="A",INDEX(Fixed_Assets!$L$2:$L$201,$AB331)&amp;"",IF($Z331="F",INDEX(Workforce!$K$2:$K$151,MATCH(INDEX(FTE_Allocation!$A$2:$A$201,$AB331),Workforce!$A$2:$A$151,0))&amp;"","")))</f>
        <v/>
      </c>
      <c r="G331" s="7">
        <f>IF($Z331="C",INDEX(Contracts!$F$2:$F$151,$AB331)&amp;" / "&amp;INDEX(Contracts!$G$2:$G$151,$AB331),IF($Z331="A",INDEX(Fixed_Assets!$E$2:$E$201,$AB331)&amp;"",IF($Z331="F","Personnel "&amp;INDEX(FTE_Allocation!$A$2:$A$201,$AB331)&amp;IF(INDEX(FTE_Allocation!$D$2:$D$201,$AB331)="PROJECT"," ("&amp;INDEX(FTE_Allocation!$E$2:$E$201,$AB331)&amp;")",""),"")))</f>
        <v/>
      </c>
      <c r="H331" s="7">
        <f>IF($Z331="C","CONTRACT",IF($Z331="A","ASSET",IF($Z331="F","WORKFORCE","")))</f>
        <v/>
      </c>
      <c r="I331" s="7">
        <f>IF($Z331="C",INDEX(Contracts!$L$2:$L$151,$AB331)&amp;"",IF($Z331="A",INDEX(Fixed_Assets!$I$2:$I$201,$AB331)&amp;"",IF($Z331="F",INDEX(Workforce!$G$2:$G$151,MATCH(INDEX(FTE_Allocation!$A$2:$A$201,$AB331),Workforce!$A$2:$A$151,0))&amp;"","")))</f>
        <v/>
      </c>
      <c r="J331" s="18">
        <f>IF($Z331="","",IF(AND(DATE($AD331,1,1)&gt;=$AE331,DATE($AD331,1,1)&lt;=$AF331),ROUND($AG331,2),0))</f>
        <v/>
      </c>
      <c r="K331" s="18">
        <f>IF($Z331="","",IF(AND(DATE($AD331,2,1)&gt;=$AE331,DATE($AD331,2,1)&lt;=$AF331),ROUND($AG331,2),0))</f>
        <v/>
      </c>
      <c r="L331" s="18">
        <f>IF($Z331="","",IF(AND(DATE($AD331,3,1)&gt;=$AE331,DATE($AD331,3,1)&lt;=$AF331),ROUND($AG331,2),0))</f>
        <v/>
      </c>
      <c r="M331" s="18">
        <f>IF($Z331="","",IF(AND(DATE($AD331,4,1)&gt;=$AE331,DATE($AD331,4,1)&lt;=$AF331),ROUND($AG331,2),0))</f>
        <v/>
      </c>
      <c r="N331" s="18">
        <f>IF($Z331="","",IF(AND(DATE($AD331,5,1)&gt;=$AE331,DATE($AD331,5,1)&lt;=$AF331),ROUND($AG331,2),0))</f>
        <v/>
      </c>
      <c r="O331" s="18">
        <f>IF($Z331="","",IF(AND(DATE($AD331,6,1)&gt;=$AE331,DATE($AD331,6,1)&lt;=$AF331),ROUND($AG331,2),0))</f>
        <v/>
      </c>
      <c r="P331" s="18">
        <f>IF($Z331="","",IF(AND(DATE($AD331,7,1)&gt;=$AE331,DATE($AD331,7,1)&lt;=$AF331),ROUND($AG331,2),0))</f>
        <v/>
      </c>
      <c r="Q331" s="18">
        <f>IF($Z331="","",IF(AND(DATE($AD331,8,1)&gt;=$AE331,DATE($AD331,8,1)&lt;=$AF331),ROUND($AG331,2),0))</f>
        <v/>
      </c>
      <c r="R331" s="18">
        <f>IF($Z331="","",IF(AND(DATE($AD331,9,1)&gt;=$AE331,DATE($AD331,9,1)&lt;=$AF331),ROUND($AG331,2),0))</f>
        <v/>
      </c>
      <c r="S331" s="18">
        <f>IF($Z331="","",IF(AND(DATE($AD331,10,1)&gt;=$AE331,DATE($AD331,10,1)&lt;=$AF331),ROUND($AG331,2),0))</f>
        <v/>
      </c>
      <c r="T331" s="18">
        <f>IF($Z331="","",IF(AND(DATE($AD331,11,1)&gt;=$AE331,DATE($AD331,11,1)&lt;=$AF331),ROUND($AG331,2),0))</f>
        <v/>
      </c>
      <c r="U331" s="18">
        <f>IF($Z331="","",IF(AND(DATE($AD331,12,1)&gt;=$AE331,DATE($AD331,12,1)&lt;=$AF331),ROUND($AG331,2),0))</f>
        <v/>
      </c>
      <c r="V331" s="7">
        <f>IF($Z331="C","Generated from "&amp;INDEX(Contracts!$A$2:$A$151,$AB331),IF($Z331="A","Generated from "&amp;INDEX(Fixed_Assets!$A$2:$A$201,$AB331),IF($Z331="F","Generated from "&amp;INDEX(FTE_Allocation!$A$2:$A$201,$AB331),"")))</f>
        <v/>
      </c>
      <c r="X331" s="19">
        <f>IF($Z331="","",SUM(J331:U331))</f>
        <v/>
      </c>
      <c r="Y331" s="20">
        <f>ROW()-1</f>
        <v/>
      </c>
      <c r="Z331" s="20">
        <f>IF($Y331&lt;=Settings!$B$4*3,"C",IF($Y331&lt;=(Settings!$B$4+Settings!$B$5)*3,"A",IF($Y331&lt;=(Settings!$B$4+Settings!$B$5+Settings!$B$6)*3,"F","")))</f>
        <v/>
      </c>
      <c r="AA331" s="20">
        <f>IF($Z331="C",$Y331,IF($Z331="A",$Y331-Settings!$B$4*3,IF($Z331="F",$Y331-(Settings!$B$4+Settings!$B$5)*3,"")))</f>
        <v/>
      </c>
      <c r="AB331" s="20">
        <f>IF($Z331="","",INT(($AA331-1)/3)+1)</f>
        <v/>
      </c>
      <c r="AC331" s="20">
        <f>IF($Z331="","",MOD($AA331-1,3)+1)</f>
        <v/>
      </c>
      <c r="AD331" s="20">
        <f>IF($Z331="","",Settings!$B$2+$AC331-1)</f>
        <v/>
      </c>
      <c r="AE331" s="21">
        <f>IF($Z331="C",DATE(YEAR(INDEX(Contracts!$J$2:$J$151,$AB331)),MONTH(INDEX(Contracts!$J$2:$J$151,$AB331)),1),IF($Z331="A",DATE(YEAR(INDEX(Fixed_Assets!$G$2:$G$201,$AB331)),MONTH(INDEX(Fixed_Assets!$G$2:$G$201,$AB331)),1),IF($Z331="F",DATE(YEAR(MAX(N(INDEX(Workforce!$I$2:$I$151,MATCH(INDEX(FTE_Allocation!$A$2:$A$201,$AB331),Workforce!$A$2:$A$151,0))),N(INDEX(FTE_Allocation!$I$2:$I$201,$AB331)))),MONTH(MAX(N(INDEX(Workforce!$I$2:$I$151,MATCH(INDEX(FTE_Allocation!$A$2:$A$201,$AB331),Workforce!$A$2:$A$151,0))),N(INDEX(FTE_Allocation!$I$2:$I$201,$AB331)))),1),"")))</f>
        <v/>
      </c>
      <c r="AF331" s="21">
        <f>IF($Z331="C",IF(INDEX(Contracts!$I$2:$I$151,$AB331)="PREPAID",EDATE(DATE(YEAR(INDEX(Contracts!$J$2:$J$151,$AB331)),MONTH(INDEX(Contracts!$J$2:$J$151,$AB331)),1),IF(INDEX(Contracts!$N$2:$N$151,$AB331)="",12,INDEX(Contracts!$N$2:$N$151,$AB331))-1),IF(INDEX(Contracts!$I$2:$I$151,$AB331)="MONTHLY",IF(INDEX(Contracts!$K$2:$K$151,$AB331)="",2958101,INDEX(Contracts!$K$2:$K$151,$AB331)),0)),IF($Z331="A",EDATE(DATE(YEAR(INDEX(Fixed_Assets!$G$2:$G$201,$AB331)),MONTH(INDEX(Fixed_Assets!$G$2:$G$201,$AB331)),1),INDEX(Fixed_Assets!$J$2:$J$201,$AB331)-1),IF($Z331="F",MIN(IF(INDEX(Workforce!$J$2:$J$151,MATCH(INDEX(FTE_Allocation!$A$2:$A$201,$AB331),Workforce!$A$2:$A$151,0))="",2958101,INDEX(Workforce!$J$2:$J$151,MATCH(INDEX(FTE_Allocation!$A$2:$A$201,$AB331),Workforce!$A$2:$A$151,0))),IF(INDEX(FTE_Allocation!$J$2:$J$201,$AB331)="",2958101,INDEX(FTE_Allocation!$J$2:$J$201,$AB331))),"")))</f>
        <v/>
      </c>
      <c r="AG331" s="19">
        <f>IF($Z331="C",IF(INDEX(Contracts!$I$2:$I$151,$AB331)="PREPAID",INDEX(Contracts!$M$2:$M$151,$AB331)/IF(INDEX(Contracts!$N$2:$N$151,$AB331)="",12,INDEX(Contracts!$N$2:$N$151,$AB331)),IF(INDEX(Contracts!$I$2:$I$151,$AB331)="MONTHLY",INDEX(Contracts!$M$2:$M$151,$AB331),0))*(1-N(INDEX(Contracts!$O$2:$O$151,$AB331))),IF($Z331="A",INDEX(Fixed_Assets!$H$2:$H$201,$AB331)/INDEX(Fixed_Assets!$J$2:$J$201,$AB331),IF($Z331="F",INDEX(Workforce!$F$2:$F$151,MATCH(INDEX(FTE_Allocation!$A$2:$A$201,$AB331),Workforce!$A$2:$A$151,0))*N(INDEX(FTE_Allocation!$F$2:$H$201,$AB331,$AC331)),"")))</f>
        <v/>
      </c>
    </row>
    <row r="332">
      <c r="A332" s="7">
        <f>IF($Z332="","",$AD332)</f>
        <v/>
      </c>
      <c r="B332" s="7">
        <f>IF($Z332="C",INDEX(Contracts!$D$2:$D$151,$AB332)&amp;"",IF($Z332="A",INDEX(Fixed_Assets!$C$2:$C$201,$AB332)&amp;"",IF($Z332="F",INDEX(Workforce!$B$2:$B$151,MATCH(INDEX(FTE_Allocation!$A$2:$A$201,$AB332),Workforce!$A$2:$A$151,0))&amp;"","")))</f>
        <v/>
      </c>
      <c r="C332" s="7">
        <f>IF($Z332="C",INDEX(Contracts!$E$2:$E$151,$AB332)&amp;"",IF($Z332="A",INDEX(Fixed_Assets!$D$2:$D$201,$AB332)&amp;"",IF($Z332="F",INDEX(FTE_Allocation!$C$2:$C$201,$AB332)&amp;"","")))</f>
        <v/>
      </c>
      <c r="D332" s="7">
        <f>IF($Z332="C",INDEX(Contracts!$B$2:$B$151,$AB332)&amp;"",IF($Z332="A",INDEX(Fixed_Assets!$B$2:$B$201,$AB332)&amp;"",IF($Z332="F",INDEX(FTE_Allocation!$B$2:$B$201,$AB332)&amp;"","")))</f>
        <v/>
      </c>
      <c r="E332" s="7">
        <f>IF($Z332="C",INDEX(Contracts!$P$2:$P$151,$AB332)&amp;"",IF($Z332="A",INDEX(Fixed_Assets!$K$2:$K$201,$AB332)&amp;"",IF($Z332="F",IF(INDEX(FTE_Allocation!$D$2:$D$201,$AB332)="PROJECT",IFERROR(INDEX(Projects!$D:$D,MATCH(INDEX(FTE_Allocation!$E$2:$E$201,$AB332),Projects!$A:$A,0))&amp;"","#PROJECT?"),INDEX(FTE_Allocation!$E$2:$E$201,$AB332)&amp;""),"")))</f>
        <v/>
      </c>
      <c r="F332" s="7">
        <f>IF($Z332="C",INDEX(Contracts!$Q$2:$Q$151,$AB332)&amp;"",IF($Z332="A",INDEX(Fixed_Assets!$L$2:$L$201,$AB332)&amp;"",IF($Z332="F",INDEX(Workforce!$K$2:$K$151,MATCH(INDEX(FTE_Allocation!$A$2:$A$201,$AB332),Workforce!$A$2:$A$151,0))&amp;"","")))</f>
        <v/>
      </c>
      <c r="G332" s="7">
        <f>IF($Z332="C",INDEX(Contracts!$F$2:$F$151,$AB332)&amp;" / "&amp;INDEX(Contracts!$G$2:$G$151,$AB332),IF($Z332="A",INDEX(Fixed_Assets!$E$2:$E$201,$AB332)&amp;"",IF($Z332="F","Personnel "&amp;INDEX(FTE_Allocation!$A$2:$A$201,$AB332)&amp;IF(INDEX(FTE_Allocation!$D$2:$D$201,$AB332)="PROJECT"," ("&amp;INDEX(FTE_Allocation!$E$2:$E$201,$AB332)&amp;")",""),"")))</f>
        <v/>
      </c>
      <c r="H332" s="7">
        <f>IF($Z332="C","CONTRACT",IF($Z332="A","ASSET",IF($Z332="F","WORKFORCE","")))</f>
        <v/>
      </c>
      <c r="I332" s="7">
        <f>IF($Z332="C",INDEX(Contracts!$L$2:$L$151,$AB332)&amp;"",IF($Z332="A",INDEX(Fixed_Assets!$I$2:$I$201,$AB332)&amp;"",IF($Z332="F",INDEX(Workforce!$G$2:$G$151,MATCH(INDEX(FTE_Allocation!$A$2:$A$201,$AB332),Workforce!$A$2:$A$151,0))&amp;"","")))</f>
        <v/>
      </c>
      <c r="J332" s="18">
        <f>IF($Z332="","",IF(AND(DATE($AD332,1,1)&gt;=$AE332,DATE($AD332,1,1)&lt;=$AF332),ROUND($AG332,2),0))</f>
        <v/>
      </c>
      <c r="K332" s="18">
        <f>IF($Z332="","",IF(AND(DATE($AD332,2,1)&gt;=$AE332,DATE($AD332,2,1)&lt;=$AF332),ROUND($AG332,2),0))</f>
        <v/>
      </c>
      <c r="L332" s="18">
        <f>IF($Z332="","",IF(AND(DATE($AD332,3,1)&gt;=$AE332,DATE($AD332,3,1)&lt;=$AF332),ROUND($AG332,2),0))</f>
        <v/>
      </c>
      <c r="M332" s="18">
        <f>IF($Z332="","",IF(AND(DATE($AD332,4,1)&gt;=$AE332,DATE($AD332,4,1)&lt;=$AF332),ROUND($AG332,2),0))</f>
        <v/>
      </c>
      <c r="N332" s="18">
        <f>IF($Z332="","",IF(AND(DATE($AD332,5,1)&gt;=$AE332,DATE($AD332,5,1)&lt;=$AF332),ROUND($AG332,2),0))</f>
        <v/>
      </c>
      <c r="O332" s="18">
        <f>IF($Z332="","",IF(AND(DATE($AD332,6,1)&gt;=$AE332,DATE($AD332,6,1)&lt;=$AF332),ROUND($AG332,2),0))</f>
        <v/>
      </c>
      <c r="P332" s="18">
        <f>IF($Z332="","",IF(AND(DATE($AD332,7,1)&gt;=$AE332,DATE($AD332,7,1)&lt;=$AF332),ROUND($AG332,2),0))</f>
        <v/>
      </c>
      <c r="Q332" s="18">
        <f>IF($Z332="","",IF(AND(DATE($AD332,8,1)&gt;=$AE332,DATE($AD332,8,1)&lt;=$AF332),ROUND($AG332,2),0))</f>
        <v/>
      </c>
      <c r="R332" s="18">
        <f>IF($Z332="","",IF(AND(DATE($AD332,9,1)&gt;=$AE332,DATE($AD332,9,1)&lt;=$AF332),ROUND($AG332,2),0))</f>
        <v/>
      </c>
      <c r="S332" s="18">
        <f>IF($Z332="","",IF(AND(DATE($AD332,10,1)&gt;=$AE332,DATE($AD332,10,1)&lt;=$AF332),ROUND($AG332,2),0))</f>
        <v/>
      </c>
      <c r="T332" s="18">
        <f>IF($Z332="","",IF(AND(DATE($AD332,11,1)&gt;=$AE332,DATE($AD332,11,1)&lt;=$AF332),ROUND($AG332,2),0))</f>
        <v/>
      </c>
      <c r="U332" s="18">
        <f>IF($Z332="","",IF(AND(DATE($AD332,12,1)&gt;=$AE332,DATE($AD332,12,1)&lt;=$AF332),ROUND($AG332,2),0))</f>
        <v/>
      </c>
      <c r="V332" s="7">
        <f>IF($Z332="C","Generated from "&amp;INDEX(Contracts!$A$2:$A$151,$AB332),IF($Z332="A","Generated from "&amp;INDEX(Fixed_Assets!$A$2:$A$201,$AB332),IF($Z332="F","Generated from "&amp;INDEX(FTE_Allocation!$A$2:$A$201,$AB332),"")))</f>
        <v/>
      </c>
      <c r="X332" s="19">
        <f>IF($Z332="","",SUM(J332:U332))</f>
        <v/>
      </c>
      <c r="Y332" s="20">
        <f>ROW()-1</f>
        <v/>
      </c>
      <c r="Z332" s="20">
        <f>IF($Y332&lt;=Settings!$B$4*3,"C",IF($Y332&lt;=(Settings!$B$4+Settings!$B$5)*3,"A",IF($Y332&lt;=(Settings!$B$4+Settings!$B$5+Settings!$B$6)*3,"F","")))</f>
        <v/>
      </c>
      <c r="AA332" s="20">
        <f>IF($Z332="C",$Y332,IF($Z332="A",$Y332-Settings!$B$4*3,IF($Z332="F",$Y332-(Settings!$B$4+Settings!$B$5)*3,"")))</f>
        <v/>
      </c>
      <c r="AB332" s="20">
        <f>IF($Z332="","",INT(($AA332-1)/3)+1)</f>
        <v/>
      </c>
      <c r="AC332" s="20">
        <f>IF($Z332="","",MOD($AA332-1,3)+1)</f>
        <v/>
      </c>
      <c r="AD332" s="20">
        <f>IF($Z332="","",Settings!$B$2+$AC332-1)</f>
        <v/>
      </c>
      <c r="AE332" s="21">
        <f>IF($Z332="C",DATE(YEAR(INDEX(Contracts!$J$2:$J$151,$AB332)),MONTH(INDEX(Contracts!$J$2:$J$151,$AB332)),1),IF($Z332="A",DATE(YEAR(INDEX(Fixed_Assets!$G$2:$G$201,$AB332)),MONTH(INDEX(Fixed_Assets!$G$2:$G$201,$AB332)),1),IF($Z332="F",DATE(YEAR(MAX(N(INDEX(Workforce!$I$2:$I$151,MATCH(INDEX(FTE_Allocation!$A$2:$A$201,$AB332),Workforce!$A$2:$A$151,0))),N(INDEX(FTE_Allocation!$I$2:$I$201,$AB332)))),MONTH(MAX(N(INDEX(Workforce!$I$2:$I$151,MATCH(INDEX(FTE_Allocation!$A$2:$A$201,$AB332),Workforce!$A$2:$A$151,0))),N(INDEX(FTE_Allocation!$I$2:$I$201,$AB332)))),1),"")))</f>
        <v/>
      </c>
      <c r="AF332" s="21">
        <f>IF($Z332="C",IF(INDEX(Contracts!$I$2:$I$151,$AB332)="PREPAID",EDATE(DATE(YEAR(INDEX(Contracts!$J$2:$J$151,$AB332)),MONTH(INDEX(Contracts!$J$2:$J$151,$AB332)),1),IF(INDEX(Contracts!$N$2:$N$151,$AB332)="",12,INDEX(Contracts!$N$2:$N$151,$AB332))-1),IF(INDEX(Contracts!$I$2:$I$151,$AB332)="MONTHLY",IF(INDEX(Contracts!$K$2:$K$151,$AB332)="",2958101,INDEX(Contracts!$K$2:$K$151,$AB332)),0)),IF($Z332="A",EDATE(DATE(YEAR(INDEX(Fixed_Assets!$G$2:$G$201,$AB332)),MONTH(INDEX(Fixed_Assets!$G$2:$G$201,$AB332)),1),INDEX(Fixed_Assets!$J$2:$J$201,$AB332)-1),IF($Z332="F",MIN(IF(INDEX(Workforce!$J$2:$J$151,MATCH(INDEX(FTE_Allocation!$A$2:$A$201,$AB332),Workforce!$A$2:$A$151,0))="",2958101,INDEX(Workforce!$J$2:$J$151,MATCH(INDEX(FTE_Allocation!$A$2:$A$201,$AB332),Workforce!$A$2:$A$151,0))),IF(INDEX(FTE_Allocation!$J$2:$J$201,$AB332)="",2958101,INDEX(FTE_Allocation!$J$2:$J$201,$AB332))),"")))</f>
        <v/>
      </c>
      <c r="AG332" s="19">
        <f>IF($Z332="C",IF(INDEX(Contracts!$I$2:$I$151,$AB332)="PREPAID",INDEX(Contracts!$M$2:$M$151,$AB332)/IF(INDEX(Contracts!$N$2:$N$151,$AB332)="",12,INDEX(Contracts!$N$2:$N$151,$AB332)),IF(INDEX(Contracts!$I$2:$I$151,$AB332)="MONTHLY",INDEX(Contracts!$M$2:$M$151,$AB332),0))*(1-N(INDEX(Contracts!$O$2:$O$151,$AB332))),IF($Z332="A",INDEX(Fixed_Assets!$H$2:$H$201,$AB332)/INDEX(Fixed_Assets!$J$2:$J$201,$AB332),IF($Z332="F",INDEX(Workforce!$F$2:$F$151,MATCH(INDEX(FTE_Allocation!$A$2:$A$201,$AB332),Workforce!$A$2:$A$151,0))*N(INDEX(FTE_Allocation!$F$2:$H$201,$AB332,$AC332)),"")))</f>
        <v/>
      </c>
    </row>
    <row r="333">
      <c r="A333" s="7">
        <f>IF($Z333="","",$AD333)</f>
        <v/>
      </c>
      <c r="B333" s="7">
        <f>IF($Z333="C",INDEX(Contracts!$D$2:$D$151,$AB333)&amp;"",IF($Z333="A",INDEX(Fixed_Assets!$C$2:$C$201,$AB333)&amp;"",IF($Z333="F",INDEX(Workforce!$B$2:$B$151,MATCH(INDEX(FTE_Allocation!$A$2:$A$201,$AB333),Workforce!$A$2:$A$151,0))&amp;"","")))</f>
        <v/>
      </c>
      <c r="C333" s="7">
        <f>IF($Z333="C",INDEX(Contracts!$E$2:$E$151,$AB333)&amp;"",IF($Z333="A",INDEX(Fixed_Assets!$D$2:$D$201,$AB333)&amp;"",IF($Z333="F",INDEX(FTE_Allocation!$C$2:$C$201,$AB333)&amp;"","")))</f>
        <v/>
      </c>
      <c r="D333" s="7">
        <f>IF($Z333="C",INDEX(Contracts!$B$2:$B$151,$AB333)&amp;"",IF($Z333="A",INDEX(Fixed_Assets!$B$2:$B$201,$AB333)&amp;"",IF($Z333="F",INDEX(FTE_Allocation!$B$2:$B$201,$AB333)&amp;"","")))</f>
        <v/>
      </c>
      <c r="E333" s="7">
        <f>IF($Z333="C",INDEX(Contracts!$P$2:$P$151,$AB333)&amp;"",IF($Z333="A",INDEX(Fixed_Assets!$K$2:$K$201,$AB333)&amp;"",IF($Z333="F",IF(INDEX(FTE_Allocation!$D$2:$D$201,$AB333)="PROJECT",IFERROR(INDEX(Projects!$D:$D,MATCH(INDEX(FTE_Allocation!$E$2:$E$201,$AB333),Projects!$A:$A,0))&amp;"","#PROJECT?"),INDEX(FTE_Allocation!$E$2:$E$201,$AB333)&amp;""),"")))</f>
        <v/>
      </c>
      <c r="F333" s="7">
        <f>IF($Z333="C",INDEX(Contracts!$Q$2:$Q$151,$AB333)&amp;"",IF($Z333="A",INDEX(Fixed_Assets!$L$2:$L$201,$AB333)&amp;"",IF($Z333="F",INDEX(Workforce!$K$2:$K$151,MATCH(INDEX(FTE_Allocation!$A$2:$A$201,$AB333),Workforce!$A$2:$A$151,0))&amp;"","")))</f>
        <v/>
      </c>
      <c r="G333" s="7">
        <f>IF($Z333="C",INDEX(Contracts!$F$2:$F$151,$AB333)&amp;" / "&amp;INDEX(Contracts!$G$2:$G$151,$AB333),IF($Z333="A",INDEX(Fixed_Assets!$E$2:$E$201,$AB333)&amp;"",IF($Z333="F","Personnel "&amp;INDEX(FTE_Allocation!$A$2:$A$201,$AB333)&amp;IF(INDEX(FTE_Allocation!$D$2:$D$201,$AB333)="PROJECT"," ("&amp;INDEX(FTE_Allocation!$E$2:$E$201,$AB333)&amp;")",""),"")))</f>
        <v/>
      </c>
      <c r="H333" s="7">
        <f>IF($Z333="C","CONTRACT",IF($Z333="A","ASSET",IF($Z333="F","WORKFORCE","")))</f>
        <v/>
      </c>
      <c r="I333" s="7">
        <f>IF($Z333="C",INDEX(Contracts!$L$2:$L$151,$AB333)&amp;"",IF($Z333="A",INDEX(Fixed_Assets!$I$2:$I$201,$AB333)&amp;"",IF($Z333="F",INDEX(Workforce!$G$2:$G$151,MATCH(INDEX(FTE_Allocation!$A$2:$A$201,$AB333),Workforce!$A$2:$A$151,0))&amp;"","")))</f>
        <v/>
      </c>
      <c r="J333" s="18">
        <f>IF($Z333="","",IF(AND(DATE($AD333,1,1)&gt;=$AE333,DATE($AD333,1,1)&lt;=$AF333),ROUND($AG333,2),0))</f>
        <v/>
      </c>
      <c r="K333" s="18">
        <f>IF($Z333="","",IF(AND(DATE($AD333,2,1)&gt;=$AE333,DATE($AD333,2,1)&lt;=$AF333),ROUND($AG333,2),0))</f>
        <v/>
      </c>
      <c r="L333" s="18">
        <f>IF($Z333="","",IF(AND(DATE($AD333,3,1)&gt;=$AE333,DATE($AD333,3,1)&lt;=$AF333),ROUND($AG333,2),0))</f>
        <v/>
      </c>
      <c r="M333" s="18">
        <f>IF($Z333="","",IF(AND(DATE($AD333,4,1)&gt;=$AE333,DATE($AD333,4,1)&lt;=$AF333),ROUND($AG333,2),0))</f>
        <v/>
      </c>
      <c r="N333" s="18">
        <f>IF($Z333="","",IF(AND(DATE($AD333,5,1)&gt;=$AE333,DATE($AD333,5,1)&lt;=$AF333),ROUND($AG333,2),0))</f>
        <v/>
      </c>
      <c r="O333" s="18">
        <f>IF($Z333="","",IF(AND(DATE($AD333,6,1)&gt;=$AE333,DATE($AD333,6,1)&lt;=$AF333),ROUND($AG333,2),0))</f>
        <v/>
      </c>
      <c r="P333" s="18">
        <f>IF($Z333="","",IF(AND(DATE($AD333,7,1)&gt;=$AE333,DATE($AD333,7,1)&lt;=$AF333),ROUND($AG333,2),0))</f>
        <v/>
      </c>
      <c r="Q333" s="18">
        <f>IF($Z333="","",IF(AND(DATE($AD333,8,1)&gt;=$AE333,DATE($AD333,8,1)&lt;=$AF333),ROUND($AG333,2),0))</f>
        <v/>
      </c>
      <c r="R333" s="18">
        <f>IF($Z333="","",IF(AND(DATE($AD333,9,1)&gt;=$AE333,DATE($AD333,9,1)&lt;=$AF333),ROUND($AG333,2),0))</f>
        <v/>
      </c>
      <c r="S333" s="18">
        <f>IF($Z333="","",IF(AND(DATE($AD333,10,1)&gt;=$AE333,DATE($AD333,10,1)&lt;=$AF333),ROUND($AG333,2),0))</f>
        <v/>
      </c>
      <c r="T333" s="18">
        <f>IF($Z333="","",IF(AND(DATE($AD333,11,1)&gt;=$AE333,DATE($AD333,11,1)&lt;=$AF333),ROUND($AG333,2),0))</f>
        <v/>
      </c>
      <c r="U333" s="18">
        <f>IF($Z333="","",IF(AND(DATE($AD333,12,1)&gt;=$AE333,DATE($AD333,12,1)&lt;=$AF333),ROUND($AG333,2),0))</f>
        <v/>
      </c>
      <c r="V333" s="7">
        <f>IF($Z333="C","Generated from "&amp;INDEX(Contracts!$A$2:$A$151,$AB333),IF($Z333="A","Generated from "&amp;INDEX(Fixed_Assets!$A$2:$A$201,$AB333),IF($Z333="F","Generated from "&amp;INDEX(FTE_Allocation!$A$2:$A$201,$AB333),"")))</f>
        <v/>
      </c>
      <c r="X333" s="19">
        <f>IF($Z333="","",SUM(J333:U333))</f>
        <v/>
      </c>
      <c r="Y333" s="20">
        <f>ROW()-1</f>
        <v/>
      </c>
      <c r="Z333" s="20">
        <f>IF($Y333&lt;=Settings!$B$4*3,"C",IF($Y333&lt;=(Settings!$B$4+Settings!$B$5)*3,"A",IF($Y333&lt;=(Settings!$B$4+Settings!$B$5+Settings!$B$6)*3,"F","")))</f>
        <v/>
      </c>
      <c r="AA333" s="20">
        <f>IF($Z333="C",$Y333,IF($Z333="A",$Y333-Settings!$B$4*3,IF($Z333="F",$Y333-(Settings!$B$4+Settings!$B$5)*3,"")))</f>
        <v/>
      </c>
      <c r="AB333" s="20">
        <f>IF($Z333="","",INT(($AA333-1)/3)+1)</f>
        <v/>
      </c>
      <c r="AC333" s="20">
        <f>IF($Z333="","",MOD($AA333-1,3)+1)</f>
        <v/>
      </c>
      <c r="AD333" s="20">
        <f>IF($Z333="","",Settings!$B$2+$AC333-1)</f>
        <v/>
      </c>
      <c r="AE333" s="21">
        <f>IF($Z333="C",DATE(YEAR(INDEX(Contracts!$J$2:$J$151,$AB333)),MONTH(INDEX(Contracts!$J$2:$J$151,$AB333)),1),IF($Z333="A",DATE(YEAR(INDEX(Fixed_Assets!$G$2:$G$201,$AB333)),MONTH(INDEX(Fixed_Assets!$G$2:$G$201,$AB333)),1),IF($Z333="F",DATE(YEAR(MAX(N(INDEX(Workforce!$I$2:$I$151,MATCH(INDEX(FTE_Allocation!$A$2:$A$201,$AB333),Workforce!$A$2:$A$151,0))),N(INDEX(FTE_Allocation!$I$2:$I$201,$AB333)))),MONTH(MAX(N(INDEX(Workforce!$I$2:$I$151,MATCH(INDEX(FTE_Allocation!$A$2:$A$201,$AB333),Workforce!$A$2:$A$151,0))),N(INDEX(FTE_Allocation!$I$2:$I$201,$AB333)))),1),"")))</f>
        <v/>
      </c>
      <c r="AF333" s="21">
        <f>IF($Z333="C",IF(INDEX(Contracts!$I$2:$I$151,$AB333)="PREPAID",EDATE(DATE(YEAR(INDEX(Contracts!$J$2:$J$151,$AB333)),MONTH(INDEX(Contracts!$J$2:$J$151,$AB333)),1),IF(INDEX(Contracts!$N$2:$N$151,$AB333)="",12,INDEX(Contracts!$N$2:$N$151,$AB333))-1),IF(INDEX(Contracts!$I$2:$I$151,$AB333)="MONTHLY",IF(INDEX(Contracts!$K$2:$K$151,$AB333)="",2958101,INDEX(Contracts!$K$2:$K$151,$AB333)),0)),IF($Z333="A",EDATE(DATE(YEAR(INDEX(Fixed_Assets!$G$2:$G$201,$AB333)),MONTH(INDEX(Fixed_Assets!$G$2:$G$201,$AB333)),1),INDEX(Fixed_Assets!$J$2:$J$201,$AB333)-1),IF($Z333="F",MIN(IF(INDEX(Workforce!$J$2:$J$151,MATCH(INDEX(FTE_Allocation!$A$2:$A$201,$AB333),Workforce!$A$2:$A$151,0))="",2958101,INDEX(Workforce!$J$2:$J$151,MATCH(INDEX(FTE_Allocation!$A$2:$A$201,$AB333),Workforce!$A$2:$A$151,0))),IF(INDEX(FTE_Allocation!$J$2:$J$201,$AB333)="",2958101,INDEX(FTE_Allocation!$J$2:$J$201,$AB333))),"")))</f>
        <v/>
      </c>
      <c r="AG333" s="19">
        <f>IF($Z333="C",IF(INDEX(Contracts!$I$2:$I$151,$AB333)="PREPAID",INDEX(Contracts!$M$2:$M$151,$AB333)/IF(INDEX(Contracts!$N$2:$N$151,$AB333)="",12,INDEX(Contracts!$N$2:$N$151,$AB333)),IF(INDEX(Contracts!$I$2:$I$151,$AB333)="MONTHLY",INDEX(Contracts!$M$2:$M$151,$AB333),0))*(1-N(INDEX(Contracts!$O$2:$O$151,$AB333))),IF($Z333="A",INDEX(Fixed_Assets!$H$2:$H$201,$AB333)/INDEX(Fixed_Assets!$J$2:$J$201,$AB333),IF($Z333="F",INDEX(Workforce!$F$2:$F$151,MATCH(INDEX(FTE_Allocation!$A$2:$A$201,$AB333),Workforce!$A$2:$A$151,0))*N(INDEX(FTE_Allocation!$F$2:$H$201,$AB333,$AC333)),"")))</f>
        <v/>
      </c>
    </row>
    <row r="334">
      <c r="A334" s="7">
        <f>IF($Z334="","",$AD334)</f>
        <v/>
      </c>
      <c r="B334" s="7">
        <f>IF($Z334="C",INDEX(Contracts!$D$2:$D$151,$AB334)&amp;"",IF($Z334="A",INDEX(Fixed_Assets!$C$2:$C$201,$AB334)&amp;"",IF($Z334="F",INDEX(Workforce!$B$2:$B$151,MATCH(INDEX(FTE_Allocation!$A$2:$A$201,$AB334),Workforce!$A$2:$A$151,0))&amp;"","")))</f>
        <v/>
      </c>
      <c r="C334" s="7">
        <f>IF($Z334="C",INDEX(Contracts!$E$2:$E$151,$AB334)&amp;"",IF($Z334="A",INDEX(Fixed_Assets!$D$2:$D$201,$AB334)&amp;"",IF($Z334="F",INDEX(FTE_Allocation!$C$2:$C$201,$AB334)&amp;"","")))</f>
        <v/>
      </c>
      <c r="D334" s="7">
        <f>IF($Z334="C",INDEX(Contracts!$B$2:$B$151,$AB334)&amp;"",IF($Z334="A",INDEX(Fixed_Assets!$B$2:$B$201,$AB334)&amp;"",IF($Z334="F",INDEX(FTE_Allocation!$B$2:$B$201,$AB334)&amp;"","")))</f>
        <v/>
      </c>
      <c r="E334" s="7">
        <f>IF($Z334="C",INDEX(Contracts!$P$2:$P$151,$AB334)&amp;"",IF($Z334="A",INDEX(Fixed_Assets!$K$2:$K$201,$AB334)&amp;"",IF($Z334="F",IF(INDEX(FTE_Allocation!$D$2:$D$201,$AB334)="PROJECT",IFERROR(INDEX(Projects!$D:$D,MATCH(INDEX(FTE_Allocation!$E$2:$E$201,$AB334),Projects!$A:$A,0))&amp;"","#PROJECT?"),INDEX(FTE_Allocation!$E$2:$E$201,$AB334)&amp;""),"")))</f>
        <v/>
      </c>
      <c r="F334" s="7">
        <f>IF($Z334="C",INDEX(Contracts!$Q$2:$Q$151,$AB334)&amp;"",IF($Z334="A",INDEX(Fixed_Assets!$L$2:$L$201,$AB334)&amp;"",IF($Z334="F",INDEX(Workforce!$K$2:$K$151,MATCH(INDEX(FTE_Allocation!$A$2:$A$201,$AB334),Workforce!$A$2:$A$151,0))&amp;"","")))</f>
        <v/>
      </c>
      <c r="G334" s="7">
        <f>IF($Z334="C",INDEX(Contracts!$F$2:$F$151,$AB334)&amp;" / "&amp;INDEX(Contracts!$G$2:$G$151,$AB334),IF($Z334="A",INDEX(Fixed_Assets!$E$2:$E$201,$AB334)&amp;"",IF($Z334="F","Personnel "&amp;INDEX(FTE_Allocation!$A$2:$A$201,$AB334)&amp;IF(INDEX(FTE_Allocation!$D$2:$D$201,$AB334)="PROJECT"," ("&amp;INDEX(FTE_Allocation!$E$2:$E$201,$AB334)&amp;")",""),"")))</f>
        <v/>
      </c>
      <c r="H334" s="7">
        <f>IF($Z334="C","CONTRACT",IF($Z334="A","ASSET",IF($Z334="F","WORKFORCE","")))</f>
        <v/>
      </c>
      <c r="I334" s="7">
        <f>IF($Z334="C",INDEX(Contracts!$L$2:$L$151,$AB334)&amp;"",IF($Z334="A",INDEX(Fixed_Assets!$I$2:$I$201,$AB334)&amp;"",IF($Z334="F",INDEX(Workforce!$G$2:$G$151,MATCH(INDEX(FTE_Allocation!$A$2:$A$201,$AB334),Workforce!$A$2:$A$151,0))&amp;"","")))</f>
        <v/>
      </c>
      <c r="J334" s="18">
        <f>IF($Z334="","",IF(AND(DATE($AD334,1,1)&gt;=$AE334,DATE($AD334,1,1)&lt;=$AF334),ROUND($AG334,2),0))</f>
        <v/>
      </c>
      <c r="K334" s="18">
        <f>IF($Z334="","",IF(AND(DATE($AD334,2,1)&gt;=$AE334,DATE($AD334,2,1)&lt;=$AF334),ROUND($AG334,2),0))</f>
        <v/>
      </c>
      <c r="L334" s="18">
        <f>IF($Z334="","",IF(AND(DATE($AD334,3,1)&gt;=$AE334,DATE($AD334,3,1)&lt;=$AF334),ROUND($AG334,2),0))</f>
        <v/>
      </c>
      <c r="M334" s="18">
        <f>IF($Z334="","",IF(AND(DATE($AD334,4,1)&gt;=$AE334,DATE($AD334,4,1)&lt;=$AF334),ROUND($AG334,2),0))</f>
        <v/>
      </c>
      <c r="N334" s="18">
        <f>IF($Z334="","",IF(AND(DATE($AD334,5,1)&gt;=$AE334,DATE($AD334,5,1)&lt;=$AF334),ROUND($AG334,2),0))</f>
        <v/>
      </c>
      <c r="O334" s="18">
        <f>IF($Z334="","",IF(AND(DATE($AD334,6,1)&gt;=$AE334,DATE($AD334,6,1)&lt;=$AF334),ROUND($AG334,2),0))</f>
        <v/>
      </c>
      <c r="P334" s="18">
        <f>IF($Z334="","",IF(AND(DATE($AD334,7,1)&gt;=$AE334,DATE($AD334,7,1)&lt;=$AF334),ROUND($AG334,2),0))</f>
        <v/>
      </c>
      <c r="Q334" s="18">
        <f>IF($Z334="","",IF(AND(DATE($AD334,8,1)&gt;=$AE334,DATE($AD334,8,1)&lt;=$AF334),ROUND($AG334,2),0))</f>
        <v/>
      </c>
      <c r="R334" s="18">
        <f>IF($Z334="","",IF(AND(DATE($AD334,9,1)&gt;=$AE334,DATE($AD334,9,1)&lt;=$AF334),ROUND($AG334,2),0))</f>
        <v/>
      </c>
      <c r="S334" s="18">
        <f>IF($Z334="","",IF(AND(DATE($AD334,10,1)&gt;=$AE334,DATE($AD334,10,1)&lt;=$AF334),ROUND($AG334,2),0))</f>
        <v/>
      </c>
      <c r="T334" s="18">
        <f>IF($Z334="","",IF(AND(DATE($AD334,11,1)&gt;=$AE334,DATE($AD334,11,1)&lt;=$AF334),ROUND($AG334,2),0))</f>
        <v/>
      </c>
      <c r="U334" s="18">
        <f>IF($Z334="","",IF(AND(DATE($AD334,12,1)&gt;=$AE334,DATE($AD334,12,1)&lt;=$AF334),ROUND($AG334,2),0))</f>
        <v/>
      </c>
      <c r="V334" s="7">
        <f>IF($Z334="C","Generated from "&amp;INDEX(Contracts!$A$2:$A$151,$AB334),IF($Z334="A","Generated from "&amp;INDEX(Fixed_Assets!$A$2:$A$201,$AB334),IF($Z334="F","Generated from "&amp;INDEX(FTE_Allocation!$A$2:$A$201,$AB334),"")))</f>
        <v/>
      </c>
      <c r="X334" s="19">
        <f>IF($Z334="","",SUM(J334:U334))</f>
        <v/>
      </c>
      <c r="Y334" s="20">
        <f>ROW()-1</f>
        <v/>
      </c>
      <c r="Z334" s="20">
        <f>IF($Y334&lt;=Settings!$B$4*3,"C",IF($Y334&lt;=(Settings!$B$4+Settings!$B$5)*3,"A",IF($Y334&lt;=(Settings!$B$4+Settings!$B$5+Settings!$B$6)*3,"F","")))</f>
        <v/>
      </c>
      <c r="AA334" s="20">
        <f>IF($Z334="C",$Y334,IF($Z334="A",$Y334-Settings!$B$4*3,IF($Z334="F",$Y334-(Settings!$B$4+Settings!$B$5)*3,"")))</f>
        <v/>
      </c>
      <c r="AB334" s="20">
        <f>IF($Z334="","",INT(($AA334-1)/3)+1)</f>
        <v/>
      </c>
      <c r="AC334" s="20">
        <f>IF($Z334="","",MOD($AA334-1,3)+1)</f>
        <v/>
      </c>
      <c r="AD334" s="20">
        <f>IF($Z334="","",Settings!$B$2+$AC334-1)</f>
        <v/>
      </c>
      <c r="AE334" s="21">
        <f>IF($Z334="C",DATE(YEAR(INDEX(Contracts!$J$2:$J$151,$AB334)),MONTH(INDEX(Contracts!$J$2:$J$151,$AB334)),1),IF($Z334="A",DATE(YEAR(INDEX(Fixed_Assets!$G$2:$G$201,$AB334)),MONTH(INDEX(Fixed_Assets!$G$2:$G$201,$AB334)),1),IF($Z334="F",DATE(YEAR(MAX(N(INDEX(Workforce!$I$2:$I$151,MATCH(INDEX(FTE_Allocation!$A$2:$A$201,$AB334),Workforce!$A$2:$A$151,0))),N(INDEX(FTE_Allocation!$I$2:$I$201,$AB334)))),MONTH(MAX(N(INDEX(Workforce!$I$2:$I$151,MATCH(INDEX(FTE_Allocation!$A$2:$A$201,$AB334),Workforce!$A$2:$A$151,0))),N(INDEX(FTE_Allocation!$I$2:$I$201,$AB334)))),1),"")))</f>
        <v/>
      </c>
      <c r="AF334" s="21">
        <f>IF($Z334="C",IF(INDEX(Contracts!$I$2:$I$151,$AB334)="PREPAID",EDATE(DATE(YEAR(INDEX(Contracts!$J$2:$J$151,$AB334)),MONTH(INDEX(Contracts!$J$2:$J$151,$AB334)),1),IF(INDEX(Contracts!$N$2:$N$151,$AB334)="",12,INDEX(Contracts!$N$2:$N$151,$AB334))-1),IF(INDEX(Contracts!$I$2:$I$151,$AB334)="MONTHLY",IF(INDEX(Contracts!$K$2:$K$151,$AB334)="",2958101,INDEX(Contracts!$K$2:$K$151,$AB334)),0)),IF($Z334="A",EDATE(DATE(YEAR(INDEX(Fixed_Assets!$G$2:$G$201,$AB334)),MONTH(INDEX(Fixed_Assets!$G$2:$G$201,$AB334)),1),INDEX(Fixed_Assets!$J$2:$J$201,$AB334)-1),IF($Z334="F",MIN(IF(INDEX(Workforce!$J$2:$J$151,MATCH(INDEX(FTE_Allocation!$A$2:$A$201,$AB334),Workforce!$A$2:$A$151,0))="",2958101,INDEX(Workforce!$J$2:$J$151,MATCH(INDEX(FTE_Allocation!$A$2:$A$201,$AB334),Workforce!$A$2:$A$151,0))),IF(INDEX(FTE_Allocation!$J$2:$J$201,$AB334)="",2958101,INDEX(FTE_Allocation!$J$2:$J$201,$AB334))),"")))</f>
        <v/>
      </c>
      <c r="AG334" s="19">
        <f>IF($Z334="C",IF(INDEX(Contracts!$I$2:$I$151,$AB334)="PREPAID",INDEX(Contracts!$M$2:$M$151,$AB334)/IF(INDEX(Contracts!$N$2:$N$151,$AB334)="",12,INDEX(Contracts!$N$2:$N$151,$AB334)),IF(INDEX(Contracts!$I$2:$I$151,$AB334)="MONTHLY",INDEX(Contracts!$M$2:$M$151,$AB334),0))*(1-N(INDEX(Contracts!$O$2:$O$151,$AB334))),IF($Z334="A",INDEX(Fixed_Assets!$H$2:$H$201,$AB334)/INDEX(Fixed_Assets!$J$2:$J$201,$AB334),IF($Z334="F",INDEX(Workforce!$F$2:$F$151,MATCH(INDEX(FTE_Allocation!$A$2:$A$201,$AB334),Workforce!$A$2:$A$151,0))*N(INDEX(FTE_Allocation!$F$2:$H$201,$AB334,$AC334)),"")))</f>
        <v/>
      </c>
    </row>
    <row r="335">
      <c r="A335" s="7">
        <f>IF($Z335="","",$AD335)</f>
        <v/>
      </c>
      <c r="B335" s="7">
        <f>IF($Z335="C",INDEX(Contracts!$D$2:$D$151,$AB335)&amp;"",IF($Z335="A",INDEX(Fixed_Assets!$C$2:$C$201,$AB335)&amp;"",IF($Z335="F",INDEX(Workforce!$B$2:$B$151,MATCH(INDEX(FTE_Allocation!$A$2:$A$201,$AB335),Workforce!$A$2:$A$151,0))&amp;"","")))</f>
        <v/>
      </c>
      <c r="C335" s="7">
        <f>IF($Z335="C",INDEX(Contracts!$E$2:$E$151,$AB335)&amp;"",IF($Z335="A",INDEX(Fixed_Assets!$D$2:$D$201,$AB335)&amp;"",IF($Z335="F",INDEX(FTE_Allocation!$C$2:$C$201,$AB335)&amp;"","")))</f>
        <v/>
      </c>
      <c r="D335" s="7">
        <f>IF($Z335="C",INDEX(Contracts!$B$2:$B$151,$AB335)&amp;"",IF($Z335="A",INDEX(Fixed_Assets!$B$2:$B$201,$AB335)&amp;"",IF($Z335="F",INDEX(FTE_Allocation!$B$2:$B$201,$AB335)&amp;"","")))</f>
        <v/>
      </c>
      <c r="E335" s="7">
        <f>IF($Z335="C",INDEX(Contracts!$P$2:$P$151,$AB335)&amp;"",IF($Z335="A",INDEX(Fixed_Assets!$K$2:$K$201,$AB335)&amp;"",IF($Z335="F",IF(INDEX(FTE_Allocation!$D$2:$D$201,$AB335)="PROJECT",IFERROR(INDEX(Projects!$D:$D,MATCH(INDEX(FTE_Allocation!$E$2:$E$201,$AB335),Projects!$A:$A,0))&amp;"","#PROJECT?"),INDEX(FTE_Allocation!$E$2:$E$201,$AB335)&amp;""),"")))</f>
        <v/>
      </c>
      <c r="F335" s="7">
        <f>IF($Z335="C",INDEX(Contracts!$Q$2:$Q$151,$AB335)&amp;"",IF($Z335="A",INDEX(Fixed_Assets!$L$2:$L$201,$AB335)&amp;"",IF($Z335="F",INDEX(Workforce!$K$2:$K$151,MATCH(INDEX(FTE_Allocation!$A$2:$A$201,$AB335),Workforce!$A$2:$A$151,0))&amp;"","")))</f>
        <v/>
      </c>
      <c r="G335" s="7">
        <f>IF($Z335="C",INDEX(Contracts!$F$2:$F$151,$AB335)&amp;" / "&amp;INDEX(Contracts!$G$2:$G$151,$AB335),IF($Z335="A",INDEX(Fixed_Assets!$E$2:$E$201,$AB335)&amp;"",IF($Z335="F","Personnel "&amp;INDEX(FTE_Allocation!$A$2:$A$201,$AB335)&amp;IF(INDEX(FTE_Allocation!$D$2:$D$201,$AB335)="PROJECT"," ("&amp;INDEX(FTE_Allocation!$E$2:$E$201,$AB335)&amp;")",""),"")))</f>
        <v/>
      </c>
      <c r="H335" s="7">
        <f>IF($Z335="C","CONTRACT",IF($Z335="A","ASSET",IF($Z335="F","WORKFORCE","")))</f>
        <v/>
      </c>
      <c r="I335" s="7">
        <f>IF($Z335="C",INDEX(Contracts!$L$2:$L$151,$AB335)&amp;"",IF($Z335="A",INDEX(Fixed_Assets!$I$2:$I$201,$AB335)&amp;"",IF($Z335="F",INDEX(Workforce!$G$2:$G$151,MATCH(INDEX(FTE_Allocation!$A$2:$A$201,$AB335),Workforce!$A$2:$A$151,0))&amp;"","")))</f>
        <v/>
      </c>
      <c r="J335" s="18">
        <f>IF($Z335="","",IF(AND(DATE($AD335,1,1)&gt;=$AE335,DATE($AD335,1,1)&lt;=$AF335),ROUND($AG335,2),0))</f>
        <v/>
      </c>
      <c r="K335" s="18">
        <f>IF($Z335="","",IF(AND(DATE($AD335,2,1)&gt;=$AE335,DATE($AD335,2,1)&lt;=$AF335),ROUND($AG335,2),0))</f>
        <v/>
      </c>
      <c r="L335" s="18">
        <f>IF($Z335="","",IF(AND(DATE($AD335,3,1)&gt;=$AE335,DATE($AD335,3,1)&lt;=$AF335),ROUND($AG335,2),0))</f>
        <v/>
      </c>
      <c r="M335" s="18">
        <f>IF($Z335="","",IF(AND(DATE($AD335,4,1)&gt;=$AE335,DATE($AD335,4,1)&lt;=$AF335),ROUND($AG335,2),0))</f>
        <v/>
      </c>
      <c r="N335" s="18">
        <f>IF($Z335="","",IF(AND(DATE($AD335,5,1)&gt;=$AE335,DATE($AD335,5,1)&lt;=$AF335),ROUND($AG335,2),0))</f>
        <v/>
      </c>
      <c r="O335" s="18">
        <f>IF($Z335="","",IF(AND(DATE($AD335,6,1)&gt;=$AE335,DATE($AD335,6,1)&lt;=$AF335),ROUND($AG335,2),0))</f>
        <v/>
      </c>
      <c r="P335" s="18">
        <f>IF($Z335="","",IF(AND(DATE($AD335,7,1)&gt;=$AE335,DATE($AD335,7,1)&lt;=$AF335),ROUND($AG335,2),0))</f>
        <v/>
      </c>
      <c r="Q335" s="18">
        <f>IF($Z335="","",IF(AND(DATE($AD335,8,1)&gt;=$AE335,DATE($AD335,8,1)&lt;=$AF335),ROUND($AG335,2),0))</f>
        <v/>
      </c>
      <c r="R335" s="18">
        <f>IF($Z335="","",IF(AND(DATE($AD335,9,1)&gt;=$AE335,DATE($AD335,9,1)&lt;=$AF335),ROUND($AG335,2),0))</f>
        <v/>
      </c>
      <c r="S335" s="18">
        <f>IF($Z335="","",IF(AND(DATE($AD335,10,1)&gt;=$AE335,DATE($AD335,10,1)&lt;=$AF335),ROUND($AG335,2),0))</f>
        <v/>
      </c>
      <c r="T335" s="18">
        <f>IF($Z335="","",IF(AND(DATE($AD335,11,1)&gt;=$AE335,DATE($AD335,11,1)&lt;=$AF335),ROUND($AG335,2),0))</f>
        <v/>
      </c>
      <c r="U335" s="18">
        <f>IF($Z335="","",IF(AND(DATE($AD335,12,1)&gt;=$AE335,DATE($AD335,12,1)&lt;=$AF335),ROUND($AG335,2),0))</f>
        <v/>
      </c>
      <c r="V335" s="7">
        <f>IF($Z335="C","Generated from "&amp;INDEX(Contracts!$A$2:$A$151,$AB335),IF($Z335="A","Generated from "&amp;INDEX(Fixed_Assets!$A$2:$A$201,$AB335),IF($Z335="F","Generated from "&amp;INDEX(FTE_Allocation!$A$2:$A$201,$AB335),"")))</f>
        <v/>
      </c>
      <c r="X335" s="19">
        <f>IF($Z335="","",SUM(J335:U335))</f>
        <v/>
      </c>
      <c r="Y335" s="20">
        <f>ROW()-1</f>
        <v/>
      </c>
      <c r="Z335" s="20">
        <f>IF($Y335&lt;=Settings!$B$4*3,"C",IF($Y335&lt;=(Settings!$B$4+Settings!$B$5)*3,"A",IF($Y335&lt;=(Settings!$B$4+Settings!$B$5+Settings!$B$6)*3,"F","")))</f>
        <v/>
      </c>
      <c r="AA335" s="20">
        <f>IF($Z335="C",$Y335,IF($Z335="A",$Y335-Settings!$B$4*3,IF($Z335="F",$Y335-(Settings!$B$4+Settings!$B$5)*3,"")))</f>
        <v/>
      </c>
      <c r="AB335" s="20">
        <f>IF($Z335="","",INT(($AA335-1)/3)+1)</f>
        <v/>
      </c>
      <c r="AC335" s="20">
        <f>IF($Z335="","",MOD($AA335-1,3)+1)</f>
        <v/>
      </c>
      <c r="AD335" s="20">
        <f>IF($Z335="","",Settings!$B$2+$AC335-1)</f>
        <v/>
      </c>
      <c r="AE335" s="21">
        <f>IF($Z335="C",DATE(YEAR(INDEX(Contracts!$J$2:$J$151,$AB335)),MONTH(INDEX(Contracts!$J$2:$J$151,$AB335)),1),IF($Z335="A",DATE(YEAR(INDEX(Fixed_Assets!$G$2:$G$201,$AB335)),MONTH(INDEX(Fixed_Assets!$G$2:$G$201,$AB335)),1),IF($Z335="F",DATE(YEAR(MAX(N(INDEX(Workforce!$I$2:$I$151,MATCH(INDEX(FTE_Allocation!$A$2:$A$201,$AB335),Workforce!$A$2:$A$151,0))),N(INDEX(FTE_Allocation!$I$2:$I$201,$AB335)))),MONTH(MAX(N(INDEX(Workforce!$I$2:$I$151,MATCH(INDEX(FTE_Allocation!$A$2:$A$201,$AB335),Workforce!$A$2:$A$151,0))),N(INDEX(FTE_Allocation!$I$2:$I$201,$AB335)))),1),"")))</f>
        <v/>
      </c>
      <c r="AF335" s="21">
        <f>IF($Z335="C",IF(INDEX(Contracts!$I$2:$I$151,$AB335)="PREPAID",EDATE(DATE(YEAR(INDEX(Contracts!$J$2:$J$151,$AB335)),MONTH(INDEX(Contracts!$J$2:$J$151,$AB335)),1),IF(INDEX(Contracts!$N$2:$N$151,$AB335)="",12,INDEX(Contracts!$N$2:$N$151,$AB335))-1),IF(INDEX(Contracts!$I$2:$I$151,$AB335)="MONTHLY",IF(INDEX(Contracts!$K$2:$K$151,$AB335)="",2958101,INDEX(Contracts!$K$2:$K$151,$AB335)),0)),IF($Z335="A",EDATE(DATE(YEAR(INDEX(Fixed_Assets!$G$2:$G$201,$AB335)),MONTH(INDEX(Fixed_Assets!$G$2:$G$201,$AB335)),1),INDEX(Fixed_Assets!$J$2:$J$201,$AB335)-1),IF($Z335="F",MIN(IF(INDEX(Workforce!$J$2:$J$151,MATCH(INDEX(FTE_Allocation!$A$2:$A$201,$AB335),Workforce!$A$2:$A$151,0))="",2958101,INDEX(Workforce!$J$2:$J$151,MATCH(INDEX(FTE_Allocation!$A$2:$A$201,$AB335),Workforce!$A$2:$A$151,0))),IF(INDEX(FTE_Allocation!$J$2:$J$201,$AB335)="",2958101,INDEX(FTE_Allocation!$J$2:$J$201,$AB335))),"")))</f>
        <v/>
      </c>
      <c r="AG335" s="19">
        <f>IF($Z335="C",IF(INDEX(Contracts!$I$2:$I$151,$AB335)="PREPAID",INDEX(Contracts!$M$2:$M$151,$AB335)/IF(INDEX(Contracts!$N$2:$N$151,$AB335)="",12,INDEX(Contracts!$N$2:$N$151,$AB335)),IF(INDEX(Contracts!$I$2:$I$151,$AB335)="MONTHLY",INDEX(Contracts!$M$2:$M$151,$AB335),0))*(1-N(INDEX(Contracts!$O$2:$O$151,$AB335))),IF($Z335="A",INDEX(Fixed_Assets!$H$2:$H$201,$AB335)/INDEX(Fixed_Assets!$J$2:$J$201,$AB335),IF($Z335="F",INDEX(Workforce!$F$2:$F$151,MATCH(INDEX(FTE_Allocation!$A$2:$A$201,$AB335),Workforce!$A$2:$A$151,0))*N(INDEX(FTE_Allocation!$F$2:$H$201,$AB335,$AC335)),"")))</f>
        <v/>
      </c>
    </row>
    <row r="336">
      <c r="A336" s="7">
        <f>IF($Z336="","",$AD336)</f>
        <v/>
      </c>
      <c r="B336" s="7">
        <f>IF($Z336="C",INDEX(Contracts!$D$2:$D$151,$AB336)&amp;"",IF($Z336="A",INDEX(Fixed_Assets!$C$2:$C$201,$AB336)&amp;"",IF($Z336="F",INDEX(Workforce!$B$2:$B$151,MATCH(INDEX(FTE_Allocation!$A$2:$A$201,$AB336),Workforce!$A$2:$A$151,0))&amp;"","")))</f>
        <v/>
      </c>
      <c r="C336" s="7">
        <f>IF($Z336="C",INDEX(Contracts!$E$2:$E$151,$AB336)&amp;"",IF($Z336="A",INDEX(Fixed_Assets!$D$2:$D$201,$AB336)&amp;"",IF($Z336="F",INDEX(FTE_Allocation!$C$2:$C$201,$AB336)&amp;"","")))</f>
        <v/>
      </c>
      <c r="D336" s="7">
        <f>IF($Z336="C",INDEX(Contracts!$B$2:$B$151,$AB336)&amp;"",IF($Z336="A",INDEX(Fixed_Assets!$B$2:$B$201,$AB336)&amp;"",IF($Z336="F",INDEX(FTE_Allocation!$B$2:$B$201,$AB336)&amp;"","")))</f>
        <v/>
      </c>
      <c r="E336" s="7">
        <f>IF($Z336="C",INDEX(Contracts!$P$2:$P$151,$AB336)&amp;"",IF($Z336="A",INDEX(Fixed_Assets!$K$2:$K$201,$AB336)&amp;"",IF($Z336="F",IF(INDEX(FTE_Allocation!$D$2:$D$201,$AB336)="PROJECT",IFERROR(INDEX(Projects!$D:$D,MATCH(INDEX(FTE_Allocation!$E$2:$E$201,$AB336),Projects!$A:$A,0))&amp;"","#PROJECT?"),INDEX(FTE_Allocation!$E$2:$E$201,$AB336)&amp;""),"")))</f>
        <v/>
      </c>
      <c r="F336" s="7">
        <f>IF($Z336="C",INDEX(Contracts!$Q$2:$Q$151,$AB336)&amp;"",IF($Z336="A",INDEX(Fixed_Assets!$L$2:$L$201,$AB336)&amp;"",IF($Z336="F",INDEX(Workforce!$K$2:$K$151,MATCH(INDEX(FTE_Allocation!$A$2:$A$201,$AB336),Workforce!$A$2:$A$151,0))&amp;"","")))</f>
        <v/>
      </c>
      <c r="G336" s="7">
        <f>IF($Z336="C",INDEX(Contracts!$F$2:$F$151,$AB336)&amp;" / "&amp;INDEX(Contracts!$G$2:$G$151,$AB336),IF($Z336="A",INDEX(Fixed_Assets!$E$2:$E$201,$AB336)&amp;"",IF($Z336="F","Personnel "&amp;INDEX(FTE_Allocation!$A$2:$A$201,$AB336)&amp;IF(INDEX(FTE_Allocation!$D$2:$D$201,$AB336)="PROJECT"," ("&amp;INDEX(FTE_Allocation!$E$2:$E$201,$AB336)&amp;")",""),"")))</f>
        <v/>
      </c>
      <c r="H336" s="7">
        <f>IF($Z336="C","CONTRACT",IF($Z336="A","ASSET",IF($Z336="F","WORKFORCE","")))</f>
        <v/>
      </c>
      <c r="I336" s="7">
        <f>IF($Z336="C",INDEX(Contracts!$L$2:$L$151,$AB336)&amp;"",IF($Z336="A",INDEX(Fixed_Assets!$I$2:$I$201,$AB336)&amp;"",IF($Z336="F",INDEX(Workforce!$G$2:$G$151,MATCH(INDEX(FTE_Allocation!$A$2:$A$201,$AB336),Workforce!$A$2:$A$151,0))&amp;"","")))</f>
        <v/>
      </c>
      <c r="J336" s="18">
        <f>IF($Z336="","",IF(AND(DATE($AD336,1,1)&gt;=$AE336,DATE($AD336,1,1)&lt;=$AF336),ROUND($AG336,2),0))</f>
        <v/>
      </c>
      <c r="K336" s="18">
        <f>IF($Z336="","",IF(AND(DATE($AD336,2,1)&gt;=$AE336,DATE($AD336,2,1)&lt;=$AF336),ROUND($AG336,2),0))</f>
        <v/>
      </c>
      <c r="L336" s="18">
        <f>IF($Z336="","",IF(AND(DATE($AD336,3,1)&gt;=$AE336,DATE($AD336,3,1)&lt;=$AF336),ROUND($AG336,2),0))</f>
        <v/>
      </c>
      <c r="M336" s="18">
        <f>IF($Z336="","",IF(AND(DATE($AD336,4,1)&gt;=$AE336,DATE($AD336,4,1)&lt;=$AF336),ROUND($AG336,2),0))</f>
        <v/>
      </c>
      <c r="N336" s="18">
        <f>IF($Z336="","",IF(AND(DATE($AD336,5,1)&gt;=$AE336,DATE($AD336,5,1)&lt;=$AF336),ROUND($AG336,2),0))</f>
        <v/>
      </c>
      <c r="O336" s="18">
        <f>IF($Z336="","",IF(AND(DATE($AD336,6,1)&gt;=$AE336,DATE($AD336,6,1)&lt;=$AF336),ROUND($AG336,2),0))</f>
        <v/>
      </c>
      <c r="P336" s="18">
        <f>IF($Z336="","",IF(AND(DATE($AD336,7,1)&gt;=$AE336,DATE($AD336,7,1)&lt;=$AF336),ROUND($AG336,2),0))</f>
        <v/>
      </c>
      <c r="Q336" s="18">
        <f>IF($Z336="","",IF(AND(DATE($AD336,8,1)&gt;=$AE336,DATE($AD336,8,1)&lt;=$AF336),ROUND($AG336,2),0))</f>
        <v/>
      </c>
      <c r="R336" s="18">
        <f>IF($Z336="","",IF(AND(DATE($AD336,9,1)&gt;=$AE336,DATE($AD336,9,1)&lt;=$AF336),ROUND($AG336,2),0))</f>
        <v/>
      </c>
      <c r="S336" s="18">
        <f>IF($Z336="","",IF(AND(DATE($AD336,10,1)&gt;=$AE336,DATE($AD336,10,1)&lt;=$AF336),ROUND($AG336,2),0))</f>
        <v/>
      </c>
      <c r="T336" s="18">
        <f>IF($Z336="","",IF(AND(DATE($AD336,11,1)&gt;=$AE336,DATE($AD336,11,1)&lt;=$AF336),ROUND($AG336,2),0))</f>
        <v/>
      </c>
      <c r="U336" s="18">
        <f>IF($Z336="","",IF(AND(DATE($AD336,12,1)&gt;=$AE336,DATE($AD336,12,1)&lt;=$AF336),ROUND($AG336,2),0))</f>
        <v/>
      </c>
      <c r="V336" s="7">
        <f>IF($Z336="C","Generated from "&amp;INDEX(Contracts!$A$2:$A$151,$AB336),IF($Z336="A","Generated from "&amp;INDEX(Fixed_Assets!$A$2:$A$201,$AB336),IF($Z336="F","Generated from "&amp;INDEX(FTE_Allocation!$A$2:$A$201,$AB336),"")))</f>
        <v/>
      </c>
      <c r="X336" s="19">
        <f>IF($Z336="","",SUM(J336:U336))</f>
        <v/>
      </c>
      <c r="Y336" s="20">
        <f>ROW()-1</f>
        <v/>
      </c>
      <c r="Z336" s="20">
        <f>IF($Y336&lt;=Settings!$B$4*3,"C",IF($Y336&lt;=(Settings!$B$4+Settings!$B$5)*3,"A",IF($Y336&lt;=(Settings!$B$4+Settings!$B$5+Settings!$B$6)*3,"F","")))</f>
        <v/>
      </c>
      <c r="AA336" s="20">
        <f>IF($Z336="C",$Y336,IF($Z336="A",$Y336-Settings!$B$4*3,IF($Z336="F",$Y336-(Settings!$B$4+Settings!$B$5)*3,"")))</f>
        <v/>
      </c>
      <c r="AB336" s="20">
        <f>IF($Z336="","",INT(($AA336-1)/3)+1)</f>
        <v/>
      </c>
      <c r="AC336" s="20">
        <f>IF($Z336="","",MOD($AA336-1,3)+1)</f>
        <v/>
      </c>
      <c r="AD336" s="20">
        <f>IF($Z336="","",Settings!$B$2+$AC336-1)</f>
        <v/>
      </c>
      <c r="AE336" s="21">
        <f>IF($Z336="C",DATE(YEAR(INDEX(Contracts!$J$2:$J$151,$AB336)),MONTH(INDEX(Contracts!$J$2:$J$151,$AB336)),1),IF($Z336="A",DATE(YEAR(INDEX(Fixed_Assets!$G$2:$G$201,$AB336)),MONTH(INDEX(Fixed_Assets!$G$2:$G$201,$AB336)),1),IF($Z336="F",DATE(YEAR(MAX(N(INDEX(Workforce!$I$2:$I$151,MATCH(INDEX(FTE_Allocation!$A$2:$A$201,$AB336),Workforce!$A$2:$A$151,0))),N(INDEX(FTE_Allocation!$I$2:$I$201,$AB336)))),MONTH(MAX(N(INDEX(Workforce!$I$2:$I$151,MATCH(INDEX(FTE_Allocation!$A$2:$A$201,$AB336),Workforce!$A$2:$A$151,0))),N(INDEX(FTE_Allocation!$I$2:$I$201,$AB336)))),1),"")))</f>
        <v/>
      </c>
      <c r="AF336" s="21">
        <f>IF($Z336="C",IF(INDEX(Contracts!$I$2:$I$151,$AB336)="PREPAID",EDATE(DATE(YEAR(INDEX(Contracts!$J$2:$J$151,$AB336)),MONTH(INDEX(Contracts!$J$2:$J$151,$AB336)),1),IF(INDEX(Contracts!$N$2:$N$151,$AB336)="",12,INDEX(Contracts!$N$2:$N$151,$AB336))-1),IF(INDEX(Contracts!$I$2:$I$151,$AB336)="MONTHLY",IF(INDEX(Contracts!$K$2:$K$151,$AB336)="",2958101,INDEX(Contracts!$K$2:$K$151,$AB336)),0)),IF($Z336="A",EDATE(DATE(YEAR(INDEX(Fixed_Assets!$G$2:$G$201,$AB336)),MONTH(INDEX(Fixed_Assets!$G$2:$G$201,$AB336)),1),INDEX(Fixed_Assets!$J$2:$J$201,$AB336)-1),IF($Z336="F",MIN(IF(INDEX(Workforce!$J$2:$J$151,MATCH(INDEX(FTE_Allocation!$A$2:$A$201,$AB336),Workforce!$A$2:$A$151,0))="",2958101,INDEX(Workforce!$J$2:$J$151,MATCH(INDEX(FTE_Allocation!$A$2:$A$201,$AB336),Workforce!$A$2:$A$151,0))),IF(INDEX(FTE_Allocation!$J$2:$J$201,$AB336)="",2958101,INDEX(FTE_Allocation!$J$2:$J$201,$AB336))),"")))</f>
        <v/>
      </c>
      <c r="AG336" s="19">
        <f>IF($Z336="C",IF(INDEX(Contracts!$I$2:$I$151,$AB336)="PREPAID",INDEX(Contracts!$M$2:$M$151,$AB336)/IF(INDEX(Contracts!$N$2:$N$151,$AB336)="",12,INDEX(Contracts!$N$2:$N$151,$AB336)),IF(INDEX(Contracts!$I$2:$I$151,$AB336)="MONTHLY",INDEX(Contracts!$M$2:$M$151,$AB336),0))*(1-N(INDEX(Contracts!$O$2:$O$151,$AB336))),IF($Z336="A",INDEX(Fixed_Assets!$H$2:$H$201,$AB336)/INDEX(Fixed_Assets!$J$2:$J$201,$AB336),IF($Z336="F",INDEX(Workforce!$F$2:$F$151,MATCH(INDEX(FTE_Allocation!$A$2:$A$201,$AB336),Workforce!$A$2:$A$151,0))*N(INDEX(FTE_Allocation!$F$2:$H$201,$AB336,$AC336)),"")))</f>
        <v/>
      </c>
    </row>
    <row r="337">
      <c r="A337" s="7">
        <f>IF($Z337="","",$AD337)</f>
        <v/>
      </c>
      <c r="B337" s="7">
        <f>IF($Z337="C",INDEX(Contracts!$D$2:$D$151,$AB337)&amp;"",IF($Z337="A",INDEX(Fixed_Assets!$C$2:$C$201,$AB337)&amp;"",IF($Z337="F",INDEX(Workforce!$B$2:$B$151,MATCH(INDEX(FTE_Allocation!$A$2:$A$201,$AB337),Workforce!$A$2:$A$151,0))&amp;"","")))</f>
        <v/>
      </c>
      <c r="C337" s="7">
        <f>IF($Z337="C",INDEX(Contracts!$E$2:$E$151,$AB337)&amp;"",IF($Z337="A",INDEX(Fixed_Assets!$D$2:$D$201,$AB337)&amp;"",IF($Z337="F",INDEX(FTE_Allocation!$C$2:$C$201,$AB337)&amp;"","")))</f>
        <v/>
      </c>
      <c r="D337" s="7">
        <f>IF($Z337="C",INDEX(Contracts!$B$2:$B$151,$AB337)&amp;"",IF($Z337="A",INDEX(Fixed_Assets!$B$2:$B$201,$AB337)&amp;"",IF($Z337="F",INDEX(FTE_Allocation!$B$2:$B$201,$AB337)&amp;"","")))</f>
        <v/>
      </c>
      <c r="E337" s="7">
        <f>IF($Z337="C",INDEX(Contracts!$P$2:$P$151,$AB337)&amp;"",IF($Z337="A",INDEX(Fixed_Assets!$K$2:$K$201,$AB337)&amp;"",IF($Z337="F",IF(INDEX(FTE_Allocation!$D$2:$D$201,$AB337)="PROJECT",IFERROR(INDEX(Projects!$D:$D,MATCH(INDEX(FTE_Allocation!$E$2:$E$201,$AB337),Projects!$A:$A,0))&amp;"","#PROJECT?"),INDEX(FTE_Allocation!$E$2:$E$201,$AB337)&amp;""),"")))</f>
        <v/>
      </c>
      <c r="F337" s="7">
        <f>IF($Z337="C",INDEX(Contracts!$Q$2:$Q$151,$AB337)&amp;"",IF($Z337="A",INDEX(Fixed_Assets!$L$2:$L$201,$AB337)&amp;"",IF($Z337="F",INDEX(Workforce!$K$2:$K$151,MATCH(INDEX(FTE_Allocation!$A$2:$A$201,$AB337),Workforce!$A$2:$A$151,0))&amp;"","")))</f>
        <v/>
      </c>
      <c r="G337" s="7">
        <f>IF($Z337="C",INDEX(Contracts!$F$2:$F$151,$AB337)&amp;" / "&amp;INDEX(Contracts!$G$2:$G$151,$AB337),IF($Z337="A",INDEX(Fixed_Assets!$E$2:$E$201,$AB337)&amp;"",IF($Z337="F","Personnel "&amp;INDEX(FTE_Allocation!$A$2:$A$201,$AB337)&amp;IF(INDEX(FTE_Allocation!$D$2:$D$201,$AB337)="PROJECT"," ("&amp;INDEX(FTE_Allocation!$E$2:$E$201,$AB337)&amp;")",""),"")))</f>
        <v/>
      </c>
      <c r="H337" s="7">
        <f>IF($Z337="C","CONTRACT",IF($Z337="A","ASSET",IF($Z337="F","WORKFORCE","")))</f>
        <v/>
      </c>
      <c r="I337" s="7">
        <f>IF($Z337="C",INDEX(Contracts!$L$2:$L$151,$AB337)&amp;"",IF($Z337="A",INDEX(Fixed_Assets!$I$2:$I$201,$AB337)&amp;"",IF($Z337="F",INDEX(Workforce!$G$2:$G$151,MATCH(INDEX(FTE_Allocation!$A$2:$A$201,$AB337),Workforce!$A$2:$A$151,0))&amp;"","")))</f>
        <v/>
      </c>
      <c r="J337" s="18">
        <f>IF($Z337="","",IF(AND(DATE($AD337,1,1)&gt;=$AE337,DATE($AD337,1,1)&lt;=$AF337),ROUND($AG337,2),0))</f>
        <v/>
      </c>
      <c r="K337" s="18">
        <f>IF($Z337="","",IF(AND(DATE($AD337,2,1)&gt;=$AE337,DATE($AD337,2,1)&lt;=$AF337),ROUND($AG337,2),0))</f>
        <v/>
      </c>
      <c r="L337" s="18">
        <f>IF($Z337="","",IF(AND(DATE($AD337,3,1)&gt;=$AE337,DATE($AD337,3,1)&lt;=$AF337),ROUND($AG337,2),0))</f>
        <v/>
      </c>
      <c r="M337" s="18">
        <f>IF($Z337="","",IF(AND(DATE($AD337,4,1)&gt;=$AE337,DATE($AD337,4,1)&lt;=$AF337),ROUND($AG337,2),0))</f>
        <v/>
      </c>
      <c r="N337" s="18">
        <f>IF($Z337="","",IF(AND(DATE($AD337,5,1)&gt;=$AE337,DATE($AD337,5,1)&lt;=$AF337),ROUND($AG337,2),0))</f>
        <v/>
      </c>
      <c r="O337" s="18">
        <f>IF($Z337="","",IF(AND(DATE($AD337,6,1)&gt;=$AE337,DATE($AD337,6,1)&lt;=$AF337),ROUND($AG337,2),0))</f>
        <v/>
      </c>
      <c r="P337" s="18">
        <f>IF($Z337="","",IF(AND(DATE($AD337,7,1)&gt;=$AE337,DATE($AD337,7,1)&lt;=$AF337),ROUND($AG337,2),0))</f>
        <v/>
      </c>
      <c r="Q337" s="18">
        <f>IF($Z337="","",IF(AND(DATE($AD337,8,1)&gt;=$AE337,DATE($AD337,8,1)&lt;=$AF337),ROUND($AG337,2),0))</f>
        <v/>
      </c>
      <c r="R337" s="18">
        <f>IF($Z337="","",IF(AND(DATE($AD337,9,1)&gt;=$AE337,DATE($AD337,9,1)&lt;=$AF337),ROUND($AG337,2),0))</f>
        <v/>
      </c>
      <c r="S337" s="18">
        <f>IF($Z337="","",IF(AND(DATE($AD337,10,1)&gt;=$AE337,DATE($AD337,10,1)&lt;=$AF337),ROUND($AG337,2),0))</f>
        <v/>
      </c>
      <c r="T337" s="18">
        <f>IF($Z337="","",IF(AND(DATE($AD337,11,1)&gt;=$AE337,DATE($AD337,11,1)&lt;=$AF337),ROUND($AG337,2),0))</f>
        <v/>
      </c>
      <c r="U337" s="18">
        <f>IF($Z337="","",IF(AND(DATE($AD337,12,1)&gt;=$AE337,DATE($AD337,12,1)&lt;=$AF337),ROUND($AG337,2),0))</f>
        <v/>
      </c>
      <c r="V337" s="7">
        <f>IF($Z337="C","Generated from "&amp;INDEX(Contracts!$A$2:$A$151,$AB337),IF($Z337="A","Generated from "&amp;INDEX(Fixed_Assets!$A$2:$A$201,$AB337),IF($Z337="F","Generated from "&amp;INDEX(FTE_Allocation!$A$2:$A$201,$AB337),"")))</f>
        <v/>
      </c>
      <c r="X337" s="19">
        <f>IF($Z337="","",SUM(J337:U337))</f>
        <v/>
      </c>
      <c r="Y337" s="20">
        <f>ROW()-1</f>
        <v/>
      </c>
      <c r="Z337" s="20">
        <f>IF($Y337&lt;=Settings!$B$4*3,"C",IF($Y337&lt;=(Settings!$B$4+Settings!$B$5)*3,"A",IF($Y337&lt;=(Settings!$B$4+Settings!$B$5+Settings!$B$6)*3,"F","")))</f>
        <v/>
      </c>
      <c r="AA337" s="20">
        <f>IF($Z337="C",$Y337,IF($Z337="A",$Y337-Settings!$B$4*3,IF($Z337="F",$Y337-(Settings!$B$4+Settings!$B$5)*3,"")))</f>
        <v/>
      </c>
      <c r="AB337" s="20">
        <f>IF($Z337="","",INT(($AA337-1)/3)+1)</f>
        <v/>
      </c>
      <c r="AC337" s="20">
        <f>IF($Z337="","",MOD($AA337-1,3)+1)</f>
        <v/>
      </c>
      <c r="AD337" s="20">
        <f>IF($Z337="","",Settings!$B$2+$AC337-1)</f>
        <v/>
      </c>
      <c r="AE337" s="21">
        <f>IF($Z337="C",DATE(YEAR(INDEX(Contracts!$J$2:$J$151,$AB337)),MONTH(INDEX(Contracts!$J$2:$J$151,$AB337)),1),IF($Z337="A",DATE(YEAR(INDEX(Fixed_Assets!$G$2:$G$201,$AB337)),MONTH(INDEX(Fixed_Assets!$G$2:$G$201,$AB337)),1),IF($Z337="F",DATE(YEAR(MAX(N(INDEX(Workforce!$I$2:$I$151,MATCH(INDEX(FTE_Allocation!$A$2:$A$201,$AB337),Workforce!$A$2:$A$151,0))),N(INDEX(FTE_Allocation!$I$2:$I$201,$AB337)))),MONTH(MAX(N(INDEX(Workforce!$I$2:$I$151,MATCH(INDEX(FTE_Allocation!$A$2:$A$201,$AB337),Workforce!$A$2:$A$151,0))),N(INDEX(FTE_Allocation!$I$2:$I$201,$AB337)))),1),"")))</f>
        <v/>
      </c>
      <c r="AF337" s="21">
        <f>IF($Z337="C",IF(INDEX(Contracts!$I$2:$I$151,$AB337)="PREPAID",EDATE(DATE(YEAR(INDEX(Contracts!$J$2:$J$151,$AB337)),MONTH(INDEX(Contracts!$J$2:$J$151,$AB337)),1),IF(INDEX(Contracts!$N$2:$N$151,$AB337)="",12,INDEX(Contracts!$N$2:$N$151,$AB337))-1),IF(INDEX(Contracts!$I$2:$I$151,$AB337)="MONTHLY",IF(INDEX(Contracts!$K$2:$K$151,$AB337)="",2958101,INDEX(Contracts!$K$2:$K$151,$AB337)),0)),IF($Z337="A",EDATE(DATE(YEAR(INDEX(Fixed_Assets!$G$2:$G$201,$AB337)),MONTH(INDEX(Fixed_Assets!$G$2:$G$201,$AB337)),1),INDEX(Fixed_Assets!$J$2:$J$201,$AB337)-1),IF($Z337="F",MIN(IF(INDEX(Workforce!$J$2:$J$151,MATCH(INDEX(FTE_Allocation!$A$2:$A$201,$AB337),Workforce!$A$2:$A$151,0))="",2958101,INDEX(Workforce!$J$2:$J$151,MATCH(INDEX(FTE_Allocation!$A$2:$A$201,$AB337),Workforce!$A$2:$A$151,0))),IF(INDEX(FTE_Allocation!$J$2:$J$201,$AB337)="",2958101,INDEX(FTE_Allocation!$J$2:$J$201,$AB337))),"")))</f>
        <v/>
      </c>
      <c r="AG337" s="19">
        <f>IF($Z337="C",IF(INDEX(Contracts!$I$2:$I$151,$AB337)="PREPAID",INDEX(Contracts!$M$2:$M$151,$AB337)/IF(INDEX(Contracts!$N$2:$N$151,$AB337)="",12,INDEX(Contracts!$N$2:$N$151,$AB337)),IF(INDEX(Contracts!$I$2:$I$151,$AB337)="MONTHLY",INDEX(Contracts!$M$2:$M$151,$AB337),0))*(1-N(INDEX(Contracts!$O$2:$O$151,$AB337))),IF($Z337="A",INDEX(Fixed_Assets!$H$2:$H$201,$AB337)/INDEX(Fixed_Assets!$J$2:$J$201,$AB337),IF($Z337="F",INDEX(Workforce!$F$2:$F$151,MATCH(INDEX(FTE_Allocation!$A$2:$A$201,$AB337),Workforce!$A$2:$A$151,0))*N(INDEX(FTE_Allocation!$F$2:$H$201,$AB337,$AC337)),"")))</f>
        <v/>
      </c>
    </row>
    <row r="338">
      <c r="A338" s="7">
        <f>IF($Z338="","",$AD338)</f>
        <v/>
      </c>
      <c r="B338" s="7">
        <f>IF($Z338="C",INDEX(Contracts!$D$2:$D$151,$AB338)&amp;"",IF($Z338="A",INDEX(Fixed_Assets!$C$2:$C$201,$AB338)&amp;"",IF($Z338="F",INDEX(Workforce!$B$2:$B$151,MATCH(INDEX(FTE_Allocation!$A$2:$A$201,$AB338),Workforce!$A$2:$A$151,0))&amp;"","")))</f>
        <v/>
      </c>
      <c r="C338" s="7">
        <f>IF($Z338="C",INDEX(Contracts!$E$2:$E$151,$AB338)&amp;"",IF($Z338="A",INDEX(Fixed_Assets!$D$2:$D$201,$AB338)&amp;"",IF($Z338="F",INDEX(FTE_Allocation!$C$2:$C$201,$AB338)&amp;"","")))</f>
        <v/>
      </c>
      <c r="D338" s="7">
        <f>IF($Z338="C",INDEX(Contracts!$B$2:$B$151,$AB338)&amp;"",IF($Z338="A",INDEX(Fixed_Assets!$B$2:$B$201,$AB338)&amp;"",IF($Z338="F",INDEX(FTE_Allocation!$B$2:$B$201,$AB338)&amp;"","")))</f>
        <v/>
      </c>
      <c r="E338" s="7">
        <f>IF($Z338="C",INDEX(Contracts!$P$2:$P$151,$AB338)&amp;"",IF($Z338="A",INDEX(Fixed_Assets!$K$2:$K$201,$AB338)&amp;"",IF($Z338="F",IF(INDEX(FTE_Allocation!$D$2:$D$201,$AB338)="PROJECT",IFERROR(INDEX(Projects!$D:$D,MATCH(INDEX(FTE_Allocation!$E$2:$E$201,$AB338),Projects!$A:$A,0))&amp;"","#PROJECT?"),INDEX(FTE_Allocation!$E$2:$E$201,$AB338)&amp;""),"")))</f>
        <v/>
      </c>
      <c r="F338" s="7">
        <f>IF($Z338="C",INDEX(Contracts!$Q$2:$Q$151,$AB338)&amp;"",IF($Z338="A",INDEX(Fixed_Assets!$L$2:$L$201,$AB338)&amp;"",IF($Z338="F",INDEX(Workforce!$K$2:$K$151,MATCH(INDEX(FTE_Allocation!$A$2:$A$201,$AB338),Workforce!$A$2:$A$151,0))&amp;"","")))</f>
        <v/>
      </c>
      <c r="G338" s="7">
        <f>IF($Z338="C",INDEX(Contracts!$F$2:$F$151,$AB338)&amp;" / "&amp;INDEX(Contracts!$G$2:$G$151,$AB338),IF($Z338="A",INDEX(Fixed_Assets!$E$2:$E$201,$AB338)&amp;"",IF($Z338="F","Personnel "&amp;INDEX(FTE_Allocation!$A$2:$A$201,$AB338)&amp;IF(INDEX(FTE_Allocation!$D$2:$D$201,$AB338)="PROJECT"," ("&amp;INDEX(FTE_Allocation!$E$2:$E$201,$AB338)&amp;")",""),"")))</f>
        <v/>
      </c>
      <c r="H338" s="7">
        <f>IF($Z338="C","CONTRACT",IF($Z338="A","ASSET",IF($Z338="F","WORKFORCE","")))</f>
        <v/>
      </c>
      <c r="I338" s="7">
        <f>IF($Z338="C",INDEX(Contracts!$L$2:$L$151,$AB338)&amp;"",IF($Z338="A",INDEX(Fixed_Assets!$I$2:$I$201,$AB338)&amp;"",IF($Z338="F",INDEX(Workforce!$G$2:$G$151,MATCH(INDEX(FTE_Allocation!$A$2:$A$201,$AB338),Workforce!$A$2:$A$151,0))&amp;"","")))</f>
        <v/>
      </c>
      <c r="J338" s="18">
        <f>IF($Z338="","",IF(AND(DATE($AD338,1,1)&gt;=$AE338,DATE($AD338,1,1)&lt;=$AF338),ROUND($AG338,2),0))</f>
        <v/>
      </c>
      <c r="K338" s="18">
        <f>IF($Z338="","",IF(AND(DATE($AD338,2,1)&gt;=$AE338,DATE($AD338,2,1)&lt;=$AF338),ROUND($AG338,2),0))</f>
        <v/>
      </c>
      <c r="L338" s="18">
        <f>IF($Z338="","",IF(AND(DATE($AD338,3,1)&gt;=$AE338,DATE($AD338,3,1)&lt;=$AF338),ROUND($AG338,2),0))</f>
        <v/>
      </c>
      <c r="M338" s="18">
        <f>IF($Z338="","",IF(AND(DATE($AD338,4,1)&gt;=$AE338,DATE($AD338,4,1)&lt;=$AF338),ROUND($AG338,2),0))</f>
        <v/>
      </c>
      <c r="N338" s="18">
        <f>IF($Z338="","",IF(AND(DATE($AD338,5,1)&gt;=$AE338,DATE($AD338,5,1)&lt;=$AF338),ROUND($AG338,2),0))</f>
        <v/>
      </c>
      <c r="O338" s="18">
        <f>IF($Z338="","",IF(AND(DATE($AD338,6,1)&gt;=$AE338,DATE($AD338,6,1)&lt;=$AF338),ROUND($AG338,2),0))</f>
        <v/>
      </c>
      <c r="P338" s="18">
        <f>IF($Z338="","",IF(AND(DATE($AD338,7,1)&gt;=$AE338,DATE($AD338,7,1)&lt;=$AF338),ROUND($AG338,2),0))</f>
        <v/>
      </c>
      <c r="Q338" s="18">
        <f>IF($Z338="","",IF(AND(DATE($AD338,8,1)&gt;=$AE338,DATE($AD338,8,1)&lt;=$AF338),ROUND($AG338,2),0))</f>
        <v/>
      </c>
      <c r="R338" s="18">
        <f>IF($Z338="","",IF(AND(DATE($AD338,9,1)&gt;=$AE338,DATE($AD338,9,1)&lt;=$AF338),ROUND($AG338,2),0))</f>
        <v/>
      </c>
      <c r="S338" s="18">
        <f>IF($Z338="","",IF(AND(DATE($AD338,10,1)&gt;=$AE338,DATE($AD338,10,1)&lt;=$AF338),ROUND($AG338,2),0))</f>
        <v/>
      </c>
      <c r="T338" s="18">
        <f>IF($Z338="","",IF(AND(DATE($AD338,11,1)&gt;=$AE338,DATE($AD338,11,1)&lt;=$AF338),ROUND($AG338,2),0))</f>
        <v/>
      </c>
      <c r="U338" s="18">
        <f>IF($Z338="","",IF(AND(DATE($AD338,12,1)&gt;=$AE338,DATE($AD338,12,1)&lt;=$AF338),ROUND($AG338,2),0))</f>
        <v/>
      </c>
      <c r="V338" s="7">
        <f>IF($Z338="C","Generated from "&amp;INDEX(Contracts!$A$2:$A$151,$AB338),IF($Z338="A","Generated from "&amp;INDEX(Fixed_Assets!$A$2:$A$201,$AB338),IF($Z338="F","Generated from "&amp;INDEX(FTE_Allocation!$A$2:$A$201,$AB338),"")))</f>
        <v/>
      </c>
      <c r="X338" s="19">
        <f>IF($Z338="","",SUM(J338:U338))</f>
        <v/>
      </c>
      <c r="Y338" s="20">
        <f>ROW()-1</f>
        <v/>
      </c>
      <c r="Z338" s="20">
        <f>IF($Y338&lt;=Settings!$B$4*3,"C",IF($Y338&lt;=(Settings!$B$4+Settings!$B$5)*3,"A",IF($Y338&lt;=(Settings!$B$4+Settings!$B$5+Settings!$B$6)*3,"F","")))</f>
        <v/>
      </c>
      <c r="AA338" s="20">
        <f>IF($Z338="C",$Y338,IF($Z338="A",$Y338-Settings!$B$4*3,IF($Z338="F",$Y338-(Settings!$B$4+Settings!$B$5)*3,"")))</f>
        <v/>
      </c>
      <c r="AB338" s="20">
        <f>IF($Z338="","",INT(($AA338-1)/3)+1)</f>
        <v/>
      </c>
      <c r="AC338" s="20">
        <f>IF($Z338="","",MOD($AA338-1,3)+1)</f>
        <v/>
      </c>
      <c r="AD338" s="20">
        <f>IF($Z338="","",Settings!$B$2+$AC338-1)</f>
        <v/>
      </c>
      <c r="AE338" s="21">
        <f>IF($Z338="C",DATE(YEAR(INDEX(Contracts!$J$2:$J$151,$AB338)),MONTH(INDEX(Contracts!$J$2:$J$151,$AB338)),1),IF($Z338="A",DATE(YEAR(INDEX(Fixed_Assets!$G$2:$G$201,$AB338)),MONTH(INDEX(Fixed_Assets!$G$2:$G$201,$AB338)),1),IF($Z338="F",DATE(YEAR(MAX(N(INDEX(Workforce!$I$2:$I$151,MATCH(INDEX(FTE_Allocation!$A$2:$A$201,$AB338),Workforce!$A$2:$A$151,0))),N(INDEX(FTE_Allocation!$I$2:$I$201,$AB338)))),MONTH(MAX(N(INDEX(Workforce!$I$2:$I$151,MATCH(INDEX(FTE_Allocation!$A$2:$A$201,$AB338),Workforce!$A$2:$A$151,0))),N(INDEX(FTE_Allocation!$I$2:$I$201,$AB338)))),1),"")))</f>
        <v/>
      </c>
      <c r="AF338" s="21">
        <f>IF($Z338="C",IF(INDEX(Contracts!$I$2:$I$151,$AB338)="PREPAID",EDATE(DATE(YEAR(INDEX(Contracts!$J$2:$J$151,$AB338)),MONTH(INDEX(Contracts!$J$2:$J$151,$AB338)),1),IF(INDEX(Contracts!$N$2:$N$151,$AB338)="",12,INDEX(Contracts!$N$2:$N$151,$AB338))-1),IF(INDEX(Contracts!$I$2:$I$151,$AB338)="MONTHLY",IF(INDEX(Contracts!$K$2:$K$151,$AB338)="",2958101,INDEX(Contracts!$K$2:$K$151,$AB338)),0)),IF($Z338="A",EDATE(DATE(YEAR(INDEX(Fixed_Assets!$G$2:$G$201,$AB338)),MONTH(INDEX(Fixed_Assets!$G$2:$G$201,$AB338)),1),INDEX(Fixed_Assets!$J$2:$J$201,$AB338)-1),IF($Z338="F",MIN(IF(INDEX(Workforce!$J$2:$J$151,MATCH(INDEX(FTE_Allocation!$A$2:$A$201,$AB338),Workforce!$A$2:$A$151,0))="",2958101,INDEX(Workforce!$J$2:$J$151,MATCH(INDEX(FTE_Allocation!$A$2:$A$201,$AB338),Workforce!$A$2:$A$151,0))),IF(INDEX(FTE_Allocation!$J$2:$J$201,$AB338)="",2958101,INDEX(FTE_Allocation!$J$2:$J$201,$AB338))),"")))</f>
        <v/>
      </c>
      <c r="AG338" s="19">
        <f>IF($Z338="C",IF(INDEX(Contracts!$I$2:$I$151,$AB338)="PREPAID",INDEX(Contracts!$M$2:$M$151,$AB338)/IF(INDEX(Contracts!$N$2:$N$151,$AB338)="",12,INDEX(Contracts!$N$2:$N$151,$AB338)),IF(INDEX(Contracts!$I$2:$I$151,$AB338)="MONTHLY",INDEX(Contracts!$M$2:$M$151,$AB338),0))*(1-N(INDEX(Contracts!$O$2:$O$151,$AB338))),IF($Z338="A",INDEX(Fixed_Assets!$H$2:$H$201,$AB338)/INDEX(Fixed_Assets!$J$2:$J$201,$AB338),IF($Z338="F",INDEX(Workforce!$F$2:$F$151,MATCH(INDEX(FTE_Allocation!$A$2:$A$201,$AB338),Workforce!$A$2:$A$151,0))*N(INDEX(FTE_Allocation!$F$2:$H$201,$AB338,$AC338)),"")))</f>
        <v/>
      </c>
    </row>
    <row r="339">
      <c r="A339" s="7">
        <f>IF($Z339="","",$AD339)</f>
        <v/>
      </c>
      <c r="B339" s="7">
        <f>IF($Z339="C",INDEX(Contracts!$D$2:$D$151,$AB339)&amp;"",IF($Z339="A",INDEX(Fixed_Assets!$C$2:$C$201,$AB339)&amp;"",IF($Z339="F",INDEX(Workforce!$B$2:$B$151,MATCH(INDEX(FTE_Allocation!$A$2:$A$201,$AB339),Workforce!$A$2:$A$151,0))&amp;"","")))</f>
        <v/>
      </c>
      <c r="C339" s="7">
        <f>IF($Z339="C",INDEX(Contracts!$E$2:$E$151,$AB339)&amp;"",IF($Z339="A",INDEX(Fixed_Assets!$D$2:$D$201,$AB339)&amp;"",IF($Z339="F",INDEX(FTE_Allocation!$C$2:$C$201,$AB339)&amp;"","")))</f>
        <v/>
      </c>
      <c r="D339" s="7">
        <f>IF($Z339="C",INDEX(Contracts!$B$2:$B$151,$AB339)&amp;"",IF($Z339="A",INDEX(Fixed_Assets!$B$2:$B$201,$AB339)&amp;"",IF($Z339="F",INDEX(FTE_Allocation!$B$2:$B$201,$AB339)&amp;"","")))</f>
        <v/>
      </c>
      <c r="E339" s="7">
        <f>IF($Z339="C",INDEX(Contracts!$P$2:$P$151,$AB339)&amp;"",IF($Z339="A",INDEX(Fixed_Assets!$K$2:$K$201,$AB339)&amp;"",IF($Z339="F",IF(INDEX(FTE_Allocation!$D$2:$D$201,$AB339)="PROJECT",IFERROR(INDEX(Projects!$D:$D,MATCH(INDEX(FTE_Allocation!$E$2:$E$201,$AB339),Projects!$A:$A,0))&amp;"","#PROJECT?"),INDEX(FTE_Allocation!$E$2:$E$201,$AB339)&amp;""),"")))</f>
        <v/>
      </c>
      <c r="F339" s="7">
        <f>IF($Z339="C",INDEX(Contracts!$Q$2:$Q$151,$AB339)&amp;"",IF($Z339="A",INDEX(Fixed_Assets!$L$2:$L$201,$AB339)&amp;"",IF($Z339="F",INDEX(Workforce!$K$2:$K$151,MATCH(INDEX(FTE_Allocation!$A$2:$A$201,$AB339),Workforce!$A$2:$A$151,0))&amp;"","")))</f>
        <v/>
      </c>
      <c r="G339" s="7">
        <f>IF($Z339="C",INDEX(Contracts!$F$2:$F$151,$AB339)&amp;" / "&amp;INDEX(Contracts!$G$2:$G$151,$AB339),IF($Z339="A",INDEX(Fixed_Assets!$E$2:$E$201,$AB339)&amp;"",IF($Z339="F","Personnel "&amp;INDEX(FTE_Allocation!$A$2:$A$201,$AB339)&amp;IF(INDEX(FTE_Allocation!$D$2:$D$201,$AB339)="PROJECT"," ("&amp;INDEX(FTE_Allocation!$E$2:$E$201,$AB339)&amp;")",""),"")))</f>
        <v/>
      </c>
      <c r="H339" s="7">
        <f>IF($Z339="C","CONTRACT",IF($Z339="A","ASSET",IF($Z339="F","WORKFORCE","")))</f>
        <v/>
      </c>
      <c r="I339" s="7">
        <f>IF($Z339="C",INDEX(Contracts!$L$2:$L$151,$AB339)&amp;"",IF($Z339="A",INDEX(Fixed_Assets!$I$2:$I$201,$AB339)&amp;"",IF($Z339="F",INDEX(Workforce!$G$2:$G$151,MATCH(INDEX(FTE_Allocation!$A$2:$A$201,$AB339),Workforce!$A$2:$A$151,0))&amp;"","")))</f>
        <v/>
      </c>
      <c r="J339" s="18">
        <f>IF($Z339="","",IF(AND(DATE($AD339,1,1)&gt;=$AE339,DATE($AD339,1,1)&lt;=$AF339),ROUND($AG339,2),0))</f>
        <v/>
      </c>
      <c r="K339" s="18">
        <f>IF($Z339="","",IF(AND(DATE($AD339,2,1)&gt;=$AE339,DATE($AD339,2,1)&lt;=$AF339),ROUND($AG339,2),0))</f>
        <v/>
      </c>
      <c r="L339" s="18">
        <f>IF($Z339="","",IF(AND(DATE($AD339,3,1)&gt;=$AE339,DATE($AD339,3,1)&lt;=$AF339),ROUND($AG339,2),0))</f>
        <v/>
      </c>
      <c r="M339" s="18">
        <f>IF($Z339="","",IF(AND(DATE($AD339,4,1)&gt;=$AE339,DATE($AD339,4,1)&lt;=$AF339),ROUND($AG339,2),0))</f>
        <v/>
      </c>
      <c r="N339" s="18">
        <f>IF($Z339="","",IF(AND(DATE($AD339,5,1)&gt;=$AE339,DATE($AD339,5,1)&lt;=$AF339),ROUND($AG339,2),0))</f>
        <v/>
      </c>
      <c r="O339" s="18">
        <f>IF($Z339="","",IF(AND(DATE($AD339,6,1)&gt;=$AE339,DATE($AD339,6,1)&lt;=$AF339),ROUND($AG339,2),0))</f>
        <v/>
      </c>
      <c r="P339" s="18">
        <f>IF($Z339="","",IF(AND(DATE($AD339,7,1)&gt;=$AE339,DATE($AD339,7,1)&lt;=$AF339),ROUND($AG339,2),0))</f>
        <v/>
      </c>
      <c r="Q339" s="18">
        <f>IF($Z339="","",IF(AND(DATE($AD339,8,1)&gt;=$AE339,DATE($AD339,8,1)&lt;=$AF339),ROUND($AG339,2),0))</f>
        <v/>
      </c>
      <c r="R339" s="18">
        <f>IF($Z339="","",IF(AND(DATE($AD339,9,1)&gt;=$AE339,DATE($AD339,9,1)&lt;=$AF339),ROUND($AG339,2),0))</f>
        <v/>
      </c>
      <c r="S339" s="18">
        <f>IF($Z339="","",IF(AND(DATE($AD339,10,1)&gt;=$AE339,DATE($AD339,10,1)&lt;=$AF339),ROUND($AG339,2),0))</f>
        <v/>
      </c>
      <c r="T339" s="18">
        <f>IF($Z339="","",IF(AND(DATE($AD339,11,1)&gt;=$AE339,DATE($AD339,11,1)&lt;=$AF339),ROUND($AG339,2),0))</f>
        <v/>
      </c>
      <c r="U339" s="18">
        <f>IF($Z339="","",IF(AND(DATE($AD339,12,1)&gt;=$AE339,DATE($AD339,12,1)&lt;=$AF339),ROUND($AG339,2),0))</f>
        <v/>
      </c>
      <c r="V339" s="7">
        <f>IF($Z339="C","Generated from "&amp;INDEX(Contracts!$A$2:$A$151,$AB339),IF($Z339="A","Generated from "&amp;INDEX(Fixed_Assets!$A$2:$A$201,$AB339),IF($Z339="F","Generated from "&amp;INDEX(FTE_Allocation!$A$2:$A$201,$AB339),"")))</f>
        <v/>
      </c>
      <c r="X339" s="19">
        <f>IF($Z339="","",SUM(J339:U339))</f>
        <v/>
      </c>
      <c r="Y339" s="20">
        <f>ROW()-1</f>
        <v/>
      </c>
      <c r="Z339" s="20">
        <f>IF($Y339&lt;=Settings!$B$4*3,"C",IF($Y339&lt;=(Settings!$B$4+Settings!$B$5)*3,"A",IF($Y339&lt;=(Settings!$B$4+Settings!$B$5+Settings!$B$6)*3,"F","")))</f>
        <v/>
      </c>
      <c r="AA339" s="20">
        <f>IF($Z339="C",$Y339,IF($Z339="A",$Y339-Settings!$B$4*3,IF($Z339="F",$Y339-(Settings!$B$4+Settings!$B$5)*3,"")))</f>
        <v/>
      </c>
      <c r="AB339" s="20">
        <f>IF($Z339="","",INT(($AA339-1)/3)+1)</f>
        <v/>
      </c>
      <c r="AC339" s="20">
        <f>IF($Z339="","",MOD($AA339-1,3)+1)</f>
        <v/>
      </c>
      <c r="AD339" s="20">
        <f>IF($Z339="","",Settings!$B$2+$AC339-1)</f>
        <v/>
      </c>
      <c r="AE339" s="21">
        <f>IF($Z339="C",DATE(YEAR(INDEX(Contracts!$J$2:$J$151,$AB339)),MONTH(INDEX(Contracts!$J$2:$J$151,$AB339)),1),IF($Z339="A",DATE(YEAR(INDEX(Fixed_Assets!$G$2:$G$201,$AB339)),MONTH(INDEX(Fixed_Assets!$G$2:$G$201,$AB339)),1),IF($Z339="F",DATE(YEAR(MAX(N(INDEX(Workforce!$I$2:$I$151,MATCH(INDEX(FTE_Allocation!$A$2:$A$201,$AB339),Workforce!$A$2:$A$151,0))),N(INDEX(FTE_Allocation!$I$2:$I$201,$AB339)))),MONTH(MAX(N(INDEX(Workforce!$I$2:$I$151,MATCH(INDEX(FTE_Allocation!$A$2:$A$201,$AB339),Workforce!$A$2:$A$151,0))),N(INDEX(FTE_Allocation!$I$2:$I$201,$AB339)))),1),"")))</f>
        <v/>
      </c>
      <c r="AF339" s="21">
        <f>IF($Z339="C",IF(INDEX(Contracts!$I$2:$I$151,$AB339)="PREPAID",EDATE(DATE(YEAR(INDEX(Contracts!$J$2:$J$151,$AB339)),MONTH(INDEX(Contracts!$J$2:$J$151,$AB339)),1),IF(INDEX(Contracts!$N$2:$N$151,$AB339)="",12,INDEX(Contracts!$N$2:$N$151,$AB339))-1),IF(INDEX(Contracts!$I$2:$I$151,$AB339)="MONTHLY",IF(INDEX(Contracts!$K$2:$K$151,$AB339)="",2958101,INDEX(Contracts!$K$2:$K$151,$AB339)),0)),IF($Z339="A",EDATE(DATE(YEAR(INDEX(Fixed_Assets!$G$2:$G$201,$AB339)),MONTH(INDEX(Fixed_Assets!$G$2:$G$201,$AB339)),1),INDEX(Fixed_Assets!$J$2:$J$201,$AB339)-1),IF($Z339="F",MIN(IF(INDEX(Workforce!$J$2:$J$151,MATCH(INDEX(FTE_Allocation!$A$2:$A$201,$AB339),Workforce!$A$2:$A$151,0))="",2958101,INDEX(Workforce!$J$2:$J$151,MATCH(INDEX(FTE_Allocation!$A$2:$A$201,$AB339),Workforce!$A$2:$A$151,0))),IF(INDEX(FTE_Allocation!$J$2:$J$201,$AB339)="",2958101,INDEX(FTE_Allocation!$J$2:$J$201,$AB339))),"")))</f>
        <v/>
      </c>
      <c r="AG339" s="19">
        <f>IF($Z339="C",IF(INDEX(Contracts!$I$2:$I$151,$AB339)="PREPAID",INDEX(Contracts!$M$2:$M$151,$AB339)/IF(INDEX(Contracts!$N$2:$N$151,$AB339)="",12,INDEX(Contracts!$N$2:$N$151,$AB339)),IF(INDEX(Contracts!$I$2:$I$151,$AB339)="MONTHLY",INDEX(Contracts!$M$2:$M$151,$AB339),0))*(1-N(INDEX(Contracts!$O$2:$O$151,$AB339))),IF($Z339="A",INDEX(Fixed_Assets!$H$2:$H$201,$AB339)/INDEX(Fixed_Assets!$J$2:$J$201,$AB339),IF($Z339="F",INDEX(Workforce!$F$2:$F$151,MATCH(INDEX(FTE_Allocation!$A$2:$A$201,$AB339),Workforce!$A$2:$A$151,0))*N(INDEX(FTE_Allocation!$F$2:$H$201,$AB339,$AC339)),"")))</f>
        <v/>
      </c>
    </row>
    <row r="340">
      <c r="A340" s="7">
        <f>IF($Z340="","",$AD340)</f>
        <v/>
      </c>
      <c r="B340" s="7">
        <f>IF($Z340="C",INDEX(Contracts!$D$2:$D$151,$AB340)&amp;"",IF($Z340="A",INDEX(Fixed_Assets!$C$2:$C$201,$AB340)&amp;"",IF($Z340="F",INDEX(Workforce!$B$2:$B$151,MATCH(INDEX(FTE_Allocation!$A$2:$A$201,$AB340),Workforce!$A$2:$A$151,0))&amp;"","")))</f>
        <v/>
      </c>
      <c r="C340" s="7">
        <f>IF($Z340="C",INDEX(Contracts!$E$2:$E$151,$AB340)&amp;"",IF($Z340="A",INDEX(Fixed_Assets!$D$2:$D$201,$AB340)&amp;"",IF($Z340="F",INDEX(FTE_Allocation!$C$2:$C$201,$AB340)&amp;"","")))</f>
        <v/>
      </c>
      <c r="D340" s="7">
        <f>IF($Z340="C",INDEX(Contracts!$B$2:$B$151,$AB340)&amp;"",IF($Z340="A",INDEX(Fixed_Assets!$B$2:$B$201,$AB340)&amp;"",IF($Z340="F",INDEX(FTE_Allocation!$B$2:$B$201,$AB340)&amp;"","")))</f>
        <v/>
      </c>
      <c r="E340" s="7">
        <f>IF($Z340="C",INDEX(Contracts!$P$2:$P$151,$AB340)&amp;"",IF($Z340="A",INDEX(Fixed_Assets!$K$2:$K$201,$AB340)&amp;"",IF($Z340="F",IF(INDEX(FTE_Allocation!$D$2:$D$201,$AB340)="PROJECT",IFERROR(INDEX(Projects!$D:$D,MATCH(INDEX(FTE_Allocation!$E$2:$E$201,$AB340),Projects!$A:$A,0))&amp;"","#PROJECT?"),INDEX(FTE_Allocation!$E$2:$E$201,$AB340)&amp;""),"")))</f>
        <v/>
      </c>
      <c r="F340" s="7">
        <f>IF($Z340="C",INDEX(Contracts!$Q$2:$Q$151,$AB340)&amp;"",IF($Z340="A",INDEX(Fixed_Assets!$L$2:$L$201,$AB340)&amp;"",IF($Z340="F",INDEX(Workforce!$K$2:$K$151,MATCH(INDEX(FTE_Allocation!$A$2:$A$201,$AB340),Workforce!$A$2:$A$151,0))&amp;"","")))</f>
        <v/>
      </c>
      <c r="G340" s="7">
        <f>IF($Z340="C",INDEX(Contracts!$F$2:$F$151,$AB340)&amp;" / "&amp;INDEX(Contracts!$G$2:$G$151,$AB340),IF($Z340="A",INDEX(Fixed_Assets!$E$2:$E$201,$AB340)&amp;"",IF($Z340="F","Personnel "&amp;INDEX(FTE_Allocation!$A$2:$A$201,$AB340)&amp;IF(INDEX(FTE_Allocation!$D$2:$D$201,$AB340)="PROJECT"," ("&amp;INDEX(FTE_Allocation!$E$2:$E$201,$AB340)&amp;")",""),"")))</f>
        <v/>
      </c>
      <c r="H340" s="7">
        <f>IF($Z340="C","CONTRACT",IF($Z340="A","ASSET",IF($Z340="F","WORKFORCE","")))</f>
        <v/>
      </c>
      <c r="I340" s="7">
        <f>IF($Z340="C",INDEX(Contracts!$L$2:$L$151,$AB340)&amp;"",IF($Z340="A",INDEX(Fixed_Assets!$I$2:$I$201,$AB340)&amp;"",IF($Z340="F",INDEX(Workforce!$G$2:$G$151,MATCH(INDEX(FTE_Allocation!$A$2:$A$201,$AB340),Workforce!$A$2:$A$151,0))&amp;"","")))</f>
        <v/>
      </c>
      <c r="J340" s="18">
        <f>IF($Z340="","",IF(AND(DATE($AD340,1,1)&gt;=$AE340,DATE($AD340,1,1)&lt;=$AF340),ROUND($AG340,2),0))</f>
        <v/>
      </c>
      <c r="K340" s="18">
        <f>IF($Z340="","",IF(AND(DATE($AD340,2,1)&gt;=$AE340,DATE($AD340,2,1)&lt;=$AF340),ROUND($AG340,2),0))</f>
        <v/>
      </c>
      <c r="L340" s="18">
        <f>IF($Z340="","",IF(AND(DATE($AD340,3,1)&gt;=$AE340,DATE($AD340,3,1)&lt;=$AF340),ROUND($AG340,2),0))</f>
        <v/>
      </c>
      <c r="M340" s="18">
        <f>IF($Z340="","",IF(AND(DATE($AD340,4,1)&gt;=$AE340,DATE($AD340,4,1)&lt;=$AF340),ROUND($AG340,2),0))</f>
        <v/>
      </c>
      <c r="N340" s="18">
        <f>IF($Z340="","",IF(AND(DATE($AD340,5,1)&gt;=$AE340,DATE($AD340,5,1)&lt;=$AF340),ROUND($AG340,2),0))</f>
        <v/>
      </c>
      <c r="O340" s="18">
        <f>IF($Z340="","",IF(AND(DATE($AD340,6,1)&gt;=$AE340,DATE($AD340,6,1)&lt;=$AF340),ROUND($AG340,2),0))</f>
        <v/>
      </c>
      <c r="P340" s="18">
        <f>IF($Z340="","",IF(AND(DATE($AD340,7,1)&gt;=$AE340,DATE($AD340,7,1)&lt;=$AF340),ROUND($AG340,2),0))</f>
        <v/>
      </c>
      <c r="Q340" s="18">
        <f>IF($Z340="","",IF(AND(DATE($AD340,8,1)&gt;=$AE340,DATE($AD340,8,1)&lt;=$AF340),ROUND($AG340,2),0))</f>
        <v/>
      </c>
      <c r="R340" s="18">
        <f>IF($Z340="","",IF(AND(DATE($AD340,9,1)&gt;=$AE340,DATE($AD340,9,1)&lt;=$AF340),ROUND($AG340,2),0))</f>
        <v/>
      </c>
      <c r="S340" s="18">
        <f>IF($Z340="","",IF(AND(DATE($AD340,10,1)&gt;=$AE340,DATE($AD340,10,1)&lt;=$AF340),ROUND($AG340,2),0))</f>
        <v/>
      </c>
      <c r="T340" s="18">
        <f>IF($Z340="","",IF(AND(DATE($AD340,11,1)&gt;=$AE340,DATE($AD340,11,1)&lt;=$AF340),ROUND($AG340,2),0))</f>
        <v/>
      </c>
      <c r="U340" s="18">
        <f>IF($Z340="","",IF(AND(DATE($AD340,12,1)&gt;=$AE340,DATE($AD340,12,1)&lt;=$AF340),ROUND($AG340,2),0))</f>
        <v/>
      </c>
      <c r="V340" s="7">
        <f>IF($Z340="C","Generated from "&amp;INDEX(Contracts!$A$2:$A$151,$AB340),IF($Z340="A","Generated from "&amp;INDEX(Fixed_Assets!$A$2:$A$201,$AB340),IF($Z340="F","Generated from "&amp;INDEX(FTE_Allocation!$A$2:$A$201,$AB340),"")))</f>
        <v/>
      </c>
      <c r="X340" s="19">
        <f>IF($Z340="","",SUM(J340:U340))</f>
        <v/>
      </c>
      <c r="Y340" s="20">
        <f>ROW()-1</f>
        <v/>
      </c>
      <c r="Z340" s="20">
        <f>IF($Y340&lt;=Settings!$B$4*3,"C",IF($Y340&lt;=(Settings!$B$4+Settings!$B$5)*3,"A",IF($Y340&lt;=(Settings!$B$4+Settings!$B$5+Settings!$B$6)*3,"F","")))</f>
        <v/>
      </c>
      <c r="AA340" s="20">
        <f>IF($Z340="C",$Y340,IF($Z340="A",$Y340-Settings!$B$4*3,IF($Z340="F",$Y340-(Settings!$B$4+Settings!$B$5)*3,"")))</f>
        <v/>
      </c>
      <c r="AB340" s="20">
        <f>IF($Z340="","",INT(($AA340-1)/3)+1)</f>
        <v/>
      </c>
      <c r="AC340" s="20">
        <f>IF($Z340="","",MOD($AA340-1,3)+1)</f>
        <v/>
      </c>
      <c r="AD340" s="20">
        <f>IF($Z340="","",Settings!$B$2+$AC340-1)</f>
        <v/>
      </c>
      <c r="AE340" s="21">
        <f>IF($Z340="C",DATE(YEAR(INDEX(Contracts!$J$2:$J$151,$AB340)),MONTH(INDEX(Contracts!$J$2:$J$151,$AB340)),1),IF($Z340="A",DATE(YEAR(INDEX(Fixed_Assets!$G$2:$G$201,$AB340)),MONTH(INDEX(Fixed_Assets!$G$2:$G$201,$AB340)),1),IF($Z340="F",DATE(YEAR(MAX(N(INDEX(Workforce!$I$2:$I$151,MATCH(INDEX(FTE_Allocation!$A$2:$A$201,$AB340),Workforce!$A$2:$A$151,0))),N(INDEX(FTE_Allocation!$I$2:$I$201,$AB340)))),MONTH(MAX(N(INDEX(Workforce!$I$2:$I$151,MATCH(INDEX(FTE_Allocation!$A$2:$A$201,$AB340),Workforce!$A$2:$A$151,0))),N(INDEX(FTE_Allocation!$I$2:$I$201,$AB340)))),1),"")))</f>
        <v/>
      </c>
      <c r="AF340" s="21">
        <f>IF($Z340="C",IF(INDEX(Contracts!$I$2:$I$151,$AB340)="PREPAID",EDATE(DATE(YEAR(INDEX(Contracts!$J$2:$J$151,$AB340)),MONTH(INDEX(Contracts!$J$2:$J$151,$AB340)),1),IF(INDEX(Contracts!$N$2:$N$151,$AB340)="",12,INDEX(Contracts!$N$2:$N$151,$AB340))-1),IF(INDEX(Contracts!$I$2:$I$151,$AB340)="MONTHLY",IF(INDEX(Contracts!$K$2:$K$151,$AB340)="",2958101,INDEX(Contracts!$K$2:$K$151,$AB340)),0)),IF($Z340="A",EDATE(DATE(YEAR(INDEX(Fixed_Assets!$G$2:$G$201,$AB340)),MONTH(INDEX(Fixed_Assets!$G$2:$G$201,$AB340)),1),INDEX(Fixed_Assets!$J$2:$J$201,$AB340)-1),IF($Z340="F",MIN(IF(INDEX(Workforce!$J$2:$J$151,MATCH(INDEX(FTE_Allocation!$A$2:$A$201,$AB340),Workforce!$A$2:$A$151,0))="",2958101,INDEX(Workforce!$J$2:$J$151,MATCH(INDEX(FTE_Allocation!$A$2:$A$201,$AB340),Workforce!$A$2:$A$151,0))),IF(INDEX(FTE_Allocation!$J$2:$J$201,$AB340)="",2958101,INDEX(FTE_Allocation!$J$2:$J$201,$AB340))),"")))</f>
        <v/>
      </c>
      <c r="AG340" s="19">
        <f>IF($Z340="C",IF(INDEX(Contracts!$I$2:$I$151,$AB340)="PREPAID",INDEX(Contracts!$M$2:$M$151,$AB340)/IF(INDEX(Contracts!$N$2:$N$151,$AB340)="",12,INDEX(Contracts!$N$2:$N$151,$AB340)),IF(INDEX(Contracts!$I$2:$I$151,$AB340)="MONTHLY",INDEX(Contracts!$M$2:$M$151,$AB340),0))*(1-N(INDEX(Contracts!$O$2:$O$151,$AB340))),IF($Z340="A",INDEX(Fixed_Assets!$H$2:$H$201,$AB340)/INDEX(Fixed_Assets!$J$2:$J$201,$AB340),IF($Z340="F",INDEX(Workforce!$F$2:$F$151,MATCH(INDEX(FTE_Allocation!$A$2:$A$201,$AB340),Workforce!$A$2:$A$151,0))*N(INDEX(FTE_Allocation!$F$2:$H$201,$AB340,$AC340)),"")))</f>
        <v/>
      </c>
    </row>
    <row r="341">
      <c r="A341" s="7">
        <f>IF($Z341="","",$AD341)</f>
        <v/>
      </c>
      <c r="B341" s="7">
        <f>IF($Z341="C",INDEX(Contracts!$D$2:$D$151,$AB341)&amp;"",IF($Z341="A",INDEX(Fixed_Assets!$C$2:$C$201,$AB341)&amp;"",IF($Z341="F",INDEX(Workforce!$B$2:$B$151,MATCH(INDEX(FTE_Allocation!$A$2:$A$201,$AB341),Workforce!$A$2:$A$151,0))&amp;"","")))</f>
        <v/>
      </c>
      <c r="C341" s="7">
        <f>IF($Z341="C",INDEX(Contracts!$E$2:$E$151,$AB341)&amp;"",IF($Z341="A",INDEX(Fixed_Assets!$D$2:$D$201,$AB341)&amp;"",IF($Z341="F",INDEX(FTE_Allocation!$C$2:$C$201,$AB341)&amp;"","")))</f>
        <v/>
      </c>
      <c r="D341" s="7">
        <f>IF($Z341="C",INDEX(Contracts!$B$2:$B$151,$AB341)&amp;"",IF($Z341="A",INDEX(Fixed_Assets!$B$2:$B$201,$AB341)&amp;"",IF($Z341="F",INDEX(FTE_Allocation!$B$2:$B$201,$AB341)&amp;"","")))</f>
        <v/>
      </c>
      <c r="E341" s="7">
        <f>IF($Z341="C",INDEX(Contracts!$P$2:$P$151,$AB341)&amp;"",IF($Z341="A",INDEX(Fixed_Assets!$K$2:$K$201,$AB341)&amp;"",IF($Z341="F",IF(INDEX(FTE_Allocation!$D$2:$D$201,$AB341)="PROJECT",IFERROR(INDEX(Projects!$D:$D,MATCH(INDEX(FTE_Allocation!$E$2:$E$201,$AB341),Projects!$A:$A,0))&amp;"","#PROJECT?"),INDEX(FTE_Allocation!$E$2:$E$201,$AB341)&amp;""),"")))</f>
        <v/>
      </c>
      <c r="F341" s="7">
        <f>IF($Z341="C",INDEX(Contracts!$Q$2:$Q$151,$AB341)&amp;"",IF($Z341="A",INDEX(Fixed_Assets!$L$2:$L$201,$AB341)&amp;"",IF($Z341="F",INDEX(Workforce!$K$2:$K$151,MATCH(INDEX(FTE_Allocation!$A$2:$A$201,$AB341),Workforce!$A$2:$A$151,0))&amp;"","")))</f>
        <v/>
      </c>
      <c r="G341" s="7">
        <f>IF($Z341="C",INDEX(Contracts!$F$2:$F$151,$AB341)&amp;" / "&amp;INDEX(Contracts!$G$2:$G$151,$AB341),IF($Z341="A",INDEX(Fixed_Assets!$E$2:$E$201,$AB341)&amp;"",IF($Z341="F","Personnel "&amp;INDEX(FTE_Allocation!$A$2:$A$201,$AB341)&amp;IF(INDEX(FTE_Allocation!$D$2:$D$201,$AB341)="PROJECT"," ("&amp;INDEX(FTE_Allocation!$E$2:$E$201,$AB341)&amp;")",""),"")))</f>
        <v/>
      </c>
      <c r="H341" s="7">
        <f>IF($Z341="C","CONTRACT",IF($Z341="A","ASSET",IF($Z341="F","WORKFORCE","")))</f>
        <v/>
      </c>
      <c r="I341" s="7">
        <f>IF($Z341="C",INDEX(Contracts!$L$2:$L$151,$AB341)&amp;"",IF($Z341="A",INDEX(Fixed_Assets!$I$2:$I$201,$AB341)&amp;"",IF($Z341="F",INDEX(Workforce!$G$2:$G$151,MATCH(INDEX(FTE_Allocation!$A$2:$A$201,$AB341),Workforce!$A$2:$A$151,0))&amp;"","")))</f>
        <v/>
      </c>
      <c r="J341" s="18">
        <f>IF($Z341="","",IF(AND(DATE($AD341,1,1)&gt;=$AE341,DATE($AD341,1,1)&lt;=$AF341),ROUND($AG341,2),0))</f>
        <v/>
      </c>
      <c r="K341" s="18">
        <f>IF($Z341="","",IF(AND(DATE($AD341,2,1)&gt;=$AE341,DATE($AD341,2,1)&lt;=$AF341),ROUND($AG341,2),0))</f>
        <v/>
      </c>
      <c r="L341" s="18">
        <f>IF($Z341="","",IF(AND(DATE($AD341,3,1)&gt;=$AE341,DATE($AD341,3,1)&lt;=$AF341),ROUND($AG341,2),0))</f>
        <v/>
      </c>
      <c r="M341" s="18">
        <f>IF($Z341="","",IF(AND(DATE($AD341,4,1)&gt;=$AE341,DATE($AD341,4,1)&lt;=$AF341),ROUND($AG341,2),0))</f>
        <v/>
      </c>
      <c r="N341" s="18">
        <f>IF($Z341="","",IF(AND(DATE($AD341,5,1)&gt;=$AE341,DATE($AD341,5,1)&lt;=$AF341),ROUND($AG341,2),0))</f>
        <v/>
      </c>
      <c r="O341" s="18">
        <f>IF($Z341="","",IF(AND(DATE($AD341,6,1)&gt;=$AE341,DATE($AD341,6,1)&lt;=$AF341),ROUND($AG341,2),0))</f>
        <v/>
      </c>
      <c r="P341" s="18">
        <f>IF($Z341="","",IF(AND(DATE($AD341,7,1)&gt;=$AE341,DATE($AD341,7,1)&lt;=$AF341),ROUND($AG341,2),0))</f>
        <v/>
      </c>
      <c r="Q341" s="18">
        <f>IF($Z341="","",IF(AND(DATE($AD341,8,1)&gt;=$AE341,DATE($AD341,8,1)&lt;=$AF341),ROUND($AG341,2),0))</f>
        <v/>
      </c>
      <c r="R341" s="18">
        <f>IF($Z341="","",IF(AND(DATE($AD341,9,1)&gt;=$AE341,DATE($AD341,9,1)&lt;=$AF341),ROUND($AG341,2),0))</f>
        <v/>
      </c>
      <c r="S341" s="18">
        <f>IF($Z341="","",IF(AND(DATE($AD341,10,1)&gt;=$AE341,DATE($AD341,10,1)&lt;=$AF341),ROUND($AG341,2),0))</f>
        <v/>
      </c>
      <c r="T341" s="18">
        <f>IF($Z341="","",IF(AND(DATE($AD341,11,1)&gt;=$AE341,DATE($AD341,11,1)&lt;=$AF341),ROUND($AG341,2),0))</f>
        <v/>
      </c>
      <c r="U341" s="18">
        <f>IF($Z341="","",IF(AND(DATE($AD341,12,1)&gt;=$AE341,DATE($AD341,12,1)&lt;=$AF341),ROUND($AG341,2),0))</f>
        <v/>
      </c>
      <c r="V341" s="7">
        <f>IF($Z341="C","Generated from "&amp;INDEX(Contracts!$A$2:$A$151,$AB341),IF($Z341="A","Generated from "&amp;INDEX(Fixed_Assets!$A$2:$A$201,$AB341),IF($Z341="F","Generated from "&amp;INDEX(FTE_Allocation!$A$2:$A$201,$AB341),"")))</f>
        <v/>
      </c>
      <c r="X341" s="19">
        <f>IF($Z341="","",SUM(J341:U341))</f>
        <v/>
      </c>
      <c r="Y341" s="20">
        <f>ROW()-1</f>
        <v/>
      </c>
      <c r="Z341" s="20">
        <f>IF($Y341&lt;=Settings!$B$4*3,"C",IF($Y341&lt;=(Settings!$B$4+Settings!$B$5)*3,"A",IF($Y341&lt;=(Settings!$B$4+Settings!$B$5+Settings!$B$6)*3,"F","")))</f>
        <v/>
      </c>
      <c r="AA341" s="20">
        <f>IF($Z341="C",$Y341,IF($Z341="A",$Y341-Settings!$B$4*3,IF($Z341="F",$Y341-(Settings!$B$4+Settings!$B$5)*3,"")))</f>
        <v/>
      </c>
      <c r="AB341" s="20">
        <f>IF($Z341="","",INT(($AA341-1)/3)+1)</f>
        <v/>
      </c>
      <c r="AC341" s="20">
        <f>IF($Z341="","",MOD($AA341-1,3)+1)</f>
        <v/>
      </c>
      <c r="AD341" s="20">
        <f>IF($Z341="","",Settings!$B$2+$AC341-1)</f>
        <v/>
      </c>
      <c r="AE341" s="21">
        <f>IF($Z341="C",DATE(YEAR(INDEX(Contracts!$J$2:$J$151,$AB341)),MONTH(INDEX(Contracts!$J$2:$J$151,$AB341)),1),IF($Z341="A",DATE(YEAR(INDEX(Fixed_Assets!$G$2:$G$201,$AB341)),MONTH(INDEX(Fixed_Assets!$G$2:$G$201,$AB341)),1),IF($Z341="F",DATE(YEAR(MAX(N(INDEX(Workforce!$I$2:$I$151,MATCH(INDEX(FTE_Allocation!$A$2:$A$201,$AB341),Workforce!$A$2:$A$151,0))),N(INDEX(FTE_Allocation!$I$2:$I$201,$AB341)))),MONTH(MAX(N(INDEX(Workforce!$I$2:$I$151,MATCH(INDEX(FTE_Allocation!$A$2:$A$201,$AB341),Workforce!$A$2:$A$151,0))),N(INDEX(FTE_Allocation!$I$2:$I$201,$AB341)))),1),"")))</f>
        <v/>
      </c>
      <c r="AF341" s="21">
        <f>IF($Z341="C",IF(INDEX(Contracts!$I$2:$I$151,$AB341)="PREPAID",EDATE(DATE(YEAR(INDEX(Contracts!$J$2:$J$151,$AB341)),MONTH(INDEX(Contracts!$J$2:$J$151,$AB341)),1),IF(INDEX(Contracts!$N$2:$N$151,$AB341)="",12,INDEX(Contracts!$N$2:$N$151,$AB341))-1),IF(INDEX(Contracts!$I$2:$I$151,$AB341)="MONTHLY",IF(INDEX(Contracts!$K$2:$K$151,$AB341)="",2958101,INDEX(Contracts!$K$2:$K$151,$AB341)),0)),IF($Z341="A",EDATE(DATE(YEAR(INDEX(Fixed_Assets!$G$2:$G$201,$AB341)),MONTH(INDEX(Fixed_Assets!$G$2:$G$201,$AB341)),1),INDEX(Fixed_Assets!$J$2:$J$201,$AB341)-1),IF($Z341="F",MIN(IF(INDEX(Workforce!$J$2:$J$151,MATCH(INDEX(FTE_Allocation!$A$2:$A$201,$AB341),Workforce!$A$2:$A$151,0))="",2958101,INDEX(Workforce!$J$2:$J$151,MATCH(INDEX(FTE_Allocation!$A$2:$A$201,$AB341),Workforce!$A$2:$A$151,0))),IF(INDEX(FTE_Allocation!$J$2:$J$201,$AB341)="",2958101,INDEX(FTE_Allocation!$J$2:$J$201,$AB341))),"")))</f>
        <v/>
      </c>
      <c r="AG341" s="19">
        <f>IF($Z341="C",IF(INDEX(Contracts!$I$2:$I$151,$AB341)="PREPAID",INDEX(Contracts!$M$2:$M$151,$AB341)/IF(INDEX(Contracts!$N$2:$N$151,$AB341)="",12,INDEX(Contracts!$N$2:$N$151,$AB341)),IF(INDEX(Contracts!$I$2:$I$151,$AB341)="MONTHLY",INDEX(Contracts!$M$2:$M$151,$AB341),0))*(1-N(INDEX(Contracts!$O$2:$O$151,$AB341))),IF($Z341="A",INDEX(Fixed_Assets!$H$2:$H$201,$AB341)/INDEX(Fixed_Assets!$J$2:$J$201,$AB341),IF($Z341="F",INDEX(Workforce!$F$2:$F$151,MATCH(INDEX(FTE_Allocation!$A$2:$A$201,$AB341),Workforce!$A$2:$A$151,0))*N(INDEX(FTE_Allocation!$F$2:$H$201,$AB341,$AC341)),"")))</f>
        <v/>
      </c>
    </row>
    <row r="342">
      <c r="A342" s="7">
        <f>IF($Z342="","",$AD342)</f>
        <v/>
      </c>
      <c r="B342" s="7">
        <f>IF($Z342="C",INDEX(Contracts!$D$2:$D$151,$AB342)&amp;"",IF($Z342="A",INDEX(Fixed_Assets!$C$2:$C$201,$AB342)&amp;"",IF($Z342="F",INDEX(Workforce!$B$2:$B$151,MATCH(INDEX(FTE_Allocation!$A$2:$A$201,$AB342),Workforce!$A$2:$A$151,0))&amp;"","")))</f>
        <v/>
      </c>
      <c r="C342" s="7">
        <f>IF($Z342="C",INDEX(Contracts!$E$2:$E$151,$AB342)&amp;"",IF($Z342="A",INDEX(Fixed_Assets!$D$2:$D$201,$AB342)&amp;"",IF($Z342="F",INDEX(FTE_Allocation!$C$2:$C$201,$AB342)&amp;"","")))</f>
        <v/>
      </c>
      <c r="D342" s="7">
        <f>IF($Z342="C",INDEX(Contracts!$B$2:$B$151,$AB342)&amp;"",IF($Z342="A",INDEX(Fixed_Assets!$B$2:$B$201,$AB342)&amp;"",IF($Z342="F",INDEX(FTE_Allocation!$B$2:$B$201,$AB342)&amp;"","")))</f>
        <v/>
      </c>
      <c r="E342" s="7">
        <f>IF($Z342="C",INDEX(Contracts!$P$2:$P$151,$AB342)&amp;"",IF($Z342="A",INDEX(Fixed_Assets!$K$2:$K$201,$AB342)&amp;"",IF($Z342="F",IF(INDEX(FTE_Allocation!$D$2:$D$201,$AB342)="PROJECT",IFERROR(INDEX(Projects!$D:$D,MATCH(INDEX(FTE_Allocation!$E$2:$E$201,$AB342),Projects!$A:$A,0))&amp;"","#PROJECT?"),INDEX(FTE_Allocation!$E$2:$E$201,$AB342)&amp;""),"")))</f>
        <v/>
      </c>
      <c r="F342" s="7">
        <f>IF($Z342="C",INDEX(Contracts!$Q$2:$Q$151,$AB342)&amp;"",IF($Z342="A",INDEX(Fixed_Assets!$L$2:$L$201,$AB342)&amp;"",IF($Z342="F",INDEX(Workforce!$K$2:$K$151,MATCH(INDEX(FTE_Allocation!$A$2:$A$201,$AB342),Workforce!$A$2:$A$151,0))&amp;"","")))</f>
        <v/>
      </c>
      <c r="G342" s="7">
        <f>IF($Z342="C",INDEX(Contracts!$F$2:$F$151,$AB342)&amp;" / "&amp;INDEX(Contracts!$G$2:$G$151,$AB342),IF($Z342="A",INDEX(Fixed_Assets!$E$2:$E$201,$AB342)&amp;"",IF($Z342="F","Personnel "&amp;INDEX(FTE_Allocation!$A$2:$A$201,$AB342)&amp;IF(INDEX(FTE_Allocation!$D$2:$D$201,$AB342)="PROJECT"," ("&amp;INDEX(FTE_Allocation!$E$2:$E$201,$AB342)&amp;")",""),"")))</f>
        <v/>
      </c>
      <c r="H342" s="7">
        <f>IF($Z342="C","CONTRACT",IF($Z342="A","ASSET",IF($Z342="F","WORKFORCE","")))</f>
        <v/>
      </c>
      <c r="I342" s="7">
        <f>IF($Z342="C",INDEX(Contracts!$L$2:$L$151,$AB342)&amp;"",IF($Z342="A",INDEX(Fixed_Assets!$I$2:$I$201,$AB342)&amp;"",IF($Z342="F",INDEX(Workforce!$G$2:$G$151,MATCH(INDEX(FTE_Allocation!$A$2:$A$201,$AB342),Workforce!$A$2:$A$151,0))&amp;"","")))</f>
        <v/>
      </c>
      <c r="J342" s="18">
        <f>IF($Z342="","",IF(AND(DATE($AD342,1,1)&gt;=$AE342,DATE($AD342,1,1)&lt;=$AF342),ROUND($AG342,2),0))</f>
        <v/>
      </c>
      <c r="K342" s="18">
        <f>IF($Z342="","",IF(AND(DATE($AD342,2,1)&gt;=$AE342,DATE($AD342,2,1)&lt;=$AF342),ROUND($AG342,2),0))</f>
        <v/>
      </c>
      <c r="L342" s="18">
        <f>IF($Z342="","",IF(AND(DATE($AD342,3,1)&gt;=$AE342,DATE($AD342,3,1)&lt;=$AF342),ROUND($AG342,2),0))</f>
        <v/>
      </c>
      <c r="M342" s="18">
        <f>IF($Z342="","",IF(AND(DATE($AD342,4,1)&gt;=$AE342,DATE($AD342,4,1)&lt;=$AF342),ROUND($AG342,2),0))</f>
        <v/>
      </c>
      <c r="N342" s="18">
        <f>IF($Z342="","",IF(AND(DATE($AD342,5,1)&gt;=$AE342,DATE($AD342,5,1)&lt;=$AF342),ROUND($AG342,2),0))</f>
        <v/>
      </c>
      <c r="O342" s="18">
        <f>IF($Z342="","",IF(AND(DATE($AD342,6,1)&gt;=$AE342,DATE($AD342,6,1)&lt;=$AF342),ROUND($AG342,2),0))</f>
        <v/>
      </c>
      <c r="P342" s="18">
        <f>IF($Z342="","",IF(AND(DATE($AD342,7,1)&gt;=$AE342,DATE($AD342,7,1)&lt;=$AF342),ROUND($AG342,2),0))</f>
        <v/>
      </c>
      <c r="Q342" s="18">
        <f>IF($Z342="","",IF(AND(DATE($AD342,8,1)&gt;=$AE342,DATE($AD342,8,1)&lt;=$AF342),ROUND($AG342,2),0))</f>
        <v/>
      </c>
      <c r="R342" s="18">
        <f>IF($Z342="","",IF(AND(DATE($AD342,9,1)&gt;=$AE342,DATE($AD342,9,1)&lt;=$AF342),ROUND($AG342,2),0))</f>
        <v/>
      </c>
      <c r="S342" s="18">
        <f>IF($Z342="","",IF(AND(DATE($AD342,10,1)&gt;=$AE342,DATE($AD342,10,1)&lt;=$AF342),ROUND($AG342,2),0))</f>
        <v/>
      </c>
      <c r="T342" s="18">
        <f>IF($Z342="","",IF(AND(DATE($AD342,11,1)&gt;=$AE342,DATE($AD342,11,1)&lt;=$AF342),ROUND($AG342,2),0))</f>
        <v/>
      </c>
      <c r="U342" s="18">
        <f>IF($Z342="","",IF(AND(DATE($AD342,12,1)&gt;=$AE342,DATE($AD342,12,1)&lt;=$AF342),ROUND($AG342,2),0))</f>
        <v/>
      </c>
      <c r="V342" s="7">
        <f>IF($Z342="C","Generated from "&amp;INDEX(Contracts!$A$2:$A$151,$AB342),IF($Z342="A","Generated from "&amp;INDEX(Fixed_Assets!$A$2:$A$201,$AB342),IF($Z342="F","Generated from "&amp;INDEX(FTE_Allocation!$A$2:$A$201,$AB342),"")))</f>
        <v/>
      </c>
      <c r="X342" s="19">
        <f>IF($Z342="","",SUM(J342:U342))</f>
        <v/>
      </c>
      <c r="Y342" s="20">
        <f>ROW()-1</f>
        <v/>
      </c>
      <c r="Z342" s="20">
        <f>IF($Y342&lt;=Settings!$B$4*3,"C",IF($Y342&lt;=(Settings!$B$4+Settings!$B$5)*3,"A",IF($Y342&lt;=(Settings!$B$4+Settings!$B$5+Settings!$B$6)*3,"F","")))</f>
        <v/>
      </c>
      <c r="AA342" s="20">
        <f>IF($Z342="C",$Y342,IF($Z342="A",$Y342-Settings!$B$4*3,IF($Z342="F",$Y342-(Settings!$B$4+Settings!$B$5)*3,"")))</f>
        <v/>
      </c>
      <c r="AB342" s="20">
        <f>IF($Z342="","",INT(($AA342-1)/3)+1)</f>
        <v/>
      </c>
      <c r="AC342" s="20">
        <f>IF($Z342="","",MOD($AA342-1,3)+1)</f>
        <v/>
      </c>
      <c r="AD342" s="20">
        <f>IF($Z342="","",Settings!$B$2+$AC342-1)</f>
        <v/>
      </c>
      <c r="AE342" s="21">
        <f>IF($Z342="C",DATE(YEAR(INDEX(Contracts!$J$2:$J$151,$AB342)),MONTH(INDEX(Contracts!$J$2:$J$151,$AB342)),1),IF($Z342="A",DATE(YEAR(INDEX(Fixed_Assets!$G$2:$G$201,$AB342)),MONTH(INDEX(Fixed_Assets!$G$2:$G$201,$AB342)),1),IF($Z342="F",DATE(YEAR(MAX(N(INDEX(Workforce!$I$2:$I$151,MATCH(INDEX(FTE_Allocation!$A$2:$A$201,$AB342),Workforce!$A$2:$A$151,0))),N(INDEX(FTE_Allocation!$I$2:$I$201,$AB342)))),MONTH(MAX(N(INDEX(Workforce!$I$2:$I$151,MATCH(INDEX(FTE_Allocation!$A$2:$A$201,$AB342),Workforce!$A$2:$A$151,0))),N(INDEX(FTE_Allocation!$I$2:$I$201,$AB342)))),1),"")))</f>
        <v/>
      </c>
      <c r="AF342" s="21">
        <f>IF($Z342="C",IF(INDEX(Contracts!$I$2:$I$151,$AB342)="PREPAID",EDATE(DATE(YEAR(INDEX(Contracts!$J$2:$J$151,$AB342)),MONTH(INDEX(Contracts!$J$2:$J$151,$AB342)),1),IF(INDEX(Contracts!$N$2:$N$151,$AB342)="",12,INDEX(Contracts!$N$2:$N$151,$AB342))-1),IF(INDEX(Contracts!$I$2:$I$151,$AB342)="MONTHLY",IF(INDEX(Contracts!$K$2:$K$151,$AB342)="",2958101,INDEX(Contracts!$K$2:$K$151,$AB342)),0)),IF($Z342="A",EDATE(DATE(YEAR(INDEX(Fixed_Assets!$G$2:$G$201,$AB342)),MONTH(INDEX(Fixed_Assets!$G$2:$G$201,$AB342)),1),INDEX(Fixed_Assets!$J$2:$J$201,$AB342)-1),IF($Z342="F",MIN(IF(INDEX(Workforce!$J$2:$J$151,MATCH(INDEX(FTE_Allocation!$A$2:$A$201,$AB342),Workforce!$A$2:$A$151,0))="",2958101,INDEX(Workforce!$J$2:$J$151,MATCH(INDEX(FTE_Allocation!$A$2:$A$201,$AB342),Workforce!$A$2:$A$151,0))),IF(INDEX(FTE_Allocation!$J$2:$J$201,$AB342)="",2958101,INDEX(FTE_Allocation!$J$2:$J$201,$AB342))),"")))</f>
        <v/>
      </c>
      <c r="AG342" s="19">
        <f>IF($Z342="C",IF(INDEX(Contracts!$I$2:$I$151,$AB342)="PREPAID",INDEX(Contracts!$M$2:$M$151,$AB342)/IF(INDEX(Contracts!$N$2:$N$151,$AB342)="",12,INDEX(Contracts!$N$2:$N$151,$AB342)),IF(INDEX(Contracts!$I$2:$I$151,$AB342)="MONTHLY",INDEX(Contracts!$M$2:$M$151,$AB342),0))*(1-N(INDEX(Contracts!$O$2:$O$151,$AB342))),IF($Z342="A",INDEX(Fixed_Assets!$H$2:$H$201,$AB342)/INDEX(Fixed_Assets!$J$2:$J$201,$AB342),IF($Z342="F",INDEX(Workforce!$F$2:$F$151,MATCH(INDEX(FTE_Allocation!$A$2:$A$201,$AB342),Workforce!$A$2:$A$151,0))*N(INDEX(FTE_Allocation!$F$2:$H$201,$AB342,$AC342)),"")))</f>
        <v/>
      </c>
    </row>
    <row r="343">
      <c r="A343" s="7">
        <f>IF($Z343="","",$AD343)</f>
        <v/>
      </c>
      <c r="B343" s="7">
        <f>IF($Z343="C",INDEX(Contracts!$D$2:$D$151,$AB343)&amp;"",IF($Z343="A",INDEX(Fixed_Assets!$C$2:$C$201,$AB343)&amp;"",IF($Z343="F",INDEX(Workforce!$B$2:$B$151,MATCH(INDEX(FTE_Allocation!$A$2:$A$201,$AB343),Workforce!$A$2:$A$151,0))&amp;"","")))</f>
        <v/>
      </c>
      <c r="C343" s="7">
        <f>IF($Z343="C",INDEX(Contracts!$E$2:$E$151,$AB343)&amp;"",IF($Z343="A",INDEX(Fixed_Assets!$D$2:$D$201,$AB343)&amp;"",IF($Z343="F",INDEX(FTE_Allocation!$C$2:$C$201,$AB343)&amp;"","")))</f>
        <v/>
      </c>
      <c r="D343" s="7">
        <f>IF($Z343="C",INDEX(Contracts!$B$2:$B$151,$AB343)&amp;"",IF($Z343="A",INDEX(Fixed_Assets!$B$2:$B$201,$AB343)&amp;"",IF($Z343="F",INDEX(FTE_Allocation!$B$2:$B$201,$AB343)&amp;"","")))</f>
        <v/>
      </c>
      <c r="E343" s="7">
        <f>IF($Z343="C",INDEX(Contracts!$P$2:$P$151,$AB343)&amp;"",IF($Z343="A",INDEX(Fixed_Assets!$K$2:$K$201,$AB343)&amp;"",IF($Z343="F",IF(INDEX(FTE_Allocation!$D$2:$D$201,$AB343)="PROJECT",IFERROR(INDEX(Projects!$D:$D,MATCH(INDEX(FTE_Allocation!$E$2:$E$201,$AB343),Projects!$A:$A,0))&amp;"","#PROJECT?"),INDEX(FTE_Allocation!$E$2:$E$201,$AB343)&amp;""),"")))</f>
        <v/>
      </c>
      <c r="F343" s="7">
        <f>IF($Z343="C",INDEX(Contracts!$Q$2:$Q$151,$AB343)&amp;"",IF($Z343="A",INDEX(Fixed_Assets!$L$2:$L$201,$AB343)&amp;"",IF($Z343="F",INDEX(Workforce!$K$2:$K$151,MATCH(INDEX(FTE_Allocation!$A$2:$A$201,$AB343),Workforce!$A$2:$A$151,0))&amp;"","")))</f>
        <v/>
      </c>
      <c r="G343" s="7">
        <f>IF($Z343="C",INDEX(Contracts!$F$2:$F$151,$AB343)&amp;" / "&amp;INDEX(Contracts!$G$2:$G$151,$AB343),IF($Z343="A",INDEX(Fixed_Assets!$E$2:$E$201,$AB343)&amp;"",IF($Z343="F","Personnel "&amp;INDEX(FTE_Allocation!$A$2:$A$201,$AB343)&amp;IF(INDEX(FTE_Allocation!$D$2:$D$201,$AB343)="PROJECT"," ("&amp;INDEX(FTE_Allocation!$E$2:$E$201,$AB343)&amp;")",""),"")))</f>
        <v/>
      </c>
      <c r="H343" s="7">
        <f>IF($Z343="C","CONTRACT",IF($Z343="A","ASSET",IF($Z343="F","WORKFORCE","")))</f>
        <v/>
      </c>
      <c r="I343" s="7">
        <f>IF($Z343="C",INDEX(Contracts!$L$2:$L$151,$AB343)&amp;"",IF($Z343="A",INDEX(Fixed_Assets!$I$2:$I$201,$AB343)&amp;"",IF($Z343="F",INDEX(Workforce!$G$2:$G$151,MATCH(INDEX(FTE_Allocation!$A$2:$A$201,$AB343),Workforce!$A$2:$A$151,0))&amp;"","")))</f>
        <v/>
      </c>
      <c r="J343" s="18">
        <f>IF($Z343="","",IF(AND(DATE($AD343,1,1)&gt;=$AE343,DATE($AD343,1,1)&lt;=$AF343),ROUND($AG343,2),0))</f>
        <v/>
      </c>
      <c r="K343" s="18">
        <f>IF($Z343="","",IF(AND(DATE($AD343,2,1)&gt;=$AE343,DATE($AD343,2,1)&lt;=$AF343),ROUND($AG343,2),0))</f>
        <v/>
      </c>
      <c r="L343" s="18">
        <f>IF($Z343="","",IF(AND(DATE($AD343,3,1)&gt;=$AE343,DATE($AD343,3,1)&lt;=$AF343),ROUND($AG343,2),0))</f>
        <v/>
      </c>
      <c r="M343" s="18">
        <f>IF($Z343="","",IF(AND(DATE($AD343,4,1)&gt;=$AE343,DATE($AD343,4,1)&lt;=$AF343),ROUND($AG343,2),0))</f>
        <v/>
      </c>
      <c r="N343" s="18">
        <f>IF($Z343="","",IF(AND(DATE($AD343,5,1)&gt;=$AE343,DATE($AD343,5,1)&lt;=$AF343),ROUND($AG343,2),0))</f>
        <v/>
      </c>
      <c r="O343" s="18">
        <f>IF($Z343="","",IF(AND(DATE($AD343,6,1)&gt;=$AE343,DATE($AD343,6,1)&lt;=$AF343),ROUND($AG343,2),0))</f>
        <v/>
      </c>
      <c r="P343" s="18">
        <f>IF($Z343="","",IF(AND(DATE($AD343,7,1)&gt;=$AE343,DATE($AD343,7,1)&lt;=$AF343),ROUND($AG343,2),0))</f>
        <v/>
      </c>
      <c r="Q343" s="18">
        <f>IF($Z343="","",IF(AND(DATE($AD343,8,1)&gt;=$AE343,DATE($AD343,8,1)&lt;=$AF343),ROUND($AG343,2),0))</f>
        <v/>
      </c>
      <c r="R343" s="18">
        <f>IF($Z343="","",IF(AND(DATE($AD343,9,1)&gt;=$AE343,DATE($AD343,9,1)&lt;=$AF343),ROUND($AG343,2),0))</f>
        <v/>
      </c>
      <c r="S343" s="18">
        <f>IF($Z343="","",IF(AND(DATE($AD343,10,1)&gt;=$AE343,DATE($AD343,10,1)&lt;=$AF343),ROUND($AG343,2),0))</f>
        <v/>
      </c>
      <c r="T343" s="18">
        <f>IF($Z343="","",IF(AND(DATE($AD343,11,1)&gt;=$AE343,DATE($AD343,11,1)&lt;=$AF343),ROUND($AG343,2),0))</f>
        <v/>
      </c>
      <c r="U343" s="18">
        <f>IF($Z343="","",IF(AND(DATE($AD343,12,1)&gt;=$AE343,DATE($AD343,12,1)&lt;=$AF343),ROUND($AG343,2),0))</f>
        <v/>
      </c>
      <c r="V343" s="7">
        <f>IF($Z343="C","Generated from "&amp;INDEX(Contracts!$A$2:$A$151,$AB343),IF($Z343="A","Generated from "&amp;INDEX(Fixed_Assets!$A$2:$A$201,$AB343),IF($Z343="F","Generated from "&amp;INDEX(FTE_Allocation!$A$2:$A$201,$AB343),"")))</f>
        <v/>
      </c>
      <c r="X343" s="19">
        <f>IF($Z343="","",SUM(J343:U343))</f>
        <v/>
      </c>
      <c r="Y343" s="20">
        <f>ROW()-1</f>
        <v/>
      </c>
      <c r="Z343" s="20">
        <f>IF($Y343&lt;=Settings!$B$4*3,"C",IF($Y343&lt;=(Settings!$B$4+Settings!$B$5)*3,"A",IF($Y343&lt;=(Settings!$B$4+Settings!$B$5+Settings!$B$6)*3,"F","")))</f>
        <v/>
      </c>
      <c r="AA343" s="20">
        <f>IF($Z343="C",$Y343,IF($Z343="A",$Y343-Settings!$B$4*3,IF($Z343="F",$Y343-(Settings!$B$4+Settings!$B$5)*3,"")))</f>
        <v/>
      </c>
      <c r="AB343" s="20">
        <f>IF($Z343="","",INT(($AA343-1)/3)+1)</f>
        <v/>
      </c>
      <c r="AC343" s="20">
        <f>IF($Z343="","",MOD($AA343-1,3)+1)</f>
        <v/>
      </c>
      <c r="AD343" s="20">
        <f>IF($Z343="","",Settings!$B$2+$AC343-1)</f>
        <v/>
      </c>
      <c r="AE343" s="21">
        <f>IF($Z343="C",DATE(YEAR(INDEX(Contracts!$J$2:$J$151,$AB343)),MONTH(INDEX(Contracts!$J$2:$J$151,$AB343)),1),IF($Z343="A",DATE(YEAR(INDEX(Fixed_Assets!$G$2:$G$201,$AB343)),MONTH(INDEX(Fixed_Assets!$G$2:$G$201,$AB343)),1),IF($Z343="F",DATE(YEAR(MAX(N(INDEX(Workforce!$I$2:$I$151,MATCH(INDEX(FTE_Allocation!$A$2:$A$201,$AB343),Workforce!$A$2:$A$151,0))),N(INDEX(FTE_Allocation!$I$2:$I$201,$AB343)))),MONTH(MAX(N(INDEX(Workforce!$I$2:$I$151,MATCH(INDEX(FTE_Allocation!$A$2:$A$201,$AB343),Workforce!$A$2:$A$151,0))),N(INDEX(FTE_Allocation!$I$2:$I$201,$AB343)))),1),"")))</f>
        <v/>
      </c>
      <c r="AF343" s="21">
        <f>IF($Z343="C",IF(INDEX(Contracts!$I$2:$I$151,$AB343)="PREPAID",EDATE(DATE(YEAR(INDEX(Contracts!$J$2:$J$151,$AB343)),MONTH(INDEX(Contracts!$J$2:$J$151,$AB343)),1),IF(INDEX(Contracts!$N$2:$N$151,$AB343)="",12,INDEX(Contracts!$N$2:$N$151,$AB343))-1),IF(INDEX(Contracts!$I$2:$I$151,$AB343)="MONTHLY",IF(INDEX(Contracts!$K$2:$K$151,$AB343)="",2958101,INDEX(Contracts!$K$2:$K$151,$AB343)),0)),IF($Z343="A",EDATE(DATE(YEAR(INDEX(Fixed_Assets!$G$2:$G$201,$AB343)),MONTH(INDEX(Fixed_Assets!$G$2:$G$201,$AB343)),1),INDEX(Fixed_Assets!$J$2:$J$201,$AB343)-1),IF($Z343="F",MIN(IF(INDEX(Workforce!$J$2:$J$151,MATCH(INDEX(FTE_Allocation!$A$2:$A$201,$AB343),Workforce!$A$2:$A$151,0))="",2958101,INDEX(Workforce!$J$2:$J$151,MATCH(INDEX(FTE_Allocation!$A$2:$A$201,$AB343),Workforce!$A$2:$A$151,0))),IF(INDEX(FTE_Allocation!$J$2:$J$201,$AB343)="",2958101,INDEX(FTE_Allocation!$J$2:$J$201,$AB343))),"")))</f>
        <v/>
      </c>
      <c r="AG343" s="19">
        <f>IF($Z343="C",IF(INDEX(Contracts!$I$2:$I$151,$AB343)="PREPAID",INDEX(Contracts!$M$2:$M$151,$AB343)/IF(INDEX(Contracts!$N$2:$N$151,$AB343)="",12,INDEX(Contracts!$N$2:$N$151,$AB343)),IF(INDEX(Contracts!$I$2:$I$151,$AB343)="MONTHLY",INDEX(Contracts!$M$2:$M$151,$AB343),0))*(1-N(INDEX(Contracts!$O$2:$O$151,$AB343))),IF($Z343="A",INDEX(Fixed_Assets!$H$2:$H$201,$AB343)/INDEX(Fixed_Assets!$J$2:$J$201,$AB343),IF($Z343="F",INDEX(Workforce!$F$2:$F$151,MATCH(INDEX(FTE_Allocation!$A$2:$A$201,$AB343),Workforce!$A$2:$A$151,0))*N(INDEX(FTE_Allocation!$F$2:$H$201,$AB343,$AC343)),"")))</f>
        <v/>
      </c>
    </row>
    <row r="344">
      <c r="A344" s="7">
        <f>IF($Z344="","",$AD344)</f>
        <v/>
      </c>
      <c r="B344" s="7">
        <f>IF($Z344="C",INDEX(Contracts!$D$2:$D$151,$AB344)&amp;"",IF($Z344="A",INDEX(Fixed_Assets!$C$2:$C$201,$AB344)&amp;"",IF($Z344="F",INDEX(Workforce!$B$2:$B$151,MATCH(INDEX(FTE_Allocation!$A$2:$A$201,$AB344),Workforce!$A$2:$A$151,0))&amp;"","")))</f>
        <v/>
      </c>
      <c r="C344" s="7">
        <f>IF($Z344="C",INDEX(Contracts!$E$2:$E$151,$AB344)&amp;"",IF($Z344="A",INDEX(Fixed_Assets!$D$2:$D$201,$AB344)&amp;"",IF($Z344="F",INDEX(FTE_Allocation!$C$2:$C$201,$AB344)&amp;"","")))</f>
        <v/>
      </c>
      <c r="D344" s="7">
        <f>IF($Z344="C",INDEX(Contracts!$B$2:$B$151,$AB344)&amp;"",IF($Z344="A",INDEX(Fixed_Assets!$B$2:$B$201,$AB344)&amp;"",IF($Z344="F",INDEX(FTE_Allocation!$B$2:$B$201,$AB344)&amp;"","")))</f>
        <v/>
      </c>
      <c r="E344" s="7">
        <f>IF($Z344="C",INDEX(Contracts!$P$2:$P$151,$AB344)&amp;"",IF($Z344="A",INDEX(Fixed_Assets!$K$2:$K$201,$AB344)&amp;"",IF($Z344="F",IF(INDEX(FTE_Allocation!$D$2:$D$201,$AB344)="PROJECT",IFERROR(INDEX(Projects!$D:$D,MATCH(INDEX(FTE_Allocation!$E$2:$E$201,$AB344),Projects!$A:$A,0))&amp;"","#PROJECT?"),INDEX(FTE_Allocation!$E$2:$E$201,$AB344)&amp;""),"")))</f>
        <v/>
      </c>
      <c r="F344" s="7">
        <f>IF($Z344="C",INDEX(Contracts!$Q$2:$Q$151,$AB344)&amp;"",IF($Z344="A",INDEX(Fixed_Assets!$L$2:$L$201,$AB344)&amp;"",IF($Z344="F",INDEX(Workforce!$K$2:$K$151,MATCH(INDEX(FTE_Allocation!$A$2:$A$201,$AB344),Workforce!$A$2:$A$151,0))&amp;"","")))</f>
        <v/>
      </c>
      <c r="G344" s="7">
        <f>IF($Z344="C",INDEX(Contracts!$F$2:$F$151,$AB344)&amp;" / "&amp;INDEX(Contracts!$G$2:$G$151,$AB344),IF($Z344="A",INDEX(Fixed_Assets!$E$2:$E$201,$AB344)&amp;"",IF($Z344="F","Personnel "&amp;INDEX(FTE_Allocation!$A$2:$A$201,$AB344)&amp;IF(INDEX(FTE_Allocation!$D$2:$D$201,$AB344)="PROJECT"," ("&amp;INDEX(FTE_Allocation!$E$2:$E$201,$AB344)&amp;")",""),"")))</f>
        <v/>
      </c>
      <c r="H344" s="7">
        <f>IF($Z344="C","CONTRACT",IF($Z344="A","ASSET",IF($Z344="F","WORKFORCE","")))</f>
        <v/>
      </c>
      <c r="I344" s="7">
        <f>IF($Z344="C",INDEX(Contracts!$L$2:$L$151,$AB344)&amp;"",IF($Z344="A",INDEX(Fixed_Assets!$I$2:$I$201,$AB344)&amp;"",IF($Z344="F",INDEX(Workforce!$G$2:$G$151,MATCH(INDEX(FTE_Allocation!$A$2:$A$201,$AB344),Workforce!$A$2:$A$151,0))&amp;"","")))</f>
        <v/>
      </c>
      <c r="J344" s="18">
        <f>IF($Z344="","",IF(AND(DATE($AD344,1,1)&gt;=$AE344,DATE($AD344,1,1)&lt;=$AF344),ROUND($AG344,2),0))</f>
        <v/>
      </c>
      <c r="K344" s="18">
        <f>IF($Z344="","",IF(AND(DATE($AD344,2,1)&gt;=$AE344,DATE($AD344,2,1)&lt;=$AF344),ROUND($AG344,2),0))</f>
        <v/>
      </c>
      <c r="L344" s="18">
        <f>IF($Z344="","",IF(AND(DATE($AD344,3,1)&gt;=$AE344,DATE($AD344,3,1)&lt;=$AF344),ROUND($AG344,2),0))</f>
        <v/>
      </c>
      <c r="M344" s="18">
        <f>IF($Z344="","",IF(AND(DATE($AD344,4,1)&gt;=$AE344,DATE($AD344,4,1)&lt;=$AF344),ROUND($AG344,2),0))</f>
        <v/>
      </c>
      <c r="N344" s="18">
        <f>IF($Z344="","",IF(AND(DATE($AD344,5,1)&gt;=$AE344,DATE($AD344,5,1)&lt;=$AF344),ROUND($AG344,2),0))</f>
        <v/>
      </c>
      <c r="O344" s="18">
        <f>IF($Z344="","",IF(AND(DATE($AD344,6,1)&gt;=$AE344,DATE($AD344,6,1)&lt;=$AF344),ROUND($AG344,2),0))</f>
        <v/>
      </c>
      <c r="P344" s="18">
        <f>IF($Z344="","",IF(AND(DATE($AD344,7,1)&gt;=$AE344,DATE($AD344,7,1)&lt;=$AF344),ROUND($AG344,2),0))</f>
        <v/>
      </c>
      <c r="Q344" s="18">
        <f>IF($Z344="","",IF(AND(DATE($AD344,8,1)&gt;=$AE344,DATE($AD344,8,1)&lt;=$AF344),ROUND($AG344,2),0))</f>
        <v/>
      </c>
      <c r="R344" s="18">
        <f>IF($Z344="","",IF(AND(DATE($AD344,9,1)&gt;=$AE344,DATE($AD344,9,1)&lt;=$AF344),ROUND($AG344,2),0))</f>
        <v/>
      </c>
      <c r="S344" s="18">
        <f>IF($Z344="","",IF(AND(DATE($AD344,10,1)&gt;=$AE344,DATE($AD344,10,1)&lt;=$AF344),ROUND($AG344,2),0))</f>
        <v/>
      </c>
      <c r="T344" s="18">
        <f>IF($Z344="","",IF(AND(DATE($AD344,11,1)&gt;=$AE344,DATE($AD344,11,1)&lt;=$AF344),ROUND($AG344,2),0))</f>
        <v/>
      </c>
      <c r="U344" s="18">
        <f>IF($Z344="","",IF(AND(DATE($AD344,12,1)&gt;=$AE344,DATE($AD344,12,1)&lt;=$AF344),ROUND($AG344,2),0))</f>
        <v/>
      </c>
      <c r="V344" s="7">
        <f>IF($Z344="C","Generated from "&amp;INDEX(Contracts!$A$2:$A$151,$AB344),IF($Z344="A","Generated from "&amp;INDEX(Fixed_Assets!$A$2:$A$201,$AB344),IF($Z344="F","Generated from "&amp;INDEX(FTE_Allocation!$A$2:$A$201,$AB344),"")))</f>
        <v/>
      </c>
      <c r="X344" s="19">
        <f>IF($Z344="","",SUM(J344:U344))</f>
        <v/>
      </c>
      <c r="Y344" s="20">
        <f>ROW()-1</f>
        <v/>
      </c>
      <c r="Z344" s="20">
        <f>IF($Y344&lt;=Settings!$B$4*3,"C",IF($Y344&lt;=(Settings!$B$4+Settings!$B$5)*3,"A",IF($Y344&lt;=(Settings!$B$4+Settings!$B$5+Settings!$B$6)*3,"F","")))</f>
        <v/>
      </c>
      <c r="AA344" s="20">
        <f>IF($Z344="C",$Y344,IF($Z344="A",$Y344-Settings!$B$4*3,IF($Z344="F",$Y344-(Settings!$B$4+Settings!$B$5)*3,"")))</f>
        <v/>
      </c>
      <c r="AB344" s="20">
        <f>IF($Z344="","",INT(($AA344-1)/3)+1)</f>
        <v/>
      </c>
      <c r="AC344" s="20">
        <f>IF($Z344="","",MOD($AA344-1,3)+1)</f>
        <v/>
      </c>
      <c r="AD344" s="20">
        <f>IF($Z344="","",Settings!$B$2+$AC344-1)</f>
        <v/>
      </c>
      <c r="AE344" s="21">
        <f>IF($Z344="C",DATE(YEAR(INDEX(Contracts!$J$2:$J$151,$AB344)),MONTH(INDEX(Contracts!$J$2:$J$151,$AB344)),1),IF($Z344="A",DATE(YEAR(INDEX(Fixed_Assets!$G$2:$G$201,$AB344)),MONTH(INDEX(Fixed_Assets!$G$2:$G$201,$AB344)),1),IF($Z344="F",DATE(YEAR(MAX(N(INDEX(Workforce!$I$2:$I$151,MATCH(INDEX(FTE_Allocation!$A$2:$A$201,$AB344),Workforce!$A$2:$A$151,0))),N(INDEX(FTE_Allocation!$I$2:$I$201,$AB344)))),MONTH(MAX(N(INDEX(Workforce!$I$2:$I$151,MATCH(INDEX(FTE_Allocation!$A$2:$A$201,$AB344),Workforce!$A$2:$A$151,0))),N(INDEX(FTE_Allocation!$I$2:$I$201,$AB344)))),1),"")))</f>
        <v/>
      </c>
      <c r="AF344" s="21">
        <f>IF($Z344="C",IF(INDEX(Contracts!$I$2:$I$151,$AB344)="PREPAID",EDATE(DATE(YEAR(INDEX(Contracts!$J$2:$J$151,$AB344)),MONTH(INDEX(Contracts!$J$2:$J$151,$AB344)),1),IF(INDEX(Contracts!$N$2:$N$151,$AB344)="",12,INDEX(Contracts!$N$2:$N$151,$AB344))-1),IF(INDEX(Contracts!$I$2:$I$151,$AB344)="MONTHLY",IF(INDEX(Contracts!$K$2:$K$151,$AB344)="",2958101,INDEX(Contracts!$K$2:$K$151,$AB344)),0)),IF($Z344="A",EDATE(DATE(YEAR(INDEX(Fixed_Assets!$G$2:$G$201,$AB344)),MONTH(INDEX(Fixed_Assets!$G$2:$G$201,$AB344)),1),INDEX(Fixed_Assets!$J$2:$J$201,$AB344)-1),IF($Z344="F",MIN(IF(INDEX(Workforce!$J$2:$J$151,MATCH(INDEX(FTE_Allocation!$A$2:$A$201,$AB344),Workforce!$A$2:$A$151,0))="",2958101,INDEX(Workforce!$J$2:$J$151,MATCH(INDEX(FTE_Allocation!$A$2:$A$201,$AB344),Workforce!$A$2:$A$151,0))),IF(INDEX(FTE_Allocation!$J$2:$J$201,$AB344)="",2958101,INDEX(FTE_Allocation!$J$2:$J$201,$AB344))),"")))</f>
        <v/>
      </c>
      <c r="AG344" s="19">
        <f>IF($Z344="C",IF(INDEX(Contracts!$I$2:$I$151,$AB344)="PREPAID",INDEX(Contracts!$M$2:$M$151,$AB344)/IF(INDEX(Contracts!$N$2:$N$151,$AB344)="",12,INDEX(Contracts!$N$2:$N$151,$AB344)),IF(INDEX(Contracts!$I$2:$I$151,$AB344)="MONTHLY",INDEX(Contracts!$M$2:$M$151,$AB344),0))*(1-N(INDEX(Contracts!$O$2:$O$151,$AB344))),IF($Z344="A",INDEX(Fixed_Assets!$H$2:$H$201,$AB344)/INDEX(Fixed_Assets!$J$2:$J$201,$AB344),IF($Z344="F",INDEX(Workforce!$F$2:$F$151,MATCH(INDEX(FTE_Allocation!$A$2:$A$201,$AB344),Workforce!$A$2:$A$151,0))*N(INDEX(FTE_Allocation!$F$2:$H$201,$AB344,$AC344)),"")))</f>
        <v/>
      </c>
    </row>
    <row r="345">
      <c r="A345" s="7">
        <f>IF($Z345="","",$AD345)</f>
        <v/>
      </c>
      <c r="B345" s="7">
        <f>IF($Z345="C",INDEX(Contracts!$D$2:$D$151,$AB345)&amp;"",IF($Z345="A",INDEX(Fixed_Assets!$C$2:$C$201,$AB345)&amp;"",IF($Z345="F",INDEX(Workforce!$B$2:$B$151,MATCH(INDEX(FTE_Allocation!$A$2:$A$201,$AB345),Workforce!$A$2:$A$151,0))&amp;"","")))</f>
        <v/>
      </c>
      <c r="C345" s="7">
        <f>IF($Z345="C",INDEX(Contracts!$E$2:$E$151,$AB345)&amp;"",IF($Z345="A",INDEX(Fixed_Assets!$D$2:$D$201,$AB345)&amp;"",IF($Z345="F",INDEX(FTE_Allocation!$C$2:$C$201,$AB345)&amp;"","")))</f>
        <v/>
      </c>
      <c r="D345" s="7">
        <f>IF($Z345="C",INDEX(Contracts!$B$2:$B$151,$AB345)&amp;"",IF($Z345="A",INDEX(Fixed_Assets!$B$2:$B$201,$AB345)&amp;"",IF($Z345="F",INDEX(FTE_Allocation!$B$2:$B$201,$AB345)&amp;"","")))</f>
        <v/>
      </c>
      <c r="E345" s="7">
        <f>IF($Z345="C",INDEX(Contracts!$P$2:$P$151,$AB345)&amp;"",IF($Z345="A",INDEX(Fixed_Assets!$K$2:$K$201,$AB345)&amp;"",IF($Z345="F",IF(INDEX(FTE_Allocation!$D$2:$D$201,$AB345)="PROJECT",IFERROR(INDEX(Projects!$D:$D,MATCH(INDEX(FTE_Allocation!$E$2:$E$201,$AB345),Projects!$A:$A,0))&amp;"","#PROJECT?"),INDEX(FTE_Allocation!$E$2:$E$201,$AB345)&amp;""),"")))</f>
        <v/>
      </c>
      <c r="F345" s="7">
        <f>IF($Z345="C",INDEX(Contracts!$Q$2:$Q$151,$AB345)&amp;"",IF($Z345="A",INDEX(Fixed_Assets!$L$2:$L$201,$AB345)&amp;"",IF($Z345="F",INDEX(Workforce!$K$2:$K$151,MATCH(INDEX(FTE_Allocation!$A$2:$A$201,$AB345),Workforce!$A$2:$A$151,0))&amp;"","")))</f>
        <v/>
      </c>
      <c r="G345" s="7">
        <f>IF($Z345="C",INDEX(Contracts!$F$2:$F$151,$AB345)&amp;" / "&amp;INDEX(Contracts!$G$2:$G$151,$AB345),IF($Z345="A",INDEX(Fixed_Assets!$E$2:$E$201,$AB345)&amp;"",IF($Z345="F","Personnel "&amp;INDEX(FTE_Allocation!$A$2:$A$201,$AB345)&amp;IF(INDEX(FTE_Allocation!$D$2:$D$201,$AB345)="PROJECT"," ("&amp;INDEX(FTE_Allocation!$E$2:$E$201,$AB345)&amp;")",""),"")))</f>
        <v/>
      </c>
      <c r="H345" s="7">
        <f>IF($Z345="C","CONTRACT",IF($Z345="A","ASSET",IF($Z345="F","WORKFORCE","")))</f>
        <v/>
      </c>
      <c r="I345" s="7">
        <f>IF($Z345="C",INDEX(Contracts!$L$2:$L$151,$AB345)&amp;"",IF($Z345="A",INDEX(Fixed_Assets!$I$2:$I$201,$AB345)&amp;"",IF($Z345="F",INDEX(Workforce!$G$2:$G$151,MATCH(INDEX(FTE_Allocation!$A$2:$A$201,$AB345),Workforce!$A$2:$A$151,0))&amp;"","")))</f>
        <v/>
      </c>
      <c r="J345" s="18">
        <f>IF($Z345="","",IF(AND(DATE($AD345,1,1)&gt;=$AE345,DATE($AD345,1,1)&lt;=$AF345),ROUND($AG345,2),0))</f>
        <v/>
      </c>
      <c r="K345" s="18">
        <f>IF($Z345="","",IF(AND(DATE($AD345,2,1)&gt;=$AE345,DATE($AD345,2,1)&lt;=$AF345),ROUND($AG345,2),0))</f>
        <v/>
      </c>
      <c r="L345" s="18">
        <f>IF($Z345="","",IF(AND(DATE($AD345,3,1)&gt;=$AE345,DATE($AD345,3,1)&lt;=$AF345),ROUND($AG345,2),0))</f>
        <v/>
      </c>
      <c r="M345" s="18">
        <f>IF($Z345="","",IF(AND(DATE($AD345,4,1)&gt;=$AE345,DATE($AD345,4,1)&lt;=$AF345),ROUND($AG345,2),0))</f>
        <v/>
      </c>
      <c r="N345" s="18">
        <f>IF($Z345="","",IF(AND(DATE($AD345,5,1)&gt;=$AE345,DATE($AD345,5,1)&lt;=$AF345),ROUND($AG345,2),0))</f>
        <v/>
      </c>
      <c r="O345" s="18">
        <f>IF($Z345="","",IF(AND(DATE($AD345,6,1)&gt;=$AE345,DATE($AD345,6,1)&lt;=$AF345),ROUND($AG345,2),0))</f>
        <v/>
      </c>
      <c r="P345" s="18">
        <f>IF($Z345="","",IF(AND(DATE($AD345,7,1)&gt;=$AE345,DATE($AD345,7,1)&lt;=$AF345),ROUND($AG345,2),0))</f>
        <v/>
      </c>
      <c r="Q345" s="18">
        <f>IF($Z345="","",IF(AND(DATE($AD345,8,1)&gt;=$AE345,DATE($AD345,8,1)&lt;=$AF345),ROUND($AG345,2),0))</f>
        <v/>
      </c>
      <c r="R345" s="18">
        <f>IF($Z345="","",IF(AND(DATE($AD345,9,1)&gt;=$AE345,DATE($AD345,9,1)&lt;=$AF345),ROUND($AG345,2),0))</f>
        <v/>
      </c>
      <c r="S345" s="18">
        <f>IF($Z345="","",IF(AND(DATE($AD345,10,1)&gt;=$AE345,DATE($AD345,10,1)&lt;=$AF345),ROUND($AG345,2),0))</f>
        <v/>
      </c>
      <c r="T345" s="18">
        <f>IF($Z345="","",IF(AND(DATE($AD345,11,1)&gt;=$AE345,DATE($AD345,11,1)&lt;=$AF345),ROUND($AG345,2),0))</f>
        <v/>
      </c>
      <c r="U345" s="18">
        <f>IF($Z345="","",IF(AND(DATE($AD345,12,1)&gt;=$AE345,DATE($AD345,12,1)&lt;=$AF345),ROUND($AG345,2),0))</f>
        <v/>
      </c>
      <c r="V345" s="7">
        <f>IF($Z345="C","Generated from "&amp;INDEX(Contracts!$A$2:$A$151,$AB345),IF($Z345="A","Generated from "&amp;INDEX(Fixed_Assets!$A$2:$A$201,$AB345),IF($Z345="F","Generated from "&amp;INDEX(FTE_Allocation!$A$2:$A$201,$AB345),"")))</f>
        <v/>
      </c>
      <c r="X345" s="19">
        <f>IF($Z345="","",SUM(J345:U345))</f>
        <v/>
      </c>
      <c r="Y345" s="20">
        <f>ROW()-1</f>
        <v/>
      </c>
      <c r="Z345" s="20">
        <f>IF($Y345&lt;=Settings!$B$4*3,"C",IF($Y345&lt;=(Settings!$B$4+Settings!$B$5)*3,"A",IF($Y345&lt;=(Settings!$B$4+Settings!$B$5+Settings!$B$6)*3,"F","")))</f>
        <v/>
      </c>
      <c r="AA345" s="20">
        <f>IF($Z345="C",$Y345,IF($Z345="A",$Y345-Settings!$B$4*3,IF($Z345="F",$Y345-(Settings!$B$4+Settings!$B$5)*3,"")))</f>
        <v/>
      </c>
      <c r="AB345" s="20">
        <f>IF($Z345="","",INT(($AA345-1)/3)+1)</f>
        <v/>
      </c>
      <c r="AC345" s="20">
        <f>IF($Z345="","",MOD($AA345-1,3)+1)</f>
        <v/>
      </c>
      <c r="AD345" s="20">
        <f>IF($Z345="","",Settings!$B$2+$AC345-1)</f>
        <v/>
      </c>
      <c r="AE345" s="21">
        <f>IF($Z345="C",DATE(YEAR(INDEX(Contracts!$J$2:$J$151,$AB345)),MONTH(INDEX(Contracts!$J$2:$J$151,$AB345)),1),IF($Z345="A",DATE(YEAR(INDEX(Fixed_Assets!$G$2:$G$201,$AB345)),MONTH(INDEX(Fixed_Assets!$G$2:$G$201,$AB345)),1),IF($Z345="F",DATE(YEAR(MAX(N(INDEX(Workforce!$I$2:$I$151,MATCH(INDEX(FTE_Allocation!$A$2:$A$201,$AB345),Workforce!$A$2:$A$151,0))),N(INDEX(FTE_Allocation!$I$2:$I$201,$AB345)))),MONTH(MAX(N(INDEX(Workforce!$I$2:$I$151,MATCH(INDEX(FTE_Allocation!$A$2:$A$201,$AB345),Workforce!$A$2:$A$151,0))),N(INDEX(FTE_Allocation!$I$2:$I$201,$AB345)))),1),"")))</f>
        <v/>
      </c>
      <c r="AF345" s="21">
        <f>IF($Z345="C",IF(INDEX(Contracts!$I$2:$I$151,$AB345)="PREPAID",EDATE(DATE(YEAR(INDEX(Contracts!$J$2:$J$151,$AB345)),MONTH(INDEX(Contracts!$J$2:$J$151,$AB345)),1),IF(INDEX(Contracts!$N$2:$N$151,$AB345)="",12,INDEX(Contracts!$N$2:$N$151,$AB345))-1),IF(INDEX(Contracts!$I$2:$I$151,$AB345)="MONTHLY",IF(INDEX(Contracts!$K$2:$K$151,$AB345)="",2958101,INDEX(Contracts!$K$2:$K$151,$AB345)),0)),IF($Z345="A",EDATE(DATE(YEAR(INDEX(Fixed_Assets!$G$2:$G$201,$AB345)),MONTH(INDEX(Fixed_Assets!$G$2:$G$201,$AB345)),1),INDEX(Fixed_Assets!$J$2:$J$201,$AB345)-1),IF($Z345="F",MIN(IF(INDEX(Workforce!$J$2:$J$151,MATCH(INDEX(FTE_Allocation!$A$2:$A$201,$AB345),Workforce!$A$2:$A$151,0))="",2958101,INDEX(Workforce!$J$2:$J$151,MATCH(INDEX(FTE_Allocation!$A$2:$A$201,$AB345),Workforce!$A$2:$A$151,0))),IF(INDEX(FTE_Allocation!$J$2:$J$201,$AB345)="",2958101,INDEX(FTE_Allocation!$J$2:$J$201,$AB345))),"")))</f>
        <v/>
      </c>
      <c r="AG345" s="19">
        <f>IF($Z345="C",IF(INDEX(Contracts!$I$2:$I$151,$AB345)="PREPAID",INDEX(Contracts!$M$2:$M$151,$AB345)/IF(INDEX(Contracts!$N$2:$N$151,$AB345)="",12,INDEX(Contracts!$N$2:$N$151,$AB345)),IF(INDEX(Contracts!$I$2:$I$151,$AB345)="MONTHLY",INDEX(Contracts!$M$2:$M$151,$AB345),0))*(1-N(INDEX(Contracts!$O$2:$O$151,$AB345))),IF($Z345="A",INDEX(Fixed_Assets!$H$2:$H$201,$AB345)/INDEX(Fixed_Assets!$J$2:$J$201,$AB345),IF($Z345="F",INDEX(Workforce!$F$2:$F$151,MATCH(INDEX(FTE_Allocation!$A$2:$A$201,$AB345),Workforce!$A$2:$A$151,0))*N(INDEX(FTE_Allocation!$F$2:$H$201,$AB345,$AC345)),"")))</f>
        <v/>
      </c>
    </row>
    <row r="346">
      <c r="A346" s="7">
        <f>IF($Z346="","",$AD346)</f>
        <v/>
      </c>
      <c r="B346" s="7">
        <f>IF($Z346="C",INDEX(Contracts!$D$2:$D$151,$AB346)&amp;"",IF($Z346="A",INDEX(Fixed_Assets!$C$2:$C$201,$AB346)&amp;"",IF($Z346="F",INDEX(Workforce!$B$2:$B$151,MATCH(INDEX(FTE_Allocation!$A$2:$A$201,$AB346),Workforce!$A$2:$A$151,0))&amp;"","")))</f>
        <v/>
      </c>
      <c r="C346" s="7">
        <f>IF($Z346="C",INDEX(Contracts!$E$2:$E$151,$AB346)&amp;"",IF($Z346="A",INDEX(Fixed_Assets!$D$2:$D$201,$AB346)&amp;"",IF($Z346="F",INDEX(FTE_Allocation!$C$2:$C$201,$AB346)&amp;"","")))</f>
        <v/>
      </c>
      <c r="D346" s="7">
        <f>IF($Z346="C",INDEX(Contracts!$B$2:$B$151,$AB346)&amp;"",IF($Z346="A",INDEX(Fixed_Assets!$B$2:$B$201,$AB346)&amp;"",IF($Z346="F",INDEX(FTE_Allocation!$B$2:$B$201,$AB346)&amp;"","")))</f>
        <v/>
      </c>
      <c r="E346" s="7">
        <f>IF($Z346="C",INDEX(Contracts!$P$2:$P$151,$AB346)&amp;"",IF($Z346="A",INDEX(Fixed_Assets!$K$2:$K$201,$AB346)&amp;"",IF($Z346="F",IF(INDEX(FTE_Allocation!$D$2:$D$201,$AB346)="PROJECT",IFERROR(INDEX(Projects!$D:$D,MATCH(INDEX(FTE_Allocation!$E$2:$E$201,$AB346),Projects!$A:$A,0))&amp;"","#PROJECT?"),INDEX(FTE_Allocation!$E$2:$E$201,$AB346)&amp;""),"")))</f>
        <v/>
      </c>
      <c r="F346" s="7">
        <f>IF($Z346="C",INDEX(Contracts!$Q$2:$Q$151,$AB346)&amp;"",IF($Z346="A",INDEX(Fixed_Assets!$L$2:$L$201,$AB346)&amp;"",IF($Z346="F",INDEX(Workforce!$K$2:$K$151,MATCH(INDEX(FTE_Allocation!$A$2:$A$201,$AB346),Workforce!$A$2:$A$151,0))&amp;"","")))</f>
        <v/>
      </c>
      <c r="G346" s="7">
        <f>IF($Z346="C",INDEX(Contracts!$F$2:$F$151,$AB346)&amp;" / "&amp;INDEX(Contracts!$G$2:$G$151,$AB346),IF($Z346="A",INDEX(Fixed_Assets!$E$2:$E$201,$AB346)&amp;"",IF($Z346="F","Personnel "&amp;INDEX(FTE_Allocation!$A$2:$A$201,$AB346)&amp;IF(INDEX(FTE_Allocation!$D$2:$D$201,$AB346)="PROJECT"," ("&amp;INDEX(FTE_Allocation!$E$2:$E$201,$AB346)&amp;")",""),"")))</f>
        <v/>
      </c>
      <c r="H346" s="7">
        <f>IF($Z346="C","CONTRACT",IF($Z346="A","ASSET",IF($Z346="F","WORKFORCE","")))</f>
        <v/>
      </c>
      <c r="I346" s="7">
        <f>IF($Z346="C",INDEX(Contracts!$L$2:$L$151,$AB346)&amp;"",IF($Z346="A",INDEX(Fixed_Assets!$I$2:$I$201,$AB346)&amp;"",IF($Z346="F",INDEX(Workforce!$G$2:$G$151,MATCH(INDEX(FTE_Allocation!$A$2:$A$201,$AB346),Workforce!$A$2:$A$151,0))&amp;"","")))</f>
        <v/>
      </c>
      <c r="J346" s="18">
        <f>IF($Z346="","",IF(AND(DATE($AD346,1,1)&gt;=$AE346,DATE($AD346,1,1)&lt;=$AF346),ROUND($AG346,2),0))</f>
        <v/>
      </c>
      <c r="K346" s="18">
        <f>IF($Z346="","",IF(AND(DATE($AD346,2,1)&gt;=$AE346,DATE($AD346,2,1)&lt;=$AF346),ROUND($AG346,2),0))</f>
        <v/>
      </c>
      <c r="L346" s="18">
        <f>IF($Z346="","",IF(AND(DATE($AD346,3,1)&gt;=$AE346,DATE($AD346,3,1)&lt;=$AF346),ROUND($AG346,2),0))</f>
        <v/>
      </c>
      <c r="M346" s="18">
        <f>IF($Z346="","",IF(AND(DATE($AD346,4,1)&gt;=$AE346,DATE($AD346,4,1)&lt;=$AF346),ROUND($AG346,2),0))</f>
        <v/>
      </c>
      <c r="N346" s="18">
        <f>IF($Z346="","",IF(AND(DATE($AD346,5,1)&gt;=$AE346,DATE($AD346,5,1)&lt;=$AF346),ROUND($AG346,2),0))</f>
        <v/>
      </c>
      <c r="O346" s="18">
        <f>IF($Z346="","",IF(AND(DATE($AD346,6,1)&gt;=$AE346,DATE($AD346,6,1)&lt;=$AF346),ROUND($AG346,2),0))</f>
        <v/>
      </c>
      <c r="P346" s="18">
        <f>IF($Z346="","",IF(AND(DATE($AD346,7,1)&gt;=$AE346,DATE($AD346,7,1)&lt;=$AF346),ROUND($AG346,2),0))</f>
        <v/>
      </c>
      <c r="Q346" s="18">
        <f>IF($Z346="","",IF(AND(DATE($AD346,8,1)&gt;=$AE346,DATE($AD346,8,1)&lt;=$AF346),ROUND($AG346,2),0))</f>
        <v/>
      </c>
      <c r="R346" s="18">
        <f>IF($Z346="","",IF(AND(DATE($AD346,9,1)&gt;=$AE346,DATE($AD346,9,1)&lt;=$AF346),ROUND($AG346,2),0))</f>
        <v/>
      </c>
      <c r="S346" s="18">
        <f>IF($Z346="","",IF(AND(DATE($AD346,10,1)&gt;=$AE346,DATE($AD346,10,1)&lt;=$AF346),ROUND($AG346,2),0))</f>
        <v/>
      </c>
      <c r="T346" s="18">
        <f>IF($Z346="","",IF(AND(DATE($AD346,11,1)&gt;=$AE346,DATE($AD346,11,1)&lt;=$AF346),ROUND($AG346,2),0))</f>
        <v/>
      </c>
      <c r="U346" s="18">
        <f>IF($Z346="","",IF(AND(DATE($AD346,12,1)&gt;=$AE346,DATE($AD346,12,1)&lt;=$AF346),ROUND($AG346,2),0))</f>
        <v/>
      </c>
      <c r="V346" s="7">
        <f>IF($Z346="C","Generated from "&amp;INDEX(Contracts!$A$2:$A$151,$AB346),IF($Z346="A","Generated from "&amp;INDEX(Fixed_Assets!$A$2:$A$201,$AB346),IF($Z346="F","Generated from "&amp;INDEX(FTE_Allocation!$A$2:$A$201,$AB346),"")))</f>
        <v/>
      </c>
      <c r="X346" s="19">
        <f>IF($Z346="","",SUM(J346:U346))</f>
        <v/>
      </c>
      <c r="Y346" s="20">
        <f>ROW()-1</f>
        <v/>
      </c>
      <c r="Z346" s="20">
        <f>IF($Y346&lt;=Settings!$B$4*3,"C",IF($Y346&lt;=(Settings!$B$4+Settings!$B$5)*3,"A",IF($Y346&lt;=(Settings!$B$4+Settings!$B$5+Settings!$B$6)*3,"F","")))</f>
        <v/>
      </c>
      <c r="AA346" s="20">
        <f>IF($Z346="C",$Y346,IF($Z346="A",$Y346-Settings!$B$4*3,IF($Z346="F",$Y346-(Settings!$B$4+Settings!$B$5)*3,"")))</f>
        <v/>
      </c>
      <c r="AB346" s="20">
        <f>IF($Z346="","",INT(($AA346-1)/3)+1)</f>
        <v/>
      </c>
      <c r="AC346" s="20">
        <f>IF($Z346="","",MOD($AA346-1,3)+1)</f>
        <v/>
      </c>
      <c r="AD346" s="20">
        <f>IF($Z346="","",Settings!$B$2+$AC346-1)</f>
        <v/>
      </c>
      <c r="AE346" s="21">
        <f>IF($Z346="C",DATE(YEAR(INDEX(Contracts!$J$2:$J$151,$AB346)),MONTH(INDEX(Contracts!$J$2:$J$151,$AB346)),1),IF($Z346="A",DATE(YEAR(INDEX(Fixed_Assets!$G$2:$G$201,$AB346)),MONTH(INDEX(Fixed_Assets!$G$2:$G$201,$AB346)),1),IF($Z346="F",DATE(YEAR(MAX(N(INDEX(Workforce!$I$2:$I$151,MATCH(INDEX(FTE_Allocation!$A$2:$A$201,$AB346),Workforce!$A$2:$A$151,0))),N(INDEX(FTE_Allocation!$I$2:$I$201,$AB346)))),MONTH(MAX(N(INDEX(Workforce!$I$2:$I$151,MATCH(INDEX(FTE_Allocation!$A$2:$A$201,$AB346),Workforce!$A$2:$A$151,0))),N(INDEX(FTE_Allocation!$I$2:$I$201,$AB346)))),1),"")))</f>
        <v/>
      </c>
      <c r="AF346" s="21">
        <f>IF($Z346="C",IF(INDEX(Contracts!$I$2:$I$151,$AB346)="PREPAID",EDATE(DATE(YEAR(INDEX(Contracts!$J$2:$J$151,$AB346)),MONTH(INDEX(Contracts!$J$2:$J$151,$AB346)),1),IF(INDEX(Contracts!$N$2:$N$151,$AB346)="",12,INDEX(Contracts!$N$2:$N$151,$AB346))-1),IF(INDEX(Contracts!$I$2:$I$151,$AB346)="MONTHLY",IF(INDEX(Contracts!$K$2:$K$151,$AB346)="",2958101,INDEX(Contracts!$K$2:$K$151,$AB346)),0)),IF($Z346="A",EDATE(DATE(YEAR(INDEX(Fixed_Assets!$G$2:$G$201,$AB346)),MONTH(INDEX(Fixed_Assets!$G$2:$G$201,$AB346)),1),INDEX(Fixed_Assets!$J$2:$J$201,$AB346)-1),IF($Z346="F",MIN(IF(INDEX(Workforce!$J$2:$J$151,MATCH(INDEX(FTE_Allocation!$A$2:$A$201,$AB346),Workforce!$A$2:$A$151,0))="",2958101,INDEX(Workforce!$J$2:$J$151,MATCH(INDEX(FTE_Allocation!$A$2:$A$201,$AB346),Workforce!$A$2:$A$151,0))),IF(INDEX(FTE_Allocation!$J$2:$J$201,$AB346)="",2958101,INDEX(FTE_Allocation!$J$2:$J$201,$AB346))),"")))</f>
        <v/>
      </c>
      <c r="AG346" s="19">
        <f>IF($Z346="C",IF(INDEX(Contracts!$I$2:$I$151,$AB346)="PREPAID",INDEX(Contracts!$M$2:$M$151,$AB346)/IF(INDEX(Contracts!$N$2:$N$151,$AB346)="",12,INDEX(Contracts!$N$2:$N$151,$AB346)),IF(INDEX(Contracts!$I$2:$I$151,$AB346)="MONTHLY",INDEX(Contracts!$M$2:$M$151,$AB346),0))*(1-N(INDEX(Contracts!$O$2:$O$151,$AB346))),IF($Z346="A",INDEX(Fixed_Assets!$H$2:$H$201,$AB346)/INDEX(Fixed_Assets!$J$2:$J$201,$AB346),IF($Z346="F",INDEX(Workforce!$F$2:$F$151,MATCH(INDEX(FTE_Allocation!$A$2:$A$201,$AB346),Workforce!$A$2:$A$151,0))*N(INDEX(FTE_Allocation!$F$2:$H$201,$AB346,$AC346)),"")))</f>
        <v/>
      </c>
    </row>
    <row r="347">
      <c r="A347" s="7">
        <f>IF($Z347="","",$AD347)</f>
        <v/>
      </c>
      <c r="B347" s="7">
        <f>IF($Z347="C",INDEX(Contracts!$D$2:$D$151,$AB347)&amp;"",IF($Z347="A",INDEX(Fixed_Assets!$C$2:$C$201,$AB347)&amp;"",IF($Z347="F",INDEX(Workforce!$B$2:$B$151,MATCH(INDEX(FTE_Allocation!$A$2:$A$201,$AB347),Workforce!$A$2:$A$151,0))&amp;"","")))</f>
        <v/>
      </c>
      <c r="C347" s="7">
        <f>IF($Z347="C",INDEX(Contracts!$E$2:$E$151,$AB347)&amp;"",IF($Z347="A",INDEX(Fixed_Assets!$D$2:$D$201,$AB347)&amp;"",IF($Z347="F",INDEX(FTE_Allocation!$C$2:$C$201,$AB347)&amp;"","")))</f>
        <v/>
      </c>
      <c r="D347" s="7">
        <f>IF($Z347="C",INDEX(Contracts!$B$2:$B$151,$AB347)&amp;"",IF($Z347="A",INDEX(Fixed_Assets!$B$2:$B$201,$AB347)&amp;"",IF($Z347="F",INDEX(FTE_Allocation!$B$2:$B$201,$AB347)&amp;"","")))</f>
        <v/>
      </c>
      <c r="E347" s="7">
        <f>IF($Z347="C",INDEX(Contracts!$P$2:$P$151,$AB347)&amp;"",IF($Z347="A",INDEX(Fixed_Assets!$K$2:$K$201,$AB347)&amp;"",IF($Z347="F",IF(INDEX(FTE_Allocation!$D$2:$D$201,$AB347)="PROJECT",IFERROR(INDEX(Projects!$D:$D,MATCH(INDEX(FTE_Allocation!$E$2:$E$201,$AB347),Projects!$A:$A,0))&amp;"","#PROJECT?"),INDEX(FTE_Allocation!$E$2:$E$201,$AB347)&amp;""),"")))</f>
        <v/>
      </c>
      <c r="F347" s="7">
        <f>IF($Z347="C",INDEX(Contracts!$Q$2:$Q$151,$AB347)&amp;"",IF($Z347="A",INDEX(Fixed_Assets!$L$2:$L$201,$AB347)&amp;"",IF($Z347="F",INDEX(Workforce!$K$2:$K$151,MATCH(INDEX(FTE_Allocation!$A$2:$A$201,$AB347),Workforce!$A$2:$A$151,0))&amp;"","")))</f>
        <v/>
      </c>
      <c r="G347" s="7">
        <f>IF($Z347="C",INDEX(Contracts!$F$2:$F$151,$AB347)&amp;" / "&amp;INDEX(Contracts!$G$2:$G$151,$AB347),IF($Z347="A",INDEX(Fixed_Assets!$E$2:$E$201,$AB347)&amp;"",IF($Z347="F","Personnel "&amp;INDEX(FTE_Allocation!$A$2:$A$201,$AB347)&amp;IF(INDEX(FTE_Allocation!$D$2:$D$201,$AB347)="PROJECT"," ("&amp;INDEX(FTE_Allocation!$E$2:$E$201,$AB347)&amp;")",""),"")))</f>
        <v/>
      </c>
      <c r="H347" s="7">
        <f>IF($Z347="C","CONTRACT",IF($Z347="A","ASSET",IF($Z347="F","WORKFORCE","")))</f>
        <v/>
      </c>
      <c r="I347" s="7">
        <f>IF($Z347="C",INDEX(Contracts!$L$2:$L$151,$AB347)&amp;"",IF($Z347="A",INDEX(Fixed_Assets!$I$2:$I$201,$AB347)&amp;"",IF($Z347="F",INDEX(Workforce!$G$2:$G$151,MATCH(INDEX(FTE_Allocation!$A$2:$A$201,$AB347),Workforce!$A$2:$A$151,0))&amp;"","")))</f>
        <v/>
      </c>
      <c r="J347" s="18">
        <f>IF($Z347="","",IF(AND(DATE($AD347,1,1)&gt;=$AE347,DATE($AD347,1,1)&lt;=$AF347),ROUND($AG347,2),0))</f>
        <v/>
      </c>
      <c r="K347" s="18">
        <f>IF($Z347="","",IF(AND(DATE($AD347,2,1)&gt;=$AE347,DATE($AD347,2,1)&lt;=$AF347),ROUND($AG347,2),0))</f>
        <v/>
      </c>
      <c r="L347" s="18">
        <f>IF($Z347="","",IF(AND(DATE($AD347,3,1)&gt;=$AE347,DATE($AD347,3,1)&lt;=$AF347),ROUND($AG347,2),0))</f>
        <v/>
      </c>
      <c r="M347" s="18">
        <f>IF($Z347="","",IF(AND(DATE($AD347,4,1)&gt;=$AE347,DATE($AD347,4,1)&lt;=$AF347),ROUND($AG347,2),0))</f>
        <v/>
      </c>
      <c r="N347" s="18">
        <f>IF($Z347="","",IF(AND(DATE($AD347,5,1)&gt;=$AE347,DATE($AD347,5,1)&lt;=$AF347),ROUND($AG347,2),0))</f>
        <v/>
      </c>
      <c r="O347" s="18">
        <f>IF($Z347="","",IF(AND(DATE($AD347,6,1)&gt;=$AE347,DATE($AD347,6,1)&lt;=$AF347),ROUND($AG347,2),0))</f>
        <v/>
      </c>
      <c r="P347" s="18">
        <f>IF($Z347="","",IF(AND(DATE($AD347,7,1)&gt;=$AE347,DATE($AD347,7,1)&lt;=$AF347),ROUND($AG347,2),0))</f>
        <v/>
      </c>
      <c r="Q347" s="18">
        <f>IF($Z347="","",IF(AND(DATE($AD347,8,1)&gt;=$AE347,DATE($AD347,8,1)&lt;=$AF347),ROUND($AG347,2),0))</f>
        <v/>
      </c>
      <c r="R347" s="18">
        <f>IF($Z347="","",IF(AND(DATE($AD347,9,1)&gt;=$AE347,DATE($AD347,9,1)&lt;=$AF347),ROUND($AG347,2),0))</f>
        <v/>
      </c>
      <c r="S347" s="18">
        <f>IF($Z347="","",IF(AND(DATE($AD347,10,1)&gt;=$AE347,DATE($AD347,10,1)&lt;=$AF347),ROUND($AG347,2),0))</f>
        <v/>
      </c>
      <c r="T347" s="18">
        <f>IF($Z347="","",IF(AND(DATE($AD347,11,1)&gt;=$AE347,DATE($AD347,11,1)&lt;=$AF347),ROUND($AG347,2),0))</f>
        <v/>
      </c>
      <c r="U347" s="18">
        <f>IF($Z347="","",IF(AND(DATE($AD347,12,1)&gt;=$AE347,DATE($AD347,12,1)&lt;=$AF347),ROUND($AG347,2),0))</f>
        <v/>
      </c>
      <c r="V347" s="7">
        <f>IF($Z347="C","Generated from "&amp;INDEX(Contracts!$A$2:$A$151,$AB347),IF($Z347="A","Generated from "&amp;INDEX(Fixed_Assets!$A$2:$A$201,$AB347),IF($Z347="F","Generated from "&amp;INDEX(FTE_Allocation!$A$2:$A$201,$AB347),"")))</f>
        <v/>
      </c>
      <c r="X347" s="19">
        <f>IF($Z347="","",SUM(J347:U347))</f>
        <v/>
      </c>
      <c r="Y347" s="20">
        <f>ROW()-1</f>
        <v/>
      </c>
      <c r="Z347" s="20">
        <f>IF($Y347&lt;=Settings!$B$4*3,"C",IF($Y347&lt;=(Settings!$B$4+Settings!$B$5)*3,"A",IF($Y347&lt;=(Settings!$B$4+Settings!$B$5+Settings!$B$6)*3,"F","")))</f>
        <v/>
      </c>
      <c r="AA347" s="20">
        <f>IF($Z347="C",$Y347,IF($Z347="A",$Y347-Settings!$B$4*3,IF($Z347="F",$Y347-(Settings!$B$4+Settings!$B$5)*3,"")))</f>
        <v/>
      </c>
      <c r="AB347" s="20">
        <f>IF($Z347="","",INT(($AA347-1)/3)+1)</f>
        <v/>
      </c>
      <c r="AC347" s="20">
        <f>IF($Z347="","",MOD($AA347-1,3)+1)</f>
        <v/>
      </c>
      <c r="AD347" s="20">
        <f>IF($Z347="","",Settings!$B$2+$AC347-1)</f>
        <v/>
      </c>
      <c r="AE347" s="21">
        <f>IF($Z347="C",DATE(YEAR(INDEX(Contracts!$J$2:$J$151,$AB347)),MONTH(INDEX(Contracts!$J$2:$J$151,$AB347)),1),IF($Z347="A",DATE(YEAR(INDEX(Fixed_Assets!$G$2:$G$201,$AB347)),MONTH(INDEX(Fixed_Assets!$G$2:$G$201,$AB347)),1),IF($Z347="F",DATE(YEAR(MAX(N(INDEX(Workforce!$I$2:$I$151,MATCH(INDEX(FTE_Allocation!$A$2:$A$201,$AB347),Workforce!$A$2:$A$151,0))),N(INDEX(FTE_Allocation!$I$2:$I$201,$AB347)))),MONTH(MAX(N(INDEX(Workforce!$I$2:$I$151,MATCH(INDEX(FTE_Allocation!$A$2:$A$201,$AB347),Workforce!$A$2:$A$151,0))),N(INDEX(FTE_Allocation!$I$2:$I$201,$AB347)))),1),"")))</f>
        <v/>
      </c>
      <c r="AF347" s="21">
        <f>IF($Z347="C",IF(INDEX(Contracts!$I$2:$I$151,$AB347)="PREPAID",EDATE(DATE(YEAR(INDEX(Contracts!$J$2:$J$151,$AB347)),MONTH(INDEX(Contracts!$J$2:$J$151,$AB347)),1),IF(INDEX(Contracts!$N$2:$N$151,$AB347)="",12,INDEX(Contracts!$N$2:$N$151,$AB347))-1),IF(INDEX(Contracts!$I$2:$I$151,$AB347)="MONTHLY",IF(INDEX(Contracts!$K$2:$K$151,$AB347)="",2958101,INDEX(Contracts!$K$2:$K$151,$AB347)),0)),IF($Z347="A",EDATE(DATE(YEAR(INDEX(Fixed_Assets!$G$2:$G$201,$AB347)),MONTH(INDEX(Fixed_Assets!$G$2:$G$201,$AB347)),1),INDEX(Fixed_Assets!$J$2:$J$201,$AB347)-1),IF($Z347="F",MIN(IF(INDEX(Workforce!$J$2:$J$151,MATCH(INDEX(FTE_Allocation!$A$2:$A$201,$AB347),Workforce!$A$2:$A$151,0))="",2958101,INDEX(Workforce!$J$2:$J$151,MATCH(INDEX(FTE_Allocation!$A$2:$A$201,$AB347),Workforce!$A$2:$A$151,0))),IF(INDEX(FTE_Allocation!$J$2:$J$201,$AB347)="",2958101,INDEX(FTE_Allocation!$J$2:$J$201,$AB347))),"")))</f>
        <v/>
      </c>
      <c r="AG347" s="19">
        <f>IF($Z347="C",IF(INDEX(Contracts!$I$2:$I$151,$AB347)="PREPAID",INDEX(Contracts!$M$2:$M$151,$AB347)/IF(INDEX(Contracts!$N$2:$N$151,$AB347)="",12,INDEX(Contracts!$N$2:$N$151,$AB347)),IF(INDEX(Contracts!$I$2:$I$151,$AB347)="MONTHLY",INDEX(Contracts!$M$2:$M$151,$AB347),0))*(1-N(INDEX(Contracts!$O$2:$O$151,$AB347))),IF($Z347="A",INDEX(Fixed_Assets!$H$2:$H$201,$AB347)/INDEX(Fixed_Assets!$J$2:$J$201,$AB347),IF($Z347="F",INDEX(Workforce!$F$2:$F$151,MATCH(INDEX(FTE_Allocation!$A$2:$A$201,$AB347),Workforce!$A$2:$A$151,0))*N(INDEX(FTE_Allocation!$F$2:$H$201,$AB347,$AC347)),"")))</f>
        <v/>
      </c>
    </row>
    <row r="348">
      <c r="A348" s="7">
        <f>IF($Z348="","",$AD348)</f>
        <v/>
      </c>
      <c r="B348" s="7">
        <f>IF($Z348="C",INDEX(Contracts!$D$2:$D$151,$AB348)&amp;"",IF($Z348="A",INDEX(Fixed_Assets!$C$2:$C$201,$AB348)&amp;"",IF($Z348="F",INDEX(Workforce!$B$2:$B$151,MATCH(INDEX(FTE_Allocation!$A$2:$A$201,$AB348),Workforce!$A$2:$A$151,0))&amp;"","")))</f>
        <v/>
      </c>
      <c r="C348" s="7">
        <f>IF($Z348="C",INDEX(Contracts!$E$2:$E$151,$AB348)&amp;"",IF($Z348="A",INDEX(Fixed_Assets!$D$2:$D$201,$AB348)&amp;"",IF($Z348="F",INDEX(FTE_Allocation!$C$2:$C$201,$AB348)&amp;"","")))</f>
        <v/>
      </c>
      <c r="D348" s="7">
        <f>IF($Z348="C",INDEX(Contracts!$B$2:$B$151,$AB348)&amp;"",IF($Z348="A",INDEX(Fixed_Assets!$B$2:$B$201,$AB348)&amp;"",IF($Z348="F",INDEX(FTE_Allocation!$B$2:$B$201,$AB348)&amp;"","")))</f>
        <v/>
      </c>
      <c r="E348" s="7">
        <f>IF($Z348="C",INDEX(Contracts!$P$2:$P$151,$AB348)&amp;"",IF($Z348="A",INDEX(Fixed_Assets!$K$2:$K$201,$AB348)&amp;"",IF($Z348="F",IF(INDEX(FTE_Allocation!$D$2:$D$201,$AB348)="PROJECT",IFERROR(INDEX(Projects!$D:$D,MATCH(INDEX(FTE_Allocation!$E$2:$E$201,$AB348),Projects!$A:$A,0))&amp;"","#PROJECT?"),INDEX(FTE_Allocation!$E$2:$E$201,$AB348)&amp;""),"")))</f>
        <v/>
      </c>
      <c r="F348" s="7">
        <f>IF($Z348="C",INDEX(Contracts!$Q$2:$Q$151,$AB348)&amp;"",IF($Z348="A",INDEX(Fixed_Assets!$L$2:$L$201,$AB348)&amp;"",IF($Z348="F",INDEX(Workforce!$K$2:$K$151,MATCH(INDEX(FTE_Allocation!$A$2:$A$201,$AB348),Workforce!$A$2:$A$151,0))&amp;"","")))</f>
        <v/>
      </c>
      <c r="G348" s="7">
        <f>IF($Z348="C",INDEX(Contracts!$F$2:$F$151,$AB348)&amp;" / "&amp;INDEX(Contracts!$G$2:$G$151,$AB348),IF($Z348="A",INDEX(Fixed_Assets!$E$2:$E$201,$AB348)&amp;"",IF($Z348="F","Personnel "&amp;INDEX(FTE_Allocation!$A$2:$A$201,$AB348)&amp;IF(INDEX(FTE_Allocation!$D$2:$D$201,$AB348)="PROJECT"," ("&amp;INDEX(FTE_Allocation!$E$2:$E$201,$AB348)&amp;")",""),"")))</f>
        <v/>
      </c>
      <c r="H348" s="7">
        <f>IF($Z348="C","CONTRACT",IF($Z348="A","ASSET",IF($Z348="F","WORKFORCE","")))</f>
        <v/>
      </c>
      <c r="I348" s="7">
        <f>IF($Z348="C",INDEX(Contracts!$L$2:$L$151,$AB348)&amp;"",IF($Z348="A",INDEX(Fixed_Assets!$I$2:$I$201,$AB348)&amp;"",IF($Z348="F",INDEX(Workforce!$G$2:$G$151,MATCH(INDEX(FTE_Allocation!$A$2:$A$201,$AB348),Workforce!$A$2:$A$151,0))&amp;"","")))</f>
        <v/>
      </c>
      <c r="J348" s="18">
        <f>IF($Z348="","",IF(AND(DATE($AD348,1,1)&gt;=$AE348,DATE($AD348,1,1)&lt;=$AF348),ROUND($AG348,2),0))</f>
        <v/>
      </c>
      <c r="K348" s="18">
        <f>IF($Z348="","",IF(AND(DATE($AD348,2,1)&gt;=$AE348,DATE($AD348,2,1)&lt;=$AF348),ROUND($AG348,2),0))</f>
        <v/>
      </c>
      <c r="L348" s="18">
        <f>IF($Z348="","",IF(AND(DATE($AD348,3,1)&gt;=$AE348,DATE($AD348,3,1)&lt;=$AF348),ROUND($AG348,2),0))</f>
        <v/>
      </c>
      <c r="M348" s="18">
        <f>IF($Z348="","",IF(AND(DATE($AD348,4,1)&gt;=$AE348,DATE($AD348,4,1)&lt;=$AF348),ROUND($AG348,2),0))</f>
        <v/>
      </c>
      <c r="N348" s="18">
        <f>IF($Z348="","",IF(AND(DATE($AD348,5,1)&gt;=$AE348,DATE($AD348,5,1)&lt;=$AF348),ROUND($AG348,2),0))</f>
        <v/>
      </c>
      <c r="O348" s="18">
        <f>IF($Z348="","",IF(AND(DATE($AD348,6,1)&gt;=$AE348,DATE($AD348,6,1)&lt;=$AF348),ROUND($AG348,2),0))</f>
        <v/>
      </c>
      <c r="P348" s="18">
        <f>IF($Z348="","",IF(AND(DATE($AD348,7,1)&gt;=$AE348,DATE($AD348,7,1)&lt;=$AF348),ROUND($AG348,2),0))</f>
        <v/>
      </c>
      <c r="Q348" s="18">
        <f>IF($Z348="","",IF(AND(DATE($AD348,8,1)&gt;=$AE348,DATE($AD348,8,1)&lt;=$AF348),ROUND($AG348,2),0))</f>
        <v/>
      </c>
      <c r="R348" s="18">
        <f>IF($Z348="","",IF(AND(DATE($AD348,9,1)&gt;=$AE348,DATE($AD348,9,1)&lt;=$AF348),ROUND($AG348,2),0))</f>
        <v/>
      </c>
      <c r="S348" s="18">
        <f>IF($Z348="","",IF(AND(DATE($AD348,10,1)&gt;=$AE348,DATE($AD348,10,1)&lt;=$AF348),ROUND($AG348,2),0))</f>
        <v/>
      </c>
      <c r="T348" s="18">
        <f>IF($Z348="","",IF(AND(DATE($AD348,11,1)&gt;=$AE348,DATE($AD348,11,1)&lt;=$AF348),ROUND($AG348,2),0))</f>
        <v/>
      </c>
      <c r="U348" s="18">
        <f>IF($Z348="","",IF(AND(DATE($AD348,12,1)&gt;=$AE348,DATE($AD348,12,1)&lt;=$AF348),ROUND($AG348,2),0))</f>
        <v/>
      </c>
      <c r="V348" s="7">
        <f>IF($Z348="C","Generated from "&amp;INDEX(Contracts!$A$2:$A$151,$AB348),IF($Z348="A","Generated from "&amp;INDEX(Fixed_Assets!$A$2:$A$201,$AB348),IF($Z348="F","Generated from "&amp;INDEX(FTE_Allocation!$A$2:$A$201,$AB348),"")))</f>
        <v/>
      </c>
      <c r="X348" s="19">
        <f>IF($Z348="","",SUM(J348:U348))</f>
        <v/>
      </c>
      <c r="Y348" s="20">
        <f>ROW()-1</f>
        <v/>
      </c>
      <c r="Z348" s="20">
        <f>IF($Y348&lt;=Settings!$B$4*3,"C",IF($Y348&lt;=(Settings!$B$4+Settings!$B$5)*3,"A",IF($Y348&lt;=(Settings!$B$4+Settings!$B$5+Settings!$B$6)*3,"F","")))</f>
        <v/>
      </c>
      <c r="AA348" s="20">
        <f>IF($Z348="C",$Y348,IF($Z348="A",$Y348-Settings!$B$4*3,IF($Z348="F",$Y348-(Settings!$B$4+Settings!$B$5)*3,"")))</f>
        <v/>
      </c>
      <c r="AB348" s="20">
        <f>IF($Z348="","",INT(($AA348-1)/3)+1)</f>
        <v/>
      </c>
      <c r="AC348" s="20">
        <f>IF($Z348="","",MOD($AA348-1,3)+1)</f>
        <v/>
      </c>
      <c r="AD348" s="20">
        <f>IF($Z348="","",Settings!$B$2+$AC348-1)</f>
        <v/>
      </c>
      <c r="AE348" s="21">
        <f>IF($Z348="C",DATE(YEAR(INDEX(Contracts!$J$2:$J$151,$AB348)),MONTH(INDEX(Contracts!$J$2:$J$151,$AB348)),1),IF($Z348="A",DATE(YEAR(INDEX(Fixed_Assets!$G$2:$G$201,$AB348)),MONTH(INDEX(Fixed_Assets!$G$2:$G$201,$AB348)),1),IF($Z348="F",DATE(YEAR(MAX(N(INDEX(Workforce!$I$2:$I$151,MATCH(INDEX(FTE_Allocation!$A$2:$A$201,$AB348),Workforce!$A$2:$A$151,0))),N(INDEX(FTE_Allocation!$I$2:$I$201,$AB348)))),MONTH(MAX(N(INDEX(Workforce!$I$2:$I$151,MATCH(INDEX(FTE_Allocation!$A$2:$A$201,$AB348),Workforce!$A$2:$A$151,0))),N(INDEX(FTE_Allocation!$I$2:$I$201,$AB348)))),1),"")))</f>
        <v/>
      </c>
      <c r="AF348" s="21">
        <f>IF($Z348="C",IF(INDEX(Contracts!$I$2:$I$151,$AB348)="PREPAID",EDATE(DATE(YEAR(INDEX(Contracts!$J$2:$J$151,$AB348)),MONTH(INDEX(Contracts!$J$2:$J$151,$AB348)),1),IF(INDEX(Contracts!$N$2:$N$151,$AB348)="",12,INDEX(Contracts!$N$2:$N$151,$AB348))-1),IF(INDEX(Contracts!$I$2:$I$151,$AB348)="MONTHLY",IF(INDEX(Contracts!$K$2:$K$151,$AB348)="",2958101,INDEX(Contracts!$K$2:$K$151,$AB348)),0)),IF($Z348="A",EDATE(DATE(YEAR(INDEX(Fixed_Assets!$G$2:$G$201,$AB348)),MONTH(INDEX(Fixed_Assets!$G$2:$G$201,$AB348)),1),INDEX(Fixed_Assets!$J$2:$J$201,$AB348)-1),IF($Z348="F",MIN(IF(INDEX(Workforce!$J$2:$J$151,MATCH(INDEX(FTE_Allocation!$A$2:$A$201,$AB348),Workforce!$A$2:$A$151,0))="",2958101,INDEX(Workforce!$J$2:$J$151,MATCH(INDEX(FTE_Allocation!$A$2:$A$201,$AB348),Workforce!$A$2:$A$151,0))),IF(INDEX(FTE_Allocation!$J$2:$J$201,$AB348)="",2958101,INDEX(FTE_Allocation!$J$2:$J$201,$AB348))),"")))</f>
        <v/>
      </c>
      <c r="AG348" s="19">
        <f>IF($Z348="C",IF(INDEX(Contracts!$I$2:$I$151,$AB348)="PREPAID",INDEX(Contracts!$M$2:$M$151,$AB348)/IF(INDEX(Contracts!$N$2:$N$151,$AB348)="",12,INDEX(Contracts!$N$2:$N$151,$AB348)),IF(INDEX(Contracts!$I$2:$I$151,$AB348)="MONTHLY",INDEX(Contracts!$M$2:$M$151,$AB348),0))*(1-N(INDEX(Contracts!$O$2:$O$151,$AB348))),IF($Z348="A",INDEX(Fixed_Assets!$H$2:$H$201,$AB348)/INDEX(Fixed_Assets!$J$2:$J$201,$AB348),IF($Z348="F",INDEX(Workforce!$F$2:$F$151,MATCH(INDEX(FTE_Allocation!$A$2:$A$201,$AB348),Workforce!$A$2:$A$151,0))*N(INDEX(FTE_Allocation!$F$2:$H$201,$AB348,$AC348)),"")))</f>
        <v/>
      </c>
    </row>
    <row r="349">
      <c r="A349" s="7">
        <f>IF($Z349="","",$AD349)</f>
        <v/>
      </c>
      <c r="B349" s="7">
        <f>IF($Z349="C",INDEX(Contracts!$D$2:$D$151,$AB349)&amp;"",IF($Z349="A",INDEX(Fixed_Assets!$C$2:$C$201,$AB349)&amp;"",IF($Z349="F",INDEX(Workforce!$B$2:$B$151,MATCH(INDEX(FTE_Allocation!$A$2:$A$201,$AB349),Workforce!$A$2:$A$151,0))&amp;"","")))</f>
        <v/>
      </c>
      <c r="C349" s="7">
        <f>IF($Z349="C",INDEX(Contracts!$E$2:$E$151,$AB349)&amp;"",IF($Z349="A",INDEX(Fixed_Assets!$D$2:$D$201,$AB349)&amp;"",IF($Z349="F",INDEX(FTE_Allocation!$C$2:$C$201,$AB349)&amp;"","")))</f>
        <v/>
      </c>
      <c r="D349" s="7">
        <f>IF($Z349="C",INDEX(Contracts!$B$2:$B$151,$AB349)&amp;"",IF($Z349="A",INDEX(Fixed_Assets!$B$2:$B$201,$AB349)&amp;"",IF($Z349="F",INDEX(FTE_Allocation!$B$2:$B$201,$AB349)&amp;"","")))</f>
        <v/>
      </c>
      <c r="E349" s="7">
        <f>IF($Z349="C",INDEX(Contracts!$P$2:$P$151,$AB349)&amp;"",IF($Z349="A",INDEX(Fixed_Assets!$K$2:$K$201,$AB349)&amp;"",IF($Z349="F",IF(INDEX(FTE_Allocation!$D$2:$D$201,$AB349)="PROJECT",IFERROR(INDEX(Projects!$D:$D,MATCH(INDEX(FTE_Allocation!$E$2:$E$201,$AB349),Projects!$A:$A,0))&amp;"","#PROJECT?"),INDEX(FTE_Allocation!$E$2:$E$201,$AB349)&amp;""),"")))</f>
        <v/>
      </c>
      <c r="F349" s="7">
        <f>IF($Z349="C",INDEX(Contracts!$Q$2:$Q$151,$AB349)&amp;"",IF($Z349="A",INDEX(Fixed_Assets!$L$2:$L$201,$AB349)&amp;"",IF($Z349="F",INDEX(Workforce!$K$2:$K$151,MATCH(INDEX(FTE_Allocation!$A$2:$A$201,$AB349),Workforce!$A$2:$A$151,0))&amp;"","")))</f>
        <v/>
      </c>
      <c r="G349" s="7">
        <f>IF($Z349="C",INDEX(Contracts!$F$2:$F$151,$AB349)&amp;" / "&amp;INDEX(Contracts!$G$2:$G$151,$AB349),IF($Z349="A",INDEX(Fixed_Assets!$E$2:$E$201,$AB349)&amp;"",IF($Z349="F","Personnel "&amp;INDEX(FTE_Allocation!$A$2:$A$201,$AB349)&amp;IF(INDEX(FTE_Allocation!$D$2:$D$201,$AB349)="PROJECT"," ("&amp;INDEX(FTE_Allocation!$E$2:$E$201,$AB349)&amp;")",""),"")))</f>
        <v/>
      </c>
      <c r="H349" s="7">
        <f>IF($Z349="C","CONTRACT",IF($Z349="A","ASSET",IF($Z349="F","WORKFORCE","")))</f>
        <v/>
      </c>
      <c r="I349" s="7">
        <f>IF($Z349="C",INDEX(Contracts!$L$2:$L$151,$AB349)&amp;"",IF($Z349="A",INDEX(Fixed_Assets!$I$2:$I$201,$AB349)&amp;"",IF($Z349="F",INDEX(Workforce!$G$2:$G$151,MATCH(INDEX(FTE_Allocation!$A$2:$A$201,$AB349),Workforce!$A$2:$A$151,0))&amp;"","")))</f>
        <v/>
      </c>
      <c r="J349" s="18">
        <f>IF($Z349="","",IF(AND(DATE($AD349,1,1)&gt;=$AE349,DATE($AD349,1,1)&lt;=$AF349),ROUND($AG349,2),0))</f>
        <v/>
      </c>
      <c r="K349" s="18">
        <f>IF($Z349="","",IF(AND(DATE($AD349,2,1)&gt;=$AE349,DATE($AD349,2,1)&lt;=$AF349),ROUND($AG349,2),0))</f>
        <v/>
      </c>
      <c r="L349" s="18">
        <f>IF($Z349="","",IF(AND(DATE($AD349,3,1)&gt;=$AE349,DATE($AD349,3,1)&lt;=$AF349),ROUND($AG349,2),0))</f>
        <v/>
      </c>
      <c r="M349" s="18">
        <f>IF($Z349="","",IF(AND(DATE($AD349,4,1)&gt;=$AE349,DATE($AD349,4,1)&lt;=$AF349),ROUND($AG349,2),0))</f>
        <v/>
      </c>
      <c r="N349" s="18">
        <f>IF($Z349="","",IF(AND(DATE($AD349,5,1)&gt;=$AE349,DATE($AD349,5,1)&lt;=$AF349),ROUND($AG349,2),0))</f>
        <v/>
      </c>
      <c r="O349" s="18">
        <f>IF($Z349="","",IF(AND(DATE($AD349,6,1)&gt;=$AE349,DATE($AD349,6,1)&lt;=$AF349),ROUND($AG349,2),0))</f>
        <v/>
      </c>
      <c r="P349" s="18">
        <f>IF($Z349="","",IF(AND(DATE($AD349,7,1)&gt;=$AE349,DATE($AD349,7,1)&lt;=$AF349),ROUND($AG349,2),0))</f>
        <v/>
      </c>
      <c r="Q349" s="18">
        <f>IF($Z349="","",IF(AND(DATE($AD349,8,1)&gt;=$AE349,DATE($AD349,8,1)&lt;=$AF349),ROUND($AG349,2),0))</f>
        <v/>
      </c>
      <c r="R349" s="18">
        <f>IF($Z349="","",IF(AND(DATE($AD349,9,1)&gt;=$AE349,DATE($AD349,9,1)&lt;=$AF349),ROUND($AG349,2),0))</f>
        <v/>
      </c>
      <c r="S349" s="18">
        <f>IF($Z349="","",IF(AND(DATE($AD349,10,1)&gt;=$AE349,DATE($AD349,10,1)&lt;=$AF349),ROUND($AG349,2),0))</f>
        <v/>
      </c>
      <c r="T349" s="18">
        <f>IF($Z349="","",IF(AND(DATE($AD349,11,1)&gt;=$AE349,DATE($AD349,11,1)&lt;=$AF349),ROUND($AG349,2),0))</f>
        <v/>
      </c>
      <c r="U349" s="18">
        <f>IF($Z349="","",IF(AND(DATE($AD349,12,1)&gt;=$AE349,DATE($AD349,12,1)&lt;=$AF349),ROUND($AG349,2),0))</f>
        <v/>
      </c>
      <c r="V349" s="7">
        <f>IF($Z349="C","Generated from "&amp;INDEX(Contracts!$A$2:$A$151,$AB349),IF($Z349="A","Generated from "&amp;INDEX(Fixed_Assets!$A$2:$A$201,$AB349),IF($Z349="F","Generated from "&amp;INDEX(FTE_Allocation!$A$2:$A$201,$AB349),"")))</f>
        <v/>
      </c>
      <c r="X349" s="19">
        <f>IF($Z349="","",SUM(J349:U349))</f>
        <v/>
      </c>
      <c r="Y349" s="20">
        <f>ROW()-1</f>
        <v/>
      </c>
      <c r="Z349" s="20">
        <f>IF($Y349&lt;=Settings!$B$4*3,"C",IF($Y349&lt;=(Settings!$B$4+Settings!$B$5)*3,"A",IF($Y349&lt;=(Settings!$B$4+Settings!$B$5+Settings!$B$6)*3,"F","")))</f>
        <v/>
      </c>
      <c r="AA349" s="20">
        <f>IF($Z349="C",$Y349,IF($Z349="A",$Y349-Settings!$B$4*3,IF($Z349="F",$Y349-(Settings!$B$4+Settings!$B$5)*3,"")))</f>
        <v/>
      </c>
      <c r="AB349" s="20">
        <f>IF($Z349="","",INT(($AA349-1)/3)+1)</f>
        <v/>
      </c>
      <c r="AC349" s="20">
        <f>IF($Z349="","",MOD($AA349-1,3)+1)</f>
        <v/>
      </c>
      <c r="AD349" s="20">
        <f>IF($Z349="","",Settings!$B$2+$AC349-1)</f>
        <v/>
      </c>
      <c r="AE349" s="21">
        <f>IF($Z349="C",DATE(YEAR(INDEX(Contracts!$J$2:$J$151,$AB349)),MONTH(INDEX(Contracts!$J$2:$J$151,$AB349)),1),IF($Z349="A",DATE(YEAR(INDEX(Fixed_Assets!$G$2:$G$201,$AB349)),MONTH(INDEX(Fixed_Assets!$G$2:$G$201,$AB349)),1),IF($Z349="F",DATE(YEAR(MAX(N(INDEX(Workforce!$I$2:$I$151,MATCH(INDEX(FTE_Allocation!$A$2:$A$201,$AB349),Workforce!$A$2:$A$151,0))),N(INDEX(FTE_Allocation!$I$2:$I$201,$AB349)))),MONTH(MAX(N(INDEX(Workforce!$I$2:$I$151,MATCH(INDEX(FTE_Allocation!$A$2:$A$201,$AB349),Workforce!$A$2:$A$151,0))),N(INDEX(FTE_Allocation!$I$2:$I$201,$AB349)))),1),"")))</f>
        <v/>
      </c>
      <c r="AF349" s="21">
        <f>IF($Z349="C",IF(INDEX(Contracts!$I$2:$I$151,$AB349)="PREPAID",EDATE(DATE(YEAR(INDEX(Contracts!$J$2:$J$151,$AB349)),MONTH(INDEX(Contracts!$J$2:$J$151,$AB349)),1),IF(INDEX(Contracts!$N$2:$N$151,$AB349)="",12,INDEX(Contracts!$N$2:$N$151,$AB349))-1),IF(INDEX(Contracts!$I$2:$I$151,$AB349)="MONTHLY",IF(INDEX(Contracts!$K$2:$K$151,$AB349)="",2958101,INDEX(Contracts!$K$2:$K$151,$AB349)),0)),IF($Z349="A",EDATE(DATE(YEAR(INDEX(Fixed_Assets!$G$2:$G$201,$AB349)),MONTH(INDEX(Fixed_Assets!$G$2:$G$201,$AB349)),1),INDEX(Fixed_Assets!$J$2:$J$201,$AB349)-1),IF($Z349="F",MIN(IF(INDEX(Workforce!$J$2:$J$151,MATCH(INDEX(FTE_Allocation!$A$2:$A$201,$AB349),Workforce!$A$2:$A$151,0))="",2958101,INDEX(Workforce!$J$2:$J$151,MATCH(INDEX(FTE_Allocation!$A$2:$A$201,$AB349),Workforce!$A$2:$A$151,0))),IF(INDEX(FTE_Allocation!$J$2:$J$201,$AB349)="",2958101,INDEX(FTE_Allocation!$J$2:$J$201,$AB349))),"")))</f>
        <v/>
      </c>
      <c r="AG349" s="19">
        <f>IF($Z349="C",IF(INDEX(Contracts!$I$2:$I$151,$AB349)="PREPAID",INDEX(Contracts!$M$2:$M$151,$AB349)/IF(INDEX(Contracts!$N$2:$N$151,$AB349)="",12,INDEX(Contracts!$N$2:$N$151,$AB349)),IF(INDEX(Contracts!$I$2:$I$151,$AB349)="MONTHLY",INDEX(Contracts!$M$2:$M$151,$AB349),0))*(1-N(INDEX(Contracts!$O$2:$O$151,$AB349))),IF($Z349="A",INDEX(Fixed_Assets!$H$2:$H$201,$AB349)/INDEX(Fixed_Assets!$J$2:$J$201,$AB349),IF($Z349="F",INDEX(Workforce!$F$2:$F$151,MATCH(INDEX(FTE_Allocation!$A$2:$A$201,$AB349),Workforce!$A$2:$A$151,0))*N(INDEX(FTE_Allocation!$F$2:$H$201,$AB349,$AC349)),"")))</f>
        <v/>
      </c>
    </row>
    <row r="350">
      <c r="A350" s="7">
        <f>IF($Z350="","",$AD350)</f>
        <v/>
      </c>
      <c r="B350" s="7">
        <f>IF($Z350="C",INDEX(Contracts!$D$2:$D$151,$AB350)&amp;"",IF($Z350="A",INDEX(Fixed_Assets!$C$2:$C$201,$AB350)&amp;"",IF($Z350="F",INDEX(Workforce!$B$2:$B$151,MATCH(INDEX(FTE_Allocation!$A$2:$A$201,$AB350),Workforce!$A$2:$A$151,0))&amp;"","")))</f>
        <v/>
      </c>
      <c r="C350" s="7">
        <f>IF($Z350="C",INDEX(Contracts!$E$2:$E$151,$AB350)&amp;"",IF($Z350="A",INDEX(Fixed_Assets!$D$2:$D$201,$AB350)&amp;"",IF($Z350="F",INDEX(FTE_Allocation!$C$2:$C$201,$AB350)&amp;"","")))</f>
        <v/>
      </c>
      <c r="D350" s="7">
        <f>IF($Z350="C",INDEX(Contracts!$B$2:$B$151,$AB350)&amp;"",IF($Z350="A",INDEX(Fixed_Assets!$B$2:$B$201,$AB350)&amp;"",IF($Z350="F",INDEX(FTE_Allocation!$B$2:$B$201,$AB350)&amp;"","")))</f>
        <v/>
      </c>
      <c r="E350" s="7">
        <f>IF($Z350="C",INDEX(Contracts!$P$2:$P$151,$AB350)&amp;"",IF($Z350="A",INDEX(Fixed_Assets!$K$2:$K$201,$AB350)&amp;"",IF($Z350="F",IF(INDEX(FTE_Allocation!$D$2:$D$201,$AB350)="PROJECT",IFERROR(INDEX(Projects!$D:$D,MATCH(INDEX(FTE_Allocation!$E$2:$E$201,$AB350),Projects!$A:$A,0))&amp;"","#PROJECT?"),INDEX(FTE_Allocation!$E$2:$E$201,$AB350)&amp;""),"")))</f>
        <v/>
      </c>
      <c r="F350" s="7">
        <f>IF($Z350="C",INDEX(Contracts!$Q$2:$Q$151,$AB350)&amp;"",IF($Z350="A",INDEX(Fixed_Assets!$L$2:$L$201,$AB350)&amp;"",IF($Z350="F",INDEX(Workforce!$K$2:$K$151,MATCH(INDEX(FTE_Allocation!$A$2:$A$201,$AB350),Workforce!$A$2:$A$151,0))&amp;"","")))</f>
        <v/>
      </c>
      <c r="G350" s="7">
        <f>IF($Z350="C",INDEX(Contracts!$F$2:$F$151,$AB350)&amp;" / "&amp;INDEX(Contracts!$G$2:$G$151,$AB350),IF($Z350="A",INDEX(Fixed_Assets!$E$2:$E$201,$AB350)&amp;"",IF($Z350="F","Personnel "&amp;INDEX(FTE_Allocation!$A$2:$A$201,$AB350)&amp;IF(INDEX(FTE_Allocation!$D$2:$D$201,$AB350)="PROJECT"," ("&amp;INDEX(FTE_Allocation!$E$2:$E$201,$AB350)&amp;")",""),"")))</f>
        <v/>
      </c>
      <c r="H350" s="7">
        <f>IF($Z350="C","CONTRACT",IF($Z350="A","ASSET",IF($Z350="F","WORKFORCE","")))</f>
        <v/>
      </c>
      <c r="I350" s="7">
        <f>IF($Z350="C",INDEX(Contracts!$L$2:$L$151,$AB350)&amp;"",IF($Z350="A",INDEX(Fixed_Assets!$I$2:$I$201,$AB350)&amp;"",IF($Z350="F",INDEX(Workforce!$G$2:$G$151,MATCH(INDEX(FTE_Allocation!$A$2:$A$201,$AB350),Workforce!$A$2:$A$151,0))&amp;"","")))</f>
        <v/>
      </c>
      <c r="J350" s="18">
        <f>IF($Z350="","",IF(AND(DATE($AD350,1,1)&gt;=$AE350,DATE($AD350,1,1)&lt;=$AF350),ROUND($AG350,2),0))</f>
        <v/>
      </c>
      <c r="K350" s="18">
        <f>IF($Z350="","",IF(AND(DATE($AD350,2,1)&gt;=$AE350,DATE($AD350,2,1)&lt;=$AF350),ROUND($AG350,2),0))</f>
        <v/>
      </c>
      <c r="L350" s="18">
        <f>IF($Z350="","",IF(AND(DATE($AD350,3,1)&gt;=$AE350,DATE($AD350,3,1)&lt;=$AF350),ROUND($AG350,2),0))</f>
        <v/>
      </c>
      <c r="M350" s="18">
        <f>IF($Z350="","",IF(AND(DATE($AD350,4,1)&gt;=$AE350,DATE($AD350,4,1)&lt;=$AF350),ROUND($AG350,2),0))</f>
        <v/>
      </c>
      <c r="N350" s="18">
        <f>IF($Z350="","",IF(AND(DATE($AD350,5,1)&gt;=$AE350,DATE($AD350,5,1)&lt;=$AF350),ROUND($AG350,2),0))</f>
        <v/>
      </c>
      <c r="O350" s="18">
        <f>IF($Z350="","",IF(AND(DATE($AD350,6,1)&gt;=$AE350,DATE($AD350,6,1)&lt;=$AF350),ROUND($AG350,2),0))</f>
        <v/>
      </c>
      <c r="P350" s="18">
        <f>IF($Z350="","",IF(AND(DATE($AD350,7,1)&gt;=$AE350,DATE($AD350,7,1)&lt;=$AF350),ROUND($AG350,2),0))</f>
        <v/>
      </c>
      <c r="Q350" s="18">
        <f>IF($Z350="","",IF(AND(DATE($AD350,8,1)&gt;=$AE350,DATE($AD350,8,1)&lt;=$AF350),ROUND($AG350,2),0))</f>
        <v/>
      </c>
      <c r="R350" s="18">
        <f>IF($Z350="","",IF(AND(DATE($AD350,9,1)&gt;=$AE350,DATE($AD350,9,1)&lt;=$AF350),ROUND($AG350,2),0))</f>
        <v/>
      </c>
      <c r="S350" s="18">
        <f>IF($Z350="","",IF(AND(DATE($AD350,10,1)&gt;=$AE350,DATE($AD350,10,1)&lt;=$AF350),ROUND($AG350,2),0))</f>
        <v/>
      </c>
      <c r="T350" s="18">
        <f>IF($Z350="","",IF(AND(DATE($AD350,11,1)&gt;=$AE350,DATE($AD350,11,1)&lt;=$AF350),ROUND($AG350,2),0))</f>
        <v/>
      </c>
      <c r="U350" s="18">
        <f>IF($Z350="","",IF(AND(DATE($AD350,12,1)&gt;=$AE350,DATE($AD350,12,1)&lt;=$AF350),ROUND($AG350,2),0))</f>
        <v/>
      </c>
      <c r="V350" s="7">
        <f>IF($Z350="C","Generated from "&amp;INDEX(Contracts!$A$2:$A$151,$AB350),IF($Z350="A","Generated from "&amp;INDEX(Fixed_Assets!$A$2:$A$201,$AB350),IF($Z350="F","Generated from "&amp;INDEX(FTE_Allocation!$A$2:$A$201,$AB350),"")))</f>
        <v/>
      </c>
      <c r="X350" s="19">
        <f>IF($Z350="","",SUM(J350:U350))</f>
        <v/>
      </c>
      <c r="Y350" s="20">
        <f>ROW()-1</f>
        <v/>
      </c>
      <c r="Z350" s="20">
        <f>IF($Y350&lt;=Settings!$B$4*3,"C",IF($Y350&lt;=(Settings!$B$4+Settings!$B$5)*3,"A",IF($Y350&lt;=(Settings!$B$4+Settings!$B$5+Settings!$B$6)*3,"F","")))</f>
        <v/>
      </c>
      <c r="AA350" s="20">
        <f>IF($Z350="C",$Y350,IF($Z350="A",$Y350-Settings!$B$4*3,IF($Z350="F",$Y350-(Settings!$B$4+Settings!$B$5)*3,"")))</f>
        <v/>
      </c>
      <c r="AB350" s="20">
        <f>IF($Z350="","",INT(($AA350-1)/3)+1)</f>
        <v/>
      </c>
      <c r="AC350" s="20">
        <f>IF($Z350="","",MOD($AA350-1,3)+1)</f>
        <v/>
      </c>
      <c r="AD350" s="20">
        <f>IF($Z350="","",Settings!$B$2+$AC350-1)</f>
        <v/>
      </c>
      <c r="AE350" s="21">
        <f>IF($Z350="C",DATE(YEAR(INDEX(Contracts!$J$2:$J$151,$AB350)),MONTH(INDEX(Contracts!$J$2:$J$151,$AB350)),1),IF($Z350="A",DATE(YEAR(INDEX(Fixed_Assets!$G$2:$G$201,$AB350)),MONTH(INDEX(Fixed_Assets!$G$2:$G$201,$AB350)),1),IF($Z350="F",DATE(YEAR(MAX(N(INDEX(Workforce!$I$2:$I$151,MATCH(INDEX(FTE_Allocation!$A$2:$A$201,$AB350),Workforce!$A$2:$A$151,0))),N(INDEX(FTE_Allocation!$I$2:$I$201,$AB350)))),MONTH(MAX(N(INDEX(Workforce!$I$2:$I$151,MATCH(INDEX(FTE_Allocation!$A$2:$A$201,$AB350),Workforce!$A$2:$A$151,0))),N(INDEX(FTE_Allocation!$I$2:$I$201,$AB350)))),1),"")))</f>
        <v/>
      </c>
      <c r="AF350" s="21">
        <f>IF($Z350="C",IF(INDEX(Contracts!$I$2:$I$151,$AB350)="PREPAID",EDATE(DATE(YEAR(INDEX(Contracts!$J$2:$J$151,$AB350)),MONTH(INDEX(Contracts!$J$2:$J$151,$AB350)),1),IF(INDEX(Contracts!$N$2:$N$151,$AB350)="",12,INDEX(Contracts!$N$2:$N$151,$AB350))-1),IF(INDEX(Contracts!$I$2:$I$151,$AB350)="MONTHLY",IF(INDEX(Contracts!$K$2:$K$151,$AB350)="",2958101,INDEX(Contracts!$K$2:$K$151,$AB350)),0)),IF($Z350="A",EDATE(DATE(YEAR(INDEX(Fixed_Assets!$G$2:$G$201,$AB350)),MONTH(INDEX(Fixed_Assets!$G$2:$G$201,$AB350)),1),INDEX(Fixed_Assets!$J$2:$J$201,$AB350)-1),IF($Z350="F",MIN(IF(INDEX(Workforce!$J$2:$J$151,MATCH(INDEX(FTE_Allocation!$A$2:$A$201,$AB350),Workforce!$A$2:$A$151,0))="",2958101,INDEX(Workforce!$J$2:$J$151,MATCH(INDEX(FTE_Allocation!$A$2:$A$201,$AB350),Workforce!$A$2:$A$151,0))),IF(INDEX(FTE_Allocation!$J$2:$J$201,$AB350)="",2958101,INDEX(FTE_Allocation!$J$2:$J$201,$AB350))),"")))</f>
        <v/>
      </c>
      <c r="AG350" s="19">
        <f>IF($Z350="C",IF(INDEX(Contracts!$I$2:$I$151,$AB350)="PREPAID",INDEX(Contracts!$M$2:$M$151,$AB350)/IF(INDEX(Contracts!$N$2:$N$151,$AB350)="",12,INDEX(Contracts!$N$2:$N$151,$AB350)),IF(INDEX(Contracts!$I$2:$I$151,$AB350)="MONTHLY",INDEX(Contracts!$M$2:$M$151,$AB350),0))*(1-N(INDEX(Contracts!$O$2:$O$151,$AB350))),IF($Z350="A",INDEX(Fixed_Assets!$H$2:$H$201,$AB350)/INDEX(Fixed_Assets!$J$2:$J$201,$AB350),IF($Z350="F",INDEX(Workforce!$F$2:$F$151,MATCH(INDEX(FTE_Allocation!$A$2:$A$201,$AB350),Workforce!$A$2:$A$151,0))*N(INDEX(FTE_Allocation!$F$2:$H$201,$AB350,$AC350)),"")))</f>
        <v/>
      </c>
    </row>
    <row r="351">
      <c r="A351" s="7">
        <f>IF($Z351="","",$AD351)</f>
        <v/>
      </c>
      <c r="B351" s="7">
        <f>IF($Z351="C",INDEX(Contracts!$D$2:$D$151,$AB351)&amp;"",IF($Z351="A",INDEX(Fixed_Assets!$C$2:$C$201,$AB351)&amp;"",IF($Z351="F",INDEX(Workforce!$B$2:$B$151,MATCH(INDEX(FTE_Allocation!$A$2:$A$201,$AB351),Workforce!$A$2:$A$151,0))&amp;"","")))</f>
        <v/>
      </c>
      <c r="C351" s="7">
        <f>IF($Z351="C",INDEX(Contracts!$E$2:$E$151,$AB351)&amp;"",IF($Z351="A",INDEX(Fixed_Assets!$D$2:$D$201,$AB351)&amp;"",IF($Z351="F",INDEX(FTE_Allocation!$C$2:$C$201,$AB351)&amp;"","")))</f>
        <v/>
      </c>
      <c r="D351" s="7">
        <f>IF($Z351="C",INDEX(Contracts!$B$2:$B$151,$AB351)&amp;"",IF($Z351="A",INDEX(Fixed_Assets!$B$2:$B$201,$AB351)&amp;"",IF($Z351="F",INDEX(FTE_Allocation!$B$2:$B$201,$AB351)&amp;"","")))</f>
        <v/>
      </c>
      <c r="E351" s="7">
        <f>IF($Z351="C",INDEX(Contracts!$P$2:$P$151,$AB351)&amp;"",IF($Z351="A",INDEX(Fixed_Assets!$K$2:$K$201,$AB351)&amp;"",IF($Z351="F",IF(INDEX(FTE_Allocation!$D$2:$D$201,$AB351)="PROJECT",IFERROR(INDEX(Projects!$D:$D,MATCH(INDEX(FTE_Allocation!$E$2:$E$201,$AB351),Projects!$A:$A,0))&amp;"","#PROJECT?"),INDEX(FTE_Allocation!$E$2:$E$201,$AB351)&amp;""),"")))</f>
        <v/>
      </c>
      <c r="F351" s="7">
        <f>IF($Z351="C",INDEX(Contracts!$Q$2:$Q$151,$AB351)&amp;"",IF($Z351="A",INDEX(Fixed_Assets!$L$2:$L$201,$AB351)&amp;"",IF($Z351="F",INDEX(Workforce!$K$2:$K$151,MATCH(INDEX(FTE_Allocation!$A$2:$A$201,$AB351),Workforce!$A$2:$A$151,0))&amp;"","")))</f>
        <v/>
      </c>
      <c r="G351" s="7">
        <f>IF($Z351="C",INDEX(Contracts!$F$2:$F$151,$AB351)&amp;" / "&amp;INDEX(Contracts!$G$2:$G$151,$AB351),IF($Z351="A",INDEX(Fixed_Assets!$E$2:$E$201,$AB351)&amp;"",IF($Z351="F","Personnel "&amp;INDEX(FTE_Allocation!$A$2:$A$201,$AB351)&amp;IF(INDEX(FTE_Allocation!$D$2:$D$201,$AB351)="PROJECT"," ("&amp;INDEX(FTE_Allocation!$E$2:$E$201,$AB351)&amp;")",""),"")))</f>
        <v/>
      </c>
      <c r="H351" s="7">
        <f>IF($Z351="C","CONTRACT",IF($Z351="A","ASSET",IF($Z351="F","WORKFORCE","")))</f>
        <v/>
      </c>
      <c r="I351" s="7">
        <f>IF($Z351="C",INDEX(Contracts!$L$2:$L$151,$AB351)&amp;"",IF($Z351="A",INDEX(Fixed_Assets!$I$2:$I$201,$AB351)&amp;"",IF($Z351="F",INDEX(Workforce!$G$2:$G$151,MATCH(INDEX(FTE_Allocation!$A$2:$A$201,$AB351),Workforce!$A$2:$A$151,0))&amp;"","")))</f>
        <v/>
      </c>
      <c r="J351" s="18">
        <f>IF($Z351="","",IF(AND(DATE($AD351,1,1)&gt;=$AE351,DATE($AD351,1,1)&lt;=$AF351),ROUND($AG351,2),0))</f>
        <v/>
      </c>
      <c r="K351" s="18">
        <f>IF($Z351="","",IF(AND(DATE($AD351,2,1)&gt;=$AE351,DATE($AD351,2,1)&lt;=$AF351),ROUND($AG351,2),0))</f>
        <v/>
      </c>
      <c r="L351" s="18">
        <f>IF($Z351="","",IF(AND(DATE($AD351,3,1)&gt;=$AE351,DATE($AD351,3,1)&lt;=$AF351),ROUND($AG351,2),0))</f>
        <v/>
      </c>
      <c r="M351" s="18">
        <f>IF($Z351="","",IF(AND(DATE($AD351,4,1)&gt;=$AE351,DATE($AD351,4,1)&lt;=$AF351),ROUND($AG351,2),0))</f>
        <v/>
      </c>
      <c r="N351" s="18">
        <f>IF($Z351="","",IF(AND(DATE($AD351,5,1)&gt;=$AE351,DATE($AD351,5,1)&lt;=$AF351),ROUND($AG351,2),0))</f>
        <v/>
      </c>
      <c r="O351" s="18">
        <f>IF($Z351="","",IF(AND(DATE($AD351,6,1)&gt;=$AE351,DATE($AD351,6,1)&lt;=$AF351),ROUND($AG351,2),0))</f>
        <v/>
      </c>
      <c r="P351" s="18">
        <f>IF($Z351="","",IF(AND(DATE($AD351,7,1)&gt;=$AE351,DATE($AD351,7,1)&lt;=$AF351),ROUND($AG351,2),0))</f>
        <v/>
      </c>
      <c r="Q351" s="18">
        <f>IF($Z351="","",IF(AND(DATE($AD351,8,1)&gt;=$AE351,DATE($AD351,8,1)&lt;=$AF351),ROUND($AG351,2),0))</f>
        <v/>
      </c>
      <c r="R351" s="18">
        <f>IF($Z351="","",IF(AND(DATE($AD351,9,1)&gt;=$AE351,DATE($AD351,9,1)&lt;=$AF351),ROUND($AG351,2),0))</f>
        <v/>
      </c>
      <c r="S351" s="18">
        <f>IF($Z351="","",IF(AND(DATE($AD351,10,1)&gt;=$AE351,DATE($AD351,10,1)&lt;=$AF351),ROUND($AG351,2),0))</f>
        <v/>
      </c>
      <c r="T351" s="18">
        <f>IF($Z351="","",IF(AND(DATE($AD351,11,1)&gt;=$AE351,DATE($AD351,11,1)&lt;=$AF351),ROUND($AG351,2),0))</f>
        <v/>
      </c>
      <c r="U351" s="18">
        <f>IF($Z351="","",IF(AND(DATE($AD351,12,1)&gt;=$AE351,DATE($AD351,12,1)&lt;=$AF351),ROUND($AG351,2),0))</f>
        <v/>
      </c>
      <c r="V351" s="7">
        <f>IF($Z351="C","Generated from "&amp;INDEX(Contracts!$A$2:$A$151,$AB351),IF($Z351="A","Generated from "&amp;INDEX(Fixed_Assets!$A$2:$A$201,$AB351),IF($Z351="F","Generated from "&amp;INDEX(FTE_Allocation!$A$2:$A$201,$AB351),"")))</f>
        <v/>
      </c>
      <c r="X351" s="19">
        <f>IF($Z351="","",SUM(J351:U351))</f>
        <v/>
      </c>
      <c r="Y351" s="20">
        <f>ROW()-1</f>
        <v/>
      </c>
      <c r="Z351" s="20">
        <f>IF($Y351&lt;=Settings!$B$4*3,"C",IF($Y351&lt;=(Settings!$B$4+Settings!$B$5)*3,"A",IF($Y351&lt;=(Settings!$B$4+Settings!$B$5+Settings!$B$6)*3,"F","")))</f>
        <v/>
      </c>
      <c r="AA351" s="20">
        <f>IF($Z351="C",$Y351,IF($Z351="A",$Y351-Settings!$B$4*3,IF($Z351="F",$Y351-(Settings!$B$4+Settings!$B$5)*3,"")))</f>
        <v/>
      </c>
      <c r="AB351" s="20">
        <f>IF($Z351="","",INT(($AA351-1)/3)+1)</f>
        <v/>
      </c>
      <c r="AC351" s="20">
        <f>IF($Z351="","",MOD($AA351-1,3)+1)</f>
        <v/>
      </c>
      <c r="AD351" s="20">
        <f>IF($Z351="","",Settings!$B$2+$AC351-1)</f>
        <v/>
      </c>
      <c r="AE351" s="21">
        <f>IF($Z351="C",DATE(YEAR(INDEX(Contracts!$J$2:$J$151,$AB351)),MONTH(INDEX(Contracts!$J$2:$J$151,$AB351)),1),IF($Z351="A",DATE(YEAR(INDEX(Fixed_Assets!$G$2:$G$201,$AB351)),MONTH(INDEX(Fixed_Assets!$G$2:$G$201,$AB351)),1),IF($Z351="F",DATE(YEAR(MAX(N(INDEX(Workforce!$I$2:$I$151,MATCH(INDEX(FTE_Allocation!$A$2:$A$201,$AB351),Workforce!$A$2:$A$151,0))),N(INDEX(FTE_Allocation!$I$2:$I$201,$AB351)))),MONTH(MAX(N(INDEX(Workforce!$I$2:$I$151,MATCH(INDEX(FTE_Allocation!$A$2:$A$201,$AB351),Workforce!$A$2:$A$151,0))),N(INDEX(FTE_Allocation!$I$2:$I$201,$AB351)))),1),"")))</f>
        <v/>
      </c>
      <c r="AF351" s="21">
        <f>IF($Z351="C",IF(INDEX(Contracts!$I$2:$I$151,$AB351)="PREPAID",EDATE(DATE(YEAR(INDEX(Contracts!$J$2:$J$151,$AB351)),MONTH(INDEX(Contracts!$J$2:$J$151,$AB351)),1),IF(INDEX(Contracts!$N$2:$N$151,$AB351)="",12,INDEX(Contracts!$N$2:$N$151,$AB351))-1),IF(INDEX(Contracts!$I$2:$I$151,$AB351)="MONTHLY",IF(INDEX(Contracts!$K$2:$K$151,$AB351)="",2958101,INDEX(Contracts!$K$2:$K$151,$AB351)),0)),IF($Z351="A",EDATE(DATE(YEAR(INDEX(Fixed_Assets!$G$2:$G$201,$AB351)),MONTH(INDEX(Fixed_Assets!$G$2:$G$201,$AB351)),1),INDEX(Fixed_Assets!$J$2:$J$201,$AB351)-1),IF($Z351="F",MIN(IF(INDEX(Workforce!$J$2:$J$151,MATCH(INDEX(FTE_Allocation!$A$2:$A$201,$AB351),Workforce!$A$2:$A$151,0))="",2958101,INDEX(Workforce!$J$2:$J$151,MATCH(INDEX(FTE_Allocation!$A$2:$A$201,$AB351),Workforce!$A$2:$A$151,0))),IF(INDEX(FTE_Allocation!$J$2:$J$201,$AB351)="",2958101,INDEX(FTE_Allocation!$J$2:$J$201,$AB351))),"")))</f>
        <v/>
      </c>
      <c r="AG351" s="19">
        <f>IF($Z351="C",IF(INDEX(Contracts!$I$2:$I$151,$AB351)="PREPAID",INDEX(Contracts!$M$2:$M$151,$AB351)/IF(INDEX(Contracts!$N$2:$N$151,$AB351)="",12,INDEX(Contracts!$N$2:$N$151,$AB351)),IF(INDEX(Contracts!$I$2:$I$151,$AB351)="MONTHLY",INDEX(Contracts!$M$2:$M$151,$AB351),0))*(1-N(INDEX(Contracts!$O$2:$O$151,$AB351))),IF($Z351="A",INDEX(Fixed_Assets!$H$2:$H$201,$AB351)/INDEX(Fixed_Assets!$J$2:$J$201,$AB351),IF($Z351="F",INDEX(Workforce!$F$2:$F$151,MATCH(INDEX(FTE_Allocation!$A$2:$A$201,$AB351),Workforce!$A$2:$A$151,0))*N(INDEX(FTE_Allocation!$F$2:$H$201,$AB351,$AC351)),"")))</f>
        <v/>
      </c>
    </row>
    <row r="352">
      <c r="A352" s="7">
        <f>IF($Z352="","",$AD352)</f>
        <v/>
      </c>
      <c r="B352" s="7">
        <f>IF($Z352="C",INDEX(Contracts!$D$2:$D$151,$AB352)&amp;"",IF($Z352="A",INDEX(Fixed_Assets!$C$2:$C$201,$AB352)&amp;"",IF($Z352="F",INDEX(Workforce!$B$2:$B$151,MATCH(INDEX(FTE_Allocation!$A$2:$A$201,$AB352),Workforce!$A$2:$A$151,0))&amp;"","")))</f>
        <v/>
      </c>
      <c r="C352" s="7">
        <f>IF($Z352="C",INDEX(Contracts!$E$2:$E$151,$AB352)&amp;"",IF($Z352="A",INDEX(Fixed_Assets!$D$2:$D$201,$AB352)&amp;"",IF($Z352="F",INDEX(FTE_Allocation!$C$2:$C$201,$AB352)&amp;"","")))</f>
        <v/>
      </c>
      <c r="D352" s="7">
        <f>IF($Z352="C",INDEX(Contracts!$B$2:$B$151,$AB352)&amp;"",IF($Z352="A",INDEX(Fixed_Assets!$B$2:$B$201,$AB352)&amp;"",IF($Z352="F",INDEX(FTE_Allocation!$B$2:$B$201,$AB352)&amp;"","")))</f>
        <v/>
      </c>
      <c r="E352" s="7">
        <f>IF($Z352="C",INDEX(Contracts!$P$2:$P$151,$AB352)&amp;"",IF($Z352="A",INDEX(Fixed_Assets!$K$2:$K$201,$AB352)&amp;"",IF($Z352="F",IF(INDEX(FTE_Allocation!$D$2:$D$201,$AB352)="PROJECT",IFERROR(INDEX(Projects!$D:$D,MATCH(INDEX(FTE_Allocation!$E$2:$E$201,$AB352),Projects!$A:$A,0))&amp;"","#PROJECT?"),INDEX(FTE_Allocation!$E$2:$E$201,$AB352)&amp;""),"")))</f>
        <v/>
      </c>
      <c r="F352" s="7">
        <f>IF($Z352="C",INDEX(Contracts!$Q$2:$Q$151,$AB352)&amp;"",IF($Z352="A",INDEX(Fixed_Assets!$L$2:$L$201,$AB352)&amp;"",IF($Z352="F",INDEX(Workforce!$K$2:$K$151,MATCH(INDEX(FTE_Allocation!$A$2:$A$201,$AB352),Workforce!$A$2:$A$151,0))&amp;"","")))</f>
        <v/>
      </c>
      <c r="G352" s="7">
        <f>IF($Z352="C",INDEX(Contracts!$F$2:$F$151,$AB352)&amp;" / "&amp;INDEX(Contracts!$G$2:$G$151,$AB352),IF($Z352="A",INDEX(Fixed_Assets!$E$2:$E$201,$AB352)&amp;"",IF($Z352="F","Personnel "&amp;INDEX(FTE_Allocation!$A$2:$A$201,$AB352)&amp;IF(INDEX(FTE_Allocation!$D$2:$D$201,$AB352)="PROJECT"," ("&amp;INDEX(FTE_Allocation!$E$2:$E$201,$AB352)&amp;")",""),"")))</f>
        <v/>
      </c>
      <c r="H352" s="7">
        <f>IF($Z352="C","CONTRACT",IF($Z352="A","ASSET",IF($Z352="F","WORKFORCE","")))</f>
        <v/>
      </c>
      <c r="I352" s="7">
        <f>IF($Z352="C",INDEX(Contracts!$L$2:$L$151,$AB352)&amp;"",IF($Z352="A",INDEX(Fixed_Assets!$I$2:$I$201,$AB352)&amp;"",IF($Z352="F",INDEX(Workforce!$G$2:$G$151,MATCH(INDEX(FTE_Allocation!$A$2:$A$201,$AB352),Workforce!$A$2:$A$151,0))&amp;"","")))</f>
        <v/>
      </c>
      <c r="J352" s="18">
        <f>IF($Z352="","",IF(AND(DATE($AD352,1,1)&gt;=$AE352,DATE($AD352,1,1)&lt;=$AF352),ROUND($AG352,2),0))</f>
        <v/>
      </c>
      <c r="K352" s="18">
        <f>IF($Z352="","",IF(AND(DATE($AD352,2,1)&gt;=$AE352,DATE($AD352,2,1)&lt;=$AF352),ROUND($AG352,2),0))</f>
        <v/>
      </c>
      <c r="L352" s="18">
        <f>IF($Z352="","",IF(AND(DATE($AD352,3,1)&gt;=$AE352,DATE($AD352,3,1)&lt;=$AF352),ROUND($AG352,2),0))</f>
        <v/>
      </c>
      <c r="M352" s="18">
        <f>IF($Z352="","",IF(AND(DATE($AD352,4,1)&gt;=$AE352,DATE($AD352,4,1)&lt;=$AF352),ROUND($AG352,2),0))</f>
        <v/>
      </c>
      <c r="N352" s="18">
        <f>IF($Z352="","",IF(AND(DATE($AD352,5,1)&gt;=$AE352,DATE($AD352,5,1)&lt;=$AF352),ROUND($AG352,2),0))</f>
        <v/>
      </c>
      <c r="O352" s="18">
        <f>IF($Z352="","",IF(AND(DATE($AD352,6,1)&gt;=$AE352,DATE($AD352,6,1)&lt;=$AF352),ROUND($AG352,2),0))</f>
        <v/>
      </c>
      <c r="P352" s="18">
        <f>IF($Z352="","",IF(AND(DATE($AD352,7,1)&gt;=$AE352,DATE($AD352,7,1)&lt;=$AF352),ROUND($AG352,2),0))</f>
        <v/>
      </c>
      <c r="Q352" s="18">
        <f>IF($Z352="","",IF(AND(DATE($AD352,8,1)&gt;=$AE352,DATE($AD352,8,1)&lt;=$AF352),ROUND($AG352,2),0))</f>
        <v/>
      </c>
      <c r="R352" s="18">
        <f>IF($Z352="","",IF(AND(DATE($AD352,9,1)&gt;=$AE352,DATE($AD352,9,1)&lt;=$AF352),ROUND($AG352,2),0))</f>
        <v/>
      </c>
      <c r="S352" s="18">
        <f>IF($Z352="","",IF(AND(DATE($AD352,10,1)&gt;=$AE352,DATE($AD352,10,1)&lt;=$AF352),ROUND($AG352,2),0))</f>
        <v/>
      </c>
      <c r="T352" s="18">
        <f>IF($Z352="","",IF(AND(DATE($AD352,11,1)&gt;=$AE352,DATE($AD352,11,1)&lt;=$AF352),ROUND($AG352,2),0))</f>
        <v/>
      </c>
      <c r="U352" s="18">
        <f>IF($Z352="","",IF(AND(DATE($AD352,12,1)&gt;=$AE352,DATE($AD352,12,1)&lt;=$AF352),ROUND($AG352,2),0))</f>
        <v/>
      </c>
      <c r="V352" s="7">
        <f>IF($Z352="C","Generated from "&amp;INDEX(Contracts!$A$2:$A$151,$AB352),IF($Z352="A","Generated from "&amp;INDEX(Fixed_Assets!$A$2:$A$201,$AB352),IF($Z352="F","Generated from "&amp;INDEX(FTE_Allocation!$A$2:$A$201,$AB352),"")))</f>
        <v/>
      </c>
      <c r="X352" s="19">
        <f>IF($Z352="","",SUM(J352:U352))</f>
        <v/>
      </c>
      <c r="Y352" s="20">
        <f>ROW()-1</f>
        <v/>
      </c>
      <c r="Z352" s="20">
        <f>IF($Y352&lt;=Settings!$B$4*3,"C",IF($Y352&lt;=(Settings!$B$4+Settings!$B$5)*3,"A",IF($Y352&lt;=(Settings!$B$4+Settings!$B$5+Settings!$B$6)*3,"F","")))</f>
        <v/>
      </c>
      <c r="AA352" s="20">
        <f>IF($Z352="C",$Y352,IF($Z352="A",$Y352-Settings!$B$4*3,IF($Z352="F",$Y352-(Settings!$B$4+Settings!$B$5)*3,"")))</f>
        <v/>
      </c>
      <c r="AB352" s="20">
        <f>IF($Z352="","",INT(($AA352-1)/3)+1)</f>
        <v/>
      </c>
      <c r="AC352" s="20">
        <f>IF($Z352="","",MOD($AA352-1,3)+1)</f>
        <v/>
      </c>
      <c r="AD352" s="20">
        <f>IF($Z352="","",Settings!$B$2+$AC352-1)</f>
        <v/>
      </c>
      <c r="AE352" s="21">
        <f>IF($Z352="C",DATE(YEAR(INDEX(Contracts!$J$2:$J$151,$AB352)),MONTH(INDEX(Contracts!$J$2:$J$151,$AB352)),1),IF($Z352="A",DATE(YEAR(INDEX(Fixed_Assets!$G$2:$G$201,$AB352)),MONTH(INDEX(Fixed_Assets!$G$2:$G$201,$AB352)),1),IF($Z352="F",DATE(YEAR(MAX(N(INDEX(Workforce!$I$2:$I$151,MATCH(INDEX(FTE_Allocation!$A$2:$A$201,$AB352),Workforce!$A$2:$A$151,0))),N(INDEX(FTE_Allocation!$I$2:$I$201,$AB352)))),MONTH(MAX(N(INDEX(Workforce!$I$2:$I$151,MATCH(INDEX(FTE_Allocation!$A$2:$A$201,$AB352),Workforce!$A$2:$A$151,0))),N(INDEX(FTE_Allocation!$I$2:$I$201,$AB352)))),1),"")))</f>
        <v/>
      </c>
      <c r="AF352" s="21">
        <f>IF($Z352="C",IF(INDEX(Contracts!$I$2:$I$151,$AB352)="PREPAID",EDATE(DATE(YEAR(INDEX(Contracts!$J$2:$J$151,$AB352)),MONTH(INDEX(Contracts!$J$2:$J$151,$AB352)),1),IF(INDEX(Contracts!$N$2:$N$151,$AB352)="",12,INDEX(Contracts!$N$2:$N$151,$AB352))-1),IF(INDEX(Contracts!$I$2:$I$151,$AB352)="MONTHLY",IF(INDEX(Contracts!$K$2:$K$151,$AB352)="",2958101,INDEX(Contracts!$K$2:$K$151,$AB352)),0)),IF($Z352="A",EDATE(DATE(YEAR(INDEX(Fixed_Assets!$G$2:$G$201,$AB352)),MONTH(INDEX(Fixed_Assets!$G$2:$G$201,$AB352)),1),INDEX(Fixed_Assets!$J$2:$J$201,$AB352)-1),IF($Z352="F",MIN(IF(INDEX(Workforce!$J$2:$J$151,MATCH(INDEX(FTE_Allocation!$A$2:$A$201,$AB352),Workforce!$A$2:$A$151,0))="",2958101,INDEX(Workforce!$J$2:$J$151,MATCH(INDEX(FTE_Allocation!$A$2:$A$201,$AB352),Workforce!$A$2:$A$151,0))),IF(INDEX(FTE_Allocation!$J$2:$J$201,$AB352)="",2958101,INDEX(FTE_Allocation!$J$2:$J$201,$AB352))),"")))</f>
        <v/>
      </c>
      <c r="AG352" s="19">
        <f>IF($Z352="C",IF(INDEX(Contracts!$I$2:$I$151,$AB352)="PREPAID",INDEX(Contracts!$M$2:$M$151,$AB352)/IF(INDEX(Contracts!$N$2:$N$151,$AB352)="",12,INDEX(Contracts!$N$2:$N$151,$AB352)),IF(INDEX(Contracts!$I$2:$I$151,$AB352)="MONTHLY",INDEX(Contracts!$M$2:$M$151,$AB352),0))*(1-N(INDEX(Contracts!$O$2:$O$151,$AB352))),IF($Z352="A",INDEX(Fixed_Assets!$H$2:$H$201,$AB352)/INDEX(Fixed_Assets!$J$2:$J$201,$AB352),IF($Z352="F",INDEX(Workforce!$F$2:$F$151,MATCH(INDEX(FTE_Allocation!$A$2:$A$201,$AB352),Workforce!$A$2:$A$151,0))*N(INDEX(FTE_Allocation!$F$2:$H$201,$AB352,$AC352)),"")))</f>
        <v/>
      </c>
    </row>
    <row r="353">
      <c r="A353" s="7">
        <f>IF($Z353="","",$AD353)</f>
        <v/>
      </c>
      <c r="B353" s="7">
        <f>IF($Z353="C",INDEX(Contracts!$D$2:$D$151,$AB353)&amp;"",IF($Z353="A",INDEX(Fixed_Assets!$C$2:$C$201,$AB353)&amp;"",IF($Z353="F",INDEX(Workforce!$B$2:$B$151,MATCH(INDEX(FTE_Allocation!$A$2:$A$201,$AB353),Workforce!$A$2:$A$151,0))&amp;"","")))</f>
        <v/>
      </c>
      <c r="C353" s="7">
        <f>IF($Z353="C",INDEX(Contracts!$E$2:$E$151,$AB353)&amp;"",IF($Z353="A",INDEX(Fixed_Assets!$D$2:$D$201,$AB353)&amp;"",IF($Z353="F",INDEX(FTE_Allocation!$C$2:$C$201,$AB353)&amp;"","")))</f>
        <v/>
      </c>
      <c r="D353" s="7">
        <f>IF($Z353="C",INDEX(Contracts!$B$2:$B$151,$AB353)&amp;"",IF($Z353="A",INDEX(Fixed_Assets!$B$2:$B$201,$AB353)&amp;"",IF($Z353="F",INDEX(FTE_Allocation!$B$2:$B$201,$AB353)&amp;"","")))</f>
        <v/>
      </c>
      <c r="E353" s="7">
        <f>IF($Z353="C",INDEX(Contracts!$P$2:$P$151,$AB353)&amp;"",IF($Z353="A",INDEX(Fixed_Assets!$K$2:$K$201,$AB353)&amp;"",IF($Z353="F",IF(INDEX(FTE_Allocation!$D$2:$D$201,$AB353)="PROJECT",IFERROR(INDEX(Projects!$D:$D,MATCH(INDEX(FTE_Allocation!$E$2:$E$201,$AB353),Projects!$A:$A,0))&amp;"","#PROJECT?"),INDEX(FTE_Allocation!$E$2:$E$201,$AB353)&amp;""),"")))</f>
        <v/>
      </c>
      <c r="F353" s="7">
        <f>IF($Z353="C",INDEX(Contracts!$Q$2:$Q$151,$AB353)&amp;"",IF($Z353="A",INDEX(Fixed_Assets!$L$2:$L$201,$AB353)&amp;"",IF($Z353="F",INDEX(Workforce!$K$2:$K$151,MATCH(INDEX(FTE_Allocation!$A$2:$A$201,$AB353),Workforce!$A$2:$A$151,0))&amp;"","")))</f>
        <v/>
      </c>
      <c r="G353" s="7">
        <f>IF($Z353="C",INDEX(Contracts!$F$2:$F$151,$AB353)&amp;" / "&amp;INDEX(Contracts!$G$2:$G$151,$AB353),IF($Z353="A",INDEX(Fixed_Assets!$E$2:$E$201,$AB353)&amp;"",IF($Z353="F","Personnel "&amp;INDEX(FTE_Allocation!$A$2:$A$201,$AB353)&amp;IF(INDEX(FTE_Allocation!$D$2:$D$201,$AB353)="PROJECT"," ("&amp;INDEX(FTE_Allocation!$E$2:$E$201,$AB353)&amp;")",""),"")))</f>
        <v/>
      </c>
      <c r="H353" s="7">
        <f>IF($Z353="C","CONTRACT",IF($Z353="A","ASSET",IF($Z353="F","WORKFORCE","")))</f>
        <v/>
      </c>
      <c r="I353" s="7">
        <f>IF($Z353="C",INDEX(Contracts!$L$2:$L$151,$AB353)&amp;"",IF($Z353="A",INDEX(Fixed_Assets!$I$2:$I$201,$AB353)&amp;"",IF($Z353="F",INDEX(Workforce!$G$2:$G$151,MATCH(INDEX(FTE_Allocation!$A$2:$A$201,$AB353),Workforce!$A$2:$A$151,0))&amp;"","")))</f>
        <v/>
      </c>
      <c r="J353" s="18">
        <f>IF($Z353="","",IF(AND(DATE($AD353,1,1)&gt;=$AE353,DATE($AD353,1,1)&lt;=$AF353),ROUND($AG353,2),0))</f>
        <v/>
      </c>
      <c r="K353" s="18">
        <f>IF($Z353="","",IF(AND(DATE($AD353,2,1)&gt;=$AE353,DATE($AD353,2,1)&lt;=$AF353),ROUND($AG353,2),0))</f>
        <v/>
      </c>
      <c r="L353" s="18">
        <f>IF($Z353="","",IF(AND(DATE($AD353,3,1)&gt;=$AE353,DATE($AD353,3,1)&lt;=$AF353),ROUND($AG353,2),0))</f>
        <v/>
      </c>
      <c r="M353" s="18">
        <f>IF($Z353="","",IF(AND(DATE($AD353,4,1)&gt;=$AE353,DATE($AD353,4,1)&lt;=$AF353),ROUND($AG353,2),0))</f>
        <v/>
      </c>
      <c r="N353" s="18">
        <f>IF($Z353="","",IF(AND(DATE($AD353,5,1)&gt;=$AE353,DATE($AD353,5,1)&lt;=$AF353),ROUND($AG353,2),0))</f>
        <v/>
      </c>
      <c r="O353" s="18">
        <f>IF($Z353="","",IF(AND(DATE($AD353,6,1)&gt;=$AE353,DATE($AD353,6,1)&lt;=$AF353),ROUND($AG353,2),0))</f>
        <v/>
      </c>
      <c r="P353" s="18">
        <f>IF($Z353="","",IF(AND(DATE($AD353,7,1)&gt;=$AE353,DATE($AD353,7,1)&lt;=$AF353),ROUND($AG353,2),0))</f>
        <v/>
      </c>
      <c r="Q353" s="18">
        <f>IF($Z353="","",IF(AND(DATE($AD353,8,1)&gt;=$AE353,DATE($AD353,8,1)&lt;=$AF353),ROUND($AG353,2),0))</f>
        <v/>
      </c>
      <c r="R353" s="18">
        <f>IF($Z353="","",IF(AND(DATE($AD353,9,1)&gt;=$AE353,DATE($AD353,9,1)&lt;=$AF353),ROUND($AG353,2),0))</f>
        <v/>
      </c>
      <c r="S353" s="18">
        <f>IF($Z353="","",IF(AND(DATE($AD353,10,1)&gt;=$AE353,DATE($AD353,10,1)&lt;=$AF353),ROUND($AG353,2),0))</f>
        <v/>
      </c>
      <c r="T353" s="18">
        <f>IF($Z353="","",IF(AND(DATE($AD353,11,1)&gt;=$AE353,DATE($AD353,11,1)&lt;=$AF353),ROUND($AG353,2),0))</f>
        <v/>
      </c>
      <c r="U353" s="18">
        <f>IF($Z353="","",IF(AND(DATE($AD353,12,1)&gt;=$AE353,DATE($AD353,12,1)&lt;=$AF353),ROUND($AG353,2),0))</f>
        <v/>
      </c>
      <c r="V353" s="7">
        <f>IF($Z353="C","Generated from "&amp;INDEX(Contracts!$A$2:$A$151,$AB353),IF($Z353="A","Generated from "&amp;INDEX(Fixed_Assets!$A$2:$A$201,$AB353),IF($Z353="F","Generated from "&amp;INDEX(FTE_Allocation!$A$2:$A$201,$AB353),"")))</f>
        <v/>
      </c>
      <c r="X353" s="19">
        <f>IF($Z353="","",SUM(J353:U353))</f>
        <v/>
      </c>
      <c r="Y353" s="20">
        <f>ROW()-1</f>
        <v/>
      </c>
      <c r="Z353" s="20">
        <f>IF($Y353&lt;=Settings!$B$4*3,"C",IF($Y353&lt;=(Settings!$B$4+Settings!$B$5)*3,"A",IF($Y353&lt;=(Settings!$B$4+Settings!$B$5+Settings!$B$6)*3,"F","")))</f>
        <v/>
      </c>
      <c r="AA353" s="20">
        <f>IF($Z353="C",$Y353,IF($Z353="A",$Y353-Settings!$B$4*3,IF($Z353="F",$Y353-(Settings!$B$4+Settings!$B$5)*3,"")))</f>
        <v/>
      </c>
      <c r="AB353" s="20">
        <f>IF($Z353="","",INT(($AA353-1)/3)+1)</f>
        <v/>
      </c>
      <c r="AC353" s="20">
        <f>IF($Z353="","",MOD($AA353-1,3)+1)</f>
        <v/>
      </c>
      <c r="AD353" s="20">
        <f>IF($Z353="","",Settings!$B$2+$AC353-1)</f>
        <v/>
      </c>
      <c r="AE353" s="21">
        <f>IF($Z353="C",DATE(YEAR(INDEX(Contracts!$J$2:$J$151,$AB353)),MONTH(INDEX(Contracts!$J$2:$J$151,$AB353)),1),IF($Z353="A",DATE(YEAR(INDEX(Fixed_Assets!$G$2:$G$201,$AB353)),MONTH(INDEX(Fixed_Assets!$G$2:$G$201,$AB353)),1),IF($Z353="F",DATE(YEAR(MAX(N(INDEX(Workforce!$I$2:$I$151,MATCH(INDEX(FTE_Allocation!$A$2:$A$201,$AB353),Workforce!$A$2:$A$151,0))),N(INDEX(FTE_Allocation!$I$2:$I$201,$AB353)))),MONTH(MAX(N(INDEX(Workforce!$I$2:$I$151,MATCH(INDEX(FTE_Allocation!$A$2:$A$201,$AB353),Workforce!$A$2:$A$151,0))),N(INDEX(FTE_Allocation!$I$2:$I$201,$AB353)))),1),"")))</f>
        <v/>
      </c>
      <c r="AF353" s="21">
        <f>IF($Z353="C",IF(INDEX(Contracts!$I$2:$I$151,$AB353)="PREPAID",EDATE(DATE(YEAR(INDEX(Contracts!$J$2:$J$151,$AB353)),MONTH(INDEX(Contracts!$J$2:$J$151,$AB353)),1),IF(INDEX(Contracts!$N$2:$N$151,$AB353)="",12,INDEX(Contracts!$N$2:$N$151,$AB353))-1),IF(INDEX(Contracts!$I$2:$I$151,$AB353)="MONTHLY",IF(INDEX(Contracts!$K$2:$K$151,$AB353)="",2958101,INDEX(Contracts!$K$2:$K$151,$AB353)),0)),IF($Z353="A",EDATE(DATE(YEAR(INDEX(Fixed_Assets!$G$2:$G$201,$AB353)),MONTH(INDEX(Fixed_Assets!$G$2:$G$201,$AB353)),1),INDEX(Fixed_Assets!$J$2:$J$201,$AB353)-1),IF($Z353="F",MIN(IF(INDEX(Workforce!$J$2:$J$151,MATCH(INDEX(FTE_Allocation!$A$2:$A$201,$AB353),Workforce!$A$2:$A$151,0))="",2958101,INDEX(Workforce!$J$2:$J$151,MATCH(INDEX(FTE_Allocation!$A$2:$A$201,$AB353),Workforce!$A$2:$A$151,0))),IF(INDEX(FTE_Allocation!$J$2:$J$201,$AB353)="",2958101,INDEX(FTE_Allocation!$J$2:$J$201,$AB353))),"")))</f>
        <v/>
      </c>
      <c r="AG353" s="19">
        <f>IF($Z353="C",IF(INDEX(Contracts!$I$2:$I$151,$AB353)="PREPAID",INDEX(Contracts!$M$2:$M$151,$AB353)/IF(INDEX(Contracts!$N$2:$N$151,$AB353)="",12,INDEX(Contracts!$N$2:$N$151,$AB353)),IF(INDEX(Contracts!$I$2:$I$151,$AB353)="MONTHLY",INDEX(Contracts!$M$2:$M$151,$AB353),0))*(1-N(INDEX(Contracts!$O$2:$O$151,$AB353))),IF($Z353="A",INDEX(Fixed_Assets!$H$2:$H$201,$AB353)/INDEX(Fixed_Assets!$J$2:$J$201,$AB353),IF($Z353="F",INDEX(Workforce!$F$2:$F$151,MATCH(INDEX(FTE_Allocation!$A$2:$A$201,$AB353),Workforce!$A$2:$A$151,0))*N(INDEX(FTE_Allocation!$F$2:$H$201,$AB353,$AC353)),"")))</f>
        <v/>
      </c>
    </row>
    <row r="354">
      <c r="A354" s="7">
        <f>IF($Z354="","",$AD354)</f>
        <v/>
      </c>
      <c r="B354" s="7">
        <f>IF($Z354="C",INDEX(Contracts!$D$2:$D$151,$AB354)&amp;"",IF($Z354="A",INDEX(Fixed_Assets!$C$2:$C$201,$AB354)&amp;"",IF($Z354="F",INDEX(Workforce!$B$2:$B$151,MATCH(INDEX(FTE_Allocation!$A$2:$A$201,$AB354),Workforce!$A$2:$A$151,0))&amp;"","")))</f>
        <v/>
      </c>
      <c r="C354" s="7">
        <f>IF($Z354="C",INDEX(Contracts!$E$2:$E$151,$AB354)&amp;"",IF($Z354="A",INDEX(Fixed_Assets!$D$2:$D$201,$AB354)&amp;"",IF($Z354="F",INDEX(FTE_Allocation!$C$2:$C$201,$AB354)&amp;"","")))</f>
        <v/>
      </c>
      <c r="D354" s="7">
        <f>IF($Z354="C",INDEX(Contracts!$B$2:$B$151,$AB354)&amp;"",IF($Z354="A",INDEX(Fixed_Assets!$B$2:$B$201,$AB354)&amp;"",IF($Z354="F",INDEX(FTE_Allocation!$B$2:$B$201,$AB354)&amp;"","")))</f>
        <v/>
      </c>
      <c r="E354" s="7">
        <f>IF($Z354="C",INDEX(Contracts!$P$2:$P$151,$AB354)&amp;"",IF($Z354="A",INDEX(Fixed_Assets!$K$2:$K$201,$AB354)&amp;"",IF($Z354="F",IF(INDEX(FTE_Allocation!$D$2:$D$201,$AB354)="PROJECT",IFERROR(INDEX(Projects!$D:$D,MATCH(INDEX(FTE_Allocation!$E$2:$E$201,$AB354),Projects!$A:$A,0))&amp;"","#PROJECT?"),INDEX(FTE_Allocation!$E$2:$E$201,$AB354)&amp;""),"")))</f>
        <v/>
      </c>
      <c r="F354" s="7">
        <f>IF($Z354="C",INDEX(Contracts!$Q$2:$Q$151,$AB354)&amp;"",IF($Z354="A",INDEX(Fixed_Assets!$L$2:$L$201,$AB354)&amp;"",IF($Z354="F",INDEX(Workforce!$K$2:$K$151,MATCH(INDEX(FTE_Allocation!$A$2:$A$201,$AB354),Workforce!$A$2:$A$151,0))&amp;"","")))</f>
        <v/>
      </c>
      <c r="G354" s="7">
        <f>IF($Z354="C",INDEX(Contracts!$F$2:$F$151,$AB354)&amp;" / "&amp;INDEX(Contracts!$G$2:$G$151,$AB354),IF($Z354="A",INDEX(Fixed_Assets!$E$2:$E$201,$AB354)&amp;"",IF($Z354="F","Personnel "&amp;INDEX(FTE_Allocation!$A$2:$A$201,$AB354)&amp;IF(INDEX(FTE_Allocation!$D$2:$D$201,$AB354)="PROJECT"," ("&amp;INDEX(FTE_Allocation!$E$2:$E$201,$AB354)&amp;")",""),"")))</f>
        <v/>
      </c>
      <c r="H354" s="7">
        <f>IF($Z354="C","CONTRACT",IF($Z354="A","ASSET",IF($Z354="F","WORKFORCE","")))</f>
        <v/>
      </c>
      <c r="I354" s="7">
        <f>IF($Z354="C",INDEX(Contracts!$L$2:$L$151,$AB354)&amp;"",IF($Z354="A",INDEX(Fixed_Assets!$I$2:$I$201,$AB354)&amp;"",IF($Z354="F",INDEX(Workforce!$G$2:$G$151,MATCH(INDEX(FTE_Allocation!$A$2:$A$201,$AB354),Workforce!$A$2:$A$151,0))&amp;"","")))</f>
        <v/>
      </c>
      <c r="J354" s="18">
        <f>IF($Z354="","",IF(AND(DATE($AD354,1,1)&gt;=$AE354,DATE($AD354,1,1)&lt;=$AF354),ROUND($AG354,2),0))</f>
        <v/>
      </c>
      <c r="K354" s="18">
        <f>IF($Z354="","",IF(AND(DATE($AD354,2,1)&gt;=$AE354,DATE($AD354,2,1)&lt;=$AF354),ROUND($AG354,2),0))</f>
        <v/>
      </c>
      <c r="L354" s="18">
        <f>IF($Z354="","",IF(AND(DATE($AD354,3,1)&gt;=$AE354,DATE($AD354,3,1)&lt;=$AF354),ROUND($AG354,2),0))</f>
        <v/>
      </c>
      <c r="M354" s="18">
        <f>IF($Z354="","",IF(AND(DATE($AD354,4,1)&gt;=$AE354,DATE($AD354,4,1)&lt;=$AF354),ROUND($AG354,2),0))</f>
        <v/>
      </c>
      <c r="N354" s="18">
        <f>IF($Z354="","",IF(AND(DATE($AD354,5,1)&gt;=$AE354,DATE($AD354,5,1)&lt;=$AF354),ROUND($AG354,2),0))</f>
        <v/>
      </c>
      <c r="O354" s="18">
        <f>IF($Z354="","",IF(AND(DATE($AD354,6,1)&gt;=$AE354,DATE($AD354,6,1)&lt;=$AF354),ROUND($AG354,2),0))</f>
        <v/>
      </c>
      <c r="P354" s="18">
        <f>IF($Z354="","",IF(AND(DATE($AD354,7,1)&gt;=$AE354,DATE($AD354,7,1)&lt;=$AF354),ROUND($AG354,2),0))</f>
        <v/>
      </c>
      <c r="Q354" s="18">
        <f>IF($Z354="","",IF(AND(DATE($AD354,8,1)&gt;=$AE354,DATE($AD354,8,1)&lt;=$AF354),ROUND($AG354,2),0))</f>
        <v/>
      </c>
      <c r="R354" s="18">
        <f>IF($Z354="","",IF(AND(DATE($AD354,9,1)&gt;=$AE354,DATE($AD354,9,1)&lt;=$AF354),ROUND($AG354,2),0))</f>
        <v/>
      </c>
      <c r="S354" s="18">
        <f>IF($Z354="","",IF(AND(DATE($AD354,10,1)&gt;=$AE354,DATE($AD354,10,1)&lt;=$AF354),ROUND($AG354,2),0))</f>
        <v/>
      </c>
      <c r="T354" s="18">
        <f>IF($Z354="","",IF(AND(DATE($AD354,11,1)&gt;=$AE354,DATE($AD354,11,1)&lt;=$AF354),ROUND($AG354,2),0))</f>
        <v/>
      </c>
      <c r="U354" s="18">
        <f>IF($Z354="","",IF(AND(DATE($AD354,12,1)&gt;=$AE354,DATE($AD354,12,1)&lt;=$AF354),ROUND($AG354,2),0))</f>
        <v/>
      </c>
      <c r="V354" s="7">
        <f>IF($Z354="C","Generated from "&amp;INDEX(Contracts!$A$2:$A$151,$AB354),IF($Z354="A","Generated from "&amp;INDEX(Fixed_Assets!$A$2:$A$201,$AB354),IF($Z354="F","Generated from "&amp;INDEX(FTE_Allocation!$A$2:$A$201,$AB354),"")))</f>
        <v/>
      </c>
      <c r="X354" s="19">
        <f>IF($Z354="","",SUM(J354:U354))</f>
        <v/>
      </c>
      <c r="Y354" s="20">
        <f>ROW()-1</f>
        <v/>
      </c>
      <c r="Z354" s="20">
        <f>IF($Y354&lt;=Settings!$B$4*3,"C",IF($Y354&lt;=(Settings!$B$4+Settings!$B$5)*3,"A",IF($Y354&lt;=(Settings!$B$4+Settings!$B$5+Settings!$B$6)*3,"F","")))</f>
        <v/>
      </c>
      <c r="AA354" s="20">
        <f>IF($Z354="C",$Y354,IF($Z354="A",$Y354-Settings!$B$4*3,IF($Z354="F",$Y354-(Settings!$B$4+Settings!$B$5)*3,"")))</f>
        <v/>
      </c>
      <c r="AB354" s="20">
        <f>IF($Z354="","",INT(($AA354-1)/3)+1)</f>
        <v/>
      </c>
      <c r="AC354" s="20">
        <f>IF($Z354="","",MOD($AA354-1,3)+1)</f>
        <v/>
      </c>
      <c r="AD354" s="20">
        <f>IF($Z354="","",Settings!$B$2+$AC354-1)</f>
        <v/>
      </c>
      <c r="AE354" s="21">
        <f>IF($Z354="C",DATE(YEAR(INDEX(Contracts!$J$2:$J$151,$AB354)),MONTH(INDEX(Contracts!$J$2:$J$151,$AB354)),1),IF($Z354="A",DATE(YEAR(INDEX(Fixed_Assets!$G$2:$G$201,$AB354)),MONTH(INDEX(Fixed_Assets!$G$2:$G$201,$AB354)),1),IF($Z354="F",DATE(YEAR(MAX(N(INDEX(Workforce!$I$2:$I$151,MATCH(INDEX(FTE_Allocation!$A$2:$A$201,$AB354),Workforce!$A$2:$A$151,0))),N(INDEX(FTE_Allocation!$I$2:$I$201,$AB354)))),MONTH(MAX(N(INDEX(Workforce!$I$2:$I$151,MATCH(INDEX(FTE_Allocation!$A$2:$A$201,$AB354),Workforce!$A$2:$A$151,0))),N(INDEX(FTE_Allocation!$I$2:$I$201,$AB354)))),1),"")))</f>
        <v/>
      </c>
      <c r="AF354" s="21">
        <f>IF($Z354="C",IF(INDEX(Contracts!$I$2:$I$151,$AB354)="PREPAID",EDATE(DATE(YEAR(INDEX(Contracts!$J$2:$J$151,$AB354)),MONTH(INDEX(Contracts!$J$2:$J$151,$AB354)),1),IF(INDEX(Contracts!$N$2:$N$151,$AB354)="",12,INDEX(Contracts!$N$2:$N$151,$AB354))-1),IF(INDEX(Contracts!$I$2:$I$151,$AB354)="MONTHLY",IF(INDEX(Contracts!$K$2:$K$151,$AB354)="",2958101,INDEX(Contracts!$K$2:$K$151,$AB354)),0)),IF($Z354="A",EDATE(DATE(YEAR(INDEX(Fixed_Assets!$G$2:$G$201,$AB354)),MONTH(INDEX(Fixed_Assets!$G$2:$G$201,$AB354)),1),INDEX(Fixed_Assets!$J$2:$J$201,$AB354)-1),IF($Z354="F",MIN(IF(INDEX(Workforce!$J$2:$J$151,MATCH(INDEX(FTE_Allocation!$A$2:$A$201,$AB354),Workforce!$A$2:$A$151,0))="",2958101,INDEX(Workforce!$J$2:$J$151,MATCH(INDEX(FTE_Allocation!$A$2:$A$201,$AB354),Workforce!$A$2:$A$151,0))),IF(INDEX(FTE_Allocation!$J$2:$J$201,$AB354)="",2958101,INDEX(FTE_Allocation!$J$2:$J$201,$AB354))),"")))</f>
        <v/>
      </c>
      <c r="AG354" s="19">
        <f>IF($Z354="C",IF(INDEX(Contracts!$I$2:$I$151,$AB354)="PREPAID",INDEX(Contracts!$M$2:$M$151,$AB354)/IF(INDEX(Contracts!$N$2:$N$151,$AB354)="",12,INDEX(Contracts!$N$2:$N$151,$AB354)),IF(INDEX(Contracts!$I$2:$I$151,$AB354)="MONTHLY",INDEX(Contracts!$M$2:$M$151,$AB354),0))*(1-N(INDEX(Contracts!$O$2:$O$151,$AB354))),IF($Z354="A",INDEX(Fixed_Assets!$H$2:$H$201,$AB354)/INDEX(Fixed_Assets!$J$2:$J$201,$AB354),IF($Z354="F",INDEX(Workforce!$F$2:$F$151,MATCH(INDEX(FTE_Allocation!$A$2:$A$201,$AB354),Workforce!$A$2:$A$151,0))*N(INDEX(FTE_Allocation!$F$2:$H$201,$AB354,$AC354)),"")))</f>
        <v/>
      </c>
    </row>
    <row r="355">
      <c r="A355" s="7">
        <f>IF($Z355="","",$AD355)</f>
        <v/>
      </c>
      <c r="B355" s="7">
        <f>IF($Z355="C",INDEX(Contracts!$D$2:$D$151,$AB355)&amp;"",IF($Z355="A",INDEX(Fixed_Assets!$C$2:$C$201,$AB355)&amp;"",IF($Z355="F",INDEX(Workforce!$B$2:$B$151,MATCH(INDEX(FTE_Allocation!$A$2:$A$201,$AB355),Workforce!$A$2:$A$151,0))&amp;"","")))</f>
        <v/>
      </c>
      <c r="C355" s="7">
        <f>IF($Z355="C",INDEX(Contracts!$E$2:$E$151,$AB355)&amp;"",IF($Z355="A",INDEX(Fixed_Assets!$D$2:$D$201,$AB355)&amp;"",IF($Z355="F",INDEX(FTE_Allocation!$C$2:$C$201,$AB355)&amp;"","")))</f>
        <v/>
      </c>
      <c r="D355" s="7">
        <f>IF($Z355="C",INDEX(Contracts!$B$2:$B$151,$AB355)&amp;"",IF($Z355="A",INDEX(Fixed_Assets!$B$2:$B$201,$AB355)&amp;"",IF($Z355="F",INDEX(FTE_Allocation!$B$2:$B$201,$AB355)&amp;"","")))</f>
        <v/>
      </c>
      <c r="E355" s="7">
        <f>IF($Z355="C",INDEX(Contracts!$P$2:$P$151,$AB355)&amp;"",IF($Z355="A",INDEX(Fixed_Assets!$K$2:$K$201,$AB355)&amp;"",IF($Z355="F",IF(INDEX(FTE_Allocation!$D$2:$D$201,$AB355)="PROJECT",IFERROR(INDEX(Projects!$D:$D,MATCH(INDEX(FTE_Allocation!$E$2:$E$201,$AB355),Projects!$A:$A,0))&amp;"","#PROJECT?"),INDEX(FTE_Allocation!$E$2:$E$201,$AB355)&amp;""),"")))</f>
        <v/>
      </c>
      <c r="F355" s="7">
        <f>IF($Z355="C",INDEX(Contracts!$Q$2:$Q$151,$AB355)&amp;"",IF($Z355="A",INDEX(Fixed_Assets!$L$2:$L$201,$AB355)&amp;"",IF($Z355="F",INDEX(Workforce!$K$2:$K$151,MATCH(INDEX(FTE_Allocation!$A$2:$A$201,$AB355),Workforce!$A$2:$A$151,0))&amp;"","")))</f>
        <v/>
      </c>
      <c r="G355" s="7">
        <f>IF($Z355="C",INDEX(Contracts!$F$2:$F$151,$AB355)&amp;" / "&amp;INDEX(Contracts!$G$2:$G$151,$AB355),IF($Z355="A",INDEX(Fixed_Assets!$E$2:$E$201,$AB355)&amp;"",IF($Z355="F","Personnel "&amp;INDEX(FTE_Allocation!$A$2:$A$201,$AB355)&amp;IF(INDEX(FTE_Allocation!$D$2:$D$201,$AB355)="PROJECT"," ("&amp;INDEX(FTE_Allocation!$E$2:$E$201,$AB355)&amp;")",""),"")))</f>
        <v/>
      </c>
      <c r="H355" s="7">
        <f>IF($Z355="C","CONTRACT",IF($Z355="A","ASSET",IF($Z355="F","WORKFORCE","")))</f>
        <v/>
      </c>
      <c r="I355" s="7">
        <f>IF($Z355="C",INDEX(Contracts!$L$2:$L$151,$AB355)&amp;"",IF($Z355="A",INDEX(Fixed_Assets!$I$2:$I$201,$AB355)&amp;"",IF($Z355="F",INDEX(Workforce!$G$2:$G$151,MATCH(INDEX(FTE_Allocation!$A$2:$A$201,$AB355),Workforce!$A$2:$A$151,0))&amp;"","")))</f>
        <v/>
      </c>
      <c r="J355" s="18">
        <f>IF($Z355="","",IF(AND(DATE($AD355,1,1)&gt;=$AE355,DATE($AD355,1,1)&lt;=$AF355),ROUND($AG355,2),0))</f>
        <v/>
      </c>
      <c r="K355" s="18">
        <f>IF($Z355="","",IF(AND(DATE($AD355,2,1)&gt;=$AE355,DATE($AD355,2,1)&lt;=$AF355),ROUND($AG355,2),0))</f>
        <v/>
      </c>
      <c r="L355" s="18">
        <f>IF($Z355="","",IF(AND(DATE($AD355,3,1)&gt;=$AE355,DATE($AD355,3,1)&lt;=$AF355),ROUND($AG355,2),0))</f>
        <v/>
      </c>
      <c r="M355" s="18">
        <f>IF($Z355="","",IF(AND(DATE($AD355,4,1)&gt;=$AE355,DATE($AD355,4,1)&lt;=$AF355),ROUND($AG355,2),0))</f>
        <v/>
      </c>
      <c r="N355" s="18">
        <f>IF($Z355="","",IF(AND(DATE($AD355,5,1)&gt;=$AE355,DATE($AD355,5,1)&lt;=$AF355),ROUND($AG355,2),0))</f>
        <v/>
      </c>
      <c r="O355" s="18">
        <f>IF($Z355="","",IF(AND(DATE($AD355,6,1)&gt;=$AE355,DATE($AD355,6,1)&lt;=$AF355),ROUND($AG355,2),0))</f>
        <v/>
      </c>
      <c r="P355" s="18">
        <f>IF($Z355="","",IF(AND(DATE($AD355,7,1)&gt;=$AE355,DATE($AD355,7,1)&lt;=$AF355),ROUND($AG355,2),0))</f>
        <v/>
      </c>
      <c r="Q355" s="18">
        <f>IF($Z355="","",IF(AND(DATE($AD355,8,1)&gt;=$AE355,DATE($AD355,8,1)&lt;=$AF355),ROUND($AG355,2),0))</f>
        <v/>
      </c>
      <c r="R355" s="18">
        <f>IF($Z355="","",IF(AND(DATE($AD355,9,1)&gt;=$AE355,DATE($AD355,9,1)&lt;=$AF355),ROUND($AG355,2),0))</f>
        <v/>
      </c>
      <c r="S355" s="18">
        <f>IF($Z355="","",IF(AND(DATE($AD355,10,1)&gt;=$AE355,DATE($AD355,10,1)&lt;=$AF355),ROUND($AG355,2),0))</f>
        <v/>
      </c>
      <c r="T355" s="18">
        <f>IF($Z355="","",IF(AND(DATE($AD355,11,1)&gt;=$AE355,DATE($AD355,11,1)&lt;=$AF355),ROUND($AG355,2),0))</f>
        <v/>
      </c>
      <c r="U355" s="18">
        <f>IF($Z355="","",IF(AND(DATE($AD355,12,1)&gt;=$AE355,DATE($AD355,12,1)&lt;=$AF355),ROUND($AG355,2),0))</f>
        <v/>
      </c>
      <c r="V355" s="7">
        <f>IF($Z355="C","Generated from "&amp;INDEX(Contracts!$A$2:$A$151,$AB355),IF($Z355="A","Generated from "&amp;INDEX(Fixed_Assets!$A$2:$A$201,$AB355),IF($Z355="F","Generated from "&amp;INDEX(FTE_Allocation!$A$2:$A$201,$AB355),"")))</f>
        <v/>
      </c>
      <c r="X355" s="19">
        <f>IF($Z355="","",SUM(J355:U355))</f>
        <v/>
      </c>
      <c r="Y355" s="20">
        <f>ROW()-1</f>
        <v/>
      </c>
      <c r="Z355" s="20">
        <f>IF($Y355&lt;=Settings!$B$4*3,"C",IF($Y355&lt;=(Settings!$B$4+Settings!$B$5)*3,"A",IF($Y355&lt;=(Settings!$B$4+Settings!$B$5+Settings!$B$6)*3,"F","")))</f>
        <v/>
      </c>
      <c r="AA355" s="20">
        <f>IF($Z355="C",$Y355,IF($Z355="A",$Y355-Settings!$B$4*3,IF($Z355="F",$Y355-(Settings!$B$4+Settings!$B$5)*3,"")))</f>
        <v/>
      </c>
      <c r="AB355" s="20">
        <f>IF($Z355="","",INT(($AA355-1)/3)+1)</f>
        <v/>
      </c>
      <c r="AC355" s="20">
        <f>IF($Z355="","",MOD($AA355-1,3)+1)</f>
        <v/>
      </c>
      <c r="AD355" s="20">
        <f>IF($Z355="","",Settings!$B$2+$AC355-1)</f>
        <v/>
      </c>
      <c r="AE355" s="21">
        <f>IF($Z355="C",DATE(YEAR(INDEX(Contracts!$J$2:$J$151,$AB355)),MONTH(INDEX(Contracts!$J$2:$J$151,$AB355)),1),IF($Z355="A",DATE(YEAR(INDEX(Fixed_Assets!$G$2:$G$201,$AB355)),MONTH(INDEX(Fixed_Assets!$G$2:$G$201,$AB355)),1),IF($Z355="F",DATE(YEAR(MAX(N(INDEX(Workforce!$I$2:$I$151,MATCH(INDEX(FTE_Allocation!$A$2:$A$201,$AB355),Workforce!$A$2:$A$151,0))),N(INDEX(FTE_Allocation!$I$2:$I$201,$AB355)))),MONTH(MAX(N(INDEX(Workforce!$I$2:$I$151,MATCH(INDEX(FTE_Allocation!$A$2:$A$201,$AB355),Workforce!$A$2:$A$151,0))),N(INDEX(FTE_Allocation!$I$2:$I$201,$AB355)))),1),"")))</f>
        <v/>
      </c>
      <c r="AF355" s="21">
        <f>IF($Z355="C",IF(INDEX(Contracts!$I$2:$I$151,$AB355)="PREPAID",EDATE(DATE(YEAR(INDEX(Contracts!$J$2:$J$151,$AB355)),MONTH(INDEX(Contracts!$J$2:$J$151,$AB355)),1),IF(INDEX(Contracts!$N$2:$N$151,$AB355)="",12,INDEX(Contracts!$N$2:$N$151,$AB355))-1),IF(INDEX(Contracts!$I$2:$I$151,$AB355)="MONTHLY",IF(INDEX(Contracts!$K$2:$K$151,$AB355)="",2958101,INDEX(Contracts!$K$2:$K$151,$AB355)),0)),IF($Z355="A",EDATE(DATE(YEAR(INDEX(Fixed_Assets!$G$2:$G$201,$AB355)),MONTH(INDEX(Fixed_Assets!$G$2:$G$201,$AB355)),1),INDEX(Fixed_Assets!$J$2:$J$201,$AB355)-1),IF($Z355="F",MIN(IF(INDEX(Workforce!$J$2:$J$151,MATCH(INDEX(FTE_Allocation!$A$2:$A$201,$AB355),Workforce!$A$2:$A$151,0))="",2958101,INDEX(Workforce!$J$2:$J$151,MATCH(INDEX(FTE_Allocation!$A$2:$A$201,$AB355),Workforce!$A$2:$A$151,0))),IF(INDEX(FTE_Allocation!$J$2:$J$201,$AB355)="",2958101,INDEX(FTE_Allocation!$J$2:$J$201,$AB355))),"")))</f>
        <v/>
      </c>
      <c r="AG355" s="19">
        <f>IF($Z355="C",IF(INDEX(Contracts!$I$2:$I$151,$AB355)="PREPAID",INDEX(Contracts!$M$2:$M$151,$AB355)/IF(INDEX(Contracts!$N$2:$N$151,$AB355)="",12,INDEX(Contracts!$N$2:$N$151,$AB355)),IF(INDEX(Contracts!$I$2:$I$151,$AB355)="MONTHLY",INDEX(Contracts!$M$2:$M$151,$AB355),0))*(1-N(INDEX(Contracts!$O$2:$O$151,$AB355))),IF($Z355="A",INDEX(Fixed_Assets!$H$2:$H$201,$AB355)/INDEX(Fixed_Assets!$J$2:$J$201,$AB355),IF($Z355="F",INDEX(Workforce!$F$2:$F$151,MATCH(INDEX(FTE_Allocation!$A$2:$A$201,$AB355),Workforce!$A$2:$A$151,0))*N(INDEX(FTE_Allocation!$F$2:$H$201,$AB355,$AC355)),"")))</f>
        <v/>
      </c>
    </row>
    <row r="356">
      <c r="A356" s="7">
        <f>IF($Z356="","",$AD356)</f>
        <v/>
      </c>
      <c r="B356" s="7">
        <f>IF($Z356="C",INDEX(Contracts!$D$2:$D$151,$AB356)&amp;"",IF($Z356="A",INDEX(Fixed_Assets!$C$2:$C$201,$AB356)&amp;"",IF($Z356="F",INDEX(Workforce!$B$2:$B$151,MATCH(INDEX(FTE_Allocation!$A$2:$A$201,$AB356),Workforce!$A$2:$A$151,0))&amp;"","")))</f>
        <v/>
      </c>
      <c r="C356" s="7">
        <f>IF($Z356="C",INDEX(Contracts!$E$2:$E$151,$AB356)&amp;"",IF($Z356="A",INDEX(Fixed_Assets!$D$2:$D$201,$AB356)&amp;"",IF($Z356="F",INDEX(FTE_Allocation!$C$2:$C$201,$AB356)&amp;"","")))</f>
        <v/>
      </c>
      <c r="D356" s="7">
        <f>IF($Z356="C",INDEX(Contracts!$B$2:$B$151,$AB356)&amp;"",IF($Z356="A",INDEX(Fixed_Assets!$B$2:$B$201,$AB356)&amp;"",IF($Z356="F",INDEX(FTE_Allocation!$B$2:$B$201,$AB356)&amp;"","")))</f>
        <v/>
      </c>
      <c r="E356" s="7">
        <f>IF($Z356="C",INDEX(Contracts!$P$2:$P$151,$AB356)&amp;"",IF($Z356="A",INDEX(Fixed_Assets!$K$2:$K$201,$AB356)&amp;"",IF($Z356="F",IF(INDEX(FTE_Allocation!$D$2:$D$201,$AB356)="PROJECT",IFERROR(INDEX(Projects!$D:$D,MATCH(INDEX(FTE_Allocation!$E$2:$E$201,$AB356),Projects!$A:$A,0))&amp;"","#PROJECT?"),INDEX(FTE_Allocation!$E$2:$E$201,$AB356)&amp;""),"")))</f>
        <v/>
      </c>
      <c r="F356" s="7">
        <f>IF($Z356="C",INDEX(Contracts!$Q$2:$Q$151,$AB356)&amp;"",IF($Z356="A",INDEX(Fixed_Assets!$L$2:$L$201,$AB356)&amp;"",IF($Z356="F",INDEX(Workforce!$K$2:$K$151,MATCH(INDEX(FTE_Allocation!$A$2:$A$201,$AB356),Workforce!$A$2:$A$151,0))&amp;"","")))</f>
        <v/>
      </c>
      <c r="G356" s="7">
        <f>IF($Z356="C",INDEX(Contracts!$F$2:$F$151,$AB356)&amp;" / "&amp;INDEX(Contracts!$G$2:$G$151,$AB356),IF($Z356="A",INDEX(Fixed_Assets!$E$2:$E$201,$AB356)&amp;"",IF($Z356="F","Personnel "&amp;INDEX(FTE_Allocation!$A$2:$A$201,$AB356)&amp;IF(INDEX(FTE_Allocation!$D$2:$D$201,$AB356)="PROJECT"," ("&amp;INDEX(FTE_Allocation!$E$2:$E$201,$AB356)&amp;")",""),"")))</f>
        <v/>
      </c>
      <c r="H356" s="7">
        <f>IF($Z356="C","CONTRACT",IF($Z356="A","ASSET",IF($Z356="F","WORKFORCE","")))</f>
        <v/>
      </c>
      <c r="I356" s="7">
        <f>IF($Z356="C",INDEX(Contracts!$L$2:$L$151,$AB356)&amp;"",IF($Z356="A",INDEX(Fixed_Assets!$I$2:$I$201,$AB356)&amp;"",IF($Z356="F",INDEX(Workforce!$G$2:$G$151,MATCH(INDEX(FTE_Allocation!$A$2:$A$201,$AB356),Workforce!$A$2:$A$151,0))&amp;"","")))</f>
        <v/>
      </c>
      <c r="J356" s="18">
        <f>IF($Z356="","",IF(AND(DATE($AD356,1,1)&gt;=$AE356,DATE($AD356,1,1)&lt;=$AF356),ROUND($AG356,2),0))</f>
        <v/>
      </c>
      <c r="K356" s="18">
        <f>IF($Z356="","",IF(AND(DATE($AD356,2,1)&gt;=$AE356,DATE($AD356,2,1)&lt;=$AF356),ROUND($AG356,2),0))</f>
        <v/>
      </c>
      <c r="L356" s="18">
        <f>IF($Z356="","",IF(AND(DATE($AD356,3,1)&gt;=$AE356,DATE($AD356,3,1)&lt;=$AF356),ROUND($AG356,2),0))</f>
        <v/>
      </c>
      <c r="M356" s="18">
        <f>IF($Z356="","",IF(AND(DATE($AD356,4,1)&gt;=$AE356,DATE($AD356,4,1)&lt;=$AF356),ROUND($AG356,2),0))</f>
        <v/>
      </c>
      <c r="N356" s="18">
        <f>IF($Z356="","",IF(AND(DATE($AD356,5,1)&gt;=$AE356,DATE($AD356,5,1)&lt;=$AF356),ROUND($AG356,2),0))</f>
        <v/>
      </c>
      <c r="O356" s="18">
        <f>IF($Z356="","",IF(AND(DATE($AD356,6,1)&gt;=$AE356,DATE($AD356,6,1)&lt;=$AF356),ROUND($AG356,2),0))</f>
        <v/>
      </c>
      <c r="P356" s="18">
        <f>IF($Z356="","",IF(AND(DATE($AD356,7,1)&gt;=$AE356,DATE($AD356,7,1)&lt;=$AF356),ROUND($AG356,2),0))</f>
        <v/>
      </c>
      <c r="Q356" s="18">
        <f>IF($Z356="","",IF(AND(DATE($AD356,8,1)&gt;=$AE356,DATE($AD356,8,1)&lt;=$AF356),ROUND($AG356,2),0))</f>
        <v/>
      </c>
      <c r="R356" s="18">
        <f>IF($Z356="","",IF(AND(DATE($AD356,9,1)&gt;=$AE356,DATE($AD356,9,1)&lt;=$AF356),ROUND($AG356,2),0))</f>
        <v/>
      </c>
      <c r="S356" s="18">
        <f>IF($Z356="","",IF(AND(DATE($AD356,10,1)&gt;=$AE356,DATE($AD356,10,1)&lt;=$AF356),ROUND($AG356,2),0))</f>
        <v/>
      </c>
      <c r="T356" s="18">
        <f>IF($Z356="","",IF(AND(DATE($AD356,11,1)&gt;=$AE356,DATE($AD356,11,1)&lt;=$AF356),ROUND($AG356,2),0))</f>
        <v/>
      </c>
      <c r="U356" s="18">
        <f>IF($Z356="","",IF(AND(DATE($AD356,12,1)&gt;=$AE356,DATE($AD356,12,1)&lt;=$AF356),ROUND($AG356,2),0))</f>
        <v/>
      </c>
      <c r="V356" s="7">
        <f>IF($Z356="C","Generated from "&amp;INDEX(Contracts!$A$2:$A$151,$AB356),IF($Z356="A","Generated from "&amp;INDEX(Fixed_Assets!$A$2:$A$201,$AB356),IF($Z356="F","Generated from "&amp;INDEX(FTE_Allocation!$A$2:$A$201,$AB356),"")))</f>
        <v/>
      </c>
      <c r="X356" s="19">
        <f>IF($Z356="","",SUM(J356:U356))</f>
        <v/>
      </c>
      <c r="Y356" s="20">
        <f>ROW()-1</f>
        <v/>
      </c>
      <c r="Z356" s="20">
        <f>IF($Y356&lt;=Settings!$B$4*3,"C",IF($Y356&lt;=(Settings!$B$4+Settings!$B$5)*3,"A",IF($Y356&lt;=(Settings!$B$4+Settings!$B$5+Settings!$B$6)*3,"F","")))</f>
        <v/>
      </c>
      <c r="AA356" s="20">
        <f>IF($Z356="C",$Y356,IF($Z356="A",$Y356-Settings!$B$4*3,IF($Z356="F",$Y356-(Settings!$B$4+Settings!$B$5)*3,"")))</f>
        <v/>
      </c>
      <c r="AB356" s="20">
        <f>IF($Z356="","",INT(($AA356-1)/3)+1)</f>
        <v/>
      </c>
      <c r="AC356" s="20">
        <f>IF($Z356="","",MOD($AA356-1,3)+1)</f>
        <v/>
      </c>
      <c r="AD356" s="20">
        <f>IF($Z356="","",Settings!$B$2+$AC356-1)</f>
        <v/>
      </c>
      <c r="AE356" s="21">
        <f>IF($Z356="C",DATE(YEAR(INDEX(Contracts!$J$2:$J$151,$AB356)),MONTH(INDEX(Contracts!$J$2:$J$151,$AB356)),1),IF($Z356="A",DATE(YEAR(INDEX(Fixed_Assets!$G$2:$G$201,$AB356)),MONTH(INDEX(Fixed_Assets!$G$2:$G$201,$AB356)),1),IF($Z356="F",DATE(YEAR(MAX(N(INDEX(Workforce!$I$2:$I$151,MATCH(INDEX(FTE_Allocation!$A$2:$A$201,$AB356),Workforce!$A$2:$A$151,0))),N(INDEX(FTE_Allocation!$I$2:$I$201,$AB356)))),MONTH(MAX(N(INDEX(Workforce!$I$2:$I$151,MATCH(INDEX(FTE_Allocation!$A$2:$A$201,$AB356),Workforce!$A$2:$A$151,0))),N(INDEX(FTE_Allocation!$I$2:$I$201,$AB356)))),1),"")))</f>
        <v/>
      </c>
      <c r="AF356" s="21">
        <f>IF($Z356="C",IF(INDEX(Contracts!$I$2:$I$151,$AB356)="PREPAID",EDATE(DATE(YEAR(INDEX(Contracts!$J$2:$J$151,$AB356)),MONTH(INDEX(Contracts!$J$2:$J$151,$AB356)),1),IF(INDEX(Contracts!$N$2:$N$151,$AB356)="",12,INDEX(Contracts!$N$2:$N$151,$AB356))-1),IF(INDEX(Contracts!$I$2:$I$151,$AB356)="MONTHLY",IF(INDEX(Contracts!$K$2:$K$151,$AB356)="",2958101,INDEX(Contracts!$K$2:$K$151,$AB356)),0)),IF($Z356="A",EDATE(DATE(YEAR(INDEX(Fixed_Assets!$G$2:$G$201,$AB356)),MONTH(INDEX(Fixed_Assets!$G$2:$G$201,$AB356)),1),INDEX(Fixed_Assets!$J$2:$J$201,$AB356)-1),IF($Z356="F",MIN(IF(INDEX(Workforce!$J$2:$J$151,MATCH(INDEX(FTE_Allocation!$A$2:$A$201,$AB356),Workforce!$A$2:$A$151,0))="",2958101,INDEX(Workforce!$J$2:$J$151,MATCH(INDEX(FTE_Allocation!$A$2:$A$201,$AB356),Workforce!$A$2:$A$151,0))),IF(INDEX(FTE_Allocation!$J$2:$J$201,$AB356)="",2958101,INDEX(FTE_Allocation!$J$2:$J$201,$AB356))),"")))</f>
        <v/>
      </c>
      <c r="AG356" s="19">
        <f>IF($Z356="C",IF(INDEX(Contracts!$I$2:$I$151,$AB356)="PREPAID",INDEX(Contracts!$M$2:$M$151,$AB356)/IF(INDEX(Contracts!$N$2:$N$151,$AB356)="",12,INDEX(Contracts!$N$2:$N$151,$AB356)),IF(INDEX(Contracts!$I$2:$I$151,$AB356)="MONTHLY",INDEX(Contracts!$M$2:$M$151,$AB356),0))*(1-N(INDEX(Contracts!$O$2:$O$151,$AB356))),IF($Z356="A",INDEX(Fixed_Assets!$H$2:$H$201,$AB356)/INDEX(Fixed_Assets!$J$2:$J$201,$AB356),IF($Z356="F",INDEX(Workforce!$F$2:$F$151,MATCH(INDEX(FTE_Allocation!$A$2:$A$201,$AB356),Workforce!$A$2:$A$151,0))*N(INDEX(FTE_Allocation!$F$2:$H$201,$AB356,$AC356)),"")))</f>
        <v/>
      </c>
    </row>
    <row r="357">
      <c r="A357" s="7">
        <f>IF($Z357="","",$AD357)</f>
        <v/>
      </c>
      <c r="B357" s="7">
        <f>IF($Z357="C",INDEX(Contracts!$D$2:$D$151,$AB357)&amp;"",IF($Z357="A",INDEX(Fixed_Assets!$C$2:$C$201,$AB357)&amp;"",IF($Z357="F",INDEX(Workforce!$B$2:$B$151,MATCH(INDEX(FTE_Allocation!$A$2:$A$201,$AB357),Workforce!$A$2:$A$151,0))&amp;"","")))</f>
        <v/>
      </c>
      <c r="C357" s="7">
        <f>IF($Z357="C",INDEX(Contracts!$E$2:$E$151,$AB357)&amp;"",IF($Z357="A",INDEX(Fixed_Assets!$D$2:$D$201,$AB357)&amp;"",IF($Z357="F",INDEX(FTE_Allocation!$C$2:$C$201,$AB357)&amp;"","")))</f>
        <v/>
      </c>
      <c r="D357" s="7">
        <f>IF($Z357="C",INDEX(Contracts!$B$2:$B$151,$AB357)&amp;"",IF($Z357="A",INDEX(Fixed_Assets!$B$2:$B$201,$AB357)&amp;"",IF($Z357="F",INDEX(FTE_Allocation!$B$2:$B$201,$AB357)&amp;"","")))</f>
        <v/>
      </c>
      <c r="E357" s="7">
        <f>IF($Z357="C",INDEX(Contracts!$P$2:$P$151,$AB357)&amp;"",IF($Z357="A",INDEX(Fixed_Assets!$K$2:$K$201,$AB357)&amp;"",IF($Z357="F",IF(INDEX(FTE_Allocation!$D$2:$D$201,$AB357)="PROJECT",IFERROR(INDEX(Projects!$D:$D,MATCH(INDEX(FTE_Allocation!$E$2:$E$201,$AB357),Projects!$A:$A,0))&amp;"","#PROJECT?"),INDEX(FTE_Allocation!$E$2:$E$201,$AB357)&amp;""),"")))</f>
        <v/>
      </c>
      <c r="F357" s="7">
        <f>IF($Z357="C",INDEX(Contracts!$Q$2:$Q$151,$AB357)&amp;"",IF($Z357="A",INDEX(Fixed_Assets!$L$2:$L$201,$AB357)&amp;"",IF($Z357="F",INDEX(Workforce!$K$2:$K$151,MATCH(INDEX(FTE_Allocation!$A$2:$A$201,$AB357),Workforce!$A$2:$A$151,0))&amp;"","")))</f>
        <v/>
      </c>
      <c r="G357" s="7">
        <f>IF($Z357="C",INDEX(Contracts!$F$2:$F$151,$AB357)&amp;" / "&amp;INDEX(Contracts!$G$2:$G$151,$AB357),IF($Z357="A",INDEX(Fixed_Assets!$E$2:$E$201,$AB357)&amp;"",IF($Z357="F","Personnel "&amp;INDEX(FTE_Allocation!$A$2:$A$201,$AB357)&amp;IF(INDEX(FTE_Allocation!$D$2:$D$201,$AB357)="PROJECT"," ("&amp;INDEX(FTE_Allocation!$E$2:$E$201,$AB357)&amp;")",""),"")))</f>
        <v/>
      </c>
      <c r="H357" s="7">
        <f>IF($Z357="C","CONTRACT",IF($Z357="A","ASSET",IF($Z357="F","WORKFORCE","")))</f>
        <v/>
      </c>
      <c r="I357" s="7">
        <f>IF($Z357="C",INDEX(Contracts!$L$2:$L$151,$AB357)&amp;"",IF($Z357="A",INDEX(Fixed_Assets!$I$2:$I$201,$AB357)&amp;"",IF($Z357="F",INDEX(Workforce!$G$2:$G$151,MATCH(INDEX(FTE_Allocation!$A$2:$A$201,$AB357),Workforce!$A$2:$A$151,0))&amp;"","")))</f>
        <v/>
      </c>
      <c r="J357" s="18">
        <f>IF($Z357="","",IF(AND(DATE($AD357,1,1)&gt;=$AE357,DATE($AD357,1,1)&lt;=$AF357),ROUND($AG357,2),0))</f>
        <v/>
      </c>
      <c r="K357" s="18">
        <f>IF($Z357="","",IF(AND(DATE($AD357,2,1)&gt;=$AE357,DATE($AD357,2,1)&lt;=$AF357),ROUND($AG357,2),0))</f>
        <v/>
      </c>
      <c r="L357" s="18">
        <f>IF($Z357="","",IF(AND(DATE($AD357,3,1)&gt;=$AE357,DATE($AD357,3,1)&lt;=$AF357),ROUND($AG357,2),0))</f>
        <v/>
      </c>
      <c r="M357" s="18">
        <f>IF($Z357="","",IF(AND(DATE($AD357,4,1)&gt;=$AE357,DATE($AD357,4,1)&lt;=$AF357),ROUND($AG357,2),0))</f>
        <v/>
      </c>
      <c r="N357" s="18">
        <f>IF($Z357="","",IF(AND(DATE($AD357,5,1)&gt;=$AE357,DATE($AD357,5,1)&lt;=$AF357),ROUND($AG357,2),0))</f>
        <v/>
      </c>
      <c r="O357" s="18">
        <f>IF($Z357="","",IF(AND(DATE($AD357,6,1)&gt;=$AE357,DATE($AD357,6,1)&lt;=$AF357),ROUND($AG357,2),0))</f>
        <v/>
      </c>
      <c r="P357" s="18">
        <f>IF($Z357="","",IF(AND(DATE($AD357,7,1)&gt;=$AE357,DATE($AD357,7,1)&lt;=$AF357),ROUND($AG357,2),0))</f>
        <v/>
      </c>
      <c r="Q357" s="18">
        <f>IF($Z357="","",IF(AND(DATE($AD357,8,1)&gt;=$AE357,DATE($AD357,8,1)&lt;=$AF357),ROUND($AG357,2),0))</f>
        <v/>
      </c>
      <c r="R357" s="18">
        <f>IF($Z357="","",IF(AND(DATE($AD357,9,1)&gt;=$AE357,DATE($AD357,9,1)&lt;=$AF357),ROUND($AG357,2),0))</f>
        <v/>
      </c>
      <c r="S357" s="18">
        <f>IF($Z357="","",IF(AND(DATE($AD357,10,1)&gt;=$AE357,DATE($AD357,10,1)&lt;=$AF357),ROUND($AG357,2),0))</f>
        <v/>
      </c>
      <c r="T357" s="18">
        <f>IF($Z357="","",IF(AND(DATE($AD357,11,1)&gt;=$AE357,DATE($AD357,11,1)&lt;=$AF357),ROUND($AG357,2),0))</f>
        <v/>
      </c>
      <c r="U357" s="18">
        <f>IF($Z357="","",IF(AND(DATE($AD357,12,1)&gt;=$AE357,DATE($AD357,12,1)&lt;=$AF357),ROUND($AG357,2),0))</f>
        <v/>
      </c>
      <c r="V357" s="7">
        <f>IF($Z357="C","Generated from "&amp;INDEX(Contracts!$A$2:$A$151,$AB357),IF($Z357="A","Generated from "&amp;INDEX(Fixed_Assets!$A$2:$A$201,$AB357),IF($Z357="F","Generated from "&amp;INDEX(FTE_Allocation!$A$2:$A$201,$AB357),"")))</f>
        <v/>
      </c>
      <c r="X357" s="19">
        <f>IF($Z357="","",SUM(J357:U357))</f>
        <v/>
      </c>
      <c r="Y357" s="20">
        <f>ROW()-1</f>
        <v/>
      </c>
      <c r="Z357" s="20">
        <f>IF($Y357&lt;=Settings!$B$4*3,"C",IF($Y357&lt;=(Settings!$B$4+Settings!$B$5)*3,"A",IF($Y357&lt;=(Settings!$B$4+Settings!$B$5+Settings!$B$6)*3,"F","")))</f>
        <v/>
      </c>
      <c r="AA357" s="20">
        <f>IF($Z357="C",$Y357,IF($Z357="A",$Y357-Settings!$B$4*3,IF($Z357="F",$Y357-(Settings!$B$4+Settings!$B$5)*3,"")))</f>
        <v/>
      </c>
      <c r="AB357" s="20">
        <f>IF($Z357="","",INT(($AA357-1)/3)+1)</f>
        <v/>
      </c>
      <c r="AC357" s="20">
        <f>IF($Z357="","",MOD($AA357-1,3)+1)</f>
        <v/>
      </c>
      <c r="AD357" s="20">
        <f>IF($Z357="","",Settings!$B$2+$AC357-1)</f>
        <v/>
      </c>
      <c r="AE357" s="21">
        <f>IF($Z357="C",DATE(YEAR(INDEX(Contracts!$J$2:$J$151,$AB357)),MONTH(INDEX(Contracts!$J$2:$J$151,$AB357)),1),IF($Z357="A",DATE(YEAR(INDEX(Fixed_Assets!$G$2:$G$201,$AB357)),MONTH(INDEX(Fixed_Assets!$G$2:$G$201,$AB357)),1),IF($Z357="F",DATE(YEAR(MAX(N(INDEX(Workforce!$I$2:$I$151,MATCH(INDEX(FTE_Allocation!$A$2:$A$201,$AB357),Workforce!$A$2:$A$151,0))),N(INDEX(FTE_Allocation!$I$2:$I$201,$AB357)))),MONTH(MAX(N(INDEX(Workforce!$I$2:$I$151,MATCH(INDEX(FTE_Allocation!$A$2:$A$201,$AB357),Workforce!$A$2:$A$151,0))),N(INDEX(FTE_Allocation!$I$2:$I$201,$AB357)))),1),"")))</f>
        <v/>
      </c>
      <c r="AF357" s="21">
        <f>IF($Z357="C",IF(INDEX(Contracts!$I$2:$I$151,$AB357)="PREPAID",EDATE(DATE(YEAR(INDEX(Contracts!$J$2:$J$151,$AB357)),MONTH(INDEX(Contracts!$J$2:$J$151,$AB357)),1),IF(INDEX(Contracts!$N$2:$N$151,$AB357)="",12,INDEX(Contracts!$N$2:$N$151,$AB357))-1),IF(INDEX(Contracts!$I$2:$I$151,$AB357)="MONTHLY",IF(INDEX(Contracts!$K$2:$K$151,$AB357)="",2958101,INDEX(Contracts!$K$2:$K$151,$AB357)),0)),IF($Z357="A",EDATE(DATE(YEAR(INDEX(Fixed_Assets!$G$2:$G$201,$AB357)),MONTH(INDEX(Fixed_Assets!$G$2:$G$201,$AB357)),1),INDEX(Fixed_Assets!$J$2:$J$201,$AB357)-1),IF($Z357="F",MIN(IF(INDEX(Workforce!$J$2:$J$151,MATCH(INDEX(FTE_Allocation!$A$2:$A$201,$AB357),Workforce!$A$2:$A$151,0))="",2958101,INDEX(Workforce!$J$2:$J$151,MATCH(INDEX(FTE_Allocation!$A$2:$A$201,$AB357),Workforce!$A$2:$A$151,0))),IF(INDEX(FTE_Allocation!$J$2:$J$201,$AB357)="",2958101,INDEX(FTE_Allocation!$J$2:$J$201,$AB357))),"")))</f>
        <v/>
      </c>
      <c r="AG357" s="19">
        <f>IF($Z357="C",IF(INDEX(Contracts!$I$2:$I$151,$AB357)="PREPAID",INDEX(Contracts!$M$2:$M$151,$AB357)/IF(INDEX(Contracts!$N$2:$N$151,$AB357)="",12,INDEX(Contracts!$N$2:$N$151,$AB357)),IF(INDEX(Contracts!$I$2:$I$151,$AB357)="MONTHLY",INDEX(Contracts!$M$2:$M$151,$AB357),0))*(1-N(INDEX(Contracts!$O$2:$O$151,$AB357))),IF($Z357="A",INDEX(Fixed_Assets!$H$2:$H$201,$AB357)/INDEX(Fixed_Assets!$J$2:$J$201,$AB357),IF($Z357="F",INDEX(Workforce!$F$2:$F$151,MATCH(INDEX(FTE_Allocation!$A$2:$A$201,$AB357),Workforce!$A$2:$A$151,0))*N(INDEX(FTE_Allocation!$F$2:$H$201,$AB357,$AC357)),"")))</f>
        <v/>
      </c>
    </row>
    <row r="358">
      <c r="A358" s="7">
        <f>IF($Z358="","",$AD358)</f>
        <v/>
      </c>
      <c r="B358" s="7">
        <f>IF($Z358="C",INDEX(Contracts!$D$2:$D$151,$AB358)&amp;"",IF($Z358="A",INDEX(Fixed_Assets!$C$2:$C$201,$AB358)&amp;"",IF($Z358="F",INDEX(Workforce!$B$2:$B$151,MATCH(INDEX(FTE_Allocation!$A$2:$A$201,$AB358),Workforce!$A$2:$A$151,0))&amp;"","")))</f>
        <v/>
      </c>
      <c r="C358" s="7">
        <f>IF($Z358="C",INDEX(Contracts!$E$2:$E$151,$AB358)&amp;"",IF($Z358="A",INDEX(Fixed_Assets!$D$2:$D$201,$AB358)&amp;"",IF($Z358="F",INDEX(FTE_Allocation!$C$2:$C$201,$AB358)&amp;"","")))</f>
        <v/>
      </c>
      <c r="D358" s="7">
        <f>IF($Z358="C",INDEX(Contracts!$B$2:$B$151,$AB358)&amp;"",IF($Z358="A",INDEX(Fixed_Assets!$B$2:$B$201,$AB358)&amp;"",IF($Z358="F",INDEX(FTE_Allocation!$B$2:$B$201,$AB358)&amp;"","")))</f>
        <v/>
      </c>
      <c r="E358" s="7">
        <f>IF($Z358="C",INDEX(Contracts!$P$2:$P$151,$AB358)&amp;"",IF($Z358="A",INDEX(Fixed_Assets!$K$2:$K$201,$AB358)&amp;"",IF($Z358="F",IF(INDEX(FTE_Allocation!$D$2:$D$201,$AB358)="PROJECT",IFERROR(INDEX(Projects!$D:$D,MATCH(INDEX(FTE_Allocation!$E$2:$E$201,$AB358),Projects!$A:$A,0))&amp;"","#PROJECT?"),INDEX(FTE_Allocation!$E$2:$E$201,$AB358)&amp;""),"")))</f>
        <v/>
      </c>
      <c r="F358" s="7">
        <f>IF($Z358="C",INDEX(Contracts!$Q$2:$Q$151,$AB358)&amp;"",IF($Z358="A",INDEX(Fixed_Assets!$L$2:$L$201,$AB358)&amp;"",IF($Z358="F",INDEX(Workforce!$K$2:$K$151,MATCH(INDEX(FTE_Allocation!$A$2:$A$201,$AB358),Workforce!$A$2:$A$151,0))&amp;"","")))</f>
        <v/>
      </c>
      <c r="G358" s="7">
        <f>IF($Z358="C",INDEX(Contracts!$F$2:$F$151,$AB358)&amp;" / "&amp;INDEX(Contracts!$G$2:$G$151,$AB358),IF($Z358="A",INDEX(Fixed_Assets!$E$2:$E$201,$AB358)&amp;"",IF($Z358="F","Personnel "&amp;INDEX(FTE_Allocation!$A$2:$A$201,$AB358)&amp;IF(INDEX(FTE_Allocation!$D$2:$D$201,$AB358)="PROJECT"," ("&amp;INDEX(FTE_Allocation!$E$2:$E$201,$AB358)&amp;")",""),"")))</f>
        <v/>
      </c>
      <c r="H358" s="7">
        <f>IF($Z358="C","CONTRACT",IF($Z358="A","ASSET",IF($Z358="F","WORKFORCE","")))</f>
        <v/>
      </c>
      <c r="I358" s="7">
        <f>IF($Z358="C",INDEX(Contracts!$L$2:$L$151,$AB358)&amp;"",IF($Z358="A",INDEX(Fixed_Assets!$I$2:$I$201,$AB358)&amp;"",IF($Z358="F",INDEX(Workforce!$G$2:$G$151,MATCH(INDEX(FTE_Allocation!$A$2:$A$201,$AB358),Workforce!$A$2:$A$151,0))&amp;"","")))</f>
        <v/>
      </c>
      <c r="J358" s="18">
        <f>IF($Z358="","",IF(AND(DATE($AD358,1,1)&gt;=$AE358,DATE($AD358,1,1)&lt;=$AF358),ROUND($AG358,2),0))</f>
        <v/>
      </c>
      <c r="K358" s="18">
        <f>IF($Z358="","",IF(AND(DATE($AD358,2,1)&gt;=$AE358,DATE($AD358,2,1)&lt;=$AF358),ROUND($AG358,2),0))</f>
        <v/>
      </c>
      <c r="L358" s="18">
        <f>IF($Z358="","",IF(AND(DATE($AD358,3,1)&gt;=$AE358,DATE($AD358,3,1)&lt;=$AF358),ROUND($AG358,2),0))</f>
        <v/>
      </c>
      <c r="M358" s="18">
        <f>IF($Z358="","",IF(AND(DATE($AD358,4,1)&gt;=$AE358,DATE($AD358,4,1)&lt;=$AF358),ROUND($AG358,2),0))</f>
        <v/>
      </c>
      <c r="N358" s="18">
        <f>IF($Z358="","",IF(AND(DATE($AD358,5,1)&gt;=$AE358,DATE($AD358,5,1)&lt;=$AF358),ROUND($AG358,2),0))</f>
        <v/>
      </c>
      <c r="O358" s="18">
        <f>IF($Z358="","",IF(AND(DATE($AD358,6,1)&gt;=$AE358,DATE($AD358,6,1)&lt;=$AF358),ROUND($AG358,2),0))</f>
        <v/>
      </c>
      <c r="P358" s="18">
        <f>IF($Z358="","",IF(AND(DATE($AD358,7,1)&gt;=$AE358,DATE($AD358,7,1)&lt;=$AF358),ROUND($AG358,2),0))</f>
        <v/>
      </c>
      <c r="Q358" s="18">
        <f>IF($Z358="","",IF(AND(DATE($AD358,8,1)&gt;=$AE358,DATE($AD358,8,1)&lt;=$AF358),ROUND($AG358,2),0))</f>
        <v/>
      </c>
      <c r="R358" s="18">
        <f>IF($Z358="","",IF(AND(DATE($AD358,9,1)&gt;=$AE358,DATE($AD358,9,1)&lt;=$AF358),ROUND($AG358,2),0))</f>
        <v/>
      </c>
      <c r="S358" s="18">
        <f>IF($Z358="","",IF(AND(DATE($AD358,10,1)&gt;=$AE358,DATE($AD358,10,1)&lt;=$AF358),ROUND($AG358,2),0))</f>
        <v/>
      </c>
      <c r="T358" s="18">
        <f>IF($Z358="","",IF(AND(DATE($AD358,11,1)&gt;=$AE358,DATE($AD358,11,1)&lt;=$AF358),ROUND($AG358,2),0))</f>
        <v/>
      </c>
      <c r="U358" s="18">
        <f>IF($Z358="","",IF(AND(DATE($AD358,12,1)&gt;=$AE358,DATE($AD358,12,1)&lt;=$AF358),ROUND($AG358,2),0))</f>
        <v/>
      </c>
      <c r="V358" s="7">
        <f>IF($Z358="C","Generated from "&amp;INDEX(Contracts!$A$2:$A$151,$AB358),IF($Z358="A","Generated from "&amp;INDEX(Fixed_Assets!$A$2:$A$201,$AB358),IF($Z358="F","Generated from "&amp;INDEX(FTE_Allocation!$A$2:$A$201,$AB358),"")))</f>
        <v/>
      </c>
      <c r="X358" s="19">
        <f>IF($Z358="","",SUM(J358:U358))</f>
        <v/>
      </c>
      <c r="Y358" s="20">
        <f>ROW()-1</f>
        <v/>
      </c>
      <c r="Z358" s="20">
        <f>IF($Y358&lt;=Settings!$B$4*3,"C",IF($Y358&lt;=(Settings!$B$4+Settings!$B$5)*3,"A",IF($Y358&lt;=(Settings!$B$4+Settings!$B$5+Settings!$B$6)*3,"F","")))</f>
        <v/>
      </c>
      <c r="AA358" s="20">
        <f>IF($Z358="C",$Y358,IF($Z358="A",$Y358-Settings!$B$4*3,IF($Z358="F",$Y358-(Settings!$B$4+Settings!$B$5)*3,"")))</f>
        <v/>
      </c>
      <c r="AB358" s="20">
        <f>IF($Z358="","",INT(($AA358-1)/3)+1)</f>
        <v/>
      </c>
      <c r="AC358" s="20">
        <f>IF($Z358="","",MOD($AA358-1,3)+1)</f>
        <v/>
      </c>
      <c r="AD358" s="20">
        <f>IF($Z358="","",Settings!$B$2+$AC358-1)</f>
        <v/>
      </c>
      <c r="AE358" s="21">
        <f>IF($Z358="C",DATE(YEAR(INDEX(Contracts!$J$2:$J$151,$AB358)),MONTH(INDEX(Contracts!$J$2:$J$151,$AB358)),1),IF($Z358="A",DATE(YEAR(INDEX(Fixed_Assets!$G$2:$G$201,$AB358)),MONTH(INDEX(Fixed_Assets!$G$2:$G$201,$AB358)),1),IF($Z358="F",DATE(YEAR(MAX(N(INDEX(Workforce!$I$2:$I$151,MATCH(INDEX(FTE_Allocation!$A$2:$A$201,$AB358),Workforce!$A$2:$A$151,0))),N(INDEX(FTE_Allocation!$I$2:$I$201,$AB358)))),MONTH(MAX(N(INDEX(Workforce!$I$2:$I$151,MATCH(INDEX(FTE_Allocation!$A$2:$A$201,$AB358),Workforce!$A$2:$A$151,0))),N(INDEX(FTE_Allocation!$I$2:$I$201,$AB358)))),1),"")))</f>
        <v/>
      </c>
      <c r="AF358" s="21">
        <f>IF($Z358="C",IF(INDEX(Contracts!$I$2:$I$151,$AB358)="PREPAID",EDATE(DATE(YEAR(INDEX(Contracts!$J$2:$J$151,$AB358)),MONTH(INDEX(Contracts!$J$2:$J$151,$AB358)),1),IF(INDEX(Contracts!$N$2:$N$151,$AB358)="",12,INDEX(Contracts!$N$2:$N$151,$AB358))-1),IF(INDEX(Contracts!$I$2:$I$151,$AB358)="MONTHLY",IF(INDEX(Contracts!$K$2:$K$151,$AB358)="",2958101,INDEX(Contracts!$K$2:$K$151,$AB358)),0)),IF($Z358="A",EDATE(DATE(YEAR(INDEX(Fixed_Assets!$G$2:$G$201,$AB358)),MONTH(INDEX(Fixed_Assets!$G$2:$G$201,$AB358)),1),INDEX(Fixed_Assets!$J$2:$J$201,$AB358)-1),IF($Z358="F",MIN(IF(INDEX(Workforce!$J$2:$J$151,MATCH(INDEX(FTE_Allocation!$A$2:$A$201,$AB358),Workforce!$A$2:$A$151,0))="",2958101,INDEX(Workforce!$J$2:$J$151,MATCH(INDEX(FTE_Allocation!$A$2:$A$201,$AB358),Workforce!$A$2:$A$151,0))),IF(INDEX(FTE_Allocation!$J$2:$J$201,$AB358)="",2958101,INDEX(FTE_Allocation!$J$2:$J$201,$AB358))),"")))</f>
        <v/>
      </c>
      <c r="AG358" s="19">
        <f>IF($Z358="C",IF(INDEX(Contracts!$I$2:$I$151,$AB358)="PREPAID",INDEX(Contracts!$M$2:$M$151,$AB358)/IF(INDEX(Contracts!$N$2:$N$151,$AB358)="",12,INDEX(Contracts!$N$2:$N$151,$AB358)),IF(INDEX(Contracts!$I$2:$I$151,$AB358)="MONTHLY",INDEX(Contracts!$M$2:$M$151,$AB358),0))*(1-N(INDEX(Contracts!$O$2:$O$151,$AB358))),IF($Z358="A",INDEX(Fixed_Assets!$H$2:$H$201,$AB358)/INDEX(Fixed_Assets!$J$2:$J$201,$AB358),IF($Z358="F",INDEX(Workforce!$F$2:$F$151,MATCH(INDEX(FTE_Allocation!$A$2:$A$201,$AB358),Workforce!$A$2:$A$151,0))*N(INDEX(FTE_Allocation!$F$2:$H$201,$AB358,$AC358)),"")))</f>
        <v/>
      </c>
    </row>
    <row r="359">
      <c r="A359" s="7">
        <f>IF($Z359="","",$AD359)</f>
        <v/>
      </c>
      <c r="B359" s="7">
        <f>IF($Z359="C",INDEX(Contracts!$D$2:$D$151,$AB359)&amp;"",IF($Z359="A",INDEX(Fixed_Assets!$C$2:$C$201,$AB359)&amp;"",IF($Z359="F",INDEX(Workforce!$B$2:$B$151,MATCH(INDEX(FTE_Allocation!$A$2:$A$201,$AB359),Workforce!$A$2:$A$151,0))&amp;"","")))</f>
        <v/>
      </c>
      <c r="C359" s="7">
        <f>IF($Z359="C",INDEX(Contracts!$E$2:$E$151,$AB359)&amp;"",IF($Z359="A",INDEX(Fixed_Assets!$D$2:$D$201,$AB359)&amp;"",IF($Z359="F",INDEX(FTE_Allocation!$C$2:$C$201,$AB359)&amp;"","")))</f>
        <v/>
      </c>
      <c r="D359" s="7">
        <f>IF($Z359="C",INDEX(Contracts!$B$2:$B$151,$AB359)&amp;"",IF($Z359="A",INDEX(Fixed_Assets!$B$2:$B$201,$AB359)&amp;"",IF($Z359="F",INDEX(FTE_Allocation!$B$2:$B$201,$AB359)&amp;"","")))</f>
        <v/>
      </c>
      <c r="E359" s="7">
        <f>IF($Z359="C",INDEX(Contracts!$P$2:$P$151,$AB359)&amp;"",IF($Z359="A",INDEX(Fixed_Assets!$K$2:$K$201,$AB359)&amp;"",IF($Z359="F",IF(INDEX(FTE_Allocation!$D$2:$D$201,$AB359)="PROJECT",IFERROR(INDEX(Projects!$D:$D,MATCH(INDEX(FTE_Allocation!$E$2:$E$201,$AB359),Projects!$A:$A,0))&amp;"","#PROJECT?"),INDEX(FTE_Allocation!$E$2:$E$201,$AB359)&amp;""),"")))</f>
        <v/>
      </c>
      <c r="F359" s="7">
        <f>IF($Z359="C",INDEX(Contracts!$Q$2:$Q$151,$AB359)&amp;"",IF($Z359="A",INDEX(Fixed_Assets!$L$2:$L$201,$AB359)&amp;"",IF($Z359="F",INDEX(Workforce!$K$2:$K$151,MATCH(INDEX(FTE_Allocation!$A$2:$A$201,$AB359),Workforce!$A$2:$A$151,0))&amp;"","")))</f>
        <v/>
      </c>
      <c r="G359" s="7">
        <f>IF($Z359="C",INDEX(Contracts!$F$2:$F$151,$AB359)&amp;" / "&amp;INDEX(Contracts!$G$2:$G$151,$AB359),IF($Z359="A",INDEX(Fixed_Assets!$E$2:$E$201,$AB359)&amp;"",IF($Z359="F","Personnel "&amp;INDEX(FTE_Allocation!$A$2:$A$201,$AB359)&amp;IF(INDEX(FTE_Allocation!$D$2:$D$201,$AB359)="PROJECT"," ("&amp;INDEX(FTE_Allocation!$E$2:$E$201,$AB359)&amp;")",""),"")))</f>
        <v/>
      </c>
      <c r="H359" s="7">
        <f>IF($Z359="C","CONTRACT",IF($Z359="A","ASSET",IF($Z359="F","WORKFORCE","")))</f>
        <v/>
      </c>
      <c r="I359" s="7">
        <f>IF($Z359="C",INDEX(Contracts!$L$2:$L$151,$AB359)&amp;"",IF($Z359="A",INDEX(Fixed_Assets!$I$2:$I$201,$AB359)&amp;"",IF($Z359="F",INDEX(Workforce!$G$2:$G$151,MATCH(INDEX(FTE_Allocation!$A$2:$A$201,$AB359),Workforce!$A$2:$A$151,0))&amp;"","")))</f>
        <v/>
      </c>
      <c r="J359" s="18">
        <f>IF($Z359="","",IF(AND(DATE($AD359,1,1)&gt;=$AE359,DATE($AD359,1,1)&lt;=$AF359),ROUND($AG359,2),0))</f>
        <v/>
      </c>
      <c r="K359" s="18">
        <f>IF($Z359="","",IF(AND(DATE($AD359,2,1)&gt;=$AE359,DATE($AD359,2,1)&lt;=$AF359),ROUND($AG359,2),0))</f>
        <v/>
      </c>
      <c r="L359" s="18">
        <f>IF($Z359="","",IF(AND(DATE($AD359,3,1)&gt;=$AE359,DATE($AD359,3,1)&lt;=$AF359),ROUND($AG359,2),0))</f>
        <v/>
      </c>
      <c r="M359" s="18">
        <f>IF($Z359="","",IF(AND(DATE($AD359,4,1)&gt;=$AE359,DATE($AD359,4,1)&lt;=$AF359),ROUND($AG359,2),0))</f>
        <v/>
      </c>
      <c r="N359" s="18">
        <f>IF($Z359="","",IF(AND(DATE($AD359,5,1)&gt;=$AE359,DATE($AD359,5,1)&lt;=$AF359),ROUND($AG359,2),0))</f>
        <v/>
      </c>
      <c r="O359" s="18">
        <f>IF($Z359="","",IF(AND(DATE($AD359,6,1)&gt;=$AE359,DATE($AD359,6,1)&lt;=$AF359),ROUND($AG359,2),0))</f>
        <v/>
      </c>
      <c r="P359" s="18">
        <f>IF($Z359="","",IF(AND(DATE($AD359,7,1)&gt;=$AE359,DATE($AD359,7,1)&lt;=$AF359),ROUND($AG359,2),0))</f>
        <v/>
      </c>
      <c r="Q359" s="18">
        <f>IF($Z359="","",IF(AND(DATE($AD359,8,1)&gt;=$AE359,DATE($AD359,8,1)&lt;=$AF359),ROUND($AG359,2),0))</f>
        <v/>
      </c>
      <c r="R359" s="18">
        <f>IF($Z359="","",IF(AND(DATE($AD359,9,1)&gt;=$AE359,DATE($AD359,9,1)&lt;=$AF359),ROUND($AG359,2),0))</f>
        <v/>
      </c>
      <c r="S359" s="18">
        <f>IF($Z359="","",IF(AND(DATE($AD359,10,1)&gt;=$AE359,DATE($AD359,10,1)&lt;=$AF359),ROUND($AG359,2),0))</f>
        <v/>
      </c>
      <c r="T359" s="18">
        <f>IF($Z359="","",IF(AND(DATE($AD359,11,1)&gt;=$AE359,DATE($AD359,11,1)&lt;=$AF359),ROUND($AG359,2),0))</f>
        <v/>
      </c>
      <c r="U359" s="18">
        <f>IF($Z359="","",IF(AND(DATE($AD359,12,1)&gt;=$AE359,DATE($AD359,12,1)&lt;=$AF359),ROUND($AG359,2),0))</f>
        <v/>
      </c>
      <c r="V359" s="7">
        <f>IF($Z359="C","Generated from "&amp;INDEX(Contracts!$A$2:$A$151,$AB359),IF($Z359="A","Generated from "&amp;INDEX(Fixed_Assets!$A$2:$A$201,$AB359),IF($Z359="F","Generated from "&amp;INDEX(FTE_Allocation!$A$2:$A$201,$AB359),"")))</f>
        <v/>
      </c>
      <c r="X359" s="19">
        <f>IF($Z359="","",SUM(J359:U359))</f>
        <v/>
      </c>
      <c r="Y359" s="20">
        <f>ROW()-1</f>
        <v/>
      </c>
      <c r="Z359" s="20">
        <f>IF($Y359&lt;=Settings!$B$4*3,"C",IF($Y359&lt;=(Settings!$B$4+Settings!$B$5)*3,"A",IF($Y359&lt;=(Settings!$B$4+Settings!$B$5+Settings!$B$6)*3,"F","")))</f>
        <v/>
      </c>
      <c r="AA359" s="20">
        <f>IF($Z359="C",$Y359,IF($Z359="A",$Y359-Settings!$B$4*3,IF($Z359="F",$Y359-(Settings!$B$4+Settings!$B$5)*3,"")))</f>
        <v/>
      </c>
      <c r="AB359" s="20">
        <f>IF($Z359="","",INT(($AA359-1)/3)+1)</f>
        <v/>
      </c>
      <c r="AC359" s="20">
        <f>IF($Z359="","",MOD($AA359-1,3)+1)</f>
        <v/>
      </c>
      <c r="AD359" s="20">
        <f>IF($Z359="","",Settings!$B$2+$AC359-1)</f>
        <v/>
      </c>
      <c r="AE359" s="21">
        <f>IF($Z359="C",DATE(YEAR(INDEX(Contracts!$J$2:$J$151,$AB359)),MONTH(INDEX(Contracts!$J$2:$J$151,$AB359)),1),IF($Z359="A",DATE(YEAR(INDEX(Fixed_Assets!$G$2:$G$201,$AB359)),MONTH(INDEX(Fixed_Assets!$G$2:$G$201,$AB359)),1),IF($Z359="F",DATE(YEAR(MAX(N(INDEX(Workforce!$I$2:$I$151,MATCH(INDEX(FTE_Allocation!$A$2:$A$201,$AB359),Workforce!$A$2:$A$151,0))),N(INDEX(FTE_Allocation!$I$2:$I$201,$AB359)))),MONTH(MAX(N(INDEX(Workforce!$I$2:$I$151,MATCH(INDEX(FTE_Allocation!$A$2:$A$201,$AB359),Workforce!$A$2:$A$151,0))),N(INDEX(FTE_Allocation!$I$2:$I$201,$AB359)))),1),"")))</f>
        <v/>
      </c>
      <c r="AF359" s="21">
        <f>IF($Z359="C",IF(INDEX(Contracts!$I$2:$I$151,$AB359)="PREPAID",EDATE(DATE(YEAR(INDEX(Contracts!$J$2:$J$151,$AB359)),MONTH(INDEX(Contracts!$J$2:$J$151,$AB359)),1),IF(INDEX(Contracts!$N$2:$N$151,$AB359)="",12,INDEX(Contracts!$N$2:$N$151,$AB359))-1),IF(INDEX(Contracts!$I$2:$I$151,$AB359)="MONTHLY",IF(INDEX(Contracts!$K$2:$K$151,$AB359)="",2958101,INDEX(Contracts!$K$2:$K$151,$AB359)),0)),IF($Z359="A",EDATE(DATE(YEAR(INDEX(Fixed_Assets!$G$2:$G$201,$AB359)),MONTH(INDEX(Fixed_Assets!$G$2:$G$201,$AB359)),1),INDEX(Fixed_Assets!$J$2:$J$201,$AB359)-1),IF($Z359="F",MIN(IF(INDEX(Workforce!$J$2:$J$151,MATCH(INDEX(FTE_Allocation!$A$2:$A$201,$AB359),Workforce!$A$2:$A$151,0))="",2958101,INDEX(Workforce!$J$2:$J$151,MATCH(INDEX(FTE_Allocation!$A$2:$A$201,$AB359),Workforce!$A$2:$A$151,0))),IF(INDEX(FTE_Allocation!$J$2:$J$201,$AB359)="",2958101,INDEX(FTE_Allocation!$J$2:$J$201,$AB359))),"")))</f>
        <v/>
      </c>
      <c r="AG359" s="19">
        <f>IF($Z359="C",IF(INDEX(Contracts!$I$2:$I$151,$AB359)="PREPAID",INDEX(Contracts!$M$2:$M$151,$AB359)/IF(INDEX(Contracts!$N$2:$N$151,$AB359)="",12,INDEX(Contracts!$N$2:$N$151,$AB359)),IF(INDEX(Contracts!$I$2:$I$151,$AB359)="MONTHLY",INDEX(Contracts!$M$2:$M$151,$AB359),0))*(1-N(INDEX(Contracts!$O$2:$O$151,$AB359))),IF($Z359="A",INDEX(Fixed_Assets!$H$2:$H$201,$AB359)/INDEX(Fixed_Assets!$J$2:$J$201,$AB359),IF($Z359="F",INDEX(Workforce!$F$2:$F$151,MATCH(INDEX(FTE_Allocation!$A$2:$A$201,$AB359),Workforce!$A$2:$A$151,0))*N(INDEX(FTE_Allocation!$F$2:$H$201,$AB359,$AC359)),"")))</f>
        <v/>
      </c>
    </row>
    <row r="360">
      <c r="A360" s="7">
        <f>IF($Z360="","",$AD360)</f>
        <v/>
      </c>
      <c r="B360" s="7">
        <f>IF($Z360="C",INDEX(Contracts!$D$2:$D$151,$AB360)&amp;"",IF($Z360="A",INDEX(Fixed_Assets!$C$2:$C$201,$AB360)&amp;"",IF($Z360="F",INDEX(Workforce!$B$2:$B$151,MATCH(INDEX(FTE_Allocation!$A$2:$A$201,$AB360),Workforce!$A$2:$A$151,0))&amp;"","")))</f>
        <v/>
      </c>
      <c r="C360" s="7">
        <f>IF($Z360="C",INDEX(Contracts!$E$2:$E$151,$AB360)&amp;"",IF($Z360="A",INDEX(Fixed_Assets!$D$2:$D$201,$AB360)&amp;"",IF($Z360="F",INDEX(FTE_Allocation!$C$2:$C$201,$AB360)&amp;"","")))</f>
        <v/>
      </c>
      <c r="D360" s="7">
        <f>IF($Z360="C",INDEX(Contracts!$B$2:$B$151,$AB360)&amp;"",IF($Z360="A",INDEX(Fixed_Assets!$B$2:$B$201,$AB360)&amp;"",IF($Z360="F",INDEX(FTE_Allocation!$B$2:$B$201,$AB360)&amp;"","")))</f>
        <v/>
      </c>
      <c r="E360" s="7">
        <f>IF($Z360="C",INDEX(Contracts!$P$2:$P$151,$AB360)&amp;"",IF($Z360="A",INDEX(Fixed_Assets!$K$2:$K$201,$AB360)&amp;"",IF($Z360="F",IF(INDEX(FTE_Allocation!$D$2:$D$201,$AB360)="PROJECT",IFERROR(INDEX(Projects!$D:$D,MATCH(INDEX(FTE_Allocation!$E$2:$E$201,$AB360),Projects!$A:$A,0))&amp;"","#PROJECT?"),INDEX(FTE_Allocation!$E$2:$E$201,$AB360)&amp;""),"")))</f>
        <v/>
      </c>
      <c r="F360" s="7">
        <f>IF($Z360="C",INDEX(Contracts!$Q$2:$Q$151,$AB360)&amp;"",IF($Z360="A",INDEX(Fixed_Assets!$L$2:$L$201,$AB360)&amp;"",IF($Z360="F",INDEX(Workforce!$K$2:$K$151,MATCH(INDEX(FTE_Allocation!$A$2:$A$201,$AB360),Workforce!$A$2:$A$151,0))&amp;"","")))</f>
        <v/>
      </c>
      <c r="G360" s="7">
        <f>IF($Z360="C",INDEX(Contracts!$F$2:$F$151,$AB360)&amp;" / "&amp;INDEX(Contracts!$G$2:$G$151,$AB360),IF($Z360="A",INDEX(Fixed_Assets!$E$2:$E$201,$AB360)&amp;"",IF($Z360="F","Personnel "&amp;INDEX(FTE_Allocation!$A$2:$A$201,$AB360)&amp;IF(INDEX(FTE_Allocation!$D$2:$D$201,$AB360)="PROJECT"," ("&amp;INDEX(FTE_Allocation!$E$2:$E$201,$AB360)&amp;")",""),"")))</f>
        <v/>
      </c>
      <c r="H360" s="7">
        <f>IF($Z360="C","CONTRACT",IF($Z360="A","ASSET",IF($Z360="F","WORKFORCE","")))</f>
        <v/>
      </c>
      <c r="I360" s="7">
        <f>IF($Z360="C",INDEX(Contracts!$L$2:$L$151,$AB360)&amp;"",IF($Z360="A",INDEX(Fixed_Assets!$I$2:$I$201,$AB360)&amp;"",IF($Z360="F",INDEX(Workforce!$G$2:$G$151,MATCH(INDEX(FTE_Allocation!$A$2:$A$201,$AB360),Workforce!$A$2:$A$151,0))&amp;"","")))</f>
        <v/>
      </c>
      <c r="J360" s="18">
        <f>IF($Z360="","",IF(AND(DATE($AD360,1,1)&gt;=$AE360,DATE($AD360,1,1)&lt;=$AF360),ROUND($AG360,2),0))</f>
        <v/>
      </c>
      <c r="K360" s="18">
        <f>IF($Z360="","",IF(AND(DATE($AD360,2,1)&gt;=$AE360,DATE($AD360,2,1)&lt;=$AF360),ROUND($AG360,2),0))</f>
        <v/>
      </c>
      <c r="L360" s="18">
        <f>IF($Z360="","",IF(AND(DATE($AD360,3,1)&gt;=$AE360,DATE($AD360,3,1)&lt;=$AF360),ROUND($AG360,2),0))</f>
        <v/>
      </c>
      <c r="M360" s="18">
        <f>IF($Z360="","",IF(AND(DATE($AD360,4,1)&gt;=$AE360,DATE($AD360,4,1)&lt;=$AF360),ROUND($AG360,2),0))</f>
        <v/>
      </c>
      <c r="N360" s="18">
        <f>IF($Z360="","",IF(AND(DATE($AD360,5,1)&gt;=$AE360,DATE($AD360,5,1)&lt;=$AF360),ROUND($AG360,2),0))</f>
        <v/>
      </c>
      <c r="O360" s="18">
        <f>IF($Z360="","",IF(AND(DATE($AD360,6,1)&gt;=$AE360,DATE($AD360,6,1)&lt;=$AF360),ROUND($AG360,2),0))</f>
        <v/>
      </c>
      <c r="P360" s="18">
        <f>IF($Z360="","",IF(AND(DATE($AD360,7,1)&gt;=$AE360,DATE($AD360,7,1)&lt;=$AF360),ROUND($AG360,2),0))</f>
        <v/>
      </c>
      <c r="Q360" s="18">
        <f>IF($Z360="","",IF(AND(DATE($AD360,8,1)&gt;=$AE360,DATE($AD360,8,1)&lt;=$AF360),ROUND($AG360,2),0))</f>
        <v/>
      </c>
      <c r="R360" s="18">
        <f>IF($Z360="","",IF(AND(DATE($AD360,9,1)&gt;=$AE360,DATE($AD360,9,1)&lt;=$AF360),ROUND($AG360,2),0))</f>
        <v/>
      </c>
      <c r="S360" s="18">
        <f>IF($Z360="","",IF(AND(DATE($AD360,10,1)&gt;=$AE360,DATE($AD360,10,1)&lt;=$AF360),ROUND($AG360,2),0))</f>
        <v/>
      </c>
      <c r="T360" s="18">
        <f>IF($Z360="","",IF(AND(DATE($AD360,11,1)&gt;=$AE360,DATE($AD360,11,1)&lt;=$AF360),ROUND($AG360,2),0))</f>
        <v/>
      </c>
      <c r="U360" s="18">
        <f>IF($Z360="","",IF(AND(DATE($AD360,12,1)&gt;=$AE360,DATE($AD360,12,1)&lt;=$AF360),ROUND($AG360,2),0))</f>
        <v/>
      </c>
      <c r="V360" s="7">
        <f>IF($Z360="C","Generated from "&amp;INDEX(Contracts!$A$2:$A$151,$AB360),IF($Z360="A","Generated from "&amp;INDEX(Fixed_Assets!$A$2:$A$201,$AB360),IF($Z360="F","Generated from "&amp;INDEX(FTE_Allocation!$A$2:$A$201,$AB360),"")))</f>
        <v/>
      </c>
      <c r="X360" s="19">
        <f>IF($Z360="","",SUM(J360:U360))</f>
        <v/>
      </c>
      <c r="Y360" s="20">
        <f>ROW()-1</f>
        <v/>
      </c>
      <c r="Z360" s="20">
        <f>IF($Y360&lt;=Settings!$B$4*3,"C",IF($Y360&lt;=(Settings!$B$4+Settings!$B$5)*3,"A",IF($Y360&lt;=(Settings!$B$4+Settings!$B$5+Settings!$B$6)*3,"F","")))</f>
        <v/>
      </c>
      <c r="AA360" s="20">
        <f>IF($Z360="C",$Y360,IF($Z360="A",$Y360-Settings!$B$4*3,IF($Z360="F",$Y360-(Settings!$B$4+Settings!$B$5)*3,"")))</f>
        <v/>
      </c>
      <c r="AB360" s="20">
        <f>IF($Z360="","",INT(($AA360-1)/3)+1)</f>
        <v/>
      </c>
      <c r="AC360" s="20">
        <f>IF($Z360="","",MOD($AA360-1,3)+1)</f>
        <v/>
      </c>
      <c r="AD360" s="20">
        <f>IF($Z360="","",Settings!$B$2+$AC360-1)</f>
        <v/>
      </c>
      <c r="AE360" s="21">
        <f>IF($Z360="C",DATE(YEAR(INDEX(Contracts!$J$2:$J$151,$AB360)),MONTH(INDEX(Contracts!$J$2:$J$151,$AB360)),1),IF($Z360="A",DATE(YEAR(INDEX(Fixed_Assets!$G$2:$G$201,$AB360)),MONTH(INDEX(Fixed_Assets!$G$2:$G$201,$AB360)),1),IF($Z360="F",DATE(YEAR(MAX(N(INDEX(Workforce!$I$2:$I$151,MATCH(INDEX(FTE_Allocation!$A$2:$A$201,$AB360),Workforce!$A$2:$A$151,0))),N(INDEX(FTE_Allocation!$I$2:$I$201,$AB360)))),MONTH(MAX(N(INDEX(Workforce!$I$2:$I$151,MATCH(INDEX(FTE_Allocation!$A$2:$A$201,$AB360),Workforce!$A$2:$A$151,0))),N(INDEX(FTE_Allocation!$I$2:$I$201,$AB360)))),1),"")))</f>
        <v/>
      </c>
      <c r="AF360" s="21">
        <f>IF($Z360="C",IF(INDEX(Contracts!$I$2:$I$151,$AB360)="PREPAID",EDATE(DATE(YEAR(INDEX(Contracts!$J$2:$J$151,$AB360)),MONTH(INDEX(Contracts!$J$2:$J$151,$AB360)),1),IF(INDEX(Contracts!$N$2:$N$151,$AB360)="",12,INDEX(Contracts!$N$2:$N$151,$AB360))-1),IF(INDEX(Contracts!$I$2:$I$151,$AB360)="MONTHLY",IF(INDEX(Contracts!$K$2:$K$151,$AB360)="",2958101,INDEX(Contracts!$K$2:$K$151,$AB360)),0)),IF($Z360="A",EDATE(DATE(YEAR(INDEX(Fixed_Assets!$G$2:$G$201,$AB360)),MONTH(INDEX(Fixed_Assets!$G$2:$G$201,$AB360)),1),INDEX(Fixed_Assets!$J$2:$J$201,$AB360)-1),IF($Z360="F",MIN(IF(INDEX(Workforce!$J$2:$J$151,MATCH(INDEX(FTE_Allocation!$A$2:$A$201,$AB360),Workforce!$A$2:$A$151,0))="",2958101,INDEX(Workforce!$J$2:$J$151,MATCH(INDEX(FTE_Allocation!$A$2:$A$201,$AB360),Workforce!$A$2:$A$151,0))),IF(INDEX(FTE_Allocation!$J$2:$J$201,$AB360)="",2958101,INDEX(FTE_Allocation!$J$2:$J$201,$AB360))),"")))</f>
        <v/>
      </c>
      <c r="AG360" s="19">
        <f>IF($Z360="C",IF(INDEX(Contracts!$I$2:$I$151,$AB360)="PREPAID",INDEX(Contracts!$M$2:$M$151,$AB360)/IF(INDEX(Contracts!$N$2:$N$151,$AB360)="",12,INDEX(Contracts!$N$2:$N$151,$AB360)),IF(INDEX(Contracts!$I$2:$I$151,$AB360)="MONTHLY",INDEX(Contracts!$M$2:$M$151,$AB360),0))*(1-N(INDEX(Contracts!$O$2:$O$151,$AB360))),IF($Z360="A",INDEX(Fixed_Assets!$H$2:$H$201,$AB360)/INDEX(Fixed_Assets!$J$2:$J$201,$AB360),IF($Z360="F",INDEX(Workforce!$F$2:$F$151,MATCH(INDEX(FTE_Allocation!$A$2:$A$201,$AB360),Workforce!$A$2:$A$151,0))*N(INDEX(FTE_Allocation!$F$2:$H$201,$AB360,$AC360)),"")))</f>
        <v/>
      </c>
    </row>
    <row r="361">
      <c r="A361" s="7">
        <f>IF($Z361="","",$AD361)</f>
        <v/>
      </c>
      <c r="B361" s="7">
        <f>IF($Z361="C",INDEX(Contracts!$D$2:$D$151,$AB361)&amp;"",IF($Z361="A",INDEX(Fixed_Assets!$C$2:$C$201,$AB361)&amp;"",IF($Z361="F",INDEX(Workforce!$B$2:$B$151,MATCH(INDEX(FTE_Allocation!$A$2:$A$201,$AB361),Workforce!$A$2:$A$151,0))&amp;"","")))</f>
        <v/>
      </c>
      <c r="C361" s="7">
        <f>IF($Z361="C",INDEX(Contracts!$E$2:$E$151,$AB361)&amp;"",IF($Z361="A",INDEX(Fixed_Assets!$D$2:$D$201,$AB361)&amp;"",IF($Z361="F",INDEX(FTE_Allocation!$C$2:$C$201,$AB361)&amp;"","")))</f>
        <v/>
      </c>
      <c r="D361" s="7">
        <f>IF($Z361="C",INDEX(Contracts!$B$2:$B$151,$AB361)&amp;"",IF($Z361="A",INDEX(Fixed_Assets!$B$2:$B$201,$AB361)&amp;"",IF($Z361="F",INDEX(FTE_Allocation!$B$2:$B$201,$AB361)&amp;"","")))</f>
        <v/>
      </c>
      <c r="E361" s="7">
        <f>IF($Z361="C",INDEX(Contracts!$P$2:$P$151,$AB361)&amp;"",IF($Z361="A",INDEX(Fixed_Assets!$K$2:$K$201,$AB361)&amp;"",IF($Z361="F",IF(INDEX(FTE_Allocation!$D$2:$D$201,$AB361)="PROJECT",IFERROR(INDEX(Projects!$D:$D,MATCH(INDEX(FTE_Allocation!$E$2:$E$201,$AB361),Projects!$A:$A,0))&amp;"","#PROJECT?"),INDEX(FTE_Allocation!$E$2:$E$201,$AB361)&amp;""),"")))</f>
        <v/>
      </c>
      <c r="F361" s="7">
        <f>IF($Z361="C",INDEX(Contracts!$Q$2:$Q$151,$AB361)&amp;"",IF($Z361="A",INDEX(Fixed_Assets!$L$2:$L$201,$AB361)&amp;"",IF($Z361="F",INDEX(Workforce!$K$2:$K$151,MATCH(INDEX(FTE_Allocation!$A$2:$A$201,$AB361),Workforce!$A$2:$A$151,0))&amp;"","")))</f>
        <v/>
      </c>
      <c r="G361" s="7">
        <f>IF($Z361="C",INDEX(Contracts!$F$2:$F$151,$AB361)&amp;" / "&amp;INDEX(Contracts!$G$2:$G$151,$AB361),IF($Z361="A",INDEX(Fixed_Assets!$E$2:$E$201,$AB361)&amp;"",IF($Z361="F","Personnel "&amp;INDEX(FTE_Allocation!$A$2:$A$201,$AB361)&amp;IF(INDEX(FTE_Allocation!$D$2:$D$201,$AB361)="PROJECT"," ("&amp;INDEX(FTE_Allocation!$E$2:$E$201,$AB361)&amp;")",""),"")))</f>
        <v/>
      </c>
      <c r="H361" s="7">
        <f>IF($Z361="C","CONTRACT",IF($Z361="A","ASSET",IF($Z361="F","WORKFORCE","")))</f>
        <v/>
      </c>
      <c r="I361" s="7">
        <f>IF($Z361="C",INDEX(Contracts!$L$2:$L$151,$AB361)&amp;"",IF($Z361="A",INDEX(Fixed_Assets!$I$2:$I$201,$AB361)&amp;"",IF($Z361="F",INDEX(Workforce!$G$2:$G$151,MATCH(INDEX(FTE_Allocation!$A$2:$A$201,$AB361),Workforce!$A$2:$A$151,0))&amp;"","")))</f>
        <v/>
      </c>
      <c r="J361" s="18">
        <f>IF($Z361="","",IF(AND(DATE($AD361,1,1)&gt;=$AE361,DATE($AD361,1,1)&lt;=$AF361),ROUND($AG361,2),0))</f>
        <v/>
      </c>
      <c r="K361" s="18">
        <f>IF($Z361="","",IF(AND(DATE($AD361,2,1)&gt;=$AE361,DATE($AD361,2,1)&lt;=$AF361),ROUND($AG361,2),0))</f>
        <v/>
      </c>
      <c r="L361" s="18">
        <f>IF($Z361="","",IF(AND(DATE($AD361,3,1)&gt;=$AE361,DATE($AD361,3,1)&lt;=$AF361),ROUND($AG361,2),0))</f>
        <v/>
      </c>
      <c r="M361" s="18">
        <f>IF($Z361="","",IF(AND(DATE($AD361,4,1)&gt;=$AE361,DATE($AD361,4,1)&lt;=$AF361),ROUND($AG361,2),0))</f>
        <v/>
      </c>
      <c r="N361" s="18">
        <f>IF($Z361="","",IF(AND(DATE($AD361,5,1)&gt;=$AE361,DATE($AD361,5,1)&lt;=$AF361),ROUND($AG361,2),0))</f>
        <v/>
      </c>
      <c r="O361" s="18">
        <f>IF($Z361="","",IF(AND(DATE($AD361,6,1)&gt;=$AE361,DATE($AD361,6,1)&lt;=$AF361),ROUND($AG361,2),0))</f>
        <v/>
      </c>
      <c r="P361" s="18">
        <f>IF($Z361="","",IF(AND(DATE($AD361,7,1)&gt;=$AE361,DATE($AD361,7,1)&lt;=$AF361),ROUND($AG361,2),0))</f>
        <v/>
      </c>
      <c r="Q361" s="18">
        <f>IF($Z361="","",IF(AND(DATE($AD361,8,1)&gt;=$AE361,DATE($AD361,8,1)&lt;=$AF361),ROUND($AG361,2),0))</f>
        <v/>
      </c>
      <c r="R361" s="18">
        <f>IF($Z361="","",IF(AND(DATE($AD361,9,1)&gt;=$AE361,DATE($AD361,9,1)&lt;=$AF361),ROUND($AG361,2),0))</f>
        <v/>
      </c>
      <c r="S361" s="18">
        <f>IF($Z361="","",IF(AND(DATE($AD361,10,1)&gt;=$AE361,DATE($AD361,10,1)&lt;=$AF361),ROUND($AG361,2),0))</f>
        <v/>
      </c>
      <c r="T361" s="18">
        <f>IF($Z361="","",IF(AND(DATE($AD361,11,1)&gt;=$AE361,DATE($AD361,11,1)&lt;=$AF361),ROUND($AG361,2),0))</f>
        <v/>
      </c>
      <c r="U361" s="18">
        <f>IF($Z361="","",IF(AND(DATE($AD361,12,1)&gt;=$AE361,DATE($AD361,12,1)&lt;=$AF361),ROUND($AG361,2),0))</f>
        <v/>
      </c>
      <c r="V361" s="7">
        <f>IF($Z361="C","Generated from "&amp;INDEX(Contracts!$A$2:$A$151,$AB361),IF($Z361="A","Generated from "&amp;INDEX(Fixed_Assets!$A$2:$A$201,$AB361),IF($Z361="F","Generated from "&amp;INDEX(FTE_Allocation!$A$2:$A$201,$AB361),"")))</f>
        <v/>
      </c>
      <c r="X361" s="19">
        <f>IF($Z361="","",SUM(J361:U361))</f>
        <v/>
      </c>
      <c r="Y361" s="20">
        <f>ROW()-1</f>
        <v/>
      </c>
      <c r="Z361" s="20">
        <f>IF($Y361&lt;=Settings!$B$4*3,"C",IF($Y361&lt;=(Settings!$B$4+Settings!$B$5)*3,"A",IF($Y361&lt;=(Settings!$B$4+Settings!$B$5+Settings!$B$6)*3,"F","")))</f>
        <v/>
      </c>
      <c r="AA361" s="20">
        <f>IF($Z361="C",$Y361,IF($Z361="A",$Y361-Settings!$B$4*3,IF($Z361="F",$Y361-(Settings!$B$4+Settings!$B$5)*3,"")))</f>
        <v/>
      </c>
      <c r="AB361" s="20">
        <f>IF($Z361="","",INT(($AA361-1)/3)+1)</f>
        <v/>
      </c>
      <c r="AC361" s="20">
        <f>IF($Z361="","",MOD($AA361-1,3)+1)</f>
        <v/>
      </c>
      <c r="AD361" s="20">
        <f>IF($Z361="","",Settings!$B$2+$AC361-1)</f>
        <v/>
      </c>
      <c r="AE361" s="21">
        <f>IF($Z361="C",DATE(YEAR(INDEX(Contracts!$J$2:$J$151,$AB361)),MONTH(INDEX(Contracts!$J$2:$J$151,$AB361)),1),IF($Z361="A",DATE(YEAR(INDEX(Fixed_Assets!$G$2:$G$201,$AB361)),MONTH(INDEX(Fixed_Assets!$G$2:$G$201,$AB361)),1),IF($Z361="F",DATE(YEAR(MAX(N(INDEX(Workforce!$I$2:$I$151,MATCH(INDEX(FTE_Allocation!$A$2:$A$201,$AB361),Workforce!$A$2:$A$151,0))),N(INDEX(FTE_Allocation!$I$2:$I$201,$AB361)))),MONTH(MAX(N(INDEX(Workforce!$I$2:$I$151,MATCH(INDEX(FTE_Allocation!$A$2:$A$201,$AB361),Workforce!$A$2:$A$151,0))),N(INDEX(FTE_Allocation!$I$2:$I$201,$AB361)))),1),"")))</f>
        <v/>
      </c>
      <c r="AF361" s="21">
        <f>IF($Z361="C",IF(INDEX(Contracts!$I$2:$I$151,$AB361)="PREPAID",EDATE(DATE(YEAR(INDEX(Contracts!$J$2:$J$151,$AB361)),MONTH(INDEX(Contracts!$J$2:$J$151,$AB361)),1),IF(INDEX(Contracts!$N$2:$N$151,$AB361)="",12,INDEX(Contracts!$N$2:$N$151,$AB361))-1),IF(INDEX(Contracts!$I$2:$I$151,$AB361)="MONTHLY",IF(INDEX(Contracts!$K$2:$K$151,$AB361)="",2958101,INDEX(Contracts!$K$2:$K$151,$AB361)),0)),IF($Z361="A",EDATE(DATE(YEAR(INDEX(Fixed_Assets!$G$2:$G$201,$AB361)),MONTH(INDEX(Fixed_Assets!$G$2:$G$201,$AB361)),1),INDEX(Fixed_Assets!$J$2:$J$201,$AB361)-1),IF($Z361="F",MIN(IF(INDEX(Workforce!$J$2:$J$151,MATCH(INDEX(FTE_Allocation!$A$2:$A$201,$AB361),Workforce!$A$2:$A$151,0))="",2958101,INDEX(Workforce!$J$2:$J$151,MATCH(INDEX(FTE_Allocation!$A$2:$A$201,$AB361),Workforce!$A$2:$A$151,0))),IF(INDEX(FTE_Allocation!$J$2:$J$201,$AB361)="",2958101,INDEX(FTE_Allocation!$J$2:$J$201,$AB361))),"")))</f>
        <v/>
      </c>
      <c r="AG361" s="19">
        <f>IF($Z361="C",IF(INDEX(Contracts!$I$2:$I$151,$AB361)="PREPAID",INDEX(Contracts!$M$2:$M$151,$AB361)/IF(INDEX(Contracts!$N$2:$N$151,$AB361)="",12,INDEX(Contracts!$N$2:$N$151,$AB361)),IF(INDEX(Contracts!$I$2:$I$151,$AB361)="MONTHLY",INDEX(Contracts!$M$2:$M$151,$AB361),0))*(1-N(INDEX(Contracts!$O$2:$O$151,$AB361))),IF($Z361="A",INDEX(Fixed_Assets!$H$2:$H$201,$AB361)/INDEX(Fixed_Assets!$J$2:$J$201,$AB361),IF($Z361="F",INDEX(Workforce!$F$2:$F$151,MATCH(INDEX(FTE_Allocation!$A$2:$A$201,$AB361),Workforce!$A$2:$A$151,0))*N(INDEX(FTE_Allocation!$F$2:$H$201,$AB361,$AC361)),"")))</f>
        <v/>
      </c>
    </row>
    <row r="362">
      <c r="A362" s="7">
        <f>IF($Z362="","",$AD362)</f>
        <v/>
      </c>
      <c r="B362" s="7">
        <f>IF($Z362="C",INDEX(Contracts!$D$2:$D$151,$AB362)&amp;"",IF($Z362="A",INDEX(Fixed_Assets!$C$2:$C$201,$AB362)&amp;"",IF($Z362="F",INDEX(Workforce!$B$2:$B$151,MATCH(INDEX(FTE_Allocation!$A$2:$A$201,$AB362),Workforce!$A$2:$A$151,0))&amp;"","")))</f>
        <v/>
      </c>
      <c r="C362" s="7">
        <f>IF($Z362="C",INDEX(Contracts!$E$2:$E$151,$AB362)&amp;"",IF($Z362="A",INDEX(Fixed_Assets!$D$2:$D$201,$AB362)&amp;"",IF($Z362="F",INDEX(FTE_Allocation!$C$2:$C$201,$AB362)&amp;"","")))</f>
        <v/>
      </c>
      <c r="D362" s="7">
        <f>IF($Z362="C",INDEX(Contracts!$B$2:$B$151,$AB362)&amp;"",IF($Z362="A",INDEX(Fixed_Assets!$B$2:$B$201,$AB362)&amp;"",IF($Z362="F",INDEX(FTE_Allocation!$B$2:$B$201,$AB362)&amp;"","")))</f>
        <v/>
      </c>
      <c r="E362" s="7">
        <f>IF($Z362="C",INDEX(Contracts!$P$2:$P$151,$AB362)&amp;"",IF($Z362="A",INDEX(Fixed_Assets!$K$2:$K$201,$AB362)&amp;"",IF($Z362="F",IF(INDEX(FTE_Allocation!$D$2:$D$201,$AB362)="PROJECT",IFERROR(INDEX(Projects!$D:$D,MATCH(INDEX(FTE_Allocation!$E$2:$E$201,$AB362),Projects!$A:$A,0))&amp;"","#PROJECT?"),INDEX(FTE_Allocation!$E$2:$E$201,$AB362)&amp;""),"")))</f>
        <v/>
      </c>
      <c r="F362" s="7">
        <f>IF($Z362="C",INDEX(Contracts!$Q$2:$Q$151,$AB362)&amp;"",IF($Z362="A",INDEX(Fixed_Assets!$L$2:$L$201,$AB362)&amp;"",IF($Z362="F",INDEX(Workforce!$K$2:$K$151,MATCH(INDEX(FTE_Allocation!$A$2:$A$201,$AB362),Workforce!$A$2:$A$151,0))&amp;"","")))</f>
        <v/>
      </c>
      <c r="G362" s="7">
        <f>IF($Z362="C",INDEX(Contracts!$F$2:$F$151,$AB362)&amp;" / "&amp;INDEX(Contracts!$G$2:$G$151,$AB362),IF($Z362="A",INDEX(Fixed_Assets!$E$2:$E$201,$AB362)&amp;"",IF($Z362="F","Personnel "&amp;INDEX(FTE_Allocation!$A$2:$A$201,$AB362)&amp;IF(INDEX(FTE_Allocation!$D$2:$D$201,$AB362)="PROJECT"," ("&amp;INDEX(FTE_Allocation!$E$2:$E$201,$AB362)&amp;")",""),"")))</f>
        <v/>
      </c>
      <c r="H362" s="7">
        <f>IF($Z362="C","CONTRACT",IF($Z362="A","ASSET",IF($Z362="F","WORKFORCE","")))</f>
        <v/>
      </c>
      <c r="I362" s="7">
        <f>IF($Z362="C",INDEX(Contracts!$L$2:$L$151,$AB362)&amp;"",IF($Z362="A",INDEX(Fixed_Assets!$I$2:$I$201,$AB362)&amp;"",IF($Z362="F",INDEX(Workforce!$G$2:$G$151,MATCH(INDEX(FTE_Allocation!$A$2:$A$201,$AB362),Workforce!$A$2:$A$151,0))&amp;"","")))</f>
        <v/>
      </c>
      <c r="J362" s="18">
        <f>IF($Z362="","",IF(AND(DATE($AD362,1,1)&gt;=$AE362,DATE($AD362,1,1)&lt;=$AF362),ROUND($AG362,2),0))</f>
        <v/>
      </c>
      <c r="K362" s="18">
        <f>IF($Z362="","",IF(AND(DATE($AD362,2,1)&gt;=$AE362,DATE($AD362,2,1)&lt;=$AF362),ROUND($AG362,2),0))</f>
        <v/>
      </c>
      <c r="L362" s="18">
        <f>IF($Z362="","",IF(AND(DATE($AD362,3,1)&gt;=$AE362,DATE($AD362,3,1)&lt;=$AF362),ROUND($AG362,2),0))</f>
        <v/>
      </c>
      <c r="M362" s="18">
        <f>IF($Z362="","",IF(AND(DATE($AD362,4,1)&gt;=$AE362,DATE($AD362,4,1)&lt;=$AF362),ROUND($AG362,2),0))</f>
        <v/>
      </c>
      <c r="N362" s="18">
        <f>IF($Z362="","",IF(AND(DATE($AD362,5,1)&gt;=$AE362,DATE($AD362,5,1)&lt;=$AF362),ROUND($AG362,2),0))</f>
        <v/>
      </c>
      <c r="O362" s="18">
        <f>IF($Z362="","",IF(AND(DATE($AD362,6,1)&gt;=$AE362,DATE($AD362,6,1)&lt;=$AF362),ROUND($AG362,2),0))</f>
        <v/>
      </c>
      <c r="P362" s="18">
        <f>IF($Z362="","",IF(AND(DATE($AD362,7,1)&gt;=$AE362,DATE($AD362,7,1)&lt;=$AF362),ROUND($AG362,2),0))</f>
        <v/>
      </c>
      <c r="Q362" s="18">
        <f>IF($Z362="","",IF(AND(DATE($AD362,8,1)&gt;=$AE362,DATE($AD362,8,1)&lt;=$AF362),ROUND($AG362,2),0))</f>
        <v/>
      </c>
      <c r="R362" s="18">
        <f>IF($Z362="","",IF(AND(DATE($AD362,9,1)&gt;=$AE362,DATE($AD362,9,1)&lt;=$AF362),ROUND($AG362,2),0))</f>
        <v/>
      </c>
      <c r="S362" s="18">
        <f>IF($Z362="","",IF(AND(DATE($AD362,10,1)&gt;=$AE362,DATE($AD362,10,1)&lt;=$AF362),ROUND($AG362,2),0))</f>
        <v/>
      </c>
      <c r="T362" s="18">
        <f>IF($Z362="","",IF(AND(DATE($AD362,11,1)&gt;=$AE362,DATE($AD362,11,1)&lt;=$AF362),ROUND($AG362,2),0))</f>
        <v/>
      </c>
      <c r="U362" s="18">
        <f>IF($Z362="","",IF(AND(DATE($AD362,12,1)&gt;=$AE362,DATE($AD362,12,1)&lt;=$AF362),ROUND($AG362,2),0))</f>
        <v/>
      </c>
      <c r="V362" s="7">
        <f>IF($Z362="C","Generated from "&amp;INDEX(Contracts!$A$2:$A$151,$AB362),IF($Z362="A","Generated from "&amp;INDEX(Fixed_Assets!$A$2:$A$201,$AB362),IF($Z362="F","Generated from "&amp;INDEX(FTE_Allocation!$A$2:$A$201,$AB362),"")))</f>
        <v/>
      </c>
      <c r="X362" s="19">
        <f>IF($Z362="","",SUM(J362:U362))</f>
        <v/>
      </c>
      <c r="Y362" s="20">
        <f>ROW()-1</f>
        <v/>
      </c>
      <c r="Z362" s="20">
        <f>IF($Y362&lt;=Settings!$B$4*3,"C",IF($Y362&lt;=(Settings!$B$4+Settings!$B$5)*3,"A",IF($Y362&lt;=(Settings!$B$4+Settings!$B$5+Settings!$B$6)*3,"F","")))</f>
        <v/>
      </c>
      <c r="AA362" s="20">
        <f>IF($Z362="C",$Y362,IF($Z362="A",$Y362-Settings!$B$4*3,IF($Z362="F",$Y362-(Settings!$B$4+Settings!$B$5)*3,"")))</f>
        <v/>
      </c>
      <c r="AB362" s="20">
        <f>IF($Z362="","",INT(($AA362-1)/3)+1)</f>
        <v/>
      </c>
      <c r="AC362" s="20">
        <f>IF($Z362="","",MOD($AA362-1,3)+1)</f>
        <v/>
      </c>
      <c r="AD362" s="20">
        <f>IF($Z362="","",Settings!$B$2+$AC362-1)</f>
        <v/>
      </c>
      <c r="AE362" s="21">
        <f>IF($Z362="C",DATE(YEAR(INDEX(Contracts!$J$2:$J$151,$AB362)),MONTH(INDEX(Contracts!$J$2:$J$151,$AB362)),1),IF($Z362="A",DATE(YEAR(INDEX(Fixed_Assets!$G$2:$G$201,$AB362)),MONTH(INDEX(Fixed_Assets!$G$2:$G$201,$AB362)),1),IF($Z362="F",DATE(YEAR(MAX(N(INDEX(Workforce!$I$2:$I$151,MATCH(INDEX(FTE_Allocation!$A$2:$A$201,$AB362),Workforce!$A$2:$A$151,0))),N(INDEX(FTE_Allocation!$I$2:$I$201,$AB362)))),MONTH(MAX(N(INDEX(Workforce!$I$2:$I$151,MATCH(INDEX(FTE_Allocation!$A$2:$A$201,$AB362),Workforce!$A$2:$A$151,0))),N(INDEX(FTE_Allocation!$I$2:$I$201,$AB362)))),1),"")))</f>
        <v/>
      </c>
      <c r="AF362" s="21">
        <f>IF($Z362="C",IF(INDEX(Contracts!$I$2:$I$151,$AB362)="PREPAID",EDATE(DATE(YEAR(INDEX(Contracts!$J$2:$J$151,$AB362)),MONTH(INDEX(Contracts!$J$2:$J$151,$AB362)),1),IF(INDEX(Contracts!$N$2:$N$151,$AB362)="",12,INDEX(Contracts!$N$2:$N$151,$AB362))-1),IF(INDEX(Contracts!$I$2:$I$151,$AB362)="MONTHLY",IF(INDEX(Contracts!$K$2:$K$151,$AB362)="",2958101,INDEX(Contracts!$K$2:$K$151,$AB362)),0)),IF($Z362="A",EDATE(DATE(YEAR(INDEX(Fixed_Assets!$G$2:$G$201,$AB362)),MONTH(INDEX(Fixed_Assets!$G$2:$G$201,$AB362)),1),INDEX(Fixed_Assets!$J$2:$J$201,$AB362)-1),IF($Z362="F",MIN(IF(INDEX(Workforce!$J$2:$J$151,MATCH(INDEX(FTE_Allocation!$A$2:$A$201,$AB362),Workforce!$A$2:$A$151,0))="",2958101,INDEX(Workforce!$J$2:$J$151,MATCH(INDEX(FTE_Allocation!$A$2:$A$201,$AB362),Workforce!$A$2:$A$151,0))),IF(INDEX(FTE_Allocation!$J$2:$J$201,$AB362)="",2958101,INDEX(FTE_Allocation!$J$2:$J$201,$AB362))),"")))</f>
        <v/>
      </c>
      <c r="AG362" s="19">
        <f>IF($Z362="C",IF(INDEX(Contracts!$I$2:$I$151,$AB362)="PREPAID",INDEX(Contracts!$M$2:$M$151,$AB362)/IF(INDEX(Contracts!$N$2:$N$151,$AB362)="",12,INDEX(Contracts!$N$2:$N$151,$AB362)),IF(INDEX(Contracts!$I$2:$I$151,$AB362)="MONTHLY",INDEX(Contracts!$M$2:$M$151,$AB362),0))*(1-N(INDEX(Contracts!$O$2:$O$151,$AB362))),IF($Z362="A",INDEX(Fixed_Assets!$H$2:$H$201,$AB362)/INDEX(Fixed_Assets!$J$2:$J$201,$AB362),IF($Z362="F",INDEX(Workforce!$F$2:$F$151,MATCH(INDEX(FTE_Allocation!$A$2:$A$201,$AB362),Workforce!$A$2:$A$151,0))*N(INDEX(FTE_Allocation!$F$2:$H$201,$AB362,$AC362)),"")))</f>
        <v/>
      </c>
    </row>
    <row r="363">
      <c r="A363" s="7">
        <f>IF($Z363="","",$AD363)</f>
        <v/>
      </c>
      <c r="B363" s="7">
        <f>IF($Z363="C",INDEX(Contracts!$D$2:$D$151,$AB363)&amp;"",IF($Z363="A",INDEX(Fixed_Assets!$C$2:$C$201,$AB363)&amp;"",IF($Z363="F",INDEX(Workforce!$B$2:$B$151,MATCH(INDEX(FTE_Allocation!$A$2:$A$201,$AB363),Workforce!$A$2:$A$151,0))&amp;"","")))</f>
        <v/>
      </c>
      <c r="C363" s="7">
        <f>IF($Z363="C",INDEX(Contracts!$E$2:$E$151,$AB363)&amp;"",IF($Z363="A",INDEX(Fixed_Assets!$D$2:$D$201,$AB363)&amp;"",IF($Z363="F",INDEX(FTE_Allocation!$C$2:$C$201,$AB363)&amp;"","")))</f>
        <v/>
      </c>
      <c r="D363" s="7">
        <f>IF($Z363="C",INDEX(Contracts!$B$2:$B$151,$AB363)&amp;"",IF($Z363="A",INDEX(Fixed_Assets!$B$2:$B$201,$AB363)&amp;"",IF($Z363="F",INDEX(FTE_Allocation!$B$2:$B$201,$AB363)&amp;"","")))</f>
        <v/>
      </c>
      <c r="E363" s="7">
        <f>IF($Z363="C",INDEX(Contracts!$P$2:$P$151,$AB363)&amp;"",IF($Z363="A",INDEX(Fixed_Assets!$K$2:$K$201,$AB363)&amp;"",IF($Z363="F",IF(INDEX(FTE_Allocation!$D$2:$D$201,$AB363)="PROJECT",IFERROR(INDEX(Projects!$D:$D,MATCH(INDEX(FTE_Allocation!$E$2:$E$201,$AB363),Projects!$A:$A,0))&amp;"","#PROJECT?"),INDEX(FTE_Allocation!$E$2:$E$201,$AB363)&amp;""),"")))</f>
        <v/>
      </c>
      <c r="F363" s="7">
        <f>IF($Z363="C",INDEX(Contracts!$Q$2:$Q$151,$AB363)&amp;"",IF($Z363="A",INDEX(Fixed_Assets!$L$2:$L$201,$AB363)&amp;"",IF($Z363="F",INDEX(Workforce!$K$2:$K$151,MATCH(INDEX(FTE_Allocation!$A$2:$A$201,$AB363),Workforce!$A$2:$A$151,0))&amp;"","")))</f>
        <v/>
      </c>
      <c r="G363" s="7">
        <f>IF($Z363="C",INDEX(Contracts!$F$2:$F$151,$AB363)&amp;" / "&amp;INDEX(Contracts!$G$2:$G$151,$AB363),IF($Z363="A",INDEX(Fixed_Assets!$E$2:$E$201,$AB363)&amp;"",IF($Z363="F","Personnel "&amp;INDEX(FTE_Allocation!$A$2:$A$201,$AB363)&amp;IF(INDEX(FTE_Allocation!$D$2:$D$201,$AB363)="PROJECT"," ("&amp;INDEX(FTE_Allocation!$E$2:$E$201,$AB363)&amp;")",""),"")))</f>
        <v/>
      </c>
      <c r="H363" s="7">
        <f>IF($Z363="C","CONTRACT",IF($Z363="A","ASSET",IF($Z363="F","WORKFORCE","")))</f>
        <v/>
      </c>
      <c r="I363" s="7">
        <f>IF($Z363="C",INDEX(Contracts!$L$2:$L$151,$AB363)&amp;"",IF($Z363="A",INDEX(Fixed_Assets!$I$2:$I$201,$AB363)&amp;"",IF($Z363="F",INDEX(Workforce!$G$2:$G$151,MATCH(INDEX(FTE_Allocation!$A$2:$A$201,$AB363),Workforce!$A$2:$A$151,0))&amp;"","")))</f>
        <v/>
      </c>
      <c r="J363" s="18">
        <f>IF($Z363="","",IF(AND(DATE($AD363,1,1)&gt;=$AE363,DATE($AD363,1,1)&lt;=$AF363),ROUND($AG363,2),0))</f>
        <v/>
      </c>
      <c r="K363" s="18">
        <f>IF($Z363="","",IF(AND(DATE($AD363,2,1)&gt;=$AE363,DATE($AD363,2,1)&lt;=$AF363),ROUND($AG363,2),0))</f>
        <v/>
      </c>
      <c r="L363" s="18">
        <f>IF($Z363="","",IF(AND(DATE($AD363,3,1)&gt;=$AE363,DATE($AD363,3,1)&lt;=$AF363),ROUND($AG363,2),0))</f>
        <v/>
      </c>
      <c r="M363" s="18">
        <f>IF($Z363="","",IF(AND(DATE($AD363,4,1)&gt;=$AE363,DATE($AD363,4,1)&lt;=$AF363),ROUND($AG363,2),0))</f>
        <v/>
      </c>
      <c r="N363" s="18">
        <f>IF($Z363="","",IF(AND(DATE($AD363,5,1)&gt;=$AE363,DATE($AD363,5,1)&lt;=$AF363),ROUND($AG363,2),0))</f>
        <v/>
      </c>
      <c r="O363" s="18">
        <f>IF($Z363="","",IF(AND(DATE($AD363,6,1)&gt;=$AE363,DATE($AD363,6,1)&lt;=$AF363),ROUND($AG363,2),0))</f>
        <v/>
      </c>
      <c r="P363" s="18">
        <f>IF($Z363="","",IF(AND(DATE($AD363,7,1)&gt;=$AE363,DATE($AD363,7,1)&lt;=$AF363),ROUND($AG363,2),0))</f>
        <v/>
      </c>
      <c r="Q363" s="18">
        <f>IF($Z363="","",IF(AND(DATE($AD363,8,1)&gt;=$AE363,DATE($AD363,8,1)&lt;=$AF363),ROUND($AG363,2),0))</f>
        <v/>
      </c>
      <c r="R363" s="18">
        <f>IF($Z363="","",IF(AND(DATE($AD363,9,1)&gt;=$AE363,DATE($AD363,9,1)&lt;=$AF363),ROUND($AG363,2),0))</f>
        <v/>
      </c>
      <c r="S363" s="18">
        <f>IF($Z363="","",IF(AND(DATE($AD363,10,1)&gt;=$AE363,DATE($AD363,10,1)&lt;=$AF363),ROUND($AG363,2),0))</f>
        <v/>
      </c>
      <c r="T363" s="18">
        <f>IF($Z363="","",IF(AND(DATE($AD363,11,1)&gt;=$AE363,DATE($AD363,11,1)&lt;=$AF363),ROUND($AG363,2),0))</f>
        <v/>
      </c>
      <c r="U363" s="18">
        <f>IF($Z363="","",IF(AND(DATE($AD363,12,1)&gt;=$AE363,DATE($AD363,12,1)&lt;=$AF363),ROUND($AG363,2),0))</f>
        <v/>
      </c>
      <c r="V363" s="7">
        <f>IF($Z363="C","Generated from "&amp;INDEX(Contracts!$A$2:$A$151,$AB363),IF($Z363="A","Generated from "&amp;INDEX(Fixed_Assets!$A$2:$A$201,$AB363),IF($Z363="F","Generated from "&amp;INDEX(FTE_Allocation!$A$2:$A$201,$AB363),"")))</f>
        <v/>
      </c>
      <c r="X363" s="19">
        <f>IF($Z363="","",SUM(J363:U363))</f>
        <v/>
      </c>
      <c r="Y363" s="20">
        <f>ROW()-1</f>
        <v/>
      </c>
      <c r="Z363" s="20">
        <f>IF($Y363&lt;=Settings!$B$4*3,"C",IF($Y363&lt;=(Settings!$B$4+Settings!$B$5)*3,"A",IF($Y363&lt;=(Settings!$B$4+Settings!$B$5+Settings!$B$6)*3,"F","")))</f>
        <v/>
      </c>
      <c r="AA363" s="20">
        <f>IF($Z363="C",$Y363,IF($Z363="A",$Y363-Settings!$B$4*3,IF($Z363="F",$Y363-(Settings!$B$4+Settings!$B$5)*3,"")))</f>
        <v/>
      </c>
      <c r="AB363" s="20">
        <f>IF($Z363="","",INT(($AA363-1)/3)+1)</f>
        <v/>
      </c>
      <c r="AC363" s="20">
        <f>IF($Z363="","",MOD($AA363-1,3)+1)</f>
        <v/>
      </c>
      <c r="AD363" s="20">
        <f>IF($Z363="","",Settings!$B$2+$AC363-1)</f>
        <v/>
      </c>
      <c r="AE363" s="21">
        <f>IF($Z363="C",DATE(YEAR(INDEX(Contracts!$J$2:$J$151,$AB363)),MONTH(INDEX(Contracts!$J$2:$J$151,$AB363)),1),IF($Z363="A",DATE(YEAR(INDEX(Fixed_Assets!$G$2:$G$201,$AB363)),MONTH(INDEX(Fixed_Assets!$G$2:$G$201,$AB363)),1),IF($Z363="F",DATE(YEAR(MAX(N(INDEX(Workforce!$I$2:$I$151,MATCH(INDEX(FTE_Allocation!$A$2:$A$201,$AB363),Workforce!$A$2:$A$151,0))),N(INDEX(FTE_Allocation!$I$2:$I$201,$AB363)))),MONTH(MAX(N(INDEX(Workforce!$I$2:$I$151,MATCH(INDEX(FTE_Allocation!$A$2:$A$201,$AB363),Workforce!$A$2:$A$151,0))),N(INDEX(FTE_Allocation!$I$2:$I$201,$AB363)))),1),"")))</f>
        <v/>
      </c>
      <c r="AF363" s="21">
        <f>IF($Z363="C",IF(INDEX(Contracts!$I$2:$I$151,$AB363)="PREPAID",EDATE(DATE(YEAR(INDEX(Contracts!$J$2:$J$151,$AB363)),MONTH(INDEX(Contracts!$J$2:$J$151,$AB363)),1),IF(INDEX(Contracts!$N$2:$N$151,$AB363)="",12,INDEX(Contracts!$N$2:$N$151,$AB363))-1),IF(INDEX(Contracts!$I$2:$I$151,$AB363)="MONTHLY",IF(INDEX(Contracts!$K$2:$K$151,$AB363)="",2958101,INDEX(Contracts!$K$2:$K$151,$AB363)),0)),IF($Z363="A",EDATE(DATE(YEAR(INDEX(Fixed_Assets!$G$2:$G$201,$AB363)),MONTH(INDEX(Fixed_Assets!$G$2:$G$201,$AB363)),1),INDEX(Fixed_Assets!$J$2:$J$201,$AB363)-1),IF($Z363="F",MIN(IF(INDEX(Workforce!$J$2:$J$151,MATCH(INDEX(FTE_Allocation!$A$2:$A$201,$AB363),Workforce!$A$2:$A$151,0))="",2958101,INDEX(Workforce!$J$2:$J$151,MATCH(INDEX(FTE_Allocation!$A$2:$A$201,$AB363),Workforce!$A$2:$A$151,0))),IF(INDEX(FTE_Allocation!$J$2:$J$201,$AB363)="",2958101,INDEX(FTE_Allocation!$J$2:$J$201,$AB363))),"")))</f>
        <v/>
      </c>
      <c r="AG363" s="19">
        <f>IF($Z363="C",IF(INDEX(Contracts!$I$2:$I$151,$AB363)="PREPAID",INDEX(Contracts!$M$2:$M$151,$AB363)/IF(INDEX(Contracts!$N$2:$N$151,$AB363)="",12,INDEX(Contracts!$N$2:$N$151,$AB363)),IF(INDEX(Contracts!$I$2:$I$151,$AB363)="MONTHLY",INDEX(Contracts!$M$2:$M$151,$AB363),0))*(1-N(INDEX(Contracts!$O$2:$O$151,$AB363))),IF($Z363="A",INDEX(Fixed_Assets!$H$2:$H$201,$AB363)/INDEX(Fixed_Assets!$J$2:$J$201,$AB363),IF($Z363="F",INDEX(Workforce!$F$2:$F$151,MATCH(INDEX(FTE_Allocation!$A$2:$A$201,$AB363),Workforce!$A$2:$A$151,0))*N(INDEX(FTE_Allocation!$F$2:$H$201,$AB363,$AC363)),"")))</f>
        <v/>
      </c>
    </row>
    <row r="364">
      <c r="A364" s="7">
        <f>IF($Z364="","",$AD364)</f>
        <v/>
      </c>
      <c r="B364" s="7">
        <f>IF($Z364="C",INDEX(Contracts!$D$2:$D$151,$AB364)&amp;"",IF($Z364="A",INDEX(Fixed_Assets!$C$2:$C$201,$AB364)&amp;"",IF($Z364="F",INDEX(Workforce!$B$2:$B$151,MATCH(INDEX(FTE_Allocation!$A$2:$A$201,$AB364),Workforce!$A$2:$A$151,0))&amp;"","")))</f>
        <v/>
      </c>
      <c r="C364" s="7">
        <f>IF($Z364="C",INDEX(Contracts!$E$2:$E$151,$AB364)&amp;"",IF($Z364="A",INDEX(Fixed_Assets!$D$2:$D$201,$AB364)&amp;"",IF($Z364="F",INDEX(FTE_Allocation!$C$2:$C$201,$AB364)&amp;"","")))</f>
        <v/>
      </c>
      <c r="D364" s="7">
        <f>IF($Z364="C",INDEX(Contracts!$B$2:$B$151,$AB364)&amp;"",IF($Z364="A",INDEX(Fixed_Assets!$B$2:$B$201,$AB364)&amp;"",IF($Z364="F",INDEX(FTE_Allocation!$B$2:$B$201,$AB364)&amp;"","")))</f>
        <v/>
      </c>
      <c r="E364" s="7">
        <f>IF($Z364="C",INDEX(Contracts!$P$2:$P$151,$AB364)&amp;"",IF($Z364="A",INDEX(Fixed_Assets!$K$2:$K$201,$AB364)&amp;"",IF($Z364="F",IF(INDEX(FTE_Allocation!$D$2:$D$201,$AB364)="PROJECT",IFERROR(INDEX(Projects!$D:$D,MATCH(INDEX(FTE_Allocation!$E$2:$E$201,$AB364),Projects!$A:$A,0))&amp;"","#PROJECT?"),INDEX(FTE_Allocation!$E$2:$E$201,$AB364)&amp;""),"")))</f>
        <v/>
      </c>
      <c r="F364" s="7">
        <f>IF($Z364="C",INDEX(Contracts!$Q$2:$Q$151,$AB364)&amp;"",IF($Z364="A",INDEX(Fixed_Assets!$L$2:$L$201,$AB364)&amp;"",IF($Z364="F",INDEX(Workforce!$K$2:$K$151,MATCH(INDEX(FTE_Allocation!$A$2:$A$201,$AB364),Workforce!$A$2:$A$151,0))&amp;"","")))</f>
        <v/>
      </c>
      <c r="G364" s="7">
        <f>IF($Z364="C",INDEX(Contracts!$F$2:$F$151,$AB364)&amp;" / "&amp;INDEX(Contracts!$G$2:$G$151,$AB364),IF($Z364="A",INDEX(Fixed_Assets!$E$2:$E$201,$AB364)&amp;"",IF($Z364="F","Personnel "&amp;INDEX(FTE_Allocation!$A$2:$A$201,$AB364)&amp;IF(INDEX(FTE_Allocation!$D$2:$D$201,$AB364)="PROJECT"," ("&amp;INDEX(FTE_Allocation!$E$2:$E$201,$AB364)&amp;")",""),"")))</f>
        <v/>
      </c>
      <c r="H364" s="7">
        <f>IF($Z364="C","CONTRACT",IF($Z364="A","ASSET",IF($Z364="F","WORKFORCE","")))</f>
        <v/>
      </c>
      <c r="I364" s="7">
        <f>IF($Z364="C",INDEX(Contracts!$L$2:$L$151,$AB364)&amp;"",IF($Z364="A",INDEX(Fixed_Assets!$I$2:$I$201,$AB364)&amp;"",IF($Z364="F",INDEX(Workforce!$G$2:$G$151,MATCH(INDEX(FTE_Allocation!$A$2:$A$201,$AB364),Workforce!$A$2:$A$151,0))&amp;"","")))</f>
        <v/>
      </c>
      <c r="J364" s="18">
        <f>IF($Z364="","",IF(AND(DATE($AD364,1,1)&gt;=$AE364,DATE($AD364,1,1)&lt;=$AF364),ROUND($AG364,2),0))</f>
        <v/>
      </c>
      <c r="K364" s="18">
        <f>IF($Z364="","",IF(AND(DATE($AD364,2,1)&gt;=$AE364,DATE($AD364,2,1)&lt;=$AF364),ROUND($AG364,2),0))</f>
        <v/>
      </c>
      <c r="L364" s="18">
        <f>IF($Z364="","",IF(AND(DATE($AD364,3,1)&gt;=$AE364,DATE($AD364,3,1)&lt;=$AF364),ROUND($AG364,2),0))</f>
        <v/>
      </c>
      <c r="M364" s="18">
        <f>IF($Z364="","",IF(AND(DATE($AD364,4,1)&gt;=$AE364,DATE($AD364,4,1)&lt;=$AF364),ROUND($AG364,2),0))</f>
        <v/>
      </c>
      <c r="N364" s="18">
        <f>IF($Z364="","",IF(AND(DATE($AD364,5,1)&gt;=$AE364,DATE($AD364,5,1)&lt;=$AF364),ROUND($AG364,2),0))</f>
        <v/>
      </c>
      <c r="O364" s="18">
        <f>IF($Z364="","",IF(AND(DATE($AD364,6,1)&gt;=$AE364,DATE($AD364,6,1)&lt;=$AF364),ROUND($AG364,2),0))</f>
        <v/>
      </c>
      <c r="P364" s="18">
        <f>IF($Z364="","",IF(AND(DATE($AD364,7,1)&gt;=$AE364,DATE($AD364,7,1)&lt;=$AF364),ROUND($AG364,2),0))</f>
        <v/>
      </c>
      <c r="Q364" s="18">
        <f>IF($Z364="","",IF(AND(DATE($AD364,8,1)&gt;=$AE364,DATE($AD364,8,1)&lt;=$AF364),ROUND($AG364,2),0))</f>
        <v/>
      </c>
      <c r="R364" s="18">
        <f>IF($Z364="","",IF(AND(DATE($AD364,9,1)&gt;=$AE364,DATE($AD364,9,1)&lt;=$AF364),ROUND($AG364,2),0))</f>
        <v/>
      </c>
      <c r="S364" s="18">
        <f>IF($Z364="","",IF(AND(DATE($AD364,10,1)&gt;=$AE364,DATE($AD364,10,1)&lt;=$AF364),ROUND($AG364,2),0))</f>
        <v/>
      </c>
      <c r="T364" s="18">
        <f>IF($Z364="","",IF(AND(DATE($AD364,11,1)&gt;=$AE364,DATE($AD364,11,1)&lt;=$AF364),ROUND($AG364,2),0))</f>
        <v/>
      </c>
      <c r="U364" s="18">
        <f>IF($Z364="","",IF(AND(DATE($AD364,12,1)&gt;=$AE364,DATE($AD364,12,1)&lt;=$AF364),ROUND($AG364,2),0))</f>
        <v/>
      </c>
      <c r="V364" s="7">
        <f>IF($Z364="C","Generated from "&amp;INDEX(Contracts!$A$2:$A$151,$AB364),IF($Z364="A","Generated from "&amp;INDEX(Fixed_Assets!$A$2:$A$201,$AB364),IF($Z364="F","Generated from "&amp;INDEX(FTE_Allocation!$A$2:$A$201,$AB364),"")))</f>
        <v/>
      </c>
      <c r="X364" s="19">
        <f>IF($Z364="","",SUM(J364:U364))</f>
        <v/>
      </c>
      <c r="Y364" s="20">
        <f>ROW()-1</f>
        <v/>
      </c>
      <c r="Z364" s="20">
        <f>IF($Y364&lt;=Settings!$B$4*3,"C",IF($Y364&lt;=(Settings!$B$4+Settings!$B$5)*3,"A",IF($Y364&lt;=(Settings!$B$4+Settings!$B$5+Settings!$B$6)*3,"F","")))</f>
        <v/>
      </c>
      <c r="AA364" s="20">
        <f>IF($Z364="C",$Y364,IF($Z364="A",$Y364-Settings!$B$4*3,IF($Z364="F",$Y364-(Settings!$B$4+Settings!$B$5)*3,"")))</f>
        <v/>
      </c>
      <c r="AB364" s="20">
        <f>IF($Z364="","",INT(($AA364-1)/3)+1)</f>
        <v/>
      </c>
      <c r="AC364" s="20">
        <f>IF($Z364="","",MOD($AA364-1,3)+1)</f>
        <v/>
      </c>
      <c r="AD364" s="20">
        <f>IF($Z364="","",Settings!$B$2+$AC364-1)</f>
        <v/>
      </c>
      <c r="AE364" s="21">
        <f>IF($Z364="C",DATE(YEAR(INDEX(Contracts!$J$2:$J$151,$AB364)),MONTH(INDEX(Contracts!$J$2:$J$151,$AB364)),1),IF($Z364="A",DATE(YEAR(INDEX(Fixed_Assets!$G$2:$G$201,$AB364)),MONTH(INDEX(Fixed_Assets!$G$2:$G$201,$AB364)),1),IF($Z364="F",DATE(YEAR(MAX(N(INDEX(Workforce!$I$2:$I$151,MATCH(INDEX(FTE_Allocation!$A$2:$A$201,$AB364),Workforce!$A$2:$A$151,0))),N(INDEX(FTE_Allocation!$I$2:$I$201,$AB364)))),MONTH(MAX(N(INDEX(Workforce!$I$2:$I$151,MATCH(INDEX(FTE_Allocation!$A$2:$A$201,$AB364),Workforce!$A$2:$A$151,0))),N(INDEX(FTE_Allocation!$I$2:$I$201,$AB364)))),1),"")))</f>
        <v/>
      </c>
      <c r="AF364" s="21">
        <f>IF($Z364="C",IF(INDEX(Contracts!$I$2:$I$151,$AB364)="PREPAID",EDATE(DATE(YEAR(INDEX(Contracts!$J$2:$J$151,$AB364)),MONTH(INDEX(Contracts!$J$2:$J$151,$AB364)),1),IF(INDEX(Contracts!$N$2:$N$151,$AB364)="",12,INDEX(Contracts!$N$2:$N$151,$AB364))-1),IF(INDEX(Contracts!$I$2:$I$151,$AB364)="MONTHLY",IF(INDEX(Contracts!$K$2:$K$151,$AB364)="",2958101,INDEX(Contracts!$K$2:$K$151,$AB364)),0)),IF($Z364="A",EDATE(DATE(YEAR(INDEX(Fixed_Assets!$G$2:$G$201,$AB364)),MONTH(INDEX(Fixed_Assets!$G$2:$G$201,$AB364)),1),INDEX(Fixed_Assets!$J$2:$J$201,$AB364)-1),IF($Z364="F",MIN(IF(INDEX(Workforce!$J$2:$J$151,MATCH(INDEX(FTE_Allocation!$A$2:$A$201,$AB364),Workforce!$A$2:$A$151,0))="",2958101,INDEX(Workforce!$J$2:$J$151,MATCH(INDEX(FTE_Allocation!$A$2:$A$201,$AB364),Workforce!$A$2:$A$151,0))),IF(INDEX(FTE_Allocation!$J$2:$J$201,$AB364)="",2958101,INDEX(FTE_Allocation!$J$2:$J$201,$AB364))),"")))</f>
        <v/>
      </c>
      <c r="AG364" s="19">
        <f>IF($Z364="C",IF(INDEX(Contracts!$I$2:$I$151,$AB364)="PREPAID",INDEX(Contracts!$M$2:$M$151,$AB364)/IF(INDEX(Contracts!$N$2:$N$151,$AB364)="",12,INDEX(Contracts!$N$2:$N$151,$AB364)),IF(INDEX(Contracts!$I$2:$I$151,$AB364)="MONTHLY",INDEX(Contracts!$M$2:$M$151,$AB364),0))*(1-N(INDEX(Contracts!$O$2:$O$151,$AB364))),IF($Z364="A",INDEX(Fixed_Assets!$H$2:$H$201,$AB364)/INDEX(Fixed_Assets!$J$2:$J$201,$AB364),IF($Z364="F",INDEX(Workforce!$F$2:$F$151,MATCH(INDEX(FTE_Allocation!$A$2:$A$201,$AB364),Workforce!$A$2:$A$151,0))*N(INDEX(FTE_Allocation!$F$2:$H$201,$AB364,$AC364)),"")))</f>
        <v/>
      </c>
    </row>
    <row r="365">
      <c r="A365" s="7">
        <f>IF($Z365="","",$AD365)</f>
        <v/>
      </c>
      <c r="B365" s="7">
        <f>IF($Z365="C",INDEX(Contracts!$D$2:$D$151,$AB365)&amp;"",IF($Z365="A",INDEX(Fixed_Assets!$C$2:$C$201,$AB365)&amp;"",IF($Z365="F",INDEX(Workforce!$B$2:$B$151,MATCH(INDEX(FTE_Allocation!$A$2:$A$201,$AB365),Workforce!$A$2:$A$151,0))&amp;"","")))</f>
        <v/>
      </c>
      <c r="C365" s="7">
        <f>IF($Z365="C",INDEX(Contracts!$E$2:$E$151,$AB365)&amp;"",IF($Z365="A",INDEX(Fixed_Assets!$D$2:$D$201,$AB365)&amp;"",IF($Z365="F",INDEX(FTE_Allocation!$C$2:$C$201,$AB365)&amp;"","")))</f>
        <v/>
      </c>
      <c r="D365" s="7">
        <f>IF($Z365="C",INDEX(Contracts!$B$2:$B$151,$AB365)&amp;"",IF($Z365="A",INDEX(Fixed_Assets!$B$2:$B$201,$AB365)&amp;"",IF($Z365="F",INDEX(FTE_Allocation!$B$2:$B$201,$AB365)&amp;"","")))</f>
        <v/>
      </c>
      <c r="E365" s="7">
        <f>IF($Z365="C",INDEX(Contracts!$P$2:$P$151,$AB365)&amp;"",IF($Z365="A",INDEX(Fixed_Assets!$K$2:$K$201,$AB365)&amp;"",IF($Z365="F",IF(INDEX(FTE_Allocation!$D$2:$D$201,$AB365)="PROJECT",IFERROR(INDEX(Projects!$D:$D,MATCH(INDEX(FTE_Allocation!$E$2:$E$201,$AB365),Projects!$A:$A,0))&amp;"","#PROJECT?"),INDEX(FTE_Allocation!$E$2:$E$201,$AB365)&amp;""),"")))</f>
        <v/>
      </c>
      <c r="F365" s="7">
        <f>IF($Z365="C",INDEX(Contracts!$Q$2:$Q$151,$AB365)&amp;"",IF($Z365="A",INDEX(Fixed_Assets!$L$2:$L$201,$AB365)&amp;"",IF($Z365="F",INDEX(Workforce!$K$2:$K$151,MATCH(INDEX(FTE_Allocation!$A$2:$A$201,$AB365),Workforce!$A$2:$A$151,0))&amp;"","")))</f>
        <v/>
      </c>
      <c r="G365" s="7">
        <f>IF($Z365="C",INDEX(Contracts!$F$2:$F$151,$AB365)&amp;" / "&amp;INDEX(Contracts!$G$2:$G$151,$AB365),IF($Z365="A",INDEX(Fixed_Assets!$E$2:$E$201,$AB365)&amp;"",IF($Z365="F","Personnel "&amp;INDEX(FTE_Allocation!$A$2:$A$201,$AB365)&amp;IF(INDEX(FTE_Allocation!$D$2:$D$201,$AB365)="PROJECT"," ("&amp;INDEX(FTE_Allocation!$E$2:$E$201,$AB365)&amp;")",""),"")))</f>
        <v/>
      </c>
      <c r="H365" s="7">
        <f>IF($Z365="C","CONTRACT",IF($Z365="A","ASSET",IF($Z365="F","WORKFORCE","")))</f>
        <v/>
      </c>
      <c r="I365" s="7">
        <f>IF($Z365="C",INDEX(Contracts!$L$2:$L$151,$AB365)&amp;"",IF($Z365="A",INDEX(Fixed_Assets!$I$2:$I$201,$AB365)&amp;"",IF($Z365="F",INDEX(Workforce!$G$2:$G$151,MATCH(INDEX(FTE_Allocation!$A$2:$A$201,$AB365),Workforce!$A$2:$A$151,0))&amp;"","")))</f>
        <v/>
      </c>
      <c r="J365" s="18">
        <f>IF($Z365="","",IF(AND(DATE($AD365,1,1)&gt;=$AE365,DATE($AD365,1,1)&lt;=$AF365),ROUND($AG365,2),0))</f>
        <v/>
      </c>
      <c r="K365" s="18">
        <f>IF($Z365="","",IF(AND(DATE($AD365,2,1)&gt;=$AE365,DATE($AD365,2,1)&lt;=$AF365),ROUND($AG365,2),0))</f>
        <v/>
      </c>
      <c r="L365" s="18">
        <f>IF($Z365="","",IF(AND(DATE($AD365,3,1)&gt;=$AE365,DATE($AD365,3,1)&lt;=$AF365),ROUND($AG365,2),0))</f>
        <v/>
      </c>
      <c r="M365" s="18">
        <f>IF($Z365="","",IF(AND(DATE($AD365,4,1)&gt;=$AE365,DATE($AD365,4,1)&lt;=$AF365),ROUND($AG365,2),0))</f>
        <v/>
      </c>
      <c r="N365" s="18">
        <f>IF($Z365="","",IF(AND(DATE($AD365,5,1)&gt;=$AE365,DATE($AD365,5,1)&lt;=$AF365),ROUND($AG365,2),0))</f>
        <v/>
      </c>
      <c r="O365" s="18">
        <f>IF($Z365="","",IF(AND(DATE($AD365,6,1)&gt;=$AE365,DATE($AD365,6,1)&lt;=$AF365),ROUND($AG365,2),0))</f>
        <v/>
      </c>
      <c r="P365" s="18">
        <f>IF($Z365="","",IF(AND(DATE($AD365,7,1)&gt;=$AE365,DATE($AD365,7,1)&lt;=$AF365),ROUND($AG365,2),0))</f>
        <v/>
      </c>
      <c r="Q365" s="18">
        <f>IF($Z365="","",IF(AND(DATE($AD365,8,1)&gt;=$AE365,DATE($AD365,8,1)&lt;=$AF365),ROUND($AG365,2),0))</f>
        <v/>
      </c>
      <c r="R365" s="18">
        <f>IF($Z365="","",IF(AND(DATE($AD365,9,1)&gt;=$AE365,DATE($AD365,9,1)&lt;=$AF365),ROUND($AG365,2),0))</f>
        <v/>
      </c>
      <c r="S365" s="18">
        <f>IF($Z365="","",IF(AND(DATE($AD365,10,1)&gt;=$AE365,DATE($AD365,10,1)&lt;=$AF365),ROUND($AG365,2),0))</f>
        <v/>
      </c>
      <c r="T365" s="18">
        <f>IF($Z365="","",IF(AND(DATE($AD365,11,1)&gt;=$AE365,DATE($AD365,11,1)&lt;=$AF365),ROUND($AG365,2),0))</f>
        <v/>
      </c>
      <c r="U365" s="18">
        <f>IF($Z365="","",IF(AND(DATE($AD365,12,1)&gt;=$AE365,DATE($AD365,12,1)&lt;=$AF365),ROUND($AG365,2),0))</f>
        <v/>
      </c>
      <c r="V365" s="7">
        <f>IF($Z365="C","Generated from "&amp;INDEX(Contracts!$A$2:$A$151,$AB365),IF($Z365="A","Generated from "&amp;INDEX(Fixed_Assets!$A$2:$A$201,$AB365),IF($Z365="F","Generated from "&amp;INDEX(FTE_Allocation!$A$2:$A$201,$AB365),"")))</f>
        <v/>
      </c>
      <c r="X365" s="19">
        <f>IF($Z365="","",SUM(J365:U365))</f>
        <v/>
      </c>
      <c r="Y365" s="20">
        <f>ROW()-1</f>
        <v/>
      </c>
      <c r="Z365" s="20">
        <f>IF($Y365&lt;=Settings!$B$4*3,"C",IF($Y365&lt;=(Settings!$B$4+Settings!$B$5)*3,"A",IF($Y365&lt;=(Settings!$B$4+Settings!$B$5+Settings!$B$6)*3,"F","")))</f>
        <v/>
      </c>
      <c r="AA365" s="20">
        <f>IF($Z365="C",$Y365,IF($Z365="A",$Y365-Settings!$B$4*3,IF($Z365="F",$Y365-(Settings!$B$4+Settings!$B$5)*3,"")))</f>
        <v/>
      </c>
      <c r="AB365" s="20">
        <f>IF($Z365="","",INT(($AA365-1)/3)+1)</f>
        <v/>
      </c>
      <c r="AC365" s="20">
        <f>IF($Z365="","",MOD($AA365-1,3)+1)</f>
        <v/>
      </c>
      <c r="AD365" s="20">
        <f>IF($Z365="","",Settings!$B$2+$AC365-1)</f>
        <v/>
      </c>
      <c r="AE365" s="21">
        <f>IF($Z365="C",DATE(YEAR(INDEX(Contracts!$J$2:$J$151,$AB365)),MONTH(INDEX(Contracts!$J$2:$J$151,$AB365)),1),IF($Z365="A",DATE(YEAR(INDEX(Fixed_Assets!$G$2:$G$201,$AB365)),MONTH(INDEX(Fixed_Assets!$G$2:$G$201,$AB365)),1),IF($Z365="F",DATE(YEAR(MAX(N(INDEX(Workforce!$I$2:$I$151,MATCH(INDEX(FTE_Allocation!$A$2:$A$201,$AB365),Workforce!$A$2:$A$151,0))),N(INDEX(FTE_Allocation!$I$2:$I$201,$AB365)))),MONTH(MAX(N(INDEX(Workforce!$I$2:$I$151,MATCH(INDEX(FTE_Allocation!$A$2:$A$201,$AB365),Workforce!$A$2:$A$151,0))),N(INDEX(FTE_Allocation!$I$2:$I$201,$AB365)))),1),"")))</f>
        <v/>
      </c>
      <c r="AF365" s="21">
        <f>IF($Z365="C",IF(INDEX(Contracts!$I$2:$I$151,$AB365)="PREPAID",EDATE(DATE(YEAR(INDEX(Contracts!$J$2:$J$151,$AB365)),MONTH(INDEX(Contracts!$J$2:$J$151,$AB365)),1),IF(INDEX(Contracts!$N$2:$N$151,$AB365)="",12,INDEX(Contracts!$N$2:$N$151,$AB365))-1),IF(INDEX(Contracts!$I$2:$I$151,$AB365)="MONTHLY",IF(INDEX(Contracts!$K$2:$K$151,$AB365)="",2958101,INDEX(Contracts!$K$2:$K$151,$AB365)),0)),IF($Z365="A",EDATE(DATE(YEAR(INDEX(Fixed_Assets!$G$2:$G$201,$AB365)),MONTH(INDEX(Fixed_Assets!$G$2:$G$201,$AB365)),1),INDEX(Fixed_Assets!$J$2:$J$201,$AB365)-1),IF($Z365="F",MIN(IF(INDEX(Workforce!$J$2:$J$151,MATCH(INDEX(FTE_Allocation!$A$2:$A$201,$AB365),Workforce!$A$2:$A$151,0))="",2958101,INDEX(Workforce!$J$2:$J$151,MATCH(INDEX(FTE_Allocation!$A$2:$A$201,$AB365),Workforce!$A$2:$A$151,0))),IF(INDEX(FTE_Allocation!$J$2:$J$201,$AB365)="",2958101,INDEX(FTE_Allocation!$J$2:$J$201,$AB365))),"")))</f>
        <v/>
      </c>
      <c r="AG365" s="19">
        <f>IF($Z365="C",IF(INDEX(Contracts!$I$2:$I$151,$AB365)="PREPAID",INDEX(Contracts!$M$2:$M$151,$AB365)/IF(INDEX(Contracts!$N$2:$N$151,$AB365)="",12,INDEX(Contracts!$N$2:$N$151,$AB365)),IF(INDEX(Contracts!$I$2:$I$151,$AB365)="MONTHLY",INDEX(Contracts!$M$2:$M$151,$AB365),0))*(1-N(INDEX(Contracts!$O$2:$O$151,$AB365))),IF($Z365="A",INDEX(Fixed_Assets!$H$2:$H$201,$AB365)/INDEX(Fixed_Assets!$J$2:$J$201,$AB365),IF($Z365="F",INDEX(Workforce!$F$2:$F$151,MATCH(INDEX(FTE_Allocation!$A$2:$A$201,$AB365),Workforce!$A$2:$A$151,0))*N(INDEX(FTE_Allocation!$F$2:$H$201,$AB365,$AC365)),"")))</f>
        <v/>
      </c>
    </row>
    <row r="366">
      <c r="A366" s="7">
        <f>IF($Z366="","",$AD366)</f>
        <v/>
      </c>
      <c r="B366" s="7">
        <f>IF($Z366="C",INDEX(Contracts!$D$2:$D$151,$AB366)&amp;"",IF($Z366="A",INDEX(Fixed_Assets!$C$2:$C$201,$AB366)&amp;"",IF($Z366="F",INDEX(Workforce!$B$2:$B$151,MATCH(INDEX(FTE_Allocation!$A$2:$A$201,$AB366),Workforce!$A$2:$A$151,0))&amp;"","")))</f>
        <v/>
      </c>
      <c r="C366" s="7">
        <f>IF($Z366="C",INDEX(Contracts!$E$2:$E$151,$AB366)&amp;"",IF($Z366="A",INDEX(Fixed_Assets!$D$2:$D$201,$AB366)&amp;"",IF($Z366="F",INDEX(FTE_Allocation!$C$2:$C$201,$AB366)&amp;"","")))</f>
        <v/>
      </c>
      <c r="D366" s="7">
        <f>IF($Z366="C",INDEX(Contracts!$B$2:$B$151,$AB366)&amp;"",IF($Z366="A",INDEX(Fixed_Assets!$B$2:$B$201,$AB366)&amp;"",IF($Z366="F",INDEX(FTE_Allocation!$B$2:$B$201,$AB366)&amp;"","")))</f>
        <v/>
      </c>
      <c r="E366" s="7">
        <f>IF($Z366="C",INDEX(Contracts!$P$2:$P$151,$AB366)&amp;"",IF($Z366="A",INDEX(Fixed_Assets!$K$2:$K$201,$AB366)&amp;"",IF($Z366="F",IF(INDEX(FTE_Allocation!$D$2:$D$201,$AB366)="PROJECT",IFERROR(INDEX(Projects!$D:$D,MATCH(INDEX(FTE_Allocation!$E$2:$E$201,$AB366),Projects!$A:$A,0))&amp;"","#PROJECT?"),INDEX(FTE_Allocation!$E$2:$E$201,$AB366)&amp;""),"")))</f>
        <v/>
      </c>
      <c r="F366" s="7">
        <f>IF($Z366="C",INDEX(Contracts!$Q$2:$Q$151,$AB366)&amp;"",IF($Z366="A",INDEX(Fixed_Assets!$L$2:$L$201,$AB366)&amp;"",IF($Z366="F",INDEX(Workforce!$K$2:$K$151,MATCH(INDEX(FTE_Allocation!$A$2:$A$201,$AB366),Workforce!$A$2:$A$151,0))&amp;"","")))</f>
        <v/>
      </c>
      <c r="G366" s="7">
        <f>IF($Z366="C",INDEX(Contracts!$F$2:$F$151,$AB366)&amp;" / "&amp;INDEX(Contracts!$G$2:$G$151,$AB366),IF($Z366="A",INDEX(Fixed_Assets!$E$2:$E$201,$AB366)&amp;"",IF($Z366="F","Personnel "&amp;INDEX(FTE_Allocation!$A$2:$A$201,$AB366)&amp;IF(INDEX(FTE_Allocation!$D$2:$D$201,$AB366)="PROJECT"," ("&amp;INDEX(FTE_Allocation!$E$2:$E$201,$AB366)&amp;")",""),"")))</f>
        <v/>
      </c>
      <c r="H366" s="7">
        <f>IF($Z366="C","CONTRACT",IF($Z366="A","ASSET",IF($Z366="F","WORKFORCE","")))</f>
        <v/>
      </c>
      <c r="I366" s="7">
        <f>IF($Z366="C",INDEX(Contracts!$L$2:$L$151,$AB366)&amp;"",IF($Z366="A",INDEX(Fixed_Assets!$I$2:$I$201,$AB366)&amp;"",IF($Z366="F",INDEX(Workforce!$G$2:$G$151,MATCH(INDEX(FTE_Allocation!$A$2:$A$201,$AB366),Workforce!$A$2:$A$151,0))&amp;"","")))</f>
        <v/>
      </c>
      <c r="J366" s="18">
        <f>IF($Z366="","",IF(AND(DATE($AD366,1,1)&gt;=$AE366,DATE($AD366,1,1)&lt;=$AF366),ROUND($AG366,2),0))</f>
        <v/>
      </c>
      <c r="K366" s="18">
        <f>IF($Z366="","",IF(AND(DATE($AD366,2,1)&gt;=$AE366,DATE($AD366,2,1)&lt;=$AF366),ROUND($AG366,2),0))</f>
        <v/>
      </c>
      <c r="L366" s="18">
        <f>IF($Z366="","",IF(AND(DATE($AD366,3,1)&gt;=$AE366,DATE($AD366,3,1)&lt;=$AF366),ROUND($AG366,2),0))</f>
        <v/>
      </c>
      <c r="M366" s="18">
        <f>IF($Z366="","",IF(AND(DATE($AD366,4,1)&gt;=$AE366,DATE($AD366,4,1)&lt;=$AF366),ROUND($AG366,2),0))</f>
        <v/>
      </c>
      <c r="N366" s="18">
        <f>IF($Z366="","",IF(AND(DATE($AD366,5,1)&gt;=$AE366,DATE($AD366,5,1)&lt;=$AF366),ROUND($AG366,2),0))</f>
        <v/>
      </c>
      <c r="O366" s="18">
        <f>IF($Z366="","",IF(AND(DATE($AD366,6,1)&gt;=$AE366,DATE($AD366,6,1)&lt;=$AF366),ROUND($AG366,2),0))</f>
        <v/>
      </c>
      <c r="P366" s="18">
        <f>IF($Z366="","",IF(AND(DATE($AD366,7,1)&gt;=$AE366,DATE($AD366,7,1)&lt;=$AF366),ROUND($AG366,2),0))</f>
        <v/>
      </c>
      <c r="Q366" s="18">
        <f>IF($Z366="","",IF(AND(DATE($AD366,8,1)&gt;=$AE366,DATE($AD366,8,1)&lt;=$AF366),ROUND($AG366,2),0))</f>
        <v/>
      </c>
      <c r="R366" s="18">
        <f>IF($Z366="","",IF(AND(DATE($AD366,9,1)&gt;=$AE366,DATE($AD366,9,1)&lt;=$AF366),ROUND($AG366,2),0))</f>
        <v/>
      </c>
      <c r="S366" s="18">
        <f>IF($Z366="","",IF(AND(DATE($AD366,10,1)&gt;=$AE366,DATE($AD366,10,1)&lt;=$AF366),ROUND($AG366,2),0))</f>
        <v/>
      </c>
      <c r="T366" s="18">
        <f>IF($Z366="","",IF(AND(DATE($AD366,11,1)&gt;=$AE366,DATE($AD366,11,1)&lt;=$AF366),ROUND($AG366,2),0))</f>
        <v/>
      </c>
      <c r="U366" s="18">
        <f>IF($Z366="","",IF(AND(DATE($AD366,12,1)&gt;=$AE366,DATE($AD366,12,1)&lt;=$AF366),ROUND($AG366,2),0))</f>
        <v/>
      </c>
      <c r="V366" s="7">
        <f>IF($Z366="C","Generated from "&amp;INDEX(Contracts!$A$2:$A$151,$AB366),IF($Z366="A","Generated from "&amp;INDEX(Fixed_Assets!$A$2:$A$201,$AB366),IF($Z366="F","Generated from "&amp;INDEX(FTE_Allocation!$A$2:$A$201,$AB366),"")))</f>
        <v/>
      </c>
      <c r="X366" s="19">
        <f>IF($Z366="","",SUM(J366:U366))</f>
        <v/>
      </c>
      <c r="Y366" s="20">
        <f>ROW()-1</f>
        <v/>
      </c>
      <c r="Z366" s="20">
        <f>IF($Y366&lt;=Settings!$B$4*3,"C",IF($Y366&lt;=(Settings!$B$4+Settings!$B$5)*3,"A",IF($Y366&lt;=(Settings!$B$4+Settings!$B$5+Settings!$B$6)*3,"F","")))</f>
        <v/>
      </c>
      <c r="AA366" s="20">
        <f>IF($Z366="C",$Y366,IF($Z366="A",$Y366-Settings!$B$4*3,IF($Z366="F",$Y366-(Settings!$B$4+Settings!$B$5)*3,"")))</f>
        <v/>
      </c>
      <c r="AB366" s="20">
        <f>IF($Z366="","",INT(($AA366-1)/3)+1)</f>
        <v/>
      </c>
      <c r="AC366" s="20">
        <f>IF($Z366="","",MOD($AA366-1,3)+1)</f>
        <v/>
      </c>
      <c r="AD366" s="20">
        <f>IF($Z366="","",Settings!$B$2+$AC366-1)</f>
        <v/>
      </c>
      <c r="AE366" s="21">
        <f>IF($Z366="C",DATE(YEAR(INDEX(Contracts!$J$2:$J$151,$AB366)),MONTH(INDEX(Contracts!$J$2:$J$151,$AB366)),1),IF($Z366="A",DATE(YEAR(INDEX(Fixed_Assets!$G$2:$G$201,$AB366)),MONTH(INDEX(Fixed_Assets!$G$2:$G$201,$AB366)),1),IF($Z366="F",DATE(YEAR(MAX(N(INDEX(Workforce!$I$2:$I$151,MATCH(INDEX(FTE_Allocation!$A$2:$A$201,$AB366),Workforce!$A$2:$A$151,0))),N(INDEX(FTE_Allocation!$I$2:$I$201,$AB366)))),MONTH(MAX(N(INDEX(Workforce!$I$2:$I$151,MATCH(INDEX(FTE_Allocation!$A$2:$A$201,$AB366),Workforce!$A$2:$A$151,0))),N(INDEX(FTE_Allocation!$I$2:$I$201,$AB366)))),1),"")))</f>
        <v/>
      </c>
      <c r="AF366" s="21">
        <f>IF($Z366="C",IF(INDEX(Contracts!$I$2:$I$151,$AB366)="PREPAID",EDATE(DATE(YEAR(INDEX(Contracts!$J$2:$J$151,$AB366)),MONTH(INDEX(Contracts!$J$2:$J$151,$AB366)),1),IF(INDEX(Contracts!$N$2:$N$151,$AB366)="",12,INDEX(Contracts!$N$2:$N$151,$AB366))-1),IF(INDEX(Contracts!$I$2:$I$151,$AB366)="MONTHLY",IF(INDEX(Contracts!$K$2:$K$151,$AB366)="",2958101,INDEX(Contracts!$K$2:$K$151,$AB366)),0)),IF($Z366="A",EDATE(DATE(YEAR(INDEX(Fixed_Assets!$G$2:$G$201,$AB366)),MONTH(INDEX(Fixed_Assets!$G$2:$G$201,$AB366)),1),INDEX(Fixed_Assets!$J$2:$J$201,$AB366)-1),IF($Z366="F",MIN(IF(INDEX(Workforce!$J$2:$J$151,MATCH(INDEX(FTE_Allocation!$A$2:$A$201,$AB366),Workforce!$A$2:$A$151,0))="",2958101,INDEX(Workforce!$J$2:$J$151,MATCH(INDEX(FTE_Allocation!$A$2:$A$201,$AB366),Workforce!$A$2:$A$151,0))),IF(INDEX(FTE_Allocation!$J$2:$J$201,$AB366)="",2958101,INDEX(FTE_Allocation!$J$2:$J$201,$AB366))),"")))</f>
        <v/>
      </c>
      <c r="AG366" s="19">
        <f>IF($Z366="C",IF(INDEX(Contracts!$I$2:$I$151,$AB366)="PREPAID",INDEX(Contracts!$M$2:$M$151,$AB366)/IF(INDEX(Contracts!$N$2:$N$151,$AB366)="",12,INDEX(Contracts!$N$2:$N$151,$AB366)),IF(INDEX(Contracts!$I$2:$I$151,$AB366)="MONTHLY",INDEX(Contracts!$M$2:$M$151,$AB366),0))*(1-N(INDEX(Contracts!$O$2:$O$151,$AB366))),IF($Z366="A",INDEX(Fixed_Assets!$H$2:$H$201,$AB366)/INDEX(Fixed_Assets!$J$2:$J$201,$AB366),IF($Z366="F",INDEX(Workforce!$F$2:$F$151,MATCH(INDEX(FTE_Allocation!$A$2:$A$201,$AB366),Workforce!$A$2:$A$151,0))*N(INDEX(FTE_Allocation!$F$2:$H$201,$AB366,$AC366)),"")))</f>
        <v/>
      </c>
    </row>
    <row r="367">
      <c r="A367" s="7">
        <f>IF($Z367="","",$AD367)</f>
        <v/>
      </c>
      <c r="B367" s="7">
        <f>IF($Z367="C",INDEX(Contracts!$D$2:$D$151,$AB367)&amp;"",IF($Z367="A",INDEX(Fixed_Assets!$C$2:$C$201,$AB367)&amp;"",IF($Z367="F",INDEX(Workforce!$B$2:$B$151,MATCH(INDEX(FTE_Allocation!$A$2:$A$201,$AB367),Workforce!$A$2:$A$151,0))&amp;"","")))</f>
        <v/>
      </c>
      <c r="C367" s="7">
        <f>IF($Z367="C",INDEX(Contracts!$E$2:$E$151,$AB367)&amp;"",IF($Z367="A",INDEX(Fixed_Assets!$D$2:$D$201,$AB367)&amp;"",IF($Z367="F",INDEX(FTE_Allocation!$C$2:$C$201,$AB367)&amp;"","")))</f>
        <v/>
      </c>
      <c r="D367" s="7">
        <f>IF($Z367="C",INDEX(Contracts!$B$2:$B$151,$AB367)&amp;"",IF($Z367="A",INDEX(Fixed_Assets!$B$2:$B$201,$AB367)&amp;"",IF($Z367="F",INDEX(FTE_Allocation!$B$2:$B$201,$AB367)&amp;"","")))</f>
        <v/>
      </c>
      <c r="E367" s="7">
        <f>IF($Z367="C",INDEX(Contracts!$P$2:$P$151,$AB367)&amp;"",IF($Z367="A",INDEX(Fixed_Assets!$K$2:$K$201,$AB367)&amp;"",IF($Z367="F",IF(INDEX(FTE_Allocation!$D$2:$D$201,$AB367)="PROJECT",IFERROR(INDEX(Projects!$D:$D,MATCH(INDEX(FTE_Allocation!$E$2:$E$201,$AB367),Projects!$A:$A,0))&amp;"","#PROJECT?"),INDEX(FTE_Allocation!$E$2:$E$201,$AB367)&amp;""),"")))</f>
        <v/>
      </c>
      <c r="F367" s="7">
        <f>IF($Z367="C",INDEX(Contracts!$Q$2:$Q$151,$AB367)&amp;"",IF($Z367="A",INDEX(Fixed_Assets!$L$2:$L$201,$AB367)&amp;"",IF($Z367="F",INDEX(Workforce!$K$2:$K$151,MATCH(INDEX(FTE_Allocation!$A$2:$A$201,$AB367),Workforce!$A$2:$A$151,0))&amp;"","")))</f>
        <v/>
      </c>
      <c r="G367" s="7">
        <f>IF($Z367="C",INDEX(Contracts!$F$2:$F$151,$AB367)&amp;" / "&amp;INDEX(Contracts!$G$2:$G$151,$AB367),IF($Z367="A",INDEX(Fixed_Assets!$E$2:$E$201,$AB367)&amp;"",IF($Z367="F","Personnel "&amp;INDEX(FTE_Allocation!$A$2:$A$201,$AB367)&amp;IF(INDEX(FTE_Allocation!$D$2:$D$201,$AB367)="PROJECT"," ("&amp;INDEX(FTE_Allocation!$E$2:$E$201,$AB367)&amp;")",""),"")))</f>
        <v/>
      </c>
      <c r="H367" s="7">
        <f>IF($Z367="C","CONTRACT",IF($Z367="A","ASSET",IF($Z367="F","WORKFORCE","")))</f>
        <v/>
      </c>
      <c r="I367" s="7">
        <f>IF($Z367="C",INDEX(Contracts!$L$2:$L$151,$AB367)&amp;"",IF($Z367="A",INDEX(Fixed_Assets!$I$2:$I$201,$AB367)&amp;"",IF($Z367="F",INDEX(Workforce!$G$2:$G$151,MATCH(INDEX(FTE_Allocation!$A$2:$A$201,$AB367),Workforce!$A$2:$A$151,0))&amp;"","")))</f>
        <v/>
      </c>
      <c r="J367" s="18">
        <f>IF($Z367="","",IF(AND(DATE($AD367,1,1)&gt;=$AE367,DATE($AD367,1,1)&lt;=$AF367),ROUND($AG367,2),0))</f>
        <v/>
      </c>
      <c r="K367" s="18">
        <f>IF($Z367="","",IF(AND(DATE($AD367,2,1)&gt;=$AE367,DATE($AD367,2,1)&lt;=$AF367),ROUND($AG367,2),0))</f>
        <v/>
      </c>
      <c r="L367" s="18">
        <f>IF($Z367="","",IF(AND(DATE($AD367,3,1)&gt;=$AE367,DATE($AD367,3,1)&lt;=$AF367),ROUND($AG367,2),0))</f>
        <v/>
      </c>
      <c r="M367" s="18">
        <f>IF($Z367="","",IF(AND(DATE($AD367,4,1)&gt;=$AE367,DATE($AD367,4,1)&lt;=$AF367),ROUND($AG367,2),0))</f>
        <v/>
      </c>
      <c r="N367" s="18">
        <f>IF($Z367="","",IF(AND(DATE($AD367,5,1)&gt;=$AE367,DATE($AD367,5,1)&lt;=$AF367),ROUND($AG367,2),0))</f>
        <v/>
      </c>
      <c r="O367" s="18">
        <f>IF($Z367="","",IF(AND(DATE($AD367,6,1)&gt;=$AE367,DATE($AD367,6,1)&lt;=$AF367),ROUND($AG367,2),0))</f>
        <v/>
      </c>
      <c r="P367" s="18">
        <f>IF($Z367="","",IF(AND(DATE($AD367,7,1)&gt;=$AE367,DATE($AD367,7,1)&lt;=$AF367),ROUND($AG367,2),0))</f>
        <v/>
      </c>
      <c r="Q367" s="18">
        <f>IF($Z367="","",IF(AND(DATE($AD367,8,1)&gt;=$AE367,DATE($AD367,8,1)&lt;=$AF367),ROUND($AG367,2),0))</f>
        <v/>
      </c>
      <c r="R367" s="18">
        <f>IF($Z367="","",IF(AND(DATE($AD367,9,1)&gt;=$AE367,DATE($AD367,9,1)&lt;=$AF367),ROUND($AG367,2),0))</f>
        <v/>
      </c>
      <c r="S367" s="18">
        <f>IF($Z367="","",IF(AND(DATE($AD367,10,1)&gt;=$AE367,DATE($AD367,10,1)&lt;=$AF367),ROUND($AG367,2),0))</f>
        <v/>
      </c>
      <c r="T367" s="18">
        <f>IF($Z367="","",IF(AND(DATE($AD367,11,1)&gt;=$AE367,DATE($AD367,11,1)&lt;=$AF367),ROUND($AG367,2),0))</f>
        <v/>
      </c>
      <c r="U367" s="18">
        <f>IF($Z367="","",IF(AND(DATE($AD367,12,1)&gt;=$AE367,DATE($AD367,12,1)&lt;=$AF367),ROUND($AG367,2),0))</f>
        <v/>
      </c>
      <c r="V367" s="7">
        <f>IF($Z367="C","Generated from "&amp;INDEX(Contracts!$A$2:$A$151,$AB367),IF($Z367="A","Generated from "&amp;INDEX(Fixed_Assets!$A$2:$A$201,$AB367),IF($Z367="F","Generated from "&amp;INDEX(FTE_Allocation!$A$2:$A$201,$AB367),"")))</f>
        <v/>
      </c>
      <c r="X367" s="19">
        <f>IF($Z367="","",SUM(J367:U367))</f>
        <v/>
      </c>
      <c r="Y367" s="20">
        <f>ROW()-1</f>
        <v/>
      </c>
      <c r="Z367" s="20">
        <f>IF($Y367&lt;=Settings!$B$4*3,"C",IF($Y367&lt;=(Settings!$B$4+Settings!$B$5)*3,"A",IF($Y367&lt;=(Settings!$B$4+Settings!$B$5+Settings!$B$6)*3,"F","")))</f>
        <v/>
      </c>
      <c r="AA367" s="20">
        <f>IF($Z367="C",$Y367,IF($Z367="A",$Y367-Settings!$B$4*3,IF($Z367="F",$Y367-(Settings!$B$4+Settings!$B$5)*3,"")))</f>
        <v/>
      </c>
      <c r="AB367" s="20">
        <f>IF($Z367="","",INT(($AA367-1)/3)+1)</f>
        <v/>
      </c>
      <c r="AC367" s="20">
        <f>IF($Z367="","",MOD($AA367-1,3)+1)</f>
        <v/>
      </c>
      <c r="AD367" s="20">
        <f>IF($Z367="","",Settings!$B$2+$AC367-1)</f>
        <v/>
      </c>
      <c r="AE367" s="21">
        <f>IF($Z367="C",DATE(YEAR(INDEX(Contracts!$J$2:$J$151,$AB367)),MONTH(INDEX(Contracts!$J$2:$J$151,$AB367)),1),IF($Z367="A",DATE(YEAR(INDEX(Fixed_Assets!$G$2:$G$201,$AB367)),MONTH(INDEX(Fixed_Assets!$G$2:$G$201,$AB367)),1),IF($Z367="F",DATE(YEAR(MAX(N(INDEX(Workforce!$I$2:$I$151,MATCH(INDEX(FTE_Allocation!$A$2:$A$201,$AB367),Workforce!$A$2:$A$151,0))),N(INDEX(FTE_Allocation!$I$2:$I$201,$AB367)))),MONTH(MAX(N(INDEX(Workforce!$I$2:$I$151,MATCH(INDEX(FTE_Allocation!$A$2:$A$201,$AB367),Workforce!$A$2:$A$151,0))),N(INDEX(FTE_Allocation!$I$2:$I$201,$AB367)))),1),"")))</f>
        <v/>
      </c>
      <c r="AF367" s="21">
        <f>IF($Z367="C",IF(INDEX(Contracts!$I$2:$I$151,$AB367)="PREPAID",EDATE(DATE(YEAR(INDEX(Contracts!$J$2:$J$151,$AB367)),MONTH(INDEX(Contracts!$J$2:$J$151,$AB367)),1),IF(INDEX(Contracts!$N$2:$N$151,$AB367)="",12,INDEX(Contracts!$N$2:$N$151,$AB367))-1),IF(INDEX(Contracts!$I$2:$I$151,$AB367)="MONTHLY",IF(INDEX(Contracts!$K$2:$K$151,$AB367)="",2958101,INDEX(Contracts!$K$2:$K$151,$AB367)),0)),IF($Z367="A",EDATE(DATE(YEAR(INDEX(Fixed_Assets!$G$2:$G$201,$AB367)),MONTH(INDEX(Fixed_Assets!$G$2:$G$201,$AB367)),1),INDEX(Fixed_Assets!$J$2:$J$201,$AB367)-1),IF($Z367="F",MIN(IF(INDEX(Workforce!$J$2:$J$151,MATCH(INDEX(FTE_Allocation!$A$2:$A$201,$AB367),Workforce!$A$2:$A$151,0))="",2958101,INDEX(Workforce!$J$2:$J$151,MATCH(INDEX(FTE_Allocation!$A$2:$A$201,$AB367),Workforce!$A$2:$A$151,0))),IF(INDEX(FTE_Allocation!$J$2:$J$201,$AB367)="",2958101,INDEX(FTE_Allocation!$J$2:$J$201,$AB367))),"")))</f>
        <v/>
      </c>
      <c r="AG367" s="19">
        <f>IF($Z367="C",IF(INDEX(Contracts!$I$2:$I$151,$AB367)="PREPAID",INDEX(Contracts!$M$2:$M$151,$AB367)/IF(INDEX(Contracts!$N$2:$N$151,$AB367)="",12,INDEX(Contracts!$N$2:$N$151,$AB367)),IF(INDEX(Contracts!$I$2:$I$151,$AB367)="MONTHLY",INDEX(Contracts!$M$2:$M$151,$AB367),0))*(1-N(INDEX(Contracts!$O$2:$O$151,$AB367))),IF($Z367="A",INDEX(Fixed_Assets!$H$2:$H$201,$AB367)/INDEX(Fixed_Assets!$J$2:$J$201,$AB367),IF($Z367="F",INDEX(Workforce!$F$2:$F$151,MATCH(INDEX(FTE_Allocation!$A$2:$A$201,$AB367),Workforce!$A$2:$A$151,0))*N(INDEX(FTE_Allocation!$F$2:$H$201,$AB367,$AC367)),"")))</f>
        <v/>
      </c>
    </row>
    <row r="368">
      <c r="A368" s="7">
        <f>IF($Z368="","",$AD368)</f>
        <v/>
      </c>
      <c r="B368" s="7">
        <f>IF($Z368="C",INDEX(Contracts!$D$2:$D$151,$AB368)&amp;"",IF($Z368="A",INDEX(Fixed_Assets!$C$2:$C$201,$AB368)&amp;"",IF($Z368="F",INDEX(Workforce!$B$2:$B$151,MATCH(INDEX(FTE_Allocation!$A$2:$A$201,$AB368),Workforce!$A$2:$A$151,0))&amp;"","")))</f>
        <v/>
      </c>
      <c r="C368" s="7">
        <f>IF($Z368="C",INDEX(Contracts!$E$2:$E$151,$AB368)&amp;"",IF($Z368="A",INDEX(Fixed_Assets!$D$2:$D$201,$AB368)&amp;"",IF($Z368="F",INDEX(FTE_Allocation!$C$2:$C$201,$AB368)&amp;"","")))</f>
        <v/>
      </c>
      <c r="D368" s="7">
        <f>IF($Z368="C",INDEX(Contracts!$B$2:$B$151,$AB368)&amp;"",IF($Z368="A",INDEX(Fixed_Assets!$B$2:$B$201,$AB368)&amp;"",IF($Z368="F",INDEX(FTE_Allocation!$B$2:$B$201,$AB368)&amp;"","")))</f>
        <v/>
      </c>
      <c r="E368" s="7">
        <f>IF($Z368="C",INDEX(Contracts!$P$2:$P$151,$AB368)&amp;"",IF($Z368="A",INDEX(Fixed_Assets!$K$2:$K$201,$AB368)&amp;"",IF($Z368="F",IF(INDEX(FTE_Allocation!$D$2:$D$201,$AB368)="PROJECT",IFERROR(INDEX(Projects!$D:$D,MATCH(INDEX(FTE_Allocation!$E$2:$E$201,$AB368),Projects!$A:$A,0))&amp;"","#PROJECT?"),INDEX(FTE_Allocation!$E$2:$E$201,$AB368)&amp;""),"")))</f>
        <v/>
      </c>
      <c r="F368" s="7">
        <f>IF($Z368="C",INDEX(Contracts!$Q$2:$Q$151,$AB368)&amp;"",IF($Z368="A",INDEX(Fixed_Assets!$L$2:$L$201,$AB368)&amp;"",IF($Z368="F",INDEX(Workforce!$K$2:$K$151,MATCH(INDEX(FTE_Allocation!$A$2:$A$201,$AB368),Workforce!$A$2:$A$151,0))&amp;"","")))</f>
        <v/>
      </c>
      <c r="G368" s="7">
        <f>IF($Z368="C",INDEX(Contracts!$F$2:$F$151,$AB368)&amp;" / "&amp;INDEX(Contracts!$G$2:$G$151,$AB368),IF($Z368="A",INDEX(Fixed_Assets!$E$2:$E$201,$AB368)&amp;"",IF($Z368="F","Personnel "&amp;INDEX(FTE_Allocation!$A$2:$A$201,$AB368)&amp;IF(INDEX(FTE_Allocation!$D$2:$D$201,$AB368)="PROJECT"," ("&amp;INDEX(FTE_Allocation!$E$2:$E$201,$AB368)&amp;")",""),"")))</f>
        <v/>
      </c>
      <c r="H368" s="7">
        <f>IF($Z368="C","CONTRACT",IF($Z368="A","ASSET",IF($Z368="F","WORKFORCE","")))</f>
        <v/>
      </c>
      <c r="I368" s="7">
        <f>IF($Z368="C",INDEX(Contracts!$L$2:$L$151,$AB368)&amp;"",IF($Z368="A",INDEX(Fixed_Assets!$I$2:$I$201,$AB368)&amp;"",IF($Z368="F",INDEX(Workforce!$G$2:$G$151,MATCH(INDEX(FTE_Allocation!$A$2:$A$201,$AB368),Workforce!$A$2:$A$151,0))&amp;"","")))</f>
        <v/>
      </c>
      <c r="J368" s="18">
        <f>IF($Z368="","",IF(AND(DATE($AD368,1,1)&gt;=$AE368,DATE($AD368,1,1)&lt;=$AF368),ROUND($AG368,2),0))</f>
        <v/>
      </c>
      <c r="K368" s="18">
        <f>IF($Z368="","",IF(AND(DATE($AD368,2,1)&gt;=$AE368,DATE($AD368,2,1)&lt;=$AF368),ROUND($AG368,2),0))</f>
        <v/>
      </c>
      <c r="L368" s="18">
        <f>IF($Z368="","",IF(AND(DATE($AD368,3,1)&gt;=$AE368,DATE($AD368,3,1)&lt;=$AF368),ROUND($AG368,2),0))</f>
        <v/>
      </c>
      <c r="M368" s="18">
        <f>IF($Z368="","",IF(AND(DATE($AD368,4,1)&gt;=$AE368,DATE($AD368,4,1)&lt;=$AF368),ROUND($AG368,2),0))</f>
        <v/>
      </c>
      <c r="N368" s="18">
        <f>IF($Z368="","",IF(AND(DATE($AD368,5,1)&gt;=$AE368,DATE($AD368,5,1)&lt;=$AF368),ROUND($AG368,2),0))</f>
        <v/>
      </c>
      <c r="O368" s="18">
        <f>IF($Z368="","",IF(AND(DATE($AD368,6,1)&gt;=$AE368,DATE($AD368,6,1)&lt;=$AF368),ROUND($AG368,2),0))</f>
        <v/>
      </c>
      <c r="P368" s="18">
        <f>IF($Z368="","",IF(AND(DATE($AD368,7,1)&gt;=$AE368,DATE($AD368,7,1)&lt;=$AF368),ROUND($AG368,2),0))</f>
        <v/>
      </c>
      <c r="Q368" s="18">
        <f>IF($Z368="","",IF(AND(DATE($AD368,8,1)&gt;=$AE368,DATE($AD368,8,1)&lt;=$AF368),ROUND($AG368,2),0))</f>
        <v/>
      </c>
      <c r="R368" s="18">
        <f>IF($Z368="","",IF(AND(DATE($AD368,9,1)&gt;=$AE368,DATE($AD368,9,1)&lt;=$AF368),ROUND($AG368,2),0))</f>
        <v/>
      </c>
      <c r="S368" s="18">
        <f>IF($Z368="","",IF(AND(DATE($AD368,10,1)&gt;=$AE368,DATE($AD368,10,1)&lt;=$AF368),ROUND($AG368,2),0))</f>
        <v/>
      </c>
      <c r="T368" s="18">
        <f>IF($Z368="","",IF(AND(DATE($AD368,11,1)&gt;=$AE368,DATE($AD368,11,1)&lt;=$AF368),ROUND($AG368,2),0))</f>
        <v/>
      </c>
      <c r="U368" s="18">
        <f>IF($Z368="","",IF(AND(DATE($AD368,12,1)&gt;=$AE368,DATE($AD368,12,1)&lt;=$AF368),ROUND($AG368,2),0))</f>
        <v/>
      </c>
      <c r="V368" s="7">
        <f>IF($Z368="C","Generated from "&amp;INDEX(Contracts!$A$2:$A$151,$AB368),IF($Z368="A","Generated from "&amp;INDEX(Fixed_Assets!$A$2:$A$201,$AB368),IF($Z368="F","Generated from "&amp;INDEX(FTE_Allocation!$A$2:$A$201,$AB368),"")))</f>
        <v/>
      </c>
      <c r="X368" s="19">
        <f>IF($Z368="","",SUM(J368:U368))</f>
        <v/>
      </c>
      <c r="Y368" s="20">
        <f>ROW()-1</f>
        <v/>
      </c>
      <c r="Z368" s="20">
        <f>IF($Y368&lt;=Settings!$B$4*3,"C",IF($Y368&lt;=(Settings!$B$4+Settings!$B$5)*3,"A",IF($Y368&lt;=(Settings!$B$4+Settings!$B$5+Settings!$B$6)*3,"F","")))</f>
        <v/>
      </c>
      <c r="AA368" s="20">
        <f>IF($Z368="C",$Y368,IF($Z368="A",$Y368-Settings!$B$4*3,IF($Z368="F",$Y368-(Settings!$B$4+Settings!$B$5)*3,"")))</f>
        <v/>
      </c>
      <c r="AB368" s="20">
        <f>IF($Z368="","",INT(($AA368-1)/3)+1)</f>
        <v/>
      </c>
      <c r="AC368" s="20">
        <f>IF($Z368="","",MOD($AA368-1,3)+1)</f>
        <v/>
      </c>
      <c r="AD368" s="20">
        <f>IF($Z368="","",Settings!$B$2+$AC368-1)</f>
        <v/>
      </c>
      <c r="AE368" s="21">
        <f>IF($Z368="C",DATE(YEAR(INDEX(Contracts!$J$2:$J$151,$AB368)),MONTH(INDEX(Contracts!$J$2:$J$151,$AB368)),1),IF($Z368="A",DATE(YEAR(INDEX(Fixed_Assets!$G$2:$G$201,$AB368)),MONTH(INDEX(Fixed_Assets!$G$2:$G$201,$AB368)),1),IF($Z368="F",DATE(YEAR(MAX(N(INDEX(Workforce!$I$2:$I$151,MATCH(INDEX(FTE_Allocation!$A$2:$A$201,$AB368),Workforce!$A$2:$A$151,0))),N(INDEX(FTE_Allocation!$I$2:$I$201,$AB368)))),MONTH(MAX(N(INDEX(Workforce!$I$2:$I$151,MATCH(INDEX(FTE_Allocation!$A$2:$A$201,$AB368),Workforce!$A$2:$A$151,0))),N(INDEX(FTE_Allocation!$I$2:$I$201,$AB368)))),1),"")))</f>
        <v/>
      </c>
      <c r="AF368" s="21">
        <f>IF($Z368="C",IF(INDEX(Contracts!$I$2:$I$151,$AB368)="PREPAID",EDATE(DATE(YEAR(INDEX(Contracts!$J$2:$J$151,$AB368)),MONTH(INDEX(Contracts!$J$2:$J$151,$AB368)),1),IF(INDEX(Contracts!$N$2:$N$151,$AB368)="",12,INDEX(Contracts!$N$2:$N$151,$AB368))-1),IF(INDEX(Contracts!$I$2:$I$151,$AB368)="MONTHLY",IF(INDEX(Contracts!$K$2:$K$151,$AB368)="",2958101,INDEX(Contracts!$K$2:$K$151,$AB368)),0)),IF($Z368="A",EDATE(DATE(YEAR(INDEX(Fixed_Assets!$G$2:$G$201,$AB368)),MONTH(INDEX(Fixed_Assets!$G$2:$G$201,$AB368)),1),INDEX(Fixed_Assets!$J$2:$J$201,$AB368)-1),IF($Z368="F",MIN(IF(INDEX(Workforce!$J$2:$J$151,MATCH(INDEX(FTE_Allocation!$A$2:$A$201,$AB368),Workforce!$A$2:$A$151,0))="",2958101,INDEX(Workforce!$J$2:$J$151,MATCH(INDEX(FTE_Allocation!$A$2:$A$201,$AB368),Workforce!$A$2:$A$151,0))),IF(INDEX(FTE_Allocation!$J$2:$J$201,$AB368)="",2958101,INDEX(FTE_Allocation!$J$2:$J$201,$AB368))),"")))</f>
        <v/>
      </c>
      <c r="AG368" s="19">
        <f>IF($Z368="C",IF(INDEX(Contracts!$I$2:$I$151,$AB368)="PREPAID",INDEX(Contracts!$M$2:$M$151,$AB368)/IF(INDEX(Contracts!$N$2:$N$151,$AB368)="",12,INDEX(Contracts!$N$2:$N$151,$AB368)),IF(INDEX(Contracts!$I$2:$I$151,$AB368)="MONTHLY",INDEX(Contracts!$M$2:$M$151,$AB368),0))*(1-N(INDEX(Contracts!$O$2:$O$151,$AB368))),IF($Z368="A",INDEX(Fixed_Assets!$H$2:$H$201,$AB368)/INDEX(Fixed_Assets!$J$2:$J$201,$AB368),IF($Z368="F",INDEX(Workforce!$F$2:$F$151,MATCH(INDEX(FTE_Allocation!$A$2:$A$201,$AB368),Workforce!$A$2:$A$151,0))*N(INDEX(FTE_Allocation!$F$2:$H$201,$AB368,$AC368)),"")))</f>
        <v/>
      </c>
    </row>
    <row r="369">
      <c r="A369" s="7">
        <f>IF($Z369="","",$AD369)</f>
        <v/>
      </c>
      <c r="B369" s="7">
        <f>IF($Z369="C",INDEX(Contracts!$D$2:$D$151,$AB369)&amp;"",IF($Z369="A",INDEX(Fixed_Assets!$C$2:$C$201,$AB369)&amp;"",IF($Z369="F",INDEX(Workforce!$B$2:$B$151,MATCH(INDEX(FTE_Allocation!$A$2:$A$201,$AB369),Workforce!$A$2:$A$151,0))&amp;"","")))</f>
        <v/>
      </c>
      <c r="C369" s="7">
        <f>IF($Z369="C",INDEX(Contracts!$E$2:$E$151,$AB369)&amp;"",IF($Z369="A",INDEX(Fixed_Assets!$D$2:$D$201,$AB369)&amp;"",IF($Z369="F",INDEX(FTE_Allocation!$C$2:$C$201,$AB369)&amp;"","")))</f>
        <v/>
      </c>
      <c r="D369" s="7">
        <f>IF($Z369="C",INDEX(Contracts!$B$2:$B$151,$AB369)&amp;"",IF($Z369="A",INDEX(Fixed_Assets!$B$2:$B$201,$AB369)&amp;"",IF($Z369="F",INDEX(FTE_Allocation!$B$2:$B$201,$AB369)&amp;"","")))</f>
        <v/>
      </c>
      <c r="E369" s="7">
        <f>IF($Z369="C",INDEX(Contracts!$P$2:$P$151,$AB369)&amp;"",IF($Z369="A",INDEX(Fixed_Assets!$K$2:$K$201,$AB369)&amp;"",IF($Z369="F",IF(INDEX(FTE_Allocation!$D$2:$D$201,$AB369)="PROJECT",IFERROR(INDEX(Projects!$D:$D,MATCH(INDEX(FTE_Allocation!$E$2:$E$201,$AB369),Projects!$A:$A,0))&amp;"","#PROJECT?"),INDEX(FTE_Allocation!$E$2:$E$201,$AB369)&amp;""),"")))</f>
        <v/>
      </c>
      <c r="F369" s="7">
        <f>IF($Z369="C",INDEX(Contracts!$Q$2:$Q$151,$AB369)&amp;"",IF($Z369="A",INDEX(Fixed_Assets!$L$2:$L$201,$AB369)&amp;"",IF($Z369="F",INDEX(Workforce!$K$2:$K$151,MATCH(INDEX(FTE_Allocation!$A$2:$A$201,$AB369),Workforce!$A$2:$A$151,0))&amp;"","")))</f>
        <v/>
      </c>
      <c r="G369" s="7">
        <f>IF($Z369="C",INDEX(Contracts!$F$2:$F$151,$AB369)&amp;" / "&amp;INDEX(Contracts!$G$2:$G$151,$AB369),IF($Z369="A",INDEX(Fixed_Assets!$E$2:$E$201,$AB369)&amp;"",IF($Z369="F","Personnel "&amp;INDEX(FTE_Allocation!$A$2:$A$201,$AB369)&amp;IF(INDEX(FTE_Allocation!$D$2:$D$201,$AB369)="PROJECT"," ("&amp;INDEX(FTE_Allocation!$E$2:$E$201,$AB369)&amp;")",""),"")))</f>
        <v/>
      </c>
      <c r="H369" s="7">
        <f>IF($Z369="C","CONTRACT",IF($Z369="A","ASSET",IF($Z369="F","WORKFORCE","")))</f>
        <v/>
      </c>
      <c r="I369" s="7">
        <f>IF($Z369="C",INDEX(Contracts!$L$2:$L$151,$AB369)&amp;"",IF($Z369="A",INDEX(Fixed_Assets!$I$2:$I$201,$AB369)&amp;"",IF($Z369="F",INDEX(Workforce!$G$2:$G$151,MATCH(INDEX(FTE_Allocation!$A$2:$A$201,$AB369),Workforce!$A$2:$A$151,0))&amp;"","")))</f>
        <v/>
      </c>
      <c r="J369" s="18">
        <f>IF($Z369="","",IF(AND(DATE($AD369,1,1)&gt;=$AE369,DATE($AD369,1,1)&lt;=$AF369),ROUND($AG369,2),0))</f>
        <v/>
      </c>
      <c r="K369" s="18">
        <f>IF($Z369="","",IF(AND(DATE($AD369,2,1)&gt;=$AE369,DATE($AD369,2,1)&lt;=$AF369),ROUND($AG369,2),0))</f>
        <v/>
      </c>
      <c r="L369" s="18">
        <f>IF($Z369="","",IF(AND(DATE($AD369,3,1)&gt;=$AE369,DATE($AD369,3,1)&lt;=$AF369),ROUND($AG369,2),0))</f>
        <v/>
      </c>
      <c r="M369" s="18">
        <f>IF($Z369="","",IF(AND(DATE($AD369,4,1)&gt;=$AE369,DATE($AD369,4,1)&lt;=$AF369),ROUND($AG369,2),0))</f>
        <v/>
      </c>
      <c r="N369" s="18">
        <f>IF($Z369="","",IF(AND(DATE($AD369,5,1)&gt;=$AE369,DATE($AD369,5,1)&lt;=$AF369),ROUND($AG369,2),0))</f>
        <v/>
      </c>
      <c r="O369" s="18">
        <f>IF($Z369="","",IF(AND(DATE($AD369,6,1)&gt;=$AE369,DATE($AD369,6,1)&lt;=$AF369),ROUND($AG369,2),0))</f>
        <v/>
      </c>
      <c r="P369" s="18">
        <f>IF($Z369="","",IF(AND(DATE($AD369,7,1)&gt;=$AE369,DATE($AD369,7,1)&lt;=$AF369),ROUND($AG369,2),0))</f>
        <v/>
      </c>
      <c r="Q369" s="18">
        <f>IF($Z369="","",IF(AND(DATE($AD369,8,1)&gt;=$AE369,DATE($AD369,8,1)&lt;=$AF369),ROUND($AG369,2),0))</f>
        <v/>
      </c>
      <c r="R369" s="18">
        <f>IF($Z369="","",IF(AND(DATE($AD369,9,1)&gt;=$AE369,DATE($AD369,9,1)&lt;=$AF369),ROUND($AG369,2),0))</f>
        <v/>
      </c>
      <c r="S369" s="18">
        <f>IF($Z369="","",IF(AND(DATE($AD369,10,1)&gt;=$AE369,DATE($AD369,10,1)&lt;=$AF369),ROUND($AG369,2),0))</f>
        <v/>
      </c>
      <c r="T369" s="18">
        <f>IF($Z369="","",IF(AND(DATE($AD369,11,1)&gt;=$AE369,DATE($AD369,11,1)&lt;=$AF369),ROUND($AG369,2),0))</f>
        <v/>
      </c>
      <c r="U369" s="18">
        <f>IF($Z369="","",IF(AND(DATE($AD369,12,1)&gt;=$AE369,DATE($AD369,12,1)&lt;=$AF369),ROUND($AG369,2),0))</f>
        <v/>
      </c>
      <c r="V369" s="7">
        <f>IF($Z369="C","Generated from "&amp;INDEX(Contracts!$A$2:$A$151,$AB369),IF($Z369="A","Generated from "&amp;INDEX(Fixed_Assets!$A$2:$A$201,$AB369),IF($Z369="F","Generated from "&amp;INDEX(FTE_Allocation!$A$2:$A$201,$AB369),"")))</f>
        <v/>
      </c>
      <c r="X369" s="19">
        <f>IF($Z369="","",SUM(J369:U369))</f>
        <v/>
      </c>
      <c r="Y369" s="20">
        <f>ROW()-1</f>
        <v/>
      </c>
      <c r="Z369" s="20">
        <f>IF($Y369&lt;=Settings!$B$4*3,"C",IF($Y369&lt;=(Settings!$B$4+Settings!$B$5)*3,"A",IF($Y369&lt;=(Settings!$B$4+Settings!$B$5+Settings!$B$6)*3,"F","")))</f>
        <v/>
      </c>
      <c r="AA369" s="20">
        <f>IF($Z369="C",$Y369,IF($Z369="A",$Y369-Settings!$B$4*3,IF($Z369="F",$Y369-(Settings!$B$4+Settings!$B$5)*3,"")))</f>
        <v/>
      </c>
      <c r="AB369" s="20">
        <f>IF($Z369="","",INT(($AA369-1)/3)+1)</f>
        <v/>
      </c>
      <c r="AC369" s="20">
        <f>IF($Z369="","",MOD($AA369-1,3)+1)</f>
        <v/>
      </c>
      <c r="AD369" s="20">
        <f>IF($Z369="","",Settings!$B$2+$AC369-1)</f>
        <v/>
      </c>
      <c r="AE369" s="21">
        <f>IF($Z369="C",DATE(YEAR(INDEX(Contracts!$J$2:$J$151,$AB369)),MONTH(INDEX(Contracts!$J$2:$J$151,$AB369)),1),IF($Z369="A",DATE(YEAR(INDEX(Fixed_Assets!$G$2:$G$201,$AB369)),MONTH(INDEX(Fixed_Assets!$G$2:$G$201,$AB369)),1),IF($Z369="F",DATE(YEAR(MAX(N(INDEX(Workforce!$I$2:$I$151,MATCH(INDEX(FTE_Allocation!$A$2:$A$201,$AB369),Workforce!$A$2:$A$151,0))),N(INDEX(FTE_Allocation!$I$2:$I$201,$AB369)))),MONTH(MAX(N(INDEX(Workforce!$I$2:$I$151,MATCH(INDEX(FTE_Allocation!$A$2:$A$201,$AB369),Workforce!$A$2:$A$151,0))),N(INDEX(FTE_Allocation!$I$2:$I$201,$AB369)))),1),"")))</f>
        <v/>
      </c>
      <c r="AF369" s="21">
        <f>IF($Z369="C",IF(INDEX(Contracts!$I$2:$I$151,$AB369)="PREPAID",EDATE(DATE(YEAR(INDEX(Contracts!$J$2:$J$151,$AB369)),MONTH(INDEX(Contracts!$J$2:$J$151,$AB369)),1),IF(INDEX(Contracts!$N$2:$N$151,$AB369)="",12,INDEX(Contracts!$N$2:$N$151,$AB369))-1),IF(INDEX(Contracts!$I$2:$I$151,$AB369)="MONTHLY",IF(INDEX(Contracts!$K$2:$K$151,$AB369)="",2958101,INDEX(Contracts!$K$2:$K$151,$AB369)),0)),IF($Z369="A",EDATE(DATE(YEAR(INDEX(Fixed_Assets!$G$2:$G$201,$AB369)),MONTH(INDEX(Fixed_Assets!$G$2:$G$201,$AB369)),1),INDEX(Fixed_Assets!$J$2:$J$201,$AB369)-1),IF($Z369="F",MIN(IF(INDEX(Workforce!$J$2:$J$151,MATCH(INDEX(FTE_Allocation!$A$2:$A$201,$AB369),Workforce!$A$2:$A$151,0))="",2958101,INDEX(Workforce!$J$2:$J$151,MATCH(INDEX(FTE_Allocation!$A$2:$A$201,$AB369),Workforce!$A$2:$A$151,0))),IF(INDEX(FTE_Allocation!$J$2:$J$201,$AB369)="",2958101,INDEX(FTE_Allocation!$J$2:$J$201,$AB369))),"")))</f>
        <v/>
      </c>
      <c r="AG369" s="19">
        <f>IF($Z369="C",IF(INDEX(Contracts!$I$2:$I$151,$AB369)="PREPAID",INDEX(Contracts!$M$2:$M$151,$AB369)/IF(INDEX(Contracts!$N$2:$N$151,$AB369)="",12,INDEX(Contracts!$N$2:$N$151,$AB369)),IF(INDEX(Contracts!$I$2:$I$151,$AB369)="MONTHLY",INDEX(Contracts!$M$2:$M$151,$AB369),0))*(1-N(INDEX(Contracts!$O$2:$O$151,$AB369))),IF($Z369="A",INDEX(Fixed_Assets!$H$2:$H$201,$AB369)/INDEX(Fixed_Assets!$J$2:$J$201,$AB369),IF($Z369="F",INDEX(Workforce!$F$2:$F$151,MATCH(INDEX(FTE_Allocation!$A$2:$A$201,$AB369),Workforce!$A$2:$A$151,0))*N(INDEX(FTE_Allocation!$F$2:$H$201,$AB369,$AC369)),"")))</f>
        <v/>
      </c>
    </row>
    <row r="370">
      <c r="A370" s="7">
        <f>IF($Z370="","",$AD370)</f>
        <v/>
      </c>
      <c r="B370" s="7">
        <f>IF($Z370="C",INDEX(Contracts!$D$2:$D$151,$AB370)&amp;"",IF($Z370="A",INDEX(Fixed_Assets!$C$2:$C$201,$AB370)&amp;"",IF($Z370="F",INDEX(Workforce!$B$2:$B$151,MATCH(INDEX(FTE_Allocation!$A$2:$A$201,$AB370),Workforce!$A$2:$A$151,0))&amp;"","")))</f>
        <v/>
      </c>
      <c r="C370" s="7">
        <f>IF($Z370="C",INDEX(Contracts!$E$2:$E$151,$AB370)&amp;"",IF($Z370="A",INDEX(Fixed_Assets!$D$2:$D$201,$AB370)&amp;"",IF($Z370="F",INDEX(FTE_Allocation!$C$2:$C$201,$AB370)&amp;"","")))</f>
        <v/>
      </c>
      <c r="D370" s="7">
        <f>IF($Z370="C",INDEX(Contracts!$B$2:$B$151,$AB370)&amp;"",IF($Z370="A",INDEX(Fixed_Assets!$B$2:$B$201,$AB370)&amp;"",IF($Z370="F",INDEX(FTE_Allocation!$B$2:$B$201,$AB370)&amp;"","")))</f>
        <v/>
      </c>
      <c r="E370" s="7">
        <f>IF($Z370="C",INDEX(Contracts!$P$2:$P$151,$AB370)&amp;"",IF($Z370="A",INDEX(Fixed_Assets!$K$2:$K$201,$AB370)&amp;"",IF($Z370="F",IF(INDEX(FTE_Allocation!$D$2:$D$201,$AB370)="PROJECT",IFERROR(INDEX(Projects!$D:$D,MATCH(INDEX(FTE_Allocation!$E$2:$E$201,$AB370),Projects!$A:$A,0))&amp;"","#PROJECT?"),INDEX(FTE_Allocation!$E$2:$E$201,$AB370)&amp;""),"")))</f>
        <v/>
      </c>
      <c r="F370" s="7">
        <f>IF($Z370="C",INDEX(Contracts!$Q$2:$Q$151,$AB370)&amp;"",IF($Z370="A",INDEX(Fixed_Assets!$L$2:$L$201,$AB370)&amp;"",IF($Z370="F",INDEX(Workforce!$K$2:$K$151,MATCH(INDEX(FTE_Allocation!$A$2:$A$201,$AB370),Workforce!$A$2:$A$151,0))&amp;"","")))</f>
        <v/>
      </c>
      <c r="G370" s="7">
        <f>IF($Z370="C",INDEX(Contracts!$F$2:$F$151,$AB370)&amp;" / "&amp;INDEX(Contracts!$G$2:$G$151,$AB370),IF($Z370="A",INDEX(Fixed_Assets!$E$2:$E$201,$AB370)&amp;"",IF($Z370="F","Personnel "&amp;INDEX(FTE_Allocation!$A$2:$A$201,$AB370)&amp;IF(INDEX(FTE_Allocation!$D$2:$D$201,$AB370)="PROJECT"," ("&amp;INDEX(FTE_Allocation!$E$2:$E$201,$AB370)&amp;")",""),"")))</f>
        <v/>
      </c>
      <c r="H370" s="7">
        <f>IF($Z370="C","CONTRACT",IF($Z370="A","ASSET",IF($Z370="F","WORKFORCE","")))</f>
        <v/>
      </c>
      <c r="I370" s="7">
        <f>IF($Z370="C",INDEX(Contracts!$L$2:$L$151,$AB370)&amp;"",IF($Z370="A",INDEX(Fixed_Assets!$I$2:$I$201,$AB370)&amp;"",IF($Z370="F",INDEX(Workforce!$G$2:$G$151,MATCH(INDEX(FTE_Allocation!$A$2:$A$201,$AB370),Workforce!$A$2:$A$151,0))&amp;"","")))</f>
        <v/>
      </c>
      <c r="J370" s="18">
        <f>IF($Z370="","",IF(AND(DATE($AD370,1,1)&gt;=$AE370,DATE($AD370,1,1)&lt;=$AF370),ROUND($AG370,2),0))</f>
        <v/>
      </c>
      <c r="K370" s="18">
        <f>IF($Z370="","",IF(AND(DATE($AD370,2,1)&gt;=$AE370,DATE($AD370,2,1)&lt;=$AF370),ROUND($AG370,2),0))</f>
        <v/>
      </c>
      <c r="L370" s="18">
        <f>IF($Z370="","",IF(AND(DATE($AD370,3,1)&gt;=$AE370,DATE($AD370,3,1)&lt;=$AF370),ROUND($AG370,2),0))</f>
        <v/>
      </c>
      <c r="M370" s="18">
        <f>IF($Z370="","",IF(AND(DATE($AD370,4,1)&gt;=$AE370,DATE($AD370,4,1)&lt;=$AF370),ROUND($AG370,2),0))</f>
        <v/>
      </c>
      <c r="N370" s="18">
        <f>IF($Z370="","",IF(AND(DATE($AD370,5,1)&gt;=$AE370,DATE($AD370,5,1)&lt;=$AF370),ROUND($AG370,2),0))</f>
        <v/>
      </c>
      <c r="O370" s="18">
        <f>IF($Z370="","",IF(AND(DATE($AD370,6,1)&gt;=$AE370,DATE($AD370,6,1)&lt;=$AF370),ROUND($AG370,2),0))</f>
        <v/>
      </c>
      <c r="P370" s="18">
        <f>IF($Z370="","",IF(AND(DATE($AD370,7,1)&gt;=$AE370,DATE($AD370,7,1)&lt;=$AF370),ROUND($AG370,2),0))</f>
        <v/>
      </c>
      <c r="Q370" s="18">
        <f>IF($Z370="","",IF(AND(DATE($AD370,8,1)&gt;=$AE370,DATE($AD370,8,1)&lt;=$AF370),ROUND($AG370,2),0))</f>
        <v/>
      </c>
      <c r="R370" s="18">
        <f>IF($Z370="","",IF(AND(DATE($AD370,9,1)&gt;=$AE370,DATE($AD370,9,1)&lt;=$AF370),ROUND($AG370,2),0))</f>
        <v/>
      </c>
      <c r="S370" s="18">
        <f>IF($Z370="","",IF(AND(DATE($AD370,10,1)&gt;=$AE370,DATE($AD370,10,1)&lt;=$AF370),ROUND($AG370,2),0))</f>
        <v/>
      </c>
      <c r="T370" s="18">
        <f>IF($Z370="","",IF(AND(DATE($AD370,11,1)&gt;=$AE370,DATE($AD370,11,1)&lt;=$AF370),ROUND($AG370,2),0))</f>
        <v/>
      </c>
      <c r="U370" s="18">
        <f>IF($Z370="","",IF(AND(DATE($AD370,12,1)&gt;=$AE370,DATE($AD370,12,1)&lt;=$AF370),ROUND($AG370,2),0))</f>
        <v/>
      </c>
      <c r="V370" s="7">
        <f>IF($Z370="C","Generated from "&amp;INDEX(Contracts!$A$2:$A$151,$AB370),IF($Z370="A","Generated from "&amp;INDEX(Fixed_Assets!$A$2:$A$201,$AB370),IF($Z370="F","Generated from "&amp;INDEX(FTE_Allocation!$A$2:$A$201,$AB370),"")))</f>
        <v/>
      </c>
      <c r="X370" s="19">
        <f>IF($Z370="","",SUM(J370:U370))</f>
        <v/>
      </c>
      <c r="Y370" s="20">
        <f>ROW()-1</f>
        <v/>
      </c>
      <c r="Z370" s="20">
        <f>IF($Y370&lt;=Settings!$B$4*3,"C",IF($Y370&lt;=(Settings!$B$4+Settings!$B$5)*3,"A",IF($Y370&lt;=(Settings!$B$4+Settings!$B$5+Settings!$B$6)*3,"F","")))</f>
        <v/>
      </c>
      <c r="AA370" s="20">
        <f>IF($Z370="C",$Y370,IF($Z370="A",$Y370-Settings!$B$4*3,IF($Z370="F",$Y370-(Settings!$B$4+Settings!$B$5)*3,"")))</f>
        <v/>
      </c>
      <c r="AB370" s="20">
        <f>IF($Z370="","",INT(($AA370-1)/3)+1)</f>
        <v/>
      </c>
      <c r="AC370" s="20">
        <f>IF($Z370="","",MOD($AA370-1,3)+1)</f>
        <v/>
      </c>
      <c r="AD370" s="20">
        <f>IF($Z370="","",Settings!$B$2+$AC370-1)</f>
        <v/>
      </c>
      <c r="AE370" s="21">
        <f>IF($Z370="C",DATE(YEAR(INDEX(Contracts!$J$2:$J$151,$AB370)),MONTH(INDEX(Contracts!$J$2:$J$151,$AB370)),1),IF($Z370="A",DATE(YEAR(INDEX(Fixed_Assets!$G$2:$G$201,$AB370)),MONTH(INDEX(Fixed_Assets!$G$2:$G$201,$AB370)),1),IF($Z370="F",DATE(YEAR(MAX(N(INDEX(Workforce!$I$2:$I$151,MATCH(INDEX(FTE_Allocation!$A$2:$A$201,$AB370),Workforce!$A$2:$A$151,0))),N(INDEX(FTE_Allocation!$I$2:$I$201,$AB370)))),MONTH(MAX(N(INDEX(Workforce!$I$2:$I$151,MATCH(INDEX(FTE_Allocation!$A$2:$A$201,$AB370),Workforce!$A$2:$A$151,0))),N(INDEX(FTE_Allocation!$I$2:$I$201,$AB370)))),1),"")))</f>
        <v/>
      </c>
      <c r="AF370" s="21">
        <f>IF($Z370="C",IF(INDEX(Contracts!$I$2:$I$151,$AB370)="PREPAID",EDATE(DATE(YEAR(INDEX(Contracts!$J$2:$J$151,$AB370)),MONTH(INDEX(Contracts!$J$2:$J$151,$AB370)),1),IF(INDEX(Contracts!$N$2:$N$151,$AB370)="",12,INDEX(Contracts!$N$2:$N$151,$AB370))-1),IF(INDEX(Contracts!$I$2:$I$151,$AB370)="MONTHLY",IF(INDEX(Contracts!$K$2:$K$151,$AB370)="",2958101,INDEX(Contracts!$K$2:$K$151,$AB370)),0)),IF($Z370="A",EDATE(DATE(YEAR(INDEX(Fixed_Assets!$G$2:$G$201,$AB370)),MONTH(INDEX(Fixed_Assets!$G$2:$G$201,$AB370)),1),INDEX(Fixed_Assets!$J$2:$J$201,$AB370)-1),IF($Z370="F",MIN(IF(INDEX(Workforce!$J$2:$J$151,MATCH(INDEX(FTE_Allocation!$A$2:$A$201,$AB370),Workforce!$A$2:$A$151,0))="",2958101,INDEX(Workforce!$J$2:$J$151,MATCH(INDEX(FTE_Allocation!$A$2:$A$201,$AB370),Workforce!$A$2:$A$151,0))),IF(INDEX(FTE_Allocation!$J$2:$J$201,$AB370)="",2958101,INDEX(FTE_Allocation!$J$2:$J$201,$AB370))),"")))</f>
        <v/>
      </c>
      <c r="AG370" s="19">
        <f>IF($Z370="C",IF(INDEX(Contracts!$I$2:$I$151,$AB370)="PREPAID",INDEX(Contracts!$M$2:$M$151,$AB370)/IF(INDEX(Contracts!$N$2:$N$151,$AB370)="",12,INDEX(Contracts!$N$2:$N$151,$AB370)),IF(INDEX(Contracts!$I$2:$I$151,$AB370)="MONTHLY",INDEX(Contracts!$M$2:$M$151,$AB370),0))*(1-N(INDEX(Contracts!$O$2:$O$151,$AB370))),IF($Z370="A",INDEX(Fixed_Assets!$H$2:$H$201,$AB370)/INDEX(Fixed_Assets!$J$2:$J$201,$AB370),IF($Z370="F",INDEX(Workforce!$F$2:$F$151,MATCH(INDEX(FTE_Allocation!$A$2:$A$201,$AB370),Workforce!$A$2:$A$151,0))*N(INDEX(FTE_Allocation!$F$2:$H$201,$AB370,$AC370)),"")))</f>
        <v/>
      </c>
    </row>
    <row r="371">
      <c r="A371" s="7">
        <f>IF($Z371="","",$AD371)</f>
        <v/>
      </c>
      <c r="B371" s="7">
        <f>IF($Z371="C",INDEX(Contracts!$D$2:$D$151,$AB371)&amp;"",IF($Z371="A",INDEX(Fixed_Assets!$C$2:$C$201,$AB371)&amp;"",IF($Z371="F",INDEX(Workforce!$B$2:$B$151,MATCH(INDEX(FTE_Allocation!$A$2:$A$201,$AB371),Workforce!$A$2:$A$151,0))&amp;"","")))</f>
        <v/>
      </c>
      <c r="C371" s="7">
        <f>IF($Z371="C",INDEX(Contracts!$E$2:$E$151,$AB371)&amp;"",IF($Z371="A",INDEX(Fixed_Assets!$D$2:$D$201,$AB371)&amp;"",IF($Z371="F",INDEX(FTE_Allocation!$C$2:$C$201,$AB371)&amp;"","")))</f>
        <v/>
      </c>
      <c r="D371" s="7">
        <f>IF($Z371="C",INDEX(Contracts!$B$2:$B$151,$AB371)&amp;"",IF($Z371="A",INDEX(Fixed_Assets!$B$2:$B$201,$AB371)&amp;"",IF($Z371="F",INDEX(FTE_Allocation!$B$2:$B$201,$AB371)&amp;"","")))</f>
        <v/>
      </c>
      <c r="E371" s="7">
        <f>IF($Z371="C",INDEX(Contracts!$P$2:$P$151,$AB371)&amp;"",IF($Z371="A",INDEX(Fixed_Assets!$K$2:$K$201,$AB371)&amp;"",IF($Z371="F",IF(INDEX(FTE_Allocation!$D$2:$D$201,$AB371)="PROJECT",IFERROR(INDEX(Projects!$D:$D,MATCH(INDEX(FTE_Allocation!$E$2:$E$201,$AB371),Projects!$A:$A,0))&amp;"","#PROJECT?"),INDEX(FTE_Allocation!$E$2:$E$201,$AB371)&amp;""),"")))</f>
        <v/>
      </c>
      <c r="F371" s="7">
        <f>IF($Z371="C",INDEX(Contracts!$Q$2:$Q$151,$AB371)&amp;"",IF($Z371="A",INDEX(Fixed_Assets!$L$2:$L$201,$AB371)&amp;"",IF($Z371="F",INDEX(Workforce!$K$2:$K$151,MATCH(INDEX(FTE_Allocation!$A$2:$A$201,$AB371),Workforce!$A$2:$A$151,0))&amp;"","")))</f>
        <v/>
      </c>
      <c r="G371" s="7">
        <f>IF($Z371="C",INDEX(Contracts!$F$2:$F$151,$AB371)&amp;" / "&amp;INDEX(Contracts!$G$2:$G$151,$AB371),IF($Z371="A",INDEX(Fixed_Assets!$E$2:$E$201,$AB371)&amp;"",IF($Z371="F","Personnel "&amp;INDEX(FTE_Allocation!$A$2:$A$201,$AB371)&amp;IF(INDEX(FTE_Allocation!$D$2:$D$201,$AB371)="PROJECT"," ("&amp;INDEX(FTE_Allocation!$E$2:$E$201,$AB371)&amp;")",""),"")))</f>
        <v/>
      </c>
      <c r="H371" s="7">
        <f>IF($Z371="C","CONTRACT",IF($Z371="A","ASSET",IF($Z371="F","WORKFORCE","")))</f>
        <v/>
      </c>
      <c r="I371" s="7">
        <f>IF($Z371="C",INDEX(Contracts!$L$2:$L$151,$AB371)&amp;"",IF($Z371="A",INDEX(Fixed_Assets!$I$2:$I$201,$AB371)&amp;"",IF($Z371="F",INDEX(Workforce!$G$2:$G$151,MATCH(INDEX(FTE_Allocation!$A$2:$A$201,$AB371),Workforce!$A$2:$A$151,0))&amp;"","")))</f>
        <v/>
      </c>
      <c r="J371" s="18">
        <f>IF($Z371="","",IF(AND(DATE($AD371,1,1)&gt;=$AE371,DATE($AD371,1,1)&lt;=$AF371),ROUND($AG371,2),0))</f>
        <v/>
      </c>
      <c r="K371" s="18">
        <f>IF($Z371="","",IF(AND(DATE($AD371,2,1)&gt;=$AE371,DATE($AD371,2,1)&lt;=$AF371),ROUND($AG371,2),0))</f>
        <v/>
      </c>
      <c r="L371" s="18">
        <f>IF($Z371="","",IF(AND(DATE($AD371,3,1)&gt;=$AE371,DATE($AD371,3,1)&lt;=$AF371),ROUND($AG371,2),0))</f>
        <v/>
      </c>
      <c r="M371" s="18">
        <f>IF($Z371="","",IF(AND(DATE($AD371,4,1)&gt;=$AE371,DATE($AD371,4,1)&lt;=$AF371),ROUND($AG371,2),0))</f>
        <v/>
      </c>
      <c r="N371" s="18">
        <f>IF($Z371="","",IF(AND(DATE($AD371,5,1)&gt;=$AE371,DATE($AD371,5,1)&lt;=$AF371),ROUND($AG371,2),0))</f>
        <v/>
      </c>
      <c r="O371" s="18">
        <f>IF($Z371="","",IF(AND(DATE($AD371,6,1)&gt;=$AE371,DATE($AD371,6,1)&lt;=$AF371),ROUND($AG371,2),0))</f>
        <v/>
      </c>
      <c r="P371" s="18">
        <f>IF($Z371="","",IF(AND(DATE($AD371,7,1)&gt;=$AE371,DATE($AD371,7,1)&lt;=$AF371),ROUND($AG371,2),0))</f>
        <v/>
      </c>
      <c r="Q371" s="18">
        <f>IF($Z371="","",IF(AND(DATE($AD371,8,1)&gt;=$AE371,DATE($AD371,8,1)&lt;=$AF371),ROUND($AG371,2),0))</f>
        <v/>
      </c>
      <c r="R371" s="18">
        <f>IF($Z371="","",IF(AND(DATE($AD371,9,1)&gt;=$AE371,DATE($AD371,9,1)&lt;=$AF371),ROUND($AG371,2),0))</f>
        <v/>
      </c>
      <c r="S371" s="18">
        <f>IF($Z371="","",IF(AND(DATE($AD371,10,1)&gt;=$AE371,DATE($AD371,10,1)&lt;=$AF371),ROUND($AG371,2),0))</f>
        <v/>
      </c>
      <c r="T371" s="18">
        <f>IF($Z371="","",IF(AND(DATE($AD371,11,1)&gt;=$AE371,DATE($AD371,11,1)&lt;=$AF371),ROUND($AG371,2),0))</f>
        <v/>
      </c>
      <c r="U371" s="18">
        <f>IF($Z371="","",IF(AND(DATE($AD371,12,1)&gt;=$AE371,DATE($AD371,12,1)&lt;=$AF371),ROUND($AG371,2),0))</f>
        <v/>
      </c>
      <c r="V371" s="7">
        <f>IF($Z371="C","Generated from "&amp;INDEX(Contracts!$A$2:$A$151,$AB371),IF($Z371="A","Generated from "&amp;INDEX(Fixed_Assets!$A$2:$A$201,$AB371),IF($Z371="F","Generated from "&amp;INDEX(FTE_Allocation!$A$2:$A$201,$AB371),"")))</f>
        <v/>
      </c>
      <c r="X371" s="19">
        <f>IF($Z371="","",SUM(J371:U371))</f>
        <v/>
      </c>
      <c r="Y371" s="20">
        <f>ROW()-1</f>
        <v/>
      </c>
      <c r="Z371" s="20">
        <f>IF($Y371&lt;=Settings!$B$4*3,"C",IF($Y371&lt;=(Settings!$B$4+Settings!$B$5)*3,"A",IF($Y371&lt;=(Settings!$B$4+Settings!$B$5+Settings!$B$6)*3,"F","")))</f>
        <v/>
      </c>
      <c r="AA371" s="20">
        <f>IF($Z371="C",$Y371,IF($Z371="A",$Y371-Settings!$B$4*3,IF($Z371="F",$Y371-(Settings!$B$4+Settings!$B$5)*3,"")))</f>
        <v/>
      </c>
      <c r="AB371" s="20">
        <f>IF($Z371="","",INT(($AA371-1)/3)+1)</f>
        <v/>
      </c>
      <c r="AC371" s="20">
        <f>IF($Z371="","",MOD($AA371-1,3)+1)</f>
        <v/>
      </c>
      <c r="AD371" s="20">
        <f>IF($Z371="","",Settings!$B$2+$AC371-1)</f>
        <v/>
      </c>
      <c r="AE371" s="21">
        <f>IF($Z371="C",DATE(YEAR(INDEX(Contracts!$J$2:$J$151,$AB371)),MONTH(INDEX(Contracts!$J$2:$J$151,$AB371)),1),IF($Z371="A",DATE(YEAR(INDEX(Fixed_Assets!$G$2:$G$201,$AB371)),MONTH(INDEX(Fixed_Assets!$G$2:$G$201,$AB371)),1),IF($Z371="F",DATE(YEAR(MAX(N(INDEX(Workforce!$I$2:$I$151,MATCH(INDEX(FTE_Allocation!$A$2:$A$201,$AB371),Workforce!$A$2:$A$151,0))),N(INDEX(FTE_Allocation!$I$2:$I$201,$AB371)))),MONTH(MAX(N(INDEX(Workforce!$I$2:$I$151,MATCH(INDEX(FTE_Allocation!$A$2:$A$201,$AB371),Workforce!$A$2:$A$151,0))),N(INDEX(FTE_Allocation!$I$2:$I$201,$AB371)))),1),"")))</f>
        <v/>
      </c>
      <c r="AF371" s="21">
        <f>IF($Z371="C",IF(INDEX(Contracts!$I$2:$I$151,$AB371)="PREPAID",EDATE(DATE(YEAR(INDEX(Contracts!$J$2:$J$151,$AB371)),MONTH(INDEX(Contracts!$J$2:$J$151,$AB371)),1),IF(INDEX(Contracts!$N$2:$N$151,$AB371)="",12,INDEX(Contracts!$N$2:$N$151,$AB371))-1),IF(INDEX(Contracts!$I$2:$I$151,$AB371)="MONTHLY",IF(INDEX(Contracts!$K$2:$K$151,$AB371)="",2958101,INDEX(Contracts!$K$2:$K$151,$AB371)),0)),IF($Z371="A",EDATE(DATE(YEAR(INDEX(Fixed_Assets!$G$2:$G$201,$AB371)),MONTH(INDEX(Fixed_Assets!$G$2:$G$201,$AB371)),1),INDEX(Fixed_Assets!$J$2:$J$201,$AB371)-1),IF($Z371="F",MIN(IF(INDEX(Workforce!$J$2:$J$151,MATCH(INDEX(FTE_Allocation!$A$2:$A$201,$AB371),Workforce!$A$2:$A$151,0))="",2958101,INDEX(Workforce!$J$2:$J$151,MATCH(INDEX(FTE_Allocation!$A$2:$A$201,$AB371),Workforce!$A$2:$A$151,0))),IF(INDEX(FTE_Allocation!$J$2:$J$201,$AB371)="",2958101,INDEX(FTE_Allocation!$J$2:$J$201,$AB371))),"")))</f>
        <v/>
      </c>
      <c r="AG371" s="19">
        <f>IF($Z371="C",IF(INDEX(Contracts!$I$2:$I$151,$AB371)="PREPAID",INDEX(Contracts!$M$2:$M$151,$AB371)/IF(INDEX(Contracts!$N$2:$N$151,$AB371)="",12,INDEX(Contracts!$N$2:$N$151,$AB371)),IF(INDEX(Contracts!$I$2:$I$151,$AB371)="MONTHLY",INDEX(Contracts!$M$2:$M$151,$AB371),0))*(1-N(INDEX(Contracts!$O$2:$O$151,$AB371))),IF($Z371="A",INDEX(Fixed_Assets!$H$2:$H$201,$AB371)/INDEX(Fixed_Assets!$J$2:$J$201,$AB371),IF($Z371="F",INDEX(Workforce!$F$2:$F$151,MATCH(INDEX(FTE_Allocation!$A$2:$A$201,$AB371),Workforce!$A$2:$A$151,0))*N(INDEX(FTE_Allocation!$F$2:$H$201,$AB371,$AC371)),"")))</f>
        <v/>
      </c>
    </row>
    <row r="372">
      <c r="A372" s="7">
        <f>IF($Z372="","",$AD372)</f>
        <v/>
      </c>
      <c r="B372" s="7">
        <f>IF($Z372="C",INDEX(Contracts!$D$2:$D$151,$AB372)&amp;"",IF($Z372="A",INDEX(Fixed_Assets!$C$2:$C$201,$AB372)&amp;"",IF($Z372="F",INDEX(Workforce!$B$2:$B$151,MATCH(INDEX(FTE_Allocation!$A$2:$A$201,$AB372),Workforce!$A$2:$A$151,0))&amp;"","")))</f>
        <v/>
      </c>
      <c r="C372" s="7">
        <f>IF($Z372="C",INDEX(Contracts!$E$2:$E$151,$AB372)&amp;"",IF($Z372="A",INDEX(Fixed_Assets!$D$2:$D$201,$AB372)&amp;"",IF($Z372="F",INDEX(FTE_Allocation!$C$2:$C$201,$AB372)&amp;"","")))</f>
        <v/>
      </c>
      <c r="D372" s="7">
        <f>IF($Z372="C",INDEX(Contracts!$B$2:$B$151,$AB372)&amp;"",IF($Z372="A",INDEX(Fixed_Assets!$B$2:$B$201,$AB372)&amp;"",IF($Z372="F",INDEX(FTE_Allocation!$B$2:$B$201,$AB372)&amp;"","")))</f>
        <v/>
      </c>
      <c r="E372" s="7">
        <f>IF($Z372="C",INDEX(Contracts!$P$2:$P$151,$AB372)&amp;"",IF($Z372="A",INDEX(Fixed_Assets!$K$2:$K$201,$AB372)&amp;"",IF($Z372="F",IF(INDEX(FTE_Allocation!$D$2:$D$201,$AB372)="PROJECT",IFERROR(INDEX(Projects!$D:$D,MATCH(INDEX(FTE_Allocation!$E$2:$E$201,$AB372),Projects!$A:$A,0))&amp;"","#PROJECT?"),INDEX(FTE_Allocation!$E$2:$E$201,$AB372)&amp;""),"")))</f>
        <v/>
      </c>
      <c r="F372" s="7">
        <f>IF($Z372="C",INDEX(Contracts!$Q$2:$Q$151,$AB372)&amp;"",IF($Z372="A",INDEX(Fixed_Assets!$L$2:$L$201,$AB372)&amp;"",IF($Z372="F",INDEX(Workforce!$K$2:$K$151,MATCH(INDEX(FTE_Allocation!$A$2:$A$201,$AB372),Workforce!$A$2:$A$151,0))&amp;"","")))</f>
        <v/>
      </c>
      <c r="G372" s="7">
        <f>IF($Z372="C",INDEX(Contracts!$F$2:$F$151,$AB372)&amp;" / "&amp;INDEX(Contracts!$G$2:$G$151,$AB372),IF($Z372="A",INDEX(Fixed_Assets!$E$2:$E$201,$AB372)&amp;"",IF($Z372="F","Personnel "&amp;INDEX(FTE_Allocation!$A$2:$A$201,$AB372)&amp;IF(INDEX(FTE_Allocation!$D$2:$D$201,$AB372)="PROJECT"," ("&amp;INDEX(FTE_Allocation!$E$2:$E$201,$AB372)&amp;")",""),"")))</f>
        <v/>
      </c>
      <c r="H372" s="7">
        <f>IF($Z372="C","CONTRACT",IF($Z372="A","ASSET",IF($Z372="F","WORKFORCE","")))</f>
        <v/>
      </c>
      <c r="I372" s="7">
        <f>IF($Z372="C",INDEX(Contracts!$L$2:$L$151,$AB372)&amp;"",IF($Z372="A",INDEX(Fixed_Assets!$I$2:$I$201,$AB372)&amp;"",IF($Z372="F",INDEX(Workforce!$G$2:$G$151,MATCH(INDEX(FTE_Allocation!$A$2:$A$201,$AB372),Workforce!$A$2:$A$151,0))&amp;"","")))</f>
        <v/>
      </c>
      <c r="J372" s="18">
        <f>IF($Z372="","",IF(AND(DATE($AD372,1,1)&gt;=$AE372,DATE($AD372,1,1)&lt;=$AF372),ROUND($AG372,2),0))</f>
        <v/>
      </c>
      <c r="K372" s="18">
        <f>IF($Z372="","",IF(AND(DATE($AD372,2,1)&gt;=$AE372,DATE($AD372,2,1)&lt;=$AF372),ROUND($AG372,2),0))</f>
        <v/>
      </c>
      <c r="L372" s="18">
        <f>IF($Z372="","",IF(AND(DATE($AD372,3,1)&gt;=$AE372,DATE($AD372,3,1)&lt;=$AF372),ROUND($AG372,2),0))</f>
        <v/>
      </c>
      <c r="M372" s="18">
        <f>IF($Z372="","",IF(AND(DATE($AD372,4,1)&gt;=$AE372,DATE($AD372,4,1)&lt;=$AF372),ROUND($AG372,2),0))</f>
        <v/>
      </c>
      <c r="N372" s="18">
        <f>IF($Z372="","",IF(AND(DATE($AD372,5,1)&gt;=$AE372,DATE($AD372,5,1)&lt;=$AF372),ROUND($AG372,2),0))</f>
        <v/>
      </c>
      <c r="O372" s="18">
        <f>IF($Z372="","",IF(AND(DATE($AD372,6,1)&gt;=$AE372,DATE($AD372,6,1)&lt;=$AF372),ROUND($AG372,2),0))</f>
        <v/>
      </c>
      <c r="P372" s="18">
        <f>IF($Z372="","",IF(AND(DATE($AD372,7,1)&gt;=$AE372,DATE($AD372,7,1)&lt;=$AF372),ROUND($AG372,2),0))</f>
        <v/>
      </c>
      <c r="Q372" s="18">
        <f>IF($Z372="","",IF(AND(DATE($AD372,8,1)&gt;=$AE372,DATE($AD372,8,1)&lt;=$AF372),ROUND($AG372,2),0))</f>
        <v/>
      </c>
      <c r="R372" s="18">
        <f>IF($Z372="","",IF(AND(DATE($AD372,9,1)&gt;=$AE372,DATE($AD372,9,1)&lt;=$AF372),ROUND($AG372,2),0))</f>
        <v/>
      </c>
      <c r="S372" s="18">
        <f>IF($Z372="","",IF(AND(DATE($AD372,10,1)&gt;=$AE372,DATE($AD372,10,1)&lt;=$AF372),ROUND($AG372,2),0))</f>
        <v/>
      </c>
      <c r="T372" s="18">
        <f>IF($Z372="","",IF(AND(DATE($AD372,11,1)&gt;=$AE372,DATE($AD372,11,1)&lt;=$AF372),ROUND($AG372,2),0))</f>
        <v/>
      </c>
      <c r="U372" s="18">
        <f>IF($Z372="","",IF(AND(DATE($AD372,12,1)&gt;=$AE372,DATE($AD372,12,1)&lt;=$AF372),ROUND($AG372,2),0))</f>
        <v/>
      </c>
      <c r="V372" s="7">
        <f>IF($Z372="C","Generated from "&amp;INDEX(Contracts!$A$2:$A$151,$AB372),IF($Z372="A","Generated from "&amp;INDEX(Fixed_Assets!$A$2:$A$201,$AB372),IF($Z372="F","Generated from "&amp;INDEX(FTE_Allocation!$A$2:$A$201,$AB372),"")))</f>
        <v/>
      </c>
      <c r="X372" s="19">
        <f>IF($Z372="","",SUM(J372:U372))</f>
        <v/>
      </c>
      <c r="Y372" s="20">
        <f>ROW()-1</f>
        <v/>
      </c>
      <c r="Z372" s="20">
        <f>IF($Y372&lt;=Settings!$B$4*3,"C",IF($Y372&lt;=(Settings!$B$4+Settings!$B$5)*3,"A",IF($Y372&lt;=(Settings!$B$4+Settings!$B$5+Settings!$B$6)*3,"F","")))</f>
        <v/>
      </c>
      <c r="AA372" s="20">
        <f>IF($Z372="C",$Y372,IF($Z372="A",$Y372-Settings!$B$4*3,IF($Z372="F",$Y372-(Settings!$B$4+Settings!$B$5)*3,"")))</f>
        <v/>
      </c>
      <c r="AB372" s="20">
        <f>IF($Z372="","",INT(($AA372-1)/3)+1)</f>
        <v/>
      </c>
      <c r="AC372" s="20">
        <f>IF($Z372="","",MOD($AA372-1,3)+1)</f>
        <v/>
      </c>
      <c r="AD372" s="20">
        <f>IF($Z372="","",Settings!$B$2+$AC372-1)</f>
        <v/>
      </c>
      <c r="AE372" s="21">
        <f>IF($Z372="C",DATE(YEAR(INDEX(Contracts!$J$2:$J$151,$AB372)),MONTH(INDEX(Contracts!$J$2:$J$151,$AB372)),1),IF($Z372="A",DATE(YEAR(INDEX(Fixed_Assets!$G$2:$G$201,$AB372)),MONTH(INDEX(Fixed_Assets!$G$2:$G$201,$AB372)),1),IF($Z372="F",DATE(YEAR(MAX(N(INDEX(Workforce!$I$2:$I$151,MATCH(INDEX(FTE_Allocation!$A$2:$A$201,$AB372),Workforce!$A$2:$A$151,0))),N(INDEX(FTE_Allocation!$I$2:$I$201,$AB372)))),MONTH(MAX(N(INDEX(Workforce!$I$2:$I$151,MATCH(INDEX(FTE_Allocation!$A$2:$A$201,$AB372),Workforce!$A$2:$A$151,0))),N(INDEX(FTE_Allocation!$I$2:$I$201,$AB372)))),1),"")))</f>
        <v/>
      </c>
      <c r="AF372" s="21">
        <f>IF($Z372="C",IF(INDEX(Contracts!$I$2:$I$151,$AB372)="PREPAID",EDATE(DATE(YEAR(INDEX(Contracts!$J$2:$J$151,$AB372)),MONTH(INDEX(Contracts!$J$2:$J$151,$AB372)),1),IF(INDEX(Contracts!$N$2:$N$151,$AB372)="",12,INDEX(Contracts!$N$2:$N$151,$AB372))-1),IF(INDEX(Contracts!$I$2:$I$151,$AB372)="MONTHLY",IF(INDEX(Contracts!$K$2:$K$151,$AB372)="",2958101,INDEX(Contracts!$K$2:$K$151,$AB372)),0)),IF($Z372="A",EDATE(DATE(YEAR(INDEX(Fixed_Assets!$G$2:$G$201,$AB372)),MONTH(INDEX(Fixed_Assets!$G$2:$G$201,$AB372)),1),INDEX(Fixed_Assets!$J$2:$J$201,$AB372)-1),IF($Z372="F",MIN(IF(INDEX(Workforce!$J$2:$J$151,MATCH(INDEX(FTE_Allocation!$A$2:$A$201,$AB372),Workforce!$A$2:$A$151,0))="",2958101,INDEX(Workforce!$J$2:$J$151,MATCH(INDEX(FTE_Allocation!$A$2:$A$201,$AB372),Workforce!$A$2:$A$151,0))),IF(INDEX(FTE_Allocation!$J$2:$J$201,$AB372)="",2958101,INDEX(FTE_Allocation!$J$2:$J$201,$AB372))),"")))</f>
        <v/>
      </c>
      <c r="AG372" s="19">
        <f>IF($Z372="C",IF(INDEX(Contracts!$I$2:$I$151,$AB372)="PREPAID",INDEX(Contracts!$M$2:$M$151,$AB372)/IF(INDEX(Contracts!$N$2:$N$151,$AB372)="",12,INDEX(Contracts!$N$2:$N$151,$AB372)),IF(INDEX(Contracts!$I$2:$I$151,$AB372)="MONTHLY",INDEX(Contracts!$M$2:$M$151,$AB372),0))*(1-N(INDEX(Contracts!$O$2:$O$151,$AB372))),IF($Z372="A",INDEX(Fixed_Assets!$H$2:$H$201,$AB372)/INDEX(Fixed_Assets!$J$2:$J$201,$AB372),IF($Z372="F",INDEX(Workforce!$F$2:$F$151,MATCH(INDEX(FTE_Allocation!$A$2:$A$201,$AB372),Workforce!$A$2:$A$151,0))*N(INDEX(FTE_Allocation!$F$2:$H$201,$AB372,$AC372)),"")))</f>
        <v/>
      </c>
    </row>
    <row r="373">
      <c r="A373" s="7">
        <f>IF($Z373="","",$AD373)</f>
        <v/>
      </c>
      <c r="B373" s="7">
        <f>IF($Z373="C",INDEX(Contracts!$D$2:$D$151,$AB373)&amp;"",IF($Z373="A",INDEX(Fixed_Assets!$C$2:$C$201,$AB373)&amp;"",IF($Z373="F",INDEX(Workforce!$B$2:$B$151,MATCH(INDEX(FTE_Allocation!$A$2:$A$201,$AB373),Workforce!$A$2:$A$151,0))&amp;"","")))</f>
        <v/>
      </c>
      <c r="C373" s="7">
        <f>IF($Z373="C",INDEX(Contracts!$E$2:$E$151,$AB373)&amp;"",IF($Z373="A",INDEX(Fixed_Assets!$D$2:$D$201,$AB373)&amp;"",IF($Z373="F",INDEX(FTE_Allocation!$C$2:$C$201,$AB373)&amp;"","")))</f>
        <v/>
      </c>
      <c r="D373" s="7">
        <f>IF($Z373="C",INDEX(Contracts!$B$2:$B$151,$AB373)&amp;"",IF($Z373="A",INDEX(Fixed_Assets!$B$2:$B$201,$AB373)&amp;"",IF($Z373="F",INDEX(FTE_Allocation!$B$2:$B$201,$AB373)&amp;"","")))</f>
        <v/>
      </c>
      <c r="E373" s="7">
        <f>IF($Z373="C",INDEX(Contracts!$P$2:$P$151,$AB373)&amp;"",IF($Z373="A",INDEX(Fixed_Assets!$K$2:$K$201,$AB373)&amp;"",IF($Z373="F",IF(INDEX(FTE_Allocation!$D$2:$D$201,$AB373)="PROJECT",IFERROR(INDEX(Projects!$D:$D,MATCH(INDEX(FTE_Allocation!$E$2:$E$201,$AB373),Projects!$A:$A,0))&amp;"","#PROJECT?"),INDEX(FTE_Allocation!$E$2:$E$201,$AB373)&amp;""),"")))</f>
        <v/>
      </c>
      <c r="F373" s="7">
        <f>IF($Z373="C",INDEX(Contracts!$Q$2:$Q$151,$AB373)&amp;"",IF($Z373="A",INDEX(Fixed_Assets!$L$2:$L$201,$AB373)&amp;"",IF($Z373="F",INDEX(Workforce!$K$2:$K$151,MATCH(INDEX(FTE_Allocation!$A$2:$A$201,$AB373),Workforce!$A$2:$A$151,0))&amp;"","")))</f>
        <v/>
      </c>
      <c r="G373" s="7">
        <f>IF($Z373="C",INDEX(Contracts!$F$2:$F$151,$AB373)&amp;" / "&amp;INDEX(Contracts!$G$2:$G$151,$AB373),IF($Z373="A",INDEX(Fixed_Assets!$E$2:$E$201,$AB373)&amp;"",IF($Z373="F","Personnel "&amp;INDEX(FTE_Allocation!$A$2:$A$201,$AB373)&amp;IF(INDEX(FTE_Allocation!$D$2:$D$201,$AB373)="PROJECT"," ("&amp;INDEX(FTE_Allocation!$E$2:$E$201,$AB373)&amp;")",""),"")))</f>
        <v/>
      </c>
      <c r="H373" s="7">
        <f>IF($Z373="C","CONTRACT",IF($Z373="A","ASSET",IF($Z373="F","WORKFORCE","")))</f>
        <v/>
      </c>
      <c r="I373" s="7">
        <f>IF($Z373="C",INDEX(Contracts!$L$2:$L$151,$AB373)&amp;"",IF($Z373="A",INDEX(Fixed_Assets!$I$2:$I$201,$AB373)&amp;"",IF($Z373="F",INDEX(Workforce!$G$2:$G$151,MATCH(INDEX(FTE_Allocation!$A$2:$A$201,$AB373),Workforce!$A$2:$A$151,0))&amp;"","")))</f>
        <v/>
      </c>
      <c r="J373" s="18">
        <f>IF($Z373="","",IF(AND(DATE($AD373,1,1)&gt;=$AE373,DATE($AD373,1,1)&lt;=$AF373),ROUND($AG373,2),0))</f>
        <v/>
      </c>
      <c r="K373" s="18">
        <f>IF($Z373="","",IF(AND(DATE($AD373,2,1)&gt;=$AE373,DATE($AD373,2,1)&lt;=$AF373),ROUND($AG373,2),0))</f>
        <v/>
      </c>
      <c r="L373" s="18">
        <f>IF($Z373="","",IF(AND(DATE($AD373,3,1)&gt;=$AE373,DATE($AD373,3,1)&lt;=$AF373),ROUND($AG373,2),0))</f>
        <v/>
      </c>
      <c r="M373" s="18">
        <f>IF($Z373="","",IF(AND(DATE($AD373,4,1)&gt;=$AE373,DATE($AD373,4,1)&lt;=$AF373),ROUND($AG373,2),0))</f>
        <v/>
      </c>
      <c r="N373" s="18">
        <f>IF($Z373="","",IF(AND(DATE($AD373,5,1)&gt;=$AE373,DATE($AD373,5,1)&lt;=$AF373),ROUND($AG373,2),0))</f>
        <v/>
      </c>
      <c r="O373" s="18">
        <f>IF($Z373="","",IF(AND(DATE($AD373,6,1)&gt;=$AE373,DATE($AD373,6,1)&lt;=$AF373),ROUND($AG373,2),0))</f>
        <v/>
      </c>
      <c r="P373" s="18">
        <f>IF($Z373="","",IF(AND(DATE($AD373,7,1)&gt;=$AE373,DATE($AD373,7,1)&lt;=$AF373),ROUND($AG373,2),0))</f>
        <v/>
      </c>
      <c r="Q373" s="18">
        <f>IF($Z373="","",IF(AND(DATE($AD373,8,1)&gt;=$AE373,DATE($AD373,8,1)&lt;=$AF373),ROUND($AG373,2),0))</f>
        <v/>
      </c>
      <c r="R373" s="18">
        <f>IF($Z373="","",IF(AND(DATE($AD373,9,1)&gt;=$AE373,DATE($AD373,9,1)&lt;=$AF373),ROUND($AG373,2),0))</f>
        <v/>
      </c>
      <c r="S373" s="18">
        <f>IF($Z373="","",IF(AND(DATE($AD373,10,1)&gt;=$AE373,DATE($AD373,10,1)&lt;=$AF373),ROUND($AG373,2),0))</f>
        <v/>
      </c>
      <c r="T373" s="18">
        <f>IF($Z373="","",IF(AND(DATE($AD373,11,1)&gt;=$AE373,DATE($AD373,11,1)&lt;=$AF373),ROUND($AG373,2),0))</f>
        <v/>
      </c>
      <c r="U373" s="18">
        <f>IF($Z373="","",IF(AND(DATE($AD373,12,1)&gt;=$AE373,DATE($AD373,12,1)&lt;=$AF373),ROUND($AG373,2),0))</f>
        <v/>
      </c>
      <c r="V373" s="7">
        <f>IF($Z373="C","Generated from "&amp;INDEX(Contracts!$A$2:$A$151,$AB373),IF($Z373="A","Generated from "&amp;INDEX(Fixed_Assets!$A$2:$A$201,$AB373),IF($Z373="F","Generated from "&amp;INDEX(FTE_Allocation!$A$2:$A$201,$AB373),"")))</f>
        <v/>
      </c>
      <c r="X373" s="19">
        <f>IF($Z373="","",SUM(J373:U373))</f>
        <v/>
      </c>
      <c r="Y373" s="20">
        <f>ROW()-1</f>
        <v/>
      </c>
      <c r="Z373" s="20">
        <f>IF($Y373&lt;=Settings!$B$4*3,"C",IF($Y373&lt;=(Settings!$B$4+Settings!$B$5)*3,"A",IF($Y373&lt;=(Settings!$B$4+Settings!$B$5+Settings!$B$6)*3,"F","")))</f>
        <v/>
      </c>
      <c r="AA373" s="20">
        <f>IF($Z373="C",$Y373,IF($Z373="A",$Y373-Settings!$B$4*3,IF($Z373="F",$Y373-(Settings!$B$4+Settings!$B$5)*3,"")))</f>
        <v/>
      </c>
      <c r="AB373" s="20">
        <f>IF($Z373="","",INT(($AA373-1)/3)+1)</f>
        <v/>
      </c>
      <c r="AC373" s="20">
        <f>IF($Z373="","",MOD($AA373-1,3)+1)</f>
        <v/>
      </c>
      <c r="AD373" s="20">
        <f>IF($Z373="","",Settings!$B$2+$AC373-1)</f>
        <v/>
      </c>
      <c r="AE373" s="21">
        <f>IF($Z373="C",DATE(YEAR(INDEX(Contracts!$J$2:$J$151,$AB373)),MONTH(INDEX(Contracts!$J$2:$J$151,$AB373)),1),IF($Z373="A",DATE(YEAR(INDEX(Fixed_Assets!$G$2:$G$201,$AB373)),MONTH(INDEX(Fixed_Assets!$G$2:$G$201,$AB373)),1),IF($Z373="F",DATE(YEAR(MAX(N(INDEX(Workforce!$I$2:$I$151,MATCH(INDEX(FTE_Allocation!$A$2:$A$201,$AB373),Workforce!$A$2:$A$151,0))),N(INDEX(FTE_Allocation!$I$2:$I$201,$AB373)))),MONTH(MAX(N(INDEX(Workforce!$I$2:$I$151,MATCH(INDEX(FTE_Allocation!$A$2:$A$201,$AB373),Workforce!$A$2:$A$151,0))),N(INDEX(FTE_Allocation!$I$2:$I$201,$AB373)))),1),"")))</f>
        <v/>
      </c>
      <c r="AF373" s="21">
        <f>IF($Z373="C",IF(INDEX(Contracts!$I$2:$I$151,$AB373)="PREPAID",EDATE(DATE(YEAR(INDEX(Contracts!$J$2:$J$151,$AB373)),MONTH(INDEX(Contracts!$J$2:$J$151,$AB373)),1),IF(INDEX(Contracts!$N$2:$N$151,$AB373)="",12,INDEX(Contracts!$N$2:$N$151,$AB373))-1),IF(INDEX(Contracts!$I$2:$I$151,$AB373)="MONTHLY",IF(INDEX(Contracts!$K$2:$K$151,$AB373)="",2958101,INDEX(Contracts!$K$2:$K$151,$AB373)),0)),IF($Z373="A",EDATE(DATE(YEAR(INDEX(Fixed_Assets!$G$2:$G$201,$AB373)),MONTH(INDEX(Fixed_Assets!$G$2:$G$201,$AB373)),1),INDEX(Fixed_Assets!$J$2:$J$201,$AB373)-1),IF($Z373="F",MIN(IF(INDEX(Workforce!$J$2:$J$151,MATCH(INDEX(FTE_Allocation!$A$2:$A$201,$AB373),Workforce!$A$2:$A$151,0))="",2958101,INDEX(Workforce!$J$2:$J$151,MATCH(INDEX(FTE_Allocation!$A$2:$A$201,$AB373),Workforce!$A$2:$A$151,0))),IF(INDEX(FTE_Allocation!$J$2:$J$201,$AB373)="",2958101,INDEX(FTE_Allocation!$J$2:$J$201,$AB373))),"")))</f>
        <v/>
      </c>
      <c r="AG373" s="19">
        <f>IF($Z373="C",IF(INDEX(Contracts!$I$2:$I$151,$AB373)="PREPAID",INDEX(Contracts!$M$2:$M$151,$AB373)/IF(INDEX(Contracts!$N$2:$N$151,$AB373)="",12,INDEX(Contracts!$N$2:$N$151,$AB373)),IF(INDEX(Contracts!$I$2:$I$151,$AB373)="MONTHLY",INDEX(Contracts!$M$2:$M$151,$AB373),0))*(1-N(INDEX(Contracts!$O$2:$O$151,$AB373))),IF($Z373="A",INDEX(Fixed_Assets!$H$2:$H$201,$AB373)/INDEX(Fixed_Assets!$J$2:$J$201,$AB373),IF($Z373="F",INDEX(Workforce!$F$2:$F$151,MATCH(INDEX(FTE_Allocation!$A$2:$A$201,$AB373),Workforce!$A$2:$A$151,0))*N(INDEX(FTE_Allocation!$F$2:$H$201,$AB373,$AC373)),"")))</f>
        <v/>
      </c>
    </row>
    <row r="374">
      <c r="A374" s="7">
        <f>IF($Z374="","",$AD374)</f>
        <v/>
      </c>
      <c r="B374" s="7">
        <f>IF($Z374="C",INDEX(Contracts!$D$2:$D$151,$AB374)&amp;"",IF($Z374="A",INDEX(Fixed_Assets!$C$2:$C$201,$AB374)&amp;"",IF($Z374="F",INDEX(Workforce!$B$2:$B$151,MATCH(INDEX(FTE_Allocation!$A$2:$A$201,$AB374),Workforce!$A$2:$A$151,0))&amp;"","")))</f>
        <v/>
      </c>
      <c r="C374" s="7">
        <f>IF($Z374="C",INDEX(Contracts!$E$2:$E$151,$AB374)&amp;"",IF($Z374="A",INDEX(Fixed_Assets!$D$2:$D$201,$AB374)&amp;"",IF($Z374="F",INDEX(FTE_Allocation!$C$2:$C$201,$AB374)&amp;"","")))</f>
        <v/>
      </c>
      <c r="D374" s="7">
        <f>IF($Z374="C",INDEX(Contracts!$B$2:$B$151,$AB374)&amp;"",IF($Z374="A",INDEX(Fixed_Assets!$B$2:$B$201,$AB374)&amp;"",IF($Z374="F",INDEX(FTE_Allocation!$B$2:$B$201,$AB374)&amp;"","")))</f>
        <v/>
      </c>
      <c r="E374" s="7">
        <f>IF($Z374="C",INDEX(Contracts!$P$2:$P$151,$AB374)&amp;"",IF($Z374="A",INDEX(Fixed_Assets!$K$2:$K$201,$AB374)&amp;"",IF($Z374="F",IF(INDEX(FTE_Allocation!$D$2:$D$201,$AB374)="PROJECT",IFERROR(INDEX(Projects!$D:$D,MATCH(INDEX(FTE_Allocation!$E$2:$E$201,$AB374),Projects!$A:$A,0))&amp;"","#PROJECT?"),INDEX(FTE_Allocation!$E$2:$E$201,$AB374)&amp;""),"")))</f>
        <v/>
      </c>
      <c r="F374" s="7">
        <f>IF($Z374="C",INDEX(Contracts!$Q$2:$Q$151,$AB374)&amp;"",IF($Z374="A",INDEX(Fixed_Assets!$L$2:$L$201,$AB374)&amp;"",IF($Z374="F",INDEX(Workforce!$K$2:$K$151,MATCH(INDEX(FTE_Allocation!$A$2:$A$201,$AB374),Workforce!$A$2:$A$151,0))&amp;"","")))</f>
        <v/>
      </c>
      <c r="G374" s="7">
        <f>IF($Z374="C",INDEX(Contracts!$F$2:$F$151,$AB374)&amp;" / "&amp;INDEX(Contracts!$G$2:$G$151,$AB374),IF($Z374="A",INDEX(Fixed_Assets!$E$2:$E$201,$AB374)&amp;"",IF($Z374="F","Personnel "&amp;INDEX(FTE_Allocation!$A$2:$A$201,$AB374)&amp;IF(INDEX(FTE_Allocation!$D$2:$D$201,$AB374)="PROJECT"," ("&amp;INDEX(FTE_Allocation!$E$2:$E$201,$AB374)&amp;")",""),"")))</f>
        <v/>
      </c>
      <c r="H374" s="7">
        <f>IF($Z374="C","CONTRACT",IF($Z374="A","ASSET",IF($Z374="F","WORKFORCE","")))</f>
        <v/>
      </c>
      <c r="I374" s="7">
        <f>IF($Z374="C",INDEX(Contracts!$L$2:$L$151,$AB374)&amp;"",IF($Z374="A",INDEX(Fixed_Assets!$I$2:$I$201,$AB374)&amp;"",IF($Z374="F",INDEX(Workforce!$G$2:$G$151,MATCH(INDEX(FTE_Allocation!$A$2:$A$201,$AB374),Workforce!$A$2:$A$151,0))&amp;"","")))</f>
        <v/>
      </c>
      <c r="J374" s="18">
        <f>IF($Z374="","",IF(AND(DATE($AD374,1,1)&gt;=$AE374,DATE($AD374,1,1)&lt;=$AF374),ROUND($AG374,2),0))</f>
        <v/>
      </c>
      <c r="K374" s="18">
        <f>IF($Z374="","",IF(AND(DATE($AD374,2,1)&gt;=$AE374,DATE($AD374,2,1)&lt;=$AF374),ROUND($AG374,2),0))</f>
        <v/>
      </c>
      <c r="L374" s="18">
        <f>IF($Z374="","",IF(AND(DATE($AD374,3,1)&gt;=$AE374,DATE($AD374,3,1)&lt;=$AF374),ROUND($AG374,2),0))</f>
        <v/>
      </c>
      <c r="M374" s="18">
        <f>IF($Z374="","",IF(AND(DATE($AD374,4,1)&gt;=$AE374,DATE($AD374,4,1)&lt;=$AF374),ROUND($AG374,2),0))</f>
        <v/>
      </c>
      <c r="N374" s="18">
        <f>IF($Z374="","",IF(AND(DATE($AD374,5,1)&gt;=$AE374,DATE($AD374,5,1)&lt;=$AF374),ROUND($AG374,2),0))</f>
        <v/>
      </c>
      <c r="O374" s="18">
        <f>IF($Z374="","",IF(AND(DATE($AD374,6,1)&gt;=$AE374,DATE($AD374,6,1)&lt;=$AF374),ROUND($AG374,2),0))</f>
        <v/>
      </c>
      <c r="P374" s="18">
        <f>IF($Z374="","",IF(AND(DATE($AD374,7,1)&gt;=$AE374,DATE($AD374,7,1)&lt;=$AF374),ROUND($AG374,2),0))</f>
        <v/>
      </c>
      <c r="Q374" s="18">
        <f>IF($Z374="","",IF(AND(DATE($AD374,8,1)&gt;=$AE374,DATE($AD374,8,1)&lt;=$AF374),ROUND($AG374,2),0))</f>
        <v/>
      </c>
      <c r="R374" s="18">
        <f>IF($Z374="","",IF(AND(DATE($AD374,9,1)&gt;=$AE374,DATE($AD374,9,1)&lt;=$AF374),ROUND($AG374,2),0))</f>
        <v/>
      </c>
      <c r="S374" s="18">
        <f>IF($Z374="","",IF(AND(DATE($AD374,10,1)&gt;=$AE374,DATE($AD374,10,1)&lt;=$AF374),ROUND($AG374,2),0))</f>
        <v/>
      </c>
      <c r="T374" s="18">
        <f>IF($Z374="","",IF(AND(DATE($AD374,11,1)&gt;=$AE374,DATE($AD374,11,1)&lt;=$AF374),ROUND($AG374,2),0))</f>
        <v/>
      </c>
      <c r="U374" s="18">
        <f>IF($Z374="","",IF(AND(DATE($AD374,12,1)&gt;=$AE374,DATE($AD374,12,1)&lt;=$AF374),ROUND($AG374,2),0))</f>
        <v/>
      </c>
      <c r="V374" s="7">
        <f>IF($Z374="C","Generated from "&amp;INDEX(Contracts!$A$2:$A$151,$AB374),IF($Z374="A","Generated from "&amp;INDEX(Fixed_Assets!$A$2:$A$201,$AB374),IF($Z374="F","Generated from "&amp;INDEX(FTE_Allocation!$A$2:$A$201,$AB374),"")))</f>
        <v/>
      </c>
      <c r="X374" s="19">
        <f>IF($Z374="","",SUM(J374:U374))</f>
        <v/>
      </c>
      <c r="Y374" s="20">
        <f>ROW()-1</f>
        <v/>
      </c>
      <c r="Z374" s="20">
        <f>IF($Y374&lt;=Settings!$B$4*3,"C",IF($Y374&lt;=(Settings!$B$4+Settings!$B$5)*3,"A",IF($Y374&lt;=(Settings!$B$4+Settings!$B$5+Settings!$B$6)*3,"F","")))</f>
        <v/>
      </c>
      <c r="AA374" s="20">
        <f>IF($Z374="C",$Y374,IF($Z374="A",$Y374-Settings!$B$4*3,IF($Z374="F",$Y374-(Settings!$B$4+Settings!$B$5)*3,"")))</f>
        <v/>
      </c>
      <c r="AB374" s="20">
        <f>IF($Z374="","",INT(($AA374-1)/3)+1)</f>
        <v/>
      </c>
      <c r="AC374" s="20">
        <f>IF($Z374="","",MOD($AA374-1,3)+1)</f>
        <v/>
      </c>
      <c r="AD374" s="20">
        <f>IF($Z374="","",Settings!$B$2+$AC374-1)</f>
        <v/>
      </c>
      <c r="AE374" s="21">
        <f>IF($Z374="C",DATE(YEAR(INDEX(Contracts!$J$2:$J$151,$AB374)),MONTH(INDEX(Contracts!$J$2:$J$151,$AB374)),1),IF($Z374="A",DATE(YEAR(INDEX(Fixed_Assets!$G$2:$G$201,$AB374)),MONTH(INDEX(Fixed_Assets!$G$2:$G$201,$AB374)),1),IF($Z374="F",DATE(YEAR(MAX(N(INDEX(Workforce!$I$2:$I$151,MATCH(INDEX(FTE_Allocation!$A$2:$A$201,$AB374),Workforce!$A$2:$A$151,0))),N(INDEX(FTE_Allocation!$I$2:$I$201,$AB374)))),MONTH(MAX(N(INDEX(Workforce!$I$2:$I$151,MATCH(INDEX(FTE_Allocation!$A$2:$A$201,$AB374),Workforce!$A$2:$A$151,0))),N(INDEX(FTE_Allocation!$I$2:$I$201,$AB374)))),1),"")))</f>
        <v/>
      </c>
      <c r="AF374" s="21">
        <f>IF($Z374="C",IF(INDEX(Contracts!$I$2:$I$151,$AB374)="PREPAID",EDATE(DATE(YEAR(INDEX(Contracts!$J$2:$J$151,$AB374)),MONTH(INDEX(Contracts!$J$2:$J$151,$AB374)),1),IF(INDEX(Contracts!$N$2:$N$151,$AB374)="",12,INDEX(Contracts!$N$2:$N$151,$AB374))-1),IF(INDEX(Contracts!$I$2:$I$151,$AB374)="MONTHLY",IF(INDEX(Contracts!$K$2:$K$151,$AB374)="",2958101,INDEX(Contracts!$K$2:$K$151,$AB374)),0)),IF($Z374="A",EDATE(DATE(YEAR(INDEX(Fixed_Assets!$G$2:$G$201,$AB374)),MONTH(INDEX(Fixed_Assets!$G$2:$G$201,$AB374)),1),INDEX(Fixed_Assets!$J$2:$J$201,$AB374)-1),IF($Z374="F",MIN(IF(INDEX(Workforce!$J$2:$J$151,MATCH(INDEX(FTE_Allocation!$A$2:$A$201,$AB374),Workforce!$A$2:$A$151,0))="",2958101,INDEX(Workforce!$J$2:$J$151,MATCH(INDEX(FTE_Allocation!$A$2:$A$201,$AB374),Workforce!$A$2:$A$151,0))),IF(INDEX(FTE_Allocation!$J$2:$J$201,$AB374)="",2958101,INDEX(FTE_Allocation!$J$2:$J$201,$AB374))),"")))</f>
        <v/>
      </c>
      <c r="AG374" s="19">
        <f>IF($Z374="C",IF(INDEX(Contracts!$I$2:$I$151,$AB374)="PREPAID",INDEX(Contracts!$M$2:$M$151,$AB374)/IF(INDEX(Contracts!$N$2:$N$151,$AB374)="",12,INDEX(Contracts!$N$2:$N$151,$AB374)),IF(INDEX(Contracts!$I$2:$I$151,$AB374)="MONTHLY",INDEX(Contracts!$M$2:$M$151,$AB374),0))*(1-N(INDEX(Contracts!$O$2:$O$151,$AB374))),IF($Z374="A",INDEX(Fixed_Assets!$H$2:$H$201,$AB374)/INDEX(Fixed_Assets!$J$2:$J$201,$AB374),IF($Z374="F",INDEX(Workforce!$F$2:$F$151,MATCH(INDEX(FTE_Allocation!$A$2:$A$201,$AB374),Workforce!$A$2:$A$151,0))*N(INDEX(FTE_Allocation!$F$2:$H$201,$AB374,$AC374)),"")))</f>
        <v/>
      </c>
    </row>
    <row r="375">
      <c r="A375" s="7">
        <f>IF($Z375="","",$AD375)</f>
        <v/>
      </c>
      <c r="B375" s="7">
        <f>IF($Z375="C",INDEX(Contracts!$D$2:$D$151,$AB375)&amp;"",IF($Z375="A",INDEX(Fixed_Assets!$C$2:$C$201,$AB375)&amp;"",IF($Z375="F",INDEX(Workforce!$B$2:$B$151,MATCH(INDEX(FTE_Allocation!$A$2:$A$201,$AB375),Workforce!$A$2:$A$151,0))&amp;"","")))</f>
        <v/>
      </c>
      <c r="C375" s="7">
        <f>IF($Z375="C",INDEX(Contracts!$E$2:$E$151,$AB375)&amp;"",IF($Z375="A",INDEX(Fixed_Assets!$D$2:$D$201,$AB375)&amp;"",IF($Z375="F",INDEX(FTE_Allocation!$C$2:$C$201,$AB375)&amp;"","")))</f>
        <v/>
      </c>
      <c r="D375" s="7">
        <f>IF($Z375="C",INDEX(Contracts!$B$2:$B$151,$AB375)&amp;"",IF($Z375="A",INDEX(Fixed_Assets!$B$2:$B$201,$AB375)&amp;"",IF($Z375="F",INDEX(FTE_Allocation!$B$2:$B$201,$AB375)&amp;"","")))</f>
        <v/>
      </c>
      <c r="E375" s="7">
        <f>IF($Z375="C",INDEX(Contracts!$P$2:$P$151,$AB375)&amp;"",IF($Z375="A",INDEX(Fixed_Assets!$K$2:$K$201,$AB375)&amp;"",IF($Z375="F",IF(INDEX(FTE_Allocation!$D$2:$D$201,$AB375)="PROJECT",IFERROR(INDEX(Projects!$D:$D,MATCH(INDEX(FTE_Allocation!$E$2:$E$201,$AB375),Projects!$A:$A,0))&amp;"","#PROJECT?"),INDEX(FTE_Allocation!$E$2:$E$201,$AB375)&amp;""),"")))</f>
        <v/>
      </c>
      <c r="F375" s="7">
        <f>IF($Z375="C",INDEX(Contracts!$Q$2:$Q$151,$AB375)&amp;"",IF($Z375="A",INDEX(Fixed_Assets!$L$2:$L$201,$AB375)&amp;"",IF($Z375="F",INDEX(Workforce!$K$2:$K$151,MATCH(INDEX(FTE_Allocation!$A$2:$A$201,$AB375),Workforce!$A$2:$A$151,0))&amp;"","")))</f>
        <v/>
      </c>
      <c r="G375" s="7">
        <f>IF($Z375="C",INDEX(Contracts!$F$2:$F$151,$AB375)&amp;" / "&amp;INDEX(Contracts!$G$2:$G$151,$AB375),IF($Z375="A",INDEX(Fixed_Assets!$E$2:$E$201,$AB375)&amp;"",IF($Z375="F","Personnel "&amp;INDEX(FTE_Allocation!$A$2:$A$201,$AB375)&amp;IF(INDEX(FTE_Allocation!$D$2:$D$201,$AB375)="PROJECT"," ("&amp;INDEX(FTE_Allocation!$E$2:$E$201,$AB375)&amp;")",""),"")))</f>
        <v/>
      </c>
      <c r="H375" s="7">
        <f>IF($Z375="C","CONTRACT",IF($Z375="A","ASSET",IF($Z375="F","WORKFORCE","")))</f>
        <v/>
      </c>
      <c r="I375" s="7">
        <f>IF($Z375="C",INDEX(Contracts!$L$2:$L$151,$AB375)&amp;"",IF($Z375="A",INDEX(Fixed_Assets!$I$2:$I$201,$AB375)&amp;"",IF($Z375="F",INDEX(Workforce!$G$2:$G$151,MATCH(INDEX(FTE_Allocation!$A$2:$A$201,$AB375),Workforce!$A$2:$A$151,0))&amp;"","")))</f>
        <v/>
      </c>
      <c r="J375" s="18">
        <f>IF($Z375="","",IF(AND(DATE($AD375,1,1)&gt;=$AE375,DATE($AD375,1,1)&lt;=$AF375),ROUND($AG375,2),0))</f>
        <v/>
      </c>
      <c r="K375" s="18">
        <f>IF($Z375="","",IF(AND(DATE($AD375,2,1)&gt;=$AE375,DATE($AD375,2,1)&lt;=$AF375),ROUND($AG375,2),0))</f>
        <v/>
      </c>
      <c r="L375" s="18">
        <f>IF($Z375="","",IF(AND(DATE($AD375,3,1)&gt;=$AE375,DATE($AD375,3,1)&lt;=$AF375),ROUND($AG375,2),0))</f>
        <v/>
      </c>
      <c r="M375" s="18">
        <f>IF($Z375="","",IF(AND(DATE($AD375,4,1)&gt;=$AE375,DATE($AD375,4,1)&lt;=$AF375),ROUND($AG375,2),0))</f>
        <v/>
      </c>
      <c r="N375" s="18">
        <f>IF($Z375="","",IF(AND(DATE($AD375,5,1)&gt;=$AE375,DATE($AD375,5,1)&lt;=$AF375),ROUND($AG375,2),0))</f>
        <v/>
      </c>
      <c r="O375" s="18">
        <f>IF($Z375="","",IF(AND(DATE($AD375,6,1)&gt;=$AE375,DATE($AD375,6,1)&lt;=$AF375),ROUND($AG375,2),0))</f>
        <v/>
      </c>
      <c r="P375" s="18">
        <f>IF($Z375="","",IF(AND(DATE($AD375,7,1)&gt;=$AE375,DATE($AD375,7,1)&lt;=$AF375),ROUND($AG375,2),0))</f>
        <v/>
      </c>
      <c r="Q375" s="18">
        <f>IF($Z375="","",IF(AND(DATE($AD375,8,1)&gt;=$AE375,DATE($AD375,8,1)&lt;=$AF375),ROUND($AG375,2),0))</f>
        <v/>
      </c>
      <c r="R375" s="18">
        <f>IF($Z375="","",IF(AND(DATE($AD375,9,1)&gt;=$AE375,DATE($AD375,9,1)&lt;=$AF375),ROUND($AG375,2),0))</f>
        <v/>
      </c>
      <c r="S375" s="18">
        <f>IF($Z375="","",IF(AND(DATE($AD375,10,1)&gt;=$AE375,DATE($AD375,10,1)&lt;=$AF375),ROUND($AG375,2),0))</f>
        <v/>
      </c>
      <c r="T375" s="18">
        <f>IF($Z375="","",IF(AND(DATE($AD375,11,1)&gt;=$AE375,DATE($AD375,11,1)&lt;=$AF375),ROUND($AG375,2),0))</f>
        <v/>
      </c>
      <c r="U375" s="18">
        <f>IF($Z375="","",IF(AND(DATE($AD375,12,1)&gt;=$AE375,DATE($AD375,12,1)&lt;=$AF375),ROUND($AG375,2),0))</f>
        <v/>
      </c>
      <c r="V375" s="7">
        <f>IF($Z375="C","Generated from "&amp;INDEX(Contracts!$A$2:$A$151,$AB375),IF($Z375="A","Generated from "&amp;INDEX(Fixed_Assets!$A$2:$A$201,$AB375),IF($Z375="F","Generated from "&amp;INDEX(FTE_Allocation!$A$2:$A$201,$AB375),"")))</f>
        <v/>
      </c>
      <c r="X375" s="19">
        <f>IF($Z375="","",SUM(J375:U375))</f>
        <v/>
      </c>
      <c r="Y375" s="20">
        <f>ROW()-1</f>
        <v/>
      </c>
      <c r="Z375" s="20">
        <f>IF($Y375&lt;=Settings!$B$4*3,"C",IF($Y375&lt;=(Settings!$B$4+Settings!$B$5)*3,"A",IF($Y375&lt;=(Settings!$B$4+Settings!$B$5+Settings!$B$6)*3,"F","")))</f>
        <v/>
      </c>
      <c r="AA375" s="20">
        <f>IF($Z375="C",$Y375,IF($Z375="A",$Y375-Settings!$B$4*3,IF($Z375="F",$Y375-(Settings!$B$4+Settings!$B$5)*3,"")))</f>
        <v/>
      </c>
      <c r="AB375" s="20">
        <f>IF($Z375="","",INT(($AA375-1)/3)+1)</f>
        <v/>
      </c>
      <c r="AC375" s="20">
        <f>IF($Z375="","",MOD($AA375-1,3)+1)</f>
        <v/>
      </c>
      <c r="AD375" s="20">
        <f>IF($Z375="","",Settings!$B$2+$AC375-1)</f>
        <v/>
      </c>
      <c r="AE375" s="21">
        <f>IF($Z375="C",DATE(YEAR(INDEX(Contracts!$J$2:$J$151,$AB375)),MONTH(INDEX(Contracts!$J$2:$J$151,$AB375)),1),IF($Z375="A",DATE(YEAR(INDEX(Fixed_Assets!$G$2:$G$201,$AB375)),MONTH(INDEX(Fixed_Assets!$G$2:$G$201,$AB375)),1),IF($Z375="F",DATE(YEAR(MAX(N(INDEX(Workforce!$I$2:$I$151,MATCH(INDEX(FTE_Allocation!$A$2:$A$201,$AB375),Workforce!$A$2:$A$151,0))),N(INDEX(FTE_Allocation!$I$2:$I$201,$AB375)))),MONTH(MAX(N(INDEX(Workforce!$I$2:$I$151,MATCH(INDEX(FTE_Allocation!$A$2:$A$201,$AB375),Workforce!$A$2:$A$151,0))),N(INDEX(FTE_Allocation!$I$2:$I$201,$AB375)))),1),"")))</f>
        <v/>
      </c>
      <c r="AF375" s="21">
        <f>IF($Z375="C",IF(INDEX(Contracts!$I$2:$I$151,$AB375)="PREPAID",EDATE(DATE(YEAR(INDEX(Contracts!$J$2:$J$151,$AB375)),MONTH(INDEX(Contracts!$J$2:$J$151,$AB375)),1),IF(INDEX(Contracts!$N$2:$N$151,$AB375)="",12,INDEX(Contracts!$N$2:$N$151,$AB375))-1),IF(INDEX(Contracts!$I$2:$I$151,$AB375)="MONTHLY",IF(INDEX(Contracts!$K$2:$K$151,$AB375)="",2958101,INDEX(Contracts!$K$2:$K$151,$AB375)),0)),IF($Z375="A",EDATE(DATE(YEAR(INDEX(Fixed_Assets!$G$2:$G$201,$AB375)),MONTH(INDEX(Fixed_Assets!$G$2:$G$201,$AB375)),1),INDEX(Fixed_Assets!$J$2:$J$201,$AB375)-1),IF($Z375="F",MIN(IF(INDEX(Workforce!$J$2:$J$151,MATCH(INDEX(FTE_Allocation!$A$2:$A$201,$AB375),Workforce!$A$2:$A$151,0))="",2958101,INDEX(Workforce!$J$2:$J$151,MATCH(INDEX(FTE_Allocation!$A$2:$A$201,$AB375),Workforce!$A$2:$A$151,0))),IF(INDEX(FTE_Allocation!$J$2:$J$201,$AB375)="",2958101,INDEX(FTE_Allocation!$J$2:$J$201,$AB375))),"")))</f>
        <v/>
      </c>
      <c r="AG375" s="19">
        <f>IF($Z375="C",IF(INDEX(Contracts!$I$2:$I$151,$AB375)="PREPAID",INDEX(Contracts!$M$2:$M$151,$AB375)/IF(INDEX(Contracts!$N$2:$N$151,$AB375)="",12,INDEX(Contracts!$N$2:$N$151,$AB375)),IF(INDEX(Contracts!$I$2:$I$151,$AB375)="MONTHLY",INDEX(Contracts!$M$2:$M$151,$AB375),0))*(1-N(INDEX(Contracts!$O$2:$O$151,$AB375))),IF($Z375="A",INDEX(Fixed_Assets!$H$2:$H$201,$AB375)/INDEX(Fixed_Assets!$J$2:$J$201,$AB375),IF($Z375="F",INDEX(Workforce!$F$2:$F$151,MATCH(INDEX(FTE_Allocation!$A$2:$A$201,$AB375),Workforce!$A$2:$A$151,0))*N(INDEX(FTE_Allocation!$F$2:$H$201,$AB375,$AC375)),"")))</f>
        <v/>
      </c>
    </row>
    <row r="376">
      <c r="A376" s="7">
        <f>IF($Z376="","",$AD376)</f>
        <v/>
      </c>
      <c r="B376" s="7">
        <f>IF($Z376="C",INDEX(Contracts!$D$2:$D$151,$AB376)&amp;"",IF($Z376="A",INDEX(Fixed_Assets!$C$2:$C$201,$AB376)&amp;"",IF($Z376="F",INDEX(Workforce!$B$2:$B$151,MATCH(INDEX(FTE_Allocation!$A$2:$A$201,$AB376),Workforce!$A$2:$A$151,0))&amp;"","")))</f>
        <v/>
      </c>
      <c r="C376" s="7">
        <f>IF($Z376="C",INDEX(Contracts!$E$2:$E$151,$AB376)&amp;"",IF($Z376="A",INDEX(Fixed_Assets!$D$2:$D$201,$AB376)&amp;"",IF($Z376="F",INDEX(FTE_Allocation!$C$2:$C$201,$AB376)&amp;"","")))</f>
        <v/>
      </c>
      <c r="D376" s="7">
        <f>IF($Z376="C",INDEX(Contracts!$B$2:$B$151,$AB376)&amp;"",IF($Z376="A",INDEX(Fixed_Assets!$B$2:$B$201,$AB376)&amp;"",IF($Z376="F",INDEX(FTE_Allocation!$B$2:$B$201,$AB376)&amp;"","")))</f>
        <v/>
      </c>
      <c r="E376" s="7">
        <f>IF($Z376="C",INDEX(Contracts!$P$2:$P$151,$AB376)&amp;"",IF($Z376="A",INDEX(Fixed_Assets!$K$2:$K$201,$AB376)&amp;"",IF($Z376="F",IF(INDEX(FTE_Allocation!$D$2:$D$201,$AB376)="PROJECT",IFERROR(INDEX(Projects!$D:$D,MATCH(INDEX(FTE_Allocation!$E$2:$E$201,$AB376),Projects!$A:$A,0))&amp;"","#PROJECT?"),INDEX(FTE_Allocation!$E$2:$E$201,$AB376)&amp;""),"")))</f>
        <v/>
      </c>
      <c r="F376" s="7">
        <f>IF($Z376="C",INDEX(Contracts!$Q$2:$Q$151,$AB376)&amp;"",IF($Z376="A",INDEX(Fixed_Assets!$L$2:$L$201,$AB376)&amp;"",IF($Z376="F",INDEX(Workforce!$K$2:$K$151,MATCH(INDEX(FTE_Allocation!$A$2:$A$201,$AB376),Workforce!$A$2:$A$151,0))&amp;"","")))</f>
        <v/>
      </c>
      <c r="G376" s="7">
        <f>IF($Z376="C",INDEX(Contracts!$F$2:$F$151,$AB376)&amp;" / "&amp;INDEX(Contracts!$G$2:$G$151,$AB376),IF($Z376="A",INDEX(Fixed_Assets!$E$2:$E$201,$AB376)&amp;"",IF($Z376="F","Personnel "&amp;INDEX(FTE_Allocation!$A$2:$A$201,$AB376)&amp;IF(INDEX(FTE_Allocation!$D$2:$D$201,$AB376)="PROJECT"," ("&amp;INDEX(FTE_Allocation!$E$2:$E$201,$AB376)&amp;")",""),"")))</f>
        <v/>
      </c>
      <c r="H376" s="7">
        <f>IF($Z376="C","CONTRACT",IF($Z376="A","ASSET",IF($Z376="F","WORKFORCE","")))</f>
        <v/>
      </c>
      <c r="I376" s="7">
        <f>IF($Z376="C",INDEX(Contracts!$L$2:$L$151,$AB376)&amp;"",IF($Z376="A",INDEX(Fixed_Assets!$I$2:$I$201,$AB376)&amp;"",IF($Z376="F",INDEX(Workforce!$G$2:$G$151,MATCH(INDEX(FTE_Allocation!$A$2:$A$201,$AB376),Workforce!$A$2:$A$151,0))&amp;"","")))</f>
        <v/>
      </c>
      <c r="J376" s="18">
        <f>IF($Z376="","",IF(AND(DATE($AD376,1,1)&gt;=$AE376,DATE($AD376,1,1)&lt;=$AF376),ROUND($AG376,2),0))</f>
        <v/>
      </c>
      <c r="K376" s="18">
        <f>IF($Z376="","",IF(AND(DATE($AD376,2,1)&gt;=$AE376,DATE($AD376,2,1)&lt;=$AF376),ROUND($AG376,2),0))</f>
        <v/>
      </c>
      <c r="L376" s="18">
        <f>IF($Z376="","",IF(AND(DATE($AD376,3,1)&gt;=$AE376,DATE($AD376,3,1)&lt;=$AF376),ROUND($AG376,2),0))</f>
        <v/>
      </c>
      <c r="M376" s="18">
        <f>IF($Z376="","",IF(AND(DATE($AD376,4,1)&gt;=$AE376,DATE($AD376,4,1)&lt;=$AF376),ROUND($AG376,2),0))</f>
        <v/>
      </c>
      <c r="N376" s="18">
        <f>IF($Z376="","",IF(AND(DATE($AD376,5,1)&gt;=$AE376,DATE($AD376,5,1)&lt;=$AF376),ROUND($AG376,2),0))</f>
        <v/>
      </c>
      <c r="O376" s="18">
        <f>IF($Z376="","",IF(AND(DATE($AD376,6,1)&gt;=$AE376,DATE($AD376,6,1)&lt;=$AF376),ROUND($AG376,2),0))</f>
        <v/>
      </c>
      <c r="P376" s="18">
        <f>IF($Z376="","",IF(AND(DATE($AD376,7,1)&gt;=$AE376,DATE($AD376,7,1)&lt;=$AF376),ROUND($AG376,2),0))</f>
        <v/>
      </c>
      <c r="Q376" s="18">
        <f>IF($Z376="","",IF(AND(DATE($AD376,8,1)&gt;=$AE376,DATE($AD376,8,1)&lt;=$AF376),ROUND($AG376,2),0))</f>
        <v/>
      </c>
      <c r="R376" s="18">
        <f>IF($Z376="","",IF(AND(DATE($AD376,9,1)&gt;=$AE376,DATE($AD376,9,1)&lt;=$AF376),ROUND($AG376,2),0))</f>
        <v/>
      </c>
      <c r="S376" s="18">
        <f>IF($Z376="","",IF(AND(DATE($AD376,10,1)&gt;=$AE376,DATE($AD376,10,1)&lt;=$AF376),ROUND($AG376,2),0))</f>
        <v/>
      </c>
      <c r="T376" s="18">
        <f>IF($Z376="","",IF(AND(DATE($AD376,11,1)&gt;=$AE376,DATE($AD376,11,1)&lt;=$AF376),ROUND($AG376,2),0))</f>
        <v/>
      </c>
      <c r="U376" s="18">
        <f>IF($Z376="","",IF(AND(DATE($AD376,12,1)&gt;=$AE376,DATE($AD376,12,1)&lt;=$AF376),ROUND($AG376,2),0))</f>
        <v/>
      </c>
      <c r="V376" s="7">
        <f>IF($Z376="C","Generated from "&amp;INDEX(Contracts!$A$2:$A$151,$AB376),IF($Z376="A","Generated from "&amp;INDEX(Fixed_Assets!$A$2:$A$201,$AB376),IF($Z376="F","Generated from "&amp;INDEX(FTE_Allocation!$A$2:$A$201,$AB376),"")))</f>
        <v/>
      </c>
      <c r="X376" s="19">
        <f>IF($Z376="","",SUM(J376:U376))</f>
        <v/>
      </c>
      <c r="Y376" s="20">
        <f>ROW()-1</f>
        <v/>
      </c>
      <c r="Z376" s="20">
        <f>IF($Y376&lt;=Settings!$B$4*3,"C",IF($Y376&lt;=(Settings!$B$4+Settings!$B$5)*3,"A",IF($Y376&lt;=(Settings!$B$4+Settings!$B$5+Settings!$B$6)*3,"F","")))</f>
        <v/>
      </c>
      <c r="AA376" s="20">
        <f>IF($Z376="C",$Y376,IF($Z376="A",$Y376-Settings!$B$4*3,IF($Z376="F",$Y376-(Settings!$B$4+Settings!$B$5)*3,"")))</f>
        <v/>
      </c>
      <c r="AB376" s="20">
        <f>IF($Z376="","",INT(($AA376-1)/3)+1)</f>
        <v/>
      </c>
      <c r="AC376" s="20">
        <f>IF($Z376="","",MOD($AA376-1,3)+1)</f>
        <v/>
      </c>
      <c r="AD376" s="20">
        <f>IF($Z376="","",Settings!$B$2+$AC376-1)</f>
        <v/>
      </c>
      <c r="AE376" s="21">
        <f>IF($Z376="C",DATE(YEAR(INDEX(Contracts!$J$2:$J$151,$AB376)),MONTH(INDEX(Contracts!$J$2:$J$151,$AB376)),1),IF($Z376="A",DATE(YEAR(INDEX(Fixed_Assets!$G$2:$G$201,$AB376)),MONTH(INDEX(Fixed_Assets!$G$2:$G$201,$AB376)),1),IF($Z376="F",DATE(YEAR(MAX(N(INDEX(Workforce!$I$2:$I$151,MATCH(INDEX(FTE_Allocation!$A$2:$A$201,$AB376),Workforce!$A$2:$A$151,0))),N(INDEX(FTE_Allocation!$I$2:$I$201,$AB376)))),MONTH(MAX(N(INDEX(Workforce!$I$2:$I$151,MATCH(INDEX(FTE_Allocation!$A$2:$A$201,$AB376),Workforce!$A$2:$A$151,0))),N(INDEX(FTE_Allocation!$I$2:$I$201,$AB376)))),1),"")))</f>
        <v/>
      </c>
      <c r="AF376" s="21">
        <f>IF($Z376="C",IF(INDEX(Contracts!$I$2:$I$151,$AB376)="PREPAID",EDATE(DATE(YEAR(INDEX(Contracts!$J$2:$J$151,$AB376)),MONTH(INDEX(Contracts!$J$2:$J$151,$AB376)),1),IF(INDEX(Contracts!$N$2:$N$151,$AB376)="",12,INDEX(Contracts!$N$2:$N$151,$AB376))-1),IF(INDEX(Contracts!$I$2:$I$151,$AB376)="MONTHLY",IF(INDEX(Contracts!$K$2:$K$151,$AB376)="",2958101,INDEX(Contracts!$K$2:$K$151,$AB376)),0)),IF($Z376="A",EDATE(DATE(YEAR(INDEX(Fixed_Assets!$G$2:$G$201,$AB376)),MONTH(INDEX(Fixed_Assets!$G$2:$G$201,$AB376)),1),INDEX(Fixed_Assets!$J$2:$J$201,$AB376)-1),IF($Z376="F",MIN(IF(INDEX(Workforce!$J$2:$J$151,MATCH(INDEX(FTE_Allocation!$A$2:$A$201,$AB376),Workforce!$A$2:$A$151,0))="",2958101,INDEX(Workforce!$J$2:$J$151,MATCH(INDEX(FTE_Allocation!$A$2:$A$201,$AB376),Workforce!$A$2:$A$151,0))),IF(INDEX(FTE_Allocation!$J$2:$J$201,$AB376)="",2958101,INDEX(FTE_Allocation!$J$2:$J$201,$AB376))),"")))</f>
        <v/>
      </c>
      <c r="AG376" s="19">
        <f>IF($Z376="C",IF(INDEX(Contracts!$I$2:$I$151,$AB376)="PREPAID",INDEX(Contracts!$M$2:$M$151,$AB376)/IF(INDEX(Contracts!$N$2:$N$151,$AB376)="",12,INDEX(Contracts!$N$2:$N$151,$AB376)),IF(INDEX(Contracts!$I$2:$I$151,$AB376)="MONTHLY",INDEX(Contracts!$M$2:$M$151,$AB376),0))*(1-N(INDEX(Contracts!$O$2:$O$151,$AB376))),IF($Z376="A",INDEX(Fixed_Assets!$H$2:$H$201,$AB376)/INDEX(Fixed_Assets!$J$2:$J$201,$AB376),IF($Z376="F",INDEX(Workforce!$F$2:$F$151,MATCH(INDEX(FTE_Allocation!$A$2:$A$201,$AB376),Workforce!$A$2:$A$151,0))*N(INDEX(FTE_Allocation!$F$2:$H$201,$AB376,$AC376)),"")))</f>
        <v/>
      </c>
    </row>
    <row r="377">
      <c r="A377" s="7">
        <f>IF($Z377="","",$AD377)</f>
        <v/>
      </c>
      <c r="B377" s="7">
        <f>IF($Z377="C",INDEX(Contracts!$D$2:$D$151,$AB377)&amp;"",IF($Z377="A",INDEX(Fixed_Assets!$C$2:$C$201,$AB377)&amp;"",IF($Z377="F",INDEX(Workforce!$B$2:$B$151,MATCH(INDEX(FTE_Allocation!$A$2:$A$201,$AB377),Workforce!$A$2:$A$151,0))&amp;"","")))</f>
        <v/>
      </c>
      <c r="C377" s="7">
        <f>IF($Z377="C",INDEX(Contracts!$E$2:$E$151,$AB377)&amp;"",IF($Z377="A",INDEX(Fixed_Assets!$D$2:$D$201,$AB377)&amp;"",IF($Z377="F",INDEX(FTE_Allocation!$C$2:$C$201,$AB377)&amp;"","")))</f>
        <v/>
      </c>
      <c r="D377" s="7">
        <f>IF($Z377="C",INDEX(Contracts!$B$2:$B$151,$AB377)&amp;"",IF($Z377="A",INDEX(Fixed_Assets!$B$2:$B$201,$AB377)&amp;"",IF($Z377="F",INDEX(FTE_Allocation!$B$2:$B$201,$AB377)&amp;"","")))</f>
        <v/>
      </c>
      <c r="E377" s="7">
        <f>IF($Z377="C",INDEX(Contracts!$P$2:$P$151,$AB377)&amp;"",IF($Z377="A",INDEX(Fixed_Assets!$K$2:$K$201,$AB377)&amp;"",IF($Z377="F",IF(INDEX(FTE_Allocation!$D$2:$D$201,$AB377)="PROJECT",IFERROR(INDEX(Projects!$D:$D,MATCH(INDEX(FTE_Allocation!$E$2:$E$201,$AB377),Projects!$A:$A,0))&amp;"","#PROJECT?"),INDEX(FTE_Allocation!$E$2:$E$201,$AB377)&amp;""),"")))</f>
        <v/>
      </c>
      <c r="F377" s="7">
        <f>IF($Z377="C",INDEX(Contracts!$Q$2:$Q$151,$AB377)&amp;"",IF($Z377="A",INDEX(Fixed_Assets!$L$2:$L$201,$AB377)&amp;"",IF($Z377="F",INDEX(Workforce!$K$2:$K$151,MATCH(INDEX(FTE_Allocation!$A$2:$A$201,$AB377),Workforce!$A$2:$A$151,0))&amp;"","")))</f>
        <v/>
      </c>
      <c r="G377" s="7">
        <f>IF($Z377="C",INDEX(Contracts!$F$2:$F$151,$AB377)&amp;" / "&amp;INDEX(Contracts!$G$2:$G$151,$AB377),IF($Z377="A",INDEX(Fixed_Assets!$E$2:$E$201,$AB377)&amp;"",IF($Z377="F","Personnel "&amp;INDEX(FTE_Allocation!$A$2:$A$201,$AB377)&amp;IF(INDEX(FTE_Allocation!$D$2:$D$201,$AB377)="PROJECT"," ("&amp;INDEX(FTE_Allocation!$E$2:$E$201,$AB377)&amp;")",""),"")))</f>
        <v/>
      </c>
      <c r="H377" s="7">
        <f>IF($Z377="C","CONTRACT",IF($Z377="A","ASSET",IF($Z377="F","WORKFORCE","")))</f>
        <v/>
      </c>
      <c r="I377" s="7">
        <f>IF($Z377="C",INDEX(Contracts!$L$2:$L$151,$AB377)&amp;"",IF($Z377="A",INDEX(Fixed_Assets!$I$2:$I$201,$AB377)&amp;"",IF($Z377="F",INDEX(Workforce!$G$2:$G$151,MATCH(INDEX(FTE_Allocation!$A$2:$A$201,$AB377),Workforce!$A$2:$A$151,0))&amp;"","")))</f>
        <v/>
      </c>
      <c r="J377" s="18">
        <f>IF($Z377="","",IF(AND(DATE($AD377,1,1)&gt;=$AE377,DATE($AD377,1,1)&lt;=$AF377),ROUND($AG377,2),0))</f>
        <v/>
      </c>
      <c r="K377" s="18">
        <f>IF($Z377="","",IF(AND(DATE($AD377,2,1)&gt;=$AE377,DATE($AD377,2,1)&lt;=$AF377),ROUND($AG377,2),0))</f>
        <v/>
      </c>
      <c r="L377" s="18">
        <f>IF($Z377="","",IF(AND(DATE($AD377,3,1)&gt;=$AE377,DATE($AD377,3,1)&lt;=$AF377),ROUND($AG377,2),0))</f>
        <v/>
      </c>
      <c r="M377" s="18">
        <f>IF($Z377="","",IF(AND(DATE($AD377,4,1)&gt;=$AE377,DATE($AD377,4,1)&lt;=$AF377),ROUND($AG377,2),0))</f>
        <v/>
      </c>
      <c r="N377" s="18">
        <f>IF($Z377="","",IF(AND(DATE($AD377,5,1)&gt;=$AE377,DATE($AD377,5,1)&lt;=$AF377),ROUND($AG377,2),0))</f>
        <v/>
      </c>
      <c r="O377" s="18">
        <f>IF($Z377="","",IF(AND(DATE($AD377,6,1)&gt;=$AE377,DATE($AD377,6,1)&lt;=$AF377),ROUND($AG377,2),0))</f>
        <v/>
      </c>
      <c r="P377" s="18">
        <f>IF($Z377="","",IF(AND(DATE($AD377,7,1)&gt;=$AE377,DATE($AD377,7,1)&lt;=$AF377),ROUND($AG377,2),0))</f>
        <v/>
      </c>
      <c r="Q377" s="18">
        <f>IF($Z377="","",IF(AND(DATE($AD377,8,1)&gt;=$AE377,DATE($AD377,8,1)&lt;=$AF377),ROUND($AG377,2),0))</f>
        <v/>
      </c>
      <c r="R377" s="18">
        <f>IF($Z377="","",IF(AND(DATE($AD377,9,1)&gt;=$AE377,DATE($AD377,9,1)&lt;=$AF377),ROUND($AG377,2),0))</f>
        <v/>
      </c>
      <c r="S377" s="18">
        <f>IF($Z377="","",IF(AND(DATE($AD377,10,1)&gt;=$AE377,DATE($AD377,10,1)&lt;=$AF377),ROUND($AG377,2),0))</f>
        <v/>
      </c>
      <c r="T377" s="18">
        <f>IF($Z377="","",IF(AND(DATE($AD377,11,1)&gt;=$AE377,DATE($AD377,11,1)&lt;=$AF377),ROUND($AG377,2),0))</f>
        <v/>
      </c>
      <c r="U377" s="18">
        <f>IF($Z377="","",IF(AND(DATE($AD377,12,1)&gt;=$AE377,DATE($AD377,12,1)&lt;=$AF377),ROUND($AG377,2),0))</f>
        <v/>
      </c>
      <c r="V377" s="7">
        <f>IF($Z377="C","Generated from "&amp;INDEX(Contracts!$A$2:$A$151,$AB377),IF($Z377="A","Generated from "&amp;INDEX(Fixed_Assets!$A$2:$A$201,$AB377),IF($Z377="F","Generated from "&amp;INDEX(FTE_Allocation!$A$2:$A$201,$AB377),"")))</f>
        <v/>
      </c>
      <c r="X377" s="19">
        <f>IF($Z377="","",SUM(J377:U377))</f>
        <v/>
      </c>
      <c r="Y377" s="20">
        <f>ROW()-1</f>
        <v/>
      </c>
      <c r="Z377" s="20">
        <f>IF($Y377&lt;=Settings!$B$4*3,"C",IF($Y377&lt;=(Settings!$B$4+Settings!$B$5)*3,"A",IF($Y377&lt;=(Settings!$B$4+Settings!$B$5+Settings!$B$6)*3,"F","")))</f>
        <v/>
      </c>
      <c r="AA377" s="20">
        <f>IF($Z377="C",$Y377,IF($Z377="A",$Y377-Settings!$B$4*3,IF($Z377="F",$Y377-(Settings!$B$4+Settings!$B$5)*3,"")))</f>
        <v/>
      </c>
      <c r="AB377" s="20">
        <f>IF($Z377="","",INT(($AA377-1)/3)+1)</f>
        <v/>
      </c>
      <c r="AC377" s="20">
        <f>IF($Z377="","",MOD($AA377-1,3)+1)</f>
        <v/>
      </c>
      <c r="AD377" s="20">
        <f>IF($Z377="","",Settings!$B$2+$AC377-1)</f>
        <v/>
      </c>
      <c r="AE377" s="21">
        <f>IF($Z377="C",DATE(YEAR(INDEX(Contracts!$J$2:$J$151,$AB377)),MONTH(INDEX(Contracts!$J$2:$J$151,$AB377)),1),IF($Z377="A",DATE(YEAR(INDEX(Fixed_Assets!$G$2:$G$201,$AB377)),MONTH(INDEX(Fixed_Assets!$G$2:$G$201,$AB377)),1),IF($Z377="F",DATE(YEAR(MAX(N(INDEX(Workforce!$I$2:$I$151,MATCH(INDEX(FTE_Allocation!$A$2:$A$201,$AB377),Workforce!$A$2:$A$151,0))),N(INDEX(FTE_Allocation!$I$2:$I$201,$AB377)))),MONTH(MAX(N(INDEX(Workforce!$I$2:$I$151,MATCH(INDEX(FTE_Allocation!$A$2:$A$201,$AB377),Workforce!$A$2:$A$151,0))),N(INDEX(FTE_Allocation!$I$2:$I$201,$AB377)))),1),"")))</f>
        <v/>
      </c>
      <c r="AF377" s="21">
        <f>IF($Z377="C",IF(INDEX(Contracts!$I$2:$I$151,$AB377)="PREPAID",EDATE(DATE(YEAR(INDEX(Contracts!$J$2:$J$151,$AB377)),MONTH(INDEX(Contracts!$J$2:$J$151,$AB377)),1),IF(INDEX(Contracts!$N$2:$N$151,$AB377)="",12,INDEX(Contracts!$N$2:$N$151,$AB377))-1),IF(INDEX(Contracts!$I$2:$I$151,$AB377)="MONTHLY",IF(INDEX(Contracts!$K$2:$K$151,$AB377)="",2958101,INDEX(Contracts!$K$2:$K$151,$AB377)),0)),IF($Z377="A",EDATE(DATE(YEAR(INDEX(Fixed_Assets!$G$2:$G$201,$AB377)),MONTH(INDEX(Fixed_Assets!$G$2:$G$201,$AB377)),1),INDEX(Fixed_Assets!$J$2:$J$201,$AB377)-1),IF($Z377="F",MIN(IF(INDEX(Workforce!$J$2:$J$151,MATCH(INDEX(FTE_Allocation!$A$2:$A$201,$AB377),Workforce!$A$2:$A$151,0))="",2958101,INDEX(Workforce!$J$2:$J$151,MATCH(INDEX(FTE_Allocation!$A$2:$A$201,$AB377),Workforce!$A$2:$A$151,0))),IF(INDEX(FTE_Allocation!$J$2:$J$201,$AB377)="",2958101,INDEX(FTE_Allocation!$J$2:$J$201,$AB377))),"")))</f>
        <v/>
      </c>
      <c r="AG377" s="19">
        <f>IF($Z377="C",IF(INDEX(Contracts!$I$2:$I$151,$AB377)="PREPAID",INDEX(Contracts!$M$2:$M$151,$AB377)/IF(INDEX(Contracts!$N$2:$N$151,$AB377)="",12,INDEX(Contracts!$N$2:$N$151,$AB377)),IF(INDEX(Contracts!$I$2:$I$151,$AB377)="MONTHLY",INDEX(Contracts!$M$2:$M$151,$AB377),0))*(1-N(INDEX(Contracts!$O$2:$O$151,$AB377))),IF($Z377="A",INDEX(Fixed_Assets!$H$2:$H$201,$AB377)/INDEX(Fixed_Assets!$J$2:$J$201,$AB377),IF($Z377="F",INDEX(Workforce!$F$2:$F$151,MATCH(INDEX(FTE_Allocation!$A$2:$A$201,$AB377),Workforce!$A$2:$A$151,0))*N(INDEX(FTE_Allocation!$F$2:$H$201,$AB377,$AC377)),"")))</f>
        <v/>
      </c>
    </row>
    <row r="378">
      <c r="A378" s="7">
        <f>IF($Z378="","",$AD378)</f>
        <v/>
      </c>
      <c r="B378" s="7">
        <f>IF($Z378="C",INDEX(Contracts!$D$2:$D$151,$AB378)&amp;"",IF($Z378="A",INDEX(Fixed_Assets!$C$2:$C$201,$AB378)&amp;"",IF($Z378="F",INDEX(Workforce!$B$2:$B$151,MATCH(INDEX(FTE_Allocation!$A$2:$A$201,$AB378),Workforce!$A$2:$A$151,0))&amp;"","")))</f>
        <v/>
      </c>
      <c r="C378" s="7">
        <f>IF($Z378="C",INDEX(Contracts!$E$2:$E$151,$AB378)&amp;"",IF($Z378="A",INDEX(Fixed_Assets!$D$2:$D$201,$AB378)&amp;"",IF($Z378="F",INDEX(FTE_Allocation!$C$2:$C$201,$AB378)&amp;"","")))</f>
        <v/>
      </c>
      <c r="D378" s="7">
        <f>IF($Z378="C",INDEX(Contracts!$B$2:$B$151,$AB378)&amp;"",IF($Z378="A",INDEX(Fixed_Assets!$B$2:$B$201,$AB378)&amp;"",IF($Z378="F",INDEX(FTE_Allocation!$B$2:$B$201,$AB378)&amp;"","")))</f>
        <v/>
      </c>
      <c r="E378" s="7">
        <f>IF($Z378="C",INDEX(Contracts!$P$2:$P$151,$AB378)&amp;"",IF($Z378="A",INDEX(Fixed_Assets!$K$2:$K$201,$AB378)&amp;"",IF($Z378="F",IF(INDEX(FTE_Allocation!$D$2:$D$201,$AB378)="PROJECT",IFERROR(INDEX(Projects!$D:$D,MATCH(INDEX(FTE_Allocation!$E$2:$E$201,$AB378),Projects!$A:$A,0))&amp;"","#PROJECT?"),INDEX(FTE_Allocation!$E$2:$E$201,$AB378)&amp;""),"")))</f>
        <v/>
      </c>
      <c r="F378" s="7">
        <f>IF($Z378="C",INDEX(Contracts!$Q$2:$Q$151,$AB378)&amp;"",IF($Z378="A",INDEX(Fixed_Assets!$L$2:$L$201,$AB378)&amp;"",IF($Z378="F",INDEX(Workforce!$K$2:$K$151,MATCH(INDEX(FTE_Allocation!$A$2:$A$201,$AB378),Workforce!$A$2:$A$151,0))&amp;"","")))</f>
        <v/>
      </c>
      <c r="G378" s="7">
        <f>IF($Z378="C",INDEX(Contracts!$F$2:$F$151,$AB378)&amp;" / "&amp;INDEX(Contracts!$G$2:$G$151,$AB378),IF($Z378="A",INDEX(Fixed_Assets!$E$2:$E$201,$AB378)&amp;"",IF($Z378="F","Personnel "&amp;INDEX(FTE_Allocation!$A$2:$A$201,$AB378)&amp;IF(INDEX(FTE_Allocation!$D$2:$D$201,$AB378)="PROJECT"," ("&amp;INDEX(FTE_Allocation!$E$2:$E$201,$AB378)&amp;")",""),"")))</f>
        <v/>
      </c>
      <c r="H378" s="7">
        <f>IF($Z378="C","CONTRACT",IF($Z378="A","ASSET",IF($Z378="F","WORKFORCE","")))</f>
        <v/>
      </c>
      <c r="I378" s="7">
        <f>IF($Z378="C",INDEX(Contracts!$L$2:$L$151,$AB378)&amp;"",IF($Z378="A",INDEX(Fixed_Assets!$I$2:$I$201,$AB378)&amp;"",IF($Z378="F",INDEX(Workforce!$G$2:$G$151,MATCH(INDEX(FTE_Allocation!$A$2:$A$201,$AB378),Workforce!$A$2:$A$151,0))&amp;"","")))</f>
        <v/>
      </c>
      <c r="J378" s="18">
        <f>IF($Z378="","",IF(AND(DATE($AD378,1,1)&gt;=$AE378,DATE($AD378,1,1)&lt;=$AF378),ROUND($AG378,2),0))</f>
        <v/>
      </c>
      <c r="K378" s="18">
        <f>IF($Z378="","",IF(AND(DATE($AD378,2,1)&gt;=$AE378,DATE($AD378,2,1)&lt;=$AF378),ROUND($AG378,2),0))</f>
        <v/>
      </c>
      <c r="L378" s="18">
        <f>IF($Z378="","",IF(AND(DATE($AD378,3,1)&gt;=$AE378,DATE($AD378,3,1)&lt;=$AF378),ROUND($AG378,2),0))</f>
        <v/>
      </c>
      <c r="M378" s="18">
        <f>IF($Z378="","",IF(AND(DATE($AD378,4,1)&gt;=$AE378,DATE($AD378,4,1)&lt;=$AF378),ROUND($AG378,2),0))</f>
        <v/>
      </c>
      <c r="N378" s="18">
        <f>IF($Z378="","",IF(AND(DATE($AD378,5,1)&gt;=$AE378,DATE($AD378,5,1)&lt;=$AF378),ROUND($AG378,2),0))</f>
        <v/>
      </c>
      <c r="O378" s="18">
        <f>IF($Z378="","",IF(AND(DATE($AD378,6,1)&gt;=$AE378,DATE($AD378,6,1)&lt;=$AF378),ROUND($AG378,2),0))</f>
        <v/>
      </c>
      <c r="P378" s="18">
        <f>IF($Z378="","",IF(AND(DATE($AD378,7,1)&gt;=$AE378,DATE($AD378,7,1)&lt;=$AF378),ROUND($AG378,2),0))</f>
        <v/>
      </c>
      <c r="Q378" s="18">
        <f>IF($Z378="","",IF(AND(DATE($AD378,8,1)&gt;=$AE378,DATE($AD378,8,1)&lt;=$AF378),ROUND($AG378,2),0))</f>
        <v/>
      </c>
      <c r="R378" s="18">
        <f>IF($Z378="","",IF(AND(DATE($AD378,9,1)&gt;=$AE378,DATE($AD378,9,1)&lt;=$AF378),ROUND($AG378,2),0))</f>
        <v/>
      </c>
      <c r="S378" s="18">
        <f>IF($Z378="","",IF(AND(DATE($AD378,10,1)&gt;=$AE378,DATE($AD378,10,1)&lt;=$AF378),ROUND($AG378,2),0))</f>
        <v/>
      </c>
      <c r="T378" s="18">
        <f>IF($Z378="","",IF(AND(DATE($AD378,11,1)&gt;=$AE378,DATE($AD378,11,1)&lt;=$AF378),ROUND($AG378,2),0))</f>
        <v/>
      </c>
      <c r="U378" s="18">
        <f>IF($Z378="","",IF(AND(DATE($AD378,12,1)&gt;=$AE378,DATE($AD378,12,1)&lt;=$AF378),ROUND($AG378,2),0))</f>
        <v/>
      </c>
      <c r="V378" s="7">
        <f>IF($Z378="C","Generated from "&amp;INDEX(Contracts!$A$2:$A$151,$AB378),IF($Z378="A","Generated from "&amp;INDEX(Fixed_Assets!$A$2:$A$201,$AB378),IF($Z378="F","Generated from "&amp;INDEX(FTE_Allocation!$A$2:$A$201,$AB378),"")))</f>
        <v/>
      </c>
      <c r="X378" s="19">
        <f>IF($Z378="","",SUM(J378:U378))</f>
        <v/>
      </c>
      <c r="Y378" s="20">
        <f>ROW()-1</f>
        <v/>
      </c>
      <c r="Z378" s="20">
        <f>IF($Y378&lt;=Settings!$B$4*3,"C",IF($Y378&lt;=(Settings!$B$4+Settings!$B$5)*3,"A",IF($Y378&lt;=(Settings!$B$4+Settings!$B$5+Settings!$B$6)*3,"F","")))</f>
        <v/>
      </c>
      <c r="AA378" s="20">
        <f>IF($Z378="C",$Y378,IF($Z378="A",$Y378-Settings!$B$4*3,IF($Z378="F",$Y378-(Settings!$B$4+Settings!$B$5)*3,"")))</f>
        <v/>
      </c>
      <c r="AB378" s="20">
        <f>IF($Z378="","",INT(($AA378-1)/3)+1)</f>
        <v/>
      </c>
      <c r="AC378" s="20">
        <f>IF($Z378="","",MOD($AA378-1,3)+1)</f>
        <v/>
      </c>
      <c r="AD378" s="20">
        <f>IF($Z378="","",Settings!$B$2+$AC378-1)</f>
        <v/>
      </c>
      <c r="AE378" s="21">
        <f>IF($Z378="C",DATE(YEAR(INDEX(Contracts!$J$2:$J$151,$AB378)),MONTH(INDEX(Contracts!$J$2:$J$151,$AB378)),1),IF($Z378="A",DATE(YEAR(INDEX(Fixed_Assets!$G$2:$G$201,$AB378)),MONTH(INDEX(Fixed_Assets!$G$2:$G$201,$AB378)),1),IF($Z378="F",DATE(YEAR(MAX(N(INDEX(Workforce!$I$2:$I$151,MATCH(INDEX(FTE_Allocation!$A$2:$A$201,$AB378),Workforce!$A$2:$A$151,0))),N(INDEX(FTE_Allocation!$I$2:$I$201,$AB378)))),MONTH(MAX(N(INDEX(Workforce!$I$2:$I$151,MATCH(INDEX(FTE_Allocation!$A$2:$A$201,$AB378),Workforce!$A$2:$A$151,0))),N(INDEX(FTE_Allocation!$I$2:$I$201,$AB378)))),1),"")))</f>
        <v/>
      </c>
      <c r="AF378" s="21">
        <f>IF($Z378="C",IF(INDEX(Contracts!$I$2:$I$151,$AB378)="PREPAID",EDATE(DATE(YEAR(INDEX(Contracts!$J$2:$J$151,$AB378)),MONTH(INDEX(Contracts!$J$2:$J$151,$AB378)),1),IF(INDEX(Contracts!$N$2:$N$151,$AB378)="",12,INDEX(Contracts!$N$2:$N$151,$AB378))-1),IF(INDEX(Contracts!$I$2:$I$151,$AB378)="MONTHLY",IF(INDEX(Contracts!$K$2:$K$151,$AB378)="",2958101,INDEX(Contracts!$K$2:$K$151,$AB378)),0)),IF($Z378="A",EDATE(DATE(YEAR(INDEX(Fixed_Assets!$G$2:$G$201,$AB378)),MONTH(INDEX(Fixed_Assets!$G$2:$G$201,$AB378)),1),INDEX(Fixed_Assets!$J$2:$J$201,$AB378)-1),IF($Z378="F",MIN(IF(INDEX(Workforce!$J$2:$J$151,MATCH(INDEX(FTE_Allocation!$A$2:$A$201,$AB378),Workforce!$A$2:$A$151,0))="",2958101,INDEX(Workforce!$J$2:$J$151,MATCH(INDEX(FTE_Allocation!$A$2:$A$201,$AB378),Workforce!$A$2:$A$151,0))),IF(INDEX(FTE_Allocation!$J$2:$J$201,$AB378)="",2958101,INDEX(FTE_Allocation!$J$2:$J$201,$AB378))),"")))</f>
        <v/>
      </c>
      <c r="AG378" s="19">
        <f>IF($Z378="C",IF(INDEX(Contracts!$I$2:$I$151,$AB378)="PREPAID",INDEX(Contracts!$M$2:$M$151,$AB378)/IF(INDEX(Contracts!$N$2:$N$151,$AB378)="",12,INDEX(Contracts!$N$2:$N$151,$AB378)),IF(INDEX(Contracts!$I$2:$I$151,$AB378)="MONTHLY",INDEX(Contracts!$M$2:$M$151,$AB378),0))*(1-N(INDEX(Contracts!$O$2:$O$151,$AB378))),IF($Z378="A",INDEX(Fixed_Assets!$H$2:$H$201,$AB378)/INDEX(Fixed_Assets!$J$2:$J$201,$AB378),IF($Z378="F",INDEX(Workforce!$F$2:$F$151,MATCH(INDEX(FTE_Allocation!$A$2:$A$201,$AB378),Workforce!$A$2:$A$151,0))*N(INDEX(FTE_Allocation!$F$2:$H$201,$AB378,$AC378)),"")))</f>
        <v/>
      </c>
    </row>
    <row r="379">
      <c r="A379" s="7">
        <f>IF($Z379="","",$AD379)</f>
        <v/>
      </c>
      <c r="B379" s="7">
        <f>IF($Z379="C",INDEX(Contracts!$D$2:$D$151,$AB379)&amp;"",IF($Z379="A",INDEX(Fixed_Assets!$C$2:$C$201,$AB379)&amp;"",IF($Z379="F",INDEX(Workforce!$B$2:$B$151,MATCH(INDEX(FTE_Allocation!$A$2:$A$201,$AB379),Workforce!$A$2:$A$151,0))&amp;"","")))</f>
        <v/>
      </c>
      <c r="C379" s="7">
        <f>IF($Z379="C",INDEX(Contracts!$E$2:$E$151,$AB379)&amp;"",IF($Z379="A",INDEX(Fixed_Assets!$D$2:$D$201,$AB379)&amp;"",IF($Z379="F",INDEX(FTE_Allocation!$C$2:$C$201,$AB379)&amp;"","")))</f>
        <v/>
      </c>
      <c r="D379" s="7">
        <f>IF($Z379="C",INDEX(Contracts!$B$2:$B$151,$AB379)&amp;"",IF($Z379="A",INDEX(Fixed_Assets!$B$2:$B$201,$AB379)&amp;"",IF($Z379="F",INDEX(FTE_Allocation!$B$2:$B$201,$AB379)&amp;"","")))</f>
        <v/>
      </c>
      <c r="E379" s="7">
        <f>IF($Z379="C",INDEX(Contracts!$P$2:$P$151,$AB379)&amp;"",IF($Z379="A",INDEX(Fixed_Assets!$K$2:$K$201,$AB379)&amp;"",IF($Z379="F",IF(INDEX(FTE_Allocation!$D$2:$D$201,$AB379)="PROJECT",IFERROR(INDEX(Projects!$D:$D,MATCH(INDEX(FTE_Allocation!$E$2:$E$201,$AB379),Projects!$A:$A,0))&amp;"","#PROJECT?"),INDEX(FTE_Allocation!$E$2:$E$201,$AB379)&amp;""),"")))</f>
        <v/>
      </c>
      <c r="F379" s="7">
        <f>IF($Z379="C",INDEX(Contracts!$Q$2:$Q$151,$AB379)&amp;"",IF($Z379="A",INDEX(Fixed_Assets!$L$2:$L$201,$AB379)&amp;"",IF($Z379="F",INDEX(Workforce!$K$2:$K$151,MATCH(INDEX(FTE_Allocation!$A$2:$A$201,$AB379),Workforce!$A$2:$A$151,0))&amp;"","")))</f>
        <v/>
      </c>
      <c r="G379" s="7">
        <f>IF($Z379="C",INDEX(Contracts!$F$2:$F$151,$AB379)&amp;" / "&amp;INDEX(Contracts!$G$2:$G$151,$AB379),IF($Z379="A",INDEX(Fixed_Assets!$E$2:$E$201,$AB379)&amp;"",IF($Z379="F","Personnel "&amp;INDEX(FTE_Allocation!$A$2:$A$201,$AB379)&amp;IF(INDEX(FTE_Allocation!$D$2:$D$201,$AB379)="PROJECT"," ("&amp;INDEX(FTE_Allocation!$E$2:$E$201,$AB379)&amp;")",""),"")))</f>
        <v/>
      </c>
      <c r="H379" s="7">
        <f>IF($Z379="C","CONTRACT",IF($Z379="A","ASSET",IF($Z379="F","WORKFORCE","")))</f>
        <v/>
      </c>
      <c r="I379" s="7">
        <f>IF($Z379="C",INDEX(Contracts!$L$2:$L$151,$AB379)&amp;"",IF($Z379="A",INDEX(Fixed_Assets!$I$2:$I$201,$AB379)&amp;"",IF($Z379="F",INDEX(Workforce!$G$2:$G$151,MATCH(INDEX(FTE_Allocation!$A$2:$A$201,$AB379),Workforce!$A$2:$A$151,0))&amp;"","")))</f>
        <v/>
      </c>
      <c r="J379" s="18">
        <f>IF($Z379="","",IF(AND(DATE($AD379,1,1)&gt;=$AE379,DATE($AD379,1,1)&lt;=$AF379),ROUND($AG379,2),0))</f>
        <v/>
      </c>
      <c r="K379" s="18">
        <f>IF($Z379="","",IF(AND(DATE($AD379,2,1)&gt;=$AE379,DATE($AD379,2,1)&lt;=$AF379),ROUND($AG379,2),0))</f>
        <v/>
      </c>
      <c r="L379" s="18">
        <f>IF($Z379="","",IF(AND(DATE($AD379,3,1)&gt;=$AE379,DATE($AD379,3,1)&lt;=$AF379),ROUND($AG379,2),0))</f>
        <v/>
      </c>
      <c r="M379" s="18">
        <f>IF($Z379="","",IF(AND(DATE($AD379,4,1)&gt;=$AE379,DATE($AD379,4,1)&lt;=$AF379),ROUND($AG379,2),0))</f>
        <v/>
      </c>
      <c r="N379" s="18">
        <f>IF($Z379="","",IF(AND(DATE($AD379,5,1)&gt;=$AE379,DATE($AD379,5,1)&lt;=$AF379),ROUND($AG379,2),0))</f>
        <v/>
      </c>
      <c r="O379" s="18">
        <f>IF($Z379="","",IF(AND(DATE($AD379,6,1)&gt;=$AE379,DATE($AD379,6,1)&lt;=$AF379),ROUND($AG379,2),0))</f>
        <v/>
      </c>
      <c r="P379" s="18">
        <f>IF($Z379="","",IF(AND(DATE($AD379,7,1)&gt;=$AE379,DATE($AD379,7,1)&lt;=$AF379),ROUND($AG379,2),0))</f>
        <v/>
      </c>
      <c r="Q379" s="18">
        <f>IF($Z379="","",IF(AND(DATE($AD379,8,1)&gt;=$AE379,DATE($AD379,8,1)&lt;=$AF379),ROUND($AG379,2),0))</f>
        <v/>
      </c>
      <c r="R379" s="18">
        <f>IF($Z379="","",IF(AND(DATE($AD379,9,1)&gt;=$AE379,DATE($AD379,9,1)&lt;=$AF379),ROUND($AG379,2),0))</f>
        <v/>
      </c>
      <c r="S379" s="18">
        <f>IF($Z379="","",IF(AND(DATE($AD379,10,1)&gt;=$AE379,DATE($AD379,10,1)&lt;=$AF379),ROUND($AG379,2),0))</f>
        <v/>
      </c>
      <c r="T379" s="18">
        <f>IF($Z379="","",IF(AND(DATE($AD379,11,1)&gt;=$AE379,DATE($AD379,11,1)&lt;=$AF379),ROUND($AG379,2),0))</f>
        <v/>
      </c>
      <c r="U379" s="18">
        <f>IF($Z379="","",IF(AND(DATE($AD379,12,1)&gt;=$AE379,DATE($AD379,12,1)&lt;=$AF379),ROUND($AG379,2),0))</f>
        <v/>
      </c>
      <c r="V379" s="7">
        <f>IF($Z379="C","Generated from "&amp;INDEX(Contracts!$A$2:$A$151,$AB379),IF($Z379="A","Generated from "&amp;INDEX(Fixed_Assets!$A$2:$A$201,$AB379),IF($Z379="F","Generated from "&amp;INDEX(FTE_Allocation!$A$2:$A$201,$AB379),"")))</f>
        <v/>
      </c>
      <c r="X379" s="19">
        <f>IF($Z379="","",SUM(J379:U379))</f>
        <v/>
      </c>
      <c r="Y379" s="20">
        <f>ROW()-1</f>
        <v/>
      </c>
      <c r="Z379" s="20">
        <f>IF($Y379&lt;=Settings!$B$4*3,"C",IF($Y379&lt;=(Settings!$B$4+Settings!$B$5)*3,"A",IF($Y379&lt;=(Settings!$B$4+Settings!$B$5+Settings!$B$6)*3,"F","")))</f>
        <v/>
      </c>
      <c r="AA379" s="20">
        <f>IF($Z379="C",$Y379,IF($Z379="A",$Y379-Settings!$B$4*3,IF($Z379="F",$Y379-(Settings!$B$4+Settings!$B$5)*3,"")))</f>
        <v/>
      </c>
      <c r="AB379" s="20">
        <f>IF($Z379="","",INT(($AA379-1)/3)+1)</f>
        <v/>
      </c>
      <c r="AC379" s="20">
        <f>IF($Z379="","",MOD($AA379-1,3)+1)</f>
        <v/>
      </c>
      <c r="AD379" s="20">
        <f>IF($Z379="","",Settings!$B$2+$AC379-1)</f>
        <v/>
      </c>
      <c r="AE379" s="21">
        <f>IF($Z379="C",DATE(YEAR(INDEX(Contracts!$J$2:$J$151,$AB379)),MONTH(INDEX(Contracts!$J$2:$J$151,$AB379)),1),IF($Z379="A",DATE(YEAR(INDEX(Fixed_Assets!$G$2:$G$201,$AB379)),MONTH(INDEX(Fixed_Assets!$G$2:$G$201,$AB379)),1),IF($Z379="F",DATE(YEAR(MAX(N(INDEX(Workforce!$I$2:$I$151,MATCH(INDEX(FTE_Allocation!$A$2:$A$201,$AB379),Workforce!$A$2:$A$151,0))),N(INDEX(FTE_Allocation!$I$2:$I$201,$AB379)))),MONTH(MAX(N(INDEX(Workforce!$I$2:$I$151,MATCH(INDEX(FTE_Allocation!$A$2:$A$201,$AB379),Workforce!$A$2:$A$151,0))),N(INDEX(FTE_Allocation!$I$2:$I$201,$AB379)))),1),"")))</f>
        <v/>
      </c>
      <c r="AF379" s="21">
        <f>IF($Z379="C",IF(INDEX(Contracts!$I$2:$I$151,$AB379)="PREPAID",EDATE(DATE(YEAR(INDEX(Contracts!$J$2:$J$151,$AB379)),MONTH(INDEX(Contracts!$J$2:$J$151,$AB379)),1),IF(INDEX(Contracts!$N$2:$N$151,$AB379)="",12,INDEX(Contracts!$N$2:$N$151,$AB379))-1),IF(INDEX(Contracts!$I$2:$I$151,$AB379)="MONTHLY",IF(INDEX(Contracts!$K$2:$K$151,$AB379)="",2958101,INDEX(Contracts!$K$2:$K$151,$AB379)),0)),IF($Z379="A",EDATE(DATE(YEAR(INDEX(Fixed_Assets!$G$2:$G$201,$AB379)),MONTH(INDEX(Fixed_Assets!$G$2:$G$201,$AB379)),1),INDEX(Fixed_Assets!$J$2:$J$201,$AB379)-1),IF($Z379="F",MIN(IF(INDEX(Workforce!$J$2:$J$151,MATCH(INDEX(FTE_Allocation!$A$2:$A$201,$AB379),Workforce!$A$2:$A$151,0))="",2958101,INDEX(Workforce!$J$2:$J$151,MATCH(INDEX(FTE_Allocation!$A$2:$A$201,$AB379),Workforce!$A$2:$A$151,0))),IF(INDEX(FTE_Allocation!$J$2:$J$201,$AB379)="",2958101,INDEX(FTE_Allocation!$J$2:$J$201,$AB379))),"")))</f>
        <v/>
      </c>
      <c r="AG379" s="19">
        <f>IF($Z379="C",IF(INDEX(Contracts!$I$2:$I$151,$AB379)="PREPAID",INDEX(Contracts!$M$2:$M$151,$AB379)/IF(INDEX(Contracts!$N$2:$N$151,$AB379)="",12,INDEX(Contracts!$N$2:$N$151,$AB379)),IF(INDEX(Contracts!$I$2:$I$151,$AB379)="MONTHLY",INDEX(Contracts!$M$2:$M$151,$AB379),0))*(1-N(INDEX(Contracts!$O$2:$O$151,$AB379))),IF($Z379="A",INDEX(Fixed_Assets!$H$2:$H$201,$AB379)/INDEX(Fixed_Assets!$J$2:$J$201,$AB379),IF($Z379="F",INDEX(Workforce!$F$2:$F$151,MATCH(INDEX(FTE_Allocation!$A$2:$A$201,$AB379),Workforce!$A$2:$A$151,0))*N(INDEX(FTE_Allocation!$F$2:$H$201,$AB379,$AC379)),"")))</f>
        <v/>
      </c>
    </row>
    <row r="380">
      <c r="A380" s="7">
        <f>IF($Z380="","",$AD380)</f>
        <v/>
      </c>
      <c r="B380" s="7">
        <f>IF($Z380="C",INDEX(Contracts!$D$2:$D$151,$AB380)&amp;"",IF($Z380="A",INDEX(Fixed_Assets!$C$2:$C$201,$AB380)&amp;"",IF($Z380="F",INDEX(Workforce!$B$2:$B$151,MATCH(INDEX(FTE_Allocation!$A$2:$A$201,$AB380),Workforce!$A$2:$A$151,0))&amp;"","")))</f>
        <v/>
      </c>
      <c r="C380" s="7">
        <f>IF($Z380="C",INDEX(Contracts!$E$2:$E$151,$AB380)&amp;"",IF($Z380="A",INDEX(Fixed_Assets!$D$2:$D$201,$AB380)&amp;"",IF($Z380="F",INDEX(FTE_Allocation!$C$2:$C$201,$AB380)&amp;"","")))</f>
        <v/>
      </c>
      <c r="D380" s="7">
        <f>IF($Z380="C",INDEX(Contracts!$B$2:$B$151,$AB380)&amp;"",IF($Z380="A",INDEX(Fixed_Assets!$B$2:$B$201,$AB380)&amp;"",IF($Z380="F",INDEX(FTE_Allocation!$B$2:$B$201,$AB380)&amp;"","")))</f>
        <v/>
      </c>
      <c r="E380" s="7">
        <f>IF($Z380="C",INDEX(Contracts!$P$2:$P$151,$AB380)&amp;"",IF($Z380="A",INDEX(Fixed_Assets!$K$2:$K$201,$AB380)&amp;"",IF($Z380="F",IF(INDEX(FTE_Allocation!$D$2:$D$201,$AB380)="PROJECT",IFERROR(INDEX(Projects!$D:$D,MATCH(INDEX(FTE_Allocation!$E$2:$E$201,$AB380),Projects!$A:$A,0))&amp;"","#PROJECT?"),INDEX(FTE_Allocation!$E$2:$E$201,$AB380)&amp;""),"")))</f>
        <v/>
      </c>
      <c r="F380" s="7">
        <f>IF($Z380="C",INDEX(Contracts!$Q$2:$Q$151,$AB380)&amp;"",IF($Z380="A",INDEX(Fixed_Assets!$L$2:$L$201,$AB380)&amp;"",IF($Z380="F",INDEX(Workforce!$K$2:$K$151,MATCH(INDEX(FTE_Allocation!$A$2:$A$201,$AB380),Workforce!$A$2:$A$151,0))&amp;"","")))</f>
        <v/>
      </c>
      <c r="G380" s="7">
        <f>IF($Z380="C",INDEX(Contracts!$F$2:$F$151,$AB380)&amp;" / "&amp;INDEX(Contracts!$G$2:$G$151,$AB380),IF($Z380="A",INDEX(Fixed_Assets!$E$2:$E$201,$AB380)&amp;"",IF($Z380="F","Personnel "&amp;INDEX(FTE_Allocation!$A$2:$A$201,$AB380)&amp;IF(INDEX(FTE_Allocation!$D$2:$D$201,$AB380)="PROJECT"," ("&amp;INDEX(FTE_Allocation!$E$2:$E$201,$AB380)&amp;")",""),"")))</f>
        <v/>
      </c>
      <c r="H380" s="7">
        <f>IF($Z380="C","CONTRACT",IF($Z380="A","ASSET",IF($Z380="F","WORKFORCE","")))</f>
        <v/>
      </c>
      <c r="I380" s="7">
        <f>IF($Z380="C",INDEX(Contracts!$L$2:$L$151,$AB380)&amp;"",IF($Z380="A",INDEX(Fixed_Assets!$I$2:$I$201,$AB380)&amp;"",IF($Z380="F",INDEX(Workforce!$G$2:$G$151,MATCH(INDEX(FTE_Allocation!$A$2:$A$201,$AB380),Workforce!$A$2:$A$151,0))&amp;"","")))</f>
        <v/>
      </c>
      <c r="J380" s="18">
        <f>IF($Z380="","",IF(AND(DATE($AD380,1,1)&gt;=$AE380,DATE($AD380,1,1)&lt;=$AF380),ROUND($AG380,2),0))</f>
        <v/>
      </c>
      <c r="K380" s="18">
        <f>IF($Z380="","",IF(AND(DATE($AD380,2,1)&gt;=$AE380,DATE($AD380,2,1)&lt;=$AF380),ROUND($AG380,2),0))</f>
        <v/>
      </c>
      <c r="L380" s="18">
        <f>IF($Z380="","",IF(AND(DATE($AD380,3,1)&gt;=$AE380,DATE($AD380,3,1)&lt;=$AF380),ROUND($AG380,2),0))</f>
        <v/>
      </c>
      <c r="M380" s="18">
        <f>IF($Z380="","",IF(AND(DATE($AD380,4,1)&gt;=$AE380,DATE($AD380,4,1)&lt;=$AF380),ROUND($AG380,2),0))</f>
        <v/>
      </c>
      <c r="N380" s="18">
        <f>IF($Z380="","",IF(AND(DATE($AD380,5,1)&gt;=$AE380,DATE($AD380,5,1)&lt;=$AF380),ROUND($AG380,2),0))</f>
        <v/>
      </c>
      <c r="O380" s="18">
        <f>IF($Z380="","",IF(AND(DATE($AD380,6,1)&gt;=$AE380,DATE($AD380,6,1)&lt;=$AF380),ROUND($AG380,2),0))</f>
        <v/>
      </c>
      <c r="P380" s="18">
        <f>IF($Z380="","",IF(AND(DATE($AD380,7,1)&gt;=$AE380,DATE($AD380,7,1)&lt;=$AF380),ROUND($AG380,2),0))</f>
        <v/>
      </c>
      <c r="Q380" s="18">
        <f>IF($Z380="","",IF(AND(DATE($AD380,8,1)&gt;=$AE380,DATE($AD380,8,1)&lt;=$AF380),ROUND($AG380,2),0))</f>
        <v/>
      </c>
      <c r="R380" s="18">
        <f>IF($Z380="","",IF(AND(DATE($AD380,9,1)&gt;=$AE380,DATE($AD380,9,1)&lt;=$AF380),ROUND($AG380,2),0))</f>
        <v/>
      </c>
      <c r="S380" s="18">
        <f>IF($Z380="","",IF(AND(DATE($AD380,10,1)&gt;=$AE380,DATE($AD380,10,1)&lt;=$AF380),ROUND($AG380,2),0))</f>
        <v/>
      </c>
      <c r="T380" s="18">
        <f>IF($Z380="","",IF(AND(DATE($AD380,11,1)&gt;=$AE380,DATE($AD380,11,1)&lt;=$AF380),ROUND($AG380,2),0))</f>
        <v/>
      </c>
      <c r="U380" s="18">
        <f>IF($Z380="","",IF(AND(DATE($AD380,12,1)&gt;=$AE380,DATE($AD380,12,1)&lt;=$AF380),ROUND($AG380,2),0))</f>
        <v/>
      </c>
      <c r="V380" s="7">
        <f>IF($Z380="C","Generated from "&amp;INDEX(Contracts!$A$2:$A$151,$AB380),IF($Z380="A","Generated from "&amp;INDEX(Fixed_Assets!$A$2:$A$201,$AB380),IF($Z380="F","Generated from "&amp;INDEX(FTE_Allocation!$A$2:$A$201,$AB380),"")))</f>
        <v/>
      </c>
      <c r="X380" s="19">
        <f>IF($Z380="","",SUM(J380:U380))</f>
        <v/>
      </c>
      <c r="Y380" s="20">
        <f>ROW()-1</f>
        <v/>
      </c>
      <c r="Z380" s="20">
        <f>IF($Y380&lt;=Settings!$B$4*3,"C",IF($Y380&lt;=(Settings!$B$4+Settings!$B$5)*3,"A",IF($Y380&lt;=(Settings!$B$4+Settings!$B$5+Settings!$B$6)*3,"F","")))</f>
        <v/>
      </c>
      <c r="AA380" s="20">
        <f>IF($Z380="C",$Y380,IF($Z380="A",$Y380-Settings!$B$4*3,IF($Z380="F",$Y380-(Settings!$B$4+Settings!$B$5)*3,"")))</f>
        <v/>
      </c>
      <c r="AB380" s="20">
        <f>IF($Z380="","",INT(($AA380-1)/3)+1)</f>
        <v/>
      </c>
      <c r="AC380" s="20">
        <f>IF($Z380="","",MOD($AA380-1,3)+1)</f>
        <v/>
      </c>
      <c r="AD380" s="20">
        <f>IF($Z380="","",Settings!$B$2+$AC380-1)</f>
        <v/>
      </c>
      <c r="AE380" s="21">
        <f>IF($Z380="C",DATE(YEAR(INDEX(Contracts!$J$2:$J$151,$AB380)),MONTH(INDEX(Contracts!$J$2:$J$151,$AB380)),1),IF($Z380="A",DATE(YEAR(INDEX(Fixed_Assets!$G$2:$G$201,$AB380)),MONTH(INDEX(Fixed_Assets!$G$2:$G$201,$AB380)),1),IF($Z380="F",DATE(YEAR(MAX(N(INDEX(Workforce!$I$2:$I$151,MATCH(INDEX(FTE_Allocation!$A$2:$A$201,$AB380),Workforce!$A$2:$A$151,0))),N(INDEX(FTE_Allocation!$I$2:$I$201,$AB380)))),MONTH(MAX(N(INDEX(Workforce!$I$2:$I$151,MATCH(INDEX(FTE_Allocation!$A$2:$A$201,$AB380),Workforce!$A$2:$A$151,0))),N(INDEX(FTE_Allocation!$I$2:$I$201,$AB380)))),1),"")))</f>
        <v/>
      </c>
      <c r="AF380" s="21">
        <f>IF($Z380="C",IF(INDEX(Contracts!$I$2:$I$151,$AB380)="PREPAID",EDATE(DATE(YEAR(INDEX(Contracts!$J$2:$J$151,$AB380)),MONTH(INDEX(Contracts!$J$2:$J$151,$AB380)),1),IF(INDEX(Contracts!$N$2:$N$151,$AB380)="",12,INDEX(Contracts!$N$2:$N$151,$AB380))-1),IF(INDEX(Contracts!$I$2:$I$151,$AB380)="MONTHLY",IF(INDEX(Contracts!$K$2:$K$151,$AB380)="",2958101,INDEX(Contracts!$K$2:$K$151,$AB380)),0)),IF($Z380="A",EDATE(DATE(YEAR(INDEX(Fixed_Assets!$G$2:$G$201,$AB380)),MONTH(INDEX(Fixed_Assets!$G$2:$G$201,$AB380)),1),INDEX(Fixed_Assets!$J$2:$J$201,$AB380)-1),IF($Z380="F",MIN(IF(INDEX(Workforce!$J$2:$J$151,MATCH(INDEX(FTE_Allocation!$A$2:$A$201,$AB380),Workforce!$A$2:$A$151,0))="",2958101,INDEX(Workforce!$J$2:$J$151,MATCH(INDEX(FTE_Allocation!$A$2:$A$201,$AB380),Workforce!$A$2:$A$151,0))),IF(INDEX(FTE_Allocation!$J$2:$J$201,$AB380)="",2958101,INDEX(FTE_Allocation!$J$2:$J$201,$AB380))),"")))</f>
        <v/>
      </c>
      <c r="AG380" s="19">
        <f>IF($Z380="C",IF(INDEX(Contracts!$I$2:$I$151,$AB380)="PREPAID",INDEX(Contracts!$M$2:$M$151,$AB380)/IF(INDEX(Contracts!$N$2:$N$151,$AB380)="",12,INDEX(Contracts!$N$2:$N$151,$AB380)),IF(INDEX(Contracts!$I$2:$I$151,$AB380)="MONTHLY",INDEX(Contracts!$M$2:$M$151,$AB380),0))*(1-N(INDEX(Contracts!$O$2:$O$151,$AB380))),IF($Z380="A",INDEX(Fixed_Assets!$H$2:$H$201,$AB380)/INDEX(Fixed_Assets!$J$2:$J$201,$AB380),IF($Z380="F",INDEX(Workforce!$F$2:$F$151,MATCH(INDEX(FTE_Allocation!$A$2:$A$201,$AB380),Workforce!$A$2:$A$151,0))*N(INDEX(FTE_Allocation!$F$2:$H$201,$AB380,$AC380)),"")))</f>
        <v/>
      </c>
    </row>
    <row r="381">
      <c r="A381" s="7">
        <f>IF($Z381="","",$AD381)</f>
        <v/>
      </c>
      <c r="B381" s="7">
        <f>IF($Z381="C",INDEX(Contracts!$D$2:$D$151,$AB381)&amp;"",IF($Z381="A",INDEX(Fixed_Assets!$C$2:$C$201,$AB381)&amp;"",IF($Z381="F",INDEX(Workforce!$B$2:$B$151,MATCH(INDEX(FTE_Allocation!$A$2:$A$201,$AB381),Workforce!$A$2:$A$151,0))&amp;"","")))</f>
        <v/>
      </c>
      <c r="C381" s="7">
        <f>IF($Z381="C",INDEX(Contracts!$E$2:$E$151,$AB381)&amp;"",IF($Z381="A",INDEX(Fixed_Assets!$D$2:$D$201,$AB381)&amp;"",IF($Z381="F",INDEX(FTE_Allocation!$C$2:$C$201,$AB381)&amp;"","")))</f>
        <v/>
      </c>
      <c r="D381" s="7">
        <f>IF($Z381="C",INDEX(Contracts!$B$2:$B$151,$AB381)&amp;"",IF($Z381="A",INDEX(Fixed_Assets!$B$2:$B$201,$AB381)&amp;"",IF($Z381="F",INDEX(FTE_Allocation!$B$2:$B$201,$AB381)&amp;"","")))</f>
        <v/>
      </c>
      <c r="E381" s="7">
        <f>IF($Z381="C",INDEX(Contracts!$P$2:$P$151,$AB381)&amp;"",IF($Z381="A",INDEX(Fixed_Assets!$K$2:$K$201,$AB381)&amp;"",IF($Z381="F",IF(INDEX(FTE_Allocation!$D$2:$D$201,$AB381)="PROJECT",IFERROR(INDEX(Projects!$D:$D,MATCH(INDEX(FTE_Allocation!$E$2:$E$201,$AB381),Projects!$A:$A,0))&amp;"","#PROJECT?"),INDEX(FTE_Allocation!$E$2:$E$201,$AB381)&amp;""),"")))</f>
        <v/>
      </c>
      <c r="F381" s="7">
        <f>IF($Z381="C",INDEX(Contracts!$Q$2:$Q$151,$AB381)&amp;"",IF($Z381="A",INDEX(Fixed_Assets!$L$2:$L$201,$AB381)&amp;"",IF($Z381="F",INDEX(Workforce!$K$2:$K$151,MATCH(INDEX(FTE_Allocation!$A$2:$A$201,$AB381),Workforce!$A$2:$A$151,0))&amp;"","")))</f>
        <v/>
      </c>
      <c r="G381" s="7">
        <f>IF($Z381="C",INDEX(Contracts!$F$2:$F$151,$AB381)&amp;" / "&amp;INDEX(Contracts!$G$2:$G$151,$AB381),IF($Z381="A",INDEX(Fixed_Assets!$E$2:$E$201,$AB381)&amp;"",IF($Z381="F","Personnel "&amp;INDEX(FTE_Allocation!$A$2:$A$201,$AB381)&amp;IF(INDEX(FTE_Allocation!$D$2:$D$201,$AB381)="PROJECT"," ("&amp;INDEX(FTE_Allocation!$E$2:$E$201,$AB381)&amp;")",""),"")))</f>
        <v/>
      </c>
      <c r="H381" s="7">
        <f>IF($Z381="C","CONTRACT",IF($Z381="A","ASSET",IF($Z381="F","WORKFORCE","")))</f>
        <v/>
      </c>
      <c r="I381" s="7">
        <f>IF($Z381="C",INDEX(Contracts!$L$2:$L$151,$AB381)&amp;"",IF($Z381="A",INDEX(Fixed_Assets!$I$2:$I$201,$AB381)&amp;"",IF($Z381="F",INDEX(Workforce!$G$2:$G$151,MATCH(INDEX(FTE_Allocation!$A$2:$A$201,$AB381),Workforce!$A$2:$A$151,0))&amp;"","")))</f>
        <v/>
      </c>
      <c r="J381" s="18">
        <f>IF($Z381="","",IF(AND(DATE($AD381,1,1)&gt;=$AE381,DATE($AD381,1,1)&lt;=$AF381),ROUND($AG381,2),0))</f>
        <v/>
      </c>
      <c r="K381" s="18">
        <f>IF($Z381="","",IF(AND(DATE($AD381,2,1)&gt;=$AE381,DATE($AD381,2,1)&lt;=$AF381),ROUND($AG381,2),0))</f>
        <v/>
      </c>
      <c r="L381" s="18">
        <f>IF($Z381="","",IF(AND(DATE($AD381,3,1)&gt;=$AE381,DATE($AD381,3,1)&lt;=$AF381),ROUND($AG381,2),0))</f>
        <v/>
      </c>
      <c r="M381" s="18">
        <f>IF($Z381="","",IF(AND(DATE($AD381,4,1)&gt;=$AE381,DATE($AD381,4,1)&lt;=$AF381),ROUND($AG381,2),0))</f>
        <v/>
      </c>
      <c r="N381" s="18">
        <f>IF($Z381="","",IF(AND(DATE($AD381,5,1)&gt;=$AE381,DATE($AD381,5,1)&lt;=$AF381),ROUND($AG381,2),0))</f>
        <v/>
      </c>
      <c r="O381" s="18">
        <f>IF($Z381="","",IF(AND(DATE($AD381,6,1)&gt;=$AE381,DATE($AD381,6,1)&lt;=$AF381),ROUND($AG381,2),0))</f>
        <v/>
      </c>
      <c r="P381" s="18">
        <f>IF($Z381="","",IF(AND(DATE($AD381,7,1)&gt;=$AE381,DATE($AD381,7,1)&lt;=$AF381),ROUND($AG381,2),0))</f>
        <v/>
      </c>
      <c r="Q381" s="18">
        <f>IF($Z381="","",IF(AND(DATE($AD381,8,1)&gt;=$AE381,DATE($AD381,8,1)&lt;=$AF381),ROUND($AG381,2),0))</f>
        <v/>
      </c>
      <c r="R381" s="18">
        <f>IF($Z381="","",IF(AND(DATE($AD381,9,1)&gt;=$AE381,DATE($AD381,9,1)&lt;=$AF381),ROUND($AG381,2),0))</f>
        <v/>
      </c>
      <c r="S381" s="18">
        <f>IF($Z381="","",IF(AND(DATE($AD381,10,1)&gt;=$AE381,DATE($AD381,10,1)&lt;=$AF381),ROUND($AG381,2),0))</f>
        <v/>
      </c>
      <c r="T381" s="18">
        <f>IF($Z381="","",IF(AND(DATE($AD381,11,1)&gt;=$AE381,DATE($AD381,11,1)&lt;=$AF381),ROUND($AG381,2),0))</f>
        <v/>
      </c>
      <c r="U381" s="18">
        <f>IF($Z381="","",IF(AND(DATE($AD381,12,1)&gt;=$AE381,DATE($AD381,12,1)&lt;=$AF381),ROUND($AG381,2),0))</f>
        <v/>
      </c>
      <c r="V381" s="7">
        <f>IF($Z381="C","Generated from "&amp;INDEX(Contracts!$A$2:$A$151,$AB381),IF($Z381="A","Generated from "&amp;INDEX(Fixed_Assets!$A$2:$A$201,$AB381),IF($Z381="F","Generated from "&amp;INDEX(FTE_Allocation!$A$2:$A$201,$AB381),"")))</f>
        <v/>
      </c>
      <c r="X381" s="19">
        <f>IF($Z381="","",SUM(J381:U381))</f>
        <v/>
      </c>
      <c r="Y381" s="20">
        <f>ROW()-1</f>
        <v/>
      </c>
      <c r="Z381" s="20">
        <f>IF($Y381&lt;=Settings!$B$4*3,"C",IF($Y381&lt;=(Settings!$B$4+Settings!$B$5)*3,"A",IF($Y381&lt;=(Settings!$B$4+Settings!$B$5+Settings!$B$6)*3,"F","")))</f>
        <v/>
      </c>
      <c r="AA381" s="20">
        <f>IF($Z381="C",$Y381,IF($Z381="A",$Y381-Settings!$B$4*3,IF($Z381="F",$Y381-(Settings!$B$4+Settings!$B$5)*3,"")))</f>
        <v/>
      </c>
      <c r="AB381" s="20">
        <f>IF($Z381="","",INT(($AA381-1)/3)+1)</f>
        <v/>
      </c>
      <c r="AC381" s="20">
        <f>IF($Z381="","",MOD($AA381-1,3)+1)</f>
        <v/>
      </c>
      <c r="AD381" s="20">
        <f>IF($Z381="","",Settings!$B$2+$AC381-1)</f>
        <v/>
      </c>
      <c r="AE381" s="21">
        <f>IF($Z381="C",DATE(YEAR(INDEX(Contracts!$J$2:$J$151,$AB381)),MONTH(INDEX(Contracts!$J$2:$J$151,$AB381)),1),IF($Z381="A",DATE(YEAR(INDEX(Fixed_Assets!$G$2:$G$201,$AB381)),MONTH(INDEX(Fixed_Assets!$G$2:$G$201,$AB381)),1),IF($Z381="F",DATE(YEAR(MAX(N(INDEX(Workforce!$I$2:$I$151,MATCH(INDEX(FTE_Allocation!$A$2:$A$201,$AB381),Workforce!$A$2:$A$151,0))),N(INDEX(FTE_Allocation!$I$2:$I$201,$AB381)))),MONTH(MAX(N(INDEX(Workforce!$I$2:$I$151,MATCH(INDEX(FTE_Allocation!$A$2:$A$201,$AB381),Workforce!$A$2:$A$151,0))),N(INDEX(FTE_Allocation!$I$2:$I$201,$AB381)))),1),"")))</f>
        <v/>
      </c>
      <c r="AF381" s="21">
        <f>IF($Z381="C",IF(INDEX(Contracts!$I$2:$I$151,$AB381)="PREPAID",EDATE(DATE(YEAR(INDEX(Contracts!$J$2:$J$151,$AB381)),MONTH(INDEX(Contracts!$J$2:$J$151,$AB381)),1),IF(INDEX(Contracts!$N$2:$N$151,$AB381)="",12,INDEX(Contracts!$N$2:$N$151,$AB381))-1),IF(INDEX(Contracts!$I$2:$I$151,$AB381)="MONTHLY",IF(INDEX(Contracts!$K$2:$K$151,$AB381)="",2958101,INDEX(Contracts!$K$2:$K$151,$AB381)),0)),IF($Z381="A",EDATE(DATE(YEAR(INDEX(Fixed_Assets!$G$2:$G$201,$AB381)),MONTH(INDEX(Fixed_Assets!$G$2:$G$201,$AB381)),1),INDEX(Fixed_Assets!$J$2:$J$201,$AB381)-1),IF($Z381="F",MIN(IF(INDEX(Workforce!$J$2:$J$151,MATCH(INDEX(FTE_Allocation!$A$2:$A$201,$AB381),Workforce!$A$2:$A$151,0))="",2958101,INDEX(Workforce!$J$2:$J$151,MATCH(INDEX(FTE_Allocation!$A$2:$A$201,$AB381),Workforce!$A$2:$A$151,0))),IF(INDEX(FTE_Allocation!$J$2:$J$201,$AB381)="",2958101,INDEX(FTE_Allocation!$J$2:$J$201,$AB381))),"")))</f>
        <v/>
      </c>
      <c r="AG381" s="19">
        <f>IF($Z381="C",IF(INDEX(Contracts!$I$2:$I$151,$AB381)="PREPAID",INDEX(Contracts!$M$2:$M$151,$AB381)/IF(INDEX(Contracts!$N$2:$N$151,$AB381)="",12,INDEX(Contracts!$N$2:$N$151,$AB381)),IF(INDEX(Contracts!$I$2:$I$151,$AB381)="MONTHLY",INDEX(Contracts!$M$2:$M$151,$AB381),0))*(1-N(INDEX(Contracts!$O$2:$O$151,$AB381))),IF($Z381="A",INDEX(Fixed_Assets!$H$2:$H$201,$AB381)/INDEX(Fixed_Assets!$J$2:$J$201,$AB381),IF($Z381="F",INDEX(Workforce!$F$2:$F$151,MATCH(INDEX(FTE_Allocation!$A$2:$A$201,$AB381),Workforce!$A$2:$A$151,0))*N(INDEX(FTE_Allocation!$F$2:$H$201,$AB381,$AC381)),"")))</f>
        <v/>
      </c>
    </row>
    <row r="382">
      <c r="A382" s="7">
        <f>IF($Z382="","",$AD382)</f>
        <v/>
      </c>
      <c r="B382" s="7">
        <f>IF($Z382="C",INDEX(Contracts!$D$2:$D$151,$AB382)&amp;"",IF($Z382="A",INDEX(Fixed_Assets!$C$2:$C$201,$AB382)&amp;"",IF($Z382="F",INDEX(Workforce!$B$2:$B$151,MATCH(INDEX(FTE_Allocation!$A$2:$A$201,$AB382),Workforce!$A$2:$A$151,0))&amp;"","")))</f>
        <v/>
      </c>
      <c r="C382" s="7">
        <f>IF($Z382="C",INDEX(Contracts!$E$2:$E$151,$AB382)&amp;"",IF($Z382="A",INDEX(Fixed_Assets!$D$2:$D$201,$AB382)&amp;"",IF($Z382="F",INDEX(FTE_Allocation!$C$2:$C$201,$AB382)&amp;"","")))</f>
        <v/>
      </c>
      <c r="D382" s="7">
        <f>IF($Z382="C",INDEX(Contracts!$B$2:$B$151,$AB382)&amp;"",IF($Z382="A",INDEX(Fixed_Assets!$B$2:$B$201,$AB382)&amp;"",IF($Z382="F",INDEX(FTE_Allocation!$B$2:$B$201,$AB382)&amp;"","")))</f>
        <v/>
      </c>
      <c r="E382" s="7">
        <f>IF($Z382="C",INDEX(Contracts!$P$2:$P$151,$AB382)&amp;"",IF($Z382="A",INDEX(Fixed_Assets!$K$2:$K$201,$AB382)&amp;"",IF($Z382="F",IF(INDEX(FTE_Allocation!$D$2:$D$201,$AB382)="PROJECT",IFERROR(INDEX(Projects!$D:$D,MATCH(INDEX(FTE_Allocation!$E$2:$E$201,$AB382),Projects!$A:$A,0))&amp;"","#PROJECT?"),INDEX(FTE_Allocation!$E$2:$E$201,$AB382)&amp;""),"")))</f>
        <v/>
      </c>
      <c r="F382" s="7">
        <f>IF($Z382="C",INDEX(Contracts!$Q$2:$Q$151,$AB382)&amp;"",IF($Z382="A",INDEX(Fixed_Assets!$L$2:$L$201,$AB382)&amp;"",IF($Z382="F",INDEX(Workforce!$K$2:$K$151,MATCH(INDEX(FTE_Allocation!$A$2:$A$201,$AB382),Workforce!$A$2:$A$151,0))&amp;"","")))</f>
        <v/>
      </c>
      <c r="G382" s="7">
        <f>IF($Z382="C",INDEX(Contracts!$F$2:$F$151,$AB382)&amp;" / "&amp;INDEX(Contracts!$G$2:$G$151,$AB382),IF($Z382="A",INDEX(Fixed_Assets!$E$2:$E$201,$AB382)&amp;"",IF($Z382="F","Personnel "&amp;INDEX(FTE_Allocation!$A$2:$A$201,$AB382)&amp;IF(INDEX(FTE_Allocation!$D$2:$D$201,$AB382)="PROJECT"," ("&amp;INDEX(FTE_Allocation!$E$2:$E$201,$AB382)&amp;")",""),"")))</f>
        <v/>
      </c>
      <c r="H382" s="7">
        <f>IF($Z382="C","CONTRACT",IF($Z382="A","ASSET",IF($Z382="F","WORKFORCE","")))</f>
        <v/>
      </c>
      <c r="I382" s="7">
        <f>IF($Z382="C",INDEX(Contracts!$L$2:$L$151,$AB382)&amp;"",IF($Z382="A",INDEX(Fixed_Assets!$I$2:$I$201,$AB382)&amp;"",IF($Z382="F",INDEX(Workforce!$G$2:$G$151,MATCH(INDEX(FTE_Allocation!$A$2:$A$201,$AB382),Workforce!$A$2:$A$151,0))&amp;"","")))</f>
        <v/>
      </c>
      <c r="J382" s="18">
        <f>IF($Z382="","",IF(AND(DATE($AD382,1,1)&gt;=$AE382,DATE($AD382,1,1)&lt;=$AF382),ROUND($AG382,2),0))</f>
        <v/>
      </c>
      <c r="K382" s="18">
        <f>IF($Z382="","",IF(AND(DATE($AD382,2,1)&gt;=$AE382,DATE($AD382,2,1)&lt;=$AF382),ROUND($AG382,2),0))</f>
        <v/>
      </c>
      <c r="L382" s="18">
        <f>IF($Z382="","",IF(AND(DATE($AD382,3,1)&gt;=$AE382,DATE($AD382,3,1)&lt;=$AF382),ROUND($AG382,2),0))</f>
        <v/>
      </c>
      <c r="M382" s="18">
        <f>IF($Z382="","",IF(AND(DATE($AD382,4,1)&gt;=$AE382,DATE($AD382,4,1)&lt;=$AF382),ROUND($AG382,2),0))</f>
        <v/>
      </c>
      <c r="N382" s="18">
        <f>IF($Z382="","",IF(AND(DATE($AD382,5,1)&gt;=$AE382,DATE($AD382,5,1)&lt;=$AF382),ROUND($AG382,2),0))</f>
        <v/>
      </c>
      <c r="O382" s="18">
        <f>IF($Z382="","",IF(AND(DATE($AD382,6,1)&gt;=$AE382,DATE($AD382,6,1)&lt;=$AF382),ROUND($AG382,2),0))</f>
        <v/>
      </c>
      <c r="P382" s="18">
        <f>IF($Z382="","",IF(AND(DATE($AD382,7,1)&gt;=$AE382,DATE($AD382,7,1)&lt;=$AF382),ROUND($AG382,2),0))</f>
        <v/>
      </c>
      <c r="Q382" s="18">
        <f>IF($Z382="","",IF(AND(DATE($AD382,8,1)&gt;=$AE382,DATE($AD382,8,1)&lt;=$AF382),ROUND($AG382,2),0))</f>
        <v/>
      </c>
      <c r="R382" s="18">
        <f>IF($Z382="","",IF(AND(DATE($AD382,9,1)&gt;=$AE382,DATE($AD382,9,1)&lt;=$AF382),ROUND($AG382,2),0))</f>
        <v/>
      </c>
      <c r="S382" s="18">
        <f>IF($Z382="","",IF(AND(DATE($AD382,10,1)&gt;=$AE382,DATE($AD382,10,1)&lt;=$AF382),ROUND($AG382,2),0))</f>
        <v/>
      </c>
      <c r="T382" s="18">
        <f>IF($Z382="","",IF(AND(DATE($AD382,11,1)&gt;=$AE382,DATE($AD382,11,1)&lt;=$AF382),ROUND($AG382,2),0))</f>
        <v/>
      </c>
      <c r="U382" s="18">
        <f>IF($Z382="","",IF(AND(DATE($AD382,12,1)&gt;=$AE382,DATE($AD382,12,1)&lt;=$AF382),ROUND($AG382,2),0))</f>
        <v/>
      </c>
      <c r="V382" s="7">
        <f>IF($Z382="C","Generated from "&amp;INDEX(Contracts!$A$2:$A$151,$AB382),IF($Z382="A","Generated from "&amp;INDEX(Fixed_Assets!$A$2:$A$201,$AB382),IF($Z382="F","Generated from "&amp;INDEX(FTE_Allocation!$A$2:$A$201,$AB382),"")))</f>
        <v/>
      </c>
      <c r="X382" s="19">
        <f>IF($Z382="","",SUM(J382:U382))</f>
        <v/>
      </c>
      <c r="Y382" s="20">
        <f>ROW()-1</f>
        <v/>
      </c>
      <c r="Z382" s="20">
        <f>IF($Y382&lt;=Settings!$B$4*3,"C",IF($Y382&lt;=(Settings!$B$4+Settings!$B$5)*3,"A",IF($Y382&lt;=(Settings!$B$4+Settings!$B$5+Settings!$B$6)*3,"F","")))</f>
        <v/>
      </c>
      <c r="AA382" s="20">
        <f>IF($Z382="C",$Y382,IF($Z382="A",$Y382-Settings!$B$4*3,IF($Z382="F",$Y382-(Settings!$B$4+Settings!$B$5)*3,"")))</f>
        <v/>
      </c>
      <c r="AB382" s="20">
        <f>IF($Z382="","",INT(($AA382-1)/3)+1)</f>
        <v/>
      </c>
      <c r="AC382" s="20">
        <f>IF($Z382="","",MOD($AA382-1,3)+1)</f>
        <v/>
      </c>
      <c r="AD382" s="20">
        <f>IF($Z382="","",Settings!$B$2+$AC382-1)</f>
        <v/>
      </c>
      <c r="AE382" s="21">
        <f>IF($Z382="C",DATE(YEAR(INDEX(Contracts!$J$2:$J$151,$AB382)),MONTH(INDEX(Contracts!$J$2:$J$151,$AB382)),1),IF($Z382="A",DATE(YEAR(INDEX(Fixed_Assets!$G$2:$G$201,$AB382)),MONTH(INDEX(Fixed_Assets!$G$2:$G$201,$AB382)),1),IF($Z382="F",DATE(YEAR(MAX(N(INDEX(Workforce!$I$2:$I$151,MATCH(INDEX(FTE_Allocation!$A$2:$A$201,$AB382),Workforce!$A$2:$A$151,0))),N(INDEX(FTE_Allocation!$I$2:$I$201,$AB382)))),MONTH(MAX(N(INDEX(Workforce!$I$2:$I$151,MATCH(INDEX(FTE_Allocation!$A$2:$A$201,$AB382),Workforce!$A$2:$A$151,0))),N(INDEX(FTE_Allocation!$I$2:$I$201,$AB382)))),1),"")))</f>
        <v/>
      </c>
      <c r="AF382" s="21">
        <f>IF($Z382="C",IF(INDEX(Contracts!$I$2:$I$151,$AB382)="PREPAID",EDATE(DATE(YEAR(INDEX(Contracts!$J$2:$J$151,$AB382)),MONTH(INDEX(Contracts!$J$2:$J$151,$AB382)),1),IF(INDEX(Contracts!$N$2:$N$151,$AB382)="",12,INDEX(Contracts!$N$2:$N$151,$AB382))-1),IF(INDEX(Contracts!$I$2:$I$151,$AB382)="MONTHLY",IF(INDEX(Contracts!$K$2:$K$151,$AB382)="",2958101,INDEX(Contracts!$K$2:$K$151,$AB382)),0)),IF($Z382="A",EDATE(DATE(YEAR(INDEX(Fixed_Assets!$G$2:$G$201,$AB382)),MONTH(INDEX(Fixed_Assets!$G$2:$G$201,$AB382)),1),INDEX(Fixed_Assets!$J$2:$J$201,$AB382)-1),IF($Z382="F",MIN(IF(INDEX(Workforce!$J$2:$J$151,MATCH(INDEX(FTE_Allocation!$A$2:$A$201,$AB382),Workforce!$A$2:$A$151,0))="",2958101,INDEX(Workforce!$J$2:$J$151,MATCH(INDEX(FTE_Allocation!$A$2:$A$201,$AB382),Workforce!$A$2:$A$151,0))),IF(INDEX(FTE_Allocation!$J$2:$J$201,$AB382)="",2958101,INDEX(FTE_Allocation!$J$2:$J$201,$AB382))),"")))</f>
        <v/>
      </c>
      <c r="AG382" s="19">
        <f>IF($Z382="C",IF(INDEX(Contracts!$I$2:$I$151,$AB382)="PREPAID",INDEX(Contracts!$M$2:$M$151,$AB382)/IF(INDEX(Contracts!$N$2:$N$151,$AB382)="",12,INDEX(Contracts!$N$2:$N$151,$AB382)),IF(INDEX(Contracts!$I$2:$I$151,$AB382)="MONTHLY",INDEX(Contracts!$M$2:$M$151,$AB382),0))*(1-N(INDEX(Contracts!$O$2:$O$151,$AB382))),IF($Z382="A",INDEX(Fixed_Assets!$H$2:$H$201,$AB382)/INDEX(Fixed_Assets!$J$2:$J$201,$AB382),IF($Z382="F",INDEX(Workforce!$F$2:$F$151,MATCH(INDEX(FTE_Allocation!$A$2:$A$201,$AB382),Workforce!$A$2:$A$151,0))*N(INDEX(FTE_Allocation!$F$2:$H$201,$AB382,$AC382)),"")))</f>
        <v/>
      </c>
    </row>
    <row r="383">
      <c r="A383" s="7">
        <f>IF($Z383="","",$AD383)</f>
        <v/>
      </c>
      <c r="B383" s="7">
        <f>IF($Z383="C",INDEX(Contracts!$D$2:$D$151,$AB383)&amp;"",IF($Z383="A",INDEX(Fixed_Assets!$C$2:$C$201,$AB383)&amp;"",IF($Z383="F",INDEX(Workforce!$B$2:$B$151,MATCH(INDEX(FTE_Allocation!$A$2:$A$201,$AB383),Workforce!$A$2:$A$151,0))&amp;"","")))</f>
        <v/>
      </c>
      <c r="C383" s="7">
        <f>IF($Z383="C",INDEX(Contracts!$E$2:$E$151,$AB383)&amp;"",IF($Z383="A",INDEX(Fixed_Assets!$D$2:$D$201,$AB383)&amp;"",IF($Z383="F",INDEX(FTE_Allocation!$C$2:$C$201,$AB383)&amp;"","")))</f>
        <v/>
      </c>
      <c r="D383" s="7">
        <f>IF($Z383="C",INDEX(Contracts!$B$2:$B$151,$AB383)&amp;"",IF($Z383="A",INDEX(Fixed_Assets!$B$2:$B$201,$AB383)&amp;"",IF($Z383="F",INDEX(FTE_Allocation!$B$2:$B$201,$AB383)&amp;"","")))</f>
        <v/>
      </c>
      <c r="E383" s="7">
        <f>IF($Z383="C",INDEX(Contracts!$P$2:$P$151,$AB383)&amp;"",IF($Z383="A",INDEX(Fixed_Assets!$K$2:$K$201,$AB383)&amp;"",IF($Z383="F",IF(INDEX(FTE_Allocation!$D$2:$D$201,$AB383)="PROJECT",IFERROR(INDEX(Projects!$D:$D,MATCH(INDEX(FTE_Allocation!$E$2:$E$201,$AB383),Projects!$A:$A,0))&amp;"","#PROJECT?"),INDEX(FTE_Allocation!$E$2:$E$201,$AB383)&amp;""),"")))</f>
        <v/>
      </c>
      <c r="F383" s="7">
        <f>IF($Z383="C",INDEX(Contracts!$Q$2:$Q$151,$AB383)&amp;"",IF($Z383="A",INDEX(Fixed_Assets!$L$2:$L$201,$AB383)&amp;"",IF($Z383="F",INDEX(Workforce!$K$2:$K$151,MATCH(INDEX(FTE_Allocation!$A$2:$A$201,$AB383),Workforce!$A$2:$A$151,0))&amp;"","")))</f>
        <v/>
      </c>
      <c r="G383" s="7">
        <f>IF($Z383="C",INDEX(Contracts!$F$2:$F$151,$AB383)&amp;" / "&amp;INDEX(Contracts!$G$2:$G$151,$AB383),IF($Z383="A",INDEX(Fixed_Assets!$E$2:$E$201,$AB383)&amp;"",IF($Z383="F","Personnel "&amp;INDEX(FTE_Allocation!$A$2:$A$201,$AB383)&amp;IF(INDEX(FTE_Allocation!$D$2:$D$201,$AB383)="PROJECT"," ("&amp;INDEX(FTE_Allocation!$E$2:$E$201,$AB383)&amp;")",""),"")))</f>
        <v/>
      </c>
      <c r="H383" s="7">
        <f>IF($Z383="C","CONTRACT",IF($Z383="A","ASSET",IF($Z383="F","WORKFORCE","")))</f>
        <v/>
      </c>
      <c r="I383" s="7">
        <f>IF($Z383="C",INDEX(Contracts!$L$2:$L$151,$AB383)&amp;"",IF($Z383="A",INDEX(Fixed_Assets!$I$2:$I$201,$AB383)&amp;"",IF($Z383="F",INDEX(Workforce!$G$2:$G$151,MATCH(INDEX(FTE_Allocation!$A$2:$A$201,$AB383),Workforce!$A$2:$A$151,0))&amp;"","")))</f>
        <v/>
      </c>
      <c r="J383" s="18">
        <f>IF($Z383="","",IF(AND(DATE($AD383,1,1)&gt;=$AE383,DATE($AD383,1,1)&lt;=$AF383),ROUND($AG383,2),0))</f>
        <v/>
      </c>
      <c r="K383" s="18">
        <f>IF($Z383="","",IF(AND(DATE($AD383,2,1)&gt;=$AE383,DATE($AD383,2,1)&lt;=$AF383),ROUND($AG383,2),0))</f>
        <v/>
      </c>
      <c r="L383" s="18">
        <f>IF($Z383="","",IF(AND(DATE($AD383,3,1)&gt;=$AE383,DATE($AD383,3,1)&lt;=$AF383),ROUND($AG383,2),0))</f>
        <v/>
      </c>
      <c r="M383" s="18">
        <f>IF($Z383="","",IF(AND(DATE($AD383,4,1)&gt;=$AE383,DATE($AD383,4,1)&lt;=$AF383),ROUND($AG383,2),0))</f>
        <v/>
      </c>
      <c r="N383" s="18">
        <f>IF($Z383="","",IF(AND(DATE($AD383,5,1)&gt;=$AE383,DATE($AD383,5,1)&lt;=$AF383),ROUND($AG383,2),0))</f>
        <v/>
      </c>
      <c r="O383" s="18">
        <f>IF($Z383="","",IF(AND(DATE($AD383,6,1)&gt;=$AE383,DATE($AD383,6,1)&lt;=$AF383),ROUND($AG383,2),0))</f>
        <v/>
      </c>
      <c r="P383" s="18">
        <f>IF($Z383="","",IF(AND(DATE($AD383,7,1)&gt;=$AE383,DATE($AD383,7,1)&lt;=$AF383),ROUND($AG383,2),0))</f>
        <v/>
      </c>
      <c r="Q383" s="18">
        <f>IF($Z383="","",IF(AND(DATE($AD383,8,1)&gt;=$AE383,DATE($AD383,8,1)&lt;=$AF383),ROUND($AG383,2),0))</f>
        <v/>
      </c>
      <c r="R383" s="18">
        <f>IF($Z383="","",IF(AND(DATE($AD383,9,1)&gt;=$AE383,DATE($AD383,9,1)&lt;=$AF383),ROUND($AG383,2),0))</f>
        <v/>
      </c>
      <c r="S383" s="18">
        <f>IF($Z383="","",IF(AND(DATE($AD383,10,1)&gt;=$AE383,DATE($AD383,10,1)&lt;=$AF383),ROUND($AG383,2),0))</f>
        <v/>
      </c>
      <c r="T383" s="18">
        <f>IF($Z383="","",IF(AND(DATE($AD383,11,1)&gt;=$AE383,DATE($AD383,11,1)&lt;=$AF383),ROUND($AG383,2),0))</f>
        <v/>
      </c>
      <c r="U383" s="18">
        <f>IF($Z383="","",IF(AND(DATE($AD383,12,1)&gt;=$AE383,DATE($AD383,12,1)&lt;=$AF383),ROUND($AG383,2),0))</f>
        <v/>
      </c>
      <c r="V383" s="7">
        <f>IF($Z383="C","Generated from "&amp;INDEX(Contracts!$A$2:$A$151,$AB383),IF($Z383="A","Generated from "&amp;INDEX(Fixed_Assets!$A$2:$A$201,$AB383),IF($Z383="F","Generated from "&amp;INDEX(FTE_Allocation!$A$2:$A$201,$AB383),"")))</f>
        <v/>
      </c>
      <c r="X383" s="19">
        <f>IF($Z383="","",SUM(J383:U383))</f>
        <v/>
      </c>
      <c r="Y383" s="20">
        <f>ROW()-1</f>
        <v/>
      </c>
      <c r="Z383" s="20">
        <f>IF($Y383&lt;=Settings!$B$4*3,"C",IF($Y383&lt;=(Settings!$B$4+Settings!$B$5)*3,"A",IF($Y383&lt;=(Settings!$B$4+Settings!$B$5+Settings!$B$6)*3,"F","")))</f>
        <v/>
      </c>
      <c r="AA383" s="20">
        <f>IF($Z383="C",$Y383,IF($Z383="A",$Y383-Settings!$B$4*3,IF($Z383="F",$Y383-(Settings!$B$4+Settings!$B$5)*3,"")))</f>
        <v/>
      </c>
      <c r="AB383" s="20">
        <f>IF($Z383="","",INT(($AA383-1)/3)+1)</f>
        <v/>
      </c>
      <c r="AC383" s="20">
        <f>IF($Z383="","",MOD($AA383-1,3)+1)</f>
        <v/>
      </c>
      <c r="AD383" s="20">
        <f>IF($Z383="","",Settings!$B$2+$AC383-1)</f>
        <v/>
      </c>
      <c r="AE383" s="21">
        <f>IF($Z383="C",DATE(YEAR(INDEX(Contracts!$J$2:$J$151,$AB383)),MONTH(INDEX(Contracts!$J$2:$J$151,$AB383)),1),IF($Z383="A",DATE(YEAR(INDEX(Fixed_Assets!$G$2:$G$201,$AB383)),MONTH(INDEX(Fixed_Assets!$G$2:$G$201,$AB383)),1),IF($Z383="F",DATE(YEAR(MAX(N(INDEX(Workforce!$I$2:$I$151,MATCH(INDEX(FTE_Allocation!$A$2:$A$201,$AB383),Workforce!$A$2:$A$151,0))),N(INDEX(FTE_Allocation!$I$2:$I$201,$AB383)))),MONTH(MAX(N(INDEX(Workforce!$I$2:$I$151,MATCH(INDEX(FTE_Allocation!$A$2:$A$201,$AB383),Workforce!$A$2:$A$151,0))),N(INDEX(FTE_Allocation!$I$2:$I$201,$AB383)))),1),"")))</f>
        <v/>
      </c>
      <c r="AF383" s="21">
        <f>IF($Z383="C",IF(INDEX(Contracts!$I$2:$I$151,$AB383)="PREPAID",EDATE(DATE(YEAR(INDEX(Contracts!$J$2:$J$151,$AB383)),MONTH(INDEX(Contracts!$J$2:$J$151,$AB383)),1),IF(INDEX(Contracts!$N$2:$N$151,$AB383)="",12,INDEX(Contracts!$N$2:$N$151,$AB383))-1),IF(INDEX(Contracts!$I$2:$I$151,$AB383)="MONTHLY",IF(INDEX(Contracts!$K$2:$K$151,$AB383)="",2958101,INDEX(Contracts!$K$2:$K$151,$AB383)),0)),IF($Z383="A",EDATE(DATE(YEAR(INDEX(Fixed_Assets!$G$2:$G$201,$AB383)),MONTH(INDEX(Fixed_Assets!$G$2:$G$201,$AB383)),1),INDEX(Fixed_Assets!$J$2:$J$201,$AB383)-1),IF($Z383="F",MIN(IF(INDEX(Workforce!$J$2:$J$151,MATCH(INDEX(FTE_Allocation!$A$2:$A$201,$AB383),Workforce!$A$2:$A$151,0))="",2958101,INDEX(Workforce!$J$2:$J$151,MATCH(INDEX(FTE_Allocation!$A$2:$A$201,$AB383),Workforce!$A$2:$A$151,0))),IF(INDEX(FTE_Allocation!$J$2:$J$201,$AB383)="",2958101,INDEX(FTE_Allocation!$J$2:$J$201,$AB383))),"")))</f>
        <v/>
      </c>
      <c r="AG383" s="19">
        <f>IF($Z383="C",IF(INDEX(Contracts!$I$2:$I$151,$AB383)="PREPAID",INDEX(Contracts!$M$2:$M$151,$AB383)/IF(INDEX(Contracts!$N$2:$N$151,$AB383)="",12,INDEX(Contracts!$N$2:$N$151,$AB383)),IF(INDEX(Contracts!$I$2:$I$151,$AB383)="MONTHLY",INDEX(Contracts!$M$2:$M$151,$AB383),0))*(1-N(INDEX(Contracts!$O$2:$O$151,$AB383))),IF($Z383="A",INDEX(Fixed_Assets!$H$2:$H$201,$AB383)/INDEX(Fixed_Assets!$J$2:$J$201,$AB383),IF($Z383="F",INDEX(Workforce!$F$2:$F$151,MATCH(INDEX(FTE_Allocation!$A$2:$A$201,$AB383),Workforce!$A$2:$A$151,0))*N(INDEX(FTE_Allocation!$F$2:$H$201,$AB383,$AC383)),"")))</f>
        <v/>
      </c>
    </row>
    <row r="384">
      <c r="A384" s="7">
        <f>IF($Z384="","",$AD384)</f>
        <v/>
      </c>
      <c r="B384" s="7">
        <f>IF($Z384="C",INDEX(Contracts!$D$2:$D$151,$AB384)&amp;"",IF($Z384="A",INDEX(Fixed_Assets!$C$2:$C$201,$AB384)&amp;"",IF($Z384="F",INDEX(Workforce!$B$2:$B$151,MATCH(INDEX(FTE_Allocation!$A$2:$A$201,$AB384),Workforce!$A$2:$A$151,0))&amp;"","")))</f>
        <v/>
      </c>
      <c r="C384" s="7">
        <f>IF($Z384="C",INDEX(Contracts!$E$2:$E$151,$AB384)&amp;"",IF($Z384="A",INDEX(Fixed_Assets!$D$2:$D$201,$AB384)&amp;"",IF($Z384="F",INDEX(FTE_Allocation!$C$2:$C$201,$AB384)&amp;"","")))</f>
        <v/>
      </c>
      <c r="D384" s="7">
        <f>IF($Z384="C",INDEX(Contracts!$B$2:$B$151,$AB384)&amp;"",IF($Z384="A",INDEX(Fixed_Assets!$B$2:$B$201,$AB384)&amp;"",IF($Z384="F",INDEX(FTE_Allocation!$B$2:$B$201,$AB384)&amp;"","")))</f>
        <v/>
      </c>
      <c r="E384" s="7">
        <f>IF($Z384="C",INDEX(Contracts!$P$2:$P$151,$AB384)&amp;"",IF($Z384="A",INDEX(Fixed_Assets!$K$2:$K$201,$AB384)&amp;"",IF($Z384="F",IF(INDEX(FTE_Allocation!$D$2:$D$201,$AB384)="PROJECT",IFERROR(INDEX(Projects!$D:$D,MATCH(INDEX(FTE_Allocation!$E$2:$E$201,$AB384),Projects!$A:$A,0))&amp;"","#PROJECT?"),INDEX(FTE_Allocation!$E$2:$E$201,$AB384)&amp;""),"")))</f>
        <v/>
      </c>
      <c r="F384" s="7">
        <f>IF($Z384="C",INDEX(Contracts!$Q$2:$Q$151,$AB384)&amp;"",IF($Z384="A",INDEX(Fixed_Assets!$L$2:$L$201,$AB384)&amp;"",IF($Z384="F",INDEX(Workforce!$K$2:$K$151,MATCH(INDEX(FTE_Allocation!$A$2:$A$201,$AB384),Workforce!$A$2:$A$151,0))&amp;"","")))</f>
        <v/>
      </c>
      <c r="G384" s="7">
        <f>IF($Z384="C",INDEX(Contracts!$F$2:$F$151,$AB384)&amp;" / "&amp;INDEX(Contracts!$G$2:$G$151,$AB384),IF($Z384="A",INDEX(Fixed_Assets!$E$2:$E$201,$AB384)&amp;"",IF($Z384="F","Personnel "&amp;INDEX(FTE_Allocation!$A$2:$A$201,$AB384)&amp;IF(INDEX(FTE_Allocation!$D$2:$D$201,$AB384)="PROJECT"," ("&amp;INDEX(FTE_Allocation!$E$2:$E$201,$AB384)&amp;")",""),"")))</f>
        <v/>
      </c>
      <c r="H384" s="7">
        <f>IF($Z384="C","CONTRACT",IF($Z384="A","ASSET",IF($Z384="F","WORKFORCE","")))</f>
        <v/>
      </c>
      <c r="I384" s="7">
        <f>IF($Z384="C",INDEX(Contracts!$L$2:$L$151,$AB384)&amp;"",IF($Z384="A",INDEX(Fixed_Assets!$I$2:$I$201,$AB384)&amp;"",IF($Z384="F",INDEX(Workforce!$G$2:$G$151,MATCH(INDEX(FTE_Allocation!$A$2:$A$201,$AB384),Workforce!$A$2:$A$151,0))&amp;"","")))</f>
        <v/>
      </c>
      <c r="J384" s="18">
        <f>IF($Z384="","",IF(AND(DATE($AD384,1,1)&gt;=$AE384,DATE($AD384,1,1)&lt;=$AF384),ROUND($AG384,2),0))</f>
        <v/>
      </c>
      <c r="K384" s="18">
        <f>IF($Z384="","",IF(AND(DATE($AD384,2,1)&gt;=$AE384,DATE($AD384,2,1)&lt;=$AF384),ROUND($AG384,2),0))</f>
        <v/>
      </c>
      <c r="L384" s="18">
        <f>IF($Z384="","",IF(AND(DATE($AD384,3,1)&gt;=$AE384,DATE($AD384,3,1)&lt;=$AF384),ROUND($AG384,2),0))</f>
        <v/>
      </c>
      <c r="M384" s="18">
        <f>IF($Z384="","",IF(AND(DATE($AD384,4,1)&gt;=$AE384,DATE($AD384,4,1)&lt;=$AF384),ROUND($AG384,2),0))</f>
        <v/>
      </c>
      <c r="N384" s="18">
        <f>IF($Z384="","",IF(AND(DATE($AD384,5,1)&gt;=$AE384,DATE($AD384,5,1)&lt;=$AF384),ROUND($AG384,2),0))</f>
        <v/>
      </c>
      <c r="O384" s="18">
        <f>IF($Z384="","",IF(AND(DATE($AD384,6,1)&gt;=$AE384,DATE($AD384,6,1)&lt;=$AF384),ROUND($AG384,2),0))</f>
        <v/>
      </c>
      <c r="P384" s="18">
        <f>IF($Z384="","",IF(AND(DATE($AD384,7,1)&gt;=$AE384,DATE($AD384,7,1)&lt;=$AF384),ROUND($AG384,2),0))</f>
        <v/>
      </c>
      <c r="Q384" s="18">
        <f>IF($Z384="","",IF(AND(DATE($AD384,8,1)&gt;=$AE384,DATE($AD384,8,1)&lt;=$AF384),ROUND($AG384,2),0))</f>
        <v/>
      </c>
      <c r="R384" s="18">
        <f>IF($Z384="","",IF(AND(DATE($AD384,9,1)&gt;=$AE384,DATE($AD384,9,1)&lt;=$AF384),ROUND($AG384,2),0))</f>
        <v/>
      </c>
      <c r="S384" s="18">
        <f>IF($Z384="","",IF(AND(DATE($AD384,10,1)&gt;=$AE384,DATE($AD384,10,1)&lt;=$AF384),ROUND($AG384,2),0))</f>
        <v/>
      </c>
      <c r="T384" s="18">
        <f>IF($Z384="","",IF(AND(DATE($AD384,11,1)&gt;=$AE384,DATE($AD384,11,1)&lt;=$AF384),ROUND($AG384,2),0))</f>
        <v/>
      </c>
      <c r="U384" s="18">
        <f>IF($Z384="","",IF(AND(DATE($AD384,12,1)&gt;=$AE384,DATE($AD384,12,1)&lt;=$AF384),ROUND($AG384,2),0))</f>
        <v/>
      </c>
      <c r="V384" s="7">
        <f>IF($Z384="C","Generated from "&amp;INDEX(Contracts!$A$2:$A$151,$AB384),IF($Z384="A","Generated from "&amp;INDEX(Fixed_Assets!$A$2:$A$201,$AB384),IF($Z384="F","Generated from "&amp;INDEX(FTE_Allocation!$A$2:$A$201,$AB384),"")))</f>
        <v/>
      </c>
      <c r="X384" s="19">
        <f>IF($Z384="","",SUM(J384:U384))</f>
        <v/>
      </c>
      <c r="Y384" s="20">
        <f>ROW()-1</f>
        <v/>
      </c>
      <c r="Z384" s="20">
        <f>IF($Y384&lt;=Settings!$B$4*3,"C",IF($Y384&lt;=(Settings!$B$4+Settings!$B$5)*3,"A",IF($Y384&lt;=(Settings!$B$4+Settings!$B$5+Settings!$B$6)*3,"F","")))</f>
        <v/>
      </c>
      <c r="AA384" s="20">
        <f>IF($Z384="C",$Y384,IF($Z384="A",$Y384-Settings!$B$4*3,IF($Z384="F",$Y384-(Settings!$B$4+Settings!$B$5)*3,"")))</f>
        <v/>
      </c>
      <c r="AB384" s="20">
        <f>IF($Z384="","",INT(($AA384-1)/3)+1)</f>
        <v/>
      </c>
      <c r="AC384" s="20">
        <f>IF($Z384="","",MOD($AA384-1,3)+1)</f>
        <v/>
      </c>
      <c r="AD384" s="20">
        <f>IF($Z384="","",Settings!$B$2+$AC384-1)</f>
        <v/>
      </c>
      <c r="AE384" s="21">
        <f>IF($Z384="C",DATE(YEAR(INDEX(Contracts!$J$2:$J$151,$AB384)),MONTH(INDEX(Contracts!$J$2:$J$151,$AB384)),1),IF($Z384="A",DATE(YEAR(INDEX(Fixed_Assets!$G$2:$G$201,$AB384)),MONTH(INDEX(Fixed_Assets!$G$2:$G$201,$AB384)),1),IF($Z384="F",DATE(YEAR(MAX(N(INDEX(Workforce!$I$2:$I$151,MATCH(INDEX(FTE_Allocation!$A$2:$A$201,$AB384),Workforce!$A$2:$A$151,0))),N(INDEX(FTE_Allocation!$I$2:$I$201,$AB384)))),MONTH(MAX(N(INDEX(Workforce!$I$2:$I$151,MATCH(INDEX(FTE_Allocation!$A$2:$A$201,$AB384),Workforce!$A$2:$A$151,0))),N(INDEX(FTE_Allocation!$I$2:$I$201,$AB384)))),1),"")))</f>
        <v/>
      </c>
      <c r="AF384" s="21">
        <f>IF($Z384="C",IF(INDEX(Contracts!$I$2:$I$151,$AB384)="PREPAID",EDATE(DATE(YEAR(INDEX(Contracts!$J$2:$J$151,$AB384)),MONTH(INDEX(Contracts!$J$2:$J$151,$AB384)),1),IF(INDEX(Contracts!$N$2:$N$151,$AB384)="",12,INDEX(Contracts!$N$2:$N$151,$AB384))-1),IF(INDEX(Contracts!$I$2:$I$151,$AB384)="MONTHLY",IF(INDEX(Contracts!$K$2:$K$151,$AB384)="",2958101,INDEX(Contracts!$K$2:$K$151,$AB384)),0)),IF($Z384="A",EDATE(DATE(YEAR(INDEX(Fixed_Assets!$G$2:$G$201,$AB384)),MONTH(INDEX(Fixed_Assets!$G$2:$G$201,$AB384)),1),INDEX(Fixed_Assets!$J$2:$J$201,$AB384)-1),IF($Z384="F",MIN(IF(INDEX(Workforce!$J$2:$J$151,MATCH(INDEX(FTE_Allocation!$A$2:$A$201,$AB384),Workforce!$A$2:$A$151,0))="",2958101,INDEX(Workforce!$J$2:$J$151,MATCH(INDEX(FTE_Allocation!$A$2:$A$201,$AB384),Workforce!$A$2:$A$151,0))),IF(INDEX(FTE_Allocation!$J$2:$J$201,$AB384)="",2958101,INDEX(FTE_Allocation!$J$2:$J$201,$AB384))),"")))</f>
        <v/>
      </c>
      <c r="AG384" s="19">
        <f>IF($Z384="C",IF(INDEX(Contracts!$I$2:$I$151,$AB384)="PREPAID",INDEX(Contracts!$M$2:$M$151,$AB384)/IF(INDEX(Contracts!$N$2:$N$151,$AB384)="",12,INDEX(Contracts!$N$2:$N$151,$AB384)),IF(INDEX(Contracts!$I$2:$I$151,$AB384)="MONTHLY",INDEX(Contracts!$M$2:$M$151,$AB384),0))*(1-N(INDEX(Contracts!$O$2:$O$151,$AB384))),IF($Z384="A",INDEX(Fixed_Assets!$H$2:$H$201,$AB384)/INDEX(Fixed_Assets!$J$2:$J$201,$AB384),IF($Z384="F",INDEX(Workforce!$F$2:$F$151,MATCH(INDEX(FTE_Allocation!$A$2:$A$201,$AB384),Workforce!$A$2:$A$151,0))*N(INDEX(FTE_Allocation!$F$2:$H$201,$AB384,$AC384)),"")))</f>
        <v/>
      </c>
    </row>
    <row r="385">
      <c r="A385" s="7">
        <f>IF($Z385="","",$AD385)</f>
        <v/>
      </c>
      <c r="B385" s="7">
        <f>IF($Z385="C",INDEX(Contracts!$D$2:$D$151,$AB385)&amp;"",IF($Z385="A",INDEX(Fixed_Assets!$C$2:$C$201,$AB385)&amp;"",IF($Z385="F",INDEX(Workforce!$B$2:$B$151,MATCH(INDEX(FTE_Allocation!$A$2:$A$201,$AB385),Workforce!$A$2:$A$151,0))&amp;"","")))</f>
        <v/>
      </c>
      <c r="C385" s="7">
        <f>IF($Z385="C",INDEX(Contracts!$E$2:$E$151,$AB385)&amp;"",IF($Z385="A",INDEX(Fixed_Assets!$D$2:$D$201,$AB385)&amp;"",IF($Z385="F",INDEX(FTE_Allocation!$C$2:$C$201,$AB385)&amp;"","")))</f>
        <v/>
      </c>
      <c r="D385" s="7">
        <f>IF($Z385="C",INDEX(Contracts!$B$2:$B$151,$AB385)&amp;"",IF($Z385="A",INDEX(Fixed_Assets!$B$2:$B$201,$AB385)&amp;"",IF($Z385="F",INDEX(FTE_Allocation!$B$2:$B$201,$AB385)&amp;"","")))</f>
        <v/>
      </c>
      <c r="E385" s="7">
        <f>IF($Z385="C",INDEX(Contracts!$P$2:$P$151,$AB385)&amp;"",IF($Z385="A",INDEX(Fixed_Assets!$K$2:$K$201,$AB385)&amp;"",IF($Z385="F",IF(INDEX(FTE_Allocation!$D$2:$D$201,$AB385)="PROJECT",IFERROR(INDEX(Projects!$D:$D,MATCH(INDEX(FTE_Allocation!$E$2:$E$201,$AB385),Projects!$A:$A,0))&amp;"","#PROJECT?"),INDEX(FTE_Allocation!$E$2:$E$201,$AB385)&amp;""),"")))</f>
        <v/>
      </c>
      <c r="F385" s="7">
        <f>IF($Z385="C",INDEX(Contracts!$Q$2:$Q$151,$AB385)&amp;"",IF($Z385="A",INDEX(Fixed_Assets!$L$2:$L$201,$AB385)&amp;"",IF($Z385="F",INDEX(Workforce!$K$2:$K$151,MATCH(INDEX(FTE_Allocation!$A$2:$A$201,$AB385),Workforce!$A$2:$A$151,0))&amp;"","")))</f>
        <v/>
      </c>
      <c r="G385" s="7">
        <f>IF($Z385="C",INDEX(Contracts!$F$2:$F$151,$AB385)&amp;" / "&amp;INDEX(Contracts!$G$2:$G$151,$AB385),IF($Z385="A",INDEX(Fixed_Assets!$E$2:$E$201,$AB385)&amp;"",IF($Z385="F","Personnel "&amp;INDEX(FTE_Allocation!$A$2:$A$201,$AB385)&amp;IF(INDEX(FTE_Allocation!$D$2:$D$201,$AB385)="PROJECT"," ("&amp;INDEX(FTE_Allocation!$E$2:$E$201,$AB385)&amp;")",""),"")))</f>
        <v/>
      </c>
      <c r="H385" s="7">
        <f>IF($Z385="C","CONTRACT",IF($Z385="A","ASSET",IF($Z385="F","WORKFORCE","")))</f>
        <v/>
      </c>
      <c r="I385" s="7">
        <f>IF($Z385="C",INDEX(Contracts!$L$2:$L$151,$AB385)&amp;"",IF($Z385="A",INDEX(Fixed_Assets!$I$2:$I$201,$AB385)&amp;"",IF($Z385="F",INDEX(Workforce!$G$2:$G$151,MATCH(INDEX(FTE_Allocation!$A$2:$A$201,$AB385),Workforce!$A$2:$A$151,0))&amp;"","")))</f>
        <v/>
      </c>
      <c r="J385" s="18">
        <f>IF($Z385="","",IF(AND(DATE($AD385,1,1)&gt;=$AE385,DATE($AD385,1,1)&lt;=$AF385),ROUND($AG385,2),0))</f>
        <v/>
      </c>
      <c r="K385" s="18">
        <f>IF($Z385="","",IF(AND(DATE($AD385,2,1)&gt;=$AE385,DATE($AD385,2,1)&lt;=$AF385),ROUND($AG385,2),0))</f>
        <v/>
      </c>
      <c r="L385" s="18">
        <f>IF($Z385="","",IF(AND(DATE($AD385,3,1)&gt;=$AE385,DATE($AD385,3,1)&lt;=$AF385),ROUND($AG385,2),0))</f>
        <v/>
      </c>
      <c r="M385" s="18">
        <f>IF($Z385="","",IF(AND(DATE($AD385,4,1)&gt;=$AE385,DATE($AD385,4,1)&lt;=$AF385),ROUND($AG385,2),0))</f>
        <v/>
      </c>
      <c r="N385" s="18">
        <f>IF($Z385="","",IF(AND(DATE($AD385,5,1)&gt;=$AE385,DATE($AD385,5,1)&lt;=$AF385),ROUND($AG385,2),0))</f>
        <v/>
      </c>
      <c r="O385" s="18">
        <f>IF($Z385="","",IF(AND(DATE($AD385,6,1)&gt;=$AE385,DATE($AD385,6,1)&lt;=$AF385),ROUND($AG385,2),0))</f>
        <v/>
      </c>
      <c r="P385" s="18">
        <f>IF($Z385="","",IF(AND(DATE($AD385,7,1)&gt;=$AE385,DATE($AD385,7,1)&lt;=$AF385),ROUND($AG385,2),0))</f>
        <v/>
      </c>
      <c r="Q385" s="18">
        <f>IF($Z385="","",IF(AND(DATE($AD385,8,1)&gt;=$AE385,DATE($AD385,8,1)&lt;=$AF385),ROUND($AG385,2),0))</f>
        <v/>
      </c>
      <c r="R385" s="18">
        <f>IF($Z385="","",IF(AND(DATE($AD385,9,1)&gt;=$AE385,DATE($AD385,9,1)&lt;=$AF385),ROUND($AG385,2),0))</f>
        <v/>
      </c>
      <c r="S385" s="18">
        <f>IF($Z385="","",IF(AND(DATE($AD385,10,1)&gt;=$AE385,DATE($AD385,10,1)&lt;=$AF385),ROUND($AG385,2),0))</f>
        <v/>
      </c>
      <c r="T385" s="18">
        <f>IF($Z385="","",IF(AND(DATE($AD385,11,1)&gt;=$AE385,DATE($AD385,11,1)&lt;=$AF385),ROUND($AG385,2),0))</f>
        <v/>
      </c>
      <c r="U385" s="18">
        <f>IF($Z385="","",IF(AND(DATE($AD385,12,1)&gt;=$AE385,DATE($AD385,12,1)&lt;=$AF385),ROUND($AG385,2),0))</f>
        <v/>
      </c>
      <c r="V385" s="7">
        <f>IF($Z385="C","Generated from "&amp;INDEX(Contracts!$A$2:$A$151,$AB385),IF($Z385="A","Generated from "&amp;INDEX(Fixed_Assets!$A$2:$A$201,$AB385),IF($Z385="F","Generated from "&amp;INDEX(FTE_Allocation!$A$2:$A$201,$AB385),"")))</f>
        <v/>
      </c>
      <c r="X385" s="19">
        <f>IF($Z385="","",SUM(J385:U385))</f>
        <v/>
      </c>
      <c r="Y385" s="20">
        <f>ROW()-1</f>
        <v/>
      </c>
      <c r="Z385" s="20">
        <f>IF($Y385&lt;=Settings!$B$4*3,"C",IF($Y385&lt;=(Settings!$B$4+Settings!$B$5)*3,"A",IF($Y385&lt;=(Settings!$B$4+Settings!$B$5+Settings!$B$6)*3,"F","")))</f>
        <v/>
      </c>
      <c r="AA385" s="20">
        <f>IF($Z385="C",$Y385,IF($Z385="A",$Y385-Settings!$B$4*3,IF($Z385="F",$Y385-(Settings!$B$4+Settings!$B$5)*3,"")))</f>
        <v/>
      </c>
      <c r="AB385" s="20">
        <f>IF($Z385="","",INT(($AA385-1)/3)+1)</f>
        <v/>
      </c>
      <c r="AC385" s="20">
        <f>IF($Z385="","",MOD($AA385-1,3)+1)</f>
        <v/>
      </c>
      <c r="AD385" s="20">
        <f>IF($Z385="","",Settings!$B$2+$AC385-1)</f>
        <v/>
      </c>
      <c r="AE385" s="21">
        <f>IF($Z385="C",DATE(YEAR(INDEX(Contracts!$J$2:$J$151,$AB385)),MONTH(INDEX(Contracts!$J$2:$J$151,$AB385)),1),IF($Z385="A",DATE(YEAR(INDEX(Fixed_Assets!$G$2:$G$201,$AB385)),MONTH(INDEX(Fixed_Assets!$G$2:$G$201,$AB385)),1),IF($Z385="F",DATE(YEAR(MAX(N(INDEX(Workforce!$I$2:$I$151,MATCH(INDEX(FTE_Allocation!$A$2:$A$201,$AB385),Workforce!$A$2:$A$151,0))),N(INDEX(FTE_Allocation!$I$2:$I$201,$AB385)))),MONTH(MAX(N(INDEX(Workforce!$I$2:$I$151,MATCH(INDEX(FTE_Allocation!$A$2:$A$201,$AB385),Workforce!$A$2:$A$151,0))),N(INDEX(FTE_Allocation!$I$2:$I$201,$AB385)))),1),"")))</f>
        <v/>
      </c>
      <c r="AF385" s="21">
        <f>IF($Z385="C",IF(INDEX(Contracts!$I$2:$I$151,$AB385)="PREPAID",EDATE(DATE(YEAR(INDEX(Contracts!$J$2:$J$151,$AB385)),MONTH(INDEX(Contracts!$J$2:$J$151,$AB385)),1),IF(INDEX(Contracts!$N$2:$N$151,$AB385)="",12,INDEX(Contracts!$N$2:$N$151,$AB385))-1),IF(INDEX(Contracts!$I$2:$I$151,$AB385)="MONTHLY",IF(INDEX(Contracts!$K$2:$K$151,$AB385)="",2958101,INDEX(Contracts!$K$2:$K$151,$AB385)),0)),IF($Z385="A",EDATE(DATE(YEAR(INDEX(Fixed_Assets!$G$2:$G$201,$AB385)),MONTH(INDEX(Fixed_Assets!$G$2:$G$201,$AB385)),1),INDEX(Fixed_Assets!$J$2:$J$201,$AB385)-1),IF($Z385="F",MIN(IF(INDEX(Workforce!$J$2:$J$151,MATCH(INDEX(FTE_Allocation!$A$2:$A$201,$AB385),Workforce!$A$2:$A$151,0))="",2958101,INDEX(Workforce!$J$2:$J$151,MATCH(INDEX(FTE_Allocation!$A$2:$A$201,$AB385),Workforce!$A$2:$A$151,0))),IF(INDEX(FTE_Allocation!$J$2:$J$201,$AB385)="",2958101,INDEX(FTE_Allocation!$J$2:$J$201,$AB385))),"")))</f>
        <v/>
      </c>
      <c r="AG385" s="19">
        <f>IF($Z385="C",IF(INDEX(Contracts!$I$2:$I$151,$AB385)="PREPAID",INDEX(Contracts!$M$2:$M$151,$AB385)/IF(INDEX(Contracts!$N$2:$N$151,$AB385)="",12,INDEX(Contracts!$N$2:$N$151,$AB385)),IF(INDEX(Contracts!$I$2:$I$151,$AB385)="MONTHLY",INDEX(Contracts!$M$2:$M$151,$AB385),0))*(1-N(INDEX(Contracts!$O$2:$O$151,$AB385))),IF($Z385="A",INDEX(Fixed_Assets!$H$2:$H$201,$AB385)/INDEX(Fixed_Assets!$J$2:$J$201,$AB385),IF($Z385="F",INDEX(Workforce!$F$2:$F$151,MATCH(INDEX(FTE_Allocation!$A$2:$A$201,$AB385),Workforce!$A$2:$A$151,0))*N(INDEX(FTE_Allocation!$F$2:$H$201,$AB385,$AC385)),"")))</f>
        <v/>
      </c>
    </row>
    <row r="386">
      <c r="A386" s="7">
        <f>IF($Z386="","",$AD386)</f>
        <v/>
      </c>
      <c r="B386" s="7">
        <f>IF($Z386="C",INDEX(Contracts!$D$2:$D$151,$AB386)&amp;"",IF($Z386="A",INDEX(Fixed_Assets!$C$2:$C$201,$AB386)&amp;"",IF($Z386="F",INDEX(Workforce!$B$2:$B$151,MATCH(INDEX(FTE_Allocation!$A$2:$A$201,$AB386),Workforce!$A$2:$A$151,0))&amp;"","")))</f>
        <v/>
      </c>
      <c r="C386" s="7">
        <f>IF($Z386="C",INDEX(Contracts!$E$2:$E$151,$AB386)&amp;"",IF($Z386="A",INDEX(Fixed_Assets!$D$2:$D$201,$AB386)&amp;"",IF($Z386="F",INDEX(FTE_Allocation!$C$2:$C$201,$AB386)&amp;"","")))</f>
        <v/>
      </c>
      <c r="D386" s="7">
        <f>IF($Z386="C",INDEX(Contracts!$B$2:$B$151,$AB386)&amp;"",IF($Z386="A",INDEX(Fixed_Assets!$B$2:$B$201,$AB386)&amp;"",IF($Z386="F",INDEX(FTE_Allocation!$B$2:$B$201,$AB386)&amp;"","")))</f>
        <v/>
      </c>
      <c r="E386" s="7">
        <f>IF($Z386="C",INDEX(Contracts!$P$2:$P$151,$AB386)&amp;"",IF($Z386="A",INDEX(Fixed_Assets!$K$2:$K$201,$AB386)&amp;"",IF($Z386="F",IF(INDEX(FTE_Allocation!$D$2:$D$201,$AB386)="PROJECT",IFERROR(INDEX(Projects!$D:$D,MATCH(INDEX(FTE_Allocation!$E$2:$E$201,$AB386),Projects!$A:$A,0))&amp;"","#PROJECT?"),INDEX(FTE_Allocation!$E$2:$E$201,$AB386)&amp;""),"")))</f>
        <v/>
      </c>
      <c r="F386" s="7">
        <f>IF($Z386="C",INDEX(Contracts!$Q$2:$Q$151,$AB386)&amp;"",IF($Z386="A",INDEX(Fixed_Assets!$L$2:$L$201,$AB386)&amp;"",IF($Z386="F",INDEX(Workforce!$K$2:$K$151,MATCH(INDEX(FTE_Allocation!$A$2:$A$201,$AB386),Workforce!$A$2:$A$151,0))&amp;"","")))</f>
        <v/>
      </c>
      <c r="G386" s="7">
        <f>IF($Z386="C",INDEX(Contracts!$F$2:$F$151,$AB386)&amp;" / "&amp;INDEX(Contracts!$G$2:$G$151,$AB386),IF($Z386="A",INDEX(Fixed_Assets!$E$2:$E$201,$AB386)&amp;"",IF($Z386="F","Personnel "&amp;INDEX(FTE_Allocation!$A$2:$A$201,$AB386)&amp;IF(INDEX(FTE_Allocation!$D$2:$D$201,$AB386)="PROJECT"," ("&amp;INDEX(FTE_Allocation!$E$2:$E$201,$AB386)&amp;")",""),"")))</f>
        <v/>
      </c>
      <c r="H386" s="7">
        <f>IF($Z386="C","CONTRACT",IF($Z386="A","ASSET",IF($Z386="F","WORKFORCE","")))</f>
        <v/>
      </c>
      <c r="I386" s="7">
        <f>IF($Z386="C",INDEX(Contracts!$L$2:$L$151,$AB386)&amp;"",IF($Z386="A",INDEX(Fixed_Assets!$I$2:$I$201,$AB386)&amp;"",IF($Z386="F",INDEX(Workforce!$G$2:$G$151,MATCH(INDEX(FTE_Allocation!$A$2:$A$201,$AB386),Workforce!$A$2:$A$151,0))&amp;"","")))</f>
        <v/>
      </c>
      <c r="J386" s="18">
        <f>IF($Z386="","",IF(AND(DATE($AD386,1,1)&gt;=$AE386,DATE($AD386,1,1)&lt;=$AF386),ROUND($AG386,2),0))</f>
        <v/>
      </c>
      <c r="K386" s="18">
        <f>IF($Z386="","",IF(AND(DATE($AD386,2,1)&gt;=$AE386,DATE($AD386,2,1)&lt;=$AF386),ROUND($AG386,2),0))</f>
        <v/>
      </c>
      <c r="L386" s="18">
        <f>IF($Z386="","",IF(AND(DATE($AD386,3,1)&gt;=$AE386,DATE($AD386,3,1)&lt;=$AF386),ROUND($AG386,2),0))</f>
        <v/>
      </c>
      <c r="M386" s="18">
        <f>IF($Z386="","",IF(AND(DATE($AD386,4,1)&gt;=$AE386,DATE($AD386,4,1)&lt;=$AF386),ROUND($AG386,2),0))</f>
        <v/>
      </c>
      <c r="N386" s="18">
        <f>IF($Z386="","",IF(AND(DATE($AD386,5,1)&gt;=$AE386,DATE($AD386,5,1)&lt;=$AF386),ROUND($AG386,2),0))</f>
        <v/>
      </c>
      <c r="O386" s="18">
        <f>IF($Z386="","",IF(AND(DATE($AD386,6,1)&gt;=$AE386,DATE($AD386,6,1)&lt;=$AF386),ROUND($AG386,2),0))</f>
        <v/>
      </c>
      <c r="P386" s="18">
        <f>IF($Z386="","",IF(AND(DATE($AD386,7,1)&gt;=$AE386,DATE($AD386,7,1)&lt;=$AF386),ROUND($AG386,2),0))</f>
        <v/>
      </c>
      <c r="Q386" s="18">
        <f>IF($Z386="","",IF(AND(DATE($AD386,8,1)&gt;=$AE386,DATE($AD386,8,1)&lt;=$AF386),ROUND($AG386,2),0))</f>
        <v/>
      </c>
      <c r="R386" s="18">
        <f>IF($Z386="","",IF(AND(DATE($AD386,9,1)&gt;=$AE386,DATE($AD386,9,1)&lt;=$AF386),ROUND($AG386,2),0))</f>
        <v/>
      </c>
      <c r="S386" s="18">
        <f>IF($Z386="","",IF(AND(DATE($AD386,10,1)&gt;=$AE386,DATE($AD386,10,1)&lt;=$AF386),ROUND($AG386,2),0))</f>
        <v/>
      </c>
      <c r="T386" s="18">
        <f>IF($Z386="","",IF(AND(DATE($AD386,11,1)&gt;=$AE386,DATE($AD386,11,1)&lt;=$AF386),ROUND($AG386,2),0))</f>
        <v/>
      </c>
      <c r="U386" s="18">
        <f>IF($Z386="","",IF(AND(DATE($AD386,12,1)&gt;=$AE386,DATE($AD386,12,1)&lt;=$AF386),ROUND($AG386,2),0))</f>
        <v/>
      </c>
      <c r="V386" s="7">
        <f>IF($Z386="C","Generated from "&amp;INDEX(Contracts!$A$2:$A$151,$AB386),IF($Z386="A","Generated from "&amp;INDEX(Fixed_Assets!$A$2:$A$201,$AB386),IF($Z386="F","Generated from "&amp;INDEX(FTE_Allocation!$A$2:$A$201,$AB386),"")))</f>
        <v/>
      </c>
      <c r="X386" s="19">
        <f>IF($Z386="","",SUM(J386:U386))</f>
        <v/>
      </c>
      <c r="Y386" s="20">
        <f>ROW()-1</f>
        <v/>
      </c>
      <c r="Z386" s="20">
        <f>IF($Y386&lt;=Settings!$B$4*3,"C",IF($Y386&lt;=(Settings!$B$4+Settings!$B$5)*3,"A",IF($Y386&lt;=(Settings!$B$4+Settings!$B$5+Settings!$B$6)*3,"F","")))</f>
        <v/>
      </c>
      <c r="AA386" s="20">
        <f>IF($Z386="C",$Y386,IF($Z386="A",$Y386-Settings!$B$4*3,IF($Z386="F",$Y386-(Settings!$B$4+Settings!$B$5)*3,"")))</f>
        <v/>
      </c>
      <c r="AB386" s="20">
        <f>IF($Z386="","",INT(($AA386-1)/3)+1)</f>
        <v/>
      </c>
      <c r="AC386" s="20">
        <f>IF($Z386="","",MOD($AA386-1,3)+1)</f>
        <v/>
      </c>
      <c r="AD386" s="20">
        <f>IF($Z386="","",Settings!$B$2+$AC386-1)</f>
        <v/>
      </c>
      <c r="AE386" s="21">
        <f>IF($Z386="C",DATE(YEAR(INDEX(Contracts!$J$2:$J$151,$AB386)),MONTH(INDEX(Contracts!$J$2:$J$151,$AB386)),1),IF($Z386="A",DATE(YEAR(INDEX(Fixed_Assets!$G$2:$G$201,$AB386)),MONTH(INDEX(Fixed_Assets!$G$2:$G$201,$AB386)),1),IF($Z386="F",DATE(YEAR(MAX(N(INDEX(Workforce!$I$2:$I$151,MATCH(INDEX(FTE_Allocation!$A$2:$A$201,$AB386),Workforce!$A$2:$A$151,0))),N(INDEX(FTE_Allocation!$I$2:$I$201,$AB386)))),MONTH(MAX(N(INDEX(Workforce!$I$2:$I$151,MATCH(INDEX(FTE_Allocation!$A$2:$A$201,$AB386),Workforce!$A$2:$A$151,0))),N(INDEX(FTE_Allocation!$I$2:$I$201,$AB386)))),1),"")))</f>
        <v/>
      </c>
      <c r="AF386" s="21">
        <f>IF($Z386="C",IF(INDEX(Contracts!$I$2:$I$151,$AB386)="PREPAID",EDATE(DATE(YEAR(INDEX(Contracts!$J$2:$J$151,$AB386)),MONTH(INDEX(Contracts!$J$2:$J$151,$AB386)),1),IF(INDEX(Contracts!$N$2:$N$151,$AB386)="",12,INDEX(Contracts!$N$2:$N$151,$AB386))-1),IF(INDEX(Contracts!$I$2:$I$151,$AB386)="MONTHLY",IF(INDEX(Contracts!$K$2:$K$151,$AB386)="",2958101,INDEX(Contracts!$K$2:$K$151,$AB386)),0)),IF($Z386="A",EDATE(DATE(YEAR(INDEX(Fixed_Assets!$G$2:$G$201,$AB386)),MONTH(INDEX(Fixed_Assets!$G$2:$G$201,$AB386)),1),INDEX(Fixed_Assets!$J$2:$J$201,$AB386)-1),IF($Z386="F",MIN(IF(INDEX(Workforce!$J$2:$J$151,MATCH(INDEX(FTE_Allocation!$A$2:$A$201,$AB386),Workforce!$A$2:$A$151,0))="",2958101,INDEX(Workforce!$J$2:$J$151,MATCH(INDEX(FTE_Allocation!$A$2:$A$201,$AB386),Workforce!$A$2:$A$151,0))),IF(INDEX(FTE_Allocation!$J$2:$J$201,$AB386)="",2958101,INDEX(FTE_Allocation!$J$2:$J$201,$AB386))),"")))</f>
        <v/>
      </c>
      <c r="AG386" s="19">
        <f>IF($Z386="C",IF(INDEX(Contracts!$I$2:$I$151,$AB386)="PREPAID",INDEX(Contracts!$M$2:$M$151,$AB386)/IF(INDEX(Contracts!$N$2:$N$151,$AB386)="",12,INDEX(Contracts!$N$2:$N$151,$AB386)),IF(INDEX(Contracts!$I$2:$I$151,$AB386)="MONTHLY",INDEX(Contracts!$M$2:$M$151,$AB386),0))*(1-N(INDEX(Contracts!$O$2:$O$151,$AB386))),IF($Z386="A",INDEX(Fixed_Assets!$H$2:$H$201,$AB386)/INDEX(Fixed_Assets!$J$2:$J$201,$AB386),IF($Z386="F",INDEX(Workforce!$F$2:$F$151,MATCH(INDEX(FTE_Allocation!$A$2:$A$201,$AB386),Workforce!$A$2:$A$151,0))*N(INDEX(FTE_Allocation!$F$2:$H$201,$AB386,$AC386)),"")))</f>
        <v/>
      </c>
    </row>
    <row r="387">
      <c r="A387" s="7">
        <f>IF($Z387="","",$AD387)</f>
        <v/>
      </c>
      <c r="B387" s="7">
        <f>IF($Z387="C",INDEX(Contracts!$D$2:$D$151,$AB387)&amp;"",IF($Z387="A",INDEX(Fixed_Assets!$C$2:$C$201,$AB387)&amp;"",IF($Z387="F",INDEX(Workforce!$B$2:$B$151,MATCH(INDEX(FTE_Allocation!$A$2:$A$201,$AB387),Workforce!$A$2:$A$151,0))&amp;"","")))</f>
        <v/>
      </c>
      <c r="C387" s="7">
        <f>IF($Z387="C",INDEX(Contracts!$E$2:$E$151,$AB387)&amp;"",IF($Z387="A",INDEX(Fixed_Assets!$D$2:$D$201,$AB387)&amp;"",IF($Z387="F",INDEX(FTE_Allocation!$C$2:$C$201,$AB387)&amp;"","")))</f>
        <v/>
      </c>
      <c r="D387" s="7">
        <f>IF($Z387="C",INDEX(Contracts!$B$2:$B$151,$AB387)&amp;"",IF($Z387="A",INDEX(Fixed_Assets!$B$2:$B$201,$AB387)&amp;"",IF($Z387="F",INDEX(FTE_Allocation!$B$2:$B$201,$AB387)&amp;"","")))</f>
        <v/>
      </c>
      <c r="E387" s="7">
        <f>IF($Z387="C",INDEX(Contracts!$P$2:$P$151,$AB387)&amp;"",IF($Z387="A",INDEX(Fixed_Assets!$K$2:$K$201,$AB387)&amp;"",IF($Z387="F",IF(INDEX(FTE_Allocation!$D$2:$D$201,$AB387)="PROJECT",IFERROR(INDEX(Projects!$D:$D,MATCH(INDEX(FTE_Allocation!$E$2:$E$201,$AB387),Projects!$A:$A,0))&amp;"","#PROJECT?"),INDEX(FTE_Allocation!$E$2:$E$201,$AB387)&amp;""),"")))</f>
        <v/>
      </c>
      <c r="F387" s="7">
        <f>IF($Z387="C",INDEX(Contracts!$Q$2:$Q$151,$AB387)&amp;"",IF($Z387="A",INDEX(Fixed_Assets!$L$2:$L$201,$AB387)&amp;"",IF($Z387="F",INDEX(Workforce!$K$2:$K$151,MATCH(INDEX(FTE_Allocation!$A$2:$A$201,$AB387),Workforce!$A$2:$A$151,0))&amp;"","")))</f>
        <v/>
      </c>
      <c r="G387" s="7">
        <f>IF($Z387="C",INDEX(Contracts!$F$2:$F$151,$AB387)&amp;" / "&amp;INDEX(Contracts!$G$2:$G$151,$AB387),IF($Z387="A",INDEX(Fixed_Assets!$E$2:$E$201,$AB387)&amp;"",IF($Z387="F","Personnel "&amp;INDEX(FTE_Allocation!$A$2:$A$201,$AB387)&amp;IF(INDEX(FTE_Allocation!$D$2:$D$201,$AB387)="PROJECT"," ("&amp;INDEX(FTE_Allocation!$E$2:$E$201,$AB387)&amp;")",""),"")))</f>
        <v/>
      </c>
      <c r="H387" s="7">
        <f>IF($Z387="C","CONTRACT",IF($Z387="A","ASSET",IF($Z387="F","WORKFORCE","")))</f>
        <v/>
      </c>
      <c r="I387" s="7">
        <f>IF($Z387="C",INDEX(Contracts!$L$2:$L$151,$AB387)&amp;"",IF($Z387="A",INDEX(Fixed_Assets!$I$2:$I$201,$AB387)&amp;"",IF($Z387="F",INDEX(Workforce!$G$2:$G$151,MATCH(INDEX(FTE_Allocation!$A$2:$A$201,$AB387),Workforce!$A$2:$A$151,0))&amp;"","")))</f>
        <v/>
      </c>
      <c r="J387" s="18">
        <f>IF($Z387="","",IF(AND(DATE($AD387,1,1)&gt;=$AE387,DATE($AD387,1,1)&lt;=$AF387),ROUND($AG387,2),0))</f>
        <v/>
      </c>
      <c r="K387" s="18">
        <f>IF($Z387="","",IF(AND(DATE($AD387,2,1)&gt;=$AE387,DATE($AD387,2,1)&lt;=$AF387),ROUND($AG387,2),0))</f>
        <v/>
      </c>
      <c r="L387" s="18">
        <f>IF($Z387="","",IF(AND(DATE($AD387,3,1)&gt;=$AE387,DATE($AD387,3,1)&lt;=$AF387),ROUND($AG387,2),0))</f>
        <v/>
      </c>
      <c r="M387" s="18">
        <f>IF($Z387="","",IF(AND(DATE($AD387,4,1)&gt;=$AE387,DATE($AD387,4,1)&lt;=$AF387),ROUND($AG387,2),0))</f>
        <v/>
      </c>
      <c r="N387" s="18">
        <f>IF($Z387="","",IF(AND(DATE($AD387,5,1)&gt;=$AE387,DATE($AD387,5,1)&lt;=$AF387),ROUND($AG387,2),0))</f>
        <v/>
      </c>
      <c r="O387" s="18">
        <f>IF($Z387="","",IF(AND(DATE($AD387,6,1)&gt;=$AE387,DATE($AD387,6,1)&lt;=$AF387),ROUND($AG387,2),0))</f>
        <v/>
      </c>
      <c r="P387" s="18">
        <f>IF($Z387="","",IF(AND(DATE($AD387,7,1)&gt;=$AE387,DATE($AD387,7,1)&lt;=$AF387),ROUND($AG387,2),0))</f>
        <v/>
      </c>
      <c r="Q387" s="18">
        <f>IF($Z387="","",IF(AND(DATE($AD387,8,1)&gt;=$AE387,DATE($AD387,8,1)&lt;=$AF387),ROUND($AG387,2),0))</f>
        <v/>
      </c>
      <c r="R387" s="18">
        <f>IF($Z387="","",IF(AND(DATE($AD387,9,1)&gt;=$AE387,DATE($AD387,9,1)&lt;=$AF387),ROUND($AG387,2),0))</f>
        <v/>
      </c>
      <c r="S387" s="18">
        <f>IF($Z387="","",IF(AND(DATE($AD387,10,1)&gt;=$AE387,DATE($AD387,10,1)&lt;=$AF387),ROUND($AG387,2),0))</f>
        <v/>
      </c>
      <c r="T387" s="18">
        <f>IF($Z387="","",IF(AND(DATE($AD387,11,1)&gt;=$AE387,DATE($AD387,11,1)&lt;=$AF387),ROUND($AG387,2),0))</f>
        <v/>
      </c>
      <c r="U387" s="18">
        <f>IF($Z387="","",IF(AND(DATE($AD387,12,1)&gt;=$AE387,DATE($AD387,12,1)&lt;=$AF387),ROUND($AG387,2),0))</f>
        <v/>
      </c>
      <c r="V387" s="7">
        <f>IF($Z387="C","Generated from "&amp;INDEX(Contracts!$A$2:$A$151,$AB387),IF($Z387="A","Generated from "&amp;INDEX(Fixed_Assets!$A$2:$A$201,$AB387),IF($Z387="F","Generated from "&amp;INDEX(FTE_Allocation!$A$2:$A$201,$AB387),"")))</f>
        <v/>
      </c>
      <c r="X387" s="19">
        <f>IF($Z387="","",SUM(J387:U387))</f>
        <v/>
      </c>
      <c r="Y387" s="20">
        <f>ROW()-1</f>
        <v/>
      </c>
      <c r="Z387" s="20">
        <f>IF($Y387&lt;=Settings!$B$4*3,"C",IF($Y387&lt;=(Settings!$B$4+Settings!$B$5)*3,"A",IF($Y387&lt;=(Settings!$B$4+Settings!$B$5+Settings!$B$6)*3,"F","")))</f>
        <v/>
      </c>
      <c r="AA387" s="20">
        <f>IF($Z387="C",$Y387,IF($Z387="A",$Y387-Settings!$B$4*3,IF($Z387="F",$Y387-(Settings!$B$4+Settings!$B$5)*3,"")))</f>
        <v/>
      </c>
      <c r="AB387" s="20">
        <f>IF($Z387="","",INT(($AA387-1)/3)+1)</f>
        <v/>
      </c>
      <c r="AC387" s="20">
        <f>IF($Z387="","",MOD($AA387-1,3)+1)</f>
        <v/>
      </c>
      <c r="AD387" s="20">
        <f>IF($Z387="","",Settings!$B$2+$AC387-1)</f>
        <v/>
      </c>
      <c r="AE387" s="21">
        <f>IF($Z387="C",DATE(YEAR(INDEX(Contracts!$J$2:$J$151,$AB387)),MONTH(INDEX(Contracts!$J$2:$J$151,$AB387)),1),IF($Z387="A",DATE(YEAR(INDEX(Fixed_Assets!$G$2:$G$201,$AB387)),MONTH(INDEX(Fixed_Assets!$G$2:$G$201,$AB387)),1),IF($Z387="F",DATE(YEAR(MAX(N(INDEX(Workforce!$I$2:$I$151,MATCH(INDEX(FTE_Allocation!$A$2:$A$201,$AB387),Workforce!$A$2:$A$151,0))),N(INDEX(FTE_Allocation!$I$2:$I$201,$AB387)))),MONTH(MAX(N(INDEX(Workforce!$I$2:$I$151,MATCH(INDEX(FTE_Allocation!$A$2:$A$201,$AB387),Workforce!$A$2:$A$151,0))),N(INDEX(FTE_Allocation!$I$2:$I$201,$AB387)))),1),"")))</f>
        <v/>
      </c>
      <c r="AF387" s="21">
        <f>IF($Z387="C",IF(INDEX(Contracts!$I$2:$I$151,$AB387)="PREPAID",EDATE(DATE(YEAR(INDEX(Contracts!$J$2:$J$151,$AB387)),MONTH(INDEX(Contracts!$J$2:$J$151,$AB387)),1),IF(INDEX(Contracts!$N$2:$N$151,$AB387)="",12,INDEX(Contracts!$N$2:$N$151,$AB387))-1),IF(INDEX(Contracts!$I$2:$I$151,$AB387)="MONTHLY",IF(INDEX(Contracts!$K$2:$K$151,$AB387)="",2958101,INDEX(Contracts!$K$2:$K$151,$AB387)),0)),IF($Z387="A",EDATE(DATE(YEAR(INDEX(Fixed_Assets!$G$2:$G$201,$AB387)),MONTH(INDEX(Fixed_Assets!$G$2:$G$201,$AB387)),1),INDEX(Fixed_Assets!$J$2:$J$201,$AB387)-1),IF($Z387="F",MIN(IF(INDEX(Workforce!$J$2:$J$151,MATCH(INDEX(FTE_Allocation!$A$2:$A$201,$AB387),Workforce!$A$2:$A$151,0))="",2958101,INDEX(Workforce!$J$2:$J$151,MATCH(INDEX(FTE_Allocation!$A$2:$A$201,$AB387),Workforce!$A$2:$A$151,0))),IF(INDEX(FTE_Allocation!$J$2:$J$201,$AB387)="",2958101,INDEX(FTE_Allocation!$J$2:$J$201,$AB387))),"")))</f>
        <v/>
      </c>
      <c r="AG387" s="19">
        <f>IF($Z387="C",IF(INDEX(Contracts!$I$2:$I$151,$AB387)="PREPAID",INDEX(Contracts!$M$2:$M$151,$AB387)/IF(INDEX(Contracts!$N$2:$N$151,$AB387)="",12,INDEX(Contracts!$N$2:$N$151,$AB387)),IF(INDEX(Contracts!$I$2:$I$151,$AB387)="MONTHLY",INDEX(Contracts!$M$2:$M$151,$AB387),0))*(1-N(INDEX(Contracts!$O$2:$O$151,$AB387))),IF($Z387="A",INDEX(Fixed_Assets!$H$2:$H$201,$AB387)/INDEX(Fixed_Assets!$J$2:$J$201,$AB387),IF($Z387="F",INDEX(Workforce!$F$2:$F$151,MATCH(INDEX(FTE_Allocation!$A$2:$A$201,$AB387),Workforce!$A$2:$A$151,0))*N(INDEX(FTE_Allocation!$F$2:$H$201,$AB387,$AC387)),"")))</f>
        <v/>
      </c>
    </row>
    <row r="388">
      <c r="A388" s="7">
        <f>IF($Z388="","",$AD388)</f>
        <v/>
      </c>
      <c r="B388" s="7">
        <f>IF($Z388="C",INDEX(Contracts!$D$2:$D$151,$AB388)&amp;"",IF($Z388="A",INDEX(Fixed_Assets!$C$2:$C$201,$AB388)&amp;"",IF($Z388="F",INDEX(Workforce!$B$2:$B$151,MATCH(INDEX(FTE_Allocation!$A$2:$A$201,$AB388),Workforce!$A$2:$A$151,0))&amp;"","")))</f>
        <v/>
      </c>
      <c r="C388" s="7">
        <f>IF($Z388="C",INDEX(Contracts!$E$2:$E$151,$AB388)&amp;"",IF($Z388="A",INDEX(Fixed_Assets!$D$2:$D$201,$AB388)&amp;"",IF($Z388="F",INDEX(FTE_Allocation!$C$2:$C$201,$AB388)&amp;"","")))</f>
        <v/>
      </c>
      <c r="D388" s="7">
        <f>IF($Z388="C",INDEX(Contracts!$B$2:$B$151,$AB388)&amp;"",IF($Z388="A",INDEX(Fixed_Assets!$B$2:$B$201,$AB388)&amp;"",IF($Z388="F",INDEX(FTE_Allocation!$B$2:$B$201,$AB388)&amp;"","")))</f>
        <v/>
      </c>
      <c r="E388" s="7">
        <f>IF($Z388="C",INDEX(Contracts!$P$2:$P$151,$AB388)&amp;"",IF($Z388="A",INDEX(Fixed_Assets!$K$2:$K$201,$AB388)&amp;"",IF($Z388="F",IF(INDEX(FTE_Allocation!$D$2:$D$201,$AB388)="PROJECT",IFERROR(INDEX(Projects!$D:$D,MATCH(INDEX(FTE_Allocation!$E$2:$E$201,$AB388),Projects!$A:$A,0))&amp;"","#PROJECT?"),INDEX(FTE_Allocation!$E$2:$E$201,$AB388)&amp;""),"")))</f>
        <v/>
      </c>
      <c r="F388" s="7">
        <f>IF($Z388="C",INDEX(Contracts!$Q$2:$Q$151,$AB388)&amp;"",IF($Z388="A",INDEX(Fixed_Assets!$L$2:$L$201,$AB388)&amp;"",IF($Z388="F",INDEX(Workforce!$K$2:$K$151,MATCH(INDEX(FTE_Allocation!$A$2:$A$201,$AB388),Workforce!$A$2:$A$151,0))&amp;"","")))</f>
        <v/>
      </c>
      <c r="G388" s="7">
        <f>IF($Z388="C",INDEX(Contracts!$F$2:$F$151,$AB388)&amp;" / "&amp;INDEX(Contracts!$G$2:$G$151,$AB388),IF($Z388="A",INDEX(Fixed_Assets!$E$2:$E$201,$AB388)&amp;"",IF($Z388="F","Personnel "&amp;INDEX(FTE_Allocation!$A$2:$A$201,$AB388)&amp;IF(INDEX(FTE_Allocation!$D$2:$D$201,$AB388)="PROJECT"," ("&amp;INDEX(FTE_Allocation!$E$2:$E$201,$AB388)&amp;")",""),"")))</f>
        <v/>
      </c>
      <c r="H388" s="7">
        <f>IF($Z388="C","CONTRACT",IF($Z388="A","ASSET",IF($Z388="F","WORKFORCE","")))</f>
        <v/>
      </c>
      <c r="I388" s="7">
        <f>IF($Z388="C",INDEX(Contracts!$L$2:$L$151,$AB388)&amp;"",IF($Z388="A",INDEX(Fixed_Assets!$I$2:$I$201,$AB388)&amp;"",IF($Z388="F",INDEX(Workforce!$G$2:$G$151,MATCH(INDEX(FTE_Allocation!$A$2:$A$201,$AB388),Workforce!$A$2:$A$151,0))&amp;"","")))</f>
        <v/>
      </c>
      <c r="J388" s="18">
        <f>IF($Z388="","",IF(AND(DATE($AD388,1,1)&gt;=$AE388,DATE($AD388,1,1)&lt;=$AF388),ROUND($AG388,2),0))</f>
        <v/>
      </c>
      <c r="K388" s="18">
        <f>IF($Z388="","",IF(AND(DATE($AD388,2,1)&gt;=$AE388,DATE($AD388,2,1)&lt;=$AF388),ROUND($AG388,2),0))</f>
        <v/>
      </c>
      <c r="L388" s="18">
        <f>IF($Z388="","",IF(AND(DATE($AD388,3,1)&gt;=$AE388,DATE($AD388,3,1)&lt;=$AF388),ROUND($AG388,2),0))</f>
        <v/>
      </c>
      <c r="M388" s="18">
        <f>IF($Z388="","",IF(AND(DATE($AD388,4,1)&gt;=$AE388,DATE($AD388,4,1)&lt;=$AF388),ROUND($AG388,2),0))</f>
        <v/>
      </c>
      <c r="N388" s="18">
        <f>IF($Z388="","",IF(AND(DATE($AD388,5,1)&gt;=$AE388,DATE($AD388,5,1)&lt;=$AF388),ROUND($AG388,2),0))</f>
        <v/>
      </c>
      <c r="O388" s="18">
        <f>IF($Z388="","",IF(AND(DATE($AD388,6,1)&gt;=$AE388,DATE($AD388,6,1)&lt;=$AF388),ROUND($AG388,2),0))</f>
        <v/>
      </c>
      <c r="P388" s="18">
        <f>IF($Z388="","",IF(AND(DATE($AD388,7,1)&gt;=$AE388,DATE($AD388,7,1)&lt;=$AF388),ROUND($AG388,2),0))</f>
        <v/>
      </c>
      <c r="Q388" s="18">
        <f>IF($Z388="","",IF(AND(DATE($AD388,8,1)&gt;=$AE388,DATE($AD388,8,1)&lt;=$AF388),ROUND($AG388,2),0))</f>
        <v/>
      </c>
      <c r="R388" s="18">
        <f>IF($Z388="","",IF(AND(DATE($AD388,9,1)&gt;=$AE388,DATE($AD388,9,1)&lt;=$AF388),ROUND($AG388,2),0))</f>
        <v/>
      </c>
      <c r="S388" s="18">
        <f>IF($Z388="","",IF(AND(DATE($AD388,10,1)&gt;=$AE388,DATE($AD388,10,1)&lt;=$AF388),ROUND($AG388,2),0))</f>
        <v/>
      </c>
      <c r="T388" s="18">
        <f>IF($Z388="","",IF(AND(DATE($AD388,11,1)&gt;=$AE388,DATE($AD388,11,1)&lt;=$AF388),ROUND($AG388,2),0))</f>
        <v/>
      </c>
      <c r="U388" s="18">
        <f>IF($Z388="","",IF(AND(DATE($AD388,12,1)&gt;=$AE388,DATE($AD388,12,1)&lt;=$AF388),ROUND($AG388,2),0))</f>
        <v/>
      </c>
      <c r="V388" s="7">
        <f>IF($Z388="C","Generated from "&amp;INDEX(Contracts!$A$2:$A$151,$AB388),IF($Z388="A","Generated from "&amp;INDEX(Fixed_Assets!$A$2:$A$201,$AB388),IF($Z388="F","Generated from "&amp;INDEX(FTE_Allocation!$A$2:$A$201,$AB388),"")))</f>
        <v/>
      </c>
      <c r="X388" s="19">
        <f>IF($Z388="","",SUM(J388:U388))</f>
        <v/>
      </c>
      <c r="Y388" s="20">
        <f>ROW()-1</f>
        <v/>
      </c>
      <c r="Z388" s="20">
        <f>IF($Y388&lt;=Settings!$B$4*3,"C",IF($Y388&lt;=(Settings!$B$4+Settings!$B$5)*3,"A",IF($Y388&lt;=(Settings!$B$4+Settings!$B$5+Settings!$B$6)*3,"F","")))</f>
        <v/>
      </c>
      <c r="AA388" s="20">
        <f>IF($Z388="C",$Y388,IF($Z388="A",$Y388-Settings!$B$4*3,IF($Z388="F",$Y388-(Settings!$B$4+Settings!$B$5)*3,"")))</f>
        <v/>
      </c>
      <c r="AB388" s="20">
        <f>IF($Z388="","",INT(($AA388-1)/3)+1)</f>
        <v/>
      </c>
      <c r="AC388" s="20">
        <f>IF($Z388="","",MOD($AA388-1,3)+1)</f>
        <v/>
      </c>
      <c r="AD388" s="20">
        <f>IF($Z388="","",Settings!$B$2+$AC388-1)</f>
        <v/>
      </c>
      <c r="AE388" s="21">
        <f>IF($Z388="C",DATE(YEAR(INDEX(Contracts!$J$2:$J$151,$AB388)),MONTH(INDEX(Contracts!$J$2:$J$151,$AB388)),1),IF($Z388="A",DATE(YEAR(INDEX(Fixed_Assets!$G$2:$G$201,$AB388)),MONTH(INDEX(Fixed_Assets!$G$2:$G$201,$AB388)),1),IF($Z388="F",DATE(YEAR(MAX(N(INDEX(Workforce!$I$2:$I$151,MATCH(INDEX(FTE_Allocation!$A$2:$A$201,$AB388),Workforce!$A$2:$A$151,0))),N(INDEX(FTE_Allocation!$I$2:$I$201,$AB388)))),MONTH(MAX(N(INDEX(Workforce!$I$2:$I$151,MATCH(INDEX(FTE_Allocation!$A$2:$A$201,$AB388),Workforce!$A$2:$A$151,0))),N(INDEX(FTE_Allocation!$I$2:$I$201,$AB388)))),1),"")))</f>
        <v/>
      </c>
      <c r="AF388" s="21">
        <f>IF($Z388="C",IF(INDEX(Contracts!$I$2:$I$151,$AB388)="PREPAID",EDATE(DATE(YEAR(INDEX(Contracts!$J$2:$J$151,$AB388)),MONTH(INDEX(Contracts!$J$2:$J$151,$AB388)),1),IF(INDEX(Contracts!$N$2:$N$151,$AB388)="",12,INDEX(Contracts!$N$2:$N$151,$AB388))-1),IF(INDEX(Contracts!$I$2:$I$151,$AB388)="MONTHLY",IF(INDEX(Contracts!$K$2:$K$151,$AB388)="",2958101,INDEX(Contracts!$K$2:$K$151,$AB388)),0)),IF($Z388="A",EDATE(DATE(YEAR(INDEX(Fixed_Assets!$G$2:$G$201,$AB388)),MONTH(INDEX(Fixed_Assets!$G$2:$G$201,$AB388)),1),INDEX(Fixed_Assets!$J$2:$J$201,$AB388)-1),IF($Z388="F",MIN(IF(INDEX(Workforce!$J$2:$J$151,MATCH(INDEX(FTE_Allocation!$A$2:$A$201,$AB388),Workforce!$A$2:$A$151,0))="",2958101,INDEX(Workforce!$J$2:$J$151,MATCH(INDEX(FTE_Allocation!$A$2:$A$201,$AB388),Workforce!$A$2:$A$151,0))),IF(INDEX(FTE_Allocation!$J$2:$J$201,$AB388)="",2958101,INDEX(FTE_Allocation!$J$2:$J$201,$AB388))),"")))</f>
        <v/>
      </c>
      <c r="AG388" s="19">
        <f>IF($Z388="C",IF(INDEX(Contracts!$I$2:$I$151,$AB388)="PREPAID",INDEX(Contracts!$M$2:$M$151,$AB388)/IF(INDEX(Contracts!$N$2:$N$151,$AB388)="",12,INDEX(Contracts!$N$2:$N$151,$AB388)),IF(INDEX(Contracts!$I$2:$I$151,$AB388)="MONTHLY",INDEX(Contracts!$M$2:$M$151,$AB388),0))*(1-N(INDEX(Contracts!$O$2:$O$151,$AB388))),IF($Z388="A",INDEX(Fixed_Assets!$H$2:$H$201,$AB388)/INDEX(Fixed_Assets!$J$2:$J$201,$AB388),IF($Z388="F",INDEX(Workforce!$F$2:$F$151,MATCH(INDEX(FTE_Allocation!$A$2:$A$201,$AB388),Workforce!$A$2:$A$151,0))*N(INDEX(FTE_Allocation!$F$2:$H$201,$AB388,$AC388)),"")))</f>
        <v/>
      </c>
    </row>
    <row r="389">
      <c r="A389" s="7">
        <f>IF($Z389="","",$AD389)</f>
        <v/>
      </c>
      <c r="B389" s="7">
        <f>IF($Z389="C",INDEX(Contracts!$D$2:$D$151,$AB389)&amp;"",IF($Z389="A",INDEX(Fixed_Assets!$C$2:$C$201,$AB389)&amp;"",IF($Z389="F",INDEX(Workforce!$B$2:$B$151,MATCH(INDEX(FTE_Allocation!$A$2:$A$201,$AB389),Workforce!$A$2:$A$151,0))&amp;"","")))</f>
        <v/>
      </c>
      <c r="C389" s="7">
        <f>IF($Z389="C",INDEX(Contracts!$E$2:$E$151,$AB389)&amp;"",IF($Z389="A",INDEX(Fixed_Assets!$D$2:$D$201,$AB389)&amp;"",IF($Z389="F",INDEX(FTE_Allocation!$C$2:$C$201,$AB389)&amp;"","")))</f>
        <v/>
      </c>
      <c r="D389" s="7">
        <f>IF($Z389="C",INDEX(Contracts!$B$2:$B$151,$AB389)&amp;"",IF($Z389="A",INDEX(Fixed_Assets!$B$2:$B$201,$AB389)&amp;"",IF($Z389="F",INDEX(FTE_Allocation!$B$2:$B$201,$AB389)&amp;"","")))</f>
        <v/>
      </c>
      <c r="E389" s="7">
        <f>IF($Z389="C",INDEX(Contracts!$P$2:$P$151,$AB389)&amp;"",IF($Z389="A",INDEX(Fixed_Assets!$K$2:$K$201,$AB389)&amp;"",IF($Z389="F",IF(INDEX(FTE_Allocation!$D$2:$D$201,$AB389)="PROJECT",IFERROR(INDEX(Projects!$D:$D,MATCH(INDEX(FTE_Allocation!$E$2:$E$201,$AB389),Projects!$A:$A,0))&amp;"","#PROJECT?"),INDEX(FTE_Allocation!$E$2:$E$201,$AB389)&amp;""),"")))</f>
        <v/>
      </c>
      <c r="F389" s="7">
        <f>IF($Z389="C",INDEX(Contracts!$Q$2:$Q$151,$AB389)&amp;"",IF($Z389="A",INDEX(Fixed_Assets!$L$2:$L$201,$AB389)&amp;"",IF($Z389="F",INDEX(Workforce!$K$2:$K$151,MATCH(INDEX(FTE_Allocation!$A$2:$A$201,$AB389),Workforce!$A$2:$A$151,0))&amp;"","")))</f>
        <v/>
      </c>
      <c r="G389" s="7">
        <f>IF($Z389="C",INDEX(Contracts!$F$2:$F$151,$AB389)&amp;" / "&amp;INDEX(Contracts!$G$2:$G$151,$AB389),IF($Z389="A",INDEX(Fixed_Assets!$E$2:$E$201,$AB389)&amp;"",IF($Z389="F","Personnel "&amp;INDEX(FTE_Allocation!$A$2:$A$201,$AB389)&amp;IF(INDEX(FTE_Allocation!$D$2:$D$201,$AB389)="PROJECT"," ("&amp;INDEX(FTE_Allocation!$E$2:$E$201,$AB389)&amp;")",""),"")))</f>
        <v/>
      </c>
      <c r="H389" s="7">
        <f>IF($Z389="C","CONTRACT",IF($Z389="A","ASSET",IF($Z389="F","WORKFORCE","")))</f>
        <v/>
      </c>
      <c r="I389" s="7">
        <f>IF($Z389="C",INDEX(Contracts!$L$2:$L$151,$AB389)&amp;"",IF($Z389="A",INDEX(Fixed_Assets!$I$2:$I$201,$AB389)&amp;"",IF($Z389="F",INDEX(Workforce!$G$2:$G$151,MATCH(INDEX(FTE_Allocation!$A$2:$A$201,$AB389),Workforce!$A$2:$A$151,0))&amp;"","")))</f>
        <v/>
      </c>
      <c r="J389" s="18">
        <f>IF($Z389="","",IF(AND(DATE($AD389,1,1)&gt;=$AE389,DATE($AD389,1,1)&lt;=$AF389),ROUND($AG389,2),0))</f>
        <v/>
      </c>
      <c r="K389" s="18">
        <f>IF($Z389="","",IF(AND(DATE($AD389,2,1)&gt;=$AE389,DATE($AD389,2,1)&lt;=$AF389),ROUND($AG389,2),0))</f>
        <v/>
      </c>
      <c r="L389" s="18">
        <f>IF($Z389="","",IF(AND(DATE($AD389,3,1)&gt;=$AE389,DATE($AD389,3,1)&lt;=$AF389),ROUND($AG389,2),0))</f>
        <v/>
      </c>
      <c r="M389" s="18">
        <f>IF($Z389="","",IF(AND(DATE($AD389,4,1)&gt;=$AE389,DATE($AD389,4,1)&lt;=$AF389),ROUND($AG389,2),0))</f>
        <v/>
      </c>
      <c r="N389" s="18">
        <f>IF($Z389="","",IF(AND(DATE($AD389,5,1)&gt;=$AE389,DATE($AD389,5,1)&lt;=$AF389),ROUND($AG389,2),0))</f>
        <v/>
      </c>
      <c r="O389" s="18">
        <f>IF($Z389="","",IF(AND(DATE($AD389,6,1)&gt;=$AE389,DATE($AD389,6,1)&lt;=$AF389),ROUND($AG389,2),0))</f>
        <v/>
      </c>
      <c r="P389" s="18">
        <f>IF($Z389="","",IF(AND(DATE($AD389,7,1)&gt;=$AE389,DATE($AD389,7,1)&lt;=$AF389),ROUND($AG389,2),0))</f>
        <v/>
      </c>
      <c r="Q389" s="18">
        <f>IF($Z389="","",IF(AND(DATE($AD389,8,1)&gt;=$AE389,DATE($AD389,8,1)&lt;=$AF389),ROUND($AG389,2),0))</f>
        <v/>
      </c>
      <c r="R389" s="18">
        <f>IF($Z389="","",IF(AND(DATE($AD389,9,1)&gt;=$AE389,DATE($AD389,9,1)&lt;=$AF389),ROUND($AG389,2),0))</f>
        <v/>
      </c>
      <c r="S389" s="18">
        <f>IF($Z389="","",IF(AND(DATE($AD389,10,1)&gt;=$AE389,DATE($AD389,10,1)&lt;=$AF389),ROUND($AG389,2),0))</f>
        <v/>
      </c>
      <c r="T389" s="18">
        <f>IF($Z389="","",IF(AND(DATE($AD389,11,1)&gt;=$AE389,DATE($AD389,11,1)&lt;=$AF389),ROUND($AG389,2),0))</f>
        <v/>
      </c>
      <c r="U389" s="18">
        <f>IF($Z389="","",IF(AND(DATE($AD389,12,1)&gt;=$AE389,DATE($AD389,12,1)&lt;=$AF389),ROUND($AG389,2),0))</f>
        <v/>
      </c>
      <c r="V389" s="7">
        <f>IF($Z389="C","Generated from "&amp;INDEX(Contracts!$A$2:$A$151,$AB389),IF($Z389="A","Generated from "&amp;INDEX(Fixed_Assets!$A$2:$A$201,$AB389),IF($Z389="F","Generated from "&amp;INDEX(FTE_Allocation!$A$2:$A$201,$AB389),"")))</f>
        <v/>
      </c>
      <c r="X389" s="19">
        <f>IF($Z389="","",SUM(J389:U389))</f>
        <v/>
      </c>
      <c r="Y389" s="20">
        <f>ROW()-1</f>
        <v/>
      </c>
      <c r="Z389" s="20">
        <f>IF($Y389&lt;=Settings!$B$4*3,"C",IF($Y389&lt;=(Settings!$B$4+Settings!$B$5)*3,"A",IF($Y389&lt;=(Settings!$B$4+Settings!$B$5+Settings!$B$6)*3,"F","")))</f>
        <v/>
      </c>
      <c r="AA389" s="20">
        <f>IF($Z389="C",$Y389,IF($Z389="A",$Y389-Settings!$B$4*3,IF($Z389="F",$Y389-(Settings!$B$4+Settings!$B$5)*3,"")))</f>
        <v/>
      </c>
      <c r="AB389" s="20">
        <f>IF($Z389="","",INT(($AA389-1)/3)+1)</f>
        <v/>
      </c>
      <c r="AC389" s="20">
        <f>IF($Z389="","",MOD($AA389-1,3)+1)</f>
        <v/>
      </c>
      <c r="AD389" s="20">
        <f>IF($Z389="","",Settings!$B$2+$AC389-1)</f>
        <v/>
      </c>
      <c r="AE389" s="21">
        <f>IF($Z389="C",DATE(YEAR(INDEX(Contracts!$J$2:$J$151,$AB389)),MONTH(INDEX(Contracts!$J$2:$J$151,$AB389)),1),IF($Z389="A",DATE(YEAR(INDEX(Fixed_Assets!$G$2:$G$201,$AB389)),MONTH(INDEX(Fixed_Assets!$G$2:$G$201,$AB389)),1),IF($Z389="F",DATE(YEAR(MAX(N(INDEX(Workforce!$I$2:$I$151,MATCH(INDEX(FTE_Allocation!$A$2:$A$201,$AB389),Workforce!$A$2:$A$151,0))),N(INDEX(FTE_Allocation!$I$2:$I$201,$AB389)))),MONTH(MAX(N(INDEX(Workforce!$I$2:$I$151,MATCH(INDEX(FTE_Allocation!$A$2:$A$201,$AB389),Workforce!$A$2:$A$151,0))),N(INDEX(FTE_Allocation!$I$2:$I$201,$AB389)))),1),"")))</f>
        <v/>
      </c>
      <c r="AF389" s="21">
        <f>IF($Z389="C",IF(INDEX(Contracts!$I$2:$I$151,$AB389)="PREPAID",EDATE(DATE(YEAR(INDEX(Contracts!$J$2:$J$151,$AB389)),MONTH(INDEX(Contracts!$J$2:$J$151,$AB389)),1),IF(INDEX(Contracts!$N$2:$N$151,$AB389)="",12,INDEX(Contracts!$N$2:$N$151,$AB389))-1),IF(INDEX(Contracts!$I$2:$I$151,$AB389)="MONTHLY",IF(INDEX(Contracts!$K$2:$K$151,$AB389)="",2958101,INDEX(Contracts!$K$2:$K$151,$AB389)),0)),IF($Z389="A",EDATE(DATE(YEAR(INDEX(Fixed_Assets!$G$2:$G$201,$AB389)),MONTH(INDEX(Fixed_Assets!$G$2:$G$201,$AB389)),1),INDEX(Fixed_Assets!$J$2:$J$201,$AB389)-1),IF($Z389="F",MIN(IF(INDEX(Workforce!$J$2:$J$151,MATCH(INDEX(FTE_Allocation!$A$2:$A$201,$AB389),Workforce!$A$2:$A$151,0))="",2958101,INDEX(Workforce!$J$2:$J$151,MATCH(INDEX(FTE_Allocation!$A$2:$A$201,$AB389),Workforce!$A$2:$A$151,0))),IF(INDEX(FTE_Allocation!$J$2:$J$201,$AB389)="",2958101,INDEX(FTE_Allocation!$J$2:$J$201,$AB389))),"")))</f>
        <v/>
      </c>
      <c r="AG389" s="19">
        <f>IF($Z389="C",IF(INDEX(Contracts!$I$2:$I$151,$AB389)="PREPAID",INDEX(Contracts!$M$2:$M$151,$AB389)/IF(INDEX(Contracts!$N$2:$N$151,$AB389)="",12,INDEX(Contracts!$N$2:$N$151,$AB389)),IF(INDEX(Contracts!$I$2:$I$151,$AB389)="MONTHLY",INDEX(Contracts!$M$2:$M$151,$AB389),0))*(1-N(INDEX(Contracts!$O$2:$O$151,$AB389))),IF($Z389="A",INDEX(Fixed_Assets!$H$2:$H$201,$AB389)/INDEX(Fixed_Assets!$J$2:$J$201,$AB389),IF($Z389="F",INDEX(Workforce!$F$2:$F$151,MATCH(INDEX(FTE_Allocation!$A$2:$A$201,$AB389),Workforce!$A$2:$A$151,0))*N(INDEX(FTE_Allocation!$F$2:$H$201,$AB389,$AC389)),"")))</f>
        <v/>
      </c>
    </row>
    <row r="390">
      <c r="A390" s="7">
        <f>IF($Z390="","",$AD390)</f>
        <v/>
      </c>
      <c r="B390" s="7">
        <f>IF($Z390="C",INDEX(Contracts!$D$2:$D$151,$AB390)&amp;"",IF($Z390="A",INDEX(Fixed_Assets!$C$2:$C$201,$AB390)&amp;"",IF($Z390="F",INDEX(Workforce!$B$2:$B$151,MATCH(INDEX(FTE_Allocation!$A$2:$A$201,$AB390),Workforce!$A$2:$A$151,0))&amp;"","")))</f>
        <v/>
      </c>
      <c r="C390" s="7">
        <f>IF($Z390="C",INDEX(Contracts!$E$2:$E$151,$AB390)&amp;"",IF($Z390="A",INDEX(Fixed_Assets!$D$2:$D$201,$AB390)&amp;"",IF($Z390="F",INDEX(FTE_Allocation!$C$2:$C$201,$AB390)&amp;"","")))</f>
        <v/>
      </c>
      <c r="D390" s="7">
        <f>IF($Z390="C",INDEX(Contracts!$B$2:$B$151,$AB390)&amp;"",IF($Z390="A",INDEX(Fixed_Assets!$B$2:$B$201,$AB390)&amp;"",IF($Z390="F",INDEX(FTE_Allocation!$B$2:$B$201,$AB390)&amp;"","")))</f>
        <v/>
      </c>
      <c r="E390" s="7">
        <f>IF($Z390="C",INDEX(Contracts!$P$2:$P$151,$AB390)&amp;"",IF($Z390="A",INDEX(Fixed_Assets!$K$2:$K$201,$AB390)&amp;"",IF($Z390="F",IF(INDEX(FTE_Allocation!$D$2:$D$201,$AB390)="PROJECT",IFERROR(INDEX(Projects!$D:$D,MATCH(INDEX(FTE_Allocation!$E$2:$E$201,$AB390),Projects!$A:$A,0))&amp;"","#PROJECT?"),INDEX(FTE_Allocation!$E$2:$E$201,$AB390)&amp;""),"")))</f>
        <v/>
      </c>
      <c r="F390" s="7">
        <f>IF($Z390="C",INDEX(Contracts!$Q$2:$Q$151,$AB390)&amp;"",IF($Z390="A",INDEX(Fixed_Assets!$L$2:$L$201,$AB390)&amp;"",IF($Z390="F",INDEX(Workforce!$K$2:$K$151,MATCH(INDEX(FTE_Allocation!$A$2:$A$201,$AB390),Workforce!$A$2:$A$151,0))&amp;"","")))</f>
        <v/>
      </c>
      <c r="G390" s="7">
        <f>IF($Z390="C",INDEX(Contracts!$F$2:$F$151,$AB390)&amp;" / "&amp;INDEX(Contracts!$G$2:$G$151,$AB390),IF($Z390="A",INDEX(Fixed_Assets!$E$2:$E$201,$AB390)&amp;"",IF($Z390="F","Personnel "&amp;INDEX(FTE_Allocation!$A$2:$A$201,$AB390)&amp;IF(INDEX(FTE_Allocation!$D$2:$D$201,$AB390)="PROJECT"," ("&amp;INDEX(FTE_Allocation!$E$2:$E$201,$AB390)&amp;")",""),"")))</f>
        <v/>
      </c>
      <c r="H390" s="7">
        <f>IF($Z390="C","CONTRACT",IF($Z390="A","ASSET",IF($Z390="F","WORKFORCE","")))</f>
        <v/>
      </c>
      <c r="I390" s="7">
        <f>IF($Z390="C",INDEX(Contracts!$L$2:$L$151,$AB390)&amp;"",IF($Z390="A",INDEX(Fixed_Assets!$I$2:$I$201,$AB390)&amp;"",IF($Z390="F",INDEX(Workforce!$G$2:$G$151,MATCH(INDEX(FTE_Allocation!$A$2:$A$201,$AB390),Workforce!$A$2:$A$151,0))&amp;"","")))</f>
        <v/>
      </c>
      <c r="J390" s="18">
        <f>IF($Z390="","",IF(AND(DATE($AD390,1,1)&gt;=$AE390,DATE($AD390,1,1)&lt;=$AF390),ROUND($AG390,2),0))</f>
        <v/>
      </c>
      <c r="K390" s="18">
        <f>IF($Z390="","",IF(AND(DATE($AD390,2,1)&gt;=$AE390,DATE($AD390,2,1)&lt;=$AF390),ROUND($AG390,2),0))</f>
        <v/>
      </c>
      <c r="L390" s="18">
        <f>IF($Z390="","",IF(AND(DATE($AD390,3,1)&gt;=$AE390,DATE($AD390,3,1)&lt;=$AF390),ROUND($AG390,2),0))</f>
        <v/>
      </c>
      <c r="M390" s="18">
        <f>IF($Z390="","",IF(AND(DATE($AD390,4,1)&gt;=$AE390,DATE($AD390,4,1)&lt;=$AF390),ROUND($AG390,2),0))</f>
        <v/>
      </c>
      <c r="N390" s="18">
        <f>IF($Z390="","",IF(AND(DATE($AD390,5,1)&gt;=$AE390,DATE($AD390,5,1)&lt;=$AF390),ROUND($AG390,2),0))</f>
        <v/>
      </c>
      <c r="O390" s="18">
        <f>IF($Z390="","",IF(AND(DATE($AD390,6,1)&gt;=$AE390,DATE($AD390,6,1)&lt;=$AF390),ROUND($AG390,2),0))</f>
        <v/>
      </c>
      <c r="P390" s="18">
        <f>IF($Z390="","",IF(AND(DATE($AD390,7,1)&gt;=$AE390,DATE($AD390,7,1)&lt;=$AF390),ROUND($AG390,2),0))</f>
        <v/>
      </c>
      <c r="Q390" s="18">
        <f>IF($Z390="","",IF(AND(DATE($AD390,8,1)&gt;=$AE390,DATE($AD390,8,1)&lt;=$AF390),ROUND($AG390,2),0))</f>
        <v/>
      </c>
      <c r="R390" s="18">
        <f>IF($Z390="","",IF(AND(DATE($AD390,9,1)&gt;=$AE390,DATE($AD390,9,1)&lt;=$AF390),ROUND($AG390,2),0))</f>
        <v/>
      </c>
      <c r="S390" s="18">
        <f>IF($Z390="","",IF(AND(DATE($AD390,10,1)&gt;=$AE390,DATE($AD390,10,1)&lt;=$AF390),ROUND($AG390,2),0))</f>
        <v/>
      </c>
      <c r="T390" s="18">
        <f>IF($Z390="","",IF(AND(DATE($AD390,11,1)&gt;=$AE390,DATE($AD390,11,1)&lt;=$AF390),ROUND($AG390,2),0))</f>
        <v/>
      </c>
      <c r="U390" s="18">
        <f>IF($Z390="","",IF(AND(DATE($AD390,12,1)&gt;=$AE390,DATE($AD390,12,1)&lt;=$AF390),ROUND($AG390,2),0))</f>
        <v/>
      </c>
      <c r="V390" s="7">
        <f>IF($Z390="C","Generated from "&amp;INDEX(Contracts!$A$2:$A$151,$AB390),IF($Z390="A","Generated from "&amp;INDEX(Fixed_Assets!$A$2:$A$201,$AB390),IF($Z390="F","Generated from "&amp;INDEX(FTE_Allocation!$A$2:$A$201,$AB390),"")))</f>
        <v/>
      </c>
      <c r="X390" s="19">
        <f>IF($Z390="","",SUM(J390:U390))</f>
        <v/>
      </c>
      <c r="Y390" s="20">
        <f>ROW()-1</f>
        <v/>
      </c>
      <c r="Z390" s="20">
        <f>IF($Y390&lt;=Settings!$B$4*3,"C",IF($Y390&lt;=(Settings!$B$4+Settings!$B$5)*3,"A",IF($Y390&lt;=(Settings!$B$4+Settings!$B$5+Settings!$B$6)*3,"F","")))</f>
        <v/>
      </c>
      <c r="AA390" s="20">
        <f>IF($Z390="C",$Y390,IF($Z390="A",$Y390-Settings!$B$4*3,IF($Z390="F",$Y390-(Settings!$B$4+Settings!$B$5)*3,"")))</f>
        <v/>
      </c>
      <c r="AB390" s="20">
        <f>IF($Z390="","",INT(($AA390-1)/3)+1)</f>
        <v/>
      </c>
      <c r="AC390" s="20">
        <f>IF($Z390="","",MOD($AA390-1,3)+1)</f>
        <v/>
      </c>
      <c r="AD390" s="20">
        <f>IF($Z390="","",Settings!$B$2+$AC390-1)</f>
        <v/>
      </c>
      <c r="AE390" s="21">
        <f>IF($Z390="C",DATE(YEAR(INDEX(Contracts!$J$2:$J$151,$AB390)),MONTH(INDEX(Contracts!$J$2:$J$151,$AB390)),1),IF($Z390="A",DATE(YEAR(INDEX(Fixed_Assets!$G$2:$G$201,$AB390)),MONTH(INDEX(Fixed_Assets!$G$2:$G$201,$AB390)),1),IF($Z390="F",DATE(YEAR(MAX(N(INDEX(Workforce!$I$2:$I$151,MATCH(INDEX(FTE_Allocation!$A$2:$A$201,$AB390),Workforce!$A$2:$A$151,0))),N(INDEX(FTE_Allocation!$I$2:$I$201,$AB390)))),MONTH(MAX(N(INDEX(Workforce!$I$2:$I$151,MATCH(INDEX(FTE_Allocation!$A$2:$A$201,$AB390),Workforce!$A$2:$A$151,0))),N(INDEX(FTE_Allocation!$I$2:$I$201,$AB390)))),1),"")))</f>
        <v/>
      </c>
      <c r="AF390" s="21">
        <f>IF($Z390="C",IF(INDEX(Contracts!$I$2:$I$151,$AB390)="PREPAID",EDATE(DATE(YEAR(INDEX(Contracts!$J$2:$J$151,$AB390)),MONTH(INDEX(Contracts!$J$2:$J$151,$AB390)),1),IF(INDEX(Contracts!$N$2:$N$151,$AB390)="",12,INDEX(Contracts!$N$2:$N$151,$AB390))-1),IF(INDEX(Contracts!$I$2:$I$151,$AB390)="MONTHLY",IF(INDEX(Contracts!$K$2:$K$151,$AB390)="",2958101,INDEX(Contracts!$K$2:$K$151,$AB390)),0)),IF($Z390="A",EDATE(DATE(YEAR(INDEX(Fixed_Assets!$G$2:$G$201,$AB390)),MONTH(INDEX(Fixed_Assets!$G$2:$G$201,$AB390)),1),INDEX(Fixed_Assets!$J$2:$J$201,$AB390)-1),IF($Z390="F",MIN(IF(INDEX(Workforce!$J$2:$J$151,MATCH(INDEX(FTE_Allocation!$A$2:$A$201,$AB390),Workforce!$A$2:$A$151,0))="",2958101,INDEX(Workforce!$J$2:$J$151,MATCH(INDEX(FTE_Allocation!$A$2:$A$201,$AB390),Workforce!$A$2:$A$151,0))),IF(INDEX(FTE_Allocation!$J$2:$J$201,$AB390)="",2958101,INDEX(FTE_Allocation!$J$2:$J$201,$AB390))),"")))</f>
        <v/>
      </c>
      <c r="AG390" s="19">
        <f>IF($Z390="C",IF(INDEX(Contracts!$I$2:$I$151,$AB390)="PREPAID",INDEX(Contracts!$M$2:$M$151,$AB390)/IF(INDEX(Contracts!$N$2:$N$151,$AB390)="",12,INDEX(Contracts!$N$2:$N$151,$AB390)),IF(INDEX(Contracts!$I$2:$I$151,$AB390)="MONTHLY",INDEX(Contracts!$M$2:$M$151,$AB390),0))*(1-N(INDEX(Contracts!$O$2:$O$151,$AB390))),IF($Z390="A",INDEX(Fixed_Assets!$H$2:$H$201,$AB390)/INDEX(Fixed_Assets!$J$2:$J$201,$AB390),IF($Z390="F",INDEX(Workforce!$F$2:$F$151,MATCH(INDEX(FTE_Allocation!$A$2:$A$201,$AB390),Workforce!$A$2:$A$151,0))*N(INDEX(FTE_Allocation!$F$2:$H$201,$AB390,$AC390)),"")))</f>
        <v/>
      </c>
    </row>
    <row r="391">
      <c r="A391" s="7">
        <f>IF($Z391="","",$AD391)</f>
        <v/>
      </c>
      <c r="B391" s="7">
        <f>IF($Z391="C",INDEX(Contracts!$D$2:$D$151,$AB391)&amp;"",IF($Z391="A",INDEX(Fixed_Assets!$C$2:$C$201,$AB391)&amp;"",IF($Z391="F",INDEX(Workforce!$B$2:$B$151,MATCH(INDEX(FTE_Allocation!$A$2:$A$201,$AB391),Workforce!$A$2:$A$151,0))&amp;"","")))</f>
        <v/>
      </c>
      <c r="C391" s="7">
        <f>IF($Z391="C",INDEX(Contracts!$E$2:$E$151,$AB391)&amp;"",IF($Z391="A",INDEX(Fixed_Assets!$D$2:$D$201,$AB391)&amp;"",IF($Z391="F",INDEX(FTE_Allocation!$C$2:$C$201,$AB391)&amp;"","")))</f>
        <v/>
      </c>
      <c r="D391" s="7">
        <f>IF($Z391="C",INDEX(Contracts!$B$2:$B$151,$AB391)&amp;"",IF($Z391="A",INDEX(Fixed_Assets!$B$2:$B$201,$AB391)&amp;"",IF($Z391="F",INDEX(FTE_Allocation!$B$2:$B$201,$AB391)&amp;"","")))</f>
        <v/>
      </c>
      <c r="E391" s="7">
        <f>IF($Z391="C",INDEX(Contracts!$P$2:$P$151,$AB391)&amp;"",IF($Z391="A",INDEX(Fixed_Assets!$K$2:$K$201,$AB391)&amp;"",IF($Z391="F",IF(INDEX(FTE_Allocation!$D$2:$D$201,$AB391)="PROJECT",IFERROR(INDEX(Projects!$D:$D,MATCH(INDEX(FTE_Allocation!$E$2:$E$201,$AB391),Projects!$A:$A,0))&amp;"","#PROJECT?"),INDEX(FTE_Allocation!$E$2:$E$201,$AB391)&amp;""),"")))</f>
        <v/>
      </c>
      <c r="F391" s="7">
        <f>IF($Z391="C",INDEX(Contracts!$Q$2:$Q$151,$AB391)&amp;"",IF($Z391="A",INDEX(Fixed_Assets!$L$2:$L$201,$AB391)&amp;"",IF($Z391="F",INDEX(Workforce!$K$2:$K$151,MATCH(INDEX(FTE_Allocation!$A$2:$A$201,$AB391),Workforce!$A$2:$A$151,0))&amp;"","")))</f>
        <v/>
      </c>
      <c r="G391" s="7">
        <f>IF($Z391="C",INDEX(Contracts!$F$2:$F$151,$AB391)&amp;" / "&amp;INDEX(Contracts!$G$2:$G$151,$AB391),IF($Z391="A",INDEX(Fixed_Assets!$E$2:$E$201,$AB391)&amp;"",IF($Z391="F","Personnel "&amp;INDEX(FTE_Allocation!$A$2:$A$201,$AB391)&amp;IF(INDEX(FTE_Allocation!$D$2:$D$201,$AB391)="PROJECT"," ("&amp;INDEX(FTE_Allocation!$E$2:$E$201,$AB391)&amp;")",""),"")))</f>
        <v/>
      </c>
      <c r="H391" s="7">
        <f>IF($Z391="C","CONTRACT",IF($Z391="A","ASSET",IF($Z391="F","WORKFORCE","")))</f>
        <v/>
      </c>
      <c r="I391" s="7">
        <f>IF($Z391="C",INDEX(Contracts!$L$2:$L$151,$AB391)&amp;"",IF($Z391="A",INDEX(Fixed_Assets!$I$2:$I$201,$AB391)&amp;"",IF($Z391="F",INDEX(Workforce!$G$2:$G$151,MATCH(INDEX(FTE_Allocation!$A$2:$A$201,$AB391),Workforce!$A$2:$A$151,0))&amp;"","")))</f>
        <v/>
      </c>
      <c r="J391" s="18">
        <f>IF($Z391="","",IF(AND(DATE($AD391,1,1)&gt;=$AE391,DATE($AD391,1,1)&lt;=$AF391),ROUND($AG391,2),0))</f>
        <v/>
      </c>
      <c r="K391" s="18">
        <f>IF($Z391="","",IF(AND(DATE($AD391,2,1)&gt;=$AE391,DATE($AD391,2,1)&lt;=$AF391),ROUND($AG391,2),0))</f>
        <v/>
      </c>
      <c r="L391" s="18">
        <f>IF($Z391="","",IF(AND(DATE($AD391,3,1)&gt;=$AE391,DATE($AD391,3,1)&lt;=$AF391),ROUND($AG391,2),0))</f>
        <v/>
      </c>
      <c r="M391" s="18">
        <f>IF($Z391="","",IF(AND(DATE($AD391,4,1)&gt;=$AE391,DATE($AD391,4,1)&lt;=$AF391),ROUND($AG391,2),0))</f>
        <v/>
      </c>
      <c r="N391" s="18">
        <f>IF($Z391="","",IF(AND(DATE($AD391,5,1)&gt;=$AE391,DATE($AD391,5,1)&lt;=$AF391),ROUND($AG391,2),0))</f>
        <v/>
      </c>
      <c r="O391" s="18">
        <f>IF($Z391="","",IF(AND(DATE($AD391,6,1)&gt;=$AE391,DATE($AD391,6,1)&lt;=$AF391),ROUND($AG391,2),0))</f>
        <v/>
      </c>
      <c r="P391" s="18">
        <f>IF($Z391="","",IF(AND(DATE($AD391,7,1)&gt;=$AE391,DATE($AD391,7,1)&lt;=$AF391),ROUND($AG391,2),0))</f>
        <v/>
      </c>
      <c r="Q391" s="18">
        <f>IF($Z391="","",IF(AND(DATE($AD391,8,1)&gt;=$AE391,DATE($AD391,8,1)&lt;=$AF391),ROUND($AG391,2),0))</f>
        <v/>
      </c>
      <c r="R391" s="18">
        <f>IF($Z391="","",IF(AND(DATE($AD391,9,1)&gt;=$AE391,DATE($AD391,9,1)&lt;=$AF391),ROUND($AG391,2),0))</f>
        <v/>
      </c>
      <c r="S391" s="18">
        <f>IF($Z391="","",IF(AND(DATE($AD391,10,1)&gt;=$AE391,DATE($AD391,10,1)&lt;=$AF391),ROUND($AG391,2),0))</f>
        <v/>
      </c>
      <c r="T391" s="18">
        <f>IF($Z391="","",IF(AND(DATE($AD391,11,1)&gt;=$AE391,DATE($AD391,11,1)&lt;=$AF391),ROUND($AG391,2),0))</f>
        <v/>
      </c>
      <c r="U391" s="18">
        <f>IF($Z391="","",IF(AND(DATE($AD391,12,1)&gt;=$AE391,DATE($AD391,12,1)&lt;=$AF391),ROUND($AG391,2),0))</f>
        <v/>
      </c>
      <c r="V391" s="7">
        <f>IF($Z391="C","Generated from "&amp;INDEX(Contracts!$A$2:$A$151,$AB391),IF($Z391="A","Generated from "&amp;INDEX(Fixed_Assets!$A$2:$A$201,$AB391),IF($Z391="F","Generated from "&amp;INDEX(FTE_Allocation!$A$2:$A$201,$AB391),"")))</f>
        <v/>
      </c>
      <c r="X391" s="19">
        <f>IF($Z391="","",SUM(J391:U391))</f>
        <v/>
      </c>
      <c r="Y391" s="20">
        <f>ROW()-1</f>
        <v/>
      </c>
      <c r="Z391" s="20">
        <f>IF($Y391&lt;=Settings!$B$4*3,"C",IF($Y391&lt;=(Settings!$B$4+Settings!$B$5)*3,"A",IF($Y391&lt;=(Settings!$B$4+Settings!$B$5+Settings!$B$6)*3,"F","")))</f>
        <v/>
      </c>
      <c r="AA391" s="20">
        <f>IF($Z391="C",$Y391,IF($Z391="A",$Y391-Settings!$B$4*3,IF($Z391="F",$Y391-(Settings!$B$4+Settings!$B$5)*3,"")))</f>
        <v/>
      </c>
      <c r="AB391" s="20">
        <f>IF($Z391="","",INT(($AA391-1)/3)+1)</f>
        <v/>
      </c>
      <c r="AC391" s="20">
        <f>IF($Z391="","",MOD($AA391-1,3)+1)</f>
        <v/>
      </c>
      <c r="AD391" s="20">
        <f>IF($Z391="","",Settings!$B$2+$AC391-1)</f>
        <v/>
      </c>
      <c r="AE391" s="21">
        <f>IF($Z391="C",DATE(YEAR(INDEX(Contracts!$J$2:$J$151,$AB391)),MONTH(INDEX(Contracts!$J$2:$J$151,$AB391)),1),IF($Z391="A",DATE(YEAR(INDEX(Fixed_Assets!$G$2:$G$201,$AB391)),MONTH(INDEX(Fixed_Assets!$G$2:$G$201,$AB391)),1),IF($Z391="F",DATE(YEAR(MAX(N(INDEX(Workforce!$I$2:$I$151,MATCH(INDEX(FTE_Allocation!$A$2:$A$201,$AB391),Workforce!$A$2:$A$151,0))),N(INDEX(FTE_Allocation!$I$2:$I$201,$AB391)))),MONTH(MAX(N(INDEX(Workforce!$I$2:$I$151,MATCH(INDEX(FTE_Allocation!$A$2:$A$201,$AB391),Workforce!$A$2:$A$151,0))),N(INDEX(FTE_Allocation!$I$2:$I$201,$AB391)))),1),"")))</f>
        <v/>
      </c>
      <c r="AF391" s="21">
        <f>IF($Z391="C",IF(INDEX(Contracts!$I$2:$I$151,$AB391)="PREPAID",EDATE(DATE(YEAR(INDEX(Contracts!$J$2:$J$151,$AB391)),MONTH(INDEX(Contracts!$J$2:$J$151,$AB391)),1),IF(INDEX(Contracts!$N$2:$N$151,$AB391)="",12,INDEX(Contracts!$N$2:$N$151,$AB391))-1),IF(INDEX(Contracts!$I$2:$I$151,$AB391)="MONTHLY",IF(INDEX(Contracts!$K$2:$K$151,$AB391)="",2958101,INDEX(Contracts!$K$2:$K$151,$AB391)),0)),IF($Z391="A",EDATE(DATE(YEAR(INDEX(Fixed_Assets!$G$2:$G$201,$AB391)),MONTH(INDEX(Fixed_Assets!$G$2:$G$201,$AB391)),1),INDEX(Fixed_Assets!$J$2:$J$201,$AB391)-1),IF($Z391="F",MIN(IF(INDEX(Workforce!$J$2:$J$151,MATCH(INDEX(FTE_Allocation!$A$2:$A$201,$AB391),Workforce!$A$2:$A$151,0))="",2958101,INDEX(Workforce!$J$2:$J$151,MATCH(INDEX(FTE_Allocation!$A$2:$A$201,$AB391),Workforce!$A$2:$A$151,0))),IF(INDEX(FTE_Allocation!$J$2:$J$201,$AB391)="",2958101,INDEX(FTE_Allocation!$J$2:$J$201,$AB391))),"")))</f>
        <v/>
      </c>
      <c r="AG391" s="19">
        <f>IF($Z391="C",IF(INDEX(Contracts!$I$2:$I$151,$AB391)="PREPAID",INDEX(Contracts!$M$2:$M$151,$AB391)/IF(INDEX(Contracts!$N$2:$N$151,$AB391)="",12,INDEX(Contracts!$N$2:$N$151,$AB391)),IF(INDEX(Contracts!$I$2:$I$151,$AB391)="MONTHLY",INDEX(Contracts!$M$2:$M$151,$AB391),0))*(1-N(INDEX(Contracts!$O$2:$O$151,$AB391))),IF($Z391="A",INDEX(Fixed_Assets!$H$2:$H$201,$AB391)/INDEX(Fixed_Assets!$J$2:$J$201,$AB391),IF($Z391="F",INDEX(Workforce!$F$2:$F$151,MATCH(INDEX(FTE_Allocation!$A$2:$A$201,$AB391),Workforce!$A$2:$A$151,0))*N(INDEX(FTE_Allocation!$F$2:$H$201,$AB391,$AC391)),"")))</f>
        <v/>
      </c>
    </row>
    <row r="392">
      <c r="A392" s="7">
        <f>IF($Z392="","",$AD392)</f>
        <v/>
      </c>
      <c r="B392" s="7">
        <f>IF($Z392="C",INDEX(Contracts!$D$2:$D$151,$AB392)&amp;"",IF($Z392="A",INDEX(Fixed_Assets!$C$2:$C$201,$AB392)&amp;"",IF($Z392="F",INDEX(Workforce!$B$2:$B$151,MATCH(INDEX(FTE_Allocation!$A$2:$A$201,$AB392),Workforce!$A$2:$A$151,0))&amp;"","")))</f>
        <v/>
      </c>
      <c r="C392" s="7">
        <f>IF($Z392="C",INDEX(Contracts!$E$2:$E$151,$AB392)&amp;"",IF($Z392="A",INDEX(Fixed_Assets!$D$2:$D$201,$AB392)&amp;"",IF($Z392="F",INDEX(FTE_Allocation!$C$2:$C$201,$AB392)&amp;"","")))</f>
        <v/>
      </c>
      <c r="D392" s="7">
        <f>IF($Z392="C",INDEX(Contracts!$B$2:$B$151,$AB392)&amp;"",IF($Z392="A",INDEX(Fixed_Assets!$B$2:$B$201,$AB392)&amp;"",IF($Z392="F",INDEX(FTE_Allocation!$B$2:$B$201,$AB392)&amp;"","")))</f>
        <v/>
      </c>
      <c r="E392" s="7">
        <f>IF($Z392="C",INDEX(Contracts!$P$2:$P$151,$AB392)&amp;"",IF($Z392="A",INDEX(Fixed_Assets!$K$2:$K$201,$AB392)&amp;"",IF($Z392="F",IF(INDEX(FTE_Allocation!$D$2:$D$201,$AB392)="PROJECT",IFERROR(INDEX(Projects!$D:$D,MATCH(INDEX(FTE_Allocation!$E$2:$E$201,$AB392),Projects!$A:$A,0))&amp;"","#PROJECT?"),INDEX(FTE_Allocation!$E$2:$E$201,$AB392)&amp;""),"")))</f>
        <v/>
      </c>
      <c r="F392" s="7">
        <f>IF($Z392="C",INDEX(Contracts!$Q$2:$Q$151,$AB392)&amp;"",IF($Z392="A",INDEX(Fixed_Assets!$L$2:$L$201,$AB392)&amp;"",IF($Z392="F",INDEX(Workforce!$K$2:$K$151,MATCH(INDEX(FTE_Allocation!$A$2:$A$201,$AB392),Workforce!$A$2:$A$151,0))&amp;"","")))</f>
        <v/>
      </c>
      <c r="G392" s="7">
        <f>IF($Z392="C",INDEX(Contracts!$F$2:$F$151,$AB392)&amp;" / "&amp;INDEX(Contracts!$G$2:$G$151,$AB392),IF($Z392="A",INDEX(Fixed_Assets!$E$2:$E$201,$AB392)&amp;"",IF($Z392="F","Personnel "&amp;INDEX(FTE_Allocation!$A$2:$A$201,$AB392)&amp;IF(INDEX(FTE_Allocation!$D$2:$D$201,$AB392)="PROJECT"," ("&amp;INDEX(FTE_Allocation!$E$2:$E$201,$AB392)&amp;")",""),"")))</f>
        <v/>
      </c>
      <c r="H392" s="7">
        <f>IF($Z392="C","CONTRACT",IF($Z392="A","ASSET",IF($Z392="F","WORKFORCE","")))</f>
        <v/>
      </c>
      <c r="I392" s="7">
        <f>IF($Z392="C",INDEX(Contracts!$L$2:$L$151,$AB392)&amp;"",IF($Z392="A",INDEX(Fixed_Assets!$I$2:$I$201,$AB392)&amp;"",IF($Z392="F",INDEX(Workforce!$G$2:$G$151,MATCH(INDEX(FTE_Allocation!$A$2:$A$201,$AB392),Workforce!$A$2:$A$151,0))&amp;"","")))</f>
        <v/>
      </c>
      <c r="J392" s="18">
        <f>IF($Z392="","",IF(AND(DATE($AD392,1,1)&gt;=$AE392,DATE($AD392,1,1)&lt;=$AF392),ROUND($AG392,2),0))</f>
        <v/>
      </c>
      <c r="K392" s="18">
        <f>IF($Z392="","",IF(AND(DATE($AD392,2,1)&gt;=$AE392,DATE($AD392,2,1)&lt;=$AF392),ROUND($AG392,2),0))</f>
        <v/>
      </c>
      <c r="L392" s="18">
        <f>IF($Z392="","",IF(AND(DATE($AD392,3,1)&gt;=$AE392,DATE($AD392,3,1)&lt;=$AF392),ROUND($AG392,2),0))</f>
        <v/>
      </c>
      <c r="M392" s="18">
        <f>IF($Z392="","",IF(AND(DATE($AD392,4,1)&gt;=$AE392,DATE($AD392,4,1)&lt;=$AF392),ROUND($AG392,2),0))</f>
        <v/>
      </c>
      <c r="N392" s="18">
        <f>IF($Z392="","",IF(AND(DATE($AD392,5,1)&gt;=$AE392,DATE($AD392,5,1)&lt;=$AF392),ROUND($AG392,2),0))</f>
        <v/>
      </c>
      <c r="O392" s="18">
        <f>IF($Z392="","",IF(AND(DATE($AD392,6,1)&gt;=$AE392,DATE($AD392,6,1)&lt;=$AF392),ROUND($AG392,2),0))</f>
        <v/>
      </c>
      <c r="P392" s="18">
        <f>IF($Z392="","",IF(AND(DATE($AD392,7,1)&gt;=$AE392,DATE($AD392,7,1)&lt;=$AF392),ROUND($AG392,2),0))</f>
        <v/>
      </c>
      <c r="Q392" s="18">
        <f>IF($Z392="","",IF(AND(DATE($AD392,8,1)&gt;=$AE392,DATE($AD392,8,1)&lt;=$AF392),ROUND($AG392,2),0))</f>
        <v/>
      </c>
      <c r="R392" s="18">
        <f>IF($Z392="","",IF(AND(DATE($AD392,9,1)&gt;=$AE392,DATE($AD392,9,1)&lt;=$AF392),ROUND($AG392,2),0))</f>
        <v/>
      </c>
      <c r="S392" s="18">
        <f>IF($Z392="","",IF(AND(DATE($AD392,10,1)&gt;=$AE392,DATE($AD392,10,1)&lt;=$AF392),ROUND($AG392,2),0))</f>
        <v/>
      </c>
      <c r="T392" s="18">
        <f>IF($Z392="","",IF(AND(DATE($AD392,11,1)&gt;=$AE392,DATE($AD392,11,1)&lt;=$AF392),ROUND($AG392,2),0))</f>
        <v/>
      </c>
      <c r="U392" s="18">
        <f>IF($Z392="","",IF(AND(DATE($AD392,12,1)&gt;=$AE392,DATE($AD392,12,1)&lt;=$AF392),ROUND($AG392,2),0))</f>
        <v/>
      </c>
      <c r="V392" s="7">
        <f>IF($Z392="C","Generated from "&amp;INDEX(Contracts!$A$2:$A$151,$AB392),IF($Z392="A","Generated from "&amp;INDEX(Fixed_Assets!$A$2:$A$201,$AB392),IF($Z392="F","Generated from "&amp;INDEX(FTE_Allocation!$A$2:$A$201,$AB392),"")))</f>
        <v/>
      </c>
      <c r="X392" s="19">
        <f>IF($Z392="","",SUM(J392:U392))</f>
        <v/>
      </c>
      <c r="Y392" s="20">
        <f>ROW()-1</f>
        <v/>
      </c>
      <c r="Z392" s="20">
        <f>IF($Y392&lt;=Settings!$B$4*3,"C",IF($Y392&lt;=(Settings!$B$4+Settings!$B$5)*3,"A",IF($Y392&lt;=(Settings!$B$4+Settings!$B$5+Settings!$B$6)*3,"F","")))</f>
        <v/>
      </c>
      <c r="AA392" s="20">
        <f>IF($Z392="C",$Y392,IF($Z392="A",$Y392-Settings!$B$4*3,IF($Z392="F",$Y392-(Settings!$B$4+Settings!$B$5)*3,"")))</f>
        <v/>
      </c>
      <c r="AB392" s="20">
        <f>IF($Z392="","",INT(($AA392-1)/3)+1)</f>
        <v/>
      </c>
      <c r="AC392" s="20">
        <f>IF($Z392="","",MOD($AA392-1,3)+1)</f>
        <v/>
      </c>
      <c r="AD392" s="20">
        <f>IF($Z392="","",Settings!$B$2+$AC392-1)</f>
        <v/>
      </c>
      <c r="AE392" s="21">
        <f>IF($Z392="C",DATE(YEAR(INDEX(Contracts!$J$2:$J$151,$AB392)),MONTH(INDEX(Contracts!$J$2:$J$151,$AB392)),1),IF($Z392="A",DATE(YEAR(INDEX(Fixed_Assets!$G$2:$G$201,$AB392)),MONTH(INDEX(Fixed_Assets!$G$2:$G$201,$AB392)),1),IF($Z392="F",DATE(YEAR(MAX(N(INDEX(Workforce!$I$2:$I$151,MATCH(INDEX(FTE_Allocation!$A$2:$A$201,$AB392),Workforce!$A$2:$A$151,0))),N(INDEX(FTE_Allocation!$I$2:$I$201,$AB392)))),MONTH(MAX(N(INDEX(Workforce!$I$2:$I$151,MATCH(INDEX(FTE_Allocation!$A$2:$A$201,$AB392),Workforce!$A$2:$A$151,0))),N(INDEX(FTE_Allocation!$I$2:$I$201,$AB392)))),1),"")))</f>
        <v/>
      </c>
      <c r="AF392" s="21">
        <f>IF($Z392="C",IF(INDEX(Contracts!$I$2:$I$151,$AB392)="PREPAID",EDATE(DATE(YEAR(INDEX(Contracts!$J$2:$J$151,$AB392)),MONTH(INDEX(Contracts!$J$2:$J$151,$AB392)),1),IF(INDEX(Contracts!$N$2:$N$151,$AB392)="",12,INDEX(Contracts!$N$2:$N$151,$AB392))-1),IF(INDEX(Contracts!$I$2:$I$151,$AB392)="MONTHLY",IF(INDEX(Contracts!$K$2:$K$151,$AB392)="",2958101,INDEX(Contracts!$K$2:$K$151,$AB392)),0)),IF($Z392="A",EDATE(DATE(YEAR(INDEX(Fixed_Assets!$G$2:$G$201,$AB392)),MONTH(INDEX(Fixed_Assets!$G$2:$G$201,$AB392)),1),INDEX(Fixed_Assets!$J$2:$J$201,$AB392)-1),IF($Z392="F",MIN(IF(INDEX(Workforce!$J$2:$J$151,MATCH(INDEX(FTE_Allocation!$A$2:$A$201,$AB392),Workforce!$A$2:$A$151,0))="",2958101,INDEX(Workforce!$J$2:$J$151,MATCH(INDEX(FTE_Allocation!$A$2:$A$201,$AB392),Workforce!$A$2:$A$151,0))),IF(INDEX(FTE_Allocation!$J$2:$J$201,$AB392)="",2958101,INDEX(FTE_Allocation!$J$2:$J$201,$AB392))),"")))</f>
        <v/>
      </c>
      <c r="AG392" s="19">
        <f>IF($Z392="C",IF(INDEX(Contracts!$I$2:$I$151,$AB392)="PREPAID",INDEX(Contracts!$M$2:$M$151,$AB392)/IF(INDEX(Contracts!$N$2:$N$151,$AB392)="",12,INDEX(Contracts!$N$2:$N$151,$AB392)),IF(INDEX(Contracts!$I$2:$I$151,$AB392)="MONTHLY",INDEX(Contracts!$M$2:$M$151,$AB392),0))*(1-N(INDEX(Contracts!$O$2:$O$151,$AB392))),IF($Z392="A",INDEX(Fixed_Assets!$H$2:$H$201,$AB392)/INDEX(Fixed_Assets!$J$2:$J$201,$AB392),IF($Z392="F",INDEX(Workforce!$F$2:$F$151,MATCH(INDEX(FTE_Allocation!$A$2:$A$201,$AB392),Workforce!$A$2:$A$151,0))*N(INDEX(FTE_Allocation!$F$2:$H$201,$AB392,$AC392)),"")))</f>
        <v/>
      </c>
    </row>
    <row r="393">
      <c r="A393" s="7">
        <f>IF($Z393="","",$AD393)</f>
        <v/>
      </c>
      <c r="B393" s="7">
        <f>IF($Z393="C",INDEX(Contracts!$D$2:$D$151,$AB393)&amp;"",IF($Z393="A",INDEX(Fixed_Assets!$C$2:$C$201,$AB393)&amp;"",IF($Z393="F",INDEX(Workforce!$B$2:$B$151,MATCH(INDEX(FTE_Allocation!$A$2:$A$201,$AB393),Workforce!$A$2:$A$151,0))&amp;"","")))</f>
        <v/>
      </c>
      <c r="C393" s="7">
        <f>IF($Z393="C",INDEX(Contracts!$E$2:$E$151,$AB393)&amp;"",IF($Z393="A",INDEX(Fixed_Assets!$D$2:$D$201,$AB393)&amp;"",IF($Z393="F",INDEX(FTE_Allocation!$C$2:$C$201,$AB393)&amp;"","")))</f>
        <v/>
      </c>
      <c r="D393" s="7">
        <f>IF($Z393="C",INDEX(Contracts!$B$2:$B$151,$AB393)&amp;"",IF($Z393="A",INDEX(Fixed_Assets!$B$2:$B$201,$AB393)&amp;"",IF($Z393="F",INDEX(FTE_Allocation!$B$2:$B$201,$AB393)&amp;"","")))</f>
        <v/>
      </c>
      <c r="E393" s="7">
        <f>IF($Z393="C",INDEX(Contracts!$P$2:$P$151,$AB393)&amp;"",IF($Z393="A",INDEX(Fixed_Assets!$K$2:$K$201,$AB393)&amp;"",IF($Z393="F",IF(INDEX(FTE_Allocation!$D$2:$D$201,$AB393)="PROJECT",IFERROR(INDEX(Projects!$D:$D,MATCH(INDEX(FTE_Allocation!$E$2:$E$201,$AB393),Projects!$A:$A,0))&amp;"","#PROJECT?"),INDEX(FTE_Allocation!$E$2:$E$201,$AB393)&amp;""),"")))</f>
        <v/>
      </c>
      <c r="F393" s="7">
        <f>IF($Z393="C",INDEX(Contracts!$Q$2:$Q$151,$AB393)&amp;"",IF($Z393="A",INDEX(Fixed_Assets!$L$2:$L$201,$AB393)&amp;"",IF($Z393="F",INDEX(Workforce!$K$2:$K$151,MATCH(INDEX(FTE_Allocation!$A$2:$A$201,$AB393),Workforce!$A$2:$A$151,0))&amp;"","")))</f>
        <v/>
      </c>
      <c r="G393" s="7">
        <f>IF($Z393="C",INDEX(Contracts!$F$2:$F$151,$AB393)&amp;" / "&amp;INDEX(Contracts!$G$2:$G$151,$AB393),IF($Z393="A",INDEX(Fixed_Assets!$E$2:$E$201,$AB393)&amp;"",IF($Z393="F","Personnel "&amp;INDEX(FTE_Allocation!$A$2:$A$201,$AB393)&amp;IF(INDEX(FTE_Allocation!$D$2:$D$201,$AB393)="PROJECT"," ("&amp;INDEX(FTE_Allocation!$E$2:$E$201,$AB393)&amp;")",""),"")))</f>
        <v/>
      </c>
      <c r="H393" s="7">
        <f>IF($Z393="C","CONTRACT",IF($Z393="A","ASSET",IF($Z393="F","WORKFORCE","")))</f>
        <v/>
      </c>
      <c r="I393" s="7">
        <f>IF($Z393="C",INDEX(Contracts!$L$2:$L$151,$AB393)&amp;"",IF($Z393="A",INDEX(Fixed_Assets!$I$2:$I$201,$AB393)&amp;"",IF($Z393="F",INDEX(Workforce!$G$2:$G$151,MATCH(INDEX(FTE_Allocation!$A$2:$A$201,$AB393),Workforce!$A$2:$A$151,0))&amp;"","")))</f>
        <v/>
      </c>
      <c r="J393" s="18">
        <f>IF($Z393="","",IF(AND(DATE($AD393,1,1)&gt;=$AE393,DATE($AD393,1,1)&lt;=$AF393),ROUND($AG393,2),0))</f>
        <v/>
      </c>
      <c r="K393" s="18">
        <f>IF($Z393="","",IF(AND(DATE($AD393,2,1)&gt;=$AE393,DATE($AD393,2,1)&lt;=$AF393),ROUND($AG393,2),0))</f>
        <v/>
      </c>
      <c r="L393" s="18">
        <f>IF($Z393="","",IF(AND(DATE($AD393,3,1)&gt;=$AE393,DATE($AD393,3,1)&lt;=$AF393),ROUND($AG393,2),0))</f>
        <v/>
      </c>
      <c r="M393" s="18">
        <f>IF($Z393="","",IF(AND(DATE($AD393,4,1)&gt;=$AE393,DATE($AD393,4,1)&lt;=$AF393),ROUND($AG393,2),0))</f>
        <v/>
      </c>
      <c r="N393" s="18">
        <f>IF($Z393="","",IF(AND(DATE($AD393,5,1)&gt;=$AE393,DATE($AD393,5,1)&lt;=$AF393),ROUND($AG393,2),0))</f>
        <v/>
      </c>
      <c r="O393" s="18">
        <f>IF($Z393="","",IF(AND(DATE($AD393,6,1)&gt;=$AE393,DATE($AD393,6,1)&lt;=$AF393),ROUND($AG393,2),0))</f>
        <v/>
      </c>
      <c r="P393" s="18">
        <f>IF($Z393="","",IF(AND(DATE($AD393,7,1)&gt;=$AE393,DATE($AD393,7,1)&lt;=$AF393),ROUND($AG393,2),0))</f>
        <v/>
      </c>
      <c r="Q393" s="18">
        <f>IF($Z393="","",IF(AND(DATE($AD393,8,1)&gt;=$AE393,DATE($AD393,8,1)&lt;=$AF393),ROUND($AG393,2),0))</f>
        <v/>
      </c>
      <c r="R393" s="18">
        <f>IF($Z393="","",IF(AND(DATE($AD393,9,1)&gt;=$AE393,DATE($AD393,9,1)&lt;=$AF393),ROUND($AG393,2),0))</f>
        <v/>
      </c>
      <c r="S393" s="18">
        <f>IF($Z393="","",IF(AND(DATE($AD393,10,1)&gt;=$AE393,DATE($AD393,10,1)&lt;=$AF393),ROUND($AG393,2),0))</f>
        <v/>
      </c>
      <c r="T393" s="18">
        <f>IF($Z393="","",IF(AND(DATE($AD393,11,1)&gt;=$AE393,DATE($AD393,11,1)&lt;=$AF393),ROUND($AG393,2),0))</f>
        <v/>
      </c>
      <c r="U393" s="18">
        <f>IF($Z393="","",IF(AND(DATE($AD393,12,1)&gt;=$AE393,DATE($AD393,12,1)&lt;=$AF393),ROUND($AG393,2),0))</f>
        <v/>
      </c>
      <c r="V393" s="7">
        <f>IF($Z393="C","Generated from "&amp;INDEX(Contracts!$A$2:$A$151,$AB393),IF($Z393="A","Generated from "&amp;INDEX(Fixed_Assets!$A$2:$A$201,$AB393),IF($Z393="F","Generated from "&amp;INDEX(FTE_Allocation!$A$2:$A$201,$AB393),"")))</f>
        <v/>
      </c>
      <c r="X393" s="19">
        <f>IF($Z393="","",SUM(J393:U393))</f>
        <v/>
      </c>
      <c r="Y393" s="20">
        <f>ROW()-1</f>
        <v/>
      </c>
      <c r="Z393" s="20">
        <f>IF($Y393&lt;=Settings!$B$4*3,"C",IF($Y393&lt;=(Settings!$B$4+Settings!$B$5)*3,"A",IF($Y393&lt;=(Settings!$B$4+Settings!$B$5+Settings!$B$6)*3,"F","")))</f>
        <v/>
      </c>
      <c r="AA393" s="20">
        <f>IF($Z393="C",$Y393,IF($Z393="A",$Y393-Settings!$B$4*3,IF($Z393="F",$Y393-(Settings!$B$4+Settings!$B$5)*3,"")))</f>
        <v/>
      </c>
      <c r="AB393" s="20">
        <f>IF($Z393="","",INT(($AA393-1)/3)+1)</f>
        <v/>
      </c>
      <c r="AC393" s="20">
        <f>IF($Z393="","",MOD($AA393-1,3)+1)</f>
        <v/>
      </c>
      <c r="AD393" s="20">
        <f>IF($Z393="","",Settings!$B$2+$AC393-1)</f>
        <v/>
      </c>
      <c r="AE393" s="21">
        <f>IF($Z393="C",DATE(YEAR(INDEX(Contracts!$J$2:$J$151,$AB393)),MONTH(INDEX(Contracts!$J$2:$J$151,$AB393)),1),IF($Z393="A",DATE(YEAR(INDEX(Fixed_Assets!$G$2:$G$201,$AB393)),MONTH(INDEX(Fixed_Assets!$G$2:$G$201,$AB393)),1),IF($Z393="F",DATE(YEAR(MAX(N(INDEX(Workforce!$I$2:$I$151,MATCH(INDEX(FTE_Allocation!$A$2:$A$201,$AB393),Workforce!$A$2:$A$151,0))),N(INDEX(FTE_Allocation!$I$2:$I$201,$AB393)))),MONTH(MAX(N(INDEX(Workforce!$I$2:$I$151,MATCH(INDEX(FTE_Allocation!$A$2:$A$201,$AB393),Workforce!$A$2:$A$151,0))),N(INDEX(FTE_Allocation!$I$2:$I$201,$AB393)))),1),"")))</f>
        <v/>
      </c>
      <c r="AF393" s="21">
        <f>IF($Z393="C",IF(INDEX(Contracts!$I$2:$I$151,$AB393)="PREPAID",EDATE(DATE(YEAR(INDEX(Contracts!$J$2:$J$151,$AB393)),MONTH(INDEX(Contracts!$J$2:$J$151,$AB393)),1),IF(INDEX(Contracts!$N$2:$N$151,$AB393)="",12,INDEX(Contracts!$N$2:$N$151,$AB393))-1),IF(INDEX(Contracts!$I$2:$I$151,$AB393)="MONTHLY",IF(INDEX(Contracts!$K$2:$K$151,$AB393)="",2958101,INDEX(Contracts!$K$2:$K$151,$AB393)),0)),IF($Z393="A",EDATE(DATE(YEAR(INDEX(Fixed_Assets!$G$2:$G$201,$AB393)),MONTH(INDEX(Fixed_Assets!$G$2:$G$201,$AB393)),1),INDEX(Fixed_Assets!$J$2:$J$201,$AB393)-1),IF($Z393="F",MIN(IF(INDEX(Workforce!$J$2:$J$151,MATCH(INDEX(FTE_Allocation!$A$2:$A$201,$AB393),Workforce!$A$2:$A$151,0))="",2958101,INDEX(Workforce!$J$2:$J$151,MATCH(INDEX(FTE_Allocation!$A$2:$A$201,$AB393),Workforce!$A$2:$A$151,0))),IF(INDEX(FTE_Allocation!$J$2:$J$201,$AB393)="",2958101,INDEX(FTE_Allocation!$J$2:$J$201,$AB393))),"")))</f>
        <v/>
      </c>
      <c r="AG393" s="19">
        <f>IF($Z393="C",IF(INDEX(Contracts!$I$2:$I$151,$AB393)="PREPAID",INDEX(Contracts!$M$2:$M$151,$AB393)/IF(INDEX(Contracts!$N$2:$N$151,$AB393)="",12,INDEX(Contracts!$N$2:$N$151,$AB393)),IF(INDEX(Contracts!$I$2:$I$151,$AB393)="MONTHLY",INDEX(Contracts!$M$2:$M$151,$AB393),0))*(1-N(INDEX(Contracts!$O$2:$O$151,$AB393))),IF($Z393="A",INDEX(Fixed_Assets!$H$2:$H$201,$AB393)/INDEX(Fixed_Assets!$J$2:$J$201,$AB393),IF($Z393="F",INDEX(Workforce!$F$2:$F$151,MATCH(INDEX(FTE_Allocation!$A$2:$A$201,$AB393),Workforce!$A$2:$A$151,0))*N(INDEX(FTE_Allocation!$F$2:$H$201,$AB393,$AC393)),"")))</f>
        <v/>
      </c>
    </row>
    <row r="394">
      <c r="A394" s="7">
        <f>IF($Z394="","",$AD394)</f>
        <v/>
      </c>
      <c r="B394" s="7">
        <f>IF($Z394="C",INDEX(Contracts!$D$2:$D$151,$AB394)&amp;"",IF($Z394="A",INDEX(Fixed_Assets!$C$2:$C$201,$AB394)&amp;"",IF($Z394="F",INDEX(Workforce!$B$2:$B$151,MATCH(INDEX(FTE_Allocation!$A$2:$A$201,$AB394),Workforce!$A$2:$A$151,0))&amp;"","")))</f>
        <v/>
      </c>
      <c r="C394" s="7">
        <f>IF($Z394="C",INDEX(Contracts!$E$2:$E$151,$AB394)&amp;"",IF($Z394="A",INDEX(Fixed_Assets!$D$2:$D$201,$AB394)&amp;"",IF($Z394="F",INDEX(FTE_Allocation!$C$2:$C$201,$AB394)&amp;"","")))</f>
        <v/>
      </c>
      <c r="D394" s="7">
        <f>IF($Z394="C",INDEX(Contracts!$B$2:$B$151,$AB394)&amp;"",IF($Z394="A",INDEX(Fixed_Assets!$B$2:$B$201,$AB394)&amp;"",IF($Z394="F",INDEX(FTE_Allocation!$B$2:$B$201,$AB394)&amp;"","")))</f>
        <v/>
      </c>
      <c r="E394" s="7">
        <f>IF($Z394="C",INDEX(Contracts!$P$2:$P$151,$AB394)&amp;"",IF($Z394="A",INDEX(Fixed_Assets!$K$2:$K$201,$AB394)&amp;"",IF($Z394="F",IF(INDEX(FTE_Allocation!$D$2:$D$201,$AB394)="PROJECT",IFERROR(INDEX(Projects!$D:$D,MATCH(INDEX(FTE_Allocation!$E$2:$E$201,$AB394),Projects!$A:$A,0))&amp;"","#PROJECT?"),INDEX(FTE_Allocation!$E$2:$E$201,$AB394)&amp;""),"")))</f>
        <v/>
      </c>
      <c r="F394" s="7">
        <f>IF($Z394="C",INDEX(Contracts!$Q$2:$Q$151,$AB394)&amp;"",IF($Z394="A",INDEX(Fixed_Assets!$L$2:$L$201,$AB394)&amp;"",IF($Z394="F",INDEX(Workforce!$K$2:$K$151,MATCH(INDEX(FTE_Allocation!$A$2:$A$201,$AB394),Workforce!$A$2:$A$151,0))&amp;"","")))</f>
        <v/>
      </c>
      <c r="G394" s="7">
        <f>IF($Z394="C",INDEX(Contracts!$F$2:$F$151,$AB394)&amp;" / "&amp;INDEX(Contracts!$G$2:$G$151,$AB394),IF($Z394="A",INDEX(Fixed_Assets!$E$2:$E$201,$AB394)&amp;"",IF($Z394="F","Personnel "&amp;INDEX(FTE_Allocation!$A$2:$A$201,$AB394)&amp;IF(INDEX(FTE_Allocation!$D$2:$D$201,$AB394)="PROJECT"," ("&amp;INDEX(FTE_Allocation!$E$2:$E$201,$AB394)&amp;")",""),"")))</f>
        <v/>
      </c>
      <c r="H394" s="7">
        <f>IF($Z394="C","CONTRACT",IF($Z394="A","ASSET",IF($Z394="F","WORKFORCE","")))</f>
        <v/>
      </c>
      <c r="I394" s="7">
        <f>IF($Z394="C",INDEX(Contracts!$L$2:$L$151,$AB394)&amp;"",IF($Z394="A",INDEX(Fixed_Assets!$I$2:$I$201,$AB394)&amp;"",IF($Z394="F",INDEX(Workforce!$G$2:$G$151,MATCH(INDEX(FTE_Allocation!$A$2:$A$201,$AB394),Workforce!$A$2:$A$151,0))&amp;"","")))</f>
        <v/>
      </c>
      <c r="J394" s="18">
        <f>IF($Z394="","",IF(AND(DATE($AD394,1,1)&gt;=$AE394,DATE($AD394,1,1)&lt;=$AF394),ROUND($AG394,2),0))</f>
        <v/>
      </c>
      <c r="K394" s="18">
        <f>IF($Z394="","",IF(AND(DATE($AD394,2,1)&gt;=$AE394,DATE($AD394,2,1)&lt;=$AF394),ROUND($AG394,2),0))</f>
        <v/>
      </c>
      <c r="L394" s="18">
        <f>IF($Z394="","",IF(AND(DATE($AD394,3,1)&gt;=$AE394,DATE($AD394,3,1)&lt;=$AF394),ROUND($AG394,2),0))</f>
        <v/>
      </c>
      <c r="M394" s="18">
        <f>IF($Z394="","",IF(AND(DATE($AD394,4,1)&gt;=$AE394,DATE($AD394,4,1)&lt;=$AF394),ROUND($AG394,2),0))</f>
        <v/>
      </c>
      <c r="N394" s="18">
        <f>IF($Z394="","",IF(AND(DATE($AD394,5,1)&gt;=$AE394,DATE($AD394,5,1)&lt;=$AF394),ROUND($AG394,2),0))</f>
        <v/>
      </c>
      <c r="O394" s="18">
        <f>IF($Z394="","",IF(AND(DATE($AD394,6,1)&gt;=$AE394,DATE($AD394,6,1)&lt;=$AF394),ROUND($AG394,2),0))</f>
        <v/>
      </c>
      <c r="P394" s="18">
        <f>IF($Z394="","",IF(AND(DATE($AD394,7,1)&gt;=$AE394,DATE($AD394,7,1)&lt;=$AF394),ROUND($AG394,2),0))</f>
        <v/>
      </c>
      <c r="Q394" s="18">
        <f>IF($Z394="","",IF(AND(DATE($AD394,8,1)&gt;=$AE394,DATE($AD394,8,1)&lt;=$AF394),ROUND($AG394,2),0))</f>
        <v/>
      </c>
      <c r="R394" s="18">
        <f>IF($Z394="","",IF(AND(DATE($AD394,9,1)&gt;=$AE394,DATE($AD394,9,1)&lt;=$AF394),ROUND($AG394,2),0))</f>
        <v/>
      </c>
      <c r="S394" s="18">
        <f>IF($Z394="","",IF(AND(DATE($AD394,10,1)&gt;=$AE394,DATE($AD394,10,1)&lt;=$AF394),ROUND($AG394,2),0))</f>
        <v/>
      </c>
      <c r="T394" s="18">
        <f>IF($Z394="","",IF(AND(DATE($AD394,11,1)&gt;=$AE394,DATE($AD394,11,1)&lt;=$AF394),ROUND($AG394,2),0))</f>
        <v/>
      </c>
      <c r="U394" s="18">
        <f>IF($Z394="","",IF(AND(DATE($AD394,12,1)&gt;=$AE394,DATE($AD394,12,1)&lt;=$AF394),ROUND($AG394,2),0))</f>
        <v/>
      </c>
      <c r="V394" s="7">
        <f>IF($Z394="C","Generated from "&amp;INDEX(Contracts!$A$2:$A$151,$AB394),IF($Z394="A","Generated from "&amp;INDEX(Fixed_Assets!$A$2:$A$201,$AB394),IF($Z394="F","Generated from "&amp;INDEX(FTE_Allocation!$A$2:$A$201,$AB394),"")))</f>
        <v/>
      </c>
      <c r="X394" s="19">
        <f>IF($Z394="","",SUM(J394:U394))</f>
        <v/>
      </c>
      <c r="Y394" s="20">
        <f>ROW()-1</f>
        <v/>
      </c>
      <c r="Z394" s="20">
        <f>IF($Y394&lt;=Settings!$B$4*3,"C",IF($Y394&lt;=(Settings!$B$4+Settings!$B$5)*3,"A",IF($Y394&lt;=(Settings!$B$4+Settings!$B$5+Settings!$B$6)*3,"F","")))</f>
        <v/>
      </c>
      <c r="AA394" s="20">
        <f>IF($Z394="C",$Y394,IF($Z394="A",$Y394-Settings!$B$4*3,IF($Z394="F",$Y394-(Settings!$B$4+Settings!$B$5)*3,"")))</f>
        <v/>
      </c>
      <c r="AB394" s="20">
        <f>IF($Z394="","",INT(($AA394-1)/3)+1)</f>
        <v/>
      </c>
      <c r="AC394" s="20">
        <f>IF($Z394="","",MOD($AA394-1,3)+1)</f>
        <v/>
      </c>
      <c r="AD394" s="20">
        <f>IF($Z394="","",Settings!$B$2+$AC394-1)</f>
        <v/>
      </c>
      <c r="AE394" s="21">
        <f>IF($Z394="C",DATE(YEAR(INDEX(Contracts!$J$2:$J$151,$AB394)),MONTH(INDEX(Contracts!$J$2:$J$151,$AB394)),1),IF($Z394="A",DATE(YEAR(INDEX(Fixed_Assets!$G$2:$G$201,$AB394)),MONTH(INDEX(Fixed_Assets!$G$2:$G$201,$AB394)),1),IF($Z394="F",DATE(YEAR(MAX(N(INDEX(Workforce!$I$2:$I$151,MATCH(INDEX(FTE_Allocation!$A$2:$A$201,$AB394),Workforce!$A$2:$A$151,0))),N(INDEX(FTE_Allocation!$I$2:$I$201,$AB394)))),MONTH(MAX(N(INDEX(Workforce!$I$2:$I$151,MATCH(INDEX(FTE_Allocation!$A$2:$A$201,$AB394),Workforce!$A$2:$A$151,0))),N(INDEX(FTE_Allocation!$I$2:$I$201,$AB394)))),1),"")))</f>
        <v/>
      </c>
      <c r="AF394" s="21">
        <f>IF($Z394="C",IF(INDEX(Contracts!$I$2:$I$151,$AB394)="PREPAID",EDATE(DATE(YEAR(INDEX(Contracts!$J$2:$J$151,$AB394)),MONTH(INDEX(Contracts!$J$2:$J$151,$AB394)),1),IF(INDEX(Contracts!$N$2:$N$151,$AB394)="",12,INDEX(Contracts!$N$2:$N$151,$AB394))-1),IF(INDEX(Contracts!$I$2:$I$151,$AB394)="MONTHLY",IF(INDEX(Contracts!$K$2:$K$151,$AB394)="",2958101,INDEX(Contracts!$K$2:$K$151,$AB394)),0)),IF($Z394="A",EDATE(DATE(YEAR(INDEX(Fixed_Assets!$G$2:$G$201,$AB394)),MONTH(INDEX(Fixed_Assets!$G$2:$G$201,$AB394)),1),INDEX(Fixed_Assets!$J$2:$J$201,$AB394)-1),IF($Z394="F",MIN(IF(INDEX(Workforce!$J$2:$J$151,MATCH(INDEX(FTE_Allocation!$A$2:$A$201,$AB394),Workforce!$A$2:$A$151,0))="",2958101,INDEX(Workforce!$J$2:$J$151,MATCH(INDEX(FTE_Allocation!$A$2:$A$201,$AB394),Workforce!$A$2:$A$151,0))),IF(INDEX(FTE_Allocation!$J$2:$J$201,$AB394)="",2958101,INDEX(FTE_Allocation!$J$2:$J$201,$AB394))),"")))</f>
        <v/>
      </c>
      <c r="AG394" s="19">
        <f>IF($Z394="C",IF(INDEX(Contracts!$I$2:$I$151,$AB394)="PREPAID",INDEX(Contracts!$M$2:$M$151,$AB394)/IF(INDEX(Contracts!$N$2:$N$151,$AB394)="",12,INDEX(Contracts!$N$2:$N$151,$AB394)),IF(INDEX(Contracts!$I$2:$I$151,$AB394)="MONTHLY",INDEX(Contracts!$M$2:$M$151,$AB394),0))*(1-N(INDEX(Contracts!$O$2:$O$151,$AB394))),IF($Z394="A",INDEX(Fixed_Assets!$H$2:$H$201,$AB394)/INDEX(Fixed_Assets!$J$2:$J$201,$AB394),IF($Z394="F",INDEX(Workforce!$F$2:$F$151,MATCH(INDEX(FTE_Allocation!$A$2:$A$201,$AB394),Workforce!$A$2:$A$151,0))*N(INDEX(FTE_Allocation!$F$2:$H$201,$AB394,$AC394)),"")))</f>
        <v/>
      </c>
    </row>
    <row r="395">
      <c r="A395" s="7">
        <f>IF($Z395="","",$AD395)</f>
        <v/>
      </c>
      <c r="B395" s="7">
        <f>IF($Z395="C",INDEX(Contracts!$D$2:$D$151,$AB395)&amp;"",IF($Z395="A",INDEX(Fixed_Assets!$C$2:$C$201,$AB395)&amp;"",IF($Z395="F",INDEX(Workforce!$B$2:$B$151,MATCH(INDEX(FTE_Allocation!$A$2:$A$201,$AB395),Workforce!$A$2:$A$151,0))&amp;"","")))</f>
        <v/>
      </c>
      <c r="C395" s="7">
        <f>IF($Z395="C",INDEX(Contracts!$E$2:$E$151,$AB395)&amp;"",IF($Z395="A",INDEX(Fixed_Assets!$D$2:$D$201,$AB395)&amp;"",IF($Z395="F",INDEX(FTE_Allocation!$C$2:$C$201,$AB395)&amp;"","")))</f>
        <v/>
      </c>
      <c r="D395" s="7">
        <f>IF($Z395="C",INDEX(Contracts!$B$2:$B$151,$AB395)&amp;"",IF($Z395="A",INDEX(Fixed_Assets!$B$2:$B$201,$AB395)&amp;"",IF($Z395="F",INDEX(FTE_Allocation!$B$2:$B$201,$AB395)&amp;"","")))</f>
        <v/>
      </c>
      <c r="E395" s="7">
        <f>IF($Z395="C",INDEX(Contracts!$P$2:$P$151,$AB395)&amp;"",IF($Z395="A",INDEX(Fixed_Assets!$K$2:$K$201,$AB395)&amp;"",IF($Z395="F",IF(INDEX(FTE_Allocation!$D$2:$D$201,$AB395)="PROJECT",IFERROR(INDEX(Projects!$D:$D,MATCH(INDEX(FTE_Allocation!$E$2:$E$201,$AB395),Projects!$A:$A,0))&amp;"","#PROJECT?"),INDEX(FTE_Allocation!$E$2:$E$201,$AB395)&amp;""),"")))</f>
        <v/>
      </c>
      <c r="F395" s="7">
        <f>IF($Z395="C",INDEX(Contracts!$Q$2:$Q$151,$AB395)&amp;"",IF($Z395="A",INDEX(Fixed_Assets!$L$2:$L$201,$AB395)&amp;"",IF($Z395="F",INDEX(Workforce!$K$2:$K$151,MATCH(INDEX(FTE_Allocation!$A$2:$A$201,$AB395),Workforce!$A$2:$A$151,0))&amp;"","")))</f>
        <v/>
      </c>
      <c r="G395" s="7">
        <f>IF($Z395="C",INDEX(Contracts!$F$2:$F$151,$AB395)&amp;" / "&amp;INDEX(Contracts!$G$2:$G$151,$AB395),IF($Z395="A",INDEX(Fixed_Assets!$E$2:$E$201,$AB395)&amp;"",IF($Z395="F","Personnel "&amp;INDEX(FTE_Allocation!$A$2:$A$201,$AB395)&amp;IF(INDEX(FTE_Allocation!$D$2:$D$201,$AB395)="PROJECT"," ("&amp;INDEX(FTE_Allocation!$E$2:$E$201,$AB395)&amp;")",""),"")))</f>
        <v/>
      </c>
      <c r="H395" s="7">
        <f>IF($Z395="C","CONTRACT",IF($Z395="A","ASSET",IF($Z395="F","WORKFORCE","")))</f>
        <v/>
      </c>
      <c r="I395" s="7">
        <f>IF($Z395="C",INDEX(Contracts!$L$2:$L$151,$AB395)&amp;"",IF($Z395="A",INDEX(Fixed_Assets!$I$2:$I$201,$AB395)&amp;"",IF($Z395="F",INDEX(Workforce!$G$2:$G$151,MATCH(INDEX(FTE_Allocation!$A$2:$A$201,$AB395),Workforce!$A$2:$A$151,0))&amp;"","")))</f>
        <v/>
      </c>
      <c r="J395" s="18">
        <f>IF($Z395="","",IF(AND(DATE($AD395,1,1)&gt;=$AE395,DATE($AD395,1,1)&lt;=$AF395),ROUND($AG395,2),0))</f>
        <v/>
      </c>
      <c r="K395" s="18">
        <f>IF($Z395="","",IF(AND(DATE($AD395,2,1)&gt;=$AE395,DATE($AD395,2,1)&lt;=$AF395),ROUND($AG395,2),0))</f>
        <v/>
      </c>
      <c r="L395" s="18">
        <f>IF($Z395="","",IF(AND(DATE($AD395,3,1)&gt;=$AE395,DATE($AD395,3,1)&lt;=$AF395),ROUND($AG395,2),0))</f>
        <v/>
      </c>
      <c r="M395" s="18">
        <f>IF($Z395="","",IF(AND(DATE($AD395,4,1)&gt;=$AE395,DATE($AD395,4,1)&lt;=$AF395),ROUND($AG395,2),0))</f>
        <v/>
      </c>
      <c r="N395" s="18">
        <f>IF($Z395="","",IF(AND(DATE($AD395,5,1)&gt;=$AE395,DATE($AD395,5,1)&lt;=$AF395),ROUND($AG395,2),0))</f>
        <v/>
      </c>
      <c r="O395" s="18">
        <f>IF($Z395="","",IF(AND(DATE($AD395,6,1)&gt;=$AE395,DATE($AD395,6,1)&lt;=$AF395),ROUND($AG395,2),0))</f>
        <v/>
      </c>
      <c r="P395" s="18">
        <f>IF($Z395="","",IF(AND(DATE($AD395,7,1)&gt;=$AE395,DATE($AD395,7,1)&lt;=$AF395),ROUND($AG395,2),0))</f>
        <v/>
      </c>
      <c r="Q395" s="18">
        <f>IF($Z395="","",IF(AND(DATE($AD395,8,1)&gt;=$AE395,DATE($AD395,8,1)&lt;=$AF395),ROUND($AG395,2),0))</f>
        <v/>
      </c>
      <c r="R395" s="18">
        <f>IF($Z395="","",IF(AND(DATE($AD395,9,1)&gt;=$AE395,DATE($AD395,9,1)&lt;=$AF395),ROUND($AG395,2),0))</f>
        <v/>
      </c>
      <c r="S395" s="18">
        <f>IF($Z395="","",IF(AND(DATE($AD395,10,1)&gt;=$AE395,DATE($AD395,10,1)&lt;=$AF395),ROUND($AG395,2),0))</f>
        <v/>
      </c>
      <c r="T395" s="18">
        <f>IF($Z395="","",IF(AND(DATE($AD395,11,1)&gt;=$AE395,DATE($AD395,11,1)&lt;=$AF395),ROUND($AG395,2),0))</f>
        <v/>
      </c>
      <c r="U395" s="18">
        <f>IF($Z395="","",IF(AND(DATE($AD395,12,1)&gt;=$AE395,DATE($AD395,12,1)&lt;=$AF395),ROUND($AG395,2),0))</f>
        <v/>
      </c>
      <c r="V395" s="7">
        <f>IF($Z395="C","Generated from "&amp;INDEX(Contracts!$A$2:$A$151,$AB395),IF($Z395="A","Generated from "&amp;INDEX(Fixed_Assets!$A$2:$A$201,$AB395),IF($Z395="F","Generated from "&amp;INDEX(FTE_Allocation!$A$2:$A$201,$AB395),"")))</f>
        <v/>
      </c>
      <c r="X395" s="19">
        <f>IF($Z395="","",SUM(J395:U395))</f>
        <v/>
      </c>
      <c r="Y395" s="20">
        <f>ROW()-1</f>
        <v/>
      </c>
      <c r="Z395" s="20">
        <f>IF($Y395&lt;=Settings!$B$4*3,"C",IF($Y395&lt;=(Settings!$B$4+Settings!$B$5)*3,"A",IF($Y395&lt;=(Settings!$B$4+Settings!$B$5+Settings!$B$6)*3,"F","")))</f>
        <v/>
      </c>
      <c r="AA395" s="20">
        <f>IF($Z395="C",$Y395,IF($Z395="A",$Y395-Settings!$B$4*3,IF($Z395="F",$Y395-(Settings!$B$4+Settings!$B$5)*3,"")))</f>
        <v/>
      </c>
      <c r="AB395" s="20">
        <f>IF($Z395="","",INT(($AA395-1)/3)+1)</f>
        <v/>
      </c>
      <c r="AC395" s="20">
        <f>IF($Z395="","",MOD($AA395-1,3)+1)</f>
        <v/>
      </c>
      <c r="AD395" s="20">
        <f>IF($Z395="","",Settings!$B$2+$AC395-1)</f>
        <v/>
      </c>
      <c r="AE395" s="21">
        <f>IF($Z395="C",DATE(YEAR(INDEX(Contracts!$J$2:$J$151,$AB395)),MONTH(INDEX(Contracts!$J$2:$J$151,$AB395)),1),IF($Z395="A",DATE(YEAR(INDEX(Fixed_Assets!$G$2:$G$201,$AB395)),MONTH(INDEX(Fixed_Assets!$G$2:$G$201,$AB395)),1),IF($Z395="F",DATE(YEAR(MAX(N(INDEX(Workforce!$I$2:$I$151,MATCH(INDEX(FTE_Allocation!$A$2:$A$201,$AB395),Workforce!$A$2:$A$151,0))),N(INDEX(FTE_Allocation!$I$2:$I$201,$AB395)))),MONTH(MAX(N(INDEX(Workforce!$I$2:$I$151,MATCH(INDEX(FTE_Allocation!$A$2:$A$201,$AB395),Workforce!$A$2:$A$151,0))),N(INDEX(FTE_Allocation!$I$2:$I$201,$AB395)))),1),"")))</f>
        <v/>
      </c>
      <c r="AF395" s="21">
        <f>IF($Z395="C",IF(INDEX(Contracts!$I$2:$I$151,$AB395)="PREPAID",EDATE(DATE(YEAR(INDEX(Contracts!$J$2:$J$151,$AB395)),MONTH(INDEX(Contracts!$J$2:$J$151,$AB395)),1),IF(INDEX(Contracts!$N$2:$N$151,$AB395)="",12,INDEX(Contracts!$N$2:$N$151,$AB395))-1),IF(INDEX(Contracts!$I$2:$I$151,$AB395)="MONTHLY",IF(INDEX(Contracts!$K$2:$K$151,$AB395)="",2958101,INDEX(Contracts!$K$2:$K$151,$AB395)),0)),IF($Z395="A",EDATE(DATE(YEAR(INDEX(Fixed_Assets!$G$2:$G$201,$AB395)),MONTH(INDEX(Fixed_Assets!$G$2:$G$201,$AB395)),1),INDEX(Fixed_Assets!$J$2:$J$201,$AB395)-1),IF($Z395="F",MIN(IF(INDEX(Workforce!$J$2:$J$151,MATCH(INDEX(FTE_Allocation!$A$2:$A$201,$AB395),Workforce!$A$2:$A$151,0))="",2958101,INDEX(Workforce!$J$2:$J$151,MATCH(INDEX(FTE_Allocation!$A$2:$A$201,$AB395),Workforce!$A$2:$A$151,0))),IF(INDEX(FTE_Allocation!$J$2:$J$201,$AB395)="",2958101,INDEX(FTE_Allocation!$J$2:$J$201,$AB395))),"")))</f>
        <v/>
      </c>
      <c r="AG395" s="19">
        <f>IF($Z395="C",IF(INDEX(Contracts!$I$2:$I$151,$AB395)="PREPAID",INDEX(Contracts!$M$2:$M$151,$AB395)/IF(INDEX(Contracts!$N$2:$N$151,$AB395)="",12,INDEX(Contracts!$N$2:$N$151,$AB395)),IF(INDEX(Contracts!$I$2:$I$151,$AB395)="MONTHLY",INDEX(Contracts!$M$2:$M$151,$AB395),0))*(1-N(INDEX(Contracts!$O$2:$O$151,$AB395))),IF($Z395="A",INDEX(Fixed_Assets!$H$2:$H$201,$AB395)/INDEX(Fixed_Assets!$J$2:$J$201,$AB395),IF($Z395="F",INDEX(Workforce!$F$2:$F$151,MATCH(INDEX(FTE_Allocation!$A$2:$A$201,$AB395),Workforce!$A$2:$A$151,0))*N(INDEX(FTE_Allocation!$F$2:$H$201,$AB395,$AC395)),"")))</f>
        <v/>
      </c>
    </row>
    <row r="396">
      <c r="A396" s="7">
        <f>IF($Z396="","",$AD396)</f>
        <v/>
      </c>
      <c r="B396" s="7">
        <f>IF($Z396="C",INDEX(Contracts!$D$2:$D$151,$AB396)&amp;"",IF($Z396="A",INDEX(Fixed_Assets!$C$2:$C$201,$AB396)&amp;"",IF($Z396="F",INDEX(Workforce!$B$2:$B$151,MATCH(INDEX(FTE_Allocation!$A$2:$A$201,$AB396),Workforce!$A$2:$A$151,0))&amp;"","")))</f>
        <v/>
      </c>
      <c r="C396" s="7">
        <f>IF($Z396="C",INDEX(Contracts!$E$2:$E$151,$AB396)&amp;"",IF($Z396="A",INDEX(Fixed_Assets!$D$2:$D$201,$AB396)&amp;"",IF($Z396="F",INDEX(FTE_Allocation!$C$2:$C$201,$AB396)&amp;"","")))</f>
        <v/>
      </c>
      <c r="D396" s="7">
        <f>IF($Z396="C",INDEX(Contracts!$B$2:$B$151,$AB396)&amp;"",IF($Z396="A",INDEX(Fixed_Assets!$B$2:$B$201,$AB396)&amp;"",IF($Z396="F",INDEX(FTE_Allocation!$B$2:$B$201,$AB396)&amp;"","")))</f>
        <v/>
      </c>
      <c r="E396" s="7">
        <f>IF($Z396="C",INDEX(Contracts!$P$2:$P$151,$AB396)&amp;"",IF($Z396="A",INDEX(Fixed_Assets!$K$2:$K$201,$AB396)&amp;"",IF($Z396="F",IF(INDEX(FTE_Allocation!$D$2:$D$201,$AB396)="PROJECT",IFERROR(INDEX(Projects!$D:$D,MATCH(INDEX(FTE_Allocation!$E$2:$E$201,$AB396),Projects!$A:$A,0))&amp;"","#PROJECT?"),INDEX(FTE_Allocation!$E$2:$E$201,$AB396)&amp;""),"")))</f>
        <v/>
      </c>
      <c r="F396" s="7">
        <f>IF($Z396="C",INDEX(Contracts!$Q$2:$Q$151,$AB396)&amp;"",IF($Z396="A",INDEX(Fixed_Assets!$L$2:$L$201,$AB396)&amp;"",IF($Z396="F",INDEX(Workforce!$K$2:$K$151,MATCH(INDEX(FTE_Allocation!$A$2:$A$201,$AB396),Workforce!$A$2:$A$151,0))&amp;"","")))</f>
        <v/>
      </c>
      <c r="G396" s="7">
        <f>IF($Z396="C",INDEX(Contracts!$F$2:$F$151,$AB396)&amp;" / "&amp;INDEX(Contracts!$G$2:$G$151,$AB396),IF($Z396="A",INDEX(Fixed_Assets!$E$2:$E$201,$AB396)&amp;"",IF($Z396="F","Personnel "&amp;INDEX(FTE_Allocation!$A$2:$A$201,$AB396)&amp;IF(INDEX(FTE_Allocation!$D$2:$D$201,$AB396)="PROJECT"," ("&amp;INDEX(FTE_Allocation!$E$2:$E$201,$AB396)&amp;")",""),"")))</f>
        <v/>
      </c>
      <c r="H396" s="7">
        <f>IF($Z396="C","CONTRACT",IF($Z396="A","ASSET",IF($Z396="F","WORKFORCE","")))</f>
        <v/>
      </c>
      <c r="I396" s="7">
        <f>IF($Z396="C",INDEX(Contracts!$L$2:$L$151,$AB396)&amp;"",IF($Z396="A",INDEX(Fixed_Assets!$I$2:$I$201,$AB396)&amp;"",IF($Z396="F",INDEX(Workforce!$G$2:$G$151,MATCH(INDEX(FTE_Allocation!$A$2:$A$201,$AB396),Workforce!$A$2:$A$151,0))&amp;"","")))</f>
        <v/>
      </c>
      <c r="J396" s="18">
        <f>IF($Z396="","",IF(AND(DATE($AD396,1,1)&gt;=$AE396,DATE($AD396,1,1)&lt;=$AF396),ROUND($AG396,2),0))</f>
        <v/>
      </c>
      <c r="K396" s="18">
        <f>IF($Z396="","",IF(AND(DATE($AD396,2,1)&gt;=$AE396,DATE($AD396,2,1)&lt;=$AF396),ROUND($AG396,2),0))</f>
        <v/>
      </c>
      <c r="L396" s="18">
        <f>IF($Z396="","",IF(AND(DATE($AD396,3,1)&gt;=$AE396,DATE($AD396,3,1)&lt;=$AF396),ROUND($AG396,2),0))</f>
        <v/>
      </c>
      <c r="M396" s="18">
        <f>IF($Z396="","",IF(AND(DATE($AD396,4,1)&gt;=$AE396,DATE($AD396,4,1)&lt;=$AF396),ROUND($AG396,2),0))</f>
        <v/>
      </c>
      <c r="N396" s="18">
        <f>IF($Z396="","",IF(AND(DATE($AD396,5,1)&gt;=$AE396,DATE($AD396,5,1)&lt;=$AF396),ROUND($AG396,2),0))</f>
        <v/>
      </c>
      <c r="O396" s="18">
        <f>IF($Z396="","",IF(AND(DATE($AD396,6,1)&gt;=$AE396,DATE($AD396,6,1)&lt;=$AF396),ROUND($AG396,2),0))</f>
        <v/>
      </c>
      <c r="P396" s="18">
        <f>IF($Z396="","",IF(AND(DATE($AD396,7,1)&gt;=$AE396,DATE($AD396,7,1)&lt;=$AF396),ROUND($AG396,2),0))</f>
        <v/>
      </c>
      <c r="Q396" s="18">
        <f>IF($Z396="","",IF(AND(DATE($AD396,8,1)&gt;=$AE396,DATE($AD396,8,1)&lt;=$AF396),ROUND($AG396,2),0))</f>
        <v/>
      </c>
      <c r="R396" s="18">
        <f>IF($Z396="","",IF(AND(DATE($AD396,9,1)&gt;=$AE396,DATE($AD396,9,1)&lt;=$AF396),ROUND($AG396,2),0))</f>
        <v/>
      </c>
      <c r="S396" s="18">
        <f>IF($Z396="","",IF(AND(DATE($AD396,10,1)&gt;=$AE396,DATE($AD396,10,1)&lt;=$AF396),ROUND($AG396,2),0))</f>
        <v/>
      </c>
      <c r="T396" s="18">
        <f>IF($Z396="","",IF(AND(DATE($AD396,11,1)&gt;=$AE396,DATE($AD396,11,1)&lt;=$AF396),ROUND($AG396,2),0))</f>
        <v/>
      </c>
      <c r="U396" s="18">
        <f>IF($Z396="","",IF(AND(DATE($AD396,12,1)&gt;=$AE396,DATE($AD396,12,1)&lt;=$AF396),ROUND($AG396,2),0))</f>
        <v/>
      </c>
      <c r="V396" s="7">
        <f>IF($Z396="C","Generated from "&amp;INDEX(Contracts!$A$2:$A$151,$AB396),IF($Z396="A","Generated from "&amp;INDEX(Fixed_Assets!$A$2:$A$201,$AB396),IF($Z396="F","Generated from "&amp;INDEX(FTE_Allocation!$A$2:$A$201,$AB396),"")))</f>
        <v/>
      </c>
      <c r="X396" s="19">
        <f>IF($Z396="","",SUM(J396:U396))</f>
        <v/>
      </c>
      <c r="Y396" s="20">
        <f>ROW()-1</f>
        <v/>
      </c>
      <c r="Z396" s="20">
        <f>IF($Y396&lt;=Settings!$B$4*3,"C",IF($Y396&lt;=(Settings!$B$4+Settings!$B$5)*3,"A",IF($Y396&lt;=(Settings!$B$4+Settings!$B$5+Settings!$B$6)*3,"F","")))</f>
        <v/>
      </c>
      <c r="AA396" s="20">
        <f>IF($Z396="C",$Y396,IF($Z396="A",$Y396-Settings!$B$4*3,IF($Z396="F",$Y396-(Settings!$B$4+Settings!$B$5)*3,"")))</f>
        <v/>
      </c>
      <c r="AB396" s="20">
        <f>IF($Z396="","",INT(($AA396-1)/3)+1)</f>
        <v/>
      </c>
      <c r="AC396" s="20">
        <f>IF($Z396="","",MOD($AA396-1,3)+1)</f>
        <v/>
      </c>
      <c r="AD396" s="20">
        <f>IF($Z396="","",Settings!$B$2+$AC396-1)</f>
        <v/>
      </c>
      <c r="AE396" s="21">
        <f>IF($Z396="C",DATE(YEAR(INDEX(Contracts!$J$2:$J$151,$AB396)),MONTH(INDEX(Contracts!$J$2:$J$151,$AB396)),1),IF($Z396="A",DATE(YEAR(INDEX(Fixed_Assets!$G$2:$G$201,$AB396)),MONTH(INDEX(Fixed_Assets!$G$2:$G$201,$AB396)),1),IF($Z396="F",DATE(YEAR(MAX(N(INDEX(Workforce!$I$2:$I$151,MATCH(INDEX(FTE_Allocation!$A$2:$A$201,$AB396),Workforce!$A$2:$A$151,0))),N(INDEX(FTE_Allocation!$I$2:$I$201,$AB396)))),MONTH(MAX(N(INDEX(Workforce!$I$2:$I$151,MATCH(INDEX(FTE_Allocation!$A$2:$A$201,$AB396),Workforce!$A$2:$A$151,0))),N(INDEX(FTE_Allocation!$I$2:$I$201,$AB396)))),1),"")))</f>
        <v/>
      </c>
      <c r="AF396" s="21">
        <f>IF($Z396="C",IF(INDEX(Contracts!$I$2:$I$151,$AB396)="PREPAID",EDATE(DATE(YEAR(INDEX(Contracts!$J$2:$J$151,$AB396)),MONTH(INDEX(Contracts!$J$2:$J$151,$AB396)),1),IF(INDEX(Contracts!$N$2:$N$151,$AB396)="",12,INDEX(Contracts!$N$2:$N$151,$AB396))-1),IF(INDEX(Contracts!$I$2:$I$151,$AB396)="MONTHLY",IF(INDEX(Contracts!$K$2:$K$151,$AB396)="",2958101,INDEX(Contracts!$K$2:$K$151,$AB396)),0)),IF($Z396="A",EDATE(DATE(YEAR(INDEX(Fixed_Assets!$G$2:$G$201,$AB396)),MONTH(INDEX(Fixed_Assets!$G$2:$G$201,$AB396)),1),INDEX(Fixed_Assets!$J$2:$J$201,$AB396)-1),IF($Z396="F",MIN(IF(INDEX(Workforce!$J$2:$J$151,MATCH(INDEX(FTE_Allocation!$A$2:$A$201,$AB396),Workforce!$A$2:$A$151,0))="",2958101,INDEX(Workforce!$J$2:$J$151,MATCH(INDEX(FTE_Allocation!$A$2:$A$201,$AB396),Workforce!$A$2:$A$151,0))),IF(INDEX(FTE_Allocation!$J$2:$J$201,$AB396)="",2958101,INDEX(FTE_Allocation!$J$2:$J$201,$AB396))),"")))</f>
        <v/>
      </c>
      <c r="AG396" s="19">
        <f>IF($Z396="C",IF(INDEX(Contracts!$I$2:$I$151,$AB396)="PREPAID",INDEX(Contracts!$M$2:$M$151,$AB396)/IF(INDEX(Contracts!$N$2:$N$151,$AB396)="",12,INDEX(Contracts!$N$2:$N$151,$AB396)),IF(INDEX(Contracts!$I$2:$I$151,$AB396)="MONTHLY",INDEX(Contracts!$M$2:$M$151,$AB396),0))*(1-N(INDEX(Contracts!$O$2:$O$151,$AB396))),IF($Z396="A",INDEX(Fixed_Assets!$H$2:$H$201,$AB396)/INDEX(Fixed_Assets!$J$2:$J$201,$AB396),IF($Z396="F",INDEX(Workforce!$F$2:$F$151,MATCH(INDEX(FTE_Allocation!$A$2:$A$201,$AB396),Workforce!$A$2:$A$151,0))*N(INDEX(FTE_Allocation!$F$2:$H$201,$AB396,$AC396)),"")))</f>
        <v/>
      </c>
    </row>
    <row r="397">
      <c r="A397" s="7">
        <f>IF($Z397="","",$AD397)</f>
        <v/>
      </c>
      <c r="B397" s="7">
        <f>IF($Z397="C",INDEX(Contracts!$D$2:$D$151,$AB397)&amp;"",IF($Z397="A",INDEX(Fixed_Assets!$C$2:$C$201,$AB397)&amp;"",IF($Z397="F",INDEX(Workforce!$B$2:$B$151,MATCH(INDEX(FTE_Allocation!$A$2:$A$201,$AB397),Workforce!$A$2:$A$151,0))&amp;"","")))</f>
        <v/>
      </c>
      <c r="C397" s="7">
        <f>IF($Z397="C",INDEX(Contracts!$E$2:$E$151,$AB397)&amp;"",IF($Z397="A",INDEX(Fixed_Assets!$D$2:$D$201,$AB397)&amp;"",IF($Z397="F",INDEX(FTE_Allocation!$C$2:$C$201,$AB397)&amp;"","")))</f>
        <v/>
      </c>
      <c r="D397" s="7">
        <f>IF($Z397="C",INDEX(Contracts!$B$2:$B$151,$AB397)&amp;"",IF($Z397="A",INDEX(Fixed_Assets!$B$2:$B$201,$AB397)&amp;"",IF($Z397="F",INDEX(FTE_Allocation!$B$2:$B$201,$AB397)&amp;"","")))</f>
        <v/>
      </c>
      <c r="E397" s="7">
        <f>IF($Z397="C",INDEX(Contracts!$P$2:$P$151,$AB397)&amp;"",IF($Z397="A",INDEX(Fixed_Assets!$K$2:$K$201,$AB397)&amp;"",IF($Z397="F",IF(INDEX(FTE_Allocation!$D$2:$D$201,$AB397)="PROJECT",IFERROR(INDEX(Projects!$D:$D,MATCH(INDEX(FTE_Allocation!$E$2:$E$201,$AB397),Projects!$A:$A,0))&amp;"","#PROJECT?"),INDEX(FTE_Allocation!$E$2:$E$201,$AB397)&amp;""),"")))</f>
        <v/>
      </c>
      <c r="F397" s="7">
        <f>IF($Z397="C",INDEX(Contracts!$Q$2:$Q$151,$AB397)&amp;"",IF($Z397="A",INDEX(Fixed_Assets!$L$2:$L$201,$AB397)&amp;"",IF($Z397="F",INDEX(Workforce!$K$2:$K$151,MATCH(INDEX(FTE_Allocation!$A$2:$A$201,$AB397),Workforce!$A$2:$A$151,0))&amp;"","")))</f>
        <v/>
      </c>
      <c r="G397" s="7">
        <f>IF($Z397="C",INDEX(Contracts!$F$2:$F$151,$AB397)&amp;" / "&amp;INDEX(Contracts!$G$2:$G$151,$AB397),IF($Z397="A",INDEX(Fixed_Assets!$E$2:$E$201,$AB397)&amp;"",IF($Z397="F","Personnel "&amp;INDEX(FTE_Allocation!$A$2:$A$201,$AB397)&amp;IF(INDEX(FTE_Allocation!$D$2:$D$201,$AB397)="PROJECT"," ("&amp;INDEX(FTE_Allocation!$E$2:$E$201,$AB397)&amp;")",""),"")))</f>
        <v/>
      </c>
      <c r="H397" s="7">
        <f>IF($Z397="C","CONTRACT",IF($Z397="A","ASSET",IF($Z397="F","WORKFORCE","")))</f>
        <v/>
      </c>
      <c r="I397" s="7">
        <f>IF($Z397="C",INDEX(Contracts!$L$2:$L$151,$AB397)&amp;"",IF($Z397="A",INDEX(Fixed_Assets!$I$2:$I$201,$AB397)&amp;"",IF($Z397="F",INDEX(Workforce!$G$2:$G$151,MATCH(INDEX(FTE_Allocation!$A$2:$A$201,$AB397),Workforce!$A$2:$A$151,0))&amp;"","")))</f>
        <v/>
      </c>
      <c r="J397" s="18">
        <f>IF($Z397="","",IF(AND(DATE($AD397,1,1)&gt;=$AE397,DATE($AD397,1,1)&lt;=$AF397),ROUND($AG397,2),0))</f>
        <v/>
      </c>
      <c r="K397" s="18">
        <f>IF($Z397="","",IF(AND(DATE($AD397,2,1)&gt;=$AE397,DATE($AD397,2,1)&lt;=$AF397),ROUND($AG397,2),0))</f>
        <v/>
      </c>
      <c r="L397" s="18">
        <f>IF($Z397="","",IF(AND(DATE($AD397,3,1)&gt;=$AE397,DATE($AD397,3,1)&lt;=$AF397),ROUND($AG397,2),0))</f>
        <v/>
      </c>
      <c r="M397" s="18">
        <f>IF($Z397="","",IF(AND(DATE($AD397,4,1)&gt;=$AE397,DATE($AD397,4,1)&lt;=$AF397),ROUND($AG397,2),0))</f>
        <v/>
      </c>
      <c r="N397" s="18">
        <f>IF($Z397="","",IF(AND(DATE($AD397,5,1)&gt;=$AE397,DATE($AD397,5,1)&lt;=$AF397),ROUND($AG397,2),0))</f>
        <v/>
      </c>
      <c r="O397" s="18">
        <f>IF($Z397="","",IF(AND(DATE($AD397,6,1)&gt;=$AE397,DATE($AD397,6,1)&lt;=$AF397),ROUND($AG397,2),0))</f>
        <v/>
      </c>
      <c r="P397" s="18">
        <f>IF($Z397="","",IF(AND(DATE($AD397,7,1)&gt;=$AE397,DATE($AD397,7,1)&lt;=$AF397),ROUND($AG397,2),0))</f>
        <v/>
      </c>
      <c r="Q397" s="18">
        <f>IF($Z397="","",IF(AND(DATE($AD397,8,1)&gt;=$AE397,DATE($AD397,8,1)&lt;=$AF397),ROUND($AG397,2),0))</f>
        <v/>
      </c>
      <c r="R397" s="18">
        <f>IF($Z397="","",IF(AND(DATE($AD397,9,1)&gt;=$AE397,DATE($AD397,9,1)&lt;=$AF397),ROUND($AG397,2),0))</f>
        <v/>
      </c>
      <c r="S397" s="18">
        <f>IF($Z397="","",IF(AND(DATE($AD397,10,1)&gt;=$AE397,DATE($AD397,10,1)&lt;=$AF397),ROUND($AG397,2),0))</f>
        <v/>
      </c>
      <c r="T397" s="18">
        <f>IF($Z397="","",IF(AND(DATE($AD397,11,1)&gt;=$AE397,DATE($AD397,11,1)&lt;=$AF397),ROUND($AG397,2),0))</f>
        <v/>
      </c>
      <c r="U397" s="18">
        <f>IF($Z397="","",IF(AND(DATE($AD397,12,1)&gt;=$AE397,DATE($AD397,12,1)&lt;=$AF397),ROUND($AG397,2),0))</f>
        <v/>
      </c>
      <c r="V397" s="7">
        <f>IF($Z397="C","Generated from "&amp;INDEX(Contracts!$A$2:$A$151,$AB397),IF($Z397="A","Generated from "&amp;INDEX(Fixed_Assets!$A$2:$A$201,$AB397),IF($Z397="F","Generated from "&amp;INDEX(FTE_Allocation!$A$2:$A$201,$AB397),"")))</f>
        <v/>
      </c>
      <c r="X397" s="19">
        <f>IF($Z397="","",SUM(J397:U397))</f>
        <v/>
      </c>
      <c r="Y397" s="20">
        <f>ROW()-1</f>
        <v/>
      </c>
      <c r="Z397" s="20">
        <f>IF($Y397&lt;=Settings!$B$4*3,"C",IF($Y397&lt;=(Settings!$B$4+Settings!$B$5)*3,"A",IF($Y397&lt;=(Settings!$B$4+Settings!$B$5+Settings!$B$6)*3,"F","")))</f>
        <v/>
      </c>
      <c r="AA397" s="20">
        <f>IF($Z397="C",$Y397,IF($Z397="A",$Y397-Settings!$B$4*3,IF($Z397="F",$Y397-(Settings!$B$4+Settings!$B$5)*3,"")))</f>
        <v/>
      </c>
      <c r="AB397" s="20">
        <f>IF($Z397="","",INT(($AA397-1)/3)+1)</f>
        <v/>
      </c>
      <c r="AC397" s="20">
        <f>IF($Z397="","",MOD($AA397-1,3)+1)</f>
        <v/>
      </c>
      <c r="AD397" s="20">
        <f>IF($Z397="","",Settings!$B$2+$AC397-1)</f>
        <v/>
      </c>
      <c r="AE397" s="21">
        <f>IF($Z397="C",DATE(YEAR(INDEX(Contracts!$J$2:$J$151,$AB397)),MONTH(INDEX(Contracts!$J$2:$J$151,$AB397)),1),IF($Z397="A",DATE(YEAR(INDEX(Fixed_Assets!$G$2:$G$201,$AB397)),MONTH(INDEX(Fixed_Assets!$G$2:$G$201,$AB397)),1),IF($Z397="F",DATE(YEAR(MAX(N(INDEX(Workforce!$I$2:$I$151,MATCH(INDEX(FTE_Allocation!$A$2:$A$201,$AB397),Workforce!$A$2:$A$151,0))),N(INDEX(FTE_Allocation!$I$2:$I$201,$AB397)))),MONTH(MAX(N(INDEX(Workforce!$I$2:$I$151,MATCH(INDEX(FTE_Allocation!$A$2:$A$201,$AB397),Workforce!$A$2:$A$151,0))),N(INDEX(FTE_Allocation!$I$2:$I$201,$AB397)))),1),"")))</f>
        <v/>
      </c>
      <c r="AF397" s="21">
        <f>IF($Z397="C",IF(INDEX(Contracts!$I$2:$I$151,$AB397)="PREPAID",EDATE(DATE(YEAR(INDEX(Contracts!$J$2:$J$151,$AB397)),MONTH(INDEX(Contracts!$J$2:$J$151,$AB397)),1),IF(INDEX(Contracts!$N$2:$N$151,$AB397)="",12,INDEX(Contracts!$N$2:$N$151,$AB397))-1),IF(INDEX(Contracts!$I$2:$I$151,$AB397)="MONTHLY",IF(INDEX(Contracts!$K$2:$K$151,$AB397)="",2958101,INDEX(Contracts!$K$2:$K$151,$AB397)),0)),IF($Z397="A",EDATE(DATE(YEAR(INDEX(Fixed_Assets!$G$2:$G$201,$AB397)),MONTH(INDEX(Fixed_Assets!$G$2:$G$201,$AB397)),1),INDEX(Fixed_Assets!$J$2:$J$201,$AB397)-1),IF($Z397="F",MIN(IF(INDEX(Workforce!$J$2:$J$151,MATCH(INDEX(FTE_Allocation!$A$2:$A$201,$AB397),Workforce!$A$2:$A$151,0))="",2958101,INDEX(Workforce!$J$2:$J$151,MATCH(INDEX(FTE_Allocation!$A$2:$A$201,$AB397),Workforce!$A$2:$A$151,0))),IF(INDEX(FTE_Allocation!$J$2:$J$201,$AB397)="",2958101,INDEX(FTE_Allocation!$J$2:$J$201,$AB397))),"")))</f>
        <v/>
      </c>
      <c r="AG397" s="19">
        <f>IF($Z397="C",IF(INDEX(Contracts!$I$2:$I$151,$AB397)="PREPAID",INDEX(Contracts!$M$2:$M$151,$AB397)/IF(INDEX(Contracts!$N$2:$N$151,$AB397)="",12,INDEX(Contracts!$N$2:$N$151,$AB397)),IF(INDEX(Contracts!$I$2:$I$151,$AB397)="MONTHLY",INDEX(Contracts!$M$2:$M$151,$AB397),0))*(1-N(INDEX(Contracts!$O$2:$O$151,$AB397))),IF($Z397="A",INDEX(Fixed_Assets!$H$2:$H$201,$AB397)/INDEX(Fixed_Assets!$J$2:$J$201,$AB397),IF($Z397="F",INDEX(Workforce!$F$2:$F$151,MATCH(INDEX(FTE_Allocation!$A$2:$A$201,$AB397),Workforce!$A$2:$A$151,0))*N(INDEX(FTE_Allocation!$F$2:$H$201,$AB397,$AC397)),"")))</f>
        <v/>
      </c>
    </row>
    <row r="398">
      <c r="A398" s="7">
        <f>IF($Z398="","",$AD398)</f>
        <v/>
      </c>
      <c r="B398" s="7">
        <f>IF($Z398="C",INDEX(Contracts!$D$2:$D$151,$AB398)&amp;"",IF($Z398="A",INDEX(Fixed_Assets!$C$2:$C$201,$AB398)&amp;"",IF($Z398="F",INDEX(Workforce!$B$2:$B$151,MATCH(INDEX(FTE_Allocation!$A$2:$A$201,$AB398),Workforce!$A$2:$A$151,0))&amp;"","")))</f>
        <v/>
      </c>
      <c r="C398" s="7">
        <f>IF($Z398="C",INDEX(Contracts!$E$2:$E$151,$AB398)&amp;"",IF($Z398="A",INDEX(Fixed_Assets!$D$2:$D$201,$AB398)&amp;"",IF($Z398="F",INDEX(FTE_Allocation!$C$2:$C$201,$AB398)&amp;"","")))</f>
        <v/>
      </c>
      <c r="D398" s="7">
        <f>IF($Z398="C",INDEX(Contracts!$B$2:$B$151,$AB398)&amp;"",IF($Z398="A",INDEX(Fixed_Assets!$B$2:$B$201,$AB398)&amp;"",IF($Z398="F",INDEX(FTE_Allocation!$B$2:$B$201,$AB398)&amp;"","")))</f>
        <v/>
      </c>
      <c r="E398" s="7">
        <f>IF($Z398="C",INDEX(Contracts!$P$2:$P$151,$AB398)&amp;"",IF($Z398="A",INDEX(Fixed_Assets!$K$2:$K$201,$AB398)&amp;"",IF($Z398="F",IF(INDEX(FTE_Allocation!$D$2:$D$201,$AB398)="PROJECT",IFERROR(INDEX(Projects!$D:$D,MATCH(INDEX(FTE_Allocation!$E$2:$E$201,$AB398),Projects!$A:$A,0))&amp;"","#PROJECT?"),INDEX(FTE_Allocation!$E$2:$E$201,$AB398)&amp;""),"")))</f>
        <v/>
      </c>
      <c r="F398" s="7">
        <f>IF($Z398="C",INDEX(Contracts!$Q$2:$Q$151,$AB398)&amp;"",IF($Z398="A",INDEX(Fixed_Assets!$L$2:$L$201,$AB398)&amp;"",IF($Z398="F",INDEX(Workforce!$K$2:$K$151,MATCH(INDEX(FTE_Allocation!$A$2:$A$201,$AB398),Workforce!$A$2:$A$151,0))&amp;"","")))</f>
        <v/>
      </c>
      <c r="G398" s="7">
        <f>IF($Z398="C",INDEX(Contracts!$F$2:$F$151,$AB398)&amp;" / "&amp;INDEX(Contracts!$G$2:$G$151,$AB398),IF($Z398="A",INDEX(Fixed_Assets!$E$2:$E$201,$AB398)&amp;"",IF($Z398="F","Personnel "&amp;INDEX(FTE_Allocation!$A$2:$A$201,$AB398)&amp;IF(INDEX(FTE_Allocation!$D$2:$D$201,$AB398)="PROJECT"," ("&amp;INDEX(FTE_Allocation!$E$2:$E$201,$AB398)&amp;")",""),"")))</f>
        <v/>
      </c>
      <c r="H398" s="7">
        <f>IF($Z398="C","CONTRACT",IF($Z398="A","ASSET",IF($Z398="F","WORKFORCE","")))</f>
        <v/>
      </c>
      <c r="I398" s="7">
        <f>IF($Z398="C",INDEX(Contracts!$L$2:$L$151,$AB398)&amp;"",IF($Z398="A",INDEX(Fixed_Assets!$I$2:$I$201,$AB398)&amp;"",IF($Z398="F",INDEX(Workforce!$G$2:$G$151,MATCH(INDEX(FTE_Allocation!$A$2:$A$201,$AB398),Workforce!$A$2:$A$151,0))&amp;"","")))</f>
        <v/>
      </c>
      <c r="J398" s="18">
        <f>IF($Z398="","",IF(AND(DATE($AD398,1,1)&gt;=$AE398,DATE($AD398,1,1)&lt;=$AF398),ROUND($AG398,2),0))</f>
        <v/>
      </c>
      <c r="K398" s="18">
        <f>IF($Z398="","",IF(AND(DATE($AD398,2,1)&gt;=$AE398,DATE($AD398,2,1)&lt;=$AF398),ROUND($AG398,2),0))</f>
        <v/>
      </c>
      <c r="L398" s="18">
        <f>IF($Z398="","",IF(AND(DATE($AD398,3,1)&gt;=$AE398,DATE($AD398,3,1)&lt;=$AF398),ROUND($AG398,2),0))</f>
        <v/>
      </c>
      <c r="M398" s="18">
        <f>IF($Z398="","",IF(AND(DATE($AD398,4,1)&gt;=$AE398,DATE($AD398,4,1)&lt;=$AF398),ROUND($AG398,2),0))</f>
        <v/>
      </c>
      <c r="N398" s="18">
        <f>IF($Z398="","",IF(AND(DATE($AD398,5,1)&gt;=$AE398,DATE($AD398,5,1)&lt;=$AF398),ROUND($AG398,2),0))</f>
        <v/>
      </c>
      <c r="O398" s="18">
        <f>IF($Z398="","",IF(AND(DATE($AD398,6,1)&gt;=$AE398,DATE($AD398,6,1)&lt;=$AF398),ROUND($AG398,2),0))</f>
        <v/>
      </c>
      <c r="P398" s="18">
        <f>IF($Z398="","",IF(AND(DATE($AD398,7,1)&gt;=$AE398,DATE($AD398,7,1)&lt;=$AF398),ROUND($AG398,2),0))</f>
        <v/>
      </c>
      <c r="Q398" s="18">
        <f>IF($Z398="","",IF(AND(DATE($AD398,8,1)&gt;=$AE398,DATE($AD398,8,1)&lt;=$AF398),ROUND($AG398,2),0))</f>
        <v/>
      </c>
      <c r="R398" s="18">
        <f>IF($Z398="","",IF(AND(DATE($AD398,9,1)&gt;=$AE398,DATE($AD398,9,1)&lt;=$AF398),ROUND($AG398,2),0))</f>
        <v/>
      </c>
      <c r="S398" s="18">
        <f>IF($Z398="","",IF(AND(DATE($AD398,10,1)&gt;=$AE398,DATE($AD398,10,1)&lt;=$AF398),ROUND($AG398,2),0))</f>
        <v/>
      </c>
      <c r="T398" s="18">
        <f>IF($Z398="","",IF(AND(DATE($AD398,11,1)&gt;=$AE398,DATE($AD398,11,1)&lt;=$AF398),ROUND($AG398,2),0))</f>
        <v/>
      </c>
      <c r="U398" s="18">
        <f>IF($Z398="","",IF(AND(DATE($AD398,12,1)&gt;=$AE398,DATE($AD398,12,1)&lt;=$AF398),ROUND($AG398,2),0))</f>
        <v/>
      </c>
      <c r="V398" s="7">
        <f>IF($Z398="C","Generated from "&amp;INDEX(Contracts!$A$2:$A$151,$AB398),IF($Z398="A","Generated from "&amp;INDEX(Fixed_Assets!$A$2:$A$201,$AB398),IF($Z398="F","Generated from "&amp;INDEX(FTE_Allocation!$A$2:$A$201,$AB398),"")))</f>
        <v/>
      </c>
      <c r="X398" s="19">
        <f>IF($Z398="","",SUM(J398:U398))</f>
        <v/>
      </c>
      <c r="Y398" s="20">
        <f>ROW()-1</f>
        <v/>
      </c>
      <c r="Z398" s="20">
        <f>IF($Y398&lt;=Settings!$B$4*3,"C",IF($Y398&lt;=(Settings!$B$4+Settings!$B$5)*3,"A",IF($Y398&lt;=(Settings!$B$4+Settings!$B$5+Settings!$B$6)*3,"F","")))</f>
        <v/>
      </c>
      <c r="AA398" s="20">
        <f>IF($Z398="C",$Y398,IF($Z398="A",$Y398-Settings!$B$4*3,IF($Z398="F",$Y398-(Settings!$B$4+Settings!$B$5)*3,"")))</f>
        <v/>
      </c>
      <c r="AB398" s="20">
        <f>IF($Z398="","",INT(($AA398-1)/3)+1)</f>
        <v/>
      </c>
      <c r="AC398" s="20">
        <f>IF($Z398="","",MOD($AA398-1,3)+1)</f>
        <v/>
      </c>
      <c r="AD398" s="20">
        <f>IF($Z398="","",Settings!$B$2+$AC398-1)</f>
        <v/>
      </c>
      <c r="AE398" s="21">
        <f>IF($Z398="C",DATE(YEAR(INDEX(Contracts!$J$2:$J$151,$AB398)),MONTH(INDEX(Contracts!$J$2:$J$151,$AB398)),1),IF($Z398="A",DATE(YEAR(INDEX(Fixed_Assets!$G$2:$G$201,$AB398)),MONTH(INDEX(Fixed_Assets!$G$2:$G$201,$AB398)),1),IF($Z398="F",DATE(YEAR(MAX(N(INDEX(Workforce!$I$2:$I$151,MATCH(INDEX(FTE_Allocation!$A$2:$A$201,$AB398),Workforce!$A$2:$A$151,0))),N(INDEX(FTE_Allocation!$I$2:$I$201,$AB398)))),MONTH(MAX(N(INDEX(Workforce!$I$2:$I$151,MATCH(INDEX(FTE_Allocation!$A$2:$A$201,$AB398),Workforce!$A$2:$A$151,0))),N(INDEX(FTE_Allocation!$I$2:$I$201,$AB398)))),1),"")))</f>
        <v/>
      </c>
      <c r="AF398" s="21">
        <f>IF($Z398="C",IF(INDEX(Contracts!$I$2:$I$151,$AB398)="PREPAID",EDATE(DATE(YEAR(INDEX(Contracts!$J$2:$J$151,$AB398)),MONTH(INDEX(Contracts!$J$2:$J$151,$AB398)),1),IF(INDEX(Contracts!$N$2:$N$151,$AB398)="",12,INDEX(Contracts!$N$2:$N$151,$AB398))-1),IF(INDEX(Contracts!$I$2:$I$151,$AB398)="MONTHLY",IF(INDEX(Contracts!$K$2:$K$151,$AB398)="",2958101,INDEX(Contracts!$K$2:$K$151,$AB398)),0)),IF($Z398="A",EDATE(DATE(YEAR(INDEX(Fixed_Assets!$G$2:$G$201,$AB398)),MONTH(INDEX(Fixed_Assets!$G$2:$G$201,$AB398)),1),INDEX(Fixed_Assets!$J$2:$J$201,$AB398)-1),IF($Z398="F",MIN(IF(INDEX(Workforce!$J$2:$J$151,MATCH(INDEX(FTE_Allocation!$A$2:$A$201,$AB398),Workforce!$A$2:$A$151,0))="",2958101,INDEX(Workforce!$J$2:$J$151,MATCH(INDEX(FTE_Allocation!$A$2:$A$201,$AB398),Workforce!$A$2:$A$151,0))),IF(INDEX(FTE_Allocation!$J$2:$J$201,$AB398)="",2958101,INDEX(FTE_Allocation!$J$2:$J$201,$AB398))),"")))</f>
        <v/>
      </c>
      <c r="AG398" s="19">
        <f>IF($Z398="C",IF(INDEX(Contracts!$I$2:$I$151,$AB398)="PREPAID",INDEX(Contracts!$M$2:$M$151,$AB398)/IF(INDEX(Contracts!$N$2:$N$151,$AB398)="",12,INDEX(Contracts!$N$2:$N$151,$AB398)),IF(INDEX(Contracts!$I$2:$I$151,$AB398)="MONTHLY",INDEX(Contracts!$M$2:$M$151,$AB398),0))*(1-N(INDEX(Contracts!$O$2:$O$151,$AB398))),IF($Z398="A",INDEX(Fixed_Assets!$H$2:$H$201,$AB398)/INDEX(Fixed_Assets!$J$2:$J$201,$AB398),IF($Z398="F",INDEX(Workforce!$F$2:$F$151,MATCH(INDEX(FTE_Allocation!$A$2:$A$201,$AB398),Workforce!$A$2:$A$151,0))*N(INDEX(FTE_Allocation!$F$2:$H$201,$AB398,$AC398)),"")))</f>
        <v/>
      </c>
    </row>
    <row r="399">
      <c r="A399" s="7">
        <f>IF($Z399="","",$AD399)</f>
        <v/>
      </c>
      <c r="B399" s="7">
        <f>IF($Z399="C",INDEX(Contracts!$D$2:$D$151,$AB399)&amp;"",IF($Z399="A",INDEX(Fixed_Assets!$C$2:$C$201,$AB399)&amp;"",IF($Z399="F",INDEX(Workforce!$B$2:$B$151,MATCH(INDEX(FTE_Allocation!$A$2:$A$201,$AB399),Workforce!$A$2:$A$151,0))&amp;"","")))</f>
        <v/>
      </c>
      <c r="C399" s="7">
        <f>IF($Z399="C",INDEX(Contracts!$E$2:$E$151,$AB399)&amp;"",IF($Z399="A",INDEX(Fixed_Assets!$D$2:$D$201,$AB399)&amp;"",IF($Z399="F",INDEX(FTE_Allocation!$C$2:$C$201,$AB399)&amp;"","")))</f>
        <v/>
      </c>
      <c r="D399" s="7">
        <f>IF($Z399="C",INDEX(Contracts!$B$2:$B$151,$AB399)&amp;"",IF($Z399="A",INDEX(Fixed_Assets!$B$2:$B$201,$AB399)&amp;"",IF($Z399="F",INDEX(FTE_Allocation!$B$2:$B$201,$AB399)&amp;"","")))</f>
        <v/>
      </c>
      <c r="E399" s="7">
        <f>IF($Z399="C",INDEX(Contracts!$P$2:$P$151,$AB399)&amp;"",IF($Z399="A",INDEX(Fixed_Assets!$K$2:$K$201,$AB399)&amp;"",IF($Z399="F",IF(INDEX(FTE_Allocation!$D$2:$D$201,$AB399)="PROJECT",IFERROR(INDEX(Projects!$D:$D,MATCH(INDEX(FTE_Allocation!$E$2:$E$201,$AB399),Projects!$A:$A,0))&amp;"","#PROJECT?"),INDEX(FTE_Allocation!$E$2:$E$201,$AB399)&amp;""),"")))</f>
        <v/>
      </c>
      <c r="F399" s="7">
        <f>IF($Z399="C",INDEX(Contracts!$Q$2:$Q$151,$AB399)&amp;"",IF($Z399="A",INDEX(Fixed_Assets!$L$2:$L$201,$AB399)&amp;"",IF($Z399="F",INDEX(Workforce!$K$2:$K$151,MATCH(INDEX(FTE_Allocation!$A$2:$A$201,$AB399),Workforce!$A$2:$A$151,0))&amp;"","")))</f>
        <v/>
      </c>
      <c r="G399" s="7">
        <f>IF($Z399="C",INDEX(Contracts!$F$2:$F$151,$AB399)&amp;" / "&amp;INDEX(Contracts!$G$2:$G$151,$AB399),IF($Z399="A",INDEX(Fixed_Assets!$E$2:$E$201,$AB399)&amp;"",IF($Z399="F","Personnel "&amp;INDEX(FTE_Allocation!$A$2:$A$201,$AB399)&amp;IF(INDEX(FTE_Allocation!$D$2:$D$201,$AB399)="PROJECT"," ("&amp;INDEX(FTE_Allocation!$E$2:$E$201,$AB399)&amp;")",""),"")))</f>
        <v/>
      </c>
      <c r="H399" s="7">
        <f>IF($Z399="C","CONTRACT",IF($Z399="A","ASSET",IF($Z399="F","WORKFORCE","")))</f>
        <v/>
      </c>
      <c r="I399" s="7">
        <f>IF($Z399="C",INDEX(Contracts!$L$2:$L$151,$AB399)&amp;"",IF($Z399="A",INDEX(Fixed_Assets!$I$2:$I$201,$AB399)&amp;"",IF($Z399="F",INDEX(Workforce!$G$2:$G$151,MATCH(INDEX(FTE_Allocation!$A$2:$A$201,$AB399),Workforce!$A$2:$A$151,0))&amp;"","")))</f>
        <v/>
      </c>
      <c r="J399" s="18">
        <f>IF($Z399="","",IF(AND(DATE($AD399,1,1)&gt;=$AE399,DATE($AD399,1,1)&lt;=$AF399),ROUND($AG399,2),0))</f>
        <v/>
      </c>
      <c r="K399" s="18">
        <f>IF($Z399="","",IF(AND(DATE($AD399,2,1)&gt;=$AE399,DATE($AD399,2,1)&lt;=$AF399),ROUND($AG399,2),0))</f>
        <v/>
      </c>
      <c r="L399" s="18">
        <f>IF($Z399="","",IF(AND(DATE($AD399,3,1)&gt;=$AE399,DATE($AD399,3,1)&lt;=$AF399),ROUND($AG399,2),0))</f>
        <v/>
      </c>
      <c r="M399" s="18">
        <f>IF($Z399="","",IF(AND(DATE($AD399,4,1)&gt;=$AE399,DATE($AD399,4,1)&lt;=$AF399),ROUND($AG399,2),0))</f>
        <v/>
      </c>
      <c r="N399" s="18">
        <f>IF($Z399="","",IF(AND(DATE($AD399,5,1)&gt;=$AE399,DATE($AD399,5,1)&lt;=$AF399),ROUND($AG399,2),0))</f>
        <v/>
      </c>
      <c r="O399" s="18">
        <f>IF($Z399="","",IF(AND(DATE($AD399,6,1)&gt;=$AE399,DATE($AD399,6,1)&lt;=$AF399),ROUND($AG399,2),0))</f>
        <v/>
      </c>
      <c r="P399" s="18">
        <f>IF($Z399="","",IF(AND(DATE($AD399,7,1)&gt;=$AE399,DATE($AD399,7,1)&lt;=$AF399),ROUND($AG399,2),0))</f>
        <v/>
      </c>
      <c r="Q399" s="18">
        <f>IF($Z399="","",IF(AND(DATE($AD399,8,1)&gt;=$AE399,DATE($AD399,8,1)&lt;=$AF399),ROUND($AG399,2),0))</f>
        <v/>
      </c>
      <c r="R399" s="18">
        <f>IF($Z399="","",IF(AND(DATE($AD399,9,1)&gt;=$AE399,DATE($AD399,9,1)&lt;=$AF399),ROUND($AG399,2),0))</f>
        <v/>
      </c>
      <c r="S399" s="18">
        <f>IF($Z399="","",IF(AND(DATE($AD399,10,1)&gt;=$AE399,DATE($AD399,10,1)&lt;=$AF399),ROUND($AG399,2),0))</f>
        <v/>
      </c>
      <c r="T399" s="18">
        <f>IF($Z399="","",IF(AND(DATE($AD399,11,1)&gt;=$AE399,DATE($AD399,11,1)&lt;=$AF399),ROUND($AG399,2),0))</f>
        <v/>
      </c>
      <c r="U399" s="18">
        <f>IF($Z399="","",IF(AND(DATE($AD399,12,1)&gt;=$AE399,DATE($AD399,12,1)&lt;=$AF399),ROUND($AG399,2),0))</f>
        <v/>
      </c>
      <c r="V399" s="7">
        <f>IF($Z399="C","Generated from "&amp;INDEX(Contracts!$A$2:$A$151,$AB399),IF($Z399="A","Generated from "&amp;INDEX(Fixed_Assets!$A$2:$A$201,$AB399),IF($Z399="F","Generated from "&amp;INDEX(FTE_Allocation!$A$2:$A$201,$AB399),"")))</f>
        <v/>
      </c>
      <c r="X399" s="19">
        <f>IF($Z399="","",SUM(J399:U399))</f>
        <v/>
      </c>
      <c r="Y399" s="20">
        <f>ROW()-1</f>
        <v/>
      </c>
      <c r="Z399" s="20">
        <f>IF($Y399&lt;=Settings!$B$4*3,"C",IF($Y399&lt;=(Settings!$B$4+Settings!$B$5)*3,"A",IF($Y399&lt;=(Settings!$B$4+Settings!$B$5+Settings!$B$6)*3,"F","")))</f>
        <v/>
      </c>
      <c r="AA399" s="20">
        <f>IF($Z399="C",$Y399,IF($Z399="A",$Y399-Settings!$B$4*3,IF($Z399="F",$Y399-(Settings!$B$4+Settings!$B$5)*3,"")))</f>
        <v/>
      </c>
      <c r="AB399" s="20">
        <f>IF($Z399="","",INT(($AA399-1)/3)+1)</f>
        <v/>
      </c>
      <c r="AC399" s="20">
        <f>IF($Z399="","",MOD($AA399-1,3)+1)</f>
        <v/>
      </c>
      <c r="AD399" s="20">
        <f>IF($Z399="","",Settings!$B$2+$AC399-1)</f>
        <v/>
      </c>
      <c r="AE399" s="21">
        <f>IF($Z399="C",DATE(YEAR(INDEX(Contracts!$J$2:$J$151,$AB399)),MONTH(INDEX(Contracts!$J$2:$J$151,$AB399)),1),IF($Z399="A",DATE(YEAR(INDEX(Fixed_Assets!$G$2:$G$201,$AB399)),MONTH(INDEX(Fixed_Assets!$G$2:$G$201,$AB399)),1),IF($Z399="F",DATE(YEAR(MAX(N(INDEX(Workforce!$I$2:$I$151,MATCH(INDEX(FTE_Allocation!$A$2:$A$201,$AB399),Workforce!$A$2:$A$151,0))),N(INDEX(FTE_Allocation!$I$2:$I$201,$AB399)))),MONTH(MAX(N(INDEX(Workforce!$I$2:$I$151,MATCH(INDEX(FTE_Allocation!$A$2:$A$201,$AB399),Workforce!$A$2:$A$151,0))),N(INDEX(FTE_Allocation!$I$2:$I$201,$AB399)))),1),"")))</f>
        <v/>
      </c>
      <c r="AF399" s="21">
        <f>IF($Z399="C",IF(INDEX(Contracts!$I$2:$I$151,$AB399)="PREPAID",EDATE(DATE(YEAR(INDEX(Contracts!$J$2:$J$151,$AB399)),MONTH(INDEX(Contracts!$J$2:$J$151,$AB399)),1),IF(INDEX(Contracts!$N$2:$N$151,$AB399)="",12,INDEX(Contracts!$N$2:$N$151,$AB399))-1),IF(INDEX(Contracts!$I$2:$I$151,$AB399)="MONTHLY",IF(INDEX(Contracts!$K$2:$K$151,$AB399)="",2958101,INDEX(Contracts!$K$2:$K$151,$AB399)),0)),IF($Z399="A",EDATE(DATE(YEAR(INDEX(Fixed_Assets!$G$2:$G$201,$AB399)),MONTH(INDEX(Fixed_Assets!$G$2:$G$201,$AB399)),1),INDEX(Fixed_Assets!$J$2:$J$201,$AB399)-1),IF($Z399="F",MIN(IF(INDEX(Workforce!$J$2:$J$151,MATCH(INDEX(FTE_Allocation!$A$2:$A$201,$AB399),Workforce!$A$2:$A$151,0))="",2958101,INDEX(Workforce!$J$2:$J$151,MATCH(INDEX(FTE_Allocation!$A$2:$A$201,$AB399),Workforce!$A$2:$A$151,0))),IF(INDEX(FTE_Allocation!$J$2:$J$201,$AB399)="",2958101,INDEX(FTE_Allocation!$J$2:$J$201,$AB399))),"")))</f>
        <v/>
      </c>
      <c r="AG399" s="19">
        <f>IF($Z399="C",IF(INDEX(Contracts!$I$2:$I$151,$AB399)="PREPAID",INDEX(Contracts!$M$2:$M$151,$AB399)/IF(INDEX(Contracts!$N$2:$N$151,$AB399)="",12,INDEX(Contracts!$N$2:$N$151,$AB399)),IF(INDEX(Contracts!$I$2:$I$151,$AB399)="MONTHLY",INDEX(Contracts!$M$2:$M$151,$AB399),0))*(1-N(INDEX(Contracts!$O$2:$O$151,$AB399))),IF($Z399="A",INDEX(Fixed_Assets!$H$2:$H$201,$AB399)/INDEX(Fixed_Assets!$J$2:$J$201,$AB399),IF($Z399="F",INDEX(Workforce!$F$2:$F$151,MATCH(INDEX(FTE_Allocation!$A$2:$A$201,$AB399),Workforce!$A$2:$A$151,0))*N(INDEX(FTE_Allocation!$F$2:$H$201,$AB399,$AC399)),"")))</f>
        <v/>
      </c>
    </row>
    <row r="400">
      <c r="A400" s="7">
        <f>IF($Z400="","",$AD400)</f>
        <v/>
      </c>
      <c r="B400" s="7">
        <f>IF($Z400="C",INDEX(Contracts!$D$2:$D$151,$AB400)&amp;"",IF($Z400="A",INDEX(Fixed_Assets!$C$2:$C$201,$AB400)&amp;"",IF($Z400="F",INDEX(Workforce!$B$2:$B$151,MATCH(INDEX(FTE_Allocation!$A$2:$A$201,$AB400),Workforce!$A$2:$A$151,0))&amp;"","")))</f>
        <v/>
      </c>
      <c r="C400" s="7">
        <f>IF($Z400="C",INDEX(Contracts!$E$2:$E$151,$AB400)&amp;"",IF($Z400="A",INDEX(Fixed_Assets!$D$2:$D$201,$AB400)&amp;"",IF($Z400="F",INDEX(FTE_Allocation!$C$2:$C$201,$AB400)&amp;"","")))</f>
        <v/>
      </c>
      <c r="D400" s="7">
        <f>IF($Z400="C",INDEX(Contracts!$B$2:$B$151,$AB400)&amp;"",IF($Z400="A",INDEX(Fixed_Assets!$B$2:$B$201,$AB400)&amp;"",IF($Z400="F",INDEX(FTE_Allocation!$B$2:$B$201,$AB400)&amp;"","")))</f>
        <v/>
      </c>
      <c r="E400" s="7">
        <f>IF($Z400="C",INDEX(Contracts!$P$2:$P$151,$AB400)&amp;"",IF($Z400="A",INDEX(Fixed_Assets!$K$2:$K$201,$AB400)&amp;"",IF($Z400="F",IF(INDEX(FTE_Allocation!$D$2:$D$201,$AB400)="PROJECT",IFERROR(INDEX(Projects!$D:$D,MATCH(INDEX(FTE_Allocation!$E$2:$E$201,$AB400),Projects!$A:$A,0))&amp;"","#PROJECT?"),INDEX(FTE_Allocation!$E$2:$E$201,$AB400)&amp;""),"")))</f>
        <v/>
      </c>
      <c r="F400" s="7">
        <f>IF($Z400="C",INDEX(Contracts!$Q$2:$Q$151,$AB400)&amp;"",IF($Z400="A",INDEX(Fixed_Assets!$L$2:$L$201,$AB400)&amp;"",IF($Z400="F",INDEX(Workforce!$K$2:$K$151,MATCH(INDEX(FTE_Allocation!$A$2:$A$201,$AB400),Workforce!$A$2:$A$151,0))&amp;"","")))</f>
        <v/>
      </c>
      <c r="G400" s="7">
        <f>IF($Z400="C",INDEX(Contracts!$F$2:$F$151,$AB400)&amp;" / "&amp;INDEX(Contracts!$G$2:$G$151,$AB400),IF($Z400="A",INDEX(Fixed_Assets!$E$2:$E$201,$AB400)&amp;"",IF($Z400="F","Personnel "&amp;INDEX(FTE_Allocation!$A$2:$A$201,$AB400)&amp;IF(INDEX(FTE_Allocation!$D$2:$D$201,$AB400)="PROJECT"," ("&amp;INDEX(FTE_Allocation!$E$2:$E$201,$AB400)&amp;")",""),"")))</f>
        <v/>
      </c>
      <c r="H400" s="7">
        <f>IF($Z400="C","CONTRACT",IF($Z400="A","ASSET",IF($Z400="F","WORKFORCE","")))</f>
        <v/>
      </c>
      <c r="I400" s="7">
        <f>IF($Z400="C",INDEX(Contracts!$L$2:$L$151,$AB400)&amp;"",IF($Z400="A",INDEX(Fixed_Assets!$I$2:$I$201,$AB400)&amp;"",IF($Z400="F",INDEX(Workforce!$G$2:$G$151,MATCH(INDEX(FTE_Allocation!$A$2:$A$201,$AB400),Workforce!$A$2:$A$151,0))&amp;"","")))</f>
        <v/>
      </c>
      <c r="J400" s="18">
        <f>IF($Z400="","",IF(AND(DATE($AD400,1,1)&gt;=$AE400,DATE($AD400,1,1)&lt;=$AF400),ROUND($AG400,2),0))</f>
        <v/>
      </c>
      <c r="K400" s="18">
        <f>IF($Z400="","",IF(AND(DATE($AD400,2,1)&gt;=$AE400,DATE($AD400,2,1)&lt;=$AF400),ROUND($AG400,2),0))</f>
        <v/>
      </c>
      <c r="L400" s="18">
        <f>IF($Z400="","",IF(AND(DATE($AD400,3,1)&gt;=$AE400,DATE($AD400,3,1)&lt;=$AF400),ROUND($AG400,2),0))</f>
        <v/>
      </c>
      <c r="M400" s="18">
        <f>IF($Z400="","",IF(AND(DATE($AD400,4,1)&gt;=$AE400,DATE($AD400,4,1)&lt;=$AF400),ROUND($AG400,2),0))</f>
        <v/>
      </c>
      <c r="N400" s="18">
        <f>IF($Z400="","",IF(AND(DATE($AD400,5,1)&gt;=$AE400,DATE($AD400,5,1)&lt;=$AF400),ROUND($AG400,2),0))</f>
        <v/>
      </c>
      <c r="O400" s="18">
        <f>IF($Z400="","",IF(AND(DATE($AD400,6,1)&gt;=$AE400,DATE($AD400,6,1)&lt;=$AF400),ROUND($AG400,2),0))</f>
        <v/>
      </c>
      <c r="P400" s="18">
        <f>IF($Z400="","",IF(AND(DATE($AD400,7,1)&gt;=$AE400,DATE($AD400,7,1)&lt;=$AF400),ROUND($AG400,2),0))</f>
        <v/>
      </c>
      <c r="Q400" s="18">
        <f>IF($Z400="","",IF(AND(DATE($AD400,8,1)&gt;=$AE400,DATE($AD400,8,1)&lt;=$AF400),ROUND($AG400,2),0))</f>
        <v/>
      </c>
      <c r="R400" s="18">
        <f>IF($Z400="","",IF(AND(DATE($AD400,9,1)&gt;=$AE400,DATE($AD400,9,1)&lt;=$AF400),ROUND($AG400,2),0))</f>
        <v/>
      </c>
      <c r="S400" s="18">
        <f>IF($Z400="","",IF(AND(DATE($AD400,10,1)&gt;=$AE400,DATE($AD400,10,1)&lt;=$AF400),ROUND($AG400,2),0))</f>
        <v/>
      </c>
      <c r="T400" s="18">
        <f>IF($Z400="","",IF(AND(DATE($AD400,11,1)&gt;=$AE400,DATE($AD400,11,1)&lt;=$AF400),ROUND($AG400,2),0))</f>
        <v/>
      </c>
      <c r="U400" s="18">
        <f>IF($Z400="","",IF(AND(DATE($AD400,12,1)&gt;=$AE400,DATE($AD400,12,1)&lt;=$AF400),ROUND($AG400,2),0))</f>
        <v/>
      </c>
      <c r="V400" s="7">
        <f>IF($Z400="C","Generated from "&amp;INDEX(Contracts!$A$2:$A$151,$AB400),IF($Z400="A","Generated from "&amp;INDEX(Fixed_Assets!$A$2:$A$201,$AB400),IF($Z400="F","Generated from "&amp;INDEX(FTE_Allocation!$A$2:$A$201,$AB400),"")))</f>
        <v/>
      </c>
      <c r="X400" s="19">
        <f>IF($Z400="","",SUM(J400:U400))</f>
        <v/>
      </c>
      <c r="Y400" s="20">
        <f>ROW()-1</f>
        <v/>
      </c>
      <c r="Z400" s="20">
        <f>IF($Y400&lt;=Settings!$B$4*3,"C",IF($Y400&lt;=(Settings!$B$4+Settings!$B$5)*3,"A",IF($Y400&lt;=(Settings!$B$4+Settings!$B$5+Settings!$B$6)*3,"F","")))</f>
        <v/>
      </c>
      <c r="AA400" s="20">
        <f>IF($Z400="C",$Y400,IF($Z400="A",$Y400-Settings!$B$4*3,IF($Z400="F",$Y400-(Settings!$B$4+Settings!$B$5)*3,"")))</f>
        <v/>
      </c>
      <c r="AB400" s="20">
        <f>IF($Z400="","",INT(($AA400-1)/3)+1)</f>
        <v/>
      </c>
      <c r="AC400" s="20">
        <f>IF($Z400="","",MOD($AA400-1,3)+1)</f>
        <v/>
      </c>
      <c r="AD400" s="20">
        <f>IF($Z400="","",Settings!$B$2+$AC400-1)</f>
        <v/>
      </c>
      <c r="AE400" s="21">
        <f>IF($Z400="C",DATE(YEAR(INDEX(Contracts!$J$2:$J$151,$AB400)),MONTH(INDEX(Contracts!$J$2:$J$151,$AB400)),1),IF($Z400="A",DATE(YEAR(INDEX(Fixed_Assets!$G$2:$G$201,$AB400)),MONTH(INDEX(Fixed_Assets!$G$2:$G$201,$AB400)),1),IF($Z400="F",DATE(YEAR(MAX(N(INDEX(Workforce!$I$2:$I$151,MATCH(INDEX(FTE_Allocation!$A$2:$A$201,$AB400),Workforce!$A$2:$A$151,0))),N(INDEX(FTE_Allocation!$I$2:$I$201,$AB400)))),MONTH(MAX(N(INDEX(Workforce!$I$2:$I$151,MATCH(INDEX(FTE_Allocation!$A$2:$A$201,$AB400),Workforce!$A$2:$A$151,0))),N(INDEX(FTE_Allocation!$I$2:$I$201,$AB400)))),1),"")))</f>
        <v/>
      </c>
      <c r="AF400" s="21">
        <f>IF($Z400="C",IF(INDEX(Contracts!$I$2:$I$151,$AB400)="PREPAID",EDATE(DATE(YEAR(INDEX(Contracts!$J$2:$J$151,$AB400)),MONTH(INDEX(Contracts!$J$2:$J$151,$AB400)),1),IF(INDEX(Contracts!$N$2:$N$151,$AB400)="",12,INDEX(Contracts!$N$2:$N$151,$AB400))-1),IF(INDEX(Contracts!$I$2:$I$151,$AB400)="MONTHLY",IF(INDEX(Contracts!$K$2:$K$151,$AB400)="",2958101,INDEX(Contracts!$K$2:$K$151,$AB400)),0)),IF($Z400="A",EDATE(DATE(YEAR(INDEX(Fixed_Assets!$G$2:$G$201,$AB400)),MONTH(INDEX(Fixed_Assets!$G$2:$G$201,$AB400)),1),INDEX(Fixed_Assets!$J$2:$J$201,$AB400)-1),IF($Z400="F",MIN(IF(INDEX(Workforce!$J$2:$J$151,MATCH(INDEX(FTE_Allocation!$A$2:$A$201,$AB400),Workforce!$A$2:$A$151,0))="",2958101,INDEX(Workforce!$J$2:$J$151,MATCH(INDEX(FTE_Allocation!$A$2:$A$201,$AB400),Workforce!$A$2:$A$151,0))),IF(INDEX(FTE_Allocation!$J$2:$J$201,$AB400)="",2958101,INDEX(FTE_Allocation!$J$2:$J$201,$AB400))),"")))</f>
        <v/>
      </c>
      <c r="AG400" s="19">
        <f>IF($Z400="C",IF(INDEX(Contracts!$I$2:$I$151,$AB400)="PREPAID",INDEX(Contracts!$M$2:$M$151,$AB400)/IF(INDEX(Contracts!$N$2:$N$151,$AB400)="",12,INDEX(Contracts!$N$2:$N$151,$AB400)),IF(INDEX(Contracts!$I$2:$I$151,$AB400)="MONTHLY",INDEX(Contracts!$M$2:$M$151,$AB400),0))*(1-N(INDEX(Contracts!$O$2:$O$151,$AB400))),IF($Z400="A",INDEX(Fixed_Assets!$H$2:$H$201,$AB400)/INDEX(Fixed_Assets!$J$2:$J$201,$AB400),IF($Z400="F",INDEX(Workforce!$F$2:$F$151,MATCH(INDEX(FTE_Allocation!$A$2:$A$201,$AB400),Workforce!$A$2:$A$151,0))*N(INDEX(FTE_Allocation!$F$2:$H$201,$AB400,$AC400)),"")))</f>
        <v/>
      </c>
    </row>
    <row r="401">
      <c r="A401" s="7">
        <f>IF($Z401="","",$AD401)</f>
        <v/>
      </c>
      <c r="B401" s="7">
        <f>IF($Z401="C",INDEX(Contracts!$D$2:$D$151,$AB401)&amp;"",IF($Z401="A",INDEX(Fixed_Assets!$C$2:$C$201,$AB401)&amp;"",IF($Z401="F",INDEX(Workforce!$B$2:$B$151,MATCH(INDEX(FTE_Allocation!$A$2:$A$201,$AB401),Workforce!$A$2:$A$151,0))&amp;"","")))</f>
        <v/>
      </c>
      <c r="C401" s="7">
        <f>IF($Z401="C",INDEX(Contracts!$E$2:$E$151,$AB401)&amp;"",IF($Z401="A",INDEX(Fixed_Assets!$D$2:$D$201,$AB401)&amp;"",IF($Z401="F",INDEX(FTE_Allocation!$C$2:$C$201,$AB401)&amp;"","")))</f>
        <v/>
      </c>
      <c r="D401" s="7">
        <f>IF($Z401="C",INDEX(Contracts!$B$2:$B$151,$AB401)&amp;"",IF($Z401="A",INDEX(Fixed_Assets!$B$2:$B$201,$AB401)&amp;"",IF($Z401="F",INDEX(FTE_Allocation!$B$2:$B$201,$AB401)&amp;"","")))</f>
        <v/>
      </c>
      <c r="E401" s="7">
        <f>IF($Z401="C",INDEX(Contracts!$P$2:$P$151,$AB401)&amp;"",IF($Z401="A",INDEX(Fixed_Assets!$K$2:$K$201,$AB401)&amp;"",IF($Z401="F",IF(INDEX(FTE_Allocation!$D$2:$D$201,$AB401)="PROJECT",IFERROR(INDEX(Projects!$D:$D,MATCH(INDEX(FTE_Allocation!$E$2:$E$201,$AB401),Projects!$A:$A,0))&amp;"","#PROJECT?"),INDEX(FTE_Allocation!$E$2:$E$201,$AB401)&amp;""),"")))</f>
        <v/>
      </c>
      <c r="F401" s="7">
        <f>IF($Z401="C",INDEX(Contracts!$Q$2:$Q$151,$AB401)&amp;"",IF($Z401="A",INDEX(Fixed_Assets!$L$2:$L$201,$AB401)&amp;"",IF($Z401="F",INDEX(Workforce!$K$2:$K$151,MATCH(INDEX(FTE_Allocation!$A$2:$A$201,$AB401),Workforce!$A$2:$A$151,0))&amp;"","")))</f>
        <v/>
      </c>
      <c r="G401" s="7">
        <f>IF($Z401="C",INDEX(Contracts!$F$2:$F$151,$AB401)&amp;" / "&amp;INDEX(Contracts!$G$2:$G$151,$AB401),IF($Z401="A",INDEX(Fixed_Assets!$E$2:$E$201,$AB401)&amp;"",IF($Z401="F","Personnel "&amp;INDEX(FTE_Allocation!$A$2:$A$201,$AB401)&amp;IF(INDEX(FTE_Allocation!$D$2:$D$201,$AB401)="PROJECT"," ("&amp;INDEX(FTE_Allocation!$E$2:$E$201,$AB401)&amp;")",""),"")))</f>
        <v/>
      </c>
      <c r="H401" s="7">
        <f>IF($Z401="C","CONTRACT",IF($Z401="A","ASSET",IF($Z401="F","WORKFORCE","")))</f>
        <v/>
      </c>
      <c r="I401" s="7">
        <f>IF($Z401="C",INDEX(Contracts!$L$2:$L$151,$AB401)&amp;"",IF($Z401="A",INDEX(Fixed_Assets!$I$2:$I$201,$AB401)&amp;"",IF($Z401="F",INDEX(Workforce!$G$2:$G$151,MATCH(INDEX(FTE_Allocation!$A$2:$A$201,$AB401),Workforce!$A$2:$A$151,0))&amp;"","")))</f>
        <v/>
      </c>
      <c r="J401" s="18">
        <f>IF($Z401="","",IF(AND(DATE($AD401,1,1)&gt;=$AE401,DATE($AD401,1,1)&lt;=$AF401),ROUND($AG401,2),0))</f>
        <v/>
      </c>
      <c r="K401" s="18">
        <f>IF($Z401="","",IF(AND(DATE($AD401,2,1)&gt;=$AE401,DATE($AD401,2,1)&lt;=$AF401),ROUND($AG401,2),0))</f>
        <v/>
      </c>
      <c r="L401" s="18">
        <f>IF($Z401="","",IF(AND(DATE($AD401,3,1)&gt;=$AE401,DATE($AD401,3,1)&lt;=$AF401),ROUND($AG401,2),0))</f>
        <v/>
      </c>
      <c r="M401" s="18">
        <f>IF($Z401="","",IF(AND(DATE($AD401,4,1)&gt;=$AE401,DATE($AD401,4,1)&lt;=$AF401),ROUND($AG401,2),0))</f>
        <v/>
      </c>
      <c r="N401" s="18">
        <f>IF($Z401="","",IF(AND(DATE($AD401,5,1)&gt;=$AE401,DATE($AD401,5,1)&lt;=$AF401),ROUND($AG401,2),0))</f>
        <v/>
      </c>
      <c r="O401" s="18">
        <f>IF($Z401="","",IF(AND(DATE($AD401,6,1)&gt;=$AE401,DATE($AD401,6,1)&lt;=$AF401),ROUND($AG401,2),0))</f>
        <v/>
      </c>
      <c r="P401" s="18">
        <f>IF($Z401="","",IF(AND(DATE($AD401,7,1)&gt;=$AE401,DATE($AD401,7,1)&lt;=$AF401),ROUND($AG401,2),0))</f>
        <v/>
      </c>
      <c r="Q401" s="18">
        <f>IF($Z401="","",IF(AND(DATE($AD401,8,1)&gt;=$AE401,DATE($AD401,8,1)&lt;=$AF401),ROUND($AG401,2),0))</f>
        <v/>
      </c>
      <c r="R401" s="18">
        <f>IF($Z401="","",IF(AND(DATE($AD401,9,1)&gt;=$AE401,DATE($AD401,9,1)&lt;=$AF401),ROUND($AG401,2),0))</f>
        <v/>
      </c>
      <c r="S401" s="18">
        <f>IF($Z401="","",IF(AND(DATE($AD401,10,1)&gt;=$AE401,DATE($AD401,10,1)&lt;=$AF401),ROUND($AG401,2),0))</f>
        <v/>
      </c>
      <c r="T401" s="18">
        <f>IF($Z401="","",IF(AND(DATE($AD401,11,1)&gt;=$AE401,DATE($AD401,11,1)&lt;=$AF401),ROUND($AG401,2),0))</f>
        <v/>
      </c>
      <c r="U401" s="18">
        <f>IF($Z401="","",IF(AND(DATE($AD401,12,1)&gt;=$AE401,DATE($AD401,12,1)&lt;=$AF401),ROUND($AG401,2),0))</f>
        <v/>
      </c>
      <c r="V401" s="7">
        <f>IF($Z401="C","Generated from "&amp;INDEX(Contracts!$A$2:$A$151,$AB401),IF($Z401="A","Generated from "&amp;INDEX(Fixed_Assets!$A$2:$A$201,$AB401),IF($Z401="F","Generated from "&amp;INDEX(FTE_Allocation!$A$2:$A$201,$AB401),"")))</f>
        <v/>
      </c>
      <c r="X401" s="19">
        <f>IF($Z401="","",SUM(J401:U401))</f>
        <v/>
      </c>
      <c r="Y401" s="20">
        <f>ROW()-1</f>
        <v/>
      </c>
      <c r="Z401" s="20">
        <f>IF($Y401&lt;=Settings!$B$4*3,"C",IF($Y401&lt;=(Settings!$B$4+Settings!$B$5)*3,"A",IF($Y401&lt;=(Settings!$B$4+Settings!$B$5+Settings!$B$6)*3,"F","")))</f>
        <v/>
      </c>
      <c r="AA401" s="20">
        <f>IF($Z401="C",$Y401,IF($Z401="A",$Y401-Settings!$B$4*3,IF($Z401="F",$Y401-(Settings!$B$4+Settings!$B$5)*3,"")))</f>
        <v/>
      </c>
      <c r="AB401" s="20">
        <f>IF($Z401="","",INT(($AA401-1)/3)+1)</f>
        <v/>
      </c>
      <c r="AC401" s="20">
        <f>IF($Z401="","",MOD($AA401-1,3)+1)</f>
        <v/>
      </c>
      <c r="AD401" s="20">
        <f>IF($Z401="","",Settings!$B$2+$AC401-1)</f>
        <v/>
      </c>
      <c r="AE401" s="21">
        <f>IF($Z401="C",DATE(YEAR(INDEX(Contracts!$J$2:$J$151,$AB401)),MONTH(INDEX(Contracts!$J$2:$J$151,$AB401)),1),IF($Z401="A",DATE(YEAR(INDEX(Fixed_Assets!$G$2:$G$201,$AB401)),MONTH(INDEX(Fixed_Assets!$G$2:$G$201,$AB401)),1),IF($Z401="F",DATE(YEAR(MAX(N(INDEX(Workforce!$I$2:$I$151,MATCH(INDEX(FTE_Allocation!$A$2:$A$201,$AB401),Workforce!$A$2:$A$151,0))),N(INDEX(FTE_Allocation!$I$2:$I$201,$AB401)))),MONTH(MAX(N(INDEX(Workforce!$I$2:$I$151,MATCH(INDEX(FTE_Allocation!$A$2:$A$201,$AB401),Workforce!$A$2:$A$151,0))),N(INDEX(FTE_Allocation!$I$2:$I$201,$AB401)))),1),"")))</f>
        <v/>
      </c>
      <c r="AF401" s="21">
        <f>IF($Z401="C",IF(INDEX(Contracts!$I$2:$I$151,$AB401)="PREPAID",EDATE(DATE(YEAR(INDEX(Contracts!$J$2:$J$151,$AB401)),MONTH(INDEX(Contracts!$J$2:$J$151,$AB401)),1),IF(INDEX(Contracts!$N$2:$N$151,$AB401)="",12,INDEX(Contracts!$N$2:$N$151,$AB401))-1),IF(INDEX(Contracts!$I$2:$I$151,$AB401)="MONTHLY",IF(INDEX(Contracts!$K$2:$K$151,$AB401)="",2958101,INDEX(Contracts!$K$2:$K$151,$AB401)),0)),IF($Z401="A",EDATE(DATE(YEAR(INDEX(Fixed_Assets!$G$2:$G$201,$AB401)),MONTH(INDEX(Fixed_Assets!$G$2:$G$201,$AB401)),1),INDEX(Fixed_Assets!$J$2:$J$201,$AB401)-1),IF($Z401="F",MIN(IF(INDEX(Workforce!$J$2:$J$151,MATCH(INDEX(FTE_Allocation!$A$2:$A$201,$AB401),Workforce!$A$2:$A$151,0))="",2958101,INDEX(Workforce!$J$2:$J$151,MATCH(INDEX(FTE_Allocation!$A$2:$A$201,$AB401),Workforce!$A$2:$A$151,0))),IF(INDEX(FTE_Allocation!$J$2:$J$201,$AB401)="",2958101,INDEX(FTE_Allocation!$J$2:$J$201,$AB401))),"")))</f>
        <v/>
      </c>
      <c r="AG401" s="19">
        <f>IF($Z401="C",IF(INDEX(Contracts!$I$2:$I$151,$AB401)="PREPAID",INDEX(Contracts!$M$2:$M$151,$AB401)/IF(INDEX(Contracts!$N$2:$N$151,$AB401)="",12,INDEX(Contracts!$N$2:$N$151,$AB401)),IF(INDEX(Contracts!$I$2:$I$151,$AB401)="MONTHLY",INDEX(Contracts!$M$2:$M$151,$AB401),0))*(1-N(INDEX(Contracts!$O$2:$O$151,$AB401))),IF($Z401="A",INDEX(Fixed_Assets!$H$2:$H$201,$AB401)/INDEX(Fixed_Assets!$J$2:$J$201,$AB401),IF($Z401="F",INDEX(Workforce!$F$2:$F$151,MATCH(INDEX(FTE_Allocation!$A$2:$A$201,$AB401),Workforce!$A$2:$A$151,0))*N(INDEX(FTE_Allocation!$F$2:$H$201,$AB401,$AC401)),"")))</f>
        <v/>
      </c>
    </row>
    <row r="402">
      <c r="A402" s="7">
        <f>IF($Z402="","",$AD402)</f>
        <v/>
      </c>
      <c r="B402" s="7">
        <f>IF($Z402="C",INDEX(Contracts!$D$2:$D$151,$AB402)&amp;"",IF($Z402="A",INDEX(Fixed_Assets!$C$2:$C$201,$AB402)&amp;"",IF($Z402="F",INDEX(Workforce!$B$2:$B$151,MATCH(INDEX(FTE_Allocation!$A$2:$A$201,$AB402),Workforce!$A$2:$A$151,0))&amp;"","")))</f>
        <v/>
      </c>
      <c r="C402" s="7">
        <f>IF($Z402="C",INDEX(Contracts!$E$2:$E$151,$AB402)&amp;"",IF($Z402="A",INDEX(Fixed_Assets!$D$2:$D$201,$AB402)&amp;"",IF($Z402="F",INDEX(FTE_Allocation!$C$2:$C$201,$AB402)&amp;"","")))</f>
        <v/>
      </c>
      <c r="D402" s="7">
        <f>IF($Z402="C",INDEX(Contracts!$B$2:$B$151,$AB402)&amp;"",IF($Z402="A",INDEX(Fixed_Assets!$B$2:$B$201,$AB402)&amp;"",IF($Z402="F",INDEX(FTE_Allocation!$B$2:$B$201,$AB402)&amp;"","")))</f>
        <v/>
      </c>
      <c r="E402" s="7">
        <f>IF($Z402="C",INDEX(Contracts!$P$2:$P$151,$AB402)&amp;"",IF($Z402="A",INDEX(Fixed_Assets!$K$2:$K$201,$AB402)&amp;"",IF($Z402="F",IF(INDEX(FTE_Allocation!$D$2:$D$201,$AB402)="PROJECT",IFERROR(INDEX(Projects!$D:$D,MATCH(INDEX(FTE_Allocation!$E$2:$E$201,$AB402),Projects!$A:$A,0))&amp;"","#PROJECT?"),INDEX(FTE_Allocation!$E$2:$E$201,$AB402)&amp;""),"")))</f>
        <v/>
      </c>
      <c r="F402" s="7">
        <f>IF($Z402="C",INDEX(Contracts!$Q$2:$Q$151,$AB402)&amp;"",IF($Z402="A",INDEX(Fixed_Assets!$L$2:$L$201,$AB402)&amp;"",IF($Z402="F",INDEX(Workforce!$K$2:$K$151,MATCH(INDEX(FTE_Allocation!$A$2:$A$201,$AB402),Workforce!$A$2:$A$151,0))&amp;"","")))</f>
        <v/>
      </c>
      <c r="G402" s="7">
        <f>IF($Z402="C",INDEX(Contracts!$F$2:$F$151,$AB402)&amp;" / "&amp;INDEX(Contracts!$G$2:$G$151,$AB402),IF($Z402="A",INDEX(Fixed_Assets!$E$2:$E$201,$AB402)&amp;"",IF($Z402="F","Personnel "&amp;INDEX(FTE_Allocation!$A$2:$A$201,$AB402)&amp;IF(INDEX(FTE_Allocation!$D$2:$D$201,$AB402)="PROJECT"," ("&amp;INDEX(FTE_Allocation!$E$2:$E$201,$AB402)&amp;")",""),"")))</f>
        <v/>
      </c>
      <c r="H402" s="7">
        <f>IF($Z402="C","CONTRACT",IF($Z402="A","ASSET",IF($Z402="F","WORKFORCE","")))</f>
        <v/>
      </c>
      <c r="I402" s="7">
        <f>IF($Z402="C",INDEX(Contracts!$L$2:$L$151,$AB402)&amp;"",IF($Z402="A",INDEX(Fixed_Assets!$I$2:$I$201,$AB402)&amp;"",IF($Z402="F",INDEX(Workforce!$G$2:$G$151,MATCH(INDEX(FTE_Allocation!$A$2:$A$201,$AB402),Workforce!$A$2:$A$151,0))&amp;"","")))</f>
        <v/>
      </c>
      <c r="J402" s="18">
        <f>IF($Z402="","",IF(AND(DATE($AD402,1,1)&gt;=$AE402,DATE($AD402,1,1)&lt;=$AF402),ROUND($AG402,2),0))</f>
        <v/>
      </c>
      <c r="K402" s="18">
        <f>IF($Z402="","",IF(AND(DATE($AD402,2,1)&gt;=$AE402,DATE($AD402,2,1)&lt;=$AF402),ROUND($AG402,2),0))</f>
        <v/>
      </c>
      <c r="L402" s="18">
        <f>IF($Z402="","",IF(AND(DATE($AD402,3,1)&gt;=$AE402,DATE($AD402,3,1)&lt;=$AF402),ROUND($AG402,2),0))</f>
        <v/>
      </c>
      <c r="M402" s="18">
        <f>IF($Z402="","",IF(AND(DATE($AD402,4,1)&gt;=$AE402,DATE($AD402,4,1)&lt;=$AF402),ROUND($AG402,2),0))</f>
        <v/>
      </c>
      <c r="N402" s="18">
        <f>IF($Z402="","",IF(AND(DATE($AD402,5,1)&gt;=$AE402,DATE($AD402,5,1)&lt;=$AF402),ROUND($AG402,2),0))</f>
        <v/>
      </c>
      <c r="O402" s="18">
        <f>IF($Z402="","",IF(AND(DATE($AD402,6,1)&gt;=$AE402,DATE($AD402,6,1)&lt;=$AF402),ROUND($AG402,2),0))</f>
        <v/>
      </c>
      <c r="P402" s="18">
        <f>IF($Z402="","",IF(AND(DATE($AD402,7,1)&gt;=$AE402,DATE($AD402,7,1)&lt;=$AF402),ROUND($AG402,2),0))</f>
        <v/>
      </c>
      <c r="Q402" s="18">
        <f>IF($Z402="","",IF(AND(DATE($AD402,8,1)&gt;=$AE402,DATE($AD402,8,1)&lt;=$AF402),ROUND($AG402,2),0))</f>
        <v/>
      </c>
      <c r="R402" s="18">
        <f>IF($Z402="","",IF(AND(DATE($AD402,9,1)&gt;=$AE402,DATE($AD402,9,1)&lt;=$AF402),ROUND($AG402,2),0))</f>
        <v/>
      </c>
      <c r="S402" s="18">
        <f>IF($Z402="","",IF(AND(DATE($AD402,10,1)&gt;=$AE402,DATE($AD402,10,1)&lt;=$AF402),ROUND($AG402,2),0))</f>
        <v/>
      </c>
      <c r="T402" s="18">
        <f>IF($Z402="","",IF(AND(DATE($AD402,11,1)&gt;=$AE402,DATE($AD402,11,1)&lt;=$AF402),ROUND($AG402,2),0))</f>
        <v/>
      </c>
      <c r="U402" s="18">
        <f>IF($Z402="","",IF(AND(DATE($AD402,12,1)&gt;=$AE402,DATE($AD402,12,1)&lt;=$AF402),ROUND($AG402,2),0))</f>
        <v/>
      </c>
      <c r="V402" s="7">
        <f>IF($Z402="C","Generated from "&amp;INDEX(Contracts!$A$2:$A$151,$AB402),IF($Z402="A","Generated from "&amp;INDEX(Fixed_Assets!$A$2:$A$201,$AB402),IF($Z402="F","Generated from "&amp;INDEX(FTE_Allocation!$A$2:$A$201,$AB402),"")))</f>
        <v/>
      </c>
      <c r="X402" s="19">
        <f>IF($Z402="","",SUM(J402:U402))</f>
        <v/>
      </c>
      <c r="Y402" s="20">
        <f>ROW()-1</f>
        <v/>
      </c>
      <c r="Z402" s="20">
        <f>IF($Y402&lt;=Settings!$B$4*3,"C",IF($Y402&lt;=(Settings!$B$4+Settings!$B$5)*3,"A",IF($Y402&lt;=(Settings!$B$4+Settings!$B$5+Settings!$B$6)*3,"F","")))</f>
        <v/>
      </c>
      <c r="AA402" s="20">
        <f>IF($Z402="C",$Y402,IF($Z402="A",$Y402-Settings!$B$4*3,IF($Z402="F",$Y402-(Settings!$B$4+Settings!$B$5)*3,"")))</f>
        <v/>
      </c>
      <c r="AB402" s="20">
        <f>IF($Z402="","",INT(($AA402-1)/3)+1)</f>
        <v/>
      </c>
      <c r="AC402" s="20">
        <f>IF($Z402="","",MOD($AA402-1,3)+1)</f>
        <v/>
      </c>
      <c r="AD402" s="20">
        <f>IF($Z402="","",Settings!$B$2+$AC402-1)</f>
        <v/>
      </c>
      <c r="AE402" s="21">
        <f>IF($Z402="C",DATE(YEAR(INDEX(Contracts!$J$2:$J$151,$AB402)),MONTH(INDEX(Contracts!$J$2:$J$151,$AB402)),1),IF($Z402="A",DATE(YEAR(INDEX(Fixed_Assets!$G$2:$G$201,$AB402)),MONTH(INDEX(Fixed_Assets!$G$2:$G$201,$AB402)),1),IF($Z402="F",DATE(YEAR(MAX(N(INDEX(Workforce!$I$2:$I$151,MATCH(INDEX(FTE_Allocation!$A$2:$A$201,$AB402),Workforce!$A$2:$A$151,0))),N(INDEX(FTE_Allocation!$I$2:$I$201,$AB402)))),MONTH(MAX(N(INDEX(Workforce!$I$2:$I$151,MATCH(INDEX(FTE_Allocation!$A$2:$A$201,$AB402),Workforce!$A$2:$A$151,0))),N(INDEX(FTE_Allocation!$I$2:$I$201,$AB402)))),1),"")))</f>
        <v/>
      </c>
      <c r="AF402" s="21">
        <f>IF($Z402="C",IF(INDEX(Contracts!$I$2:$I$151,$AB402)="PREPAID",EDATE(DATE(YEAR(INDEX(Contracts!$J$2:$J$151,$AB402)),MONTH(INDEX(Contracts!$J$2:$J$151,$AB402)),1),IF(INDEX(Contracts!$N$2:$N$151,$AB402)="",12,INDEX(Contracts!$N$2:$N$151,$AB402))-1),IF(INDEX(Contracts!$I$2:$I$151,$AB402)="MONTHLY",IF(INDEX(Contracts!$K$2:$K$151,$AB402)="",2958101,INDEX(Contracts!$K$2:$K$151,$AB402)),0)),IF($Z402="A",EDATE(DATE(YEAR(INDEX(Fixed_Assets!$G$2:$G$201,$AB402)),MONTH(INDEX(Fixed_Assets!$G$2:$G$201,$AB402)),1),INDEX(Fixed_Assets!$J$2:$J$201,$AB402)-1),IF($Z402="F",MIN(IF(INDEX(Workforce!$J$2:$J$151,MATCH(INDEX(FTE_Allocation!$A$2:$A$201,$AB402),Workforce!$A$2:$A$151,0))="",2958101,INDEX(Workforce!$J$2:$J$151,MATCH(INDEX(FTE_Allocation!$A$2:$A$201,$AB402),Workforce!$A$2:$A$151,0))),IF(INDEX(FTE_Allocation!$J$2:$J$201,$AB402)="",2958101,INDEX(FTE_Allocation!$J$2:$J$201,$AB402))),"")))</f>
        <v/>
      </c>
      <c r="AG402" s="19">
        <f>IF($Z402="C",IF(INDEX(Contracts!$I$2:$I$151,$AB402)="PREPAID",INDEX(Contracts!$M$2:$M$151,$AB402)/IF(INDEX(Contracts!$N$2:$N$151,$AB402)="",12,INDEX(Contracts!$N$2:$N$151,$AB402)),IF(INDEX(Contracts!$I$2:$I$151,$AB402)="MONTHLY",INDEX(Contracts!$M$2:$M$151,$AB402),0))*(1-N(INDEX(Contracts!$O$2:$O$151,$AB402))),IF($Z402="A",INDEX(Fixed_Assets!$H$2:$H$201,$AB402)/INDEX(Fixed_Assets!$J$2:$J$201,$AB402),IF($Z402="F",INDEX(Workforce!$F$2:$F$151,MATCH(INDEX(FTE_Allocation!$A$2:$A$201,$AB402),Workforce!$A$2:$A$151,0))*N(INDEX(FTE_Allocation!$F$2:$H$201,$AB402,$AC402)),"")))</f>
        <v/>
      </c>
    </row>
    <row r="403">
      <c r="A403" s="7">
        <f>IF($Z403="","",$AD403)</f>
        <v/>
      </c>
      <c r="B403" s="7">
        <f>IF($Z403="C",INDEX(Contracts!$D$2:$D$151,$AB403)&amp;"",IF($Z403="A",INDEX(Fixed_Assets!$C$2:$C$201,$AB403)&amp;"",IF($Z403="F",INDEX(Workforce!$B$2:$B$151,MATCH(INDEX(FTE_Allocation!$A$2:$A$201,$AB403),Workforce!$A$2:$A$151,0))&amp;"","")))</f>
        <v/>
      </c>
      <c r="C403" s="7">
        <f>IF($Z403="C",INDEX(Contracts!$E$2:$E$151,$AB403)&amp;"",IF($Z403="A",INDEX(Fixed_Assets!$D$2:$D$201,$AB403)&amp;"",IF($Z403="F",INDEX(FTE_Allocation!$C$2:$C$201,$AB403)&amp;"","")))</f>
        <v/>
      </c>
      <c r="D403" s="7">
        <f>IF($Z403="C",INDEX(Contracts!$B$2:$B$151,$AB403)&amp;"",IF($Z403="A",INDEX(Fixed_Assets!$B$2:$B$201,$AB403)&amp;"",IF($Z403="F",INDEX(FTE_Allocation!$B$2:$B$201,$AB403)&amp;"","")))</f>
        <v/>
      </c>
      <c r="E403" s="7">
        <f>IF($Z403="C",INDEX(Contracts!$P$2:$P$151,$AB403)&amp;"",IF($Z403="A",INDEX(Fixed_Assets!$K$2:$K$201,$AB403)&amp;"",IF($Z403="F",IF(INDEX(FTE_Allocation!$D$2:$D$201,$AB403)="PROJECT",IFERROR(INDEX(Projects!$D:$D,MATCH(INDEX(FTE_Allocation!$E$2:$E$201,$AB403),Projects!$A:$A,0))&amp;"","#PROJECT?"),INDEX(FTE_Allocation!$E$2:$E$201,$AB403)&amp;""),"")))</f>
        <v/>
      </c>
      <c r="F403" s="7">
        <f>IF($Z403="C",INDEX(Contracts!$Q$2:$Q$151,$AB403)&amp;"",IF($Z403="A",INDEX(Fixed_Assets!$L$2:$L$201,$AB403)&amp;"",IF($Z403="F",INDEX(Workforce!$K$2:$K$151,MATCH(INDEX(FTE_Allocation!$A$2:$A$201,$AB403),Workforce!$A$2:$A$151,0))&amp;"","")))</f>
        <v/>
      </c>
      <c r="G403" s="7">
        <f>IF($Z403="C",INDEX(Contracts!$F$2:$F$151,$AB403)&amp;" / "&amp;INDEX(Contracts!$G$2:$G$151,$AB403),IF($Z403="A",INDEX(Fixed_Assets!$E$2:$E$201,$AB403)&amp;"",IF($Z403="F","Personnel "&amp;INDEX(FTE_Allocation!$A$2:$A$201,$AB403)&amp;IF(INDEX(FTE_Allocation!$D$2:$D$201,$AB403)="PROJECT"," ("&amp;INDEX(FTE_Allocation!$E$2:$E$201,$AB403)&amp;")",""),"")))</f>
        <v/>
      </c>
      <c r="H403" s="7">
        <f>IF($Z403="C","CONTRACT",IF($Z403="A","ASSET",IF($Z403="F","WORKFORCE","")))</f>
        <v/>
      </c>
      <c r="I403" s="7">
        <f>IF($Z403="C",INDEX(Contracts!$L$2:$L$151,$AB403)&amp;"",IF($Z403="A",INDEX(Fixed_Assets!$I$2:$I$201,$AB403)&amp;"",IF($Z403="F",INDEX(Workforce!$G$2:$G$151,MATCH(INDEX(FTE_Allocation!$A$2:$A$201,$AB403),Workforce!$A$2:$A$151,0))&amp;"","")))</f>
        <v/>
      </c>
      <c r="J403" s="18">
        <f>IF($Z403="","",IF(AND(DATE($AD403,1,1)&gt;=$AE403,DATE($AD403,1,1)&lt;=$AF403),ROUND($AG403,2),0))</f>
        <v/>
      </c>
      <c r="K403" s="18">
        <f>IF($Z403="","",IF(AND(DATE($AD403,2,1)&gt;=$AE403,DATE($AD403,2,1)&lt;=$AF403),ROUND($AG403,2),0))</f>
        <v/>
      </c>
      <c r="L403" s="18">
        <f>IF($Z403="","",IF(AND(DATE($AD403,3,1)&gt;=$AE403,DATE($AD403,3,1)&lt;=$AF403),ROUND($AG403,2),0))</f>
        <v/>
      </c>
      <c r="M403" s="18">
        <f>IF($Z403="","",IF(AND(DATE($AD403,4,1)&gt;=$AE403,DATE($AD403,4,1)&lt;=$AF403),ROUND($AG403,2),0))</f>
        <v/>
      </c>
      <c r="N403" s="18">
        <f>IF($Z403="","",IF(AND(DATE($AD403,5,1)&gt;=$AE403,DATE($AD403,5,1)&lt;=$AF403),ROUND($AG403,2),0))</f>
        <v/>
      </c>
      <c r="O403" s="18">
        <f>IF($Z403="","",IF(AND(DATE($AD403,6,1)&gt;=$AE403,DATE($AD403,6,1)&lt;=$AF403),ROUND($AG403,2),0))</f>
        <v/>
      </c>
      <c r="P403" s="18">
        <f>IF($Z403="","",IF(AND(DATE($AD403,7,1)&gt;=$AE403,DATE($AD403,7,1)&lt;=$AF403),ROUND($AG403,2),0))</f>
        <v/>
      </c>
      <c r="Q403" s="18">
        <f>IF($Z403="","",IF(AND(DATE($AD403,8,1)&gt;=$AE403,DATE($AD403,8,1)&lt;=$AF403),ROUND($AG403,2),0))</f>
        <v/>
      </c>
      <c r="R403" s="18">
        <f>IF($Z403="","",IF(AND(DATE($AD403,9,1)&gt;=$AE403,DATE($AD403,9,1)&lt;=$AF403),ROUND($AG403,2),0))</f>
        <v/>
      </c>
      <c r="S403" s="18">
        <f>IF($Z403="","",IF(AND(DATE($AD403,10,1)&gt;=$AE403,DATE($AD403,10,1)&lt;=$AF403),ROUND($AG403,2),0))</f>
        <v/>
      </c>
      <c r="T403" s="18">
        <f>IF($Z403="","",IF(AND(DATE($AD403,11,1)&gt;=$AE403,DATE($AD403,11,1)&lt;=$AF403),ROUND($AG403,2),0))</f>
        <v/>
      </c>
      <c r="U403" s="18">
        <f>IF($Z403="","",IF(AND(DATE($AD403,12,1)&gt;=$AE403,DATE($AD403,12,1)&lt;=$AF403),ROUND($AG403,2),0))</f>
        <v/>
      </c>
      <c r="V403" s="7">
        <f>IF($Z403="C","Generated from "&amp;INDEX(Contracts!$A$2:$A$151,$AB403),IF($Z403="A","Generated from "&amp;INDEX(Fixed_Assets!$A$2:$A$201,$AB403),IF($Z403="F","Generated from "&amp;INDEX(FTE_Allocation!$A$2:$A$201,$AB403),"")))</f>
        <v/>
      </c>
      <c r="X403" s="19">
        <f>IF($Z403="","",SUM(J403:U403))</f>
        <v/>
      </c>
      <c r="Y403" s="20">
        <f>ROW()-1</f>
        <v/>
      </c>
      <c r="Z403" s="20">
        <f>IF($Y403&lt;=Settings!$B$4*3,"C",IF($Y403&lt;=(Settings!$B$4+Settings!$B$5)*3,"A",IF($Y403&lt;=(Settings!$B$4+Settings!$B$5+Settings!$B$6)*3,"F","")))</f>
        <v/>
      </c>
      <c r="AA403" s="20">
        <f>IF($Z403="C",$Y403,IF($Z403="A",$Y403-Settings!$B$4*3,IF($Z403="F",$Y403-(Settings!$B$4+Settings!$B$5)*3,"")))</f>
        <v/>
      </c>
      <c r="AB403" s="20">
        <f>IF($Z403="","",INT(($AA403-1)/3)+1)</f>
        <v/>
      </c>
      <c r="AC403" s="20">
        <f>IF($Z403="","",MOD($AA403-1,3)+1)</f>
        <v/>
      </c>
      <c r="AD403" s="20">
        <f>IF($Z403="","",Settings!$B$2+$AC403-1)</f>
        <v/>
      </c>
      <c r="AE403" s="21">
        <f>IF($Z403="C",DATE(YEAR(INDEX(Contracts!$J$2:$J$151,$AB403)),MONTH(INDEX(Contracts!$J$2:$J$151,$AB403)),1),IF($Z403="A",DATE(YEAR(INDEX(Fixed_Assets!$G$2:$G$201,$AB403)),MONTH(INDEX(Fixed_Assets!$G$2:$G$201,$AB403)),1),IF($Z403="F",DATE(YEAR(MAX(N(INDEX(Workforce!$I$2:$I$151,MATCH(INDEX(FTE_Allocation!$A$2:$A$201,$AB403),Workforce!$A$2:$A$151,0))),N(INDEX(FTE_Allocation!$I$2:$I$201,$AB403)))),MONTH(MAX(N(INDEX(Workforce!$I$2:$I$151,MATCH(INDEX(FTE_Allocation!$A$2:$A$201,$AB403),Workforce!$A$2:$A$151,0))),N(INDEX(FTE_Allocation!$I$2:$I$201,$AB403)))),1),"")))</f>
        <v/>
      </c>
      <c r="AF403" s="21">
        <f>IF($Z403="C",IF(INDEX(Contracts!$I$2:$I$151,$AB403)="PREPAID",EDATE(DATE(YEAR(INDEX(Contracts!$J$2:$J$151,$AB403)),MONTH(INDEX(Contracts!$J$2:$J$151,$AB403)),1),IF(INDEX(Contracts!$N$2:$N$151,$AB403)="",12,INDEX(Contracts!$N$2:$N$151,$AB403))-1),IF(INDEX(Contracts!$I$2:$I$151,$AB403)="MONTHLY",IF(INDEX(Contracts!$K$2:$K$151,$AB403)="",2958101,INDEX(Contracts!$K$2:$K$151,$AB403)),0)),IF($Z403="A",EDATE(DATE(YEAR(INDEX(Fixed_Assets!$G$2:$G$201,$AB403)),MONTH(INDEX(Fixed_Assets!$G$2:$G$201,$AB403)),1),INDEX(Fixed_Assets!$J$2:$J$201,$AB403)-1),IF($Z403="F",MIN(IF(INDEX(Workforce!$J$2:$J$151,MATCH(INDEX(FTE_Allocation!$A$2:$A$201,$AB403),Workforce!$A$2:$A$151,0))="",2958101,INDEX(Workforce!$J$2:$J$151,MATCH(INDEX(FTE_Allocation!$A$2:$A$201,$AB403),Workforce!$A$2:$A$151,0))),IF(INDEX(FTE_Allocation!$J$2:$J$201,$AB403)="",2958101,INDEX(FTE_Allocation!$J$2:$J$201,$AB403))),"")))</f>
        <v/>
      </c>
      <c r="AG403" s="19">
        <f>IF($Z403="C",IF(INDEX(Contracts!$I$2:$I$151,$AB403)="PREPAID",INDEX(Contracts!$M$2:$M$151,$AB403)/IF(INDEX(Contracts!$N$2:$N$151,$AB403)="",12,INDEX(Contracts!$N$2:$N$151,$AB403)),IF(INDEX(Contracts!$I$2:$I$151,$AB403)="MONTHLY",INDEX(Contracts!$M$2:$M$151,$AB403),0))*(1-N(INDEX(Contracts!$O$2:$O$151,$AB403))),IF($Z403="A",INDEX(Fixed_Assets!$H$2:$H$201,$AB403)/INDEX(Fixed_Assets!$J$2:$J$201,$AB403),IF($Z403="F",INDEX(Workforce!$F$2:$F$151,MATCH(INDEX(FTE_Allocation!$A$2:$A$201,$AB403),Workforce!$A$2:$A$151,0))*N(INDEX(FTE_Allocation!$F$2:$H$201,$AB403,$AC403)),"")))</f>
        <v/>
      </c>
    </row>
    <row r="404">
      <c r="A404" s="7">
        <f>IF($Z404="","",$AD404)</f>
        <v/>
      </c>
      <c r="B404" s="7">
        <f>IF($Z404="C",INDEX(Contracts!$D$2:$D$151,$AB404)&amp;"",IF($Z404="A",INDEX(Fixed_Assets!$C$2:$C$201,$AB404)&amp;"",IF($Z404="F",INDEX(Workforce!$B$2:$B$151,MATCH(INDEX(FTE_Allocation!$A$2:$A$201,$AB404),Workforce!$A$2:$A$151,0))&amp;"","")))</f>
        <v/>
      </c>
      <c r="C404" s="7">
        <f>IF($Z404="C",INDEX(Contracts!$E$2:$E$151,$AB404)&amp;"",IF($Z404="A",INDEX(Fixed_Assets!$D$2:$D$201,$AB404)&amp;"",IF($Z404="F",INDEX(FTE_Allocation!$C$2:$C$201,$AB404)&amp;"","")))</f>
        <v/>
      </c>
      <c r="D404" s="7">
        <f>IF($Z404="C",INDEX(Contracts!$B$2:$B$151,$AB404)&amp;"",IF($Z404="A",INDEX(Fixed_Assets!$B$2:$B$201,$AB404)&amp;"",IF($Z404="F",INDEX(FTE_Allocation!$B$2:$B$201,$AB404)&amp;"","")))</f>
        <v/>
      </c>
      <c r="E404" s="7">
        <f>IF($Z404="C",INDEX(Contracts!$P$2:$P$151,$AB404)&amp;"",IF($Z404="A",INDEX(Fixed_Assets!$K$2:$K$201,$AB404)&amp;"",IF($Z404="F",IF(INDEX(FTE_Allocation!$D$2:$D$201,$AB404)="PROJECT",IFERROR(INDEX(Projects!$D:$D,MATCH(INDEX(FTE_Allocation!$E$2:$E$201,$AB404),Projects!$A:$A,0))&amp;"","#PROJECT?"),INDEX(FTE_Allocation!$E$2:$E$201,$AB404)&amp;""),"")))</f>
        <v/>
      </c>
      <c r="F404" s="7">
        <f>IF($Z404="C",INDEX(Contracts!$Q$2:$Q$151,$AB404)&amp;"",IF($Z404="A",INDEX(Fixed_Assets!$L$2:$L$201,$AB404)&amp;"",IF($Z404="F",INDEX(Workforce!$K$2:$K$151,MATCH(INDEX(FTE_Allocation!$A$2:$A$201,$AB404),Workforce!$A$2:$A$151,0))&amp;"","")))</f>
        <v/>
      </c>
      <c r="G404" s="7">
        <f>IF($Z404="C",INDEX(Contracts!$F$2:$F$151,$AB404)&amp;" / "&amp;INDEX(Contracts!$G$2:$G$151,$AB404),IF($Z404="A",INDEX(Fixed_Assets!$E$2:$E$201,$AB404)&amp;"",IF($Z404="F","Personnel "&amp;INDEX(FTE_Allocation!$A$2:$A$201,$AB404)&amp;IF(INDEX(FTE_Allocation!$D$2:$D$201,$AB404)="PROJECT"," ("&amp;INDEX(FTE_Allocation!$E$2:$E$201,$AB404)&amp;")",""),"")))</f>
        <v/>
      </c>
      <c r="H404" s="7">
        <f>IF($Z404="C","CONTRACT",IF($Z404="A","ASSET",IF($Z404="F","WORKFORCE","")))</f>
        <v/>
      </c>
      <c r="I404" s="7">
        <f>IF($Z404="C",INDEX(Contracts!$L$2:$L$151,$AB404)&amp;"",IF($Z404="A",INDEX(Fixed_Assets!$I$2:$I$201,$AB404)&amp;"",IF($Z404="F",INDEX(Workforce!$G$2:$G$151,MATCH(INDEX(FTE_Allocation!$A$2:$A$201,$AB404),Workforce!$A$2:$A$151,0))&amp;"","")))</f>
        <v/>
      </c>
      <c r="J404" s="18">
        <f>IF($Z404="","",IF(AND(DATE($AD404,1,1)&gt;=$AE404,DATE($AD404,1,1)&lt;=$AF404),ROUND($AG404,2),0))</f>
        <v/>
      </c>
      <c r="K404" s="18">
        <f>IF($Z404="","",IF(AND(DATE($AD404,2,1)&gt;=$AE404,DATE($AD404,2,1)&lt;=$AF404),ROUND($AG404,2),0))</f>
        <v/>
      </c>
      <c r="L404" s="18">
        <f>IF($Z404="","",IF(AND(DATE($AD404,3,1)&gt;=$AE404,DATE($AD404,3,1)&lt;=$AF404),ROUND($AG404,2),0))</f>
        <v/>
      </c>
      <c r="M404" s="18">
        <f>IF($Z404="","",IF(AND(DATE($AD404,4,1)&gt;=$AE404,DATE($AD404,4,1)&lt;=$AF404),ROUND($AG404,2),0))</f>
        <v/>
      </c>
      <c r="N404" s="18">
        <f>IF($Z404="","",IF(AND(DATE($AD404,5,1)&gt;=$AE404,DATE($AD404,5,1)&lt;=$AF404),ROUND($AG404,2),0))</f>
        <v/>
      </c>
      <c r="O404" s="18">
        <f>IF($Z404="","",IF(AND(DATE($AD404,6,1)&gt;=$AE404,DATE($AD404,6,1)&lt;=$AF404),ROUND($AG404,2),0))</f>
        <v/>
      </c>
      <c r="P404" s="18">
        <f>IF($Z404="","",IF(AND(DATE($AD404,7,1)&gt;=$AE404,DATE($AD404,7,1)&lt;=$AF404),ROUND($AG404,2),0))</f>
        <v/>
      </c>
      <c r="Q404" s="18">
        <f>IF($Z404="","",IF(AND(DATE($AD404,8,1)&gt;=$AE404,DATE($AD404,8,1)&lt;=$AF404),ROUND($AG404,2),0))</f>
        <v/>
      </c>
      <c r="R404" s="18">
        <f>IF($Z404="","",IF(AND(DATE($AD404,9,1)&gt;=$AE404,DATE($AD404,9,1)&lt;=$AF404),ROUND($AG404,2),0))</f>
        <v/>
      </c>
      <c r="S404" s="18">
        <f>IF($Z404="","",IF(AND(DATE($AD404,10,1)&gt;=$AE404,DATE($AD404,10,1)&lt;=$AF404),ROUND($AG404,2),0))</f>
        <v/>
      </c>
      <c r="T404" s="18">
        <f>IF($Z404="","",IF(AND(DATE($AD404,11,1)&gt;=$AE404,DATE($AD404,11,1)&lt;=$AF404),ROUND($AG404,2),0))</f>
        <v/>
      </c>
      <c r="U404" s="18">
        <f>IF($Z404="","",IF(AND(DATE($AD404,12,1)&gt;=$AE404,DATE($AD404,12,1)&lt;=$AF404),ROUND($AG404,2),0))</f>
        <v/>
      </c>
      <c r="V404" s="7">
        <f>IF($Z404="C","Generated from "&amp;INDEX(Contracts!$A$2:$A$151,$AB404),IF($Z404="A","Generated from "&amp;INDEX(Fixed_Assets!$A$2:$A$201,$AB404),IF($Z404="F","Generated from "&amp;INDEX(FTE_Allocation!$A$2:$A$201,$AB404),"")))</f>
        <v/>
      </c>
      <c r="X404" s="19">
        <f>IF($Z404="","",SUM(J404:U404))</f>
        <v/>
      </c>
      <c r="Y404" s="20">
        <f>ROW()-1</f>
        <v/>
      </c>
      <c r="Z404" s="20">
        <f>IF($Y404&lt;=Settings!$B$4*3,"C",IF($Y404&lt;=(Settings!$B$4+Settings!$B$5)*3,"A",IF($Y404&lt;=(Settings!$B$4+Settings!$B$5+Settings!$B$6)*3,"F","")))</f>
        <v/>
      </c>
      <c r="AA404" s="20">
        <f>IF($Z404="C",$Y404,IF($Z404="A",$Y404-Settings!$B$4*3,IF($Z404="F",$Y404-(Settings!$B$4+Settings!$B$5)*3,"")))</f>
        <v/>
      </c>
      <c r="AB404" s="20">
        <f>IF($Z404="","",INT(($AA404-1)/3)+1)</f>
        <v/>
      </c>
      <c r="AC404" s="20">
        <f>IF($Z404="","",MOD($AA404-1,3)+1)</f>
        <v/>
      </c>
      <c r="AD404" s="20">
        <f>IF($Z404="","",Settings!$B$2+$AC404-1)</f>
        <v/>
      </c>
      <c r="AE404" s="21">
        <f>IF($Z404="C",DATE(YEAR(INDEX(Contracts!$J$2:$J$151,$AB404)),MONTH(INDEX(Contracts!$J$2:$J$151,$AB404)),1),IF($Z404="A",DATE(YEAR(INDEX(Fixed_Assets!$G$2:$G$201,$AB404)),MONTH(INDEX(Fixed_Assets!$G$2:$G$201,$AB404)),1),IF($Z404="F",DATE(YEAR(MAX(N(INDEX(Workforce!$I$2:$I$151,MATCH(INDEX(FTE_Allocation!$A$2:$A$201,$AB404),Workforce!$A$2:$A$151,0))),N(INDEX(FTE_Allocation!$I$2:$I$201,$AB404)))),MONTH(MAX(N(INDEX(Workforce!$I$2:$I$151,MATCH(INDEX(FTE_Allocation!$A$2:$A$201,$AB404),Workforce!$A$2:$A$151,0))),N(INDEX(FTE_Allocation!$I$2:$I$201,$AB404)))),1),"")))</f>
        <v/>
      </c>
      <c r="AF404" s="21">
        <f>IF($Z404="C",IF(INDEX(Contracts!$I$2:$I$151,$AB404)="PREPAID",EDATE(DATE(YEAR(INDEX(Contracts!$J$2:$J$151,$AB404)),MONTH(INDEX(Contracts!$J$2:$J$151,$AB404)),1),IF(INDEX(Contracts!$N$2:$N$151,$AB404)="",12,INDEX(Contracts!$N$2:$N$151,$AB404))-1),IF(INDEX(Contracts!$I$2:$I$151,$AB404)="MONTHLY",IF(INDEX(Contracts!$K$2:$K$151,$AB404)="",2958101,INDEX(Contracts!$K$2:$K$151,$AB404)),0)),IF($Z404="A",EDATE(DATE(YEAR(INDEX(Fixed_Assets!$G$2:$G$201,$AB404)),MONTH(INDEX(Fixed_Assets!$G$2:$G$201,$AB404)),1),INDEX(Fixed_Assets!$J$2:$J$201,$AB404)-1),IF($Z404="F",MIN(IF(INDEX(Workforce!$J$2:$J$151,MATCH(INDEX(FTE_Allocation!$A$2:$A$201,$AB404),Workforce!$A$2:$A$151,0))="",2958101,INDEX(Workforce!$J$2:$J$151,MATCH(INDEX(FTE_Allocation!$A$2:$A$201,$AB404),Workforce!$A$2:$A$151,0))),IF(INDEX(FTE_Allocation!$J$2:$J$201,$AB404)="",2958101,INDEX(FTE_Allocation!$J$2:$J$201,$AB404))),"")))</f>
        <v/>
      </c>
      <c r="AG404" s="19">
        <f>IF($Z404="C",IF(INDEX(Contracts!$I$2:$I$151,$AB404)="PREPAID",INDEX(Contracts!$M$2:$M$151,$AB404)/IF(INDEX(Contracts!$N$2:$N$151,$AB404)="",12,INDEX(Contracts!$N$2:$N$151,$AB404)),IF(INDEX(Contracts!$I$2:$I$151,$AB404)="MONTHLY",INDEX(Contracts!$M$2:$M$151,$AB404),0))*(1-N(INDEX(Contracts!$O$2:$O$151,$AB404))),IF($Z404="A",INDEX(Fixed_Assets!$H$2:$H$201,$AB404)/INDEX(Fixed_Assets!$J$2:$J$201,$AB404),IF($Z404="F",INDEX(Workforce!$F$2:$F$151,MATCH(INDEX(FTE_Allocation!$A$2:$A$201,$AB404),Workforce!$A$2:$A$151,0))*N(INDEX(FTE_Allocation!$F$2:$H$201,$AB404,$AC404)),"")))</f>
        <v/>
      </c>
    </row>
    <row r="405">
      <c r="A405" s="7">
        <f>IF($Z405="","",$AD405)</f>
        <v/>
      </c>
      <c r="B405" s="7">
        <f>IF($Z405="C",INDEX(Contracts!$D$2:$D$151,$AB405)&amp;"",IF($Z405="A",INDEX(Fixed_Assets!$C$2:$C$201,$AB405)&amp;"",IF($Z405="F",INDEX(Workforce!$B$2:$B$151,MATCH(INDEX(FTE_Allocation!$A$2:$A$201,$AB405),Workforce!$A$2:$A$151,0))&amp;"","")))</f>
        <v/>
      </c>
      <c r="C405" s="7">
        <f>IF($Z405="C",INDEX(Contracts!$E$2:$E$151,$AB405)&amp;"",IF($Z405="A",INDEX(Fixed_Assets!$D$2:$D$201,$AB405)&amp;"",IF($Z405="F",INDEX(FTE_Allocation!$C$2:$C$201,$AB405)&amp;"","")))</f>
        <v/>
      </c>
      <c r="D405" s="7">
        <f>IF($Z405="C",INDEX(Contracts!$B$2:$B$151,$AB405)&amp;"",IF($Z405="A",INDEX(Fixed_Assets!$B$2:$B$201,$AB405)&amp;"",IF($Z405="F",INDEX(FTE_Allocation!$B$2:$B$201,$AB405)&amp;"","")))</f>
        <v/>
      </c>
      <c r="E405" s="7">
        <f>IF($Z405="C",INDEX(Contracts!$P$2:$P$151,$AB405)&amp;"",IF($Z405="A",INDEX(Fixed_Assets!$K$2:$K$201,$AB405)&amp;"",IF($Z405="F",IF(INDEX(FTE_Allocation!$D$2:$D$201,$AB405)="PROJECT",IFERROR(INDEX(Projects!$D:$D,MATCH(INDEX(FTE_Allocation!$E$2:$E$201,$AB405),Projects!$A:$A,0))&amp;"","#PROJECT?"),INDEX(FTE_Allocation!$E$2:$E$201,$AB405)&amp;""),"")))</f>
        <v/>
      </c>
      <c r="F405" s="7">
        <f>IF($Z405="C",INDEX(Contracts!$Q$2:$Q$151,$AB405)&amp;"",IF($Z405="A",INDEX(Fixed_Assets!$L$2:$L$201,$AB405)&amp;"",IF($Z405="F",INDEX(Workforce!$K$2:$K$151,MATCH(INDEX(FTE_Allocation!$A$2:$A$201,$AB405),Workforce!$A$2:$A$151,0))&amp;"","")))</f>
        <v/>
      </c>
      <c r="G405" s="7">
        <f>IF($Z405="C",INDEX(Contracts!$F$2:$F$151,$AB405)&amp;" / "&amp;INDEX(Contracts!$G$2:$G$151,$AB405),IF($Z405="A",INDEX(Fixed_Assets!$E$2:$E$201,$AB405)&amp;"",IF($Z405="F","Personnel "&amp;INDEX(FTE_Allocation!$A$2:$A$201,$AB405)&amp;IF(INDEX(FTE_Allocation!$D$2:$D$201,$AB405)="PROJECT"," ("&amp;INDEX(FTE_Allocation!$E$2:$E$201,$AB405)&amp;")",""),"")))</f>
        <v/>
      </c>
      <c r="H405" s="7">
        <f>IF($Z405="C","CONTRACT",IF($Z405="A","ASSET",IF($Z405="F","WORKFORCE","")))</f>
        <v/>
      </c>
      <c r="I405" s="7">
        <f>IF($Z405="C",INDEX(Contracts!$L$2:$L$151,$AB405)&amp;"",IF($Z405="A",INDEX(Fixed_Assets!$I$2:$I$201,$AB405)&amp;"",IF($Z405="F",INDEX(Workforce!$G$2:$G$151,MATCH(INDEX(FTE_Allocation!$A$2:$A$201,$AB405),Workforce!$A$2:$A$151,0))&amp;"","")))</f>
        <v/>
      </c>
      <c r="J405" s="18">
        <f>IF($Z405="","",IF(AND(DATE($AD405,1,1)&gt;=$AE405,DATE($AD405,1,1)&lt;=$AF405),ROUND($AG405,2),0))</f>
        <v/>
      </c>
      <c r="K405" s="18">
        <f>IF($Z405="","",IF(AND(DATE($AD405,2,1)&gt;=$AE405,DATE($AD405,2,1)&lt;=$AF405),ROUND($AG405,2),0))</f>
        <v/>
      </c>
      <c r="L405" s="18">
        <f>IF($Z405="","",IF(AND(DATE($AD405,3,1)&gt;=$AE405,DATE($AD405,3,1)&lt;=$AF405),ROUND($AG405,2),0))</f>
        <v/>
      </c>
      <c r="M405" s="18">
        <f>IF($Z405="","",IF(AND(DATE($AD405,4,1)&gt;=$AE405,DATE($AD405,4,1)&lt;=$AF405),ROUND($AG405,2),0))</f>
        <v/>
      </c>
      <c r="N405" s="18">
        <f>IF($Z405="","",IF(AND(DATE($AD405,5,1)&gt;=$AE405,DATE($AD405,5,1)&lt;=$AF405),ROUND($AG405,2),0))</f>
        <v/>
      </c>
      <c r="O405" s="18">
        <f>IF($Z405="","",IF(AND(DATE($AD405,6,1)&gt;=$AE405,DATE($AD405,6,1)&lt;=$AF405),ROUND($AG405,2),0))</f>
        <v/>
      </c>
      <c r="P405" s="18">
        <f>IF($Z405="","",IF(AND(DATE($AD405,7,1)&gt;=$AE405,DATE($AD405,7,1)&lt;=$AF405),ROUND($AG405,2),0))</f>
        <v/>
      </c>
      <c r="Q405" s="18">
        <f>IF($Z405="","",IF(AND(DATE($AD405,8,1)&gt;=$AE405,DATE($AD405,8,1)&lt;=$AF405),ROUND($AG405,2),0))</f>
        <v/>
      </c>
      <c r="R405" s="18">
        <f>IF($Z405="","",IF(AND(DATE($AD405,9,1)&gt;=$AE405,DATE($AD405,9,1)&lt;=$AF405),ROUND($AG405,2),0))</f>
        <v/>
      </c>
      <c r="S405" s="18">
        <f>IF($Z405="","",IF(AND(DATE($AD405,10,1)&gt;=$AE405,DATE($AD405,10,1)&lt;=$AF405),ROUND($AG405,2),0))</f>
        <v/>
      </c>
      <c r="T405" s="18">
        <f>IF($Z405="","",IF(AND(DATE($AD405,11,1)&gt;=$AE405,DATE($AD405,11,1)&lt;=$AF405),ROUND($AG405,2),0))</f>
        <v/>
      </c>
      <c r="U405" s="18">
        <f>IF($Z405="","",IF(AND(DATE($AD405,12,1)&gt;=$AE405,DATE($AD405,12,1)&lt;=$AF405),ROUND($AG405,2),0))</f>
        <v/>
      </c>
      <c r="V405" s="7">
        <f>IF($Z405="C","Generated from "&amp;INDEX(Contracts!$A$2:$A$151,$AB405),IF($Z405="A","Generated from "&amp;INDEX(Fixed_Assets!$A$2:$A$201,$AB405),IF($Z405="F","Generated from "&amp;INDEX(FTE_Allocation!$A$2:$A$201,$AB405),"")))</f>
        <v/>
      </c>
      <c r="X405" s="19">
        <f>IF($Z405="","",SUM(J405:U405))</f>
        <v/>
      </c>
      <c r="Y405" s="20">
        <f>ROW()-1</f>
        <v/>
      </c>
      <c r="Z405" s="20">
        <f>IF($Y405&lt;=Settings!$B$4*3,"C",IF($Y405&lt;=(Settings!$B$4+Settings!$B$5)*3,"A",IF($Y405&lt;=(Settings!$B$4+Settings!$B$5+Settings!$B$6)*3,"F","")))</f>
        <v/>
      </c>
      <c r="AA405" s="20">
        <f>IF($Z405="C",$Y405,IF($Z405="A",$Y405-Settings!$B$4*3,IF($Z405="F",$Y405-(Settings!$B$4+Settings!$B$5)*3,"")))</f>
        <v/>
      </c>
      <c r="AB405" s="20">
        <f>IF($Z405="","",INT(($AA405-1)/3)+1)</f>
        <v/>
      </c>
      <c r="AC405" s="20">
        <f>IF($Z405="","",MOD($AA405-1,3)+1)</f>
        <v/>
      </c>
      <c r="AD405" s="20">
        <f>IF($Z405="","",Settings!$B$2+$AC405-1)</f>
        <v/>
      </c>
      <c r="AE405" s="21">
        <f>IF($Z405="C",DATE(YEAR(INDEX(Contracts!$J$2:$J$151,$AB405)),MONTH(INDEX(Contracts!$J$2:$J$151,$AB405)),1),IF($Z405="A",DATE(YEAR(INDEX(Fixed_Assets!$G$2:$G$201,$AB405)),MONTH(INDEX(Fixed_Assets!$G$2:$G$201,$AB405)),1),IF($Z405="F",DATE(YEAR(MAX(N(INDEX(Workforce!$I$2:$I$151,MATCH(INDEX(FTE_Allocation!$A$2:$A$201,$AB405),Workforce!$A$2:$A$151,0))),N(INDEX(FTE_Allocation!$I$2:$I$201,$AB405)))),MONTH(MAX(N(INDEX(Workforce!$I$2:$I$151,MATCH(INDEX(FTE_Allocation!$A$2:$A$201,$AB405),Workforce!$A$2:$A$151,0))),N(INDEX(FTE_Allocation!$I$2:$I$201,$AB405)))),1),"")))</f>
        <v/>
      </c>
      <c r="AF405" s="21">
        <f>IF($Z405="C",IF(INDEX(Contracts!$I$2:$I$151,$AB405)="PREPAID",EDATE(DATE(YEAR(INDEX(Contracts!$J$2:$J$151,$AB405)),MONTH(INDEX(Contracts!$J$2:$J$151,$AB405)),1),IF(INDEX(Contracts!$N$2:$N$151,$AB405)="",12,INDEX(Contracts!$N$2:$N$151,$AB405))-1),IF(INDEX(Contracts!$I$2:$I$151,$AB405)="MONTHLY",IF(INDEX(Contracts!$K$2:$K$151,$AB405)="",2958101,INDEX(Contracts!$K$2:$K$151,$AB405)),0)),IF($Z405="A",EDATE(DATE(YEAR(INDEX(Fixed_Assets!$G$2:$G$201,$AB405)),MONTH(INDEX(Fixed_Assets!$G$2:$G$201,$AB405)),1),INDEX(Fixed_Assets!$J$2:$J$201,$AB405)-1),IF($Z405="F",MIN(IF(INDEX(Workforce!$J$2:$J$151,MATCH(INDEX(FTE_Allocation!$A$2:$A$201,$AB405),Workforce!$A$2:$A$151,0))="",2958101,INDEX(Workforce!$J$2:$J$151,MATCH(INDEX(FTE_Allocation!$A$2:$A$201,$AB405),Workforce!$A$2:$A$151,0))),IF(INDEX(FTE_Allocation!$J$2:$J$201,$AB405)="",2958101,INDEX(FTE_Allocation!$J$2:$J$201,$AB405))),"")))</f>
        <v/>
      </c>
      <c r="AG405" s="19">
        <f>IF($Z405="C",IF(INDEX(Contracts!$I$2:$I$151,$AB405)="PREPAID",INDEX(Contracts!$M$2:$M$151,$AB405)/IF(INDEX(Contracts!$N$2:$N$151,$AB405)="",12,INDEX(Contracts!$N$2:$N$151,$AB405)),IF(INDEX(Contracts!$I$2:$I$151,$AB405)="MONTHLY",INDEX(Contracts!$M$2:$M$151,$AB405),0))*(1-N(INDEX(Contracts!$O$2:$O$151,$AB405))),IF($Z405="A",INDEX(Fixed_Assets!$H$2:$H$201,$AB405)/INDEX(Fixed_Assets!$J$2:$J$201,$AB405),IF($Z405="F",INDEX(Workforce!$F$2:$F$151,MATCH(INDEX(FTE_Allocation!$A$2:$A$201,$AB405),Workforce!$A$2:$A$151,0))*N(INDEX(FTE_Allocation!$F$2:$H$201,$AB405,$AC405)),"")))</f>
        <v/>
      </c>
    </row>
    <row r="406">
      <c r="A406" s="7">
        <f>IF($Z406="","",$AD406)</f>
        <v/>
      </c>
      <c r="B406" s="7">
        <f>IF($Z406="C",INDEX(Contracts!$D$2:$D$151,$AB406)&amp;"",IF($Z406="A",INDEX(Fixed_Assets!$C$2:$C$201,$AB406)&amp;"",IF($Z406="F",INDEX(Workforce!$B$2:$B$151,MATCH(INDEX(FTE_Allocation!$A$2:$A$201,$AB406),Workforce!$A$2:$A$151,0))&amp;"","")))</f>
        <v/>
      </c>
      <c r="C406" s="7">
        <f>IF($Z406="C",INDEX(Contracts!$E$2:$E$151,$AB406)&amp;"",IF($Z406="A",INDEX(Fixed_Assets!$D$2:$D$201,$AB406)&amp;"",IF($Z406="F",INDEX(FTE_Allocation!$C$2:$C$201,$AB406)&amp;"","")))</f>
        <v/>
      </c>
      <c r="D406" s="7">
        <f>IF($Z406="C",INDEX(Contracts!$B$2:$B$151,$AB406)&amp;"",IF($Z406="A",INDEX(Fixed_Assets!$B$2:$B$201,$AB406)&amp;"",IF($Z406="F",INDEX(FTE_Allocation!$B$2:$B$201,$AB406)&amp;"","")))</f>
        <v/>
      </c>
      <c r="E406" s="7">
        <f>IF($Z406="C",INDEX(Contracts!$P$2:$P$151,$AB406)&amp;"",IF($Z406="A",INDEX(Fixed_Assets!$K$2:$K$201,$AB406)&amp;"",IF($Z406="F",IF(INDEX(FTE_Allocation!$D$2:$D$201,$AB406)="PROJECT",IFERROR(INDEX(Projects!$D:$D,MATCH(INDEX(FTE_Allocation!$E$2:$E$201,$AB406),Projects!$A:$A,0))&amp;"","#PROJECT?"),INDEX(FTE_Allocation!$E$2:$E$201,$AB406)&amp;""),"")))</f>
        <v/>
      </c>
      <c r="F406" s="7">
        <f>IF($Z406="C",INDEX(Contracts!$Q$2:$Q$151,$AB406)&amp;"",IF($Z406="A",INDEX(Fixed_Assets!$L$2:$L$201,$AB406)&amp;"",IF($Z406="F",INDEX(Workforce!$K$2:$K$151,MATCH(INDEX(FTE_Allocation!$A$2:$A$201,$AB406),Workforce!$A$2:$A$151,0))&amp;"","")))</f>
        <v/>
      </c>
      <c r="G406" s="7">
        <f>IF($Z406="C",INDEX(Contracts!$F$2:$F$151,$AB406)&amp;" / "&amp;INDEX(Contracts!$G$2:$G$151,$AB406),IF($Z406="A",INDEX(Fixed_Assets!$E$2:$E$201,$AB406)&amp;"",IF($Z406="F","Personnel "&amp;INDEX(FTE_Allocation!$A$2:$A$201,$AB406)&amp;IF(INDEX(FTE_Allocation!$D$2:$D$201,$AB406)="PROJECT"," ("&amp;INDEX(FTE_Allocation!$E$2:$E$201,$AB406)&amp;")",""),"")))</f>
        <v/>
      </c>
      <c r="H406" s="7">
        <f>IF($Z406="C","CONTRACT",IF($Z406="A","ASSET",IF($Z406="F","WORKFORCE","")))</f>
        <v/>
      </c>
      <c r="I406" s="7">
        <f>IF($Z406="C",INDEX(Contracts!$L$2:$L$151,$AB406)&amp;"",IF($Z406="A",INDEX(Fixed_Assets!$I$2:$I$201,$AB406)&amp;"",IF($Z406="F",INDEX(Workforce!$G$2:$G$151,MATCH(INDEX(FTE_Allocation!$A$2:$A$201,$AB406),Workforce!$A$2:$A$151,0))&amp;"","")))</f>
        <v/>
      </c>
      <c r="J406" s="18">
        <f>IF($Z406="","",IF(AND(DATE($AD406,1,1)&gt;=$AE406,DATE($AD406,1,1)&lt;=$AF406),ROUND($AG406,2),0))</f>
        <v/>
      </c>
      <c r="K406" s="18">
        <f>IF($Z406="","",IF(AND(DATE($AD406,2,1)&gt;=$AE406,DATE($AD406,2,1)&lt;=$AF406),ROUND($AG406,2),0))</f>
        <v/>
      </c>
      <c r="L406" s="18">
        <f>IF($Z406="","",IF(AND(DATE($AD406,3,1)&gt;=$AE406,DATE($AD406,3,1)&lt;=$AF406),ROUND($AG406,2),0))</f>
        <v/>
      </c>
      <c r="M406" s="18">
        <f>IF($Z406="","",IF(AND(DATE($AD406,4,1)&gt;=$AE406,DATE($AD406,4,1)&lt;=$AF406),ROUND($AG406,2),0))</f>
        <v/>
      </c>
      <c r="N406" s="18">
        <f>IF($Z406="","",IF(AND(DATE($AD406,5,1)&gt;=$AE406,DATE($AD406,5,1)&lt;=$AF406),ROUND($AG406,2),0))</f>
        <v/>
      </c>
      <c r="O406" s="18">
        <f>IF($Z406="","",IF(AND(DATE($AD406,6,1)&gt;=$AE406,DATE($AD406,6,1)&lt;=$AF406),ROUND($AG406,2),0))</f>
        <v/>
      </c>
      <c r="P406" s="18">
        <f>IF($Z406="","",IF(AND(DATE($AD406,7,1)&gt;=$AE406,DATE($AD406,7,1)&lt;=$AF406),ROUND($AG406,2),0))</f>
        <v/>
      </c>
      <c r="Q406" s="18">
        <f>IF($Z406="","",IF(AND(DATE($AD406,8,1)&gt;=$AE406,DATE($AD406,8,1)&lt;=$AF406),ROUND($AG406,2),0))</f>
        <v/>
      </c>
      <c r="R406" s="18">
        <f>IF($Z406="","",IF(AND(DATE($AD406,9,1)&gt;=$AE406,DATE($AD406,9,1)&lt;=$AF406),ROUND($AG406,2),0))</f>
        <v/>
      </c>
      <c r="S406" s="18">
        <f>IF($Z406="","",IF(AND(DATE($AD406,10,1)&gt;=$AE406,DATE($AD406,10,1)&lt;=$AF406),ROUND($AG406,2),0))</f>
        <v/>
      </c>
      <c r="T406" s="18">
        <f>IF($Z406="","",IF(AND(DATE($AD406,11,1)&gt;=$AE406,DATE($AD406,11,1)&lt;=$AF406),ROUND($AG406,2),0))</f>
        <v/>
      </c>
      <c r="U406" s="18">
        <f>IF($Z406="","",IF(AND(DATE($AD406,12,1)&gt;=$AE406,DATE($AD406,12,1)&lt;=$AF406),ROUND($AG406,2),0))</f>
        <v/>
      </c>
      <c r="V406" s="7">
        <f>IF($Z406="C","Generated from "&amp;INDEX(Contracts!$A$2:$A$151,$AB406),IF($Z406="A","Generated from "&amp;INDEX(Fixed_Assets!$A$2:$A$201,$AB406),IF($Z406="F","Generated from "&amp;INDEX(FTE_Allocation!$A$2:$A$201,$AB406),"")))</f>
        <v/>
      </c>
      <c r="X406" s="19">
        <f>IF($Z406="","",SUM(J406:U406))</f>
        <v/>
      </c>
      <c r="Y406" s="20">
        <f>ROW()-1</f>
        <v/>
      </c>
      <c r="Z406" s="20">
        <f>IF($Y406&lt;=Settings!$B$4*3,"C",IF($Y406&lt;=(Settings!$B$4+Settings!$B$5)*3,"A",IF($Y406&lt;=(Settings!$B$4+Settings!$B$5+Settings!$B$6)*3,"F","")))</f>
        <v/>
      </c>
      <c r="AA406" s="20">
        <f>IF($Z406="C",$Y406,IF($Z406="A",$Y406-Settings!$B$4*3,IF($Z406="F",$Y406-(Settings!$B$4+Settings!$B$5)*3,"")))</f>
        <v/>
      </c>
      <c r="AB406" s="20">
        <f>IF($Z406="","",INT(($AA406-1)/3)+1)</f>
        <v/>
      </c>
      <c r="AC406" s="20">
        <f>IF($Z406="","",MOD($AA406-1,3)+1)</f>
        <v/>
      </c>
      <c r="AD406" s="20">
        <f>IF($Z406="","",Settings!$B$2+$AC406-1)</f>
        <v/>
      </c>
      <c r="AE406" s="21">
        <f>IF($Z406="C",DATE(YEAR(INDEX(Contracts!$J$2:$J$151,$AB406)),MONTH(INDEX(Contracts!$J$2:$J$151,$AB406)),1),IF($Z406="A",DATE(YEAR(INDEX(Fixed_Assets!$G$2:$G$201,$AB406)),MONTH(INDEX(Fixed_Assets!$G$2:$G$201,$AB406)),1),IF($Z406="F",DATE(YEAR(MAX(N(INDEX(Workforce!$I$2:$I$151,MATCH(INDEX(FTE_Allocation!$A$2:$A$201,$AB406),Workforce!$A$2:$A$151,0))),N(INDEX(FTE_Allocation!$I$2:$I$201,$AB406)))),MONTH(MAX(N(INDEX(Workforce!$I$2:$I$151,MATCH(INDEX(FTE_Allocation!$A$2:$A$201,$AB406),Workforce!$A$2:$A$151,0))),N(INDEX(FTE_Allocation!$I$2:$I$201,$AB406)))),1),"")))</f>
        <v/>
      </c>
      <c r="AF406" s="21">
        <f>IF($Z406="C",IF(INDEX(Contracts!$I$2:$I$151,$AB406)="PREPAID",EDATE(DATE(YEAR(INDEX(Contracts!$J$2:$J$151,$AB406)),MONTH(INDEX(Contracts!$J$2:$J$151,$AB406)),1),IF(INDEX(Contracts!$N$2:$N$151,$AB406)="",12,INDEX(Contracts!$N$2:$N$151,$AB406))-1),IF(INDEX(Contracts!$I$2:$I$151,$AB406)="MONTHLY",IF(INDEX(Contracts!$K$2:$K$151,$AB406)="",2958101,INDEX(Contracts!$K$2:$K$151,$AB406)),0)),IF($Z406="A",EDATE(DATE(YEAR(INDEX(Fixed_Assets!$G$2:$G$201,$AB406)),MONTH(INDEX(Fixed_Assets!$G$2:$G$201,$AB406)),1),INDEX(Fixed_Assets!$J$2:$J$201,$AB406)-1),IF($Z406="F",MIN(IF(INDEX(Workforce!$J$2:$J$151,MATCH(INDEX(FTE_Allocation!$A$2:$A$201,$AB406),Workforce!$A$2:$A$151,0))="",2958101,INDEX(Workforce!$J$2:$J$151,MATCH(INDEX(FTE_Allocation!$A$2:$A$201,$AB406),Workforce!$A$2:$A$151,0))),IF(INDEX(FTE_Allocation!$J$2:$J$201,$AB406)="",2958101,INDEX(FTE_Allocation!$J$2:$J$201,$AB406))),"")))</f>
        <v/>
      </c>
      <c r="AG406" s="19">
        <f>IF($Z406="C",IF(INDEX(Contracts!$I$2:$I$151,$AB406)="PREPAID",INDEX(Contracts!$M$2:$M$151,$AB406)/IF(INDEX(Contracts!$N$2:$N$151,$AB406)="",12,INDEX(Contracts!$N$2:$N$151,$AB406)),IF(INDEX(Contracts!$I$2:$I$151,$AB406)="MONTHLY",INDEX(Contracts!$M$2:$M$151,$AB406),0))*(1-N(INDEX(Contracts!$O$2:$O$151,$AB406))),IF($Z406="A",INDEX(Fixed_Assets!$H$2:$H$201,$AB406)/INDEX(Fixed_Assets!$J$2:$J$201,$AB406),IF($Z406="F",INDEX(Workforce!$F$2:$F$151,MATCH(INDEX(FTE_Allocation!$A$2:$A$201,$AB406),Workforce!$A$2:$A$151,0))*N(INDEX(FTE_Allocation!$F$2:$H$201,$AB406,$AC406)),"")))</f>
        <v/>
      </c>
    </row>
    <row r="407">
      <c r="A407" s="7">
        <f>IF($Z407="","",$AD407)</f>
        <v/>
      </c>
      <c r="B407" s="7">
        <f>IF($Z407="C",INDEX(Contracts!$D$2:$D$151,$AB407)&amp;"",IF($Z407="A",INDEX(Fixed_Assets!$C$2:$C$201,$AB407)&amp;"",IF($Z407="F",INDEX(Workforce!$B$2:$B$151,MATCH(INDEX(FTE_Allocation!$A$2:$A$201,$AB407),Workforce!$A$2:$A$151,0))&amp;"","")))</f>
        <v/>
      </c>
      <c r="C407" s="7">
        <f>IF($Z407="C",INDEX(Contracts!$E$2:$E$151,$AB407)&amp;"",IF($Z407="A",INDEX(Fixed_Assets!$D$2:$D$201,$AB407)&amp;"",IF($Z407="F",INDEX(FTE_Allocation!$C$2:$C$201,$AB407)&amp;"","")))</f>
        <v/>
      </c>
      <c r="D407" s="7">
        <f>IF($Z407="C",INDEX(Contracts!$B$2:$B$151,$AB407)&amp;"",IF($Z407="A",INDEX(Fixed_Assets!$B$2:$B$201,$AB407)&amp;"",IF($Z407="F",INDEX(FTE_Allocation!$B$2:$B$201,$AB407)&amp;"","")))</f>
        <v/>
      </c>
      <c r="E407" s="7">
        <f>IF($Z407="C",INDEX(Contracts!$P$2:$P$151,$AB407)&amp;"",IF($Z407="A",INDEX(Fixed_Assets!$K$2:$K$201,$AB407)&amp;"",IF($Z407="F",IF(INDEX(FTE_Allocation!$D$2:$D$201,$AB407)="PROJECT",IFERROR(INDEX(Projects!$D:$D,MATCH(INDEX(FTE_Allocation!$E$2:$E$201,$AB407),Projects!$A:$A,0))&amp;"","#PROJECT?"),INDEX(FTE_Allocation!$E$2:$E$201,$AB407)&amp;""),"")))</f>
        <v/>
      </c>
      <c r="F407" s="7">
        <f>IF($Z407="C",INDEX(Contracts!$Q$2:$Q$151,$AB407)&amp;"",IF($Z407="A",INDEX(Fixed_Assets!$L$2:$L$201,$AB407)&amp;"",IF($Z407="F",INDEX(Workforce!$K$2:$K$151,MATCH(INDEX(FTE_Allocation!$A$2:$A$201,$AB407),Workforce!$A$2:$A$151,0))&amp;"","")))</f>
        <v/>
      </c>
      <c r="G407" s="7">
        <f>IF($Z407="C",INDEX(Contracts!$F$2:$F$151,$AB407)&amp;" / "&amp;INDEX(Contracts!$G$2:$G$151,$AB407),IF($Z407="A",INDEX(Fixed_Assets!$E$2:$E$201,$AB407)&amp;"",IF($Z407="F","Personnel "&amp;INDEX(FTE_Allocation!$A$2:$A$201,$AB407)&amp;IF(INDEX(FTE_Allocation!$D$2:$D$201,$AB407)="PROJECT"," ("&amp;INDEX(FTE_Allocation!$E$2:$E$201,$AB407)&amp;")",""),"")))</f>
        <v/>
      </c>
      <c r="H407" s="7">
        <f>IF($Z407="C","CONTRACT",IF($Z407="A","ASSET",IF($Z407="F","WORKFORCE","")))</f>
        <v/>
      </c>
      <c r="I407" s="7">
        <f>IF($Z407="C",INDEX(Contracts!$L$2:$L$151,$AB407)&amp;"",IF($Z407="A",INDEX(Fixed_Assets!$I$2:$I$201,$AB407)&amp;"",IF($Z407="F",INDEX(Workforce!$G$2:$G$151,MATCH(INDEX(FTE_Allocation!$A$2:$A$201,$AB407),Workforce!$A$2:$A$151,0))&amp;"","")))</f>
        <v/>
      </c>
      <c r="J407" s="18">
        <f>IF($Z407="","",IF(AND(DATE($AD407,1,1)&gt;=$AE407,DATE($AD407,1,1)&lt;=$AF407),ROUND($AG407,2),0))</f>
        <v/>
      </c>
      <c r="K407" s="18">
        <f>IF($Z407="","",IF(AND(DATE($AD407,2,1)&gt;=$AE407,DATE($AD407,2,1)&lt;=$AF407),ROUND($AG407,2),0))</f>
        <v/>
      </c>
      <c r="L407" s="18">
        <f>IF($Z407="","",IF(AND(DATE($AD407,3,1)&gt;=$AE407,DATE($AD407,3,1)&lt;=$AF407),ROUND($AG407,2),0))</f>
        <v/>
      </c>
      <c r="M407" s="18">
        <f>IF($Z407="","",IF(AND(DATE($AD407,4,1)&gt;=$AE407,DATE($AD407,4,1)&lt;=$AF407),ROUND($AG407,2),0))</f>
        <v/>
      </c>
      <c r="N407" s="18">
        <f>IF($Z407="","",IF(AND(DATE($AD407,5,1)&gt;=$AE407,DATE($AD407,5,1)&lt;=$AF407),ROUND($AG407,2),0))</f>
        <v/>
      </c>
      <c r="O407" s="18">
        <f>IF($Z407="","",IF(AND(DATE($AD407,6,1)&gt;=$AE407,DATE($AD407,6,1)&lt;=$AF407),ROUND($AG407,2),0))</f>
        <v/>
      </c>
      <c r="P407" s="18">
        <f>IF($Z407="","",IF(AND(DATE($AD407,7,1)&gt;=$AE407,DATE($AD407,7,1)&lt;=$AF407),ROUND($AG407,2),0))</f>
        <v/>
      </c>
      <c r="Q407" s="18">
        <f>IF($Z407="","",IF(AND(DATE($AD407,8,1)&gt;=$AE407,DATE($AD407,8,1)&lt;=$AF407),ROUND($AG407,2),0))</f>
        <v/>
      </c>
      <c r="R407" s="18">
        <f>IF($Z407="","",IF(AND(DATE($AD407,9,1)&gt;=$AE407,DATE($AD407,9,1)&lt;=$AF407),ROUND($AG407,2),0))</f>
        <v/>
      </c>
      <c r="S407" s="18">
        <f>IF($Z407="","",IF(AND(DATE($AD407,10,1)&gt;=$AE407,DATE($AD407,10,1)&lt;=$AF407),ROUND($AG407,2),0))</f>
        <v/>
      </c>
      <c r="T407" s="18">
        <f>IF($Z407="","",IF(AND(DATE($AD407,11,1)&gt;=$AE407,DATE($AD407,11,1)&lt;=$AF407),ROUND($AG407,2),0))</f>
        <v/>
      </c>
      <c r="U407" s="18">
        <f>IF($Z407="","",IF(AND(DATE($AD407,12,1)&gt;=$AE407,DATE($AD407,12,1)&lt;=$AF407),ROUND($AG407,2),0))</f>
        <v/>
      </c>
      <c r="V407" s="7">
        <f>IF($Z407="C","Generated from "&amp;INDEX(Contracts!$A$2:$A$151,$AB407),IF($Z407="A","Generated from "&amp;INDEX(Fixed_Assets!$A$2:$A$201,$AB407),IF($Z407="F","Generated from "&amp;INDEX(FTE_Allocation!$A$2:$A$201,$AB407),"")))</f>
        <v/>
      </c>
      <c r="X407" s="19">
        <f>IF($Z407="","",SUM(J407:U407))</f>
        <v/>
      </c>
      <c r="Y407" s="20">
        <f>ROW()-1</f>
        <v/>
      </c>
      <c r="Z407" s="20">
        <f>IF($Y407&lt;=Settings!$B$4*3,"C",IF($Y407&lt;=(Settings!$B$4+Settings!$B$5)*3,"A",IF($Y407&lt;=(Settings!$B$4+Settings!$B$5+Settings!$B$6)*3,"F","")))</f>
        <v/>
      </c>
      <c r="AA407" s="20">
        <f>IF($Z407="C",$Y407,IF($Z407="A",$Y407-Settings!$B$4*3,IF($Z407="F",$Y407-(Settings!$B$4+Settings!$B$5)*3,"")))</f>
        <v/>
      </c>
      <c r="AB407" s="20">
        <f>IF($Z407="","",INT(($AA407-1)/3)+1)</f>
        <v/>
      </c>
      <c r="AC407" s="20">
        <f>IF($Z407="","",MOD($AA407-1,3)+1)</f>
        <v/>
      </c>
      <c r="AD407" s="20">
        <f>IF($Z407="","",Settings!$B$2+$AC407-1)</f>
        <v/>
      </c>
      <c r="AE407" s="21">
        <f>IF($Z407="C",DATE(YEAR(INDEX(Contracts!$J$2:$J$151,$AB407)),MONTH(INDEX(Contracts!$J$2:$J$151,$AB407)),1),IF($Z407="A",DATE(YEAR(INDEX(Fixed_Assets!$G$2:$G$201,$AB407)),MONTH(INDEX(Fixed_Assets!$G$2:$G$201,$AB407)),1),IF($Z407="F",DATE(YEAR(MAX(N(INDEX(Workforce!$I$2:$I$151,MATCH(INDEX(FTE_Allocation!$A$2:$A$201,$AB407),Workforce!$A$2:$A$151,0))),N(INDEX(FTE_Allocation!$I$2:$I$201,$AB407)))),MONTH(MAX(N(INDEX(Workforce!$I$2:$I$151,MATCH(INDEX(FTE_Allocation!$A$2:$A$201,$AB407),Workforce!$A$2:$A$151,0))),N(INDEX(FTE_Allocation!$I$2:$I$201,$AB407)))),1),"")))</f>
        <v/>
      </c>
      <c r="AF407" s="21">
        <f>IF($Z407="C",IF(INDEX(Contracts!$I$2:$I$151,$AB407)="PREPAID",EDATE(DATE(YEAR(INDEX(Contracts!$J$2:$J$151,$AB407)),MONTH(INDEX(Contracts!$J$2:$J$151,$AB407)),1),IF(INDEX(Contracts!$N$2:$N$151,$AB407)="",12,INDEX(Contracts!$N$2:$N$151,$AB407))-1),IF(INDEX(Contracts!$I$2:$I$151,$AB407)="MONTHLY",IF(INDEX(Contracts!$K$2:$K$151,$AB407)="",2958101,INDEX(Contracts!$K$2:$K$151,$AB407)),0)),IF($Z407="A",EDATE(DATE(YEAR(INDEX(Fixed_Assets!$G$2:$G$201,$AB407)),MONTH(INDEX(Fixed_Assets!$G$2:$G$201,$AB407)),1),INDEX(Fixed_Assets!$J$2:$J$201,$AB407)-1),IF($Z407="F",MIN(IF(INDEX(Workforce!$J$2:$J$151,MATCH(INDEX(FTE_Allocation!$A$2:$A$201,$AB407),Workforce!$A$2:$A$151,0))="",2958101,INDEX(Workforce!$J$2:$J$151,MATCH(INDEX(FTE_Allocation!$A$2:$A$201,$AB407),Workforce!$A$2:$A$151,0))),IF(INDEX(FTE_Allocation!$J$2:$J$201,$AB407)="",2958101,INDEX(FTE_Allocation!$J$2:$J$201,$AB407))),"")))</f>
        <v/>
      </c>
      <c r="AG407" s="19">
        <f>IF($Z407="C",IF(INDEX(Contracts!$I$2:$I$151,$AB407)="PREPAID",INDEX(Contracts!$M$2:$M$151,$AB407)/IF(INDEX(Contracts!$N$2:$N$151,$AB407)="",12,INDEX(Contracts!$N$2:$N$151,$AB407)),IF(INDEX(Contracts!$I$2:$I$151,$AB407)="MONTHLY",INDEX(Contracts!$M$2:$M$151,$AB407),0))*(1-N(INDEX(Contracts!$O$2:$O$151,$AB407))),IF($Z407="A",INDEX(Fixed_Assets!$H$2:$H$201,$AB407)/INDEX(Fixed_Assets!$J$2:$J$201,$AB407),IF($Z407="F",INDEX(Workforce!$F$2:$F$151,MATCH(INDEX(FTE_Allocation!$A$2:$A$201,$AB407),Workforce!$A$2:$A$151,0))*N(INDEX(FTE_Allocation!$F$2:$H$201,$AB407,$AC407)),"")))</f>
        <v/>
      </c>
    </row>
    <row r="408">
      <c r="A408" s="7">
        <f>IF($Z408="","",$AD408)</f>
        <v/>
      </c>
      <c r="B408" s="7">
        <f>IF($Z408="C",INDEX(Contracts!$D$2:$D$151,$AB408)&amp;"",IF($Z408="A",INDEX(Fixed_Assets!$C$2:$C$201,$AB408)&amp;"",IF($Z408="F",INDEX(Workforce!$B$2:$B$151,MATCH(INDEX(FTE_Allocation!$A$2:$A$201,$AB408),Workforce!$A$2:$A$151,0))&amp;"","")))</f>
        <v/>
      </c>
      <c r="C408" s="7">
        <f>IF($Z408="C",INDEX(Contracts!$E$2:$E$151,$AB408)&amp;"",IF($Z408="A",INDEX(Fixed_Assets!$D$2:$D$201,$AB408)&amp;"",IF($Z408="F",INDEX(FTE_Allocation!$C$2:$C$201,$AB408)&amp;"","")))</f>
        <v/>
      </c>
      <c r="D408" s="7">
        <f>IF($Z408="C",INDEX(Contracts!$B$2:$B$151,$AB408)&amp;"",IF($Z408="A",INDEX(Fixed_Assets!$B$2:$B$201,$AB408)&amp;"",IF($Z408="F",INDEX(FTE_Allocation!$B$2:$B$201,$AB408)&amp;"","")))</f>
        <v/>
      </c>
      <c r="E408" s="7">
        <f>IF($Z408="C",INDEX(Contracts!$P$2:$P$151,$AB408)&amp;"",IF($Z408="A",INDEX(Fixed_Assets!$K$2:$K$201,$AB408)&amp;"",IF($Z408="F",IF(INDEX(FTE_Allocation!$D$2:$D$201,$AB408)="PROJECT",IFERROR(INDEX(Projects!$D:$D,MATCH(INDEX(FTE_Allocation!$E$2:$E$201,$AB408),Projects!$A:$A,0))&amp;"","#PROJECT?"),INDEX(FTE_Allocation!$E$2:$E$201,$AB408)&amp;""),"")))</f>
        <v/>
      </c>
      <c r="F408" s="7">
        <f>IF($Z408="C",INDEX(Contracts!$Q$2:$Q$151,$AB408)&amp;"",IF($Z408="A",INDEX(Fixed_Assets!$L$2:$L$201,$AB408)&amp;"",IF($Z408="F",INDEX(Workforce!$K$2:$K$151,MATCH(INDEX(FTE_Allocation!$A$2:$A$201,$AB408),Workforce!$A$2:$A$151,0))&amp;"","")))</f>
        <v/>
      </c>
      <c r="G408" s="7">
        <f>IF($Z408="C",INDEX(Contracts!$F$2:$F$151,$AB408)&amp;" / "&amp;INDEX(Contracts!$G$2:$G$151,$AB408),IF($Z408="A",INDEX(Fixed_Assets!$E$2:$E$201,$AB408)&amp;"",IF($Z408="F","Personnel "&amp;INDEX(FTE_Allocation!$A$2:$A$201,$AB408)&amp;IF(INDEX(FTE_Allocation!$D$2:$D$201,$AB408)="PROJECT"," ("&amp;INDEX(FTE_Allocation!$E$2:$E$201,$AB408)&amp;")",""),"")))</f>
        <v/>
      </c>
      <c r="H408" s="7">
        <f>IF($Z408="C","CONTRACT",IF($Z408="A","ASSET",IF($Z408="F","WORKFORCE","")))</f>
        <v/>
      </c>
      <c r="I408" s="7">
        <f>IF($Z408="C",INDEX(Contracts!$L$2:$L$151,$AB408)&amp;"",IF($Z408="A",INDEX(Fixed_Assets!$I$2:$I$201,$AB408)&amp;"",IF($Z408="F",INDEX(Workforce!$G$2:$G$151,MATCH(INDEX(FTE_Allocation!$A$2:$A$201,$AB408),Workforce!$A$2:$A$151,0))&amp;"","")))</f>
        <v/>
      </c>
      <c r="J408" s="18">
        <f>IF($Z408="","",IF(AND(DATE($AD408,1,1)&gt;=$AE408,DATE($AD408,1,1)&lt;=$AF408),ROUND($AG408,2),0))</f>
        <v/>
      </c>
      <c r="K408" s="18">
        <f>IF($Z408="","",IF(AND(DATE($AD408,2,1)&gt;=$AE408,DATE($AD408,2,1)&lt;=$AF408),ROUND($AG408,2),0))</f>
        <v/>
      </c>
      <c r="L408" s="18">
        <f>IF($Z408="","",IF(AND(DATE($AD408,3,1)&gt;=$AE408,DATE($AD408,3,1)&lt;=$AF408),ROUND($AG408,2),0))</f>
        <v/>
      </c>
      <c r="M408" s="18">
        <f>IF($Z408="","",IF(AND(DATE($AD408,4,1)&gt;=$AE408,DATE($AD408,4,1)&lt;=$AF408),ROUND($AG408,2),0))</f>
        <v/>
      </c>
      <c r="N408" s="18">
        <f>IF($Z408="","",IF(AND(DATE($AD408,5,1)&gt;=$AE408,DATE($AD408,5,1)&lt;=$AF408),ROUND($AG408,2),0))</f>
        <v/>
      </c>
      <c r="O408" s="18">
        <f>IF($Z408="","",IF(AND(DATE($AD408,6,1)&gt;=$AE408,DATE($AD408,6,1)&lt;=$AF408),ROUND($AG408,2),0))</f>
        <v/>
      </c>
      <c r="P408" s="18">
        <f>IF($Z408="","",IF(AND(DATE($AD408,7,1)&gt;=$AE408,DATE($AD408,7,1)&lt;=$AF408),ROUND($AG408,2),0))</f>
        <v/>
      </c>
      <c r="Q408" s="18">
        <f>IF($Z408="","",IF(AND(DATE($AD408,8,1)&gt;=$AE408,DATE($AD408,8,1)&lt;=$AF408),ROUND($AG408,2),0))</f>
        <v/>
      </c>
      <c r="R408" s="18">
        <f>IF($Z408="","",IF(AND(DATE($AD408,9,1)&gt;=$AE408,DATE($AD408,9,1)&lt;=$AF408),ROUND($AG408,2),0))</f>
        <v/>
      </c>
      <c r="S408" s="18">
        <f>IF($Z408="","",IF(AND(DATE($AD408,10,1)&gt;=$AE408,DATE($AD408,10,1)&lt;=$AF408),ROUND($AG408,2),0))</f>
        <v/>
      </c>
      <c r="T408" s="18">
        <f>IF($Z408="","",IF(AND(DATE($AD408,11,1)&gt;=$AE408,DATE($AD408,11,1)&lt;=$AF408),ROUND($AG408,2),0))</f>
        <v/>
      </c>
      <c r="U408" s="18">
        <f>IF($Z408="","",IF(AND(DATE($AD408,12,1)&gt;=$AE408,DATE($AD408,12,1)&lt;=$AF408),ROUND($AG408,2),0))</f>
        <v/>
      </c>
      <c r="V408" s="7">
        <f>IF($Z408="C","Generated from "&amp;INDEX(Contracts!$A$2:$A$151,$AB408),IF($Z408="A","Generated from "&amp;INDEX(Fixed_Assets!$A$2:$A$201,$AB408),IF($Z408="F","Generated from "&amp;INDEX(FTE_Allocation!$A$2:$A$201,$AB408),"")))</f>
        <v/>
      </c>
      <c r="X408" s="19">
        <f>IF($Z408="","",SUM(J408:U408))</f>
        <v/>
      </c>
      <c r="Y408" s="20">
        <f>ROW()-1</f>
        <v/>
      </c>
      <c r="Z408" s="20">
        <f>IF($Y408&lt;=Settings!$B$4*3,"C",IF($Y408&lt;=(Settings!$B$4+Settings!$B$5)*3,"A",IF($Y408&lt;=(Settings!$B$4+Settings!$B$5+Settings!$B$6)*3,"F","")))</f>
        <v/>
      </c>
      <c r="AA408" s="20">
        <f>IF($Z408="C",$Y408,IF($Z408="A",$Y408-Settings!$B$4*3,IF($Z408="F",$Y408-(Settings!$B$4+Settings!$B$5)*3,"")))</f>
        <v/>
      </c>
      <c r="AB408" s="20">
        <f>IF($Z408="","",INT(($AA408-1)/3)+1)</f>
        <v/>
      </c>
      <c r="AC408" s="20">
        <f>IF($Z408="","",MOD($AA408-1,3)+1)</f>
        <v/>
      </c>
      <c r="AD408" s="20">
        <f>IF($Z408="","",Settings!$B$2+$AC408-1)</f>
        <v/>
      </c>
      <c r="AE408" s="21">
        <f>IF($Z408="C",DATE(YEAR(INDEX(Contracts!$J$2:$J$151,$AB408)),MONTH(INDEX(Contracts!$J$2:$J$151,$AB408)),1),IF($Z408="A",DATE(YEAR(INDEX(Fixed_Assets!$G$2:$G$201,$AB408)),MONTH(INDEX(Fixed_Assets!$G$2:$G$201,$AB408)),1),IF($Z408="F",DATE(YEAR(MAX(N(INDEX(Workforce!$I$2:$I$151,MATCH(INDEX(FTE_Allocation!$A$2:$A$201,$AB408),Workforce!$A$2:$A$151,0))),N(INDEX(FTE_Allocation!$I$2:$I$201,$AB408)))),MONTH(MAX(N(INDEX(Workforce!$I$2:$I$151,MATCH(INDEX(FTE_Allocation!$A$2:$A$201,$AB408),Workforce!$A$2:$A$151,0))),N(INDEX(FTE_Allocation!$I$2:$I$201,$AB408)))),1),"")))</f>
        <v/>
      </c>
      <c r="AF408" s="21">
        <f>IF($Z408="C",IF(INDEX(Contracts!$I$2:$I$151,$AB408)="PREPAID",EDATE(DATE(YEAR(INDEX(Contracts!$J$2:$J$151,$AB408)),MONTH(INDEX(Contracts!$J$2:$J$151,$AB408)),1),IF(INDEX(Contracts!$N$2:$N$151,$AB408)="",12,INDEX(Contracts!$N$2:$N$151,$AB408))-1),IF(INDEX(Contracts!$I$2:$I$151,$AB408)="MONTHLY",IF(INDEX(Contracts!$K$2:$K$151,$AB408)="",2958101,INDEX(Contracts!$K$2:$K$151,$AB408)),0)),IF($Z408="A",EDATE(DATE(YEAR(INDEX(Fixed_Assets!$G$2:$G$201,$AB408)),MONTH(INDEX(Fixed_Assets!$G$2:$G$201,$AB408)),1),INDEX(Fixed_Assets!$J$2:$J$201,$AB408)-1),IF($Z408="F",MIN(IF(INDEX(Workforce!$J$2:$J$151,MATCH(INDEX(FTE_Allocation!$A$2:$A$201,$AB408),Workforce!$A$2:$A$151,0))="",2958101,INDEX(Workforce!$J$2:$J$151,MATCH(INDEX(FTE_Allocation!$A$2:$A$201,$AB408),Workforce!$A$2:$A$151,0))),IF(INDEX(FTE_Allocation!$J$2:$J$201,$AB408)="",2958101,INDEX(FTE_Allocation!$J$2:$J$201,$AB408))),"")))</f>
        <v/>
      </c>
      <c r="AG408" s="19">
        <f>IF($Z408="C",IF(INDEX(Contracts!$I$2:$I$151,$AB408)="PREPAID",INDEX(Contracts!$M$2:$M$151,$AB408)/IF(INDEX(Contracts!$N$2:$N$151,$AB408)="",12,INDEX(Contracts!$N$2:$N$151,$AB408)),IF(INDEX(Contracts!$I$2:$I$151,$AB408)="MONTHLY",INDEX(Contracts!$M$2:$M$151,$AB408),0))*(1-N(INDEX(Contracts!$O$2:$O$151,$AB408))),IF($Z408="A",INDEX(Fixed_Assets!$H$2:$H$201,$AB408)/INDEX(Fixed_Assets!$J$2:$J$201,$AB408),IF($Z408="F",INDEX(Workforce!$F$2:$F$151,MATCH(INDEX(FTE_Allocation!$A$2:$A$201,$AB408),Workforce!$A$2:$A$151,0))*N(INDEX(FTE_Allocation!$F$2:$H$201,$AB408,$AC408)),"")))</f>
        <v/>
      </c>
    </row>
    <row r="409">
      <c r="A409" s="7">
        <f>IF($Z409="","",$AD409)</f>
        <v/>
      </c>
      <c r="B409" s="7">
        <f>IF($Z409="C",INDEX(Contracts!$D$2:$D$151,$AB409)&amp;"",IF($Z409="A",INDEX(Fixed_Assets!$C$2:$C$201,$AB409)&amp;"",IF($Z409="F",INDEX(Workforce!$B$2:$B$151,MATCH(INDEX(FTE_Allocation!$A$2:$A$201,$AB409),Workforce!$A$2:$A$151,0))&amp;"","")))</f>
        <v/>
      </c>
      <c r="C409" s="7">
        <f>IF($Z409="C",INDEX(Contracts!$E$2:$E$151,$AB409)&amp;"",IF($Z409="A",INDEX(Fixed_Assets!$D$2:$D$201,$AB409)&amp;"",IF($Z409="F",INDEX(FTE_Allocation!$C$2:$C$201,$AB409)&amp;"","")))</f>
        <v/>
      </c>
      <c r="D409" s="7">
        <f>IF($Z409="C",INDEX(Contracts!$B$2:$B$151,$AB409)&amp;"",IF($Z409="A",INDEX(Fixed_Assets!$B$2:$B$201,$AB409)&amp;"",IF($Z409="F",INDEX(FTE_Allocation!$B$2:$B$201,$AB409)&amp;"","")))</f>
        <v/>
      </c>
      <c r="E409" s="7">
        <f>IF($Z409="C",INDEX(Contracts!$P$2:$P$151,$AB409)&amp;"",IF($Z409="A",INDEX(Fixed_Assets!$K$2:$K$201,$AB409)&amp;"",IF($Z409="F",IF(INDEX(FTE_Allocation!$D$2:$D$201,$AB409)="PROJECT",IFERROR(INDEX(Projects!$D:$D,MATCH(INDEX(FTE_Allocation!$E$2:$E$201,$AB409),Projects!$A:$A,0))&amp;"","#PROJECT?"),INDEX(FTE_Allocation!$E$2:$E$201,$AB409)&amp;""),"")))</f>
        <v/>
      </c>
      <c r="F409" s="7">
        <f>IF($Z409="C",INDEX(Contracts!$Q$2:$Q$151,$AB409)&amp;"",IF($Z409="A",INDEX(Fixed_Assets!$L$2:$L$201,$AB409)&amp;"",IF($Z409="F",INDEX(Workforce!$K$2:$K$151,MATCH(INDEX(FTE_Allocation!$A$2:$A$201,$AB409),Workforce!$A$2:$A$151,0))&amp;"","")))</f>
        <v/>
      </c>
      <c r="G409" s="7">
        <f>IF($Z409="C",INDEX(Contracts!$F$2:$F$151,$AB409)&amp;" / "&amp;INDEX(Contracts!$G$2:$G$151,$AB409),IF($Z409="A",INDEX(Fixed_Assets!$E$2:$E$201,$AB409)&amp;"",IF($Z409="F","Personnel "&amp;INDEX(FTE_Allocation!$A$2:$A$201,$AB409)&amp;IF(INDEX(FTE_Allocation!$D$2:$D$201,$AB409)="PROJECT"," ("&amp;INDEX(FTE_Allocation!$E$2:$E$201,$AB409)&amp;")",""),"")))</f>
        <v/>
      </c>
      <c r="H409" s="7">
        <f>IF($Z409="C","CONTRACT",IF($Z409="A","ASSET",IF($Z409="F","WORKFORCE","")))</f>
        <v/>
      </c>
      <c r="I409" s="7">
        <f>IF($Z409="C",INDEX(Contracts!$L$2:$L$151,$AB409)&amp;"",IF($Z409="A",INDEX(Fixed_Assets!$I$2:$I$201,$AB409)&amp;"",IF($Z409="F",INDEX(Workforce!$G$2:$G$151,MATCH(INDEX(FTE_Allocation!$A$2:$A$201,$AB409),Workforce!$A$2:$A$151,0))&amp;"","")))</f>
        <v/>
      </c>
      <c r="J409" s="18">
        <f>IF($Z409="","",IF(AND(DATE($AD409,1,1)&gt;=$AE409,DATE($AD409,1,1)&lt;=$AF409),ROUND($AG409,2),0))</f>
        <v/>
      </c>
      <c r="K409" s="18">
        <f>IF($Z409="","",IF(AND(DATE($AD409,2,1)&gt;=$AE409,DATE($AD409,2,1)&lt;=$AF409),ROUND($AG409,2),0))</f>
        <v/>
      </c>
      <c r="L409" s="18">
        <f>IF($Z409="","",IF(AND(DATE($AD409,3,1)&gt;=$AE409,DATE($AD409,3,1)&lt;=$AF409),ROUND($AG409,2),0))</f>
        <v/>
      </c>
      <c r="M409" s="18">
        <f>IF($Z409="","",IF(AND(DATE($AD409,4,1)&gt;=$AE409,DATE($AD409,4,1)&lt;=$AF409),ROUND($AG409,2),0))</f>
        <v/>
      </c>
      <c r="N409" s="18">
        <f>IF($Z409="","",IF(AND(DATE($AD409,5,1)&gt;=$AE409,DATE($AD409,5,1)&lt;=$AF409),ROUND($AG409,2),0))</f>
        <v/>
      </c>
      <c r="O409" s="18">
        <f>IF($Z409="","",IF(AND(DATE($AD409,6,1)&gt;=$AE409,DATE($AD409,6,1)&lt;=$AF409),ROUND($AG409,2),0))</f>
        <v/>
      </c>
      <c r="P409" s="18">
        <f>IF($Z409="","",IF(AND(DATE($AD409,7,1)&gt;=$AE409,DATE($AD409,7,1)&lt;=$AF409),ROUND($AG409,2),0))</f>
        <v/>
      </c>
      <c r="Q409" s="18">
        <f>IF($Z409="","",IF(AND(DATE($AD409,8,1)&gt;=$AE409,DATE($AD409,8,1)&lt;=$AF409),ROUND($AG409,2),0))</f>
        <v/>
      </c>
      <c r="R409" s="18">
        <f>IF($Z409="","",IF(AND(DATE($AD409,9,1)&gt;=$AE409,DATE($AD409,9,1)&lt;=$AF409),ROUND($AG409,2),0))</f>
        <v/>
      </c>
      <c r="S409" s="18">
        <f>IF($Z409="","",IF(AND(DATE($AD409,10,1)&gt;=$AE409,DATE($AD409,10,1)&lt;=$AF409),ROUND($AG409,2),0))</f>
        <v/>
      </c>
      <c r="T409" s="18">
        <f>IF($Z409="","",IF(AND(DATE($AD409,11,1)&gt;=$AE409,DATE($AD409,11,1)&lt;=$AF409),ROUND($AG409,2),0))</f>
        <v/>
      </c>
      <c r="U409" s="18">
        <f>IF($Z409="","",IF(AND(DATE($AD409,12,1)&gt;=$AE409,DATE($AD409,12,1)&lt;=$AF409),ROUND($AG409,2),0))</f>
        <v/>
      </c>
      <c r="V409" s="7">
        <f>IF($Z409="C","Generated from "&amp;INDEX(Contracts!$A$2:$A$151,$AB409),IF($Z409="A","Generated from "&amp;INDEX(Fixed_Assets!$A$2:$A$201,$AB409),IF($Z409="F","Generated from "&amp;INDEX(FTE_Allocation!$A$2:$A$201,$AB409),"")))</f>
        <v/>
      </c>
      <c r="X409" s="19">
        <f>IF($Z409="","",SUM(J409:U409))</f>
        <v/>
      </c>
      <c r="Y409" s="20">
        <f>ROW()-1</f>
        <v/>
      </c>
      <c r="Z409" s="20">
        <f>IF($Y409&lt;=Settings!$B$4*3,"C",IF($Y409&lt;=(Settings!$B$4+Settings!$B$5)*3,"A",IF($Y409&lt;=(Settings!$B$4+Settings!$B$5+Settings!$B$6)*3,"F","")))</f>
        <v/>
      </c>
      <c r="AA409" s="20">
        <f>IF($Z409="C",$Y409,IF($Z409="A",$Y409-Settings!$B$4*3,IF($Z409="F",$Y409-(Settings!$B$4+Settings!$B$5)*3,"")))</f>
        <v/>
      </c>
      <c r="AB409" s="20">
        <f>IF($Z409="","",INT(($AA409-1)/3)+1)</f>
        <v/>
      </c>
      <c r="AC409" s="20">
        <f>IF($Z409="","",MOD($AA409-1,3)+1)</f>
        <v/>
      </c>
      <c r="AD409" s="20">
        <f>IF($Z409="","",Settings!$B$2+$AC409-1)</f>
        <v/>
      </c>
      <c r="AE409" s="21">
        <f>IF($Z409="C",DATE(YEAR(INDEX(Contracts!$J$2:$J$151,$AB409)),MONTH(INDEX(Contracts!$J$2:$J$151,$AB409)),1),IF($Z409="A",DATE(YEAR(INDEX(Fixed_Assets!$G$2:$G$201,$AB409)),MONTH(INDEX(Fixed_Assets!$G$2:$G$201,$AB409)),1),IF($Z409="F",DATE(YEAR(MAX(N(INDEX(Workforce!$I$2:$I$151,MATCH(INDEX(FTE_Allocation!$A$2:$A$201,$AB409),Workforce!$A$2:$A$151,0))),N(INDEX(FTE_Allocation!$I$2:$I$201,$AB409)))),MONTH(MAX(N(INDEX(Workforce!$I$2:$I$151,MATCH(INDEX(FTE_Allocation!$A$2:$A$201,$AB409),Workforce!$A$2:$A$151,0))),N(INDEX(FTE_Allocation!$I$2:$I$201,$AB409)))),1),"")))</f>
        <v/>
      </c>
      <c r="AF409" s="21">
        <f>IF($Z409="C",IF(INDEX(Contracts!$I$2:$I$151,$AB409)="PREPAID",EDATE(DATE(YEAR(INDEX(Contracts!$J$2:$J$151,$AB409)),MONTH(INDEX(Contracts!$J$2:$J$151,$AB409)),1),IF(INDEX(Contracts!$N$2:$N$151,$AB409)="",12,INDEX(Contracts!$N$2:$N$151,$AB409))-1),IF(INDEX(Contracts!$I$2:$I$151,$AB409)="MONTHLY",IF(INDEX(Contracts!$K$2:$K$151,$AB409)="",2958101,INDEX(Contracts!$K$2:$K$151,$AB409)),0)),IF($Z409="A",EDATE(DATE(YEAR(INDEX(Fixed_Assets!$G$2:$G$201,$AB409)),MONTH(INDEX(Fixed_Assets!$G$2:$G$201,$AB409)),1),INDEX(Fixed_Assets!$J$2:$J$201,$AB409)-1),IF($Z409="F",MIN(IF(INDEX(Workforce!$J$2:$J$151,MATCH(INDEX(FTE_Allocation!$A$2:$A$201,$AB409),Workforce!$A$2:$A$151,0))="",2958101,INDEX(Workforce!$J$2:$J$151,MATCH(INDEX(FTE_Allocation!$A$2:$A$201,$AB409),Workforce!$A$2:$A$151,0))),IF(INDEX(FTE_Allocation!$J$2:$J$201,$AB409)="",2958101,INDEX(FTE_Allocation!$J$2:$J$201,$AB409))),"")))</f>
        <v/>
      </c>
      <c r="AG409" s="19">
        <f>IF($Z409="C",IF(INDEX(Contracts!$I$2:$I$151,$AB409)="PREPAID",INDEX(Contracts!$M$2:$M$151,$AB409)/IF(INDEX(Contracts!$N$2:$N$151,$AB409)="",12,INDEX(Contracts!$N$2:$N$151,$AB409)),IF(INDEX(Contracts!$I$2:$I$151,$AB409)="MONTHLY",INDEX(Contracts!$M$2:$M$151,$AB409),0))*(1-N(INDEX(Contracts!$O$2:$O$151,$AB409))),IF($Z409="A",INDEX(Fixed_Assets!$H$2:$H$201,$AB409)/INDEX(Fixed_Assets!$J$2:$J$201,$AB409),IF($Z409="F",INDEX(Workforce!$F$2:$F$151,MATCH(INDEX(FTE_Allocation!$A$2:$A$201,$AB409),Workforce!$A$2:$A$151,0))*N(INDEX(FTE_Allocation!$F$2:$H$201,$AB409,$AC409)),"")))</f>
        <v/>
      </c>
    </row>
    <row r="410">
      <c r="A410" s="7">
        <f>IF($Z410="","",$AD410)</f>
        <v/>
      </c>
      <c r="B410" s="7">
        <f>IF($Z410="C",INDEX(Contracts!$D$2:$D$151,$AB410)&amp;"",IF($Z410="A",INDEX(Fixed_Assets!$C$2:$C$201,$AB410)&amp;"",IF($Z410="F",INDEX(Workforce!$B$2:$B$151,MATCH(INDEX(FTE_Allocation!$A$2:$A$201,$AB410),Workforce!$A$2:$A$151,0))&amp;"","")))</f>
        <v/>
      </c>
      <c r="C410" s="7">
        <f>IF($Z410="C",INDEX(Contracts!$E$2:$E$151,$AB410)&amp;"",IF($Z410="A",INDEX(Fixed_Assets!$D$2:$D$201,$AB410)&amp;"",IF($Z410="F",INDEX(FTE_Allocation!$C$2:$C$201,$AB410)&amp;"","")))</f>
        <v/>
      </c>
      <c r="D410" s="7">
        <f>IF($Z410="C",INDEX(Contracts!$B$2:$B$151,$AB410)&amp;"",IF($Z410="A",INDEX(Fixed_Assets!$B$2:$B$201,$AB410)&amp;"",IF($Z410="F",INDEX(FTE_Allocation!$B$2:$B$201,$AB410)&amp;"","")))</f>
        <v/>
      </c>
      <c r="E410" s="7">
        <f>IF($Z410="C",INDEX(Contracts!$P$2:$P$151,$AB410)&amp;"",IF($Z410="A",INDEX(Fixed_Assets!$K$2:$K$201,$AB410)&amp;"",IF($Z410="F",IF(INDEX(FTE_Allocation!$D$2:$D$201,$AB410)="PROJECT",IFERROR(INDEX(Projects!$D:$D,MATCH(INDEX(FTE_Allocation!$E$2:$E$201,$AB410),Projects!$A:$A,0))&amp;"","#PROJECT?"),INDEX(FTE_Allocation!$E$2:$E$201,$AB410)&amp;""),"")))</f>
        <v/>
      </c>
      <c r="F410" s="7">
        <f>IF($Z410="C",INDEX(Contracts!$Q$2:$Q$151,$AB410)&amp;"",IF($Z410="A",INDEX(Fixed_Assets!$L$2:$L$201,$AB410)&amp;"",IF($Z410="F",INDEX(Workforce!$K$2:$K$151,MATCH(INDEX(FTE_Allocation!$A$2:$A$201,$AB410),Workforce!$A$2:$A$151,0))&amp;"","")))</f>
        <v/>
      </c>
      <c r="G410" s="7">
        <f>IF($Z410="C",INDEX(Contracts!$F$2:$F$151,$AB410)&amp;" / "&amp;INDEX(Contracts!$G$2:$G$151,$AB410),IF($Z410="A",INDEX(Fixed_Assets!$E$2:$E$201,$AB410)&amp;"",IF($Z410="F","Personnel "&amp;INDEX(FTE_Allocation!$A$2:$A$201,$AB410)&amp;IF(INDEX(FTE_Allocation!$D$2:$D$201,$AB410)="PROJECT"," ("&amp;INDEX(FTE_Allocation!$E$2:$E$201,$AB410)&amp;")",""),"")))</f>
        <v/>
      </c>
      <c r="H410" s="7">
        <f>IF($Z410="C","CONTRACT",IF($Z410="A","ASSET",IF($Z410="F","WORKFORCE","")))</f>
        <v/>
      </c>
      <c r="I410" s="7">
        <f>IF($Z410="C",INDEX(Contracts!$L$2:$L$151,$AB410)&amp;"",IF($Z410="A",INDEX(Fixed_Assets!$I$2:$I$201,$AB410)&amp;"",IF($Z410="F",INDEX(Workforce!$G$2:$G$151,MATCH(INDEX(FTE_Allocation!$A$2:$A$201,$AB410),Workforce!$A$2:$A$151,0))&amp;"","")))</f>
        <v/>
      </c>
      <c r="J410" s="18">
        <f>IF($Z410="","",IF(AND(DATE($AD410,1,1)&gt;=$AE410,DATE($AD410,1,1)&lt;=$AF410),ROUND($AG410,2),0))</f>
        <v/>
      </c>
      <c r="K410" s="18">
        <f>IF($Z410="","",IF(AND(DATE($AD410,2,1)&gt;=$AE410,DATE($AD410,2,1)&lt;=$AF410),ROUND($AG410,2),0))</f>
        <v/>
      </c>
      <c r="L410" s="18">
        <f>IF($Z410="","",IF(AND(DATE($AD410,3,1)&gt;=$AE410,DATE($AD410,3,1)&lt;=$AF410),ROUND($AG410,2),0))</f>
        <v/>
      </c>
      <c r="M410" s="18">
        <f>IF($Z410="","",IF(AND(DATE($AD410,4,1)&gt;=$AE410,DATE($AD410,4,1)&lt;=$AF410),ROUND($AG410,2),0))</f>
        <v/>
      </c>
      <c r="N410" s="18">
        <f>IF($Z410="","",IF(AND(DATE($AD410,5,1)&gt;=$AE410,DATE($AD410,5,1)&lt;=$AF410),ROUND($AG410,2),0))</f>
        <v/>
      </c>
      <c r="O410" s="18">
        <f>IF($Z410="","",IF(AND(DATE($AD410,6,1)&gt;=$AE410,DATE($AD410,6,1)&lt;=$AF410),ROUND($AG410,2),0))</f>
        <v/>
      </c>
      <c r="P410" s="18">
        <f>IF($Z410="","",IF(AND(DATE($AD410,7,1)&gt;=$AE410,DATE($AD410,7,1)&lt;=$AF410),ROUND($AG410,2),0))</f>
        <v/>
      </c>
      <c r="Q410" s="18">
        <f>IF($Z410="","",IF(AND(DATE($AD410,8,1)&gt;=$AE410,DATE($AD410,8,1)&lt;=$AF410),ROUND($AG410,2),0))</f>
        <v/>
      </c>
      <c r="R410" s="18">
        <f>IF($Z410="","",IF(AND(DATE($AD410,9,1)&gt;=$AE410,DATE($AD410,9,1)&lt;=$AF410),ROUND($AG410,2),0))</f>
        <v/>
      </c>
      <c r="S410" s="18">
        <f>IF($Z410="","",IF(AND(DATE($AD410,10,1)&gt;=$AE410,DATE($AD410,10,1)&lt;=$AF410),ROUND($AG410,2),0))</f>
        <v/>
      </c>
      <c r="T410" s="18">
        <f>IF($Z410="","",IF(AND(DATE($AD410,11,1)&gt;=$AE410,DATE($AD410,11,1)&lt;=$AF410),ROUND($AG410,2),0))</f>
        <v/>
      </c>
      <c r="U410" s="18">
        <f>IF($Z410="","",IF(AND(DATE($AD410,12,1)&gt;=$AE410,DATE($AD410,12,1)&lt;=$AF410),ROUND($AG410,2),0))</f>
        <v/>
      </c>
      <c r="V410" s="7">
        <f>IF($Z410="C","Generated from "&amp;INDEX(Contracts!$A$2:$A$151,$AB410),IF($Z410="A","Generated from "&amp;INDEX(Fixed_Assets!$A$2:$A$201,$AB410),IF($Z410="F","Generated from "&amp;INDEX(FTE_Allocation!$A$2:$A$201,$AB410),"")))</f>
        <v/>
      </c>
      <c r="X410" s="19">
        <f>IF($Z410="","",SUM(J410:U410))</f>
        <v/>
      </c>
      <c r="Y410" s="20">
        <f>ROW()-1</f>
        <v/>
      </c>
      <c r="Z410" s="20">
        <f>IF($Y410&lt;=Settings!$B$4*3,"C",IF($Y410&lt;=(Settings!$B$4+Settings!$B$5)*3,"A",IF($Y410&lt;=(Settings!$B$4+Settings!$B$5+Settings!$B$6)*3,"F","")))</f>
        <v/>
      </c>
      <c r="AA410" s="20">
        <f>IF($Z410="C",$Y410,IF($Z410="A",$Y410-Settings!$B$4*3,IF($Z410="F",$Y410-(Settings!$B$4+Settings!$B$5)*3,"")))</f>
        <v/>
      </c>
      <c r="AB410" s="20">
        <f>IF($Z410="","",INT(($AA410-1)/3)+1)</f>
        <v/>
      </c>
      <c r="AC410" s="20">
        <f>IF($Z410="","",MOD($AA410-1,3)+1)</f>
        <v/>
      </c>
      <c r="AD410" s="20">
        <f>IF($Z410="","",Settings!$B$2+$AC410-1)</f>
        <v/>
      </c>
      <c r="AE410" s="21">
        <f>IF($Z410="C",DATE(YEAR(INDEX(Contracts!$J$2:$J$151,$AB410)),MONTH(INDEX(Contracts!$J$2:$J$151,$AB410)),1),IF($Z410="A",DATE(YEAR(INDEX(Fixed_Assets!$G$2:$G$201,$AB410)),MONTH(INDEX(Fixed_Assets!$G$2:$G$201,$AB410)),1),IF($Z410="F",DATE(YEAR(MAX(N(INDEX(Workforce!$I$2:$I$151,MATCH(INDEX(FTE_Allocation!$A$2:$A$201,$AB410),Workforce!$A$2:$A$151,0))),N(INDEX(FTE_Allocation!$I$2:$I$201,$AB410)))),MONTH(MAX(N(INDEX(Workforce!$I$2:$I$151,MATCH(INDEX(FTE_Allocation!$A$2:$A$201,$AB410),Workforce!$A$2:$A$151,0))),N(INDEX(FTE_Allocation!$I$2:$I$201,$AB410)))),1),"")))</f>
        <v/>
      </c>
      <c r="AF410" s="21">
        <f>IF($Z410="C",IF(INDEX(Contracts!$I$2:$I$151,$AB410)="PREPAID",EDATE(DATE(YEAR(INDEX(Contracts!$J$2:$J$151,$AB410)),MONTH(INDEX(Contracts!$J$2:$J$151,$AB410)),1),IF(INDEX(Contracts!$N$2:$N$151,$AB410)="",12,INDEX(Contracts!$N$2:$N$151,$AB410))-1),IF(INDEX(Contracts!$I$2:$I$151,$AB410)="MONTHLY",IF(INDEX(Contracts!$K$2:$K$151,$AB410)="",2958101,INDEX(Contracts!$K$2:$K$151,$AB410)),0)),IF($Z410="A",EDATE(DATE(YEAR(INDEX(Fixed_Assets!$G$2:$G$201,$AB410)),MONTH(INDEX(Fixed_Assets!$G$2:$G$201,$AB410)),1),INDEX(Fixed_Assets!$J$2:$J$201,$AB410)-1),IF($Z410="F",MIN(IF(INDEX(Workforce!$J$2:$J$151,MATCH(INDEX(FTE_Allocation!$A$2:$A$201,$AB410),Workforce!$A$2:$A$151,0))="",2958101,INDEX(Workforce!$J$2:$J$151,MATCH(INDEX(FTE_Allocation!$A$2:$A$201,$AB410),Workforce!$A$2:$A$151,0))),IF(INDEX(FTE_Allocation!$J$2:$J$201,$AB410)="",2958101,INDEX(FTE_Allocation!$J$2:$J$201,$AB410))),"")))</f>
        <v/>
      </c>
      <c r="AG410" s="19">
        <f>IF($Z410="C",IF(INDEX(Contracts!$I$2:$I$151,$AB410)="PREPAID",INDEX(Contracts!$M$2:$M$151,$AB410)/IF(INDEX(Contracts!$N$2:$N$151,$AB410)="",12,INDEX(Contracts!$N$2:$N$151,$AB410)),IF(INDEX(Contracts!$I$2:$I$151,$AB410)="MONTHLY",INDEX(Contracts!$M$2:$M$151,$AB410),0))*(1-N(INDEX(Contracts!$O$2:$O$151,$AB410))),IF($Z410="A",INDEX(Fixed_Assets!$H$2:$H$201,$AB410)/INDEX(Fixed_Assets!$J$2:$J$201,$AB410),IF($Z410="F",INDEX(Workforce!$F$2:$F$151,MATCH(INDEX(FTE_Allocation!$A$2:$A$201,$AB410),Workforce!$A$2:$A$151,0))*N(INDEX(FTE_Allocation!$F$2:$H$201,$AB410,$AC410)),"")))</f>
        <v/>
      </c>
    </row>
    <row r="411">
      <c r="A411" s="7">
        <f>IF($Z411="","",$AD411)</f>
        <v/>
      </c>
      <c r="B411" s="7">
        <f>IF($Z411="C",INDEX(Contracts!$D$2:$D$151,$AB411)&amp;"",IF($Z411="A",INDEX(Fixed_Assets!$C$2:$C$201,$AB411)&amp;"",IF($Z411="F",INDEX(Workforce!$B$2:$B$151,MATCH(INDEX(FTE_Allocation!$A$2:$A$201,$AB411),Workforce!$A$2:$A$151,0))&amp;"","")))</f>
        <v/>
      </c>
      <c r="C411" s="7">
        <f>IF($Z411="C",INDEX(Contracts!$E$2:$E$151,$AB411)&amp;"",IF($Z411="A",INDEX(Fixed_Assets!$D$2:$D$201,$AB411)&amp;"",IF($Z411="F",INDEX(FTE_Allocation!$C$2:$C$201,$AB411)&amp;"","")))</f>
        <v/>
      </c>
      <c r="D411" s="7">
        <f>IF($Z411="C",INDEX(Contracts!$B$2:$B$151,$AB411)&amp;"",IF($Z411="A",INDEX(Fixed_Assets!$B$2:$B$201,$AB411)&amp;"",IF($Z411="F",INDEX(FTE_Allocation!$B$2:$B$201,$AB411)&amp;"","")))</f>
        <v/>
      </c>
      <c r="E411" s="7">
        <f>IF($Z411="C",INDEX(Contracts!$P$2:$P$151,$AB411)&amp;"",IF($Z411="A",INDEX(Fixed_Assets!$K$2:$K$201,$AB411)&amp;"",IF($Z411="F",IF(INDEX(FTE_Allocation!$D$2:$D$201,$AB411)="PROJECT",IFERROR(INDEX(Projects!$D:$D,MATCH(INDEX(FTE_Allocation!$E$2:$E$201,$AB411),Projects!$A:$A,0))&amp;"","#PROJECT?"),INDEX(FTE_Allocation!$E$2:$E$201,$AB411)&amp;""),"")))</f>
        <v/>
      </c>
      <c r="F411" s="7">
        <f>IF($Z411="C",INDEX(Contracts!$Q$2:$Q$151,$AB411)&amp;"",IF($Z411="A",INDEX(Fixed_Assets!$L$2:$L$201,$AB411)&amp;"",IF($Z411="F",INDEX(Workforce!$K$2:$K$151,MATCH(INDEX(FTE_Allocation!$A$2:$A$201,$AB411),Workforce!$A$2:$A$151,0))&amp;"","")))</f>
        <v/>
      </c>
      <c r="G411" s="7">
        <f>IF($Z411="C",INDEX(Contracts!$F$2:$F$151,$AB411)&amp;" / "&amp;INDEX(Contracts!$G$2:$G$151,$AB411),IF($Z411="A",INDEX(Fixed_Assets!$E$2:$E$201,$AB411)&amp;"",IF($Z411="F","Personnel "&amp;INDEX(FTE_Allocation!$A$2:$A$201,$AB411)&amp;IF(INDEX(FTE_Allocation!$D$2:$D$201,$AB411)="PROJECT"," ("&amp;INDEX(FTE_Allocation!$E$2:$E$201,$AB411)&amp;")",""),"")))</f>
        <v/>
      </c>
      <c r="H411" s="7">
        <f>IF($Z411="C","CONTRACT",IF($Z411="A","ASSET",IF($Z411="F","WORKFORCE","")))</f>
        <v/>
      </c>
      <c r="I411" s="7">
        <f>IF($Z411="C",INDEX(Contracts!$L$2:$L$151,$AB411)&amp;"",IF($Z411="A",INDEX(Fixed_Assets!$I$2:$I$201,$AB411)&amp;"",IF($Z411="F",INDEX(Workforce!$G$2:$G$151,MATCH(INDEX(FTE_Allocation!$A$2:$A$201,$AB411),Workforce!$A$2:$A$151,0))&amp;"","")))</f>
        <v/>
      </c>
      <c r="J411" s="18">
        <f>IF($Z411="","",IF(AND(DATE($AD411,1,1)&gt;=$AE411,DATE($AD411,1,1)&lt;=$AF411),ROUND($AG411,2),0))</f>
        <v/>
      </c>
      <c r="K411" s="18">
        <f>IF($Z411="","",IF(AND(DATE($AD411,2,1)&gt;=$AE411,DATE($AD411,2,1)&lt;=$AF411),ROUND($AG411,2),0))</f>
        <v/>
      </c>
      <c r="L411" s="18">
        <f>IF($Z411="","",IF(AND(DATE($AD411,3,1)&gt;=$AE411,DATE($AD411,3,1)&lt;=$AF411),ROUND($AG411,2),0))</f>
        <v/>
      </c>
      <c r="M411" s="18">
        <f>IF($Z411="","",IF(AND(DATE($AD411,4,1)&gt;=$AE411,DATE($AD411,4,1)&lt;=$AF411),ROUND($AG411,2),0))</f>
        <v/>
      </c>
      <c r="N411" s="18">
        <f>IF($Z411="","",IF(AND(DATE($AD411,5,1)&gt;=$AE411,DATE($AD411,5,1)&lt;=$AF411),ROUND($AG411,2),0))</f>
        <v/>
      </c>
      <c r="O411" s="18">
        <f>IF($Z411="","",IF(AND(DATE($AD411,6,1)&gt;=$AE411,DATE($AD411,6,1)&lt;=$AF411),ROUND($AG411,2),0))</f>
        <v/>
      </c>
      <c r="P411" s="18">
        <f>IF($Z411="","",IF(AND(DATE($AD411,7,1)&gt;=$AE411,DATE($AD411,7,1)&lt;=$AF411),ROUND($AG411,2),0))</f>
        <v/>
      </c>
      <c r="Q411" s="18">
        <f>IF($Z411="","",IF(AND(DATE($AD411,8,1)&gt;=$AE411,DATE($AD411,8,1)&lt;=$AF411),ROUND($AG411,2),0))</f>
        <v/>
      </c>
      <c r="R411" s="18">
        <f>IF($Z411="","",IF(AND(DATE($AD411,9,1)&gt;=$AE411,DATE($AD411,9,1)&lt;=$AF411),ROUND($AG411,2),0))</f>
        <v/>
      </c>
      <c r="S411" s="18">
        <f>IF($Z411="","",IF(AND(DATE($AD411,10,1)&gt;=$AE411,DATE($AD411,10,1)&lt;=$AF411),ROUND($AG411,2),0))</f>
        <v/>
      </c>
      <c r="T411" s="18">
        <f>IF($Z411="","",IF(AND(DATE($AD411,11,1)&gt;=$AE411,DATE($AD411,11,1)&lt;=$AF411),ROUND($AG411,2),0))</f>
        <v/>
      </c>
      <c r="U411" s="18">
        <f>IF($Z411="","",IF(AND(DATE($AD411,12,1)&gt;=$AE411,DATE($AD411,12,1)&lt;=$AF411),ROUND($AG411,2),0))</f>
        <v/>
      </c>
      <c r="V411" s="7">
        <f>IF($Z411="C","Generated from "&amp;INDEX(Contracts!$A$2:$A$151,$AB411),IF($Z411="A","Generated from "&amp;INDEX(Fixed_Assets!$A$2:$A$201,$AB411),IF($Z411="F","Generated from "&amp;INDEX(FTE_Allocation!$A$2:$A$201,$AB411),"")))</f>
        <v/>
      </c>
      <c r="X411" s="19">
        <f>IF($Z411="","",SUM(J411:U411))</f>
        <v/>
      </c>
      <c r="Y411" s="20">
        <f>ROW()-1</f>
        <v/>
      </c>
      <c r="Z411" s="20">
        <f>IF($Y411&lt;=Settings!$B$4*3,"C",IF($Y411&lt;=(Settings!$B$4+Settings!$B$5)*3,"A",IF($Y411&lt;=(Settings!$B$4+Settings!$B$5+Settings!$B$6)*3,"F","")))</f>
        <v/>
      </c>
      <c r="AA411" s="20">
        <f>IF($Z411="C",$Y411,IF($Z411="A",$Y411-Settings!$B$4*3,IF($Z411="F",$Y411-(Settings!$B$4+Settings!$B$5)*3,"")))</f>
        <v/>
      </c>
      <c r="AB411" s="20">
        <f>IF($Z411="","",INT(($AA411-1)/3)+1)</f>
        <v/>
      </c>
      <c r="AC411" s="20">
        <f>IF($Z411="","",MOD($AA411-1,3)+1)</f>
        <v/>
      </c>
      <c r="AD411" s="20">
        <f>IF($Z411="","",Settings!$B$2+$AC411-1)</f>
        <v/>
      </c>
      <c r="AE411" s="21">
        <f>IF($Z411="C",DATE(YEAR(INDEX(Contracts!$J$2:$J$151,$AB411)),MONTH(INDEX(Contracts!$J$2:$J$151,$AB411)),1),IF($Z411="A",DATE(YEAR(INDEX(Fixed_Assets!$G$2:$G$201,$AB411)),MONTH(INDEX(Fixed_Assets!$G$2:$G$201,$AB411)),1),IF($Z411="F",DATE(YEAR(MAX(N(INDEX(Workforce!$I$2:$I$151,MATCH(INDEX(FTE_Allocation!$A$2:$A$201,$AB411),Workforce!$A$2:$A$151,0))),N(INDEX(FTE_Allocation!$I$2:$I$201,$AB411)))),MONTH(MAX(N(INDEX(Workforce!$I$2:$I$151,MATCH(INDEX(FTE_Allocation!$A$2:$A$201,$AB411),Workforce!$A$2:$A$151,0))),N(INDEX(FTE_Allocation!$I$2:$I$201,$AB411)))),1),"")))</f>
        <v/>
      </c>
      <c r="AF411" s="21">
        <f>IF($Z411="C",IF(INDEX(Contracts!$I$2:$I$151,$AB411)="PREPAID",EDATE(DATE(YEAR(INDEX(Contracts!$J$2:$J$151,$AB411)),MONTH(INDEX(Contracts!$J$2:$J$151,$AB411)),1),IF(INDEX(Contracts!$N$2:$N$151,$AB411)="",12,INDEX(Contracts!$N$2:$N$151,$AB411))-1),IF(INDEX(Contracts!$I$2:$I$151,$AB411)="MONTHLY",IF(INDEX(Contracts!$K$2:$K$151,$AB411)="",2958101,INDEX(Contracts!$K$2:$K$151,$AB411)),0)),IF($Z411="A",EDATE(DATE(YEAR(INDEX(Fixed_Assets!$G$2:$G$201,$AB411)),MONTH(INDEX(Fixed_Assets!$G$2:$G$201,$AB411)),1),INDEX(Fixed_Assets!$J$2:$J$201,$AB411)-1),IF($Z411="F",MIN(IF(INDEX(Workforce!$J$2:$J$151,MATCH(INDEX(FTE_Allocation!$A$2:$A$201,$AB411),Workforce!$A$2:$A$151,0))="",2958101,INDEX(Workforce!$J$2:$J$151,MATCH(INDEX(FTE_Allocation!$A$2:$A$201,$AB411),Workforce!$A$2:$A$151,0))),IF(INDEX(FTE_Allocation!$J$2:$J$201,$AB411)="",2958101,INDEX(FTE_Allocation!$J$2:$J$201,$AB411))),"")))</f>
        <v/>
      </c>
      <c r="AG411" s="19">
        <f>IF($Z411="C",IF(INDEX(Contracts!$I$2:$I$151,$AB411)="PREPAID",INDEX(Contracts!$M$2:$M$151,$AB411)/IF(INDEX(Contracts!$N$2:$N$151,$AB411)="",12,INDEX(Contracts!$N$2:$N$151,$AB411)),IF(INDEX(Contracts!$I$2:$I$151,$AB411)="MONTHLY",INDEX(Contracts!$M$2:$M$151,$AB411),0))*(1-N(INDEX(Contracts!$O$2:$O$151,$AB411))),IF($Z411="A",INDEX(Fixed_Assets!$H$2:$H$201,$AB411)/INDEX(Fixed_Assets!$J$2:$J$201,$AB411),IF($Z411="F",INDEX(Workforce!$F$2:$F$151,MATCH(INDEX(FTE_Allocation!$A$2:$A$201,$AB411),Workforce!$A$2:$A$151,0))*N(INDEX(FTE_Allocation!$F$2:$H$201,$AB411,$AC411)),"")))</f>
        <v/>
      </c>
    </row>
    <row r="412">
      <c r="A412" s="7">
        <f>IF($Z412="","",$AD412)</f>
        <v/>
      </c>
      <c r="B412" s="7">
        <f>IF($Z412="C",INDEX(Contracts!$D$2:$D$151,$AB412)&amp;"",IF($Z412="A",INDEX(Fixed_Assets!$C$2:$C$201,$AB412)&amp;"",IF($Z412="F",INDEX(Workforce!$B$2:$B$151,MATCH(INDEX(FTE_Allocation!$A$2:$A$201,$AB412),Workforce!$A$2:$A$151,0))&amp;"","")))</f>
        <v/>
      </c>
      <c r="C412" s="7">
        <f>IF($Z412="C",INDEX(Contracts!$E$2:$E$151,$AB412)&amp;"",IF($Z412="A",INDEX(Fixed_Assets!$D$2:$D$201,$AB412)&amp;"",IF($Z412="F",INDEX(FTE_Allocation!$C$2:$C$201,$AB412)&amp;"","")))</f>
        <v/>
      </c>
      <c r="D412" s="7">
        <f>IF($Z412="C",INDEX(Contracts!$B$2:$B$151,$AB412)&amp;"",IF($Z412="A",INDEX(Fixed_Assets!$B$2:$B$201,$AB412)&amp;"",IF($Z412="F",INDEX(FTE_Allocation!$B$2:$B$201,$AB412)&amp;"","")))</f>
        <v/>
      </c>
      <c r="E412" s="7">
        <f>IF($Z412="C",INDEX(Contracts!$P$2:$P$151,$AB412)&amp;"",IF($Z412="A",INDEX(Fixed_Assets!$K$2:$K$201,$AB412)&amp;"",IF($Z412="F",IF(INDEX(FTE_Allocation!$D$2:$D$201,$AB412)="PROJECT",IFERROR(INDEX(Projects!$D:$D,MATCH(INDEX(FTE_Allocation!$E$2:$E$201,$AB412),Projects!$A:$A,0))&amp;"","#PROJECT?"),INDEX(FTE_Allocation!$E$2:$E$201,$AB412)&amp;""),"")))</f>
        <v/>
      </c>
      <c r="F412" s="7">
        <f>IF($Z412="C",INDEX(Contracts!$Q$2:$Q$151,$AB412)&amp;"",IF($Z412="A",INDEX(Fixed_Assets!$L$2:$L$201,$AB412)&amp;"",IF($Z412="F",INDEX(Workforce!$K$2:$K$151,MATCH(INDEX(FTE_Allocation!$A$2:$A$201,$AB412),Workforce!$A$2:$A$151,0))&amp;"","")))</f>
        <v/>
      </c>
      <c r="G412" s="7">
        <f>IF($Z412="C",INDEX(Contracts!$F$2:$F$151,$AB412)&amp;" / "&amp;INDEX(Contracts!$G$2:$G$151,$AB412),IF($Z412="A",INDEX(Fixed_Assets!$E$2:$E$201,$AB412)&amp;"",IF($Z412="F","Personnel "&amp;INDEX(FTE_Allocation!$A$2:$A$201,$AB412)&amp;IF(INDEX(FTE_Allocation!$D$2:$D$201,$AB412)="PROJECT"," ("&amp;INDEX(FTE_Allocation!$E$2:$E$201,$AB412)&amp;")",""),"")))</f>
        <v/>
      </c>
      <c r="H412" s="7">
        <f>IF($Z412="C","CONTRACT",IF($Z412="A","ASSET",IF($Z412="F","WORKFORCE","")))</f>
        <v/>
      </c>
      <c r="I412" s="7">
        <f>IF($Z412="C",INDEX(Contracts!$L$2:$L$151,$AB412)&amp;"",IF($Z412="A",INDEX(Fixed_Assets!$I$2:$I$201,$AB412)&amp;"",IF($Z412="F",INDEX(Workforce!$G$2:$G$151,MATCH(INDEX(FTE_Allocation!$A$2:$A$201,$AB412),Workforce!$A$2:$A$151,0))&amp;"","")))</f>
        <v/>
      </c>
      <c r="J412" s="18">
        <f>IF($Z412="","",IF(AND(DATE($AD412,1,1)&gt;=$AE412,DATE($AD412,1,1)&lt;=$AF412),ROUND($AG412,2),0))</f>
        <v/>
      </c>
      <c r="K412" s="18">
        <f>IF($Z412="","",IF(AND(DATE($AD412,2,1)&gt;=$AE412,DATE($AD412,2,1)&lt;=$AF412),ROUND($AG412,2),0))</f>
        <v/>
      </c>
      <c r="L412" s="18">
        <f>IF($Z412="","",IF(AND(DATE($AD412,3,1)&gt;=$AE412,DATE($AD412,3,1)&lt;=$AF412),ROUND($AG412,2),0))</f>
        <v/>
      </c>
      <c r="M412" s="18">
        <f>IF($Z412="","",IF(AND(DATE($AD412,4,1)&gt;=$AE412,DATE($AD412,4,1)&lt;=$AF412),ROUND($AG412,2),0))</f>
        <v/>
      </c>
      <c r="N412" s="18">
        <f>IF($Z412="","",IF(AND(DATE($AD412,5,1)&gt;=$AE412,DATE($AD412,5,1)&lt;=$AF412),ROUND($AG412,2),0))</f>
        <v/>
      </c>
      <c r="O412" s="18">
        <f>IF($Z412="","",IF(AND(DATE($AD412,6,1)&gt;=$AE412,DATE($AD412,6,1)&lt;=$AF412),ROUND($AG412,2),0))</f>
        <v/>
      </c>
      <c r="P412" s="18">
        <f>IF($Z412="","",IF(AND(DATE($AD412,7,1)&gt;=$AE412,DATE($AD412,7,1)&lt;=$AF412),ROUND($AG412,2),0))</f>
        <v/>
      </c>
      <c r="Q412" s="18">
        <f>IF($Z412="","",IF(AND(DATE($AD412,8,1)&gt;=$AE412,DATE($AD412,8,1)&lt;=$AF412),ROUND($AG412,2),0))</f>
        <v/>
      </c>
      <c r="R412" s="18">
        <f>IF($Z412="","",IF(AND(DATE($AD412,9,1)&gt;=$AE412,DATE($AD412,9,1)&lt;=$AF412),ROUND($AG412,2),0))</f>
        <v/>
      </c>
      <c r="S412" s="18">
        <f>IF($Z412="","",IF(AND(DATE($AD412,10,1)&gt;=$AE412,DATE($AD412,10,1)&lt;=$AF412),ROUND($AG412,2),0))</f>
        <v/>
      </c>
      <c r="T412" s="18">
        <f>IF($Z412="","",IF(AND(DATE($AD412,11,1)&gt;=$AE412,DATE($AD412,11,1)&lt;=$AF412),ROUND($AG412,2),0))</f>
        <v/>
      </c>
      <c r="U412" s="18">
        <f>IF($Z412="","",IF(AND(DATE($AD412,12,1)&gt;=$AE412,DATE($AD412,12,1)&lt;=$AF412),ROUND($AG412,2),0))</f>
        <v/>
      </c>
      <c r="V412" s="7">
        <f>IF($Z412="C","Generated from "&amp;INDEX(Contracts!$A$2:$A$151,$AB412),IF($Z412="A","Generated from "&amp;INDEX(Fixed_Assets!$A$2:$A$201,$AB412),IF($Z412="F","Generated from "&amp;INDEX(FTE_Allocation!$A$2:$A$201,$AB412),"")))</f>
        <v/>
      </c>
      <c r="X412" s="19">
        <f>IF($Z412="","",SUM(J412:U412))</f>
        <v/>
      </c>
      <c r="Y412" s="20">
        <f>ROW()-1</f>
        <v/>
      </c>
      <c r="Z412" s="20">
        <f>IF($Y412&lt;=Settings!$B$4*3,"C",IF($Y412&lt;=(Settings!$B$4+Settings!$B$5)*3,"A",IF($Y412&lt;=(Settings!$B$4+Settings!$B$5+Settings!$B$6)*3,"F","")))</f>
        <v/>
      </c>
      <c r="AA412" s="20">
        <f>IF($Z412="C",$Y412,IF($Z412="A",$Y412-Settings!$B$4*3,IF($Z412="F",$Y412-(Settings!$B$4+Settings!$B$5)*3,"")))</f>
        <v/>
      </c>
      <c r="AB412" s="20">
        <f>IF($Z412="","",INT(($AA412-1)/3)+1)</f>
        <v/>
      </c>
      <c r="AC412" s="20">
        <f>IF($Z412="","",MOD($AA412-1,3)+1)</f>
        <v/>
      </c>
      <c r="AD412" s="20">
        <f>IF($Z412="","",Settings!$B$2+$AC412-1)</f>
        <v/>
      </c>
      <c r="AE412" s="21">
        <f>IF($Z412="C",DATE(YEAR(INDEX(Contracts!$J$2:$J$151,$AB412)),MONTH(INDEX(Contracts!$J$2:$J$151,$AB412)),1),IF($Z412="A",DATE(YEAR(INDEX(Fixed_Assets!$G$2:$G$201,$AB412)),MONTH(INDEX(Fixed_Assets!$G$2:$G$201,$AB412)),1),IF($Z412="F",DATE(YEAR(MAX(N(INDEX(Workforce!$I$2:$I$151,MATCH(INDEX(FTE_Allocation!$A$2:$A$201,$AB412),Workforce!$A$2:$A$151,0))),N(INDEX(FTE_Allocation!$I$2:$I$201,$AB412)))),MONTH(MAX(N(INDEX(Workforce!$I$2:$I$151,MATCH(INDEX(FTE_Allocation!$A$2:$A$201,$AB412),Workforce!$A$2:$A$151,0))),N(INDEX(FTE_Allocation!$I$2:$I$201,$AB412)))),1),"")))</f>
        <v/>
      </c>
      <c r="AF412" s="21">
        <f>IF($Z412="C",IF(INDEX(Contracts!$I$2:$I$151,$AB412)="PREPAID",EDATE(DATE(YEAR(INDEX(Contracts!$J$2:$J$151,$AB412)),MONTH(INDEX(Contracts!$J$2:$J$151,$AB412)),1),IF(INDEX(Contracts!$N$2:$N$151,$AB412)="",12,INDEX(Contracts!$N$2:$N$151,$AB412))-1),IF(INDEX(Contracts!$I$2:$I$151,$AB412)="MONTHLY",IF(INDEX(Contracts!$K$2:$K$151,$AB412)="",2958101,INDEX(Contracts!$K$2:$K$151,$AB412)),0)),IF($Z412="A",EDATE(DATE(YEAR(INDEX(Fixed_Assets!$G$2:$G$201,$AB412)),MONTH(INDEX(Fixed_Assets!$G$2:$G$201,$AB412)),1),INDEX(Fixed_Assets!$J$2:$J$201,$AB412)-1),IF($Z412="F",MIN(IF(INDEX(Workforce!$J$2:$J$151,MATCH(INDEX(FTE_Allocation!$A$2:$A$201,$AB412),Workforce!$A$2:$A$151,0))="",2958101,INDEX(Workforce!$J$2:$J$151,MATCH(INDEX(FTE_Allocation!$A$2:$A$201,$AB412),Workforce!$A$2:$A$151,0))),IF(INDEX(FTE_Allocation!$J$2:$J$201,$AB412)="",2958101,INDEX(FTE_Allocation!$J$2:$J$201,$AB412))),"")))</f>
        <v/>
      </c>
      <c r="AG412" s="19">
        <f>IF($Z412="C",IF(INDEX(Contracts!$I$2:$I$151,$AB412)="PREPAID",INDEX(Contracts!$M$2:$M$151,$AB412)/IF(INDEX(Contracts!$N$2:$N$151,$AB412)="",12,INDEX(Contracts!$N$2:$N$151,$AB412)),IF(INDEX(Contracts!$I$2:$I$151,$AB412)="MONTHLY",INDEX(Contracts!$M$2:$M$151,$AB412),0))*(1-N(INDEX(Contracts!$O$2:$O$151,$AB412))),IF($Z412="A",INDEX(Fixed_Assets!$H$2:$H$201,$AB412)/INDEX(Fixed_Assets!$J$2:$J$201,$AB412),IF($Z412="F",INDEX(Workforce!$F$2:$F$151,MATCH(INDEX(FTE_Allocation!$A$2:$A$201,$AB412),Workforce!$A$2:$A$151,0))*N(INDEX(FTE_Allocation!$F$2:$H$201,$AB412,$AC412)),"")))</f>
        <v/>
      </c>
    </row>
    <row r="413">
      <c r="A413" s="7">
        <f>IF($Z413="","",$AD413)</f>
        <v/>
      </c>
      <c r="B413" s="7">
        <f>IF($Z413="C",INDEX(Contracts!$D$2:$D$151,$AB413)&amp;"",IF($Z413="A",INDEX(Fixed_Assets!$C$2:$C$201,$AB413)&amp;"",IF($Z413="F",INDEX(Workforce!$B$2:$B$151,MATCH(INDEX(FTE_Allocation!$A$2:$A$201,$AB413),Workforce!$A$2:$A$151,0))&amp;"","")))</f>
        <v/>
      </c>
      <c r="C413" s="7">
        <f>IF($Z413="C",INDEX(Contracts!$E$2:$E$151,$AB413)&amp;"",IF($Z413="A",INDEX(Fixed_Assets!$D$2:$D$201,$AB413)&amp;"",IF($Z413="F",INDEX(FTE_Allocation!$C$2:$C$201,$AB413)&amp;"","")))</f>
        <v/>
      </c>
      <c r="D413" s="7">
        <f>IF($Z413="C",INDEX(Contracts!$B$2:$B$151,$AB413)&amp;"",IF($Z413="A",INDEX(Fixed_Assets!$B$2:$B$201,$AB413)&amp;"",IF($Z413="F",INDEX(FTE_Allocation!$B$2:$B$201,$AB413)&amp;"","")))</f>
        <v/>
      </c>
      <c r="E413" s="7">
        <f>IF($Z413="C",INDEX(Contracts!$P$2:$P$151,$AB413)&amp;"",IF($Z413="A",INDEX(Fixed_Assets!$K$2:$K$201,$AB413)&amp;"",IF($Z413="F",IF(INDEX(FTE_Allocation!$D$2:$D$201,$AB413)="PROJECT",IFERROR(INDEX(Projects!$D:$D,MATCH(INDEX(FTE_Allocation!$E$2:$E$201,$AB413),Projects!$A:$A,0))&amp;"","#PROJECT?"),INDEX(FTE_Allocation!$E$2:$E$201,$AB413)&amp;""),"")))</f>
        <v/>
      </c>
      <c r="F413" s="7">
        <f>IF($Z413="C",INDEX(Contracts!$Q$2:$Q$151,$AB413)&amp;"",IF($Z413="A",INDEX(Fixed_Assets!$L$2:$L$201,$AB413)&amp;"",IF($Z413="F",INDEX(Workforce!$K$2:$K$151,MATCH(INDEX(FTE_Allocation!$A$2:$A$201,$AB413),Workforce!$A$2:$A$151,0))&amp;"","")))</f>
        <v/>
      </c>
      <c r="G413" s="7">
        <f>IF($Z413="C",INDEX(Contracts!$F$2:$F$151,$AB413)&amp;" / "&amp;INDEX(Contracts!$G$2:$G$151,$AB413),IF($Z413="A",INDEX(Fixed_Assets!$E$2:$E$201,$AB413)&amp;"",IF($Z413="F","Personnel "&amp;INDEX(FTE_Allocation!$A$2:$A$201,$AB413)&amp;IF(INDEX(FTE_Allocation!$D$2:$D$201,$AB413)="PROJECT"," ("&amp;INDEX(FTE_Allocation!$E$2:$E$201,$AB413)&amp;")",""),"")))</f>
        <v/>
      </c>
      <c r="H413" s="7">
        <f>IF($Z413="C","CONTRACT",IF($Z413="A","ASSET",IF($Z413="F","WORKFORCE","")))</f>
        <v/>
      </c>
      <c r="I413" s="7">
        <f>IF($Z413="C",INDEX(Contracts!$L$2:$L$151,$AB413)&amp;"",IF($Z413="A",INDEX(Fixed_Assets!$I$2:$I$201,$AB413)&amp;"",IF($Z413="F",INDEX(Workforce!$G$2:$G$151,MATCH(INDEX(FTE_Allocation!$A$2:$A$201,$AB413),Workforce!$A$2:$A$151,0))&amp;"","")))</f>
        <v/>
      </c>
      <c r="J413" s="18">
        <f>IF($Z413="","",IF(AND(DATE($AD413,1,1)&gt;=$AE413,DATE($AD413,1,1)&lt;=$AF413),ROUND($AG413,2),0))</f>
        <v/>
      </c>
      <c r="K413" s="18">
        <f>IF($Z413="","",IF(AND(DATE($AD413,2,1)&gt;=$AE413,DATE($AD413,2,1)&lt;=$AF413),ROUND($AG413,2),0))</f>
        <v/>
      </c>
      <c r="L413" s="18">
        <f>IF($Z413="","",IF(AND(DATE($AD413,3,1)&gt;=$AE413,DATE($AD413,3,1)&lt;=$AF413),ROUND($AG413,2),0))</f>
        <v/>
      </c>
      <c r="M413" s="18">
        <f>IF($Z413="","",IF(AND(DATE($AD413,4,1)&gt;=$AE413,DATE($AD413,4,1)&lt;=$AF413),ROUND($AG413,2),0))</f>
        <v/>
      </c>
      <c r="N413" s="18">
        <f>IF($Z413="","",IF(AND(DATE($AD413,5,1)&gt;=$AE413,DATE($AD413,5,1)&lt;=$AF413),ROUND($AG413,2),0))</f>
        <v/>
      </c>
      <c r="O413" s="18">
        <f>IF($Z413="","",IF(AND(DATE($AD413,6,1)&gt;=$AE413,DATE($AD413,6,1)&lt;=$AF413),ROUND($AG413,2),0))</f>
        <v/>
      </c>
      <c r="P413" s="18">
        <f>IF($Z413="","",IF(AND(DATE($AD413,7,1)&gt;=$AE413,DATE($AD413,7,1)&lt;=$AF413),ROUND($AG413,2),0))</f>
        <v/>
      </c>
      <c r="Q413" s="18">
        <f>IF($Z413="","",IF(AND(DATE($AD413,8,1)&gt;=$AE413,DATE($AD413,8,1)&lt;=$AF413),ROUND($AG413,2),0))</f>
        <v/>
      </c>
      <c r="R413" s="18">
        <f>IF($Z413="","",IF(AND(DATE($AD413,9,1)&gt;=$AE413,DATE($AD413,9,1)&lt;=$AF413),ROUND($AG413,2),0))</f>
        <v/>
      </c>
      <c r="S413" s="18">
        <f>IF($Z413="","",IF(AND(DATE($AD413,10,1)&gt;=$AE413,DATE($AD413,10,1)&lt;=$AF413),ROUND($AG413,2),0))</f>
        <v/>
      </c>
      <c r="T413" s="18">
        <f>IF($Z413="","",IF(AND(DATE($AD413,11,1)&gt;=$AE413,DATE($AD413,11,1)&lt;=$AF413),ROUND($AG413,2),0))</f>
        <v/>
      </c>
      <c r="U413" s="18">
        <f>IF($Z413="","",IF(AND(DATE($AD413,12,1)&gt;=$AE413,DATE($AD413,12,1)&lt;=$AF413),ROUND($AG413,2),0))</f>
        <v/>
      </c>
      <c r="V413" s="7">
        <f>IF($Z413="C","Generated from "&amp;INDEX(Contracts!$A$2:$A$151,$AB413),IF($Z413="A","Generated from "&amp;INDEX(Fixed_Assets!$A$2:$A$201,$AB413),IF($Z413="F","Generated from "&amp;INDEX(FTE_Allocation!$A$2:$A$201,$AB413),"")))</f>
        <v/>
      </c>
      <c r="X413" s="19">
        <f>IF($Z413="","",SUM(J413:U413))</f>
        <v/>
      </c>
      <c r="Y413" s="20">
        <f>ROW()-1</f>
        <v/>
      </c>
      <c r="Z413" s="20">
        <f>IF($Y413&lt;=Settings!$B$4*3,"C",IF($Y413&lt;=(Settings!$B$4+Settings!$B$5)*3,"A",IF($Y413&lt;=(Settings!$B$4+Settings!$B$5+Settings!$B$6)*3,"F","")))</f>
        <v/>
      </c>
      <c r="AA413" s="20">
        <f>IF($Z413="C",$Y413,IF($Z413="A",$Y413-Settings!$B$4*3,IF($Z413="F",$Y413-(Settings!$B$4+Settings!$B$5)*3,"")))</f>
        <v/>
      </c>
      <c r="AB413" s="20">
        <f>IF($Z413="","",INT(($AA413-1)/3)+1)</f>
        <v/>
      </c>
      <c r="AC413" s="20">
        <f>IF($Z413="","",MOD($AA413-1,3)+1)</f>
        <v/>
      </c>
      <c r="AD413" s="20">
        <f>IF($Z413="","",Settings!$B$2+$AC413-1)</f>
        <v/>
      </c>
      <c r="AE413" s="21">
        <f>IF($Z413="C",DATE(YEAR(INDEX(Contracts!$J$2:$J$151,$AB413)),MONTH(INDEX(Contracts!$J$2:$J$151,$AB413)),1),IF($Z413="A",DATE(YEAR(INDEX(Fixed_Assets!$G$2:$G$201,$AB413)),MONTH(INDEX(Fixed_Assets!$G$2:$G$201,$AB413)),1),IF($Z413="F",DATE(YEAR(MAX(N(INDEX(Workforce!$I$2:$I$151,MATCH(INDEX(FTE_Allocation!$A$2:$A$201,$AB413),Workforce!$A$2:$A$151,0))),N(INDEX(FTE_Allocation!$I$2:$I$201,$AB413)))),MONTH(MAX(N(INDEX(Workforce!$I$2:$I$151,MATCH(INDEX(FTE_Allocation!$A$2:$A$201,$AB413),Workforce!$A$2:$A$151,0))),N(INDEX(FTE_Allocation!$I$2:$I$201,$AB413)))),1),"")))</f>
        <v/>
      </c>
      <c r="AF413" s="21">
        <f>IF($Z413="C",IF(INDEX(Contracts!$I$2:$I$151,$AB413)="PREPAID",EDATE(DATE(YEAR(INDEX(Contracts!$J$2:$J$151,$AB413)),MONTH(INDEX(Contracts!$J$2:$J$151,$AB413)),1),IF(INDEX(Contracts!$N$2:$N$151,$AB413)="",12,INDEX(Contracts!$N$2:$N$151,$AB413))-1),IF(INDEX(Contracts!$I$2:$I$151,$AB413)="MONTHLY",IF(INDEX(Contracts!$K$2:$K$151,$AB413)="",2958101,INDEX(Contracts!$K$2:$K$151,$AB413)),0)),IF($Z413="A",EDATE(DATE(YEAR(INDEX(Fixed_Assets!$G$2:$G$201,$AB413)),MONTH(INDEX(Fixed_Assets!$G$2:$G$201,$AB413)),1),INDEX(Fixed_Assets!$J$2:$J$201,$AB413)-1),IF($Z413="F",MIN(IF(INDEX(Workforce!$J$2:$J$151,MATCH(INDEX(FTE_Allocation!$A$2:$A$201,$AB413),Workforce!$A$2:$A$151,0))="",2958101,INDEX(Workforce!$J$2:$J$151,MATCH(INDEX(FTE_Allocation!$A$2:$A$201,$AB413),Workforce!$A$2:$A$151,0))),IF(INDEX(FTE_Allocation!$J$2:$J$201,$AB413)="",2958101,INDEX(FTE_Allocation!$J$2:$J$201,$AB413))),"")))</f>
        <v/>
      </c>
      <c r="AG413" s="19">
        <f>IF($Z413="C",IF(INDEX(Contracts!$I$2:$I$151,$AB413)="PREPAID",INDEX(Contracts!$M$2:$M$151,$AB413)/IF(INDEX(Contracts!$N$2:$N$151,$AB413)="",12,INDEX(Contracts!$N$2:$N$151,$AB413)),IF(INDEX(Contracts!$I$2:$I$151,$AB413)="MONTHLY",INDEX(Contracts!$M$2:$M$151,$AB413),0))*(1-N(INDEX(Contracts!$O$2:$O$151,$AB413))),IF($Z413="A",INDEX(Fixed_Assets!$H$2:$H$201,$AB413)/INDEX(Fixed_Assets!$J$2:$J$201,$AB413),IF($Z413="F",INDEX(Workforce!$F$2:$F$151,MATCH(INDEX(FTE_Allocation!$A$2:$A$201,$AB413),Workforce!$A$2:$A$151,0))*N(INDEX(FTE_Allocation!$F$2:$H$201,$AB413,$AC413)),"")))</f>
        <v/>
      </c>
    </row>
    <row r="414">
      <c r="A414" s="7">
        <f>IF($Z414="","",$AD414)</f>
        <v/>
      </c>
      <c r="B414" s="7">
        <f>IF($Z414="C",INDEX(Contracts!$D$2:$D$151,$AB414)&amp;"",IF($Z414="A",INDEX(Fixed_Assets!$C$2:$C$201,$AB414)&amp;"",IF($Z414="F",INDEX(Workforce!$B$2:$B$151,MATCH(INDEX(FTE_Allocation!$A$2:$A$201,$AB414),Workforce!$A$2:$A$151,0))&amp;"","")))</f>
        <v/>
      </c>
      <c r="C414" s="7">
        <f>IF($Z414="C",INDEX(Contracts!$E$2:$E$151,$AB414)&amp;"",IF($Z414="A",INDEX(Fixed_Assets!$D$2:$D$201,$AB414)&amp;"",IF($Z414="F",INDEX(FTE_Allocation!$C$2:$C$201,$AB414)&amp;"","")))</f>
        <v/>
      </c>
      <c r="D414" s="7">
        <f>IF($Z414="C",INDEX(Contracts!$B$2:$B$151,$AB414)&amp;"",IF($Z414="A",INDEX(Fixed_Assets!$B$2:$B$201,$AB414)&amp;"",IF($Z414="F",INDEX(FTE_Allocation!$B$2:$B$201,$AB414)&amp;"","")))</f>
        <v/>
      </c>
      <c r="E414" s="7">
        <f>IF($Z414="C",INDEX(Contracts!$P$2:$P$151,$AB414)&amp;"",IF($Z414="A",INDEX(Fixed_Assets!$K$2:$K$201,$AB414)&amp;"",IF($Z414="F",IF(INDEX(FTE_Allocation!$D$2:$D$201,$AB414)="PROJECT",IFERROR(INDEX(Projects!$D:$D,MATCH(INDEX(FTE_Allocation!$E$2:$E$201,$AB414),Projects!$A:$A,0))&amp;"","#PROJECT?"),INDEX(FTE_Allocation!$E$2:$E$201,$AB414)&amp;""),"")))</f>
        <v/>
      </c>
      <c r="F414" s="7">
        <f>IF($Z414="C",INDEX(Contracts!$Q$2:$Q$151,$AB414)&amp;"",IF($Z414="A",INDEX(Fixed_Assets!$L$2:$L$201,$AB414)&amp;"",IF($Z414="F",INDEX(Workforce!$K$2:$K$151,MATCH(INDEX(FTE_Allocation!$A$2:$A$201,$AB414),Workforce!$A$2:$A$151,0))&amp;"","")))</f>
        <v/>
      </c>
      <c r="G414" s="7">
        <f>IF($Z414="C",INDEX(Contracts!$F$2:$F$151,$AB414)&amp;" / "&amp;INDEX(Contracts!$G$2:$G$151,$AB414),IF($Z414="A",INDEX(Fixed_Assets!$E$2:$E$201,$AB414)&amp;"",IF($Z414="F","Personnel "&amp;INDEX(FTE_Allocation!$A$2:$A$201,$AB414)&amp;IF(INDEX(FTE_Allocation!$D$2:$D$201,$AB414)="PROJECT"," ("&amp;INDEX(FTE_Allocation!$E$2:$E$201,$AB414)&amp;")",""),"")))</f>
        <v/>
      </c>
      <c r="H414" s="7">
        <f>IF($Z414="C","CONTRACT",IF($Z414="A","ASSET",IF($Z414="F","WORKFORCE","")))</f>
        <v/>
      </c>
      <c r="I414" s="7">
        <f>IF($Z414="C",INDEX(Contracts!$L$2:$L$151,$AB414)&amp;"",IF($Z414="A",INDEX(Fixed_Assets!$I$2:$I$201,$AB414)&amp;"",IF($Z414="F",INDEX(Workforce!$G$2:$G$151,MATCH(INDEX(FTE_Allocation!$A$2:$A$201,$AB414),Workforce!$A$2:$A$151,0))&amp;"","")))</f>
        <v/>
      </c>
      <c r="J414" s="18">
        <f>IF($Z414="","",IF(AND(DATE($AD414,1,1)&gt;=$AE414,DATE($AD414,1,1)&lt;=$AF414),ROUND($AG414,2),0))</f>
        <v/>
      </c>
      <c r="K414" s="18">
        <f>IF($Z414="","",IF(AND(DATE($AD414,2,1)&gt;=$AE414,DATE($AD414,2,1)&lt;=$AF414),ROUND($AG414,2),0))</f>
        <v/>
      </c>
      <c r="L414" s="18">
        <f>IF($Z414="","",IF(AND(DATE($AD414,3,1)&gt;=$AE414,DATE($AD414,3,1)&lt;=$AF414),ROUND($AG414,2),0))</f>
        <v/>
      </c>
      <c r="M414" s="18">
        <f>IF($Z414="","",IF(AND(DATE($AD414,4,1)&gt;=$AE414,DATE($AD414,4,1)&lt;=$AF414),ROUND($AG414,2),0))</f>
        <v/>
      </c>
      <c r="N414" s="18">
        <f>IF($Z414="","",IF(AND(DATE($AD414,5,1)&gt;=$AE414,DATE($AD414,5,1)&lt;=$AF414),ROUND($AG414,2),0))</f>
        <v/>
      </c>
      <c r="O414" s="18">
        <f>IF($Z414="","",IF(AND(DATE($AD414,6,1)&gt;=$AE414,DATE($AD414,6,1)&lt;=$AF414),ROUND($AG414,2),0))</f>
        <v/>
      </c>
      <c r="P414" s="18">
        <f>IF($Z414="","",IF(AND(DATE($AD414,7,1)&gt;=$AE414,DATE($AD414,7,1)&lt;=$AF414),ROUND($AG414,2),0))</f>
        <v/>
      </c>
      <c r="Q414" s="18">
        <f>IF($Z414="","",IF(AND(DATE($AD414,8,1)&gt;=$AE414,DATE($AD414,8,1)&lt;=$AF414),ROUND($AG414,2),0))</f>
        <v/>
      </c>
      <c r="R414" s="18">
        <f>IF($Z414="","",IF(AND(DATE($AD414,9,1)&gt;=$AE414,DATE($AD414,9,1)&lt;=$AF414),ROUND($AG414,2),0))</f>
        <v/>
      </c>
      <c r="S414" s="18">
        <f>IF($Z414="","",IF(AND(DATE($AD414,10,1)&gt;=$AE414,DATE($AD414,10,1)&lt;=$AF414),ROUND($AG414,2),0))</f>
        <v/>
      </c>
      <c r="T414" s="18">
        <f>IF($Z414="","",IF(AND(DATE($AD414,11,1)&gt;=$AE414,DATE($AD414,11,1)&lt;=$AF414),ROUND($AG414,2),0))</f>
        <v/>
      </c>
      <c r="U414" s="18">
        <f>IF($Z414="","",IF(AND(DATE($AD414,12,1)&gt;=$AE414,DATE($AD414,12,1)&lt;=$AF414),ROUND($AG414,2),0))</f>
        <v/>
      </c>
      <c r="V414" s="7">
        <f>IF($Z414="C","Generated from "&amp;INDEX(Contracts!$A$2:$A$151,$AB414),IF($Z414="A","Generated from "&amp;INDEX(Fixed_Assets!$A$2:$A$201,$AB414),IF($Z414="F","Generated from "&amp;INDEX(FTE_Allocation!$A$2:$A$201,$AB414),"")))</f>
        <v/>
      </c>
      <c r="X414" s="19">
        <f>IF($Z414="","",SUM(J414:U414))</f>
        <v/>
      </c>
      <c r="Y414" s="20">
        <f>ROW()-1</f>
        <v/>
      </c>
      <c r="Z414" s="20">
        <f>IF($Y414&lt;=Settings!$B$4*3,"C",IF($Y414&lt;=(Settings!$B$4+Settings!$B$5)*3,"A",IF($Y414&lt;=(Settings!$B$4+Settings!$B$5+Settings!$B$6)*3,"F","")))</f>
        <v/>
      </c>
      <c r="AA414" s="20">
        <f>IF($Z414="C",$Y414,IF($Z414="A",$Y414-Settings!$B$4*3,IF($Z414="F",$Y414-(Settings!$B$4+Settings!$B$5)*3,"")))</f>
        <v/>
      </c>
      <c r="AB414" s="20">
        <f>IF($Z414="","",INT(($AA414-1)/3)+1)</f>
        <v/>
      </c>
      <c r="AC414" s="20">
        <f>IF($Z414="","",MOD($AA414-1,3)+1)</f>
        <v/>
      </c>
      <c r="AD414" s="20">
        <f>IF($Z414="","",Settings!$B$2+$AC414-1)</f>
        <v/>
      </c>
      <c r="AE414" s="21">
        <f>IF($Z414="C",DATE(YEAR(INDEX(Contracts!$J$2:$J$151,$AB414)),MONTH(INDEX(Contracts!$J$2:$J$151,$AB414)),1),IF($Z414="A",DATE(YEAR(INDEX(Fixed_Assets!$G$2:$G$201,$AB414)),MONTH(INDEX(Fixed_Assets!$G$2:$G$201,$AB414)),1),IF($Z414="F",DATE(YEAR(MAX(N(INDEX(Workforce!$I$2:$I$151,MATCH(INDEX(FTE_Allocation!$A$2:$A$201,$AB414),Workforce!$A$2:$A$151,0))),N(INDEX(FTE_Allocation!$I$2:$I$201,$AB414)))),MONTH(MAX(N(INDEX(Workforce!$I$2:$I$151,MATCH(INDEX(FTE_Allocation!$A$2:$A$201,$AB414),Workforce!$A$2:$A$151,0))),N(INDEX(FTE_Allocation!$I$2:$I$201,$AB414)))),1),"")))</f>
        <v/>
      </c>
      <c r="AF414" s="21">
        <f>IF($Z414="C",IF(INDEX(Contracts!$I$2:$I$151,$AB414)="PREPAID",EDATE(DATE(YEAR(INDEX(Contracts!$J$2:$J$151,$AB414)),MONTH(INDEX(Contracts!$J$2:$J$151,$AB414)),1),IF(INDEX(Contracts!$N$2:$N$151,$AB414)="",12,INDEX(Contracts!$N$2:$N$151,$AB414))-1),IF(INDEX(Contracts!$I$2:$I$151,$AB414)="MONTHLY",IF(INDEX(Contracts!$K$2:$K$151,$AB414)="",2958101,INDEX(Contracts!$K$2:$K$151,$AB414)),0)),IF($Z414="A",EDATE(DATE(YEAR(INDEX(Fixed_Assets!$G$2:$G$201,$AB414)),MONTH(INDEX(Fixed_Assets!$G$2:$G$201,$AB414)),1),INDEX(Fixed_Assets!$J$2:$J$201,$AB414)-1),IF($Z414="F",MIN(IF(INDEX(Workforce!$J$2:$J$151,MATCH(INDEX(FTE_Allocation!$A$2:$A$201,$AB414),Workforce!$A$2:$A$151,0))="",2958101,INDEX(Workforce!$J$2:$J$151,MATCH(INDEX(FTE_Allocation!$A$2:$A$201,$AB414),Workforce!$A$2:$A$151,0))),IF(INDEX(FTE_Allocation!$J$2:$J$201,$AB414)="",2958101,INDEX(FTE_Allocation!$J$2:$J$201,$AB414))),"")))</f>
        <v/>
      </c>
      <c r="AG414" s="19">
        <f>IF($Z414="C",IF(INDEX(Contracts!$I$2:$I$151,$AB414)="PREPAID",INDEX(Contracts!$M$2:$M$151,$AB414)/IF(INDEX(Contracts!$N$2:$N$151,$AB414)="",12,INDEX(Contracts!$N$2:$N$151,$AB414)),IF(INDEX(Contracts!$I$2:$I$151,$AB414)="MONTHLY",INDEX(Contracts!$M$2:$M$151,$AB414),0))*(1-N(INDEX(Contracts!$O$2:$O$151,$AB414))),IF($Z414="A",INDEX(Fixed_Assets!$H$2:$H$201,$AB414)/INDEX(Fixed_Assets!$J$2:$J$201,$AB414),IF($Z414="F",INDEX(Workforce!$F$2:$F$151,MATCH(INDEX(FTE_Allocation!$A$2:$A$201,$AB414),Workforce!$A$2:$A$151,0))*N(INDEX(FTE_Allocation!$F$2:$H$201,$AB414,$AC414)),"")))</f>
        <v/>
      </c>
    </row>
    <row r="415">
      <c r="A415" s="7">
        <f>IF($Z415="","",$AD415)</f>
        <v/>
      </c>
      <c r="B415" s="7">
        <f>IF($Z415="C",INDEX(Contracts!$D$2:$D$151,$AB415)&amp;"",IF($Z415="A",INDEX(Fixed_Assets!$C$2:$C$201,$AB415)&amp;"",IF($Z415="F",INDEX(Workforce!$B$2:$B$151,MATCH(INDEX(FTE_Allocation!$A$2:$A$201,$AB415),Workforce!$A$2:$A$151,0))&amp;"","")))</f>
        <v/>
      </c>
      <c r="C415" s="7">
        <f>IF($Z415="C",INDEX(Contracts!$E$2:$E$151,$AB415)&amp;"",IF($Z415="A",INDEX(Fixed_Assets!$D$2:$D$201,$AB415)&amp;"",IF($Z415="F",INDEX(FTE_Allocation!$C$2:$C$201,$AB415)&amp;"","")))</f>
        <v/>
      </c>
      <c r="D415" s="7">
        <f>IF($Z415="C",INDEX(Contracts!$B$2:$B$151,$AB415)&amp;"",IF($Z415="A",INDEX(Fixed_Assets!$B$2:$B$201,$AB415)&amp;"",IF($Z415="F",INDEX(FTE_Allocation!$B$2:$B$201,$AB415)&amp;"","")))</f>
        <v/>
      </c>
      <c r="E415" s="7">
        <f>IF($Z415="C",INDEX(Contracts!$P$2:$P$151,$AB415)&amp;"",IF($Z415="A",INDEX(Fixed_Assets!$K$2:$K$201,$AB415)&amp;"",IF($Z415="F",IF(INDEX(FTE_Allocation!$D$2:$D$201,$AB415)="PROJECT",IFERROR(INDEX(Projects!$D:$D,MATCH(INDEX(FTE_Allocation!$E$2:$E$201,$AB415),Projects!$A:$A,0))&amp;"","#PROJECT?"),INDEX(FTE_Allocation!$E$2:$E$201,$AB415)&amp;""),"")))</f>
        <v/>
      </c>
      <c r="F415" s="7">
        <f>IF($Z415="C",INDEX(Contracts!$Q$2:$Q$151,$AB415)&amp;"",IF($Z415="A",INDEX(Fixed_Assets!$L$2:$L$201,$AB415)&amp;"",IF($Z415="F",INDEX(Workforce!$K$2:$K$151,MATCH(INDEX(FTE_Allocation!$A$2:$A$201,$AB415),Workforce!$A$2:$A$151,0))&amp;"","")))</f>
        <v/>
      </c>
      <c r="G415" s="7">
        <f>IF($Z415="C",INDEX(Contracts!$F$2:$F$151,$AB415)&amp;" / "&amp;INDEX(Contracts!$G$2:$G$151,$AB415),IF($Z415="A",INDEX(Fixed_Assets!$E$2:$E$201,$AB415)&amp;"",IF($Z415="F","Personnel "&amp;INDEX(FTE_Allocation!$A$2:$A$201,$AB415)&amp;IF(INDEX(FTE_Allocation!$D$2:$D$201,$AB415)="PROJECT"," ("&amp;INDEX(FTE_Allocation!$E$2:$E$201,$AB415)&amp;")",""),"")))</f>
        <v/>
      </c>
      <c r="H415" s="7">
        <f>IF($Z415="C","CONTRACT",IF($Z415="A","ASSET",IF($Z415="F","WORKFORCE","")))</f>
        <v/>
      </c>
      <c r="I415" s="7">
        <f>IF($Z415="C",INDEX(Contracts!$L$2:$L$151,$AB415)&amp;"",IF($Z415="A",INDEX(Fixed_Assets!$I$2:$I$201,$AB415)&amp;"",IF($Z415="F",INDEX(Workforce!$G$2:$G$151,MATCH(INDEX(FTE_Allocation!$A$2:$A$201,$AB415),Workforce!$A$2:$A$151,0))&amp;"","")))</f>
        <v/>
      </c>
      <c r="J415" s="18">
        <f>IF($Z415="","",IF(AND(DATE($AD415,1,1)&gt;=$AE415,DATE($AD415,1,1)&lt;=$AF415),ROUND($AG415,2),0))</f>
        <v/>
      </c>
      <c r="K415" s="18">
        <f>IF($Z415="","",IF(AND(DATE($AD415,2,1)&gt;=$AE415,DATE($AD415,2,1)&lt;=$AF415),ROUND($AG415,2),0))</f>
        <v/>
      </c>
      <c r="L415" s="18">
        <f>IF($Z415="","",IF(AND(DATE($AD415,3,1)&gt;=$AE415,DATE($AD415,3,1)&lt;=$AF415),ROUND($AG415,2),0))</f>
        <v/>
      </c>
      <c r="M415" s="18">
        <f>IF($Z415="","",IF(AND(DATE($AD415,4,1)&gt;=$AE415,DATE($AD415,4,1)&lt;=$AF415),ROUND($AG415,2),0))</f>
        <v/>
      </c>
      <c r="N415" s="18">
        <f>IF($Z415="","",IF(AND(DATE($AD415,5,1)&gt;=$AE415,DATE($AD415,5,1)&lt;=$AF415),ROUND($AG415,2),0))</f>
        <v/>
      </c>
      <c r="O415" s="18">
        <f>IF($Z415="","",IF(AND(DATE($AD415,6,1)&gt;=$AE415,DATE($AD415,6,1)&lt;=$AF415),ROUND($AG415,2),0))</f>
        <v/>
      </c>
      <c r="P415" s="18">
        <f>IF($Z415="","",IF(AND(DATE($AD415,7,1)&gt;=$AE415,DATE($AD415,7,1)&lt;=$AF415),ROUND($AG415,2),0))</f>
        <v/>
      </c>
      <c r="Q415" s="18">
        <f>IF($Z415="","",IF(AND(DATE($AD415,8,1)&gt;=$AE415,DATE($AD415,8,1)&lt;=$AF415),ROUND($AG415,2),0))</f>
        <v/>
      </c>
      <c r="R415" s="18">
        <f>IF($Z415="","",IF(AND(DATE($AD415,9,1)&gt;=$AE415,DATE($AD415,9,1)&lt;=$AF415),ROUND($AG415,2),0))</f>
        <v/>
      </c>
      <c r="S415" s="18">
        <f>IF($Z415="","",IF(AND(DATE($AD415,10,1)&gt;=$AE415,DATE($AD415,10,1)&lt;=$AF415),ROUND($AG415,2),0))</f>
        <v/>
      </c>
      <c r="T415" s="18">
        <f>IF($Z415="","",IF(AND(DATE($AD415,11,1)&gt;=$AE415,DATE($AD415,11,1)&lt;=$AF415),ROUND($AG415,2),0))</f>
        <v/>
      </c>
      <c r="U415" s="18">
        <f>IF($Z415="","",IF(AND(DATE($AD415,12,1)&gt;=$AE415,DATE($AD415,12,1)&lt;=$AF415),ROUND($AG415,2),0))</f>
        <v/>
      </c>
      <c r="V415" s="7">
        <f>IF($Z415="C","Generated from "&amp;INDEX(Contracts!$A$2:$A$151,$AB415),IF($Z415="A","Generated from "&amp;INDEX(Fixed_Assets!$A$2:$A$201,$AB415),IF($Z415="F","Generated from "&amp;INDEX(FTE_Allocation!$A$2:$A$201,$AB415),"")))</f>
        <v/>
      </c>
      <c r="X415" s="19">
        <f>IF($Z415="","",SUM(J415:U415))</f>
        <v/>
      </c>
      <c r="Y415" s="20">
        <f>ROW()-1</f>
        <v/>
      </c>
      <c r="Z415" s="20">
        <f>IF($Y415&lt;=Settings!$B$4*3,"C",IF($Y415&lt;=(Settings!$B$4+Settings!$B$5)*3,"A",IF($Y415&lt;=(Settings!$B$4+Settings!$B$5+Settings!$B$6)*3,"F","")))</f>
        <v/>
      </c>
      <c r="AA415" s="20">
        <f>IF($Z415="C",$Y415,IF($Z415="A",$Y415-Settings!$B$4*3,IF($Z415="F",$Y415-(Settings!$B$4+Settings!$B$5)*3,"")))</f>
        <v/>
      </c>
      <c r="AB415" s="20">
        <f>IF($Z415="","",INT(($AA415-1)/3)+1)</f>
        <v/>
      </c>
      <c r="AC415" s="20">
        <f>IF($Z415="","",MOD($AA415-1,3)+1)</f>
        <v/>
      </c>
      <c r="AD415" s="20">
        <f>IF($Z415="","",Settings!$B$2+$AC415-1)</f>
        <v/>
      </c>
      <c r="AE415" s="21">
        <f>IF($Z415="C",DATE(YEAR(INDEX(Contracts!$J$2:$J$151,$AB415)),MONTH(INDEX(Contracts!$J$2:$J$151,$AB415)),1),IF($Z415="A",DATE(YEAR(INDEX(Fixed_Assets!$G$2:$G$201,$AB415)),MONTH(INDEX(Fixed_Assets!$G$2:$G$201,$AB415)),1),IF($Z415="F",DATE(YEAR(MAX(N(INDEX(Workforce!$I$2:$I$151,MATCH(INDEX(FTE_Allocation!$A$2:$A$201,$AB415),Workforce!$A$2:$A$151,0))),N(INDEX(FTE_Allocation!$I$2:$I$201,$AB415)))),MONTH(MAX(N(INDEX(Workforce!$I$2:$I$151,MATCH(INDEX(FTE_Allocation!$A$2:$A$201,$AB415),Workforce!$A$2:$A$151,0))),N(INDEX(FTE_Allocation!$I$2:$I$201,$AB415)))),1),"")))</f>
        <v/>
      </c>
      <c r="AF415" s="21">
        <f>IF($Z415="C",IF(INDEX(Contracts!$I$2:$I$151,$AB415)="PREPAID",EDATE(DATE(YEAR(INDEX(Contracts!$J$2:$J$151,$AB415)),MONTH(INDEX(Contracts!$J$2:$J$151,$AB415)),1),IF(INDEX(Contracts!$N$2:$N$151,$AB415)="",12,INDEX(Contracts!$N$2:$N$151,$AB415))-1),IF(INDEX(Contracts!$I$2:$I$151,$AB415)="MONTHLY",IF(INDEX(Contracts!$K$2:$K$151,$AB415)="",2958101,INDEX(Contracts!$K$2:$K$151,$AB415)),0)),IF($Z415="A",EDATE(DATE(YEAR(INDEX(Fixed_Assets!$G$2:$G$201,$AB415)),MONTH(INDEX(Fixed_Assets!$G$2:$G$201,$AB415)),1),INDEX(Fixed_Assets!$J$2:$J$201,$AB415)-1),IF($Z415="F",MIN(IF(INDEX(Workforce!$J$2:$J$151,MATCH(INDEX(FTE_Allocation!$A$2:$A$201,$AB415),Workforce!$A$2:$A$151,0))="",2958101,INDEX(Workforce!$J$2:$J$151,MATCH(INDEX(FTE_Allocation!$A$2:$A$201,$AB415),Workforce!$A$2:$A$151,0))),IF(INDEX(FTE_Allocation!$J$2:$J$201,$AB415)="",2958101,INDEX(FTE_Allocation!$J$2:$J$201,$AB415))),"")))</f>
        <v/>
      </c>
      <c r="AG415" s="19">
        <f>IF($Z415="C",IF(INDEX(Contracts!$I$2:$I$151,$AB415)="PREPAID",INDEX(Contracts!$M$2:$M$151,$AB415)/IF(INDEX(Contracts!$N$2:$N$151,$AB415)="",12,INDEX(Contracts!$N$2:$N$151,$AB415)),IF(INDEX(Contracts!$I$2:$I$151,$AB415)="MONTHLY",INDEX(Contracts!$M$2:$M$151,$AB415),0))*(1-N(INDEX(Contracts!$O$2:$O$151,$AB415))),IF($Z415="A",INDEX(Fixed_Assets!$H$2:$H$201,$AB415)/INDEX(Fixed_Assets!$J$2:$J$201,$AB415),IF($Z415="F",INDEX(Workforce!$F$2:$F$151,MATCH(INDEX(FTE_Allocation!$A$2:$A$201,$AB415),Workforce!$A$2:$A$151,0))*N(INDEX(FTE_Allocation!$F$2:$H$201,$AB415,$AC415)),"")))</f>
        <v/>
      </c>
    </row>
    <row r="416">
      <c r="A416" s="7">
        <f>IF($Z416="","",$AD416)</f>
        <v/>
      </c>
      <c r="B416" s="7">
        <f>IF($Z416="C",INDEX(Contracts!$D$2:$D$151,$AB416)&amp;"",IF($Z416="A",INDEX(Fixed_Assets!$C$2:$C$201,$AB416)&amp;"",IF($Z416="F",INDEX(Workforce!$B$2:$B$151,MATCH(INDEX(FTE_Allocation!$A$2:$A$201,$AB416),Workforce!$A$2:$A$151,0))&amp;"","")))</f>
        <v/>
      </c>
      <c r="C416" s="7">
        <f>IF($Z416="C",INDEX(Contracts!$E$2:$E$151,$AB416)&amp;"",IF($Z416="A",INDEX(Fixed_Assets!$D$2:$D$201,$AB416)&amp;"",IF($Z416="F",INDEX(FTE_Allocation!$C$2:$C$201,$AB416)&amp;"","")))</f>
        <v/>
      </c>
      <c r="D416" s="7">
        <f>IF($Z416="C",INDEX(Contracts!$B$2:$B$151,$AB416)&amp;"",IF($Z416="A",INDEX(Fixed_Assets!$B$2:$B$201,$AB416)&amp;"",IF($Z416="F",INDEX(FTE_Allocation!$B$2:$B$201,$AB416)&amp;"","")))</f>
        <v/>
      </c>
      <c r="E416" s="7">
        <f>IF($Z416="C",INDEX(Contracts!$P$2:$P$151,$AB416)&amp;"",IF($Z416="A",INDEX(Fixed_Assets!$K$2:$K$201,$AB416)&amp;"",IF($Z416="F",IF(INDEX(FTE_Allocation!$D$2:$D$201,$AB416)="PROJECT",IFERROR(INDEX(Projects!$D:$D,MATCH(INDEX(FTE_Allocation!$E$2:$E$201,$AB416),Projects!$A:$A,0))&amp;"","#PROJECT?"),INDEX(FTE_Allocation!$E$2:$E$201,$AB416)&amp;""),"")))</f>
        <v/>
      </c>
      <c r="F416" s="7">
        <f>IF($Z416="C",INDEX(Contracts!$Q$2:$Q$151,$AB416)&amp;"",IF($Z416="A",INDEX(Fixed_Assets!$L$2:$L$201,$AB416)&amp;"",IF($Z416="F",INDEX(Workforce!$K$2:$K$151,MATCH(INDEX(FTE_Allocation!$A$2:$A$201,$AB416),Workforce!$A$2:$A$151,0))&amp;"","")))</f>
        <v/>
      </c>
      <c r="G416" s="7">
        <f>IF($Z416="C",INDEX(Contracts!$F$2:$F$151,$AB416)&amp;" / "&amp;INDEX(Contracts!$G$2:$G$151,$AB416),IF($Z416="A",INDEX(Fixed_Assets!$E$2:$E$201,$AB416)&amp;"",IF($Z416="F","Personnel "&amp;INDEX(FTE_Allocation!$A$2:$A$201,$AB416)&amp;IF(INDEX(FTE_Allocation!$D$2:$D$201,$AB416)="PROJECT"," ("&amp;INDEX(FTE_Allocation!$E$2:$E$201,$AB416)&amp;")",""),"")))</f>
        <v/>
      </c>
      <c r="H416" s="7">
        <f>IF($Z416="C","CONTRACT",IF($Z416="A","ASSET",IF($Z416="F","WORKFORCE","")))</f>
        <v/>
      </c>
      <c r="I416" s="7">
        <f>IF($Z416="C",INDEX(Contracts!$L$2:$L$151,$AB416)&amp;"",IF($Z416="A",INDEX(Fixed_Assets!$I$2:$I$201,$AB416)&amp;"",IF($Z416="F",INDEX(Workforce!$G$2:$G$151,MATCH(INDEX(FTE_Allocation!$A$2:$A$201,$AB416),Workforce!$A$2:$A$151,0))&amp;"","")))</f>
        <v/>
      </c>
      <c r="J416" s="18">
        <f>IF($Z416="","",IF(AND(DATE($AD416,1,1)&gt;=$AE416,DATE($AD416,1,1)&lt;=$AF416),ROUND($AG416,2),0))</f>
        <v/>
      </c>
      <c r="K416" s="18">
        <f>IF($Z416="","",IF(AND(DATE($AD416,2,1)&gt;=$AE416,DATE($AD416,2,1)&lt;=$AF416),ROUND($AG416,2),0))</f>
        <v/>
      </c>
      <c r="L416" s="18">
        <f>IF($Z416="","",IF(AND(DATE($AD416,3,1)&gt;=$AE416,DATE($AD416,3,1)&lt;=$AF416),ROUND($AG416,2),0))</f>
        <v/>
      </c>
      <c r="M416" s="18">
        <f>IF($Z416="","",IF(AND(DATE($AD416,4,1)&gt;=$AE416,DATE($AD416,4,1)&lt;=$AF416),ROUND($AG416,2),0))</f>
        <v/>
      </c>
      <c r="N416" s="18">
        <f>IF($Z416="","",IF(AND(DATE($AD416,5,1)&gt;=$AE416,DATE($AD416,5,1)&lt;=$AF416),ROUND($AG416,2),0))</f>
        <v/>
      </c>
      <c r="O416" s="18">
        <f>IF($Z416="","",IF(AND(DATE($AD416,6,1)&gt;=$AE416,DATE($AD416,6,1)&lt;=$AF416),ROUND($AG416,2),0))</f>
        <v/>
      </c>
      <c r="P416" s="18">
        <f>IF($Z416="","",IF(AND(DATE($AD416,7,1)&gt;=$AE416,DATE($AD416,7,1)&lt;=$AF416),ROUND($AG416,2),0))</f>
        <v/>
      </c>
      <c r="Q416" s="18">
        <f>IF($Z416="","",IF(AND(DATE($AD416,8,1)&gt;=$AE416,DATE($AD416,8,1)&lt;=$AF416),ROUND($AG416,2),0))</f>
        <v/>
      </c>
      <c r="R416" s="18">
        <f>IF($Z416="","",IF(AND(DATE($AD416,9,1)&gt;=$AE416,DATE($AD416,9,1)&lt;=$AF416),ROUND($AG416,2),0))</f>
        <v/>
      </c>
      <c r="S416" s="18">
        <f>IF($Z416="","",IF(AND(DATE($AD416,10,1)&gt;=$AE416,DATE($AD416,10,1)&lt;=$AF416),ROUND($AG416,2),0))</f>
        <v/>
      </c>
      <c r="T416" s="18">
        <f>IF($Z416="","",IF(AND(DATE($AD416,11,1)&gt;=$AE416,DATE($AD416,11,1)&lt;=$AF416),ROUND($AG416,2),0))</f>
        <v/>
      </c>
      <c r="U416" s="18">
        <f>IF($Z416="","",IF(AND(DATE($AD416,12,1)&gt;=$AE416,DATE($AD416,12,1)&lt;=$AF416),ROUND($AG416,2),0))</f>
        <v/>
      </c>
      <c r="V416" s="7">
        <f>IF($Z416="C","Generated from "&amp;INDEX(Contracts!$A$2:$A$151,$AB416),IF($Z416="A","Generated from "&amp;INDEX(Fixed_Assets!$A$2:$A$201,$AB416),IF($Z416="F","Generated from "&amp;INDEX(FTE_Allocation!$A$2:$A$201,$AB416),"")))</f>
        <v/>
      </c>
      <c r="X416" s="19">
        <f>IF($Z416="","",SUM(J416:U416))</f>
        <v/>
      </c>
      <c r="Y416" s="20">
        <f>ROW()-1</f>
        <v/>
      </c>
      <c r="Z416" s="20">
        <f>IF($Y416&lt;=Settings!$B$4*3,"C",IF($Y416&lt;=(Settings!$B$4+Settings!$B$5)*3,"A",IF($Y416&lt;=(Settings!$B$4+Settings!$B$5+Settings!$B$6)*3,"F","")))</f>
        <v/>
      </c>
      <c r="AA416" s="20">
        <f>IF($Z416="C",$Y416,IF($Z416="A",$Y416-Settings!$B$4*3,IF($Z416="F",$Y416-(Settings!$B$4+Settings!$B$5)*3,"")))</f>
        <v/>
      </c>
      <c r="AB416" s="20">
        <f>IF($Z416="","",INT(($AA416-1)/3)+1)</f>
        <v/>
      </c>
      <c r="AC416" s="20">
        <f>IF($Z416="","",MOD($AA416-1,3)+1)</f>
        <v/>
      </c>
      <c r="AD416" s="20">
        <f>IF($Z416="","",Settings!$B$2+$AC416-1)</f>
        <v/>
      </c>
      <c r="AE416" s="21">
        <f>IF($Z416="C",DATE(YEAR(INDEX(Contracts!$J$2:$J$151,$AB416)),MONTH(INDEX(Contracts!$J$2:$J$151,$AB416)),1),IF($Z416="A",DATE(YEAR(INDEX(Fixed_Assets!$G$2:$G$201,$AB416)),MONTH(INDEX(Fixed_Assets!$G$2:$G$201,$AB416)),1),IF($Z416="F",DATE(YEAR(MAX(N(INDEX(Workforce!$I$2:$I$151,MATCH(INDEX(FTE_Allocation!$A$2:$A$201,$AB416),Workforce!$A$2:$A$151,0))),N(INDEX(FTE_Allocation!$I$2:$I$201,$AB416)))),MONTH(MAX(N(INDEX(Workforce!$I$2:$I$151,MATCH(INDEX(FTE_Allocation!$A$2:$A$201,$AB416),Workforce!$A$2:$A$151,0))),N(INDEX(FTE_Allocation!$I$2:$I$201,$AB416)))),1),"")))</f>
        <v/>
      </c>
      <c r="AF416" s="21">
        <f>IF($Z416="C",IF(INDEX(Contracts!$I$2:$I$151,$AB416)="PREPAID",EDATE(DATE(YEAR(INDEX(Contracts!$J$2:$J$151,$AB416)),MONTH(INDEX(Contracts!$J$2:$J$151,$AB416)),1),IF(INDEX(Contracts!$N$2:$N$151,$AB416)="",12,INDEX(Contracts!$N$2:$N$151,$AB416))-1),IF(INDEX(Contracts!$I$2:$I$151,$AB416)="MONTHLY",IF(INDEX(Contracts!$K$2:$K$151,$AB416)="",2958101,INDEX(Contracts!$K$2:$K$151,$AB416)),0)),IF($Z416="A",EDATE(DATE(YEAR(INDEX(Fixed_Assets!$G$2:$G$201,$AB416)),MONTH(INDEX(Fixed_Assets!$G$2:$G$201,$AB416)),1),INDEX(Fixed_Assets!$J$2:$J$201,$AB416)-1),IF($Z416="F",MIN(IF(INDEX(Workforce!$J$2:$J$151,MATCH(INDEX(FTE_Allocation!$A$2:$A$201,$AB416),Workforce!$A$2:$A$151,0))="",2958101,INDEX(Workforce!$J$2:$J$151,MATCH(INDEX(FTE_Allocation!$A$2:$A$201,$AB416),Workforce!$A$2:$A$151,0))),IF(INDEX(FTE_Allocation!$J$2:$J$201,$AB416)="",2958101,INDEX(FTE_Allocation!$J$2:$J$201,$AB416))),"")))</f>
        <v/>
      </c>
      <c r="AG416" s="19">
        <f>IF($Z416="C",IF(INDEX(Contracts!$I$2:$I$151,$AB416)="PREPAID",INDEX(Contracts!$M$2:$M$151,$AB416)/IF(INDEX(Contracts!$N$2:$N$151,$AB416)="",12,INDEX(Contracts!$N$2:$N$151,$AB416)),IF(INDEX(Contracts!$I$2:$I$151,$AB416)="MONTHLY",INDEX(Contracts!$M$2:$M$151,$AB416),0))*(1-N(INDEX(Contracts!$O$2:$O$151,$AB416))),IF($Z416="A",INDEX(Fixed_Assets!$H$2:$H$201,$AB416)/INDEX(Fixed_Assets!$J$2:$J$201,$AB416),IF($Z416="F",INDEX(Workforce!$F$2:$F$151,MATCH(INDEX(FTE_Allocation!$A$2:$A$201,$AB416),Workforce!$A$2:$A$151,0))*N(INDEX(FTE_Allocation!$F$2:$H$201,$AB416,$AC416)),"")))</f>
        <v/>
      </c>
    </row>
    <row r="417">
      <c r="A417" s="7">
        <f>IF($Z417="","",$AD417)</f>
        <v/>
      </c>
      <c r="B417" s="7">
        <f>IF($Z417="C",INDEX(Contracts!$D$2:$D$151,$AB417)&amp;"",IF($Z417="A",INDEX(Fixed_Assets!$C$2:$C$201,$AB417)&amp;"",IF($Z417="F",INDEX(Workforce!$B$2:$B$151,MATCH(INDEX(FTE_Allocation!$A$2:$A$201,$AB417),Workforce!$A$2:$A$151,0))&amp;"","")))</f>
        <v/>
      </c>
      <c r="C417" s="7">
        <f>IF($Z417="C",INDEX(Contracts!$E$2:$E$151,$AB417)&amp;"",IF($Z417="A",INDEX(Fixed_Assets!$D$2:$D$201,$AB417)&amp;"",IF($Z417="F",INDEX(FTE_Allocation!$C$2:$C$201,$AB417)&amp;"","")))</f>
        <v/>
      </c>
      <c r="D417" s="7">
        <f>IF($Z417="C",INDEX(Contracts!$B$2:$B$151,$AB417)&amp;"",IF($Z417="A",INDEX(Fixed_Assets!$B$2:$B$201,$AB417)&amp;"",IF($Z417="F",INDEX(FTE_Allocation!$B$2:$B$201,$AB417)&amp;"","")))</f>
        <v/>
      </c>
      <c r="E417" s="7">
        <f>IF($Z417="C",INDEX(Contracts!$P$2:$P$151,$AB417)&amp;"",IF($Z417="A",INDEX(Fixed_Assets!$K$2:$K$201,$AB417)&amp;"",IF($Z417="F",IF(INDEX(FTE_Allocation!$D$2:$D$201,$AB417)="PROJECT",IFERROR(INDEX(Projects!$D:$D,MATCH(INDEX(FTE_Allocation!$E$2:$E$201,$AB417),Projects!$A:$A,0))&amp;"","#PROJECT?"),INDEX(FTE_Allocation!$E$2:$E$201,$AB417)&amp;""),"")))</f>
        <v/>
      </c>
      <c r="F417" s="7">
        <f>IF($Z417="C",INDEX(Contracts!$Q$2:$Q$151,$AB417)&amp;"",IF($Z417="A",INDEX(Fixed_Assets!$L$2:$L$201,$AB417)&amp;"",IF($Z417="F",INDEX(Workforce!$K$2:$K$151,MATCH(INDEX(FTE_Allocation!$A$2:$A$201,$AB417),Workforce!$A$2:$A$151,0))&amp;"","")))</f>
        <v/>
      </c>
      <c r="G417" s="7">
        <f>IF($Z417="C",INDEX(Contracts!$F$2:$F$151,$AB417)&amp;" / "&amp;INDEX(Contracts!$G$2:$G$151,$AB417),IF($Z417="A",INDEX(Fixed_Assets!$E$2:$E$201,$AB417)&amp;"",IF($Z417="F","Personnel "&amp;INDEX(FTE_Allocation!$A$2:$A$201,$AB417)&amp;IF(INDEX(FTE_Allocation!$D$2:$D$201,$AB417)="PROJECT"," ("&amp;INDEX(FTE_Allocation!$E$2:$E$201,$AB417)&amp;")",""),"")))</f>
        <v/>
      </c>
      <c r="H417" s="7">
        <f>IF($Z417="C","CONTRACT",IF($Z417="A","ASSET",IF($Z417="F","WORKFORCE","")))</f>
        <v/>
      </c>
      <c r="I417" s="7">
        <f>IF($Z417="C",INDEX(Contracts!$L$2:$L$151,$AB417)&amp;"",IF($Z417="A",INDEX(Fixed_Assets!$I$2:$I$201,$AB417)&amp;"",IF($Z417="F",INDEX(Workforce!$G$2:$G$151,MATCH(INDEX(FTE_Allocation!$A$2:$A$201,$AB417),Workforce!$A$2:$A$151,0))&amp;"","")))</f>
        <v/>
      </c>
      <c r="J417" s="18">
        <f>IF($Z417="","",IF(AND(DATE($AD417,1,1)&gt;=$AE417,DATE($AD417,1,1)&lt;=$AF417),ROUND($AG417,2),0))</f>
        <v/>
      </c>
      <c r="K417" s="18">
        <f>IF($Z417="","",IF(AND(DATE($AD417,2,1)&gt;=$AE417,DATE($AD417,2,1)&lt;=$AF417),ROUND($AG417,2),0))</f>
        <v/>
      </c>
      <c r="L417" s="18">
        <f>IF($Z417="","",IF(AND(DATE($AD417,3,1)&gt;=$AE417,DATE($AD417,3,1)&lt;=$AF417),ROUND($AG417,2),0))</f>
        <v/>
      </c>
      <c r="M417" s="18">
        <f>IF($Z417="","",IF(AND(DATE($AD417,4,1)&gt;=$AE417,DATE($AD417,4,1)&lt;=$AF417),ROUND($AG417,2),0))</f>
        <v/>
      </c>
      <c r="N417" s="18">
        <f>IF($Z417="","",IF(AND(DATE($AD417,5,1)&gt;=$AE417,DATE($AD417,5,1)&lt;=$AF417),ROUND($AG417,2),0))</f>
        <v/>
      </c>
      <c r="O417" s="18">
        <f>IF($Z417="","",IF(AND(DATE($AD417,6,1)&gt;=$AE417,DATE($AD417,6,1)&lt;=$AF417),ROUND($AG417,2),0))</f>
        <v/>
      </c>
      <c r="P417" s="18">
        <f>IF($Z417="","",IF(AND(DATE($AD417,7,1)&gt;=$AE417,DATE($AD417,7,1)&lt;=$AF417),ROUND($AG417,2),0))</f>
        <v/>
      </c>
      <c r="Q417" s="18">
        <f>IF($Z417="","",IF(AND(DATE($AD417,8,1)&gt;=$AE417,DATE($AD417,8,1)&lt;=$AF417),ROUND($AG417,2),0))</f>
        <v/>
      </c>
      <c r="R417" s="18">
        <f>IF($Z417="","",IF(AND(DATE($AD417,9,1)&gt;=$AE417,DATE($AD417,9,1)&lt;=$AF417),ROUND($AG417,2),0))</f>
        <v/>
      </c>
      <c r="S417" s="18">
        <f>IF($Z417="","",IF(AND(DATE($AD417,10,1)&gt;=$AE417,DATE($AD417,10,1)&lt;=$AF417),ROUND($AG417,2),0))</f>
        <v/>
      </c>
      <c r="T417" s="18">
        <f>IF($Z417="","",IF(AND(DATE($AD417,11,1)&gt;=$AE417,DATE($AD417,11,1)&lt;=$AF417),ROUND($AG417,2),0))</f>
        <v/>
      </c>
      <c r="U417" s="18">
        <f>IF($Z417="","",IF(AND(DATE($AD417,12,1)&gt;=$AE417,DATE($AD417,12,1)&lt;=$AF417),ROUND($AG417,2),0))</f>
        <v/>
      </c>
      <c r="V417" s="7">
        <f>IF($Z417="C","Generated from "&amp;INDEX(Contracts!$A$2:$A$151,$AB417),IF($Z417="A","Generated from "&amp;INDEX(Fixed_Assets!$A$2:$A$201,$AB417),IF($Z417="F","Generated from "&amp;INDEX(FTE_Allocation!$A$2:$A$201,$AB417),"")))</f>
        <v/>
      </c>
      <c r="X417" s="19">
        <f>IF($Z417="","",SUM(J417:U417))</f>
        <v/>
      </c>
      <c r="Y417" s="20">
        <f>ROW()-1</f>
        <v/>
      </c>
      <c r="Z417" s="20">
        <f>IF($Y417&lt;=Settings!$B$4*3,"C",IF($Y417&lt;=(Settings!$B$4+Settings!$B$5)*3,"A",IF($Y417&lt;=(Settings!$B$4+Settings!$B$5+Settings!$B$6)*3,"F","")))</f>
        <v/>
      </c>
      <c r="AA417" s="20">
        <f>IF($Z417="C",$Y417,IF($Z417="A",$Y417-Settings!$B$4*3,IF($Z417="F",$Y417-(Settings!$B$4+Settings!$B$5)*3,"")))</f>
        <v/>
      </c>
      <c r="AB417" s="20">
        <f>IF($Z417="","",INT(($AA417-1)/3)+1)</f>
        <v/>
      </c>
      <c r="AC417" s="20">
        <f>IF($Z417="","",MOD($AA417-1,3)+1)</f>
        <v/>
      </c>
      <c r="AD417" s="20">
        <f>IF($Z417="","",Settings!$B$2+$AC417-1)</f>
        <v/>
      </c>
      <c r="AE417" s="21">
        <f>IF($Z417="C",DATE(YEAR(INDEX(Contracts!$J$2:$J$151,$AB417)),MONTH(INDEX(Contracts!$J$2:$J$151,$AB417)),1),IF($Z417="A",DATE(YEAR(INDEX(Fixed_Assets!$G$2:$G$201,$AB417)),MONTH(INDEX(Fixed_Assets!$G$2:$G$201,$AB417)),1),IF($Z417="F",DATE(YEAR(MAX(N(INDEX(Workforce!$I$2:$I$151,MATCH(INDEX(FTE_Allocation!$A$2:$A$201,$AB417),Workforce!$A$2:$A$151,0))),N(INDEX(FTE_Allocation!$I$2:$I$201,$AB417)))),MONTH(MAX(N(INDEX(Workforce!$I$2:$I$151,MATCH(INDEX(FTE_Allocation!$A$2:$A$201,$AB417),Workforce!$A$2:$A$151,0))),N(INDEX(FTE_Allocation!$I$2:$I$201,$AB417)))),1),"")))</f>
        <v/>
      </c>
      <c r="AF417" s="21">
        <f>IF($Z417="C",IF(INDEX(Contracts!$I$2:$I$151,$AB417)="PREPAID",EDATE(DATE(YEAR(INDEX(Contracts!$J$2:$J$151,$AB417)),MONTH(INDEX(Contracts!$J$2:$J$151,$AB417)),1),IF(INDEX(Contracts!$N$2:$N$151,$AB417)="",12,INDEX(Contracts!$N$2:$N$151,$AB417))-1),IF(INDEX(Contracts!$I$2:$I$151,$AB417)="MONTHLY",IF(INDEX(Contracts!$K$2:$K$151,$AB417)="",2958101,INDEX(Contracts!$K$2:$K$151,$AB417)),0)),IF($Z417="A",EDATE(DATE(YEAR(INDEX(Fixed_Assets!$G$2:$G$201,$AB417)),MONTH(INDEX(Fixed_Assets!$G$2:$G$201,$AB417)),1),INDEX(Fixed_Assets!$J$2:$J$201,$AB417)-1),IF($Z417="F",MIN(IF(INDEX(Workforce!$J$2:$J$151,MATCH(INDEX(FTE_Allocation!$A$2:$A$201,$AB417),Workforce!$A$2:$A$151,0))="",2958101,INDEX(Workforce!$J$2:$J$151,MATCH(INDEX(FTE_Allocation!$A$2:$A$201,$AB417),Workforce!$A$2:$A$151,0))),IF(INDEX(FTE_Allocation!$J$2:$J$201,$AB417)="",2958101,INDEX(FTE_Allocation!$J$2:$J$201,$AB417))),"")))</f>
        <v/>
      </c>
      <c r="AG417" s="19">
        <f>IF($Z417="C",IF(INDEX(Contracts!$I$2:$I$151,$AB417)="PREPAID",INDEX(Contracts!$M$2:$M$151,$AB417)/IF(INDEX(Contracts!$N$2:$N$151,$AB417)="",12,INDEX(Contracts!$N$2:$N$151,$AB417)),IF(INDEX(Contracts!$I$2:$I$151,$AB417)="MONTHLY",INDEX(Contracts!$M$2:$M$151,$AB417),0))*(1-N(INDEX(Contracts!$O$2:$O$151,$AB417))),IF($Z417="A",INDEX(Fixed_Assets!$H$2:$H$201,$AB417)/INDEX(Fixed_Assets!$J$2:$J$201,$AB417),IF($Z417="F",INDEX(Workforce!$F$2:$F$151,MATCH(INDEX(FTE_Allocation!$A$2:$A$201,$AB417),Workforce!$A$2:$A$151,0))*N(INDEX(FTE_Allocation!$F$2:$H$201,$AB417,$AC417)),"")))</f>
        <v/>
      </c>
    </row>
    <row r="418">
      <c r="A418" s="7">
        <f>IF($Z418="","",$AD418)</f>
        <v/>
      </c>
      <c r="B418" s="7">
        <f>IF($Z418="C",INDEX(Contracts!$D$2:$D$151,$AB418)&amp;"",IF($Z418="A",INDEX(Fixed_Assets!$C$2:$C$201,$AB418)&amp;"",IF($Z418="F",INDEX(Workforce!$B$2:$B$151,MATCH(INDEX(FTE_Allocation!$A$2:$A$201,$AB418),Workforce!$A$2:$A$151,0))&amp;"","")))</f>
        <v/>
      </c>
      <c r="C418" s="7">
        <f>IF($Z418="C",INDEX(Contracts!$E$2:$E$151,$AB418)&amp;"",IF($Z418="A",INDEX(Fixed_Assets!$D$2:$D$201,$AB418)&amp;"",IF($Z418="F",INDEX(FTE_Allocation!$C$2:$C$201,$AB418)&amp;"","")))</f>
        <v/>
      </c>
      <c r="D418" s="7">
        <f>IF($Z418="C",INDEX(Contracts!$B$2:$B$151,$AB418)&amp;"",IF($Z418="A",INDEX(Fixed_Assets!$B$2:$B$201,$AB418)&amp;"",IF($Z418="F",INDEX(FTE_Allocation!$B$2:$B$201,$AB418)&amp;"","")))</f>
        <v/>
      </c>
      <c r="E418" s="7">
        <f>IF($Z418="C",INDEX(Contracts!$P$2:$P$151,$AB418)&amp;"",IF($Z418="A",INDEX(Fixed_Assets!$K$2:$K$201,$AB418)&amp;"",IF($Z418="F",IF(INDEX(FTE_Allocation!$D$2:$D$201,$AB418)="PROJECT",IFERROR(INDEX(Projects!$D:$D,MATCH(INDEX(FTE_Allocation!$E$2:$E$201,$AB418),Projects!$A:$A,0))&amp;"","#PROJECT?"),INDEX(FTE_Allocation!$E$2:$E$201,$AB418)&amp;""),"")))</f>
        <v/>
      </c>
      <c r="F418" s="7">
        <f>IF($Z418="C",INDEX(Contracts!$Q$2:$Q$151,$AB418)&amp;"",IF($Z418="A",INDEX(Fixed_Assets!$L$2:$L$201,$AB418)&amp;"",IF($Z418="F",INDEX(Workforce!$K$2:$K$151,MATCH(INDEX(FTE_Allocation!$A$2:$A$201,$AB418),Workforce!$A$2:$A$151,0))&amp;"","")))</f>
        <v/>
      </c>
      <c r="G418" s="7">
        <f>IF($Z418="C",INDEX(Contracts!$F$2:$F$151,$AB418)&amp;" / "&amp;INDEX(Contracts!$G$2:$G$151,$AB418),IF($Z418="A",INDEX(Fixed_Assets!$E$2:$E$201,$AB418)&amp;"",IF($Z418="F","Personnel "&amp;INDEX(FTE_Allocation!$A$2:$A$201,$AB418)&amp;IF(INDEX(FTE_Allocation!$D$2:$D$201,$AB418)="PROJECT"," ("&amp;INDEX(FTE_Allocation!$E$2:$E$201,$AB418)&amp;")",""),"")))</f>
        <v/>
      </c>
      <c r="H418" s="7">
        <f>IF($Z418="C","CONTRACT",IF($Z418="A","ASSET",IF($Z418="F","WORKFORCE","")))</f>
        <v/>
      </c>
      <c r="I418" s="7">
        <f>IF($Z418="C",INDEX(Contracts!$L$2:$L$151,$AB418)&amp;"",IF($Z418="A",INDEX(Fixed_Assets!$I$2:$I$201,$AB418)&amp;"",IF($Z418="F",INDEX(Workforce!$G$2:$G$151,MATCH(INDEX(FTE_Allocation!$A$2:$A$201,$AB418),Workforce!$A$2:$A$151,0))&amp;"","")))</f>
        <v/>
      </c>
      <c r="J418" s="18">
        <f>IF($Z418="","",IF(AND(DATE($AD418,1,1)&gt;=$AE418,DATE($AD418,1,1)&lt;=$AF418),ROUND($AG418,2),0))</f>
        <v/>
      </c>
      <c r="K418" s="18">
        <f>IF($Z418="","",IF(AND(DATE($AD418,2,1)&gt;=$AE418,DATE($AD418,2,1)&lt;=$AF418),ROUND($AG418,2),0))</f>
        <v/>
      </c>
      <c r="L418" s="18">
        <f>IF($Z418="","",IF(AND(DATE($AD418,3,1)&gt;=$AE418,DATE($AD418,3,1)&lt;=$AF418),ROUND($AG418,2),0))</f>
        <v/>
      </c>
      <c r="M418" s="18">
        <f>IF($Z418="","",IF(AND(DATE($AD418,4,1)&gt;=$AE418,DATE($AD418,4,1)&lt;=$AF418),ROUND($AG418,2),0))</f>
        <v/>
      </c>
      <c r="N418" s="18">
        <f>IF($Z418="","",IF(AND(DATE($AD418,5,1)&gt;=$AE418,DATE($AD418,5,1)&lt;=$AF418),ROUND($AG418,2),0))</f>
        <v/>
      </c>
      <c r="O418" s="18">
        <f>IF($Z418="","",IF(AND(DATE($AD418,6,1)&gt;=$AE418,DATE($AD418,6,1)&lt;=$AF418),ROUND($AG418,2),0))</f>
        <v/>
      </c>
      <c r="P418" s="18">
        <f>IF($Z418="","",IF(AND(DATE($AD418,7,1)&gt;=$AE418,DATE($AD418,7,1)&lt;=$AF418),ROUND($AG418,2),0))</f>
        <v/>
      </c>
      <c r="Q418" s="18">
        <f>IF($Z418="","",IF(AND(DATE($AD418,8,1)&gt;=$AE418,DATE($AD418,8,1)&lt;=$AF418),ROUND($AG418,2),0))</f>
        <v/>
      </c>
      <c r="R418" s="18">
        <f>IF($Z418="","",IF(AND(DATE($AD418,9,1)&gt;=$AE418,DATE($AD418,9,1)&lt;=$AF418),ROUND($AG418,2),0))</f>
        <v/>
      </c>
      <c r="S418" s="18">
        <f>IF($Z418="","",IF(AND(DATE($AD418,10,1)&gt;=$AE418,DATE($AD418,10,1)&lt;=$AF418),ROUND($AG418,2),0))</f>
        <v/>
      </c>
      <c r="T418" s="18">
        <f>IF($Z418="","",IF(AND(DATE($AD418,11,1)&gt;=$AE418,DATE($AD418,11,1)&lt;=$AF418),ROUND($AG418,2),0))</f>
        <v/>
      </c>
      <c r="U418" s="18">
        <f>IF($Z418="","",IF(AND(DATE($AD418,12,1)&gt;=$AE418,DATE($AD418,12,1)&lt;=$AF418),ROUND($AG418,2),0))</f>
        <v/>
      </c>
      <c r="V418" s="7">
        <f>IF($Z418="C","Generated from "&amp;INDEX(Contracts!$A$2:$A$151,$AB418),IF($Z418="A","Generated from "&amp;INDEX(Fixed_Assets!$A$2:$A$201,$AB418),IF($Z418="F","Generated from "&amp;INDEX(FTE_Allocation!$A$2:$A$201,$AB418),"")))</f>
        <v/>
      </c>
      <c r="X418" s="19">
        <f>IF($Z418="","",SUM(J418:U418))</f>
        <v/>
      </c>
      <c r="Y418" s="20">
        <f>ROW()-1</f>
        <v/>
      </c>
      <c r="Z418" s="20">
        <f>IF($Y418&lt;=Settings!$B$4*3,"C",IF($Y418&lt;=(Settings!$B$4+Settings!$B$5)*3,"A",IF($Y418&lt;=(Settings!$B$4+Settings!$B$5+Settings!$B$6)*3,"F","")))</f>
        <v/>
      </c>
      <c r="AA418" s="20">
        <f>IF($Z418="C",$Y418,IF($Z418="A",$Y418-Settings!$B$4*3,IF($Z418="F",$Y418-(Settings!$B$4+Settings!$B$5)*3,"")))</f>
        <v/>
      </c>
      <c r="AB418" s="20">
        <f>IF($Z418="","",INT(($AA418-1)/3)+1)</f>
        <v/>
      </c>
      <c r="AC418" s="20">
        <f>IF($Z418="","",MOD($AA418-1,3)+1)</f>
        <v/>
      </c>
      <c r="AD418" s="20">
        <f>IF($Z418="","",Settings!$B$2+$AC418-1)</f>
        <v/>
      </c>
      <c r="AE418" s="21">
        <f>IF($Z418="C",DATE(YEAR(INDEX(Contracts!$J$2:$J$151,$AB418)),MONTH(INDEX(Contracts!$J$2:$J$151,$AB418)),1),IF($Z418="A",DATE(YEAR(INDEX(Fixed_Assets!$G$2:$G$201,$AB418)),MONTH(INDEX(Fixed_Assets!$G$2:$G$201,$AB418)),1),IF($Z418="F",DATE(YEAR(MAX(N(INDEX(Workforce!$I$2:$I$151,MATCH(INDEX(FTE_Allocation!$A$2:$A$201,$AB418),Workforce!$A$2:$A$151,0))),N(INDEX(FTE_Allocation!$I$2:$I$201,$AB418)))),MONTH(MAX(N(INDEX(Workforce!$I$2:$I$151,MATCH(INDEX(FTE_Allocation!$A$2:$A$201,$AB418),Workforce!$A$2:$A$151,0))),N(INDEX(FTE_Allocation!$I$2:$I$201,$AB418)))),1),"")))</f>
        <v/>
      </c>
      <c r="AF418" s="21">
        <f>IF($Z418="C",IF(INDEX(Contracts!$I$2:$I$151,$AB418)="PREPAID",EDATE(DATE(YEAR(INDEX(Contracts!$J$2:$J$151,$AB418)),MONTH(INDEX(Contracts!$J$2:$J$151,$AB418)),1),IF(INDEX(Contracts!$N$2:$N$151,$AB418)="",12,INDEX(Contracts!$N$2:$N$151,$AB418))-1),IF(INDEX(Contracts!$I$2:$I$151,$AB418)="MONTHLY",IF(INDEX(Contracts!$K$2:$K$151,$AB418)="",2958101,INDEX(Contracts!$K$2:$K$151,$AB418)),0)),IF($Z418="A",EDATE(DATE(YEAR(INDEX(Fixed_Assets!$G$2:$G$201,$AB418)),MONTH(INDEX(Fixed_Assets!$G$2:$G$201,$AB418)),1),INDEX(Fixed_Assets!$J$2:$J$201,$AB418)-1),IF($Z418="F",MIN(IF(INDEX(Workforce!$J$2:$J$151,MATCH(INDEX(FTE_Allocation!$A$2:$A$201,$AB418),Workforce!$A$2:$A$151,0))="",2958101,INDEX(Workforce!$J$2:$J$151,MATCH(INDEX(FTE_Allocation!$A$2:$A$201,$AB418),Workforce!$A$2:$A$151,0))),IF(INDEX(FTE_Allocation!$J$2:$J$201,$AB418)="",2958101,INDEX(FTE_Allocation!$J$2:$J$201,$AB418))),"")))</f>
        <v/>
      </c>
      <c r="AG418" s="19">
        <f>IF($Z418="C",IF(INDEX(Contracts!$I$2:$I$151,$AB418)="PREPAID",INDEX(Contracts!$M$2:$M$151,$AB418)/IF(INDEX(Contracts!$N$2:$N$151,$AB418)="",12,INDEX(Contracts!$N$2:$N$151,$AB418)),IF(INDEX(Contracts!$I$2:$I$151,$AB418)="MONTHLY",INDEX(Contracts!$M$2:$M$151,$AB418),0))*(1-N(INDEX(Contracts!$O$2:$O$151,$AB418))),IF($Z418="A",INDEX(Fixed_Assets!$H$2:$H$201,$AB418)/INDEX(Fixed_Assets!$J$2:$J$201,$AB418),IF($Z418="F",INDEX(Workforce!$F$2:$F$151,MATCH(INDEX(FTE_Allocation!$A$2:$A$201,$AB418),Workforce!$A$2:$A$151,0))*N(INDEX(FTE_Allocation!$F$2:$H$201,$AB418,$AC418)),"")))</f>
        <v/>
      </c>
    </row>
    <row r="419">
      <c r="A419" s="7">
        <f>IF($Z419="","",$AD419)</f>
        <v/>
      </c>
      <c r="B419" s="7">
        <f>IF($Z419="C",INDEX(Contracts!$D$2:$D$151,$AB419)&amp;"",IF($Z419="A",INDEX(Fixed_Assets!$C$2:$C$201,$AB419)&amp;"",IF($Z419="F",INDEX(Workforce!$B$2:$B$151,MATCH(INDEX(FTE_Allocation!$A$2:$A$201,$AB419),Workforce!$A$2:$A$151,0))&amp;"","")))</f>
        <v/>
      </c>
      <c r="C419" s="7">
        <f>IF($Z419="C",INDEX(Contracts!$E$2:$E$151,$AB419)&amp;"",IF($Z419="A",INDEX(Fixed_Assets!$D$2:$D$201,$AB419)&amp;"",IF($Z419="F",INDEX(FTE_Allocation!$C$2:$C$201,$AB419)&amp;"","")))</f>
        <v/>
      </c>
      <c r="D419" s="7">
        <f>IF($Z419="C",INDEX(Contracts!$B$2:$B$151,$AB419)&amp;"",IF($Z419="A",INDEX(Fixed_Assets!$B$2:$B$201,$AB419)&amp;"",IF($Z419="F",INDEX(FTE_Allocation!$B$2:$B$201,$AB419)&amp;"","")))</f>
        <v/>
      </c>
      <c r="E419" s="7">
        <f>IF($Z419="C",INDEX(Contracts!$P$2:$P$151,$AB419)&amp;"",IF($Z419="A",INDEX(Fixed_Assets!$K$2:$K$201,$AB419)&amp;"",IF($Z419="F",IF(INDEX(FTE_Allocation!$D$2:$D$201,$AB419)="PROJECT",IFERROR(INDEX(Projects!$D:$D,MATCH(INDEX(FTE_Allocation!$E$2:$E$201,$AB419),Projects!$A:$A,0))&amp;"","#PROJECT?"),INDEX(FTE_Allocation!$E$2:$E$201,$AB419)&amp;""),"")))</f>
        <v/>
      </c>
      <c r="F419" s="7">
        <f>IF($Z419="C",INDEX(Contracts!$Q$2:$Q$151,$AB419)&amp;"",IF($Z419="A",INDEX(Fixed_Assets!$L$2:$L$201,$AB419)&amp;"",IF($Z419="F",INDEX(Workforce!$K$2:$K$151,MATCH(INDEX(FTE_Allocation!$A$2:$A$201,$AB419),Workforce!$A$2:$A$151,0))&amp;"","")))</f>
        <v/>
      </c>
      <c r="G419" s="7">
        <f>IF($Z419="C",INDEX(Contracts!$F$2:$F$151,$AB419)&amp;" / "&amp;INDEX(Contracts!$G$2:$G$151,$AB419),IF($Z419="A",INDEX(Fixed_Assets!$E$2:$E$201,$AB419)&amp;"",IF($Z419="F","Personnel "&amp;INDEX(FTE_Allocation!$A$2:$A$201,$AB419)&amp;IF(INDEX(FTE_Allocation!$D$2:$D$201,$AB419)="PROJECT"," ("&amp;INDEX(FTE_Allocation!$E$2:$E$201,$AB419)&amp;")",""),"")))</f>
        <v/>
      </c>
      <c r="H419" s="7">
        <f>IF($Z419="C","CONTRACT",IF($Z419="A","ASSET",IF($Z419="F","WORKFORCE","")))</f>
        <v/>
      </c>
      <c r="I419" s="7">
        <f>IF($Z419="C",INDEX(Contracts!$L$2:$L$151,$AB419)&amp;"",IF($Z419="A",INDEX(Fixed_Assets!$I$2:$I$201,$AB419)&amp;"",IF($Z419="F",INDEX(Workforce!$G$2:$G$151,MATCH(INDEX(FTE_Allocation!$A$2:$A$201,$AB419),Workforce!$A$2:$A$151,0))&amp;"","")))</f>
        <v/>
      </c>
      <c r="J419" s="18">
        <f>IF($Z419="","",IF(AND(DATE($AD419,1,1)&gt;=$AE419,DATE($AD419,1,1)&lt;=$AF419),ROUND($AG419,2),0))</f>
        <v/>
      </c>
      <c r="K419" s="18">
        <f>IF($Z419="","",IF(AND(DATE($AD419,2,1)&gt;=$AE419,DATE($AD419,2,1)&lt;=$AF419),ROUND($AG419,2),0))</f>
        <v/>
      </c>
      <c r="L419" s="18">
        <f>IF($Z419="","",IF(AND(DATE($AD419,3,1)&gt;=$AE419,DATE($AD419,3,1)&lt;=$AF419),ROUND($AG419,2),0))</f>
        <v/>
      </c>
      <c r="M419" s="18">
        <f>IF($Z419="","",IF(AND(DATE($AD419,4,1)&gt;=$AE419,DATE($AD419,4,1)&lt;=$AF419),ROUND($AG419,2),0))</f>
        <v/>
      </c>
      <c r="N419" s="18">
        <f>IF($Z419="","",IF(AND(DATE($AD419,5,1)&gt;=$AE419,DATE($AD419,5,1)&lt;=$AF419),ROUND($AG419,2),0))</f>
        <v/>
      </c>
      <c r="O419" s="18">
        <f>IF($Z419="","",IF(AND(DATE($AD419,6,1)&gt;=$AE419,DATE($AD419,6,1)&lt;=$AF419),ROUND($AG419,2),0))</f>
        <v/>
      </c>
      <c r="P419" s="18">
        <f>IF($Z419="","",IF(AND(DATE($AD419,7,1)&gt;=$AE419,DATE($AD419,7,1)&lt;=$AF419),ROUND($AG419,2),0))</f>
        <v/>
      </c>
      <c r="Q419" s="18">
        <f>IF($Z419="","",IF(AND(DATE($AD419,8,1)&gt;=$AE419,DATE($AD419,8,1)&lt;=$AF419),ROUND($AG419,2),0))</f>
        <v/>
      </c>
      <c r="R419" s="18">
        <f>IF($Z419="","",IF(AND(DATE($AD419,9,1)&gt;=$AE419,DATE($AD419,9,1)&lt;=$AF419),ROUND($AG419,2),0))</f>
        <v/>
      </c>
      <c r="S419" s="18">
        <f>IF($Z419="","",IF(AND(DATE($AD419,10,1)&gt;=$AE419,DATE($AD419,10,1)&lt;=$AF419),ROUND($AG419,2),0))</f>
        <v/>
      </c>
      <c r="T419" s="18">
        <f>IF($Z419="","",IF(AND(DATE($AD419,11,1)&gt;=$AE419,DATE($AD419,11,1)&lt;=$AF419),ROUND($AG419,2),0))</f>
        <v/>
      </c>
      <c r="U419" s="18">
        <f>IF($Z419="","",IF(AND(DATE($AD419,12,1)&gt;=$AE419,DATE($AD419,12,1)&lt;=$AF419),ROUND($AG419,2),0))</f>
        <v/>
      </c>
      <c r="V419" s="7">
        <f>IF($Z419="C","Generated from "&amp;INDEX(Contracts!$A$2:$A$151,$AB419),IF($Z419="A","Generated from "&amp;INDEX(Fixed_Assets!$A$2:$A$201,$AB419),IF($Z419="F","Generated from "&amp;INDEX(FTE_Allocation!$A$2:$A$201,$AB419),"")))</f>
        <v/>
      </c>
      <c r="X419" s="19">
        <f>IF($Z419="","",SUM(J419:U419))</f>
        <v/>
      </c>
      <c r="Y419" s="20">
        <f>ROW()-1</f>
        <v/>
      </c>
      <c r="Z419" s="20">
        <f>IF($Y419&lt;=Settings!$B$4*3,"C",IF($Y419&lt;=(Settings!$B$4+Settings!$B$5)*3,"A",IF($Y419&lt;=(Settings!$B$4+Settings!$B$5+Settings!$B$6)*3,"F","")))</f>
        <v/>
      </c>
      <c r="AA419" s="20">
        <f>IF($Z419="C",$Y419,IF($Z419="A",$Y419-Settings!$B$4*3,IF($Z419="F",$Y419-(Settings!$B$4+Settings!$B$5)*3,"")))</f>
        <v/>
      </c>
      <c r="AB419" s="20">
        <f>IF($Z419="","",INT(($AA419-1)/3)+1)</f>
        <v/>
      </c>
      <c r="AC419" s="20">
        <f>IF($Z419="","",MOD($AA419-1,3)+1)</f>
        <v/>
      </c>
      <c r="AD419" s="20">
        <f>IF($Z419="","",Settings!$B$2+$AC419-1)</f>
        <v/>
      </c>
      <c r="AE419" s="21">
        <f>IF($Z419="C",DATE(YEAR(INDEX(Contracts!$J$2:$J$151,$AB419)),MONTH(INDEX(Contracts!$J$2:$J$151,$AB419)),1),IF($Z419="A",DATE(YEAR(INDEX(Fixed_Assets!$G$2:$G$201,$AB419)),MONTH(INDEX(Fixed_Assets!$G$2:$G$201,$AB419)),1),IF($Z419="F",DATE(YEAR(MAX(N(INDEX(Workforce!$I$2:$I$151,MATCH(INDEX(FTE_Allocation!$A$2:$A$201,$AB419),Workforce!$A$2:$A$151,0))),N(INDEX(FTE_Allocation!$I$2:$I$201,$AB419)))),MONTH(MAX(N(INDEX(Workforce!$I$2:$I$151,MATCH(INDEX(FTE_Allocation!$A$2:$A$201,$AB419),Workforce!$A$2:$A$151,0))),N(INDEX(FTE_Allocation!$I$2:$I$201,$AB419)))),1),"")))</f>
        <v/>
      </c>
      <c r="AF419" s="21">
        <f>IF($Z419="C",IF(INDEX(Contracts!$I$2:$I$151,$AB419)="PREPAID",EDATE(DATE(YEAR(INDEX(Contracts!$J$2:$J$151,$AB419)),MONTH(INDEX(Contracts!$J$2:$J$151,$AB419)),1),IF(INDEX(Contracts!$N$2:$N$151,$AB419)="",12,INDEX(Contracts!$N$2:$N$151,$AB419))-1),IF(INDEX(Contracts!$I$2:$I$151,$AB419)="MONTHLY",IF(INDEX(Contracts!$K$2:$K$151,$AB419)="",2958101,INDEX(Contracts!$K$2:$K$151,$AB419)),0)),IF($Z419="A",EDATE(DATE(YEAR(INDEX(Fixed_Assets!$G$2:$G$201,$AB419)),MONTH(INDEX(Fixed_Assets!$G$2:$G$201,$AB419)),1),INDEX(Fixed_Assets!$J$2:$J$201,$AB419)-1),IF($Z419="F",MIN(IF(INDEX(Workforce!$J$2:$J$151,MATCH(INDEX(FTE_Allocation!$A$2:$A$201,$AB419),Workforce!$A$2:$A$151,0))="",2958101,INDEX(Workforce!$J$2:$J$151,MATCH(INDEX(FTE_Allocation!$A$2:$A$201,$AB419),Workforce!$A$2:$A$151,0))),IF(INDEX(FTE_Allocation!$J$2:$J$201,$AB419)="",2958101,INDEX(FTE_Allocation!$J$2:$J$201,$AB419))),"")))</f>
        <v/>
      </c>
      <c r="AG419" s="19">
        <f>IF($Z419="C",IF(INDEX(Contracts!$I$2:$I$151,$AB419)="PREPAID",INDEX(Contracts!$M$2:$M$151,$AB419)/IF(INDEX(Contracts!$N$2:$N$151,$AB419)="",12,INDEX(Contracts!$N$2:$N$151,$AB419)),IF(INDEX(Contracts!$I$2:$I$151,$AB419)="MONTHLY",INDEX(Contracts!$M$2:$M$151,$AB419),0))*(1-N(INDEX(Contracts!$O$2:$O$151,$AB419))),IF($Z419="A",INDEX(Fixed_Assets!$H$2:$H$201,$AB419)/INDEX(Fixed_Assets!$J$2:$J$201,$AB419),IF($Z419="F",INDEX(Workforce!$F$2:$F$151,MATCH(INDEX(FTE_Allocation!$A$2:$A$201,$AB419),Workforce!$A$2:$A$151,0))*N(INDEX(FTE_Allocation!$F$2:$H$201,$AB419,$AC419)),"")))</f>
        <v/>
      </c>
    </row>
    <row r="420">
      <c r="A420" s="7">
        <f>IF($Z420="","",$AD420)</f>
        <v/>
      </c>
      <c r="B420" s="7">
        <f>IF($Z420="C",INDEX(Contracts!$D$2:$D$151,$AB420)&amp;"",IF($Z420="A",INDEX(Fixed_Assets!$C$2:$C$201,$AB420)&amp;"",IF($Z420="F",INDEX(Workforce!$B$2:$B$151,MATCH(INDEX(FTE_Allocation!$A$2:$A$201,$AB420),Workforce!$A$2:$A$151,0))&amp;"","")))</f>
        <v/>
      </c>
      <c r="C420" s="7">
        <f>IF($Z420="C",INDEX(Contracts!$E$2:$E$151,$AB420)&amp;"",IF($Z420="A",INDEX(Fixed_Assets!$D$2:$D$201,$AB420)&amp;"",IF($Z420="F",INDEX(FTE_Allocation!$C$2:$C$201,$AB420)&amp;"","")))</f>
        <v/>
      </c>
      <c r="D420" s="7">
        <f>IF($Z420="C",INDEX(Contracts!$B$2:$B$151,$AB420)&amp;"",IF($Z420="A",INDEX(Fixed_Assets!$B$2:$B$201,$AB420)&amp;"",IF($Z420="F",INDEX(FTE_Allocation!$B$2:$B$201,$AB420)&amp;"","")))</f>
        <v/>
      </c>
      <c r="E420" s="7">
        <f>IF($Z420="C",INDEX(Contracts!$P$2:$P$151,$AB420)&amp;"",IF($Z420="A",INDEX(Fixed_Assets!$K$2:$K$201,$AB420)&amp;"",IF($Z420="F",IF(INDEX(FTE_Allocation!$D$2:$D$201,$AB420)="PROJECT",IFERROR(INDEX(Projects!$D:$D,MATCH(INDEX(FTE_Allocation!$E$2:$E$201,$AB420),Projects!$A:$A,0))&amp;"","#PROJECT?"),INDEX(FTE_Allocation!$E$2:$E$201,$AB420)&amp;""),"")))</f>
        <v/>
      </c>
      <c r="F420" s="7">
        <f>IF($Z420="C",INDEX(Contracts!$Q$2:$Q$151,$AB420)&amp;"",IF($Z420="A",INDEX(Fixed_Assets!$L$2:$L$201,$AB420)&amp;"",IF($Z420="F",INDEX(Workforce!$K$2:$K$151,MATCH(INDEX(FTE_Allocation!$A$2:$A$201,$AB420),Workforce!$A$2:$A$151,0))&amp;"","")))</f>
        <v/>
      </c>
      <c r="G420" s="7">
        <f>IF($Z420="C",INDEX(Contracts!$F$2:$F$151,$AB420)&amp;" / "&amp;INDEX(Contracts!$G$2:$G$151,$AB420),IF($Z420="A",INDEX(Fixed_Assets!$E$2:$E$201,$AB420)&amp;"",IF($Z420="F","Personnel "&amp;INDEX(FTE_Allocation!$A$2:$A$201,$AB420)&amp;IF(INDEX(FTE_Allocation!$D$2:$D$201,$AB420)="PROJECT"," ("&amp;INDEX(FTE_Allocation!$E$2:$E$201,$AB420)&amp;")",""),"")))</f>
        <v/>
      </c>
      <c r="H420" s="7">
        <f>IF($Z420="C","CONTRACT",IF($Z420="A","ASSET",IF($Z420="F","WORKFORCE","")))</f>
        <v/>
      </c>
      <c r="I420" s="7">
        <f>IF($Z420="C",INDEX(Contracts!$L$2:$L$151,$AB420)&amp;"",IF($Z420="A",INDEX(Fixed_Assets!$I$2:$I$201,$AB420)&amp;"",IF($Z420="F",INDEX(Workforce!$G$2:$G$151,MATCH(INDEX(FTE_Allocation!$A$2:$A$201,$AB420),Workforce!$A$2:$A$151,0))&amp;"","")))</f>
        <v/>
      </c>
      <c r="J420" s="18">
        <f>IF($Z420="","",IF(AND(DATE($AD420,1,1)&gt;=$AE420,DATE($AD420,1,1)&lt;=$AF420),ROUND($AG420,2),0))</f>
        <v/>
      </c>
      <c r="K420" s="18">
        <f>IF($Z420="","",IF(AND(DATE($AD420,2,1)&gt;=$AE420,DATE($AD420,2,1)&lt;=$AF420),ROUND($AG420,2),0))</f>
        <v/>
      </c>
      <c r="L420" s="18">
        <f>IF($Z420="","",IF(AND(DATE($AD420,3,1)&gt;=$AE420,DATE($AD420,3,1)&lt;=$AF420),ROUND($AG420,2),0))</f>
        <v/>
      </c>
      <c r="M420" s="18">
        <f>IF($Z420="","",IF(AND(DATE($AD420,4,1)&gt;=$AE420,DATE($AD420,4,1)&lt;=$AF420),ROUND($AG420,2),0))</f>
        <v/>
      </c>
      <c r="N420" s="18">
        <f>IF($Z420="","",IF(AND(DATE($AD420,5,1)&gt;=$AE420,DATE($AD420,5,1)&lt;=$AF420),ROUND($AG420,2),0))</f>
        <v/>
      </c>
      <c r="O420" s="18">
        <f>IF($Z420="","",IF(AND(DATE($AD420,6,1)&gt;=$AE420,DATE($AD420,6,1)&lt;=$AF420),ROUND($AG420,2),0))</f>
        <v/>
      </c>
      <c r="P420" s="18">
        <f>IF($Z420="","",IF(AND(DATE($AD420,7,1)&gt;=$AE420,DATE($AD420,7,1)&lt;=$AF420),ROUND($AG420,2),0))</f>
        <v/>
      </c>
      <c r="Q420" s="18">
        <f>IF($Z420="","",IF(AND(DATE($AD420,8,1)&gt;=$AE420,DATE($AD420,8,1)&lt;=$AF420),ROUND($AG420,2),0))</f>
        <v/>
      </c>
      <c r="R420" s="18">
        <f>IF($Z420="","",IF(AND(DATE($AD420,9,1)&gt;=$AE420,DATE($AD420,9,1)&lt;=$AF420),ROUND($AG420,2),0))</f>
        <v/>
      </c>
      <c r="S420" s="18">
        <f>IF($Z420="","",IF(AND(DATE($AD420,10,1)&gt;=$AE420,DATE($AD420,10,1)&lt;=$AF420),ROUND($AG420,2),0))</f>
        <v/>
      </c>
      <c r="T420" s="18">
        <f>IF($Z420="","",IF(AND(DATE($AD420,11,1)&gt;=$AE420,DATE($AD420,11,1)&lt;=$AF420),ROUND($AG420,2),0))</f>
        <v/>
      </c>
      <c r="U420" s="18">
        <f>IF($Z420="","",IF(AND(DATE($AD420,12,1)&gt;=$AE420,DATE($AD420,12,1)&lt;=$AF420),ROUND($AG420,2),0))</f>
        <v/>
      </c>
      <c r="V420" s="7">
        <f>IF($Z420="C","Generated from "&amp;INDEX(Contracts!$A$2:$A$151,$AB420),IF($Z420="A","Generated from "&amp;INDEX(Fixed_Assets!$A$2:$A$201,$AB420),IF($Z420="F","Generated from "&amp;INDEX(FTE_Allocation!$A$2:$A$201,$AB420),"")))</f>
        <v/>
      </c>
      <c r="X420" s="19">
        <f>IF($Z420="","",SUM(J420:U420))</f>
        <v/>
      </c>
      <c r="Y420" s="20">
        <f>ROW()-1</f>
        <v/>
      </c>
      <c r="Z420" s="20">
        <f>IF($Y420&lt;=Settings!$B$4*3,"C",IF($Y420&lt;=(Settings!$B$4+Settings!$B$5)*3,"A",IF($Y420&lt;=(Settings!$B$4+Settings!$B$5+Settings!$B$6)*3,"F","")))</f>
        <v/>
      </c>
      <c r="AA420" s="20">
        <f>IF($Z420="C",$Y420,IF($Z420="A",$Y420-Settings!$B$4*3,IF($Z420="F",$Y420-(Settings!$B$4+Settings!$B$5)*3,"")))</f>
        <v/>
      </c>
      <c r="AB420" s="20">
        <f>IF($Z420="","",INT(($AA420-1)/3)+1)</f>
        <v/>
      </c>
      <c r="AC420" s="20">
        <f>IF($Z420="","",MOD($AA420-1,3)+1)</f>
        <v/>
      </c>
      <c r="AD420" s="20">
        <f>IF($Z420="","",Settings!$B$2+$AC420-1)</f>
        <v/>
      </c>
      <c r="AE420" s="21">
        <f>IF($Z420="C",DATE(YEAR(INDEX(Contracts!$J$2:$J$151,$AB420)),MONTH(INDEX(Contracts!$J$2:$J$151,$AB420)),1),IF($Z420="A",DATE(YEAR(INDEX(Fixed_Assets!$G$2:$G$201,$AB420)),MONTH(INDEX(Fixed_Assets!$G$2:$G$201,$AB420)),1),IF($Z420="F",DATE(YEAR(MAX(N(INDEX(Workforce!$I$2:$I$151,MATCH(INDEX(FTE_Allocation!$A$2:$A$201,$AB420),Workforce!$A$2:$A$151,0))),N(INDEX(FTE_Allocation!$I$2:$I$201,$AB420)))),MONTH(MAX(N(INDEX(Workforce!$I$2:$I$151,MATCH(INDEX(FTE_Allocation!$A$2:$A$201,$AB420),Workforce!$A$2:$A$151,0))),N(INDEX(FTE_Allocation!$I$2:$I$201,$AB420)))),1),"")))</f>
        <v/>
      </c>
      <c r="AF420" s="21">
        <f>IF($Z420="C",IF(INDEX(Contracts!$I$2:$I$151,$AB420)="PREPAID",EDATE(DATE(YEAR(INDEX(Contracts!$J$2:$J$151,$AB420)),MONTH(INDEX(Contracts!$J$2:$J$151,$AB420)),1),IF(INDEX(Contracts!$N$2:$N$151,$AB420)="",12,INDEX(Contracts!$N$2:$N$151,$AB420))-1),IF(INDEX(Contracts!$I$2:$I$151,$AB420)="MONTHLY",IF(INDEX(Contracts!$K$2:$K$151,$AB420)="",2958101,INDEX(Contracts!$K$2:$K$151,$AB420)),0)),IF($Z420="A",EDATE(DATE(YEAR(INDEX(Fixed_Assets!$G$2:$G$201,$AB420)),MONTH(INDEX(Fixed_Assets!$G$2:$G$201,$AB420)),1),INDEX(Fixed_Assets!$J$2:$J$201,$AB420)-1),IF($Z420="F",MIN(IF(INDEX(Workforce!$J$2:$J$151,MATCH(INDEX(FTE_Allocation!$A$2:$A$201,$AB420),Workforce!$A$2:$A$151,0))="",2958101,INDEX(Workforce!$J$2:$J$151,MATCH(INDEX(FTE_Allocation!$A$2:$A$201,$AB420),Workforce!$A$2:$A$151,0))),IF(INDEX(FTE_Allocation!$J$2:$J$201,$AB420)="",2958101,INDEX(FTE_Allocation!$J$2:$J$201,$AB420))),"")))</f>
        <v/>
      </c>
      <c r="AG420" s="19">
        <f>IF($Z420="C",IF(INDEX(Contracts!$I$2:$I$151,$AB420)="PREPAID",INDEX(Contracts!$M$2:$M$151,$AB420)/IF(INDEX(Contracts!$N$2:$N$151,$AB420)="",12,INDEX(Contracts!$N$2:$N$151,$AB420)),IF(INDEX(Contracts!$I$2:$I$151,$AB420)="MONTHLY",INDEX(Contracts!$M$2:$M$151,$AB420),0))*(1-N(INDEX(Contracts!$O$2:$O$151,$AB420))),IF($Z420="A",INDEX(Fixed_Assets!$H$2:$H$201,$AB420)/INDEX(Fixed_Assets!$J$2:$J$201,$AB420),IF($Z420="F",INDEX(Workforce!$F$2:$F$151,MATCH(INDEX(FTE_Allocation!$A$2:$A$201,$AB420),Workforce!$A$2:$A$151,0))*N(INDEX(FTE_Allocation!$F$2:$H$201,$AB420,$AC420)),"")))</f>
        <v/>
      </c>
    </row>
    <row r="421">
      <c r="A421" s="7">
        <f>IF($Z421="","",$AD421)</f>
        <v/>
      </c>
      <c r="B421" s="7">
        <f>IF($Z421="C",INDEX(Contracts!$D$2:$D$151,$AB421)&amp;"",IF($Z421="A",INDEX(Fixed_Assets!$C$2:$C$201,$AB421)&amp;"",IF($Z421="F",INDEX(Workforce!$B$2:$B$151,MATCH(INDEX(FTE_Allocation!$A$2:$A$201,$AB421),Workforce!$A$2:$A$151,0))&amp;"","")))</f>
        <v/>
      </c>
      <c r="C421" s="7">
        <f>IF($Z421="C",INDEX(Contracts!$E$2:$E$151,$AB421)&amp;"",IF($Z421="A",INDEX(Fixed_Assets!$D$2:$D$201,$AB421)&amp;"",IF($Z421="F",INDEX(FTE_Allocation!$C$2:$C$201,$AB421)&amp;"","")))</f>
        <v/>
      </c>
      <c r="D421" s="7">
        <f>IF($Z421="C",INDEX(Contracts!$B$2:$B$151,$AB421)&amp;"",IF($Z421="A",INDEX(Fixed_Assets!$B$2:$B$201,$AB421)&amp;"",IF($Z421="F",INDEX(FTE_Allocation!$B$2:$B$201,$AB421)&amp;"","")))</f>
        <v/>
      </c>
      <c r="E421" s="7">
        <f>IF($Z421="C",INDEX(Contracts!$P$2:$P$151,$AB421)&amp;"",IF($Z421="A",INDEX(Fixed_Assets!$K$2:$K$201,$AB421)&amp;"",IF($Z421="F",IF(INDEX(FTE_Allocation!$D$2:$D$201,$AB421)="PROJECT",IFERROR(INDEX(Projects!$D:$D,MATCH(INDEX(FTE_Allocation!$E$2:$E$201,$AB421),Projects!$A:$A,0))&amp;"","#PROJECT?"),INDEX(FTE_Allocation!$E$2:$E$201,$AB421)&amp;""),"")))</f>
        <v/>
      </c>
      <c r="F421" s="7">
        <f>IF($Z421="C",INDEX(Contracts!$Q$2:$Q$151,$AB421)&amp;"",IF($Z421="A",INDEX(Fixed_Assets!$L$2:$L$201,$AB421)&amp;"",IF($Z421="F",INDEX(Workforce!$K$2:$K$151,MATCH(INDEX(FTE_Allocation!$A$2:$A$201,$AB421),Workforce!$A$2:$A$151,0))&amp;"","")))</f>
        <v/>
      </c>
      <c r="G421" s="7">
        <f>IF($Z421="C",INDEX(Contracts!$F$2:$F$151,$AB421)&amp;" / "&amp;INDEX(Contracts!$G$2:$G$151,$AB421),IF($Z421="A",INDEX(Fixed_Assets!$E$2:$E$201,$AB421)&amp;"",IF($Z421="F","Personnel "&amp;INDEX(FTE_Allocation!$A$2:$A$201,$AB421)&amp;IF(INDEX(FTE_Allocation!$D$2:$D$201,$AB421)="PROJECT"," ("&amp;INDEX(FTE_Allocation!$E$2:$E$201,$AB421)&amp;")",""),"")))</f>
        <v/>
      </c>
      <c r="H421" s="7">
        <f>IF($Z421="C","CONTRACT",IF($Z421="A","ASSET",IF($Z421="F","WORKFORCE","")))</f>
        <v/>
      </c>
      <c r="I421" s="7">
        <f>IF($Z421="C",INDEX(Contracts!$L$2:$L$151,$AB421)&amp;"",IF($Z421="A",INDEX(Fixed_Assets!$I$2:$I$201,$AB421)&amp;"",IF($Z421="F",INDEX(Workforce!$G$2:$G$151,MATCH(INDEX(FTE_Allocation!$A$2:$A$201,$AB421),Workforce!$A$2:$A$151,0))&amp;"","")))</f>
        <v/>
      </c>
      <c r="J421" s="18">
        <f>IF($Z421="","",IF(AND(DATE($AD421,1,1)&gt;=$AE421,DATE($AD421,1,1)&lt;=$AF421),ROUND($AG421,2),0))</f>
        <v/>
      </c>
      <c r="K421" s="18">
        <f>IF($Z421="","",IF(AND(DATE($AD421,2,1)&gt;=$AE421,DATE($AD421,2,1)&lt;=$AF421),ROUND($AG421,2),0))</f>
        <v/>
      </c>
      <c r="L421" s="18">
        <f>IF($Z421="","",IF(AND(DATE($AD421,3,1)&gt;=$AE421,DATE($AD421,3,1)&lt;=$AF421),ROUND($AG421,2),0))</f>
        <v/>
      </c>
      <c r="M421" s="18">
        <f>IF($Z421="","",IF(AND(DATE($AD421,4,1)&gt;=$AE421,DATE($AD421,4,1)&lt;=$AF421),ROUND($AG421,2),0))</f>
        <v/>
      </c>
      <c r="N421" s="18">
        <f>IF($Z421="","",IF(AND(DATE($AD421,5,1)&gt;=$AE421,DATE($AD421,5,1)&lt;=$AF421),ROUND($AG421,2),0))</f>
        <v/>
      </c>
      <c r="O421" s="18">
        <f>IF($Z421="","",IF(AND(DATE($AD421,6,1)&gt;=$AE421,DATE($AD421,6,1)&lt;=$AF421),ROUND($AG421,2),0))</f>
        <v/>
      </c>
      <c r="P421" s="18">
        <f>IF($Z421="","",IF(AND(DATE($AD421,7,1)&gt;=$AE421,DATE($AD421,7,1)&lt;=$AF421),ROUND($AG421,2),0))</f>
        <v/>
      </c>
      <c r="Q421" s="18">
        <f>IF($Z421="","",IF(AND(DATE($AD421,8,1)&gt;=$AE421,DATE($AD421,8,1)&lt;=$AF421),ROUND($AG421,2),0))</f>
        <v/>
      </c>
      <c r="R421" s="18">
        <f>IF($Z421="","",IF(AND(DATE($AD421,9,1)&gt;=$AE421,DATE($AD421,9,1)&lt;=$AF421),ROUND($AG421,2),0))</f>
        <v/>
      </c>
      <c r="S421" s="18">
        <f>IF($Z421="","",IF(AND(DATE($AD421,10,1)&gt;=$AE421,DATE($AD421,10,1)&lt;=$AF421),ROUND($AG421,2),0))</f>
        <v/>
      </c>
      <c r="T421" s="18">
        <f>IF($Z421="","",IF(AND(DATE($AD421,11,1)&gt;=$AE421,DATE($AD421,11,1)&lt;=$AF421),ROUND($AG421,2),0))</f>
        <v/>
      </c>
      <c r="U421" s="18">
        <f>IF($Z421="","",IF(AND(DATE($AD421,12,1)&gt;=$AE421,DATE($AD421,12,1)&lt;=$AF421),ROUND($AG421,2),0))</f>
        <v/>
      </c>
      <c r="V421" s="7">
        <f>IF($Z421="C","Generated from "&amp;INDEX(Contracts!$A$2:$A$151,$AB421),IF($Z421="A","Generated from "&amp;INDEX(Fixed_Assets!$A$2:$A$201,$AB421),IF($Z421="F","Generated from "&amp;INDEX(FTE_Allocation!$A$2:$A$201,$AB421),"")))</f>
        <v/>
      </c>
      <c r="X421" s="19">
        <f>IF($Z421="","",SUM(J421:U421))</f>
        <v/>
      </c>
      <c r="Y421" s="20">
        <f>ROW()-1</f>
        <v/>
      </c>
      <c r="Z421" s="20">
        <f>IF($Y421&lt;=Settings!$B$4*3,"C",IF($Y421&lt;=(Settings!$B$4+Settings!$B$5)*3,"A",IF($Y421&lt;=(Settings!$B$4+Settings!$B$5+Settings!$B$6)*3,"F","")))</f>
        <v/>
      </c>
      <c r="AA421" s="20">
        <f>IF($Z421="C",$Y421,IF($Z421="A",$Y421-Settings!$B$4*3,IF($Z421="F",$Y421-(Settings!$B$4+Settings!$B$5)*3,"")))</f>
        <v/>
      </c>
      <c r="AB421" s="20">
        <f>IF($Z421="","",INT(($AA421-1)/3)+1)</f>
        <v/>
      </c>
      <c r="AC421" s="20">
        <f>IF($Z421="","",MOD($AA421-1,3)+1)</f>
        <v/>
      </c>
      <c r="AD421" s="20">
        <f>IF($Z421="","",Settings!$B$2+$AC421-1)</f>
        <v/>
      </c>
      <c r="AE421" s="21">
        <f>IF($Z421="C",DATE(YEAR(INDEX(Contracts!$J$2:$J$151,$AB421)),MONTH(INDEX(Contracts!$J$2:$J$151,$AB421)),1),IF($Z421="A",DATE(YEAR(INDEX(Fixed_Assets!$G$2:$G$201,$AB421)),MONTH(INDEX(Fixed_Assets!$G$2:$G$201,$AB421)),1),IF($Z421="F",DATE(YEAR(MAX(N(INDEX(Workforce!$I$2:$I$151,MATCH(INDEX(FTE_Allocation!$A$2:$A$201,$AB421),Workforce!$A$2:$A$151,0))),N(INDEX(FTE_Allocation!$I$2:$I$201,$AB421)))),MONTH(MAX(N(INDEX(Workforce!$I$2:$I$151,MATCH(INDEX(FTE_Allocation!$A$2:$A$201,$AB421),Workforce!$A$2:$A$151,0))),N(INDEX(FTE_Allocation!$I$2:$I$201,$AB421)))),1),"")))</f>
        <v/>
      </c>
      <c r="AF421" s="21">
        <f>IF($Z421="C",IF(INDEX(Contracts!$I$2:$I$151,$AB421)="PREPAID",EDATE(DATE(YEAR(INDEX(Contracts!$J$2:$J$151,$AB421)),MONTH(INDEX(Contracts!$J$2:$J$151,$AB421)),1),IF(INDEX(Contracts!$N$2:$N$151,$AB421)="",12,INDEX(Contracts!$N$2:$N$151,$AB421))-1),IF(INDEX(Contracts!$I$2:$I$151,$AB421)="MONTHLY",IF(INDEX(Contracts!$K$2:$K$151,$AB421)="",2958101,INDEX(Contracts!$K$2:$K$151,$AB421)),0)),IF($Z421="A",EDATE(DATE(YEAR(INDEX(Fixed_Assets!$G$2:$G$201,$AB421)),MONTH(INDEX(Fixed_Assets!$G$2:$G$201,$AB421)),1),INDEX(Fixed_Assets!$J$2:$J$201,$AB421)-1),IF($Z421="F",MIN(IF(INDEX(Workforce!$J$2:$J$151,MATCH(INDEX(FTE_Allocation!$A$2:$A$201,$AB421),Workforce!$A$2:$A$151,0))="",2958101,INDEX(Workforce!$J$2:$J$151,MATCH(INDEX(FTE_Allocation!$A$2:$A$201,$AB421),Workforce!$A$2:$A$151,0))),IF(INDEX(FTE_Allocation!$J$2:$J$201,$AB421)="",2958101,INDEX(FTE_Allocation!$J$2:$J$201,$AB421))),"")))</f>
        <v/>
      </c>
      <c r="AG421" s="19">
        <f>IF($Z421="C",IF(INDEX(Contracts!$I$2:$I$151,$AB421)="PREPAID",INDEX(Contracts!$M$2:$M$151,$AB421)/IF(INDEX(Contracts!$N$2:$N$151,$AB421)="",12,INDEX(Contracts!$N$2:$N$151,$AB421)),IF(INDEX(Contracts!$I$2:$I$151,$AB421)="MONTHLY",INDEX(Contracts!$M$2:$M$151,$AB421),0))*(1-N(INDEX(Contracts!$O$2:$O$151,$AB421))),IF($Z421="A",INDEX(Fixed_Assets!$H$2:$H$201,$AB421)/INDEX(Fixed_Assets!$J$2:$J$201,$AB421),IF($Z421="F",INDEX(Workforce!$F$2:$F$151,MATCH(INDEX(FTE_Allocation!$A$2:$A$201,$AB421),Workforce!$A$2:$A$151,0))*N(INDEX(FTE_Allocation!$F$2:$H$201,$AB421,$AC421)),"")))</f>
        <v/>
      </c>
    </row>
    <row r="422">
      <c r="A422" s="7">
        <f>IF($Z422="","",$AD422)</f>
        <v/>
      </c>
      <c r="B422" s="7">
        <f>IF($Z422="C",INDEX(Contracts!$D$2:$D$151,$AB422)&amp;"",IF($Z422="A",INDEX(Fixed_Assets!$C$2:$C$201,$AB422)&amp;"",IF($Z422="F",INDEX(Workforce!$B$2:$B$151,MATCH(INDEX(FTE_Allocation!$A$2:$A$201,$AB422),Workforce!$A$2:$A$151,0))&amp;"","")))</f>
        <v/>
      </c>
      <c r="C422" s="7">
        <f>IF($Z422="C",INDEX(Contracts!$E$2:$E$151,$AB422)&amp;"",IF($Z422="A",INDEX(Fixed_Assets!$D$2:$D$201,$AB422)&amp;"",IF($Z422="F",INDEX(FTE_Allocation!$C$2:$C$201,$AB422)&amp;"","")))</f>
        <v/>
      </c>
      <c r="D422" s="7">
        <f>IF($Z422="C",INDEX(Contracts!$B$2:$B$151,$AB422)&amp;"",IF($Z422="A",INDEX(Fixed_Assets!$B$2:$B$201,$AB422)&amp;"",IF($Z422="F",INDEX(FTE_Allocation!$B$2:$B$201,$AB422)&amp;"","")))</f>
        <v/>
      </c>
      <c r="E422" s="7">
        <f>IF($Z422="C",INDEX(Contracts!$P$2:$P$151,$AB422)&amp;"",IF($Z422="A",INDEX(Fixed_Assets!$K$2:$K$201,$AB422)&amp;"",IF($Z422="F",IF(INDEX(FTE_Allocation!$D$2:$D$201,$AB422)="PROJECT",IFERROR(INDEX(Projects!$D:$D,MATCH(INDEX(FTE_Allocation!$E$2:$E$201,$AB422),Projects!$A:$A,0))&amp;"","#PROJECT?"),INDEX(FTE_Allocation!$E$2:$E$201,$AB422)&amp;""),"")))</f>
        <v/>
      </c>
      <c r="F422" s="7">
        <f>IF($Z422="C",INDEX(Contracts!$Q$2:$Q$151,$AB422)&amp;"",IF($Z422="A",INDEX(Fixed_Assets!$L$2:$L$201,$AB422)&amp;"",IF($Z422="F",INDEX(Workforce!$K$2:$K$151,MATCH(INDEX(FTE_Allocation!$A$2:$A$201,$AB422),Workforce!$A$2:$A$151,0))&amp;"","")))</f>
        <v/>
      </c>
      <c r="G422" s="7">
        <f>IF($Z422="C",INDEX(Contracts!$F$2:$F$151,$AB422)&amp;" / "&amp;INDEX(Contracts!$G$2:$G$151,$AB422),IF($Z422="A",INDEX(Fixed_Assets!$E$2:$E$201,$AB422)&amp;"",IF($Z422="F","Personnel "&amp;INDEX(FTE_Allocation!$A$2:$A$201,$AB422)&amp;IF(INDEX(FTE_Allocation!$D$2:$D$201,$AB422)="PROJECT"," ("&amp;INDEX(FTE_Allocation!$E$2:$E$201,$AB422)&amp;")",""),"")))</f>
        <v/>
      </c>
      <c r="H422" s="7">
        <f>IF($Z422="C","CONTRACT",IF($Z422="A","ASSET",IF($Z422="F","WORKFORCE","")))</f>
        <v/>
      </c>
      <c r="I422" s="7">
        <f>IF($Z422="C",INDEX(Contracts!$L$2:$L$151,$AB422)&amp;"",IF($Z422="A",INDEX(Fixed_Assets!$I$2:$I$201,$AB422)&amp;"",IF($Z422="F",INDEX(Workforce!$G$2:$G$151,MATCH(INDEX(FTE_Allocation!$A$2:$A$201,$AB422),Workforce!$A$2:$A$151,0))&amp;"","")))</f>
        <v/>
      </c>
      <c r="J422" s="18">
        <f>IF($Z422="","",IF(AND(DATE($AD422,1,1)&gt;=$AE422,DATE($AD422,1,1)&lt;=$AF422),ROUND($AG422,2),0))</f>
        <v/>
      </c>
      <c r="K422" s="18">
        <f>IF($Z422="","",IF(AND(DATE($AD422,2,1)&gt;=$AE422,DATE($AD422,2,1)&lt;=$AF422),ROUND($AG422,2),0))</f>
        <v/>
      </c>
      <c r="L422" s="18">
        <f>IF($Z422="","",IF(AND(DATE($AD422,3,1)&gt;=$AE422,DATE($AD422,3,1)&lt;=$AF422),ROUND($AG422,2),0))</f>
        <v/>
      </c>
      <c r="M422" s="18">
        <f>IF($Z422="","",IF(AND(DATE($AD422,4,1)&gt;=$AE422,DATE($AD422,4,1)&lt;=$AF422),ROUND($AG422,2),0))</f>
        <v/>
      </c>
      <c r="N422" s="18">
        <f>IF($Z422="","",IF(AND(DATE($AD422,5,1)&gt;=$AE422,DATE($AD422,5,1)&lt;=$AF422),ROUND($AG422,2),0))</f>
        <v/>
      </c>
      <c r="O422" s="18">
        <f>IF($Z422="","",IF(AND(DATE($AD422,6,1)&gt;=$AE422,DATE($AD422,6,1)&lt;=$AF422),ROUND($AG422,2),0))</f>
        <v/>
      </c>
      <c r="P422" s="18">
        <f>IF($Z422="","",IF(AND(DATE($AD422,7,1)&gt;=$AE422,DATE($AD422,7,1)&lt;=$AF422),ROUND($AG422,2),0))</f>
        <v/>
      </c>
      <c r="Q422" s="18">
        <f>IF($Z422="","",IF(AND(DATE($AD422,8,1)&gt;=$AE422,DATE($AD422,8,1)&lt;=$AF422),ROUND($AG422,2),0))</f>
        <v/>
      </c>
      <c r="R422" s="18">
        <f>IF($Z422="","",IF(AND(DATE($AD422,9,1)&gt;=$AE422,DATE($AD422,9,1)&lt;=$AF422),ROUND($AG422,2),0))</f>
        <v/>
      </c>
      <c r="S422" s="18">
        <f>IF($Z422="","",IF(AND(DATE($AD422,10,1)&gt;=$AE422,DATE($AD422,10,1)&lt;=$AF422),ROUND($AG422,2),0))</f>
        <v/>
      </c>
      <c r="T422" s="18">
        <f>IF($Z422="","",IF(AND(DATE($AD422,11,1)&gt;=$AE422,DATE($AD422,11,1)&lt;=$AF422),ROUND($AG422,2),0))</f>
        <v/>
      </c>
      <c r="U422" s="18">
        <f>IF($Z422="","",IF(AND(DATE($AD422,12,1)&gt;=$AE422,DATE($AD422,12,1)&lt;=$AF422),ROUND($AG422,2),0))</f>
        <v/>
      </c>
      <c r="V422" s="7">
        <f>IF($Z422="C","Generated from "&amp;INDEX(Contracts!$A$2:$A$151,$AB422),IF($Z422="A","Generated from "&amp;INDEX(Fixed_Assets!$A$2:$A$201,$AB422),IF($Z422="F","Generated from "&amp;INDEX(FTE_Allocation!$A$2:$A$201,$AB422),"")))</f>
        <v/>
      </c>
      <c r="X422" s="19">
        <f>IF($Z422="","",SUM(J422:U422))</f>
        <v/>
      </c>
      <c r="Y422" s="20">
        <f>ROW()-1</f>
        <v/>
      </c>
      <c r="Z422" s="20">
        <f>IF($Y422&lt;=Settings!$B$4*3,"C",IF($Y422&lt;=(Settings!$B$4+Settings!$B$5)*3,"A",IF($Y422&lt;=(Settings!$B$4+Settings!$B$5+Settings!$B$6)*3,"F","")))</f>
        <v/>
      </c>
      <c r="AA422" s="20">
        <f>IF($Z422="C",$Y422,IF($Z422="A",$Y422-Settings!$B$4*3,IF($Z422="F",$Y422-(Settings!$B$4+Settings!$B$5)*3,"")))</f>
        <v/>
      </c>
      <c r="AB422" s="20">
        <f>IF($Z422="","",INT(($AA422-1)/3)+1)</f>
        <v/>
      </c>
      <c r="AC422" s="20">
        <f>IF($Z422="","",MOD($AA422-1,3)+1)</f>
        <v/>
      </c>
      <c r="AD422" s="20">
        <f>IF($Z422="","",Settings!$B$2+$AC422-1)</f>
        <v/>
      </c>
      <c r="AE422" s="21">
        <f>IF($Z422="C",DATE(YEAR(INDEX(Contracts!$J$2:$J$151,$AB422)),MONTH(INDEX(Contracts!$J$2:$J$151,$AB422)),1),IF($Z422="A",DATE(YEAR(INDEX(Fixed_Assets!$G$2:$G$201,$AB422)),MONTH(INDEX(Fixed_Assets!$G$2:$G$201,$AB422)),1),IF($Z422="F",DATE(YEAR(MAX(N(INDEX(Workforce!$I$2:$I$151,MATCH(INDEX(FTE_Allocation!$A$2:$A$201,$AB422),Workforce!$A$2:$A$151,0))),N(INDEX(FTE_Allocation!$I$2:$I$201,$AB422)))),MONTH(MAX(N(INDEX(Workforce!$I$2:$I$151,MATCH(INDEX(FTE_Allocation!$A$2:$A$201,$AB422),Workforce!$A$2:$A$151,0))),N(INDEX(FTE_Allocation!$I$2:$I$201,$AB422)))),1),"")))</f>
        <v/>
      </c>
      <c r="AF422" s="21">
        <f>IF($Z422="C",IF(INDEX(Contracts!$I$2:$I$151,$AB422)="PREPAID",EDATE(DATE(YEAR(INDEX(Contracts!$J$2:$J$151,$AB422)),MONTH(INDEX(Contracts!$J$2:$J$151,$AB422)),1),IF(INDEX(Contracts!$N$2:$N$151,$AB422)="",12,INDEX(Contracts!$N$2:$N$151,$AB422))-1),IF(INDEX(Contracts!$I$2:$I$151,$AB422)="MONTHLY",IF(INDEX(Contracts!$K$2:$K$151,$AB422)="",2958101,INDEX(Contracts!$K$2:$K$151,$AB422)),0)),IF($Z422="A",EDATE(DATE(YEAR(INDEX(Fixed_Assets!$G$2:$G$201,$AB422)),MONTH(INDEX(Fixed_Assets!$G$2:$G$201,$AB422)),1),INDEX(Fixed_Assets!$J$2:$J$201,$AB422)-1),IF($Z422="F",MIN(IF(INDEX(Workforce!$J$2:$J$151,MATCH(INDEX(FTE_Allocation!$A$2:$A$201,$AB422),Workforce!$A$2:$A$151,0))="",2958101,INDEX(Workforce!$J$2:$J$151,MATCH(INDEX(FTE_Allocation!$A$2:$A$201,$AB422),Workforce!$A$2:$A$151,0))),IF(INDEX(FTE_Allocation!$J$2:$J$201,$AB422)="",2958101,INDEX(FTE_Allocation!$J$2:$J$201,$AB422))),"")))</f>
        <v/>
      </c>
      <c r="AG422" s="19">
        <f>IF($Z422="C",IF(INDEX(Contracts!$I$2:$I$151,$AB422)="PREPAID",INDEX(Contracts!$M$2:$M$151,$AB422)/IF(INDEX(Contracts!$N$2:$N$151,$AB422)="",12,INDEX(Contracts!$N$2:$N$151,$AB422)),IF(INDEX(Contracts!$I$2:$I$151,$AB422)="MONTHLY",INDEX(Contracts!$M$2:$M$151,$AB422),0))*(1-N(INDEX(Contracts!$O$2:$O$151,$AB422))),IF($Z422="A",INDEX(Fixed_Assets!$H$2:$H$201,$AB422)/INDEX(Fixed_Assets!$J$2:$J$201,$AB422),IF($Z422="F",INDEX(Workforce!$F$2:$F$151,MATCH(INDEX(FTE_Allocation!$A$2:$A$201,$AB422),Workforce!$A$2:$A$151,0))*N(INDEX(FTE_Allocation!$F$2:$H$201,$AB422,$AC422)),"")))</f>
        <v/>
      </c>
    </row>
    <row r="423">
      <c r="A423" s="7">
        <f>IF($Z423="","",$AD423)</f>
        <v/>
      </c>
      <c r="B423" s="7">
        <f>IF($Z423="C",INDEX(Contracts!$D$2:$D$151,$AB423)&amp;"",IF($Z423="A",INDEX(Fixed_Assets!$C$2:$C$201,$AB423)&amp;"",IF($Z423="F",INDEX(Workforce!$B$2:$B$151,MATCH(INDEX(FTE_Allocation!$A$2:$A$201,$AB423),Workforce!$A$2:$A$151,0))&amp;"","")))</f>
        <v/>
      </c>
      <c r="C423" s="7">
        <f>IF($Z423="C",INDEX(Contracts!$E$2:$E$151,$AB423)&amp;"",IF($Z423="A",INDEX(Fixed_Assets!$D$2:$D$201,$AB423)&amp;"",IF($Z423="F",INDEX(FTE_Allocation!$C$2:$C$201,$AB423)&amp;"","")))</f>
        <v/>
      </c>
      <c r="D423" s="7">
        <f>IF($Z423="C",INDEX(Contracts!$B$2:$B$151,$AB423)&amp;"",IF($Z423="A",INDEX(Fixed_Assets!$B$2:$B$201,$AB423)&amp;"",IF($Z423="F",INDEX(FTE_Allocation!$B$2:$B$201,$AB423)&amp;"","")))</f>
        <v/>
      </c>
      <c r="E423" s="7">
        <f>IF($Z423="C",INDEX(Contracts!$P$2:$P$151,$AB423)&amp;"",IF($Z423="A",INDEX(Fixed_Assets!$K$2:$K$201,$AB423)&amp;"",IF($Z423="F",IF(INDEX(FTE_Allocation!$D$2:$D$201,$AB423)="PROJECT",IFERROR(INDEX(Projects!$D:$D,MATCH(INDEX(FTE_Allocation!$E$2:$E$201,$AB423),Projects!$A:$A,0))&amp;"","#PROJECT?"),INDEX(FTE_Allocation!$E$2:$E$201,$AB423)&amp;""),"")))</f>
        <v/>
      </c>
      <c r="F423" s="7">
        <f>IF($Z423="C",INDEX(Contracts!$Q$2:$Q$151,$AB423)&amp;"",IF($Z423="A",INDEX(Fixed_Assets!$L$2:$L$201,$AB423)&amp;"",IF($Z423="F",INDEX(Workforce!$K$2:$K$151,MATCH(INDEX(FTE_Allocation!$A$2:$A$201,$AB423),Workforce!$A$2:$A$151,0))&amp;"","")))</f>
        <v/>
      </c>
      <c r="G423" s="7">
        <f>IF($Z423="C",INDEX(Contracts!$F$2:$F$151,$AB423)&amp;" / "&amp;INDEX(Contracts!$G$2:$G$151,$AB423),IF($Z423="A",INDEX(Fixed_Assets!$E$2:$E$201,$AB423)&amp;"",IF($Z423="F","Personnel "&amp;INDEX(FTE_Allocation!$A$2:$A$201,$AB423)&amp;IF(INDEX(FTE_Allocation!$D$2:$D$201,$AB423)="PROJECT"," ("&amp;INDEX(FTE_Allocation!$E$2:$E$201,$AB423)&amp;")",""),"")))</f>
        <v/>
      </c>
      <c r="H423" s="7">
        <f>IF($Z423="C","CONTRACT",IF($Z423="A","ASSET",IF($Z423="F","WORKFORCE","")))</f>
        <v/>
      </c>
      <c r="I423" s="7">
        <f>IF($Z423="C",INDEX(Contracts!$L$2:$L$151,$AB423)&amp;"",IF($Z423="A",INDEX(Fixed_Assets!$I$2:$I$201,$AB423)&amp;"",IF($Z423="F",INDEX(Workforce!$G$2:$G$151,MATCH(INDEX(FTE_Allocation!$A$2:$A$201,$AB423),Workforce!$A$2:$A$151,0))&amp;"","")))</f>
        <v/>
      </c>
      <c r="J423" s="18">
        <f>IF($Z423="","",IF(AND(DATE($AD423,1,1)&gt;=$AE423,DATE($AD423,1,1)&lt;=$AF423),ROUND($AG423,2),0))</f>
        <v/>
      </c>
      <c r="K423" s="18">
        <f>IF($Z423="","",IF(AND(DATE($AD423,2,1)&gt;=$AE423,DATE($AD423,2,1)&lt;=$AF423),ROUND($AG423,2),0))</f>
        <v/>
      </c>
      <c r="L423" s="18">
        <f>IF($Z423="","",IF(AND(DATE($AD423,3,1)&gt;=$AE423,DATE($AD423,3,1)&lt;=$AF423),ROUND($AG423,2),0))</f>
        <v/>
      </c>
      <c r="M423" s="18">
        <f>IF($Z423="","",IF(AND(DATE($AD423,4,1)&gt;=$AE423,DATE($AD423,4,1)&lt;=$AF423),ROUND($AG423,2),0))</f>
        <v/>
      </c>
      <c r="N423" s="18">
        <f>IF($Z423="","",IF(AND(DATE($AD423,5,1)&gt;=$AE423,DATE($AD423,5,1)&lt;=$AF423),ROUND($AG423,2),0))</f>
        <v/>
      </c>
      <c r="O423" s="18">
        <f>IF($Z423="","",IF(AND(DATE($AD423,6,1)&gt;=$AE423,DATE($AD423,6,1)&lt;=$AF423),ROUND($AG423,2),0))</f>
        <v/>
      </c>
      <c r="P423" s="18">
        <f>IF($Z423="","",IF(AND(DATE($AD423,7,1)&gt;=$AE423,DATE($AD423,7,1)&lt;=$AF423),ROUND($AG423,2),0))</f>
        <v/>
      </c>
      <c r="Q423" s="18">
        <f>IF($Z423="","",IF(AND(DATE($AD423,8,1)&gt;=$AE423,DATE($AD423,8,1)&lt;=$AF423),ROUND($AG423,2),0))</f>
        <v/>
      </c>
      <c r="R423" s="18">
        <f>IF($Z423="","",IF(AND(DATE($AD423,9,1)&gt;=$AE423,DATE($AD423,9,1)&lt;=$AF423),ROUND($AG423,2),0))</f>
        <v/>
      </c>
      <c r="S423" s="18">
        <f>IF($Z423="","",IF(AND(DATE($AD423,10,1)&gt;=$AE423,DATE($AD423,10,1)&lt;=$AF423),ROUND($AG423,2),0))</f>
        <v/>
      </c>
      <c r="T423" s="18">
        <f>IF($Z423="","",IF(AND(DATE($AD423,11,1)&gt;=$AE423,DATE($AD423,11,1)&lt;=$AF423),ROUND($AG423,2),0))</f>
        <v/>
      </c>
      <c r="U423" s="18">
        <f>IF($Z423="","",IF(AND(DATE($AD423,12,1)&gt;=$AE423,DATE($AD423,12,1)&lt;=$AF423),ROUND($AG423,2),0))</f>
        <v/>
      </c>
      <c r="V423" s="7">
        <f>IF($Z423="C","Generated from "&amp;INDEX(Contracts!$A$2:$A$151,$AB423),IF($Z423="A","Generated from "&amp;INDEX(Fixed_Assets!$A$2:$A$201,$AB423),IF($Z423="F","Generated from "&amp;INDEX(FTE_Allocation!$A$2:$A$201,$AB423),"")))</f>
        <v/>
      </c>
      <c r="X423" s="19">
        <f>IF($Z423="","",SUM(J423:U423))</f>
        <v/>
      </c>
      <c r="Y423" s="20">
        <f>ROW()-1</f>
        <v/>
      </c>
      <c r="Z423" s="20">
        <f>IF($Y423&lt;=Settings!$B$4*3,"C",IF($Y423&lt;=(Settings!$B$4+Settings!$B$5)*3,"A",IF($Y423&lt;=(Settings!$B$4+Settings!$B$5+Settings!$B$6)*3,"F","")))</f>
        <v/>
      </c>
      <c r="AA423" s="20">
        <f>IF($Z423="C",$Y423,IF($Z423="A",$Y423-Settings!$B$4*3,IF($Z423="F",$Y423-(Settings!$B$4+Settings!$B$5)*3,"")))</f>
        <v/>
      </c>
      <c r="AB423" s="20">
        <f>IF($Z423="","",INT(($AA423-1)/3)+1)</f>
        <v/>
      </c>
      <c r="AC423" s="20">
        <f>IF($Z423="","",MOD($AA423-1,3)+1)</f>
        <v/>
      </c>
      <c r="AD423" s="20">
        <f>IF($Z423="","",Settings!$B$2+$AC423-1)</f>
        <v/>
      </c>
      <c r="AE423" s="21">
        <f>IF($Z423="C",DATE(YEAR(INDEX(Contracts!$J$2:$J$151,$AB423)),MONTH(INDEX(Contracts!$J$2:$J$151,$AB423)),1),IF($Z423="A",DATE(YEAR(INDEX(Fixed_Assets!$G$2:$G$201,$AB423)),MONTH(INDEX(Fixed_Assets!$G$2:$G$201,$AB423)),1),IF($Z423="F",DATE(YEAR(MAX(N(INDEX(Workforce!$I$2:$I$151,MATCH(INDEX(FTE_Allocation!$A$2:$A$201,$AB423),Workforce!$A$2:$A$151,0))),N(INDEX(FTE_Allocation!$I$2:$I$201,$AB423)))),MONTH(MAX(N(INDEX(Workforce!$I$2:$I$151,MATCH(INDEX(FTE_Allocation!$A$2:$A$201,$AB423),Workforce!$A$2:$A$151,0))),N(INDEX(FTE_Allocation!$I$2:$I$201,$AB423)))),1),"")))</f>
        <v/>
      </c>
      <c r="AF423" s="21">
        <f>IF($Z423="C",IF(INDEX(Contracts!$I$2:$I$151,$AB423)="PREPAID",EDATE(DATE(YEAR(INDEX(Contracts!$J$2:$J$151,$AB423)),MONTH(INDEX(Contracts!$J$2:$J$151,$AB423)),1),IF(INDEX(Contracts!$N$2:$N$151,$AB423)="",12,INDEX(Contracts!$N$2:$N$151,$AB423))-1),IF(INDEX(Contracts!$I$2:$I$151,$AB423)="MONTHLY",IF(INDEX(Contracts!$K$2:$K$151,$AB423)="",2958101,INDEX(Contracts!$K$2:$K$151,$AB423)),0)),IF($Z423="A",EDATE(DATE(YEAR(INDEX(Fixed_Assets!$G$2:$G$201,$AB423)),MONTH(INDEX(Fixed_Assets!$G$2:$G$201,$AB423)),1),INDEX(Fixed_Assets!$J$2:$J$201,$AB423)-1),IF($Z423="F",MIN(IF(INDEX(Workforce!$J$2:$J$151,MATCH(INDEX(FTE_Allocation!$A$2:$A$201,$AB423),Workforce!$A$2:$A$151,0))="",2958101,INDEX(Workforce!$J$2:$J$151,MATCH(INDEX(FTE_Allocation!$A$2:$A$201,$AB423),Workforce!$A$2:$A$151,0))),IF(INDEX(FTE_Allocation!$J$2:$J$201,$AB423)="",2958101,INDEX(FTE_Allocation!$J$2:$J$201,$AB423))),"")))</f>
        <v/>
      </c>
      <c r="AG423" s="19">
        <f>IF($Z423="C",IF(INDEX(Contracts!$I$2:$I$151,$AB423)="PREPAID",INDEX(Contracts!$M$2:$M$151,$AB423)/IF(INDEX(Contracts!$N$2:$N$151,$AB423)="",12,INDEX(Contracts!$N$2:$N$151,$AB423)),IF(INDEX(Contracts!$I$2:$I$151,$AB423)="MONTHLY",INDEX(Contracts!$M$2:$M$151,$AB423),0))*(1-N(INDEX(Contracts!$O$2:$O$151,$AB423))),IF($Z423="A",INDEX(Fixed_Assets!$H$2:$H$201,$AB423)/INDEX(Fixed_Assets!$J$2:$J$201,$AB423),IF($Z423="F",INDEX(Workforce!$F$2:$F$151,MATCH(INDEX(FTE_Allocation!$A$2:$A$201,$AB423),Workforce!$A$2:$A$151,0))*N(INDEX(FTE_Allocation!$F$2:$H$201,$AB423,$AC423)),"")))</f>
        <v/>
      </c>
    </row>
    <row r="424">
      <c r="A424" s="7">
        <f>IF($Z424="","",$AD424)</f>
        <v/>
      </c>
      <c r="B424" s="7">
        <f>IF($Z424="C",INDEX(Contracts!$D$2:$D$151,$AB424)&amp;"",IF($Z424="A",INDEX(Fixed_Assets!$C$2:$C$201,$AB424)&amp;"",IF($Z424="F",INDEX(Workforce!$B$2:$B$151,MATCH(INDEX(FTE_Allocation!$A$2:$A$201,$AB424),Workforce!$A$2:$A$151,0))&amp;"","")))</f>
        <v/>
      </c>
      <c r="C424" s="7">
        <f>IF($Z424="C",INDEX(Contracts!$E$2:$E$151,$AB424)&amp;"",IF($Z424="A",INDEX(Fixed_Assets!$D$2:$D$201,$AB424)&amp;"",IF($Z424="F",INDEX(FTE_Allocation!$C$2:$C$201,$AB424)&amp;"","")))</f>
        <v/>
      </c>
      <c r="D424" s="7">
        <f>IF($Z424="C",INDEX(Contracts!$B$2:$B$151,$AB424)&amp;"",IF($Z424="A",INDEX(Fixed_Assets!$B$2:$B$201,$AB424)&amp;"",IF($Z424="F",INDEX(FTE_Allocation!$B$2:$B$201,$AB424)&amp;"","")))</f>
        <v/>
      </c>
      <c r="E424" s="7">
        <f>IF($Z424="C",INDEX(Contracts!$P$2:$P$151,$AB424)&amp;"",IF($Z424="A",INDEX(Fixed_Assets!$K$2:$K$201,$AB424)&amp;"",IF($Z424="F",IF(INDEX(FTE_Allocation!$D$2:$D$201,$AB424)="PROJECT",IFERROR(INDEX(Projects!$D:$D,MATCH(INDEX(FTE_Allocation!$E$2:$E$201,$AB424),Projects!$A:$A,0))&amp;"","#PROJECT?"),INDEX(FTE_Allocation!$E$2:$E$201,$AB424)&amp;""),"")))</f>
        <v/>
      </c>
      <c r="F424" s="7">
        <f>IF($Z424="C",INDEX(Contracts!$Q$2:$Q$151,$AB424)&amp;"",IF($Z424="A",INDEX(Fixed_Assets!$L$2:$L$201,$AB424)&amp;"",IF($Z424="F",INDEX(Workforce!$K$2:$K$151,MATCH(INDEX(FTE_Allocation!$A$2:$A$201,$AB424),Workforce!$A$2:$A$151,0))&amp;"","")))</f>
        <v/>
      </c>
      <c r="G424" s="7">
        <f>IF($Z424="C",INDEX(Contracts!$F$2:$F$151,$AB424)&amp;" / "&amp;INDEX(Contracts!$G$2:$G$151,$AB424),IF($Z424="A",INDEX(Fixed_Assets!$E$2:$E$201,$AB424)&amp;"",IF($Z424="F","Personnel "&amp;INDEX(FTE_Allocation!$A$2:$A$201,$AB424)&amp;IF(INDEX(FTE_Allocation!$D$2:$D$201,$AB424)="PROJECT"," ("&amp;INDEX(FTE_Allocation!$E$2:$E$201,$AB424)&amp;")",""),"")))</f>
        <v/>
      </c>
      <c r="H424" s="7">
        <f>IF($Z424="C","CONTRACT",IF($Z424="A","ASSET",IF($Z424="F","WORKFORCE","")))</f>
        <v/>
      </c>
      <c r="I424" s="7">
        <f>IF($Z424="C",INDEX(Contracts!$L$2:$L$151,$AB424)&amp;"",IF($Z424="A",INDEX(Fixed_Assets!$I$2:$I$201,$AB424)&amp;"",IF($Z424="F",INDEX(Workforce!$G$2:$G$151,MATCH(INDEX(FTE_Allocation!$A$2:$A$201,$AB424),Workforce!$A$2:$A$151,0))&amp;"","")))</f>
        <v/>
      </c>
      <c r="J424" s="18">
        <f>IF($Z424="","",IF(AND(DATE($AD424,1,1)&gt;=$AE424,DATE($AD424,1,1)&lt;=$AF424),ROUND($AG424,2),0))</f>
        <v/>
      </c>
      <c r="K424" s="18">
        <f>IF($Z424="","",IF(AND(DATE($AD424,2,1)&gt;=$AE424,DATE($AD424,2,1)&lt;=$AF424),ROUND($AG424,2),0))</f>
        <v/>
      </c>
      <c r="L424" s="18">
        <f>IF($Z424="","",IF(AND(DATE($AD424,3,1)&gt;=$AE424,DATE($AD424,3,1)&lt;=$AF424),ROUND($AG424,2),0))</f>
        <v/>
      </c>
      <c r="M424" s="18">
        <f>IF($Z424="","",IF(AND(DATE($AD424,4,1)&gt;=$AE424,DATE($AD424,4,1)&lt;=$AF424),ROUND($AG424,2),0))</f>
        <v/>
      </c>
      <c r="N424" s="18">
        <f>IF($Z424="","",IF(AND(DATE($AD424,5,1)&gt;=$AE424,DATE($AD424,5,1)&lt;=$AF424),ROUND($AG424,2),0))</f>
        <v/>
      </c>
      <c r="O424" s="18">
        <f>IF($Z424="","",IF(AND(DATE($AD424,6,1)&gt;=$AE424,DATE($AD424,6,1)&lt;=$AF424),ROUND($AG424,2),0))</f>
        <v/>
      </c>
      <c r="P424" s="18">
        <f>IF($Z424="","",IF(AND(DATE($AD424,7,1)&gt;=$AE424,DATE($AD424,7,1)&lt;=$AF424),ROUND($AG424,2),0))</f>
        <v/>
      </c>
      <c r="Q424" s="18">
        <f>IF($Z424="","",IF(AND(DATE($AD424,8,1)&gt;=$AE424,DATE($AD424,8,1)&lt;=$AF424),ROUND($AG424,2),0))</f>
        <v/>
      </c>
      <c r="R424" s="18">
        <f>IF($Z424="","",IF(AND(DATE($AD424,9,1)&gt;=$AE424,DATE($AD424,9,1)&lt;=$AF424),ROUND($AG424,2),0))</f>
        <v/>
      </c>
      <c r="S424" s="18">
        <f>IF($Z424="","",IF(AND(DATE($AD424,10,1)&gt;=$AE424,DATE($AD424,10,1)&lt;=$AF424),ROUND($AG424,2),0))</f>
        <v/>
      </c>
      <c r="T424" s="18">
        <f>IF($Z424="","",IF(AND(DATE($AD424,11,1)&gt;=$AE424,DATE($AD424,11,1)&lt;=$AF424),ROUND($AG424,2),0))</f>
        <v/>
      </c>
      <c r="U424" s="18">
        <f>IF($Z424="","",IF(AND(DATE($AD424,12,1)&gt;=$AE424,DATE($AD424,12,1)&lt;=$AF424),ROUND($AG424,2),0))</f>
        <v/>
      </c>
      <c r="V424" s="7">
        <f>IF($Z424="C","Generated from "&amp;INDEX(Contracts!$A$2:$A$151,$AB424),IF($Z424="A","Generated from "&amp;INDEX(Fixed_Assets!$A$2:$A$201,$AB424),IF($Z424="F","Generated from "&amp;INDEX(FTE_Allocation!$A$2:$A$201,$AB424),"")))</f>
        <v/>
      </c>
      <c r="X424" s="19">
        <f>IF($Z424="","",SUM(J424:U424))</f>
        <v/>
      </c>
      <c r="Y424" s="20">
        <f>ROW()-1</f>
        <v/>
      </c>
      <c r="Z424" s="20">
        <f>IF($Y424&lt;=Settings!$B$4*3,"C",IF($Y424&lt;=(Settings!$B$4+Settings!$B$5)*3,"A",IF($Y424&lt;=(Settings!$B$4+Settings!$B$5+Settings!$B$6)*3,"F","")))</f>
        <v/>
      </c>
      <c r="AA424" s="20">
        <f>IF($Z424="C",$Y424,IF($Z424="A",$Y424-Settings!$B$4*3,IF($Z424="F",$Y424-(Settings!$B$4+Settings!$B$5)*3,"")))</f>
        <v/>
      </c>
      <c r="AB424" s="20">
        <f>IF($Z424="","",INT(($AA424-1)/3)+1)</f>
        <v/>
      </c>
      <c r="AC424" s="20">
        <f>IF($Z424="","",MOD($AA424-1,3)+1)</f>
        <v/>
      </c>
      <c r="AD424" s="20">
        <f>IF($Z424="","",Settings!$B$2+$AC424-1)</f>
        <v/>
      </c>
      <c r="AE424" s="21">
        <f>IF($Z424="C",DATE(YEAR(INDEX(Contracts!$J$2:$J$151,$AB424)),MONTH(INDEX(Contracts!$J$2:$J$151,$AB424)),1),IF($Z424="A",DATE(YEAR(INDEX(Fixed_Assets!$G$2:$G$201,$AB424)),MONTH(INDEX(Fixed_Assets!$G$2:$G$201,$AB424)),1),IF($Z424="F",DATE(YEAR(MAX(N(INDEX(Workforce!$I$2:$I$151,MATCH(INDEX(FTE_Allocation!$A$2:$A$201,$AB424),Workforce!$A$2:$A$151,0))),N(INDEX(FTE_Allocation!$I$2:$I$201,$AB424)))),MONTH(MAX(N(INDEX(Workforce!$I$2:$I$151,MATCH(INDEX(FTE_Allocation!$A$2:$A$201,$AB424),Workforce!$A$2:$A$151,0))),N(INDEX(FTE_Allocation!$I$2:$I$201,$AB424)))),1),"")))</f>
        <v/>
      </c>
      <c r="AF424" s="21">
        <f>IF($Z424="C",IF(INDEX(Contracts!$I$2:$I$151,$AB424)="PREPAID",EDATE(DATE(YEAR(INDEX(Contracts!$J$2:$J$151,$AB424)),MONTH(INDEX(Contracts!$J$2:$J$151,$AB424)),1),IF(INDEX(Contracts!$N$2:$N$151,$AB424)="",12,INDEX(Contracts!$N$2:$N$151,$AB424))-1),IF(INDEX(Contracts!$I$2:$I$151,$AB424)="MONTHLY",IF(INDEX(Contracts!$K$2:$K$151,$AB424)="",2958101,INDEX(Contracts!$K$2:$K$151,$AB424)),0)),IF($Z424="A",EDATE(DATE(YEAR(INDEX(Fixed_Assets!$G$2:$G$201,$AB424)),MONTH(INDEX(Fixed_Assets!$G$2:$G$201,$AB424)),1),INDEX(Fixed_Assets!$J$2:$J$201,$AB424)-1),IF($Z424="F",MIN(IF(INDEX(Workforce!$J$2:$J$151,MATCH(INDEX(FTE_Allocation!$A$2:$A$201,$AB424),Workforce!$A$2:$A$151,0))="",2958101,INDEX(Workforce!$J$2:$J$151,MATCH(INDEX(FTE_Allocation!$A$2:$A$201,$AB424),Workforce!$A$2:$A$151,0))),IF(INDEX(FTE_Allocation!$J$2:$J$201,$AB424)="",2958101,INDEX(FTE_Allocation!$J$2:$J$201,$AB424))),"")))</f>
        <v/>
      </c>
      <c r="AG424" s="19">
        <f>IF($Z424="C",IF(INDEX(Contracts!$I$2:$I$151,$AB424)="PREPAID",INDEX(Contracts!$M$2:$M$151,$AB424)/IF(INDEX(Contracts!$N$2:$N$151,$AB424)="",12,INDEX(Contracts!$N$2:$N$151,$AB424)),IF(INDEX(Contracts!$I$2:$I$151,$AB424)="MONTHLY",INDEX(Contracts!$M$2:$M$151,$AB424),0))*(1-N(INDEX(Contracts!$O$2:$O$151,$AB424))),IF($Z424="A",INDEX(Fixed_Assets!$H$2:$H$201,$AB424)/INDEX(Fixed_Assets!$J$2:$J$201,$AB424),IF($Z424="F",INDEX(Workforce!$F$2:$F$151,MATCH(INDEX(FTE_Allocation!$A$2:$A$201,$AB424),Workforce!$A$2:$A$151,0))*N(INDEX(FTE_Allocation!$F$2:$H$201,$AB424,$AC424)),"")))</f>
        <v/>
      </c>
    </row>
    <row r="425">
      <c r="A425" s="7">
        <f>IF($Z425="","",$AD425)</f>
        <v/>
      </c>
      <c r="B425" s="7">
        <f>IF($Z425="C",INDEX(Contracts!$D$2:$D$151,$AB425)&amp;"",IF($Z425="A",INDEX(Fixed_Assets!$C$2:$C$201,$AB425)&amp;"",IF($Z425="F",INDEX(Workforce!$B$2:$B$151,MATCH(INDEX(FTE_Allocation!$A$2:$A$201,$AB425),Workforce!$A$2:$A$151,0))&amp;"","")))</f>
        <v/>
      </c>
      <c r="C425" s="7">
        <f>IF($Z425="C",INDEX(Contracts!$E$2:$E$151,$AB425)&amp;"",IF($Z425="A",INDEX(Fixed_Assets!$D$2:$D$201,$AB425)&amp;"",IF($Z425="F",INDEX(FTE_Allocation!$C$2:$C$201,$AB425)&amp;"","")))</f>
        <v/>
      </c>
      <c r="D425" s="7">
        <f>IF($Z425="C",INDEX(Contracts!$B$2:$B$151,$AB425)&amp;"",IF($Z425="A",INDEX(Fixed_Assets!$B$2:$B$201,$AB425)&amp;"",IF($Z425="F",INDEX(FTE_Allocation!$B$2:$B$201,$AB425)&amp;"","")))</f>
        <v/>
      </c>
      <c r="E425" s="7">
        <f>IF($Z425="C",INDEX(Contracts!$P$2:$P$151,$AB425)&amp;"",IF($Z425="A",INDEX(Fixed_Assets!$K$2:$K$201,$AB425)&amp;"",IF($Z425="F",IF(INDEX(FTE_Allocation!$D$2:$D$201,$AB425)="PROJECT",IFERROR(INDEX(Projects!$D:$D,MATCH(INDEX(FTE_Allocation!$E$2:$E$201,$AB425),Projects!$A:$A,0))&amp;"","#PROJECT?"),INDEX(FTE_Allocation!$E$2:$E$201,$AB425)&amp;""),"")))</f>
        <v/>
      </c>
      <c r="F425" s="7">
        <f>IF($Z425="C",INDEX(Contracts!$Q$2:$Q$151,$AB425)&amp;"",IF($Z425="A",INDEX(Fixed_Assets!$L$2:$L$201,$AB425)&amp;"",IF($Z425="F",INDEX(Workforce!$K$2:$K$151,MATCH(INDEX(FTE_Allocation!$A$2:$A$201,$AB425),Workforce!$A$2:$A$151,0))&amp;"","")))</f>
        <v/>
      </c>
      <c r="G425" s="7">
        <f>IF($Z425="C",INDEX(Contracts!$F$2:$F$151,$AB425)&amp;" / "&amp;INDEX(Contracts!$G$2:$G$151,$AB425),IF($Z425="A",INDEX(Fixed_Assets!$E$2:$E$201,$AB425)&amp;"",IF($Z425="F","Personnel "&amp;INDEX(FTE_Allocation!$A$2:$A$201,$AB425)&amp;IF(INDEX(FTE_Allocation!$D$2:$D$201,$AB425)="PROJECT"," ("&amp;INDEX(FTE_Allocation!$E$2:$E$201,$AB425)&amp;")",""),"")))</f>
        <v/>
      </c>
      <c r="H425" s="7">
        <f>IF($Z425="C","CONTRACT",IF($Z425="A","ASSET",IF($Z425="F","WORKFORCE","")))</f>
        <v/>
      </c>
      <c r="I425" s="7">
        <f>IF($Z425="C",INDEX(Contracts!$L$2:$L$151,$AB425)&amp;"",IF($Z425="A",INDEX(Fixed_Assets!$I$2:$I$201,$AB425)&amp;"",IF($Z425="F",INDEX(Workforce!$G$2:$G$151,MATCH(INDEX(FTE_Allocation!$A$2:$A$201,$AB425),Workforce!$A$2:$A$151,0))&amp;"","")))</f>
        <v/>
      </c>
      <c r="J425" s="18">
        <f>IF($Z425="","",IF(AND(DATE($AD425,1,1)&gt;=$AE425,DATE($AD425,1,1)&lt;=$AF425),ROUND($AG425,2),0))</f>
        <v/>
      </c>
      <c r="K425" s="18">
        <f>IF($Z425="","",IF(AND(DATE($AD425,2,1)&gt;=$AE425,DATE($AD425,2,1)&lt;=$AF425),ROUND($AG425,2),0))</f>
        <v/>
      </c>
      <c r="L425" s="18">
        <f>IF($Z425="","",IF(AND(DATE($AD425,3,1)&gt;=$AE425,DATE($AD425,3,1)&lt;=$AF425),ROUND($AG425,2),0))</f>
        <v/>
      </c>
      <c r="M425" s="18">
        <f>IF($Z425="","",IF(AND(DATE($AD425,4,1)&gt;=$AE425,DATE($AD425,4,1)&lt;=$AF425),ROUND($AG425,2),0))</f>
        <v/>
      </c>
      <c r="N425" s="18">
        <f>IF($Z425="","",IF(AND(DATE($AD425,5,1)&gt;=$AE425,DATE($AD425,5,1)&lt;=$AF425),ROUND($AG425,2),0))</f>
        <v/>
      </c>
      <c r="O425" s="18">
        <f>IF($Z425="","",IF(AND(DATE($AD425,6,1)&gt;=$AE425,DATE($AD425,6,1)&lt;=$AF425),ROUND($AG425,2),0))</f>
        <v/>
      </c>
      <c r="P425" s="18">
        <f>IF($Z425="","",IF(AND(DATE($AD425,7,1)&gt;=$AE425,DATE($AD425,7,1)&lt;=$AF425),ROUND($AG425,2),0))</f>
        <v/>
      </c>
      <c r="Q425" s="18">
        <f>IF($Z425="","",IF(AND(DATE($AD425,8,1)&gt;=$AE425,DATE($AD425,8,1)&lt;=$AF425),ROUND($AG425,2),0))</f>
        <v/>
      </c>
      <c r="R425" s="18">
        <f>IF($Z425="","",IF(AND(DATE($AD425,9,1)&gt;=$AE425,DATE($AD425,9,1)&lt;=$AF425),ROUND($AG425,2),0))</f>
        <v/>
      </c>
      <c r="S425" s="18">
        <f>IF($Z425="","",IF(AND(DATE($AD425,10,1)&gt;=$AE425,DATE($AD425,10,1)&lt;=$AF425),ROUND($AG425,2),0))</f>
        <v/>
      </c>
      <c r="T425" s="18">
        <f>IF($Z425="","",IF(AND(DATE($AD425,11,1)&gt;=$AE425,DATE($AD425,11,1)&lt;=$AF425),ROUND($AG425,2),0))</f>
        <v/>
      </c>
      <c r="U425" s="18">
        <f>IF($Z425="","",IF(AND(DATE($AD425,12,1)&gt;=$AE425,DATE($AD425,12,1)&lt;=$AF425),ROUND($AG425,2),0))</f>
        <v/>
      </c>
      <c r="V425" s="7">
        <f>IF($Z425="C","Generated from "&amp;INDEX(Contracts!$A$2:$A$151,$AB425),IF($Z425="A","Generated from "&amp;INDEX(Fixed_Assets!$A$2:$A$201,$AB425),IF($Z425="F","Generated from "&amp;INDEX(FTE_Allocation!$A$2:$A$201,$AB425),"")))</f>
        <v/>
      </c>
      <c r="X425" s="19">
        <f>IF($Z425="","",SUM(J425:U425))</f>
        <v/>
      </c>
      <c r="Y425" s="20">
        <f>ROW()-1</f>
        <v/>
      </c>
      <c r="Z425" s="20">
        <f>IF($Y425&lt;=Settings!$B$4*3,"C",IF($Y425&lt;=(Settings!$B$4+Settings!$B$5)*3,"A",IF($Y425&lt;=(Settings!$B$4+Settings!$B$5+Settings!$B$6)*3,"F","")))</f>
        <v/>
      </c>
      <c r="AA425" s="20">
        <f>IF($Z425="C",$Y425,IF($Z425="A",$Y425-Settings!$B$4*3,IF($Z425="F",$Y425-(Settings!$B$4+Settings!$B$5)*3,"")))</f>
        <v/>
      </c>
      <c r="AB425" s="20">
        <f>IF($Z425="","",INT(($AA425-1)/3)+1)</f>
        <v/>
      </c>
      <c r="AC425" s="20">
        <f>IF($Z425="","",MOD($AA425-1,3)+1)</f>
        <v/>
      </c>
      <c r="AD425" s="20">
        <f>IF($Z425="","",Settings!$B$2+$AC425-1)</f>
        <v/>
      </c>
      <c r="AE425" s="21">
        <f>IF($Z425="C",DATE(YEAR(INDEX(Contracts!$J$2:$J$151,$AB425)),MONTH(INDEX(Contracts!$J$2:$J$151,$AB425)),1),IF($Z425="A",DATE(YEAR(INDEX(Fixed_Assets!$G$2:$G$201,$AB425)),MONTH(INDEX(Fixed_Assets!$G$2:$G$201,$AB425)),1),IF($Z425="F",DATE(YEAR(MAX(N(INDEX(Workforce!$I$2:$I$151,MATCH(INDEX(FTE_Allocation!$A$2:$A$201,$AB425),Workforce!$A$2:$A$151,0))),N(INDEX(FTE_Allocation!$I$2:$I$201,$AB425)))),MONTH(MAX(N(INDEX(Workforce!$I$2:$I$151,MATCH(INDEX(FTE_Allocation!$A$2:$A$201,$AB425),Workforce!$A$2:$A$151,0))),N(INDEX(FTE_Allocation!$I$2:$I$201,$AB425)))),1),"")))</f>
        <v/>
      </c>
      <c r="AF425" s="21">
        <f>IF($Z425="C",IF(INDEX(Contracts!$I$2:$I$151,$AB425)="PREPAID",EDATE(DATE(YEAR(INDEX(Contracts!$J$2:$J$151,$AB425)),MONTH(INDEX(Contracts!$J$2:$J$151,$AB425)),1),IF(INDEX(Contracts!$N$2:$N$151,$AB425)="",12,INDEX(Contracts!$N$2:$N$151,$AB425))-1),IF(INDEX(Contracts!$I$2:$I$151,$AB425)="MONTHLY",IF(INDEX(Contracts!$K$2:$K$151,$AB425)="",2958101,INDEX(Contracts!$K$2:$K$151,$AB425)),0)),IF($Z425="A",EDATE(DATE(YEAR(INDEX(Fixed_Assets!$G$2:$G$201,$AB425)),MONTH(INDEX(Fixed_Assets!$G$2:$G$201,$AB425)),1),INDEX(Fixed_Assets!$J$2:$J$201,$AB425)-1),IF($Z425="F",MIN(IF(INDEX(Workforce!$J$2:$J$151,MATCH(INDEX(FTE_Allocation!$A$2:$A$201,$AB425),Workforce!$A$2:$A$151,0))="",2958101,INDEX(Workforce!$J$2:$J$151,MATCH(INDEX(FTE_Allocation!$A$2:$A$201,$AB425),Workforce!$A$2:$A$151,0))),IF(INDEX(FTE_Allocation!$J$2:$J$201,$AB425)="",2958101,INDEX(FTE_Allocation!$J$2:$J$201,$AB425))),"")))</f>
        <v/>
      </c>
      <c r="AG425" s="19">
        <f>IF($Z425="C",IF(INDEX(Contracts!$I$2:$I$151,$AB425)="PREPAID",INDEX(Contracts!$M$2:$M$151,$AB425)/IF(INDEX(Contracts!$N$2:$N$151,$AB425)="",12,INDEX(Contracts!$N$2:$N$151,$AB425)),IF(INDEX(Contracts!$I$2:$I$151,$AB425)="MONTHLY",INDEX(Contracts!$M$2:$M$151,$AB425),0))*(1-N(INDEX(Contracts!$O$2:$O$151,$AB425))),IF($Z425="A",INDEX(Fixed_Assets!$H$2:$H$201,$AB425)/INDEX(Fixed_Assets!$J$2:$J$201,$AB425),IF($Z425="F",INDEX(Workforce!$F$2:$F$151,MATCH(INDEX(FTE_Allocation!$A$2:$A$201,$AB425),Workforce!$A$2:$A$151,0))*N(INDEX(FTE_Allocation!$F$2:$H$201,$AB425,$AC425)),"")))</f>
        <v/>
      </c>
    </row>
    <row r="426">
      <c r="A426" s="7">
        <f>IF($Z426="","",$AD426)</f>
        <v/>
      </c>
      <c r="B426" s="7">
        <f>IF($Z426="C",INDEX(Contracts!$D$2:$D$151,$AB426)&amp;"",IF($Z426="A",INDEX(Fixed_Assets!$C$2:$C$201,$AB426)&amp;"",IF($Z426="F",INDEX(Workforce!$B$2:$B$151,MATCH(INDEX(FTE_Allocation!$A$2:$A$201,$AB426),Workforce!$A$2:$A$151,0))&amp;"","")))</f>
        <v/>
      </c>
      <c r="C426" s="7">
        <f>IF($Z426="C",INDEX(Contracts!$E$2:$E$151,$AB426)&amp;"",IF($Z426="A",INDEX(Fixed_Assets!$D$2:$D$201,$AB426)&amp;"",IF($Z426="F",INDEX(FTE_Allocation!$C$2:$C$201,$AB426)&amp;"","")))</f>
        <v/>
      </c>
      <c r="D426" s="7">
        <f>IF($Z426="C",INDEX(Contracts!$B$2:$B$151,$AB426)&amp;"",IF($Z426="A",INDEX(Fixed_Assets!$B$2:$B$201,$AB426)&amp;"",IF($Z426="F",INDEX(FTE_Allocation!$B$2:$B$201,$AB426)&amp;"","")))</f>
        <v/>
      </c>
      <c r="E426" s="7">
        <f>IF($Z426="C",INDEX(Contracts!$P$2:$P$151,$AB426)&amp;"",IF($Z426="A",INDEX(Fixed_Assets!$K$2:$K$201,$AB426)&amp;"",IF($Z426="F",IF(INDEX(FTE_Allocation!$D$2:$D$201,$AB426)="PROJECT",IFERROR(INDEX(Projects!$D:$D,MATCH(INDEX(FTE_Allocation!$E$2:$E$201,$AB426),Projects!$A:$A,0))&amp;"","#PROJECT?"),INDEX(FTE_Allocation!$E$2:$E$201,$AB426)&amp;""),"")))</f>
        <v/>
      </c>
      <c r="F426" s="7">
        <f>IF($Z426="C",INDEX(Contracts!$Q$2:$Q$151,$AB426)&amp;"",IF($Z426="A",INDEX(Fixed_Assets!$L$2:$L$201,$AB426)&amp;"",IF($Z426="F",INDEX(Workforce!$K$2:$K$151,MATCH(INDEX(FTE_Allocation!$A$2:$A$201,$AB426),Workforce!$A$2:$A$151,0))&amp;"","")))</f>
        <v/>
      </c>
      <c r="G426" s="7">
        <f>IF($Z426="C",INDEX(Contracts!$F$2:$F$151,$AB426)&amp;" / "&amp;INDEX(Contracts!$G$2:$G$151,$AB426),IF($Z426="A",INDEX(Fixed_Assets!$E$2:$E$201,$AB426)&amp;"",IF($Z426="F","Personnel "&amp;INDEX(FTE_Allocation!$A$2:$A$201,$AB426)&amp;IF(INDEX(FTE_Allocation!$D$2:$D$201,$AB426)="PROJECT"," ("&amp;INDEX(FTE_Allocation!$E$2:$E$201,$AB426)&amp;")",""),"")))</f>
        <v/>
      </c>
      <c r="H426" s="7">
        <f>IF($Z426="C","CONTRACT",IF($Z426="A","ASSET",IF($Z426="F","WORKFORCE","")))</f>
        <v/>
      </c>
      <c r="I426" s="7">
        <f>IF($Z426="C",INDEX(Contracts!$L$2:$L$151,$AB426)&amp;"",IF($Z426="A",INDEX(Fixed_Assets!$I$2:$I$201,$AB426)&amp;"",IF($Z426="F",INDEX(Workforce!$G$2:$G$151,MATCH(INDEX(FTE_Allocation!$A$2:$A$201,$AB426),Workforce!$A$2:$A$151,0))&amp;"","")))</f>
        <v/>
      </c>
      <c r="J426" s="18">
        <f>IF($Z426="","",IF(AND(DATE($AD426,1,1)&gt;=$AE426,DATE($AD426,1,1)&lt;=$AF426),ROUND($AG426,2),0))</f>
        <v/>
      </c>
      <c r="K426" s="18">
        <f>IF($Z426="","",IF(AND(DATE($AD426,2,1)&gt;=$AE426,DATE($AD426,2,1)&lt;=$AF426),ROUND($AG426,2),0))</f>
        <v/>
      </c>
      <c r="L426" s="18">
        <f>IF($Z426="","",IF(AND(DATE($AD426,3,1)&gt;=$AE426,DATE($AD426,3,1)&lt;=$AF426),ROUND($AG426,2),0))</f>
        <v/>
      </c>
      <c r="M426" s="18">
        <f>IF($Z426="","",IF(AND(DATE($AD426,4,1)&gt;=$AE426,DATE($AD426,4,1)&lt;=$AF426),ROUND($AG426,2),0))</f>
        <v/>
      </c>
      <c r="N426" s="18">
        <f>IF($Z426="","",IF(AND(DATE($AD426,5,1)&gt;=$AE426,DATE($AD426,5,1)&lt;=$AF426),ROUND($AG426,2),0))</f>
        <v/>
      </c>
      <c r="O426" s="18">
        <f>IF($Z426="","",IF(AND(DATE($AD426,6,1)&gt;=$AE426,DATE($AD426,6,1)&lt;=$AF426),ROUND($AG426,2),0))</f>
        <v/>
      </c>
      <c r="P426" s="18">
        <f>IF($Z426="","",IF(AND(DATE($AD426,7,1)&gt;=$AE426,DATE($AD426,7,1)&lt;=$AF426),ROUND($AG426,2),0))</f>
        <v/>
      </c>
      <c r="Q426" s="18">
        <f>IF($Z426="","",IF(AND(DATE($AD426,8,1)&gt;=$AE426,DATE($AD426,8,1)&lt;=$AF426),ROUND($AG426,2),0))</f>
        <v/>
      </c>
      <c r="R426" s="18">
        <f>IF($Z426="","",IF(AND(DATE($AD426,9,1)&gt;=$AE426,DATE($AD426,9,1)&lt;=$AF426),ROUND($AG426,2),0))</f>
        <v/>
      </c>
      <c r="S426" s="18">
        <f>IF($Z426="","",IF(AND(DATE($AD426,10,1)&gt;=$AE426,DATE($AD426,10,1)&lt;=$AF426),ROUND($AG426,2),0))</f>
        <v/>
      </c>
      <c r="T426" s="18">
        <f>IF($Z426="","",IF(AND(DATE($AD426,11,1)&gt;=$AE426,DATE($AD426,11,1)&lt;=$AF426),ROUND($AG426,2),0))</f>
        <v/>
      </c>
      <c r="U426" s="18">
        <f>IF($Z426="","",IF(AND(DATE($AD426,12,1)&gt;=$AE426,DATE($AD426,12,1)&lt;=$AF426),ROUND($AG426,2),0))</f>
        <v/>
      </c>
      <c r="V426" s="7">
        <f>IF($Z426="C","Generated from "&amp;INDEX(Contracts!$A$2:$A$151,$AB426),IF($Z426="A","Generated from "&amp;INDEX(Fixed_Assets!$A$2:$A$201,$AB426),IF($Z426="F","Generated from "&amp;INDEX(FTE_Allocation!$A$2:$A$201,$AB426),"")))</f>
        <v/>
      </c>
      <c r="X426" s="19">
        <f>IF($Z426="","",SUM(J426:U426))</f>
        <v/>
      </c>
      <c r="Y426" s="20">
        <f>ROW()-1</f>
        <v/>
      </c>
      <c r="Z426" s="20">
        <f>IF($Y426&lt;=Settings!$B$4*3,"C",IF($Y426&lt;=(Settings!$B$4+Settings!$B$5)*3,"A",IF($Y426&lt;=(Settings!$B$4+Settings!$B$5+Settings!$B$6)*3,"F","")))</f>
        <v/>
      </c>
      <c r="AA426" s="20">
        <f>IF($Z426="C",$Y426,IF($Z426="A",$Y426-Settings!$B$4*3,IF($Z426="F",$Y426-(Settings!$B$4+Settings!$B$5)*3,"")))</f>
        <v/>
      </c>
      <c r="AB426" s="20">
        <f>IF($Z426="","",INT(($AA426-1)/3)+1)</f>
        <v/>
      </c>
      <c r="AC426" s="20">
        <f>IF($Z426="","",MOD($AA426-1,3)+1)</f>
        <v/>
      </c>
      <c r="AD426" s="20">
        <f>IF($Z426="","",Settings!$B$2+$AC426-1)</f>
        <v/>
      </c>
      <c r="AE426" s="21">
        <f>IF($Z426="C",DATE(YEAR(INDEX(Contracts!$J$2:$J$151,$AB426)),MONTH(INDEX(Contracts!$J$2:$J$151,$AB426)),1),IF($Z426="A",DATE(YEAR(INDEX(Fixed_Assets!$G$2:$G$201,$AB426)),MONTH(INDEX(Fixed_Assets!$G$2:$G$201,$AB426)),1),IF($Z426="F",DATE(YEAR(MAX(N(INDEX(Workforce!$I$2:$I$151,MATCH(INDEX(FTE_Allocation!$A$2:$A$201,$AB426),Workforce!$A$2:$A$151,0))),N(INDEX(FTE_Allocation!$I$2:$I$201,$AB426)))),MONTH(MAX(N(INDEX(Workforce!$I$2:$I$151,MATCH(INDEX(FTE_Allocation!$A$2:$A$201,$AB426),Workforce!$A$2:$A$151,0))),N(INDEX(FTE_Allocation!$I$2:$I$201,$AB426)))),1),"")))</f>
        <v/>
      </c>
      <c r="AF426" s="21">
        <f>IF($Z426="C",IF(INDEX(Contracts!$I$2:$I$151,$AB426)="PREPAID",EDATE(DATE(YEAR(INDEX(Contracts!$J$2:$J$151,$AB426)),MONTH(INDEX(Contracts!$J$2:$J$151,$AB426)),1),IF(INDEX(Contracts!$N$2:$N$151,$AB426)="",12,INDEX(Contracts!$N$2:$N$151,$AB426))-1),IF(INDEX(Contracts!$I$2:$I$151,$AB426)="MONTHLY",IF(INDEX(Contracts!$K$2:$K$151,$AB426)="",2958101,INDEX(Contracts!$K$2:$K$151,$AB426)),0)),IF($Z426="A",EDATE(DATE(YEAR(INDEX(Fixed_Assets!$G$2:$G$201,$AB426)),MONTH(INDEX(Fixed_Assets!$G$2:$G$201,$AB426)),1),INDEX(Fixed_Assets!$J$2:$J$201,$AB426)-1),IF($Z426="F",MIN(IF(INDEX(Workforce!$J$2:$J$151,MATCH(INDEX(FTE_Allocation!$A$2:$A$201,$AB426),Workforce!$A$2:$A$151,0))="",2958101,INDEX(Workforce!$J$2:$J$151,MATCH(INDEX(FTE_Allocation!$A$2:$A$201,$AB426),Workforce!$A$2:$A$151,0))),IF(INDEX(FTE_Allocation!$J$2:$J$201,$AB426)="",2958101,INDEX(FTE_Allocation!$J$2:$J$201,$AB426))),"")))</f>
        <v/>
      </c>
      <c r="AG426" s="19">
        <f>IF($Z426="C",IF(INDEX(Contracts!$I$2:$I$151,$AB426)="PREPAID",INDEX(Contracts!$M$2:$M$151,$AB426)/IF(INDEX(Contracts!$N$2:$N$151,$AB426)="",12,INDEX(Contracts!$N$2:$N$151,$AB426)),IF(INDEX(Contracts!$I$2:$I$151,$AB426)="MONTHLY",INDEX(Contracts!$M$2:$M$151,$AB426),0))*(1-N(INDEX(Contracts!$O$2:$O$151,$AB426))),IF($Z426="A",INDEX(Fixed_Assets!$H$2:$H$201,$AB426)/INDEX(Fixed_Assets!$J$2:$J$201,$AB426),IF($Z426="F",INDEX(Workforce!$F$2:$F$151,MATCH(INDEX(FTE_Allocation!$A$2:$A$201,$AB426),Workforce!$A$2:$A$151,0))*N(INDEX(FTE_Allocation!$F$2:$H$201,$AB426,$AC426)),"")))</f>
        <v/>
      </c>
    </row>
    <row r="427">
      <c r="A427" s="7">
        <f>IF($Z427="","",$AD427)</f>
        <v/>
      </c>
      <c r="B427" s="7">
        <f>IF($Z427="C",INDEX(Contracts!$D$2:$D$151,$AB427)&amp;"",IF($Z427="A",INDEX(Fixed_Assets!$C$2:$C$201,$AB427)&amp;"",IF($Z427="F",INDEX(Workforce!$B$2:$B$151,MATCH(INDEX(FTE_Allocation!$A$2:$A$201,$AB427),Workforce!$A$2:$A$151,0))&amp;"","")))</f>
        <v/>
      </c>
      <c r="C427" s="7">
        <f>IF($Z427="C",INDEX(Contracts!$E$2:$E$151,$AB427)&amp;"",IF($Z427="A",INDEX(Fixed_Assets!$D$2:$D$201,$AB427)&amp;"",IF($Z427="F",INDEX(FTE_Allocation!$C$2:$C$201,$AB427)&amp;"","")))</f>
        <v/>
      </c>
      <c r="D427" s="7">
        <f>IF($Z427="C",INDEX(Contracts!$B$2:$B$151,$AB427)&amp;"",IF($Z427="A",INDEX(Fixed_Assets!$B$2:$B$201,$AB427)&amp;"",IF($Z427="F",INDEX(FTE_Allocation!$B$2:$B$201,$AB427)&amp;"","")))</f>
        <v/>
      </c>
      <c r="E427" s="7">
        <f>IF($Z427="C",INDEX(Contracts!$P$2:$P$151,$AB427)&amp;"",IF($Z427="A",INDEX(Fixed_Assets!$K$2:$K$201,$AB427)&amp;"",IF($Z427="F",IF(INDEX(FTE_Allocation!$D$2:$D$201,$AB427)="PROJECT",IFERROR(INDEX(Projects!$D:$D,MATCH(INDEX(FTE_Allocation!$E$2:$E$201,$AB427),Projects!$A:$A,0))&amp;"","#PROJECT?"),INDEX(FTE_Allocation!$E$2:$E$201,$AB427)&amp;""),"")))</f>
        <v/>
      </c>
      <c r="F427" s="7">
        <f>IF($Z427="C",INDEX(Contracts!$Q$2:$Q$151,$AB427)&amp;"",IF($Z427="A",INDEX(Fixed_Assets!$L$2:$L$201,$AB427)&amp;"",IF($Z427="F",INDEX(Workforce!$K$2:$K$151,MATCH(INDEX(FTE_Allocation!$A$2:$A$201,$AB427),Workforce!$A$2:$A$151,0))&amp;"","")))</f>
        <v/>
      </c>
      <c r="G427" s="7">
        <f>IF($Z427="C",INDEX(Contracts!$F$2:$F$151,$AB427)&amp;" / "&amp;INDEX(Contracts!$G$2:$G$151,$AB427),IF($Z427="A",INDEX(Fixed_Assets!$E$2:$E$201,$AB427)&amp;"",IF($Z427="F","Personnel "&amp;INDEX(FTE_Allocation!$A$2:$A$201,$AB427)&amp;IF(INDEX(FTE_Allocation!$D$2:$D$201,$AB427)="PROJECT"," ("&amp;INDEX(FTE_Allocation!$E$2:$E$201,$AB427)&amp;")",""),"")))</f>
        <v/>
      </c>
      <c r="H427" s="7">
        <f>IF($Z427="C","CONTRACT",IF($Z427="A","ASSET",IF($Z427="F","WORKFORCE","")))</f>
        <v/>
      </c>
      <c r="I427" s="7">
        <f>IF($Z427="C",INDEX(Contracts!$L$2:$L$151,$AB427)&amp;"",IF($Z427="A",INDEX(Fixed_Assets!$I$2:$I$201,$AB427)&amp;"",IF($Z427="F",INDEX(Workforce!$G$2:$G$151,MATCH(INDEX(FTE_Allocation!$A$2:$A$201,$AB427),Workforce!$A$2:$A$151,0))&amp;"","")))</f>
        <v/>
      </c>
      <c r="J427" s="18">
        <f>IF($Z427="","",IF(AND(DATE($AD427,1,1)&gt;=$AE427,DATE($AD427,1,1)&lt;=$AF427),ROUND($AG427,2),0))</f>
        <v/>
      </c>
      <c r="K427" s="18">
        <f>IF($Z427="","",IF(AND(DATE($AD427,2,1)&gt;=$AE427,DATE($AD427,2,1)&lt;=$AF427),ROUND($AG427,2),0))</f>
        <v/>
      </c>
      <c r="L427" s="18">
        <f>IF($Z427="","",IF(AND(DATE($AD427,3,1)&gt;=$AE427,DATE($AD427,3,1)&lt;=$AF427),ROUND($AG427,2),0))</f>
        <v/>
      </c>
      <c r="M427" s="18">
        <f>IF($Z427="","",IF(AND(DATE($AD427,4,1)&gt;=$AE427,DATE($AD427,4,1)&lt;=$AF427),ROUND($AG427,2),0))</f>
        <v/>
      </c>
      <c r="N427" s="18">
        <f>IF($Z427="","",IF(AND(DATE($AD427,5,1)&gt;=$AE427,DATE($AD427,5,1)&lt;=$AF427),ROUND($AG427,2),0))</f>
        <v/>
      </c>
      <c r="O427" s="18">
        <f>IF($Z427="","",IF(AND(DATE($AD427,6,1)&gt;=$AE427,DATE($AD427,6,1)&lt;=$AF427),ROUND($AG427,2),0))</f>
        <v/>
      </c>
      <c r="P427" s="18">
        <f>IF($Z427="","",IF(AND(DATE($AD427,7,1)&gt;=$AE427,DATE($AD427,7,1)&lt;=$AF427),ROUND($AG427,2),0))</f>
        <v/>
      </c>
      <c r="Q427" s="18">
        <f>IF($Z427="","",IF(AND(DATE($AD427,8,1)&gt;=$AE427,DATE($AD427,8,1)&lt;=$AF427),ROUND($AG427,2),0))</f>
        <v/>
      </c>
      <c r="R427" s="18">
        <f>IF($Z427="","",IF(AND(DATE($AD427,9,1)&gt;=$AE427,DATE($AD427,9,1)&lt;=$AF427),ROUND($AG427,2),0))</f>
        <v/>
      </c>
      <c r="S427" s="18">
        <f>IF($Z427="","",IF(AND(DATE($AD427,10,1)&gt;=$AE427,DATE($AD427,10,1)&lt;=$AF427),ROUND($AG427,2),0))</f>
        <v/>
      </c>
      <c r="T427" s="18">
        <f>IF($Z427="","",IF(AND(DATE($AD427,11,1)&gt;=$AE427,DATE($AD427,11,1)&lt;=$AF427),ROUND($AG427,2),0))</f>
        <v/>
      </c>
      <c r="U427" s="18">
        <f>IF($Z427="","",IF(AND(DATE($AD427,12,1)&gt;=$AE427,DATE($AD427,12,1)&lt;=$AF427),ROUND($AG427,2),0))</f>
        <v/>
      </c>
      <c r="V427" s="7">
        <f>IF($Z427="C","Generated from "&amp;INDEX(Contracts!$A$2:$A$151,$AB427),IF($Z427="A","Generated from "&amp;INDEX(Fixed_Assets!$A$2:$A$201,$AB427),IF($Z427="F","Generated from "&amp;INDEX(FTE_Allocation!$A$2:$A$201,$AB427),"")))</f>
        <v/>
      </c>
      <c r="X427" s="19">
        <f>IF($Z427="","",SUM(J427:U427))</f>
        <v/>
      </c>
      <c r="Y427" s="20">
        <f>ROW()-1</f>
        <v/>
      </c>
      <c r="Z427" s="20">
        <f>IF($Y427&lt;=Settings!$B$4*3,"C",IF($Y427&lt;=(Settings!$B$4+Settings!$B$5)*3,"A",IF($Y427&lt;=(Settings!$B$4+Settings!$B$5+Settings!$B$6)*3,"F","")))</f>
        <v/>
      </c>
      <c r="AA427" s="20">
        <f>IF($Z427="C",$Y427,IF($Z427="A",$Y427-Settings!$B$4*3,IF($Z427="F",$Y427-(Settings!$B$4+Settings!$B$5)*3,"")))</f>
        <v/>
      </c>
      <c r="AB427" s="20">
        <f>IF($Z427="","",INT(($AA427-1)/3)+1)</f>
        <v/>
      </c>
      <c r="AC427" s="20">
        <f>IF($Z427="","",MOD($AA427-1,3)+1)</f>
        <v/>
      </c>
      <c r="AD427" s="20">
        <f>IF($Z427="","",Settings!$B$2+$AC427-1)</f>
        <v/>
      </c>
      <c r="AE427" s="21">
        <f>IF($Z427="C",DATE(YEAR(INDEX(Contracts!$J$2:$J$151,$AB427)),MONTH(INDEX(Contracts!$J$2:$J$151,$AB427)),1),IF($Z427="A",DATE(YEAR(INDEX(Fixed_Assets!$G$2:$G$201,$AB427)),MONTH(INDEX(Fixed_Assets!$G$2:$G$201,$AB427)),1),IF($Z427="F",DATE(YEAR(MAX(N(INDEX(Workforce!$I$2:$I$151,MATCH(INDEX(FTE_Allocation!$A$2:$A$201,$AB427),Workforce!$A$2:$A$151,0))),N(INDEX(FTE_Allocation!$I$2:$I$201,$AB427)))),MONTH(MAX(N(INDEX(Workforce!$I$2:$I$151,MATCH(INDEX(FTE_Allocation!$A$2:$A$201,$AB427),Workforce!$A$2:$A$151,0))),N(INDEX(FTE_Allocation!$I$2:$I$201,$AB427)))),1),"")))</f>
        <v/>
      </c>
      <c r="AF427" s="21">
        <f>IF($Z427="C",IF(INDEX(Contracts!$I$2:$I$151,$AB427)="PREPAID",EDATE(DATE(YEAR(INDEX(Contracts!$J$2:$J$151,$AB427)),MONTH(INDEX(Contracts!$J$2:$J$151,$AB427)),1),IF(INDEX(Contracts!$N$2:$N$151,$AB427)="",12,INDEX(Contracts!$N$2:$N$151,$AB427))-1),IF(INDEX(Contracts!$I$2:$I$151,$AB427)="MONTHLY",IF(INDEX(Contracts!$K$2:$K$151,$AB427)="",2958101,INDEX(Contracts!$K$2:$K$151,$AB427)),0)),IF($Z427="A",EDATE(DATE(YEAR(INDEX(Fixed_Assets!$G$2:$G$201,$AB427)),MONTH(INDEX(Fixed_Assets!$G$2:$G$201,$AB427)),1),INDEX(Fixed_Assets!$J$2:$J$201,$AB427)-1),IF($Z427="F",MIN(IF(INDEX(Workforce!$J$2:$J$151,MATCH(INDEX(FTE_Allocation!$A$2:$A$201,$AB427),Workforce!$A$2:$A$151,0))="",2958101,INDEX(Workforce!$J$2:$J$151,MATCH(INDEX(FTE_Allocation!$A$2:$A$201,$AB427),Workforce!$A$2:$A$151,0))),IF(INDEX(FTE_Allocation!$J$2:$J$201,$AB427)="",2958101,INDEX(FTE_Allocation!$J$2:$J$201,$AB427))),"")))</f>
        <v/>
      </c>
      <c r="AG427" s="19">
        <f>IF($Z427="C",IF(INDEX(Contracts!$I$2:$I$151,$AB427)="PREPAID",INDEX(Contracts!$M$2:$M$151,$AB427)/IF(INDEX(Contracts!$N$2:$N$151,$AB427)="",12,INDEX(Contracts!$N$2:$N$151,$AB427)),IF(INDEX(Contracts!$I$2:$I$151,$AB427)="MONTHLY",INDEX(Contracts!$M$2:$M$151,$AB427),0))*(1-N(INDEX(Contracts!$O$2:$O$151,$AB427))),IF($Z427="A",INDEX(Fixed_Assets!$H$2:$H$201,$AB427)/INDEX(Fixed_Assets!$J$2:$J$201,$AB427),IF($Z427="F",INDEX(Workforce!$F$2:$F$151,MATCH(INDEX(FTE_Allocation!$A$2:$A$201,$AB427),Workforce!$A$2:$A$151,0))*N(INDEX(FTE_Allocation!$F$2:$H$201,$AB427,$AC427)),"")))</f>
        <v/>
      </c>
    </row>
    <row r="428">
      <c r="A428" s="7">
        <f>IF($Z428="","",$AD428)</f>
        <v/>
      </c>
      <c r="B428" s="7">
        <f>IF($Z428="C",INDEX(Contracts!$D$2:$D$151,$AB428)&amp;"",IF($Z428="A",INDEX(Fixed_Assets!$C$2:$C$201,$AB428)&amp;"",IF($Z428="F",INDEX(Workforce!$B$2:$B$151,MATCH(INDEX(FTE_Allocation!$A$2:$A$201,$AB428),Workforce!$A$2:$A$151,0))&amp;"","")))</f>
        <v/>
      </c>
      <c r="C428" s="7">
        <f>IF($Z428="C",INDEX(Contracts!$E$2:$E$151,$AB428)&amp;"",IF($Z428="A",INDEX(Fixed_Assets!$D$2:$D$201,$AB428)&amp;"",IF($Z428="F",INDEX(FTE_Allocation!$C$2:$C$201,$AB428)&amp;"","")))</f>
        <v/>
      </c>
      <c r="D428" s="7">
        <f>IF($Z428="C",INDEX(Contracts!$B$2:$B$151,$AB428)&amp;"",IF($Z428="A",INDEX(Fixed_Assets!$B$2:$B$201,$AB428)&amp;"",IF($Z428="F",INDEX(FTE_Allocation!$B$2:$B$201,$AB428)&amp;"","")))</f>
        <v/>
      </c>
      <c r="E428" s="7">
        <f>IF($Z428="C",INDEX(Contracts!$P$2:$P$151,$AB428)&amp;"",IF($Z428="A",INDEX(Fixed_Assets!$K$2:$K$201,$AB428)&amp;"",IF($Z428="F",IF(INDEX(FTE_Allocation!$D$2:$D$201,$AB428)="PROJECT",IFERROR(INDEX(Projects!$D:$D,MATCH(INDEX(FTE_Allocation!$E$2:$E$201,$AB428),Projects!$A:$A,0))&amp;"","#PROJECT?"),INDEX(FTE_Allocation!$E$2:$E$201,$AB428)&amp;""),"")))</f>
        <v/>
      </c>
      <c r="F428" s="7">
        <f>IF($Z428="C",INDEX(Contracts!$Q$2:$Q$151,$AB428)&amp;"",IF($Z428="A",INDEX(Fixed_Assets!$L$2:$L$201,$AB428)&amp;"",IF($Z428="F",INDEX(Workforce!$K$2:$K$151,MATCH(INDEX(FTE_Allocation!$A$2:$A$201,$AB428),Workforce!$A$2:$A$151,0))&amp;"","")))</f>
        <v/>
      </c>
      <c r="G428" s="7">
        <f>IF($Z428="C",INDEX(Contracts!$F$2:$F$151,$AB428)&amp;" / "&amp;INDEX(Contracts!$G$2:$G$151,$AB428),IF($Z428="A",INDEX(Fixed_Assets!$E$2:$E$201,$AB428)&amp;"",IF($Z428="F","Personnel "&amp;INDEX(FTE_Allocation!$A$2:$A$201,$AB428)&amp;IF(INDEX(FTE_Allocation!$D$2:$D$201,$AB428)="PROJECT"," ("&amp;INDEX(FTE_Allocation!$E$2:$E$201,$AB428)&amp;")",""),"")))</f>
        <v/>
      </c>
      <c r="H428" s="7">
        <f>IF($Z428="C","CONTRACT",IF($Z428="A","ASSET",IF($Z428="F","WORKFORCE","")))</f>
        <v/>
      </c>
      <c r="I428" s="7">
        <f>IF($Z428="C",INDEX(Contracts!$L$2:$L$151,$AB428)&amp;"",IF($Z428="A",INDEX(Fixed_Assets!$I$2:$I$201,$AB428)&amp;"",IF($Z428="F",INDEX(Workforce!$G$2:$G$151,MATCH(INDEX(FTE_Allocation!$A$2:$A$201,$AB428),Workforce!$A$2:$A$151,0))&amp;"","")))</f>
        <v/>
      </c>
      <c r="J428" s="18">
        <f>IF($Z428="","",IF(AND(DATE($AD428,1,1)&gt;=$AE428,DATE($AD428,1,1)&lt;=$AF428),ROUND($AG428,2),0))</f>
        <v/>
      </c>
      <c r="K428" s="18">
        <f>IF($Z428="","",IF(AND(DATE($AD428,2,1)&gt;=$AE428,DATE($AD428,2,1)&lt;=$AF428),ROUND($AG428,2),0))</f>
        <v/>
      </c>
      <c r="L428" s="18">
        <f>IF($Z428="","",IF(AND(DATE($AD428,3,1)&gt;=$AE428,DATE($AD428,3,1)&lt;=$AF428),ROUND($AG428,2),0))</f>
        <v/>
      </c>
      <c r="M428" s="18">
        <f>IF($Z428="","",IF(AND(DATE($AD428,4,1)&gt;=$AE428,DATE($AD428,4,1)&lt;=$AF428),ROUND($AG428,2),0))</f>
        <v/>
      </c>
      <c r="N428" s="18">
        <f>IF($Z428="","",IF(AND(DATE($AD428,5,1)&gt;=$AE428,DATE($AD428,5,1)&lt;=$AF428),ROUND($AG428,2),0))</f>
        <v/>
      </c>
      <c r="O428" s="18">
        <f>IF($Z428="","",IF(AND(DATE($AD428,6,1)&gt;=$AE428,DATE($AD428,6,1)&lt;=$AF428),ROUND($AG428,2),0))</f>
        <v/>
      </c>
      <c r="P428" s="18">
        <f>IF($Z428="","",IF(AND(DATE($AD428,7,1)&gt;=$AE428,DATE($AD428,7,1)&lt;=$AF428),ROUND($AG428,2),0))</f>
        <v/>
      </c>
      <c r="Q428" s="18">
        <f>IF($Z428="","",IF(AND(DATE($AD428,8,1)&gt;=$AE428,DATE($AD428,8,1)&lt;=$AF428),ROUND($AG428,2),0))</f>
        <v/>
      </c>
      <c r="R428" s="18">
        <f>IF($Z428="","",IF(AND(DATE($AD428,9,1)&gt;=$AE428,DATE($AD428,9,1)&lt;=$AF428),ROUND($AG428,2),0))</f>
        <v/>
      </c>
      <c r="S428" s="18">
        <f>IF($Z428="","",IF(AND(DATE($AD428,10,1)&gt;=$AE428,DATE($AD428,10,1)&lt;=$AF428),ROUND($AG428,2),0))</f>
        <v/>
      </c>
      <c r="T428" s="18">
        <f>IF($Z428="","",IF(AND(DATE($AD428,11,1)&gt;=$AE428,DATE($AD428,11,1)&lt;=$AF428),ROUND($AG428,2),0))</f>
        <v/>
      </c>
      <c r="U428" s="18">
        <f>IF($Z428="","",IF(AND(DATE($AD428,12,1)&gt;=$AE428,DATE($AD428,12,1)&lt;=$AF428),ROUND($AG428,2),0))</f>
        <v/>
      </c>
      <c r="V428" s="7">
        <f>IF($Z428="C","Generated from "&amp;INDEX(Contracts!$A$2:$A$151,$AB428),IF($Z428="A","Generated from "&amp;INDEX(Fixed_Assets!$A$2:$A$201,$AB428),IF($Z428="F","Generated from "&amp;INDEX(FTE_Allocation!$A$2:$A$201,$AB428),"")))</f>
        <v/>
      </c>
      <c r="X428" s="19">
        <f>IF($Z428="","",SUM(J428:U428))</f>
        <v/>
      </c>
      <c r="Y428" s="20">
        <f>ROW()-1</f>
        <v/>
      </c>
      <c r="Z428" s="20">
        <f>IF($Y428&lt;=Settings!$B$4*3,"C",IF($Y428&lt;=(Settings!$B$4+Settings!$B$5)*3,"A",IF($Y428&lt;=(Settings!$B$4+Settings!$B$5+Settings!$B$6)*3,"F","")))</f>
        <v/>
      </c>
      <c r="AA428" s="20">
        <f>IF($Z428="C",$Y428,IF($Z428="A",$Y428-Settings!$B$4*3,IF($Z428="F",$Y428-(Settings!$B$4+Settings!$B$5)*3,"")))</f>
        <v/>
      </c>
      <c r="AB428" s="20">
        <f>IF($Z428="","",INT(($AA428-1)/3)+1)</f>
        <v/>
      </c>
      <c r="AC428" s="20">
        <f>IF($Z428="","",MOD($AA428-1,3)+1)</f>
        <v/>
      </c>
      <c r="AD428" s="20">
        <f>IF($Z428="","",Settings!$B$2+$AC428-1)</f>
        <v/>
      </c>
      <c r="AE428" s="21">
        <f>IF($Z428="C",DATE(YEAR(INDEX(Contracts!$J$2:$J$151,$AB428)),MONTH(INDEX(Contracts!$J$2:$J$151,$AB428)),1),IF($Z428="A",DATE(YEAR(INDEX(Fixed_Assets!$G$2:$G$201,$AB428)),MONTH(INDEX(Fixed_Assets!$G$2:$G$201,$AB428)),1),IF($Z428="F",DATE(YEAR(MAX(N(INDEX(Workforce!$I$2:$I$151,MATCH(INDEX(FTE_Allocation!$A$2:$A$201,$AB428),Workforce!$A$2:$A$151,0))),N(INDEX(FTE_Allocation!$I$2:$I$201,$AB428)))),MONTH(MAX(N(INDEX(Workforce!$I$2:$I$151,MATCH(INDEX(FTE_Allocation!$A$2:$A$201,$AB428),Workforce!$A$2:$A$151,0))),N(INDEX(FTE_Allocation!$I$2:$I$201,$AB428)))),1),"")))</f>
        <v/>
      </c>
      <c r="AF428" s="21">
        <f>IF($Z428="C",IF(INDEX(Contracts!$I$2:$I$151,$AB428)="PREPAID",EDATE(DATE(YEAR(INDEX(Contracts!$J$2:$J$151,$AB428)),MONTH(INDEX(Contracts!$J$2:$J$151,$AB428)),1),IF(INDEX(Contracts!$N$2:$N$151,$AB428)="",12,INDEX(Contracts!$N$2:$N$151,$AB428))-1),IF(INDEX(Contracts!$I$2:$I$151,$AB428)="MONTHLY",IF(INDEX(Contracts!$K$2:$K$151,$AB428)="",2958101,INDEX(Contracts!$K$2:$K$151,$AB428)),0)),IF($Z428="A",EDATE(DATE(YEAR(INDEX(Fixed_Assets!$G$2:$G$201,$AB428)),MONTH(INDEX(Fixed_Assets!$G$2:$G$201,$AB428)),1),INDEX(Fixed_Assets!$J$2:$J$201,$AB428)-1),IF($Z428="F",MIN(IF(INDEX(Workforce!$J$2:$J$151,MATCH(INDEX(FTE_Allocation!$A$2:$A$201,$AB428),Workforce!$A$2:$A$151,0))="",2958101,INDEX(Workforce!$J$2:$J$151,MATCH(INDEX(FTE_Allocation!$A$2:$A$201,$AB428),Workforce!$A$2:$A$151,0))),IF(INDEX(FTE_Allocation!$J$2:$J$201,$AB428)="",2958101,INDEX(FTE_Allocation!$J$2:$J$201,$AB428))),"")))</f>
        <v/>
      </c>
      <c r="AG428" s="19">
        <f>IF($Z428="C",IF(INDEX(Contracts!$I$2:$I$151,$AB428)="PREPAID",INDEX(Contracts!$M$2:$M$151,$AB428)/IF(INDEX(Contracts!$N$2:$N$151,$AB428)="",12,INDEX(Contracts!$N$2:$N$151,$AB428)),IF(INDEX(Contracts!$I$2:$I$151,$AB428)="MONTHLY",INDEX(Contracts!$M$2:$M$151,$AB428),0))*(1-N(INDEX(Contracts!$O$2:$O$151,$AB428))),IF($Z428="A",INDEX(Fixed_Assets!$H$2:$H$201,$AB428)/INDEX(Fixed_Assets!$J$2:$J$201,$AB428),IF($Z428="F",INDEX(Workforce!$F$2:$F$151,MATCH(INDEX(FTE_Allocation!$A$2:$A$201,$AB428),Workforce!$A$2:$A$151,0))*N(INDEX(FTE_Allocation!$F$2:$H$201,$AB428,$AC428)),"")))</f>
        <v/>
      </c>
    </row>
    <row r="429">
      <c r="A429" s="7">
        <f>IF($Z429="","",$AD429)</f>
        <v/>
      </c>
      <c r="B429" s="7">
        <f>IF($Z429="C",INDEX(Contracts!$D$2:$D$151,$AB429)&amp;"",IF($Z429="A",INDEX(Fixed_Assets!$C$2:$C$201,$AB429)&amp;"",IF($Z429="F",INDEX(Workforce!$B$2:$B$151,MATCH(INDEX(FTE_Allocation!$A$2:$A$201,$AB429),Workforce!$A$2:$A$151,0))&amp;"","")))</f>
        <v/>
      </c>
      <c r="C429" s="7">
        <f>IF($Z429="C",INDEX(Contracts!$E$2:$E$151,$AB429)&amp;"",IF($Z429="A",INDEX(Fixed_Assets!$D$2:$D$201,$AB429)&amp;"",IF($Z429="F",INDEX(FTE_Allocation!$C$2:$C$201,$AB429)&amp;"","")))</f>
        <v/>
      </c>
      <c r="D429" s="7">
        <f>IF($Z429="C",INDEX(Contracts!$B$2:$B$151,$AB429)&amp;"",IF($Z429="A",INDEX(Fixed_Assets!$B$2:$B$201,$AB429)&amp;"",IF($Z429="F",INDEX(FTE_Allocation!$B$2:$B$201,$AB429)&amp;"","")))</f>
        <v/>
      </c>
      <c r="E429" s="7">
        <f>IF($Z429="C",INDEX(Contracts!$P$2:$P$151,$AB429)&amp;"",IF($Z429="A",INDEX(Fixed_Assets!$K$2:$K$201,$AB429)&amp;"",IF($Z429="F",IF(INDEX(FTE_Allocation!$D$2:$D$201,$AB429)="PROJECT",IFERROR(INDEX(Projects!$D:$D,MATCH(INDEX(FTE_Allocation!$E$2:$E$201,$AB429),Projects!$A:$A,0))&amp;"","#PROJECT?"),INDEX(FTE_Allocation!$E$2:$E$201,$AB429)&amp;""),"")))</f>
        <v/>
      </c>
      <c r="F429" s="7">
        <f>IF($Z429="C",INDEX(Contracts!$Q$2:$Q$151,$AB429)&amp;"",IF($Z429="A",INDEX(Fixed_Assets!$L$2:$L$201,$AB429)&amp;"",IF($Z429="F",INDEX(Workforce!$K$2:$K$151,MATCH(INDEX(FTE_Allocation!$A$2:$A$201,$AB429),Workforce!$A$2:$A$151,0))&amp;"","")))</f>
        <v/>
      </c>
      <c r="G429" s="7">
        <f>IF($Z429="C",INDEX(Contracts!$F$2:$F$151,$AB429)&amp;" / "&amp;INDEX(Contracts!$G$2:$G$151,$AB429),IF($Z429="A",INDEX(Fixed_Assets!$E$2:$E$201,$AB429)&amp;"",IF($Z429="F","Personnel "&amp;INDEX(FTE_Allocation!$A$2:$A$201,$AB429)&amp;IF(INDEX(FTE_Allocation!$D$2:$D$201,$AB429)="PROJECT"," ("&amp;INDEX(FTE_Allocation!$E$2:$E$201,$AB429)&amp;")",""),"")))</f>
        <v/>
      </c>
      <c r="H429" s="7">
        <f>IF($Z429="C","CONTRACT",IF($Z429="A","ASSET",IF($Z429="F","WORKFORCE","")))</f>
        <v/>
      </c>
      <c r="I429" s="7">
        <f>IF($Z429="C",INDEX(Contracts!$L$2:$L$151,$AB429)&amp;"",IF($Z429="A",INDEX(Fixed_Assets!$I$2:$I$201,$AB429)&amp;"",IF($Z429="F",INDEX(Workforce!$G$2:$G$151,MATCH(INDEX(FTE_Allocation!$A$2:$A$201,$AB429),Workforce!$A$2:$A$151,0))&amp;"","")))</f>
        <v/>
      </c>
      <c r="J429" s="18">
        <f>IF($Z429="","",IF(AND(DATE($AD429,1,1)&gt;=$AE429,DATE($AD429,1,1)&lt;=$AF429),ROUND($AG429,2),0))</f>
        <v/>
      </c>
      <c r="K429" s="18">
        <f>IF($Z429="","",IF(AND(DATE($AD429,2,1)&gt;=$AE429,DATE($AD429,2,1)&lt;=$AF429),ROUND($AG429,2),0))</f>
        <v/>
      </c>
      <c r="L429" s="18">
        <f>IF($Z429="","",IF(AND(DATE($AD429,3,1)&gt;=$AE429,DATE($AD429,3,1)&lt;=$AF429),ROUND($AG429,2),0))</f>
        <v/>
      </c>
      <c r="M429" s="18">
        <f>IF($Z429="","",IF(AND(DATE($AD429,4,1)&gt;=$AE429,DATE($AD429,4,1)&lt;=$AF429),ROUND($AG429,2),0))</f>
        <v/>
      </c>
      <c r="N429" s="18">
        <f>IF($Z429="","",IF(AND(DATE($AD429,5,1)&gt;=$AE429,DATE($AD429,5,1)&lt;=$AF429),ROUND($AG429,2),0))</f>
        <v/>
      </c>
      <c r="O429" s="18">
        <f>IF($Z429="","",IF(AND(DATE($AD429,6,1)&gt;=$AE429,DATE($AD429,6,1)&lt;=$AF429),ROUND($AG429,2),0))</f>
        <v/>
      </c>
      <c r="P429" s="18">
        <f>IF($Z429="","",IF(AND(DATE($AD429,7,1)&gt;=$AE429,DATE($AD429,7,1)&lt;=$AF429),ROUND($AG429,2),0))</f>
        <v/>
      </c>
      <c r="Q429" s="18">
        <f>IF($Z429="","",IF(AND(DATE($AD429,8,1)&gt;=$AE429,DATE($AD429,8,1)&lt;=$AF429),ROUND($AG429,2),0))</f>
        <v/>
      </c>
      <c r="R429" s="18">
        <f>IF($Z429="","",IF(AND(DATE($AD429,9,1)&gt;=$AE429,DATE($AD429,9,1)&lt;=$AF429),ROUND($AG429,2),0))</f>
        <v/>
      </c>
      <c r="S429" s="18">
        <f>IF($Z429="","",IF(AND(DATE($AD429,10,1)&gt;=$AE429,DATE($AD429,10,1)&lt;=$AF429),ROUND($AG429,2),0))</f>
        <v/>
      </c>
      <c r="T429" s="18">
        <f>IF($Z429="","",IF(AND(DATE($AD429,11,1)&gt;=$AE429,DATE($AD429,11,1)&lt;=$AF429),ROUND($AG429,2),0))</f>
        <v/>
      </c>
      <c r="U429" s="18">
        <f>IF($Z429="","",IF(AND(DATE($AD429,12,1)&gt;=$AE429,DATE($AD429,12,1)&lt;=$AF429),ROUND($AG429,2),0))</f>
        <v/>
      </c>
      <c r="V429" s="7">
        <f>IF($Z429="C","Generated from "&amp;INDEX(Contracts!$A$2:$A$151,$AB429),IF($Z429="A","Generated from "&amp;INDEX(Fixed_Assets!$A$2:$A$201,$AB429),IF($Z429="F","Generated from "&amp;INDEX(FTE_Allocation!$A$2:$A$201,$AB429),"")))</f>
        <v/>
      </c>
      <c r="X429" s="19">
        <f>IF($Z429="","",SUM(J429:U429))</f>
        <v/>
      </c>
      <c r="Y429" s="20">
        <f>ROW()-1</f>
        <v/>
      </c>
      <c r="Z429" s="20">
        <f>IF($Y429&lt;=Settings!$B$4*3,"C",IF($Y429&lt;=(Settings!$B$4+Settings!$B$5)*3,"A",IF($Y429&lt;=(Settings!$B$4+Settings!$B$5+Settings!$B$6)*3,"F","")))</f>
        <v/>
      </c>
      <c r="AA429" s="20">
        <f>IF($Z429="C",$Y429,IF($Z429="A",$Y429-Settings!$B$4*3,IF($Z429="F",$Y429-(Settings!$B$4+Settings!$B$5)*3,"")))</f>
        <v/>
      </c>
      <c r="AB429" s="20">
        <f>IF($Z429="","",INT(($AA429-1)/3)+1)</f>
        <v/>
      </c>
      <c r="AC429" s="20">
        <f>IF($Z429="","",MOD($AA429-1,3)+1)</f>
        <v/>
      </c>
      <c r="AD429" s="20">
        <f>IF($Z429="","",Settings!$B$2+$AC429-1)</f>
        <v/>
      </c>
      <c r="AE429" s="21">
        <f>IF($Z429="C",DATE(YEAR(INDEX(Contracts!$J$2:$J$151,$AB429)),MONTH(INDEX(Contracts!$J$2:$J$151,$AB429)),1),IF($Z429="A",DATE(YEAR(INDEX(Fixed_Assets!$G$2:$G$201,$AB429)),MONTH(INDEX(Fixed_Assets!$G$2:$G$201,$AB429)),1),IF($Z429="F",DATE(YEAR(MAX(N(INDEX(Workforce!$I$2:$I$151,MATCH(INDEX(FTE_Allocation!$A$2:$A$201,$AB429),Workforce!$A$2:$A$151,0))),N(INDEX(FTE_Allocation!$I$2:$I$201,$AB429)))),MONTH(MAX(N(INDEX(Workforce!$I$2:$I$151,MATCH(INDEX(FTE_Allocation!$A$2:$A$201,$AB429),Workforce!$A$2:$A$151,0))),N(INDEX(FTE_Allocation!$I$2:$I$201,$AB429)))),1),"")))</f>
        <v/>
      </c>
      <c r="AF429" s="21">
        <f>IF($Z429="C",IF(INDEX(Contracts!$I$2:$I$151,$AB429)="PREPAID",EDATE(DATE(YEAR(INDEX(Contracts!$J$2:$J$151,$AB429)),MONTH(INDEX(Contracts!$J$2:$J$151,$AB429)),1),IF(INDEX(Contracts!$N$2:$N$151,$AB429)="",12,INDEX(Contracts!$N$2:$N$151,$AB429))-1),IF(INDEX(Contracts!$I$2:$I$151,$AB429)="MONTHLY",IF(INDEX(Contracts!$K$2:$K$151,$AB429)="",2958101,INDEX(Contracts!$K$2:$K$151,$AB429)),0)),IF($Z429="A",EDATE(DATE(YEAR(INDEX(Fixed_Assets!$G$2:$G$201,$AB429)),MONTH(INDEX(Fixed_Assets!$G$2:$G$201,$AB429)),1),INDEX(Fixed_Assets!$J$2:$J$201,$AB429)-1),IF($Z429="F",MIN(IF(INDEX(Workforce!$J$2:$J$151,MATCH(INDEX(FTE_Allocation!$A$2:$A$201,$AB429),Workforce!$A$2:$A$151,0))="",2958101,INDEX(Workforce!$J$2:$J$151,MATCH(INDEX(FTE_Allocation!$A$2:$A$201,$AB429),Workforce!$A$2:$A$151,0))),IF(INDEX(FTE_Allocation!$J$2:$J$201,$AB429)="",2958101,INDEX(FTE_Allocation!$J$2:$J$201,$AB429))),"")))</f>
        <v/>
      </c>
      <c r="AG429" s="19">
        <f>IF($Z429="C",IF(INDEX(Contracts!$I$2:$I$151,$AB429)="PREPAID",INDEX(Contracts!$M$2:$M$151,$AB429)/IF(INDEX(Contracts!$N$2:$N$151,$AB429)="",12,INDEX(Contracts!$N$2:$N$151,$AB429)),IF(INDEX(Contracts!$I$2:$I$151,$AB429)="MONTHLY",INDEX(Contracts!$M$2:$M$151,$AB429),0))*(1-N(INDEX(Contracts!$O$2:$O$151,$AB429))),IF($Z429="A",INDEX(Fixed_Assets!$H$2:$H$201,$AB429)/INDEX(Fixed_Assets!$J$2:$J$201,$AB429),IF($Z429="F",INDEX(Workforce!$F$2:$F$151,MATCH(INDEX(FTE_Allocation!$A$2:$A$201,$AB429),Workforce!$A$2:$A$151,0))*N(INDEX(FTE_Allocation!$F$2:$H$201,$AB429,$AC429)),"")))</f>
        <v/>
      </c>
    </row>
    <row r="430">
      <c r="A430" s="7">
        <f>IF($Z430="","",$AD430)</f>
        <v/>
      </c>
      <c r="B430" s="7">
        <f>IF($Z430="C",INDEX(Contracts!$D$2:$D$151,$AB430)&amp;"",IF($Z430="A",INDEX(Fixed_Assets!$C$2:$C$201,$AB430)&amp;"",IF($Z430="F",INDEX(Workforce!$B$2:$B$151,MATCH(INDEX(FTE_Allocation!$A$2:$A$201,$AB430),Workforce!$A$2:$A$151,0))&amp;"","")))</f>
        <v/>
      </c>
      <c r="C430" s="7">
        <f>IF($Z430="C",INDEX(Contracts!$E$2:$E$151,$AB430)&amp;"",IF($Z430="A",INDEX(Fixed_Assets!$D$2:$D$201,$AB430)&amp;"",IF($Z430="F",INDEX(FTE_Allocation!$C$2:$C$201,$AB430)&amp;"","")))</f>
        <v/>
      </c>
      <c r="D430" s="7">
        <f>IF($Z430="C",INDEX(Contracts!$B$2:$B$151,$AB430)&amp;"",IF($Z430="A",INDEX(Fixed_Assets!$B$2:$B$201,$AB430)&amp;"",IF($Z430="F",INDEX(FTE_Allocation!$B$2:$B$201,$AB430)&amp;"","")))</f>
        <v/>
      </c>
      <c r="E430" s="7">
        <f>IF($Z430="C",INDEX(Contracts!$P$2:$P$151,$AB430)&amp;"",IF($Z430="A",INDEX(Fixed_Assets!$K$2:$K$201,$AB430)&amp;"",IF($Z430="F",IF(INDEX(FTE_Allocation!$D$2:$D$201,$AB430)="PROJECT",IFERROR(INDEX(Projects!$D:$D,MATCH(INDEX(FTE_Allocation!$E$2:$E$201,$AB430),Projects!$A:$A,0))&amp;"","#PROJECT?"),INDEX(FTE_Allocation!$E$2:$E$201,$AB430)&amp;""),"")))</f>
        <v/>
      </c>
      <c r="F430" s="7">
        <f>IF($Z430="C",INDEX(Contracts!$Q$2:$Q$151,$AB430)&amp;"",IF($Z430="A",INDEX(Fixed_Assets!$L$2:$L$201,$AB430)&amp;"",IF($Z430="F",INDEX(Workforce!$K$2:$K$151,MATCH(INDEX(FTE_Allocation!$A$2:$A$201,$AB430),Workforce!$A$2:$A$151,0))&amp;"","")))</f>
        <v/>
      </c>
      <c r="G430" s="7">
        <f>IF($Z430="C",INDEX(Contracts!$F$2:$F$151,$AB430)&amp;" / "&amp;INDEX(Contracts!$G$2:$G$151,$AB430),IF($Z430="A",INDEX(Fixed_Assets!$E$2:$E$201,$AB430)&amp;"",IF($Z430="F","Personnel "&amp;INDEX(FTE_Allocation!$A$2:$A$201,$AB430)&amp;IF(INDEX(FTE_Allocation!$D$2:$D$201,$AB430)="PROJECT"," ("&amp;INDEX(FTE_Allocation!$E$2:$E$201,$AB430)&amp;")",""),"")))</f>
        <v/>
      </c>
      <c r="H430" s="7">
        <f>IF($Z430="C","CONTRACT",IF($Z430="A","ASSET",IF($Z430="F","WORKFORCE","")))</f>
        <v/>
      </c>
      <c r="I430" s="7">
        <f>IF($Z430="C",INDEX(Contracts!$L$2:$L$151,$AB430)&amp;"",IF($Z430="A",INDEX(Fixed_Assets!$I$2:$I$201,$AB430)&amp;"",IF($Z430="F",INDEX(Workforce!$G$2:$G$151,MATCH(INDEX(FTE_Allocation!$A$2:$A$201,$AB430),Workforce!$A$2:$A$151,0))&amp;"","")))</f>
        <v/>
      </c>
      <c r="J430" s="18">
        <f>IF($Z430="","",IF(AND(DATE($AD430,1,1)&gt;=$AE430,DATE($AD430,1,1)&lt;=$AF430),ROUND($AG430,2),0))</f>
        <v/>
      </c>
      <c r="K430" s="18">
        <f>IF($Z430="","",IF(AND(DATE($AD430,2,1)&gt;=$AE430,DATE($AD430,2,1)&lt;=$AF430),ROUND($AG430,2),0))</f>
        <v/>
      </c>
      <c r="L430" s="18">
        <f>IF($Z430="","",IF(AND(DATE($AD430,3,1)&gt;=$AE430,DATE($AD430,3,1)&lt;=$AF430),ROUND($AG430,2),0))</f>
        <v/>
      </c>
      <c r="M430" s="18">
        <f>IF($Z430="","",IF(AND(DATE($AD430,4,1)&gt;=$AE430,DATE($AD430,4,1)&lt;=$AF430),ROUND($AG430,2),0))</f>
        <v/>
      </c>
      <c r="N430" s="18">
        <f>IF($Z430="","",IF(AND(DATE($AD430,5,1)&gt;=$AE430,DATE($AD430,5,1)&lt;=$AF430),ROUND($AG430,2),0))</f>
        <v/>
      </c>
      <c r="O430" s="18">
        <f>IF($Z430="","",IF(AND(DATE($AD430,6,1)&gt;=$AE430,DATE($AD430,6,1)&lt;=$AF430),ROUND($AG430,2),0))</f>
        <v/>
      </c>
      <c r="P430" s="18">
        <f>IF($Z430="","",IF(AND(DATE($AD430,7,1)&gt;=$AE430,DATE($AD430,7,1)&lt;=$AF430),ROUND($AG430,2),0))</f>
        <v/>
      </c>
      <c r="Q430" s="18">
        <f>IF($Z430="","",IF(AND(DATE($AD430,8,1)&gt;=$AE430,DATE($AD430,8,1)&lt;=$AF430),ROUND($AG430,2),0))</f>
        <v/>
      </c>
      <c r="R430" s="18">
        <f>IF($Z430="","",IF(AND(DATE($AD430,9,1)&gt;=$AE430,DATE($AD430,9,1)&lt;=$AF430),ROUND($AG430,2),0))</f>
        <v/>
      </c>
      <c r="S430" s="18">
        <f>IF($Z430="","",IF(AND(DATE($AD430,10,1)&gt;=$AE430,DATE($AD430,10,1)&lt;=$AF430),ROUND($AG430,2),0))</f>
        <v/>
      </c>
      <c r="T430" s="18">
        <f>IF($Z430="","",IF(AND(DATE($AD430,11,1)&gt;=$AE430,DATE($AD430,11,1)&lt;=$AF430),ROUND($AG430,2),0))</f>
        <v/>
      </c>
      <c r="U430" s="18">
        <f>IF($Z430="","",IF(AND(DATE($AD430,12,1)&gt;=$AE430,DATE($AD430,12,1)&lt;=$AF430),ROUND($AG430,2),0))</f>
        <v/>
      </c>
      <c r="V430" s="7">
        <f>IF($Z430="C","Generated from "&amp;INDEX(Contracts!$A$2:$A$151,$AB430),IF($Z430="A","Generated from "&amp;INDEX(Fixed_Assets!$A$2:$A$201,$AB430),IF($Z430="F","Generated from "&amp;INDEX(FTE_Allocation!$A$2:$A$201,$AB430),"")))</f>
        <v/>
      </c>
      <c r="X430" s="19">
        <f>IF($Z430="","",SUM(J430:U430))</f>
        <v/>
      </c>
      <c r="Y430" s="20">
        <f>ROW()-1</f>
        <v/>
      </c>
      <c r="Z430" s="20">
        <f>IF($Y430&lt;=Settings!$B$4*3,"C",IF($Y430&lt;=(Settings!$B$4+Settings!$B$5)*3,"A",IF($Y430&lt;=(Settings!$B$4+Settings!$B$5+Settings!$B$6)*3,"F","")))</f>
        <v/>
      </c>
      <c r="AA430" s="20">
        <f>IF($Z430="C",$Y430,IF($Z430="A",$Y430-Settings!$B$4*3,IF($Z430="F",$Y430-(Settings!$B$4+Settings!$B$5)*3,"")))</f>
        <v/>
      </c>
      <c r="AB430" s="20">
        <f>IF($Z430="","",INT(($AA430-1)/3)+1)</f>
        <v/>
      </c>
      <c r="AC430" s="20">
        <f>IF($Z430="","",MOD($AA430-1,3)+1)</f>
        <v/>
      </c>
      <c r="AD430" s="20">
        <f>IF($Z430="","",Settings!$B$2+$AC430-1)</f>
        <v/>
      </c>
      <c r="AE430" s="21">
        <f>IF($Z430="C",DATE(YEAR(INDEX(Contracts!$J$2:$J$151,$AB430)),MONTH(INDEX(Contracts!$J$2:$J$151,$AB430)),1),IF($Z430="A",DATE(YEAR(INDEX(Fixed_Assets!$G$2:$G$201,$AB430)),MONTH(INDEX(Fixed_Assets!$G$2:$G$201,$AB430)),1),IF($Z430="F",DATE(YEAR(MAX(N(INDEX(Workforce!$I$2:$I$151,MATCH(INDEX(FTE_Allocation!$A$2:$A$201,$AB430),Workforce!$A$2:$A$151,0))),N(INDEX(FTE_Allocation!$I$2:$I$201,$AB430)))),MONTH(MAX(N(INDEX(Workforce!$I$2:$I$151,MATCH(INDEX(FTE_Allocation!$A$2:$A$201,$AB430),Workforce!$A$2:$A$151,0))),N(INDEX(FTE_Allocation!$I$2:$I$201,$AB430)))),1),"")))</f>
        <v/>
      </c>
      <c r="AF430" s="21">
        <f>IF($Z430="C",IF(INDEX(Contracts!$I$2:$I$151,$AB430)="PREPAID",EDATE(DATE(YEAR(INDEX(Contracts!$J$2:$J$151,$AB430)),MONTH(INDEX(Contracts!$J$2:$J$151,$AB430)),1),IF(INDEX(Contracts!$N$2:$N$151,$AB430)="",12,INDEX(Contracts!$N$2:$N$151,$AB430))-1),IF(INDEX(Contracts!$I$2:$I$151,$AB430)="MONTHLY",IF(INDEX(Contracts!$K$2:$K$151,$AB430)="",2958101,INDEX(Contracts!$K$2:$K$151,$AB430)),0)),IF($Z430="A",EDATE(DATE(YEAR(INDEX(Fixed_Assets!$G$2:$G$201,$AB430)),MONTH(INDEX(Fixed_Assets!$G$2:$G$201,$AB430)),1),INDEX(Fixed_Assets!$J$2:$J$201,$AB430)-1),IF($Z430="F",MIN(IF(INDEX(Workforce!$J$2:$J$151,MATCH(INDEX(FTE_Allocation!$A$2:$A$201,$AB430),Workforce!$A$2:$A$151,0))="",2958101,INDEX(Workforce!$J$2:$J$151,MATCH(INDEX(FTE_Allocation!$A$2:$A$201,$AB430),Workforce!$A$2:$A$151,0))),IF(INDEX(FTE_Allocation!$J$2:$J$201,$AB430)="",2958101,INDEX(FTE_Allocation!$J$2:$J$201,$AB430))),"")))</f>
        <v/>
      </c>
      <c r="AG430" s="19">
        <f>IF($Z430="C",IF(INDEX(Contracts!$I$2:$I$151,$AB430)="PREPAID",INDEX(Contracts!$M$2:$M$151,$AB430)/IF(INDEX(Contracts!$N$2:$N$151,$AB430)="",12,INDEX(Contracts!$N$2:$N$151,$AB430)),IF(INDEX(Contracts!$I$2:$I$151,$AB430)="MONTHLY",INDEX(Contracts!$M$2:$M$151,$AB430),0))*(1-N(INDEX(Contracts!$O$2:$O$151,$AB430))),IF($Z430="A",INDEX(Fixed_Assets!$H$2:$H$201,$AB430)/INDEX(Fixed_Assets!$J$2:$J$201,$AB430),IF($Z430="F",INDEX(Workforce!$F$2:$F$151,MATCH(INDEX(FTE_Allocation!$A$2:$A$201,$AB430),Workforce!$A$2:$A$151,0))*N(INDEX(FTE_Allocation!$F$2:$H$201,$AB430,$AC430)),"")))</f>
        <v/>
      </c>
    </row>
    <row r="431">
      <c r="A431" s="7">
        <f>IF($Z431="","",$AD431)</f>
        <v/>
      </c>
      <c r="B431" s="7">
        <f>IF($Z431="C",INDEX(Contracts!$D$2:$D$151,$AB431)&amp;"",IF($Z431="A",INDEX(Fixed_Assets!$C$2:$C$201,$AB431)&amp;"",IF($Z431="F",INDEX(Workforce!$B$2:$B$151,MATCH(INDEX(FTE_Allocation!$A$2:$A$201,$AB431),Workforce!$A$2:$A$151,0))&amp;"","")))</f>
        <v/>
      </c>
      <c r="C431" s="7">
        <f>IF($Z431="C",INDEX(Contracts!$E$2:$E$151,$AB431)&amp;"",IF($Z431="A",INDEX(Fixed_Assets!$D$2:$D$201,$AB431)&amp;"",IF($Z431="F",INDEX(FTE_Allocation!$C$2:$C$201,$AB431)&amp;"","")))</f>
        <v/>
      </c>
      <c r="D431" s="7">
        <f>IF($Z431="C",INDEX(Contracts!$B$2:$B$151,$AB431)&amp;"",IF($Z431="A",INDEX(Fixed_Assets!$B$2:$B$201,$AB431)&amp;"",IF($Z431="F",INDEX(FTE_Allocation!$B$2:$B$201,$AB431)&amp;"","")))</f>
        <v/>
      </c>
      <c r="E431" s="7">
        <f>IF($Z431="C",INDEX(Contracts!$P$2:$P$151,$AB431)&amp;"",IF($Z431="A",INDEX(Fixed_Assets!$K$2:$K$201,$AB431)&amp;"",IF($Z431="F",IF(INDEX(FTE_Allocation!$D$2:$D$201,$AB431)="PROJECT",IFERROR(INDEX(Projects!$D:$D,MATCH(INDEX(FTE_Allocation!$E$2:$E$201,$AB431),Projects!$A:$A,0))&amp;"","#PROJECT?"),INDEX(FTE_Allocation!$E$2:$E$201,$AB431)&amp;""),"")))</f>
        <v/>
      </c>
      <c r="F431" s="7">
        <f>IF($Z431="C",INDEX(Contracts!$Q$2:$Q$151,$AB431)&amp;"",IF($Z431="A",INDEX(Fixed_Assets!$L$2:$L$201,$AB431)&amp;"",IF($Z431="F",INDEX(Workforce!$K$2:$K$151,MATCH(INDEX(FTE_Allocation!$A$2:$A$201,$AB431),Workforce!$A$2:$A$151,0))&amp;"","")))</f>
        <v/>
      </c>
      <c r="G431" s="7">
        <f>IF($Z431="C",INDEX(Contracts!$F$2:$F$151,$AB431)&amp;" / "&amp;INDEX(Contracts!$G$2:$G$151,$AB431),IF($Z431="A",INDEX(Fixed_Assets!$E$2:$E$201,$AB431)&amp;"",IF($Z431="F","Personnel "&amp;INDEX(FTE_Allocation!$A$2:$A$201,$AB431)&amp;IF(INDEX(FTE_Allocation!$D$2:$D$201,$AB431)="PROJECT"," ("&amp;INDEX(FTE_Allocation!$E$2:$E$201,$AB431)&amp;")",""),"")))</f>
        <v/>
      </c>
      <c r="H431" s="7">
        <f>IF($Z431="C","CONTRACT",IF($Z431="A","ASSET",IF($Z431="F","WORKFORCE","")))</f>
        <v/>
      </c>
      <c r="I431" s="7">
        <f>IF($Z431="C",INDEX(Contracts!$L$2:$L$151,$AB431)&amp;"",IF($Z431="A",INDEX(Fixed_Assets!$I$2:$I$201,$AB431)&amp;"",IF($Z431="F",INDEX(Workforce!$G$2:$G$151,MATCH(INDEX(FTE_Allocation!$A$2:$A$201,$AB431),Workforce!$A$2:$A$151,0))&amp;"","")))</f>
        <v/>
      </c>
      <c r="J431" s="18">
        <f>IF($Z431="","",IF(AND(DATE($AD431,1,1)&gt;=$AE431,DATE($AD431,1,1)&lt;=$AF431),ROUND($AG431,2),0))</f>
        <v/>
      </c>
      <c r="K431" s="18">
        <f>IF($Z431="","",IF(AND(DATE($AD431,2,1)&gt;=$AE431,DATE($AD431,2,1)&lt;=$AF431),ROUND($AG431,2),0))</f>
        <v/>
      </c>
      <c r="L431" s="18">
        <f>IF($Z431="","",IF(AND(DATE($AD431,3,1)&gt;=$AE431,DATE($AD431,3,1)&lt;=$AF431),ROUND($AG431,2),0))</f>
        <v/>
      </c>
      <c r="M431" s="18">
        <f>IF($Z431="","",IF(AND(DATE($AD431,4,1)&gt;=$AE431,DATE($AD431,4,1)&lt;=$AF431),ROUND($AG431,2),0))</f>
        <v/>
      </c>
      <c r="N431" s="18">
        <f>IF($Z431="","",IF(AND(DATE($AD431,5,1)&gt;=$AE431,DATE($AD431,5,1)&lt;=$AF431),ROUND($AG431,2),0))</f>
        <v/>
      </c>
      <c r="O431" s="18">
        <f>IF($Z431="","",IF(AND(DATE($AD431,6,1)&gt;=$AE431,DATE($AD431,6,1)&lt;=$AF431),ROUND($AG431,2),0))</f>
        <v/>
      </c>
      <c r="P431" s="18">
        <f>IF($Z431="","",IF(AND(DATE($AD431,7,1)&gt;=$AE431,DATE($AD431,7,1)&lt;=$AF431),ROUND($AG431,2),0))</f>
        <v/>
      </c>
      <c r="Q431" s="18">
        <f>IF($Z431="","",IF(AND(DATE($AD431,8,1)&gt;=$AE431,DATE($AD431,8,1)&lt;=$AF431),ROUND($AG431,2),0))</f>
        <v/>
      </c>
      <c r="R431" s="18">
        <f>IF($Z431="","",IF(AND(DATE($AD431,9,1)&gt;=$AE431,DATE($AD431,9,1)&lt;=$AF431),ROUND($AG431,2),0))</f>
        <v/>
      </c>
      <c r="S431" s="18">
        <f>IF($Z431="","",IF(AND(DATE($AD431,10,1)&gt;=$AE431,DATE($AD431,10,1)&lt;=$AF431),ROUND($AG431,2),0))</f>
        <v/>
      </c>
      <c r="T431" s="18">
        <f>IF($Z431="","",IF(AND(DATE($AD431,11,1)&gt;=$AE431,DATE($AD431,11,1)&lt;=$AF431),ROUND($AG431,2),0))</f>
        <v/>
      </c>
      <c r="U431" s="18">
        <f>IF($Z431="","",IF(AND(DATE($AD431,12,1)&gt;=$AE431,DATE($AD431,12,1)&lt;=$AF431),ROUND($AG431,2),0))</f>
        <v/>
      </c>
      <c r="V431" s="7">
        <f>IF($Z431="C","Generated from "&amp;INDEX(Contracts!$A$2:$A$151,$AB431),IF($Z431="A","Generated from "&amp;INDEX(Fixed_Assets!$A$2:$A$201,$AB431),IF($Z431="F","Generated from "&amp;INDEX(FTE_Allocation!$A$2:$A$201,$AB431),"")))</f>
        <v/>
      </c>
      <c r="X431" s="19">
        <f>IF($Z431="","",SUM(J431:U431))</f>
        <v/>
      </c>
      <c r="Y431" s="20">
        <f>ROW()-1</f>
        <v/>
      </c>
      <c r="Z431" s="20">
        <f>IF($Y431&lt;=Settings!$B$4*3,"C",IF($Y431&lt;=(Settings!$B$4+Settings!$B$5)*3,"A",IF($Y431&lt;=(Settings!$B$4+Settings!$B$5+Settings!$B$6)*3,"F","")))</f>
        <v/>
      </c>
      <c r="AA431" s="20">
        <f>IF($Z431="C",$Y431,IF($Z431="A",$Y431-Settings!$B$4*3,IF($Z431="F",$Y431-(Settings!$B$4+Settings!$B$5)*3,"")))</f>
        <v/>
      </c>
      <c r="AB431" s="20">
        <f>IF($Z431="","",INT(($AA431-1)/3)+1)</f>
        <v/>
      </c>
      <c r="AC431" s="20">
        <f>IF($Z431="","",MOD($AA431-1,3)+1)</f>
        <v/>
      </c>
      <c r="AD431" s="20">
        <f>IF($Z431="","",Settings!$B$2+$AC431-1)</f>
        <v/>
      </c>
      <c r="AE431" s="21">
        <f>IF($Z431="C",DATE(YEAR(INDEX(Contracts!$J$2:$J$151,$AB431)),MONTH(INDEX(Contracts!$J$2:$J$151,$AB431)),1),IF($Z431="A",DATE(YEAR(INDEX(Fixed_Assets!$G$2:$G$201,$AB431)),MONTH(INDEX(Fixed_Assets!$G$2:$G$201,$AB431)),1),IF($Z431="F",DATE(YEAR(MAX(N(INDEX(Workforce!$I$2:$I$151,MATCH(INDEX(FTE_Allocation!$A$2:$A$201,$AB431),Workforce!$A$2:$A$151,0))),N(INDEX(FTE_Allocation!$I$2:$I$201,$AB431)))),MONTH(MAX(N(INDEX(Workforce!$I$2:$I$151,MATCH(INDEX(FTE_Allocation!$A$2:$A$201,$AB431),Workforce!$A$2:$A$151,0))),N(INDEX(FTE_Allocation!$I$2:$I$201,$AB431)))),1),"")))</f>
        <v/>
      </c>
      <c r="AF431" s="21">
        <f>IF($Z431="C",IF(INDEX(Contracts!$I$2:$I$151,$AB431)="PREPAID",EDATE(DATE(YEAR(INDEX(Contracts!$J$2:$J$151,$AB431)),MONTH(INDEX(Contracts!$J$2:$J$151,$AB431)),1),IF(INDEX(Contracts!$N$2:$N$151,$AB431)="",12,INDEX(Contracts!$N$2:$N$151,$AB431))-1),IF(INDEX(Contracts!$I$2:$I$151,$AB431)="MONTHLY",IF(INDEX(Contracts!$K$2:$K$151,$AB431)="",2958101,INDEX(Contracts!$K$2:$K$151,$AB431)),0)),IF($Z431="A",EDATE(DATE(YEAR(INDEX(Fixed_Assets!$G$2:$G$201,$AB431)),MONTH(INDEX(Fixed_Assets!$G$2:$G$201,$AB431)),1),INDEX(Fixed_Assets!$J$2:$J$201,$AB431)-1),IF($Z431="F",MIN(IF(INDEX(Workforce!$J$2:$J$151,MATCH(INDEX(FTE_Allocation!$A$2:$A$201,$AB431),Workforce!$A$2:$A$151,0))="",2958101,INDEX(Workforce!$J$2:$J$151,MATCH(INDEX(FTE_Allocation!$A$2:$A$201,$AB431),Workforce!$A$2:$A$151,0))),IF(INDEX(FTE_Allocation!$J$2:$J$201,$AB431)="",2958101,INDEX(FTE_Allocation!$J$2:$J$201,$AB431))),"")))</f>
        <v/>
      </c>
      <c r="AG431" s="19">
        <f>IF($Z431="C",IF(INDEX(Contracts!$I$2:$I$151,$AB431)="PREPAID",INDEX(Contracts!$M$2:$M$151,$AB431)/IF(INDEX(Contracts!$N$2:$N$151,$AB431)="",12,INDEX(Contracts!$N$2:$N$151,$AB431)),IF(INDEX(Contracts!$I$2:$I$151,$AB431)="MONTHLY",INDEX(Contracts!$M$2:$M$151,$AB431),0))*(1-N(INDEX(Contracts!$O$2:$O$151,$AB431))),IF($Z431="A",INDEX(Fixed_Assets!$H$2:$H$201,$AB431)/INDEX(Fixed_Assets!$J$2:$J$201,$AB431),IF($Z431="F",INDEX(Workforce!$F$2:$F$151,MATCH(INDEX(FTE_Allocation!$A$2:$A$201,$AB431),Workforce!$A$2:$A$151,0))*N(INDEX(FTE_Allocation!$F$2:$H$201,$AB431,$AC431)),"")))</f>
        <v/>
      </c>
    </row>
    <row r="432">
      <c r="A432" s="7">
        <f>IF($Z432="","",$AD432)</f>
        <v/>
      </c>
      <c r="B432" s="7">
        <f>IF($Z432="C",INDEX(Contracts!$D$2:$D$151,$AB432)&amp;"",IF($Z432="A",INDEX(Fixed_Assets!$C$2:$C$201,$AB432)&amp;"",IF($Z432="F",INDEX(Workforce!$B$2:$B$151,MATCH(INDEX(FTE_Allocation!$A$2:$A$201,$AB432),Workforce!$A$2:$A$151,0))&amp;"","")))</f>
        <v/>
      </c>
      <c r="C432" s="7">
        <f>IF($Z432="C",INDEX(Contracts!$E$2:$E$151,$AB432)&amp;"",IF($Z432="A",INDEX(Fixed_Assets!$D$2:$D$201,$AB432)&amp;"",IF($Z432="F",INDEX(FTE_Allocation!$C$2:$C$201,$AB432)&amp;"","")))</f>
        <v/>
      </c>
      <c r="D432" s="7">
        <f>IF($Z432="C",INDEX(Contracts!$B$2:$B$151,$AB432)&amp;"",IF($Z432="A",INDEX(Fixed_Assets!$B$2:$B$201,$AB432)&amp;"",IF($Z432="F",INDEX(FTE_Allocation!$B$2:$B$201,$AB432)&amp;"","")))</f>
        <v/>
      </c>
      <c r="E432" s="7">
        <f>IF($Z432="C",INDEX(Contracts!$P$2:$P$151,$AB432)&amp;"",IF($Z432="A",INDEX(Fixed_Assets!$K$2:$K$201,$AB432)&amp;"",IF($Z432="F",IF(INDEX(FTE_Allocation!$D$2:$D$201,$AB432)="PROJECT",IFERROR(INDEX(Projects!$D:$D,MATCH(INDEX(FTE_Allocation!$E$2:$E$201,$AB432),Projects!$A:$A,0))&amp;"","#PROJECT?"),INDEX(FTE_Allocation!$E$2:$E$201,$AB432)&amp;""),"")))</f>
        <v/>
      </c>
      <c r="F432" s="7">
        <f>IF($Z432="C",INDEX(Contracts!$Q$2:$Q$151,$AB432)&amp;"",IF($Z432="A",INDEX(Fixed_Assets!$L$2:$L$201,$AB432)&amp;"",IF($Z432="F",INDEX(Workforce!$K$2:$K$151,MATCH(INDEX(FTE_Allocation!$A$2:$A$201,$AB432),Workforce!$A$2:$A$151,0))&amp;"","")))</f>
        <v/>
      </c>
      <c r="G432" s="7">
        <f>IF($Z432="C",INDEX(Contracts!$F$2:$F$151,$AB432)&amp;" / "&amp;INDEX(Contracts!$G$2:$G$151,$AB432),IF($Z432="A",INDEX(Fixed_Assets!$E$2:$E$201,$AB432)&amp;"",IF($Z432="F","Personnel "&amp;INDEX(FTE_Allocation!$A$2:$A$201,$AB432)&amp;IF(INDEX(FTE_Allocation!$D$2:$D$201,$AB432)="PROJECT"," ("&amp;INDEX(FTE_Allocation!$E$2:$E$201,$AB432)&amp;")",""),"")))</f>
        <v/>
      </c>
      <c r="H432" s="7">
        <f>IF($Z432="C","CONTRACT",IF($Z432="A","ASSET",IF($Z432="F","WORKFORCE","")))</f>
        <v/>
      </c>
      <c r="I432" s="7">
        <f>IF($Z432="C",INDEX(Contracts!$L$2:$L$151,$AB432)&amp;"",IF($Z432="A",INDEX(Fixed_Assets!$I$2:$I$201,$AB432)&amp;"",IF($Z432="F",INDEX(Workforce!$G$2:$G$151,MATCH(INDEX(FTE_Allocation!$A$2:$A$201,$AB432),Workforce!$A$2:$A$151,0))&amp;"","")))</f>
        <v/>
      </c>
      <c r="J432" s="18">
        <f>IF($Z432="","",IF(AND(DATE($AD432,1,1)&gt;=$AE432,DATE($AD432,1,1)&lt;=$AF432),ROUND($AG432,2),0))</f>
        <v/>
      </c>
      <c r="K432" s="18">
        <f>IF($Z432="","",IF(AND(DATE($AD432,2,1)&gt;=$AE432,DATE($AD432,2,1)&lt;=$AF432),ROUND($AG432,2),0))</f>
        <v/>
      </c>
      <c r="L432" s="18">
        <f>IF($Z432="","",IF(AND(DATE($AD432,3,1)&gt;=$AE432,DATE($AD432,3,1)&lt;=$AF432),ROUND($AG432,2),0))</f>
        <v/>
      </c>
      <c r="M432" s="18">
        <f>IF($Z432="","",IF(AND(DATE($AD432,4,1)&gt;=$AE432,DATE($AD432,4,1)&lt;=$AF432),ROUND($AG432,2),0))</f>
        <v/>
      </c>
      <c r="N432" s="18">
        <f>IF($Z432="","",IF(AND(DATE($AD432,5,1)&gt;=$AE432,DATE($AD432,5,1)&lt;=$AF432),ROUND($AG432,2),0))</f>
        <v/>
      </c>
      <c r="O432" s="18">
        <f>IF($Z432="","",IF(AND(DATE($AD432,6,1)&gt;=$AE432,DATE($AD432,6,1)&lt;=$AF432),ROUND($AG432,2),0))</f>
        <v/>
      </c>
      <c r="P432" s="18">
        <f>IF($Z432="","",IF(AND(DATE($AD432,7,1)&gt;=$AE432,DATE($AD432,7,1)&lt;=$AF432),ROUND($AG432,2),0))</f>
        <v/>
      </c>
      <c r="Q432" s="18">
        <f>IF($Z432="","",IF(AND(DATE($AD432,8,1)&gt;=$AE432,DATE($AD432,8,1)&lt;=$AF432),ROUND($AG432,2),0))</f>
        <v/>
      </c>
      <c r="R432" s="18">
        <f>IF($Z432="","",IF(AND(DATE($AD432,9,1)&gt;=$AE432,DATE($AD432,9,1)&lt;=$AF432),ROUND($AG432,2),0))</f>
        <v/>
      </c>
      <c r="S432" s="18">
        <f>IF($Z432="","",IF(AND(DATE($AD432,10,1)&gt;=$AE432,DATE($AD432,10,1)&lt;=$AF432),ROUND($AG432,2),0))</f>
        <v/>
      </c>
      <c r="T432" s="18">
        <f>IF($Z432="","",IF(AND(DATE($AD432,11,1)&gt;=$AE432,DATE($AD432,11,1)&lt;=$AF432),ROUND($AG432,2),0))</f>
        <v/>
      </c>
      <c r="U432" s="18">
        <f>IF($Z432="","",IF(AND(DATE($AD432,12,1)&gt;=$AE432,DATE($AD432,12,1)&lt;=$AF432),ROUND($AG432,2),0))</f>
        <v/>
      </c>
      <c r="V432" s="7">
        <f>IF($Z432="C","Generated from "&amp;INDEX(Contracts!$A$2:$A$151,$AB432),IF($Z432="A","Generated from "&amp;INDEX(Fixed_Assets!$A$2:$A$201,$AB432),IF($Z432="F","Generated from "&amp;INDEX(FTE_Allocation!$A$2:$A$201,$AB432),"")))</f>
        <v/>
      </c>
      <c r="X432" s="19">
        <f>IF($Z432="","",SUM(J432:U432))</f>
        <v/>
      </c>
      <c r="Y432" s="20">
        <f>ROW()-1</f>
        <v/>
      </c>
      <c r="Z432" s="20">
        <f>IF($Y432&lt;=Settings!$B$4*3,"C",IF($Y432&lt;=(Settings!$B$4+Settings!$B$5)*3,"A",IF($Y432&lt;=(Settings!$B$4+Settings!$B$5+Settings!$B$6)*3,"F","")))</f>
        <v/>
      </c>
      <c r="AA432" s="20">
        <f>IF($Z432="C",$Y432,IF($Z432="A",$Y432-Settings!$B$4*3,IF($Z432="F",$Y432-(Settings!$B$4+Settings!$B$5)*3,"")))</f>
        <v/>
      </c>
      <c r="AB432" s="20">
        <f>IF($Z432="","",INT(($AA432-1)/3)+1)</f>
        <v/>
      </c>
      <c r="AC432" s="20">
        <f>IF($Z432="","",MOD($AA432-1,3)+1)</f>
        <v/>
      </c>
      <c r="AD432" s="20">
        <f>IF($Z432="","",Settings!$B$2+$AC432-1)</f>
        <v/>
      </c>
      <c r="AE432" s="21">
        <f>IF($Z432="C",DATE(YEAR(INDEX(Contracts!$J$2:$J$151,$AB432)),MONTH(INDEX(Contracts!$J$2:$J$151,$AB432)),1),IF($Z432="A",DATE(YEAR(INDEX(Fixed_Assets!$G$2:$G$201,$AB432)),MONTH(INDEX(Fixed_Assets!$G$2:$G$201,$AB432)),1),IF($Z432="F",DATE(YEAR(MAX(N(INDEX(Workforce!$I$2:$I$151,MATCH(INDEX(FTE_Allocation!$A$2:$A$201,$AB432),Workforce!$A$2:$A$151,0))),N(INDEX(FTE_Allocation!$I$2:$I$201,$AB432)))),MONTH(MAX(N(INDEX(Workforce!$I$2:$I$151,MATCH(INDEX(FTE_Allocation!$A$2:$A$201,$AB432),Workforce!$A$2:$A$151,0))),N(INDEX(FTE_Allocation!$I$2:$I$201,$AB432)))),1),"")))</f>
        <v/>
      </c>
      <c r="AF432" s="21">
        <f>IF($Z432="C",IF(INDEX(Contracts!$I$2:$I$151,$AB432)="PREPAID",EDATE(DATE(YEAR(INDEX(Contracts!$J$2:$J$151,$AB432)),MONTH(INDEX(Contracts!$J$2:$J$151,$AB432)),1),IF(INDEX(Contracts!$N$2:$N$151,$AB432)="",12,INDEX(Contracts!$N$2:$N$151,$AB432))-1),IF(INDEX(Contracts!$I$2:$I$151,$AB432)="MONTHLY",IF(INDEX(Contracts!$K$2:$K$151,$AB432)="",2958101,INDEX(Contracts!$K$2:$K$151,$AB432)),0)),IF($Z432="A",EDATE(DATE(YEAR(INDEX(Fixed_Assets!$G$2:$G$201,$AB432)),MONTH(INDEX(Fixed_Assets!$G$2:$G$201,$AB432)),1),INDEX(Fixed_Assets!$J$2:$J$201,$AB432)-1),IF($Z432="F",MIN(IF(INDEX(Workforce!$J$2:$J$151,MATCH(INDEX(FTE_Allocation!$A$2:$A$201,$AB432),Workforce!$A$2:$A$151,0))="",2958101,INDEX(Workforce!$J$2:$J$151,MATCH(INDEX(FTE_Allocation!$A$2:$A$201,$AB432),Workforce!$A$2:$A$151,0))),IF(INDEX(FTE_Allocation!$J$2:$J$201,$AB432)="",2958101,INDEX(FTE_Allocation!$J$2:$J$201,$AB432))),"")))</f>
        <v/>
      </c>
      <c r="AG432" s="19">
        <f>IF($Z432="C",IF(INDEX(Contracts!$I$2:$I$151,$AB432)="PREPAID",INDEX(Contracts!$M$2:$M$151,$AB432)/IF(INDEX(Contracts!$N$2:$N$151,$AB432)="",12,INDEX(Contracts!$N$2:$N$151,$AB432)),IF(INDEX(Contracts!$I$2:$I$151,$AB432)="MONTHLY",INDEX(Contracts!$M$2:$M$151,$AB432),0))*(1-N(INDEX(Contracts!$O$2:$O$151,$AB432))),IF($Z432="A",INDEX(Fixed_Assets!$H$2:$H$201,$AB432)/INDEX(Fixed_Assets!$J$2:$J$201,$AB432),IF($Z432="F",INDEX(Workforce!$F$2:$F$151,MATCH(INDEX(FTE_Allocation!$A$2:$A$201,$AB432),Workforce!$A$2:$A$151,0))*N(INDEX(FTE_Allocation!$F$2:$H$201,$AB432,$AC432)),"")))</f>
        <v/>
      </c>
    </row>
    <row r="433">
      <c r="A433" s="7">
        <f>IF($Z433="","",$AD433)</f>
        <v/>
      </c>
      <c r="B433" s="7">
        <f>IF($Z433="C",INDEX(Contracts!$D$2:$D$151,$AB433)&amp;"",IF($Z433="A",INDEX(Fixed_Assets!$C$2:$C$201,$AB433)&amp;"",IF($Z433="F",INDEX(Workforce!$B$2:$B$151,MATCH(INDEX(FTE_Allocation!$A$2:$A$201,$AB433),Workforce!$A$2:$A$151,0))&amp;"","")))</f>
        <v/>
      </c>
      <c r="C433" s="7">
        <f>IF($Z433="C",INDEX(Contracts!$E$2:$E$151,$AB433)&amp;"",IF($Z433="A",INDEX(Fixed_Assets!$D$2:$D$201,$AB433)&amp;"",IF($Z433="F",INDEX(FTE_Allocation!$C$2:$C$201,$AB433)&amp;"","")))</f>
        <v/>
      </c>
      <c r="D433" s="7">
        <f>IF($Z433="C",INDEX(Contracts!$B$2:$B$151,$AB433)&amp;"",IF($Z433="A",INDEX(Fixed_Assets!$B$2:$B$201,$AB433)&amp;"",IF($Z433="F",INDEX(FTE_Allocation!$B$2:$B$201,$AB433)&amp;"","")))</f>
        <v/>
      </c>
      <c r="E433" s="7">
        <f>IF($Z433="C",INDEX(Contracts!$P$2:$P$151,$AB433)&amp;"",IF($Z433="A",INDEX(Fixed_Assets!$K$2:$K$201,$AB433)&amp;"",IF($Z433="F",IF(INDEX(FTE_Allocation!$D$2:$D$201,$AB433)="PROJECT",IFERROR(INDEX(Projects!$D:$D,MATCH(INDEX(FTE_Allocation!$E$2:$E$201,$AB433),Projects!$A:$A,0))&amp;"","#PROJECT?"),INDEX(FTE_Allocation!$E$2:$E$201,$AB433)&amp;""),"")))</f>
        <v/>
      </c>
      <c r="F433" s="7">
        <f>IF($Z433="C",INDEX(Contracts!$Q$2:$Q$151,$AB433)&amp;"",IF($Z433="A",INDEX(Fixed_Assets!$L$2:$L$201,$AB433)&amp;"",IF($Z433="F",INDEX(Workforce!$K$2:$K$151,MATCH(INDEX(FTE_Allocation!$A$2:$A$201,$AB433),Workforce!$A$2:$A$151,0))&amp;"","")))</f>
        <v/>
      </c>
      <c r="G433" s="7">
        <f>IF($Z433="C",INDEX(Contracts!$F$2:$F$151,$AB433)&amp;" / "&amp;INDEX(Contracts!$G$2:$G$151,$AB433),IF($Z433="A",INDEX(Fixed_Assets!$E$2:$E$201,$AB433)&amp;"",IF($Z433="F","Personnel "&amp;INDEX(FTE_Allocation!$A$2:$A$201,$AB433)&amp;IF(INDEX(FTE_Allocation!$D$2:$D$201,$AB433)="PROJECT"," ("&amp;INDEX(FTE_Allocation!$E$2:$E$201,$AB433)&amp;")",""),"")))</f>
        <v/>
      </c>
      <c r="H433" s="7">
        <f>IF($Z433="C","CONTRACT",IF($Z433="A","ASSET",IF($Z433="F","WORKFORCE","")))</f>
        <v/>
      </c>
      <c r="I433" s="7">
        <f>IF($Z433="C",INDEX(Contracts!$L$2:$L$151,$AB433)&amp;"",IF($Z433="A",INDEX(Fixed_Assets!$I$2:$I$201,$AB433)&amp;"",IF($Z433="F",INDEX(Workforce!$G$2:$G$151,MATCH(INDEX(FTE_Allocation!$A$2:$A$201,$AB433),Workforce!$A$2:$A$151,0))&amp;"","")))</f>
        <v/>
      </c>
      <c r="J433" s="18">
        <f>IF($Z433="","",IF(AND(DATE($AD433,1,1)&gt;=$AE433,DATE($AD433,1,1)&lt;=$AF433),ROUND($AG433,2),0))</f>
        <v/>
      </c>
      <c r="K433" s="18">
        <f>IF($Z433="","",IF(AND(DATE($AD433,2,1)&gt;=$AE433,DATE($AD433,2,1)&lt;=$AF433),ROUND($AG433,2),0))</f>
        <v/>
      </c>
      <c r="L433" s="18">
        <f>IF($Z433="","",IF(AND(DATE($AD433,3,1)&gt;=$AE433,DATE($AD433,3,1)&lt;=$AF433),ROUND($AG433,2),0))</f>
        <v/>
      </c>
      <c r="M433" s="18">
        <f>IF($Z433="","",IF(AND(DATE($AD433,4,1)&gt;=$AE433,DATE($AD433,4,1)&lt;=$AF433),ROUND($AG433,2),0))</f>
        <v/>
      </c>
      <c r="N433" s="18">
        <f>IF($Z433="","",IF(AND(DATE($AD433,5,1)&gt;=$AE433,DATE($AD433,5,1)&lt;=$AF433),ROUND($AG433,2),0))</f>
        <v/>
      </c>
      <c r="O433" s="18">
        <f>IF($Z433="","",IF(AND(DATE($AD433,6,1)&gt;=$AE433,DATE($AD433,6,1)&lt;=$AF433),ROUND($AG433,2),0))</f>
        <v/>
      </c>
      <c r="P433" s="18">
        <f>IF($Z433="","",IF(AND(DATE($AD433,7,1)&gt;=$AE433,DATE($AD433,7,1)&lt;=$AF433),ROUND($AG433,2),0))</f>
        <v/>
      </c>
      <c r="Q433" s="18">
        <f>IF($Z433="","",IF(AND(DATE($AD433,8,1)&gt;=$AE433,DATE($AD433,8,1)&lt;=$AF433),ROUND($AG433,2),0))</f>
        <v/>
      </c>
      <c r="R433" s="18">
        <f>IF($Z433="","",IF(AND(DATE($AD433,9,1)&gt;=$AE433,DATE($AD433,9,1)&lt;=$AF433),ROUND($AG433,2),0))</f>
        <v/>
      </c>
      <c r="S433" s="18">
        <f>IF($Z433="","",IF(AND(DATE($AD433,10,1)&gt;=$AE433,DATE($AD433,10,1)&lt;=$AF433),ROUND($AG433,2),0))</f>
        <v/>
      </c>
      <c r="T433" s="18">
        <f>IF($Z433="","",IF(AND(DATE($AD433,11,1)&gt;=$AE433,DATE($AD433,11,1)&lt;=$AF433),ROUND($AG433,2),0))</f>
        <v/>
      </c>
      <c r="U433" s="18">
        <f>IF($Z433="","",IF(AND(DATE($AD433,12,1)&gt;=$AE433,DATE($AD433,12,1)&lt;=$AF433),ROUND($AG433,2),0))</f>
        <v/>
      </c>
      <c r="V433" s="7">
        <f>IF($Z433="C","Generated from "&amp;INDEX(Contracts!$A$2:$A$151,$AB433),IF($Z433="A","Generated from "&amp;INDEX(Fixed_Assets!$A$2:$A$201,$AB433),IF($Z433="F","Generated from "&amp;INDEX(FTE_Allocation!$A$2:$A$201,$AB433),"")))</f>
        <v/>
      </c>
      <c r="X433" s="19">
        <f>IF($Z433="","",SUM(J433:U433))</f>
        <v/>
      </c>
      <c r="Y433" s="20">
        <f>ROW()-1</f>
        <v/>
      </c>
      <c r="Z433" s="20">
        <f>IF($Y433&lt;=Settings!$B$4*3,"C",IF($Y433&lt;=(Settings!$B$4+Settings!$B$5)*3,"A",IF($Y433&lt;=(Settings!$B$4+Settings!$B$5+Settings!$B$6)*3,"F","")))</f>
        <v/>
      </c>
      <c r="AA433" s="20">
        <f>IF($Z433="C",$Y433,IF($Z433="A",$Y433-Settings!$B$4*3,IF($Z433="F",$Y433-(Settings!$B$4+Settings!$B$5)*3,"")))</f>
        <v/>
      </c>
      <c r="AB433" s="20">
        <f>IF($Z433="","",INT(($AA433-1)/3)+1)</f>
        <v/>
      </c>
      <c r="AC433" s="20">
        <f>IF($Z433="","",MOD($AA433-1,3)+1)</f>
        <v/>
      </c>
      <c r="AD433" s="20">
        <f>IF($Z433="","",Settings!$B$2+$AC433-1)</f>
        <v/>
      </c>
      <c r="AE433" s="21">
        <f>IF($Z433="C",DATE(YEAR(INDEX(Contracts!$J$2:$J$151,$AB433)),MONTH(INDEX(Contracts!$J$2:$J$151,$AB433)),1),IF($Z433="A",DATE(YEAR(INDEX(Fixed_Assets!$G$2:$G$201,$AB433)),MONTH(INDEX(Fixed_Assets!$G$2:$G$201,$AB433)),1),IF($Z433="F",DATE(YEAR(MAX(N(INDEX(Workforce!$I$2:$I$151,MATCH(INDEX(FTE_Allocation!$A$2:$A$201,$AB433),Workforce!$A$2:$A$151,0))),N(INDEX(FTE_Allocation!$I$2:$I$201,$AB433)))),MONTH(MAX(N(INDEX(Workforce!$I$2:$I$151,MATCH(INDEX(FTE_Allocation!$A$2:$A$201,$AB433),Workforce!$A$2:$A$151,0))),N(INDEX(FTE_Allocation!$I$2:$I$201,$AB433)))),1),"")))</f>
        <v/>
      </c>
      <c r="AF433" s="21">
        <f>IF($Z433="C",IF(INDEX(Contracts!$I$2:$I$151,$AB433)="PREPAID",EDATE(DATE(YEAR(INDEX(Contracts!$J$2:$J$151,$AB433)),MONTH(INDEX(Contracts!$J$2:$J$151,$AB433)),1),IF(INDEX(Contracts!$N$2:$N$151,$AB433)="",12,INDEX(Contracts!$N$2:$N$151,$AB433))-1),IF(INDEX(Contracts!$I$2:$I$151,$AB433)="MONTHLY",IF(INDEX(Contracts!$K$2:$K$151,$AB433)="",2958101,INDEX(Contracts!$K$2:$K$151,$AB433)),0)),IF($Z433="A",EDATE(DATE(YEAR(INDEX(Fixed_Assets!$G$2:$G$201,$AB433)),MONTH(INDEX(Fixed_Assets!$G$2:$G$201,$AB433)),1),INDEX(Fixed_Assets!$J$2:$J$201,$AB433)-1),IF($Z433="F",MIN(IF(INDEX(Workforce!$J$2:$J$151,MATCH(INDEX(FTE_Allocation!$A$2:$A$201,$AB433),Workforce!$A$2:$A$151,0))="",2958101,INDEX(Workforce!$J$2:$J$151,MATCH(INDEX(FTE_Allocation!$A$2:$A$201,$AB433),Workforce!$A$2:$A$151,0))),IF(INDEX(FTE_Allocation!$J$2:$J$201,$AB433)="",2958101,INDEX(FTE_Allocation!$J$2:$J$201,$AB433))),"")))</f>
        <v/>
      </c>
      <c r="AG433" s="19">
        <f>IF($Z433="C",IF(INDEX(Contracts!$I$2:$I$151,$AB433)="PREPAID",INDEX(Contracts!$M$2:$M$151,$AB433)/IF(INDEX(Contracts!$N$2:$N$151,$AB433)="",12,INDEX(Contracts!$N$2:$N$151,$AB433)),IF(INDEX(Contracts!$I$2:$I$151,$AB433)="MONTHLY",INDEX(Contracts!$M$2:$M$151,$AB433),0))*(1-N(INDEX(Contracts!$O$2:$O$151,$AB433))),IF($Z433="A",INDEX(Fixed_Assets!$H$2:$H$201,$AB433)/INDEX(Fixed_Assets!$J$2:$J$201,$AB433),IF($Z433="F",INDEX(Workforce!$F$2:$F$151,MATCH(INDEX(FTE_Allocation!$A$2:$A$201,$AB433),Workforce!$A$2:$A$151,0))*N(INDEX(FTE_Allocation!$F$2:$H$201,$AB433,$AC433)),"")))</f>
        <v/>
      </c>
    </row>
    <row r="434">
      <c r="A434" s="7">
        <f>IF($Z434="","",$AD434)</f>
        <v/>
      </c>
      <c r="B434" s="7">
        <f>IF($Z434="C",INDEX(Contracts!$D$2:$D$151,$AB434)&amp;"",IF($Z434="A",INDEX(Fixed_Assets!$C$2:$C$201,$AB434)&amp;"",IF($Z434="F",INDEX(Workforce!$B$2:$B$151,MATCH(INDEX(FTE_Allocation!$A$2:$A$201,$AB434),Workforce!$A$2:$A$151,0))&amp;"","")))</f>
        <v/>
      </c>
      <c r="C434" s="7">
        <f>IF($Z434="C",INDEX(Contracts!$E$2:$E$151,$AB434)&amp;"",IF($Z434="A",INDEX(Fixed_Assets!$D$2:$D$201,$AB434)&amp;"",IF($Z434="F",INDEX(FTE_Allocation!$C$2:$C$201,$AB434)&amp;"","")))</f>
        <v/>
      </c>
      <c r="D434" s="7">
        <f>IF($Z434="C",INDEX(Contracts!$B$2:$B$151,$AB434)&amp;"",IF($Z434="A",INDEX(Fixed_Assets!$B$2:$B$201,$AB434)&amp;"",IF($Z434="F",INDEX(FTE_Allocation!$B$2:$B$201,$AB434)&amp;"","")))</f>
        <v/>
      </c>
      <c r="E434" s="7">
        <f>IF($Z434="C",INDEX(Contracts!$P$2:$P$151,$AB434)&amp;"",IF($Z434="A",INDEX(Fixed_Assets!$K$2:$K$201,$AB434)&amp;"",IF($Z434="F",IF(INDEX(FTE_Allocation!$D$2:$D$201,$AB434)="PROJECT",IFERROR(INDEX(Projects!$D:$D,MATCH(INDEX(FTE_Allocation!$E$2:$E$201,$AB434),Projects!$A:$A,0))&amp;"","#PROJECT?"),INDEX(FTE_Allocation!$E$2:$E$201,$AB434)&amp;""),"")))</f>
        <v/>
      </c>
      <c r="F434" s="7">
        <f>IF($Z434="C",INDEX(Contracts!$Q$2:$Q$151,$AB434)&amp;"",IF($Z434="A",INDEX(Fixed_Assets!$L$2:$L$201,$AB434)&amp;"",IF($Z434="F",INDEX(Workforce!$K$2:$K$151,MATCH(INDEX(FTE_Allocation!$A$2:$A$201,$AB434),Workforce!$A$2:$A$151,0))&amp;"","")))</f>
        <v/>
      </c>
      <c r="G434" s="7">
        <f>IF($Z434="C",INDEX(Contracts!$F$2:$F$151,$AB434)&amp;" / "&amp;INDEX(Contracts!$G$2:$G$151,$AB434),IF($Z434="A",INDEX(Fixed_Assets!$E$2:$E$201,$AB434)&amp;"",IF($Z434="F","Personnel "&amp;INDEX(FTE_Allocation!$A$2:$A$201,$AB434)&amp;IF(INDEX(FTE_Allocation!$D$2:$D$201,$AB434)="PROJECT"," ("&amp;INDEX(FTE_Allocation!$E$2:$E$201,$AB434)&amp;")",""),"")))</f>
        <v/>
      </c>
      <c r="H434" s="7">
        <f>IF($Z434="C","CONTRACT",IF($Z434="A","ASSET",IF($Z434="F","WORKFORCE","")))</f>
        <v/>
      </c>
      <c r="I434" s="7">
        <f>IF($Z434="C",INDEX(Contracts!$L$2:$L$151,$AB434)&amp;"",IF($Z434="A",INDEX(Fixed_Assets!$I$2:$I$201,$AB434)&amp;"",IF($Z434="F",INDEX(Workforce!$G$2:$G$151,MATCH(INDEX(FTE_Allocation!$A$2:$A$201,$AB434),Workforce!$A$2:$A$151,0))&amp;"","")))</f>
        <v/>
      </c>
      <c r="J434" s="18">
        <f>IF($Z434="","",IF(AND(DATE($AD434,1,1)&gt;=$AE434,DATE($AD434,1,1)&lt;=$AF434),ROUND($AG434,2),0))</f>
        <v/>
      </c>
      <c r="K434" s="18">
        <f>IF($Z434="","",IF(AND(DATE($AD434,2,1)&gt;=$AE434,DATE($AD434,2,1)&lt;=$AF434),ROUND($AG434,2),0))</f>
        <v/>
      </c>
      <c r="L434" s="18">
        <f>IF($Z434="","",IF(AND(DATE($AD434,3,1)&gt;=$AE434,DATE($AD434,3,1)&lt;=$AF434),ROUND($AG434,2),0))</f>
        <v/>
      </c>
      <c r="M434" s="18">
        <f>IF($Z434="","",IF(AND(DATE($AD434,4,1)&gt;=$AE434,DATE($AD434,4,1)&lt;=$AF434),ROUND($AG434,2),0))</f>
        <v/>
      </c>
      <c r="N434" s="18">
        <f>IF($Z434="","",IF(AND(DATE($AD434,5,1)&gt;=$AE434,DATE($AD434,5,1)&lt;=$AF434),ROUND($AG434,2),0))</f>
        <v/>
      </c>
      <c r="O434" s="18">
        <f>IF($Z434="","",IF(AND(DATE($AD434,6,1)&gt;=$AE434,DATE($AD434,6,1)&lt;=$AF434),ROUND($AG434,2),0))</f>
        <v/>
      </c>
      <c r="P434" s="18">
        <f>IF($Z434="","",IF(AND(DATE($AD434,7,1)&gt;=$AE434,DATE($AD434,7,1)&lt;=$AF434),ROUND($AG434,2),0))</f>
        <v/>
      </c>
      <c r="Q434" s="18">
        <f>IF($Z434="","",IF(AND(DATE($AD434,8,1)&gt;=$AE434,DATE($AD434,8,1)&lt;=$AF434),ROUND($AG434,2),0))</f>
        <v/>
      </c>
      <c r="R434" s="18">
        <f>IF($Z434="","",IF(AND(DATE($AD434,9,1)&gt;=$AE434,DATE($AD434,9,1)&lt;=$AF434),ROUND($AG434,2),0))</f>
        <v/>
      </c>
      <c r="S434" s="18">
        <f>IF($Z434="","",IF(AND(DATE($AD434,10,1)&gt;=$AE434,DATE($AD434,10,1)&lt;=$AF434),ROUND($AG434,2),0))</f>
        <v/>
      </c>
      <c r="T434" s="18">
        <f>IF($Z434="","",IF(AND(DATE($AD434,11,1)&gt;=$AE434,DATE($AD434,11,1)&lt;=$AF434),ROUND($AG434,2),0))</f>
        <v/>
      </c>
      <c r="U434" s="18">
        <f>IF($Z434="","",IF(AND(DATE($AD434,12,1)&gt;=$AE434,DATE($AD434,12,1)&lt;=$AF434),ROUND($AG434,2),0))</f>
        <v/>
      </c>
      <c r="V434" s="7">
        <f>IF($Z434="C","Generated from "&amp;INDEX(Contracts!$A$2:$A$151,$AB434),IF($Z434="A","Generated from "&amp;INDEX(Fixed_Assets!$A$2:$A$201,$AB434),IF($Z434="F","Generated from "&amp;INDEX(FTE_Allocation!$A$2:$A$201,$AB434),"")))</f>
        <v/>
      </c>
      <c r="X434" s="19">
        <f>IF($Z434="","",SUM(J434:U434))</f>
        <v/>
      </c>
      <c r="Y434" s="20">
        <f>ROW()-1</f>
        <v/>
      </c>
      <c r="Z434" s="20">
        <f>IF($Y434&lt;=Settings!$B$4*3,"C",IF($Y434&lt;=(Settings!$B$4+Settings!$B$5)*3,"A",IF($Y434&lt;=(Settings!$B$4+Settings!$B$5+Settings!$B$6)*3,"F","")))</f>
        <v/>
      </c>
      <c r="AA434" s="20">
        <f>IF($Z434="C",$Y434,IF($Z434="A",$Y434-Settings!$B$4*3,IF($Z434="F",$Y434-(Settings!$B$4+Settings!$B$5)*3,"")))</f>
        <v/>
      </c>
      <c r="AB434" s="20">
        <f>IF($Z434="","",INT(($AA434-1)/3)+1)</f>
        <v/>
      </c>
      <c r="AC434" s="20">
        <f>IF($Z434="","",MOD($AA434-1,3)+1)</f>
        <v/>
      </c>
      <c r="AD434" s="20">
        <f>IF($Z434="","",Settings!$B$2+$AC434-1)</f>
        <v/>
      </c>
      <c r="AE434" s="21">
        <f>IF($Z434="C",DATE(YEAR(INDEX(Contracts!$J$2:$J$151,$AB434)),MONTH(INDEX(Contracts!$J$2:$J$151,$AB434)),1),IF($Z434="A",DATE(YEAR(INDEX(Fixed_Assets!$G$2:$G$201,$AB434)),MONTH(INDEX(Fixed_Assets!$G$2:$G$201,$AB434)),1),IF($Z434="F",DATE(YEAR(MAX(N(INDEX(Workforce!$I$2:$I$151,MATCH(INDEX(FTE_Allocation!$A$2:$A$201,$AB434),Workforce!$A$2:$A$151,0))),N(INDEX(FTE_Allocation!$I$2:$I$201,$AB434)))),MONTH(MAX(N(INDEX(Workforce!$I$2:$I$151,MATCH(INDEX(FTE_Allocation!$A$2:$A$201,$AB434),Workforce!$A$2:$A$151,0))),N(INDEX(FTE_Allocation!$I$2:$I$201,$AB434)))),1),"")))</f>
        <v/>
      </c>
      <c r="AF434" s="21">
        <f>IF($Z434="C",IF(INDEX(Contracts!$I$2:$I$151,$AB434)="PREPAID",EDATE(DATE(YEAR(INDEX(Contracts!$J$2:$J$151,$AB434)),MONTH(INDEX(Contracts!$J$2:$J$151,$AB434)),1),IF(INDEX(Contracts!$N$2:$N$151,$AB434)="",12,INDEX(Contracts!$N$2:$N$151,$AB434))-1),IF(INDEX(Contracts!$I$2:$I$151,$AB434)="MONTHLY",IF(INDEX(Contracts!$K$2:$K$151,$AB434)="",2958101,INDEX(Contracts!$K$2:$K$151,$AB434)),0)),IF($Z434="A",EDATE(DATE(YEAR(INDEX(Fixed_Assets!$G$2:$G$201,$AB434)),MONTH(INDEX(Fixed_Assets!$G$2:$G$201,$AB434)),1),INDEX(Fixed_Assets!$J$2:$J$201,$AB434)-1),IF($Z434="F",MIN(IF(INDEX(Workforce!$J$2:$J$151,MATCH(INDEX(FTE_Allocation!$A$2:$A$201,$AB434),Workforce!$A$2:$A$151,0))="",2958101,INDEX(Workforce!$J$2:$J$151,MATCH(INDEX(FTE_Allocation!$A$2:$A$201,$AB434),Workforce!$A$2:$A$151,0))),IF(INDEX(FTE_Allocation!$J$2:$J$201,$AB434)="",2958101,INDEX(FTE_Allocation!$J$2:$J$201,$AB434))),"")))</f>
        <v/>
      </c>
      <c r="AG434" s="19">
        <f>IF($Z434="C",IF(INDEX(Contracts!$I$2:$I$151,$AB434)="PREPAID",INDEX(Contracts!$M$2:$M$151,$AB434)/IF(INDEX(Contracts!$N$2:$N$151,$AB434)="",12,INDEX(Contracts!$N$2:$N$151,$AB434)),IF(INDEX(Contracts!$I$2:$I$151,$AB434)="MONTHLY",INDEX(Contracts!$M$2:$M$151,$AB434),0))*(1-N(INDEX(Contracts!$O$2:$O$151,$AB434))),IF($Z434="A",INDEX(Fixed_Assets!$H$2:$H$201,$AB434)/INDEX(Fixed_Assets!$J$2:$J$201,$AB434),IF($Z434="F",INDEX(Workforce!$F$2:$F$151,MATCH(INDEX(FTE_Allocation!$A$2:$A$201,$AB434),Workforce!$A$2:$A$151,0))*N(INDEX(FTE_Allocation!$F$2:$H$201,$AB434,$AC434)),"")))</f>
        <v/>
      </c>
    </row>
    <row r="435">
      <c r="A435" s="7">
        <f>IF($Z435="","",$AD435)</f>
        <v/>
      </c>
      <c r="B435" s="7">
        <f>IF($Z435="C",INDEX(Contracts!$D$2:$D$151,$AB435)&amp;"",IF($Z435="A",INDEX(Fixed_Assets!$C$2:$C$201,$AB435)&amp;"",IF($Z435="F",INDEX(Workforce!$B$2:$B$151,MATCH(INDEX(FTE_Allocation!$A$2:$A$201,$AB435),Workforce!$A$2:$A$151,0))&amp;"","")))</f>
        <v/>
      </c>
      <c r="C435" s="7">
        <f>IF($Z435="C",INDEX(Contracts!$E$2:$E$151,$AB435)&amp;"",IF($Z435="A",INDEX(Fixed_Assets!$D$2:$D$201,$AB435)&amp;"",IF($Z435="F",INDEX(FTE_Allocation!$C$2:$C$201,$AB435)&amp;"","")))</f>
        <v/>
      </c>
      <c r="D435" s="7">
        <f>IF($Z435="C",INDEX(Contracts!$B$2:$B$151,$AB435)&amp;"",IF($Z435="A",INDEX(Fixed_Assets!$B$2:$B$201,$AB435)&amp;"",IF($Z435="F",INDEX(FTE_Allocation!$B$2:$B$201,$AB435)&amp;"","")))</f>
        <v/>
      </c>
      <c r="E435" s="7">
        <f>IF($Z435="C",INDEX(Contracts!$P$2:$P$151,$AB435)&amp;"",IF($Z435="A",INDEX(Fixed_Assets!$K$2:$K$201,$AB435)&amp;"",IF($Z435="F",IF(INDEX(FTE_Allocation!$D$2:$D$201,$AB435)="PROJECT",IFERROR(INDEX(Projects!$D:$D,MATCH(INDEX(FTE_Allocation!$E$2:$E$201,$AB435),Projects!$A:$A,0))&amp;"","#PROJECT?"),INDEX(FTE_Allocation!$E$2:$E$201,$AB435)&amp;""),"")))</f>
        <v/>
      </c>
      <c r="F435" s="7">
        <f>IF($Z435="C",INDEX(Contracts!$Q$2:$Q$151,$AB435)&amp;"",IF($Z435="A",INDEX(Fixed_Assets!$L$2:$L$201,$AB435)&amp;"",IF($Z435="F",INDEX(Workforce!$K$2:$K$151,MATCH(INDEX(FTE_Allocation!$A$2:$A$201,$AB435),Workforce!$A$2:$A$151,0))&amp;"","")))</f>
        <v/>
      </c>
      <c r="G435" s="7">
        <f>IF($Z435="C",INDEX(Contracts!$F$2:$F$151,$AB435)&amp;" / "&amp;INDEX(Contracts!$G$2:$G$151,$AB435),IF($Z435="A",INDEX(Fixed_Assets!$E$2:$E$201,$AB435)&amp;"",IF($Z435="F","Personnel "&amp;INDEX(FTE_Allocation!$A$2:$A$201,$AB435)&amp;IF(INDEX(FTE_Allocation!$D$2:$D$201,$AB435)="PROJECT"," ("&amp;INDEX(FTE_Allocation!$E$2:$E$201,$AB435)&amp;")",""),"")))</f>
        <v/>
      </c>
      <c r="H435" s="7">
        <f>IF($Z435="C","CONTRACT",IF($Z435="A","ASSET",IF($Z435="F","WORKFORCE","")))</f>
        <v/>
      </c>
      <c r="I435" s="7">
        <f>IF($Z435="C",INDEX(Contracts!$L$2:$L$151,$AB435)&amp;"",IF($Z435="A",INDEX(Fixed_Assets!$I$2:$I$201,$AB435)&amp;"",IF($Z435="F",INDEX(Workforce!$G$2:$G$151,MATCH(INDEX(FTE_Allocation!$A$2:$A$201,$AB435),Workforce!$A$2:$A$151,0))&amp;"","")))</f>
        <v/>
      </c>
      <c r="J435" s="18">
        <f>IF($Z435="","",IF(AND(DATE($AD435,1,1)&gt;=$AE435,DATE($AD435,1,1)&lt;=$AF435),ROUND($AG435,2),0))</f>
        <v/>
      </c>
      <c r="K435" s="18">
        <f>IF($Z435="","",IF(AND(DATE($AD435,2,1)&gt;=$AE435,DATE($AD435,2,1)&lt;=$AF435),ROUND($AG435,2),0))</f>
        <v/>
      </c>
      <c r="L435" s="18">
        <f>IF($Z435="","",IF(AND(DATE($AD435,3,1)&gt;=$AE435,DATE($AD435,3,1)&lt;=$AF435),ROUND($AG435,2),0))</f>
        <v/>
      </c>
      <c r="M435" s="18">
        <f>IF($Z435="","",IF(AND(DATE($AD435,4,1)&gt;=$AE435,DATE($AD435,4,1)&lt;=$AF435),ROUND($AG435,2),0))</f>
        <v/>
      </c>
      <c r="N435" s="18">
        <f>IF($Z435="","",IF(AND(DATE($AD435,5,1)&gt;=$AE435,DATE($AD435,5,1)&lt;=$AF435),ROUND($AG435,2),0))</f>
        <v/>
      </c>
      <c r="O435" s="18">
        <f>IF($Z435="","",IF(AND(DATE($AD435,6,1)&gt;=$AE435,DATE($AD435,6,1)&lt;=$AF435),ROUND($AG435,2),0))</f>
        <v/>
      </c>
      <c r="P435" s="18">
        <f>IF($Z435="","",IF(AND(DATE($AD435,7,1)&gt;=$AE435,DATE($AD435,7,1)&lt;=$AF435),ROUND($AG435,2),0))</f>
        <v/>
      </c>
      <c r="Q435" s="18">
        <f>IF($Z435="","",IF(AND(DATE($AD435,8,1)&gt;=$AE435,DATE($AD435,8,1)&lt;=$AF435),ROUND($AG435,2),0))</f>
        <v/>
      </c>
      <c r="R435" s="18">
        <f>IF($Z435="","",IF(AND(DATE($AD435,9,1)&gt;=$AE435,DATE($AD435,9,1)&lt;=$AF435),ROUND($AG435,2),0))</f>
        <v/>
      </c>
      <c r="S435" s="18">
        <f>IF($Z435="","",IF(AND(DATE($AD435,10,1)&gt;=$AE435,DATE($AD435,10,1)&lt;=$AF435),ROUND($AG435,2),0))</f>
        <v/>
      </c>
      <c r="T435" s="18">
        <f>IF($Z435="","",IF(AND(DATE($AD435,11,1)&gt;=$AE435,DATE($AD435,11,1)&lt;=$AF435),ROUND($AG435,2),0))</f>
        <v/>
      </c>
      <c r="U435" s="18">
        <f>IF($Z435="","",IF(AND(DATE($AD435,12,1)&gt;=$AE435,DATE($AD435,12,1)&lt;=$AF435),ROUND($AG435,2),0))</f>
        <v/>
      </c>
      <c r="V435" s="7">
        <f>IF($Z435="C","Generated from "&amp;INDEX(Contracts!$A$2:$A$151,$AB435),IF($Z435="A","Generated from "&amp;INDEX(Fixed_Assets!$A$2:$A$201,$AB435),IF($Z435="F","Generated from "&amp;INDEX(FTE_Allocation!$A$2:$A$201,$AB435),"")))</f>
        <v/>
      </c>
      <c r="X435" s="19">
        <f>IF($Z435="","",SUM(J435:U435))</f>
        <v/>
      </c>
      <c r="Y435" s="20">
        <f>ROW()-1</f>
        <v/>
      </c>
      <c r="Z435" s="20">
        <f>IF($Y435&lt;=Settings!$B$4*3,"C",IF($Y435&lt;=(Settings!$B$4+Settings!$B$5)*3,"A",IF($Y435&lt;=(Settings!$B$4+Settings!$B$5+Settings!$B$6)*3,"F","")))</f>
        <v/>
      </c>
      <c r="AA435" s="20">
        <f>IF($Z435="C",$Y435,IF($Z435="A",$Y435-Settings!$B$4*3,IF($Z435="F",$Y435-(Settings!$B$4+Settings!$B$5)*3,"")))</f>
        <v/>
      </c>
      <c r="AB435" s="20">
        <f>IF($Z435="","",INT(($AA435-1)/3)+1)</f>
        <v/>
      </c>
      <c r="AC435" s="20">
        <f>IF($Z435="","",MOD($AA435-1,3)+1)</f>
        <v/>
      </c>
      <c r="AD435" s="20">
        <f>IF($Z435="","",Settings!$B$2+$AC435-1)</f>
        <v/>
      </c>
      <c r="AE435" s="21">
        <f>IF($Z435="C",DATE(YEAR(INDEX(Contracts!$J$2:$J$151,$AB435)),MONTH(INDEX(Contracts!$J$2:$J$151,$AB435)),1),IF($Z435="A",DATE(YEAR(INDEX(Fixed_Assets!$G$2:$G$201,$AB435)),MONTH(INDEX(Fixed_Assets!$G$2:$G$201,$AB435)),1),IF($Z435="F",DATE(YEAR(MAX(N(INDEX(Workforce!$I$2:$I$151,MATCH(INDEX(FTE_Allocation!$A$2:$A$201,$AB435),Workforce!$A$2:$A$151,0))),N(INDEX(FTE_Allocation!$I$2:$I$201,$AB435)))),MONTH(MAX(N(INDEX(Workforce!$I$2:$I$151,MATCH(INDEX(FTE_Allocation!$A$2:$A$201,$AB435),Workforce!$A$2:$A$151,0))),N(INDEX(FTE_Allocation!$I$2:$I$201,$AB435)))),1),"")))</f>
        <v/>
      </c>
      <c r="AF435" s="21">
        <f>IF($Z435="C",IF(INDEX(Contracts!$I$2:$I$151,$AB435)="PREPAID",EDATE(DATE(YEAR(INDEX(Contracts!$J$2:$J$151,$AB435)),MONTH(INDEX(Contracts!$J$2:$J$151,$AB435)),1),IF(INDEX(Contracts!$N$2:$N$151,$AB435)="",12,INDEX(Contracts!$N$2:$N$151,$AB435))-1),IF(INDEX(Contracts!$I$2:$I$151,$AB435)="MONTHLY",IF(INDEX(Contracts!$K$2:$K$151,$AB435)="",2958101,INDEX(Contracts!$K$2:$K$151,$AB435)),0)),IF($Z435="A",EDATE(DATE(YEAR(INDEX(Fixed_Assets!$G$2:$G$201,$AB435)),MONTH(INDEX(Fixed_Assets!$G$2:$G$201,$AB435)),1),INDEX(Fixed_Assets!$J$2:$J$201,$AB435)-1),IF($Z435="F",MIN(IF(INDEX(Workforce!$J$2:$J$151,MATCH(INDEX(FTE_Allocation!$A$2:$A$201,$AB435),Workforce!$A$2:$A$151,0))="",2958101,INDEX(Workforce!$J$2:$J$151,MATCH(INDEX(FTE_Allocation!$A$2:$A$201,$AB435),Workforce!$A$2:$A$151,0))),IF(INDEX(FTE_Allocation!$J$2:$J$201,$AB435)="",2958101,INDEX(FTE_Allocation!$J$2:$J$201,$AB435))),"")))</f>
        <v/>
      </c>
      <c r="AG435" s="19">
        <f>IF($Z435="C",IF(INDEX(Contracts!$I$2:$I$151,$AB435)="PREPAID",INDEX(Contracts!$M$2:$M$151,$AB435)/IF(INDEX(Contracts!$N$2:$N$151,$AB435)="",12,INDEX(Contracts!$N$2:$N$151,$AB435)),IF(INDEX(Contracts!$I$2:$I$151,$AB435)="MONTHLY",INDEX(Contracts!$M$2:$M$151,$AB435),0))*(1-N(INDEX(Contracts!$O$2:$O$151,$AB435))),IF($Z435="A",INDEX(Fixed_Assets!$H$2:$H$201,$AB435)/INDEX(Fixed_Assets!$J$2:$J$201,$AB435),IF($Z435="F",INDEX(Workforce!$F$2:$F$151,MATCH(INDEX(FTE_Allocation!$A$2:$A$201,$AB435),Workforce!$A$2:$A$151,0))*N(INDEX(FTE_Allocation!$F$2:$H$201,$AB435,$AC435)),"")))</f>
        <v/>
      </c>
    </row>
    <row r="436">
      <c r="A436" s="7">
        <f>IF($Z436="","",$AD436)</f>
        <v/>
      </c>
      <c r="B436" s="7">
        <f>IF($Z436="C",INDEX(Contracts!$D$2:$D$151,$AB436)&amp;"",IF($Z436="A",INDEX(Fixed_Assets!$C$2:$C$201,$AB436)&amp;"",IF($Z436="F",INDEX(Workforce!$B$2:$B$151,MATCH(INDEX(FTE_Allocation!$A$2:$A$201,$AB436),Workforce!$A$2:$A$151,0))&amp;"","")))</f>
        <v/>
      </c>
      <c r="C436" s="7">
        <f>IF($Z436="C",INDEX(Contracts!$E$2:$E$151,$AB436)&amp;"",IF($Z436="A",INDEX(Fixed_Assets!$D$2:$D$201,$AB436)&amp;"",IF($Z436="F",INDEX(FTE_Allocation!$C$2:$C$201,$AB436)&amp;"","")))</f>
        <v/>
      </c>
      <c r="D436" s="7">
        <f>IF($Z436="C",INDEX(Contracts!$B$2:$B$151,$AB436)&amp;"",IF($Z436="A",INDEX(Fixed_Assets!$B$2:$B$201,$AB436)&amp;"",IF($Z436="F",INDEX(FTE_Allocation!$B$2:$B$201,$AB436)&amp;"","")))</f>
        <v/>
      </c>
      <c r="E436" s="7">
        <f>IF($Z436="C",INDEX(Contracts!$P$2:$P$151,$AB436)&amp;"",IF($Z436="A",INDEX(Fixed_Assets!$K$2:$K$201,$AB436)&amp;"",IF($Z436="F",IF(INDEX(FTE_Allocation!$D$2:$D$201,$AB436)="PROJECT",IFERROR(INDEX(Projects!$D:$D,MATCH(INDEX(FTE_Allocation!$E$2:$E$201,$AB436),Projects!$A:$A,0))&amp;"","#PROJECT?"),INDEX(FTE_Allocation!$E$2:$E$201,$AB436)&amp;""),"")))</f>
        <v/>
      </c>
      <c r="F436" s="7">
        <f>IF($Z436="C",INDEX(Contracts!$Q$2:$Q$151,$AB436)&amp;"",IF($Z436="A",INDEX(Fixed_Assets!$L$2:$L$201,$AB436)&amp;"",IF($Z436="F",INDEX(Workforce!$K$2:$K$151,MATCH(INDEX(FTE_Allocation!$A$2:$A$201,$AB436),Workforce!$A$2:$A$151,0))&amp;"","")))</f>
        <v/>
      </c>
      <c r="G436" s="7">
        <f>IF($Z436="C",INDEX(Contracts!$F$2:$F$151,$AB436)&amp;" / "&amp;INDEX(Contracts!$G$2:$G$151,$AB436),IF($Z436="A",INDEX(Fixed_Assets!$E$2:$E$201,$AB436)&amp;"",IF($Z436="F","Personnel "&amp;INDEX(FTE_Allocation!$A$2:$A$201,$AB436)&amp;IF(INDEX(FTE_Allocation!$D$2:$D$201,$AB436)="PROJECT"," ("&amp;INDEX(FTE_Allocation!$E$2:$E$201,$AB436)&amp;")",""),"")))</f>
        <v/>
      </c>
      <c r="H436" s="7">
        <f>IF($Z436="C","CONTRACT",IF($Z436="A","ASSET",IF($Z436="F","WORKFORCE","")))</f>
        <v/>
      </c>
      <c r="I436" s="7">
        <f>IF($Z436="C",INDEX(Contracts!$L$2:$L$151,$AB436)&amp;"",IF($Z436="A",INDEX(Fixed_Assets!$I$2:$I$201,$AB436)&amp;"",IF($Z436="F",INDEX(Workforce!$G$2:$G$151,MATCH(INDEX(FTE_Allocation!$A$2:$A$201,$AB436),Workforce!$A$2:$A$151,0))&amp;"","")))</f>
        <v/>
      </c>
      <c r="J436" s="18">
        <f>IF($Z436="","",IF(AND(DATE($AD436,1,1)&gt;=$AE436,DATE($AD436,1,1)&lt;=$AF436),ROUND($AG436,2),0))</f>
        <v/>
      </c>
      <c r="K436" s="18">
        <f>IF($Z436="","",IF(AND(DATE($AD436,2,1)&gt;=$AE436,DATE($AD436,2,1)&lt;=$AF436),ROUND($AG436,2),0))</f>
        <v/>
      </c>
      <c r="L436" s="18">
        <f>IF($Z436="","",IF(AND(DATE($AD436,3,1)&gt;=$AE436,DATE($AD436,3,1)&lt;=$AF436),ROUND($AG436,2),0))</f>
        <v/>
      </c>
      <c r="M436" s="18">
        <f>IF($Z436="","",IF(AND(DATE($AD436,4,1)&gt;=$AE436,DATE($AD436,4,1)&lt;=$AF436),ROUND($AG436,2),0))</f>
        <v/>
      </c>
      <c r="N436" s="18">
        <f>IF($Z436="","",IF(AND(DATE($AD436,5,1)&gt;=$AE436,DATE($AD436,5,1)&lt;=$AF436),ROUND($AG436,2),0))</f>
        <v/>
      </c>
      <c r="O436" s="18">
        <f>IF($Z436="","",IF(AND(DATE($AD436,6,1)&gt;=$AE436,DATE($AD436,6,1)&lt;=$AF436),ROUND($AG436,2),0))</f>
        <v/>
      </c>
      <c r="P436" s="18">
        <f>IF($Z436="","",IF(AND(DATE($AD436,7,1)&gt;=$AE436,DATE($AD436,7,1)&lt;=$AF436),ROUND($AG436,2),0))</f>
        <v/>
      </c>
      <c r="Q436" s="18">
        <f>IF($Z436="","",IF(AND(DATE($AD436,8,1)&gt;=$AE436,DATE($AD436,8,1)&lt;=$AF436),ROUND($AG436,2),0))</f>
        <v/>
      </c>
      <c r="R436" s="18">
        <f>IF($Z436="","",IF(AND(DATE($AD436,9,1)&gt;=$AE436,DATE($AD436,9,1)&lt;=$AF436),ROUND($AG436,2),0))</f>
        <v/>
      </c>
      <c r="S436" s="18">
        <f>IF($Z436="","",IF(AND(DATE($AD436,10,1)&gt;=$AE436,DATE($AD436,10,1)&lt;=$AF436),ROUND($AG436,2),0))</f>
        <v/>
      </c>
      <c r="T436" s="18">
        <f>IF($Z436="","",IF(AND(DATE($AD436,11,1)&gt;=$AE436,DATE($AD436,11,1)&lt;=$AF436),ROUND($AG436,2),0))</f>
        <v/>
      </c>
      <c r="U436" s="18">
        <f>IF($Z436="","",IF(AND(DATE($AD436,12,1)&gt;=$AE436,DATE($AD436,12,1)&lt;=$AF436),ROUND($AG436,2),0))</f>
        <v/>
      </c>
      <c r="V436" s="7">
        <f>IF($Z436="C","Generated from "&amp;INDEX(Contracts!$A$2:$A$151,$AB436),IF($Z436="A","Generated from "&amp;INDEX(Fixed_Assets!$A$2:$A$201,$AB436),IF($Z436="F","Generated from "&amp;INDEX(FTE_Allocation!$A$2:$A$201,$AB436),"")))</f>
        <v/>
      </c>
      <c r="X436" s="19">
        <f>IF($Z436="","",SUM(J436:U436))</f>
        <v/>
      </c>
      <c r="Y436" s="20">
        <f>ROW()-1</f>
        <v/>
      </c>
      <c r="Z436" s="20">
        <f>IF($Y436&lt;=Settings!$B$4*3,"C",IF($Y436&lt;=(Settings!$B$4+Settings!$B$5)*3,"A",IF($Y436&lt;=(Settings!$B$4+Settings!$B$5+Settings!$B$6)*3,"F","")))</f>
        <v/>
      </c>
      <c r="AA436" s="20">
        <f>IF($Z436="C",$Y436,IF($Z436="A",$Y436-Settings!$B$4*3,IF($Z436="F",$Y436-(Settings!$B$4+Settings!$B$5)*3,"")))</f>
        <v/>
      </c>
      <c r="AB436" s="20">
        <f>IF($Z436="","",INT(($AA436-1)/3)+1)</f>
        <v/>
      </c>
      <c r="AC436" s="20">
        <f>IF($Z436="","",MOD($AA436-1,3)+1)</f>
        <v/>
      </c>
      <c r="AD436" s="20">
        <f>IF($Z436="","",Settings!$B$2+$AC436-1)</f>
        <v/>
      </c>
      <c r="AE436" s="21">
        <f>IF($Z436="C",DATE(YEAR(INDEX(Contracts!$J$2:$J$151,$AB436)),MONTH(INDEX(Contracts!$J$2:$J$151,$AB436)),1),IF($Z436="A",DATE(YEAR(INDEX(Fixed_Assets!$G$2:$G$201,$AB436)),MONTH(INDEX(Fixed_Assets!$G$2:$G$201,$AB436)),1),IF($Z436="F",DATE(YEAR(MAX(N(INDEX(Workforce!$I$2:$I$151,MATCH(INDEX(FTE_Allocation!$A$2:$A$201,$AB436),Workforce!$A$2:$A$151,0))),N(INDEX(FTE_Allocation!$I$2:$I$201,$AB436)))),MONTH(MAX(N(INDEX(Workforce!$I$2:$I$151,MATCH(INDEX(FTE_Allocation!$A$2:$A$201,$AB436),Workforce!$A$2:$A$151,0))),N(INDEX(FTE_Allocation!$I$2:$I$201,$AB436)))),1),"")))</f>
        <v/>
      </c>
      <c r="AF436" s="21">
        <f>IF($Z436="C",IF(INDEX(Contracts!$I$2:$I$151,$AB436)="PREPAID",EDATE(DATE(YEAR(INDEX(Contracts!$J$2:$J$151,$AB436)),MONTH(INDEX(Contracts!$J$2:$J$151,$AB436)),1),IF(INDEX(Contracts!$N$2:$N$151,$AB436)="",12,INDEX(Contracts!$N$2:$N$151,$AB436))-1),IF(INDEX(Contracts!$I$2:$I$151,$AB436)="MONTHLY",IF(INDEX(Contracts!$K$2:$K$151,$AB436)="",2958101,INDEX(Contracts!$K$2:$K$151,$AB436)),0)),IF($Z436="A",EDATE(DATE(YEAR(INDEX(Fixed_Assets!$G$2:$G$201,$AB436)),MONTH(INDEX(Fixed_Assets!$G$2:$G$201,$AB436)),1),INDEX(Fixed_Assets!$J$2:$J$201,$AB436)-1),IF($Z436="F",MIN(IF(INDEX(Workforce!$J$2:$J$151,MATCH(INDEX(FTE_Allocation!$A$2:$A$201,$AB436),Workforce!$A$2:$A$151,0))="",2958101,INDEX(Workforce!$J$2:$J$151,MATCH(INDEX(FTE_Allocation!$A$2:$A$201,$AB436),Workforce!$A$2:$A$151,0))),IF(INDEX(FTE_Allocation!$J$2:$J$201,$AB436)="",2958101,INDEX(FTE_Allocation!$J$2:$J$201,$AB436))),"")))</f>
        <v/>
      </c>
      <c r="AG436" s="19">
        <f>IF($Z436="C",IF(INDEX(Contracts!$I$2:$I$151,$AB436)="PREPAID",INDEX(Contracts!$M$2:$M$151,$AB436)/IF(INDEX(Contracts!$N$2:$N$151,$AB436)="",12,INDEX(Contracts!$N$2:$N$151,$AB436)),IF(INDEX(Contracts!$I$2:$I$151,$AB436)="MONTHLY",INDEX(Contracts!$M$2:$M$151,$AB436),0))*(1-N(INDEX(Contracts!$O$2:$O$151,$AB436))),IF($Z436="A",INDEX(Fixed_Assets!$H$2:$H$201,$AB436)/INDEX(Fixed_Assets!$J$2:$J$201,$AB436),IF($Z436="F",INDEX(Workforce!$F$2:$F$151,MATCH(INDEX(FTE_Allocation!$A$2:$A$201,$AB436),Workforce!$A$2:$A$151,0))*N(INDEX(FTE_Allocation!$F$2:$H$201,$AB436,$AC436)),"")))</f>
        <v/>
      </c>
    </row>
    <row r="437">
      <c r="A437" s="7">
        <f>IF($Z437="","",$AD437)</f>
        <v/>
      </c>
      <c r="B437" s="7">
        <f>IF($Z437="C",INDEX(Contracts!$D$2:$D$151,$AB437)&amp;"",IF($Z437="A",INDEX(Fixed_Assets!$C$2:$C$201,$AB437)&amp;"",IF($Z437="F",INDEX(Workforce!$B$2:$B$151,MATCH(INDEX(FTE_Allocation!$A$2:$A$201,$AB437),Workforce!$A$2:$A$151,0))&amp;"","")))</f>
        <v/>
      </c>
      <c r="C437" s="7">
        <f>IF($Z437="C",INDEX(Contracts!$E$2:$E$151,$AB437)&amp;"",IF($Z437="A",INDEX(Fixed_Assets!$D$2:$D$201,$AB437)&amp;"",IF($Z437="F",INDEX(FTE_Allocation!$C$2:$C$201,$AB437)&amp;"","")))</f>
        <v/>
      </c>
      <c r="D437" s="7">
        <f>IF($Z437="C",INDEX(Contracts!$B$2:$B$151,$AB437)&amp;"",IF($Z437="A",INDEX(Fixed_Assets!$B$2:$B$201,$AB437)&amp;"",IF($Z437="F",INDEX(FTE_Allocation!$B$2:$B$201,$AB437)&amp;"","")))</f>
        <v/>
      </c>
      <c r="E437" s="7">
        <f>IF($Z437="C",INDEX(Contracts!$P$2:$P$151,$AB437)&amp;"",IF($Z437="A",INDEX(Fixed_Assets!$K$2:$K$201,$AB437)&amp;"",IF($Z437="F",IF(INDEX(FTE_Allocation!$D$2:$D$201,$AB437)="PROJECT",IFERROR(INDEX(Projects!$D:$D,MATCH(INDEX(FTE_Allocation!$E$2:$E$201,$AB437),Projects!$A:$A,0))&amp;"","#PROJECT?"),INDEX(FTE_Allocation!$E$2:$E$201,$AB437)&amp;""),"")))</f>
        <v/>
      </c>
      <c r="F437" s="7">
        <f>IF($Z437="C",INDEX(Contracts!$Q$2:$Q$151,$AB437)&amp;"",IF($Z437="A",INDEX(Fixed_Assets!$L$2:$L$201,$AB437)&amp;"",IF($Z437="F",INDEX(Workforce!$K$2:$K$151,MATCH(INDEX(FTE_Allocation!$A$2:$A$201,$AB437),Workforce!$A$2:$A$151,0))&amp;"","")))</f>
        <v/>
      </c>
      <c r="G437" s="7">
        <f>IF($Z437="C",INDEX(Contracts!$F$2:$F$151,$AB437)&amp;" / "&amp;INDEX(Contracts!$G$2:$G$151,$AB437),IF($Z437="A",INDEX(Fixed_Assets!$E$2:$E$201,$AB437)&amp;"",IF($Z437="F","Personnel "&amp;INDEX(FTE_Allocation!$A$2:$A$201,$AB437)&amp;IF(INDEX(FTE_Allocation!$D$2:$D$201,$AB437)="PROJECT"," ("&amp;INDEX(FTE_Allocation!$E$2:$E$201,$AB437)&amp;")",""),"")))</f>
        <v/>
      </c>
      <c r="H437" s="7">
        <f>IF($Z437="C","CONTRACT",IF($Z437="A","ASSET",IF($Z437="F","WORKFORCE","")))</f>
        <v/>
      </c>
      <c r="I437" s="7">
        <f>IF($Z437="C",INDEX(Contracts!$L$2:$L$151,$AB437)&amp;"",IF($Z437="A",INDEX(Fixed_Assets!$I$2:$I$201,$AB437)&amp;"",IF($Z437="F",INDEX(Workforce!$G$2:$G$151,MATCH(INDEX(FTE_Allocation!$A$2:$A$201,$AB437),Workforce!$A$2:$A$151,0))&amp;"","")))</f>
        <v/>
      </c>
      <c r="J437" s="18">
        <f>IF($Z437="","",IF(AND(DATE($AD437,1,1)&gt;=$AE437,DATE($AD437,1,1)&lt;=$AF437),ROUND($AG437,2),0))</f>
        <v/>
      </c>
      <c r="K437" s="18">
        <f>IF($Z437="","",IF(AND(DATE($AD437,2,1)&gt;=$AE437,DATE($AD437,2,1)&lt;=$AF437),ROUND($AG437,2),0))</f>
        <v/>
      </c>
      <c r="L437" s="18">
        <f>IF($Z437="","",IF(AND(DATE($AD437,3,1)&gt;=$AE437,DATE($AD437,3,1)&lt;=$AF437),ROUND($AG437,2),0))</f>
        <v/>
      </c>
      <c r="M437" s="18">
        <f>IF($Z437="","",IF(AND(DATE($AD437,4,1)&gt;=$AE437,DATE($AD437,4,1)&lt;=$AF437),ROUND($AG437,2),0))</f>
        <v/>
      </c>
      <c r="N437" s="18">
        <f>IF($Z437="","",IF(AND(DATE($AD437,5,1)&gt;=$AE437,DATE($AD437,5,1)&lt;=$AF437),ROUND($AG437,2),0))</f>
        <v/>
      </c>
      <c r="O437" s="18">
        <f>IF($Z437="","",IF(AND(DATE($AD437,6,1)&gt;=$AE437,DATE($AD437,6,1)&lt;=$AF437),ROUND($AG437,2),0))</f>
        <v/>
      </c>
      <c r="P437" s="18">
        <f>IF($Z437="","",IF(AND(DATE($AD437,7,1)&gt;=$AE437,DATE($AD437,7,1)&lt;=$AF437),ROUND($AG437,2),0))</f>
        <v/>
      </c>
      <c r="Q437" s="18">
        <f>IF($Z437="","",IF(AND(DATE($AD437,8,1)&gt;=$AE437,DATE($AD437,8,1)&lt;=$AF437),ROUND($AG437,2),0))</f>
        <v/>
      </c>
      <c r="R437" s="18">
        <f>IF($Z437="","",IF(AND(DATE($AD437,9,1)&gt;=$AE437,DATE($AD437,9,1)&lt;=$AF437),ROUND($AG437,2),0))</f>
        <v/>
      </c>
      <c r="S437" s="18">
        <f>IF($Z437="","",IF(AND(DATE($AD437,10,1)&gt;=$AE437,DATE($AD437,10,1)&lt;=$AF437),ROUND($AG437,2),0))</f>
        <v/>
      </c>
      <c r="T437" s="18">
        <f>IF($Z437="","",IF(AND(DATE($AD437,11,1)&gt;=$AE437,DATE($AD437,11,1)&lt;=$AF437),ROUND($AG437,2),0))</f>
        <v/>
      </c>
      <c r="U437" s="18">
        <f>IF($Z437="","",IF(AND(DATE($AD437,12,1)&gt;=$AE437,DATE($AD437,12,1)&lt;=$AF437),ROUND($AG437,2),0))</f>
        <v/>
      </c>
      <c r="V437" s="7">
        <f>IF($Z437="C","Generated from "&amp;INDEX(Contracts!$A$2:$A$151,$AB437),IF($Z437="A","Generated from "&amp;INDEX(Fixed_Assets!$A$2:$A$201,$AB437),IF($Z437="F","Generated from "&amp;INDEX(FTE_Allocation!$A$2:$A$201,$AB437),"")))</f>
        <v/>
      </c>
      <c r="X437" s="19">
        <f>IF($Z437="","",SUM(J437:U437))</f>
        <v/>
      </c>
      <c r="Y437" s="20">
        <f>ROW()-1</f>
        <v/>
      </c>
      <c r="Z437" s="20">
        <f>IF($Y437&lt;=Settings!$B$4*3,"C",IF($Y437&lt;=(Settings!$B$4+Settings!$B$5)*3,"A",IF($Y437&lt;=(Settings!$B$4+Settings!$B$5+Settings!$B$6)*3,"F","")))</f>
        <v/>
      </c>
      <c r="AA437" s="20">
        <f>IF($Z437="C",$Y437,IF($Z437="A",$Y437-Settings!$B$4*3,IF($Z437="F",$Y437-(Settings!$B$4+Settings!$B$5)*3,"")))</f>
        <v/>
      </c>
      <c r="AB437" s="20">
        <f>IF($Z437="","",INT(($AA437-1)/3)+1)</f>
        <v/>
      </c>
      <c r="AC437" s="20">
        <f>IF($Z437="","",MOD($AA437-1,3)+1)</f>
        <v/>
      </c>
      <c r="AD437" s="20">
        <f>IF($Z437="","",Settings!$B$2+$AC437-1)</f>
        <v/>
      </c>
      <c r="AE437" s="21">
        <f>IF($Z437="C",DATE(YEAR(INDEX(Contracts!$J$2:$J$151,$AB437)),MONTH(INDEX(Contracts!$J$2:$J$151,$AB437)),1),IF($Z437="A",DATE(YEAR(INDEX(Fixed_Assets!$G$2:$G$201,$AB437)),MONTH(INDEX(Fixed_Assets!$G$2:$G$201,$AB437)),1),IF($Z437="F",DATE(YEAR(MAX(N(INDEX(Workforce!$I$2:$I$151,MATCH(INDEX(FTE_Allocation!$A$2:$A$201,$AB437),Workforce!$A$2:$A$151,0))),N(INDEX(FTE_Allocation!$I$2:$I$201,$AB437)))),MONTH(MAX(N(INDEX(Workforce!$I$2:$I$151,MATCH(INDEX(FTE_Allocation!$A$2:$A$201,$AB437),Workforce!$A$2:$A$151,0))),N(INDEX(FTE_Allocation!$I$2:$I$201,$AB437)))),1),"")))</f>
        <v/>
      </c>
      <c r="AF437" s="21">
        <f>IF($Z437="C",IF(INDEX(Contracts!$I$2:$I$151,$AB437)="PREPAID",EDATE(DATE(YEAR(INDEX(Contracts!$J$2:$J$151,$AB437)),MONTH(INDEX(Contracts!$J$2:$J$151,$AB437)),1),IF(INDEX(Contracts!$N$2:$N$151,$AB437)="",12,INDEX(Contracts!$N$2:$N$151,$AB437))-1),IF(INDEX(Contracts!$I$2:$I$151,$AB437)="MONTHLY",IF(INDEX(Contracts!$K$2:$K$151,$AB437)="",2958101,INDEX(Contracts!$K$2:$K$151,$AB437)),0)),IF($Z437="A",EDATE(DATE(YEAR(INDEX(Fixed_Assets!$G$2:$G$201,$AB437)),MONTH(INDEX(Fixed_Assets!$G$2:$G$201,$AB437)),1),INDEX(Fixed_Assets!$J$2:$J$201,$AB437)-1),IF($Z437="F",MIN(IF(INDEX(Workforce!$J$2:$J$151,MATCH(INDEX(FTE_Allocation!$A$2:$A$201,$AB437),Workforce!$A$2:$A$151,0))="",2958101,INDEX(Workforce!$J$2:$J$151,MATCH(INDEX(FTE_Allocation!$A$2:$A$201,$AB437),Workforce!$A$2:$A$151,0))),IF(INDEX(FTE_Allocation!$J$2:$J$201,$AB437)="",2958101,INDEX(FTE_Allocation!$J$2:$J$201,$AB437))),"")))</f>
        <v/>
      </c>
      <c r="AG437" s="19">
        <f>IF($Z437="C",IF(INDEX(Contracts!$I$2:$I$151,$AB437)="PREPAID",INDEX(Contracts!$M$2:$M$151,$AB437)/IF(INDEX(Contracts!$N$2:$N$151,$AB437)="",12,INDEX(Contracts!$N$2:$N$151,$AB437)),IF(INDEX(Contracts!$I$2:$I$151,$AB437)="MONTHLY",INDEX(Contracts!$M$2:$M$151,$AB437),0))*(1-N(INDEX(Contracts!$O$2:$O$151,$AB437))),IF($Z437="A",INDEX(Fixed_Assets!$H$2:$H$201,$AB437)/INDEX(Fixed_Assets!$J$2:$J$201,$AB437),IF($Z437="F",INDEX(Workforce!$F$2:$F$151,MATCH(INDEX(FTE_Allocation!$A$2:$A$201,$AB437),Workforce!$A$2:$A$151,0))*N(INDEX(FTE_Allocation!$F$2:$H$201,$AB437,$AC437)),"")))</f>
        <v/>
      </c>
    </row>
    <row r="438">
      <c r="A438" s="7">
        <f>IF($Z438="","",$AD438)</f>
        <v/>
      </c>
      <c r="B438" s="7">
        <f>IF($Z438="C",INDEX(Contracts!$D$2:$D$151,$AB438)&amp;"",IF($Z438="A",INDEX(Fixed_Assets!$C$2:$C$201,$AB438)&amp;"",IF($Z438="F",INDEX(Workforce!$B$2:$B$151,MATCH(INDEX(FTE_Allocation!$A$2:$A$201,$AB438),Workforce!$A$2:$A$151,0))&amp;"","")))</f>
        <v/>
      </c>
      <c r="C438" s="7">
        <f>IF($Z438="C",INDEX(Contracts!$E$2:$E$151,$AB438)&amp;"",IF($Z438="A",INDEX(Fixed_Assets!$D$2:$D$201,$AB438)&amp;"",IF($Z438="F",INDEX(FTE_Allocation!$C$2:$C$201,$AB438)&amp;"","")))</f>
        <v/>
      </c>
      <c r="D438" s="7">
        <f>IF($Z438="C",INDEX(Contracts!$B$2:$B$151,$AB438)&amp;"",IF($Z438="A",INDEX(Fixed_Assets!$B$2:$B$201,$AB438)&amp;"",IF($Z438="F",INDEX(FTE_Allocation!$B$2:$B$201,$AB438)&amp;"","")))</f>
        <v/>
      </c>
      <c r="E438" s="7">
        <f>IF($Z438="C",INDEX(Contracts!$P$2:$P$151,$AB438)&amp;"",IF($Z438="A",INDEX(Fixed_Assets!$K$2:$K$201,$AB438)&amp;"",IF($Z438="F",IF(INDEX(FTE_Allocation!$D$2:$D$201,$AB438)="PROJECT",IFERROR(INDEX(Projects!$D:$D,MATCH(INDEX(FTE_Allocation!$E$2:$E$201,$AB438),Projects!$A:$A,0))&amp;"","#PROJECT?"),INDEX(FTE_Allocation!$E$2:$E$201,$AB438)&amp;""),"")))</f>
        <v/>
      </c>
      <c r="F438" s="7">
        <f>IF($Z438="C",INDEX(Contracts!$Q$2:$Q$151,$AB438)&amp;"",IF($Z438="A",INDEX(Fixed_Assets!$L$2:$L$201,$AB438)&amp;"",IF($Z438="F",INDEX(Workforce!$K$2:$K$151,MATCH(INDEX(FTE_Allocation!$A$2:$A$201,$AB438),Workforce!$A$2:$A$151,0))&amp;"","")))</f>
        <v/>
      </c>
      <c r="G438" s="7">
        <f>IF($Z438="C",INDEX(Contracts!$F$2:$F$151,$AB438)&amp;" / "&amp;INDEX(Contracts!$G$2:$G$151,$AB438),IF($Z438="A",INDEX(Fixed_Assets!$E$2:$E$201,$AB438)&amp;"",IF($Z438="F","Personnel "&amp;INDEX(FTE_Allocation!$A$2:$A$201,$AB438)&amp;IF(INDEX(FTE_Allocation!$D$2:$D$201,$AB438)="PROJECT"," ("&amp;INDEX(FTE_Allocation!$E$2:$E$201,$AB438)&amp;")",""),"")))</f>
        <v/>
      </c>
      <c r="H438" s="7">
        <f>IF($Z438="C","CONTRACT",IF($Z438="A","ASSET",IF($Z438="F","WORKFORCE","")))</f>
        <v/>
      </c>
      <c r="I438" s="7">
        <f>IF($Z438="C",INDEX(Contracts!$L$2:$L$151,$AB438)&amp;"",IF($Z438="A",INDEX(Fixed_Assets!$I$2:$I$201,$AB438)&amp;"",IF($Z438="F",INDEX(Workforce!$G$2:$G$151,MATCH(INDEX(FTE_Allocation!$A$2:$A$201,$AB438),Workforce!$A$2:$A$151,0))&amp;"","")))</f>
        <v/>
      </c>
      <c r="J438" s="18">
        <f>IF($Z438="","",IF(AND(DATE($AD438,1,1)&gt;=$AE438,DATE($AD438,1,1)&lt;=$AF438),ROUND($AG438,2),0))</f>
        <v/>
      </c>
      <c r="K438" s="18">
        <f>IF($Z438="","",IF(AND(DATE($AD438,2,1)&gt;=$AE438,DATE($AD438,2,1)&lt;=$AF438),ROUND($AG438,2),0))</f>
        <v/>
      </c>
      <c r="L438" s="18">
        <f>IF($Z438="","",IF(AND(DATE($AD438,3,1)&gt;=$AE438,DATE($AD438,3,1)&lt;=$AF438),ROUND($AG438,2),0))</f>
        <v/>
      </c>
      <c r="M438" s="18">
        <f>IF($Z438="","",IF(AND(DATE($AD438,4,1)&gt;=$AE438,DATE($AD438,4,1)&lt;=$AF438),ROUND($AG438,2),0))</f>
        <v/>
      </c>
      <c r="N438" s="18">
        <f>IF($Z438="","",IF(AND(DATE($AD438,5,1)&gt;=$AE438,DATE($AD438,5,1)&lt;=$AF438),ROUND($AG438,2),0))</f>
        <v/>
      </c>
      <c r="O438" s="18">
        <f>IF($Z438="","",IF(AND(DATE($AD438,6,1)&gt;=$AE438,DATE($AD438,6,1)&lt;=$AF438),ROUND($AG438,2),0))</f>
        <v/>
      </c>
      <c r="P438" s="18">
        <f>IF($Z438="","",IF(AND(DATE($AD438,7,1)&gt;=$AE438,DATE($AD438,7,1)&lt;=$AF438),ROUND($AG438,2),0))</f>
        <v/>
      </c>
      <c r="Q438" s="18">
        <f>IF($Z438="","",IF(AND(DATE($AD438,8,1)&gt;=$AE438,DATE($AD438,8,1)&lt;=$AF438),ROUND($AG438,2),0))</f>
        <v/>
      </c>
      <c r="R438" s="18">
        <f>IF($Z438="","",IF(AND(DATE($AD438,9,1)&gt;=$AE438,DATE($AD438,9,1)&lt;=$AF438),ROUND($AG438,2),0))</f>
        <v/>
      </c>
      <c r="S438" s="18">
        <f>IF($Z438="","",IF(AND(DATE($AD438,10,1)&gt;=$AE438,DATE($AD438,10,1)&lt;=$AF438),ROUND($AG438,2),0))</f>
        <v/>
      </c>
      <c r="T438" s="18">
        <f>IF($Z438="","",IF(AND(DATE($AD438,11,1)&gt;=$AE438,DATE($AD438,11,1)&lt;=$AF438),ROUND($AG438,2),0))</f>
        <v/>
      </c>
      <c r="U438" s="18">
        <f>IF($Z438="","",IF(AND(DATE($AD438,12,1)&gt;=$AE438,DATE($AD438,12,1)&lt;=$AF438),ROUND($AG438,2),0))</f>
        <v/>
      </c>
      <c r="V438" s="7">
        <f>IF($Z438="C","Generated from "&amp;INDEX(Contracts!$A$2:$A$151,$AB438),IF($Z438="A","Generated from "&amp;INDEX(Fixed_Assets!$A$2:$A$201,$AB438),IF($Z438="F","Generated from "&amp;INDEX(FTE_Allocation!$A$2:$A$201,$AB438),"")))</f>
        <v/>
      </c>
      <c r="X438" s="19">
        <f>IF($Z438="","",SUM(J438:U438))</f>
        <v/>
      </c>
      <c r="Y438" s="20">
        <f>ROW()-1</f>
        <v/>
      </c>
      <c r="Z438" s="20">
        <f>IF($Y438&lt;=Settings!$B$4*3,"C",IF($Y438&lt;=(Settings!$B$4+Settings!$B$5)*3,"A",IF($Y438&lt;=(Settings!$B$4+Settings!$B$5+Settings!$B$6)*3,"F","")))</f>
        <v/>
      </c>
      <c r="AA438" s="20">
        <f>IF($Z438="C",$Y438,IF($Z438="A",$Y438-Settings!$B$4*3,IF($Z438="F",$Y438-(Settings!$B$4+Settings!$B$5)*3,"")))</f>
        <v/>
      </c>
      <c r="AB438" s="20">
        <f>IF($Z438="","",INT(($AA438-1)/3)+1)</f>
        <v/>
      </c>
      <c r="AC438" s="20">
        <f>IF($Z438="","",MOD($AA438-1,3)+1)</f>
        <v/>
      </c>
      <c r="AD438" s="20">
        <f>IF($Z438="","",Settings!$B$2+$AC438-1)</f>
        <v/>
      </c>
      <c r="AE438" s="21">
        <f>IF($Z438="C",DATE(YEAR(INDEX(Contracts!$J$2:$J$151,$AB438)),MONTH(INDEX(Contracts!$J$2:$J$151,$AB438)),1),IF($Z438="A",DATE(YEAR(INDEX(Fixed_Assets!$G$2:$G$201,$AB438)),MONTH(INDEX(Fixed_Assets!$G$2:$G$201,$AB438)),1),IF($Z438="F",DATE(YEAR(MAX(N(INDEX(Workforce!$I$2:$I$151,MATCH(INDEX(FTE_Allocation!$A$2:$A$201,$AB438),Workforce!$A$2:$A$151,0))),N(INDEX(FTE_Allocation!$I$2:$I$201,$AB438)))),MONTH(MAX(N(INDEX(Workforce!$I$2:$I$151,MATCH(INDEX(FTE_Allocation!$A$2:$A$201,$AB438),Workforce!$A$2:$A$151,0))),N(INDEX(FTE_Allocation!$I$2:$I$201,$AB438)))),1),"")))</f>
        <v/>
      </c>
      <c r="AF438" s="21">
        <f>IF($Z438="C",IF(INDEX(Contracts!$I$2:$I$151,$AB438)="PREPAID",EDATE(DATE(YEAR(INDEX(Contracts!$J$2:$J$151,$AB438)),MONTH(INDEX(Contracts!$J$2:$J$151,$AB438)),1),IF(INDEX(Contracts!$N$2:$N$151,$AB438)="",12,INDEX(Contracts!$N$2:$N$151,$AB438))-1),IF(INDEX(Contracts!$I$2:$I$151,$AB438)="MONTHLY",IF(INDEX(Contracts!$K$2:$K$151,$AB438)="",2958101,INDEX(Contracts!$K$2:$K$151,$AB438)),0)),IF($Z438="A",EDATE(DATE(YEAR(INDEX(Fixed_Assets!$G$2:$G$201,$AB438)),MONTH(INDEX(Fixed_Assets!$G$2:$G$201,$AB438)),1),INDEX(Fixed_Assets!$J$2:$J$201,$AB438)-1),IF($Z438="F",MIN(IF(INDEX(Workforce!$J$2:$J$151,MATCH(INDEX(FTE_Allocation!$A$2:$A$201,$AB438),Workforce!$A$2:$A$151,0))="",2958101,INDEX(Workforce!$J$2:$J$151,MATCH(INDEX(FTE_Allocation!$A$2:$A$201,$AB438),Workforce!$A$2:$A$151,0))),IF(INDEX(FTE_Allocation!$J$2:$J$201,$AB438)="",2958101,INDEX(FTE_Allocation!$J$2:$J$201,$AB438))),"")))</f>
        <v/>
      </c>
      <c r="AG438" s="19">
        <f>IF($Z438="C",IF(INDEX(Contracts!$I$2:$I$151,$AB438)="PREPAID",INDEX(Contracts!$M$2:$M$151,$AB438)/IF(INDEX(Contracts!$N$2:$N$151,$AB438)="",12,INDEX(Contracts!$N$2:$N$151,$AB438)),IF(INDEX(Contracts!$I$2:$I$151,$AB438)="MONTHLY",INDEX(Contracts!$M$2:$M$151,$AB438),0))*(1-N(INDEX(Contracts!$O$2:$O$151,$AB438))),IF($Z438="A",INDEX(Fixed_Assets!$H$2:$H$201,$AB438)/INDEX(Fixed_Assets!$J$2:$J$201,$AB438),IF($Z438="F",INDEX(Workforce!$F$2:$F$151,MATCH(INDEX(FTE_Allocation!$A$2:$A$201,$AB438),Workforce!$A$2:$A$151,0))*N(INDEX(FTE_Allocation!$F$2:$H$201,$AB438,$AC438)),"")))</f>
        <v/>
      </c>
    </row>
    <row r="439">
      <c r="A439" s="7">
        <f>IF($Z439="","",$AD439)</f>
        <v/>
      </c>
      <c r="B439" s="7">
        <f>IF($Z439="C",INDEX(Contracts!$D$2:$D$151,$AB439)&amp;"",IF($Z439="A",INDEX(Fixed_Assets!$C$2:$C$201,$AB439)&amp;"",IF($Z439="F",INDEX(Workforce!$B$2:$B$151,MATCH(INDEX(FTE_Allocation!$A$2:$A$201,$AB439),Workforce!$A$2:$A$151,0))&amp;"","")))</f>
        <v/>
      </c>
      <c r="C439" s="7">
        <f>IF($Z439="C",INDEX(Contracts!$E$2:$E$151,$AB439)&amp;"",IF($Z439="A",INDEX(Fixed_Assets!$D$2:$D$201,$AB439)&amp;"",IF($Z439="F",INDEX(FTE_Allocation!$C$2:$C$201,$AB439)&amp;"","")))</f>
        <v/>
      </c>
      <c r="D439" s="7">
        <f>IF($Z439="C",INDEX(Contracts!$B$2:$B$151,$AB439)&amp;"",IF($Z439="A",INDEX(Fixed_Assets!$B$2:$B$201,$AB439)&amp;"",IF($Z439="F",INDEX(FTE_Allocation!$B$2:$B$201,$AB439)&amp;"","")))</f>
        <v/>
      </c>
      <c r="E439" s="7">
        <f>IF($Z439="C",INDEX(Contracts!$P$2:$P$151,$AB439)&amp;"",IF($Z439="A",INDEX(Fixed_Assets!$K$2:$K$201,$AB439)&amp;"",IF($Z439="F",IF(INDEX(FTE_Allocation!$D$2:$D$201,$AB439)="PROJECT",IFERROR(INDEX(Projects!$D:$D,MATCH(INDEX(FTE_Allocation!$E$2:$E$201,$AB439),Projects!$A:$A,0))&amp;"","#PROJECT?"),INDEX(FTE_Allocation!$E$2:$E$201,$AB439)&amp;""),"")))</f>
        <v/>
      </c>
      <c r="F439" s="7">
        <f>IF($Z439="C",INDEX(Contracts!$Q$2:$Q$151,$AB439)&amp;"",IF($Z439="A",INDEX(Fixed_Assets!$L$2:$L$201,$AB439)&amp;"",IF($Z439="F",INDEX(Workforce!$K$2:$K$151,MATCH(INDEX(FTE_Allocation!$A$2:$A$201,$AB439),Workforce!$A$2:$A$151,0))&amp;"","")))</f>
        <v/>
      </c>
      <c r="G439" s="7">
        <f>IF($Z439="C",INDEX(Contracts!$F$2:$F$151,$AB439)&amp;" / "&amp;INDEX(Contracts!$G$2:$G$151,$AB439),IF($Z439="A",INDEX(Fixed_Assets!$E$2:$E$201,$AB439)&amp;"",IF($Z439="F","Personnel "&amp;INDEX(FTE_Allocation!$A$2:$A$201,$AB439)&amp;IF(INDEX(FTE_Allocation!$D$2:$D$201,$AB439)="PROJECT"," ("&amp;INDEX(FTE_Allocation!$E$2:$E$201,$AB439)&amp;")",""),"")))</f>
        <v/>
      </c>
      <c r="H439" s="7">
        <f>IF($Z439="C","CONTRACT",IF($Z439="A","ASSET",IF($Z439="F","WORKFORCE","")))</f>
        <v/>
      </c>
      <c r="I439" s="7">
        <f>IF($Z439="C",INDEX(Contracts!$L$2:$L$151,$AB439)&amp;"",IF($Z439="A",INDEX(Fixed_Assets!$I$2:$I$201,$AB439)&amp;"",IF($Z439="F",INDEX(Workforce!$G$2:$G$151,MATCH(INDEX(FTE_Allocation!$A$2:$A$201,$AB439),Workforce!$A$2:$A$151,0))&amp;"","")))</f>
        <v/>
      </c>
      <c r="J439" s="18">
        <f>IF($Z439="","",IF(AND(DATE($AD439,1,1)&gt;=$AE439,DATE($AD439,1,1)&lt;=$AF439),ROUND($AG439,2),0))</f>
        <v/>
      </c>
      <c r="K439" s="18">
        <f>IF($Z439="","",IF(AND(DATE($AD439,2,1)&gt;=$AE439,DATE($AD439,2,1)&lt;=$AF439),ROUND($AG439,2),0))</f>
        <v/>
      </c>
      <c r="L439" s="18">
        <f>IF($Z439="","",IF(AND(DATE($AD439,3,1)&gt;=$AE439,DATE($AD439,3,1)&lt;=$AF439),ROUND($AG439,2),0))</f>
        <v/>
      </c>
      <c r="M439" s="18">
        <f>IF($Z439="","",IF(AND(DATE($AD439,4,1)&gt;=$AE439,DATE($AD439,4,1)&lt;=$AF439),ROUND($AG439,2),0))</f>
        <v/>
      </c>
      <c r="N439" s="18">
        <f>IF($Z439="","",IF(AND(DATE($AD439,5,1)&gt;=$AE439,DATE($AD439,5,1)&lt;=$AF439),ROUND($AG439,2),0))</f>
        <v/>
      </c>
      <c r="O439" s="18">
        <f>IF($Z439="","",IF(AND(DATE($AD439,6,1)&gt;=$AE439,DATE($AD439,6,1)&lt;=$AF439),ROUND($AG439,2),0))</f>
        <v/>
      </c>
      <c r="P439" s="18">
        <f>IF($Z439="","",IF(AND(DATE($AD439,7,1)&gt;=$AE439,DATE($AD439,7,1)&lt;=$AF439),ROUND($AG439,2),0))</f>
        <v/>
      </c>
      <c r="Q439" s="18">
        <f>IF($Z439="","",IF(AND(DATE($AD439,8,1)&gt;=$AE439,DATE($AD439,8,1)&lt;=$AF439),ROUND($AG439,2),0))</f>
        <v/>
      </c>
      <c r="R439" s="18">
        <f>IF($Z439="","",IF(AND(DATE($AD439,9,1)&gt;=$AE439,DATE($AD439,9,1)&lt;=$AF439),ROUND($AG439,2),0))</f>
        <v/>
      </c>
      <c r="S439" s="18">
        <f>IF($Z439="","",IF(AND(DATE($AD439,10,1)&gt;=$AE439,DATE($AD439,10,1)&lt;=$AF439),ROUND($AG439,2),0))</f>
        <v/>
      </c>
      <c r="T439" s="18">
        <f>IF($Z439="","",IF(AND(DATE($AD439,11,1)&gt;=$AE439,DATE($AD439,11,1)&lt;=$AF439),ROUND($AG439,2),0))</f>
        <v/>
      </c>
      <c r="U439" s="18">
        <f>IF($Z439="","",IF(AND(DATE($AD439,12,1)&gt;=$AE439,DATE($AD439,12,1)&lt;=$AF439),ROUND($AG439,2),0))</f>
        <v/>
      </c>
      <c r="V439" s="7">
        <f>IF($Z439="C","Generated from "&amp;INDEX(Contracts!$A$2:$A$151,$AB439),IF($Z439="A","Generated from "&amp;INDEX(Fixed_Assets!$A$2:$A$201,$AB439),IF($Z439="F","Generated from "&amp;INDEX(FTE_Allocation!$A$2:$A$201,$AB439),"")))</f>
        <v/>
      </c>
      <c r="X439" s="19">
        <f>IF($Z439="","",SUM(J439:U439))</f>
        <v/>
      </c>
      <c r="Y439" s="20">
        <f>ROW()-1</f>
        <v/>
      </c>
      <c r="Z439" s="20">
        <f>IF($Y439&lt;=Settings!$B$4*3,"C",IF($Y439&lt;=(Settings!$B$4+Settings!$B$5)*3,"A",IF($Y439&lt;=(Settings!$B$4+Settings!$B$5+Settings!$B$6)*3,"F","")))</f>
        <v/>
      </c>
      <c r="AA439" s="20">
        <f>IF($Z439="C",$Y439,IF($Z439="A",$Y439-Settings!$B$4*3,IF($Z439="F",$Y439-(Settings!$B$4+Settings!$B$5)*3,"")))</f>
        <v/>
      </c>
      <c r="AB439" s="20">
        <f>IF($Z439="","",INT(($AA439-1)/3)+1)</f>
        <v/>
      </c>
      <c r="AC439" s="20">
        <f>IF($Z439="","",MOD($AA439-1,3)+1)</f>
        <v/>
      </c>
      <c r="AD439" s="20">
        <f>IF($Z439="","",Settings!$B$2+$AC439-1)</f>
        <v/>
      </c>
      <c r="AE439" s="21">
        <f>IF($Z439="C",DATE(YEAR(INDEX(Contracts!$J$2:$J$151,$AB439)),MONTH(INDEX(Contracts!$J$2:$J$151,$AB439)),1),IF($Z439="A",DATE(YEAR(INDEX(Fixed_Assets!$G$2:$G$201,$AB439)),MONTH(INDEX(Fixed_Assets!$G$2:$G$201,$AB439)),1),IF($Z439="F",DATE(YEAR(MAX(N(INDEX(Workforce!$I$2:$I$151,MATCH(INDEX(FTE_Allocation!$A$2:$A$201,$AB439),Workforce!$A$2:$A$151,0))),N(INDEX(FTE_Allocation!$I$2:$I$201,$AB439)))),MONTH(MAX(N(INDEX(Workforce!$I$2:$I$151,MATCH(INDEX(FTE_Allocation!$A$2:$A$201,$AB439),Workforce!$A$2:$A$151,0))),N(INDEX(FTE_Allocation!$I$2:$I$201,$AB439)))),1),"")))</f>
        <v/>
      </c>
      <c r="AF439" s="21">
        <f>IF($Z439="C",IF(INDEX(Contracts!$I$2:$I$151,$AB439)="PREPAID",EDATE(DATE(YEAR(INDEX(Contracts!$J$2:$J$151,$AB439)),MONTH(INDEX(Contracts!$J$2:$J$151,$AB439)),1),IF(INDEX(Contracts!$N$2:$N$151,$AB439)="",12,INDEX(Contracts!$N$2:$N$151,$AB439))-1),IF(INDEX(Contracts!$I$2:$I$151,$AB439)="MONTHLY",IF(INDEX(Contracts!$K$2:$K$151,$AB439)="",2958101,INDEX(Contracts!$K$2:$K$151,$AB439)),0)),IF($Z439="A",EDATE(DATE(YEAR(INDEX(Fixed_Assets!$G$2:$G$201,$AB439)),MONTH(INDEX(Fixed_Assets!$G$2:$G$201,$AB439)),1),INDEX(Fixed_Assets!$J$2:$J$201,$AB439)-1),IF($Z439="F",MIN(IF(INDEX(Workforce!$J$2:$J$151,MATCH(INDEX(FTE_Allocation!$A$2:$A$201,$AB439),Workforce!$A$2:$A$151,0))="",2958101,INDEX(Workforce!$J$2:$J$151,MATCH(INDEX(FTE_Allocation!$A$2:$A$201,$AB439),Workforce!$A$2:$A$151,0))),IF(INDEX(FTE_Allocation!$J$2:$J$201,$AB439)="",2958101,INDEX(FTE_Allocation!$J$2:$J$201,$AB439))),"")))</f>
        <v/>
      </c>
      <c r="AG439" s="19">
        <f>IF($Z439="C",IF(INDEX(Contracts!$I$2:$I$151,$AB439)="PREPAID",INDEX(Contracts!$M$2:$M$151,$AB439)/IF(INDEX(Contracts!$N$2:$N$151,$AB439)="",12,INDEX(Contracts!$N$2:$N$151,$AB439)),IF(INDEX(Contracts!$I$2:$I$151,$AB439)="MONTHLY",INDEX(Contracts!$M$2:$M$151,$AB439),0))*(1-N(INDEX(Contracts!$O$2:$O$151,$AB439))),IF($Z439="A",INDEX(Fixed_Assets!$H$2:$H$201,$AB439)/INDEX(Fixed_Assets!$J$2:$J$201,$AB439),IF($Z439="F",INDEX(Workforce!$F$2:$F$151,MATCH(INDEX(FTE_Allocation!$A$2:$A$201,$AB439),Workforce!$A$2:$A$151,0))*N(INDEX(FTE_Allocation!$F$2:$H$201,$AB439,$AC439)),"")))</f>
        <v/>
      </c>
    </row>
    <row r="440">
      <c r="A440" s="7">
        <f>IF($Z440="","",$AD440)</f>
        <v/>
      </c>
      <c r="B440" s="7">
        <f>IF($Z440="C",INDEX(Contracts!$D$2:$D$151,$AB440)&amp;"",IF($Z440="A",INDEX(Fixed_Assets!$C$2:$C$201,$AB440)&amp;"",IF($Z440="F",INDEX(Workforce!$B$2:$B$151,MATCH(INDEX(FTE_Allocation!$A$2:$A$201,$AB440),Workforce!$A$2:$A$151,0))&amp;"","")))</f>
        <v/>
      </c>
      <c r="C440" s="7">
        <f>IF($Z440="C",INDEX(Contracts!$E$2:$E$151,$AB440)&amp;"",IF($Z440="A",INDEX(Fixed_Assets!$D$2:$D$201,$AB440)&amp;"",IF($Z440="F",INDEX(FTE_Allocation!$C$2:$C$201,$AB440)&amp;"","")))</f>
        <v/>
      </c>
      <c r="D440" s="7">
        <f>IF($Z440="C",INDEX(Contracts!$B$2:$B$151,$AB440)&amp;"",IF($Z440="A",INDEX(Fixed_Assets!$B$2:$B$201,$AB440)&amp;"",IF($Z440="F",INDEX(FTE_Allocation!$B$2:$B$201,$AB440)&amp;"","")))</f>
        <v/>
      </c>
      <c r="E440" s="7">
        <f>IF($Z440="C",INDEX(Contracts!$P$2:$P$151,$AB440)&amp;"",IF($Z440="A",INDEX(Fixed_Assets!$K$2:$K$201,$AB440)&amp;"",IF($Z440="F",IF(INDEX(FTE_Allocation!$D$2:$D$201,$AB440)="PROJECT",IFERROR(INDEX(Projects!$D:$D,MATCH(INDEX(FTE_Allocation!$E$2:$E$201,$AB440),Projects!$A:$A,0))&amp;"","#PROJECT?"),INDEX(FTE_Allocation!$E$2:$E$201,$AB440)&amp;""),"")))</f>
        <v/>
      </c>
      <c r="F440" s="7">
        <f>IF($Z440="C",INDEX(Contracts!$Q$2:$Q$151,$AB440)&amp;"",IF($Z440="A",INDEX(Fixed_Assets!$L$2:$L$201,$AB440)&amp;"",IF($Z440="F",INDEX(Workforce!$K$2:$K$151,MATCH(INDEX(FTE_Allocation!$A$2:$A$201,$AB440),Workforce!$A$2:$A$151,0))&amp;"","")))</f>
        <v/>
      </c>
      <c r="G440" s="7">
        <f>IF($Z440="C",INDEX(Contracts!$F$2:$F$151,$AB440)&amp;" / "&amp;INDEX(Contracts!$G$2:$G$151,$AB440),IF($Z440="A",INDEX(Fixed_Assets!$E$2:$E$201,$AB440)&amp;"",IF($Z440="F","Personnel "&amp;INDEX(FTE_Allocation!$A$2:$A$201,$AB440)&amp;IF(INDEX(FTE_Allocation!$D$2:$D$201,$AB440)="PROJECT"," ("&amp;INDEX(FTE_Allocation!$E$2:$E$201,$AB440)&amp;")",""),"")))</f>
        <v/>
      </c>
      <c r="H440" s="7">
        <f>IF($Z440="C","CONTRACT",IF($Z440="A","ASSET",IF($Z440="F","WORKFORCE","")))</f>
        <v/>
      </c>
      <c r="I440" s="7">
        <f>IF($Z440="C",INDEX(Contracts!$L$2:$L$151,$AB440)&amp;"",IF($Z440="A",INDEX(Fixed_Assets!$I$2:$I$201,$AB440)&amp;"",IF($Z440="F",INDEX(Workforce!$G$2:$G$151,MATCH(INDEX(FTE_Allocation!$A$2:$A$201,$AB440),Workforce!$A$2:$A$151,0))&amp;"","")))</f>
        <v/>
      </c>
      <c r="J440" s="18">
        <f>IF($Z440="","",IF(AND(DATE($AD440,1,1)&gt;=$AE440,DATE($AD440,1,1)&lt;=$AF440),ROUND($AG440,2),0))</f>
        <v/>
      </c>
      <c r="K440" s="18">
        <f>IF($Z440="","",IF(AND(DATE($AD440,2,1)&gt;=$AE440,DATE($AD440,2,1)&lt;=$AF440),ROUND($AG440,2),0))</f>
        <v/>
      </c>
      <c r="L440" s="18">
        <f>IF($Z440="","",IF(AND(DATE($AD440,3,1)&gt;=$AE440,DATE($AD440,3,1)&lt;=$AF440),ROUND($AG440,2),0))</f>
        <v/>
      </c>
      <c r="M440" s="18">
        <f>IF($Z440="","",IF(AND(DATE($AD440,4,1)&gt;=$AE440,DATE($AD440,4,1)&lt;=$AF440),ROUND($AG440,2),0))</f>
        <v/>
      </c>
      <c r="N440" s="18">
        <f>IF($Z440="","",IF(AND(DATE($AD440,5,1)&gt;=$AE440,DATE($AD440,5,1)&lt;=$AF440),ROUND($AG440,2),0))</f>
        <v/>
      </c>
      <c r="O440" s="18">
        <f>IF($Z440="","",IF(AND(DATE($AD440,6,1)&gt;=$AE440,DATE($AD440,6,1)&lt;=$AF440),ROUND($AG440,2),0))</f>
        <v/>
      </c>
      <c r="P440" s="18">
        <f>IF($Z440="","",IF(AND(DATE($AD440,7,1)&gt;=$AE440,DATE($AD440,7,1)&lt;=$AF440),ROUND($AG440,2),0))</f>
        <v/>
      </c>
      <c r="Q440" s="18">
        <f>IF($Z440="","",IF(AND(DATE($AD440,8,1)&gt;=$AE440,DATE($AD440,8,1)&lt;=$AF440),ROUND($AG440,2),0))</f>
        <v/>
      </c>
      <c r="R440" s="18">
        <f>IF($Z440="","",IF(AND(DATE($AD440,9,1)&gt;=$AE440,DATE($AD440,9,1)&lt;=$AF440),ROUND($AG440,2),0))</f>
        <v/>
      </c>
      <c r="S440" s="18">
        <f>IF($Z440="","",IF(AND(DATE($AD440,10,1)&gt;=$AE440,DATE($AD440,10,1)&lt;=$AF440),ROUND($AG440,2),0))</f>
        <v/>
      </c>
      <c r="T440" s="18">
        <f>IF($Z440="","",IF(AND(DATE($AD440,11,1)&gt;=$AE440,DATE($AD440,11,1)&lt;=$AF440),ROUND($AG440,2),0))</f>
        <v/>
      </c>
      <c r="U440" s="18">
        <f>IF($Z440="","",IF(AND(DATE($AD440,12,1)&gt;=$AE440,DATE($AD440,12,1)&lt;=$AF440),ROUND($AG440,2),0))</f>
        <v/>
      </c>
      <c r="V440" s="7">
        <f>IF($Z440="C","Generated from "&amp;INDEX(Contracts!$A$2:$A$151,$AB440),IF($Z440="A","Generated from "&amp;INDEX(Fixed_Assets!$A$2:$A$201,$AB440),IF($Z440="F","Generated from "&amp;INDEX(FTE_Allocation!$A$2:$A$201,$AB440),"")))</f>
        <v/>
      </c>
      <c r="X440" s="19">
        <f>IF($Z440="","",SUM(J440:U440))</f>
        <v/>
      </c>
      <c r="Y440" s="20">
        <f>ROW()-1</f>
        <v/>
      </c>
      <c r="Z440" s="20">
        <f>IF($Y440&lt;=Settings!$B$4*3,"C",IF($Y440&lt;=(Settings!$B$4+Settings!$B$5)*3,"A",IF($Y440&lt;=(Settings!$B$4+Settings!$B$5+Settings!$B$6)*3,"F","")))</f>
        <v/>
      </c>
      <c r="AA440" s="20">
        <f>IF($Z440="C",$Y440,IF($Z440="A",$Y440-Settings!$B$4*3,IF($Z440="F",$Y440-(Settings!$B$4+Settings!$B$5)*3,"")))</f>
        <v/>
      </c>
      <c r="AB440" s="20">
        <f>IF($Z440="","",INT(($AA440-1)/3)+1)</f>
        <v/>
      </c>
      <c r="AC440" s="20">
        <f>IF($Z440="","",MOD($AA440-1,3)+1)</f>
        <v/>
      </c>
      <c r="AD440" s="20">
        <f>IF($Z440="","",Settings!$B$2+$AC440-1)</f>
        <v/>
      </c>
      <c r="AE440" s="21">
        <f>IF($Z440="C",DATE(YEAR(INDEX(Contracts!$J$2:$J$151,$AB440)),MONTH(INDEX(Contracts!$J$2:$J$151,$AB440)),1),IF($Z440="A",DATE(YEAR(INDEX(Fixed_Assets!$G$2:$G$201,$AB440)),MONTH(INDEX(Fixed_Assets!$G$2:$G$201,$AB440)),1),IF($Z440="F",DATE(YEAR(MAX(N(INDEX(Workforce!$I$2:$I$151,MATCH(INDEX(FTE_Allocation!$A$2:$A$201,$AB440),Workforce!$A$2:$A$151,0))),N(INDEX(FTE_Allocation!$I$2:$I$201,$AB440)))),MONTH(MAX(N(INDEX(Workforce!$I$2:$I$151,MATCH(INDEX(FTE_Allocation!$A$2:$A$201,$AB440),Workforce!$A$2:$A$151,0))),N(INDEX(FTE_Allocation!$I$2:$I$201,$AB440)))),1),"")))</f>
        <v/>
      </c>
      <c r="AF440" s="21">
        <f>IF($Z440="C",IF(INDEX(Contracts!$I$2:$I$151,$AB440)="PREPAID",EDATE(DATE(YEAR(INDEX(Contracts!$J$2:$J$151,$AB440)),MONTH(INDEX(Contracts!$J$2:$J$151,$AB440)),1),IF(INDEX(Contracts!$N$2:$N$151,$AB440)="",12,INDEX(Contracts!$N$2:$N$151,$AB440))-1),IF(INDEX(Contracts!$I$2:$I$151,$AB440)="MONTHLY",IF(INDEX(Contracts!$K$2:$K$151,$AB440)="",2958101,INDEX(Contracts!$K$2:$K$151,$AB440)),0)),IF($Z440="A",EDATE(DATE(YEAR(INDEX(Fixed_Assets!$G$2:$G$201,$AB440)),MONTH(INDEX(Fixed_Assets!$G$2:$G$201,$AB440)),1),INDEX(Fixed_Assets!$J$2:$J$201,$AB440)-1),IF($Z440="F",MIN(IF(INDEX(Workforce!$J$2:$J$151,MATCH(INDEX(FTE_Allocation!$A$2:$A$201,$AB440),Workforce!$A$2:$A$151,0))="",2958101,INDEX(Workforce!$J$2:$J$151,MATCH(INDEX(FTE_Allocation!$A$2:$A$201,$AB440),Workforce!$A$2:$A$151,0))),IF(INDEX(FTE_Allocation!$J$2:$J$201,$AB440)="",2958101,INDEX(FTE_Allocation!$J$2:$J$201,$AB440))),"")))</f>
        <v/>
      </c>
      <c r="AG440" s="19">
        <f>IF($Z440="C",IF(INDEX(Contracts!$I$2:$I$151,$AB440)="PREPAID",INDEX(Contracts!$M$2:$M$151,$AB440)/IF(INDEX(Contracts!$N$2:$N$151,$AB440)="",12,INDEX(Contracts!$N$2:$N$151,$AB440)),IF(INDEX(Contracts!$I$2:$I$151,$AB440)="MONTHLY",INDEX(Contracts!$M$2:$M$151,$AB440),0))*(1-N(INDEX(Contracts!$O$2:$O$151,$AB440))),IF($Z440="A",INDEX(Fixed_Assets!$H$2:$H$201,$AB440)/INDEX(Fixed_Assets!$J$2:$J$201,$AB440),IF($Z440="F",INDEX(Workforce!$F$2:$F$151,MATCH(INDEX(FTE_Allocation!$A$2:$A$201,$AB440),Workforce!$A$2:$A$151,0))*N(INDEX(FTE_Allocation!$F$2:$H$201,$AB440,$AC440)),"")))</f>
        <v/>
      </c>
    </row>
    <row r="441">
      <c r="A441" s="7">
        <f>IF($Z441="","",$AD441)</f>
        <v/>
      </c>
      <c r="B441" s="7">
        <f>IF($Z441="C",INDEX(Contracts!$D$2:$D$151,$AB441)&amp;"",IF($Z441="A",INDEX(Fixed_Assets!$C$2:$C$201,$AB441)&amp;"",IF($Z441="F",INDEX(Workforce!$B$2:$B$151,MATCH(INDEX(FTE_Allocation!$A$2:$A$201,$AB441),Workforce!$A$2:$A$151,0))&amp;"","")))</f>
        <v/>
      </c>
      <c r="C441" s="7">
        <f>IF($Z441="C",INDEX(Contracts!$E$2:$E$151,$AB441)&amp;"",IF($Z441="A",INDEX(Fixed_Assets!$D$2:$D$201,$AB441)&amp;"",IF($Z441="F",INDEX(FTE_Allocation!$C$2:$C$201,$AB441)&amp;"","")))</f>
        <v/>
      </c>
      <c r="D441" s="7">
        <f>IF($Z441="C",INDEX(Contracts!$B$2:$B$151,$AB441)&amp;"",IF($Z441="A",INDEX(Fixed_Assets!$B$2:$B$201,$AB441)&amp;"",IF($Z441="F",INDEX(FTE_Allocation!$B$2:$B$201,$AB441)&amp;"","")))</f>
        <v/>
      </c>
      <c r="E441" s="7">
        <f>IF($Z441="C",INDEX(Contracts!$P$2:$P$151,$AB441)&amp;"",IF($Z441="A",INDEX(Fixed_Assets!$K$2:$K$201,$AB441)&amp;"",IF($Z441="F",IF(INDEX(FTE_Allocation!$D$2:$D$201,$AB441)="PROJECT",IFERROR(INDEX(Projects!$D:$D,MATCH(INDEX(FTE_Allocation!$E$2:$E$201,$AB441),Projects!$A:$A,0))&amp;"","#PROJECT?"),INDEX(FTE_Allocation!$E$2:$E$201,$AB441)&amp;""),"")))</f>
        <v/>
      </c>
      <c r="F441" s="7">
        <f>IF($Z441="C",INDEX(Contracts!$Q$2:$Q$151,$AB441)&amp;"",IF($Z441="A",INDEX(Fixed_Assets!$L$2:$L$201,$AB441)&amp;"",IF($Z441="F",INDEX(Workforce!$K$2:$K$151,MATCH(INDEX(FTE_Allocation!$A$2:$A$201,$AB441),Workforce!$A$2:$A$151,0))&amp;"","")))</f>
        <v/>
      </c>
      <c r="G441" s="7">
        <f>IF($Z441="C",INDEX(Contracts!$F$2:$F$151,$AB441)&amp;" / "&amp;INDEX(Contracts!$G$2:$G$151,$AB441),IF($Z441="A",INDEX(Fixed_Assets!$E$2:$E$201,$AB441)&amp;"",IF($Z441="F","Personnel "&amp;INDEX(FTE_Allocation!$A$2:$A$201,$AB441)&amp;IF(INDEX(FTE_Allocation!$D$2:$D$201,$AB441)="PROJECT"," ("&amp;INDEX(FTE_Allocation!$E$2:$E$201,$AB441)&amp;")",""),"")))</f>
        <v/>
      </c>
      <c r="H441" s="7">
        <f>IF($Z441="C","CONTRACT",IF($Z441="A","ASSET",IF($Z441="F","WORKFORCE","")))</f>
        <v/>
      </c>
      <c r="I441" s="7">
        <f>IF($Z441="C",INDEX(Contracts!$L$2:$L$151,$AB441)&amp;"",IF($Z441="A",INDEX(Fixed_Assets!$I$2:$I$201,$AB441)&amp;"",IF($Z441="F",INDEX(Workforce!$G$2:$G$151,MATCH(INDEX(FTE_Allocation!$A$2:$A$201,$AB441),Workforce!$A$2:$A$151,0))&amp;"","")))</f>
        <v/>
      </c>
      <c r="J441" s="18">
        <f>IF($Z441="","",IF(AND(DATE($AD441,1,1)&gt;=$AE441,DATE($AD441,1,1)&lt;=$AF441),ROUND($AG441,2),0))</f>
        <v/>
      </c>
      <c r="K441" s="18">
        <f>IF($Z441="","",IF(AND(DATE($AD441,2,1)&gt;=$AE441,DATE($AD441,2,1)&lt;=$AF441),ROUND($AG441,2),0))</f>
        <v/>
      </c>
      <c r="L441" s="18">
        <f>IF($Z441="","",IF(AND(DATE($AD441,3,1)&gt;=$AE441,DATE($AD441,3,1)&lt;=$AF441),ROUND($AG441,2),0))</f>
        <v/>
      </c>
      <c r="M441" s="18">
        <f>IF($Z441="","",IF(AND(DATE($AD441,4,1)&gt;=$AE441,DATE($AD441,4,1)&lt;=$AF441),ROUND($AG441,2),0))</f>
        <v/>
      </c>
      <c r="N441" s="18">
        <f>IF($Z441="","",IF(AND(DATE($AD441,5,1)&gt;=$AE441,DATE($AD441,5,1)&lt;=$AF441),ROUND($AG441,2),0))</f>
        <v/>
      </c>
      <c r="O441" s="18">
        <f>IF($Z441="","",IF(AND(DATE($AD441,6,1)&gt;=$AE441,DATE($AD441,6,1)&lt;=$AF441),ROUND($AG441,2),0))</f>
        <v/>
      </c>
      <c r="P441" s="18">
        <f>IF($Z441="","",IF(AND(DATE($AD441,7,1)&gt;=$AE441,DATE($AD441,7,1)&lt;=$AF441),ROUND($AG441,2),0))</f>
        <v/>
      </c>
      <c r="Q441" s="18">
        <f>IF($Z441="","",IF(AND(DATE($AD441,8,1)&gt;=$AE441,DATE($AD441,8,1)&lt;=$AF441),ROUND($AG441,2),0))</f>
        <v/>
      </c>
      <c r="R441" s="18">
        <f>IF($Z441="","",IF(AND(DATE($AD441,9,1)&gt;=$AE441,DATE($AD441,9,1)&lt;=$AF441),ROUND($AG441,2),0))</f>
        <v/>
      </c>
      <c r="S441" s="18">
        <f>IF($Z441="","",IF(AND(DATE($AD441,10,1)&gt;=$AE441,DATE($AD441,10,1)&lt;=$AF441),ROUND($AG441,2),0))</f>
        <v/>
      </c>
      <c r="T441" s="18">
        <f>IF($Z441="","",IF(AND(DATE($AD441,11,1)&gt;=$AE441,DATE($AD441,11,1)&lt;=$AF441),ROUND($AG441,2),0))</f>
        <v/>
      </c>
      <c r="U441" s="18">
        <f>IF($Z441="","",IF(AND(DATE($AD441,12,1)&gt;=$AE441,DATE($AD441,12,1)&lt;=$AF441),ROUND($AG441,2),0))</f>
        <v/>
      </c>
      <c r="V441" s="7">
        <f>IF($Z441="C","Generated from "&amp;INDEX(Contracts!$A$2:$A$151,$AB441),IF($Z441="A","Generated from "&amp;INDEX(Fixed_Assets!$A$2:$A$201,$AB441),IF($Z441="F","Generated from "&amp;INDEX(FTE_Allocation!$A$2:$A$201,$AB441),"")))</f>
        <v/>
      </c>
      <c r="X441" s="19">
        <f>IF($Z441="","",SUM(J441:U441))</f>
        <v/>
      </c>
      <c r="Y441" s="20">
        <f>ROW()-1</f>
        <v/>
      </c>
      <c r="Z441" s="20">
        <f>IF($Y441&lt;=Settings!$B$4*3,"C",IF($Y441&lt;=(Settings!$B$4+Settings!$B$5)*3,"A",IF($Y441&lt;=(Settings!$B$4+Settings!$B$5+Settings!$B$6)*3,"F","")))</f>
        <v/>
      </c>
      <c r="AA441" s="20">
        <f>IF($Z441="C",$Y441,IF($Z441="A",$Y441-Settings!$B$4*3,IF($Z441="F",$Y441-(Settings!$B$4+Settings!$B$5)*3,"")))</f>
        <v/>
      </c>
      <c r="AB441" s="20">
        <f>IF($Z441="","",INT(($AA441-1)/3)+1)</f>
        <v/>
      </c>
      <c r="AC441" s="20">
        <f>IF($Z441="","",MOD($AA441-1,3)+1)</f>
        <v/>
      </c>
      <c r="AD441" s="20">
        <f>IF($Z441="","",Settings!$B$2+$AC441-1)</f>
        <v/>
      </c>
      <c r="AE441" s="21">
        <f>IF($Z441="C",DATE(YEAR(INDEX(Contracts!$J$2:$J$151,$AB441)),MONTH(INDEX(Contracts!$J$2:$J$151,$AB441)),1),IF($Z441="A",DATE(YEAR(INDEX(Fixed_Assets!$G$2:$G$201,$AB441)),MONTH(INDEX(Fixed_Assets!$G$2:$G$201,$AB441)),1),IF($Z441="F",DATE(YEAR(MAX(N(INDEX(Workforce!$I$2:$I$151,MATCH(INDEX(FTE_Allocation!$A$2:$A$201,$AB441),Workforce!$A$2:$A$151,0))),N(INDEX(FTE_Allocation!$I$2:$I$201,$AB441)))),MONTH(MAX(N(INDEX(Workforce!$I$2:$I$151,MATCH(INDEX(FTE_Allocation!$A$2:$A$201,$AB441),Workforce!$A$2:$A$151,0))),N(INDEX(FTE_Allocation!$I$2:$I$201,$AB441)))),1),"")))</f>
        <v/>
      </c>
      <c r="AF441" s="21">
        <f>IF($Z441="C",IF(INDEX(Contracts!$I$2:$I$151,$AB441)="PREPAID",EDATE(DATE(YEAR(INDEX(Contracts!$J$2:$J$151,$AB441)),MONTH(INDEX(Contracts!$J$2:$J$151,$AB441)),1),IF(INDEX(Contracts!$N$2:$N$151,$AB441)="",12,INDEX(Contracts!$N$2:$N$151,$AB441))-1),IF(INDEX(Contracts!$I$2:$I$151,$AB441)="MONTHLY",IF(INDEX(Contracts!$K$2:$K$151,$AB441)="",2958101,INDEX(Contracts!$K$2:$K$151,$AB441)),0)),IF($Z441="A",EDATE(DATE(YEAR(INDEX(Fixed_Assets!$G$2:$G$201,$AB441)),MONTH(INDEX(Fixed_Assets!$G$2:$G$201,$AB441)),1),INDEX(Fixed_Assets!$J$2:$J$201,$AB441)-1),IF($Z441="F",MIN(IF(INDEX(Workforce!$J$2:$J$151,MATCH(INDEX(FTE_Allocation!$A$2:$A$201,$AB441),Workforce!$A$2:$A$151,0))="",2958101,INDEX(Workforce!$J$2:$J$151,MATCH(INDEX(FTE_Allocation!$A$2:$A$201,$AB441),Workforce!$A$2:$A$151,0))),IF(INDEX(FTE_Allocation!$J$2:$J$201,$AB441)="",2958101,INDEX(FTE_Allocation!$J$2:$J$201,$AB441))),"")))</f>
        <v/>
      </c>
      <c r="AG441" s="19">
        <f>IF($Z441="C",IF(INDEX(Contracts!$I$2:$I$151,$AB441)="PREPAID",INDEX(Contracts!$M$2:$M$151,$AB441)/IF(INDEX(Contracts!$N$2:$N$151,$AB441)="",12,INDEX(Contracts!$N$2:$N$151,$AB441)),IF(INDEX(Contracts!$I$2:$I$151,$AB441)="MONTHLY",INDEX(Contracts!$M$2:$M$151,$AB441),0))*(1-N(INDEX(Contracts!$O$2:$O$151,$AB441))),IF($Z441="A",INDEX(Fixed_Assets!$H$2:$H$201,$AB441)/INDEX(Fixed_Assets!$J$2:$J$201,$AB441),IF($Z441="F",INDEX(Workforce!$F$2:$F$151,MATCH(INDEX(FTE_Allocation!$A$2:$A$201,$AB441),Workforce!$A$2:$A$151,0))*N(INDEX(FTE_Allocation!$F$2:$H$201,$AB441,$AC441)),"")))</f>
        <v/>
      </c>
    </row>
    <row r="442">
      <c r="A442" s="7">
        <f>IF($Z442="","",$AD442)</f>
        <v/>
      </c>
      <c r="B442" s="7">
        <f>IF($Z442="C",INDEX(Contracts!$D$2:$D$151,$AB442)&amp;"",IF($Z442="A",INDEX(Fixed_Assets!$C$2:$C$201,$AB442)&amp;"",IF($Z442="F",INDEX(Workforce!$B$2:$B$151,MATCH(INDEX(FTE_Allocation!$A$2:$A$201,$AB442),Workforce!$A$2:$A$151,0))&amp;"","")))</f>
        <v/>
      </c>
      <c r="C442" s="7">
        <f>IF($Z442="C",INDEX(Contracts!$E$2:$E$151,$AB442)&amp;"",IF($Z442="A",INDEX(Fixed_Assets!$D$2:$D$201,$AB442)&amp;"",IF($Z442="F",INDEX(FTE_Allocation!$C$2:$C$201,$AB442)&amp;"","")))</f>
        <v/>
      </c>
      <c r="D442" s="7">
        <f>IF($Z442="C",INDEX(Contracts!$B$2:$B$151,$AB442)&amp;"",IF($Z442="A",INDEX(Fixed_Assets!$B$2:$B$201,$AB442)&amp;"",IF($Z442="F",INDEX(FTE_Allocation!$B$2:$B$201,$AB442)&amp;"","")))</f>
        <v/>
      </c>
      <c r="E442" s="7">
        <f>IF($Z442="C",INDEX(Contracts!$P$2:$P$151,$AB442)&amp;"",IF($Z442="A",INDEX(Fixed_Assets!$K$2:$K$201,$AB442)&amp;"",IF($Z442="F",IF(INDEX(FTE_Allocation!$D$2:$D$201,$AB442)="PROJECT",IFERROR(INDEX(Projects!$D:$D,MATCH(INDEX(FTE_Allocation!$E$2:$E$201,$AB442),Projects!$A:$A,0))&amp;"","#PROJECT?"),INDEX(FTE_Allocation!$E$2:$E$201,$AB442)&amp;""),"")))</f>
        <v/>
      </c>
      <c r="F442" s="7">
        <f>IF($Z442="C",INDEX(Contracts!$Q$2:$Q$151,$AB442)&amp;"",IF($Z442="A",INDEX(Fixed_Assets!$L$2:$L$201,$AB442)&amp;"",IF($Z442="F",INDEX(Workforce!$K$2:$K$151,MATCH(INDEX(FTE_Allocation!$A$2:$A$201,$AB442),Workforce!$A$2:$A$151,0))&amp;"","")))</f>
        <v/>
      </c>
      <c r="G442" s="7">
        <f>IF($Z442="C",INDEX(Contracts!$F$2:$F$151,$AB442)&amp;" / "&amp;INDEX(Contracts!$G$2:$G$151,$AB442),IF($Z442="A",INDEX(Fixed_Assets!$E$2:$E$201,$AB442)&amp;"",IF($Z442="F","Personnel "&amp;INDEX(FTE_Allocation!$A$2:$A$201,$AB442)&amp;IF(INDEX(FTE_Allocation!$D$2:$D$201,$AB442)="PROJECT"," ("&amp;INDEX(FTE_Allocation!$E$2:$E$201,$AB442)&amp;")",""),"")))</f>
        <v/>
      </c>
      <c r="H442" s="7">
        <f>IF($Z442="C","CONTRACT",IF($Z442="A","ASSET",IF($Z442="F","WORKFORCE","")))</f>
        <v/>
      </c>
      <c r="I442" s="7">
        <f>IF($Z442="C",INDEX(Contracts!$L$2:$L$151,$AB442)&amp;"",IF($Z442="A",INDEX(Fixed_Assets!$I$2:$I$201,$AB442)&amp;"",IF($Z442="F",INDEX(Workforce!$G$2:$G$151,MATCH(INDEX(FTE_Allocation!$A$2:$A$201,$AB442),Workforce!$A$2:$A$151,0))&amp;"","")))</f>
        <v/>
      </c>
      <c r="J442" s="18">
        <f>IF($Z442="","",IF(AND(DATE($AD442,1,1)&gt;=$AE442,DATE($AD442,1,1)&lt;=$AF442),ROUND($AG442,2),0))</f>
        <v/>
      </c>
      <c r="K442" s="18">
        <f>IF($Z442="","",IF(AND(DATE($AD442,2,1)&gt;=$AE442,DATE($AD442,2,1)&lt;=$AF442),ROUND($AG442,2),0))</f>
        <v/>
      </c>
      <c r="L442" s="18">
        <f>IF($Z442="","",IF(AND(DATE($AD442,3,1)&gt;=$AE442,DATE($AD442,3,1)&lt;=$AF442),ROUND($AG442,2),0))</f>
        <v/>
      </c>
      <c r="M442" s="18">
        <f>IF($Z442="","",IF(AND(DATE($AD442,4,1)&gt;=$AE442,DATE($AD442,4,1)&lt;=$AF442),ROUND($AG442,2),0))</f>
        <v/>
      </c>
      <c r="N442" s="18">
        <f>IF($Z442="","",IF(AND(DATE($AD442,5,1)&gt;=$AE442,DATE($AD442,5,1)&lt;=$AF442),ROUND($AG442,2),0))</f>
        <v/>
      </c>
      <c r="O442" s="18">
        <f>IF($Z442="","",IF(AND(DATE($AD442,6,1)&gt;=$AE442,DATE($AD442,6,1)&lt;=$AF442),ROUND($AG442,2),0))</f>
        <v/>
      </c>
      <c r="P442" s="18">
        <f>IF($Z442="","",IF(AND(DATE($AD442,7,1)&gt;=$AE442,DATE($AD442,7,1)&lt;=$AF442),ROUND($AG442,2),0))</f>
        <v/>
      </c>
      <c r="Q442" s="18">
        <f>IF($Z442="","",IF(AND(DATE($AD442,8,1)&gt;=$AE442,DATE($AD442,8,1)&lt;=$AF442),ROUND($AG442,2),0))</f>
        <v/>
      </c>
      <c r="R442" s="18">
        <f>IF($Z442="","",IF(AND(DATE($AD442,9,1)&gt;=$AE442,DATE($AD442,9,1)&lt;=$AF442),ROUND($AG442,2),0))</f>
        <v/>
      </c>
      <c r="S442" s="18">
        <f>IF($Z442="","",IF(AND(DATE($AD442,10,1)&gt;=$AE442,DATE($AD442,10,1)&lt;=$AF442),ROUND($AG442,2),0))</f>
        <v/>
      </c>
      <c r="T442" s="18">
        <f>IF($Z442="","",IF(AND(DATE($AD442,11,1)&gt;=$AE442,DATE($AD442,11,1)&lt;=$AF442),ROUND($AG442,2),0))</f>
        <v/>
      </c>
      <c r="U442" s="18">
        <f>IF($Z442="","",IF(AND(DATE($AD442,12,1)&gt;=$AE442,DATE($AD442,12,1)&lt;=$AF442),ROUND($AG442,2),0))</f>
        <v/>
      </c>
      <c r="V442" s="7">
        <f>IF($Z442="C","Generated from "&amp;INDEX(Contracts!$A$2:$A$151,$AB442),IF($Z442="A","Generated from "&amp;INDEX(Fixed_Assets!$A$2:$A$201,$AB442),IF($Z442="F","Generated from "&amp;INDEX(FTE_Allocation!$A$2:$A$201,$AB442),"")))</f>
        <v/>
      </c>
      <c r="X442" s="19">
        <f>IF($Z442="","",SUM(J442:U442))</f>
        <v/>
      </c>
      <c r="Y442" s="20">
        <f>ROW()-1</f>
        <v/>
      </c>
      <c r="Z442" s="20">
        <f>IF($Y442&lt;=Settings!$B$4*3,"C",IF($Y442&lt;=(Settings!$B$4+Settings!$B$5)*3,"A",IF($Y442&lt;=(Settings!$B$4+Settings!$B$5+Settings!$B$6)*3,"F","")))</f>
        <v/>
      </c>
      <c r="AA442" s="20">
        <f>IF($Z442="C",$Y442,IF($Z442="A",$Y442-Settings!$B$4*3,IF($Z442="F",$Y442-(Settings!$B$4+Settings!$B$5)*3,"")))</f>
        <v/>
      </c>
      <c r="AB442" s="20">
        <f>IF($Z442="","",INT(($AA442-1)/3)+1)</f>
        <v/>
      </c>
      <c r="AC442" s="20">
        <f>IF($Z442="","",MOD($AA442-1,3)+1)</f>
        <v/>
      </c>
      <c r="AD442" s="20">
        <f>IF($Z442="","",Settings!$B$2+$AC442-1)</f>
        <v/>
      </c>
      <c r="AE442" s="21">
        <f>IF($Z442="C",DATE(YEAR(INDEX(Contracts!$J$2:$J$151,$AB442)),MONTH(INDEX(Contracts!$J$2:$J$151,$AB442)),1),IF($Z442="A",DATE(YEAR(INDEX(Fixed_Assets!$G$2:$G$201,$AB442)),MONTH(INDEX(Fixed_Assets!$G$2:$G$201,$AB442)),1),IF($Z442="F",DATE(YEAR(MAX(N(INDEX(Workforce!$I$2:$I$151,MATCH(INDEX(FTE_Allocation!$A$2:$A$201,$AB442),Workforce!$A$2:$A$151,0))),N(INDEX(FTE_Allocation!$I$2:$I$201,$AB442)))),MONTH(MAX(N(INDEX(Workforce!$I$2:$I$151,MATCH(INDEX(FTE_Allocation!$A$2:$A$201,$AB442),Workforce!$A$2:$A$151,0))),N(INDEX(FTE_Allocation!$I$2:$I$201,$AB442)))),1),"")))</f>
        <v/>
      </c>
      <c r="AF442" s="21">
        <f>IF($Z442="C",IF(INDEX(Contracts!$I$2:$I$151,$AB442)="PREPAID",EDATE(DATE(YEAR(INDEX(Contracts!$J$2:$J$151,$AB442)),MONTH(INDEX(Contracts!$J$2:$J$151,$AB442)),1),IF(INDEX(Contracts!$N$2:$N$151,$AB442)="",12,INDEX(Contracts!$N$2:$N$151,$AB442))-1),IF(INDEX(Contracts!$I$2:$I$151,$AB442)="MONTHLY",IF(INDEX(Contracts!$K$2:$K$151,$AB442)="",2958101,INDEX(Contracts!$K$2:$K$151,$AB442)),0)),IF($Z442="A",EDATE(DATE(YEAR(INDEX(Fixed_Assets!$G$2:$G$201,$AB442)),MONTH(INDEX(Fixed_Assets!$G$2:$G$201,$AB442)),1),INDEX(Fixed_Assets!$J$2:$J$201,$AB442)-1),IF($Z442="F",MIN(IF(INDEX(Workforce!$J$2:$J$151,MATCH(INDEX(FTE_Allocation!$A$2:$A$201,$AB442),Workforce!$A$2:$A$151,0))="",2958101,INDEX(Workforce!$J$2:$J$151,MATCH(INDEX(FTE_Allocation!$A$2:$A$201,$AB442),Workforce!$A$2:$A$151,0))),IF(INDEX(FTE_Allocation!$J$2:$J$201,$AB442)="",2958101,INDEX(FTE_Allocation!$J$2:$J$201,$AB442))),"")))</f>
        <v/>
      </c>
      <c r="AG442" s="19">
        <f>IF($Z442="C",IF(INDEX(Contracts!$I$2:$I$151,$AB442)="PREPAID",INDEX(Contracts!$M$2:$M$151,$AB442)/IF(INDEX(Contracts!$N$2:$N$151,$AB442)="",12,INDEX(Contracts!$N$2:$N$151,$AB442)),IF(INDEX(Contracts!$I$2:$I$151,$AB442)="MONTHLY",INDEX(Contracts!$M$2:$M$151,$AB442),0))*(1-N(INDEX(Contracts!$O$2:$O$151,$AB442))),IF($Z442="A",INDEX(Fixed_Assets!$H$2:$H$201,$AB442)/INDEX(Fixed_Assets!$J$2:$J$201,$AB442),IF($Z442="F",INDEX(Workforce!$F$2:$F$151,MATCH(INDEX(FTE_Allocation!$A$2:$A$201,$AB442),Workforce!$A$2:$A$151,0))*N(INDEX(FTE_Allocation!$F$2:$H$201,$AB442,$AC442)),"")))</f>
        <v/>
      </c>
    </row>
    <row r="443">
      <c r="A443" s="7">
        <f>IF($Z443="","",$AD443)</f>
        <v/>
      </c>
      <c r="B443" s="7">
        <f>IF($Z443="C",INDEX(Contracts!$D$2:$D$151,$AB443)&amp;"",IF($Z443="A",INDEX(Fixed_Assets!$C$2:$C$201,$AB443)&amp;"",IF($Z443="F",INDEX(Workforce!$B$2:$B$151,MATCH(INDEX(FTE_Allocation!$A$2:$A$201,$AB443),Workforce!$A$2:$A$151,0))&amp;"","")))</f>
        <v/>
      </c>
      <c r="C443" s="7">
        <f>IF($Z443="C",INDEX(Contracts!$E$2:$E$151,$AB443)&amp;"",IF($Z443="A",INDEX(Fixed_Assets!$D$2:$D$201,$AB443)&amp;"",IF($Z443="F",INDEX(FTE_Allocation!$C$2:$C$201,$AB443)&amp;"","")))</f>
        <v/>
      </c>
      <c r="D443" s="7">
        <f>IF($Z443="C",INDEX(Contracts!$B$2:$B$151,$AB443)&amp;"",IF($Z443="A",INDEX(Fixed_Assets!$B$2:$B$201,$AB443)&amp;"",IF($Z443="F",INDEX(FTE_Allocation!$B$2:$B$201,$AB443)&amp;"","")))</f>
        <v/>
      </c>
      <c r="E443" s="7">
        <f>IF($Z443="C",INDEX(Contracts!$P$2:$P$151,$AB443)&amp;"",IF($Z443="A",INDEX(Fixed_Assets!$K$2:$K$201,$AB443)&amp;"",IF($Z443="F",IF(INDEX(FTE_Allocation!$D$2:$D$201,$AB443)="PROJECT",IFERROR(INDEX(Projects!$D:$D,MATCH(INDEX(FTE_Allocation!$E$2:$E$201,$AB443),Projects!$A:$A,0))&amp;"","#PROJECT?"),INDEX(FTE_Allocation!$E$2:$E$201,$AB443)&amp;""),"")))</f>
        <v/>
      </c>
      <c r="F443" s="7">
        <f>IF($Z443="C",INDEX(Contracts!$Q$2:$Q$151,$AB443)&amp;"",IF($Z443="A",INDEX(Fixed_Assets!$L$2:$L$201,$AB443)&amp;"",IF($Z443="F",INDEX(Workforce!$K$2:$K$151,MATCH(INDEX(FTE_Allocation!$A$2:$A$201,$AB443),Workforce!$A$2:$A$151,0))&amp;"","")))</f>
        <v/>
      </c>
      <c r="G443" s="7">
        <f>IF($Z443="C",INDEX(Contracts!$F$2:$F$151,$AB443)&amp;" / "&amp;INDEX(Contracts!$G$2:$G$151,$AB443),IF($Z443="A",INDEX(Fixed_Assets!$E$2:$E$201,$AB443)&amp;"",IF($Z443="F","Personnel "&amp;INDEX(FTE_Allocation!$A$2:$A$201,$AB443)&amp;IF(INDEX(FTE_Allocation!$D$2:$D$201,$AB443)="PROJECT"," ("&amp;INDEX(FTE_Allocation!$E$2:$E$201,$AB443)&amp;")",""),"")))</f>
        <v/>
      </c>
      <c r="H443" s="7">
        <f>IF($Z443="C","CONTRACT",IF($Z443="A","ASSET",IF($Z443="F","WORKFORCE","")))</f>
        <v/>
      </c>
      <c r="I443" s="7">
        <f>IF($Z443="C",INDEX(Contracts!$L$2:$L$151,$AB443)&amp;"",IF($Z443="A",INDEX(Fixed_Assets!$I$2:$I$201,$AB443)&amp;"",IF($Z443="F",INDEX(Workforce!$G$2:$G$151,MATCH(INDEX(FTE_Allocation!$A$2:$A$201,$AB443),Workforce!$A$2:$A$151,0))&amp;"","")))</f>
        <v/>
      </c>
      <c r="J443" s="18">
        <f>IF($Z443="","",IF(AND(DATE($AD443,1,1)&gt;=$AE443,DATE($AD443,1,1)&lt;=$AF443),ROUND($AG443,2),0))</f>
        <v/>
      </c>
      <c r="K443" s="18">
        <f>IF($Z443="","",IF(AND(DATE($AD443,2,1)&gt;=$AE443,DATE($AD443,2,1)&lt;=$AF443),ROUND($AG443,2),0))</f>
        <v/>
      </c>
      <c r="L443" s="18">
        <f>IF($Z443="","",IF(AND(DATE($AD443,3,1)&gt;=$AE443,DATE($AD443,3,1)&lt;=$AF443),ROUND($AG443,2),0))</f>
        <v/>
      </c>
      <c r="M443" s="18">
        <f>IF($Z443="","",IF(AND(DATE($AD443,4,1)&gt;=$AE443,DATE($AD443,4,1)&lt;=$AF443),ROUND($AG443,2),0))</f>
        <v/>
      </c>
      <c r="N443" s="18">
        <f>IF($Z443="","",IF(AND(DATE($AD443,5,1)&gt;=$AE443,DATE($AD443,5,1)&lt;=$AF443),ROUND($AG443,2),0))</f>
        <v/>
      </c>
      <c r="O443" s="18">
        <f>IF($Z443="","",IF(AND(DATE($AD443,6,1)&gt;=$AE443,DATE($AD443,6,1)&lt;=$AF443),ROUND($AG443,2),0))</f>
        <v/>
      </c>
      <c r="P443" s="18">
        <f>IF($Z443="","",IF(AND(DATE($AD443,7,1)&gt;=$AE443,DATE($AD443,7,1)&lt;=$AF443),ROUND($AG443,2),0))</f>
        <v/>
      </c>
      <c r="Q443" s="18">
        <f>IF($Z443="","",IF(AND(DATE($AD443,8,1)&gt;=$AE443,DATE($AD443,8,1)&lt;=$AF443),ROUND($AG443,2),0))</f>
        <v/>
      </c>
      <c r="R443" s="18">
        <f>IF($Z443="","",IF(AND(DATE($AD443,9,1)&gt;=$AE443,DATE($AD443,9,1)&lt;=$AF443),ROUND($AG443,2),0))</f>
        <v/>
      </c>
      <c r="S443" s="18">
        <f>IF($Z443="","",IF(AND(DATE($AD443,10,1)&gt;=$AE443,DATE($AD443,10,1)&lt;=$AF443),ROUND($AG443,2),0))</f>
        <v/>
      </c>
      <c r="T443" s="18">
        <f>IF($Z443="","",IF(AND(DATE($AD443,11,1)&gt;=$AE443,DATE($AD443,11,1)&lt;=$AF443),ROUND($AG443,2),0))</f>
        <v/>
      </c>
      <c r="U443" s="18">
        <f>IF($Z443="","",IF(AND(DATE($AD443,12,1)&gt;=$AE443,DATE($AD443,12,1)&lt;=$AF443),ROUND($AG443,2),0))</f>
        <v/>
      </c>
      <c r="V443" s="7">
        <f>IF($Z443="C","Generated from "&amp;INDEX(Contracts!$A$2:$A$151,$AB443),IF($Z443="A","Generated from "&amp;INDEX(Fixed_Assets!$A$2:$A$201,$AB443),IF($Z443="F","Generated from "&amp;INDEX(FTE_Allocation!$A$2:$A$201,$AB443),"")))</f>
        <v/>
      </c>
      <c r="X443" s="19">
        <f>IF($Z443="","",SUM(J443:U443))</f>
        <v/>
      </c>
      <c r="Y443" s="20">
        <f>ROW()-1</f>
        <v/>
      </c>
      <c r="Z443" s="20">
        <f>IF($Y443&lt;=Settings!$B$4*3,"C",IF($Y443&lt;=(Settings!$B$4+Settings!$B$5)*3,"A",IF($Y443&lt;=(Settings!$B$4+Settings!$B$5+Settings!$B$6)*3,"F","")))</f>
        <v/>
      </c>
      <c r="AA443" s="20">
        <f>IF($Z443="C",$Y443,IF($Z443="A",$Y443-Settings!$B$4*3,IF($Z443="F",$Y443-(Settings!$B$4+Settings!$B$5)*3,"")))</f>
        <v/>
      </c>
      <c r="AB443" s="20">
        <f>IF($Z443="","",INT(($AA443-1)/3)+1)</f>
        <v/>
      </c>
      <c r="AC443" s="20">
        <f>IF($Z443="","",MOD($AA443-1,3)+1)</f>
        <v/>
      </c>
      <c r="AD443" s="20">
        <f>IF($Z443="","",Settings!$B$2+$AC443-1)</f>
        <v/>
      </c>
      <c r="AE443" s="21">
        <f>IF($Z443="C",DATE(YEAR(INDEX(Contracts!$J$2:$J$151,$AB443)),MONTH(INDEX(Contracts!$J$2:$J$151,$AB443)),1),IF($Z443="A",DATE(YEAR(INDEX(Fixed_Assets!$G$2:$G$201,$AB443)),MONTH(INDEX(Fixed_Assets!$G$2:$G$201,$AB443)),1),IF($Z443="F",DATE(YEAR(MAX(N(INDEX(Workforce!$I$2:$I$151,MATCH(INDEX(FTE_Allocation!$A$2:$A$201,$AB443),Workforce!$A$2:$A$151,0))),N(INDEX(FTE_Allocation!$I$2:$I$201,$AB443)))),MONTH(MAX(N(INDEX(Workforce!$I$2:$I$151,MATCH(INDEX(FTE_Allocation!$A$2:$A$201,$AB443),Workforce!$A$2:$A$151,0))),N(INDEX(FTE_Allocation!$I$2:$I$201,$AB443)))),1),"")))</f>
        <v/>
      </c>
      <c r="AF443" s="21">
        <f>IF($Z443="C",IF(INDEX(Contracts!$I$2:$I$151,$AB443)="PREPAID",EDATE(DATE(YEAR(INDEX(Contracts!$J$2:$J$151,$AB443)),MONTH(INDEX(Contracts!$J$2:$J$151,$AB443)),1),IF(INDEX(Contracts!$N$2:$N$151,$AB443)="",12,INDEX(Contracts!$N$2:$N$151,$AB443))-1),IF(INDEX(Contracts!$I$2:$I$151,$AB443)="MONTHLY",IF(INDEX(Contracts!$K$2:$K$151,$AB443)="",2958101,INDEX(Contracts!$K$2:$K$151,$AB443)),0)),IF($Z443="A",EDATE(DATE(YEAR(INDEX(Fixed_Assets!$G$2:$G$201,$AB443)),MONTH(INDEX(Fixed_Assets!$G$2:$G$201,$AB443)),1),INDEX(Fixed_Assets!$J$2:$J$201,$AB443)-1),IF($Z443="F",MIN(IF(INDEX(Workforce!$J$2:$J$151,MATCH(INDEX(FTE_Allocation!$A$2:$A$201,$AB443),Workforce!$A$2:$A$151,0))="",2958101,INDEX(Workforce!$J$2:$J$151,MATCH(INDEX(FTE_Allocation!$A$2:$A$201,$AB443),Workforce!$A$2:$A$151,0))),IF(INDEX(FTE_Allocation!$J$2:$J$201,$AB443)="",2958101,INDEX(FTE_Allocation!$J$2:$J$201,$AB443))),"")))</f>
        <v/>
      </c>
      <c r="AG443" s="19">
        <f>IF($Z443="C",IF(INDEX(Contracts!$I$2:$I$151,$AB443)="PREPAID",INDEX(Contracts!$M$2:$M$151,$AB443)/IF(INDEX(Contracts!$N$2:$N$151,$AB443)="",12,INDEX(Contracts!$N$2:$N$151,$AB443)),IF(INDEX(Contracts!$I$2:$I$151,$AB443)="MONTHLY",INDEX(Contracts!$M$2:$M$151,$AB443),0))*(1-N(INDEX(Contracts!$O$2:$O$151,$AB443))),IF($Z443="A",INDEX(Fixed_Assets!$H$2:$H$201,$AB443)/INDEX(Fixed_Assets!$J$2:$J$201,$AB443),IF($Z443="F",INDEX(Workforce!$F$2:$F$151,MATCH(INDEX(FTE_Allocation!$A$2:$A$201,$AB443),Workforce!$A$2:$A$151,0))*N(INDEX(FTE_Allocation!$F$2:$H$201,$AB443,$AC443)),"")))</f>
        <v/>
      </c>
    </row>
    <row r="444">
      <c r="A444" s="7">
        <f>IF($Z444="","",$AD444)</f>
        <v/>
      </c>
      <c r="B444" s="7">
        <f>IF($Z444="C",INDEX(Contracts!$D$2:$D$151,$AB444)&amp;"",IF($Z444="A",INDEX(Fixed_Assets!$C$2:$C$201,$AB444)&amp;"",IF($Z444="F",INDEX(Workforce!$B$2:$B$151,MATCH(INDEX(FTE_Allocation!$A$2:$A$201,$AB444),Workforce!$A$2:$A$151,0))&amp;"","")))</f>
        <v/>
      </c>
      <c r="C444" s="7">
        <f>IF($Z444="C",INDEX(Contracts!$E$2:$E$151,$AB444)&amp;"",IF($Z444="A",INDEX(Fixed_Assets!$D$2:$D$201,$AB444)&amp;"",IF($Z444="F",INDEX(FTE_Allocation!$C$2:$C$201,$AB444)&amp;"","")))</f>
        <v/>
      </c>
      <c r="D444" s="7">
        <f>IF($Z444="C",INDEX(Contracts!$B$2:$B$151,$AB444)&amp;"",IF($Z444="A",INDEX(Fixed_Assets!$B$2:$B$201,$AB444)&amp;"",IF($Z444="F",INDEX(FTE_Allocation!$B$2:$B$201,$AB444)&amp;"","")))</f>
        <v/>
      </c>
      <c r="E444" s="7">
        <f>IF($Z444="C",INDEX(Contracts!$P$2:$P$151,$AB444)&amp;"",IF($Z444="A",INDEX(Fixed_Assets!$K$2:$K$201,$AB444)&amp;"",IF($Z444="F",IF(INDEX(FTE_Allocation!$D$2:$D$201,$AB444)="PROJECT",IFERROR(INDEX(Projects!$D:$D,MATCH(INDEX(FTE_Allocation!$E$2:$E$201,$AB444),Projects!$A:$A,0))&amp;"","#PROJECT?"),INDEX(FTE_Allocation!$E$2:$E$201,$AB444)&amp;""),"")))</f>
        <v/>
      </c>
      <c r="F444" s="7">
        <f>IF($Z444="C",INDEX(Contracts!$Q$2:$Q$151,$AB444)&amp;"",IF($Z444="A",INDEX(Fixed_Assets!$L$2:$L$201,$AB444)&amp;"",IF($Z444="F",INDEX(Workforce!$K$2:$K$151,MATCH(INDEX(FTE_Allocation!$A$2:$A$201,$AB444),Workforce!$A$2:$A$151,0))&amp;"","")))</f>
        <v/>
      </c>
      <c r="G444" s="7">
        <f>IF($Z444="C",INDEX(Contracts!$F$2:$F$151,$AB444)&amp;" / "&amp;INDEX(Contracts!$G$2:$G$151,$AB444),IF($Z444="A",INDEX(Fixed_Assets!$E$2:$E$201,$AB444)&amp;"",IF($Z444="F","Personnel "&amp;INDEX(FTE_Allocation!$A$2:$A$201,$AB444)&amp;IF(INDEX(FTE_Allocation!$D$2:$D$201,$AB444)="PROJECT"," ("&amp;INDEX(FTE_Allocation!$E$2:$E$201,$AB444)&amp;")",""),"")))</f>
        <v/>
      </c>
      <c r="H444" s="7">
        <f>IF($Z444="C","CONTRACT",IF($Z444="A","ASSET",IF($Z444="F","WORKFORCE","")))</f>
        <v/>
      </c>
      <c r="I444" s="7">
        <f>IF($Z444="C",INDEX(Contracts!$L$2:$L$151,$AB444)&amp;"",IF($Z444="A",INDEX(Fixed_Assets!$I$2:$I$201,$AB444)&amp;"",IF($Z444="F",INDEX(Workforce!$G$2:$G$151,MATCH(INDEX(FTE_Allocation!$A$2:$A$201,$AB444),Workforce!$A$2:$A$151,0))&amp;"","")))</f>
        <v/>
      </c>
      <c r="J444" s="18">
        <f>IF($Z444="","",IF(AND(DATE($AD444,1,1)&gt;=$AE444,DATE($AD444,1,1)&lt;=$AF444),ROUND($AG444,2),0))</f>
        <v/>
      </c>
      <c r="K444" s="18">
        <f>IF($Z444="","",IF(AND(DATE($AD444,2,1)&gt;=$AE444,DATE($AD444,2,1)&lt;=$AF444),ROUND($AG444,2),0))</f>
        <v/>
      </c>
      <c r="L444" s="18">
        <f>IF($Z444="","",IF(AND(DATE($AD444,3,1)&gt;=$AE444,DATE($AD444,3,1)&lt;=$AF444),ROUND($AG444,2),0))</f>
        <v/>
      </c>
      <c r="M444" s="18">
        <f>IF($Z444="","",IF(AND(DATE($AD444,4,1)&gt;=$AE444,DATE($AD444,4,1)&lt;=$AF444),ROUND($AG444,2),0))</f>
        <v/>
      </c>
      <c r="N444" s="18">
        <f>IF($Z444="","",IF(AND(DATE($AD444,5,1)&gt;=$AE444,DATE($AD444,5,1)&lt;=$AF444),ROUND($AG444,2),0))</f>
        <v/>
      </c>
      <c r="O444" s="18">
        <f>IF($Z444="","",IF(AND(DATE($AD444,6,1)&gt;=$AE444,DATE($AD444,6,1)&lt;=$AF444),ROUND($AG444,2),0))</f>
        <v/>
      </c>
      <c r="P444" s="18">
        <f>IF($Z444="","",IF(AND(DATE($AD444,7,1)&gt;=$AE444,DATE($AD444,7,1)&lt;=$AF444),ROUND($AG444,2),0))</f>
        <v/>
      </c>
      <c r="Q444" s="18">
        <f>IF($Z444="","",IF(AND(DATE($AD444,8,1)&gt;=$AE444,DATE($AD444,8,1)&lt;=$AF444),ROUND($AG444,2),0))</f>
        <v/>
      </c>
      <c r="R444" s="18">
        <f>IF($Z444="","",IF(AND(DATE($AD444,9,1)&gt;=$AE444,DATE($AD444,9,1)&lt;=$AF444),ROUND($AG444,2),0))</f>
        <v/>
      </c>
      <c r="S444" s="18">
        <f>IF($Z444="","",IF(AND(DATE($AD444,10,1)&gt;=$AE444,DATE($AD444,10,1)&lt;=$AF444),ROUND($AG444,2),0))</f>
        <v/>
      </c>
      <c r="T444" s="18">
        <f>IF($Z444="","",IF(AND(DATE($AD444,11,1)&gt;=$AE444,DATE($AD444,11,1)&lt;=$AF444),ROUND($AG444,2),0))</f>
        <v/>
      </c>
      <c r="U444" s="18">
        <f>IF($Z444="","",IF(AND(DATE($AD444,12,1)&gt;=$AE444,DATE($AD444,12,1)&lt;=$AF444),ROUND($AG444,2),0))</f>
        <v/>
      </c>
      <c r="V444" s="7">
        <f>IF($Z444="C","Generated from "&amp;INDEX(Contracts!$A$2:$A$151,$AB444),IF($Z444="A","Generated from "&amp;INDEX(Fixed_Assets!$A$2:$A$201,$AB444),IF($Z444="F","Generated from "&amp;INDEX(FTE_Allocation!$A$2:$A$201,$AB444),"")))</f>
        <v/>
      </c>
      <c r="X444" s="19">
        <f>IF($Z444="","",SUM(J444:U444))</f>
        <v/>
      </c>
      <c r="Y444" s="20">
        <f>ROW()-1</f>
        <v/>
      </c>
      <c r="Z444" s="20">
        <f>IF($Y444&lt;=Settings!$B$4*3,"C",IF($Y444&lt;=(Settings!$B$4+Settings!$B$5)*3,"A",IF($Y444&lt;=(Settings!$B$4+Settings!$B$5+Settings!$B$6)*3,"F","")))</f>
        <v/>
      </c>
      <c r="AA444" s="20">
        <f>IF($Z444="C",$Y444,IF($Z444="A",$Y444-Settings!$B$4*3,IF($Z444="F",$Y444-(Settings!$B$4+Settings!$B$5)*3,"")))</f>
        <v/>
      </c>
      <c r="AB444" s="20">
        <f>IF($Z444="","",INT(($AA444-1)/3)+1)</f>
        <v/>
      </c>
      <c r="AC444" s="20">
        <f>IF($Z444="","",MOD($AA444-1,3)+1)</f>
        <v/>
      </c>
      <c r="AD444" s="20">
        <f>IF($Z444="","",Settings!$B$2+$AC444-1)</f>
        <v/>
      </c>
      <c r="AE444" s="21">
        <f>IF($Z444="C",DATE(YEAR(INDEX(Contracts!$J$2:$J$151,$AB444)),MONTH(INDEX(Contracts!$J$2:$J$151,$AB444)),1),IF($Z444="A",DATE(YEAR(INDEX(Fixed_Assets!$G$2:$G$201,$AB444)),MONTH(INDEX(Fixed_Assets!$G$2:$G$201,$AB444)),1),IF($Z444="F",DATE(YEAR(MAX(N(INDEX(Workforce!$I$2:$I$151,MATCH(INDEX(FTE_Allocation!$A$2:$A$201,$AB444),Workforce!$A$2:$A$151,0))),N(INDEX(FTE_Allocation!$I$2:$I$201,$AB444)))),MONTH(MAX(N(INDEX(Workforce!$I$2:$I$151,MATCH(INDEX(FTE_Allocation!$A$2:$A$201,$AB444),Workforce!$A$2:$A$151,0))),N(INDEX(FTE_Allocation!$I$2:$I$201,$AB444)))),1),"")))</f>
        <v/>
      </c>
      <c r="AF444" s="21">
        <f>IF($Z444="C",IF(INDEX(Contracts!$I$2:$I$151,$AB444)="PREPAID",EDATE(DATE(YEAR(INDEX(Contracts!$J$2:$J$151,$AB444)),MONTH(INDEX(Contracts!$J$2:$J$151,$AB444)),1),IF(INDEX(Contracts!$N$2:$N$151,$AB444)="",12,INDEX(Contracts!$N$2:$N$151,$AB444))-1),IF(INDEX(Contracts!$I$2:$I$151,$AB444)="MONTHLY",IF(INDEX(Contracts!$K$2:$K$151,$AB444)="",2958101,INDEX(Contracts!$K$2:$K$151,$AB444)),0)),IF($Z444="A",EDATE(DATE(YEAR(INDEX(Fixed_Assets!$G$2:$G$201,$AB444)),MONTH(INDEX(Fixed_Assets!$G$2:$G$201,$AB444)),1),INDEX(Fixed_Assets!$J$2:$J$201,$AB444)-1),IF($Z444="F",MIN(IF(INDEX(Workforce!$J$2:$J$151,MATCH(INDEX(FTE_Allocation!$A$2:$A$201,$AB444),Workforce!$A$2:$A$151,0))="",2958101,INDEX(Workforce!$J$2:$J$151,MATCH(INDEX(FTE_Allocation!$A$2:$A$201,$AB444),Workforce!$A$2:$A$151,0))),IF(INDEX(FTE_Allocation!$J$2:$J$201,$AB444)="",2958101,INDEX(FTE_Allocation!$J$2:$J$201,$AB444))),"")))</f>
        <v/>
      </c>
      <c r="AG444" s="19">
        <f>IF($Z444="C",IF(INDEX(Contracts!$I$2:$I$151,$AB444)="PREPAID",INDEX(Contracts!$M$2:$M$151,$AB444)/IF(INDEX(Contracts!$N$2:$N$151,$AB444)="",12,INDEX(Contracts!$N$2:$N$151,$AB444)),IF(INDEX(Contracts!$I$2:$I$151,$AB444)="MONTHLY",INDEX(Contracts!$M$2:$M$151,$AB444),0))*(1-N(INDEX(Contracts!$O$2:$O$151,$AB444))),IF($Z444="A",INDEX(Fixed_Assets!$H$2:$H$201,$AB444)/INDEX(Fixed_Assets!$J$2:$J$201,$AB444),IF($Z444="F",INDEX(Workforce!$F$2:$F$151,MATCH(INDEX(FTE_Allocation!$A$2:$A$201,$AB444),Workforce!$A$2:$A$151,0))*N(INDEX(FTE_Allocation!$F$2:$H$201,$AB444,$AC444)),"")))</f>
        <v/>
      </c>
    </row>
    <row r="445">
      <c r="A445" s="7">
        <f>IF($Z445="","",$AD445)</f>
        <v/>
      </c>
      <c r="B445" s="7">
        <f>IF($Z445="C",INDEX(Contracts!$D$2:$D$151,$AB445)&amp;"",IF($Z445="A",INDEX(Fixed_Assets!$C$2:$C$201,$AB445)&amp;"",IF($Z445="F",INDEX(Workforce!$B$2:$B$151,MATCH(INDEX(FTE_Allocation!$A$2:$A$201,$AB445),Workforce!$A$2:$A$151,0))&amp;"","")))</f>
        <v/>
      </c>
      <c r="C445" s="7">
        <f>IF($Z445="C",INDEX(Contracts!$E$2:$E$151,$AB445)&amp;"",IF($Z445="A",INDEX(Fixed_Assets!$D$2:$D$201,$AB445)&amp;"",IF($Z445="F",INDEX(FTE_Allocation!$C$2:$C$201,$AB445)&amp;"","")))</f>
        <v/>
      </c>
      <c r="D445" s="7">
        <f>IF($Z445="C",INDEX(Contracts!$B$2:$B$151,$AB445)&amp;"",IF($Z445="A",INDEX(Fixed_Assets!$B$2:$B$201,$AB445)&amp;"",IF($Z445="F",INDEX(FTE_Allocation!$B$2:$B$201,$AB445)&amp;"","")))</f>
        <v/>
      </c>
      <c r="E445" s="7">
        <f>IF($Z445="C",INDEX(Contracts!$P$2:$P$151,$AB445)&amp;"",IF($Z445="A",INDEX(Fixed_Assets!$K$2:$K$201,$AB445)&amp;"",IF($Z445="F",IF(INDEX(FTE_Allocation!$D$2:$D$201,$AB445)="PROJECT",IFERROR(INDEX(Projects!$D:$D,MATCH(INDEX(FTE_Allocation!$E$2:$E$201,$AB445),Projects!$A:$A,0))&amp;"","#PROJECT?"),INDEX(FTE_Allocation!$E$2:$E$201,$AB445)&amp;""),"")))</f>
        <v/>
      </c>
      <c r="F445" s="7">
        <f>IF($Z445="C",INDEX(Contracts!$Q$2:$Q$151,$AB445)&amp;"",IF($Z445="A",INDEX(Fixed_Assets!$L$2:$L$201,$AB445)&amp;"",IF($Z445="F",INDEX(Workforce!$K$2:$K$151,MATCH(INDEX(FTE_Allocation!$A$2:$A$201,$AB445),Workforce!$A$2:$A$151,0))&amp;"","")))</f>
        <v/>
      </c>
      <c r="G445" s="7">
        <f>IF($Z445="C",INDEX(Contracts!$F$2:$F$151,$AB445)&amp;" / "&amp;INDEX(Contracts!$G$2:$G$151,$AB445),IF($Z445="A",INDEX(Fixed_Assets!$E$2:$E$201,$AB445)&amp;"",IF($Z445="F","Personnel "&amp;INDEX(FTE_Allocation!$A$2:$A$201,$AB445)&amp;IF(INDEX(FTE_Allocation!$D$2:$D$201,$AB445)="PROJECT"," ("&amp;INDEX(FTE_Allocation!$E$2:$E$201,$AB445)&amp;")",""),"")))</f>
        <v/>
      </c>
      <c r="H445" s="7">
        <f>IF($Z445="C","CONTRACT",IF($Z445="A","ASSET",IF($Z445="F","WORKFORCE","")))</f>
        <v/>
      </c>
      <c r="I445" s="7">
        <f>IF($Z445="C",INDEX(Contracts!$L$2:$L$151,$AB445)&amp;"",IF($Z445="A",INDEX(Fixed_Assets!$I$2:$I$201,$AB445)&amp;"",IF($Z445="F",INDEX(Workforce!$G$2:$G$151,MATCH(INDEX(FTE_Allocation!$A$2:$A$201,$AB445),Workforce!$A$2:$A$151,0))&amp;"","")))</f>
        <v/>
      </c>
      <c r="J445" s="18">
        <f>IF($Z445="","",IF(AND(DATE($AD445,1,1)&gt;=$AE445,DATE($AD445,1,1)&lt;=$AF445),ROUND($AG445,2),0))</f>
        <v/>
      </c>
      <c r="K445" s="18">
        <f>IF($Z445="","",IF(AND(DATE($AD445,2,1)&gt;=$AE445,DATE($AD445,2,1)&lt;=$AF445),ROUND($AG445,2),0))</f>
        <v/>
      </c>
      <c r="L445" s="18">
        <f>IF($Z445="","",IF(AND(DATE($AD445,3,1)&gt;=$AE445,DATE($AD445,3,1)&lt;=$AF445),ROUND($AG445,2),0))</f>
        <v/>
      </c>
      <c r="M445" s="18">
        <f>IF($Z445="","",IF(AND(DATE($AD445,4,1)&gt;=$AE445,DATE($AD445,4,1)&lt;=$AF445),ROUND($AG445,2),0))</f>
        <v/>
      </c>
      <c r="N445" s="18">
        <f>IF($Z445="","",IF(AND(DATE($AD445,5,1)&gt;=$AE445,DATE($AD445,5,1)&lt;=$AF445),ROUND($AG445,2),0))</f>
        <v/>
      </c>
      <c r="O445" s="18">
        <f>IF($Z445="","",IF(AND(DATE($AD445,6,1)&gt;=$AE445,DATE($AD445,6,1)&lt;=$AF445),ROUND($AG445,2),0))</f>
        <v/>
      </c>
      <c r="P445" s="18">
        <f>IF($Z445="","",IF(AND(DATE($AD445,7,1)&gt;=$AE445,DATE($AD445,7,1)&lt;=$AF445),ROUND($AG445,2),0))</f>
        <v/>
      </c>
      <c r="Q445" s="18">
        <f>IF($Z445="","",IF(AND(DATE($AD445,8,1)&gt;=$AE445,DATE($AD445,8,1)&lt;=$AF445),ROUND($AG445,2),0))</f>
        <v/>
      </c>
      <c r="R445" s="18">
        <f>IF($Z445="","",IF(AND(DATE($AD445,9,1)&gt;=$AE445,DATE($AD445,9,1)&lt;=$AF445),ROUND($AG445,2),0))</f>
        <v/>
      </c>
      <c r="S445" s="18">
        <f>IF($Z445="","",IF(AND(DATE($AD445,10,1)&gt;=$AE445,DATE($AD445,10,1)&lt;=$AF445),ROUND($AG445,2),0))</f>
        <v/>
      </c>
      <c r="T445" s="18">
        <f>IF($Z445="","",IF(AND(DATE($AD445,11,1)&gt;=$AE445,DATE($AD445,11,1)&lt;=$AF445),ROUND($AG445,2),0))</f>
        <v/>
      </c>
      <c r="U445" s="18">
        <f>IF($Z445="","",IF(AND(DATE($AD445,12,1)&gt;=$AE445,DATE($AD445,12,1)&lt;=$AF445),ROUND($AG445,2),0))</f>
        <v/>
      </c>
      <c r="V445" s="7">
        <f>IF($Z445="C","Generated from "&amp;INDEX(Contracts!$A$2:$A$151,$AB445),IF($Z445="A","Generated from "&amp;INDEX(Fixed_Assets!$A$2:$A$201,$AB445),IF($Z445="F","Generated from "&amp;INDEX(FTE_Allocation!$A$2:$A$201,$AB445),"")))</f>
        <v/>
      </c>
      <c r="X445" s="19">
        <f>IF($Z445="","",SUM(J445:U445))</f>
        <v/>
      </c>
      <c r="Y445" s="20">
        <f>ROW()-1</f>
        <v/>
      </c>
      <c r="Z445" s="20">
        <f>IF($Y445&lt;=Settings!$B$4*3,"C",IF($Y445&lt;=(Settings!$B$4+Settings!$B$5)*3,"A",IF($Y445&lt;=(Settings!$B$4+Settings!$B$5+Settings!$B$6)*3,"F","")))</f>
        <v/>
      </c>
      <c r="AA445" s="20">
        <f>IF($Z445="C",$Y445,IF($Z445="A",$Y445-Settings!$B$4*3,IF($Z445="F",$Y445-(Settings!$B$4+Settings!$B$5)*3,"")))</f>
        <v/>
      </c>
      <c r="AB445" s="20">
        <f>IF($Z445="","",INT(($AA445-1)/3)+1)</f>
        <v/>
      </c>
      <c r="AC445" s="20">
        <f>IF($Z445="","",MOD($AA445-1,3)+1)</f>
        <v/>
      </c>
      <c r="AD445" s="20">
        <f>IF($Z445="","",Settings!$B$2+$AC445-1)</f>
        <v/>
      </c>
      <c r="AE445" s="21">
        <f>IF($Z445="C",DATE(YEAR(INDEX(Contracts!$J$2:$J$151,$AB445)),MONTH(INDEX(Contracts!$J$2:$J$151,$AB445)),1),IF($Z445="A",DATE(YEAR(INDEX(Fixed_Assets!$G$2:$G$201,$AB445)),MONTH(INDEX(Fixed_Assets!$G$2:$G$201,$AB445)),1),IF($Z445="F",DATE(YEAR(MAX(N(INDEX(Workforce!$I$2:$I$151,MATCH(INDEX(FTE_Allocation!$A$2:$A$201,$AB445),Workforce!$A$2:$A$151,0))),N(INDEX(FTE_Allocation!$I$2:$I$201,$AB445)))),MONTH(MAX(N(INDEX(Workforce!$I$2:$I$151,MATCH(INDEX(FTE_Allocation!$A$2:$A$201,$AB445),Workforce!$A$2:$A$151,0))),N(INDEX(FTE_Allocation!$I$2:$I$201,$AB445)))),1),"")))</f>
        <v/>
      </c>
      <c r="AF445" s="21">
        <f>IF($Z445="C",IF(INDEX(Contracts!$I$2:$I$151,$AB445)="PREPAID",EDATE(DATE(YEAR(INDEX(Contracts!$J$2:$J$151,$AB445)),MONTH(INDEX(Contracts!$J$2:$J$151,$AB445)),1),IF(INDEX(Contracts!$N$2:$N$151,$AB445)="",12,INDEX(Contracts!$N$2:$N$151,$AB445))-1),IF(INDEX(Contracts!$I$2:$I$151,$AB445)="MONTHLY",IF(INDEX(Contracts!$K$2:$K$151,$AB445)="",2958101,INDEX(Contracts!$K$2:$K$151,$AB445)),0)),IF($Z445="A",EDATE(DATE(YEAR(INDEX(Fixed_Assets!$G$2:$G$201,$AB445)),MONTH(INDEX(Fixed_Assets!$G$2:$G$201,$AB445)),1),INDEX(Fixed_Assets!$J$2:$J$201,$AB445)-1),IF($Z445="F",MIN(IF(INDEX(Workforce!$J$2:$J$151,MATCH(INDEX(FTE_Allocation!$A$2:$A$201,$AB445),Workforce!$A$2:$A$151,0))="",2958101,INDEX(Workforce!$J$2:$J$151,MATCH(INDEX(FTE_Allocation!$A$2:$A$201,$AB445),Workforce!$A$2:$A$151,0))),IF(INDEX(FTE_Allocation!$J$2:$J$201,$AB445)="",2958101,INDEX(FTE_Allocation!$J$2:$J$201,$AB445))),"")))</f>
        <v/>
      </c>
      <c r="AG445" s="19">
        <f>IF($Z445="C",IF(INDEX(Contracts!$I$2:$I$151,$AB445)="PREPAID",INDEX(Contracts!$M$2:$M$151,$AB445)/IF(INDEX(Contracts!$N$2:$N$151,$AB445)="",12,INDEX(Contracts!$N$2:$N$151,$AB445)),IF(INDEX(Contracts!$I$2:$I$151,$AB445)="MONTHLY",INDEX(Contracts!$M$2:$M$151,$AB445),0))*(1-N(INDEX(Contracts!$O$2:$O$151,$AB445))),IF($Z445="A",INDEX(Fixed_Assets!$H$2:$H$201,$AB445)/INDEX(Fixed_Assets!$J$2:$J$201,$AB445),IF($Z445="F",INDEX(Workforce!$F$2:$F$151,MATCH(INDEX(FTE_Allocation!$A$2:$A$201,$AB445),Workforce!$A$2:$A$151,0))*N(INDEX(FTE_Allocation!$F$2:$H$201,$AB445,$AC445)),"")))</f>
        <v/>
      </c>
    </row>
    <row r="446">
      <c r="A446" s="7">
        <f>IF($Z446="","",$AD446)</f>
        <v/>
      </c>
      <c r="B446" s="7">
        <f>IF($Z446="C",INDEX(Contracts!$D$2:$D$151,$AB446)&amp;"",IF($Z446="A",INDEX(Fixed_Assets!$C$2:$C$201,$AB446)&amp;"",IF($Z446="F",INDEX(Workforce!$B$2:$B$151,MATCH(INDEX(FTE_Allocation!$A$2:$A$201,$AB446),Workforce!$A$2:$A$151,0))&amp;"","")))</f>
        <v/>
      </c>
      <c r="C446" s="7">
        <f>IF($Z446="C",INDEX(Contracts!$E$2:$E$151,$AB446)&amp;"",IF($Z446="A",INDEX(Fixed_Assets!$D$2:$D$201,$AB446)&amp;"",IF($Z446="F",INDEX(FTE_Allocation!$C$2:$C$201,$AB446)&amp;"","")))</f>
        <v/>
      </c>
      <c r="D446" s="7">
        <f>IF($Z446="C",INDEX(Contracts!$B$2:$B$151,$AB446)&amp;"",IF($Z446="A",INDEX(Fixed_Assets!$B$2:$B$201,$AB446)&amp;"",IF($Z446="F",INDEX(FTE_Allocation!$B$2:$B$201,$AB446)&amp;"","")))</f>
        <v/>
      </c>
      <c r="E446" s="7">
        <f>IF($Z446="C",INDEX(Contracts!$P$2:$P$151,$AB446)&amp;"",IF($Z446="A",INDEX(Fixed_Assets!$K$2:$K$201,$AB446)&amp;"",IF($Z446="F",IF(INDEX(FTE_Allocation!$D$2:$D$201,$AB446)="PROJECT",IFERROR(INDEX(Projects!$D:$D,MATCH(INDEX(FTE_Allocation!$E$2:$E$201,$AB446),Projects!$A:$A,0))&amp;"","#PROJECT?"),INDEX(FTE_Allocation!$E$2:$E$201,$AB446)&amp;""),"")))</f>
        <v/>
      </c>
      <c r="F446" s="7">
        <f>IF($Z446="C",INDEX(Contracts!$Q$2:$Q$151,$AB446)&amp;"",IF($Z446="A",INDEX(Fixed_Assets!$L$2:$L$201,$AB446)&amp;"",IF($Z446="F",INDEX(Workforce!$K$2:$K$151,MATCH(INDEX(FTE_Allocation!$A$2:$A$201,$AB446),Workforce!$A$2:$A$151,0))&amp;"","")))</f>
        <v/>
      </c>
      <c r="G446" s="7">
        <f>IF($Z446="C",INDEX(Contracts!$F$2:$F$151,$AB446)&amp;" / "&amp;INDEX(Contracts!$G$2:$G$151,$AB446),IF($Z446="A",INDEX(Fixed_Assets!$E$2:$E$201,$AB446)&amp;"",IF($Z446="F","Personnel "&amp;INDEX(FTE_Allocation!$A$2:$A$201,$AB446)&amp;IF(INDEX(FTE_Allocation!$D$2:$D$201,$AB446)="PROJECT"," ("&amp;INDEX(FTE_Allocation!$E$2:$E$201,$AB446)&amp;")",""),"")))</f>
        <v/>
      </c>
      <c r="H446" s="7">
        <f>IF($Z446="C","CONTRACT",IF($Z446="A","ASSET",IF($Z446="F","WORKFORCE","")))</f>
        <v/>
      </c>
      <c r="I446" s="7">
        <f>IF($Z446="C",INDEX(Contracts!$L$2:$L$151,$AB446)&amp;"",IF($Z446="A",INDEX(Fixed_Assets!$I$2:$I$201,$AB446)&amp;"",IF($Z446="F",INDEX(Workforce!$G$2:$G$151,MATCH(INDEX(FTE_Allocation!$A$2:$A$201,$AB446),Workforce!$A$2:$A$151,0))&amp;"","")))</f>
        <v/>
      </c>
      <c r="J446" s="18">
        <f>IF($Z446="","",IF(AND(DATE($AD446,1,1)&gt;=$AE446,DATE($AD446,1,1)&lt;=$AF446),ROUND($AG446,2),0))</f>
        <v/>
      </c>
      <c r="K446" s="18">
        <f>IF($Z446="","",IF(AND(DATE($AD446,2,1)&gt;=$AE446,DATE($AD446,2,1)&lt;=$AF446),ROUND($AG446,2),0))</f>
        <v/>
      </c>
      <c r="L446" s="18">
        <f>IF($Z446="","",IF(AND(DATE($AD446,3,1)&gt;=$AE446,DATE($AD446,3,1)&lt;=$AF446),ROUND($AG446,2),0))</f>
        <v/>
      </c>
      <c r="M446" s="18">
        <f>IF($Z446="","",IF(AND(DATE($AD446,4,1)&gt;=$AE446,DATE($AD446,4,1)&lt;=$AF446),ROUND($AG446,2),0))</f>
        <v/>
      </c>
      <c r="N446" s="18">
        <f>IF($Z446="","",IF(AND(DATE($AD446,5,1)&gt;=$AE446,DATE($AD446,5,1)&lt;=$AF446),ROUND($AG446,2),0))</f>
        <v/>
      </c>
      <c r="O446" s="18">
        <f>IF($Z446="","",IF(AND(DATE($AD446,6,1)&gt;=$AE446,DATE($AD446,6,1)&lt;=$AF446),ROUND($AG446,2),0))</f>
        <v/>
      </c>
      <c r="P446" s="18">
        <f>IF($Z446="","",IF(AND(DATE($AD446,7,1)&gt;=$AE446,DATE($AD446,7,1)&lt;=$AF446),ROUND($AG446,2),0))</f>
        <v/>
      </c>
      <c r="Q446" s="18">
        <f>IF($Z446="","",IF(AND(DATE($AD446,8,1)&gt;=$AE446,DATE($AD446,8,1)&lt;=$AF446),ROUND($AG446,2),0))</f>
        <v/>
      </c>
      <c r="R446" s="18">
        <f>IF($Z446="","",IF(AND(DATE($AD446,9,1)&gt;=$AE446,DATE($AD446,9,1)&lt;=$AF446),ROUND($AG446,2),0))</f>
        <v/>
      </c>
      <c r="S446" s="18">
        <f>IF($Z446="","",IF(AND(DATE($AD446,10,1)&gt;=$AE446,DATE($AD446,10,1)&lt;=$AF446),ROUND($AG446,2),0))</f>
        <v/>
      </c>
      <c r="T446" s="18">
        <f>IF($Z446="","",IF(AND(DATE($AD446,11,1)&gt;=$AE446,DATE($AD446,11,1)&lt;=$AF446),ROUND($AG446,2),0))</f>
        <v/>
      </c>
      <c r="U446" s="18">
        <f>IF($Z446="","",IF(AND(DATE($AD446,12,1)&gt;=$AE446,DATE($AD446,12,1)&lt;=$AF446),ROUND($AG446,2),0))</f>
        <v/>
      </c>
      <c r="V446" s="7">
        <f>IF($Z446="C","Generated from "&amp;INDEX(Contracts!$A$2:$A$151,$AB446),IF($Z446="A","Generated from "&amp;INDEX(Fixed_Assets!$A$2:$A$201,$AB446),IF($Z446="F","Generated from "&amp;INDEX(FTE_Allocation!$A$2:$A$201,$AB446),"")))</f>
        <v/>
      </c>
      <c r="X446" s="19">
        <f>IF($Z446="","",SUM(J446:U446))</f>
        <v/>
      </c>
      <c r="Y446" s="20">
        <f>ROW()-1</f>
        <v/>
      </c>
      <c r="Z446" s="20">
        <f>IF($Y446&lt;=Settings!$B$4*3,"C",IF($Y446&lt;=(Settings!$B$4+Settings!$B$5)*3,"A",IF($Y446&lt;=(Settings!$B$4+Settings!$B$5+Settings!$B$6)*3,"F","")))</f>
        <v/>
      </c>
      <c r="AA446" s="20">
        <f>IF($Z446="C",$Y446,IF($Z446="A",$Y446-Settings!$B$4*3,IF($Z446="F",$Y446-(Settings!$B$4+Settings!$B$5)*3,"")))</f>
        <v/>
      </c>
      <c r="AB446" s="20">
        <f>IF($Z446="","",INT(($AA446-1)/3)+1)</f>
        <v/>
      </c>
      <c r="AC446" s="20">
        <f>IF($Z446="","",MOD($AA446-1,3)+1)</f>
        <v/>
      </c>
      <c r="AD446" s="20">
        <f>IF($Z446="","",Settings!$B$2+$AC446-1)</f>
        <v/>
      </c>
      <c r="AE446" s="21">
        <f>IF($Z446="C",DATE(YEAR(INDEX(Contracts!$J$2:$J$151,$AB446)),MONTH(INDEX(Contracts!$J$2:$J$151,$AB446)),1),IF($Z446="A",DATE(YEAR(INDEX(Fixed_Assets!$G$2:$G$201,$AB446)),MONTH(INDEX(Fixed_Assets!$G$2:$G$201,$AB446)),1),IF($Z446="F",DATE(YEAR(MAX(N(INDEX(Workforce!$I$2:$I$151,MATCH(INDEX(FTE_Allocation!$A$2:$A$201,$AB446),Workforce!$A$2:$A$151,0))),N(INDEX(FTE_Allocation!$I$2:$I$201,$AB446)))),MONTH(MAX(N(INDEX(Workforce!$I$2:$I$151,MATCH(INDEX(FTE_Allocation!$A$2:$A$201,$AB446),Workforce!$A$2:$A$151,0))),N(INDEX(FTE_Allocation!$I$2:$I$201,$AB446)))),1),"")))</f>
        <v/>
      </c>
      <c r="AF446" s="21">
        <f>IF($Z446="C",IF(INDEX(Contracts!$I$2:$I$151,$AB446)="PREPAID",EDATE(DATE(YEAR(INDEX(Contracts!$J$2:$J$151,$AB446)),MONTH(INDEX(Contracts!$J$2:$J$151,$AB446)),1),IF(INDEX(Contracts!$N$2:$N$151,$AB446)="",12,INDEX(Contracts!$N$2:$N$151,$AB446))-1),IF(INDEX(Contracts!$I$2:$I$151,$AB446)="MONTHLY",IF(INDEX(Contracts!$K$2:$K$151,$AB446)="",2958101,INDEX(Contracts!$K$2:$K$151,$AB446)),0)),IF($Z446="A",EDATE(DATE(YEAR(INDEX(Fixed_Assets!$G$2:$G$201,$AB446)),MONTH(INDEX(Fixed_Assets!$G$2:$G$201,$AB446)),1),INDEX(Fixed_Assets!$J$2:$J$201,$AB446)-1),IF($Z446="F",MIN(IF(INDEX(Workforce!$J$2:$J$151,MATCH(INDEX(FTE_Allocation!$A$2:$A$201,$AB446),Workforce!$A$2:$A$151,0))="",2958101,INDEX(Workforce!$J$2:$J$151,MATCH(INDEX(FTE_Allocation!$A$2:$A$201,$AB446),Workforce!$A$2:$A$151,0))),IF(INDEX(FTE_Allocation!$J$2:$J$201,$AB446)="",2958101,INDEX(FTE_Allocation!$J$2:$J$201,$AB446))),"")))</f>
        <v/>
      </c>
      <c r="AG446" s="19">
        <f>IF($Z446="C",IF(INDEX(Contracts!$I$2:$I$151,$AB446)="PREPAID",INDEX(Contracts!$M$2:$M$151,$AB446)/IF(INDEX(Contracts!$N$2:$N$151,$AB446)="",12,INDEX(Contracts!$N$2:$N$151,$AB446)),IF(INDEX(Contracts!$I$2:$I$151,$AB446)="MONTHLY",INDEX(Contracts!$M$2:$M$151,$AB446),0))*(1-N(INDEX(Contracts!$O$2:$O$151,$AB446))),IF($Z446="A",INDEX(Fixed_Assets!$H$2:$H$201,$AB446)/INDEX(Fixed_Assets!$J$2:$J$201,$AB446),IF($Z446="F",INDEX(Workforce!$F$2:$F$151,MATCH(INDEX(FTE_Allocation!$A$2:$A$201,$AB446),Workforce!$A$2:$A$151,0))*N(INDEX(FTE_Allocation!$F$2:$H$201,$AB446,$AC446)),"")))</f>
        <v/>
      </c>
    </row>
    <row r="447">
      <c r="A447" s="7">
        <f>IF($Z447="","",$AD447)</f>
        <v/>
      </c>
      <c r="B447" s="7">
        <f>IF($Z447="C",INDEX(Contracts!$D$2:$D$151,$AB447)&amp;"",IF($Z447="A",INDEX(Fixed_Assets!$C$2:$C$201,$AB447)&amp;"",IF($Z447="F",INDEX(Workforce!$B$2:$B$151,MATCH(INDEX(FTE_Allocation!$A$2:$A$201,$AB447),Workforce!$A$2:$A$151,0))&amp;"","")))</f>
        <v/>
      </c>
      <c r="C447" s="7">
        <f>IF($Z447="C",INDEX(Contracts!$E$2:$E$151,$AB447)&amp;"",IF($Z447="A",INDEX(Fixed_Assets!$D$2:$D$201,$AB447)&amp;"",IF($Z447="F",INDEX(FTE_Allocation!$C$2:$C$201,$AB447)&amp;"","")))</f>
        <v/>
      </c>
      <c r="D447" s="7">
        <f>IF($Z447="C",INDEX(Contracts!$B$2:$B$151,$AB447)&amp;"",IF($Z447="A",INDEX(Fixed_Assets!$B$2:$B$201,$AB447)&amp;"",IF($Z447="F",INDEX(FTE_Allocation!$B$2:$B$201,$AB447)&amp;"","")))</f>
        <v/>
      </c>
      <c r="E447" s="7">
        <f>IF($Z447="C",INDEX(Contracts!$P$2:$P$151,$AB447)&amp;"",IF($Z447="A",INDEX(Fixed_Assets!$K$2:$K$201,$AB447)&amp;"",IF($Z447="F",IF(INDEX(FTE_Allocation!$D$2:$D$201,$AB447)="PROJECT",IFERROR(INDEX(Projects!$D:$D,MATCH(INDEX(FTE_Allocation!$E$2:$E$201,$AB447),Projects!$A:$A,0))&amp;"","#PROJECT?"),INDEX(FTE_Allocation!$E$2:$E$201,$AB447)&amp;""),"")))</f>
        <v/>
      </c>
      <c r="F447" s="7">
        <f>IF($Z447="C",INDEX(Contracts!$Q$2:$Q$151,$AB447)&amp;"",IF($Z447="A",INDEX(Fixed_Assets!$L$2:$L$201,$AB447)&amp;"",IF($Z447="F",INDEX(Workforce!$K$2:$K$151,MATCH(INDEX(FTE_Allocation!$A$2:$A$201,$AB447),Workforce!$A$2:$A$151,0))&amp;"","")))</f>
        <v/>
      </c>
      <c r="G447" s="7">
        <f>IF($Z447="C",INDEX(Contracts!$F$2:$F$151,$AB447)&amp;" / "&amp;INDEX(Contracts!$G$2:$G$151,$AB447),IF($Z447="A",INDEX(Fixed_Assets!$E$2:$E$201,$AB447)&amp;"",IF($Z447="F","Personnel "&amp;INDEX(FTE_Allocation!$A$2:$A$201,$AB447)&amp;IF(INDEX(FTE_Allocation!$D$2:$D$201,$AB447)="PROJECT"," ("&amp;INDEX(FTE_Allocation!$E$2:$E$201,$AB447)&amp;")",""),"")))</f>
        <v/>
      </c>
      <c r="H447" s="7">
        <f>IF($Z447="C","CONTRACT",IF($Z447="A","ASSET",IF($Z447="F","WORKFORCE","")))</f>
        <v/>
      </c>
      <c r="I447" s="7">
        <f>IF($Z447="C",INDEX(Contracts!$L$2:$L$151,$AB447)&amp;"",IF($Z447="A",INDEX(Fixed_Assets!$I$2:$I$201,$AB447)&amp;"",IF($Z447="F",INDEX(Workforce!$G$2:$G$151,MATCH(INDEX(FTE_Allocation!$A$2:$A$201,$AB447),Workforce!$A$2:$A$151,0))&amp;"","")))</f>
        <v/>
      </c>
      <c r="J447" s="18">
        <f>IF($Z447="","",IF(AND(DATE($AD447,1,1)&gt;=$AE447,DATE($AD447,1,1)&lt;=$AF447),ROUND($AG447,2),0))</f>
        <v/>
      </c>
      <c r="K447" s="18">
        <f>IF($Z447="","",IF(AND(DATE($AD447,2,1)&gt;=$AE447,DATE($AD447,2,1)&lt;=$AF447),ROUND($AG447,2),0))</f>
        <v/>
      </c>
      <c r="L447" s="18">
        <f>IF($Z447="","",IF(AND(DATE($AD447,3,1)&gt;=$AE447,DATE($AD447,3,1)&lt;=$AF447),ROUND($AG447,2),0))</f>
        <v/>
      </c>
      <c r="M447" s="18">
        <f>IF($Z447="","",IF(AND(DATE($AD447,4,1)&gt;=$AE447,DATE($AD447,4,1)&lt;=$AF447),ROUND($AG447,2),0))</f>
        <v/>
      </c>
      <c r="N447" s="18">
        <f>IF($Z447="","",IF(AND(DATE($AD447,5,1)&gt;=$AE447,DATE($AD447,5,1)&lt;=$AF447),ROUND($AG447,2),0))</f>
        <v/>
      </c>
      <c r="O447" s="18">
        <f>IF($Z447="","",IF(AND(DATE($AD447,6,1)&gt;=$AE447,DATE($AD447,6,1)&lt;=$AF447),ROUND($AG447,2),0))</f>
        <v/>
      </c>
      <c r="P447" s="18">
        <f>IF($Z447="","",IF(AND(DATE($AD447,7,1)&gt;=$AE447,DATE($AD447,7,1)&lt;=$AF447),ROUND($AG447,2),0))</f>
        <v/>
      </c>
      <c r="Q447" s="18">
        <f>IF($Z447="","",IF(AND(DATE($AD447,8,1)&gt;=$AE447,DATE($AD447,8,1)&lt;=$AF447),ROUND($AG447,2),0))</f>
        <v/>
      </c>
      <c r="R447" s="18">
        <f>IF($Z447="","",IF(AND(DATE($AD447,9,1)&gt;=$AE447,DATE($AD447,9,1)&lt;=$AF447),ROUND($AG447,2),0))</f>
        <v/>
      </c>
      <c r="S447" s="18">
        <f>IF($Z447="","",IF(AND(DATE($AD447,10,1)&gt;=$AE447,DATE($AD447,10,1)&lt;=$AF447),ROUND($AG447,2),0))</f>
        <v/>
      </c>
      <c r="T447" s="18">
        <f>IF($Z447="","",IF(AND(DATE($AD447,11,1)&gt;=$AE447,DATE($AD447,11,1)&lt;=$AF447),ROUND($AG447,2),0))</f>
        <v/>
      </c>
      <c r="U447" s="18">
        <f>IF($Z447="","",IF(AND(DATE($AD447,12,1)&gt;=$AE447,DATE($AD447,12,1)&lt;=$AF447),ROUND($AG447,2),0))</f>
        <v/>
      </c>
      <c r="V447" s="7">
        <f>IF($Z447="C","Generated from "&amp;INDEX(Contracts!$A$2:$A$151,$AB447),IF($Z447="A","Generated from "&amp;INDEX(Fixed_Assets!$A$2:$A$201,$AB447),IF($Z447="F","Generated from "&amp;INDEX(FTE_Allocation!$A$2:$A$201,$AB447),"")))</f>
        <v/>
      </c>
      <c r="X447" s="19">
        <f>IF($Z447="","",SUM(J447:U447))</f>
        <v/>
      </c>
      <c r="Y447" s="20">
        <f>ROW()-1</f>
        <v/>
      </c>
      <c r="Z447" s="20">
        <f>IF($Y447&lt;=Settings!$B$4*3,"C",IF($Y447&lt;=(Settings!$B$4+Settings!$B$5)*3,"A",IF($Y447&lt;=(Settings!$B$4+Settings!$B$5+Settings!$B$6)*3,"F","")))</f>
        <v/>
      </c>
      <c r="AA447" s="20">
        <f>IF($Z447="C",$Y447,IF($Z447="A",$Y447-Settings!$B$4*3,IF($Z447="F",$Y447-(Settings!$B$4+Settings!$B$5)*3,"")))</f>
        <v/>
      </c>
      <c r="AB447" s="20">
        <f>IF($Z447="","",INT(($AA447-1)/3)+1)</f>
        <v/>
      </c>
      <c r="AC447" s="20">
        <f>IF($Z447="","",MOD($AA447-1,3)+1)</f>
        <v/>
      </c>
      <c r="AD447" s="20">
        <f>IF($Z447="","",Settings!$B$2+$AC447-1)</f>
        <v/>
      </c>
      <c r="AE447" s="21">
        <f>IF($Z447="C",DATE(YEAR(INDEX(Contracts!$J$2:$J$151,$AB447)),MONTH(INDEX(Contracts!$J$2:$J$151,$AB447)),1),IF($Z447="A",DATE(YEAR(INDEX(Fixed_Assets!$G$2:$G$201,$AB447)),MONTH(INDEX(Fixed_Assets!$G$2:$G$201,$AB447)),1),IF($Z447="F",DATE(YEAR(MAX(N(INDEX(Workforce!$I$2:$I$151,MATCH(INDEX(FTE_Allocation!$A$2:$A$201,$AB447),Workforce!$A$2:$A$151,0))),N(INDEX(FTE_Allocation!$I$2:$I$201,$AB447)))),MONTH(MAX(N(INDEX(Workforce!$I$2:$I$151,MATCH(INDEX(FTE_Allocation!$A$2:$A$201,$AB447),Workforce!$A$2:$A$151,0))),N(INDEX(FTE_Allocation!$I$2:$I$201,$AB447)))),1),"")))</f>
        <v/>
      </c>
      <c r="AF447" s="21">
        <f>IF($Z447="C",IF(INDEX(Contracts!$I$2:$I$151,$AB447)="PREPAID",EDATE(DATE(YEAR(INDEX(Contracts!$J$2:$J$151,$AB447)),MONTH(INDEX(Contracts!$J$2:$J$151,$AB447)),1),IF(INDEX(Contracts!$N$2:$N$151,$AB447)="",12,INDEX(Contracts!$N$2:$N$151,$AB447))-1),IF(INDEX(Contracts!$I$2:$I$151,$AB447)="MONTHLY",IF(INDEX(Contracts!$K$2:$K$151,$AB447)="",2958101,INDEX(Contracts!$K$2:$K$151,$AB447)),0)),IF($Z447="A",EDATE(DATE(YEAR(INDEX(Fixed_Assets!$G$2:$G$201,$AB447)),MONTH(INDEX(Fixed_Assets!$G$2:$G$201,$AB447)),1),INDEX(Fixed_Assets!$J$2:$J$201,$AB447)-1),IF($Z447="F",MIN(IF(INDEX(Workforce!$J$2:$J$151,MATCH(INDEX(FTE_Allocation!$A$2:$A$201,$AB447),Workforce!$A$2:$A$151,0))="",2958101,INDEX(Workforce!$J$2:$J$151,MATCH(INDEX(FTE_Allocation!$A$2:$A$201,$AB447),Workforce!$A$2:$A$151,0))),IF(INDEX(FTE_Allocation!$J$2:$J$201,$AB447)="",2958101,INDEX(FTE_Allocation!$J$2:$J$201,$AB447))),"")))</f>
        <v/>
      </c>
      <c r="AG447" s="19">
        <f>IF($Z447="C",IF(INDEX(Contracts!$I$2:$I$151,$AB447)="PREPAID",INDEX(Contracts!$M$2:$M$151,$AB447)/IF(INDEX(Contracts!$N$2:$N$151,$AB447)="",12,INDEX(Contracts!$N$2:$N$151,$AB447)),IF(INDEX(Contracts!$I$2:$I$151,$AB447)="MONTHLY",INDEX(Contracts!$M$2:$M$151,$AB447),0))*(1-N(INDEX(Contracts!$O$2:$O$151,$AB447))),IF($Z447="A",INDEX(Fixed_Assets!$H$2:$H$201,$AB447)/INDEX(Fixed_Assets!$J$2:$J$201,$AB447),IF($Z447="F",INDEX(Workforce!$F$2:$F$151,MATCH(INDEX(FTE_Allocation!$A$2:$A$201,$AB447),Workforce!$A$2:$A$151,0))*N(INDEX(FTE_Allocation!$F$2:$H$201,$AB447,$AC447)),"")))</f>
        <v/>
      </c>
    </row>
    <row r="448">
      <c r="A448" s="7">
        <f>IF($Z448="","",$AD448)</f>
        <v/>
      </c>
      <c r="B448" s="7">
        <f>IF($Z448="C",INDEX(Contracts!$D$2:$D$151,$AB448)&amp;"",IF($Z448="A",INDEX(Fixed_Assets!$C$2:$C$201,$AB448)&amp;"",IF($Z448="F",INDEX(Workforce!$B$2:$B$151,MATCH(INDEX(FTE_Allocation!$A$2:$A$201,$AB448),Workforce!$A$2:$A$151,0))&amp;"","")))</f>
        <v/>
      </c>
      <c r="C448" s="7">
        <f>IF($Z448="C",INDEX(Contracts!$E$2:$E$151,$AB448)&amp;"",IF($Z448="A",INDEX(Fixed_Assets!$D$2:$D$201,$AB448)&amp;"",IF($Z448="F",INDEX(FTE_Allocation!$C$2:$C$201,$AB448)&amp;"","")))</f>
        <v/>
      </c>
      <c r="D448" s="7">
        <f>IF($Z448="C",INDEX(Contracts!$B$2:$B$151,$AB448)&amp;"",IF($Z448="A",INDEX(Fixed_Assets!$B$2:$B$201,$AB448)&amp;"",IF($Z448="F",INDEX(FTE_Allocation!$B$2:$B$201,$AB448)&amp;"","")))</f>
        <v/>
      </c>
      <c r="E448" s="7">
        <f>IF($Z448="C",INDEX(Contracts!$P$2:$P$151,$AB448)&amp;"",IF($Z448="A",INDEX(Fixed_Assets!$K$2:$K$201,$AB448)&amp;"",IF($Z448="F",IF(INDEX(FTE_Allocation!$D$2:$D$201,$AB448)="PROJECT",IFERROR(INDEX(Projects!$D:$D,MATCH(INDEX(FTE_Allocation!$E$2:$E$201,$AB448),Projects!$A:$A,0))&amp;"","#PROJECT?"),INDEX(FTE_Allocation!$E$2:$E$201,$AB448)&amp;""),"")))</f>
        <v/>
      </c>
      <c r="F448" s="7">
        <f>IF($Z448="C",INDEX(Contracts!$Q$2:$Q$151,$AB448)&amp;"",IF($Z448="A",INDEX(Fixed_Assets!$L$2:$L$201,$AB448)&amp;"",IF($Z448="F",INDEX(Workforce!$K$2:$K$151,MATCH(INDEX(FTE_Allocation!$A$2:$A$201,$AB448),Workforce!$A$2:$A$151,0))&amp;"","")))</f>
        <v/>
      </c>
      <c r="G448" s="7">
        <f>IF($Z448="C",INDEX(Contracts!$F$2:$F$151,$AB448)&amp;" / "&amp;INDEX(Contracts!$G$2:$G$151,$AB448),IF($Z448="A",INDEX(Fixed_Assets!$E$2:$E$201,$AB448)&amp;"",IF($Z448="F","Personnel "&amp;INDEX(FTE_Allocation!$A$2:$A$201,$AB448)&amp;IF(INDEX(FTE_Allocation!$D$2:$D$201,$AB448)="PROJECT"," ("&amp;INDEX(FTE_Allocation!$E$2:$E$201,$AB448)&amp;")",""),"")))</f>
        <v/>
      </c>
      <c r="H448" s="7">
        <f>IF($Z448="C","CONTRACT",IF($Z448="A","ASSET",IF($Z448="F","WORKFORCE","")))</f>
        <v/>
      </c>
      <c r="I448" s="7">
        <f>IF($Z448="C",INDEX(Contracts!$L$2:$L$151,$AB448)&amp;"",IF($Z448="A",INDEX(Fixed_Assets!$I$2:$I$201,$AB448)&amp;"",IF($Z448="F",INDEX(Workforce!$G$2:$G$151,MATCH(INDEX(FTE_Allocation!$A$2:$A$201,$AB448),Workforce!$A$2:$A$151,0))&amp;"","")))</f>
        <v/>
      </c>
      <c r="J448" s="18">
        <f>IF($Z448="","",IF(AND(DATE($AD448,1,1)&gt;=$AE448,DATE($AD448,1,1)&lt;=$AF448),ROUND($AG448,2),0))</f>
        <v/>
      </c>
      <c r="K448" s="18">
        <f>IF($Z448="","",IF(AND(DATE($AD448,2,1)&gt;=$AE448,DATE($AD448,2,1)&lt;=$AF448),ROUND($AG448,2),0))</f>
        <v/>
      </c>
      <c r="L448" s="18">
        <f>IF($Z448="","",IF(AND(DATE($AD448,3,1)&gt;=$AE448,DATE($AD448,3,1)&lt;=$AF448),ROUND($AG448,2),0))</f>
        <v/>
      </c>
      <c r="M448" s="18">
        <f>IF($Z448="","",IF(AND(DATE($AD448,4,1)&gt;=$AE448,DATE($AD448,4,1)&lt;=$AF448),ROUND($AG448,2),0))</f>
        <v/>
      </c>
      <c r="N448" s="18">
        <f>IF($Z448="","",IF(AND(DATE($AD448,5,1)&gt;=$AE448,DATE($AD448,5,1)&lt;=$AF448),ROUND($AG448,2),0))</f>
        <v/>
      </c>
      <c r="O448" s="18">
        <f>IF($Z448="","",IF(AND(DATE($AD448,6,1)&gt;=$AE448,DATE($AD448,6,1)&lt;=$AF448),ROUND($AG448,2),0))</f>
        <v/>
      </c>
      <c r="P448" s="18">
        <f>IF($Z448="","",IF(AND(DATE($AD448,7,1)&gt;=$AE448,DATE($AD448,7,1)&lt;=$AF448),ROUND($AG448,2),0))</f>
        <v/>
      </c>
      <c r="Q448" s="18">
        <f>IF($Z448="","",IF(AND(DATE($AD448,8,1)&gt;=$AE448,DATE($AD448,8,1)&lt;=$AF448),ROUND($AG448,2),0))</f>
        <v/>
      </c>
      <c r="R448" s="18">
        <f>IF($Z448="","",IF(AND(DATE($AD448,9,1)&gt;=$AE448,DATE($AD448,9,1)&lt;=$AF448),ROUND($AG448,2),0))</f>
        <v/>
      </c>
      <c r="S448" s="18">
        <f>IF($Z448="","",IF(AND(DATE($AD448,10,1)&gt;=$AE448,DATE($AD448,10,1)&lt;=$AF448),ROUND($AG448,2),0))</f>
        <v/>
      </c>
      <c r="T448" s="18">
        <f>IF($Z448="","",IF(AND(DATE($AD448,11,1)&gt;=$AE448,DATE($AD448,11,1)&lt;=$AF448),ROUND($AG448,2),0))</f>
        <v/>
      </c>
      <c r="U448" s="18">
        <f>IF($Z448="","",IF(AND(DATE($AD448,12,1)&gt;=$AE448,DATE($AD448,12,1)&lt;=$AF448),ROUND($AG448,2),0))</f>
        <v/>
      </c>
      <c r="V448" s="7">
        <f>IF($Z448="C","Generated from "&amp;INDEX(Contracts!$A$2:$A$151,$AB448),IF($Z448="A","Generated from "&amp;INDEX(Fixed_Assets!$A$2:$A$201,$AB448),IF($Z448="F","Generated from "&amp;INDEX(FTE_Allocation!$A$2:$A$201,$AB448),"")))</f>
        <v/>
      </c>
      <c r="X448" s="19">
        <f>IF($Z448="","",SUM(J448:U448))</f>
        <v/>
      </c>
      <c r="Y448" s="20">
        <f>ROW()-1</f>
        <v/>
      </c>
      <c r="Z448" s="20">
        <f>IF($Y448&lt;=Settings!$B$4*3,"C",IF($Y448&lt;=(Settings!$B$4+Settings!$B$5)*3,"A",IF($Y448&lt;=(Settings!$B$4+Settings!$B$5+Settings!$B$6)*3,"F","")))</f>
        <v/>
      </c>
      <c r="AA448" s="20">
        <f>IF($Z448="C",$Y448,IF($Z448="A",$Y448-Settings!$B$4*3,IF($Z448="F",$Y448-(Settings!$B$4+Settings!$B$5)*3,"")))</f>
        <v/>
      </c>
      <c r="AB448" s="20">
        <f>IF($Z448="","",INT(($AA448-1)/3)+1)</f>
        <v/>
      </c>
      <c r="AC448" s="20">
        <f>IF($Z448="","",MOD($AA448-1,3)+1)</f>
        <v/>
      </c>
      <c r="AD448" s="20">
        <f>IF($Z448="","",Settings!$B$2+$AC448-1)</f>
        <v/>
      </c>
      <c r="AE448" s="21">
        <f>IF($Z448="C",DATE(YEAR(INDEX(Contracts!$J$2:$J$151,$AB448)),MONTH(INDEX(Contracts!$J$2:$J$151,$AB448)),1),IF($Z448="A",DATE(YEAR(INDEX(Fixed_Assets!$G$2:$G$201,$AB448)),MONTH(INDEX(Fixed_Assets!$G$2:$G$201,$AB448)),1),IF($Z448="F",DATE(YEAR(MAX(N(INDEX(Workforce!$I$2:$I$151,MATCH(INDEX(FTE_Allocation!$A$2:$A$201,$AB448),Workforce!$A$2:$A$151,0))),N(INDEX(FTE_Allocation!$I$2:$I$201,$AB448)))),MONTH(MAX(N(INDEX(Workforce!$I$2:$I$151,MATCH(INDEX(FTE_Allocation!$A$2:$A$201,$AB448),Workforce!$A$2:$A$151,0))),N(INDEX(FTE_Allocation!$I$2:$I$201,$AB448)))),1),"")))</f>
        <v/>
      </c>
      <c r="AF448" s="21">
        <f>IF($Z448="C",IF(INDEX(Contracts!$I$2:$I$151,$AB448)="PREPAID",EDATE(DATE(YEAR(INDEX(Contracts!$J$2:$J$151,$AB448)),MONTH(INDEX(Contracts!$J$2:$J$151,$AB448)),1),IF(INDEX(Contracts!$N$2:$N$151,$AB448)="",12,INDEX(Contracts!$N$2:$N$151,$AB448))-1),IF(INDEX(Contracts!$I$2:$I$151,$AB448)="MONTHLY",IF(INDEX(Contracts!$K$2:$K$151,$AB448)="",2958101,INDEX(Contracts!$K$2:$K$151,$AB448)),0)),IF($Z448="A",EDATE(DATE(YEAR(INDEX(Fixed_Assets!$G$2:$G$201,$AB448)),MONTH(INDEX(Fixed_Assets!$G$2:$G$201,$AB448)),1),INDEX(Fixed_Assets!$J$2:$J$201,$AB448)-1),IF($Z448="F",MIN(IF(INDEX(Workforce!$J$2:$J$151,MATCH(INDEX(FTE_Allocation!$A$2:$A$201,$AB448),Workforce!$A$2:$A$151,0))="",2958101,INDEX(Workforce!$J$2:$J$151,MATCH(INDEX(FTE_Allocation!$A$2:$A$201,$AB448),Workforce!$A$2:$A$151,0))),IF(INDEX(FTE_Allocation!$J$2:$J$201,$AB448)="",2958101,INDEX(FTE_Allocation!$J$2:$J$201,$AB448))),"")))</f>
        <v/>
      </c>
      <c r="AG448" s="19">
        <f>IF($Z448="C",IF(INDEX(Contracts!$I$2:$I$151,$AB448)="PREPAID",INDEX(Contracts!$M$2:$M$151,$AB448)/IF(INDEX(Contracts!$N$2:$N$151,$AB448)="",12,INDEX(Contracts!$N$2:$N$151,$AB448)),IF(INDEX(Contracts!$I$2:$I$151,$AB448)="MONTHLY",INDEX(Contracts!$M$2:$M$151,$AB448),0))*(1-N(INDEX(Contracts!$O$2:$O$151,$AB448))),IF($Z448="A",INDEX(Fixed_Assets!$H$2:$H$201,$AB448)/INDEX(Fixed_Assets!$J$2:$J$201,$AB448),IF($Z448="F",INDEX(Workforce!$F$2:$F$151,MATCH(INDEX(FTE_Allocation!$A$2:$A$201,$AB448),Workforce!$A$2:$A$151,0))*N(INDEX(FTE_Allocation!$F$2:$H$201,$AB448,$AC448)),"")))</f>
        <v/>
      </c>
    </row>
    <row r="449">
      <c r="A449" s="7">
        <f>IF($Z449="","",$AD449)</f>
        <v/>
      </c>
      <c r="B449" s="7">
        <f>IF($Z449="C",INDEX(Contracts!$D$2:$D$151,$AB449)&amp;"",IF($Z449="A",INDEX(Fixed_Assets!$C$2:$C$201,$AB449)&amp;"",IF($Z449="F",INDEX(Workforce!$B$2:$B$151,MATCH(INDEX(FTE_Allocation!$A$2:$A$201,$AB449),Workforce!$A$2:$A$151,0))&amp;"","")))</f>
        <v/>
      </c>
      <c r="C449" s="7">
        <f>IF($Z449="C",INDEX(Contracts!$E$2:$E$151,$AB449)&amp;"",IF($Z449="A",INDEX(Fixed_Assets!$D$2:$D$201,$AB449)&amp;"",IF($Z449="F",INDEX(FTE_Allocation!$C$2:$C$201,$AB449)&amp;"","")))</f>
        <v/>
      </c>
      <c r="D449" s="7">
        <f>IF($Z449="C",INDEX(Contracts!$B$2:$B$151,$AB449)&amp;"",IF($Z449="A",INDEX(Fixed_Assets!$B$2:$B$201,$AB449)&amp;"",IF($Z449="F",INDEX(FTE_Allocation!$B$2:$B$201,$AB449)&amp;"","")))</f>
        <v/>
      </c>
      <c r="E449" s="7">
        <f>IF($Z449="C",INDEX(Contracts!$P$2:$P$151,$AB449)&amp;"",IF($Z449="A",INDEX(Fixed_Assets!$K$2:$K$201,$AB449)&amp;"",IF($Z449="F",IF(INDEX(FTE_Allocation!$D$2:$D$201,$AB449)="PROJECT",IFERROR(INDEX(Projects!$D:$D,MATCH(INDEX(FTE_Allocation!$E$2:$E$201,$AB449),Projects!$A:$A,0))&amp;"","#PROJECT?"),INDEX(FTE_Allocation!$E$2:$E$201,$AB449)&amp;""),"")))</f>
        <v/>
      </c>
      <c r="F449" s="7">
        <f>IF($Z449="C",INDEX(Contracts!$Q$2:$Q$151,$AB449)&amp;"",IF($Z449="A",INDEX(Fixed_Assets!$L$2:$L$201,$AB449)&amp;"",IF($Z449="F",INDEX(Workforce!$K$2:$K$151,MATCH(INDEX(FTE_Allocation!$A$2:$A$201,$AB449),Workforce!$A$2:$A$151,0))&amp;"","")))</f>
        <v/>
      </c>
      <c r="G449" s="7">
        <f>IF($Z449="C",INDEX(Contracts!$F$2:$F$151,$AB449)&amp;" / "&amp;INDEX(Contracts!$G$2:$G$151,$AB449),IF($Z449="A",INDEX(Fixed_Assets!$E$2:$E$201,$AB449)&amp;"",IF($Z449="F","Personnel "&amp;INDEX(FTE_Allocation!$A$2:$A$201,$AB449)&amp;IF(INDEX(FTE_Allocation!$D$2:$D$201,$AB449)="PROJECT"," ("&amp;INDEX(FTE_Allocation!$E$2:$E$201,$AB449)&amp;")",""),"")))</f>
        <v/>
      </c>
      <c r="H449" s="7">
        <f>IF($Z449="C","CONTRACT",IF($Z449="A","ASSET",IF($Z449="F","WORKFORCE","")))</f>
        <v/>
      </c>
      <c r="I449" s="7">
        <f>IF($Z449="C",INDEX(Contracts!$L$2:$L$151,$AB449)&amp;"",IF($Z449="A",INDEX(Fixed_Assets!$I$2:$I$201,$AB449)&amp;"",IF($Z449="F",INDEX(Workforce!$G$2:$G$151,MATCH(INDEX(FTE_Allocation!$A$2:$A$201,$AB449),Workforce!$A$2:$A$151,0))&amp;"","")))</f>
        <v/>
      </c>
      <c r="J449" s="18">
        <f>IF($Z449="","",IF(AND(DATE($AD449,1,1)&gt;=$AE449,DATE($AD449,1,1)&lt;=$AF449),ROUND($AG449,2),0))</f>
        <v/>
      </c>
      <c r="K449" s="18">
        <f>IF($Z449="","",IF(AND(DATE($AD449,2,1)&gt;=$AE449,DATE($AD449,2,1)&lt;=$AF449),ROUND($AG449,2),0))</f>
        <v/>
      </c>
      <c r="L449" s="18">
        <f>IF($Z449="","",IF(AND(DATE($AD449,3,1)&gt;=$AE449,DATE($AD449,3,1)&lt;=$AF449),ROUND($AG449,2),0))</f>
        <v/>
      </c>
      <c r="M449" s="18">
        <f>IF($Z449="","",IF(AND(DATE($AD449,4,1)&gt;=$AE449,DATE($AD449,4,1)&lt;=$AF449),ROUND($AG449,2),0))</f>
        <v/>
      </c>
      <c r="N449" s="18">
        <f>IF($Z449="","",IF(AND(DATE($AD449,5,1)&gt;=$AE449,DATE($AD449,5,1)&lt;=$AF449),ROUND($AG449,2),0))</f>
        <v/>
      </c>
      <c r="O449" s="18">
        <f>IF($Z449="","",IF(AND(DATE($AD449,6,1)&gt;=$AE449,DATE($AD449,6,1)&lt;=$AF449),ROUND($AG449,2),0))</f>
        <v/>
      </c>
      <c r="P449" s="18">
        <f>IF($Z449="","",IF(AND(DATE($AD449,7,1)&gt;=$AE449,DATE($AD449,7,1)&lt;=$AF449),ROUND($AG449,2),0))</f>
        <v/>
      </c>
      <c r="Q449" s="18">
        <f>IF($Z449="","",IF(AND(DATE($AD449,8,1)&gt;=$AE449,DATE($AD449,8,1)&lt;=$AF449),ROUND($AG449,2),0))</f>
        <v/>
      </c>
      <c r="R449" s="18">
        <f>IF($Z449="","",IF(AND(DATE($AD449,9,1)&gt;=$AE449,DATE($AD449,9,1)&lt;=$AF449),ROUND($AG449,2),0))</f>
        <v/>
      </c>
      <c r="S449" s="18">
        <f>IF($Z449="","",IF(AND(DATE($AD449,10,1)&gt;=$AE449,DATE($AD449,10,1)&lt;=$AF449),ROUND($AG449,2),0))</f>
        <v/>
      </c>
      <c r="T449" s="18">
        <f>IF($Z449="","",IF(AND(DATE($AD449,11,1)&gt;=$AE449,DATE($AD449,11,1)&lt;=$AF449),ROUND($AG449,2),0))</f>
        <v/>
      </c>
      <c r="U449" s="18">
        <f>IF($Z449="","",IF(AND(DATE($AD449,12,1)&gt;=$AE449,DATE($AD449,12,1)&lt;=$AF449),ROUND($AG449,2),0))</f>
        <v/>
      </c>
      <c r="V449" s="7">
        <f>IF($Z449="C","Generated from "&amp;INDEX(Contracts!$A$2:$A$151,$AB449),IF($Z449="A","Generated from "&amp;INDEX(Fixed_Assets!$A$2:$A$201,$AB449),IF($Z449="F","Generated from "&amp;INDEX(FTE_Allocation!$A$2:$A$201,$AB449),"")))</f>
        <v/>
      </c>
      <c r="X449" s="19">
        <f>IF($Z449="","",SUM(J449:U449))</f>
        <v/>
      </c>
      <c r="Y449" s="20">
        <f>ROW()-1</f>
        <v/>
      </c>
      <c r="Z449" s="20">
        <f>IF($Y449&lt;=Settings!$B$4*3,"C",IF($Y449&lt;=(Settings!$B$4+Settings!$B$5)*3,"A",IF($Y449&lt;=(Settings!$B$4+Settings!$B$5+Settings!$B$6)*3,"F","")))</f>
        <v/>
      </c>
      <c r="AA449" s="20">
        <f>IF($Z449="C",$Y449,IF($Z449="A",$Y449-Settings!$B$4*3,IF($Z449="F",$Y449-(Settings!$B$4+Settings!$B$5)*3,"")))</f>
        <v/>
      </c>
      <c r="AB449" s="20">
        <f>IF($Z449="","",INT(($AA449-1)/3)+1)</f>
        <v/>
      </c>
      <c r="AC449" s="20">
        <f>IF($Z449="","",MOD($AA449-1,3)+1)</f>
        <v/>
      </c>
      <c r="AD449" s="20">
        <f>IF($Z449="","",Settings!$B$2+$AC449-1)</f>
        <v/>
      </c>
      <c r="AE449" s="21">
        <f>IF($Z449="C",DATE(YEAR(INDEX(Contracts!$J$2:$J$151,$AB449)),MONTH(INDEX(Contracts!$J$2:$J$151,$AB449)),1),IF($Z449="A",DATE(YEAR(INDEX(Fixed_Assets!$G$2:$G$201,$AB449)),MONTH(INDEX(Fixed_Assets!$G$2:$G$201,$AB449)),1),IF($Z449="F",DATE(YEAR(MAX(N(INDEX(Workforce!$I$2:$I$151,MATCH(INDEX(FTE_Allocation!$A$2:$A$201,$AB449),Workforce!$A$2:$A$151,0))),N(INDEX(FTE_Allocation!$I$2:$I$201,$AB449)))),MONTH(MAX(N(INDEX(Workforce!$I$2:$I$151,MATCH(INDEX(FTE_Allocation!$A$2:$A$201,$AB449),Workforce!$A$2:$A$151,0))),N(INDEX(FTE_Allocation!$I$2:$I$201,$AB449)))),1),"")))</f>
        <v/>
      </c>
      <c r="AF449" s="21">
        <f>IF($Z449="C",IF(INDEX(Contracts!$I$2:$I$151,$AB449)="PREPAID",EDATE(DATE(YEAR(INDEX(Contracts!$J$2:$J$151,$AB449)),MONTH(INDEX(Contracts!$J$2:$J$151,$AB449)),1),IF(INDEX(Contracts!$N$2:$N$151,$AB449)="",12,INDEX(Contracts!$N$2:$N$151,$AB449))-1),IF(INDEX(Contracts!$I$2:$I$151,$AB449)="MONTHLY",IF(INDEX(Contracts!$K$2:$K$151,$AB449)="",2958101,INDEX(Contracts!$K$2:$K$151,$AB449)),0)),IF($Z449="A",EDATE(DATE(YEAR(INDEX(Fixed_Assets!$G$2:$G$201,$AB449)),MONTH(INDEX(Fixed_Assets!$G$2:$G$201,$AB449)),1),INDEX(Fixed_Assets!$J$2:$J$201,$AB449)-1),IF($Z449="F",MIN(IF(INDEX(Workforce!$J$2:$J$151,MATCH(INDEX(FTE_Allocation!$A$2:$A$201,$AB449),Workforce!$A$2:$A$151,0))="",2958101,INDEX(Workforce!$J$2:$J$151,MATCH(INDEX(FTE_Allocation!$A$2:$A$201,$AB449),Workforce!$A$2:$A$151,0))),IF(INDEX(FTE_Allocation!$J$2:$J$201,$AB449)="",2958101,INDEX(FTE_Allocation!$J$2:$J$201,$AB449))),"")))</f>
        <v/>
      </c>
      <c r="AG449" s="19">
        <f>IF($Z449="C",IF(INDEX(Contracts!$I$2:$I$151,$AB449)="PREPAID",INDEX(Contracts!$M$2:$M$151,$AB449)/IF(INDEX(Contracts!$N$2:$N$151,$AB449)="",12,INDEX(Contracts!$N$2:$N$151,$AB449)),IF(INDEX(Contracts!$I$2:$I$151,$AB449)="MONTHLY",INDEX(Contracts!$M$2:$M$151,$AB449),0))*(1-N(INDEX(Contracts!$O$2:$O$151,$AB449))),IF($Z449="A",INDEX(Fixed_Assets!$H$2:$H$201,$AB449)/INDEX(Fixed_Assets!$J$2:$J$201,$AB449),IF($Z449="F",INDEX(Workforce!$F$2:$F$151,MATCH(INDEX(FTE_Allocation!$A$2:$A$201,$AB449),Workforce!$A$2:$A$151,0))*N(INDEX(FTE_Allocation!$F$2:$H$201,$AB449,$AC449)),"")))</f>
        <v/>
      </c>
    </row>
    <row r="450">
      <c r="A450" s="7">
        <f>IF($Z450="","",$AD450)</f>
        <v/>
      </c>
      <c r="B450" s="7">
        <f>IF($Z450="C",INDEX(Contracts!$D$2:$D$151,$AB450)&amp;"",IF($Z450="A",INDEX(Fixed_Assets!$C$2:$C$201,$AB450)&amp;"",IF($Z450="F",INDEX(Workforce!$B$2:$B$151,MATCH(INDEX(FTE_Allocation!$A$2:$A$201,$AB450),Workforce!$A$2:$A$151,0))&amp;"","")))</f>
        <v/>
      </c>
      <c r="C450" s="7">
        <f>IF($Z450="C",INDEX(Contracts!$E$2:$E$151,$AB450)&amp;"",IF($Z450="A",INDEX(Fixed_Assets!$D$2:$D$201,$AB450)&amp;"",IF($Z450="F",INDEX(FTE_Allocation!$C$2:$C$201,$AB450)&amp;"","")))</f>
        <v/>
      </c>
      <c r="D450" s="7">
        <f>IF($Z450="C",INDEX(Contracts!$B$2:$B$151,$AB450)&amp;"",IF($Z450="A",INDEX(Fixed_Assets!$B$2:$B$201,$AB450)&amp;"",IF($Z450="F",INDEX(FTE_Allocation!$B$2:$B$201,$AB450)&amp;"","")))</f>
        <v/>
      </c>
      <c r="E450" s="7">
        <f>IF($Z450="C",INDEX(Contracts!$P$2:$P$151,$AB450)&amp;"",IF($Z450="A",INDEX(Fixed_Assets!$K$2:$K$201,$AB450)&amp;"",IF($Z450="F",IF(INDEX(FTE_Allocation!$D$2:$D$201,$AB450)="PROJECT",IFERROR(INDEX(Projects!$D:$D,MATCH(INDEX(FTE_Allocation!$E$2:$E$201,$AB450),Projects!$A:$A,0))&amp;"","#PROJECT?"),INDEX(FTE_Allocation!$E$2:$E$201,$AB450)&amp;""),"")))</f>
        <v/>
      </c>
      <c r="F450" s="7">
        <f>IF($Z450="C",INDEX(Contracts!$Q$2:$Q$151,$AB450)&amp;"",IF($Z450="A",INDEX(Fixed_Assets!$L$2:$L$201,$AB450)&amp;"",IF($Z450="F",INDEX(Workforce!$K$2:$K$151,MATCH(INDEX(FTE_Allocation!$A$2:$A$201,$AB450),Workforce!$A$2:$A$151,0))&amp;"","")))</f>
        <v/>
      </c>
      <c r="G450" s="7">
        <f>IF($Z450="C",INDEX(Contracts!$F$2:$F$151,$AB450)&amp;" / "&amp;INDEX(Contracts!$G$2:$G$151,$AB450),IF($Z450="A",INDEX(Fixed_Assets!$E$2:$E$201,$AB450)&amp;"",IF($Z450="F","Personnel "&amp;INDEX(FTE_Allocation!$A$2:$A$201,$AB450)&amp;IF(INDEX(FTE_Allocation!$D$2:$D$201,$AB450)="PROJECT"," ("&amp;INDEX(FTE_Allocation!$E$2:$E$201,$AB450)&amp;")",""),"")))</f>
        <v/>
      </c>
      <c r="H450" s="7">
        <f>IF($Z450="C","CONTRACT",IF($Z450="A","ASSET",IF($Z450="F","WORKFORCE","")))</f>
        <v/>
      </c>
      <c r="I450" s="7">
        <f>IF($Z450="C",INDEX(Contracts!$L$2:$L$151,$AB450)&amp;"",IF($Z450="A",INDEX(Fixed_Assets!$I$2:$I$201,$AB450)&amp;"",IF($Z450="F",INDEX(Workforce!$G$2:$G$151,MATCH(INDEX(FTE_Allocation!$A$2:$A$201,$AB450),Workforce!$A$2:$A$151,0))&amp;"","")))</f>
        <v/>
      </c>
      <c r="J450" s="18">
        <f>IF($Z450="","",IF(AND(DATE($AD450,1,1)&gt;=$AE450,DATE($AD450,1,1)&lt;=$AF450),ROUND($AG450,2),0))</f>
        <v/>
      </c>
      <c r="K450" s="18">
        <f>IF($Z450="","",IF(AND(DATE($AD450,2,1)&gt;=$AE450,DATE($AD450,2,1)&lt;=$AF450),ROUND($AG450,2),0))</f>
        <v/>
      </c>
      <c r="L450" s="18">
        <f>IF($Z450="","",IF(AND(DATE($AD450,3,1)&gt;=$AE450,DATE($AD450,3,1)&lt;=$AF450),ROUND($AG450,2),0))</f>
        <v/>
      </c>
      <c r="M450" s="18">
        <f>IF($Z450="","",IF(AND(DATE($AD450,4,1)&gt;=$AE450,DATE($AD450,4,1)&lt;=$AF450),ROUND($AG450,2),0))</f>
        <v/>
      </c>
      <c r="N450" s="18">
        <f>IF($Z450="","",IF(AND(DATE($AD450,5,1)&gt;=$AE450,DATE($AD450,5,1)&lt;=$AF450),ROUND($AG450,2),0))</f>
        <v/>
      </c>
      <c r="O450" s="18">
        <f>IF($Z450="","",IF(AND(DATE($AD450,6,1)&gt;=$AE450,DATE($AD450,6,1)&lt;=$AF450),ROUND($AG450,2),0))</f>
        <v/>
      </c>
      <c r="P450" s="18">
        <f>IF($Z450="","",IF(AND(DATE($AD450,7,1)&gt;=$AE450,DATE($AD450,7,1)&lt;=$AF450),ROUND($AG450,2),0))</f>
        <v/>
      </c>
      <c r="Q450" s="18">
        <f>IF($Z450="","",IF(AND(DATE($AD450,8,1)&gt;=$AE450,DATE($AD450,8,1)&lt;=$AF450),ROUND($AG450,2),0))</f>
        <v/>
      </c>
      <c r="R450" s="18">
        <f>IF($Z450="","",IF(AND(DATE($AD450,9,1)&gt;=$AE450,DATE($AD450,9,1)&lt;=$AF450),ROUND($AG450,2),0))</f>
        <v/>
      </c>
      <c r="S450" s="18">
        <f>IF($Z450="","",IF(AND(DATE($AD450,10,1)&gt;=$AE450,DATE($AD450,10,1)&lt;=$AF450),ROUND($AG450,2),0))</f>
        <v/>
      </c>
      <c r="T450" s="18">
        <f>IF($Z450="","",IF(AND(DATE($AD450,11,1)&gt;=$AE450,DATE($AD450,11,1)&lt;=$AF450),ROUND($AG450,2),0))</f>
        <v/>
      </c>
      <c r="U450" s="18">
        <f>IF($Z450="","",IF(AND(DATE($AD450,12,1)&gt;=$AE450,DATE($AD450,12,1)&lt;=$AF450),ROUND($AG450,2),0))</f>
        <v/>
      </c>
      <c r="V450" s="7">
        <f>IF($Z450="C","Generated from "&amp;INDEX(Contracts!$A$2:$A$151,$AB450),IF($Z450="A","Generated from "&amp;INDEX(Fixed_Assets!$A$2:$A$201,$AB450),IF($Z450="F","Generated from "&amp;INDEX(FTE_Allocation!$A$2:$A$201,$AB450),"")))</f>
        <v/>
      </c>
      <c r="X450" s="19">
        <f>IF($Z450="","",SUM(J450:U450))</f>
        <v/>
      </c>
      <c r="Y450" s="20">
        <f>ROW()-1</f>
        <v/>
      </c>
      <c r="Z450" s="20">
        <f>IF($Y450&lt;=Settings!$B$4*3,"C",IF($Y450&lt;=(Settings!$B$4+Settings!$B$5)*3,"A",IF($Y450&lt;=(Settings!$B$4+Settings!$B$5+Settings!$B$6)*3,"F","")))</f>
        <v/>
      </c>
      <c r="AA450" s="20">
        <f>IF($Z450="C",$Y450,IF($Z450="A",$Y450-Settings!$B$4*3,IF($Z450="F",$Y450-(Settings!$B$4+Settings!$B$5)*3,"")))</f>
        <v/>
      </c>
      <c r="AB450" s="20">
        <f>IF($Z450="","",INT(($AA450-1)/3)+1)</f>
        <v/>
      </c>
      <c r="AC450" s="20">
        <f>IF($Z450="","",MOD($AA450-1,3)+1)</f>
        <v/>
      </c>
      <c r="AD450" s="20">
        <f>IF($Z450="","",Settings!$B$2+$AC450-1)</f>
        <v/>
      </c>
      <c r="AE450" s="21">
        <f>IF($Z450="C",DATE(YEAR(INDEX(Contracts!$J$2:$J$151,$AB450)),MONTH(INDEX(Contracts!$J$2:$J$151,$AB450)),1),IF($Z450="A",DATE(YEAR(INDEX(Fixed_Assets!$G$2:$G$201,$AB450)),MONTH(INDEX(Fixed_Assets!$G$2:$G$201,$AB450)),1),IF($Z450="F",DATE(YEAR(MAX(N(INDEX(Workforce!$I$2:$I$151,MATCH(INDEX(FTE_Allocation!$A$2:$A$201,$AB450),Workforce!$A$2:$A$151,0))),N(INDEX(FTE_Allocation!$I$2:$I$201,$AB450)))),MONTH(MAX(N(INDEX(Workforce!$I$2:$I$151,MATCH(INDEX(FTE_Allocation!$A$2:$A$201,$AB450),Workforce!$A$2:$A$151,0))),N(INDEX(FTE_Allocation!$I$2:$I$201,$AB450)))),1),"")))</f>
        <v/>
      </c>
      <c r="AF450" s="21">
        <f>IF($Z450="C",IF(INDEX(Contracts!$I$2:$I$151,$AB450)="PREPAID",EDATE(DATE(YEAR(INDEX(Contracts!$J$2:$J$151,$AB450)),MONTH(INDEX(Contracts!$J$2:$J$151,$AB450)),1),IF(INDEX(Contracts!$N$2:$N$151,$AB450)="",12,INDEX(Contracts!$N$2:$N$151,$AB450))-1),IF(INDEX(Contracts!$I$2:$I$151,$AB450)="MONTHLY",IF(INDEX(Contracts!$K$2:$K$151,$AB450)="",2958101,INDEX(Contracts!$K$2:$K$151,$AB450)),0)),IF($Z450="A",EDATE(DATE(YEAR(INDEX(Fixed_Assets!$G$2:$G$201,$AB450)),MONTH(INDEX(Fixed_Assets!$G$2:$G$201,$AB450)),1),INDEX(Fixed_Assets!$J$2:$J$201,$AB450)-1),IF($Z450="F",MIN(IF(INDEX(Workforce!$J$2:$J$151,MATCH(INDEX(FTE_Allocation!$A$2:$A$201,$AB450),Workforce!$A$2:$A$151,0))="",2958101,INDEX(Workforce!$J$2:$J$151,MATCH(INDEX(FTE_Allocation!$A$2:$A$201,$AB450),Workforce!$A$2:$A$151,0))),IF(INDEX(FTE_Allocation!$J$2:$J$201,$AB450)="",2958101,INDEX(FTE_Allocation!$J$2:$J$201,$AB450))),"")))</f>
        <v/>
      </c>
      <c r="AG450" s="19">
        <f>IF($Z450="C",IF(INDEX(Contracts!$I$2:$I$151,$AB450)="PREPAID",INDEX(Contracts!$M$2:$M$151,$AB450)/IF(INDEX(Contracts!$N$2:$N$151,$AB450)="",12,INDEX(Contracts!$N$2:$N$151,$AB450)),IF(INDEX(Contracts!$I$2:$I$151,$AB450)="MONTHLY",INDEX(Contracts!$M$2:$M$151,$AB450),0))*(1-N(INDEX(Contracts!$O$2:$O$151,$AB450))),IF($Z450="A",INDEX(Fixed_Assets!$H$2:$H$201,$AB450)/INDEX(Fixed_Assets!$J$2:$J$201,$AB450),IF($Z450="F",INDEX(Workforce!$F$2:$F$151,MATCH(INDEX(FTE_Allocation!$A$2:$A$201,$AB450),Workforce!$A$2:$A$151,0))*N(INDEX(FTE_Allocation!$F$2:$H$201,$AB450,$AC450)),"")))</f>
        <v/>
      </c>
    </row>
    <row r="451">
      <c r="A451" s="7">
        <f>IF($Z451="","",$AD451)</f>
        <v/>
      </c>
      <c r="B451" s="7">
        <f>IF($Z451="C",INDEX(Contracts!$D$2:$D$151,$AB451)&amp;"",IF($Z451="A",INDEX(Fixed_Assets!$C$2:$C$201,$AB451)&amp;"",IF($Z451="F",INDEX(Workforce!$B$2:$B$151,MATCH(INDEX(FTE_Allocation!$A$2:$A$201,$AB451),Workforce!$A$2:$A$151,0))&amp;"","")))</f>
        <v/>
      </c>
      <c r="C451" s="7">
        <f>IF($Z451="C",INDEX(Contracts!$E$2:$E$151,$AB451)&amp;"",IF($Z451="A",INDEX(Fixed_Assets!$D$2:$D$201,$AB451)&amp;"",IF($Z451="F",INDEX(FTE_Allocation!$C$2:$C$201,$AB451)&amp;"","")))</f>
        <v/>
      </c>
      <c r="D451" s="7">
        <f>IF($Z451="C",INDEX(Contracts!$B$2:$B$151,$AB451)&amp;"",IF($Z451="A",INDEX(Fixed_Assets!$B$2:$B$201,$AB451)&amp;"",IF($Z451="F",INDEX(FTE_Allocation!$B$2:$B$201,$AB451)&amp;"","")))</f>
        <v/>
      </c>
      <c r="E451" s="7">
        <f>IF($Z451="C",INDEX(Contracts!$P$2:$P$151,$AB451)&amp;"",IF($Z451="A",INDEX(Fixed_Assets!$K$2:$K$201,$AB451)&amp;"",IF($Z451="F",IF(INDEX(FTE_Allocation!$D$2:$D$201,$AB451)="PROJECT",IFERROR(INDEX(Projects!$D:$D,MATCH(INDEX(FTE_Allocation!$E$2:$E$201,$AB451),Projects!$A:$A,0))&amp;"","#PROJECT?"),INDEX(FTE_Allocation!$E$2:$E$201,$AB451)&amp;""),"")))</f>
        <v/>
      </c>
      <c r="F451" s="7">
        <f>IF($Z451="C",INDEX(Contracts!$Q$2:$Q$151,$AB451)&amp;"",IF($Z451="A",INDEX(Fixed_Assets!$L$2:$L$201,$AB451)&amp;"",IF($Z451="F",INDEX(Workforce!$K$2:$K$151,MATCH(INDEX(FTE_Allocation!$A$2:$A$201,$AB451),Workforce!$A$2:$A$151,0))&amp;"","")))</f>
        <v/>
      </c>
      <c r="G451" s="7">
        <f>IF($Z451="C",INDEX(Contracts!$F$2:$F$151,$AB451)&amp;" / "&amp;INDEX(Contracts!$G$2:$G$151,$AB451),IF($Z451="A",INDEX(Fixed_Assets!$E$2:$E$201,$AB451)&amp;"",IF($Z451="F","Personnel "&amp;INDEX(FTE_Allocation!$A$2:$A$201,$AB451)&amp;IF(INDEX(FTE_Allocation!$D$2:$D$201,$AB451)="PROJECT"," ("&amp;INDEX(FTE_Allocation!$E$2:$E$201,$AB451)&amp;")",""),"")))</f>
        <v/>
      </c>
      <c r="H451" s="7">
        <f>IF($Z451="C","CONTRACT",IF($Z451="A","ASSET",IF($Z451="F","WORKFORCE","")))</f>
        <v/>
      </c>
      <c r="I451" s="7">
        <f>IF($Z451="C",INDEX(Contracts!$L$2:$L$151,$AB451)&amp;"",IF($Z451="A",INDEX(Fixed_Assets!$I$2:$I$201,$AB451)&amp;"",IF($Z451="F",INDEX(Workforce!$G$2:$G$151,MATCH(INDEX(FTE_Allocation!$A$2:$A$201,$AB451),Workforce!$A$2:$A$151,0))&amp;"","")))</f>
        <v/>
      </c>
      <c r="J451" s="18">
        <f>IF($Z451="","",IF(AND(DATE($AD451,1,1)&gt;=$AE451,DATE($AD451,1,1)&lt;=$AF451),ROUND($AG451,2),0))</f>
        <v/>
      </c>
      <c r="K451" s="18">
        <f>IF($Z451="","",IF(AND(DATE($AD451,2,1)&gt;=$AE451,DATE($AD451,2,1)&lt;=$AF451),ROUND($AG451,2),0))</f>
        <v/>
      </c>
      <c r="L451" s="18">
        <f>IF($Z451="","",IF(AND(DATE($AD451,3,1)&gt;=$AE451,DATE($AD451,3,1)&lt;=$AF451),ROUND($AG451,2),0))</f>
        <v/>
      </c>
      <c r="M451" s="18">
        <f>IF($Z451="","",IF(AND(DATE($AD451,4,1)&gt;=$AE451,DATE($AD451,4,1)&lt;=$AF451),ROUND($AG451,2),0))</f>
        <v/>
      </c>
      <c r="N451" s="18">
        <f>IF($Z451="","",IF(AND(DATE($AD451,5,1)&gt;=$AE451,DATE($AD451,5,1)&lt;=$AF451),ROUND($AG451,2),0))</f>
        <v/>
      </c>
      <c r="O451" s="18">
        <f>IF($Z451="","",IF(AND(DATE($AD451,6,1)&gt;=$AE451,DATE($AD451,6,1)&lt;=$AF451),ROUND($AG451,2),0))</f>
        <v/>
      </c>
      <c r="P451" s="18">
        <f>IF($Z451="","",IF(AND(DATE($AD451,7,1)&gt;=$AE451,DATE($AD451,7,1)&lt;=$AF451),ROUND($AG451,2),0))</f>
        <v/>
      </c>
      <c r="Q451" s="18">
        <f>IF($Z451="","",IF(AND(DATE($AD451,8,1)&gt;=$AE451,DATE($AD451,8,1)&lt;=$AF451),ROUND($AG451,2),0))</f>
        <v/>
      </c>
      <c r="R451" s="18">
        <f>IF($Z451="","",IF(AND(DATE($AD451,9,1)&gt;=$AE451,DATE($AD451,9,1)&lt;=$AF451),ROUND($AG451,2),0))</f>
        <v/>
      </c>
      <c r="S451" s="18">
        <f>IF($Z451="","",IF(AND(DATE($AD451,10,1)&gt;=$AE451,DATE($AD451,10,1)&lt;=$AF451),ROUND($AG451,2),0))</f>
        <v/>
      </c>
      <c r="T451" s="18">
        <f>IF($Z451="","",IF(AND(DATE($AD451,11,1)&gt;=$AE451,DATE($AD451,11,1)&lt;=$AF451),ROUND($AG451,2),0))</f>
        <v/>
      </c>
      <c r="U451" s="18">
        <f>IF($Z451="","",IF(AND(DATE($AD451,12,1)&gt;=$AE451,DATE($AD451,12,1)&lt;=$AF451),ROUND($AG451,2),0))</f>
        <v/>
      </c>
      <c r="V451" s="7">
        <f>IF($Z451="C","Generated from "&amp;INDEX(Contracts!$A$2:$A$151,$AB451),IF($Z451="A","Generated from "&amp;INDEX(Fixed_Assets!$A$2:$A$201,$AB451),IF($Z451="F","Generated from "&amp;INDEX(FTE_Allocation!$A$2:$A$201,$AB451),"")))</f>
        <v/>
      </c>
      <c r="X451" s="19">
        <f>IF($Z451="","",SUM(J451:U451))</f>
        <v/>
      </c>
      <c r="Y451" s="20">
        <f>ROW()-1</f>
        <v/>
      </c>
      <c r="Z451" s="20">
        <f>IF($Y451&lt;=Settings!$B$4*3,"C",IF($Y451&lt;=(Settings!$B$4+Settings!$B$5)*3,"A",IF($Y451&lt;=(Settings!$B$4+Settings!$B$5+Settings!$B$6)*3,"F","")))</f>
        <v/>
      </c>
      <c r="AA451" s="20">
        <f>IF($Z451="C",$Y451,IF($Z451="A",$Y451-Settings!$B$4*3,IF($Z451="F",$Y451-(Settings!$B$4+Settings!$B$5)*3,"")))</f>
        <v/>
      </c>
      <c r="AB451" s="20">
        <f>IF($Z451="","",INT(($AA451-1)/3)+1)</f>
        <v/>
      </c>
      <c r="AC451" s="20">
        <f>IF($Z451="","",MOD($AA451-1,3)+1)</f>
        <v/>
      </c>
      <c r="AD451" s="20">
        <f>IF($Z451="","",Settings!$B$2+$AC451-1)</f>
        <v/>
      </c>
      <c r="AE451" s="21">
        <f>IF($Z451="C",DATE(YEAR(INDEX(Contracts!$J$2:$J$151,$AB451)),MONTH(INDEX(Contracts!$J$2:$J$151,$AB451)),1),IF($Z451="A",DATE(YEAR(INDEX(Fixed_Assets!$G$2:$G$201,$AB451)),MONTH(INDEX(Fixed_Assets!$G$2:$G$201,$AB451)),1),IF($Z451="F",DATE(YEAR(MAX(N(INDEX(Workforce!$I$2:$I$151,MATCH(INDEX(FTE_Allocation!$A$2:$A$201,$AB451),Workforce!$A$2:$A$151,0))),N(INDEX(FTE_Allocation!$I$2:$I$201,$AB451)))),MONTH(MAX(N(INDEX(Workforce!$I$2:$I$151,MATCH(INDEX(FTE_Allocation!$A$2:$A$201,$AB451),Workforce!$A$2:$A$151,0))),N(INDEX(FTE_Allocation!$I$2:$I$201,$AB451)))),1),"")))</f>
        <v/>
      </c>
      <c r="AF451" s="21">
        <f>IF($Z451="C",IF(INDEX(Contracts!$I$2:$I$151,$AB451)="PREPAID",EDATE(DATE(YEAR(INDEX(Contracts!$J$2:$J$151,$AB451)),MONTH(INDEX(Contracts!$J$2:$J$151,$AB451)),1),IF(INDEX(Contracts!$N$2:$N$151,$AB451)="",12,INDEX(Contracts!$N$2:$N$151,$AB451))-1),IF(INDEX(Contracts!$I$2:$I$151,$AB451)="MONTHLY",IF(INDEX(Contracts!$K$2:$K$151,$AB451)="",2958101,INDEX(Contracts!$K$2:$K$151,$AB451)),0)),IF($Z451="A",EDATE(DATE(YEAR(INDEX(Fixed_Assets!$G$2:$G$201,$AB451)),MONTH(INDEX(Fixed_Assets!$G$2:$G$201,$AB451)),1),INDEX(Fixed_Assets!$J$2:$J$201,$AB451)-1),IF($Z451="F",MIN(IF(INDEX(Workforce!$J$2:$J$151,MATCH(INDEX(FTE_Allocation!$A$2:$A$201,$AB451),Workforce!$A$2:$A$151,0))="",2958101,INDEX(Workforce!$J$2:$J$151,MATCH(INDEX(FTE_Allocation!$A$2:$A$201,$AB451),Workforce!$A$2:$A$151,0))),IF(INDEX(FTE_Allocation!$J$2:$J$201,$AB451)="",2958101,INDEX(FTE_Allocation!$J$2:$J$201,$AB451))),"")))</f>
        <v/>
      </c>
      <c r="AG451" s="19">
        <f>IF($Z451="C",IF(INDEX(Contracts!$I$2:$I$151,$AB451)="PREPAID",INDEX(Contracts!$M$2:$M$151,$AB451)/IF(INDEX(Contracts!$N$2:$N$151,$AB451)="",12,INDEX(Contracts!$N$2:$N$151,$AB451)),IF(INDEX(Contracts!$I$2:$I$151,$AB451)="MONTHLY",INDEX(Contracts!$M$2:$M$151,$AB451),0))*(1-N(INDEX(Contracts!$O$2:$O$151,$AB451))),IF($Z451="A",INDEX(Fixed_Assets!$H$2:$H$201,$AB451)/INDEX(Fixed_Assets!$J$2:$J$201,$AB451),IF($Z451="F",INDEX(Workforce!$F$2:$F$151,MATCH(INDEX(FTE_Allocation!$A$2:$A$201,$AB451),Workforce!$A$2:$A$151,0))*N(INDEX(FTE_Allocation!$F$2:$H$201,$AB451,$AC451)),"")))</f>
        <v/>
      </c>
    </row>
    <row r="452">
      <c r="A452" s="7">
        <f>IF($Z452="","",$AD452)</f>
        <v/>
      </c>
      <c r="B452" s="7">
        <f>IF($Z452="C",INDEX(Contracts!$D$2:$D$151,$AB452)&amp;"",IF($Z452="A",INDEX(Fixed_Assets!$C$2:$C$201,$AB452)&amp;"",IF($Z452="F",INDEX(Workforce!$B$2:$B$151,MATCH(INDEX(FTE_Allocation!$A$2:$A$201,$AB452),Workforce!$A$2:$A$151,0))&amp;"","")))</f>
        <v/>
      </c>
      <c r="C452" s="7">
        <f>IF($Z452="C",INDEX(Contracts!$E$2:$E$151,$AB452)&amp;"",IF($Z452="A",INDEX(Fixed_Assets!$D$2:$D$201,$AB452)&amp;"",IF($Z452="F",INDEX(FTE_Allocation!$C$2:$C$201,$AB452)&amp;"","")))</f>
        <v/>
      </c>
      <c r="D452" s="7">
        <f>IF($Z452="C",INDEX(Contracts!$B$2:$B$151,$AB452)&amp;"",IF($Z452="A",INDEX(Fixed_Assets!$B$2:$B$201,$AB452)&amp;"",IF($Z452="F",INDEX(FTE_Allocation!$B$2:$B$201,$AB452)&amp;"","")))</f>
        <v/>
      </c>
      <c r="E452" s="7">
        <f>IF($Z452="C",INDEX(Contracts!$P$2:$P$151,$AB452)&amp;"",IF($Z452="A",INDEX(Fixed_Assets!$K$2:$K$201,$AB452)&amp;"",IF($Z452="F",IF(INDEX(FTE_Allocation!$D$2:$D$201,$AB452)="PROJECT",IFERROR(INDEX(Projects!$D:$D,MATCH(INDEX(FTE_Allocation!$E$2:$E$201,$AB452),Projects!$A:$A,0))&amp;"","#PROJECT?"),INDEX(FTE_Allocation!$E$2:$E$201,$AB452)&amp;""),"")))</f>
        <v/>
      </c>
      <c r="F452" s="7">
        <f>IF($Z452="C",INDEX(Contracts!$Q$2:$Q$151,$AB452)&amp;"",IF($Z452="A",INDEX(Fixed_Assets!$L$2:$L$201,$AB452)&amp;"",IF($Z452="F",INDEX(Workforce!$K$2:$K$151,MATCH(INDEX(FTE_Allocation!$A$2:$A$201,$AB452),Workforce!$A$2:$A$151,0))&amp;"","")))</f>
        <v/>
      </c>
      <c r="G452" s="7">
        <f>IF($Z452="C",INDEX(Contracts!$F$2:$F$151,$AB452)&amp;" / "&amp;INDEX(Contracts!$G$2:$G$151,$AB452),IF($Z452="A",INDEX(Fixed_Assets!$E$2:$E$201,$AB452)&amp;"",IF($Z452="F","Personnel "&amp;INDEX(FTE_Allocation!$A$2:$A$201,$AB452)&amp;IF(INDEX(FTE_Allocation!$D$2:$D$201,$AB452)="PROJECT"," ("&amp;INDEX(FTE_Allocation!$E$2:$E$201,$AB452)&amp;")",""),"")))</f>
        <v/>
      </c>
      <c r="H452" s="7">
        <f>IF($Z452="C","CONTRACT",IF($Z452="A","ASSET",IF($Z452="F","WORKFORCE","")))</f>
        <v/>
      </c>
      <c r="I452" s="7">
        <f>IF($Z452="C",INDEX(Contracts!$L$2:$L$151,$AB452)&amp;"",IF($Z452="A",INDEX(Fixed_Assets!$I$2:$I$201,$AB452)&amp;"",IF($Z452="F",INDEX(Workforce!$G$2:$G$151,MATCH(INDEX(FTE_Allocation!$A$2:$A$201,$AB452),Workforce!$A$2:$A$151,0))&amp;"","")))</f>
        <v/>
      </c>
      <c r="J452" s="18">
        <f>IF($Z452="","",IF(AND(DATE($AD452,1,1)&gt;=$AE452,DATE($AD452,1,1)&lt;=$AF452),ROUND($AG452,2),0))</f>
        <v/>
      </c>
      <c r="K452" s="18">
        <f>IF($Z452="","",IF(AND(DATE($AD452,2,1)&gt;=$AE452,DATE($AD452,2,1)&lt;=$AF452),ROUND($AG452,2),0))</f>
        <v/>
      </c>
      <c r="L452" s="18">
        <f>IF($Z452="","",IF(AND(DATE($AD452,3,1)&gt;=$AE452,DATE($AD452,3,1)&lt;=$AF452),ROUND($AG452,2),0))</f>
        <v/>
      </c>
      <c r="M452" s="18">
        <f>IF($Z452="","",IF(AND(DATE($AD452,4,1)&gt;=$AE452,DATE($AD452,4,1)&lt;=$AF452),ROUND($AG452,2),0))</f>
        <v/>
      </c>
      <c r="N452" s="18">
        <f>IF($Z452="","",IF(AND(DATE($AD452,5,1)&gt;=$AE452,DATE($AD452,5,1)&lt;=$AF452),ROUND($AG452,2),0))</f>
        <v/>
      </c>
      <c r="O452" s="18">
        <f>IF($Z452="","",IF(AND(DATE($AD452,6,1)&gt;=$AE452,DATE($AD452,6,1)&lt;=$AF452),ROUND($AG452,2),0))</f>
        <v/>
      </c>
      <c r="P452" s="18">
        <f>IF($Z452="","",IF(AND(DATE($AD452,7,1)&gt;=$AE452,DATE($AD452,7,1)&lt;=$AF452),ROUND($AG452,2),0))</f>
        <v/>
      </c>
      <c r="Q452" s="18">
        <f>IF($Z452="","",IF(AND(DATE($AD452,8,1)&gt;=$AE452,DATE($AD452,8,1)&lt;=$AF452),ROUND($AG452,2),0))</f>
        <v/>
      </c>
      <c r="R452" s="18">
        <f>IF($Z452="","",IF(AND(DATE($AD452,9,1)&gt;=$AE452,DATE($AD452,9,1)&lt;=$AF452),ROUND($AG452,2),0))</f>
        <v/>
      </c>
      <c r="S452" s="18">
        <f>IF($Z452="","",IF(AND(DATE($AD452,10,1)&gt;=$AE452,DATE($AD452,10,1)&lt;=$AF452),ROUND($AG452,2),0))</f>
        <v/>
      </c>
      <c r="T452" s="18">
        <f>IF($Z452="","",IF(AND(DATE($AD452,11,1)&gt;=$AE452,DATE($AD452,11,1)&lt;=$AF452),ROUND($AG452,2),0))</f>
        <v/>
      </c>
      <c r="U452" s="18">
        <f>IF($Z452="","",IF(AND(DATE($AD452,12,1)&gt;=$AE452,DATE($AD452,12,1)&lt;=$AF452),ROUND($AG452,2),0))</f>
        <v/>
      </c>
      <c r="V452" s="7">
        <f>IF($Z452="C","Generated from "&amp;INDEX(Contracts!$A$2:$A$151,$AB452),IF($Z452="A","Generated from "&amp;INDEX(Fixed_Assets!$A$2:$A$201,$AB452),IF($Z452="F","Generated from "&amp;INDEX(FTE_Allocation!$A$2:$A$201,$AB452),"")))</f>
        <v/>
      </c>
      <c r="X452" s="19">
        <f>IF($Z452="","",SUM(J452:U452))</f>
        <v/>
      </c>
      <c r="Y452" s="20">
        <f>ROW()-1</f>
        <v/>
      </c>
      <c r="Z452" s="20">
        <f>IF($Y452&lt;=Settings!$B$4*3,"C",IF($Y452&lt;=(Settings!$B$4+Settings!$B$5)*3,"A",IF($Y452&lt;=(Settings!$B$4+Settings!$B$5+Settings!$B$6)*3,"F","")))</f>
        <v/>
      </c>
      <c r="AA452" s="20">
        <f>IF($Z452="C",$Y452,IF($Z452="A",$Y452-Settings!$B$4*3,IF($Z452="F",$Y452-(Settings!$B$4+Settings!$B$5)*3,"")))</f>
        <v/>
      </c>
      <c r="AB452" s="20">
        <f>IF($Z452="","",INT(($AA452-1)/3)+1)</f>
        <v/>
      </c>
      <c r="AC452" s="20">
        <f>IF($Z452="","",MOD($AA452-1,3)+1)</f>
        <v/>
      </c>
      <c r="AD452" s="20">
        <f>IF($Z452="","",Settings!$B$2+$AC452-1)</f>
        <v/>
      </c>
      <c r="AE452" s="21">
        <f>IF($Z452="C",DATE(YEAR(INDEX(Contracts!$J$2:$J$151,$AB452)),MONTH(INDEX(Contracts!$J$2:$J$151,$AB452)),1),IF($Z452="A",DATE(YEAR(INDEX(Fixed_Assets!$G$2:$G$201,$AB452)),MONTH(INDEX(Fixed_Assets!$G$2:$G$201,$AB452)),1),IF($Z452="F",DATE(YEAR(MAX(N(INDEX(Workforce!$I$2:$I$151,MATCH(INDEX(FTE_Allocation!$A$2:$A$201,$AB452),Workforce!$A$2:$A$151,0))),N(INDEX(FTE_Allocation!$I$2:$I$201,$AB452)))),MONTH(MAX(N(INDEX(Workforce!$I$2:$I$151,MATCH(INDEX(FTE_Allocation!$A$2:$A$201,$AB452),Workforce!$A$2:$A$151,0))),N(INDEX(FTE_Allocation!$I$2:$I$201,$AB452)))),1),"")))</f>
        <v/>
      </c>
      <c r="AF452" s="21">
        <f>IF($Z452="C",IF(INDEX(Contracts!$I$2:$I$151,$AB452)="PREPAID",EDATE(DATE(YEAR(INDEX(Contracts!$J$2:$J$151,$AB452)),MONTH(INDEX(Contracts!$J$2:$J$151,$AB452)),1),IF(INDEX(Contracts!$N$2:$N$151,$AB452)="",12,INDEX(Contracts!$N$2:$N$151,$AB452))-1),IF(INDEX(Contracts!$I$2:$I$151,$AB452)="MONTHLY",IF(INDEX(Contracts!$K$2:$K$151,$AB452)="",2958101,INDEX(Contracts!$K$2:$K$151,$AB452)),0)),IF($Z452="A",EDATE(DATE(YEAR(INDEX(Fixed_Assets!$G$2:$G$201,$AB452)),MONTH(INDEX(Fixed_Assets!$G$2:$G$201,$AB452)),1),INDEX(Fixed_Assets!$J$2:$J$201,$AB452)-1),IF($Z452="F",MIN(IF(INDEX(Workforce!$J$2:$J$151,MATCH(INDEX(FTE_Allocation!$A$2:$A$201,$AB452),Workforce!$A$2:$A$151,0))="",2958101,INDEX(Workforce!$J$2:$J$151,MATCH(INDEX(FTE_Allocation!$A$2:$A$201,$AB452),Workforce!$A$2:$A$151,0))),IF(INDEX(FTE_Allocation!$J$2:$J$201,$AB452)="",2958101,INDEX(FTE_Allocation!$J$2:$J$201,$AB452))),"")))</f>
        <v/>
      </c>
      <c r="AG452" s="19">
        <f>IF($Z452="C",IF(INDEX(Contracts!$I$2:$I$151,$AB452)="PREPAID",INDEX(Contracts!$M$2:$M$151,$AB452)/IF(INDEX(Contracts!$N$2:$N$151,$AB452)="",12,INDEX(Contracts!$N$2:$N$151,$AB452)),IF(INDEX(Contracts!$I$2:$I$151,$AB452)="MONTHLY",INDEX(Contracts!$M$2:$M$151,$AB452),0))*(1-N(INDEX(Contracts!$O$2:$O$151,$AB452))),IF($Z452="A",INDEX(Fixed_Assets!$H$2:$H$201,$AB452)/INDEX(Fixed_Assets!$J$2:$J$201,$AB452),IF($Z452="F",INDEX(Workforce!$F$2:$F$151,MATCH(INDEX(FTE_Allocation!$A$2:$A$201,$AB452),Workforce!$A$2:$A$151,0))*N(INDEX(FTE_Allocation!$F$2:$H$201,$AB452,$AC452)),"")))</f>
        <v/>
      </c>
    </row>
    <row r="453">
      <c r="A453" s="7">
        <f>IF($Z453="","",$AD453)</f>
        <v/>
      </c>
      <c r="B453" s="7">
        <f>IF($Z453="C",INDEX(Contracts!$D$2:$D$151,$AB453)&amp;"",IF($Z453="A",INDEX(Fixed_Assets!$C$2:$C$201,$AB453)&amp;"",IF($Z453="F",INDEX(Workforce!$B$2:$B$151,MATCH(INDEX(FTE_Allocation!$A$2:$A$201,$AB453),Workforce!$A$2:$A$151,0))&amp;"","")))</f>
        <v/>
      </c>
      <c r="C453" s="7">
        <f>IF($Z453="C",INDEX(Contracts!$E$2:$E$151,$AB453)&amp;"",IF($Z453="A",INDEX(Fixed_Assets!$D$2:$D$201,$AB453)&amp;"",IF($Z453="F",INDEX(FTE_Allocation!$C$2:$C$201,$AB453)&amp;"","")))</f>
        <v/>
      </c>
      <c r="D453" s="7">
        <f>IF($Z453="C",INDEX(Contracts!$B$2:$B$151,$AB453)&amp;"",IF($Z453="A",INDEX(Fixed_Assets!$B$2:$B$201,$AB453)&amp;"",IF($Z453="F",INDEX(FTE_Allocation!$B$2:$B$201,$AB453)&amp;"","")))</f>
        <v/>
      </c>
      <c r="E453" s="7">
        <f>IF($Z453="C",INDEX(Contracts!$P$2:$P$151,$AB453)&amp;"",IF($Z453="A",INDEX(Fixed_Assets!$K$2:$K$201,$AB453)&amp;"",IF($Z453="F",IF(INDEX(FTE_Allocation!$D$2:$D$201,$AB453)="PROJECT",IFERROR(INDEX(Projects!$D:$D,MATCH(INDEX(FTE_Allocation!$E$2:$E$201,$AB453),Projects!$A:$A,0))&amp;"","#PROJECT?"),INDEX(FTE_Allocation!$E$2:$E$201,$AB453)&amp;""),"")))</f>
        <v/>
      </c>
      <c r="F453" s="7">
        <f>IF($Z453="C",INDEX(Contracts!$Q$2:$Q$151,$AB453)&amp;"",IF($Z453="A",INDEX(Fixed_Assets!$L$2:$L$201,$AB453)&amp;"",IF($Z453="F",INDEX(Workforce!$K$2:$K$151,MATCH(INDEX(FTE_Allocation!$A$2:$A$201,$AB453),Workforce!$A$2:$A$151,0))&amp;"","")))</f>
        <v/>
      </c>
      <c r="G453" s="7">
        <f>IF($Z453="C",INDEX(Contracts!$F$2:$F$151,$AB453)&amp;" / "&amp;INDEX(Contracts!$G$2:$G$151,$AB453),IF($Z453="A",INDEX(Fixed_Assets!$E$2:$E$201,$AB453)&amp;"",IF($Z453="F","Personnel "&amp;INDEX(FTE_Allocation!$A$2:$A$201,$AB453)&amp;IF(INDEX(FTE_Allocation!$D$2:$D$201,$AB453)="PROJECT"," ("&amp;INDEX(FTE_Allocation!$E$2:$E$201,$AB453)&amp;")",""),"")))</f>
        <v/>
      </c>
      <c r="H453" s="7">
        <f>IF($Z453="C","CONTRACT",IF($Z453="A","ASSET",IF($Z453="F","WORKFORCE","")))</f>
        <v/>
      </c>
      <c r="I453" s="7">
        <f>IF($Z453="C",INDEX(Contracts!$L$2:$L$151,$AB453)&amp;"",IF($Z453="A",INDEX(Fixed_Assets!$I$2:$I$201,$AB453)&amp;"",IF($Z453="F",INDEX(Workforce!$G$2:$G$151,MATCH(INDEX(FTE_Allocation!$A$2:$A$201,$AB453),Workforce!$A$2:$A$151,0))&amp;"","")))</f>
        <v/>
      </c>
      <c r="J453" s="18">
        <f>IF($Z453="","",IF(AND(DATE($AD453,1,1)&gt;=$AE453,DATE($AD453,1,1)&lt;=$AF453),ROUND($AG453,2),0))</f>
        <v/>
      </c>
      <c r="K453" s="18">
        <f>IF($Z453="","",IF(AND(DATE($AD453,2,1)&gt;=$AE453,DATE($AD453,2,1)&lt;=$AF453),ROUND($AG453,2),0))</f>
        <v/>
      </c>
      <c r="L453" s="18">
        <f>IF($Z453="","",IF(AND(DATE($AD453,3,1)&gt;=$AE453,DATE($AD453,3,1)&lt;=$AF453),ROUND($AG453,2),0))</f>
        <v/>
      </c>
      <c r="M453" s="18">
        <f>IF($Z453="","",IF(AND(DATE($AD453,4,1)&gt;=$AE453,DATE($AD453,4,1)&lt;=$AF453),ROUND($AG453,2),0))</f>
        <v/>
      </c>
      <c r="N453" s="18">
        <f>IF($Z453="","",IF(AND(DATE($AD453,5,1)&gt;=$AE453,DATE($AD453,5,1)&lt;=$AF453),ROUND($AG453,2),0))</f>
        <v/>
      </c>
      <c r="O453" s="18">
        <f>IF($Z453="","",IF(AND(DATE($AD453,6,1)&gt;=$AE453,DATE($AD453,6,1)&lt;=$AF453),ROUND($AG453,2),0))</f>
        <v/>
      </c>
      <c r="P453" s="18">
        <f>IF($Z453="","",IF(AND(DATE($AD453,7,1)&gt;=$AE453,DATE($AD453,7,1)&lt;=$AF453),ROUND($AG453,2),0))</f>
        <v/>
      </c>
      <c r="Q453" s="18">
        <f>IF($Z453="","",IF(AND(DATE($AD453,8,1)&gt;=$AE453,DATE($AD453,8,1)&lt;=$AF453),ROUND($AG453,2),0))</f>
        <v/>
      </c>
      <c r="R453" s="18">
        <f>IF($Z453="","",IF(AND(DATE($AD453,9,1)&gt;=$AE453,DATE($AD453,9,1)&lt;=$AF453),ROUND($AG453,2),0))</f>
        <v/>
      </c>
      <c r="S453" s="18">
        <f>IF($Z453="","",IF(AND(DATE($AD453,10,1)&gt;=$AE453,DATE($AD453,10,1)&lt;=$AF453),ROUND($AG453,2),0))</f>
        <v/>
      </c>
      <c r="T453" s="18">
        <f>IF($Z453="","",IF(AND(DATE($AD453,11,1)&gt;=$AE453,DATE($AD453,11,1)&lt;=$AF453),ROUND($AG453,2),0))</f>
        <v/>
      </c>
      <c r="U453" s="18">
        <f>IF($Z453="","",IF(AND(DATE($AD453,12,1)&gt;=$AE453,DATE($AD453,12,1)&lt;=$AF453),ROUND($AG453,2),0))</f>
        <v/>
      </c>
      <c r="V453" s="7">
        <f>IF($Z453="C","Generated from "&amp;INDEX(Contracts!$A$2:$A$151,$AB453),IF($Z453="A","Generated from "&amp;INDEX(Fixed_Assets!$A$2:$A$201,$AB453),IF($Z453="F","Generated from "&amp;INDEX(FTE_Allocation!$A$2:$A$201,$AB453),"")))</f>
        <v/>
      </c>
      <c r="X453" s="19">
        <f>IF($Z453="","",SUM(J453:U453))</f>
        <v/>
      </c>
      <c r="Y453" s="20">
        <f>ROW()-1</f>
        <v/>
      </c>
      <c r="Z453" s="20">
        <f>IF($Y453&lt;=Settings!$B$4*3,"C",IF($Y453&lt;=(Settings!$B$4+Settings!$B$5)*3,"A",IF($Y453&lt;=(Settings!$B$4+Settings!$B$5+Settings!$B$6)*3,"F","")))</f>
        <v/>
      </c>
      <c r="AA453" s="20">
        <f>IF($Z453="C",$Y453,IF($Z453="A",$Y453-Settings!$B$4*3,IF($Z453="F",$Y453-(Settings!$B$4+Settings!$B$5)*3,"")))</f>
        <v/>
      </c>
      <c r="AB453" s="20">
        <f>IF($Z453="","",INT(($AA453-1)/3)+1)</f>
        <v/>
      </c>
      <c r="AC453" s="20">
        <f>IF($Z453="","",MOD($AA453-1,3)+1)</f>
        <v/>
      </c>
      <c r="AD453" s="20">
        <f>IF($Z453="","",Settings!$B$2+$AC453-1)</f>
        <v/>
      </c>
      <c r="AE453" s="21">
        <f>IF($Z453="C",DATE(YEAR(INDEX(Contracts!$J$2:$J$151,$AB453)),MONTH(INDEX(Contracts!$J$2:$J$151,$AB453)),1),IF($Z453="A",DATE(YEAR(INDEX(Fixed_Assets!$G$2:$G$201,$AB453)),MONTH(INDEX(Fixed_Assets!$G$2:$G$201,$AB453)),1),IF($Z453="F",DATE(YEAR(MAX(N(INDEX(Workforce!$I$2:$I$151,MATCH(INDEX(FTE_Allocation!$A$2:$A$201,$AB453),Workforce!$A$2:$A$151,0))),N(INDEX(FTE_Allocation!$I$2:$I$201,$AB453)))),MONTH(MAX(N(INDEX(Workforce!$I$2:$I$151,MATCH(INDEX(FTE_Allocation!$A$2:$A$201,$AB453),Workforce!$A$2:$A$151,0))),N(INDEX(FTE_Allocation!$I$2:$I$201,$AB453)))),1),"")))</f>
        <v/>
      </c>
      <c r="AF453" s="21">
        <f>IF($Z453="C",IF(INDEX(Contracts!$I$2:$I$151,$AB453)="PREPAID",EDATE(DATE(YEAR(INDEX(Contracts!$J$2:$J$151,$AB453)),MONTH(INDEX(Contracts!$J$2:$J$151,$AB453)),1),IF(INDEX(Contracts!$N$2:$N$151,$AB453)="",12,INDEX(Contracts!$N$2:$N$151,$AB453))-1),IF(INDEX(Contracts!$I$2:$I$151,$AB453)="MONTHLY",IF(INDEX(Contracts!$K$2:$K$151,$AB453)="",2958101,INDEX(Contracts!$K$2:$K$151,$AB453)),0)),IF($Z453="A",EDATE(DATE(YEAR(INDEX(Fixed_Assets!$G$2:$G$201,$AB453)),MONTH(INDEX(Fixed_Assets!$G$2:$G$201,$AB453)),1),INDEX(Fixed_Assets!$J$2:$J$201,$AB453)-1),IF($Z453="F",MIN(IF(INDEX(Workforce!$J$2:$J$151,MATCH(INDEX(FTE_Allocation!$A$2:$A$201,$AB453),Workforce!$A$2:$A$151,0))="",2958101,INDEX(Workforce!$J$2:$J$151,MATCH(INDEX(FTE_Allocation!$A$2:$A$201,$AB453),Workforce!$A$2:$A$151,0))),IF(INDEX(FTE_Allocation!$J$2:$J$201,$AB453)="",2958101,INDEX(FTE_Allocation!$J$2:$J$201,$AB453))),"")))</f>
        <v/>
      </c>
      <c r="AG453" s="19">
        <f>IF($Z453="C",IF(INDEX(Contracts!$I$2:$I$151,$AB453)="PREPAID",INDEX(Contracts!$M$2:$M$151,$AB453)/IF(INDEX(Contracts!$N$2:$N$151,$AB453)="",12,INDEX(Contracts!$N$2:$N$151,$AB453)),IF(INDEX(Contracts!$I$2:$I$151,$AB453)="MONTHLY",INDEX(Contracts!$M$2:$M$151,$AB453),0))*(1-N(INDEX(Contracts!$O$2:$O$151,$AB453))),IF($Z453="A",INDEX(Fixed_Assets!$H$2:$H$201,$AB453)/INDEX(Fixed_Assets!$J$2:$J$201,$AB453),IF($Z453="F",INDEX(Workforce!$F$2:$F$151,MATCH(INDEX(FTE_Allocation!$A$2:$A$201,$AB453),Workforce!$A$2:$A$151,0))*N(INDEX(FTE_Allocation!$F$2:$H$201,$AB453,$AC453)),"")))</f>
        <v/>
      </c>
    </row>
    <row r="454">
      <c r="A454" s="7">
        <f>IF($Z454="","",$AD454)</f>
        <v/>
      </c>
      <c r="B454" s="7">
        <f>IF($Z454="C",INDEX(Contracts!$D$2:$D$151,$AB454)&amp;"",IF($Z454="A",INDEX(Fixed_Assets!$C$2:$C$201,$AB454)&amp;"",IF($Z454="F",INDEX(Workforce!$B$2:$B$151,MATCH(INDEX(FTE_Allocation!$A$2:$A$201,$AB454),Workforce!$A$2:$A$151,0))&amp;"","")))</f>
        <v/>
      </c>
      <c r="C454" s="7">
        <f>IF($Z454="C",INDEX(Contracts!$E$2:$E$151,$AB454)&amp;"",IF($Z454="A",INDEX(Fixed_Assets!$D$2:$D$201,$AB454)&amp;"",IF($Z454="F",INDEX(FTE_Allocation!$C$2:$C$201,$AB454)&amp;"","")))</f>
        <v/>
      </c>
      <c r="D454" s="7">
        <f>IF($Z454="C",INDEX(Contracts!$B$2:$B$151,$AB454)&amp;"",IF($Z454="A",INDEX(Fixed_Assets!$B$2:$B$201,$AB454)&amp;"",IF($Z454="F",INDEX(FTE_Allocation!$B$2:$B$201,$AB454)&amp;"","")))</f>
        <v/>
      </c>
      <c r="E454" s="7">
        <f>IF($Z454="C",INDEX(Contracts!$P$2:$P$151,$AB454)&amp;"",IF($Z454="A",INDEX(Fixed_Assets!$K$2:$K$201,$AB454)&amp;"",IF($Z454="F",IF(INDEX(FTE_Allocation!$D$2:$D$201,$AB454)="PROJECT",IFERROR(INDEX(Projects!$D:$D,MATCH(INDEX(FTE_Allocation!$E$2:$E$201,$AB454),Projects!$A:$A,0))&amp;"","#PROJECT?"),INDEX(FTE_Allocation!$E$2:$E$201,$AB454)&amp;""),"")))</f>
        <v/>
      </c>
      <c r="F454" s="7">
        <f>IF($Z454="C",INDEX(Contracts!$Q$2:$Q$151,$AB454)&amp;"",IF($Z454="A",INDEX(Fixed_Assets!$L$2:$L$201,$AB454)&amp;"",IF($Z454="F",INDEX(Workforce!$K$2:$K$151,MATCH(INDEX(FTE_Allocation!$A$2:$A$201,$AB454),Workforce!$A$2:$A$151,0))&amp;"","")))</f>
        <v/>
      </c>
      <c r="G454" s="7">
        <f>IF($Z454="C",INDEX(Contracts!$F$2:$F$151,$AB454)&amp;" / "&amp;INDEX(Contracts!$G$2:$G$151,$AB454),IF($Z454="A",INDEX(Fixed_Assets!$E$2:$E$201,$AB454)&amp;"",IF($Z454="F","Personnel "&amp;INDEX(FTE_Allocation!$A$2:$A$201,$AB454)&amp;IF(INDEX(FTE_Allocation!$D$2:$D$201,$AB454)="PROJECT"," ("&amp;INDEX(FTE_Allocation!$E$2:$E$201,$AB454)&amp;")",""),"")))</f>
        <v/>
      </c>
      <c r="H454" s="7">
        <f>IF($Z454="C","CONTRACT",IF($Z454="A","ASSET",IF($Z454="F","WORKFORCE","")))</f>
        <v/>
      </c>
      <c r="I454" s="7">
        <f>IF($Z454="C",INDEX(Contracts!$L$2:$L$151,$AB454)&amp;"",IF($Z454="A",INDEX(Fixed_Assets!$I$2:$I$201,$AB454)&amp;"",IF($Z454="F",INDEX(Workforce!$G$2:$G$151,MATCH(INDEX(FTE_Allocation!$A$2:$A$201,$AB454),Workforce!$A$2:$A$151,0))&amp;"","")))</f>
        <v/>
      </c>
      <c r="J454" s="18">
        <f>IF($Z454="","",IF(AND(DATE($AD454,1,1)&gt;=$AE454,DATE($AD454,1,1)&lt;=$AF454),ROUND($AG454,2),0))</f>
        <v/>
      </c>
      <c r="K454" s="18">
        <f>IF($Z454="","",IF(AND(DATE($AD454,2,1)&gt;=$AE454,DATE($AD454,2,1)&lt;=$AF454),ROUND($AG454,2),0))</f>
        <v/>
      </c>
      <c r="L454" s="18">
        <f>IF($Z454="","",IF(AND(DATE($AD454,3,1)&gt;=$AE454,DATE($AD454,3,1)&lt;=$AF454),ROUND($AG454,2),0))</f>
        <v/>
      </c>
      <c r="M454" s="18">
        <f>IF($Z454="","",IF(AND(DATE($AD454,4,1)&gt;=$AE454,DATE($AD454,4,1)&lt;=$AF454),ROUND($AG454,2),0))</f>
        <v/>
      </c>
      <c r="N454" s="18">
        <f>IF($Z454="","",IF(AND(DATE($AD454,5,1)&gt;=$AE454,DATE($AD454,5,1)&lt;=$AF454),ROUND($AG454,2),0))</f>
        <v/>
      </c>
      <c r="O454" s="18">
        <f>IF($Z454="","",IF(AND(DATE($AD454,6,1)&gt;=$AE454,DATE($AD454,6,1)&lt;=$AF454),ROUND($AG454,2),0))</f>
        <v/>
      </c>
      <c r="P454" s="18">
        <f>IF($Z454="","",IF(AND(DATE($AD454,7,1)&gt;=$AE454,DATE($AD454,7,1)&lt;=$AF454),ROUND($AG454,2),0))</f>
        <v/>
      </c>
      <c r="Q454" s="18">
        <f>IF($Z454="","",IF(AND(DATE($AD454,8,1)&gt;=$AE454,DATE($AD454,8,1)&lt;=$AF454),ROUND($AG454,2),0))</f>
        <v/>
      </c>
      <c r="R454" s="18">
        <f>IF($Z454="","",IF(AND(DATE($AD454,9,1)&gt;=$AE454,DATE($AD454,9,1)&lt;=$AF454),ROUND($AG454,2),0))</f>
        <v/>
      </c>
      <c r="S454" s="18">
        <f>IF($Z454="","",IF(AND(DATE($AD454,10,1)&gt;=$AE454,DATE($AD454,10,1)&lt;=$AF454),ROUND($AG454,2),0))</f>
        <v/>
      </c>
      <c r="T454" s="18">
        <f>IF($Z454="","",IF(AND(DATE($AD454,11,1)&gt;=$AE454,DATE($AD454,11,1)&lt;=$AF454),ROUND($AG454,2),0))</f>
        <v/>
      </c>
      <c r="U454" s="18">
        <f>IF($Z454="","",IF(AND(DATE($AD454,12,1)&gt;=$AE454,DATE($AD454,12,1)&lt;=$AF454),ROUND($AG454,2),0))</f>
        <v/>
      </c>
      <c r="V454" s="7">
        <f>IF($Z454="C","Generated from "&amp;INDEX(Contracts!$A$2:$A$151,$AB454),IF($Z454="A","Generated from "&amp;INDEX(Fixed_Assets!$A$2:$A$201,$AB454),IF($Z454="F","Generated from "&amp;INDEX(FTE_Allocation!$A$2:$A$201,$AB454),"")))</f>
        <v/>
      </c>
      <c r="X454" s="19">
        <f>IF($Z454="","",SUM(J454:U454))</f>
        <v/>
      </c>
      <c r="Y454" s="20">
        <f>ROW()-1</f>
        <v/>
      </c>
      <c r="Z454" s="20">
        <f>IF($Y454&lt;=Settings!$B$4*3,"C",IF($Y454&lt;=(Settings!$B$4+Settings!$B$5)*3,"A",IF($Y454&lt;=(Settings!$B$4+Settings!$B$5+Settings!$B$6)*3,"F","")))</f>
        <v/>
      </c>
      <c r="AA454" s="20">
        <f>IF($Z454="C",$Y454,IF($Z454="A",$Y454-Settings!$B$4*3,IF($Z454="F",$Y454-(Settings!$B$4+Settings!$B$5)*3,"")))</f>
        <v/>
      </c>
      <c r="AB454" s="20">
        <f>IF($Z454="","",INT(($AA454-1)/3)+1)</f>
        <v/>
      </c>
      <c r="AC454" s="20">
        <f>IF($Z454="","",MOD($AA454-1,3)+1)</f>
        <v/>
      </c>
      <c r="AD454" s="20">
        <f>IF($Z454="","",Settings!$B$2+$AC454-1)</f>
        <v/>
      </c>
      <c r="AE454" s="21">
        <f>IF($Z454="C",DATE(YEAR(INDEX(Contracts!$J$2:$J$151,$AB454)),MONTH(INDEX(Contracts!$J$2:$J$151,$AB454)),1),IF($Z454="A",DATE(YEAR(INDEX(Fixed_Assets!$G$2:$G$201,$AB454)),MONTH(INDEX(Fixed_Assets!$G$2:$G$201,$AB454)),1),IF($Z454="F",DATE(YEAR(MAX(N(INDEX(Workforce!$I$2:$I$151,MATCH(INDEX(FTE_Allocation!$A$2:$A$201,$AB454),Workforce!$A$2:$A$151,0))),N(INDEX(FTE_Allocation!$I$2:$I$201,$AB454)))),MONTH(MAX(N(INDEX(Workforce!$I$2:$I$151,MATCH(INDEX(FTE_Allocation!$A$2:$A$201,$AB454),Workforce!$A$2:$A$151,0))),N(INDEX(FTE_Allocation!$I$2:$I$201,$AB454)))),1),"")))</f>
        <v/>
      </c>
      <c r="AF454" s="21">
        <f>IF($Z454="C",IF(INDEX(Contracts!$I$2:$I$151,$AB454)="PREPAID",EDATE(DATE(YEAR(INDEX(Contracts!$J$2:$J$151,$AB454)),MONTH(INDEX(Contracts!$J$2:$J$151,$AB454)),1),IF(INDEX(Contracts!$N$2:$N$151,$AB454)="",12,INDEX(Contracts!$N$2:$N$151,$AB454))-1),IF(INDEX(Contracts!$I$2:$I$151,$AB454)="MONTHLY",IF(INDEX(Contracts!$K$2:$K$151,$AB454)="",2958101,INDEX(Contracts!$K$2:$K$151,$AB454)),0)),IF($Z454="A",EDATE(DATE(YEAR(INDEX(Fixed_Assets!$G$2:$G$201,$AB454)),MONTH(INDEX(Fixed_Assets!$G$2:$G$201,$AB454)),1),INDEX(Fixed_Assets!$J$2:$J$201,$AB454)-1),IF($Z454="F",MIN(IF(INDEX(Workforce!$J$2:$J$151,MATCH(INDEX(FTE_Allocation!$A$2:$A$201,$AB454),Workforce!$A$2:$A$151,0))="",2958101,INDEX(Workforce!$J$2:$J$151,MATCH(INDEX(FTE_Allocation!$A$2:$A$201,$AB454),Workforce!$A$2:$A$151,0))),IF(INDEX(FTE_Allocation!$J$2:$J$201,$AB454)="",2958101,INDEX(FTE_Allocation!$J$2:$J$201,$AB454))),"")))</f>
        <v/>
      </c>
      <c r="AG454" s="19">
        <f>IF($Z454="C",IF(INDEX(Contracts!$I$2:$I$151,$AB454)="PREPAID",INDEX(Contracts!$M$2:$M$151,$AB454)/IF(INDEX(Contracts!$N$2:$N$151,$AB454)="",12,INDEX(Contracts!$N$2:$N$151,$AB454)),IF(INDEX(Contracts!$I$2:$I$151,$AB454)="MONTHLY",INDEX(Contracts!$M$2:$M$151,$AB454),0))*(1-N(INDEX(Contracts!$O$2:$O$151,$AB454))),IF($Z454="A",INDEX(Fixed_Assets!$H$2:$H$201,$AB454)/INDEX(Fixed_Assets!$J$2:$J$201,$AB454),IF($Z454="F",INDEX(Workforce!$F$2:$F$151,MATCH(INDEX(FTE_Allocation!$A$2:$A$201,$AB454),Workforce!$A$2:$A$151,0))*N(INDEX(FTE_Allocation!$F$2:$H$201,$AB454,$AC454)),"")))</f>
        <v/>
      </c>
    </row>
    <row r="455">
      <c r="A455" s="7">
        <f>IF($Z455="","",$AD455)</f>
        <v/>
      </c>
      <c r="B455" s="7">
        <f>IF($Z455="C",INDEX(Contracts!$D$2:$D$151,$AB455)&amp;"",IF($Z455="A",INDEX(Fixed_Assets!$C$2:$C$201,$AB455)&amp;"",IF($Z455="F",INDEX(Workforce!$B$2:$B$151,MATCH(INDEX(FTE_Allocation!$A$2:$A$201,$AB455),Workforce!$A$2:$A$151,0))&amp;"","")))</f>
        <v/>
      </c>
      <c r="C455" s="7">
        <f>IF($Z455="C",INDEX(Contracts!$E$2:$E$151,$AB455)&amp;"",IF($Z455="A",INDEX(Fixed_Assets!$D$2:$D$201,$AB455)&amp;"",IF($Z455="F",INDEX(FTE_Allocation!$C$2:$C$201,$AB455)&amp;"","")))</f>
        <v/>
      </c>
      <c r="D455" s="7">
        <f>IF($Z455="C",INDEX(Contracts!$B$2:$B$151,$AB455)&amp;"",IF($Z455="A",INDEX(Fixed_Assets!$B$2:$B$201,$AB455)&amp;"",IF($Z455="F",INDEX(FTE_Allocation!$B$2:$B$201,$AB455)&amp;"","")))</f>
        <v/>
      </c>
      <c r="E455" s="7">
        <f>IF($Z455="C",INDEX(Contracts!$P$2:$P$151,$AB455)&amp;"",IF($Z455="A",INDEX(Fixed_Assets!$K$2:$K$201,$AB455)&amp;"",IF($Z455="F",IF(INDEX(FTE_Allocation!$D$2:$D$201,$AB455)="PROJECT",IFERROR(INDEX(Projects!$D:$D,MATCH(INDEX(FTE_Allocation!$E$2:$E$201,$AB455),Projects!$A:$A,0))&amp;"","#PROJECT?"),INDEX(FTE_Allocation!$E$2:$E$201,$AB455)&amp;""),"")))</f>
        <v/>
      </c>
      <c r="F455" s="7">
        <f>IF($Z455="C",INDEX(Contracts!$Q$2:$Q$151,$AB455)&amp;"",IF($Z455="A",INDEX(Fixed_Assets!$L$2:$L$201,$AB455)&amp;"",IF($Z455="F",INDEX(Workforce!$K$2:$K$151,MATCH(INDEX(FTE_Allocation!$A$2:$A$201,$AB455),Workforce!$A$2:$A$151,0))&amp;"","")))</f>
        <v/>
      </c>
      <c r="G455" s="7">
        <f>IF($Z455="C",INDEX(Contracts!$F$2:$F$151,$AB455)&amp;" / "&amp;INDEX(Contracts!$G$2:$G$151,$AB455),IF($Z455="A",INDEX(Fixed_Assets!$E$2:$E$201,$AB455)&amp;"",IF($Z455="F","Personnel "&amp;INDEX(FTE_Allocation!$A$2:$A$201,$AB455)&amp;IF(INDEX(FTE_Allocation!$D$2:$D$201,$AB455)="PROJECT"," ("&amp;INDEX(FTE_Allocation!$E$2:$E$201,$AB455)&amp;")",""),"")))</f>
        <v/>
      </c>
      <c r="H455" s="7">
        <f>IF($Z455="C","CONTRACT",IF($Z455="A","ASSET",IF($Z455="F","WORKFORCE","")))</f>
        <v/>
      </c>
      <c r="I455" s="7">
        <f>IF($Z455="C",INDEX(Contracts!$L$2:$L$151,$AB455)&amp;"",IF($Z455="A",INDEX(Fixed_Assets!$I$2:$I$201,$AB455)&amp;"",IF($Z455="F",INDEX(Workforce!$G$2:$G$151,MATCH(INDEX(FTE_Allocation!$A$2:$A$201,$AB455),Workforce!$A$2:$A$151,0))&amp;"","")))</f>
        <v/>
      </c>
      <c r="J455" s="18">
        <f>IF($Z455="","",IF(AND(DATE($AD455,1,1)&gt;=$AE455,DATE($AD455,1,1)&lt;=$AF455),ROUND($AG455,2),0))</f>
        <v/>
      </c>
      <c r="K455" s="18">
        <f>IF($Z455="","",IF(AND(DATE($AD455,2,1)&gt;=$AE455,DATE($AD455,2,1)&lt;=$AF455),ROUND($AG455,2),0))</f>
        <v/>
      </c>
      <c r="L455" s="18">
        <f>IF($Z455="","",IF(AND(DATE($AD455,3,1)&gt;=$AE455,DATE($AD455,3,1)&lt;=$AF455),ROUND($AG455,2),0))</f>
        <v/>
      </c>
      <c r="M455" s="18">
        <f>IF($Z455="","",IF(AND(DATE($AD455,4,1)&gt;=$AE455,DATE($AD455,4,1)&lt;=$AF455),ROUND($AG455,2),0))</f>
        <v/>
      </c>
      <c r="N455" s="18">
        <f>IF($Z455="","",IF(AND(DATE($AD455,5,1)&gt;=$AE455,DATE($AD455,5,1)&lt;=$AF455),ROUND($AG455,2),0))</f>
        <v/>
      </c>
      <c r="O455" s="18">
        <f>IF($Z455="","",IF(AND(DATE($AD455,6,1)&gt;=$AE455,DATE($AD455,6,1)&lt;=$AF455),ROUND($AG455,2),0))</f>
        <v/>
      </c>
      <c r="P455" s="18">
        <f>IF($Z455="","",IF(AND(DATE($AD455,7,1)&gt;=$AE455,DATE($AD455,7,1)&lt;=$AF455),ROUND($AG455,2),0))</f>
        <v/>
      </c>
      <c r="Q455" s="18">
        <f>IF($Z455="","",IF(AND(DATE($AD455,8,1)&gt;=$AE455,DATE($AD455,8,1)&lt;=$AF455),ROUND($AG455,2),0))</f>
        <v/>
      </c>
      <c r="R455" s="18">
        <f>IF($Z455="","",IF(AND(DATE($AD455,9,1)&gt;=$AE455,DATE($AD455,9,1)&lt;=$AF455),ROUND($AG455,2),0))</f>
        <v/>
      </c>
      <c r="S455" s="18">
        <f>IF($Z455="","",IF(AND(DATE($AD455,10,1)&gt;=$AE455,DATE($AD455,10,1)&lt;=$AF455),ROUND($AG455,2),0))</f>
        <v/>
      </c>
      <c r="T455" s="18">
        <f>IF($Z455="","",IF(AND(DATE($AD455,11,1)&gt;=$AE455,DATE($AD455,11,1)&lt;=$AF455),ROUND($AG455,2),0))</f>
        <v/>
      </c>
      <c r="U455" s="18">
        <f>IF($Z455="","",IF(AND(DATE($AD455,12,1)&gt;=$AE455,DATE($AD455,12,1)&lt;=$AF455),ROUND($AG455,2),0))</f>
        <v/>
      </c>
      <c r="V455" s="7">
        <f>IF($Z455="C","Generated from "&amp;INDEX(Contracts!$A$2:$A$151,$AB455),IF($Z455="A","Generated from "&amp;INDEX(Fixed_Assets!$A$2:$A$201,$AB455),IF($Z455="F","Generated from "&amp;INDEX(FTE_Allocation!$A$2:$A$201,$AB455),"")))</f>
        <v/>
      </c>
      <c r="X455" s="19">
        <f>IF($Z455="","",SUM(J455:U455))</f>
        <v/>
      </c>
      <c r="Y455" s="20">
        <f>ROW()-1</f>
        <v/>
      </c>
      <c r="Z455" s="20">
        <f>IF($Y455&lt;=Settings!$B$4*3,"C",IF($Y455&lt;=(Settings!$B$4+Settings!$B$5)*3,"A",IF($Y455&lt;=(Settings!$B$4+Settings!$B$5+Settings!$B$6)*3,"F","")))</f>
        <v/>
      </c>
      <c r="AA455" s="20">
        <f>IF($Z455="C",$Y455,IF($Z455="A",$Y455-Settings!$B$4*3,IF($Z455="F",$Y455-(Settings!$B$4+Settings!$B$5)*3,"")))</f>
        <v/>
      </c>
      <c r="AB455" s="20">
        <f>IF($Z455="","",INT(($AA455-1)/3)+1)</f>
        <v/>
      </c>
      <c r="AC455" s="20">
        <f>IF($Z455="","",MOD($AA455-1,3)+1)</f>
        <v/>
      </c>
      <c r="AD455" s="20">
        <f>IF($Z455="","",Settings!$B$2+$AC455-1)</f>
        <v/>
      </c>
      <c r="AE455" s="21">
        <f>IF($Z455="C",DATE(YEAR(INDEX(Contracts!$J$2:$J$151,$AB455)),MONTH(INDEX(Contracts!$J$2:$J$151,$AB455)),1),IF($Z455="A",DATE(YEAR(INDEX(Fixed_Assets!$G$2:$G$201,$AB455)),MONTH(INDEX(Fixed_Assets!$G$2:$G$201,$AB455)),1),IF($Z455="F",DATE(YEAR(MAX(N(INDEX(Workforce!$I$2:$I$151,MATCH(INDEX(FTE_Allocation!$A$2:$A$201,$AB455),Workforce!$A$2:$A$151,0))),N(INDEX(FTE_Allocation!$I$2:$I$201,$AB455)))),MONTH(MAX(N(INDEX(Workforce!$I$2:$I$151,MATCH(INDEX(FTE_Allocation!$A$2:$A$201,$AB455),Workforce!$A$2:$A$151,0))),N(INDEX(FTE_Allocation!$I$2:$I$201,$AB455)))),1),"")))</f>
        <v/>
      </c>
      <c r="AF455" s="21">
        <f>IF($Z455="C",IF(INDEX(Contracts!$I$2:$I$151,$AB455)="PREPAID",EDATE(DATE(YEAR(INDEX(Contracts!$J$2:$J$151,$AB455)),MONTH(INDEX(Contracts!$J$2:$J$151,$AB455)),1),IF(INDEX(Contracts!$N$2:$N$151,$AB455)="",12,INDEX(Contracts!$N$2:$N$151,$AB455))-1),IF(INDEX(Contracts!$I$2:$I$151,$AB455)="MONTHLY",IF(INDEX(Contracts!$K$2:$K$151,$AB455)="",2958101,INDEX(Contracts!$K$2:$K$151,$AB455)),0)),IF($Z455="A",EDATE(DATE(YEAR(INDEX(Fixed_Assets!$G$2:$G$201,$AB455)),MONTH(INDEX(Fixed_Assets!$G$2:$G$201,$AB455)),1),INDEX(Fixed_Assets!$J$2:$J$201,$AB455)-1),IF($Z455="F",MIN(IF(INDEX(Workforce!$J$2:$J$151,MATCH(INDEX(FTE_Allocation!$A$2:$A$201,$AB455),Workforce!$A$2:$A$151,0))="",2958101,INDEX(Workforce!$J$2:$J$151,MATCH(INDEX(FTE_Allocation!$A$2:$A$201,$AB455),Workforce!$A$2:$A$151,0))),IF(INDEX(FTE_Allocation!$J$2:$J$201,$AB455)="",2958101,INDEX(FTE_Allocation!$J$2:$J$201,$AB455))),"")))</f>
        <v/>
      </c>
      <c r="AG455" s="19">
        <f>IF($Z455="C",IF(INDEX(Contracts!$I$2:$I$151,$AB455)="PREPAID",INDEX(Contracts!$M$2:$M$151,$AB455)/IF(INDEX(Contracts!$N$2:$N$151,$AB455)="",12,INDEX(Contracts!$N$2:$N$151,$AB455)),IF(INDEX(Contracts!$I$2:$I$151,$AB455)="MONTHLY",INDEX(Contracts!$M$2:$M$151,$AB455),0))*(1-N(INDEX(Contracts!$O$2:$O$151,$AB455))),IF($Z455="A",INDEX(Fixed_Assets!$H$2:$H$201,$AB455)/INDEX(Fixed_Assets!$J$2:$J$201,$AB455),IF($Z455="F",INDEX(Workforce!$F$2:$F$151,MATCH(INDEX(FTE_Allocation!$A$2:$A$201,$AB455),Workforce!$A$2:$A$151,0))*N(INDEX(FTE_Allocation!$F$2:$H$201,$AB455,$AC455)),"")))</f>
        <v/>
      </c>
    </row>
    <row r="456">
      <c r="A456" s="7">
        <f>IF($Z456="","",$AD456)</f>
        <v/>
      </c>
      <c r="B456" s="7">
        <f>IF($Z456="C",INDEX(Contracts!$D$2:$D$151,$AB456)&amp;"",IF($Z456="A",INDEX(Fixed_Assets!$C$2:$C$201,$AB456)&amp;"",IF($Z456="F",INDEX(Workforce!$B$2:$B$151,MATCH(INDEX(FTE_Allocation!$A$2:$A$201,$AB456),Workforce!$A$2:$A$151,0))&amp;"","")))</f>
        <v/>
      </c>
      <c r="C456" s="7">
        <f>IF($Z456="C",INDEX(Contracts!$E$2:$E$151,$AB456)&amp;"",IF($Z456="A",INDEX(Fixed_Assets!$D$2:$D$201,$AB456)&amp;"",IF($Z456="F",INDEX(FTE_Allocation!$C$2:$C$201,$AB456)&amp;"","")))</f>
        <v/>
      </c>
      <c r="D456" s="7">
        <f>IF($Z456="C",INDEX(Contracts!$B$2:$B$151,$AB456)&amp;"",IF($Z456="A",INDEX(Fixed_Assets!$B$2:$B$201,$AB456)&amp;"",IF($Z456="F",INDEX(FTE_Allocation!$B$2:$B$201,$AB456)&amp;"","")))</f>
        <v/>
      </c>
      <c r="E456" s="7">
        <f>IF($Z456="C",INDEX(Contracts!$P$2:$P$151,$AB456)&amp;"",IF($Z456="A",INDEX(Fixed_Assets!$K$2:$K$201,$AB456)&amp;"",IF($Z456="F",IF(INDEX(FTE_Allocation!$D$2:$D$201,$AB456)="PROJECT",IFERROR(INDEX(Projects!$D:$D,MATCH(INDEX(FTE_Allocation!$E$2:$E$201,$AB456),Projects!$A:$A,0))&amp;"","#PROJECT?"),INDEX(FTE_Allocation!$E$2:$E$201,$AB456)&amp;""),"")))</f>
        <v/>
      </c>
      <c r="F456" s="7">
        <f>IF($Z456="C",INDEX(Contracts!$Q$2:$Q$151,$AB456)&amp;"",IF($Z456="A",INDEX(Fixed_Assets!$L$2:$L$201,$AB456)&amp;"",IF($Z456="F",INDEX(Workforce!$K$2:$K$151,MATCH(INDEX(FTE_Allocation!$A$2:$A$201,$AB456),Workforce!$A$2:$A$151,0))&amp;"","")))</f>
        <v/>
      </c>
      <c r="G456" s="7">
        <f>IF($Z456="C",INDEX(Contracts!$F$2:$F$151,$AB456)&amp;" / "&amp;INDEX(Contracts!$G$2:$G$151,$AB456),IF($Z456="A",INDEX(Fixed_Assets!$E$2:$E$201,$AB456)&amp;"",IF($Z456="F","Personnel "&amp;INDEX(FTE_Allocation!$A$2:$A$201,$AB456)&amp;IF(INDEX(FTE_Allocation!$D$2:$D$201,$AB456)="PROJECT"," ("&amp;INDEX(FTE_Allocation!$E$2:$E$201,$AB456)&amp;")",""),"")))</f>
        <v/>
      </c>
      <c r="H456" s="7">
        <f>IF($Z456="C","CONTRACT",IF($Z456="A","ASSET",IF($Z456="F","WORKFORCE","")))</f>
        <v/>
      </c>
      <c r="I456" s="7">
        <f>IF($Z456="C",INDEX(Contracts!$L$2:$L$151,$AB456)&amp;"",IF($Z456="A",INDEX(Fixed_Assets!$I$2:$I$201,$AB456)&amp;"",IF($Z456="F",INDEX(Workforce!$G$2:$G$151,MATCH(INDEX(FTE_Allocation!$A$2:$A$201,$AB456),Workforce!$A$2:$A$151,0))&amp;"","")))</f>
        <v/>
      </c>
      <c r="J456" s="18">
        <f>IF($Z456="","",IF(AND(DATE($AD456,1,1)&gt;=$AE456,DATE($AD456,1,1)&lt;=$AF456),ROUND($AG456,2),0))</f>
        <v/>
      </c>
      <c r="K456" s="18">
        <f>IF($Z456="","",IF(AND(DATE($AD456,2,1)&gt;=$AE456,DATE($AD456,2,1)&lt;=$AF456),ROUND($AG456,2),0))</f>
        <v/>
      </c>
      <c r="L456" s="18">
        <f>IF($Z456="","",IF(AND(DATE($AD456,3,1)&gt;=$AE456,DATE($AD456,3,1)&lt;=$AF456),ROUND($AG456,2),0))</f>
        <v/>
      </c>
      <c r="M456" s="18">
        <f>IF($Z456="","",IF(AND(DATE($AD456,4,1)&gt;=$AE456,DATE($AD456,4,1)&lt;=$AF456),ROUND($AG456,2),0))</f>
        <v/>
      </c>
      <c r="N456" s="18">
        <f>IF($Z456="","",IF(AND(DATE($AD456,5,1)&gt;=$AE456,DATE($AD456,5,1)&lt;=$AF456),ROUND($AG456,2),0))</f>
        <v/>
      </c>
      <c r="O456" s="18">
        <f>IF($Z456="","",IF(AND(DATE($AD456,6,1)&gt;=$AE456,DATE($AD456,6,1)&lt;=$AF456),ROUND($AG456,2),0))</f>
        <v/>
      </c>
      <c r="P456" s="18">
        <f>IF($Z456="","",IF(AND(DATE($AD456,7,1)&gt;=$AE456,DATE($AD456,7,1)&lt;=$AF456),ROUND($AG456,2),0))</f>
        <v/>
      </c>
      <c r="Q456" s="18">
        <f>IF($Z456="","",IF(AND(DATE($AD456,8,1)&gt;=$AE456,DATE($AD456,8,1)&lt;=$AF456),ROUND($AG456,2),0))</f>
        <v/>
      </c>
      <c r="R456" s="18">
        <f>IF($Z456="","",IF(AND(DATE($AD456,9,1)&gt;=$AE456,DATE($AD456,9,1)&lt;=$AF456),ROUND($AG456,2),0))</f>
        <v/>
      </c>
      <c r="S456" s="18">
        <f>IF($Z456="","",IF(AND(DATE($AD456,10,1)&gt;=$AE456,DATE($AD456,10,1)&lt;=$AF456),ROUND($AG456,2),0))</f>
        <v/>
      </c>
      <c r="T456" s="18">
        <f>IF($Z456="","",IF(AND(DATE($AD456,11,1)&gt;=$AE456,DATE($AD456,11,1)&lt;=$AF456),ROUND($AG456,2),0))</f>
        <v/>
      </c>
      <c r="U456" s="18">
        <f>IF($Z456="","",IF(AND(DATE($AD456,12,1)&gt;=$AE456,DATE($AD456,12,1)&lt;=$AF456),ROUND($AG456,2),0))</f>
        <v/>
      </c>
      <c r="V456" s="7">
        <f>IF($Z456="C","Generated from "&amp;INDEX(Contracts!$A$2:$A$151,$AB456),IF($Z456="A","Generated from "&amp;INDEX(Fixed_Assets!$A$2:$A$201,$AB456),IF($Z456="F","Generated from "&amp;INDEX(FTE_Allocation!$A$2:$A$201,$AB456),"")))</f>
        <v/>
      </c>
      <c r="X456" s="19">
        <f>IF($Z456="","",SUM(J456:U456))</f>
        <v/>
      </c>
      <c r="Y456" s="20">
        <f>ROW()-1</f>
        <v/>
      </c>
      <c r="Z456" s="20">
        <f>IF($Y456&lt;=Settings!$B$4*3,"C",IF($Y456&lt;=(Settings!$B$4+Settings!$B$5)*3,"A",IF($Y456&lt;=(Settings!$B$4+Settings!$B$5+Settings!$B$6)*3,"F","")))</f>
        <v/>
      </c>
      <c r="AA456" s="20">
        <f>IF($Z456="C",$Y456,IF($Z456="A",$Y456-Settings!$B$4*3,IF($Z456="F",$Y456-(Settings!$B$4+Settings!$B$5)*3,"")))</f>
        <v/>
      </c>
      <c r="AB456" s="20">
        <f>IF($Z456="","",INT(($AA456-1)/3)+1)</f>
        <v/>
      </c>
      <c r="AC456" s="20">
        <f>IF($Z456="","",MOD($AA456-1,3)+1)</f>
        <v/>
      </c>
      <c r="AD456" s="20">
        <f>IF($Z456="","",Settings!$B$2+$AC456-1)</f>
        <v/>
      </c>
      <c r="AE456" s="21">
        <f>IF($Z456="C",DATE(YEAR(INDEX(Contracts!$J$2:$J$151,$AB456)),MONTH(INDEX(Contracts!$J$2:$J$151,$AB456)),1),IF($Z456="A",DATE(YEAR(INDEX(Fixed_Assets!$G$2:$G$201,$AB456)),MONTH(INDEX(Fixed_Assets!$G$2:$G$201,$AB456)),1),IF($Z456="F",DATE(YEAR(MAX(N(INDEX(Workforce!$I$2:$I$151,MATCH(INDEX(FTE_Allocation!$A$2:$A$201,$AB456),Workforce!$A$2:$A$151,0))),N(INDEX(FTE_Allocation!$I$2:$I$201,$AB456)))),MONTH(MAX(N(INDEX(Workforce!$I$2:$I$151,MATCH(INDEX(FTE_Allocation!$A$2:$A$201,$AB456),Workforce!$A$2:$A$151,0))),N(INDEX(FTE_Allocation!$I$2:$I$201,$AB456)))),1),"")))</f>
        <v/>
      </c>
      <c r="AF456" s="21">
        <f>IF($Z456="C",IF(INDEX(Contracts!$I$2:$I$151,$AB456)="PREPAID",EDATE(DATE(YEAR(INDEX(Contracts!$J$2:$J$151,$AB456)),MONTH(INDEX(Contracts!$J$2:$J$151,$AB456)),1),IF(INDEX(Contracts!$N$2:$N$151,$AB456)="",12,INDEX(Contracts!$N$2:$N$151,$AB456))-1),IF(INDEX(Contracts!$I$2:$I$151,$AB456)="MONTHLY",IF(INDEX(Contracts!$K$2:$K$151,$AB456)="",2958101,INDEX(Contracts!$K$2:$K$151,$AB456)),0)),IF($Z456="A",EDATE(DATE(YEAR(INDEX(Fixed_Assets!$G$2:$G$201,$AB456)),MONTH(INDEX(Fixed_Assets!$G$2:$G$201,$AB456)),1),INDEX(Fixed_Assets!$J$2:$J$201,$AB456)-1),IF($Z456="F",MIN(IF(INDEX(Workforce!$J$2:$J$151,MATCH(INDEX(FTE_Allocation!$A$2:$A$201,$AB456),Workforce!$A$2:$A$151,0))="",2958101,INDEX(Workforce!$J$2:$J$151,MATCH(INDEX(FTE_Allocation!$A$2:$A$201,$AB456),Workforce!$A$2:$A$151,0))),IF(INDEX(FTE_Allocation!$J$2:$J$201,$AB456)="",2958101,INDEX(FTE_Allocation!$J$2:$J$201,$AB456))),"")))</f>
        <v/>
      </c>
      <c r="AG456" s="19">
        <f>IF($Z456="C",IF(INDEX(Contracts!$I$2:$I$151,$AB456)="PREPAID",INDEX(Contracts!$M$2:$M$151,$AB456)/IF(INDEX(Contracts!$N$2:$N$151,$AB456)="",12,INDEX(Contracts!$N$2:$N$151,$AB456)),IF(INDEX(Contracts!$I$2:$I$151,$AB456)="MONTHLY",INDEX(Contracts!$M$2:$M$151,$AB456),0))*(1-N(INDEX(Contracts!$O$2:$O$151,$AB456))),IF($Z456="A",INDEX(Fixed_Assets!$H$2:$H$201,$AB456)/INDEX(Fixed_Assets!$J$2:$J$201,$AB456),IF($Z456="F",INDEX(Workforce!$F$2:$F$151,MATCH(INDEX(FTE_Allocation!$A$2:$A$201,$AB456),Workforce!$A$2:$A$151,0))*N(INDEX(FTE_Allocation!$F$2:$H$201,$AB456,$AC456)),"")))</f>
        <v/>
      </c>
    </row>
    <row r="457">
      <c r="A457" s="7">
        <f>IF($Z457="","",$AD457)</f>
        <v/>
      </c>
      <c r="B457" s="7">
        <f>IF($Z457="C",INDEX(Contracts!$D$2:$D$151,$AB457)&amp;"",IF($Z457="A",INDEX(Fixed_Assets!$C$2:$C$201,$AB457)&amp;"",IF($Z457="F",INDEX(Workforce!$B$2:$B$151,MATCH(INDEX(FTE_Allocation!$A$2:$A$201,$AB457),Workforce!$A$2:$A$151,0))&amp;"","")))</f>
        <v/>
      </c>
      <c r="C457" s="7">
        <f>IF($Z457="C",INDEX(Contracts!$E$2:$E$151,$AB457)&amp;"",IF($Z457="A",INDEX(Fixed_Assets!$D$2:$D$201,$AB457)&amp;"",IF($Z457="F",INDEX(FTE_Allocation!$C$2:$C$201,$AB457)&amp;"","")))</f>
        <v/>
      </c>
      <c r="D457" s="7">
        <f>IF($Z457="C",INDEX(Contracts!$B$2:$B$151,$AB457)&amp;"",IF($Z457="A",INDEX(Fixed_Assets!$B$2:$B$201,$AB457)&amp;"",IF($Z457="F",INDEX(FTE_Allocation!$B$2:$B$201,$AB457)&amp;"","")))</f>
        <v/>
      </c>
      <c r="E457" s="7">
        <f>IF($Z457="C",INDEX(Contracts!$P$2:$P$151,$AB457)&amp;"",IF($Z457="A",INDEX(Fixed_Assets!$K$2:$K$201,$AB457)&amp;"",IF($Z457="F",IF(INDEX(FTE_Allocation!$D$2:$D$201,$AB457)="PROJECT",IFERROR(INDEX(Projects!$D:$D,MATCH(INDEX(FTE_Allocation!$E$2:$E$201,$AB457),Projects!$A:$A,0))&amp;"","#PROJECT?"),INDEX(FTE_Allocation!$E$2:$E$201,$AB457)&amp;""),"")))</f>
        <v/>
      </c>
      <c r="F457" s="7">
        <f>IF($Z457="C",INDEX(Contracts!$Q$2:$Q$151,$AB457)&amp;"",IF($Z457="A",INDEX(Fixed_Assets!$L$2:$L$201,$AB457)&amp;"",IF($Z457="F",INDEX(Workforce!$K$2:$K$151,MATCH(INDEX(FTE_Allocation!$A$2:$A$201,$AB457),Workforce!$A$2:$A$151,0))&amp;"","")))</f>
        <v/>
      </c>
      <c r="G457" s="7">
        <f>IF($Z457="C",INDEX(Contracts!$F$2:$F$151,$AB457)&amp;" / "&amp;INDEX(Contracts!$G$2:$G$151,$AB457),IF($Z457="A",INDEX(Fixed_Assets!$E$2:$E$201,$AB457)&amp;"",IF($Z457="F","Personnel "&amp;INDEX(FTE_Allocation!$A$2:$A$201,$AB457)&amp;IF(INDEX(FTE_Allocation!$D$2:$D$201,$AB457)="PROJECT"," ("&amp;INDEX(FTE_Allocation!$E$2:$E$201,$AB457)&amp;")",""),"")))</f>
        <v/>
      </c>
      <c r="H457" s="7">
        <f>IF($Z457="C","CONTRACT",IF($Z457="A","ASSET",IF($Z457="F","WORKFORCE","")))</f>
        <v/>
      </c>
      <c r="I457" s="7">
        <f>IF($Z457="C",INDEX(Contracts!$L$2:$L$151,$AB457)&amp;"",IF($Z457="A",INDEX(Fixed_Assets!$I$2:$I$201,$AB457)&amp;"",IF($Z457="F",INDEX(Workforce!$G$2:$G$151,MATCH(INDEX(FTE_Allocation!$A$2:$A$201,$AB457),Workforce!$A$2:$A$151,0))&amp;"","")))</f>
        <v/>
      </c>
      <c r="J457" s="18">
        <f>IF($Z457="","",IF(AND(DATE($AD457,1,1)&gt;=$AE457,DATE($AD457,1,1)&lt;=$AF457),ROUND($AG457,2),0))</f>
        <v/>
      </c>
      <c r="K457" s="18">
        <f>IF($Z457="","",IF(AND(DATE($AD457,2,1)&gt;=$AE457,DATE($AD457,2,1)&lt;=$AF457),ROUND($AG457,2),0))</f>
        <v/>
      </c>
      <c r="L457" s="18">
        <f>IF($Z457="","",IF(AND(DATE($AD457,3,1)&gt;=$AE457,DATE($AD457,3,1)&lt;=$AF457),ROUND($AG457,2),0))</f>
        <v/>
      </c>
      <c r="M457" s="18">
        <f>IF($Z457="","",IF(AND(DATE($AD457,4,1)&gt;=$AE457,DATE($AD457,4,1)&lt;=$AF457),ROUND($AG457,2),0))</f>
        <v/>
      </c>
      <c r="N457" s="18">
        <f>IF($Z457="","",IF(AND(DATE($AD457,5,1)&gt;=$AE457,DATE($AD457,5,1)&lt;=$AF457),ROUND($AG457,2),0))</f>
        <v/>
      </c>
      <c r="O457" s="18">
        <f>IF($Z457="","",IF(AND(DATE($AD457,6,1)&gt;=$AE457,DATE($AD457,6,1)&lt;=$AF457),ROUND($AG457,2),0))</f>
        <v/>
      </c>
      <c r="P457" s="18">
        <f>IF($Z457="","",IF(AND(DATE($AD457,7,1)&gt;=$AE457,DATE($AD457,7,1)&lt;=$AF457),ROUND($AG457,2),0))</f>
        <v/>
      </c>
      <c r="Q457" s="18">
        <f>IF($Z457="","",IF(AND(DATE($AD457,8,1)&gt;=$AE457,DATE($AD457,8,1)&lt;=$AF457),ROUND($AG457,2),0))</f>
        <v/>
      </c>
      <c r="R457" s="18">
        <f>IF($Z457="","",IF(AND(DATE($AD457,9,1)&gt;=$AE457,DATE($AD457,9,1)&lt;=$AF457),ROUND($AG457,2),0))</f>
        <v/>
      </c>
      <c r="S457" s="18">
        <f>IF($Z457="","",IF(AND(DATE($AD457,10,1)&gt;=$AE457,DATE($AD457,10,1)&lt;=$AF457),ROUND($AG457,2),0))</f>
        <v/>
      </c>
      <c r="T457" s="18">
        <f>IF($Z457="","",IF(AND(DATE($AD457,11,1)&gt;=$AE457,DATE($AD457,11,1)&lt;=$AF457),ROUND($AG457,2),0))</f>
        <v/>
      </c>
      <c r="U457" s="18">
        <f>IF($Z457="","",IF(AND(DATE($AD457,12,1)&gt;=$AE457,DATE($AD457,12,1)&lt;=$AF457),ROUND($AG457,2),0))</f>
        <v/>
      </c>
      <c r="V457" s="7">
        <f>IF($Z457="C","Generated from "&amp;INDEX(Contracts!$A$2:$A$151,$AB457),IF($Z457="A","Generated from "&amp;INDEX(Fixed_Assets!$A$2:$A$201,$AB457),IF($Z457="F","Generated from "&amp;INDEX(FTE_Allocation!$A$2:$A$201,$AB457),"")))</f>
        <v/>
      </c>
      <c r="X457" s="19">
        <f>IF($Z457="","",SUM(J457:U457))</f>
        <v/>
      </c>
      <c r="Y457" s="20">
        <f>ROW()-1</f>
        <v/>
      </c>
      <c r="Z457" s="20">
        <f>IF($Y457&lt;=Settings!$B$4*3,"C",IF($Y457&lt;=(Settings!$B$4+Settings!$B$5)*3,"A",IF($Y457&lt;=(Settings!$B$4+Settings!$B$5+Settings!$B$6)*3,"F","")))</f>
        <v/>
      </c>
      <c r="AA457" s="20">
        <f>IF($Z457="C",$Y457,IF($Z457="A",$Y457-Settings!$B$4*3,IF($Z457="F",$Y457-(Settings!$B$4+Settings!$B$5)*3,"")))</f>
        <v/>
      </c>
      <c r="AB457" s="20">
        <f>IF($Z457="","",INT(($AA457-1)/3)+1)</f>
        <v/>
      </c>
      <c r="AC457" s="20">
        <f>IF($Z457="","",MOD($AA457-1,3)+1)</f>
        <v/>
      </c>
      <c r="AD457" s="20">
        <f>IF($Z457="","",Settings!$B$2+$AC457-1)</f>
        <v/>
      </c>
      <c r="AE457" s="21">
        <f>IF($Z457="C",DATE(YEAR(INDEX(Contracts!$J$2:$J$151,$AB457)),MONTH(INDEX(Contracts!$J$2:$J$151,$AB457)),1),IF($Z457="A",DATE(YEAR(INDEX(Fixed_Assets!$G$2:$G$201,$AB457)),MONTH(INDEX(Fixed_Assets!$G$2:$G$201,$AB457)),1),IF($Z457="F",DATE(YEAR(MAX(N(INDEX(Workforce!$I$2:$I$151,MATCH(INDEX(FTE_Allocation!$A$2:$A$201,$AB457),Workforce!$A$2:$A$151,0))),N(INDEX(FTE_Allocation!$I$2:$I$201,$AB457)))),MONTH(MAX(N(INDEX(Workforce!$I$2:$I$151,MATCH(INDEX(FTE_Allocation!$A$2:$A$201,$AB457),Workforce!$A$2:$A$151,0))),N(INDEX(FTE_Allocation!$I$2:$I$201,$AB457)))),1),"")))</f>
        <v/>
      </c>
      <c r="AF457" s="21">
        <f>IF($Z457="C",IF(INDEX(Contracts!$I$2:$I$151,$AB457)="PREPAID",EDATE(DATE(YEAR(INDEX(Contracts!$J$2:$J$151,$AB457)),MONTH(INDEX(Contracts!$J$2:$J$151,$AB457)),1),IF(INDEX(Contracts!$N$2:$N$151,$AB457)="",12,INDEX(Contracts!$N$2:$N$151,$AB457))-1),IF(INDEX(Contracts!$I$2:$I$151,$AB457)="MONTHLY",IF(INDEX(Contracts!$K$2:$K$151,$AB457)="",2958101,INDEX(Contracts!$K$2:$K$151,$AB457)),0)),IF($Z457="A",EDATE(DATE(YEAR(INDEX(Fixed_Assets!$G$2:$G$201,$AB457)),MONTH(INDEX(Fixed_Assets!$G$2:$G$201,$AB457)),1),INDEX(Fixed_Assets!$J$2:$J$201,$AB457)-1),IF($Z457="F",MIN(IF(INDEX(Workforce!$J$2:$J$151,MATCH(INDEX(FTE_Allocation!$A$2:$A$201,$AB457),Workforce!$A$2:$A$151,0))="",2958101,INDEX(Workforce!$J$2:$J$151,MATCH(INDEX(FTE_Allocation!$A$2:$A$201,$AB457),Workforce!$A$2:$A$151,0))),IF(INDEX(FTE_Allocation!$J$2:$J$201,$AB457)="",2958101,INDEX(FTE_Allocation!$J$2:$J$201,$AB457))),"")))</f>
        <v/>
      </c>
      <c r="AG457" s="19">
        <f>IF($Z457="C",IF(INDEX(Contracts!$I$2:$I$151,$AB457)="PREPAID",INDEX(Contracts!$M$2:$M$151,$AB457)/IF(INDEX(Contracts!$N$2:$N$151,$AB457)="",12,INDEX(Contracts!$N$2:$N$151,$AB457)),IF(INDEX(Contracts!$I$2:$I$151,$AB457)="MONTHLY",INDEX(Contracts!$M$2:$M$151,$AB457),0))*(1-N(INDEX(Contracts!$O$2:$O$151,$AB457))),IF($Z457="A",INDEX(Fixed_Assets!$H$2:$H$201,$AB457)/INDEX(Fixed_Assets!$J$2:$J$201,$AB457),IF($Z457="F",INDEX(Workforce!$F$2:$F$151,MATCH(INDEX(FTE_Allocation!$A$2:$A$201,$AB457),Workforce!$A$2:$A$151,0))*N(INDEX(FTE_Allocation!$F$2:$H$201,$AB457,$AC457)),"")))</f>
        <v/>
      </c>
    </row>
    <row r="458">
      <c r="A458" s="7">
        <f>IF($Z458="","",$AD458)</f>
        <v/>
      </c>
      <c r="B458" s="7">
        <f>IF($Z458="C",INDEX(Contracts!$D$2:$D$151,$AB458)&amp;"",IF($Z458="A",INDEX(Fixed_Assets!$C$2:$C$201,$AB458)&amp;"",IF($Z458="F",INDEX(Workforce!$B$2:$B$151,MATCH(INDEX(FTE_Allocation!$A$2:$A$201,$AB458),Workforce!$A$2:$A$151,0))&amp;"","")))</f>
        <v/>
      </c>
      <c r="C458" s="7">
        <f>IF($Z458="C",INDEX(Contracts!$E$2:$E$151,$AB458)&amp;"",IF($Z458="A",INDEX(Fixed_Assets!$D$2:$D$201,$AB458)&amp;"",IF($Z458="F",INDEX(FTE_Allocation!$C$2:$C$201,$AB458)&amp;"","")))</f>
        <v/>
      </c>
      <c r="D458" s="7">
        <f>IF($Z458="C",INDEX(Contracts!$B$2:$B$151,$AB458)&amp;"",IF($Z458="A",INDEX(Fixed_Assets!$B$2:$B$201,$AB458)&amp;"",IF($Z458="F",INDEX(FTE_Allocation!$B$2:$B$201,$AB458)&amp;"","")))</f>
        <v/>
      </c>
      <c r="E458" s="7">
        <f>IF($Z458="C",INDEX(Contracts!$P$2:$P$151,$AB458)&amp;"",IF($Z458="A",INDEX(Fixed_Assets!$K$2:$K$201,$AB458)&amp;"",IF($Z458="F",IF(INDEX(FTE_Allocation!$D$2:$D$201,$AB458)="PROJECT",IFERROR(INDEX(Projects!$D:$D,MATCH(INDEX(FTE_Allocation!$E$2:$E$201,$AB458),Projects!$A:$A,0))&amp;"","#PROJECT?"),INDEX(FTE_Allocation!$E$2:$E$201,$AB458)&amp;""),"")))</f>
        <v/>
      </c>
      <c r="F458" s="7">
        <f>IF($Z458="C",INDEX(Contracts!$Q$2:$Q$151,$AB458)&amp;"",IF($Z458="A",INDEX(Fixed_Assets!$L$2:$L$201,$AB458)&amp;"",IF($Z458="F",INDEX(Workforce!$K$2:$K$151,MATCH(INDEX(FTE_Allocation!$A$2:$A$201,$AB458),Workforce!$A$2:$A$151,0))&amp;"","")))</f>
        <v/>
      </c>
      <c r="G458" s="7">
        <f>IF($Z458="C",INDEX(Contracts!$F$2:$F$151,$AB458)&amp;" / "&amp;INDEX(Contracts!$G$2:$G$151,$AB458),IF($Z458="A",INDEX(Fixed_Assets!$E$2:$E$201,$AB458)&amp;"",IF($Z458="F","Personnel "&amp;INDEX(FTE_Allocation!$A$2:$A$201,$AB458)&amp;IF(INDEX(FTE_Allocation!$D$2:$D$201,$AB458)="PROJECT"," ("&amp;INDEX(FTE_Allocation!$E$2:$E$201,$AB458)&amp;")",""),"")))</f>
        <v/>
      </c>
      <c r="H458" s="7">
        <f>IF($Z458="C","CONTRACT",IF($Z458="A","ASSET",IF($Z458="F","WORKFORCE","")))</f>
        <v/>
      </c>
      <c r="I458" s="7">
        <f>IF($Z458="C",INDEX(Contracts!$L$2:$L$151,$AB458)&amp;"",IF($Z458="A",INDEX(Fixed_Assets!$I$2:$I$201,$AB458)&amp;"",IF($Z458="F",INDEX(Workforce!$G$2:$G$151,MATCH(INDEX(FTE_Allocation!$A$2:$A$201,$AB458),Workforce!$A$2:$A$151,0))&amp;"","")))</f>
        <v/>
      </c>
      <c r="J458" s="18">
        <f>IF($Z458="","",IF(AND(DATE($AD458,1,1)&gt;=$AE458,DATE($AD458,1,1)&lt;=$AF458),ROUND($AG458,2),0))</f>
        <v/>
      </c>
      <c r="K458" s="18">
        <f>IF($Z458="","",IF(AND(DATE($AD458,2,1)&gt;=$AE458,DATE($AD458,2,1)&lt;=$AF458),ROUND($AG458,2),0))</f>
        <v/>
      </c>
      <c r="L458" s="18">
        <f>IF($Z458="","",IF(AND(DATE($AD458,3,1)&gt;=$AE458,DATE($AD458,3,1)&lt;=$AF458),ROUND($AG458,2),0))</f>
        <v/>
      </c>
      <c r="M458" s="18">
        <f>IF($Z458="","",IF(AND(DATE($AD458,4,1)&gt;=$AE458,DATE($AD458,4,1)&lt;=$AF458),ROUND($AG458,2),0))</f>
        <v/>
      </c>
      <c r="N458" s="18">
        <f>IF($Z458="","",IF(AND(DATE($AD458,5,1)&gt;=$AE458,DATE($AD458,5,1)&lt;=$AF458),ROUND($AG458,2),0))</f>
        <v/>
      </c>
      <c r="O458" s="18">
        <f>IF($Z458="","",IF(AND(DATE($AD458,6,1)&gt;=$AE458,DATE($AD458,6,1)&lt;=$AF458),ROUND($AG458,2),0))</f>
        <v/>
      </c>
      <c r="P458" s="18">
        <f>IF($Z458="","",IF(AND(DATE($AD458,7,1)&gt;=$AE458,DATE($AD458,7,1)&lt;=$AF458),ROUND($AG458,2),0))</f>
        <v/>
      </c>
      <c r="Q458" s="18">
        <f>IF($Z458="","",IF(AND(DATE($AD458,8,1)&gt;=$AE458,DATE($AD458,8,1)&lt;=$AF458),ROUND($AG458,2),0))</f>
        <v/>
      </c>
      <c r="R458" s="18">
        <f>IF($Z458="","",IF(AND(DATE($AD458,9,1)&gt;=$AE458,DATE($AD458,9,1)&lt;=$AF458),ROUND($AG458,2),0))</f>
        <v/>
      </c>
      <c r="S458" s="18">
        <f>IF($Z458="","",IF(AND(DATE($AD458,10,1)&gt;=$AE458,DATE($AD458,10,1)&lt;=$AF458),ROUND($AG458,2),0))</f>
        <v/>
      </c>
      <c r="T458" s="18">
        <f>IF($Z458="","",IF(AND(DATE($AD458,11,1)&gt;=$AE458,DATE($AD458,11,1)&lt;=$AF458),ROUND($AG458,2),0))</f>
        <v/>
      </c>
      <c r="U458" s="18">
        <f>IF($Z458="","",IF(AND(DATE($AD458,12,1)&gt;=$AE458,DATE($AD458,12,1)&lt;=$AF458),ROUND($AG458,2),0))</f>
        <v/>
      </c>
      <c r="V458" s="7">
        <f>IF($Z458="C","Generated from "&amp;INDEX(Contracts!$A$2:$A$151,$AB458),IF($Z458="A","Generated from "&amp;INDEX(Fixed_Assets!$A$2:$A$201,$AB458),IF($Z458="F","Generated from "&amp;INDEX(FTE_Allocation!$A$2:$A$201,$AB458),"")))</f>
        <v/>
      </c>
      <c r="X458" s="19">
        <f>IF($Z458="","",SUM(J458:U458))</f>
        <v/>
      </c>
      <c r="Y458" s="20">
        <f>ROW()-1</f>
        <v/>
      </c>
      <c r="Z458" s="20">
        <f>IF($Y458&lt;=Settings!$B$4*3,"C",IF($Y458&lt;=(Settings!$B$4+Settings!$B$5)*3,"A",IF($Y458&lt;=(Settings!$B$4+Settings!$B$5+Settings!$B$6)*3,"F","")))</f>
        <v/>
      </c>
      <c r="AA458" s="20">
        <f>IF($Z458="C",$Y458,IF($Z458="A",$Y458-Settings!$B$4*3,IF($Z458="F",$Y458-(Settings!$B$4+Settings!$B$5)*3,"")))</f>
        <v/>
      </c>
      <c r="AB458" s="20">
        <f>IF($Z458="","",INT(($AA458-1)/3)+1)</f>
        <v/>
      </c>
      <c r="AC458" s="20">
        <f>IF($Z458="","",MOD($AA458-1,3)+1)</f>
        <v/>
      </c>
      <c r="AD458" s="20">
        <f>IF($Z458="","",Settings!$B$2+$AC458-1)</f>
        <v/>
      </c>
      <c r="AE458" s="21">
        <f>IF($Z458="C",DATE(YEAR(INDEX(Contracts!$J$2:$J$151,$AB458)),MONTH(INDEX(Contracts!$J$2:$J$151,$AB458)),1),IF($Z458="A",DATE(YEAR(INDEX(Fixed_Assets!$G$2:$G$201,$AB458)),MONTH(INDEX(Fixed_Assets!$G$2:$G$201,$AB458)),1),IF($Z458="F",DATE(YEAR(MAX(N(INDEX(Workforce!$I$2:$I$151,MATCH(INDEX(FTE_Allocation!$A$2:$A$201,$AB458),Workforce!$A$2:$A$151,0))),N(INDEX(FTE_Allocation!$I$2:$I$201,$AB458)))),MONTH(MAX(N(INDEX(Workforce!$I$2:$I$151,MATCH(INDEX(FTE_Allocation!$A$2:$A$201,$AB458),Workforce!$A$2:$A$151,0))),N(INDEX(FTE_Allocation!$I$2:$I$201,$AB458)))),1),"")))</f>
        <v/>
      </c>
      <c r="AF458" s="21">
        <f>IF($Z458="C",IF(INDEX(Contracts!$I$2:$I$151,$AB458)="PREPAID",EDATE(DATE(YEAR(INDEX(Contracts!$J$2:$J$151,$AB458)),MONTH(INDEX(Contracts!$J$2:$J$151,$AB458)),1),IF(INDEX(Contracts!$N$2:$N$151,$AB458)="",12,INDEX(Contracts!$N$2:$N$151,$AB458))-1),IF(INDEX(Contracts!$I$2:$I$151,$AB458)="MONTHLY",IF(INDEX(Contracts!$K$2:$K$151,$AB458)="",2958101,INDEX(Contracts!$K$2:$K$151,$AB458)),0)),IF($Z458="A",EDATE(DATE(YEAR(INDEX(Fixed_Assets!$G$2:$G$201,$AB458)),MONTH(INDEX(Fixed_Assets!$G$2:$G$201,$AB458)),1),INDEX(Fixed_Assets!$J$2:$J$201,$AB458)-1),IF($Z458="F",MIN(IF(INDEX(Workforce!$J$2:$J$151,MATCH(INDEX(FTE_Allocation!$A$2:$A$201,$AB458),Workforce!$A$2:$A$151,0))="",2958101,INDEX(Workforce!$J$2:$J$151,MATCH(INDEX(FTE_Allocation!$A$2:$A$201,$AB458),Workforce!$A$2:$A$151,0))),IF(INDEX(FTE_Allocation!$J$2:$J$201,$AB458)="",2958101,INDEX(FTE_Allocation!$J$2:$J$201,$AB458))),"")))</f>
        <v/>
      </c>
      <c r="AG458" s="19">
        <f>IF($Z458="C",IF(INDEX(Contracts!$I$2:$I$151,$AB458)="PREPAID",INDEX(Contracts!$M$2:$M$151,$AB458)/IF(INDEX(Contracts!$N$2:$N$151,$AB458)="",12,INDEX(Contracts!$N$2:$N$151,$AB458)),IF(INDEX(Contracts!$I$2:$I$151,$AB458)="MONTHLY",INDEX(Contracts!$M$2:$M$151,$AB458),0))*(1-N(INDEX(Contracts!$O$2:$O$151,$AB458))),IF($Z458="A",INDEX(Fixed_Assets!$H$2:$H$201,$AB458)/INDEX(Fixed_Assets!$J$2:$J$201,$AB458),IF($Z458="F",INDEX(Workforce!$F$2:$F$151,MATCH(INDEX(FTE_Allocation!$A$2:$A$201,$AB458),Workforce!$A$2:$A$151,0))*N(INDEX(FTE_Allocation!$F$2:$H$201,$AB458,$AC458)),"")))</f>
        <v/>
      </c>
    </row>
    <row r="459">
      <c r="A459" s="7">
        <f>IF($Z459="","",$AD459)</f>
        <v/>
      </c>
      <c r="B459" s="7">
        <f>IF($Z459="C",INDEX(Contracts!$D$2:$D$151,$AB459)&amp;"",IF($Z459="A",INDEX(Fixed_Assets!$C$2:$C$201,$AB459)&amp;"",IF($Z459="F",INDEX(Workforce!$B$2:$B$151,MATCH(INDEX(FTE_Allocation!$A$2:$A$201,$AB459),Workforce!$A$2:$A$151,0))&amp;"","")))</f>
        <v/>
      </c>
      <c r="C459" s="7">
        <f>IF($Z459="C",INDEX(Contracts!$E$2:$E$151,$AB459)&amp;"",IF($Z459="A",INDEX(Fixed_Assets!$D$2:$D$201,$AB459)&amp;"",IF($Z459="F",INDEX(FTE_Allocation!$C$2:$C$201,$AB459)&amp;"","")))</f>
        <v/>
      </c>
      <c r="D459" s="7">
        <f>IF($Z459="C",INDEX(Contracts!$B$2:$B$151,$AB459)&amp;"",IF($Z459="A",INDEX(Fixed_Assets!$B$2:$B$201,$AB459)&amp;"",IF($Z459="F",INDEX(FTE_Allocation!$B$2:$B$201,$AB459)&amp;"","")))</f>
        <v/>
      </c>
      <c r="E459" s="7">
        <f>IF($Z459="C",INDEX(Contracts!$P$2:$P$151,$AB459)&amp;"",IF($Z459="A",INDEX(Fixed_Assets!$K$2:$K$201,$AB459)&amp;"",IF($Z459="F",IF(INDEX(FTE_Allocation!$D$2:$D$201,$AB459)="PROJECT",IFERROR(INDEX(Projects!$D:$D,MATCH(INDEX(FTE_Allocation!$E$2:$E$201,$AB459),Projects!$A:$A,0))&amp;"","#PROJECT?"),INDEX(FTE_Allocation!$E$2:$E$201,$AB459)&amp;""),"")))</f>
        <v/>
      </c>
      <c r="F459" s="7">
        <f>IF($Z459="C",INDEX(Contracts!$Q$2:$Q$151,$AB459)&amp;"",IF($Z459="A",INDEX(Fixed_Assets!$L$2:$L$201,$AB459)&amp;"",IF($Z459="F",INDEX(Workforce!$K$2:$K$151,MATCH(INDEX(FTE_Allocation!$A$2:$A$201,$AB459),Workforce!$A$2:$A$151,0))&amp;"","")))</f>
        <v/>
      </c>
      <c r="G459" s="7">
        <f>IF($Z459="C",INDEX(Contracts!$F$2:$F$151,$AB459)&amp;" / "&amp;INDEX(Contracts!$G$2:$G$151,$AB459),IF($Z459="A",INDEX(Fixed_Assets!$E$2:$E$201,$AB459)&amp;"",IF($Z459="F","Personnel "&amp;INDEX(FTE_Allocation!$A$2:$A$201,$AB459)&amp;IF(INDEX(FTE_Allocation!$D$2:$D$201,$AB459)="PROJECT"," ("&amp;INDEX(FTE_Allocation!$E$2:$E$201,$AB459)&amp;")",""),"")))</f>
        <v/>
      </c>
      <c r="H459" s="7">
        <f>IF($Z459="C","CONTRACT",IF($Z459="A","ASSET",IF($Z459="F","WORKFORCE","")))</f>
        <v/>
      </c>
      <c r="I459" s="7">
        <f>IF($Z459="C",INDEX(Contracts!$L$2:$L$151,$AB459)&amp;"",IF($Z459="A",INDEX(Fixed_Assets!$I$2:$I$201,$AB459)&amp;"",IF($Z459="F",INDEX(Workforce!$G$2:$G$151,MATCH(INDEX(FTE_Allocation!$A$2:$A$201,$AB459),Workforce!$A$2:$A$151,0))&amp;"","")))</f>
        <v/>
      </c>
      <c r="J459" s="18">
        <f>IF($Z459="","",IF(AND(DATE($AD459,1,1)&gt;=$AE459,DATE($AD459,1,1)&lt;=$AF459),ROUND($AG459,2),0))</f>
        <v/>
      </c>
      <c r="K459" s="18">
        <f>IF($Z459="","",IF(AND(DATE($AD459,2,1)&gt;=$AE459,DATE($AD459,2,1)&lt;=$AF459),ROUND($AG459,2),0))</f>
        <v/>
      </c>
      <c r="L459" s="18">
        <f>IF($Z459="","",IF(AND(DATE($AD459,3,1)&gt;=$AE459,DATE($AD459,3,1)&lt;=$AF459),ROUND($AG459,2),0))</f>
        <v/>
      </c>
      <c r="M459" s="18">
        <f>IF($Z459="","",IF(AND(DATE($AD459,4,1)&gt;=$AE459,DATE($AD459,4,1)&lt;=$AF459),ROUND($AG459,2),0))</f>
        <v/>
      </c>
      <c r="N459" s="18">
        <f>IF($Z459="","",IF(AND(DATE($AD459,5,1)&gt;=$AE459,DATE($AD459,5,1)&lt;=$AF459),ROUND($AG459,2),0))</f>
        <v/>
      </c>
      <c r="O459" s="18">
        <f>IF($Z459="","",IF(AND(DATE($AD459,6,1)&gt;=$AE459,DATE($AD459,6,1)&lt;=$AF459),ROUND($AG459,2),0))</f>
        <v/>
      </c>
      <c r="P459" s="18">
        <f>IF($Z459="","",IF(AND(DATE($AD459,7,1)&gt;=$AE459,DATE($AD459,7,1)&lt;=$AF459),ROUND($AG459,2),0))</f>
        <v/>
      </c>
      <c r="Q459" s="18">
        <f>IF($Z459="","",IF(AND(DATE($AD459,8,1)&gt;=$AE459,DATE($AD459,8,1)&lt;=$AF459),ROUND($AG459,2),0))</f>
        <v/>
      </c>
      <c r="R459" s="18">
        <f>IF($Z459="","",IF(AND(DATE($AD459,9,1)&gt;=$AE459,DATE($AD459,9,1)&lt;=$AF459),ROUND($AG459,2),0))</f>
        <v/>
      </c>
      <c r="S459" s="18">
        <f>IF($Z459="","",IF(AND(DATE($AD459,10,1)&gt;=$AE459,DATE($AD459,10,1)&lt;=$AF459),ROUND($AG459,2),0))</f>
        <v/>
      </c>
      <c r="T459" s="18">
        <f>IF($Z459="","",IF(AND(DATE($AD459,11,1)&gt;=$AE459,DATE($AD459,11,1)&lt;=$AF459),ROUND($AG459,2),0))</f>
        <v/>
      </c>
      <c r="U459" s="18">
        <f>IF($Z459="","",IF(AND(DATE($AD459,12,1)&gt;=$AE459,DATE($AD459,12,1)&lt;=$AF459),ROUND($AG459,2),0))</f>
        <v/>
      </c>
      <c r="V459" s="7">
        <f>IF($Z459="C","Generated from "&amp;INDEX(Contracts!$A$2:$A$151,$AB459),IF($Z459="A","Generated from "&amp;INDEX(Fixed_Assets!$A$2:$A$201,$AB459),IF($Z459="F","Generated from "&amp;INDEX(FTE_Allocation!$A$2:$A$201,$AB459),"")))</f>
        <v/>
      </c>
      <c r="X459" s="19">
        <f>IF($Z459="","",SUM(J459:U459))</f>
        <v/>
      </c>
      <c r="Y459" s="20">
        <f>ROW()-1</f>
        <v/>
      </c>
      <c r="Z459" s="20">
        <f>IF($Y459&lt;=Settings!$B$4*3,"C",IF($Y459&lt;=(Settings!$B$4+Settings!$B$5)*3,"A",IF($Y459&lt;=(Settings!$B$4+Settings!$B$5+Settings!$B$6)*3,"F","")))</f>
        <v/>
      </c>
      <c r="AA459" s="20">
        <f>IF($Z459="C",$Y459,IF($Z459="A",$Y459-Settings!$B$4*3,IF($Z459="F",$Y459-(Settings!$B$4+Settings!$B$5)*3,"")))</f>
        <v/>
      </c>
      <c r="AB459" s="20">
        <f>IF($Z459="","",INT(($AA459-1)/3)+1)</f>
        <v/>
      </c>
      <c r="AC459" s="20">
        <f>IF($Z459="","",MOD($AA459-1,3)+1)</f>
        <v/>
      </c>
      <c r="AD459" s="20">
        <f>IF($Z459="","",Settings!$B$2+$AC459-1)</f>
        <v/>
      </c>
      <c r="AE459" s="21">
        <f>IF($Z459="C",DATE(YEAR(INDEX(Contracts!$J$2:$J$151,$AB459)),MONTH(INDEX(Contracts!$J$2:$J$151,$AB459)),1),IF($Z459="A",DATE(YEAR(INDEX(Fixed_Assets!$G$2:$G$201,$AB459)),MONTH(INDEX(Fixed_Assets!$G$2:$G$201,$AB459)),1),IF($Z459="F",DATE(YEAR(MAX(N(INDEX(Workforce!$I$2:$I$151,MATCH(INDEX(FTE_Allocation!$A$2:$A$201,$AB459),Workforce!$A$2:$A$151,0))),N(INDEX(FTE_Allocation!$I$2:$I$201,$AB459)))),MONTH(MAX(N(INDEX(Workforce!$I$2:$I$151,MATCH(INDEX(FTE_Allocation!$A$2:$A$201,$AB459),Workforce!$A$2:$A$151,0))),N(INDEX(FTE_Allocation!$I$2:$I$201,$AB459)))),1),"")))</f>
        <v/>
      </c>
      <c r="AF459" s="21">
        <f>IF($Z459="C",IF(INDEX(Contracts!$I$2:$I$151,$AB459)="PREPAID",EDATE(DATE(YEAR(INDEX(Contracts!$J$2:$J$151,$AB459)),MONTH(INDEX(Contracts!$J$2:$J$151,$AB459)),1),IF(INDEX(Contracts!$N$2:$N$151,$AB459)="",12,INDEX(Contracts!$N$2:$N$151,$AB459))-1),IF(INDEX(Contracts!$I$2:$I$151,$AB459)="MONTHLY",IF(INDEX(Contracts!$K$2:$K$151,$AB459)="",2958101,INDEX(Contracts!$K$2:$K$151,$AB459)),0)),IF($Z459="A",EDATE(DATE(YEAR(INDEX(Fixed_Assets!$G$2:$G$201,$AB459)),MONTH(INDEX(Fixed_Assets!$G$2:$G$201,$AB459)),1),INDEX(Fixed_Assets!$J$2:$J$201,$AB459)-1),IF($Z459="F",MIN(IF(INDEX(Workforce!$J$2:$J$151,MATCH(INDEX(FTE_Allocation!$A$2:$A$201,$AB459),Workforce!$A$2:$A$151,0))="",2958101,INDEX(Workforce!$J$2:$J$151,MATCH(INDEX(FTE_Allocation!$A$2:$A$201,$AB459),Workforce!$A$2:$A$151,0))),IF(INDEX(FTE_Allocation!$J$2:$J$201,$AB459)="",2958101,INDEX(FTE_Allocation!$J$2:$J$201,$AB459))),"")))</f>
        <v/>
      </c>
      <c r="AG459" s="19">
        <f>IF($Z459="C",IF(INDEX(Contracts!$I$2:$I$151,$AB459)="PREPAID",INDEX(Contracts!$M$2:$M$151,$AB459)/IF(INDEX(Contracts!$N$2:$N$151,$AB459)="",12,INDEX(Contracts!$N$2:$N$151,$AB459)),IF(INDEX(Contracts!$I$2:$I$151,$AB459)="MONTHLY",INDEX(Contracts!$M$2:$M$151,$AB459),0))*(1-N(INDEX(Contracts!$O$2:$O$151,$AB459))),IF($Z459="A",INDEX(Fixed_Assets!$H$2:$H$201,$AB459)/INDEX(Fixed_Assets!$J$2:$J$201,$AB459),IF($Z459="F",INDEX(Workforce!$F$2:$F$151,MATCH(INDEX(FTE_Allocation!$A$2:$A$201,$AB459),Workforce!$A$2:$A$151,0))*N(INDEX(FTE_Allocation!$F$2:$H$201,$AB459,$AC459)),"")))</f>
        <v/>
      </c>
    </row>
    <row r="460">
      <c r="A460" s="7">
        <f>IF($Z460="","",$AD460)</f>
        <v/>
      </c>
      <c r="B460" s="7">
        <f>IF($Z460="C",INDEX(Contracts!$D$2:$D$151,$AB460)&amp;"",IF($Z460="A",INDEX(Fixed_Assets!$C$2:$C$201,$AB460)&amp;"",IF($Z460="F",INDEX(Workforce!$B$2:$B$151,MATCH(INDEX(FTE_Allocation!$A$2:$A$201,$AB460),Workforce!$A$2:$A$151,0))&amp;"","")))</f>
        <v/>
      </c>
      <c r="C460" s="7">
        <f>IF($Z460="C",INDEX(Contracts!$E$2:$E$151,$AB460)&amp;"",IF($Z460="A",INDEX(Fixed_Assets!$D$2:$D$201,$AB460)&amp;"",IF($Z460="F",INDEX(FTE_Allocation!$C$2:$C$201,$AB460)&amp;"","")))</f>
        <v/>
      </c>
      <c r="D460" s="7">
        <f>IF($Z460="C",INDEX(Contracts!$B$2:$B$151,$AB460)&amp;"",IF($Z460="A",INDEX(Fixed_Assets!$B$2:$B$201,$AB460)&amp;"",IF($Z460="F",INDEX(FTE_Allocation!$B$2:$B$201,$AB460)&amp;"","")))</f>
        <v/>
      </c>
      <c r="E460" s="7">
        <f>IF($Z460="C",INDEX(Contracts!$P$2:$P$151,$AB460)&amp;"",IF($Z460="A",INDEX(Fixed_Assets!$K$2:$K$201,$AB460)&amp;"",IF($Z460="F",IF(INDEX(FTE_Allocation!$D$2:$D$201,$AB460)="PROJECT",IFERROR(INDEX(Projects!$D:$D,MATCH(INDEX(FTE_Allocation!$E$2:$E$201,$AB460),Projects!$A:$A,0))&amp;"","#PROJECT?"),INDEX(FTE_Allocation!$E$2:$E$201,$AB460)&amp;""),"")))</f>
        <v/>
      </c>
      <c r="F460" s="7">
        <f>IF($Z460="C",INDEX(Contracts!$Q$2:$Q$151,$AB460)&amp;"",IF($Z460="A",INDEX(Fixed_Assets!$L$2:$L$201,$AB460)&amp;"",IF($Z460="F",INDEX(Workforce!$K$2:$K$151,MATCH(INDEX(FTE_Allocation!$A$2:$A$201,$AB460),Workforce!$A$2:$A$151,0))&amp;"","")))</f>
        <v/>
      </c>
      <c r="G460" s="7">
        <f>IF($Z460="C",INDEX(Contracts!$F$2:$F$151,$AB460)&amp;" / "&amp;INDEX(Contracts!$G$2:$G$151,$AB460),IF($Z460="A",INDEX(Fixed_Assets!$E$2:$E$201,$AB460)&amp;"",IF($Z460="F","Personnel "&amp;INDEX(FTE_Allocation!$A$2:$A$201,$AB460)&amp;IF(INDEX(FTE_Allocation!$D$2:$D$201,$AB460)="PROJECT"," ("&amp;INDEX(FTE_Allocation!$E$2:$E$201,$AB460)&amp;")",""),"")))</f>
        <v/>
      </c>
      <c r="H460" s="7">
        <f>IF($Z460="C","CONTRACT",IF($Z460="A","ASSET",IF($Z460="F","WORKFORCE","")))</f>
        <v/>
      </c>
      <c r="I460" s="7">
        <f>IF($Z460="C",INDEX(Contracts!$L$2:$L$151,$AB460)&amp;"",IF($Z460="A",INDEX(Fixed_Assets!$I$2:$I$201,$AB460)&amp;"",IF($Z460="F",INDEX(Workforce!$G$2:$G$151,MATCH(INDEX(FTE_Allocation!$A$2:$A$201,$AB460),Workforce!$A$2:$A$151,0))&amp;"","")))</f>
        <v/>
      </c>
      <c r="J460" s="18">
        <f>IF($Z460="","",IF(AND(DATE($AD460,1,1)&gt;=$AE460,DATE($AD460,1,1)&lt;=$AF460),ROUND($AG460,2),0))</f>
        <v/>
      </c>
      <c r="K460" s="18">
        <f>IF($Z460="","",IF(AND(DATE($AD460,2,1)&gt;=$AE460,DATE($AD460,2,1)&lt;=$AF460),ROUND($AG460,2),0))</f>
        <v/>
      </c>
      <c r="L460" s="18">
        <f>IF($Z460="","",IF(AND(DATE($AD460,3,1)&gt;=$AE460,DATE($AD460,3,1)&lt;=$AF460),ROUND($AG460,2),0))</f>
        <v/>
      </c>
      <c r="M460" s="18">
        <f>IF($Z460="","",IF(AND(DATE($AD460,4,1)&gt;=$AE460,DATE($AD460,4,1)&lt;=$AF460),ROUND($AG460,2),0))</f>
        <v/>
      </c>
      <c r="N460" s="18">
        <f>IF($Z460="","",IF(AND(DATE($AD460,5,1)&gt;=$AE460,DATE($AD460,5,1)&lt;=$AF460),ROUND($AG460,2),0))</f>
        <v/>
      </c>
      <c r="O460" s="18">
        <f>IF($Z460="","",IF(AND(DATE($AD460,6,1)&gt;=$AE460,DATE($AD460,6,1)&lt;=$AF460),ROUND($AG460,2),0))</f>
        <v/>
      </c>
      <c r="P460" s="18">
        <f>IF($Z460="","",IF(AND(DATE($AD460,7,1)&gt;=$AE460,DATE($AD460,7,1)&lt;=$AF460),ROUND($AG460,2),0))</f>
        <v/>
      </c>
      <c r="Q460" s="18">
        <f>IF($Z460="","",IF(AND(DATE($AD460,8,1)&gt;=$AE460,DATE($AD460,8,1)&lt;=$AF460),ROUND($AG460,2),0))</f>
        <v/>
      </c>
      <c r="R460" s="18">
        <f>IF($Z460="","",IF(AND(DATE($AD460,9,1)&gt;=$AE460,DATE($AD460,9,1)&lt;=$AF460),ROUND($AG460,2),0))</f>
        <v/>
      </c>
      <c r="S460" s="18">
        <f>IF($Z460="","",IF(AND(DATE($AD460,10,1)&gt;=$AE460,DATE($AD460,10,1)&lt;=$AF460),ROUND($AG460,2),0))</f>
        <v/>
      </c>
      <c r="T460" s="18">
        <f>IF($Z460="","",IF(AND(DATE($AD460,11,1)&gt;=$AE460,DATE($AD460,11,1)&lt;=$AF460),ROUND($AG460,2),0))</f>
        <v/>
      </c>
      <c r="U460" s="18">
        <f>IF($Z460="","",IF(AND(DATE($AD460,12,1)&gt;=$AE460,DATE($AD460,12,1)&lt;=$AF460),ROUND($AG460,2),0))</f>
        <v/>
      </c>
      <c r="V460" s="7">
        <f>IF($Z460="C","Generated from "&amp;INDEX(Contracts!$A$2:$A$151,$AB460),IF($Z460="A","Generated from "&amp;INDEX(Fixed_Assets!$A$2:$A$201,$AB460),IF($Z460="F","Generated from "&amp;INDEX(FTE_Allocation!$A$2:$A$201,$AB460),"")))</f>
        <v/>
      </c>
      <c r="X460" s="19">
        <f>IF($Z460="","",SUM(J460:U460))</f>
        <v/>
      </c>
      <c r="Y460" s="20">
        <f>ROW()-1</f>
        <v/>
      </c>
      <c r="Z460" s="20">
        <f>IF($Y460&lt;=Settings!$B$4*3,"C",IF($Y460&lt;=(Settings!$B$4+Settings!$B$5)*3,"A",IF($Y460&lt;=(Settings!$B$4+Settings!$B$5+Settings!$B$6)*3,"F","")))</f>
        <v/>
      </c>
      <c r="AA460" s="20">
        <f>IF($Z460="C",$Y460,IF($Z460="A",$Y460-Settings!$B$4*3,IF($Z460="F",$Y460-(Settings!$B$4+Settings!$B$5)*3,"")))</f>
        <v/>
      </c>
      <c r="AB460" s="20">
        <f>IF($Z460="","",INT(($AA460-1)/3)+1)</f>
        <v/>
      </c>
      <c r="AC460" s="20">
        <f>IF($Z460="","",MOD($AA460-1,3)+1)</f>
        <v/>
      </c>
      <c r="AD460" s="20">
        <f>IF($Z460="","",Settings!$B$2+$AC460-1)</f>
        <v/>
      </c>
      <c r="AE460" s="21">
        <f>IF($Z460="C",DATE(YEAR(INDEX(Contracts!$J$2:$J$151,$AB460)),MONTH(INDEX(Contracts!$J$2:$J$151,$AB460)),1),IF($Z460="A",DATE(YEAR(INDEX(Fixed_Assets!$G$2:$G$201,$AB460)),MONTH(INDEX(Fixed_Assets!$G$2:$G$201,$AB460)),1),IF($Z460="F",DATE(YEAR(MAX(N(INDEX(Workforce!$I$2:$I$151,MATCH(INDEX(FTE_Allocation!$A$2:$A$201,$AB460),Workforce!$A$2:$A$151,0))),N(INDEX(FTE_Allocation!$I$2:$I$201,$AB460)))),MONTH(MAX(N(INDEX(Workforce!$I$2:$I$151,MATCH(INDEX(FTE_Allocation!$A$2:$A$201,$AB460),Workforce!$A$2:$A$151,0))),N(INDEX(FTE_Allocation!$I$2:$I$201,$AB460)))),1),"")))</f>
        <v/>
      </c>
      <c r="AF460" s="21">
        <f>IF($Z460="C",IF(INDEX(Contracts!$I$2:$I$151,$AB460)="PREPAID",EDATE(DATE(YEAR(INDEX(Contracts!$J$2:$J$151,$AB460)),MONTH(INDEX(Contracts!$J$2:$J$151,$AB460)),1),IF(INDEX(Contracts!$N$2:$N$151,$AB460)="",12,INDEX(Contracts!$N$2:$N$151,$AB460))-1),IF(INDEX(Contracts!$I$2:$I$151,$AB460)="MONTHLY",IF(INDEX(Contracts!$K$2:$K$151,$AB460)="",2958101,INDEX(Contracts!$K$2:$K$151,$AB460)),0)),IF($Z460="A",EDATE(DATE(YEAR(INDEX(Fixed_Assets!$G$2:$G$201,$AB460)),MONTH(INDEX(Fixed_Assets!$G$2:$G$201,$AB460)),1),INDEX(Fixed_Assets!$J$2:$J$201,$AB460)-1),IF($Z460="F",MIN(IF(INDEX(Workforce!$J$2:$J$151,MATCH(INDEX(FTE_Allocation!$A$2:$A$201,$AB460),Workforce!$A$2:$A$151,0))="",2958101,INDEX(Workforce!$J$2:$J$151,MATCH(INDEX(FTE_Allocation!$A$2:$A$201,$AB460),Workforce!$A$2:$A$151,0))),IF(INDEX(FTE_Allocation!$J$2:$J$201,$AB460)="",2958101,INDEX(FTE_Allocation!$J$2:$J$201,$AB460))),"")))</f>
        <v/>
      </c>
      <c r="AG460" s="19">
        <f>IF($Z460="C",IF(INDEX(Contracts!$I$2:$I$151,$AB460)="PREPAID",INDEX(Contracts!$M$2:$M$151,$AB460)/IF(INDEX(Contracts!$N$2:$N$151,$AB460)="",12,INDEX(Contracts!$N$2:$N$151,$AB460)),IF(INDEX(Contracts!$I$2:$I$151,$AB460)="MONTHLY",INDEX(Contracts!$M$2:$M$151,$AB460),0))*(1-N(INDEX(Contracts!$O$2:$O$151,$AB460))),IF($Z460="A",INDEX(Fixed_Assets!$H$2:$H$201,$AB460)/INDEX(Fixed_Assets!$J$2:$J$201,$AB460),IF($Z460="F",INDEX(Workforce!$F$2:$F$151,MATCH(INDEX(FTE_Allocation!$A$2:$A$201,$AB460),Workforce!$A$2:$A$151,0))*N(INDEX(FTE_Allocation!$F$2:$H$201,$AB460,$AC460)),"")))</f>
        <v/>
      </c>
    </row>
    <row r="461">
      <c r="A461" s="7">
        <f>IF($Z461="","",$AD461)</f>
        <v/>
      </c>
      <c r="B461" s="7">
        <f>IF($Z461="C",INDEX(Contracts!$D$2:$D$151,$AB461)&amp;"",IF($Z461="A",INDEX(Fixed_Assets!$C$2:$C$201,$AB461)&amp;"",IF($Z461="F",INDEX(Workforce!$B$2:$B$151,MATCH(INDEX(FTE_Allocation!$A$2:$A$201,$AB461),Workforce!$A$2:$A$151,0))&amp;"","")))</f>
        <v/>
      </c>
      <c r="C461" s="7">
        <f>IF($Z461="C",INDEX(Contracts!$E$2:$E$151,$AB461)&amp;"",IF($Z461="A",INDEX(Fixed_Assets!$D$2:$D$201,$AB461)&amp;"",IF($Z461="F",INDEX(FTE_Allocation!$C$2:$C$201,$AB461)&amp;"","")))</f>
        <v/>
      </c>
      <c r="D461" s="7">
        <f>IF($Z461="C",INDEX(Contracts!$B$2:$B$151,$AB461)&amp;"",IF($Z461="A",INDEX(Fixed_Assets!$B$2:$B$201,$AB461)&amp;"",IF($Z461="F",INDEX(FTE_Allocation!$B$2:$B$201,$AB461)&amp;"","")))</f>
        <v/>
      </c>
      <c r="E461" s="7">
        <f>IF($Z461="C",INDEX(Contracts!$P$2:$P$151,$AB461)&amp;"",IF($Z461="A",INDEX(Fixed_Assets!$K$2:$K$201,$AB461)&amp;"",IF($Z461="F",IF(INDEX(FTE_Allocation!$D$2:$D$201,$AB461)="PROJECT",IFERROR(INDEX(Projects!$D:$D,MATCH(INDEX(FTE_Allocation!$E$2:$E$201,$AB461),Projects!$A:$A,0))&amp;"","#PROJECT?"),INDEX(FTE_Allocation!$E$2:$E$201,$AB461)&amp;""),"")))</f>
        <v/>
      </c>
      <c r="F461" s="7">
        <f>IF($Z461="C",INDEX(Contracts!$Q$2:$Q$151,$AB461)&amp;"",IF($Z461="A",INDEX(Fixed_Assets!$L$2:$L$201,$AB461)&amp;"",IF($Z461="F",INDEX(Workforce!$K$2:$K$151,MATCH(INDEX(FTE_Allocation!$A$2:$A$201,$AB461),Workforce!$A$2:$A$151,0))&amp;"","")))</f>
        <v/>
      </c>
      <c r="G461" s="7">
        <f>IF($Z461="C",INDEX(Contracts!$F$2:$F$151,$AB461)&amp;" / "&amp;INDEX(Contracts!$G$2:$G$151,$AB461),IF($Z461="A",INDEX(Fixed_Assets!$E$2:$E$201,$AB461)&amp;"",IF($Z461="F","Personnel "&amp;INDEX(FTE_Allocation!$A$2:$A$201,$AB461)&amp;IF(INDEX(FTE_Allocation!$D$2:$D$201,$AB461)="PROJECT"," ("&amp;INDEX(FTE_Allocation!$E$2:$E$201,$AB461)&amp;")",""),"")))</f>
        <v/>
      </c>
      <c r="H461" s="7">
        <f>IF($Z461="C","CONTRACT",IF($Z461="A","ASSET",IF($Z461="F","WORKFORCE","")))</f>
        <v/>
      </c>
      <c r="I461" s="7">
        <f>IF($Z461="C",INDEX(Contracts!$L$2:$L$151,$AB461)&amp;"",IF($Z461="A",INDEX(Fixed_Assets!$I$2:$I$201,$AB461)&amp;"",IF($Z461="F",INDEX(Workforce!$G$2:$G$151,MATCH(INDEX(FTE_Allocation!$A$2:$A$201,$AB461),Workforce!$A$2:$A$151,0))&amp;"","")))</f>
        <v/>
      </c>
      <c r="J461" s="18">
        <f>IF($Z461="","",IF(AND(DATE($AD461,1,1)&gt;=$AE461,DATE($AD461,1,1)&lt;=$AF461),ROUND($AG461,2),0))</f>
        <v/>
      </c>
      <c r="K461" s="18">
        <f>IF($Z461="","",IF(AND(DATE($AD461,2,1)&gt;=$AE461,DATE($AD461,2,1)&lt;=$AF461),ROUND($AG461,2),0))</f>
        <v/>
      </c>
      <c r="L461" s="18">
        <f>IF($Z461="","",IF(AND(DATE($AD461,3,1)&gt;=$AE461,DATE($AD461,3,1)&lt;=$AF461),ROUND($AG461,2),0))</f>
        <v/>
      </c>
      <c r="M461" s="18">
        <f>IF($Z461="","",IF(AND(DATE($AD461,4,1)&gt;=$AE461,DATE($AD461,4,1)&lt;=$AF461),ROUND($AG461,2),0))</f>
        <v/>
      </c>
      <c r="N461" s="18">
        <f>IF($Z461="","",IF(AND(DATE($AD461,5,1)&gt;=$AE461,DATE($AD461,5,1)&lt;=$AF461),ROUND($AG461,2),0))</f>
        <v/>
      </c>
      <c r="O461" s="18">
        <f>IF($Z461="","",IF(AND(DATE($AD461,6,1)&gt;=$AE461,DATE($AD461,6,1)&lt;=$AF461),ROUND($AG461,2),0))</f>
        <v/>
      </c>
      <c r="P461" s="18">
        <f>IF($Z461="","",IF(AND(DATE($AD461,7,1)&gt;=$AE461,DATE($AD461,7,1)&lt;=$AF461),ROUND($AG461,2),0))</f>
        <v/>
      </c>
      <c r="Q461" s="18">
        <f>IF($Z461="","",IF(AND(DATE($AD461,8,1)&gt;=$AE461,DATE($AD461,8,1)&lt;=$AF461),ROUND($AG461,2),0))</f>
        <v/>
      </c>
      <c r="R461" s="18">
        <f>IF($Z461="","",IF(AND(DATE($AD461,9,1)&gt;=$AE461,DATE($AD461,9,1)&lt;=$AF461),ROUND($AG461,2),0))</f>
        <v/>
      </c>
      <c r="S461" s="18">
        <f>IF($Z461="","",IF(AND(DATE($AD461,10,1)&gt;=$AE461,DATE($AD461,10,1)&lt;=$AF461),ROUND($AG461,2),0))</f>
        <v/>
      </c>
      <c r="T461" s="18">
        <f>IF($Z461="","",IF(AND(DATE($AD461,11,1)&gt;=$AE461,DATE($AD461,11,1)&lt;=$AF461),ROUND($AG461,2),0))</f>
        <v/>
      </c>
      <c r="U461" s="18">
        <f>IF($Z461="","",IF(AND(DATE($AD461,12,1)&gt;=$AE461,DATE($AD461,12,1)&lt;=$AF461),ROUND($AG461,2),0))</f>
        <v/>
      </c>
      <c r="V461" s="7">
        <f>IF($Z461="C","Generated from "&amp;INDEX(Contracts!$A$2:$A$151,$AB461),IF($Z461="A","Generated from "&amp;INDEX(Fixed_Assets!$A$2:$A$201,$AB461),IF($Z461="F","Generated from "&amp;INDEX(FTE_Allocation!$A$2:$A$201,$AB461),"")))</f>
        <v/>
      </c>
      <c r="X461" s="19">
        <f>IF($Z461="","",SUM(J461:U461))</f>
        <v/>
      </c>
      <c r="Y461" s="20">
        <f>ROW()-1</f>
        <v/>
      </c>
      <c r="Z461" s="20">
        <f>IF($Y461&lt;=Settings!$B$4*3,"C",IF($Y461&lt;=(Settings!$B$4+Settings!$B$5)*3,"A",IF($Y461&lt;=(Settings!$B$4+Settings!$B$5+Settings!$B$6)*3,"F","")))</f>
        <v/>
      </c>
      <c r="AA461" s="20">
        <f>IF($Z461="C",$Y461,IF($Z461="A",$Y461-Settings!$B$4*3,IF($Z461="F",$Y461-(Settings!$B$4+Settings!$B$5)*3,"")))</f>
        <v/>
      </c>
      <c r="AB461" s="20">
        <f>IF($Z461="","",INT(($AA461-1)/3)+1)</f>
        <v/>
      </c>
      <c r="AC461" s="20">
        <f>IF($Z461="","",MOD($AA461-1,3)+1)</f>
        <v/>
      </c>
      <c r="AD461" s="20">
        <f>IF($Z461="","",Settings!$B$2+$AC461-1)</f>
        <v/>
      </c>
      <c r="AE461" s="21">
        <f>IF($Z461="C",DATE(YEAR(INDEX(Contracts!$J$2:$J$151,$AB461)),MONTH(INDEX(Contracts!$J$2:$J$151,$AB461)),1),IF($Z461="A",DATE(YEAR(INDEX(Fixed_Assets!$G$2:$G$201,$AB461)),MONTH(INDEX(Fixed_Assets!$G$2:$G$201,$AB461)),1),IF($Z461="F",DATE(YEAR(MAX(N(INDEX(Workforce!$I$2:$I$151,MATCH(INDEX(FTE_Allocation!$A$2:$A$201,$AB461),Workforce!$A$2:$A$151,0))),N(INDEX(FTE_Allocation!$I$2:$I$201,$AB461)))),MONTH(MAX(N(INDEX(Workforce!$I$2:$I$151,MATCH(INDEX(FTE_Allocation!$A$2:$A$201,$AB461),Workforce!$A$2:$A$151,0))),N(INDEX(FTE_Allocation!$I$2:$I$201,$AB461)))),1),"")))</f>
        <v/>
      </c>
      <c r="AF461" s="21">
        <f>IF($Z461="C",IF(INDEX(Contracts!$I$2:$I$151,$AB461)="PREPAID",EDATE(DATE(YEAR(INDEX(Contracts!$J$2:$J$151,$AB461)),MONTH(INDEX(Contracts!$J$2:$J$151,$AB461)),1),IF(INDEX(Contracts!$N$2:$N$151,$AB461)="",12,INDEX(Contracts!$N$2:$N$151,$AB461))-1),IF(INDEX(Contracts!$I$2:$I$151,$AB461)="MONTHLY",IF(INDEX(Contracts!$K$2:$K$151,$AB461)="",2958101,INDEX(Contracts!$K$2:$K$151,$AB461)),0)),IF($Z461="A",EDATE(DATE(YEAR(INDEX(Fixed_Assets!$G$2:$G$201,$AB461)),MONTH(INDEX(Fixed_Assets!$G$2:$G$201,$AB461)),1),INDEX(Fixed_Assets!$J$2:$J$201,$AB461)-1),IF($Z461="F",MIN(IF(INDEX(Workforce!$J$2:$J$151,MATCH(INDEX(FTE_Allocation!$A$2:$A$201,$AB461),Workforce!$A$2:$A$151,0))="",2958101,INDEX(Workforce!$J$2:$J$151,MATCH(INDEX(FTE_Allocation!$A$2:$A$201,$AB461),Workforce!$A$2:$A$151,0))),IF(INDEX(FTE_Allocation!$J$2:$J$201,$AB461)="",2958101,INDEX(FTE_Allocation!$J$2:$J$201,$AB461))),"")))</f>
        <v/>
      </c>
      <c r="AG461" s="19">
        <f>IF($Z461="C",IF(INDEX(Contracts!$I$2:$I$151,$AB461)="PREPAID",INDEX(Contracts!$M$2:$M$151,$AB461)/IF(INDEX(Contracts!$N$2:$N$151,$AB461)="",12,INDEX(Contracts!$N$2:$N$151,$AB461)),IF(INDEX(Contracts!$I$2:$I$151,$AB461)="MONTHLY",INDEX(Contracts!$M$2:$M$151,$AB461),0))*(1-N(INDEX(Contracts!$O$2:$O$151,$AB461))),IF($Z461="A",INDEX(Fixed_Assets!$H$2:$H$201,$AB461)/INDEX(Fixed_Assets!$J$2:$J$201,$AB461),IF($Z461="F",INDEX(Workforce!$F$2:$F$151,MATCH(INDEX(FTE_Allocation!$A$2:$A$201,$AB461),Workforce!$A$2:$A$151,0))*N(INDEX(FTE_Allocation!$F$2:$H$201,$AB461,$AC461)),"")))</f>
        <v/>
      </c>
    </row>
    <row r="462">
      <c r="A462" s="7">
        <f>IF($Z462="","",$AD462)</f>
        <v/>
      </c>
      <c r="B462" s="7">
        <f>IF($Z462="C",INDEX(Contracts!$D$2:$D$151,$AB462)&amp;"",IF($Z462="A",INDEX(Fixed_Assets!$C$2:$C$201,$AB462)&amp;"",IF($Z462="F",INDEX(Workforce!$B$2:$B$151,MATCH(INDEX(FTE_Allocation!$A$2:$A$201,$AB462),Workforce!$A$2:$A$151,0))&amp;"","")))</f>
        <v/>
      </c>
      <c r="C462" s="7">
        <f>IF($Z462="C",INDEX(Contracts!$E$2:$E$151,$AB462)&amp;"",IF($Z462="A",INDEX(Fixed_Assets!$D$2:$D$201,$AB462)&amp;"",IF($Z462="F",INDEX(FTE_Allocation!$C$2:$C$201,$AB462)&amp;"","")))</f>
        <v/>
      </c>
      <c r="D462" s="7">
        <f>IF($Z462="C",INDEX(Contracts!$B$2:$B$151,$AB462)&amp;"",IF($Z462="A",INDEX(Fixed_Assets!$B$2:$B$201,$AB462)&amp;"",IF($Z462="F",INDEX(FTE_Allocation!$B$2:$B$201,$AB462)&amp;"","")))</f>
        <v/>
      </c>
      <c r="E462" s="7">
        <f>IF($Z462="C",INDEX(Contracts!$P$2:$P$151,$AB462)&amp;"",IF($Z462="A",INDEX(Fixed_Assets!$K$2:$K$201,$AB462)&amp;"",IF($Z462="F",IF(INDEX(FTE_Allocation!$D$2:$D$201,$AB462)="PROJECT",IFERROR(INDEX(Projects!$D:$D,MATCH(INDEX(FTE_Allocation!$E$2:$E$201,$AB462),Projects!$A:$A,0))&amp;"","#PROJECT?"),INDEX(FTE_Allocation!$E$2:$E$201,$AB462)&amp;""),"")))</f>
        <v/>
      </c>
      <c r="F462" s="7">
        <f>IF($Z462="C",INDEX(Contracts!$Q$2:$Q$151,$AB462)&amp;"",IF($Z462="A",INDEX(Fixed_Assets!$L$2:$L$201,$AB462)&amp;"",IF($Z462="F",INDEX(Workforce!$K$2:$K$151,MATCH(INDEX(FTE_Allocation!$A$2:$A$201,$AB462),Workforce!$A$2:$A$151,0))&amp;"","")))</f>
        <v/>
      </c>
      <c r="G462" s="7">
        <f>IF($Z462="C",INDEX(Contracts!$F$2:$F$151,$AB462)&amp;" / "&amp;INDEX(Contracts!$G$2:$G$151,$AB462),IF($Z462="A",INDEX(Fixed_Assets!$E$2:$E$201,$AB462)&amp;"",IF($Z462="F","Personnel "&amp;INDEX(FTE_Allocation!$A$2:$A$201,$AB462)&amp;IF(INDEX(FTE_Allocation!$D$2:$D$201,$AB462)="PROJECT"," ("&amp;INDEX(FTE_Allocation!$E$2:$E$201,$AB462)&amp;")",""),"")))</f>
        <v/>
      </c>
      <c r="H462" s="7">
        <f>IF($Z462="C","CONTRACT",IF($Z462="A","ASSET",IF($Z462="F","WORKFORCE","")))</f>
        <v/>
      </c>
      <c r="I462" s="7">
        <f>IF($Z462="C",INDEX(Contracts!$L$2:$L$151,$AB462)&amp;"",IF($Z462="A",INDEX(Fixed_Assets!$I$2:$I$201,$AB462)&amp;"",IF($Z462="F",INDEX(Workforce!$G$2:$G$151,MATCH(INDEX(FTE_Allocation!$A$2:$A$201,$AB462),Workforce!$A$2:$A$151,0))&amp;"","")))</f>
        <v/>
      </c>
      <c r="J462" s="18">
        <f>IF($Z462="","",IF(AND(DATE($AD462,1,1)&gt;=$AE462,DATE($AD462,1,1)&lt;=$AF462),ROUND($AG462,2),0))</f>
        <v/>
      </c>
      <c r="K462" s="18">
        <f>IF($Z462="","",IF(AND(DATE($AD462,2,1)&gt;=$AE462,DATE($AD462,2,1)&lt;=$AF462),ROUND($AG462,2),0))</f>
        <v/>
      </c>
      <c r="L462" s="18">
        <f>IF($Z462="","",IF(AND(DATE($AD462,3,1)&gt;=$AE462,DATE($AD462,3,1)&lt;=$AF462),ROUND($AG462,2),0))</f>
        <v/>
      </c>
      <c r="M462" s="18">
        <f>IF($Z462="","",IF(AND(DATE($AD462,4,1)&gt;=$AE462,DATE($AD462,4,1)&lt;=$AF462),ROUND($AG462,2),0))</f>
        <v/>
      </c>
      <c r="N462" s="18">
        <f>IF($Z462="","",IF(AND(DATE($AD462,5,1)&gt;=$AE462,DATE($AD462,5,1)&lt;=$AF462),ROUND($AG462,2),0))</f>
        <v/>
      </c>
      <c r="O462" s="18">
        <f>IF($Z462="","",IF(AND(DATE($AD462,6,1)&gt;=$AE462,DATE($AD462,6,1)&lt;=$AF462),ROUND($AG462,2),0))</f>
        <v/>
      </c>
      <c r="P462" s="18">
        <f>IF($Z462="","",IF(AND(DATE($AD462,7,1)&gt;=$AE462,DATE($AD462,7,1)&lt;=$AF462),ROUND($AG462,2),0))</f>
        <v/>
      </c>
      <c r="Q462" s="18">
        <f>IF($Z462="","",IF(AND(DATE($AD462,8,1)&gt;=$AE462,DATE($AD462,8,1)&lt;=$AF462),ROUND($AG462,2),0))</f>
        <v/>
      </c>
      <c r="R462" s="18">
        <f>IF($Z462="","",IF(AND(DATE($AD462,9,1)&gt;=$AE462,DATE($AD462,9,1)&lt;=$AF462),ROUND($AG462,2),0))</f>
        <v/>
      </c>
      <c r="S462" s="18">
        <f>IF($Z462="","",IF(AND(DATE($AD462,10,1)&gt;=$AE462,DATE($AD462,10,1)&lt;=$AF462),ROUND($AG462,2),0))</f>
        <v/>
      </c>
      <c r="T462" s="18">
        <f>IF($Z462="","",IF(AND(DATE($AD462,11,1)&gt;=$AE462,DATE($AD462,11,1)&lt;=$AF462),ROUND($AG462,2),0))</f>
        <v/>
      </c>
      <c r="U462" s="18">
        <f>IF($Z462="","",IF(AND(DATE($AD462,12,1)&gt;=$AE462,DATE($AD462,12,1)&lt;=$AF462),ROUND($AG462,2),0))</f>
        <v/>
      </c>
      <c r="V462" s="7">
        <f>IF($Z462="C","Generated from "&amp;INDEX(Contracts!$A$2:$A$151,$AB462),IF($Z462="A","Generated from "&amp;INDEX(Fixed_Assets!$A$2:$A$201,$AB462),IF($Z462="F","Generated from "&amp;INDEX(FTE_Allocation!$A$2:$A$201,$AB462),"")))</f>
        <v/>
      </c>
      <c r="X462" s="19">
        <f>IF($Z462="","",SUM(J462:U462))</f>
        <v/>
      </c>
      <c r="Y462" s="20">
        <f>ROW()-1</f>
        <v/>
      </c>
      <c r="Z462" s="20">
        <f>IF($Y462&lt;=Settings!$B$4*3,"C",IF($Y462&lt;=(Settings!$B$4+Settings!$B$5)*3,"A",IF($Y462&lt;=(Settings!$B$4+Settings!$B$5+Settings!$B$6)*3,"F","")))</f>
        <v/>
      </c>
      <c r="AA462" s="20">
        <f>IF($Z462="C",$Y462,IF($Z462="A",$Y462-Settings!$B$4*3,IF($Z462="F",$Y462-(Settings!$B$4+Settings!$B$5)*3,"")))</f>
        <v/>
      </c>
      <c r="AB462" s="20">
        <f>IF($Z462="","",INT(($AA462-1)/3)+1)</f>
        <v/>
      </c>
      <c r="AC462" s="20">
        <f>IF($Z462="","",MOD($AA462-1,3)+1)</f>
        <v/>
      </c>
      <c r="AD462" s="20">
        <f>IF($Z462="","",Settings!$B$2+$AC462-1)</f>
        <v/>
      </c>
      <c r="AE462" s="21">
        <f>IF($Z462="C",DATE(YEAR(INDEX(Contracts!$J$2:$J$151,$AB462)),MONTH(INDEX(Contracts!$J$2:$J$151,$AB462)),1),IF($Z462="A",DATE(YEAR(INDEX(Fixed_Assets!$G$2:$G$201,$AB462)),MONTH(INDEX(Fixed_Assets!$G$2:$G$201,$AB462)),1),IF($Z462="F",DATE(YEAR(MAX(N(INDEX(Workforce!$I$2:$I$151,MATCH(INDEX(FTE_Allocation!$A$2:$A$201,$AB462),Workforce!$A$2:$A$151,0))),N(INDEX(FTE_Allocation!$I$2:$I$201,$AB462)))),MONTH(MAX(N(INDEX(Workforce!$I$2:$I$151,MATCH(INDEX(FTE_Allocation!$A$2:$A$201,$AB462),Workforce!$A$2:$A$151,0))),N(INDEX(FTE_Allocation!$I$2:$I$201,$AB462)))),1),"")))</f>
        <v/>
      </c>
      <c r="AF462" s="21">
        <f>IF($Z462="C",IF(INDEX(Contracts!$I$2:$I$151,$AB462)="PREPAID",EDATE(DATE(YEAR(INDEX(Contracts!$J$2:$J$151,$AB462)),MONTH(INDEX(Contracts!$J$2:$J$151,$AB462)),1),IF(INDEX(Contracts!$N$2:$N$151,$AB462)="",12,INDEX(Contracts!$N$2:$N$151,$AB462))-1),IF(INDEX(Contracts!$I$2:$I$151,$AB462)="MONTHLY",IF(INDEX(Contracts!$K$2:$K$151,$AB462)="",2958101,INDEX(Contracts!$K$2:$K$151,$AB462)),0)),IF($Z462="A",EDATE(DATE(YEAR(INDEX(Fixed_Assets!$G$2:$G$201,$AB462)),MONTH(INDEX(Fixed_Assets!$G$2:$G$201,$AB462)),1),INDEX(Fixed_Assets!$J$2:$J$201,$AB462)-1),IF($Z462="F",MIN(IF(INDEX(Workforce!$J$2:$J$151,MATCH(INDEX(FTE_Allocation!$A$2:$A$201,$AB462),Workforce!$A$2:$A$151,0))="",2958101,INDEX(Workforce!$J$2:$J$151,MATCH(INDEX(FTE_Allocation!$A$2:$A$201,$AB462),Workforce!$A$2:$A$151,0))),IF(INDEX(FTE_Allocation!$J$2:$J$201,$AB462)="",2958101,INDEX(FTE_Allocation!$J$2:$J$201,$AB462))),"")))</f>
        <v/>
      </c>
      <c r="AG462" s="19">
        <f>IF($Z462="C",IF(INDEX(Contracts!$I$2:$I$151,$AB462)="PREPAID",INDEX(Contracts!$M$2:$M$151,$AB462)/IF(INDEX(Contracts!$N$2:$N$151,$AB462)="",12,INDEX(Contracts!$N$2:$N$151,$AB462)),IF(INDEX(Contracts!$I$2:$I$151,$AB462)="MONTHLY",INDEX(Contracts!$M$2:$M$151,$AB462),0))*(1-N(INDEX(Contracts!$O$2:$O$151,$AB462))),IF($Z462="A",INDEX(Fixed_Assets!$H$2:$H$201,$AB462)/INDEX(Fixed_Assets!$J$2:$J$201,$AB462),IF($Z462="F",INDEX(Workforce!$F$2:$F$151,MATCH(INDEX(FTE_Allocation!$A$2:$A$201,$AB462),Workforce!$A$2:$A$151,0))*N(INDEX(FTE_Allocation!$F$2:$H$201,$AB462,$AC462)),"")))</f>
        <v/>
      </c>
    </row>
    <row r="463">
      <c r="A463" s="7">
        <f>IF($Z463="","",$AD463)</f>
        <v/>
      </c>
      <c r="B463" s="7">
        <f>IF($Z463="C",INDEX(Contracts!$D$2:$D$151,$AB463)&amp;"",IF($Z463="A",INDEX(Fixed_Assets!$C$2:$C$201,$AB463)&amp;"",IF($Z463="F",INDEX(Workforce!$B$2:$B$151,MATCH(INDEX(FTE_Allocation!$A$2:$A$201,$AB463),Workforce!$A$2:$A$151,0))&amp;"","")))</f>
        <v/>
      </c>
      <c r="C463" s="7">
        <f>IF($Z463="C",INDEX(Contracts!$E$2:$E$151,$AB463)&amp;"",IF($Z463="A",INDEX(Fixed_Assets!$D$2:$D$201,$AB463)&amp;"",IF($Z463="F",INDEX(FTE_Allocation!$C$2:$C$201,$AB463)&amp;"","")))</f>
        <v/>
      </c>
      <c r="D463" s="7">
        <f>IF($Z463="C",INDEX(Contracts!$B$2:$B$151,$AB463)&amp;"",IF($Z463="A",INDEX(Fixed_Assets!$B$2:$B$201,$AB463)&amp;"",IF($Z463="F",INDEX(FTE_Allocation!$B$2:$B$201,$AB463)&amp;"","")))</f>
        <v/>
      </c>
      <c r="E463" s="7">
        <f>IF($Z463="C",INDEX(Contracts!$P$2:$P$151,$AB463)&amp;"",IF($Z463="A",INDEX(Fixed_Assets!$K$2:$K$201,$AB463)&amp;"",IF($Z463="F",IF(INDEX(FTE_Allocation!$D$2:$D$201,$AB463)="PROJECT",IFERROR(INDEX(Projects!$D:$D,MATCH(INDEX(FTE_Allocation!$E$2:$E$201,$AB463),Projects!$A:$A,0))&amp;"","#PROJECT?"),INDEX(FTE_Allocation!$E$2:$E$201,$AB463)&amp;""),"")))</f>
        <v/>
      </c>
      <c r="F463" s="7">
        <f>IF($Z463="C",INDEX(Contracts!$Q$2:$Q$151,$AB463)&amp;"",IF($Z463="A",INDEX(Fixed_Assets!$L$2:$L$201,$AB463)&amp;"",IF($Z463="F",INDEX(Workforce!$K$2:$K$151,MATCH(INDEX(FTE_Allocation!$A$2:$A$201,$AB463),Workforce!$A$2:$A$151,0))&amp;"","")))</f>
        <v/>
      </c>
      <c r="G463" s="7">
        <f>IF($Z463="C",INDEX(Contracts!$F$2:$F$151,$AB463)&amp;" / "&amp;INDEX(Contracts!$G$2:$G$151,$AB463),IF($Z463="A",INDEX(Fixed_Assets!$E$2:$E$201,$AB463)&amp;"",IF($Z463="F","Personnel "&amp;INDEX(FTE_Allocation!$A$2:$A$201,$AB463)&amp;IF(INDEX(FTE_Allocation!$D$2:$D$201,$AB463)="PROJECT"," ("&amp;INDEX(FTE_Allocation!$E$2:$E$201,$AB463)&amp;")",""),"")))</f>
        <v/>
      </c>
      <c r="H463" s="7">
        <f>IF($Z463="C","CONTRACT",IF($Z463="A","ASSET",IF($Z463="F","WORKFORCE","")))</f>
        <v/>
      </c>
      <c r="I463" s="7">
        <f>IF($Z463="C",INDEX(Contracts!$L$2:$L$151,$AB463)&amp;"",IF($Z463="A",INDEX(Fixed_Assets!$I$2:$I$201,$AB463)&amp;"",IF($Z463="F",INDEX(Workforce!$G$2:$G$151,MATCH(INDEX(FTE_Allocation!$A$2:$A$201,$AB463),Workforce!$A$2:$A$151,0))&amp;"","")))</f>
        <v/>
      </c>
      <c r="J463" s="18">
        <f>IF($Z463="","",IF(AND(DATE($AD463,1,1)&gt;=$AE463,DATE($AD463,1,1)&lt;=$AF463),ROUND($AG463,2),0))</f>
        <v/>
      </c>
      <c r="K463" s="18">
        <f>IF($Z463="","",IF(AND(DATE($AD463,2,1)&gt;=$AE463,DATE($AD463,2,1)&lt;=$AF463),ROUND($AG463,2),0))</f>
        <v/>
      </c>
      <c r="L463" s="18">
        <f>IF($Z463="","",IF(AND(DATE($AD463,3,1)&gt;=$AE463,DATE($AD463,3,1)&lt;=$AF463),ROUND($AG463,2),0))</f>
        <v/>
      </c>
      <c r="M463" s="18">
        <f>IF($Z463="","",IF(AND(DATE($AD463,4,1)&gt;=$AE463,DATE($AD463,4,1)&lt;=$AF463),ROUND($AG463,2),0))</f>
        <v/>
      </c>
      <c r="N463" s="18">
        <f>IF($Z463="","",IF(AND(DATE($AD463,5,1)&gt;=$AE463,DATE($AD463,5,1)&lt;=$AF463),ROUND($AG463,2),0))</f>
        <v/>
      </c>
      <c r="O463" s="18">
        <f>IF($Z463="","",IF(AND(DATE($AD463,6,1)&gt;=$AE463,DATE($AD463,6,1)&lt;=$AF463),ROUND($AG463,2),0))</f>
        <v/>
      </c>
      <c r="P463" s="18">
        <f>IF($Z463="","",IF(AND(DATE($AD463,7,1)&gt;=$AE463,DATE($AD463,7,1)&lt;=$AF463),ROUND($AG463,2),0))</f>
        <v/>
      </c>
      <c r="Q463" s="18">
        <f>IF($Z463="","",IF(AND(DATE($AD463,8,1)&gt;=$AE463,DATE($AD463,8,1)&lt;=$AF463),ROUND($AG463,2),0))</f>
        <v/>
      </c>
      <c r="R463" s="18">
        <f>IF($Z463="","",IF(AND(DATE($AD463,9,1)&gt;=$AE463,DATE($AD463,9,1)&lt;=$AF463),ROUND($AG463,2),0))</f>
        <v/>
      </c>
      <c r="S463" s="18">
        <f>IF($Z463="","",IF(AND(DATE($AD463,10,1)&gt;=$AE463,DATE($AD463,10,1)&lt;=$AF463),ROUND($AG463,2),0))</f>
        <v/>
      </c>
      <c r="T463" s="18">
        <f>IF($Z463="","",IF(AND(DATE($AD463,11,1)&gt;=$AE463,DATE($AD463,11,1)&lt;=$AF463),ROUND($AG463,2),0))</f>
        <v/>
      </c>
      <c r="U463" s="18">
        <f>IF($Z463="","",IF(AND(DATE($AD463,12,1)&gt;=$AE463,DATE($AD463,12,1)&lt;=$AF463),ROUND($AG463,2),0))</f>
        <v/>
      </c>
      <c r="V463" s="7">
        <f>IF($Z463="C","Generated from "&amp;INDEX(Contracts!$A$2:$A$151,$AB463),IF($Z463="A","Generated from "&amp;INDEX(Fixed_Assets!$A$2:$A$201,$AB463),IF($Z463="F","Generated from "&amp;INDEX(FTE_Allocation!$A$2:$A$201,$AB463),"")))</f>
        <v/>
      </c>
      <c r="X463" s="19">
        <f>IF($Z463="","",SUM(J463:U463))</f>
        <v/>
      </c>
      <c r="Y463" s="20">
        <f>ROW()-1</f>
        <v/>
      </c>
      <c r="Z463" s="20">
        <f>IF($Y463&lt;=Settings!$B$4*3,"C",IF($Y463&lt;=(Settings!$B$4+Settings!$B$5)*3,"A",IF($Y463&lt;=(Settings!$B$4+Settings!$B$5+Settings!$B$6)*3,"F","")))</f>
        <v/>
      </c>
      <c r="AA463" s="20">
        <f>IF($Z463="C",$Y463,IF($Z463="A",$Y463-Settings!$B$4*3,IF($Z463="F",$Y463-(Settings!$B$4+Settings!$B$5)*3,"")))</f>
        <v/>
      </c>
      <c r="AB463" s="20">
        <f>IF($Z463="","",INT(($AA463-1)/3)+1)</f>
        <v/>
      </c>
      <c r="AC463" s="20">
        <f>IF($Z463="","",MOD($AA463-1,3)+1)</f>
        <v/>
      </c>
      <c r="AD463" s="20">
        <f>IF($Z463="","",Settings!$B$2+$AC463-1)</f>
        <v/>
      </c>
      <c r="AE463" s="21">
        <f>IF($Z463="C",DATE(YEAR(INDEX(Contracts!$J$2:$J$151,$AB463)),MONTH(INDEX(Contracts!$J$2:$J$151,$AB463)),1),IF($Z463="A",DATE(YEAR(INDEX(Fixed_Assets!$G$2:$G$201,$AB463)),MONTH(INDEX(Fixed_Assets!$G$2:$G$201,$AB463)),1),IF($Z463="F",DATE(YEAR(MAX(N(INDEX(Workforce!$I$2:$I$151,MATCH(INDEX(FTE_Allocation!$A$2:$A$201,$AB463),Workforce!$A$2:$A$151,0))),N(INDEX(FTE_Allocation!$I$2:$I$201,$AB463)))),MONTH(MAX(N(INDEX(Workforce!$I$2:$I$151,MATCH(INDEX(FTE_Allocation!$A$2:$A$201,$AB463),Workforce!$A$2:$A$151,0))),N(INDEX(FTE_Allocation!$I$2:$I$201,$AB463)))),1),"")))</f>
        <v/>
      </c>
      <c r="AF463" s="21">
        <f>IF($Z463="C",IF(INDEX(Contracts!$I$2:$I$151,$AB463)="PREPAID",EDATE(DATE(YEAR(INDEX(Contracts!$J$2:$J$151,$AB463)),MONTH(INDEX(Contracts!$J$2:$J$151,$AB463)),1),IF(INDEX(Contracts!$N$2:$N$151,$AB463)="",12,INDEX(Contracts!$N$2:$N$151,$AB463))-1),IF(INDEX(Contracts!$I$2:$I$151,$AB463)="MONTHLY",IF(INDEX(Contracts!$K$2:$K$151,$AB463)="",2958101,INDEX(Contracts!$K$2:$K$151,$AB463)),0)),IF($Z463="A",EDATE(DATE(YEAR(INDEX(Fixed_Assets!$G$2:$G$201,$AB463)),MONTH(INDEX(Fixed_Assets!$G$2:$G$201,$AB463)),1),INDEX(Fixed_Assets!$J$2:$J$201,$AB463)-1),IF($Z463="F",MIN(IF(INDEX(Workforce!$J$2:$J$151,MATCH(INDEX(FTE_Allocation!$A$2:$A$201,$AB463),Workforce!$A$2:$A$151,0))="",2958101,INDEX(Workforce!$J$2:$J$151,MATCH(INDEX(FTE_Allocation!$A$2:$A$201,$AB463),Workforce!$A$2:$A$151,0))),IF(INDEX(FTE_Allocation!$J$2:$J$201,$AB463)="",2958101,INDEX(FTE_Allocation!$J$2:$J$201,$AB463))),"")))</f>
        <v/>
      </c>
      <c r="AG463" s="19">
        <f>IF($Z463="C",IF(INDEX(Contracts!$I$2:$I$151,$AB463)="PREPAID",INDEX(Contracts!$M$2:$M$151,$AB463)/IF(INDEX(Contracts!$N$2:$N$151,$AB463)="",12,INDEX(Contracts!$N$2:$N$151,$AB463)),IF(INDEX(Contracts!$I$2:$I$151,$AB463)="MONTHLY",INDEX(Contracts!$M$2:$M$151,$AB463),0))*(1-N(INDEX(Contracts!$O$2:$O$151,$AB463))),IF($Z463="A",INDEX(Fixed_Assets!$H$2:$H$201,$AB463)/INDEX(Fixed_Assets!$J$2:$J$201,$AB463),IF($Z463="F",INDEX(Workforce!$F$2:$F$151,MATCH(INDEX(FTE_Allocation!$A$2:$A$201,$AB463),Workforce!$A$2:$A$151,0))*N(INDEX(FTE_Allocation!$F$2:$H$201,$AB463,$AC463)),"")))</f>
        <v/>
      </c>
    </row>
    <row r="464">
      <c r="A464" s="7">
        <f>IF($Z464="","",$AD464)</f>
        <v/>
      </c>
      <c r="B464" s="7">
        <f>IF($Z464="C",INDEX(Contracts!$D$2:$D$151,$AB464)&amp;"",IF($Z464="A",INDEX(Fixed_Assets!$C$2:$C$201,$AB464)&amp;"",IF($Z464="F",INDEX(Workforce!$B$2:$B$151,MATCH(INDEX(FTE_Allocation!$A$2:$A$201,$AB464),Workforce!$A$2:$A$151,0))&amp;"","")))</f>
        <v/>
      </c>
      <c r="C464" s="7">
        <f>IF($Z464="C",INDEX(Contracts!$E$2:$E$151,$AB464)&amp;"",IF($Z464="A",INDEX(Fixed_Assets!$D$2:$D$201,$AB464)&amp;"",IF($Z464="F",INDEX(FTE_Allocation!$C$2:$C$201,$AB464)&amp;"","")))</f>
        <v/>
      </c>
      <c r="D464" s="7">
        <f>IF($Z464="C",INDEX(Contracts!$B$2:$B$151,$AB464)&amp;"",IF($Z464="A",INDEX(Fixed_Assets!$B$2:$B$201,$AB464)&amp;"",IF($Z464="F",INDEX(FTE_Allocation!$B$2:$B$201,$AB464)&amp;"","")))</f>
        <v/>
      </c>
      <c r="E464" s="7">
        <f>IF($Z464="C",INDEX(Contracts!$P$2:$P$151,$AB464)&amp;"",IF($Z464="A",INDEX(Fixed_Assets!$K$2:$K$201,$AB464)&amp;"",IF($Z464="F",IF(INDEX(FTE_Allocation!$D$2:$D$201,$AB464)="PROJECT",IFERROR(INDEX(Projects!$D:$D,MATCH(INDEX(FTE_Allocation!$E$2:$E$201,$AB464),Projects!$A:$A,0))&amp;"","#PROJECT?"),INDEX(FTE_Allocation!$E$2:$E$201,$AB464)&amp;""),"")))</f>
        <v/>
      </c>
      <c r="F464" s="7">
        <f>IF($Z464="C",INDEX(Contracts!$Q$2:$Q$151,$AB464)&amp;"",IF($Z464="A",INDEX(Fixed_Assets!$L$2:$L$201,$AB464)&amp;"",IF($Z464="F",INDEX(Workforce!$K$2:$K$151,MATCH(INDEX(FTE_Allocation!$A$2:$A$201,$AB464),Workforce!$A$2:$A$151,0))&amp;"","")))</f>
        <v/>
      </c>
      <c r="G464" s="7">
        <f>IF($Z464="C",INDEX(Contracts!$F$2:$F$151,$AB464)&amp;" / "&amp;INDEX(Contracts!$G$2:$G$151,$AB464),IF($Z464="A",INDEX(Fixed_Assets!$E$2:$E$201,$AB464)&amp;"",IF($Z464="F","Personnel "&amp;INDEX(FTE_Allocation!$A$2:$A$201,$AB464)&amp;IF(INDEX(FTE_Allocation!$D$2:$D$201,$AB464)="PROJECT"," ("&amp;INDEX(FTE_Allocation!$E$2:$E$201,$AB464)&amp;")",""),"")))</f>
        <v/>
      </c>
      <c r="H464" s="7">
        <f>IF($Z464="C","CONTRACT",IF($Z464="A","ASSET",IF($Z464="F","WORKFORCE","")))</f>
        <v/>
      </c>
      <c r="I464" s="7">
        <f>IF($Z464="C",INDEX(Contracts!$L$2:$L$151,$AB464)&amp;"",IF($Z464="A",INDEX(Fixed_Assets!$I$2:$I$201,$AB464)&amp;"",IF($Z464="F",INDEX(Workforce!$G$2:$G$151,MATCH(INDEX(FTE_Allocation!$A$2:$A$201,$AB464),Workforce!$A$2:$A$151,0))&amp;"","")))</f>
        <v/>
      </c>
      <c r="J464" s="18">
        <f>IF($Z464="","",IF(AND(DATE($AD464,1,1)&gt;=$AE464,DATE($AD464,1,1)&lt;=$AF464),ROUND($AG464,2),0))</f>
        <v/>
      </c>
      <c r="K464" s="18">
        <f>IF($Z464="","",IF(AND(DATE($AD464,2,1)&gt;=$AE464,DATE($AD464,2,1)&lt;=$AF464),ROUND($AG464,2),0))</f>
        <v/>
      </c>
      <c r="L464" s="18">
        <f>IF($Z464="","",IF(AND(DATE($AD464,3,1)&gt;=$AE464,DATE($AD464,3,1)&lt;=$AF464),ROUND($AG464,2),0))</f>
        <v/>
      </c>
      <c r="M464" s="18">
        <f>IF($Z464="","",IF(AND(DATE($AD464,4,1)&gt;=$AE464,DATE($AD464,4,1)&lt;=$AF464),ROUND($AG464,2),0))</f>
        <v/>
      </c>
      <c r="N464" s="18">
        <f>IF($Z464="","",IF(AND(DATE($AD464,5,1)&gt;=$AE464,DATE($AD464,5,1)&lt;=$AF464),ROUND($AG464,2),0))</f>
        <v/>
      </c>
      <c r="O464" s="18">
        <f>IF($Z464="","",IF(AND(DATE($AD464,6,1)&gt;=$AE464,DATE($AD464,6,1)&lt;=$AF464),ROUND($AG464,2),0))</f>
        <v/>
      </c>
      <c r="P464" s="18">
        <f>IF($Z464="","",IF(AND(DATE($AD464,7,1)&gt;=$AE464,DATE($AD464,7,1)&lt;=$AF464),ROUND($AG464,2),0))</f>
        <v/>
      </c>
      <c r="Q464" s="18">
        <f>IF($Z464="","",IF(AND(DATE($AD464,8,1)&gt;=$AE464,DATE($AD464,8,1)&lt;=$AF464),ROUND($AG464,2),0))</f>
        <v/>
      </c>
      <c r="R464" s="18">
        <f>IF($Z464="","",IF(AND(DATE($AD464,9,1)&gt;=$AE464,DATE($AD464,9,1)&lt;=$AF464),ROUND($AG464,2),0))</f>
        <v/>
      </c>
      <c r="S464" s="18">
        <f>IF($Z464="","",IF(AND(DATE($AD464,10,1)&gt;=$AE464,DATE($AD464,10,1)&lt;=$AF464),ROUND($AG464,2),0))</f>
        <v/>
      </c>
      <c r="T464" s="18">
        <f>IF($Z464="","",IF(AND(DATE($AD464,11,1)&gt;=$AE464,DATE($AD464,11,1)&lt;=$AF464),ROUND($AG464,2),0))</f>
        <v/>
      </c>
      <c r="U464" s="18">
        <f>IF($Z464="","",IF(AND(DATE($AD464,12,1)&gt;=$AE464,DATE($AD464,12,1)&lt;=$AF464),ROUND($AG464,2),0))</f>
        <v/>
      </c>
      <c r="V464" s="7">
        <f>IF($Z464="C","Generated from "&amp;INDEX(Contracts!$A$2:$A$151,$AB464),IF($Z464="A","Generated from "&amp;INDEX(Fixed_Assets!$A$2:$A$201,$AB464),IF($Z464="F","Generated from "&amp;INDEX(FTE_Allocation!$A$2:$A$201,$AB464),"")))</f>
        <v/>
      </c>
      <c r="X464" s="19">
        <f>IF($Z464="","",SUM(J464:U464))</f>
        <v/>
      </c>
      <c r="Y464" s="20">
        <f>ROW()-1</f>
        <v/>
      </c>
      <c r="Z464" s="20">
        <f>IF($Y464&lt;=Settings!$B$4*3,"C",IF($Y464&lt;=(Settings!$B$4+Settings!$B$5)*3,"A",IF($Y464&lt;=(Settings!$B$4+Settings!$B$5+Settings!$B$6)*3,"F","")))</f>
        <v/>
      </c>
      <c r="AA464" s="20">
        <f>IF($Z464="C",$Y464,IF($Z464="A",$Y464-Settings!$B$4*3,IF($Z464="F",$Y464-(Settings!$B$4+Settings!$B$5)*3,"")))</f>
        <v/>
      </c>
      <c r="AB464" s="20">
        <f>IF($Z464="","",INT(($AA464-1)/3)+1)</f>
        <v/>
      </c>
      <c r="AC464" s="20">
        <f>IF($Z464="","",MOD($AA464-1,3)+1)</f>
        <v/>
      </c>
      <c r="AD464" s="20">
        <f>IF($Z464="","",Settings!$B$2+$AC464-1)</f>
        <v/>
      </c>
      <c r="AE464" s="21">
        <f>IF($Z464="C",DATE(YEAR(INDEX(Contracts!$J$2:$J$151,$AB464)),MONTH(INDEX(Contracts!$J$2:$J$151,$AB464)),1),IF($Z464="A",DATE(YEAR(INDEX(Fixed_Assets!$G$2:$G$201,$AB464)),MONTH(INDEX(Fixed_Assets!$G$2:$G$201,$AB464)),1),IF($Z464="F",DATE(YEAR(MAX(N(INDEX(Workforce!$I$2:$I$151,MATCH(INDEX(FTE_Allocation!$A$2:$A$201,$AB464),Workforce!$A$2:$A$151,0))),N(INDEX(FTE_Allocation!$I$2:$I$201,$AB464)))),MONTH(MAX(N(INDEX(Workforce!$I$2:$I$151,MATCH(INDEX(FTE_Allocation!$A$2:$A$201,$AB464),Workforce!$A$2:$A$151,0))),N(INDEX(FTE_Allocation!$I$2:$I$201,$AB464)))),1),"")))</f>
        <v/>
      </c>
      <c r="AF464" s="21">
        <f>IF($Z464="C",IF(INDEX(Contracts!$I$2:$I$151,$AB464)="PREPAID",EDATE(DATE(YEAR(INDEX(Contracts!$J$2:$J$151,$AB464)),MONTH(INDEX(Contracts!$J$2:$J$151,$AB464)),1),IF(INDEX(Contracts!$N$2:$N$151,$AB464)="",12,INDEX(Contracts!$N$2:$N$151,$AB464))-1),IF(INDEX(Contracts!$I$2:$I$151,$AB464)="MONTHLY",IF(INDEX(Contracts!$K$2:$K$151,$AB464)="",2958101,INDEX(Contracts!$K$2:$K$151,$AB464)),0)),IF($Z464="A",EDATE(DATE(YEAR(INDEX(Fixed_Assets!$G$2:$G$201,$AB464)),MONTH(INDEX(Fixed_Assets!$G$2:$G$201,$AB464)),1),INDEX(Fixed_Assets!$J$2:$J$201,$AB464)-1),IF($Z464="F",MIN(IF(INDEX(Workforce!$J$2:$J$151,MATCH(INDEX(FTE_Allocation!$A$2:$A$201,$AB464),Workforce!$A$2:$A$151,0))="",2958101,INDEX(Workforce!$J$2:$J$151,MATCH(INDEX(FTE_Allocation!$A$2:$A$201,$AB464),Workforce!$A$2:$A$151,0))),IF(INDEX(FTE_Allocation!$J$2:$J$201,$AB464)="",2958101,INDEX(FTE_Allocation!$J$2:$J$201,$AB464))),"")))</f>
        <v/>
      </c>
      <c r="AG464" s="19">
        <f>IF($Z464="C",IF(INDEX(Contracts!$I$2:$I$151,$AB464)="PREPAID",INDEX(Contracts!$M$2:$M$151,$AB464)/IF(INDEX(Contracts!$N$2:$N$151,$AB464)="",12,INDEX(Contracts!$N$2:$N$151,$AB464)),IF(INDEX(Contracts!$I$2:$I$151,$AB464)="MONTHLY",INDEX(Contracts!$M$2:$M$151,$AB464),0))*(1-N(INDEX(Contracts!$O$2:$O$151,$AB464))),IF($Z464="A",INDEX(Fixed_Assets!$H$2:$H$201,$AB464)/INDEX(Fixed_Assets!$J$2:$J$201,$AB464),IF($Z464="F",INDEX(Workforce!$F$2:$F$151,MATCH(INDEX(FTE_Allocation!$A$2:$A$201,$AB464),Workforce!$A$2:$A$151,0))*N(INDEX(FTE_Allocation!$F$2:$H$201,$AB464,$AC464)),"")))</f>
        <v/>
      </c>
    </row>
    <row r="465">
      <c r="A465" s="7">
        <f>IF($Z465="","",$AD465)</f>
        <v/>
      </c>
      <c r="B465" s="7">
        <f>IF($Z465="C",INDEX(Contracts!$D$2:$D$151,$AB465)&amp;"",IF($Z465="A",INDEX(Fixed_Assets!$C$2:$C$201,$AB465)&amp;"",IF($Z465="F",INDEX(Workforce!$B$2:$B$151,MATCH(INDEX(FTE_Allocation!$A$2:$A$201,$AB465),Workforce!$A$2:$A$151,0))&amp;"","")))</f>
        <v/>
      </c>
      <c r="C465" s="7">
        <f>IF($Z465="C",INDEX(Contracts!$E$2:$E$151,$AB465)&amp;"",IF($Z465="A",INDEX(Fixed_Assets!$D$2:$D$201,$AB465)&amp;"",IF($Z465="F",INDEX(FTE_Allocation!$C$2:$C$201,$AB465)&amp;"","")))</f>
        <v/>
      </c>
      <c r="D465" s="7">
        <f>IF($Z465="C",INDEX(Contracts!$B$2:$B$151,$AB465)&amp;"",IF($Z465="A",INDEX(Fixed_Assets!$B$2:$B$201,$AB465)&amp;"",IF($Z465="F",INDEX(FTE_Allocation!$B$2:$B$201,$AB465)&amp;"","")))</f>
        <v/>
      </c>
      <c r="E465" s="7">
        <f>IF($Z465="C",INDEX(Contracts!$P$2:$P$151,$AB465)&amp;"",IF($Z465="A",INDEX(Fixed_Assets!$K$2:$K$201,$AB465)&amp;"",IF($Z465="F",IF(INDEX(FTE_Allocation!$D$2:$D$201,$AB465)="PROJECT",IFERROR(INDEX(Projects!$D:$D,MATCH(INDEX(FTE_Allocation!$E$2:$E$201,$AB465),Projects!$A:$A,0))&amp;"","#PROJECT?"),INDEX(FTE_Allocation!$E$2:$E$201,$AB465)&amp;""),"")))</f>
        <v/>
      </c>
      <c r="F465" s="7">
        <f>IF($Z465="C",INDEX(Contracts!$Q$2:$Q$151,$AB465)&amp;"",IF($Z465="A",INDEX(Fixed_Assets!$L$2:$L$201,$AB465)&amp;"",IF($Z465="F",INDEX(Workforce!$K$2:$K$151,MATCH(INDEX(FTE_Allocation!$A$2:$A$201,$AB465),Workforce!$A$2:$A$151,0))&amp;"","")))</f>
        <v/>
      </c>
      <c r="G465" s="7">
        <f>IF($Z465="C",INDEX(Contracts!$F$2:$F$151,$AB465)&amp;" / "&amp;INDEX(Contracts!$G$2:$G$151,$AB465),IF($Z465="A",INDEX(Fixed_Assets!$E$2:$E$201,$AB465)&amp;"",IF($Z465="F","Personnel "&amp;INDEX(FTE_Allocation!$A$2:$A$201,$AB465)&amp;IF(INDEX(FTE_Allocation!$D$2:$D$201,$AB465)="PROJECT"," ("&amp;INDEX(FTE_Allocation!$E$2:$E$201,$AB465)&amp;")",""),"")))</f>
        <v/>
      </c>
      <c r="H465" s="7">
        <f>IF($Z465="C","CONTRACT",IF($Z465="A","ASSET",IF($Z465="F","WORKFORCE","")))</f>
        <v/>
      </c>
      <c r="I465" s="7">
        <f>IF($Z465="C",INDEX(Contracts!$L$2:$L$151,$AB465)&amp;"",IF($Z465="A",INDEX(Fixed_Assets!$I$2:$I$201,$AB465)&amp;"",IF($Z465="F",INDEX(Workforce!$G$2:$G$151,MATCH(INDEX(FTE_Allocation!$A$2:$A$201,$AB465),Workforce!$A$2:$A$151,0))&amp;"","")))</f>
        <v/>
      </c>
      <c r="J465" s="18">
        <f>IF($Z465="","",IF(AND(DATE($AD465,1,1)&gt;=$AE465,DATE($AD465,1,1)&lt;=$AF465),ROUND($AG465,2),0))</f>
        <v/>
      </c>
      <c r="K465" s="18">
        <f>IF($Z465="","",IF(AND(DATE($AD465,2,1)&gt;=$AE465,DATE($AD465,2,1)&lt;=$AF465),ROUND($AG465,2),0))</f>
        <v/>
      </c>
      <c r="L465" s="18">
        <f>IF($Z465="","",IF(AND(DATE($AD465,3,1)&gt;=$AE465,DATE($AD465,3,1)&lt;=$AF465),ROUND($AG465,2),0))</f>
        <v/>
      </c>
      <c r="M465" s="18">
        <f>IF($Z465="","",IF(AND(DATE($AD465,4,1)&gt;=$AE465,DATE($AD465,4,1)&lt;=$AF465),ROUND($AG465,2),0))</f>
        <v/>
      </c>
      <c r="N465" s="18">
        <f>IF($Z465="","",IF(AND(DATE($AD465,5,1)&gt;=$AE465,DATE($AD465,5,1)&lt;=$AF465),ROUND($AG465,2),0))</f>
        <v/>
      </c>
      <c r="O465" s="18">
        <f>IF($Z465="","",IF(AND(DATE($AD465,6,1)&gt;=$AE465,DATE($AD465,6,1)&lt;=$AF465),ROUND($AG465,2),0))</f>
        <v/>
      </c>
      <c r="P465" s="18">
        <f>IF($Z465="","",IF(AND(DATE($AD465,7,1)&gt;=$AE465,DATE($AD465,7,1)&lt;=$AF465),ROUND($AG465,2),0))</f>
        <v/>
      </c>
      <c r="Q465" s="18">
        <f>IF($Z465="","",IF(AND(DATE($AD465,8,1)&gt;=$AE465,DATE($AD465,8,1)&lt;=$AF465),ROUND($AG465,2),0))</f>
        <v/>
      </c>
      <c r="R465" s="18">
        <f>IF($Z465="","",IF(AND(DATE($AD465,9,1)&gt;=$AE465,DATE($AD465,9,1)&lt;=$AF465),ROUND($AG465,2),0))</f>
        <v/>
      </c>
      <c r="S465" s="18">
        <f>IF($Z465="","",IF(AND(DATE($AD465,10,1)&gt;=$AE465,DATE($AD465,10,1)&lt;=$AF465),ROUND($AG465,2),0))</f>
        <v/>
      </c>
      <c r="T465" s="18">
        <f>IF($Z465="","",IF(AND(DATE($AD465,11,1)&gt;=$AE465,DATE($AD465,11,1)&lt;=$AF465),ROUND($AG465,2),0))</f>
        <v/>
      </c>
      <c r="U465" s="18">
        <f>IF($Z465="","",IF(AND(DATE($AD465,12,1)&gt;=$AE465,DATE($AD465,12,1)&lt;=$AF465),ROUND($AG465,2),0))</f>
        <v/>
      </c>
      <c r="V465" s="7">
        <f>IF($Z465="C","Generated from "&amp;INDEX(Contracts!$A$2:$A$151,$AB465),IF($Z465="A","Generated from "&amp;INDEX(Fixed_Assets!$A$2:$A$201,$AB465),IF($Z465="F","Generated from "&amp;INDEX(FTE_Allocation!$A$2:$A$201,$AB465),"")))</f>
        <v/>
      </c>
      <c r="X465" s="19">
        <f>IF($Z465="","",SUM(J465:U465))</f>
        <v/>
      </c>
      <c r="Y465" s="20">
        <f>ROW()-1</f>
        <v/>
      </c>
      <c r="Z465" s="20">
        <f>IF($Y465&lt;=Settings!$B$4*3,"C",IF($Y465&lt;=(Settings!$B$4+Settings!$B$5)*3,"A",IF($Y465&lt;=(Settings!$B$4+Settings!$B$5+Settings!$B$6)*3,"F","")))</f>
        <v/>
      </c>
      <c r="AA465" s="20">
        <f>IF($Z465="C",$Y465,IF($Z465="A",$Y465-Settings!$B$4*3,IF($Z465="F",$Y465-(Settings!$B$4+Settings!$B$5)*3,"")))</f>
        <v/>
      </c>
      <c r="AB465" s="20">
        <f>IF($Z465="","",INT(($AA465-1)/3)+1)</f>
        <v/>
      </c>
      <c r="AC465" s="20">
        <f>IF($Z465="","",MOD($AA465-1,3)+1)</f>
        <v/>
      </c>
      <c r="AD465" s="20">
        <f>IF($Z465="","",Settings!$B$2+$AC465-1)</f>
        <v/>
      </c>
      <c r="AE465" s="21">
        <f>IF($Z465="C",DATE(YEAR(INDEX(Contracts!$J$2:$J$151,$AB465)),MONTH(INDEX(Contracts!$J$2:$J$151,$AB465)),1),IF($Z465="A",DATE(YEAR(INDEX(Fixed_Assets!$G$2:$G$201,$AB465)),MONTH(INDEX(Fixed_Assets!$G$2:$G$201,$AB465)),1),IF($Z465="F",DATE(YEAR(MAX(N(INDEX(Workforce!$I$2:$I$151,MATCH(INDEX(FTE_Allocation!$A$2:$A$201,$AB465),Workforce!$A$2:$A$151,0))),N(INDEX(FTE_Allocation!$I$2:$I$201,$AB465)))),MONTH(MAX(N(INDEX(Workforce!$I$2:$I$151,MATCH(INDEX(FTE_Allocation!$A$2:$A$201,$AB465),Workforce!$A$2:$A$151,0))),N(INDEX(FTE_Allocation!$I$2:$I$201,$AB465)))),1),"")))</f>
        <v/>
      </c>
      <c r="AF465" s="21">
        <f>IF($Z465="C",IF(INDEX(Contracts!$I$2:$I$151,$AB465)="PREPAID",EDATE(DATE(YEAR(INDEX(Contracts!$J$2:$J$151,$AB465)),MONTH(INDEX(Contracts!$J$2:$J$151,$AB465)),1),IF(INDEX(Contracts!$N$2:$N$151,$AB465)="",12,INDEX(Contracts!$N$2:$N$151,$AB465))-1),IF(INDEX(Contracts!$I$2:$I$151,$AB465)="MONTHLY",IF(INDEX(Contracts!$K$2:$K$151,$AB465)="",2958101,INDEX(Contracts!$K$2:$K$151,$AB465)),0)),IF($Z465="A",EDATE(DATE(YEAR(INDEX(Fixed_Assets!$G$2:$G$201,$AB465)),MONTH(INDEX(Fixed_Assets!$G$2:$G$201,$AB465)),1),INDEX(Fixed_Assets!$J$2:$J$201,$AB465)-1),IF($Z465="F",MIN(IF(INDEX(Workforce!$J$2:$J$151,MATCH(INDEX(FTE_Allocation!$A$2:$A$201,$AB465),Workforce!$A$2:$A$151,0))="",2958101,INDEX(Workforce!$J$2:$J$151,MATCH(INDEX(FTE_Allocation!$A$2:$A$201,$AB465),Workforce!$A$2:$A$151,0))),IF(INDEX(FTE_Allocation!$J$2:$J$201,$AB465)="",2958101,INDEX(FTE_Allocation!$J$2:$J$201,$AB465))),"")))</f>
        <v/>
      </c>
      <c r="AG465" s="19">
        <f>IF($Z465="C",IF(INDEX(Contracts!$I$2:$I$151,$AB465)="PREPAID",INDEX(Contracts!$M$2:$M$151,$AB465)/IF(INDEX(Contracts!$N$2:$N$151,$AB465)="",12,INDEX(Contracts!$N$2:$N$151,$AB465)),IF(INDEX(Contracts!$I$2:$I$151,$AB465)="MONTHLY",INDEX(Contracts!$M$2:$M$151,$AB465),0))*(1-N(INDEX(Contracts!$O$2:$O$151,$AB465))),IF($Z465="A",INDEX(Fixed_Assets!$H$2:$H$201,$AB465)/INDEX(Fixed_Assets!$J$2:$J$201,$AB465),IF($Z465="F",INDEX(Workforce!$F$2:$F$151,MATCH(INDEX(FTE_Allocation!$A$2:$A$201,$AB465),Workforce!$A$2:$A$151,0))*N(INDEX(FTE_Allocation!$F$2:$H$201,$AB465,$AC465)),"")))</f>
        <v/>
      </c>
    </row>
    <row r="466">
      <c r="A466" s="7">
        <f>IF($Z466="","",$AD466)</f>
        <v/>
      </c>
      <c r="B466" s="7">
        <f>IF($Z466="C",INDEX(Contracts!$D$2:$D$151,$AB466)&amp;"",IF($Z466="A",INDEX(Fixed_Assets!$C$2:$C$201,$AB466)&amp;"",IF($Z466="F",INDEX(Workforce!$B$2:$B$151,MATCH(INDEX(FTE_Allocation!$A$2:$A$201,$AB466),Workforce!$A$2:$A$151,0))&amp;"","")))</f>
        <v/>
      </c>
      <c r="C466" s="7">
        <f>IF($Z466="C",INDEX(Contracts!$E$2:$E$151,$AB466)&amp;"",IF($Z466="A",INDEX(Fixed_Assets!$D$2:$D$201,$AB466)&amp;"",IF($Z466="F",INDEX(FTE_Allocation!$C$2:$C$201,$AB466)&amp;"","")))</f>
        <v/>
      </c>
      <c r="D466" s="7">
        <f>IF($Z466="C",INDEX(Contracts!$B$2:$B$151,$AB466)&amp;"",IF($Z466="A",INDEX(Fixed_Assets!$B$2:$B$201,$AB466)&amp;"",IF($Z466="F",INDEX(FTE_Allocation!$B$2:$B$201,$AB466)&amp;"","")))</f>
        <v/>
      </c>
      <c r="E466" s="7">
        <f>IF($Z466="C",INDEX(Contracts!$P$2:$P$151,$AB466)&amp;"",IF($Z466="A",INDEX(Fixed_Assets!$K$2:$K$201,$AB466)&amp;"",IF($Z466="F",IF(INDEX(FTE_Allocation!$D$2:$D$201,$AB466)="PROJECT",IFERROR(INDEX(Projects!$D:$D,MATCH(INDEX(FTE_Allocation!$E$2:$E$201,$AB466),Projects!$A:$A,0))&amp;"","#PROJECT?"),INDEX(FTE_Allocation!$E$2:$E$201,$AB466)&amp;""),"")))</f>
        <v/>
      </c>
      <c r="F466" s="7">
        <f>IF($Z466="C",INDEX(Contracts!$Q$2:$Q$151,$AB466)&amp;"",IF($Z466="A",INDEX(Fixed_Assets!$L$2:$L$201,$AB466)&amp;"",IF($Z466="F",INDEX(Workforce!$K$2:$K$151,MATCH(INDEX(FTE_Allocation!$A$2:$A$201,$AB466),Workforce!$A$2:$A$151,0))&amp;"","")))</f>
        <v/>
      </c>
      <c r="G466" s="7">
        <f>IF($Z466="C",INDEX(Contracts!$F$2:$F$151,$AB466)&amp;" / "&amp;INDEX(Contracts!$G$2:$G$151,$AB466),IF($Z466="A",INDEX(Fixed_Assets!$E$2:$E$201,$AB466)&amp;"",IF($Z466="F","Personnel "&amp;INDEX(FTE_Allocation!$A$2:$A$201,$AB466)&amp;IF(INDEX(FTE_Allocation!$D$2:$D$201,$AB466)="PROJECT"," ("&amp;INDEX(FTE_Allocation!$E$2:$E$201,$AB466)&amp;")",""),"")))</f>
        <v/>
      </c>
      <c r="H466" s="7">
        <f>IF($Z466="C","CONTRACT",IF($Z466="A","ASSET",IF($Z466="F","WORKFORCE","")))</f>
        <v/>
      </c>
      <c r="I466" s="7">
        <f>IF($Z466="C",INDEX(Contracts!$L$2:$L$151,$AB466)&amp;"",IF($Z466="A",INDEX(Fixed_Assets!$I$2:$I$201,$AB466)&amp;"",IF($Z466="F",INDEX(Workforce!$G$2:$G$151,MATCH(INDEX(FTE_Allocation!$A$2:$A$201,$AB466),Workforce!$A$2:$A$151,0))&amp;"","")))</f>
        <v/>
      </c>
      <c r="J466" s="18">
        <f>IF($Z466="","",IF(AND(DATE($AD466,1,1)&gt;=$AE466,DATE($AD466,1,1)&lt;=$AF466),ROUND($AG466,2),0))</f>
        <v/>
      </c>
      <c r="K466" s="18">
        <f>IF($Z466="","",IF(AND(DATE($AD466,2,1)&gt;=$AE466,DATE($AD466,2,1)&lt;=$AF466),ROUND($AG466,2),0))</f>
        <v/>
      </c>
      <c r="L466" s="18">
        <f>IF($Z466="","",IF(AND(DATE($AD466,3,1)&gt;=$AE466,DATE($AD466,3,1)&lt;=$AF466),ROUND($AG466,2),0))</f>
        <v/>
      </c>
      <c r="M466" s="18">
        <f>IF($Z466="","",IF(AND(DATE($AD466,4,1)&gt;=$AE466,DATE($AD466,4,1)&lt;=$AF466),ROUND($AG466,2),0))</f>
        <v/>
      </c>
      <c r="N466" s="18">
        <f>IF($Z466="","",IF(AND(DATE($AD466,5,1)&gt;=$AE466,DATE($AD466,5,1)&lt;=$AF466),ROUND($AG466,2),0))</f>
        <v/>
      </c>
      <c r="O466" s="18">
        <f>IF($Z466="","",IF(AND(DATE($AD466,6,1)&gt;=$AE466,DATE($AD466,6,1)&lt;=$AF466),ROUND($AG466,2),0))</f>
        <v/>
      </c>
      <c r="P466" s="18">
        <f>IF($Z466="","",IF(AND(DATE($AD466,7,1)&gt;=$AE466,DATE($AD466,7,1)&lt;=$AF466),ROUND($AG466,2),0))</f>
        <v/>
      </c>
      <c r="Q466" s="18">
        <f>IF($Z466="","",IF(AND(DATE($AD466,8,1)&gt;=$AE466,DATE($AD466,8,1)&lt;=$AF466),ROUND($AG466,2),0))</f>
        <v/>
      </c>
      <c r="R466" s="18">
        <f>IF($Z466="","",IF(AND(DATE($AD466,9,1)&gt;=$AE466,DATE($AD466,9,1)&lt;=$AF466),ROUND($AG466,2),0))</f>
        <v/>
      </c>
      <c r="S466" s="18">
        <f>IF($Z466="","",IF(AND(DATE($AD466,10,1)&gt;=$AE466,DATE($AD466,10,1)&lt;=$AF466),ROUND($AG466,2),0))</f>
        <v/>
      </c>
      <c r="T466" s="18">
        <f>IF($Z466="","",IF(AND(DATE($AD466,11,1)&gt;=$AE466,DATE($AD466,11,1)&lt;=$AF466),ROUND($AG466,2),0))</f>
        <v/>
      </c>
      <c r="U466" s="18">
        <f>IF($Z466="","",IF(AND(DATE($AD466,12,1)&gt;=$AE466,DATE($AD466,12,1)&lt;=$AF466),ROUND($AG466,2),0))</f>
        <v/>
      </c>
      <c r="V466" s="7">
        <f>IF($Z466="C","Generated from "&amp;INDEX(Contracts!$A$2:$A$151,$AB466),IF($Z466="A","Generated from "&amp;INDEX(Fixed_Assets!$A$2:$A$201,$AB466),IF($Z466="F","Generated from "&amp;INDEX(FTE_Allocation!$A$2:$A$201,$AB466),"")))</f>
        <v/>
      </c>
      <c r="X466" s="19">
        <f>IF($Z466="","",SUM(J466:U466))</f>
        <v/>
      </c>
      <c r="Y466" s="20">
        <f>ROW()-1</f>
        <v/>
      </c>
      <c r="Z466" s="20">
        <f>IF($Y466&lt;=Settings!$B$4*3,"C",IF($Y466&lt;=(Settings!$B$4+Settings!$B$5)*3,"A",IF($Y466&lt;=(Settings!$B$4+Settings!$B$5+Settings!$B$6)*3,"F","")))</f>
        <v/>
      </c>
      <c r="AA466" s="20">
        <f>IF($Z466="C",$Y466,IF($Z466="A",$Y466-Settings!$B$4*3,IF($Z466="F",$Y466-(Settings!$B$4+Settings!$B$5)*3,"")))</f>
        <v/>
      </c>
      <c r="AB466" s="20">
        <f>IF($Z466="","",INT(($AA466-1)/3)+1)</f>
        <v/>
      </c>
      <c r="AC466" s="20">
        <f>IF($Z466="","",MOD($AA466-1,3)+1)</f>
        <v/>
      </c>
      <c r="AD466" s="20">
        <f>IF($Z466="","",Settings!$B$2+$AC466-1)</f>
        <v/>
      </c>
      <c r="AE466" s="21">
        <f>IF($Z466="C",DATE(YEAR(INDEX(Contracts!$J$2:$J$151,$AB466)),MONTH(INDEX(Contracts!$J$2:$J$151,$AB466)),1),IF($Z466="A",DATE(YEAR(INDEX(Fixed_Assets!$G$2:$G$201,$AB466)),MONTH(INDEX(Fixed_Assets!$G$2:$G$201,$AB466)),1),IF($Z466="F",DATE(YEAR(MAX(N(INDEX(Workforce!$I$2:$I$151,MATCH(INDEX(FTE_Allocation!$A$2:$A$201,$AB466),Workforce!$A$2:$A$151,0))),N(INDEX(FTE_Allocation!$I$2:$I$201,$AB466)))),MONTH(MAX(N(INDEX(Workforce!$I$2:$I$151,MATCH(INDEX(FTE_Allocation!$A$2:$A$201,$AB466),Workforce!$A$2:$A$151,0))),N(INDEX(FTE_Allocation!$I$2:$I$201,$AB466)))),1),"")))</f>
        <v/>
      </c>
      <c r="AF466" s="21">
        <f>IF($Z466="C",IF(INDEX(Contracts!$I$2:$I$151,$AB466)="PREPAID",EDATE(DATE(YEAR(INDEX(Contracts!$J$2:$J$151,$AB466)),MONTH(INDEX(Contracts!$J$2:$J$151,$AB466)),1),IF(INDEX(Contracts!$N$2:$N$151,$AB466)="",12,INDEX(Contracts!$N$2:$N$151,$AB466))-1),IF(INDEX(Contracts!$I$2:$I$151,$AB466)="MONTHLY",IF(INDEX(Contracts!$K$2:$K$151,$AB466)="",2958101,INDEX(Contracts!$K$2:$K$151,$AB466)),0)),IF($Z466="A",EDATE(DATE(YEAR(INDEX(Fixed_Assets!$G$2:$G$201,$AB466)),MONTH(INDEX(Fixed_Assets!$G$2:$G$201,$AB466)),1),INDEX(Fixed_Assets!$J$2:$J$201,$AB466)-1),IF($Z466="F",MIN(IF(INDEX(Workforce!$J$2:$J$151,MATCH(INDEX(FTE_Allocation!$A$2:$A$201,$AB466),Workforce!$A$2:$A$151,0))="",2958101,INDEX(Workforce!$J$2:$J$151,MATCH(INDEX(FTE_Allocation!$A$2:$A$201,$AB466),Workforce!$A$2:$A$151,0))),IF(INDEX(FTE_Allocation!$J$2:$J$201,$AB466)="",2958101,INDEX(FTE_Allocation!$J$2:$J$201,$AB466))),"")))</f>
        <v/>
      </c>
      <c r="AG466" s="19">
        <f>IF($Z466="C",IF(INDEX(Contracts!$I$2:$I$151,$AB466)="PREPAID",INDEX(Contracts!$M$2:$M$151,$AB466)/IF(INDEX(Contracts!$N$2:$N$151,$AB466)="",12,INDEX(Contracts!$N$2:$N$151,$AB466)),IF(INDEX(Contracts!$I$2:$I$151,$AB466)="MONTHLY",INDEX(Contracts!$M$2:$M$151,$AB466),0))*(1-N(INDEX(Contracts!$O$2:$O$151,$AB466))),IF($Z466="A",INDEX(Fixed_Assets!$H$2:$H$201,$AB466)/INDEX(Fixed_Assets!$J$2:$J$201,$AB466),IF($Z466="F",INDEX(Workforce!$F$2:$F$151,MATCH(INDEX(FTE_Allocation!$A$2:$A$201,$AB466),Workforce!$A$2:$A$151,0))*N(INDEX(FTE_Allocation!$F$2:$H$201,$AB466,$AC466)),"")))</f>
        <v/>
      </c>
    </row>
    <row r="467">
      <c r="A467" s="7">
        <f>IF($Z467="","",$AD467)</f>
        <v/>
      </c>
      <c r="B467" s="7">
        <f>IF($Z467="C",INDEX(Contracts!$D$2:$D$151,$AB467)&amp;"",IF($Z467="A",INDEX(Fixed_Assets!$C$2:$C$201,$AB467)&amp;"",IF($Z467="F",INDEX(Workforce!$B$2:$B$151,MATCH(INDEX(FTE_Allocation!$A$2:$A$201,$AB467),Workforce!$A$2:$A$151,0))&amp;"","")))</f>
        <v/>
      </c>
      <c r="C467" s="7">
        <f>IF($Z467="C",INDEX(Contracts!$E$2:$E$151,$AB467)&amp;"",IF($Z467="A",INDEX(Fixed_Assets!$D$2:$D$201,$AB467)&amp;"",IF($Z467="F",INDEX(FTE_Allocation!$C$2:$C$201,$AB467)&amp;"","")))</f>
        <v/>
      </c>
      <c r="D467" s="7">
        <f>IF($Z467="C",INDEX(Contracts!$B$2:$B$151,$AB467)&amp;"",IF($Z467="A",INDEX(Fixed_Assets!$B$2:$B$201,$AB467)&amp;"",IF($Z467="F",INDEX(FTE_Allocation!$B$2:$B$201,$AB467)&amp;"","")))</f>
        <v/>
      </c>
      <c r="E467" s="7">
        <f>IF($Z467="C",INDEX(Contracts!$P$2:$P$151,$AB467)&amp;"",IF($Z467="A",INDEX(Fixed_Assets!$K$2:$K$201,$AB467)&amp;"",IF($Z467="F",IF(INDEX(FTE_Allocation!$D$2:$D$201,$AB467)="PROJECT",IFERROR(INDEX(Projects!$D:$D,MATCH(INDEX(FTE_Allocation!$E$2:$E$201,$AB467),Projects!$A:$A,0))&amp;"","#PROJECT?"),INDEX(FTE_Allocation!$E$2:$E$201,$AB467)&amp;""),"")))</f>
        <v/>
      </c>
      <c r="F467" s="7">
        <f>IF($Z467="C",INDEX(Contracts!$Q$2:$Q$151,$AB467)&amp;"",IF($Z467="A",INDEX(Fixed_Assets!$L$2:$L$201,$AB467)&amp;"",IF($Z467="F",INDEX(Workforce!$K$2:$K$151,MATCH(INDEX(FTE_Allocation!$A$2:$A$201,$AB467),Workforce!$A$2:$A$151,0))&amp;"","")))</f>
        <v/>
      </c>
      <c r="G467" s="7">
        <f>IF($Z467="C",INDEX(Contracts!$F$2:$F$151,$AB467)&amp;" / "&amp;INDEX(Contracts!$G$2:$G$151,$AB467),IF($Z467="A",INDEX(Fixed_Assets!$E$2:$E$201,$AB467)&amp;"",IF($Z467="F","Personnel "&amp;INDEX(FTE_Allocation!$A$2:$A$201,$AB467)&amp;IF(INDEX(FTE_Allocation!$D$2:$D$201,$AB467)="PROJECT"," ("&amp;INDEX(FTE_Allocation!$E$2:$E$201,$AB467)&amp;")",""),"")))</f>
        <v/>
      </c>
      <c r="H467" s="7">
        <f>IF($Z467="C","CONTRACT",IF($Z467="A","ASSET",IF($Z467="F","WORKFORCE","")))</f>
        <v/>
      </c>
      <c r="I467" s="7">
        <f>IF($Z467="C",INDEX(Contracts!$L$2:$L$151,$AB467)&amp;"",IF($Z467="A",INDEX(Fixed_Assets!$I$2:$I$201,$AB467)&amp;"",IF($Z467="F",INDEX(Workforce!$G$2:$G$151,MATCH(INDEX(FTE_Allocation!$A$2:$A$201,$AB467),Workforce!$A$2:$A$151,0))&amp;"","")))</f>
        <v/>
      </c>
      <c r="J467" s="18">
        <f>IF($Z467="","",IF(AND(DATE($AD467,1,1)&gt;=$AE467,DATE($AD467,1,1)&lt;=$AF467),ROUND($AG467,2),0))</f>
        <v/>
      </c>
      <c r="K467" s="18">
        <f>IF($Z467="","",IF(AND(DATE($AD467,2,1)&gt;=$AE467,DATE($AD467,2,1)&lt;=$AF467),ROUND($AG467,2),0))</f>
        <v/>
      </c>
      <c r="L467" s="18">
        <f>IF($Z467="","",IF(AND(DATE($AD467,3,1)&gt;=$AE467,DATE($AD467,3,1)&lt;=$AF467),ROUND($AG467,2),0))</f>
        <v/>
      </c>
      <c r="M467" s="18">
        <f>IF($Z467="","",IF(AND(DATE($AD467,4,1)&gt;=$AE467,DATE($AD467,4,1)&lt;=$AF467),ROUND($AG467,2),0))</f>
        <v/>
      </c>
      <c r="N467" s="18">
        <f>IF($Z467="","",IF(AND(DATE($AD467,5,1)&gt;=$AE467,DATE($AD467,5,1)&lt;=$AF467),ROUND($AG467,2),0))</f>
        <v/>
      </c>
      <c r="O467" s="18">
        <f>IF($Z467="","",IF(AND(DATE($AD467,6,1)&gt;=$AE467,DATE($AD467,6,1)&lt;=$AF467),ROUND($AG467,2),0))</f>
        <v/>
      </c>
      <c r="P467" s="18">
        <f>IF($Z467="","",IF(AND(DATE($AD467,7,1)&gt;=$AE467,DATE($AD467,7,1)&lt;=$AF467),ROUND($AG467,2),0))</f>
        <v/>
      </c>
      <c r="Q467" s="18">
        <f>IF($Z467="","",IF(AND(DATE($AD467,8,1)&gt;=$AE467,DATE($AD467,8,1)&lt;=$AF467),ROUND($AG467,2),0))</f>
        <v/>
      </c>
      <c r="R467" s="18">
        <f>IF($Z467="","",IF(AND(DATE($AD467,9,1)&gt;=$AE467,DATE($AD467,9,1)&lt;=$AF467),ROUND($AG467,2),0))</f>
        <v/>
      </c>
      <c r="S467" s="18">
        <f>IF($Z467="","",IF(AND(DATE($AD467,10,1)&gt;=$AE467,DATE($AD467,10,1)&lt;=$AF467),ROUND($AG467,2),0))</f>
        <v/>
      </c>
      <c r="T467" s="18">
        <f>IF($Z467="","",IF(AND(DATE($AD467,11,1)&gt;=$AE467,DATE($AD467,11,1)&lt;=$AF467),ROUND($AG467,2),0))</f>
        <v/>
      </c>
      <c r="U467" s="18">
        <f>IF($Z467="","",IF(AND(DATE($AD467,12,1)&gt;=$AE467,DATE($AD467,12,1)&lt;=$AF467),ROUND($AG467,2),0))</f>
        <v/>
      </c>
      <c r="V467" s="7">
        <f>IF($Z467="C","Generated from "&amp;INDEX(Contracts!$A$2:$A$151,$AB467),IF($Z467="A","Generated from "&amp;INDEX(Fixed_Assets!$A$2:$A$201,$AB467),IF($Z467="F","Generated from "&amp;INDEX(FTE_Allocation!$A$2:$A$201,$AB467),"")))</f>
        <v/>
      </c>
      <c r="X467" s="19">
        <f>IF($Z467="","",SUM(J467:U467))</f>
        <v/>
      </c>
      <c r="Y467" s="20">
        <f>ROW()-1</f>
        <v/>
      </c>
      <c r="Z467" s="20">
        <f>IF($Y467&lt;=Settings!$B$4*3,"C",IF($Y467&lt;=(Settings!$B$4+Settings!$B$5)*3,"A",IF($Y467&lt;=(Settings!$B$4+Settings!$B$5+Settings!$B$6)*3,"F","")))</f>
        <v/>
      </c>
      <c r="AA467" s="20">
        <f>IF($Z467="C",$Y467,IF($Z467="A",$Y467-Settings!$B$4*3,IF($Z467="F",$Y467-(Settings!$B$4+Settings!$B$5)*3,"")))</f>
        <v/>
      </c>
      <c r="AB467" s="20">
        <f>IF($Z467="","",INT(($AA467-1)/3)+1)</f>
        <v/>
      </c>
      <c r="AC467" s="20">
        <f>IF($Z467="","",MOD($AA467-1,3)+1)</f>
        <v/>
      </c>
      <c r="AD467" s="20">
        <f>IF($Z467="","",Settings!$B$2+$AC467-1)</f>
        <v/>
      </c>
      <c r="AE467" s="21">
        <f>IF($Z467="C",DATE(YEAR(INDEX(Contracts!$J$2:$J$151,$AB467)),MONTH(INDEX(Contracts!$J$2:$J$151,$AB467)),1),IF($Z467="A",DATE(YEAR(INDEX(Fixed_Assets!$G$2:$G$201,$AB467)),MONTH(INDEX(Fixed_Assets!$G$2:$G$201,$AB467)),1),IF($Z467="F",DATE(YEAR(MAX(N(INDEX(Workforce!$I$2:$I$151,MATCH(INDEX(FTE_Allocation!$A$2:$A$201,$AB467),Workforce!$A$2:$A$151,0))),N(INDEX(FTE_Allocation!$I$2:$I$201,$AB467)))),MONTH(MAX(N(INDEX(Workforce!$I$2:$I$151,MATCH(INDEX(FTE_Allocation!$A$2:$A$201,$AB467),Workforce!$A$2:$A$151,0))),N(INDEX(FTE_Allocation!$I$2:$I$201,$AB467)))),1),"")))</f>
        <v/>
      </c>
      <c r="AF467" s="21">
        <f>IF($Z467="C",IF(INDEX(Contracts!$I$2:$I$151,$AB467)="PREPAID",EDATE(DATE(YEAR(INDEX(Contracts!$J$2:$J$151,$AB467)),MONTH(INDEX(Contracts!$J$2:$J$151,$AB467)),1),IF(INDEX(Contracts!$N$2:$N$151,$AB467)="",12,INDEX(Contracts!$N$2:$N$151,$AB467))-1),IF(INDEX(Contracts!$I$2:$I$151,$AB467)="MONTHLY",IF(INDEX(Contracts!$K$2:$K$151,$AB467)="",2958101,INDEX(Contracts!$K$2:$K$151,$AB467)),0)),IF($Z467="A",EDATE(DATE(YEAR(INDEX(Fixed_Assets!$G$2:$G$201,$AB467)),MONTH(INDEX(Fixed_Assets!$G$2:$G$201,$AB467)),1),INDEX(Fixed_Assets!$J$2:$J$201,$AB467)-1),IF($Z467="F",MIN(IF(INDEX(Workforce!$J$2:$J$151,MATCH(INDEX(FTE_Allocation!$A$2:$A$201,$AB467),Workforce!$A$2:$A$151,0))="",2958101,INDEX(Workforce!$J$2:$J$151,MATCH(INDEX(FTE_Allocation!$A$2:$A$201,$AB467),Workforce!$A$2:$A$151,0))),IF(INDEX(FTE_Allocation!$J$2:$J$201,$AB467)="",2958101,INDEX(FTE_Allocation!$J$2:$J$201,$AB467))),"")))</f>
        <v/>
      </c>
      <c r="AG467" s="19">
        <f>IF($Z467="C",IF(INDEX(Contracts!$I$2:$I$151,$AB467)="PREPAID",INDEX(Contracts!$M$2:$M$151,$AB467)/IF(INDEX(Contracts!$N$2:$N$151,$AB467)="",12,INDEX(Contracts!$N$2:$N$151,$AB467)),IF(INDEX(Contracts!$I$2:$I$151,$AB467)="MONTHLY",INDEX(Contracts!$M$2:$M$151,$AB467),0))*(1-N(INDEX(Contracts!$O$2:$O$151,$AB467))),IF($Z467="A",INDEX(Fixed_Assets!$H$2:$H$201,$AB467)/INDEX(Fixed_Assets!$J$2:$J$201,$AB467),IF($Z467="F",INDEX(Workforce!$F$2:$F$151,MATCH(INDEX(FTE_Allocation!$A$2:$A$201,$AB467),Workforce!$A$2:$A$151,0))*N(INDEX(FTE_Allocation!$F$2:$H$201,$AB467,$AC467)),"")))</f>
        <v/>
      </c>
    </row>
    <row r="468">
      <c r="A468" s="7">
        <f>IF($Z468="","",$AD468)</f>
        <v/>
      </c>
      <c r="B468" s="7">
        <f>IF($Z468="C",INDEX(Contracts!$D$2:$D$151,$AB468)&amp;"",IF($Z468="A",INDEX(Fixed_Assets!$C$2:$C$201,$AB468)&amp;"",IF($Z468="F",INDEX(Workforce!$B$2:$B$151,MATCH(INDEX(FTE_Allocation!$A$2:$A$201,$AB468),Workforce!$A$2:$A$151,0))&amp;"","")))</f>
        <v/>
      </c>
      <c r="C468" s="7">
        <f>IF($Z468="C",INDEX(Contracts!$E$2:$E$151,$AB468)&amp;"",IF($Z468="A",INDEX(Fixed_Assets!$D$2:$D$201,$AB468)&amp;"",IF($Z468="F",INDEX(FTE_Allocation!$C$2:$C$201,$AB468)&amp;"","")))</f>
        <v/>
      </c>
      <c r="D468" s="7">
        <f>IF($Z468="C",INDEX(Contracts!$B$2:$B$151,$AB468)&amp;"",IF($Z468="A",INDEX(Fixed_Assets!$B$2:$B$201,$AB468)&amp;"",IF($Z468="F",INDEX(FTE_Allocation!$B$2:$B$201,$AB468)&amp;"","")))</f>
        <v/>
      </c>
      <c r="E468" s="7">
        <f>IF($Z468="C",INDEX(Contracts!$P$2:$P$151,$AB468)&amp;"",IF($Z468="A",INDEX(Fixed_Assets!$K$2:$K$201,$AB468)&amp;"",IF($Z468="F",IF(INDEX(FTE_Allocation!$D$2:$D$201,$AB468)="PROJECT",IFERROR(INDEX(Projects!$D:$D,MATCH(INDEX(FTE_Allocation!$E$2:$E$201,$AB468),Projects!$A:$A,0))&amp;"","#PROJECT?"),INDEX(FTE_Allocation!$E$2:$E$201,$AB468)&amp;""),"")))</f>
        <v/>
      </c>
      <c r="F468" s="7">
        <f>IF($Z468="C",INDEX(Contracts!$Q$2:$Q$151,$AB468)&amp;"",IF($Z468="A",INDEX(Fixed_Assets!$L$2:$L$201,$AB468)&amp;"",IF($Z468="F",INDEX(Workforce!$K$2:$K$151,MATCH(INDEX(FTE_Allocation!$A$2:$A$201,$AB468),Workforce!$A$2:$A$151,0))&amp;"","")))</f>
        <v/>
      </c>
      <c r="G468" s="7">
        <f>IF($Z468="C",INDEX(Contracts!$F$2:$F$151,$AB468)&amp;" / "&amp;INDEX(Contracts!$G$2:$G$151,$AB468),IF($Z468="A",INDEX(Fixed_Assets!$E$2:$E$201,$AB468)&amp;"",IF($Z468="F","Personnel "&amp;INDEX(FTE_Allocation!$A$2:$A$201,$AB468)&amp;IF(INDEX(FTE_Allocation!$D$2:$D$201,$AB468)="PROJECT"," ("&amp;INDEX(FTE_Allocation!$E$2:$E$201,$AB468)&amp;")",""),"")))</f>
        <v/>
      </c>
      <c r="H468" s="7">
        <f>IF($Z468="C","CONTRACT",IF($Z468="A","ASSET",IF($Z468="F","WORKFORCE","")))</f>
        <v/>
      </c>
      <c r="I468" s="7">
        <f>IF($Z468="C",INDEX(Contracts!$L$2:$L$151,$AB468)&amp;"",IF($Z468="A",INDEX(Fixed_Assets!$I$2:$I$201,$AB468)&amp;"",IF($Z468="F",INDEX(Workforce!$G$2:$G$151,MATCH(INDEX(FTE_Allocation!$A$2:$A$201,$AB468),Workforce!$A$2:$A$151,0))&amp;"","")))</f>
        <v/>
      </c>
      <c r="J468" s="18">
        <f>IF($Z468="","",IF(AND(DATE($AD468,1,1)&gt;=$AE468,DATE($AD468,1,1)&lt;=$AF468),ROUND($AG468,2),0))</f>
        <v/>
      </c>
      <c r="K468" s="18">
        <f>IF($Z468="","",IF(AND(DATE($AD468,2,1)&gt;=$AE468,DATE($AD468,2,1)&lt;=$AF468),ROUND($AG468,2),0))</f>
        <v/>
      </c>
      <c r="L468" s="18">
        <f>IF($Z468="","",IF(AND(DATE($AD468,3,1)&gt;=$AE468,DATE($AD468,3,1)&lt;=$AF468),ROUND($AG468,2),0))</f>
        <v/>
      </c>
      <c r="M468" s="18">
        <f>IF($Z468="","",IF(AND(DATE($AD468,4,1)&gt;=$AE468,DATE($AD468,4,1)&lt;=$AF468),ROUND($AG468,2),0))</f>
        <v/>
      </c>
      <c r="N468" s="18">
        <f>IF($Z468="","",IF(AND(DATE($AD468,5,1)&gt;=$AE468,DATE($AD468,5,1)&lt;=$AF468),ROUND($AG468,2),0))</f>
        <v/>
      </c>
      <c r="O468" s="18">
        <f>IF($Z468="","",IF(AND(DATE($AD468,6,1)&gt;=$AE468,DATE($AD468,6,1)&lt;=$AF468),ROUND($AG468,2),0))</f>
        <v/>
      </c>
      <c r="P468" s="18">
        <f>IF($Z468="","",IF(AND(DATE($AD468,7,1)&gt;=$AE468,DATE($AD468,7,1)&lt;=$AF468),ROUND($AG468,2),0))</f>
        <v/>
      </c>
      <c r="Q468" s="18">
        <f>IF($Z468="","",IF(AND(DATE($AD468,8,1)&gt;=$AE468,DATE($AD468,8,1)&lt;=$AF468),ROUND($AG468,2),0))</f>
        <v/>
      </c>
      <c r="R468" s="18">
        <f>IF($Z468="","",IF(AND(DATE($AD468,9,1)&gt;=$AE468,DATE($AD468,9,1)&lt;=$AF468),ROUND($AG468,2),0))</f>
        <v/>
      </c>
      <c r="S468" s="18">
        <f>IF($Z468="","",IF(AND(DATE($AD468,10,1)&gt;=$AE468,DATE($AD468,10,1)&lt;=$AF468),ROUND($AG468,2),0))</f>
        <v/>
      </c>
      <c r="T468" s="18">
        <f>IF($Z468="","",IF(AND(DATE($AD468,11,1)&gt;=$AE468,DATE($AD468,11,1)&lt;=$AF468),ROUND($AG468,2),0))</f>
        <v/>
      </c>
      <c r="U468" s="18">
        <f>IF($Z468="","",IF(AND(DATE($AD468,12,1)&gt;=$AE468,DATE($AD468,12,1)&lt;=$AF468),ROUND($AG468,2),0))</f>
        <v/>
      </c>
      <c r="V468" s="7">
        <f>IF($Z468="C","Generated from "&amp;INDEX(Contracts!$A$2:$A$151,$AB468),IF($Z468="A","Generated from "&amp;INDEX(Fixed_Assets!$A$2:$A$201,$AB468),IF($Z468="F","Generated from "&amp;INDEX(FTE_Allocation!$A$2:$A$201,$AB468),"")))</f>
        <v/>
      </c>
      <c r="X468" s="19">
        <f>IF($Z468="","",SUM(J468:U468))</f>
        <v/>
      </c>
      <c r="Y468" s="20">
        <f>ROW()-1</f>
        <v/>
      </c>
      <c r="Z468" s="20">
        <f>IF($Y468&lt;=Settings!$B$4*3,"C",IF($Y468&lt;=(Settings!$B$4+Settings!$B$5)*3,"A",IF($Y468&lt;=(Settings!$B$4+Settings!$B$5+Settings!$B$6)*3,"F","")))</f>
        <v/>
      </c>
      <c r="AA468" s="20">
        <f>IF($Z468="C",$Y468,IF($Z468="A",$Y468-Settings!$B$4*3,IF($Z468="F",$Y468-(Settings!$B$4+Settings!$B$5)*3,"")))</f>
        <v/>
      </c>
      <c r="AB468" s="20">
        <f>IF($Z468="","",INT(($AA468-1)/3)+1)</f>
        <v/>
      </c>
      <c r="AC468" s="20">
        <f>IF($Z468="","",MOD($AA468-1,3)+1)</f>
        <v/>
      </c>
      <c r="AD468" s="20">
        <f>IF($Z468="","",Settings!$B$2+$AC468-1)</f>
        <v/>
      </c>
      <c r="AE468" s="21">
        <f>IF($Z468="C",DATE(YEAR(INDEX(Contracts!$J$2:$J$151,$AB468)),MONTH(INDEX(Contracts!$J$2:$J$151,$AB468)),1),IF($Z468="A",DATE(YEAR(INDEX(Fixed_Assets!$G$2:$G$201,$AB468)),MONTH(INDEX(Fixed_Assets!$G$2:$G$201,$AB468)),1),IF($Z468="F",DATE(YEAR(MAX(N(INDEX(Workforce!$I$2:$I$151,MATCH(INDEX(FTE_Allocation!$A$2:$A$201,$AB468),Workforce!$A$2:$A$151,0))),N(INDEX(FTE_Allocation!$I$2:$I$201,$AB468)))),MONTH(MAX(N(INDEX(Workforce!$I$2:$I$151,MATCH(INDEX(FTE_Allocation!$A$2:$A$201,$AB468),Workforce!$A$2:$A$151,0))),N(INDEX(FTE_Allocation!$I$2:$I$201,$AB468)))),1),"")))</f>
        <v/>
      </c>
      <c r="AF468" s="21">
        <f>IF($Z468="C",IF(INDEX(Contracts!$I$2:$I$151,$AB468)="PREPAID",EDATE(DATE(YEAR(INDEX(Contracts!$J$2:$J$151,$AB468)),MONTH(INDEX(Contracts!$J$2:$J$151,$AB468)),1),IF(INDEX(Contracts!$N$2:$N$151,$AB468)="",12,INDEX(Contracts!$N$2:$N$151,$AB468))-1),IF(INDEX(Contracts!$I$2:$I$151,$AB468)="MONTHLY",IF(INDEX(Contracts!$K$2:$K$151,$AB468)="",2958101,INDEX(Contracts!$K$2:$K$151,$AB468)),0)),IF($Z468="A",EDATE(DATE(YEAR(INDEX(Fixed_Assets!$G$2:$G$201,$AB468)),MONTH(INDEX(Fixed_Assets!$G$2:$G$201,$AB468)),1),INDEX(Fixed_Assets!$J$2:$J$201,$AB468)-1),IF($Z468="F",MIN(IF(INDEX(Workforce!$J$2:$J$151,MATCH(INDEX(FTE_Allocation!$A$2:$A$201,$AB468),Workforce!$A$2:$A$151,0))="",2958101,INDEX(Workforce!$J$2:$J$151,MATCH(INDEX(FTE_Allocation!$A$2:$A$201,$AB468),Workforce!$A$2:$A$151,0))),IF(INDEX(FTE_Allocation!$J$2:$J$201,$AB468)="",2958101,INDEX(FTE_Allocation!$J$2:$J$201,$AB468))),"")))</f>
        <v/>
      </c>
      <c r="AG468" s="19">
        <f>IF($Z468="C",IF(INDEX(Contracts!$I$2:$I$151,$AB468)="PREPAID",INDEX(Contracts!$M$2:$M$151,$AB468)/IF(INDEX(Contracts!$N$2:$N$151,$AB468)="",12,INDEX(Contracts!$N$2:$N$151,$AB468)),IF(INDEX(Contracts!$I$2:$I$151,$AB468)="MONTHLY",INDEX(Contracts!$M$2:$M$151,$AB468),0))*(1-N(INDEX(Contracts!$O$2:$O$151,$AB468))),IF($Z468="A",INDEX(Fixed_Assets!$H$2:$H$201,$AB468)/INDEX(Fixed_Assets!$J$2:$J$201,$AB468),IF($Z468="F",INDEX(Workforce!$F$2:$F$151,MATCH(INDEX(FTE_Allocation!$A$2:$A$201,$AB468),Workforce!$A$2:$A$151,0))*N(INDEX(FTE_Allocation!$F$2:$H$201,$AB468,$AC468)),"")))</f>
        <v/>
      </c>
    </row>
    <row r="469">
      <c r="A469" s="7">
        <f>IF($Z469="","",$AD469)</f>
        <v/>
      </c>
      <c r="B469" s="7">
        <f>IF($Z469="C",INDEX(Contracts!$D$2:$D$151,$AB469)&amp;"",IF($Z469="A",INDEX(Fixed_Assets!$C$2:$C$201,$AB469)&amp;"",IF($Z469="F",INDEX(Workforce!$B$2:$B$151,MATCH(INDEX(FTE_Allocation!$A$2:$A$201,$AB469),Workforce!$A$2:$A$151,0))&amp;"","")))</f>
        <v/>
      </c>
      <c r="C469" s="7">
        <f>IF($Z469="C",INDEX(Contracts!$E$2:$E$151,$AB469)&amp;"",IF($Z469="A",INDEX(Fixed_Assets!$D$2:$D$201,$AB469)&amp;"",IF($Z469="F",INDEX(FTE_Allocation!$C$2:$C$201,$AB469)&amp;"","")))</f>
        <v/>
      </c>
      <c r="D469" s="7">
        <f>IF($Z469="C",INDEX(Contracts!$B$2:$B$151,$AB469)&amp;"",IF($Z469="A",INDEX(Fixed_Assets!$B$2:$B$201,$AB469)&amp;"",IF($Z469="F",INDEX(FTE_Allocation!$B$2:$B$201,$AB469)&amp;"","")))</f>
        <v/>
      </c>
      <c r="E469" s="7">
        <f>IF($Z469="C",INDEX(Contracts!$P$2:$P$151,$AB469)&amp;"",IF($Z469="A",INDEX(Fixed_Assets!$K$2:$K$201,$AB469)&amp;"",IF($Z469="F",IF(INDEX(FTE_Allocation!$D$2:$D$201,$AB469)="PROJECT",IFERROR(INDEX(Projects!$D:$D,MATCH(INDEX(FTE_Allocation!$E$2:$E$201,$AB469),Projects!$A:$A,0))&amp;"","#PROJECT?"),INDEX(FTE_Allocation!$E$2:$E$201,$AB469)&amp;""),"")))</f>
        <v/>
      </c>
      <c r="F469" s="7">
        <f>IF($Z469="C",INDEX(Contracts!$Q$2:$Q$151,$AB469)&amp;"",IF($Z469="A",INDEX(Fixed_Assets!$L$2:$L$201,$AB469)&amp;"",IF($Z469="F",INDEX(Workforce!$K$2:$K$151,MATCH(INDEX(FTE_Allocation!$A$2:$A$201,$AB469),Workforce!$A$2:$A$151,0))&amp;"","")))</f>
        <v/>
      </c>
      <c r="G469" s="7">
        <f>IF($Z469="C",INDEX(Contracts!$F$2:$F$151,$AB469)&amp;" / "&amp;INDEX(Contracts!$G$2:$G$151,$AB469),IF($Z469="A",INDEX(Fixed_Assets!$E$2:$E$201,$AB469)&amp;"",IF($Z469="F","Personnel "&amp;INDEX(FTE_Allocation!$A$2:$A$201,$AB469)&amp;IF(INDEX(FTE_Allocation!$D$2:$D$201,$AB469)="PROJECT"," ("&amp;INDEX(FTE_Allocation!$E$2:$E$201,$AB469)&amp;")",""),"")))</f>
        <v/>
      </c>
      <c r="H469" s="7">
        <f>IF($Z469="C","CONTRACT",IF($Z469="A","ASSET",IF($Z469="F","WORKFORCE","")))</f>
        <v/>
      </c>
      <c r="I469" s="7">
        <f>IF($Z469="C",INDEX(Contracts!$L$2:$L$151,$AB469)&amp;"",IF($Z469="A",INDEX(Fixed_Assets!$I$2:$I$201,$AB469)&amp;"",IF($Z469="F",INDEX(Workforce!$G$2:$G$151,MATCH(INDEX(FTE_Allocation!$A$2:$A$201,$AB469),Workforce!$A$2:$A$151,0))&amp;"","")))</f>
        <v/>
      </c>
      <c r="J469" s="18">
        <f>IF($Z469="","",IF(AND(DATE($AD469,1,1)&gt;=$AE469,DATE($AD469,1,1)&lt;=$AF469),ROUND($AG469,2),0))</f>
        <v/>
      </c>
      <c r="K469" s="18">
        <f>IF($Z469="","",IF(AND(DATE($AD469,2,1)&gt;=$AE469,DATE($AD469,2,1)&lt;=$AF469),ROUND($AG469,2),0))</f>
        <v/>
      </c>
      <c r="L469" s="18">
        <f>IF($Z469="","",IF(AND(DATE($AD469,3,1)&gt;=$AE469,DATE($AD469,3,1)&lt;=$AF469),ROUND($AG469,2),0))</f>
        <v/>
      </c>
      <c r="M469" s="18">
        <f>IF($Z469="","",IF(AND(DATE($AD469,4,1)&gt;=$AE469,DATE($AD469,4,1)&lt;=$AF469),ROUND($AG469,2),0))</f>
        <v/>
      </c>
      <c r="N469" s="18">
        <f>IF($Z469="","",IF(AND(DATE($AD469,5,1)&gt;=$AE469,DATE($AD469,5,1)&lt;=$AF469),ROUND($AG469,2),0))</f>
        <v/>
      </c>
      <c r="O469" s="18">
        <f>IF($Z469="","",IF(AND(DATE($AD469,6,1)&gt;=$AE469,DATE($AD469,6,1)&lt;=$AF469),ROUND($AG469,2),0))</f>
        <v/>
      </c>
      <c r="P469" s="18">
        <f>IF($Z469="","",IF(AND(DATE($AD469,7,1)&gt;=$AE469,DATE($AD469,7,1)&lt;=$AF469),ROUND($AG469,2),0))</f>
        <v/>
      </c>
      <c r="Q469" s="18">
        <f>IF($Z469="","",IF(AND(DATE($AD469,8,1)&gt;=$AE469,DATE($AD469,8,1)&lt;=$AF469),ROUND($AG469,2),0))</f>
        <v/>
      </c>
      <c r="R469" s="18">
        <f>IF($Z469="","",IF(AND(DATE($AD469,9,1)&gt;=$AE469,DATE($AD469,9,1)&lt;=$AF469),ROUND($AG469,2),0))</f>
        <v/>
      </c>
      <c r="S469" s="18">
        <f>IF($Z469="","",IF(AND(DATE($AD469,10,1)&gt;=$AE469,DATE($AD469,10,1)&lt;=$AF469),ROUND($AG469,2),0))</f>
        <v/>
      </c>
      <c r="T469" s="18">
        <f>IF($Z469="","",IF(AND(DATE($AD469,11,1)&gt;=$AE469,DATE($AD469,11,1)&lt;=$AF469),ROUND($AG469,2),0))</f>
        <v/>
      </c>
      <c r="U469" s="18">
        <f>IF($Z469="","",IF(AND(DATE($AD469,12,1)&gt;=$AE469,DATE($AD469,12,1)&lt;=$AF469),ROUND($AG469,2),0))</f>
        <v/>
      </c>
      <c r="V469" s="7">
        <f>IF($Z469="C","Generated from "&amp;INDEX(Contracts!$A$2:$A$151,$AB469),IF($Z469="A","Generated from "&amp;INDEX(Fixed_Assets!$A$2:$A$201,$AB469),IF($Z469="F","Generated from "&amp;INDEX(FTE_Allocation!$A$2:$A$201,$AB469),"")))</f>
        <v/>
      </c>
      <c r="X469" s="19">
        <f>IF($Z469="","",SUM(J469:U469))</f>
        <v/>
      </c>
      <c r="Y469" s="20">
        <f>ROW()-1</f>
        <v/>
      </c>
      <c r="Z469" s="20">
        <f>IF($Y469&lt;=Settings!$B$4*3,"C",IF($Y469&lt;=(Settings!$B$4+Settings!$B$5)*3,"A",IF($Y469&lt;=(Settings!$B$4+Settings!$B$5+Settings!$B$6)*3,"F","")))</f>
        <v/>
      </c>
      <c r="AA469" s="20">
        <f>IF($Z469="C",$Y469,IF($Z469="A",$Y469-Settings!$B$4*3,IF($Z469="F",$Y469-(Settings!$B$4+Settings!$B$5)*3,"")))</f>
        <v/>
      </c>
      <c r="AB469" s="20">
        <f>IF($Z469="","",INT(($AA469-1)/3)+1)</f>
        <v/>
      </c>
      <c r="AC469" s="20">
        <f>IF($Z469="","",MOD($AA469-1,3)+1)</f>
        <v/>
      </c>
      <c r="AD469" s="20">
        <f>IF($Z469="","",Settings!$B$2+$AC469-1)</f>
        <v/>
      </c>
      <c r="AE469" s="21">
        <f>IF($Z469="C",DATE(YEAR(INDEX(Contracts!$J$2:$J$151,$AB469)),MONTH(INDEX(Contracts!$J$2:$J$151,$AB469)),1),IF($Z469="A",DATE(YEAR(INDEX(Fixed_Assets!$G$2:$G$201,$AB469)),MONTH(INDEX(Fixed_Assets!$G$2:$G$201,$AB469)),1),IF($Z469="F",DATE(YEAR(MAX(N(INDEX(Workforce!$I$2:$I$151,MATCH(INDEX(FTE_Allocation!$A$2:$A$201,$AB469),Workforce!$A$2:$A$151,0))),N(INDEX(FTE_Allocation!$I$2:$I$201,$AB469)))),MONTH(MAX(N(INDEX(Workforce!$I$2:$I$151,MATCH(INDEX(FTE_Allocation!$A$2:$A$201,$AB469),Workforce!$A$2:$A$151,0))),N(INDEX(FTE_Allocation!$I$2:$I$201,$AB469)))),1),"")))</f>
        <v/>
      </c>
      <c r="AF469" s="21">
        <f>IF($Z469="C",IF(INDEX(Contracts!$I$2:$I$151,$AB469)="PREPAID",EDATE(DATE(YEAR(INDEX(Contracts!$J$2:$J$151,$AB469)),MONTH(INDEX(Contracts!$J$2:$J$151,$AB469)),1),IF(INDEX(Contracts!$N$2:$N$151,$AB469)="",12,INDEX(Contracts!$N$2:$N$151,$AB469))-1),IF(INDEX(Contracts!$I$2:$I$151,$AB469)="MONTHLY",IF(INDEX(Contracts!$K$2:$K$151,$AB469)="",2958101,INDEX(Contracts!$K$2:$K$151,$AB469)),0)),IF($Z469="A",EDATE(DATE(YEAR(INDEX(Fixed_Assets!$G$2:$G$201,$AB469)),MONTH(INDEX(Fixed_Assets!$G$2:$G$201,$AB469)),1),INDEX(Fixed_Assets!$J$2:$J$201,$AB469)-1),IF($Z469="F",MIN(IF(INDEX(Workforce!$J$2:$J$151,MATCH(INDEX(FTE_Allocation!$A$2:$A$201,$AB469),Workforce!$A$2:$A$151,0))="",2958101,INDEX(Workforce!$J$2:$J$151,MATCH(INDEX(FTE_Allocation!$A$2:$A$201,$AB469),Workforce!$A$2:$A$151,0))),IF(INDEX(FTE_Allocation!$J$2:$J$201,$AB469)="",2958101,INDEX(FTE_Allocation!$J$2:$J$201,$AB469))),"")))</f>
        <v/>
      </c>
      <c r="AG469" s="19">
        <f>IF($Z469="C",IF(INDEX(Contracts!$I$2:$I$151,$AB469)="PREPAID",INDEX(Contracts!$M$2:$M$151,$AB469)/IF(INDEX(Contracts!$N$2:$N$151,$AB469)="",12,INDEX(Contracts!$N$2:$N$151,$AB469)),IF(INDEX(Contracts!$I$2:$I$151,$AB469)="MONTHLY",INDEX(Contracts!$M$2:$M$151,$AB469),0))*(1-N(INDEX(Contracts!$O$2:$O$151,$AB469))),IF($Z469="A",INDEX(Fixed_Assets!$H$2:$H$201,$AB469)/INDEX(Fixed_Assets!$J$2:$J$201,$AB469),IF($Z469="F",INDEX(Workforce!$F$2:$F$151,MATCH(INDEX(FTE_Allocation!$A$2:$A$201,$AB469),Workforce!$A$2:$A$151,0))*N(INDEX(FTE_Allocation!$F$2:$H$201,$AB469,$AC469)),"")))</f>
        <v/>
      </c>
    </row>
    <row r="470">
      <c r="A470" s="7">
        <f>IF($Z470="","",$AD470)</f>
        <v/>
      </c>
      <c r="B470" s="7">
        <f>IF($Z470="C",INDEX(Contracts!$D$2:$D$151,$AB470)&amp;"",IF($Z470="A",INDEX(Fixed_Assets!$C$2:$C$201,$AB470)&amp;"",IF($Z470="F",INDEX(Workforce!$B$2:$B$151,MATCH(INDEX(FTE_Allocation!$A$2:$A$201,$AB470),Workforce!$A$2:$A$151,0))&amp;"","")))</f>
        <v/>
      </c>
      <c r="C470" s="7">
        <f>IF($Z470="C",INDEX(Contracts!$E$2:$E$151,$AB470)&amp;"",IF($Z470="A",INDEX(Fixed_Assets!$D$2:$D$201,$AB470)&amp;"",IF($Z470="F",INDEX(FTE_Allocation!$C$2:$C$201,$AB470)&amp;"","")))</f>
        <v/>
      </c>
      <c r="D470" s="7">
        <f>IF($Z470="C",INDEX(Contracts!$B$2:$B$151,$AB470)&amp;"",IF($Z470="A",INDEX(Fixed_Assets!$B$2:$B$201,$AB470)&amp;"",IF($Z470="F",INDEX(FTE_Allocation!$B$2:$B$201,$AB470)&amp;"","")))</f>
        <v/>
      </c>
      <c r="E470" s="7">
        <f>IF($Z470="C",INDEX(Contracts!$P$2:$P$151,$AB470)&amp;"",IF($Z470="A",INDEX(Fixed_Assets!$K$2:$K$201,$AB470)&amp;"",IF($Z470="F",IF(INDEX(FTE_Allocation!$D$2:$D$201,$AB470)="PROJECT",IFERROR(INDEX(Projects!$D:$D,MATCH(INDEX(FTE_Allocation!$E$2:$E$201,$AB470),Projects!$A:$A,0))&amp;"","#PROJECT?"),INDEX(FTE_Allocation!$E$2:$E$201,$AB470)&amp;""),"")))</f>
        <v/>
      </c>
      <c r="F470" s="7">
        <f>IF($Z470="C",INDEX(Contracts!$Q$2:$Q$151,$AB470)&amp;"",IF($Z470="A",INDEX(Fixed_Assets!$L$2:$L$201,$AB470)&amp;"",IF($Z470="F",INDEX(Workforce!$K$2:$K$151,MATCH(INDEX(FTE_Allocation!$A$2:$A$201,$AB470),Workforce!$A$2:$A$151,0))&amp;"","")))</f>
        <v/>
      </c>
      <c r="G470" s="7">
        <f>IF($Z470="C",INDEX(Contracts!$F$2:$F$151,$AB470)&amp;" / "&amp;INDEX(Contracts!$G$2:$G$151,$AB470),IF($Z470="A",INDEX(Fixed_Assets!$E$2:$E$201,$AB470)&amp;"",IF($Z470="F","Personnel "&amp;INDEX(FTE_Allocation!$A$2:$A$201,$AB470)&amp;IF(INDEX(FTE_Allocation!$D$2:$D$201,$AB470)="PROJECT"," ("&amp;INDEX(FTE_Allocation!$E$2:$E$201,$AB470)&amp;")",""),"")))</f>
        <v/>
      </c>
      <c r="H470" s="7">
        <f>IF($Z470="C","CONTRACT",IF($Z470="A","ASSET",IF($Z470="F","WORKFORCE","")))</f>
        <v/>
      </c>
      <c r="I470" s="7">
        <f>IF($Z470="C",INDEX(Contracts!$L$2:$L$151,$AB470)&amp;"",IF($Z470="A",INDEX(Fixed_Assets!$I$2:$I$201,$AB470)&amp;"",IF($Z470="F",INDEX(Workforce!$G$2:$G$151,MATCH(INDEX(FTE_Allocation!$A$2:$A$201,$AB470),Workforce!$A$2:$A$151,0))&amp;"","")))</f>
        <v/>
      </c>
      <c r="J470" s="18">
        <f>IF($Z470="","",IF(AND(DATE($AD470,1,1)&gt;=$AE470,DATE($AD470,1,1)&lt;=$AF470),ROUND($AG470,2),0))</f>
        <v/>
      </c>
      <c r="K470" s="18">
        <f>IF($Z470="","",IF(AND(DATE($AD470,2,1)&gt;=$AE470,DATE($AD470,2,1)&lt;=$AF470),ROUND($AG470,2),0))</f>
        <v/>
      </c>
      <c r="L470" s="18">
        <f>IF($Z470="","",IF(AND(DATE($AD470,3,1)&gt;=$AE470,DATE($AD470,3,1)&lt;=$AF470),ROUND($AG470,2),0))</f>
        <v/>
      </c>
      <c r="M470" s="18">
        <f>IF($Z470="","",IF(AND(DATE($AD470,4,1)&gt;=$AE470,DATE($AD470,4,1)&lt;=$AF470),ROUND($AG470,2),0))</f>
        <v/>
      </c>
      <c r="N470" s="18">
        <f>IF($Z470="","",IF(AND(DATE($AD470,5,1)&gt;=$AE470,DATE($AD470,5,1)&lt;=$AF470),ROUND($AG470,2),0))</f>
        <v/>
      </c>
      <c r="O470" s="18">
        <f>IF($Z470="","",IF(AND(DATE($AD470,6,1)&gt;=$AE470,DATE($AD470,6,1)&lt;=$AF470),ROUND($AG470,2),0))</f>
        <v/>
      </c>
      <c r="P470" s="18">
        <f>IF($Z470="","",IF(AND(DATE($AD470,7,1)&gt;=$AE470,DATE($AD470,7,1)&lt;=$AF470),ROUND($AG470,2),0))</f>
        <v/>
      </c>
      <c r="Q470" s="18">
        <f>IF($Z470="","",IF(AND(DATE($AD470,8,1)&gt;=$AE470,DATE($AD470,8,1)&lt;=$AF470),ROUND($AG470,2),0))</f>
        <v/>
      </c>
      <c r="R470" s="18">
        <f>IF($Z470="","",IF(AND(DATE($AD470,9,1)&gt;=$AE470,DATE($AD470,9,1)&lt;=$AF470),ROUND($AG470,2),0))</f>
        <v/>
      </c>
      <c r="S470" s="18">
        <f>IF($Z470="","",IF(AND(DATE($AD470,10,1)&gt;=$AE470,DATE($AD470,10,1)&lt;=$AF470),ROUND($AG470,2),0))</f>
        <v/>
      </c>
      <c r="T470" s="18">
        <f>IF($Z470="","",IF(AND(DATE($AD470,11,1)&gt;=$AE470,DATE($AD470,11,1)&lt;=$AF470),ROUND($AG470,2),0))</f>
        <v/>
      </c>
      <c r="U470" s="18">
        <f>IF($Z470="","",IF(AND(DATE($AD470,12,1)&gt;=$AE470,DATE($AD470,12,1)&lt;=$AF470),ROUND($AG470,2),0))</f>
        <v/>
      </c>
      <c r="V470" s="7">
        <f>IF($Z470="C","Generated from "&amp;INDEX(Contracts!$A$2:$A$151,$AB470),IF($Z470="A","Generated from "&amp;INDEX(Fixed_Assets!$A$2:$A$201,$AB470),IF($Z470="F","Generated from "&amp;INDEX(FTE_Allocation!$A$2:$A$201,$AB470),"")))</f>
        <v/>
      </c>
      <c r="X470" s="19">
        <f>IF($Z470="","",SUM(J470:U470))</f>
        <v/>
      </c>
      <c r="Y470" s="20">
        <f>ROW()-1</f>
        <v/>
      </c>
      <c r="Z470" s="20">
        <f>IF($Y470&lt;=Settings!$B$4*3,"C",IF($Y470&lt;=(Settings!$B$4+Settings!$B$5)*3,"A",IF($Y470&lt;=(Settings!$B$4+Settings!$B$5+Settings!$B$6)*3,"F","")))</f>
        <v/>
      </c>
      <c r="AA470" s="20">
        <f>IF($Z470="C",$Y470,IF($Z470="A",$Y470-Settings!$B$4*3,IF($Z470="F",$Y470-(Settings!$B$4+Settings!$B$5)*3,"")))</f>
        <v/>
      </c>
      <c r="AB470" s="20">
        <f>IF($Z470="","",INT(($AA470-1)/3)+1)</f>
        <v/>
      </c>
      <c r="AC470" s="20">
        <f>IF($Z470="","",MOD($AA470-1,3)+1)</f>
        <v/>
      </c>
      <c r="AD470" s="20">
        <f>IF($Z470="","",Settings!$B$2+$AC470-1)</f>
        <v/>
      </c>
      <c r="AE470" s="21">
        <f>IF($Z470="C",DATE(YEAR(INDEX(Contracts!$J$2:$J$151,$AB470)),MONTH(INDEX(Contracts!$J$2:$J$151,$AB470)),1),IF($Z470="A",DATE(YEAR(INDEX(Fixed_Assets!$G$2:$G$201,$AB470)),MONTH(INDEX(Fixed_Assets!$G$2:$G$201,$AB470)),1),IF($Z470="F",DATE(YEAR(MAX(N(INDEX(Workforce!$I$2:$I$151,MATCH(INDEX(FTE_Allocation!$A$2:$A$201,$AB470),Workforce!$A$2:$A$151,0))),N(INDEX(FTE_Allocation!$I$2:$I$201,$AB470)))),MONTH(MAX(N(INDEX(Workforce!$I$2:$I$151,MATCH(INDEX(FTE_Allocation!$A$2:$A$201,$AB470),Workforce!$A$2:$A$151,0))),N(INDEX(FTE_Allocation!$I$2:$I$201,$AB470)))),1),"")))</f>
        <v/>
      </c>
      <c r="AF470" s="21">
        <f>IF($Z470="C",IF(INDEX(Contracts!$I$2:$I$151,$AB470)="PREPAID",EDATE(DATE(YEAR(INDEX(Contracts!$J$2:$J$151,$AB470)),MONTH(INDEX(Contracts!$J$2:$J$151,$AB470)),1),IF(INDEX(Contracts!$N$2:$N$151,$AB470)="",12,INDEX(Contracts!$N$2:$N$151,$AB470))-1),IF(INDEX(Contracts!$I$2:$I$151,$AB470)="MONTHLY",IF(INDEX(Contracts!$K$2:$K$151,$AB470)="",2958101,INDEX(Contracts!$K$2:$K$151,$AB470)),0)),IF($Z470="A",EDATE(DATE(YEAR(INDEX(Fixed_Assets!$G$2:$G$201,$AB470)),MONTH(INDEX(Fixed_Assets!$G$2:$G$201,$AB470)),1),INDEX(Fixed_Assets!$J$2:$J$201,$AB470)-1),IF($Z470="F",MIN(IF(INDEX(Workforce!$J$2:$J$151,MATCH(INDEX(FTE_Allocation!$A$2:$A$201,$AB470),Workforce!$A$2:$A$151,0))="",2958101,INDEX(Workforce!$J$2:$J$151,MATCH(INDEX(FTE_Allocation!$A$2:$A$201,$AB470),Workforce!$A$2:$A$151,0))),IF(INDEX(FTE_Allocation!$J$2:$J$201,$AB470)="",2958101,INDEX(FTE_Allocation!$J$2:$J$201,$AB470))),"")))</f>
        <v/>
      </c>
      <c r="AG470" s="19">
        <f>IF($Z470="C",IF(INDEX(Contracts!$I$2:$I$151,$AB470)="PREPAID",INDEX(Contracts!$M$2:$M$151,$AB470)/IF(INDEX(Contracts!$N$2:$N$151,$AB470)="",12,INDEX(Contracts!$N$2:$N$151,$AB470)),IF(INDEX(Contracts!$I$2:$I$151,$AB470)="MONTHLY",INDEX(Contracts!$M$2:$M$151,$AB470),0))*(1-N(INDEX(Contracts!$O$2:$O$151,$AB470))),IF($Z470="A",INDEX(Fixed_Assets!$H$2:$H$201,$AB470)/INDEX(Fixed_Assets!$J$2:$J$201,$AB470),IF($Z470="F",INDEX(Workforce!$F$2:$F$151,MATCH(INDEX(FTE_Allocation!$A$2:$A$201,$AB470),Workforce!$A$2:$A$151,0))*N(INDEX(FTE_Allocation!$F$2:$H$201,$AB470,$AC470)),"")))</f>
        <v/>
      </c>
    </row>
    <row r="471">
      <c r="A471" s="7">
        <f>IF($Z471="","",$AD471)</f>
        <v/>
      </c>
      <c r="B471" s="7">
        <f>IF($Z471="C",INDEX(Contracts!$D$2:$D$151,$AB471)&amp;"",IF($Z471="A",INDEX(Fixed_Assets!$C$2:$C$201,$AB471)&amp;"",IF($Z471="F",INDEX(Workforce!$B$2:$B$151,MATCH(INDEX(FTE_Allocation!$A$2:$A$201,$AB471),Workforce!$A$2:$A$151,0))&amp;"","")))</f>
        <v/>
      </c>
      <c r="C471" s="7">
        <f>IF($Z471="C",INDEX(Contracts!$E$2:$E$151,$AB471)&amp;"",IF($Z471="A",INDEX(Fixed_Assets!$D$2:$D$201,$AB471)&amp;"",IF($Z471="F",INDEX(FTE_Allocation!$C$2:$C$201,$AB471)&amp;"","")))</f>
        <v/>
      </c>
      <c r="D471" s="7">
        <f>IF($Z471="C",INDEX(Contracts!$B$2:$B$151,$AB471)&amp;"",IF($Z471="A",INDEX(Fixed_Assets!$B$2:$B$201,$AB471)&amp;"",IF($Z471="F",INDEX(FTE_Allocation!$B$2:$B$201,$AB471)&amp;"","")))</f>
        <v/>
      </c>
      <c r="E471" s="7">
        <f>IF($Z471="C",INDEX(Contracts!$P$2:$P$151,$AB471)&amp;"",IF($Z471="A",INDEX(Fixed_Assets!$K$2:$K$201,$AB471)&amp;"",IF($Z471="F",IF(INDEX(FTE_Allocation!$D$2:$D$201,$AB471)="PROJECT",IFERROR(INDEX(Projects!$D:$D,MATCH(INDEX(FTE_Allocation!$E$2:$E$201,$AB471),Projects!$A:$A,0))&amp;"","#PROJECT?"),INDEX(FTE_Allocation!$E$2:$E$201,$AB471)&amp;""),"")))</f>
        <v/>
      </c>
      <c r="F471" s="7">
        <f>IF($Z471="C",INDEX(Contracts!$Q$2:$Q$151,$AB471)&amp;"",IF($Z471="A",INDEX(Fixed_Assets!$L$2:$L$201,$AB471)&amp;"",IF($Z471="F",INDEX(Workforce!$K$2:$K$151,MATCH(INDEX(FTE_Allocation!$A$2:$A$201,$AB471),Workforce!$A$2:$A$151,0))&amp;"","")))</f>
        <v/>
      </c>
      <c r="G471" s="7">
        <f>IF($Z471="C",INDEX(Contracts!$F$2:$F$151,$AB471)&amp;" / "&amp;INDEX(Contracts!$G$2:$G$151,$AB471),IF($Z471="A",INDEX(Fixed_Assets!$E$2:$E$201,$AB471)&amp;"",IF($Z471="F","Personnel "&amp;INDEX(FTE_Allocation!$A$2:$A$201,$AB471)&amp;IF(INDEX(FTE_Allocation!$D$2:$D$201,$AB471)="PROJECT"," ("&amp;INDEX(FTE_Allocation!$E$2:$E$201,$AB471)&amp;")",""),"")))</f>
        <v/>
      </c>
      <c r="H471" s="7">
        <f>IF($Z471="C","CONTRACT",IF($Z471="A","ASSET",IF($Z471="F","WORKFORCE","")))</f>
        <v/>
      </c>
      <c r="I471" s="7">
        <f>IF($Z471="C",INDEX(Contracts!$L$2:$L$151,$AB471)&amp;"",IF($Z471="A",INDEX(Fixed_Assets!$I$2:$I$201,$AB471)&amp;"",IF($Z471="F",INDEX(Workforce!$G$2:$G$151,MATCH(INDEX(FTE_Allocation!$A$2:$A$201,$AB471),Workforce!$A$2:$A$151,0))&amp;"","")))</f>
        <v/>
      </c>
      <c r="J471" s="18">
        <f>IF($Z471="","",IF(AND(DATE($AD471,1,1)&gt;=$AE471,DATE($AD471,1,1)&lt;=$AF471),ROUND($AG471,2),0))</f>
        <v/>
      </c>
      <c r="K471" s="18">
        <f>IF($Z471="","",IF(AND(DATE($AD471,2,1)&gt;=$AE471,DATE($AD471,2,1)&lt;=$AF471),ROUND($AG471,2),0))</f>
        <v/>
      </c>
      <c r="L471" s="18">
        <f>IF($Z471="","",IF(AND(DATE($AD471,3,1)&gt;=$AE471,DATE($AD471,3,1)&lt;=$AF471),ROUND($AG471,2),0))</f>
        <v/>
      </c>
      <c r="M471" s="18">
        <f>IF($Z471="","",IF(AND(DATE($AD471,4,1)&gt;=$AE471,DATE($AD471,4,1)&lt;=$AF471),ROUND($AG471,2),0))</f>
        <v/>
      </c>
      <c r="N471" s="18">
        <f>IF($Z471="","",IF(AND(DATE($AD471,5,1)&gt;=$AE471,DATE($AD471,5,1)&lt;=$AF471),ROUND($AG471,2),0))</f>
        <v/>
      </c>
      <c r="O471" s="18">
        <f>IF($Z471="","",IF(AND(DATE($AD471,6,1)&gt;=$AE471,DATE($AD471,6,1)&lt;=$AF471),ROUND($AG471,2),0))</f>
        <v/>
      </c>
      <c r="P471" s="18">
        <f>IF($Z471="","",IF(AND(DATE($AD471,7,1)&gt;=$AE471,DATE($AD471,7,1)&lt;=$AF471),ROUND($AG471,2),0))</f>
        <v/>
      </c>
      <c r="Q471" s="18">
        <f>IF($Z471="","",IF(AND(DATE($AD471,8,1)&gt;=$AE471,DATE($AD471,8,1)&lt;=$AF471),ROUND($AG471,2),0))</f>
        <v/>
      </c>
      <c r="R471" s="18">
        <f>IF($Z471="","",IF(AND(DATE($AD471,9,1)&gt;=$AE471,DATE($AD471,9,1)&lt;=$AF471),ROUND($AG471,2),0))</f>
        <v/>
      </c>
      <c r="S471" s="18">
        <f>IF($Z471="","",IF(AND(DATE($AD471,10,1)&gt;=$AE471,DATE($AD471,10,1)&lt;=$AF471),ROUND($AG471,2),0))</f>
        <v/>
      </c>
      <c r="T471" s="18">
        <f>IF($Z471="","",IF(AND(DATE($AD471,11,1)&gt;=$AE471,DATE($AD471,11,1)&lt;=$AF471),ROUND($AG471,2),0))</f>
        <v/>
      </c>
      <c r="U471" s="18">
        <f>IF($Z471="","",IF(AND(DATE($AD471,12,1)&gt;=$AE471,DATE($AD471,12,1)&lt;=$AF471),ROUND($AG471,2),0))</f>
        <v/>
      </c>
      <c r="V471" s="7">
        <f>IF($Z471="C","Generated from "&amp;INDEX(Contracts!$A$2:$A$151,$AB471),IF($Z471="A","Generated from "&amp;INDEX(Fixed_Assets!$A$2:$A$201,$AB471),IF($Z471="F","Generated from "&amp;INDEX(FTE_Allocation!$A$2:$A$201,$AB471),"")))</f>
        <v/>
      </c>
      <c r="X471" s="19">
        <f>IF($Z471="","",SUM(J471:U471))</f>
        <v/>
      </c>
      <c r="Y471" s="20">
        <f>ROW()-1</f>
        <v/>
      </c>
      <c r="Z471" s="20">
        <f>IF($Y471&lt;=Settings!$B$4*3,"C",IF($Y471&lt;=(Settings!$B$4+Settings!$B$5)*3,"A",IF($Y471&lt;=(Settings!$B$4+Settings!$B$5+Settings!$B$6)*3,"F","")))</f>
        <v/>
      </c>
      <c r="AA471" s="20">
        <f>IF($Z471="C",$Y471,IF($Z471="A",$Y471-Settings!$B$4*3,IF($Z471="F",$Y471-(Settings!$B$4+Settings!$B$5)*3,"")))</f>
        <v/>
      </c>
      <c r="AB471" s="20">
        <f>IF($Z471="","",INT(($AA471-1)/3)+1)</f>
        <v/>
      </c>
      <c r="AC471" s="20">
        <f>IF($Z471="","",MOD($AA471-1,3)+1)</f>
        <v/>
      </c>
      <c r="AD471" s="20">
        <f>IF($Z471="","",Settings!$B$2+$AC471-1)</f>
        <v/>
      </c>
      <c r="AE471" s="21">
        <f>IF($Z471="C",DATE(YEAR(INDEX(Contracts!$J$2:$J$151,$AB471)),MONTH(INDEX(Contracts!$J$2:$J$151,$AB471)),1),IF($Z471="A",DATE(YEAR(INDEX(Fixed_Assets!$G$2:$G$201,$AB471)),MONTH(INDEX(Fixed_Assets!$G$2:$G$201,$AB471)),1),IF($Z471="F",DATE(YEAR(MAX(N(INDEX(Workforce!$I$2:$I$151,MATCH(INDEX(FTE_Allocation!$A$2:$A$201,$AB471),Workforce!$A$2:$A$151,0))),N(INDEX(FTE_Allocation!$I$2:$I$201,$AB471)))),MONTH(MAX(N(INDEX(Workforce!$I$2:$I$151,MATCH(INDEX(FTE_Allocation!$A$2:$A$201,$AB471),Workforce!$A$2:$A$151,0))),N(INDEX(FTE_Allocation!$I$2:$I$201,$AB471)))),1),"")))</f>
        <v/>
      </c>
      <c r="AF471" s="21">
        <f>IF($Z471="C",IF(INDEX(Contracts!$I$2:$I$151,$AB471)="PREPAID",EDATE(DATE(YEAR(INDEX(Contracts!$J$2:$J$151,$AB471)),MONTH(INDEX(Contracts!$J$2:$J$151,$AB471)),1),IF(INDEX(Contracts!$N$2:$N$151,$AB471)="",12,INDEX(Contracts!$N$2:$N$151,$AB471))-1),IF(INDEX(Contracts!$I$2:$I$151,$AB471)="MONTHLY",IF(INDEX(Contracts!$K$2:$K$151,$AB471)="",2958101,INDEX(Contracts!$K$2:$K$151,$AB471)),0)),IF($Z471="A",EDATE(DATE(YEAR(INDEX(Fixed_Assets!$G$2:$G$201,$AB471)),MONTH(INDEX(Fixed_Assets!$G$2:$G$201,$AB471)),1),INDEX(Fixed_Assets!$J$2:$J$201,$AB471)-1),IF($Z471="F",MIN(IF(INDEX(Workforce!$J$2:$J$151,MATCH(INDEX(FTE_Allocation!$A$2:$A$201,$AB471),Workforce!$A$2:$A$151,0))="",2958101,INDEX(Workforce!$J$2:$J$151,MATCH(INDEX(FTE_Allocation!$A$2:$A$201,$AB471),Workforce!$A$2:$A$151,0))),IF(INDEX(FTE_Allocation!$J$2:$J$201,$AB471)="",2958101,INDEX(FTE_Allocation!$J$2:$J$201,$AB471))),"")))</f>
        <v/>
      </c>
      <c r="AG471" s="19">
        <f>IF($Z471="C",IF(INDEX(Contracts!$I$2:$I$151,$AB471)="PREPAID",INDEX(Contracts!$M$2:$M$151,$AB471)/IF(INDEX(Contracts!$N$2:$N$151,$AB471)="",12,INDEX(Contracts!$N$2:$N$151,$AB471)),IF(INDEX(Contracts!$I$2:$I$151,$AB471)="MONTHLY",INDEX(Contracts!$M$2:$M$151,$AB471),0))*(1-N(INDEX(Contracts!$O$2:$O$151,$AB471))),IF($Z471="A",INDEX(Fixed_Assets!$H$2:$H$201,$AB471)/INDEX(Fixed_Assets!$J$2:$J$201,$AB471),IF($Z471="F",INDEX(Workforce!$F$2:$F$151,MATCH(INDEX(FTE_Allocation!$A$2:$A$201,$AB471),Workforce!$A$2:$A$151,0))*N(INDEX(FTE_Allocation!$F$2:$H$201,$AB471,$AC471)),"")))</f>
        <v/>
      </c>
    </row>
    <row r="472">
      <c r="A472" s="7">
        <f>IF($Z472="","",$AD472)</f>
        <v/>
      </c>
      <c r="B472" s="7">
        <f>IF($Z472="C",INDEX(Contracts!$D$2:$D$151,$AB472)&amp;"",IF($Z472="A",INDEX(Fixed_Assets!$C$2:$C$201,$AB472)&amp;"",IF($Z472="F",INDEX(Workforce!$B$2:$B$151,MATCH(INDEX(FTE_Allocation!$A$2:$A$201,$AB472),Workforce!$A$2:$A$151,0))&amp;"","")))</f>
        <v/>
      </c>
      <c r="C472" s="7">
        <f>IF($Z472="C",INDEX(Contracts!$E$2:$E$151,$AB472)&amp;"",IF($Z472="A",INDEX(Fixed_Assets!$D$2:$D$201,$AB472)&amp;"",IF($Z472="F",INDEX(FTE_Allocation!$C$2:$C$201,$AB472)&amp;"","")))</f>
        <v/>
      </c>
      <c r="D472" s="7">
        <f>IF($Z472="C",INDEX(Contracts!$B$2:$B$151,$AB472)&amp;"",IF($Z472="A",INDEX(Fixed_Assets!$B$2:$B$201,$AB472)&amp;"",IF($Z472="F",INDEX(FTE_Allocation!$B$2:$B$201,$AB472)&amp;"","")))</f>
        <v/>
      </c>
      <c r="E472" s="7">
        <f>IF($Z472="C",INDEX(Contracts!$P$2:$P$151,$AB472)&amp;"",IF($Z472="A",INDEX(Fixed_Assets!$K$2:$K$201,$AB472)&amp;"",IF($Z472="F",IF(INDEX(FTE_Allocation!$D$2:$D$201,$AB472)="PROJECT",IFERROR(INDEX(Projects!$D:$D,MATCH(INDEX(FTE_Allocation!$E$2:$E$201,$AB472),Projects!$A:$A,0))&amp;"","#PROJECT?"),INDEX(FTE_Allocation!$E$2:$E$201,$AB472)&amp;""),"")))</f>
        <v/>
      </c>
      <c r="F472" s="7">
        <f>IF($Z472="C",INDEX(Contracts!$Q$2:$Q$151,$AB472)&amp;"",IF($Z472="A",INDEX(Fixed_Assets!$L$2:$L$201,$AB472)&amp;"",IF($Z472="F",INDEX(Workforce!$K$2:$K$151,MATCH(INDEX(FTE_Allocation!$A$2:$A$201,$AB472),Workforce!$A$2:$A$151,0))&amp;"","")))</f>
        <v/>
      </c>
      <c r="G472" s="7">
        <f>IF($Z472="C",INDEX(Contracts!$F$2:$F$151,$AB472)&amp;" / "&amp;INDEX(Contracts!$G$2:$G$151,$AB472),IF($Z472="A",INDEX(Fixed_Assets!$E$2:$E$201,$AB472)&amp;"",IF($Z472="F","Personnel "&amp;INDEX(FTE_Allocation!$A$2:$A$201,$AB472)&amp;IF(INDEX(FTE_Allocation!$D$2:$D$201,$AB472)="PROJECT"," ("&amp;INDEX(FTE_Allocation!$E$2:$E$201,$AB472)&amp;")",""),"")))</f>
        <v/>
      </c>
      <c r="H472" s="7">
        <f>IF($Z472="C","CONTRACT",IF($Z472="A","ASSET",IF($Z472="F","WORKFORCE","")))</f>
        <v/>
      </c>
      <c r="I472" s="7">
        <f>IF($Z472="C",INDEX(Contracts!$L$2:$L$151,$AB472)&amp;"",IF($Z472="A",INDEX(Fixed_Assets!$I$2:$I$201,$AB472)&amp;"",IF($Z472="F",INDEX(Workforce!$G$2:$G$151,MATCH(INDEX(FTE_Allocation!$A$2:$A$201,$AB472),Workforce!$A$2:$A$151,0))&amp;"","")))</f>
        <v/>
      </c>
      <c r="J472" s="18">
        <f>IF($Z472="","",IF(AND(DATE($AD472,1,1)&gt;=$AE472,DATE($AD472,1,1)&lt;=$AF472),ROUND($AG472,2),0))</f>
        <v/>
      </c>
      <c r="K472" s="18">
        <f>IF($Z472="","",IF(AND(DATE($AD472,2,1)&gt;=$AE472,DATE($AD472,2,1)&lt;=$AF472),ROUND($AG472,2),0))</f>
        <v/>
      </c>
      <c r="L472" s="18">
        <f>IF($Z472="","",IF(AND(DATE($AD472,3,1)&gt;=$AE472,DATE($AD472,3,1)&lt;=$AF472),ROUND($AG472,2),0))</f>
        <v/>
      </c>
      <c r="M472" s="18">
        <f>IF($Z472="","",IF(AND(DATE($AD472,4,1)&gt;=$AE472,DATE($AD472,4,1)&lt;=$AF472),ROUND($AG472,2),0))</f>
        <v/>
      </c>
      <c r="N472" s="18">
        <f>IF($Z472="","",IF(AND(DATE($AD472,5,1)&gt;=$AE472,DATE($AD472,5,1)&lt;=$AF472),ROUND($AG472,2),0))</f>
        <v/>
      </c>
      <c r="O472" s="18">
        <f>IF($Z472="","",IF(AND(DATE($AD472,6,1)&gt;=$AE472,DATE($AD472,6,1)&lt;=$AF472),ROUND($AG472,2),0))</f>
        <v/>
      </c>
      <c r="P472" s="18">
        <f>IF($Z472="","",IF(AND(DATE($AD472,7,1)&gt;=$AE472,DATE($AD472,7,1)&lt;=$AF472),ROUND($AG472,2),0))</f>
        <v/>
      </c>
      <c r="Q472" s="18">
        <f>IF($Z472="","",IF(AND(DATE($AD472,8,1)&gt;=$AE472,DATE($AD472,8,1)&lt;=$AF472),ROUND($AG472,2),0))</f>
        <v/>
      </c>
      <c r="R472" s="18">
        <f>IF($Z472="","",IF(AND(DATE($AD472,9,1)&gt;=$AE472,DATE($AD472,9,1)&lt;=$AF472),ROUND($AG472,2),0))</f>
        <v/>
      </c>
      <c r="S472" s="18">
        <f>IF($Z472="","",IF(AND(DATE($AD472,10,1)&gt;=$AE472,DATE($AD472,10,1)&lt;=$AF472),ROUND($AG472,2),0))</f>
        <v/>
      </c>
      <c r="T472" s="18">
        <f>IF($Z472="","",IF(AND(DATE($AD472,11,1)&gt;=$AE472,DATE($AD472,11,1)&lt;=$AF472),ROUND($AG472,2),0))</f>
        <v/>
      </c>
      <c r="U472" s="18">
        <f>IF($Z472="","",IF(AND(DATE($AD472,12,1)&gt;=$AE472,DATE($AD472,12,1)&lt;=$AF472),ROUND($AG472,2),0))</f>
        <v/>
      </c>
      <c r="V472" s="7">
        <f>IF($Z472="C","Generated from "&amp;INDEX(Contracts!$A$2:$A$151,$AB472),IF($Z472="A","Generated from "&amp;INDEX(Fixed_Assets!$A$2:$A$201,$AB472),IF($Z472="F","Generated from "&amp;INDEX(FTE_Allocation!$A$2:$A$201,$AB472),"")))</f>
        <v/>
      </c>
      <c r="X472" s="19">
        <f>IF($Z472="","",SUM(J472:U472))</f>
        <v/>
      </c>
      <c r="Y472" s="20">
        <f>ROW()-1</f>
        <v/>
      </c>
      <c r="Z472" s="20">
        <f>IF($Y472&lt;=Settings!$B$4*3,"C",IF($Y472&lt;=(Settings!$B$4+Settings!$B$5)*3,"A",IF($Y472&lt;=(Settings!$B$4+Settings!$B$5+Settings!$B$6)*3,"F","")))</f>
        <v/>
      </c>
      <c r="AA472" s="20">
        <f>IF($Z472="C",$Y472,IF($Z472="A",$Y472-Settings!$B$4*3,IF($Z472="F",$Y472-(Settings!$B$4+Settings!$B$5)*3,"")))</f>
        <v/>
      </c>
      <c r="AB472" s="20">
        <f>IF($Z472="","",INT(($AA472-1)/3)+1)</f>
        <v/>
      </c>
      <c r="AC472" s="20">
        <f>IF($Z472="","",MOD($AA472-1,3)+1)</f>
        <v/>
      </c>
      <c r="AD472" s="20">
        <f>IF($Z472="","",Settings!$B$2+$AC472-1)</f>
        <v/>
      </c>
      <c r="AE472" s="21">
        <f>IF($Z472="C",DATE(YEAR(INDEX(Contracts!$J$2:$J$151,$AB472)),MONTH(INDEX(Contracts!$J$2:$J$151,$AB472)),1),IF($Z472="A",DATE(YEAR(INDEX(Fixed_Assets!$G$2:$G$201,$AB472)),MONTH(INDEX(Fixed_Assets!$G$2:$G$201,$AB472)),1),IF($Z472="F",DATE(YEAR(MAX(N(INDEX(Workforce!$I$2:$I$151,MATCH(INDEX(FTE_Allocation!$A$2:$A$201,$AB472),Workforce!$A$2:$A$151,0))),N(INDEX(FTE_Allocation!$I$2:$I$201,$AB472)))),MONTH(MAX(N(INDEX(Workforce!$I$2:$I$151,MATCH(INDEX(FTE_Allocation!$A$2:$A$201,$AB472),Workforce!$A$2:$A$151,0))),N(INDEX(FTE_Allocation!$I$2:$I$201,$AB472)))),1),"")))</f>
        <v/>
      </c>
      <c r="AF472" s="21">
        <f>IF($Z472="C",IF(INDEX(Contracts!$I$2:$I$151,$AB472)="PREPAID",EDATE(DATE(YEAR(INDEX(Contracts!$J$2:$J$151,$AB472)),MONTH(INDEX(Contracts!$J$2:$J$151,$AB472)),1),IF(INDEX(Contracts!$N$2:$N$151,$AB472)="",12,INDEX(Contracts!$N$2:$N$151,$AB472))-1),IF(INDEX(Contracts!$I$2:$I$151,$AB472)="MONTHLY",IF(INDEX(Contracts!$K$2:$K$151,$AB472)="",2958101,INDEX(Contracts!$K$2:$K$151,$AB472)),0)),IF($Z472="A",EDATE(DATE(YEAR(INDEX(Fixed_Assets!$G$2:$G$201,$AB472)),MONTH(INDEX(Fixed_Assets!$G$2:$G$201,$AB472)),1),INDEX(Fixed_Assets!$J$2:$J$201,$AB472)-1),IF($Z472="F",MIN(IF(INDEX(Workforce!$J$2:$J$151,MATCH(INDEX(FTE_Allocation!$A$2:$A$201,$AB472),Workforce!$A$2:$A$151,0))="",2958101,INDEX(Workforce!$J$2:$J$151,MATCH(INDEX(FTE_Allocation!$A$2:$A$201,$AB472),Workforce!$A$2:$A$151,0))),IF(INDEX(FTE_Allocation!$J$2:$J$201,$AB472)="",2958101,INDEX(FTE_Allocation!$J$2:$J$201,$AB472))),"")))</f>
        <v/>
      </c>
      <c r="AG472" s="19">
        <f>IF($Z472="C",IF(INDEX(Contracts!$I$2:$I$151,$AB472)="PREPAID",INDEX(Contracts!$M$2:$M$151,$AB472)/IF(INDEX(Contracts!$N$2:$N$151,$AB472)="",12,INDEX(Contracts!$N$2:$N$151,$AB472)),IF(INDEX(Contracts!$I$2:$I$151,$AB472)="MONTHLY",INDEX(Contracts!$M$2:$M$151,$AB472),0))*(1-N(INDEX(Contracts!$O$2:$O$151,$AB472))),IF($Z472="A",INDEX(Fixed_Assets!$H$2:$H$201,$AB472)/INDEX(Fixed_Assets!$J$2:$J$201,$AB472),IF($Z472="F",INDEX(Workforce!$F$2:$F$151,MATCH(INDEX(FTE_Allocation!$A$2:$A$201,$AB472),Workforce!$A$2:$A$151,0))*N(INDEX(FTE_Allocation!$F$2:$H$201,$AB472,$AC472)),"")))</f>
        <v/>
      </c>
    </row>
    <row r="473">
      <c r="A473" s="7">
        <f>IF($Z473="","",$AD473)</f>
        <v/>
      </c>
      <c r="B473" s="7">
        <f>IF($Z473="C",INDEX(Contracts!$D$2:$D$151,$AB473)&amp;"",IF($Z473="A",INDEX(Fixed_Assets!$C$2:$C$201,$AB473)&amp;"",IF($Z473="F",INDEX(Workforce!$B$2:$B$151,MATCH(INDEX(FTE_Allocation!$A$2:$A$201,$AB473),Workforce!$A$2:$A$151,0))&amp;"","")))</f>
        <v/>
      </c>
      <c r="C473" s="7">
        <f>IF($Z473="C",INDEX(Contracts!$E$2:$E$151,$AB473)&amp;"",IF($Z473="A",INDEX(Fixed_Assets!$D$2:$D$201,$AB473)&amp;"",IF($Z473="F",INDEX(FTE_Allocation!$C$2:$C$201,$AB473)&amp;"","")))</f>
        <v/>
      </c>
      <c r="D473" s="7">
        <f>IF($Z473="C",INDEX(Contracts!$B$2:$B$151,$AB473)&amp;"",IF($Z473="A",INDEX(Fixed_Assets!$B$2:$B$201,$AB473)&amp;"",IF($Z473="F",INDEX(FTE_Allocation!$B$2:$B$201,$AB473)&amp;"","")))</f>
        <v/>
      </c>
      <c r="E473" s="7">
        <f>IF($Z473="C",INDEX(Contracts!$P$2:$P$151,$AB473)&amp;"",IF($Z473="A",INDEX(Fixed_Assets!$K$2:$K$201,$AB473)&amp;"",IF($Z473="F",IF(INDEX(FTE_Allocation!$D$2:$D$201,$AB473)="PROJECT",IFERROR(INDEX(Projects!$D:$D,MATCH(INDEX(FTE_Allocation!$E$2:$E$201,$AB473),Projects!$A:$A,0))&amp;"","#PROJECT?"),INDEX(FTE_Allocation!$E$2:$E$201,$AB473)&amp;""),"")))</f>
        <v/>
      </c>
      <c r="F473" s="7">
        <f>IF($Z473="C",INDEX(Contracts!$Q$2:$Q$151,$AB473)&amp;"",IF($Z473="A",INDEX(Fixed_Assets!$L$2:$L$201,$AB473)&amp;"",IF($Z473="F",INDEX(Workforce!$K$2:$K$151,MATCH(INDEX(FTE_Allocation!$A$2:$A$201,$AB473),Workforce!$A$2:$A$151,0))&amp;"","")))</f>
        <v/>
      </c>
      <c r="G473" s="7">
        <f>IF($Z473="C",INDEX(Contracts!$F$2:$F$151,$AB473)&amp;" / "&amp;INDEX(Contracts!$G$2:$G$151,$AB473),IF($Z473="A",INDEX(Fixed_Assets!$E$2:$E$201,$AB473)&amp;"",IF($Z473="F","Personnel "&amp;INDEX(FTE_Allocation!$A$2:$A$201,$AB473)&amp;IF(INDEX(FTE_Allocation!$D$2:$D$201,$AB473)="PROJECT"," ("&amp;INDEX(FTE_Allocation!$E$2:$E$201,$AB473)&amp;")",""),"")))</f>
        <v/>
      </c>
      <c r="H473" s="7">
        <f>IF($Z473="C","CONTRACT",IF($Z473="A","ASSET",IF($Z473="F","WORKFORCE","")))</f>
        <v/>
      </c>
      <c r="I473" s="7">
        <f>IF($Z473="C",INDEX(Contracts!$L$2:$L$151,$AB473)&amp;"",IF($Z473="A",INDEX(Fixed_Assets!$I$2:$I$201,$AB473)&amp;"",IF($Z473="F",INDEX(Workforce!$G$2:$G$151,MATCH(INDEX(FTE_Allocation!$A$2:$A$201,$AB473),Workforce!$A$2:$A$151,0))&amp;"","")))</f>
        <v/>
      </c>
      <c r="J473" s="18">
        <f>IF($Z473="","",IF(AND(DATE($AD473,1,1)&gt;=$AE473,DATE($AD473,1,1)&lt;=$AF473),ROUND($AG473,2),0))</f>
        <v/>
      </c>
      <c r="K473" s="18">
        <f>IF($Z473="","",IF(AND(DATE($AD473,2,1)&gt;=$AE473,DATE($AD473,2,1)&lt;=$AF473),ROUND($AG473,2),0))</f>
        <v/>
      </c>
      <c r="L473" s="18">
        <f>IF($Z473="","",IF(AND(DATE($AD473,3,1)&gt;=$AE473,DATE($AD473,3,1)&lt;=$AF473),ROUND($AG473,2),0))</f>
        <v/>
      </c>
      <c r="M473" s="18">
        <f>IF($Z473="","",IF(AND(DATE($AD473,4,1)&gt;=$AE473,DATE($AD473,4,1)&lt;=$AF473),ROUND($AG473,2),0))</f>
        <v/>
      </c>
      <c r="N473" s="18">
        <f>IF($Z473="","",IF(AND(DATE($AD473,5,1)&gt;=$AE473,DATE($AD473,5,1)&lt;=$AF473),ROUND($AG473,2),0))</f>
        <v/>
      </c>
      <c r="O473" s="18">
        <f>IF($Z473="","",IF(AND(DATE($AD473,6,1)&gt;=$AE473,DATE($AD473,6,1)&lt;=$AF473),ROUND($AG473,2),0))</f>
        <v/>
      </c>
      <c r="P473" s="18">
        <f>IF($Z473="","",IF(AND(DATE($AD473,7,1)&gt;=$AE473,DATE($AD473,7,1)&lt;=$AF473),ROUND($AG473,2),0))</f>
        <v/>
      </c>
      <c r="Q473" s="18">
        <f>IF($Z473="","",IF(AND(DATE($AD473,8,1)&gt;=$AE473,DATE($AD473,8,1)&lt;=$AF473),ROUND($AG473,2),0))</f>
        <v/>
      </c>
      <c r="R473" s="18">
        <f>IF($Z473="","",IF(AND(DATE($AD473,9,1)&gt;=$AE473,DATE($AD473,9,1)&lt;=$AF473),ROUND($AG473,2),0))</f>
        <v/>
      </c>
      <c r="S473" s="18">
        <f>IF($Z473="","",IF(AND(DATE($AD473,10,1)&gt;=$AE473,DATE($AD473,10,1)&lt;=$AF473),ROUND($AG473,2),0))</f>
        <v/>
      </c>
      <c r="T473" s="18">
        <f>IF($Z473="","",IF(AND(DATE($AD473,11,1)&gt;=$AE473,DATE($AD473,11,1)&lt;=$AF473),ROUND($AG473,2),0))</f>
        <v/>
      </c>
      <c r="U473" s="18">
        <f>IF($Z473="","",IF(AND(DATE($AD473,12,1)&gt;=$AE473,DATE($AD473,12,1)&lt;=$AF473),ROUND($AG473,2),0))</f>
        <v/>
      </c>
      <c r="V473" s="7">
        <f>IF($Z473="C","Generated from "&amp;INDEX(Contracts!$A$2:$A$151,$AB473),IF($Z473="A","Generated from "&amp;INDEX(Fixed_Assets!$A$2:$A$201,$AB473),IF($Z473="F","Generated from "&amp;INDEX(FTE_Allocation!$A$2:$A$201,$AB473),"")))</f>
        <v/>
      </c>
      <c r="X473" s="19">
        <f>IF($Z473="","",SUM(J473:U473))</f>
        <v/>
      </c>
      <c r="Y473" s="20">
        <f>ROW()-1</f>
        <v/>
      </c>
      <c r="Z473" s="20">
        <f>IF($Y473&lt;=Settings!$B$4*3,"C",IF($Y473&lt;=(Settings!$B$4+Settings!$B$5)*3,"A",IF($Y473&lt;=(Settings!$B$4+Settings!$B$5+Settings!$B$6)*3,"F","")))</f>
        <v/>
      </c>
      <c r="AA473" s="20">
        <f>IF($Z473="C",$Y473,IF($Z473="A",$Y473-Settings!$B$4*3,IF($Z473="F",$Y473-(Settings!$B$4+Settings!$B$5)*3,"")))</f>
        <v/>
      </c>
      <c r="AB473" s="20">
        <f>IF($Z473="","",INT(($AA473-1)/3)+1)</f>
        <v/>
      </c>
      <c r="AC473" s="20">
        <f>IF($Z473="","",MOD($AA473-1,3)+1)</f>
        <v/>
      </c>
      <c r="AD473" s="20">
        <f>IF($Z473="","",Settings!$B$2+$AC473-1)</f>
        <v/>
      </c>
      <c r="AE473" s="21">
        <f>IF($Z473="C",DATE(YEAR(INDEX(Contracts!$J$2:$J$151,$AB473)),MONTH(INDEX(Contracts!$J$2:$J$151,$AB473)),1),IF($Z473="A",DATE(YEAR(INDEX(Fixed_Assets!$G$2:$G$201,$AB473)),MONTH(INDEX(Fixed_Assets!$G$2:$G$201,$AB473)),1),IF($Z473="F",DATE(YEAR(MAX(N(INDEX(Workforce!$I$2:$I$151,MATCH(INDEX(FTE_Allocation!$A$2:$A$201,$AB473),Workforce!$A$2:$A$151,0))),N(INDEX(FTE_Allocation!$I$2:$I$201,$AB473)))),MONTH(MAX(N(INDEX(Workforce!$I$2:$I$151,MATCH(INDEX(FTE_Allocation!$A$2:$A$201,$AB473),Workforce!$A$2:$A$151,0))),N(INDEX(FTE_Allocation!$I$2:$I$201,$AB473)))),1),"")))</f>
        <v/>
      </c>
      <c r="AF473" s="21">
        <f>IF($Z473="C",IF(INDEX(Contracts!$I$2:$I$151,$AB473)="PREPAID",EDATE(DATE(YEAR(INDEX(Contracts!$J$2:$J$151,$AB473)),MONTH(INDEX(Contracts!$J$2:$J$151,$AB473)),1),IF(INDEX(Contracts!$N$2:$N$151,$AB473)="",12,INDEX(Contracts!$N$2:$N$151,$AB473))-1),IF(INDEX(Contracts!$I$2:$I$151,$AB473)="MONTHLY",IF(INDEX(Contracts!$K$2:$K$151,$AB473)="",2958101,INDEX(Contracts!$K$2:$K$151,$AB473)),0)),IF($Z473="A",EDATE(DATE(YEAR(INDEX(Fixed_Assets!$G$2:$G$201,$AB473)),MONTH(INDEX(Fixed_Assets!$G$2:$G$201,$AB473)),1),INDEX(Fixed_Assets!$J$2:$J$201,$AB473)-1),IF($Z473="F",MIN(IF(INDEX(Workforce!$J$2:$J$151,MATCH(INDEX(FTE_Allocation!$A$2:$A$201,$AB473),Workforce!$A$2:$A$151,0))="",2958101,INDEX(Workforce!$J$2:$J$151,MATCH(INDEX(FTE_Allocation!$A$2:$A$201,$AB473),Workforce!$A$2:$A$151,0))),IF(INDEX(FTE_Allocation!$J$2:$J$201,$AB473)="",2958101,INDEX(FTE_Allocation!$J$2:$J$201,$AB473))),"")))</f>
        <v/>
      </c>
      <c r="AG473" s="19">
        <f>IF($Z473="C",IF(INDEX(Contracts!$I$2:$I$151,$AB473)="PREPAID",INDEX(Contracts!$M$2:$M$151,$AB473)/IF(INDEX(Contracts!$N$2:$N$151,$AB473)="",12,INDEX(Contracts!$N$2:$N$151,$AB473)),IF(INDEX(Contracts!$I$2:$I$151,$AB473)="MONTHLY",INDEX(Contracts!$M$2:$M$151,$AB473),0))*(1-N(INDEX(Contracts!$O$2:$O$151,$AB473))),IF($Z473="A",INDEX(Fixed_Assets!$H$2:$H$201,$AB473)/INDEX(Fixed_Assets!$J$2:$J$201,$AB473),IF($Z473="F",INDEX(Workforce!$F$2:$F$151,MATCH(INDEX(FTE_Allocation!$A$2:$A$201,$AB473),Workforce!$A$2:$A$151,0))*N(INDEX(FTE_Allocation!$F$2:$H$201,$AB473,$AC473)),"")))</f>
        <v/>
      </c>
    </row>
    <row r="474">
      <c r="A474" s="7">
        <f>IF($Z474="","",$AD474)</f>
        <v/>
      </c>
      <c r="B474" s="7">
        <f>IF($Z474="C",INDEX(Contracts!$D$2:$D$151,$AB474)&amp;"",IF($Z474="A",INDEX(Fixed_Assets!$C$2:$C$201,$AB474)&amp;"",IF($Z474="F",INDEX(Workforce!$B$2:$B$151,MATCH(INDEX(FTE_Allocation!$A$2:$A$201,$AB474),Workforce!$A$2:$A$151,0))&amp;"","")))</f>
        <v/>
      </c>
      <c r="C474" s="7">
        <f>IF($Z474="C",INDEX(Contracts!$E$2:$E$151,$AB474)&amp;"",IF($Z474="A",INDEX(Fixed_Assets!$D$2:$D$201,$AB474)&amp;"",IF($Z474="F",INDEX(FTE_Allocation!$C$2:$C$201,$AB474)&amp;"","")))</f>
        <v/>
      </c>
      <c r="D474" s="7">
        <f>IF($Z474="C",INDEX(Contracts!$B$2:$B$151,$AB474)&amp;"",IF($Z474="A",INDEX(Fixed_Assets!$B$2:$B$201,$AB474)&amp;"",IF($Z474="F",INDEX(FTE_Allocation!$B$2:$B$201,$AB474)&amp;"","")))</f>
        <v/>
      </c>
      <c r="E474" s="7">
        <f>IF($Z474="C",INDEX(Contracts!$P$2:$P$151,$AB474)&amp;"",IF($Z474="A",INDEX(Fixed_Assets!$K$2:$K$201,$AB474)&amp;"",IF($Z474="F",IF(INDEX(FTE_Allocation!$D$2:$D$201,$AB474)="PROJECT",IFERROR(INDEX(Projects!$D:$D,MATCH(INDEX(FTE_Allocation!$E$2:$E$201,$AB474),Projects!$A:$A,0))&amp;"","#PROJECT?"),INDEX(FTE_Allocation!$E$2:$E$201,$AB474)&amp;""),"")))</f>
        <v/>
      </c>
      <c r="F474" s="7">
        <f>IF($Z474="C",INDEX(Contracts!$Q$2:$Q$151,$AB474)&amp;"",IF($Z474="A",INDEX(Fixed_Assets!$L$2:$L$201,$AB474)&amp;"",IF($Z474="F",INDEX(Workforce!$K$2:$K$151,MATCH(INDEX(FTE_Allocation!$A$2:$A$201,$AB474),Workforce!$A$2:$A$151,0))&amp;"","")))</f>
        <v/>
      </c>
      <c r="G474" s="7">
        <f>IF($Z474="C",INDEX(Contracts!$F$2:$F$151,$AB474)&amp;" / "&amp;INDEX(Contracts!$G$2:$G$151,$AB474),IF($Z474="A",INDEX(Fixed_Assets!$E$2:$E$201,$AB474)&amp;"",IF($Z474="F","Personnel "&amp;INDEX(FTE_Allocation!$A$2:$A$201,$AB474)&amp;IF(INDEX(FTE_Allocation!$D$2:$D$201,$AB474)="PROJECT"," ("&amp;INDEX(FTE_Allocation!$E$2:$E$201,$AB474)&amp;")",""),"")))</f>
        <v/>
      </c>
      <c r="H474" s="7">
        <f>IF($Z474="C","CONTRACT",IF($Z474="A","ASSET",IF($Z474="F","WORKFORCE","")))</f>
        <v/>
      </c>
      <c r="I474" s="7">
        <f>IF($Z474="C",INDEX(Contracts!$L$2:$L$151,$AB474)&amp;"",IF($Z474="A",INDEX(Fixed_Assets!$I$2:$I$201,$AB474)&amp;"",IF($Z474="F",INDEX(Workforce!$G$2:$G$151,MATCH(INDEX(FTE_Allocation!$A$2:$A$201,$AB474),Workforce!$A$2:$A$151,0))&amp;"","")))</f>
        <v/>
      </c>
      <c r="J474" s="18">
        <f>IF($Z474="","",IF(AND(DATE($AD474,1,1)&gt;=$AE474,DATE($AD474,1,1)&lt;=$AF474),ROUND($AG474,2),0))</f>
        <v/>
      </c>
      <c r="K474" s="18">
        <f>IF($Z474="","",IF(AND(DATE($AD474,2,1)&gt;=$AE474,DATE($AD474,2,1)&lt;=$AF474),ROUND($AG474,2),0))</f>
        <v/>
      </c>
      <c r="L474" s="18">
        <f>IF($Z474="","",IF(AND(DATE($AD474,3,1)&gt;=$AE474,DATE($AD474,3,1)&lt;=$AF474),ROUND($AG474,2),0))</f>
        <v/>
      </c>
      <c r="M474" s="18">
        <f>IF($Z474="","",IF(AND(DATE($AD474,4,1)&gt;=$AE474,DATE($AD474,4,1)&lt;=$AF474),ROUND($AG474,2),0))</f>
        <v/>
      </c>
      <c r="N474" s="18">
        <f>IF($Z474="","",IF(AND(DATE($AD474,5,1)&gt;=$AE474,DATE($AD474,5,1)&lt;=$AF474),ROUND($AG474,2),0))</f>
        <v/>
      </c>
      <c r="O474" s="18">
        <f>IF($Z474="","",IF(AND(DATE($AD474,6,1)&gt;=$AE474,DATE($AD474,6,1)&lt;=$AF474),ROUND($AG474,2),0))</f>
        <v/>
      </c>
      <c r="P474" s="18">
        <f>IF($Z474="","",IF(AND(DATE($AD474,7,1)&gt;=$AE474,DATE($AD474,7,1)&lt;=$AF474),ROUND($AG474,2),0))</f>
        <v/>
      </c>
      <c r="Q474" s="18">
        <f>IF($Z474="","",IF(AND(DATE($AD474,8,1)&gt;=$AE474,DATE($AD474,8,1)&lt;=$AF474),ROUND($AG474,2),0))</f>
        <v/>
      </c>
      <c r="R474" s="18">
        <f>IF($Z474="","",IF(AND(DATE($AD474,9,1)&gt;=$AE474,DATE($AD474,9,1)&lt;=$AF474),ROUND($AG474,2),0))</f>
        <v/>
      </c>
      <c r="S474" s="18">
        <f>IF($Z474="","",IF(AND(DATE($AD474,10,1)&gt;=$AE474,DATE($AD474,10,1)&lt;=$AF474),ROUND($AG474,2),0))</f>
        <v/>
      </c>
      <c r="T474" s="18">
        <f>IF($Z474="","",IF(AND(DATE($AD474,11,1)&gt;=$AE474,DATE($AD474,11,1)&lt;=$AF474),ROUND($AG474,2),0))</f>
        <v/>
      </c>
      <c r="U474" s="18">
        <f>IF($Z474="","",IF(AND(DATE($AD474,12,1)&gt;=$AE474,DATE($AD474,12,1)&lt;=$AF474),ROUND($AG474,2),0))</f>
        <v/>
      </c>
      <c r="V474" s="7">
        <f>IF($Z474="C","Generated from "&amp;INDEX(Contracts!$A$2:$A$151,$AB474),IF($Z474="A","Generated from "&amp;INDEX(Fixed_Assets!$A$2:$A$201,$AB474),IF($Z474="F","Generated from "&amp;INDEX(FTE_Allocation!$A$2:$A$201,$AB474),"")))</f>
        <v/>
      </c>
      <c r="X474" s="19">
        <f>IF($Z474="","",SUM(J474:U474))</f>
        <v/>
      </c>
      <c r="Y474" s="20">
        <f>ROW()-1</f>
        <v/>
      </c>
      <c r="Z474" s="20">
        <f>IF($Y474&lt;=Settings!$B$4*3,"C",IF($Y474&lt;=(Settings!$B$4+Settings!$B$5)*3,"A",IF($Y474&lt;=(Settings!$B$4+Settings!$B$5+Settings!$B$6)*3,"F","")))</f>
        <v/>
      </c>
      <c r="AA474" s="20">
        <f>IF($Z474="C",$Y474,IF($Z474="A",$Y474-Settings!$B$4*3,IF($Z474="F",$Y474-(Settings!$B$4+Settings!$B$5)*3,"")))</f>
        <v/>
      </c>
      <c r="AB474" s="20">
        <f>IF($Z474="","",INT(($AA474-1)/3)+1)</f>
        <v/>
      </c>
      <c r="AC474" s="20">
        <f>IF($Z474="","",MOD($AA474-1,3)+1)</f>
        <v/>
      </c>
      <c r="AD474" s="20">
        <f>IF($Z474="","",Settings!$B$2+$AC474-1)</f>
        <v/>
      </c>
      <c r="AE474" s="21">
        <f>IF($Z474="C",DATE(YEAR(INDEX(Contracts!$J$2:$J$151,$AB474)),MONTH(INDEX(Contracts!$J$2:$J$151,$AB474)),1),IF($Z474="A",DATE(YEAR(INDEX(Fixed_Assets!$G$2:$G$201,$AB474)),MONTH(INDEX(Fixed_Assets!$G$2:$G$201,$AB474)),1),IF($Z474="F",DATE(YEAR(MAX(N(INDEX(Workforce!$I$2:$I$151,MATCH(INDEX(FTE_Allocation!$A$2:$A$201,$AB474),Workforce!$A$2:$A$151,0))),N(INDEX(FTE_Allocation!$I$2:$I$201,$AB474)))),MONTH(MAX(N(INDEX(Workforce!$I$2:$I$151,MATCH(INDEX(FTE_Allocation!$A$2:$A$201,$AB474),Workforce!$A$2:$A$151,0))),N(INDEX(FTE_Allocation!$I$2:$I$201,$AB474)))),1),"")))</f>
        <v/>
      </c>
      <c r="AF474" s="21">
        <f>IF($Z474="C",IF(INDEX(Contracts!$I$2:$I$151,$AB474)="PREPAID",EDATE(DATE(YEAR(INDEX(Contracts!$J$2:$J$151,$AB474)),MONTH(INDEX(Contracts!$J$2:$J$151,$AB474)),1),IF(INDEX(Contracts!$N$2:$N$151,$AB474)="",12,INDEX(Contracts!$N$2:$N$151,$AB474))-1),IF(INDEX(Contracts!$I$2:$I$151,$AB474)="MONTHLY",IF(INDEX(Contracts!$K$2:$K$151,$AB474)="",2958101,INDEX(Contracts!$K$2:$K$151,$AB474)),0)),IF($Z474="A",EDATE(DATE(YEAR(INDEX(Fixed_Assets!$G$2:$G$201,$AB474)),MONTH(INDEX(Fixed_Assets!$G$2:$G$201,$AB474)),1),INDEX(Fixed_Assets!$J$2:$J$201,$AB474)-1),IF($Z474="F",MIN(IF(INDEX(Workforce!$J$2:$J$151,MATCH(INDEX(FTE_Allocation!$A$2:$A$201,$AB474),Workforce!$A$2:$A$151,0))="",2958101,INDEX(Workforce!$J$2:$J$151,MATCH(INDEX(FTE_Allocation!$A$2:$A$201,$AB474),Workforce!$A$2:$A$151,0))),IF(INDEX(FTE_Allocation!$J$2:$J$201,$AB474)="",2958101,INDEX(FTE_Allocation!$J$2:$J$201,$AB474))),"")))</f>
        <v/>
      </c>
      <c r="AG474" s="19">
        <f>IF($Z474="C",IF(INDEX(Contracts!$I$2:$I$151,$AB474)="PREPAID",INDEX(Contracts!$M$2:$M$151,$AB474)/IF(INDEX(Contracts!$N$2:$N$151,$AB474)="",12,INDEX(Contracts!$N$2:$N$151,$AB474)),IF(INDEX(Contracts!$I$2:$I$151,$AB474)="MONTHLY",INDEX(Contracts!$M$2:$M$151,$AB474),0))*(1-N(INDEX(Contracts!$O$2:$O$151,$AB474))),IF($Z474="A",INDEX(Fixed_Assets!$H$2:$H$201,$AB474)/INDEX(Fixed_Assets!$J$2:$J$201,$AB474),IF($Z474="F",INDEX(Workforce!$F$2:$F$151,MATCH(INDEX(FTE_Allocation!$A$2:$A$201,$AB474),Workforce!$A$2:$A$151,0))*N(INDEX(FTE_Allocation!$F$2:$H$201,$AB474,$AC474)),"")))</f>
        <v/>
      </c>
    </row>
    <row r="475">
      <c r="A475" s="7">
        <f>IF($Z475="","",$AD475)</f>
        <v/>
      </c>
      <c r="B475" s="7">
        <f>IF($Z475="C",INDEX(Contracts!$D$2:$D$151,$AB475)&amp;"",IF($Z475="A",INDEX(Fixed_Assets!$C$2:$C$201,$AB475)&amp;"",IF($Z475="F",INDEX(Workforce!$B$2:$B$151,MATCH(INDEX(FTE_Allocation!$A$2:$A$201,$AB475),Workforce!$A$2:$A$151,0))&amp;"","")))</f>
        <v/>
      </c>
      <c r="C475" s="7">
        <f>IF($Z475="C",INDEX(Contracts!$E$2:$E$151,$AB475)&amp;"",IF($Z475="A",INDEX(Fixed_Assets!$D$2:$D$201,$AB475)&amp;"",IF($Z475="F",INDEX(FTE_Allocation!$C$2:$C$201,$AB475)&amp;"","")))</f>
        <v/>
      </c>
      <c r="D475" s="7">
        <f>IF($Z475="C",INDEX(Contracts!$B$2:$B$151,$AB475)&amp;"",IF($Z475="A",INDEX(Fixed_Assets!$B$2:$B$201,$AB475)&amp;"",IF($Z475="F",INDEX(FTE_Allocation!$B$2:$B$201,$AB475)&amp;"","")))</f>
        <v/>
      </c>
      <c r="E475" s="7">
        <f>IF($Z475="C",INDEX(Contracts!$P$2:$P$151,$AB475)&amp;"",IF($Z475="A",INDEX(Fixed_Assets!$K$2:$K$201,$AB475)&amp;"",IF($Z475="F",IF(INDEX(FTE_Allocation!$D$2:$D$201,$AB475)="PROJECT",IFERROR(INDEX(Projects!$D:$D,MATCH(INDEX(FTE_Allocation!$E$2:$E$201,$AB475),Projects!$A:$A,0))&amp;"","#PROJECT?"),INDEX(FTE_Allocation!$E$2:$E$201,$AB475)&amp;""),"")))</f>
        <v/>
      </c>
      <c r="F475" s="7">
        <f>IF($Z475="C",INDEX(Contracts!$Q$2:$Q$151,$AB475)&amp;"",IF($Z475="A",INDEX(Fixed_Assets!$L$2:$L$201,$AB475)&amp;"",IF($Z475="F",INDEX(Workforce!$K$2:$K$151,MATCH(INDEX(FTE_Allocation!$A$2:$A$201,$AB475),Workforce!$A$2:$A$151,0))&amp;"","")))</f>
        <v/>
      </c>
      <c r="G475" s="7">
        <f>IF($Z475="C",INDEX(Contracts!$F$2:$F$151,$AB475)&amp;" / "&amp;INDEX(Contracts!$G$2:$G$151,$AB475),IF($Z475="A",INDEX(Fixed_Assets!$E$2:$E$201,$AB475)&amp;"",IF($Z475="F","Personnel "&amp;INDEX(FTE_Allocation!$A$2:$A$201,$AB475)&amp;IF(INDEX(FTE_Allocation!$D$2:$D$201,$AB475)="PROJECT"," ("&amp;INDEX(FTE_Allocation!$E$2:$E$201,$AB475)&amp;")",""),"")))</f>
        <v/>
      </c>
      <c r="H475" s="7">
        <f>IF($Z475="C","CONTRACT",IF($Z475="A","ASSET",IF($Z475="F","WORKFORCE","")))</f>
        <v/>
      </c>
      <c r="I475" s="7">
        <f>IF($Z475="C",INDEX(Contracts!$L$2:$L$151,$AB475)&amp;"",IF($Z475="A",INDEX(Fixed_Assets!$I$2:$I$201,$AB475)&amp;"",IF($Z475="F",INDEX(Workforce!$G$2:$G$151,MATCH(INDEX(FTE_Allocation!$A$2:$A$201,$AB475),Workforce!$A$2:$A$151,0))&amp;"","")))</f>
        <v/>
      </c>
      <c r="J475" s="18">
        <f>IF($Z475="","",IF(AND(DATE($AD475,1,1)&gt;=$AE475,DATE($AD475,1,1)&lt;=$AF475),ROUND($AG475,2),0))</f>
        <v/>
      </c>
      <c r="K475" s="18">
        <f>IF($Z475="","",IF(AND(DATE($AD475,2,1)&gt;=$AE475,DATE($AD475,2,1)&lt;=$AF475),ROUND($AG475,2),0))</f>
        <v/>
      </c>
      <c r="L475" s="18">
        <f>IF($Z475="","",IF(AND(DATE($AD475,3,1)&gt;=$AE475,DATE($AD475,3,1)&lt;=$AF475),ROUND($AG475,2),0))</f>
        <v/>
      </c>
      <c r="M475" s="18">
        <f>IF($Z475="","",IF(AND(DATE($AD475,4,1)&gt;=$AE475,DATE($AD475,4,1)&lt;=$AF475),ROUND($AG475,2),0))</f>
        <v/>
      </c>
      <c r="N475" s="18">
        <f>IF($Z475="","",IF(AND(DATE($AD475,5,1)&gt;=$AE475,DATE($AD475,5,1)&lt;=$AF475),ROUND($AG475,2),0))</f>
        <v/>
      </c>
      <c r="O475" s="18">
        <f>IF($Z475="","",IF(AND(DATE($AD475,6,1)&gt;=$AE475,DATE($AD475,6,1)&lt;=$AF475),ROUND($AG475,2),0))</f>
        <v/>
      </c>
      <c r="P475" s="18">
        <f>IF($Z475="","",IF(AND(DATE($AD475,7,1)&gt;=$AE475,DATE($AD475,7,1)&lt;=$AF475),ROUND($AG475,2),0))</f>
        <v/>
      </c>
      <c r="Q475" s="18">
        <f>IF($Z475="","",IF(AND(DATE($AD475,8,1)&gt;=$AE475,DATE($AD475,8,1)&lt;=$AF475),ROUND($AG475,2),0))</f>
        <v/>
      </c>
      <c r="R475" s="18">
        <f>IF($Z475="","",IF(AND(DATE($AD475,9,1)&gt;=$AE475,DATE($AD475,9,1)&lt;=$AF475),ROUND($AG475,2),0))</f>
        <v/>
      </c>
      <c r="S475" s="18">
        <f>IF($Z475="","",IF(AND(DATE($AD475,10,1)&gt;=$AE475,DATE($AD475,10,1)&lt;=$AF475),ROUND($AG475,2),0))</f>
        <v/>
      </c>
      <c r="T475" s="18">
        <f>IF($Z475="","",IF(AND(DATE($AD475,11,1)&gt;=$AE475,DATE($AD475,11,1)&lt;=$AF475),ROUND($AG475,2),0))</f>
        <v/>
      </c>
      <c r="U475" s="18">
        <f>IF($Z475="","",IF(AND(DATE($AD475,12,1)&gt;=$AE475,DATE($AD475,12,1)&lt;=$AF475),ROUND($AG475,2),0))</f>
        <v/>
      </c>
      <c r="V475" s="7">
        <f>IF($Z475="C","Generated from "&amp;INDEX(Contracts!$A$2:$A$151,$AB475),IF($Z475="A","Generated from "&amp;INDEX(Fixed_Assets!$A$2:$A$201,$AB475),IF($Z475="F","Generated from "&amp;INDEX(FTE_Allocation!$A$2:$A$201,$AB475),"")))</f>
        <v/>
      </c>
      <c r="X475" s="19">
        <f>IF($Z475="","",SUM(J475:U475))</f>
        <v/>
      </c>
      <c r="Y475" s="20">
        <f>ROW()-1</f>
        <v/>
      </c>
      <c r="Z475" s="20">
        <f>IF($Y475&lt;=Settings!$B$4*3,"C",IF($Y475&lt;=(Settings!$B$4+Settings!$B$5)*3,"A",IF($Y475&lt;=(Settings!$B$4+Settings!$B$5+Settings!$B$6)*3,"F","")))</f>
        <v/>
      </c>
      <c r="AA475" s="20">
        <f>IF($Z475="C",$Y475,IF($Z475="A",$Y475-Settings!$B$4*3,IF($Z475="F",$Y475-(Settings!$B$4+Settings!$B$5)*3,"")))</f>
        <v/>
      </c>
      <c r="AB475" s="20">
        <f>IF($Z475="","",INT(($AA475-1)/3)+1)</f>
        <v/>
      </c>
      <c r="AC475" s="20">
        <f>IF($Z475="","",MOD($AA475-1,3)+1)</f>
        <v/>
      </c>
      <c r="AD475" s="20">
        <f>IF($Z475="","",Settings!$B$2+$AC475-1)</f>
        <v/>
      </c>
      <c r="AE475" s="21">
        <f>IF($Z475="C",DATE(YEAR(INDEX(Contracts!$J$2:$J$151,$AB475)),MONTH(INDEX(Contracts!$J$2:$J$151,$AB475)),1),IF($Z475="A",DATE(YEAR(INDEX(Fixed_Assets!$G$2:$G$201,$AB475)),MONTH(INDEX(Fixed_Assets!$G$2:$G$201,$AB475)),1),IF($Z475="F",DATE(YEAR(MAX(N(INDEX(Workforce!$I$2:$I$151,MATCH(INDEX(FTE_Allocation!$A$2:$A$201,$AB475),Workforce!$A$2:$A$151,0))),N(INDEX(FTE_Allocation!$I$2:$I$201,$AB475)))),MONTH(MAX(N(INDEX(Workforce!$I$2:$I$151,MATCH(INDEX(FTE_Allocation!$A$2:$A$201,$AB475),Workforce!$A$2:$A$151,0))),N(INDEX(FTE_Allocation!$I$2:$I$201,$AB475)))),1),"")))</f>
        <v/>
      </c>
      <c r="AF475" s="21">
        <f>IF($Z475="C",IF(INDEX(Contracts!$I$2:$I$151,$AB475)="PREPAID",EDATE(DATE(YEAR(INDEX(Contracts!$J$2:$J$151,$AB475)),MONTH(INDEX(Contracts!$J$2:$J$151,$AB475)),1),IF(INDEX(Contracts!$N$2:$N$151,$AB475)="",12,INDEX(Contracts!$N$2:$N$151,$AB475))-1),IF(INDEX(Contracts!$I$2:$I$151,$AB475)="MONTHLY",IF(INDEX(Contracts!$K$2:$K$151,$AB475)="",2958101,INDEX(Contracts!$K$2:$K$151,$AB475)),0)),IF($Z475="A",EDATE(DATE(YEAR(INDEX(Fixed_Assets!$G$2:$G$201,$AB475)),MONTH(INDEX(Fixed_Assets!$G$2:$G$201,$AB475)),1),INDEX(Fixed_Assets!$J$2:$J$201,$AB475)-1),IF($Z475="F",MIN(IF(INDEX(Workforce!$J$2:$J$151,MATCH(INDEX(FTE_Allocation!$A$2:$A$201,$AB475),Workforce!$A$2:$A$151,0))="",2958101,INDEX(Workforce!$J$2:$J$151,MATCH(INDEX(FTE_Allocation!$A$2:$A$201,$AB475),Workforce!$A$2:$A$151,0))),IF(INDEX(FTE_Allocation!$J$2:$J$201,$AB475)="",2958101,INDEX(FTE_Allocation!$J$2:$J$201,$AB475))),"")))</f>
        <v/>
      </c>
      <c r="AG475" s="19">
        <f>IF($Z475="C",IF(INDEX(Contracts!$I$2:$I$151,$AB475)="PREPAID",INDEX(Contracts!$M$2:$M$151,$AB475)/IF(INDEX(Contracts!$N$2:$N$151,$AB475)="",12,INDEX(Contracts!$N$2:$N$151,$AB475)),IF(INDEX(Contracts!$I$2:$I$151,$AB475)="MONTHLY",INDEX(Contracts!$M$2:$M$151,$AB475),0))*(1-N(INDEX(Contracts!$O$2:$O$151,$AB475))),IF($Z475="A",INDEX(Fixed_Assets!$H$2:$H$201,$AB475)/INDEX(Fixed_Assets!$J$2:$J$201,$AB475),IF($Z475="F",INDEX(Workforce!$F$2:$F$151,MATCH(INDEX(FTE_Allocation!$A$2:$A$201,$AB475),Workforce!$A$2:$A$151,0))*N(INDEX(FTE_Allocation!$F$2:$H$201,$AB475,$AC475)),"")))</f>
        <v/>
      </c>
    </row>
    <row r="476">
      <c r="A476" s="7">
        <f>IF($Z476="","",$AD476)</f>
        <v/>
      </c>
      <c r="B476" s="7">
        <f>IF($Z476="C",INDEX(Contracts!$D$2:$D$151,$AB476)&amp;"",IF($Z476="A",INDEX(Fixed_Assets!$C$2:$C$201,$AB476)&amp;"",IF($Z476="F",INDEX(Workforce!$B$2:$B$151,MATCH(INDEX(FTE_Allocation!$A$2:$A$201,$AB476),Workforce!$A$2:$A$151,0))&amp;"","")))</f>
        <v/>
      </c>
      <c r="C476" s="7">
        <f>IF($Z476="C",INDEX(Contracts!$E$2:$E$151,$AB476)&amp;"",IF($Z476="A",INDEX(Fixed_Assets!$D$2:$D$201,$AB476)&amp;"",IF($Z476="F",INDEX(FTE_Allocation!$C$2:$C$201,$AB476)&amp;"","")))</f>
        <v/>
      </c>
      <c r="D476" s="7">
        <f>IF($Z476="C",INDEX(Contracts!$B$2:$B$151,$AB476)&amp;"",IF($Z476="A",INDEX(Fixed_Assets!$B$2:$B$201,$AB476)&amp;"",IF($Z476="F",INDEX(FTE_Allocation!$B$2:$B$201,$AB476)&amp;"","")))</f>
        <v/>
      </c>
      <c r="E476" s="7">
        <f>IF($Z476="C",INDEX(Contracts!$P$2:$P$151,$AB476)&amp;"",IF($Z476="A",INDEX(Fixed_Assets!$K$2:$K$201,$AB476)&amp;"",IF($Z476="F",IF(INDEX(FTE_Allocation!$D$2:$D$201,$AB476)="PROJECT",IFERROR(INDEX(Projects!$D:$D,MATCH(INDEX(FTE_Allocation!$E$2:$E$201,$AB476),Projects!$A:$A,0))&amp;"","#PROJECT?"),INDEX(FTE_Allocation!$E$2:$E$201,$AB476)&amp;""),"")))</f>
        <v/>
      </c>
      <c r="F476" s="7">
        <f>IF($Z476="C",INDEX(Contracts!$Q$2:$Q$151,$AB476)&amp;"",IF($Z476="A",INDEX(Fixed_Assets!$L$2:$L$201,$AB476)&amp;"",IF($Z476="F",INDEX(Workforce!$K$2:$K$151,MATCH(INDEX(FTE_Allocation!$A$2:$A$201,$AB476),Workforce!$A$2:$A$151,0))&amp;"","")))</f>
        <v/>
      </c>
      <c r="G476" s="7">
        <f>IF($Z476="C",INDEX(Contracts!$F$2:$F$151,$AB476)&amp;" / "&amp;INDEX(Contracts!$G$2:$G$151,$AB476),IF($Z476="A",INDEX(Fixed_Assets!$E$2:$E$201,$AB476)&amp;"",IF($Z476="F","Personnel "&amp;INDEX(FTE_Allocation!$A$2:$A$201,$AB476)&amp;IF(INDEX(FTE_Allocation!$D$2:$D$201,$AB476)="PROJECT"," ("&amp;INDEX(FTE_Allocation!$E$2:$E$201,$AB476)&amp;")",""),"")))</f>
        <v/>
      </c>
      <c r="H476" s="7">
        <f>IF($Z476="C","CONTRACT",IF($Z476="A","ASSET",IF($Z476="F","WORKFORCE","")))</f>
        <v/>
      </c>
      <c r="I476" s="7">
        <f>IF($Z476="C",INDEX(Contracts!$L$2:$L$151,$AB476)&amp;"",IF($Z476="A",INDEX(Fixed_Assets!$I$2:$I$201,$AB476)&amp;"",IF($Z476="F",INDEX(Workforce!$G$2:$G$151,MATCH(INDEX(FTE_Allocation!$A$2:$A$201,$AB476),Workforce!$A$2:$A$151,0))&amp;"","")))</f>
        <v/>
      </c>
      <c r="J476" s="18">
        <f>IF($Z476="","",IF(AND(DATE($AD476,1,1)&gt;=$AE476,DATE($AD476,1,1)&lt;=$AF476),ROUND($AG476,2),0))</f>
        <v/>
      </c>
      <c r="K476" s="18">
        <f>IF($Z476="","",IF(AND(DATE($AD476,2,1)&gt;=$AE476,DATE($AD476,2,1)&lt;=$AF476),ROUND($AG476,2),0))</f>
        <v/>
      </c>
      <c r="L476" s="18">
        <f>IF($Z476="","",IF(AND(DATE($AD476,3,1)&gt;=$AE476,DATE($AD476,3,1)&lt;=$AF476),ROUND($AG476,2),0))</f>
        <v/>
      </c>
      <c r="M476" s="18">
        <f>IF($Z476="","",IF(AND(DATE($AD476,4,1)&gt;=$AE476,DATE($AD476,4,1)&lt;=$AF476),ROUND($AG476,2),0))</f>
        <v/>
      </c>
      <c r="N476" s="18">
        <f>IF($Z476="","",IF(AND(DATE($AD476,5,1)&gt;=$AE476,DATE($AD476,5,1)&lt;=$AF476),ROUND($AG476,2),0))</f>
        <v/>
      </c>
      <c r="O476" s="18">
        <f>IF($Z476="","",IF(AND(DATE($AD476,6,1)&gt;=$AE476,DATE($AD476,6,1)&lt;=$AF476),ROUND($AG476,2),0))</f>
        <v/>
      </c>
      <c r="P476" s="18">
        <f>IF($Z476="","",IF(AND(DATE($AD476,7,1)&gt;=$AE476,DATE($AD476,7,1)&lt;=$AF476),ROUND($AG476,2),0))</f>
        <v/>
      </c>
      <c r="Q476" s="18">
        <f>IF($Z476="","",IF(AND(DATE($AD476,8,1)&gt;=$AE476,DATE($AD476,8,1)&lt;=$AF476),ROUND($AG476,2),0))</f>
        <v/>
      </c>
      <c r="R476" s="18">
        <f>IF($Z476="","",IF(AND(DATE($AD476,9,1)&gt;=$AE476,DATE($AD476,9,1)&lt;=$AF476),ROUND($AG476,2),0))</f>
        <v/>
      </c>
      <c r="S476" s="18">
        <f>IF($Z476="","",IF(AND(DATE($AD476,10,1)&gt;=$AE476,DATE($AD476,10,1)&lt;=$AF476),ROUND($AG476,2),0))</f>
        <v/>
      </c>
      <c r="T476" s="18">
        <f>IF($Z476="","",IF(AND(DATE($AD476,11,1)&gt;=$AE476,DATE($AD476,11,1)&lt;=$AF476),ROUND($AG476,2),0))</f>
        <v/>
      </c>
      <c r="U476" s="18">
        <f>IF($Z476="","",IF(AND(DATE($AD476,12,1)&gt;=$AE476,DATE($AD476,12,1)&lt;=$AF476),ROUND($AG476,2),0))</f>
        <v/>
      </c>
      <c r="V476" s="7">
        <f>IF($Z476="C","Generated from "&amp;INDEX(Contracts!$A$2:$A$151,$AB476),IF($Z476="A","Generated from "&amp;INDEX(Fixed_Assets!$A$2:$A$201,$AB476),IF($Z476="F","Generated from "&amp;INDEX(FTE_Allocation!$A$2:$A$201,$AB476),"")))</f>
        <v/>
      </c>
      <c r="X476" s="19">
        <f>IF($Z476="","",SUM(J476:U476))</f>
        <v/>
      </c>
      <c r="Y476" s="20">
        <f>ROW()-1</f>
        <v/>
      </c>
      <c r="Z476" s="20">
        <f>IF($Y476&lt;=Settings!$B$4*3,"C",IF($Y476&lt;=(Settings!$B$4+Settings!$B$5)*3,"A",IF($Y476&lt;=(Settings!$B$4+Settings!$B$5+Settings!$B$6)*3,"F","")))</f>
        <v/>
      </c>
      <c r="AA476" s="20">
        <f>IF($Z476="C",$Y476,IF($Z476="A",$Y476-Settings!$B$4*3,IF($Z476="F",$Y476-(Settings!$B$4+Settings!$B$5)*3,"")))</f>
        <v/>
      </c>
      <c r="AB476" s="20">
        <f>IF($Z476="","",INT(($AA476-1)/3)+1)</f>
        <v/>
      </c>
      <c r="AC476" s="20">
        <f>IF($Z476="","",MOD($AA476-1,3)+1)</f>
        <v/>
      </c>
      <c r="AD476" s="20">
        <f>IF($Z476="","",Settings!$B$2+$AC476-1)</f>
        <v/>
      </c>
      <c r="AE476" s="21">
        <f>IF($Z476="C",DATE(YEAR(INDEX(Contracts!$J$2:$J$151,$AB476)),MONTH(INDEX(Contracts!$J$2:$J$151,$AB476)),1),IF($Z476="A",DATE(YEAR(INDEX(Fixed_Assets!$G$2:$G$201,$AB476)),MONTH(INDEX(Fixed_Assets!$G$2:$G$201,$AB476)),1),IF($Z476="F",DATE(YEAR(MAX(N(INDEX(Workforce!$I$2:$I$151,MATCH(INDEX(FTE_Allocation!$A$2:$A$201,$AB476),Workforce!$A$2:$A$151,0))),N(INDEX(FTE_Allocation!$I$2:$I$201,$AB476)))),MONTH(MAX(N(INDEX(Workforce!$I$2:$I$151,MATCH(INDEX(FTE_Allocation!$A$2:$A$201,$AB476),Workforce!$A$2:$A$151,0))),N(INDEX(FTE_Allocation!$I$2:$I$201,$AB476)))),1),"")))</f>
        <v/>
      </c>
      <c r="AF476" s="21">
        <f>IF($Z476="C",IF(INDEX(Contracts!$I$2:$I$151,$AB476)="PREPAID",EDATE(DATE(YEAR(INDEX(Contracts!$J$2:$J$151,$AB476)),MONTH(INDEX(Contracts!$J$2:$J$151,$AB476)),1),IF(INDEX(Contracts!$N$2:$N$151,$AB476)="",12,INDEX(Contracts!$N$2:$N$151,$AB476))-1),IF(INDEX(Contracts!$I$2:$I$151,$AB476)="MONTHLY",IF(INDEX(Contracts!$K$2:$K$151,$AB476)="",2958101,INDEX(Contracts!$K$2:$K$151,$AB476)),0)),IF($Z476="A",EDATE(DATE(YEAR(INDEX(Fixed_Assets!$G$2:$G$201,$AB476)),MONTH(INDEX(Fixed_Assets!$G$2:$G$201,$AB476)),1),INDEX(Fixed_Assets!$J$2:$J$201,$AB476)-1),IF($Z476="F",MIN(IF(INDEX(Workforce!$J$2:$J$151,MATCH(INDEX(FTE_Allocation!$A$2:$A$201,$AB476),Workforce!$A$2:$A$151,0))="",2958101,INDEX(Workforce!$J$2:$J$151,MATCH(INDEX(FTE_Allocation!$A$2:$A$201,$AB476),Workforce!$A$2:$A$151,0))),IF(INDEX(FTE_Allocation!$J$2:$J$201,$AB476)="",2958101,INDEX(FTE_Allocation!$J$2:$J$201,$AB476))),"")))</f>
        <v/>
      </c>
      <c r="AG476" s="19">
        <f>IF($Z476="C",IF(INDEX(Contracts!$I$2:$I$151,$AB476)="PREPAID",INDEX(Contracts!$M$2:$M$151,$AB476)/IF(INDEX(Contracts!$N$2:$N$151,$AB476)="",12,INDEX(Contracts!$N$2:$N$151,$AB476)),IF(INDEX(Contracts!$I$2:$I$151,$AB476)="MONTHLY",INDEX(Contracts!$M$2:$M$151,$AB476),0))*(1-N(INDEX(Contracts!$O$2:$O$151,$AB476))),IF($Z476="A",INDEX(Fixed_Assets!$H$2:$H$201,$AB476)/INDEX(Fixed_Assets!$J$2:$J$201,$AB476),IF($Z476="F",INDEX(Workforce!$F$2:$F$151,MATCH(INDEX(FTE_Allocation!$A$2:$A$201,$AB476),Workforce!$A$2:$A$151,0))*N(INDEX(FTE_Allocation!$F$2:$H$201,$AB476,$AC476)),"")))</f>
        <v/>
      </c>
    </row>
    <row r="477">
      <c r="A477" s="7">
        <f>IF($Z477="","",$AD477)</f>
        <v/>
      </c>
      <c r="B477" s="7">
        <f>IF($Z477="C",INDEX(Contracts!$D$2:$D$151,$AB477)&amp;"",IF($Z477="A",INDEX(Fixed_Assets!$C$2:$C$201,$AB477)&amp;"",IF($Z477="F",INDEX(Workforce!$B$2:$B$151,MATCH(INDEX(FTE_Allocation!$A$2:$A$201,$AB477),Workforce!$A$2:$A$151,0))&amp;"","")))</f>
        <v/>
      </c>
      <c r="C477" s="7">
        <f>IF($Z477="C",INDEX(Contracts!$E$2:$E$151,$AB477)&amp;"",IF($Z477="A",INDEX(Fixed_Assets!$D$2:$D$201,$AB477)&amp;"",IF($Z477="F",INDEX(FTE_Allocation!$C$2:$C$201,$AB477)&amp;"","")))</f>
        <v/>
      </c>
      <c r="D477" s="7">
        <f>IF($Z477="C",INDEX(Contracts!$B$2:$B$151,$AB477)&amp;"",IF($Z477="A",INDEX(Fixed_Assets!$B$2:$B$201,$AB477)&amp;"",IF($Z477="F",INDEX(FTE_Allocation!$B$2:$B$201,$AB477)&amp;"","")))</f>
        <v/>
      </c>
      <c r="E477" s="7">
        <f>IF($Z477="C",INDEX(Contracts!$P$2:$P$151,$AB477)&amp;"",IF($Z477="A",INDEX(Fixed_Assets!$K$2:$K$201,$AB477)&amp;"",IF($Z477="F",IF(INDEX(FTE_Allocation!$D$2:$D$201,$AB477)="PROJECT",IFERROR(INDEX(Projects!$D:$D,MATCH(INDEX(FTE_Allocation!$E$2:$E$201,$AB477),Projects!$A:$A,0))&amp;"","#PROJECT?"),INDEX(FTE_Allocation!$E$2:$E$201,$AB477)&amp;""),"")))</f>
        <v/>
      </c>
      <c r="F477" s="7">
        <f>IF($Z477="C",INDEX(Contracts!$Q$2:$Q$151,$AB477)&amp;"",IF($Z477="A",INDEX(Fixed_Assets!$L$2:$L$201,$AB477)&amp;"",IF($Z477="F",INDEX(Workforce!$K$2:$K$151,MATCH(INDEX(FTE_Allocation!$A$2:$A$201,$AB477),Workforce!$A$2:$A$151,0))&amp;"","")))</f>
        <v/>
      </c>
      <c r="G477" s="7">
        <f>IF($Z477="C",INDEX(Contracts!$F$2:$F$151,$AB477)&amp;" / "&amp;INDEX(Contracts!$G$2:$G$151,$AB477),IF($Z477="A",INDEX(Fixed_Assets!$E$2:$E$201,$AB477)&amp;"",IF($Z477="F","Personnel "&amp;INDEX(FTE_Allocation!$A$2:$A$201,$AB477)&amp;IF(INDEX(FTE_Allocation!$D$2:$D$201,$AB477)="PROJECT"," ("&amp;INDEX(FTE_Allocation!$E$2:$E$201,$AB477)&amp;")",""),"")))</f>
        <v/>
      </c>
      <c r="H477" s="7">
        <f>IF($Z477="C","CONTRACT",IF($Z477="A","ASSET",IF($Z477="F","WORKFORCE","")))</f>
        <v/>
      </c>
      <c r="I477" s="7">
        <f>IF($Z477="C",INDEX(Contracts!$L$2:$L$151,$AB477)&amp;"",IF($Z477="A",INDEX(Fixed_Assets!$I$2:$I$201,$AB477)&amp;"",IF($Z477="F",INDEX(Workforce!$G$2:$G$151,MATCH(INDEX(FTE_Allocation!$A$2:$A$201,$AB477),Workforce!$A$2:$A$151,0))&amp;"","")))</f>
        <v/>
      </c>
      <c r="J477" s="18">
        <f>IF($Z477="","",IF(AND(DATE($AD477,1,1)&gt;=$AE477,DATE($AD477,1,1)&lt;=$AF477),ROUND($AG477,2),0))</f>
        <v/>
      </c>
      <c r="K477" s="18">
        <f>IF($Z477="","",IF(AND(DATE($AD477,2,1)&gt;=$AE477,DATE($AD477,2,1)&lt;=$AF477),ROUND($AG477,2),0))</f>
        <v/>
      </c>
      <c r="L477" s="18">
        <f>IF($Z477="","",IF(AND(DATE($AD477,3,1)&gt;=$AE477,DATE($AD477,3,1)&lt;=$AF477),ROUND($AG477,2),0))</f>
        <v/>
      </c>
      <c r="M477" s="18">
        <f>IF($Z477="","",IF(AND(DATE($AD477,4,1)&gt;=$AE477,DATE($AD477,4,1)&lt;=$AF477),ROUND($AG477,2),0))</f>
        <v/>
      </c>
      <c r="N477" s="18">
        <f>IF($Z477="","",IF(AND(DATE($AD477,5,1)&gt;=$AE477,DATE($AD477,5,1)&lt;=$AF477),ROUND($AG477,2),0))</f>
        <v/>
      </c>
      <c r="O477" s="18">
        <f>IF($Z477="","",IF(AND(DATE($AD477,6,1)&gt;=$AE477,DATE($AD477,6,1)&lt;=$AF477),ROUND($AG477,2),0))</f>
        <v/>
      </c>
      <c r="P477" s="18">
        <f>IF($Z477="","",IF(AND(DATE($AD477,7,1)&gt;=$AE477,DATE($AD477,7,1)&lt;=$AF477),ROUND($AG477,2),0))</f>
        <v/>
      </c>
      <c r="Q477" s="18">
        <f>IF($Z477="","",IF(AND(DATE($AD477,8,1)&gt;=$AE477,DATE($AD477,8,1)&lt;=$AF477),ROUND($AG477,2),0))</f>
        <v/>
      </c>
      <c r="R477" s="18">
        <f>IF($Z477="","",IF(AND(DATE($AD477,9,1)&gt;=$AE477,DATE($AD477,9,1)&lt;=$AF477),ROUND($AG477,2),0))</f>
        <v/>
      </c>
      <c r="S477" s="18">
        <f>IF($Z477="","",IF(AND(DATE($AD477,10,1)&gt;=$AE477,DATE($AD477,10,1)&lt;=$AF477),ROUND($AG477,2),0))</f>
        <v/>
      </c>
      <c r="T477" s="18">
        <f>IF($Z477="","",IF(AND(DATE($AD477,11,1)&gt;=$AE477,DATE($AD477,11,1)&lt;=$AF477),ROUND($AG477,2),0))</f>
        <v/>
      </c>
      <c r="U477" s="18">
        <f>IF($Z477="","",IF(AND(DATE($AD477,12,1)&gt;=$AE477,DATE($AD477,12,1)&lt;=$AF477),ROUND($AG477,2),0))</f>
        <v/>
      </c>
      <c r="V477" s="7">
        <f>IF($Z477="C","Generated from "&amp;INDEX(Contracts!$A$2:$A$151,$AB477),IF($Z477="A","Generated from "&amp;INDEX(Fixed_Assets!$A$2:$A$201,$AB477),IF($Z477="F","Generated from "&amp;INDEX(FTE_Allocation!$A$2:$A$201,$AB477),"")))</f>
        <v/>
      </c>
      <c r="X477" s="19">
        <f>IF($Z477="","",SUM(J477:U477))</f>
        <v/>
      </c>
      <c r="Y477" s="20">
        <f>ROW()-1</f>
        <v/>
      </c>
      <c r="Z477" s="20">
        <f>IF($Y477&lt;=Settings!$B$4*3,"C",IF($Y477&lt;=(Settings!$B$4+Settings!$B$5)*3,"A",IF($Y477&lt;=(Settings!$B$4+Settings!$B$5+Settings!$B$6)*3,"F","")))</f>
        <v/>
      </c>
      <c r="AA477" s="20">
        <f>IF($Z477="C",$Y477,IF($Z477="A",$Y477-Settings!$B$4*3,IF($Z477="F",$Y477-(Settings!$B$4+Settings!$B$5)*3,"")))</f>
        <v/>
      </c>
      <c r="AB477" s="20">
        <f>IF($Z477="","",INT(($AA477-1)/3)+1)</f>
        <v/>
      </c>
      <c r="AC477" s="20">
        <f>IF($Z477="","",MOD($AA477-1,3)+1)</f>
        <v/>
      </c>
      <c r="AD477" s="20">
        <f>IF($Z477="","",Settings!$B$2+$AC477-1)</f>
        <v/>
      </c>
      <c r="AE477" s="21">
        <f>IF($Z477="C",DATE(YEAR(INDEX(Contracts!$J$2:$J$151,$AB477)),MONTH(INDEX(Contracts!$J$2:$J$151,$AB477)),1),IF($Z477="A",DATE(YEAR(INDEX(Fixed_Assets!$G$2:$G$201,$AB477)),MONTH(INDEX(Fixed_Assets!$G$2:$G$201,$AB477)),1),IF($Z477="F",DATE(YEAR(MAX(N(INDEX(Workforce!$I$2:$I$151,MATCH(INDEX(FTE_Allocation!$A$2:$A$201,$AB477),Workforce!$A$2:$A$151,0))),N(INDEX(FTE_Allocation!$I$2:$I$201,$AB477)))),MONTH(MAX(N(INDEX(Workforce!$I$2:$I$151,MATCH(INDEX(FTE_Allocation!$A$2:$A$201,$AB477),Workforce!$A$2:$A$151,0))),N(INDEX(FTE_Allocation!$I$2:$I$201,$AB477)))),1),"")))</f>
        <v/>
      </c>
      <c r="AF477" s="21">
        <f>IF($Z477="C",IF(INDEX(Contracts!$I$2:$I$151,$AB477)="PREPAID",EDATE(DATE(YEAR(INDEX(Contracts!$J$2:$J$151,$AB477)),MONTH(INDEX(Contracts!$J$2:$J$151,$AB477)),1),IF(INDEX(Contracts!$N$2:$N$151,$AB477)="",12,INDEX(Contracts!$N$2:$N$151,$AB477))-1),IF(INDEX(Contracts!$I$2:$I$151,$AB477)="MONTHLY",IF(INDEX(Contracts!$K$2:$K$151,$AB477)="",2958101,INDEX(Contracts!$K$2:$K$151,$AB477)),0)),IF($Z477="A",EDATE(DATE(YEAR(INDEX(Fixed_Assets!$G$2:$G$201,$AB477)),MONTH(INDEX(Fixed_Assets!$G$2:$G$201,$AB477)),1),INDEX(Fixed_Assets!$J$2:$J$201,$AB477)-1),IF($Z477="F",MIN(IF(INDEX(Workforce!$J$2:$J$151,MATCH(INDEX(FTE_Allocation!$A$2:$A$201,$AB477),Workforce!$A$2:$A$151,0))="",2958101,INDEX(Workforce!$J$2:$J$151,MATCH(INDEX(FTE_Allocation!$A$2:$A$201,$AB477),Workforce!$A$2:$A$151,0))),IF(INDEX(FTE_Allocation!$J$2:$J$201,$AB477)="",2958101,INDEX(FTE_Allocation!$J$2:$J$201,$AB477))),"")))</f>
        <v/>
      </c>
      <c r="AG477" s="19">
        <f>IF($Z477="C",IF(INDEX(Contracts!$I$2:$I$151,$AB477)="PREPAID",INDEX(Contracts!$M$2:$M$151,$AB477)/IF(INDEX(Contracts!$N$2:$N$151,$AB477)="",12,INDEX(Contracts!$N$2:$N$151,$AB477)),IF(INDEX(Contracts!$I$2:$I$151,$AB477)="MONTHLY",INDEX(Contracts!$M$2:$M$151,$AB477),0))*(1-N(INDEX(Contracts!$O$2:$O$151,$AB477))),IF($Z477="A",INDEX(Fixed_Assets!$H$2:$H$201,$AB477)/INDEX(Fixed_Assets!$J$2:$J$201,$AB477),IF($Z477="F",INDEX(Workforce!$F$2:$F$151,MATCH(INDEX(FTE_Allocation!$A$2:$A$201,$AB477),Workforce!$A$2:$A$151,0))*N(INDEX(FTE_Allocation!$F$2:$H$201,$AB477,$AC477)),"")))</f>
        <v/>
      </c>
    </row>
    <row r="478">
      <c r="A478" s="7">
        <f>IF($Z478="","",$AD478)</f>
        <v/>
      </c>
      <c r="B478" s="7">
        <f>IF($Z478="C",INDEX(Contracts!$D$2:$D$151,$AB478)&amp;"",IF($Z478="A",INDEX(Fixed_Assets!$C$2:$C$201,$AB478)&amp;"",IF($Z478="F",INDEX(Workforce!$B$2:$B$151,MATCH(INDEX(FTE_Allocation!$A$2:$A$201,$AB478),Workforce!$A$2:$A$151,0))&amp;"","")))</f>
        <v/>
      </c>
      <c r="C478" s="7">
        <f>IF($Z478="C",INDEX(Contracts!$E$2:$E$151,$AB478)&amp;"",IF($Z478="A",INDEX(Fixed_Assets!$D$2:$D$201,$AB478)&amp;"",IF($Z478="F",INDEX(FTE_Allocation!$C$2:$C$201,$AB478)&amp;"","")))</f>
        <v/>
      </c>
      <c r="D478" s="7">
        <f>IF($Z478="C",INDEX(Contracts!$B$2:$B$151,$AB478)&amp;"",IF($Z478="A",INDEX(Fixed_Assets!$B$2:$B$201,$AB478)&amp;"",IF($Z478="F",INDEX(FTE_Allocation!$B$2:$B$201,$AB478)&amp;"","")))</f>
        <v/>
      </c>
      <c r="E478" s="7">
        <f>IF($Z478="C",INDEX(Contracts!$P$2:$P$151,$AB478)&amp;"",IF($Z478="A",INDEX(Fixed_Assets!$K$2:$K$201,$AB478)&amp;"",IF($Z478="F",IF(INDEX(FTE_Allocation!$D$2:$D$201,$AB478)="PROJECT",IFERROR(INDEX(Projects!$D:$D,MATCH(INDEX(FTE_Allocation!$E$2:$E$201,$AB478),Projects!$A:$A,0))&amp;"","#PROJECT?"),INDEX(FTE_Allocation!$E$2:$E$201,$AB478)&amp;""),"")))</f>
        <v/>
      </c>
      <c r="F478" s="7">
        <f>IF($Z478="C",INDEX(Contracts!$Q$2:$Q$151,$AB478)&amp;"",IF($Z478="A",INDEX(Fixed_Assets!$L$2:$L$201,$AB478)&amp;"",IF($Z478="F",INDEX(Workforce!$K$2:$K$151,MATCH(INDEX(FTE_Allocation!$A$2:$A$201,$AB478),Workforce!$A$2:$A$151,0))&amp;"","")))</f>
        <v/>
      </c>
      <c r="G478" s="7">
        <f>IF($Z478="C",INDEX(Contracts!$F$2:$F$151,$AB478)&amp;" / "&amp;INDEX(Contracts!$G$2:$G$151,$AB478),IF($Z478="A",INDEX(Fixed_Assets!$E$2:$E$201,$AB478)&amp;"",IF($Z478="F","Personnel "&amp;INDEX(FTE_Allocation!$A$2:$A$201,$AB478)&amp;IF(INDEX(FTE_Allocation!$D$2:$D$201,$AB478)="PROJECT"," ("&amp;INDEX(FTE_Allocation!$E$2:$E$201,$AB478)&amp;")",""),"")))</f>
        <v/>
      </c>
      <c r="H478" s="7">
        <f>IF($Z478="C","CONTRACT",IF($Z478="A","ASSET",IF($Z478="F","WORKFORCE","")))</f>
        <v/>
      </c>
      <c r="I478" s="7">
        <f>IF($Z478="C",INDEX(Contracts!$L$2:$L$151,$AB478)&amp;"",IF($Z478="A",INDEX(Fixed_Assets!$I$2:$I$201,$AB478)&amp;"",IF($Z478="F",INDEX(Workforce!$G$2:$G$151,MATCH(INDEX(FTE_Allocation!$A$2:$A$201,$AB478),Workforce!$A$2:$A$151,0))&amp;"","")))</f>
        <v/>
      </c>
      <c r="J478" s="18">
        <f>IF($Z478="","",IF(AND(DATE($AD478,1,1)&gt;=$AE478,DATE($AD478,1,1)&lt;=$AF478),ROUND($AG478,2),0))</f>
        <v/>
      </c>
      <c r="K478" s="18">
        <f>IF($Z478="","",IF(AND(DATE($AD478,2,1)&gt;=$AE478,DATE($AD478,2,1)&lt;=$AF478),ROUND($AG478,2),0))</f>
        <v/>
      </c>
      <c r="L478" s="18">
        <f>IF($Z478="","",IF(AND(DATE($AD478,3,1)&gt;=$AE478,DATE($AD478,3,1)&lt;=$AF478),ROUND($AG478,2),0))</f>
        <v/>
      </c>
      <c r="M478" s="18">
        <f>IF($Z478="","",IF(AND(DATE($AD478,4,1)&gt;=$AE478,DATE($AD478,4,1)&lt;=$AF478),ROUND($AG478,2),0))</f>
        <v/>
      </c>
      <c r="N478" s="18">
        <f>IF($Z478="","",IF(AND(DATE($AD478,5,1)&gt;=$AE478,DATE($AD478,5,1)&lt;=$AF478),ROUND($AG478,2),0))</f>
        <v/>
      </c>
      <c r="O478" s="18">
        <f>IF($Z478="","",IF(AND(DATE($AD478,6,1)&gt;=$AE478,DATE($AD478,6,1)&lt;=$AF478),ROUND($AG478,2),0))</f>
        <v/>
      </c>
      <c r="P478" s="18">
        <f>IF($Z478="","",IF(AND(DATE($AD478,7,1)&gt;=$AE478,DATE($AD478,7,1)&lt;=$AF478),ROUND($AG478,2),0))</f>
        <v/>
      </c>
      <c r="Q478" s="18">
        <f>IF($Z478="","",IF(AND(DATE($AD478,8,1)&gt;=$AE478,DATE($AD478,8,1)&lt;=$AF478),ROUND($AG478,2),0))</f>
        <v/>
      </c>
      <c r="R478" s="18">
        <f>IF($Z478="","",IF(AND(DATE($AD478,9,1)&gt;=$AE478,DATE($AD478,9,1)&lt;=$AF478),ROUND($AG478,2),0))</f>
        <v/>
      </c>
      <c r="S478" s="18">
        <f>IF($Z478="","",IF(AND(DATE($AD478,10,1)&gt;=$AE478,DATE($AD478,10,1)&lt;=$AF478),ROUND($AG478,2),0))</f>
        <v/>
      </c>
      <c r="T478" s="18">
        <f>IF($Z478="","",IF(AND(DATE($AD478,11,1)&gt;=$AE478,DATE($AD478,11,1)&lt;=$AF478),ROUND($AG478,2),0))</f>
        <v/>
      </c>
      <c r="U478" s="18">
        <f>IF($Z478="","",IF(AND(DATE($AD478,12,1)&gt;=$AE478,DATE($AD478,12,1)&lt;=$AF478),ROUND($AG478,2),0))</f>
        <v/>
      </c>
      <c r="V478" s="7">
        <f>IF($Z478="C","Generated from "&amp;INDEX(Contracts!$A$2:$A$151,$AB478),IF($Z478="A","Generated from "&amp;INDEX(Fixed_Assets!$A$2:$A$201,$AB478),IF($Z478="F","Generated from "&amp;INDEX(FTE_Allocation!$A$2:$A$201,$AB478),"")))</f>
        <v/>
      </c>
      <c r="X478" s="19">
        <f>IF($Z478="","",SUM(J478:U478))</f>
        <v/>
      </c>
      <c r="Y478" s="20">
        <f>ROW()-1</f>
        <v/>
      </c>
      <c r="Z478" s="20">
        <f>IF($Y478&lt;=Settings!$B$4*3,"C",IF($Y478&lt;=(Settings!$B$4+Settings!$B$5)*3,"A",IF($Y478&lt;=(Settings!$B$4+Settings!$B$5+Settings!$B$6)*3,"F","")))</f>
        <v/>
      </c>
      <c r="AA478" s="20">
        <f>IF($Z478="C",$Y478,IF($Z478="A",$Y478-Settings!$B$4*3,IF($Z478="F",$Y478-(Settings!$B$4+Settings!$B$5)*3,"")))</f>
        <v/>
      </c>
      <c r="AB478" s="20">
        <f>IF($Z478="","",INT(($AA478-1)/3)+1)</f>
        <v/>
      </c>
      <c r="AC478" s="20">
        <f>IF($Z478="","",MOD($AA478-1,3)+1)</f>
        <v/>
      </c>
      <c r="AD478" s="20">
        <f>IF($Z478="","",Settings!$B$2+$AC478-1)</f>
        <v/>
      </c>
      <c r="AE478" s="21">
        <f>IF($Z478="C",DATE(YEAR(INDEX(Contracts!$J$2:$J$151,$AB478)),MONTH(INDEX(Contracts!$J$2:$J$151,$AB478)),1),IF($Z478="A",DATE(YEAR(INDEX(Fixed_Assets!$G$2:$G$201,$AB478)),MONTH(INDEX(Fixed_Assets!$G$2:$G$201,$AB478)),1),IF($Z478="F",DATE(YEAR(MAX(N(INDEX(Workforce!$I$2:$I$151,MATCH(INDEX(FTE_Allocation!$A$2:$A$201,$AB478),Workforce!$A$2:$A$151,0))),N(INDEX(FTE_Allocation!$I$2:$I$201,$AB478)))),MONTH(MAX(N(INDEX(Workforce!$I$2:$I$151,MATCH(INDEX(FTE_Allocation!$A$2:$A$201,$AB478),Workforce!$A$2:$A$151,0))),N(INDEX(FTE_Allocation!$I$2:$I$201,$AB478)))),1),"")))</f>
        <v/>
      </c>
      <c r="AF478" s="21">
        <f>IF($Z478="C",IF(INDEX(Contracts!$I$2:$I$151,$AB478)="PREPAID",EDATE(DATE(YEAR(INDEX(Contracts!$J$2:$J$151,$AB478)),MONTH(INDEX(Contracts!$J$2:$J$151,$AB478)),1),IF(INDEX(Contracts!$N$2:$N$151,$AB478)="",12,INDEX(Contracts!$N$2:$N$151,$AB478))-1),IF(INDEX(Contracts!$I$2:$I$151,$AB478)="MONTHLY",IF(INDEX(Contracts!$K$2:$K$151,$AB478)="",2958101,INDEX(Contracts!$K$2:$K$151,$AB478)),0)),IF($Z478="A",EDATE(DATE(YEAR(INDEX(Fixed_Assets!$G$2:$G$201,$AB478)),MONTH(INDEX(Fixed_Assets!$G$2:$G$201,$AB478)),1),INDEX(Fixed_Assets!$J$2:$J$201,$AB478)-1),IF($Z478="F",MIN(IF(INDEX(Workforce!$J$2:$J$151,MATCH(INDEX(FTE_Allocation!$A$2:$A$201,$AB478),Workforce!$A$2:$A$151,0))="",2958101,INDEX(Workforce!$J$2:$J$151,MATCH(INDEX(FTE_Allocation!$A$2:$A$201,$AB478),Workforce!$A$2:$A$151,0))),IF(INDEX(FTE_Allocation!$J$2:$J$201,$AB478)="",2958101,INDEX(FTE_Allocation!$J$2:$J$201,$AB478))),"")))</f>
        <v/>
      </c>
      <c r="AG478" s="19">
        <f>IF($Z478="C",IF(INDEX(Contracts!$I$2:$I$151,$AB478)="PREPAID",INDEX(Contracts!$M$2:$M$151,$AB478)/IF(INDEX(Contracts!$N$2:$N$151,$AB478)="",12,INDEX(Contracts!$N$2:$N$151,$AB478)),IF(INDEX(Contracts!$I$2:$I$151,$AB478)="MONTHLY",INDEX(Contracts!$M$2:$M$151,$AB478),0))*(1-N(INDEX(Contracts!$O$2:$O$151,$AB478))),IF($Z478="A",INDEX(Fixed_Assets!$H$2:$H$201,$AB478)/INDEX(Fixed_Assets!$J$2:$J$201,$AB478),IF($Z478="F",INDEX(Workforce!$F$2:$F$151,MATCH(INDEX(FTE_Allocation!$A$2:$A$201,$AB478),Workforce!$A$2:$A$151,0))*N(INDEX(FTE_Allocation!$F$2:$H$201,$AB478,$AC478)),"")))</f>
        <v/>
      </c>
    </row>
    <row r="479">
      <c r="A479" s="7">
        <f>IF($Z479="","",$AD479)</f>
        <v/>
      </c>
      <c r="B479" s="7">
        <f>IF($Z479="C",INDEX(Contracts!$D$2:$D$151,$AB479)&amp;"",IF($Z479="A",INDEX(Fixed_Assets!$C$2:$C$201,$AB479)&amp;"",IF($Z479="F",INDEX(Workforce!$B$2:$B$151,MATCH(INDEX(FTE_Allocation!$A$2:$A$201,$AB479),Workforce!$A$2:$A$151,0))&amp;"","")))</f>
        <v/>
      </c>
      <c r="C479" s="7">
        <f>IF($Z479="C",INDEX(Contracts!$E$2:$E$151,$AB479)&amp;"",IF($Z479="A",INDEX(Fixed_Assets!$D$2:$D$201,$AB479)&amp;"",IF($Z479="F",INDEX(FTE_Allocation!$C$2:$C$201,$AB479)&amp;"","")))</f>
        <v/>
      </c>
      <c r="D479" s="7">
        <f>IF($Z479="C",INDEX(Contracts!$B$2:$B$151,$AB479)&amp;"",IF($Z479="A",INDEX(Fixed_Assets!$B$2:$B$201,$AB479)&amp;"",IF($Z479="F",INDEX(FTE_Allocation!$B$2:$B$201,$AB479)&amp;"","")))</f>
        <v/>
      </c>
      <c r="E479" s="7">
        <f>IF($Z479="C",INDEX(Contracts!$P$2:$P$151,$AB479)&amp;"",IF($Z479="A",INDEX(Fixed_Assets!$K$2:$K$201,$AB479)&amp;"",IF($Z479="F",IF(INDEX(FTE_Allocation!$D$2:$D$201,$AB479)="PROJECT",IFERROR(INDEX(Projects!$D:$D,MATCH(INDEX(FTE_Allocation!$E$2:$E$201,$AB479),Projects!$A:$A,0))&amp;"","#PROJECT?"),INDEX(FTE_Allocation!$E$2:$E$201,$AB479)&amp;""),"")))</f>
        <v/>
      </c>
      <c r="F479" s="7">
        <f>IF($Z479="C",INDEX(Contracts!$Q$2:$Q$151,$AB479)&amp;"",IF($Z479="A",INDEX(Fixed_Assets!$L$2:$L$201,$AB479)&amp;"",IF($Z479="F",INDEX(Workforce!$K$2:$K$151,MATCH(INDEX(FTE_Allocation!$A$2:$A$201,$AB479),Workforce!$A$2:$A$151,0))&amp;"","")))</f>
        <v/>
      </c>
      <c r="G479" s="7">
        <f>IF($Z479="C",INDEX(Contracts!$F$2:$F$151,$AB479)&amp;" / "&amp;INDEX(Contracts!$G$2:$G$151,$AB479),IF($Z479="A",INDEX(Fixed_Assets!$E$2:$E$201,$AB479)&amp;"",IF($Z479="F","Personnel "&amp;INDEX(FTE_Allocation!$A$2:$A$201,$AB479)&amp;IF(INDEX(FTE_Allocation!$D$2:$D$201,$AB479)="PROJECT"," ("&amp;INDEX(FTE_Allocation!$E$2:$E$201,$AB479)&amp;")",""),"")))</f>
        <v/>
      </c>
      <c r="H479" s="7">
        <f>IF($Z479="C","CONTRACT",IF($Z479="A","ASSET",IF($Z479="F","WORKFORCE","")))</f>
        <v/>
      </c>
      <c r="I479" s="7">
        <f>IF($Z479="C",INDEX(Contracts!$L$2:$L$151,$AB479)&amp;"",IF($Z479="A",INDEX(Fixed_Assets!$I$2:$I$201,$AB479)&amp;"",IF($Z479="F",INDEX(Workforce!$G$2:$G$151,MATCH(INDEX(FTE_Allocation!$A$2:$A$201,$AB479),Workforce!$A$2:$A$151,0))&amp;"","")))</f>
        <v/>
      </c>
      <c r="J479" s="18">
        <f>IF($Z479="","",IF(AND(DATE($AD479,1,1)&gt;=$AE479,DATE($AD479,1,1)&lt;=$AF479),ROUND($AG479,2),0))</f>
        <v/>
      </c>
      <c r="K479" s="18">
        <f>IF($Z479="","",IF(AND(DATE($AD479,2,1)&gt;=$AE479,DATE($AD479,2,1)&lt;=$AF479),ROUND($AG479,2),0))</f>
        <v/>
      </c>
      <c r="L479" s="18">
        <f>IF($Z479="","",IF(AND(DATE($AD479,3,1)&gt;=$AE479,DATE($AD479,3,1)&lt;=$AF479),ROUND($AG479,2),0))</f>
        <v/>
      </c>
      <c r="M479" s="18">
        <f>IF($Z479="","",IF(AND(DATE($AD479,4,1)&gt;=$AE479,DATE($AD479,4,1)&lt;=$AF479),ROUND($AG479,2),0))</f>
        <v/>
      </c>
      <c r="N479" s="18">
        <f>IF($Z479="","",IF(AND(DATE($AD479,5,1)&gt;=$AE479,DATE($AD479,5,1)&lt;=$AF479),ROUND($AG479,2),0))</f>
        <v/>
      </c>
      <c r="O479" s="18">
        <f>IF($Z479="","",IF(AND(DATE($AD479,6,1)&gt;=$AE479,DATE($AD479,6,1)&lt;=$AF479),ROUND($AG479,2),0))</f>
        <v/>
      </c>
      <c r="P479" s="18">
        <f>IF($Z479="","",IF(AND(DATE($AD479,7,1)&gt;=$AE479,DATE($AD479,7,1)&lt;=$AF479),ROUND($AG479,2),0))</f>
        <v/>
      </c>
      <c r="Q479" s="18">
        <f>IF($Z479="","",IF(AND(DATE($AD479,8,1)&gt;=$AE479,DATE($AD479,8,1)&lt;=$AF479),ROUND($AG479,2),0))</f>
        <v/>
      </c>
      <c r="R479" s="18">
        <f>IF($Z479="","",IF(AND(DATE($AD479,9,1)&gt;=$AE479,DATE($AD479,9,1)&lt;=$AF479),ROUND($AG479,2),0))</f>
        <v/>
      </c>
      <c r="S479" s="18">
        <f>IF($Z479="","",IF(AND(DATE($AD479,10,1)&gt;=$AE479,DATE($AD479,10,1)&lt;=$AF479),ROUND($AG479,2),0))</f>
        <v/>
      </c>
      <c r="T479" s="18">
        <f>IF($Z479="","",IF(AND(DATE($AD479,11,1)&gt;=$AE479,DATE($AD479,11,1)&lt;=$AF479),ROUND($AG479,2),0))</f>
        <v/>
      </c>
      <c r="U479" s="18">
        <f>IF($Z479="","",IF(AND(DATE($AD479,12,1)&gt;=$AE479,DATE($AD479,12,1)&lt;=$AF479),ROUND($AG479,2),0))</f>
        <v/>
      </c>
      <c r="V479" s="7">
        <f>IF($Z479="C","Generated from "&amp;INDEX(Contracts!$A$2:$A$151,$AB479),IF($Z479="A","Generated from "&amp;INDEX(Fixed_Assets!$A$2:$A$201,$AB479),IF($Z479="F","Generated from "&amp;INDEX(FTE_Allocation!$A$2:$A$201,$AB479),"")))</f>
        <v/>
      </c>
      <c r="X479" s="19">
        <f>IF($Z479="","",SUM(J479:U479))</f>
        <v/>
      </c>
      <c r="Y479" s="20">
        <f>ROW()-1</f>
        <v/>
      </c>
      <c r="Z479" s="20">
        <f>IF($Y479&lt;=Settings!$B$4*3,"C",IF($Y479&lt;=(Settings!$B$4+Settings!$B$5)*3,"A",IF($Y479&lt;=(Settings!$B$4+Settings!$B$5+Settings!$B$6)*3,"F","")))</f>
        <v/>
      </c>
      <c r="AA479" s="20">
        <f>IF($Z479="C",$Y479,IF($Z479="A",$Y479-Settings!$B$4*3,IF($Z479="F",$Y479-(Settings!$B$4+Settings!$B$5)*3,"")))</f>
        <v/>
      </c>
      <c r="AB479" s="20">
        <f>IF($Z479="","",INT(($AA479-1)/3)+1)</f>
        <v/>
      </c>
      <c r="AC479" s="20">
        <f>IF($Z479="","",MOD($AA479-1,3)+1)</f>
        <v/>
      </c>
      <c r="AD479" s="20">
        <f>IF($Z479="","",Settings!$B$2+$AC479-1)</f>
        <v/>
      </c>
      <c r="AE479" s="21">
        <f>IF($Z479="C",DATE(YEAR(INDEX(Contracts!$J$2:$J$151,$AB479)),MONTH(INDEX(Contracts!$J$2:$J$151,$AB479)),1),IF($Z479="A",DATE(YEAR(INDEX(Fixed_Assets!$G$2:$G$201,$AB479)),MONTH(INDEX(Fixed_Assets!$G$2:$G$201,$AB479)),1),IF($Z479="F",DATE(YEAR(MAX(N(INDEX(Workforce!$I$2:$I$151,MATCH(INDEX(FTE_Allocation!$A$2:$A$201,$AB479),Workforce!$A$2:$A$151,0))),N(INDEX(FTE_Allocation!$I$2:$I$201,$AB479)))),MONTH(MAX(N(INDEX(Workforce!$I$2:$I$151,MATCH(INDEX(FTE_Allocation!$A$2:$A$201,$AB479),Workforce!$A$2:$A$151,0))),N(INDEX(FTE_Allocation!$I$2:$I$201,$AB479)))),1),"")))</f>
        <v/>
      </c>
      <c r="AF479" s="21">
        <f>IF($Z479="C",IF(INDEX(Contracts!$I$2:$I$151,$AB479)="PREPAID",EDATE(DATE(YEAR(INDEX(Contracts!$J$2:$J$151,$AB479)),MONTH(INDEX(Contracts!$J$2:$J$151,$AB479)),1),IF(INDEX(Contracts!$N$2:$N$151,$AB479)="",12,INDEX(Contracts!$N$2:$N$151,$AB479))-1),IF(INDEX(Contracts!$I$2:$I$151,$AB479)="MONTHLY",IF(INDEX(Contracts!$K$2:$K$151,$AB479)="",2958101,INDEX(Contracts!$K$2:$K$151,$AB479)),0)),IF($Z479="A",EDATE(DATE(YEAR(INDEX(Fixed_Assets!$G$2:$G$201,$AB479)),MONTH(INDEX(Fixed_Assets!$G$2:$G$201,$AB479)),1),INDEX(Fixed_Assets!$J$2:$J$201,$AB479)-1),IF($Z479="F",MIN(IF(INDEX(Workforce!$J$2:$J$151,MATCH(INDEX(FTE_Allocation!$A$2:$A$201,$AB479),Workforce!$A$2:$A$151,0))="",2958101,INDEX(Workforce!$J$2:$J$151,MATCH(INDEX(FTE_Allocation!$A$2:$A$201,$AB479),Workforce!$A$2:$A$151,0))),IF(INDEX(FTE_Allocation!$J$2:$J$201,$AB479)="",2958101,INDEX(FTE_Allocation!$J$2:$J$201,$AB479))),"")))</f>
        <v/>
      </c>
      <c r="AG479" s="19">
        <f>IF($Z479="C",IF(INDEX(Contracts!$I$2:$I$151,$AB479)="PREPAID",INDEX(Contracts!$M$2:$M$151,$AB479)/IF(INDEX(Contracts!$N$2:$N$151,$AB479)="",12,INDEX(Contracts!$N$2:$N$151,$AB479)),IF(INDEX(Contracts!$I$2:$I$151,$AB479)="MONTHLY",INDEX(Contracts!$M$2:$M$151,$AB479),0))*(1-N(INDEX(Contracts!$O$2:$O$151,$AB479))),IF($Z479="A",INDEX(Fixed_Assets!$H$2:$H$201,$AB479)/INDEX(Fixed_Assets!$J$2:$J$201,$AB479),IF($Z479="F",INDEX(Workforce!$F$2:$F$151,MATCH(INDEX(FTE_Allocation!$A$2:$A$201,$AB479),Workforce!$A$2:$A$151,0))*N(INDEX(FTE_Allocation!$F$2:$H$201,$AB479,$AC479)),"")))</f>
        <v/>
      </c>
    </row>
    <row r="480">
      <c r="A480" s="7">
        <f>IF($Z480="","",$AD480)</f>
        <v/>
      </c>
      <c r="B480" s="7">
        <f>IF($Z480="C",INDEX(Contracts!$D$2:$D$151,$AB480)&amp;"",IF($Z480="A",INDEX(Fixed_Assets!$C$2:$C$201,$AB480)&amp;"",IF($Z480="F",INDEX(Workforce!$B$2:$B$151,MATCH(INDEX(FTE_Allocation!$A$2:$A$201,$AB480),Workforce!$A$2:$A$151,0))&amp;"","")))</f>
        <v/>
      </c>
      <c r="C480" s="7">
        <f>IF($Z480="C",INDEX(Contracts!$E$2:$E$151,$AB480)&amp;"",IF($Z480="A",INDEX(Fixed_Assets!$D$2:$D$201,$AB480)&amp;"",IF($Z480="F",INDEX(FTE_Allocation!$C$2:$C$201,$AB480)&amp;"","")))</f>
        <v/>
      </c>
      <c r="D480" s="7">
        <f>IF($Z480="C",INDEX(Contracts!$B$2:$B$151,$AB480)&amp;"",IF($Z480="A",INDEX(Fixed_Assets!$B$2:$B$201,$AB480)&amp;"",IF($Z480="F",INDEX(FTE_Allocation!$B$2:$B$201,$AB480)&amp;"","")))</f>
        <v/>
      </c>
      <c r="E480" s="7">
        <f>IF($Z480="C",INDEX(Contracts!$P$2:$P$151,$AB480)&amp;"",IF($Z480="A",INDEX(Fixed_Assets!$K$2:$K$201,$AB480)&amp;"",IF($Z480="F",IF(INDEX(FTE_Allocation!$D$2:$D$201,$AB480)="PROJECT",IFERROR(INDEX(Projects!$D:$D,MATCH(INDEX(FTE_Allocation!$E$2:$E$201,$AB480),Projects!$A:$A,0))&amp;"","#PROJECT?"),INDEX(FTE_Allocation!$E$2:$E$201,$AB480)&amp;""),"")))</f>
        <v/>
      </c>
      <c r="F480" s="7">
        <f>IF($Z480="C",INDEX(Contracts!$Q$2:$Q$151,$AB480)&amp;"",IF($Z480="A",INDEX(Fixed_Assets!$L$2:$L$201,$AB480)&amp;"",IF($Z480="F",INDEX(Workforce!$K$2:$K$151,MATCH(INDEX(FTE_Allocation!$A$2:$A$201,$AB480),Workforce!$A$2:$A$151,0))&amp;"","")))</f>
        <v/>
      </c>
      <c r="G480" s="7">
        <f>IF($Z480="C",INDEX(Contracts!$F$2:$F$151,$AB480)&amp;" / "&amp;INDEX(Contracts!$G$2:$G$151,$AB480),IF($Z480="A",INDEX(Fixed_Assets!$E$2:$E$201,$AB480)&amp;"",IF($Z480="F","Personnel "&amp;INDEX(FTE_Allocation!$A$2:$A$201,$AB480)&amp;IF(INDEX(FTE_Allocation!$D$2:$D$201,$AB480)="PROJECT"," ("&amp;INDEX(FTE_Allocation!$E$2:$E$201,$AB480)&amp;")",""),"")))</f>
        <v/>
      </c>
      <c r="H480" s="7">
        <f>IF($Z480="C","CONTRACT",IF($Z480="A","ASSET",IF($Z480="F","WORKFORCE","")))</f>
        <v/>
      </c>
      <c r="I480" s="7">
        <f>IF($Z480="C",INDEX(Contracts!$L$2:$L$151,$AB480)&amp;"",IF($Z480="A",INDEX(Fixed_Assets!$I$2:$I$201,$AB480)&amp;"",IF($Z480="F",INDEX(Workforce!$G$2:$G$151,MATCH(INDEX(FTE_Allocation!$A$2:$A$201,$AB480),Workforce!$A$2:$A$151,0))&amp;"","")))</f>
        <v/>
      </c>
      <c r="J480" s="18">
        <f>IF($Z480="","",IF(AND(DATE($AD480,1,1)&gt;=$AE480,DATE($AD480,1,1)&lt;=$AF480),ROUND($AG480,2),0))</f>
        <v/>
      </c>
      <c r="K480" s="18">
        <f>IF($Z480="","",IF(AND(DATE($AD480,2,1)&gt;=$AE480,DATE($AD480,2,1)&lt;=$AF480),ROUND($AG480,2),0))</f>
        <v/>
      </c>
      <c r="L480" s="18">
        <f>IF($Z480="","",IF(AND(DATE($AD480,3,1)&gt;=$AE480,DATE($AD480,3,1)&lt;=$AF480),ROUND($AG480,2),0))</f>
        <v/>
      </c>
      <c r="M480" s="18">
        <f>IF($Z480="","",IF(AND(DATE($AD480,4,1)&gt;=$AE480,DATE($AD480,4,1)&lt;=$AF480),ROUND($AG480,2),0))</f>
        <v/>
      </c>
      <c r="N480" s="18">
        <f>IF($Z480="","",IF(AND(DATE($AD480,5,1)&gt;=$AE480,DATE($AD480,5,1)&lt;=$AF480),ROUND($AG480,2),0))</f>
        <v/>
      </c>
      <c r="O480" s="18">
        <f>IF($Z480="","",IF(AND(DATE($AD480,6,1)&gt;=$AE480,DATE($AD480,6,1)&lt;=$AF480),ROUND($AG480,2),0))</f>
        <v/>
      </c>
      <c r="P480" s="18">
        <f>IF($Z480="","",IF(AND(DATE($AD480,7,1)&gt;=$AE480,DATE($AD480,7,1)&lt;=$AF480),ROUND($AG480,2),0))</f>
        <v/>
      </c>
      <c r="Q480" s="18">
        <f>IF($Z480="","",IF(AND(DATE($AD480,8,1)&gt;=$AE480,DATE($AD480,8,1)&lt;=$AF480),ROUND($AG480,2),0))</f>
        <v/>
      </c>
      <c r="R480" s="18">
        <f>IF($Z480="","",IF(AND(DATE($AD480,9,1)&gt;=$AE480,DATE($AD480,9,1)&lt;=$AF480),ROUND($AG480,2),0))</f>
        <v/>
      </c>
      <c r="S480" s="18">
        <f>IF($Z480="","",IF(AND(DATE($AD480,10,1)&gt;=$AE480,DATE($AD480,10,1)&lt;=$AF480),ROUND($AG480,2),0))</f>
        <v/>
      </c>
      <c r="T480" s="18">
        <f>IF($Z480="","",IF(AND(DATE($AD480,11,1)&gt;=$AE480,DATE($AD480,11,1)&lt;=$AF480),ROUND($AG480,2),0))</f>
        <v/>
      </c>
      <c r="U480" s="18">
        <f>IF($Z480="","",IF(AND(DATE($AD480,12,1)&gt;=$AE480,DATE($AD480,12,1)&lt;=$AF480),ROUND($AG480,2),0))</f>
        <v/>
      </c>
      <c r="V480" s="7">
        <f>IF($Z480="C","Generated from "&amp;INDEX(Contracts!$A$2:$A$151,$AB480),IF($Z480="A","Generated from "&amp;INDEX(Fixed_Assets!$A$2:$A$201,$AB480),IF($Z480="F","Generated from "&amp;INDEX(FTE_Allocation!$A$2:$A$201,$AB480),"")))</f>
        <v/>
      </c>
      <c r="X480" s="19">
        <f>IF($Z480="","",SUM(J480:U480))</f>
        <v/>
      </c>
      <c r="Y480" s="20">
        <f>ROW()-1</f>
        <v/>
      </c>
      <c r="Z480" s="20">
        <f>IF($Y480&lt;=Settings!$B$4*3,"C",IF($Y480&lt;=(Settings!$B$4+Settings!$B$5)*3,"A",IF($Y480&lt;=(Settings!$B$4+Settings!$B$5+Settings!$B$6)*3,"F","")))</f>
        <v/>
      </c>
      <c r="AA480" s="20">
        <f>IF($Z480="C",$Y480,IF($Z480="A",$Y480-Settings!$B$4*3,IF($Z480="F",$Y480-(Settings!$B$4+Settings!$B$5)*3,"")))</f>
        <v/>
      </c>
      <c r="AB480" s="20">
        <f>IF($Z480="","",INT(($AA480-1)/3)+1)</f>
        <v/>
      </c>
      <c r="AC480" s="20">
        <f>IF($Z480="","",MOD($AA480-1,3)+1)</f>
        <v/>
      </c>
      <c r="AD480" s="20">
        <f>IF($Z480="","",Settings!$B$2+$AC480-1)</f>
        <v/>
      </c>
      <c r="AE480" s="21">
        <f>IF($Z480="C",DATE(YEAR(INDEX(Contracts!$J$2:$J$151,$AB480)),MONTH(INDEX(Contracts!$J$2:$J$151,$AB480)),1),IF($Z480="A",DATE(YEAR(INDEX(Fixed_Assets!$G$2:$G$201,$AB480)),MONTH(INDEX(Fixed_Assets!$G$2:$G$201,$AB480)),1),IF($Z480="F",DATE(YEAR(MAX(N(INDEX(Workforce!$I$2:$I$151,MATCH(INDEX(FTE_Allocation!$A$2:$A$201,$AB480),Workforce!$A$2:$A$151,0))),N(INDEX(FTE_Allocation!$I$2:$I$201,$AB480)))),MONTH(MAX(N(INDEX(Workforce!$I$2:$I$151,MATCH(INDEX(FTE_Allocation!$A$2:$A$201,$AB480),Workforce!$A$2:$A$151,0))),N(INDEX(FTE_Allocation!$I$2:$I$201,$AB480)))),1),"")))</f>
        <v/>
      </c>
      <c r="AF480" s="21">
        <f>IF($Z480="C",IF(INDEX(Contracts!$I$2:$I$151,$AB480)="PREPAID",EDATE(DATE(YEAR(INDEX(Contracts!$J$2:$J$151,$AB480)),MONTH(INDEX(Contracts!$J$2:$J$151,$AB480)),1),IF(INDEX(Contracts!$N$2:$N$151,$AB480)="",12,INDEX(Contracts!$N$2:$N$151,$AB480))-1),IF(INDEX(Contracts!$I$2:$I$151,$AB480)="MONTHLY",IF(INDEX(Contracts!$K$2:$K$151,$AB480)="",2958101,INDEX(Contracts!$K$2:$K$151,$AB480)),0)),IF($Z480="A",EDATE(DATE(YEAR(INDEX(Fixed_Assets!$G$2:$G$201,$AB480)),MONTH(INDEX(Fixed_Assets!$G$2:$G$201,$AB480)),1),INDEX(Fixed_Assets!$J$2:$J$201,$AB480)-1),IF($Z480="F",MIN(IF(INDEX(Workforce!$J$2:$J$151,MATCH(INDEX(FTE_Allocation!$A$2:$A$201,$AB480),Workforce!$A$2:$A$151,0))="",2958101,INDEX(Workforce!$J$2:$J$151,MATCH(INDEX(FTE_Allocation!$A$2:$A$201,$AB480),Workforce!$A$2:$A$151,0))),IF(INDEX(FTE_Allocation!$J$2:$J$201,$AB480)="",2958101,INDEX(FTE_Allocation!$J$2:$J$201,$AB480))),"")))</f>
        <v/>
      </c>
      <c r="AG480" s="19">
        <f>IF($Z480="C",IF(INDEX(Contracts!$I$2:$I$151,$AB480)="PREPAID",INDEX(Contracts!$M$2:$M$151,$AB480)/IF(INDEX(Contracts!$N$2:$N$151,$AB480)="",12,INDEX(Contracts!$N$2:$N$151,$AB480)),IF(INDEX(Contracts!$I$2:$I$151,$AB480)="MONTHLY",INDEX(Contracts!$M$2:$M$151,$AB480),0))*(1-N(INDEX(Contracts!$O$2:$O$151,$AB480))),IF($Z480="A",INDEX(Fixed_Assets!$H$2:$H$201,$AB480)/INDEX(Fixed_Assets!$J$2:$J$201,$AB480),IF($Z480="F",INDEX(Workforce!$F$2:$F$151,MATCH(INDEX(FTE_Allocation!$A$2:$A$201,$AB480),Workforce!$A$2:$A$151,0))*N(INDEX(FTE_Allocation!$F$2:$H$201,$AB480,$AC480)),"")))</f>
        <v/>
      </c>
    </row>
    <row r="481">
      <c r="A481" s="7">
        <f>IF($Z481="","",$AD481)</f>
        <v/>
      </c>
      <c r="B481" s="7">
        <f>IF($Z481="C",INDEX(Contracts!$D$2:$D$151,$AB481)&amp;"",IF($Z481="A",INDEX(Fixed_Assets!$C$2:$C$201,$AB481)&amp;"",IF($Z481="F",INDEX(Workforce!$B$2:$B$151,MATCH(INDEX(FTE_Allocation!$A$2:$A$201,$AB481),Workforce!$A$2:$A$151,0))&amp;"","")))</f>
        <v/>
      </c>
      <c r="C481" s="7">
        <f>IF($Z481="C",INDEX(Contracts!$E$2:$E$151,$AB481)&amp;"",IF($Z481="A",INDEX(Fixed_Assets!$D$2:$D$201,$AB481)&amp;"",IF($Z481="F",INDEX(FTE_Allocation!$C$2:$C$201,$AB481)&amp;"","")))</f>
        <v/>
      </c>
      <c r="D481" s="7">
        <f>IF($Z481="C",INDEX(Contracts!$B$2:$B$151,$AB481)&amp;"",IF($Z481="A",INDEX(Fixed_Assets!$B$2:$B$201,$AB481)&amp;"",IF($Z481="F",INDEX(FTE_Allocation!$B$2:$B$201,$AB481)&amp;"","")))</f>
        <v/>
      </c>
      <c r="E481" s="7">
        <f>IF($Z481="C",INDEX(Contracts!$P$2:$P$151,$AB481)&amp;"",IF($Z481="A",INDEX(Fixed_Assets!$K$2:$K$201,$AB481)&amp;"",IF($Z481="F",IF(INDEX(FTE_Allocation!$D$2:$D$201,$AB481)="PROJECT",IFERROR(INDEX(Projects!$D:$D,MATCH(INDEX(FTE_Allocation!$E$2:$E$201,$AB481),Projects!$A:$A,0))&amp;"","#PROJECT?"),INDEX(FTE_Allocation!$E$2:$E$201,$AB481)&amp;""),"")))</f>
        <v/>
      </c>
      <c r="F481" s="7">
        <f>IF($Z481="C",INDEX(Contracts!$Q$2:$Q$151,$AB481)&amp;"",IF($Z481="A",INDEX(Fixed_Assets!$L$2:$L$201,$AB481)&amp;"",IF($Z481="F",INDEX(Workforce!$K$2:$K$151,MATCH(INDEX(FTE_Allocation!$A$2:$A$201,$AB481),Workforce!$A$2:$A$151,0))&amp;"","")))</f>
        <v/>
      </c>
      <c r="G481" s="7">
        <f>IF($Z481="C",INDEX(Contracts!$F$2:$F$151,$AB481)&amp;" / "&amp;INDEX(Contracts!$G$2:$G$151,$AB481),IF($Z481="A",INDEX(Fixed_Assets!$E$2:$E$201,$AB481)&amp;"",IF($Z481="F","Personnel "&amp;INDEX(FTE_Allocation!$A$2:$A$201,$AB481)&amp;IF(INDEX(FTE_Allocation!$D$2:$D$201,$AB481)="PROJECT"," ("&amp;INDEX(FTE_Allocation!$E$2:$E$201,$AB481)&amp;")",""),"")))</f>
        <v/>
      </c>
      <c r="H481" s="7">
        <f>IF($Z481="C","CONTRACT",IF($Z481="A","ASSET",IF($Z481="F","WORKFORCE","")))</f>
        <v/>
      </c>
      <c r="I481" s="7">
        <f>IF($Z481="C",INDEX(Contracts!$L$2:$L$151,$AB481)&amp;"",IF($Z481="A",INDEX(Fixed_Assets!$I$2:$I$201,$AB481)&amp;"",IF($Z481="F",INDEX(Workforce!$G$2:$G$151,MATCH(INDEX(FTE_Allocation!$A$2:$A$201,$AB481),Workforce!$A$2:$A$151,0))&amp;"","")))</f>
        <v/>
      </c>
      <c r="J481" s="18">
        <f>IF($Z481="","",IF(AND(DATE($AD481,1,1)&gt;=$AE481,DATE($AD481,1,1)&lt;=$AF481),ROUND($AG481,2),0))</f>
        <v/>
      </c>
      <c r="K481" s="18">
        <f>IF($Z481="","",IF(AND(DATE($AD481,2,1)&gt;=$AE481,DATE($AD481,2,1)&lt;=$AF481),ROUND($AG481,2),0))</f>
        <v/>
      </c>
      <c r="L481" s="18">
        <f>IF($Z481="","",IF(AND(DATE($AD481,3,1)&gt;=$AE481,DATE($AD481,3,1)&lt;=$AF481),ROUND($AG481,2),0))</f>
        <v/>
      </c>
      <c r="M481" s="18">
        <f>IF($Z481="","",IF(AND(DATE($AD481,4,1)&gt;=$AE481,DATE($AD481,4,1)&lt;=$AF481),ROUND($AG481,2),0))</f>
        <v/>
      </c>
      <c r="N481" s="18">
        <f>IF($Z481="","",IF(AND(DATE($AD481,5,1)&gt;=$AE481,DATE($AD481,5,1)&lt;=$AF481),ROUND($AG481,2),0))</f>
        <v/>
      </c>
      <c r="O481" s="18">
        <f>IF($Z481="","",IF(AND(DATE($AD481,6,1)&gt;=$AE481,DATE($AD481,6,1)&lt;=$AF481),ROUND($AG481,2),0))</f>
        <v/>
      </c>
      <c r="P481" s="18">
        <f>IF($Z481="","",IF(AND(DATE($AD481,7,1)&gt;=$AE481,DATE($AD481,7,1)&lt;=$AF481),ROUND($AG481,2),0))</f>
        <v/>
      </c>
      <c r="Q481" s="18">
        <f>IF($Z481="","",IF(AND(DATE($AD481,8,1)&gt;=$AE481,DATE($AD481,8,1)&lt;=$AF481),ROUND($AG481,2),0))</f>
        <v/>
      </c>
      <c r="R481" s="18">
        <f>IF($Z481="","",IF(AND(DATE($AD481,9,1)&gt;=$AE481,DATE($AD481,9,1)&lt;=$AF481),ROUND($AG481,2),0))</f>
        <v/>
      </c>
      <c r="S481" s="18">
        <f>IF($Z481="","",IF(AND(DATE($AD481,10,1)&gt;=$AE481,DATE($AD481,10,1)&lt;=$AF481),ROUND($AG481,2),0))</f>
        <v/>
      </c>
      <c r="T481" s="18">
        <f>IF($Z481="","",IF(AND(DATE($AD481,11,1)&gt;=$AE481,DATE($AD481,11,1)&lt;=$AF481),ROUND($AG481,2),0))</f>
        <v/>
      </c>
      <c r="U481" s="18">
        <f>IF($Z481="","",IF(AND(DATE($AD481,12,1)&gt;=$AE481,DATE($AD481,12,1)&lt;=$AF481),ROUND($AG481,2),0))</f>
        <v/>
      </c>
      <c r="V481" s="7">
        <f>IF($Z481="C","Generated from "&amp;INDEX(Contracts!$A$2:$A$151,$AB481),IF($Z481="A","Generated from "&amp;INDEX(Fixed_Assets!$A$2:$A$201,$AB481),IF($Z481="F","Generated from "&amp;INDEX(FTE_Allocation!$A$2:$A$201,$AB481),"")))</f>
        <v/>
      </c>
      <c r="X481" s="19">
        <f>IF($Z481="","",SUM(J481:U481))</f>
        <v/>
      </c>
      <c r="Y481" s="20">
        <f>ROW()-1</f>
        <v/>
      </c>
      <c r="Z481" s="20">
        <f>IF($Y481&lt;=Settings!$B$4*3,"C",IF($Y481&lt;=(Settings!$B$4+Settings!$B$5)*3,"A",IF($Y481&lt;=(Settings!$B$4+Settings!$B$5+Settings!$B$6)*3,"F","")))</f>
        <v/>
      </c>
      <c r="AA481" s="20">
        <f>IF($Z481="C",$Y481,IF($Z481="A",$Y481-Settings!$B$4*3,IF($Z481="F",$Y481-(Settings!$B$4+Settings!$B$5)*3,"")))</f>
        <v/>
      </c>
      <c r="AB481" s="20">
        <f>IF($Z481="","",INT(($AA481-1)/3)+1)</f>
        <v/>
      </c>
      <c r="AC481" s="20">
        <f>IF($Z481="","",MOD($AA481-1,3)+1)</f>
        <v/>
      </c>
      <c r="AD481" s="20">
        <f>IF($Z481="","",Settings!$B$2+$AC481-1)</f>
        <v/>
      </c>
      <c r="AE481" s="21">
        <f>IF($Z481="C",DATE(YEAR(INDEX(Contracts!$J$2:$J$151,$AB481)),MONTH(INDEX(Contracts!$J$2:$J$151,$AB481)),1),IF($Z481="A",DATE(YEAR(INDEX(Fixed_Assets!$G$2:$G$201,$AB481)),MONTH(INDEX(Fixed_Assets!$G$2:$G$201,$AB481)),1),IF($Z481="F",DATE(YEAR(MAX(N(INDEX(Workforce!$I$2:$I$151,MATCH(INDEX(FTE_Allocation!$A$2:$A$201,$AB481),Workforce!$A$2:$A$151,0))),N(INDEX(FTE_Allocation!$I$2:$I$201,$AB481)))),MONTH(MAX(N(INDEX(Workforce!$I$2:$I$151,MATCH(INDEX(FTE_Allocation!$A$2:$A$201,$AB481),Workforce!$A$2:$A$151,0))),N(INDEX(FTE_Allocation!$I$2:$I$201,$AB481)))),1),"")))</f>
        <v/>
      </c>
      <c r="AF481" s="21">
        <f>IF($Z481="C",IF(INDEX(Contracts!$I$2:$I$151,$AB481)="PREPAID",EDATE(DATE(YEAR(INDEX(Contracts!$J$2:$J$151,$AB481)),MONTH(INDEX(Contracts!$J$2:$J$151,$AB481)),1),IF(INDEX(Contracts!$N$2:$N$151,$AB481)="",12,INDEX(Contracts!$N$2:$N$151,$AB481))-1),IF(INDEX(Contracts!$I$2:$I$151,$AB481)="MONTHLY",IF(INDEX(Contracts!$K$2:$K$151,$AB481)="",2958101,INDEX(Contracts!$K$2:$K$151,$AB481)),0)),IF($Z481="A",EDATE(DATE(YEAR(INDEX(Fixed_Assets!$G$2:$G$201,$AB481)),MONTH(INDEX(Fixed_Assets!$G$2:$G$201,$AB481)),1),INDEX(Fixed_Assets!$J$2:$J$201,$AB481)-1),IF($Z481="F",MIN(IF(INDEX(Workforce!$J$2:$J$151,MATCH(INDEX(FTE_Allocation!$A$2:$A$201,$AB481),Workforce!$A$2:$A$151,0))="",2958101,INDEX(Workforce!$J$2:$J$151,MATCH(INDEX(FTE_Allocation!$A$2:$A$201,$AB481),Workforce!$A$2:$A$151,0))),IF(INDEX(FTE_Allocation!$J$2:$J$201,$AB481)="",2958101,INDEX(FTE_Allocation!$J$2:$J$201,$AB481))),"")))</f>
        <v/>
      </c>
      <c r="AG481" s="19">
        <f>IF($Z481="C",IF(INDEX(Contracts!$I$2:$I$151,$AB481)="PREPAID",INDEX(Contracts!$M$2:$M$151,$AB481)/IF(INDEX(Contracts!$N$2:$N$151,$AB481)="",12,INDEX(Contracts!$N$2:$N$151,$AB481)),IF(INDEX(Contracts!$I$2:$I$151,$AB481)="MONTHLY",INDEX(Contracts!$M$2:$M$151,$AB481),0))*(1-N(INDEX(Contracts!$O$2:$O$151,$AB481))),IF($Z481="A",INDEX(Fixed_Assets!$H$2:$H$201,$AB481)/INDEX(Fixed_Assets!$J$2:$J$201,$AB481),IF($Z481="F",INDEX(Workforce!$F$2:$F$151,MATCH(INDEX(FTE_Allocation!$A$2:$A$201,$AB481),Workforce!$A$2:$A$151,0))*N(INDEX(FTE_Allocation!$F$2:$H$201,$AB481,$AC481)),"")))</f>
        <v/>
      </c>
    </row>
    <row r="482">
      <c r="A482" s="7">
        <f>IF($Z482="","",$AD482)</f>
        <v/>
      </c>
      <c r="B482" s="7">
        <f>IF($Z482="C",INDEX(Contracts!$D$2:$D$151,$AB482)&amp;"",IF($Z482="A",INDEX(Fixed_Assets!$C$2:$C$201,$AB482)&amp;"",IF($Z482="F",INDEX(Workforce!$B$2:$B$151,MATCH(INDEX(FTE_Allocation!$A$2:$A$201,$AB482),Workforce!$A$2:$A$151,0))&amp;"","")))</f>
        <v/>
      </c>
      <c r="C482" s="7">
        <f>IF($Z482="C",INDEX(Contracts!$E$2:$E$151,$AB482)&amp;"",IF($Z482="A",INDEX(Fixed_Assets!$D$2:$D$201,$AB482)&amp;"",IF($Z482="F",INDEX(FTE_Allocation!$C$2:$C$201,$AB482)&amp;"","")))</f>
        <v/>
      </c>
      <c r="D482" s="7">
        <f>IF($Z482="C",INDEX(Contracts!$B$2:$B$151,$AB482)&amp;"",IF($Z482="A",INDEX(Fixed_Assets!$B$2:$B$201,$AB482)&amp;"",IF($Z482="F",INDEX(FTE_Allocation!$B$2:$B$201,$AB482)&amp;"","")))</f>
        <v/>
      </c>
      <c r="E482" s="7">
        <f>IF($Z482="C",INDEX(Contracts!$P$2:$P$151,$AB482)&amp;"",IF($Z482="A",INDEX(Fixed_Assets!$K$2:$K$201,$AB482)&amp;"",IF($Z482="F",IF(INDEX(FTE_Allocation!$D$2:$D$201,$AB482)="PROJECT",IFERROR(INDEX(Projects!$D:$D,MATCH(INDEX(FTE_Allocation!$E$2:$E$201,$AB482),Projects!$A:$A,0))&amp;"","#PROJECT?"),INDEX(FTE_Allocation!$E$2:$E$201,$AB482)&amp;""),"")))</f>
        <v/>
      </c>
      <c r="F482" s="7">
        <f>IF($Z482="C",INDEX(Contracts!$Q$2:$Q$151,$AB482)&amp;"",IF($Z482="A",INDEX(Fixed_Assets!$L$2:$L$201,$AB482)&amp;"",IF($Z482="F",INDEX(Workforce!$K$2:$K$151,MATCH(INDEX(FTE_Allocation!$A$2:$A$201,$AB482),Workforce!$A$2:$A$151,0))&amp;"","")))</f>
        <v/>
      </c>
      <c r="G482" s="7">
        <f>IF($Z482="C",INDEX(Contracts!$F$2:$F$151,$AB482)&amp;" / "&amp;INDEX(Contracts!$G$2:$G$151,$AB482),IF($Z482="A",INDEX(Fixed_Assets!$E$2:$E$201,$AB482)&amp;"",IF($Z482="F","Personnel "&amp;INDEX(FTE_Allocation!$A$2:$A$201,$AB482)&amp;IF(INDEX(FTE_Allocation!$D$2:$D$201,$AB482)="PROJECT"," ("&amp;INDEX(FTE_Allocation!$E$2:$E$201,$AB482)&amp;")",""),"")))</f>
        <v/>
      </c>
      <c r="H482" s="7">
        <f>IF($Z482="C","CONTRACT",IF($Z482="A","ASSET",IF($Z482="F","WORKFORCE","")))</f>
        <v/>
      </c>
      <c r="I482" s="7">
        <f>IF($Z482="C",INDEX(Contracts!$L$2:$L$151,$AB482)&amp;"",IF($Z482="A",INDEX(Fixed_Assets!$I$2:$I$201,$AB482)&amp;"",IF($Z482="F",INDEX(Workforce!$G$2:$G$151,MATCH(INDEX(FTE_Allocation!$A$2:$A$201,$AB482),Workforce!$A$2:$A$151,0))&amp;"","")))</f>
        <v/>
      </c>
      <c r="J482" s="18">
        <f>IF($Z482="","",IF(AND(DATE($AD482,1,1)&gt;=$AE482,DATE($AD482,1,1)&lt;=$AF482),ROUND($AG482,2),0))</f>
        <v/>
      </c>
      <c r="K482" s="18">
        <f>IF($Z482="","",IF(AND(DATE($AD482,2,1)&gt;=$AE482,DATE($AD482,2,1)&lt;=$AF482),ROUND($AG482,2),0))</f>
        <v/>
      </c>
      <c r="L482" s="18">
        <f>IF($Z482="","",IF(AND(DATE($AD482,3,1)&gt;=$AE482,DATE($AD482,3,1)&lt;=$AF482),ROUND($AG482,2),0))</f>
        <v/>
      </c>
      <c r="M482" s="18">
        <f>IF($Z482="","",IF(AND(DATE($AD482,4,1)&gt;=$AE482,DATE($AD482,4,1)&lt;=$AF482),ROUND($AG482,2),0))</f>
        <v/>
      </c>
      <c r="N482" s="18">
        <f>IF($Z482="","",IF(AND(DATE($AD482,5,1)&gt;=$AE482,DATE($AD482,5,1)&lt;=$AF482),ROUND($AG482,2),0))</f>
        <v/>
      </c>
      <c r="O482" s="18">
        <f>IF($Z482="","",IF(AND(DATE($AD482,6,1)&gt;=$AE482,DATE($AD482,6,1)&lt;=$AF482),ROUND($AG482,2),0))</f>
        <v/>
      </c>
      <c r="P482" s="18">
        <f>IF($Z482="","",IF(AND(DATE($AD482,7,1)&gt;=$AE482,DATE($AD482,7,1)&lt;=$AF482),ROUND($AG482,2),0))</f>
        <v/>
      </c>
      <c r="Q482" s="18">
        <f>IF($Z482="","",IF(AND(DATE($AD482,8,1)&gt;=$AE482,DATE($AD482,8,1)&lt;=$AF482),ROUND($AG482,2),0))</f>
        <v/>
      </c>
      <c r="R482" s="18">
        <f>IF($Z482="","",IF(AND(DATE($AD482,9,1)&gt;=$AE482,DATE($AD482,9,1)&lt;=$AF482),ROUND($AG482,2),0))</f>
        <v/>
      </c>
      <c r="S482" s="18">
        <f>IF($Z482="","",IF(AND(DATE($AD482,10,1)&gt;=$AE482,DATE($AD482,10,1)&lt;=$AF482),ROUND($AG482,2),0))</f>
        <v/>
      </c>
      <c r="T482" s="18">
        <f>IF($Z482="","",IF(AND(DATE($AD482,11,1)&gt;=$AE482,DATE($AD482,11,1)&lt;=$AF482),ROUND($AG482,2),0))</f>
        <v/>
      </c>
      <c r="U482" s="18">
        <f>IF($Z482="","",IF(AND(DATE($AD482,12,1)&gt;=$AE482,DATE($AD482,12,1)&lt;=$AF482),ROUND($AG482,2),0))</f>
        <v/>
      </c>
      <c r="V482" s="7">
        <f>IF($Z482="C","Generated from "&amp;INDEX(Contracts!$A$2:$A$151,$AB482),IF($Z482="A","Generated from "&amp;INDEX(Fixed_Assets!$A$2:$A$201,$AB482),IF($Z482="F","Generated from "&amp;INDEX(FTE_Allocation!$A$2:$A$201,$AB482),"")))</f>
        <v/>
      </c>
      <c r="X482" s="19">
        <f>IF($Z482="","",SUM(J482:U482))</f>
        <v/>
      </c>
      <c r="Y482" s="20">
        <f>ROW()-1</f>
        <v/>
      </c>
      <c r="Z482" s="20">
        <f>IF($Y482&lt;=Settings!$B$4*3,"C",IF($Y482&lt;=(Settings!$B$4+Settings!$B$5)*3,"A",IF($Y482&lt;=(Settings!$B$4+Settings!$B$5+Settings!$B$6)*3,"F","")))</f>
        <v/>
      </c>
      <c r="AA482" s="20">
        <f>IF($Z482="C",$Y482,IF($Z482="A",$Y482-Settings!$B$4*3,IF($Z482="F",$Y482-(Settings!$B$4+Settings!$B$5)*3,"")))</f>
        <v/>
      </c>
      <c r="AB482" s="20">
        <f>IF($Z482="","",INT(($AA482-1)/3)+1)</f>
        <v/>
      </c>
      <c r="AC482" s="20">
        <f>IF($Z482="","",MOD($AA482-1,3)+1)</f>
        <v/>
      </c>
      <c r="AD482" s="20">
        <f>IF($Z482="","",Settings!$B$2+$AC482-1)</f>
        <v/>
      </c>
      <c r="AE482" s="21">
        <f>IF($Z482="C",DATE(YEAR(INDEX(Contracts!$J$2:$J$151,$AB482)),MONTH(INDEX(Contracts!$J$2:$J$151,$AB482)),1),IF($Z482="A",DATE(YEAR(INDEX(Fixed_Assets!$G$2:$G$201,$AB482)),MONTH(INDEX(Fixed_Assets!$G$2:$G$201,$AB482)),1),IF($Z482="F",DATE(YEAR(MAX(N(INDEX(Workforce!$I$2:$I$151,MATCH(INDEX(FTE_Allocation!$A$2:$A$201,$AB482),Workforce!$A$2:$A$151,0))),N(INDEX(FTE_Allocation!$I$2:$I$201,$AB482)))),MONTH(MAX(N(INDEX(Workforce!$I$2:$I$151,MATCH(INDEX(FTE_Allocation!$A$2:$A$201,$AB482),Workforce!$A$2:$A$151,0))),N(INDEX(FTE_Allocation!$I$2:$I$201,$AB482)))),1),"")))</f>
        <v/>
      </c>
      <c r="AF482" s="21">
        <f>IF($Z482="C",IF(INDEX(Contracts!$I$2:$I$151,$AB482)="PREPAID",EDATE(DATE(YEAR(INDEX(Contracts!$J$2:$J$151,$AB482)),MONTH(INDEX(Contracts!$J$2:$J$151,$AB482)),1),IF(INDEX(Contracts!$N$2:$N$151,$AB482)="",12,INDEX(Contracts!$N$2:$N$151,$AB482))-1),IF(INDEX(Contracts!$I$2:$I$151,$AB482)="MONTHLY",IF(INDEX(Contracts!$K$2:$K$151,$AB482)="",2958101,INDEX(Contracts!$K$2:$K$151,$AB482)),0)),IF($Z482="A",EDATE(DATE(YEAR(INDEX(Fixed_Assets!$G$2:$G$201,$AB482)),MONTH(INDEX(Fixed_Assets!$G$2:$G$201,$AB482)),1),INDEX(Fixed_Assets!$J$2:$J$201,$AB482)-1),IF($Z482="F",MIN(IF(INDEX(Workforce!$J$2:$J$151,MATCH(INDEX(FTE_Allocation!$A$2:$A$201,$AB482),Workforce!$A$2:$A$151,0))="",2958101,INDEX(Workforce!$J$2:$J$151,MATCH(INDEX(FTE_Allocation!$A$2:$A$201,$AB482),Workforce!$A$2:$A$151,0))),IF(INDEX(FTE_Allocation!$J$2:$J$201,$AB482)="",2958101,INDEX(FTE_Allocation!$J$2:$J$201,$AB482))),"")))</f>
        <v/>
      </c>
      <c r="AG482" s="19">
        <f>IF($Z482="C",IF(INDEX(Contracts!$I$2:$I$151,$AB482)="PREPAID",INDEX(Contracts!$M$2:$M$151,$AB482)/IF(INDEX(Contracts!$N$2:$N$151,$AB482)="",12,INDEX(Contracts!$N$2:$N$151,$AB482)),IF(INDEX(Contracts!$I$2:$I$151,$AB482)="MONTHLY",INDEX(Contracts!$M$2:$M$151,$AB482),0))*(1-N(INDEX(Contracts!$O$2:$O$151,$AB482))),IF($Z482="A",INDEX(Fixed_Assets!$H$2:$H$201,$AB482)/INDEX(Fixed_Assets!$J$2:$J$201,$AB482),IF($Z482="F",INDEX(Workforce!$F$2:$F$151,MATCH(INDEX(FTE_Allocation!$A$2:$A$201,$AB482),Workforce!$A$2:$A$151,0))*N(INDEX(FTE_Allocation!$F$2:$H$201,$AB482,$AC482)),"")))</f>
        <v/>
      </c>
    </row>
    <row r="483">
      <c r="A483" s="7">
        <f>IF($Z483="","",$AD483)</f>
        <v/>
      </c>
      <c r="B483" s="7">
        <f>IF($Z483="C",INDEX(Contracts!$D$2:$D$151,$AB483)&amp;"",IF($Z483="A",INDEX(Fixed_Assets!$C$2:$C$201,$AB483)&amp;"",IF($Z483="F",INDEX(Workforce!$B$2:$B$151,MATCH(INDEX(FTE_Allocation!$A$2:$A$201,$AB483),Workforce!$A$2:$A$151,0))&amp;"","")))</f>
        <v/>
      </c>
      <c r="C483" s="7">
        <f>IF($Z483="C",INDEX(Contracts!$E$2:$E$151,$AB483)&amp;"",IF($Z483="A",INDEX(Fixed_Assets!$D$2:$D$201,$AB483)&amp;"",IF($Z483="F",INDEX(FTE_Allocation!$C$2:$C$201,$AB483)&amp;"","")))</f>
        <v/>
      </c>
      <c r="D483" s="7">
        <f>IF($Z483="C",INDEX(Contracts!$B$2:$B$151,$AB483)&amp;"",IF($Z483="A",INDEX(Fixed_Assets!$B$2:$B$201,$AB483)&amp;"",IF($Z483="F",INDEX(FTE_Allocation!$B$2:$B$201,$AB483)&amp;"","")))</f>
        <v/>
      </c>
      <c r="E483" s="7">
        <f>IF($Z483="C",INDEX(Contracts!$P$2:$P$151,$AB483)&amp;"",IF($Z483="A",INDEX(Fixed_Assets!$K$2:$K$201,$AB483)&amp;"",IF($Z483="F",IF(INDEX(FTE_Allocation!$D$2:$D$201,$AB483)="PROJECT",IFERROR(INDEX(Projects!$D:$D,MATCH(INDEX(FTE_Allocation!$E$2:$E$201,$AB483),Projects!$A:$A,0))&amp;"","#PROJECT?"),INDEX(FTE_Allocation!$E$2:$E$201,$AB483)&amp;""),"")))</f>
        <v/>
      </c>
      <c r="F483" s="7">
        <f>IF($Z483="C",INDEX(Contracts!$Q$2:$Q$151,$AB483)&amp;"",IF($Z483="A",INDEX(Fixed_Assets!$L$2:$L$201,$AB483)&amp;"",IF($Z483="F",INDEX(Workforce!$K$2:$K$151,MATCH(INDEX(FTE_Allocation!$A$2:$A$201,$AB483),Workforce!$A$2:$A$151,0))&amp;"","")))</f>
        <v/>
      </c>
      <c r="G483" s="7">
        <f>IF($Z483="C",INDEX(Contracts!$F$2:$F$151,$AB483)&amp;" / "&amp;INDEX(Contracts!$G$2:$G$151,$AB483),IF($Z483="A",INDEX(Fixed_Assets!$E$2:$E$201,$AB483)&amp;"",IF($Z483="F","Personnel "&amp;INDEX(FTE_Allocation!$A$2:$A$201,$AB483)&amp;IF(INDEX(FTE_Allocation!$D$2:$D$201,$AB483)="PROJECT"," ("&amp;INDEX(FTE_Allocation!$E$2:$E$201,$AB483)&amp;")",""),"")))</f>
        <v/>
      </c>
      <c r="H483" s="7">
        <f>IF($Z483="C","CONTRACT",IF($Z483="A","ASSET",IF($Z483="F","WORKFORCE","")))</f>
        <v/>
      </c>
      <c r="I483" s="7">
        <f>IF($Z483="C",INDEX(Contracts!$L$2:$L$151,$AB483)&amp;"",IF($Z483="A",INDEX(Fixed_Assets!$I$2:$I$201,$AB483)&amp;"",IF($Z483="F",INDEX(Workforce!$G$2:$G$151,MATCH(INDEX(FTE_Allocation!$A$2:$A$201,$AB483),Workforce!$A$2:$A$151,0))&amp;"","")))</f>
        <v/>
      </c>
      <c r="J483" s="18">
        <f>IF($Z483="","",IF(AND(DATE($AD483,1,1)&gt;=$AE483,DATE($AD483,1,1)&lt;=$AF483),ROUND($AG483,2),0))</f>
        <v/>
      </c>
      <c r="K483" s="18">
        <f>IF($Z483="","",IF(AND(DATE($AD483,2,1)&gt;=$AE483,DATE($AD483,2,1)&lt;=$AF483),ROUND($AG483,2),0))</f>
        <v/>
      </c>
      <c r="L483" s="18">
        <f>IF($Z483="","",IF(AND(DATE($AD483,3,1)&gt;=$AE483,DATE($AD483,3,1)&lt;=$AF483),ROUND($AG483,2),0))</f>
        <v/>
      </c>
      <c r="M483" s="18">
        <f>IF($Z483="","",IF(AND(DATE($AD483,4,1)&gt;=$AE483,DATE($AD483,4,1)&lt;=$AF483),ROUND($AG483,2),0))</f>
        <v/>
      </c>
      <c r="N483" s="18">
        <f>IF($Z483="","",IF(AND(DATE($AD483,5,1)&gt;=$AE483,DATE($AD483,5,1)&lt;=$AF483),ROUND($AG483,2),0))</f>
        <v/>
      </c>
      <c r="O483" s="18">
        <f>IF($Z483="","",IF(AND(DATE($AD483,6,1)&gt;=$AE483,DATE($AD483,6,1)&lt;=$AF483),ROUND($AG483,2),0))</f>
        <v/>
      </c>
      <c r="P483" s="18">
        <f>IF($Z483="","",IF(AND(DATE($AD483,7,1)&gt;=$AE483,DATE($AD483,7,1)&lt;=$AF483),ROUND($AG483,2),0))</f>
        <v/>
      </c>
      <c r="Q483" s="18">
        <f>IF($Z483="","",IF(AND(DATE($AD483,8,1)&gt;=$AE483,DATE($AD483,8,1)&lt;=$AF483),ROUND($AG483,2),0))</f>
        <v/>
      </c>
      <c r="R483" s="18">
        <f>IF($Z483="","",IF(AND(DATE($AD483,9,1)&gt;=$AE483,DATE($AD483,9,1)&lt;=$AF483),ROUND($AG483,2),0))</f>
        <v/>
      </c>
      <c r="S483" s="18">
        <f>IF($Z483="","",IF(AND(DATE($AD483,10,1)&gt;=$AE483,DATE($AD483,10,1)&lt;=$AF483),ROUND($AG483,2),0))</f>
        <v/>
      </c>
      <c r="T483" s="18">
        <f>IF($Z483="","",IF(AND(DATE($AD483,11,1)&gt;=$AE483,DATE($AD483,11,1)&lt;=$AF483),ROUND($AG483,2),0))</f>
        <v/>
      </c>
      <c r="U483" s="18">
        <f>IF($Z483="","",IF(AND(DATE($AD483,12,1)&gt;=$AE483,DATE($AD483,12,1)&lt;=$AF483),ROUND($AG483,2),0))</f>
        <v/>
      </c>
      <c r="V483" s="7">
        <f>IF($Z483="C","Generated from "&amp;INDEX(Contracts!$A$2:$A$151,$AB483),IF($Z483="A","Generated from "&amp;INDEX(Fixed_Assets!$A$2:$A$201,$AB483),IF($Z483="F","Generated from "&amp;INDEX(FTE_Allocation!$A$2:$A$201,$AB483),"")))</f>
        <v/>
      </c>
      <c r="X483" s="19">
        <f>IF($Z483="","",SUM(J483:U483))</f>
        <v/>
      </c>
      <c r="Y483" s="20">
        <f>ROW()-1</f>
        <v/>
      </c>
      <c r="Z483" s="20">
        <f>IF($Y483&lt;=Settings!$B$4*3,"C",IF($Y483&lt;=(Settings!$B$4+Settings!$B$5)*3,"A",IF($Y483&lt;=(Settings!$B$4+Settings!$B$5+Settings!$B$6)*3,"F","")))</f>
        <v/>
      </c>
      <c r="AA483" s="20">
        <f>IF($Z483="C",$Y483,IF($Z483="A",$Y483-Settings!$B$4*3,IF($Z483="F",$Y483-(Settings!$B$4+Settings!$B$5)*3,"")))</f>
        <v/>
      </c>
      <c r="AB483" s="20">
        <f>IF($Z483="","",INT(($AA483-1)/3)+1)</f>
        <v/>
      </c>
      <c r="AC483" s="20">
        <f>IF($Z483="","",MOD($AA483-1,3)+1)</f>
        <v/>
      </c>
      <c r="AD483" s="20">
        <f>IF($Z483="","",Settings!$B$2+$AC483-1)</f>
        <v/>
      </c>
      <c r="AE483" s="21">
        <f>IF($Z483="C",DATE(YEAR(INDEX(Contracts!$J$2:$J$151,$AB483)),MONTH(INDEX(Contracts!$J$2:$J$151,$AB483)),1),IF($Z483="A",DATE(YEAR(INDEX(Fixed_Assets!$G$2:$G$201,$AB483)),MONTH(INDEX(Fixed_Assets!$G$2:$G$201,$AB483)),1),IF($Z483="F",DATE(YEAR(MAX(N(INDEX(Workforce!$I$2:$I$151,MATCH(INDEX(FTE_Allocation!$A$2:$A$201,$AB483),Workforce!$A$2:$A$151,0))),N(INDEX(FTE_Allocation!$I$2:$I$201,$AB483)))),MONTH(MAX(N(INDEX(Workforce!$I$2:$I$151,MATCH(INDEX(FTE_Allocation!$A$2:$A$201,$AB483),Workforce!$A$2:$A$151,0))),N(INDEX(FTE_Allocation!$I$2:$I$201,$AB483)))),1),"")))</f>
        <v/>
      </c>
      <c r="AF483" s="21">
        <f>IF($Z483="C",IF(INDEX(Contracts!$I$2:$I$151,$AB483)="PREPAID",EDATE(DATE(YEAR(INDEX(Contracts!$J$2:$J$151,$AB483)),MONTH(INDEX(Contracts!$J$2:$J$151,$AB483)),1),IF(INDEX(Contracts!$N$2:$N$151,$AB483)="",12,INDEX(Contracts!$N$2:$N$151,$AB483))-1),IF(INDEX(Contracts!$I$2:$I$151,$AB483)="MONTHLY",IF(INDEX(Contracts!$K$2:$K$151,$AB483)="",2958101,INDEX(Contracts!$K$2:$K$151,$AB483)),0)),IF($Z483="A",EDATE(DATE(YEAR(INDEX(Fixed_Assets!$G$2:$G$201,$AB483)),MONTH(INDEX(Fixed_Assets!$G$2:$G$201,$AB483)),1),INDEX(Fixed_Assets!$J$2:$J$201,$AB483)-1),IF($Z483="F",MIN(IF(INDEX(Workforce!$J$2:$J$151,MATCH(INDEX(FTE_Allocation!$A$2:$A$201,$AB483),Workforce!$A$2:$A$151,0))="",2958101,INDEX(Workforce!$J$2:$J$151,MATCH(INDEX(FTE_Allocation!$A$2:$A$201,$AB483),Workforce!$A$2:$A$151,0))),IF(INDEX(FTE_Allocation!$J$2:$J$201,$AB483)="",2958101,INDEX(FTE_Allocation!$J$2:$J$201,$AB483))),"")))</f>
        <v/>
      </c>
      <c r="AG483" s="19">
        <f>IF($Z483="C",IF(INDEX(Contracts!$I$2:$I$151,$AB483)="PREPAID",INDEX(Contracts!$M$2:$M$151,$AB483)/IF(INDEX(Contracts!$N$2:$N$151,$AB483)="",12,INDEX(Contracts!$N$2:$N$151,$AB483)),IF(INDEX(Contracts!$I$2:$I$151,$AB483)="MONTHLY",INDEX(Contracts!$M$2:$M$151,$AB483),0))*(1-N(INDEX(Contracts!$O$2:$O$151,$AB483))),IF($Z483="A",INDEX(Fixed_Assets!$H$2:$H$201,$AB483)/INDEX(Fixed_Assets!$J$2:$J$201,$AB483),IF($Z483="F",INDEX(Workforce!$F$2:$F$151,MATCH(INDEX(FTE_Allocation!$A$2:$A$201,$AB483),Workforce!$A$2:$A$151,0))*N(INDEX(FTE_Allocation!$F$2:$H$201,$AB483,$AC483)),"")))</f>
        <v/>
      </c>
    </row>
    <row r="484">
      <c r="A484" s="7">
        <f>IF($Z484="","",$AD484)</f>
        <v/>
      </c>
      <c r="B484" s="7">
        <f>IF($Z484="C",INDEX(Contracts!$D$2:$D$151,$AB484)&amp;"",IF($Z484="A",INDEX(Fixed_Assets!$C$2:$C$201,$AB484)&amp;"",IF($Z484="F",INDEX(Workforce!$B$2:$B$151,MATCH(INDEX(FTE_Allocation!$A$2:$A$201,$AB484),Workforce!$A$2:$A$151,0))&amp;"","")))</f>
        <v/>
      </c>
      <c r="C484" s="7">
        <f>IF($Z484="C",INDEX(Contracts!$E$2:$E$151,$AB484)&amp;"",IF($Z484="A",INDEX(Fixed_Assets!$D$2:$D$201,$AB484)&amp;"",IF($Z484="F",INDEX(FTE_Allocation!$C$2:$C$201,$AB484)&amp;"","")))</f>
        <v/>
      </c>
      <c r="D484" s="7">
        <f>IF($Z484="C",INDEX(Contracts!$B$2:$B$151,$AB484)&amp;"",IF($Z484="A",INDEX(Fixed_Assets!$B$2:$B$201,$AB484)&amp;"",IF($Z484="F",INDEX(FTE_Allocation!$B$2:$B$201,$AB484)&amp;"","")))</f>
        <v/>
      </c>
      <c r="E484" s="7">
        <f>IF($Z484="C",INDEX(Contracts!$P$2:$P$151,$AB484)&amp;"",IF($Z484="A",INDEX(Fixed_Assets!$K$2:$K$201,$AB484)&amp;"",IF($Z484="F",IF(INDEX(FTE_Allocation!$D$2:$D$201,$AB484)="PROJECT",IFERROR(INDEX(Projects!$D:$D,MATCH(INDEX(FTE_Allocation!$E$2:$E$201,$AB484),Projects!$A:$A,0))&amp;"","#PROJECT?"),INDEX(FTE_Allocation!$E$2:$E$201,$AB484)&amp;""),"")))</f>
        <v/>
      </c>
      <c r="F484" s="7">
        <f>IF($Z484="C",INDEX(Contracts!$Q$2:$Q$151,$AB484)&amp;"",IF($Z484="A",INDEX(Fixed_Assets!$L$2:$L$201,$AB484)&amp;"",IF($Z484="F",INDEX(Workforce!$K$2:$K$151,MATCH(INDEX(FTE_Allocation!$A$2:$A$201,$AB484),Workforce!$A$2:$A$151,0))&amp;"","")))</f>
        <v/>
      </c>
      <c r="G484" s="7">
        <f>IF($Z484="C",INDEX(Contracts!$F$2:$F$151,$AB484)&amp;" / "&amp;INDEX(Contracts!$G$2:$G$151,$AB484),IF($Z484="A",INDEX(Fixed_Assets!$E$2:$E$201,$AB484)&amp;"",IF($Z484="F","Personnel "&amp;INDEX(FTE_Allocation!$A$2:$A$201,$AB484)&amp;IF(INDEX(FTE_Allocation!$D$2:$D$201,$AB484)="PROJECT"," ("&amp;INDEX(FTE_Allocation!$E$2:$E$201,$AB484)&amp;")",""),"")))</f>
        <v/>
      </c>
      <c r="H484" s="7">
        <f>IF($Z484="C","CONTRACT",IF($Z484="A","ASSET",IF($Z484="F","WORKFORCE","")))</f>
        <v/>
      </c>
      <c r="I484" s="7">
        <f>IF($Z484="C",INDEX(Contracts!$L$2:$L$151,$AB484)&amp;"",IF($Z484="A",INDEX(Fixed_Assets!$I$2:$I$201,$AB484)&amp;"",IF($Z484="F",INDEX(Workforce!$G$2:$G$151,MATCH(INDEX(FTE_Allocation!$A$2:$A$201,$AB484),Workforce!$A$2:$A$151,0))&amp;"","")))</f>
        <v/>
      </c>
      <c r="J484" s="18">
        <f>IF($Z484="","",IF(AND(DATE($AD484,1,1)&gt;=$AE484,DATE($AD484,1,1)&lt;=$AF484),ROUND($AG484,2),0))</f>
        <v/>
      </c>
      <c r="K484" s="18">
        <f>IF($Z484="","",IF(AND(DATE($AD484,2,1)&gt;=$AE484,DATE($AD484,2,1)&lt;=$AF484),ROUND($AG484,2),0))</f>
        <v/>
      </c>
      <c r="L484" s="18">
        <f>IF($Z484="","",IF(AND(DATE($AD484,3,1)&gt;=$AE484,DATE($AD484,3,1)&lt;=$AF484),ROUND($AG484,2),0))</f>
        <v/>
      </c>
      <c r="M484" s="18">
        <f>IF($Z484="","",IF(AND(DATE($AD484,4,1)&gt;=$AE484,DATE($AD484,4,1)&lt;=$AF484),ROUND($AG484,2),0))</f>
        <v/>
      </c>
      <c r="N484" s="18">
        <f>IF($Z484="","",IF(AND(DATE($AD484,5,1)&gt;=$AE484,DATE($AD484,5,1)&lt;=$AF484),ROUND($AG484,2),0))</f>
        <v/>
      </c>
      <c r="O484" s="18">
        <f>IF($Z484="","",IF(AND(DATE($AD484,6,1)&gt;=$AE484,DATE($AD484,6,1)&lt;=$AF484),ROUND($AG484,2),0))</f>
        <v/>
      </c>
      <c r="P484" s="18">
        <f>IF($Z484="","",IF(AND(DATE($AD484,7,1)&gt;=$AE484,DATE($AD484,7,1)&lt;=$AF484),ROUND($AG484,2),0))</f>
        <v/>
      </c>
      <c r="Q484" s="18">
        <f>IF($Z484="","",IF(AND(DATE($AD484,8,1)&gt;=$AE484,DATE($AD484,8,1)&lt;=$AF484),ROUND($AG484,2),0))</f>
        <v/>
      </c>
      <c r="R484" s="18">
        <f>IF($Z484="","",IF(AND(DATE($AD484,9,1)&gt;=$AE484,DATE($AD484,9,1)&lt;=$AF484),ROUND($AG484,2),0))</f>
        <v/>
      </c>
      <c r="S484" s="18">
        <f>IF($Z484="","",IF(AND(DATE($AD484,10,1)&gt;=$AE484,DATE($AD484,10,1)&lt;=$AF484),ROUND($AG484,2),0))</f>
        <v/>
      </c>
      <c r="T484" s="18">
        <f>IF($Z484="","",IF(AND(DATE($AD484,11,1)&gt;=$AE484,DATE($AD484,11,1)&lt;=$AF484),ROUND($AG484,2),0))</f>
        <v/>
      </c>
      <c r="U484" s="18">
        <f>IF($Z484="","",IF(AND(DATE($AD484,12,1)&gt;=$AE484,DATE($AD484,12,1)&lt;=$AF484),ROUND($AG484,2),0))</f>
        <v/>
      </c>
      <c r="V484" s="7">
        <f>IF($Z484="C","Generated from "&amp;INDEX(Contracts!$A$2:$A$151,$AB484),IF($Z484="A","Generated from "&amp;INDEX(Fixed_Assets!$A$2:$A$201,$AB484),IF($Z484="F","Generated from "&amp;INDEX(FTE_Allocation!$A$2:$A$201,$AB484),"")))</f>
        <v/>
      </c>
      <c r="X484" s="19">
        <f>IF($Z484="","",SUM(J484:U484))</f>
        <v/>
      </c>
      <c r="Y484" s="20">
        <f>ROW()-1</f>
        <v/>
      </c>
      <c r="Z484" s="20">
        <f>IF($Y484&lt;=Settings!$B$4*3,"C",IF($Y484&lt;=(Settings!$B$4+Settings!$B$5)*3,"A",IF($Y484&lt;=(Settings!$B$4+Settings!$B$5+Settings!$B$6)*3,"F","")))</f>
        <v/>
      </c>
      <c r="AA484" s="20">
        <f>IF($Z484="C",$Y484,IF($Z484="A",$Y484-Settings!$B$4*3,IF($Z484="F",$Y484-(Settings!$B$4+Settings!$B$5)*3,"")))</f>
        <v/>
      </c>
      <c r="AB484" s="20">
        <f>IF($Z484="","",INT(($AA484-1)/3)+1)</f>
        <v/>
      </c>
      <c r="AC484" s="20">
        <f>IF($Z484="","",MOD($AA484-1,3)+1)</f>
        <v/>
      </c>
      <c r="AD484" s="20">
        <f>IF($Z484="","",Settings!$B$2+$AC484-1)</f>
        <v/>
      </c>
      <c r="AE484" s="21">
        <f>IF($Z484="C",DATE(YEAR(INDEX(Contracts!$J$2:$J$151,$AB484)),MONTH(INDEX(Contracts!$J$2:$J$151,$AB484)),1),IF($Z484="A",DATE(YEAR(INDEX(Fixed_Assets!$G$2:$G$201,$AB484)),MONTH(INDEX(Fixed_Assets!$G$2:$G$201,$AB484)),1),IF($Z484="F",DATE(YEAR(MAX(N(INDEX(Workforce!$I$2:$I$151,MATCH(INDEX(FTE_Allocation!$A$2:$A$201,$AB484),Workforce!$A$2:$A$151,0))),N(INDEX(FTE_Allocation!$I$2:$I$201,$AB484)))),MONTH(MAX(N(INDEX(Workforce!$I$2:$I$151,MATCH(INDEX(FTE_Allocation!$A$2:$A$201,$AB484),Workforce!$A$2:$A$151,0))),N(INDEX(FTE_Allocation!$I$2:$I$201,$AB484)))),1),"")))</f>
        <v/>
      </c>
      <c r="AF484" s="21">
        <f>IF($Z484="C",IF(INDEX(Contracts!$I$2:$I$151,$AB484)="PREPAID",EDATE(DATE(YEAR(INDEX(Contracts!$J$2:$J$151,$AB484)),MONTH(INDEX(Contracts!$J$2:$J$151,$AB484)),1),IF(INDEX(Contracts!$N$2:$N$151,$AB484)="",12,INDEX(Contracts!$N$2:$N$151,$AB484))-1),IF(INDEX(Contracts!$I$2:$I$151,$AB484)="MONTHLY",IF(INDEX(Contracts!$K$2:$K$151,$AB484)="",2958101,INDEX(Contracts!$K$2:$K$151,$AB484)),0)),IF($Z484="A",EDATE(DATE(YEAR(INDEX(Fixed_Assets!$G$2:$G$201,$AB484)),MONTH(INDEX(Fixed_Assets!$G$2:$G$201,$AB484)),1),INDEX(Fixed_Assets!$J$2:$J$201,$AB484)-1),IF($Z484="F",MIN(IF(INDEX(Workforce!$J$2:$J$151,MATCH(INDEX(FTE_Allocation!$A$2:$A$201,$AB484),Workforce!$A$2:$A$151,0))="",2958101,INDEX(Workforce!$J$2:$J$151,MATCH(INDEX(FTE_Allocation!$A$2:$A$201,$AB484),Workforce!$A$2:$A$151,0))),IF(INDEX(FTE_Allocation!$J$2:$J$201,$AB484)="",2958101,INDEX(FTE_Allocation!$J$2:$J$201,$AB484))),"")))</f>
        <v/>
      </c>
      <c r="AG484" s="19">
        <f>IF($Z484="C",IF(INDEX(Contracts!$I$2:$I$151,$AB484)="PREPAID",INDEX(Contracts!$M$2:$M$151,$AB484)/IF(INDEX(Contracts!$N$2:$N$151,$AB484)="",12,INDEX(Contracts!$N$2:$N$151,$AB484)),IF(INDEX(Contracts!$I$2:$I$151,$AB484)="MONTHLY",INDEX(Contracts!$M$2:$M$151,$AB484),0))*(1-N(INDEX(Contracts!$O$2:$O$151,$AB484))),IF($Z484="A",INDEX(Fixed_Assets!$H$2:$H$201,$AB484)/INDEX(Fixed_Assets!$J$2:$J$201,$AB484),IF($Z484="F",INDEX(Workforce!$F$2:$F$151,MATCH(INDEX(FTE_Allocation!$A$2:$A$201,$AB484),Workforce!$A$2:$A$151,0))*N(INDEX(FTE_Allocation!$F$2:$H$201,$AB484,$AC484)),"")))</f>
        <v/>
      </c>
    </row>
    <row r="485">
      <c r="A485" s="7">
        <f>IF($Z485="","",$AD485)</f>
        <v/>
      </c>
      <c r="B485" s="7">
        <f>IF($Z485="C",INDEX(Contracts!$D$2:$D$151,$AB485)&amp;"",IF($Z485="A",INDEX(Fixed_Assets!$C$2:$C$201,$AB485)&amp;"",IF($Z485="F",INDEX(Workforce!$B$2:$B$151,MATCH(INDEX(FTE_Allocation!$A$2:$A$201,$AB485),Workforce!$A$2:$A$151,0))&amp;"","")))</f>
        <v/>
      </c>
      <c r="C485" s="7">
        <f>IF($Z485="C",INDEX(Contracts!$E$2:$E$151,$AB485)&amp;"",IF($Z485="A",INDEX(Fixed_Assets!$D$2:$D$201,$AB485)&amp;"",IF($Z485="F",INDEX(FTE_Allocation!$C$2:$C$201,$AB485)&amp;"","")))</f>
        <v/>
      </c>
      <c r="D485" s="7">
        <f>IF($Z485="C",INDEX(Contracts!$B$2:$B$151,$AB485)&amp;"",IF($Z485="A",INDEX(Fixed_Assets!$B$2:$B$201,$AB485)&amp;"",IF($Z485="F",INDEX(FTE_Allocation!$B$2:$B$201,$AB485)&amp;"","")))</f>
        <v/>
      </c>
      <c r="E485" s="7">
        <f>IF($Z485="C",INDEX(Contracts!$P$2:$P$151,$AB485)&amp;"",IF($Z485="A",INDEX(Fixed_Assets!$K$2:$K$201,$AB485)&amp;"",IF($Z485="F",IF(INDEX(FTE_Allocation!$D$2:$D$201,$AB485)="PROJECT",IFERROR(INDEX(Projects!$D:$D,MATCH(INDEX(FTE_Allocation!$E$2:$E$201,$AB485),Projects!$A:$A,0))&amp;"","#PROJECT?"),INDEX(FTE_Allocation!$E$2:$E$201,$AB485)&amp;""),"")))</f>
        <v/>
      </c>
      <c r="F485" s="7">
        <f>IF($Z485="C",INDEX(Contracts!$Q$2:$Q$151,$AB485)&amp;"",IF($Z485="A",INDEX(Fixed_Assets!$L$2:$L$201,$AB485)&amp;"",IF($Z485="F",INDEX(Workforce!$K$2:$K$151,MATCH(INDEX(FTE_Allocation!$A$2:$A$201,$AB485),Workforce!$A$2:$A$151,0))&amp;"","")))</f>
        <v/>
      </c>
      <c r="G485" s="7">
        <f>IF($Z485="C",INDEX(Contracts!$F$2:$F$151,$AB485)&amp;" / "&amp;INDEX(Contracts!$G$2:$G$151,$AB485),IF($Z485="A",INDEX(Fixed_Assets!$E$2:$E$201,$AB485)&amp;"",IF($Z485="F","Personnel "&amp;INDEX(FTE_Allocation!$A$2:$A$201,$AB485)&amp;IF(INDEX(FTE_Allocation!$D$2:$D$201,$AB485)="PROJECT"," ("&amp;INDEX(FTE_Allocation!$E$2:$E$201,$AB485)&amp;")",""),"")))</f>
        <v/>
      </c>
      <c r="H485" s="7">
        <f>IF($Z485="C","CONTRACT",IF($Z485="A","ASSET",IF($Z485="F","WORKFORCE","")))</f>
        <v/>
      </c>
      <c r="I485" s="7">
        <f>IF($Z485="C",INDEX(Contracts!$L$2:$L$151,$AB485)&amp;"",IF($Z485="A",INDEX(Fixed_Assets!$I$2:$I$201,$AB485)&amp;"",IF($Z485="F",INDEX(Workforce!$G$2:$G$151,MATCH(INDEX(FTE_Allocation!$A$2:$A$201,$AB485),Workforce!$A$2:$A$151,0))&amp;"","")))</f>
        <v/>
      </c>
      <c r="J485" s="18">
        <f>IF($Z485="","",IF(AND(DATE($AD485,1,1)&gt;=$AE485,DATE($AD485,1,1)&lt;=$AF485),ROUND($AG485,2),0))</f>
        <v/>
      </c>
      <c r="K485" s="18">
        <f>IF($Z485="","",IF(AND(DATE($AD485,2,1)&gt;=$AE485,DATE($AD485,2,1)&lt;=$AF485),ROUND($AG485,2),0))</f>
        <v/>
      </c>
      <c r="L485" s="18">
        <f>IF($Z485="","",IF(AND(DATE($AD485,3,1)&gt;=$AE485,DATE($AD485,3,1)&lt;=$AF485),ROUND($AG485,2),0))</f>
        <v/>
      </c>
      <c r="M485" s="18">
        <f>IF($Z485="","",IF(AND(DATE($AD485,4,1)&gt;=$AE485,DATE($AD485,4,1)&lt;=$AF485),ROUND($AG485,2),0))</f>
        <v/>
      </c>
      <c r="N485" s="18">
        <f>IF($Z485="","",IF(AND(DATE($AD485,5,1)&gt;=$AE485,DATE($AD485,5,1)&lt;=$AF485),ROUND($AG485,2),0))</f>
        <v/>
      </c>
      <c r="O485" s="18">
        <f>IF($Z485="","",IF(AND(DATE($AD485,6,1)&gt;=$AE485,DATE($AD485,6,1)&lt;=$AF485),ROUND($AG485,2),0))</f>
        <v/>
      </c>
      <c r="P485" s="18">
        <f>IF($Z485="","",IF(AND(DATE($AD485,7,1)&gt;=$AE485,DATE($AD485,7,1)&lt;=$AF485),ROUND($AG485,2),0))</f>
        <v/>
      </c>
      <c r="Q485" s="18">
        <f>IF($Z485="","",IF(AND(DATE($AD485,8,1)&gt;=$AE485,DATE($AD485,8,1)&lt;=$AF485),ROUND($AG485,2),0))</f>
        <v/>
      </c>
      <c r="R485" s="18">
        <f>IF($Z485="","",IF(AND(DATE($AD485,9,1)&gt;=$AE485,DATE($AD485,9,1)&lt;=$AF485),ROUND($AG485,2),0))</f>
        <v/>
      </c>
      <c r="S485" s="18">
        <f>IF($Z485="","",IF(AND(DATE($AD485,10,1)&gt;=$AE485,DATE($AD485,10,1)&lt;=$AF485),ROUND($AG485,2),0))</f>
        <v/>
      </c>
      <c r="T485" s="18">
        <f>IF($Z485="","",IF(AND(DATE($AD485,11,1)&gt;=$AE485,DATE($AD485,11,1)&lt;=$AF485),ROUND($AG485,2),0))</f>
        <v/>
      </c>
      <c r="U485" s="18">
        <f>IF($Z485="","",IF(AND(DATE($AD485,12,1)&gt;=$AE485,DATE($AD485,12,1)&lt;=$AF485),ROUND($AG485,2),0))</f>
        <v/>
      </c>
      <c r="V485" s="7">
        <f>IF($Z485="C","Generated from "&amp;INDEX(Contracts!$A$2:$A$151,$AB485),IF($Z485="A","Generated from "&amp;INDEX(Fixed_Assets!$A$2:$A$201,$AB485),IF($Z485="F","Generated from "&amp;INDEX(FTE_Allocation!$A$2:$A$201,$AB485),"")))</f>
        <v/>
      </c>
      <c r="X485" s="19">
        <f>IF($Z485="","",SUM(J485:U485))</f>
        <v/>
      </c>
      <c r="Y485" s="20">
        <f>ROW()-1</f>
        <v/>
      </c>
      <c r="Z485" s="20">
        <f>IF($Y485&lt;=Settings!$B$4*3,"C",IF($Y485&lt;=(Settings!$B$4+Settings!$B$5)*3,"A",IF($Y485&lt;=(Settings!$B$4+Settings!$B$5+Settings!$B$6)*3,"F","")))</f>
        <v/>
      </c>
      <c r="AA485" s="20">
        <f>IF($Z485="C",$Y485,IF($Z485="A",$Y485-Settings!$B$4*3,IF($Z485="F",$Y485-(Settings!$B$4+Settings!$B$5)*3,"")))</f>
        <v/>
      </c>
      <c r="AB485" s="20">
        <f>IF($Z485="","",INT(($AA485-1)/3)+1)</f>
        <v/>
      </c>
      <c r="AC485" s="20">
        <f>IF($Z485="","",MOD($AA485-1,3)+1)</f>
        <v/>
      </c>
      <c r="AD485" s="20">
        <f>IF($Z485="","",Settings!$B$2+$AC485-1)</f>
        <v/>
      </c>
      <c r="AE485" s="21">
        <f>IF($Z485="C",DATE(YEAR(INDEX(Contracts!$J$2:$J$151,$AB485)),MONTH(INDEX(Contracts!$J$2:$J$151,$AB485)),1),IF($Z485="A",DATE(YEAR(INDEX(Fixed_Assets!$G$2:$G$201,$AB485)),MONTH(INDEX(Fixed_Assets!$G$2:$G$201,$AB485)),1),IF($Z485="F",DATE(YEAR(MAX(N(INDEX(Workforce!$I$2:$I$151,MATCH(INDEX(FTE_Allocation!$A$2:$A$201,$AB485),Workforce!$A$2:$A$151,0))),N(INDEX(FTE_Allocation!$I$2:$I$201,$AB485)))),MONTH(MAX(N(INDEX(Workforce!$I$2:$I$151,MATCH(INDEX(FTE_Allocation!$A$2:$A$201,$AB485),Workforce!$A$2:$A$151,0))),N(INDEX(FTE_Allocation!$I$2:$I$201,$AB485)))),1),"")))</f>
        <v/>
      </c>
      <c r="AF485" s="21">
        <f>IF($Z485="C",IF(INDEX(Contracts!$I$2:$I$151,$AB485)="PREPAID",EDATE(DATE(YEAR(INDEX(Contracts!$J$2:$J$151,$AB485)),MONTH(INDEX(Contracts!$J$2:$J$151,$AB485)),1),IF(INDEX(Contracts!$N$2:$N$151,$AB485)="",12,INDEX(Contracts!$N$2:$N$151,$AB485))-1),IF(INDEX(Contracts!$I$2:$I$151,$AB485)="MONTHLY",IF(INDEX(Contracts!$K$2:$K$151,$AB485)="",2958101,INDEX(Contracts!$K$2:$K$151,$AB485)),0)),IF($Z485="A",EDATE(DATE(YEAR(INDEX(Fixed_Assets!$G$2:$G$201,$AB485)),MONTH(INDEX(Fixed_Assets!$G$2:$G$201,$AB485)),1),INDEX(Fixed_Assets!$J$2:$J$201,$AB485)-1),IF($Z485="F",MIN(IF(INDEX(Workforce!$J$2:$J$151,MATCH(INDEX(FTE_Allocation!$A$2:$A$201,$AB485),Workforce!$A$2:$A$151,0))="",2958101,INDEX(Workforce!$J$2:$J$151,MATCH(INDEX(FTE_Allocation!$A$2:$A$201,$AB485),Workforce!$A$2:$A$151,0))),IF(INDEX(FTE_Allocation!$J$2:$J$201,$AB485)="",2958101,INDEX(FTE_Allocation!$J$2:$J$201,$AB485))),"")))</f>
        <v/>
      </c>
      <c r="AG485" s="19">
        <f>IF($Z485="C",IF(INDEX(Contracts!$I$2:$I$151,$AB485)="PREPAID",INDEX(Contracts!$M$2:$M$151,$AB485)/IF(INDEX(Contracts!$N$2:$N$151,$AB485)="",12,INDEX(Contracts!$N$2:$N$151,$AB485)),IF(INDEX(Contracts!$I$2:$I$151,$AB485)="MONTHLY",INDEX(Contracts!$M$2:$M$151,$AB485),0))*(1-N(INDEX(Contracts!$O$2:$O$151,$AB485))),IF($Z485="A",INDEX(Fixed_Assets!$H$2:$H$201,$AB485)/INDEX(Fixed_Assets!$J$2:$J$201,$AB485),IF($Z485="F",INDEX(Workforce!$F$2:$F$151,MATCH(INDEX(FTE_Allocation!$A$2:$A$201,$AB485),Workforce!$A$2:$A$151,0))*N(INDEX(FTE_Allocation!$F$2:$H$201,$AB485,$AC485)),"")))</f>
        <v/>
      </c>
    </row>
    <row r="486">
      <c r="A486" s="7">
        <f>IF($Z486="","",$AD486)</f>
        <v/>
      </c>
      <c r="B486" s="7">
        <f>IF($Z486="C",INDEX(Contracts!$D$2:$D$151,$AB486)&amp;"",IF($Z486="A",INDEX(Fixed_Assets!$C$2:$C$201,$AB486)&amp;"",IF($Z486="F",INDEX(Workforce!$B$2:$B$151,MATCH(INDEX(FTE_Allocation!$A$2:$A$201,$AB486),Workforce!$A$2:$A$151,0))&amp;"","")))</f>
        <v/>
      </c>
      <c r="C486" s="7">
        <f>IF($Z486="C",INDEX(Contracts!$E$2:$E$151,$AB486)&amp;"",IF($Z486="A",INDEX(Fixed_Assets!$D$2:$D$201,$AB486)&amp;"",IF($Z486="F",INDEX(FTE_Allocation!$C$2:$C$201,$AB486)&amp;"","")))</f>
        <v/>
      </c>
      <c r="D486" s="7">
        <f>IF($Z486="C",INDEX(Contracts!$B$2:$B$151,$AB486)&amp;"",IF($Z486="A",INDEX(Fixed_Assets!$B$2:$B$201,$AB486)&amp;"",IF($Z486="F",INDEX(FTE_Allocation!$B$2:$B$201,$AB486)&amp;"","")))</f>
        <v/>
      </c>
      <c r="E486" s="7">
        <f>IF($Z486="C",INDEX(Contracts!$P$2:$P$151,$AB486)&amp;"",IF($Z486="A",INDEX(Fixed_Assets!$K$2:$K$201,$AB486)&amp;"",IF($Z486="F",IF(INDEX(FTE_Allocation!$D$2:$D$201,$AB486)="PROJECT",IFERROR(INDEX(Projects!$D:$D,MATCH(INDEX(FTE_Allocation!$E$2:$E$201,$AB486),Projects!$A:$A,0))&amp;"","#PROJECT?"),INDEX(FTE_Allocation!$E$2:$E$201,$AB486)&amp;""),"")))</f>
        <v/>
      </c>
      <c r="F486" s="7">
        <f>IF($Z486="C",INDEX(Contracts!$Q$2:$Q$151,$AB486)&amp;"",IF($Z486="A",INDEX(Fixed_Assets!$L$2:$L$201,$AB486)&amp;"",IF($Z486="F",INDEX(Workforce!$K$2:$K$151,MATCH(INDEX(FTE_Allocation!$A$2:$A$201,$AB486),Workforce!$A$2:$A$151,0))&amp;"","")))</f>
        <v/>
      </c>
      <c r="G486" s="7">
        <f>IF($Z486="C",INDEX(Contracts!$F$2:$F$151,$AB486)&amp;" / "&amp;INDEX(Contracts!$G$2:$G$151,$AB486),IF($Z486="A",INDEX(Fixed_Assets!$E$2:$E$201,$AB486)&amp;"",IF($Z486="F","Personnel "&amp;INDEX(FTE_Allocation!$A$2:$A$201,$AB486)&amp;IF(INDEX(FTE_Allocation!$D$2:$D$201,$AB486)="PROJECT"," ("&amp;INDEX(FTE_Allocation!$E$2:$E$201,$AB486)&amp;")",""),"")))</f>
        <v/>
      </c>
      <c r="H486" s="7">
        <f>IF($Z486="C","CONTRACT",IF($Z486="A","ASSET",IF($Z486="F","WORKFORCE","")))</f>
        <v/>
      </c>
      <c r="I486" s="7">
        <f>IF($Z486="C",INDEX(Contracts!$L$2:$L$151,$AB486)&amp;"",IF($Z486="A",INDEX(Fixed_Assets!$I$2:$I$201,$AB486)&amp;"",IF($Z486="F",INDEX(Workforce!$G$2:$G$151,MATCH(INDEX(FTE_Allocation!$A$2:$A$201,$AB486),Workforce!$A$2:$A$151,0))&amp;"","")))</f>
        <v/>
      </c>
      <c r="J486" s="18">
        <f>IF($Z486="","",IF(AND(DATE($AD486,1,1)&gt;=$AE486,DATE($AD486,1,1)&lt;=$AF486),ROUND($AG486,2),0))</f>
        <v/>
      </c>
      <c r="K486" s="18">
        <f>IF($Z486="","",IF(AND(DATE($AD486,2,1)&gt;=$AE486,DATE($AD486,2,1)&lt;=$AF486),ROUND($AG486,2),0))</f>
        <v/>
      </c>
      <c r="L486" s="18">
        <f>IF($Z486="","",IF(AND(DATE($AD486,3,1)&gt;=$AE486,DATE($AD486,3,1)&lt;=$AF486),ROUND($AG486,2),0))</f>
        <v/>
      </c>
      <c r="M486" s="18">
        <f>IF($Z486="","",IF(AND(DATE($AD486,4,1)&gt;=$AE486,DATE($AD486,4,1)&lt;=$AF486),ROUND($AG486,2),0))</f>
        <v/>
      </c>
      <c r="N486" s="18">
        <f>IF($Z486="","",IF(AND(DATE($AD486,5,1)&gt;=$AE486,DATE($AD486,5,1)&lt;=$AF486),ROUND($AG486,2),0))</f>
        <v/>
      </c>
      <c r="O486" s="18">
        <f>IF($Z486="","",IF(AND(DATE($AD486,6,1)&gt;=$AE486,DATE($AD486,6,1)&lt;=$AF486),ROUND($AG486,2),0))</f>
        <v/>
      </c>
      <c r="P486" s="18">
        <f>IF($Z486="","",IF(AND(DATE($AD486,7,1)&gt;=$AE486,DATE($AD486,7,1)&lt;=$AF486),ROUND($AG486,2),0))</f>
        <v/>
      </c>
      <c r="Q486" s="18">
        <f>IF($Z486="","",IF(AND(DATE($AD486,8,1)&gt;=$AE486,DATE($AD486,8,1)&lt;=$AF486),ROUND($AG486,2),0))</f>
        <v/>
      </c>
      <c r="R486" s="18">
        <f>IF($Z486="","",IF(AND(DATE($AD486,9,1)&gt;=$AE486,DATE($AD486,9,1)&lt;=$AF486),ROUND($AG486,2),0))</f>
        <v/>
      </c>
      <c r="S486" s="18">
        <f>IF($Z486="","",IF(AND(DATE($AD486,10,1)&gt;=$AE486,DATE($AD486,10,1)&lt;=$AF486),ROUND($AG486,2),0))</f>
        <v/>
      </c>
      <c r="T486" s="18">
        <f>IF($Z486="","",IF(AND(DATE($AD486,11,1)&gt;=$AE486,DATE($AD486,11,1)&lt;=$AF486),ROUND($AG486,2),0))</f>
        <v/>
      </c>
      <c r="U486" s="18">
        <f>IF($Z486="","",IF(AND(DATE($AD486,12,1)&gt;=$AE486,DATE($AD486,12,1)&lt;=$AF486),ROUND($AG486,2),0))</f>
        <v/>
      </c>
      <c r="V486" s="7">
        <f>IF($Z486="C","Generated from "&amp;INDEX(Contracts!$A$2:$A$151,$AB486),IF($Z486="A","Generated from "&amp;INDEX(Fixed_Assets!$A$2:$A$201,$AB486),IF($Z486="F","Generated from "&amp;INDEX(FTE_Allocation!$A$2:$A$201,$AB486),"")))</f>
        <v/>
      </c>
      <c r="X486" s="19">
        <f>IF($Z486="","",SUM(J486:U486))</f>
        <v/>
      </c>
      <c r="Y486" s="20">
        <f>ROW()-1</f>
        <v/>
      </c>
      <c r="Z486" s="20">
        <f>IF($Y486&lt;=Settings!$B$4*3,"C",IF($Y486&lt;=(Settings!$B$4+Settings!$B$5)*3,"A",IF($Y486&lt;=(Settings!$B$4+Settings!$B$5+Settings!$B$6)*3,"F","")))</f>
        <v/>
      </c>
      <c r="AA486" s="20">
        <f>IF($Z486="C",$Y486,IF($Z486="A",$Y486-Settings!$B$4*3,IF($Z486="F",$Y486-(Settings!$B$4+Settings!$B$5)*3,"")))</f>
        <v/>
      </c>
      <c r="AB486" s="20">
        <f>IF($Z486="","",INT(($AA486-1)/3)+1)</f>
        <v/>
      </c>
      <c r="AC486" s="20">
        <f>IF($Z486="","",MOD($AA486-1,3)+1)</f>
        <v/>
      </c>
      <c r="AD486" s="20">
        <f>IF($Z486="","",Settings!$B$2+$AC486-1)</f>
        <v/>
      </c>
      <c r="AE486" s="21">
        <f>IF($Z486="C",DATE(YEAR(INDEX(Contracts!$J$2:$J$151,$AB486)),MONTH(INDEX(Contracts!$J$2:$J$151,$AB486)),1),IF($Z486="A",DATE(YEAR(INDEX(Fixed_Assets!$G$2:$G$201,$AB486)),MONTH(INDEX(Fixed_Assets!$G$2:$G$201,$AB486)),1),IF($Z486="F",DATE(YEAR(MAX(N(INDEX(Workforce!$I$2:$I$151,MATCH(INDEX(FTE_Allocation!$A$2:$A$201,$AB486),Workforce!$A$2:$A$151,0))),N(INDEX(FTE_Allocation!$I$2:$I$201,$AB486)))),MONTH(MAX(N(INDEX(Workforce!$I$2:$I$151,MATCH(INDEX(FTE_Allocation!$A$2:$A$201,$AB486),Workforce!$A$2:$A$151,0))),N(INDEX(FTE_Allocation!$I$2:$I$201,$AB486)))),1),"")))</f>
        <v/>
      </c>
      <c r="AF486" s="21">
        <f>IF($Z486="C",IF(INDEX(Contracts!$I$2:$I$151,$AB486)="PREPAID",EDATE(DATE(YEAR(INDEX(Contracts!$J$2:$J$151,$AB486)),MONTH(INDEX(Contracts!$J$2:$J$151,$AB486)),1),IF(INDEX(Contracts!$N$2:$N$151,$AB486)="",12,INDEX(Contracts!$N$2:$N$151,$AB486))-1),IF(INDEX(Contracts!$I$2:$I$151,$AB486)="MONTHLY",IF(INDEX(Contracts!$K$2:$K$151,$AB486)="",2958101,INDEX(Contracts!$K$2:$K$151,$AB486)),0)),IF($Z486="A",EDATE(DATE(YEAR(INDEX(Fixed_Assets!$G$2:$G$201,$AB486)),MONTH(INDEX(Fixed_Assets!$G$2:$G$201,$AB486)),1),INDEX(Fixed_Assets!$J$2:$J$201,$AB486)-1),IF($Z486="F",MIN(IF(INDEX(Workforce!$J$2:$J$151,MATCH(INDEX(FTE_Allocation!$A$2:$A$201,$AB486),Workforce!$A$2:$A$151,0))="",2958101,INDEX(Workforce!$J$2:$J$151,MATCH(INDEX(FTE_Allocation!$A$2:$A$201,$AB486),Workforce!$A$2:$A$151,0))),IF(INDEX(FTE_Allocation!$J$2:$J$201,$AB486)="",2958101,INDEX(FTE_Allocation!$J$2:$J$201,$AB486))),"")))</f>
        <v/>
      </c>
      <c r="AG486" s="19">
        <f>IF($Z486="C",IF(INDEX(Contracts!$I$2:$I$151,$AB486)="PREPAID",INDEX(Contracts!$M$2:$M$151,$AB486)/IF(INDEX(Contracts!$N$2:$N$151,$AB486)="",12,INDEX(Contracts!$N$2:$N$151,$AB486)),IF(INDEX(Contracts!$I$2:$I$151,$AB486)="MONTHLY",INDEX(Contracts!$M$2:$M$151,$AB486),0))*(1-N(INDEX(Contracts!$O$2:$O$151,$AB486))),IF($Z486="A",INDEX(Fixed_Assets!$H$2:$H$201,$AB486)/INDEX(Fixed_Assets!$J$2:$J$201,$AB486),IF($Z486="F",INDEX(Workforce!$F$2:$F$151,MATCH(INDEX(FTE_Allocation!$A$2:$A$201,$AB486),Workforce!$A$2:$A$151,0))*N(INDEX(FTE_Allocation!$F$2:$H$201,$AB486,$AC486)),"")))</f>
        <v/>
      </c>
    </row>
    <row r="487">
      <c r="A487" s="7">
        <f>IF($Z487="","",$AD487)</f>
        <v/>
      </c>
      <c r="B487" s="7">
        <f>IF($Z487="C",INDEX(Contracts!$D$2:$D$151,$AB487)&amp;"",IF($Z487="A",INDEX(Fixed_Assets!$C$2:$C$201,$AB487)&amp;"",IF($Z487="F",INDEX(Workforce!$B$2:$B$151,MATCH(INDEX(FTE_Allocation!$A$2:$A$201,$AB487),Workforce!$A$2:$A$151,0))&amp;"","")))</f>
        <v/>
      </c>
      <c r="C487" s="7">
        <f>IF($Z487="C",INDEX(Contracts!$E$2:$E$151,$AB487)&amp;"",IF($Z487="A",INDEX(Fixed_Assets!$D$2:$D$201,$AB487)&amp;"",IF($Z487="F",INDEX(FTE_Allocation!$C$2:$C$201,$AB487)&amp;"","")))</f>
        <v/>
      </c>
      <c r="D487" s="7">
        <f>IF($Z487="C",INDEX(Contracts!$B$2:$B$151,$AB487)&amp;"",IF($Z487="A",INDEX(Fixed_Assets!$B$2:$B$201,$AB487)&amp;"",IF($Z487="F",INDEX(FTE_Allocation!$B$2:$B$201,$AB487)&amp;"","")))</f>
        <v/>
      </c>
      <c r="E487" s="7">
        <f>IF($Z487="C",INDEX(Contracts!$P$2:$P$151,$AB487)&amp;"",IF($Z487="A",INDEX(Fixed_Assets!$K$2:$K$201,$AB487)&amp;"",IF($Z487="F",IF(INDEX(FTE_Allocation!$D$2:$D$201,$AB487)="PROJECT",IFERROR(INDEX(Projects!$D:$D,MATCH(INDEX(FTE_Allocation!$E$2:$E$201,$AB487),Projects!$A:$A,0))&amp;"","#PROJECT?"),INDEX(FTE_Allocation!$E$2:$E$201,$AB487)&amp;""),"")))</f>
        <v/>
      </c>
      <c r="F487" s="7">
        <f>IF($Z487="C",INDEX(Contracts!$Q$2:$Q$151,$AB487)&amp;"",IF($Z487="A",INDEX(Fixed_Assets!$L$2:$L$201,$AB487)&amp;"",IF($Z487="F",INDEX(Workforce!$K$2:$K$151,MATCH(INDEX(FTE_Allocation!$A$2:$A$201,$AB487),Workforce!$A$2:$A$151,0))&amp;"","")))</f>
        <v/>
      </c>
      <c r="G487" s="7">
        <f>IF($Z487="C",INDEX(Contracts!$F$2:$F$151,$AB487)&amp;" / "&amp;INDEX(Contracts!$G$2:$G$151,$AB487),IF($Z487="A",INDEX(Fixed_Assets!$E$2:$E$201,$AB487)&amp;"",IF($Z487="F","Personnel "&amp;INDEX(FTE_Allocation!$A$2:$A$201,$AB487)&amp;IF(INDEX(FTE_Allocation!$D$2:$D$201,$AB487)="PROJECT"," ("&amp;INDEX(FTE_Allocation!$E$2:$E$201,$AB487)&amp;")",""),"")))</f>
        <v/>
      </c>
      <c r="H487" s="7">
        <f>IF($Z487="C","CONTRACT",IF($Z487="A","ASSET",IF($Z487="F","WORKFORCE","")))</f>
        <v/>
      </c>
      <c r="I487" s="7">
        <f>IF($Z487="C",INDEX(Contracts!$L$2:$L$151,$AB487)&amp;"",IF($Z487="A",INDEX(Fixed_Assets!$I$2:$I$201,$AB487)&amp;"",IF($Z487="F",INDEX(Workforce!$G$2:$G$151,MATCH(INDEX(FTE_Allocation!$A$2:$A$201,$AB487),Workforce!$A$2:$A$151,0))&amp;"","")))</f>
        <v/>
      </c>
      <c r="J487" s="18">
        <f>IF($Z487="","",IF(AND(DATE($AD487,1,1)&gt;=$AE487,DATE($AD487,1,1)&lt;=$AF487),ROUND($AG487,2),0))</f>
        <v/>
      </c>
      <c r="K487" s="18">
        <f>IF($Z487="","",IF(AND(DATE($AD487,2,1)&gt;=$AE487,DATE($AD487,2,1)&lt;=$AF487),ROUND($AG487,2),0))</f>
        <v/>
      </c>
      <c r="L487" s="18">
        <f>IF($Z487="","",IF(AND(DATE($AD487,3,1)&gt;=$AE487,DATE($AD487,3,1)&lt;=$AF487),ROUND($AG487,2),0))</f>
        <v/>
      </c>
      <c r="M487" s="18">
        <f>IF($Z487="","",IF(AND(DATE($AD487,4,1)&gt;=$AE487,DATE($AD487,4,1)&lt;=$AF487),ROUND($AG487,2),0))</f>
        <v/>
      </c>
      <c r="N487" s="18">
        <f>IF($Z487="","",IF(AND(DATE($AD487,5,1)&gt;=$AE487,DATE($AD487,5,1)&lt;=$AF487),ROUND($AG487,2),0))</f>
        <v/>
      </c>
      <c r="O487" s="18">
        <f>IF($Z487="","",IF(AND(DATE($AD487,6,1)&gt;=$AE487,DATE($AD487,6,1)&lt;=$AF487),ROUND($AG487,2),0))</f>
        <v/>
      </c>
      <c r="P487" s="18">
        <f>IF($Z487="","",IF(AND(DATE($AD487,7,1)&gt;=$AE487,DATE($AD487,7,1)&lt;=$AF487),ROUND($AG487,2),0))</f>
        <v/>
      </c>
      <c r="Q487" s="18">
        <f>IF($Z487="","",IF(AND(DATE($AD487,8,1)&gt;=$AE487,DATE($AD487,8,1)&lt;=$AF487),ROUND($AG487,2),0))</f>
        <v/>
      </c>
      <c r="R487" s="18">
        <f>IF($Z487="","",IF(AND(DATE($AD487,9,1)&gt;=$AE487,DATE($AD487,9,1)&lt;=$AF487),ROUND($AG487,2),0))</f>
        <v/>
      </c>
      <c r="S487" s="18">
        <f>IF($Z487="","",IF(AND(DATE($AD487,10,1)&gt;=$AE487,DATE($AD487,10,1)&lt;=$AF487),ROUND($AG487,2),0))</f>
        <v/>
      </c>
      <c r="T487" s="18">
        <f>IF($Z487="","",IF(AND(DATE($AD487,11,1)&gt;=$AE487,DATE($AD487,11,1)&lt;=$AF487),ROUND($AG487,2),0))</f>
        <v/>
      </c>
      <c r="U487" s="18">
        <f>IF($Z487="","",IF(AND(DATE($AD487,12,1)&gt;=$AE487,DATE($AD487,12,1)&lt;=$AF487),ROUND($AG487,2),0))</f>
        <v/>
      </c>
      <c r="V487" s="7">
        <f>IF($Z487="C","Generated from "&amp;INDEX(Contracts!$A$2:$A$151,$AB487),IF($Z487="A","Generated from "&amp;INDEX(Fixed_Assets!$A$2:$A$201,$AB487),IF($Z487="F","Generated from "&amp;INDEX(FTE_Allocation!$A$2:$A$201,$AB487),"")))</f>
        <v/>
      </c>
      <c r="X487" s="19">
        <f>IF($Z487="","",SUM(J487:U487))</f>
        <v/>
      </c>
      <c r="Y487" s="20">
        <f>ROW()-1</f>
        <v/>
      </c>
      <c r="Z487" s="20">
        <f>IF($Y487&lt;=Settings!$B$4*3,"C",IF($Y487&lt;=(Settings!$B$4+Settings!$B$5)*3,"A",IF($Y487&lt;=(Settings!$B$4+Settings!$B$5+Settings!$B$6)*3,"F","")))</f>
        <v/>
      </c>
      <c r="AA487" s="20">
        <f>IF($Z487="C",$Y487,IF($Z487="A",$Y487-Settings!$B$4*3,IF($Z487="F",$Y487-(Settings!$B$4+Settings!$B$5)*3,"")))</f>
        <v/>
      </c>
      <c r="AB487" s="20">
        <f>IF($Z487="","",INT(($AA487-1)/3)+1)</f>
        <v/>
      </c>
      <c r="AC487" s="20">
        <f>IF($Z487="","",MOD($AA487-1,3)+1)</f>
        <v/>
      </c>
      <c r="AD487" s="20">
        <f>IF($Z487="","",Settings!$B$2+$AC487-1)</f>
        <v/>
      </c>
      <c r="AE487" s="21">
        <f>IF($Z487="C",DATE(YEAR(INDEX(Contracts!$J$2:$J$151,$AB487)),MONTH(INDEX(Contracts!$J$2:$J$151,$AB487)),1),IF($Z487="A",DATE(YEAR(INDEX(Fixed_Assets!$G$2:$G$201,$AB487)),MONTH(INDEX(Fixed_Assets!$G$2:$G$201,$AB487)),1),IF($Z487="F",DATE(YEAR(MAX(N(INDEX(Workforce!$I$2:$I$151,MATCH(INDEX(FTE_Allocation!$A$2:$A$201,$AB487),Workforce!$A$2:$A$151,0))),N(INDEX(FTE_Allocation!$I$2:$I$201,$AB487)))),MONTH(MAX(N(INDEX(Workforce!$I$2:$I$151,MATCH(INDEX(FTE_Allocation!$A$2:$A$201,$AB487),Workforce!$A$2:$A$151,0))),N(INDEX(FTE_Allocation!$I$2:$I$201,$AB487)))),1),"")))</f>
        <v/>
      </c>
      <c r="AF487" s="21">
        <f>IF($Z487="C",IF(INDEX(Contracts!$I$2:$I$151,$AB487)="PREPAID",EDATE(DATE(YEAR(INDEX(Contracts!$J$2:$J$151,$AB487)),MONTH(INDEX(Contracts!$J$2:$J$151,$AB487)),1),IF(INDEX(Contracts!$N$2:$N$151,$AB487)="",12,INDEX(Contracts!$N$2:$N$151,$AB487))-1),IF(INDEX(Contracts!$I$2:$I$151,$AB487)="MONTHLY",IF(INDEX(Contracts!$K$2:$K$151,$AB487)="",2958101,INDEX(Contracts!$K$2:$K$151,$AB487)),0)),IF($Z487="A",EDATE(DATE(YEAR(INDEX(Fixed_Assets!$G$2:$G$201,$AB487)),MONTH(INDEX(Fixed_Assets!$G$2:$G$201,$AB487)),1),INDEX(Fixed_Assets!$J$2:$J$201,$AB487)-1),IF($Z487="F",MIN(IF(INDEX(Workforce!$J$2:$J$151,MATCH(INDEX(FTE_Allocation!$A$2:$A$201,$AB487),Workforce!$A$2:$A$151,0))="",2958101,INDEX(Workforce!$J$2:$J$151,MATCH(INDEX(FTE_Allocation!$A$2:$A$201,$AB487),Workforce!$A$2:$A$151,0))),IF(INDEX(FTE_Allocation!$J$2:$J$201,$AB487)="",2958101,INDEX(FTE_Allocation!$J$2:$J$201,$AB487))),"")))</f>
        <v/>
      </c>
      <c r="AG487" s="19">
        <f>IF($Z487="C",IF(INDEX(Contracts!$I$2:$I$151,$AB487)="PREPAID",INDEX(Contracts!$M$2:$M$151,$AB487)/IF(INDEX(Contracts!$N$2:$N$151,$AB487)="",12,INDEX(Contracts!$N$2:$N$151,$AB487)),IF(INDEX(Contracts!$I$2:$I$151,$AB487)="MONTHLY",INDEX(Contracts!$M$2:$M$151,$AB487),0))*(1-N(INDEX(Contracts!$O$2:$O$151,$AB487))),IF($Z487="A",INDEX(Fixed_Assets!$H$2:$H$201,$AB487)/INDEX(Fixed_Assets!$J$2:$J$201,$AB487),IF($Z487="F",INDEX(Workforce!$F$2:$F$151,MATCH(INDEX(FTE_Allocation!$A$2:$A$201,$AB487),Workforce!$A$2:$A$151,0))*N(INDEX(FTE_Allocation!$F$2:$H$201,$AB487,$AC487)),"")))</f>
        <v/>
      </c>
    </row>
    <row r="488">
      <c r="A488" s="7">
        <f>IF($Z488="","",$AD488)</f>
        <v/>
      </c>
      <c r="B488" s="7">
        <f>IF($Z488="C",INDEX(Contracts!$D$2:$D$151,$AB488)&amp;"",IF($Z488="A",INDEX(Fixed_Assets!$C$2:$C$201,$AB488)&amp;"",IF($Z488="F",INDEX(Workforce!$B$2:$B$151,MATCH(INDEX(FTE_Allocation!$A$2:$A$201,$AB488),Workforce!$A$2:$A$151,0))&amp;"","")))</f>
        <v/>
      </c>
      <c r="C488" s="7">
        <f>IF($Z488="C",INDEX(Contracts!$E$2:$E$151,$AB488)&amp;"",IF($Z488="A",INDEX(Fixed_Assets!$D$2:$D$201,$AB488)&amp;"",IF($Z488="F",INDEX(FTE_Allocation!$C$2:$C$201,$AB488)&amp;"","")))</f>
        <v/>
      </c>
      <c r="D488" s="7">
        <f>IF($Z488="C",INDEX(Contracts!$B$2:$B$151,$AB488)&amp;"",IF($Z488="A",INDEX(Fixed_Assets!$B$2:$B$201,$AB488)&amp;"",IF($Z488="F",INDEX(FTE_Allocation!$B$2:$B$201,$AB488)&amp;"","")))</f>
        <v/>
      </c>
      <c r="E488" s="7">
        <f>IF($Z488="C",INDEX(Contracts!$P$2:$P$151,$AB488)&amp;"",IF($Z488="A",INDEX(Fixed_Assets!$K$2:$K$201,$AB488)&amp;"",IF($Z488="F",IF(INDEX(FTE_Allocation!$D$2:$D$201,$AB488)="PROJECT",IFERROR(INDEX(Projects!$D:$D,MATCH(INDEX(FTE_Allocation!$E$2:$E$201,$AB488),Projects!$A:$A,0))&amp;"","#PROJECT?"),INDEX(FTE_Allocation!$E$2:$E$201,$AB488)&amp;""),"")))</f>
        <v/>
      </c>
      <c r="F488" s="7">
        <f>IF($Z488="C",INDEX(Contracts!$Q$2:$Q$151,$AB488)&amp;"",IF($Z488="A",INDEX(Fixed_Assets!$L$2:$L$201,$AB488)&amp;"",IF($Z488="F",INDEX(Workforce!$K$2:$K$151,MATCH(INDEX(FTE_Allocation!$A$2:$A$201,$AB488),Workforce!$A$2:$A$151,0))&amp;"","")))</f>
        <v/>
      </c>
      <c r="G488" s="7">
        <f>IF($Z488="C",INDEX(Contracts!$F$2:$F$151,$AB488)&amp;" / "&amp;INDEX(Contracts!$G$2:$G$151,$AB488),IF($Z488="A",INDEX(Fixed_Assets!$E$2:$E$201,$AB488)&amp;"",IF($Z488="F","Personnel "&amp;INDEX(FTE_Allocation!$A$2:$A$201,$AB488)&amp;IF(INDEX(FTE_Allocation!$D$2:$D$201,$AB488)="PROJECT"," ("&amp;INDEX(FTE_Allocation!$E$2:$E$201,$AB488)&amp;")",""),"")))</f>
        <v/>
      </c>
      <c r="H488" s="7">
        <f>IF($Z488="C","CONTRACT",IF($Z488="A","ASSET",IF($Z488="F","WORKFORCE","")))</f>
        <v/>
      </c>
      <c r="I488" s="7">
        <f>IF($Z488="C",INDEX(Contracts!$L$2:$L$151,$AB488)&amp;"",IF($Z488="A",INDEX(Fixed_Assets!$I$2:$I$201,$AB488)&amp;"",IF($Z488="F",INDEX(Workforce!$G$2:$G$151,MATCH(INDEX(FTE_Allocation!$A$2:$A$201,$AB488),Workforce!$A$2:$A$151,0))&amp;"","")))</f>
        <v/>
      </c>
      <c r="J488" s="18">
        <f>IF($Z488="","",IF(AND(DATE($AD488,1,1)&gt;=$AE488,DATE($AD488,1,1)&lt;=$AF488),ROUND($AG488,2),0))</f>
        <v/>
      </c>
      <c r="K488" s="18">
        <f>IF($Z488="","",IF(AND(DATE($AD488,2,1)&gt;=$AE488,DATE($AD488,2,1)&lt;=$AF488),ROUND($AG488,2),0))</f>
        <v/>
      </c>
      <c r="L488" s="18">
        <f>IF($Z488="","",IF(AND(DATE($AD488,3,1)&gt;=$AE488,DATE($AD488,3,1)&lt;=$AF488),ROUND($AG488,2),0))</f>
        <v/>
      </c>
      <c r="M488" s="18">
        <f>IF($Z488="","",IF(AND(DATE($AD488,4,1)&gt;=$AE488,DATE($AD488,4,1)&lt;=$AF488),ROUND($AG488,2),0))</f>
        <v/>
      </c>
      <c r="N488" s="18">
        <f>IF($Z488="","",IF(AND(DATE($AD488,5,1)&gt;=$AE488,DATE($AD488,5,1)&lt;=$AF488),ROUND($AG488,2),0))</f>
        <v/>
      </c>
      <c r="O488" s="18">
        <f>IF($Z488="","",IF(AND(DATE($AD488,6,1)&gt;=$AE488,DATE($AD488,6,1)&lt;=$AF488),ROUND($AG488,2),0))</f>
        <v/>
      </c>
      <c r="P488" s="18">
        <f>IF($Z488="","",IF(AND(DATE($AD488,7,1)&gt;=$AE488,DATE($AD488,7,1)&lt;=$AF488),ROUND($AG488,2),0))</f>
        <v/>
      </c>
      <c r="Q488" s="18">
        <f>IF($Z488="","",IF(AND(DATE($AD488,8,1)&gt;=$AE488,DATE($AD488,8,1)&lt;=$AF488),ROUND($AG488,2),0))</f>
        <v/>
      </c>
      <c r="R488" s="18">
        <f>IF($Z488="","",IF(AND(DATE($AD488,9,1)&gt;=$AE488,DATE($AD488,9,1)&lt;=$AF488),ROUND($AG488,2),0))</f>
        <v/>
      </c>
      <c r="S488" s="18">
        <f>IF($Z488="","",IF(AND(DATE($AD488,10,1)&gt;=$AE488,DATE($AD488,10,1)&lt;=$AF488),ROUND($AG488,2),0))</f>
        <v/>
      </c>
      <c r="T488" s="18">
        <f>IF($Z488="","",IF(AND(DATE($AD488,11,1)&gt;=$AE488,DATE($AD488,11,1)&lt;=$AF488),ROUND($AG488,2),0))</f>
        <v/>
      </c>
      <c r="U488" s="18">
        <f>IF($Z488="","",IF(AND(DATE($AD488,12,1)&gt;=$AE488,DATE($AD488,12,1)&lt;=$AF488),ROUND($AG488,2),0))</f>
        <v/>
      </c>
      <c r="V488" s="7">
        <f>IF($Z488="C","Generated from "&amp;INDEX(Contracts!$A$2:$A$151,$AB488),IF($Z488="A","Generated from "&amp;INDEX(Fixed_Assets!$A$2:$A$201,$AB488),IF($Z488="F","Generated from "&amp;INDEX(FTE_Allocation!$A$2:$A$201,$AB488),"")))</f>
        <v/>
      </c>
      <c r="X488" s="19">
        <f>IF($Z488="","",SUM(J488:U488))</f>
        <v/>
      </c>
      <c r="Y488" s="20">
        <f>ROW()-1</f>
        <v/>
      </c>
      <c r="Z488" s="20">
        <f>IF($Y488&lt;=Settings!$B$4*3,"C",IF($Y488&lt;=(Settings!$B$4+Settings!$B$5)*3,"A",IF($Y488&lt;=(Settings!$B$4+Settings!$B$5+Settings!$B$6)*3,"F","")))</f>
        <v/>
      </c>
      <c r="AA488" s="20">
        <f>IF($Z488="C",$Y488,IF($Z488="A",$Y488-Settings!$B$4*3,IF($Z488="F",$Y488-(Settings!$B$4+Settings!$B$5)*3,"")))</f>
        <v/>
      </c>
      <c r="AB488" s="20">
        <f>IF($Z488="","",INT(($AA488-1)/3)+1)</f>
        <v/>
      </c>
      <c r="AC488" s="20">
        <f>IF($Z488="","",MOD($AA488-1,3)+1)</f>
        <v/>
      </c>
      <c r="AD488" s="20">
        <f>IF($Z488="","",Settings!$B$2+$AC488-1)</f>
        <v/>
      </c>
      <c r="AE488" s="21">
        <f>IF($Z488="C",DATE(YEAR(INDEX(Contracts!$J$2:$J$151,$AB488)),MONTH(INDEX(Contracts!$J$2:$J$151,$AB488)),1),IF($Z488="A",DATE(YEAR(INDEX(Fixed_Assets!$G$2:$G$201,$AB488)),MONTH(INDEX(Fixed_Assets!$G$2:$G$201,$AB488)),1),IF($Z488="F",DATE(YEAR(MAX(N(INDEX(Workforce!$I$2:$I$151,MATCH(INDEX(FTE_Allocation!$A$2:$A$201,$AB488),Workforce!$A$2:$A$151,0))),N(INDEX(FTE_Allocation!$I$2:$I$201,$AB488)))),MONTH(MAX(N(INDEX(Workforce!$I$2:$I$151,MATCH(INDEX(FTE_Allocation!$A$2:$A$201,$AB488),Workforce!$A$2:$A$151,0))),N(INDEX(FTE_Allocation!$I$2:$I$201,$AB488)))),1),"")))</f>
        <v/>
      </c>
      <c r="AF488" s="21">
        <f>IF($Z488="C",IF(INDEX(Contracts!$I$2:$I$151,$AB488)="PREPAID",EDATE(DATE(YEAR(INDEX(Contracts!$J$2:$J$151,$AB488)),MONTH(INDEX(Contracts!$J$2:$J$151,$AB488)),1),IF(INDEX(Contracts!$N$2:$N$151,$AB488)="",12,INDEX(Contracts!$N$2:$N$151,$AB488))-1),IF(INDEX(Contracts!$I$2:$I$151,$AB488)="MONTHLY",IF(INDEX(Contracts!$K$2:$K$151,$AB488)="",2958101,INDEX(Contracts!$K$2:$K$151,$AB488)),0)),IF($Z488="A",EDATE(DATE(YEAR(INDEX(Fixed_Assets!$G$2:$G$201,$AB488)),MONTH(INDEX(Fixed_Assets!$G$2:$G$201,$AB488)),1),INDEX(Fixed_Assets!$J$2:$J$201,$AB488)-1),IF($Z488="F",MIN(IF(INDEX(Workforce!$J$2:$J$151,MATCH(INDEX(FTE_Allocation!$A$2:$A$201,$AB488),Workforce!$A$2:$A$151,0))="",2958101,INDEX(Workforce!$J$2:$J$151,MATCH(INDEX(FTE_Allocation!$A$2:$A$201,$AB488),Workforce!$A$2:$A$151,0))),IF(INDEX(FTE_Allocation!$J$2:$J$201,$AB488)="",2958101,INDEX(FTE_Allocation!$J$2:$J$201,$AB488))),"")))</f>
        <v/>
      </c>
      <c r="AG488" s="19">
        <f>IF($Z488="C",IF(INDEX(Contracts!$I$2:$I$151,$AB488)="PREPAID",INDEX(Contracts!$M$2:$M$151,$AB488)/IF(INDEX(Contracts!$N$2:$N$151,$AB488)="",12,INDEX(Contracts!$N$2:$N$151,$AB488)),IF(INDEX(Contracts!$I$2:$I$151,$AB488)="MONTHLY",INDEX(Contracts!$M$2:$M$151,$AB488),0))*(1-N(INDEX(Contracts!$O$2:$O$151,$AB488))),IF($Z488="A",INDEX(Fixed_Assets!$H$2:$H$201,$AB488)/INDEX(Fixed_Assets!$J$2:$J$201,$AB488),IF($Z488="F",INDEX(Workforce!$F$2:$F$151,MATCH(INDEX(FTE_Allocation!$A$2:$A$201,$AB488),Workforce!$A$2:$A$151,0))*N(INDEX(FTE_Allocation!$F$2:$H$201,$AB488,$AC488)),"")))</f>
        <v/>
      </c>
    </row>
    <row r="489">
      <c r="A489" s="7">
        <f>IF($Z489="","",$AD489)</f>
        <v/>
      </c>
      <c r="B489" s="7">
        <f>IF($Z489="C",INDEX(Contracts!$D$2:$D$151,$AB489)&amp;"",IF($Z489="A",INDEX(Fixed_Assets!$C$2:$C$201,$AB489)&amp;"",IF($Z489="F",INDEX(Workforce!$B$2:$B$151,MATCH(INDEX(FTE_Allocation!$A$2:$A$201,$AB489),Workforce!$A$2:$A$151,0))&amp;"","")))</f>
        <v/>
      </c>
      <c r="C489" s="7">
        <f>IF($Z489="C",INDEX(Contracts!$E$2:$E$151,$AB489)&amp;"",IF($Z489="A",INDEX(Fixed_Assets!$D$2:$D$201,$AB489)&amp;"",IF($Z489="F",INDEX(FTE_Allocation!$C$2:$C$201,$AB489)&amp;"","")))</f>
        <v/>
      </c>
      <c r="D489" s="7">
        <f>IF($Z489="C",INDEX(Contracts!$B$2:$B$151,$AB489)&amp;"",IF($Z489="A",INDEX(Fixed_Assets!$B$2:$B$201,$AB489)&amp;"",IF($Z489="F",INDEX(FTE_Allocation!$B$2:$B$201,$AB489)&amp;"","")))</f>
        <v/>
      </c>
      <c r="E489" s="7">
        <f>IF($Z489="C",INDEX(Contracts!$P$2:$P$151,$AB489)&amp;"",IF($Z489="A",INDEX(Fixed_Assets!$K$2:$K$201,$AB489)&amp;"",IF($Z489="F",IF(INDEX(FTE_Allocation!$D$2:$D$201,$AB489)="PROJECT",IFERROR(INDEX(Projects!$D:$D,MATCH(INDEX(FTE_Allocation!$E$2:$E$201,$AB489),Projects!$A:$A,0))&amp;"","#PROJECT?"),INDEX(FTE_Allocation!$E$2:$E$201,$AB489)&amp;""),"")))</f>
        <v/>
      </c>
      <c r="F489" s="7">
        <f>IF($Z489="C",INDEX(Contracts!$Q$2:$Q$151,$AB489)&amp;"",IF($Z489="A",INDEX(Fixed_Assets!$L$2:$L$201,$AB489)&amp;"",IF($Z489="F",INDEX(Workforce!$K$2:$K$151,MATCH(INDEX(FTE_Allocation!$A$2:$A$201,$AB489),Workforce!$A$2:$A$151,0))&amp;"","")))</f>
        <v/>
      </c>
      <c r="G489" s="7">
        <f>IF($Z489="C",INDEX(Contracts!$F$2:$F$151,$AB489)&amp;" / "&amp;INDEX(Contracts!$G$2:$G$151,$AB489),IF($Z489="A",INDEX(Fixed_Assets!$E$2:$E$201,$AB489)&amp;"",IF($Z489="F","Personnel "&amp;INDEX(FTE_Allocation!$A$2:$A$201,$AB489)&amp;IF(INDEX(FTE_Allocation!$D$2:$D$201,$AB489)="PROJECT"," ("&amp;INDEX(FTE_Allocation!$E$2:$E$201,$AB489)&amp;")",""),"")))</f>
        <v/>
      </c>
      <c r="H489" s="7">
        <f>IF($Z489="C","CONTRACT",IF($Z489="A","ASSET",IF($Z489="F","WORKFORCE","")))</f>
        <v/>
      </c>
      <c r="I489" s="7">
        <f>IF($Z489="C",INDEX(Contracts!$L$2:$L$151,$AB489)&amp;"",IF($Z489="A",INDEX(Fixed_Assets!$I$2:$I$201,$AB489)&amp;"",IF($Z489="F",INDEX(Workforce!$G$2:$G$151,MATCH(INDEX(FTE_Allocation!$A$2:$A$201,$AB489),Workforce!$A$2:$A$151,0))&amp;"","")))</f>
        <v/>
      </c>
      <c r="J489" s="18">
        <f>IF($Z489="","",IF(AND(DATE($AD489,1,1)&gt;=$AE489,DATE($AD489,1,1)&lt;=$AF489),ROUND($AG489,2),0))</f>
        <v/>
      </c>
      <c r="K489" s="18">
        <f>IF($Z489="","",IF(AND(DATE($AD489,2,1)&gt;=$AE489,DATE($AD489,2,1)&lt;=$AF489),ROUND($AG489,2),0))</f>
        <v/>
      </c>
      <c r="L489" s="18">
        <f>IF($Z489="","",IF(AND(DATE($AD489,3,1)&gt;=$AE489,DATE($AD489,3,1)&lt;=$AF489),ROUND($AG489,2),0))</f>
        <v/>
      </c>
      <c r="M489" s="18">
        <f>IF($Z489="","",IF(AND(DATE($AD489,4,1)&gt;=$AE489,DATE($AD489,4,1)&lt;=$AF489),ROUND($AG489,2),0))</f>
        <v/>
      </c>
      <c r="N489" s="18">
        <f>IF($Z489="","",IF(AND(DATE($AD489,5,1)&gt;=$AE489,DATE($AD489,5,1)&lt;=$AF489),ROUND($AG489,2),0))</f>
        <v/>
      </c>
      <c r="O489" s="18">
        <f>IF($Z489="","",IF(AND(DATE($AD489,6,1)&gt;=$AE489,DATE($AD489,6,1)&lt;=$AF489),ROUND($AG489,2),0))</f>
        <v/>
      </c>
      <c r="P489" s="18">
        <f>IF($Z489="","",IF(AND(DATE($AD489,7,1)&gt;=$AE489,DATE($AD489,7,1)&lt;=$AF489),ROUND($AG489,2),0))</f>
        <v/>
      </c>
      <c r="Q489" s="18">
        <f>IF($Z489="","",IF(AND(DATE($AD489,8,1)&gt;=$AE489,DATE($AD489,8,1)&lt;=$AF489),ROUND($AG489,2),0))</f>
        <v/>
      </c>
      <c r="R489" s="18">
        <f>IF($Z489="","",IF(AND(DATE($AD489,9,1)&gt;=$AE489,DATE($AD489,9,1)&lt;=$AF489),ROUND($AG489,2),0))</f>
        <v/>
      </c>
      <c r="S489" s="18">
        <f>IF($Z489="","",IF(AND(DATE($AD489,10,1)&gt;=$AE489,DATE($AD489,10,1)&lt;=$AF489),ROUND($AG489,2),0))</f>
        <v/>
      </c>
      <c r="T489" s="18">
        <f>IF($Z489="","",IF(AND(DATE($AD489,11,1)&gt;=$AE489,DATE($AD489,11,1)&lt;=$AF489),ROUND($AG489,2),0))</f>
        <v/>
      </c>
      <c r="U489" s="18">
        <f>IF($Z489="","",IF(AND(DATE($AD489,12,1)&gt;=$AE489,DATE($AD489,12,1)&lt;=$AF489),ROUND($AG489,2),0))</f>
        <v/>
      </c>
      <c r="V489" s="7">
        <f>IF($Z489="C","Generated from "&amp;INDEX(Contracts!$A$2:$A$151,$AB489),IF($Z489="A","Generated from "&amp;INDEX(Fixed_Assets!$A$2:$A$201,$AB489),IF($Z489="F","Generated from "&amp;INDEX(FTE_Allocation!$A$2:$A$201,$AB489),"")))</f>
        <v/>
      </c>
      <c r="X489" s="19">
        <f>IF($Z489="","",SUM(J489:U489))</f>
        <v/>
      </c>
      <c r="Y489" s="20">
        <f>ROW()-1</f>
        <v/>
      </c>
      <c r="Z489" s="20">
        <f>IF($Y489&lt;=Settings!$B$4*3,"C",IF($Y489&lt;=(Settings!$B$4+Settings!$B$5)*3,"A",IF($Y489&lt;=(Settings!$B$4+Settings!$B$5+Settings!$B$6)*3,"F","")))</f>
        <v/>
      </c>
      <c r="AA489" s="20">
        <f>IF($Z489="C",$Y489,IF($Z489="A",$Y489-Settings!$B$4*3,IF($Z489="F",$Y489-(Settings!$B$4+Settings!$B$5)*3,"")))</f>
        <v/>
      </c>
      <c r="AB489" s="20">
        <f>IF($Z489="","",INT(($AA489-1)/3)+1)</f>
        <v/>
      </c>
      <c r="AC489" s="20">
        <f>IF($Z489="","",MOD($AA489-1,3)+1)</f>
        <v/>
      </c>
      <c r="AD489" s="20">
        <f>IF($Z489="","",Settings!$B$2+$AC489-1)</f>
        <v/>
      </c>
      <c r="AE489" s="21">
        <f>IF($Z489="C",DATE(YEAR(INDEX(Contracts!$J$2:$J$151,$AB489)),MONTH(INDEX(Contracts!$J$2:$J$151,$AB489)),1),IF($Z489="A",DATE(YEAR(INDEX(Fixed_Assets!$G$2:$G$201,$AB489)),MONTH(INDEX(Fixed_Assets!$G$2:$G$201,$AB489)),1),IF($Z489="F",DATE(YEAR(MAX(N(INDEX(Workforce!$I$2:$I$151,MATCH(INDEX(FTE_Allocation!$A$2:$A$201,$AB489),Workforce!$A$2:$A$151,0))),N(INDEX(FTE_Allocation!$I$2:$I$201,$AB489)))),MONTH(MAX(N(INDEX(Workforce!$I$2:$I$151,MATCH(INDEX(FTE_Allocation!$A$2:$A$201,$AB489),Workforce!$A$2:$A$151,0))),N(INDEX(FTE_Allocation!$I$2:$I$201,$AB489)))),1),"")))</f>
        <v/>
      </c>
      <c r="AF489" s="21">
        <f>IF($Z489="C",IF(INDEX(Contracts!$I$2:$I$151,$AB489)="PREPAID",EDATE(DATE(YEAR(INDEX(Contracts!$J$2:$J$151,$AB489)),MONTH(INDEX(Contracts!$J$2:$J$151,$AB489)),1),IF(INDEX(Contracts!$N$2:$N$151,$AB489)="",12,INDEX(Contracts!$N$2:$N$151,$AB489))-1),IF(INDEX(Contracts!$I$2:$I$151,$AB489)="MONTHLY",IF(INDEX(Contracts!$K$2:$K$151,$AB489)="",2958101,INDEX(Contracts!$K$2:$K$151,$AB489)),0)),IF($Z489="A",EDATE(DATE(YEAR(INDEX(Fixed_Assets!$G$2:$G$201,$AB489)),MONTH(INDEX(Fixed_Assets!$G$2:$G$201,$AB489)),1),INDEX(Fixed_Assets!$J$2:$J$201,$AB489)-1),IF($Z489="F",MIN(IF(INDEX(Workforce!$J$2:$J$151,MATCH(INDEX(FTE_Allocation!$A$2:$A$201,$AB489),Workforce!$A$2:$A$151,0))="",2958101,INDEX(Workforce!$J$2:$J$151,MATCH(INDEX(FTE_Allocation!$A$2:$A$201,$AB489),Workforce!$A$2:$A$151,0))),IF(INDEX(FTE_Allocation!$J$2:$J$201,$AB489)="",2958101,INDEX(FTE_Allocation!$J$2:$J$201,$AB489))),"")))</f>
        <v/>
      </c>
      <c r="AG489" s="19">
        <f>IF($Z489="C",IF(INDEX(Contracts!$I$2:$I$151,$AB489)="PREPAID",INDEX(Contracts!$M$2:$M$151,$AB489)/IF(INDEX(Contracts!$N$2:$N$151,$AB489)="",12,INDEX(Contracts!$N$2:$N$151,$AB489)),IF(INDEX(Contracts!$I$2:$I$151,$AB489)="MONTHLY",INDEX(Contracts!$M$2:$M$151,$AB489),0))*(1-N(INDEX(Contracts!$O$2:$O$151,$AB489))),IF($Z489="A",INDEX(Fixed_Assets!$H$2:$H$201,$AB489)/INDEX(Fixed_Assets!$J$2:$J$201,$AB489),IF($Z489="F",INDEX(Workforce!$F$2:$F$151,MATCH(INDEX(FTE_Allocation!$A$2:$A$201,$AB489),Workforce!$A$2:$A$151,0))*N(INDEX(FTE_Allocation!$F$2:$H$201,$AB489,$AC489)),"")))</f>
        <v/>
      </c>
    </row>
    <row r="490">
      <c r="A490" s="7">
        <f>IF($Z490="","",$AD490)</f>
        <v/>
      </c>
      <c r="B490" s="7">
        <f>IF($Z490="C",INDEX(Contracts!$D$2:$D$151,$AB490)&amp;"",IF($Z490="A",INDEX(Fixed_Assets!$C$2:$C$201,$AB490)&amp;"",IF($Z490="F",INDEX(Workforce!$B$2:$B$151,MATCH(INDEX(FTE_Allocation!$A$2:$A$201,$AB490),Workforce!$A$2:$A$151,0))&amp;"","")))</f>
        <v/>
      </c>
      <c r="C490" s="7">
        <f>IF($Z490="C",INDEX(Contracts!$E$2:$E$151,$AB490)&amp;"",IF($Z490="A",INDEX(Fixed_Assets!$D$2:$D$201,$AB490)&amp;"",IF($Z490="F",INDEX(FTE_Allocation!$C$2:$C$201,$AB490)&amp;"","")))</f>
        <v/>
      </c>
      <c r="D490" s="7">
        <f>IF($Z490="C",INDEX(Contracts!$B$2:$B$151,$AB490)&amp;"",IF($Z490="A",INDEX(Fixed_Assets!$B$2:$B$201,$AB490)&amp;"",IF($Z490="F",INDEX(FTE_Allocation!$B$2:$B$201,$AB490)&amp;"","")))</f>
        <v/>
      </c>
      <c r="E490" s="7">
        <f>IF($Z490="C",INDEX(Contracts!$P$2:$P$151,$AB490)&amp;"",IF($Z490="A",INDEX(Fixed_Assets!$K$2:$K$201,$AB490)&amp;"",IF($Z490="F",IF(INDEX(FTE_Allocation!$D$2:$D$201,$AB490)="PROJECT",IFERROR(INDEX(Projects!$D:$D,MATCH(INDEX(FTE_Allocation!$E$2:$E$201,$AB490),Projects!$A:$A,0))&amp;"","#PROJECT?"),INDEX(FTE_Allocation!$E$2:$E$201,$AB490)&amp;""),"")))</f>
        <v/>
      </c>
      <c r="F490" s="7">
        <f>IF($Z490="C",INDEX(Contracts!$Q$2:$Q$151,$AB490)&amp;"",IF($Z490="A",INDEX(Fixed_Assets!$L$2:$L$201,$AB490)&amp;"",IF($Z490="F",INDEX(Workforce!$K$2:$K$151,MATCH(INDEX(FTE_Allocation!$A$2:$A$201,$AB490),Workforce!$A$2:$A$151,0))&amp;"","")))</f>
        <v/>
      </c>
      <c r="G490" s="7">
        <f>IF($Z490="C",INDEX(Contracts!$F$2:$F$151,$AB490)&amp;" / "&amp;INDEX(Contracts!$G$2:$G$151,$AB490),IF($Z490="A",INDEX(Fixed_Assets!$E$2:$E$201,$AB490)&amp;"",IF($Z490="F","Personnel "&amp;INDEX(FTE_Allocation!$A$2:$A$201,$AB490)&amp;IF(INDEX(FTE_Allocation!$D$2:$D$201,$AB490)="PROJECT"," ("&amp;INDEX(FTE_Allocation!$E$2:$E$201,$AB490)&amp;")",""),"")))</f>
        <v/>
      </c>
      <c r="H490" s="7">
        <f>IF($Z490="C","CONTRACT",IF($Z490="A","ASSET",IF($Z490="F","WORKFORCE","")))</f>
        <v/>
      </c>
      <c r="I490" s="7">
        <f>IF($Z490="C",INDEX(Contracts!$L$2:$L$151,$AB490)&amp;"",IF($Z490="A",INDEX(Fixed_Assets!$I$2:$I$201,$AB490)&amp;"",IF($Z490="F",INDEX(Workforce!$G$2:$G$151,MATCH(INDEX(FTE_Allocation!$A$2:$A$201,$AB490),Workforce!$A$2:$A$151,0))&amp;"","")))</f>
        <v/>
      </c>
      <c r="J490" s="18">
        <f>IF($Z490="","",IF(AND(DATE($AD490,1,1)&gt;=$AE490,DATE($AD490,1,1)&lt;=$AF490),ROUND($AG490,2),0))</f>
        <v/>
      </c>
      <c r="K490" s="18">
        <f>IF($Z490="","",IF(AND(DATE($AD490,2,1)&gt;=$AE490,DATE($AD490,2,1)&lt;=$AF490),ROUND($AG490,2),0))</f>
        <v/>
      </c>
      <c r="L490" s="18">
        <f>IF($Z490="","",IF(AND(DATE($AD490,3,1)&gt;=$AE490,DATE($AD490,3,1)&lt;=$AF490),ROUND($AG490,2),0))</f>
        <v/>
      </c>
      <c r="M490" s="18">
        <f>IF($Z490="","",IF(AND(DATE($AD490,4,1)&gt;=$AE490,DATE($AD490,4,1)&lt;=$AF490),ROUND($AG490,2),0))</f>
        <v/>
      </c>
      <c r="N490" s="18">
        <f>IF($Z490="","",IF(AND(DATE($AD490,5,1)&gt;=$AE490,DATE($AD490,5,1)&lt;=$AF490),ROUND($AG490,2),0))</f>
        <v/>
      </c>
      <c r="O490" s="18">
        <f>IF($Z490="","",IF(AND(DATE($AD490,6,1)&gt;=$AE490,DATE($AD490,6,1)&lt;=$AF490),ROUND($AG490,2),0))</f>
        <v/>
      </c>
      <c r="P490" s="18">
        <f>IF($Z490="","",IF(AND(DATE($AD490,7,1)&gt;=$AE490,DATE($AD490,7,1)&lt;=$AF490),ROUND($AG490,2),0))</f>
        <v/>
      </c>
      <c r="Q490" s="18">
        <f>IF($Z490="","",IF(AND(DATE($AD490,8,1)&gt;=$AE490,DATE($AD490,8,1)&lt;=$AF490),ROUND($AG490,2),0))</f>
        <v/>
      </c>
      <c r="R490" s="18">
        <f>IF($Z490="","",IF(AND(DATE($AD490,9,1)&gt;=$AE490,DATE($AD490,9,1)&lt;=$AF490),ROUND($AG490,2),0))</f>
        <v/>
      </c>
      <c r="S490" s="18">
        <f>IF($Z490="","",IF(AND(DATE($AD490,10,1)&gt;=$AE490,DATE($AD490,10,1)&lt;=$AF490),ROUND($AG490,2),0))</f>
        <v/>
      </c>
      <c r="T490" s="18">
        <f>IF($Z490="","",IF(AND(DATE($AD490,11,1)&gt;=$AE490,DATE($AD490,11,1)&lt;=$AF490),ROUND($AG490,2),0))</f>
        <v/>
      </c>
      <c r="U490" s="18">
        <f>IF($Z490="","",IF(AND(DATE($AD490,12,1)&gt;=$AE490,DATE($AD490,12,1)&lt;=$AF490),ROUND($AG490,2),0))</f>
        <v/>
      </c>
      <c r="V490" s="7">
        <f>IF($Z490="C","Generated from "&amp;INDEX(Contracts!$A$2:$A$151,$AB490),IF($Z490="A","Generated from "&amp;INDEX(Fixed_Assets!$A$2:$A$201,$AB490),IF($Z490="F","Generated from "&amp;INDEX(FTE_Allocation!$A$2:$A$201,$AB490),"")))</f>
        <v/>
      </c>
      <c r="X490" s="19">
        <f>IF($Z490="","",SUM(J490:U490))</f>
        <v/>
      </c>
      <c r="Y490" s="20">
        <f>ROW()-1</f>
        <v/>
      </c>
      <c r="Z490" s="20">
        <f>IF($Y490&lt;=Settings!$B$4*3,"C",IF($Y490&lt;=(Settings!$B$4+Settings!$B$5)*3,"A",IF($Y490&lt;=(Settings!$B$4+Settings!$B$5+Settings!$B$6)*3,"F","")))</f>
        <v/>
      </c>
      <c r="AA490" s="20">
        <f>IF($Z490="C",$Y490,IF($Z490="A",$Y490-Settings!$B$4*3,IF($Z490="F",$Y490-(Settings!$B$4+Settings!$B$5)*3,"")))</f>
        <v/>
      </c>
      <c r="AB490" s="20">
        <f>IF($Z490="","",INT(($AA490-1)/3)+1)</f>
        <v/>
      </c>
      <c r="AC490" s="20">
        <f>IF($Z490="","",MOD($AA490-1,3)+1)</f>
        <v/>
      </c>
      <c r="AD490" s="20">
        <f>IF($Z490="","",Settings!$B$2+$AC490-1)</f>
        <v/>
      </c>
      <c r="AE490" s="21">
        <f>IF($Z490="C",DATE(YEAR(INDEX(Contracts!$J$2:$J$151,$AB490)),MONTH(INDEX(Contracts!$J$2:$J$151,$AB490)),1),IF($Z490="A",DATE(YEAR(INDEX(Fixed_Assets!$G$2:$G$201,$AB490)),MONTH(INDEX(Fixed_Assets!$G$2:$G$201,$AB490)),1),IF($Z490="F",DATE(YEAR(MAX(N(INDEX(Workforce!$I$2:$I$151,MATCH(INDEX(FTE_Allocation!$A$2:$A$201,$AB490),Workforce!$A$2:$A$151,0))),N(INDEX(FTE_Allocation!$I$2:$I$201,$AB490)))),MONTH(MAX(N(INDEX(Workforce!$I$2:$I$151,MATCH(INDEX(FTE_Allocation!$A$2:$A$201,$AB490),Workforce!$A$2:$A$151,0))),N(INDEX(FTE_Allocation!$I$2:$I$201,$AB490)))),1),"")))</f>
        <v/>
      </c>
      <c r="AF490" s="21">
        <f>IF($Z490="C",IF(INDEX(Contracts!$I$2:$I$151,$AB490)="PREPAID",EDATE(DATE(YEAR(INDEX(Contracts!$J$2:$J$151,$AB490)),MONTH(INDEX(Contracts!$J$2:$J$151,$AB490)),1),IF(INDEX(Contracts!$N$2:$N$151,$AB490)="",12,INDEX(Contracts!$N$2:$N$151,$AB490))-1),IF(INDEX(Contracts!$I$2:$I$151,$AB490)="MONTHLY",IF(INDEX(Contracts!$K$2:$K$151,$AB490)="",2958101,INDEX(Contracts!$K$2:$K$151,$AB490)),0)),IF($Z490="A",EDATE(DATE(YEAR(INDEX(Fixed_Assets!$G$2:$G$201,$AB490)),MONTH(INDEX(Fixed_Assets!$G$2:$G$201,$AB490)),1),INDEX(Fixed_Assets!$J$2:$J$201,$AB490)-1),IF($Z490="F",MIN(IF(INDEX(Workforce!$J$2:$J$151,MATCH(INDEX(FTE_Allocation!$A$2:$A$201,$AB490),Workforce!$A$2:$A$151,0))="",2958101,INDEX(Workforce!$J$2:$J$151,MATCH(INDEX(FTE_Allocation!$A$2:$A$201,$AB490),Workforce!$A$2:$A$151,0))),IF(INDEX(FTE_Allocation!$J$2:$J$201,$AB490)="",2958101,INDEX(FTE_Allocation!$J$2:$J$201,$AB490))),"")))</f>
        <v/>
      </c>
      <c r="AG490" s="19">
        <f>IF($Z490="C",IF(INDEX(Contracts!$I$2:$I$151,$AB490)="PREPAID",INDEX(Contracts!$M$2:$M$151,$AB490)/IF(INDEX(Contracts!$N$2:$N$151,$AB490)="",12,INDEX(Contracts!$N$2:$N$151,$AB490)),IF(INDEX(Contracts!$I$2:$I$151,$AB490)="MONTHLY",INDEX(Contracts!$M$2:$M$151,$AB490),0))*(1-N(INDEX(Contracts!$O$2:$O$151,$AB490))),IF($Z490="A",INDEX(Fixed_Assets!$H$2:$H$201,$AB490)/INDEX(Fixed_Assets!$J$2:$J$201,$AB490),IF($Z490="F",INDEX(Workforce!$F$2:$F$151,MATCH(INDEX(FTE_Allocation!$A$2:$A$201,$AB490),Workforce!$A$2:$A$151,0))*N(INDEX(FTE_Allocation!$F$2:$H$201,$AB490,$AC490)),"")))</f>
        <v/>
      </c>
    </row>
    <row r="491">
      <c r="A491" s="7">
        <f>IF($Z491="","",$AD491)</f>
        <v/>
      </c>
      <c r="B491" s="7">
        <f>IF($Z491="C",INDEX(Contracts!$D$2:$D$151,$AB491)&amp;"",IF($Z491="A",INDEX(Fixed_Assets!$C$2:$C$201,$AB491)&amp;"",IF($Z491="F",INDEX(Workforce!$B$2:$B$151,MATCH(INDEX(FTE_Allocation!$A$2:$A$201,$AB491),Workforce!$A$2:$A$151,0))&amp;"","")))</f>
        <v/>
      </c>
      <c r="C491" s="7">
        <f>IF($Z491="C",INDEX(Contracts!$E$2:$E$151,$AB491)&amp;"",IF($Z491="A",INDEX(Fixed_Assets!$D$2:$D$201,$AB491)&amp;"",IF($Z491="F",INDEX(FTE_Allocation!$C$2:$C$201,$AB491)&amp;"","")))</f>
        <v/>
      </c>
      <c r="D491" s="7">
        <f>IF($Z491="C",INDEX(Contracts!$B$2:$B$151,$AB491)&amp;"",IF($Z491="A",INDEX(Fixed_Assets!$B$2:$B$201,$AB491)&amp;"",IF($Z491="F",INDEX(FTE_Allocation!$B$2:$B$201,$AB491)&amp;"","")))</f>
        <v/>
      </c>
      <c r="E491" s="7">
        <f>IF($Z491="C",INDEX(Contracts!$P$2:$P$151,$AB491)&amp;"",IF($Z491="A",INDEX(Fixed_Assets!$K$2:$K$201,$AB491)&amp;"",IF($Z491="F",IF(INDEX(FTE_Allocation!$D$2:$D$201,$AB491)="PROJECT",IFERROR(INDEX(Projects!$D:$D,MATCH(INDEX(FTE_Allocation!$E$2:$E$201,$AB491),Projects!$A:$A,0))&amp;"","#PROJECT?"),INDEX(FTE_Allocation!$E$2:$E$201,$AB491)&amp;""),"")))</f>
        <v/>
      </c>
      <c r="F491" s="7">
        <f>IF($Z491="C",INDEX(Contracts!$Q$2:$Q$151,$AB491)&amp;"",IF($Z491="A",INDEX(Fixed_Assets!$L$2:$L$201,$AB491)&amp;"",IF($Z491="F",INDEX(Workforce!$K$2:$K$151,MATCH(INDEX(FTE_Allocation!$A$2:$A$201,$AB491),Workforce!$A$2:$A$151,0))&amp;"","")))</f>
        <v/>
      </c>
      <c r="G491" s="7">
        <f>IF($Z491="C",INDEX(Contracts!$F$2:$F$151,$AB491)&amp;" / "&amp;INDEX(Contracts!$G$2:$G$151,$AB491),IF($Z491="A",INDEX(Fixed_Assets!$E$2:$E$201,$AB491)&amp;"",IF($Z491="F","Personnel "&amp;INDEX(FTE_Allocation!$A$2:$A$201,$AB491)&amp;IF(INDEX(FTE_Allocation!$D$2:$D$201,$AB491)="PROJECT"," ("&amp;INDEX(FTE_Allocation!$E$2:$E$201,$AB491)&amp;")",""),"")))</f>
        <v/>
      </c>
      <c r="H491" s="7">
        <f>IF($Z491="C","CONTRACT",IF($Z491="A","ASSET",IF($Z491="F","WORKFORCE","")))</f>
        <v/>
      </c>
      <c r="I491" s="7">
        <f>IF($Z491="C",INDEX(Contracts!$L$2:$L$151,$AB491)&amp;"",IF($Z491="A",INDEX(Fixed_Assets!$I$2:$I$201,$AB491)&amp;"",IF($Z491="F",INDEX(Workforce!$G$2:$G$151,MATCH(INDEX(FTE_Allocation!$A$2:$A$201,$AB491),Workforce!$A$2:$A$151,0))&amp;"","")))</f>
        <v/>
      </c>
      <c r="J491" s="18">
        <f>IF($Z491="","",IF(AND(DATE($AD491,1,1)&gt;=$AE491,DATE($AD491,1,1)&lt;=$AF491),ROUND($AG491,2),0))</f>
        <v/>
      </c>
      <c r="K491" s="18">
        <f>IF($Z491="","",IF(AND(DATE($AD491,2,1)&gt;=$AE491,DATE($AD491,2,1)&lt;=$AF491),ROUND($AG491,2),0))</f>
        <v/>
      </c>
      <c r="L491" s="18">
        <f>IF($Z491="","",IF(AND(DATE($AD491,3,1)&gt;=$AE491,DATE($AD491,3,1)&lt;=$AF491),ROUND($AG491,2),0))</f>
        <v/>
      </c>
      <c r="M491" s="18">
        <f>IF($Z491="","",IF(AND(DATE($AD491,4,1)&gt;=$AE491,DATE($AD491,4,1)&lt;=$AF491),ROUND($AG491,2),0))</f>
        <v/>
      </c>
      <c r="N491" s="18">
        <f>IF($Z491="","",IF(AND(DATE($AD491,5,1)&gt;=$AE491,DATE($AD491,5,1)&lt;=$AF491),ROUND($AG491,2),0))</f>
        <v/>
      </c>
      <c r="O491" s="18">
        <f>IF($Z491="","",IF(AND(DATE($AD491,6,1)&gt;=$AE491,DATE($AD491,6,1)&lt;=$AF491),ROUND($AG491,2),0))</f>
        <v/>
      </c>
      <c r="P491" s="18">
        <f>IF($Z491="","",IF(AND(DATE($AD491,7,1)&gt;=$AE491,DATE($AD491,7,1)&lt;=$AF491),ROUND($AG491,2),0))</f>
        <v/>
      </c>
      <c r="Q491" s="18">
        <f>IF($Z491="","",IF(AND(DATE($AD491,8,1)&gt;=$AE491,DATE($AD491,8,1)&lt;=$AF491),ROUND($AG491,2),0))</f>
        <v/>
      </c>
      <c r="R491" s="18">
        <f>IF($Z491="","",IF(AND(DATE($AD491,9,1)&gt;=$AE491,DATE($AD491,9,1)&lt;=$AF491),ROUND($AG491,2),0))</f>
        <v/>
      </c>
      <c r="S491" s="18">
        <f>IF($Z491="","",IF(AND(DATE($AD491,10,1)&gt;=$AE491,DATE($AD491,10,1)&lt;=$AF491),ROUND($AG491,2),0))</f>
        <v/>
      </c>
      <c r="T491" s="18">
        <f>IF($Z491="","",IF(AND(DATE($AD491,11,1)&gt;=$AE491,DATE($AD491,11,1)&lt;=$AF491),ROUND($AG491,2),0))</f>
        <v/>
      </c>
      <c r="U491" s="18">
        <f>IF($Z491="","",IF(AND(DATE($AD491,12,1)&gt;=$AE491,DATE($AD491,12,1)&lt;=$AF491),ROUND($AG491,2),0))</f>
        <v/>
      </c>
      <c r="V491" s="7">
        <f>IF($Z491="C","Generated from "&amp;INDEX(Contracts!$A$2:$A$151,$AB491),IF($Z491="A","Generated from "&amp;INDEX(Fixed_Assets!$A$2:$A$201,$AB491),IF($Z491="F","Generated from "&amp;INDEX(FTE_Allocation!$A$2:$A$201,$AB491),"")))</f>
        <v/>
      </c>
      <c r="X491" s="19">
        <f>IF($Z491="","",SUM(J491:U491))</f>
        <v/>
      </c>
      <c r="Y491" s="20">
        <f>ROW()-1</f>
        <v/>
      </c>
      <c r="Z491" s="20">
        <f>IF($Y491&lt;=Settings!$B$4*3,"C",IF($Y491&lt;=(Settings!$B$4+Settings!$B$5)*3,"A",IF($Y491&lt;=(Settings!$B$4+Settings!$B$5+Settings!$B$6)*3,"F","")))</f>
        <v/>
      </c>
      <c r="AA491" s="20">
        <f>IF($Z491="C",$Y491,IF($Z491="A",$Y491-Settings!$B$4*3,IF($Z491="F",$Y491-(Settings!$B$4+Settings!$B$5)*3,"")))</f>
        <v/>
      </c>
      <c r="AB491" s="20">
        <f>IF($Z491="","",INT(($AA491-1)/3)+1)</f>
        <v/>
      </c>
      <c r="AC491" s="20">
        <f>IF($Z491="","",MOD($AA491-1,3)+1)</f>
        <v/>
      </c>
      <c r="AD491" s="20">
        <f>IF($Z491="","",Settings!$B$2+$AC491-1)</f>
        <v/>
      </c>
      <c r="AE491" s="21">
        <f>IF($Z491="C",DATE(YEAR(INDEX(Contracts!$J$2:$J$151,$AB491)),MONTH(INDEX(Contracts!$J$2:$J$151,$AB491)),1),IF($Z491="A",DATE(YEAR(INDEX(Fixed_Assets!$G$2:$G$201,$AB491)),MONTH(INDEX(Fixed_Assets!$G$2:$G$201,$AB491)),1),IF($Z491="F",DATE(YEAR(MAX(N(INDEX(Workforce!$I$2:$I$151,MATCH(INDEX(FTE_Allocation!$A$2:$A$201,$AB491),Workforce!$A$2:$A$151,0))),N(INDEX(FTE_Allocation!$I$2:$I$201,$AB491)))),MONTH(MAX(N(INDEX(Workforce!$I$2:$I$151,MATCH(INDEX(FTE_Allocation!$A$2:$A$201,$AB491),Workforce!$A$2:$A$151,0))),N(INDEX(FTE_Allocation!$I$2:$I$201,$AB491)))),1),"")))</f>
        <v/>
      </c>
      <c r="AF491" s="21">
        <f>IF($Z491="C",IF(INDEX(Contracts!$I$2:$I$151,$AB491)="PREPAID",EDATE(DATE(YEAR(INDEX(Contracts!$J$2:$J$151,$AB491)),MONTH(INDEX(Contracts!$J$2:$J$151,$AB491)),1),IF(INDEX(Contracts!$N$2:$N$151,$AB491)="",12,INDEX(Contracts!$N$2:$N$151,$AB491))-1),IF(INDEX(Contracts!$I$2:$I$151,$AB491)="MONTHLY",IF(INDEX(Contracts!$K$2:$K$151,$AB491)="",2958101,INDEX(Contracts!$K$2:$K$151,$AB491)),0)),IF($Z491="A",EDATE(DATE(YEAR(INDEX(Fixed_Assets!$G$2:$G$201,$AB491)),MONTH(INDEX(Fixed_Assets!$G$2:$G$201,$AB491)),1),INDEX(Fixed_Assets!$J$2:$J$201,$AB491)-1),IF($Z491="F",MIN(IF(INDEX(Workforce!$J$2:$J$151,MATCH(INDEX(FTE_Allocation!$A$2:$A$201,$AB491),Workforce!$A$2:$A$151,0))="",2958101,INDEX(Workforce!$J$2:$J$151,MATCH(INDEX(FTE_Allocation!$A$2:$A$201,$AB491),Workforce!$A$2:$A$151,0))),IF(INDEX(FTE_Allocation!$J$2:$J$201,$AB491)="",2958101,INDEX(FTE_Allocation!$J$2:$J$201,$AB491))),"")))</f>
        <v/>
      </c>
      <c r="AG491" s="19">
        <f>IF($Z491="C",IF(INDEX(Contracts!$I$2:$I$151,$AB491)="PREPAID",INDEX(Contracts!$M$2:$M$151,$AB491)/IF(INDEX(Contracts!$N$2:$N$151,$AB491)="",12,INDEX(Contracts!$N$2:$N$151,$AB491)),IF(INDEX(Contracts!$I$2:$I$151,$AB491)="MONTHLY",INDEX(Contracts!$M$2:$M$151,$AB491),0))*(1-N(INDEX(Contracts!$O$2:$O$151,$AB491))),IF($Z491="A",INDEX(Fixed_Assets!$H$2:$H$201,$AB491)/INDEX(Fixed_Assets!$J$2:$J$201,$AB491),IF($Z491="F",INDEX(Workforce!$F$2:$F$151,MATCH(INDEX(FTE_Allocation!$A$2:$A$201,$AB491),Workforce!$A$2:$A$151,0))*N(INDEX(FTE_Allocation!$F$2:$H$201,$AB491,$AC491)),"")))</f>
        <v/>
      </c>
    </row>
    <row r="492">
      <c r="A492" s="7">
        <f>IF($Z492="","",$AD492)</f>
        <v/>
      </c>
      <c r="B492" s="7">
        <f>IF($Z492="C",INDEX(Contracts!$D$2:$D$151,$AB492)&amp;"",IF($Z492="A",INDEX(Fixed_Assets!$C$2:$C$201,$AB492)&amp;"",IF($Z492="F",INDEX(Workforce!$B$2:$B$151,MATCH(INDEX(FTE_Allocation!$A$2:$A$201,$AB492),Workforce!$A$2:$A$151,0))&amp;"","")))</f>
        <v/>
      </c>
      <c r="C492" s="7">
        <f>IF($Z492="C",INDEX(Contracts!$E$2:$E$151,$AB492)&amp;"",IF($Z492="A",INDEX(Fixed_Assets!$D$2:$D$201,$AB492)&amp;"",IF($Z492="F",INDEX(FTE_Allocation!$C$2:$C$201,$AB492)&amp;"","")))</f>
        <v/>
      </c>
      <c r="D492" s="7">
        <f>IF($Z492="C",INDEX(Contracts!$B$2:$B$151,$AB492)&amp;"",IF($Z492="A",INDEX(Fixed_Assets!$B$2:$B$201,$AB492)&amp;"",IF($Z492="F",INDEX(FTE_Allocation!$B$2:$B$201,$AB492)&amp;"","")))</f>
        <v/>
      </c>
      <c r="E492" s="7">
        <f>IF($Z492="C",INDEX(Contracts!$P$2:$P$151,$AB492)&amp;"",IF($Z492="A",INDEX(Fixed_Assets!$K$2:$K$201,$AB492)&amp;"",IF($Z492="F",IF(INDEX(FTE_Allocation!$D$2:$D$201,$AB492)="PROJECT",IFERROR(INDEX(Projects!$D:$D,MATCH(INDEX(FTE_Allocation!$E$2:$E$201,$AB492),Projects!$A:$A,0))&amp;"","#PROJECT?"),INDEX(FTE_Allocation!$E$2:$E$201,$AB492)&amp;""),"")))</f>
        <v/>
      </c>
      <c r="F492" s="7">
        <f>IF($Z492="C",INDEX(Contracts!$Q$2:$Q$151,$AB492)&amp;"",IF($Z492="A",INDEX(Fixed_Assets!$L$2:$L$201,$AB492)&amp;"",IF($Z492="F",INDEX(Workforce!$K$2:$K$151,MATCH(INDEX(FTE_Allocation!$A$2:$A$201,$AB492),Workforce!$A$2:$A$151,0))&amp;"","")))</f>
        <v/>
      </c>
      <c r="G492" s="7">
        <f>IF($Z492="C",INDEX(Contracts!$F$2:$F$151,$AB492)&amp;" / "&amp;INDEX(Contracts!$G$2:$G$151,$AB492),IF($Z492="A",INDEX(Fixed_Assets!$E$2:$E$201,$AB492)&amp;"",IF($Z492="F","Personnel "&amp;INDEX(FTE_Allocation!$A$2:$A$201,$AB492)&amp;IF(INDEX(FTE_Allocation!$D$2:$D$201,$AB492)="PROJECT"," ("&amp;INDEX(FTE_Allocation!$E$2:$E$201,$AB492)&amp;")",""),"")))</f>
        <v/>
      </c>
      <c r="H492" s="7">
        <f>IF($Z492="C","CONTRACT",IF($Z492="A","ASSET",IF($Z492="F","WORKFORCE","")))</f>
        <v/>
      </c>
      <c r="I492" s="7">
        <f>IF($Z492="C",INDEX(Contracts!$L$2:$L$151,$AB492)&amp;"",IF($Z492="A",INDEX(Fixed_Assets!$I$2:$I$201,$AB492)&amp;"",IF($Z492="F",INDEX(Workforce!$G$2:$G$151,MATCH(INDEX(FTE_Allocation!$A$2:$A$201,$AB492),Workforce!$A$2:$A$151,0))&amp;"","")))</f>
        <v/>
      </c>
      <c r="J492" s="18">
        <f>IF($Z492="","",IF(AND(DATE($AD492,1,1)&gt;=$AE492,DATE($AD492,1,1)&lt;=$AF492),ROUND($AG492,2),0))</f>
        <v/>
      </c>
      <c r="K492" s="18">
        <f>IF($Z492="","",IF(AND(DATE($AD492,2,1)&gt;=$AE492,DATE($AD492,2,1)&lt;=$AF492),ROUND($AG492,2),0))</f>
        <v/>
      </c>
      <c r="L492" s="18">
        <f>IF($Z492="","",IF(AND(DATE($AD492,3,1)&gt;=$AE492,DATE($AD492,3,1)&lt;=$AF492),ROUND($AG492,2),0))</f>
        <v/>
      </c>
      <c r="M492" s="18">
        <f>IF($Z492="","",IF(AND(DATE($AD492,4,1)&gt;=$AE492,DATE($AD492,4,1)&lt;=$AF492),ROUND($AG492,2),0))</f>
        <v/>
      </c>
      <c r="N492" s="18">
        <f>IF($Z492="","",IF(AND(DATE($AD492,5,1)&gt;=$AE492,DATE($AD492,5,1)&lt;=$AF492),ROUND($AG492,2),0))</f>
        <v/>
      </c>
      <c r="O492" s="18">
        <f>IF($Z492="","",IF(AND(DATE($AD492,6,1)&gt;=$AE492,DATE($AD492,6,1)&lt;=$AF492),ROUND($AG492,2),0))</f>
        <v/>
      </c>
      <c r="P492" s="18">
        <f>IF($Z492="","",IF(AND(DATE($AD492,7,1)&gt;=$AE492,DATE($AD492,7,1)&lt;=$AF492),ROUND($AG492,2),0))</f>
        <v/>
      </c>
      <c r="Q492" s="18">
        <f>IF($Z492="","",IF(AND(DATE($AD492,8,1)&gt;=$AE492,DATE($AD492,8,1)&lt;=$AF492),ROUND($AG492,2),0))</f>
        <v/>
      </c>
      <c r="R492" s="18">
        <f>IF($Z492="","",IF(AND(DATE($AD492,9,1)&gt;=$AE492,DATE($AD492,9,1)&lt;=$AF492),ROUND($AG492,2),0))</f>
        <v/>
      </c>
      <c r="S492" s="18">
        <f>IF($Z492="","",IF(AND(DATE($AD492,10,1)&gt;=$AE492,DATE($AD492,10,1)&lt;=$AF492),ROUND($AG492,2),0))</f>
        <v/>
      </c>
      <c r="T492" s="18">
        <f>IF($Z492="","",IF(AND(DATE($AD492,11,1)&gt;=$AE492,DATE($AD492,11,1)&lt;=$AF492),ROUND($AG492,2),0))</f>
        <v/>
      </c>
      <c r="U492" s="18">
        <f>IF($Z492="","",IF(AND(DATE($AD492,12,1)&gt;=$AE492,DATE($AD492,12,1)&lt;=$AF492),ROUND($AG492,2),0))</f>
        <v/>
      </c>
      <c r="V492" s="7">
        <f>IF($Z492="C","Generated from "&amp;INDEX(Contracts!$A$2:$A$151,$AB492),IF($Z492="A","Generated from "&amp;INDEX(Fixed_Assets!$A$2:$A$201,$AB492),IF($Z492="F","Generated from "&amp;INDEX(FTE_Allocation!$A$2:$A$201,$AB492),"")))</f>
        <v/>
      </c>
      <c r="X492" s="19">
        <f>IF($Z492="","",SUM(J492:U492))</f>
        <v/>
      </c>
      <c r="Y492" s="20">
        <f>ROW()-1</f>
        <v/>
      </c>
      <c r="Z492" s="20">
        <f>IF($Y492&lt;=Settings!$B$4*3,"C",IF($Y492&lt;=(Settings!$B$4+Settings!$B$5)*3,"A",IF($Y492&lt;=(Settings!$B$4+Settings!$B$5+Settings!$B$6)*3,"F","")))</f>
        <v/>
      </c>
      <c r="AA492" s="20">
        <f>IF($Z492="C",$Y492,IF($Z492="A",$Y492-Settings!$B$4*3,IF($Z492="F",$Y492-(Settings!$B$4+Settings!$B$5)*3,"")))</f>
        <v/>
      </c>
      <c r="AB492" s="20">
        <f>IF($Z492="","",INT(($AA492-1)/3)+1)</f>
        <v/>
      </c>
      <c r="AC492" s="20">
        <f>IF($Z492="","",MOD($AA492-1,3)+1)</f>
        <v/>
      </c>
      <c r="AD492" s="20">
        <f>IF($Z492="","",Settings!$B$2+$AC492-1)</f>
        <v/>
      </c>
      <c r="AE492" s="21">
        <f>IF($Z492="C",DATE(YEAR(INDEX(Contracts!$J$2:$J$151,$AB492)),MONTH(INDEX(Contracts!$J$2:$J$151,$AB492)),1),IF($Z492="A",DATE(YEAR(INDEX(Fixed_Assets!$G$2:$G$201,$AB492)),MONTH(INDEX(Fixed_Assets!$G$2:$G$201,$AB492)),1),IF($Z492="F",DATE(YEAR(MAX(N(INDEX(Workforce!$I$2:$I$151,MATCH(INDEX(FTE_Allocation!$A$2:$A$201,$AB492),Workforce!$A$2:$A$151,0))),N(INDEX(FTE_Allocation!$I$2:$I$201,$AB492)))),MONTH(MAX(N(INDEX(Workforce!$I$2:$I$151,MATCH(INDEX(FTE_Allocation!$A$2:$A$201,$AB492),Workforce!$A$2:$A$151,0))),N(INDEX(FTE_Allocation!$I$2:$I$201,$AB492)))),1),"")))</f>
        <v/>
      </c>
      <c r="AF492" s="21">
        <f>IF($Z492="C",IF(INDEX(Contracts!$I$2:$I$151,$AB492)="PREPAID",EDATE(DATE(YEAR(INDEX(Contracts!$J$2:$J$151,$AB492)),MONTH(INDEX(Contracts!$J$2:$J$151,$AB492)),1),IF(INDEX(Contracts!$N$2:$N$151,$AB492)="",12,INDEX(Contracts!$N$2:$N$151,$AB492))-1),IF(INDEX(Contracts!$I$2:$I$151,$AB492)="MONTHLY",IF(INDEX(Contracts!$K$2:$K$151,$AB492)="",2958101,INDEX(Contracts!$K$2:$K$151,$AB492)),0)),IF($Z492="A",EDATE(DATE(YEAR(INDEX(Fixed_Assets!$G$2:$G$201,$AB492)),MONTH(INDEX(Fixed_Assets!$G$2:$G$201,$AB492)),1),INDEX(Fixed_Assets!$J$2:$J$201,$AB492)-1),IF($Z492="F",MIN(IF(INDEX(Workforce!$J$2:$J$151,MATCH(INDEX(FTE_Allocation!$A$2:$A$201,$AB492),Workforce!$A$2:$A$151,0))="",2958101,INDEX(Workforce!$J$2:$J$151,MATCH(INDEX(FTE_Allocation!$A$2:$A$201,$AB492),Workforce!$A$2:$A$151,0))),IF(INDEX(FTE_Allocation!$J$2:$J$201,$AB492)="",2958101,INDEX(FTE_Allocation!$J$2:$J$201,$AB492))),"")))</f>
        <v/>
      </c>
      <c r="AG492" s="19">
        <f>IF($Z492="C",IF(INDEX(Contracts!$I$2:$I$151,$AB492)="PREPAID",INDEX(Contracts!$M$2:$M$151,$AB492)/IF(INDEX(Contracts!$N$2:$N$151,$AB492)="",12,INDEX(Contracts!$N$2:$N$151,$AB492)),IF(INDEX(Contracts!$I$2:$I$151,$AB492)="MONTHLY",INDEX(Contracts!$M$2:$M$151,$AB492),0))*(1-N(INDEX(Contracts!$O$2:$O$151,$AB492))),IF($Z492="A",INDEX(Fixed_Assets!$H$2:$H$201,$AB492)/INDEX(Fixed_Assets!$J$2:$J$201,$AB492),IF($Z492="F",INDEX(Workforce!$F$2:$F$151,MATCH(INDEX(FTE_Allocation!$A$2:$A$201,$AB492),Workforce!$A$2:$A$151,0))*N(INDEX(FTE_Allocation!$F$2:$H$201,$AB492,$AC492)),"")))</f>
        <v/>
      </c>
    </row>
    <row r="493">
      <c r="A493" s="7">
        <f>IF($Z493="","",$AD493)</f>
        <v/>
      </c>
      <c r="B493" s="7">
        <f>IF($Z493="C",INDEX(Contracts!$D$2:$D$151,$AB493)&amp;"",IF($Z493="A",INDEX(Fixed_Assets!$C$2:$C$201,$AB493)&amp;"",IF($Z493="F",INDEX(Workforce!$B$2:$B$151,MATCH(INDEX(FTE_Allocation!$A$2:$A$201,$AB493),Workforce!$A$2:$A$151,0))&amp;"","")))</f>
        <v/>
      </c>
      <c r="C493" s="7">
        <f>IF($Z493="C",INDEX(Contracts!$E$2:$E$151,$AB493)&amp;"",IF($Z493="A",INDEX(Fixed_Assets!$D$2:$D$201,$AB493)&amp;"",IF($Z493="F",INDEX(FTE_Allocation!$C$2:$C$201,$AB493)&amp;"","")))</f>
        <v/>
      </c>
      <c r="D493" s="7">
        <f>IF($Z493="C",INDEX(Contracts!$B$2:$B$151,$AB493)&amp;"",IF($Z493="A",INDEX(Fixed_Assets!$B$2:$B$201,$AB493)&amp;"",IF($Z493="F",INDEX(FTE_Allocation!$B$2:$B$201,$AB493)&amp;"","")))</f>
        <v/>
      </c>
      <c r="E493" s="7">
        <f>IF($Z493="C",INDEX(Contracts!$P$2:$P$151,$AB493)&amp;"",IF($Z493="A",INDEX(Fixed_Assets!$K$2:$K$201,$AB493)&amp;"",IF($Z493="F",IF(INDEX(FTE_Allocation!$D$2:$D$201,$AB493)="PROJECT",IFERROR(INDEX(Projects!$D:$D,MATCH(INDEX(FTE_Allocation!$E$2:$E$201,$AB493),Projects!$A:$A,0))&amp;"","#PROJECT?"),INDEX(FTE_Allocation!$E$2:$E$201,$AB493)&amp;""),"")))</f>
        <v/>
      </c>
      <c r="F493" s="7">
        <f>IF($Z493="C",INDEX(Contracts!$Q$2:$Q$151,$AB493)&amp;"",IF($Z493="A",INDEX(Fixed_Assets!$L$2:$L$201,$AB493)&amp;"",IF($Z493="F",INDEX(Workforce!$K$2:$K$151,MATCH(INDEX(FTE_Allocation!$A$2:$A$201,$AB493),Workforce!$A$2:$A$151,0))&amp;"","")))</f>
        <v/>
      </c>
      <c r="G493" s="7">
        <f>IF($Z493="C",INDEX(Contracts!$F$2:$F$151,$AB493)&amp;" / "&amp;INDEX(Contracts!$G$2:$G$151,$AB493),IF($Z493="A",INDEX(Fixed_Assets!$E$2:$E$201,$AB493)&amp;"",IF($Z493="F","Personnel "&amp;INDEX(FTE_Allocation!$A$2:$A$201,$AB493)&amp;IF(INDEX(FTE_Allocation!$D$2:$D$201,$AB493)="PROJECT"," ("&amp;INDEX(FTE_Allocation!$E$2:$E$201,$AB493)&amp;")",""),"")))</f>
        <v/>
      </c>
      <c r="H493" s="7">
        <f>IF($Z493="C","CONTRACT",IF($Z493="A","ASSET",IF($Z493="F","WORKFORCE","")))</f>
        <v/>
      </c>
      <c r="I493" s="7">
        <f>IF($Z493="C",INDEX(Contracts!$L$2:$L$151,$AB493)&amp;"",IF($Z493="A",INDEX(Fixed_Assets!$I$2:$I$201,$AB493)&amp;"",IF($Z493="F",INDEX(Workforce!$G$2:$G$151,MATCH(INDEX(FTE_Allocation!$A$2:$A$201,$AB493),Workforce!$A$2:$A$151,0))&amp;"","")))</f>
        <v/>
      </c>
      <c r="J493" s="18">
        <f>IF($Z493="","",IF(AND(DATE($AD493,1,1)&gt;=$AE493,DATE($AD493,1,1)&lt;=$AF493),ROUND($AG493,2),0))</f>
        <v/>
      </c>
      <c r="K493" s="18">
        <f>IF($Z493="","",IF(AND(DATE($AD493,2,1)&gt;=$AE493,DATE($AD493,2,1)&lt;=$AF493),ROUND($AG493,2),0))</f>
        <v/>
      </c>
      <c r="L493" s="18">
        <f>IF($Z493="","",IF(AND(DATE($AD493,3,1)&gt;=$AE493,DATE($AD493,3,1)&lt;=$AF493),ROUND($AG493,2),0))</f>
        <v/>
      </c>
      <c r="M493" s="18">
        <f>IF($Z493="","",IF(AND(DATE($AD493,4,1)&gt;=$AE493,DATE($AD493,4,1)&lt;=$AF493),ROUND($AG493,2),0))</f>
        <v/>
      </c>
      <c r="N493" s="18">
        <f>IF($Z493="","",IF(AND(DATE($AD493,5,1)&gt;=$AE493,DATE($AD493,5,1)&lt;=$AF493),ROUND($AG493,2),0))</f>
        <v/>
      </c>
      <c r="O493" s="18">
        <f>IF($Z493="","",IF(AND(DATE($AD493,6,1)&gt;=$AE493,DATE($AD493,6,1)&lt;=$AF493),ROUND($AG493,2),0))</f>
        <v/>
      </c>
      <c r="P493" s="18">
        <f>IF($Z493="","",IF(AND(DATE($AD493,7,1)&gt;=$AE493,DATE($AD493,7,1)&lt;=$AF493),ROUND($AG493,2),0))</f>
        <v/>
      </c>
      <c r="Q493" s="18">
        <f>IF($Z493="","",IF(AND(DATE($AD493,8,1)&gt;=$AE493,DATE($AD493,8,1)&lt;=$AF493),ROUND($AG493,2),0))</f>
        <v/>
      </c>
      <c r="R493" s="18">
        <f>IF($Z493="","",IF(AND(DATE($AD493,9,1)&gt;=$AE493,DATE($AD493,9,1)&lt;=$AF493),ROUND($AG493,2),0))</f>
        <v/>
      </c>
      <c r="S493" s="18">
        <f>IF($Z493="","",IF(AND(DATE($AD493,10,1)&gt;=$AE493,DATE($AD493,10,1)&lt;=$AF493),ROUND($AG493,2),0))</f>
        <v/>
      </c>
      <c r="T493" s="18">
        <f>IF($Z493="","",IF(AND(DATE($AD493,11,1)&gt;=$AE493,DATE($AD493,11,1)&lt;=$AF493),ROUND($AG493,2),0))</f>
        <v/>
      </c>
      <c r="U493" s="18">
        <f>IF($Z493="","",IF(AND(DATE($AD493,12,1)&gt;=$AE493,DATE($AD493,12,1)&lt;=$AF493),ROUND($AG493,2),0))</f>
        <v/>
      </c>
      <c r="V493" s="7">
        <f>IF($Z493="C","Generated from "&amp;INDEX(Contracts!$A$2:$A$151,$AB493),IF($Z493="A","Generated from "&amp;INDEX(Fixed_Assets!$A$2:$A$201,$AB493),IF($Z493="F","Generated from "&amp;INDEX(FTE_Allocation!$A$2:$A$201,$AB493),"")))</f>
        <v/>
      </c>
      <c r="X493" s="19">
        <f>IF($Z493="","",SUM(J493:U493))</f>
        <v/>
      </c>
      <c r="Y493" s="20">
        <f>ROW()-1</f>
        <v/>
      </c>
      <c r="Z493" s="20">
        <f>IF($Y493&lt;=Settings!$B$4*3,"C",IF($Y493&lt;=(Settings!$B$4+Settings!$B$5)*3,"A",IF($Y493&lt;=(Settings!$B$4+Settings!$B$5+Settings!$B$6)*3,"F","")))</f>
        <v/>
      </c>
      <c r="AA493" s="20">
        <f>IF($Z493="C",$Y493,IF($Z493="A",$Y493-Settings!$B$4*3,IF($Z493="F",$Y493-(Settings!$B$4+Settings!$B$5)*3,"")))</f>
        <v/>
      </c>
      <c r="AB493" s="20">
        <f>IF($Z493="","",INT(($AA493-1)/3)+1)</f>
        <v/>
      </c>
      <c r="AC493" s="20">
        <f>IF($Z493="","",MOD($AA493-1,3)+1)</f>
        <v/>
      </c>
      <c r="AD493" s="20">
        <f>IF($Z493="","",Settings!$B$2+$AC493-1)</f>
        <v/>
      </c>
      <c r="AE493" s="21">
        <f>IF($Z493="C",DATE(YEAR(INDEX(Contracts!$J$2:$J$151,$AB493)),MONTH(INDEX(Contracts!$J$2:$J$151,$AB493)),1),IF($Z493="A",DATE(YEAR(INDEX(Fixed_Assets!$G$2:$G$201,$AB493)),MONTH(INDEX(Fixed_Assets!$G$2:$G$201,$AB493)),1),IF($Z493="F",DATE(YEAR(MAX(N(INDEX(Workforce!$I$2:$I$151,MATCH(INDEX(FTE_Allocation!$A$2:$A$201,$AB493),Workforce!$A$2:$A$151,0))),N(INDEX(FTE_Allocation!$I$2:$I$201,$AB493)))),MONTH(MAX(N(INDEX(Workforce!$I$2:$I$151,MATCH(INDEX(FTE_Allocation!$A$2:$A$201,$AB493),Workforce!$A$2:$A$151,0))),N(INDEX(FTE_Allocation!$I$2:$I$201,$AB493)))),1),"")))</f>
        <v/>
      </c>
      <c r="AF493" s="21">
        <f>IF($Z493="C",IF(INDEX(Contracts!$I$2:$I$151,$AB493)="PREPAID",EDATE(DATE(YEAR(INDEX(Contracts!$J$2:$J$151,$AB493)),MONTH(INDEX(Contracts!$J$2:$J$151,$AB493)),1),IF(INDEX(Contracts!$N$2:$N$151,$AB493)="",12,INDEX(Contracts!$N$2:$N$151,$AB493))-1),IF(INDEX(Contracts!$I$2:$I$151,$AB493)="MONTHLY",IF(INDEX(Contracts!$K$2:$K$151,$AB493)="",2958101,INDEX(Contracts!$K$2:$K$151,$AB493)),0)),IF($Z493="A",EDATE(DATE(YEAR(INDEX(Fixed_Assets!$G$2:$G$201,$AB493)),MONTH(INDEX(Fixed_Assets!$G$2:$G$201,$AB493)),1),INDEX(Fixed_Assets!$J$2:$J$201,$AB493)-1),IF($Z493="F",MIN(IF(INDEX(Workforce!$J$2:$J$151,MATCH(INDEX(FTE_Allocation!$A$2:$A$201,$AB493),Workforce!$A$2:$A$151,0))="",2958101,INDEX(Workforce!$J$2:$J$151,MATCH(INDEX(FTE_Allocation!$A$2:$A$201,$AB493),Workforce!$A$2:$A$151,0))),IF(INDEX(FTE_Allocation!$J$2:$J$201,$AB493)="",2958101,INDEX(FTE_Allocation!$J$2:$J$201,$AB493))),"")))</f>
        <v/>
      </c>
      <c r="AG493" s="19">
        <f>IF($Z493="C",IF(INDEX(Contracts!$I$2:$I$151,$AB493)="PREPAID",INDEX(Contracts!$M$2:$M$151,$AB493)/IF(INDEX(Contracts!$N$2:$N$151,$AB493)="",12,INDEX(Contracts!$N$2:$N$151,$AB493)),IF(INDEX(Contracts!$I$2:$I$151,$AB493)="MONTHLY",INDEX(Contracts!$M$2:$M$151,$AB493),0))*(1-N(INDEX(Contracts!$O$2:$O$151,$AB493))),IF($Z493="A",INDEX(Fixed_Assets!$H$2:$H$201,$AB493)/INDEX(Fixed_Assets!$J$2:$J$201,$AB493),IF($Z493="F",INDEX(Workforce!$F$2:$F$151,MATCH(INDEX(FTE_Allocation!$A$2:$A$201,$AB493),Workforce!$A$2:$A$151,0))*N(INDEX(FTE_Allocation!$F$2:$H$201,$AB493,$AC493)),"")))</f>
        <v/>
      </c>
    </row>
    <row r="494">
      <c r="A494" s="7">
        <f>IF($Z494="","",$AD494)</f>
        <v/>
      </c>
      <c r="B494" s="7">
        <f>IF($Z494="C",INDEX(Contracts!$D$2:$D$151,$AB494)&amp;"",IF($Z494="A",INDEX(Fixed_Assets!$C$2:$C$201,$AB494)&amp;"",IF($Z494="F",INDEX(Workforce!$B$2:$B$151,MATCH(INDEX(FTE_Allocation!$A$2:$A$201,$AB494),Workforce!$A$2:$A$151,0))&amp;"","")))</f>
        <v/>
      </c>
      <c r="C494" s="7">
        <f>IF($Z494="C",INDEX(Contracts!$E$2:$E$151,$AB494)&amp;"",IF($Z494="A",INDEX(Fixed_Assets!$D$2:$D$201,$AB494)&amp;"",IF($Z494="F",INDEX(FTE_Allocation!$C$2:$C$201,$AB494)&amp;"","")))</f>
        <v/>
      </c>
      <c r="D494" s="7">
        <f>IF($Z494="C",INDEX(Contracts!$B$2:$B$151,$AB494)&amp;"",IF($Z494="A",INDEX(Fixed_Assets!$B$2:$B$201,$AB494)&amp;"",IF($Z494="F",INDEX(FTE_Allocation!$B$2:$B$201,$AB494)&amp;"","")))</f>
        <v/>
      </c>
      <c r="E494" s="7">
        <f>IF($Z494="C",INDEX(Contracts!$P$2:$P$151,$AB494)&amp;"",IF($Z494="A",INDEX(Fixed_Assets!$K$2:$K$201,$AB494)&amp;"",IF($Z494="F",IF(INDEX(FTE_Allocation!$D$2:$D$201,$AB494)="PROJECT",IFERROR(INDEX(Projects!$D:$D,MATCH(INDEX(FTE_Allocation!$E$2:$E$201,$AB494),Projects!$A:$A,0))&amp;"","#PROJECT?"),INDEX(FTE_Allocation!$E$2:$E$201,$AB494)&amp;""),"")))</f>
        <v/>
      </c>
      <c r="F494" s="7">
        <f>IF($Z494="C",INDEX(Contracts!$Q$2:$Q$151,$AB494)&amp;"",IF($Z494="A",INDEX(Fixed_Assets!$L$2:$L$201,$AB494)&amp;"",IF($Z494="F",INDEX(Workforce!$K$2:$K$151,MATCH(INDEX(FTE_Allocation!$A$2:$A$201,$AB494),Workforce!$A$2:$A$151,0))&amp;"","")))</f>
        <v/>
      </c>
      <c r="G494" s="7">
        <f>IF($Z494="C",INDEX(Contracts!$F$2:$F$151,$AB494)&amp;" / "&amp;INDEX(Contracts!$G$2:$G$151,$AB494),IF($Z494="A",INDEX(Fixed_Assets!$E$2:$E$201,$AB494)&amp;"",IF($Z494="F","Personnel "&amp;INDEX(FTE_Allocation!$A$2:$A$201,$AB494)&amp;IF(INDEX(FTE_Allocation!$D$2:$D$201,$AB494)="PROJECT"," ("&amp;INDEX(FTE_Allocation!$E$2:$E$201,$AB494)&amp;")",""),"")))</f>
        <v/>
      </c>
      <c r="H494" s="7">
        <f>IF($Z494="C","CONTRACT",IF($Z494="A","ASSET",IF($Z494="F","WORKFORCE","")))</f>
        <v/>
      </c>
      <c r="I494" s="7">
        <f>IF($Z494="C",INDEX(Contracts!$L$2:$L$151,$AB494)&amp;"",IF($Z494="A",INDEX(Fixed_Assets!$I$2:$I$201,$AB494)&amp;"",IF($Z494="F",INDEX(Workforce!$G$2:$G$151,MATCH(INDEX(FTE_Allocation!$A$2:$A$201,$AB494),Workforce!$A$2:$A$151,0))&amp;"","")))</f>
        <v/>
      </c>
      <c r="J494" s="18">
        <f>IF($Z494="","",IF(AND(DATE($AD494,1,1)&gt;=$AE494,DATE($AD494,1,1)&lt;=$AF494),ROUND($AG494,2),0))</f>
        <v/>
      </c>
      <c r="K494" s="18">
        <f>IF($Z494="","",IF(AND(DATE($AD494,2,1)&gt;=$AE494,DATE($AD494,2,1)&lt;=$AF494),ROUND($AG494,2),0))</f>
        <v/>
      </c>
      <c r="L494" s="18">
        <f>IF($Z494="","",IF(AND(DATE($AD494,3,1)&gt;=$AE494,DATE($AD494,3,1)&lt;=$AF494),ROUND($AG494,2),0))</f>
        <v/>
      </c>
      <c r="M494" s="18">
        <f>IF($Z494="","",IF(AND(DATE($AD494,4,1)&gt;=$AE494,DATE($AD494,4,1)&lt;=$AF494),ROUND($AG494,2),0))</f>
        <v/>
      </c>
      <c r="N494" s="18">
        <f>IF($Z494="","",IF(AND(DATE($AD494,5,1)&gt;=$AE494,DATE($AD494,5,1)&lt;=$AF494),ROUND($AG494,2),0))</f>
        <v/>
      </c>
      <c r="O494" s="18">
        <f>IF($Z494="","",IF(AND(DATE($AD494,6,1)&gt;=$AE494,DATE($AD494,6,1)&lt;=$AF494),ROUND($AG494,2),0))</f>
        <v/>
      </c>
      <c r="P494" s="18">
        <f>IF($Z494="","",IF(AND(DATE($AD494,7,1)&gt;=$AE494,DATE($AD494,7,1)&lt;=$AF494),ROUND($AG494,2),0))</f>
        <v/>
      </c>
      <c r="Q494" s="18">
        <f>IF($Z494="","",IF(AND(DATE($AD494,8,1)&gt;=$AE494,DATE($AD494,8,1)&lt;=$AF494),ROUND($AG494,2),0))</f>
        <v/>
      </c>
      <c r="R494" s="18">
        <f>IF($Z494="","",IF(AND(DATE($AD494,9,1)&gt;=$AE494,DATE($AD494,9,1)&lt;=$AF494),ROUND($AG494,2),0))</f>
        <v/>
      </c>
      <c r="S494" s="18">
        <f>IF($Z494="","",IF(AND(DATE($AD494,10,1)&gt;=$AE494,DATE($AD494,10,1)&lt;=$AF494),ROUND($AG494,2),0))</f>
        <v/>
      </c>
      <c r="T494" s="18">
        <f>IF($Z494="","",IF(AND(DATE($AD494,11,1)&gt;=$AE494,DATE($AD494,11,1)&lt;=$AF494),ROUND($AG494,2),0))</f>
        <v/>
      </c>
      <c r="U494" s="18">
        <f>IF($Z494="","",IF(AND(DATE($AD494,12,1)&gt;=$AE494,DATE($AD494,12,1)&lt;=$AF494),ROUND($AG494,2),0))</f>
        <v/>
      </c>
      <c r="V494" s="7">
        <f>IF($Z494="C","Generated from "&amp;INDEX(Contracts!$A$2:$A$151,$AB494),IF($Z494="A","Generated from "&amp;INDEX(Fixed_Assets!$A$2:$A$201,$AB494),IF($Z494="F","Generated from "&amp;INDEX(FTE_Allocation!$A$2:$A$201,$AB494),"")))</f>
        <v/>
      </c>
      <c r="X494" s="19">
        <f>IF($Z494="","",SUM(J494:U494))</f>
        <v/>
      </c>
      <c r="Y494" s="20">
        <f>ROW()-1</f>
        <v/>
      </c>
      <c r="Z494" s="20">
        <f>IF($Y494&lt;=Settings!$B$4*3,"C",IF($Y494&lt;=(Settings!$B$4+Settings!$B$5)*3,"A",IF($Y494&lt;=(Settings!$B$4+Settings!$B$5+Settings!$B$6)*3,"F","")))</f>
        <v/>
      </c>
      <c r="AA494" s="20">
        <f>IF($Z494="C",$Y494,IF($Z494="A",$Y494-Settings!$B$4*3,IF($Z494="F",$Y494-(Settings!$B$4+Settings!$B$5)*3,"")))</f>
        <v/>
      </c>
      <c r="AB494" s="20">
        <f>IF($Z494="","",INT(($AA494-1)/3)+1)</f>
        <v/>
      </c>
      <c r="AC494" s="20">
        <f>IF($Z494="","",MOD($AA494-1,3)+1)</f>
        <v/>
      </c>
      <c r="AD494" s="20">
        <f>IF($Z494="","",Settings!$B$2+$AC494-1)</f>
        <v/>
      </c>
      <c r="AE494" s="21">
        <f>IF($Z494="C",DATE(YEAR(INDEX(Contracts!$J$2:$J$151,$AB494)),MONTH(INDEX(Contracts!$J$2:$J$151,$AB494)),1),IF($Z494="A",DATE(YEAR(INDEX(Fixed_Assets!$G$2:$G$201,$AB494)),MONTH(INDEX(Fixed_Assets!$G$2:$G$201,$AB494)),1),IF($Z494="F",DATE(YEAR(MAX(N(INDEX(Workforce!$I$2:$I$151,MATCH(INDEX(FTE_Allocation!$A$2:$A$201,$AB494),Workforce!$A$2:$A$151,0))),N(INDEX(FTE_Allocation!$I$2:$I$201,$AB494)))),MONTH(MAX(N(INDEX(Workforce!$I$2:$I$151,MATCH(INDEX(FTE_Allocation!$A$2:$A$201,$AB494),Workforce!$A$2:$A$151,0))),N(INDEX(FTE_Allocation!$I$2:$I$201,$AB494)))),1),"")))</f>
        <v/>
      </c>
      <c r="AF494" s="21">
        <f>IF($Z494="C",IF(INDEX(Contracts!$I$2:$I$151,$AB494)="PREPAID",EDATE(DATE(YEAR(INDEX(Contracts!$J$2:$J$151,$AB494)),MONTH(INDEX(Contracts!$J$2:$J$151,$AB494)),1),IF(INDEX(Contracts!$N$2:$N$151,$AB494)="",12,INDEX(Contracts!$N$2:$N$151,$AB494))-1),IF(INDEX(Contracts!$I$2:$I$151,$AB494)="MONTHLY",IF(INDEX(Contracts!$K$2:$K$151,$AB494)="",2958101,INDEX(Contracts!$K$2:$K$151,$AB494)),0)),IF($Z494="A",EDATE(DATE(YEAR(INDEX(Fixed_Assets!$G$2:$G$201,$AB494)),MONTH(INDEX(Fixed_Assets!$G$2:$G$201,$AB494)),1),INDEX(Fixed_Assets!$J$2:$J$201,$AB494)-1),IF($Z494="F",MIN(IF(INDEX(Workforce!$J$2:$J$151,MATCH(INDEX(FTE_Allocation!$A$2:$A$201,$AB494),Workforce!$A$2:$A$151,0))="",2958101,INDEX(Workforce!$J$2:$J$151,MATCH(INDEX(FTE_Allocation!$A$2:$A$201,$AB494),Workforce!$A$2:$A$151,0))),IF(INDEX(FTE_Allocation!$J$2:$J$201,$AB494)="",2958101,INDEX(FTE_Allocation!$J$2:$J$201,$AB494))),"")))</f>
        <v/>
      </c>
      <c r="AG494" s="19">
        <f>IF($Z494="C",IF(INDEX(Contracts!$I$2:$I$151,$AB494)="PREPAID",INDEX(Contracts!$M$2:$M$151,$AB494)/IF(INDEX(Contracts!$N$2:$N$151,$AB494)="",12,INDEX(Contracts!$N$2:$N$151,$AB494)),IF(INDEX(Contracts!$I$2:$I$151,$AB494)="MONTHLY",INDEX(Contracts!$M$2:$M$151,$AB494),0))*(1-N(INDEX(Contracts!$O$2:$O$151,$AB494))),IF($Z494="A",INDEX(Fixed_Assets!$H$2:$H$201,$AB494)/INDEX(Fixed_Assets!$J$2:$J$201,$AB494),IF($Z494="F",INDEX(Workforce!$F$2:$F$151,MATCH(INDEX(FTE_Allocation!$A$2:$A$201,$AB494),Workforce!$A$2:$A$151,0))*N(INDEX(FTE_Allocation!$F$2:$H$201,$AB494,$AC494)),"")))</f>
        <v/>
      </c>
    </row>
    <row r="495">
      <c r="A495" s="7">
        <f>IF($Z495="","",$AD495)</f>
        <v/>
      </c>
      <c r="B495" s="7">
        <f>IF($Z495="C",INDEX(Contracts!$D$2:$D$151,$AB495)&amp;"",IF($Z495="A",INDEX(Fixed_Assets!$C$2:$C$201,$AB495)&amp;"",IF($Z495="F",INDEX(Workforce!$B$2:$B$151,MATCH(INDEX(FTE_Allocation!$A$2:$A$201,$AB495),Workforce!$A$2:$A$151,0))&amp;"","")))</f>
        <v/>
      </c>
      <c r="C495" s="7">
        <f>IF($Z495="C",INDEX(Contracts!$E$2:$E$151,$AB495)&amp;"",IF($Z495="A",INDEX(Fixed_Assets!$D$2:$D$201,$AB495)&amp;"",IF($Z495="F",INDEX(FTE_Allocation!$C$2:$C$201,$AB495)&amp;"","")))</f>
        <v/>
      </c>
      <c r="D495" s="7">
        <f>IF($Z495="C",INDEX(Contracts!$B$2:$B$151,$AB495)&amp;"",IF($Z495="A",INDEX(Fixed_Assets!$B$2:$B$201,$AB495)&amp;"",IF($Z495="F",INDEX(FTE_Allocation!$B$2:$B$201,$AB495)&amp;"","")))</f>
        <v/>
      </c>
      <c r="E495" s="7">
        <f>IF($Z495="C",INDEX(Contracts!$P$2:$P$151,$AB495)&amp;"",IF($Z495="A",INDEX(Fixed_Assets!$K$2:$K$201,$AB495)&amp;"",IF($Z495="F",IF(INDEX(FTE_Allocation!$D$2:$D$201,$AB495)="PROJECT",IFERROR(INDEX(Projects!$D:$D,MATCH(INDEX(FTE_Allocation!$E$2:$E$201,$AB495),Projects!$A:$A,0))&amp;"","#PROJECT?"),INDEX(FTE_Allocation!$E$2:$E$201,$AB495)&amp;""),"")))</f>
        <v/>
      </c>
      <c r="F495" s="7">
        <f>IF($Z495="C",INDEX(Contracts!$Q$2:$Q$151,$AB495)&amp;"",IF($Z495="A",INDEX(Fixed_Assets!$L$2:$L$201,$AB495)&amp;"",IF($Z495="F",INDEX(Workforce!$K$2:$K$151,MATCH(INDEX(FTE_Allocation!$A$2:$A$201,$AB495),Workforce!$A$2:$A$151,0))&amp;"","")))</f>
        <v/>
      </c>
      <c r="G495" s="7">
        <f>IF($Z495="C",INDEX(Contracts!$F$2:$F$151,$AB495)&amp;" / "&amp;INDEX(Contracts!$G$2:$G$151,$AB495),IF($Z495="A",INDEX(Fixed_Assets!$E$2:$E$201,$AB495)&amp;"",IF($Z495="F","Personnel "&amp;INDEX(FTE_Allocation!$A$2:$A$201,$AB495)&amp;IF(INDEX(FTE_Allocation!$D$2:$D$201,$AB495)="PROJECT"," ("&amp;INDEX(FTE_Allocation!$E$2:$E$201,$AB495)&amp;")",""),"")))</f>
        <v/>
      </c>
      <c r="H495" s="7">
        <f>IF($Z495="C","CONTRACT",IF($Z495="A","ASSET",IF($Z495="F","WORKFORCE","")))</f>
        <v/>
      </c>
      <c r="I495" s="7">
        <f>IF($Z495="C",INDEX(Contracts!$L$2:$L$151,$AB495)&amp;"",IF($Z495="A",INDEX(Fixed_Assets!$I$2:$I$201,$AB495)&amp;"",IF($Z495="F",INDEX(Workforce!$G$2:$G$151,MATCH(INDEX(FTE_Allocation!$A$2:$A$201,$AB495),Workforce!$A$2:$A$151,0))&amp;"","")))</f>
        <v/>
      </c>
      <c r="J495" s="18">
        <f>IF($Z495="","",IF(AND(DATE($AD495,1,1)&gt;=$AE495,DATE($AD495,1,1)&lt;=$AF495),ROUND($AG495,2),0))</f>
        <v/>
      </c>
      <c r="K495" s="18">
        <f>IF($Z495="","",IF(AND(DATE($AD495,2,1)&gt;=$AE495,DATE($AD495,2,1)&lt;=$AF495),ROUND($AG495,2),0))</f>
        <v/>
      </c>
      <c r="L495" s="18">
        <f>IF($Z495="","",IF(AND(DATE($AD495,3,1)&gt;=$AE495,DATE($AD495,3,1)&lt;=$AF495),ROUND($AG495,2),0))</f>
        <v/>
      </c>
      <c r="M495" s="18">
        <f>IF($Z495="","",IF(AND(DATE($AD495,4,1)&gt;=$AE495,DATE($AD495,4,1)&lt;=$AF495),ROUND($AG495,2),0))</f>
        <v/>
      </c>
      <c r="N495" s="18">
        <f>IF($Z495="","",IF(AND(DATE($AD495,5,1)&gt;=$AE495,DATE($AD495,5,1)&lt;=$AF495),ROUND($AG495,2),0))</f>
        <v/>
      </c>
      <c r="O495" s="18">
        <f>IF($Z495="","",IF(AND(DATE($AD495,6,1)&gt;=$AE495,DATE($AD495,6,1)&lt;=$AF495),ROUND($AG495,2),0))</f>
        <v/>
      </c>
      <c r="P495" s="18">
        <f>IF($Z495="","",IF(AND(DATE($AD495,7,1)&gt;=$AE495,DATE($AD495,7,1)&lt;=$AF495),ROUND($AG495,2),0))</f>
        <v/>
      </c>
      <c r="Q495" s="18">
        <f>IF($Z495="","",IF(AND(DATE($AD495,8,1)&gt;=$AE495,DATE($AD495,8,1)&lt;=$AF495),ROUND($AG495,2),0))</f>
        <v/>
      </c>
      <c r="R495" s="18">
        <f>IF($Z495="","",IF(AND(DATE($AD495,9,1)&gt;=$AE495,DATE($AD495,9,1)&lt;=$AF495),ROUND($AG495,2),0))</f>
        <v/>
      </c>
      <c r="S495" s="18">
        <f>IF($Z495="","",IF(AND(DATE($AD495,10,1)&gt;=$AE495,DATE($AD495,10,1)&lt;=$AF495),ROUND($AG495,2),0))</f>
        <v/>
      </c>
      <c r="T495" s="18">
        <f>IF($Z495="","",IF(AND(DATE($AD495,11,1)&gt;=$AE495,DATE($AD495,11,1)&lt;=$AF495),ROUND($AG495,2),0))</f>
        <v/>
      </c>
      <c r="U495" s="18">
        <f>IF($Z495="","",IF(AND(DATE($AD495,12,1)&gt;=$AE495,DATE($AD495,12,1)&lt;=$AF495),ROUND($AG495,2),0))</f>
        <v/>
      </c>
      <c r="V495" s="7">
        <f>IF($Z495="C","Generated from "&amp;INDEX(Contracts!$A$2:$A$151,$AB495),IF($Z495="A","Generated from "&amp;INDEX(Fixed_Assets!$A$2:$A$201,$AB495),IF($Z495="F","Generated from "&amp;INDEX(FTE_Allocation!$A$2:$A$201,$AB495),"")))</f>
        <v/>
      </c>
      <c r="X495" s="19">
        <f>IF($Z495="","",SUM(J495:U495))</f>
        <v/>
      </c>
      <c r="Y495" s="20">
        <f>ROW()-1</f>
        <v/>
      </c>
      <c r="Z495" s="20">
        <f>IF($Y495&lt;=Settings!$B$4*3,"C",IF($Y495&lt;=(Settings!$B$4+Settings!$B$5)*3,"A",IF($Y495&lt;=(Settings!$B$4+Settings!$B$5+Settings!$B$6)*3,"F","")))</f>
        <v/>
      </c>
      <c r="AA495" s="20">
        <f>IF($Z495="C",$Y495,IF($Z495="A",$Y495-Settings!$B$4*3,IF($Z495="F",$Y495-(Settings!$B$4+Settings!$B$5)*3,"")))</f>
        <v/>
      </c>
      <c r="AB495" s="20">
        <f>IF($Z495="","",INT(($AA495-1)/3)+1)</f>
        <v/>
      </c>
      <c r="AC495" s="20">
        <f>IF($Z495="","",MOD($AA495-1,3)+1)</f>
        <v/>
      </c>
      <c r="AD495" s="20">
        <f>IF($Z495="","",Settings!$B$2+$AC495-1)</f>
        <v/>
      </c>
      <c r="AE495" s="21">
        <f>IF($Z495="C",DATE(YEAR(INDEX(Contracts!$J$2:$J$151,$AB495)),MONTH(INDEX(Contracts!$J$2:$J$151,$AB495)),1),IF($Z495="A",DATE(YEAR(INDEX(Fixed_Assets!$G$2:$G$201,$AB495)),MONTH(INDEX(Fixed_Assets!$G$2:$G$201,$AB495)),1),IF($Z495="F",DATE(YEAR(MAX(N(INDEX(Workforce!$I$2:$I$151,MATCH(INDEX(FTE_Allocation!$A$2:$A$201,$AB495),Workforce!$A$2:$A$151,0))),N(INDEX(FTE_Allocation!$I$2:$I$201,$AB495)))),MONTH(MAX(N(INDEX(Workforce!$I$2:$I$151,MATCH(INDEX(FTE_Allocation!$A$2:$A$201,$AB495),Workforce!$A$2:$A$151,0))),N(INDEX(FTE_Allocation!$I$2:$I$201,$AB495)))),1),"")))</f>
        <v/>
      </c>
      <c r="AF495" s="21">
        <f>IF($Z495="C",IF(INDEX(Contracts!$I$2:$I$151,$AB495)="PREPAID",EDATE(DATE(YEAR(INDEX(Contracts!$J$2:$J$151,$AB495)),MONTH(INDEX(Contracts!$J$2:$J$151,$AB495)),1),IF(INDEX(Contracts!$N$2:$N$151,$AB495)="",12,INDEX(Contracts!$N$2:$N$151,$AB495))-1),IF(INDEX(Contracts!$I$2:$I$151,$AB495)="MONTHLY",IF(INDEX(Contracts!$K$2:$K$151,$AB495)="",2958101,INDEX(Contracts!$K$2:$K$151,$AB495)),0)),IF($Z495="A",EDATE(DATE(YEAR(INDEX(Fixed_Assets!$G$2:$G$201,$AB495)),MONTH(INDEX(Fixed_Assets!$G$2:$G$201,$AB495)),1),INDEX(Fixed_Assets!$J$2:$J$201,$AB495)-1),IF($Z495="F",MIN(IF(INDEX(Workforce!$J$2:$J$151,MATCH(INDEX(FTE_Allocation!$A$2:$A$201,$AB495),Workforce!$A$2:$A$151,0))="",2958101,INDEX(Workforce!$J$2:$J$151,MATCH(INDEX(FTE_Allocation!$A$2:$A$201,$AB495),Workforce!$A$2:$A$151,0))),IF(INDEX(FTE_Allocation!$J$2:$J$201,$AB495)="",2958101,INDEX(FTE_Allocation!$J$2:$J$201,$AB495))),"")))</f>
        <v/>
      </c>
      <c r="AG495" s="19">
        <f>IF($Z495="C",IF(INDEX(Contracts!$I$2:$I$151,$AB495)="PREPAID",INDEX(Contracts!$M$2:$M$151,$AB495)/IF(INDEX(Contracts!$N$2:$N$151,$AB495)="",12,INDEX(Contracts!$N$2:$N$151,$AB495)),IF(INDEX(Contracts!$I$2:$I$151,$AB495)="MONTHLY",INDEX(Contracts!$M$2:$M$151,$AB495),0))*(1-N(INDEX(Contracts!$O$2:$O$151,$AB495))),IF($Z495="A",INDEX(Fixed_Assets!$H$2:$H$201,$AB495)/INDEX(Fixed_Assets!$J$2:$J$201,$AB495),IF($Z495="F",INDEX(Workforce!$F$2:$F$151,MATCH(INDEX(FTE_Allocation!$A$2:$A$201,$AB495),Workforce!$A$2:$A$151,0))*N(INDEX(FTE_Allocation!$F$2:$H$201,$AB495,$AC495)),"")))</f>
        <v/>
      </c>
    </row>
    <row r="496">
      <c r="A496" s="7">
        <f>IF($Z496="","",$AD496)</f>
        <v/>
      </c>
      <c r="B496" s="7">
        <f>IF($Z496="C",INDEX(Contracts!$D$2:$D$151,$AB496)&amp;"",IF($Z496="A",INDEX(Fixed_Assets!$C$2:$C$201,$AB496)&amp;"",IF($Z496="F",INDEX(Workforce!$B$2:$B$151,MATCH(INDEX(FTE_Allocation!$A$2:$A$201,$AB496),Workforce!$A$2:$A$151,0))&amp;"","")))</f>
        <v/>
      </c>
      <c r="C496" s="7">
        <f>IF($Z496="C",INDEX(Contracts!$E$2:$E$151,$AB496)&amp;"",IF($Z496="A",INDEX(Fixed_Assets!$D$2:$D$201,$AB496)&amp;"",IF($Z496="F",INDEX(FTE_Allocation!$C$2:$C$201,$AB496)&amp;"","")))</f>
        <v/>
      </c>
      <c r="D496" s="7">
        <f>IF($Z496="C",INDEX(Contracts!$B$2:$B$151,$AB496)&amp;"",IF($Z496="A",INDEX(Fixed_Assets!$B$2:$B$201,$AB496)&amp;"",IF($Z496="F",INDEX(FTE_Allocation!$B$2:$B$201,$AB496)&amp;"","")))</f>
        <v/>
      </c>
      <c r="E496" s="7">
        <f>IF($Z496="C",INDEX(Contracts!$P$2:$P$151,$AB496)&amp;"",IF($Z496="A",INDEX(Fixed_Assets!$K$2:$K$201,$AB496)&amp;"",IF($Z496="F",IF(INDEX(FTE_Allocation!$D$2:$D$201,$AB496)="PROJECT",IFERROR(INDEX(Projects!$D:$D,MATCH(INDEX(FTE_Allocation!$E$2:$E$201,$AB496),Projects!$A:$A,0))&amp;"","#PROJECT?"),INDEX(FTE_Allocation!$E$2:$E$201,$AB496)&amp;""),"")))</f>
        <v/>
      </c>
      <c r="F496" s="7">
        <f>IF($Z496="C",INDEX(Contracts!$Q$2:$Q$151,$AB496)&amp;"",IF($Z496="A",INDEX(Fixed_Assets!$L$2:$L$201,$AB496)&amp;"",IF($Z496="F",INDEX(Workforce!$K$2:$K$151,MATCH(INDEX(FTE_Allocation!$A$2:$A$201,$AB496),Workforce!$A$2:$A$151,0))&amp;"","")))</f>
        <v/>
      </c>
      <c r="G496" s="7">
        <f>IF($Z496="C",INDEX(Contracts!$F$2:$F$151,$AB496)&amp;" / "&amp;INDEX(Contracts!$G$2:$G$151,$AB496),IF($Z496="A",INDEX(Fixed_Assets!$E$2:$E$201,$AB496)&amp;"",IF($Z496="F","Personnel "&amp;INDEX(FTE_Allocation!$A$2:$A$201,$AB496)&amp;IF(INDEX(FTE_Allocation!$D$2:$D$201,$AB496)="PROJECT"," ("&amp;INDEX(FTE_Allocation!$E$2:$E$201,$AB496)&amp;")",""),"")))</f>
        <v/>
      </c>
      <c r="H496" s="7">
        <f>IF($Z496="C","CONTRACT",IF($Z496="A","ASSET",IF($Z496="F","WORKFORCE","")))</f>
        <v/>
      </c>
      <c r="I496" s="7">
        <f>IF($Z496="C",INDEX(Contracts!$L$2:$L$151,$AB496)&amp;"",IF($Z496="A",INDEX(Fixed_Assets!$I$2:$I$201,$AB496)&amp;"",IF($Z496="F",INDEX(Workforce!$G$2:$G$151,MATCH(INDEX(FTE_Allocation!$A$2:$A$201,$AB496),Workforce!$A$2:$A$151,0))&amp;"","")))</f>
        <v/>
      </c>
      <c r="J496" s="18">
        <f>IF($Z496="","",IF(AND(DATE($AD496,1,1)&gt;=$AE496,DATE($AD496,1,1)&lt;=$AF496),ROUND($AG496,2),0))</f>
        <v/>
      </c>
      <c r="K496" s="18">
        <f>IF($Z496="","",IF(AND(DATE($AD496,2,1)&gt;=$AE496,DATE($AD496,2,1)&lt;=$AF496),ROUND($AG496,2),0))</f>
        <v/>
      </c>
      <c r="L496" s="18">
        <f>IF($Z496="","",IF(AND(DATE($AD496,3,1)&gt;=$AE496,DATE($AD496,3,1)&lt;=$AF496),ROUND($AG496,2),0))</f>
        <v/>
      </c>
      <c r="M496" s="18">
        <f>IF($Z496="","",IF(AND(DATE($AD496,4,1)&gt;=$AE496,DATE($AD496,4,1)&lt;=$AF496),ROUND($AG496,2),0))</f>
        <v/>
      </c>
      <c r="N496" s="18">
        <f>IF($Z496="","",IF(AND(DATE($AD496,5,1)&gt;=$AE496,DATE($AD496,5,1)&lt;=$AF496),ROUND($AG496,2),0))</f>
        <v/>
      </c>
      <c r="O496" s="18">
        <f>IF($Z496="","",IF(AND(DATE($AD496,6,1)&gt;=$AE496,DATE($AD496,6,1)&lt;=$AF496),ROUND($AG496,2),0))</f>
        <v/>
      </c>
      <c r="P496" s="18">
        <f>IF($Z496="","",IF(AND(DATE($AD496,7,1)&gt;=$AE496,DATE($AD496,7,1)&lt;=$AF496),ROUND($AG496,2),0))</f>
        <v/>
      </c>
      <c r="Q496" s="18">
        <f>IF($Z496="","",IF(AND(DATE($AD496,8,1)&gt;=$AE496,DATE($AD496,8,1)&lt;=$AF496),ROUND($AG496,2),0))</f>
        <v/>
      </c>
      <c r="R496" s="18">
        <f>IF($Z496="","",IF(AND(DATE($AD496,9,1)&gt;=$AE496,DATE($AD496,9,1)&lt;=$AF496),ROUND($AG496,2),0))</f>
        <v/>
      </c>
      <c r="S496" s="18">
        <f>IF($Z496="","",IF(AND(DATE($AD496,10,1)&gt;=$AE496,DATE($AD496,10,1)&lt;=$AF496),ROUND($AG496,2),0))</f>
        <v/>
      </c>
      <c r="T496" s="18">
        <f>IF($Z496="","",IF(AND(DATE($AD496,11,1)&gt;=$AE496,DATE($AD496,11,1)&lt;=$AF496),ROUND($AG496,2),0))</f>
        <v/>
      </c>
      <c r="U496" s="18">
        <f>IF($Z496="","",IF(AND(DATE($AD496,12,1)&gt;=$AE496,DATE($AD496,12,1)&lt;=$AF496),ROUND($AG496,2),0))</f>
        <v/>
      </c>
      <c r="V496" s="7">
        <f>IF($Z496="C","Generated from "&amp;INDEX(Contracts!$A$2:$A$151,$AB496),IF($Z496="A","Generated from "&amp;INDEX(Fixed_Assets!$A$2:$A$201,$AB496),IF($Z496="F","Generated from "&amp;INDEX(FTE_Allocation!$A$2:$A$201,$AB496),"")))</f>
        <v/>
      </c>
      <c r="X496" s="19">
        <f>IF($Z496="","",SUM(J496:U496))</f>
        <v/>
      </c>
      <c r="Y496" s="20">
        <f>ROW()-1</f>
        <v/>
      </c>
      <c r="Z496" s="20">
        <f>IF($Y496&lt;=Settings!$B$4*3,"C",IF($Y496&lt;=(Settings!$B$4+Settings!$B$5)*3,"A",IF($Y496&lt;=(Settings!$B$4+Settings!$B$5+Settings!$B$6)*3,"F","")))</f>
        <v/>
      </c>
      <c r="AA496" s="20">
        <f>IF($Z496="C",$Y496,IF($Z496="A",$Y496-Settings!$B$4*3,IF($Z496="F",$Y496-(Settings!$B$4+Settings!$B$5)*3,"")))</f>
        <v/>
      </c>
      <c r="AB496" s="20">
        <f>IF($Z496="","",INT(($AA496-1)/3)+1)</f>
        <v/>
      </c>
      <c r="AC496" s="20">
        <f>IF($Z496="","",MOD($AA496-1,3)+1)</f>
        <v/>
      </c>
      <c r="AD496" s="20">
        <f>IF($Z496="","",Settings!$B$2+$AC496-1)</f>
        <v/>
      </c>
      <c r="AE496" s="21">
        <f>IF($Z496="C",DATE(YEAR(INDEX(Contracts!$J$2:$J$151,$AB496)),MONTH(INDEX(Contracts!$J$2:$J$151,$AB496)),1),IF($Z496="A",DATE(YEAR(INDEX(Fixed_Assets!$G$2:$G$201,$AB496)),MONTH(INDEX(Fixed_Assets!$G$2:$G$201,$AB496)),1),IF($Z496="F",DATE(YEAR(MAX(N(INDEX(Workforce!$I$2:$I$151,MATCH(INDEX(FTE_Allocation!$A$2:$A$201,$AB496),Workforce!$A$2:$A$151,0))),N(INDEX(FTE_Allocation!$I$2:$I$201,$AB496)))),MONTH(MAX(N(INDEX(Workforce!$I$2:$I$151,MATCH(INDEX(FTE_Allocation!$A$2:$A$201,$AB496),Workforce!$A$2:$A$151,0))),N(INDEX(FTE_Allocation!$I$2:$I$201,$AB496)))),1),"")))</f>
        <v/>
      </c>
      <c r="AF496" s="21">
        <f>IF($Z496="C",IF(INDEX(Contracts!$I$2:$I$151,$AB496)="PREPAID",EDATE(DATE(YEAR(INDEX(Contracts!$J$2:$J$151,$AB496)),MONTH(INDEX(Contracts!$J$2:$J$151,$AB496)),1),IF(INDEX(Contracts!$N$2:$N$151,$AB496)="",12,INDEX(Contracts!$N$2:$N$151,$AB496))-1),IF(INDEX(Contracts!$I$2:$I$151,$AB496)="MONTHLY",IF(INDEX(Contracts!$K$2:$K$151,$AB496)="",2958101,INDEX(Contracts!$K$2:$K$151,$AB496)),0)),IF($Z496="A",EDATE(DATE(YEAR(INDEX(Fixed_Assets!$G$2:$G$201,$AB496)),MONTH(INDEX(Fixed_Assets!$G$2:$G$201,$AB496)),1),INDEX(Fixed_Assets!$J$2:$J$201,$AB496)-1),IF($Z496="F",MIN(IF(INDEX(Workforce!$J$2:$J$151,MATCH(INDEX(FTE_Allocation!$A$2:$A$201,$AB496),Workforce!$A$2:$A$151,0))="",2958101,INDEX(Workforce!$J$2:$J$151,MATCH(INDEX(FTE_Allocation!$A$2:$A$201,$AB496),Workforce!$A$2:$A$151,0))),IF(INDEX(FTE_Allocation!$J$2:$J$201,$AB496)="",2958101,INDEX(FTE_Allocation!$J$2:$J$201,$AB496))),"")))</f>
        <v/>
      </c>
      <c r="AG496" s="19">
        <f>IF($Z496="C",IF(INDEX(Contracts!$I$2:$I$151,$AB496)="PREPAID",INDEX(Contracts!$M$2:$M$151,$AB496)/IF(INDEX(Contracts!$N$2:$N$151,$AB496)="",12,INDEX(Contracts!$N$2:$N$151,$AB496)),IF(INDEX(Contracts!$I$2:$I$151,$AB496)="MONTHLY",INDEX(Contracts!$M$2:$M$151,$AB496),0))*(1-N(INDEX(Contracts!$O$2:$O$151,$AB496))),IF($Z496="A",INDEX(Fixed_Assets!$H$2:$H$201,$AB496)/INDEX(Fixed_Assets!$J$2:$J$201,$AB496),IF($Z496="F",INDEX(Workforce!$F$2:$F$151,MATCH(INDEX(FTE_Allocation!$A$2:$A$201,$AB496),Workforce!$A$2:$A$151,0))*N(INDEX(FTE_Allocation!$F$2:$H$201,$AB496,$AC496)),"")))</f>
        <v/>
      </c>
    </row>
    <row r="497">
      <c r="A497" s="7">
        <f>IF($Z497="","",$AD497)</f>
        <v/>
      </c>
      <c r="B497" s="7">
        <f>IF($Z497="C",INDEX(Contracts!$D$2:$D$151,$AB497)&amp;"",IF($Z497="A",INDEX(Fixed_Assets!$C$2:$C$201,$AB497)&amp;"",IF($Z497="F",INDEX(Workforce!$B$2:$B$151,MATCH(INDEX(FTE_Allocation!$A$2:$A$201,$AB497),Workforce!$A$2:$A$151,0))&amp;"","")))</f>
        <v/>
      </c>
      <c r="C497" s="7">
        <f>IF($Z497="C",INDEX(Contracts!$E$2:$E$151,$AB497)&amp;"",IF($Z497="A",INDEX(Fixed_Assets!$D$2:$D$201,$AB497)&amp;"",IF($Z497="F",INDEX(FTE_Allocation!$C$2:$C$201,$AB497)&amp;"","")))</f>
        <v/>
      </c>
      <c r="D497" s="7">
        <f>IF($Z497="C",INDEX(Contracts!$B$2:$B$151,$AB497)&amp;"",IF($Z497="A",INDEX(Fixed_Assets!$B$2:$B$201,$AB497)&amp;"",IF($Z497="F",INDEX(FTE_Allocation!$B$2:$B$201,$AB497)&amp;"","")))</f>
        <v/>
      </c>
      <c r="E497" s="7">
        <f>IF($Z497="C",INDEX(Contracts!$P$2:$P$151,$AB497)&amp;"",IF($Z497="A",INDEX(Fixed_Assets!$K$2:$K$201,$AB497)&amp;"",IF($Z497="F",IF(INDEX(FTE_Allocation!$D$2:$D$201,$AB497)="PROJECT",IFERROR(INDEX(Projects!$D:$D,MATCH(INDEX(FTE_Allocation!$E$2:$E$201,$AB497),Projects!$A:$A,0))&amp;"","#PROJECT?"),INDEX(FTE_Allocation!$E$2:$E$201,$AB497)&amp;""),"")))</f>
        <v/>
      </c>
      <c r="F497" s="7">
        <f>IF($Z497="C",INDEX(Contracts!$Q$2:$Q$151,$AB497)&amp;"",IF($Z497="A",INDEX(Fixed_Assets!$L$2:$L$201,$AB497)&amp;"",IF($Z497="F",INDEX(Workforce!$K$2:$K$151,MATCH(INDEX(FTE_Allocation!$A$2:$A$201,$AB497),Workforce!$A$2:$A$151,0))&amp;"","")))</f>
        <v/>
      </c>
      <c r="G497" s="7">
        <f>IF($Z497="C",INDEX(Contracts!$F$2:$F$151,$AB497)&amp;" / "&amp;INDEX(Contracts!$G$2:$G$151,$AB497),IF($Z497="A",INDEX(Fixed_Assets!$E$2:$E$201,$AB497)&amp;"",IF($Z497="F","Personnel "&amp;INDEX(FTE_Allocation!$A$2:$A$201,$AB497)&amp;IF(INDEX(FTE_Allocation!$D$2:$D$201,$AB497)="PROJECT"," ("&amp;INDEX(FTE_Allocation!$E$2:$E$201,$AB497)&amp;")",""),"")))</f>
        <v/>
      </c>
      <c r="H497" s="7">
        <f>IF($Z497="C","CONTRACT",IF($Z497="A","ASSET",IF($Z497="F","WORKFORCE","")))</f>
        <v/>
      </c>
      <c r="I497" s="7">
        <f>IF($Z497="C",INDEX(Contracts!$L$2:$L$151,$AB497)&amp;"",IF($Z497="A",INDEX(Fixed_Assets!$I$2:$I$201,$AB497)&amp;"",IF($Z497="F",INDEX(Workforce!$G$2:$G$151,MATCH(INDEX(FTE_Allocation!$A$2:$A$201,$AB497),Workforce!$A$2:$A$151,0))&amp;"","")))</f>
        <v/>
      </c>
      <c r="J497" s="18">
        <f>IF($Z497="","",IF(AND(DATE($AD497,1,1)&gt;=$AE497,DATE($AD497,1,1)&lt;=$AF497),ROUND($AG497,2),0))</f>
        <v/>
      </c>
      <c r="K497" s="18">
        <f>IF($Z497="","",IF(AND(DATE($AD497,2,1)&gt;=$AE497,DATE($AD497,2,1)&lt;=$AF497),ROUND($AG497,2),0))</f>
        <v/>
      </c>
      <c r="L497" s="18">
        <f>IF($Z497="","",IF(AND(DATE($AD497,3,1)&gt;=$AE497,DATE($AD497,3,1)&lt;=$AF497),ROUND($AG497,2),0))</f>
        <v/>
      </c>
      <c r="M497" s="18">
        <f>IF($Z497="","",IF(AND(DATE($AD497,4,1)&gt;=$AE497,DATE($AD497,4,1)&lt;=$AF497),ROUND($AG497,2),0))</f>
        <v/>
      </c>
      <c r="N497" s="18">
        <f>IF($Z497="","",IF(AND(DATE($AD497,5,1)&gt;=$AE497,DATE($AD497,5,1)&lt;=$AF497),ROUND($AG497,2),0))</f>
        <v/>
      </c>
      <c r="O497" s="18">
        <f>IF($Z497="","",IF(AND(DATE($AD497,6,1)&gt;=$AE497,DATE($AD497,6,1)&lt;=$AF497),ROUND($AG497,2),0))</f>
        <v/>
      </c>
      <c r="P497" s="18">
        <f>IF($Z497="","",IF(AND(DATE($AD497,7,1)&gt;=$AE497,DATE($AD497,7,1)&lt;=$AF497),ROUND($AG497,2),0))</f>
        <v/>
      </c>
      <c r="Q497" s="18">
        <f>IF($Z497="","",IF(AND(DATE($AD497,8,1)&gt;=$AE497,DATE($AD497,8,1)&lt;=$AF497),ROUND($AG497,2),0))</f>
        <v/>
      </c>
      <c r="R497" s="18">
        <f>IF($Z497="","",IF(AND(DATE($AD497,9,1)&gt;=$AE497,DATE($AD497,9,1)&lt;=$AF497),ROUND($AG497,2),0))</f>
        <v/>
      </c>
      <c r="S497" s="18">
        <f>IF($Z497="","",IF(AND(DATE($AD497,10,1)&gt;=$AE497,DATE($AD497,10,1)&lt;=$AF497),ROUND($AG497,2),0))</f>
        <v/>
      </c>
      <c r="T497" s="18">
        <f>IF($Z497="","",IF(AND(DATE($AD497,11,1)&gt;=$AE497,DATE($AD497,11,1)&lt;=$AF497),ROUND($AG497,2),0))</f>
        <v/>
      </c>
      <c r="U497" s="18">
        <f>IF($Z497="","",IF(AND(DATE($AD497,12,1)&gt;=$AE497,DATE($AD497,12,1)&lt;=$AF497),ROUND($AG497,2),0))</f>
        <v/>
      </c>
      <c r="V497" s="7">
        <f>IF($Z497="C","Generated from "&amp;INDEX(Contracts!$A$2:$A$151,$AB497),IF($Z497="A","Generated from "&amp;INDEX(Fixed_Assets!$A$2:$A$201,$AB497),IF($Z497="F","Generated from "&amp;INDEX(FTE_Allocation!$A$2:$A$201,$AB497),"")))</f>
        <v/>
      </c>
      <c r="X497" s="19">
        <f>IF($Z497="","",SUM(J497:U497))</f>
        <v/>
      </c>
      <c r="Y497" s="20">
        <f>ROW()-1</f>
        <v/>
      </c>
      <c r="Z497" s="20">
        <f>IF($Y497&lt;=Settings!$B$4*3,"C",IF($Y497&lt;=(Settings!$B$4+Settings!$B$5)*3,"A",IF($Y497&lt;=(Settings!$B$4+Settings!$B$5+Settings!$B$6)*3,"F","")))</f>
        <v/>
      </c>
      <c r="AA497" s="20">
        <f>IF($Z497="C",$Y497,IF($Z497="A",$Y497-Settings!$B$4*3,IF($Z497="F",$Y497-(Settings!$B$4+Settings!$B$5)*3,"")))</f>
        <v/>
      </c>
      <c r="AB497" s="20">
        <f>IF($Z497="","",INT(($AA497-1)/3)+1)</f>
        <v/>
      </c>
      <c r="AC497" s="20">
        <f>IF($Z497="","",MOD($AA497-1,3)+1)</f>
        <v/>
      </c>
      <c r="AD497" s="20">
        <f>IF($Z497="","",Settings!$B$2+$AC497-1)</f>
        <v/>
      </c>
      <c r="AE497" s="21">
        <f>IF($Z497="C",DATE(YEAR(INDEX(Contracts!$J$2:$J$151,$AB497)),MONTH(INDEX(Contracts!$J$2:$J$151,$AB497)),1),IF($Z497="A",DATE(YEAR(INDEX(Fixed_Assets!$G$2:$G$201,$AB497)),MONTH(INDEX(Fixed_Assets!$G$2:$G$201,$AB497)),1),IF($Z497="F",DATE(YEAR(MAX(N(INDEX(Workforce!$I$2:$I$151,MATCH(INDEX(FTE_Allocation!$A$2:$A$201,$AB497),Workforce!$A$2:$A$151,0))),N(INDEX(FTE_Allocation!$I$2:$I$201,$AB497)))),MONTH(MAX(N(INDEX(Workforce!$I$2:$I$151,MATCH(INDEX(FTE_Allocation!$A$2:$A$201,$AB497),Workforce!$A$2:$A$151,0))),N(INDEX(FTE_Allocation!$I$2:$I$201,$AB497)))),1),"")))</f>
        <v/>
      </c>
      <c r="AF497" s="21">
        <f>IF($Z497="C",IF(INDEX(Contracts!$I$2:$I$151,$AB497)="PREPAID",EDATE(DATE(YEAR(INDEX(Contracts!$J$2:$J$151,$AB497)),MONTH(INDEX(Contracts!$J$2:$J$151,$AB497)),1),IF(INDEX(Contracts!$N$2:$N$151,$AB497)="",12,INDEX(Contracts!$N$2:$N$151,$AB497))-1),IF(INDEX(Contracts!$I$2:$I$151,$AB497)="MONTHLY",IF(INDEX(Contracts!$K$2:$K$151,$AB497)="",2958101,INDEX(Contracts!$K$2:$K$151,$AB497)),0)),IF($Z497="A",EDATE(DATE(YEAR(INDEX(Fixed_Assets!$G$2:$G$201,$AB497)),MONTH(INDEX(Fixed_Assets!$G$2:$G$201,$AB497)),1),INDEX(Fixed_Assets!$J$2:$J$201,$AB497)-1),IF($Z497="F",MIN(IF(INDEX(Workforce!$J$2:$J$151,MATCH(INDEX(FTE_Allocation!$A$2:$A$201,$AB497),Workforce!$A$2:$A$151,0))="",2958101,INDEX(Workforce!$J$2:$J$151,MATCH(INDEX(FTE_Allocation!$A$2:$A$201,$AB497),Workforce!$A$2:$A$151,0))),IF(INDEX(FTE_Allocation!$J$2:$J$201,$AB497)="",2958101,INDEX(FTE_Allocation!$J$2:$J$201,$AB497))),"")))</f>
        <v/>
      </c>
      <c r="AG497" s="19">
        <f>IF($Z497="C",IF(INDEX(Contracts!$I$2:$I$151,$AB497)="PREPAID",INDEX(Contracts!$M$2:$M$151,$AB497)/IF(INDEX(Contracts!$N$2:$N$151,$AB497)="",12,INDEX(Contracts!$N$2:$N$151,$AB497)),IF(INDEX(Contracts!$I$2:$I$151,$AB497)="MONTHLY",INDEX(Contracts!$M$2:$M$151,$AB497),0))*(1-N(INDEX(Contracts!$O$2:$O$151,$AB497))),IF($Z497="A",INDEX(Fixed_Assets!$H$2:$H$201,$AB497)/INDEX(Fixed_Assets!$J$2:$J$201,$AB497),IF($Z497="F",INDEX(Workforce!$F$2:$F$151,MATCH(INDEX(FTE_Allocation!$A$2:$A$201,$AB497),Workforce!$A$2:$A$151,0))*N(INDEX(FTE_Allocation!$F$2:$H$201,$AB497,$AC497)),"")))</f>
        <v/>
      </c>
    </row>
    <row r="498">
      <c r="A498" s="7">
        <f>IF($Z498="","",$AD498)</f>
        <v/>
      </c>
      <c r="B498" s="7">
        <f>IF($Z498="C",INDEX(Contracts!$D$2:$D$151,$AB498)&amp;"",IF($Z498="A",INDEX(Fixed_Assets!$C$2:$C$201,$AB498)&amp;"",IF($Z498="F",INDEX(Workforce!$B$2:$B$151,MATCH(INDEX(FTE_Allocation!$A$2:$A$201,$AB498),Workforce!$A$2:$A$151,0))&amp;"","")))</f>
        <v/>
      </c>
      <c r="C498" s="7">
        <f>IF($Z498="C",INDEX(Contracts!$E$2:$E$151,$AB498)&amp;"",IF($Z498="A",INDEX(Fixed_Assets!$D$2:$D$201,$AB498)&amp;"",IF($Z498="F",INDEX(FTE_Allocation!$C$2:$C$201,$AB498)&amp;"","")))</f>
        <v/>
      </c>
      <c r="D498" s="7">
        <f>IF($Z498="C",INDEX(Contracts!$B$2:$B$151,$AB498)&amp;"",IF($Z498="A",INDEX(Fixed_Assets!$B$2:$B$201,$AB498)&amp;"",IF($Z498="F",INDEX(FTE_Allocation!$B$2:$B$201,$AB498)&amp;"","")))</f>
        <v/>
      </c>
      <c r="E498" s="7">
        <f>IF($Z498="C",INDEX(Contracts!$P$2:$P$151,$AB498)&amp;"",IF($Z498="A",INDEX(Fixed_Assets!$K$2:$K$201,$AB498)&amp;"",IF($Z498="F",IF(INDEX(FTE_Allocation!$D$2:$D$201,$AB498)="PROJECT",IFERROR(INDEX(Projects!$D:$D,MATCH(INDEX(FTE_Allocation!$E$2:$E$201,$AB498),Projects!$A:$A,0))&amp;"","#PROJECT?"),INDEX(FTE_Allocation!$E$2:$E$201,$AB498)&amp;""),"")))</f>
        <v/>
      </c>
      <c r="F498" s="7">
        <f>IF($Z498="C",INDEX(Contracts!$Q$2:$Q$151,$AB498)&amp;"",IF($Z498="A",INDEX(Fixed_Assets!$L$2:$L$201,$AB498)&amp;"",IF($Z498="F",INDEX(Workforce!$K$2:$K$151,MATCH(INDEX(FTE_Allocation!$A$2:$A$201,$AB498),Workforce!$A$2:$A$151,0))&amp;"","")))</f>
        <v/>
      </c>
      <c r="G498" s="7">
        <f>IF($Z498="C",INDEX(Contracts!$F$2:$F$151,$AB498)&amp;" / "&amp;INDEX(Contracts!$G$2:$G$151,$AB498),IF($Z498="A",INDEX(Fixed_Assets!$E$2:$E$201,$AB498)&amp;"",IF($Z498="F","Personnel "&amp;INDEX(FTE_Allocation!$A$2:$A$201,$AB498)&amp;IF(INDEX(FTE_Allocation!$D$2:$D$201,$AB498)="PROJECT"," ("&amp;INDEX(FTE_Allocation!$E$2:$E$201,$AB498)&amp;")",""),"")))</f>
        <v/>
      </c>
      <c r="H498" s="7">
        <f>IF($Z498="C","CONTRACT",IF($Z498="A","ASSET",IF($Z498="F","WORKFORCE","")))</f>
        <v/>
      </c>
      <c r="I498" s="7">
        <f>IF($Z498="C",INDEX(Contracts!$L$2:$L$151,$AB498)&amp;"",IF($Z498="A",INDEX(Fixed_Assets!$I$2:$I$201,$AB498)&amp;"",IF($Z498="F",INDEX(Workforce!$G$2:$G$151,MATCH(INDEX(FTE_Allocation!$A$2:$A$201,$AB498),Workforce!$A$2:$A$151,0))&amp;"","")))</f>
        <v/>
      </c>
      <c r="J498" s="18">
        <f>IF($Z498="","",IF(AND(DATE($AD498,1,1)&gt;=$AE498,DATE($AD498,1,1)&lt;=$AF498),ROUND($AG498,2),0))</f>
        <v/>
      </c>
      <c r="K498" s="18">
        <f>IF($Z498="","",IF(AND(DATE($AD498,2,1)&gt;=$AE498,DATE($AD498,2,1)&lt;=$AF498),ROUND($AG498,2),0))</f>
        <v/>
      </c>
      <c r="L498" s="18">
        <f>IF($Z498="","",IF(AND(DATE($AD498,3,1)&gt;=$AE498,DATE($AD498,3,1)&lt;=$AF498),ROUND($AG498,2),0))</f>
        <v/>
      </c>
      <c r="M498" s="18">
        <f>IF($Z498="","",IF(AND(DATE($AD498,4,1)&gt;=$AE498,DATE($AD498,4,1)&lt;=$AF498),ROUND($AG498,2),0))</f>
        <v/>
      </c>
      <c r="N498" s="18">
        <f>IF($Z498="","",IF(AND(DATE($AD498,5,1)&gt;=$AE498,DATE($AD498,5,1)&lt;=$AF498),ROUND($AG498,2),0))</f>
        <v/>
      </c>
      <c r="O498" s="18">
        <f>IF($Z498="","",IF(AND(DATE($AD498,6,1)&gt;=$AE498,DATE($AD498,6,1)&lt;=$AF498),ROUND($AG498,2),0))</f>
        <v/>
      </c>
      <c r="P498" s="18">
        <f>IF($Z498="","",IF(AND(DATE($AD498,7,1)&gt;=$AE498,DATE($AD498,7,1)&lt;=$AF498),ROUND($AG498,2),0))</f>
        <v/>
      </c>
      <c r="Q498" s="18">
        <f>IF($Z498="","",IF(AND(DATE($AD498,8,1)&gt;=$AE498,DATE($AD498,8,1)&lt;=$AF498),ROUND($AG498,2),0))</f>
        <v/>
      </c>
      <c r="R498" s="18">
        <f>IF($Z498="","",IF(AND(DATE($AD498,9,1)&gt;=$AE498,DATE($AD498,9,1)&lt;=$AF498),ROUND($AG498,2),0))</f>
        <v/>
      </c>
      <c r="S498" s="18">
        <f>IF($Z498="","",IF(AND(DATE($AD498,10,1)&gt;=$AE498,DATE($AD498,10,1)&lt;=$AF498),ROUND($AG498,2),0))</f>
        <v/>
      </c>
      <c r="T498" s="18">
        <f>IF($Z498="","",IF(AND(DATE($AD498,11,1)&gt;=$AE498,DATE($AD498,11,1)&lt;=$AF498),ROUND($AG498,2),0))</f>
        <v/>
      </c>
      <c r="U498" s="18">
        <f>IF($Z498="","",IF(AND(DATE($AD498,12,1)&gt;=$AE498,DATE($AD498,12,1)&lt;=$AF498),ROUND($AG498,2),0))</f>
        <v/>
      </c>
      <c r="V498" s="7">
        <f>IF($Z498="C","Generated from "&amp;INDEX(Contracts!$A$2:$A$151,$AB498),IF($Z498="A","Generated from "&amp;INDEX(Fixed_Assets!$A$2:$A$201,$AB498),IF($Z498="F","Generated from "&amp;INDEX(FTE_Allocation!$A$2:$A$201,$AB498),"")))</f>
        <v/>
      </c>
      <c r="X498" s="19">
        <f>IF($Z498="","",SUM(J498:U498))</f>
        <v/>
      </c>
      <c r="Y498" s="20">
        <f>ROW()-1</f>
        <v/>
      </c>
      <c r="Z498" s="20">
        <f>IF($Y498&lt;=Settings!$B$4*3,"C",IF($Y498&lt;=(Settings!$B$4+Settings!$B$5)*3,"A",IF($Y498&lt;=(Settings!$B$4+Settings!$B$5+Settings!$B$6)*3,"F","")))</f>
        <v/>
      </c>
      <c r="AA498" s="20">
        <f>IF($Z498="C",$Y498,IF($Z498="A",$Y498-Settings!$B$4*3,IF($Z498="F",$Y498-(Settings!$B$4+Settings!$B$5)*3,"")))</f>
        <v/>
      </c>
      <c r="AB498" s="20">
        <f>IF($Z498="","",INT(($AA498-1)/3)+1)</f>
        <v/>
      </c>
      <c r="AC498" s="20">
        <f>IF($Z498="","",MOD($AA498-1,3)+1)</f>
        <v/>
      </c>
      <c r="AD498" s="20">
        <f>IF($Z498="","",Settings!$B$2+$AC498-1)</f>
        <v/>
      </c>
      <c r="AE498" s="21">
        <f>IF($Z498="C",DATE(YEAR(INDEX(Contracts!$J$2:$J$151,$AB498)),MONTH(INDEX(Contracts!$J$2:$J$151,$AB498)),1),IF($Z498="A",DATE(YEAR(INDEX(Fixed_Assets!$G$2:$G$201,$AB498)),MONTH(INDEX(Fixed_Assets!$G$2:$G$201,$AB498)),1),IF($Z498="F",DATE(YEAR(MAX(N(INDEX(Workforce!$I$2:$I$151,MATCH(INDEX(FTE_Allocation!$A$2:$A$201,$AB498),Workforce!$A$2:$A$151,0))),N(INDEX(FTE_Allocation!$I$2:$I$201,$AB498)))),MONTH(MAX(N(INDEX(Workforce!$I$2:$I$151,MATCH(INDEX(FTE_Allocation!$A$2:$A$201,$AB498),Workforce!$A$2:$A$151,0))),N(INDEX(FTE_Allocation!$I$2:$I$201,$AB498)))),1),"")))</f>
        <v/>
      </c>
      <c r="AF498" s="21">
        <f>IF($Z498="C",IF(INDEX(Contracts!$I$2:$I$151,$AB498)="PREPAID",EDATE(DATE(YEAR(INDEX(Contracts!$J$2:$J$151,$AB498)),MONTH(INDEX(Contracts!$J$2:$J$151,$AB498)),1),IF(INDEX(Contracts!$N$2:$N$151,$AB498)="",12,INDEX(Contracts!$N$2:$N$151,$AB498))-1),IF(INDEX(Contracts!$I$2:$I$151,$AB498)="MONTHLY",IF(INDEX(Contracts!$K$2:$K$151,$AB498)="",2958101,INDEX(Contracts!$K$2:$K$151,$AB498)),0)),IF($Z498="A",EDATE(DATE(YEAR(INDEX(Fixed_Assets!$G$2:$G$201,$AB498)),MONTH(INDEX(Fixed_Assets!$G$2:$G$201,$AB498)),1),INDEX(Fixed_Assets!$J$2:$J$201,$AB498)-1),IF($Z498="F",MIN(IF(INDEX(Workforce!$J$2:$J$151,MATCH(INDEX(FTE_Allocation!$A$2:$A$201,$AB498),Workforce!$A$2:$A$151,0))="",2958101,INDEX(Workforce!$J$2:$J$151,MATCH(INDEX(FTE_Allocation!$A$2:$A$201,$AB498),Workforce!$A$2:$A$151,0))),IF(INDEX(FTE_Allocation!$J$2:$J$201,$AB498)="",2958101,INDEX(FTE_Allocation!$J$2:$J$201,$AB498))),"")))</f>
        <v/>
      </c>
      <c r="AG498" s="19">
        <f>IF($Z498="C",IF(INDEX(Contracts!$I$2:$I$151,$AB498)="PREPAID",INDEX(Contracts!$M$2:$M$151,$AB498)/IF(INDEX(Contracts!$N$2:$N$151,$AB498)="",12,INDEX(Contracts!$N$2:$N$151,$AB498)),IF(INDEX(Contracts!$I$2:$I$151,$AB498)="MONTHLY",INDEX(Contracts!$M$2:$M$151,$AB498),0))*(1-N(INDEX(Contracts!$O$2:$O$151,$AB498))),IF($Z498="A",INDEX(Fixed_Assets!$H$2:$H$201,$AB498)/INDEX(Fixed_Assets!$J$2:$J$201,$AB498),IF($Z498="F",INDEX(Workforce!$F$2:$F$151,MATCH(INDEX(FTE_Allocation!$A$2:$A$201,$AB498),Workforce!$A$2:$A$151,0))*N(INDEX(FTE_Allocation!$F$2:$H$201,$AB498,$AC498)),"")))</f>
        <v/>
      </c>
    </row>
    <row r="499">
      <c r="A499" s="7">
        <f>IF($Z499="","",$AD499)</f>
        <v/>
      </c>
      <c r="B499" s="7">
        <f>IF($Z499="C",INDEX(Contracts!$D$2:$D$151,$AB499)&amp;"",IF($Z499="A",INDEX(Fixed_Assets!$C$2:$C$201,$AB499)&amp;"",IF($Z499="F",INDEX(Workforce!$B$2:$B$151,MATCH(INDEX(FTE_Allocation!$A$2:$A$201,$AB499),Workforce!$A$2:$A$151,0))&amp;"","")))</f>
        <v/>
      </c>
      <c r="C499" s="7">
        <f>IF($Z499="C",INDEX(Contracts!$E$2:$E$151,$AB499)&amp;"",IF($Z499="A",INDEX(Fixed_Assets!$D$2:$D$201,$AB499)&amp;"",IF($Z499="F",INDEX(FTE_Allocation!$C$2:$C$201,$AB499)&amp;"","")))</f>
        <v/>
      </c>
      <c r="D499" s="7">
        <f>IF($Z499="C",INDEX(Contracts!$B$2:$B$151,$AB499)&amp;"",IF($Z499="A",INDEX(Fixed_Assets!$B$2:$B$201,$AB499)&amp;"",IF($Z499="F",INDEX(FTE_Allocation!$B$2:$B$201,$AB499)&amp;"","")))</f>
        <v/>
      </c>
      <c r="E499" s="7">
        <f>IF($Z499="C",INDEX(Contracts!$P$2:$P$151,$AB499)&amp;"",IF($Z499="A",INDEX(Fixed_Assets!$K$2:$K$201,$AB499)&amp;"",IF($Z499="F",IF(INDEX(FTE_Allocation!$D$2:$D$201,$AB499)="PROJECT",IFERROR(INDEX(Projects!$D:$D,MATCH(INDEX(FTE_Allocation!$E$2:$E$201,$AB499),Projects!$A:$A,0))&amp;"","#PROJECT?"),INDEX(FTE_Allocation!$E$2:$E$201,$AB499)&amp;""),"")))</f>
        <v/>
      </c>
      <c r="F499" s="7">
        <f>IF($Z499="C",INDEX(Contracts!$Q$2:$Q$151,$AB499)&amp;"",IF($Z499="A",INDEX(Fixed_Assets!$L$2:$L$201,$AB499)&amp;"",IF($Z499="F",INDEX(Workforce!$K$2:$K$151,MATCH(INDEX(FTE_Allocation!$A$2:$A$201,$AB499),Workforce!$A$2:$A$151,0))&amp;"","")))</f>
        <v/>
      </c>
      <c r="G499" s="7">
        <f>IF($Z499="C",INDEX(Contracts!$F$2:$F$151,$AB499)&amp;" / "&amp;INDEX(Contracts!$G$2:$G$151,$AB499),IF($Z499="A",INDEX(Fixed_Assets!$E$2:$E$201,$AB499)&amp;"",IF($Z499="F","Personnel "&amp;INDEX(FTE_Allocation!$A$2:$A$201,$AB499)&amp;IF(INDEX(FTE_Allocation!$D$2:$D$201,$AB499)="PROJECT"," ("&amp;INDEX(FTE_Allocation!$E$2:$E$201,$AB499)&amp;")",""),"")))</f>
        <v/>
      </c>
      <c r="H499" s="7">
        <f>IF($Z499="C","CONTRACT",IF($Z499="A","ASSET",IF($Z499="F","WORKFORCE","")))</f>
        <v/>
      </c>
      <c r="I499" s="7">
        <f>IF($Z499="C",INDEX(Contracts!$L$2:$L$151,$AB499)&amp;"",IF($Z499="A",INDEX(Fixed_Assets!$I$2:$I$201,$AB499)&amp;"",IF($Z499="F",INDEX(Workforce!$G$2:$G$151,MATCH(INDEX(FTE_Allocation!$A$2:$A$201,$AB499),Workforce!$A$2:$A$151,0))&amp;"","")))</f>
        <v/>
      </c>
      <c r="J499" s="18">
        <f>IF($Z499="","",IF(AND(DATE($AD499,1,1)&gt;=$AE499,DATE($AD499,1,1)&lt;=$AF499),ROUND($AG499,2),0))</f>
        <v/>
      </c>
      <c r="K499" s="18">
        <f>IF($Z499="","",IF(AND(DATE($AD499,2,1)&gt;=$AE499,DATE($AD499,2,1)&lt;=$AF499),ROUND($AG499,2),0))</f>
        <v/>
      </c>
      <c r="L499" s="18">
        <f>IF($Z499="","",IF(AND(DATE($AD499,3,1)&gt;=$AE499,DATE($AD499,3,1)&lt;=$AF499),ROUND($AG499,2),0))</f>
        <v/>
      </c>
      <c r="M499" s="18">
        <f>IF($Z499="","",IF(AND(DATE($AD499,4,1)&gt;=$AE499,DATE($AD499,4,1)&lt;=$AF499),ROUND($AG499,2),0))</f>
        <v/>
      </c>
      <c r="N499" s="18">
        <f>IF($Z499="","",IF(AND(DATE($AD499,5,1)&gt;=$AE499,DATE($AD499,5,1)&lt;=$AF499),ROUND($AG499,2),0))</f>
        <v/>
      </c>
      <c r="O499" s="18">
        <f>IF($Z499="","",IF(AND(DATE($AD499,6,1)&gt;=$AE499,DATE($AD499,6,1)&lt;=$AF499),ROUND($AG499,2),0))</f>
        <v/>
      </c>
      <c r="P499" s="18">
        <f>IF($Z499="","",IF(AND(DATE($AD499,7,1)&gt;=$AE499,DATE($AD499,7,1)&lt;=$AF499),ROUND($AG499,2),0))</f>
        <v/>
      </c>
      <c r="Q499" s="18">
        <f>IF($Z499="","",IF(AND(DATE($AD499,8,1)&gt;=$AE499,DATE($AD499,8,1)&lt;=$AF499),ROUND($AG499,2),0))</f>
        <v/>
      </c>
      <c r="R499" s="18">
        <f>IF($Z499="","",IF(AND(DATE($AD499,9,1)&gt;=$AE499,DATE($AD499,9,1)&lt;=$AF499),ROUND($AG499,2),0))</f>
        <v/>
      </c>
      <c r="S499" s="18">
        <f>IF($Z499="","",IF(AND(DATE($AD499,10,1)&gt;=$AE499,DATE($AD499,10,1)&lt;=$AF499),ROUND($AG499,2),0))</f>
        <v/>
      </c>
      <c r="T499" s="18">
        <f>IF($Z499="","",IF(AND(DATE($AD499,11,1)&gt;=$AE499,DATE($AD499,11,1)&lt;=$AF499),ROUND($AG499,2),0))</f>
        <v/>
      </c>
      <c r="U499" s="18">
        <f>IF($Z499="","",IF(AND(DATE($AD499,12,1)&gt;=$AE499,DATE($AD499,12,1)&lt;=$AF499),ROUND($AG499,2),0))</f>
        <v/>
      </c>
      <c r="V499" s="7">
        <f>IF($Z499="C","Generated from "&amp;INDEX(Contracts!$A$2:$A$151,$AB499),IF($Z499="A","Generated from "&amp;INDEX(Fixed_Assets!$A$2:$A$201,$AB499),IF($Z499="F","Generated from "&amp;INDEX(FTE_Allocation!$A$2:$A$201,$AB499),"")))</f>
        <v/>
      </c>
      <c r="X499" s="19">
        <f>IF($Z499="","",SUM(J499:U499))</f>
        <v/>
      </c>
      <c r="Y499" s="20">
        <f>ROW()-1</f>
        <v/>
      </c>
      <c r="Z499" s="20">
        <f>IF($Y499&lt;=Settings!$B$4*3,"C",IF($Y499&lt;=(Settings!$B$4+Settings!$B$5)*3,"A",IF($Y499&lt;=(Settings!$B$4+Settings!$B$5+Settings!$B$6)*3,"F","")))</f>
        <v/>
      </c>
      <c r="AA499" s="20">
        <f>IF($Z499="C",$Y499,IF($Z499="A",$Y499-Settings!$B$4*3,IF($Z499="F",$Y499-(Settings!$B$4+Settings!$B$5)*3,"")))</f>
        <v/>
      </c>
      <c r="AB499" s="20">
        <f>IF($Z499="","",INT(($AA499-1)/3)+1)</f>
        <v/>
      </c>
      <c r="AC499" s="20">
        <f>IF($Z499="","",MOD($AA499-1,3)+1)</f>
        <v/>
      </c>
      <c r="AD499" s="20">
        <f>IF($Z499="","",Settings!$B$2+$AC499-1)</f>
        <v/>
      </c>
      <c r="AE499" s="21">
        <f>IF($Z499="C",DATE(YEAR(INDEX(Contracts!$J$2:$J$151,$AB499)),MONTH(INDEX(Contracts!$J$2:$J$151,$AB499)),1),IF($Z499="A",DATE(YEAR(INDEX(Fixed_Assets!$G$2:$G$201,$AB499)),MONTH(INDEX(Fixed_Assets!$G$2:$G$201,$AB499)),1),IF($Z499="F",DATE(YEAR(MAX(N(INDEX(Workforce!$I$2:$I$151,MATCH(INDEX(FTE_Allocation!$A$2:$A$201,$AB499),Workforce!$A$2:$A$151,0))),N(INDEX(FTE_Allocation!$I$2:$I$201,$AB499)))),MONTH(MAX(N(INDEX(Workforce!$I$2:$I$151,MATCH(INDEX(FTE_Allocation!$A$2:$A$201,$AB499),Workforce!$A$2:$A$151,0))),N(INDEX(FTE_Allocation!$I$2:$I$201,$AB499)))),1),"")))</f>
        <v/>
      </c>
      <c r="AF499" s="21">
        <f>IF($Z499="C",IF(INDEX(Contracts!$I$2:$I$151,$AB499)="PREPAID",EDATE(DATE(YEAR(INDEX(Contracts!$J$2:$J$151,$AB499)),MONTH(INDEX(Contracts!$J$2:$J$151,$AB499)),1),IF(INDEX(Contracts!$N$2:$N$151,$AB499)="",12,INDEX(Contracts!$N$2:$N$151,$AB499))-1),IF(INDEX(Contracts!$I$2:$I$151,$AB499)="MONTHLY",IF(INDEX(Contracts!$K$2:$K$151,$AB499)="",2958101,INDEX(Contracts!$K$2:$K$151,$AB499)),0)),IF($Z499="A",EDATE(DATE(YEAR(INDEX(Fixed_Assets!$G$2:$G$201,$AB499)),MONTH(INDEX(Fixed_Assets!$G$2:$G$201,$AB499)),1),INDEX(Fixed_Assets!$J$2:$J$201,$AB499)-1),IF($Z499="F",MIN(IF(INDEX(Workforce!$J$2:$J$151,MATCH(INDEX(FTE_Allocation!$A$2:$A$201,$AB499),Workforce!$A$2:$A$151,0))="",2958101,INDEX(Workforce!$J$2:$J$151,MATCH(INDEX(FTE_Allocation!$A$2:$A$201,$AB499),Workforce!$A$2:$A$151,0))),IF(INDEX(FTE_Allocation!$J$2:$J$201,$AB499)="",2958101,INDEX(FTE_Allocation!$J$2:$J$201,$AB499))),"")))</f>
        <v/>
      </c>
      <c r="AG499" s="19">
        <f>IF($Z499="C",IF(INDEX(Contracts!$I$2:$I$151,$AB499)="PREPAID",INDEX(Contracts!$M$2:$M$151,$AB499)/IF(INDEX(Contracts!$N$2:$N$151,$AB499)="",12,INDEX(Contracts!$N$2:$N$151,$AB499)),IF(INDEX(Contracts!$I$2:$I$151,$AB499)="MONTHLY",INDEX(Contracts!$M$2:$M$151,$AB499),0))*(1-N(INDEX(Contracts!$O$2:$O$151,$AB499))),IF($Z499="A",INDEX(Fixed_Assets!$H$2:$H$201,$AB499)/INDEX(Fixed_Assets!$J$2:$J$201,$AB499),IF($Z499="F",INDEX(Workforce!$F$2:$F$151,MATCH(INDEX(FTE_Allocation!$A$2:$A$201,$AB499),Workforce!$A$2:$A$151,0))*N(INDEX(FTE_Allocation!$F$2:$H$201,$AB499,$AC499)),"")))</f>
        <v/>
      </c>
    </row>
    <row r="500">
      <c r="A500" s="7">
        <f>IF($Z500="","",$AD500)</f>
        <v/>
      </c>
      <c r="B500" s="7">
        <f>IF($Z500="C",INDEX(Contracts!$D$2:$D$151,$AB500)&amp;"",IF($Z500="A",INDEX(Fixed_Assets!$C$2:$C$201,$AB500)&amp;"",IF($Z500="F",INDEX(Workforce!$B$2:$B$151,MATCH(INDEX(FTE_Allocation!$A$2:$A$201,$AB500),Workforce!$A$2:$A$151,0))&amp;"","")))</f>
        <v/>
      </c>
      <c r="C500" s="7">
        <f>IF($Z500="C",INDEX(Contracts!$E$2:$E$151,$AB500)&amp;"",IF($Z500="A",INDEX(Fixed_Assets!$D$2:$D$201,$AB500)&amp;"",IF($Z500="F",INDEX(FTE_Allocation!$C$2:$C$201,$AB500)&amp;"","")))</f>
        <v/>
      </c>
      <c r="D500" s="7">
        <f>IF($Z500="C",INDEX(Contracts!$B$2:$B$151,$AB500)&amp;"",IF($Z500="A",INDEX(Fixed_Assets!$B$2:$B$201,$AB500)&amp;"",IF($Z500="F",INDEX(FTE_Allocation!$B$2:$B$201,$AB500)&amp;"","")))</f>
        <v/>
      </c>
      <c r="E500" s="7">
        <f>IF($Z500="C",INDEX(Contracts!$P$2:$P$151,$AB500)&amp;"",IF($Z500="A",INDEX(Fixed_Assets!$K$2:$K$201,$AB500)&amp;"",IF($Z500="F",IF(INDEX(FTE_Allocation!$D$2:$D$201,$AB500)="PROJECT",IFERROR(INDEX(Projects!$D:$D,MATCH(INDEX(FTE_Allocation!$E$2:$E$201,$AB500),Projects!$A:$A,0))&amp;"","#PROJECT?"),INDEX(FTE_Allocation!$E$2:$E$201,$AB500)&amp;""),"")))</f>
        <v/>
      </c>
      <c r="F500" s="7">
        <f>IF($Z500="C",INDEX(Contracts!$Q$2:$Q$151,$AB500)&amp;"",IF($Z500="A",INDEX(Fixed_Assets!$L$2:$L$201,$AB500)&amp;"",IF($Z500="F",INDEX(Workforce!$K$2:$K$151,MATCH(INDEX(FTE_Allocation!$A$2:$A$201,$AB500),Workforce!$A$2:$A$151,0))&amp;"","")))</f>
        <v/>
      </c>
      <c r="G500" s="7">
        <f>IF($Z500="C",INDEX(Contracts!$F$2:$F$151,$AB500)&amp;" / "&amp;INDEX(Contracts!$G$2:$G$151,$AB500),IF($Z500="A",INDEX(Fixed_Assets!$E$2:$E$201,$AB500)&amp;"",IF($Z500="F","Personnel "&amp;INDEX(FTE_Allocation!$A$2:$A$201,$AB500)&amp;IF(INDEX(FTE_Allocation!$D$2:$D$201,$AB500)="PROJECT"," ("&amp;INDEX(FTE_Allocation!$E$2:$E$201,$AB500)&amp;")",""),"")))</f>
        <v/>
      </c>
      <c r="H500" s="7">
        <f>IF($Z500="C","CONTRACT",IF($Z500="A","ASSET",IF($Z500="F","WORKFORCE","")))</f>
        <v/>
      </c>
      <c r="I500" s="7">
        <f>IF($Z500="C",INDEX(Contracts!$L$2:$L$151,$AB500)&amp;"",IF($Z500="A",INDEX(Fixed_Assets!$I$2:$I$201,$AB500)&amp;"",IF($Z500="F",INDEX(Workforce!$G$2:$G$151,MATCH(INDEX(FTE_Allocation!$A$2:$A$201,$AB500),Workforce!$A$2:$A$151,0))&amp;"","")))</f>
        <v/>
      </c>
      <c r="J500" s="18">
        <f>IF($Z500="","",IF(AND(DATE($AD500,1,1)&gt;=$AE500,DATE($AD500,1,1)&lt;=$AF500),ROUND($AG500,2),0))</f>
        <v/>
      </c>
      <c r="K500" s="18">
        <f>IF($Z500="","",IF(AND(DATE($AD500,2,1)&gt;=$AE500,DATE($AD500,2,1)&lt;=$AF500),ROUND($AG500,2),0))</f>
        <v/>
      </c>
      <c r="L500" s="18">
        <f>IF($Z500="","",IF(AND(DATE($AD500,3,1)&gt;=$AE500,DATE($AD500,3,1)&lt;=$AF500),ROUND($AG500,2),0))</f>
        <v/>
      </c>
      <c r="M500" s="18">
        <f>IF($Z500="","",IF(AND(DATE($AD500,4,1)&gt;=$AE500,DATE($AD500,4,1)&lt;=$AF500),ROUND($AG500,2),0))</f>
        <v/>
      </c>
      <c r="N500" s="18">
        <f>IF($Z500="","",IF(AND(DATE($AD500,5,1)&gt;=$AE500,DATE($AD500,5,1)&lt;=$AF500),ROUND($AG500,2),0))</f>
        <v/>
      </c>
      <c r="O500" s="18">
        <f>IF($Z500="","",IF(AND(DATE($AD500,6,1)&gt;=$AE500,DATE($AD500,6,1)&lt;=$AF500),ROUND($AG500,2),0))</f>
        <v/>
      </c>
      <c r="P500" s="18">
        <f>IF($Z500="","",IF(AND(DATE($AD500,7,1)&gt;=$AE500,DATE($AD500,7,1)&lt;=$AF500),ROUND($AG500,2),0))</f>
        <v/>
      </c>
      <c r="Q500" s="18">
        <f>IF($Z500="","",IF(AND(DATE($AD500,8,1)&gt;=$AE500,DATE($AD500,8,1)&lt;=$AF500),ROUND($AG500,2),0))</f>
        <v/>
      </c>
      <c r="R500" s="18">
        <f>IF($Z500="","",IF(AND(DATE($AD500,9,1)&gt;=$AE500,DATE($AD500,9,1)&lt;=$AF500),ROUND($AG500,2),0))</f>
        <v/>
      </c>
      <c r="S500" s="18">
        <f>IF($Z500="","",IF(AND(DATE($AD500,10,1)&gt;=$AE500,DATE($AD500,10,1)&lt;=$AF500),ROUND($AG500,2),0))</f>
        <v/>
      </c>
      <c r="T500" s="18">
        <f>IF($Z500="","",IF(AND(DATE($AD500,11,1)&gt;=$AE500,DATE($AD500,11,1)&lt;=$AF500),ROUND($AG500,2),0))</f>
        <v/>
      </c>
      <c r="U500" s="18">
        <f>IF($Z500="","",IF(AND(DATE($AD500,12,1)&gt;=$AE500,DATE($AD500,12,1)&lt;=$AF500),ROUND($AG500,2),0))</f>
        <v/>
      </c>
      <c r="V500" s="7">
        <f>IF($Z500="C","Generated from "&amp;INDEX(Contracts!$A$2:$A$151,$AB500),IF($Z500="A","Generated from "&amp;INDEX(Fixed_Assets!$A$2:$A$201,$AB500),IF($Z500="F","Generated from "&amp;INDEX(FTE_Allocation!$A$2:$A$201,$AB500),"")))</f>
        <v/>
      </c>
      <c r="X500" s="19">
        <f>IF($Z500="","",SUM(J500:U500))</f>
        <v/>
      </c>
      <c r="Y500" s="20">
        <f>ROW()-1</f>
        <v/>
      </c>
      <c r="Z500" s="20">
        <f>IF($Y500&lt;=Settings!$B$4*3,"C",IF($Y500&lt;=(Settings!$B$4+Settings!$B$5)*3,"A",IF($Y500&lt;=(Settings!$B$4+Settings!$B$5+Settings!$B$6)*3,"F","")))</f>
        <v/>
      </c>
      <c r="AA500" s="20">
        <f>IF($Z500="C",$Y500,IF($Z500="A",$Y500-Settings!$B$4*3,IF($Z500="F",$Y500-(Settings!$B$4+Settings!$B$5)*3,"")))</f>
        <v/>
      </c>
      <c r="AB500" s="20">
        <f>IF($Z500="","",INT(($AA500-1)/3)+1)</f>
        <v/>
      </c>
      <c r="AC500" s="20">
        <f>IF($Z500="","",MOD($AA500-1,3)+1)</f>
        <v/>
      </c>
      <c r="AD500" s="20">
        <f>IF($Z500="","",Settings!$B$2+$AC500-1)</f>
        <v/>
      </c>
      <c r="AE500" s="21">
        <f>IF($Z500="C",DATE(YEAR(INDEX(Contracts!$J$2:$J$151,$AB500)),MONTH(INDEX(Contracts!$J$2:$J$151,$AB500)),1),IF($Z500="A",DATE(YEAR(INDEX(Fixed_Assets!$G$2:$G$201,$AB500)),MONTH(INDEX(Fixed_Assets!$G$2:$G$201,$AB500)),1),IF($Z500="F",DATE(YEAR(MAX(N(INDEX(Workforce!$I$2:$I$151,MATCH(INDEX(FTE_Allocation!$A$2:$A$201,$AB500),Workforce!$A$2:$A$151,0))),N(INDEX(FTE_Allocation!$I$2:$I$201,$AB500)))),MONTH(MAX(N(INDEX(Workforce!$I$2:$I$151,MATCH(INDEX(FTE_Allocation!$A$2:$A$201,$AB500),Workforce!$A$2:$A$151,0))),N(INDEX(FTE_Allocation!$I$2:$I$201,$AB500)))),1),"")))</f>
        <v/>
      </c>
      <c r="AF500" s="21">
        <f>IF($Z500="C",IF(INDEX(Contracts!$I$2:$I$151,$AB500)="PREPAID",EDATE(DATE(YEAR(INDEX(Contracts!$J$2:$J$151,$AB500)),MONTH(INDEX(Contracts!$J$2:$J$151,$AB500)),1),IF(INDEX(Contracts!$N$2:$N$151,$AB500)="",12,INDEX(Contracts!$N$2:$N$151,$AB500))-1),IF(INDEX(Contracts!$I$2:$I$151,$AB500)="MONTHLY",IF(INDEX(Contracts!$K$2:$K$151,$AB500)="",2958101,INDEX(Contracts!$K$2:$K$151,$AB500)),0)),IF($Z500="A",EDATE(DATE(YEAR(INDEX(Fixed_Assets!$G$2:$G$201,$AB500)),MONTH(INDEX(Fixed_Assets!$G$2:$G$201,$AB500)),1),INDEX(Fixed_Assets!$J$2:$J$201,$AB500)-1),IF($Z500="F",MIN(IF(INDEX(Workforce!$J$2:$J$151,MATCH(INDEX(FTE_Allocation!$A$2:$A$201,$AB500),Workforce!$A$2:$A$151,0))="",2958101,INDEX(Workforce!$J$2:$J$151,MATCH(INDEX(FTE_Allocation!$A$2:$A$201,$AB500),Workforce!$A$2:$A$151,0))),IF(INDEX(FTE_Allocation!$J$2:$J$201,$AB500)="",2958101,INDEX(FTE_Allocation!$J$2:$J$201,$AB500))),"")))</f>
        <v/>
      </c>
      <c r="AG500" s="19">
        <f>IF($Z500="C",IF(INDEX(Contracts!$I$2:$I$151,$AB500)="PREPAID",INDEX(Contracts!$M$2:$M$151,$AB500)/IF(INDEX(Contracts!$N$2:$N$151,$AB500)="",12,INDEX(Contracts!$N$2:$N$151,$AB500)),IF(INDEX(Contracts!$I$2:$I$151,$AB500)="MONTHLY",INDEX(Contracts!$M$2:$M$151,$AB500),0))*(1-N(INDEX(Contracts!$O$2:$O$151,$AB500))),IF($Z500="A",INDEX(Fixed_Assets!$H$2:$H$201,$AB500)/INDEX(Fixed_Assets!$J$2:$J$201,$AB500),IF($Z500="F",INDEX(Workforce!$F$2:$F$151,MATCH(INDEX(FTE_Allocation!$A$2:$A$201,$AB500),Workforce!$A$2:$A$151,0))*N(INDEX(FTE_Allocation!$F$2:$H$201,$AB500,$AC500)),"")))</f>
        <v/>
      </c>
    </row>
    <row r="501">
      <c r="A501" s="7">
        <f>IF($Z501="","",$AD501)</f>
        <v/>
      </c>
      <c r="B501" s="7">
        <f>IF($Z501="C",INDEX(Contracts!$D$2:$D$151,$AB501)&amp;"",IF($Z501="A",INDEX(Fixed_Assets!$C$2:$C$201,$AB501)&amp;"",IF($Z501="F",INDEX(Workforce!$B$2:$B$151,MATCH(INDEX(FTE_Allocation!$A$2:$A$201,$AB501),Workforce!$A$2:$A$151,0))&amp;"","")))</f>
        <v/>
      </c>
      <c r="C501" s="7">
        <f>IF($Z501="C",INDEX(Contracts!$E$2:$E$151,$AB501)&amp;"",IF($Z501="A",INDEX(Fixed_Assets!$D$2:$D$201,$AB501)&amp;"",IF($Z501="F",INDEX(FTE_Allocation!$C$2:$C$201,$AB501)&amp;"","")))</f>
        <v/>
      </c>
      <c r="D501" s="7">
        <f>IF($Z501="C",INDEX(Contracts!$B$2:$B$151,$AB501)&amp;"",IF($Z501="A",INDEX(Fixed_Assets!$B$2:$B$201,$AB501)&amp;"",IF($Z501="F",INDEX(FTE_Allocation!$B$2:$B$201,$AB501)&amp;"","")))</f>
        <v/>
      </c>
      <c r="E501" s="7">
        <f>IF($Z501="C",INDEX(Contracts!$P$2:$P$151,$AB501)&amp;"",IF($Z501="A",INDEX(Fixed_Assets!$K$2:$K$201,$AB501)&amp;"",IF($Z501="F",IF(INDEX(FTE_Allocation!$D$2:$D$201,$AB501)="PROJECT",IFERROR(INDEX(Projects!$D:$D,MATCH(INDEX(FTE_Allocation!$E$2:$E$201,$AB501),Projects!$A:$A,0))&amp;"","#PROJECT?"),INDEX(FTE_Allocation!$E$2:$E$201,$AB501)&amp;""),"")))</f>
        <v/>
      </c>
      <c r="F501" s="7">
        <f>IF($Z501="C",INDEX(Contracts!$Q$2:$Q$151,$AB501)&amp;"",IF($Z501="A",INDEX(Fixed_Assets!$L$2:$L$201,$AB501)&amp;"",IF($Z501="F",INDEX(Workforce!$K$2:$K$151,MATCH(INDEX(FTE_Allocation!$A$2:$A$201,$AB501),Workforce!$A$2:$A$151,0))&amp;"","")))</f>
        <v/>
      </c>
      <c r="G501" s="7">
        <f>IF($Z501="C",INDEX(Contracts!$F$2:$F$151,$AB501)&amp;" / "&amp;INDEX(Contracts!$G$2:$G$151,$AB501),IF($Z501="A",INDEX(Fixed_Assets!$E$2:$E$201,$AB501)&amp;"",IF($Z501="F","Personnel "&amp;INDEX(FTE_Allocation!$A$2:$A$201,$AB501)&amp;IF(INDEX(FTE_Allocation!$D$2:$D$201,$AB501)="PROJECT"," ("&amp;INDEX(FTE_Allocation!$E$2:$E$201,$AB501)&amp;")",""),"")))</f>
        <v/>
      </c>
      <c r="H501" s="7">
        <f>IF($Z501="C","CONTRACT",IF($Z501="A","ASSET",IF($Z501="F","WORKFORCE","")))</f>
        <v/>
      </c>
      <c r="I501" s="7">
        <f>IF($Z501="C",INDEX(Contracts!$L$2:$L$151,$AB501)&amp;"",IF($Z501="A",INDEX(Fixed_Assets!$I$2:$I$201,$AB501)&amp;"",IF($Z501="F",INDEX(Workforce!$G$2:$G$151,MATCH(INDEX(FTE_Allocation!$A$2:$A$201,$AB501),Workforce!$A$2:$A$151,0))&amp;"","")))</f>
        <v/>
      </c>
      <c r="J501" s="18">
        <f>IF($Z501="","",IF(AND(DATE($AD501,1,1)&gt;=$AE501,DATE($AD501,1,1)&lt;=$AF501),ROUND($AG501,2),0))</f>
        <v/>
      </c>
      <c r="K501" s="18">
        <f>IF($Z501="","",IF(AND(DATE($AD501,2,1)&gt;=$AE501,DATE($AD501,2,1)&lt;=$AF501),ROUND($AG501,2),0))</f>
        <v/>
      </c>
      <c r="L501" s="18">
        <f>IF($Z501="","",IF(AND(DATE($AD501,3,1)&gt;=$AE501,DATE($AD501,3,1)&lt;=$AF501),ROUND($AG501,2),0))</f>
        <v/>
      </c>
      <c r="M501" s="18">
        <f>IF($Z501="","",IF(AND(DATE($AD501,4,1)&gt;=$AE501,DATE($AD501,4,1)&lt;=$AF501),ROUND($AG501,2),0))</f>
        <v/>
      </c>
      <c r="N501" s="18">
        <f>IF($Z501="","",IF(AND(DATE($AD501,5,1)&gt;=$AE501,DATE($AD501,5,1)&lt;=$AF501),ROUND($AG501,2),0))</f>
        <v/>
      </c>
      <c r="O501" s="18">
        <f>IF($Z501="","",IF(AND(DATE($AD501,6,1)&gt;=$AE501,DATE($AD501,6,1)&lt;=$AF501),ROUND($AG501,2),0))</f>
        <v/>
      </c>
      <c r="P501" s="18">
        <f>IF($Z501="","",IF(AND(DATE($AD501,7,1)&gt;=$AE501,DATE($AD501,7,1)&lt;=$AF501),ROUND($AG501,2),0))</f>
        <v/>
      </c>
      <c r="Q501" s="18">
        <f>IF($Z501="","",IF(AND(DATE($AD501,8,1)&gt;=$AE501,DATE($AD501,8,1)&lt;=$AF501),ROUND($AG501,2),0))</f>
        <v/>
      </c>
      <c r="R501" s="18">
        <f>IF($Z501="","",IF(AND(DATE($AD501,9,1)&gt;=$AE501,DATE($AD501,9,1)&lt;=$AF501),ROUND($AG501,2),0))</f>
        <v/>
      </c>
      <c r="S501" s="18">
        <f>IF($Z501="","",IF(AND(DATE($AD501,10,1)&gt;=$AE501,DATE($AD501,10,1)&lt;=$AF501),ROUND($AG501,2),0))</f>
        <v/>
      </c>
      <c r="T501" s="18">
        <f>IF($Z501="","",IF(AND(DATE($AD501,11,1)&gt;=$AE501,DATE($AD501,11,1)&lt;=$AF501),ROUND($AG501,2),0))</f>
        <v/>
      </c>
      <c r="U501" s="18">
        <f>IF($Z501="","",IF(AND(DATE($AD501,12,1)&gt;=$AE501,DATE($AD501,12,1)&lt;=$AF501),ROUND($AG501,2),0))</f>
        <v/>
      </c>
      <c r="V501" s="7">
        <f>IF($Z501="C","Generated from "&amp;INDEX(Contracts!$A$2:$A$151,$AB501),IF($Z501="A","Generated from "&amp;INDEX(Fixed_Assets!$A$2:$A$201,$AB501),IF($Z501="F","Generated from "&amp;INDEX(FTE_Allocation!$A$2:$A$201,$AB501),"")))</f>
        <v/>
      </c>
      <c r="X501" s="19">
        <f>IF($Z501="","",SUM(J501:U501))</f>
        <v/>
      </c>
      <c r="Y501" s="20">
        <f>ROW()-1</f>
        <v/>
      </c>
      <c r="Z501" s="20">
        <f>IF($Y501&lt;=Settings!$B$4*3,"C",IF($Y501&lt;=(Settings!$B$4+Settings!$B$5)*3,"A",IF($Y501&lt;=(Settings!$B$4+Settings!$B$5+Settings!$B$6)*3,"F","")))</f>
        <v/>
      </c>
      <c r="AA501" s="20">
        <f>IF($Z501="C",$Y501,IF($Z501="A",$Y501-Settings!$B$4*3,IF($Z501="F",$Y501-(Settings!$B$4+Settings!$B$5)*3,"")))</f>
        <v/>
      </c>
      <c r="AB501" s="20">
        <f>IF($Z501="","",INT(($AA501-1)/3)+1)</f>
        <v/>
      </c>
      <c r="AC501" s="20">
        <f>IF($Z501="","",MOD($AA501-1,3)+1)</f>
        <v/>
      </c>
      <c r="AD501" s="20">
        <f>IF($Z501="","",Settings!$B$2+$AC501-1)</f>
        <v/>
      </c>
      <c r="AE501" s="21">
        <f>IF($Z501="C",DATE(YEAR(INDEX(Contracts!$J$2:$J$151,$AB501)),MONTH(INDEX(Contracts!$J$2:$J$151,$AB501)),1),IF($Z501="A",DATE(YEAR(INDEX(Fixed_Assets!$G$2:$G$201,$AB501)),MONTH(INDEX(Fixed_Assets!$G$2:$G$201,$AB501)),1),IF($Z501="F",DATE(YEAR(MAX(N(INDEX(Workforce!$I$2:$I$151,MATCH(INDEX(FTE_Allocation!$A$2:$A$201,$AB501),Workforce!$A$2:$A$151,0))),N(INDEX(FTE_Allocation!$I$2:$I$201,$AB501)))),MONTH(MAX(N(INDEX(Workforce!$I$2:$I$151,MATCH(INDEX(FTE_Allocation!$A$2:$A$201,$AB501),Workforce!$A$2:$A$151,0))),N(INDEX(FTE_Allocation!$I$2:$I$201,$AB501)))),1),"")))</f>
        <v/>
      </c>
      <c r="AF501" s="21">
        <f>IF($Z501="C",IF(INDEX(Contracts!$I$2:$I$151,$AB501)="PREPAID",EDATE(DATE(YEAR(INDEX(Contracts!$J$2:$J$151,$AB501)),MONTH(INDEX(Contracts!$J$2:$J$151,$AB501)),1),IF(INDEX(Contracts!$N$2:$N$151,$AB501)="",12,INDEX(Contracts!$N$2:$N$151,$AB501))-1),IF(INDEX(Contracts!$I$2:$I$151,$AB501)="MONTHLY",IF(INDEX(Contracts!$K$2:$K$151,$AB501)="",2958101,INDEX(Contracts!$K$2:$K$151,$AB501)),0)),IF($Z501="A",EDATE(DATE(YEAR(INDEX(Fixed_Assets!$G$2:$G$201,$AB501)),MONTH(INDEX(Fixed_Assets!$G$2:$G$201,$AB501)),1),INDEX(Fixed_Assets!$J$2:$J$201,$AB501)-1),IF($Z501="F",MIN(IF(INDEX(Workforce!$J$2:$J$151,MATCH(INDEX(FTE_Allocation!$A$2:$A$201,$AB501),Workforce!$A$2:$A$151,0))="",2958101,INDEX(Workforce!$J$2:$J$151,MATCH(INDEX(FTE_Allocation!$A$2:$A$201,$AB501),Workforce!$A$2:$A$151,0))),IF(INDEX(FTE_Allocation!$J$2:$J$201,$AB501)="",2958101,INDEX(FTE_Allocation!$J$2:$J$201,$AB501))),"")))</f>
        <v/>
      </c>
      <c r="AG501" s="19">
        <f>IF($Z501="C",IF(INDEX(Contracts!$I$2:$I$151,$AB501)="PREPAID",INDEX(Contracts!$M$2:$M$151,$AB501)/IF(INDEX(Contracts!$N$2:$N$151,$AB501)="",12,INDEX(Contracts!$N$2:$N$151,$AB501)),IF(INDEX(Contracts!$I$2:$I$151,$AB501)="MONTHLY",INDEX(Contracts!$M$2:$M$151,$AB501),0))*(1-N(INDEX(Contracts!$O$2:$O$151,$AB501))),IF($Z501="A",INDEX(Fixed_Assets!$H$2:$H$201,$AB501)/INDEX(Fixed_Assets!$J$2:$J$201,$AB501),IF($Z501="F",INDEX(Workforce!$F$2:$F$151,MATCH(INDEX(FTE_Allocation!$A$2:$A$201,$AB501),Workforce!$A$2:$A$151,0))*N(INDEX(FTE_Allocation!$F$2:$H$201,$AB501,$AC501)),"")))</f>
        <v/>
      </c>
    </row>
    <row r="502">
      <c r="A502" s="7">
        <f>IF($Z502="","",$AD502)</f>
        <v/>
      </c>
      <c r="B502" s="7">
        <f>IF($Z502="C",INDEX(Contracts!$D$2:$D$151,$AB502)&amp;"",IF($Z502="A",INDEX(Fixed_Assets!$C$2:$C$201,$AB502)&amp;"",IF($Z502="F",INDEX(Workforce!$B$2:$B$151,MATCH(INDEX(FTE_Allocation!$A$2:$A$201,$AB502),Workforce!$A$2:$A$151,0))&amp;"","")))</f>
        <v/>
      </c>
      <c r="C502" s="7">
        <f>IF($Z502="C",INDEX(Contracts!$E$2:$E$151,$AB502)&amp;"",IF($Z502="A",INDEX(Fixed_Assets!$D$2:$D$201,$AB502)&amp;"",IF($Z502="F",INDEX(FTE_Allocation!$C$2:$C$201,$AB502)&amp;"","")))</f>
        <v/>
      </c>
      <c r="D502" s="7">
        <f>IF($Z502="C",INDEX(Contracts!$B$2:$B$151,$AB502)&amp;"",IF($Z502="A",INDEX(Fixed_Assets!$B$2:$B$201,$AB502)&amp;"",IF($Z502="F",INDEX(FTE_Allocation!$B$2:$B$201,$AB502)&amp;"","")))</f>
        <v/>
      </c>
      <c r="E502" s="7">
        <f>IF($Z502="C",INDEX(Contracts!$P$2:$P$151,$AB502)&amp;"",IF($Z502="A",INDEX(Fixed_Assets!$K$2:$K$201,$AB502)&amp;"",IF($Z502="F",IF(INDEX(FTE_Allocation!$D$2:$D$201,$AB502)="PROJECT",IFERROR(INDEX(Projects!$D:$D,MATCH(INDEX(FTE_Allocation!$E$2:$E$201,$AB502),Projects!$A:$A,0))&amp;"","#PROJECT?"),INDEX(FTE_Allocation!$E$2:$E$201,$AB502)&amp;""),"")))</f>
        <v/>
      </c>
      <c r="F502" s="7">
        <f>IF($Z502="C",INDEX(Contracts!$Q$2:$Q$151,$AB502)&amp;"",IF($Z502="A",INDEX(Fixed_Assets!$L$2:$L$201,$AB502)&amp;"",IF($Z502="F",INDEX(Workforce!$K$2:$K$151,MATCH(INDEX(FTE_Allocation!$A$2:$A$201,$AB502),Workforce!$A$2:$A$151,0))&amp;"","")))</f>
        <v/>
      </c>
      <c r="G502" s="7">
        <f>IF($Z502="C",INDEX(Contracts!$F$2:$F$151,$AB502)&amp;" / "&amp;INDEX(Contracts!$G$2:$G$151,$AB502),IF($Z502="A",INDEX(Fixed_Assets!$E$2:$E$201,$AB502)&amp;"",IF($Z502="F","Personnel "&amp;INDEX(FTE_Allocation!$A$2:$A$201,$AB502)&amp;IF(INDEX(FTE_Allocation!$D$2:$D$201,$AB502)="PROJECT"," ("&amp;INDEX(FTE_Allocation!$E$2:$E$201,$AB502)&amp;")",""),"")))</f>
        <v/>
      </c>
      <c r="H502" s="7">
        <f>IF($Z502="C","CONTRACT",IF($Z502="A","ASSET",IF($Z502="F","WORKFORCE","")))</f>
        <v/>
      </c>
      <c r="I502" s="7">
        <f>IF($Z502="C",INDEX(Contracts!$L$2:$L$151,$AB502)&amp;"",IF($Z502="A",INDEX(Fixed_Assets!$I$2:$I$201,$AB502)&amp;"",IF($Z502="F",INDEX(Workforce!$G$2:$G$151,MATCH(INDEX(FTE_Allocation!$A$2:$A$201,$AB502),Workforce!$A$2:$A$151,0))&amp;"","")))</f>
        <v/>
      </c>
      <c r="J502" s="18">
        <f>IF($Z502="","",IF(AND(DATE($AD502,1,1)&gt;=$AE502,DATE($AD502,1,1)&lt;=$AF502),ROUND($AG502,2),0))</f>
        <v/>
      </c>
      <c r="K502" s="18">
        <f>IF($Z502="","",IF(AND(DATE($AD502,2,1)&gt;=$AE502,DATE($AD502,2,1)&lt;=$AF502),ROUND($AG502,2),0))</f>
        <v/>
      </c>
      <c r="L502" s="18">
        <f>IF($Z502="","",IF(AND(DATE($AD502,3,1)&gt;=$AE502,DATE($AD502,3,1)&lt;=$AF502),ROUND($AG502,2),0))</f>
        <v/>
      </c>
      <c r="M502" s="18">
        <f>IF($Z502="","",IF(AND(DATE($AD502,4,1)&gt;=$AE502,DATE($AD502,4,1)&lt;=$AF502),ROUND($AG502,2),0))</f>
        <v/>
      </c>
      <c r="N502" s="18">
        <f>IF($Z502="","",IF(AND(DATE($AD502,5,1)&gt;=$AE502,DATE($AD502,5,1)&lt;=$AF502),ROUND($AG502,2),0))</f>
        <v/>
      </c>
      <c r="O502" s="18">
        <f>IF($Z502="","",IF(AND(DATE($AD502,6,1)&gt;=$AE502,DATE($AD502,6,1)&lt;=$AF502),ROUND($AG502,2),0))</f>
        <v/>
      </c>
      <c r="P502" s="18">
        <f>IF($Z502="","",IF(AND(DATE($AD502,7,1)&gt;=$AE502,DATE($AD502,7,1)&lt;=$AF502),ROUND($AG502,2),0))</f>
        <v/>
      </c>
      <c r="Q502" s="18">
        <f>IF($Z502="","",IF(AND(DATE($AD502,8,1)&gt;=$AE502,DATE($AD502,8,1)&lt;=$AF502),ROUND($AG502,2),0))</f>
        <v/>
      </c>
      <c r="R502" s="18">
        <f>IF($Z502="","",IF(AND(DATE($AD502,9,1)&gt;=$AE502,DATE($AD502,9,1)&lt;=$AF502),ROUND($AG502,2),0))</f>
        <v/>
      </c>
      <c r="S502" s="18">
        <f>IF($Z502="","",IF(AND(DATE($AD502,10,1)&gt;=$AE502,DATE($AD502,10,1)&lt;=$AF502),ROUND($AG502,2),0))</f>
        <v/>
      </c>
      <c r="T502" s="18">
        <f>IF($Z502="","",IF(AND(DATE($AD502,11,1)&gt;=$AE502,DATE($AD502,11,1)&lt;=$AF502),ROUND($AG502,2),0))</f>
        <v/>
      </c>
      <c r="U502" s="18">
        <f>IF($Z502="","",IF(AND(DATE($AD502,12,1)&gt;=$AE502,DATE($AD502,12,1)&lt;=$AF502),ROUND($AG502,2),0))</f>
        <v/>
      </c>
      <c r="V502" s="7">
        <f>IF($Z502="C","Generated from "&amp;INDEX(Contracts!$A$2:$A$151,$AB502),IF($Z502="A","Generated from "&amp;INDEX(Fixed_Assets!$A$2:$A$201,$AB502),IF($Z502="F","Generated from "&amp;INDEX(FTE_Allocation!$A$2:$A$201,$AB502),"")))</f>
        <v/>
      </c>
      <c r="X502" s="19">
        <f>IF($Z502="","",SUM(J502:U502))</f>
        <v/>
      </c>
      <c r="Y502" s="20">
        <f>ROW()-1</f>
        <v/>
      </c>
      <c r="Z502" s="20">
        <f>IF($Y502&lt;=Settings!$B$4*3,"C",IF($Y502&lt;=(Settings!$B$4+Settings!$B$5)*3,"A",IF($Y502&lt;=(Settings!$B$4+Settings!$B$5+Settings!$B$6)*3,"F","")))</f>
        <v/>
      </c>
      <c r="AA502" s="20">
        <f>IF($Z502="C",$Y502,IF($Z502="A",$Y502-Settings!$B$4*3,IF($Z502="F",$Y502-(Settings!$B$4+Settings!$B$5)*3,"")))</f>
        <v/>
      </c>
      <c r="AB502" s="20">
        <f>IF($Z502="","",INT(($AA502-1)/3)+1)</f>
        <v/>
      </c>
      <c r="AC502" s="20">
        <f>IF($Z502="","",MOD($AA502-1,3)+1)</f>
        <v/>
      </c>
      <c r="AD502" s="20">
        <f>IF($Z502="","",Settings!$B$2+$AC502-1)</f>
        <v/>
      </c>
      <c r="AE502" s="21">
        <f>IF($Z502="C",DATE(YEAR(INDEX(Contracts!$J$2:$J$151,$AB502)),MONTH(INDEX(Contracts!$J$2:$J$151,$AB502)),1),IF($Z502="A",DATE(YEAR(INDEX(Fixed_Assets!$G$2:$G$201,$AB502)),MONTH(INDEX(Fixed_Assets!$G$2:$G$201,$AB502)),1),IF($Z502="F",DATE(YEAR(MAX(N(INDEX(Workforce!$I$2:$I$151,MATCH(INDEX(FTE_Allocation!$A$2:$A$201,$AB502),Workforce!$A$2:$A$151,0))),N(INDEX(FTE_Allocation!$I$2:$I$201,$AB502)))),MONTH(MAX(N(INDEX(Workforce!$I$2:$I$151,MATCH(INDEX(FTE_Allocation!$A$2:$A$201,$AB502),Workforce!$A$2:$A$151,0))),N(INDEX(FTE_Allocation!$I$2:$I$201,$AB502)))),1),"")))</f>
        <v/>
      </c>
      <c r="AF502" s="21">
        <f>IF($Z502="C",IF(INDEX(Contracts!$I$2:$I$151,$AB502)="PREPAID",EDATE(DATE(YEAR(INDEX(Contracts!$J$2:$J$151,$AB502)),MONTH(INDEX(Contracts!$J$2:$J$151,$AB502)),1),IF(INDEX(Contracts!$N$2:$N$151,$AB502)="",12,INDEX(Contracts!$N$2:$N$151,$AB502))-1),IF(INDEX(Contracts!$I$2:$I$151,$AB502)="MONTHLY",IF(INDEX(Contracts!$K$2:$K$151,$AB502)="",2958101,INDEX(Contracts!$K$2:$K$151,$AB502)),0)),IF($Z502="A",EDATE(DATE(YEAR(INDEX(Fixed_Assets!$G$2:$G$201,$AB502)),MONTH(INDEX(Fixed_Assets!$G$2:$G$201,$AB502)),1),INDEX(Fixed_Assets!$J$2:$J$201,$AB502)-1),IF($Z502="F",MIN(IF(INDEX(Workforce!$J$2:$J$151,MATCH(INDEX(FTE_Allocation!$A$2:$A$201,$AB502),Workforce!$A$2:$A$151,0))="",2958101,INDEX(Workforce!$J$2:$J$151,MATCH(INDEX(FTE_Allocation!$A$2:$A$201,$AB502),Workforce!$A$2:$A$151,0))),IF(INDEX(FTE_Allocation!$J$2:$J$201,$AB502)="",2958101,INDEX(FTE_Allocation!$J$2:$J$201,$AB502))),"")))</f>
        <v/>
      </c>
      <c r="AG502" s="19">
        <f>IF($Z502="C",IF(INDEX(Contracts!$I$2:$I$151,$AB502)="PREPAID",INDEX(Contracts!$M$2:$M$151,$AB502)/IF(INDEX(Contracts!$N$2:$N$151,$AB502)="",12,INDEX(Contracts!$N$2:$N$151,$AB502)),IF(INDEX(Contracts!$I$2:$I$151,$AB502)="MONTHLY",INDEX(Contracts!$M$2:$M$151,$AB502),0))*(1-N(INDEX(Contracts!$O$2:$O$151,$AB502))),IF($Z502="A",INDEX(Fixed_Assets!$H$2:$H$201,$AB502)/INDEX(Fixed_Assets!$J$2:$J$201,$AB502),IF($Z502="F",INDEX(Workforce!$F$2:$F$151,MATCH(INDEX(FTE_Allocation!$A$2:$A$201,$AB502),Workforce!$A$2:$A$151,0))*N(INDEX(FTE_Allocation!$F$2:$H$201,$AB502,$AC502)),"")))</f>
        <v/>
      </c>
    </row>
    <row r="503">
      <c r="A503" s="7">
        <f>IF($Z503="","",$AD503)</f>
        <v/>
      </c>
      <c r="B503" s="7">
        <f>IF($Z503="C",INDEX(Contracts!$D$2:$D$151,$AB503)&amp;"",IF($Z503="A",INDEX(Fixed_Assets!$C$2:$C$201,$AB503)&amp;"",IF($Z503="F",INDEX(Workforce!$B$2:$B$151,MATCH(INDEX(FTE_Allocation!$A$2:$A$201,$AB503),Workforce!$A$2:$A$151,0))&amp;"","")))</f>
        <v/>
      </c>
      <c r="C503" s="7">
        <f>IF($Z503="C",INDEX(Contracts!$E$2:$E$151,$AB503)&amp;"",IF($Z503="A",INDEX(Fixed_Assets!$D$2:$D$201,$AB503)&amp;"",IF($Z503="F",INDEX(FTE_Allocation!$C$2:$C$201,$AB503)&amp;"","")))</f>
        <v/>
      </c>
      <c r="D503" s="7">
        <f>IF($Z503="C",INDEX(Contracts!$B$2:$B$151,$AB503)&amp;"",IF($Z503="A",INDEX(Fixed_Assets!$B$2:$B$201,$AB503)&amp;"",IF($Z503="F",INDEX(FTE_Allocation!$B$2:$B$201,$AB503)&amp;"","")))</f>
        <v/>
      </c>
      <c r="E503" s="7">
        <f>IF($Z503="C",INDEX(Contracts!$P$2:$P$151,$AB503)&amp;"",IF($Z503="A",INDEX(Fixed_Assets!$K$2:$K$201,$AB503)&amp;"",IF($Z503="F",IF(INDEX(FTE_Allocation!$D$2:$D$201,$AB503)="PROJECT",IFERROR(INDEX(Projects!$D:$D,MATCH(INDEX(FTE_Allocation!$E$2:$E$201,$AB503),Projects!$A:$A,0))&amp;"","#PROJECT?"),INDEX(FTE_Allocation!$E$2:$E$201,$AB503)&amp;""),"")))</f>
        <v/>
      </c>
      <c r="F503" s="7">
        <f>IF($Z503="C",INDEX(Contracts!$Q$2:$Q$151,$AB503)&amp;"",IF($Z503="A",INDEX(Fixed_Assets!$L$2:$L$201,$AB503)&amp;"",IF($Z503="F",INDEX(Workforce!$K$2:$K$151,MATCH(INDEX(FTE_Allocation!$A$2:$A$201,$AB503),Workforce!$A$2:$A$151,0))&amp;"","")))</f>
        <v/>
      </c>
      <c r="G503" s="7">
        <f>IF($Z503="C",INDEX(Contracts!$F$2:$F$151,$AB503)&amp;" / "&amp;INDEX(Contracts!$G$2:$G$151,$AB503),IF($Z503="A",INDEX(Fixed_Assets!$E$2:$E$201,$AB503)&amp;"",IF($Z503="F","Personnel "&amp;INDEX(FTE_Allocation!$A$2:$A$201,$AB503)&amp;IF(INDEX(FTE_Allocation!$D$2:$D$201,$AB503)="PROJECT"," ("&amp;INDEX(FTE_Allocation!$E$2:$E$201,$AB503)&amp;")",""),"")))</f>
        <v/>
      </c>
      <c r="H503" s="7">
        <f>IF($Z503="C","CONTRACT",IF($Z503="A","ASSET",IF($Z503="F","WORKFORCE","")))</f>
        <v/>
      </c>
      <c r="I503" s="7">
        <f>IF($Z503="C",INDEX(Contracts!$L$2:$L$151,$AB503)&amp;"",IF($Z503="A",INDEX(Fixed_Assets!$I$2:$I$201,$AB503)&amp;"",IF($Z503="F",INDEX(Workforce!$G$2:$G$151,MATCH(INDEX(FTE_Allocation!$A$2:$A$201,$AB503),Workforce!$A$2:$A$151,0))&amp;"","")))</f>
        <v/>
      </c>
      <c r="J503" s="18">
        <f>IF($Z503="","",IF(AND(DATE($AD503,1,1)&gt;=$AE503,DATE($AD503,1,1)&lt;=$AF503),ROUND($AG503,2),0))</f>
        <v/>
      </c>
      <c r="K503" s="18">
        <f>IF($Z503="","",IF(AND(DATE($AD503,2,1)&gt;=$AE503,DATE($AD503,2,1)&lt;=$AF503),ROUND($AG503,2),0))</f>
        <v/>
      </c>
      <c r="L503" s="18">
        <f>IF($Z503="","",IF(AND(DATE($AD503,3,1)&gt;=$AE503,DATE($AD503,3,1)&lt;=$AF503),ROUND($AG503,2),0))</f>
        <v/>
      </c>
      <c r="M503" s="18">
        <f>IF($Z503="","",IF(AND(DATE($AD503,4,1)&gt;=$AE503,DATE($AD503,4,1)&lt;=$AF503),ROUND($AG503,2),0))</f>
        <v/>
      </c>
      <c r="N503" s="18">
        <f>IF($Z503="","",IF(AND(DATE($AD503,5,1)&gt;=$AE503,DATE($AD503,5,1)&lt;=$AF503),ROUND($AG503,2),0))</f>
        <v/>
      </c>
      <c r="O503" s="18">
        <f>IF($Z503="","",IF(AND(DATE($AD503,6,1)&gt;=$AE503,DATE($AD503,6,1)&lt;=$AF503),ROUND($AG503,2),0))</f>
        <v/>
      </c>
      <c r="P503" s="18">
        <f>IF($Z503="","",IF(AND(DATE($AD503,7,1)&gt;=$AE503,DATE($AD503,7,1)&lt;=$AF503),ROUND($AG503,2),0))</f>
        <v/>
      </c>
      <c r="Q503" s="18">
        <f>IF($Z503="","",IF(AND(DATE($AD503,8,1)&gt;=$AE503,DATE($AD503,8,1)&lt;=$AF503),ROUND($AG503,2),0))</f>
        <v/>
      </c>
      <c r="R503" s="18">
        <f>IF($Z503="","",IF(AND(DATE($AD503,9,1)&gt;=$AE503,DATE($AD503,9,1)&lt;=$AF503),ROUND($AG503,2),0))</f>
        <v/>
      </c>
      <c r="S503" s="18">
        <f>IF($Z503="","",IF(AND(DATE($AD503,10,1)&gt;=$AE503,DATE($AD503,10,1)&lt;=$AF503),ROUND($AG503,2),0))</f>
        <v/>
      </c>
      <c r="T503" s="18">
        <f>IF($Z503="","",IF(AND(DATE($AD503,11,1)&gt;=$AE503,DATE($AD503,11,1)&lt;=$AF503),ROUND($AG503,2),0))</f>
        <v/>
      </c>
      <c r="U503" s="18">
        <f>IF($Z503="","",IF(AND(DATE($AD503,12,1)&gt;=$AE503,DATE($AD503,12,1)&lt;=$AF503),ROUND($AG503,2),0))</f>
        <v/>
      </c>
      <c r="V503" s="7">
        <f>IF($Z503="C","Generated from "&amp;INDEX(Contracts!$A$2:$A$151,$AB503),IF($Z503="A","Generated from "&amp;INDEX(Fixed_Assets!$A$2:$A$201,$AB503),IF($Z503="F","Generated from "&amp;INDEX(FTE_Allocation!$A$2:$A$201,$AB503),"")))</f>
        <v/>
      </c>
      <c r="X503" s="19">
        <f>IF($Z503="","",SUM(J503:U503))</f>
        <v/>
      </c>
      <c r="Y503" s="20">
        <f>ROW()-1</f>
        <v/>
      </c>
      <c r="Z503" s="20">
        <f>IF($Y503&lt;=Settings!$B$4*3,"C",IF($Y503&lt;=(Settings!$B$4+Settings!$B$5)*3,"A",IF($Y503&lt;=(Settings!$B$4+Settings!$B$5+Settings!$B$6)*3,"F","")))</f>
        <v/>
      </c>
      <c r="AA503" s="20">
        <f>IF($Z503="C",$Y503,IF($Z503="A",$Y503-Settings!$B$4*3,IF($Z503="F",$Y503-(Settings!$B$4+Settings!$B$5)*3,"")))</f>
        <v/>
      </c>
      <c r="AB503" s="20">
        <f>IF($Z503="","",INT(($AA503-1)/3)+1)</f>
        <v/>
      </c>
      <c r="AC503" s="20">
        <f>IF($Z503="","",MOD($AA503-1,3)+1)</f>
        <v/>
      </c>
      <c r="AD503" s="20">
        <f>IF($Z503="","",Settings!$B$2+$AC503-1)</f>
        <v/>
      </c>
      <c r="AE503" s="21">
        <f>IF($Z503="C",DATE(YEAR(INDEX(Contracts!$J$2:$J$151,$AB503)),MONTH(INDEX(Contracts!$J$2:$J$151,$AB503)),1),IF($Z503="A",DATE(YEAR(INDEX(Fixed_Assets!$G$2:$G$201,$AB503)),MONTH(INDEX(Fixed_Assets!$G$2:$G$201,$AB503)),1),IF($Z503="F",DATE(YEAR(MAX(N(INDEX(Workforce!$I$2:$I$151,MATCH(INDEX(FTE_Allocation!$A$2:$A$201,$AB503),Workforce!$A$2:$A$151,0))),N(INDEX(FTE_Allocation!$I$2:$I$201,$AB503)))),MONTH(MAX(N(INDEX(Workforce!$I$2:$I$151,MATCH(INDEX(FTE_Allocation!$A$2:$A$201,$AB503),Workforce!$A$2:$A$151,0))),N(INDEX(FTE_Allocation!$I$2:$I$201,$AB503)))),1),"")))</f>
        <v/>
      </c>
      <c r="AF503" s="21">
        <f>IF($Z503="C",IF(INDEX(Contracts!$I$2:$I$151,$AB503)="PREPAID",EDATE(DATE(YEAR(INDEX(Contracts!$J$2:$J$151,$AB503)),MONTH(INDEX(Contracts!$J$2:$J$151,$AB503)),1),IF(INDEX(Contracts!$N$2:$N$151,$AB503)="",12,INDEX(Contracts!$N$2:$N$151,$AB503))-1),IF(INDEX(Contracts!$I$2:$I$151,$AB503)="MONTHLY",IF(INDEX(Contracts!$K$2:$K$151,$AB503)="",2958101,INDEX(Contracts!$K$2:$K$151,$AB503)),0)),IF($Z503="A",EDATE(DATE(YEAR(INDEX(Fixed_Assets!$G$2:$G$201,$AB503)),MONTH(INDEX(Fixed_Assets!$G$2:$G$201,$AB503)),1),INDEX(Fixed_Assets!$J$2:$J$201,$AB503)-1),IF($Z503="F",MIN(IF(INDEX(Workforce!$J$2:$J$151,MATCH(INDEX(FTE_Allocation!$A$2:$A$201,$AB503),Workforce!$A$2:$A$151,0))="",2958101,INDEX(Workforce!$J$2:$J$151,MATCH(INDEX(FTE_Allocation!$A$2:$A$201,$AB503),Workforce!$A$2:$A$151,0))),IF(INDEX(FTE_Allocation!$J$2:$J$201,$AB503)="",2958101,INDEX(FTE_Allocation!$J$2:$J$201,$AB503))),"")))</f>
        <v/>
      </c>
      <c r="AG503" s="19">
        <f>IF($Z503="C",IF(INDEX(Contracts!$I$2:$I$151,$AB503)="PREPAID",INDEX(Contracts!$M$2:$M$151,$AB503)/IF(INDEX(Contracts!$N$2:$N$151,$AB503)="",12,INDEX(Contracts!$N$2:$N$151,$AB503)),IF(INDEX(Contracts!$I$2:$I$151,$AB503)="MONTHLY",INDEX(Contracts!$M$2:$M$151,$AB503),0))*(1-N(INDEX(Contracts!$O$2:$O$151,$AB503))),IF($Z503="A",INDEX(Fixed_Assets!$H$2:$H$201,$AB503)/INDEX(Fixed_Assets!$J$2:$J$201,$AB503),IF($Z503="F",INDEX(Workforce!$F$2:$F$151,MATCH(INDEX(FTE_Allocation!$A$2:$A$201,$AB503),Workforce!$A$2:$A$151,0))*N(INDEX(FTE_Allocation!$F$2:$H$201,$AB503,$AC503)),"")))</f>
        <v/>
      </c>
    </row>
    <row r="504">
      <c r="A504" s="7">
        <f>IF($Z504="","",$AD504)</f>
        <v/>
      </c>
      <c r="B504" s="7">
        <f>IF($Z504="C",INDEX(Contracts!$D$2:$D$151,$AB504)&amp;"",IF($Z504="A",INDEX(Fixed_Assets!$C$2:$C$201,$AB504)&amp;"",IF($Z504="F",INDEX(Workforce!$B$2:$B$151,MATCH(INDEX(FTE_Allocation!$A$2:$A$201,$AB504),Workforce!$A$2:$A$151,0))&amp;"","")))</f>
        <v/>
      </c>
      <c r="C504" s="7">
        <f>IF($Z504="C",INDEX(Contracts!$E$2:$E$151,$AB504)&amp;"",IF($Z504="A",INDEX(Fixed_Assets!$D$2:$D$201,$AB504)&amp;"",IF($Z504="F",INDEX(FTE_Allocation!$C$2:$C$201,$AB504)&amp;"","")))</f>
        <v/>
      </c>
      <c r="D504" s="7">
        <f>IF($Z504="C",INDEX(Contracts!$B$2:$B$151,$AB504)&amp;"",IF($Z504="A",INDEX(Fixed_Assets!$B$2:$B$201,$AB504)&amp;"",IF($Z504="F",INDEX(FTE_Allocation!$B$2:$B$201,$AB504)&amp;"","")))</f>
        <v/>
      </c>
      <c r="E504" s="7">
        <f>IF($Z504="C",INDEX(Contracts!$P$2:$P$151,$AB504)&amp;"",IF($Z504="A",INDEX(Fixed_Assets!$K$2:$K$201,$AB504)&amp;"",IF($Z504="F",IF(INDEX(FTE_Allocation!$D$2:$D$201,$AB504)="PROJECT",IFERROR(INDEX(Projects!$D:$D,MATCH(INDEX(FTE_Allocation!$E$2:$E$201,$AB504),Projects!$A:$A,0))&amp;"","#PROJECT?"),INDEX(FTE_Allocation!$E$2:$E$201,$AB504)&amp;""),"")))</f>
        <v/>
      </c>
      <c r="F504" s="7">
        <f>IF($Z504="C",INDEX(Contracts!$Q$2:$Q$151,$AB504)&amp;"",IF($Z504="A",INDEX(Fixed_Assets!$L$2:$L$201,$AB504)&amp;"",IF($Z504="F",INDEX(Workforce!$K$2:$K$151,MATCH(INDEX(FTE_Allocation!$A$2:$A$201,$AB504),Workforce!$A$2:$A$151,0))&amp;"","")))</f>
        <v/>
      </c>
      <c r="G504" s="7">
        <f>IF($Z504="C",INDEX(Contracts!$F$2:$F$151,$AB504)&amp;" / "&amp;INDEX(Contracts!$G$2:$G$151,$AB504),IF($Z504="A",INDEX(Fixed_Assets!$E$2:$E$201,$AB504)&amp;"",IF($Z504="F","Personnel "&amp;INDEX(FTE_Allocation!$A$2:$A$201,$AB504)&amp;IF(INDEX(FTE_Allocation!$D$2:$D$201,$AB504)="PROJECT"," ("&amp;INDEX(FTE_Allocation!$E$2:$E$201,$AB504)&amp;")",""),"")))</f>
        <v/>
      </c>
      <c r="H504" s="7">
        <f>IF($Z504="C","CONTRACT",IF($Z504="A","ASSET",IF($Z504="F","WORKFORCE","")))</f>
        <v/>
      </c>
      <c r="I504" s="7">
        <f>IF($Z504="C",INDEX(Contracts!$L$2:$L$151,$AB504)&amp;"",IF($Z504="A",INDEX(Fixed_Assets!$I$2:$I$201,$AB504)&amp;"",IF($Z504="F",INDEX(Workforce!$G$2:$G$151,MATCH(INDEX(FTE_Allocation!$A$2:$A$201,$AB504),Workforce!$A$2:$A$151,0))&amp;"","")))</f>
        <v/>
      </c>
      <c r="J504" s="18">
        <f>IF($Z504="","",IF(AND(DATE($AD504,1,1)&gt;=$AE504,DATE($AD504,1,1)&lt;=$AF504),ROUND($AG504,2),0))</f>
        <v/>
      </c>
      <c r="K504" s="18">
        <f>IF($Z504="","",IF(AND(DATE($AD504,2,1)&gt;=$AE504,DATE($AD504,2,1)&lt;=$AF504),ROUND($AG504,2),0))</f>
        <v/>
      </c>
      <c r="L504" s="18">
        <f>IF($Z504="","",IF(AND(DATE($AD504,3,1)&gt;=$AE504,DATE($AD504,3,1)&lt;=$AF504),ROUND($AG504,2),0))</f>
        <v/>
      </c>
      <c r="M504" s="18">
        <f>IF($Z504="","",IF(AND(DATE($AD504,4,1)&gt;=$AE504,DATE($AD504,4,1)&lt;=$AF504),ROUND($AG504,2),0))</f>
        <v/>
      </c>
      <c r="N504" s="18">
        <f>IF($Z504="","",IF(AND(DATE($AD504,5,1)&gt;=$AE504,DATE($AD504,5,1)&lt;=$AF504),ROUND($AG504,2),0))</f>
        <v/>
      </c>
      <c r="O504" s="18">
        <f>IF($Z504="","",IF(AND(DATE($AD504,6,1)&gt;=$AE504,DATE($AD504,6,1)&lt;=$AF504),ROUND($AG504,2),0))</f>
        <v/>
      </c>
      <c r="P504" s="18">
        <f>IF($Z504="","",IF(AND(DATE($AD504,7,1)&gt;=$AE504,DATE($AD504,7,1)&lt;=$AF504),ROUND($AG504,2),0))</f>
        <v/>
      </c>
      <c r="Q504" s="18">
        <f>IF($Z504="","",IF(AND(DATE($AD504,8,1)&gt;=$AE504,DATE($AD504,8,1)&lt;=$AF504),ROUND($AG504,2),0))</f>
        <v/>
      </c>
      <c r="R504" s="18">
        <f>IF($Z504="","",IF(AND(DATE($AD504,9,1)&gt;=$AE504,DATE($AD504,9,1)&lt;=$AF504),ROUND($AG504,2),0))</f>
        <v/>
      </c>
      <c r="S504" s="18">
        <f>IF($Z504="","",IF(AND(DATE($AD504,10,1)&gt;=$AE504,DATE($AD504,10,1)&lt;=$AF504),ROUND($AG504,2),0))</f>
        <v/>
      </c>
      <c r="T504" s="18">
        <f>IF($Z504="","",IF(AND(DATE($AD504,11,1)&gt;=$AE504,DATE($AD504,11,1)&lt;=$AF504),ROUND($AG504,2),0))</f>
        <v/>
      </c>
      <c r="U504" s="18">
        <f>IF($Z504="","",IF(AND(DATE($AD504,12,1)&gt;=$AE504,DATE($AD504,12,1)&lt;=$AF504),ROUND($AG504,2),0))</f>
        <v/>
      </c>
      <c r="V504" s="7">
        <f>IF($Z504="C","Generated from "&amp;INDEX(Contracts!$A$2:$A$151,$AB504),IF($Z504="A","Generated from "&amp;INDEX(Fixed_Assets!$A$2:$A$201,$AB504),IF($Z504="F","Generated from "&amp;INDEX(FTE_Allocation!$A$2:$A$201,$AB504),"")))</f>
        <v/>
      </c>
      <c r="X504" s="19">
        <f>IF($Z504="","",SUM(J504:U504))</f>
        <v/>
      </c>
      <c r="Y504" s="20">
        <f>ROW()-1</f>
        <v/>
      </c>
      <c r="Z504" s="20">
        <f>IF($Y504&lt;=Settings!$B$4*3,"C",IF($Y504&lt;=(Settings!$B$4+Settings!$B$5)*3,"A",IF($Y504&lt;=(Settings!$B$4+Settings!$B$5+Settings!$B$6)*3,"F","")))</f>
        <v/>
      </c>
      <c r="AA504" s="20">
        <f>IF($Z504="C",$Y504,IF($Z504="A",$Y504-Settings!$B$4*3,IF($Z504="F",$Y504-(Settings!$B$4+Settings!$B$5)*3,"")))</f>
        <v/>
      </c>
      <c r="AB504" s="20">
        <f>IF($Z504="","",INT(($AA504-1)/3)+1)</f>
        <v/>
      </c>
      <c r="AC504" s="20">
        <f>IF($Z504="","",MOD($AA504-1,3)+1)</f>
        <v/>
      </c>
      <c r="AD504" s="20">
        <f>IF($Z504="","",Settings!$B$2+$AC504-1)</f>
        <v/>
      </c>
      <c r="AE504" s="21">
        <f>IF($Z504="C",DATE(YEAR(INDEX(Contracts!$J$2:$J$151,$AB504)),MONTH(INDEX(Contracts!$J$2:$J$151,$AB504)),1),IF($Z504="A",DATE(YEAR(INDEX(Fixed_Assets!$G$2:$G$201,$AB504)),MONTH(INDEX(Fixed_Assets!$G$2:$G$201,$AB504)),1),IF($Z504="F",DATE(YEAR(MAX(N(INDEX(Workforce!$I$2:$I$151,MATCH(INDEX(FTE_Allocation!$A$2:$A$201,$AB504),Workforce!$A$2:$A$151,0))),N(INDEX(FTE_Allocation!$I$2:$I$201,$AB504)))),MONTH(MAX(N(INDEX(Workforce!$I$2:$I$151,MATCH(INDEX(FTE_Allocation!$A$2:$A$201,$AB504),Workforce!$A$2:$A$151,0))),N(INDEX(FTE_Allocation!$I$2:$I$201,$AB504)))),1),"")))</f>
        <v/>
      </c>
      <c r="AF504" s="21">
        <f>IF($Z504="C",IF(INDEX(Contracts!$I$2:$I$151,$AB504)="PREPAID",EDATE(DATE(YEAR(INDEX(Contracts!$J$2:$J$151,$AB504)),MONTH(INDEX(Contracts!$J$2:$J$151,$AB504)),1),IF(INDEX(Contracts!$N$2:$N$151,$AB504)="",12,INDEX(Contracts!$N$2:$N$151,$AB504))-1),IF(INDEX(Contracts!$I$2:$I$151,$AB504)="MONTHLY",IF(INDEX(Contracts!$K$2:$K$151,$AB504)="",2958101,INDEX(Contracts!$K$2:$K$151,$AB504)),0)),IF($Z504="A",EDATE(DATE(YEAR(INDEX(Fixed_Assets!$G$2:$G$201,$AB504)),MONTH(INDEX(Fixed_Assets!$G$2:$G$201,$AB504)),1),INDEX(Fixed_Assets!$J$2:$J$201,$AB504)-1),IF($Z504="F",MIN(IF(INDEX(Workforce!$J$2:$J$151,MATCH(INDEX(FTE_Allocation!$A$2:$A$201,$AB504),Workforce!$A$2:$A$151,0))="",2958101,INDEX(Workforce!$J$2:$J$151,MATCH(INDEX(FTE_Allocation!$A$2:$A$201,$AB504),Workforce!$A$2:$A$151,0))),IF(INDEX(FTE_Allocation!$J$2:$J$201,$AB504)="",2958101,INDEX(FTE_Allocation!$J$2:$J$201,$AB504))),"")))</f>
        <v/>
      </c>
      <c r="AG504" s="19">
        <f>IF($Z504="C",IF(INDEX(Contracts!$I$2:$I$151,$AB504)="PREPAID",INDEX(Contracts!$M$2:$M$151,$AB504)/IF(INDEX(Contracts!$N$2:$N$151,$AB504)="",12,INDEX(Contracts!$N$2:$N$151,$AB504)),IF(INDEX(Contracts!$I$2:$I$151,$AB504)="MONTHLY",INDEX(Contracts!$M$2:$M$151,$AB504),0))*(1-N(INDEX(Contracts!$O$2:$O$151,$AB504))),IF($Z504="A",INDEX(Fixed_Assets!$H$2:$H$201,$AB504)/INDEX(Fixed_Assets!$J$2:$J$201,$AB504),IF($Z504="F",INDEX(Workforce!$F$2:$F$151,MATCH(INDEX(FTE_Allocation!$A$2:$A$201,$AB504),Workforce!$A$2:$A$151,0))*N(INDEX(FTE_Allocation!$F$2:$H$201,$AB504,$AC504)),"")))</f>
        <v/>
      </c>
    </row>
    <row r="505">
      <c r="A505" s="7">
        <f>IF($Z505="","",$AD505)</f>
        <v/>
      </c>
      <c r="B505" s="7">
        <f>IF($Z505="C",INDEX(Contracts!$D$2:$D$151,$AB505)&amp;"",IF($Z505="A",INDEX(Fixed_Assets!$C$2:$C$201,$AB505)&amp;"",IF($Z505="F",INDEX(Workforce!$B$2:$B$151,MATCH(INDEX(FTE_Allocation!$A$2:$A$201,$AB505),Workforce!$A$2:$A$151,0))&amp;"","")))</f>
        <v/>
      </c>
      <c r="C505" s="7">
        <f>IF($Z505="C",INDEX(Contracts!$E$2:$E$151,$AB505)&amp;"",IF($Z505="A",INDEX(Fixed_Assets!$D$2:$D$201,$AB505)&amp;"",IF($Z505="F",INDEX(FTE_Allocation!$C$2:$C$201,$AB505)&amp;"","")))</f>
        <v/>
      </c>
      <c r="D505" s="7">
        <f>IF($Z505="C",INDEX(Contracts!$B$2:$B$151,$AB505)&amp;"",IF($Z505="A",INDEX(Fixed_Assets!$B$2:$B$201,$AB505)&amp;"",IF($Z505="F",INDEX(FTE_Allocation!$B$2:$B$201,$AB505)&amp;"","")))</f>
        <v/>
      </c>
      <c r="E505" s="7">
        <f>IF($Z505="C",INDEX(Contracts!$P$2:$P$151,$AB505)&amp;"",IF($Z505="A",INDEX(Fixed_Assets!$K$2:$K$201,$AB505)&amp;"",IF($Z505="F",IF(INDEX(FTE_Allocation!$D$2:$D$201,$AB505)="PROJECT",IFERROR(INDEX(Projects!$D:$D,MATCH(INDEX(FTE_Allocation!$E$2:$E$201,$AB505),Projects!$A:$A,0))&amp;"","#PROJECT?"),INDEX(FTE_Allocation!$E$2:$E$201,$AB505)&amp;""),"")))</f>
        <v/>
      </c>
      <c r="F505" s="7">
        <f>IF($Z505="C",INDEX(Contracts!$Q$2:$Q$151,$AB505)&amp;"",IF($Z505="A",INDEX(Fixed_Assets!$L$2:$L$201,$AB505)&amp;"",IF($Z505="F",INDEX(Workforce!$K$2:$K$151,MATCH(INDEX(FTE_Allocation!$A$2:$A$201,$AB505),Workforce!$A$2:$A$151,0))&amp;"","")))</f>
        <v/>
      </c>
      <c r="G505" s="7">
        <f>IF($Z505="C",INDEX(Contracts!$F$2:$F$151,$AB505)&amp;" / "&amp;INDEX(Contracts!$G$2:$G$151,$AB505),IF($Z505="A",INDEX(Fixed_Assets!$E$2:$E$201,$AB505)&amp;"",IF($Z505="F","Personnel "&amp;INDEX(FTE_Allocation!$A$2:$A$201,$AB505)&amp;IF(INDEX(FTE_Allocation!$D$2:$D$201,$AB505)="PROJECT"," ("&amp;INDEX(FTE_Allocation!$E$2:$E$201,$AB505)&amp;")",""),"")))</f>
        <v/>
      </c>
      <c r="H505" s="7">
        <f>IF($Z505="C","CONTRACT",IF($Z505="A","ASSET",IF($Z505="F","WORKFORCE","")))</f>
        <v/>
      </c>
      <c r="I505" s="7">
        <f>IF($Z505="C",INDEX(Contracts!$L$2:$L$151,$AB505)&amp;"",IF($Z505="A",INDEX(Fixed_Assets!$I$2:$I$201,$AB505)&amp;"",IF($Z505="F",INDEX(Workforce!$G$2:$G$151,MATCH(INDEX(FTE_Allocation!$A$2:$A$201,$AB505),Workforce!$A$2:$A$151,0))&amp;"","")))</f>
        <v/>
      </c>
      <c r="J505" s="18">
        <f>IF($Z505="","",IF(AND(DATE($AD505,1,1)&gt;=$AE505,DATE($AD505,1,1)&lt;=$AF505),ROUND($AG505,2),0))</f>
        <v/>
      </c>
      <c r="K505" s="18">
        <f>IF($Z505="","",IF(AND(DATE($AD505,2,1)&gt;=$AE505,DATE($AD505,2,1)&lt;=$AF505),ROUND($AG505,2),0))</f>
        <v/>
      </c>
      <c r="L505" s="18">
        <f>IF($Z505="","",IF(AND(DATE($AD505,3,1)&gt;=$AE505,DATE($AD505,3,1)&lt;=$AF505),ROUND($AG505,2),0))</f>
        <v/>
      </c>
      <c r="M505" s="18">
        <f>IF($Z505="","",IF(AND(DATE($AD505,4,1)&gt;=$AE505,DATE($AD505,4,1)&lt;=$AF505),ROUND($AG505,2),0))</f>
        <v/>
      </c>
      <c r="N505" s="18">
        <f>IF($Z505="","",IF(AND(DATE($AD505,5,1)&gt;=$AE505,DATE($AD505,5,1)&lt;=$AF505),ROUND($AG505,2),0))</f>
        <v/>
      </c>
      <c r="O505" s="18">
        <f>IF($Z505="","",IF(AND(DATE($AD505,6,1)&gt;=$AE505,DATE($AD505,6,1)&lt;=$AF505),ROUND($AG505,2),0))</f>
        <v/>
      </c>
      <c r="P505" s="18">
        <f>IF($Z505="","",IF(AND(DATE($AD505,7,1)&gt;=$AE505,DATE($AD505,7,1)&lt;=$AF505),ROUND($AG505,2),0))</f>
        <v/>
      </c>
      <c r="Q505" s="18">
        <f>IF($Z505="","",IF(AND(DATE($AD505,8,1)&gt;=$AE505,DATE($AD505,8,1)&lt;=$AF505),ROUND($AG505,2),0))</f>
        <v/>
      </c>
      <c r="R505" s="18">
        <f>IF($Z505="","",IF(AND(DATE($AD505,9,1)&gt;=$AE505,DATE($AD505,9,1)&lt;=$AF505),ROUND($AG505,2),0))</f>
        <v/>
      </c>
      <c r="S505" s="18">
        <f>IF($Z505="","",IF(AND(DATE($AD505,10,1)&gt;=$AE505,DATE($AD505,10,1)&lt;=$AF505),ROUND($AG505,2),0))</f>
        <v/>
      </c>
      <c r="T505" s="18">
        <f>IF($Z505="","",IF(AND(DATE($AD505,11,1)&gt;=$AE505,DATE($AD505,11,1)&lt;=$AF505),ROUND($AG505,2),0))</f>
        <v/>
      </c>
      <c r="U505" s="18">
        <f>IF($Z505="","",IF(AND(DATE($AD505,12,1)&gt;=$AE505,DATE($AD505,12,1)&lt;=$AF505),ROUND($AG505,2),0))</f>
        <v/>
      </c>
      <c r="V505" s="7">
        <f>IF($Z505="C","Generated from "&amp;INDEX(Contracts!$A$2:$A$151,$AB505),IF($Z505="A","Generated from "&amp;INDEX(Fixed_Assets!$A$2:$A$201,$AB505),IF($Z505="F","Generated from "&amp;INDEX(FTE_Allocation!$A$2:$A$201,$AB505),"")))</f>
        <v/>
      </c>
      <c r="X505" s="19">
        <f>IF($Z505="","",SUM(J505:U505))</f>
        <v/>
      </c>
      <c r="Y505" s="20">
        <f>ROW()-1</f>
        <v/>
      </c>
      <c r="Z505" s="20">
        <f>IF($Y505&lt;=Settings!$B$4*3,"C",IF($Y505&lt;=(Settings!$B$4+Settings!$B$5)*3,"A",IF($Y505&lt;=(Settings!$B$4+Settings!$B$5+Settings!$B$6)*3,"F","")))</f>
        <v/>
      </c>
      <c r="AA505" s="20">
        <f>IF($Z505="C",$Y505,IF($Z505="A",$Y505-Settings!$B$4*3,IF($Z505="F",$Y505-(Settings!$B$4+Settings!$B$5)*3,"")))</f>
        <v/>
      </c>
      <c r="AB505" s="20">
        <f>IF($Z505="","",INT(($AA505-1)/3)+1)</f>
        <v/>
      </c>
      <c r="AC505" s="20">
        <f>IF($Z505="","",MOD($AA505-1,3)+1)</f>
        <v/>
      </c>
      <c r="AD505" s="20">
        <f>IF($Z505="","",Settings!$B$2+$AC505-1)</f>
        <v/>
      </c>
      <c r="AE505" s="21">
        <f>IF($Z505="C",DATE(YEAR(INDEX(Contracts!$J$2:$J$151,$AB505)),MONTH(INDEX(Contracts!$J$2:$J$151,$AB505)),1),IF($Z505="A",DATE(YEAR(INDEX(Fixed_Assets!$G$2:$G$201,$AB505)),MONTH(INDEX(Fixed_Assets!$G$2:$G$201,$AB505)),1),IF($Z505="F",DATE(YEAR(MAX(N(INDEX(Workforce!$I$2:$I$151,MATCH(INDEX(FTE_Allocation!$A$2:$A$201,$AB505),Workforce!$A$2:$A$151,0))),N(INDEX(FTE_Allocation!$I$2:$I$201,$AB505)))),MONTH(MAX(N(INDEX(Workforce!$I$2:$I$151,MATCH(INDEX(FTE_Allocation!$A$2:$A$201,$AB505),Workforce!$A$2:$A$151,0))),N(INDEX(FTE_Allocation!$I$2:$I$201,$AB505)))),1),"")))</f>
        <v/>
      </c>
      <c r="AF505" s="21">
        <f>IF($Z505="C",IF(INDEX(Contracts!$I$2:$I$151,$AB505)="PREPAID",EDATE(DATE(YEAR(INDEX(Contracts!$J$2:$J$151,$AB505)),MONTH(INDEX(Contracts!$J$2:$J$151,$AB505)),1),IF(INDEX(Contracts!$N$2:$N$151,$AB505)="",12,INDEX(Contracts!$N$2:$N$151,$AB505))-1),IF(INDEX(Contracts!$I$2:$I$151,$AB505)="MONTHLY",IF(INDEX(Contracts!$K$2:$K$151,$AB505)="",2958101,INDEX(Contracts!$K$2:$K$151,$AB505)),0)),IF($Z505="A",EDATE(DATE(YEAR(INDEX(Fixed_Assets!$G$2:$G$201,$AB505)),MONTH(INDEX(Fixed_Assets!$G$2:$G$201,$AB505)),1),INDEX(Fixed_Assets!$J$2:$J$201,$AB505)-1),IF($Z505="F",MIN(IF(INDEX(Workforce!$J$2:$J$151,MATCH(INDEX(FTE_Allocation!$A$2:$A$201,$AB505),Workforce!$A$2:$A$151,0))="",2958101,INDEX(Workforce!$J$2:$J$151,MATCH(INDEX(FTE_Allocation!$A$2:$A$201,$AB505),Workforce!$A$2:$A$151,0))),IF(INDEX(FTE_Allocation!$J$2:$J$201,$AB505)="",2958101,INDEX(FTE_Allocation!$J$2:$J$201,$AB505))),"")))</f>
        <v/>
      </c>
      <c r="AG505" s="19">
        <f>IF($Z505="C",IF(INDEX(Contracts!$I$2:$I$151,$AB505)="PREPAID",INDEX(Contracts!$M$2:$M$151,$AB505)/IF(INDEX(Contracts!$N$2:$N$151,$AB505)="",12,INDEX(Contracts!$N$2:$N$151,$AB505)),IF(INDEX(Contracts!$I$2:$I$151,$AB505)="MONTHLY",INDEX(Contracts!$M$2:$M$151,$AB505),0))*(1-N(INDEX(Contracts!$O$2:$O$151,$AB505))),IF($Z505="A",INDEX(Fixed_Assets!$H$2:$H$201,$AB505)/INDEX(Fixed_Assets!$J$2:$J$201,$AB505),IF($Z505="F",INDEX(Workforce!$F$2:$F$151,MATCH(INDEX(FTE_Allocation!$A$2:$A$201,$AB505),Workforce!$A$2:$A$151,0))*N(INDEX(FTE_Allocation!$F$2:$H$201,$AB505,$AC505)),"")))</f>
        <v/>
      </c>
    </row>
    <row r="506">
      <c r="A506" s="7">
        <f>IF($Z506="","",$AD506)</f>
        <v/>
      </c>
      <c r="B506" s="7">
        <f>IF($Z506="C",INDEX(Contracts!$D$2:$D$151,$AB506)&amp;"",IF($Z506="A",INDEX(Fixed_Assets!$C$2:$C$201,$AB506)&amp;"",IF($Z506="F",INDEX(Workforce!$B$2:$B$151,MATCH(INDEX(FTE_Allocation!$A$2:$A$201,$AB506),Workforce!$A$2:$A$151,0))&amp;"","")))</f>
        <v/>
      </c>
      <c r="C506" s="7">
        <f>IF($Z506="C",INDEX(Contracts!$E$2:$E$151,$AB506)&amp;"",IF($Z506="A",INDEX(Fixed_Assets!$D$2:$D$201,$AB506)&amp;"",IF($Z506="F",INDEX(FTE_Allocation!$C$2:$C$201,$AB506)&amp;"","")))</f>
        <v/>
      </c>
      <c r="D506" s="7">
        <f>IF($Z506="C",INDEX(Contracts!$B$2:$B$151,$AB506)&amp;"",IF($Z506="A",INDEX(Fixed_Assets!$B$2:$B$201,$AB506)&amp;"",IF($Z506="F",INDEX(FTE_Allocation!$B$2:$B$201,$AB506)&amp;"","")))</f>
        <v/>
      </c>
      <c r="E506" s="7">
        <f>IF($Z506="C",INDEX(Contracts!$P$2:$P$151,$AB506)&amp;"",IF($Z506="A",INDEX(Fixed_Assets!$K$2:$K$201,$AB506)&amp;"",IF($Z506="F",IF(INDEX(FTE_Allocation!$D$2:$D$201,$AB506)="PROJECT",IFERROR(INDEX(Projects!$D:$D,MATCH(INDEX(FTE_Allocation!$E$2:$E$201,$AB506),Projects!$A:$A,0))&amp;"","#PROJECT?"),INDEX(FTE_Allocation!$E$2:$E$201,$AB506)&amp;""),"")))</f>
        <v/>
      </c>
      <c r="F506" s="7">
        <f>IF($Z506="C",INDEX(Contracts!$Q$2:$Q$151,$AB506)&amp;"",IF($Z506="A",INDEX(Fixed_Assets!$L$2:$L$201,$AB506)&amp;"",IF($Z506="F",INDEX(Workforce!$K$2:$K$151,MATCH(INDEX(FTE_Allocation!$A$2:$A$201,$AB506),Workforce!$A$2:$A$151,0))&amp;"","")))</f>
        <v/>
      </c>
      <c r="G506" s="7">
        <f>IF($Z506="C",INDEX(Contracts!$F$2:$F$151,$AB506)&amp;" / "&amp;INDEX(Contracts!$G$2:$G$151,$AB506),IF($Z506="A",INDEX(Fixed_Assets!$E$2:$E$201,$AB506)&amp;"",IF($Z506="F","Personnel "&amp;INDEX(FTE_Allocation!$A$2:$A$201,$AB506)&amp;IF(INDEX(FTE_Allocation!$D$2:$D$201,$AB506)="PROJECT"," ("&amp;INDEX(FTE_Allocation!$E$2:$E$201,$AB506)&amp;")",""),"")))</f>
        <v/>
      </c>
      <c r="H506" s="7">
        <f>IF($Z506="C","CONTRACT",IF($Z506="A","ASSET",IF($Z506="F","WORKFORCE","")))</f>
        <v/>
      </c>
      <c r="I506" s="7">
        <f>IF($Z506="C",INDEX(Contracts!$L$2:$L$151,$AB506)&amp;"",IF($Z506="A",INDEX(Fixed_Assets!$I$2:$I$201,$AB506)&amp;"",IF($Z506="F",INDEX(Workforce!$G$2:$G$151,MATCH(INDEX(FTE_Allocation!$A$2:$A$201,$AB506),Workforce!$A$2:$A$151,0))&amp;"","")))</f>
        <v/>
      </c>
      <c r="J506" s="18">
        <f>IF($Z506="","",IF(AND(DATE($AD506,1,1)&gt;=$AE506,DATE($AD506,1,1)&lt;=$AF506),ROUND($AG506,2),0))</f>
        <v/>
      </c>
      <c r="K506" s="18">
        <f>IF($Z506="","",IF(AND(DATE($AD506,2,1)&gt;=$AE506,DATE($AD506,2,1)&lt;=$AF506),ROUND($AG506,2),0))</f>
        <v/>
      </c>
      <c r="L506" s="18">
        <f>IF($Z506="","",IF(AND(DATE($AD506,3,1)&gt;=$AE506,DATE($AD506,3,1)&lt;=$AF506),ROUND($AG506,2),0))</f>
        <v/>
      </c>
      <c r="M506" s="18">
        <f>IF($Z506="","",IF(AND(DATE($AD506,4,1)&gt;=$AE506,DATE($AD506,4,1)&lt;=$AF506),ROUND($AG506,2),0))</f>
        <v/>
      </c>
      <c r="N506" s="18">
        <f>IF($Z506="","",IF(AND(DATE($AD506,5,1)&gt;=$AE506,DATE($AD506,5,1)&lt;=$AF506),ROUND($AG506,2),0))</f>
        <v/>
      </c>
      <c r="O506" s="18">
        <f>IF($Z506="","",IF(AND(DATE($AD506,6,1)&gt;=$AE506,DATE($AD506,6,1)&lt;=$AF506),ROUND($AG506,2),0))</f>
        <v/>
      </c>
      <c r="P506" s="18">
        <f>IF($Z506="","",IF(AND(DATE($AD506,7,1)&gt;=$AE506,DATE($AD506,7,1)&lt;=$AF506),ROUND($AG506,2),0))</f>
        <v/>
      </c>
      <c r="Q506" s="18">
        <f>IF($Z506="","",IF(AND(DATE($AD506,8,1)&gt;=$AE506,DATE($AD506,8,1)&lt;=$AF506),ROUND($AG506,2),0))</f>
        <v/>
      </c>
      <c r="R506" s="18">
        <f>IF($Z506="","",IF(AND(DATE($AD506,9,1)&gt;=$AE506,DATE($AD506,9,1)&lt;=$AF506),ROUND($AG506,2),0))</f>
        <v/>
      </c>
      <c r="S506" s="18">
        <f>IF($Z506="","",IF(AND(DATE($AD506,10,1)&gt;=$AE506,DATE($AD506,10,1)&lt;=$AF506),ROUND($AG506,2),0))</f>
        <v/>
      </c>
      <c r="T506" s="18">
        <f>IF($Z506="","",IF(AND(DATE($AD506,11,1)&gt;=$AE506,DATE($AD506,11,1)&lt;=$AF506),ROUND($AG506,2),0))</f>
        <v/>
      </c>
      <c r="U506" s="18">
        <f>IF($Z506="","",IF(AND(DATE($AD506,12,1)&gt;=$AE506,DATE($AD506,12,1)&lt;=$AF506),ROUND($AG506,2),0))</f>
        <v/>
      </c>
      <c r="V506" s="7">
        <f>IF($Z506="C","Generated from "&amp;INDEX(Contracts!$A$2:$A$151,$AB506),IF($Z506="A","Generated from "&amp;INDEX(Fixed_Assets!$A$2:$A$201,$AB506),IF($Z506="F","Generated from "&amp;INDEX(FTE_Allocation!$A$2:$A$201,$AB506),"")))</f>
        <v/>
      </c>
      <c r="X506" s="19">
        <f>IF($Z506="","",SUM(J506:U506))</f>
        <v/>
      </c>
      <c r="Y506" s="20">
        <f>ROW()-1</f>
        <v/>
      </c>
      <c r="Z506" s="20">
        <f>IF($Y506&lt;=Settings!$B$4*3,"C",IF($Y506&lt;=(Settings!$B$4+Settings!$B$5)*3,"A",IF($Y506&lt;=(Settings!$B$4+Settings!$B$5+Settings!$B$6)*3,"F","")))</f>
        <v/>
      </c>
      <c r="AA506" s="20">
        <f>IF($Z506="C",$Y506,IF($Z506="A",$Y506-Settings!$B$4*3,IF($Z506="F",$Y506-(Settings!$B$4+Settings!$B$5)*3,"")))</f>
        <v/>
      </c>
      <c r="AB506" s="20">
        <f>IF($Z506="","",INT(($AA506-1)/3)+1)</f>
        <v/>
      </c>
      <c r="AC506" s="20">
        <f>IF($Z506="","",MOD($AA506-1,3)+1)</f>
        <v/>
      </c>
      <c r="AD506" s="20">
        <f>IF($Z506="","",Settings!$B$2+$AC506-1)</f>
        <v/>
      </c>
      <c r="AE506" s="21">
        <f>IF($Z506="C",DATE(YEAR(INDEX(Contracts!$J$2:$J$151,$AB506)),MONTH(INDEX(Contracts!$J$2:$J$151,$AB506)),1),IF($Z506="A",DATE(YEAR(INDEX(Fixed_Assets!$G$2:$G$201,$AB506)),MONTH(INDEX(Fixed_Assets!$G$2:$G$201,$AB506)),1),IF($Z506="F",DATE(YEAR(MAX(N(INDEX(Workforce!$I$2:$I$151,MATCH(INDEX(FTE_Allocation!$A$2:$A$201,$AB506),Workforce!$A$2:$A$151,0))),N(INDEX(FTE_Allocation!$I$2:$I$201,$AB506)))),MONTH(MAX(N(INDEX(Workforce!$I$2:$I$151,MATCH(INDEX(FTE_Allocation!$A$2:$A$201,$AB506),Workforce!$A$2:$A$151,0))),N(INDEX(FTE_Allocation!$I$2:$I$201,$AB506)))),1),"")))</f>
        <v/>
      </c>
      <c r="AF506" s="21">
        <f>IF($Z506="C",IF(INDEX(Contracts!$I$2:$I$151,$AB506)="PREPAID",EDATE(DATE(YEAR(INDEX(Contracts!$J$2:$J$151,$AB506)),MONTH(INDEX(Contracts!$J$2:$J$151,$AB506)),1),IF(INDEX(Contracts!$N$2:$N$151,$AB506)="",12,INDEX(Contracts!$N$2:$N$151,$AB506))-1),IF(INDEX(Contracts!$I$2:$I$151,$AB506)="MONTHLY",IF(INDEX(Contracts!$K$2:$K$151,$AB506)="",2958101,INDEX(Contracts!$K$2:$K$151,$AB506)),0)),IF($Z506="A",EDATE(DATE(YEAR(INDEX(Fixed_Assets!$G$2:$G$201,$AB506)),MONTH(INDEX(Fixed_Assets!$G$2:$G$201,$AB506)),1),INDEX(Fixed_Assets!$J$2:$J$201,$AB506)-1),IF($Z506="F",MIN(IF(INDEX(Workforce!$J$2:$J$151,MATCH(INDEX(FTE_Allocation!$A$2:$A$201,$AB506),Workforce!$A$2:$A$151,0))="",2958101,INDEX(Workforce!$J$2:$J$151,MATCH(INDEX(FTE_Allocation!$A$2:$A$201,$AB506),Workforce!$A$2:$A$151,0))),IF(INDEX(FTE_Allocation!$J$2:$J$201,$AB506)="",2958101,INDEX(FTE_Allocation!$J$2:$J$201,$AB506))),"")))</f>
        <v/>
      </c>
      <c r="AG506" s="19">
        <f>IF($Z506="C",IF(INDEX(Contracts!$I$2:$I$151,$AB506)="PREPAID",INDEX(Contracts!$M$2:$M$151,$AB506)/IF(INDEX(Contracts!$N$2:$N$151,$AB506)="",12,INDEX(Contracts!$N$2:$N$151,$AB506)),IF(INDEX(Contracts!$I$2:$I$151,$AB506)="MONTHLY",INDEX(Contracts!$M$2:$M$151,$AB506),0))*(1-N(INDEX(Contracts!$O$2:$O$151,$AB506))),IF($Z506="A",INDEX(Fixed_Assets!$H$2:$H$201,$AB506)/INDEX(Fixed_Assets!$J$2:$J$201,$AB506),IF($Z506="F",INDEX(Workforce!$F$2:$F$151,MATCH(INDEX(FTE_Allocation!$A$2:$A$201,$AB506),Workforce!$A$2:$A$151,0))*N(INDEX(FTE_Allocation!$F$2:$H$201,$AB506,$AC506)),"")))</f>
        <v/>
      </c>
    </row>
    <row r="507">
      <c r="A507" s="7">
        <f>IF($Z507="","",$AD507)</f>
        <v/>
      </c>
      <c r="B507" s="7">
        <f>IF($Z507="C",INDEX(Contracts!$D$2:$D$151,$AB507)&amp;"",IF($Z507="A",INDEX(Fixed_Assets!$C$2:$C$201,$AB507)&amp;"",IF($Z507="F",INDEX(Workforce!$B$2:$B$151,MATCH(INDEX(FTE_Allocation!$A$2:$A$201,$AB507),Workforce!$A$2:$A$151,0))&amp;"","")))</f>
        <v/>
      </c>
      <c r="C507" s="7">
        <f>IF($Z507="C",INDEX(Contracts!$E$2:$E$151,$AB507)&amp;"",IF($Z507="A",INDEX(Fixed_Assets!$D$2:$D$201,$AB507)&amp;"",IF($Z507="F",INDEX(FTE_Allocation!$C$2:$C$201,$AB507)&amp;"","")))</f>
        <v/>
      </c>
      <c r="D507" s="7">
        <f>IF($Z507="C",INDEX(Contracts!$B$2:$B$151,$AB507)&amp;"",IF($Z507="A",INDEX(Fixed_Assets!$B$2:$B$201,$AB507)&amp;"",IF($Z507="F",INDEX(FTE_Allocation!$B$2:$B$201,$AB507)&amp;"","")))</f>
        <v/>
      </c>
      <c r="E507" s="7">
        <f>IF($Z507="C",INDEX(Contracts!$P$2:$P$151,$AB507)&amp;"",IF($Z507="A",INDEX(Fixed_Assets!$K$2:$K$201,$AB507)&amp;"",IF($Z507="F",IF(INDEX(FTE_Allocation!$D$2:$D$201,$AB507)="PROJECT",IFERROR(INDEX(Projects!$D:$D,MATCH(INDEX(FTE_Allocation!$E$2:$E$201,$AB507),Projects!$A:$A,0))&amp;"","#PROJECT?"),INDEX(FTE_Allocation!$E$2:$E$201,$AB507)&amp;""),"")))</f>
        <v/>
      </c>
      <c r="F507" s="7">
        <f>IF($Z507="C",INDEX(Contracts!$Q$2:$Q$151,$AB507)&amp;"",IF($Z507="A",INDEX(Fixed_Assets!$L$2:$L$201,$AB507)&amp;"",IF($Z507="F",INDEX(Workforce!$K$2:$K$151,MATCH(INDEX(FTE_Allocation!$A$2:$A$201,$AB507),Workforce!$A$2:$A$151,0))&amp;"","")))</f>
        <v/>
      </c>
      <c r="G507" s="7">
        <f>IF($Z507="C",INDEX(Contracts!$F$2:$F$151,$AB507)&amp;" / "&amp;INDEX(Contracts!$G$2:$G$151,$AB507),IF($Z507="A",INDEX(Fixed_Assets!$E$2:$E$201,$AB507)&amp;"",IF($Z507="F","Personnel "&amp;INDEX(FTE_Allocation!$A$2:$A$201,$AB507)&amp;IF(INDEX(FTE_Allocation!$D$2:$D$201,$AB507)="PROJECT"," ("&amp;INDEX(FTE_Allocation!$E$2:$E$201,$AB507)&amp;")",""),"")))</f>
        <v/>
      </c>
      <c r="H507" s="7">
        <f>IF($Z507="C","CONTRACT",IF($Z507="A","ASSET",IF($Z507="F","WORKFORCE","")))</f>
        <v/>
      </c>
      <c r="I507" s="7">
        <f>IF($Z507="C",INDEX(Contracts!$L$2:$L$151,$AB507)&amp;"",IF($Z507="A",INDEX(Fixed_Assets!$I$2:$I$201,$AB507)&amp;"",IF($Z507="F",INDEX(Workforce!$G$2:$G$151,MATCH(INDEX(FTE_Allocation!$A$2:$A$201,$AB507),Workforce!$A$2:$A$151,0))&amp;"","")))</f>
        <v/>
      </c>
      <c r="J507" s="18">
        <f>IF($Z507="","",IF(AND(DATE($AD507,1,1)&gt;=$AE507,DATE($AD507,1,1)&lt;=$AF507),ROUND($AG507,2),0))</f>
        <v/>
      </c>
      <c r="K507" s="18">
        <f>IF($Z507="","",IF(AND(DATE($AD507,2,1)&gt;=$AE507,DATE($AD507,2,1)&lt;=$AF507),ROUND($AG507,2),0))</f>
        <v/>
      </c>
      <c r="L507" s="18">
        <f>IF($Z507="","",IF(AND(DATE($AD507,3,1)&gt;=$AE507,DATE($AD507,3,1)&lt;=$AF507),ROUND($AG507,2),0))</f>
        <v/>
      </c>
      <c r="M507" s="18">
        <f>IF($Z507="","",IF(AND(DATE($AD507,4,1)&gt;=$AE507,DATE($AD507,4,1)&lt;=$AF507),ROUND($AG507,2),0))</f>
        <v/>
      </c>
      <c r="N507" s="18">
        <f>IF($Z507="","",IF(AND(DATE($AD507,5,1)&gt;=$AE507,DATE($AD507,5,1)&lt;=$AF507),ROUND($AG507,2),0))</f>
        <v/>
      </c>
      <c r="O507" s="18">
        <f>IF($Z507="","",IF(AND(DATE($AD507,6,1)&gt;=$AE507,DATE($AD507,6,1)&lt;=$AF507),ROUND($AG507,2),0))</f>
        <v/>
      </c>
      <c r="P507" s="18">
        <f>IF($Z507="","",IF(AND(DATE($AD507,7,1)&gt;=$AE507,DATE($AD507,7,1)&lt;=$AF507),ROUND($AG507,2),0))</f>
        <v/>
      </c>
      <c r="Q507" s="18">
        <f>IF($Z507="","",IF(AND(DATE($AD507,8,1)&gt;=$AE507,DATE($AD507,8,1)&lt;=$AF507),ROUND($AG507,2),0))</f>
        <v/>
      </c>
      <c r="R507" s="18">
        <f>IF($Z507="","",IF(AND(DATE($AD507,9,1)&gt;=$AE507,DATE($AD507,9,1)&lt;=$AF507),ROUND($AG507,2),0))</f>
        <v/>
      </c>
      <c r="S507" s="18">
        <f>IF($Z507="","",IF(AND(DATE($AD507,10,1)&gt;=$AE507,DATE($AD507,10,1)&lt;=$AF507),ROUND($AG507,2),0))</f>
        <v/>
      </c>
      <c r="T507" s="18">
        <f>IF($Z507="","",IF(AND(DATE($AD507,11,1)&gt;=$AE507,DATE($AD507,11,1)&lt;=$AF507),ROUND($AG507,2),0))</f>
        <v/>
      </c>
      <c r="U507" s="18">
        <f>IF($Z507="","",IF(AND(DATE($AD507,12,1)&gt;=$AE507,DATE($AD507,12,1)&lt;=$AF507),ROUND($AG507,2),0))</f>
        <v/>
      </c>
      <c r="V507" s="7">
        <f>IF($Z507="C","Generated from "&amp;INDEX(Contracts!$A$2:$A$151,$AB507),IF($Z507="A","Generated from "&amp;INDEX(Fixed_Assets!$A$2:$A$201,$AB507),IF($Z507="F","Generated from "&amp;INDEX(FTE_Allocation!$A$2:$A$201,$AB507),"")))</f>
        <v/>
      </c>
      <c r="X507" s="19">
        <f>IF($Z507="","",SUM(J507:U507))</f>
        <v/>
      </c>
      <c r="Y507" s="20">
        <f>ROW()-1</f>
        <v/>
      </c>
      <c r="Z507" s="20">
        <f>IF($Y507&lt;=Settings!$B$4*3,"C",IF($Y507&lt;=(Settings!$B$4+Settings!$B$5)*3,"A",IF($Y507&lt;=(Settings!$B$4+Settings!$B$5+Settings!$B$6)*3,"F","")))</f>
        <v/>
      </c>
      <c r="AA507" s="20">
        <f>IF($Z507="C",$Y507,IF($Z507="A",$Y507-Settings!$B$4*3,IF($Z507="F",$Y507-(Settings!$B$4+Settings!$B$5)*3,"")))</f>
        <v/>
      </c>
      <c r="AB507" s="20">
        <f>IF($Z507="","",INT(($AA507-1)/3)+1)</f>
        <v/>
      </c>
      <c r="AC507" s="20">
        <f>IF($Z507="","",MOD($AA507-1,3)+1)</f>
        <v/>
      </c>
      <c r="AD507" s="20">
        <f>IF($Z507="","",Settings!$B$2+$AC507-1)</f>
        <v/>
      </c>
      <c r="AE507" s="21">
        <f>IF($Z507="C",DATE(YEAR(INDEX(Contracts!$J$2:$J$151,$AB507)),MONTH(INDEX(Contracts!$J$2:$J$151,$AB507)),1),IF($Z507="A",DATE(YEAR(INDEX(Fixed_Assets!$G$2:$G$201,$AB507)),MONTH(INDEX(Fixed_Assets!$G$2:$G$201,$AB507)),1),IF($Z507="F",DATE(YEAR(MAX(N(INDEX(Workforce!$I$2:$I$151,MATCH(INDEX(FTE_Allocation!$A$2:$A$201,$AB507),Workforce!$A$2:$A$151,0))),N(INDEX(FTE_Allocation!$I$2:$I$201,$AB507)))),MONTH(MAX(N(INDEX(Workforce!$I$2:$I$151,MATCH(INDEX(FTE_Allocation!$A$2:$A$201,$AB507),Workforce!$A$2:$A$151,0))),N(INDEX(FTE_Allocation!$I$2:$I$201,$AB507)))),1),"")))</f>
        <v/>
      </c>
      <c r="AF507" s="21">
        <f>IF($Z507="C",IF(INDEX(Contracts!$I$2:$I$151,$AB507)="PREPAID",EDATE(DATE(YEAR(INDEX(Contracts!$J$2:$J$151,$AB507)),MONTH(INDEX(Contracts!$J$2:$J$151,$AB507)),1),IF(INDEX(Contracts!$N$2:$N$151,$AB507)="",12,INDEX(Contracts!$N$2:$N$151,$AB507))-1),IF(INDEX(Contracts!$I$2:$I$151,$AB507)="MONTHLY",IF(INDEX(Contracts!$K$2:$K$151,$AB507)="",2958101,INDEX(Contracts!$K$2:$K$151,$AB507)),0)),IF($Z507="A",EDATE(DATE(YEAR(INDEX(Fixed_Assets!$G$2:$G$201,$AB507)),MONTH(INDEX(Fixed_Assets!$G$2:$G$201,$AB507)),1),INDEX(Fixed_Assets!$J$2:$J$201,$AB507)-1),IF($Z507="F",MIN(IF(INDEX(Workforce!$J$2:$J$151,MATCH(INDEX(FTE_Allocation!$A$2:$A$201,$AB507),Workforce!$A$2:$A$151,0))="",2958101,INDEX(Workforce!$J$2:$J$151,MATCH(INDEX(FTE_Allocation!$A$2:$A$201,$AB507),Workforce!$A$2:$A$151,0))),IF(INDEX(FTE_Allocation!$J$2:$J$201,$AB507)="",2958101,INDEX(FTE_Allocation!$J$2:$J$201,$AB507))),"")))</f>
        <v/>
      </c>
      <c r="AG507" s="19">
        <f>IF($Z507="C",IF(INDEX(Contracts!$I$2:$I$151,$AB507)="PREPAID",INDEX(Contracts!$M$2:$M$151,$AB507)/IF(INDEX(Contracts!$N$2:$N$151,$AB507)="",12,INDEX(Contracts!$N$2:$N$151,$AB507)),IF(INDEX(Contracts!$I$2:$I$151,$AB507)="MONTHLY",INDEX(Contracts!$M$2:$M$151,$AB507),0))*(1-N(INDEX(Contracts!$O$2:$O$151,$AB507))),IF($Z507="A",INDEX(Fixed_Assets!$H$2:$H$201,$AB507)/INDEX(Fixed_Assets!$J$2:$J$201,$AB507),IF($Z507="F",INDEX(Workforce!$F$2:$F$151,MATCH(INDEX(FTE_Allocation!$A$2:$A$201,$AB507),Workforce!$A$2:$A$151,0))*N(INDEX(FTE_Allocation!$F$2:$H$201,$AB507,$AC507)),"")))</f>
        <v/>
      </c>
    </row>
    <row r="508">
      <c r="A508" s="7">
        <f>IF($Z508="","",$AD508)</f>
        <v/>
      </c>
      <c r="B508" s="7">
        <f>IF($Z508="C",INDEX(Contracts!$D$2:$D$151,$AB508)&amp;"",IF($Z508="A",INDEX(Fixed_Assets!$C$2:$C$201,$AB508)&amp;"",IF($Z508="F",INDEX(Workforce!$B$2:$B$151,MATCH(INDEX(FTE_Allocation!$A$2:$A$201,$AB508),Workforce!$A$2:$A$151,0))&amp;"","")))</f>
        <v/>
      </c>
      <c r="C508" s="7">
        <f>IF($Z508="C",INDEX(Contracts!$E$2:$E$151,$AB508)&amp;"",IF($Z508="A",INDEX(Fixed_Assets!$D$2:$D$201,$AB508)&amp;"",IF($Z508="F",INDEX(FTE_Allocation!$C$2:$C$201,$AB508)&amp;"","")))</f>
        <v/>
      </c>
      <c r="D508" s="7">
        <f>IF($Z508="C",INDEX(Contracts!$B$2:$B$151,$AB508)&amp;"",IF($Z508="A",INDEX(Fixed_Assets!$B$2:$B$201,$AB508)&amp;"",IF($Z508="F",INDEX(FTE_Allocation!$B$2:$B$201,$AB508)&amp;"","")))</f>
        <v/>
      </c>
      <c r="E508" s="7">
        <f>IF($Z508="C",INDEX(Contracts!$P$2:$P$151,$AB508)&amp;"",IF($Z508="A",INDEX(Fixed_Assets!$K$2:$K$201,$AB508)&amp;"",IF($Z508="F",IF(INDEX(FTE_Allocation!$D$2:$D$201,$AB508)="PROJECT",IFERROR(INDEX(Projects!$D:$D,MATCH(INDEX(FTE_Allocation!$E$2:$E$201,$AB508),Projects!$A:$A,0))&amp;"","#PROJECT?"),INDEX(FTE_Allocation!$E$2:$E$201,$AB508)&amp;""),"")))</f>
        <v/>
      </c>
      <c r="F508" s="7">
        <f>IF($Z508="C",INDEX(Contracts!$Q$2:$Q$151,$AB508)&amp;"",IF($Z508="A",INDEX(Fixed_Assets!$L$2:$L$201,$AB508)&amp;"",IF($Z508="F",INDEX(Workforce!$K$2:$K$151,MATCH(INDEX(FTE_Allocation!$A$2:$A$201,$AB508),Workforce!$A$2:$A$151,0))&amp;"","")))</f>
        <v/>
      </c>
      <c r="G508" s="7">
        <f>IF($Z508="C",INDEX(Contracts!$F$2:$F$151,$AB508)&amp;" / "&amp;INDEX(Contracts!$G$2:$G$151,$AB508),IF($Z508="A",INDEX(Fixed_Assets!$E$2:$E$201,$AB508)&amp;"",IF($Z508="F","Personnel "&amp;INDEX(FTE_Allocation!$A$2:$A$201,$AB508)&amp;IF(INDEX(FTE_Allocation!$D$2:$D$201,$AB508)="PROJECT"," ("&amp;INDEX(FTE_Allocation!$E$2:$E$201,$AB508)&amp;")",""),"")))</f>
        <v/>
      </c>
      <c r="H508" s="7">
        <f>IF($Z508="C","CONTRACT",IF($Z508="A","ASSET",IF($Z508="F","WORKFORCE","")))</f>
        <v/>
      </c>
      <c r="I508" s="7">
        <f>IF($Z508="C",INDEX(Contracts!$L$2:$L$151,$AB508)&amp;"",IF($Z508="A",INDEX(Fixed_Assets!$I$2:$I$201,$AB508)&amp;"",IF($Z508="F",INDEX(Workforce!$G$2:$G$151,MATCH(INDEX(FTE_Allocation!$A$2:$A$201,$AB508),Workforce!$A$2:$A$151,0))&amp;"","")))</f>
        <v/>
      </c>
      <c r="J508" s="18">
        <f>IF($Z508="","",IF(AND(DATE($AD508,1,1)&gt;=$AE508,DATE($AD508,1,1)&lt;=$AF508),ROUND($AG508,2),0))</f>
        <v/>
      </c>
      <c r="K508" s="18">
        <f>IF($Z508="","",IF(AND(DATE($AD508,2,1)&gt;=$AE508,DATE($AD508,2,1)&lt;=$AF508),ROUND($AG508,2),0))</f>
        <v/>
      </c>
      <c r="L508" s="18">
        <f>IF($Z508="","",IF(AND(DATE($AD508,3,1)&gt;=$AE508,DATE($AD508,3,1)&lt;=$AF508),ROUND($AG508,2),0))</f>
        <v/>
      </c>
      <c r="M508" s="18">
        <f>IF($Z508="","",IF(AND(DATE($AD508,4,1)&gt;=$AE508,DATE($AD508,4,1)&lt;=$AF508),ROUND($AG508,2),0))</f>
        <v/>
      </c>
      <c r="N508" s="18">
        <f>IF($Z508="","",IF(AND(DATE($AD508,5,1)&gt;=$AE508,DATE($AD508,5,1)&lt;=$AF508),ROUND($AG508,2),0))</f>
        <v/>
      </c>
      <c r="O508" s="18">
        <f>IF($Z508="","",IF(AND(DATE($AD508,6,1)&gt;=$AE508,DATE($AD508,6,1)&lt;=$AF508),ROUND($AG508,2),0))</f>
        <v/>
      </c>
      <c r="P508" s="18">
        <f>IF($Z508="","",IF(AND(DATE($AD508,7,1)&gt;=$AE508,DATE($AD508,7,1)&lt;=$AF508),ROUND($AG508,2),0))</f>
        <v/>
      </c>
      <c r="Q508" s="18">
        <f>IF($Z508="","",IF(AND(DATE($AD508,8,1)&gt;=$AE508,DATE($AD508,8,1)&lt;=$AF508),ROUND($AG508,2),0))</f>
        <v/>
      </c>
      <c r="R508" s="18">
        <f>IF($Z508="","",IF(AND(DATE($AD508,9,1)&gt;=$AE508,DATE($AD508,9,1)&lt;=$AF508),ROUND($AG508,2),0))</f>
        <v/>
      </c>
      <c r="S508" s="18">
        <f>IF($Z508="","",IF(AND(DATE($AD508,10,1)&gt;=$AE508,DATE($AD508,10,1)&lt;=$AF508),ROUND($AG508,2),0))</f>
        <v/>
      </c>
      <c r="T508" s="18">
        <f>IF($Z508="","",IF(AND(DATE($AD508,11,1)&gt;=$AE508,DATE($AD508,11,1)&lt;=$AF508),ROUND($AG508,2),0))</f>
        <v/>
      </c>
      <c r="U508" s="18">
        <f>IF($Z508="","",IF(AND(DATE($AD508,12,1)&gt;=$AE508,DATE($AD508,12,1)&lt;=$AF508),ROUND($AG508,2),0))</f>
        <v/>
      </c>
      <c r="V508" s="7">
        <f>IF($Z508="C","Generated from "&amp;INDEX(Contracts!$A$2:$A$151,$AB508),IF($Z508="A","Generated from "&amp;INDEX(Fixed_Assets!$A$2:$A$201,$AB508),IF($Z508="F","Generated from "&amp;INDEX(FTE_Allocation!$A$2:$A$201,$AB508),"")))</f>
        <v/>
      </c>
      <c r="X508" s="19">
        <f>IF($Z508="","",SUM(J508:U508))</f>
        <v/>
      </c>
      <c r="Y508" s="20">
        <f>ROW()-1</f>
        <v/>
      </c>
      <c r="Z508" s="20">
        <f>IF($Y508&lt;=Settings!$B$4*3,"C",IF($Y508&lt;=(Settings!$B$4+Settings!$B$5)*3,"A",IF($Y508&lt;=(Settings!$B$4+Settings!$B$5+Settings!$B$6)*3,"F","")))</f>
        <v/>
      </c>
      <c r="AA508" s="20">
        <f>IF($Z508="C",$Y508,IF($Z508="A",$Y508-Settings!$B$4*3,IF($Z508="F",$Y508-(Settings!$B$4+Settings!$B$5)*3,"")))</f>
        <v/>
      </c>
      <c r="AB508" s="20">
        <f>IF($Z508="","",INT(($AA508-1)/3)+1)</f>
        <v/>
      </c>
      <c r="AC508" s="20">
        <f>IF($Z508="","",MOD($AA508-1,3)+1)</f>
        <v/>
      </c>
      <c r="AD508" s="20">
        <f>IF($Z508="","",Settings!$B$2+$AC508-1)</f>
        <v/>
      </c>
      <c r="AE508" s="21">
        <f>IF($Z508="C",DATE(YEAR(INDEX(Contracts!$J$2:$J$151,$AB508)),MONTH(INDEX(Contracts!$J$2:$J$151,$AB508)),1),IF($Z508="A",DATE(YEAR(INDEX(Fixed_Assets!$G$2:$G$201,$AB508)),MONTH(INDEX(Fixed_Assets!$G$2:$G$201,$AB508)),1),IF($Z508="F",DATE(YEAR(MAX(N(INDEX(Workforce!$I$2:$I$151,MATCH(INDEX(FTE_Allocation!$A$2:$A$201,$AB508),Workforce!$A$2:$A$151,0))),N(INDEX(FTE_Allocation!$I$2:$I$201,$AB508)))),MONTH(MAX(N(INDEX(Workforce!$I$2:$I$151,MATCH(INDEX(FTE_Allocation!$A$2:$A$201,$AB508),Workforce!$A$2:$A$151,0))),N(INDEX(FTE_Allocation!$I$2:$I$201,$AB508)))),1),"")))</f>
        <v/>
      </c>
      <c r="AF508" s="21">
        <f>IF($Z508="C",IF(INDEX(Contracts!$I$2:$I$151,$AB508)="PREPAID",EDATE(DATE(YEAR(INDEX(Contracts!$J$2:$J$151,$AB508)),MONTH(INDEX(Contracts!$J$2:$J$151,$AB508)),1),IF(INDEX(Contracts!$N$2:$N$151,$AB508)="",12,INDEX(Contracts!$N$2:$N$151,$AB508))-1),IF(INDEX(Contracts!$I$2:$I$151,$AB508)="MONTHLY",IF(INDEX(Contracts!$K$2:$K$151,$AB508)="",2958101,INDEX(Contracts!$K$2:$K$151,$AB508)),0)),IF($Z508="A",EDATE(DATE(YEAR(INDEX(Fixed_Assets!$G$2:$G$201,$AB508)),MONTH(INDEX(Fixed_Assets!$G$2:$G$201,$AB508)),1),INDEX(Fixed_Assets!$J$2:$J$201,$AB508)-1),IF($Z508="F",MIN(IF(INDEX(Workforce!$J$2:$J$151,MATCH(INDEX(FTE_Allocation!$A$2:$A$201,$AB508),Workforce!$A$2:$A$151,0))="",2958101,INDEX(Workforce!$J$2:$J$151,MATCH(INDEX(FTE_Allocation!$A$2:$A$201,$AB508),Workforce!$A$2:$A$151,0))),IF(INDEX(FTE_Allocation!$J$2:$J$201,$AB508)="",2958101,INDEX(FTE_Allocation!$J$2:$J$201,$AB508))),"")))</f>
        <v/>
      </c>
      <c r="AG508" s="19">
        <f>IF($Z508="C",IF(INDEX(Contracts!$I$2:$I$151,$AB508)="PREPAID",INDEX(Contracts!$M$2:$M$151,$AB508)/IF(INDEX(Contracts!$N$2:$N$151,$AB508)="",12,INDEX(Contracts!$N$2:$N$151,$AB508)),IF(INDEX(Contracts!$I$2:$I$151,$AB508)="MONTHLY",INDEX(Contracts!$M$2:$M$151,$AB508),0))*(1-N(INDEX(Contracts!$O$2:$O$151,$AB508))),IF($Z508="A",INDEX(Fixed_Assets!$H$2:$H$201,$AB508)/INDEX(Fixed_Assets!$J$2:$J$201,$AB508),IF($Z508="F",INDEX(Workforce!$F$2:$F$151,MATCH(INDEX(FTE_Allocation!$A$2:$A$201,$AB508),Workforce!$A$2:$A$151,0))*N(INDEX(FTE_Allocation!$F$2:$H$201,$AB508,$AC508)),"")))</f>
        <v/>
      </c>
    </row>
    <row r="509">
      <c r="A509" s="7">
        <f>IF($Z509="","",$AD509)</f>
        <v/>
      </c>
      <c r="B509" s="7">
        <f>IF($Z509="C",INDEX(Contracts!$D$2:$D$151,$AB509)&amp;"",IF($Z509="A",INDEX(Fixed_Assets!$C$2:$C$201,$AB509)&amp;"",IF($Z509="F",INDEX(Workforce!$B$2:$B$151,MATCH(INDEX(FTE_Allocation!$A$2:$A$201,$AB509),Workforce!$A$2:$A$151,0))&amp;"","")))</f>
        <v/>
      </c>
      <c r="C509" s="7">
        <f>IF($Z509="C",INDEX(Contracts!$E$2:$E$151,$AB509)&amp;"",IF($Z509="A",INDEX(Fixed_Assets!$D$2:$D$201,$AB509)&amp;"",IF($Z509="F",INDEX(FTE_Allocation!$C$2:$C$201,$AB509)&amp;"","")))</f>
        <v/>
      </c>
      <c r="D509" s="7">
        <f>IF($Z509="C",INDEX(Contracts!$B$2:$B$151,$AB509)&amp;"",IF($Z509="A",INDEX(Fixed_Assets!$B$2:$B$201,$AB509)&amp;"",IF($Z509="F",INDEX(FTE_Allocation!$B$2:$B$201,$AB509)&amp;"","")))</f>
        <v/>
      </c>
      <c r="E509" s="7">
        <f>IF($Z509="C",INDEX(Contracts!$P$2:$P$151,$AB509)&amp;"",IF($Z509="A",INDEX(Fixed_Assets!$K$2:$K$201,$AB509)&amp;"",IF($Z509="F",IF(INDEX(FTE_Allocation!$D$2:$D$201,$AB509)="PROJECT",IFERROR(INDEX(Projects!$D:$D,MATCH(INDEX(FTE_Allocation!$E$2:$E$201,$AB509),Projects!$A:$A,0))&amp;"","#PROJECT?"),INDEX(FTE_Allocation!$E$2:$E$201,$AB509)&amp;""),"")))</f>
        <v/>
      </c>
      <c r="F509" s="7">
        <f>IF($Z509="C",INDEX(Contracts!$Q$2:$Q$151,$AB509)&amp;"",IF($Z509="A",INDEX(Fixed_Assets!$L$2:$L$201,$AB509)&amp;"",IF($Z509="F",INDEX(Workforce!$K$2:$K$151,MATCH(INDEX(FTE_Allocation!$A$2:$A$201,$AB509),Workforce!$A$2:$A$151,0))&amp;"","")))</f>
        <v/>
      </c>
      <c r="G509" s="7">
        <f>IF($Z509="C",INDEX(Contracts!$F$2:$F$151,$AB509)&amp;" / "&amp;INDEX(Contracts!$G$2:$G$151,$AB509),IF($Z509="A",INDEX(Fixed_Assets!$E$2:$E$201,$AB509)&amp;"",IF($Z509="F","Personnel "&amp;INDEX(FTE_Allocation!$A$2:$A$201,$AB509)&amp;IF(INDEX(FTE_Allocation!$D$2:$D$201,$AB509)="PROJECT"," ("&amp;INDEX(FTE_Allocation!$E$2:$E$201,$AB509)&amp;")",""),"")))</f>
        <v/>
      </c>
      <c r="H509" s="7">
        <f>IF($Z509="C","CONTRACT",IF($Z509="A","ASSET",IF($Z509="F","WORKFORCE","")))</f>
        <v/>
      </c>
      <c r="I509" s="7">
        <f>IF($Z509="C",INDEX(Contracts!$L$2:$L$151,$AB509)&amp;"",IF($Z509="A",INDEX(Fixed_Assets!$I$2:$I$201,$AB509)&amp;"",IF($Z509="F",INDEX(Workforce!$G$2:$G$151,MATCH(INDEX(FTE_Allocation!$A$2:$A$201,$AB509),Workforce!$A$2:$A$151,0))&amp;"","")))</f>
        <v/>
      </c>
      <c r="J509" s="18">
        <f>IF($Z509="","",IF(AND(DATE($AD509,1,1)&gt;=$AE509,DATE($AD509,1,1)&lt;=$AF509),ROUND($AG509,2),0))</f>
        <v/>
      </c>
      <c r="K509" s="18">
        <f>IF($Z509="","",IF(AND(DATE($AD509,2,1)&gt;=$AE509,DATE($AD509,2,1)&lt;=$AF509),ROUND($AG509,2),0))</f>
        <v/>
      </c>
      <c r="L509" s="18">
        <f>IF($Z509="","",IF(AND(DATE($AD509,3,1)&gt;=$AE509,DATE($AD509,3,1)&lt;=$AF509),ROUND($AG509,2),0))</f>
        <v/>
      </c>
      <c r="M509" s="18">
        <f>IF($Z509="","",IF(AND(DATE($AD509,4,1)&gt;=$AE509,DATE($AD509,4,1)&lt;=$AF509),ROUND($AG509,2),0))</f>
        <v/>
      </c>
      <c r="N509" s="18">
        <f>IF($Z509="","",IF(AND(DATE($AD509,5,1)&gt;=$AE509,DATE($AD509,5,1)&lt;=$AF509),ROUND($AG509,2),0))</f>
        <v/>
      </c>
      <c r="O509" s="18">
        <f>IF($Z509="","",IF(AND(DATE($AD509,6,1)&gt;=$AE509,DATE($AD509,6,1)&lt;=$AF509),ROUND($AG509,2),0))</f>
        <v/>
      </c>
      <c r="P509" s="18">
        <f>IF($Z509="","",IF(AND(DATE($AD509,7,1)&gt;=$AE509,DATE($AD509,7,1)&lt;=$AF509),ROUND($AG509,2),0))</f>
        <v/>
      </c>
      <c r="Q509" s="18">
        <f>IF($Z509="","",IF(AND(DATE($AD509,8,1)&gt;=$AE509,DATE($AD509,8,1)&lt;=$AF509),ROUND($AG509,2),0))</f>
        <v/>
      </c>
      <c r="R509" s="18">
        <f>IF($Z509="","",IF(AND(DATE($AD509,9,1)&gt;=$AE509,DATE($AD509,9,1)&lt;=$AF509),ROUND($AG509,2),0))</f>
        <v/>
      </c>
      <c r="S509" s="18">
        <f>IF($Z509="","",IF(AND(DATE($AD509,10,1)&gt;=$AE509,DATE($AD509,10,1)&lt;=$AF509),ROUND($AG509,2),0))</f>
        <v/>
      </c>
      <c r="T509" s="18">
        <f>IF($Z509="","",IF(AND(DATE($AD509,11,1)&gt;=$AE509,DATE($AD509,11,1)&lt;=$AF509),ROUND($AG509,2),0))</f>
        <v/>
      </c>
      <c r="U509" s="18">
        <f>IF($Z509="","",IF(AND(DATE($AD509,12,1)&gt;=$AE509,DATE($AD509,12,1)&lt;=$AF509),ROUND($AG509,2),0))</f>
        <v/>
      </c>
      <c r="V509" s="7">
        <f>IF($Z509="C","Generated from "&amp;INDEX(Contracts!$A$2:$A$151,$AB509),IF($Z509="A","Generated from "&amp;INDEX(Fixed_Assets!$A$2:$A$201,$AB509),IF($Z509="F","Generated from "&amp;INDEX(FTE_Allocation!$A$2:$A$201,$AB509),"")))</f>
        <v/>
      </c>
      <c r="X509" s="19">
        <f>IF($Z509="","",SUM(J509:U509))</f>
        <v/>
      </c>
      <c r="Y509" s="20">
        <f>ROW()-1</f>
        <v/>
      </c>
      <c r="Z509" s="20">
        <f>IF($Y509&lt;=Settings!$B$4*3,"C",IF($Y509&lt;=(Settings!$B$4+Settings!$B$5)*3,"A",IF($Y509&lt;=(Settings!$B$4+Settings!$B$5+Settings!$B$6)*3,"F","")))</f>
        <v/>
      </c>
      <c r="AA509" s="20">
        <f>IF($Z509="C",$Y509,IF($Z509="A",$Y509-Settings!$B$4*3,IF($Z509="F",$Y509-(Settings!$B$4+Settings!$B$5)*3,"")))</f>
        <v/>
      </c>
      <c r="AB509" s="20">
        <f>IF($Z509="","",INT(($AA509-1)/3)+1)</f>
        <v/>
      </c>
      <c r="AC509" s="20">
        <f>IF($Z509="","",MOD($AA509-1,3)+1)</f>
        <v/>
      </c>
      <c r="AD509" s="20">
        <f>IF($Z509="","",Settings!$B$2+$AC509-1)</f>
        <v/>
      </c>
      <c r="AE509" s="21">
        <f>IF($Z509="C",DATE(YEAR(INDEX(Contracts!$J$2:$J$151,$AB509)),MONTH(INDEX(Contracts!$J$2:$J$151,$AB509)),1),IF($Z509="A",DATE(YEAR(INDEX(Fixed_Assets!$G$2:$G$201,$AB509)),MONTH(INDEX(Fixed_Assets!$G$2:$G$201,$AB509)),1),IF($Z509="F",DATE(YEAR(MAX(N(INDEX(Workforce!$I$2:$I$151,MATCH(INDEX(FTE_Allocation!$A$2:$A$201,$AB509),Workforce!$A$2:$A$151,0))),N(INDEX(FTE_Allocation!$I$2:$I$201,$AB509)))),MONTH(MAX(N(INDEX(Workforce!$I$2:$I$151,MATCH(INDEX(FTE_Allocation!$A$2:$A$201,$AB509),Workforce!$A$2:$A$151,0))),N(INDEX(FTE_Allocation!$I$2:$I$201,$AB509)))),1),"")))</f>
        <v/>
      </c>
      <c r="AF509" s="21">
        <f>IF($Z509="C",IF(INDEX(Contracts!$I$2:$I$151,$AB509)="PREPAID",EDATE(DATE(YEAR(INDEX(Contracts!$J$2:$J$151,$AB509)),MONTH(INDEX(Contracts!$J$2:$J$151,$AB509)),1),IF(INDEX(Contracts!$N$2:$N$151,$AB509)="",12,INDEX(Contracts!$N$2:$N$151,$AB509))-1),IF(INDEX(Contracts!$I$2:$I$151,$AB509)="MONTHLY",IF(INDEX(Contracts!$K$2:$K$151,$AB509)="",2958101,INDEX(Contracts!$K$2:$K$151,$AB509)),0)),IF($Z509="A",EDATE(DATE(YEAR(INDEX(Fixed_Assets!$G$2:$G$201,$AB509)),MONTH(INDEX(Fixed_Assets!$G$2:$G$201,$AB509)),1),INDEX(Fixed_Assets!$J$2:$J$201,$AB509)-1),IF($Z509="F",MIN(IF(INDEX(Workforce!$J$2:$J$151,MATCH(INDEX(FTE_Allocation!$A$2:$A$201,$AB509),Workforce!$A$2:$A$151,0))="",2958101,INDEX(Workforce!$J$2:$J$151,MATCH(INDEX(FTE_Allocation!$A$2:$A$201,$AB509),Workforce!$A$2:$A$151,0))),IF(INDEX(FTE_Allocation!$J$2:$J$201,$AB509)="",2958101,INDEX(FTE_Allocation!$J$2:$J$201,$AB509))),"")))</f>
        <v/>
      </c>
      <c r="AG509" s="19">
        <f>IF($Z509="C",IF(INDEX(Contracts!$I$2:$I$151,$AB509)="PREPAID",INDEX(Contracts!$M$2:$M$151,$AB509)/IF(INDEX(Contracts!$N$2:$N$151,$AB509)="",12,INDEX(Contracts!$N$2:$N$151,$AB509)),IF(INDEX(Contracts!$I$2:$I$151,$AB509)="MONTHLY",INDEX(Contracts!$M$2:$M$151,$AB509),0))*(1-N(INDEX(Contracts!$O$2:$O$151,$AB509))),IF($Z509="A",INDEX(Fixed_Assets!$H$2:$H$201,$AB509)/INDEX(Fixed_Assets!$J$2:$J$201,$AB509),IF($Z509="F",INDEX(Workforce!$F$2:$F$151,MATCH(INDEX(FTE_Allocation!$A$2:$A$201,$AB509),Workforce!$A$2:$A$151,0))*N(INDEX(FTE_Allocation!$F$2:$H$201,$AB509,$AC509)),"")))</f>
        <v/>
      </c>
    </row>
    <row r="510">
      <c r="A510" s="7">
        <f>IF($Z510="","",$AD510)</f>
        <v/>
      </c>
      <c r="B510" s="7">
        <f>IF($Z510="C",INDEX(Contracts!$D$2:$D$151,$AB510)&amp;"",IF($Z510="A",INDEX(Fixed_Assets!$C$2:$C$201,$AB510)&amp;"",IF($Z510="F",INDEX(Workforce!$B$2:$B$151,MATCH(INDEX(FTE_Allocation!$A$2:$A$201,$AB510),Workforce!$A$2:$A$151,0))&amp;"","")))</f>
        <v/>
      </c>
      <c r="C510" s="7">
        <f>IF($Z510="C",INDEX(Contracts!$E$2:$E$151,$AB510)&amp;"",IF($Z510="A",INDEX(Fixed_Assets!$D$2:$D$201,$AB510)&amp;"",IF($Z510="F",INDEX(FTE_Allocation!$C$2:$C$201,$AB510)&amp;"","")))</f>
        <v/>
      </c>
      <c r="D510" s="7">
        <f>IF($Z510="C",INDEX(Contracts!$B$2:$B$151,$AB510)&amp;"",IF($Z510="A",INDEX(Fixed_Assets!$B$2:$B$201,$AB510)&amp;"",IF($Z510="F",INDEX(FTE_Allocation!$B$2:$B$201,$AB510)&amp;"","")))</f>
        <v/>
      </c>
      <c r="E510" s="7">
        <f>IF($Z510="C",INDEX(Contracts!$P$2:$P$151,$AB510)&amp;"",IF($Z510="A",INDEX(Fixed_Assets!$K$2:$K$201,$AB510)&amp;"",IF($Z510="F",IF(INDEX(FTE_Allocation!$D$2:$D$201,$AB510)="PROJECT",IFERROR(INDEX(Projects!$D:$D,MATCH(INDEX(FTE_Allocation!$E$2:$E$201,$AB510),Projects!$A:$A,0))&amp;"","#PROJECT?"),INDEX(FTE_Allocation!$E$2:$E$201,$AB510)&amp;""),"")))</f>
        <v/>
      </c>
      <c r="F510" s="7">
        <f>IF($Z510="C",INDEX(Contracts!$Q$2:$Q$151,$AB510)&amp;"",IF($Z510="A",INDEX(Fixed_Assets!$L$2:$L$201,$AB510)&amp;"",IF($Z510="F",INDEX(Workforce!$K$2:$K$151,MATCH(INDEX(FTE_Allocation!$A$2:$A$201,$AB510),Workforce!$A$2:$A$151,0))&amp;"","")))</f>
        <v/>
      </c>
      <c r="G510" s="7">
        <f>IF($Z510="C",INDEX(Contracts!$F$2:$F$151,$AB510)&amp;" / "&amp;INDEX(Contracts!$G$2:$G$151,$AB510),IF($Z510="A",INDEX(Fixed_Assets!$E$2:$E$201,$AB510)&amp;"",IF($Z510="F","Personnel "&amp;INDEX(FTE_Allocation!$A$2:$A$201,$AB510)&amp;IF(INDEX(FTE_Allocation!$D$2:$D$201,$AB510)="PROJECT"," ("&amp;INDEX(FTE_Allocation!$E$2:$E$201,$AB510)&amp;")",""),"")))</f>
        <v/>
      </c>
      <c r="H510" s="7">
        <f>IF($Z510="C","CONTRACT",IF($Z510="A","ASSET",IF($Z510="F","WORKFORCE","")))</f>
        <v/>
      </c>
      <c r="I510" s="7">
        <f>IF($Z510="C",INDEX(Contracts!$L$2:$L$151,$AB510)&amp;"",IF($Z510="A",INDEX(Fixed_Assets!$I$2:$I$201,$AB510)&amp;"",IF($Z510="F",INDEX(Workforce!$G$2:$G$151,MATCH(INDEX(FTE_Allocation!$A$2:$A$201,$AB510),Workforce!$A$2:$A$151,0))&amp;"","")))</f>
        <v/>
      </c>
      <c r="J510" s="18">
        <f>IF($Z510="","",IF(AND(DATE($AD510,1,1)&gt;=$AE510,DATE($AD510,1,1)&lt;=$AF510),ROUND($AG510,2),0))</f>
        <v/>
      </c>
      <c r="K510" s="18">
        <f>IF($Z510="","",IF(AND(DATE($AD510,2,1)&gt;=$AE510,DATE($AD510,2,1)&lt;=$AF510),ROUND($AG510,2),0))</f>
        <v/>
      </c>
      <c r="L510" s="18">
        <f>IF($Z510="","",IF(AND(DATE($AD510,3,1)&gt;=$AE510,DATE($AD510,3,1)&lt;=$AF510),ROUND($AG510,2),0))</f>
        <v/>
      </c>
      <c r="M510" s="18">
        <f>IF($Z510="","",IF(AND(DATE($AD510,4,1)&gt;=$AE510,DATE($AD510,4,1)&lt;=$AF510),ROUND($AG510,2),0))</f>
        <v/>
      </c>
      <c r="N510" s="18">
        <f>IF($Z510="","",IF(AND(DATE($AD510,5,1)&gt;=$AE510,DATE($AD510,5,1)&lt;=$AF510),ROUND($AG510,2),0))</f>
        <v/>
      </c>
      <c r="O510" s="18">
        <f>IF($Z510="","",IF(AND(DATE($AD510,6,1)&gt;=$AE510,DATE($AD510,6,1)&lt;=$AF510),ROUND($AG510,2),0))</f>
        <v/>
      </c>
      <c r="P510" s="18">
        <f>IF($Z510="","",IF(AND(DATE($AD510,7,1)&gt;=$AE510,DATE($AD510,7,1)&lt;=$AF510),ROUND($AG510,2),0))</f>
        <v/>
      </c>
      <c r="Q510" s="18">
        <f>IF($Z510="","",IF(AND(DATE($AD510,8,1)&gt;=$AE510,DATE($AD510,8,1)&lt;=$AF510),ROUND($AG510,2),0))</f>
        <v/>
      </c>
      <c r="R510" s="18">
        <f>IF($Z510="","",IF(AND(DATE($AD510,9,1)&gt;=$AE510,DATE($AD510,9,1)&lt;=$AF510),ROUND($AG510,2),0))</f>
        <v/>
      </c>
      <c r="S510" s="18">
        <f>IF($Z510="","",IF(AND(DATE($AD510,10,1)&gt;=$AE510,DATE($AD510,10,1)&lt;=$AF510),ROUND($AG510,2),0))</f>
        <v/>
      </c>
      <c r="T510" s="18">
        <f>IF($Z510="","",IF(AND(DATE($AD510,11,1)&gt;=$AE510,DATE($AD510,11,1)&lt;=$AF510),ROUND($AG510,2),0))</f>
        <v/>
      </c>
      <c r="U510" s="18">
        <f>IF($Z510="","",IF(AND(DATE($AD510,12,1)&gt;=$AE510,DATE($AD510,12,1)&lt;=$AF510),ROUND($AG510,2),0))</f>
        <v/>
      </c>
      <c r="V510" s="7">
        <f>IF($Z510="C","Generated from "&amp;INDEX(Contracts!$A$2:$A$151,$AB510),IF($Z510="A","Generated from "&amp;INDEX(Fixed_Assets!$A$2:$A$201,$AB510),IF($Z510="F","Generated from "&amp;INDEX(FTE_Allocation!$A$2:$A$201,$AB510),"")))</f>
        <v/>
      </c>
      <c r="X510" s="19">
        <f>IF($Z510="","",SUM(J510:U510))</f>
        <v/>
      </c>
      <c r="Y510" s="20">
        <f>ROW()-1</f>
        <v/>
      </c>
      <c r="Z510" s="20">
        <f>IF($Y510&lt;=Settings!$B$4*3,"C",IF($Y510&lt;=(Settings!$B$4+Settings!$B$5)*3,"A",IF($Y510&lt;=(Settings!$B$4+Settings!$B$5+Settings!$B$6)*3,"F","")))</f>
        <v/>
      </c>
      <c r="AA510" s="20">
        <f>IF($Z510="C",$Y510,IF($Z510="A",$Y510-Settings!$B$4*3,IF($Z510="F",$Y510-(Settings!$B$4+Settings!$B$5)*3,"")))</f>
        <v/>
      </c>
      <c r="AB510" s="20">
        <f>IF($Z510="","",INT(($AA510-1)/3)+1)</f>
        <v/>
      </c>
      <c r="AC510" s="20">
        <f>IF($Z510="","",MOD($AA510-1,3)+1)</f>
        <v/>
      </c>
      <c r="AD510" s="20">
        <f>IF($Z510="","",Settings!$B$2+$AC510-1)</f>
        <v/>
      </c>
      <c r="AE510" s="21">
        <f>IF($Z510="C",DATE(YEAR(INDEX(Contracts!$J$2:$J$151,$AB510)),MONTH(INDEX(Contracts!$J$2:$J$151,$AB510)),1),IF($Z510="A",DATE(YEAR(INDEX(Fixed_Assets!$G$2:$G$201,$AB510)),MONTH(INDEX(Fixed_Assets!$G$2:$G$201,$AB510)),1),IF($Z510="F",DATE(YEAR(MAX(N(INDEX(Workforce!$I$2:$I$151,MATCH(INDEX(FTE_Allocation!$A$2:$A$201,$AB510),Workforce!$A$2:$A$151,0))),N(INDEX(FTE_Allocation!$I$2:$I$201,$AB510)))),MONTH(MAX(N(INDEX(Workforce!$I$2:$I$151,MATCH(INDEX(FTE_Allocation!$A$2:$A$201,$AB510),Workforce!$A$2:$A$151,0))),N(INDEX(FTE_Allocation!$I$2:$I$201,$AB510)))),1),"")))</f>
        <v/>
      </c>
      <c r="AF510" s="21">
        <f>IF($Z510="C",IF(INDEX(Contracts!$I$2:$I$151,$AB510)="PREPAID",EDATE(DATE(YEAR(INDEX(Contracts!$J$2:$J$151,$AB510)),MONTH(INDEX(Contracts!$J$2:$J$151,$AB510)),1),IF(INDEX(Contracts!$N$2:$N$151,$AB510)="",12,INDEX(Contracts!$N$2:$N$151,$AB510))-1),IF(INDEX(Contracts!$I$2:$I$151,$AB510)="MONTHLY",IF(INDEX(Contracts!$K$2:$K$151,$AB510)="",2958101,INDEX(Contracts!$K$2:$K$151,$AB510)),0)),IF($Z510="A",EDATE(DATE(YEAR(INDEX(Fixed_Assets!$G$2:$G$201,$AB510)),MONTH(INDEX(Fixed_Assets!$G$2:$G$201,$AB510)),1),INDEX(Fixed_Assets!$J$2:$J$201,$AB510)-1),IF($Z510="F",MIN(IF(INDEX(Workforce!$J$2:$J$151,MATCH(INDEX(FTE_Allocation!$A$2:$A$201,$AB510),Workforce!$A$2:$A$151,0))="",2958101,INDEX(Workforce!$J$2:$J$151,MATCH(INDEX(FTE_Allocation!$A$2:$A$201,$AB510),Workforce!$A$2:$A$151,0))),IF(INDEX(FTE_Allocation!$J$2:$J$201,$AB510)="",2958101,INDEX(FTE_Allocation!$J$2:$J$201,$AB510))),"")))</f>
        <v/>
      </c>
      <c r="AG510" s="19">
        <f>IF($Z510="C",IF(INDEX(Contracts!$I$2:$I$151,$AB510)="PREPAID",INDEX(Contracts!$M$2:$M$151,$AB510)/IF(INDEX(Contracts!$N$2:$N$151,$AB510)="",12,INDEX(Contracts!$N$2:$N$151,$AB510)),IF(INDEX(Contracts!$I$2:$I$151,$AB510)="MONTHLY",INDEX(Contracts!$M$2:$M$151,$AB510),0))*(1-N(INDEX(Contracts!$O$2:$O$151,$AB510))),IF($Z510="A",INDEX(Fixed_Assets!$H$2:$H$201,$AB510)/INDEX(Fixed_Assets!$J$2:$J$201,$AB510),IF($Z510="F",INDEX(Workforce!$F$2:$F$151,MATCH(INDEX(FTE_Allocation!$A$2:$A$201,$AB510),Workforce!$A$2:$A$151,0))*N(INDEX(FTE_Allocation!$F$2:$H$201,$AB510,$AC510)),"")))</f>
        <v/>
      </c>
    </row>
    <row r="511">
      <c r="A511" s="7">
        <f>IF($Z511="","",$AD511)</f>
        <v/>
      </c>
      <c r="B511" s="7">
        <f>IF($Z511="C",INDEX(Contracts!$D$2:$D$151,$AB511)&amp;"",IF($Z511="A",INDEX(Fixed_Assets!$C$2:$C$201,$AB511)&amp;"",IF($Z511="F",INDEX(Workforce!$B$2:$B$151,MATCH(INDEX(FTE_Allocation!$A$2:$A$201,$AB511),Workforce!$A$2:$A$151,0))&amp;"","")))</f>
        <v/>
      </c>
      <c r="C511" s="7">
        <f>IF($Z511="C",INDEX(Contracts!$E$2:$E$151,$AB511)&amp;"",IF($Z511="A",INDEX(Fixed_Assets!$D$2:$D$201,$AB511)&amp;"",IF($Z511="F",INDEX(FTE_Allocation!$C$2:$C$201,$AB511)&amp;"","")))</f>
        <v/>
      </c>
      <c r="D511" s="7">
        <f>IF($Z511="C",INDEX(Contracts!$B$2:$B$151,$AB511)&amp;"",IF($Z511="A",INDEX(Fixed_Assets!$B$2:$B$201,$AB511)&amp;"",IF($Z511="F",INDEX(FTE_Allocation!$B$2:$B$201,$AB511)&amp;"","")))</f>
        <v/>
      </c>
      <c r="E511" s="7">
        <f>IF($Z511="C",INDEX(Contracts!$P$2:$P$151,$AB511)&amp;"",IF($Z511="A",INDEX(Fixed_Assets!$K$2:$K$201,$AB511)&amp;"",IF($Z511="F",IF(INDEX(FTE_Allocation!$D$2:$D$201,$AB511)="PROJECT",IFERROR(INDEX(Projects!$D:$D,MATCH(INDEX(FTE_Allocation!$E$2:$E$201,$AB511),Projects!$A:$A,0))&amp;"","#PROJECT?"),INDEX(FTE_Allocation!$E$2:$E$201,$AB511)&amp;""),"")))</f>
        <v/>
      </c>
      <c r="F511" s="7">
        <f>IF($Z511="C",INDEX(Contracts!$Q$2:$Q$151,$AB511)&amp;"",IF($Z511="A",INDEX(Fixed_Assets!$L$2:$L$201,$AB511)&amp;"",IF($Z511="F",INDEX(Workforce!$K$2:$K$151,MATCH(INDEX(FTE_Allocation!$A$2:$A$201,$AB511),Workforce!$A$2:$A$151,0))&amp;"","")))</f>
        <v/>
      </c>
      <c r="G511" s="7">
        <f>IF($Z511="C",INDEX(Contracts!$F$2:$F$151,$AB511)&amp;" / "&amp;INDEX(Contracts!$G$2:$G$151,$AB511),IF($Z511="A",INDEX(Fixed_Assets!$E$2:$E$201,$AB511)&amp;"",IF($Z511="F","Personnel "&amp;INDEX(FTE_Allocation!$A$2:$A$201,$AB511)&amp;IF(INDEX(FTE_Allocation!$D$2:$D$201,$AB511)="PROJECT"," ("&amp;INDEX(FTE_Allocation!$E$2:$E$201,$AB511)&amp;")",""),"")))</f>
        <v/>
      </c>
      <c r="H511" s="7">
        <f>IF($Z511="C","CONTRACT",IF($Z511="A","ASSET",IF($Z511="F","WORKFORCE","")))</f>
        <v/>
      </c>
      <c r="I511" s="7">
        <f>IF($Z511="C",INDEX(Contracts!$L$2:$L$151,$AB511)&amp;"",IF($Z511="A",INDEX(Fixed_Assets!$I$2:$I$201,$AB511)&amp;"",IF($Z511="F",INDEX(Workforce!$G$2:$G$151,MATCH(INDEX(FTE_Allocation!$A$2:$A$201,$AB511),Workforce!$A$2:$A$151,0))&amp;"","")))</f>
        <v/>
      </c>
      <c r="J511" s="18">
        <f>IF($Z511="","",IF(AND(DATE($AD511,1,1)&gt;=$AE511,DATE($AD511,1,1)&lt;=$AF511),ROUND($AG511,2),0))</f>
        <v/>
      </c>
      <c r="K511" s="18">
        <f>IF($Z511="","",IF(AND(DATE($AD511,2,1)&gt;=$AE511,DATE($AD511,2,1)&lt;=$AF511),ROUND($AG511,2),0))</f>
        <v/>
      </c>
      <c r="L511" s="18">
        <f>IF($Z511="","",IF(AND(DATE($AD511,3,1)&gt;=$AE511,DATE($AD511,3,1)&lt;=$AF511),ROUND($AG511,2),0))</f>
        <v/>
      </c>
      <c r="M511" s="18">
        <f>IF($Z511="","",IF(AND(DATE($AD511,4,1)&gt;=$AE511,DATE($AD511,4,1)&lt;=$AF511),ROUND($AG511,2),0))</f>
        <v/>
      </c>
      <c r="N511" s="18">
        <f>IF($Z511="","",IF(AND(DATE($AD511,5,1)&gt;=$AE511,DATE($AD511,5,1)&lt;=$AF511),ROUND($AG511,2),0))</f>
        <v/>
      </c>
      <c r="O511" s="18">
        <f>IF($Z511="","",IF(AND(DATE($AD511,6,1)&gt;=$AE511,DATE($AD511,6,1)&lt;=$AF511),ROUND($AG511,2),0))</f>
        <v/>
      </c>
      <c r="P511" s="18">
        <f>IF($Z511="","",IF(AND(DATE($AD511,7,1)&gt;=$AE511,DATE($AD511,7,1)&lt;=$AF511),ROUND($AG511,2),0))</f>
        <v/>
      </c>
      <c r="Q511" s="18">
        <f>IF($Z511="","",IF(AND(DATE($AD511,8,1)&gt;=$AE511,DATE($AD511,8,1)&lt;=$AF511),ROUND($AG511,2),0))</f>
        <v/>
      </c>
      <c r="R511" s="18">
        <f>IF($Z511="","",IF(AND(DATE($AD511,9,1)&gt;=$AE511,DATE($AD511,9,1)&lt;=$AF511),ROUND($AG511,2),0))</f>
        <v/>
      </c>
      <c r="S511" s="18">
        <f>IF($Z511="","",IF(AND(DATE($AD511,10,1)&gt;=$AE511,DATE($AD511,10,1)&lt;=$AF511),ROUND($AG511,2),0))</f>
        <v/>
      </c>
      <c r="T511" s="18">
        <f>IF($Z511="","",IF(AND(DATE($AD511,11,1)&gt;=$AE511,DATE($AD511,11,1)&lt;=$AF511),ROUND($AG511,2),0))</f>
        <v/>
      </c>
      <c r="U511" s="18">
        <f>IF($Z511="","",IF(AND(DATE($AD511,12,1)&gt;=$AE511,DATE($AD511,12,1)&lt;=$AF511),ROUND($AG511,2),0))</f>
        <v/>
      </c>
      <c r="V511" s="7">
        <f>IF($Z511="C","Generated from "&amp;INDEX(Contracts!$A$2:$A$151,$AB511),IF($Z511="A","Generated from "&amp;INDEX(Fixed_Assets!$A$2:$A$201,$AB511),IF($Z511="F","Generated from "&amp;INDEX(FTE_Allocation!$A$2:$A$201,$AB511),"")))</f>
        <v/>
      </c>
      <c r="X511" s="19">
        <f>IF($Z511="","",SUM(J511:U511))</f>
        <v/>
      </c>
      <c r="Y511" s="20">
        <f>ROW()-1</f>
        <v/>
      </c>
      <c r="Z511" s="20">
        <f>IF($Y511&lt;=Settings!$B$4*3,"C",IF($Y511&lt;=(Settings!$B$4+Settings!$B$5)*3,"A",IF($Y511&lt;=(Settings!$B$4+Settings!$B$5+Settings!$B$6)*3,"F","")))</f>
        <v/>
      </c>
      <c r="AA511" s="20">
        <f>IF($Z511="C",$Y511,IF($Z511="A",$Y511-Settings!$B$4*3,IF($Z511="F",$Y511-(Settings!$B$4+Settings!$B$5)*3,"")))</f>
        <v/>
      </c>
      <c r="AB511" s="20">
        <f>IF($Z511="","",INT(($AA511-1)/3)+1)</f>
        <v/>
      </c>
      <c r="AC511" s="20">
        <f>IF($Z511="","",MOD($AA511-1,3)+1)</f>
        <v/>
      </c>
      <c r="AD511" s="20">
        <f>IF($Z511="","",Settings!$B$2+$AC511-1)</f>
        <v/>
      </c>
      <c r="AE511" s="21">
        <f>IF($Z511="C",DATE(YEAR(INDEX(Contracts!$J$2:$J$151,$AB511)),MONTH(INDEX(Contracts!$J$2:$J$151,$AB511)),1),IF($Z511="A",DATE(YEAR(INDEX(Fixed_Assets!$G$2:$G$201,$AB511)),MONTH(INDEX(Fixed_Assets!$G$2:$G$201,$AB511)),1),IF($Z511="F",DATE(YEAR(MAX(N(INDEX(Workforce!$I$2:$I$151,MATCH(INDEX(FTE_Allocation!$A$2:$A$201,$AB511),Workforce!$A$2:$A$151,0))),N(INDEX(FTE_Allocation!$I$2:$I$201,$AB511)))),MONTH(MAX(N(INDEX(Workforce!$I$2:$I$151,MATCH(INDEX(FTE_Allocation!$A$2:$A$201,$AB511),Workforce!$A$2:$A$151,0))),N(INDEX(FTE_Allocation!$I$2:$I$201,$AB511)))),1),"")))</f>
        <v/>
      </c>
      <c r="AF511" s="21">
        <f>IF($Z511="C",IF(INDEX(Contracts!$I$2:$I$151,$AB511)="PREPAID",EDATE(DATE(YEAR(INDEX(Contracts!$J$2:$J$151,$AB511)),MONTH(INDEX(Contracts!$J$2:$J$151,$AB511)),1),IF(INDEX(Contracts!$N$2:$N$151,$AB511)="",12,INDEX(Contracts!$N$2:$N$151,$AB511))-1),IF(INDEX(Contracts!$I$2:$I$151,$AB511)="MONTHLY",IF(INDEX(Contracts!$K$2:$K$151,$AB511)="",2958101,INDEX(Contracts!$K$2:$K$151,$AB511)),0)),IF($Z511="A",EDATE(DATE(YEAR(INDEX(Fixed_Assets!$G$2:$G$201,$AB511)),MONTH(INDEX(Fixed_Assets!$G$2:$G$201,$AB511)),1),INDEX(Fixed_Assets!$J$2:$J$201,$AB511)-1),IF($Z511="F",MIN(IF(INDEX(Workforce!$J$2:$J$151,MATCH(INDEX(FTE_Allocation!$A$2:$A$201,$AB511),Workforce!$A$2:$A$151,0))="",2958101,INDEX(Workforce!$J$2:$J$151,MATCH(INDEX(FTE_Allocation!$A$2:$A$201,$AB511),Workforce!$A$2:$A$151,0))),IF(INDEX(FTE_Allocation!$J$2:$J$201,$AB511)="",2958101,INDEX(FTE_Allocation!$J$2:$J$201,$AB511))),"")))</f>
        <v/>
      </c>
      <c r="AG511" s="19">
        <f>IF($Z511="C",IF(INDEX(Contracts!$I$2:$I$151,$AB511)="PREPAID",INDEX(Contracts!$M$2:$M$151,$AB511)/IF(INDEX(Contracts!$N$2:$N$151,$AB511)="",12,INDEX(Contracts!$N$2:$N$151,$AB511)),IF(INDEX(Contracts!$I$2:$I$151,$AB511)="MONTHLY",INDEX(Contracts!$M$2:$M$151,$AB511),0))*(1-N(INDEX(Contracts!$O$2:$O$151,$AB511))),IF($Z511="A",INDEX(Fixed_Assets!$H$2:$H$201,$AB511)/INDEX(Fixed_Assets!$J$2:$J$201,$AB511),IF($Z511="F",INDEX(Workforce!$F$2:$F$151,MATCH(INDEX(FTE_Allocation!$A$2:$A$201,$AB511),Workforce!$A$2:$A$151,0))*N(INDEX(FTE_Allocation!$F$2:$H$201,$AB511,$AC511)),"")))</f>
        <v/>
      </c>
    </row>
    <row r="512">
      <c r="A512" s="7">
        <f>IF($Z512="","",$AD512)</f>
        <v/>
      </c>
      <c r="B512" s="7">
        <f>IF($Z512="C",INDEX(Contracts!$D$2:$D$151,$AB512)&amp;"",IF($Z512="A",INDEX(Fixed_Assets!$C$2:$C$201,$AB512)&amp;"",IF($Z512="F",INDEX(Workforce!$B$2:$B$151,MATCH(INDEX(FTE_Allocation!$A$2:$A$201,$AB512),Workforce!$A$2:$A$151,0))&amp;"","")))</f>
        <v/>
      </c>
      <c r="C512" s="7">
        <f>IF($Z512="C",INDEX(Contracts!$E$2:$E$151,$AB512)&amp;"",IF($Z512="A",INDEX(Fixed_Assets!$D$2:$D$201,$AB512)&amp;"",IF($Z512="F",INDEX(FTE_Allocation!$C$2:$C$201,$AB512)&amp;"","")))</f>
        <v/>
      </c>
      <c r="D512" s="7">
        <f>IF($Z512="C",INDEX(Contracts!$B$2:$B$151,$AB512)&amp;"",IF($Z512="A",INDEX(Fixed_Assets!$B$2:$B$201,$AB512)&amp;"",IF($Z512="F",INDEX(FTE_Allocation!$B$2:$B$201,$AB512)&amp;"","")))</f>
        <v/>
      </c>
      <c r="E512" s="7">
        <f>IF($Z512="C",INDEX(Contracts!$P$2:$P$151,$AB512)&amp;"",IF($Z512="A",INDEX(Fixed_Assets!$K$2:$K$201,$AB512)&amp;"",IF($Z512="F",IF(INDEX(FTE_Allocation!$D$2:$D$201,$AB512)="PROJECT",IFERROR(INDEX(Projects!$D:$D,MATCH(INDEX(FTE_Allocation!$E$2:$E$201,$AB512),Projects!$A:$A,0))&amp;"","#PROJECT?"),INDEX(FTE_Allocation!$E$2:$E$201,$AB512)&amp;""),"")))</f>
        <v/>
      </c>
      <c r="F512" s="7">
        <f>IF($Z512="C",INDEX(Contracts!$Q$2:$Q$151,$AB512)&amp;"",IF($Z512="A",INDEX(Fixed_Assets!$L$2:$L$201,$AB512)&amp;"",IF($Z512="F",INDEX(Workforce!$K$2:$K$151,MATCH(INDEX(FTE_Allocation!$A$2:$A$201,$AB512),Workforce!$A$2:$A$151,0))&amp;"","")))</f>
        <v/>
      </c>
      <c r="G512" s="7">
        <f>IF($Z512="C",INDEX(Contracts!$F$2:$F$151,$AB512)&amp;" / "&amp;INDEX(Contracts!$G$2:$G$151,$AB512),IF($Z512="A",INDEX(Fixed_Assets!$E$2:$E$201,$AB512)&amp;"",IF($Z512="F","Personnel "&amp;INDEX(FTE_Allocation!$A$2:$A$201,$AB512)&amp;IF(INDEX(FTE_Allocation!$D$2:$D$201,$AB512)="PROJECT"," ("&amp;INDEX(FTE_Allocation!$E$2:$E$201,$AB512)&amp;")",""),"")))</f>
        <v/>
      </c>
      <c r="H512" s="7">
        <f>IF($Z512="C","CONTRACT",IF($Z512="A","ASSET",IF($Z512="F","WORKFORCE","")))</f>
        <v/>
      </c>
      <c r="I512" s="7">
        <f>IF($Z512="C",INDEX(Contracts!$L$2:$L$151,$AB512)&amp;"",IF($Z512="A",INDEX(Fixed_Assets!$I$2:$I$201,$AB512)&amp;"",IF($Z512="F",INDEX(Workforce!$G$2:$G$151,MATCH(INDEX(FTE_Allocation!$A$2:$A$201,$AB512),Workforce!$A$2:$A$151,0))&amp;"","")))</f>
        <v/>
      </c>
      <c r="J512" s="18">
        <f>IF($Z512="","",IF(AND(DATE($AD512,1,1)&gt;=$AE512,DATE($AD512,1,1)&lt;=$AF512),ROUND($AG512,2),0))</f>
        <v/>
      </c>
      <c r="K512" s="18">
        <f>IF($Z512="","",IF(AND(DATE($AD512,2,1)&gt;=$AE512,DATE($AD512,2,1)&lt;=$AF512),ROUND($AG512,2),0))</f>
        <v/>
      </c>
      <c r="L512" s="18">
        <f>IF($Z512="","",IF(AND(DATE($AD512,3,1)&gt;=$AE512,DATE($AD512,3,1)&lt;=$AF512),ROUND($AG512,2),0))</f>
        <v/>
      </c>
      <c r="M512" s="18">
        <f>IF($Z512="","",IF(AND(DATE($AD512,4,1)&gt;=$AE512,DATE($AD512,4,1)&lt;=$AF512),ROUND($AG512,2),0))</f>
        <v/>
      </c>
      <c r="N512" s="18">
        <f>IF($Z512="","",IF(AND(DATE($AD512,5,1)&gt;=$AE512,DATE($AD512,5,1)&lt;=$AF512),ROUND($AG512,2),0))</f>
        <v/>
      </c>
      <c r="O512" s="18">
        <f>IF($Z512="","",IF(AND(DATE($AD512,6,1)&gt;=$AE512,DATE($AD512,6,1)&lt;=$AF512),ROUND($AG512,2),0))</f>
        <v/>
      </c>
      <c r="P512" s="18">
        <f>IF($Z512="","",IF(AND(DATE($AD512,7,1)&gt;=$AE512,DATE($AD512,7,1)&lt;=$AF512),ROUND($AG512,2),0))</f>
        <v/>
      </c>
      <c r="Q512" s="18">
        <f>IF($Z512="","",IF(AND(DATE($AD512,8,1)&gt;=$AE512,DATE($AD512,8,1)&lt;=$AF512),ROUND($AG512,2),0))</f>
        <v/>
      </c>
      <c r="R512" s="18">
        <f>IF($Z512="","",IF(AND(DATE($AD512,9,1)&gt;=$AE512,DATE($AD512,9,1)&lt;=$AF512),ROUND($AG512,2),0))</f>
        <v/>
      </c>
      <c r="S512" s="18">
        <f>IF($Z512="","",IF(AND(DATE($AD512,10,1)&gt;=$AE512,DATE($AD512,10,1)&lt;=$AF512),ROUND($AG512,2),0))</f>
        <v/>
      </c>
      <c r="T512" s="18">
        <f>IF($Z512="","",IF(AND(DATE($AD512,11,1)&gt;=$AE512,DATE($AD512,11,1)&lt;=$AF512),ROUND($AG512,2),0))</f>
        <v/>
      </c>
      <c r="U512" s="18">
        <f>IF($Z512="","",IF(AND(DATE($AD512,12,1)&gt;=$AE512,DATE($AD512,12,1)&lt;=$AF512),ROUND($AG512,2),0))</f>
        <v/>
      </c>
      <c r="V512" s="7">
        <f>IF($Z512="C","Generated from "&amp;INDEX(Contracts!$A$2:$A$151,$AB512),IF($Z512="A","Generated from "&amp;INDEX(Fixed_Assets!$A$2:$A$201,$AB512),IF($Z512="F","Generated from "&amp;INDEX(FTE_Allocation!$A$2:$A$201,$AB512),"")))</f>
        <v/>
      </c>
      <c r="X512" s="19">
        <f>IF($Z512="","",SUM(J512:U512))</f>
        <v/>
      </c>
      <c r="Y512" s="20">
        <f>ROW()-1</f>
        <v/>
      </c>
      <c r="Z512" s="20">
        <f>IF($Y512&lt;=Settings!$B$4*3,"C",IF($Y512&lt;=(Settings!$B$4+Settings!$B$5)*3,"A",IF($Y512&lt;=(Settings!$B$4+Settings!$B$5+Settings!$B$6)*3,"F","")))</f>
        <v/>
      </c>
      <c r="AA512" s="20">
        <f>IF($Z512="C",$Y512,IF($Z512="A",$Y512-Settings!$B$4*3,IF($Z512="F",$Y512-(Settings!$B$4+Settings!$B$5)*3,"")))</f>
        <v/>
      </c>
      <c r="AB512" s="20">
        <f>IF($Z512="","",INT(($AA512-1)/3)+1)</f>
        <v/>
      </c>
      <c r="AC512" s="20">
        <f>IF($Z512="","",MOD($AA512-1,3)+1)</f>
        <v/>
      </c>
      <c r="AD512" s="20">
        <f>IF($Z512="","",Settings!$B$2+$AC512-1)</f>
        <v/>
      </c>
      <c r="AE512" s="21">
        <f>IF($Z512="C",DATE(YEAR(INDEX(Contracts!$J$2:$J$151,$AB512)),MONTH(INDEX(Contracts!$J$2:$J$151,$AB512)),1),IF($Z512="A",DATE(YEAR(INDEX(Fixed_Assets!$G$2:$G$201,$AB512)),MONTH(INDEX(Fixed_Assets!$G$2:$G$201,$AB512)),1),IF($Z512="F",DATE(YEAR(MAX(N(INDEX(Workforce!$I$2:$I$151,MATCH(INDEX(FTE_Allocation!$A$2:$A$201,$AB512),Workforce!$A$2:$A$151,0))),N(INDEX(FTE_Allocation!$I$2:$I$201,$AB512)))),MONTH(MAX(N(INDEX(Workforce!$I$2:$I$151,MATCH(INDEX(FTE_Allocation!$A$2:$A$201,$AB512),Workforce!$A$2:$A$151,0))),N(INDEX(FTE_Allocation!$I$2:$I$201,$AB512)))),1),"")))</f>
        <v/>
      </c>
      <c r="AF512" s="21">
        <f>IF($Z512="C",IF(INDEX(Contracts!$I$2:$I$151,$AB512)="PREPAID",EDATE(DATE(YEAR(INDEX(Contracts!$J$2:$J$151,$AB512)),MONTH(INDEX(Contracts!$J$2:$J$151,$AB512)),1),IF(INDEX(Contracts!$N$2:$N$151,$AB512)="",12,INDEX(Contracts!$N$2:$N$151,$AB512))-1),IF(INDEX(Contracts!$I$2:$I$151,$AB512)="MONTHLY",IF(INDEX(Contracts!$K$2:$K$151,$AB512)="",2958101,INDEX(Contracts!$K$2:$K$151,$AB512)),0)),IF($Z512="A",EDATE(DATE(YEAR(INDEX(Fixed_Assets!$G$2:$G$201,$AB512)),MONTH(INDEX(Fixed_Assets!$G$2:$G$201,$AB512)),1),INDEX(Fixed_Assets!$J$2:$J$201,$AB512)-1),IF($Z512="F",MIN(IF(INDEX(Workforce!$J$2:$J$151,MATCH(INDEX(FTE_Allocation!$A$2:$A$201,$AB512),Workforce!$A$2:$A$151,0))="",2958101,INDEX(Workforce!$J$2:$J$151,MATCH(INDEX(FTE_Allocation!$A$2:$A$201,$AB512),Workforce!$A$2:$A$151,0))),IF(INDEX(FTE_Allocation!$J$2:$J$201,$AB512)="",2958101,INDEX(FTE_Allocation!$J$2:$J$201,$AB512))),"")))</f>
        <v/>
      </c>
      <c r="AG512" s="19">
        <f>IF($Z512="C",IF(INDEX(Contracts!$I$2:$I$151,$AB512)="PREPAID",INDEX(Contracts!$M$2:$M$151,$AB512)/IF(INDEX(Contracts!$N$2:$N$151,$AB512)="",12,INDEX(Contracts!$N$2:$N$151,$AB512)),IF(INDEX(Contracts!$I$2:$I$151,$AB512)="MONTHLY",INDEX(Contracts!$M$2:$M$151,$AB512),0))*(1-N(INDEX(Contracts!$O$2:$O$151,$AB512))),IF($Z512="A",INDEX(Fixed_Assets!$H$2:$H$201,$AB512)/INDEX(Fixed_Assets!$J$2:$J$201,$AB512),IF($Z512="F",INDEX(Workforce!$F$2:$F$151,MATCH(INDEX(FTE_Allocation!$A$2:$A$201,$AB512),Workforce!$A$2:$A$151,0))*N(INDEX(FTE_Allocation!$F$2:$H$201,$AB512,$AC512)),"")))</f>
        <v/>
      </c>
    </row>
    <row r="513">
      <c r="A513" s="7">
        <f>IF($Z513="","",$AD513)</f>
        <v/>
      </c>
      <c r="B513" s="7">
        <f>IF($Z513="C",INDEX(Contracts!$D$2:$D$151,$AB513)&amp;"",IF($Z513="A",INDEX(Fixed_Assets!$C$2:$C$201,$AB513)&amp;"",IF($Z513="F",INDEX(Workforce!$B$2:$B$151,MATCH(INDEX(FTE_Allocation!$A$2:$A$201,$AB513),Workforce!$A$2:$A$151,0))&amp;"","")))</f>
        <v/>
      </c>
      <c r="C513" s="7">
        <f>IF($Z513="C",INDEX(Contracts!$E$2:$E$151,$AB513)&amp;"",IF($Z513="A",INDEX(Fixed_Assets!$D$2:$D$201,$AB513)&amp;"",IF($Z513="F",INDEX(FTE_Allocation!$C$2:$C$201,$AB513)&amp;"","")))</f>
        <v/>
      </c>
      <c r="D513" s="7">
        <f>IF($Z513="C",INDEX(Contracts!$B$2:$B$151,$AB513)&amp;"",IF($Z513="A",INDEX(Fixed_Assets!$B$2:$B$201,$AB513)&amp;"",IF($Z513="F",INDEX(FTE_Allocation!$B$2:$B$201,$AB513)&amp;"","")))</f>
        <v/>
      </c>
      <c r="E513" s="7">
        <f>IF($Z513="C",INDEX(Contracts!$P$2:$P$151,$AB513)&amp;"",IF($Z513="A",INDEX(Fixed_Assets!$K$2:$K$201,$AB513)&amp;"",IF($Z513="F",IF(INDEX(FTE_Allocation!$D$2:$D$201,$AB513)="PROJECT",IFERROR(INDEX(Projects!$D:$D,MATCH(INDEX(FTE_Allocation!$E$2:$E$201,$AB513),Projects!$A:$A,0))&amp;"","#PROJECT?"),INDEX(FTE_Allocation!$E$2:$E$201,$AB513)&amp;""),"")))</f>
        <v/>
      </c>
      <c r="F513" s="7">
        <f>IF($Z513="C",INDEX(Contracts!$Q$2:$Q$151,$AB513)&amp;"",IF($Z513="A",INDEX(Fixed_Assets!$L$2:$L$201,$AB513)&amp;"",IF($Z513="F",INDEX(Workforce!$K$2:$K$151,MATCH(INDEX(FTE_Allocation!$A$2:$A$201,$AB513),Workforce!$A$2:$A$151,0))&amp;"","")))</f>
        <v/>
      </c>
      <c r="G513" s="7">
        <f>IF($Z513="C",INDEX(Contracts!$F$2:$F$151,$AB513)&amp;" / "&amp;INDEX(Contracts!$G$2:$G$151,$AB513),IF($Z513="A",INDEX(Fixed_Assets!$E$2:$E$201,$AB513)&amp;"",IF($Z513="F","Personnel "&amp;INDEX(FTE_Allocation!$A$2:$A$201,$AB513)&amp;IF(INDEX(FTE_Allocation!$D$2:$D$201,$AB513)="PROJECT"," ("&amp;INDEX(FTE_Allocation!$E$2:$E$201,$AB513)&amp;")",""),"")))</f>
        <v/>
      </c>
      <c r="H513" s="7">
        <f>IF($Z513="C","CONTRACT",IF($Z513="A","ASSET",IF($Z513="F","WORKFORCE","")))</f>
        <v/>
      </c>
      <c r="I513" s="7">
        <f>IF($Z513="C",INDEX(Contracts!$L$2:$L$151,$AB513)&amp;"",IF($Z513="A",INDEX(Fixed_Assets!$I$2:$I$201,$AB513)&amp;"",IF($Z513="F",INDEX(Workforce!$G$2:$G$151,MATCH(INDEX(FTE_Allocation!$A$2:$A$201,$AB513),Workforce!$A$2:$A$151,0))&amp;"","")))</f>
        <v/>
      </c>
      <c r="J513" s="18">
        <f>IF($Z513="","",IF(AND(DATE($AD513,1,1)&gt;=$AE513,DATE($AD513,1,1)&lt;=$AF513),ROUND($AG513,2),0))</f>
        <v/>
      </c>
      <c r="K513" s="18">
        <f>IF($Z513="","",IF(AND(DATE($AD513,2,1)&gt;=$AE513,DATE($AD513,2,1)&lt;=$AF513),ROUND($AG513,2),0))</f>
        <v/>
      </c>
      <c r="L513" s="18">
        <f>IF($Z513="","",IF(AND(DATE($AD513,3,1)&gt;=$AE513,DATE($AD513,3,1)&lt;=$AF513),ROUND($AG513,2),0))</f>
        <v/>
      </c>
      <c r="M513" s="18">
        <f>IF($Z513="","",IF(AND(DATE($AD513,4,1)&gt;=$AE513,DATE($AD513,4,1)&lt;=$AF513),ROUND($AG513,2),0))</f>
        <v/>
      </c>
      <c r="N513" s="18">
        <f>IF($Z513="","",IF(AND(DATE($AD513,5,1)&gt;=$AE513,DATE($AD513,5,1)&lt;=$AF513),ROUND($AG513,2),0))</f>
        <v/>
      </c>
      <c r="O513" s="18">
        <f>IF($Z513="","",IF(AND(DATE($AD513,6,1)&gt;=$AE513,DATE($AD513,6,1)&lt;=$AF513),ROUND($AG513,2),0))</f>
        <v/>
      </c>
      <c r="P513" s="18">
        <f>IF($Z513="","",IF(AND(DATE($AD513,7,1)&gt;=$AE513,DATE($AD513,7,1)&lt;=$AF513),ROUND($AG513,2),0))</f>
        <v/>
      </c>
      <c r="Q513" s="18">
        <f>IF($Z513="","",IF(AND(DATE($AD513,8,1)&gt;=$AE513,DATE($AD513,8,1)&lt;=$AF513),ROUND($AG513,2),0))</f>
        <v/>
      </c>
      <c r="R513" s="18">
        <f>IF($Z513="","",IF(AND(DATE($AD513,9,1)&gt;=$AE513,DATE($AD513,9,1)&lt;=$AF513),ROUND($AG513,2),0))</f>
        <v/>
      </c>
      <c r="S513" s="18">
        <f>IF($Z513="","",IF(AND(DATE($AD513,10,1)&gt;=$AE513,DATE($AD513,10,1)&lt;=$AF513),ROUND($AG513,2),0))</f>
        <v/>
      </c>
      <c r="T513" s="18">
        <f>IF($Z513="","",IF(AND(DATE($AD513,11,1)&gt;=$AE513,DATE($AD513,11,1)&lt;=$AF513),ROUND($AG513,2),0))</f>
        <v/>
      </c>
      <c r="U513" s="18">
        <f>IF($Z513="","",IF(AND(DATE($AD513,12,1)&gt;=$AE513,DATE($AD513,12,1)&lt;=$AF513),ROUND($AG513,2),0))</f>
        <v/>
      </c>
      <c r="V513" s="7">
        <f>IF($Z513="C","Generated from "&amp;INDEX(Contracts!$A$2:$A$151,$AB513),IF($Z513="A","Generated from "&amp;INDEX(Fixed_Assets!$A$2:$A$201,$AB513),IF($Z513="F","Generated from "&amp;INDEX(FTE_Allocation!$A$2:$A$201,$AB513),"")))</f>
        <v/>
      </c>
      <c r="X513" s="19">
        <f>IF($Z513="","",SUM(J513:U513))</f>
        <v/>
      </c>
      <c r="Y513" s="20">
        <f>ROW()-1</f>
        <v/>
      </c>
      <c r="Z513" s="20">
        <f>IF($Y513&lt;=Settings!$B$4*3,"C",IF($Y513&lt;=(Settings!$B$4+Settings!$B$5)*3,"A",IF($Y513&lt;=(Settings!$B$4+Settings!$B$5+Settings!$B$6)*3,"F","")))</f>
        <v/>
      </c>
      <c r="AA513" s="20">
        <f>IF($Z513="C",$Y513,IF($Z513="A",$Y513-Settings!$B$4*3,IF($Z513="F",$Y513-(Settings!$B$4+Settings!$B$5)*3,"")))</f>
        <v/>
      </c>
      <c r="AB513" s="20">
        <f>IF($Z513="","",INT(($AA513-1)/3)+1)</f>
        <v/>
      </c>
      <c r="AC513" s="20">
        <f>IF($Z513="","",MOD($AA513-1,3)+1)</f>
        <v/>
      </c>
      <c r="AD513" s="20">
        <f>IF($Z513="","",Settings!$B$2+$AC513-1)</f>
        <v/>
      </c>
      <c r="AE513" s="21">
        <f>IF($Z513="C",DATE(YEAR(INDEX(Contracts!$J$2:$J$151,$AB513)),MONTH(INDEX(Contracts!$J$2:$J$151,$AB513)),1),IF($Z513="A",DATE(YEAR(INDEX(Fixed_Assets!$G$2:$G$201,$AB513)),MONTH(INDEX(Fixed_Assets!$G$2:$G$201,$AB513)),1),IF($Z513="F",DATE(YEAR(MAX(N(INDEX(Workforce!$I$2:$I$151,MATCH(INDEX(FTE_Allocation!$A$2:$A$201,$AB513),Workforce!$A$2:$A$151,0))),N(INDEX(FTE_Allocation!$I$2:$I$201,$AB513)))),MONTH(MAX(N(INDEX(Workforce!$I$2:$I$151,MATCH(INDEX(FTE_Allocation!$A$2:$A$201,$AB513),Workforce!$A$2:$A$151,0))),N(INDEX(FTE_Allocation!$I$2:$I$201,$AB513)))),1),"")))</f>
        <v/>
      </c>
      <c r="AF513" s="21">
        <f>IF($Z513="C",IF(INDEX(Contracts!$I$2:$I$151,$AB513)="PREPAID",EDATE(DATE(YEAR(INDEX(Contracts!$J$2:$J$151,$AB513)),MONTH(INDEX(Contracts!$J$2:$J$151,$AB513)),1),IF(INDEX(Contracts!$N$2:$N$151,$AB513)="",12,INDEX(Contracts!$N$2:$N$151,$AB513))-1),IF(INDEX(Contracts!$I$2:$I$151,$AB513)="MONTHLY",IF(INDEX(Contracts!$K$2:$K$151,$AB513)="",2958101,INDEX(Contracts!$K$2:$K$151,$AB513)),0)),IF($Z513="A",EDATE(DATE(YEAR(INDEX(Fixed_Assets!$G$2:$G$201,$AB513)),MONTH(INDEX(Fixed_Assets!$G$2:$G$201,$AB513)),1),INDEX(Fixed_Assets!$J$2:$J$201,$AB513)-1),IF($Z513="F",MIN(IF(INDEX(Workforce!$J$2:$J$151,MATCH(INDEX(FTE_Allocation!$A$2:$A$201,$AB513),Workforce!$A$2:$A$151,0))="",2958101,INDEX(Workforce!$J$2:$J$151,MATCH(INDEX(FTE_Allocation!$A$2:$A$201,$AB513),Workforce!$A$2:$A$151,0))),IF(INDEX(FTE_Allocation!$J$2:$J$201,$AB513)="",2958101,INDEX(FTE_Allocation!$J$2:$J$201,$AB513))),"")))</f>
        <v/>
      </c>
      <c r="AG513" s="19">
        <f>IF($Z513="C",IF(INDEX(Contracts!$I$2:$I$151,$AB513)="PREPAID",INDEX(Contracts!$M$2:$M$151,$AB513)/IF(INDEX(Contracts!$N$2:$N$151,$AB513)="",12,INDEX(Contracts!$N$2:$N$151,$AB513)),IF(INDEX(Contracts!$I$2:$I$151,$AB513)="MONTHLY",INDEX(Contracts!$M$2:$M$151,$AB513),0))*(1-N(INDEX(Contracts!$O$2:$O$151,$AB513))),IF($Z513="A",INDEX(Fixed_Assets!$H$2:$H$201,$AB513)/INDEX(Fixed_Assets!$J$2:$J$201,$AB513),IF($Z513="F",INDEX(Workforce!$F$2:$F$151,MATCH(INDEX(FTE_Allocation!$A$2:$A$201,$AB513),Workforce!$A$2:$A$151,0))*N(INDEX(FTE_Allocation!$F$2:$H$201,$AB513,$AC513)),"")))</f>
        <v/>
      </c>
    </row>
    <row r="514">
      <c r="A514" s="7">
        <f>IF($Z514="","",$AD514)</f>
        <v/>
      </c>
      <c r="B514" s="7">
        <f>IF($Z514="C",INDEX(Contracts!$D$2:$D$151,$AB514)&amp;"",IF($Z514="A",INDEX(Fixed_Assets!$C$2:$C$201,$AB514)&amp;"",IF($Z514="F",INDEX(Workforce!$B$2:$B$151,MATCH(INDEX(FTE_Allocation!$A$2:$A$201,$AB514),Workforce!$A$2:$A$151,0))&amp;"","")))</f>
        <v/>
      </c>
      <c r="C514" s="7">
        <f>IF($Z514="C",INDEX(Contracts!$E$2:$E$151,$AB514)&amp;"",IF($Z514="A",INDEX(Fixed_Assets!$D$2:$D$201,$AB514)&amp;"",IF($Z514="F",INDEX(FTE_Allocation!$C$2:$C$201,$AB514)&amp;"","")))</f>
        <v/>
      </c>
      <c r="D514" s="7">
        <f>IF($Z514="C",INDEX(Contracts!$B$2:$B$151,$AB514)&amp;"",IF($Z514="A",INDEX(Fixed_Assets!$B$2:$B$201,$AB514)&amp;"",IF($Z514="F",INDEX(FTE_Allocation!$B$2:$B$201,$AB514)&amp;"","")))</f>
        <v/>
      </c>
      <c r="E514" s="7">
        <f>IF($Z514="C",INDEX(Contracts!$P$2:$P$151,$AB514)&amp;"",IF($Z514="A",INDEX(Fixed_Assets!$K$2:$K$201,$AB514)&amp;"",IF($Z514="F",IF(INDEX(FTE_Allocation!$D$2:$D$201,$AB514)="PROJECT",IFERROR(INDEX(Projects!$D:$D,MATCH(INDEX(FTE_Allocation!$E$2:$E$201,$AB514),Projects!$A:$A,0))&amp;"","#PROJECT?"),INDEX(FTE_Allocation!$E$2:$E$201,$AB514)&amp;""),"")))</f>
        <v/>
      </c>
      <c r="F514" s="7">
        <f>IF($Z514="C",INDEX(Contracts!$Q$2:$Q$151,$AB514)&amp;"",IF($Z514="A",INDEX(Fixed_Assets!$L$2:$L$201,$AB514)&amp;"",IF($Z514="F",INDEX(Workforce!$K$2:$K$151,MATCH(INDEX(FTE_Allocation!$A$2:$A$201,$AB514),Workforce!$A$2:$A$151,0))&amp;"","")))</f>
        <v/>
      </c>
      <c r="G514" s="7">
        <f>IF($Z514="C",INDEX(Contracts!$F$2:$F$151,$AB514)&amp;" / "&amp;INDEX(Contracts!$G$2:$G$151,$AB514),IF($Z514="A",INDEX(Fixed_Assets!$E$2:$E$201,$AB514)&amp;"",IF($Z514="F","Personnel "&amp;INDEX(FTE_Allocation!$A$2:$A$201,$AB514)&amp;IF(INDEX(FTE_Allocation!$D$2:$D$201,$AB514)="PROJECT"," ("&amp;INDEX(FTE_Allocation!$E$2:$E$201,$AB514)&amp;")",""),"")))</f>
        <v/>
      </c>
      <c r="H514" s="7">
        <f>IF($Z514="C","CONTRACT",IF($Z514="A","ASSET",IF($Z514="F","WORKFORCE","")))</f>
        <v/>
      </c>
      <c r="I514" s="7">
        <f>IF($Z514="C",INDEX(Contracts!$L$2:$L$151,$AB514)&amp;"",IF($Z514="A",INDEX(Fixed_Assets!$I$2:$I$201,$AB514)&amp;"",IF($Z514="F",INDEX(Workforce!$G$2:$G$151,MATCH(INDEX(FTE_Allocation!$A$2:$A$201,$AB514),Workforce!$A$2:$A$151,0))&amp;"","")))</f>
        <v/>
      </c>
      <c r="J514" s="18">
        <f>IF($Z514="","",IF(AND(DATE($AD514,1,1)&gt;=$AE514,DATE($AD514,1,1)&lt;=$AF514),ROUND($AG514,2),0))</f>
        <v/>
      </c>
      <c r="K514" s="18">
        <f>IF($Z514="","",IF(AND(DATE($AD514,2,1)&gt;=$AE514,DATE($AD514,2,1)&lt;=$AF514),ROUND($AG514,2),0))</f>
        <v/>
      </c>
      <c r="L514" s="18">
        <f>IF($Z514="","",IF(AND(DATE($AD514,3,1)&gt;=$AE514,DATE($AD514,3,1)&lt;=$AF514),ROUND($AG514,2),0))</f>
        <v/>
      </c>
      <c r="M514" s="18">
        <f>IF($Z514="","",IF(AND(DATE($AD514,4,1)&gt;=$AE514,DATE($AD514,4,1)&lt;=$AF514),ROUND($AG514,2),0))</f>
        <v/>
      </c>
      <c r="N514" s="18">
        <f>IF($Z514="","",IF(AND(DATE($AD514,5,1)&gt;=$AE514,DATE($AD514,5,1)&lt;=$AF514),ROUND($AG514,2),0))</f>
        <v/>
      </c>
      <c r="O514" s="18">
        <f>IF($Z514="","",IF(AND(DATE($AD514,6,1)&gt;=$AE514,DATE($AD514,6,1)&lt;=$AF514),ROUND($AG514,2),0))</f>
        <v/>
      </c>
      <c r="P514" s="18">
        <f>IF($Z514="","",IF(AND(DATE($AD514,7,1)&gt;=$AE514,DATE($AD514,7,1)&lt;=$AF514),ROUND($AG514,2),0))</f>
        <v/>
      </c>
      <c r="Q514" s="18">
        <f>IF($Z514="","",IF(AND(DATE($AD514,8,1)&gt;=$AE514,DATE($AD514,8,1)&lt;=$AF514),ROUND($AG514,2),0))</f>
        <v/>
      </c>
      <c r="R514" s="18">
        <f>IF($Z514="","",IF(AND(DATE($AD514,9,1)&gt;=$AE514,DATE($AD514,9,1)&lt;=$AF514),ROUND($AG514,2),0))</f>
        <v/>
      </c>
      <c r="S514" s="18">
        <f>IF($Z514="","",IF(AND(DATE($AD514,10,1)&gt;=$AE514,DATE($AD514,10,1)&lt;=$AF514),ROUND($AG514,2),0))</f>
        <v/>
      </c>
      <c r="T514" s="18">
        <f>IF($Z514="","",IF(AND(DATE($AD514,11,1)&gt;=$AE514,DATE($AD514,11,1)&lt;=$AF514),ROUND($AG514,2),0))</f>
        <v/>
      </c>
      <c r="U514" s="18">
        <f>IF($Z514="","",IF(AND(DATE($AD514,12,1)&gt;=$AE514,DATE($AD514,12,1)&lt;=$AF514),ROUND($AG514,2),0))</f>
        <v/>
      </c>
      <c r="V514" s="7">
        <f>IF($Z514="C","Generated from "&amp;INDEX(Contracts!$A$2:$A$151,$AB514),IF($Z514="A","Generated from "&amp;INDEX(Fixed_Assets!$A$2:$A$201,$AB514),IF($Z514="F","Generated from "&amp;INDEX(FTE_Allocation!$A$2:$A$201,$AB514),"")))</f>
        <v/>
      </c>
      <c r="X514" s="19">
        <f>IF($Z514="","",SUM(J514:U514))</f>
        <v/>
      </c>
      <c r="Y514" s="20">
        <f>ROW()-1</f>
        <v/>
      </c>
      <c r="Z514" s="20">
        <f>IF($Y514&lt;=Settings!$B$4*3,"C",IF($Y514&lt;=(Settings!$B$4+Settings!$B$5)*3,"A",IF($Y514&lt;=(Settings!$B$4+Settings!$B$5+Settings!$B$6)*3,"F","")))</f>
        <v/>
      </c>
      <c r="AA514" s="20">
        <f>IF($Z514="C",$Y514,IF($Z514="A",$Y514-Settings!$B$4*3,IF($Z514="F",$Y514-(Settings!$B$4+Settings!$B$5)*3,"")))</f>
        <v/>
      </c>
      <c r="AB514" s="20">
        <f>IF($Z514="","",INT(($AA514-1)/3)+1)</f>
        <v/>
      </c>
      <c r="AC514" s="20">
        <f>IF($Z514="","",MOD($AA514-1,3)+1)</f>
        <v/>
      </c>
      <c r="AD514" s="20">
        <f>IF($Z514="","",Settings!$B$2+$AC514-1)</f>
        <v/>
      </c>
      <c r="AE514" s="21">
        <f>IF($Z514="C",DATE(YEAR(INDEX(Contracts!$J$2:$J$151,$AB514)),MONTH(INDEX(Contracts!$J$2:$J$151,$AB514)),1),IF($Z514="A",DATE(YEAR(INDEX(Fixed_Assets!$G$2:$G$201,$AB514)),MONTH(INDEX(Fixed_Assets!$G$2:$G$201,$AB514)),1),IF($Z514="F",DATE(YEAR(MAX(N(INDEX(Workforce!$I$2:$I$151,MATCH(INDEX(FTE_Allocation!$A$2:$A$201,$AB514),Workforce!$A$2:$A$151,0))),N(INDEX(FTE_Allocation!$I$2:$I$201,$AB514)))),MONTH(MAX(N(INDEX(Workforce!$I$2:$I$151,MATCH(INDEX(FTE_Allocation!$A$2:$A$201,$AB514),Workforce!$A$2:$A$151,0))),N(INDEX(FTE_Allocation!$I$2:$I$201,$AB514)))),1),"")))</f>
        <v/>
      </c>
      <c r="AF514" s="21">
        <f>IF($Z514="C",IF(INDEX(Contracts!$I$2:$I$151,$AB514)="PREPAID",EDATE(DATE(YEAR(INDEX(Contracts!$J$2:$J$151,$AB514)),MONTH(INDEX(Contracts!$J$2:$J$151,$AB514)),1),IF(INDEX(Contracts!$N$2:$N$151,$AB514)="",12,INDEX(Contracts!$N$2:$N$151,$AB514))-1),IF(INDEX(Contracts!$I$2:$I$151,$AB514)="MONTHLY",IF(INDEX(Contracts!$K$2:$K$151,$AB514)="",2958101,INDEX(Contracts!$K$2:$K$151,$AB514)),0)),IF($Z514="A",EDATE(DATE(YEAR(INDEX(Fixed_Assets!$G$2:$G$201,$AB514)),MONTH(INDEX(Fixed_Assets!$G$2:$G$201,$AB514)),1),INDEX(Fixed_Assets!$J$2:$J$201,$AB514)-1),IF($Z514="F",MIN(IF(INDEX(Workforce!$J$2:$J$151,MATCH(INDEX(FTE_Allocation!$A$2:$A$201,$AB514),Workforce!$A$2:$A$151,0))="",2958101,INDEX(Workforce!$J$2:$J$151,MATCH(INDEX(FTE_Allocation!$A$2:$A$201,$AB514),Workforce!$A$2:$A$151,0))),IF(INDEX(FTE_Allocation!$J$2:$J$201,$AB514)="",2958101,INDEX(FTE_Allocation!$J$2:$J$201,$AB514))),"")))</f>
        <v/>
      </c>
      <c r="AG514" s="19">
        <f>IF($Z514="C",IF(INDEX(Contracts!$I$2:$I$151,$AB514)="PREPAID",INDEX(Contracts!$M$2:$M$151,$AB514)/IF(INDEX(Contracts!$N$2:$N$151,$AB514)="",12,INDEX(Contracts!$N$2:$N$151,$AB514)),IF(INDEX(Contracts!$I$2:$I$151,$AB514)="MONTHLY",INDEX(Contracts!$M$2:$M$151,$AB514),0))*(1-N(INDEX(Contracts!$O$2:$O$151,$AB514))),IF($Z514="A",INDEX(Fixed_Assets!$H$2:$H$201,$AB514)/INDEX(Fixed_Assets!$J$2:$J$201,$AB514),IF($Z514="F",INDEX(Workforce!$F$2:$F$151,MATCH(INDEX(FTE_Allocation!$A$2:$A$201,$AB514),Workforce!$A$2:$A$151,0))*N(INDEX(FTE_Allocation!$F$2:$H$201,$AB514,$AC514)),"")))</f>
        <v/>
      </c>
    </row>
    <row r="515">
      <c r="A515" s="7">
        <f>IF($Z515="","",$AD515)</f>
        <v/>
      </c>
      <c r="B515" s="7">
        <f>IF($Z515="C",INDEX(Contracts!$D$2:$D$151,$AB515)&amp;"",IF($Z515="A",INDEX(Fixed_Assets!$C$2:$C$201,$AB515)&amp;"",IF($Z515="F",INDEX(Workforce!$B$2:$B$151,MATCH(INDEX(FTE_Allocation!$A$2:$A$201,$AB515),Workforce!$A$2:$A$151,0))&amp;"","")))</f>
        <v/>
      </c>
      <c r="C515" s="7">
        <f>IF($Z515="C",INDEX(Contracts!$E$2:$E$151,$AB515)&amp;"",IF($Z515="A",INDEX(Fixed_Assets!$D$2:$D$201,$AB515)&amp;"",IF($Z515="F",INDEX(FTE_Allocation!$C$2:$C$201,$AB515)&amp;"","")))</f>
        <v/>
      </c>
      <c r="D515" s="7">
        <f>IF($Z515="C",INDEX(Contracts!$B$2:$B$151,$AB515)&amp;"",IF($Z515="A",INDEX(Fixed_Assets!$B$2:$B$201,$AB515)&amp;"",IF($Z515="F",INDEX(FTE_Allocation!$B$2:$B$201,$AB515)&amp;"","")))</f>
        <v/>
      </c>
      <c r="E515" s="7">
        <f>IF($Z515="C",INDEX(Contracts!$P$2:$P$151,$AB515)&amp;"",IF($Z515="A",INDEX(Fixed_Assets!$K$2:$K$201,$AB515)&amp;"",IF($Z515="F",IF(INDEX(FTE_Allocation!$D$2:$D$201,$AB515)="PROJECT",IFERROR(INDEX(Projects!$D:$D,MATCH(INDEX(FTE_Allocation!$E$2:$E$201,$AB515),Projects!$A:$A,0))&amp;"","#PROJECT?"),INDEX(FTE_Allocation!$E$2:$E$201,$AB515)&amp;""),"")))</f>
        <v/>
      </c>
      <c r="F515" s="7">
        <f>IF($Z515="C",INDEX(Contracts!$Q$2:$Q$151,$AB515)&amp;"",IF($Z515="A",INDEX(Fixed_Assets!$L$2:$L$201,$AB515)&amp;"",IF($Z515="F",INDEX(Workforce!$K$2:$K$151,MATCH(INDEX(FTE_Allocation!$A$2:$A$201,$AB515),Workforce!$A$2:$A$151,0))&amp;"","")))</f>
        <v/>
      </c>
      <c r="G515" s="7">
        <f>IF($Z515="C",INDEX(Contracts!$F$2:$F$151,$AB515)&amp;" / "&amp;INDEX(Contracts!$G$2:$G$151,$AB515),IF($Z515="A",INDEX(Fixed_Assets!$E$2:$E$201,$AB515)&amp;"",IF($Z515="F","Personnel "&amp;INDEX(FTE_Allocation!$A$2:$A$201,$AB515)&amp;IF(INDEX(FTE_Allocation!$D$2:$D$201,$AB515)="PROJECT"," ("&amp;INDEX(FTE_Allocation!$E$2:$E$201,$AB515)&amp;")",""),"")))</f>
        <v/>
      </c>
      <c r="H515" s="7">
        <f>IF($Z515="C","CONTRACT",IF($Z515="A","ASSET",IF($Z515="F","WORKFORCE","")))</f>
        <v/>
      </c>
      <c r="I515" s="7">
        <f>IF($Z515="C",INDEX(Contracts!$L$2:$L$151,$AB515)&amp;"",IF($Z515="A",INDEX(Fixed_Assets!$I$2:$I$201,$AB515)&amp;"",IF($Z515="F",INDEX(Workforce!$G$2:$G$151,MATCH(INDEX(FTE_Allocation!$A$2:$A$201,$AB515),Workforce!$A$2:$A$151,0))&amp;"","")))</f>
        <v/>
      </c>
      <c r="J515" s="18">
        <f>IF($Z515="","",IF(AND(DATE($AD515,1,1)&gt;=$AE515,DATE($AD515,1,1)&lt;=$AF515),ROUND($AG515,2),0))</f>
        <v/>
      </c>
      <c r="K515" s="18">
        <f>IF($Z515="","",IF(AND(DATE($AD515,2,1)&gt;=$AE515,DATE($AD515,2,1)&lt;=$AF515),ROUND($AG515,2),0))</f>
        <v/>
      </c>
      <c r="L515" s="18">
        <f>IF($Z515="","",IF(AND(DATE($AD515,3,1)&gt;=$AE515,DATE($AD515,3,1)&lt;=$AF515),ROUND($AG515,2),0))</f>
        <v/>
      </c>
      <c r="M515" s="18">
        <f>IF($Z515="","",IF(AND(DATE($AD515,4,1)&gt;=$AE515,DATE($AD515,4,1)&lt;=$AF515),ROUND($AG515,2),0))</f>
        <v/>
      </c>
      <c r="N515" s="18">
        <f>IF($Z515="","",IF(AND(DATE($AD515,5,1)&gt;=$AE515,DATE($AD515,5,1)&lt;=$AF515),ROUND($AG515,2),0))</f>
        <v/>
      </c>
      <c r="O515" s="18">
        <f>IF($Z515="","",IF(AND(DATE($AD515,6,1)&gt;=$AE515,DATE($AD515,6,1)&lt;=$AF515),ROUND($AG515,2),0))</f>
        <v/>
      </c>
      <c r="P515" s="18">
        <f>IF($Z515="","",IF(AND(DATE($AD515,7,1)&gt;=$AE515,DATE($AD515,7,1)&lt;=$AF515),ROUND($AG515,2),0))</f>
        <v/>
      </c>
      <c r="Q515" s="18">
        <f>IF($Z515="","",IF(AND(DATE($AD515,8,1)&gt;=$AE515,DATE($AD515,8,1)&lt;=$AF515),ROUND($AG515,2),0))</f>
        <v/>
      </c>
      <c r="R515" s="18">
        <f>IF($Z515="","",IF(AND(DATE($AD515,9,1)&gt;=$AE515,DATE($AD515,9,1)&lt;=$AF515),ROUND($AG515,2),0))</f>
        <v/>
      </c>
      <c r="S515" s="18">
        <f>IF($Z515="","",IF(AND(DATE($AD515,10,1)&gt;=$AE515,DATE($AD515,10,1)&lt;=$AF515),ROUND($AG515,2),0))</f>
        <v/>
      </c>
      <c r="T515" s="18">
        <f>IF($Z515="","",IF(AND(DATE($AD515,11,1)&gt;=$AE515,DATE($AD515,11,1)&lt;=$AF515),ROUND($AG515,2),0))</f>
        <v/>
      </c>
      <c r="U515" s="18">
        <f>IF($Z515="","",IF(AND(DATE($AD515,12,1)&gt;=$AE515,DATE($AD515,12,1)&lt;=$AF515),ROUND($AG515,2),0))</f>
        <v/>
      </c>
      <c r="V515" s="7">
        <f>IF($Z515="C","Generated from "&amp;INDEX(Contracts!$A$2:$A$151,$AB515),IF($Z515="A","Generated from "&amp;INDEX(Fixed_Assets!$A$2:$A$201,$AB515),IF($Z515="F","Generated from "&amp;INDEX(FTE_Allocation!$A$2:$A$201,$AB515),"")))</f>
        <v/>
      </c>
      <c r="X515" s="19">
        <f>IF($Z515="","",SUM(J515:U515))</f>
        <v/>
      </c>
      <c r="Y515" s="20">
        <f>ROW()-1</f>
        <v/>
      </c>
      <c r="Z515" s="20">
        <f>IF($Y515&lt;=Settings!$B$4*3,"C",IF($Y515&lt;=(Settings!$B$4+Settings!$B$5)*3,"A",IF($Y515&lt;=(Settings!$B$4+Settings!$B$5+Settings!$B$6)*3,"F","")))</f>
        <v/>
      </c>
      <c r="AA515" s="20">
        <f>IF($Z515="C",$Y515,IF($Z515="A",$Y515-Settings!$B$4*3,IF($Z515="F",$Y515-(Settings!$B$4+Settings!$B$5)*3,"")))</f>
        <v/>
      </c>
      <c r="AB515" s="20">
        <f>IF($Z515="","",INT(($AA515-1)/3)+1)</f>
        <v/>
      </c>
      <c r="AC515" s="20">
        <f>IF($Z515="","",MOD($AA515-1,3)+1)</f>
        <v/>
      </c>
      <c r="AD515" s="20">
        <f>IF($Z515="","",Settings!$B$2+$AC515-1)</f>
        <v/>
      </c>
      <c r="AE515" s="21">
        <f>IF($Z515="C",DATE(YEAR(INDEX(Contracts!$J$2:$J$151,$AB515)),MONTH(INDEX(Contracts!$J$2:$J$151,$AB515)),1),IF($Z515="A",DATE(YEAR(INDEX(Fixed_Assets!$G$2:$G$201,$AB515)),MONTH(INDEX(Fixed_Assets!$G$2:$G$201,$AB515)),1),IF($Z515="F",DATE(YEAR(MAX(N(INDEX(Workforce!$I$2:$I$151,MATCH(INDEX(FTE_Allocation!$A$2:$A$201,$AB515),Workforce!$A$2:$A$151,0))),N(INDEX(FTE_Allocation!$I$2:$I$201,$AB515)))),MONTH(MAX(N(INDEX(Workforce!$I$2:$I$151,MATCH(INDEX(FTE_Allocation!$A$2:$A$201,$AB515),Workforce!$A$2:$A$151,0))),N(INDEX(FTE_Allocation!$I$2:$I$201,$AB515)))),1),"")))</f>
        <v/>
      </c>
      <c r="AF515" s="21">
        <f>IF($Z515="C",IF(INDEX(Contracts!$I$2:$I$151,$AB515)="PREPAID",EDATE(DATE(YEAR(INDEX(Contracts!$J$2:$J$151,$AB515)),MONTH(INDEX(Contracts!$J$2:$J$151,$AB515)),1),IF(INDEX(Contracts!$N$2:$N$151,$AB515)="",12,INDEX(Contracts!$N$2:$N$151,$AB515))-1),IF(INDEX(Contracts!$I$2:$I$151,$AB515)="MONTHLY",IF(INDEX(Contracts!$K$2:$K$151,$AB515)="",2958101,INDEX(Contracts!$K$2:$K$151,$AB515)),0)),IF($Z515="A",EDATE(DATE(YEAR(INDEX(Fixed_Assets!$G$2:$G$201,$AB515)),MONTH(INDEX(Fixed_Assets!$G$2:$G$201,$AB515)),1),INDEX(Fixed_Assets!$J$2:$J$201,$AB515)-1),IF($Z515="F",MIN(IF(INDEX(Workforce!$J$2:$J$151,MATCH(INDEX(FTE_Allocation!$A$2:$A$201,$AB515),Workforce!$A$2:$A$151,0))="",2958101,INDEX(Workforce!$J$2:$J$151,MATCH(INDEX(FTE_Allocation!$A$2:$A$201,$AB515),Workforce!$A$2:$A$151,0))),IF(INDEX(FTE_Allocation!$J$2:$J$201,$AB515)="",2958101,INDEX(FTE_Allocation!$J$2:$J$201,$AB515))),"")))</f>
        <v/>
      </c>
      <c r="AG515" s="19">
        <f>IF($Z515="C",IF(INDEX(Contracts!$I$2:$I$151,$AB515)="PREPAID",INDEX(Contracts!$M$2:$M$151,$AB515)/IF(INDEX(Contracts!$N$2:$N$151,$AB515)="",12,INDEX(Contracts!$N$2:$N$151,$AB515)),IF(INDEX(Contracts!$I$2:$I$151,$AB515)="MONTHLY",INDEX(Contracts!$M$2:$M$151,$AB515),0))*(1-N(INDEX(Contracts!$O$2:$O$151,$AB515))),IF($Z515="A",INDEX(Fixed_Assets!$H$2:$H$201,$AB515)/INDEX(Fixed_Assets!$J$2:$J$201,$AB515),IF($Z515="F",INDEX(Workforce!$F$2:$F$151,MATCH(INDEX(FTE_Allocation!$A$2:$A$201,$AB515),Workforce!$A$2:$A$151,0))*N(INDEX(FTE_Allocation!$F$2:$H$201,$AB515,$AC515)),"")))</f>
        <v/>
      </c>
    </row>
    <row r="516">
      <c r="A516" s="7">
        <f>IF($Z516="","",$AD516)</f>
        <v/>
      </c>
      <c r="B516" s="7">
        <f>IF($Z516="C",INDEX(Contracts!$D$2:$D$151,$AB516)&amp;"",IF($Z516="A",INDEX(Fixed_Assets!$C$2:$C$201,$AB516)&amp;"",IF($Z516="F",INDEX(Workforce!$B$2:$B$151,MATCH(INDEX(FTE_Allocation!$A$2:$A$201,$AB516),Workforce!$A$2:$A$151,0))&amp;"","")))</f>
        <v/>
      </c>
      <c r="C516" s="7">
        <f>IF($Z516="C",INDEX(Contracts!$E$2:$E$151,$AB516)&amp;"",IF($Z516="A",INDEX(Fixed_Assets!$D$2:$D$201,$AB516)&amp;"",IF($Z516="F",INDEX(FTE_Allocation!$C$2:$C$201,$AB516)&amp;"","")))</f>
        <v/>
      </c>
      <c r="D516" s="7">
        <f>IF($Z516="C",INDEX(Contracts!$B$2:$B$151,$AB516)&amp;"",IF($Z516="A",INDEX(Fixed_Assets!$B$2:$B$201,$AB516)&amp;"",IF($Z516="F",INDEX(FTE_Allocation!$B$2:$B$201,$AB516)&amp;"","")))</f>
        <v/>
      </c>
      <c r="E516" s="7">
        <f>IF($Z516="C",INDEX(Contracts!$P$2:$P$151,$AB516)&amp;"",IF($Z516="A",INDEX(Fixed_Assets!$K$2:$K$201,$AB516)&amp;"",IF($Z516="F",IF(INDEX(FTE_Allocation!$D$2:$D$201,$AB516)="PROJECT",IFERROR(INDEX(Projects!$D:$D,MATCH(INDEX(FTE_Allocation!$E$2:$E$201,$AB516),Projects!$A:$A,0))&amp;"","#PROJECT?"),INDEX(FTE_Allocation!$E$2:$E$201,$AB516)&amp;""),"")))</f>
        <v/>
      </c>
      <c r="F516" s="7">
        <f>IF($Z516="C",INDEX(Contracts!$Q$2:$Q$151,$AB516)&amp;"",IF($Z516="A",INDEX(Fixed_Assets!$L$2:$L$201,$AB516)&amp;"",IF($Z516="F",INDEX(Workforce!$K$2:$K$151,MATCH(INDEX(FTE_Allocation!$A$2:$A$201,$AB516),Workforce!$A$2:$A$151,0))&amp;"","")))</f>
        <v/>
      </c>
      <c r="G516" s="7">
        <f>IF($Z516="C",INDEX(Contracts!$F$2:$F$151,$AB516)&amp;" / "&amp;INDEX(Contracts!$G$2:$G$151,$AB516),IF($Z516="A",INDEX(Fixed_Assets!$E$2:$E$201,$AB516)&amp;"",IF($Z516="F","Personnel "&amp;INDEX(FTE_Allocation!$A$2:$A$201,$AB516)&amp;IF(INDEX(FTE_Allocation!$D$2:$D$201,$AB516)="PROJECT"," ("&amp;INDEX(FTE_Allocation!$E$2:$E$201,$AB516)&amp;")",""),"")))</f>
        <v/>
      </c>
      <c r="H516" s="7">
        <f>IF($Z516="C","CONTRACT",IF($Z516="A","ASSET",IF($Z516="F","WORKFORCE","")))</f>
        <v/>
      </c>
      <c r="I516" s="7">
        <f>IF($Z516="C",INDEX(Contracts!$L$2:$L$151,$AB516)&amp;"",IF($Z516="A",INDEX(Fixed_Assets!$I$2:$I$201,$AB516)&amp;"",IF($Z516="F",INDEX(Workforce!$G$2:$G$151,MATCH(INDEX(FTE_Allocation!$A$2:$A$201,$AB516),Workforce!$A$2:$A$151,0))&amp;"","")))</f>
        <v/>
      </c>
      <c r="J516" s="18">
        <f>IF($Z516="","",IF(AND(DATE($AD516,1,1)&gt;=$AE516,DATE($AD516,1,1)&lt;=$AF516),ROUND($AG516,2),0))</f>
        <v/>
      </c>
      <c r="K516" s="18">
        <f>IF($Z516="","",IF(AND(DATE($AD516,2,1)&gt;=$AE516,DATE($AD516,2,1)&lt;=$AF516),ROUND($AG516,2),0))</f>
        <v/>
      </c>
      <c r="L516" s="18">
        <f>IF($Z516="","",IF(AND(DATE($AD516,3,1)&gt;=$AE516,DATE($AD516,3,1)&lt;=$AF516),ROUND($AG516,2),0))</f>
        <v/>
      </c>
      <c r="M516" s="18">
        <f>IF($Z516="","",IF(AND(DATE($AD516,4,1)&gt;=$AE516,DATE($AD516,4,1)&lt;=$AF516),ROUND($AG516,2),0))</f>
        <v/>
      </c>
      <c r="N516" s="18">
        <f>IF($Z516="","",IF(AND(DATE($AD516,5,1)&gt;=$AE516,DATE($AD516,5,1)&lt;=$AF516),ROUND($AG516,2),0))</f>
        <v/>
      </c>
      <c r="O516" s="18">
        <f>IF($Z516="","",IF(AND(DATE($AD516,6,1)&gt;=$AE516,DATE($AD516,6,1)&lt;=$AF516),ROUND($AG516,2),0))</f>
        <v/>
      </c>
      <c r="P516" s="18">
        <f>IF($Z516="","",IF(AND(DATE($AD516,7,1)&gt;=$AE516,DATE($AD516,7,1)&lt;=$AF516),ROUND($AG516,2),0))</f>
        <v/>
      </c>
      <c r="Q516" s="18">
        <f>IF($Z516="","",IF(AND(DATE($AD516,8,1)&gt;=$AE516,DATE($AD516,8,1)&lt;=$AF516),ROUND($AG516,2),0))</f>
        <v/>
      </c>
      <c r="R516" s="18">
        <f>IF($Z516="","",IF(AND(DATE($AD516,9,1)&gt;=$AE516,DATE($AD516,9,1)&lt;=$AF516),ROUND($AG516,2),0))</f>
        <v/>
      </c>
      <c r="S516" s="18">
        <f>IF($Z516="","",IF(AND(DATE($AD516,10,1)&gt;=$AE516,DATE($AD516,10,1)&lt;=$AF516),ROUND($AG516,2),0))</f>
        <v/>
      </c>
      <c r="T516" s="18">
        <f>IF($Z516="","",IF(AND(DATE($AD516,11,1)&gt;=$AE516,DATE($AD516,11,1)&lt;=$AF516),ROUND($AG516,2),0))</f>
        <v/>
      </c>
      <c r="U516" s="18">
        <f>IF($Z516="","",IF(AND(DATE($AD516,12,1)&gt;=$AE516,DATE($AD516,12,1)&lt;=$AF516),ROUND($AG516,2),0))</f>
        <v/>
      </c>
      <c r="V516" s="7">
        <f>IF($Z516="C","Generated from "&amp;INDEX(Contracts!$A$2:$A$151,$AB516),IF($Z516="A","Generated from "&amp;INDEX(Fixed_Assets!$A$2:$A$201,$AB516),IF($Z516="F","Generated from "&amp;INDEX(FTE_Allocation!$A$2:$A$201,$AB516),"")))</f>
        <v/>
      </c>
      <c r="X516" s="19">
        <f>IF($Z516="","",SUM(J516:U516))</f>
        <v/>
      </c>
      <c r="Y516" s="20">
        <f>ROW()-1</f>
        <v/>
      </c>
      <c r="Z516" s="20">
        <f>IF($Y516&lt;=Settings!$B$4*3,"C",IF($Y516&lt;=(Settings!$B$4+Settings!$B$5)*3,"A",IF($Y516&lt;=(Settings!$B$4+Settings!$B$5+Settings!$B$6)*3,"F","")))</f>
        <v/>
      </c>
      <c r="AA516" s="20">
        <f>IF($Z516="C",$Y516,IF($Z516="A",$Y516-Settings!$B$4*3,IF($Z516="F",$Y516-(Settings!$B$4+Settings!$B$5)*3,"")))</f>
        <v/>
      </c>
      <c r="AB516" s="20">
        <f>IF($Z516="","",INT(($AA516-1)/3)+1)</f>
        <v/>
      </c>
      <c r="AC516" s="20">
        <f>IF($Z516="","",MOD($AA516-1,3)+1)</f>
        <v/>
      </c>
      <c r="AD516" s="20">
        <f>IF($Z516="","",Settings!$B$2+$AC516-1)</f>
        <v/>
      </c>
      <c r="AE516" s="21">
        <f>IF($Z516="C",DATE(YEAR(INDEX(Contracts!$J$2:$J$151,$AB516)),MONTH(INDEX(Contracts!$J$2:$J$151,$AB516)),1),IF($Z516="A",DATE(YEAR(INDEX(Fixed_Assets!$G$2:$G$201,$AB516)),MONTH(INDEX(Fixed_Assets!$G$2:$G$201,$AB516)),1),IF($Z516="F",DATE(YEAR(MAX(N(INDEX(Workforce!$I$2:$I$151,MATCH(INDEX(FTE_Allocation!$A$2:$A$201,$AB516),Workforce!$A$2:$A$151,0))),N(INDEX(FTE_Allocation!$I$2:$I$201,$AB516)))),MONTH(MAX(N(INDEX(Workforce!$I$2:$I$151,MATCH(INDEX(FTE_Allocation!$A$2:$A$201,$AB516),Workforce!$A$2:$A$151,0))),N(INDEX(FTE_Allocation!$I$2:$I$201,$AB516)))),1),"")))</f>
        <v/>
      </c>
      <c r="AF516" s="21">
        <f>IF($Z516="C",IF(INDEX(Contracts!$I$2:$I$151,$AB516)="PREPAID",EDATE(DATE(YEAR(INDEX(Contracts!$J$2:$J$151,$AB516)),MONTH(INDEX(Contracts!$J$2:$J$151,$AB516)),1),IF(INDEX(Contracts!$N$2:$N$151,$AB516)="",12,INDEX(Contracts!$N$2:$N$151,$AB516))-1),IF(INDEX(Contracts!$I$2:$I$151,$AB516)="MONTHLY",IF(INDEX(Contracts!$K$2:$K$151,$AB516)="",2958101,INDEX(Contracts!$K$2:$K$151,$AB516)),0)),IF($Z516="A",EDATE(DATE(YEAR(INDEX(Fixed_Assets!$G$2:$G$201,$AB516)),MONTH(INDEX(Fixed_Assets!$G$2:$G$201,$AB516)),1),INDEX(Fixed_Assets!$J$2:$J$201,$AB516)-1),IF($Z516="F",MIN(IF(INDEX(Workforce!$J$2:$J$151,MATCH(INDEX(FTE_Allocation!$A$2:$A$201,$AB516),Workforce!$A$2:$A$151,0))="",2958101,INDEX(Workforce!$J$2:$J$151,MATCH(INDEX(FTE_Allocation!$A$2:$A$201,$AB516),Workforce!$A$2:$A$151,0))),IF(INDEX(FTE_Allocation!$J$2:$J$201,$AB516)="",2958101,INDEX(FTE_Allocation!$J$2:$J$201,$AB516))),"")))</f>
        <v/>
      </c>
      <c r="AG516" s="19">
        <f>IF($Z516="C",IF(INDEX(Contracts!$I$2:$I$151,$AB516)="PREPAID",INDEX(Contracts!$M$2:$M$151,$AB516)/IF(INDEX(Contracts!$N$2:$N$151,$AB516)="",12,INDEX(Contracts!$N$2:$N$151,$AB516)),IF(INDEX(Contracts!$I$2:$I$151,$AB516)="MONTHLY",INDEX(Contracts!$M$2:$M$151,$AB516),0))*(1-N(INDEX(Contracts!$O$2:$O$151,$AB516))),IF($Z516="A",INDEX(Fixed_Assets!$H$2:$H$201,$AB516)/INDEX(Fixed_Assets!$J$2:$J$201,$AB516),IF($Z516="F",INDEX(Workforce!$F$2:$F$151,MATCH(INDEX(FTE_Allocation!$A$2:$A$201,$AB516),Workforce!$A$2:$A$151,0))*N(INDEX(FTE_Allocation!$F$2:$H$201,$AB516,$AC516)),"")))</f>
        <v/>
      </c>
    </row>
    <row r="517">
      <c r="A517" s="7">
        <f>IF($Z517="","",$AD517)</f>
        <v/>
      </c>
      <c r="B517" s="7">
        <f>IF($Z517="C",INDEX(Contracts!$D$2:$D$151,$AB517)&amp;"",IF($Z517="A",INDEX(Fixed_Assets!$C$2:$C$201,$AB517)&amp;"",IF($Z517="F",INDEX(Workforce!$B$2:$B$151,MATCH(INDEX(FTE_Allocation!$A$2:$A$201,$AB517),Workforce!$A$2:$A$151,0))&amp;"","")))</f>
        <v/>
      </c>
      <c r="C517" s="7">
        <f>IF($Z517="C",INDEX(Contracts!$E$2:$E$151,$AB517)&amp;"",IF($Z517="A",INDEX(Fixed_Assets!$D$2:$D$201,$AB517)&amp;"",IF($Z517="F",INDEX(FTE_Allocation!$C$2:$C$201,$AB517)&amp;"","")))</f>
        <v/>
      </c>
      <c r="D517" s="7">
        <f>IF($Z517="C",INDEX(Contracts!$B$2:$B$151,$AB517)&amp;"",IF($Z517="A",INDEX(Fixed_Assets!$B$2:$B$201,$AB517)&amp;"",IF($Z517="F",INDEX(FTE_Allocation!$B$2:$B$201,$AB517)&amp;"","")))</f>
        <v/>
      </c>
      <c r="E517" s="7">
        <f>IF($Z517="C",INDEX(Contracts!$P$2:$P$151,$AB517)&amp;"",IF($Z517="A",INDEX(Fixed_Assets!$K$2:$K$201,$AB517)&amp;"",IF($Z517="F",IF(INDEX(FTE_Allocation!$D$2:$D$201,$AB517)="PROJECT",IFERROR(INDEX(Projects!$D:$D,MATCH(INDEX(FTE_Allocation!$E$2:$E$201,$AB517),Projects!$A:$A,0))&amp;"","#PROJECT?"),INDEX(FTE_Allocation!$E$2:$E$201,$AB517)&amp;""),"")))</f>
        <v/>
      </c>
      <c r="F517" s="7">
        <f>IF($Z517="C",INDEX(Contracts!$Q$2:$Q$151,$AB517)&amp;"",IF($Z517="A",INDEX(Fixed_Assets!$L$2:$L$201,$AB517)&amp;"",IF($Z517="F",INDEX(Workforce!$K$2:$K$151,MATCH(INDEX(FTE_Allocation!$A$2:$A$201,$AB517),Workforce!$A$2:$A$151,0))&amp;"","")))</f>
        <v/>
      </c>
      <c r="G517" s="7">
        <f>IF($Z517="C",INDEX(Contracts!$F$2:$F$151,$AB517)&amp;" / "&amp;INDEX(Contracts!$G$2:$G$151,$AB517),IF($Z517="A",INDEX(Fixed_Assets!$E$2:$E$201,$AB517)&amp;"",IF($Z517="F","Personnel "&amp;INDEX(FTE_Allocation!$A$2:$A$201,$AB517)&amp;IF(INDEX(FTE_Allocation!$D$2:$D$201,$AB517)="PROJECT"," ("&amp;INDEX(FTE_Allocation!$E$2:$E$201,$AB517)&amp;")",""),"")))</f>
        <v/>
      </c>
      <c r="H517" s="7">
        <f>IF($Z517="C","CONTRACT",IF($Z517="A","ASSET",IF($Z517="F","WORKFORCE","")))</f>
        <v/>
      </c>
      <c r="I517" s="7">
        <f>IF($Z517="C",INDEX(Contracts!$L$2:$L$151,$AB517)&amp;"",IF($Z517="A",INDEX(Fixed_Assets!$I$2:$I$201,$AB517)&amp;"",IF($Z517="F",INDEX(Workforce!$G$2:$G$151,MATCH(INDEX(FTE_Allocation!$A$2:$A$201,$AB517),Workforce!$A$2:$A$151,0))&amp;"","")))</f>
        <v/>
      </c>
      <c r="J517" s="18">
        <f>IF($Z517="","",IF(AND(DATE($AD517,1,1)&gt;=$AE517,DATE($AD517,1,1)&lt;=$AF517),ROUND($AG517,2),0))</f>
        <v/>
      </c>
      <c r="K517" s="18">
        <f>IF($Z517="","",IF(AND(DATE($AD517,2,1)&gt;=$AE517,DATE($AD517,2,1)&lt;=$AF517),ROUND($AG517,2),0))</f>
        <v/>
      </c>
      <c r="L517" s="18">
        <f>IF($Z517="","",IF(AND(DATE($AD517,3,1)&gt;=$AE517,DATE($AD517,3,1)&lt;=$AF517),ROUND($AG517,2),0))</f>
        <v/>
      </c>
      <c r="M517" s="18">
        <f>IF($Z517="","",IF(AND(DATE($AD517,4,1)&gt;=$AE517,DATE($AD517,4,1)&lt;=$AF517),ROUND($AG517,2),0))</f>
        <v/>
      </c>
      <c r="N517" s="18">
        <f>IF($Z517="","",IF(AND(DATE($AD517,5,1)&gt;=$AE517,DATE($AD517,5,1)&lt;=$AF517),ROUND($AG517,2),0))</f>
        <v/>
      </c>
      <c r="O517" s="18">
        <f>IF($Z517="","",IF(AND(DATE($AD517,6,1)&gt;=$AE517,DATE($AD517,6,1)&lt;=$AF517),ROUND($AG517,2),0))</f>
        <v/>
      </c>
      <c r="P517" s="18">
        <f>IF($Z517="","",IF(AND(DATE($AD517,7,1)&gt;=$AE517,DATE($AD517,7,1)&lt;=$AF517),ROUND($AG517,2),0))</f>
        <v/>
      </c>
      <c r="Q517" s="18">
        <f>IF($Z517="","",IF(AND(DATE($AD517,8,1)&gt;=$AE517,DATE($AD517,8,1)&lt;=$AF517),ROUND($AG517,2),0))</f>
        <v/>
      </c>
      <c r="R517" s="18">
        <f>IF($Z517="","",IF(AND(DATE($AD517,9,1)&gt;=$AE517,DATE($AD517,9,1)&lt;=$AF517),ROUND($AG517,2),0))</f>
        <v/>
      </c>
      <c r="S517" s="18">
        <f>IF($Z517="","",IF(AND(DATE($AD517,10,1)&gt;=$AE517,DATE($AD517,10,1)&lt;=$AF517),ROUND($AG517,2),0))</f>
        <v/>
      </c>
      <c r="T517" s="18">
        <f>IF($Z517="","",IF(AND(DATE($AD517,11,1)&gt;=$AE517,DATE($AD517,11,1)&lt;=$AF517),ROUND($AG517,2),0))</f>
        <v/>
      </c>
      <c r="U517" s="18">
        <f>IF($Z517="","",IF(AND(DATE($AD517,12,1)&gt;=$AE517,DATE($AD517,12,1)&lt;=$AF517),ROUND($AG517,2),0))</f>
        <v/>
      </c>
      <c r="V517" s="7">
        <f>IF($Z517="C","Generated from "&amp;INDEX(Contracts!$A$2:$A$151,$AB517),IF($Z517="A","Generated from "&amp;INDEX(Fixed_Assets!$A$2:$A$201,$AB517),IF($Z517="F","Generated from "&amp;INDEX(FTE_Allocation!$A$2:$A$201,$AB517),"")))</f>
        <v/>
      </c>
      <c r="X517" s="19">
        <f>IF($Z517="","",SUM(J517:U517))</f>
        <v/>
      </c>
      <c r="Y517" s="20">
        <f>ROW()-1</f>
        <v/>
      </c>
      <c r="Z517" s="20">
        <f>IF($Y517&lt;=Settings!$B$4*3,"C",IF($Y517&lt;=(Settings!$B$4+Settings!$B$5)*3,"A",IF($Y517&lt;=(Settings!$B$4+Settings!$B$5+Settings!$B$6)*3,"F","")))</f>
        <v/>
      </c>
      <c r="AA517" s="20">
        <f>IF($Z517="C",$Y517,IF($Z517="A",$Y517-Settings!$B$4*3,IF($Z517="F",$Y517-(Settings!$B$4+Settings!$B$5)*3,"")))</f>
        <v/>
      </c>
      <c r="AB517" s="20">
        <f>IF($Z517="","",INT(($AA517-1)/3)+1)</f>
        <v/>
      </c>
      <c r="AC517" s="20">
        <f>IF($Z517="","",MOD($AA517-1,3)+1)</f>
        <v/>
      </c>
      <c r="AD517" s="20">
        <f>IF($Z517="","",Settings!$B$2+$AC517-1)</f>
        <v/>
      </c>
      <c r="AE517" s="21">
        <f>IF($Z517="C",DATE(YEAR(INDEX(Contracts!$J$2:$J$151,$AB517)),MONTH(INDEX(Contracts!$J$2:$J$151,$AB517)),1),IF($Z517="A",DATE(YEAR(INDEX(Fixed_Assets!$G$2:$G$201,$AB517)),MONTH(INDEX(Fixed_Assets!$G$2:$G$201,$AB517)),1),IF($Z517="F",DATE(YEAR(MAX(N(INDEX(Workforce!$I$2:$I$151,MATCH(INDEX(FTE_Allocation!$A$2:$A$201,$AB517),Workforce!$A$2:$A$151,0))),N(INDEX(FTE_Allocation!$I$2:$I$201,$AB517)))),MONTH(MAX(N(INDEX(Workforce!$I$2:$I$151,MATCH(INDEX(FTE_Allocation!$A$2:$A$201,$AB517),Workforce!$A$2:$A$151,0))),N(INDEX(FTE_Allocation!$I$2:$I$201,$AB517)))),1),"")))</f>
        <v/>
      </c>
      <c r="AF517" s="21">
        <f>IF($Z517="C",IF(INDEX(Contracts!$I$2:$I$151,$AB517)="PREPAID",EDATE(DATE(YEAR(INDEX(Contracts!$J$2:$J$151,$AB517)),MONTH(INDEX(Contracts!$J$2:$J$151,$AB517)),1),IF(INDEX(Contracts!$N$2:$N$151,$AB517)="",12,INDEX(Contracts!$N$2:$N$151,$AB517))-1),IF(INDEX(Contracts!$I$2:$I$151,$AB517)="MONTHLY",IF(INDEX(Contracts!$K$2:$K$151,$AB517)="",2958101,INDEX(Contracts!$K$2:$K$151,$AB517)),0)),IF($Z517="A",EDATE(DATE(YEAR(INDEX(Fixed_Assets!$G$2:$G$201,$AB517)),MONTH(INDEX(Fixed_Assets!$G$2:$G$201,$AB517)),1),INDEX(Fixed_Assets!$J$2:$J$201,$AB517)-1),IF($Z517="F",MIN(IF(INDEX(Workforce!$J$2:$J$151,MATCH(INDEX(FTE_Allocation!$A$2:$A$201,$AB517),Workforce!$A$2:$A$151,0))="",2958101,INDEX(Workforce!$J$2:$J$151,MATCH(INDEX(FTE_Allocation!$A$2:$A$201,$AB517),Workforce!$A$2:$A$151,0))),IF(INDEX(FTE_Allocation!$J$2:$J$201,$AB517)="",2958101,INDEX(FTE_Allocation!$J$2:$J$201,$AB517))),"")))</f>
        <v/>
      </c>
      <c r="AG517" s="19">
        <f>IF($Z517="C",IF(INDEX(Contracts!$I$2:$I$151,$AB517)="PREPAID",INDEX(Contracts!$M$2:$M$151,$AB517)/IF(INDEX(Contracts!$N$2:$N$151,$AB517)="",12,INDEX(Contracts!$N$2:$N$151,$AB517)),IF(INDEX(Contracts!$I$2:$I$151,$AB517)="MONTHLY",INDEX(Contracts!$M$2:$M$151,$AB517),0))*(1-N(INDEX(Contracts!$O$2:$O$151,$AB517))),IF($Z517="A",INDEX(Fixed_Assets!$H$2:$H$201,$AB517)/INDEX(Fixed_Assets!$J$2:$J$201,$AB517),IF($Z517="F",INDEX(Workforce!$F$2:$F$151,MATCH(INDEX(FTE_Allocation!$A$2:$A$201,$AB517),Workforce!$A$2:$A$151,0))*N(INDEX(FTE_Allocation!$F$2:$H$201,$AB517,$AC517)),"")))</f>
        <v/>
      </c>
    </row>
    <row r="518">
      <c r="A518" s="7">
        <f>IF($Z518="","",$AD518)</f>
        <v/>
      </c>
      <c r="B518" s="7">
        <f>IF($Z518="C",INDEX(Contracts!$D$2:$D$151,$AB518)&amp;"",IF($Z518="A",INDEX(Fixed_Assets!$C$2:$C$201,$AB518)&amp;"",IF($Z518="F",INDEX(Workforce!$B$2:$B$151,MATCH(INDEX(FTE_Allocation!$A$2:$A$201,$AB518),Workforce!$A$2:$A$151,0))&amp;"","")))</f>
        <v/>
      </c>
      <c r="C518" s="7">
        <f>IF($Z518="C",INDEX(Contracts!$E$2:$E$151,$AB518)&amp;"",IF($Z518="A",INDEX(Fixed_Assets!$D$2:$D$201,$AB518)&amp;"",IF($Z518="F",INDEX(FTE_Allocation!$C$2:$C$201,$AB518)&amp;"","")))</f>
        <v/>
      </c>
      <c r="D518" s="7">
        <f>IF($Z518="C",INDEX(Contracts!$B$2:$B$151,$AB518)&amp;"",IF($Z518="A",INDEX(Fixed_Assets!$B$2:$B$201,$AB518)&amp;"",IF($Z518="F",INDEX(FTE_Allocation!$B$2:$B$201,$AB518)&amp;"","")))</f>
        <v/>
      </c>
      <c r="E518" s="7">
        <f>IF($Z518="C",INDEX(Contracts!$P$2:$P$151,$AB518)&amp;"",IF($Z518="A",INDEX(Fixed_Assets!$K$2:$K$201,$AB518)&amp;"",IF($Z518="F",IF(INDEX(FTE_Allocation!$D$2:$D$201,$AB518)="PROJECT",IFERROR(INDEX(Projects!$D:$D,MATCH(INDEX(FTE_Allocation!$E$2:$E$201,$AB518),Projects!$A:$A,0))&amp;"","#PROJECT?"),INDEX(FTE_Allocation!$E$2:$E$201,$AB518)&amp;""),"")))</f>
        <v/>
      </c>
      <c r="F518" s="7">
        <f>IF($Z518="C",INDEX(Contracts!$Q$2:$Q$151,$AB518)&amp;"",IF($Z518="A",INDEX(Fixed_Assets!$L$2:$L$201,$AB518)&amp;"",IF($Z518="F",INDEX(Workforce!$K$2:$K$151,MATCH(INDEX(FTE_Allocation!$A$2:$A$201,$AB518),Workforce!$A$2:$A$151,0))&amp;"","")))</f>
        <v/>
      </c>
      <c r="G518" s="7">
        <f>IF($Z518="C",INDEX(Contracts!$F$2:$F$151,$AB518)&amp;" / "&amp;INDEX(Contracts!$G$2:$G$151,$AB518),IF($Z518="A",INDEX(Fixed_Assets!$E$2:$E$201,$AB518)&amp;"",IF($Z518="F","Personnel "&amp;INDEX(FTE_Allocation!$A$2:$A$201,$AB518)&amp;IF(INDEX(FTE_Allocation!$D$2:$D$201,$AB518)="PROJECT"," ("&amp;INDEX(FTE_Allocation!$E$2:$E$201,$AB518)&amp;")",""),"")))</f>
        <v/>
      </c>
      <c r="H518" s="7">
        <f>IF($Z518="C","CONTRACT",IF($Z518="A","ASSET",IF($Z518="F","WORKFORCE","")))</f>
        <v/>
      </c>
      <c r="I518" s="7">
        <f>IF($Z518="C",INDEX(Contracts!$L$2:$L$151,$AB518)&amp;"",IF($Z518="A",INDEX(Fixed_Assets!$I$2:$I$201,$AB518)&amp;"",IF($Z518="F",INDEX(Workforce!$G$2:$G$151,MATCH(INDEX(FTE_Allocation!$A$2:$A$201,$AB518),Workforce!$A$2:$A$151,0))&amp;"","")))</f>
        <v/>
      </c>
      <c r="J518" s="18">
        <f>IF($Z518="","",IF(AND(DATE($AD518,1,1)&gt;=$AE518,DATE($AD518,1,1)&lt;=$AF518),ROUND($AG518,2),0))</f>
        <v/>
      </c>
      <c r="K518" s="18">
        <f>IF($Z518="","",IF(AND(DATE($AD518,2,1)&gt;=$AE518,DATE($AD518,2,1)&lt;=$AF518),ROUND($AG518,2),0))</f>
        <v/>
      </c>
      <c r="L518" s="18">
        <f>IF($Z518="","",IF(AND(DATE($AD518,3,1)&gt;=$AE518,DATE($AD518,3,1)&lt;=$AF518),ROUND($AG518,2),0))</f>
        <v/>
      </c>
      <c r="M518" s="18">
        <f>IF($Z518="","",IF(AND(DATE($AD518,4,1)&gt;=$AE518,DATE($AD518,4,1)&lt;=$AF518),ROUND($AG518,2),0))</f>
        <v/>
      </c>
      <c r="N518" s="18">
        <f>IF($Z518="","",IF(AND(DATE($AD518,5,1)&gt;=$AE518,DATE($AD518,5,1)&lt;=$AF518),ROUND($AG518,2),0))</f>
        <v/>
      </c>
      <c r="O518" s="18">
        <f>IF($Z518="","",IF(AND(DATE($AD518,6,1)&gt;=$AE518,DATE($AD518,6,1)&lt;=$AF518),ROUND($AG518,2),0))</f>
        <v/>
      </c>
      <c r="P518" s="18">
        <f>IF($Z518="","",IF(AND(DATE($AD518,7,1)&gt;=$AE518,DATE($AD518,7,1)&lt;=$AF518),ROUND($AG518,2),0))</f>
        <v/>
      </c>
      <c r="Q518" s="18">
        <f>IF($Z518="","",IF(AND(DATE($AD518,8,1)&gt;=$AE518,DATE($AD518,8,1)&lt;=$AF518),ROUND($AG518,2),0))</f>
        <v/>
      </c>
      <c r="R518" s="18">
        <f>IF($Z518="","",IF(AND(DATE($AD518,9,1)&gt;=$AE518,DATE($AD518,9,1)&lt;=$AF518),ROUND($AG518,2),0))</f>
        <v/>
      </c>
      <c r="S518" s="18">
        <f>IF($Z518="","",IF(AND(DATE($AD518,10,1)&gt;=$AE518,DATE($AD518,10,1)&lt;=$AF518),ROUND($AG518,2),0))</f>
        <v/>
      </c>
      <c r="T518" s="18">
        <f>IF($Z518="","",IF(AND(DATE($AD518,11,1)&gt;=$AE518,DATE($AD518,11,1)&lt;=$AF518),ROUND($AG518,2),0))</f>
        <v/>
      </c>
      <c r="U518" s="18">
        <f>IF($Z518="","",IF(AND(DATE($AD518,12,1)&gt;=$AE518,DATE($AD518,12,1)&lt;=$AF518),ROUND($AG518,2),0))</f>
        <v/>
      </c>
      <c r="V518" s="7">
        <f>IF($Z518="C","Generated from "&amp;INDEX(Contracts!$A$2:$A$151,$AB518),IF($Z518="A","Generated from "&amp;INDEX(Fixed_Assets!$A$2:$A$201,$AB518),IF($Z518="F","Generated from "&amp;INDEX(FTE_Allocation!$A$2:$A$201,$AB518),"")))</f>
        <v/>
      </c>
      <c r="X518" s="19">
        <f>IF($Z518="","",SUM(J518:U518))</f>
        <v/>
      </c>
      <c r="Y518" s="20">
        <f>ROW()-1</f>
        <v/>
      </c>
      <c r="Z518" s="20">
        <f>IF($Y518&lt;=Settings!$B$4*3,"C",IF($Y518&lt;=(Settings!$B$4+Settings!$B$5)*3,"A",IF($Y518&lt;=(Settings!$B$4+Settings!$B$5+Settings!$B$6)*3,"F","")))</f>
        <v/>
      </c>
      <c r="AA518" s="20">
        <f>IF($Z518="C",$Y518,IF($Z518="A",$Y518-Settings!$B$4*3,IF($Z518="F",$Y518-(Settings!$B$4+Settings!$B$5)*3,"")))</f>
        <v/>
      </c>
      <c r="AB518" s="20">
        <f>IF($Z518="","",INT(($AA518-1)/3)+1)</f>
        <v/>
      </c>
      <c r="AC518" s="20">
        <f>IF($Z518="","",MOD($AA518-1,3)+1)</f>
        <v/>
      </c>
      <c r="AD518" s="20">
        <f>IF($Z518="","",Settings!$B$2+$AC518-1)</f>
        <v/>
      </c>
      <c r="AE518" s="21">
        <f>IF($Z518="C",DATE(YEAR(INDEX(Contracts!$J$2:$J$151,$AB518)),MONTH(INDEX(Contracts!$J$2:$J$151,$AB518)),1),IF($Z518="A",DATE(YEAR(INDEX(Fixed_Assets!$G$2:$G$201,$AB518)),MONTH(INDEX(Fixed_Assets!$G$2:$G$201,$AB518)),1),IF($Z518="F",DATE(YEAR(MAX(N(INDEX(Workforce!$I$2:$I$151,MATCH(INDEX(FTE_Allocation!$A$2:$A$201,$AB518),Workforce!$A$2:$A$151,0))),N(INDEX(FTE_Allocation!$I$2:$I$201,$AB518)))),MONTH(MAX(N(INDEX(Workforce!$I$2:$I$151,MATCH(INDEX(FTE_Allocation!$A$2:$A$201,$AB518),Workforce!$A$2:$A$151,0))),N(INDEX(FTE_Allocation!$I$2:$I$201,$AB518)))),1),"")))</f>
        <v/>
      </c>
      <c r="AF518" s="21">
        <f>IF($Z518="C",IF(INDEX(Contracts!$I$2:$I$151,$AB518)="PREPAID",EDATE(DATE(YEAR(INDEX(Contracts!$J$2:$J$151,$AB518)),MONTH(INDEX(Contracts!$J$2:$J$151,$AB518)),1),IF(INDEX(Contracts!$N$2:$N$151,$AB518)="",12,INDEX(Contracts!$N$2:$N$151,$AB518))-1),IF(INDEX(Contracts!$I$2:$I$151,$AB518)="MONTHLY",IF(INDEX(Contracts!$K$2:$K$151,$AB518)="",2958101,INDEX(Contracts!$K$2:$K$151,$AB518)),0)),IF($Z518="A",EDATE(DATE(YEAR(INDEX(Fixed_Assets!$G$2:$G$201,$AB518)),MONTH(INDEX(Fixed_Assets!$G$2:$G$201,$AB518)),1),INDEX(Fixed_Assets!$J$2:$J$201,$AB518)-1),IF($Z518="F",MIN(IF(INDEX(Workforce!$J$2:$J$151,MATCH(INDEX(FTE_Allocation!$A$2:$A$201,$AB518),Workforce!$A$2:$A$151,0))="",2958101,INDEX(Workforce!$J$2:$J$151,MATCH(INDEX(FTE_Allocation!$A$2:$A$201,$AB518),Workforce!$A$2:$A$151,0))),IF(INDEX(FTE_Allocation!$J$2:$J$201,$AB518)="",2958101,INDEX(FTE_Allocation!$J$2:$J$201,$AB518))),"")))</f>
        <v/>
      </c>
      <c r="AG518" s="19">
        <f>IF($Z518="C",IF(INDEX(Contracts!$I$2:$I$151,$AB518)="PREPAID",INDEX(Contracts!$M$2:$M$151,$AB518)/IF(INDEX(Contracts!$N$2:$N$151,$AB518)="",12,INDEX(Contracts!$N$2:$N$151,$AB518)),IF(INDEX(Contracts!$I$2:$I$151,$AB518)="MONTHLY",INDEX(Contracts!$M$2:$M$151,$AB518),0))*(1-N(INDEX(Contracts!$O$2:$O$151,$AB518))),IF($Z518="A",INDEX(Fixed_Assets!$H$2:$H$201,$AB518)/INDEX(Fixed_Assets!$J$2:$J$201,$AB518),IF($Z518="F",INDEX(Workforce!$F$2:$F$151,MATCH(INDEX(FTE_Allocation!$A$2:$A$201,$AB518),Workforce!$A$2:$A$151,0))*N(INDEX(FTE_Allocation!$F$2:$H$201,$AB518,$AC518)),"")))</f>
        <v/>
      </c>
    </row>
    <row r="519">
      <c r="A519" s="7">
        <f>IF($Z519="","",$AD519)</f>
        <v/>
      </c>
      <c r="B519" s="7">
        <f>IF($Z519="C",INDEX(Contracts!$D$2:$D$151,$AB519)&amp;"",IF($Z519="A",INDEX(Fixed_Assets!$C$2:$C$201,$AB519)&amp;"",IF($Z519="F",INDEX(Workforce!$B$2:$B$151,MATCH(INDEX(FTE_Allocation!$A$2:$A$201,$AB519),Workforce!$A$2:$A$151,0))&amp;"","")))</f>
        <v/>
      </c>
      <c r="C519" s="7">
        <f>IF($Z519="C",INDEX(Contracts!$E$2:$E$151,$AB519)&amp;"",IF($Z519="A",INDEX(Fixed_Assets!$D$2:$D$201,$AB519)&amp;"",IF($Z519="F",INDEX(FTE_Allocation!$C$2:$C$201,$AB519)&amp;"","")))</f>
        <v/>
      </c>
      <c r="D519" s="7">
        <f>IF($Z519="C",INDEX(Contracts!$B$2:$B$151,$AB519)&amp;"",IF($Z519="A",INDEX(Fixed_Assets!$B$2:$B$201,$AB519)&amp;"",IF($Z519="F",INDEX(FTE_Allocation!$B$2:$B$201,$AB519)&amp;"","")))</f>
        <v/>
      </c>
      <c r="E519" s="7">
        <f>IF($Z519="C",INDEX(Contracts!$P$2:$P$151,$AB519)&amp;"",IF($Z519="A",INDEX(Fixed_Assets!$K$2:$K$201,$AB519)&amp;"",IF($Z519="F",IF(INDEX(FTE_Allocation!$D$2:$D$201,$AB519)="PROJECT",IFERROR(INDEX(Projects!$D:$D,MATCH(INDEX(FTE_Allocation!$E$2:$E$201,$AB519),Projects!$A:$A,0))&amp;"","#PROJECT?"),INDEX(FTE_Allocation!$E$2:$E$201,$AB519)&amp;""),"")))</f>
        <v/>
      </c>
      <c r="F519" s="7">
        <f>IF($Z519="C",INDEX(Contracts!$Q$2:$Q$151,$AB519)&amp;"",IF($Z519="A",INDEX(Fixed_Assets!$L$2:$L$201,$AB519)&amp;"",IF($Z519="F",INDEX(Workforce!$K$2:$K$151,MATCH(INDEX(FTE_Allocation!$A$2:$A$201,$AB519),Workforce!$A$2:$A$151,0))&amp;"","")))</f>
        <v/>
      </c>
      <c r="G519" s="7">
        <f>IF($Z519="C",INDEX(Contracts!$F$2:$F$151,$AB519)&amp;" / "&amp;INDEX(Contracts!$G$2:$G$151,$AB519),IF($Z519="A",INDEX(Fixed_Assets!$E$2:$E$201,$AB519)&amp;"",IF($Z519="F","Personnel "&amp;INDEX(FTE_Allocation!$A$2:$A$201,$AB519)&amp;IF(INDEX(FTE_Allocation!$D$2:$D$201,$AB519)="PROJECT"," ("&amp;INDEX(FTE_Allocation!$E$2:$E$201,$AB519)&amp;")",""),"")))</f>
        <v/>
      </c>
      <c r="H519" s="7">
        <f>IF($Z519="C","CONTRACT",IF($Z519="A","ASSET",IF($Z519="F","WORKFORCE","")))</f>
        <v/>
      </c>
      <c r="I519" s="7">
        <f>IF($Z519="C",INDEX(Contracts!$L$2:$L$151,$AB519)&amp;"",IF($Z519="A",INDEX(Fixed_Assets!$I$2:$I$201,$AB519)&amp;"",IF($Z519="F",INDEX(Workforce!$G$2:$G$151,MATCH(INDEX(FTE_Allocation!$A$2:$A$201,$AB519),Workforce!$A$2:$A$151,0))&amp;"","")))</f>
        <v/>
      </c>
      <c r="J519" s="18">
        <f>IF($Z519="","",IF(AND(DATE($AD519,1,1)&gt;=$AE519,DATE($AD519,1,1)&lt;=$AF519),ROUND($AG519,2),0))</f>
        <v/>
      </c>
      <c r="K519" s="18">
        <f>IF($Z519="","",IF(AND(DATE($AD519,2,1)&gt;=$AE519,DATE($AD519,2,1)&lt;=$AF519),ROUND($AG519,2),0))</f>
        <v/>
      </c>
      <c r="L519" s="18">
        <f>IF($Z519="","",IF(AND(DATE($AD519,3,1)&gt;=$AE519,DATE($AD519,3,1)&lt;=$AF519),ROUND($AG519,2),0))</f>
        <v/>
      </c>
      <c r="M519" s="18">
        <f>IF($Z519="","",IF(AND(DATE($AD519,4,1)&gt;=$AE519,DATE($AD519,4,1)&lt;=$AF519),ROUND($AG519,2),0))</f>
        <v/>
      </c>
      <c r="N519" s="18">
        <f>IF($Z519="","",IF(AND(DATE($AD519,5,1)&gt;=$AE519,DATE($AD519,5,1)&lt;=$AF519),ROUND($AG519,2),0))</f>
        <v/>
      </c>
      <c r="O519" s="18">
        <f>IF($Z519="","",IF(AND(DATE($AD519,6,1)&gt;=$AE519,DATE($AD519,6,1)&lt;=$AF519),ROUND($AG519,2),0))</f>
        <v/>
      </c>
      <c r="P519" s="18">
        <f>IF($Z519="","",IF(AND(DATE($AD519,7,1)&gt;=$AE519,DATE($AD519,7,1)&lt;=$AF519),ROUND($AG519,2),0))</f>
        <v/>
      </c>
      <c r="Q519" s="18">
        <f>IF($Z519="","",IF(AND(DATE($AD519,8,1)&gt;=$AE519,DATE($AD519,8,1)&lt;=$AF519),ROUND($AG519,2),0))</f>
        <v/>
      </c>
      <c r="R519" s="18">
        <f>IF($Z519="","",IF(AND(DATE($AD519,9,1)&gt;=$AE519,DATE($AD519,9,1)&lt;=$AF519),ROUND($AG519,2),0))</f>
        <v/>
      </c>
      <c r="S519" s="18">
        <f>IF($Z519="","",IF(AND(DATE($AD519,10,1)&gt;=$AE519,DATE($AD519,10,1)&lt;=$AF519),ROUND($AG519,2),0))</f>
        <v/>
      </c>
      <c r="T519" s="18">
        <f>IF($Z519="","",IF(AND(DATE($AD519,11,1)&gt;=$AE519,DATE($AD519,11,1)&lt;=$AF519),ROUND($AG519,2),0))</f>
        <v/>
      </c>
      <c r="U519" s="18">
        <f>IF($Z519="","",IF(AND(DATE($AD519,12,1)&gt;=$AE519,DATE($AD519,12,1)&lt;=$AF519),ROUND($AG519,2),0))</f>
        <v/>
      </c>
      <c r="V519" s="7">
        <f>IF($Z519="C","Generated from "&amp;INDEX(Contracts!$A$2:$A$151,$AB519),IF($Z519="A","Generated from "&amp;INDEX(Fixed_Assets!$A$2:$A$201,$AB519),IF($Z519="F","Generated from "&amp;INDEX(FTE_Allocation!$A$2:$A$201,$AB519),"")))</f>
        <v/>
      </c>
      <c r="X519" s="19">
        <f>IF($Z519="","",SUM(J519:U519))</f>
        <v/>
      </c>
      <c r="Y519" s="20">
        <f>ROW()-1</f>
        <v/>
      </c>
      <c r="Z519" s="20">
        <f>IF($Y519&lt;=Settings!$B$4*3,"C",IF($Y519&lt;=(Settings!$B$4+Settings!$B$5)*3,"A",IF($Y519&lt;=(Settings!$B$4+Settings!$B$5+Settings!$B$6)*3,"F","")))</f>
        <v/>
      </c>
      <c r="AA519" s="20">
        <f>IF($Z519="C",$Y519,IF($Z519="A",$Y519-Settings!$B$4*3,IF($Z519="F",$Y519-(Settings!$B$4+Settings!$B$5)*3,"")))</f>
        <v/>
      </c>
      <c r="AB519" s="20">
        <f>IF($Z519="","",INT(($AA519-1)/3)+1)</f>
        <v/>
      </c>
      <c r="AC519" s="20">
        <f>IF($Z519="","",MOD($AA519-1,3)+1)</f>
        <v/>
      </c>
      <c r="AD519" s="20">
        <f>IF($Z519="","",Settings!$B$2+$AC519-1)</f>
        <v/>
      </c>
      <c r="AE519" s="21">
        <f>IF($Z519="C",DATE(YEAR(INDEX(Contracts!$J$2:$J$151,$AB519)),MONTH(INDEX(Contracts!$J$2:$J$151,$AB519)),1),IF($Z519="A",DATE(YEAR(INDEX(Fixed_Assets!$G$2:$G$201,$AB519)),MONTH(INDEX(Fixed_Assets!$G$2:$G$201,$AB519)),1),IF($Z519="F",DATE(YEAR(MAX(N(INDEX(Workforce!$I$2:$I$151,MATCH(INDEX(FTE_Allocation!$A$2:$A$201,$AB519),Workforce!$A$2:$A$151,0))),N(INDEX(FTE_Allocation!$I$2:$I$201,$AB519)))),MONTH(MAX(N(INDEX(Workforce!$I$2:$I$151,MATCH(INDEX(FTE_Allocation!$A$2:$A$201,$AB519),Workforce!$A$2:$A$151,0))),N(INDEX(FTE_Allocation!$I$2:$I$201,$AB519)))),1),"")))</f>
        <v/>
      </c>
      <c r="AF519" s="21">
        <f>IF($Z519="C",IF(INDEX(Contracts!$I$2:$I$151,$AB519)="PREPAID",EDATE(DATE(YEAR(INDEX(Contracts!$J$2:$J$151,$AB519)),MONTH(INDEX(Contracts!$J$2:$J$151,$AB519)),1),IF(INDEX(Contracts!$N$2:$N$151,$AB519)="",12,INDEX(Contracts!$N$2:$N$151,$AB519))-1),IF(INDEX(Contracts!$I$2:$I$151,$AB519)="MONTHLY",IF(INDEX(Contracts!$K$2:$K$151,$AB519)="",2958101,INDEX(Contracts!$K$2:$K$151,$AB519)),0)),IF($Z519="A",EDATE(DATE(YEAR(INDEX(Fixed_Assets!$G$2:$G$201,$AB519)),MONTH(INDEX(Fixed_Assets!$G$2:$G$201,$AB519)),1),INDEX(Fixed_Assets!$J$2:$J$201,$AB519)-1),IF($Z519="F",MIN(IF(INDEX(Workforce!$J$2:$J$151,MATCH(INDEX(FTE_Allocation!$A$2:$A$201,$AB519),Workforce!$A$2:$A$151,0))="",2958101,INDEX(Workforce!$J$2:$J$151,MATCH(INDEX(FTE_Allocation!$A$2:$A$201,$AB519),Workforce!$A$2:$A$151,0))),IF(INDEX(FTE_Allocation!$J$2:$J$201,$AB519)="",2958101,INDEX(FTE_Allocation!$J$2:$J$201,$AB519))),"")))</f>
        <v/>
      </c>
      <c r="AG519" s="19">
        <f>IF($Z519="C",IF(INDEX(Contracts!$I$2:$I$151,$AB519)="PREPAID",INDEX(Contracts!$M$2:$M$151,$AB519)/IF(INDEX(Contracts!$N$2:$N$151,$AB519)="",12,INDEX(Contracts!$N$2:$N$151,$AB519)),IF(INDEX(Contracts!$I$2:$I$151,$AB519)="MONTHLY",INDEX(Contracts!$M$2:$M$151,$AB519),0))*(1-N(INDEX(Contracts!$O$2:$O$151,$AB519))),IF($Z519="A",INDEX(Fixed_Assets!$H$2:$H$201,$AB519)/INDEX(Fixed_Assets!$J$2:$J$201,$AB519),IF($Z519="F",INDEX(Workforce!$F$2:$F$151,MATCH(INDEX(FTE_Allocation!$A$2:$A$201,$AB519),Workforce!$A$2:$A$151,0))*N(INDEX(FTE_Allocation!$F$2:$H$201,$AB519,$AC519)),"")))</f>
        <v/>
      </c>
    </row>
    <row r="520">
      <c r="A520" s="7">
        <f>IF($Z520="","",$AD520)</f>
        <v/>
      </c>
      <c r="B520" s="7">
        <f>IF($Z520="C",INDEX(Contracts!$D$2:$D$151,$AB520)&amp;"",IF($Z520="A",INDEX(Fixed_Assets!$C$2:$C$201,$AB520)&amp;"",IF($Z520="F",INDEX(Workforce!$B$2:$B$151,MATCH(INDEX(FTE_Allocation!$A$2:$A$201,$AB520),Workforce!$A$2:$A$151,0))&amp;"","")))</f>
        <v/>
      </c>
      <c r="C520" s="7">
        <f>IF($Z520="C",INDEX(Contracts!$E$2:$E$151,$AB520)&amp;"",IF($Z520="A",INDEX(Fixed_Assets!$D$2:$D$201,$AB520)&amp;"",IF($Z520="F",INDEX(FTE_Allocation!$C$2:$C$201,$AB520)&amp;"","")))</f>
        <v/>
      </c>
      <c r="D520" s="7">
        <f>IF($Z520="C",INDEX(Contracts!$B$2:$B$151,$AB520)&amp;"",IF($Z520="A",INDEX(Fixed_Assets!$B$2:$B$201,$AB520)&amp;"",IF($Z520="F",INDEX(FTE_Allocation!$B$2:$B$201,$AB520)&amp;"","")))</f>
        <v/>
      </c>
      <c r="E520" s="7">
        <f>IF($Z520="C",INDEX(Contracts!$P$2:$P$151,$AB520)&amp;"",IF($Z520="A",INDEX(Fixed_Assets!$K$2:$K$201,$AB520)&amp;"",IF($Z520="F",IF(INDEX(FTE_Allocation!$D$2:$D$201,$AB520)="PROJECT",IFERROR(INDEX(Projects!$D:$D,MATCH(INDEX(FTE_Allocation!$E$2:$E$201,$AB520),Projects!$A:$A,0))&amp;"","#PROJECT?"),INDEX(FTE_Allocation!$E$2:$E$201,$AB520)&amp;""),"")))</f>
        <v/>
      </c>
      <c r="F520" s="7">
        <f>IF($Z520="C",INDEX(Contracts!$Q$2:$Q$151,$AB520)&amp;"",IF($Z520="A",INDEX(Fixed_Assets!$L$2:$L$201,$AB520)&amp;"",IF($Z520="F",INDEX(Workforce!$K$2:$K$151,MATCH(INDEX(FTE_Allocation!$A$2:$A$201,$AB520),Workforce!$A$2:$A$151,0))&amp;"","")))</f>
        <v/>
      </c>
      <c r="G520" s="7">
        <f>IF($Z520="C",INDEX(Contracts!$F$2:$F$151,$AB520)&amp;" / "&amp;INDEX(Contracts!$G$2:$G$151,$AB520),IF($Z520="A",INDEX(Fixed_Assets!$E$2:$E$201,$AB520)&amp;"",IF($Z520="F","Personnel "&amp;INDEX(FTE_Allocation!$A$2:$A$201,$AB520)&amp;IF(INDEX(FTE_Allocation!$D$2:$D$201,$AB520)="PROJECT"," ("&amp;INDEX(FTE_Allocation!$E$2:$E$201,$AB520)&amp;")",""),"")))</f>
        <v/>
      </c>
      <c r="H520" s="7">
        <f>IF($Z520="C","CONTRACT",IF($Z520="A","ASSET",IF($Z520="F","WORKFORCE","")))</f>
        <v/>
      </c>
      <c r="I520" s="7">
        <f>IF($Z520="C",INDEX(Contracts!$L$2:$L$151,$AB520)&amp;"",IF($Z520="A",INDEX(Fixed_Assets!$I$2:$I$201,$AB520)&amp;"",IF($Z520="F",INDEX(Workforce!$G$2:$G$151,MATCH(INDEX(FTE_Allocation!$A$2:$A$201,$AB520),Workforce!$A$2:$A$151,0))&amp;"","")))</f>
        <v/>
      </c>
      <c r="J520" s="18">
        <f>IF($Z520="","",IF(AND(DATE($AD520,1,1)&gt;=$AE520,DATE($AD520,1,1)&lt;=$AF520),ROUND($AG520,2),0))</f>
        <v/>
      </c>
      <c r="K520" s="18">
        <f>IF($Z520="","",IF(AND(DATE($AD520,2,1)&gt;=$AE520,DATE($AD520,2,1)&lt;=$AF520),ROUND($AG520,2),0))</f>
        <v/>
      </c>
      <c r="L520" s="18">
        <f>IF($Z520="","",IF(AND(DATE($AD520,3,1)&gt;=$AE520,DATE($AD520,3,1)&lt;=$AF520),ROUND($AG520,2),0))</f>
        <v/>
      </c>
      <c r="M520" s="18">
        <f>IF($Z520="","",IF(AND(DATE($AD520,4,1)&gt;=$AE520,DATE($AD520,4,1)&lt;=$AF520),ROUND($AG520,2),0))</f>
        <v/>
      </c>
      <c r="N520" s="18">
        <f>IF($Z520="","",IF(AND(DATE($AD520,5,1)&gt;=$AE520,DATE($AD520,5,1)&lt;=$AF520),ROUND($AG520,2),0))</f>
        <v/>
      </c>
      <c r="O520" s="18">
        <f>IF($Z520="","",IF(AND(DATE($AD520,6,1)&gt;=$AE520,DATE($AD520,6,1)&lt;=$AF520),ROUND($AG520,2),0))</f>
        <v/>
      </c>
      <c r="P520" s="18">
        <f>IF($Z520="","",IF(AND(DATE($AD520,7,1)&gt;=$AE520,DATE($AD520,7,1)&lt;=$AF520),ROUND($AG520,2),0))</f>
        <v/>
      </c>
      <c r="Q520" s="18">
        <f>IF($Z520="","",IF(AND(DATE($AD520,8,1)&gt;=$AE520,DATE($AD520,8,1)&lt;=$AF520),ROUND($AG520,2),0))</f>
        <v/>
      </c>
      <c r="R520" s="18">
        <f>IF($Z520="","",IF(AND(DATE($AD520,9,1)&gt;=$AE520,DATE($AD520,9,1)&lt;=$AF520),ROUND($AG520,2),0))</f>
        <v/>
      </c>
      <c r="S520" s="18">
        <f>IF($Z520="","",IF(AND(DATE($AD520,10,1)&gt;=$AE520,DATE($AD520,10,1)&lt;=$AF520),ROUND($AG520,2),0))</f>
        <v/>
      </c>
      <c r="T520" s="18">
        <f>IF($Z520="","",IF(AND(DATE($AD520,11,1)&gt;=$AE520,DATE($AD520,11,1)&lt;=$AF520),ROUND($AG520,2),0))</f>
        <v/>
      </c>
      <c r="U520" s="18">
        <f>IF($Z520="","",IF(AND(DATE($AD520,12,1)&gt;=$AE520,DATE($AD520,12,1)&lt;=$AF520),ROUND($AG520,2),0))</f>
        <v/>
      </c>
      <c r="V520" s="7">
        <f>IF($Z520="C","Generated from "&amp;INDEX(Contracts!$A$2:$A$151,$AB520),IF($Z520="A","Generated from "&amp;INDEX(Fixed_Assets!$A$2:$A$201,$AB520),IF($Z520="F","Generated from "&amp;INDEX(FTE_Allocation!$A$2:$A$201,$AB520),"")))</f>
        <v/>
      </c>
      <c r="X520" s="19">
        <f>IF($Z520="","",SUM(J520:U520))</f>
        <v/>
      </c>
      <c r="Y520" s="20">
        <f>ROW()-1</f>
        <v/>
      </c>
      <c r="Z520" s="20">
        <f>IF($Y520&lt;=Settings!$B$4*3,"C",IF($Y520&lt;=(Settings!$B$4+Settings!$B$5)*3,"A",IF($Y520&lt;=(Settings!$B$4+Settings!$B$5+Settings!$B$6)*3,"F","")))</f>
        <v/>
      </c>
      <c r="AA520" s="20">
        <f>IF($Z520="C",$Y520,IF($Z520="A",$Y520-Settings!$B$4*3,IF($Z520="F",$Y520-(Settings!$B$4+Settings!$B$5)*3,"")))</f>
        <v/>
      </c>
      <c r="AB520" s="20">
        <f>IF($Z520="","",INT(($AA520-1)/3)+1)</f>
        <v/>
      </c>
      <c r="AC520" s="20">
        <f>IF($Z520="","",MOD($AA520-1,3)+1)</f>
        <v/>
      </c>
      <c r="AD520" s="20">
        <f>IF($Z520="","",Settings!$B$2+$AC520-1)</f>
        <v/>
      </c>
      <c r="AE520" s="21">
        <f>IF($Z520="C",DATE(YEAR(INDEX(Contracts!$J$2:$J$151,$AB520)),MONTH(INDEX(Contracts!$J$2:$J$151,$AB520)),1),IF($Z520="A",DATE(YEAR(INDEX(Fixed_Assets!$G$2:$G$201,$AB520)),MONTH(INDEX(Fixed_Assets!$G$2:$G$201,$AB520)),1),IF($Z520="F",DATE(YEAR(MAX(N(INDEX(Workforce!$I$2:$I$151,MATCH(INDEX(FTE_Allocation!$A$2:$A$201,$AB520),Workforce!$A$2:$A$151,0))),N(INDEX(FTE_Allocation!$I$2:$I$201,$AB520)))),MONTH(MAX(N(INDEX(Workforce!$I$2:$I$151,MATCH(INDEX(FTE_Allocation!$A$2:$A$201,$AB520),Workforce!$A$2:$A$151,0))),N(INDEX(FTE_Allocation!$I$2:$I$201,$AB520)))),1),"")))</f>
        <v/>
      </c>
      <c r="AF520" s="21">
        <f>IF($Z520="C",IF(INDEX(Contracts!$I$2:$I$151,$AB520)="PREPAID",EDATE(DATE(YEAR(INDEX(Contracts!$J$2:$J$151,$AB520)),MONTH(INDEX(Contracts!$J$2:$J$151,$AB520)),1),IF(INDEX(Contracts!$N$2:$N$151,$AB520)="",12,INDEX(Contracts!$N$2:$N$151,$AB520))-1),IF(INDEX(Contracts!$I$2:$I$151,$AB520)="MONTHLY",IF(INDEX(Contracts!$K$2:$K$151,$AB520)="",2958101,INDEX(Contracts!$K$2:$K$151,$AB520)),0)),IF($Z520="A",EDATE(DATE(YEAR(INDEX(Fixed_Assets!$G$2:$G$201,$AB520)),MONTH(INDEX(Fixed_Assets!$G$2:$G$201,$AB520)),1),INDEX(Fixed_Assets!$J$2:$J$201,$AB520)-1),IF($Z520="F",MIN(IF(INDEX(Workforce!$J$2:$J$151,MATCH(INDEX(FTE_Allocation!$A$2:$A$201,$AB520),Workforce!$A$2:$A$151,0))="",2958101,INDEX(Workforce!$J$2:$J$151,MATCH(INDEX(FTE_Allocation!$A$2:$A$201,$AB520),Workforce!$A$2:$A$151,0))),IF(INDEX(FTE_Allocation!$J$2:$J$201,$AB520)="",2958101,INDEX(FTE_Allocation!$J$2:$J$201,$AB520))),"")))</f>
        <v/>
      </c>
      <c r="AG520" s="19">
        <f>IF($Z520="C",IF(INDEX(Contracts!$I$2:$I$151,$AB520)="PREPAID",INDEX(Contracts!$M$2:$M$151,$AB520)/IF(INDEX(Contracts!$N$2:$N$151,$AB520)="",12,INDEX(Contracts!$N$2:$N$151,$AB520)),IF(INDEX(Contracts!$I$2:$I$151,$AB520)="MONTHLY",INDEX(Contracts!$M$2:$M$151,$AB520),0))*(1-N(INDEX(Contracts!$O$2:$O$151,$AB520))),IF($Z520="A",INDEX(Fixed_Assets!$H$2:$H$201,$AB520)/INDEX(Fixed_Assets!$J$2:$J$201,$AB520),IF($Z520="F",INDEX(Workforce!$F$2:$F$151,MATCH(INDEX(FTE_Allocation!$A$2:$A$201,$AB520),Workforce!$A$2:$A$151,0))*N(INDEX(FTE_Allocation!$F$2:$H$201,$AB520,$AC520)),"")))</f>
        <v/>
      </c>
    </row>
    <row r="521">
      <c r="A521" s="7">
        <f>IF($Z521="","",$AD521)</f>
        <v/>
      </c>
      <c r="B521" s="7">
        <f>IF($Z521="C",INDEX(Contracts!$D$2:$D$151,$AB521)&amp;"",IF($Z521="A",INDEX(Fixed_Assets!$C$2:$C$201,$AB521)&amp;"",IF($Z521="F",INDEX(Workforce!$B$2:$B$151,MATCH(INDEX(FTE_Allocation!$A$2:$A$201,$AB521),Workforce!$A$2:$A$151,0))&amp;"","")))</f>
        <v/>
      </c>
      <c r="C521" s="7">
        <f>IF($Z521="C",INDEX(Contracts!$E$2:$E$151,$AB521)&amp;"",IF($Z521="A",INDEX(Fixed_Assets!$D$2:$D$201,$AB521)&amp;"",IF($Z521="F",INDEX(FTE_Allocation!$C$2:$C$201,$AB521)&amp;"","")))</f>
        <v/>
      </c>
      <c r="D521" s="7">
        <f>IF($Z521="C",INDEX(Contracts!$B$2:$B$151,$AB521)&amp;"",IF($Z521="A",INDEX(Fixed_Assets!$B$2:$B$201,$AB521)&amp;"",IF($Z521="F",INDEX(FTE_Allocation!$B$2:$B$201,$AB521)&amp;"","")))</f>
        <v/>
      </c>
      <c r="E521" s="7">
        <f>IF($Z521="C",INDEX(Contracts!$P$2:$P$151,$AB521)&amp;"",IF($Z521="A",INDEX(Fixed_Assets!$K$2:$K$201,$AB521)&amp;"",IF($Z521="F",IF(INDEX(FTE_Allocation!$D$2:$D$201,$AB521)="PROJECT",IFERROR(INDEX(Projects!$D:$D,MATCH(INDEX(FTE_Allocation!$E$2:$E$201,$AB521),Projects!$A:$A,0))&amp;"","#PROJECT?"),INDEX(FTE_Allocation!$E$2:$E$201,$AB521)&amp;""),"")))</f>
        <v/>
      </c>
      <c r="F521" s="7">
        <f>IF($Z521="C",INDEX(Contracts!$Q$2:$Q$151,$AB521)&amp;"",IF($Z521="A",INDEX(Fixed_Assets!$L$2:$L$201,$AB521)&amp;"",IF($Z521="F",INDEX(Workforce!$K$2:$K$151,MATCH(INDEX(FTE_Allocation!$A$2:$A$201,$AB521),Workforce!$A$2:$A$151,0))&amp;"","")))</f>
        <v/>
      </c>
      <c r="G521" s="7">
        <f>IF($Z521="C",INDEX(Contracts!$F$2:$F$151,$AB521)&amp;" / "&amp;INDEX(Contracts!$G$2:$G$151,$AB521),IF($Z521="A",INDEX(Fixed_Assets!$E$2:$E$201,$AB521)&amp;"",IF($Z521="F","Personnel "&amp;INDEX(FTE_Allocation!$A$2:$A$201,$AB521)&amp;IF(INDEX(FTE_Allocation!$D$2:$D$201,$AB521)="PROJECT"," ("&amp;INDEX(FTE_Allocation!$E$2:$E$201,$AB521)&amp;")",""),"")))</f>
        <v/>
      </c>
      <c r="H521" s="7">
        <f>IF($Z521="C","CONTRACT",IF($Z521="A","ASSET",IF($Z521="F","WORKFORCE","")))</f>
        <v/>
      </c>
      <c r="I521" s="7">
        <f>IF($Z521="C",INDEX(Contracts!$L$2:$L$151,$AB521)&amp;"",IF($Z521="A",INDEX(Fixed_Assets!$I$2:$I$201,$AB521)&amp;"",IF($Z521="F",INDEX(Workforce!$G$2:$G$151,MATCH(INDEX(FTE_Allocation!$A$2:$A$201,$AB521),Workforce!$A$2:$A$151,0))&amp;"","")))</f>
        <v/>
      </c>
      <c r="J521" s="18">
        <f>IF($Z521="","",IF(AND(DATE($AD521,1,1)&gt;=$AE521,DATE($AD521,1,1)&lt;=$AF521),ROUND($AG521,2),0))</f>
        <v/>
      </c>
      <c r="K521" s="18">
        <f>IF($Z521="","",IF(AND(DATE($AD521,2,1)&gt;=$AE521,DATE($AD521,2,1)&lt;=$AF521),ROUND($AG521,2),0))</f>
        <v/>
      </c>
      <c r="L521" s="18">
        <f>IF($Z521="","",IF(AND(DATE($AD521,3,1)&gt;=$AE521,DATE($AD521,3,1)&lt;=$AF521),ROUND($AG521,2),0))</f>
        <v/>
      </c>
      <c r="M521" s="18">
        <f>IF($Z521="","",IF(AND(DATE($AD521,4,1)&gt;=$AE521,DATE($AD521,4,1)&lt;=$AF521),ROUND($AG521,2),0))</f>
        <v/>
      </c>
      <c r="N521" s="18">
        <f>IF($Z521="","",IF(AND(DATE($AD521,5,1)&gt;=$AE521,DATE($AD521,5,1)&lt;=$AF521),ROUND($AG521,2),0))</f>
        <v/>
      </c>
      <c r="O521" s="18">
        <f>IF($Z521="","",IF(AND(DATE($AD521,6,1)&gt;=$AE521,DATE($AD521,6,1)&lt;=$AF521),ROUND($AG521,2),0))</f>
        <v/>
      </c>
      <c r="P521" s="18">
        <f>IF($Z521="","",IF(AND(DATE($AD521,7,1)&gt;=$AE521,DATE($AD521,7,1)&lt;=$AF521),ROUND($AG521,2),0))</f>
        <v/>
      </c>
      <c r="Q521" s="18">
        <f>IF($Z521="","",IF(AND(DATE($AD521,8,1)&gt;=$AE521,DATE($AD521,8,1)&lt;=$AF521),ROUND($AG521,2),0))</f>
        <v/>
      </c>
      <c r="R521" s="18">
        <f>IF($Z521="","",IF(AND(DATE($AD521,9,1)&gt;=$AE521,DATE($AD521,9,1)&lt;=$AF521),ROUND($AG521,2),0))</f>
        <v/>
      </c>
      <c r="S521" s="18">
        <f>IF($Z521="","",IF(AND(DATE($AD521,10,1)&gt;=$AE521,DATE($AD521,10,1)&lt;=$AF521),ROUND($AG521,2),0))</f>
        <v/>
      </c>
      <c r="T521" s="18">
        <f>IF($Z521="","",IF(AND(DATE($AD521,11,1)&gt;=$AE521,DATE($AD521,11,1)&lt;=$AF521),ROUND($AG521,2),0))</f>
        <v/>
      </c>
      <c r="U521" s="18">
        <f>IF($Z521="","",IF(AND(DATE($AD521,12,1)&gt;=$AE521,DATE($AD521,12,1)&lt;=$AF521),ROUND($AG521,2),0))</f>
        <v/>
      </c>
      <c r="V521" s="7">
        <f>IF($Z521="C","Generated from "&amp;INDEX(Contracts!$A$2:$A$151,$AB521),IF($Z521="A","Generated from "&amp;INDEX(Fixed_Assets!$A$2:$A$201,$AB521),IF($Z521="F","Generated from "&amp;INDEX(FTE_Allocation!$A$2:$A$201,$AB521),"")))</f>
        <v/>
      </c>
      <c r="X521" s="19">
        <f>IF($Z521="","",SUM(J521:U521))</f>
        <v/>
      </c>
      <c r="Y521" s="20">
        <f>ROW()-1</f>
        <v/>
      </c>
      <c r="Z521" s="20">
        <f>IF($Y521&lt;=Settings!$B$4*3,"C",IF($Y521&lt;=(Settings!$B$4+Settings!$B$5)*3,"A",IF($Y521&lt;=(Settings!$B$4+Settings!$B$5+Settings!$B$6)*3,"F","")))</f>
        <v/>
      </c>
      <c r="AA521" s="20">
        <f>IF($Z521="C",$Y521,IF($Z521="A",$Y521-Settings!$B$4*3,IF($Z521="F",$Y521-(Settings!$B$4+Settings!$B$5)*3,"")))</f>
        <v/>
      </c>
      <c r="AB521" s="20">
        <f>IF($Z521="","",INT(($AA521-1)/3)+1)</f>
        <v/>
      </c>
      <c r="AC521" s="20">
        <f>IF($Z521="","",MOD($AA521-1,3)+1)</f>
        <v/>
      </c>
      <c r="AD521" s="20">
        <f>IF($Z521="","",Settings!$B$2+$AC521-1)</f>
        <v/>
      </c>
      <c r="AE521" s="21">
        <f>IF($Z521="C",DATE(YEAR(INDEX(Contracts!$J$2:$J$151,$AB521)),MONTH(INDEX(Contracts!$J$2:$J$151,$AB521)),1),IF($Z521="A",DATE(YEAR(INDEX(Fixed_Assets!$G$2:$G$201,$AB521)),MONTH(INDEX(Fixed_Assets!$G$2:$G$201,$AB521)),1),IF($Z521="F",DATE(YEAR(MAX(N(INDEX(Workforce!$I$2:$I$151,MATCH(INDEX(FTE_Allocation!$A$2:$A$201,$AB521),Workforce!$A$2:$A$151,0))),N(INDEX(FTE_Allocation!$I$2:$I$201,$AB521)))),MONTH(MAX(N(INDEX(Workforce!$I$2:$I$151,MATCH(INDEX(FTE_Allocation!$A$2:$A$201,$AB521),Workforce!$A$2:$A$151,0))),N(INDEX(FTE_Allocation!$I$2:$I$201,$AB521)))),1),"")))</f>
        <v/>
      </c>
      <c r="AF521" s="21">
        <f>IF($Z521="C",IF(INDEX(Contracts!$I$2:$I$151,$AB521)="PREPAID",EDATE(DATE(YEAR(INDEX(Contracts!$J$2:$J$151,$AB521)),MONTH(INDEX(Contracts!$J$2:$J$151,$AB521)),1),IF(INDEX(Contracts!$N$2:$N$151,$AB521)="",12,INDEX(Contracts!$N$2:$N$151,$AB521))-1),IF(INDEX(Contracts!$I$2:$I$151,$AB521)="MONTHLY",IF(INDEX(Contracts!$K$2:$K$151,$AB521)="",2958101,INDEX(Contracts!$K$2:$K$151,$AB521)),0)),IF($Z521="A",EDATE(DATE(YEAR(INDEX(Fixed_Assets!$G$2:$G$201,$AB521)),MONTH(INDEX(Fixed_Assets!$G$2:$G$201,$AB521)),1),INDEX(Fixed_Assets!$J$2:$J$201,$AB521)-1),IF($Z521="F",MIN(IF(INDEX(Workforce!$J$2:$J$151,MATCH(INDEX(FTE_Allocation!$A$2:$A$201,$AB521),Workforce!$A$2:$A$151,0))="",2958101,INDEX(Workforce!$J$2:$J$151,MATCH(INDEX(FTE_Allocation!$A$2:$A$201,$AB521),Workforce!$A$2:$A$151,0))),IF(INDEX(FTE_Allocation!$J$2:$J$201,$AB521)="",2958101,INDEX(FTE_Allocation!$J$2:$J$201,$AB521))),"")))</f>
        <v/>
      </c>
      <c r="AG521" s="19">
        <f>IF($Z521="C",IF(INDEX(Contracts!$I$2:$I$151,$AB521)="PREPAID",INDEX(Contracts!$M$2:$M$151,$AB521)/IF(INDEX(Contracts!$N$2:$N$151,$AB521)="",12,INDEX(Contracts!$N$2:$N$151,$AB521)),IF(INDEX(Contracts!$I$2:$I$151,$AB521)="MONTHLY",INDEX(Contracts!$M$2:$M$151,$AB521),0))*(1-N(INDEX(Contracts!$O$2:$O$151,$AB521))),IF($Z521="A",INDEX(Fixed_Assets!$H$2:$H$201,$AB521)/INDEX(Fixed_Assets!$J$2:$J$201,$AB521),IF($Z521="F",INDEX(Workforce!$F$2:$F$151,MATCH(INDEX(FTE_Allocation!$A$2:$A$201,$AB521),Workforce!$A$2:$A$151,0))*N(INDEX(FTE_Allocation!$F$2:$H$201,$AB521,$AC521)),"")))</f>
        <v/>
      </c>
    </row>
    <row r="522">
      <c r="A522" s="7">
        <f>IF($Z522="","",$AD522)</f>
        <v/>
      </c>
      <c r="B522" s="7">
        <f>IF($Z522="C",INDEX(Contracts!$D$2:$D$151,$AB522)&amp;"",IF($Z522="A",INDEX(Fixed_Assets!$C$2:$C$201,$AB522)&amp;"",IF($Z522="F",INDEX(Workforce!$B$2:$B$151,MATCH(INDEX(FTE_Allocation!$A$2:$A$201,$AB522),Workforce!$A$2:$A$151,0))&amp;"","")))</f>
        <v/>
      </c>
      <c r="C522" s="7">
        <f>IF($Z522="C",INDEX(Contracts!$E$2:$E$151,$AB522)&amp;"",IF($Z522="A",INDEX(Fixed_Assets!$D$2:$D$201,$AB522)&amp;"",IF($Z522="F",INDEX(FTE_Allocation!$C$2:$C$201,$AB522)&amp;"","")))</f>
        <v/>
      </c>
      <c r="D522" s="7">
        <f>IF($Z522="C",INDEX(Contracts!$B$2:$B$151,$AB522)&amp;"",IF($Z522="A",INDEX(Fixed_Assets!$B$2:$B$201,$AB522)&amp;"",IF($Z522="F",INDEX(FTE_Allocation!$B$2:$B$201,$AB522)&amp;"","")))</f>
        <v/>
      </c>
      <c r="E522" s="7">
        <f>IF($Z522="C",INDEX(Contracts!$P$2:$P$151,$AB522)&amp;"",IF($Z522="A",INDEX(Fixed_Assets!$K$2:$K$201,$AB522)&amp;"",IF($Z522="F",IF(INDEX(FTE_Allocation!$D$2:$D$201,$AB522)="PROJECT",IFERROR(INDEX(Projects!$D:$D,MATCH(INDEX(FTE_Allocation!$E$2:$E$201,$AB522),Projects!$A:$A,0))&amp;"","#PROJECT?"),INDEX(FTE_Allocation!$E$2:$E$201,$AB522)&amp;""),"")))</f>
        <v/>
      </c>
      <c r="F522" s="7">
        <f>IF($Z522="C",INDEX(Contracts!$Q$2:$Q$151,$AB522)&amp;"",IF($Z522="A",INDEX(Fixed_Assets!$L$2:$L$201,$AB522)&amp;"",IF($Z522="F",INDEX(Workforce!$K$2:$K$151,MATCH(INDEX(FTE_Allocation!$A$2:$A$201,$AB522),Workforce!$A$2:$A$151,0))&amp;"","")))</f>
        <v/>
      </c>
      <c r="G522" s="7">
        <f>IF($Z522="C",INDEX(Contracts!$F$2:$F$151,$AB522)&amp;" / "&amp;INDEX(Contracts!$G$2:$G$151,$AB522),IF($Z522="A",INDEX(Fixed_Assets!$E$2:$E$201,$AB522)&amp;"",IF($Z522="F","Personnel "&amp;INDEX(FTE_Allocation!$A$2:$A$201,$AB522)&amp;IF(INDEX(FTE_Allocation!$D$2:$D$201,$AB522)="PROJECT"," ("&amp;INDEX(FTE_Allocation!$E$2:$E$201,$AB522)&amp;")",""),"")))</f>
        <v/>
      </c>
      <c r="H522" s="7">
        <f>IF($Z522="C","CONTRACT",IF($Z522="A","ASSET",IF($Z522="F","WORKFORCE","")))</f>
        <v/>
      </c>
      <c r="I522" s="7">
        <f>IF($Z522="C",INDEX(Contracts!$L$2:$L$151,$AB522)&amp;"",IF($Z522="A",INDEX(Fixed_Assets!$I$2:$I$201,$AB522)&amp;"",IF($Z522="F",INDEX(Workforce!$G$2:$G$151,MATCH(INDEX(FTE_Allocation!$A$2:$A$201,$AB522),Workforce!$A$2:$A$151,0))&amp;"","")))</f>
        <v/>
      </c>
      <c r="J522" s="18">
        <f>IF($Z522="","",IF(AND(DATE($AD522,1,1)&gt;=$AE522,DATE($AD522,1,1)&lt;=$AF522),ROUND($AG522,2),0))</f>
        <v/>
      </c>
      <c r="K522" s="18">
        <f>IF($Z522="","",IF(AND(DATE($AD522,2,1)&gt;=$AE522,DATE($AD522,2,1)&lt;=$AF522),ROUND($AG522,2),0))</f>
        <v/>
      </c>
      <c r="L522" s="18">
        <f>IF($Z522="","",IF(AND(DATE($AD522,3,1)&gt;=$AE522,DATE($AD522,3,1)&lt;=$AF522),ROUND($AG522,2),0))</f>
        <v/>
      </c>
      <c r="M522" s="18">
        <f>IF($Z522="","",IF(AND(DATE($AD522,4,1)&gt;=$AE522,DATE($AD522,4,1)&lt;=$AF522),ROUND($AG522,2),0))</f>
        <v/>
      </c>
      <c r="N522" s="18">
        <f>IF($Z522="","",IF(AND(DATE($AD522,5,1)&gt;=$AE522,DATE($AD522,5,1)&lt;=$AF522),ROUND($AG522,2),0))</f>
        <v/>
      </c>
      <c r="O522" s="18">
        <f>IF($Z522="","",IF(AND(DATE($AD522,6,1)&gt;=$AE522,DATE($AD522,6,1)&lt;=$AF522),ROUND($AG522,2),0))</f>
        <v/>
      </c>
      <c r="P522" s="18">
        <f>IF($Z522="","",IF(AND(DATE($AD522,7,1)&gt;=$AE522,DATE($AD522,7,1)&lt;=$AF522),ROUND($AG522,2),0))</f>
        <v/>
      </c>
      <c r="Q522" s="18">
        <f>IF($Z522="","",IF(AND(DATE($AD522,8,1)&gt;=$AE522,DATE($AD522,8,1)&lt;=$AF522),ROUND($AG522,2),0))</f>
        <v/>
      </c>
      <c r="R522" s="18">
        <f>IF($Z522="","",IF(AND(DATE($AD522,9,1)&gt;=$AE522,DATE($AD522,9,1)&lt;=$AF522),ROUND($AG522,2),0))</f>
        <v/>
      </c>
      <c r="S522" s="18">
        <f>IF($Z522="","",IF(AND(DATE($AD522,10,1)&gt;=$AE522,DATE($AD522,10,1)&lt;=$AF522),ROUND($AG522,2),0))</f>
        <v/>
      </c>
      <c r="T522" s="18">
        <f>IF($Z522="","",IF(AND(DATE($AD522,11,1)&gt;=$AE522,DATE($AD522,11,1)&lt;=$AF522),ROUND($AG522,2),0))</f>
        <v/>
      </c>
      <c r="U522" s="18">
        <f>IF($Z522="","",IF(AND(DATE($AD522,12,1)&gt;=$AE522,DATE($AD522,12,1)&lt;=$AF522),ROUND($AG522,2),0))</f>
        <v/>
      </c>
      <c r="V522" s="7">
        <f>IF($Z522="C","Generated from "&amp;INDEX(Contracts!$A$2:$A$151,$AB522),IF($Z522="A","Generated from "&amp;INDEX(Fixed_Assets!$A$2:$A$201,$AB522),IF($Z522="F","Generated from "&amp;INDEX(FTE_Allocation!$A$2:$A$201,$AB522),"")))</f>
        <v/>
      </c>
      <c r="X522" s="19">
        <f>IF($Z522="","",SUM(J522:U522))</f>
        <v/>
      </c>
      <c r="Y522" s="20">
        <f>ROW()-1</f>
        <v/>
      </c>
      <c r="Z522" s="20">
        <f>IF($Y522&lt;=Settings!$B$4*3,"C",IF($Y522&lt;=(Settings!$B$4+Settings!$B$5)*3,"A",IF($Y522&lt;=(Settings!$B$4+Settings!$B$5+Settings!$B$6)*3,"F","")))</f>
        <v/>
      </c>
      <c r="AA522" s="20">
        <f>IF($Z522="C",$Y522,IF($Z522="A",$Y522-Settings!$B$4*3,IF($Z522="F",$Y522-(Settings!$B$4+Settings!$B$5)*3,"")))</f>
        <v/>
      </c>
      <c r="AB522" s="20">
        <f>IF($Z522="","",INT(($AA522-1)/3)+1)</f>
        <v/>
      </c>
      <c r="AC522" s="20">
        <f>IF($Z522="","",MOD($AA522-1,3)+1)</f>
        <v/>
      </c>
      <c r="AD522" s="20">
        <f>IF($Z522="","",Settings!$B$2+$AC522-1)</f>
        <v/>
      </c>
      <c r="AE522" s="21">
        <f>IF($Z522="C",DATE(YEAR(INDEX(Contracts!$J$2:$J$151,$AB522)),MONTH(INDEX(Contracts!$J$2:$J$151,$AB522)),1),IF($Z522="A",DATE(YEAR(INDEX(Fixed_Assets!$G$2:$G$201,$AB522)),MONTH(INDEX(Fixed_Assets!$G$2:$G$201,$AB522)),1),IF($Z522="F",DATE(YEAR(MAX(N(INDEX(Workforce!$I$2:$I$151,MATCH(INDEX(FTE_Allocation!$A$2:$A$201,$AB522),Workforce!$A$2:$A$151,0))),N(INDEX(FTE_Allocation!$I$2:$I$201,$AB522)))),MONTH(MAX(N(INDEX(Workforce!$I$2:$I$151,MATCH(INDEX(FTE_Allocation!$A$2:$A$201,$AB522),Workforce!$A$2:$A$151,0))),N(INDEX(FTE_Allocation!$I$2:$I$201,$AB522)))),1),"")))</f>
        <v/>
      </c>
      <c r="AF522" s="21">
        <f>IF($Z522="C",IF(INDEX(Contracts!$I$2:$I$151,$AB522)="PREPAID",EDATE(DATE(YEAR(INDEX(Contracts!$J$2:$J$151,$AB522)),MONTH(INDEX(Contracts!$J$2:$J$151,$AB522)),1),IF(INDEX(Contracts!$N$2:$N$151,$AB522)="",12,INDEX(Contracts!$N$2:$N$151,$AB522))-1),IF(INDEX(Contracts!$I$2:$I$151,$AB522)="MONTHLY",IF(INDEX(Contracts!$K$2:$K$151,$AB522)="",2958101,INDEX(Contracts!$K$2:$K$151,$AB522)),0)),IF($Z522="A",EDATE(DATE(YEAR(INDEX(Fixed_Assets!$G$2:$G$201,$AB522)),MONTH(INDEX(Fixed_Assets!$G$2:$G$201,$AB522)),1),INDEX(Fixed_Assets!$J$2:$J$201,$AB522)-1),IF($Z522="F",MIN(IF(INDEX(Workforce!$J$2:$J$151,MATCH(INDEX(FTE_Allocation!$A$2:$A$201,$AB522),Workforce!$A$2:$A$151,0))="",2958101,INDEX(Workforce!$J$2:$J$151,MATCH(INDEX(FTE_Allocation!$A$2:$A$201,$AB522),Workforce!$A$2:$A$151,0))),IF(INDEX(FTE_Allocation!$J$2:$J$201,$AB522)="",2958101,INDEX(FTE_Allocation!$J$2:$J$201,$AB522))),"")))</f>
        <v/>
      </c>
      <c r="AG522" s="19">
        <f>IF($Z522="C",IF(INDEX(Contracts!$I$2:$I$151,$AB522)="PREPAID",INDEX(Contracts!$M$2:$M$151,$AB522)/IF(INDEX(Contracts!$N$2:$N$151,$AB522)="",12,INDEX(Contracts!$N$2:$N$151,$AB522)),IF(INDEX(Contracts!$I$2:$I$151,$AB522)="MONTHLY",INDEX(Contracts!$M$2:$M$151,$AB522),0))*(1-N(INDEX(Contracts!$O$2:$O$151,$AB522))),IF($Z522="A",INDEX(Fixed_Assets!$H$2:$H$201,$AB522)/INDEX(Fixed_Assets!$J$2:$J$201,$AB522),IF($Z522="F",INDEX(Workforce!$F$2:$F$151,MATCH(INDEX(FTE_Allocation!$A$2:$A$201,$AB522),Workforce!$A$2:$A$151,0))*N(INDEX(FTE_Allocation!$F$2:$H$201,$AB522,$AC522)),"")))</f>
        <v/>
      </c>
    </row>
    <row r="523">
      <c r="A523" s="7">
        <f>IF($Z523="","",$AD523)</f>
        <v/>
      </c>
      <c r="B523" s="7">
        <f>IF($Z523="C",INDEX(Contracts!$D$2:$D$151,$AB523)&amp;"",IF($Z523="A",INDEX(Fixed_Assets!$C$2:$C$201,$AB523)&amp;"",IF($Z523="F",INDEX(Workforce!$B$2:$B$151,MATCH(INDEX(FTE_Allocation!$A$2:$A$201,$AB523),Workforce!$A$2:$A$151,0))&amp;"","")))</f>
        <v/>
      </c>
      <c r="C523" s="7">
        <f>IF($Z523="C",INDEX(Contracts!$E$2:$E$151,$AB523)&amp;"",IF($Z523="A",INDEX(Fixed_Assets!$D$2:$D$201,$AB523)&amp;"",IF($Z523="F",INDEX(FTE_Allocation!$C$2:$C$201,$AB523)&amp;"","")))</f>
        <v/>
      </c>
      <c r="D523" s="7">
        <f>IF($Z523="C",INDEX(Contracts!$B$2:$B$151,$AB523)&amp;"",IF($Z523="A",INDEX(Fixed_Assets!$B$2:$B$201,$AB523)&amp;"",IF($Z523="F",INDEX(FTE_Allocation!$B$2:$B$201,$AB523)&amp;"","")))</f>
        <v/>
      </c>
      <c r="E523" s="7">
        <f>IF($Z523="C",INDEX(Contracts!$P$2:$P$151,$AB523)&amp;"",IF($Z523="A",INDEX(Fixed_Assets!$K$2:$K$201,$AB523)&amp;"",IF($Z523="F",IF(INDEX(FTE_Allocation!$D$2:$D$201,$AB523)="PROJECT",IFERROR(INDEX(Projects!$D:$D,MATCH(INDEX(FTE_Allocation!$E$2:$E$201,$AB523),Projects!$A:$A,0))&amp;"","#PROJECT?"),INDEX(FTE_Allocation!$E$2:$E$201,$AB523)&amp;""),"")))</f>
        <v/>
      </c>
      <c r="F523" s="7">
        <f>IF($Z523="C",INDEX(Contracts!$Q$2:$Q$151,$AB523)&amp;"",IF($Z523="A",INDEX(Fixed_Assets!$L$2:$L$201,$AB523)&amp;"",IF($Z523="F",INDEX(Workforce!$K$2:$K$151,MATCH(INDEX(FTE_Allocation!$A$2:$A$201,$AB523),Workforce!$A$2:$A$151,0))&amp;"","")))</f>
        <v/>
      </c>
      <c r="G523" s="7">
        <f>IF($Z523="C",INDEX(Contracts!$F$2:$F$151,$AB523)&amp;" / "&amp;INDEX(Contracts!$G$2:$G$151,$AB523),IF($Z523="A",INDEX(Fixed_Assets!$E$2:$E$201,$AB523)&amp;"",IF($Z523="F","Personnel "&amp;INDEX(FTE_Allocation!$A$2:$A$201,$AB523)&amp;IF(INDEX(FTE_Allocation!$D$2:$D$201,$AB523)="PROJECT"," ("&amp;INDEX(FTE_Allocation!$E$2:$E$201,$AB523)&amp;")",""),"")))</f>
        <v/>
      </c>
      <c r="H523" s="7">
        <f>IF($Z523="C","CONTRACT",IF($Z523="A","ASSET",IF($Z523="F","WORKFORCE","")))</f>
        <v/>
      </c>
      <c r="I523" s="7">
        <f>IF($Z523="C",INDEX(Contracts!$L$2:$L$151,$AB523)&amp;"",IF($Z523="A",INDEX(Fixed_Assets!$I$2:$I$201,$AB523)&amp;"",IF($Z523="F",INDEX(Workforce!$G$2:$G$151,MATCH(INDEX(FTE_Allocation!$A$2:$A$201,$AB523),Workforce!$A$2:$A$151,0))&amp;"","")))</f>
        <v/>
      </c>
      <c r="J523" s="18">
        <f>IF($Z523="","",IF(AND(DATE($AD523,1,1)&gt;=$AE523,DATE($AD523,1,1)&lt;=$AF523),ROUND($AG523,2),0))</f>
        <v/>
      </c>
      <c r="K523" s="18">
        <f>IF($Z523="","",IF(AND(DATE($AD523,2,1)&gt;=$AE523,DATE($AD523,2,1)&lt;=$AF523),ROUND($AG523,2),0))</f>
        <v/>
      </c>
      <c r="L523" s="18">
        <f>IF($Z523="","",IF(AND(DATE($AD523,3,1)&gt;=$AE523,DATE($AD523,3,1)&lt;=$AF523),ROUND($AG523,2),0))</f>
        <v/>
      </c>
      <c r="M523" s="18">
        <f>IF($Z523="","",IF(AND(DATE($AD523,4,1)&gt;=$AE523,DATE($AD523,4,1)&lt;=$AF523),ROUND($AG523,2),0))</f>
        <v/>
      </c>
      <c r="N523" s="18">
        <f>IF($Z523="","",IF(AND(DATE($AD523,5,1)&gt;=$AE523,DATE($AD523,5,1)&lt;=$AF523),ROUND($AG523,2),0))</f>
        <v/>
      </c>
      <c r="O523" s="18">
        <f>IF($Z523="","",IF(AND(DATE($AD523,6,1)&gt;=$AE523,DATE($AD523,6,1)&lt;=$AF523),ROUND($AG523,2),0))</f>
        <v/>
      </c>
      <c r="P523" s="18">
        <f>IF($Z523="","",IF(AND(DATE($AD523,7,1)&gt;=$AE523,DATE($AD523,7,1)&lt;=$AF523),ROUND($AG523,2),0))</f>
        <v/>
      </c>
      <c r="Q523" s="18">
        <f>IF($Z523="","",IF(AND(DATE($AD523,8,1)&gt;=$AE523,DATE($AD523,8,1)&lt;=$AF523),ROUND($AG523,2),0))</f>
        <v/>
      </c>
      <c r="R523" s="18">
        <f>IF($Z523="","",IF(AND(DATE($AD523,9,1)&gt;=$AE523,DATE($AD523,9,1)&lt;=$AF523),ROUND($AG523,2),0))</f>
        <v/>
      </c>
      <c r="S523" s="18">
        <f>IF($Z523="","",IF(AND(DATE($AD523,10,1)&gt;=$AE523,DATE($AD523,10,1)&lt;=$AF523),ROUND($AG523,2),0))</f>
        <v/>
      </c>
      <c r="T523" s="18">
        <f>IF($Z523="","",IF(AND(DATE($AD523,11,1)&gt;=$AE523,DATE($AD523,11,1)&lt;=$AF523),ROUND($AG523,2),0))</f>
        <v/>
      </c>
      <c r="U523" s="18">
        <f>IF($Z523="","",IF(AND(DATE($AD523,12,1)&gt;=$AE523,DATE($AD523,12,1)&lt;=$AF523),ROUND($AG523,2),0))</f>
        <v/>
      </c>
      <c r="V523" s="7">
        <f>IF($Z523="C","Generated from "&amp;INDEX(Contracts!$A$2:$A$151,$AB523),IF($Z523="A","Generated from "&amp;INDEX(Fixed_Assets!$A$2:$A$201,$AB523),IF($Z523="F","Generated from "&amp;INDEX(FTE_Allocation!$A$2:$A$201,$AB523),"")))</f>
        <v/>
      </c>
      <c r="X523" s="19">
        <f>IF($Z523="","",SUM(J523:U523))</f>
        <v/>
      </c>
      <c r="Y523" s="20">
        <f>ROW()-1</f>
        <v/>
      </c>
      <c r="Z523" s="20">
        <f>IF($Y523&lt;=Settings!$B$4*3,"C",IF($Y523&lt;=(Settings!$B$4+Settings!$B$5)*3,"A",IF($Y523&lt;=(Settings!$B$4+Settings!$B$5+Settings!$B$6)*3,"F","")))</f>
        <v/>
      </c>
      <c r="AA523" s="20">
        <f>IF($Z523="C",$Y523,IF($Z523="A",$Y523-Settings!$B$4*3,IF($Z523="F",$Y523-(Settings!$B$4+Settings!$B$5)*3,"")))</f>
        <v/>
      </c>
      <c r="AB523" s="20">
        <f>IF($Z523="","",INT(($AA523-1)/3)+1)</f>
        <v/>
      </c>
      <c r="AC523" s="20">
        <f>IF($Z523="","",MOD($AA523-1,3)+1)</f>
        <v/>
      </c>
      <c r="AD523" s="20">
        <f>IF($Z523="","",Settings!$B$2+$AC523-1)</f>
        <v/>
      </c>
      <c r="AE523" s="21">
        <f>IF($Z523="C",DATE(YEAR(INDEX(Contracts!$J$2:$J$151,$AB523)),MONTH(INDEX(Contracts!$J$2:$J$151,$AB523)),1),IF($Z523="A",DATE(YEAR(INDEX(Fixed_Assets!$G$2:$G$201,$AB523)),MONTH(INDEX(Fixed_Assets!$G$2:$G$201,$AB523)),1),IF($Z523="F",DATE(YEAR(MAX(N(INDEX(Workforce!$I$2:$I$151,MATCH(INDEX(FTE_Allocation!$A$2:$A$201,$AB523),Workforce!$A$2:$A$151,0))),N(INDEX(FTE_Allocation!$I$2:$I$201,$AB523)))),MONTH(MAX(N(INDEX(Workforce!$I$2:$I$151,MATCH(INDEX(FTE_Allocation!$A$2:$A$201,$AB523),Workforce!$A$2:$A$151,0))),N(INDEX(FTE_Allocation!$I$2:$I$201,$AB523)))),1),"")))</f>
        <v/>
      </c>
      <c r="AF523" s="21">
        <f>IF($Z523="C",IF(INDEX(Contracts!$I$2:$I$151,$AB523)="PREPAID",EDATE(DATE(YEAR(INDEX(Contracts!$J$2:$J$151,$AB523)),MONTH(INDEX(Contracts!$J$2:$J$151,$AB523)),1),IF(INDEX(Contracts!$N$2:$N$151,$AB523)="",12,INDEX(Contracts!$N$2:$N$151,$AB523))-1),IF(INDEX(Contracts!$I$2:$I$151,$AB523)="MONTHLY",IF(INDEX(Contracts!$K$2:$K$151,$AB523)="",2958101,INDEX(Contracts!$K$2:$K$151,$AB523)),0)),IF($Z523="A",EDATE(DATE(YEAR(INDEX(Fixed_Assets!$G$2:$G$201,$AB523)),MONTH(INDEX(Fixed_Assets!$G$2:$G$201,$AB523)),1),INDEX(Fixed_Assets!$J$2:$J$201,$AB523)-1),IF($Z523="F",MIN(IF(INDEX(Workforce!$J$2:$J$151,MATCH(INDEX(FTE_Allocation!$A$2:$A$201,$AB523),Workforce!$A$2:$A$151,0))="",2958101,INDEX(Workforce!$J$2:$J$151,MATCH(INDEX(FTE_Allocation!$A$2:$A$201,$AB523),Workforce!$A$2:$A$151,0))),IF(INDEX(FTE_Allocation!$J$2:$J$201,$AB523)="",2958101,INDEX(FTE_Allocation!$J$2:$J$201,$AB523))),"")))</f>
        <v/>
      </c>
      <c r="AG523" s="19">
        <f>IF($Z523="C",IF(INDEX(Contracts!$I$2:$I$151,$AB523)="PREPAID",INDEX(Contracts!$M$2:$M$151,$AB523)/IF(INDEX(Contracts!$N$2:$N$151,$AB523)="",12,INDEX(Contracts!$N$2:$N$151,$AB523)),IF(INDEX(Contracts!$I$2:$I$151,$AB523)="MONTHLY",INDEX(Contracts!$M$2:$M$151,$AB523),0))*(1-N(INDEX(Contracts!$O$2:$O$151,$AB523))),IF($Z523="A",INDEX(Fixed_Assets!$H$2:$H$201,$AB523)/INDEX(Fixed_Assets!$J$2:$J$201,$AB523),IF($Z523="F",INDEX(Workforce!$F$2:$F$151,MATCH(INDEX(FTE_Allocation!$A$2:$A$201,$AB523),Workforce!$A$2:$A$151,0))*N(INDEX(FTE_Allocation!$F$2:$H$201,$AB523,$AC523)),"")))</f>
        <v/>
      </c>
    </row>
    <row r="524">
      <c r="A524" s="7">
        <f>IF($Z524="","",$AD524)</f>
        <v/>
      </c>
      <c r="B524" s="7">
        <f>IF($Z524="C",INDEX(Contracts!$D$2:$D$151,$AB524)&amp;"",IF($Z524="A",INDEX(Fixed_Assets!$C$2:$C$201,$AB524)&amp;"",IF($Z524="F",INDEX(Workforce!$B$2:$B$151,MATCH(INDEX(FTE_Allocation!$A$2:$A$201,$AB524),Workforce!$A$2:$A$151,0))&amp;"","")))</f>
        <v/>
      </c>
      <c r="C524" s="7">
        <f>IF($Z524="C",INDEX(Contracts!$E$2:$E$151,$AB524)&amp;"",IF($Z524="A",INDEX(Fixed_Assets!$D$2:$D$201,$AB524)&amp;"",IF($Z524="F",INDEX(FTE_Allocation!$C$2:$C$201,$AB524)&amp;"","")))</f>
        <v/>
      </c>
      <c r="D524" s="7">
        <f>IF($Z524="C",INDEX(Contracts!$B$2:$B$151,$AB524)&amp;"",IF($Z524="A",INDEX(Fixed_Assets!$B$2:$B$201,$AB524)&amp;"",IF($Z524="F",INDEX(FTE_Allocation!$B$2:$B$201,$AB524)&amp;"","")))</f>
        <v/>
      </c>
      <c r="E524" s="7">
        <f>IF($Z524="C",INDEX(Contracts!$P$2:$P$151,$AB524)&amp;"",IF($Z524="A",INDEX(Fixed_Assets!$K$2:$K$201,$AB524)&amp;"",IF($Z524="F",IF(INDEX(FTE_Allocation!$D$2:$D$201,$AB524)="PROJECT",IFERROR(INDEX(Projects!$D:$D,MATCH(INDEX(FTE_Allocation!$E$2:$E$201,$AB524),Projects!$A:$A,0))&amp;"","#PROJECT?"),INDEX(FTE_Allocation!$E$2:$E$201,$AB524)&amp;""),"")))</f>
        <v/>
      </c>
      <c r="F524" s="7">
        <f>IF($Z524="C",INDEX(Contracts!$Q$2:$Q$151,$AB524)&amp;"",IF($Z524="A",INDEX(Fixed_Assets!$L$2:$L$201,$AB524)&amp;"",IF($Z524="F",INDEX(Workforce!$K$2:$K$151,MATCH(INDEX(FTE_Allocation!$A$2:$A$201,$AB524),Workforce!$A$2:$A$151,0))&amp;"","")))</f>
        <v/>
      </c>
      <c r="G524" s="7">
        <f>IF($Z524="C",INDEX(Contracts!$F$2:$F$151,$AB524)&amp;" / "&amp;INDEX(Contracts!$G$2:$G$151,$AB524),IF($Z524="A",INDEX(Fixed_Assets!$E$2:$E$201,$AB524)&amp;"",IF($Z524="F","Personnel "&amp;INDEX(FTE_Allocation!$A$2:$A$201,$AB524)&amp;IF(INDEX(FTE_Allocation!$D$2:$D$201,$AB524)="PROJECT"," ("&amp;INDEX(FTE_Allocation!$E$2:$E$201,$AB524)&amp;")",""),"")))</f>
        <v/>
      </c>
      <c r="H524" s="7">
        <f>IF($Z524="C","CONTRACT",IF($Z524="A","ASSET",IF($Z524="F","WORKFORCE","")))</f>
        <v/>
      </c>
      <c r="I524" s="7">
        <f>IF($Z524="C",INDEX(Contracts!$L$2:$L$151,$AB524)&amp;"",IF($Z524="A",INDEX(Fixed_Assets!$I$2:$I$201,$AB524)&amp;"",IF($Z524="F",INDEX(Workforce!$G$2:$G$151,MATCH(INDEX(FTE_Allocation!$A$2:$A$201,$AB524),Workforce!$A$2:$A$151,0))&amp;"","")))</f>
        <v/>
      </c>
      <c r="J524" s="18">
        <f>IF($Z524="","",IF(AND(DATE($AD524,1,1)&gt;=$AE524,DATE($AD524,1,1)&lt;=$AF524),ROUND($AG524,2),0))</f>
        <v/>
      </c>
      <c r="K524" s="18">
        <f>IF($Z524="","",IF(AND(DATE($AD524,2,1)&gt;=$AE524,DATE($AD524,2,1)&lt;=$AF524),ROUND($AG524,2),0))</f>
        <v/>
      </c>
      <c r="L524" s="18">
        <f>IF($Z524="","",IF(AND(DATE($AD524,3,1)&gt;=$AE524,DATE($AD524,3,1)&lt;=$AF524),ROUND($AG524,2),0))</f>
        <v/>
      </c>
      <c r="M524" s="18">
        <f>IF($Z524="","",IF(AND(DATE($AD524,4,1)&gt;=$AE524,DATE($AD524,4,1)&lt;=$AF524),ROUND($AG524,2),0))</f>
        <v/>
      </c>
      <c r="N524" s="18">
        <f>IF($Z524="","",IF(AND(DATE($AD524,5,1)&gt;=$AE524,DATE($AD524,5,1)&lt;=$AF524),ROUND($AG524,2),0))</f>
        <v/>
      </c>
      <c r="O524" s="18">
        <f>IF($Z524="","",IF(AND(DATE($AD524,6,1)&gt;=$AE524,DATE($AD524,6,1)&lt;=$AF524),ROUND($AG524,2),0))</f>
        <v/>
      </c>
      <c r="P524" s="18">
        <f>IF($Z524="","",IF(AND(DATE($AD524,7,1)&gt;=$AE524,DATE($AD524,7,1)&lt;=$AF524),ROUND($AG524,2),0))</f>
        <v/>
      </c>
      <c r="Q524" s="18">
        <f>IF($Z524="","",IF(AND(DATE($AD524,8,1)&gt;=$AE524,DATE($AD524,8,1)&lt;=$AF524),ROUND($AG524,2),0))</f>
        <v/>
      </c>
      <c r="R524" s="18">
        <f>IF($Z524="","",IF(AND(DATE($AD524,9,1)&gt;=$AE524,DATE($AD524,9,1)&lt;=$AF524),ROUND($AG524,2),0))</f>
        <v/>
      </c>
      <c r="S524" s="18">
        <f>IF($Z524="","",IF(AND(DATE($AD524,10,1)&gt;=$AE524,DATE($AD524,10,1)&lt;=$AF524),ROUND($AG524,2),0))</f>
        <v/>
      </c>
      <c r="T524" s="18">
        <f>IF($Z524="","",IF(AND(DATE($AD524,11,1)&gt;=$AE524,DATE($AD524,11,1)&lt;=$AF524),ROUND($AG524,2),0))</f>
        <v/>
      </c>
      <c r="U524" s="18">
        <f>IF($Z524="","",IF(AND(DATE($AD524,12,1)&gt;=$AE524,DATE($AD524,12,1)&lt;=$AF524),ROUND($AG524,2),0))</f>
        <v/>
      </c>
      <c r="V524" s="7">
        <f>IF($Z524="C","Generated from "&amp;INDEX(Contracts!$A$2:$A$151,$AB524),IF($Z524="A","Generated from "&amp;INDEX(Fixed_Assets!$A$2:$A$201,$AB524),IF($Z524="F","Generated from "&amp;INDEX(FTE_Allocation!$A$2:$A$201,$AB524),"")))</f>
        <v/>
      </c>
      <c r="X524" s="19">
        <f>IF($Z524="","",SUM(J524:U524))</f>
        <v/>
      </c>
      <c r="Y524" s="20">
        <f>ROW()-1</f>
        <v/>
      </c>
      <c r="Z524" s="20">
        <f>IF($Y524&lt;=Settings!$B$4*3,"C",IF($Y524&lt;=(Settings!$B$4+Settings!$B$5)*3,"A",IF($Y524&lt;=(Settings!$B$4+Settings!$B$5+Settings!$B$6)*3,"F","")))</f>
        <v/>
      </c>
      <c r="AA524" s="20">
        <f>IF($Z524="C",$Y524,IF($Z524="A",$Y524-Settings!$B$4*3,IF($Z524="F",$Y524-(Settings!$B$4+Settings!$B$5)*3,"")))</f>
        <v/>
      </c>
      <c r="AB524" s="20">
        <f>IF($Z524="","",INT(($AA524-1)/3)+1)</f>
        <v/>
      </c>
      <c r="AC524" s="20">
        <f>IF($Z524="","",MOD($AA524-1,3)+1)</f>
        <v/>
      </c>
      <c r="AD524" s="20">
        <f>IF($Z524="","",Settings!$B$2+$AC524-1)</f>
        <v/>
      </c>
      <c r="AE524" s="21">
        <f>IF($Z524="C",DATE(YEAR(INDEX(Contracts!$J$2:$J$151,$AB524)),MONTH(INDEX(Contracts!$J$2:$J$151,$AB524)),1),IF($Z524="A",DATE(YEAR(INDEX(Fixed_Assets!$G$2:$G$201,$AB524)),MONTH(INDEX(Fixed_Assets!$G$2:$G$201,$AB524)),1),IF($Z524="F",DATE(YEAR(MAX(N(INDEX(Workforce!$I$2:$I$151,MATCH(INDEX(FTE_Allocation!$A$2:$A$201,$AB524),Workforce!$A$2:$A$151,0))),N(INDEX(FTE_Allocation!$I$2:$I$201,$AB524)))),MONTH(MAX(N(INDEX(Workforce!$I$2:$I$151,MATCH(INDEX(FTE_Allocation!$A$2:$A$201,$AB524),Workforce!$A$2:$A$151,0))),N(INDEX(FTE_Allocation!$I$2:$I$201,$AB524)))),1),"")))</f>
        <v/>
      </c>
      <c r="AF524" s="21">
        <f>IF($Z524="C",IF(INDEX(Contracts!$I$2:$I$151,$AB524)="PREPAID",EDATE(DATE(YEAR(INDEX(Contracts!$J$2:$J$151,$AB524)),MONTH(INDEX(Contracts!$J$2:$J$151,$AB524)),1),IF(INDEX(Contracts!$N$2:$N$151,$AB524)="",12,INDEX(Contracts!$N$2:$N$151,$AB524))-1),IF(INDEX(Contracts!$I$2:$I$151,$AB524)="MONTHLY",IF(INDEX(Contracts!$K$2:$K$151,$AB524)="",2958101,INDEX(Contracts!$K$2:$K$151,$AB524)),0)),IF($Z524="A",EDATE(DATE(YEAR(INDEX(Fixed_Assets!$G$2:$G$201,$AB524)),MONTH(INDEX(Fixed_Assets!$G$2:$G$201,$AB524)),1),INDEX(Fixed_Assets!$J$2:$J$201,$AB524)-1),IF($Z524="F",MIN(IF(INDEX(Workforce!$J$2:$J$151,MATCH(INDEX(FTE_Allocation!$A$2:$A$201,$AB524),Workforce!$A$2:$A$151,0))="",2958101,INDEX(Workforce!$J$2:$J$151,MATCH(INDEX(FTE_Allocation!$A$2:$A$201,$AB524),Workforce!$A$2:$A$151,0))),IF(INDEX(FTE_Allocation!$J$2:$J$201,$AB524)="",2958101,INDEX(FTE_Allocation!$J$2:$J$201,$AB524))),"")))</f>
        <v/>
      </c>
      <c r="AG524" s="19">
        <f>IF($Z524="C",IF(INDEX(Contracts!$I$2:$I$151,$AB524)="PREPAID",INDEX(Contracts!$M$2:$M$151,$AB524)/IF(INDEX(Contracts!$N$2:$N$151,$AB524)="",12,INDEX(Contracts!$N$2:$N$151,$AB524)),IF(INDEX(Contracts!$I$2:$I$151,$AB524)="MONTHLY",INDEX(Contracts!$M$2:$M$151,$AB524),0))*(1-N(INDEX(Contracts!$O$2:$O$151,$AB524))),IF($Z524="A",INDEX(Fixed_Assets!$H$2:$H$201,$AB524)/INDEX(Fixed_Assets!$J$2:$J$201,$AB524),IF($Z524="F",INDEX(Workforce!$F$2:$F$151,MATCH(INDEX(FTE_Allocation!$A$2:$A$201,$AB524),Workforce!$A$2:$A$151,0))*N(INDEX(FTE_Allocation!$F$2:$H$201,$AB524,$AC524)),"")))</f>
        <v/>
      </c>
    </row>
    <row r="525">
      <c r="A525" s="7">
        <f>IF($Z525="","",$AD525)</f>
        <v/>
      </c>
      <c r="B525" s="7">
        <f>IF($Z525="C",INDEX(Contracts!$D$2:$D$151,$AB525)&amp;"",IF($Z525="A",INDEX(Fixed_Assets!$C$2:$C$201,$AB525)&amp;"",IF($Z525="F",INDEX(Workforce!$B$2:$B$151,MATCH(INDEX(FTE_Allocation!$A$2:$A$201,$AB525),Workforce!$A$2:$A$151,0))&amp;"","")))</f>
        <v/>
      </c>
      <c r="C525" s="7">
        <f>IF($Z525="C",INDEX(Contracts!$E$2:$E$151,$AB525)&amp;"",IF($Z525="A",INDEX(Fixed_Assets!$D$2:$D$201,$AB525)&amp;"",IF($Z525="F",INDEX(FTE_Allocation!$C$2:$C$201,$AB525)&amp;"","")))</f>
        <v/>
      </c>
      <c r="D525" s="7">
        <f>IF($Z525="C",INDEX(Contracts!$B$2:$B$151,$AB525)&amp;"",IF($Z525="A",INDEX(Fixed_Assets!$B$2:$B$201,$AB525)&amp;"",IF($Z525="F",INDEX(FTE_Allocation!$B$2:$B$201,$AB525)&amp;"","")))</f>
        <v/>
      </c>
      <c r="E525" s="7">
        <f>IF($Z525="C",INDEX(Contracts!$P$2:$P$151,$AB525)&amp;"",IF($Z525="A",INDEX(Fixed_Assets!$K$2:$K$201,$AB525)&amp;"",IF($Z525="F",IF(INDEX(FTE_Allocation!$D$2:$D$201,$AB525)="PROJECT",IFERROR(INDEX(Projects!$D:$D,MATCH(INDEX(FTE_Allocation!$E$2:$E$201,$AB525),Projects!$A:$A,0))&amp;"","#PROJECT?"),INDEX(FTE_Allocation!$E$2:$E$201,$AB525)&amp;""),"")))</f>
        <v/>
      </c>
      <c r="F525" s="7">
        <f>IF($Z525="C",INDEX(Contracts!$Q$2:$Q$151,$AB525)&amp;"",IF($Z525="A",INDEX(Fixed_Assets!$L$2:$L$201,$AB525)&amp;"",IF($Z525="F",INDEX(Workforce!$K$2:$K$151,MATCH(INDEX(FTE_Allocation!$A$2:$A$201,$AB525),Workforce!$A$2:$A$151,0))&amp;"","")))</f>
        <v/>
      </c>
      <c r="G525" s="7">
        <f>IF($Z525="C",INDEX(Contracts!$F$2:$F$151,$AB525)&amp;" / "&amp;INDEX(Contracts!$G$2:$G$151,$AB525),IF($Z525="A",INDEX(Fixed_Assets!$E$2:$E$201,$AB525)&amp;"",IF($Z525="F","Personnel "&amp;INDEX(FTE_Allocation!$A$2:$A$201,$AB525)&amp;IF(INDEX(FTE_Allocation!$D$2:$D$201,$AB525)="PROJECT"," ("&amp;INDEX(FTE_Allocation!$E$2:$E$201,$AB525)&amp;")",""),"")))</f>
        <v/>
      </c>
      <c r="H525" s="7">
        <f>IF($Z525="C","CONTRACT",IF($Z525="A","ASSET",IF($Z525="F","WORKFORCE","")))</f>
        <v/>
      </c>
      <c r="I525" s="7">
        <f>IF($Z525="C",INDEX(Contracts!$L$2:$L$151,$AB525)&amp;"",IF($Z525="A",INDEX(Fixed_Assets!$I$2:$I$201,$AB525)&amp;"",IF($Z525="F",INDEX(Workforce!$G$2:$G$151,MATCH(INDEX(FTE_Allocation!$A$2:$A$201,$AB525),Workforce!$A$2:$A$151,0))&amp;"","")))</f>
        <v/>
      </c>
      <c r="J525" s="18">
        <f>IF($Z525="","",IF(AND(DATE($AD525,1,1)&gt;=$AE525,DATE($AD525,1,1)&lt;=$AF525),ROUND($AG525,2),0))</f>
        <v/>
      </c>
      <c r="K525" s="18">
        <f>IF($Z525="","",IF(AND(DATE($AD525,2,1)&gt;=$AE525,DATE($AD525,2,1)&lt;=$AF525),ROUND($AG525,2),0))</f>
        <v/>
      </c>
      <c r="L525" s="18">
        <f>IF($Z525="","",IF(AND(DATE($AD525,3,1)&gt;=$AE525,DATE($AD525,3,1)&lt;=$AF525),ROUND($AG525,2),0))</f>
        <v/>
      </c>
      <c r="M525" s="18">
        <f>IF($Z525="","",IF(AND(DATE($AD525,4,1)&gt;=$AE525,DATE($AD525,4,1)&lt;=$AF525),ROUND($AG525,2),0))</f>
        <v/>
      </c>
      <c r="N525" s="18">
        <f>IF($Z525="","",IF(AND(DATE($AD525,5,1)&gt;=$AE525,DATE($AD525,5,1)&lt;=$AF525),ROUND($AG525,2),0))</f>
        <v/>
      </c>
      <c r="O525" s="18">
        <f>IF($Z525="","",IF(AND(DATE($AD525,6,1)&gt;=$AE525,DATE($AD525,6,1)&lt;=$AF525),ROUND($AG525,2),0))</f>
        <v/>
      </c>
      <c r="P525" s="18">
        <f>IF($Z525="","",IF(AND(DATE($AD525,7,1)&gt;=$AE525,DATE($AD525,7,1)&lt;=$AF525),ROUND($AG525,2),0))</f>
        <v/>
      </c>
      <c r="Q525" s="18">
        <f>IF($Z525="","",IF(AND(DATE($AD525,8,1)&gt;=$AE525,DATE($AD525,8,1)&lt;=$AF525),ROUND($AG525,2),0))</f>
        <v/>
      </c>
      <c r="R525" s="18">
        <f>IF($Z525="","",IF(AND(DATE($AD525,9,1)&gt;=$AE525,DATE($AD525,9,1)&lt;=$AF525),ROUND($AG525,2),0))</f>
        <v/>
      </c>
      <c r="S525" s="18">
        <f>IF($Z525="","",IF(AND(DATE($AD525,10,1)&gt;=$AE525,DATE($AD525,10,1)&lt;=$AF525),ROUND($AG525,2),0))</f>
        <v/>
      </c>
      <c r="T525" s="18">
        <f>IF($Z525="","",IF(AND(DATE($AD525,11,1)&gt;=$AE525,DATE($AD525,11,1)&lt;=$AF525),ROUND($AG525,2),0))</f>
        <v/>
      </c>
      <c r="U525" s="18">
        <f>IF($Z525="","",IF(AND(DATE($AD525,12,1)&gt;=$AE525,DATE($AD525,12,1)&lt;=$AF525),ROUND($AG525,2),0))</f>
        <v/>
      </c>
      <c r="V525" s="7">
        <f>IF($Z525="C","Generated from "&amp;INDEX(Contracts!$A$2:$A$151,$AB525),IF($Z525="A","Generated from "&amp;INDEX(Fixed_Assets!$A$2:$A$201,$AB525),IF($Z525="F","Generated from "&amp;INDEX(FTE_Allocation!$A$2:$A$201,$AB525),"")))</f>
        <v/>
      </c>
      <c r="X525" s="19">
        <f>IF($Z525="","",SUM(J525:U525))</f>
        <v/>
      </c>
      <c r="Y525" s="20">
        <f>ROW()-1</f>
        <v/>
      </c>
      <c r="Z525" s="20">
        <f>IF($Y525&lt;=Settings!$B$4*3,"C",IF($Y525&lt;=(Settings!$B$4+Settings!$B$5)*3,"A",IF($Y525&lt;=(Settings!$B$4+Settings!$B$5+Settings!$B$6)*3,"F","")))</f>
        <v/>
      </c>
      <c r="AA525" s="20">
        <f>IF($Z525="C",$Y525,IF($Z525="A",$Y525-Settings!$B$4*3,IF($Z525="F",$Y525-(Settings!$B$4+Settings!$B$5)*3,"")))</f>
        <v/>
      </c>
      <c r="AB525" s="20">
        <f>IF($Z525="","",INT(($AA525-1)/3)+1)</f>
        <v/>
      </c>
      <c r="AC525" s="20">
        <f>IF($Z525="","",MOD($AA525-1,3)+1)</f>
        <v/>
      </c>
      <c r="AD525" s="20">
        <f>IF($Z525="","",Settings!$B$2+$AC525-1)</f>
        <v/>
      </c>
      <c r="AE525" s="21">
        <f>IF($Z525="C",DATE(YEAR(INDEX(Contracts!$J$2:$J$151,$AB525)),MONTH(INDEX(Contracts!$J$2:$J$151,$AB525)),1),IF($Z525="A",DATE(YEAR(INDEX(Fixed_Assets!$G$2:$G$201,$AB525)),MONTH(INDEX(Fixed_Assets!$G$2:$G$201,$AB525)),1),IF($Z525="F",DATE(YEAR(MAX(N(INDEX(Workforce!$I$2:$I$151,MATCH(INDEX(FTE_Allocation!$A$2:$A$201,$AB525),Workforce!$A$2:$A$151,0))),N(INDEX(FTE_Allocation!$I$2:$I$201,$AB525)))),MONTH(MAX(N(INDEX(Workforce!$I$2:$I$151,MATCH(INDEX(FTE_Allocation!$A$2:$A$201,$AB525),Workforce!$A$2:$A$151,0))),N(INDEX(FTE_Allocation!$I$2:$I$201,$AB525)))),1),"")))</f>
        <v/>
      </c>
      <c r="AF525" s="21">
        <f>IF($Z525="C",IF(INDEX(Contracts!$I$2:$I$151,$AB525)="PREPAID",EDATE(DATE(YEAR(INDEX(Contracts!$J$2:$J$151,$AB525)),MONTH(INDEX(Contracts!$J$2:$J$151,$AB525)),1),IF(INDEX(Contracts!$N$2:$N$151,$AB525)="",12,INDEX(Contracts!$N$2:$N$151,$AB525))-1),IF(INDEX(Contracts!$I$2:$I$151,$AB525)="MONTHLY",IF(INDEX(Contracts!$K$2:$K$151,$AB525)="",2958101,INDEX(Contracts!$K$2:$K$151,$AB525)),0)),IF($Z525="A",EDATE(DATE(YEAR(INDEX(Fixed_Assets!$G$2:$G$201,$AB525)),MONTH(INDEX(Fixed_Assets!$G$2:$G$201,$AB525)),1),INDEX(Fixed_Assets!$J$2:$J$201,$AB525)-1),IF($Z525="F",MIN(IF(INDEX(Workforce!$J$2:$J$151,MATCH(INDEX(FTE_Allocation!$A$2:$A$201,$AB525),Workforce!$A$2:$A$151,0))="",2958101,INDEX(Workforce!$J$2:$J$151,MATCH(INDEX(FTE_Allocation!$A$2:$A$201,$AB525),Workforce!$A$2:$A$151,0))),IF(INDEX(FTE_Allocation!$J$2:$J$201,$AB525)="",2958101,INDEX(FTE_Allocation!$J$2:$J$201,$AB525))),"")))</f>
        <v/>
      </c>
      <c r="AG525" s="19">
        <f>IF($Z525="C",IF(INDEX(Contracts!$I$2:$I$151,$AB525)="PREPAID",INDEX(Contracts!$M$2:$M$151,$AB525)/IF(INDEX(Contracts!$N$2:$N$151,$AB525)="",12,INDEX(Contracts!$N$2:$N$151,$AB525)),IF(INDEX(Contracts!$I$2:$I$151,$AB525)="MONTHLY",INDEX(Contracts!$M$2:$M$151,$AB525),0))*(1-N(INDEX(Contracts!$O$2:$O$151,$AB525))),IF($Z525="A",INDEX(Fixed_Assets!$H$2:$H$201,$AB525)/INDEX(Fixed_Assets!$J$2:$J$201,$AB525),IF($Z525="F",INDEX(Workforce!$F$2:$F$151,MATCH(INDEX(FTE_Allocation!$A$2:$A$201,$AB525),Workforce!$A$2:$A$151,0))*N(INDEX(FTE_Allocation!$F$2:$H$201,$AB525,$AC525)),"")))</f>
        <v/>
      </c>
    </row>
    <row r="526">
      <c r="A526" s="7">
        <f>IF($Z526="","",$AD526)</f>
        <v/>
      </c>
      <c r="B526" s="7">
        <f>IF($Z526="C",INDEX(Contracts!$D$2:$D$151,$AB526)&amp;"",IF($Z526="A",INDEX(Fixed_Assets!$C$2:$C$201,$AB526)&amp;"",IF($Z526="F",INDEX(Workforce!$B$2:$B$151,MATCH(INDEX(FTE_Allocation!$A$2:$A$201,$AB526),Workforce!$A$2:$A$151,0))&amp;"","")))</f>
        <v/>
      </c>
      <c r="C526" s="7">
        <f>IF($Z526="C",INDEX(Contracts!$E$2:$E$151,$AB526)&amp;"",IF($Z526="A",INDEX(Fixed_Assets!$D$2:$D$201,$AB526)&amp;"",IF($Z526="F",INDEX(FTE_Allocation!$C$2:$C$201,$AB526)&amp;"","")))</f>
        <v/>
      </c>
      <c r="D526" s="7">
        <f>IF($Z526="C",INDEX(Contracts!$B$2:$B$151,$AB526)&amp;"",IF($Z526="A",INDEX(Fixed_Assets!$B$2:$B$201,$AB526)&amp;"",IF($Z526="F",INDEX(FTE_Allocation!$B$2:$B$201,$AB526)&amp;"","")))</f>
        <v/>
      </c>
      <c r="E526" s="7">
        <f>IF($Z526="C",INDEX(Contracts!$P$2:$P$151,$AB526)&amp;"",IF($Z526="A",INDEX(Fixed_Assets!$K$2:$K$201,$AB526)&amp;"",IF($Z526="F",IF(INDEX(FTE_Allocation!$D$2:$D$201,$AB526)="PROJECT",IFERROR(INDEX(Projects!$D:$D,MATCH(INDEX(FTE_Allocation!$E$2:$E$201,$AB526),Projects!$A:$A,0))&amp;"","#PROJECT?"),INDEX(FTE_Allocation!$E$2:$E$201,$AB526)&amp;""),"")))</f>
        <v/>
      </c>
      <c r="F526" s="7">
        <f>IF($Z526="C",INDEX(Contracts!$Q$2:$Q$151,$AB526)&amp;"",IF($Z526="A",INDEX(Fixed_Assets!$L$2:$L$201,$AB526)&amp;"",IF($Z526="F",INDEX(Workforce!$K$2:$K$151,MATCH(INDEX(FTE_Allocation!$A$2:$A$201,$AB526),Workforce!$A$2:$A$151,0))&amp;"","")))</f>
        <v/>
      </c>
      <c r="G526" s="7">
        <f>IF($Z526="C",INDEX(Contracts!$F$2:$F$151,$AB526)&amp;" / "&amp;INDEX(Contracts!$G$2:$G$151,$AB526),IF($Z526="A",INDEX(Fixed_Assets!$E$2:$E$201,$AB526)&amp;"",IF($Z526="F","Personnel "&amp;INDEX(FTE_Allocation!$A$2:$A$201,$AB526)&amp;IF(INDEX(FTE_Allocation!$D$2:$D$201,$AB526)="PROJECT"," ("&amp;INDEX(FTE_Allocation!$E$2:$E$201,$AB526)&amp;")",""),"")))</f>
        <v/>
      </c>
      <c r="H526" s="7">
        <f>IF($Z526="C","CONTRACT",IF($Z526="A","ASSET",IF($Z526="F","WORKFORCE","")))</f>
        <v/>
      </c>
      <c r="I526" s="7">
        <f>IF($Z526="C",INDEX(Contracts!$L$2:$L$151,$AB526)&amp;"",IF($Z526="A",INDEX(Fixed_Assets!$I$2:$I$201,$AB526)&amp;"",IF($Z526="F",INDEX(Workforce!$G$2:$G$151,MATCH(INDEX(FTE_Allocation!$A$2:$A$201,$AB526),Workforce!$A$2:$A$151,0))&amp;"","")))</f>
        <v/>
      </c>
      <c r="J526" s="18">
        <f>IF($Z526="","",IF(AND(DATE($AD526,1,1)&gt;=$AE526,DATE($AD526,1,1)&lt;=$AF526),ROUND($AG526,2),0))</f>
        <v/>
      </c>
      <c r="K526" s="18">
        <f>IF($Z526="","",IF(AND(DATE($AD526,2,1)&gt;=$AE526,DATE($AD526,2,1)&lt;=$AF526),ROUND($AG526,2),0))</f>
        <v/>
      </c>
      <c r="L526" s="18">
        <f>IF($Z526="","",IF(AND(DATE($AD526,3,1)&gt;=$AE526,DATE($AD526,3,1)&lt;=$AF526),ROUND($AG526,2),0))</f>
        <v/>
      </c>
      <c r="M526" s="18">
        <f>IF($Z526="","",IF(AND(DATE($AD526,4,1)&gt;=$AE526,DATE($AD526,4,1)&lt;=$AF526),ROUND($AG526,2),0))</f>
        <v/>
      </c>
      <c r="N526" s="18">
        <f>IF($Z526="","",IF(AND(DATE($AD526,5,1)&gt;=$AE526,DATE($AD526,5,1)&lt;=$AF526),ROUND($AG526,2),0))</f>
        <v/>
      </c>
      <c r="O526" s="18">
        <f>IF($Z526="","",IF(AND(DATE($AD526,6,1)&gt;=$AE526,DATE($AD526,6,1)&lt;=$AF526),ROUND($AG526,2),0))</f>
        <v/>
      </c>
      <c r="P526" s="18">
        <f>IF($Z526="","",IF(AND(DATE($AD526,7,1)&gt;=$AE526,DATE($AD526,7,1)&lt;=$AF526),ROUND($AG526,2),0))</f>
        <v/>
      </c>
      <c r="Q526" s="18">
        <f>IF($Z526="","",IF(AND(DATE($AD526,8,1)&gt;=$AE526,DATE($AD526,8,1)&lt;=$AF526),ROUND($AG526,2),0))</f>
        <v/>
      </c>
      <c r="R526" s="18">
        <f>IF($Z526="","",IF(AND(DATE($AD526,9,1)&gt;=$AE526,DATE($AD526,9,1)&lt;=$AF526),ROUND($AG526,2),0))</f>
        <v/>
      </c>
      <c r="S526" s="18">
        <f>IF($Z526="","",IF(AND(DATE($AD526,10,1)&gt;=$AE526,DATE($AD526,10,1)&lt;=$AF526),ROUND($AG526,2),0))</f>
        <v/>
      </c>
      <c r="T526" s="18">
        <f>IF($Z526="","",IF(AND(DATE($AD526,11,1)&gt;=$AE526,DATE($AD526,11,1)&lt;=$AF526),ROUND($AG526,2),0))</f>
        <v/>
      </c>
      <c r="U526" s="18">
        <f>IF($Z526="","",IF(AND(DATE($AD526,12,1)&gt;=$AE526,DATE($AD526,12,1)&lt;=$AF526),ROUND($AG526,2),0))</f>
        <v/>
      </c>
      <c r="V526" s="7">
        <f>IF($Z526="C","Generated from "&amp;INDEX(Contracts!$A$2:$A$151,$AB526),IF($Z526="A","Generated from "&amp;INDEX(Fixed_Assets!$A$2:$A$201,$AB526),IF($Z526="F","Generated from "&amp;INDEX(FTE_Allocation!$A$2:$A$201,$AB526),"")))</f>
        <v/>
      </c>
      <c r="X526" s="19">
        <f>IF($Z526="","",SUM(J526:U526))</f>
        <v/>
      </c>
      <c r="Y526" s="20">
        <f>ROW()-1</f>
        <v/>
      </c>
      <c r="Z526" s="20">
        <f>IF($Y526&lt;=Settings!$B$4*3,"C",IF($Y526&lt;=(Settings!$B$4+Settings!$B$5)*3,"A",IF($Y526&lt;=(Settings!$B$4+Settings!$B$5+Settings!$B$6)*3,"F","")))</f>
        <v/>
      </c>
      <c r="AA526" s="20">
        <f>IF($Z526="C",$Y526,IF($Z526="A",$Y526-Settings!$B$4*3,IF($Z526="F",$Y526-(Settings!$B$4+Settings!$B$5)*3,"")))</f>
        <v/>
      </c>
      <c r="AB526" s="20">
        <f>IF($Z526="","",INT(($AA526-1)/3)+1)</f>
        <v/>
      </c>
      <c r="AC526" s="20">
        <f>IF($Z526="","",MOD($AA526-1,3)+1)</f>
        <v/>
      </c>
      <c r="AD526" s="20">
        <f>IF($Z526="","",Settings!$B$2+$AC526-1)</f>
        <v/>
      </c>
      <c r="AE526" s="21">
        <f>IF($Z526="C",DATE(YEAR(INDEX(Contracts!$J$2:$J$151,$AB526)),MONTH(INDEX(Contracts!$J$2:$J$151,$AB526)),1),IF($Z526="A",DATE(YEAR(INDEX(Fixed_Assets!$G$2:$G$201,$AB526)),MONTH(INDEX(Fixed_Assets!$G$2:$G$201,$AB526)),1),IF($Z526="F",DATE(YEAR(MAX(N(INDEX(Workforce!$I$2:$I$151,MATCH(INDEX(FTE_Allocation!$A$2:$A$201,$AB526),Workforce!$A$2:$A$151,0))),N(INDEX(FTE_Allocation!$I$2:$I$201,$AB526)))),MONTH(MAX(N(INDEX(Workforce!$I$2:$I$151,MATCH(INDEX(FTE_Allocation!$A$2:$A$201,$AB526),Workforce!$A$2:$A$151,0))),N(INDEX(FTE_Allocation!$I$2:$I$201,$AB526)))),1),"")))</f>
        <v/>
      </c>
      <c r="AF526" s="21">
        <f>IF($Z526="C",IF(INDEX(Contracts!$I$2:$I$151,$AB526)="PREPAID",EDATE(DATE(YEAR(INDEX(Contracts!$J$2:$J$151,$AB526)),MONTH(INDEX(Contracts!$J$2:$J$151,$AB526)),1),IF(INDEX(Contracts!$N$2:$N$151,$AB526)="",12,INDEX(Contracts!$N$2:$N$151,$AB526))-1),IF(INDEX(Contracts!$I$2:$I$151,$AB526)="MONTHLY",IF(INDEX(Contracts!$K$2:$K$151,$AB526)="",2958101,INDEX(Contracts!$K$2:$K$151,$AB526)),0)),IF($Z526="A",EDATE(DATE(YEAR(INDEX(Fixed_Assets!$G$2:$G$201,$AB526)),MONTH(INDEX(Fixed_Assets!$G$2:$G$201,$AB526)),1),INDEX(Fixed_Assets!$J$2:$J$201,$AB526)-1),IF($Z526="F",MIN(IF(INDEX(Workforce!$J$2:$J$151,MATCH(INDEX(FTE_Allocation!$A$2:$A$201,$AB526),Workforce!$A$2:$A$151,0))="",2958101,INDEX(Workforce!$J$2:$J$151,MATCH(INDEX(FTE_Allocation!$A$2:$A$201,$AB526),Workforce!$A$2:$A$151,0))),IF(INDEX(FTE_Allocation!$J$2:$J$201,$AB526)="",2958101,INDEX(FTE_Allocation!$J$2:$J$201,$AB526))),"")))</f>
        <v/>
      </c>
      <c r="AG526" s="19">
        <f>IF($Z526="C",IF(INDEX(Contracts!$I$2:$I$151,$AB526)="PREPAID",INDEX(Contracts!$M$2:$M$151,$AB526)/IF(INDEX(Contracts!$N$2:$N$151,$AB526)="",12,INDEX(Contracts!$N$2:$N$151,$AB526)),IF(INDEX(Contracts!$I$2:$I$151,$AB526)="MONTHLY",INDEX(Contracts!$M$2:$M$151,$AB526),0))*(1-N(INDEX(Contracts!$O$2:$O$151,$AB526))),IF($Z526="A",INDEX(Fixed_Assets!$H$2:$H$201,$AB526)/INDEX(Fixed_Assets!$J$2:$J$201,$AB526),IF($Z526="F",INDEX(Workforce!$F$2:$F$151,MATCH(INDEX(FTE_Allocation!$A$2:$A$201,$AB526),Workforce!$A$2:$A$151,0))*N(INDEX(FTE_Allocation!$F$2:$H$201,$AB526,$AC526)),"")))</f>
        <v/>
      </c>
    </row>
    <row r="527">
      <c r="A527" s="7">
        <f>IF($Z527="","",$AD527)</f>
        <v/>
      </c>
      <c r="B527" s="7">
        <f>IF($Z527="C",INDEX(Contracts!$D$2:$D$151,$AB527)&amp;"",IF($Z527="A",INDEX(Fixed_Assets!$C$2:$C$201,$AB527)&amp;"",IF($Z527="F",INDEX(Workforce!$B$2:$B$151,MATCH(INDEX(FTE_Allocation!$A$2:$A$201,$AB527),Workforce!$A$2:$A$151,0))&amp;"","")))</f>
        <v/>
      </c>
      <c r="C527" s="7">
        <f>IF($Z527="C",INDEX(Contracts!$E$2:$E$151,$AB527)&amp;"",IF($Z527="A",INDEX(Fixed_Assets!$D$2:$D$201,$AB527)&amp;"",IF($Z527="F",INDEX(FTE_Allocation!$C$2:$C$201,$AB527)&amp;"","")))</f>
        <v/>
      </c>
      <c r="D527" s="7">
        <f>IF($Z527="C",INDEX(Contracts!$B$2:$B$151,$AB527)&amp;"",IF($Z527="A",INDEX(Fixed_Assets!$B$2:$B$201,$AB527)&amp;"",IF($Z527="F",INDEX(FTE_Allocation!$B$2:$B$201,$AB527)&amp;"","")))</f>
        <v/>
      </c>
      <c r="E527" s="7">
        <f>IF($Z527="C",INDEX(Contracts!$P$2:$P$151,$AB527)&amp;"",IF($Z527="A",INDEX(Fixed_Assets!$K$2:$K$201,$AB527)&amp;"",IF($Z527="F",IF(INDEX(FTE_Allocation!$D$2:$D$201,$AB527)="PROJECT",IFERROR(INDEX(Projects!$D:$D,MATCH(INDEX(FTE_Allocation!$E$2:$E$201,$AB527),Projects!$A:$A,0))&amp;"","#PROJECT?"),INDEX(FTE_Allocation!$E$2:$E$201,$AB527)&amp;""),"")))</f>
        <v/>
      </c>
      <c r="F527" s="7">
        <f>IF($Z527="C",INDEX(Contracts!$Q$2:$Q$151,$AB527)&amp;"",IF($Z527="A",INDEX(Fixed_Assets!$L$2:$L$201,$AB527)&amp;"",IF($Z527="F",INDEX(Workforce!$K$2:$K$151,MATCH(INDEX(FTE_Allocation!$A$2:$A$201,$AB527),Workforce!$A$2:$A$151,0))&amp;"","")))</f>
        <v/>
      </c>
      <c r="G527" s="7">
        <f>IF($Z527="C",INDEX(Contracts!$F$2:$F$151,$AB527)&amp;" / "&amp;INDEX(Contracts!$G$2:$G$151,$AB527),IF($Z527="A",INDEX(Fixed_Assets!$E$2:$E$201,$AB527)&amp;"",IF($Z527="F","Personnel "&amp;INDEX(FTE_Allocation!$A$2:$A$201,$AB527)&amp;IF(INDEX(FTE_Allocation!$D$2:$D$201,$AB527)="PROJECT"," ("&amp;INDEX(FTE_Allocation!$E$2:$E$201,$AB527)&amp;")",""),"")))</f>
        <v/>
      </c>
      <c r="H527" s="7">
        <f>IF($Z527="C","CONTRACT",IF($Z527="A","ASSET",IF($Z527="F","WORKFORCE","")))</f>
        <v/>
      </c>
      <c r="I527" s="7">
        <f>IF($Z527="C",INDEX(Contracts!$L$2:$L$151,$AB527)&amp;"",IF($Z527="A",INDEX(Fixed_Assets!$I$2:$I$201,$AB527)&amp;"",IF($Z527="F",INDEX(Workforce!$G$2:$G$151,MATCH(INDEX(FTE_Allocation!$A$2:$A$201,$AB527),Workforce!$A$2:$A$151,0))&amp;"","")))</f>
        <v/>
      </c>
      <c r="J527" s="18">
        <f>IF($Z527="","",IF(AND(DATE($AD527,1,1)&gt;=$AE527,DATE($AD527,1,1)&lt;=$AF527),ROUND($AG527,2),0))</f>
        <v/>
      </c>
      <c r="K527" s="18">
        <f>IF($Z527="","",IF(AND(DATE($AD527,2,1)&gt;=$AE527,DATE($AD527,2,1)&lt;=$AF527),ROUND($AG527,2),0))</f>
        <v/>
      </c>
      <c r="L527" s="18">
        <f>IF($Z527="","",IF(AND(DATE($AD527,3,1)&gt;=$AE527,DATE($AD527,3,1)&lt;=$AF527),ROUND($AG527,2),0))</f>
        <v/>
      </c>
      <c r="M527" s="18">
        <f>IF($Z527="","",IF(AND(DATE($AD527,4,1)&gt;=$AE527,DATE($AD527,4,1)&lt;=$AF527),ROUND($AG527,2),0))</f>
        <v/>
      </c>
      <c r="N527" s="18">
        <f>IF($Z527="","",IF(AND(DATE($AD527,5,1)&gt;=$AE527,DATE($AD527,5,1)&lt;=$AF527),ROUND($AG527,2),0))</f>
        <v/>
      </c>
      <c r="O527" s="18">
        <f>IF($Z527="","",IF(AND(DATE($AD527,6,1)&gt;=$AE527,DATE($AD527,6,1)&lt;=$AF527),ROUND($AG527,2),0))</f>
        <v/>
      </c>
      <c r="P527" s="18">
        <f>IF($Z527="","",IF(AND(DATE($AD527,7,1)&gt;=$AE527,DATE($AD527,7,1)&lt;=$AF527),ROUND($AG527,2),0))</f>
        <v/>
      </c>
      <c r="Q527" s="18">
        <f>IF($Z527="","",IF(AND(DATE($AD527,8,1)&gt;=$AE527,DATE($AD527,8,1)&lt;=$AF527),ROUND($AG527,2),0))</f>
        <v/>
      </c>
      <c r="R527" s="18">
        <f>IF($Z527="","",IF(AND(DATE($AD527,9,1)&gt;=$AE527,DATE($AD527,9,1)&lt;=$AF527),ROUND($AG527,2),0))</f>
        <v/>
      </c>
      <c r="S527" s="18">
        <f>IF($Z527="","",IF(AND(DATE($AD527,10,1)&gt;=$AE527,DATE($AD527,10,1)&lt;=$AF527),ROUND($AG527,2),0))</f>
        <v/>
      </c>
      <c r="T527" s="18">
        <f>IF($Z527="","",IF(AND(DATE($AD527,11,1)&gt;=$AE527,DATE($AD527,11,1)&lt;=$AF527),ROUND($AG527,2),0))</f>
        <v/>
      </c>
      <c r="U527" s="18">
        <f>IF($Z527="","",IF(AND(DATE($AD527,12,1)&gt;=$AE527,DATE($AD527,12,1)&lt;=$AF527),ROUND($AG527,2),0))</f>
        <v/>
      </c>
      <c r="V527" s="7">
        <f>IF($Z527="C","Generated from "&amp;INDEX(Contracts!$A$2:$A$151,$AB527),IF($Z527="A","Generated from "&amp;INDEX(Fixed_Assets!$A$2:$A$201,$AB527),IF($Z527="F","Generated from "&amp;INDEX(FTE_Allocation!$A$2:$A$201,$AB527),"")))</f>
        <v/>
      </c>
      <c r="X527" s="19">
        <f>IF($Z527="","",SUM(J527:U527))</f>
        <v/>
      </c>
      <c r="Y527" s="20">
        <f>ROW()-1</f>
        <v/>
      </c>
      <c r="Z527" s="20">
        <f>IF($Y527&lt;=Settings!$B$4*3,"C",IF($Y527&lt;=(Settings!$B$4+Settings!$B$5)*3,"A",IF($Y527&lt;=(Settings!$B$4+Settings!$B$5+Settings!$B$6)*3,"F","")))</f>
        <v/>
      </c>
      <c r="AA527" s="20">
        <f>IF($Z527="C",$Y527,IF($Z527="A",$Y527-Settings!$B$4*3,IF($Z527="F",$Y527-(Settings!$B$4+Settings!$B$5)*3,"")))</f>
        <v/>
      </c>
      <c r="AB527" s="20">
        <f>IF($Z527="","",INT(($AA527-1)/3)+1)</f>
        <v/>
      </c>
      <c r="AC527" s="20">
        <f>IF($Z527="","",MOD($AA527-1,3)+1)</f>
        <v/>
      </c>
      <c r="AD527" s="20">
        <f>IF($Z527="","",Settings!$B$2+$AC527-1)</f>
        <v/>
      </c>
      <c r="AE527" s="21">
        <f>IF($Z527="C",DATE(YEAR(INDEX(Contracts!$J$2:$J$151,$AB527)),MONTH(INDEX(Contracts!$J$2:$J$151,$AB527)),1),IF($Z527="A",DATE(YEAR(INDEX(Fixed_Assets!$G$2:$G$201,$AB527)),MONTH(INDEX(Fixed_Assets!$G$2:$G$201,$AB527)),1),IF($Z527="F",DATE(YEAR(MAX(N(INDEX(Workforce!$I$2:$I$151,MATCH(INDEX(FTE_Allocation!$A$2:$A$201,$AB527),Workforce!$A$2:$A$151,0))),N(INDEX(FTE_Allocation!$I$2:$I$201,$AB527)))),MONTH(MAX(N(INDEX(Workforce!$I$2:$I$151,MATCH(INDEX(FTE_Allocation!$A$2:$A$201,$AB527),Workforce!$A$2:$A$151,0))),N(INDEX(FTE_Allocation!$I$2:$I$201,$AB527)))),1),"")))</f>
        <v/>
      </c>
      <c r="AF527" s="21">
        <f>IF($Z527="C",IF(INDEX(Contracts!$I$2:$I$151,$AB527)="PREPAID",EDATE(DATE(YEAR(INDEX(Contracts!$J$2:$J$151,$AB527)),MONTH(INDEX(Contracts!$J$2:$J$151,$AB527)),1),IF(INDEX(Contracts!$N$2:$N$151,$AB527)="",12,INDEX(Contracts!$N$2:$N$151,$AB527))-1),IF(INDEX(Contracts!$I$2:$I$151,$AB527)="MONTHLY",IF(INDEX(Contracts!$K$2:$K$151,$AB527)="",2958101,INDEX(Contracts!$K$2:$K$151,$AB527)),0)),IF($Z527="A",EDATE(DATE(YEAR(INDEX(Fixed_Assets!$G$2:$G$201,$AB527)),MONTH(INDEX(Fixed_Assets!$G$2:$G$201,$AB527)),1),INDEX(Fixed_Assets!$J$2:$J$201,$AB527)-1),IF($Z527="F",MIN(IF(INDEX(Workforce!$J$2:$J$151,MATCH(INDEX(FTE_Allocation!$A$2:$A$201,$AB527),Workforce!$A$2:$A$151,0))="",2958101,INDEX(Workforce!$J$2:$J$151,MATCH(INDEX(FTE_Allocation!$A$2:$A$201,$AB527),Workforce!$A$2:$A$151,0))),IF(INDEX(FTE_Allocation!$J$2:$J$201,$AB527)="",2958101,INDEX(FTE_Allocation!$J$2:$J$201,$AB527))),"")))</f>
        <v/>
      </c>
      <c r="AG527" s="19">
        <f>IF($Z527="C",IF(INDEX(Contracts!$I$2:$I$151,$AB527)="PREPAID",INDEX(Contracts!$M$2:$M$151,$AB527)/IF(INDEX(Contracts!$N$2:$N$151,$AB527)="",12,INDEX(Contracts!$N$2:$N$151,$AB527)),IF(INDEX(Contracts!$I$2:$I$151,$AB527)="MONTHLY",INDEX(Contracts!$M$2:$M$151,$AB527),0))*(1-N(INDEX(Contracts!$O$2:$O$151,$AB527))),IF($Z527="A",INDEX(Fixed_Assets!$H$2:$H$201,$AB527)/INDEX(Fixed_Assets!$J$2:$J$201,$AB527),IF($Z527="F",INDEX(Workforce!$F$2:$F$151,MATCH(INDEX(FTE_Allocation!$A$2:$A$201,$AB527),Workforce!$A$2:$A$151,0))*N(INDEX(FTE_Allocation!$F$2:$H$201,$AB527,$AC527)),"")))</f>
        <v/>
      </c>
    </row>
    <row r="528">
      <c r="A528" s="7">
        <f>IF($Z528="","",$AD528)</f>
        <v/>
      </c>
      <c r="B528" s="7">
        <f>IF($Z528="C",INDEX(Contracts!$D$2:$D$151,$AB528)&amp;"",IF($Z528="A",INDEX(Fixed_Assets!$C$2:$C$201,$AB528)&amp;"",IF($Z528="F",INDEX(Workforce!$B$2:$B$151,MATCH(INDEX(FTE_Allocation!$A$2:$A$201,$AB528),Workforce!$A$2:$A$151,0))&amp;"","")))</f>
        <v/>
      </c>
      <c r="C528" s="7">
        <f>IF($Z528="C",INDEX(Contracts!$E$2:$E$151,$AB528)&amp;"",IF($Z528="A",INDEX(Fixed_Assets!$D$2:$D$201,$AB528)&amp;"",IF($Z528="F",INDEX(FTE_Allocation!$C$2:$C$201,$AB528)&amp;"","")))</f>
        <v/>
      </c>
      <c r="D528" s="7">
        <f>IF($Z528="C",INDEX(Contracts!$B$2:$B$151,$AB528)&amp;"",IF($Z528="A",INDEX(Fixed_Assets!$B$2:$B$201,$AB528)&amp;"",IF($Z528="F",INDEX(FTE_Allocation!$B$2:$B$201,$AB528)&amp;"","")))</f>
        <v/>
      </c>
      <c r="E528" s="7">
        <f>IF($Z528="C",INDEX(Contracts!$P$2:$P$151,$AB528)&amp;"",IF($Z528="A",INDEX(Fixed_Assets!$K$2:$K$201,$AB528)&amp;"",IF($Z528="F",IF(INDEX(FTE_Allocation!$D$2:$D$201,$AB528)="PROJECT",IFERROR(INDEX(Projects!$D:$D,MATCH(INDEX(FTE_Allocation!$E$2:$E$201,$AB528),Projects!$A:$A,0))&amp;"","#PROJECT?"),INDEX(FTE_Allocation!$E$2:$E$201,$AB528)&amp;""),"")))</f>
        <v/>
      </c>
      <c r="F528" s="7">
        <f>IF($Z528="C",INDEX(Contracts!$Q$2:$Q$151,$AB528)&amp;"",IF($Z528="A",INDEX(Fixed_Assets!$L$2:$L$201,$AB528)&amp;"",IF($Z528="F",INDEX(Workforce!$K$2:$K$151,MATCH(INDEX(FTE_Allocation!$A$2:$A$201,$AB528),Workforce!$A$2:$A$151,0))&amp;"","")))</f>
        <v/>
      </c>
      <c r="G528" s="7">
        <f>IF($Z528="C",INDEX(Contracts!$F$2:$F$151,$AB528)&amp;" / "&amp;INDEX(Contracts!$G$2:$G$151,$AB528),IF($Z528="A",INDEX(Fixed_Assets!$E$2:$E$201,$AB528)&amp;"",IF($Z528="F","Personnel "&amp;INDEX(FTE_Allocation!$A$2:$A$201,$AB528)&amp;IF(INDEX(FTE_Allocation!$D$2:$D$201,$AB528)="PROJECT"," ("&amp;INDEX(FTE_Allocation!$E$2:$E$201,$AB528)&amp;")",""),"")))</f>
        <v/>
      </c>
      <c r="H528" s="7">
        <f>IF($Z528="C","CONTRACT",IF($Z528="A","ASSET",IF($Z528="F","WORKFORCE","")))</f>
        <v/>
      </c>
      <c r="I528" s="7">
        <f>IF($Z528="C",INDEX(Contracts!$L$2:$L$151,$AB528)&amp;"",IF($Z528="A",INDEX(Fixed_Assets!$I$2:$I$201,$AB528)&amp;"",IF($Z528="F",INDEX(Workforce!$G$2:$G$151,MATCH(INDEX(FTE_Allocation!$A$2:$A$201,$AB528),Workforce!$A$2:$A$151,0))&amp;"","")))</f>
        <v/>
      </c>
      <c r="J528" s="18">
        <f>IF($Z528="","",IF(AND(DATE($AD528,1,1)&gt;=$AE528,DATE($AD528,1,1)&lt;=$AF528),ROUND($AG528,2),0))</f>
        <v/>
      </c>
      <c r="K528" s="18">
        <f>IF($Z528="","",IF(AND(DATE($AD528,2,1)&gt;=$AE528,DATE($AD528,2,1)&lt;=$AF528),ROUND($AG528,2),0))</f>
        <v/>
      </c>
      <c r="L528" s="18">
        <f>IF($Z528="","",IF(AND(DATE($AD528,3,1)&gt;=$AE528,DATE($AD528,3,1)&lt;=$AF528),ROUND($AG528,2),0))</f>
        <v/>
      </c>
      <c r="M528" s="18">
        <f>IF($Z528="","",IF(AND(DATE($AD528,4,1)&gt;=$AE528,DATE($AD528,4,1)&lt;=$AF528),ROUND($AG528,2),0))</f>
        <v/>
      </c>
      <c r="N528" s="18">
        <f>IF($Z528="","",IF(AND(DATE($AD528,5,1)&gt;=$AE528,DATE($AD528,5,1)&lt;=$AF528),ROUND($AG528,2),0))</f>
        <v/>
      </c>
      <c r="O528" s="18">
        <f>IF($Z528="","",IF(AND(DATE($AD528,6,1)&gt;=$AE528,DATE($AD528,6,1)&lt;=$AF528),ROUND($AG528,2),0))</f>
        <v/>
      </c>
      <c r="P528" s="18">
        <f>IF($Z528="","",IF(AND(DATE($AD528,7,1)&gt;=$AE528,DATE($AD528,7,1)&lt;=$AF528),ROUND($AG528,2),0))</f>
        <v/>
      </c>
      <c r="Q528" s="18">
        <f>IF($Z528="","",IF(AND(DATE($AD528,8,1)&gt;=$AE528,DATE($AD528,8,1)&lt;=$AF528),ROUND($AG528,2),0))</f>
        <v/>
      </c>
      <c r="R528" s="18">
        <f>IF($Z528="","",IF(AND(DATE($AD528,9,1)&gt;=$AE528,DATE($AD528,9,1)&lt;=$AF528),ROUND($AG528,2),0))</f>
        <v/>
      </c>
      <c r="S528" s="18">
        <f>IF($Z528="","",IF(AND(DATE($AD528,10,1)&gt;=$AE528,DATE($AD528,10,1)&lt;=$AF528),ROUND($AG528,2),0))</f>
        <v/>
      </c>
      <c r="T528" s="18">
        <f>IF($Z528="","",IF(AND(DATE($AD528,11,1)&gt;=$AE528,DATE($AD528,11,1)&lt;=$AF528),ROUND($AG528,2),0))</f>
        <v/>
      </c>
      <c r="U528" s="18">
        <f>IF($Z528="","",IF(AND(DATE($AD528,12,1)&gt;=$AE528,DATE($AD528,12,1)&lt;=$AF528),ROUND($AG528,2),0))</f>
        <v/>
      </c>
      <c r="V528" s="7">
        <f>IF($Z528="C","Generated from "&amp;INDEX(Contracts!$A$2:$A$151,$AB528),IF($Z528="A","Generated from "&amp;INDEX(Fixed_Assets!$A$2:$A$201,$AB528),IF($Z528="F","Generated from "&amp;INDEX(FTE_Allocation!$A$2:$A$201,$AB528),"")))</f>
        <v/>
      </c>
      <c r="X528" s="19">
        <f>IF($Z528="","",SUM(J528:U528))</f>
        <v/>
      </c>
      <c r="Y528" s="20">
        <f>ROW()-1</f>
        <v/>
      </c>
      <c r="Z528" s="20">
        <f>IF($Y528&lt;=Settings!$B$4*3,"C",IF($Y528&lt;=(Settings!$B$4+Settings!$B$5)*3,"A",IF($Y528&lt;=(Settings!$B$4+Settings!$B$5+Settings!$B$6)*3,"F","")))</f>
        <v/>
      </c>
      <c r="AA528" s="20">
        <f>IF($Z528="C",$Y528,IF($Z528="A",$Y528-Settings!$B$4*3,IF($Z528="F",$Y528-(Settings!$B$4+Settings!$B$5)*3,"")))</f>
        <v/>
      </c>
      <c r="AB528" s="20">
        <f>IF($Z528="","",INT(($AA528-1)/3)+1)</f>
        <v/>
      </c>
      <c r="AC528" s="20">
        <f>IF($Z528="","",MOD($AA528-1,3)+1)</f>
        <v/>
      </c>
      <c r="AD528" s="20">
        <f>IF($Z528="","",Settings!$B$2+$AC528-1)</f>
        <v/>
      </c>
      <c r="AE528" s="21">
        <f>IF($Z528="C",DATE(YEAR(INDEX(Contracts!$J$2:$J$151,$AB528)),MONTH(INDEX(Contracts!$J$2:$J$151,$AB528)),1),IF($Z528="A",DATE(YEAR(INDEX(Fixed_Assets!$G$2:$G$201,$AB528)),MONTH(INDEX(Fixed_Assets!$G$2:$G$201,$AB528)),1),IF($Z528="F",DATE(YEAR(MAX(N(INDEX(Workforce!$I$2:$I$151,MATCH(INDEX(FTE_Allocation!$A$2:$A$201,$AB528),Workforce!$A$2:$A$151,0))),N(INDEX(FTE_Allocation!$I$2:$I$201,$AB528)))),MONTH(MAX(N(INDEX(Workforce!$I$2:$I$151,MATCH(INDEX(FTE_Allocation!$A$2:$A$201,$AB528),Workforce!$A$2:$A$151,0))),N(INDEX(FTE_Allocation!$I$2:$I$201,$AB528)))),1),"")))</f>
        <v/>
      </c>
      <c r="AF528" s="21">
        <f>IF($Z528="C",IF(INDEX(Contracts!$I$2:$I$151,$AB528)="PREPAID",EDATE(DATE(YEAR(INDEX(Contracts!$J$2:$J$151,$AB528)),MONTH(INDEX(Contracts!$J$2:$J$151,$AB528)),1),IF(INDEX(Contracts!$N$2:$N$151,$AB528)="",12,INDEX(Contracts!$N$2:$N$151,$AB528))-1),IF(INDEX(Contracts!$I$2:$I$151,$AB528)="MONTHLY",IF(INDEX(Contracts!$K$2:$K$151,$AB528)="",2958101,INDEX(Contracts!$K$2:$K$151,$AB528)),0)),IF($Z528="A",EDATE(DATE(YEAR(INDEX(Fixed_Assets!$G$2:$G$201,$AB528)),MONTH(INDEX(Fixed_Assets!$G$2:$G$201,$AB528)),1),INDEX(Fixed_Assets!$J$2:$J$201,$AB528)-1),IF($Z528="F",MIN(IF(INDEX(Workforce!$J$2:$J$151,MATCH(INDEX(FTE_Allocation!$A$2:$A$201,$AB528),Workforce!$A$2:$A$151,0))="",2958101,INDEX(Workforce!$J$2:$J$151,MATCH(INDEX(FTE_Allocation!$A$2:$A$201,$AB528),Workforce!$A$2:$A$151,0))),IF(INDEX(FTE_Allocation!$J$2:$J$201,$AB528)="",2958101,INDEX(FTE_Allocation!$J$2:$J$201,$AB528))),"")))</f>
        <v/>
      </c>
      <c r="AG528" s="19">
        <f>IF($Z528="C",IF(INDEX(Contracts!$I$2:$I$151,$AB528)="PREPAID",INDEX(Contracts!$M$2:$M$151,$AB528)/IF(INDEX(Contracts!$N$2:$N$151,$AB528)="",12,INDEX(Contracts!$N$2:$N$151,$AB528)),IF(INDEX(Contracts!$I$2:$I$151,$AB528)="MONTHLY",INDEX(Contracts!$M$2:$M$151,$AB528),0))*(1-N(INDEX(Contracts!$O$2:$O$151,$AB528))),IF($Z528="A",INDEX(Fixed_Assets!$H$2:$H$201,$AB528)/INDEX(Fixed_Assets!$J$2:$J$201,$AB528),IF($Z528="F",INDEX(Workforce!$F$2:$F$151,MATCH(INDEX(FTE_Allocation!$A$2:$A$201,$AB528),Workforce!$A$2:$A$151,0))*N(INDEX(FTE_Allocation!$F$2:$H$201,$AB528,$AC528)),"")))</f>
        <v/>
      </c>
    </row>
    <row r="529">
      <c r="A529" s="7">
        <f>IF($Z529="","",$AD529)</f>
        <v/>
      </c>
      <c r="B529" s="7">
        <f>IF($Z529="C",INDEX(Contracts!$D$2:$D$151,$AB529)&amp;"",IF($Z529="A",INDEX(Fixed_Assets!$C$2:$C$201,$AB529)&amp;"",IF($Z529="F",INDEX(Workforce!$B$2:$B$151,MATCH(INDEX(FTE_Allocation!$A$2:$A$201,$AB529),Workforce!$A$2:$A$151,0))&amp;"","")))</f>
        <v/>
      </c>
      <c r="C529" s="7">
        <f>IF($Z529="C",INDEX(Contracts!$E$2:$E$151,$AB529)&amp;"",IF($Z529="A",INDEX(Fixed_Assets!$D$2:$D$201,$AB529)&amp;"",IF($Z529="F",INDEX(FTE_Allocation!$C$2:$C$201,$AB529)&amp;"","")))</f>
        <v/>
      </c>
      <c r="D529" s="7">
        <f>IF($Z529="C",INDEX(Contracts!$B$2:$B$151,$AB529)&amp;"",IF($Z529="A",INDEX(Fixed_Assets!$B$2:$B$201,$AB529)&amp;"",IF($Z529="F",INDEX(FTE_Allocation!$B$2:$B$201,$AB529)&amp;"","")))</f>
        <v/>
      </c>
      <c r="E529" s="7">
        <f>IF($Z529="C",INDEX(Contracts!$P$2:$P$151,$AB529)&amp;"",IF($Z529="A",INDEX(Fixed_Assets!$K$2:$K$201,$AB529)&amp;"",IF($Z529="F",IF(INDEX(FTE_Allocation!$D$2:$D$201,$AB529)="PROJECT",IFERROR(INDEX(Projects!$D:$D,MATCH(INDEX(FTE_Allocation!$E$2:$E$201,$AB529),Projects!$A:$A,0))&amp;"","#PROJECT?"),INDEX(FTE_Allocation!$E$2:$E$201,$AB529)&amp;""),"")))</f>
        <v/>
      </c>
      <c r="F529" s="7">
        <f>IF($Z529="C",INDEX(Contracts!$Q$2:$Q$151,$AB529)&amp;"",IF($Z529="A",INDEX(Fixed_Assets!$L$2:$L$201,$AB529)&amp;"",IF($Z529="F",INDEX(Workforce!$K$2:$K$151,MATCH(INDEX(FTE_Allocation!$A$2:$A$201,$AB529),Workforce!$A$2:$A$151,0))&amp;"","")))</f>
        <v/>
      </c>
      <c r="G529" s="7">
        <f>IF($Z529="C",INDEX(Contracts!$F$2:$F$151,$AB529)&amp;" / "&amp;INDEX(Contracts!$G$2:$G$151,$AB529),IF($Z529="A",INDEX(Fixed_Assets!$E$2:$E$201,$AB529)&amp;"",IF($Z529="F","Personnel "&amp;INDEX(FTE_Allocation!$A$2:$A$201,$AB529)&amp;IF(INDEX(FTE_Allocation!$D$2:$D$201,$AB529)="PROJECT"," ("&amp;INDEX(FTE_Allocation!$E$2:$E$201,$AB529)&amp;")",""),"")))</f>
        <v/>
      </c>
      <c r="H529" s="7">
        <f>IF($Z529="C","CONTRACT",IF($Z529="A","ASSET",IF($Z529="F","WORKFORCE","")))</f>
        <v/>
      </c>
      <c r="I529" s="7">
        <f>IF($Z529="C",INDEX(Contracts!$L$2:$L$151,$AB529)&amp;"",IF($Z529="A",INDEX(Fixed_Assets!$I$2:$I$201,$AB529)&amp;"",IF($Z529="F",INDEX(Workforce!$G$2:$G$151,MATCH(INDEX(FTE_Allocation!$A$2:$A$201,$AB529),Workforce!$A$2:$A$151,0))&amp;"","")))</f>
        <v/>
      </c>
      <c r="J529" s="18">
        <f>IF($Z529="","",IF(AND(DATE($AD529,1,1)&gt;=$AE529,DATE($AD529,1,1)&lt;=$AF529),ROUND($AG529,2),0))</f>
        <v/>
      </c>
      <c r="K529" s="18">
        <f>IF($Z529="","",IF(AND(DATE($AD529,2,1)&gt;=$AE529,DATE($AD529,2,1)&lt;=$AF529),ROUND($AG529,2),0))</f>
        <v/>
      </c>
      <c r="L529" s="18">
        <f>IF($Z529="","",IF(AND(DATE($AD529,3,1)&gt;=$AE529,DATE($AD529,3,1)&lt;=$AF529),ROUND($AG529,2),0))</f>
        <v/>
      </c>
      <c r="M529" s="18">
        <f>IF($Z529="","",IF(AND(DATE($AD529,4,1)&gt;=$AE529,DATE($AD529,4,1)&lt;=$AF529),ROUND($AG529,2),0))</f>
        <v/>
      </c>
      <c r="N529" s="18">
        <f>IF($Z529="","",IF(AND(DATE($AD529,5,1)&gt;=$AE529,DATE($AD529,5,1)&lt;=$AF529),ROUND($AG529,2),0))</f>
        <v/>
      </c>
      <c r="O529" s="18">
        <f>IF($Z529="","",IF(AND(DATE($AD529,6,1)&gt;=$AE529,DATE($AD529,6,1)&lt;=$AF529),ROUND($AG529,2),0))</f>
        <v/>
      </c>
      <c r="P529" s="18">
        <f>IF($Z529="","",IF(AND(DATE($AD529,7,1)&gt;=$AE529,DATE($AD529,7,1)&lt;=$AF529),ROUND($AG529,2),0))</f>
        <v/>
      </c>
      <c r="Q529" s="18">
        <f>IF($Z529="","",IF(AND(DATE($AD529,8,1)&gt;=$AE529,DATE($AD529,8,1)&lt;=$AF529),ROUND($AG529,2),0))</f>
        <v/>
      </c>
      <c r="R529" s="18">
        <f>IF($Z529="","",IF(AND(DATE($AD529,9,1)&gt;=$AE529,DATE($AD529,9,1)&lt;=$AF529),ROUND($AG529,2),0))</f>
        <v/>
      </c>
      <c r="S529" s="18">
        <f>IF($Z529="","",IF(AND(DATE($AD529,10,1)&gt;=$AE529,DATE($AD529,10,1)&lt;=$AF529),ROUND($AG529,2),0))</f>
        <v/>
      </c>
      <c r="T529" s="18">
        <f>IF($Z529="","",IF(AND(DATE($AD529,11,1)&gt;=$AE529,DATE($AD529,11,1)&lt;=$AF529),ROUND($AG529,2),0))</f>
        <v/>
      </c>
      <c r="U529" s="18">
        <f>IF($Z529="","",IF(AND(DATE($AD529,12,1)&gt;=$AE529,DATE($AD529,12,1)&lt;=$AF529),ROUND($AG529,2),0))</f>
        <v/>
      </c>
      <c r="V529" s="7">
        <f>IF($Z529="C","Generated from "&amp;INDEX(Contracts!$A$2:$A$151,$AB529),IF($Z529="A","Generated from "&amp;INDEX(Fixed_Assets!$A$2:$A$201,$AB529),IF($Z529="F","Generated from "&amp;INDEX(FTE_Allocation!$A$2:$A$201,$AB529),"")))</f>
        <v/>
      </c>
      <c r="X529" s="19">
        <f>IF($Z529="","",SUM(J529:U529))</f>
        <v/>
      </c>
      <c r="Y529" s="20">
        <f>ROW()-1</f>
        <v/>
      </c>
      <c r="Z529" s="20">
        <f>IF($Y529&lt;=Settings!$B$4*3,"C",IF($Y529&lt;=(Settings!$B$4+Settings!$B$5)*3,"A",IF($Y529&lt;=(Settings!$B$4+Settings!$B$5+Settings!$B$6)*3,"F","")))</f>
        <v/>
      </c>
      <c r="AA529" s="20">
        <f>IF($Z529="C",$Y529,IF($Z529="A",$Y529-Settings!$B$4*3,IF($Z529="F",$Y529-(Settings!$B$4+Settings!$B$5)*3,"")))</f>
        <v/>
      </c>
      <c r="AB529" s="20">
        <f>IF($Z529="","",INT(($AA529-1)/3)+1)</f>
        <v/>
      </c>
      <c r="AC529" s="20">
        <f>IF($Z529="","",MOD($AA529-1,3)+1)</f>
        <v/>
      </c>
      <c r="AD529" s="20">
        <f>IF($Z529="","",Settings!$B$2+$AC529-1)</f>
        <v/>
      </c>
      <c r="AE529" s="21">
        <f>IF($Z529="C",DATE(YEAR(INDEX(Contracts!$J$2:$J$151,$AB529)),MONTH(INDEX(Contracts!$J$2:$J$151,$AB529)),1),IF($Z529="A",DATE(YEAR(INDEX(Fixed_Assets!$G$2:$G$201,$AB529)),MONTH(INDEX(Fixed_Assets!$G$2:$G$201,$AB529)),1),IF($Z529="F",DATE(YEAR(MAX(N(INDEX(Workforce!$I$2:$I$151,MATCH(INDEX(FTE_Allocation!$A$2:$A$201,$AB529),Workforce!$A$2:$A$151,0))),N(INDEX(FTE_Allocation!$I$2:$I$201,$AB529)))),MONTH(MAX(N(INDEX(Workforce!$I$2:$I$151,MATCH(INDEX(FTE_Allocation!$A$2:$A$201,$AB529),Workforce!$A$2:$A$151,0))),N(INDEX(FTE_Allocation!$I$2:$I$201,$AB529)))),1),"")))</f>
        <v/>
      </c>
      <c r="AF529" s="21">
        <f>IF($Z529="C",IF(INDEX(Contracts!$I$2:$I$151,$AB529)="PREPAID",EDATE(DATE(YEAR(INDEX(Contracts!$J$2:$J$151,$AB529)),MONTH(INDEX(Contracts!$J$2:$J$151,$AB529)),1),IF(INDEX(Contracts!$N$2:$N$151,$AB529)="",12,INDEX(Contracts!$N$2:$N$151,$AB529))-1),IF(INDEX(Contracts!$I$2:$I$151,$AB529)="MONTHLY",IF(INDEX(Contracts!$K$2:$K$151,$AB529)="",2958101,INDEX(Contracts!$K$2:$K$151,$AB529)),0)),IF($Z529="A",EDATE(DATE(YEAR(INDEX(Fixed_Assets!$G$2:$G$201,$AB529)),MONTH(INDEX(Fixed_Assets!$G$2:$G$201,$AB529)),1),INDEX(Fixed_Assets!$J$2:$J$201,$AB529)-1),IF($Z529="F",MIN(IF(INDEX(Workforce!$J$2:$J$151,MATCH(INDEX(FTE_Allocation!$A$2:$A$201,$AB529),Workforce!$A$2:$A$151,0))="",2958101,INDEX(Workforce!$J$2:$J$151,MATCH(INDEX(FTE_Allocation!$A$2:$A$201,$AB529),Workforce!$A$2:$A$151,0))),IF(INDEX(FTE_Allocation!$J$2:$J$201,$AB529)="",2958101,INDEX(FTE_Allocation!$J$2:$J$201,$AB529))),"")))</f>
        <v/>
      </c>
      <c r="AG529" s="19">
        <f>IF($Z529="C",IF(INDEX(Contracts!$I$2:$I$151,$AB529)="PREPAID",INDEX(Contracts!$M$2:$M$151,$AB529)/IF(INDEX(Contracts!$N$2:$N$151,$AB529)="",12,INDEX(Contracts!$N$2:$N$151,$AB529)),IF(INDEX(Contracts!$I$2:$I$151,$AB529)="MONTHLY",INDEX(Contracts!$M$2:$M$151,$AB529),0))*(1-N(INDEX(Contracts!$O$2:$O$151,$AB529))),IF($Z529="A",INDEX(Fixed_Assets!$H$2:$H$201,$AB529)/INDEX(Fixed_Assets!$J$2:$J$201,$AB529),IF($Z529="F",INDEX(Workforce!$F$2:$F$151,MATCH(INDEX(FTE_Allocation!$A$2:$A$201,$AB529),Workforce!$A$2:$A$151,0))*N(INDEX(FTE_Allocation!$F$2:$H$201,$AB529,$AC529)),"")))</f>
        <v/>
      </c>
    </row>
    <row r="530">
      <c r="A530" s="7">
        <f>IF($Z530="","",$AD530)</f>
        <v/>
      </c>
      <c r="B530" s="7">
        <f>IF($Z530="C",INDEX(Contracts!$D$2:$D$151,$AB530)&amp;"",IF($Z530="A",INDEX(Fixed_Assets!$C$2:$C$201,$AB530)&amp;"",IF($Z530="F",INDEX(Workforce!$B$2:$B$151,MATCH(INDEX(FTE_Allocation!$A$2:$A$201,$AB530),Workforce!$A$2:$A$151,0))&amp;"","")))</f>
        <v/>
      </c>
      <c r="C530" s="7">
        <f>IF($Z530="C",INDEX(Contracts!$E$2:$E$151,$AB530)&amp;"",IF($Z530="A",INDEX(Fixed_Assets!$D$2:$D$201,$AB530)&amp;"",IF($Z530="F",INDEX(FTE_Allocation!$C$2:$C$201,$AB530)&amp;"","")))</f>
        <v/>
      </c>
      <c r="D530" s="7">
        <f>IF($Z530="C",INDEX(Contracts!$B$2:$B$151,$AB530)&amp;"",IF($Z530="A",INDEX(Fixed_Assets!$B$2:$B$201,$AB530)&amp;"",IF($Z530="F",INDEX(FTE_Allocation!$B$2:$B$201,$AB530)&amp;"","")))</f>
        <v/>
      </c>
      <c r="E530" s="7">
        <f>IF($Z530="C",INDEX(Contracts!$P$2:$P$151,$AB530)&amp;"",IF($Z530="A",INDEX(Fixed_Assets!$K$2:$K$201,$AB530)&amp;"",IF($Z530="F",IF(INDEX(FTE_Allocation!$D$2:$D$201,$AB530)="PROJECT",IFERROR(INDEX(Projects!$D:$D,MATCH(INDEX(FTE_Allocation!$E$2:$E$201,$AB530),Projects!$A:$A,0))&amp;"","#PROJECT?"),INDEX(FTE_Allocation!$E$2:$E$201,$AB530)&amp;""),"")))</f>
        <v/>
      </c>
      <c r="F530" s="7">
        <f>IF($Z530="C",INDEX(Contracts!$Q$2:$Q$151,$AB530)&amp;"",IF($Z530="A",INDEX(Fixed_Assets!$L$2:$L$201,$AB530)&amp;"",IF($Z530="F",INDEX(Workforce!$K$2:$K$151,MATCH(INDEX(FTE_Allocation!$A$2:$A$201,$AB530),Workforce!$A$2:$A$151,0))&amp;"","")))</f>
        <v/>
      </c>
      <c r="G530" s="7">
        <f>IF($Z530="C",INDEX(Contracts!$F$2:$F$151,$AB530)&amp;" / "&amp;INDEX(Contracts!$G$2:$G$151,$AB530),IF($Z530="A",INDEX(Fixed_Assets!$E$2:$E$201,$AB530)&amp;"",IF($Z530="F","Personnel "&amp;INDEX(FTE_Allocation!$A$2:$A$201,$AB530)&amp;IF(INDEX(FTE_Allocation!$D$2:$D$201,$AB530)="PROJECT"," ("&amp;INDEX(FTE_Allocation!$E$2:$E$201,$AB530)&amp;")",""),"")))</f>
        <v/>
      </c>
      <c r="H530" s="7">
        <f>IF($Z530="C","CONTRACT",IF($Z530="A","ASSET",IF($Z530="F","WORKFORCE","")))</f>
        <v/>
      </c>
      <c r="I530" s="7">
        <f>IF($Z530="C",INDEX(Contracts!$L$2:$L$151,$AB530)&amp;"",IF($Z530="A",INDEX(Fixed_Assets!$I$2:$I$201,$AB530)&amp;"",IF($Z530="F",INDEX(Workforce!$G$2:$G$151,MATCH(INDEX(FTE_Allocation!$A$2:$A$201,$AB530),Workforce!$A$2:$A$151,0))&amp;"","")))</f>
        <v/>
      </c>
      <c r="J530" s="18">
        <f>IF($Z530="","",IF(AND(DATE($AD530,1,1)&gt;=$AE530,DATE($AD530,1,1)&lt;=$AF530),ROUND($AG530,2),0))</f>
        <v/>
      </c>
      <c r="K530" s="18">
        <f>IF($Z530="","",IF(AND(DATE($AD530,2,1)&gt;=$AE530,DATE($AD530,2,1)&lt;=$AF530),ROUND($AG530,2),0))</f>
        <v/>
      </c>
      <c r="L530" s="18">
        <f>IF($Z530="","",IF(AND(DATE($AD530,3,1)&gt;=$AE530,DATE($AD530,3,1)&lt;=$AF530),ROUND($AG530,2),0))</f>
        <v/>
      </c>
      <c r="M530" s="18">
        <f>IF($Z530="","",IF(AND(DATE($AD530,4,1)&gt;=$AE530,DATE($AD530,4,1)&lt;=$AF530),ROUND($AG530,2),0))</f>
        <v/>
      </c>
      <c r="N530" s="18">
        <f>IF($Z530="","",IF(AND(DATE($AD530,5,1)&gt;=$AE530,DATE($AD530,5,1)&lt;=$AF530),ROUND($AG530,2),0))</f>
        <v/>
      </c>
      <c r="O530" s="18">
        <f>IF($Z530="","",IF(AND(DATE($AD530,6,1)&gt;=$AE530,DATE($AD530,6,1)&lt;=$AF530),ROUND($AG530,2),0))</f>
        <v/>
      </c>
      <c r="P530" s="18">
        <f>IF($Z530="","",IF(AND(DATE($AD530,7,1)&gt;=$AE530,DATE($AD530,7,1)&lt;=$AF530),ROUND($AG530,2),0))</f>
        <v/>
      </c>
      <c r="Q530" s="18">
        <f>IF($Z530="","",IF(AND(DATE($AD530,8,1)&gt;=$AE530,DATE($AD530,8,1)&lt;=$AF530),ROUND($AG530,2),0))</f>
        <v/>
      </c>
      <c r="R530" s="18">
        <f>IF($Z530="","",IF(AND(DATE($AD530,9,1)&gt;=$AE530,DATE($AD530,9,1)&lt;=$AF530),ROUND($AG530,2),0))</f>
        <v/>
      </c>
      <c r="S530" s="18">
        <f>IF($Z530="","",IF(AND(DATE($AD530,10,1)&gt;=$AE530,DATE($AD530,10,1)&lt;=$AF530),ROUND($AG530,2),0))</f>
        <v/>
      </c>
      <c r="T530" s="18">
        <f>IF($Z530="","",IF(AND(DATE($AD530,11,1)&gt;=$AE530,DATE($AD530,11,1)&lt;=$AF530),ROUND($AG530,2),0))</f>
        <v/>
      </c>
      <c r="U530" s="18">
        <f>IF($Z530="","",IF(AND(DATE($AD530,12,1)&gt;=$AE530,DATE($AD530,12,1)&lt;=$AF530),ROUND($AG530,2),0))</f>
        <v/>
      </c>
      <c r="V530" s="7">
        <f>IF($Z530="C","Generated from "&amp;INDEX(Contracts!$A$2:$A$151,$AB530),IF($Z530="A","Generated from "&amp;INDEX(Fixed_Assets!$A$2:$A$201,$AB530),IF($Z530="F","Generated from "&amp;INDEX(FTE_Allocation!$A$2:$A$201,$AB530),"")))</f>
        <v/>
      </c>
      <c r="X530" s="19">
        <f>IF($Z530="","",SUM(J530:U530))</f>
        <v/>
      </c>
      <c r="Y530" s="20">
        <f>ROW()-1</f>
        <v/>
      </c>
      <c r="Z530" s="20">
        <f>IF($Y530&lt;=Settings!$B$4*3,"C",IF($Y530&lt;=(Settings!$B$4+Settings!$B$5)*3,"A",IF($Y530&lt;=(Settings!$B$4+Settings!$B$5+Settings!$B$6)*3,"F","")))</f>
        <v/>
      </c>
      <c r="AA530" s="20">
        <f>IF($Z530="C",$Y530,IF($Z530="A",$Y530-Settings!$B$4*3,IF($Z530="F",$Y530-(Settings!$B$4+Settings!$B$5)*3,"")))</f>
        <v/>
      </c>
      <c r="AB530" s="20">
        <f>IF($Z530="","",INT(($AA530-1)/3)+1)</f>
        <v/>
      </c>
      <c r="AC530" s="20">
        <f>IF($Z530="","",MOD($AA530-1,3)+1)</f>
        <v/>
      </c>
      <c r="AD530" s="20">
        <f>IF($Z530="","",Settings!$B$2+$AC530-1)</f>
        <v/>
      </c>
      <c r="AE530" s="21">
        <f>IF($Z530="C",DATE(YEAR(INDEX(Contracts!$J$2:$J$151,$AB530)),MONTH(INDEX(Contracts!$J$2:$J$151,$AB530)),1),IF($Z530="A",DATE(YEAR(INDEX(Fixed_Assets!$G$2:$G$201,$AB530)),MONTH(INDEX(Fixed_Assets!$G$2:$G$201,$AB530)),1),IF($Z530="F",DATE(YEAR(MAX(N(INDEX(Workforce!$I$2:$I$151,MATCH(INDEX(FTE_Allocation!$A$2:$A$201,$AB530),Workforce!$A$2:$A$151,0))),N(INDEX(FTE_Allocation!$I$2:$I$201,$AB530)))),MONTH(MAX(N(INDEX(Workforce!$I$2:$I$151,MATCH(INDEX(FTE_Allocation!$A$2:$A$201,$AB530),Workforce!$A$2:$A$151,0))),N(INDEX(FTE_Allocation!$I$2:$I$201,$AB530)))),1),"")))</f>
        <v/>
      </c>
      <c r="AF530" s="21">
        <f>IF($Z530="C",IF(INDEX(Contracts!$I$2:$I$151,$AB530)="PREPAID",EDATE(DATE(YEAR(INDEX(Contracts!$J$2:$J$151,$AB530)),MONTH(INDEX(Contracts!$J$2:$J$151,$AB530)),1),IF(INDEX(Contracts!$N$2:$N$151,$AB530)="",12,INDEX(Contracts!$N$2:$N$151,$AB530))-1),IF(INDEX(Contracts!$I$2:$I$151,$AB530)="MONTHLY",IF(INDEX(Contracts!$K$2:$K$151,$AB530)="",2958101,INDEX(Contracts!$K$2:$K$151,$AB530)),0)),IF($Z530="A",EDATE(DATE(YEAR(INDEX(Fixed_Assets!$G$2:$G$201,$AB530)),MONTH(INDEX(Fixed_Assets!$G$2:$G$201,$AB530)),1),INDEX(Fixed_Assets!$J$2:$J$201,$AB530)-1),IF($Z530="F",MIN(IF(INDEX(Workforce!$J$2:$J$151,MATCH(INDEX(FTE_Allocation!$A$2:$A$201,$AB530),Workforce!$A$2:$A$151,0))="",2958101,INDEX(Workforce!$J$2:$J$151,MATCH(INDEX(FTE_Allocation!$A$2:$A$201,$AB530),Workforce!$A$2:$A$151,0))),IF(INDEX(FTE_Allocation!$J$2:$J$201,$AB530)="",2958101,INDEX(FTE_Allocation!$J$2:$J$201,$AB530))),"")))</f>
        <v/>
      </c>
      <c r="AG530" s="19">
        <f>IF($Z530="C",IF(INDEX(Contracts!$I$2:$I$151,$AB530)="PREPAID",INDEX(Contracts!$M$2:$M$151,$AB530)/IF(INDEX(Contracts!$N$2:$N$151,$AB530)="",12,INDEX(Contracts!$N$2:$N$151,$AB530)),IF(INDEX(Contracts!$I$2:$I$151,$AB530)="MONTHLY",INDEX(Contracts!$M$2:$M$151,$AB530),0))*(1-N(INDEX(Contracts!$O$2:$O$151,$AB530))),IF($Z530="A",INDEX(Fixed_Assets!$H$2:$H$201,$AB530)/INDEX(Fixed_Assets!$J$2:$J$201,$AB530),IF($Z530="F",INDEX(Workforce!$F$2:$F$151,MATCH(INDEX(FTE_Allocation!$A$2:$A$201,$AB530),Workforce!$A$2:$A$151,0))*N(INDEX(FTE_Allocation!$F$2:$H$201,$AB530,$AC530)),"")))</f>
        <v/>
      </c>
    </row>
    <row r="531">
      <c r="A531" s="7">
        <f>IF($Z531="","",$AD531)</f>
        <v/>
      </c>
      <c r="B531" s="7">
        <f>IF($Z531="C",INDEX(Contracts!$D$2:$D$151,$AB531)&amp;"",IF($Z531="A",INDEX(Fixed_Assets!$C$2:$C$201,$AB531)&amp;"",IF($Z531="F",INDEX(Workforce!$B$2:$B$151,MATCH(INDEX(FTE_Allocation!$A$2:$A$201,$AB531),Workforce!$A$2:$A$151,0))&amp;"","")))</f>
        <v/>
      </c>
      <c r="C531" s="7">
        <f>IF($Z531="C",INDEX(Contracts!$E$2:$E$151,$AB531)&amp;"",IF($Z531="A",INDEX(Fixed_Assets!$D$2:$D$201,$AB531)&amp;"",IF($Z531="F",INDEX(FTE_Allocation!$C$2:$C$201,$AB531)&amp;"","")))</f>
        <v/>
      </c>
      <c r="D531" s="7">
        <f>IF($Z531="C",INDEX(Contracts!$B$2:$B$151,$AB531)&amp;"",IF($Z531="A",INDEX(Fixed_Assets!$B$2:$B$201,$AB531)&amp;"",IF($Z531="F",INDEX(FTE_Allocation!$B$2:$B$201,$AB531)&amp;"","")))</f>
        <v/>
      </c>
      <c r="E531" s="7">
        <f>IF($Z531="C",INDEX(Contracts!$P$2:$P$151,$AB531)&amp;"",IF($Z531="A",INDEX(Fixed_Assets!$K$2:$K$201,$AB531)&amp;"",IF($Z531="F",IF(INDEX(FTE_Allocation!$D$2:$D$201,$AB531)="PROJECT",IFERROR(INDEX(Projects!$D:$D,MATCH(INDEX(FTE_Allocation!$E$2:$E$201,$AB531),Projects!$A:$A,0))&amp;"","#PROJECT?"),INDEX(FTE_Allocation!$E$2:$E$201,$AB531)&amp;""),"")))</f>
        <v/>
      </c>
      <c r="F531" s="7">
        <f>IF($Z531="C",INDEX(Contracts!$Q$2:$Q$151,$AB531)&amp;"",IF($Z531="A",INDEX(Fixed_Assets!$L$2:$L$201,$AB531)&amp;"",IF($Z531="F",INDEX(Workforce!$K$2:$K$151,MATCH(INDEX(FTE_Allocation!$A$2:$A$201,$AB531),Workforce!$A$2:$A$151,0))&amp;"","")))</f>
        <v/>
      </c>
      <c r="G531" s="7">
        <f>IF($Z531="C",INDEX(Contracts!$F$2:$F$151,$AB531)&amp;" / "&amp;INDEX(Contracts!$G$2:$G$151,$AB531),IF($Z531="A",INDEX(Fixed_Assets!$E$2:$E$201,$AB531)&amp;"",IF($Z531="F","Personnel "&amp;INDEX(FTE_Allocation!$A$2:$A$201,$AB531)&amp;IF(INDEX(FTE_Allocation!$D$2:$D$201,$AB531)="PROJECT"," ("&amp;INDEX(FTE_Allocation!$E$2:$E$201,$AB531)&amp;")",""),"")))</f>
        <v/>
      </c>
      <c r="H531" s="7">
        <f>IF($Z531="C","CONTRACT",IF($Z531="A","ASSET",IF($Z531="F","WORKFORCE","")))</f>
        <v/>
      </c>
      <c r="I531" s="7">
        <f>IF($Z531="C",INDEX(Contracts!$L$2:$L$151,$AB531)&amp;"",IF($Z531="A",INDEX(Fixed_Assets!$I$2:$I$201,$AB531)&amp;"",IF($Z531="F",INDEX(Workforce!$G$2:$G$151,MATCH(INDEX(FTE_Allocation!$A$2:$A$201,$AB531),Workforce!$A$2:$A$151,0))&amp;"","")))</f>
        <v/>
      </c>
      <c r="J531" s="18">
        <f>IF($Z531="","",IF(AND(DATE($AD531,1,1)&gt;=$AE531,DATE($AD531,1,1)&lt;=$AF531),ROUND($AG531,2),0))</f>
        <v/>
      </c>
      <c r="K531" s="18">
        <f>IF($Z531="","",IF(AND(DATE($AD531,2,1)&gt;=$AE531,DATE($AD531,2,1)&lt;=$AF531),ROUND($AG531,2),0))</f>
        <v/>
      </c>
      <c r="L531" s="18">
        <f>IF($Z531="","",IF(AND(DATE($AD531,3,1)&gt;=$AE531,DATE($AD531,3,1)&lt;=$AF531),ROUND($AG531,2),0))</f>
        <v/>
      </c>
      <c r="M531" s="18">
        <f>IF($Z531="","",IF(AND(DATE($AD531,4,1)&gt;=$AE531,DATE($AD531,4,1)&lt;=$AF531),ROUND($AG531,2),0))</f>
        <v/>
      </c>
      <c r="N531" s="18">
        <f>IF($Z531="","",IF(AND(DATE($AD531,5,1)&gt;=$AE531,DATE($AD531,5,1)&lt;=$AF531),ROUND($AG531,2),0))</f>
        <v/>
      </c>
      <c r="O531" s="18">
        <f>IF($Z531="","",IF(AND(DATE($AD531,6,1)&gt;=$AE531,DATE($AD531,6,1)&lt;=$AF531),ROUND($AG531,2),0))</f>
        <v/>
      </c>
      <c r="P531" s="18">
        <f>IF($Z531="","",IF(AND(DATE($AD531,7,1)&gt;=$AE531,DATE($AD531,7,1)&lt;=$AF531),ROUND($AG531,2),0))</f>
        <v/>
      </c>
      <c r="Q531" s="18">
        <f>IF($Z531="","",IF(AND(DATE($AD531,8,1)&gt;=$AE531,DATE($AD531,8,1)&lt;=$AF531),ROUND($AG531,2),0))</f>
        <v/>
      </c>
      <c r="R531" s="18">
        <f>IF($Z531="","",IF(AND(DATE($AD531,9,1)&gt;=$AE531,DATE($AD531,9,1)&lt;=$AF531),ROUND($AG531,2),0))</f>
        <v/>
      </c>
      <c r="S531" s="18">
        <f>IF($Z531="","",IF(AND(DATE($AD531,10,1)&gt;=$AE531,DATE($AD531,10,1)&lt;=$AF531),ROUND($AG531,2),0))</f>
        <v/>
      </c>
      <c r="T531" s="18">
        <f>IF($Z531="","",IF(AND(DATE($AD531,11,1)&gt;=$AE531,DATE($AD531,11,1)&lt;=$AF531),ROUND($AG531,2),0))</f>
        <v/>
      </c>
      <c r="U531" s="18">
        <f>IF($Z531="","",IF(AND(DATE($AD531,12,1)&gt;=$AE531,DATE($AD531,12,1)&lt;=$AF531),ROUND($AG531,2),0))</f>
        <v/>
      </c>
      <c r="V531" s="7">
        <f>IF($Z531="C","Generated from "&amp;INDEX(Contracts!$A$2:$A$151,$AB531),IF($Z531="A","Generated from "&amp;INDEX(Fixed_Assets!$A$2:$A$201,$AB531),IF($Z531="F","Generated from "&amp;INDEX(FTE_Allocation!$A$2:$A$201,$AB531),"")))</f>
        <v/>
      </c>
      <c r="X531" s="19">
        <f>IF($Z531="","",SUM(J531:U531))</f>
        <v/>
      </c>
      <c r="Y531" s="20">
        <f>ROW()-1</f>
        <v/>
      </c>
      <c r="Z531" s="20">
        <f>IF($Y531&lt;=Settings!$B$4*3,"C",IF($Y531&lt;=(Settings!$B$4+Settings!$B$5)*3,"A",IF($Y531&lt;=(Settings!$B$4+Settings!$B$5+Settings!$B$6)*3,"F","")))</f>
        <v/>
      </c>
      <c r="AA531" s="20">
        <f>IF($Z531="C",$Y531,IF($Z531="A",$Y531-Settings!$B$4*3,IF($Z531="F",$Y531-(Settings!$B$4+Settings!$B$5)*3,"")))</f>
        <v/>
      </c>
      <c r="AB531" s="20">
        <f>IF($Z531="","",INT(($AA531-1)/3)+1)</f>
        <v/>
      </c>
      <c r="AC531" s="20">
        <f>IF($Z531="","",MOD($AA531-1,3)+1)</f>
        <v/>
      </c>
      <c r="AD531" s="20">
        <f>IF($Z531="","",Settings!$B$2+$AC531-1)</f>
        <v/>
      </c>
      <c r="AE531" s="21">
        <f>IF($Z531="C",DATE(YEAR(INDEX(Contracts!$J$2:$J$151,$AB531)),MONTH(INDEX(Contracts!$J$2:$J$151,$AB531)),1),IF($Z531="A",DATE(YEAR(INDEX(Fixed_Assets!$G$2:$G$201,$AB531)),MONTH(INDEX(Fixed_Assets!$G$2:$G$201,$AB531)),1),IF($Z531="F",DATE(YEAR(MAX(N(INDEX(Workforce!$I$2:$I$151,MATCH(INDEX(FTE_Allocation!$A$2:$A$201,$AB531),Workforce!$A$2:$A$151,0))),N(INDEX(FTE_Allocation!$I$2:$I$201,$AB531)))),MONTH(MAX(N(INDEX(Workforce!$I$2:$I$151,MATCH(INDEX(FTE_Allocation!$A$2:$A$201,$AB531),Workforce!$A$2:$A$151,0))),N(INDEX(FTE_Allocation!$I$2:$I$201,$AB531)))),1),"")))</f>
        <v/>
      </c>
      <c r="AF531" s="21">
        <f>IF($Z531="C",IF(INDEX(Contracts!$I$2:$I$151,$AB531)="PREPAID",EDATE(DATE(YEAR(INDEX(Contracts!$J$2:$J$151,$AB531)),MONTH(INDEX(Contracts!$J$2:$J$151,$AB531)),1),IF(INDEX(Contracts!$N$2:$N$151,$AB531)="",12,INDEX(Contracts!$N$2:$N$151,$AB531))-1),IF(INDEX(Contracts!$I$2:$I$151,$AB531)="MONTHLY",IF(INDEX(Contracts!$K$2:$K$151,$AB531)="",2958101,INDEX(Contracts!$K$2:$K$151,$AB531)),0)),IF($Z531="A",EDATE(DATE(YEAR(INDEX(Fixed_Assets!$G$2:$G$201,$AB531)),MONTH(INDEX(Fixed_Assets!$G$2:$G$201,$AB531)),1),INDEX(Fixed_Assets!$J$2:$J$201,$AB531)-1),IF($Z531="F",MIN(IF(INDEX(Workforce!$J$2:$J$151,MATCH(INDEX(FTE_Allocation!$A$2:$A$201,$AB531),Workforce!$A$2:$A$151,0))="",2958101,INDEX(Workforce!$J$2:$J$151,MATCH(INDEX(FTE_Allocation!$A$2:$A$201,$AB531),Workforce!$A$2:$A$151,0))),IF(INDEX(FTE_Allocation!$J$2:$J$201,$AB531)="",2958101,INDEX(FTE_Allocation!$J$2:$J$201,$AB531))),"")))</f>
        <v/>
      </c>
      <c r="AG531" s="19">
        <f>IF($Z531="C",IF(INDEX(Contracts!$I$2:$I$151,$AB531)="PREPAID",INDEX(Contracts!$M$2:$M$151,$AB531)/IF(INDEX(Contracts!$N$2:$N$151,$AB531)="",12,INDEX(Contracts!$N$2:$N$151,$AB531)),IF(INDEX(Contracts!$I$2:$I$151,$AB531)="MONTHLY",INDEX(Contracts!$M$2:$M$151,$AB531),0))*(1-N(INDEX(Contracts!$O$2:$O$151,$AB531))),IF($Z531="A",INDEX(Fixed_Assets!$H$2:$H$201,$AB531)/INDEX(Fixed_Assets!$J$2:$J$201,$AB531),IF($Z531="F",INDEX(Workforce!$F$2:$F$151,MATCH(INDEX(FTE_Allocation!$A$2:$A$201,$AB531),Workforce!$A$2:$A$151,0))*N(INDEX(FTE_Allocation!$F$2:$H$201,$AB531,$AC531)),"")))</f>
        <v/>
      </c>
    </row>
    <row r="532">
      <c r="A532" s="7">
        <f>IF($Z532="","",$AD532)</f>
        <v/>
      </c>
      <c r="B532" s="7">
        <f>IF($Z532="C",INDEX(Contracts!$D$2:$D$151,$AB532)&amp;"",IF($Z532="A",INDEX(Fixed_Assets!$C$2:$C$201,$AB532)&amp;"",IF($Z532="F",INDEX(Workforce!$B$2:$B$151,MATCH(INDEX(FTE_Allocation!$A$2:$A$201,$AB532),Workforce!$A$2:$A$151,0))&amp;"","")))</f>
        <v/>
      </c>
      <c r="C532" s="7">
        <f>IF($Z532="C",INDEX(Contracts!$E$2:$E$151,$AB532)&amp;"",IF($Z532="A",INDEX(Fixed_Assets!$D$2:$D$201,$AB532)&amp;"",IF($Z532="F",INDEX(FTE_Allocation!$C$2:$C$201,$AB532)&amp;"","")))</f>
        <v/>
      </c>
      <c r="D532" s="7">
        <f>IF($Z532="C",INDEX(Contracts!$B$2:$B$151,$AB532)&amp;"",IF($Z532="A",INDEX(Fixed_Assets!$B$2:$B$201,$AB532)&amp;"",IF($Z532="F",INDEX(FTE_Allocation!$B$2:$B$201,$AB532)&amp;"","")))</f>
        <v/>
      </c>
      <c r="E532" s="7">
        <f>IF($Z532="C",INDEX(Contracts!$P$2:$P$151,$AB532)&amp;"",IF($Z532="A",INDEX(Fixed_Assets!$K$2:$K$201,$AB532)&amp;"",IF($Z532="F",IF(INDEX(FTE_Allocation!$D$2:$D$201,$AB532)="PROJECT",IFERROR(INDEX(Projects!$D:$D,MATCH(INDEX(FTE_Allocation!$E$2:$E$201,$AB532),Projects!$A:$A,0))&amp;"","#PROJECT?"),INDEX(FTE_Allocation!$E$2:$E$201,$AB532)&amp;""),"")))</f>
        <v/>
      </c>
      <c r="F532" s="7">
        <f>IF($Z532="C",INDEX(Contracts!$Q$2:$Q$151,$AB532)&amp;"",IF($Z532="A",INDEX(Fixed_Assets!$L$2:$L$201,$AB532)&amp;"",IF($Z532="F",INDEX(Workforce!$K$2:$K$151,MATCH(INDEX(FTE_Allocation!$A$2:$A$201,$AB532),Workforce!$A$2:$A$151,0))&amp;"","")))</f>
        <v/>
      </c>
      <c r="G532" s="7">
        <f>IF($Z532="C",INDEX(Contracts!$F$2:$F$151,$AB532)&amp;" / "&amp;INDEX(Contracts!$G$2:$G$151,$AB532),IF($Z532="A",INDEX(Fixed_Assets!$E$2:$E$201,$AB532)&amp;"",IF($Z532="F","Personnel "&amp;INDEX(FTE_Allocation!$A$2:$A$201,$AB532)&amp;IF(INDEX(FTE_Allocation!$D$2:$D$201,$AB532)="PROJECT"," ("&amp;INDEX(FTE_Allocation!$E$2:$E$201,$AB532)&amp;")",""),"")))</f>
        <v/>
      </c>
      <c r="H532" s="7">
        <f>IF($Z532="C","CONTRACT",IF($Z532="A","ASSET",IF($Z532="F","WORKFORCE","")))</f>
        <v/>
      </c>
      <c r="I532" s="7">
        <f>IF($Z532="C",INDEX(Contracts!$L$2:$L$151,$AB532)&amp;"",IF($Z532="A",INDEX(Fixed_Assets!$I$2:$I$201,$AB532)&amp;"",IF($Z532="F",INDEX(Workforce!$G$2:$G$151,MATCH(INDEX(FTE_Allocation!$A$2:$A$201,$AB532),Workforce!$A$2:$A$151,0))&amp;"","")))</f>
        <v/>
      </c>
      <c r="J532" s="18">
        <f>IF($Z532="","",IF(AND(DATE($AD532,1,1)&gt;=$AE532,DATE($AD532,1,1)&lt;=$AF532),ROUND($AG532,2),0))</f>
        <v/>
      </c>
      <c r="K532" s="18">
        <f>IF($Z532="","",IF(AND(DATE($AD532,2,1)&gt;=$AE532,DATE($AD532,2,1)&lt;=$AF532),ROUND($AG532,2),0))</f>
        <v/>
      </c>
      <c r="L532" s="18">
        <f>IF($Z532="","",IF(AND(DATE($AD532,3,1)&gt;=$AE532,DATE($AD532,3,1)&lt;=$AF532),ROUND($AG532,2),0))</f>
        <v/>
      </c>
      <c r="M532" s="18">
        <f>IF($Z532="","",IF(AND(DATE($AD532,4,1)&gt;=$AE532,DATE($AD532,4,1)&lt;=$AF532),ROUND($AG532,2),0))</f>
        <v/>
      </c>
      <c r="N532" s="18">
        <f>IF($Z532="","",IF(AND(DATE($AD532,5,1)&gt;=$AE532,DATE($AD532,5,1)&lt;=$AF532),ROUND($AG532,2),0))</f>
        <v/>
      </c>
      <c r="O532" s="18">
        <f>IF($Z532="","",IF(AND(DATE($AD532,6,1)&gt;=$AE532,DATE($AD532,6,1)&lt;=$AF532),ROUND($AG532,2),0))</f>
        <v/>
      </c>
      <c r="P532" s="18">
        <f>IF($Z532="","",IF(AND(DATE($AD532,7,1)&gt;=$AE532,DATE($AD532,7,1)&lt;=$AF532),ROUND($AG532,2),0))</f>
        <v/>
      </c>
      <c r="Q532" s="18">
        <f>IF($Z532="","",IF(AND(DATE($AD532,8,1)&gt;=$AE532,DATE($AD532,8,1)&lt;=$AF532),ROUND($AG532,2),0))</f>
        <v/>
      </c>
      <c r="R532" s="18">
        <f>IF($Z532="","",IF(AND(DATE($AD532,9,1)&gt;=$AE532,DATE($AD532,9,1)&lt;=$AF532),ROUND($AG532,2),0))</f>
        <v/>
      </c>
      <c r="S532" s="18">
        <f>IF($Z532="","",IF(AND(DATE($AD532,10,1)&gt;=$AE532,DATE($AD532,10,1)&lt;=$AF532),ROUND($AG532,2),0))</f>
        <v/>
      </c>
      <c r="T532" s="18">
        <f>IF($Z532="","",IF(AND(DATE($AD532,11,1)&gt;=$AE532,DATE($AD532,11,1)&lt;=$AF532),ROUND($AG532,2),0))</f>
        <v/>
      </c>
      <c r="U532" s="18">
        <f>IF($Z532="","",IF(AND(DATE($AD532,12,1)&gt;=$AE532,DATE($AD532,12,1)&lt;=$AF532),ROUND($AG532,2),0))</f>
        <v/>
      </c>
      <c r="V532" s="7">
        <f>IF($Z532="C","Generated from "&amp;INDEX(Contracts!$A$2:$A$151,$AB532),IF($Z532="A","Generated from "&amp;INDEX(Fixed_Assets!$A$2:$A$201,$AB532),IF($Z532="F","Generated from "&amp;INDEX(FTE_Allocation!$A$2:$A$201,$AB532),"")))</f>
        <v/>
      </c>
      <c r="X532" s="19">
        <f>IF($Z532="","",SUM(J532:U532))</f>
        <v/>
      </c>
      <c r="Y532" s="20">
        <f>ROW()-1</f>
        <v/>
      </c>
      <c r="Z532" s="20">
        <f>IF($Y532&lt;=Settings!$B$4*3,"C",IF($Y532&lt;=(Settings!$B$4+Settings!$B$5)*3,"A",IF($Y532&lt;=(Settings!$B$4+Settings!$B$5+Settings!$B$6)*3,"F","")))</f>
        <v/>
      </c>
      <c r="AA532" s="20">
        <f>IF($Z532="C",$Y532,IF($Z532="A",$Y532-Settings!$B$4*3,IF($Z532="F",$Y532-(Settings!$B$4+Settings!$B$5)*3,"")))</f>
        <v/>
      </c>
      <c r="AB532" s="20">
        <f>IF($Z532="","",INT(($AA532-1)/3)+1)</f>
        <v/>
      </c>
      <c r="AC532" s="20">
        <f>IF($Z532="","",MOD($AA532-1,3)+1)</f>
        <v/>
      </c>
      <c r="AD532" s="20">
        <f>IF($Z532="","",Settings!$B$2+$AC532-1)</f>
        <v/>
      </c>
      <c r="AE532" s="21">
        <f>IF($Z532="C",DATE(YEAR(INDEX(Contracts!$J$2:$J$151,$AB532)),MONTH(INDEX(Contracts!$J$2:$J$151,$AB532)),1),IF($Z532="A",DATE(YEAR(INDEX(Fixed_Assets!$G$2:$G$201,$AB532)),MONTH(INDEX(Fixed_Assets!$G$2:$G$201,$AB532)),1),IF($Z532="F",DATE(YEAR(MAX(N(INDEX(Workforce!$I$2:$I$151,MATCH(INDEX(FTE_Allocation!$A$2:$A$201,$AB532),Workforce!$A$2:$A$151,0))),N(INDEX(FTE_Allocation!$I$2:$I$201,$AB532)))),MONTH(MAX(N(INDEX(Workforce!$I$2:$I$151,MATCH(INDEX(FTE_Allocation!$A$2:$A$201,$AB532),Workforce!$A$2:$A$151,0))),N(INDEX(FTE_Allocation!$I$2:$I$201,$AB532)))),1),"")))</f>
        <v/>
      </c>
      <c r="AF532" s="21">
        <f>IF($Z532="C",IF(INDEX(Contracts!$I$2:$I$151,$AB532)="PREPAID",EDATE(DATE(YEAR(INDEX(Contracts!$J$2:$J$151,$AB532)),MONTH(INDEX(Contracts!$J$2:$J$151,$AB532)),1),IF(INDEX(Contracts!$N$2:$N$151,$AB532)="",12,INDEX(Contracts!$N$2:$N$151,$AB532))-1),IF(INDEX(Contracts!$I$2:$I$151,$AB532)="MONTHLY",IF(INDEX(Contracts!$K$2:$K$151,$AB532)="",2958101,INDEX(Contracts!$K$2:$K$151,$AB532)),0)),IF($Z532="A",EDATE(DATE(YEAR(INDEX(Fixed_Assets!$G$2:$G$201,$AB532)),MONTH(INDEX(Fixed_Assets!$G$2:$G$201,$AB532)),1),INDEX(Fixed_Assets!$J$2:$J$201,$AB532)-1),IF($Z532="F",MIN(IF(INDEX(Workforce!$J$2:$J$151,MATCH(INDEX(FTE_Allocation!$A$2:$A$201,$AB532),Workforce!$A$2:$A$151,0))="",2958101,INDEX(Workforce!$J$2:$J$151,MATCH(INDEX(FTE_Allocation!$A$2:$A$201,$AB532),Workforce!$A$2:$A$151,0))),IF(INDEX(FTE_Allocation!$J$2:$J$201,$AB532)="",2958101,INDEX(FTE_Allocation!$J$2:$J$201,$AB532))),"")))</f>
        <v/>
      </c>
      <c r="AG532" s="19">
        <f>IF($Z532="C",IF(INDEX(Contracts!$I$2:$I$151,$AB532)="PREPAID",INDEX(Contracts!$M$2:$M$151,$AB532)/IF(INDEX(Contracts!$N$2:$N$151,$AB532)="",12,INDEX(Contracts!$N$2:$N$151,$AB532)),IF(INDEX(Contracts!$I$2:$I$151,$AB532)="MONTHLY",INDEX(Contracts!$M$2:$M$151,$AB532),0))*(1-N(INDEX(Contracts!$O$2:$O$151,$AB532))),IF($Z532="A",INDEX(Fixed_Assets!$H$2:$H$201,$AB532)/INDEX(Fixed_Assets!$J$2:$J$201,$AB532),IF($Z532="F",INDEX(Workforce!$F$2:$F$151,MATCH(INDEX(FTE_Allocation!$A$2:$A$201,$AB532),Workforce!$A$2:$A$151,0))*N(INDEX(FTE_Allocation!$F$2:$H$201,$AB532,$AC532)),"")))</f>
        <v/>
      </c>
    </row>
    <row r="533">
      <c r="A533" s="7">
        <f>IF($Z533="","",$AD533)</f>
        <v/>
      </c>
      <c r="B533" s="7">
        <f>IF($Z533="C",INDEX(Contracts!$D$2:$D$151,$AB533)&amp;"",IF($Z533="A",INDEX(Fixed_Assets!$C$2:$C$201,$AB533)&amp;"",IF($Z533="F",INDEX(Workforce!$B$2:$B$151,MATCH(INDEX(FTE_Allocation!$A$2:$A$201,$AB533),Workforce!$A$2:$A$151,0))&amp;"","")))</f>
        <v/>
      </c>
      <c r="C533" s="7">
        <f>IF($Z533="C",INDEX(Contracts!$E$2:$E$151,$AB533)&amp;"",IF($Z533="A",INDEX(Fixed_Assets!$D$2:$D$201,$AB533)&amp;"",IF($Z533="F",INDEX(FTE_Allocation!$C$2:$C$201,$AB533)&amp;"","")))</f>
        <v/>
      </c>
      <c r="D533" s="7">
        <f>IF($Z533="C",INDEX(Contracts!$B$2:$B$151,$AB533)&amp;"",IF($Z533="A",INDEX(Fixed_Assets!$B$2:$B$201,$AB533)&amp;"",IF($Z533="F",INDEX(FTE_Allocation!$B$2:$B$201,$AB533)&amp;"","")))</f>
        <v/>
      </c>
      <c r="E533" s="7">
        <f>IF($Z533="C",INDEX(Contracts!$P$2:$P$151,$AB533)&amp;"",IF($Z533="A",INDEX(Fixed_Assets!$K$2:$K$201,$AB533)&amp;"",IF($Z533="F",IF(INDEX(FTE_Allocation!$D$2:$D$201,$AB533)="PROJECT",IFERROR(INDEX(Projects!$D:$D,MATCH(INDEX(FTE_Allocation!$E$2:$E$201,$AB533),Projects!$A:$A,0))&amp;"","#PROJECT?"),INDEX(FTE_Allocation!$E$2:$E$201,$AB533)&amp;""),"")))</f>
        <v/>
      </c>
      <c r="F533" s="7">
        <f>IF($Z533="C",INDEX(Contracts!$Q$2:$Q$151,$AB533)&amp;"",IF($Z533="A",INDEX(Fixed_Assets!$L$2:$L$201,$AB533)&amp;"",IF($Z533="F",INDEX(Workforce!$K$2:$K$151,MATCH(INDEX(FTE_Allocation!$A$2:$A$201,$AB533),Workforce!$A$2:$A$151,0))&amp;"","")))</f>
        <v/>
      </c>
      <c r="G533" s="7">
        <f>IF($Z533="C",INDEX(Contracts!$F$2:$F$151,$AB533)&amp;" / "&amp;INDEX(Contracts!$G$2:$G$151,$AB533),IF($Z533="A",INDEX(Fixed_Assets!$E$2:$E$201,$AB533)&amp;"",IF($Z533="F","Personnel "&amp;INDEX(FTE_Allocation!$A$2:$A$201,$AB533)&amp;IF(INDEX(FTE_Allocation!$D$2:$D$201,$AB533)="PROJECT"," ("&amp;INDEX(FTE_Allocation!$E$2:$E$201,$AB533)&amp;")",""),"")))</f>
        <v/>
      </c>
      <c r="H533" s="7">
        <f>IF($Z533="C","CONTRACT",IF($Z533="A","ASSET",IF($Z533="F","WORKFORCE","")))</f>
        <v/>
      </c>
      <c r="I533" s="7">
        <f>IF($Z533="C",INDEX(Contracts!$L$2:$L$151,$AB533)&amp;"",IF($Z533="A",INDEX(Fixed_Assets!$I$2:$I$201,$AB533)&amp;"",IF($Z533="F",INDEX(Workforce!$G$2:$G$151,MATCH(INDEX(FTE_Allocation!$A$2:$A$201,$AB533),Workforce!$A$2:$A$151,0))&amp;"","")))</f>
        <v/>
      </c>
      <c r="J533" s="18">
        <f>IF($Z533="","",IF(AND(DATE($AD533,1,1)&gt;=$AE533,DATE($AD533,1,1)&lt;=$AF533),ROUND($AG533,2),0))</f>
        <v/>
      </c>
      <c r="K533" s="18">
        <f>IF($Z533="","",IF(AND(DATE($AD533,2,1)&gt;=$AE533,DATE($AD533,2,1)&lt;=$AF533),ROUND($AG533,2),0))</f>
        <v/>
      </c>
      <c r="L533" s="18">
        <f>IF($Z533="","",IF(AND(DATE($AD533,3,1)&gt;=$AE533,DATE($AD533,3,1)&lt;=$AF533),ROUND($AG533,2),0))</f>
        <v/>
      </c>
      <c r="M533" s="18">
        <f>IF($Z533="","",IF(AND(DATE($AD533,4,1)&gt;=$AE533,DATE($AD533,4,1)&lt;=$AF533),ROUND($AG533,2),0))</f>
        <v/>
      </c>
      <c r="N533" s="18">
        <f>IF($Z533="","",IF(AND(DATE($AD533,5,1)&gt;=$AE533,DATE($AD533,5,1)&lt;=$AF533),ROUND($AG533,2),0))</f>
        <v/>
      </c>
      <c r="O533" s="18">
        <f>IF($Z533="","",IF(AND(DATE($AD533,6,1)&gt;=$AE533,DATE($AD533,6,1)&lt;=$AF533),ROUND($AG533,2),0))</f>
        <v/>
      </c>
      <c r="P533" s="18">
        <f>IF($Z533="","",IF(AND(DATE($AD533,7,1)&gt;=$AE533,DATE($AD533,7,1)&lt;=$AF533),ROUND($AG533,2),0))</f>
        <v/>
      </c>
      <c r="Q533" s="18">
        <f>IF($Z533="","",IF(AND(DATE($AD533,8,1)&gt;=$AE533,DATE($AD533,8,1)&lt;=$AF533),ROUND($AG533,2),0))</f>
        <v/>
      </c>
      <c r="R533" s="18">
        <f>IF($Z533="","",IF(AND(DATE($AD533,9,1)&gt;=$AE533,DATE($AD533,9,1)&lt;=$AF533),ROUND($AG533,2),0))</f>
        <v/>
      </c>
      <c r="S533" s="18">
        <f>IF($Z533="","",IF(AND(DATE($AD533,10,1)&gt;=$AE533,DATE($AD533,10,1)&lt;=$AF533),ROUND($AG533,2),0))</f>
        <v/>
      </c>
      <c r="T533" s="18">
        <f>IF($Z533="","",IF(AND(DATE($AD533,11,1)&gt;=$AE533,DATE($AD533,11,1)&lt;=$AF533),ROUND($AG533,2),0))</f>
        <v/>
      </c>
      <c r="U533" s="18">
        <f>IF($Z533="","",IF(AND(DATE($AD533,12,1)&gt;=$AE533,DATE($AD533,12,1)&lt;=$AF533),ROUND($AG533,2),0))</f>
        <v/>
      </c>
      <c r="V533" s="7">
        <f>IF($Z533="C","Generated from "&amp;INDEX(Contracts!$A$2:$A$151,$AB533),IF($Z533="A","Generated from "&amp;INDEX(Fixed_Assets!$A$2:$A$201,$AB533),IF($Z533="F","Generated from "&amp;INDEX(FTE_Allocation!$A$2:$A$201,$AB533),"")))</f>
        <v/>
      </c>
      <c r="X533" s="19">
        <f>IF($Z533="","",SUM(J533:U533))</f>
        <v/>
      </c>
      <c r="Y533" s="20">
        <f>ROW()-1</f>
        <v/>
      </c>
      <c r="Z533" s="20">
        <f>IF($Y533&lt;=Settings!$B$4*3,"C",IF($Y533&lt;=(Settings!$B$4+Settings!$B$5)*3,"A",IF($Y533&lt;=(Settings!$B$4+Settings!$B$5+Settings!$B$6)*3,"F","")))</f>
        <v/>
      </c>
      <c r="AA533" s="20">
        <f>IF($Z533="C",$Y533,IF($Z533="A",$Y533-Settings!$B$4*3,IF($Z533="F",$Y533-(Settings!$B$4+Settings!$B$5)*3,"")))</f>
        <v/>
      </c>
      <c r="AB533" s="20">
        <f>IF($Z533="","",INT(($AA533-1)/3)+1)</f>
        <v/>
      </c>
      <c r="AC533" s="20">
        <f>IF($Z533="","",MOD($AA533-1,3)+1)</f>
        <v/>
      </c>
      <c r="AD533" s="20">
        <f>IF($Z533="","",Settings!$B$2+$AC533-1)</f>
        <v/>
      </c>
      <c r="AE533" s="21">
        <f>IF($Z533="C",DATE(YEAR(INDEX(Contracts!$J$2:$J$151,$AB533)),MONTH(INDEX(Contracts!$J$2:$J$151,$AB533)),1),IF($Z533="A",DATE(YEAR(INDEX(Fixed_Assets!$G$2:$G$201,$AB533)),MONTH(INDEX(Fixed_Assets!$G$2:$G$201,$AB533)),1),IF($Z533="F",DATE(YEAR(MAX(N(INDEX(Workforce!$I$2:$I$151,MATCH(INDEX(FTE_Allocation!$A$2:$A$201,$AB533),Workforce!$A$2:$A$151,0))),N(INDEX(FTE_Allocation!$I$2:$I$201,$AB533)))),MONTH(MAX(N(INDEX(Workforce!$I$2:$I$151,MATCH(INDEX(FTE_Allocation!$A$2:$A$201,$AB533),Workforce!$A$2:$A$151,0))),N(INDEX(FTE_Allocation!$I$2:$I$201,$AB533)))),1),"")))</f>
        <v/>
      </c>
      <c r="AF533" s="21">
        <f>IF($Z533="C",IF(INDEX(Contracts!$I$2:$I$151,$AB533)="PREPAID",EDATE(DATE(YEAR(INDEX(Contracts!$J$2:$J$151,$AB533)),MONTH(INDEX(Contracts!$J$2:$J$151,$AB533)),1),IF(INDEX(Contracts!$N$2:$N$151,$AB533)="",12,INDEX(Contracts!$N$2:$N$151,$AB533))-1),IF(INDEX(Contracts!$I$2:$I$151,$AB533)="MONTHLY",IF(INDEX(Contracts!$K$2:$K$151,$AB533)="",2958101,INDEX(Contracts!$K$2:$K$151,$AB533)),0)),IF($Z533="A",EDATE(DATE(YEAR(INDEX(Fixed_Assets!$G$2:$G$201,$AB533)),MONTH(INDEX(Fixed_Assets!$G$2:$G$201,$AB533)),1),INDEX(Fixed_Assets!$J$2:$J$201,$AB533)-1),IF($Z533="F",MIN(IF(INDEX(Workforce!$J$2:$J$151,MATCH(INDEX(FTE_Allocation!$A$2:$A$201,$AB533),Workforce!$A$2:$A$151,0))="",2958101,INDEX(Workforce!$J$2:$J$151,MATCH(INDEX(FTE_Allocation!$A$2:$A$201,$AB533),Workforce!$A$2:$A$151,0))),IF(INDEX(FTE_Allocation!$J$2:$J$201,$AB533)="",2958101,INDEX(FTE_Allocation!$J$2:$J$201,$AB533))),"")))</f>
        <v/>
      </c>
      <c r="AG533" s="19">
        <f>IF($Z533="C",IF(INDEX(Contracts!$I$2:$I$151,$AB533)="PREPAID",INDEX(Contracts!$M$2:$M$151,$AB533)/IF(INDEX(Contracts!$N$2:$N$151,$AB533)="",12,INDEX(Contracts!$N$2:$N$151,$AB533)),IF(INDEX(Contracts!$I$2:$I$151,$AB533)="MONTHLY",INDEX(Contracts!$M$2:$M$151,$AB533),0))*(1-N(INDEX(Contracts!$O$2:$O$151,$AB533))),IF($Z533="A",INDEX(Fixed_Assets!$H$2:$H$201,$AB533)/INDEX(Fixed_Assets!$J$2:$J$201,$AB533),IF($Z533="F",INDEX(Workforce!$F$2:$F$151,MATCH(INDEX(FTE_Allocation!$A$2:$A$201,$AB533),Workforce!$A$2:$A$151,0))*N(INDEX(FTE_Allocation!$F$2:$H$201,$AB533,$AC533)),"")))</f>
        <v/>
      </c>
    </row>
    <row r="534">
      <c r="A534" s="7">
        <f>IF($Z534="","",$AD534)</f>
        <v/>
      </c>
      <c r="B534" s="7">
        <f>IF($Z534="C",INDEX(Contracts!$D$2:$D$151,$AB534)&amp;"",IF($Z534="A",INDEX(Fixed_Assets!$C$2:$C$201,$AB534)&amp;"",IF($Z534="F",INDEX(Workforce!$B$2:$B$151,MATCH(INDEX(FTE_Allocation!$A$2:$A$201,$AB534),Workforce!$A$2:$A$151,0))&amp;"","")))</f>
        <v/>
      </c>
      <c r="C534" s="7">
        <f>IF($Z534="C",INDEX(Contracts!$E$2:$E$151,$AB534)&amp;"",IF($Z534="A",INDEX(Fixed_Assets!$D$2:$D$201,$AB534)&amp;"",IF($Z534="F",INDEX(FTE_Allocation!$C$2:$C$201,$AB534)&amp;"","")))</f>
        <v/>
      </c>
      <c r="D534" s="7">
        <f>IF($Z534="C",INDEX(Contracts!$B$2:$B$151,$AB534)&amp;"",IF($Z534="A",INDEX(Fixed_Assets!$B$2:$B$201,$AB534)&amp;"",IF($Z534="F",INDEX(FTE_Allocation!$B$2:$B$201,$AB534)&amp;"","")))</f>
        <v/>
      </c>
      <c r="E534" s="7">
        <f>IF($Z534="C",INDEX(Contracts!$P$2:$P$151,$AB534)&amp;"",IF($Z534="A",INDEX(Fixed_Assets!$K$2:$K$201,$AB534)&amp;"",IF($Z534="F",IF(INDEX(FTE_Allocation!$D$2:$D$201,$AB534)="PROJECT",IFERROR(INDEX(Projects!$D:$D,MATCH(INDEX(FTE_Allocation!$E$2:$E$201,$AB534),Projects!$A:$A,0))&amp;"","#PROJECT?"),INDEX(FTE_Allocation!$E$2:$E$201,$AB534)&amp;""),"")))</f>
        <v/>
      </c>
      <c r="F534" s="7">
        <f>IF($Z534="C",INDEX(Contracts!$Q$2:$Q$151,$AB534)&amp;"",IF($Z534="A",INDEX(Fixed_Assets!$L$2:$L$201,$AB534)&amp;"",IF($Z534="F",INDEX(Workforce!$K$2:$K$151,MATCH(INDEX(FTE_Allocation!$A$2:$A$201,$AB534),Workforce!$A$2:$A$151,0))&amp;"","")))</f>
        <v/>
      </c>
      <c r="G534" s="7">
        <f>IF($Z534="C",INDEX(Contracts!$F$2:$F$151,$AB534)&amp;" / "&amp;INDEX(Contracts!$G$2:$G$151,$AB534),IF($Z534="A",INDEX(Fixed_Assets!$E$2:$E$201,$AB534)&amp;"",IF($Z534="F","Personnel "&amp;INDEX(FTE_Allocation!$A$2:$A$201,$AB534)&amp;IF(INDEX(FTE_Allocation!$D$2:$D$201,$AB534)="PROJECT"," ("&amp;INDEX(FTE_Allocation!$E$2:$E$201,$AB534)&amp;")",""),"")))</f>
        <v/>
      </c>
      <c r="H534" s="7">
        <f>IF($Z534="C","CONTRACT",IF($Z534="A","ASSET",IF($Z534="F","WORKFORCE","")))</f>
        <v/>
      </c>
      <c r="I534" s="7">
        <f>IF($Z534="C",INDEX(Contracts!$L$2:$L$151,$AB534)&amp;"",IF($Z534="A",INDEX(Fixed_Assets!$I$2:$I$201,$AB534)&amp;"",IF($Z534="F",INDEX(Workforce!$G$2:$G$151,MATCH(INDEX(FTE_Allocation!$A$2:$A$201,$AB534),Workforce!$A$2:$A$151,0))&amp;"","")))</f>
        <v/>
      </c>
      <c r="J534" s="18">
        <f>IF($Z534="","",IF(AND(DATE($AD534,1,1)&gt;=$AE534,DATE($AD534,1,1)&lt;=$AF534),ROUND($AG534,2),0))</f>
        <v/>
      </c>
      <c r="K534" s="18">
        <f>IF($Z534="","",IF(AND(DATE($AD534,2,1)&gt;=$AE534,DATE($AD534,2,1)&lt;=$AF534),ROUND($AG534,2),0))</f>
        <v/>
      </c>
      <c r="L534" s="18">
        <f>IF($Z534="","",IF(AND(DATE($AD534,3,1)&gt;=$AE534,DATE($AD534,3,1)&lt;=$AF534),ROUND($AG534,2),0))</f>
        <v/>
      </c>
      <c r="M534" s="18">
        <f>IF($Z534="","",IF(AND(DATE($AD534,4,1)&gt;=$AE534,DATE($AD534,4,1)&lt;=$AF534),ROUND($AG534,2),0))</f>
        <v/>
      </c>
      <c r="N534" s="18">
        <f>IF($Z534="","",IF(AND(DATE($AD534,5,1)&gt;=$AE534,DATE($AD534,5,1)&lt;=$AF534),ROUND($AG534,2),0))</f>
        <v/>
      </c>
      <c r="O534" s="18">
        <f>IF($Z534="","",IF(AND(DATE($AD534,6,1)&gt;=$AE534,DATE($AD534,6,1)&lt;=$AF534),ROUND($AG534,2),0))</f>
        <v/>
      </c>
      <c r="P534" s="18">
        <f>IF($Z534="","",IF(AND(DATE($AD534,7,1)&gt;=$AE534,DATE($AD534,7,1)&lt;=$AF534),ROUND($AG534,2),0))</f>
        <v/>
      </c>
      <c r="Q534" s="18">
        <f>IF($Z534="","",IF(AND(DATE($AD534,8,1)&gt;=$AE534,DATE($AD534,8,1)&lt;=$AF534),ROUND($AG534,2),0))</f>
        <v/>
      </c>
      <c r="R534" s="18">
        <f>IF($Z534="","",IF(AND(DATE($AD534,9,1)&gt;=$AE534,DATE($AD534,9,1)&lt;=$AF534),ROUND($AG534,2),0))</f>
        <v/>
      </c>
      <c r="S534" s="18">
        <f>IF($Z534="","",IF(AND(DATE($AD534,10,1)&gt;=$AE534,DATE($AD534,10,1)&lt;=$AF534),ROUND($AG534,2),0))</f>
        <v/>
      </c>
      <c r="T534" s="18">
        <f>IF($Z534="","",IF(AND(DATE($AD534,11,1)&gt;=$AE534,DATE($AD534,11,1)&lt;=$AF534),ROUND($AG534,2),0))</f>
        <v/>
      </c>
      <c r="U534" s="18">
        <f>IF($Z534="","",IF(AND(DATE($AD534,12,1)&gt;=$AE534,DATE($AD534,12,1)&lt;=$AF534),ROUND($AG534,2),0))</f>
        <v/>
      </c>
      <c r="V534" s="7">
        <f>IF($Z534="C","Generated from "&amp;INDEX(Contracts!$A$2:$A$151,$AB534),IF($Z534="A","Generated from "&amp;INDEX(Fixed_Assets!$A$2:$A$201,$AB534),IF($Z534="F","Generated from "&amp;INDEX(FTE_Allocation!$A$2:$A$201,$AB534),"")))</f>
        <v/>
      </c>
      <c r="X534" s="19">
        <f>IF($Z534="","",SUM(J534:U534))</f>
        <v/>
      </c>
      <c r="Y534" s="20">
        <f>ROW()-1</f>
        <v/>
      </c>
      <c r="Z534" s="20">
        <f>IF($Y534&lt;=Settings!$B$4*3,"C",IF($Y534&lt;=(Settings!$B$4+Settings!$B$5)*3,"A",IF($Y534&lt;=(Settings!$B$4+Settings!$B$5+Settings!$B$6)*3,"F","")))</f>
        <v/>
      </c>
      <c r="AA534" s="20">
        <f>IF($Z534="C",$Y534,IF($Z534="A",$Y534-Settings!$B$4*3,IF($Z534="F",$Y534-(Settings!$B$4+Settings!$B$5)*3,"")))</f>
        <v/>
      </c>
      <c r="AB534" s="20">
        <f>IF($Z534="","",INT(($AA534-1)/3)+1)</f>
        <v/>
      </c>
      <c r="AC534" s="20">
        <f>IF($Z534="","",MOD($AA534-1,3)+1)</f>
        <v/>
      </c>
      <c r="AD534" s="20">
        <f>IF($Z534="","",Settings!$B$2+$AC534-1)</f>
        <v/>
      </c>
      <c r="AE534" s="21">
        <f>IF($Z534="C",DATE(YEAR(INDEX(Contracts!$J$2:$J$151,$AB534)),MONTH(INDEX(Contracts!$J$2:$J$151,$AB534)),1),IF($Z534="A",DATE(YEAR(INDEX(Fixed_Assets!$G$2:$G$201,$AB534)),MONTH(INDEX(Fixed_Assets!$G$2:$G$201,$AB534)),1),IF($Z534="F",DATE(YEAR(MAX(N(INDEX(Workforce!$I$2:$I$151,MATCH(INDEX(FTE_Allocation!$A$2:$A$201,$AB534),Workforce!$A$2:$A$151,0))),N(INDEX(FTE_Allocation!$I$2:$I$201,$AB534)))),MONTH(MAX(N(INDEX(Workforce!$I$2:$I$151,MATCH(INDEX(FTE_Allocation!$A$2:$A$201,$AB534),Workforce!$A$2:$A$151,0))),N(INDEX(FTE_Allocation!$I$2:$I$201,$AB534)))),1),"")))</f>
        <v/>
      </c>
      <c r="AF534" s="21">
        <f>IF($Z534="C",IF(INDEX(Contracts!$I$2:$I$151,$AB534)="PREPAID",EDATE(DATE(YEAR(INDEX(Contracts!$J$2:$J$151,$AB534)),MONTH(INDEX(Contracts!$J$2:$J$151,$AB534)),1),IF(INDEX(Contracts!$N$2:$N$151,$AB534)="",12,INDEX(Contracts!$N$2:$N$151,$AB534))-1),IF(INDEX(Contracts!$I$2:$I$151,$AB534)="MONTHLY",IF(INDEX(Contracts!$K$2:$K$151,$AB534)="",2958101,INDEX(Contracts!$K$2:$K$151,$AB534)),0)),IF($Z534="A",EDATE(DATE(YEAR(INDEX(Fixed_Assets!$G$2:$G$201,$AB534)),MONTH(INDEX(Fixed_Assets!$G$2:$G$201,$AB534)),1),INDEX(Fixed_Assets!$J$2:$J$201,$AB534)-1),IF($Z534="F",MIN(IF(INDEX(Workforce!$J$2:$J$151,MATCH(INDEX(FTE_Allocation!$A$2:$A$201,$AB534),Workforce!$A$2:$A$151,0))="",2958101,INDEX(Workforce!$J$2:$J$151,MATCH(INDEX(FTE_Allocation!$A$2:$A$201,$AB534),Workforce!$A$2:$A$151,0))),IF(INDEX(FTE_Allocation!$J$2:$J$201,$AB534)="",2958101,INDEX(FTE_Allocation!$J$2:$J$201,$AB534))),"")))</f>
        <v/>
      </c>
      <c r="AG534" s="19">
        <f>IF($Z534="C",IF(INDEX(Contracts!$I$2:$I$151,$AB534)="PREPAID",INDEX(Contracts!$M$2:$M$151,$AB534)/IF(INDEX(Contracts!$N$2:$N$151,$AB534)="",12,INDEX(Contracts!$N$2:$N$151,$AB534)),IF(INDEX(Contracts!$I$2:$I$151,$AB534)="MONTHLY",INDEX(Contracts!$M$2:$M$151,$AB534),0))*(1-N(INDEX(Contracts!$O$2:$O$151,$AB534))),IF($Z534="A",INDEX(Fixed_Assets!$H$2:$H$201,$AB534)/INDEX(Fixed_Assets!$J$2:$J$201,$AB534),IF($Z534="F",INDEX(Workforce!$F$2:$F$151,MATCH(INDEX(FTE_Allocation!$A$2:$A$201,$AB534),Workforce!$A$2:$A$151,0))*N(INDEX(FTE_Allocation!$F$2:$H$201,$AB534,$AC534)),"")))</f>
        <v/>
      </c>
    </row>
    <row r="535">
      <c r="A535" s="7">
        <f>IF($Z535="","",$AD535)</f>
        <v/>
      </c>
      <c r="B535" s="7">
        <f>IF($Z535="C",INDEX(Contracts!$D$2:$D$151,$AB535)&amp;"",IF($Z535="A",INDEX(Fixed_Assets!$C$2:$C$201,$AB535)&amp;"",IF($Z535="F",INDEX(Workforce!$B$2:$B$151,MATCH(INDEX(FTE_Allocation!$A$2:$A$201,$AB535),Workforce!$A$2:$A$151,0))&amp;"","")))</f>
        <v/>
      </c>
      <c r="C535" s="7">
        <f>IF($Z535="C",INDEX(Contracts!$E$2:$E$151,$AB535)&amp;"",IF($Z535="A",INDEX(Fixed_Assets!$D$2:$D$201,$AB535)&amp;"",IF($Z535="F",INDEX(FTE_Allocation!$C$2:$C$201,$AB535)&amp;"","")))</f>
        <v/>
      </c>
      <c r="D535" s="7">
        <f>IF($Z535="C",INDEX(Contracts!$B$2:$B$151,$AB535)&amp;"",IF($Z535="A",INDEX(Fixed_Assets!$B$2:$B$201,$AB535)&amp;"",IF($Z535="F",INDEX(FTE_Allocation!$B$2:$B$201,$AB535)&amp;"","")))</f>
        <v/>
      </c>
      <c r="E535" s="7">
        <f>IF($Z535="C",INDEX(Contracts!$P$2:$P$151,$AB535)&amp;"",IF($Z535="A",INDEX(Fixed_Assets!$K$2:$K$201,$AB535)&amp;"",IF($Z535="F",IF(INDEX(FTE_Allocation!$D$2:$D$201,$AB535)="PROJECT",IFERROR(INDEX(Projects!$D:$D,MATCH(INDEX(FTE_Allocation!$E$2:$E$201,$AB535),Projects!$A:$A,0))&amp;"","#PROJECT?"),INDEX(FTE_Allocation!$E$2:$E$201,$AB535)&amp;""),"")))</f>
        <v/>
      </c>
      <c r="F535" s="7">
        <f>IF($Z535="C",INDEX(Contracts!$Q$2:$Q$151,$AB535)&amp;"",IF($Z535="A",INDEX(Fixed_Assets!$L$2:$L$201,$AB535)&amp;"",IF($Z535="F",INDEX(Workforce!$K$2:$K$151,MATCH(INDEX(FTE_Allocation!$A$2:$A$201,$AB535),Workforce!$A$2:$A$151,0))&amp;"","")))</f>
        <v/>
      </c>
      <c r="G535" s="7">
        <f>IF($Z535="C",INDEX(Contracts!$F$2:$F$151,$AB535)&amp;" / "&amp;INDEX(Contracts!$G$2:$G$151,$AB535),IF($Z535="A",INDEX(Fixed_Assets!$E$2:$E$201,$AB535)&amp;"",IF($Z535="F","Personnel "&amp;INDEX(FTE_Allocation!$A$2:$A$201,$AB535)&amp;IF(INDEX(FTE_Allocation!$D$2:$D$201,$AB535)="PROJECT"," ("&amp;INDEX(FTE_Allocation!$E$2:$E$201,$AB535)&amp;")",""),"")))</f>
        <v/>
      </c>
      <c r="H535" s="7">
        <f>IF($Z535="C","CONTRACT",IF($Z535="A","ASSET",IF($Z535="F","WORKFORCE","")))</f>
        <v/>
      </c>
      <c r="I535" s="7">
        <f>IF($Z535="C",INDEX(Contracts!$L$2:$L$151,$AB535)&amp;"",IF($Z535="A",INDEX(Fixed_Assets!$I$2:$I$201,$AB535)&amp;"",IF($Z535="F",INDEX(Workforce!$G$2:$G$151,MATCH(INDEX(FTE_Allocation!$A$2:$A$201,$AB535),Workforce!$A$2:$A$151,0))&amp;"","")))</f>
        <v/>
      </c>
      <c r="J535" s="18">
        <f>IF($Z535="","",IF(AND(DATE($AD535,1,1)&gt;=$AE535,DATE($AD535,1,1)&lt;=$AF535),ROUND($AG535,2),0))</f>
        <v/>
      </c>
      <c r="K535" s="18">
        <f>IF($Z535="","",IF(AND(DATE($AD535,2,1)&gt;=$AE535,DATE($AD535,2,1)&lt;=$AF535),ROUND($AG535,2),0))</f>
        <v/>
      </c>
      <c r="L535" s="18">
        <f>IF($Z535="","",IF(AND(DATE($AD535,3,1)&gt;=$AE535,DATE($AD535,3,1)&lt;=$AF535),ROUND($AG535,2),0))</f>
        <v/>
      </c>
      <c r="M535" s="18">
        <f>IF($Z535="","",IF(AND(DATE($AD535,4,1)&gt;=$AE535,DATE($AD535,4,1)&lt;=$AF535),ROUND($AG535,2),0))</f>
        <v/>
      </c>
      <c r="N535" s="18">
        <f>IF($Z535="","",IF(AND(DATE($AD535,5,1)&gt;=$AE535,DATE($AD535,5,1)&lt;=$AF535),ROUND($AG535,2),0))</f>
        <v/>
      </c>
      <c r="O535" s="18">
        <f>IF($Z535="","",IF(AND(DATE($AD535,6,1)&gt;=$AE535,DATE($AD535,6,1)&lt;=$AF535),ROUND($AG535,2),0))</f>
        <v/>
      </c>
      <c r="P535" s="18">
        <f>IF($Z535="","",IF(AND(DATE($AD535,7,1)&gt;=$AE535,DATE($AD535,7,1)&lt;=$AF535),ROUND($AG535,2),0))</f>
        <v/>
      </c>
      <c r="Q535" s="18">
        <f>IF($Z535="","",IF(AND(DATE($AD535,8,1)&gt;=$AE535,DATE($AD535,8,1)&lt;=$AF535),ROUND($AG535,2),0))</f>
        <v/>
      </c>
      <c r="R535" s="18">
        <f>IF($Z535="","",IF(AND(DATE($AD535,9,1)&gt;=$AE535,DATE($AD535,9,1)&lt;=$AF535),ROUND($AG535,2),0))</f>
        <v/>
      </c>
      <c r="S535" s="18">
        <f>IF($Z535="","",IF(AND(DATE($AD535,10,1)&gt;=$AE535,DATE($AD535,10,1)&lt;=$AF535),ROUND($AG535,2),0))</f>
        <v/>
      </c>
      <c r="T535" s="18">
        <f>IF($Z535="","",IF(AND(DATE($AD535,11,1)&gt;=$AE535,DATE($AD535,11,1)&lt;=$AF535),ROUND($AG535,2),0))</f>
        <v/>
      </c>
      <c r="U535" s="18">
        <f>IF($Z535="","",IF(AND(DATE($AD535,12,1)&gt;=$AE535,DATE($AD535,12,1)&lt;=$AF535),ROUND($AG535,2),0))</f>
        <v/>
      </c>
      <c r="V535" s="7">
        <f>IF($Z535="C","Generated from "&amp;INDEX(Contracts!$A$2:$A$151,$AB535),IF($Z535="A","Generated from "&amp;INDEX(Fixed_Assets!$A$2:$A$201,$AB535),IF($Z535="F","Generated from "&amp;INDEX(FTE_Allocation!$A$2:$A$201,$AB535),"")))</f>
        <v/>
      </c>
      <c r="X535" s="19">
        <f>IF($Z535="","",SUM(J535:U535))</f>
        <v/>
      </c>
      <c r="Y535" s="20">
        <f>ROW()-1</f>
        <v/>
      </c>
      <c r="Z535" s="20">
        <f>IF($Y535&lt;=Settings!$B$4*3,"C",IF($Y535&lt;=(Settings!$B$4+Settings!$B$5)*3,"A",IF($Y535&lt;=(Settings!$B$4+Settings!$B$5+Settings!$B$6)*3,"F","")))</f>
        <v/>
      </c>
      <c r="AA535" s="20">
        <f>IF($Z535="C",$Y535,IF($Z535="A",$Y535-Settings!$B$4*3,IF($Z535="F",$Y535-(Settings!$B$4+Settings!$B$5)*3,"")))</f>
        <v/>
      </c>
      <c r="AB535" s="20">
        <f>IF($Z535="","",INT(($AA535-1)/3)+1)</f>
        <v/>
      </c>
      <c r="AC535" s="20">
        <f>IF($Z535="","",MOD($AA535-1,3)+1)</f>
        <v/>
      </c>
      <c r="AD535" s="20">
        <f>IF($Z535="","",Settings!$B$2+$AC535-1)</f>
        <v/>
      </c>
      <c r="AE535" s="21">
        <f>IF($Z535="C",DATE(YEAR(INDEX(Contracts!$J$2:$J$151,$AB535)),MONTH(INDEX(Contracts!$J$2:$J$151,$AB535)),1),IF($Z535="A",DATE(YEAR(INDEX(Fixed_Assets!$G$2:$G$201,$AB535)),MONTH(INDEX(Fixed_Assets!$G$2:$G$201,$AB535)),1),IF($Z535="F",DATE(YEAR(MAX(N(INDEX(Workforce!$I$2:$I$151,MATCH(INDEX(FTE_Allocation!$A$2:$A$201,$AB535),Workforce!$A$2:$A$151,0))),N(INDEX(FTE_Allocation!$I$2:$I$201,$AB535)))),MONTH(MAX(N(INDEX(Workforce!$I$2:$I$151,MATCH(INDEX(FTE_Allocation!$A$2:$A$201,$AB535),Workforce!$A$2:$A$151,0))),N(INDEX(FTE_Allocation!$I$2:$I$201,$AB535)))),1),"")))</f>
        <v/>
      </c>
      <c r="AF535" s="21">
        <f>IF($Z535="C",IF(INDEX(Contracts!$I$2:$I$151,$AB535)="PREPAID",EDATE(DATE(YEAR(INDEX(Contracts!$J$2:$J$151,$AB535)),MONTH(INDEX(Contracts!$J$2:$J$151,$AB535)),1),IF(INDEX(Contracts!$N$2:$N$151,$AB535)="",12,INDEX(Contracts!$N$2:$N$151,$AB535))-1),IF(INDEX(Contracts!$I$2:$I$151,$AB535)="MONTHLY",IF(INDEX(Contracts!$K$2:$K$151,$AB535)="",2958101,INDEX(Contracts!$K$2:$K$151,$AB535)),0)),IF($Z535="A",EDATE(DATE(YEAR(INDEX(Fixed_Assets!$G$2:$G$201,$AB535)),MONTH(INDEX(Fixed_Assets!$G$2:$G$201,$AB535)),1),INDEX(Fixed_Assets!$J$2:$J$201,$AB535)-1),IF($Z535="F",MIN(IF(INDEX(Workforce!$J$2:$J$151,MATCH(INDEX(FTE_Allocation!$A$2:$A$201,$AB535),Workforce!$A$2:$A$151,0))="",2958101,INDEX(Workforce!$J$2:$J$151,MATCH(INDEX(FTE_Allocation!$A$2:$A$201,$AB535),Workforce!$A$2:$A$151,0))),IF(INDEX(FTE_Allocation!$J$2:$J$201,$AB535)="",2958101,INDEX(FTE_Allocation!$J$2:$J$201,$AB535))),"")))</f>
        <v/>
      </c>
      <c r="AG535" s="19">
        <f>IF($Z535="C",IF(INDEX(Contracts!$I$2:$I$151,$AB535)="PREPAID",INDEX(Contracts!$M$2:$M$151,$AB535)/IF(INDEX(Contracts!$N$2:$N$151,$AB535)="",12,INDEX(Contracts!$N$2:$N$151,$AB535)),IF(INDEX(Contracts!$I$2:$I$151,$AB535)="MONTHLY",INDEX(Contracts!$M$2:$M$151,$AB535),0))*(1-N(INDEX(Contracts!$O$2:$O$151,$AB535))),IF($Z535="A",INDEX(Fixed_Assets!$H$2:$H$201,$AB535)/INDEX(Fixed_Assets!$J$2:$J$201,$AB535),IF($Z535="F",INDEX(Workforce!$F$2:$F$151,MATCH(INDEX(FTE_Allocation!$A$2:$A$201,$AB535),Workforce!$A$2:$A$151,0))*N(INDEX(FTE_Allocation!$F$2:$H$201,$AB535,$AC535)),"")))</f>
        <v/>
      </c>
    </row>
    <row r="536">
      <c r="A536" s="7">
        <f>IF($Z536="","",$AD536)</f>
        <v/>
      </c>
      <c r="B536" s="7">
        <f>IF($Z536="C",INDEX(Contracts!$D$2:$D$151,$AB536)&amp;"",IF($Z536="A",INDEX(Fixed_Assets!$C$2:$C$201,$AB536)&amp;"",IF($Z536="F",INDEX(Workforce!$B$2:$B$151,MATCH(INDEX(FTE_Allocation!$A$2:$A$201,$AB536),Workforce!$A$2:$A$151,0))&amp;"","")))</f>
        <v/>
      </c>
      <c r="C536" s="7">
        <f>IF($Z536="C",INDEX(Contracts!$E$2:$E$151,$AB536)&amp;"",IF($Z536="A",INDEX(Fixed_Assets!$D$2:$D$201,$AB536)&amp;"",IF($Z536="F",INDEX(FTE_Allocation!$C$2:$C$201,$AB536)&amp;"","")))</f>
        <v/>
      </c>
      <c r="D536" s="7">
        <f>IF($Z536="C",INDEX(Contracts!$B$2:$B$151,$AB536)&amp;"",IF($Z536="A",INDEX(Fixed_Assets!$B$2:$B$201,$AB536)&amp;"",IF($Z536="F",INDEX(FTE_Allocation!$B$2:$B$201,$AB536)&amp;"","")))</f>
        <v/>
      </c>
      <c r="E536" s="7">
        <f>IF($Z536="C",INDEX(Contracts!$P$2:$P$151,$AB536)&amp;"",IF($Z536="A",INDEX(Fixed_Assets!$K$2:$K$201,$AB536)&amp;"",IF($Z536="F",IF(INDEX(FTE_Allocation!$D$2:$D$201,$AB536)="PROJECT",IFERROR(INDEX(Projects!$D:$D,MATCH(INDEX(FTE_Allocation!$E$2:$E$201,$AB536),Projects!$A:$A,0))&amp;"","#PROJECT?"),INDEX(FTE_Allocation!$E$2:$E$201,$AB536)&amp;""),"")))</f>
        <v/>
      </c>
      <c r="F536" s="7">
        <f>IF($Z536="C",INDEX(Contracts!$Q$2:$Q$151,$AB536)&amp;"",IF($Z536="A",INDEX(Fixed_Assets!$L$2:$L$201,$AB536)&amp;"",IF($Z536="F",INDEX(Workforce!$K$2:$K$151,MATCH(INDEX(FTE_Allocation!$A$2:$A$201,$AB536),Workforce!$A$2:$A$151,0))&amp;"","")))</f>
        <v/>
      </c>
      <c r="G536" s="7">
        <f>IF($Z536="C",INDEX(Contracts!$F$2:$F$151,$AB536)&amp;" / "&amp;INDEX(Contracts!$G$2:$G$151,$AB536),IF($Z536="A",INDEX(Fixed_Assets!$E$2:$E$201,$AB536)&amp;"",IF($Z536="F","Personnel "&amp;INDEX(FTE_Allocation!$A$2:$A$201,$AB536)&amp;IF(INDEX(FTE_Allocation!$D$2:$D$201,$AB536)="PROJECT"," ("&amp;INDEX(FTE_Allocation!$E$2:$E$201,$AB536)&amp;")",""),"")))</f>
        <v/>
      </c>
      <c r="H536" s="7">
        <f>IF($Z536="C","CONTRACT",IF($Z536="A","ASSET",IF($Z536="F","WORKFORCE","")))</f>
        <v/>
      </c>
      <c r="I536" s="7">
        <f>IF($Z536="C",INDEX(Contracts!$L$2:$L$151,$AB536)&amp;"",IF($Z536="A",INDEX(Fixed_Assets!$I$2:$I$201,$AB536)&amp;"",IF($Z536="F",INDEX(Workforce!$G$2:$G$151,MATCH(INDEX(FTE_Allocation!$A$2:$A$201,$AB536),Workforce!$A$2:$A$151,0))&amp;"","")))</f>
        <v/>
      </c>
      <c r="J536" s="18">
        <f>IF($Z536="","",IF(AND(DATE($AD536,1,1)&gt;=$AE536,DATE($AD536,1,1)&lt;=$AF536),ROUND($AG536,2),0))</f>
        <v/>
      </c>
      <c r="K536" s="18">
        <f>IF($Z536="","",IF(AND(DATE($AD536,2,1)&gt;=$AE536,DATE($AD536,2,1)&lt;=$AF536),ROUND($AG536,2),0))</f>
        <v/>
      </c>
      <c r="L536" s="18">
        <f>IF($Z536="","",IF(AND(DATE($AD536,3,1)&gt;=$AE536,DATE($AD536,3,1)&lt;=$AF536),ROUND($AG536,2),0))</f>
        <v/>
      </c>
      <c r="M536" s="18">
        <f>IF($Z536="","",IF(AND(DATE($AD536,4,1)&gt;=$AE536,DATE($AD536,4,1)&lt;=$AF536),ROUND($AG536,2),0))</f>
        <v/>
      </c>
      <c r="N536" s="18">
        <f>IF($Z536="","",IF(AND(DATE($AD536,5,1)&gt;=$AE536,DATE($AD536,5,1)&lt;=$AF536),ROUND($AG536,2),0))</f>
        <v/>
      </c>
      <c r="O536" s="18">
        <f>IF($Z536="","",IF(AND(DATE($AD536,6,1)&gt;=$AE536,DATE($AD536,6,1)&lt;=$AF536),ROUND($AG536,2),0))</f>
        <v/>
      </c>
      <c r="P536" s="18">
        <f>IF($Z536="","",IF(AND(DATE($AD536,7,1)&gt;=$AE536,DATE($AD536,7,1)&lt;=$AF536),ROUND($AG536,2),0))</f>
        <v/>
      </c>
      <c r="Q536" s="18">
        <f>IF($Z536="","",IF(AND(DATE($AD536,8,1)&gt;=$AE536,DATE($AD536,8,1)&lt;=$AF536),ROUND($AG536,2),0))</f>
        <v/>
      </c>
      <c r="R536" s="18">
        <f>IF($Z536="","",IF(AND(DATE($AD536,9,1)&gt;=$AE536,DATE($AD536,9,1)&lt;=$AF536),ROUND($AG536,2),0))</f>
        <v/>
      </c>
      <c r="S536" s="18">
        <f>IF($Z536="","",IF(AND(DATE($AD536,10,1)&gt;=$AE536,DATE($AD536,10,1)&lt;=$AF536),ROUND($AG536,2),0))</f>
        <v/>
      </c>
      <c r="T536" s="18">
        <f>IF($Z536="","",IF(AND(DATE($AD536,11,1)&gt;=$AE536,DATE($AD536,11,1)&lt;=$AF536),ROUND($AG536,2),0))</f>
        <v/>
      </c>
      <c r="U536" s="18">
        <f>IF($Z536="","",IF(AND(DATE($AD536,12,1)&gt;=$AE536,DATE($AD536,12,1)&lt;=$AF536),ROUND($AG536,2),0))</f>
        <v/>
      </c>
      <c r="V536" s="7">
        <f>IF($Z536="C","Generated from "&amp;INDEX(Contracts!$A$2:$A$151,$AB536),IF($Z536="A","Generated from "&amp;INDEX(Fixed_Assets!$A$2:$A$201,$AB536),IF($Z536="F","Generated from "&amp;INDEX(FTE_Allocation!$A$2:$A$201,$AB536),"")))</f>
        <v/>
      </c>
      <c r="X536" s="19">
        <f>IF($Z536="","",SUM(J536:U536))</f>
        <v/>
      </c>
      <c r="Y536" s="20">
        <f>ROW()-1</f>
        <v/>
      </c>
      <c r="Z536" s="20">
        <f>IF($Y536&lt;=Settings!$B$4*3,"C",IF($Y536&lt;=(Settings!$B$4+Settings!$B$5)*3,"A",IF($Y536&lt;=(Settings!$B$4+Settings!$B$5+Settings!$B$6)*3,"F","")))</f>
        <v/>
      </c>
      <c r="AA536" s="20">
        <f>IF($Z536="C",$Y536,IF($Z536="A",$Y536-Settings!$B$4*3,IF($Z536="F",$Y536-(Settings!$B$4+Settings!$B$5)*3,"")))</f>
        <v/>
      </c>
      <c r="AB536" s="20">
        <f>IF($Z536="","",INT(($AA536-1)/3)+1)</f>
        <v/>
      </c>
      <c r="AC536" s="20">
        <f>IF($Z536="","",MOD($AA536-1,3)+1)</f>
        <v/>
      </c>
      <c r="AD536" s="20">
        <f>IF($Z536="","",Settings!$B$2+$AC536-1)</f>
        <v/>
      </c>
      <c r="AE536" s="21">
        <f>IF($Z536="C",DATE(YEAR(INDEX(Contracts!$J$2:$J$151,$AB536)),MONTH(INDEX(Contracts!$J$2:$J$151,$AB536)),1),IF($Z536="A",DATE(YEAR(INDEX(Fixed_Assets!$G$2:$G$201,$AB536)),MONTH(INDEX(Fixed_Assets!$G$2:$G$201,$AB536)),1),IF($Z536="F",DATE(YEAR(MAX(N(INDEX(Workforce!$I$2:$I$151,MATCH(INDEX(FTE_Allocation!$A$2:$A$201,$AB536),Workforce!$A$2:$A$151,0))),N(INDEX(FTE_Allocation!$I$2:$I$201,$AB536)))),MONTH(MAX(N(INDEX(Workforce!$I$2:$I$151,MATCH(INDEX(FTE_Allocation!$A$2:$A$201,$AB536),Workforce!$A$2:$A$151,0))),N(INDEX(FTE_Allocation!$I$2:$I$201,$AB536)))),1),"")))</f>
        <v/>
      </c>
      <c r="AF536" s="21">
        <f>IF($Z536="C",IF(INDEX(Contracts!$I$2:$I$151,$AB536)="PREPAID",EDATE(DATE(YEAR(INDEX(Contracts!$J$2:$J$151,$AB536)),MONTH(INDEX(Contracts!$J$2:$J$151,$AB536)),1),IF(INDEX(Contracts!$N$2:$N$151,$AB536)="",12,INDEX(Contracts!$N$2:$N$151,$AB536))-1),IF(INDEX(Contracts!$I$2:$I$151,$AB536)="MONTHLY",IF(INDEX(Contracts!$K$2:$K$151,$AB536)="",2958101,INDEX(Contracts!$K$2:$K$151,$AB536)),0)),IF($Z536="A",EDATE(DATE(YEAR(INDEX(Fixed_Assets!$G$2:$G$201,$AB536)),MONTH(INDEX(Fixed_Assets!$G$2:$G$201,$AB536)),1),INDEX(Fixed_Assets!$J$2:$J$201,$AB536)-1),IF($Z536="F",MIN(IF(INDEX(Workforce!$J$2:$J$151,MATCH(INDEX(FTE_Allocation!$A$2:$A$201,$AB536),Workforce!$A$2:$A$151,0))="",2958101,INDEX(Workforce!$J$2:$J$151,MATCH(INDEX(FTE_Allocation!$A$2:$A$201,$AB536),Workforce!$A$2:$A$151,0))),IF(INDEX(FTE_Allocation!$J$2:$J$201,$AB536)="",2958101,INDEX(FTE_Allocation!$J$2:$J$201,$AB536))),"")))</f>
        <v/>
      </c>
      <c r="AG536" s="19">
        <f>IF($Z536="C",IF(INDEX(Contracts!$I$2:$I$151,$AB536)="PREPAID",INDEX(Contracts!$M$2:$M$151,$AB536)/IF(INDEX(Contracts!$N$2:$N$151,$AB536)="",12,INDEX(Contracts!$N$2:$N$151,$AB536)),IF(INDEX(Contracts!$I$2:$I$151,$AB536)="MONTHLY",INDEX(Contracts!$M$2:$M$151,$AB536),0))*(1-N(INDEX(Contracts!$O$2:$O$151,$AB536))),IF($Z536="A",INDEX(Fixed_Assets!$H$2:$H$201,$AB536)/INDEX(Fixed_Assets!$J$2:$J$201,$AB536),IF($Z536="F",INDEX(Workforce!$F$2:$F$151,MATCH(INDEX(FTE_Allocation!$A$2:$A$201,$AB536),Workforce!$A$2:$A$151,0))*N(INDEX(FTE_Allocation!$F$2:$H$201,$AB536,$AC536)),"")))</f>
        <v/>
      </c>
    </row>
    <row r="537">
      <c r="A537" s="7">
        <f>IF($Z537="","",$AD537)</f>
        <v/>
      </c>
      <c r="B537" s="7">
        <f>IF($Z537="C",INDEX(Contracts!$D$2:$D$151,$AB537)&amp;"",IF($Z537="A",INDEX(Fixed_Assets!$C$2:$C$201,$AB537)&amp;"",IF($Z537="F",INDEX(Workforce!$B$2:$B$151,MATCH(INDEX(FTE_Allocation!$A$2:$A$201,$AB537),Workforce!$A$2:$A$151,0))&amp;"","")))</f>
        <v/>
      </c>
      <c r="C537" s="7">
        <f>IF($Z537="C",INDEX(Contracts!$E$2:$E$151,$AB537)&amp;"",IF($Z537="A",INDEX(Fixed_Assets!$D$2:$D$201,$AB537)&amp;"",IF($Z537="F",INDEX(FTE_Allocation!$C$2:$C$201,$AB537)&amp;"","")))</f>
        <v/>
      </c>
      <c r="D537" s="7">
        <f>IF($Z537="C",INDEX(Contracts!$B$2:$B$151,$AB537)&amp;"",IF($Z537="A",INDEX(Fixed_Assets!$B$2:$B$201,$AB537)&amp;"",IF($Z537="F",INDEX(FTE_Allocation!$B$2:$B$201,$AB537)&amp;"","")))</f>
        <v/>
      </c>
      <c r="E537" s="7">
        <f>IF($Z537="C",INDEX(Contracts!$P$2:$P$151,$AB537)&amp;"",IF($Z537="A",INDEX(Fixed_Assets!$K$2:$K$201,$AB537)&amp;"",IF($Z537="F",IF(INDEX(FTE_Allocation!$D$2:$D$201,$AB537)="PROJECT",IFERROR(INDEX(Projects!$D:$D,MATCH(INDEX(FTE_Allocation!$E$2:$E$201,$AB537),Projects!$A:$A,0))&amp;"","#PROJECT?"),INDEX(FTE_Allocation!$E$2:$E$201,$AB537)&amp;""),"")))</f>
        <v/>
      </c>
      <c r="F537" s="7">
        <f>IF($Z537="C",INDEX(Contracts!$Q$2:$Q$151,$AB537)&amp;"",IF($Z537="A",INDEX(Fixed_Assets!$L$2:$L$201,$AB537)&amp;"",IF($Z537="F",INDEX(Workforce!$K$2:$K$151,MATCH(INDEX(FTE_Allocation!$A$2:$A$201,$AB537),Workforce!$A$2:$A$151,0))&amp;"","")))</f>
        <v/>
      </c>
      <c r="G537" s="7">
        <f>IF($Z537="C",INDEX(Contracts!$F$2:$F$151,$AB537)&amp;" / "&amp;INDEX(Contracts!$G$2:$G$151,$AB537),IF($Z537="A",INDEX(Fixed_Assets!$E$2:$E$201,$AB537)&amp;"",IF($Z537="F","Personnel "&amp;INDEX(FTE_Allocation!$A$2:$A$201,$AB537)&amp;IF(INDEX(FTE_Allocation!$D$2:$D$201,$AB537)="PROJECT"," ("&amp;INDEX(FTE_Allocation!$E$2:$E$201,$AB537)&amp;")",""),"")))</f>
        <v/>
      </c>
      <c r="H537" s="7">
        <f>IF($Z537="C","CONTRACT",IF($Z537="A","ASSET",IF($Z537="F","WORKFORCE","")))</f>
        <v/>
      </c>
      <c r="I537" s="7">
        <f>IF($Z537="C",INDEX(Contracts!$L$2:$L$151,$AB537)&amp;"",IF($Z537="A",INDEX(Fixed_Assets!$I$2:$I$201,$AB537)&amp;"",IF($Z537="F",INDEX(Workforce!$G$2:$G$151,MATCH(INDEX(FTE_Allocation!$A$2:$A$201,$AB537),Workforce!$A$2:$A$151,0))&amp;"","")))</f>
        <v/>
      </c>
      <c r="J537" s="18">
        <f>IF($Z537="","",IF(AND(DATE($AD537,1,1)&gt;=$AE537,DATE($AD537,1,1)&lt;=$AF537),ROUND($AG537,2),0))</f>
        <v/>
      </c>
      <c r="K537" s="18">
        <f>IF($Z537="","",IF(AND(DATE($AD537,2,1)&gt;=$AE537,DATE($AD537,2,1)&lt;=$AF537),ROUND($AG537,2),0))</f>
        <v/>
      </c>
      <c r="L537" s="18">
        <f>IF($Z537="","",IF(AND(DATE($AD537,3,1)&gt;=$AE537,DATE($AD537,3,1)&lt;=$AF537),ROUND($AG537,2),0))</f>
        <v/>
      </c>
      <c r="M537" s="18">
        <f>IF($Z537="","",IF(AND(DATE($AD537,4,1)&gt;=$AE537,DATE($AD537,4,1)&lt;=$AF537),ROUND($AG537,2),0))</f>
        <v/>
      </c>
      <c r="N537" s="18">
        <f>IF($Z537="","",IF(AND(DATE($AD537,5,1)&gt;=$AE537,DATE($AD537,5,1)&lt;=$AF537),ROUND($AG537,2),0))</f>
        <v/>
      </c>
      <c r="O537" s="18">
        <f>IF($Z537="","",IF(AND(DATE($AD537,6,1)&gt;=$AE537,DATE($AD537,6,1)&lt;=$AF537),ROUND($AG537,2),0))</f>
        <v/>
      </c>
      <c r="P537" s="18">
        <f>IF($Z537="","",IF(AND(DATE($AD537,7,1)&gt;=$AE537,DATE($AD537,7,1)&lt;=$AF537),ROUND($AG537,2),0))</f>
        <v/>
      </c>
      <c r="Q537" s="18">
        <f>IF($Z537="","",IF(AND(DATE($AD537,8,1)&gt;=$AE537,DATE($AD537,8,1)&lt;=$AF537),ROUND($AG537,2),0))</f>
        <v/>
      </c>
      <c r="R537" s="18">
        <f>IF($Z537="","",IF(AND(DATE($AD537,9,1)&gt;=$AE537,DATE($AD537,9,1)&lt;=$AF537),ROUND($AG537,2),0))</f>
        <v/>
      </c>
      <c r="S537" s="18">
        <f>IF($Z537="","",IF(AND(DATE($AD537,10,1)&gt;=$AE537,DATE($AD537,10,1)&lt;=$AF537),ROUND($AG537,2),0))</f>
        <v/>
      </c>
      <c r="T537" s="18">
        <f>IF($Z537="","",IF(AND(DATE($AD537,11,1)&gt;=$AE537,DATE($AD537,11,1)&lt;=$AF537),ROUND($AG537,2),0))</f>
        <v/>
      </c>
      <c r="U537" s="18">
        <f>IF($Z537="","",IF(AND(DATE($AD537,12,1)&gt;=$AE537,DATE($AD537,12,1)&lt;=$AF537),ROUND($AG537,2),0))</f>
        <v/>
      </c>
      <c r="V537" s="7">
        <f>IF($Z537="C","Generated from "&amp;INDEX(Contracts!$A$2:$A$151,$AB537),IF($Z537="A","Generated from "&amp;INDEX(Fixed_Assets!$A$2:$A$201,$AB537),IF($Z537="F","Generated from "&amp;INDEX(FTE_Allocation!$A$2:$A$201,$AB537),"")))</f>
        <v/>
      </c>
      <c r="X537" s="19">
        <f>IF($Z537="","",SUM(J537:U537))</f>
        <v/>
      </c>
      <c r="Y537" s="20">
        <f>ROW()-1</f>
        <v/>
      </c>
      <c r="Z537" s="20">
        <f>IF($Y537&lt;=Settings!$B$4*3,"C",IF($Y537&lt;=(Settings!$B$4+Settings!$B$5)*3,"A",IF($Y537&lt;=(Settings!$B$4+Settings!$B$5+Settings!$B$6)*3,"F","")))</f>
        <v/>
      </c>
      <c r="AA537" s="20">
        <f>IF($Z537="C",$Y537,IF($Z537="A",$Y537-Settings!$B$4*3,IF($Z537="F",$Y537-(Settings!$B$4+Settings!$B$5)*3,"")))</f>
        <v/>
      </c>
      <c r="AB537" s="20">
        <f>IF($Z537="","",INT(($AA537-1)/3)+1)</f>
        <v/>
      </c>
      <c r="AC537" s="20">
        <f>IF($Z537="","",MOD($AA537-1,3)+1)</f>
        <v/>
      </c>
      <c r="AD537" s="20">
        <f>IF($Z537="","",Settings!$B$2+$AC537-1)</f>
        <v/>
      </c>
      <c r="AE537" s="21">
        <f>IF($Z537="C",DATE(YEAR(INDEX(Contracts!$J$2:$J$151,$AB537)),MONTH(INDEX(Contracts!$J$2:$J$151,$AB537)),1),IF($Z537="A",DATE(YEAR(INDEX(Fixed_Assets!$G$2:$G$201,$AB537)),MONTH(INDEX(Fixed_Assets!$G$2:$G$201,$AB537)),1),IF($Z537="F",DATE(YEAR(MAX(N(INDEX(Workforce!$I$2:$I$151,MATCH(INDEX(FTE_Allocation!$A$2:$A$201,$AB537),Workforce!$A$2:$A$151,0))),N(INDEX(FTE_Allocation!$I$2:$I$201,$AB537)))),MONTH(MAX(N(INDEX(Workforce!$I$2:$I$151,MATCH(INDEX(FTE_Allocation!$A$2:$A$201,$AB537),Workforce!$A$2:$A$151,0))),N(INDEX(FTE_Allocation!$I$2:$I$201,$AB537)))),1),"")))</f>
        <v/>
      </c>
      <c r="AF537" s="21">
        <f>IF($Z537="C",IF(INDEX(Contracts!$I$2:$I$151,$AB537)="PREPAID",EDATE(DATE(YEAR(INDEX(Contracts!$J$2:$J$151,$AB537)),MONTH(INDEX(Contracts!$J$2:$J$151,$AB537)),1),IF(INDEX(Contracts!$N$2:$N$151,$AB537)="",12,INDEX(Contracts!$N$2:$N$151,$AB537))-1),IF(INDEX(Contracts!$I$2:$I$151,$AB537)="MONTHLY",IF(INDEX(Contracts!$K$2:$K$151,$AB537)="",2958101,INDEX(Contracts!$K$2:$K$151,$AB537)),0)),IF($Z537="A",EDATE(DATE(YEAR(INDEX(Fixed_Assets!$G$2:$G$201,$AB537)),MONTH(INDEX(Fixed_Assets!$G$2:$G$201,$AB537)),1),INDEX(Fixed_Assets!$J$2:$J$201,$AB537)-1),IF($Z537="F",MIN(IF(INDEX(Workforce!$J$2:$J$151,MATCH(INDEX(FTE_Allocation!$A$2:$A$201,$AB537),Workforce!$A$2:$A$151,0))="",2958101,INDEX(Workforce!$J$2:$J$151,MATCH(INDEX(FTE_Allocation!$A$2:$A$201,$AB537),Workforce!$A$2:$A$151,0))),IF(INDEX(FTE_Allocation!$J$2:$J$201,$AB537)="",2958101,INDEX(FTE_Allocation!$J$2:$J$201,$AB537))),"")))</f>
        <v/>
      </c>
      <c r="AG537" s="19">
        <f>IF($Z537="C",IF(INDEX(Contracts!$I$2:$I$151,$AB537)="PREPAID",INDEX(Contracts!$M$2:$M$151,$AB537)/IF(INDEX(Contracts!$N$2:$N$151,$AB537)="",12,INDEX(Contracts!$N$2:$N$151,$AB537)),IF(INDEX(Contracts!$I$2:$I$151,$AB537)="MONTHLY",INDEX(Contracts!$M$2:$M$151,$AB537),0))*(1-N(INDEX(Contracts!$O$2:$O$151,$AB537))),IF($Z537="A",INDEX(Fixed_Assets!$H$2:$H$201,$AB537)/INDEX(Fixed_Assets!$J$2:$J$201,$AB537),IF($Z537="F",INDEX(Workforce!$F$2:$F$151,MATCH(INDEX(FTE_Allocation!$A$2:$A$201,$AB537),Workforce!$A$2:$A$151,0))*N(INDEX(FTE_Allocation!$F$2:$H$201,$AB537,$AC537)),"")))</f>
        <v/>
      </c>
    </row>
    <row r="538">
      <c r="A538" s="7">
        <f>IF($Z538="","",$AD538)</f>
        <v/>
      </c>
      <c r="B538" s="7">
        <f>IF($Z538="C",INDEX(Contracts!$D$2:$D$151,$AB538)&amp;"",IF($Z538="A",INDEX(Fixed_Assets!$C$2:$C$201,$AB538)&amp;"",IF($Z538="F",INDEX(Workforce!$B$2:$B$151,MATCH(INDEX(FTE_Allocation!$A$2:$A$201,$AB538),Workforce!$A$2:$A$151,0))&amp;"","")))</f>
        <v/>
      </c>
      <c r="C538" s="7">
        <f>IF($Z538="C",INDEX(Contracts!$E$2:$E$151,$AB538)&amp;"",IF($Z538="A",INDEX(Fixed_Assets!$D$2:$D$201,$AB538)&amp;"",IF($Z538="F",INDEX(FTE_Allocation!$C$2:$C$201,$AB538)&amp;"","")))</f>
        <v/>
      </c>
      <c r="D538" s="7">
        <f>IF($Z538="C",INDEX(Contracts!$B$2:$B$151,$AB538)&amp;"",IF($Z538="A",INDEX(Fixed_Assets!$B$2:$B$201,$AB538)&amp;"",IF($Z538="F",INDEX(FTE_Allocation!$B$2:$B$201,$AB538)&amp;"","")))</f>
        <v/>
      </c>
      <c r="E538" s="7">
        <f>IF($Z538="C",INDEX(Contracts!$P$2:$P$151,$AB538)&amp;"",IF($Z538="A",INDEX(Fixed_Assets!$K$2:$K$201,$AB538)&amp;"",IF($Z538="F",IF(INDEX(FTE_Allocation!$D$2:$D$201,$AB538)="PROJECT",IFERROR(INDEX(Projects!$D:$D,MATCH(INDEX(FTE_Allocation!$E$2:$E$201,$AB538),Projects!$A:$A,0))&amp;"","#PROJECT?"),INDEX(FTE_Allocation!$E$2:$E$201,$AB538)&amp;""),"")))</f>
        <v/>
      </c>
      <c r="F538" s="7">
        <f>IF($Z538="C",INDEX(Contracts!$Q$2:$Q$151,$AB538)&amp;"",IF($Z538="A",INDEX(Fixed_Assets!$L$2:$L$201,$AB538)&amp;"",IF($Z538="F",INDEX(Workforce!$K$2:$K$151,MATCH(INDEX(FTE_Allocation!$A$2:$A$201,$AB538),Workforce!$A$2:$A$151,0))&amp;"","")))</f>
        <v/>
      </c>
      <c r="G538" s="7">
        <f>IF($Z538="C",INDEX(Contracts!$F$2:$F$151,$AB538)&amp;" / "&amp;INDEX(Contracts!$G$2:$G$151,$AB538),IF($Z538="A",INDEX(Fixed_Assets!$E$2:$E$201,$AB538)&amp;"",IF($Z538="F","Personnel "&amp;INDEX(FTE_Allocation!$A$2:$A$201,$AB538)&amp;IF(INDEX(FTE_Allocation!$D$2:$D$201,$AB538)="PROJECT"," ("&amp;INDEX(FTE_Allocation!$E$2:$E$201,$AB538)&amp;")",""),"")))</f>
        <v/>
      </c>
      <c r="H538" s="7">
        <f>IF($Z538="C","CONTRACT",IF($Z538="A","ASSET",IF($Z538="F","WORKFORCE","")))</f>
        <v/>
      </c>
      <c r="I538" s="7">
        <f>IF($Z538="C",INDEX(Contracts!$L$2:$L$151,$AB538)&amp;"",IF($Z538="A",INDEX(Fixed_Assets!$I$2:$I$201,$AB538)&amp;"",IF($Z538="F",INDEX(Workforce!$G$2:$G$151,MATCH(INDEX(FTE_Allocation!$A$2:$A$201,$AB538),Workforce!$A$2:$A$151,0))&amp;"","")))</f>
        <v/>
      </c>
      <c r="J538" s="18">
        <f>IF($Z538="","",IF(AND(DATE($AD538,1,1)&gt;=$AE538,DATE($AD538,1,1)&lt;=$AF538),ROUND($AG538,2),0))</f>
        <v/>
      </c>
      <c r="K538" s="18">
        <f>IF($Z538="","",IF(AND(DATE($AD538,2,1)&gt;=$AE538,DATE($AD538,2,1)&lt;=$AF538),ROUND($AG538,2),0))</f>
        <v/>
      </c>
      <c r="L538" s="18">
        <f>IF($Z538="","",IF(AND(DATE($AD538,3,1)&gt;=$AE538,DATE($AD538,3,1)&lt;=$AF538),ROUND($AG538,2),0))</f>
        <v/>
      </c>
      <c r="M538" s="18">
        <f>IF($Z538="","",IF(AND(DATE($AD538,4,1)&gt;=$AE538,DATE($AD538,4,1)&lt;=$AF538),ROUND($AG538,2),0))</f>
        <v/>
      </c>
      <c r="N538" s="18">
        <f>IF($Z538="","",IF(AND(DATE($AD538,5,1)&gt;=$AE538,DATE($AD538,5,1)&lt;=$AF538),ROUND($AG538,2),0))</f>
        <v/>
      </c>
      <c r="O538" s="18">
        <f>IF($Z538="","",IF(AND(DATE($AD538,6,1)&gt;=$AE538,DATE($AD538,6,1)&lt;=$AF538),ROUND($AG538,2),0))</f>
        <v/>
      </c>
      <c r="P538" s="18">
        <f>IF($Z538="","",IF(AND(DATE($AD538,7,1)&gt;=$AE538,DATE($AD538,7,1)&lt;=$AF538),ROUND($AG538,2),0))</f>
        <v/>
      </c>
      <c r="Q538" s="18">
        <f>IF($Z538="","",IF(AND(DATE($AD538,8,1)&gt;=$AE538,DATE($AD538,8,1)&lt;=$AF538),ROUND($AG538,2),0))</f>
        <v/>
      </c>
      <c r="R538" s="18">
        <f>IF($Z538="","",IF(AND(DATE($AD538,9,1)&gt;=$AE538,DATE($AD538,9,1)&lt;=$AF538),ROUND($AG538,2),0))</f>
        <v/>
      </c>
      <c r="S538" s="18">
        <f>IF($Z538="","",IF(AND(DATE($AD538,10,1)&gt;=$AE538,DATE($AD538,10,1)&lt;=$AF538),ROUND($AG538,2),0))</f>
        <v/>
      </c>
      <c r="T538" s="18">
        <f>IF($Z538="","",IF(AND(DATE($AD538,11,1)&gt;=$AE538,DATE($AD538,11,1)&lt;=$AF538),ROUND($AG538,2),0))</f>
        <v/>
      </c>
      <c r="U538" s="18">
        <f>IF($Z538="","",IF(AND(DATE($AD538,12,1)&gt;=$AE538,DATE($AD538,12,1)&lt;=$AF538),ROUND($AG538,2),0))</f>
        <v/>
      </c>
      <c r="V538" s="7">
        <f>IF($Z538="C","Generated from "&amp;INDEX(Contracts!$A$2:$A$151,$AB538),IF($Z538="A","Generated from "&amp;INDEX(Fixed_Assets!$A$2:$A$201,$AB538),IF($Z538="F","Generated from "&amp;INDEX(FTE_Allocation!$A$2:$A$201,$AB538),"")))</f>
        <v/>
      </c>
      <c r="X538" s="19">
        <f>IF($Z538="","",SUM(J538:U538))</f>
        <v/>
      </c>
      <c r="Y538" s="20">
        <f>ROW()-1</f>
        <v/>
      </c>
      <c r="Z538" s="20">
        <f>IF($Y538&lt;=Settings!$B$4*3,"C",IF($Y538&lt;=(Settings!$B$4+Settings!$B$5)*3,"A",IF($Y538&lt;=(Settings!$B$4+Settings!$B$5+Settings!$B$6)*3,"F","")))</f>
        <v/>
      </c>
      <c r="AA538" s="20">
        <f>IF($Z538="C",$Y538,IF($Z538="A",$Y538-Settings!$B$4*3,IF($Z538="F",$Y538-(Settings!$B$4+Settings!$B$5)*3,"")))</f>
        <v/>
      </c>
      <c r="AB538" s="20">
        <f>IF($Z538="","",INT(($AA538-1)/3)+1)</f>
        <v/>
      </c>
      <c r="AC538" s="20">
        <f>IF($Z538="","",MOD($AA538-1,3)+1)</f>
        <v/>
      </c>
      <c r="AD538" s="20">
        <f>IF($Z538="","",Settings!$B$2+$AC538-1)</f>
        <v/>
      </c>
      <c r="AE538" s="21">
        <f>IF($Z538="C",DATE(YEAR(INDEX(Contracts!$J$2:$J$151,$AB538)),MONTH(INDEX(Contracts!$J$2:$J$151,$AB538)),1),IF($Z538="A",DATE(YEAR(INDEX(Fixed_Assets!$G$2:$G$201,$AB538)),MONTH(INDEX(Fixed_Assets!$G$2:$G$201,$AB538)),1),IF($Z538="F",DATE(YEAR(MAX(N(INDEX(Workforce!$I$2:$I$151,MATCH(INDEX(FTE_Allocation!$A$2:$A$201,$AB538),Workforce!$A$2:$A$151,0))),N(INDEX(FTE_Allocation!$I$2:$I$201,$AB538)))),MONTH(MAX(N(INDEX(Workforce!$I$2:$I$151,MATCH(INDEX(FTE_Allocation!$A$2:$A$201,$AB538),Workforce!$A$2:$A$151,0))),N(INDEX(FTE_Allocation!$I$2:$I$201,$AB538)))),1),"")))</f>
        <v/>
      </c>
      <c r="AF538" s="21">
        <f>IF($Z538="C",IF(INDEX(Contracts!$I$2:$I$151,$AB538)="PREPAID",EDATE(DATE(YEAR(INDEX(Contracts!$J$2:$J$151,$AB538)),MONTH(INDEX(Contracts!$J$2:$J$151,$AB538)),1),IF(INDEX(Contracts!$N$2:$N$151,$AB538)="",12,INDEX(Contracts!$N$2:$N$151,$AB538))-1),IF(INDEX(Contracts!$I$2:$I$151,$AB538)="MONTHLY",IF(INDEX(Contracts!$K$2:$K$151,$AB538)="",2958101,INDEX(Contracts!$K$2:$K$151,$AB538)),0)),IF($Z538="A",EDATE(DATE(YEAR(INDEX(Fixed_Assets!$G$2:$G$201,$AB538)),MONTH(INDEX(Fixed_Assets!$G$2:$G$201,$AB538)),1),INDEX(Fixed_Assets!$J$2:$J$201,$AB538)-1),IF($Z538="F",MIN(IF(INDEX(Workforce!$J$2:$J$151,MATCH(INDEX(FTE_Allocation!$A$2:$A$201,$AB538),Workforce!$A$2:$A$151,0))="",2958101,INDEX(Workforce!$J$2:$J$151,MATCH(INDEX(FTE_Allocation!$A$2:$A$201,$AB538),Workforce!$A$2:$A$151,0))),IF(INDEX(FTE_Allocation!$J$2:$J$201,$AB538)="",2958101,INDEX(FTE_Allocation!$J$2:$J$201,$AB538))),"")))</f>
        <v/>
      </c>
      <c r="AG538" s="19">
        <f>IF($Z538="C",IF(INDEX(Contracts!$I$2:$I$151,$AB538)="PREPAID",INDEX(Contracts!$M$2:$M$151,$AB538)/IF(INDEX(Contracts!$N$2:$N$151,$AB538)="",12,INDEX(Contracts!$N$2:$N$151,$AB538)),IF(INDEX(Contracts!$I$2:$I$151,$AB538)="MONTHLY",INDEX(Contracts!$M$2:$M$151,$AB538),0))*(1-N(INDEX(Contracts!$O$2:$O$151,$AB538))),IF($Z538="A",INDEX(Fixed_Assets!$H$2:$H$201,$AB538)/INDEX(Fixed_Assets!$J$2:$J$201,$AB538),IF($Z538="F",INDEX(Workforce!$F$2:$F$151,MATCH(INDEX(FTE_Allocation!$A$2:$A$201,$AB538),Workforce!$A$2:$A$151,0))*N(INDEX(FTE_Allocation!$F$2:$H$201,$AB538,$AC538)),"")))</f>
        <v/>
      </c>
    </row>
    <row r="539">
      <c r="A539" s="7">
        <f>IF($Z539="","",$AD539)</f>
        <v/>
      </c>
      <c r="B539" s="7">
        <f>IF($Z539="C",INDEX(Contracts!$D$2:$D$151,$AB539)&amp;"",IF($Z539="A",INDEX(Fixed_Assets!$C$2:$C$201,$AB539)&amp;"",IF($Z539="F",INDEX(Workforce!$B$2:$B$151,MATCH(INDEX(FTE_Allocation!$A$2:$A$201,$AB539),Workforce!$A$2:$A$151,0))&amp;"","")))</f>
        <v/>
      </c>
      <c r="C539" s="7">
        <f>IF($Z539="C",INDEX(Contracts!$E$2:$E$151,$AB539)&amp;"",IF($Z539="A",INDEX(Fixed_Assets!$D$2:$D$201,$AB539)&amp;"",IF($Z539="F",INDEX(FTE_Allocation!$C$2:$C$201,$AB539)&amp;"","")))</f>
        <v/>
      </c>
      <c r="D539" s="7">
        <f>IF($Z539="C",INDEX(Contracts!$B$2:$B$151,$AB539)&amp;"",IF($Z539="A",INDEX(Fixed_Assets!$B$2:$B$201,$AB539)&amp;"",IF($Z539="F",INDEX(FTE_Allocation!$B$2:$B$201,$AB539)&amp;"","")))</f>
        <v/>
      </c>
      <c r="E539" s="7">
        <f>IF($Z539="C",INDEX(Contracts!$P$2:$P$151,$AB539)&amp;"",IF($Z539="A",INDEX(Fixed_Assets!$K$2:$K$201,$AB539)&amp;"",IF($Z539="F",IF(INDEX(FTE_Allocation!$D$2:$D$201,$AB539)="PROJECT",IFERROR(INDEX(Projects!$D:$D,MATCH(INDEX(FTE_Allocation!$E$2:$E$201,$AB539),Projects!$A:$A,0))&amp;"","#PROJECT?"),INDEX(FTE_Allocation!$E$2:$E$201,$AB539)&amp;""),"")))</f>
        <v/>
      </c>
      <c r="F539" s="7">
        <f>IF($Z539="C",INDEX(Contracts!$Q$2:$Q$151,$AB539)&amp;"",IF($Z539="A",INDEX(Fixed_Assets!$L$2:$L$201,$AB539)&amp;"",IF($Z539="F",INDEX(Workforce!$K$2:$K$151,MATCH(INDEX(FTE_Allocation!$A$2:$A$201,$AB539),Workforce!$A$2:$A$151,0))&amp;"","")))</f>
        <v/>
      </c>
      <c r="G539" s="7">
        <f>IF($Z539="C",INDEX(Contracts!$F$2:$F$151,$AB539)&amp;" / "&amp;INDEX(Contracts!$G$2:$G$151,$AB539),IF($Z539="A",INDEX(Fixed_Assets!$E$2:$E$201,$AB539)&amp;"",IF($Z539="F","Personnel "&amp;INDEX(FTE_Allocation!$A$2:$A$201,$AB539)&amp;IF(INDEX(FTE_Allocation!$D$2:$D$201,$AB539)="PROJECT"," ("&amp;INDEX(FTE_Allocation!$E$2:$E$201,$AB539)&amp;")",""),"")))</f>
        <v/>
      </c>
      <c r="H539" s="7">
        <f>IF($Z539="C","CONTRACT",IF($Z539="A","ASSET",IF($Z539="F","WORKFORCE","")))</f>
        <v/>
      </c>
      <c r="I539" s="7">
        <f>IF($Z539="C",INDEX(Contracts!$L$2:$L$151,$AB539)&amp;"",IF($Z539="A",INDEX(Fixed_Assets!$I$2:$I$201,$AB539)&amp;"",IF($Z539="F",INDEX(Workforce!$G$2:$G$151,MATCH(INDEX(FTE_Allocation!$A$2:$A$201,$AB539),Workforce!$A$2:$A$151,0))&amp;"","")))</f>
        <v/>
      </c>
      <c r="J539" s="18">
        <f>IF($Z539="","",IF(AND(DATE($AD539,1,1)&gt;=$AE539,DATE($AD539,1,1)&lt;=$AF539),ROUND($AG539,2),0))</f>
        <v/>
      </c>
      <c r="K539" s="18">
        <f>IF($Z539="","",IF(AND(DATE($AD539,2,1)&gt;=$AE539,DATE($AD539,2,1)&lt;=$AF539),ROUND($AG539,2),0))</f>
        <v/>
      </c>
      <c r="L539" s="18">
        <f>IF($Z539="","",IF(AND(DATE($AD539,3,1)&gt;=$AE539,DATE($AD539,3,1)&lt;=$AF539),ROUND($AG539,2),0))</f>
        <v/>
      </c>
      <c r="M539" s="18">
        <f>IF($Z539="","",IF(AND(DATE($AD539,4,1)&gt;=$AE539,DATE($AD539,4,1)&lt;=$AF539),ROUND($AG539,2),0))</f>
        <v/>
      </c>
      <c r="N539" s="18">
        <f>IF($Z539="","",IF(AND(DATE($AD539,5,1)&gt;=$AE539,DATE($AD539,5,1)&lt;=$AF539),ROUND($AG539,2),0))</f>
        <v/>
      </c>
      <c r="O539" s="18">
        <f>IF($Z539="","",IF(AND(DATE($AD539,6,1)&gt;=$AE539,DATE($AD539,6,1)&lt;=$AF539),ROUND($AG539,2),0))</f>
        <v/>
      </c>
      <c r="P539" s="18">
        <f>IF($Z539="","",IF(AND(DATE($AD539,7,1)&gt;=$AE539,DATE($AD539,7,1)&lt;=$AF539),ROUND($AG539,2),0))</f>
        <v/>
      </c>
      <c r="Q539" s="18">
        <f>IF($Z539="","",IF(AND(DATE($AD539,8,1)&gt;=$AE539,DATE($AD539,8,1)&lt;=$AF539),ROUND($AG539,2),0))</f>
        <v/>
      </c>
      <c r="R539" s="18">
        <f>IF($Z539="","",IF(AND(DATE($AD539,9,1)&gt;=$AE539,DATE($AD539,9,1)&lt;=$AF539),ROUND($AG539,2),0))</f>
        <v/>
      </c>
      <c r="S539" s="18">
        <f>IF($Z539="","",IF(AND(DATE($AD539,10,1)&gt;=$AE539,DATE($AD539,10,1)&lt;=$AF539),ROUND($AG539,2),0))</f>
        <v/>
      </c>
      <c r="T539" s="18">
        <f>IF($Z539="","",IF(AND(DATE($AD539,11,1)&gt;=$AE539,DATE($AD539,11,1)&lt;=$AF539),ROUND($AG539,2),0))</f>
        <v/>
      </c>
      <c r="U539" s="18">
        <f>IF($Z539="","",IF(AND(DATE($AD539,12,1)&gt;=$AE539,DATE($AD539,12,1)&lt;=$AF539),ROUND($AG539,2),0))</f>
        <v/>
      </c>
      <c r="V539" s="7">
        <f>IF($Z539="C","Generated from "&amp;INDEX(Contracts!$A$2:$A$151,$AB539),IF($Z539="A","Generated from "&amp;INDEX(Fixed_Assets!$A$2:$A$201,$AB539),IF($Z539="F","Generated from "&amp;INDEX(FTE_Allocation!$A$2:$A$201,$AB539),"")))</f>
        <v/>
      </c>
      <c r="X539" s="19">
        <f>IF($Z539="","",SUM(J539:U539))</f>
        <v/>
      </c>
      <c r="Y539" s="20">
        <f>ROW()-1</f>
        <v/>
      </c>
      <c r="Z539" s="20">
        <f>IF($Y539&lt;=Settings!$B$4*3,"C",IF($Y539&lt;=(Settings!$B$4+Settings!$B$5)*3,"A",IF($Y539&lt;=(Settings!$B$4+Settings!$B$5+Settings!$B$6)*3,"F","")))</f>
        <v/>
      </c>
      <c r="AA539" s="20">
        <f>IF($Z539="C",$Y539,IF($Z539="A",$Y539-Settings!$B$4*3,IF($Z539="F",$Y539-(Settings!$B$4+Settings!$B$5)*3,"")))</f>
        <v/>
      </c>
      <c r="AB539" s="20">
        <f>IF($Z539="","",INT(($AA539-1)/3)+1)</f>
        <v/>
      </c>
      <c r="AC539" s="20">
        <f>IF($Z539="","",MOD($AA539-1,3)+1)</f>
        <v/>
      </c>
      <c r="AD539" s="20">
        <f>IF($Z539="","",Settings!$B$2+$AC539-1)</f>
        <v/>
      </c>
      <c r="AE539" s="21">
        <f>IF($Z539="C",DATE(YEAR(INDEX(Contracts!$J$2:$J$151,$AB539)),MONTH(INDEX(Contracts!$J$2:$J$151,$AB539)),1),IF($Z539="A",DATE(YEAR(INDEX(Fixed_Assets!$G$2:$G$201,$AB539)),MONTH(INDEX(Fixed_Assets!$G$2:$G$201,$AB539)),1),IF($Z539="F",DATE(YEAR(MAX(N(INDEX(Workforce!$I$2:$I$151,MATCH(INDEX(FTE_Allocation!$A$2:$A$201,$AB539),Workforce!$A$2:$A$151,0))),N(INDEX(FTE_Allocation!$I$2:$I$201,$AB539)))),MONTH(MAX(N(INDEX(Workforce!$I$2:$I$151,MATCH(INDEX(FTE_Allocation!$A$2:$A$201,$AB539),Workforce!$A$2:$A$151,0))),N(INDEX(FTE_Allocation!$I$2:$I$201,$AB539)))),1),"")))</f>
        <v/>
      </c>
      <c r="AF539" s="21">
        <f>IF($Z539="C",IF(INDEX(Contracts!$I$2:$I$151,$AB539)="PREPAID",EDATE(DATE(YEAR(INDEX(Contracts!$J$2:$J$151,$AB539)),MONTH(INDEX(Contracts!$J$2:$J$151,$AB539)),1),IF(INDEX(Contracts!$N$2:$N$151,$AB539)="",12,INDEX(Contracts!$N$2:$N$151,$AB539))-1),IF(INDEX(Contracts!$I$2:$I$151,$AB539)="MONTHLY",IF(INDEX(Contracts!$K$2:$K$151,$AB539)="",2958101,INDEX(Contracts!$K$2:$K$151,$AB539)),0)),IF($Z539="A",EDATE(DATE(YEAR(INDEX(Fixed_Assets!$G$2:$G$201,$AB539)),MONTH(INDEX(Fixed_Assets!$G$2:$G$201,$AB539)),1),INDEX(Fixed_Assets!$J$2:$J$201,$AB539)-1),IF($Z539="F",MIN(IF(INDEX(Workforce!$J$2:$J$151,MATCH(INDEX(FTE_Allocation!$A$2:$A$201,$AB539),Workforce!$A$2:$A$151,0))="",2958101,INDEX(Workforce!$J$2:$J$151,MATCH(INDEX(FTE_Allocation!$A$2:$A$201,$AB539),Workforce!$A$2:$A$151,0))),IF(INDEX(FTE_Allocation!$J$2:$J$201,$AB539)="",2958101,INDEX(FTE_Allocation!$J$2:$J$201,$AB539))),"")))</f>
        <v/>
      </c>
      <c r="AG539" s="19">
        <f>IF($Z539="C",IF(INDEX(Contracts!$I$2:$I$151,$AB539)="PREPAID",INDEX(Contracts!$M$2:$M$151,$AB539)/IF(INDEX(Contracts!$N$2:$N$151,$AB539)="",12,INDEX(Contracts!$N$2:$N$151,$AB539)),IF(INDEX(Contracts!$I$2:$I$151,$AB539)="MONTHLY",INDEX(Contracts!$M$2:$M$151,$AB539),0))*(1-N(INDEX(Contracts!$O$2:$O$151,$AB539))),IF($Z539="A",INDEX(Fixed_Assets!$H$2:$H$201,$AB539)/INDEX(Fixed_Assets!$J$2:$J$201,$AB539),IF($Z539="F",INDEX(Workforce!$F$2:$F$151,MATCH(INDEX(FTE_Allocation!$A$2:$A$201,$AB539),Workforce!$A$2:$A$151,0))*N(INDEX(FTE_Allocation!$F$2:$H$201,$AB539,$AC539)),"")))</f>
        <v/>
      </c>
    </row>
    <row r="540">
      <c r="A540" s="7">
        <f>IF($Z540="","",$AD540)</f>
        <v/>
      </c>
      <c r="B540" s="7">
        <f>IF($Z540="C",INDEX(Contracts!$D$2:$D$151,$AB540)&amp;"",IF($Z540="A",INDEX(Fixed_Assets!$C$2:$C$201,$AB540)&amp;"",IF($Z540="F",INDEX(Workforce!$B$2:$B$151,MATCH(INDEX(FTE_Allocation!$A$2:$A$201,$AB540),Workforce!$A$2:$A$151,0))&amp;"","")))</f>
        <v/>
      </c>
      <c r="C540" s="7">
        <f>IF($Z540="C",INDEX(Contracts!$E$2:$E$151,$AB540)&amp;"",IF($Z540="A",INDEX(Fixed_Assets!$D$2:$D$201,$AB540)&amp;"",IF($Z540="F",INDEX(FTE_Allocation!$C$2:$C$201,$AB540)&amp;"","")))</f>
        <v/>
      </c>
      <c r="D540" s="7">
        <f>IF($Z540="C",INDEX(Contracts!$B$2:$B$151,$AB540)&amp;"",IF($Z540="A",INDEX(Fixed_Assets!$B$2:$B$201,$AB540)&amp;"",IF($Z540="F",INDEX(FTE_Allocation!$B$2:$B$201,$AB540)&amp;"","")))</f>
        <v/>
      </c>
      <c r="E540" s="7">
        <f>IF($Z540="C",INDEX(Contracts!$P$2:$P$151,$AB540)&amp;"",IF($Z540="A",INDEX(Fixed_Assets!$K$2:$K$201,$AB540)&amp;"",IF($Z540="F",IF(INDEX(FTE_Allocation!$D$2:$D$201,$AB540)="PROJECT",IFERROR(INDEX(Projects!$D:$D,MATCH(INDEX(FTE_Allocation!$E$2:$E$201,$AB540),Projects!$A:$A,0))&amp;"","#PROJECT?"),INDEX(FTE_Allocation!$E$2:$E$201,$AB540)&amp;""),"")))</f>
        <v/>
      </c>
      <c r="F540" s="7">
        <f>IF($Z540="C",INDEX(Contracts!$Q$2:$Q$151,$AB540)&amp;"",IF($Z540="A",INDEX(Fixed_Assets!$L$2:$L$201,$AB540)&amp;"",IF($Z540="F",INDEX(Workforce!$K$2:$K$151,MATCH(INDEX(FTE_Allocation!$A$2:$A$201,$AB540),Workforce!$A$2:$A$151,0))&amp;"","")))</f>
        <v/>
      </c>
      <c r="G540" s="7">
        <f>IF($Z540="C",INDEX(Contracts!$F$2:$F$151,$AB540)&amp;" / "&amp;INDEX(Contracts!$G$2:$G$151,$AB540),IF($Z540="A",INDEX(Fixed_Assets!$E$2:$E$201,$AB540)&amp;"",IF($Z540="F","Personnel "&amp;INDEX(FTE_Allocation!$A$2:$A$201,$AB540)&amp;IF(INDEX(FTE_Allocation!$D$2:$D$201,$AB540)="PROJECT"," ("&amp;INDEX(FTE_Allocation!$E$2:$E$201,$AB540)&amp;")",""),"")))</f>
        <v/>
      </c>
      <c r="H540" s="7">
        <f>IF($Z540="C","CONTRACT",IF($Z540="A","ASSET",IF($Z540="F","WORKFORCE","")))</f>
        <v/>
      </c>
      <c r="I540" s="7">
        <f>IF($Z540="C",INDEX(Contracts!$L$2:$L$151,$AB540)&amp;"",IF($Z540="A",INDEX(Fixed_Assets!$I$2:$I$201,$AB540)&amp;"",IF($Z540="F",INDEX(Workforce!$G$2:$G$151,MATCH(INDEX(FTE_Allocation!$A$2:$A$201,$AB540),Workforce!$A$2:$A$151,0))&amp;"","")))</f>
        <v/>
      </c>
      <c r="J540" s="18">
        <f>IF($Z540="","",IF(AND(DATE($AD540,1,1)&gt;=$AE540,DATE($AD540,1,1)&lt;=$AF540),ROUND($AG540,2),0))</f>
        <v/>
      </c>
      <c r="K540" s="18">
        <f>IF($Z540="","",IF(AND(DATE($AD540,2,1)&gt;=$AE540,DATE($AD540,2,1)&lt;=$AF540),ROUND($AG540,2),0))</f>
        <v/>
      </c>
      <c r="L540" s="18">
        <f>IF($Z540="","",IF(AND(DATE($AD540,3,1)&gt;=$AE540,DATE($AD540,3,1)&lt;=$AF540),ROUND($AG540,2),0))</f>
        <v/>
      </c>
      <c r="M540" s="18">
        <f>IF($Z540="","",IF(AND(DATE($AD540,4,1)&gt;=$AE540,DATE($AD540,4,1)&lt;=$AF540),ROUND($AG540,2),0))</f>
        <v/>
      </c>
      <c r="N540" s="18">
        <f>IF($Z540="","",IF(AND(DATE($AD540,5,1)&gt;=$AE540,DATE($AD540,5,1)&lt;=$AF540),ROUND($AG540,2),0))</f>
        <v/>
      </c>
      <c r="O540" s="18">
        <f>IF($Z540="","",IF(AND(DATE($AD540,6,1)&gt;=$AE540,DATE($AD540,6,1)&lt;=$AF540),ROUND($AG540,2),0))</f>
        <v/>
      </c>
      <c r="P540" s="18">
        <f>IF($Z540="","",IF(AND(DATE($AD540,7,1)&gt;=$AE540,DATE($AD540,7,1)&lt;=$AF540),ROUND($AG540,2),0))</f>
        <v/>
      </c>
      <c r="Q540" s="18">
        <f>IF($Z540="","",IF(AND(DATE($AD540,8,1)&gt;=$AE540,DATE($AD540,8,1)&lt;=$AF540),ROUND($AG540,2),0))</f>
        <v/>
      </c>
      <c r="R540" s="18">
        <f>IF($Z540="","",IF(AND(DATE($AD540,9,1)&gt;=$AE540,DATE($AD540,9,1)&lt;=$AF540),ROUND($AG540,2),0))</f>
        <v/>
      </c>
      <c r="S540" s="18">
        <f>IF($Z540="","",IF(AND(DATE($AD540,10,1)&gt;=$AE540,DATE($AD540,10,1)&lt;=$AF540),ROUND($AG540,2),0))</f>
        <v/>
      </c>
      <c r="T540" s="18">
        <f>IF($Z540="","",IF(AND(DATE($AD540,11,1)&gt;=$AE540,DATE($AD540,11,1)&lt;=$AF540),ROUND($AG540,2),0))</f>
        <v/>
      </c>
      <c r="U540" s="18">
        <f>IF($Z540="","",IF(AND(DATE($AD540,12,1)&gt;=$AE540,DATE($AD540,12,1)&lt;=$AF540),ROUND($AG540,2),0))</f>
        <v/>
      </c>
      <c r="V540" s="7">
        <f>IF($Z540="C","Generated from "&amp;INDEX(Contracts!$A$2:$A$151,$AB540),IF($Z540="A","Generated from "&amp;INDEX(Fixed_Assets!$A$2:$A$201,$AB540),IF($Z540="F","Generated from "&amp;INDEX(FTE_Allocation!$A$2:$A$201,$AB540),"")))</f>
        <v/>
      </c>
      <c r="X540" s="19">
        <f>IF($Z540="","",SUM(J540:U540))</f>
        <v/>
      </c>
      <c r="Y540" s="20">
        <f>ROW()-1</f>
        <v/>
      </c>
      <c r="Z540" s="20">
        <f>IF($Y540&lt;=Settings!$B$4*3,"C",IF($Y540&lt;=(Settings!$B$4+Settings!$B$5)*3,"A",IF($Y540&lt;=(Settings!$B$4+Settings!$B$5+Settings!$B$6)*3,"F","")))</f>
        <v/>
      </c>
      <c r="AA540" s="20">
        <f>IF($Z540="C",$Y540,IF($Z540="A",$Y540-Settings!$B$4*3,IF($Z540="F",$Y540-(Settings!$B$4+Settings!$B$5)*3,"")))</f>
        <v/>
      </c>
      <c r="AB540" s="20">
        <f>IF($Z540="","",INT(($AA540-1)/3)+1)</f>
        <v/>
      </c>
      <c r="AC540" s="20">
        <f>IF($Z540="","",MOD($AA540-1,3)+1)</f>
        <v/>
      </c>
      <c r="AD540" s="20">
        <f>IF($Z540="","",Settings!$B$2+$AC540-1)</f>
        <v/>
      </c>
      <c r="AE540" s="21">
        <f>IF($Z540="C",DATE(YEAR(INDEX(Contracts!$J$2:$J$151,$AB540)),MONTH(INDEX(Contracts!$J$2:$J$151,$AB540)),1),IF($Z540="A",DATE(YEAR(INDEX(Fixed_Assets!$G$2:$G$201,$AB540)),MONTH(INDEX(Fixed_Assets!$G$2:$G$201,$AB540)),1),IF($Z540="F",DATE(YEAR(MAX(N(INDEX(Workforce!$I$2:$I$151,MATCH(INDEX(FTE_Allocation!$A$2:$A$201,$AB540),Workforce!$A$2:$A$151,0))),N(INDEX(FTE_Allocation!$I$2:$I$201,$AB540)))),MONTH(MAX(N(INDEX(Workforce!$I$2:$I$151,MATCH(INDEX(FTE_Allocation!$A$2:$A$201,$AB540),Workforce!$A$2:$A$151,0))),N(INDEX(FTE_Allocation!$I$2:$I$201,$AB540)))),1),"")))</f>
        <v/>
      </c>
      <c r="AF540" s="21">
        <f>IF($Z540="C",IF(INDEX(Contracts!$I$2:$I$151,$AB540)="PREPAID",EDATE(DATE(YEAR(INDEX(Contracts!$J$2:$J$151,$AB540)),MONTH(INDEX(Contracts!$J$2:$J$151,$AB540)),1),IF(INDEX(Contracts!$N$2:$N$151,$AB540)="",12,INDEX(Contracts!$N$2:$N$151,$AB540))-1),IF(INDEX(Contracts!$I$2:$I$151,$AB540)="MONTHLY",IF(INDEX(Contracts!$K$2:$K$151,$AB540)="",2958101,INDEX(Contracts!$K$2:$K$151,$AB540)),0)),IF($Z540="A",EDATE(DATE(YEAR(INDEX(Fixed_Assets!$G$2:$G$201,$AB540)),MONTH(INDEX(Fixed_Assets!$G$2:$G$201,$AB540)),1),INDEX(Fixed_Assets!$J$2:$J$201,$AB540)-1),IF($Z540="F",MIN(IF(INDEX(Workforce!$J$2:$J$151,MATCH(INDEX(FTE_Allocation!$A$2:$A$201,$AB540),Workforce!$A$2:$A$151,0))="",2958101,INDEX(Workforce!$J$2:$J$151,MATCH(INDEX(FTE_Allocation!$A$2:$A$201,$AB540),Workforce!$A$2:$A$151,0))),IF(INDEX(FTE_Allocation!$J$2:$J$201,$AB540)="",2958101,INDEX(FTE_Allocation!$J$2:$J$201,$AB540))),"")))</f>
        <v/>
      </c>
      <c r="AG540" s="19">
        <f>IF($Z540="C",IF(INDEX(Contracts!$I$2:$I$151,$AB540)="PREPAID",INDEX(Contracts!$M$2:$M$151,$AB540)/IF(INDEX(Contracts!$N$2:$N$151,$AB540)="",12,INDEX(Contracts!$N$2:$N$151,$AB540)),IF(INDEX(Contracts!$I$2:$I$151,$AB540)="MONTHLY",INDEX(Contracts!$M$2:$M$151,$AB540),0))*(1-N(INDEX(Contracts!$O$2:$O$151,$AB540))),IF($Z540="A",INDEX(Fixed_Assets!$H$2:$H$201,$AB540)/INDEX(Fixed_Assets!$J$2:$J$201,$AB540),IF($Z540="F",INDEX(Workforce!$F$2:$F$151,MATCH(INDEX(FTE_Allocation!$A$2:$A$201,$AB540),Workforce!$A$2:$A$151,0))*N(INDEX(FTE_Allocation!$F$2:$H$201,$AB540,$AC540)),"")))</f>
        <v/>
      </c>
    </row>
    <row r="541">
      <c r="A541" s="7">
        <f>IF($Z541="","",$AD541)</f>
        <v/>
      </c>
      <c r="B541" s="7">
        <f>IF($Z541="C",INDEX(Contracts!$D$2:$D$151,$AB541)&amp;"",IF($Z541="A",INDEX(Fixed_Assets!$C$2:$C$201,$AB541)&amp;"",IF($Z541="F",INDEX(Workforce!$B$2:$B$151,MATCH(INDEX(FTE_Allocation!$A$2:$A$201,$AB541),Workforce!$A$2:$A$151,0))&amp;"","")))</f>
        <v/>
      </c>
      <c r="C541" s="7">
        <f>IF($Z541="C",INDEX(Contracts!$E$2:$E$151,$AB541)&amp;"",IF($Z541="A",INDEX(Fixed_Assets!$D$2:$D$201,$AB541)&amp;"",IF($Z541="F",INDEX(FTE_Allocation!$C$2:$C$201,$AB541)&amp;"","")))</f>
        <v/>
      </c>
      <c r="D541" s="7">
        <f>IF($Z541="C",INDEX(Contracts!$B$2:$B$151,$AB541)&amp;"",IF($Z541="A",INDEX(Fixed_Assets!$B$2:$B$201,$AB541)&amp;"",IF($Z541="F",INDEX(FTE_Allocation!$B$2:$B$201,$AB541)&amp;"","")))</f>
        <v/>
      </c>
      <c r="E541" s="7">
        <f>IF($Z541="C",INDEX(Contracts!$P$2:$P$151,$AB541)&amp;"",IF($Z541="A",INDEX(Fixed_Assets!$K$2:$K$201,$AB541)&amp;"",IF($Z541="F",IF(INDEX(FTE_Allocation!$D$2:$D$201,$AB541)="PROJECT",IFERROR(INDEX(Projects!$D:$D,MATCH(INDEX(FTE_Allocation!$E$2:$E$201,$AB541),Projects!$A:$A,0))&amp;"","#PROJECT?"),INDEX(FTE_Allocation!$E$2:$E$201,$AB541)&amp;""),"")))</f>
        <v/>
      </c>
      <c r="F541" s="7">
        <f>IF($Z541="C",INDEX(Contracts!$Q$2:$Q$151,$AB541)&amp;"",IF($Z541="A",INDEX(Fixed_Assets!$L$2:$L$201,$AB541)&amp;"",IF($Z541="F",INDEX(Workforce!$K$2:$K$151,MATCH(INDEX(FTE_Allocation!$A$2:$A$201,$AB541),Workforce!$A$2:$A$151,0))&amp;"","")))</f>
        <v/>
      </c>
      <c r="G541" s="7">
        <f>IF($Z541="C",INDEX(Contracts!$F$2:$F$151,$AB541)&amp;" / "&amp;INDEX(Contracts!$G$2:$G$151,$AB541),IF($Z541="A",INDEX(Fixed_Assets!$E$2:$E$201,$AB541)&amp;"",IF($Z541="F","Personnel "&amp;INDEX(FTE_Allocation!$A$2:$A$201,$AB541)&amp;IF(INDEX(FTE_Allocation!$D$2:$D$201,$AB541)="PROJECT"," ("&amp;INDEX(FTE_Allocation!$E$2:$E$201,$AB541)&amp;")",""),"")))</f>
        <v/>
      </c>
      <c r="H541" s="7">
        <f>IF($Z541="C","CONTRACT",IF($Z541="A","ASSET",IF($Z541="F","WORKFORCE","")))</f>
        <v/>
      </c>
      <c r="I541" s="7">
        <f>IF($Z541="C",INDEX(Contracts!$L$2:$L$151,$AB541)&amp;"",IF($Z541="A",INDEX(Fixed_Assets!$I$2:$I$201,$AB541)&amp;"",IF($Z541="F",INDEX(Workforce!$G$2:$G$151,MATCH(INDEX(FTE_Allocation!$A$2:$A$201,$AB541),Workforce!$A$2:$A$151,0))&amp;"","")))</f>
        <v/>
      </c>
      <c r="J541" s="18">
        <f>IF($Z541="","",IF(AND(DATE($AD541,1,1)&gt;=$AE541,DATE($AD541,1,1)&lt;=$AF541),ROUND($AG541,2),0))</f>
        <v/>
      </c>
      <c r="K541" s="18">
        <f>IF($Z541="","",IF(AND(DATE($AD541,2,1)&gt;=$AE541,DATE($AD541,2,1)&lt;=$AF541),ROUND($AG541,2),0))</f>
        <v/>
      </c>
      <c r="L541" s="18">
        <f>IF($Z541="","",IF(AND(DATE($AD541,3,1)&gt;=$AE541,DATE($AD541,3,1)&lt;=$AF541),ROUND($AG541,2),0))</f>
        <v/>
      </c>
      <c r="M541" s="18">
        <f>IF($Z541="","",IF(AND(DATE($AD541,4,1)&gt;=$AE541,DATE($AD541,4,1)&lt;=$AF541),ROUND($AG541,2),0))</f>
        <v/>
      </c>
      <c r="N541" s="18">
        <f>IF($Z541="","",IF(AND(DATE($AD541,5,1)&gt;=$AE541,DATE($AD541,5,1)&lt;=$AF541),ROUND($AG541,2),0))</f>
        <v/>
      </c>
      <c r="O541" s="18">
        <f>IF($Z541="","",IF(AND(DATE($AD541,6,1)&gt;=$AE541,DATE($AD541,6,1)&lt;=$AF541),ROUND($AG541,2),0))</f>
        <v/>
      </c>
      <c r="P541" s="18">
        <f>IF($Z541="","",IF(AND(DATE($AD541,7,1)&gt;=$AE541,DATE($AD541,7,1)&lt;=$AF541),ROUND($AG541,2),0))</f>
        <v/>
      </c>
      <c r="Q541" s="18">
        <f>IF($Z541="","",IF(AND(DATE($AD541,8,1)&gt;=$AE541,DATE($AD541,8,1)&lt;=$AF541),ROUND($AG541,2),0))</f>
        <v/>
      </c>
      <c r="R541" s="18">
        <f>IF($Z541="","",IF(AND(DATE($AD541,9,1)&gt;=$AE541,DATE($AD541,9,1)&lt;=$AF541),ROUND($AG541,2),0))</f>
        <v/>
      </c>
      <c r="S541" s="18">
        <f>IF($Z541="","",IF(AND(DATE($AD541,10,1)&gt;=$AE541,DATE($AD541,10,1)&lt;=$AF541),ROUND($AG541,2),0))</f>
        <v/>
      </c>
      <c r="T541" s="18">
        <f>IF($Z541="","",IF(AND(DATE($AD541,11,1)&gt;=$AE541,DATE($AD541,11,1)&lt;=$AF541),ROUND($AG541,2),0))</f>
        <v/>
      </c>
      <c r="U541" s="18">
        <f>IF($Z541="","",IF(AND(DATE($AD541,12,1)&gt;=$AE541,DATE($AD541,12,1)&lt;=$AF541),ROUND($AG541,2),0))</f>
        <v/>
      </c>
      <c r="V541" s="7">
        <f>IF($Z541="C","Generated from "&amp;INDEX(Contracts!$A$2:$A$151,$AB541),IF($Z541="A","Generated from "&amp;INDEX(Fixed_Assets!$A$2:$A$201,$AB541),IF($Z541="F","Generated from "&amp;INDEX(FTE_Allocation!$A$2:$A$201,$AB541),"")))</f>
        <v/>
      </c>
      <c r="X541" s="19">
        <f>IF($Z541="","",SUM(J541:U541))</f>
        <v/>
      </c>
      <c r="Y541" s="20">
        <f>ROW()-1</f>
        <v/>
      </c>
      <c r="Z541" s="20">
        <f>IF($Y541&lt;=Settings!$B$4*3,"C",IF($Y541&lt;=(Settings!$B$4+Settings!$B$5)*3,"A",IF($Y541&lt;=(Settings!$B$4+Settings!$B$5+Settings!$B$6)*3,"F","")))</f>
        <v/>
      </c>
      <c r="AA541" s="20">
        <f>IF($Z541="C",$Y541,IF($Z541="A",$Y541-Settings!$B$4*3,IF($Z541="F",$Y541-(Settings!$B$4+Settings!$B$5)*3,"")))</f>
        <v/>
      </c>
      <c r="AB541" s="20">
        <f>IF($Z541="","",INT(($AA541-1)/3)+1)</f>
        <v/>
      </c>
      <c r="AC541" s="20">
        <f>IF($Z541="","",MOD($AA541-1,3)+1)</f>
        <v/>
      </c>
      <c r="AD541" s="20">
        <f>IF($Z541="","",Settings!$B$2+$AC541-1)</f>
        <v/>
      </c>
      <c r="AE541" s="21">
        <f>IF($Z541="C",DATE(YEAR(INDEX(Contracts!$J$2:$J$151,$AB541)),MONTH(INDEX(Contracts!$J$2:$J$151,$AB541)),1),IF($Z541="A",DATE(YEAR(INDEX(Fixed_Assets!$G$2:$G$201,$AB541)),MONTH(INDEX(Fixed_Assets!$G$2:$G$201,$AB541)),1),IF($Z541="F",DATE(YEAR(MAX(N(INDEX(Workforce!$I$2:$I$151,MATCH(INDEX(FTE_Allocation!$A$2:$A$201,$AB541),Workforce!$A$2:$A$151,0))),N(INDEX(FTE_Allocation!$I$2:$I$201,$AB541)))),MONTH(MAX(N(INDEX(Workforce!$I$2:$I$151,MATCH(INDEX(FTE_Allocation!$A$2:$A$201,$AB541),Workforce!$A$2:$A$151,0))),N(INDEX(FTE_Allocation!$I$2:$I$201,$AB541)))),1),"")))</f>
        <v/>
      </c>
      <c r="AF541" s="21">
        <f>IF($Z541="C",IF(INDEX(Contracts!$I$2:$I$151,$AB541)="PREPAID",EDATE(DATE(YEAR(INDEX(Contracts!$J$2:$J$151,$AB541)),MONTH(INDEX(Contracts!$J$2:$J$151,$AB541)),1),IF(INDEX(Contracts!$N$2:$N$151,$AB541)="",12,INDEX(Contracts!$N$2:$N$151,$AB541))-1),IF(INDEX(Contracts!$I$2:$I$151,$AB541)="MONTHLY",IF(INDEX(Contracts!$K$2:$K$151,$AB541)="",2958101,INDEX(Contracts!$K$2:$K$151,$AB541)),0)),IF($Z541="A",EDATE(DATE(YEAR(INDEX(Fixed_Assets!$G$2:$G$201,$AB541)),MONTH(INDEX(Fixed_Assets!$G$2:$G$201,$AB541)),1),INDEX(Fixed_Assets!$J$2:$J$201,$AB541)-1),IF($Z541="F",MIN(IF(INDEX(Workforce!$J$2:$J$151,MATCH(INDEX(FTE_Allocation!$A$2:$A$201,$AB541),Workforce!$A$2:$A$151,0))="",2958101,INDEX(Workforce!$J$2:$J$151,MATCH(INDEX(FTE_Allocation!$A$2:$A$201,$AB541),Workforce!$A$2:$A$151,0))),IF(INDEX(FTE_Allocation!$J$2:$J$201,$AB541)="",2958101,INDEX(FTE_Allocation!$J$2:$J$201,$AB541))),"")))</f>
        <v/>
      </c>
      <c r="AG541" s="19">
        <f>IF($Z541="C",IF(INDEX(Contracts!$I$2:$I$151,$AB541)="PREPAID",INDEX(Contracts!$M$2:$M$151,$AB541)/IF(INDEX(Contracts!$N$2:$N$151,$AB541)="",12,INDEX(Contracts!$N$2:$N$151,$AB541)),IF(INDEX(Contracts!$I$2:$I$151,$AB541)="MONTHLY",INDEX(Contracts!$M$2:$M$151,$AB541),0))*(1-N(INDEX(Contracts!$O$2:$O$151,$AB541))),IF($Z541="A",INDEX(Fixed_Assets!$H$2:$H$201,$AB541)/INDEX(Fixed_Assets!$J$2:$J$201,$AB541),IF($Z541="F",INDEX(Workforce!$F$2:$F$151,MATCH(INDEX(FTE_Allocation!$A$2:$A$201,$AB541),Workforce!$A$2:$A$151,0))*N(INDEX(FTE_Allocation!$F$2:$H$201,$AB541,$AC541)),"")))</f>
        <v/>
      </c>
    </row>
    <row r="542">
      <c r="A542" s="7">
        <f>IF($Z542="","",$AD542)</f>
        <v/>
      </c>
      <c r="B542" s="7">
        <f>IF($Z542="C",INDEX(Contracts!$D$2:$D$151,$AB542)&amp;"",IF($Z542="A",INDEX(Fixed_Assets!$C$2:$C$201,$AB542)&amp;"",IF($Z542="F",INDEX(Workforce!$B$2:$B$151,MATCH(INDEX(FTE_Allocation!$A$2:$A$201,$AB542),Workforce!$A$2:$A$151,0))&amp;"","")))</f>
        <v/>
      </c>
      <c r="C542" s="7">
        <f>IF($Z542="C",INDEX(Contracts!$E$2:$E$151,$AB542)&amp;"",IF($Z542="A",INDEX(Fixed_Assets!$D$2:$D$201,$AB542)&amp;"",IF($Z542="F",INDEX(FTE_Allocation!$C$2:$C$201,$AB542)&amp;"","")))</f>
        <v/>
      </c>
      <c r="D542" s="7">
        <f>IF($Z542="C",INDEX(Contracts!$B$2:$B$151,$AB542)&amp;"",IF($Z542="A",INDEX(Fixed_Assets!$B$2:$B$201,$AB542)&amp;"",IF($Z542="F",INDEX(FTE_Allocation!$B$2:$B$201,$AB542)&amp;"","")))</f>
        <v/>
      </c>
      <c r="E542" s="7">
        <f>IF($Z542="C",INDEX(Contracts!$P$2:$P$151,$AB542)&amp;"",IF($Z542="A",INDEX(Fixed_Assets!$K$2:$K$201,$AB542)&amp;"",IF($Z542="F",IF(INDEX(FTE_Allocation!$D$2:$D$201,$AB542)="PROJECT",IFERROR(INDEX(Projects!$D:$D,MATCH(INDEX(FTE_Allocation!$E$2:$E$201,$AB542),Projects!$A:$A,0))&amp;"","#PROJECT?"),INDEX(FTE_Allocation!$E$2:$E$201,$AB542)&amp;""),"")))</f>
        <v/>
      </c>
      <c r="F542" s="7">
        <f>IF($Z542="C",INDEX(Contracts!$Q$2:$Q$151,$AB542)&amp;"",IF($Z542="A",INDEX(Fixed_Assets!$L$2:$L$201,$AB542)&amp;"",IF($Z542="F",INDEX(Workforce!$K$2:$K$151,MATCH(INDEX(FTE_Allocation!$A$2:$A$201,$AB542),Workforce!$A$2:$A$151,0))&amp;"","")))</f>
        <v/>
      </c>
      <c r="G542" s="7">
        <f>IF($Z542="C",INDEX(Contracts!$F$2:$F$151,$AB542)&amp;" / "&amp;INDEX(Contracts!$G$2:$G$151,$AB542),IF($Z542="A",INDEX(Fixed_Assets!$E$2:$E$201,$AB542)&amp;"",IF($Z542="F","Personnel "&amp;INDEX(FTE_Allocation!$A$2:$A$201,$AB542)&amp;IF(INDEX(FTE_Allocation!$D$2:$D$201,$AB542)="PROJECT"," ("&amp;INDEX(FTE_Allocation!$E$2:$E$201,$AB542)&amp;")",""),"")))</f>
        <v/>
      </c>
      <c r="H542" s="7">
        <f>IF($Z542="C","CONTRACT",IF($Z542="A","ASSET",IF($Z542="F","WORKFORCE","")))</f>
        <v/>
      </c>
      <c r="I542" s="7">
        <f>IF($Z542="C",INDEX(Contracts!$L$2:$L$151,$AB542)&amp;"",IF($Z542="A",INDEX(Fixed_Assets!$I$2:$I$201,$AB542)&amp;"",IF($Z542="F",INDEX(Workforce!$G$2:$G$151,MATCH(INDEX(FTE_Allocation!$A$2:$A$201,$AB542),Workforce!$A$2:$A$151,0))&amp;"","")))</f>
        <v/>
      </c>
      <c r="J542" s="18">
        <f>IF($Z542="","",IF(AND(DATE($AD542,1,1)&gt;=$AE542,DATE($AD542,1,1)&lt;=$AF542),ROUND($AG542,2),0))</f>
        <v/>
      </c>
      <c r="K542" s="18">
        <f>IF($Z542="","",IF(AND(DATE($AD542,2,1)&gt;=$AE542,DATE($AD542,2,1)&lt;=$AF542),ROUND($AG542,2),0))</f>
        <v/>
      </c>
      <c r="L542" s="18">
        <f>IF($Z542="","",IF(AND(DATE($AD542,3,1)&gt;=$AE542,DATE($AD542,3,1)&lt;=$AF542),ROUND($AG542,2),0))</f>
        <v/>
      </c>
      <c r="M542" s="18">
        <f>IF($Z542="","",IF(AND(DATE($AD542,4,1)&gt;=$AE542,DATE($AD542,4,1)&lt;=$AF542),ROUND($AG542,2),0))</f>
        <v/>
      </c>
      <c r="N542" s="18">
        <f>IF($Z542="","",IF(AND(DATE($AD542,5,1)&gt;=$AE542,DATE($AD542,5,1)&lt;=$AF542),ROUND($AG542,2),0))</f>
        <v/>
      </c>
      <c r="O542" s="18">
        <f>IF($Z542="","",IF(AND(DATE($AD542,6,1)&gt;=$AE542,DATE($AD542,6,1)&lt;=$AF542),ROUND($AG542,2),0))</f>
        <v/>
      </c>
      <c r="P542" s="18">
        <f>IF($Z542="","",IF(AND(DATE($AD542,7,1)&gt;=$AE542,DATE($AD542,7,1)&lt;=$AF542),ROUND($AG542,2),0))</f>
        <v/>
      </c>
      <c r="Q542" s="18">
        <f>IF($Z542="","",IF(AND(DATE($AD542,8,1)&gt;=$AE542,DATE($AD542,8,1)&lt;=$AF542),ROUND($AG542,2),0))</f>
        <v/>
      </c>
      <c r="R542" s="18">
        <f>IF($Z542="","",IF(AND(DATE($AD542,9,1)&gt;=$AE542,DATE($AD542,9,1)&lt;=$AF542),ROUND($AG542,2),0))</f>
        <v/>
      </c>
      <c r="S542" s="18">
        <f>IF($Z542="","",IF(AND(DATE($AD542,10,1)&gt;=$AE542,DATE($AD542,10,1)&lt;=$AF542),ROUND($AG542,2),0))</f>
        <v/>
      </c>
      <c r="T542" s="18">
        <f>IF($Z542="","",IF(AND(DATE($AD542,11,1)&gt;=$AE542,DATE($AD542,11,1)&lt;=$AF542),ROUND($AG542,2),0))</f>
        <v/>
      </c>
      <c r="U542" s="18">
        <f>IF($Z542="","",IF(AND(DATE($AD542,12,1)&gt;=$AE542,DATE($AD542,12,1)&lt;=$AF542),ROUND($AG542,2),0))</f>
        <v/>
      </c>
      <c r="V542" s="7">
        <f>IF($Z542="C","Generated from "&amp;INDEX(Contracts!$A$2:$A$151,$AB542),IF($Z542="A","Generated from "&amp;INDEX(Fixed_Assets!$A$2:$A$201,$AB542),IF($Z542="F","Generated from "&amp;INDEX(FTE_Allocation!$A$2:$A$201,$AB542),"")))</f>
        <v/>
      </c>
      <c r="X542" s="19">
        <f>IF($Z542="","",SUM(J542:U542))</f>
        <v/>
      </c>
      <c r="Y542" s="20">
        <f>ROW()-1</f>
        <v/>
      </c>
      <c r="Z542" s="20">
        <f>IF($Y542&lt;=Settings!$B$4*3,"C",IF($Y542&lt;=(Settings!$B$4+Settings!$B$5)*3,"A",IF($Y542&lt;=(Settings!$B$4+Settings!$B$5+Settings!$B$6)*3,"F","")))</f>
        <v/>
      </c>
      <c r="AA542" s="20">
        <f>IF($Z542="C",$Y542,IF($Z542="A",$Y542-Settings!$B$4*3,IF($Z542="F",$Y542-(Settings!$B$4+Settings!$B$5)*3,"")))</f>
        <v/>
      </c>
      <c r="AB542" s="20">
        <f>IF($Z542="","",INT(($AA542-1)/3)+1)</f>
        <v/>
      </c>
      <c r="AC542" s="20">
        <f>IF($Z542="","",MOD($AA542-1,3)+1)</f>
        <v/>
      </c>
      <c r="AD542" s="20">
        <f>IF($Z542="","",Settings!$B$2+$AC542-1)</f>
        <v/>
      </c>
      <c r="AE542" s="21">
        <f>IF($Z542="C",DATE(YEAR(INDEX(Contracts!$J$2:$J$151,$AB542)),MONTH(INDEX(Contracts!$J$2:$J$151,$AB542)),1),IF($Z542="A",DATE(YEAR(INDEX(Fixed_Assets!$G$2:$G$201,$AB542)),MONTH(INDEX(Fixed_Assets!$G$2:$G$201,$AB542)),1),IF($Z542="F",DATE(YEAR(MAX(N(INDEX(Workforce!$I$2:$I$151,MATCH(INDEX(FTE_Allocation!$A$2:$A$201,$AB542),Workforce!$A$2:$A$151,0))),N(INDEX(FTE_Allocation!$I$2:$I$201,$AB542)))),MONTH(MAX(N(INDEX(Workforce!$I$2:$I$151,MATCH(INDEX(FTE_Allocation!$A$2:$A$201,$AB542),Workforce!$A$2:$A$151,0))),N(INDEX(FTE_Allocation!$I$2:$I$201,$AB542)))),1),"")))</f>
        <v/>
      </c>
      <c r="AF542" s="21">
        <f>IF($Z542="C",IF(INDEX(Contracts!$I$2:$I$151,$AB542)="PREPAID",EDATE(DATE(YEAR(INDEX(Contracts!$J$2:$J$151,$AB542)),MONTH(INDEX(Contracts!$J$2:$J$151,$AB542)),1),IF(INDEX(Contracts!$N$2:$N$151,$AB542)="",12,INDEX(Contracts!$N$2:$N$151,$AB542))-1),IF(INDEX(Contracts!$I$2:$I$151,$AB542)="MONTHLY",IF(INDEX(Contracts!$K$2:$K$151,$AB542)="",2958101,INDEX(Contracts!$K$2:$K$151,$AB542)),0)),IF($Z542="A",EDATE(DATE(YEAR(INDEX(Fixed_Assets!$G$2:$G$201,$AB542)),MONTH(INDEX(Fixed_Assets!$G$2:$G$201,$AB542)),1),INDEX(Fixed_Assets!$J$2:$J$201,$AB542)-1),IF($Z542="F",MIN(IF(INDEX(Workforce!$J$2:$J$151,MATCH(INDEX(FTE_Allocation!$A$2:$A$201,$AB542),Workforce!$A$2:$A$151,0))="",2958101,INDEX(Workforce!$J$2:$J$151,MATCH(INDEX(FTE_Allocation!$A$2:$A$201,$AB542),Workforce!$A$2:$A$151,0))),IF(INDEX(FTE_Allocation!$J$2:$J$201,$AB542)="",2958101,INDEX(FTE_Allocation!$J$2:$J$201,$AB542))),"")))</f>
        <v/>
      </c>
      <c r="AG542" s="19">
        <f>IF($Z542="C",IF(INDEX(Contracts!$I$2:$I$151,$AB542)="PREPAID",INDEX(Contracts!$M$2:$M$151,$AB542)/IF(INDEX(Contracts!$N$2:$N$151,$AB542)="",12,INDEX(Contracts!$N$2:$N$151,$AB542)),IF(INDEX(Contracts!$I$2:$I$151,$AB542)="MONTHLY",INDEX(Contracts!$M$2:$M$151,$AB542),0))*(1-N(INDEX(Contracts!$O$2:$O$151,$AB542))),IF($Z542="A",INDEX(Fixed_Assets!$H$2:$H$201,$AB542)/INDEX(Fixed_Assets!$J$2:$J$201,$AB542),IF($Z542="F",INDEX(Workforce!$F$2:$F$151,MATCH(INDEX(FTE_Allocation!$A$2:$A$201,$AB542),Workforce!$A$2:$A$151,0))*N(INDEX(FTE_Allocation!$F$2:$H$201,$AB542,$AC542)),"")))</f>
        <v/>
      </c>
    </row>
    <row r="543">
      <c r="A543" s="7">
        <f>IF($Z543="","",$AD543)</f>
        <v/>
      </c>
      <c r="B543" s="7">
        <f>IF($Z543="C",INDEX(Contracts!$D$2:$D$151,$AB543)&amp;"",IF($Z543="A",INDEX(Fixed_Assets!$C$2:$C$201,$AB543)&amp;"",IF($Z543="F",INDEX(Workforce!$B$2:$B$151,MATCH(INDEX(FTE_Allocation!$A$2:$A$201,$AB543),Workforce!$A$2:$A$151,0))&amp;"","")))</f>
        <v/>
      </c>
      <c r="C543" s="7">
        <f>IF($Z543="C",INDEX(Contracts!$E$2:$E$151,$AB543)&amp;"",IF($Z543="A",INDEX(Fixed_Assets!$D$2:$D$201,$AB543)&amp;"",IF($Z543="F",INDEX(FTE_Allocation!$C$2:$C$201,$AB543)&amp;"","")))</f>
        <v/>
      </c>
      <c r="D543" s="7">
        <f>IF($Z543="C",INDEX(Contracts!$B$2:$B$151,$AB543)&amp;"",IF($Z543="A",INDEX(Fixed_Assets!$B$2:$B$201,$AB543)&amp;"",IF($Z543="F",INDEX(FTE_Allocation!$B$2:$B$201,$AB543)&amp;"","")))</f>
        <v/>
      </c>
      <c r="E543" s="7">
        <f>IF($Z543="C",INDEX(Contracts!$P$2:$P$151,$AB543)&amp;"",IF($Z543="A",INDEX(Fixed_Assets!$K$2:$K$201,$AB543)&amp;"",IF($Z543="F",IF(INDEX(FTE_Allocation!$D$2:$D$201,$AB543)="PROJECT",IFERROR(INDEX(Projects!$D:$D,MATCH(INDEX(FTE_Allocation!$E$2:$E$201,$AB543),Projects!$A:$A,0))&amp;"","#PROJECT?"),INDEX(FTE_Allocation!$E$2:$E$201,$AB543)&amp;""),"")))</f>
        <v/>
      </c>
      <c r="F543" s="7">
        <f>IF($Z543="C",INDEX(Contracts!$Q$2:$Q$151,$AB543)&amp;"",IF($Z543="A",INDEX(Fixed_Assets!$L$2:$L$201,$AB543)&amp;"",IF($Z543="F",INDEX(Workforce!$K$2:$K$151,MATCH(INDEX(FTE_Allocation!$A$2:$A$201,$AB543),Workforce!$A$2:$A$151,0))&amp;"","")))</f>
        <v/>
      </c>
      <c r="G543" s="7">
        <f>IF($Z543="C",INDEX(Contracts!$F$2:$F$151,$AB543)&amp;" / "&amp;INDEX(Contracts!$G$2:$G$151,$AB543),IF($Z543="A",INDEX(Fixed_Assets!$E$2:$E$201,$AB543)&amp;"",IF($Z543="F","Personnel "&amp;INDEX(FTE_Allocation!$A$2:$A$201,$AB543)&amp;IF(INDEX(FTE_Allocation!$D$2:$D$201,$AB543)="PROJECT"," ("&amp;INDEX(FTE_Allocation!$E$2:$E$201,$AB543)&amp;")",""),"")))</f>
        <v/>
      </c>
      <c r="H543" s="7">
        <f>IF($Z543="C","CONTRACT",IF($Z543="A","ASSET",IF($Z543="F","WORKFORCE","")))</f>
        <v/>
      </c>
      <c r="I543" s="7">
        <f>IF($Z543="C",INDEX(Contracts!$L$2:$L$151,$AB543)&amp;"",IF($Z543="A",INDEX(Fixed_Assets!$I$2:$I$201,$AB543)&amp;"",IF($Z543="F",INDEX(Workforce!$G$2:$G$151,MATCH(INDEX(FTE_Allocation!$A$2:$A$201,$AB543),Workforce!$A$2:$A$151,0))&amp;"","")))</f>
        <v/>
      </c>
      <c r="J543" s="18">
        <f>IF($Z543="","",IF(AND(DATE($AD543,1,1)&gt;=$AE543,DATE($AD543,1,1)&lt;=$AF543),ROUND($AG543,2),0))</f>
        <v/>
      </c>
      <c r="K543" s="18">
        <f>IF($Z543="","",IF(AND(DATE($AD543,2,1)&gt;=$AE543,DATE($AD543,2,1)&lt;=$AF543),ROUND($AG543,2),0))</f>
        <v/>
      </c>
      <c r="L543" s="18">
        <f>IF($Z543="","",IF(AND(DATE($AD543,3,1)&gt;=$AE543,DATE($AD543,3,1)&lt;=$AF543),ROUND($AG543,2),0))</f>
        <v/>
      </c>
      <c r="M543" s="18">
        <f>IF($Z543="","",IF(AND(DATE($AD543,4,1)&gt;=$AE543,DATE($AD543,4,1)&lt;=$AF543),ROUND($AG543,2),0))</f>
        <v/>
      </c>
      <c r="N543" s="18">
        <f>IF($Z543="","",IF(AND(DATE($AD543,5,1)&gt;=$AE543,DATE($AD543,5,1)&lt;=$AF543),ROUND($AG543,2),0))</f>
        <v/>
      </c>
      <c r="O543" s="18">
        <f>IF($Z543="","",IF(AND(DATE($AD543,6,1)&gt;=$AE543,DATE($AD543,6,1)&lt;=$AF543),ROUND($AG543,2),0))</f>
        <v/>
      </c>
      <c r="P543" s="18">
        <f>IF($Z543="","",IF(AND(DATE($AD543,7,1)&gt;=$AE543,DATE($AD543,7,1)&lt;=$AF543),ROUND($AG543,2),0))</f>
        <v/>
      </c>
      <c r="Q543" s="18">
        <f>IF($Z543="","",IF(AND(DATE($AD543,8,1)&gt;=$AE543,DATE($AD543,8,1)&lt;=$AF543),ROUND($AG543,2),0))</f>
        <v/>
      </c>
      <c r="R543" s="18">
        <f>IF($Z543="","",IF(AND(DATE($AD543,9,1)&gt;=$AE543,DATE($AD543,9,1)&lt;=$AF543),ROUND($AG543,2),0))</f>
        <v/>
      </c>
      <c r="S543" s="18">
        <f>IF($Z543="","",IF(AND(DATE($AD543,10,1)&gt;=$AE543,DATE($AD543,10,1)&lt;=$AF543),ROUND($AG543,2),0))</f>
        <v/>
      </c>
      <c r="T543" s="18">
        <f>IF($Z543="","",IF(AND(DATE($AD543,11,1)&gt;=$AE543,DATE($AD543,11,1)&lt;=$AF543),ROUND($AG543,2),0))</f>
        <v/>
      </c>
      <c r="U543" s="18">
        <f>IF($Z543="","",IF(AND(DATE($AD543,12,1)&gt;=$AE543,DATE($AD543,12,1)&lt;=$AF543),ROUND($AG543,2),0))</f>
        <v/>
      </c>
      <c r="V543" s="7">
        <f>IF($Z543="C","Generated from "&amp;INDEX(Contracts!$A$2:$A$151,$AB543),IF($Z543="A","Generated from "&amp;INDEX(Fixed_Assets!$A$2:$A$201,$AB543),IF($Z543="F","Generated from "&amp;INDEX(FTE_Allocation!$A$2:$A$201,$AB543),"")))</f>
        <v/>
      </c>
      <c r="X543" s="19">
        <f>IF($Z543="","",SUM(J543:U543))</f>
        <v/>
      </c>
      <c r="Y543" s="20">
        <f>ROW()-1</f>
        <v/>
      </c>
      <c r="Z543" s="20">
        <f>IF($Y543&lt;=Settings!$B$4*3,"C",IF($Y543&lt;=(Settings!$B$4+Settings!$B$5)*3,"A",IF($Y543&lt;=(Settings!$B$4+Settings!$B$5+Settings!$B$6)*3,"F","")))</f>
        <v/>
      </c>
      <c r="AA543" s="20">
        <f>IF($Z543="C",$Y543,IF($Z543="A",$Y543-Settings!$B$4*3,IF($Z543="F",$Y543-(Settings!$B$4+Settings!$B$5)*3,"")))</f>
        <v/>
      </c>
      <c r="AB543" s="20">
        <f>IF($Z543="","",INT(($AA543-1)/3)+1)</f>
        <v/>
      </c>
      <c r="AC543" s="20">
        <f>IF($Z543="","",MOD($AA543-1,3)+1)</f>
        <v/>
      </c>
      <c r="AD543" s="20">
        <f>IF($Z543="","",Settings!$B$2+$AC543-1)</f>
        <v/>
      </c>
      <c r="AE543" s="21">
        <f>IF($Z543="C",DATE(YEAR(INDEX(Contracts!$J$2:$J$151,$AB543)),MONTH(INDEX(Contracts!$J$2:$J$151,$AB543)),1),IF($Z543="A",DATE(YEAR(INDEX(Fixed_Assets!$G$2:$G$201,$AB543)),MONTH(INDEX(Fixed_Assets!$G$2:$G$201,$AB543)),1),IF($Z543="F",DATE(YEAR(MAX(N(INDEX(Workforce!$I$2:$I$151,MATCH(INDEX(FTE_Allocation!$A$2:$A$201,$AB543),Workforce!$A$2:$A$151,0))),N(INDEX(FTE_Allocation!$I$2:$I$201,$AB543)))),MONTH(MAX(N(INDEX(Workforce!$I$2:$I$151,MATCH(INDEX(FTE_Allocation!$A$2:$A$201,$AB543),Workforce!$A$2:$A$151,0))),N(INDEX(FTE_Allocation!$I$2:$I$201,$AB543)))),1),"")))</f>
        <v/>
      </c>
      <c r="AF543" s="21">
        <f>IF($Z543="C",IF(INDEX(Contracts!$I$2:$I$151,$AB543)="PREPAID",EDATE(DATE(YEAR(INDEX(Contracts!$J$2:$J$151,$AB543)),MONTH(INDEX(Contracts!$J$2:$J$151,$AB543)),1),IF(INDEX(Contracts!$N$2:$N$151,$AB543)="",12,INDEX(Contracts!$N$2:$N$151,$AB543))-1),IF(INDEX(Contracts!$I$2:$I$151,$AB543)="MONTHLY",IF(INDEX(Contracts!$K$2:$K$151,$AB543)="",2958101,INDEX(Contracts!$K$2:$K$151,$AB543)),0)),IF($Z543="A",EDATE(DATE(YEAR(INDEX(Fixed_Assets!$G$2:$G$201,$AB543)),MONTH(INDEX(Fixed_Assets!$G$2:$G$201,$AB543)),1),INDEX(Fixed_Assets!$J$2:$J$201,$AB543)-1),IF($Z543="F",MIN(IF(INDEX(Workforce!$J$2:$J$151,MATCH(INDEX(FTE_Allocation!$A$2:$A$201,$AB543),Workforce!$A$2:$A$151,0))="",2958101,INDEX(Workforce!$J$2:$J$151,MATCH(INDEX(FTE_Allocation!$A$2:$A$201,$AB543),Workforce!$A$2:$A$151,0))),IF(INDEX(FTE_Allocation!$J$2:$J$201,$AB543)="",2958101,INDEX(FTE_Allocation!$J$2:$J$201,$AB543))),"")))</f>
        <v/>
      </c>
      <c r="AG543" s="19">
        <f>IF($Z543="C",IF(INDEX(Contracts!$I$2:$I$151,$AB543)="PREPAID",INDEX(Contracts!$M$2:$M$151,$AB543)/IF(INDEX(Contracts!$N$2:$N$151,$AB543)="",12,INDEX(Contracts!$N$2:$N$151,$AB543)),IF(INDEX(Contracts!$I$2:$I$151,$AB543)="MONTHLY",INDEX(Contracts!$M$2:$M$151,$AB543),0))*(1-N(INDEX(Contracts!$O$2:$O$151,$AB543))),IF($Z543="A",INDEX(Fixed_Assets!$H$2:$H$201,$AB543)/INDEX(Fixed_Assets!$J$2:$J$201,$AB543),IF($Z543="F",INDEX(Workforce!$F$2:$F$151,MATCH(INDEX(FTE_Allocation!$A$2:$A$201,$AB543),Workforce!$A$2:$A$151,0))*N(INDEX(FTE_Allocation!$F$2:$H$201,$AB543,$AC543)),"")))</f>
        <v/>
      </c>
    </row>
    <row r="544">
      <c r="A544" s="7">
        <f>IF($Z544="","",$AD544)</f>
        <v/>
      </c>
      <c r="B544" s="7">
        <f>IF($Z544="C",INDEX(Contracts!$D$2:$D$151,$AB544)&amp;"",IF($Z544="A",INDEX(Fixed_Assets!$C$2:$C$201,$AB544)&amp;"",IF($Z544="F",INDEX(Workforce!$B$2:$B$151,MATCH(INDEX(FTE_Allocation!$A$2:$A$201,$AB544),Workforce!$A$2:$A$151,0))&amp;"","")))</f>
        <v/>
      </c>
      <c r="C544" s="7">
        <f>IF($Z544="C",INDEX(Contracts!$E$2:$E$151,$AB544)&amp;"",IF($Z544="A",INDEX(Fixed_Assets!$D$2:$D$201,$AB544)&amp;"",IF($Z544="F",INDEX(FTE_Allocation!$C$2:$C$201,$AB544)&amp;"","")))</f>
        <v/>
      </c>
      <c r="D544" s="7">
        <f>IF($Z544="C",INDEX(Contracts!$B$2:$B$151,$AB544)&amp;"",IF($Z544="A",INDEX(Fixed_Assets!$B$2:$B$201,$AB544)&amp;"",IF($Z544="F",INDEX(FTE_Allocation!$B$2:$B$201,$AB544)&amp;"","")))</f>
        <v/>
      </c>
      <c r="E544" s="7">
        <f>IF($Z544="C",INDEX(Contracts!$P$2:$P$151,$AB544)&amp;"",IF($Z544="A",INDEX(Fixed_Assets!$K$2:$K$201,$AB544)&amp;"",IF($Z544="F",IF(INDEX(FTE_Allocation!$D$2:$D$201,$AB544)="PROJECT",IFERROR(INDEX(Projects!$D:$D,MATCH(INDEX(FTE_Allocation!$E$2:$E$201,$AB544),Projects!$A:$A,0))&amp;"","#PROJECT?"),INDEX(FTE_Allocation!$E$2:$E$201,$AB544)&amp;""),"")))</f>
        <v/>
      </c>
      <c r="F544" s="7">
        <f>IF($Z544="C",INDEX(Contracts!$Q$2:$Q$151,$AB544)&amp;"",IF($Z544="A",INDEX(Fixed_Assets!$L$2:$L$201,$AB544)&amp;"",IF($Z544="F",INDEX(Workforce!$K$2:$K$151,MATCH(INDEX(FTE_Allocation!$A$2:$A$201,$AB544),Workforce!$A$2:$A$151,0))&amp;"","")))</f>
        <v/>
      </c>
      <c r="G544" s="7">
        <f>IF($Z544="C",INDEX(Contracts!$F$2:$F$151,$AB544)&amp;" / "&amp;INDEX(Contracts!$G$2:$G$151,$AB544),IF($Z544="A",INDEX(Fixed_Assets!$E$2:$E$201,$AB544)&amp;"",IF($Z544="F","Personnel "&amp;INDEX(FTE_Allocation!$A$2:$A$201,$AB544)&amp;IF(INDEX(FTE_Allocation!$D$2:$D$201,$AB544)="PROJECT"," ("&amp;INDEX(FTE_Allocation!$E$2:$E$201,$AB544)&amp;")",""),"")))</f>
        <v/>
      </c>
      <c r="H544" s="7">
        <f>IF($Z544="C","CONTRACT",IF($Z544="A","ASSET",IF($Z544="F","WORKFORCE","")))</f>
        <v/>
      </c>
      <c r="I544" s="7">
        <f>IF($Z544="C",INDEX(Contracts!$L$2:$L$151,$AB544)&amp;"",IF($Z544="A",INDEX(Fixed_Assets!$I$2:$I$201,$AB544)&amp;"",IF($Z544="F",INDEX(Workforce!$G$2:$G$151,MATCH(INDEX(FTE_Allocation!$A$2:$A$201,$AB544),Workforce!$A$2:$A$151,0))&amp;"","")))</f>
        <v/>
      </c>
      <c r="J544" s="18">
        <f>IF($Z544="","",IF(AND(DATE($AD544,1,1)&gt;=$AE544,DATE($AD544,1,1)&lt;=$AF544),ROUND($AG544,2),0))</f>
        <v/>
      </c>
      <c r="K544" s="18">
        <f>IF($Z544="","",IF(AND(DATE($AD544,2,1)&gt;=$AE544,DATE($AD544,2,1)&lt;=$AF544),ROUND($AG544,2),0))</f>
        <v/>
      </c>
      <c r="L544" s="18">
        <f>IF($Z544="","",IF(AND(DATE($AD544,3,1)&gt;=$AE544,DATE($AD544,3,1)&lt;=$AF544),ROUND($AG544,2),0))</f>
        <v/>
      </c>
      <c r="M544" s="18">
        <f>IF($Z544="","",IF(AND(DATE($AD544,4,1)&gt;=$AE544,DATE($AD544,4,1)&lt;=$AF544),ROUND($AG544,2),0))</f>
        <v/>
      </c>
      <c r="N544" s="18">
        <f>IF($Z544="","",IF(AND(DATE($AD544,5,1)&gt;=$AE544,DATE($AD544,5,1)&lt;=$AF544),ROUND($AG544,2),0))</f>
        <v/>
      </c>
      <c r="O544" s="18">
        <f>IF($Z544="","",IF(AND(DATE($AD544,6,1)&gt;=$AE544,DATE($AD544,6,1)&lt;=$AF544),ROUND($AG544,2),0))</f>
        <v/>
      </c>
      <c r="P544" s="18">
        <f>IF($Z544="","",IF(AND(DATE($AD544,7,1)&gt;=$AE544,DATE($AD544,7,1)&lt;=$AF544),ROUND($AG544,2),0))</f>
        <v/>
      </c>
      <c r="Q544" s="18">
        <f>IF($Z544="","",IF(AND(DATE($AD544,8,1)&gt;=$AE544,DATE($AD544,8,1)&lt;=$AF544),ROUND($AG544,2),0))</f>
        <v/>
      </c>
      <c r="R544" s="18">
        <f>IF($Z544="","",IF(AND(DATE($AD544,9,1)&gt;=$AE544,DATE($AD544,9,1)&lt;=$AF544),ROUND($AG544,2),0))</f>
        <v/>
      </c>
      <c r="S544" s="18">
        <f>IF($Z544="","",IF(AND(DATE($AD544,10,1)&gt;=$AE544,DATE($AD544,10,1)&lt;=$AF544),ROUND($AG544,2),0))</f>
        <v/>
      </c>
      <c r="T544" s="18">
        <f>IF($Z544="","",IF(AND(DATE($AD544,11,1)&gt;=$AE544,DATE($AD544,11,1)&lt;=$AF544),ROUND($AG544,2),0))</f>
        <v/>
      </c>
      <c r="U544" s="18">
        <f>IF($Z544="","",IF(AND(DATE($AD544,12,1)&gt;=$AE544,DATE($AD544,12,1)&lt;=$AF544),ROUND($AG544,2),0))</f>
        <v/>
      </c>
      <c r="V544" s="7">
        <f>IF($Z544="C","Generated from "&amp;INDEX(Contracts!$A$2:$A$151,$AB544),IF($Z544="A","Generated from "&amp;INDEX(Fixed_Assets!$A$2:$A$201,$AB544),IF($Z544="F","Generated from "&amp;INDEX(FTE_Allocation!$A$2:$A$201,$AB544),"")))</f>
        <v/>
      </c>
      <c r="X544" s="19">
        <f>IF($Z544="","",SUM(J544:U544))</f>
        <v/>
      </c>
      <c r="Y544" s="20">
        <f>ROW()-1</f>
        <v/>
      </c>
      <c r="Z544" s="20">
        <f>IF($Y544&lt;=Settings!$B$4*3,"C",IF($Y544&lt;=(Settings!$B$4+Settings!$B$5)*3,"A",IF($Y544&lt;=(Settings!$B$4+Settings!$B$5+Settings!$B$6)*3,"F","")))</f>
        <v/>
      </c>
      <c r="AA544" s="20">
        <f>IF($Z544="C",$Y544,IF($Z544="A",$Y544-Settings!$B$4*3,IF($Z544="F",$Y544-(Settings!$B$4+Settings!$B$5)*3,"")))</f>
        <v/>
      </c>
      <c r="AB544" s="20">
        <f>IF($Z544="","",INT(($AA544-1)/3)+1)</f>
        <v/>
      </c>
      <c r="AC544" s="20">
        <f>IF($Z544="","",MOD($AA544-1,3)+1)</f>
        <v/>
      </c>
      <c r="AD544" s="20">
        <f>IF($Z544="","",Settings!$B$2+$AC544-1)</f>
        <v/>
      </c>
      <c r="AE544" s="21">
        <f>IF($Z544="C",DATE(YEAR(INDEX(Contracts!$J$2:$J$151,$AB544)),MONTH(INDEX(Contracts!$J$2:$J$151,$AB544)),1),IF($Z544="A",DATE(YEAR(INDEX(Fixed_Assets!$G$2:$G$201,$AB544)),MONTH(INDEX(Fixed_Assets!$G$2:$G$201,$AB544)),1),IF($Z544="F",DATE(YEAR(MAX(N(INDEX(Workforce!$I$2:$I$151,MATCH(INDEX(FTE_Allocation!$A$2:$A$201,$AB544),Workforce!$A$2:$A$151,0))),N(INDEX(FTE_Allocation!$I$2:$I$201,$AB544)))),MONTH(MAX(N(INDEX(Workforce!$I$2:$I$151,MATCH(INDEX(FTE_Allocation!$A$2:$A$201,$AB544),Workforce!$A$2:$A$151,0))),N(INDEX(FTE_Allocation!$I$2:$I$201,$AB544)))),1),"")))</f>
        <v/>
      </c>
      <c r="AF544" s="21">
        <f>IF($Z544="C",IF(INDEX(Contracts!$I$2:$I$151,$AB544)="PREPAID",EDATE(DATE(YEAR(INDEX(Contracts!$J$2:$J$151,$AB544)),MONTH(INDEX(Contracts!$J$2:$J$151,$AB544)),1),IF(INDEX(Contracts!$N$2:$N$151,$AB544)="",12,INDEX(Contracts!$N$2:$N$151,$AB544))-1),IF(INDEX(Contracts!$I$2:$I$151,$AB544)="MONTHLY",IF(INDEX(Contracts!$K$2:$K$151,$AB544)="",2958101,INDEX(Contracts!$K$2:$K$151,$AB544)),0)),IF($Z544="A",EDATE(DATE(YEAR(INDEX(Fixed_Assets!$G$2:$G$201,$AB544)),MONTH(INDEX(Fixed_Assets!$G$2:$G$201,$AB544)),1),INDEX(Fixed_Assets!$J$2:$J$201,$AB544)-1),IF($Z544="F",MIN(IF(INDEX(Workforce!$J$2:$J$151,MATCH(INDEX(FTE_Allocation!$A$2:$A$201,$AB544),Workforce!$A$2:$A$151,0))="",2958101,INDEX(Workforce!$J$2:$J$151,MATCH(INDEX(FTE_Allocation!$A$2:$A$201,$AB544),Workforce!$A$2:$A$151,0))),IF(INDEX(FTE_Allocation!$J$2:$J$201,$AB544)="",2958101,INDEX(FTE_Allocation!$J$2:$J$201,$AB544))),"")))</f>
        <v/>
      </c>
      <c r="AG544" s="19">
        <f>IF($Z544="C",IF(INDEX(Contracts!$I$2:$I$151,$AB544)="PREPAID",INDEX(Contracts!$M$2:$M$151,$AB544)/IF(INDEX(Contracts!$N$2:$N$151,$AB544)="",12,INDEX(Contracts!$N$2:$N$151,$AB544)),IF(INDEX(Contracts!$I$2:$I$151,$AB544)="MONTHLY",INDEX(Contracts!$M$2:$M$151,$AB544),0))*(1-N(INDEX(Contracts!$O$2:$O$151,$AB544))),IF($Z544="A",INDEX(Fixed_Assets!$H$2:$H$201,$AB544)/INDEX(Fixed_Assets!$J$2:$J$201,$AB544),IF($Z544="F",INDEX(Workforce!$F$2:$F$151,MATCH(INDEX(FTE_Allocation!$A$2:$A$201,$AB544),Workforce!$A$2:$A$151,0))*N(INDEX(FTE_Allocation!$F$2:$H$201,$AB544,$AC544)),"")))</f>
        <v/>
      </c>
    </row>
    <row r="545">
      <c r="A545" s="7">
        <f>IF($Z545="","",$AD545)</f>
        <v/>
      </c>
      <c r="B545" s="7">
        <f>IF($Z545="C",INDEX(Contracts!$D$2:$D$151,$AB545)&amp;"",IF($Z545="A",INDEX(Fixed_Assets!$C$2:$C$201,$AB545)&amp;"",IF($Z545="F",INDEX(Workforce!$B$2:$B$151,MATCH(INDEX(FTE_Allocation!$A$2:$A$201,$AB545),Workforce!$A$2:$A$151,0))&amp;"","")))</f>
        <v/>
      </c>
      <c r="C545" s="7">
        <f>IF($Z545="C",INDEX(Contracts!$E$2:$E$151,$AB545)&amp;"",IF($Z545="A",INDEX(Fixed_Assets!$D$2:$D$201,$AB545)&amp;"",IF($Z545="F",INDEX(FTE_Allocation!$C$2:$C$201,$AB545)&amp;"","")))</f>
        <v/>
      </c>
      <c r="D545" s="7">
        <f>IF($Z545="C",INDEX(Contracts!$B$2:$B$151,$AB545)&amp;"",IF($Z545="A",INDEX(Fixed_Assets!$B$2:$B$201,$AB545)&amp;"",IF($Z545="F",INDEX(FTE_Allocation!$B$2:$B$201,$AB545)&amp;"","")))</f>
        <v/>
      </c>
      <c r="E545" s="7">
        <f>IF($Z545="C",INDEX(Contracts!$P$2:$P$151,$AB545)&amp;"",IF($Z545="A",INDEX(Fixed_Assets!$K$2:$K$201,$AB545)&amp;"",IF($Z545="F",IF(INDEX(FTE_Allocation!$D$2:$D$201,$AB545)="PROJECT",IFERROR(INDEX(Projects!$D:$D,MATCH(INDEX(FTE_Allocation!$E$2:$E$201,$AB545),Projects!$A:$A,0))&amp;"","#PROJECT?"),INDEX(FTE_Allocation!$E$2:$E$201,$AB545)&amp;""),"")))</f>
        <v/>
      </c>
      <c r="F545" s="7">
        <f>IF($Z545="C",INDEX(Contracts!$Q$2:$Q$151,$AB545)&amp;"",IF($Z545="A",INDEX(Fixed_Assets!$L$2:$L$201,$AB545)&amp;"",IF($Z545="F",INDEX(Workforce!$K$2:$K$151,MATCH(INDEX(FTE_Allocation!$A$2:$A$201,$AB545),Workforce!$A$2:$A$151,0))&amp;"","")))</f>
        <v/>
      </c>
      <c r="G545" s="7">
        <f>IF($Z545="C",INDEX(Contracts!$F$2:$F$151,$AB545)&amp;" / "&amp;INDEX(Contracts!$G$2:$G$151,$AB545),IF($Z545="A",INDEX(Fixed_Assets!$E$2:$E$201,$AB545)&amp;"",IF($Z545="F","Personnel "&amp;INDEX(FTE_Allocation!$A$2:$A$201,$AB545)&amp;IF(INDEX(FTE_Allocation!$D$2:$D$201,$AB545)="PROJECT"," ("&amp;INDEX(FTE_Allocation!$E$2:$E$201,$AB545)&amp;")",""),"")))</f>
        <v/>
      </c>
      <c r="H545" s="7">
        <f>IF($Z545="C","CONTRACT",IF($Z545="A","ASSET",IF($Z545="F","WORKFORCE","")))</f>
        <v/>
      </c>
      <c r="I545" s="7">
        <f>IF($Z545="C",INDEX(Contracts!$L$2:$L$151,$AB545)&amp;"",IF($Z545="A",INDEX(Fixed_Assets!$I$2:$I$201,$AB545)&amp;"",IF($Z545="F",INDEX(Workforce!$G$2:$G$151,MATCH(INDEX(FTE_Allocation!$A$2:$A$201,$AB545),Workforce!$A$2:$A$151,0))&amp;"","")))</f>
        <v/>
      </c>
      <c r="J545" s="18">
        <f>IF($Z545="","",IF(AND(DATE($AD545,1,1)&gt;=$AE545,DATE($AD545,1,1)&lt;=$AF545),ROUND($AG545,2),0))</f>
        <v/>
      </c>
      <c r="K545" s="18">
        <f>IF($Z545="","",IF(AND(DATE($AD545,2,1)&gt;=$AE545,DATE($AD545,2,1)&lt;=$AF545),ROUND($AG545,2),0))</f>
        <v/>
      </c>
      <c r="L545" s="18">
        <f>IF($Z545="","",IF(AND(DATE($AD545,3,1)&gt;=$AE545,DATE($AD545,3,1)&lt;=$AF545),ROUND($AG545,2),0))</f>
        <v/>
      </c>
      <c r="M545" s="18">
        <f>IF($Z545="","",IF(AND(DATE($AD545,4,1)&gt;=$AE545,DATE($AD545,4,1)&lt;=$AF545),ROUND($AG545,2),0))</f>
        <v/>
      </c>
      <c r="N545" s="18">
        <f>IF($Z545="","",IF(AND(DATE($AD545,5,1)&gt;=$AE545,DATE($AD545,5,1)&lt;=$AF545),ROUND($AG545,2),0))</f>
        <v/>
      </c>
      <c r="O545" s="18">
        <f>IF($Z545="","",IF(AND(DATE($AD545,6,1)&gt;=$AE545,DATE($AD545,6,1)&lt;=$AF545),ROUND($AG545,2),0))</f>
        <v/>
      </c>
      <c r="P545" s="18">
        <f>IF($Z545="","",IF(AND(DATE($AD545,7,1)&gt;=$AE545,DATE($AD545,7,1)&lt;=$AF545),ROUND($AG545,2),0))</f>
        <v/>
      </c>
      <c r="Q545" s="18">
        <f>IF($Z545="","",IF(AND(DATE($AD545,8,1)&gt;=$AE545,DATE($AD545,8,1)&lt;=$AF545),ROUND($AG545,2),0))</f>
        <v/>
      </c>
      <c r="R545" s="18">
        <f>IF($Z545="","",IF(AND(DATE($AD545,9,1)&gt;=$AE545,DATE($AD545,9,1)&lt;=$AF545),ROUND($AG545,2),0))</f>
        <v/>
      </c>
      <c r="S545" s="18">
        <f>IF($Z545="","",IF(AND(DATE($AD545,10,1)&gt;=$AE545,DATE($AD545,10,1)&lt;=$AF545),ROUND($AG545,2),0))</f>
        <v/>
      </c>
      <c r="T545" s="18">
        <f>IF($Z545="","",IF(AND(DATE($AD545,11,1)&gt;=$AE545,DATE($AD545,11,1)&lt;=$AF545),ROUND($AG545,2),0))</f>
        <v/>
      </c>
      <c r="U545" s="18">
        <f>IF($Z545="","",IF(AND(DATE($AD545,12,1)&gt;=$AE545,DATE($AD545,12,1)&lt;=$AF545),ROUND($AG545,2),0))</f>
        <v/>
      </c>
      <c r="V545" s="7">
        <f>IF($Z545="C","Generated from "&amp;INDEX(Contracts!$A$2:$A$151,$AB545),IF($Z545="A","Generated from "&amp;INDEX(Fixed_Assets!$A$2:$A$201,$AB545),IF($Z545="F","Generated from "&amp;INDEX(FTE_Allocation!$A$2:$A$201,$AB545),"")))</f>
        <v/>
      </c>
      <c r="X545" s="19">
        <f>IF($Z545="","",SUM(J545:U545))</f>
        <v/>
      </c>
      <c r="Y545" s="20">
        <f>ROW()-1</f>
        <v/>
      </c>
      <c r="Z545" s="20">
        <f>IF($Y545&lt;=Settings!$B$4*3,"C",IF($Y545&lt;=(Settings!$B$4+Settings!$B$5)*3,"A",IF($Y545&lt;=(Settings!$B$4+Settings!$B$5+Settings!$B$6)*3,"F","")))</f>
        <v/>
      </c>
      <c r="AA545" s="20">
        <f>IF($Z545="C",$Y545,IF($Z545="A",$Y545-Settings!$B$4*3,IF($Z545="F",$Y545-(Settings!$B$4+Settings!$B$5)*3,"")))</f>
        <v/>
      </c>
      <c r="AB545" s="20">
        <f>IF($Z545="","",INT(($AA545-1)/3)+1)</f>
        <v/>
      </c>
      <c r="AC545" s="20">
        <f>IF($Z545="","",MOD($AA545-1,3)+1)</f>
        <v/>
      </c>
      <c r="AD545" s="20">
        <f>IF($Z545="","",Settings!$B$2+$AC545-1)</f>
        <v/>
      </c>
      <c r="AE545" s="21">
        <f>IF($Z545="C",DATE(YEAR(INDEX(Contracts!$J$2:$J$151,$AB545)),MONTH(INDEX(Contracts!$J$2:$J$151,$AB545)),1),IF($Z545="A",DATE(YEAR(INDEX(Fixed_Assets!$G$2:$G$201,$AB545)),MONTH(INDEX(Fixed_Assets!$G$2:$G$201,$AB545)),1),IF($Z545="F",DATE(YEAR(MAX(N(INDEX(Workforce!$I$2:$I$151,MATCH(INDEX(FTE_Allocation!$A$2:$A$201,$AB545),Workforce!$A$2:$A$151,0))),N(INDEX(FTE_Allocation!$I$2:$I$201,$AB545)))),MONTH(MAX(N(INDEX(Workforce!$I$2:$I$151,MATCH(INDEX(FTE_Allocation!$A$2:$A$201,$AB545),Workforce!$A$2:$A$151,0))),N(INDEX(FTE_Allocation!$I$2:$I$201,$AB545)))),1),"")))</f>
        <v/>
      </c>
      <c r="AF545" s="21">
        <f>IF($Z545="C",IF(INDEX(Contracts!$I$2:$I$151,$AB545)="PREPAID",EDATE(DATE(YEAR(INDEX(Contracts!$J$2:$J$151,$AB545)),MONTH(INDEX(Contracts!$J$2:$J$151,$AB545)),1),IF(INDEX(Contracts!$N$2:$N$151,$AB545)="",12,INDEX(Contracts!$N$2:$N$151,$AB545))-1),IF(INDEX(Contracts!$I$2:$I$151,$AB545)="MONTHLY",IF(INDEX(Contracts!$K$2:$K$151,$AB545)="",2958101,INDEX(Contracts!$K$2:$K$151,$AB545)),0)),IF($Z545="A",EDATE(DATE(YEAR(INDEX(Fixed_Assets!$G$2:$G$201,$AB545)),MONTH(INDEX(Fixed_Assets!$G$2:$G$201,$AB545)),1),INDEX(Fixed_Assets!$J$2:$J$201,$AB545)-1),IF($Z545="F",MIN(IF(INDEX(Workforce!$J$2:$J$151,MATCH(INDEX(FTE_Allocation!$A$2:$A$201,$AB545),Workforce!$A$2:$A$151,0))="",2958101,INDEX(Workforce!$J$2:$J$151,MATCH(INDEX(FTE_Allocation!$A$2:$A$201,$AB545),Workforce!$A$2:$A$151,0))),IF(INDEX(FTE_Allocation!$J$2:$J$201,$AB545)="",2958101,INDEX(FTE_Allocation!$J$2:$J$201,$AB545))),"")))</f>
        <v/>
      </c>
      <c r="AG545" s="19">
        <f>IF($Z545="C",IF(INDEX(Contracts!$I$2:$I$151,$AB545)="PREPAID",INDEX(Contracts!$M$2:$M$151,$AB545)/IF(INDEX(Contracts!$N$2:$N$151,$AB545)="",12,INDEX(Contracts!$N$2:$N$151,$AB545)),IF(INDEX(Contracts!$I$2:$I$151,$AB545)="MONTHLY",INDEX(Contracts!$M$2:$M$151,$AB545),0))*(1-N(INDEX(Contracts!$O$2:$O$151,$AB545))),IF($Z545="A",INDEX(Fixed_Assets!$H$2:$H$201,$AB545)/INDEX(Fixed_Assets!$J$2:$J$201,$AB545),IF($Z545="F",INDEX(Workforce!$F$2:$F$151,MATCH(INDEX(FTE_Allocation!$A$2:$A$201,$AB545),Workforce!$A$2:$A$151,0))*N(INDEX(FTE_Allocation!$F$2:$H$201,$AB545,$AC545)),"")))</f>
        <v/>
      </c>
    </row>
    <row r="546">
      <c r="A546" s="7">
        <f>IF($Z546="","",$AD546)</f>
        <v/>
      </c>
      <c r="B546" s="7">
        <f>IF($Z546="C",INDEX(Contracts!$D$2:$D$151,$AB546)&amp;"",IF($Z546="A",INDEX(Fixed_Assets!$C$2:$C$201,$AB546)&amp;"",IF($Z546="F",INDEX(Workforce!$B$2:$B$151,MATCH(INDEX(FTE_Allocation!$A$2:$A$201,$AB546),Workforce!$A$2:$A$151,0))&amp;"","")))</f>
        <v/>
      </c>
      <c r="C546" s="7">
        <f>IF($Z546="C",INDEX(Contracts!$E$2:$E$151,$AB546)&amp;"",IF($Z546="A",INDEX(Fixed_Assets!$D$2:$D$201,$AB546)&amp;"",IF($Z546="F",INDEX(FTE_Allocation!$C$2:$C$201,$AB546)&amp;"","")))</f>
        <v/>
      </c>
      <c r="D546" s="7">
        <f>IF($Z546="C",INDEX(Contracts!$B$2:$B$151,$AB546)&amp;"",IF($Z546="A",INDEX(Fixed_Assets!$B$2:$B$201,$AB546)&amp;"",IF($Z546="F",INDEX(FTE_Allocation!$B$2:$B$201,$AB546)&amp;"","")))</f>
        <v/>
      </c>
      <c r="E546" s="7">
        <f>IF($Z546="C",INDEX(Contracts!$P$2:$P$151,$AB546)&amp;"",IF($Z546="A",INDEX(Fixed_Assets!$K$2:$K$201,$AB546)&amp;"",IF($Z546="F",IF(INDEX(FTE_Allocation!$D$2:$D$201,$AB546)="PROJECT",IFERROR(INDEX(Projects!$D:$D,MATCH(INDEX(FTE_Allocation!$E$2:$E$201,$AB546),Projects!$A:$A,0))&amp;"","#PROJECT?"),INDEX(FTE_Allocation!$E$2:$E$201,$AB546)&amp;""),"")))</f>
        <v/>
      </c>
      <c r="F546" s="7">
        <f>IF($Z546="C",INDEX(Contracts!$Q$2:$Q$151,$AB546)&amp;"",IF($Z546="A",INDEX(Fixed_Assets!$L$2:$L$201,$AB546)&amp;"",IF($Z546="F",INDEX(Workforce!$K$2:$K$151,MATCH(INDEX(FTE_Allocation!$A$2:$A$201,$AB546),Workforce!$A$2:$A$151,0))&amp;"","")))</f>
        <v/>
      </c>
      <c r="G546" s="7">
        <f>IF($Z546="C",INDEX(Contracts!$F$2:$F$151,$AB546)&amp;" / "&amp;INDEX(Contracts!$G$2:$G$151,$AB546),IF($Z546="A",INDEX(Fixed_Assets!$E$2:$E$201,$AB546)&amp;"",IF($Z546="F","Personnel "&amp;INDEX(FTE_Allocation!$A$2:$A$201,$AB546)&amp;IF(INDEX(FTE_Allocation!$D$2:$D$201,$AB546)="PROJECT"," ("&amp;INDEX(FTE_Allocation!$E$2:$E$201,$AB546)&amp;")",""),"")))</f>
        <v/>
      </c>
      <c r="H546" s="7">
        <f>IF($Z546="C","CONTRACT",IF($Z546="A","ASSET",IF($Z546="F","WORKFORCE","")))</f>
        <v/>
      </c>
      <c r="I546" s="7">
        <f>IF($Z546="C",INDEX(Contracts!$L$2:$L$151,$AB546)&amp;"",IF($Z546="A",INDEX(Fixed_Assets!$I$2:$I$201,$AB546)&amp;"",IF($Z546="F",INDEX(Workforce!$G$2:$G$151,MATCH(INDEX(FTE_Allocation!$A$2:$A$201,$AB546),Workforce!$A$2:$A$151,0))&amp;"","")))</f>
        <v/>
      </c>
      <c r="J546" s="18">
        <f>IF($Z546="","",IF(AND(DATE($AD546,1,1)&gt;=$AE546,DATE($AD546,1,1)&lt;=$AF546),ROUND($AG546,2),0))</f>
        <v/>
      </c>
      <c r="K546" s="18">
        <f>IF($Z546="","",IF(AND(DATE($AD546,2,1)&gt;=$AE546,DATE($AD546,2,1)&lt;=$AF546),ROUND($AG546,2),0))</f>
        <v/>
      </c>
      <c r="L546" s="18">
        <f>IF($Z546="","",IF(AND(DATE($AD546,3,1)&gt;=$AE546,DATE($AD546,3,1)&lt;=$AF546),ROUND($AG546,2),0))</f>
        <v/>
      </c>
      <c r="M546" s="18">
        <f>IF($Z546="","",IF(AND(DATE($AD546,4,1)&gt;=$AE546,DATE($AD546,4,1)&lt;=$AF546),ROUND($AG546,2),0))</f>
        <v/>
      </c>
      <c r="N546" s="18">
        <f>IF($Z546="","",IF(AND(DATE($AD546,5,1)&gt;=$AE546,DATE($AD546,5,1)&lt;=$AF546),ROUND($AG546,2),0))</f>
        <v/>
      </c>
      <c r="O546" s="18">
        <f>IF($Z546="","",IF(AND(DATE($AD546,6,1)&gt;=$AE546,DATE($AD546,6,1)&lt;=$AF546),ROUND($AG546,2),0))</f>
        <v/>
      </c>
      <c r="P546" s="18">
        <f>IF($Z546="","",IF(AND(DATE($AD546,7,1)&gt;=$AE546,DATE($AD546,7,1)&lt;=$AF546),ROUND($AG546,2),0))</f>
        <v/>
      </c>
      <c r="Q546" s="18">
        <f>IF($Z546="","",IF(AND(DATE($AD546,8,1)&gt;=$AE546,DATE($AD546,8,1)&lt;=$AF546),ROUND($AG546,2),0))</f>
        <v/>
      </c>
      <c r="R546" s="18">
        <f>IF($Z546="","",IF(AND(DATE($AD546,9,1)&gt;=$AE546,DATE($AD546,9,1)&lt;=$AF546),ROUND($AG546,2),0))</f>
        <v/>
      </c>
      <c r="S546" s="18">
        <f>IF($Z546="","",IF(AND(DATE($AD546,10,1)&gt;=$AE546,DATE($AD546,10,1)&lt;=$AF546),ROUND($AG546,2),0))</f>
        <v/>
      </c>
      <c r="T546" s="18">
        <f>IF($Z546="","",IF(AND(DATE($AD546,11,1)&gt;=$AE546,DATE($AD546,11,1)&lt;=$AF546),ROUND($AG546,2),0))</f>
        <v/>
      </c>
      <c r="U546" s="18">
        <f>IF($Z546="","",IF(AND(DATE($AD546,12,1)&gt;=$AE546,DATE($AD546,12,1)&lt;=$AF546),ROUND($AG546,2),0))</f>
        <v/>
      </c>
      <c r="V546" s="7">
        <f>IF($Z546="C","Generated from "&amp;INDEX(Contracts!$A$2:$A$151,$AB546),IF($Z546="A","Generated from "&amp;INDEX(Fixed_Assets!$A$2:$A$201,$AB546),IF($Z546="F","Generated from "&amp;INDEX(FTE_Allocation!$A$2:$A$201,$AB546),"")))</f>
        <v/>
      </c>
      <c r="X546" s="19">
        <f>IF($Z546="","",SUM(J546:U546))</f>
        <v/>
      </c>
      <c r="Y546" s="20">
        <f>ROW()-1</f>
        <v/>
      </c>
      <c r="Z546" s="20">
        <f>IF($Y546&lt;=Settings!$B$4*3,"C",IF($Y546&lt;=(Settings!$B$4+Settings!$B$5)*3,"A",IF($Y546&lt;=(Settings!$B$4+Settings!$B$5+Settings!$B$6)*3,"F","")))</f>
        <v/>
      </c>
      <c r="AA546" s="20">
        <f>IF($Z546="C",$Y546,IF($Z546="A",$Y546-Settings!$B$4*3,IF($Z546="F",$Y546-(Settings!$B$4+Settings!$B$5)*3,"")))</f>
        <v/>
      </c>
      <c r="AB546" s="20">
        <f>IF($Z546="","",INT(($AA546-1)/3)+1)</f>
        <v/>
      </c>
      <c r="AC546" s="20">
        <f>IF($Z546="","",MOD($AA546-1,3)+1)</f>
        <v/>
      </c>
      <c r="AD546" s="20">
        <f>IF($Z546="","",Settings!$B$2+$AC546-1)</f>
        <v/>
      </c>
      <c r="AE546" s="21">
        <f>IF($Z546="C",DATE(YEAR(INDEX(Contracts!$J$2:$J$151,$AB546)),MONTH(INDEX(Contracts!$J$2:$J$151,$AB546)),1),IF($Z546="A",DATE(YEAR(INDEX(Fixed_Assets!$G$2:$G$201,$AB546)),MONTH(INDEX(Fixed_Assets!$G$2:$G$201,$AB546)),1),IF($Z546="F",DATE(YEAR(MAX(N(INDEX(Workforce!$I$2:$I$151,MATCH(INDEX(FTE_Allocation!$A$2:$A$201,$AB546),Workforce!$A$2:$A$151,0))),N(INDEX(FTE_Allocation!$I$2:$I$201,$AB546)))),MONTH(MAX(N(INDEX(Workforce!$I$2:$I$151,MATCH(INDEX(FTE_Allocation!$A$2:$A$201,$AB546),Workforce!$A$2:$A$151,0))),N(INDEX(FTE_Allocation!$I$2:$I$201,$AB546)))),1),"")))</f>
        <v/>
      </c>
      <c r="AF546" s="21">
        <f>IF($Z546="C",IF(INDEX(Contracts!$I$2:$I$151,$AB546)="PREPAID",EDATE(DATE(YEAR(INDEX(Contracts!$J$2:$J$151,$AB546)),MONTH(INDEX(Contracts!$J$2:$J$151,$AB546)),1),IF(INDEX(Contracts!$N$2:$N$151,$AB546)="",12,INDEX(Contracts!$N$2:$N$151,$AB546))-1),IF(INDEX(Contracts!$I$2:$I$151,$AB546)="MONTHLY",IF(INDEX(Contracts!$K$2:$K$151,$AB546)="",2958101,INDEX(Contracts!$K$2:$K$151,$AB546)),0)),IF($Z546="A",EDATE(DATE(YEAR(INDEX(Fixed_Assets!$G$2:$G$201,$AB546)),MONTH(INDEX(Fixed_Assets!$G$2:$G$201,$AB546)),1),INDEX(Fixed_Assets!$J$2:$J$201,$AB546)-1),IF($Z546="F",MIN(IF(INDEX(Workforce!$J$2:$J$151,MATCH(INDEX(FTE_Allocation!$A$2:$A$201,$AB546),Workforce!$A$2:$A$151,0))="",2958101,INDEX(Workforce!$J$2:$J$151,MATCH(INDEX(FTE_Allocation!$A$2:$A$201,$AB546),Workforce!$A$2:$A$151,0))),IF(INDEX(FTE_Allocation!$J$2:$J$201,$AB546)="",2958101,INDEX(FTE_Allocation!$J$2:$J$201,$AB546))),"")))</f>
        <v/>
      </c>
      <c r="AG546" s="19">
        <f>IF($Z546="C",IF(INDEX(Contracts!$I$2:$I$151,$AB546)="PREPAID",INDEX(Contracts!$M$2:$M$151,$AB546)/IF(INDEX(Contracts!$N$2:$N$151,$AB546)="",12,INDEX(Contracts!$N$2:$N$151,$AB546)),IF(INDEX(Contracts!$I$2:$I$151,$AB546)="MONTHLY",INDEX(Contracts!$M$2:$M$151,$AB546),0))*(1-N(INDEX(Contracts!$O$2:$O$151,$AB546))),IF($Z546="A",INDEX(Fixed_Assets!$H$2:$H$201,$AB546)/INDEX(Fixed_Assets!$J$2:$J$201,$AB546),IF($Z546="F",INDEX(Workforce!$F$2:$F$151,MATCH(INDEX(FTE_Allocation!$A$2:$A$201,$AB546),Workforce!$A$2:$A$151,0))*N(INDEX(FTE_Allocation!$F$2:$H$201,$AB546,$AC546)),"")))</f>
        <v/>
      </c>
    </row>
    <row r="547">
      <c r="A547" s="7">
        <f>IF($Z547="","",$AD547)</f>
        <v/>
      </c>
      <c r="B547" s="7">
        <f>IF($Z547="C",INDEX(Contracts!$D$2:$D$151,$AB547)&amp;"",IF($Z547="A",INDEX(Fixed_Assets!$C$2:$C$201,$AB547)&amp;"",IF($Z547="F",INDEX(Workforce!$B$2:$B$151,MATCH(INDEX(FTE_Allocation!$A$2:$A$201,$AB547),Workforce!$A$2:$A$151,0))&amp;"","")))</f>
        <v/>
      </c>
      <c r="C547" s="7">
        <f>IF($Z547="C",INDEX(Contracts!$E$2:$E$151,$AB547)&amp;"",IF($Z547="A",INDEX(Fixed_Assets!$D$2:$D$201,$AB547)&amp;"",IF($Z547="F",INDEX(FTE_Allocation!$C$2:$C$201,$AB547)&amp;"","")))</f>
        <v/>
      </c>
      <c r="D547" s="7">
        <f>IF($Z547="C",INDEX(Contracts!$B$2:$B$151,$AB547)&amp;"",IF($Z547="A",INDEX(Fixed_Assets!$B$2:$B$201,$AB547)&amp;"",IF($Z547="F",INDEX(FTE_Allocation!$B$2:$B$201,$AB547)&amp;"","")))</f>
        <v/>
      </c>
      <c r="E547" s="7">
        <f>IF($Z547="C",INDEX(Contracts!$P$2:$P$151,$AB547)&amp;"",IF($Z547="A",INDEX(Fixed_Assets!$K$2:$K$201,$AB547)&amp;"",IF($Z547="F",IF(INDEX(FTE_Allocation!$D$2:$D$201,$AB547)="PROJECT",IFERROR(INDEX(Projects!$D:$D,MATCH(INDEX(FTE_Allocation!$E$2:$E$201,$AB547),Projects!$A:$A,0))&amp;"","#PROJECT?"),INDEX(FTE_Allocation!$E$2:$E$201,$AB547)&amp;""),"")))</f>
        <v/>
      </c>
      <c r="F547" s="7">
        <f>IF($Z547="C",INDEX(Contracts!$Q$2:$Q$151,$AB547)&amp;"",IF($Z547="A",INDEX(Fixed_Assets!$L$2:$L$201,$AB547)&amp;"",IF($Z547="F",INDEX(Workforce!$K$2:$K$151,MATCH(INDEX(FTE_Allocation!$A$2:$A$201,$AB547),Workforce!$A$2:$A$151,0))&amp;"","")))</f>
        <v/>
      </c>
      <c r="G547" s="7">
        <f>IF($Z547="C",INDEX(Contracts!$F$2:$F$151,$AB547)&amp;" / "&amp;INDEX(Contracts!$G$2:$G$151,$AB547),IF($Z547="A",INDEX(Fixed_Assets!$E$2:$E$201,$AB547)&amp;"",IF($Z547="F","Personnel "&amp;INDEX(FTE_Allocation!$A$2:$A$201,$AB547)&amp;IF(INDEX(FTE_Allocation!$D$2:$D$201,$AB547)="PROJECT"," ("&amp;INDEX(FTE_Allocation!$E$2:$E$201,$AB547)&amp;")",""),"")))</f>
        <v/>
      </c>
      <c r="H547" s="7">
        <f>IF($Z547="C","CONTRACT",IF($Z547="A","ASSET",IF($Z547="F","WORKFORCE","")))</f>
        <v/>
      </c>
      <c r="I547" s="7">
        <f>IF($Z547="C",INDEX(Contracts!$L$2:$L$151,$AB547)&amp;"",IF($Z547="A",INDEX(Fixed_Assets!$I$2:$I$201,$AB547)&amp;"",IF($Z547="F",INDEX(Workforce!$G$2:$G$151,MATCH(INDEX(FTE_Allocation!$A$2:$A$201,$AB547),Workforce!$A$2:$A$151,0))&amp;"","")))</f>
        <v/>
      </c>
      <c r="J547" s="18">
        <f>IF($Z547="","",IF(AND(DATE($AD547,1,1)&gt;=$AE547,DATE($AD547,1,1)&lt;=$AF547),ROUND($AG547,2),0))</f>
        <v/>
      </c>
      <c r="K547" s="18">
        <f>IF($Z547="","",IF(AND(DATE($AD547,2,1)&gt;=$AE547,DATE($AD547,2,1)&lt;=$AF547),ROUND($AG547,2),0))</f>
        <v/>
      </c>
      <c r="L547" s="18">
        <f>IF($Z547="","",IF(AND(DATE($AD547,3,1)&gt;=$AE547,DATE($AD547,3,1)&lt;=$AF547),ROUND($AG547,2),0))</f>
        <v/>
      </c>
      <c r="M547" s="18">
        <f>IF($Z547="","",IF(AND(DATE($AD547,4,1)&gt;=$AE547,DATE($AD547,4,1)&lt;=$AF547),ROUND($AG547,2),0))</f>
        <v/>
      </c>
      <c r="N547" s="18">
        <f>IF($Z547="","",IF(AND(DATE($AD547,5,1)&gt;=$AE547,DATE($AD547,5,1)&lt;=$AF547),ROUND($AG547,2),0))</f>
        <v/>
      </c>
      <c r="O547" s="18">
        <f>IF($Z547="","",IF(AND(DATE($AD547,6,1)&gt;=$AE547,DATE($AD547,6,1)&lt;=$AF547),ROUND($AG547,2),0))</f>
        <v/>
      </c>
      <c r="P547" s="18">
        <f>IF($Z547="","",IF(AND(DATE($AD547,7,1)&gt;=$AE547,DATE($AD547,7,1)&lt;=$AF547),ROUND($AG547,2),0))</f>
        <v/>
      </c>
      <c r="Q547" s="18">
        <f>IF($Z547="","",IF(AND(DATE($AD547,8,1)&gt;=$AE547,DATE($AD547,8,1)&lt;=$AF547),ROUND($AG547,2),0))</f>
        <v/>
      </c>
      <c r="R547" s="18">
        <f>IF($Z547="","",IF(AND(DATE($AD547,9,1)&gt;=$AE547,DATE($AD547,9,1)&lt;=$AF547),ROUND($AG547,2),0))</f>
        <v/>
      </c>
      <c r="S547" s="18">
        <f>IF($Z547="","",IF(AND(DATE($AD547,10,1)&gt;=$AE547,DATE($AD547,10,1)&lt;=$AF547),ROUND($AG547,2),0))</f>
        <v/>
      </c>
      <c r="T547" s="18">
        <f>IF($Z547="","",IF(AND(DATE($AD547,11,1)&gt;=$AE547,DATE($AD547,11,1)&lt;=$AF547),ROUND($AG547,2),0))</f>
        <v/>
      </c>
      <c r="U547" s="18">
        <f>IF($Z547="","",IF(AND(DATE($AD547,12,1)&gt;=$AE547,DATE($AD547,12,1)&lt;=$AF547),ROUND($AG547,2),0))</f>
        <v/>
      </c>
      <c r="V547" s="7">
        <f>IF($Z547="C","Generated from "&amp;INDEX(Contracts!$A$2:$A$151,$AB547),IF($Z547="A","Generated from "&amp;INDEX(Fixed_Assets!$A$2:$A$201,$AB547),IF($Z547="F","Generated from "&amp;INDEX(FTE_Allocation!$A$2:$A$201,$AB547),"")))</f>
        <v/>
      </c>
      <c r="X547" s="19">
        <f>IF($Z547="","",SUM(J547:U547))</f>
        <v/>
      </c>
      <c r="Y547" s="20">
        <f>ROW()-1</f>
        <v/>
      </c>
      <c r="Z547" s="20">
        <f>IF($Y547&lt;=Settings!$B$4*3,"C",IF($Y547&lt;=(Settings!$B$4+Settings!$B$5)*3,"A",IF($Y547&lt;=(Settings!$B$4+Settings!$B$5+Settings!$B$6)*3,"F","")))</f>
        <v/>
      </c>
      <c r="AA547" s="20">
        <f>IF($Z547="C",$Y547,IF($Z547="A",$Y547-Settings!$B$4*3,IF($Z547="F",$Y547-(Settings!$B$4+Settings!$B$5)*3,"")))</f>
        <v/>
      </c>
      <c r="AB547" s="20">
        <f>IF($Z547="","",INT(($AA547-1)/3)+1)</f>
        <v/>
      </c>
      <c r="AC547" s="20">
        <f>IF($Z547="","",MOD($AA547-1,3)+1)</f>
        <v/>
      </c>
      <c r="AD547" s="20">
        <f>IF($Z547="","",Settings!$B$2+$AC547-1)</f>
        <v/>
      </c>
      <c r="AE547" s="21">
        <f>IF($Z547="C",DATE(YEAR(INDEX(Contracts!$J$2:$J$151,$AB547)),MONTH(INDEX(Contracts!$J$2:$J$151,$AB547)),1),IF($Z547="A",DATE(YEAR(INDEX(Fixed_Assets!$G$2:$G$201,$AB547)),MONTH(INDEX(Fixed_Assets!$G$2:$G$201,$AB547)),1),IF($Z547="F",DATE(YEAR(MAX(N(INDEX(Workforce!$I$2:$I$151,MATCH(INDEX(FTE_Allocation!$A$2:$A$201,$AB547),Workforce!$A$2:$A$151,0))),N(INDEX(FTE_Allocation!$I$2:$I$201,$AB547)))),MONTH(MAX(N(INDEX(Workforce!$I$2:$I$151,MATCH(INDEX(FTE_Allocation!$A$2:$A$201,$AB547),Workforce!$A$2:$A$151,0))),N(INDEX(FTE_Allocation!$I$2:$I$201,$AB547)))),1),"")))</f>
        <v/>
      </c>
      <c r="AF547" s="21">
        <f>IF($Z547="C",IF(INDEX(Contracts!$I$2:$I$151,$AB547)="PREPAID",EDATE(DATE(YEAR(INDEX(Contracts!$J$2:$J$151,$AB547)),MONTH(INDEX(Contracts!$J$2:$J$151,$AB547)),1),IF(INDEX(Contracts!$N$2:$N$151,$AB547)="",12,INDEX(Contracts!$N$2:$N$151,$AB547))-1),IF(INDEX(Contracts!$I$2:$I$151,$AB547)="MONTHLY",IF(INDEX(Contracts!$K$2:$K$151,$AB547)="",2958101,INDEX(Contracts!$K$2:$K$151,$AB547)),0)),IF($Z547="A",EDATE(DATE(YEAR(INDEX(Fixed_Assets!$G$2:$G$201,$AB547)),MONTH(INDEX(Fixed_Assets!$G$2:$G$201,$AB547)),1),INDEX(Fixed_Assets!$J$2:$J$201,$AB547)-1),IF($Z547="F",MIN(IF(INDEX(Workforce!$J$2:$J$151,MATCH(INDEX(FTE_Allocation!$A$2:$A$201,$AB547),Workforce!$A$2:$A$151,0))="",2958101,INDEX(Workforce!$J$2:$J$151,MATCH(INDEX(FTE_Allocation!$A$2:$A$201,$AB547),Workforce!$A$2:$A$151,0))),IF(INDEX(FTE_Allocation!$J$2:$J$201,$AB547)="",2958101,INDEX(FTE_Allocation!$J$2:$J$201,$AB547))),"")))</f>
        <v/>
      </c>
      <c r="AG547" s="19">
        <f>IF($Z547="C",IF(INDEX(Contracts!$I$2:$I$151,$AB547)="PREPAID",INDEX(Contracts!$M$2:$M$151,$AB547)/IF(INDEX(Contracts!$N$2:$N$151,$AB547)="",12,INDEX(Contracts!$N$2:$N$151,$AB547)),IF(INDEX(Contracts!$I$2:$I$151,$AB547)="MONTHLY",INDEX(Contracts!$M$2:$M$151,$AB547),0))*(1-N(INDEX(Contracts!$O$2:$O$151,$AB547))),IF($Z547="A",INDEX(Fixed_Assets!$H$2:$H$201,$AB547)/INDEX(Fixed_Assets!$J$2:$J$201,$AB547),IF($Z547="F",INDEX(Workforce!$F$2:$F$151,MATCH(INDEX(FTE_Allocation!$A$2:$A$201,$AB547),Workforce!$A$2:$A$151,0))*N(INDEX(FTE_Allocation!$F$2:$H$201,$AB547,$AC547)),"")))</f>
        <v/>
      </c>
    </row>
    <row r="548">
      <c r="A548" s="7">
        <f>IF($Z548="","",$AD548)</f>
        <v/>
      </c>
      <c r="B548" s="7">
        <f>IF($Z548="C",INDEX(Contracts!$D$2:$D$151,$AB548)&amp;"",IF($Z548="A",INDEX(Fixed_Assets!$C$2:$C$201,$AB548)&amp;"",IF($Z548="F",INDEX(Workforce!$B$2:$B$151,MATCH(INDEX(FTE_Allocation!$A$2:$A$201,$AB548),Workforce!$A$2:$A$151,0))&amp;"","")))</f>
        <v/>
      </c>
      <c r="C548" s="7">
        <f>IF($Z548="C",INDEX(Contracts!$E$2:$E$151,$AB548)&amp;"",IF($Z548="A",INDEX(Fixed_Assets!$D$2:$D$201,$AB548)&amp;"",IF($Z548="F",INDEX(FTE_Allocation!$C$2:$C$201,$AB548)&amp;"","")))</f>
        <v/>
      </c>
      <c r="D548" s="7">
        <f>IF($Z548="C",INDEX(Contracts!$B$2:$B$151,$AB548)&amp;"",IF($Z548="A",INDEX(Fixed_Assets!$B$2:$B$201,$AB548)&amp;"",IF($Z548="F",INDEX(FTE_Allocation!$B$2:$B$201,$AB548)&amp;"","")))</f>
        <v/>
      </c>
      <c r="E548" s="7">
        <f>IF($Z548="C",INDEX(Contracts!$P$2:$P$151,$AB548)&amp;"",IF($Z548="A",INDEX(Fixed_Assets!$K$2:$K$201,$AB548)&amp;"",IF($Z548="F",IF(INDEX(FTE_Allocation!$D$2:$D$201,$AB548)="PROJECT",IFERROR(INDEX(Projects!$D:$D,MATCH(INDEX(FTE_Allocation!$E$2:$E$201,$AB548),Projects!$A:$A,0))&amp;"","#PROJECT?"),INDEX(FTE_Allocation!$E$2:$E$201,$AB548)&amp;""),"")))</f>
        <v/>
      </c>
      <c r="F548" s="7">
        <f>IF($Z548="C",INDEX(Contracts!$Q$2:$Q$151,$AB548)&amp;"",IF($Z548="A",INDEX(Fixed_Assets!$L$2:$L$201,$AB548)&amp;"",IF($Z548="F",INDEX(Workforce!$K$2:$K$151,MATCH(INDEX(FTE_Allocation!$A$2:$A$201,$AB548),Workforce!$A$2:$A$151,0))&amp;"","")))</f>
        <v/>
      </c>
      <c r="G548" s="7">
        <f>IF($Z548="C",INDEX(Contracts!$F$2:$F$151,$AB548)&amp;" / "&amp;INDEX(Contracts!$G$2:$G$151,$AB548),IF($Z548="A",INDEX(Fixed_Assets!$E$2:$E$201,$AB548)&amp;"",IF($Z548="F","Personnel "&amp;INDEX(FTE_Allocation!$A$2:$A$201,$AB548)&amp;IF(INDEX(FTE_Allocation!$D$2:$D$201,$AB548)="PROJECT"," ("&amp;INDEX(FTE_Allocation!$E$2:$E$201,$AB548)&amp;")",""),"")))</f>
        <v/>
      </c>
      <c r="H548" s="7">
        <f>IF($Z548="C","CONTRACT",IF($Z548="A","ASSET",IF($Z548="F","WORKFORCE","")))</f>
        <v/>
      </c>
      <c r="I548" s="7">
        <f>IF($Z548="C",INDEX(Contracts!$L$2:$L$151,$AB548)&amp;"",IF($Z548="A",INDEX(Fixed_Assets!$I$2:$I$201,$AB548)&amp;"",IF($Z548="F",INDEX(Workforce!$G$2:$G$151,MATCH(INDEX(FTE_Allocation!$A$2:$A$201,$AB548),Workforce!$A$2:$A$151,0))&amp;"","")))</f>
        <v/>
      </c>
      <c r="J548" s="18">
        <f>IF($Z548="","",IF(AND(DATE($AD548,1,1)&gt;=$AE548,DATE($AD548,1,1)&lt;=$AF548),ROUND($AG548,2),0))</f>
        <v/>
      </c>
      <c r="K548" s="18">
        <f>IF($Z548="","",IF(AND(DATE($AD548,2,1)&gt;=$AE548,DATE($AD548,2,1)&lt;=$AF548),ROUND($AG548,2),0))</f>
        <v/>
      </c>
      <c r="L548" s="18">
        <f>IF($Z548="","",IF(AND(DATE($AD548,3,1)&gt;=$AE548,DATE($AD548,3,1)&lt;=$AF548),ROUND($AG548,2),0))</f>
        <v/>
      </c>
      <c r="M548" s="18">
        <f>IF($Z548="","",IF(AND(DATE($AD548,4,1)&gt;=$AE548,DATE($AD548,4,1)&lt;=$AF548),ROUND($AG548,2),0))</f>
        <v/>
      </c>
      <c r="N548" s="18">
        <f>IF($Z548="","",IF(AND(DATE($AD548,5,1)&gt;=$AE548,DATE($AD548,5,1)&lt;=$AF548),ROUND($AG548,2),0))</f>
        <v/>
      </c>
      <c r="O548" s="18">
        <f>IF($Z548="","",IF(AND(DATE($AD548,6,1)&gt;=$AE548,DATE($AD548,6,1)&lt;=$AF548),ROUND($AG548,2),0))</f>
        <v/>
      </c>
      <c r="P548" s="18">
        <f>IF($Z548="","",IF(AND(DATE($AD548,7,1)&gt;=$AE548,DATE($AD548,7,1)&lt;=$AF548),ROUND($AG548,2),0))</f>
        <v/>
      </c>
      <c r="Q548" s="18">
        <f>IF($Z548="","",IF(AND(DATE($AD548,8,1)&gt;=$AE548,DATE($AD548,8,1)&lt;=$AF548),ROUND($AG548,2),0))</f>
        <v/>
      </c>
      <c r="R548" s="18">
        <f>IF($Z548="","",IF(AND(DATE($AD548,9,1)&gt;=$AE548,DATE($AD548,9,1)&lt;=$AF548),ROUND($AG548,2),0))</f>
        <v/>
      </c>
      <c r="S548" s="18">
        <f>IF($Z548="","",IF(AND(DATE($AD548,10,1)&gt;=$AE548,DATE($AD548,10,1)&lt;=$AF548),ROUND($AG548,2),0))</f>
        <v/>
      </c>
      <c r="T548" s="18">
        <f>IF($Z548="","",IF(AND(DATE($AD548,11,1)&gt;=$AE548,DATE($AD548,11,1)&lt;=$AF548),ROUND($AG548,2),0))</f>
        <v/>
      </c>
      <c r="U548" s="18">
        <f>IF($Z548="","",IF(AND(DATE($AD548,12,1)&gt;=$AE548,DATE($AD548,12,1)&lt;=$AF548),ROUND($AG548,2),0))</f>
        <v/>
      </c>
      <c r="V548" s="7">
        <f>IF($Z548="C","Generated from "&amp;INDEX(Contracts!$A$2:$A$151,$AB548),IF($Z548="A","Generated from "&amp;INDEX(Fixed_Assets!$A$2:$A$201,$AB548),IF($Z548="F","Generated from "&amp;INDEX(FTE_Allocation!$A$2:$A$201,$AB548),"")))</f>
        <v/>
      </c>
      <c r="X548" s="19">
        <f>IF($Z548="","",SUM(J548:U548))</f>
        <v/>
      </c>
      <c r="Y548" s="20">
        <f>ROW()-1</f>
        <v/>
      </c>
      <c r="Z548" s="20">
        <f>IF($Y548&lt;=Settings!$B$4*3,"C",IF($Y548&lt;=(Settings!$B$4+Settings!$B$5)*3,"A",IF($Y548&lt;=(Settings!$B$4+Settings!$B$5+Settings!$B$6)*3,"F","")))</f>
        <v/>
      </c>
      <c r="AA548" s="20">
        <f>IF($Z548="C",$Y548,IF($Z548="A",$Y548-Settings!$B$4*3,IF($Z548="F",$Y548-(Settings!$B$4+Settings!$B$5)*3,"")))</f>
        <v/>
      </c>
      <c r="AB548" s="20">
        <f>IF($Z548="","",INT(($AA548-1)/3)+1)</f>
        <v/>
      </c>
      <c r="AC548" s="20">
        <f>IF($Z548="","",MOD($AA548-1,3)+1)</f>
        <v/>
      </c>
      <c r="AD548" s="20">
        <f>IF($Z548="","",Settings!$B$2+$AC548-1)</f>
        <v/>
      </c>
      <c r="AE548" s="21">
        <f>IF($Z548="C",DATE(YEAR(INDEX(Contracts!$J$2:$J$151,$AB548)),MONTH(INDEX(Contracts!$J$2:$J$151,$AB548)),1),IF($Z548="A",DATE(YEAR(INDEX(Fixed_Assets!$G$2:$G$201,$AB548)),MONTH(INDEX(Fixed_Assets!$G$2:$G$201,$AB548)),1),IF($Z548="F",DATE(YEAR(MAX(N(INDEX(Workforce!$I$2:$I$151,MATCH(INDEX(FTE_Allocation!$A$2:$A$201,$AB548),Workforce!$A$2:$A$151,0))),N(INDEX(FTE_Allocation!$I$2:$I$201,$AB548)))),MONTH(MAX(N(INDEX(Workforce!$I$2:$I$151,MATCH(INDEX(FTE_Allocation!$A$2:$A$201,$AB548),Workforce!$A$2:$A$151,0))),N(INDEX(FTE_Allocation!$I$2:$I$201,$AB548)))),1),"")))</f>
        <v/>
      </c>
      <c r="AF548" s="21">
        <f>IF($Z548="C",IF(INDEX(Contracts!$I$2:$I$151,$AB548)="PREPAID",EDATE(DATE(YEAR(INDEX(Contracts!$J$2:$J$151,$AB548)),MONTH(INDEX(Contracts!$J$2:$J$151,$AB548)),1),IF(INDEX(Contracts!$N$2:$N$151,$AB548)="",12,INDEX(Contracts!$N$2:$N$151,$AB548))-1),IF(INDEX(Contracts!$I$2:$I$151,$AB548)="MONTHLY",IF(INDEX(Contracts!$K$2:$K$151,$AB548)="",2958101,INDEX(Contracts!$K$2:$K$151,$AB548)),0)),IF($Z548="A",EDATE(DATE(YEAR(INDEX(Fixed_Assets!$G$2:$G$201,$AB548)),MONTH(INDEX(Fixed_Assets!$G$2:$G$201,$AB548)),1),INDEX(Fixed_Assets!$J$2:$J$201,$AB548)-1),IF($Z548="F",MIN(IF(INDEX(Workforce!$J$2:$J$151,MATCH(INDEX(FTE_Allocation!$A$2:$A$201,$AB548),Workforce!$A$2:$A$151,0))="",2958101,INDEX(Workforce!$J$2:$J$151,MATCH(INDEX(FTE_Allocation!$A$2:$A$201,$AB548),Workforce!$A$2:$A$151,0))),IF(INDEX(FTE_Allocation!$J$2:$J$201,$AB548)="",2958101,INDEX(FTE_Allocation!$J$2:$J$201,$AB548))),"")))</f>
        <v/>
      </c>
      <c r="AG548" s="19">
        <f>IF($Z548="C",IF(INDEX(Contracts!$I$2:$I$151,$AB548)="PREPAID",INDEX(Contracts!$M$2:$M$151,$AB548)/IF(INDEX(Contracts!$N$2:$N$151,$AB548)="",12,INDEX(Contracts!$N$2:$N$151,$AB548)),IF(INDEX(Contracts!$I$2:$I$151,$AB548)="MONTHLY",INDEX(Contracts!$M$2:$M$151,$AB548),0))*(1-N(INDEX(Contracts!$O$2:$O$151,$AB548))),IF($Z548="A",INDEX(Fixed_Assets!$H$2:$H$201,$AB548)/INDEX(Fixed_Assets!$J$2:$J$201,$AB548),IF($Z548="F",INDEX(Workforce!$F$2:$F$151,MATCH(INDEX(FTE_Allocation!$A$2:$A$201,$AB548),Workforce!$A$2:$A$151,0))*N(INDEX(FTE_Allocation!$F$2:$H$201,$AB548,$AC548)),"")))</f>
        <v/>
      </c>
    </row>
    <row r="549">
      <c r="A549" s="7">
        <f>IF($Z549="","",$AD549)</f>
        <v/>
      </c>
      <c r="B549" s="7">
        <f>IF($Z549="C",INDEX(Contracts!$D$2:$D$151,$AB549)&amp;"",IF($Z549="A",INDEX(Fixed_Assets!$C$2:$C$201,$AB549)&amp;"",IF($Z549="F",INDEX(Workforce!$B$2:$B$151,MATCH(INDEX(FTE_Allocation!$A$2:$A$201,$AB549),Workforce!$A$2:$A$151,0))&amp;"","")))</f>
        <v/>
      </c>
      <c r="C549" s="7">
        <f>IF($Z549="C",INDEX(Contracts!$E$2:$E$151,$AB549)&amp;"",IF($Z549="A",INDEX(Fixed_Assets!$D$2:$D$201,$AB549)&amp;"",IF($Z549="F",INDEX(FTE_Allocation!$C$2:$C$201,$AB549)&amp;"","")))</f>
        <v/>
      </c>
      <c r="D549" s="7">
        <f>IF($Z549="C",INDEX(Contracts!$B$2:$B$151,$AB549)&amp;"",IF($Z549="A",INDEX(Fixed_Assets!$B$2:$B$201,$AB549)&amp;"",IF($Z549="F",INDEX(FTE_Allocation!$B$2:$B$201,$AB549)&amp;"","")))</f>
        <v/>
      </c>
      <c r="E549" s="7">
        <f>IF($Z549="C",INDEX(Contracts!$P$2:$P$151,$AB549)&amp;"",IF($Z549="A",INDEX(Fixed_Assets!$K$2:$K$201,$AB549)&amp;"",IF($Z549="F",IF(INDEX(FTE_Allocation!$D$2:$D$201,$AB549)="PROJECT",IFERROR(INDEX(Projects!$D:$D,MATCH(INDEX(FTE_Allocation!$E$2:$E$201,$AB549),Projects!$A:$A,0))&amp;"","#PROJECT?"),INDEX(FTE_Allocation!$E$2:$E$201,$AB549)&amp;""),"")))</f>
        <v/>
      </c>
      <c r="F549" s="7">
        <f>IF($Z549="C",INDEX(Contracts!$Q$2:$Q$151,$AB549)&amp;"",IF($Z549="A",INDEX(Fixed_Assets!$L$2:$L$201,$AB549)&amp;"",IF($Z549="F",INDEX(Workforce!$K$2:$K$151,MATCH(INDEX(FTE_Allocation!$A$2:$A$201,$AB549),Workforce!$A$2:$A$151,0))&amp;"","")))</f>
        <v/>
      </c>
      <c r="G549" s="7">
        <f>IF($Z549="C",INDEX(Contracts!$F$2:$F$151,$AB549)&amp;" / "&amp;INDEX(Contracts!$G$2:$G$151,$AB549),IF($Z549="A",INDEX(Fixed_Assets!$E$2:$E$201,$AB549)&amp;"",IF($Z549="F","Personnel "&amp;INDEX(FTE_Allocation!$A$2:$A$201,$AB549)&amp;IF(INDEX(FTE_Allocation!$D$2:$D$201,$AB549)="PROJECT"," ("&amp;INDEX(FTE_Allocation!$E$2:$E$201,$AB549)&amp;")",""),"")))</f>
        <v/>
      </c>
      <c r="H549" s="7">
        <f>IF($Z549="C","CONTRACT",IF($Z549="A","ASSET",IF($Z549="F","WORKFORCE","")))</f>
        <v/>
      </c>
      <c r="I549" s="7">
        <f>IF($Z549="C",INDEX(Contracts!$L$2:$L$151,$AB549)&amp;"",IF($Z549="A",INDEX(Fixed_Assets!$I$2:$I$201,$AB549)&amp;"",IF($Z549="F",INDEX(Workforce!$G$2:$G$151,MATCH(INDEX(FTE_Allocation!$A$2:$A$201,$AB549),Workforce!$A$2:$A$151,0))&amp;"","")))</f>
        <v/>
      </c>
      <c r="J549" s="18">
        <f>IF($Z549="","",IF(AND(DATE($AD549,1,1)&gt;=$AE549,DATE($AD549,1,1)&lt;=$AF549),ROUND($AG549,2),0))</f>
        <v/>
      </c>
      <c r="K549" s="18">
        <f>IF($Z549="","",IF(AND(DATE($AD549,2,1)&gt;=$AE549,DATE($AD549,2,1)&lt;=$AF549),ROUND($AG549,2),0))</f>
        <v/>
      </c>
      <c r="L549" s="18">
        <f>IF($Z549="","",IF(AND(DATE($AD549,3,1)&gt;=$AE549,DATE($AD549,3,1)&lt;=$AF549),ROUND($AG549,2),0))</f>
        <v/>
      </c>
      <c r="M549" s="18">
        <f>IF($Z549="","",IF(AND(DATE($AD549,4,1)&gt;=$AE549,DATE($AD549,4,1)&lt;=$AF549),ROUND($AG549,2),0))</f>
        <v/>
      </c>
      <c r="N549" s="18">
        <f>IF($Z549="","",IF(AND(DATE($AD549,5,1)&gt;=$AE549,DATE($AD549,5,1)&lt;=$AF549),ROUND($AG549,2),0))</f>
        <v/>
      </c>
      <c r="O549" s="18">
        <f>IF($Z549="","",IF(AND(DATE($AD549,6,1)&gt;=$AE549,DATE($AD549,6,1)&lt;=$AF549),ROUND($AG549,2),0))</f>
        <v/>
      </c>
      <c r="P549" s="18">
        <f>IF($Z549="","",IF(AND(DATE($AD549,7,1)&gt;=$AE549,DATE($AD549,7,1)&lt;=$AF549),ROUND($AG549,2),0))</f>
        <v/>
      </c>
      <c r="Q549" s="18">
        <f>IF($Z549="","",IF(AND(DATE($AD549,8,1)&gt;=$AE549,DATE($AD549,8,1)&lt;=$AF549),ROUND($AG549,2),0))</f>
        <v/>
      </c>
      <c r="R549" s="18">
        <f>IF($Z549="","",IF(AND(DATE($AD549,9,1)&gt;=$AE549,DATE($AD549,9,1)&lt;=$AF549),ROUND($AG549,2),0))</f>
        <v/>
      </c>
      <c r="S549" s="18">
        <f>IF($Z549="","",IF(AND(DATE($AD549,10,1)&gt;=$AE549,DATE($AD549,10,1)&lt;=$AF549),ROUND($AG549,2),0))</f>
        <v/>
      </c>
      <c r="T549" s="18">
        <f>IF($Z549="","",IF(AND(DATE($AD549,11,1)&gt;=$AE549,DATE($AD549,11,1)&lt;=$AF549),ROUND($AG549,2),0))</f>
        <v/>
      </c>
      <c r="U549" s="18">
        <f>IF($Z549="","",IF(AND(DATE($AD549,12,1)&gt;=$AE549,DATE($AD549,12,1)&lt;=$AF549),ROUND($AG549,2),0))</f>
        <v/>
      </c>
      <c r="V549" s="7">
        <f>IF($Z549="C","Generated from "&amp;INDEX(Contracts!$A$2:$A$151,$AB549),IF($Z549="A","Generated from "&amp;INDEX(Fixed_Assets!$A$2:$A$201,$AB549),IF($Z549="F","Generated from "&amp;INDEX(FTE_Allocation!$A$2:$A$201,$AB549),"")))</f>
        <v/>
      </c>
      <c r="X549" s="19">
        <f>IF($Z549="","",SUM(J549:U549))</f>
        <v/>
      </c>
      <c r="Y549" s="20">
        <f>ROW()-1</f>
        <v/>
      </c>
      <c r="Z549" s="20">
        <f>IF($Y549&lt;=Settings!$B$4*3,"C",IF($Y549&lt;=(Settings!$B$4+Settings!$B$5)*3,"A",IF($Y549&lt;=(Settings!$B$4+Settings!$B$5+Settings!$B$6)*3,"F","")))</f>
        <v/>
      </c>
      <c r="AA549" s="20">
        <f>IF($Z549="C",$Y549,IF($Z549="A",$Y549-Settings!$B$4*3,IF($Z549="F",$Y549-(Settings!$B$4+Settings!$B$5)*3,"")))</f>
        <v/>
      </c>
      <c r="AB549" s="20">
        <f>IF($Z549="","",INT(($AA549-1)/3)+1)</f>
        <v/>
      </c>
      <c r="AC549" s="20">
        <f>IF($Z549="","",MOD($AA549-1,3)+1)</f>
        <v/>
      </c>
      <c r="AD549" s="20">
        <f>IF($Z549="","",Settings!$B$2+$AC549-1)</f>
        <v/>
      </c>
      <c r="AE549" s="21">
        <f>IF($Z549="C",DATE(YEAR(INDEX(Contracts!$J$2:$J$151,$AB549)),MONTH(INDEX(Contracts!$J$2:$J$151,$AB549)),1),IF($Z549="A",DATE(YEAR(INDEX(Fixed_Assets!$G$2:$G$201,$AB549)),MONTH(INDEX(Fixed_Assets!$G$2:$G$201,$AB549)),1),IF($Z549="F",DATE(YEAR(MAX(N(INDEX(Workforce!$I$2:$I$151,MATCH(INDEX(FTE_Allocation!$A$2:$A$201,$AB549),Workforce!$A$2:$A$151,0))),N(INDEX(FTE_Allocation!$I$2:$I$201,$AB549)))),MONTH(MAX(N(INDEX(Workforce!$I$2:$I$151,MATCH(INDEX(FTE_Allocation!$A$2:$A$201,$AB549),Workforce!$A$2:$A$151,0))),N(INDEX(FTE_Allocation!$I$2:$I$201,$AB549)))),1),"")))</f>
        <v/>
      </c>
      <c r="AF549" s="21">
        <f>IF($Z549="C",IF(INDEX(Contracts!$I$2:$I$151,$AB549)="PREPAID",EDATE(DATE(YEAR(INDEX(Contracts!$J$2:$J$151,$AB549)),MONTH(INDEX(Contracts!$J$2:$J$151,$AB549)),1),IF(INDEX(Contracts!$N$2:$N$151,$AB549)="",12,INDEX(Contracts!$N$2:$N$151,$AB549))-1),IF(INDEX(Contracts!$I$2:$I$151,$AB549)="MONTHLY",IF(INDEX(Contracts!$K$2:$K$151,$AB549)="",2958101,INDEX(Contracts!$K$2:$K$151,$AB549)),0)),IF($Z549="A",EDATE(DATE(YEAR(INDEX(Fixed_Assets!$G$2:$G$201,$AB549)),MONTH(INDEX(Fixed_Assets!$G$2:$G$201,$AB549)),1),INDEX(Fixed_Assets!$J$2:$J$201,$AB549)-1),IF($Z549="F",MIN(IF(INDEX(Workforce!$J$2:$J$151,MATCH(INDEX(FTE_Allocation!$A$2:$A$201,$AB549),Workforce!$A$2:$A$151,0))="",2958101,INDEX(Workforce!$J$2:$J$151,MATCH(INDEX(FTE_Allocation!$A$2:$A$201,$AB549),Workforce!$A$2:$A$151,0))),IF(INDEX(FTE_Allocation!$J$2:$J$201,$AB549)="",2958101,INDEX(FTE_Allocation!$J$2:$J$201,$AB549))),"")))</f>
        <v/>
      </c>
      <c r="AG549" s="19">
        <f>IF($Z549="C",IF(INDEX(Contracts!$I$2:$I$151,$AB549)="PREPAID",INDEX(Contracts!$M$2:$M$151,$AB549)/IF(INDEX(Contracts!$N$2:$N$151,$AB549)="",12,INDEX(Contracts!$N$2:$N$151,$AB549)),IF(INDEX(Contracts!$I$2:$I$151,$AB549)="MONTHLY",INDEX(Contracts!$M$2:$M$151,$AB549),0))*(1-N(INDEX(Contracts!$O$2:$O$151,$AB549))),IF($Z549="A",INDEX(Fixed_Assets!$H$2:$H$201,$AB549)/INDEX(Fixed_Assets!$J$2:$J$201,$AB549),IF($Z549="F",INDEX(Workforce!$F$2:$F$151,MATCH(INDEX(FTE_Allocation!$A$2:$A$201,$AB549),Workforce!$A$2:$A$151,0))*N(INDEX(FTE_Allocation!$F$2:$H$201,$AB549,$AC549)),"")))</f>
        <v/>
      </c>
    </row>
    <row r="550">
      <c r="A550" s="7">
        <f>IF($Z550="","",$AD550)</f>
        <v/>
      </c>
      <c r="B550" s="7">
        <f>IF($Z550="C",INDEX(Contracts!$D$2:$D$151,$AB550)&amp;"",IF($Z550="A",INDEX(Fixed_Assets!$C$2:$C$201,$AB550)&amp;"",IF($Z550="F",INDEX(Workforce!$B$2:$B$151,MATCH(INDEX(FTE_Allocation!$A$2:$A$201,$AB550),Workforce!$A$2:$A$151,0))&amp;"","")))</f>
        <v/>
      </c>
      <c r="C550" s="7">
        <f>IF($Z550="C",INDEX(Contracts!$E$2:$E$151,$AB550)&amp;"",IF($Z550="A",INDEX(Fixed_Assets!$D$2:$D$201,$AB550)&amp;"",IF($Z550="F",INDEX(FTE_Allocation!$C$2:$C$201,$AB550)&amp;"","")))</f>
        <v/>
      </c>
      <c r="D550" s="7">
        <f>IF($Z550="C",INDEX(Contracts!$B$2:$B$151,$AB550)&amp;"",IF($Z550="A",INDEX(Fixed_Assets!$B$2:$B$201,$AB550)&amp;"",IF($Z550="F",INDEX(FTE_Allocation!$B$2:$B$201,$AB550)&amp;"","")))</f>
        <v/>
      </c>
      <c r="E550" s="7">
        <f>IF($Z550="C",INDEX(Contracts!$P$2:$P$151,$AB550)&amp;"",IF($Z550="A",INDEX(Fixed_Assets!$K$2:$K$201,$AB550)&amp;"",IF($Z550="F",IF(INDEX(FTE_Allocation!$D$2:$D$201,$AB550)="PROJECT",IFERROR(INDEX(Projects!$D:$D,MATCH(INDEX(FTE_Allocation!$E$2:$E$201,$AB550),Projects!$A:$A,0))&amp;"","#PROJECT?"),INDEX(FTE_Allocation!$E$2:$E$201,$AB550)&amp;""),"")))</f>
        <v/>
      </c>
      <c r="F550" s="7">
        <f>IF($Z550="C",INDEX(Contracts!$Q$2:$Q$151,$AB550)&amp;"",IF($Z550="A",INDEX(Fixed_Assets!$L$2:$L$201,$AB550)&amp;"",IF($Z550="F",INDEX(Workforce!$K$2:$K$151,MATCH(INDEX(FTE_Allocation!$A$2:$A$201,$AB550),Workforce!$A$2:$A$151,0))&amp;"","")))</f>
        <v/>
      </c>
      <c r="G550" s="7">
        <f>IF($Z550="C",INDEX(Contracts!$F$2:$F$151,$AB550)&amp;" / "&amp;INDEX(Contracts!$G$2:$G$151,$AB550),IF($Z550="A",INDEX(Fixed_Assets!$E$2:$E$201,$AB550)&amp;"",IF($Z550="F","Personnel "&amp;INDEX(FTE_Allocation!$A$2:$A$201,$AB550)&amp;IF(INDEX(FTE_Allocation!$D$2:$D$201,$AB550)="PROJECT"," ("&amp;INDEX(FTE_Allocation!$E$2:$E$201,$AB550)&amp;")",""),"")))</f>
        <v/>
      </c>
      <c r="H550" s="7">
        <f>IF($Z550="C","CONTRACT",IF($Z550="A","ASSET",IF($Z550="F","WORKFORCE","")))</f>
        <v/>
      </c>
      <c r="I550" s="7">
        <f>IF($Z550="C",INDEX(Contracts!$L$2:$L$151,$AB550)&amp;"",IF($Z550="A",INDEX(Fixed_Assets!$I$2:$I$201,$AB550)&amp;"",IF($Z550="F",INDEX(Workforce!$G$2:$G$151,MATCH(INDEX(FTE_Allocation!$A$2:$A$201,$AB550),Workforce!$A$2:$A$151,0))&amp;"","")))</f>
        <v/>
      </c>
      <c r="J550" s="18">
        <f>IF($Z550="","",IF(AND(DATE($AD550,1,1)&gt;=$AE550,DATE($AD550,1,1)&lt;=$AF550),ROUND($AG550,2),0))</f>
        <v/>
      </c>
      <c r="K550" s="18">
        <f>IF($Z550="","",IF(AND(DATE($AD550,2,1)&gt;=$AE550,DATE($AD550,2,1)&lt;=$AF550),ROUND($AG550,2),0))</f>
        <v/>
      </c>
      <c r="L550" s="18">
        <f>IF($Z550="","",IF(AND(DATE($AD550,3,1)&gt;=$AE550,DATE($AD550,3,1)&lt;=$AF550),ROUND($AG550,2),0))</f>
        <v/>
      </c>
      <c r="M550" s="18">
        <f>IF($Z550="","",IF(AND(DATE($AD550,4,1)&gt;=$AE550,DATE($AD550,4,1)&lt;=$AF550),ROUND($AG550,2),0))</f>
        <v/>
      </c>
      <c r="N550" s="18">
        <f>IF($Z550="","",IF(AND(DATE($AD550,5,1)&gt;=$AE550,DATE($AD550,5,1)&lt;=$AF550),ROUND($AG550,2),0))</f>
        <v/>
      </c>
      <c r="O550" s="18">
        <f>IF($Z550="","",IF(AND(DATE($AD550,6,1)&gt;=$AE550,DATE($AD550,6,1)&lt;=$AF550),ROUND($AG550,2),0))</f>
        <v/>
      </c>
      <c r="P550" s="18">
        <f>IF($Z550="","",IF(AND(DATE($AD550,7,1)&gt;=$AE550,DATE($AD550,7,1)&lt;=$AF550),ROUND($AG550,2),0))</f>
        <v/>
      </c>
      <c r="Q550" s="18">
        <f>IF($Z550="","",IF(AND(DATE($AD550,8,1)&gt;=$AE550,DATE($AD550,8,1)&lt;=$AF550),ROUND($AG550,2),0))</f>
        <v/>
      </c>
      <c r="R550" s="18">
        <f>IF($Z550="","",IF(AND(DATE($AD550,9,1)&gt;=$AE550,DATE($AD550,9,1)&lt;=$AF550),ROUND($AG550,2),0))</f>
        <v/>
      </c>
      <c r="S550" s="18">
        <f>IF($Z550="","",IF(AND(DATE($AD550,10,1)&gt;=$AE550,DATE($AD550,10,1)&lt;=$AF550),ROUND($AG550,2),0))</f>
        <v/>
      </c>
      <c r="T550" s="18">
        <f>IF($Z550="","",IF(AND(DATE($AD550,11,1)&gt;=$AE550,DATE($AD550,11,1)&lt;=$AF550),ROUND($AG550,2),0))</f>
        <v/>
      </c>
      <c r="U550" s="18">
        <f>IF($Z550="","",IF(AND(DATE($AD550,12,1)&gt;=$AE550,DATE($AD550,12,1)&lt;=$AF550),ROUND($AG550,2),0))</f>
        <v/>
      </c>
      <c r="V550" s="7">
        <f>IF($Z550="C","Generated from "&amp;INDEX(Contracts!$A$2:$A$151,$AB550),IF($Z550="A","Generated from "&amp;INDEX(Fixed_Assets!$A$2:$A$201,$AB550),IF($Z550="F","Generated from "&amp;INDEX(FTE_Allocation!$A$2:$A$201,$AB550),"")))</f>
        <v/>
      </c>
      <c r="X550" s="19">
        <f>IF($Z550="","",SUM(J550:U550))</f>
        <v/>
      </c>
      <c r="Y550" s="20">
        <f>ROW()-1</f>
        <v/>
      </c>
      <c r="Z550" s="20">
        <f>IF($Y550&lt;=Settings!$B$4*3,"C",IF($Y550&lt;=(Settings!$B$4+Settings!$B$5)*3,"A",IF($Y550&lt;=(Settings!$B$4+Settings!$B$5+Settings!$B$6)*3,"F","")))</f>
        <v/>
      </c>
      <c r="AA550" s="20">
        <f>IF($Z550="C",$Y550,IF($Z550="A",$Y550-Settings!$B$4*3,IF($Z550="F",$Y550-(Settings!$B$4+Settings!$B$5)*3,"")))</f>
        <v/>
      </c>
      <c r="AB550" s="20">
        <f>IF($Z550="","",INT(($AA550-1)/3)+1)</f>
        <v/>
      </c>
      <c r="AC550" s="20">
        <f>IF($Z550="","",MOD($AA550-1,3)+1)</f>
        <v/>
      </c>
      <c r="AD550" s="20">
        <f>IF($Z550="","",Settings!$B$2+$AC550-1)</f>
        <v/>
      </c>
      <c r="AE550" s="21">
        <f>IF($Z550="C",DATE(YEAR(INDEX(Contracts!$J$2:$J$151,$AB550)),MONTH(INDEX(Contracts!$J$2:$J$151,$AB550)),1),IF($Z550="A",DATE(YEAR(INDEX(Fixed_Assets!$G$2:$G$201,$AB550)),MONTH(INDEX(Fixed_Assets!$G$2:$G$201,$AB550)),1),IF($Z550="F",DATE(YEAR(MAX(N(INDEX(Workforce!$I$2:$I$151,MATCH(INDEX(FTE_Allocation!$A$2:$A$201,$AB550),Workforce!$A$2:$A$151,0))),N(INDEX(FTE_Allocation!$I$2:$I$201,$AB550)))),MONTH(MAX(N(INDEX(Workforce!$I$2:$I$151,MATCH(INDEX(FTE_Allocation!$A$2:$A$201,$AB550),Workforce!$A$2:$A$151,0))),N(INDEX(FTE_Allocation!$I$2:$I$201,$AB550)))),1),"")))</f>
        <v/>
      </c>
      <c r="AF550" s="21">
        <f>IF($Z550="C",IF(INDEX(Contracts!$I$2:$I$151,$AB550)="PREPAID",EDATE(DATE(YEAR(INDEX(Contracts!$J$2:$J$151,$AB550)),MONTH(INDEX(Contracts!$J$2:$J$151,$AB550)),1),IF(INDEX(Contracts!$N$2:$N$151,$AB550)="",12,INDEX(Contracts!$N$2:$N$151,$AB550))-1),IF(INDEX(Contracts!$I$2:$I$151,$AB550)="MONTHLY",IF(INDEX(Contracts!$K$2:$K$151,$AB550)="",2958101,INDEX(Contracts!$K$2:$K$151,$AB550)),0)),IF($Z550="A",EDATE(DATE(YEAR(INDEX(Fixed_Assets!$G$2:$G$201,$AB550)),MONTH(INDEX(Fixed_Assets!$G$2:$G$201,$AB550)),1),INDEX(Fixed_Assets!$J$2:$J$201,$AB550)-1),IF($Z550="F",MIN(IF(INDEX(Workforce!$J$2:$J$151,MATCH(INDEX(FTE_Allocation!$A$2:$A$201,$AB550),Workforce!$A$2:$A$151,0))="",2958101,INDEX(Workforce!$J$2:$J$151,MATCH(INDEX(FTE_Allocation!$A$2:$A$201,$AB550),Workforce!$A$2:$A$151,0))),IF(INDEX(FTE_Allocation!$J$2:$J$201,$AB550)="",2958101,INDEX(FTE_Allocation!$J$2:$J$201,$AB550))),"")))</f>
        <v/>
      </c>
      <c r="AG550" s="19">
        <f>IF($Z550="C",IF(INDEX(Contracts!$I$2:$I$151,$AB550)="PREPAID",INDEX(Contracts!$M$2:$M$151,$AB550)/IF(INDEX(Contracts!$N$2:$N$151,$AB550)="",12,INDEX(Contracts!$N$2:$N$151,$AB550)),IF(INDEX(Contracts!$I$2:$I$151,$AB550)="MONTHLY",INDEX(Contracts!$M$2:$M$151,$AB550),0))*(1-N(INDEX(Contracts!$O$2:$O$151,$AB550))),IF($Z550="A",INDEX(Fixed_Assets!$H$2:$H$201,$AB550)/INDEX(Fixed_Assets!$J$2:$J$201,$AB550),IF($Z550="F",INDEX(Workforce!$F$2:$F$151,MATCH(INDEX(FTE_Allocation!$A$2:$A$201,$AB550),Workforce!$A$2:$A$151,0))*N(INDEX(FTE_Allocation!$F$2:$H$201,$AB550,$AC550)),"")))</f>
        <v/>
      </c>
    </row>
    <row r="551">
      <c r="A551" s="7">
        <f>IF($Z551="","",$AD551)</f>
        <v/>
      </c>
      <c r="B551" s="7">
        <f>IF($Z551="C",INDEX(Contracts!$D$2:$D$151,$AB551)&amp;"",IF($Z551="A",INDEX(Fixed_Assets!$C$2:$C$201,$AB551)&amp;"",IF($Z551="F",INDEX(Workforce!$B$2:$B$151,MATCH(INDEX(FTE_Allocation!$A$2:$A$201,$AB551),Workforce!$A$2:$A$151,0))&amp;"","")))</f>
        <v/>
      </c>
      <c r="C551" s="7">
        <f>IF($Z551="C",INDEX(Contracts!$E$2:$E$151,$AB551)&amp;"",IF($Z551="A",INDEX(Fixed_Assets!$D$2:$D$201,$AB551)&amp;"",IF($Z551="F",INDEX(FTE_Allocation!$C$2:$C$201,$AB551)&amp;"","")))</f>
        <v/>
      </c>
      <c r="D551" s="7">
        <f>IF($Z551="C",INDEX(Contracts!$B$2:$B$151,$AB551)&amp;"",IF($Z551="A",INDEX(Fixed_Assets!$B$2:$B$201,$AB551)&amp;"",IF($Z551="F",INDEX(FTE_Allocation!$B$2:$B$201,$AB551)&amp;"","")))</f>
        <v/>
      </c>
      <c r="E551" s="7">
        <f>IF($Z551="C",INDEX(Contracts!$P$2:$P$151,$AB551)&amp;"",IF($Z551="A",INDEX(Fixed_Assets!$K$2:$K$201,$AB551)&amp;"",IF($Z551="F",IF(INDEX(FTE_Allocation!$D$2:$D$201,$AB551)="PROJECT",IFERROR(INDEX(Projects!$D:$D,MATCH(INDEX(FTE_Allocation!$E$2:$E$201,$AB551),Projects!$A:$A,0))&amp;"","#PROJECT?"),INDEX(FTE_Allocation!$E$2:$E$201,$AB551)&amp;""),"")))</f>
        <v/>
      </c>
      <c r="F551" s="7">
        <f>IF($Z551="C",INDEX(Contracts!$Q$2:$Q$151,$AB551)&amp;"",IF($Z551="A",INDEX(Fixed_Assets!$L$2:$L$201,$AB551)&amp;"",IF($Z551="F",INDEX(Workforce!$K$2:$K$151,MATCH(INDEX(FTE_Allocation!$A$2:$A$201,$AB551),Workforce!$A$2:$A$151,0))&amp;"","")))</f>
        <v/>
      </c>
      <c r="G551" s="7">
        <f>IF($Z551="C",INDEX(Contracts!$F$2:$F$151,$AB551)&amp;" / "&amp;INDEX(Contracts!$G$2:$G$151,$AB551),IF($Z551="A",INDEX(Fixed_Assets!$E$2:$E$201,$AB551)&amp;"",IF($Z551="F","Personnel "&amp;INDEX(FTE_Allocation!$A$2:$A$201,$AB551)&amp;IF(INDEX(FTE_Allocation!$D$2:$D$201,$AB551)="PROJECT"," ("&amp;INDEX(FTE_Allocation!$E$2:$E$201,$AB551)&amp;")",""),"")))</f>
        <v/>
      </c>
      <c r="H551" s="7">
        <f>IF($Z551="C","CONTRACT",IF($Z551="A","ASSET",IF($Z551="F","WORKFORCE","")))</f>
        <v/>
      </c>
      <c r="I551" s="7">
        <f>IF($Z551="C",INDEX(Contracts!$L$2:$L$151,$AB551)&amp;"",IF($Z551="A",INDEX(Fixed_Assets!$I$2:$I$201,$AB551)&amp;"",IF($Z551="F",INDEX(Workforce!$G$2:$G$151,MATCH(INDEX(FTE_Allocation!$A$2:$A$201,$AB551),Workforce!$A$2:$A$151,0))&amp;"","")))</f>
        <v/>
      </c>
      <c r="J551" s="18">
        <f>IF($Z551="","",IF(AND(DATE($AD551,1,1)&gt;=$AE551,DATE($AD551,1,1)&lt;=$AF551),ROUND($AG551,2),0))</f>
        <v/>
      </c>
      <c r="K551" s="18">
        <f>IF($Z551="","",IF(AND(DATE($AD551,2,1)&gt;=$AE551,DATE($AD551,2,1)&lt;=$AF551),ROUND($AG551,2),0))</f>
        <v/>
      </c>
      <c r="L551" s="18">
        <f>IF($Z551="","",IF(AND(DATE($AD551,3,1)&gt;=$AE551,DATE($AD551,3,1)&lt;=$AF551),ROUND($AG551,2),0))</f>
        <v/>
      </c>
      <c r="M551" s="18">
        <f>IF($Z551="","",IF(AND(DATE($AD551,4,1)&gt;=$AE551,DATE($AD551,4,1)&lt;=$AF551),ROUND($AG551,2),0))</f>
        <v/>
      </c>
      <c r="N551" s="18">
        <f>IF($Z551="","",IF(AND(DATE($AD551,5,1)&gt;=$AE551,DATE($AD551,5,1)&lt;=$AF551),ROUND($AG551,2),0))</f>
        <v/>
      </c>
      <c r="O551" s="18">
        <f>IF($Z551="","",IF(AND(DATE($AD551,6,1)&gt;=$AE551,DATE($AD551,6,1)&lt;=$AF551),ROUND($AG551,2),0))</f>
        <v/>
      </c>
      <c r="P551" s="18">
        <f>IF($Z551="","",IF(AND(DATE($AD551,7,1)&gt;=$AE551,DATE($AD551,7,1)&lt;=$AF551),ROUND($AG551,2),0))</f>
        <v/>
      </c>
      <c r="Q551" s="18">
        <f>IF($Z551="","",IF(AND(DATE($AD551,8,1)&gt;=$AE551,DATE($AD551,8,1)&lt;=$AF551),ROUND($AG551,2),0))</f>
        <v/>
      </c>
      <c r="R551" s="18">
        <f>IF($Z551="","",IF(AND(DATE($AD551,9,1)&gt;=$AE551,DATE($AD551,9,1)&lt;=$AF551),ROUND($AG551,2),0))</f>
        <v/>
      </c>
      <c r="S551" s="18">
        <f>IF($Z551="","",IF(AND(DATE($AD551,10,1)&gt;=$AE551,DATE($AD551,10,1)&lt;=$AF551),ROUND($AG551,2),0))</f>
        <v/>
      </c>
      <c r="T551" s="18">
        <f>IF($Z551="","",IF(AND(DATE($AD551,11,1)&gt;=$AE551,DATE($AD551,11,1)&lt;=$AF551),ROUND($AG551,2),0))</f>
        <v/>
      </c>
      <c r="U551" s="18">
        <f>IF($Z551="","",IF(AND(DATE($AD551,12,1)&gt;=$AE551,DATE($AD551,12,1)&lt;=$AF551),ROUND($AG551,2),0))</f>
        <v/>
      </c>
      <c r="V551" s="7">
        <f>IF($Z551="C","Generated from "&amp;INDEX(Contracts!$A$2:$A$151,$AB551),IF($Z551="A","Generated from "&amp;INDEX(Fixed_Assets!$A$2:$A$201,$AB551),IF($Z551="F","Generated from "&amp;INDEX(FTE_Allocation!$A$2:$A$201,$AB551),"")))</f>
        <v/>
      </c>
      <c r="X551" s="19">
        <f>IF($Z551="","",SUM(J551:U551))</f>
        <v/>
      </c>
      <c r="Y551" s="20">
        <f>ROW()-1</f>
        <v/>
      </c>
      <c r="Z551" s="20">
        <f>IF($Y551&lt;=Settings!$B$4*3,"C",IF($Y551&lt;=(Settings!$B$4+Settings!$B$5)*3,"A",IF($Y551&lt;=(Settings!$B$4+Settings!$B$5+Settings!$B$6)*3,"F","")))</f>
        <v/>
      </c>
      <c r="AA551" s="20">
        <f>IF($Z551="C",$Y551,IF($Z551="A",$Y551-Settings!$B$4*3,IF($Z551="F",$Y551-(Settings!$B$4+Settings!$B$5)*3,"")))</f>
        <v/>
      </c>
      <c r="AB551" s="20">
        <f>IF($Z551="","",INT(($AA551-1)/3)+1)</f>
        <v/>
      </c>
      <c r="AC551" s="20">
        <f>IF($Z551="","",MOD($AA551-1,3)+1)</f>
        <v/>
      </c>
      <c r="AD551" s="20">
        <f>IF($Z551="","",Settings!$B$2+$AC551-1)</f>
        <v/>
      </c>
      <c r="AE551" s="21">
        <f>IF($Z551="C",DATE(YEAR(INDEX(Contracts!$J$2:$J$151,$AB551)),MONTH(INDEX(Contracts!$J$2:$J$151,$AB551)),1),IF($Z551="A",DATE(YEAR(INDEX(Fixed_Assets!$G$2:$G$201,$AB551)),MONTH(INDEX(Fixed_Assets!$G$2:$G$201,$AB551)),1),IF($Z551="F",DATE(YEAR(MAX(N(INDEX(Workforce!$I$2:$I$151,MATCH(INDEX(FTE_Allocation!$A$2:$A$201,$AB551),Workforce!$A$2:$A$151,0))),N(INDEX(FTE_Allocation!$I$2:$I$201,$AB551)))),MONTH(MAX(N(INDEX(Workforce!$I$2:$I$151,MATCH(INDEX(FTE_Allocation!$A$2:$A$201,$AB551),Workforce!$A$2:$A$151,0))),N(INDEX(FTE_Allocation!$I$2:$I$201,$AB551)))),1),"")))</f>
        <v/>
      </c>
      <c r="AF551" s="21">
        <f>IF($Z551="C",IF(INDEX(Contracts!$I$2:$I$151,$AB551)="PREPAID",EDATE(DATE(YEAR(INDEX(Contracts!$J$2:$J$151,$AB551)),MONTH(INDEX(Contracts!$J$2:$J$151,$AB551)),1),IF(INDEX(Contracts!$N$2:$N$151,$AB551)="",12,INDEX(Contracts!$N$2:$N$151,$AB551))-1),IF(INDEX(Contracts!$I$2:$I$151,$AB551)="MONTHLY",IF(INDEX(Contracts!$K$2:$K$151,$AB551)="",2958101,INDEX(Contracts!$K$2:$K$151,$AB551)),0)),IF($Z551="A",EDATE(DATE(YEAR(INDEX(Fixed_Assets!$G$2:$G$201,$AB551)),MONTH(INDEX(Fixed_Assets!$G$2:$G$201,$AB551)),1),INDEX(Fixed_Assets!$J$2:$J$201,$AB551)-1),IF($Z551="F",MIN(IF(INDEX(Workforce!$J$2:$J$151,MATCH(INDEX(FTE_Allocation!$A$2:$A$201,$AB551),Workforce!$A$2:$A$151,0))="",2958101,INDEX(Workforce!$J$2:$J$151,MATCH(INDEX(FTE_Allocation!$A$2:$A$201,$AB551),Workforce!$A$2:$A$151,0))),IF(INDEX(FTE_Allocation!$J$2:$J$201,$AB551)="",2958101,INDEX(FTE_Allocation!$J$2:$J$201,$AB551))),"")))</f>
        <v/>
      </c>
      <c r="AG551" s="19">
        <f>IF($Z551="C",IF(INDEX(Contracts!$I$2:$I$151,$AB551)="PREPAID",INDEX(Contracts!$M$2:$M$151,$AB551)/IF(INDEX(Contracts!$N$2:$N$151,$AB551)="",12,INDEX(Contracts!$N$2:$N$151,$AB551)),IF(INDEX(Contracts!$I$2:$I$151,$AB551)="MONTHLY",INDEX(Contracts!$M$2:$M$151,$AB551),0))*(1-N(INDEX(Contracts!$O$2:$O$151,$AB551))),IF($Z551="A",INDEX(Fixed_Assets!$H$2:$H$201,$AB551)/INDEX(Fixed_Assets!$J$2:$J$201,$AB551),IF($Z551="F",INDEX(Workforce!$F$2:$F$151,MATCH(INDEX(FTE_Allocation!$A$2:$A$201,$AB551),Workforce!$A$2:$A$151,0))*N(INDEX(FTE_Allocation!$F$2:$H$201,$AB551,$AC551)),"")))</f>
        <v/>
      </c>
    </row>
    <row r="552">
      <c r="A552" s="7">
        <f>IF($Z552="","",$AD552)</f>
        <v/>
      </c>
      <c r="B552" s="7">
        <f>IF($Z552="C",INDEX(Contracts!$D$2:$D$151,$AB552)&amp;"",IF($Z552="A",INDEX(Fixed_Assets!$C$2:$C$201,$AB552)&amp;"",IF($Z552="F",INDEX(Workforce!$B$2:$B$151,MATCH(INDEX(FTE_Allocation!$A$2:$A$201,$AB552),Workforce!$A$2:$A$151,0))&amp;"","")))</f>
        <v/>
      </c>
      <c r="C552" s="7">
        <f>IF($Z552="C",INDEX(Contracts!$E$2:$E$151,$AB552)&amp;"",IF($Z552="A",INDEX(Fixed_Assets!$D$2:$D$201,$AB552)&amp;"",IF($Z552="F",INDEX(FTE_Allocation!$C$2:$C$201,$AB552)&amp;"","")))</f>
        <v/>
      </c>
      <c r="D552" s="7">
        <f>IF($Z552="C",INDEX(Contracts!$B$2:$B$151,$AB552)&amp;"",IF($Z552="A",INDEX(Fixed_Assets!$B$2:$B$201,$AB552)&amp;"",IF($Z552="F",INDEX(FTE_Allocation!$B$2:$B$201,$AB552)&amp;"","")))</f>
        <v/>
      </c>
      <c r="E552" s="7">
        <f>IF($Z552="C",INDEX(Contracts!$P$2:$P$151,$AB552)&amp;"",IF($Z552="A",INDEX(Fixed_Assets!$K$2:$K$201,$AB552)&amp;"",IF($Z552="F",IF(INDEX(FTE_Allocation!$D$2:$D$201,$AB552)="PROJECT",IFERROR(INDEX(Projects!$D:$D,MATCH(INDEX(FTE_Allocation!$E$2:$E$201,$AB552),Projects!$A:$A,0))&amp;"","#PROJECT?"),INDEX(FTE_Allocation!$E$2:$E$201,$AB552)&amp;""),"")))</f>
        <v/>
      </c>
      <c r="F552" s="7">
        <f>IF($Z552="C",INDEX(Contracts!$Q$2:$Q$151,$AB552)&amp;"",IF($Z552="A",INDEX(Fixed_Assets!$L$2:$L$201,$AB552)&amp;"",IF($Z552="F",INDEX(Workforce!$K$2:$K$151,MATCH(INDEX(FTE_Allocation!$A$2:$A$201,$AB552),Workforce!$A$2:$A$151,0))&amp;"","")))</f>
        <v/>
      </c>
      <c r="G552" s="7">
        <f>IF($Z552="C",INDEX(Contracts!$F$2:$F$151,$AB552)&amp;" / "&amp;INDEX(Contracts!$G$2:$G$151,$AB552),IF($Z552="A",INDEX(Fixed_Assets!$E$2:$E$201,$AB552)&amp;"",IF($Z552="F","Personnel "&amp;INDEX(FTE_Allocation!$A$2:$A$201,$AB552)&amp;IF(INDEX(FTE_Allocation!$D$2:$D$201,$AB552)="PROJECT"," ("&amp;INDEX(FTE_Allocation!$E$2:$E$201,$AB552)&amp;")",""),"")))</f>
        <v/>
      </c>
      <c r="H552" s="7">
        <f>IF($Z552="C","CONTRACT",IF($Z552="A","ASSET",IF($Z552="F","WORKFORCE","")))</f>
        <v/>
      </c>
      <c r="I552" s="7">
        <f>IF($Z552="C",INDEX(Contracts!$L$2:$L$151,$AB552)&amp;"",IF($Z552="A",INDEX(Fixed_Assets!$I$2:$I$201,$AB552)&amp;"",IF($Z552="F",INDEX(Workforce!$G$2:$G$151,MATCH(INDEX(FTE_Allocation!$A$2:$A$201,$AB552),Workforce!$A$2:$A$151,0))&amp;"","")))</f>
        <v/>
      </c>
      <c r="J552" s="18">
        <f>IF($Z552="","",IF(AND(DATE($AD552,1,1)&gt;=$AE552,DATE($AD552,1,1)&lt;=$AF552),ROUND($AG552,2),0))</f>
        <v/>
      </c>
      <c r="K552" s="18">
        <f>IF($Z552="","",IF(AND(DATE($AD552,2,1)&gt;=$AE552,DATE($AD552,2,1)&lt;=$AF552),ROUND($AG552,2),0))</f>
        <v/>
      </c>
      <c r="L552" s="18">
        <f>IF($Z552="","",IF(AND(DATE($AD552,3,1)&gt;=$AE552,DATE($AD552,3,1)&lt;=$AF552),ROUND($AG552,2),0))</f>
        <v/>
      </c>
      <c r="M552" s="18">
        <f>IF($Z552="","",IF(AND(DATE($AD552,4,1)&gt;=$AE552,DATE($AD552,4,1)&lt;=$AF552),ROUND($AG552,2),0))</f>
        <v/>
      </c>
      <c r="N552" s="18">
        <f>IF($Z552="","",IF(AND(DATE($AD552,5,1)&gt;=$AE552,DATE($AD552,5,1)&lt;=$AF552),ROUND($AG552,2),0))</f>
        <v/>
      </c>
      <c r="O552" s="18">
        <f>IF($Z552="","",IF(AND(DATE($AD552,6,1)&gt;=$AE552,DATE($AD552,6,1)&lt;=$AF552),ROUND($AG552,2),0))</f>
        <v/>
      </c>
      <c r="P552" s="18">
        <f>IF($Z552="","",IF(AND(DATE($AD552,7,1)&gt;=$AE552,DATE($AD552,7,1)&lt;=$AF552),ROUND($AG552,2),0))</f>
        <v/>
      </c>
      <c r="Q552" s="18">
        <f>IF($Z552="","",IF(AND(DATE($AD552,8,1)&gt;=$AE552,DATE($AD552,8,1)&lt;=$AF552),ROUND($AG552,2),0))</f>
        <v/>
      </c>
      <c r="R552" s="18">
        <f>IF($Z552="","",IF(AND(DATE($AD552,9,1)&gt;=$AE552,DATE($AD552,9,1)&lt;=$AF552),ROUND($AG552,2),0))</f>
        <v/>
      </c>
      <c r="S552" s="18">
        <f>IF($Z552="","",IF(AND(DATE($AD552,10,1)&gt;=$AE552,DATE($AD552,10,1)&lt;=$AF552),ROUND($AG552,2),0))</f>
        <v/>
      </c>
      <c r="T552" s="18">
        <f>IF($Z552="","",IF(AND(DATE($AD552,11,1)&gt;=$AE552,DATE($AD552,11,1)&lt;=$AF552),ROUND($AG552,2),0))</f>
        <v/>
      </c>
      <c r="U552" s="18">
        <f>IF($Z552="","",IF(AND(DATE($AD552,12,1)&gt;=$AE552,DATE($AD552,12,1)&lt;=$AF552),ROUND($AG552,2),0))</f>
        <v/>
      </c>
      <c r="V552" s="7">
        <f>IF($Z552="C","Generated from "&amp;INDEX(Contracts!$A$2:$A$151,$AB552),IF($Z552="A","Generated from "&amp;INDEX(Fixed_Assets!$A$2:$A$201,$AB552),IF($Z552="F","Generated from "&amp;INDEX(FTE_Allocation!$A$2:$A$201,$AB552),"")))</f>
        <v/>
      </c>
      <c r="X552" s="19">
        <f>IF($Z552="","",SUM(J552:U552))</f>
        <v/>
      </c>
      <c r="Y552" s="20">
        <f>ROW()-1</f>
        <v/>
      </c>
      <c r="Z552" s="20">
        <f>IF($Y552&lt;=Settings!$B$4*3,"C",IF($Y552&lt;=(Settings!$B$4+Settings!$B$5)*3,"A",IF($Y552&lt;=(Settings!$B$4+Settings!$B$5+Settings!$B$6)*3,"F","")))</f>
        <v/>
      </c>
      <c r="AA552" s="20">
        <f>IF($Z552="C",$Y552,IF($Z552="A",$Y552-Settings!$B$4*3,IF($Z552="F",$Y552-(Settings!$B$4+Settings!$B$5)*3,"")))</f>
        <v/>
      </c>
      <c r="AB552" s="20">
        <f>IF($Z552="","",INT(($AA552-1)/3)+1)</f>
        <v/>
      </c>
      <c r="AC552" s="20">
        <f>IF($Z552="","",MOD($AA552-1,3)+1)</f>
        <v/>
      </c>
      <c r="AD552" s="20">
        <f>IF($Z552="","",Settings!$B$2+$AC552-1)</f>
        <v/>
      </c>
      <c r="AE552" s="21">
        <f>IF($Z552="C",DATE(YEAR(INDEX(Contracts!$J$2:$J$151,$AB552)),MONTH(INDEX(Contracts!$J$2:$J$151,$AB552)),1),IF($Z552="A",DATE(YEAR(INDEX(Fixed_Assets!$G$2:$G$201,$AB552)),MONTH(INDEX(Fixed_Assets!$G$2:$G$201,$AB552)),1),IF($Z552="F",DATE(YEAR(MAX(N(INDEX(Workforce!$I$2:$I$151,MATCH(INDEX(FTE_Allocation!$A$2:$A$201,$AB552),Workforce!$A$2:$A$151,0))),N(INDEX(FTE_Allocation!$I$2:$I$201,$AB552)))),MONTH(MAX(N(INDEX(Workforce!$I$2:$I$151,MATCH(INDEX(FTE_Allocation!$A$2:$A$201,$AB552),Workforce!$A$2:$A$151,0))),N(INDEX(FTE_Allocation!$I$2:$I$201,$AB552)))),1),"")))</f>
        <v/>
      </c>
      <c r="AF552" s="21">
        <f>IF($Z552="C",IF(INDEX(Contracts!$I$2:$I$151,$AB552)="PREPAID",EDATE(DATE(YEAR(INDEX(Contracts!$J$2:$J$151,$AB552)),MONTH(INDEX(Contracts!$J$2:$J$151,$AB552)),1),IF(INDEX(Contracts!$N$2:$N$151,$AB552)="",12,INDEX(Contracts!$N$2:$N$151,$AB552))-1),IF(INDEX(Contracts!$I$2:$I$151,$AB552)="MONTHLY",IF(INDEX(Contracts!$K$2:$K$151,$AB552)="",2958101,INDEX(Contracts!$K$2:$K$151,$AB552)),0)),IF($Z552="A",EDATE(DATE(YEAR(INDEX(Fixed_Assets!$G$2:$G$201,$AB552)),MONTH(INDEX(Fixed_Assets!$G$2:$G$201,$AB552)),1),INDEX(Fixed_Assets!$J$2:$J$201,$AB552)-1),IF($Z552="F",MIN(IF(INDEX(Workforce!$J$2:$J$151,MATCH(INDEX(FTE_Allocation!$A$2:$A$201,$AB552),Workforce!$A$2:$A$151,0))="",2958101,INDEX(Workforce!$J$2:$J$151,MATCH(INDEX(FTE_Allocation!$A$2:$A$201,$AB552),Workforce!$A$2:$A$151,0))),IF(INDEX(FTE_Allocation!$J$2:$J$201,$AB552)="",2958101,INDEX(FTE_Allocation!$J$2:$J$201,$AB552))),"")))</f>
        <v/>
      </c>
      <c r="AG552" s="19">
        <f>IF($Z552="C",IF(INDEX(Contracts!$I$2:$I$151,$AB552)="PREPAID",INDEX(Contracts!$M$2:$M$151,$AB552)/IF(INDEX(Contracts!$N$2:$N$151,$AB552)="",12,INDEX(Contracts!$N$2:$N$151,$AB552)),IF(INDEX(Contracts!$I$2:$I$151,$AB552)="MONTHLY",INDEX(Contracts!$M$2:$M$151,$AB552),0))*(1-N(INDEX(Contracts!$O$2:$O$151,$AB552))),IF($Z552="A",INDEX(Fixed_Assets!$H$2:$H$201,$AB552)/INDEX(Fixed_Assets!$J$2:$J$201,$AB552),IF($Z552="F",INDEX(Workforce!$F$2:$F$151,MATCH(INDEX(FTE_Allocation!$A$2:$A$201,$AB552),Workforce!$A$2:$A$151,0))*N(INDEX(FTE_Allocation!$F$2:$H$201,$AB552,$AC552)),"")))</f>
        <v/>
      </c>
    </row>
    <row r="553">
      <c r="A553" s="7">
        <f>IF($Z553="","",$AD553)</f>
        <v/>
      </c>
      <c r="B553" s="7">
        <f>IF($Z553="C",INDEX(Contracts!$D$2:$D$151,$AB553)&amp;"",IF($Z553="A",INDEX(Fixed_Assets!$C$2:$C$201,$AB553)&amp;"",IF($Z553="F",INDEX(Workforce!$B$2:$B$151,MATCH(INDEX(FTE_Allocation!$A$2:$A$201,$AB553),Workforce!$A$2:$A$151,0))&amp;"","")))</f>
        <v/>
      </c>
      <c r="C553" s="7">
        <f>IF($Z553="C",INDEX(Contracts!$E$2:$E$151,$AB553)&amp;"",IF($Z553="A",INDEX(Fixed_Assets!$D$2:$D$201,$AB553)&amp;"",IF($Z553="F",INDEX(FTE_Allocation!$C$2:$C$201,$AB553)&amp;"","")))</f>
        <v/>
      </c>
      <c r="D553" s="7">
        <f>IF($Z553="C",INDEX(Contracts!$B$2:$B$151,$AB553)&amp;"",IF($Z553="A",INDEX(Fixed_Assets!$B$2:$B$201,$AB553)&amp;"",IF($Z553="F",INDEX(FTE_Allocation!$B$2:$B$201,$AB553)&amp;"","")))</f>
        <v/>
      </c>
      <c r="E553" s="7">
        <f>IF($Z553="C",INDEX(Contracts!$P$2:$P$151,$AB553)&amp;"",IF($Z553="A",INDEX(Fixed_Assets!$K$2:$K$201,$AB553)&amp;"",IF($Z553="F",IF(INDEX(FTE_Allocation!$D$2:$D$201,$AB553)="PROJECT",IFERROR(INDEX(Projects!$D:$D,MATCH(INDEX(FTE_Allocation!$E$2:$E$201,$AB553),Projects!$A:$A,0))&amp;"","#PROJECT?"),INDEX(FTE_Allocation!$E$2:$E$201,$AB553)&amp;""),"")))</f>
        <v/>
      </c>
      <c r="F553" s="7">
        <f>IF($Z553="C",INDEX(Contracts!$Q$2:$Q$151,$AB553)&amp;"",IF($Z553="A",INDEX(Fixed_Assets!$L$2:$L$201,$AB553)&amp;"",IF($Z553="F",INDEX(Workforce!$K$2:$K$151,MATCH(INDEX(FTE_Allocation!$A$2:$A$201,$AB553),Workforce!$A$2:$A$151,0))&amp;"","")))</f>
        <v/>
      </c>
      <c r="G553" s="7">
        <f>IF($Z553="C",INDEX(Contracts!$F$2:$F$151,$AB553)&amp;" / "&amp;INDEX(Contracts!$G$2:$G$151,$AB553),IF($Z553="A",INDEX(Fixed_Assets!$E$2:$E$201,$AB553)&amp;"",IF($Z553="F","Personnel "&amp;INDEX(FTE_Allocation!$A$2:$A$201,$AB553)&amp;IF(INDEX(FTE_Allocation!$D$2:$D$201,$AB553)="PROJECT"," ("&amp;INDEX(FTE_Allocation!$E$2:$E$201,$AB553)&amp;")",""),"")))</f>
        <v/>
      </c>
      <c r="H553" s="7">
        <f>IF($Z553="C","CONTRACT",IF($Z553="A","ASSET",IF($Z553="F","WORKFORCE","")))</f>
        <v/>
      </c>
      <c r="I553" s="7">
        <f>IF($Z553="C",INDEX(Contracts!$L$2:$L$151,$AB553)&amp;"",IF($Z553="A",INDEX(Fixed_Assets!$I$2:$I$201,$AB553)&amp;"",IF($Z553="F",INDEX(Workforce!$G$2:$G$151,MATCH(INDEX(FTE_Allocation!$A$2:$A$201,$AB553),Workforce!$A$2:$A$151,0))&amp;"","")))</f>
        <v/>
      </c>
      <c r="J553" s="18">
        <f>IF($Z553="","",IF(AND(DATE($AD553,1,1)&gt;=$AE553,DATE($AD553,1,1)&lt;=$AF553),ROUND($AG553,2),0))</f>
        <v/>
      </c>
      <c r="K553" s="18">
        <f>IF($Z553="","",IF(AND(DATE($AD553,2,1)&gt;=$AE553,DATE($AD553,2,1)&lt;=$AF553),ROUND($AG553,2),0))</f>
        <v/>
      </c>
      <c r="L553" s="18">
        <f>IF($Z553="","",IF(AND(DATE($AD553,3,1)&gt;=$AE553,DATE($AD553,3,1)&lt;=$AF553),ROUND($AG553,2),0))</f>
        <v/>
      </c>
      <c r="M553" s="18">
        <f>IF($Z553="","",IF(AND(DATE($AD553,4,1)&gt;=$AE553,DATE($AD553,4,1)&lt;=$AF553),ROUND($AG553,2),0))</f>
        <v/>
      </c>
      <c r="N553" s="18">
        <f>IF($Z553="","",IF(AND(DATE($AD553,5,1)&gt;=$AE553,DATE($AD553,5,1)&lt;=$AF553),ROUND($AG553,2),0))</f>
        <v/>
      </c>
      <c r="O553" s="18">
        <f>IF($Z553="","",IF(AND(DATE($AD553,6,1)&gt;=$AE553,DATE($AD553,6,1)&lt;=$AF553),ROUND($AG553,2),0))</f>
        <v/>
      </c>
      <c r="P553" s="18">
        <f>IF($Z553="","",IF(AND(DATE($AD553,7,1)&gt;=$AE553,DATE($AD553,7,1)&lt;=$AF553),ROUND($AG553,2),0))</f>
        <v/>
      </c>
      <c r="Q553" s="18">
        <f>IF($Z553="","",IF(AND(DATE($AD553,8,1)&gt;=$AE553,DATE($AD553,8,1)&lt;=$AF553),ROUND($AG553,2),0))</f>
        <v/>
      </c>
      <c r="R553" s="18">
        <f>IF($Z553="","",IF(AND(DATE($AD553,9,1)&gt;=$AE553,DATE($AD553,9,1)&lt;=$AF553),ROUND($AG553,2),0))</f>
        <v/>
      </c>
      <c r="S553" s="18">
        <f>IF($Z553="","",IF(AND(DATE($AD553,10,1)&gt;=$AE553,DATE($AD553,10,1)&lt;=$AF553),ROUND($AG553,2),0))</f>
        <v/>
      </c>
      <c r="T553" s="18">
        <f>IF($Z553="","",IF(AND(DATE($AD553,11,1)&gt;=$AE553,DATE($AD553,11,1)&lt;=$AF553),ROUND($AG553,2),0))</f>
        <v/>
      </c>
      <c r="U553" s="18">
        <f>IF($Z553="","",IF(AND(DATE($AD553,12,1)&gt;=$AE553,DATE($AD553,12,1)&lt;=$AF553),ROUND($AG553,2),0))</f>
        <v/>
      </c>
      <c r="V553" s="7">
        <f>IF($Z553="C","Generated from "&amp;INDEX(Contracts!$A$2:$A$151,$AB553),IF($Z553="A","Generated from "&amp;INDEX(Fixed_Assets!$A$2:$A$201,$AB553),IF($Z553="F","Generated from "&amp;INDEX(FTE_Allocation!$A$2:$A$201,$AB553),"")))</f>
        <v/>
      </c>
      <c r="X553" s="19">
        <f>IF($Z553="","",SUM(J553:U553))</f>
        <v/>
      </c>
      <c r="Y553" s="20">
        <f>ROW()-1</f>
        <v/>
      </c>
      <c r="Z553" s="20">
        <f>IF($Y553&lt;=Settings!$B$4*3,"C",IF($Y553&lt;=(Settings!$B$4+Settings!$B$5)*3,"A",IF($Y553&lt;=(Settings!$B$4+Settings!$B$5+Settings!$B$6)*3,"F","")))</f>
        <v/>
      </c>
      <c r="AA553" s="20">
        <f>IF($Z553="C",$Y553,IF($Z553="A",$Y553-Settings!$B$4*3,IF($Z553="F",$Y553-(Settings!$B$4+Settings!$B$5)*3,"")))</f>
        <v/>
      </c>
      <c r="AB553" s="20">
        <f>IF($Z553="","",INT(($AA553-1)/3)+1)</f>
        <v/>
      </c>
      <c r="AC553" s="20">
        <f>IF($Z553="","",MOD($AA553-1,3)+1)</f>
        <v/>
      </c>
      <c r="AD553" s="20">
        <f>IF($Z553="","",Settings!$B$2+$AC553-1)</f>
        <v/>
      </c>
      <c r="AE553" s="21">
        <f>IF($Z553="C",DATE(YEAR(INDEX(Contracts!$J$2:$J$151,$AB553)),MONTH(INDEX(Contracts!$J$2:$J$151,$AB553)),1),IF($Z553="A",DATE(YEAR(INDEX(Fixed_Assets!$G$2:$G$201,$AB553)),MONTH(INDEX(Fixed_Assets!$G$2:$G$201,$AB553)),1),IF($Z553="F",DATE(YEAR(MAX(N(INDEX(Workforce!$I$2:$I$151,MATCH(INDEX(FTE_Allocation!$A$2:$A$201,$AB553),Workforce!$A$2:$A$151,0))),N(INDEX(FTE_Allocation!$I$2:$I$201,$AB553)))),MONTH(MAX(N(INDEX(Workforce!$I$2:$I$151,MATCH(INDEX(FTE_Allocation!$A$2:$A$201,$AB553),Workforce!$A$2:$A$151,0))),N(INDEX(FTE_Allocation!$I$2:$I$201,$AB553)))),1),"")))</f>
        <v/>
      </c>
      <c r="AF553" s="21">
        <f>IF($Z553="C",IF(INDEX(Contracts!$I$2:$I$151,$AB553)="PREPAID",EDATE(DATE(YEAR(INDEX(Contracts!$J$2:$J$151,$AB553)),MONTH(INDEX(Contracts!$J$2:$J$151,$AB553)),1),IF(INDEX(Contracts!$N$2:$N$151,$AB553)="",12,INDEX(Contracts!$N$2:$N$151,$AB553))-1),IF(INDEX(Contracts!$I$2:$I$151,$AB553)="MONTHLY",IF(INDEX(Contracts!$K$2:$K$151,$AB553)="",2958101,INDEX(Contracts!$K$2:$K$151,$AB553)),0)),IF($Z553="A",EDATE(DATE(YEAR(INDEX(Fixed_Assets!$G$2:$G$201,$AB553)),MONTH(INDEX(Fixed_Assets!$G$2:$G$201,$AB553)),1),INDEX(Fixed_Assets!$J$2:$J$201,$AB553)-1),IF($Z553="F",MIN(IF(INDEX(Workforce!$J$2:$J$151,MATCH(INDEX(FTE_Allocation!$A$2:$A$201,$AB553),Workforce!$A$2:$A$151,0))="",2958101,INDEX(Workforce!$J$2:$J$151,MATCH(INDEX(FTE_Allocation!$A$2:$A$201,$AB553),Workforce!$A$2:$A$151,0))),IF(INDEX(FTE_Allocation!$J$2:$J$201,$AB553)="",2958101,INDEX(FTE_Allocation!$J$2:$J$201,$AB553))),"")))</f>
        <v/>
      </c>
      <c r="AG553" s="19">
        <f>IF($Z553="C",IF(INDEX(Contracts!$I$2:$I$151,$AB553)="PREPAID",INDEX(Contracts!$M$2:$M$151,$AB553)/IF(INDEX(Contracts!$N$2:$N$151,$AB553)="",12,INDEX(Contracts!$N$2:$N$151,$AB553)),IF(INDEX(Contracts!$I$2:$I$151,$AB553)="MONTHLY",INDEX(Contracts!$M$2:$M$151,$AB553),0))*(1-N(INDEX(Contracts!$O$2:$O$151,$AB553))),IF($Z553="A",INDEX(Fixed_Assets!$H$2:$H$201,$AB553)/INDEX(Fixed_Assets!$J$2:$J$201,$AB553),IF($Z553="F",INDEX(Workforce!$F$2:$F$151,MATCH(INDEX(FTE_Allocation!$A$2:$A$201,$AB553),Workforce!$A$2:$A$151,0))*N(INDEX(FTE_Allocation!$F$2:$H$201,$AB553,$AC553)),"")))</f>
        <v/>
      </c>
    </row>
    <row r="554">
      <c r="A554" s="7">
        <f>IF($Z554="","",$AD554)</f>
        <v/>
      </c>
      <c r="B554" s="7">
        <f>IF($Z554="C",INDEX(Contracts!$D$2:$D$151,$AB554)&amp;"",IF($Z554="A",INDEX(Fixed_Assets!$C$2:$C$201,$AB554)&amp;"",IF($Z554="F",INDEX(Workforce!$B$2:$B$151,MATCH(INDEX(FTE_Allocation!$A$2:$A$201,$AB554),Workforce!$A$2:$A$151,0))&amp;"","")))</f>
        <v/>
      </c>
      <c r="C554" s="7">
        <f>IF($Z554="C",INDEX(Contracts!$E$2:$E$151,$AB554)&amp;"",IF($Z554="A",INDEX(Fixed_Assets!$D$2:$D$201,$AB554)&amp;"",IF($Z554="F",INDEX(FTE_Allocation!$C$2:$C$201,$AB554)&amp;"","")))</f>
        <v/>
      </c>
      <c r="D554" s="7">
        <f>IF($Z554="C",INDEX(Contracts!$B$2:$B$151,$AB554)&amp;"",IF($Z554="A",INDEX(Fixed_Assets!$B$2:$B$201,$AB554)&amp;"",IF($Z554="F",INDEX(FTE_Allocation!$B$2:$B$201,$AB554)&amp;"","")))</f>
        <v/>
      </c>
      <c r="E554" s="7">
        <f>IF($Z554="C",INDEX(Contracts!$P$2:$P$151,$AB554)&amp;"",IF($Z554="A",INDEX(Fixed_Assets!$K$2:$K$201,$AB554)&amp;"",IF($Z554="F",IF(INDEX(FTE_Allocation!$D$2:$D$201,$AB554)="PROJECT",IFERROR(INDEX(Projects!$D:$D,MATCH(INDEX(FTE_Allocation!$E$2:$E$201,$AB554),Projects!$A:$A,0))&amp;"","#PROJECT?"),INDEX(FTE_Allocation!$E$2:$E$201,$AB554)&amp;""),"")))</f>
        <v/>
      </c>
      <c r="F554" s="7">
        <f>IF($Z554="C",INDEX(Contracts!$Q$2:$Q$151,$AB554)&amp;"",IF($Z554="A",INDEX(Fixed_Assets!$L$2:$L$201,$AB554)&amp;"",IF($Z554="F",INDEX(Workforce!$K$2:$K$151,MATCH(INDEX(FTE_Allocation!$A$2:$A$201,$AB554),Workforce!$A$2:$A$151,0))&amp;"","")))</f>
        <v/>
      </c>
      <c r="G554" s="7">
        <f>IF($Z554="C",INDEX(Contracts!$F$2:$F$151,$AB554)&amp;" / "&amp;INDEX(Contracts!$G$2:$G$151,$AB554),IF($Z554="A",INDEX(Fixed_Assets!$E$2:$E$201,$AB554)&amp;"",IF($Z554="F","Personnel "&amp;INDEX(FTE_Allocation!$A$2:$A$201,$AB554)&amp;IF(INDEX(FTE_Allocation!$D$2:$D$201,$AB554)="PROJECT"," ("&amp;INDEX(FTE_Allocation!$E$2:$E$201,$AB554)&amp;")",""),"")))</f>
        <v/>
      </c>
      <c r="H554" s="7">
        <f>IF($Z554="C","CONTRACT",IF($Z554="A","ASSET",IF($Z554="F","WORKFORCE","")))</f>
        <v/>
      </c>
      <c r="I554" s="7">
        <f>IF($Z554="C",INDEX(Contracts!$L$2:$L$151,$AB554)&amp;"",IF($Z554="A",INDEX(Fixed_Assets!$I$2:$I$201,$AB554)&amp;"",IF($Z554="F",INDEX(Workforce!$G$2:$G$151,MATCH(INDEX(FTE_Allocation!$A$2:$A$201,$AB554),Workforce!$A$2:$A$151,0))&amp;"","")))</f>
        <v/>
      </c>
      <c r="J554" s="18">
        <f>IF($Z554="","",IF(AND(DATE($AD554,1,1)&gt;=$AE554,DATE($AD554,1,1)&lt;=$AF554),ROUND($AG554,2),0))</f>
        <v/>
      </c>
      <c r="K554" s="18">
        <f>IF($Z554="","",IF(AND(DATE($AD554,2,1)&gt;=$AE554,DATE($AD554,2,1)&lt;=$AF554),ROUND($AG554,2),0))</f>
        <v/>
      </c>
      <c r="L554" s="18">
        <f>IF($Z554="","",IF(AND(DATE($AD554,3,1)&gt;=$AE554,DATE($AD554,3,1)&lt;=$AF554),ROUND($AG554,2),0))</f>
        <v/>
      </c>
      <c r="M554" s="18">
        <f>IF($Z554="","",IF(AND(DATE($AD554,4,1)&gt;=$AE554,DATE($AD554,4,1)&lt;=$AF554),ROUND($AG554,2),0))</f>
        <v/>
      </c>
      <c r="N554" s="18">
        <f>IF($Z554="","",IF(AND(DATE($AD554,5,1)&gt;=$AE554,DATE($AD554,5,1)&lt;=$AF554),ROUND($AG554,2),0))</f>
        <v/>
      </c>
      <c r="O554" s="18">
        <f>IF($Z554="","",IF(AND(DATE($AD554,6,1)&gt;=$AE554,DATE($AD554,6,1)&lt;=$AF554),ROUND($AG554,2),0))</f>
        <v/>
      </c>
      <c r="P554" s="18">
        <f>IF($Z554="","",IF(AND(DATE($AD554,7,1)&gt;=$AE554,DATE($AD554,7,1)&lt;=$AF554),ROUND($AG554,2),0))</f>
        <v/>
      </c>
      <c r="Q554" s="18">
        <f>IF($Z554="","",IF(AND(DATE($AD554,8,1)&gt;=$AE554,DATE($AD554,8,1)&lt;=$AF554),ROUND($AG554,2),0))</f>
        <v/>
      </c>
      <c r="R554" s="18">
        <f>IF($Z554="","",IF(AND(DATE($AD554,9,1)&gt;=$AE554,DATE($AD554,9,1)&lt;=$AF554),ROUND($AG554,2),0))</f>
        <v/>
      </c>
      <c r="S554" s="18">
        <f>IF($Z554="","",IF(AND(DATE($AD554,10,1)&gt;=$AE554,DATE($AD554,10,1)&lt;=$AF554),ROUND($AG554,2),0))</f>
        <v/>
      </c>
      <c r="T554" s="18">
        <f>IF($Z554="","",IF(AND(DATE($AD554,11,1)&gt;=$AE554,DATE($AD554,11,1)&lt;=$AF554),ROUND($AG554,2),0))</f>
        <v/>
      </c>
      <c r="U554" s="18">
        <f>IF($Z554="","",IF(AND(DATE($AD554,12,1)&gt;=$AE554,DATE($AD554,12,1)&lt;=$AF554),ROUND($AG554,2),0))</f>
        <v/>
      </c>
      <c r="V554" s="7">
        <f>IF($Z554="C","Generated from "&amp;INDEX(Contracts!$A$2:$A$151,$AB554),IF($Z554="A","Generated from "&amp;INDEX(Fixed_Assets!$A$2:$A$201,$AB554),IF($Z554="F","Generated from "&amp;INDEX(FTE_Allocation!$A$2:$A$201,$AB554),"")))</f>
        <v/>
      </c>
      <c r="X554" s="19">
        <f>IF($Z554="","",SUM(J554:U554))</f>
        <v/>
      </c>
      <c r="Y554" s="20">
        <f>ROW()-1</f>
        <v/>
      </c>
      <c r="Z554" s="20">
        <f>IF($Y554&lt;=Settings!$B$4*3,"C",IF($Y554&lt;=(Settings!$B$4+Settings!$B$5)*3,"A",IF($Y554&lt;=(Settings!$B$4+Settings!$B$5+Settings!$B$6)*3,"F","")))</f>
        <v/>
      </c>
      <c r="AA554" s="20">
        <f>IF($Z554="C",$Y554,IF($Z554="A",$Y554-Settings!$B$4*3,IF($Z554="F",$Y554-(Settings!$B$4+Settings!$B$5)*3,"")))</f>
        <v/>
      </c>
      <c r="AB554" s="20">
        <f>IF($Z554="","",INT(($AA554-1)/3)+1)</f>
        <v/>
      </c>
      <c r="AC554" s="20">
        <f>IF($Z554="","",MOD($AA554-1,3)+1)</f>
        <v/>
      </c>
      <c r="AD554" s="20">
        <f>IF($Z554="","",Settings!$B$2+$AC554-1)</f>
        <v/>
      </c>
      <c r="AE554" s="21">
        <f>IF($Z554="C",DATE(YEAR(INDEX(Contracts!$J$2:$J$151,$AB554)),MONTH(INDEX(Contracts!$J$2:$J$151,$AB554)),1),IF($Z554="A",DATE(YEAR(INDEX(Fixed_Assets!$G$2:$G$201,$AB554)),MONTH(INDEX(Fixed_Assets!$G$2:$G$201,$AB554)),1),IF($Z554="F",DATE(YEAR(MAX(N(INDEX(Workforce!$I$2:$I$151,MATCH(INDEX(FTE_Allocation!$A$2:$A$201,$AB554),Workforce!$A$2:$A$151,0))),N(INDEX(FTE_Allocation!$I$2:$I$201,$AB554)))),MONTH(MAX(N(INDEX(Workforce!$I$2:$I$151,MATCH(INDEX(FTE_Allocation!$A$2:$A$201,$AB554),Workforce!$A$2:$A$151,0))),N(INDEX(FTE_Allocation!$I$2:$I$201,$AB554)))),1),"")))</f>
        <v/>
      </c>
      <c r="AF554" s="21">
        <f>IF($Z554="C",IF(INDEX(Contracts!$I$2:$I$151,$AB554)="PREPAID",EDATE(DATE(YEAR(INDEX(Contracts!$J$2:$J$151,$AB554)),MONTH(INDEX(Contracts!$J$2:$J$151,$AB554)),1),IF(INDEX(Contracts!$N$2:$N$151,$AB554)="",12,INDEX(Contracts!$N$2:$N$151,$AB554))-1),IF(INDEX(Contracts!$I$2:$I$151,$AB554)="MONTHLY",IF(INDEX(Contracts!$K$2:$K$151,$AB554)="",2958101,INDEX(Contracts!$K$2:$K$151,$AB554)),0)),IF($Z554="A",EDATE(DATE(YEAR(INDEX(Fixed_Assets!$G$2:$G$201,$AB554)),MONTH(INDEX(Fixed_Assets!$G$2:$G$201,$AB554)),1),INDEX(Fixed_Assets!$J$2:$J$201,$AB554)-1),IF($Z554="F",MIN(IF(INDEX(Workforce!$J$2:$J$151,MATCH(INDEX(FTE_Allocation!$A$2:$A$201,$AB554),Workforce!$A$2:$A$151,0))="",2958101,INDEX(Workforce!$J$2:$J$151,MATCH(INDEX(FTE_Allocation!$A$2:$A$201,$AB554),Workforce!$A$2:$A$151,0))),IF(INDEX(FTE_Allocation!$J$2:$J$201,$AB554)="",2958101,INDEX(FTE_Allocation!$J$2:$J$201,$AB554))),"")))</f>
        <v/>
      </c>
      <c r="AG554" s="19">
        <f>IF($Z554="C",IF(INDEX(Contracts!$I$2:$I$151,$AB554)="PREPAID",INDEX(Contracts!$M$2:$M$151,$AB554)/IF(INDEX(Contracts!$N$2:$N$151,$AB554)="",12,INDEX(Contracts!$N$2:$N$151,$AB554)),IF(INDEX(Contracts!$I$2:$I$151,$AB554)="MONTHLY",INDEX(Contracts!$M$2:$M$151,$AB554),0))*(1-N(INDEX(Contracts!$O$2:$O$151,$AB554))),IF($Z554="A",INDEX(Fixed_Assets!$H$2:$H$201,$AB554)/INDEX(Fixed_Assets!$J$2:$J$201,$AB554),IF($Z554="F",INDEX(Workforce!$F$2:$F$151,MATCH(INDEX(FTE_Allocation!$A$2:$A$201,$AB554),Workforce!$A$2:$A$151,0))*N(INDEX(FTE_Allocation!$F$2:$H$201,$AB554,$AC554)),"")))</f>
        <v/>
      </c>
    </row>
    <row r="555">
      <c r="A555" s="7">
        <f>IF($Z555="","",$AD555)</f>
        <v/>
      </c>
      <c r="B555" s="7">
        <f>IF($Z555="C",INDEX(Contracts!$D$2:$D$151,$AB555)&amp;"",IF($Z555="A",INDEX(Fixed_Assets!$C$2:$C$201,$AB555)&amp;"",IF($Z555="F",INDEX(Workforce!$B$2:$B$151,MATCH(INDEX(FTE_Allocation!$A$2:$A$201,$AB555),Workforce!$A$2:$A$151,0))&amp;"","")))</f>
        <v/>
      </c>
      <c r="C555" s="7">
        <f>IF($Z555="C",INDEX(Contracts!$E$2:$E$151,$AB555)&amp;"",IF($Z555="A",INDEX(Fixed_Assets!$D$2:$D$201,$AB555)&amp;"",IF($Z555="F",INDEX(FTE_Allocation!$C$2:$C$201,$AB555)&amp;"","")))</f>
        <v/>
      </c>
      <c r="D555" s="7">
        <f>IF($Z555="C",INDEX(Contracts!$B$2:$B$151,$AB555)&amp;"",IF($Z555="A",INDEX(Fixed_Assets!$B$2:$B$201,$AB555)&amp;"",IF($Z555="F",INDEX(FTE_Allocation!$B$2:$B$201,$AB555)&amp;"","")))</f>
        <v/>
      </c>
      <c r="E555" s="7">
        <f>IF($Z555="C",INDEX(Contracts!$P$2:$P$151,$AB555)&amp;"",IF($Z555="A",INDEX(Fixed_Assets!$K$2:$K$201,$AB555)&amp;"",IF($Z555="F",IF(INDEX(FTE_Allocation!$D$2:$D$201,$AB555)="PROJECT",IFERROR(INDEX(Projects!$D:$D,MATCH(INDEX(FTE_Allocation!$E$2:$E$201,$AB555),Projects!$A:$A,0))&amp;"","#PROJECT?"),INDEX(FTE_Allocation!$E$2:$E$201,$AB555)&amp;""),"")))</f>
        <v/>
      </c>
      <c r="F555" s="7">
        <f>IF($Z555="C",INDEX(Contracts!$Q$2:$Q$151,$AB555)&amp;"",IF($Z555="A",INDEX(Fixed_Assets!$L$2:$L$201,$AB555)&amp;"",IF($Z555="F",INDEX(Workforce!$K$2:$K$151,MATCH(INDEX(FTE_Allocation!$A$2:$A$201,$AB555),Workforce!$A$2:$A$151,0))&amp;"","")))</f>
        <v/>
      </c>
      <c r="G555" s="7">
        <f>IF($Z555="C",INDEX(Contracts!$F$2:$F$151,$AB555)&amp;" / "&amp;INDEX(Contracts!$G$2:$G$151,$AB555),IF($Z555="A",INDEX(Fixed_Assets!$E$2:$E$201,$AB555)&amp;"",IF($Z555="F","Personnel "&amp;INDEX(FTE_Allocation!$A$2:$A$201,$AB555)&amp;IF(INDEX(FTE_Allocation!$D$2:$D$201,$AB555)="PROJECT"," ("&amp;INDEX(FTE_Allocation!$E$2:$E$201,$AB555)&amp;")",""),"")))</f>
        <v/>
      </c>
      <c r="H555" s="7">
        <f>IF($Z555="C","CONTRACT",IF($Z555="A","ASSET",IF($Z555="F","WORKFORCE","")))</f>
        <v/>
      </c>
      <c r="I555" s="7">
        <f>IF($Z555="C",INDEX(Contracts!$L$2:$L$151,$AB555)&amp;"",IF($Z555="A",INDEX(Fixed_Assets!$I$2:$I$201,$AB555)&amp;"",IF($Z555="F",INDEX(Workforce!$G$2:$G$151,MATCH(INDEX(FTE_Allocation!$A$2:$A$201,$AB555),Workforce!$A$2:$A$151,0))&amp;"","")))</f>
        <v/>
      </c>
      <c r="J555" s="18">
        <f>IF($Z555="","",IF(AND(DATE($AD555,1,1)&gt;=$AE555,DATE($AD555,1,1)&lt;=$AF555),ROUND($AG555,2),0))</f>
        <v/>
      </c>
      <c r="K555" s="18">
        <f>IF($Z555="","",IF(AND(DATE($AD555,2,1)&gt;=$AE555,DATE($AD555,2,1)&lt;=$AF555),ROUND($AG555,2),0))</f>
        <v/>
      </c>
      <c r="L555" s="18">
        <f>IF($Z555="","",IF(AND(DATE($AD555,3,1)&gt;=$AE555,DATE($AD555,3,1)&lt;=$AF555),ROUND($AG555,2),0))</f>
        <v/>
      </c>
      <c r="M555" s="18">
        <f>IF($Z555="","",IF(AND(DATE($AD555,4,1)&gt;=$AE555,DATE($AD555,4,1)&lt;=$AF555),ROUND($AG555,2),0))</f>
        <v/>
      </c>
      <c r="N555" s="18">
        <f>IF($Z555="","",IF(AND(DATE($AD555,5,1)&gt;=$AE555,DATE($AD555,5,1)&lt;=$AF555),ROUND($AG555,2),0))</f>
        <v/>
      </c>
      <c r="O555" s="18">
        <f>IF($Z555="","",IF(AND(DATE($AD555,6,1)&gt;=$AE555,DATE($AD555,6,1)&lt;=$AF555),ROUND($AG555,2),0))</f>
        <v/>
      </c>
      <c r="P555" s="18">
        <f>IF($Z555="","",IF(AND(DATE($AD555,7,1)&gt;=$AE555,DATE($AD555,7,1)&lt;=$AF555),ROUND($AG555,2),0))</f>
        <v/>
      </c>
      <c r="Q555" s="18">
        <f>IF($Z555="","",IF(AND(DATE($AD555,8,1)&gt;=$AE555,DATE($AD555,8,1)&lt;=$AF555),ROUND($AG555,2),0))</f>
        <v/>
      </c>
      <c r="R555" s="18">
        <f>IF($Z555="","",IF(AND(DATE($AD555,9,1)&gt;=$AE555,DATE($AD555,9,1)&lt;=$AF555),ROUND($AG555,2),0))</f>
        <v/>
      </c>
      <c r="S555" s="18">
        <f>IF($Z555="","",IF(AND(DATE($AD555,10,1)&gt;=$AE555,DATE($AD555,10,1)&lt;=$AF555),ROUND($AG555,2),0))</f>
        <v/>
      </c>
      <c r="T555" s="18">
        <f>IF($Z555="","",IF(AND(DATE($AD555,11,1)&gt;=$AE555,DATE($AD555,11,1)&lt;=$AF555),ROUND($AG555,2),0))</f>
        <v/>
      </c>
      <c r="U555" s="18">
        <f>IF($Z555="","",IF(AND(DATE($AD555,12,1)&gt;=$AE555,DATE($AD555,12,1)&lt;=$AF555),ROUND($AG555,2),0))</f>
        <v/>
      </c>
      <c r="V555" s="7">
        <f>IF($Z555="C","Generated from "&amp;INDEX(Contracts!$A$2:$A$151,$AB555),IF($Z555="A","Generated from "&amp;INDEX(Fixed_Assets!$A$2:$A$201,$AB555),IF($Z555="F","Generated from "&amp;INDEX(FTE_Allocation!$A$2:$A$201,$AB555),"")))</f>
        <v/>
      </c>
      <c r="X555" s="19">
        <f>IF($Z555="","",SUM(J555:U555))</f>
        <v/>
      </c>
      <c r="Y555" s="20">
        <f>ROW()-1</f>
        <v/>
      </c>
      <c r="Z555" s="20">
        <f>IF($Y555&lt;=Settings!$B$4*3,"C",IF($Y555&lt;=(Settings!$B$4+Settings!$B$5)*3,"A",IF($Y555&lt;=(Settings!$B$4+Settings!$B$5+Settings!$B$6)*3,"F","")))</f>
        <v/>
      </c>
      <c r="AA555" s="20">
        <f>IF($Z555="C",$Y555,IF($Z555="A",$Y555-Settings!$B$4*3,IF($Z555="F",$Y555-(Settings!$B$4+Settings!$B$5)*3,"")))</f>
        <v/>
      </c>
      <c r="AB555" s="20">
        <f>IF($Z555="","",INT(($AA555-1)/3)+1)</f>
        <v/>
      </c>
      <c r="AC555" s="20">
        <f>IF($Z555="","",MOD($AA555-1,3)+1)</f>
        <v/>
      </c>
      <c r="AD555" s="20">
        <f>IF($Z555="","",Settings!$B$2+$AC555-1)</f>
        <v/>
      </c>
      <c r="AE555" s="21">
        <f>IF($Z555="C",DATE(YEAR(INDEX(Contracts!$J$2:$J$151,$AB555)),MONTH(INDEX(Contracts!$J$2:$J$151,$AB555)),1),IF($Z555="A",DATE(YEAR(INDEX(Fixed_Assets!$G$2:$G$201,$AB555)),MONTH(INDEX(Fixed_Assets!$G$2:$G$201,$AB555)),1),IF($Z555="F",DATE(YEAR(MAX(N(INDEX(Workforce!$I$2:$I$151,MATCH(INDEX(FTE_Allocation!$A$2:$A$201,$AB555),Workforce!$A$2:$A$151,0))),N(INDEX(FTE_Allocation!$I$2:$I$201,$AB555)))),MONTH(MAX(N(INDEX(Workforce!$I$2:$I$151,MATCH(INDEX(FTE_Allocation!$A$2:$A$201,$AB555),Workforce!$A$2:$A$151,0))),N(INDEX(FTE_Allocation!$I$2:$I$201,$AB555)))),1),"")))</f>
        <v/>
      </c>
      <c r="AF555" s="21">
        <f>IF($Z555="C",IF(INDEX(Contracts!$I$2:$I$151,$AB555)="PREPAID",EDATE(DATE(YEAR(INDEX(Contracts!$J$2:$J$151,$AB555)),MONTH(INDEX(Contracts!$J$2:$J$151,$AB555)),1),IF(INDEX(Contracts!$N$2:$N$151,$AB555)="",12,INDEX(Contracts!$N$2:$N$151,$AB555))-1),IF(INDEX(Contracts!$I$2:$I$151,$AB555)="MONTHLY",IF(INDEX(Contracts!$K$2:$K$151,$AB555)="",2958101,INDEX(Contracts!$K$2:$K$151,$AB555)),0)),IF($Z555="A",EDATE(DATE(YEAR(INDEX(Fixed_Assets!$G$2:$G$201,$AB555)),MONTH(INDEX(Fixed_Assets!$G$2:$G$201,$AB555)),1),INDEX(Fixed_Assets!$J$2:$J$201,$AB555)-1),IF($Z555="F",MIN(IF(INDEX(Workforce!$J$2:$J$151,MATCH(INDEX(FTE_Allocation!$A$2:$A$201,$AB555),Workforce!$A$2:$A$151,0))="",2958101,INDEX(Workforce!$J$2:$J$151,MATCH(INDEX(FTE_Allocation!$A$2:$A$201,$AB555),Workforce!$A$2:$A$151,0))),IF(INDEX(FTE_Allocation!$J$2:$J$201,$AB555)="",2958101,INDEX(FTE_Allocation!$J$2:$J$201,$AB555))),"")))</f>
        <v/>
      </c>
      <c r="AG555" s="19">
        <f>IF($Z555="C",IF(INDEX(Contracts!$I$2:$I$151,$AB555)="PREPAID",INDEX(Contracts!$M$2:$M$151,$AB555)/IF(INDEX(Contracts!$N$2:$N$151,$AB555)="",12,INDEX(Contracts!$N$2:$N$151,$AB555)),IF(INDEX(Contracts!$I$2:$I$151,$AB555)="MONTHLY",INDEX(Contracts!$M$2:$M$151,$AB555),0))*(1-N(INDEX(Contracts!$O$2:$O$151,$AB555))),IF($Z555="A",INDEX(Fixed_Assets!$H$2:$H$201,$AB555)/INDEX(Fixed_Assets!$J$2:$J$201,$AB555),IF($Z555="F",INDEX(Workforce!$F$2:$F$151,MATCH(INDEX(FTE_Allocation!$A$2:$A$201,$AB555),Workforce!$A$2:$A$151,0))*N(INDEX(FTE_Allocation!$F$2:$H$201,$AB555,$AC555)),"")))</f>
        <v/>
      </c>
    </row>
    <row r="556">
      <c r="A556" s="7">
        <f>IF($Z556="","",$AD556)</f>
        <v/>
      </c>
      <c r="B556" s="7">
        <f>IF($Z556="C",INDEX(Contracts!$D$2:$D$151,$AB556)&amp;"",IF($Z556="A",INDEX(Fixed_Assets!$C$2:$C$201,$AB556)&amp;"",IF($Z556="F",INDEX(Workforce!$B$2:$B$151,MATCH(INDEX(FTE_Allocation!$A$2:$A$201,$AB556),Workforce!$A$2:$A$151,0))&amp;"","")))</f>
        <v/>
      </c>
      <c r="C556" s="7">
        <f>IF($Z556="C",INDEX(Contracts!$E$2:$E$151,$AB556)&amp;"",IF($Z556="A",INDEX(Fixed_Assets!$D$2:$D$201,$AB556)&amp;"",IF($Z556="F",INDEX(FTE_Allocation!$C$2:$C$201,$AB556)&amp;"","")))</f>
        <v/>
      </c>
      <c r="D556" s="7">
        <f>IF($Z556="C",INDEX(Contracts!$B$2:$B$151,$AB556)&amp;"",IF($Z556="A",INDEX(Fixed_Assets!$B$2:$B$201,$AB556)&amp;"",IF($Z556="F",INDEX(FTE_Allocation!$B$2:$B$201,$AB556)&amp;"","")))</f>
        <v/>
      </c>
      <c r="E556" s="7">
        <f>IF($Z556="C",INDEX(Contracts!$P$2:$P$151,$AB556)&amp;"",IF($Z556="A",INDEX(Fixed_Assets!$K$2:$K$201,$AB556)&amp;"",IF($Z556="F",IF(INDEX(FTE_Allocation!$D$2:$D$201,$AB556)="PROJECT",IFERROR(INDEX(Projects!$D:$D,MATCH(INDEX(FTE_Allocation!$E$2:$E$201,$AB556),Projects!$A:$A,0))&amp;"","#PROJECT?"),INDEX(FTE_Allocation!$E$2:$E$201,$AB556)&amp;""),"")))</f>
        <v/>
      </c>
      <c r="F556" s="7">
        <f>IF($Z556="C",INDEX(Contracts!$Q$2:$Q$151,$AB556)&amp;"",IF($Z556="A",INDEX(Fixed_Assets!$L$2:$L$201,$AB556)&amp;"",IF($Z556="F",INDEX(Workforce!$K$2:$K$151,MATCH(INDEX(FTE_Allocation!$A$2:$A$201,$AB556),Workforce!$A$2:$A$151,0))&amp;"","")))</f>
        <v/>
      </c>
      <c r="G556" s="7">
        <f>IF($Z556="C",INDEX(Contracts!$F$2:$F$151,$AB556)&amp;" / "&amp;INDEX(Contracts!$G$2:$G$151,$AB556),IF($Z556="A",INDEX(Fixed_Assets!$E$2:$E$201,$AB556)&amp;"",IF($Z556="F","Personnel "&amp;INDEX(FTE_Allocation!$A$2:$A$201,$AB556)&amp;IF(INDEX(FTE_Allocation!$D$2:$D$201,$AB556)="PROJECT"," ("&amp;INDEX(FTE_Allocation!$E$2:$E$201,$AB556)&amp;")",""),"")))</f>
        <v/>
      </c>
      <c r="H556" s="7">
        <f>IF($Z556="C","CONTRACT",IF($Z556="A","ASSET",IF($Z556="F","WORKFORCE","")))</f>
        <v/>
      </c>
      <c r="I556" s="7">
        <f>IF($Z556="C",INDEX(Contracts!$L$2:$L$151,$AB556)&amp;"",IF($Z556="A",INDEX(Fixed_Assets!$I$2:$I$201,$AB556)&amp;"",IF($Z556="F",INDEX(Workforce!$G$2:$G$151,MATCH(INDEX(FTE_Allocation!$A$2:$A$201,$AB556),Workforce!$A$2:$A$151,0))&amp;"","")))</f>
        <v/>
      </c>
      <c r="J556" s="18">
        <f>IF($Z556="","",IF(AND(DATE($AD556,1,1)&gt;=$AE556,DATE($AD556,1,1)&lt;=$AF556),ROUND($AG556,2),0))</f>
        <v/>
      </c>
      <c r="K556" s="18">
        <f>IF($Z556="","",IF(AND(DATE($AD556,2,1)&gt;=$AE556,DATE($AD556,2,1)&lt;=$AF556),ROUND($AG556,2),0))</f>
        <v/>
      </c>
      <c r="L556" s="18">
        <f>IF($Z556="","",IF(AND(DATE($AD556,3,1)&gt;=$AE556,DATE($AD556,3,1)&lt;=$AF556),ROUND($AG556,2),0))</f>
        <v/>
      </c>
      <c r="M556" s="18">
        <f>IF($Z556="","",IF(AND(DATE($AD556,4,1)&gt;=$AE556,DATE($AD556,4,1)&lt;=$AF556),ROUND($AG556,2),0))</f>
        <v/>
      </c>
      <c r="N556" s="18">
        <f>IF($Z556="","",IF(AND(DATE($AD556,5,1)&gt;=$AE556,DATE($AD556,5,1)&lt;=$AF556),ROUND($AG556,2),0))</f>
        <v/>
      </c>
      <c r="O556" s="18">
        <f>IF($Z556="","",IF(AND(DATE($AD556,6,1)&gt;=$AE556,DATE($AD556,6,1)&lt;=$AF556),ROUND($AG556,2),0))</f>
        <v/>
      </c>
      <c r="P556" s="18">
        <f>IF($Z556="","",IF(AND(DATE($AD556,7,1)&gt;=$AE556,DATE($AD556,7,1)&lt;=$AF556),ROUND($AG556,2),0))</f>
        <v/>
      </c>
      <c r="Q556" s="18">
        <f>IF($Z556="","",IF(AND(DATE($AD556,8,1)&gt;=$AE556,DATE($AD556,8,1)&lt;=$AF556),ROUND($AG556,2),0))</f>
        <v/>
      </c>
      <c r="R556" s="18">
        <f>IF($Z556="","",IF(AND(DATE($AD556,9,1)&gt;=$AE556,DATE($AD556,9,1)&lt;=$AF556),ROUND($AG556,2),0))</f>
        <v/>
      </c>
      <c r="S556" s="18">
        <f>IF($Z556="","",IF(AND(DATE($AD556,10,1)&gt;=$AE556,DATE($AD556,10,1)&lt;=$AF556),ROUND($AG556,2),0))</f>
        <v/>
      </c>
      <c r="T556" s="18">
        <f>IF($Z556="","",IF(AND(DATE($AD556,11,1)&gt;=$AE556,DATE($AD556,11,1)&lt;=$AF556),ROUND($AG556,2),0))</f>
        <v/>
      </c>
      <c r="U556" s="18">
        <f>IF($Z556="","",IF(AND(DATE($AD556,12,1)&gt;=$AE556,DATE($AD556,12,1)&lt;=$AF556),ROUND($AG556,2),0))</f>
        <v/>
      </c>
      <c r="V556" s="7">
        <f>IF($Z556="C","Generated from "&amp;INDEX(Contracts!$A$2:$A$151,$AB556),IF($Z556="A","Generated from "&amp;INDEX(Fixed_Assets!$A$2:$A$201,$AB556),IF($Z556="F","Generated from "&amp;INDEX(FTE_Allocation!$A$2:$A$201,$AB556),"")))</f>
        <v/>
      </c>
      <c r="X556" s="19">
        <f>IF($Z556="","",SUM(J556:U556))</f>
        <v/>
      </c>
      <c r="Y556" s="20">
        <f>ROW()-1</f>
        <v/>
      </c>
      <c r="Z556" s="20">
        <f>IF($Y556&lt;=Settings!$B$4*3,"C",IF($Y556&lt;=(Settings!$B$4+Settings!$B$5)*3,"A",IF($Y556&lt;=(Settings!$B$4+Settings!$B$5+Settings!$B$6)*3,"F","")))</f>
        <v/>
      </c>
      <c r="AA556" s="20">
        <f>IF($Z556="C",$Y556,IF($Z556="A",$Y556-Settings!$B$4*3,IF($Z556="F",$Y556-(Settings!$B$4+Settings!$B$5)*3,"")))</f>
        <v/>
      </c>
      <c r="AB556" s="20">
        <f>IF($Z556="","",INT(($AA556-1)/3)+1)</f>
        <v/>
      </c>
      <c r="AC556" s="20">
        <f>IF($Z556="","",MOD($AA556-1,3)+1)</f>
        <v/>
      </c>
      <c r="AD556" s="20">
        <f>IF($Z556="","",Settings!$B$2+$AC556-1)</f>
        <v/>
      </c>
      <c r="AE556" s="21">
        <f>IF($Z556="C",DATE(YEAR(INDEX(Contracts!$J$2:$J$151,$AB556)),MONTH(INDEX(Contracts!$J$2:$J$151,$AB556)),1),IF($Z556="A",DATE(YEAR(INDEX(Fixed_Assets!$G$2:$G$201,$AB556)),MONTH(INDEX(Fixed_Assets!$G$2:$G$201,$AB556)),1),IF($Z556="F",DATE(YEAR(MAX(N(INDEX(Workforce!$I$2:$I$151,MATCH(INDEX(FTE_Allocation!$A$2:$A$201,$AB556),Workforce!$A$2:$A$151,0))),N(INDEX(FTE_Allocation!$I$2:$I$201,$AB556)))),MONTH(MAX(N(INDEX(Workforce!$I$2:$I$151,MATCH(INDEX(FTE_Allocation!$A$2:$A$201,$AB556),Workforce!$A$2:$A$151,0))),N(INDEX(FTE_Allocation!$I$2:$I$201,$AB556)))),1),"")))</f>
        <v/>
      </c>
      <c r="AF556" s="21">
        <f>IF($Z556="C",IF(INDEX(Contracts!$I$2:$I$151,$AB556)="PREPAID",EDATE(DATE(YEAR(INDEX(Contracts!$J$2:$J$151,$AB556)),MONTH(INDEX(Contracts!$J$2:$J$151,$AB556)),1),IF(INDEX(Contracts!$N$2:$N$151,$AB556)="",12,INDEX(Contracts!$N$2:$N$151,$AB556))-1),IF(INDEX(Contracts!$I$2:$I$151,$AB556)="MONTHLY",IF(INDEX(Contracts!$K$2:$K$151,$AB556)="",2958101,INDEX(Contracts!$K$2:$K$151,$AB556)),0)),IF($Z556="A",EDATE(DATE(YEAR(INDEX(Fixed_Assets!$G$2:$G$201,$AB556)),MONTH(INDEX(Fixed_Assets!$G$2:$G$201,$AB556)),1),INDEX(Fixed_Assets!$J$2:$J$201,$AB556)-1),IF($Z556="F",MIN(IF(INDEX(Workforce!$J$2:$J$151,MATCH(INDEX(FTE_Allocation!$A$2:$A$201,$AB556),Workforce!$A$2:$A$151,0))="",2958101,INDEX(Workforce!$J$2:$J$151,MATCH(INDEX(FTE_Allocation!$A$2:$A$201,$AB556),Workforce!$A$2:$A$151,0))),IF(INDEX(FTE_Allocation!$J$2:$J$201,$AB556)="",2958101,INDEX(FTE_Allocation!$J$2:$J$201,$AB556))),"")))</f>
        <v/>
      </c>
      <c r="AG556" s="19">
        <f>IF($Z556="C",IF(INDEX(Contracts!$I$2:$I$151,$AB556)="PREPAID",INDEX(Contracts!$M$2:$M$151,$AB556)/IF(INDEX(Contracts!$N$2:$N$151,$AB556)="",12,INDEX(Contracts!$N$2:$N$151,$AB556)),IF(INDEX(Contracts!$I$2:$I$151,$AB556)="MONTHLY",INDEX(Contracts!$M$2:$M$151,$AB556),0))*(1-N(INDEX(Contracts!$O$2:$O$151,$AB556))),IF($Z556="A",INDEX(Fixed_Assets!$H$2:$H$201,$AB556)/INDEX(Fixed_Assets!$J$2:$J$201,$AB556),IF($Z556="F",INDEX(Workforce!$F$2:$F$151,MATCH(INDEX(FTE_Allocation!$A$2:$A$201,$AB556),Workforce!$A$2:$A$151,0))*N(INDEX(FTE_Allocation!$F$2:$H$201,$AB556,$AC556)),"")))</f>
        <v/>
      </c>
    </row>
    <row r="557">
      <c r="A557" s="7">
        <f>IF($Z557="","",$AD557)</f>
        <v/>
      </c>
      <c r="B557" s="7">
        <f>IF($Z557="C",INDEX(Contracts!$D$2:$D$151,$AB557)&amp;"",IF($Z557="A",INDEX(Fixed_Assets!$C$2:$C$201,$AB557)&amp;"",IF($Z557="F",INDEX(Workforce!$B$2:$B$151,MATCH(INDEX(FTE_Allocation!$A$2:$A$201,$AB557),Workforce!$A$2:$A$151,0))&amp;"","")))</f>
        <v/>
      </c>
      <c r="C557" s="7">
        <f>IF($Z557="C",INDEX(Contracts!$E$2:$E$151,$AB557)&amp;"",IF($Z557="A",INDEX(Fixed_Assets!$D$2:$D$201,$AB557)&amp;"",IF($Z557="F",INDEX(FTE_Allocation!$C$2:$C$201,$AB557)&amp;"","")))</f>
        <v/>
      </c>
      <c r="D557" s="7">
        <f>IF($Z557="C",INDEX(Contracts!$B$2:$B$151,$AB557)&amp;"",IF($Z557="A",INDEX(Fixed_Assets!$B$2:$B$201,$AB557)&amp;"",IF($Z557="F",INDEX(FTE_Allocation!$B$2:$B$201,$AB557)&amp;"","")))</f>
        <v/>
      </c>
      <c r="E557" s="7">
        <f>IF($Z557="C",INDEX(Contracts!$P$2:$P$151,$AB557)&amp;"",IF($Z557="A",INDEX(Fixed_Assets!$K$2:$K$201,$AB557)&amp;"",IF($Z557="F",IF(INDEX(FTE_Allocation!$D$2:$D$201,$AB557)="PROJECT",IFERROR(INDEX(Projects!$D:$D,MATCH(INDEX(FTE_Allocation!$E$2:$E$201,$AB557),Projects!$A:$A,0))&amp;"","#PROJECT?"),INDEX(FTE_Allocation!$E$2:$E$201,$AB557)&amp;""),"")))</f>
        <v/>
      </c>
      <c r="F557" s="7">
        <f>IF($Z557="C",INDEX(Contracts!$Q$2:$Q$151,$AB557)&amp;"",IF($Z557="A",INDEX(Fixed_Assets!$L$2:$L$201,$AB557)&amp;"",IF($Z557="F",INDEX(Workforce!$K$2:$K$151,MATCH(INDEX(FTE_Allocation!$A$2:$A$201,$AB557),Workforce!$A$2:$A$151,0))&amp;"","")))</f>
        <v/>
      </c>
      <c r="G557" s="7">
        <f>IF($Z557="C",INDEX(Contracts!$F$2:$F$151,$AB557)&amp;" / "&amp;INDEX(Contracts!$G$2:$G$151,$AB557),IF($Z557="A",INDEX(Fixed_Assets!$E$2:$E$201,$AB557)&amp;"",IF($Z557="F","Personnel "&amp;INDEX(FTE_Allocation!$A$2:$A$201,$AB557)&amp;IF(INDEX(FTE_Allocation!$D$2:$D$201,$AB557)="PROJECT"," ("&amp;INDEX(FTE_Allocation!$E$2:$E$201,$AB557)&amp;")",""),"")))</f>
        <v/>
      </c>
      <c r="H557" s="7">
        <f>IF($Z557="C","CONTRACT",IF($Z557="A","ASSET",IF($Z557="F","WORKFORCE","")))</f>
        <v/>
      </c>
      <c r="I557" s="7">
        <f>IF($Z557="C",INDEX(Contracts!$L$2:$L$151,$AB557)&amp;"",IF($Z557="A",INDEX(Fixed_Assets!$I$2:$I$201,$AB557)&amp;"",IF($Z557="F",INDEX(Workforce!$G$2:$G$151,MATCH(INDEX(FTE_Allocation!$A$2:$A$201,$AB557),Workforce!$A$2:$A$151,0))&amp;"","")))</f>
        <v/>
      </c>
      <c r="J557" s="18">
        <f>IF($Z557="","",IF(AND(DATE($AD557,1,1)&gt;=$AE557,DATE($AD557,1,1)&lt;=$AF557),ROUND($AG557,2),0))</f>
        <v/>
      </c>
      <c r="K557" s="18">
        <f>IF($Z557="","",IF(AND(DATE($AD557,2,1)&gt;=$AE557,DATE($AD557,2,1)&lt;=$AF557),ROUND($AG557,2),0))</f>
        <v/>
      </c>
      <c r="L557" s="18">
        <f>IF($Z557="","",IF(AND(DATE($AD557,3,1)&gt;=$AE557,DATE($AD557,3,1)&lt;=$AF557),ROUND($AG557,2),0))</f>
        <v/>
      </c>
      <c r="M557" s="18">
        <f>IF($Z557="","",IF(AND(DATE($AD557,4,1)&gt;=$AE557,DATE($AD557,4,1)&lt;=$AF557),ROUND($AG557,2),0))</f>
        <v/>
      </c>
      <c r="N557" s="18">
        <f>IF($Z557="","",IF(AND(DATE($AD557,5,1)&gt;=$AE557,DATE($AD557,5,1)&lt;=$AF557),ROUND($AG557,2),0))</f>
        <v/>
      </c>
      <c r="O557" s="18">
        <f>IF($Z557="","",IF(AND(DATE($AD557,6,1)&gt;=$AE557,DATE($AD557,6,1)&lt;=$AF557),ROUND($AG557,2),0))</f>
        <v/>
      </c>
      <c r="P557" s="18">
        <f>IF($Z557="","",IF(AND(DATE($AD557,7,1)&gt;=$AE557,DATE($AD557,7,1)&lt;=$AF557),ROUND($AG557,2),0))</f>
        <v/>
      </c>
      <c r="Q557" s="18">
        <f>IF($Z557="","",IF(AND(DATE($AD557,8,1)&gt;=$AE557,DATE($AD557,8,1)&lt;=$AF557),ROUND($AG557,2),0))</f>
        <v/>
      </c>
      <c r="R557" s="18">
        <f>IF($Z557="","",IF(AND(DATE($AD557,9,1)&gt;=$AE557,DATE($AD557,9,1)&lt;=$AF557),ROUND($AG557,2),0))</f>
        <v/>
      </c>
      <c r="S557" s="18">
        <f>IF($Z557="","",IF(AND(DATE($AD557,10,1)&gt;=$AE557,DATE($AD557,10,1)&lt;=$AF557),ROUND($AG557,2),0))</f>
        <v/>
      </c>
      <c r="T557" s="18">
        <f>IF($Z557="","",IF(AND(DATE($AD557,11,1)&gt;=$AE557,DATE($AD557,11,1)&lt;=$AF557),ROUND($AG557,2),0))</f>
        <v/>
      </c>
      <c r="U557" s="18">
        <f>IF($Z557="","",IF(AND(DATE($AD557,12,1)&gt;=$AE557,DATE($AD557,12,1)&lt;=$AF557),ROUND($AG557,2),0))</f>
        <v/>
      </c>
      <c r="V557" s="7">
        <f>IF($Z557="C","Generated from "&amp;INDEX(Contracts!$A$2:$A$151,$AB557),IF($Z557="A","Generated from "&amp;INDEX(Fixed_Assets!$A$2:$A$201,$AB557),IF($Z557="F","Generated from "&amp;INDEX(FTE_Allocation!$A$2:$A$201,$AB557),"")))</f>
        <v/>
      </c>
      <c r="X557" s="19">
        <f>IF($Z557="","",SUM(J557:U557))</f>
        <v/>
      </c>
      <c r="Y557" s="20">
        <f>ROW()-1</f>
        <v/>
      </c>
      <c r="Z557" s="20">
        <f>IF($Y557&lt;=Settings!$B$4*3,"C",IF($Y557&lt;=(Settings!$B$4+Settings!$B$5)*3,"A",IF($Y557&lt;=(Settings!$B$4+Settings!$B$5+Settings!$B$6)*3,"F","")))</f>
        <v/>
      </c>
      <c r="AA557" s="20">
        <f>IF($Z557="C",$Y557,IF($Z557="A",$Y557-Settings!$B$4*3,IF($Z557="F",$Y557-(Settings!$B$4+Settings!$B$5)*3,"")))</f>
        <v/>
      </c>
      <c r="AB557" s="20">
        <f>IF($Z557="","",INT(($AA557-1)/3)+1)</f>
        <v/>
      </c>
      <c r="AC557" s="20">
        <f>IF($Z557="","",MOD($AA557-1,3)+1)</f>
        <v/>
      </c>
      <c r="AD557" s="20">
        <f>IF($Z557="","",Settings!$B$2+$AC557-1)</f>
        <v/>
      </c>
      <c r="AE557" s="21">
        <f>IF($Z557="C",DATE(YEAR(INDEX(Contracts!$J$2:$J$151,$AB557)),MONTH(INDEX(Contracts!$J$2:$J$151,$AB557)),1),IF($Z557="A",DATE(YEAR(INDEX(Fixed_Assets!$G$2:$G$201,$AB557)),MONTH(INDEX(Fixed_Assets!$G$2:$G$201,$AB557)),1),IF($Z557="F",DATE(YEAR(MAX(N(INDEX(Workforce!$I$2:$I$151,MATCH(INDEX(FTE_Allocation!$A$2:$A$201,$AB557),Workforce!$A$2:$A$151,0))),N(INDEX(FTE_Allocation!$I$2:$I$201,$AB557)))),MONTH(MAX(N(INDEX(Workforce!$I$2:$I$151,MATCH(INDEX(FTE_Allocation!$A$2:$A$201,$AB557),Workforce!$A$2:$A$151,0))),N(INDEX(FTE_Allocation!$I$2:$I$201,$AB557)))),1),"")))</f>
        <v/>
      </c>
      <c r="AF557" s="21">
        <f>IF($Z557="C",IF(INDEX(Contracts!$I$2:$I$151,$AB557)="PREPAID",EDATE(DATE(YEAR(INDEX(Contracts!$J$2:$J$151,$AB557)),MONTH(INDEX(Contracts!$J$2:$J$151,$AB557)),1),IF(INDEX(Contracts!$N$2:$N$151,$AB557)="",12,INDEX(Contracts!$N$2:$N$151,$AB557))-1),IF(INDEX(Contracts!$I$2:$I$151,$AB557)="MONTHLY",IF(INDEX(Contracts!$K$2:$K$151,$AB557)="",2958101,INDEX(Contracts!$K$2:$K$151,$AB557)),0)),IF($Z557="A",EDATE(DATE(YEAR(INDEX(Fixed_Assets!$G$2:$G$201,$AB557)),MONTH(INDEX(Fixed_Assets!$G$2:$G$201,$AB557)),1),INDEX(Fixed_Assets!$J$2:$J$201,$AB557)-1),IF($Z557="F",MIN(IF(INDEX(Workforce!$J$2:$J$151,MATCH(INDEX(FTE_Allocation!$A$2:$A$201,$AB557),Workforce!$A$2:$A$151,0))="",2958101,INDEX(Workforce!$J$2:$J$151,MATCH(INDEX(FTE_Allocation!$A$2:$A$201,$AB557),Workforce!$A$2:$A$151,0))),IF(INDEX(FTE_Allocation!$J$2:$J$201,$AB557)="",2958101,INDEX(FTE_Allocation!$J$2:$J$201,$AB557))),"")))</f>
        <v/>
      </c>
      <c r="AG557" s="19">
        <f>IF($Z557="C",IF(INDEX(Contracts!$I$2:$I$151,$AB557)="PREPAID",INDEX(Contracts!$M$2:$M$151,$AB557)/IF(INDEX(Contracts!$N$2:$N$151,$AB557)="",12,INDEX(Contracts!$N$2:$N$151,$AB557)),IF(INDEX(Contracts!$I$2:$I$151,$AB557)="MONTHLY",INDEX(Contracts!$M$2:$M$151,$AB557),0))*(1-N(INDEX(Contracts!$O$2:$O$151,$AB557))),IF($Z557="A",INDEX(Fixed_Assets!$H$2:$H$201,$AB557)/INDEX(Fixed_Assets!$J$2:$J$201,$AB557),IF($Z557="F",INDEX(Workforce!$F$2:$F$151,MATCH(INDEX(FTE_Allocation!$A$2:$A$201,$AB557),Workforce!$A$2:$A$151,0))*N(INDEX(FTE_Allocation!$F$2:$H$201,$AB557,$AC557)),"")))</f>
        <v/>
      </c>
    </row>
    <row r="558">
      <c r="A558" s="7">
        <f>IF($Z558="","",$AD558)</f>
        <v/>
      </c>
      <c r="B558" s="7">
        <f>IF($Z558="C",INDEX(Contracts!$D$2:$D$151,$AB558)&amp;"",IF($Z558="A",INDEX(Fixed_Assets!$C$2:$C$201,$AB558)&amp;"",IF($Z558="F",INDEX(Workforce!$B$2:$B$151,MATCH(INDEX(FTE_Allocation!$A$2:$A$201,$AB558),Workforce!$A$2:$A$151,0))&amp;"","")))</f>
        <v/>
      </c>
      <c r="C558" s="7">
        <f>IF($Z558="C",INDEX(Contracts!$E$2:$E$151,$AB558)&amp;"",IF($Z558="A",INDEX(Fixed_Assets!$D$2:$D$201,$AB558)&amp;"",IF($Z558="F",INDEX(FTE_Allocation!$C$2:$C$201,$AB558)&amp;"","")))</f>
        <v/>
      </c>
      <c r="D558" s="7">
        <f>IF($Z558="C",INDEX(Contracts!$B$2:$B$151,$AB558)&amp;"",IF($Z558="A",INDEX(Fixed_Assets!$B$2:$B$201,$AB558)&amp;"",IF($Z558="F",INDEX(FTE_Allocation!$B$2:$B$201,$AB558)&amp;"","")))</f>
        <v/>
      </c>
      <c r="E558" s="7">
        <f>IF($Z558="C",INDEX(Contracts!$P$2:$P$151,$AB558)&amp;"",IF($Z558="A",INDEX(Fixed_Assets!$K$2:$K$201,$AB558)&amp;"",IF($Z558="F",IF(INDEX(FTE_Allocation!$D$2:$D$201,$AB558)="PROJECT",IFERROR(INDEX(Projects!$D:$D,MATCH(INDEX(FTE_Allocation!$E$2:$E$201,$AB558),Projects!$A:$A,0))&amp;"","#PROJECT?"),INDEX(FTE_Allocation!$E$2:$E$201,$AB558)&amp;""),"")))</f>
        <v/>
      </c>
      <c r="F558" s="7">
        <f>IF($Z558="C",INDEX(Contracts!$Q$2:$Q$151,$AB558)&amp;"",IF($Z558="A",INDEX(Fixed_Assets!$L$2:$L$201,$AB558)&amp;"",IF($Z558="F",INDEX(Workforce!$K$2:$K$151,MATCH(INDEX(FTE_Allocation!$A$2:$A$201,$AB558),Workforce!$A$2:$A$151,0))&amp;"","")))</f>
        <v/>
      </c>
      <c r="G558" s="7">
        <f>IF($Z558="C",INDEX(Contracts!$F$2:$F$151,$AB558)&amp;" / "&amp;INDEX(Contracts!$G$2:$G$151,$AB558),IF($Z558="A",INDEX(Fixed_Assets!$E$2:$E$201,$AB558)&amp;"",IF($Z558="F","Personnel "&amp;INDEX(FTE_Allocation!$A$2:$A$201,$AB558)&amp;IF(INDEX(FTE_Allocation!$D$2:$D$201,$AB558)="PROJECT"," ("&amp;INDEX(FTE_Allocation!$E$2:$E$201,$AB558)&amp;")",""),"")))</f>
        <v/>
      </c>
      <c r="H558" s="7">
        <f>IF($Z558="C","CONTRACT",IF($Z558="A","ASSET",IF($Z558="F","WORKFORCE","")))</f>
        <v/>
      </c>
      <c r="I558" s="7">
        <f>IF($Z558="C",INDEX(Contracts!$L$2:$L$151,$AB558)&amp;"",IF($Z558="A",INDEX(Fixed_Assets!$I$2:$I$201,$AB558)&amp;"",IF($Z558="F",INDEX(Workforce!$G$2:$G$151,MATCH(INDEX(FTE_Allocation!$A$2:$A$201,$AB558),Workforce!$A$2:$A$151,0))&amp;"","")))</f>
        <v/>
      </c>
      <c r="J558" s="18">
        <f>IF($Z558="","",IF(AND(DATE($AD558,1,1)&gt;=$AE558,DATE($AD558,1,1)&lt;=$AF558),ROUND($AG558,2),0))</f>
        <v/>
      </c>
      <c r="K558" s="18">
        <f>IF($Z558="","",IF(AND(DATE($AD558,2,1)&gt;=$AE558,DATE($AD558,2,1)&lt;=$AF558),ROUND($AG558,2),0))</f>
        <v/>
      </c>
      <c r="L558" s="18">
        <f>IF($Z558="","",IF(AND(DATE($AD558,3,1)&gt;=$AE558,DATE($AD558,3,1)&lt;=$AF558),ROUND($AG558,2),0))</f>
        <v/>
      </c>
      <c r="M558" s="18">
        <f>IF($Z558="","",IF(AND(DATE($AD558,4,1)&gt;=$AE558,DATE($AD558,4,1)&lt;=$AF558),ROUND($AG558,2),0))</f>
        <v/>
      </c>
      <c r="N558" s="18">
        <f>IF($Z558="","",IF(AND(DATE($AD558,5,1)&gt;=$AE558,DATE($AD558,5,1)&lt;=$AF558),ROUND($AG558,2),0))</f>
        <v/>
      </c>
      <c r="O558" s="18">
        <f>IF($Z558="","",IF(AND(DATE($AD558,6,1)&gt;=$AE558,DATE($AD558,6,1)&lt;=$AF558),ROUND($AG558,2),0))</f>
        <v/>
      </c>
      <c r="P558" s="18">
        <f>IF($Z558="","",IF(AND(DATE($AD558,7,1)&gt;=$AE558,DATE($AD558,7,1)&lt;=$AF558),ROUND($AG558,2),0))</f>
        <v/>
      </c>
      <c r="Q558" s="18">
        <f>IF($Z558="","",IF(AND(DATE($AD558,8,1)&gt;=$AE558,DATE($AD558,8,1)&lt;=$AF558),ROUND($AG558,2),0))</f>
        <v/>
      </c>
      <c r="R558" s="18">
        <f>IF($Z558="","",IF(AND(DATE($AD558,9,1)&gt;=$AE558,DATE($AD558,9,1)&lt;=$AF558),ROUND($AG558,2),0))</f>
        <v/>
      </c>
      <c r="S558" s="18">
        <f>IF($Z558="","",IF(AND(DATE($AD558,10,1)&gt;=$AE558,DATE($AD558,10,1)&lt;=$AF558),ROUND($AG558,2),0))</f>
        <v/>
      </c>
      <c r="T558" s="18">
        <f>IF($Z558="","",IF(AND(DATE($AD558,11,1)&gt;=$AE558,DATE($AD558,11,1)&lt;=$AF558),ROUND($AG558,2),0))</f>
        <v/>
      </c>
      <c r="U558" s="18">
        <f>IF($Z558="","",IF(AND(DATE($AD558,12,1)&gt;=$AE558,DATE($AD558,12,1)&lt;=$AF558),ROUND($AG558,2),0))</f>
        <v/>
      </c>
      <c r="V558" s="7">
        <f>IF($Z558="C","Generated from "&amp;INDEX(Contracts!$A$2:$A$151,$AB558),IF($Z558="A","Generated from "&amp;INDEX(Fixed_Assets!$A$2:$A$201,$AB558),IF($Z558="F","Generated from "&amp;INDEX(FTE_Allocation!$A$2:$A$201,$AB558),"")))</f>
        <v/>
      </c>
      <c r="X558" s="19">
        <f>IF($Z558="","",SUM(J558:U558))</f>
        <v/>
      </c>
      <c r="Y558" s="20">
        <f>ROW()-1</f>
        <v/>
      </c>
      <c r="Z558" s="20">
        <f>IF($Y558&lt;=Settings!$B$4*3,"C",IF($Y558&lt;=(Settings!$B$4+Settings!$B$5)*3,"A",IF($Y558&lt;=(Settings!$B$4+Settings!$B$5+Settings!$B$6)*3,"F","")))</f>
        <v/>
      </c>
      <c r="AA558" s="20">
        <f>IF($Z558="C",$Y558,IF($Z558="A",$Y558-Settings!$B$4*3,IF($Z558="F",$Y558-(Settings!$B$4+Settings!$B$5)*3,"")))</f>
        <v/>
      </c>
      <c r="AB558" s="20">
        <f>IF($Z558="","",INT(($AA558-1)/3)+1)</f>
        <v/>
      </c>
      <c r="AC558" s="20">
        <f>IF($Z558="","",MOD($AA558-1,3)+1)</f>
        <v/>
      </c>
      <c r="AD558" s="20">
        <f>IF($Z558="","",Settings!$B$2+$AC558-1)</f>
        <v/>
      </c>
      <c r="AE558" s="21">
        <f>IF($Z558="C",DATE(YEAR(INDEX(Contracts!$J$2:$J$151,$AB558)),MONTH(INDEX(Contracts!$J$2:$J$151,$AB558)),1),IF($Z558="A",DATE(YEAR(INDEX(Fixed_Assets!$G$2:$G$201,$AB558)),MONTH(INDEX(Fixed_Assets!$G$2:$G$201,$AB558)),1),IF($Z558="F",DATE(YEAR(MAX(N(INDEX(Workforce!$I$2:$I$151,MATCH(INDEX(FTE_Allocation!$A$2:$A$201,$AB558),Workforce!$A$2:$A$151,0))),N(INDEX(FTE_Allocation!$I$2:$I$201,$AB558)))),MONTH(MAX(N(INDEX(Workforce!$I$2:$I$151,MATCH(INDEX(FTE_Allocation!$A$2:$A$201,$AB558),Workforce!$A$2:$A$151,0))),N(INDEX(FTE_Allocation!$I$2:$I$201,$AB558)))),1),"")))</f>
        <v/>
      </c>
      <c r="AF558" s="21">
        <f>IF($Z558="C",IF(INDEX(Contracts!$I$2:$I$151,$AB558)="PREPAID",EDATE(DATE(YEAR(INDEX(Contracts!$J$2:$J$151,$AB558)),MONTH(INDEX(Contracts!$J$2:$J$151,$AB558)),1),IF(INDEX(Contracts!$N$2:$N$151,$AB558)="",12,INDEX(Contracts!$N$2:$N$151,$AB558))-1),IF(INDEX(Contracts!$I$2:$I$151,$AB558)="MONTHLY",IF(INDEX(Contracts!$K$2:$K$151,$AB558)="",2958101,INDEX(Contracts!$K$2:$K$151,$AB558)),0)),IF($Z558="A",EDATE(DATE(YEAR(INDEX(Fixed_Assets!$G$2:$G$201,$AB558)),MONTH(INDEX(Fixed_Assets!$G$2:$G$201,$AB558)),1),INDEX(Fixed_Assets!$J$2:$J$201,$AB558)-1),IF($Z558="F",MIN(IF(INDEX(Workforce!$J$2:$J$151,MATCH(INDEX(FTE_Allocation!$A$2:$A$201,$AB558),Workforce!$A$2:$A$151,0))="",2958101,INDEX(Workforce!$J$2:$J$151,MATCH(INDEX(FTE_Allocation!$A$2:$A$201,$AB558),Workforce!$A$2:$A$151,0))),IF(INDEX(FTE_Allocation!$J$2:$J$201,$AB558)="",2958101,INDEX(FTE_Allocation!$J$2:$J$201,$AB558))),"")))</f>
        <v/>
      </c>
      <c r="AG558" s="19">
        <f>IF($Z558="C",IF(INDEX(Contracts!$I$2:$I$151,$AB558)="PREPAID",INDEX(Contracts!$M$2:$M$151,$AB558)/IF(INDEX(Contracts!$N$2:$N$151,$AB558)="",12,INDEX(Contracts!$N$2:$N$151,$AB558)),IF(INDEX(Contracts!$I$2:$I$151,$AB558)="MONTHLY",INDEX(Contracts!$M$2:$M$151,$AB558),0))*(1-N(INDEX(Contracts!$O$2:$O$151,$AB558))),IF($Z558="A",INDEX(Fixed_Assets!$H$2:$H$201,$AB558)/INDEX(Fixed_Assets!$J$2:$J$201,$AB558),IF($Z558="F",INDEX(Workforce!$F$2:$F$151,MATCH(INDEX(FTE_Allocation!$A$2:$A$201,$AB558),Workforce!$A$2:$A$151,0))*N(INDEX(FTE_Allocation!$F$2:$H$201,$AB558,$AC558)),"")))</f>
        <v/>
      </c>
    </row>
    <row r="559">
      <c r="A559" s="7">
        <f>IF($Z559="","",$AD559)</f>
        <v/>
      </c>
      <c r="B559" s="7">
        <f>IF($Z559="C",INDEX(Contracts!$D$2:$D$151,$AB559)&amp;"",IF($Z559="A",INDEX(Fixed_Assets!$C$2:$C$201,$AB559)&amp;"",IF($Z559="F",INDEX(Workforce!$B$2:$B$151,MATCH(INDEX(FTE_Allocation!$A$2:$A$201,$AB559),Workforce!$A$2:$A$151,0))&amp;"","")))</f>
        <v/>
      </c>
      <c r="C559" s="7">
        <f>IF($Z559="C",INDEX(Contracts!$E$2:$E$151,$AB559)&amp;"",IF($Z559="A",INDEX(Fixed_Assets!$D$2:$D$201,$AB559)&amp;"",IF($Z559="F",INDEX(FTE_Allocation!$C$2:$C$201,$AB559)&amp;"","")))</f>
        <v/>
      </c>
      <c r="D559" s="7">
        <f>IF($Z559="C",INDEX(Contracts!$B$2:$B$151,$AB559)&amp;"",IF($Z559="A",INDEX(Fixed_Assets!$B$2:$B$201,$AB559)&amp;"",IF($Z559="F",INDEX(FTE_Allocation!$B$2:$B$201,$AB559)&amp;"","")))</f>
        <v/>
      </c>
      <c r="E559" s="7">
        <f>IF($Z559="C",INDEX(Contracts!$P$2:$P$151,$AB559)&amp;"",IF($Z559="A",INDEX(Fixed_Assets!$K$2:$K$201,$AB559)&amp;"",IF($Z559="F",IF(INDEX(FTE_Allocation!$D$2:$D$201,$AB559)="PROJECT",IFERROR(INDEX(Projects!$D:$D,MATCH(INDEX(FTE_Allocation!$E$2:$E$201,$AB559),Projects!$A:$A,0))&amp;"","#PROJECT?"),INDEX(FTE_Allocation!$E$2:$E$201,$AB559)&amp;""),"")))</f>
        <v/>
      </c>
      <c r="F559" s="7">
        <f>IF($Z559="C",INDEX(Contracts!$Q$2:$Q$151,$AB559)&amp;"",IF($Z559="A",INDEX(Fixed_Assets!$L$2:$L$201,$AB559)&amp;"",IF($Z559="F",INDEX(Workforce!$K$2:$K$151,MATCH(INDEX(FTE_Allocation!$A$2:$A$201,$AB559),Workforce!$A$2:$A$151,0))&amp;"","")))</f>
        <v/>
      </c>
      <c r="G559" s="7">
        <f>IF($Z559="C",INDEX(Contracts!$F$2:$F$151,$AB559)&amp;" / "&amp;INDEX(Contracts!$G$2:$G$151,$AB559),IF($Z559="A",INDEX(Fixed_Assets!$E$2:$E$201,$AB559)&amp;"",IF($Z559="F","Personnel "&amp;INDEX(FTE_Allocation!$A$2:$A$201,$AB559)&amp;IF(INDEX(FTE_Allocation!$D$2:$D$201,$AB559)="PROJECT"," ("&amp;INDEX(FTE_Allocation!$E$2:$E$201,$AB559)&amp;")",""),"")))</f>
        <v/>
      </c>
      <c r="H559" s="7">
        <f>IF($Z559="C","CONTRACT",IF($Z559="A","ASSET",IF($Z559="F","WORKFORCE","")))</f>
        <v/>
      </c>
      <c r="I559" s="7">
        <f>IF($Z559="C",INDEX(Contracts!$L$2:$L$151,$AB559)&amp;"",IF($Z559="A",INDEX(Fixed_Assets!$I$2:$I$201,$AB559)&amp;"",IF($Z559="F",INDEX(Workforce!$G$2:$G$151,MATCH(INDEX(FTE_Allocation!$A$2:$A$201,$AB559),Workforce!$A$2:$A$151,0))&amp;"","")))</f>
        <v/>
      </c>
      <c r="J559" s="18">
        <f>IF($Z559="","",IF(AND(DATE($AD559,1,1)&gt;=$AE559,DATE($AD559,1,1)&lt;=$AF559),ROUND($AG559,2),0))</f>
        <v/>
      </c>
      <c r="K559" s="18">
        <f>IF($Z559="","",IF(AND(DATE($AD559,2,1)&gt;=$AE559,DATE($AD559,2,1)&lt;=$AF559),ROUND($AG559,2),0))</f>
        <v/>
      </c>
      <c r="L559" s="18">
        <f>IF($Z559="","",IF(AND(DATE($AD559,3,1)&gt;=$AE559,DATE($AD559,3,1)&lt;=$AF559),ROUND($AG559,2),0))</f>
        <v/>
      </c>
      <c r="M559" s="18">
        <f>IF($Z559="","",IF(AND(DATE($AD559,4,1)&gt;=$AE559,DATE($AD559,4,1)&lt;=$AF559),ROUND($AG559,2),0))</f>
        <v/>
      </c>
      <c r="N559" s="18">
        <f>IF($Z559="","",IF(AND(DATE($AD559,5,1)&gt;=$AE559,DATE($AD559,5,1)&lt;=$AF559),ROUND($AG559,2),0))</f>
        <v/>
      </c>
      <c r="O559" s="18">
        <f>IF($Z559="","",IF(AND(DATE($AD559,6,1)&gt;=$AE559,DATE($AD559,6,1)&lt;=$AF559),ROUND($AG559,2),0))</f>
        <v/>
      </c>
      <c r="P559" s="18">
        <f>IF($Z559="","",IF(AND(DATE($AD559,7,1)&gt;=$AE559,DATE($AD559,7,1)&lt;=$AF559),ROUND($AG559,2),0))</f>
        <v/>
      </c>
      <c r="Q559" s="18">
        <f>IF($Z559="","",IF(AND(DATE($AD559,8,1)&gt;=$AE559,DATE($AD559,8,1)&lt;=$AF559),ROUND($AG559,2),0))</f>
        <v/>
      </c>
      <c r="R559" s="18">
        <f>IF($Z559="","",IF(AND(DATE($AD559,9,1)&gt;=$AE559,DATE($AD559,9,1)&lt;=$AF559),ROUND($AG559,2),0))</f>
        <v/>
      </c>
      <c r="S559" s="18">
        <f>IF($Z559="","",IF(AND(DATE($AD559,10,1)&gt;=$AE559,DATE($AD559,10,1)&lt;=$AF559),ROUND($AG559,2),0))</f>
        <v/>
      </c>
      <c r="T559" s="18">
        <f>IF($Z559="","",IF(AND(DATE($AD559,11,1)&gt;=$AE559,DATE($AD559,11,1)&lt;=$AF559),ROUND($AG559,2),0))</f>
        <v/>
      </c>
      <c r="U559" s="18">
        <f>IF($Z559="","",IF(AND(DATE($AD559,12,1)&gt;=$AE559,DATE($AD559,12,1)&lt;=$AF559),ROUND($AG559,2),0))</f>
        <v/>
      </c>
      <c r="V559" s="7">
        <f>IF($Z559="C","Generated from "&amp;INDEX(Contracts!$A$2:$A$151,$AB559),IF($Z559="A","Generated from "&amp;INDEX(Fixed_Assets!$A$2:$A$201,$AB559),IF($Z559="F","Generated from "&amp;INDEX(FTE_Allocation!$A$2:$A$201,$AB559),"")))</f>
        <v/>
      </c>
      <c r="X559" s="19">
        <f>IF($Z559="","",SUM(J559:U559))</f>
        <v/>
      </c>
      <c r="Y559" s="20">
        <f>ROW()-1</f>
        <v/>
      </c>
      <c r="Z559" s="20">
        <f>IF($Y559&lt;=Settings!$B$4*3,"C",IF($Y559&lt;=(Settings!$B$4+Settings!$B$5)*3,"A",IF($Y559&lt;=(Settings!$B$4+Settings!$B$5+Settings!$B$6)*3,"F","")))</f>
        <v/>
      </c>
      <c r="AA559" s="20">
        <f>IF($Z559="C",$Y559,IF($Z559="A",$Y559-Settings!$B$4*3,IF($Z559="F",$Y559-(Settings!$B$4+Settings!$B$5)*3,"")))</f>
        <v/>
      </c>
      <c r="AB559" s="20">
        <f>IF($Z559="","",INT(($AA559-1)/3)+1)</f>
        <v/>
      </c>
      <c r="AC559" s="20">
        <f>IF($Z559="","",MOD($AA559-1,3)+1)</f>
        <v/>
      </c>
      <c r="AD559" s="20">
        <f>IF($Z559="","",Settings!$B$2+$AC559-1)</f>
        <v/>
      </c>
      <c r="AE559" s="21">
        <f>IF($Z559="C",DATE(YEAR(INDEX(Contracts!$J$2:$J$151,$AB559)),MONTH(INDEX(Contracts!$J$2:$J$151,$AB559)),1),IF($Z559="A",DATE(YEAR(INDEX(Fixed_Assets!$G$2:$G$201,$AB559)),MONTH(INDEX(Fixed_Assets!$G$2:$G$201,$AB559)),1),IF($Z559="F",DATE(YEAR(MAX(N(INDEX(Workforce!$I$2:$I$151,MATCH(INDEX(FTE_Allocation!$A$2:$A$201,$AB559),Workforce!$A$2:$A$151,0))),N(INDEX(FTE_Allocation!$I$2:$I$201,$AB559)))),MONTH(MAX(N(INDEX(Workforce!$I$2:$I$151,MATCH(INDEX(FTE_Allocation!$A$2:$A$201,$AB559),Workforce!$A$2:$A$151,0))),N(INDEX(FTE_Allocation!$I$2:$I$201,$AB559)))),1),"")))</f>
        <v/>
      </c>
      <c r="AF559" s="21">
        <f>IF($Z559="C",IF(INDEX(Contracts!$I$2:$I$151,$AB559)="PREPAID",EDATE(DATE(YEAR(INDEX(Contracts!$J$2:$J$151,$AB559)),MONTH(INDEX(Contracts!$J$2:$J$151,$AB559)),1),IF(INDEX(Contracts!$N$2:$N$151,$AB559)="",12,INDEX(Contracts!$N$2:$N$151,$AB559))-1),IF(INDEX(Contracts!$I$2:$I$151,$AB559)="MONTHLY",IF(INDEX(Contracts!$K$2:$K$151,$AB559)="",2958101,INDEX(Contracts!$K$2:$K$151,$AB559)),0)),IF($Z559="A",EDATE(DATE(YEAR(INDEX(Fixed_Assets!$G$2:$G$201,$AB559)),MONTH(INDEX(Fixed_Assets!$G$2:$G$201,$AB559)),1),INDEX(Fixed_Assets!$J$2:$J$201,$AB559)-1),IF($Z559="F",MIN(IF(INDEX(Workforce!$J$2:$J$151,MATCH(INDEX(FTE_Allocation!$A$2:$A$201,$AB559),Workforce!$A$2:$A$151,0))="",2958101,INDEX(Workforce!$J$2:$J$151,MATCH(INDEX(FTE_Allocation!$A$2:$A$201,$AB559),Workforce!$A$2:$A$151,0))),IF(INDEX(FTE_Allocation!$J$2:$J$201,$AB559)="",2958101,INDEX(FTE_Allocation!$J$2:$J$201,$AB559))),"")))</f>
        <v/>
      </c>
      <c r="AG559" s="19">
        <f>IF($Z559="C",IF(INDEX(Contracts!$I$2:$I$151,$AB559)="PREPAID",INDEX(Contracts!$M$2:$M$151,$AB559)/IF(INDEX(Contracts!$N$2:$N$151,$AB559)="",12,INDEX(Contracts!$N$2:$N$151,$AB559)),IF(INDEX(Contracts!$I$2:$I$151,$AB559)="MONTHLY",INDEX(Contracts!$M$2:$M$151,$AB559),0))*(1-N(INDEX(Contracts!$O$2:$O$151,$AB559))),IF($Z559="A",INDEX(Fixed_Assets!$H$2:$H$201,$AB559)/INDEX(Fixed_Assets!$J$2:$J$201,$AB559),IF($Z559="F",INDEX(Workforce!$F$2:$F$151,MATCH(INDEX(FTE_Allocation!$A$2:$A$201,$AB559),Workforce!$A$2:$A$151,0))*N(INDEX(FTE_Allocation!$F$2:$H$201,$AB559,$AC559)),"")))</f>
        <v/>
      </c>
    </row>
    <row r="560">
      <c r="A560" s="7">
        <f>IF($Z560="","",$AD560)</f>
        <v/>
      </c>
      <c r="B560" s="7">
        <f>IF($Z560="C",INDEX(Contracts!$D$2:$D$151,$AB560)&amp;"",IF($Z560="A",INDEX(Fixed_Assets!$C$2:$C$201,$AB560)&amp;"",IF($Z560="F",INDEX(Workforce!$B$2:$B$151,MATCH(INDEX(FTE_Allocation!$A$2:$A$201,$AB560),Workforce!$A$2:$A$151,0))&amp;"","")))</f>
        <v/>
      </c>
      <c r="C560" s="7">
        <f>IF($Z560="C",INDEX(Contracts!$E$2:$E$151,$AB560)&amp;"",IF($Z560="A",INDEX(Fixed_Assets!$D$2:$D$201,$AB560)&amp;"",IF($Z560="F",INDEX(FTE_Allocation!$C$2:$C$201,$AB560)&amp;"","")))</f>
        <v/>
      </c>
      <c r="D560" s="7">
        <f>IF($Z560="C",INDEX(Contracts!$B$2:$B$151,$AB560)&amp;"",IF($Z560="A",INDEX(Fixed_Assets!$B$2:$B$201,$AB560)&amp;"",IF($Z560="F",INDEX(FTE_Allocation!$B$2:$B$201,$AB560)&amp;"","")))</f>
        <v/>
      </c>
      <c r="E560" s="7">
        <f>IF($Z560="C",INDEX(Contracts!$P$2:$P$151,$AB560)&amp;"",IF($Z560="A",INDEX(Fixed_Assets!$K$2:$K$201,$AB560)&amp;"",IF($Z560="F",IF(INDEX(FTE_Allocation!$D$2:$D$201,$AB560)="PROJECT",IFERROR(INDEX(Projects!$D:$D,MATCH(INDEX(FTE_Allocation!$E$2:$E$201,$AB560),Projects!$A:$A,0))&amp;"","#PROJECT?"),INDEX(FTE_Allocation!$E$2:$E$201,$AB560)&amp;""),"")))</f>
        <v/>
      </c>
      <c r="F560" s="7">
        <f>IF($Z560="C",INDEX(Contracts!$Q$2:$Q$151,$AB560)&amp;"",IF($Z560="A",INDEX(Fixed_Assets!$L$2:$L$201,$AB560)&amp;"",IF($Z560="F",INDEX(Workforce!$K$2:$K$151,MATCH(INDEX(FTE_Allocation!$A$2:$A$201,$AB560),Workforce!$A$2:$A$151,0))&amp;"","")))</f>
        <v/>
      </c>
      <c r="G560" s="7">
        <f>IF($Z560="C",INDEX(Contracts!$F$2:$F$151,$AB560)&amp;" / "&amp;INDEX(Contracts!$G$2:$G$151,$AB560),IF($Z560="A",INDEX(Fixed_Assets!$E$2:$E$201,$AB560)&amp;"",IF($Z560="F","Personnel "&amp;INDEX(FTE_Allocation!$A$2:$A$201,$AB560)&amp;IF(INDEX(FTE_Allocation!$D$2:$D$201,$AB560)="PROJECT"," ("&amp;INDEX(FTE_Allocation!$E$2:$E$201,$AB560)&amp;")",""),"")))</f>
        <v/>
      </c>
      <c r="H560" s="7">
        <f>IF($Z560="C","CONTRACT",IF($Z560="A","ASSET",IF($Z560="F","WORKFORCE","")))</f>
        <v/>
      </c>
      <c r="I560" s="7">
        <f>IF($Z560="C",INDEX(Contracts!$L$2:$L$151,$AB560)&amp;"",IF($Z560="A",INDEX(Fixed_Assets!$I$2:$I$201,$AB560)&amp;"",IF($Z560="F",INDEX(Workforce!$G$2:$G$151,MATCH(INDEX(FTE_Allocation!$A$2:$A$201,$AB560),Workforce!$A$2:$A$151,0))&amp;"","")))</f>
        <v/>
      </c>
      <c r="J560" s="18">
        <f>IF($Z560="","",IF(AND(DATE($AD560,1,1)&gt;=$AE560,DATE($AD560,1,1)&lt;=$AF560),ROUND($AG560,2),0))</f>
        <v/>
      </c>
      <c r="K560" s="18">
        <f>IF($Z560="","",IF(AND(DATE($AD560,2,1)&gt;=$AE560,DATE($AD560,2,1)&lt;=$AF560),ROUND($AG560,2),0))</f>
        <v/>
      </c>
      <c r="L560" s="18">
        <f>IF($Z560="","",IF(AND(DATE($AD560,3,1)&gt;=$AE560,DATE($AD560,3,1)&lt;=$AF560),ROUND($AG560,2),0))</f>
        <v/>
      </c>
      <c r="M560" s="18">
        <f>IF($Z560="","",IF(AND(DATE($AD560,4,1)&gt;=$AE560,DATE($AD560,4,1)&lt;=$AF560),ROUND($AG560,2),0))</f>
        <v/>
      </c>
      <c r="N560" s="18">
        <f>IF($Z560="","",IF(AND(DATE($AD560,5,1)&gt;=$AE560,DATE($AD560,5,1)&lt;=$AF560),ROUND($AG560,2),0))</f>
        <v/>
      </c>
      <c r="O560" s="18">
        <f>IF($Z560="","",IF(AND(DATE($AD560,6,1)&gt;=$AE560,DATE($AD560,6,1)&lt;=$AF560),ROUND($AG560,2),0))</f>
        <v/>
      </c>
      <c r="P560" s="18">
        <f>IF($Z560="","",IF(AND(DATE($AD560,7,1)&gt;=$AE560,DATE($AD560,7,1)&lt;=$AF560),ROUND($AG560,2),0))</f>
        <v/>
      </c>
      <c r="Q560" s="18">
        <f>IF($Z560="","",IF(AND(DATE($AD560,8,1)&gt;=$AE560,DATE($AD560,8,1)&lt;=$AF560),ROUND($AG560,2),0))</f>
        <v/>
      </c>
      <c r="R560" s="18">
        <f>IF($Z560="","",IF(AND(DATE($AD560,9,1)&gt;=$AE560,DATE($AD560,9,1)&lt;=$AF560),ROUND($AG560,2),0))</f>
        <v/>
      </c>
      <c r="S560" s="18">
        <f>IF($Z560="","",IF(AND(DATE($AD560,10,1)&gt;=$AE560,DATE($AD560,10,1)&lt;=$AF560),ROUND($AG560,2),0))</f>
        <v/>
      </c>
      <c r="T560" s="18">
        <f>IF($Z560="","",IF(AND(DATE($AD560,11,1)&gt;=$AE560,DATE($AD560,11,1)&lt;=$AF560),ROUND($AG560,2),0))</f>
        <v/>
      </c>
      <c r="U560" s="18">
        <f>IF($Z560="","",IF(AND(DATE($AD560,12,1)&gt;=$AE560,DATE($AD560,12,1)&lt;=$AF560),ROUND($AG560,2),0))</f>
        <v/>
      </c>
      <c r="V560" s="7">
        <f>IF($Z560="C","Generated from "&amp;INDEX(Contracts!$A$2:$A$151,$AB560),IF($Z560="A","Generated from "&amp;INDEX(Fixed_Assets!$A$2:$A$201,$AB560),IF($Z560="F","Generated from "&amp;INDEX(FTE_Allocation!$A$2:$A$201,$AB560),"")))</f>
        <v/>
      </c>
      <c r="X560" s="19">
        <f>IF($Z560="","",SUM(J560:U560))</f>
        <v/>
      </c>
      <c r="Y560" s="20">
        <f>ROW()-1</f>
        <v/>
      </c>
      <c r="Z560" s="20">
        <f>IF($Y560&lt;=Settings!$B$4*3,"C",IF($Y560&lt;=(Settings!$B$4+Settings!$B$5)*3,"A",IF($Y560&lt;=(Settings!$B$4+Settings!$B$5+Settings!$B$6)*3,"F","")))</f>
        <v/>
      </c>
      <c r="AA560" s="20">
        <f>IF($Z560="C",$Y560,IF($Z560="A",$Y560-Settings!$B$4*3,IF($Z560="F",$Y560-(Settings!$B$4+Settings!$B$5)*3,"")))</f>
        <v/>
      </c>
      <c r="AB560" s="20">
        <f>IF($Z560="","",INT(($AA560-1)/3)+1)</f>
        <v/>
      </c>
      <c r="AC560" s="20">
        <f>IF($Z560="","",MOD($AA560-1,3)+1)</f>
        <v/>
      </c>
      <c r="AD560" s="20">
        <f>IF($Z560="","",Settings!$B$2+$AC560-1)</f>
        <v/>
      </c>
      <c r="AE560" s="21">
        <f>IF($Z560="C",DATE(YEAR(INDEX(Contracts!$J$2:$J$151,$AB560)),MONTH(INDEX(Contracts!$J$2:$J$151,$AB560)),1),IF($Z560="A",DATE(YEAR(INDEX(Fixed_Assets!$G$2:$G$201,$AB560)),MONTH(INDEX(Fixed_Assets!$G$2:$G$201,$AB560)),1),IF($Z560="F",DATE(YEAR(MAX(N(INDEX(Workforce!$I$2:$I$151,MATCH(INDEX(FTE_Allocation!$A$2:$A$201,$AB560),Workforce!$A$2:$A$151,0))),N(INDEX(FTE_Allocation!$I$2:$I$201,$AB560)))),MONTH(MAX(N(INDEX(Workforce!$I$2:$I$151,MATCH(INDEX(FTE_Allocation!$A$2:$A$201,$AB560),Workforce!$A$2:$A$151,0))),N(INDEX(FTE_Allocation!$I$2:$I$201,$AB560)))),1),"")))</f>
        <v/>
      </c>
      <c r="AF560" s="21">
        <f>IF($Z560="C",IF(INDEX(Contracts!$I$2:$I$151,$AB560)="PREPAID",EDATE(DATE(YEAR(INDEX(Contracts!$J$2:$J$151,$AB560)),MONTH(INDEX(Contracts!$J$2:$J$151,$AB560)),1),IF(INDEX(Contracts!$N$2:$N$151,$AB560)="",12,INDEX(Contracts!$N$2:$N$151,$AB560))-1),IF(INDEX(Contracts!$I$2:$I$151,$AB560)="MONTHLY",IF(INDEX(Contracts!$K$2:$K$151,$AB560)="",2958101,INDEX(Contracts!$K$2:$K$151,$AB560)),0)),IF($Z560="A",EDATE(DATE(YEAR(INDEX(Fixed_Assets!$G$2:$G$201,$AB560)),MONTH(INDEX(Fixed_Assets!$G$2:$G$201,$AB560)),1),INDEX(Fixed_Assets!$J$2:$J$201,$AB560)-1),IF($Z560="F",MIN(IF(INDEX(Workforce!$J$2:$J$151,MATCH(INDEX(FTE_Allocation!$A$2:$A$201,$AB560),Workforce!$A$2:$A$151,0))="",2958101,INDEX(Workforce!$J$2:$J$151,MATCH(INDEX(FTE_Allocation!$A$2:$A$201,$AB560),Workforce!$A$2:$A$151,0))),IF(INDEX(FTE_Allocation!$J$2:$J$201,$AB560)="",2958101,INDEX(FTE_Allocation!$J$2:$J$201,$AB560))),"")))</f>
        <v/>
      </c>
      <c r="AG560" s="19">
        <f>IF($Z560="C",IF(INDEX(Contracts!$I$2:$I$151,$AB560)="PREPAID",INDEX(Contracts!$M$2:$M$151,$AB560)/IF(INDEX(Contracts!$N$2:$N$151,$AB560)="",12,INDEX(Contracts!$N$2:$N$151,$AB560)),IF(INDEX(Contracts!$I$2:$I$151,$AB560)="MONTHLY",INDEX(Contracts!$M$2:$M$151,$AB560),0))*(1-N(INDEX(Contracts!$O$2:$O$151,$AB560))),IF($Z560="A",INDEX(Fixed_Assets!$H$2:$H$201,$AB560)/INDEX(Fixed_Assets!$J$2:$J$201,$AB560),IF($Z560="F",INDEX(Workforce!$F$2:$F$151,MATCH(INDEX(FTE_Allocation!$A$2:$A$201,$AB560),Workforce!$A$2:$A$151,0))*N(INDEX(FTE_Allocation!$F$2:$H$201,$AB560,$AC560)),"")))</f>
        <v/>
      </c>
    </row>
    <row r="561">
      <c r="A561" s="7">
        <f>IF($Z561="","",$AD561)</f>
        <v/>
      </c>
      <c r="B561" s="7">
        <f>IF($Z561="C",INDEX(Contracts!$D$2:$D$151,$AB561)&amp;"",IF($Z561="A",INDEX(Fixed_Assets!$C$2:$C$201,$AB561)&amp;"",IF($Z561="F",INDEX(Workforce!$B$2:$B$151,MATCH(INDEX(FTE_Allocation!$A$2:$A$201,$AB561),Workforce!$A$2:$A$151,0))&amp;"","")))</f>
        <v/>
      </c>
      <c r="C561" s="7">
        <f>IF($Z561="C",INDEX(Contracts!$E$2:$E$151,$AB561)&amp;"",IF($Z561="A",INDEX(Fixed_Assets!$D$2:$D$201,$AB561)&amp;"",IF($Z561="F",INDEX(FTE_Allocation!$C$2:$C$201,$AB561)&amp;"","")))</f>
        <v/>
      </c>
      <c r="D561" s="7">
        <f>IF($Z561="C",INDEX(Contracts!$B$2:$B$151,$AB561)&amp;"",IF($Z561="A",INDEX(Fixed_Assets!$B$2:$B$201,$AB561)&amp;"",IF($Z561="F",INDEX(FTE_Allocation!$B$2:$B$201,$AB561)&amp;"","")))</f>
        <v/>
      </c>
      <c r="E561" s="7">
        <f>IF($Z561="C",INDEX(Contracts!$P$2:$P$151,$AB561)&amp;"",IF($Z561="A",INDEX(Fixed_Assets!$K$2:$K$201,$AB561)&amp;"",IF($Z561="F",IF(INDEX(FTE_Allocation!$D$2:$D$201,$AB561)="PROJECT",IFERROR(INDEX(Projects!$D:$D,MATCH(INDEX(FTE_Allocation!$E$2:$E$201,$AB561),Projects!$A:$A,0))&amp;"","#PROJECT?"),INDEX(FTE_Allocation!$E$2:$E$201,$AB561)&amp;""),"")))</f>
        <v/>
      </c>
      <c r="F561" s="7">
        <f>IF($Z561="C",INDEX(Contracts!$Q$2:$Q$151,$AB561)&amp;"",IF($Z561="A",INDEX(Fixed_Assets!$L$2:$L$201,$AB561)&amp;"",IF($Z561="F",INDEX(Workforce!$K$2:$K$151,MATCH(INDEX(FTE_Allocation!$A$2:$A$201,$AB561),Workforce!$A$2:$A$151,0))&amp;"","")))</f>
        <v/>
      </c>
      <c r="G561" s="7">
        <f>IF($Z561="C",INDEX(Contracts!$F$2:$F$151,$AB561)&amp;" / "&amp;INDEX(Contracts!$G$2:$G$151,$AB561),IF($Z561="A",INDEX(Fixed_Assets!$E$2:$E$201,$AB561)&amp;"",IF($Z561="F","Personnel "&amp;INDEX(FTE_Allocation!$A$2:$A$201,$AB561)&amp;IF(INDEX(FTE_Allocation!$D$2:$D$201,$AB561)="PROJECT"," ("&amp;INDEX(FTE_Allocation!$E$2:$E$201,$AB561)&amp;")",""),"")))</f>
        <v/>
      </c>
      <c r="H561" s="7">
        <f>IF($Z561="C","CONTRACT",IF($Z561="A","ASSET",IF($Z561="F","WORKFORCE","")))</f>
        <v/>
      </c>
      <c r="I561" s="7">
        <f>IF($Z561="C",INDEX(Contracts!$L$2:$L$151,$AB561)&amp;"",IF($Z561="A",INDEX(Fixed_Assets!$I$2:$I$201,$AB561)&amp;"",IF($Z561="F",INDEX(Workforce!$G$2:$G$151,MATCH(INDEX(FTE_Allocation!$A$2:$A$201,$AB561),Workforce!$A$2:$A$151,0))&amp;"","")))</f>
        <v/>
      </c>
      <c r="J561" s="18">
        <f>IF($Z561="","",IF(AND(DATE($AD561,1,1)&gt;=$AE561,DATE($AD561,1,1)&lt;=$AF561),ROUND($AG561,2),0))</f>
        <v/>
      </c>
      <c r="K561" s="18">
        <f>IF($Z561="","",IF(AND(DATE($AD561,2,1)&gt;=$AE561,DATE($AD561,2,1)&lt;=$AF561),ROUND($AG561,2),0))</f>
        <v/>
      </c>
      <c r="L561" s="18">
        <f>IF($Z561="","",IF(AND(DATE($AD561,3,1)&gt;=$AE561,DATE($AD561,3,1)&lt;=$AF561),ROUND($AG561,2),0))</f>
        <v/>
      </c>
      <c r="M561" s="18">
        <f>IF($Z561="","",IF(AND(DATE($AD561,4,1)&gt;=$AE561,DATE($AD561,4,1)&lt;=$AF561),ROUND($AG561,2),0))</f>
        <v/>
      </c>
      <c r="N561" s="18">
        <f>IF($Z561="","",IF(AND(DATE($AD561,5,1)&gt;=$AE561,DATE($AD561,5,1)&lt;=$AF561),ROUND($AG561,2),0))</f>
        <v/>
      </c>
      <c r="O561" s="18">
        <f>IF($Z561="","",IF(AND(DATE($AD561,6,1)&gt;=$AE561,DATE($AD561,6,1)&lt;=$AF561),ROUND($AG561,2),0))</f>
        <v/>
      </c>
      <c r="P561" s="18">
        <f>IF($Z561="","",IF(AND(DATE($AD561,7,1)&gt;=$AE561,DATE($AD561,7,1)&lt;=$AF561),ROUND($AG561,2),0))</f>
        <v/>
      </c>
      <c r="Q561" s="18">
        <f>IF($Z561="","",IF(AND(DATE($AD561,8,1)&gt;=$AE561,DATE($AD561,8,1)&lt;=$AF561),ROUND($AG561,2),0))</f>
        <v/>
      </c>
      <c r="R561" s="18">
        <f>IF($Z561="","",IF(AND(DATE($AD561,9,1)&gt;=$AE561,DATE($AD561,9,1)&lt;=$AF561),ROUND($AG561,2),0))</f>
        <v/>
      </c>
      <c r="S561" s="18">
        <f>IF($Z561="","",IF(AND(DATE($AD561,10,1)&gt;=$AE561,DATE($AD561,10,1)&lt;=$AF561),ROUND($AG561,2),0))</f>
        <v/>
      </c>
      <c r="T561" s="18">
        <f>IF($Z561="","",IF(AND(DATE($AD561,11,1)&gt;=$AE561,DATE($AD561,11,1)&lt;=$AF561),ROUND($AG561,2),0))</f>
        <v/>
      </c>
      <c r="U561" s="18">
        <f>IF($Z561="","",IF(AND(DATE($AD561,12,1)&gt;=$AE561,DATE($AD561,12,1)&lt;=$AF561),ROUND($AG561,2),0))</f>
        <v/>
      </c>
      <c r="V561" s="7">
        <f>IF($Z561="C","Generated from "&amp;INDEX(Contracts!$A$2:$A$151,$AB561),IF($Z561="A","Generated from "&amp;INDEX(Fixed_Assets!$A$2:$A$201,$AB561),IF($Z561="F","Generated from "&amp;INDEX(FTE_Allocation!$A$2:$A$201,$AB561),"")))</f>
        <v/>
      </c>
      <c r="X561" s="19">
        <f>IF($Z561="","",SUM(J561:U561))</f>
        <v/>
      </c>
      <c r="Y561" s="20">
        <f>ROW()-1</f>
        <v/>
      </c>
      <c r="Z561" s="20">
        <f>IF($Y561&lt;=Settings!$B$4*3,"C",IF($Y561&lt;=(Settings!$B$4+Settings!$B$5)*3,"A",IF($Y561&lt;=(Settings!$B$4+Settings!$B$5+Settings!$B$6)*3,"F","")))</f>
        <v/>
      </c>
      <c r="AA561" s="20">
        <f>IF($Z561="C",$Y561,IF($Z561="A",$Y561-Settings!$B$4*3,IF($Z561="F",$Y561-(Settings!$B$4+Settings!$B$5)*3,"")))</f>
        <v/>
      </c>
      <c r="AB561" s="20">
        <f>IF($Z561="","",INT(($AA561-1)/3)+1)</f>
        <v/>
      </c>
      <c r="AC561" s="20">
        <f>IF($Z561="","",MOD($AA561-1,3)+1)</f>
        <v/>
      </c>
      <c r="AD561" s="20">
        <f>IF($Z561="","",Settings!$B$2+$AC561-1)</f>
        <v/>
      </c>
      <c r="AE561" s="21">
        <f>IF($Z561="C",DATE(YEAR(INDEX(Contracts!$J$2:$J$151,$AB561)),MONTH(INDEX(Contracts!$J$2:$J$151,$AB561)),1),IF($Z561="A",DATE(YEAR(INDEX(Fixed_Assets!$G$2:$G$201,$AB561)),MONTH(INDEX(Fixed_Assets!$G$2:$G$201,$AB561)),1),IF($Z561="F",DATE(YEAR(MAX(N(INDEX(Workforce!$I$2:$I$151,MATCH(INDEX(FTE_Allocation!$A$2:$A$201,$AB561),Workforce!$A$2:$A$151,0))),N(INDEX(FTE_Allocation!$I$2:$I$201,$AB561)))),MONTH(MAX(N(INDEX(Workforce!$I$2:$I$151,MATCH(INDEX(FTE_Allocation!$A$2:$A$201,$AB561),Workforce!$A$2:$A$151,0))),N(INDEX(FTE_Allocation!$I$2:$I$201,$AB561)))),1),"")))</f>
        <v/>
      </c>
      <c r="AF561" s="21">
        <f>IF($Z561="C",IF(INDEX(Contracts!$I$2:$I$151,$AB561)="PREPAID",EDATE(DATE(YEAR(INDEX(Contracts!$J$2:$J$151,$AB561)),MONTH(INDEX(Contracts!$J$2:$J$151,$AB561)),1),IF(INDEX(Contracts!$N$2:$N$151,$AB561)="",12,INDEX(Contracts!$N$2:$N$151,$AB561))-1),IF(INDEX(Contracts!$I$2:$I$151,$AB561)="MONTHLY",IF(INDEX(Contracts!$K$2:$K$151,$AB561)="",2958101,INDEX(Contracts!$K$2:$K$151,$AB561)),0)),IF($Z561="A",EDATE(DATE(YEAR(INDEX(Fixed_Assets!$G$2:$G$201,$AB561)),MONTH(INDEX(Fixed_Assets!$G$2:$G$201,$AB561)),1),INDEX(Fixed_Assets!$J$2:$J$201,$AB561)-1),IF($Z561="F",MIN(IF(INDEX(Workforce!$J$2:$J$151,MATCH(INDEX(FTE_Allocation!$A$2:$A$201,$AB561),Workforce!$A$2:$A$151,0))="",2958101,INDEX(Workforce!$J$2:$J$151,MATCH(INDEX(FTE_Allocation!$A$2:$A$201,$AB561),Workforce!$A$2:$A$151,0))),IF(INDEX(FTE_Allocation!$J$2:$J$201,$AB561)="",2958101,INDEX(FTE_Allocation!$J$2:$J$201,$AB561))),"")))</f>
        <v/>
      </c>
      <c r="AG561" s="19">
        <f>IF($Z561="C",IF(INDEX(Contracts!$I$2:$I$151,$AB561)="PREPAID",INDEX(Contracts!$M$2:$M$151,$AB561)/IF(INDEX(Contracts!$N$2:$N$151,$AB561)="",12,INDEX(Contracts!$N$2:$N$151,$AB561)),IF(INDEX(Contracts!$I$2:$I$151,$AB561)="MONTHLY",INDEX(Contracts!$M$2:$M$151,$AB561),0))*(1-N(INDEX(Contracts!$O$2:$O$151,$AB561))),IF($Z561="A",INDEX(Fixed_Assets!$H$2:$H$201,$AB561)/INDEX(Fixed_Assets!$J$2:$J$201,$AB561),IF($Z561="F",INDEX(Workforce!$F$2:$F$151,MATCH(INDEX(FTE_Allocation!$A$2:$A$201,$AB561),Workforce!$A$2:$A$151,0))*N(INDEX(FTE_Allocation!$F$2:$H$201,$AB561,$AC561)),"")))</f>
        <v/>
      </c>
    </row>
    <row r="562">
      <c r="A562" s="7">
        <f>IF($Z562="","",$AD562)</f>
        <v/>
      </c>
      <c r="B562" s="7">
        <f>IF($Z562="C",INDEX(Contracts!$D$2:$D$151,$AB562)&amp;"",IF($Z562="A",INDEX(Fixed_Assets!$C$2:$C$201,$AB562)&amp;"",IF($Z562="F",INDEX(Workforce!$B$2:$B$151,MATCH(INDEX(FTE_Allocation!$A$2:$A$201,$AB562),Workforce!$A$2:$A$151,0))&amp;"","")))</f>
        <v/>
      </c>
      <c r="C562" s="7">
        <f>IF($Z562="C",INDEX(Contracts!$E$2:$E$151,$AB562)&amp;"",IF($Z562="A",INDEX(Fixed_Assets!$D$2:$D$201,$AB562)&amp;"",IF($Z562="F",INDEX(FTE_Allocation!$C$2:$C$201,$AB562)&amp;"","")))</f>
        <v/>
      </c>
      <c r="D562" s="7">
        <f>IF($Z562="C",INDEX(Contracts!$B$2:$B$151,$AB562)&amp;"",IF($Z562="A",INDEX(Fixed_Assets!$B$2:$B$201,$AB562)&amp;"",IF($Z562="F",INDEX(FTE_Allocation!$B$2:$B$201,$AB562)&amp;"","")))</f>
        <v/>
      </c>
      <c r="E562" s="7">
        <f>IF($Z562="C",INDEX(Contracts!$P$2:$P$151,$AB562)&amp;"",IF($Z562="A",INDEX(Fixed_Assets!$K$2:$K$201,$AB562)&amp;"",IF($Z562="F",IF(INDEX(FTE_Allocation!$D$2:$D$201,$AB562)="PROJECT",IFERROR(INDEX(Projects!$D:$D,MATCH(INDEX(FTE_Allocation!$E$2:$E$201,$AB562),Projects!$A:$A,0))&amp;"","#PROJECT?"),INDEX(FTE_Allocation!$E$2:$E$201,$AB562)&amp;""),"")))</f>
        <v/>
      </c>
      <c r="F562" s="7">
        <f>IF($Z562="C",INDEX(Contracts!$Q$2:$Q$151,$AB562)&amp;"",IF($Z562="A",INDEX(Fixed_Assets!$L$2:$L$201,$AB562)&amp;"",IF($Z562="F",INDEX(Workforce!$K$2:$K$151,MATCH(INDEX(FTE_Allocation!$A$2:$A$201,$AB562),Workforce!$A$2:$A$151,0))&amp;"","")))</f>
        <v/>
      </c>
      <c r="G562" s="7">
        <f>IF($Z562="C",INDEX(Contracts!$F$2:$F$151,$AB562)&amp;" / "&amp;INDEX(Contracts!$G$2:$G$151,$AB562),IF($Z562="A",INDEX(Fixed_Assets!$E$2:$E$201,$AB562)&amp;"",IF($Z562="F","Personnel "&amp;INDEX(FTE_Allocation!$A$2:$A$201,$AB562)&amp;IF(INDEX(FTE_Allocation!$D$2:$D$201,$AB562)="PROJECT"," ("&amp;INDEX(FTE_Allocation!$E$2:$E$201,$AB562)&amp;")",""),"")))</f>
        <v/>
      </c>
      <c r="H562" s="7">
        <f>IF($Z562="C","CONTRACT",IF($Z562="A","ASSET",IF($Z562="F","WORKFORCE","")))</f>
        <v/>
      </c>
      <c r="I562" s="7">
        <f>IF($Z562="C",INDEX(Contracts!$L$2:$L$151,$AB562)&amp;"",IF($Z562="A",INDEX(Fixed_Assets!$I$2:$I$201,$AB562)&amp;"",IF($Z562="F",INDEX(Workforce!$G$2:$G$151,MATCH(INDEX(FTE_Allocation!$A$2:$A$201,$AB562),Workforce!$A$2:$A$151,0))&amp;"","")))</f>
        <v/>
      </c>
      <c r="J562" s="18">
        <f>IF($Z562="","",IF(AND(DATE($AD562,1,1)&gt;=$AE562,DATE($AD562,1,1)&lt;=$AF562),ROUND($AG562,2),0))</f>
        <v/>
      </c>
      <c r="K562" s="18">
        <f>IF($Z562="","",IF(AND(DATE($AD562,2,1)&gt;=$AE562,DATE($AD562,2,1)&lt;=$AF562),ROUND($AG562,2),0))</f>
        <v/>
      </c>
      <c r="L562" s="18">
        <f>IF($Z562="","",IF(AND(DATE($AD562,3,1)&gt;=$AE562,DATE($AD562,3,1)&lt;=$AF562),ROUND($AG562,2),0))</f>
        <v/>
      </c>
      <c r="M562" s="18">
        <f>IF($Z562="","",IF(AND(DATE($AD562,4,1)&gt;=$AE562,DATE($AD562,4,1)&lt;=$AF562),ROUND($AG562,2),0))</f>
        <v/>
      </c>
      <c r="N562" s="18">
        <f>IF($Z562="","",IF(AND(DATE($AD562,5,1)&gt;=$AE562,DATE($AD562,5,1)&lt;=$AF562),ROUND($AG562,2),0))</f>
        <v/>
      </c>
      <c r="O562" s="18">
        <f>IF($Z562="","",IF(AND(DATE($AD562,6,1)&gt;=$AE562,DATE($AD562,6,1)&lt;=$AF562),ROUND($AG562,2),0))</f>
        <v/>
      </c>
      <c r="P562" s="18">
        <f>IF($Z562="","",IF(AND(DATE($AD562,7,1)&gt;=$AE562,DATE($AD562,7,1)&lt;=$AF562),ROUND($AG562,2),0))</f>
        <v/>
      </c>
      <c r="Q562" s="18">
        <f>IF($Z562="","",IF(AND(DATE($AD562,8,1)&gt;=$AE562,DATE($AD562,8,1)&lt;=$AF562),ROUND($AG562,2),0))</f>
        <v/>
      </c>
      <c r="R562" s="18">
        <f>IF($Z562="","",IF(AND(DATE($AD562,9,1)&gt;=$AE562,DATE($AD562,9,1)&lt;=$AF562),ROUND($AG562,2),0))</f>
        <v/>
      </c>
      <c r="S562" s="18">
        <f>IF($Z562="","",IF(AND(DATE($AD562,10,1)&gt;=$AE562,DATE($AD562,10,1)&lt;=$AF562),ROUND($AG562,2),0))</f>
        <v/>
      </c>
      <c r="T562" s="18">
        <f>IF($Z562="","",IF(AND(DATE($AD562,11,1)&gt;=$AE562,DATE($AD562,11,1)&lt;=$AF562),ROUND($AG562,2),0))</f>
        <v/>
      </c>
      <c r="U562" s="18">
        <f>IF($Z562="","",IF(AND(DATE($AD562,12,1)&gt;=$AE562,DATE($AD562,12,1)&lt;=$AF562),ROUND($AG562,2),0))</f>
        <v/>
      </c>
      <c r="V562" s="7">
        <f>IF($Z562="C","Generated from "&amp;INDEX(Contracts!$A$2:$A$151,$AB562),IF($Z562="A","Generated from "&amp;INDEX(Fixed_Assets!$A$2:$A$201,$AB562),IF($Z562="F","Generated from "&amp;INDEX(FTE_Allocation!$A$2:$A$201,$AB562),"")))</f>
        <v/>
      </c>
      <c r="X562" s="19">
        <f>IF($Z562="","",SUM(J562:U562))</f>
        <v/>
      </c>
      <c r="Y562" s="20">
        <f>ROW()-1</f>
        <v/>
      </c>
      <c r="Z562" s="20">
        <f>IF($Y562&lt;=Settings!$B$4*3,"C",IF($Y562&lt;=(Settings!$B$4+Settings!$B$5)*3,"A",IF($Y562&lt;=(Settings!$B$4+Settings!$B$5+Settings!$B$6)*3,"F","")))</f>
        <v/>
      </c>
      <c r="AA562" s="20">
        <f>IF($Z562="C",$Y562,IF($Z562="A",$Y562-Settings!$B$4*3,IF($Z562="F",$Y562-(Settings!$B$4+Settings!$B$5)*3,"")))</f>
        <v/>
      </c>
      <c r="AB562" s="20">
        <f>IF($Z562="","",INT(($AA562-1)/3)+1)</f>
        <v/>
      </c>
      <c r="AC562" s="20">
        <f>IF($Z562="","",MOD($AA562-1,3)+1)</f>
        <v/>
      </c>
      <c r="AD562" s="20">
        <f>IF($Z562="","",Settings!$B$2+$AC562-1)</f>
        <v/>
      </c>
      <c r="AE562" s="21">
        <f>IF($Z562="C",DATE(YEAR(INDEX(Contracts!$J$2:$J$151,$AB562)),MONTH(INDEX(Contracts!$J$2:$J$151,$AB562)),1),IF($Z562="A",DATE(YEAR(INDEX(Fixed_Assets!$G$2:$G$201,$AB562)),MONTH(INDEX(Fixed_Assets!$G$2:$G$201,$AB562)),1),IF($Z562="F",DATE(YEAR(MAX(N(INDEX(Workforce!$I$2:$I$151,MATCH(INDEX(FTE_Allocation!$A$2:$A$201,$AB562),Workforce!$A$2:$A$151,0))),N(INDEX(FTE_Allocation!$I$2:$I$201,$AB562)))),MONTH(MAX(N(INDEX(Workforce!$I$2:$I$151,MATCH(INDEX(FTE_Allocation!$A$2:$A$201,$AB562),Workforce!$A$2:$A$151,0))),N(INDEX(FTE_Allocation!$I$2:$I$201,$AB562)))),1),"")))</f>
        <v/>
      </c>
      <c r="AF562" s="21">
        <f>IF($Z562="C",IF(INDEX(Contracts!$I$2:$I$151,$AB562)="PREPAID",EDATE(DATE(YEAR(INDEX(Contracts!$J$2:$J$151,$AB562)),MONTH(INDEX(Contracts!$J$2:$J$151,$AB562)),1),IF(INDEX(Contracts!$N$2:$N$151,$AB562)="",12,INDEX(Contracts!$N$2:$N$151,$AB562))-1),IF(INDEX(Contracts!$I$2:$I$151,$AB562)="MONTHLY",IF(INDEX(Contracts!$K$2:$K$151,$AB562)="",2958101,INDEX(Contracts!$K$2:$K$151,$AB562)),0)),IF($Z562="A",EDATE(DATE(YEAR(INDEX(Fixed_Assets!$G$2:$G$201,$AB562)),MONTH(INDEX(Fixed_Assets!$G$2:$G$201,$AB562)),1),INDEX(Fixed_Assets!$J$2:$J$201,$AB562)-1),IF($Z562="F",MIN(IF(INDEX(Workforce!$J$2:$J$151,MATCH(INDEX(FTE_Allocation!$A$2:$A$201,$AB562),Workforce!$A$2:$A$151,0))="",2958101,INDEX(Workforce!$J$2:$J$151,MATCH(INDEX(FTE_Allocation!$A$2:$A$201,$AB562),Workforce!$A$2:$A$151,0))),IF(INDEX(FTE_Allocation!$J$2:$J$201,$AB562)="",2958101,INDEX(FTE_Allocation!$J$2:$J$201,$AB562))),"")))</f>
        <v/>
      </c>
      <c r="AG562" s="19">
        <f>IF($Z562="C",IF(INDEX(Contracts!$I$2:$I$151,$AB562)="PREPAID",INDEX(Contracts!$M$2:$M$151,$AB562)/IF(INDEX(Contracts!$N$2:$N$151,$AB562)="",12,INDEX(Contracts!$N$2:$N$151,$AB562)),IF(INDEX(Contracts!$I$2:$I$151,$AB562)="MONTHLY",INDEX(Contracts!$M$2:$M$151,$AB562),0))*(1-N(INDEX(Contracts!$O$2:$O$151,$AB562))),IF($Z562="A",INDEX(Fixed_Assets!$H$2:$H$201,$AB562)/INDEX(Fixed_Assets!$J$2:$J$201,$AB562),IF($Z562="F",INDEX(Workforce!$F$2:$F$151,MATCH(INDEX(FTE_Allocation!$A$2:$A$201,$AB562),Workforce!$A$2:$A$151,0))*N(INDEX(FTE_Allocation!$F$2:$H$201,$AB562,$AC562)),"")))</f>
        <v/>
      </c>
    </row>
    <row r="563">
      <c r="A563" s="7">
        <f>IF($Z563="","",$AD563)</f>
        <v/>
      </c>
      <c r="B563" s="7">
        <f>IF($Z563="C",INDEX(Contracts!$D$2:$D$151,$AB563)&amp;"",IF($Z563="A",INDEX(Fixed_Assets!$C$2:$C$201,$AB563)&amp;"",IF($Z563="F",INDEX(Workforce!$B$2:$B$151,MATCH(INDEX(FTE_Allocation!$A$2:$A$201,$AB563),Workforce!$A$2:$A$151,0))&amp;"","")))</f>
        <v/>
      </c>
      <c r="C563" s="7">
        <f>IF($Z563="C",INDEX(Contracts!$E$2:$E$151,$AB563)&amp;"",IF($Z563="A",INDEX(Fixed_Assets!$D$2:$D$201,$AB563)&amp;"",IF($Z563="F",INDEX(FTE_Allocation!$C$2:$C$201,$AB563)&amp;"","")))</f>
        <v/>
      </c>
      <c r="D563" s="7">
        <f>IF($Z563="C",INDEX(Contracts!$B$2:$B$151,$AB563)&amp;"",IF($Z563="A",INDEX(Fixed_Assets!$B$2:$B$201,$AB563)&amp;"",IF($Z563="F",INDEX(FTE_Allocation!$B$2:$B$201,$AB563)&amp;"","")))</f>
        <v/>
      </c>
      <c r="E563" s="7">
        <f>IF($Z563="C",INDEX(Contracts!$P$2:$P$151,$AB563)&amp;"",IF($Z563="A",INDEX(Fixed_Assets!$K$2:$K$201,$AB563)&amp;"",IF($Z563="F",IF(INDEX(FTE_Allocation!$D$2:$D$201,$AB563)="PROJECT",IFERROR(INDEX(Projects!$D:$D,MATCH(INDEX(FTE_Allocation!$E$2:$E$201,$AB563),Projects!$A:$A,0))&amp;"","#PROJECT?"),INDEX(FTE_Allocation!$E$2:$E$201,$AB563)&amp;""),"")))</f>
        <v/>
      </c>
      <c r="F563" s="7">
        <f>IF($Z563="C",INDEX(Contracts!$Q$2:$Q$151,$AB563)&amp;"",IF($Z563="A",INDEX(Fixed_Assets!$L$2:$L$201,$AB563)&amp;"",IF($Z563="F",INDEX(Workforce!$K$2:$K$151,MATCH(INDEX(FTE_Allocation!$A$2:$A$201,$AB563),Workforce!$A$2:$A$151,0))&amp;"","")))</f>
        <v/>
      </c>
      <c r="G563" s="7">
        <f>IF($Z563="C",INDEX(Contracts!$F$2:$F$151,$AB563)&amp;" / "&amp;INDEX(Contracts!$G$2:$G$151,$AB563),IF($Z563="A",INDEX(Fixed_Assets!$E$2:$E$201,$AB563)&amp;"",IF($Z563="F","Personnel "&amp;INDEX(FTE_Allocation!$A$2:$A$201,$AB563)&amp;IF(INDEX(FTE_Allocation!$D$2:$D$201,$AB563)="PROJECT"," ("&amp;INDEX(FTE_Allocation!$E$2:$E$201,$AB563)&amp;")",""),"")))</f>
        <v/>
      </c>
      <c r="H563" s="7">
        <f>IF($Z563="C","CONTRACT",IF($Z563="A","ASSET",IF($Z563="F","WORKFORCE","")))</f>
        <v/>
      </c>
      <c r="I563" s="7">
        <f>IF($Z563="C",INDEX(Contracts!$L$2:$L$151,$AB563)&amp;"",IF($Z563="A",INDEX(Fixed_Assets!$I$2:$I$201,$AB563)&amp;"",IF($Z563="F",INDEX(Workforce!$G$2:$G$151,MATCH(INDEX(FTE_Allocation!$A$2:$A$201,$AB563),Workforce!$A$2:$A$151,0))&amp;"","")))</f>
        <v/>
      </c>
      <c r="J563" s="18">
        <f>IF($Z563="","",IF(AND(DATE($AD563,1,1)&gt;=$AE563,DATE($AD563,1,1)&lt;=$AF563),ROUND($AG563,2),0))</f>
        <v/>
      </c>
      <c r="K563" s="18">
        <f>IF($Z563="","",IF(AND(DATE($AD563,2,1)&gt;=$AE563,DATE($AD563,2,1)&lt;=$AF563),ROUND($AG563,2),0))</f>
        <v/>
      </c>
      <c r="L563" s="18">
        <f>IF($Z563="","",IF(AND(DATE($AD563,3,1)&gt;=$AE563,DATE($AD563,3,1)&lt;=$AF563),ROUND($AG563,2),0))</f>
        <v/>
      </c>
      <c r="M563" s="18">
        <f>IF($Z563="","",IF(AND(DATE($AD563,4,1)&gt;=$AE563,DATE($AD563,4,1)&lt;=$AF563),ROUND($AG563,2),0))</f>
        <v/>
      </c>
      <c r="N563" s="18">
        <f>IF($Z563="","",IF(AND(DATE($AD563,5,1)&gt;=$AE563,DATE($AD563,5,1)&lt;=$AF563),ROUND($AG563,2),0))</f>
        <v/>
      </c>
      <c r="O563" s="18">
        <f>IF($Z563="","",IF(AND(DATE($AD563,6,1)&gt;=$AE563,DATE($AD563,6,1)&lt;=$AF563),ROUND($AG563,2),0))</f>
        <v/>
      </c>
      <c r="P563" s="18">
        <f>IF($Z563="","",IF(AND(DATE($AD563,7,1)&gt;=$AE563,DATE($AD563,7,1)&lt;=$AF563),ROUND($AG563,2),0))</f>
        <v/>
      </c>
      <c r="Q563" s="18">
        <f>IF($Z563="","",IF(AND(DATE($AD563,8,1)&gt;=$AE563,DATE($AD563,8,1)&lt;=$AF563),ROUND($AG563,2),0))</f>
        <v/>
      </c>
      <c r="R563" s="18">
        <f>IF($Z563="","",IF(AND(DATE($AD563,9,1)&gt;=$AE563,DATE($AD563,9,1)&lt;=$AF563),ROUND($AG563,2),0))</f>
        <v/>
      </c>
      <c r="S563" s="18">
        <f>IF($Z563="","",IF(AND(DATE($AD563,10,1)&gt;=$AE563,DATE($AD563,10,1)&lt;=$AF563),ROUND($AG563,2),0))</f>
        <v/>
      </c>
      <c r="T563" s="18">
        <f>IF($Z563="","",IF(AND(DATE($AD563,11,1)&gt;=$AE563,DATE($AD563,11,1)&lt;=$AF563),ROUND($AG563,2),0))</f>
        <v/>
      </c>
      <c r="U563" s="18">
        <f>IF($Z563="","",IF(AND(DATE($AD563,12,1)&gt;=$AE563,DATE($AD563,12,1)&lt;=$AF563),ROUND($AG563,2),0))</f>
        <v/>
      </c>
      <c r="V563" s="7">
        <f>IF($Z563="C","Generated from "&amp;INDEX(Contracts!$A$2:$A$151,$AB563),IF($Z563="A","Generated from "&amp;INDEX(Fixed_Assets!$A$2:$A$201,$AB563),IF($Z563="F","Generated from "&amp;INDEX(FTE_Allocation!$A$2:$A$201,$AB563),"")))</f>
        <v/>
      </c>
      <c r="X563" s="19">
        <f>IF($Z563="","",SUM(J563:U563))</f>
        <v/>
      </c>
      <c r="Y563" s="20">
        <f>ROW()-1</f>
        <v/>
      </c>
      <c r="Z563" s="20">
        <f>IF($Y563&lt;=Settings!$B$4*3,"C",IF($Y563&lt;=(Settings!$B$4+Settings!$B$5)*3,"A",IF($Y563&lt;=(Settings!$B$4+Settings!$B$5+Settings!$B$6)*3,"F","")))</f>
        <v/>
      </c>
      <c r="AA563" s="20">
        <f>IF($Z563="C",$Y563,IF($Z563="A",$Y563-Settings!$B$4*3,IF($Z563="F",$Y563-(Settings!$B$4+Settings!$B$5)*3,"")))</f>
        <v/>
      </c>
      <c r="AB563" s="20">
        <f>IF($Z563="","",INT(($AA563-1)/3)+1)</f>
        <v/>
      </c>
      <c r="AC563" s="20">
        <f>IF($Z563="","",MOD($AA563-1,3)+1)</f>
        <v/>
      </c>
      <c r="AD563" s="20">
        <f>IF($Z563="","",Settings!$B$2+$AC563-1)</f>
        <v/>
      </c>
      <c r="AE563" s="21">
        <f>IF($Z563="C",DATE(YEAR(INDEX(Contracts!$J$2:$J$151,$AB563)),MONTH(INDEX(Contracts!$J$2:$J$151,$AB563)),1),IF($Z563="A",DATE(YEAR(INDEX(Fixed_Assets!$G$2:$G$201,$AB563)),MONTH(INDEX(Fixed_Assets!$G$2:$G$201,$AB563)),1),IF($Z563="F",DATE(YEAR(MAX(N(INDEX(Workforce!$I$2:$I$151,MATCH(INDEX(FTE_Allocation!$A$2:$A$201,$AB563),Workforce!$A$2:$A$151,0))),N(INDEX(FTE_Allocation!$I$2:$I$201,$AB563)))),MONTH(MAX(N(INDEX(Workforce!$I$2:$I$151,MATCH(INDEX(FTE_Allocation!$A$2:$A$201,$AB563),Workforce!$A$2:$A$151,0))),N(INDEX(FTE_Allocation!$I$2:$I$201,$AB563)))),1),"")))</f>
        <v/>
      </c>
      <c r="AF563" s="21">
        <f>IF($Z563="C",IF(INDEX(Contracts!$I$2:$I$151,$AB563)="PREPAID",EDATE(DATE(YEAR(INDEX(Contracts!$J$2:$J$151,$AB563)),MONTH(INDEX(Contracts!$J$2:$J$151,$AB563)),1),IF(INDEX(Contracts!$N$2:$N$151,$AB563)="",12,INDEX(Contracts!$N$2:$N$151,$AB563))-1),IF(INDEX(Contracts!$I$2:$I$151,$AB563)="MONTHLY",IF(INDEX(Contracts!$K$2:$K$151,$AB563)="",2958101,INDEX(Contracts!$K$2:$K$151,$AB563)),0)),IF($Z563="A",EDATE(DATE(YEAR(INDEX(Fixed_Assets!$G$2:$G$201,$AB563)),MONTH(INDEX(Fixed_Assets!$G$2:$G$201,$AB563)),1),INDEX(Fixed_Assets!$J$2:$J$201,$AB563)-1),IF($Z563="F",MIN(IF(INDEX(Workforce!$J$2:$J$151,MATCH(INDEX(FTE_Allocation!$A$2:$A$201,$AB563),Workforce!$A$2:$A$151,0))="",2958101,INDEX(Workforce!$J$2:$J$151,MATCH(INDEX(FTE_Allocation!$A$2:$A$201,$AB563),Workforce!$A$2:$A$151,0))),IF(INDEX(FTE_Allocation!$J$2:$J$201,$AB563)="",2958101,INDEX(FTE_Allocation!$J$2:$J$201,$AB563))),"")))</f>
        <v/>
      </c>
      <c r="AG563" s="19">
        <f>IF($Z563="C",IF(INDEX(Contracts!$I$2:$I$151,$AB563)="PREPAID",INDEX(Contracts!$M$2:$M$151,$AB563)/IF(INDEX(Contracts!$N$2:$N$151,$AB563)="",12,INDEX(Contracts!$N$2:$N$151,$AB563)),IF(INDEX(Contracts!$I$2:$I$151,$AB563)="MONTHLY",INDEX(Contracts!$M$2:$M$151,$AB563),0))*(1-N(INDEX(Contracts!$O$2:$O$151,$AB563))),IF($Z563="A",INDEX(Fixed_Assets!$H$2:$H$201,$AB563)/INDEX(Fixed_Assets!$J$2:$J$201,$AB563),IF($Z563="F",INDEX(Workforce!$F$2:$F$151,MATCH(INDEX(FTE_Allocation!$A$2:$A$201,$AB563),Workforce!$A$2:$A$151,0))*N(INDEX(FTE_Allocation!$F$2:$H$201,$AB563,$AC563)),"")))</f>
        <v/>
      </c>
    </row>
    <row r="564">
      <c r="A564" s="7">
        <f>IF($Z564="","",$AD564)</f>
        <v/>
      </c>
      <c r="B564" s="7">
        <f>IF($Z564="C",INDEX(Contracts!$D$2:$D$151,$AB564)&amp;"",IF($Z564="A",INDEX(Fixed_Assets!$C$2:$C$201,$AB564)&amp;"",IF($Z564="F",INDEX(Workforce!$B$2:$B$151,MATCH(INDEX(FTE_Allocation!$A$2:$A$201,$AB564),Workforce!$A$2:$A$151,0))&amp;"","")))</f>
        <v/>
      </c>
      <c r="C564" s="7">
        <f>IF($Z564="C",INDEX(Contracts!$E$2:$E$151,$AB564)&amp;"",IF($Z564="A",INDEX(Fixed_Assets!$D$2:$D$201,$AB564)&amp;"",IF($Z564="F",INDEX(FTE_Allocation!$C$2:$C$201,$AB564)&amp;"","")))</f>
        <v/>
      </c>
      <c r="D564" s="7">
        <f>IF($Z564="C",INDEX(Contracts!$B$2:$B$151,$AB564)&amp;"",IF($Z564="A",INDEX(Fixed_Assets!$B$2:$B$201,$AB564)&amp;"",IF($Z564="F",INDEX(FTE_Allocation!$B$2:$B$201,$AB564)&amp;"","")))</f>
        <v/>
      </c>
      <c r="E564" s="7">
        <f>IF($Z564="C",INDEX(Contracts!$P$2:$P$151,$AB564)&amp;"",IF($Z564="A",INDEX(Fixed_Assets!$K$2:$K$201,$AB564)&amp;"",IF($Z564="F",IF(INDEX(FTE_Allocation!$D$2:$D$201,$AB564)="PROJECT",IFERROR(INDEX(Projects!$D:$D,MATCH(INDEX(FTE_Allocation!$E$2:$E$201,$AB564),Projects!$A:$A,0))&amp;"","#PROJECT?"),INDEX(FTE_Allocation!$E$2:$E$201,$AB564)&amp;""),"")))</f>
        <v/>
      </c>
      <c r="F564" s="7">
        <f>IF($Z564="C",INDEX(Contracts!$Q$2:$Q$151,$AB564)&amp;"",IF($Z564="A",INDEX(Fixed_Assets!$L$2:$L$201,$AB564)&amp;"",IF($Z564="F",INDEX(Workforce!$K$2:$K$151,MATCH(INDEX(FTE_Allocation!$A$2:$A$201,$AB564),Workforce!$A$2:$A$151,0))&amp;"","")))</f>
        <v/>
      </c>
      <c r="G564" s="7">
        <f>IF($Z564="C",INDEX(Contracts!$F$2:$F$151,$AB564)&amp;" / "&amp;INDEX(Contracts!$G$2:$G$151,$AB564),IF($Z564="A",INDEX(Fixed_Assets!$E$2:$E$201,$AB564)&amp;"",IF($Z564="F","Personnel "&amp;INDEX(FTE_Allocation!$A$2:$A$201,$AB564)&amp;IF(INDEX(FTE_Allocation!$D$2:$D$201,$AB564)="PROJECT"," ("&amp;INDEX(FTE_Allocation!$E$2:$E$201,$AB564)&amp;")",""),"")))</f>
        <v/>
      </c>
      <c r="H564" s="7">
        <f>IF($Z564="C","CONTRACT",IF($Z564="A","ASSET",IF($Z564="F","WORKFORCE","")))</f>
        <v/>
      </c>
      <c r="I564" s="7">
        <f>IF($Z564="C",INDEX(Contracts!$L$2:$L$151,$AB564)&amp;"",IF($Z564="A",INDEX(Fixed_Assets!$I$2:$I$201,$AB564)&amp;"",IF($Z564="F",INDEX(Workforce!$G$2:$G$151,MATCH(INDEX(FTE_Allocation!$A$2:$A$201,$AB564),Workforce!$A$2:$A$151,0))&amp;"","")))</f>
        <v/>
      </c>
      <c r="J564" s="18">
        <f>IF($Z564="","",IF(AND(DATE($AD564,1,1)&gt;=$AE564,DATE($AD564,1,1)&lt;=$AF564),ROUND($AG564,2),0))</f>
        <v/>
      </c>
      <c r="K564" s="18">
        <f>IF($Z564="","",IF(AND(DATE($AD564,2,1)&gt;=$AE564,DATE($AD564,2,1)&lt;=$AF564),ROUND($AG564,2),0))</f>
        <v/>
      </c>
      <c r="L564" s="18">
        <f>IF($Z564="","",IF(AND(DATE($AD564,3,1)&gt;=$AE564,DATE($AD564,3,1)&lt;=$AF564),ROUND($AG564,2),0))</f>
        <v/>
      </c>
      <c r="M564" s="18">
        <f>IF($Z564="","",IF(AND(DATE($AD564,4,1)&gt;=$AE564,DATE($AD564,4,1)&lt;=$AF564),ROUND($AG564,2),0))</f>
        <v/>
      </c>
      <c r="N564" s="18">
        <f>IF($Z564="","",IF(AND(DATE($AD564,5,1)&gt;=$AE564,DATE($AD564,5,1)&lt;=$AF564),ROUND($AG564,2),0))</f>
        <v/>
      </c>
      <c r="O564" s="18">
        <f>IF($Z564="","",IF(AND(DATE($AD564,6,1)&gt;=$AE564,DATE($AD564,6,1)&lt;=$AF564),ROUND($AG564,2),0))</f>
        <v/>
      </c>
      <c r="P564" s="18">
        <f>IF($Z564="","",IF(AND(DATE($AD564,7,1)&gt;=$AE564,DATE($AD564,7,1)&lt;=$AF564),ROUND($AG564,2),0))</f>
        <v/>
      </c>
      <c r="Q564" s="18">
        <f>IF($Z564="","",IF(AND(DATE($AD564,8,1)&gt;=$AE564,DATE($AD564,8,1)&lt;=$AF564),ROUND($AG564,2),0))</f>
        <v/>
      </c>
      <c r="R564" s="18">
        <f>IF($Z564="","",IF(AND(DATE($AD564,9,1)&gt;=$AE564,DATE($AD564,9,1)&lt;=$AF564),ROUND($AG564,2),0))</f>
        <v/>
      </c>
      <c r="S564" s="18">
        <f>IF($Z564="","",IF(AND(DATE($AD564,10,1)&gt;=$AE564,DATE($AD564,10,1)&lt;=$AF564),ROUND($AG564,2),0))</f>
        <v/>
      </c>
      <c r="T564" s="18">
        <f>IF($Z564="","",IF(AND(DATE($AD564,11,1)&gt;=$AE564,DATE($AD564,11,1)&lt;=$AF564),ROUND($AG564,2),0))</f>
        <v/>
      </c>
      <c r="U564" s="18">
        <f>IF($Z564="","",IF(AND(DATE($AD564,12,1)&gt;=$AE564,DATE($AD564,12,1)&lt;=$AF564),ROUND($AG564,2),0))</f>
        <v/>
      </c>
      <c r="V564" s="7">
        <f>IF($Z564="C","Generated from "&amp;INDEX(Contracts!$A$2:$A$151,$AB564),IF($Z564="A","Generated from "&amp;INDEX(Fixed_Assets!$A$2:$A$201,$AB564),IF($Z564="F","Generated from "&amp;INDEX(FTE_Allocation!$A$2:$A$201,$AB564),"")))</f>
        <v/>
      </c>
      <c r="X564" s="19">
        <f>IF($Z564="","",SUM(J564:U564))</f>
        <v/>
      </c>
      <c r="Y564" s="20">
        <f>ROW()-1</f>
        <v/>
      </c>
      <c r="Z564" s="20">
        <f>IF($Y564&lt;=Settings!$B$4*3,"C",IF($Y564&lt;=(Settings!$B$4+Settings!$B$5)*3,"A",IF($Y564&lt;=(Settings!$B$4+Settings!$B$5+Settings!$B$6)*3,"F","")))</f>
        <v/>
      </c>
      <c r="AA564" s="20">
        <f>IF($Z564="C",$Y564,IF($Z564="A",$Y564-Settings!$B$4*3,IF($Z564="F",$Y564-(Settings!$B$4+Settings!$B$5)*3,"")))</f>
        <v/>
      </c>
      <c r="AB564" s="20">
        <f>IF($Z564="","",INT(($AA564-1)/3)+1)</f>
        <v/>
      </c>
      <c r="AC564" s="20">
        <f>IF($Z564="","",MOD($AA564-1,3)+1)</f>
        <v/>
      </c>
      <c r="AD564" s="20">
        <f>IF($Z564="","",Settings!$B$2+$AC564-1)</f>
        <v/>
      </c>
      <c r="AE564" s="21">
        <f>IF($Z564="C",DATE(YEAR(INDEX(Contracts!$J$2:$J$151,$AB564)),MONTH(INDEX(Contracts!$J$2:$J$151,$AB564)),1),IF($Z564="A",DATE(YEAR(INDEX(Fixed_Assets!$G$2:$G$201,$AB564)),MONTH(INDEX(Fixed_Assets!$G$2:$G$201,$AB564)),1),IF($Z564="F",DATE(YEAR(MAX(N(INDEX(Workforce!$I$2:$I$151,MATCH(INDEX(FTE_Allocation!$A$2:$A$201,$AB564),Workforce!$A$2:$A$151,0))),N(INDEX(FTE_Allocation!$I$2:$I$201,$AB564)))),MONTH(MAX(N(INDEX(Workforce!$I$2:$I$151,MATCH(INDEX(FTE_Allocation!$A$2:$A$201,$AB564),Workforce!$A$2:$A$151,0))),N(INDEX(FTE_Allocation!$I$2:$I$201,$AB564)))),1),"")))</f>
        <v/>
      </c>
      <c r="AF564" s="21">
        <f>IF($Z564="C",IF(INDEX(Contracts!$I$2:$I$151,$AB564)="PREPAID",EDATE(DATE(YEAR(INDEX(Contracts!$J$2:$J$151,$AB564)),MONTH(INDEX(Contracts!$J$2:$J$151,$AB564)),1),IF(INDEX(Contracts!$N$2:$N$151,$AB564)="",12,INDEX(Contracts!$N$2:$N$151,$AB564))-1),IF(INDEX(Contracts!$I$2:$I$151,$AB564)="MONTHLY",IF(INDEX(Contracts!$K$2:$K$151,$AB564)="",2958101,INDEX(Contracts!$K$2:$K$151,$AB564)),0)),IF($Z564="A",EDATE(DATE(YEAR(INDEX(Fixed_Assets!$G$2:$G$201,$AB564)),MONTH(INDEX(Fixed_Assets!$G$2:$G$201,$AB564)),1),INDEX(Fixed_Assets!$J$2:$J$201,$AB564)-1),IF($Z564="F",MIN(IF(INDEX(Workforce!$J$2:$J$151,MATCH(INDEX(FTE_Allocation!$A$2:$A$201,$AB564),Workforce!$A$2:$A$151,0))="",2958101,INDEX(Workforce!$J$2:$J$151,MATCH(INDEX(FTE_Allocation!$A$2:$A$201,$AB564),Workforce!$A$2:$A$151,0))),IF(INDEX(FTE_Allocation!$J$2:$J$201,$AB564)="",2958101,INDEX(FTE_Allocation!$J$2:$J$201,$AB564))),"")))</f>
        <v/>
      </c>
      <c r="AG564" s="19">
        <f>IF($Z564="C",IF(INDEX(Contracts!$I$2:$I$151,$AB564)="PREPAID",INDEX(Contracts!$M$2:$M$151,$AB564)/IF(INDEX(Contracts!$N$2:$N$151,$AB564)="",12,INDEX(Contracts!$N$2:$N$151,$AB564)),IF(INDEX(Contracts!$I$2:$I$151,$AB564)="MONTHLY",INDEX(Contracts!$M$2:$M$151,$AB564),0))*(1-N(INDEX(Contracts!$O$2:$O$151,$AB564))),IF($Z564="A",INDEX(Fixed_Assets!$H$2:$H$201,$AB564)/INDEX(Fixed_Assets!$J$2:$J$201,$AB564),IF($Z564="F",INDEX(Workforce!$F$2:$F$151,MATCH(INDEX(FTE_Allocation!$A$2:$A$201,$AB564),Workforce!$A$2:$A$151,0))*N(INDEX(FTE_Allocation!$F$2:$H$201,$AB564,$AC564)),"")))</f>
        <v/>
      </c>
    </row>
    <row r="565">
      <c r="A565" s="7">
        <f>IF($Z565="","",$AD565)</f>
        <v/>
      </c>
      <c r="B565" s="7">
        <f>IF($Z565="C",INDEX(Contracts!$D$2:$D$151,$AB565)&amp;"",IF($Z565="A",INDEX(Fixed_Assets!$C$2:$C$201,$AB565)&amp;"",IF($Z565="F",INDEX(Workforce!$B$2:$B$151,MATCH(INDEX(FTE_Allocation!$A$2:$A$201,$AB565),Workforce!$A$2:$A$151,0))&amp;"","")))</f>
        <v/>
      </c>
      <c r="C565" s="7">
        <f>IF($Z565="C",INDEX(Contracts!$E$2:$E$151,$AB565)&amp;"",IF($Z565="A",INDEX(Fixed_Assets!$D$2:$D$201,$AB565)&amp;"",IF($Z565="F",INDEX(FTE_Allocation!$C$2:$C$201,$AB565)&amp;"","")))</f>
        <v/>
      </c>
      <c r="D565" s="7">
        <f>IF($Z565="C",INDEX(Contracts!$B$2:$B$151,$AB565)&amp;"",IF($Z565="A",INDEX(Fixed_Assets!$B$2:$B$201,$AB565)&amp;"",IF($Z565="F",INDEX(FTE_Allocation!$B$2:$B$201,$AB565)&amp;"","")))</f>
        <v/>
      </c>
      <c r="E565" s="7">
        <f>IF($Z565="C",INDEX(Contracts!$P$2:$P$151,$AB565)&amp;"",IF($Z565="A",INDEX(Fixed_Assets!$K$2:$K$201,$AB565)&amp;"",IF($Z565="F",IF(INDEX(FTE_Allocation!$D$2:$D$201,$AB565)="PROJECT",IFERROR(INDEX(Projects!$D:$D,MATCH(INDEX(FTE_Allocation!$E$2:$E$201,$AB565),Projects!$A:$A,0))&amp;"","#PROJECT?"),INDEX(FTE_Allocation!$E$2:$E$201,$AB565)&amp;""),"")))</f>
        <v/>
      </c>
      <c r="F565" s="7">
        <f>IF($Z565="C",INDEX(Contracts!$Q$2:$Q$151,$AB565)&amp;"",IF($Z565="A",INDEX(Fixed_Assets!$L$2:$L$201,$AB565)&amp;"",IF($Z565="F",INDEX(Workforce!$K$2:$K$151,MATCH(INDEX(FTE_Allocation!$A$2:$A$201,$AB565),Workforce!$A$2:$A$151,0))&amp;"","")))</f>
        <v/>
      </c>
      <c r="G565" s="7">
        <f>IF($Z565="C",INDEX(Contracts!$F$2:$F$151,$AB565)&amp;" / "&amp;INDEX(Contracts!$G$2:$G$151,$AB565),IF($Z565="A",INDEX(Fixed_Assets!$E$2:$E$201,$AB565)&amp;"",IF($Z565="F","Personnel "&amp;INDEX(FTE_Allocation!$A$2:$A$201,$AB565)&amp;IF(INDEX(FTE_Allocation!$D$2:$D$201,$AB565)="PROJECT"," ("&amp;INDEX(FTE_Allocation!$E$2:$E$201,$AB565)&amp;")",""),"")))</f>
        <v/>
      </c>
      <c r="H565" s="7">
        <f>IF($Z565="C","CONTRACT",IF($Z565="A","ASSET",IF($Z565="F","WORKFORCE","")))</f>
        <v/>
      </c>
      <c r="I565" s="7">
        <f>IF($Z565="C",INDEX(Contracts!$L$2:$L$151,$AB565)&amp;"",IF($Z565="A",INDEX(Fixed_Assets!$I$2:$I$201,$AB565)&amp;"",IF($Z565="F",INDEX(Workforce!$G$2:$G$151,MATCH(INDEX(FTE_Allocation!$A$2:$A$201,$AB565),Workforce!$A$2:$A$151,0))&amp;"","")))</f>
        <v/>
      </c>
      <c r="J565" s="18">
        <f>IF($Z565="","",IF(AND(DATE($AD565,1,1)&gt;=$AE565,DATE($AD565,1,1)&lt;=$AF565),ROUND($AG565,2),0))</f>
        <v/>
      </c>
      <c r="K565" s="18">
        <f>IF($Z565="","",IF(AND(DATE($AD565,2,1)&gt;=$AE565,DATE($AD565,2,1)&lt;=$AF565),ROUND($AG565,2),0))</f>
        <v/>
      </c>
      <c r="L565" s="18">
        <f>IF($Z565="","",IF(AND(DATE($AD565,3,1)&gt;=$AE565,DATE($AD565,3,1)&lt;=$AF565),ROUND($AG565,2),0))</f>
        <v/>
      </c>
      <c r="M565" s="18">
        <f>IF($Z565="","",IF(AND(DATE($AD565,4,1)&gt;=$AE565,DATE($AD565,4,1)&lt;=$AF565),ROUND($AG565,2),0))</f>
        <v/>
      </c>
      <c r="N565" s="18">
        <f>IF($Z565="","",IF(AND(DATE($AD565,5,1)&gt;=$AE565,DATE($AD565,5,1)&lt;=$AF565),ROUND($AG565,2),0))</f>
        <v/>
      </c>
      <c r="O565" s="18">
        <f>IF($Z565="","",IF(AND(DATE($AD565,6,1)&gt;=$AE565,DATE($AD565,6,1)&lt;=$AF565),ROUND($AG565,2),0))</f>
        <v/>
      </c>
      <c r="P565" s="18">
        <f>IF($Z565="","",IF(AND(DATE($AD565,7,1)&gt;=$AE565,DATE($AD565,7,1)&lt;=$AF565),ROUND($AG565,2),0))</f>
        <v/>
      </c>
      <c r="Q565" s="18">
        <f>IF($Z565="","",IF(AND(DATE($AD565,8,1)&gt;=$AE565,DATE($AD565,8,1)&lt;=$AF565),ROUND($AG565,2),0))</f>
        <v/>
      </c>
      <c r="R565" s="18">
        <f>IF($Z565="","",IF(AND(DATE($AD565,9,1)&gt;=$AE565,DATE($AD565,9,1)&lt;=$AF565),ROUND($AG565,2),0))</f>
        <v/>
      </c>
      <c r="S565" s="18">
        <f>IF($Z565="","",IF(AND(DATE($AD565,10,1)&gt;=$AE565,DATE($AD565,10,1)&lt;=$AF565),ROUND($AG565,2),0))</f>
        <v/>
      </c>
      <c r="T565" s="18">
        <f>IF($Z565="","",IF(AND(DATE($AD565,11,1)&gt;=$AE565,DATE($AD565,11,1)&lt;=$AF565),ROUND($AG565,2),0))</f>
        <v/>
      </c>
      <c r="U565" s="18">
        <f>IF($Z565="","",IF(AND(DATE($AD565,12,1)&gt;=$AE565,DATE($AD565,12,1)&lt;=$AF565),ROUND($AG565,2),0))</f>
        <v/>
      </c>
      <c r="V565" s="7">
        <f>IF($Z565="C","Generated from "&amp;INDEX(Contracts!$A$2:$A$151,$AB565),IF($Z565="A","Generated from "&amp;INDEX(Fixed_Assets!$A$2:$A$201,$AB565),IF($Z565="F","Generated from "&amp;INDEX(FTE_Allocation!$A$2:$A$201,$AB565),"")))</f>
        <v/>
      </c>
      <c r="X565" s="19">
        <f>IF($Z565="","",SUM(J565:U565))</f>
        <v/>
      </c>
      <c r="Y565" s="20">
        <f>ROW()-1</f>
        <v/>
      </c>
      <c r="Z565" s="20">
        <f>IF($Y565&lt;=Settings!$B$4*3,"C",IF($Y565&lt;=(Settings!$B$4+Settings!$B$5)*3,"A",IF($Y565&lt;=(Settings!$B$4+Settings!$B$5+Settings!$B$6)*3,"F","")))</f>
        <v/>
      </c>
      <c r="AA565" s="20">
        <f>IF($Z565="C",$Y565,IF($Z565="A",$Y565-Settings!$B$4*3,IF($Z565="F",$Y565-(Settings!$B$4+Settings!$B$5)*3,"")))</f>
        <v/>
      </c>
      <c r="AB565" s="20">
        <f>IF($Z565="","",INT(($AA565-1)/3)+1)</f>
        <v/>
      </c>
      <c r="AC565" s="20">
        <f>IF($Z565="","",MOD($AA565-1,3)+1)</f>
        <v/>
      </c>
      <c r="AD565" s="20">
        <f>IF($Z565="","",Settings!$B$2+$AC565-1)</f>
        <v/>
      </c>
      <c r="AE565" s="21">
        <f>IF($Z565="C",DATE(YEAR(INDEX(Contracts!$J$2:$J$151,$AB565)),MONTH(INDEX(Contracts!$J$2:$J$151,$AB565)),1),IF($Z565="A",DATE(YEAR(INDEX(Fixed_Assets!$G$2:$G$201,$AB565)),MONTH(INDEX(Fixed_Assets!$G$2:$G$201,$AB565)),1),IF($Z565="F",DATE(YEAR(MAX(N(INDEX(Workforce!$I$2:$I$151,MATCH(INDEX(FTE_Allocation!$A$2:$A$201,$AB565),Workforce!$A$2:$A$151,0))),N(INDEX(FTE_Allocation!$I$2:$I$201,$AB565)))),MONTH(MAX(N(INDEX(Workforce!$I$2:$I$151,MATCH(INDEX(FTE_Allocation!$A$2:$A$201,$AB565),Workforce!$A$2:$A$151,0))),N(INDEX(FTE_Allocation!$I$2:$I$201,$AB565)))),1),"")))</f>
        <v/>
      </c>
      <c r="AF565" s="21">
        <f>IF($Z565="C",IF(INDEX(Contracts!$I$2:$I$151,$AB565)="PREPAID",EDATE(DATE(YEAR(INDEX(Contracts!$J$2:$J$151,$AB565)),MONTH(INDEX(Contracts!$J$2:$J$151,$AB565)),1),IF(INDEX(Contracts!$N$2:$N$151,$AB565)="",12,INDEX(Contracts!$N$2:$N$151,$AB565))-1),IF(INDEX(Contracts!$I$2:$I$151,$AB565)="MONTHLY",IF(INDEX(Contracts!$K$2:$K$151,$AB565)="",2958101,INDEX(Contracts!$K$2:$K$151,$AB565)),0)),IF($Z565="A",EDATE(DATE(YEAR(INDEX(Fixed_Assets!$G$2:$G$201,$AB565)),MONTH(INDEX(Fixed_Assets!$G$2:$G$201,$AB565)),1),INDEX(Fixed_Assets!$J$2:$J$201,$AB565)-1),IF($Z565="F",MIN(IF(INDEX(Workforce!$J$2:$J$151,MATCH(INDEX(FTE_Allocation!$A$2:$A$201,$AB565),Workforce!$A$2:$A$151,0))="",2958101,INDEX(Workforce!$J$2:$J$151,MATCH(INDEX(FTE_Allocation!$A$2:$A$201,$AB565),Workforce!$A$2:$A$151,0))),IF(INDEX(FTE_Allocation!$J$2:$J$201,$AB565)="",2958101,INDEX(FTE_Allocation!$J$2:$J$201,$AB565))),"")))</f>
        <v/>
      </c>
      <c r="AG565" s="19">
        <f>IF($Z565="C",IF(INDEX(Contracts!$I$2:$I$151,$AB565)="PREPAID",INDEX(Contracts!$M$2:$M$151,$AB565)/IF(INDEX(Contracts!$N$2:$N$151,$AB565)="",12,INDEX(Contracts!$N$2:$N$151,$AB565)),IF(INDEX(Contracts!$I$2:$I$151,$AB565)="MONTHLY",INDEX(Contracts!$M$2:$M$151,$AB565),0))*(1-N(INDEX(Contracts!$O$2:$O$151,$AB565))),IF($Z565="A",INDEX(Fixed_Assets!$H$2:$H$201,$AB565)/INDEX(Fixed_Assets!$J$2:$J$201,$AB565),IF($Z565="F",INDEX(Workforce!$F$2:$F$151,MATCH(INDEX(FTE_Allocation!$A$2:$A$201,$AB565),Workforce!$A$2:$A$151,0))*N(INDEX(FTE_Allocation!$F$2:$H$201,$AB565,$AC565)),"")))</f>
        <v/>
      </c>
    </row>
    <row r="566">
      <c r="A566" s="7">
        <f>IF($Z566="","",$AD566)</f>
        <v/>
      </c>
      <c r="B566" s="7">
        <f>IF($Z566="C",INDEX(Contracts!$D$2:$D$151,$AB566)&amp;"",IF($Z566="A",INDEX(Fixed_Assets!$C$2:$C$201,$AB566)&amp;"",IF($Z566="F",INDEX(Workforce!$B$2:$B$151,MATCH(INDEX(FTE_Allocation!$A$2:$A$201,$AB566),Workforce!$A$2:$A$151,0))&amp;"","")))</f>
        <v/>
      </c>
      <c r="C566" s="7">
        <f>IF($Z566="C",INDEX(Contracts!$E$2:$E$151,$AB566)&amp;"",IF($Z566="A",INDEX(Fixed_Assets!$D$2:$D$201,$AB566)&amp;"",IF($Z566="F",INDEX(FTE_Allocation!$C$2:$C$201,$AB566)&amp;"","")))</f>
        <v/>
      </c>
      <c r="D566" s="7">
        <f>IF($Z566="C",INDEX(Contracts!$B$2:$B$151,$AB566)&amp;"",IF($Z566="A",INDEX(Fixed_Assets!$B$2:$B$201,$AB566)&amp;"",IF($Z566="F",INDEX(FTE_Allocation!$B$2:$B$201,$AB566)&amp;"","")))</f>
        <v/>
      </c>
      <c r="E566" s="7">
        <f>IF($Z566="C",INDEX(Contracts!$P$2:$P$151,$AB566)&amp;"",IF($Z566="A",INDEX(Fixed_Assets!$K$2:$K$201,$AB566)&amp;"",IF($Z566="F",IF(INDEX(FTE_Allocation!$D$2:$D$201,$AB566)="PROJECT",IFERROR(INDEX(Projects!$D:$D,MATCH(INDEX(FTE_Allocation!$E$2:$E$201,$AB566),Projects!$A:$A,0))&amp;"","#PROJECT?"),INDEX(FTE_Allocation!$E$2:$E$201,$AB566)&amp;""),"")))</f>
        <v/>
      </c>
      <c r="F566" s="7">
        <f>IF($Z566="C",INDEX(Contracts!$Q$2:$Q$151,$AB566)&amp;"",IF($Z566="A",INDEX(Fixed_Assets!$L$2:$L$201,$AB566)&amp;"",IF($Z566="F",INDEX(Workforce!$K$2:$K$151,MATCH(INDEX(FTE_Allocation!$A$2:$A$201,$AB566),Workforce!$A$2:$A$151,0))&amp;"","")))</f>
        <v/>
      </c>
      <c r="G566" s="7">
        <f>IF($Z566="C",INDEX(Contracts!$F$2:$F$151,$AB566)&amp;" / "&amp;INDEX(Contracts!$G$2:$G$151,$AB566),IF($Z566="A",INDEX(Fixed_Assets!$E$2:$E$201,$AB566)&amp;"",IF($Z566="F","Personnel "&amp;INDEX(FTE_Allocation!$A$2:$A$201,$AB566)&amp;IF(INDEX(FTE_Allocation!$D$2:$D$201,$AB566)="PROJECT"," ("&amp;INDEX(FTE_Allocation!$E$2:$E$201,$AB566)&amp;")",""),"")))</f>
        <v/>
      </c>
      <c r="H566" s="7">
        <f>IF($Z566="C","CONTRACT",IF($Z566="A","ASSET",IF($Z566="F","WORKFORCE","")))</f>
        <v/>
      </c>
      <c r="I566" s="7">
        <f>IF($Z566="C",INDEX(Contracts!$L$2:$L$151,$AB566)&amp;"",IF($Z566="A",INDEX(Fixed_Assets!$I$2:$I$201,$AB566)&amp;"",IF($Z566="F",INDEX(Workforce!$G$2:$G$151,MATCH(INDEX(FTE_Allocation!$A$2:$A$201,$AB566),Workforce!$A$2:$A$151,0))&amp;"","")))</f>
        <v/>
      </c>
      <c r="J566" s="18">
        <f>IF($Z566="","",IF(AND(DATE($AD566,1,1)&gt;=$AE566,DATE($AD566,1,1)&lt;=$AF566),ROUND($AG566,2),0))</f>
        <v/>
      </c>
      <c r="K566" s="18">
        <f>IF($Z566="","",IF(AND(DATE($AD566,2,1)&gt;=$AE566,DATE($AD566,2,1)&lt;=$AF566),ROUND($AG566,2),0))</f>
        <v/>
      </c>
      <c r="L566" s="18">
        <f>IF($Z566="","",IF(AND(DATE($AD566,3,1)&gt;=$AE566,DATE($AD566,3,1)&lt;=$AF566),ROUND($AG566,2),0))</f>
        <v/>
      </c>
      <c r="M566" s="18">
        <f>IF($Z566="","",IF(AND(DATE($AD566,4,1)&gt;=$AE566,DATE($AD566,4,1)&lt;=$AF566),ROUND($AG566,2),0))</f>
        <v/>
      </c>
      <c r="N566" s="18">
        <f>IF($Z566="","",IF(AND(DATE($AD566,5,1)&gt;=$AE566,DATE($AD566,5,1)&lt;=$AF566),ROUND($AG566,2),0))</f>
        <v/>
      </c>
      <c r="O566" s="18">
        <f>IF($Z566="","",IF(AND(DATE($AD566,6,1)&gt;=$AE566,DATE($AD566,6,1)&lt;=$AF566),ROUND($AG566,2),0))</f>
        <v/>
      </c>
      <c r="P566" s="18">
        <f>IF($Z566="","",IF(AND(DATE($AD566,7,1)&gt;=$AE566,DATE($AD566,7,1)&lt;=$AF566),ROUND($AG566,2),0))</f>
        <v/>
      </c>
      <c r="Q566" s="18">
        <f>IF($Z566="","",IF(AND(DATE($AD566,8,1)&gt;=$AE566,DATE($AD566,8,1)&lt;=$AF566),ROUND($AG566,2),0))</f>
        <v/>
      </c>
      <c r="R566" s="18">
        <f>IF($Z566="","",IF(AND(DATE($AD566,9,1)&gt;=$AE566,DATE($AD566,9,1)&lt;=$AF566),ROUND($AG566,2),0))</f>
        <v/>
      </c>
      <c r="S566" s="18">
        <f>IF($Z566="","",IF(AND(DATE($AD566,10,1)&gt;=$AE566,DATE($AD566,10,1)&lt;=$AF566),ROUND($AG566,2),0))</f>
        <v/>
      </c>
      <c r="T566" s="18">
        <f>IF($Z566="","",IF(AND(DATE($AD566,11,1)&gt;=$AE566,DATE($AD566,11,1)&lt;=$AF566),ROUND($AG566,2),0))</f>
        <v/>
      </c>
      <c r="U566" s="18">
        <f>IF($Z566="","",IF(AND(DATE($AD566,12,1)&gt;=$AE566,DATE($AD566,12,1)&lt;=$AF566),ROUND($AG566,2),0))</f>
        <v/>
      </c>
      <c r="V566" s="7">
        <f>IF($Z566="C","Generated from "&amp;INDEX(Contracts!$A$2:$A$151,$AB566),IF($Z566="A","Generated from "&amp;INDEX(Fixed_Assets!$A$2:$A$201,$AB566),IF($Z566="F","Generated from "&amp;INDEX(FTE_Allocation!$A$2:$A$201,$AB566),"")))</f>
        <v/>
      </c>
      <c r="X566" s="19">
        <f>IF($Z566="","",SUM(J566:U566))</f>
        <v/>
      </c>
      <c r="Y566" s="20">
        <f>ROW()-1</f>
        <v/>
      </c>
      <c r="Z566" s="20">
        <f>IF($Y566&lt;=Settings!$B$4*3,"C",IF($Y566&lt;=(Settings!$B$4+Settings!$B$5)*3,"A",IF($Y566&lt;=(Settings!$B$4+Settings!$B$5+Settings!$B$6)*3,"F","")))</f>
        <v/>
      </c>
      <c r="AA566" s="20">
        <f>IF($Z566="C",$Y566,IF($Z566="A",$Y566-Settings!$B$4*3,IF($Z566="F",$Y566-(Settings!$B$4+Settings!$B$5)*3,"")))</f>
        <v/>
      </c>
      <c r="AB566" s="20">
        <f>IF($Z566="","",INT(($AA566-1)/3)+1)</f>
        <v/>
      </c>
      <c r="AC566" s="20">
        <f>IF($Z566="","",MOD($AA566-1,3)+1)</f>
        <v/>
      </c>
      <c r="AD566" s="20">
        <f>IF($Z566="","",Settings!$B$2+$AC566-1)</f>
        <v/>
      </c>
      <c r="AE566" s="21">
        <f>IF($Z566="C",DATE(YEAR(INDEX(Contracts!$J$2:$J$151,$AB566)),MONTH(INDEX(Contracts!$J$2:$J$151,$AB566)),1),IF($Z566="A",DATE(YEAR(INDEX(Fixed_Assets!$G$2:$G$201,$AB566)),MONTH(INDEX(Fixed_Assets!$G$2:$G$201,$AB566)),1),IF($Z566="F",DATE(YEAR(MAX(N(INDEX(Workforce!$I$2:$I$151,MATCH(INDEX(FTE_Allocation!$A$2:$A$201,$AB566),Workforce!$A$2:$A$151,0))),N(INDEX(FTE_Allocation!$I$2:$I$201,$AB566)))),MONTH(MAX(N(INDEX(Workforce!$I$2:$I$151,MATCH(INDEX(FTE_Allocation!$A$2:$A$201,$AB566),Workforce!$A$2:$A$151,0))),N(INDEX(FTE_Allocation!$I$2:$I$201,$AB566)))),1),"")))</f>
        <v/>
      </c>
      <c r="AF566" s="21">
        <f>IF($Z566="C",IF(INDEX(Contracts!$I$2:$I$151,$AB566)="PREPAID",EDATE(DATE(YEAR(INDEX(Contracts!$J$2:$J$151,$AB566)),MONTH(INDEX(Contracts!$J$2:$J$151,$AB566)),1),IF(INDEX(Contracts!$N$2:$N$151,$AB566)="",12,INDEX(Contracts!$N$2:$N$151,$AB566))-1),IF(INDEX(Contracts!$I$2:$I$151,$AB566)="MONTHLY",IF(INDEX(Contracts!$K$2:$K$151,$AB566)="",2958101,INDEX(Contracts!$K$2:$K$151,$AB566)),0)),IF($Z566="A",EDATE(DATE(YEAR(INDEX(Fixed_Assets!$G$2:$G$201,$AB566)),MONTH(INDEX(Fixed_Assets!$G$2:$G$201,$AB566)),1),INDEX(Fixed_Assets!$J$2:$J$201,$AB566)-1),IF($Z566="F",MIN(IF(INDEX(Workforce!$J$2:$J$151,MATCH(INDEX(FTE_Allocation!$A$2:$A$201,$AB566),Workforce!$A$2:$A$151,0))="",2958101,INDEX(Workforce!$J$2:$J$151,MATCH(INDEX(FTE_Allocation!$A$2:$A$201,$AB566),Workforce!$A$2:$A$151,0))),IF(INDEX(FTE_Allocation!$J$2:$J$201,$AB566)="",2958101,INDEX(FTE_Allocation!$J$2:$J$201,$AB566))),"")))</f>
        <v/>
      </c>
      <c r="AG566" s="19">
        <f>IF($Z566="C",IF(INDEX(Contracts!$I$2:$I$151,$AB566)="PREPAID",INDEX(Contracts!$M$2:$M$151,$AB566)/IF(INDEX(Contracts!$N$2:$N$151,$AB566)="",12,INDEX(Contracts!$N$2:$N$151,$AB566)),IF(INDEX(Contracts!$I$2:$I$151,$AB566)="MONTHLY",INDEX(Contracts!$M$2:$M$151,$AB566),0))*(1-N(INDEX(Contracts!$O$2:$O$151,$AB566))),IF($Z566="A",INDEX(Fixed_Assets!$H$2:$H$201,$AB566)/INDEX(Fixed_Assets!$J$2:$J$201,$AB566),IF($Z566="F",INDEX(Workforce!$F$2:$F$151,MATCH(INDEX(FTE_Allocation!$A$2:$A$201,$AB566),Workforce!$A$2:$A$151,0))*N(INDEX(FTE_Allocation!$F$2:$H$201,$AB566,$AC566)),"")))</f>
        <v/>
      </c>
    </row>
    <row r="567">
      <c r="A567" s="7">
        <f>IF($Z567="","",$AD567)</f>
        <v/>
      </c>
      <c r="B567" s="7">
        <f>IF($Z567="C",INDEX(Contracts!$D$2:$D$151,$AB567)&amp;"",IF($Z567="A",INDEX(Fixed_Assets!$C$2:$C$201,$AB567)&amp;"",IF($Z567="F",INDEX(Workforce!$B$2:$B$151,MATCH(INDEX(FTE_Allocation!$A$2:$A$201,$AB567),Workforce!$A$2:$A$151,0))&amp;"","")))</f>
        <v/>
      </c>
      <c r="C567" s="7">
        <f>IF($Z567="C",INDEX(Contracts!$E$2:$E$151,$AB567)&amp;"",IF($Z567="A",INDEX(Fixed_Assets!$D$2:$D$201,$AB567)&amp;"",IF($Z567="F",INDEX(FTE_Allocation!$C$2:$C$201,$AB567)&amp;"","")))</f>
        <v/>
      </c>
      <c r="D567" s="7">
        <f>IF($Z567="C",INDEX(Contracts!$B$2:$B$151,$AB567)&amp;"",IF($Z567="A",INDEX(Fixed_Assets!$B$2:$B$201,$AB567)&amp;"",IF($Z567="F",INDEX(FTE_Allocation!$B$2:$B$201,$AB567)&amp;"","")))</f>
        <v/>
      </c>
      <c r="E567" s="7">
        <f>IF($Z567="C",INDEX(Contracts!$P$2:$P$151,$AB567)&amp;"",IF($Z567="A",INDEX(Fixed_Assets!$K$2:$K$201,$AB567)&amp;"",IF($Z567="F",IF(INDEX(FTE_Allocation!$D$2:$D$201,$AB567)="PROJECT",IFERROR(INDEX(Projects!$D:$D,MATCH(INDEX(FTE_Allocation!$E$2:$E$201,$AB567),Projects!$A:$A,0))&amp;"","#PROJECT?"),INDEX(FTE_Allocation!$E$2:$E$201,$AB567)&amp;""),"")))</f>
        <v/>
      </c>
      <c r="F567" s="7">
        <f>IF($Z567="C",INDEX(Contracts!$Q$2:$Q$151,$AB567)&amp;"",IF($Z567="A",INDEX(Fixed_Assets!$L$2:$L$201,$AB567)&amp;"",IF($Z567="F",INDEX(Workforce!$K$2:$K$151,MATCH(INDEX(FTE_Allocation!$A$2:$A$201,$AB567),Workforce!$A$2:$A$151,0))&amp;"","")))</f>
        <v/>
      </c>
      <c r="G567" s="7">
        <f>IF($Z567="C",INDEX(Contracts!$F$2:$F$151,$AB567)&amp;" / "&amp;INDEX(Contracts!$G$2:$G$151,$AB567),IF($Z567="A",INDEX(Fixed_Assets!$E$2:$E$201,$AB567)&amp;"",IF($Z567="F","Personnel "&amp;INDEX(FTE_Allocation!$A$2:$A$201,$AB567)&amp;IF(INDEX(FTE_Allocation!$D$2:$D$201,$AB567)="PROJECT"," ("&amp;INDEX(FTE_Allocation!$E$2:$E$201,$AB567)&amp;")",""),"")))</f>
        <v/>
      </c>
      <c r="H567" s="7">
        <f>IF($Z567="C","CONTRACT",IF($Z567="A","ASSET",IF($Z567="F","WORKFORCE","")))</f>
        <v/>
      </c>
      <c r="I567" s="7">
        <f>IF($Z567="C",INDEX(Contracts!$L$2:$L$151,$AB567)&amp;"",IF($Z567="A",INDEX(Fixed_Assets!$I$2:$I$201,$AB567)&amp;"",IF($Z567="F",INDEX(Workforce!$G$2:$G$151,MATCH(INDEX(FTE_Allocation!$A$2:$A$201,$AB567),Workforce!$A$2:$A$151,0))&amp;"","")))</f>
        <v/>
      </c>
      <c r="J567" s="18">
        <f>IF($Z567="","",IF(AND(DATE($AD567,1,1)&gt;=$AE567,DATE($AD567,1,1)&lt;=$AF567),ROUND($AG567,2),0))</f>
        <v/>
      </c>
      <c r="K567" s="18">
        <f>IF($Z567="","",IF(AND(DATE($AD567,2,1)&gt;=$AE567,DATE($AD567,2,1)&lt;=$AF567),ROUND($AG567,2),0))</f>
        <v/>
      </c>
      <c r="L567" s="18">
        <f>IF($Z567="","",IF(AND(DATE($AD567,3,1)&gt;=$AE567,DATE($AD567,3,1)&lt;=$AF567),ROUND($AG567,2),0))</f>
        <v/>
      </c>
      <c r="M567" s="18">
        <f>IF($Z567="","",IF(AND(DATE($AD567,4,1)&gt;=$AE567,DATE($AD567,4,1)&lt;=$AF567),ROUND($AG567,2),0))</f>
        <v/>
      </c>
      <c r="N567" s="18">
        <f>IF($Z567="","",IF(AND(DATE($AD567,5,1)&gt;=$AE567,DATE($AD567,5,1)&lt;=$AF567),ROUND($AG567,2),0))</f>
        <v/>
      </c>
      <c r="O567" s="18">
        <f>IF($Z567="","",IF(AND(DATE($AD567,6,1)&gt;=$AE567,DATE($AD567,6,1)&lt;=$AF567),ROUND($AG567,2),0))</f>
        <v/>
      </c>
      <c r="P567" s="18">
        <f>IF($Z567="","",IF(AND(DATE($AD567,7,1)&gt;=$AE567,DATE($AD567,7,1)&lt;=$AF567),ROUND($AG567,2),0))</f>
        <v/>
      </c>
      <c r="Q567" s="18">
        <f>IF($Z567="","",IF(AND(DATE($AD567,8,1)&gt;=$AE567,DATE($AD567,8,1)&lt;=$AF567),ROUND($AG567,2),0))</f>
        <v/>
      </c>
      <c r="R567" s="18">
        <f>IF($Z567="","",IF(AND(DATE($AD567,9,1)&gt;=$AE567,DATE($AD567,9,1)&lt;=$AF567),ROUND($AG567,2),0))</f>
        <v/>
      </c>
      <c r="S567" s="18">
        <f>IF($Z567="","",IF(AND(DATE($AD567,10,1)&gt;=$AE567,DATE($AD567,10,1)&lt;=$AF567),ROUND($AG567,2),0))</f>
        <v/>
      </c>
      <c r="T567" s="18">
        <f>IF($Z567="","",IF(AND(DATE($AD567,11,1)&gt;=$AE567,DATE($AD567,11,1)&lt;=$AF567),ROUND($AG567,2),0))</f>
        <v/>
      </c>
      <c r="U567" s="18">
        <f>IF($Z567="","",IF(AND(DATE($AD567,12,1)&gt;=$AE567,DATE($AD567,12,1)&lt;=$AF567),ROUND($AG567,2),0))</f>
        <v/>
      </c>
      <c r="V567" s="7">
        <f>IF($Z567="C","Generated from "&amp;INDEX(Contracts!$A$2:$A$151,$AB567),IF($Z567="A","Generated from "&amp;INDEX(Fixed_Assets!$A$2:$A$201,$AB567),IF($Z567="F","Generated from "&amp;INDEX(FTE_Allocation!$A$2:$A$201,$AB567),"")))</f>
        <v/>
      </c>
      <c r="X567" s="19">
        <f>IF($Z567="","",SUM(J567:U567))</f>
        <v/>
      </c>
      <c r="Y567" s="20">
        <f>ROW()-1</f>
        <v/>
      </c>
      <c r="Z567" s="20">
        <f>IF($Y567&lt;=Settings!$B$4*3,"C",IF($Y567&lt;=(Settings!$B$4+Settings!$B$5)*3,"A",IF($Y567&lt;=(Settings!$B$4+Settings!$B$5+Settings!$B$6)*3,"F","")))</f>
        <v/>
      </c>
      <c r="AA567" s="20">
        <f>IF($Z567="C",$Y567,IF($Z567="A",$Y567-Settings!$B$4*3,IF($Z567="F",$Y567-(Settings!$B$4+Settings!$B$5)*3,"")))</f>
        <v/>
      </c>
      <c r="AB567" s="20">
        <f>IF($Z567="","",INT(($AA567-1)/3)+1)</f>
        <v/>
      </c>
      <c r="AC567" s="20">
        <f>IF($Z567="","",MOD($AA567-1,3)+1)</f>
        <v/>
      </c>
      <c r="AD567" s="20">
        <f>IF($Z567="","",Settings!$B$2+$AC567-1)</f>
        <v/>
      </c>
      <c r="AE567" s="21">
        <f>IF($Z567="C",DATE(YEAR(INDEX(Contracts!$J$2:$J$151,$AB567)),MONTH(INDEX(Contracts!$J$2:$J$151,$AB567)),1),IF($Z567="A",DATE(YEAR(INDEX(Fixed_Assets!$G$2:$G$201,$AB567)),MONTH(INDEX(Fixed_Assets!$G$2:$G$201,$AB567)),1),IF($Z567="F",DATE(YEAR(MAX(N(INDEX(Workforce!$I$2:$I$151,MATCH(INDEX(FTE_Allocation!$A$2:$A$201,$AB567),Workforce!$A$2:$A$151,0))),N(INDEX(FTE_Allocation!$I$2:$I$201,$AB567)))),MONTH(MAX(N(INDEX(Workforce!$I$2:$I$151,MATCH(INDEX(FTE_Allocation!$A$2:$A$201,$AB567),Workforce!$A$2:$A$151,0))),N(INDEX(FTE_Allocation!$I$2:$I$201,$AB567)))),1),"")))</f>
        <v/>
      </c>
      <c r="AF567" s="21">
        <f>IF($Z567="C",IF(INDEX(Contracts!$I$2:$I$151,$AB567)="PREPAID",EDATE(DATE(YEAR(INDEX(Contracts!$J$2:$J$151,$AB567)),MONTH(INDEX(Contracts!$J$2:$J$151,$AB567)),1),IF(INDEX(Contracts!$N$2:$N$151,$AB567)="",12,INDEX(Contracts!$N$2:$N$151,$AB567))-1),IF(INDEX(Contracts!$I$2:$I$151,$AB567)="MONTHLY",IF(INDEX(Contracts!$K$2:$K$151,$AB567)="",2958101,INDEX(Contracts!$K$2:$K$151,$AB567)),0)),IF($Z567="A",EDATE(DATE(YEAR(INDEX(Fixed_Assets!$G$2:$G$201,$AB567)),MONTH(INDEX(Fixed_Assets!$G$2:$G$201,$AB567)),1),INDEX(Fixed_Assets!$J$2:$J$201,$AB567)-1),IF($Z567="F",MIN(IF(INDEX(Workforce!$J$2:$J$151,MATCH(INDEX(FTE_Allocation!$A$2:$A$201,$AB567),Workforce!$A$2:$A$151,0))="",2958101,INDEX(Workforce!$J$2:$J$151,MATCH(INDEX(FTE_Allocation!$A$2:$A$201,$AB567),Workforce!$A$2:$A$151,0))),IF(INDEX(FTE_Allocation!$J$2:$J$201,$AB567)="",2958101,INDEX(FTE_Allocation!$J$2:$J$201,$AB567))),"")))</f>
        <v/>
      </c>
      <c r="AG567" s="19">
        <f>IF($Z567="C",IF(INDEX(Contracts!$I$2:$I$151,$AB567)="PREPAID",INDEX(Contracts!$M$2:$M$151,$AB567)/IF(INDEX(Contracts!$N$2:$N$151,$AB567)="",12,INDEX(Contracts!$N$2:$N$151,$AB567)),IF(INDEX(Contracts!$I$2:$I$151,$AB567)="MONTHLY",INDEX(Contracts!$M$2:$M$151,$AB567),0))*(1-N(INDEX(Contracts!$O$2:$O$151,$AB567))),IF($Z567="A",INDEX(Fixed_Assets!$H$2:$H$201,$AB567)/INDEX(Fixed_Assets!$J$2:$J$201,$AB567),IF($Z567="F",INDEX(Workforce!$F$2:$F$151,MATCH(INDEX(FTE_Allocation!$A$2:$A$201,$AB567),Workforce!$A$2:$A$151,0))*N(INDEX(FTE_Allocation!$F$2:$H$201,$AB567,$AC567)),"")))</f>
        <v/>
      </c>
    </row>
    <row r="568">
      <c r="A568" s="7">
        <f>IF($Z568="","",$AD568)</f>
        <v/>
      </c>
      <c r="B568" s="7">
        <f>IF($Z568="C",INDEX(Contracts!$D$2:$D$151,$AB568)&amp;"",IF($Z568="A",INDEX(Fixed_Assets!$C$2:$C$201,$AB568)&amp;"",IF($Z568="F",INDEX(Workforce!$B$2:$B$151,MATCH(INDEX(FTE_Allocation!$A$2:$A$201,$AB568),Workforce!$A$2:$A$151,0))&amp;"","")))</f>
        <v/>
      </c>
      <c r="C568" s="7">
        <f>IF($Z568="C",INDEX(Contracts!$E$2:$E$151,$AB568)&amp;"",IF($Z568="A",INDEX(Fixed_Assets!$D$2:$D$201,$AB568)&amp;"",IF($Z568="F",INDEX(FTE_Allocation!$C$2:$C$201,$AB568)&amp;"","")))</f>
        <v/>
      </c>
      <c r="D568" s="7">
        <f>IF($Z568="C",INDEX(Contracts!$B$2:$B$151,$AB568)&amp;"",IF($Z568="A",INDEX(Fixed_Assets!$B$2:$B$201,$AB568)&amp;"",IF($Z568="F",INDEX(FTE_Allocation!$B$2:$B$201,$AB568)&amp;"","")))</f>
        <v/>
      </c>
      <c r="E568" s="7">
        <f>IF($Z568="C",INDEX(Contracts!$P$2:$P$151,$AB568)&amp;"",IF($Z568="A",INDEX(Fixed_Assets!$K$2:$K$201,$AB568)&amp;"",IF($Z568="F",IF(INDEX(FTE_Allocation!$D$2:$D$201,$AB568)="PROJECT",IFERROR(INDEX(Projects!$D:$D,MATCH(INDEX(FTE_Allocation!$E$2:$E$201,$AB568),Projects!$A:$A,0))&amp;"","#PROJECT?"),INDEX(FTE_Allocation!$E$2:$E$201,$AB568)&amp;""),"")))</f>
        <v/>
      </c>
      <c r="F568" s="7">
        <f>IF($Z568="C",INDEX(Contracts!$Q$2:$Q$151,$AB568)&amp;"",IF($Z568="A",INDEX(Fixed_Assets!$L$2:$L$201,$AB568)&amp;"",IF($Z568="F",INDEX(Workforce!$K$2:$K$151,MATCH(INDEX(FTE_Allocation!$A$2:$A$201,$AB568),Workforce!$A$2:$A$151,0))&amp;"","")))</f>
        <v/>
      </c>
      <c r="G568" s="7">
        <f>IF($Z568="C",INDEX(Contracts!$F$2:$F$151,$AB568)&amp;" / "&amp;INDEX(Contracts!$G$2:$G$151,$AB568),IF($Z568="A",INDEX(Fixed_Assets!$E$2:$E$201,$AB568)&amp;"",IF($Z568="F","Personnel "&amp;INDEX(FTE_Allocation!$A$2:$A$201,$AB568)&amp;IF(INDEX(FTE_Allocation!$D$2:$D$201,$AB568)="PROJECT"," ("&amp;INDEX(FTE_Allocation!$E$2:$E$201,$AB568)&amp;")",""),"")))</f>
        <v/>
      </c>
      <c r="H568" s="7">
        <f>IF($Z568="C","CONTRACT",IF($Z568="A","ASSET",IF($Z568="F","WORKFORCE","")))</f>
        <v/>
      </c>
      <c r="I568" s="7">
        <f>IF($Z568="C",INDEX(Contracts!$L$2:$L$151,$AB568)&amp;"",IF($Z568="A",INDEX(Fixed_Assets!$I$2:$I$201,$AB568)&amp;"",IF($Z568="F",INDEX(Workforce!$G$2:$G$151,MATCH(INDEX(FTE_Allocation!$A$2:$A$201,$AB568),Workforce!$A$2:$A$151,0))&amp;"","")))</f>
        <v/>
      </c>
      <c r="J568" s="18">
        <f>IF($Z568="","",IF(AND(DATE($AD568,1,1)&gt;=$AE568,DATE($AD568,1,1)&lt;=$AF568),ROUND($AG568,2),0))</f>
        <v/>
      </c>
      <c r="K568" s="18">
        <f>IF($Z568="","",IF(AND(DATE($AD568,2,1)&gt;=$AE568,DATE($AD568,2,1)&lt;=$AF568),ROUND($AG568,2),0))</f>
        <v/>
      </c>
      <c r="L568" s="18">
        <f>IF($Z568="","",IF(AND(DATE($AD568,3,1)&gt;=$AE568,DATE($AD568,3,1)&lt;=$AF568),ROUND($AG568,2),0))</f>
        <v/>
      </c>
      <c r="M568" s="18">
        <f>IF($Z568="","",IF(AND(DATE($AD568,4,1)&gt;=$AE568,DATE($AD568,4,1)&lt;=$AF568),ROUND($AG568,2),0))</f>
        <v/>
      </c>
      <c r="N568" s="18">
        <f>IF($Z568="","",IF(AND(DATE($AD568,5,1)&gt;=$AE568,DATE($AD568,5,1)&lt;=$AF568),ROUND($AG568,2),0))</f>
        <v/>
      </c>
      <c r="O568" s="18">
        <f>IF($Z568="","",IF(AND(DATE($AD568,6,1)&gt;=$AE568,DATE($AD568,6,1)&lt;=$AF568),ROUND($AG568,2),0))</f>
        <v/>
      </c>
      <c r="P568" s="18">
        <f>IF($Z568="","",IF(AND(DATE($AD568,7,1)&gt;=$AE568,DATE($AD568,7,1)&lt;=$AF568),ROUND($AG568,2),0))</f>
        <v/>
      </c>
      <c r="Q568" s="18">
        <f>IF($Z568="","",IF(AND(DATE($AD568,8,1)&gt;=$AE568,DATE($AD568,8,1)&lt;=$AF568),ROUND($AG568,2),0))</f>
        <v/>
      </c>
      <c r="R568" s="18">
        <f>IF($Z568="","",IF(AND(DATE($AD568,9,1)&gt;=$AE568,DATE($AD568,9,1)&lt;=$AF568),ROUND($AG568,2),0))</f>
        <v/>
      </c>
      <c r="S568" s="18">
        <f>IF($Z568="","",IF(AND(DATE($AD568,10,1)&gt;=$AE568,DATE($AD568,10,1)&lt;=$AF568),ROUND($AG568,2),0))</f>
        <v/>
      </c>
      <c r="T568" s="18">
        <f>IF($Z568="","",IF(AND(DATE($AD568,11,1)&gt;=$AE568,DATE($AD568,11,1)&lt;=$AF568),ROUND($AG568,2),0))</f>
        <v/>
      </c>
      <c r="U568" s="18">
        <f>IF($Z568="","",IF(AND(DATE($AD568,12,1)&gt;=$AE568,DATE($AD568,12,1)&lt;=$AF568),ROUND($AG568,2),0))</f>
        <v/>
      </c>
      <c r="V568" s="7">
        <f>IF($Z568="C","Generated from "&amp;INDEX(Contracts!$A$2:$A$151,$AB568),IF($Z568="A","Generated from "&amp;INDEX(Fixed_Assets!$A$2:$A$201,$AB568),IF($Z568="F","Generated from "&amp;INDEX(FTE_Allocation!$A$2:$A$201,$AB568),"")))</f>
        <v/>
      </c>
      <c r="X568" s="19">
        <f>IF($Z568="","",SUM(J568:U568))</f>
        <v/>
      </c>
      <c r="Y568" s="20">
        <f>ROW()-1</f>
        <v/>
      </c>
      <c r="Z568" s="20">
        <f>IF($Y568&lt;=Settings!$B$4*3,"C",IF($Y568&lt;=(Settings!$B$4+Settings!$B$5)*3,"A",IF($Y568&lt;=(Settings!$B$4+Settings!$B$5+Settings!$B$6)*3,"F","")))</f>
        <v/>
      </c>
      <c r="AA568" s="20">
        <f>IF($Z568="C",$Y568,IF($Z568="A",$Y568-Settings!$B$4*3,IF($Z568="F",$Y568-(Settings!$B$4+Settings!$B$5)*3,"")))</f>
        <v/>
      </c>
      <c r="AB568" s="20">
        <f>IF($Z568="","",INT(($AA568-1)/3)+1)</f>
        <v/>
      </c>
      <c r="AC568" s="20">
        <f>IF($Z568="","",MOD($AA568-1,3)+1)</f>
        <v/>
      </c>
      <c r="AD568" s="20">
        <f>IF($Z568="","",Settings!$B$2+$AC568-1)</f>
        <v/>
      </c>
      <c r="AE568" s="21">
        <f>IF($Z568="C",DATE(YEAR(INDEX(Contracts!$J$2:$J$151,$AB568)),MONTH(INDEX(Contracts!$J$2:$J$151,$AB568)),1),IF($Z568="A",DATE(YEAR(INDEX(Fixed_Assets!$G$2:$G$201,$AB568)),MONTH(INDEX(Fixed_Assets!$G$2:$G$201,$AB568)),1),IF($Z568="F",DATE(YEAR(MAX(N(INDEX(Workforce!$I$2:$I$151,MATCH(INDEX(FTE_Allocation!$A$2:$A$201,$AB568),Workforce!$A$2:$A$151,0))),N(INDEX(FTE_Allocation!$I$2:$I$201,$AB568)))),MONTH(MAX(N(INDEX(Workforce!$I$2:$I$151,MATCH(INDEX(FTE_Allocation!$A$2:$A$201,$AB568),Workforce!$A$2:$A$151,0))),N(INDEX(FTE_Allocation!$I$2:$I$201,$AB568)))),1),"")))</f>
        <v/>
      </c>
      <c r="AF568" s="21">
        <f>IF($Z568="C",IF(INDEX(Contracts!$I$2:$I$151,$AB568)="PREPAID",EDATE(DATE(YEAR(INDEX(Contracts!$J$2:$J$151,$AB568)),MONTH(INDEX(Contracts!$J$2:$J$151,$AB568)),1),IF(INDEX(Contracts!$N$2:$N$151,$AB568)="",12,INDEX(Contracts!$N$2:$N$151,$AB568))-1),IF(INDEX(Contracts!$I$2:$I$151,$AB568)="MONTHLY",IF(INDEX(Contracts!$K$2:$K$151,$AB568)="",2958101,INDEX(Contracts!$K$2:$K$151,$AB568)),0)),IF($Z568="A",EDATE(DATE(YEAR(INDEX(Fixed_Assets!$G$2:$G$201,$AB568)),MONTH(INDEX(Fixed_Assets!$G$2:$G$201,$AB568)),1),INDEX(Fixed_Assets!$J$2:$J$201,$AB568)-1),IF($Z568="F",MIN(IF(INDEX(Workforce!$J$2:$J$151,MATCH(INDEX(FTE_Allocation!$A$2:$A$201,$AB568),Workforce!$A$2:$A$151,0))="",2958101,INDEX(Workforce!$J$2:$J$151,MATCH(INDEX(FTE_Allocation!$A$2:$A$201,$AB568),Workforce!$A$2:$A$151,0))),IF(INDEX(FTE_Allocation!$J$2:$J$201,$AB568)="",2958101,INDEX(FTE_Allocation!$J$2:$J$201,$AB568))),"")))</f>
        <v/>
      </c>
      <c r="AG568" s="19">
        <f>IF($Z568="C",IF(INDEX(Contracts!$I$2:$I$151,$AB568)="PREPAID",INDEX(Contracts!$M$2:$M$151,$AB568)/IF(INDEX(Contracts!$N$2:$N$151,$AB568)="",12,INDEX(Contracts!$N$2:$N$151,$AB568)),IF(INDEX(Contracts!$I$2:$I$151,$AB568)="MONTHLY",INDEX(Contracts!$M$2:$M$151,$AB568),0))*(1-N(INDEX(Contracts!$O$2:$O$151,$AB568))),IF($Z568="A",INDEX(Fixed_Assets!$H$2:$H$201,$AB568)/INDEX(Fixed_Assets!$J$2:$J$201,$AB568),IF($Z568="F",INDEX(Workforce!$F$2:$F$151,MATCH(INDEX(FTE_Allocation!$A$2:$A$201,$AB568),Workforce!$A$2:$A$151,0))*N(INDEX(FTE_Allocation!$F$2:$H$201,$AB568,$AC568)),"")))</f>
        <v/>
      </c>
    </row>
    <row r="569">
      <c r="A569" s="7">
        <f>IF($Z569="","",$AD569)</f>
        <v/>
      </c>
      <c r="B569" s="7">
        <f>IF($Z569="C",INDEX(Contracts!$D$2:$D$151,$AB569)&amp;"",IF($Z569="A",INDEX(Fixed_Assets!$C$2:$C$201,$AB569)&amp;"",IF($Z569="F",INDEX(Workforce!$B$2:$B$151,MATCH(INDEX(FTE_Allocation!$A$2:$A$201,$AB569),Workforce!$A$2:$A$151,0))&amp;"","")))</f>
        <v/>
      </c>
      <c r="C569" s="7">
        <f>IF($Z569="C",INDEX(Contracts!$E$2:$E$151,$AB569)&amp;"",IF($Z569="A",INDEX(Fixed_Assets!$D$2:$D$201,$AB569)&amp;"",IF($Z569="F",INDEX(FTE_Allocation!$C$2:$C$201,$AB569)&amp;"","")))</f>
        <v/>
      </c>
      <c r="D569" s="7">
        <f>IF($Z569="C",INDEX(Contracts!$B$2:$B$151,$AB569)&amp;"",IF($Z569="A",INDEX(Fixed_Assets!$B$2:$B$201,$AB569)&amp;"",IF($Z569="F",INDEX(FTE_Allocation!$B$2:$B$201,$AB569)&amp;"","")))</f>
        <v/>
      </c>
      <c r="E569" s="7">
        <f>IF($Z569="C",INDEX(Contracts!$P$2:$P$151,$AB569)&amp;"",IF($Z569="A",INDEX(Fixed_Assets!$K$2:$K$201,$AB569)&amp;"",IF($Z569="F",IF(INDEX(FTE_Allocation!$D$2:$D$201,$AB569)="PROJECT",IFERROR(INDEX(Projects!$D:$D,MATCH(INDEX(FTE_Allocation!$E$2:$E$201,$AB569),Projects!$A:$A,0))&amp;"","#PROJECT?"),INDEX(FTE_Allocation!$E$2:$E$201,$AB569)&amp;""),"")))</f>
        <v/>
      </c>
      <c r="F569" s="7">
        <f>IF($Z569="C",INDEX(Contracts!$Q$2:$Q$151,$AB569)&amp;"",IF($Z569="A",INDEX(Fixed_Assets!$L$2:$L$201,$AB569)&amp;"",IF($Z569="F",INDEX(Workforce!$K$2:$K$151,MATCH(INDEX(FTE_Allocation!$A$2:$A$201,$AB569),Workforce!$A$2:$A$151,0))&amp;"","")))</f>
        <v/>
      </c>
      <c r="G569" s="7">
        <f>IF($Z569="C",INDEX(Contracts!$F$2:$F$151,$AB569)&amp;" / "&amp;INDEX(Contracts!$G$2:$G$151,$AB569),IF($Z569="A",INDEX(Fixed_Assets!$E$2:$E$201,$AB569)&amp;"",IF($Z569="F","Personnel "&amp;INDEX(FTE_Allocation!$A$2:$A$201,$AB569)&amp;IF(INDEX(FTE_Allocation!$D$2:$D$201,$AB569)="PROJECT"," ("&amp;INDEX(FTE_Allocation!$E$2:$E$201,$AB569)&amp;")",""),"")))</f>
        <v/>
      </c>
      <c r="H569" s="7">
        <f>IF($Z569="C","CONTRACT",IF($Z569="A","ASSET",IF($Z569="F","WORKFORCE","")))</f>
        <v/>
      </c>
      <c r="I569" s="7">
        <f>IF($Z569="C",INDEX(Contracts!$L$2:$L$151,$AB569)&amp;"",IF($Z569="A",INDEX(Fixed_Assets!$I$2:$I$201,$AB569)&amp;"",IF($Z569="F",INDEX(Workforce!$G$2:$G$151,MATCH(INDEX(FTE_Allocation!$A$2:$A$201,$AB569),Workforce!$A$2:$A$151,0))&amp;"","")))</f>
        <v/>
      </c>
      <c r="J569" s="18">
        <f>IF($Z569="","",IF(AND(DATE($AD569,1,1)&gt;=$AE569,DATE($AD569,1,1)&lt;=$AF569),ROUND($AG569,2),0))</f>
        <v/>
      </c>
      <c r="K569" s="18">
        <f>IF($Z569="","",IF(AND(DATE($AD569,2,1)&gt;=$AE569,DATE($AD569,2,1)&lt;=$AF569),ROUND($AG569,2),0))</f>
        <v/>
      </c>
      <c r="L569" s="18">
        <f>IF($Z569="","",IF(AND(DATE($AD569,3,1)&gt;=$AE569,DATE($AD569,3,1)&lt;=$AF569),ROUND($AG569,2),0))</f>
        <v/>
      </c>
      <c r="M569" s="18">
        <f>IF($Z569="","",IF(AND(DATE($AD569,4,1)&gt;=$AE569,DATE($AD569,4,1)&lt;=$AF569),ROUND($AG569,2),0))</f>
        <v/>
      </c>
      <c r="N569" s="18">
        <f>IF($Z569="","",IF(AND(DATE($AD569,5,1)&gt;=$AE569,DATE($AD569,5,1)&lt;=$AF569),ROUND($AG569,2),0))</f>
        <v/>
      </c>
      <c r="O569" s="18">
        <f>IF($Z569="","",IF(AND(DATE($AD569,6,1)&gt;=$AE569,DATE($AD569,6,1)&lt;=$AF569),ROUND($AG569,2),0))</f>
        <v/>
      </c>
      <c r="P569" s="18">
        <f>IF($Z569="","",IF(AND(DATE($AD569,7,1)&gt;=$AE569,DATE($AD569,7,1)&lt;=$AF569),ROUND($AG569,2),0))</f>
        <v/>
      </c>
      <c r="Q569" s="18">
        <f>IF($Z569="","",IF(AND(DATE($AD569,8,1)&gt;=$AE569,DATE($AD569,8,1)&lt;=$AF569),ROUND($AG569,2),0))</f>
        <v/>
      </c>
      <c r="R569" s="18">
        <f>IF($Z569="","",IF(AND(DATE($AD569,9,1)&gt;=$AE569,DATE($AD569,9,1)&lt;=$AF569),ROUND($AG569,2),0))</f>
        <v/>
      </c>
      <c r="S569" s="18">
        <f>IF($Z569="","",IF(AND(DATE($AD569,10,1)&gt;=$AE569,DATE($AD569,10,1)&lt;=$AF569),ROUND($AG569,2),0))</f>
        <v/>
      </c>
      <c r="T569" s="18">
        <f>IF($Z569="","",IF(AND(DATE($AD569,11,1)&gt;=$AE569,DATE($AD569,11,1)&lt;=$AF569),ROUND($AG569,2),0))</f>
        <v/>
      </c>
      <c r="U569" s="18">
        <f>IF($Z569="","",IF(AND(DATE($AD569,12,1)&gt;=$AE569,DATE($AD569,12,1)&lt;=$AF569),ROUND($AG569,2),0))</f>
        <v/>
      </c>
      <c r="V569" s="7">
        <f>IF($Z569="C","Generated from "&amp;INDEX(Contracts!$A$2:$A$151,$AB569),IF($Z569="A","Generated from "&amp;INDEX(Fixed_Assets!$A$2:$A$201,$AB569),IF($Z569="F","Generated from "&amp;INDEX(FTE_Allocation!$A$2:$A$201,$AB569),"")))</f>
        <v/>
      </c>
      <c r="X569" s="19">
        <f>IF($Z569="","",SUM(J569:U569))</f>
        <v/>
      </c>
      <c r="Y569" s="20">
        <f>ROW()-1</f>
        <v/>
      </c>
      <c r="Z569" s="20">
        <f>IF($Y569&lt;=Settings!$B$4*3,"C",IF($Y569&lt;=(Settings!$B$4+Settings!$B$5)*3,"A",IF($Y569&lt;=(Settings!$B$4+Settings!$B$5+Settings!$B$6)*3,"F","")))</f>
        <v/>
      </c>
      <c r="AA569" s="20">
        <f>IF($Z569="C",$Y569,IF($Z569="A",$Y569-Settings!$B$4*3,IF($Z569="F",$Y569-(Settings!$B$4+Settings!$B$5)*3,"")))</f>
        <v/>
      </c>
      <c r="AB569" s="20">
        <f>IF($Z569="","",INT(($AA569-1)/3)+1)</f>
        <v/>
      </c>
      <c r="AC569" s="20">
        <f>IF($Z569="","",MOD($AA569-1,3)+1)</f>
        <v/>
      </c>
      <c r="AD569" s="20">
        <f>IF($Z569="","",Settings!$B$2+$AC569-1)</f>
        <v/>
      </c>
      <c r="AE569" s="21">
        <f>IF($Z569="C",DATE(YEAR(INDEX(Contracts!$J$2:$J$151,$AB569)),MONTH(INDEX(Contracts!$J$2:$J$151,$AB569)),1),IF($Z569="A",DATE(YEAR(INDEX(Fixed_Assets!$G$2:$G$201,$AB569)),MONTH(INDEX(Fixed_Assets!$G$2:$G$201,$AB569)),1),IF($Z569="F",DATE(YEAR(MAX(N(INDEX(Workforce!$I$2:$I$151,MATCH(INDEX(FTE_Allocation!$A$2:$A$201,$AB569),Workforce!$A$2:$A$151,0))),N(INDEX(FTE_Allocation!$I$2:$I$201,$AB569)))),MONTH(MAX(N(INDEX(Workforce!$I$2:$I$151,MATCH(INDEX(FTE_Allocation!$A$2:$A$201,$AB569),Workforce!$A$2:$A$151,0))),N(INDEX(FTE_Allocation!$I$2:$I$201,$AB569)))),1),"")))</f>
        <v/>
      </c>
      <c r="AF569" s="21">
        <f>IF($Z569="C",IF(INDEX(Contracts!$I$2:$I$151,$AB569)="PREPAID",EDATE(DATE(YEAR(INDEX(Contracts!$J$2:$J$151,$AB569)),MONTH(INDEX(Contracts!$J$2:$J$151,$AB569)),1),IF(INDEX(Contracts!$N$2:$N$151,$AB569)="",12,INDEX(Contracts!$N$2:$N$151,$AB569))-1),IF(INDEX(Contracts!$I$2:$I$151,$AB569)="MONTHLY",IF(INDEX(Contracts!$K$2:$K$151,$AB569)="",2958101,INDEX(Contracts!$K$2:$K$151,$AB569)),0)),IF($Z569="A",EDATE(DATE(YEAR(INDEX(Fixed_Assets!$G$2:$G$201,$AB569)),MONTH(INDEX(Fixed_Assets!$G$2:$G$201,$AB569)),1),INDEX(Fixed_Assets!$J$2:$J$201,$AB569)-1),IF($Z569="F",MIN(IF(INDEX(Workforce!$J$2:$J$151,MATCH(INDEX(FTE_Allocation!$A$2:$A$201,$AB569),Workforce!$A$2:$A$151,0))="",2958101,INDEX(Workforce!$J$2:$J$151,MATCH(INDEX(FTE_Allocation!$A$2:$A$201,$AB569),Workforce!$A$2:$A$151,0))),IF(INDEX(FTE_Allocation!$J$2:$J$201,$AB569)="",2958101,INDEX(FTE_Allocation!$J$2:$J$201,$AB569))),"")))</f>
        <v/>
      </c>
      <c r="AG569" s="19">
        <f>IF($Z569="C",IF(INDEX(Contracts!$I$2:$I$151,$AB569)="PREPAID",INDEX(Contracts!$M$2:$M$151,$AB569)/IF(INDEX(Contracts!$N$2:$N$151,$AB569)="",12,INDEX(Contracts!$N$2:$N$151,$AB569)),IF(INDEX(Contracts!$I$2:$I$151,$AB569)="MONTHLY",INDEX(Contracts!$M$2:$M$151,$AB569),0))*(1-N(INDEX(Contracts!$O$2:$O$151,$AB569))),IF($Z569="A",INDEX(Fixed_Assets!$H$2:$H$201,$AB569)/INDEX(Fixed_Assets!$J$2:$J$201,$AB569),IF($Z569="F",INDEX(Workforce!$F$2:$F$151,MATCH(INDEX(FTE_Allocation!$A$2:$A$201,$AB569),Workforce!$A$2:$A$151,0))*N(INDEX(FTE_Allocation!$F$2:$H$201,$AB569,$AC569)),"")))</f>
        <v/>
      </c>
    </row>
    <row r="570">
      <c r="A570" s="7">
        <f>IF($Z570="","",$AD570)</f>
        <v/>
      </c>
      <c r="B570" s="7">
        <f>IF($Z570="C",INDEX(Contracts!$D$2:$D$151,$AB570)&amp;"",IF($Z570="A",INDEX(Fixed_Assets!$C$2:$C$201,$AB570)&amp;"",IF($Z570="F",INDEX(Workforce!$B$2:$B$151,MATCH(INDEX(FTE_Allocation!$A$2:$A$201,$AB570),Workforce!$A$2:$A$151,0))&amp;"","")))</f>
        <v/>
      </c>
      <c r="C570" s="7">
        <f>IF($Z570="C",INDEX(Contracts!$E$2:$E$151,$AB570)&amp;"",IF($Z570="A",INDEX(Fixed_Assets!$D$2:$D$201,$AB570)&amp;"",IF($Z570="F",INDEX(FTE_Allocation!$C$2:$C$201,$AB570)&amp;"","")))</f>
        <v/>
      </c>
      <c r="D570" s="7">
        <f>IF($Z570="C",INDEX(Contracts!$B$2:$B$151,$AB570)&amp;"",IF($Z570="A",INDEX(Fixed_Assets!$B$2:$B$201,$AB570)&amp;"",IF($Z570="F",INDEX(FTE_Allocation!$B$2:$B$201,$AB570)&amp;"","")))</f>
        <v/>
      </c>
      <c r="E570" s="7">
        <f>IF($Z570="C",INDEX(Contracts!$P$2:$P$151,$AB570)&amp;"",IF($Z570="A",INDEX(Fixed_Assets!$K$2:$K$201,$AB570)&amp;"",IF($Z570="F",IF(INDEX(FTE_Allocation!$D$2:$D$201,$AB570)="PROJECT",IFERROR(INDEX(Projects!$D:$D,MATCH(INDEX(FTE_Allocation!$E$2:$E$201,$AB570),Projects!$A:$A,0))&amp;"","#PROJECT?"),INDEX(FTE_Allocation!$E$2:$E$201,$AB570)&amp;""),"")))</f>
        <v/>
      </c>
      <c r="F570" s="7">
        <f>IF($Z570="C",INDEX(Contracts!$Q$2:$Q$151,$AB570)&amp;"",IF($Z570="A",INDEX(Fixed_Assets!$L$2:$L$201,$AB570)&amp;"",IF($Z570="F",INDEX(Workforce!$K$2:$K$151,MATCH(INDEX(FTE_Allocation!$A$2:$A$201,$AB570),Workforce!$A$2:$A$151,0))&amp;"","")))</f>
        <v/>
      </c>
      <c r="G570" s="7">
        <f>IF($Z570="C",INDEX(Contracts!$F$2:$F$151,$AB570)&amp;" / "&amp;INDEX(Contracts!$G$2:$G$151,$AB570),IF($Z570="A",INDEX(Fixed_Assets!$E$2:$E$201,$AB570)&amp;"",IF($Z570="F","Personnel "&amp;INDEX(FTE_Allocation!$A$2:$A$201,$AB570)&amp;IF(INDEX(FTE_Allocation!$D$2:$D$201,$AB570)="PROJECT"," ("&amp;INDEX(FTE_Allocation!$E$2:$E$201,$AB570)&amp;")",""),"")))</f>
        <v/>
      </c>
      <c r="H570" s="7">
        <f>IF($Z570="C","CONTRACT",IF($Z570="A","ASSET",IF($Z570="F","WORKFORCE","")))</f>
        <v/>
      </c>
      <c r="I570" s="7">
        <f>IF($Z570="C",INDEX(Contracts!$L$2:$L$151,$AB570)&amp;"",IF($Z570="A",INDEX(Fixed_Assets!$I$2:$I$201,$AB570)&amp;"",IF($Z570="F",INDEX(Workforce!$G$2:$G$151,MATCH(INDEX(FTE_Allocation!$A$2:$A$201,$AB570),Workforce!$A$2:$A$151,0))&amp;"","")))</f>
        <v/>
      </c>
      <c r="J570" s="18">
        <f>IF($Z570="","",IF(AND(DATE($AD570,1,1)&gt;=$AE570,DATE($AD570,1,1)&lt;=$AF570),ROUND($AG570,2),0))</f>
        <v/>
      </c>
      <c r="K570" s="18">
        <f>IF($Z570="","",IF(AND(DATE($AD570,2,1)&gt;=$AE570,DATE($AD570,2,1)&lt;=$AF570),ROUND($AG570,2),0))</f>
        <v/>
      </c>
      <c r="L570" s="18">
        <f>IF($Z570="","",IF(AND(DATE($AD570,3,1)&gt;=$AE570,DATE($AD570,3,1)&lt;=$AF570),ROUND($AG570,2),0))</f>
        <v/>
      </c>
      <c r="M570" s="18">
        <f>IF($Z570="","",IF(AND(DATE($AD570,4,1)&gt;=$AE570,DATE($AD570,4,1)&lt;=$AF570),ROUND($AG570,2),0))</f>
        <v/>
      </c>
      <c r="N570" s="18">
        <f>IF($Z570="","",IF(AND(DATE($AD570,5,1)&gt;=$AE570,DATE($AD570,5,1)&lt;=$AF570),ROUND($AG570,2),0))</f>
        <v/>
      </c>
      <c r="O570" s="18">
        <f>IF($Z570="","",IF(AND(DATE($AD570,6,1)&gt;=$AE570,DATE($AD570,6,1)&lt;=$AF570),ROUND($AG570,2),0))</f>
        <v/>
      </c>
      <c r="P570" s="18">
        <f>IF($Z570="","",IF(AND(DATE($AD570,7,1)&gt;=$AE570,DATE($AD570,7,1)&lt;=$AF570),ROUND($AG570,2),0))</f>
        <v/>
      </c>
      <c r="Q570" s="18">
        <f>IF($Z570="","",IF(AND(DATE($AD570,8,1)&gt;=$AE570,DATE($AD570,8,1)&lt;=$AF570),ROUND($AG570,2),0))</f>
        <v/>
      </c>
      <c r="R570" s="18">
        <f>IF($Z570="","",IF(AND(DATE($AD570,9,1)&gt;=$AE570,DATE($AD570,9,1)&lt;=$AF570),ROUND($AG570,2),0))</f>
        <v/>
      </c>
      <c r="S570" s="18">
        <f>IF($Z570="","",IF(AND(DATE($AD570,10,1)&gt;=$AE570,DATE($AD570,10,1)&lt;=$AF570),ROUND($AG570,2),0))</f>
        <v/>
      </c>
      <c r="T570" s="18">
        <f>IF($Z570="","",IF(AND(DATE($AD570,11,1)&gt;=$AE570,DATE($AD570,11,1)&lt;=$AF570),ROUND($AG570,2),0))</f>
        <v/>
      </c>
      <c r="U570" s="18">
        <f>IF($Z570="","",IF(AND(DATE($AD570,12,1)&gt;=$AE570,DATE($AD570,12,1)&lt;=$AF570),ROUND($AG570,2),0))</f>
        <v/>
      </c>
      <c r="V570" s="7">
        <f>IF($Z570="C","Generated from "&amp;INDEX(Contracts!$A$2:$A$151,$AB570),IF($Z570="A","Generated from "&amp;INDEX(Fixed_Assets!$A$2:$A$201,$AB570),IF($Z570="F","Generated from "&amp;INDEX(FTE_Allocation!$A$2:$A$201,$AB570),"")))</f>
        <v/>
      </c>
      <c r="X570" s="19">
        <f>IF($Z570="","",SUM(J570:U570))</f>
        <v/>
      </c>
      <c r="Y570" s="20">
        <f>ROW()-1</f>
        <v/>
      </c>
      <c r="Z570" s="20">
        <f>IF($Y570&lt;=Settings!$B$4*3,"C",IF($Y570&lt;=(Settings!$B$4+Settings!$B$5)*3,"A",IF($Y570&lt;=(Settings!$B$4+Settings!$B$5+Settings!$B$6)*3,"F","")))</f>
        <v/>
      </c>
      <c r="AA570" s="20">
        <f>IF($Z570="C",$Y570,IF($Z570="A",$Y570-Settings!$B$4*3,IF($Z570="F",$Y570-(Settings!$B$4+Settings!$B$5)*3,"")))</f>
        <v/>
      </c>
      <c r="AB570" s="20">
        <f>IF($Z570="","",INT(($AA570-1)/3)+1)</f>
        <v/>
      </c>
      <c r="AC570" s="20">
        <f>IF($Z570="","",MOD($AA570-1,3)+1)</f>
        <v/>
      </c>
      <c r="AD570" s="20">
        <f>IF($Z570="","",Settings!$B$2+$AC570-1)</f>
        <v/>
      </c>
      <c r="AE570" s="21">
        <f>IF($Z570="C",DATE(YEAR(INDEX(Contracts!$J$2:$J$151,$AB570)),MONTH(INDEX(Contracts!$J$2:$J$151,$AB570)),1),IF($Z570="A",DATE(YEAR(INDEX(Fixed_Assets!$G$2:$G$201,$AB570)),MONTH(INDEX(Fixed_Assets!$G$2:$G$201,$AB570)),1),IF($Z570="F",DATE(YEAR(MAX(N(INDEX(Workforce!$I$2:$I$151,MATCH(INDEX(FTE_Allocation!$A$2:$A$201,$AB570),Workforce!$A$2:$A$151,0))),N(INDEX(FTE_Allocation!$I$2:$I$201,$AB570)))),MONTH(MAX(N(INDEX(Workforce!$I$2:$I$151,MATCH(INDEX(FTE_Allocation!$A$2:$A$201,$AB570),Workforce!$A$2:$A$151,0))),N(INDEX(FTE_Allocation!$I$2:$I$201,$AB570)))),1),"")))</f>
        <v/>
      </c>
      <c r="AF570" s="21">
        <f>IF($Z570="C",IF(INDEX(Contracts!$I$2:$I$151,$AB570)="PREPAID",EDATE(DATE(YEAR(INDEX(Contracts!$J$2:$J$151,$AB570)),MONTH(INDEX(Contracts!$J$2:$J$151,$AB570)),1),IF(INDEX(Contracts!$N$2:$N$151,$AB570)="",12,INDEX(Contracts!$N$2:$N$151,$AB570))-1),IF(INDEX(Contracts!$I$2:$I$151,$AB570)="MONTHLY",IF(INDEX(Contracts!$K$2:$K$151,$AB570)="",2958101,INDEX(Contracts!$K$2:$K$151,$AB570)),0)),IF($Z570="A",EDATE(DATE(YEAR(INDEX(Fixed_Assets!$G$2:$G$201,$AB570)),MONTH(INDEX(Fixed_Assets!$G$2:$G$201,$AB570)),1),INDEX(Fixed_Assets!$J$2:$J$201,$AB570)-1),IF($Z570="F",MIN(IF(INDEX(Workforce!$J$2:$J$151,MATCH(INDEX(FTE_Allocation!$A$2:$A$201,$AB570),Workforce!$A$2:$A$151,0))="",2958101,INDEX(Workforce!$J$2:$J$151,MATCH(INDEX(FTE_Allocation!$A$2:$A$201,$AB570),Workforce!$A$2:$A$151,0))),IF(INDEX(FTE_Allocation!$J$2:$J$201,$AB570)="",2958101,INDEX(FTE_Allocation!$J$2:$J$201,$AB570))),"")))</f>
        <v/>
      </c>
      <c r="AG570" s="19">
        <f>IF($Z570="C",IF(INDEX(Contracts!$I$2:$I$151,$AB570)="PREPAID",INDEX(Contracts!$M$2:$M$151,$AB570)/IF(INDEX(Contracts!$N$2:$N$151,$AB570)="",12,INDEX(Contracts!$N$2:$N$151,$AB570)),IF(INDEX(Contracts!$I$2:$I$151,$AB570)="MONTHLY",INDEX(Contracts!$M$2:$M$151,$AB570),0))*(1-N(INDEX(Contracts!$O$2:$O$151,$AB570))),IF($Z570="A",INDEX(Fixed_Assets!$H$2:$H$201,$AB570)/INDEX(Fixed_Assets!$J$2:$J$201,$AB570),IF($Z570="F",INDEX(Workforce!$F$2:$F$151,MATCH(INDEX(FTE_Allocation!$A$2:$A$201,$AB570),Workforce!$A$2:$A$151,0))*N(INDEX(FTE_Allocation!$F$2:$H$201,$AB570,$AC570)),"")))</f>
        <v/>
      </c>
    </row>
    <row r="571">
      <c r="A571" s="7">
        <f>IF($Z571="","",$AD571)</f>
        <v/>
      </c>
      <c r="B571" s="7">
        <f>IF($Z571="C",INDEX(Contracts!$D$2:$D$151,$AB571)&amp;"",IF($Z571="A",INDEX(Fixed_Assets!$C$2:$C$201,$AB571)&amp;"",IF($Z571="F",INDEX(Workforce!$B$2:$B$151,MATCH(INDEX(FTE_Allocation!$A$2:$A$201,$AB571),Workforce!$A$2:$A$151,0))&amp;"","")))</f>
        <v/>
      </c>
      <c r="C571" s="7">
        <f>IF($Z571="C",INDEX(Contracts!$E$2:$E$151,$AB571)&amp;"",IF($Z571="A",INDEX(Fixed_Assets!$D$2:$D$201,$AB571)&amp;"",IF($Z571="F",INDEX(FTE_Allocation!$C$2:$C$201,$AB571)&amp;"","")))</f>
        <v/>
      </c>
      <c r="D571" s="7">
        <f>IF($Z571="C",INDEX(Contracts!$B$2:$B$151,$AB571)&amp;"",IF($Z571="A",INDEX(Fixed_Assets!$B$2:$B$201,$AB571)&amp;"",IF($Z571="F",INDEX(FTE_Allocation!$B$2:$B$201,$AB571)&amp;"","")))</f>
        <v/>
      </c>
      <c r="E571" s="7">
        <f>IF($Z571="C",INDEX(Contracts!$P$2:$P$151,$AB571)&amp;"",IF($Z571="A",INDEX(Fixed_Assets!$K$2:$K$201,$AB571)&amp;"",IF($Z571="F",IF(INDEX(FTE_Allocation!$D$2:$D$201,$AB571)="PROJECT",IFERROR(INDEX(Projects!$D:$D,MATCH(INDEX(FTE_Allocation!$E$2:$E$201,$AB571),Projects!$A:$A,0))&amp;"","#PROJECT?"),INDEX(FTE_Allocation!$E$2:$E$201,$AB571)&amp;""),"")))</f>
        <v/>
      </c>
      <c r="F571" s="7">
        <f>IF($Z571="C",INDEX(Contracts!$Q$2:$Q$151,$AB571)&amp;"",IF($Z571="A",INDEX(Fixed_Assets!$L$2:$L$201,$AB571)&amp;"",IF($Z571="F",INDEX(Workforce!$K$2:$K$151,MATCH(INDEX(FTE_Allocation!$A$2:$A$201,$AB571),Workforce!$A$2:$A$151,0))&amp;"","")))</f>
        <v/>
      </c>
      <c r="G571" s="7">
        <f>IF($Z571="C",INDEX(Contracts!$F$2:$F$151,$AB571)&amp;" / "&amp;INDEX(Contracts!$G$2:$G$151,$AB571),IF($Z571="A",INDEX(Fixed_Assets!$E$2:$E$201,$AB571)&amp;"",IF($Z571="F","Personnel "&amp;INDEX(FTE_Allocation!$A$2:$A$201,$AB571)&amp;IF(INDEX(FTE_Allocation!$D$2:$D$201,$AB571)="PROJECT"," ("&amp;INDEX(FTE_Allocation!$E$2:$E$201,$AB571)&amp;")",""),"")))</f>
        <v/>
      </c>
      <c r="H571" s="7">
        <f>IF($Z571="C","CONTRACT",IF($Z571="A","ASSET",IF($Z571="F","WORKFORCE","")))</f>
        <v/>
      </c>
      <c r="I571" s="7">
        <f>IF($Z571="C",INDEX(Contracts!$L$2:$L$151,$AB571)&amp;"",IF($Z571="A",INDEX(Fixed_Assets!$I$2:$I$201,$AB571)&amp;"",IF($Z571="F",INDEX(Workforce!$G$2:$G$151,MATCH(INDEX(FTE_Allocation!$A$2:$A$201,$AB571),Workforce!$A$2:$A$151,0))&amp;"","")))</f>
        <v/>
      </c>
      <c r="J571" s="18">
        <f>IF($Z571="","",IF(AND(DATE($AD571,1,1)&gt;=$AE571,DATE($AD571,1,1)&lt;=$AF571),ROUND($AG571,2),0))</f>
        <v/>
      </c>
      <c r="K571" s="18">
        <f>IF($Z571="","",IF(AND(DATE($AD571,2,1)&gt;=$AE571,DATE($AD571,2,1)&lt;=$AF571),ROUND($AG571,2),0))</f>
        <v/>
      </c>
      <c r="L571" s="18">
        <f>IF($Z571="","",IF(AND(DATE($AD571,3,1)&gt;=$AE571,DATE($AD571,3,1)&lt;=$AF571),ROUND($AG571,2),0))</f>
        <v/>
      </c>
      <c r="M571" s="18">
        <f>IF($Z571="","",IF(AND(DATE($AD571,4,1)&gt;=$AE571,DATE($AD571,4,1)&lt;=$AF571),ROUND($AG571,2),0))</f>
        <v/>
      </c>
      <c r="N571" s="18">
        <f>IF($Z571="","",IF(AND(DATE($AD571,5,1)&gt;=$AE571,DATE($AD571,5,1)&lt;=$AF571),ROUND($AG571,2),0))</f>
        <v/>
      </c>
      <c r="O571" s="18">
        <f>IF($Z571="","",IF(AND(DATE($AD571,6,1)&gt;=$AE571,DATE($AD571,6,1)&lt;=$AF571),ROUND($AG571,2),0))</f>
        <v/>
      </c>
      <c r="P571" s="18">
        <f>IF($Z571="","",IF(AND(DATE($AD571,7,1)&gt;=$AE571,DATE($AD571,7,1)&lt;=$AF571),ROUND($AG571,2),0))</f>
        <v/>
      </c>
      <c r="Q571" s="18">
        <f>IF($Z571="","",IF(AND(DATE($AD571,8,1)&gt;=$AE571,DATE($AD571,8,1)&lt;=$AF571),ROUND($AG571,2),0))</f>
        <v/>
      </c>
      <c r="R571" s="18">
        <f>IF($Z571="","",IF(AND(DATE($AD571,9,1)&gt;=$AE571,DATE($AD571,9,1)&lt;=$AF571),ROUND($AG571,2),0))</f>
        <v/>
      </c>
      <c r="S571" s="18">
        <f>IF($Z571="","",IF(AND(DATE($AD571,10,1)&gt;=$AE571,DATE($AD571,10,1)&lt;=$AF571),ROUND($AG571,2),0))</f>
        <v/>
      </c>
      <c r="T571" s="18">
        <f>IF($Z571="","",IF(AND(DATE($AD571,11,1)&gt;=$AE571,DATE($AD571,11,1)&lt;=$AF571),ROUND($AG571,2),0))</f>
        <v/>
      </c>
      <c r="U571" s="18">
        <f>IF($Z571="","",IF(AND(DATE($AD571,12,1)&gt;=$AE571,DATE($AD571,12,1)&lt;=$AF571),ROUND($AG571,2),0))</f>
        <v/>
      </c>
      <c r="V571" s="7">
        <f>IF($Z571="C","Generated from "&amp;INDEX(Contracts!$A$2:$A$151,$AB571),IF($Z571="A","Generated from "&amp;INDEX(Fixed_Assets!$A$2:$A$201,$AB571),IF($Z571="F","Generated from "&amp;INDEX(FTE_Allocation!$A$2:$A$201,$AB571),"")))</f>
        <v/>
      </c>
      <c r="X571" s="19">
        <f>IF($Z571="","",SUM(J571:U571))</f>
        <v/>
      </c>
      <c r="Y571" s="20">
        <f>ROW()-1</f>
        <v/>
      </c>
      <c r="Z571" s="20">
        <f>IF($Y571&lt;=Settings!$B$4*3,"C",IF($Y571&lt;=(Settings!$B$4+Settings!$B$5)*3,"A",IF($Y571&lt;=(Settings!$B$4+Settings!$B$5+Settings!$B$6)*3,"F","")))</f>
        <v/>
      </c>
      <c r="AA571" s="20">
        <f>IF($Z571="C",$Y571,IF($Z571="A",$Y571-Settings!$B$4*3,IF($Z571="F",$Y571-(Settings!$B$4+Settings!$B$5)*3,"")))</f>
        <v/>
      </c>
      <c r="AB571" s="20">
        <f>IF($Z571="","",INT(($AA571-1)/3)+1)</f>
        <v/>
      </c>
      <c r="AC571" s="20">
        <f>IF($Z571="","",MOD($AA571-1,3)+1)</f>
        <v/>
      </c>
      <c r="AD571" s="20">
        <f>IF($Z571="","",Settings!$B$2+$AC571-1)</f>
        <v/>
      </c>
      <c r="AE571" s="21">
        <f>IF($Z571="C",DATE(YEAR(INDEX(Contracts!$J$2:$J$151,$AB571)),MONTH(INDEX(Contracts!$J$2:$J$151,$AB571)),1),IF($Z571="A",DATE(YEAR(INDEX(Fixed_Assets!$G$2:$G$201,$AB571)),MONTH(INDEX(Fixed_Assets!$G$2:$G$201,$AB571)),1),IF($Z571="F",DATE(YEAR(MAX(N(INDEX(Workforce!$I$2:$I$151,MATCH(INDEX(FTE_Allocation!$A$2:$A$201,$AB571),Workforce!$A$2:$A$151,0))),N(INDEX(FTE_Allocation!$I$2:$I$201,$AB571)))),MONTH(MAX(N(INDEX(Workforce!$I$2:$I$151,MATCH(INDEX(FTE_Allocation!$A$2:$A$201,$AB571),Workforce!$A$2:$A$151,0))),N(INDEX(FTE_Allocation!$I$2:$I$201,$AB571)))),1),"")))</f>
        <v/>
      </c>
      <c r="AF571" s="21">
        <f>IF($Z571="C",IF(INDEX(Contracts!$I$2:$I$151,$AB571)="PREPAID",EDATE(DATE(YEAR(INDEX(Contracts!$J$2:$J$151,$AB571)),MONTH(INDEX(Contracts!$J$2:$J$151,$AB571)),1),IF(INDEX(Contracts!$N$2:$N$151,$AB571)="",12,INDEX(Contracts!$N$2:$N$151,$AB571))-1),IF(INDEX(Contracts!$I$2:$I$151,$AB571)="MONTHLY",IF(INDEX(Contracts!$K$2:$K$151,$AB571)="",2958101,INDEX(Contracts!$K$2:$K$151,$AB571)),0)),IF($Z571="A",EDATE(DATE(YEAR(INDEX(Fixed_Assets!$G$2:$G$201,$AB571)),MONTH(INDEX(Fixed_Assets!$G$2:$G$201,$AB571)),1),INDEX(Fixed_Assets!$J$2:$J$201,$AB571)-1),IF($Z571="F",MIN(IF(INDEX(Workforce!$J$2:$J$151,MATCH(INDEX(FTE_Allocation!$A$2:$A$201,$AB571),Workforce!$A$2:$A$151,0))="",2958101,INDEX(Workforce!$J$2:$J$151,MATCH(INDEX(FTE_Allocation!$A$2:$A$201,$AB571),Workforce!$A$2:$A$151,0))),IF(INDEX(FTE_Allocation!$J$2:$J$201,$AB571)="",2958101,INDEX(FTE_Allocation!$J$2:$J$201,$AB571))),"")))</f>
        <v/>
      </c>
      <c r="AG571" s="19">
        <f>IF($Z571="C",IF(INDEX(Contracts!$I$2:$I$151,$AB571)="PREPAID",INDEX(Contracts!$M$2:$M$151,$AB571)/IF(INDEX(Contracts!$N$2:$N$151,$AB571)="",12,INDEX(Contracts!$N$2:$N$151,$AB571)),IF(INDEX(Contracts!$I$2:$I$151,$AB571)="MONTHLY",INDEX(Contracts!$M$2:$M$151,$AB571),0))*(1-N(INDEX(Contracts!$O$2:$O$151,$AB571))),IF($Z571="A",INDEX(Fixed_Assets!$H$2:$H$201,$AB571)/INDEX(Fixed_Assets!$J$2:$J$201,$AB571),IF($Z571="F",INDEX(Workforce!$F$2:$F$151,MATCH(INDEX(FTE_Allocation!$A$2:$A$201,$AB571),Workforce!$A$2:$A$151,0))*N(INDEX(FTE_Allocation!$F$2:$H$201,$AB571,$AC571)),"")))</f>
        <v/>
      </c>
    </row>
    <row r="572">
      <c r="A572" s="7">
        <f>IF($Z572="","",$AD572)</f>
        <v/>
      </c>
      <c r="B572" s="7">
        <f>IF($Z572="C",INDEX(Contracts!$D$2:$D$151,$AB572)&amp;"",IF($Z572="A",INDEX(Fixed_Assets!$C$2:$C$201,$AB572)&amp;"",IF($Z572="F",INDEX(Workforce!$B$2:$B$151,MATCH(INDEX(FTE_Allocation!$A$2:$A$201,$AB572),Workforce!$A$2:$A$151,0))&amp;"","")))</f>
        <v/>
      </c>
      <c r="C572" s="7">
        <f>IF($Z572="C",INDEX(Contracts!$E$2:$E$151,$AB572)&amp;"",IF($Z572="A",INDEX(Fixed_Assets!$D$2:$D$201,$AB572)&amp;"",IF($Z572="F",INDEX(FTE_Allocation!$C$2:$C$201,$AB572)&amp;"","")))</f>
        <v/>
      </c>
      <c r="D572" s="7">
        <f>IF($Z572="C",INDEX(Contracts!$B$2:$B$151,$AB572)&amp;"",IF($Z572="A",INDEX(Fixed_Assets!$B$2:$B$201,$AB572)&amp;"",IF($Z572="F",INDEX(FTE_Allocation!$B$2:$B$201,$AB572)&amp;"","")))</f>
        <v/>
      </c>
      <c r="E572" s="7">
        <f>IF($Z572="C",INDEX(Contracts!$P$2:$P$151,$AB572)&amp;"",IF($Z572="A",INDEX(Fixed_Assets!$K$2:$K$201,$AB572)&amp;"",IF($Z572="F",IF(INDEX(FTE_Allocation!$D$2:$D$201,$AB572)="PROJECT",IFERROR(INDEX(Projects!$D:$D,MATCH(INDEX(FTE_Allocation!$E$2:$E$201,$AB572),Projects!$A:$A,0))&amp;"","#PROJECT?"),INDEX(FTE_Allocation!$E$2:$E$201,$AB572)&amp;""),"")))</f>
        <v/>
      </c>
      <c r="F572" s="7">
        <f>IF($Z572="C",INDEX(Contracts!$Q$2:$Q$151,$AB572)&amp;"",IF($Z572="A",INDEX(Fixed_Assets!$L$2:$L$201,$AB572)&amp;"",IF($Z572="F",INDEX(Workforce!$K$2:$K$151,MATCH(INDEX(FTE_Allocation!$A$2:$A$201,$AB572),Workforce!$A$2:$A$151,0))&amp;"","")))</f>
        <v/>
      </c>
      <c r="G572" s="7">
        <f>IF($Z572="C",INDEX(Contracts!$F$2:$F$151,$AB572)&amp;" / "&amp;INDEX(Contracts!$G$2:$G$151,$AB572),IF($Z572="A",INDEX(Fixed_Assets!$E$2:$E$201,$AB572)&amp;"",IF($Z572="F","Personnel "&amp;INDEX(FTE_Allocation!$A$2:$A$201,$AB572)&amp;IF(INDEX(FTE_Allocation!$D$2:$D$201,$AB572)="PROJECT"," ("&amp;INDEX(FTE_Allocation!$E$2:$E$201,$AB572)&amp;")",""),"")))</f>
        <v/>
      </c>
      <c r="H572" s="7">
        <f>IF($Z572="C","CONTRACT",IF($Z572="A","ASSET",IF($Z572="F","WORKFORCE","")))</f>
        <v/>
      </c>
      <c r="I572" s="7">
        <f>IF($Z572="C",INDEX(Contracts!$L$2:$L$151,$AB572)&amp;"",IF($Z572="A",INDEX(Fixed_Assets!$I$2:$I$201,$AB572)&amp;"",IF($Z572="F",INDEX(Workforce!$G$2:$G$151,MATCH(INDEX(FTE_Allocation!$A$2:$A$201,$AB572),Workforce!$A$2:$A$151,0))&amp;"","")))</f>
        <v/>
      </c>
      <c r="J572" s="18">
        <f>IF($Z572="","",IF(AND(DATE($AD572,1,1)&gt;=$AE572,DATE($AD572,1,1)&lt;=$AF572),ROUND($AG572,2),0))</f>
        <v/>
      </c>
      <c r="K572" s="18">
        <f>IF($Z572="","",IF(AND(DATE($AD572,2,1)&gt;=$AE572,DATE($AD572,2,1)&lt;=$AF572),ROUND($AG572,2),0))</f>
        <v/>
      </c>
      <c r="L572" s="18">
        <f>IF($Z572="","",IF(AND(DATE($AD572,3,1)&gt;=$AE572,DATE($AD572,3,1)&lt;=$AF572),ROUND($AG572,2),0))</f>
        <v/>
      </c>
      <c r="M572" s="18">
        <f>IF($Z572="","",IF(AND(DATE($AD572,4,1)&gt;=$AE572,DATE($AD572,4,1)&lt;=$AF572),ROUND($AG572,2),0))</f>
        <v/>
      </c>
      <c r="N572" s="18">
        <f>IF($Z572="","",IF(AND(DATE($AD572,5,1)&gt;=$AE572,DATE($AD572,5,1)&lt;=$AF572),ROUND($AG572,2),0))</f>
        <v/>
      </c>
      <c r="O572" s="18">
        <f>IF($Z572="","",IF(AND(DATE($AD572,6,1)&gt;=$AE572,DATE($AD572,6,1)&lt;=$AF572),ROUND($AG572,2),0))</f>
        <v/>
      </c>
      <c r="P572" s="18">
        <f>IF($Z572="","",IF(AND(DATE($AD572,7,1)&gt;=$AE572,DATE($AD572,7,1)&lt;=$AF572),ROUND($AG572,2),0))</f>
        <v/>
      </c>
      <c r="Q572" s="18">
        <f>IF($Z572="","",IF(AND(DATE($AD572,8,1)&gt;=$AE572,DATE($AD572,8,1)&lt;=$AF572),ROUND($AG572,2),0))</f>
        <v/>
      </c>
      <c r="R572" s="18">
        <f>IF($Z572="","",IF(AND(DATE($AD572,9,1)&gt;=$AE572,DATE($AD572,9,1)&lt;=$AF572),ROUND($AG572,2),0))</f>
        <v/>
      </c>
      <c r="S572" s="18">
        <f>IF($Z572="","",IF(AND(DATE($AD572,10,1)&gt;=$AE572,DATE($AD572,10,1)&lt;=$AF572),ROUND($AG572,2),0))</f>
        <v/>
      </c>
      <c r="T572" s="18">
        <f>IF($Z572="","",IF(AND(DATE($AD572,11,1)&gt;=$AE572,DATE($AD572,11,1)&lt;=$AF572),ROUND($AG572,2),0))</f>
        <v/>
      </c>
      <c r="U572" s="18">
        <f>IF($Z572="","",IF(AND(DATE($AD572,12,1)&gt;=$AE572,DATE($AD572,12,1)&lt;=$AF572),ROUND($AG572,2),0))</f>
        <v/>
      </c>
      <c r="V572" s="7">
        <f>IF($Z572="C","Generated from "&amp;INDEX(Contracts!$A$2:$A$151,$AB572),IF($Z572="A","Generated from "&amp;INDEX(Fixed_Assets!$A$2:$A$201,$AB572),IF($Z572="F","Generated from "&amp;INDEX(FTE_Allocation!$A$2:$A$201,$AB572),"")))</f>
        <v/>
      </c>
      <c r="X572" s="19">
        <f>IF($Z572="","",SUM(J572:U572))</f>
        <v/>
      </c>
      <c r="Y572" s="20">
        <f>ROW()-1</f>
        <v/>
      </c>
      <c r="Z572" s="20">
        <f>IF($Y572&lt;=Settings!$B$4*3,"C",IF($Y572&lt;=(Settings!$B$4+Settings!$B$5)*3,"A",IF($Y572&lt;=(Settings!$B$4+Settings!$B$5+Settings!$B$6)*3,"F","")))</f>
        <v/>
      </c>
      <c r="AA572" s="20">
        <f>IF($Z572="C",$Y572,IF($Z572="A",$Y572-Settings!$B$4*3,IF($Z572="F",$Y572-(Settings!$B$4+Settings!$B$5)*3,"")))</f>
        <v/>
      </c>
      <c r="AB572" s="20">
        <f>IF($Z572="","",INT(($AA572-1)/3)+1)</f>
        <v/>
      </c>
      <c r="AC572" s="20">
        <f>IF($Z572="","",MOD($AA572-1,3)+1)</f>
        <v/>
      </c>
      <c r="AD572" s="20">
        <f>IF($Z572="","",Settings!$B$2+$AC572-1)</f>
        <v/>
      </c>
      <c r="AE572" s="21">
        <f>IF($Z572="C",DATE(YEAR(INDEX(Contracts!$J$2:$J$151,$AB572)),MONTH(INDEX(Contracts!$J$2:$J$151,$AB572)),1),IF($Z572="A",DATE(YEAR(INDEX(Fixed_Assets!$G$2:$G$201,$AB572)),MONTH(INDEX(Fixed_Assets!$G$2:$G$201,$AB572)),1),IF($Z572="F",DATE(YEAR(MAX(N(INDEX(Workforce!$I$2:$I$151,MATCH(INDEX(FTE_Allocation!$A$2:$A$201,$AB572),Workforce!$A$2:$A$151,0))),N(INDEX(FTE_Allocation!$I$2:$I$201,$AB572)))),MONTH(MAX(N(INDEX(Workforce!$I$2:$I$151,MATCH(INDEX(FTE_Allocation!$A$2:$A$201,$AB572),Workforce!$A$2:$A$151,0))),N(INDEX(FTE_Allocation!$I$2:$I$201,$AB572)))),1),"")))</f>
        <v/>
      </c>
      <c r="AF572" s="21">
        <f>IF($Z572="C",IF(INDEX(Contracts!$I$2:$I$151,$AB572)="PREPAID",EDATE(DATE(YEAR(INDEX(Contracts!$J$2:$J$151,$AB572)),MONTH(INDEX(Contracts!$J$2:$J$151,$AB572)),1),IF(INDEX(Contracts!$N$2:$N$151,$AB572)="",12,INDEX(Contracts!$N$2:$N$151,$AB572))-1),IF(INDEX(Contracts!$I$2:$I$151,$AB572)="MONTHLY",IF(INDEX(Contracts!$K$2:$K$151,$AB572)="",2958101,INDEX(Contracts!$K$2:$K$151,$AB572)),0)),IF($Z572="A",EDATE(DATE(YEAR(INDEX(Fixed_Assets!$G$2:$G$201,$AB572)),MONTH(INDEX(Fixed_Assets!$G$2:$G$201,$AB572)),1),INDEX(Fixed_Assets!$J$2:$J$201,$AB572)-1),IF($Z572="F",MIN(IF(INDEX(Workforce!$J$2:$J$151,MATCH(INDEX(FTE_Allocation!$A$2:$A$201,$AB572),Workforce!$A$2:$A$151,0))="",2958101,INDEX(Workforce!$J$2:$J$151,MATCH(INDEX(FTE_Allocation!$A$2:$A$201,$AB572),Workforce!$A$2:$A$151,0))),IF(INDEX(FTE_Allocation!$J$2:$J$201,$AB572)="",2958101,INDEX(FTE_Allocation!$J$2:$J$201,$AB572))),"")))</f>
        <v/>
      </c>
      <c r="AG572" s="19">
        <f>IF($Z572="C",IF(INDEX(Contracts!$I$2:$I$151,$AB572)="PREPAID",INDEX(Contracts!$M$2:$M$151,$AB572)/IF(INDEX(Contracts!$N$2:$N$151,$AB572)="",12,INDEX(Contracts!$N$2:$N$151,$AB572)),IF(INDEX(Contracts!$I$2:$I$151,$AB572)="MONTHLY",INDEX(Contracts!$M$2:$M$151,$AB572),0))*(1-N(INDEX(Contracts!$O$2:$O$151,$AB572))),IF($Z572="A",INDEX(Fixed_Assets!$H$2:$H$201,$AB572)/INDEX(Fixed_Assets!$J$2:$J$201,$AB572),IF($Z572="F",INDEX(Workforce!$F$2:$F$151,MATCH(INDEX(FTE_Allocation!$A$2:$A$201,$AB572),Workforce!$A$2:$A$151,0))*N(INDEX(FTE_Allocation!$F$2:$H$201,$AB572,$AC572)),"")))</f>
        <v/>
      </c>
    </row>
    <row r="573">
      <c r="A573" s="7">
        <f>IF($Z573="","",$AD573)</f>
        <v/>
      </c>
      <c r="B573" s="7">
        <f>IF($Z573="C",INDEX(Contracts!$D$2:$D$151,$AB573)&amp;"",IF($Z573="A",INDEX(Fixed_Assets!$C$2:$C$201,$AB573)&amp;"",IF($Z573="F",INDEX(Workforce!$B$2:$B$151,MATCH(INDEX(FTE_Allocation!$A$2:$A$201,$AB573),Workforce!$A$2:$A$151,0))&amp;"","")))</f>
        <v/>
      </c>
      <c r="C573" s="7">
        <f>IF($Z573="C",INDEX(Contracts!$E$2:$E$151,$AB573)&amp;"",IF($Z573="A",INDEX(Fixed_Assets!$D$2:$D$201,$AB573)&amp;"",IF($Z573="F",INDEX(FTE_Allocation!$C$2:$C$201,$AB573)&amp;"","")))</f>
        <v/>
      </c>
      <c r="D573" s="7">
        <f>IF($Z573="C",INDEX(Contracts!$B$2:$B$151,$AB573)&amp;"",IF($Z573="A",INDEX(Fixed_Assets!$B$2:$B$201,$AB573)&amp;"",IF($Z573="F",INDEX(FTE_Allocation!$B$2:$B$201,$AB573)&amp;"","")))</f>
        <v/>
      </c>
      <c r="E573" s="7">
        <f>IF($Z573="C",INDEX(Contracts!$P$2:$P$151,$AB573)&amp;"",IF($Z573="A",INDEX(Fixed_Assets!$K$2:$K$201,$AB573)&amp;"",IF($Z573="F",IF(INDEX(FTE_Allocation!$D$2:$D$201,$AB573)="PROJECT",IFERROR(INDEX(Projects!$D:$D,MATCH(INDEX(FTE_Allocation!$E$2:$E$201,$AB573),Projects!$A:$A,0))&amp;"","#PROJECT?"),INDEX(FTE_Allocation!$E$2:$E$201,$AB573)&amp;""),"")))</f>
        <v/>
      </c>
      <c r="F573" s="7">
        <f>IF($Z573="C",INDEX(Contracts!$Q$2:$Q$151,$AB573)&amp;"",IF($Z573="A",INDEX(Fixed_Assets!$L$2:$L$201,$AB573)&amp;"",IF($Z573="F",INDEX(Workforce!$K$2:$K$151,MATCH(INDEX(FTE_Allocation!$A$2:$A$201,$AB573),Workforce!$A$2:$A$151,0))&amp;"","")))</f>
        <v/>
      </c>
      <c r="G573" s="7">
        <f>IF($Z573="C",INDEX(Contracts!$F$2:$F$151,$AB573)&amp;" / "&amp;INDEX(Contracts!$G$2:$G$151,$AB573),IF($Z573="A",INDEX(Fixed_Assets!$E$2:$E$201,$AB573)&amp;"",IF($Z573="F","Personnel "&amp;INDEX(FTE_Allocation!$A$2:$A$201,$AB573)&amp;IF(INDEX(FTE_Allocation!$D$2:$D$201,$AB573)="PROJECT"," ("&amp;INDEX(FTE_Allocation!$E$2:$E$201,$AB573)&amp;")",""),"")))</f>
        <v/>
      </c>
      <c r="H573" s="7">
        <f>IF($Z573="C","CONTRACT",IF($Z573="A","ASSET",IF($Z573="F","WORKFORCE","")))</f>
        <v/>
      </c>
      <c r="I573" s="7">
        <f>IF($Z573="C",INDEX(Contracts!$L$2:$L$151,$AB573)&amp;"",IF($Z573="A",INDEX(Fixed_Assets!$I$2:$I$201,$AB573)&amp;"",IF($Z573="F",INDEX(Workforce!$G$2:$G$151,MATCH(INDEX(FTE_Allocation!$A$2:$A$201,$AB573),Workforce!$A$2:$A$151,0))&amp;"","")))</f>
        <v/>
      </c>
      <c r="J573" s="18">
        <f>IF($Z573="","",IF(AND(DATE($AD573,1,1)&gt;=$AE573,DATE($AD573,1,1)&lt;=$AF573),ROUND($AG573,2),0))</f>
        <v/>
      </c>
      <c r="K573" s="18">
        <f>IF($Z573="","",IF(AND(DATE($AD573,2,1)&gt;=$AE573,DATE($AD573,2,1)&lt;=$AF573),ROUND($AG573,2),0))</f>
        <v/>
      </c>
      <c r="L573" s="18">
        <f>IF($Z573="","",IF(AND(DATE($AD573,3,1)&gt;=$AE573,DATE($AD573,3,1)&lt;=$AF573),ROUND($AG573,2),0))</f>
        <v/>
      </c>
      <c r="M573" s="18">
        <f>IF($Z573="","",IF(AND(DATE($AD573,4,1)&gt;=$AE573,DATE($AD573,4,1)&lt;=$AF573),ROUND($AG573,2),0))</f>
        <v/>
      </c>
      <c r="N573" s="18">
        <f>IF($Z573="","",IF(AND(DATE($AD573,5,1)&gt;=$AE573,DATE($AD573,5,1)&lt;=$AF573),ROUND($AG573,2),0))</f>
        <v/>
      </c>
      <c r="O573" s="18">
        <f>IF($Z573="","",IF(AND(DATE($AD573,6,1)&gt;=$AE573,DATE($AD573,6,1)&lt;=$AF573),ROUND($AG573,2),0))</f>
        <v/>
      </c>
      <c r="P573" s="18">
        <f>IF($Z573="","",IF(AND(DATE($AD573,7,1)&gt;=$AE573,DATE($AD573,7,1)&lt;=$AF573),ROUND($AG573,2),0))</f>
        <v/>
      </c>
      <c r="Q573" s="18">
        <f>IF($Z573="","",IF(AND(DATE($AD573,8,1)&gt;=$AE573,DATE($AD573,8,1)&lt;=$AF573),ROUND($AG573,2),0))</f>
        <v/>
      </c>
      <c r="R573" s="18">
        <f>IF($Z573="","",IF(AND(DATE($AD573,9,1)&gt;=$AE573,DATE($AD573,9,1)&lt;=$AF573),ROUND($AG573,2),0))</f>
        <v/>
      </c>
      <c r="S573" s="18">
        <f>IF($Z573="","",IF(AND(DATE($AD573,10,1)&gt;=$AE573,DATE($AD573,10,1)&lt;=$AF573),ROUND($AG573,2),0))</f>
        <v/>
      </c>
      <c r="T573" s="18">
        <f>IF($Z573="","",IF(AND(DATE($AD573,11,1)&gt;=$AE573,DATE($AD573,11,1)&lt;=$AF573),ROUND($AG573,2),0))</f>
        <v/>
      </c>
      <c r="U573" s="18">
        <f>IF($Z573="","",IF(AND(DATE($AD573,12,1)&gt;=$AE573,DATE($AD573,12,1)&lt;=$AF573),ROUND($AG573,2),0))</f>
        <v/>
      </c>
      <c r="V573" s="7">
        <f>IF($Z573="C","Generated from "&amp;INDEX(Contracts!$A$2:$A$151,$AB573),IF($Z573="A","Generated from "&amp;INDEX(Fixed_Assets!$A$2:$A$201,$AB573),IF($Z573="F","Generated from "&amp;INDEX(FTE_Allocation!$A$2:$A$201,$AB573),"")))</f>
        <v/>
      </c>
      <c r="X573" s="19">
        <f>IF($Z573="","",SUM(J573:U573))</f>
        <v/>
      </c>
      <c r="Y573" s="20">
        <f>ROW()-1</f>
        <v/>
      </c>
      <c r="Z573" s="20">
        <f>IF($Y573&lt;=Settings!$B$4*3,"C",IF($Y573&lt;=(Settings!$B$4+Settings!$B$5)*3,"A",IF($Y573&lt;=(Settings!$B$4+Settings!$B$5+Settings!$B$6)*3,"F","")))</f>
        <v/>
      </c>
      <c r="AA573" s="20">
        <f>IF($Z573="C",$Y573,IF($Z573="A",$Y573-Settings!$B$4*3,IF($Z573="F",$Y573-(Settings!$B$4+Settings!$B$5)*3,"")))</f>
        <v/>
      </c>
      <c r="AB573" s="20">
        <f>IF($Z573="","",INT(($AA573-1)/3)+1)</f>
        <v/>
      </c>
      <c r="AC573" s="20">
        <f>IF($Z573="","",MOD($AA573-1,3)+1)</f>
        <v/>
      </c>
      <c r="AD573" s="20">
        <f>IF($Z573="","",Settings!$B$2+$AC573-1)</f>
        <v/>
      </c>
      <c r="AE573" s="21">
        <f>IF($Z573="C",DATE(YEAR(INDEX(Contracts!$J$2:$J$151,$AB573)),MONTH(INDEX(Contracts!$J$2:$J$151,$AB573)),1),IF($Z573="A",DATE(YEAR(INDEX(Fixed_Assets!$G$2:$G$201,$AB573)),MONTH(INDEX(Fixed_Assets!$G$2:$G$201,$AB573)),1),IF($Z573="F",DATE(YEAR(MAX(N(INDEX(Workforce!$I$2:$I$151,MATCH(INDEX(FTE_Allocation!$A$2:$A$201,$AB573),Workforce!$A$2:$A$151,0))),N(INDEX(FTE_Allocation!$I$2:$I$201,$AB573)))),MONTH(MAX(N(INDEX(Workforce!$I$2:$I$151,MATCH(INDEX(FTE_Allocation!$A$2:$A$201,$AB573),Workforce!$A$2:$A$151,0))),N(INDEX(FTE_Allocation!$I$2:$I$201,$AB573)))),1),"")))</f>
        <v/>
      </c>
      <c r="AF573" s="21">
        <f>IF($Z573="C",IF(INDEX(Contracts!$I$2:$I$151,$AB573)="PREPAID",EDATE(DATE(YEAR(INDEX(Contracts!$J$2:$J$151,$AB573)),MONTH(INDEX(Contracts!$J$2:$J$151,$AB573)),1),IF(INDEX(Contracts!$N$2:$N$151,$AB573)="",12,INDEX(Contracts!$N$2:$N$151,$AB573))-1),IF(INDEX(Contracts!$I$2:$I$151,$AB573)="MONTHLY",IF(INDEX(Contracts!$K$2:$K$151,$AB573)="",2958101,INDEX(Contracts!$K$2:$K$151,$AB573)),0)),IF($Z573="A",EDATE(DATE(YEAR(INDEX(Fixed_Assets!$G$2:$G$201,$AB573)),MONTH(INDEX(Fixed_Assets!$G$2:$G$201,$AB573)),1),INDEX(Fixed_Assets!$J$2:$J$201,$AB573)-1),IF($Z573="F",MIN(IF(INDEX(Workforce!$J$2:$J$151,MATCH(INDEX(FTE_Allocation!$A$2:$A$201,$AB573),Workforce!$A$2:$A$151,0))="",2958101,INDEX(Workforce!$J$2:$J$151,MATCH(INDEX(FTE_Allocation!$A$2:$A$201,$AB573),Workforce!$A$2:$A$151,0))),IF(INDEX(FTE_Allocation!$J$2:$J$201,$AB573)="",2958101,INDEX(FTE_Allocation!$J$2:$J$201,$AB573))),"")))</f>
        <v/>
      </c>
      <c r="AG573" s="19">
        <f>IF($Z573="C",IF(INDEX(Contracts!$I$2:$I$151,$AB573)="PREPAID",INDEX(Contracts!$M$2:$M$151,$AB573)/IF(INDEX(Contracts!$N$2:$N$151,$AB573)="",12,INDEX(Contracts!$N$2:$N$151,$AB573)),IF(INDEX(Contracts!$I$2:$I$151,$AB573)="MONTHLY",INDEX(Contracts!$M$2:$M$151,$AB573),0))*(1-N(INDEX(Contracts!$O$2:$O$151,$AB573))),IF($Z573="A",INDEX(Fixed_Assets!$H$2:$H$201,$AB573)/INDEX(Fixed_Assets!$J$2:$J$201,$AB573),IF($Z573="F",INDEX(Workforce!$F$2:$F$151,MATCH(INDEX(FTE_Allocation!$A$2:$A$201,$AB573),Workforce!$A$2:$A$151,0))*N(INDEX(FTE_Allocation!$F$2:$H$201,$AB573,$AC573)),"")))</f>
        <v/>
      </c>
    </row>
    <row r="574">
      <c r="A574" s="7">
        <f>IF($Z574="","",$AD574)</f>
        <v/>
      </c>
      <c r="B574" s="7">
        <f>IF($Z574="C",INDEX(Contracts!$D$2:$D$151,$AB574)&amp;"",IF($Z574="A",INDEX(Fixed_Assets!$C$2:$C$201,$AB574)&amp;"",IF($Z574="F",INDEX(Workforce!$B$2:$B$151,MATCH(INDEX(FTE_Allocation!$A$2:$A$201,$AB574),Workforce!$A$2:$A$151,0))&amp;"","")))</f>
        <v/>
      </c>
      <c r="C574" s="7">
        <f>IF($Z574="C",INDEX(Contracts!$E$2:$E$151,$AB574)&amp;"",IF($Z574="A",INDEX(Fixed_Assets!$D$2:$D$201,$AB574)&amp;"",IF($Z574="F",INDEX(FTE_Allocation!$C$2:$C$201,$AB574)&amp;"","")))</f>
        <v/>
      </c>
      <c r="D574" s="7">
        <f>IF($Z574="C",INDEX(Contracts!$B$2:$B$151,$AB574)&amp;"",IF($Z574="A",INDEX(Fixed_Assets!$B$2:$B$201,$AB574)&amp;"",IF($Z574="F",INDEX(FTE_Allocation!$B$2:$B$201,$AB574)&amp;"","")))</f>
        <v/>
      </c>
      <c r="E574" s="7">
        <f>IF($Z574="C",INDEX(Contracts!$P$2:$P$151,$AB574)&amp;"",IF($Z574="A",INDEX(Fixed_Assets!$K$2:$K$201,$AB574)&amp;"",IF($Z574="F",IF(INDEX(FTE_Allocation!$D$2:$D$201,$AB574)="PROJECT",IFERROR(INDEX(Projects!$D:$D,MATCH(INDEX(FTE_Allocation!$E$2:$E$201,$AB574),Projects!$A:$A,0))&amp;"","#PROJECT?"),INDEX(FTE_Allocation!$E$2:$E$201,$AB574)&amp;""),"")))</f>
        <v/>
      </c>
      <c r="F574" s="7">
        <f>IF($Z574="C",INDEX(Contracts!$Q$2:$Q$151,$AB574)&amp;"",IF($Z574="A",INDEX(Fixed_Assets!$L$2:$L$201,$AB574)&amp;"",IF($Z574="F",INDEX(Workforce!$K$2:$K$151,MATCH(INDEX(FTE_Allocation!$A$2:$A$201,$AB574),Workforce!$A$2:$A$151,0))&amp;"","")))</f>
        <v/>
      </c>
      <c r="G574" s="7">
        <f>IF($Z574="C",INDEX(Contracts!$F$2:$F$151,$AB574)&amp;" / "&amp;INDEX(Contracts!$G$2:$G$151,$AB574),IF($Z574="A",INDEX(Fixed_Assets!$E$2:$E$201,$AB574)&amp;"",IF($Z574="F","Personnel "&amp;INDEX(FTE_Allocation!$A$2:$A$201,$AB574)&amp;IF(INDEX(FTE_Allocation!$D$2:$D$201,$AB574)="PROJECT"," ("&amp;INDEX(FTE_Allocation!$E$2:$E$201,$AB574)&amp;")",""),"")))</f>
        <v/>
      </c>
      <c r="H574" s="7">
        <f>IF($Z574="C","CONTRACT",IF($Z574="A","ASSET",IF($Z574="F","WORKFORCE","")))</f>
        <v/>
      </c>
      <c r="I574" s="7">
        <f>IF($Z574="C",INDEX(Contracts!$L$2:$L$151,$AB574)&amp;"",IF($Z574="A",INDEX(Fixed_Assets!$I$2:$I$201,$AB574)&amp;"",IF($Z574="F",INDEX(Workforce!$G$2:$G$151,MATCH(INDEX(FTE_Allocation!$A$2:$A$201,$AB574),Workforce!$A$2:$A$151,0))&amp;"","")))</f>
        <v/>
      </c>
      <c r="J574" s="18">
        <f>IF($Z574="","",IF(AND(DATE($AD574,1,1)&gt;=$AE574,DATE($AD574,1,1)&lt;=$AF574),ROUND($AG574,2),0))</f>
        <v/>
      </c>
      <c r="K574" s="18">
        <f>IF($Z574="","",IF(AND(DATE($AD574,2,1)&gt;=$AE574,DATE($AD574,2,1)&lt;=$AF574),ROUND($AG574,2),0))</f>
        <v/>
      </c>
      <c r="L574" s="18">
        <f>IF($Z574="","",IF(AND(DATE($AD574,3,1)&gt;=$AE574,DATE($AD574,3,1)&lt;=$AF574),ROUND($AG574,2),0))</f>
        <v/>
      </c>
      <c r="M574" s="18">
        <f>IF($Z574="","",IF(AND(DATE($AD574,4,1)&gt;=$AE574,DATE($AD574,4,1)&lt;=$AF574),ROUND($AG574,2),0))</f>
        <v/>
      </c>
      <c r="N574" s="18">
        <f>IF($Z574="","",IF(AND(DATE($AD574,5,1)&gt;=$AE574,DATE($AD574,5,1)&lt;=$AF574),ROUND($AG574,2),0))</f>
        <v/>
      </c>
      <c r="O574" s="18">
        <f>IF($Z574="","",IF(AND(DATE($AD574,6,1)&gt;=$AE574,DATE($AD574,6,1)&lt;=$AF574),ROUND($AG574,2),0))</f>
        <v/>
      </c>
      <c r="P574" s="18">
        <f>IF($Z574="","",IF(AND(DATE($AD574,7,1)&gt;=$AE574,DATE($AD574,7,1)&lt;=$AF574),ROUND($AG574,2),0))</f>
        <v/>
      </c>
      <c r="Q574" s="18">
        <f>IF($Z574="","",IF(AND(DATE($AD574,8,1)&gt;=$AE574,DATE($AD574,8,1)&lt;=$AF574),ROUND($AG574,2),0))</f>
        <v/>
      </c>
      <c r="R574" s="18">
        <f>IF($Z574="","",IF(AND(DATE($AD574,9,1)&gt;=$AE574,DATE($AD574,9,1)&lt;=$AF574),ROUND($AG574,2),0))</f>
        <v/>
      </c>
      <c r="S574" s="18">
        <f>IF($Z574="","",IF(AND(DATE($AD574,10,1)&gt;=$AE574,DATE($AD574,10,1)&lt;=$AF574),ROUND($AG574,2),0))</f>
        <v/>
      </c>
      <c r="T574" s="18">
        <f>IF($Z574="","",IF(AND(DATE($AD574,11,1)&gt;=$AE574,DATE($AD574,11,1)&lt;=$AF574),ROUND($AG574,2),0))</f>
        <v/>
      </c>
      <c r="U574" s="18">
        <f>IF($Z574="","",IF(AND(DATE($AD574,12,1)&gt;=$AE574,DATE($AD574,12,1)&lt;=$AF574),ROUND($AG574,2),0))</f>
        <v/>
      </c>
      <c r="V574" s="7">
        <f>IF($Z574="C","Generated from "&amp;INDEX(Contracts!$A$2:$A$151,$AB574),IF($Z574="A","Generated from "&amp;INDEX(Fixed_Assets!$A$2:$A$201,$AB574),IF($Z574="F","Generated from "&amp;INDEX(FTE_Allocation!$A$2:$A$201,$AB574),"")))</f>
        <v/>
      </c>
      <c r="X574" s="19">
        <f>IF($Z574="","",SUM(J574:U574))</f>
        <v/>
      </c>
      <c r="Y574" s="20">
        <f>ROW()-1</f>
        <v/>
      </c>
      <c r="Z574" s="20">
        <f>IF($Y574&lt;=Settings!$B$4*3,"C",IF($Y574&lt;=(Settings!$B$4+Settings!$B$5)*3,"A",IF($Y574&lt;=(Settings!$B$4+Settings!$B$5+Settings!$B$6)*3,"F","")))</f>
        <v/>
      </c>
      <c r="AA574" s="20">
        <f>IF($Z574="C",$Y574,IF($Z574="A",$Y574-Settings!$B$4*3,IF($Z574="F",$Y574-(Settings!$B$4+Settings!$B$5)*3,"")))</f>
        <v/>
      </c>
      <c r="AB574" s="20">
        <f>IF($Z574="","",INT(($AA574-1)/3)+1)</f>
        <v/>
      </c>
      <c r="AC574" s="20">
        <f>IF($Z574="","",MOD($AA574-1,3)+1)</f>
        <v/>
      </c>
      <c r="AD574" s="20">
        <f>IF($Z574="","",Settings!$B$2+$AC574-1)</f>
        <v/>
      </c>
      <c r="AE574" s="21">
        <f>IF($Z574="C",DATE(YEAR(INDEX(Contracts!$J$2:$J$151,$AB574)),MONTH(INDEX(Contracts!$J$2:$J$151,$AB574)),1),IF($Z574="A",DATE(YEAR(INDEX(Fixed_Assets!$G$2:$G$201,$AB574)),MONTH(INDEX(Fixed_Assets!$G$2:$G$201,$AB574)),1),IF($Z574="F",DATE(YEAR(MAX(N(INDEX(Workforce!$I$2:$I$151,MATCH(INDEX(FTE_Allocation!$A$2:$A$201,$AB574),Workforce!$A$2:$A$151,0))),N(INDEX(FTE_Allocation!$I$2:$I$201,$AB574)))),MONTH(MAX(N(INDEX(Workforce!$I$2:$I$151,MATCH(INDEX(FTE_Allocation!$A$2:$A$201,$AB574),Workforce!$A$2:$A$151,0))),N(INDEX(FTE_Allocation!$I$2:$I$201,$AB574)))),1),"")))</f>
        <v/>
      </c>
      <c r="AF574" s="21">
        <f>IF($Z574="C",IF(INDEX(Contracts!$I$2:$I$151,$AB574)="PREPAID",EDATE(DATE(YEAR(INDEX(Contracts!$J$2:$J$151,$AB574)),MONTH(INDEX(Contracts!$J$2:$J$151,$AB574)),1),IF(INDEX(Contracts!$N$2:$N$151,$AB574)="",12,INDEX(Contracts!$N$2:$N$151,$AB574))-1),IF(INDEX(Contracts!$I$2:$I$151,$AB574)="MONTHLY",IF(INDEX(Contracts!$K$2:$K$151,$AB574)="",2958101,INDEX(Contracts!$K$2:$K$151,$AB574)),0)),IF($Z574="A",EDATE(DATE(YEAR(INDEX(Fixed_Assets!$G$2:$G$201,$AB574)),MONTH(INDEX(Fixed_Assets!$G$2:$G$201,$AB574)),1),INDEX(Fixed_Assets!$J$2:$J$201,$AB574)-1),IF($Z574="F",MIN(IF(INDEX(Workforce!$J$2:$J$151,MATCH(INDEX(FTE_Allocation!$A$2:$A$201,$AB574),Workforce!$A$2:$A$151,0))="",2958101,INDEX(Workforce!$J$2:$J$151,MATCH(INDEX(FTE_Allocation!$A$2:$A$201,$AB574),Workforce!$A$2:$A$151,0))),IF(INDEX(FTE_Allocation!$J$2:$J$201,$AB574)="",2958101,INDEX(FTE_Allocation!$J$2:$J$201,$AB574))),"")))</f>
        <v/>
      </c>
      <c r="AG574" s="19">
        <f>IF($Z574="C",IF(INDEX(Contracts!$I$2:$I$151,$AB574)="PREPAID",INDEX(Contracts!$M$2:$M$151,$AB574)/IF(INDEX(Contracts!$N$2:$N$151,$AB574)="",12,INDEX(Contracts!$N$2:$N$151,$AB574)),IF(INDEX(Contracts!$I$2:$I$151,$AB574)="MONTHLY",INDEX(Contracts!$M$2:$M$151,$AB574),0))*(1-N(INDEX(Contracts!$O$2:$O$151,$AB574))),IF($Z574="A",INDEX(Fixed_Assets!$H$2:$H$201,$AB574)/INDEX(Fixed_Assets!$J$2:$J$201,$AB574),IF($Z574="F",INDEX(Workforce!$F$2:$F$151,MATCH(INDEX(FTE_Allocation!$A$2:$A$201,$AB574),Workforce!$A$2:$A$151,0))*N(INDEX(FTE_Allocation!$F$2:$H$201,$AB574,$AC574)),"")))</f>
        <v/>
      </c>
    </row>
    <row r="575">
      <c r="A575" s="7">
        <f>IF($Z575="","",$AD575)</f>
        <v/>
      </c>
      <c r="B575" s="7">
        <f>IF($Z575="C",INDEX(Contracts!$D$2:$D$151,$AB575)&amp;"",IF($Z575="A",INDEX(Fixed_Assets!$C$2:$C$201,$AB575)&amp;"",IF($Z575="F",INDEX(Workforce!$B$2:$B$151,MATCH(INDEX(FTE_Allocation!$A$2:$A$201,$AB575),Workforce!$A$2:$A$151,0))&amp;"","")))</f>
        <v/>
      </c>
      <c r="C575" s="7">
        <f>IF($Z575="C",INDEX(Contracts!$E$2:$E$151,$AB575)&amp;"",IF($Z575="A",INDEX(Fixed_Assets!$D$2:$D$201,$AB575)&amp;"",IF($Z575="F",INDEX(FTE_Allocation!$C$2:$C$201,$AB575)&amp;"","")))</f>
        <v/>
      </c>
      <c r="D575" s="7">
        <f>IF($Z575="C",INDEX(Contracts!$B$2:$B$151,$AB575)&amp;"",IF($Z575="A",INDEX(Fixed_Assets!$B$2:$B$201,$AB575)&amp;"",IF($Z575="F",INDEX(FTE_Allocation!$B$2:$B$201,$AB575)&amp;"","")))</f>
        <v/>
      </c>
      <c r="E575" s="7">
        <f>IF($Z575="C",INDEX(Contracts!$P$2:$P$151,$AB575)&amp;"",IF($Z575="A",INDEX(Fixed_Assets!$K$2:$K$201,$AB575)&amp;"",IF($Z575="F",IF(INDEX(FTE_Allocation!$D$2:$D$201,$AB575)="PROJECT",IFERROR(INDEX(Projects!$D:$D,MATCH(INDEX(FTE_Allocation!$E$2:$E$201,$AB575),Projects!$A:$A,0))&amp;"","#PROJECT?"),INDEX(FTE_Allocation!$E$2:$E$201,$AB575)&amp;""),"")))</f>
        <v/>
      </c>
      <c r="F575" s="7">
        <f>IF($Z575="C",INDEX(Contracts!$Q$2:$Q$151,$AB575)&amp;"",IF($Z575="A",INDEX(Fixed_Assets!$L$2:$L$201,$AB575)&amp;"",IF($Z575="F",INDEX(Workforce!$K$2:$K$151,MATCH(INDEX(FTE_Allocation!$A$2:$A$201,$AB575),Workforce!$A$2:$A$151,0))&amp;"","")))</f>
        <v/>
      </c>
      <c r="G575" s="7">
        <f>IF($Z575="C",INDEX(Contracts!$F$2:$F$151,$AB575)&amp;" / "&amp;INDEX(Contracts!$G$2:$G$151,$AB575),IF($Z575="A",INDEX(Fixed_Assets!$E$2:$E$201,$AB575)&amp;"",IF($Z575="F","Personnel "&amp;INDEX(FTE_Allocation!$A$2:$A$201,$AB575)&amp;IF(INDEX(FTE_Allocation!$D$2:$D$201,$AB575)="PROJECT"," ("&amp;INDEX(FTE_Allocation!$E$2:$E$201,$AB575)&amp;")",""),"")))</f>
        <v/>
      </c>
      <c r="H575" s="7">
        <f>IF($Z575="C","CONTRACT",IF($Z575="A","ASSET",IF($Z575="F","WORKFORCE","")))</f>
        <v/>
      </c>
      <c r="I575" s="7">
        <f>IF($Z575="C",INDEX(Contracts!$L$2:$L$151,$AB575)&amp;"",IF($Z575="A",INDEX(Fixed_Assets!$I$2:$I$201,$AB575)&amp;"",IF($Z575="F",INDEX(Workforce!$G$2:$G$151,MATCH(INDEX(FTE_Allocation!$A$2:$A$201,$AB575),Workforce!$A$2:$A$151,0))&amp;"","")))</f>
        <v/>
      </c>
      <c r="J575" s="18">
        <f>IF($Z575="","",IF(AND(DATE($AD575,1,1)&gt;=$AE575,DATE($AD575,1,1)&lt;=$AF575),ROUND($AG575,2),0))</f>
        <v/>
      </c>
      <c r="K575" s="18">
        <f>IF($Z575="","",IF(AND(DATE($AD575,2,1)&gt;=$AE575,DATE($AD575,2,1)&lt;=$AF575),ROUND($AG575,2),0))</f>
        <v/>
      </c>
      <c r="L575" s="18">
        <f>IF($Z575="","",IF(AND(DATE($AD575,3,1)&gt;=$AE575,DATE($AD575,3,1)&lt;=$AF575),ROUND($AG575,2),0))</f>
        <v/>
      </c>
      <c r="M575" s="18">
        <f>IF($Z575="","",IF(AND(DATE($AD575,4,1)&gt;=$AE575,DATE($AD575,4,1)&lt;=$AF575),ROUND($AG575,2),0))</f>
        <v/>
      </c>
      <c r="N575" s="18">
        <f>IF($Z575="","",IF(AND(DATE($AD575,5,1)&gt;=$AE575,DATE($AD575,5,1)&lt;=$AF575),ROUND($AG575,2),0))</f>
        <v/>
      </c>
      <c r="O575" s="18">
        <f>IF($Z575="","",IF(AND(DATE($AD575,6,1)&gt;=$AE575,DATE($AD575,6,1)&lt;=$AF575),ROUND($AG575,2),0))</f>
        <v/>
      </c>
      <c r="P575" s="18">
        <f>IF($Z575="","",IF(AND(DATE($AD575,7,1)&gt;=$AE575,DATE($AD575,7,1)&lt;=$AF575),ROUND($AG575,2),0))</f>
        <v/>
      </c>
      <c r="Q575" s="18">
        <f>IF($Z575="","",IF(AND(DATE($AD575,8,1)&gt;=$AE575,DATE($AD575,8,1)&lt;=$AF575),ROUND($AG575,2),0))</f>
        <v/>
      </c>
      <c r="R575" s="18">
        <f>IF($Z575="","",IF(AND(DATE($AD575,9,1)&gt;=$AE575,DATE($AD575,9,1)&lt;=$AF575),ROUND($AG575,2),0))</f>
        <v/>
      </c>
      <c r="S575" s="18">
        <f>IF($Z575="","",IF(AND(DATE($AD575,10,1)&gt;=$AE575,DATE($AD575,10,1)&lt;=$AF575),ROUND($AG575,2),0))</f>
        <v/>
      </c>
      <c r="T575" s="18">
        <f>IF($Z575="","",IF(AND(DATE($AD575,11,1)&gt;=$AE575,DATE($AD575,11,1)&lt;=$AF575),ROUND($AG575,2),0))</f>
        <v/>
      </c>
      <c r="U575" s="18">
        <f>IF($Z575="","",IF(AND(DATE($AD575,12,1)&gt;=$AE575,DATE($AD575,12,1)&lt;=$AF575),ROUND($AG575,2),0))</f>
        <v/>
      </c>
      <c r="V575" s="7">
        <f>IF($Z575="C","Generated from "&amp;INDEX(Contracts!$A$2:$A$151,$AB575),IF($Z575="A","Generated from "&amp;INDEX(Fixed_Assets!$A$2:$A$201,$AB575),IF($Z575="F","Generated from "&amp;INDEX(FTE_Allocation!$A$2:$A$201,$AB575),"")))</f>
        <v/>
      </c>
      <c r="X575" s="19">
        <f>IF($Z575="","",SUM(J575:U575))</f>
        <v/>
      </c>
      <c r="Y575" s="20">
        <f>ROW()-1</f>
        <v/>
      </c>
      <c r="Z575" s="20">
        <f>IF($Y575&lt;=Settings!$B$4*3,"C",IF($Y575&lt;=(Settings!$B$4+Settings!$B$5)*3,"A",IF($Y575&lt;=(Settings!$B$4+Settings!$B$5+Settings!$B$6)*3,"F","")))</f>
        <v/>
      </c>
      <c r="AA575" s="20">
        <f>IF($Z575="C",$Y575,IF($Z575="A",$Y575-Settings!$B$4*3,IF($Z575="F",$Y575-(Settings!$B$4+Settings!$B$5)*3,"")))</f>
        <v/>
      </c>
      <c r="AB575" s="20">
        <f>IF($Z575="","",INT(($AA575-1)/3)+1)</f>
        <v/>
      </c>
      <c r="AC575" s="20">
        <f>IF($Z575="","",MOD($AA575-1,3)+1)</f>
        <v/>
      </c>
      <c r="AD575" s="20">
        <f>IF($Z575="","",Settings!$B$2+$AC575-1)</f>
        <v/>
      </c>
      <c r="AE575" s="21">
        <f>IF($Z575="C",DATE(YEAR(INDEX(Contracts!$J$2:$J$151,$AB575)),MONTH(INDEX(Contracts!$J$2:$J$151,$AB575)),1),IF($Z575="A",DATE(YEAR(INDEX(Fixed_Assets!$G$2:$G$201,$AB575)),MONTH(INDEX(Fixed_Assets!$G$2:$G$201,$AB575)),1),IF($Z575="F",DATE(YEAR(MAX(N(INDEX(Workforce!$I$2:$I$151,MATCH(INDEX(FTE_Allocation!$A$2:$A$201,$AB575),Workforce!$A$2:$A$151,0))),N(INDEX(FTE_Allocation!$I$2:$I$201,$AB575)))),MONTH(MAX(N(INDEX(Workforce!$I$2:$I$151,MATCH(INDEX(FTE_Allocation!$A$2:$A$201,$AB575),Workforce!$A$2:$A$151,0))),N(INDEX(FTE_Allocation!$I$2:$I$201,$AB575)))),1),"")))</f>
        <v/>
      </c>
      <c r="AF575" s="21">
        <f>IF($Z575="C",IF(INDEX(Contracts!$I$2:$I$151,$AB575)="PREPAID",EDATE(DATE(YEAR(INDEX(Contracts!$J$2:$J$151,$AB575)),MONTH(INDEX(Contracts!$J$2:$J$151,$AB575)),1),IF(INDEX(Contracts!$N$2:$N$151,$AB575)="",12,INDEX(Contracts!$N$2:$N$151,$AB575))-1),IF(INDEX(Contracts!$I$2:$I$151,$AB575)="MONTHLY",IF(INDEX(Contracts!$K$2:$K$151,$AB575)="",2958101,INDEX(Contracts!$K$2:$K$151,$AB575)),0)),IF($Z575="A",EDATE(DATE(YEAR(INDEX(Fixed_Assets!$G$2:$G$201,$AB575)),MONTH(INDEX(Fixed_Assets!$G$2:$G$201,$AB575)),1),INDEX(Fixed_Assets!$J$2:$J$201,$AB575)-1),IF($Z575="F",MIN(IF(INDEX(Workforce!$J$2:$J$151,MATCH(INDEX(FTE_Allocation!$A$2:$A$201,$AB575),Workforce!$A$2:$A$151,0))="",2958101,INDEX(Workforce!$J$2:$J$151,MATCH(INDEX(FTE_Allocation!$A$2:$A$201,$AB575),Workforce!$A$2:$A$151,0))),IF(INDEX(FTE_Allocation!$J$2:$J$201,$AB575)="",2958101,INDEX(FTE_Allocation!$J$2:$J$201,$AB575))),"")))</f>
        <v/>
      </c>
      <c r="AG575" s="19">
        <f>IF($Z575="C",IF(INDEX(Contracts!$I$2:$I$151,$AB575)="PREPAID",INDEX(Contracts!$M$2:$M$151,$AB575)/IF(INDEX(Contracts!$N$2:$N$151,$AB575)="",12,INDEX(Contracts!$N$2:$N$151,$AB575)),IF(INDEX(Contracts!$I$2:$I$151,$AB575)="MONTHLY",INDEX(Contracts!$M$2:$M$151,$AB575),0))*(1-N(INDEX(Contracts!$O$2:$O$151,$AB575))),IF($Z575="A",INDEX(Fixed_Assets!$H$2:$H$201,$AB575)/INDEX(Fixed_Assets!$J$2:$J$201,$AB575),IF($Z575="F",INDEX(Workforce!$F$2:$F$151,MATCH(INDEX(FTE_Allocation!$A$2:$A$201,$AB575),Workforce!$A$2:$A$151,0))*N(INDEX(FTE_Allocation!$F$2:$H$201,$AB575,$AC575)),"")))</f>
        <v/>
      </c>
    </row>
    <row r="576">
      <c r="A576" s="7">
        <f>IF($Z576="","",$AD576)</f>
        <v/>
      </c>
      <c r="B576" s="7">
        <f>IF($Z576="C",INDEX(Contracts!$D$2:$D$151,$AB576)&amp;"",IF($Z576="A",INDEX(Fixed_Assets!$C$2:$C$201,$AB576)&amp;"",IF($Z576="F",INDEX(Workforce!$B$2:$B$151,MATCH(INDEX(FTE_Allocation!$A$2:$A$201,$AB576),Workforce!$A$2:$A$151,0))&amp;"","")))</f>
        <v/>
      </c>
      <c r="C576" s="7">
        <f>IF($Z576="C",INDEX(Contracts!$E$2:$E$151,$AB576)&amp;"",IF($Z576="A",INDEX(Fixed_Assets!$D$2:$D$201,$AB576)&amp;"",IF($Z576="F",INDEX(FTE_Allocation!$C$2:$C$201,$AB576)&amp;"","")))</f>
        <v/>
      </c>
      <c r="D576" s="7">
        <f>IF($Z576="C",INDEX(Contracts!$B$2:$B$151,$AB576)&amp;"",IF($Z576="A",INDEX(Fixed_Assets!$B$2:$B$201,$AB576)&amp;"",IF($Z576="F",INDEX(FTE_Allocation!$B$2:$B$201,$AB576)&amp;"","")))</f>
        <v/>
      </c>
      <c r="E576" s="7">
        <f>IF($Z576="C",INDEX(Contracts!$P$2:$P$151,$AB576)&amp;"",IF($Z576="A",INDEX(Fixed_Assets!$K$2:$K$201,$AB576)&amp;"",IF($Z576="F",IF(INDEX(FTE_Allocation!$D$2:$D$201,$AB576)="PROJECT",IFERROR(INDEX(Projects!$D:$D,MATCH(INDEX(FTE_Allocation!$E$2:$E$201,$AB576),Projects!$A:$A,0))&amp;"","#PROJECT?"),INDEX(FTE_Allocation!$E$2:$E$201,$AB576)&amp;""),"")))</f>
        <v/>
      </c>
      <c r="F576" s="7">
        <f>IF($Z576="C",INDEX(Contracts!$Q$2:$Q$151,$AB576)&amp;"",IF($Z576="A",INDEX(Fixed_Assets!$L$2:$L$201,$AB576)&amp;"",IF($Z576="F",INDEX(Workforce!$K$2:$K$151,MATCH(INDEX(FTE_Allocation!$A$2:$A$201,$AB576),Workforce!$A$2:$A$151,0))&amp;"","")))</f>
        <v/>
      </c>
      <c r="G576" s="7">
        <f>IF($Z576="C",INDEX(Contracts!$F$2:$F$151,$AB576)&amp;" / "&amp;INDEX(Contracts!$G$2:$G$151,$AB576),IF($Z576="A",INDEX(Fixed_Assets!$E$2:$E$201,$AB576)&amp;"",IF($Z576="F","Personnel "&amp;INDEX(FTE_Allocation!$A$2:$A$201,$AB576)&amp;IF(INDEX(FTE_Allocation!$D$2:$D$201,$AB576)="PROJECT"," ("&amp;INDEX(FTE_Allocation!$E$2:$E$201,$AB576)&amp;")",""),"")))</f>
        <v/>
      </c>
      <c r="H576" s="7">
        <f>IF($Z576="C","CONTRACT",IF($Z576="A","ASSET",IF($Z576="F","WORKFORCE","")))</f>
        <v/>
      </c>
      <c r="I576" s="7">
        <f>IF($Z576="C",INDEX(Contracts!$L$2:$L$151,$AB576)&amp;"",IF($Z576="A",INDEX(Fixed_Assets!$I$2:$I$201,$AB576)&amp;"",IF($Z576="F",INDEX(Workforce!$G$2:$G$151,MATCH(INDEX(FTE_Allocation!$A$2:$A$201,$AB576),Workforce!$A$2:$A$151,0))&amp;"","")))</f>
        <v/>
      </c>
      <c r="J576" s="18">
        <f>IF($Z576="","",IF(AND(DATE($AD576,1,1)&gt;=$AE576,DATE($AD576,1,1)&lt;=$AF576),ROUND($AG576,2),0))</f>
        <v/>
      </c>
      <c r="K576" s="18">
        <f>IF($Z576="","",IF(AND(DATE($AD576,2,1)&gt;=$AE576,DATE($AD576,2,1)&lt;=$AF576),ROUND($AG576,2),0))</f>
        <v/>
      </c>
      <c r="L576" s="18">
        <f>IF($Z576="","",IF(AND(DATE($AD576,3,1)&gt;=$AE576,DATE($AD576,3,1)&lt;=$AF576),ROUND($AG576,2),0))</f>
        <v/>
      </c>
      <c r="M576" s="18">
        <f>IF($Z576="","",IF(AND(DATE($AD576,4,1)&gt;=$AE576,DATE($AD576,4,1)&lt;=$AF576),ROUND($AG576,2),0))</f>
        <v/>
      </c>
      <c r="N576" s="18">
        <f>IF($Z576="","",IF(AND(DATE($AD576,5,1)&gt;=$AE576,DATE($AD576,5,1)&lt;=$AF576),ROUND($AG576,2),0))</f>
        <v/>
      </c>
      <c r="O576" s="18">
        <f>IF($Z576="","",IF(AND(DATE($AD576,6,1)&gt;=$AE576,DATE($AD576,6,1)&lt;=$AF576),ROUND($AG576,2),0))</f>
        <v/>
      </c>
      <c r="P576" s="18">
        <f>IF($Z576="","",IF(AND(DATE($AD576,7,1)&gt;=$AE576,DATE($AD576,7,1)&lt;=$AF576),ROUND($AG576,2),0))</f>
        <v/>
      </c>
      <c r="Q576" s="18">
        <f>IF($Z576="","",IF(AND(DATE($AD576,8,1)&gt;=$AE576,DATE($AD576,8,1)&lt;=$AF576),ROUND($AG576,2),0))</f>
        <v/>
      </c>
      <c r="R576" s="18">
        <f>IF($Z576="","",IF(AND(DATE($AD576,9,1)&gt;=$AE576,DATE($AD576,9,1)&lt;=$AF576),ROUND($AG576,2),0))</f>
        <v/>
      </c>
      <c r="S576" s="18">
        <f>IF($Z576="","",IF(AND(DATE($AD576,10,1)&gt;=$AE576,DATE($AD576,10,1)&lt;=$AF576),ROUND($AG576,2),0))</f>
        <v/>
      </c>
      <c r="T576" s="18">
        <f>IF($Z576="","",IF(AND(DATE($AD576,11,1)&gt;=$AE576,DATE($AD576,11,1)&lt;=$AF576),ROUND($AG576,2),0))</f>
        <v/>
      </c>
      <c r="U576" s="18">
        <f>IF($Z576="","",IF(AND(DATE($AD576,12,1)&gt;=$AE576,DATE($AD576,12,1)&lt;=$AF576),ROUND($AG576,2),0))</f>
        <v/>
      </c>
      <c r="V576" s="7">
        <f>IF($Z576="C","Generated from "&amp;INDEX(Contracts!$A$2:$A$151,$AB576),IF($Z576="A","Generated from "&amp;INDEX(Fixed_Assets!$A$2:$A$201,$AB576),IF($Z576="F","Generated from "&amp;INDEX(FTE_Allocation!$A$2:$A$201,$AB576),"")))</f>
        <v/>
      </c>
      <c r="X576" s="19">
        <f>IF($Z576="","",SUM(J576:U576))</f>
        <v/>
      </c>
      <c r="Y576" s="20">
        <f>ROW()-1</f>
        <v/>
      </c>
      <c r="Z576" s="20">
        <f>IF($Y576&lt;=Settings!$B$4*3,"C",IF($Y576&lt;=(Settings!$B$4+Settings!$B$5)*3,"A",IF($Y576&lt;=(Settings!$B$4+Settings!$B$5+Settings!$B$6)*3,"F","")))</f>
        <v/>
      </c>
      <c r="AA576" s="20">
        <f>IF($Z576="C",$Y576,IF($Z576="A",$Y576-Settings!$B$4*3,IF($Z576="F",$Y576-(Settings!$B$4+Settings!$B$5)*3,"")))</f>
        <v/>
      </c>
      <c r="AB576" s="20">
        <f>IF($Z576="","",INT(($AA576-1)/3)+1)</f>
        <v/>
      </c>
      <c r="AC576" s="20">
        <f>IF($Z576="","",MOD($AA576-1,3)+1)</f>
        <v/>
      </c>
      <c r="AD576" s="20">
        <f>IF($Z576="","",Settings!$B$2+$AC576-1)</f>
        <v/>
      </c>
      <c r="AE576" s="21">
        <f>IF($Z576="C",DATE(YEAR(INDEX(Contracts!$J$2:$J$151,$AB576)),MONTH(INDEX(Contracts!$J$2:$J$151,$AB576)),1),IF($Z576="A",DATE(YEAR(INDEX(Fixed_Assets!$G$2:$G$201,$AB576)),MONTH(INDEX(Fixed_Assets!$G$2:$G$201,$AB576)),1),IF($Z576="F",DATE(YEAR(MAX(N(INDEX(Workforce!$I$2:$I$151,MATCH(INDEX(FTE_Allocation!$A$2:$A$201,$AB576),Workforce!$A$2:$A$151,0))),N(INDEX(FTE_Allocation!$I$2:$I$201,$AB576)))),MONTH(MAX(N(INDEX(Workforce!$I$2:$I$151,MATCH(INDEX(FTE_Allocation!$A$2:$A$201,$AB576),Workforce!$A$2:$A$151,0))),N(INDEX(FTE_Allocation!$I$2:$I$201,$AB576)))),1),"")))</f>
        <v/>
      </c>
      <c r="AF576" s="21">
        <f>IF($Z576="C",IF(INDEX(Contracts!$I$2:$I$151,$AB576)="PREPAID",EDATE(DATE(YEAR(INDEX(Contracts!$J$2:$J$151,$AB576)),MONTH(INDEX(Contracts!$J$2:$J$151,$AB576)),1),IF(INDEX(Contracts!$N$2:$N$151,$AB576)="",12,INDEX(Contracts!$N$2:$N$151,$AB576))-1),IF(INDEX(Contracts!$I$2:$I$151,$AB576)="MONTHLY",IF(INDEX(Contracts!$K$2:$K$151,$AB576)="",2958101,INDEX(Contracts!$K$2:$K$151,$AB576)),0)),IF($Z576="A",EDATE(DATE(YEAR(INDEX(Fixed_Assets!$G$2:$G$201,$AB576)),MONTH(INDEX(Fixed_Assets!$G$2:$G$201,$AB576)),1),INDEX(Fixed_Assets!$J$2:$J$201,$AB576)-1),IF($Z576="F",MIN(IF(INDEX(Workforce!$J$2:$J$151,MATCH(INDEX(FTE_Allocation!$A$2:$A$201,$AB576),Workforce!$A$2:$A$151,0))="",2958101,INDEX(Workforce!$J$2:$J$151,MATCH(INDEX(FTE_Allocation!$A$2:$A$201,$AB576),Workforce!$A$2:$A$151,0))),IF(INDEX(FTE_Allocation!$J$2:$J$201,$AB576)="",2958101,INDEX(FTE_Allocation!$J$2:$J$201,$AB576))),"")))</f>
        <v/>
      </c>
      <c r="AG576" s="19">
        <f>IF($Z576="C",IF(INDEX(Contracts!$I$2:$I$151,$AB576)="PREPAID",INDEX(Contracts!$M$2:$M$151,$AB576)/IF(INDEX(Contracts!$N$2:$N$151,$AB576)="",12,INDEX(Contracts!$N$2:$N$151,$AB576)),IF(INDEX(Contracts!$I$2:$I$151,$AB576)="MONTHLY",INDEX(Contracts!$M$2:$M$151,$AB576),0))*(1-N(INDEX(Contracts!$O$2:$O$151,$AB576))),IF($Z576="A",INDEX(Fixed_Assets!$H$2:$H$201,$AB576)/INDEX(Fixed_Assets!$J$2:$J$201,$AB576),IF($Z576="F",INDEX(Workforce!$F$2:$F$151,MATCH(INDEX(FTE_Allocation!$A$2:$A$201,$AB576),Workforce!$A$2:$A$151,0))*N(INDEX(FTE_Allocation!$F$2:$H$201,$AB576,$AC576)),"")))</f>
        <v/>
      </c>
    </row>
    <row r="577">
      <c r="A577" s="7">
        <f>IF($Z577="","",$AD577)</f>
        <v/>
      </c>
      <c r="B577" s="7">
        <f>IF($Z577="C",INDEX(Contracts!$D$2:$D$151,$AB577)&amp;"",IF($Z577="A",INDEX(Fixed_Assets!$C$2:$C$201,$AB577)&amp;"",IF($Z577="F",INDEX(Workforce!$B$2:$B$151,MATCH(INDEX(FTE_Allocation!$A$2:$A$201,$AB577),Workforce!$A$2:$A$151,0))&amp;"","")))</f>
        <v/>
      </c>
      <c r="C577" s="7">
        <f>IF($Z577="C",INDEX(Contracts!$E$2:$E$151,$AB577)&amp;"",IF($Z577="A",INDEX(Fixed_Assets!$D$2:$D$201,$AB577)&amp;"",IF($Z577="F",INDEX(FTE_Allocation!$C$2:$C$201,$AB577)&amp;"","")))</f>
        <v/>
      </c>
      <c r="D577" s="7">
        <f>IF($Z577="C",INDEX(Contracts!$B$2:$B$151,$AB577)&amp;"",IF($Z577="A",INDEX(Fixed_Assets!$B$2:$B$201,$AB577)&amp;"",IF($Z577="F",INDEX(FTE_Allocation!$B$2:$B$201,$AB577)&amp;"","")))</f>
        <v/>
      </c>
      <c r="E577" s="7">
        <f>IF($Z577="C",INDEX(Contracts!$P$2:$P$151,$AB577)&amp;"",IF($Z577="A",INDEX(Fixed_Assets!$K$2:$K$201,$AB577)&amp;"",IF($Z577="F",IF(INDEX(FTE_Allocation!$D$2:$D$201,$AB577)="PROJECT",IFERROR(INDEX(Projects!$D:$D,MATCH(INDEX(FTE_Allocation!$E$2:$E$201,$AB577),Projects!$A:$A,0))&amp;"","#PROJECT?"),INDEX(FTE_Allocation!$E$2:$E$201,$AB577)&amp;""),"")))</f>
        <v/>
      </c>
      <c r="F577" s="7">
        <f>IF($Z577="C",INDEX(Contracts!$Q$2:$Q$151,$AB577)&amp;"",IF($Z577="A",INDEX(Fixed_Assets!$L$2:$L$201,$AB577)&amp;"",IF($Z577="F",INDEX(Workforce!$K$2:$K$151,MATCH(INDEX(FTE_Allocation!$A$2:$A$201,$AB577),Workforce!$A$2:$A$151,0))&amp;"","")))</f>
        <v/>
      </c>
      <c r="G577" s="7">
        <f>IF($Z577="C",INDEX(Contracts!$F$2:$F$151,$AB577)&amp;" / "&amp;INDEX(Contracts!$G$2:$G$151,$AB577),IF($Z577="A",INDEX(Fixed_Assets!$E$2:$E$201,$AB577)&amp;"",IF($Z577="F","Personnel "&amp;INDEX(FTE_Allocation!$A$2:$A$201,$AB577)&amp;IF(INDEX(FTE_Allocation!$D$2:$D$201,$AB577)="PROJECT"," ("&amp;INDEX(FTE_Allocation!$E$2:$E$201,$AB577)&amp;")",""),"")))</f>
        <v/>
      </c>
      <c r="H577" s="7">
        <f>IF($Z577="C","CONTRACT",IF($Z577="A","ASSET",IF($Z577="F","WORKFORCE","")))</f>
        <v/>
      </c>
      <c r="I577" s="7">
        <f>IF($Z577="C",INDEX(Contracts!$L$2:$L$151,$AB577)&amp;"",IF($Z577="A",INDEX(Fixed_Assets!$I$2:$I$201,$AB577)&amp;"",IF($Z577="F",INDEX(Workforce!$G$2:$G$151,MATCH(INDEX(FTE_Allocation!$A$2:$A$201,$AB577),Workforce!$A$2:$A$151,0))&amp;"","")))</f>
        <v/>
      </c>
      <c r="J577" s="18">
        <f>IF($Z577="","",IF(AND(DATE($AD577,1,1)&gt;=$AE577,DATE($AD577,1,1)&lt;=$AF577),ROUND($AG577,2),0))</f>
        <v/>
      </c>
      <c r="K577" s="18">
        <f>IF($Z577="","",IF(AND(DATE($AD577,2,1)&gt;=$AE577,DATE($AD577,2,1)&lt;=$AF577),ROUND($AG577,2),0))</f>
        <v/>
      </c>
      <c r="L577" s="18">
        <f>IF($Z577="","",IF(AND(DATE($AD577,3,1)&gt;=$AE577,DATE($AD577,3,1)&lt;=$AF577),ROUND($AG577,2),0))</f>
        <v/>
      </c>
      <c r="M577" s="18">
        <f>IF($Z577="","",IF(AND(DATE($AD577,4,1)&gt;=$AE577,DATE($AD577,4,1)&lt;=$AF577),ROUND($AG577,2),0))</f>
        <v/>
      </c>
      <c r="N577" s="18">
        <f>IF($Z577="","",IF(AND(DATE($AD577,5,1)&gt;=$AE577,DATE($AD577,5,1)&lt;=$AF577),ROUND($AG577,2),0))</f>
        <v/>
      </c>
      <c r="O577" s="18">
        <f>IF($Z577="","",IF(AND(DATE($AD577,6,1)&gt;=$AE577,DATE($AD577,6,1)&lt;=$AF577),ROUND($AG577,2),0))</f>
        <v/>
      </c>
      <c r="P577" s="18">
        <f>IF($Z577="","",IF(AND(DATE($AD577,7,1)&gt;=$AE577,DATE($AD577,7,1)&lt;=$AF577),ROUND($AG577,2),0))</f>
        <v/>
      </c>
      <c r="Q577" s="18">
        <f>IF($Z577="","",IF(AND(DATE($AD577,8,1)&gt;=$AE577,DATE($AD577,8,1)&lt;=$AF577),ROUND($AG577,2),0))</f>
        <v/>
      </c>
      <c r="R577" s="18">
        <f>IF($Z577="","",IF(AND(DATE($AD577,9,1)&gt;=$AE577,DATE($AD577,9,1)&lt;=$AF577),ROUND($AG577,2),0))</f>
        <v/>
      </c>
      <c r="S577" s="18">
        <f>IF($Z577="","",IF(AND(DATE($AD577,10,1)&gt;=$AE577,DATE($AD577,10,1)&lt;=$AF577),ROUND($AG577,2),0))</f>
        <v/>
      </c>
      <c r="T577" s="18">
        <f>IF($Z577="","",IF(AND(DATE($AD577,11,1)&gt;=$AE577,DATE($AD577,11,1)&lt;=$AF577),ROUND($AG577,2),0))</f>
        <v/>
      </c>
      <c r="U577" s="18">
        <f>IF($Z577="","",IF(AND(DATE($AD577,12,1)&gt;=$AE577,DATE($AD577,12,1)&lt;=$AF577),ROUND($AG577,2),0))</f>
        <v/>
      </c>
      <c r="V577" s="7">
        <f>IF($Z577="C","Generated from "&amp;INDEX(Contracts!$A$2:$A$151,$AB577),IF($Z577="A","Generated from "&amp;INDEX(Fixed_Assets!$A$2:$A$201,$AB577),IF($Z577="F","Generated from "&amp;INDEX(FTE_Allocation!$A$2:$A$201,$AB577),"")))</f>
        <v/>
      </c>
      <c r="X577" s="19">
        <f>IF($Z577="","",SUM(J577:U577))</f>
        <v/>
      </c>
      <c r="Y577" s="20">
        <f>ROW()-1</f>
        <v/>
      </c>
      <c r="Z577" s="20">
        <f>IF($Y577&lt;=Settings!$B$4*3,"C",IF($Y577&lt;=(Settings!$B$4+Settings!$B$5)*3,"A",IF($Y577&lt;=(Settings!$B$4+Settings!$B$5+Settings!$B$6)*3,"F","")))</f>
        <v/>
      </c>
      <c r="AA577" s="20">
        <f>IF($Z577="C",$Y577,IF($Z577="A",$Y577-Settings!$B$4*3,IF($Z577="F",$Y577-(Settings!$B$4+Settings!$B$5)*3,"")))</f>
        <v/>
      </c>
      <c r="AB577" s="20">
        <f>IF($Z577="","",INT(($AA577-1)/3)+1)</f>
        <v/>
      </c>
      <c r="AC577" s="20">
        <f>IF($Z577="","",MOD($AA577-1,3)+1)</f>
        <v/>
      </c>
      <c r="AD577" s="20">
        <f>IF($Z577="","",Settings!$B$2+$AC577-1)</f>
        <v/>
      </c>
      <c r="AE577" s="21">
        <f>IF($Z577="C",DATE(YEAR(INDEX(Contracts!$J$2:$J$151,$AB577)),MONTH(INDEX(Contracts!$J$2:$J$151,$AB577)),1),IF($Z577="A",DATE(YEAR(INDEX(Fixed_Assets!$G$2:$G$201,$AB577)),MONTH(INDEX(Fixed_Assets!$G$2:$G$201,$AB577)),1),IF($Z577="F",DATE(YEAR(MAX(N(INDEX(Workforce!$I$2:$I$151,MATCH(INDEX(FTE_Allocation!$A$2:$A$201,$AB577),Workforce!$A$2:$A$151,0))),N(INDEX(FTE_Allocation!$I$2:$I$201,$AB577)))),MONTH(MAX(N(INDEX(Workforce!$I$2:$I$151,MATCH(INDEX(FTE_Allocation!$A$2:$A$201,$AB577),Workforce!$A$2:$A$151,0))),N(INDEX(FTE_Allocation!$I$2:$I$201,$AB577)))),1),"")))</f>
        <v/>
      </c>
      <c r="AF577" s="21">
        <f>IF($Z577="C",IF(INDEX(Contracts!$I$2:$I$151,$AB577)="PREPAID",EDATE(DATE(YEAR(INDEX(Contracts!$J$2:$J$151,$AB577)),MONTH(INDEX(Contracts!$J$2:$J$151,$AB577)),1),IF(INDEX(Contracts!$N$2:$N$151,$AB577)="",12,INDEX(Contracts!$N$2:$N$151,$AB577))-1),IF(INDEX(Contracts!$I$2:$I$151,$AB577)="MONTHLY",IF(INDEX(Contracts!$K$2:$K$151,$AB577)="",2958101,INDEX(Contracts!$K$2:$K$151,$AB577)),0)),IF($Z577="A",EDATE(DATE(YEAR(INDEX(Fixed_Assets!$G$2:$G$201,$AB577)),MONTH(INDEX(Fixed_Assets!$G$2:$G$201,$AB577)),1),INDEX(Fixed_Assets!$J$2:$J$201,$AB577)-1),IF($Z577="F",MIN(IF(INDEX(Workforce!$J$2:$J$151,MATCH(INDEX(FTE_Allocation!$A$2:$A$201,$AB577),Workforce!$A$2:$A$151,0))="",2958101,INDEX(Workforce!$J$2:$J$151,MATCH(INDEX(FTE_Allocation!$A$2:$A$201,$AB577),Workforce!$A$2:$A$151,0))),IF(INDEX(FTE_Allocation!$J$2:$J$201,$AB577)="",2958101,INDEX(FTE_Allocation!$J$2:$J$201,$AB577))),"")))</f>
        <v/>
      </c>
      <c r="AG577" s="19">
        <f>IF($Z577="C",IF(INDEX(Contracts!$I$2:$I$151,$AB577)="PREPAID",INDEX(Contracts!$M$2:$M$151,$AB577)/IF(INDEX(Contracts!$N$2:$N$151,$AB577)="",12,INDEX(Contracts!$N$2:$N$151,$AB577)),IF(INDEX(Contracts!$I$2:$I$151,$AB577)="MONTHLY",INDEX(Contracts!$M$2:$M$151,$AB577),0))*(1-N(INDEX(Contracts!$O$2:$O$151,$AB577))),IF($Z577="A",INDEX(Fixed_Assets!$H$2:$H$201,$AB577)/INDEX(Fixed_Assets!$J$2:$J$201,$AB577),IF($Z577="F",INDEX(Workforce!$F$2:$F$151,MATCH(INDEX(FTE_Allocation!$A$2:$A$201,$AB577),Workforce!$A$2:$A$151,0))*N(INDEX(FTE_Allocation!$F$2:$H$201,$AB577,$AC577)),"")))</f>
        <v/>
      </c>
    </row>
    <row r="578">
      <c r="A578" s="7">
        <f>IF($Z578="","",$AD578)</f>
        <v/>
      </c>
      <c r="B578" s="7">
        <f>IF($Z578="C",INDEX(Contracts!$D$2:$D$151,$AB578)&amp;"",IF($Z578="A",INDEX(Fixed_Assets!$C$2:$C$201,$AB578)&amp;"",IF($Z578="F",INDEX(Workforce!$B$2:$B$151,MATCH(INDEX(FTE_Allocation!$A$2:$A$201,$AB578),Workforce!$A$2:$A$151,0))&amp;"","")))</f>
        <v/>
      </c>
      <c r="C578" s="7">
        <f>IF($Z578="C",INDEX(Contracts!$E$2:$E$151,$AB578)&amp;"",IF($Z578="A",INDEX(Fixed_Assets!$D$2:$D$201,$AB578)&amp;"",IF($Z578="F",INDEX(FTE_Allocation!$C$2:$C$201,$AB578)&amp;"","")))</f>
        <v/>
      </c>
      <c r="D578" s="7">
        <f>IF($Z578="C",INDEX(Contracts!$B$2:$B$151,$AB578)&amp;"",IF($Z578="A",INDEX(Fixed_Assets!$B$2:$B$201,$AB578)&amp;"",IF($Z578="F",INDEX(FTE_Allocation!$B$2:$B$201,$AB578)&amp;"","")))</f>
        <v/>
      </c>
      <c r="E578" s="7">
        <f>IF($Z578="C",INDEX(Contracts!$P$2:$P$151,$AB578)&amp;"",IF($Z578="A",INDEX(Fixed_Assets!$K$2:$K$201,$AB578)&amp;"",IF($Z578="F",IF(INDEX(FTE_Allocation!$D$2:$D$201,$AB578)="PROJECT",IFERROR(INDEX(Projects!$D:$D,MATCH(INDEX(FTE_Allocation!$E$2:$E$201,$AB578),Projects!$A:$A,0))&amp;"","#PROJECT?"),INDEX(FTE_Allocation!$E$2:$E$201,$AB578)&amp;""),"")))</f>
        <v/>
      </c>
      <c r="F578" s="7">
        <f>IF($Z578="C",INDEX(Contracts!$Q$2:$Q$151,$AB578)&amp;"",IF($Z578="A",INDEX(Fixed_Assets!$L$2:$L$201,$AB578)&amp;"",IF($Z578="F",INDEX(Workforce!$K$2:$K$151,MATCH(INDEX(FTE_Allocation!$A$2:$A$201,$AB578),Workforce!$A$2:$A$151,0))&amp;"","")))</f>
        <v/>
      </c>
      <c r="G578" s="7">
        <f>IF($Z578="C",INDEX(Contracts!$F$2:$F$151,$AB578)&amp;" / "&amp;INDEX(Contracts!$G$2:$G$151,$AB578),IF($Z578="A",INDEX(Fixed_Assets!$E$2:$E$201,$AB578)&amp;"",IF($Z578="F","Personnel "&amp;INDEX(FTE_Allocation!$A$2:$A$201,$AB578)&amp;IF(INDEX(FTE_Allocation!$D$2:$D$201,$AB578)="PROJECT"," ("&amp;INDEX(FTE_Allocation!$E$2:$E$201,$AB578)&amp;")",""),"")))</f>
        <v/>
      </c>
      <c r="H578" s="7">
        <f>IF($Z578="C","CONTRACT",IF($Z578="A","ASSET",IF($Z578="F","WORKFORCE","")))</f>
        <v/>
      </c>
      <c r="I578" s="7">
        <f>IF($Z578="C",INDEX(Contracts!$L$2:$L$151,$AB578)&amp;"",IF($Z578="A",INDEX(Fixed_Assets!$I$2:$I$201,$AB578)&amp;"",IF($Z578="F",INDEX(Workforce!$G$2:$G$151,MATCH(INDEX(FTE_Allocation!$A$2:$A$201,$AB578),Workforce!$A$2:$A$151,0))&amp;"","")))</f>
        <v/>
      </c>
      <c r="J578" s="18">
        <f>IF($Z578="","",IF(AND(DATE($AD578,1,1)&gt;=$AE578,DATE($AD578,1,1)&lt;=$AF578),ROUND($AG578,2),0))</f>
        <v/>
      </c>
      <c r="K578" s="18">
        <f>IF($Z578="","",IF(AND(DATE($AD578,2,1)&gt;=$AE578,DATE($AD578,2,1)&lt;=$AF578),ROUND($AG578,2),0))</f>
        <v/>
      </c>
      <c r="L578" s="18">
        <f>IF($Z578="","",IF(AND(DATE($AD578,3,1)&gt;=$AE578,DATE($AD578,3,1)&lt;=$AF578),ROUND($AG578,2),0))</f>
        <v/>
      </c>
      <c r="M578" s="18">
        <f>IF($Z578="","",IF(AND(DATE($AD578,4,1)&gt;=$AE578,DATE($AD578,4,1)&lt;=$AF578),ROUND($AG578,2),0))</f>
        <v/>
      </c>
      <c r="N578" s="18">
        <f>IF($Z578="","",IF(AND(DATE($AD578,5,1)&gt;=$AE578,DATE($AD578,5,1)&lt;=$AF578),ROUND($AG578,2),0))</f>
        <v/>
      </c>
      <c r="O578" s="18">
        <f>IF($Z578="","",IF(AND(DATE($AD578,6,1)&gt;=$AE578,DATE($AD578,6,1)&lt;=$AF578),ROUND($AG578,2),0))</f>
        <v/>
      </c>
      <c r="P578" s="18">
        <f>IF($Z578="","",IF(AND(DATE($AD578,7,1)&gt;=$AE578,DATE($AD578,7,1)&lt;=$AF578),ROUND($AG578,2),0))</f>
        <v/>
      </c>
      <c r="Q578" s="18">
        <f>IF($Z578="","",IF(AND(DATE($AD578,8,1)&gt;=$AE578,DATE($AD578,8,1)&lt;=$AF578),ROUND($AG578,2),0))</f>
        <v/>
      </c>
      <c r="R578" s="18">
        <f>IF($Z578="","",IF(AND(DATE($AD578,9,1)&gt;=$AE578,DATE($AD578,9,1)&lt;=$AF578),ROUND($AG578,2),0))</f>
        <v/>
      </c>
      <c r="S578" s="18">
        <f>IF($Z578="","",IF(AND(DATE($AD578,10,1)&gt;=$AE578,DATE($AD578,10,1)&lt;=$AF578),ROUND($AG578,2),0))</f>
        <v/>
      </c>
      <c r="T578" s="18">
        <f>IF($Z578="","",IF(AND(DATE($AD578,11,1)&gt;=$AE578,DATE($AD578,11,1)&lt;=$AF578),ROUND($AG578,2),0))</f>
        <v/>
      </c>
      <c r="U578" s="18">
        <f>IF($Z578="","",IF(AND(DATE($AD578,12,1)&gt;=$AE578,DATE($AD578,12,1)&lt;=$AF578),ROUND($AG578,2),0))</f>
        <v/>
      </c>
      <c r="V578" s="7">
        <f>IF($Z578="C","Generated from "&amp;INDEX(Contracts!$A$2:$A$151,$AB578),IF($Z578="A","Generated from "&amp;INDEX(Fixed_Assets!$A$2:$A$201,$AB578),IF($Z578="F","Generated from "&amp;INDEX(FTE_Allocation!$A$2:$A$201,$AB578),"")))</f>
        <v/>
      </c>
      <c r="X578" s="19">
        <f>IF($Z578="","",SUM(J578:U578))</f>
        <v/>
      </c>
      <c r="Y578" s="20">
        <f>ROW()-1</f>
        <v/>
      </c>
      <c r="Z578" s="20">
        <f>IF($Y578&lt;=Settings!$B$4*3,"C",IF($Y578&lt;=(Settings!$B$4+Settings!$B$5)*3,"A",IF($Y578&lt;=(Settings!$B$4+Settings!$B$5+Settings!$B$6)*3,"F","")))</f>
        <v/>
      </c>
      <c r="AA578" s="20">
        <f>IF($Z578="C",$Y578,IF($Z578="A",$Y578-Settings!$B$4*3,IF($Z578="F",$Y578-(Settings!$B$4+Settings!$B$5)*3,"")))</f>
        <v/>
      </c>
      <c r="AB578" s="20">
        <f>IF($Z578="","",INT(($AA578-1)/3)+1)</f>
        <v/>
      </c>
      <c r="AC578" s="20">
        <f>IF($Z578="","",MOD($AA578-1,3)+1)</f>
        <v/>
      </c>
      <c r="AD578" s="20">
        <f>IF($Z578="","",Settings!$B$2+$AC578-1)</f>
        <v/>
      </c>
      <c r="AE578" s="21">
        <f>IF($Z578="C",DATE(YEAR(INDEX(Contracts!$J$2:$J$151,$AB578)),MONTH(INDEX(Contracts!$J$2:$J$151,$AB578)),1),IF($Z578="A",DATE(YEAR(INDEX(Fixed_Assets!$G$2:$G$201,$AB578)),MONTH(INDEX(Fixed_Assets!$G$2:$G$201,$AB578)),1),IF($Z578="F",DATE(YEAR(MAX(N(INDEX(Workforce!$I$2:$I$151,MATCH(INDEX(FTE_Allocation!$A$2:$A$201,$AB578),Workforce!$A$2:$A$151,0))),N(INDEX(FTE_Allocation!$I$2:$I$201,$AB578)))),MONTH(MAX(N(INDEX(Workforce!$I$2:$I$151,MATCH(INDEX(FTE_Allocation!$A$2:$A$201,$AB578),Workforce!$A$2:$A$151,0))),N(INDEX(FTE_Allocation!$I$2:$I$201,$AB578)))),1),"")))</f>
        <v/>
      </c>
      <c r="AF578" s="21">
        <f>IF($Z578="C",IF(INDEX(Contracts!$I$2:$I$151,$AB578)="PREPAID",EDATE(DATE(YEAR(INDEX(Contracts!$J$2:$J$151,$AB578)),MONTH(INDEX(Contracts!$J$2:$J$151,$AB578)),1),IF(INDEX(Contracts!$N$2:$N$151,$AB578)="",12,INDEX(Contracts!$N$2:$N$151,$AB578))-1),IF(INDEX(Contracts!$I$2:$I$151,$AB578)="MONTHLY",IF(INDEX(Contracts!$K$2:$K$151,$AB578)="",2958101,INDEX(Contracts!$K$2:$K$151,$AB578)),0)),IF($Z578="A",EDATE(DATE(YEAR(INDEX(Fixed_Assets!$G$2:$G$201,$AB578)),MONTH(INDEX(Fixed_Assets!$G$2:$G$201,$AB578)),1),INDEX(Fixed_Assets!$J$2:$J$201,$AB578)-1),IF($Z578="F",MIN(IF(INDEX(Workforce!$J$2:$J$151,MATCH(INDEX(FTE_Allocation!$A$2:$A$201,$AB578),Workforce!$A$2:$A$151,0))="",2958101,INDEX(Workforce!$J$2:$J$151,MATCH(INDEX(FTE_Allocation!$A$2:$A$201,$AB578),Workforce!$A$2:$A$151,0))),IF(INDEX(FTE_Allocation!$J$2:$J$201,$AB578)="",2958101,INDEX(FTE_Allocation!$J$2:$J$201,$AB578))),"")))</f>
        <v/>
      </c>
      <c r="AG578" s="19">
        <f>IF($Z578="C",IF(INDEX(Contracts!$I$2:$I$151,$AB578)="PREPAID",INDEX(Contracts!$M$2:$M$151,$AB578)/IF(INDEX(Contracts!$N$2:$N$151,$AB578)="",12,INDEX(Contracts!$N$2:$N$151,$AB578)),IF(INDEX(Contracts!$I$2:$I$151,$AB578)="MONTHLY",INDEX(Contracts!$M$2:$M$151,$AB578),0))*(1-N(INDEX(Contracts!$O$2:$O$151,$AB578))),IF($Z578="A",INDEX(Fixed_Assets!$H$2:$H$201,$AB578)/INDEX(Fixed_Assets!$J$2:$J$201,$AB578),IF($Z578="F",INDEX(Workforce!$F$2:$F$151,MATCH(INDEX(FTE_Allocation!$A$2:$A$201,$AB578),Workforce!$A$2:$A$151,0))*N(INDEX(FTE_Allocation!$F$2:$H$201,$AB578,$AC578)),"")))</f>
        <v/>
      </c>
    </row>
    <row r="579">
      <c r="A579" s="7">
        <f>IF($Z579="","",$AD579)</f>
        <v/>
      </c>
      <c r="B579" s="7">
        <f>IF($Z579="C",INDEX(Contracts!$D$2:$D$151,$AB579)&amp;"",IF($Z579="A",INDEX(Fixed_Assets!$C$2:$C$201,$AB579)&amp;"",IF($Z579="F",INDEX(Workforce!$B$2:$B$151,MATCH(INDEX(FTE_Allocation!$A$2:$A$201,$AB579),Workforce!$A$2:$A$151,0))&amp;"","")))</f>
        <v/>
      </c>
      <c r="C579" s="7">
        <f>IF($Z579="C",INDEX(Contracts!$E$2:$E$151,$AB579)&amp;"",IF($Z579="A",INDEX(Fixed_Assets!$D$2:$D$201,$AB579)&amp;"",IF($Z579="F",INDEX(FTE_Allocation!$C$2:$C$201,$AB579)&amp;"","")))</f>
        <v/>
      </c>
      <c r="D579" s="7">
        <f>IF($Z579="C",INDEX(Contracts!$B$2:$B$151,$AB579)&amp;"",IF($Z579="A",INDEX(Fixed_Assets!$B$2:$B$201,$AB579)&amp;"",IF($Z579="F",INDEX(FTE_Allocation!$B$2:$B$201,$AB579)&amp;"","")))</f>
        <v/>
      </c>
      <c r="E579" s="7">
        <f>IF($Z579="C",INDEX(Contracts!$P$2:$P$151,$AB579)&amp;"",IF($Z579="A",INDEX(Fixed_Assets!$K$2:$K$201,$AB579)&amp;"",IF($Z579="F",IF(INDEX(FTE_Allocation!$D$2:$D$201,$AB579)="PROJECT",IFERROR(INDEX(Projects!$D:$D,MATCH(INDEX(FTE_Allocation!$E$2:$E$201,$AB579),Projects!$A:$A,0))&amp;"","#PROJECT?"),INDEX(FTE_Allocation!$E$2:$E$201,$AB579)&amp;""),"")))</f>
        <v/>
      </c>
      <c r="F579" s="7">
        <f>IF($Z579="C",INDEX(Contracts!$Q$2:$Q$151,$AB579)&amp;"",IF($Z579="A",INDEX(Fixed_Assets!$L$2:$L$201,$AB579)&amp;"",IF($Z579="F",INDEX(Workforce!$K$2:$K$151,MATCH(INDEX(FTE_Allocation!$A$2:$A$201,$AB579),Workforce!$A$2:$A$151,0))&amp;"","")))</f>
        <v/>
      </c>
      <c r="G579" s="7">
        <f>IF($Z579="C",INDEX(Contracts!$F$2:$F$151,$AB579)&amp;" / "&amp;INDEX(Contracts!$G$2:$G$151,$AB579),IF($Z579="A",INDEX(Fixed_Assets!$E$2:$E$201,$AB579)&amp;"",IF($Z579="F","Personnel "&amp;INDEX(FTE_Allocation!$A$2:$A$201,$AB579)&amp;IF(INDEX(FTE_Allocation!$D$2:$D$201,$AB579)="PROJECT"," ("&amp;INDEX(FTE_Allocation!$E$2:$E$201,$AB579)&amp;")",""),"")))</f>
        <v/>
      </c>
      <c r="H579" s="7">
        <f>IF($Z579="C","CONTRACT",IF($Z579="A","ASSET",IF($Z579="F","WORKFORCE","")))</f>
        <v/>
      </c>
      <c r="I579" s="7">
        <f>IF($Z579="C",INDEX(Contracts!$L$2:$L$151,$AB579)&amp;"",IF($Z579="A",INDEX(Fixed_Assets!$I$2:$I$201,$AB579)&amp;"",IF($Z579="F",INDEX(Workforce!$G$2:$G$151,MATCH(INDEX(FTE_Allocation!$A$2:$A$201,$AB579),Workforce!$A$2:$A$151,0))&amp;"","")))</f>
        <v/>
      </c>
      <c r="J579" s="18">
        <f>IF($Z579="","",IF(AND(DATE($AD579,1,1)&gt;=$AE579,DATE($AD579,1,1)&lt;=$AF579),ROUND($AG579,2),0))</f>
        <v/>
      </c>
      <c r="K579" s="18">
        <f>IF($Z579="","",IF(AND(DATE($AD579,2,1)&gt;=$AE579,DATE($AD579,2,1)&lt;=$AF579),ROUND($AG579,2),0))</f>
        <v/>
      </c>
      <c r="L579" s="18">
        <f>IF($Z579="","",IF(AND(DATE($AD579,3,1)&gt;=$AE579,DATE($AD579,3,1)&lt;=$AF579),ROUND($AG579,2),0))</f>
        <v/>
      </c>
      <c r="M579" s="18">
        <f>IF($Z579="","",IF(AND(DATE($AD579,4,1)&gt;=$AE579,DATE($AD579,4,1)&lt;=$AF579),ROUND($AG579,2),0))</f>
        <v/>
      </c>
      <c r="N579" s="18">
        <f>IF($Z579="","",IF(AND(DATE($AD579,5,1)&gt;=$AE579,DATE($AD579,5,1)&lt;=$AF579),ROUND($AG579,2),0))</f>
        <v/>
      </c>
      <c r="O579" s="18">
        <f>IF($Z579="","",IF(AND(DATE($AD579,6,1)&gt;=$AE579,DATE($AD579,6,1)&lt;=$AF579),ROUND($AG579,2),0))</f>
        <v/>
      </c>
      <c r="P579" s="18">
        <f>IF($Z579="","",IF(AND(DATE($AD579,7,1)&gt;=$AE579,DATE($AD579,7,1)&lt;=$AF579),ROUND($AG579,2),0))</f>
        <v/>
      </c>
      <c r="Q579" s="18">
        <f>IF($Z579="","",IF(AND(DATE($AD579,8,1)&gt;=$AE579,DATE($AD579,8,1)&lt;=$AF579),ROUND($AG579,2),0))</f>
        <v/>
      </c>
      <c r="R579" s="18">
        <f>IF($Z579="","",IF(AND(DATE($AD579,9,1)&gt;=$AE579,DATE($AD579,9,1)&lt;=$AF579),ROUND($AG579,2),0))</f>
        <v/>
      </c>
      <c r="S579" s="18">
        <f>IF($Z579="","",IF(AND(DATE($AD579,10,1)&gt;=$AE579,DATE($AD579,10,1)&lt;=$AF579),ROUND($AG579,2),0))</f>
        <v/>
      </c>
      <c r="T579" s="18">
        <f>IF($Z579="","",IF(AND(DATE($AD579,11,1)&gt;=$AE579,DATE($AD579,11,1)&lt;=$AF579),ROUND($AG579,2),0))</f>
        <v/>
      </c>
      <c r="U579" s="18">
        <f>IF($Z579="","",IF(AND(DATE($AD579,12,1)&gt;=$AE579,DATE($AD579,12,1)&lt;=$AF579),ROUND($AG579,2),0))</f>
        <v/>
      </c>
      <c r="V579" s="7">
        <f>IF($Z579="C","Generated from "&amp;INDEX(Contracts!$A$2:$A$151,$AB579),IF($Z579="A","Generated from "&amp;INDEX(Fixed_Assets!$A$2:$A$201,$AB579),IF($Z579="F","Generated from "&amp;INDEX(FTE_Allocation!$A$2:$A$201,$AB579),"")))</f>
        <v/>
      </c>
      <c r="X579" s="19">
        <f>IF($Z579="","",SUM(J579:U579))</f>
        <v/>
      </c>
      <c r="Y579" s="20">
        <f>ROW()-1</f>
        <v/>
      </c>
      <c r="Z579" s="20">
        <f>IF($Y579&lt;=Settings!$B$4*3,"C",IF($Y579&lt;=(Settings!$B$4+Settings!$B$5)*3,"A",IF($Y579&lt;=(Settings!$B$4+Settings!$B$5+Settings!$B$6)*3,"F","")))</f>
        <v/>
      </c>
      <c r="AA579" s="20">
        <f>IF($Z579="C",$Y579,IF($Z579="A",$Y579-Settings!$B$4*3,IF($Z579="F",$Y579-(Settings!$B$4+Settings!$B$5)*3,"")))</f>
        <v/>
      </c>
      <c r="AB579" s="20">
        <f>IF($Z579="","",INT(($AA579-1)/3)+1)</f>
        <v/>
      </c>
      <c r="AC579" s="20">
        <f>IF($Z579="","",MOD($AA579-1,3)+1)</f>
        <v/>
      </c>
      <c r="AD579" s="20">
        <f>IF($Z579="","",Settings!$B$2+$AC579-1)</f>
        <v/>
      </c>
      <c r="AE579" s="21">
        <f>IF($Z579="C",DATE(YEAR(INDEX(Contracts!$J$2:$J$151,$AB579)),MONTH(INDEX(Contracts!$J$2:$J$151,$AB579)),1),IF($Z579="A",DATE(YEAR(INDEX(Fixed_Assets!$G$2:$G$201,$AB579)),MONTH(INDEX(Fixed_Assets!$G$2:$G$201,$AB579)),1),IF($Z579="F",DATE(YEAR(MAX(N(INDEX(Workforce!$I$2:$I$151,MATCH(INDEX(FTE_Allocation!$A$2:$A$201,$AB579),Workforce!$A$2:$A$151,0))),N(INDEX(FTE_Allocation!$I$2:$I$201,$AB579)))),MONTH(MAX(N(INDEX(Workforce!$I$2:$I$151,MATCH(INDEX(FTE_Allocation!$A$2:$A$201,$AB579),Workforce!$A$2:$A$151,0))),N(INDEX(FTE_Allocation!$I$2:$I$201,$AB579)))),1),"")))</f>
        <v/>
      </c>
      <c r="AF579" s="21">
        <f>IF($Z579="C",IF(INDEX(Contracts!$I$2:$I$151,$AB579)="PREPAID",EDATE(DATE(YEAR(INDEX(Contracts!$J$2:$J$151,$AB579)),MONTH(INDEX(Contracts!$J$2:$J$151,$AB579)),1),IF(INDEX(Contracts!$N$2:$N$151,$AB579)="",12,INDEX(Contracts!$N$2:$N$151,$AB579))-1),IF(INDEX(Contracts!$I$2:$I$151,$AB579)="MONTHLY",IF(INDEX(Contracts!$K$2:$K$151,$AB579)="",2958101,INDEX(Contracts!$K$2:$K$151,$AB579)),0)),IF($Z579="A",EDATE(DATE(YEAR(INDEX(Fixed_Assets!$G$2:$G$201,$AB579)),MONTH(INDEX(Fixed_Assets!$G$2:$G$201,$AB579)),1),INDEX(Fixed_Assets!$J$2:$J$201,$AB579)-1),IF($Z579="F",MIN(IF(INDEX(Workforce!$J$2:$J$151,MATCH(INDEX(FTE_Allocation!$A$2:$A$201,$AB579),Workforce!$A$2:$A$151,0))="",2958101,INDEX(Workforce!$J$2:$J$151,MATCH(INDEX(FTE_Allocation!$A$2:$A$201,$AB579),Workforce!$A$2:$A$151,0))),IF(INDEX(FTE_Allocation!$J$2:$J$201,$AB579)="",2958101,INDEX(FTE_Allocation!$J$2:$J$201,$AB579))),"")))</f>
        <v/>
      </c>
      <c r="AG579" s="19">
        <f>IF($Z579="C",IF(INDEX(Contracts!$I$2:$I$151,$AB579)="PREPAID",INDEX(Contracts!$M$2:$M$151,$AB579)/IF(INDEX(Contracts!$N$2:$N$151,$AB579)="",12,INDEX(Contracts!$N$2:$N$151,$AB579)),IF(INDEX(Contracts!$I$2:$I$151,$AB579)="MONTHLY",INDEX(Contracts!$M$2:$M$151,$AB579),0))*(1-N(INDEX(Contracts!$O$2:$O$151,$AB579))),IF($Z579="A",INDEX(Fixed_Assets!$H$2:$H$201,$AB579)/INDEX(Fixed_Assets!$J$2:$J$201,$AB579),IF($Z579="F",INDEX(Workforce!$F$2:$F$151,MATCH(INDEX(FTE_Allocation!$A$2:$A$201,$AB579),Workforce!$A$2:$A$151,0))*N(INDEX(FTE_Allocation!$F$2:$H$201,$AB579,$AC579)),"")))</f>
        <v/>
      </c>
    </row>
    <row r="580">
      <c r="A580" s="7">
        <f>IF($Z580="","",$AD580)</f>
        <v/>
      </c>
      <c r="B580" s="7">
        <f>IF($Z580="C",INDEX(Contracts!$D$2:$D$151,$AB580)&amp;"",IF($Z580="A",INDEX(Fixed_Assets!$C$2:$C$201,$AB580)&amp;"",IF($Z580="F",INDEX(Workforce!$B$2:$B$151,MATCH(INDEX(FTE_Allocation!$A$2:$A$201,$AB580),Workforce!$A$2:$A$151,0))&amp;"","")))</f>
        <v/>
      </c>
      <c r="C580" s="7">
        <f>IF($Z580="C",INDEX(Contracts!$E$2:$E$151,$AB580)&amp;"",IF($Z580="A",INDEX(Fixed_Assets!$D$2:$D$201,$AB580)&amp;"",IF($Z580="F",INDEX(FTE_Allocation!$C$2:$C$201,$AB580)&amp;"","")))</f>
        <v/>
      </c>
      <c r="D580" s="7">
        <f>IF($Z580="C",INDEX(Contracts!$B$2:$B$151,$AB580)&amp;"",IF($Z580="A",INDEX(Fixed_Assets!$B$2:$B$201,$AB580)&amp;"",IF($Z580="F",INDEX(FTE_Allocation!$B$2:$B$201,$AB580)&amp;"","")))</f>
        <v/>
      </c>
      <c r="E580" s="7">
        <f>IF($Z580="C",INDEX(Contracts!$P$2:$P$151,$AB580)&amp;"",IF($Z580="A",INDEX(Fixed_Assets!$K$2:$K$201,$AB580)&amp;"",IF($Z580="F",IF(INDEX(FTE_Allocation!$D$2:$D$201,$AB580)="PROJECT",IFERROR(INDEX(Projects!$D:$D,MATCH(INDEX(FTE_Allocation!$E$2:$E$201,$AB580),Projects!$A:$A,0))&amp;"","#PROJECT?"),INDEX(FTE_Allocation!$E$2:$E$201,$AB580)&amp;""),"")))</f>
        <v/>
      </c>
      <c r="F580" s="7">
        <f>IF($Z580="C",INDEX(Contracts!$Q$2:$Q$151,$AB580)&amp;"",IF($Z580="A",INDEX(Fixed_Assets!$L$2:$L$201,$AB580)&amp;"",IF($Z580="F",INDEX(Workforce!$K$2:$K$151,MATCH(INDEX(FTE_Allocation!$A$2:$A$201,$AB580),Workforce!$A$2:$A$151,0))&amp;"","")))</f>
        <v/>
      </c>
      <c r="G580" s="7">
        <f>IF($Z580="C",INDEX(Contracts!$F$2:$F$151,$AB580)&amp;" / "&amp;INDEX(Contracts!$G$2:$G$151,$AB580),IF($Z580="A",INDEX(Fixed_Assets!$E$2:$E$201,$AB580)&amp;"",IF($Z580="F","Personnel "&amp;INDEX(FTE_Allocation!$A$2:$A$201,$AB580)&amp;IF(INDEX(FTE_Allocation!$D$2:$D$201,$AB580)="PROJECT"," ("&amp;INDEX(FTE_Allocation!$E$2:$E$201,$AB580)&amp;")",""),"")))</f>
        <v/>
      </c>
      <c r="H580" s="7">
        <f>IF($Z580="C","CONTRACT",IF($Z580="A","ASSET",IF($Z580="F","WORKFORCE","")))</f>
        <v/>
      </c>
      <c r="I580" s="7">
        <f>IF($Z580="C",INDEX(Contracts!$L$2:$L$151,$AB580)&amp;"",IF($Z580="A",INDEX(Fixed_Assets!$I$2:$I$201,$AB580)&amp;"",IF($Z580="F",INDEX(Workforce!$G$2:$G$151,MATCH(INDEX(FTE_Allocation!$A$2:$A$201,$AB580),Workforce!$A$2:$A$151,0))&amp;"","")))</f>
        <v/>
      </c>
      <c r="J580" s="18">
        <f>IF($Z580="","",IF(AND(DATE($AD580,1,1)&gt;=$AE580,DATE($AD580,1,1)&lt;=$AF580),ROUND($AG580,2),0))</f>
        <v/>
      </c>
      <c r="K580" s="18">
        <f>IF($Z580="","",IF(AND(DATE($AD580,2,1)&gt;=$AE580,DATE($AD580,2,1)&lt;=$AF580),ROUND($AG580,2),0))</f>
        <v/>
      </c>
      <c r="L580" s="18">
        <f>IF($Z580="","",IF(AND(DATE($AD580,3,1)&gt;=$AE580,DATE($AD580,3,1)&lt;=$AF580),ROUND($AG580,2),0))</f>
        <v/>
      </c>
      <c r="M580" s="18">
        <f>IF($Z580="","",IF(AND(DATE($AD580,4,1)&gt;=$AE580,DATE($AD580,4,1)&lt;=$AF580),ROUND($AG580,2),0))</f>
        <v/>
      </c>
      <c r="N580" s="18">
        <f>IF($Z580="","",IF(AND(DATE($AD580,5,1)&gt;=$AE580,DATE($AD580,5,1)&lt;=$AF580),ROUND($AG580,2),0))</f>
        <v/>
      </c>
      <c r="O580" s="18">
        <f>IF($Z580="","",IF(AND(DATE($AD580,6,1)&gt;=$AE580,DATE($AD580,6,1)&lt;=$AF580),ROUND($AG580,2),0))</f>
        <v/>
      </c>
      <c r="P580" s="18">
        <f>IF($Z580="","",IF(AND(DATE($AD580,7,1)&gt;=$AE580,DATE($AD580,7,1)&lt;=$AF580),ROUND($AG580,2),0))</f>
        <v/>
      </c>
      <c r="Q580" s="18">
        <f>IF($Z580="","",IF(AND(DATE($AD580,8,1)&gt;=$AE580,DATE($AD580,8,1)&lt;=$AF580),ROUND($AG580,2),0))</f>
        <v/>
      </c>
      <c r="R580" s="18">
        <f>IF($Z580="","",IF(AND(DATE($AD580,9,1)&gt;=$AE580,DATE($AD580,9,1)&lt;=$AF580),ROUND($AG580,2),0))</f>
        <v/>
      </c>
      <c r="S580" s="18">
        <f>IF($Z580="","",IF(AND(DATE($AD580,10,1)&gt;=$AE580,DATE($AD580,10,1)&lt;=$AF580),ROUND($AG580,2),0))</f>
        <v/>
      </c>
      <c r="T580" s="18">
        <f>IF($Z580="","",IF(AND(DATE($AD580,11,1)&gt;=$AE580,DATE($AD580,11,1)&lt;=$AF580),ROUND($AG580,2),0))</f>
        <v/>
      </c>
      <c r="U580" s="18">
        <f>IF($Z580="","",IF(AND(DATE($AD580,12,1)&gt;=$AE580,DATE($AD580,12,1)&lt;=$AF580),ROUND($AG580,2),0))</f>
        <v/>
      </c>
      <c r="V580" s="7">
        <f>IF($Z580="C","Generated from "&amp;INDEX(Contracts!$A$2:$A$151,$AB580),IF($Z580="A","Generated from "&amp;INDEX(Fixed_Assets!$A$2:$A$201,$AB580),IF($Z580="F","Generated from "&amp;INDEX(FTE_Allocation!$A$2:$A$201,$AB580),"")))</f>
        <v/>
      </c>
      <c r="X580" s="19">
        <f>IF($Z580="","",SUM(J580:U580))</f>
        <v/>
      </c>
      <c r="Y580" s="20">
        <f>ROW()-1</f>
        <v/>
      </c>
      <c r="Z580" s="20">
        <f>IF($Y580&lt;=Settings!$B$4*3,"C",IF($Y580&lt;=(Settings!$B$4+Settings!$B$5)*3,"A",IF($Y580&lt;=(Settings!$B$4+Settings!$B$5+Settings!$B$6)*3,"F","")))</f>
        <v/>
      </c>
      <c r="AA580" s="20">
        <f>IF($Z580="C",$Y580,IF($Z580="A",$Y580-Settings!$B$4*3,IF($Z580="F",$Y580-(Settings!$B$4+Settings!$B$5)*3,"")))</f>
        <v/>
      </c>
      <c r="AB580" s="20">
        <f>IF($Z580="","",INT(($AA580-1)/3)+1)</f>
        <v/>
      </c>
      <c r="AC580" s="20">
        <f>IF($Z580="","",MOD($AA580-1,3)+1)</f>
        <v/>
      </c>
      <c r="AD580" s="20">
        <f>IF($Z580="","",Settings!$B$2+$AC580-1)</f>
        <v/>
      </c>
      <c r="AE580" s="21">
        <f>IF($Z580="C",DATE(YEAR(INDEX(Contracts!$J$2:$J$151,$AB580)),MONTH(INDEX(Contracts!$J$2:$J$151,$AB580)),1),IF($Z580="A",DATE(YEAR(INDEX(Fixed_Assets!$G$2:$G$201,$AB580)),MONTH(INDEX(Fixed_Assets!$G$2:$G$201,$AB580)),1),IF($Z580="F",DATE(YEAR(MAX(N(INDEX(Workforce!$I$2:$I$151,MATCH(INDEX(FTE_Allocation!$A$2:$A$201,$AB580),Workforce!$A$2:$A$151,0))),N(INDEX(FTE_Allocation!$I$2:$I$201,$AB580)))),MONTH(MAX(N(INDEX(Workforce!$I$2:$I$151,MATCH(INDEX(FTE_Allocation!$A$2:$A$201,$AB580),Workforce!$A$2:$A$151,0))),N(INDEX(FTE_Allocation!$I$2:$I$201,$AB580)))),1),"")))</f>
        <v/>
      </c>
      <c r="AF580" s="21">
        <f>IF($Z580="C",IF(INDEX(Contracts!$I$2:$I$151,$AB580)="PREPAID",EDATE(DATE(YEAR(INDEX(Contracts!$J$2:$J$151,$AB580)),MONTH(INDEX(Contracts!$J$2:$J$151,$AB580)),1),IF(INDEX(Contracts!$N$2:$N$151,$AB580)="",12,INDEX(Contracts!$N$2:$N$151,$AB580))-1),IF(INDEX(Contracts!$I$2:$I$151,$AB580)="MONTHLY",IF(INDEX(Contracts!$K$2:$K$151,$AB580)="",2958101,INDEX(Contracts!$K$2:$K$151,$AB580)),0)),IF($Z580="A",EDATE(DATE(YEAR(INDEX(Fixed_Assets!$G$2:$G$201,$AB580)),MONTH(INDEX(Fixed_Assets!$G$2:$G$201,$AB580)),1),INDEX(Fixed_Assets!$J$2:$J$201,$AB580)-1),IF($Z580="F",MIN(IF(INDEX(Workforce!$J$2:$J$151,MATCH(INDEX(FTE_Allocation!$A$2:$A$201,$AB580),Workforce!$A$2:$A$151,0))="",2958101,INDEX(Workforce!$J$2:$J$151,MATCH(INDEX(FTE_Allocation!$A$2:$A$201,$AB580),Workforce!$A$2:$A$151,0))),IF(INDEX(FTE_Allocation!$J$2:$J$201,$AB580)="",2958101,INDEX(FTE_Allocation!$J$2:$J$201,$AB580))),"")))</f>
        <v/>
      </c>
      <c r="AG580" s="19">
        <f>IF($Z580="C",IF(INDEX(Contracts!$I$2:$I$151,$AB580)="PREPAID",INDEX(Contracts!$M$2:$M$151,$AB580)/IF(INDEX(Contracts!$N$2:$N$151,$AB580)="",12,INDEX(Contracts!$N$2:$N$151,$AB580)),IF(INDEX(Contracts!$I$2:$I$151,$AB580)="MONTHLY",INDEX(Contracts!$M$2:$M$151,$AB580),0))*(1-N(INDEX(Contracts!$O$2:$O$151,$AB580))),IF($Z580="A",INDEX(Fixed_Assets!$H$2:$H$201,$AB580)/INDEX(Fixed_Assets!$J$2:$J$201,$AB580),IF($Z580="F",INDEX(Workforce!$F$2:$F$151,MATCH(INDEX(FTE_Allocation!$A$2:$A$201,$AB580),Workforce!$A$2:$A$151,0))*N(INDEX(FTE_Allocation!$F$2:$H$201,$AB580,$AC580)),"")))</f>
        <v/>
      </c>
    </row>
    <row r="581">
      <c r="A581" s="7">
        <f>IF($Z581="","",$AD581)</f>
        <v/>
      </c>
      <c r="B581" s="7">
        <f>IF($Z581="C",INDEX(Contracts!$D$2:$D$151,$AB581)&amp;"",IF($Z581="A",INDEX(Fixed_Assets!$C$2:$C$201,$AB581)&amp;"",IF($Z581="F",INDEX(Workforce!$B$2:$B$151,MATCH(INDEX(FTE_Allocation!$A$2:$A$201,$AB581),Workforce!$A$2:$A$151,0))&amp;"","")))</f>
        <v/>
      </c>
      <c r="C581" s="7">
        <f>IF($Z581="C",INDEX(Contracts!$E$2:$E$151,$AB581)&amp;"",IF($Z581="A",INDEX(Fixed_Assets!$D$2:$D$201,$AB581)&amp;"",IF($Z581="F",INDEX(FTE_Allocation!$C$2:$C$201,$AB581)&amp;"","")))</f>
        <v/>
      </c>
      <c r="D581" s="7">
        <f>IF($Z581="C",INDEX(Contracts!$B$2:$B$151,$AB581)&amp;"",IF($Z581="A",INDEX(Fixed_Assets!$B$2:$B$201,$AB581)&amp;"",IF($Z581="F",INDEX(FTE_Allocation!$B$2:$B$201,$AB581)&amp;"","")))</f>
        <v/>
      </c>
      <c r="E581" s="7">
        <f>IF($Z581="C",INDEX(Contracts!$P$2:$P$151,$AB581)&amp;"",IF($Z581="A",INDEX(Fixed_Assets!$K$2:$K$201,$AB581)&amp;"",IF($Z581="F",IF(INDEX(FTE_Allocation!$D$2:$D$201,$AB581)="PROJECT",IFERROR(INDEX(Projects!$D:$D,MATCH(INDEX(FTE_Allocation!$E$2:$E$201,$AB581),Projects!$A:$A,0))&amp;"","#PROJECT?"),INDEX(FTE_Allocation!$E$2:$E$201,$AB581)&amp;""),"")))</f>
        <v/>
      </c>
      <c r="F581" s="7">
        <f>IF($Z581="C",INDEX(Contracts!$Q$2:$Q$151,$AB581)&amp;"",IF($Z581="A",INDEX(Fixed_Assets!$L$2:$L$201,$AB581)&amp;"",IF($Z581="F",INDEX(Workforce!$K$2:$K$151,MATCH(INDEX(FTE_Allocation!$A$2:$A$201,$AB581),Workforce!$A$2:$A$151,0))&amp;"","")))</f>
        <v/>
      </c>
      <c r="G581" s="7">
        <f>IF($Z581="C",INDEX(Contracts!$F$2:$F$151,$AB581)&amp;" / "&amp;INDEX(Contracts!$G$2:$G$151,$AB581),IF($Z581="A",INDEX(Fixed_Assets!$E$2:$E$201,$AB581)&amp;"",IF($Z581="F","Personnel "&amp;INDEX(FTE_Allocation!$A$2:$A$201,$AB581)&amp;IF(INDEX(FTE_Allocation!$D$2:$D$201,$AB581)="PROJECT"," ("&amp;INDEX(FTE_Allocation!$E$2:$E$201,$AB581)&amp;")",""),"")))</f>
        <v/>
      </c>
      <c r="H581" s="7">
        <f>IF($Z581="C","CONTRACT",IF($Z581="A","ASSET",IF($Z581="F","WORKFORCE","")))</f>
        <v/>
      </c>
      <c r="I581" s="7">
        <f>IF($Z581="C",INDEX(Contracts!$L$2:$L$151,$AB581)&amp;"",IF($Z581="A",INDEX(Fixed_Assets!$I$2:$I$201,$AB581)&amp;"",IF($Z581="F",INDEX(Workforce!$G$2:$G$151,MATCH(INDEX(FTE_Allocation!$A$2:$A$201,$AB581),Workforce!$A$2:$A$151,0))&amp;"","")))</f>
        <v/>
      </c>
      <c r="J581" s="18">
        <f>IF($Z581="","",IF(AND(DATE($AD581,1,1)&gt;=$AE581,DATE($AD581,1,1)&lt;=$AF581),ROUND($AG581,2),0))</f>
        <v/>
      </c>
      <c r="K581" s="18">
        <f>IF($Z581="","",IF(AND(DATE($AD581,2,1)&gt;=$AE581,DATE($AD581,2,1)&lt;=$AF581),ROUND($AG581,2),0))</f>
        <v/>
      </c>
      <c r="L581" s="18">
        <f>IF($Z581="","",IF(AND(DATE($AD581,3,1)&gt;=$AE581,DATE($AD581,3,1)&lt;=$AF581),ROUND($AG581,2),0))</f>
        <v/>
      </c>
      <c r="M581" s="18">
        <f>IF($Z581="","",IF(AND(DATE($AD581,4,1)&gt;=$AE581,DATE($AD581,4,1)&lt;=$AF581),ROUND($AG581,2),0))</f>
        <v/>
      </c>
      <c r="N581" s="18">
        <f>IF($Z581="","",IF(AND(DATE($AD581,5,1)&gt;=$AE581,DATE($AD581,5,1)&lt;=$AF581),ROUND($AG581,2),0))</f>
        <v/>
      </c>
      <c r="O581" s="18">
        <f>IF($Z581="","",IF(AND(DATE($AD581,6,1)&gt;=$AE581,DATE($AD581,6,1)&lt;=$AF581),ROUND($AG581,2),0))</f>
        <v/>
      </c>
      <c r="P581" s="18">
        <f>IF($Z581="","",IF(AND(DATE($AD581,7,1)&gt;=$AE581,DATE($AD581,7,1)&lt;=$AF581),ROUND($AG581,2),0))</f>
        <v/>
      </c>
      <c r="Q581" s="18">
        <f>IF($Z581="","",IF(AND(DATE($AD581,8,1)&gt;=$AE581,DATE($AD581,8,1)&lt;=$AF581),ROUND($AG581,2),0))</f>
        <v/>
      </c>
      <c r="R581" s="18">
        <f>IF($Z581="","",IF(AND(DATE($AD581,9,1)&gt;=$AE581,DATE($AD581,9,1)&lt;=$AF581),ROUND($AG581,2),0))</f>
        <v/>
      </c>
      <c r="S581" s="18">
        <f>IF($Z581="","",IF(AND(DATE($AD581,10,1)&gt;=$AE581,DATE($AD581,10,1)&lt;=$AF581),ROUND($AG581,2),0))</f>
        <v/>
      </c>
      <c r="T581" s="18">
        <f>IF($Z581="","",IF(AND(DATE($AD581,11,1)&gt;=$AE581,DATE($AD581,11,1)&lt;=$AF581),ROUND($AG581,2),0))</f>
        <v/>
      </c>
      <c r="U581" s="18">
        <f>IF($Z581="","",IF(AND(DATE($AD581,12,1)&gt;=$AE581,DATE($AD581,12,1)&lt;=$AF581),ROUND($AG581,2),0))</f>
        <v/>
      </c>
      <c r="V581" s="7">
        <f>IF($Z581="C","Generated from "&amp;INDEX(Contracts!$A$2:$A$151,$AB581),IF($Z581="A","Generated from "&amp;INDEX(Fixed_Assets!$A$2:$A$201,$AB581),IF($Z581="F","Generated from "&amp;INDEX(FTE_Allocation!$A$2:$A$201,$AB581),"")))</f>
        <v/>
      </c>
      <c r="X581" s="19">
        <f>IF($Z581="","",SUM(J581:U581))</f>
        <v/>
      </c>
      <c r="Y581" s="20">
        <f>ROW()-1</f>
        <v/>
      </c>
      <c r="Z581" s="20">
        <f>IF($Y581&lt;=Settings!$B$4*3,"C",IF($Y581&lt;=(Settings!$B$4+Settings!$B$5)*3,"A",IF($Y581&lt;=(Settings!$B$4+Settings!$B$5+Settings!$B$6)*3,"F","")))</f>
        <v/>
      </c>
      <c r="AA581" s="20">
        <f>IF($Z581="C",$Y581,IF($Z581="A",$Y581-Settings!$B$4*3,IF($Z581="F",$Y581-(Settings!$B$4+Settings!$B$5)*3,"")))</f>
        <v/>
      </c>
      <c r="AB581" s="20">
        <f>IF($Z581="","",INT(($AA581-1)/3)+1)</f>
        <v/>
      </c>
      <c r="AC581" s="20">
        <f>IF($Z581="","",MOD($AA581-1,3)+1)</f>
        <v/>
      </c>
      <c r="AD581" s="20">
        <f>IF($Z581="","",Settings!$B$2+$AC581-1)</f>
        <v/>
      </c>
      <c r="AE581" s="21">
        <f>IF($Z581="C",DATE(YEAR(INDEX(Contracts!$J$2:$J$151,$AB581)),MONTH(INDEX(Contracts!$J$2:$J$151,$AB581)),1),IF($Z581="A",DATE(YEAR(INDEX(Fixed_Assets!$G$2:$G$201,$AB581)),MONTH(INDEX(Fixed_Assets!$G$2:$G$201,$AB581)),1),IF($Z581="F",DATE(YEAR(MAX(N(INDEX(Workforce!$I$2:$I$151,MATCH(INDEX(FTE_Allocation!$A$2:$A$201,$AB581),Workforce!$A$2:$A$151,0))),N(INDEX(FTE_Allocation!$I$2:$I$201,$AB581)))),MONTH(MAX(N(INDEX(Workforce!$I$2:$I$151,MATCH(INDEX(FTE_Allocation!$A$2:$A$201,$AB581),Workforce!$A$2:$A$151,0))),N(INDEX(FTE_Allocation!$I$2:$I$201,$AB581)))),1),"")))</f>
        <v/>
      </c>
      <c r="AF581" s="21">
        <f>IF($Z581="C",IF(INDEX(Contracts!$I$2:$I$151,$AB581)="PREPAID",EDATE(DATE(YEAR(INDEX(Contracts!$J$2:$J$151,$AB581)),MONTH(INDEX(Contracts!$J$2:$J$151,$AB581)),1),IF(INDEX(Contracts!$N$2:$N$151,$AB581)="",12,INDEX(Contracts!$N$2:$N$151,$AB581))-1),IF(INDEX(Contracts!$I$2:$I$151,$AB581)="MONTHLY",IF(INDEX(Contracts!$K$2:$K$151,$AB581)="",2958101,INDEX(Contracts!$K$2:$K$151,$AB581)),0)),IF($Z581="A",EDATE(DATE(YEAR(INDEX(Fixed_Assets!$G$2:$G$201,$AB581)),MONTH(INDEX(Fixed_Assets!$G$2:$G$201,$AB581)),1),INDEX(Fixed_Assets!$J$2:$J$201,$AB581)-1),IF($Z581="F",MIN(IF(INDEX(Workforce!$J$2:$J$151,MATCH(INDEX(FTE_Allocation!$A$2:$A$201,$AB581),Workforce!$A$2:$A$151,0))="",2958101,INDEX(Workforce!$J$2:$J$151,MATCH(INDEX(FTE_Allocation!$A$2:$A$201,$AB581),Workforce!$A$2:$A$151,0))),IF(INDEX(FTE_Allocation!$J$2:$J$201,$AB581)="",2958101,INDEX(FTE_Allocation!$J$2:$J$201,$AB581))),"")))</f>
        <v/>
      </c>
      <c r="AG581" s="19">
        <f>IF($Z581="C",IF(INDEX(Contracts!$I$2:$I$151,$AB581)="PREPAID",INDEX(Contracts!$M$2:$M$151,$AB581)/IF(INDEX(Contracts!$N$2:$N$151,$AB581)="",12,INDEX(Contracts!$N$2:$N$151,$AB581)),IF(INDEX(Contracts!$I$2:$I$151,$AB581)="MONTHLY",INDEX(Contracts!$M$2:$M$151,$AB581),0))*(1-N(INDEX(Contracts!$O$2:$O$151,$AB581))),IF($Z581="A",INDEX(Fixed_Assets!$H$2:$H$201,$AB581)/INDEX(Fixed_Assets!$J$2:$J$201,$AB581),IF($Z581="F",INDEX(Workforce!$F$2:$F$151,MATCH(INDEX(FTE_Allocation!$A$2:$A$201,$AB581),Workforce!$A$2:$A$151,0))*N(INDEX(FTE_Allocation!$F$2:$H$201,$AB581,$AC581)),"")))</f>
        <v/>
      </c>
    </row>
    <row r="582">
      <c r="A582" s="7">
        <f>IF($Z582="","",$AD582)</f>
        <v/>
      </c>
      <c r="B582" s="7">
        <f>IF($Z582="C",INDEX(Contracts!$D$2:$D$151,$AB582)&amp;"",IF($Z582="A",INDEX(Fixed_Assets!$C$2:$C$201,$AB582)&amp;"",IF($Z582="F",INDEX(Workforce!$B$2:$B$151,MATCH(INDEX(FTE_Allocation!$A$2:$A$201,$AB582),Workforce!$A$2:$A$151,0))&amp;"","")))</f>
        <v/>
      </c>
      <c r="C582" s="7">
        <f>IF($Z582="C",INDEX(Contracts!$E$2:$E$151,$AB582)&amp;"",IF($Z582="A",INDEX(Fixed_Assets!$D$2:$D$201,$AB582)&amp;"",IF($Z582="F",INDEX(FTE_Allocation!$C$2:$C$201,$AB582)&amp;"","")))</f>
        <v/>
      </c>
      <c r="D582" s="7">
        <f>IF($Z582="C",INDEX(Contracts!$B$2:$B$151,$AB582)&amp;"",IF($Z582="A",INDEX(Fixed_Assets!$B$2:$B$201,$AB582)&amp;"",IF($Z582="F",INDEX(FTE_Allocation!$B$2:$B$201,$AB582)&amp;"","")))</f>
        <v/>
      </c>
      <c r="E582" s="7">
        <f>IF($Z582="C",INDEX(Contracts!$P$2:$P$151,$AB582)&amp;"",IF($Z582="A",INDEX(Fixed_Assets!$K$2:$K$201,$AB582)&amp;"",IF($Z582="F",IF(INDEX(FTE_Allocation!$D$2:$D$201,$AB582)="PROJECT",IFERROR(INDEX(Projects!$D:$D,MATCH(INDEX(FTE_Allocation!$E$2:$E$201,$AB582),Projects!$A:$A,0))&amp;"","#PROJECT?"),INDEX(FTE_Allocation!$E$2:$E$201,$AB582)&amp;""),"")))</f>
        <v/>
      </c>
      <c r="F582" s="7">
        <f>IF($Z582="C",INDEX(Contracts!$Q$2:$Q$151,$AB582)&amp;"",IF($Z582="A",INDEX(Fixed_Assets!$L$2:$L$201,$AB582)&amp;"",IF($Z582="F",INDEX(Workforce!$K$2:$K$151,MATCH(INDEX(FTE_Allocation!$A$2:$A$201,$AB582),Workforce!$A$2:$A$151,0))&amp;"","")))</f>
        <v/>
      </c>
      <c r="G582" s="7">
        <f>IF($Z582="C",INDEX(Contracts!$F$2:$F$151,$AB582)&amp;" / "&amp;INDEX(Contracts!$G$2:$G$151,$AB582),IF($Z582="A",INDEX(Fixed_Assets!$E$2:$E$201,$AB582)&amp;"",IF($Z582="F","Personnel "&amp;INDEX(FTE_Allocation!$A$2:$A$201,$AB582)&amp;IF(INDEX(FTE_Allocation!$D$2:$D$201,$AB582)="PROJECT"," ("&amp;INDEX(FTE_Allocation!$E$2:$E$201,$AB582)&amp;")",""),"")))</f>
        <v/>
      </c>
      <c r="H582" s="7">
        <f>IF($Z582="C","CONTRACT",IF($Z582="A","ASSET",IF($Z582="F","WORKFORCE","")))</f>
        <v/>
      </c>
      <c r="I582" s="7">
        <f>IF($Z582="C",INDEX(Contracts!$L$2:$L$151,$AB582)&amp;"",IF($Z582="A",INDEX(Fixed_Assets!$I$2:$I$201,$AB582)&amp;"",IF($Z582="F",INDEX(Workforce!$G$2:$G$151,MATCH(INDEX(FTE_Allocation!$A$2:$A$201,$AB582),Workforce!$A$2:$A$151,0))&amp;"","")))</f>
        <v/>
      </c>
      <c r="J582" s="18">
        <f>IF($Z582="","",IF(AND(DATE($AD582,1,1)&gt;=$AE582,DATE($AD582,1,1)&lt;=$AF582),ROUND($AG582,2),0))</f>
        <v/>
      </c>
      <c r="K582" s="18">
        <f>IF($Z582="","",IF(AND(DATE($AD582,2,1)&gt;=$AE582,DATE($AD582,2,1)&lt;=$AF582),ROUND($AG582,2),0))</f>
        <v/>
      </c>
      <c r="L582" s="18">
        <f>IF($Z582="","",IF(AND(DATE($AD582,3,1)&gt;=$AE582,DATE($AD582,3,1)&lt;=$AF582),ROUND($AG582,2),0))</f>
        <v/>
      </c>
      <c r="M582" s="18">
        <f>IF($Z582="","",IF(AND(DATE($AD582,4,1)&gt;=$AE582,DATE($AD582,4,1)&lt;=$AF582),ROUND($AG582,2),0))</f>
        <v/>
      </c>
      <c r="N582" s="18">
        <f>IF($Z582="","",IF(AND(DATE($AD582,5,1)&gt;=$AE582,DATE($AD582,5,1)&lt;=$AF582),ROUND($AG582,2),0))</f>
        <v/>
      </c>
      <c r="O582" s="18">
        <f>IF($Z582="","",IF(AND(DATE($AD582,6,1)&gt;=$AE582,DATE($AD582,6,1)&lt;=$AF582),ROUND($AG582,2),0))</f>
        <v/>
      </c>
      <c r="P582" s="18">
        <f>IF($Z582="","",IF(AND(DATE($AD582,7,1)&gt;=$AE582,DATE($AD582,7,1)&lt;=$AF582),ROUND($AG582,2),0))</f>
        <v/>
      </c>
      <c r="Q582" s="18">
        <f>IF($Z582="","",IF(AND(DATE($AD582,8,1)&gt;=$AE582,DATE($AD582,8,1)&lt;=$AF582),ROUND($AG582,2),0))</f>
        <v/>
      </c>
      <c r="R582" s="18">
        <f>IF($Z582="","",IF(AND(DATE($AD582,9,1)&gt;=$AE582,DATE($AD582,9,1)&lt;=$AF582),ROUND($AG582,2),0))</f>
        <v/>
      </c>
      <c r="S582" s="18">
        <f>IF($Z582="","",IF(AND(DATE($AD582,10,1)&gt;=$AE582,DATE($AD582,10,1)&lt;=$AF582),ROUND($AG582,2),0))</f>
        <v/>
      </c>
      <c r="T582" s="18">
        <f>IF($Z582="","",IF(AND(DATE($AD582,11,1)&gt;=$AE582,DATE($AD582,11,1)&lt;=$AF582),ROUND($AG582,2),0))</f>
        <v/>
      </c>
      <c r="U582" s="18">
        <f>IF($Z582="","",IF(AND(DATE($AD582,12,1)&gt;=$AE582,DATE($AD582,12,1)&lt;=$AF582),ROUND($AG582,2),0))</f>
        <v/>
      </c>
      <c r="V582" s="7">
        <f>IF($Z582="C","Generated from "&amp;INDEX(Contracts!$A$2:$A$151,$AB582),IF($Z582="A","Generated from "&amp;INDEX(Fixed_Assets!$A$2:$A$201,$AB582),IF($Z582="F","Generated from "&amp;INDEX(FTE_Allocation!$A$2:$A$201,$AB582),"")))</f>
        <v/>
      </c>
      <c r="X582" s="19">
        <f>IF($Z582="","",SUM(J582:U582))</f>
        <v/>
      </c>
      <c r="Y582" s="20">
        <f>ROW()-1</f>
        <v/>
      </c>
      <c r="Z582" s="20">
        <f>IF($Y582&lt;=Settings!$B$4*3,"C",IF($Y582&lt;=(Settings!$B$4+Settings!$B$5)*3,"A",IF($Y582&lt;=(Settings!$B$4+Settings!$B$5+Settings!$B$6)*3,"F","")))</f>
        <v/>
      </c>
      <c r="AA582" s="20">
        <f>IF($Z582="C",$Y582,IF($Z582="A",$Y582-Settings!$B$4*3,IF($Z582="F",$Y582-(Settings!$B$4+Settings!$B$5)*3,"")))</f>
        <v/>
      </c>
      <c r="AB582" s="20">
        <f>IF($Z582="","",INT(($AA582-1)/3)+1)</f>
        <v/>
      </c>
      <c r="AC582" s="20">
        <f>IF($Z582="","",MOD($AA582-1,3)+1)</f>
        <v/>
      </c>
      <c r="AD582" s="20">
        <f>IF($Z582="","",Settings!$B$2+$AC582-1)</f>
        <v/>
      </c>
      <c r="AE582" s="21">
        <f>IF($Z582="C",DATE(YEAR(INDEX(Contracts!$J$2:$J$151,$AB582)),MONTH(INDEX(Contracts!$J$2:$J$151,$AB582)),1),IF($Z582="A",DATE(YEAR(INDEX(Fixed_Assets!$G$2:$G$201,$AB582)),MONTH(INDEX(Fixed_Assets!$G$2:$G$201,$AB582)),1),IF($Z582="F",DATE(YEAR(MAX(N(INDEX(Workforce!$I$2:$I$151,MATCH(INDEX(FTE_Allocation!$A$2:$A$201,$AB582),Workforce!$A$2:$A$151,0))),N(INDEX(FTE_Allocation!$I$2:$I$201,$AB582)))),MONTH(MAX(N(INDEX(Workforce!$I$2:$I$151,MATCH(INDEX(FTE_Allocation!$A$2:$A$201,$AB582),Workforce!$A$2:$A$151,0))),N(INDEX(FTE_Allocation!$I$2:$I$201,$AB582)))),1),"")))</f>
        <v/>
      </c>
      <c r="AF582" s="21">
        <f>IF($Z582="C",IF(INDEX(Contracts!$I$2:$I$151,$AB582)="PREPAID",EDATE(DATE(YEAR(INDEX(Contracts!$J$2:$J$151,$AB582)),MONTH(INDEX(Contracts!$J$2:$J$151,$AB582)),1),IF(INDEX(Contracts!$N$2:$N$151,$AB582)="",12,INDEX(Contracts!$N$2:$N$151,$AB582))-1),IF(INDEX(Contracts!$I$2:$I$151,$AB582)="MONTHLY",IF(INDEX(Contracts!$K$2:$K$151,$AB582)="",2958101,INDEX(Contracts!$K$2:$K$151,$AB582)),0)),IF($Z582="A",EDATE(DATE(YEAR(INDEX(Fixed_Assets!$G$2:$G$201,$AB582)),MONTH(INDEX(Fixed_Assets!$G$2:$G$201,$AB582)),1),INDEX(Fixed_Assets!$J$2:$J$201,$AB582)-1),IF($Z582="F",MIN(IF(INDEX(Workforce!$J$2:$J$151,MATCH(INDEX(FTE_Allocation!$A$2:$A$201,$AB582),Workforce!$A$2:$A$151,0))="",2958101,INDEX(Workforce!$J$2:$J$151,MATCH(INDEX(FTE_Allocation!$A$2:$A$201,$AB582),Workforce!$A$2:$A$151,0))),IF(INDEX(FTE_Allocation!$J$2:$J$201,$AB582)="",2958101,INDEX(FTE_Allocation!$J$2:$J$201,$AB582))),"")))</f>
        <v/>
      </c>
      <c r="AG582" s="19">
        <f>IF($Z582="C",IF(INDEX(Contracts!$I$2:$I$151,$AB582)="PREPAID",INDEX(Contracts!$M$2:$M$151,$AB582)/IF(INDEX(Contracts!$N$2:$N$151,$AB582)="",12,INDEX(Contracts!$N$2:$N$151,$AB582)),IF(INDEX(Contracts!$I$2:$I$151,$AB582)="MONTHLY",INDEX(Contracts!$M$2:$M$151,$AB582),0))*(1-N(INDEX(Contracts!$O$2:$O$151,$AB582))),IF($Z582="A",INDEX(Fixed_Assets!$H$2:$H$201,$AB582)/INDEX(Fixed_Assets!$J$2:$J$201,$AB582),IF($Z582="F",INDEX(Workforce!$F$2:$F$151,MATCH(INDEX(FTE_Allocation!$A$2:$A$201,$AB582),Workforce!$A$2:$A$151,0))*N(INDEX(FTE_Allocation!$F$2:$H$201,$AB582,$AC582)),"")))</f>
        <v/>
      </c>
    </row>
    <row r="583">
      <c r="A583" s="7">
        <f>IF($Z583="","",$AD583)</f>
        <v/>
      </c>
      <c r="B583" s="7">
        <f>IF($Z583="C",INDEX(Contracts!$D$2:$D$151,$AB583)&amp;"",IF($Z583="A",INDEX(Fixed_Assets!$C$2:$C$201,$AB583)&amp;"",IF($Z583="F",INDEX(Workforce!$B$2:$B$151,MATCH(INDEX(FTE_Allocation!$A$2:$A$201,$AB583),Workforce!$A$2:$A$151,0))&amp;"","")))</f>
        <v/>
      </c>
      <c r="C583" s="7">
        <f>IF($Z583="C",INDEX(Contracts!$E$2:$E$151,$AB583)&amp;"",IF($Z583="A",INDEX(Fixed_Assets!$D$2:$D$201,$AB583)&amp;"",IF($Z583="F",INDEX(FTE_Allocation!$C$2:$C$201,$AB583)&amp;"","")))</f>
        <v/>
      </c>
      <c r="D583" s="7">
        <f>IF($Z583="C",INDEX(Contracts!$B$2:$B$151,$AB583)&amp;"",IF($Z583="A",INDEX(Fixed_Assets!$B$2:$B$201,$AB583)&amp;"",IF($Z583="F",INDEX(FTE_Allocation!$B$2:$B$201,$AB583)&amp;"","")))</f>
        <v/>
      </c>
      <c r="E583" s="7">
        <f>IF($Z583="C",INDEX(Contracts!$P$2:$P$151,$AB583)&amp;"",IF($Z583="A",INDEX(Fixed_Assets!$K$2:$K$201,$AB583)&amp;"",IF($Z583="F",IF(INDEX(FTE_Allocation!$D$2:$D$201,$AB583)="PROJECT",IFERROR(INDEX(Projects!$D:$D,MATCH(INDEX(FTE_Allocation!$E$2:$E$201,$AB583),Projects!$A:$A,0))&amp;"","#PROJECT?"),INDEX(FTE_Allocation!$E$2:$E$201,$AB583)&amp;""),"")))</f>
        <v/>
      </c>
      <c r="F583" s="7">
        <f>IF($Z583="C",INDEX(Contracts!$Q$2:$Q$151,$AB583)&amp;"",IF($Z583="A",INDEX(Fixed_Assets!$L$2:$L$201,$AB583)&amp;"",IF($Z583="F",INDEX(Workforce!$K$2:$K$151,MATCH(INDEX(FTE_Allocation!$A$2:$A$201,$AB583),Workforce!$A$2:$A$151,0))&amp;"","")))</f>
        <v/>
      </c>
      <c r="G583" s="7">
        <f>IF($Z583="C",INDEX(Contracts!$F$2:$F$151,$AB583)&amp;" / "&amp;INDEX(Contracts!$G$2:$G$151,$AB583),IF($Z583="A",INDEX(Fixed_Assets!$E$2:$E$201,$AB583)&amp;"",IF($Z583="F","Personnel "&amp;INDEX(FTE_Allocation!$A$2:$A$201,$AB583)&amp;IF(INDEX(FTE_Allocation!$D$2:$D$201,$AB583)="PROJECT"," ("&amp;INDEX(FTE_Allocation!$E$2:$E$201,$AB583)&amp;")",""),"")))</f>
        <v/>
      </c>
      <c r="H583" s="7">
        <f>IF($Z583="C","CONTRACT",IF($Z583="A","ASSET",IF($Z583="F","WORKFORCE","")))</f>
        <v/>
      </c>
      <c r="I583" s="7">
        <f>IF($Z583="C",INDEX(Contracts!$L$2:$L$151,$AB583)&amp;"",IF($Z583="A",INDEX(Fixed_Assets!$I$2:$I$201,$AB583)&amp;"",IF($Z583="F",INDEX(Workforce!$G$2:$G$151,MATCH(INDEX(FTE_Allocation!$A$2:$A$201,$AB583),Workforce!$A$2:$A$151,0))&amp;"","")))</f>
        <v/>
      </c>
      <c r="J583" s="18">
        <f>IF($Z583="","",IF(AND(DATE($AD583,1,1)&gt;=$AE583,DATE($AD583,1,1)&lt;=$AF583),ROUND($AG583,2),0))</f>
        <v/>
      </c>
      <c r="K583" s="18">
        <f>IF($Z583="","",IF(AND(DATE($AD583,2,1)&gt;=$AE583,DATE($AD583,2,1)&lt;=$AF583),ROUND($AG583,2),0))</f>
        <v/>
      </c>
      <c r="L583" s="18">
        <f>IF($Z583="","",IF(AND(DATE($AD583,3,1)&gt;=$AE583,DATE($AD583,3,1)&lt;=$AF583),ROUND($AG583,2),0))</f>
        <v/>
      </c>
      <c r="M583" s="18">
        <f>IF($Z583="","",IF(AND(DATE($AD583,4,1)&gt;=$AE583,DATE($AD583,4,1)&lt;=$AF583),ROUND($AG583,2),0))</f>
        <v/>
      </c>
      <c r="N583" s="18">
        <f>IF($Z583="","",IF(AND(DATE($AD583,5,1)&gt;=$AE583,DATE($AD583,5,1)&lt;=$AF583),ROUND($AG583,2),0))</f>
        <v/>
      </c>
      <c r="O583" s="18">
        <f>IF($Z583="","",IF(AND(DATE($AD583,6,1)&gt;=$AE583,DATE($AD583,6,1)&lt;=$AF583),ROUND($AG583,2),0))</f>
        <v/>
      </c>
      <c r="P583" s="18">
        <f>IF($Z583="","",IF(AND(DATE($AD583,7,1)&gt;=$AE583,DATE($AD583,7,1)&lt;=$AF583),ROUND($AG583,2),0))</f>
        <v/>
      </c>
      <c r="Q583" s="18">
        <f>IF($Z583="","",IF(AND(DATE($AD583,8,1)&gt;=$AE583,DATE($AD583,8,1)&lt;=$AF583),ROUND($AG583,2),0))</f>
        <v/>
      </c>
      <c r="R583" s="18">
        <f>IF($Z583="","",IF(AND(DATE($AD583,9,1)&gt;=$AE583,DATE($AD583,9,1)&lt;=$AF583),ROUND($AG583,2),0))</f>
        <v/>
      </c>
      <c r="S583" s="18">
        <f>IF($Z583="","",IF(AND(DATE($AD583,10,1)&gt;=$AE583,DATE($AD583,10,1)&lt;=$AF583),ROUND($AG583,2),0))</f>
        <v/>
      </c>
      <c r="T583" s="18">
        <f>IF($Z583="","",IF(AND(DATE($AD583,11,1)&gt;=$AE583,DATE($AD583,11,1)&lt;=$AF583),ROUND($AG583,2),0))</f>
        <v/>
      </c>
      <c r="U583" s="18">
        <f>IF($Z583="","",IF(AND(DATE($AD583,12,1)&gt;=$AE583,DATE($AD583,12,1)&lt;=$AF583),ROUND($AG583,2),0))</f>
        <v/>
      </c>
      <c r="V583" s="7">
        <f>IF($Z583="C","Generated from "&amp;INDEX(Contracts!$A$2:$A$151,$AB583),IF($Z583="A","Generated from "&amp;INDEX(Fixed_Assets!$A$2:$A$201,$AB583),IF($Z583="F","Generated from "&amp;INDEX(FTE_Allocation!$A$2:$A$201,$AB583),"")))</f>
        <v/>
      </c>
      <c r="X583" s="19">
        <f>IF($Z583="","",SUM(J583:U583))</f>
        <v/>
      </c>
      <c r="Y583" s="20">
        <f>ROW()-1</f>
        <v/>
      </c>
      <c r="Z583" s="20">
        <f>IF($Y583&lt;=Settings!$B$4*3,"C",IF($Y583&lt;=(Settings!$B$4+Settings!$B$5)*3,"A",IF($Y583&lt;=(Settings!$B$4+Settings!$B$5+Settings!$B$6)*3,"F","")))</f>
        <v/>
      </c>
      <c r="AA583" s="20">
        <f>IF($Z583="C",$Y583,IF($Z583="A",$Y583-Settings!$B$4*3,IF($Z583="F",$Y583-(Settings!$B$4+Settings!$B$5)*3,"")))</f>
        <v/>
      </c>
      <c r="AB583" s="20">
        <f>IF($Z583="","",INT(($AA583-1)/3)+1)</f>
        <v/>
      </c>
      <c r="AC583" s="20">
        <f>IF($Z583="","",MOD($AA583-1,3)+1)</f>
        <v/>
      </c>
      <c r="AD583" s="20">
        <f>IF($Z583="","",Settings!$B$2+$AC583-1)</f>
        <v/>
      </c>
      <c r="AE583" s="21">
        <f>IF($Z583="C",DATE(YEAR(INDEX(Contracts!$J$2:$J$151,$AB583)),MONTH(INDEX(Contracts!$J$2:$J$151,$AB583)),1),IF($Z583="A",DATE(YEAR(INDEX(Fixed_Assets!$G$2:$G$201,$AB583)),MONTH(INDEX(Fixed_Assets!$G$2:$G$201,$AB583)),1),IF($Z583="F",DATE(YEAR(MAX(N(INDEX(Workforce!$I$2:$I$151,MATCH(INDEX(FTE_Allocation!$A$2:$A$201,$AB583),Workforce!$A$2:$A$151,0))),N(INDEX(FTE_Allocation!$I$2:$I$201,$AB583)))),MONTH(MAX(N(INDEX(Workforce!$I$2:$I$151,MATCH(INDEX(FTE_Allocation!$A$2:$A$201,$AB583),Workforce!$A$2:$A$151,0))),N(INDEX(FTE_Allocation!$I$2:$I$201,$AB583)))),1),"")))</f>
        <v/>
      </c>
      <c r="AF583" s="21">
        <f>IF($Z583="C",IF(INDEX(Contracts!$I$2:$I$151,$AB583)="PREPAID",EDATE(DATE(YEAR(INDEX(Contracts!$J$2:$J$151,$AB583)),MONTH(INDEX(Contracts!$J$2:$J$151,$AB583)),1),IF(INDEX(Contracts!$N$2:$N$151,$AB583)="",12,INDEX(Contracts!$N$2:$N$151,$AB583))-1),IF(INDEX(Contracts!$I$2:$I$151,$AB583)="MONTHLY",IF(INDEX(Contracts!$K$2:$K$151,$AB583)="",2958101,INDEX(Contracts!$K$2:$K$151,$AB583)),0)),IF($Z583="A",EDATE(DATE(YEAR(INDEX(Fixed_Assets!$G$2:$G$201,$AB583)),MONTH(INDEX(Fixed_Assets!$G$2:$G$201,$AB583)),1),INDEX(Fixed_Assets!$J$2:$J$201,$AB583)-1),IF($Z583="F",MIN(IF(INDEX(Workforce!$J$2:$J$151,MATCH(INDEX(FTE_Allocation!$A$2:$A$201,$AB583),Workforce!$A$2:$A$151,0))="",2958101,INDEX(Workforce!$J$2:$J$151,MATCH(INDEX(FTE_Allocation!$A$2:$A$201,$AB583),Workforce!$A$2:$A$151,0))),IF(INDEX(FTE_Allocation!$J$2:$J$201,$AB583)="",2958101,INDEX(FTE_Allocation!$J$2:$J$201,$AB583))),"")))</f>
        <v/>
      </c>
      <c r="AG583" s="19">
        <f>IF($Z583="C",IF(INDEX(Contracts!$I$2:$I$151,$AB583)="PREPAID",INDEX(Contracts!$M$2:$M$151,$AB583)/IF(INDEX(Contracts!$N$2:$N$151,$AB583)="",12,INDEX(Contracts!$N$2:$N$151,$AB583)),IF(INDEX(Contracts!$I$2:$I$151,$AB583)="MONTHLY",INDEX(Contracts!$M$2:$M$151,$AB583),0))*(1-N(INDEX(Contracts!$O$2:$O$151,$AB583))),IF($Z583="A",INDEX(Fixed_Assets!$H$2:$H$201,$AB583)/INDEX(Fixed_Assets!$J$2:$J$201,$AB583),IF($Z583="F",INDEX(Workforce!$F$2:$F$151,MATCH(INDEX(FTE_Allocation!$A$2:$A$201,$AB583),Workforce!$A$2:$A$151,0))*N(INDEX(FTE_Allocation!$F$2:$H$201,$AB583,$AC583)),"")))</f>
        <v/>
      </c>
    </row>
    <row r="584">
      <c r="A584" s="7">
        <f>IF($Z584="","",$AD584)</f>
        <v/>
      </c>
      <c r="B584" s="7">
        <f>IF($Z584="C",INDEX(Contracts!$D$2:$D$151,$AB584)&amp;"",IF($Z584="A",INDEX(Fixed_Assets!$C$2:$C$201,$AB584)&amp;"",IF($Z584="F",INDEX(Workforce!$B$2:$B$151,MATCH(INDEX(FTE_Allocation!$A$2:$A$201,$AB584),Workforce!$A$2:$A$151,0))&amp;"","")))</f>
        <v/>
      </c>
      <c r="C584" s="7">
        <f>IF($Z584="C",INDEX(Contracts!$E$2:$E$151,$AB584)&amp;"",IF($Z584="A",INDEX(Fixed_Assets!$D$2:$D$201,$AB584)&amp;"",IF($Z584="F",INDEX(FTE_Allocation!$C$2:$C$201,$AB584)&amp;"","")))</f>
        <v/>
      </c>
      <c r="D584" s="7">
        <f>IF($Z584="C",INDEX(Contracts!$B$2:$B$151,$AB584)&amp;"",IF($Z584="A",INDEX(Fixed_Assets!$B$2:$B$201,$AB584)&amp;"",IF($Z584="F",INDEX(FTE_Allocation!$B$2:$B$201,$AB584)&amp;"","")))</f>
        <v/>
      </c>
      <c r="E584" s="7">
        <f>IF($Z584="C",INDEX(Contracts!$P$2:$P$151,$AB584)&amp;"",IF($Z584="A",INDEX(Fixed_Assets!$K$2:$K$201,$AB584)&amp;"",IF($Z584="F",IF(INDEX(FTE_Allocation!$D$2:$D$201,$AB584)="PROJECT",IFERROR(INDEX(Projects!$D:$D,MATCH(INDEX(FTE_Allocation!$E$2:$E$201,$AB584),Projects!$A:$A,0))&amp;"","#PROJECT?"),INDEX(FTE_Allocation!$E$2:$E$201,$AB584)&amp;""),"")))</f>
        <v/>
      </c>
      <c r="F584" s="7">
        <f>IF($Z584="C",INDEX(Contracts!$Q$2:$Q$151,$AB584)&amp;"",IF($Z584="A",INDEX(Fixed_Assets!$L$2:$L$201,$AB584)&amp;"",IF($Z584="F",INDEX(Workforce!$K$2:$K$151,MATCH(INDEX(FTE_Allocation!$A$2:$A$201,$AB584),Workforce!$A$2:$A$151,0))&amp;"","")))</f>
        <v/>
      </c>
      <c r="G584" s="7">
        <f>IF($Z584="C",INDEX(Contracts!$F$2:$F$151,$AB584)&amp;" / "&amp;INDEX(Contracts!$G$2:$G$151,$AB584),IF($Z584="A",INDEX(Fixed_Assets!$E$2:$E$201,$AB584)&amp;"",IF($Z584="F","Personnel "&amp;INDEX(FTE_Allocation!$A$2:$A$201,$AB584)&amp;IF(INDEX(FTE_Allocation!$D$2:$D$201,$AB584)="PROJECT"," ("&amp;INDEX(FTE_Allocation!$E$2:$E$201,$AB584)&amp;")",""),"")))</f>
        <v/>
      </c>
      <c r="H584" s="7">
        <f>IF($Z584="C","CONTRACT",IF($Z584="A","ASSET",IF($Z584="F","WORKFORCE","")))</f>
        <v/>
      </c>
      <c r="I584" s="7">
        <f>IF($Z584="C",INDEX(Contracts!$L$2:$L$151,$AB584)&amp;"",IF($Z584="A",INDEX(Fixed_Assets!$I$2:$I$201,$AB584)&amp;"",IF($Z584="F",INDEX(Workforce!$G$2:$G$151,MATCH(INDEX(FTE_Allocation!$A$2:$A$201,$AB584),Workforce!$A$2:$A$151,0))&amp;"","")))</f>
        <v/>
      </c>
      <c r="J584" s="18">
        <f>IF($Z584="","",IF(AND(DATE($AD584,1,1)&gt;=$AE584,DATE($AD584,1,1)&lt;=$AF584),ROUND($AG584,2),0))</f>
        <v/>
      </c>
      <c r="K584" s="18">
        <f>IF($Z584="","",IF(AND(DATE($AD584,2,1)&gt;=$AE584,DATE($AD584,2,1)&lt;=$AF584),ROUND($AG584,2),0))</f>
        <v/>
      </c>
      <c r="L584" s="18">
        <f>IF($Z584="","",IF(AND(DATE($AD584,3,1)&gt;=$AE584,DATE($AD584,3,1)&lt;=$AF584),ROUND($AG584,2),0))</f>
        <v/>
      </c>
      <c r="M584" s="18">
        <f>IF($Z584="","",IF(AND(DATE($AD584,4,1)&gt;=$AE584,DATE($AD584,4,1)&lt;=$AF584),ROUND($AG584,2),0))</f>
        <v/>
      </c>
      <c r="N584" s="18">
        <f>IF($Z584="","",IF(AND(DATE($AD584,5,1)&gt;=$AE584,DATE($AD584,5,1)&lt;=$AF584),ROUND($AG584,2),0))</f>
        <v/>
      </c>
      <c r="O584" s="18">
        <f>IF($Z584="","",IF(AND(DATE($AD584,6,1)&gt;=$AE584,DATE($AD584,6,1)&lt;=$AF584),ROUND($AG584,2),0))</f>
        <v/>
      </c>
      <c r="P584" s="18">
        <f>IF($Z584="","",IF(AND(DATE($AD584,7,1)&gt;=$AE584,DATE($AD584,7,1)&lt;=$AF584),ROUND($AG584,2),0))</f>
        <v/>
      </c>
      <c r="Q584" s="18">
        <f>IF($Z584="","",IF(AND(DATE($AD584,8,1)&gt;=$AE584,DATE($AD584,8,1)&lt;=$AF584),ROUND($AG584,2),0))</f>
        <v/>
      </c>
      <c r="R584" s="18">
        <f>IF($Z584="","",IF(AND(DATE($AD584,9,1)&gt;=$AE584,DATE($AD584,9,1)&lt;=$AF584),ROUND($AG584,2),0))</f>
        <v/>
      </c>
      <c r="S584" s="18">
        <f>IF($Z584="","",IF(AND(DATE($AD584,10,1)&gt;=$AE584,DATE($AD584,10,1)&lt;=$AF584),ROUND($AG584,2),0))</f>
        <v/>
      </c>
      <c r="T584" s="18">
        <f>IF($Z584="","",IF(AND(DATE($AD584,11,1)&gt;=$AE584,DATE($AD584,11,1)&lt;=$AF584),ROUND($AG584,2),0))</f>
        <v/>
      </c>
      <c r="U584" s="18">
        <f>IF($Z584="","",IF(AND(DATE($AD584,12,1)&gt;=$AE584,DATE($AD584,12,1)&lt;=$AF584),ROUND($AG584,2),0))</f>
        <v/>
      </c>
      <c r="V584" s="7">
        <f>IF($Z584="C","Generated from "&amp;INDEX(Contracts!$A$2:$A$151,$AB584),IF($Z584="A","Generated from "&amp;INDEX(Fixed_Assets!$A$2:$A$201,$AB584),IF($Z584="F","Generated from "&amp;INDEX(FTE_Allocation!$A$2:$A$201,$AB584),"")))</f>
        <v/>
      </c>
      <c r="X584" s="19">
        <f>IF($Z584="","",SUM(J584:U584))</f>
        <v/>
      </c>
      <c r="Y584" s="20">
        <f>ROW()-1</f>
        <v/>
      </c>
      <c r="Z584" s="20">
        <f>IF($Y584&lt;=Settings!$B$4*3,"C",IF($Y584&lt;=(Settings!$B$4+Settings!$B$5)*3,"A",IF($Y584&lt;=(Settings!$B$4+Settings!$B$5+Settings!$B$6)*3,"F","")))</f>
        <v/>
      </c>
      <c r="AA584" s="20">
        <f>IF($Z584="C",$Y584,IF($Z584="A",$Y584-Settings!$B$4*3,IF($Z584="F",$Y584-(Settings!$B$4+Settings!$B$5)*3,"")))</f>
        <v/>
      </c>
      <c r="AB584" s="20">
        <f>IF($Z584="","",INT(($AA584-1)/3)+1)</f>
        <v/>
      </c>
      <c r="AC584" s="20">
        <f>IF($Z584="","",MOD($AA584-1,3)+1)</f>
        <v/>
      </c>
      <c r="AD584" s="20">
        <f>IF($Z584="","",Settings!$B$2+$AC584-1)</f>
        <v/>
      </c>
      <c r="AE584" s="21">
        <f>IF($Z584="C",DATE(YEAR(INDEX(Contracts!$J$2:$J$151,$AB584)),MONTH(INDEX(Contracts!$J$2:$J$151,$AB584)),1),IF($Z584="A",DATE(YEAR(INDEX(Fixed_Assets!$G$2:$G$201,$AB584)),MONTH(INDEX(Fixed_Assets!$G$2:$G$201,$AB584)),1),IF($Z584="F",DATE(YEAR(MAX(N(INDEX(Workforce!$I$2:$I$151,MATCH(INDEX(FTE_Allocation!$A$2:$A$201,$AB584),Workforce!$A$2:$A$151,0))),N(INDEX(FTE_Allocation!$I$2:$I$201,$AB584)))),MONTH(MAX(N(INDEX(Workforce!$I$2:$I$151,MATCH(INDEX(FTE_Allocation!$A$2:$A$201,$AB584),Workforce!$A$2:$A$151,0))),N(INDEX(FTE_Allocation!$I$2:$I$201,$AB584)))),1),"")))</f>
        <v/>
      </c>
      <c r="AF584" s="21">
        <f>IF($Z584="C",IF(INDEX(Contracts!$I$2:$I$151,$AB584)="PREPAID",EDATE(DATE(YEAR(INDEX(Contracts!$J$2:$J$151,$AB584)),MONTH(INDEX(Contracts!$J$2:$J$151,$AB584)),1),IF(INDEX(Contracts!$N$2:$N$151,$AB584)="",12,INDEX(Contracts!$N$2:$N$151,$AB584))-1),IF(INDEX(Contracts!$I$2:$I$151,$AB584)="MONTHLY",IF(INDEX(Contracts!$K$2:$K$151,$AB584)="",2958101,INDEX(Contracts!$K$2:$K$151,$AB584)),0)),IF($Z584="A",EDATE(DATE(YEAR(INDEX(Fixed_Assets!$G$2:$G$201,$AB584)),MONTH(INDEX(Fixed_Assets!$G$2:$G$201,$AB584)),1),INDEX(Fixed_Assets!$J$2:$J$201,$AB584)-1),IF($Z584="F",MIN(IF(INDEX(Workforce!$J$2:$J$151,MATCH(INDEX(FTE_Allocation!$A$2:$A$201,$AB584),Workforce!$A$2:$A$151,0))="",2958101,INDEX(Workforce!$J$2:$J$151,MATCH(INDEX(FTE_Allocation!$A$2:$A$201,$AB584),Workforce!$A$2:$A$151,0))),IF(INDEX(FTE_Allocation!$J$2:$J$201,$AB584)="",2958101,INDEX(FTE_Allocation!$J$2:$J$201,$AB584))),"")))</f>
        <v/>
      </c>
      <c r="AG584" s="19">
        <f>IF($Z584="C",IF(INDEX(Contracts!$I$2:$I$151,$AB584)="PREPAID",INDEX(Contracts!$M$2:$M$151,$AB584)/IF(INDEX(Contracts!$N$2:$N$151,$AB584)="",12,INDEX(Contracts!$N$2:$N$151,$AB584)),IF(INDEX(Contracts!$I$2:$I$151,$AB584)="MONTHLY",INDEX(Contracts!$M$2:$M$151,$AB584),0))*(1-N(INDEX(Contracts!$O$2:$O$151,$AB584))),IF($Z584="A",INDEX(Fixed_Assets!$H$2:$H$201,$AB584)/INDEX(Fixed_Assets!$J$2:$J$201,$AB584),IF($Z584="F",INDEX(Workforce!$F$2:$F$151,MATCH(INDEX(FTE_Allocation!$A$2:$A$201,$AB584),Workforce!$A$2:$A$151,0))*N(INDEX(FTE_Allocation!$F$2:$H$201,$AB584,$AC584)),"")))</f>
        <v/>
      </c>
    </row>
    <row r="585">
      <c r="A585" s="7">
        <f>IF($Z585="","",$AD585)</f>
        <v/>
      </c>
      <c r="B585" s="7">
        <f>IF($Z585="C",INDEX(Contracts!$D$2:$D$151,$AB585)&amp;"",IF($Z585="A",INDEX(Fixed_Assets!$C$2:$C$201,$AB585)&amp;"",IF($Z585="F",INDEX(Workforce!$B$2:$B$151,MATCH(INDEX(FTE_Allocation!$A$2:$A$201,$AB585),Workforce!$A$2:$A$151,0))&amp;"","")))</f>
        <v/>
      </c>
      <c r="C585" s="7">
        <f>IF($Z585="C",INDEX(Contracts!$E$2:$E$151,$AB585)&amp;"",IF($Z585="A",INDEX(Fixed_Assets!$D$2:$D$201,$AB585)&amp;"",IF($Z585="F",INDEX(FTE_Allocation!$C$2:$C$201,$AB585)&amp;"","")))</f>
        <v/>
      </c>
      <c r="D585" s="7">
        <f>IF($Z585="C",INDEX(Contracts!$B$2:$B$151,$AB585)&amp;"",IF($Z585="A",INDEX(Fixed_Assets!$B$2:$B$201,$AB585)&amp;"",IF($Z585="F",INDEX(FTE_Allocation!$B$2:$B$201,$AB585)&amp;"","")))</f>
        <v/>
      </c>
      <c r="E585" s="7">
        <f>IF($Z585="C",INDEX(Contracts!$P$2:$P$151,$AB585)&amp;"",IF($Z585="A",INDEX(Fixed_Assets!$K$2:$K$201,$AB585)&amp;"",IF($Z585="F",IF(INDEX(FTE_Allocation!$D$2:$D$201,$AB585)="PROJECT",IFERROR(INDEX(Projects!$D:$D,MATCH(INDEX(FTE_Allocation!$E$2:$E$201,$AB585),Projects!$A:$A,0))&amp;"","#PROJECT?"),INDEX(FTE_Allocation!$E$2:$E$201,$AB585)&amp;""),"")))</f>
        <v/>
      </c>
      <c r="F585" s="7">
        <f>IF($Z585="C",INDEX(Contracts!$Q$2:$Q$151,$AB585)&amp;"",IF($Z585="A",INDEX(Fixed_Assets!$L$2:$L$201,$AB585)&amp;"",IF($Z585="F",INDEX(Workforce!$K$2:$K$151,MATCH(INDEX(FTE_Allocation!$A$2:$A$201,$AB585),Workforce!$A$2:$A$151,0))&amp;"","")))</f>
        <v/>
      </c>
      <c r="G585" s="7">
        <f>IF($Z585="C",INDEX(Contracts!$F$2:$F$151,$AB585)&amp;" / "&amp;INDEX(Contracts!$G$2:$G$151,$AB585),IF($Z585="A",INDEX(Fixed_Assets!$E$2:$E$201,$AB585)&amp;"",IF($Z585="F","Personnel "&amp;INDEX(FTE_Allocation!$A$2:$A$201,$AB585)&amp;IF(INDEX(FTE_Allocation!$D$2:$D$201,$AB585)="PROJECT"," ("&amp;INDEX(FTE_Allocation!$E$2:$E$201,$AB585)&amp;")",""),"")))</f>
        <v/>
      </c>
      <c r="H585" s="7">
        <f>IF($Z585="C","CONTRACT",IF($Z585="A","ASSET",IF($Z585="F","WORKFORCE","")))</f>
        <v/>
      </c>
      <c r="I585" s="7">
        <f>IF($Z585="C",INDEX(Contracts!$L$2:$L$151,$AB585)&amp;"",IF($Z585="A",INDEX(Fixed_Assets!$I$2:$I$201,$AB585)&amp;"",IF($Z585="F",INDEX(Workforce!$G$2:$G$151,MATCH(INDEX(FTE_Allocation!$A$2:$A$201,$AB585),Workforce!$A$2:$A$151,0))&amp;"","")))</f>
        <v/>
      </c>
      <c r="J585" s="18">
        <f>IF($Z585="","",IF(AND(DATE($AD585,1,1)&gt;=$AE585,DATE($AD585,1,1)&lt;=$AF585),ROUND($AG585,2),0))</f>
        <v/>
      </c>
      <c r="K585" s="18">
        <f>IF($Z585="","",IF(AND(DATE($AD585,2,1)&gt;=$AE585,DATE($AD585,2,1)&lt;=$AF585),ROUND($AG585,2),0))</f>
        <v/>
      </c>
      <c r="L585" s="18">
        <f>IF($Z585="","",IF(AND(DATE($AD585,3,1)&gt;=$AE585,DATE($AD585,3,1)&lt;=$AF585),ROUND($AG585,2),0))</f>
        <v/>
      </c>
      <c r="M585" s="18">
        <f>IF($Z585="","",IF(AND(DATE($AD585,4,1)&gt;=$AE585,DATE($AD585,4,1)&lt;=$AF585),ROUND($AG585,2),0))</f>
        <v/>
      </c>
      <c r="N585" s="18">
        <f>IF($Z585="","",IF(AND(DATE($AD585,5,1)&gt;=$AE585,DATE($AD585,5,1)&lt;=$AF585),ROUND($AG585,2),0))</f>
        <v/>
      </c>
      <c r="O585" s="18">
        <f>IF($Z585="","",IF(AND(DATE($AD585,6,1)&gt;=$AE585,DATE($AD585,6,1)&lt;=$AF585),ROUND($AG585,2),0))</f>
        <v/>
      </c>
      <c r="P585" s="18">
        <f>IF($Z585="","",IF(AND(DATE($AD585,7,1)&gt;=$AE585,DATE($AD585,7,1)&lt;=$AF585),ROUND($AG585,2),0))</f>
        <v/>
      </c>
      <c r="Q585" s="18">
        <f>IF($Z585="","",IF(AND(DATE($AD585,8,1)&gt;=$AE585,DATE($AD585,8,1)&lt;=$AF585),ROUND($AG585,2),0))</f>
        <v/>
      </c>
      <c r="R585" s="18">
        <f>IF($Z585="","",IF(AND(DATE($AD585,9,1)&gt;=$AE585,DATE($AD585,9,1)&lt;=$AF585),ROUND($AG585,2),0))</f>
        <v/>
      </c>
      <c r="S585" s="18">
        <f>IF($Z585="","",IF(AND(DATE($AD585,10,1)&gt;=$AE585,DATE($AD585,10,1)&lt;=$AF585),ROUND($AG585,2),0))</f>
        <v/>
      </c>
      <c r="T585" s="18">
        <f>IF($Z585="","",IF(AND(DATE($AD585,11,1)&gt;=$AE585,DATE($AD585,11,1)&lt;=$AF585),ROUND($AG585,2),0))</f>
        <v/>
      </c>
      <c r="U585" s="18">
        <f>IF($Z585="","",IF(AND(DATE($AD585,12,1)&gt;=$AE585,DATE($AD585,12,1)&lt;=$AF585),ROUND($AG585,2),0))</f>
        <v/>
      </c>
      <c r="V585" s="7">
        <f>IF($Z585="C","Generated from "&amp;INDEX(Contracts!$A$2:$A$151,$AB585),IF($Z585="A","Generated from "&amp;INDEX(Fixed_Assets!$A$2:$A$201,$AB585),IF($Z585="F","Generated from "&amp;INDEX(FTE_Allocation!$A$2:$A$201,$AB585),"")))</f>
        <v/>
      </c>
      <c r="X585" s="19">
        <f>IF($Z585="","",SUM(J585:U585))</f>
        <v/>
      </c>
      <c r="Y585" s="20">
        <f>ROW()-1</f>
        <v/>
      </c>
      <c r="Z585" s="20">
        <f>IF($Y585&lt;=Settings!$B$4*3,"C",IF($Y585&lt;=(Settings!$B$4+Settings!$B$5)*3,"A",IF($Y585&lt;=(Settings!$B$4+Settings!$B$5+Settings!$B$6)*3,"F","")))</f>
        <v/>
      </c>
      <c r="AA585" s="20">
        <f>IF($Z585="C",$Y585,IF($Z585="A",$Y585-Settings!$B$4*3,IF($Z585="F",$Y585-(Settings!$B$4+Settings!$B$5)*3,"")))</f>
        <v/>
      </c>
      <c r="AB585" s="20">
        <f>IF($Z585="","",INT(($AA585-1)/3)+1)</f>
        <v/>
      </c>
      <c r="AC585" s="20">
        <f>IF($Z585="","",MOD($AA585-1,3)+1)</f>
        <v/>
      </c>
      <c r="AD585" s="20">
        <f>IF($Z585="","",Settings!$B$2+$AC585-1)</f>
        <v/>
      </c>
      <c r="AE585" s="21">
        <f>IF($Z585="C",DATE(YEAR(INDEX(Contracts!$J$2:$J$151,$AB585)),MONTH(INDEX(Contracts!$J$2:$J$151,$AB585)),1),IF($Z585="A",DATE(YEAR(INDEX(Fixed_Assets!$G$2:$G$201,$AB585)),MONTH(INDEX(Fixed_Assets!$G$2:$G$201,$AB585)),1),IF($Z585="F",DATE(YEAR(MAX(N(INDEX(Workforce!$I$2:$I$151,MATCH(INDEX(FTE_Allocation!$A$2:$A$201,$AB585),Workforce!$A$2:$A$151,0))),N(INDEX(FTE_Allocation!$I$2:$I$201,$AB585)))),MONTH(MAX(N(INDEX(Workforce!$I$2:$I$151,MATCH(INDEX(FTE_Allocation!$A$2:$A$201,$AB585),Workforce!$A$2:$A$151,0))),N(INDEX(FTE_Allocation!$I$2:$I$201,$AB585)))),1),"")))</f>
        <v/>
      </c>
      <c r="AF585" s="21">
        <f>IF($Z585="C",IF(INDEX(Contracts!$I$2:$I$151,$AB585)="PREPAID",EDATE(DATE(YEAR(INDEX(Contracts!$J$2:$J$151,$AB585)),MONTH(INDEX(Contracts!$J$2:$J$151,$AB585)),1),IF(INDEX(Contracts!$N$2:$N$151,$AB585)="",12,INDEX(Contracts!$N$2:$N$151,$AB585))-1),IF(INDEX(Contracts!$I$2:$I$151,$AB585)="MONTHLY",IF(INDEX(Contracts!$K$2:$K$151,$AB585)="",2958101,INDEX(Contracts!$K$2:$K$151,$AB585)),0)),IF($Z585="A",EDATE(DATE(YEAR(INDEX(Fixed_Assets!$G$2:$G$201,$AB585)),MONTH(INDEX(Fixed_Assets!$G$2:$G$201,$AB585)),1),INDEX(Fixed_Assets!$J$2:$J$201,$AB585)-1),IF($Z585="F",MIN(IF(INDEX(Workforce!$J$2:$J$151,MATCH(INDEX(FTE_Allocation!$A$2:$A$201,$AB585),Workforce!$A$2:$A$151,0))="",2958101,INDEX(Workforce!$J$2:$J$151,MATCH(INDEX(FTE_Allocation!$A$2:$A$201,$AB585),Workforce!$A$2:$A$151,0))),IF(INDEX(FTE_Allocation!$J$2:$J$201,$AB585)="",2958101,INDEX(FTE_Allocation!$J$2:$J$201,$AB585))),"")))</f>
        <v/>
      </c>
      <c r="AG585" s="19">
        <f>IF($Z585="C",IF(INDEX(Contracts!$I$2:$I$151,$AB585)="PREPAID",INDEX(Contracts!$M$2:$M$151,$AB585)/IF(INDEX(Contracts!$N$2:$N$151,$AB585)="",12,INDEX(Contracts!$N$2:$N$151,$AB585)),IF(INDEX(Contracts!$I$2:$I$151,$AB585)="MONTHLY",INDEX(Contracts!$M$2:$M$151,$AB585),0))*(1-N(INDEX(Contracts!$O$2:$O$151,$AB585))),IF($Z585="A",INDEX(Fixed_Assets!$H$2:$H$201,$AB585)/INDEX(Fixed_Assets!$J$2:$J$201,$AB585),IF($Z585="F",INDEX(Workforce!$F$2:$F$151,MATCH(INDEX(FTE_Allocation!$A$2:$A$201,$AB585),Workforce!$A$2:$A$151,0))*N(INDEX(FTE_Allocation!$F$2:$H$201,$AB585,$AC585)),"")))</f>
        <v/>
      </c>
    </row>
    <row r="586">
      <c r="A586" s="7">
        <f>IF($Z586="","",$AD586)</f>
        <v/>
      </c>
      <c r="B586" s="7">
        <f>IF($Z586="C",INDEX(Contracts!$D$2:$D$151,$AB586)&amp;"",IF($Z586="A",INDEX(Fixed_Assets!$C$2:$C$201,$AB586)&amp;"",IF($Z586="F",INDEX(Workforce!$B$2:$B$151,MATCH(INDEX(FTE_Allocation!$A$2:$A$201,$AB586),Workforce!$A$2:$A$151,0))&amp;"","")))</f>
        <v/>
      </c>
      <c r="C586" s="7">
        <f>IF($Z586="C",INDEX(Contracts!$E$2:$E$151,$AB586)&amp;"",IF($Z586="A",INDEX(Fixed_Assets!$D$2:$D$201,$AB586)&amp;"",IF($Z586="F",INDEX(FTE_Allocation!$C$2:$C$201,$AB586)&amp;"","")))</f>
        <v/>
      </c>
      <c r="D586" s="7">
        <f>IF($Z586="C",INDEX(Contracts!$B$2:$B$151,$AB586)&amp;"",IF($Z586="A",INDEX(Fixed_Assets!$B$2:$B$201,$AB586)&amp;"",IF($Z586="F",INDEX(FTE_Allocation!$B$2:$B$201,$AB586)&amp;"","")))</f>
        <v/>
      </c>
      <c r="E586" s="7">
        <f>IF($Z586="C",INDEX(Contracts!$P$2:$P$151,$AB586)&amp;"",IF($Z586="A",INDEX(Fixed_Assets!$K$2:$K$201,$AB586)&amp;"",IF($Z586="F",IF(INDEX(FTE_Allocation!$D$2:$D$201,$AB586)="PROJECT",IFERROR(INDEX(Projects!$D:$D,MATCH(INDEX(FTE_Allocation!$E$2:$E$201,$AB586),Projects!$A:$A,0))&amp;"","#PROJECT?"),INDEX(FTE_Allocation!$E$2:$E$201,$AB586)&amp;""),"")))</f>
        <v/>
      </c>
      <c r="F586" s="7">
        <f>IF($Z586="C",INDEX(Contracts!$Q$2:$Q$151,$AB586)&amp;"",IF($Z586="A",INDEX(Fixed_Assets!$L$2:$L$201,$AB586)&amp;"",IF($Z586="F",INDEX(Workforce!$K$2:$K$151,MATCH(INDEX(FTE_Allocation!$A$2:$A$201,$AB586),Workforce!$A$2:$A$151,0))&amp;"","")))</f>
        <v/>
      </c>
      <c r="G586" s="7">
        <f>IF($Z586="C",INDEX(Contracts!$F$2:$F$151,$AB586)&amp;" / "&amp;INDEX(Contracts!$G$2:$G$151,$AB586),IF($Z586="A",INDEX(Fixed_Assets!$E$2:$E$201,$AB586)&amp;"",IF($Z586="F","Personnel "&amp;INDEX(FTE_Allocation!$A$2:$A$201,$AB586)&amp;IF(INDEX(FTE_Allocation!$D$2:$D$201,$AB586)="PROJECT"," ("&amp;INDEX(FTE_Allocation!$E$2:$E$201,$AB586)&amp;")",""),"")))</f>
        <v/>
      </c>
      <c r="H586" s="7">
        <f>IF($Z586="C","CONTRACT",IF($Z586="A","ASSET",IF($Z586="F","WORKFORCE","")))</f>
        <v/>
      </c>
      <c r="I586" s="7">
        <f>IF($Z586="C",INDEX(Contracts!$L$2:$L$151,$AB586)&amp;"",IF($Z586="A",INDEX(Fixed_Assets!$I$2:$I$201,$AB586)&amp;"",IF($Z586="F",INDEX(Workforce!$G$2:$G$151,MATCH(INDEX(FTE_Allocation!$A$2:$A$201,$AB586),Workforce!$A$2:$A$151,0))&amp;"","")))</f>
        <v/>
      </c>
      <c r="J586" s="18">
        <f>IF($Z586="","",IF(AND(DATE($AD586,1,1)&gt;=$AE586,DATE($AD586,1,1)&lt;=$AF586),ROUND($AG586,2),0))</f>
        <v/>
      </c>
      <c r="K586" s="18">
        <f>IF($Z586="","",IF(AND(DATE($AD586,2,1)&gt;=$AE586,DATE($AD586,2,1)&lt;=$AF586),ROUND($AG586,2),0))</f>
        <v/>
      </c>
      <c r="L586" s="18">
        <f>IF($Z586="","",IF(AND(DATE($AD586,3,1)&gt;=$AE586,DATE($AD586,3,1)&lt;=$AF586),ROUND($AG586,2),0))</f>
        <v/>
      </c>
      <c r="M586" s="18">
        <f>IF($Z586="","",IF(AND(DATE($AD586,4,1)&gt;=$AE586,DATE($AD586,4,1)&lt;=$AF586),ROUND($AG586,2),0))</f>
        <v/>
      </c>
      <c r="N586" s="18">
        <f>IF($Z586="","",IF(AND(DATE($AD586,5,1)&gt;=$AE586,DATE($AD586,5,1)&lt;=$AF586),ROUND($AG586,2),0))</f>
        <v/>
      </c>
      <c r="O586" s="18">
        <f>IF($Z586="","",IF(AND(DATE($AD586,6,1)&gt;=$AE586,DATE($AD586,6,1)&lt;=$AF586),ROUND($AG586,2),0))</f>
        <v/>
      </c>
      <c r="P586" s="18">
        <f>IF($Z586="","",IF(AND(DATE($AD586,7,1)&gt;=$AE586,DATE($AD586,7,1)&lt;=$AF586),ROUND($AG586,2),0))</f>
        <v/>
      </c>
      <c r="Q586" s="18">
        <f>IF($Z586="","",IF(AND(DATE($AD586,8,1)&gt;=$AE586,DATE($AD586,8,1)&lt;=$AF586),ROUND($AG586,2),0))</f>
        <v/>
      </c>
      <c r="R586" s="18">
        <f>IF($Z586="","",IF(AND(DATE($AD586,9,1)&gt;=$AE586,DATE($AD586,9,1)&lt;=$AF586),ROUND($AG586,2),0))</f>
        <v/>
      </c>
      <c r="S586" s="18">
        <f>IF($Z586="","",IF(AND(DATE($AD586,10,1)&gt;=$AE586,DATE($AD586,10,1)&lt;=$AF586),ROUND($AG586,2),0))</f>
        <v/>
      </c>
      <c r="T586" s="18">
        <f>IF($Z586="","",IF(AND(DATE($AD586,11,1)&gt;=$AE586,DATE($AD586,11,1)&lt;=$AF586),ROUND($AG586,2),0))</f>
        <v/>
      </c>
      <c r="U586" s="18">
        <f>IF($Z586="","",IF(AND(DATE($AD586,12,1)&gt;=$AE586,DATE($AD586,12,1)&lt;=$AF586),ROUND($AG586,2),0))</f>
        <v/>
      </c>
      <c r="V586" s="7">
        <f>IF($Z586="C","Generated from "&amp;INDEX(Contracts!$A$2:$A$151,$AB586),IF($Z586="A","Generated from "&amp;INDEX(Fixed_Assets!$A$2:$A$201,$AB586),IF($Z586="F","Generated from "&amp;INDEX(FTE_Allocation!$A$2:$A$201,$AB586),"")))</f>
        <v/>
      </c>
      <c r="X586" s="19">
        <f>IF($Z586="","",SUM(J586:U586))</f>
        <v/>
      </c>
      <c r="Y586" s="20">
        <f>ROW()-1</f>
        <v/>
      </c>
      <c r="Z586" s="20">
        <f>IF($Y586&lt;=Settings!$B$4*3,"C",IF($Y586&lt;=(Settings!$B$4+Settings!$B$5)*3,"A",IF($Y586&lt;=(Settings!$B$4+Settings!$B$5+Settings!$B$6)*3,"F","")))</f>
        <v/>
      </c>
      <c r="AA586" s="20">
        <f>IF($Z586="C",$Y586,IF($Z586="A",$Y586-Settings!$B$4*3,IF($Z586="F",$Y586-(Settings!$B$4+Settings!$B$5)*3,"")))</f>
        <v/>
      </c>
      <c r="AB586" s="20">
        <f>IF($Z586="","",INT(($AA586-1)/3)+1)</f>
        <v/>
      </c>
      <c r="AC586" s="20">
        <f>IF($Z586="","",MOD($AA586-1,3)+1)</f>
        <v/>
      </c>
      <c r="AD586" s="20">
        <f>IF($Z586="","",Settings!$B$2+$AC586-1)</f>
        <v/>
      </c>
      <c r="AE586" s="21">
        <f>IF($Z586="C",DATE(YEAR(INDEX(Contracts!$J$2:$J$151,$AB586)),MONTH(INDEX(Contracts!$J$2:$J$151,$AB586)),1),IF($Z586="A",DATE(YEAR(INDEX(Fixed_Assets!$G$2:$G$201,$AB586)),MONTH(INDEX(Fixed_Assets!$G$2:$G$201,$AB586)),1),IF($Z586="F",DATE(YEAR(MAX(N(INDEX(Workforce!$I$2:$I$151,MATCH(INDEX(FTE_Allocation!$A$2:$A$201,$AB586),Workforce!$A$2:$A$151,0))),N(INDEX(FTE_Allocation!$I$2:$I$201,$AB586)))),MONTH(MAX(N(INDEX(Workforce!$I$2:$I$151,MATCH(INDEX(FTE_Allocation!$A$2:$A$201,$AB586),Workforce!$A$2:$A$151,0))),N(INDEX(FTE_Allocation!$I$2:$I$201,$AB586)))),1),"")))</f>
        <v/>
      </c>
      <c r="AF586" s="21">
        <f>IF($Z586="C",IF(INDEX(Contracts!$I$2:$I$151,$AB586)="PREPAID",EDATE(DATE(YEAR(INDEX(Contracts!$J$2:$J$151,$AB586)),MONTH(INDEX(Contracts!$J$2:$J$151,$AB586)),1),IF(INDEX(Contracts!$N$2:$N$151,$AB586)="",12,INDEX(Contracts!$N$2:$N$151,$AB586))-1),IF(INDEX(Contracts!$I$2:$I$151,$AB586)="MONTHLY",IF(INDEX(Contracts!$K$2:$K$151,$AB586)="",2958101,INDEX(Contracts!$K$2:$K$151,$AB586)),0)),IF($Z586="A",EDATE(DATE(YEAR(INDEX(Fixed_Assets!$G$2:$G$201,$AB586)),MONTH(INDEX(Fixed_Assets!$G$2:$G$201,$AB586)),1),INDEX(Fixed_Assets!$J$2:$J$201,$AB586)-1),IF($Z586="F",MIN(IF(INDEX(Workforce!$J$2:$J$151,MATCH(INDEX(FTE_Allocation!$A$2:$A$201,$AB586),Workforce!$A$2:$A$151,0))="",2958101,INDEX(Workforce!$J$2:$J$151,MATCH(INDEX(FTE_Allocation!$A$2:$A$201,$AB586),Workforce!$A$2:$A$151,0))),IF(INDEX(FTE_Allocation!$J$2:$J$201,$AB586)="",2958101,INDEX(FTE_Allocation!$J$2:$J$201,$AB586))),"")))</f>
        <v/>
      </c>
      <c r="AG586" s="19">
        <f>IF($Z586="C",IF(INDEX(Contracts!$I$2:$I$151,$AB586)="PREPAID",INDEX(Contracts!$M$2:$M$151,$AB586)/IF(INDEX(Contracts!$N$2:$N$151,$AB586)="",12,INDEX(Contracts!$N$2:$N$151,$AB586)),IF(INDEX(Contracts!$I$2:$I$151,$AB586)="MONTHLY",INDEX(Contracts!$M$2:$M$151,$AB586),0))*(1-N(INDEX(Contracts!$O$2:$O$151,$AB586))),IF($Z586="A",INDEX(Fixed_Assets!$H$2:$H$201,$AB586)/INDEX(Fixed_Assets!$J$2:$J$201,$AB586),IF($Z586="F",INDEX(Workforce!$F$2:$F$151,MATCH(INDEX(FTE_Allocation!$A$2:$A$201,$AB586),Workforce!$A$2:$A$151,0))*N(INDEX(FTE_Allocation!$F$2:$H$201,$AB586,$AC586)),"")))</f>
        <v/>
      </c>
    </row>
    <row r="587">
      <c r="A587" s="7">
        <f>IF($Z587="","",$AD587)</f>
        <v/>
      </c>
      <c r="B587" s="7">
        <f>IF($Z587="C",INDEX(Contracts!$D$2:$D$151,$AB587)&amp;"",IF($Z587="A",INDEX(Fixed_Assets!$C$2:$C$201,$AB587)&amp;"",IF($Z587="F",INDEX(Workforce!$B$2:$B$151,MATCH(INDEX(FTE_Allocation!$A$2:$A$201,$AB587),Workforce!$A$2:$A$151,0))&amp;"","")))</f>
        <v/>
      </c>
      <c r="C587" s="7">
        <f>IF($Z587="C",INDEX(Contracts!$E$2:$E$151,$AB587)&amp;"",IF($Z587="A",INDEX(Fixed_Assets!$D$2:$D$201,$AB587)&amp;"",IF($Z587="F",INDEX(FTE_Allocation!$C$2:$C$201,$AB587)&amp;"","")))</f>
        <v/>
      </c>
      <c r="D587" s="7">
        <f>IF($Z587="C",INDEX(Contracts!$B$2:$B$151,$AB587)&amp;"",IF($Z587="A",INDEX(Fixed_Assets!$B$2:$B$201,$AB587)&amp;"",IF($Z587="F",INDEX(FTE_Allocation!$B$2:$B$201,$AB587)&amp;"","")))</f>
        <v/>
      </c>
      <c r="E587" s="7">
        <f>IF($Z587="C",INDEX(Contracts!$P$2:$P$151,$AB587)&amp;"",IF($Z587="A",INDEX(Fixed_Assets!$K$2:$K$201,$AB587)&amp;"",IF($Z587="F",IF(INDEX(FTE_Allocation!$D$2:$D$201,$AB587)="PROJECT",IFERROR(INDEX(Projects!$D:$D,MATCH(INDEX(FTE_Allocation!$E$2:$E$201,$AB587),Projects!$A:$A,0))&amp;"","#PROJECT?"),INDEX(FTE_Allocation!$E$2:$E$201,$AB587)&amp;""),"")))</f>
        <v/>
      </c>
      <c r="F587" s="7">
        <f>IF($Z587="C",INDEX(Contracts!$Q$2:$Q$151,$AB587)&amp;"",IF($Z587="A",INDEX(Fixed_Assets!$L$2:$L$201,$AB587)&amp;"",IF($Z587="F",INDEX(Workforce!$K$2:$K$151,MATCH(INDEX(FTE_Allocation!$A$2:$A$201,$AB587),Workforce!$A$2:$A$151,0))&amp;"","")))</f>
        <v/>
      </c>
      <c r="G587" s="7">
        <f>IF($Z587="C",INDEX(Contracts!$F$2:$F$151,$AB587)&amp;" / "&amp;INDEX(Contracts!$G$2:$G$151,$AB587),IF($Z587="A",INDEX(Fixed_Assets!$E$2:$E$201,$AB587)&amp;"",IF($Z587="F","Personnel "&amp;INDEX(FTE_Allocation!$A$2:$A$201,$AB587)&amp;IF(INDEX(FTE_Allocation!$D$2:$D$201,$AB587)="PROJECT"," ("&amp;INDEX(FTE_Allocation!$E$2:$E$201,$AB587)&amp;")",""),"")))</f>
        <v/>
      </c>
      <c r="H587" s="7">
        <f>IF($Z587="C","CONTRACT",IF($Z587="A","ASSET",IF($Z587="F","WORKFORCE","")))</f>
        <v/>
      </c>
      <c r="I587" s="7">
        <f>IF($Z587="C",INDEX(Contracts!$L$2:$L$151,$AB587)&amp;"",IF($Z587="A",INDEX(Fixed_Assets!$I$2:$I$201,$AB587)&amp;"",IF($Z587="F",INDEX(Workforce!$G$2:$G$151,MATCH(INDEX(FTE_Allocation!$A$2:$A$201,$AB587),Workforce!$A$2:$A$151,0))&amp;"","")))</f>
        <v/>
      </c>
      <c r="J587" s="18">
        <f>IF($Z587="","",IF(AND(DATE($AD587,1,1)&gt;=$AE587,DATE($AD587,1,1)&lt;=$AF587),ROUND($AG587,2),0))</f>
        <v/>
      </c>
      <c r="K587" s="18">
        <f>IF($Z587="","",IF(AND(DATE($AD587,2,1)&gt;=$AE587,DATE($AD587,2,1)&lt;=$AF587),ROUND($AG587,2),0))</f>
        <v/>
      </c>
      <c r="L587" s="18">
        <f>IF($Z587="","",IF(AND(DATE($AD587,3,1)&gt;=$AE587,DATE($AD587,3,1)&lt;=$AF587),ROUND($AG587,2),0))</f>
        <v/>
      </c>
      <c r="M587" s="18">
        <f>IF($Z587="","",IF(AND(DATE($AD587,4,1)&gt;=$AE587,DATE($AD587,4,1)&lt;=$AF587),ROUND($AG587,2),0))</f>
        <v/>
      </c>
      <c r="N587" s="18">
        <f>IF($Z587="","",IF(AND(DATE($AD587,5,1)&gt;=$AE587,DATE($AD587,5,1)&lt;=$AF587),ROUND($AG587,2),0))</f>
        <v/>
      </c>
      <c r="O587" s="18">
        <f>IF($Z587="","",IF(AND(DATE($AD587,6,1)&gt;=$AE587,DATE($AD587,6,1)&lt;=$AF587),ROUND($AG587,2),0))</f>
        <v/>
      </c>
      <c r="P587" s="18">
        <f>IF($Z587="","",IF(AND(DATE($AD587,7,1)&gt;=$AE587,DATE($AD587,7,1)&lt;=$AF587),ROUND($AG587,2),0))</f>
        <v/>
      </c>
      <c r="Q587" s="18">
        <f>IF($Z587="","",IF(AND(DATE($AD587,8,1)&gt;=$AE587,DATE($AD587,8,1)&lt;=$AF587),ROUND($AG587,2),0))</f>
        <v/>
      </c>
      <c r="R587" s="18">
        <f>IF($Z587="","",IF(AND(DATE($AD587,9,1)&gt;=$AE587,DATE($AD587,9,1)&lt;=$AF587),ROUND($AG587,2),0))</f>
        <v/>
      </c>
      <c r="S587" s="18">
        <f>IF($Z587="","",IF(AND(DATE($AD587,10,1)&gt;=$AE587,DATE($AD587,10,1)&lt;=$AF587),ROUND($AG587,2),0))</f>
        <v/>
      </c>
      <c r="T587" s="18">
        <f>IF($Z587="","",IF(AND(DATE($AD587,11,1)&gt;=$AE587,DATE($AD587,11,1)&lt;=$AF587),ROUND($AG587,2),0))</f>
        <v/>
      </c>
      <c r="U587" s="18">
        <f>IF($Z587="","",IF(AND(DATE($AD587,12,1)&gt;=$AE587,DATE($AD587,12,1)&lt;=$AF587),ROUND($AG587,2),0))</f>
        <v/>
      </c>
      <c r="V587" s="7">
        <f>IF($Z587="C","Generated from "&amp;INDEX(Contracts!$A$2:$A$151,$AB587),IF($Z587="A","Generated from "&amp;INDEX(Fixed_Assets!$A$2:$A$201,$AB587),IF($Z587="F","Generated from "&amp;INDEX(FTE_Allocation!$A$2:$A$201,$AB587),"")))</f>
        <v/>
      </c>
      <c r="X587" s="19">
        <f>IF($Z587="","",SUM(J587:U587))</f>
        <v/>
      </c>
      <c r="Y587" s="20">
        <f>ROW()-1</f>
        <v/>
      </c>
      <c r="Z587" s="20">
        <f>IF($Y587&lt;=Settings!$B$4*3,"C",IF($Y587&lt;=(Settings!$B$4+Settings!$B$5)*3,"A",IF($Y587&lt;=(Settings!$B$4+Settings!$B$5+Settings!$B$6)*3,"F","")))</f>
        <v/>
      </c>
      <c r="AA587" s="20">
        <f>IF($Z587="C",$Y587,IF($Z587="A",$Y587-Settings!$B$4*3,IF($Z587="F",$Y587-(Settings!$B$4+Settings!$B$5)*3,"")))</f>
        <v/>
      </c>
      <c r="AB587" s="20">
        <f>IF($Z587="","",INT(($AA587-1)/3)+1)</f>
        <v/>
      </c>
      <c r="AC587" s="20">
        <f>IF($Z587="","",MOD($AA587-1,3)+1)</f>
        <v/>
      </c>
      <c r="AD587" s="20">
        <f>IF($Z587="","",Settings!$B$2+$AC587-1)</f>
        <v/>
      </c>
      <c r="AE587" s="21">
        <f>IF($Z587="C",DATE(YEAR(INDEX(Contracts!$J$2:$J$151,$AB587)),MONTH(INDEX(Contracts!$J$2:$J$151,$AB587)),1),IF($Z587="A",DATE(YEAR(INDEX(Fixed_Assets!$G$2:$G$201,$AB587)),MONTH(INDEX(Fixed_Assets!$G$2:$G$201,$AB587)),1),IF($Z587="F",DATE(YEAR(MAX(N(INDEX(Workforce!$I$2:$I$151,MATCH(INDEX(FTE_Allocation!$A$2:$A$201,$AB587),Workforce!$A$2:$A$151,0))),N(INDEX(FTE_Allocation!$I$2:$I$201,$AB587)))),MONTH(MAX(N(INDEX(Workforce!$I$2:$I$151,MATCH(INDEX(FTE_Allocation!$A$2:$A$201,$AB587),Workforce!$A$2:$A$151,0))),N(INDEX(FTE_Allocation!$I$2:$I$201,$AB587)))),1),"")))</f>
        <v/>
      </c>
      <c r="AF587" s="21">
        <f>IF($Z587="C",IF(INDEX(Contracts!$I$2:$I$151,$AB587)="PREPAID",EDATE(DATE(YEAR(INDEX(Contracts!$J$2:$J$151,$AB587)),MONTH(INDEX(Contracts!$J$2:$J$151,$AB587)),1),IF(INDEX(Contracts!$N$2:$N$151,$AB587)="",12,INDEX(Contracts!$N$2:$N$151,$AB587))-1),IF(INDEX(Contracts!$I$2:$I$151,$AB587)="MONTHLY",IF(INDEX(Contracts!$K$2:$K$151,$AB587)="",2958101,INDEX(Contracts!$K$2:$K$151,$AB587)),0)),IF($Z587="A",EDATE(DATE(YEAR(INDEX(Fixed_Assets!$G$2:$G$201,$AB587)),MONTH(INDEX(Fixed_Assets!$G$2:$G$201,$AB587)),1),INDEX(Fixed_Assets!$J$2:$J$201,$AB587)-1),IF($Z587="F",MIN(IF(INDEX(Workforce!$J$2:$J$151,MATCH(INDEX(FTE_Allocation!$A$2:$A$201,$AB587),Workforce!$A$2:$A$151,0))="",2958101,INDEX(Workforce!$J$2:$J$151,MATCH(INDEX(FTE_Allocation!$A$2:$A$201,$AB587),Workforce!$A$2:$A$151,0))),IF(INDEX(FTE_Allocation!$J$2:$J$201,$AB587)="",2958101,INDEX(FTE_Allocation!$J$2:$J$201,$AB587))),"")))</f>
        <v/>
      </c>
      <c r="AG587" s="19">
        <f>IF($Z587="C",IF(INDEX(Contracts!$I$2:$I$151,$AB587)="PREPAID",INDEX(Contracts!$M$2:$M$151,$AB587)/IF(INDEX(Contracts!$N$2:$N$151,$AB587)="",12,INDEX(Contracts!$N$2:$N$151,$AB587)),IF(INDEX(Contracts!$I$2:$I$151,$AB587)="MONTHLY",INDEX(Contracts!$M$2:$M$151,$AB587),0))*(1-N(INDEX(Contracts!$O$2:$O$151,$AB587))),IF($Z587="A",INDEX(Fixed_Assets!$H$2:$H$201,$AB587)/INDEX(Fixed_Assets!$J$2:$J$201,$AB587),IF($Z587="F",INDEX(Workforce!$F$2:$F$151,MATCH(INDEX(FTE_Allocation!$A$2:$A$201,$AB587),Workforce!$A$2:$A$151,0))*N(INDEX(FTE_Allocation!$F$2:$H$201,$AB587,$AC587)),"")))</f>
        <v/>
      </c>
    </row>
    <row r="588">
      <c r="A588" s="7">
        <f>IF($Z588="","",$AD588)</f>
        <v/>
      </c>
      <c r="B588" s="7">
        <f>IF($Z588="C",INDEX(Contracts!$D$2:$D$151,$AB588)&amp;"",IF($Z588="A",INDEX(Fixed_Assets!$C$2:$C$201,$AB588)&amp;"",IF($Z588="F",INDEX(Workforce!$B$2:$B$151,MATCH(INDEX(FTE_Allocation!$A$2:$A$201,$AB588),Workforce!$A$2:$A$151,0))&amp;"","")))</f>
        <v/>
      </c>
      <c r="C588" s="7">
        <f>IF($Z588="C",INDEX(Contracts!$E$2:$E$151,$AB588)&amp;"",IF($Z588="A",INDEX(Fixed_Assets!$D$2:$D$201,$AB588)&amp;"",IF($Z588="F",INDEX(FTE_Allocation!$C$2:$C$201,$AB588)&amp;"","")))</f>
        <v/>
      </c>
      <c r="D588" s="7">
        <f>IF($Z588="C",INDEX(Contracts!$B$2:$B$151,$AB588)&amp;"",IF($Z588="A",INDEX(Fixed_Assets!$B$2:$B$201,$AB588)&amp;"",IF($Z588="F",INDEX(FTE_Allocation!$B$2:$B$201,$AB588)&amp;"","")))</f>
        <v/>
      </c>
      <c r="E588" s="7">
        <f>IF($Z588="C",INDEX(Contracts!$P$2:$P$151,$AB588)&amp;"",IF($Z588="A",INDEX(Fixed_Assets!$K$2:$K$201,$AB588)&amp;"",IF($Z588="F",IF(INDEX(FTE_Allocation!$D$2:$D$201,$AB588)="PROJECT",IFERROR(INDEX(Projects!$D:$D,MATCH(INDEX(FTE_Allocation!$E$2:$E$201,$AB588),Projects!$A:$A,0))&amp;"","#PROJECT?"),INDEX(FTE_Allocation!$E$2:$E$201,$AB588)&amp;""),"")))</f>
        <v/>
      </c>
      <c r="F588" s="7">
        <f>IF($Z588="C",INDEX(Contracts!$Q$2:$Q$151,$AB588)&amp;"",IF($Z588="A",INDEX(Fixed_Assets!$L$2:$L$201,$AB588)&amp;"",IF($Z588="F",INDEX(Workforce!$K$2:$K$151,MATCH(INDEX(FTE_Allocation!$A$2:$A$201,$AB588),Workforce!$A$2:$A$151,0))&amp;"","")))</f>
        <v/>
      </c>
      <c r="G588" s="7">
        <f>IF($Z588="C",INDEX(Contracts!$F$2:$F$151,$AB588)&amp;" / "&amp;INDEX(Contracts!$G$2:$G$151,$AB588),IF($Z588="A",INDEX(Fixed_Assets!$E$2:$E$201,$AB588)&amp;"",IF($Z588="F","Personnel "&amp;INDEX(FTE_Allocation!$A$2:$A$201,$AB588)&amp;IF(INDEX(FTE_Allocation!$D$2:$D$201,$AB588)="PROJECT"," ("&amp;INDEX(FTE_Allocation!$E$2:$E$201,$AB588)&amp;")",""),"")))</f>
        <v/>
      </c>
      <c r="H588" s="7">
        <f>IF($Z588="C","CONTRACT",IF($Z588="A","ASSET",IF($Z588="F","WORKFORCE","")))</f>
        <v/>
      </c>
      <c r="I588" s="7">
        <f>IF($Z588="C",INDEX(Contracts!$L$2:$L$151,$AB588)&amp;"",IF($Z588="A",INDEX(Fixed_Assets!$I$2:$I$201,$AB588)&amp;"",IF($Z588="F",INDEX(Workforce!$G$2:$G$151,MATCH(INDEX(FTE_Allocation!$A$2:$A$201,$AB588),Workforce!$A$2:$A$151,0))&amp;"","")))</f>
        <v/>
      </c>
      <c r="J588" s="18">
        <f>IF($Z588="","",IF(AND(DATE($AD588,1,1)&gt;=$AE588,DATE($AD588,1,1)&lt;=$AF588),ROUND($AG588,2),0))</f>
        <v/>
      </c>
      <c r="K588" s="18">
        <f>IF($Z588="","",IF(AND(DATE($AD588,2,1)&gt;=$AE588,DATE($AD588,2,1)&lt;=$AF588),ROUND($AG588,2),0))</f>
        <v/>
      </c>
      <c r="L588" s="18">
        <f>IF($Z588="","",IF(AND(DATE($AD588,3,1)&gt;=$AE588,DATE($AD588,3,1)&lt;=$AF588),ROUND($AG588,2),0))</f>
        <v/>
      </c>
      <c r="M588" s="18">
        <f>IF($Z588="","",IF(AND(DATE($AD588,4,1)&gt;=$AE588,DATE($AD588,4,1)&lt;=$AF588),ROUND($AG588,2),0))</f>
        <v/>
      </c>
      <c r="N588" s="18">
        <f>IF($Z588="","",IF(AND(DATE($AD588,5,1)&gt;=$AE588,DATE($AD588,5,1)&lt;=$AF588),ROUND($AG588,2),0))</f>
        <v/>
      </c>
      <c r="O588" s="18">
        <f>IF($Z588="","",IF(AND(DATE($AD588,6,1)&gt;=$AE588,DATE($AD588,6,1)&lt;=$AF588),ROUND($AG588,2),0))</f>
        <v/>
      </c>
      <c r="P588" s="18">
        <f>IF($Z588="","",IF(AND(DATE($AD588,7,1)&gt;=$AE588,DATE($AD588,7,1)&lt;=$AF588),ROUND($AG588,2),0))</f>
        <v/>
      </c>
      <c r="Q588" s="18">
        <f>IF($Z588="","",IF(AND(DATE($AD588,8,1)&gt;=$AE588,DATE($AD588,8,1)&lt;=$AF588),ROUND($AG588,2),0))</f>
        <v/>
      </c>
      <c r="R588" s="18">
        <f>IF($Z588="","",IF(AND(DATE($AD588,9,1)&gt;=$AE588,DATE($AD588,9,1)&lt;=$AF588),ROUND($AG588,2),0))</f>
        <v/>
      </c>
      <c r="S588" s="18">
        <f>IF($Z588="","",IF(AND(DATE($AD588,10,1)&gt;=$AE588,DATE($AD588,10,1)&lt;=$AF588),ROUND($AG588,2),0))</f>
        <v/>
      </c>
      <c r="T588" s="18">
        <f>IF($Z588="","",IF(AND(DATE($AD588,11,1)&gt;=$AE588,DATE($AD588,11,1)&lt;=$AF588),ROUND($AG588,2),0))</f>
        <v/>
      </c>
      <c r="U588" s="18">
        <f>IF($Z588="","",IF(AND(DATE($AD588,12,1)&gt;=$AE588,DATE($AD588,12,1)&lt;=$AF588),ROUND($AG588,2),0))</f>
        <v/>
      </c>
      <c r="V588" s="7">
        <f>IF($Z588="C","Generated from "&amp;INDEX(Contracts!$A$2:$A$151,$AB588),IF($Z588="A","Generated from "&amp;INDEX(Fixed_Assets!$A$2:$A$201,$AB588),IF($Z588="F","Generated from "&amp;INDEX(FTE_Allocation!$A$2:$A$201,$AB588),"")))</f>
        <v/>
      </c>
      <c r="X588" s="19">
        <f>IF($Z588="","",SUM(J588:U588))</f>
        <v/>
      </c>
      <c r="Y588" s="20">
        <f>ROW()-1</f>
        <v/>
      </c>
      <c r="Z588" s="20">
        <f>IF($Y588&lt;=Settings!$B$4*3,"C",IF($Y588&lt;=(Settings!$B$4+Settings!$B$5)*3,"A",IF($Y588&lt;=(Settings!$B$4+Settings!$B$5+Settings!$B$6)*3,"F","")))</f>
        <v/>
      </c>
      <c r="AA588" s="20">
        <f>IF($Z588="C",$Y588,IF($Z588="A",$Y588-Settings!$B$4*3,IF($Z588="F",$Y588-(Settings!$B$4+Settings!$B$5)*3,"")))</f>
        <v/>
      </c>
      <c r="AB588" s="20">
        <f>IF($Z588="","",INT(($AA588-1)/3)+1)</f>
        <v/>
      </c>
      <c r="AC588" s="20">
        <f>IF($Z588="","",MOD($AA588-1,3)+1)</f>
        <v/>
      </c>
      <c r="AD588" s="20">
        <f>IF($Z588="","",Settings!$B$2+$AC588-1)</f>
        <v/>
      </c>
      <c r="AE588" s="21">
        <f>IF($Z588="C",DATE(YEAR(INDEX(Contracts!$J$2:$J$151,$AB588)),MONTH(INDEX(Contracts!$J$2:$J$151,$AB588)),1),IF($Z588="A",DATE(YEAR(INDEX(Fixed_Assets!$G$2:$G$201,$AB588)),MONTH(INDEX(Fixed_Assets!$G$2:$G$201,$AB588)),1),IF($Z588="F",DATE(YEAR(MAX(N(INDEX(Workforce!$I$2:$I$151,MATCH(INDEX(FTE_Allocation!$A$2:$A$201,$AB588),Workforce!$A$2:$A$151,0))),N(INDEX(FTE_Allocation!$I$2:$I$201,$AB588)))),MONTH(MAX(N(INDEX(Workforce!$I$2:$I$151,MATCH(INDEX(FTE_Allocation!$A$2:$A$201,$AB588),Workforce!$A$2:$A$151,0))),N(INDEX(FTE_Allocation!$I$2:$I$201,$AB588)))),1),"")))</f>
        <v/>
      </c>
      <c r="AF588" s="21">
        <f>IF($Z588="C",IF(INDEX(Contracts!$I$2:$I$151,$AB588)="PREPAID",EDATE(DATE(YEAR(INDEX(Contracts!$J$2:$J$151,$AB588)),MONTH(INDEX(Contracts!$J$2:$J$151,$AB588)),1),IF(INDEX(Contracts!$N$2:$N$151,$AB588)="",12,INDEX(Contracts!$N$2:$N$151,$AB588))-1),IF(INDEX(Contracts!$I$2:$I$151,$AB588)="MONTHLY",IF(INDEX(Contracts!$K$2:$K$151,$AB588)="",2958101,INDEX(Contracts!$K$2:$K$151,$AB588)),0)),IF($Z588="A",EDATE(DATE(YEAR(INDEX(Fixed_Assets!$G$2:$G$201,$AB588)),MONTH(INDEX(Fixed_Assets!$G$2:$G$201,$AB588)),1),INDEX(Fixed_Assets!$J$2:$J$201,$AB588)-1),IF($Z588="F",MIN(IF(INDEX(Workforce!$J$2:$J$151,MATCH(INDEX(FTE_Allocation!$A$2:$A$201,$AB588),Workforce!$A$2:$A$151,0))="",2958101,INDEX(Workforce!$J$2:$J$151,MATCH(INDEX(FTE_Allocation!$A$2:$A$201,$AB588),Workforce!$A$2:$A$151,0))),IF(INDEX(FTE_Allocation!$J$2:$J$201,$AB588)="",2958101,INDEX(FTE_Allocation!$J$2:$J$201,$AB588))),"")))</f>
        <v/>
      </c>
      <c r="AG588" s="19">
        <f>IF($Z588="C",IF(INDEX(Contracts!$I$2:$I$151,$AB588)="PREPAID",INDEX(Contracts!$M$2:$M$151,$AB588)/IF(INDEX(Contracts!$N$2:$N$151,$AB588)="",12,INDEX(Contracts!$N$2:$N$151,$AB588)),IF(INDEX(Contracts!$I$2:$I$151,$AB588)="MONTHLY",INDEX(Contracts!$M$2:$M$151,$AB588),0))*(1-N(INDEX(Contracts!$O$2:$O$151,$AB588))),IF($Z588="A",INDEX(Fixed_Assets!$H$2:$H$201,$AB588)/INDEX(Fixed_Assets!$J$2:$J$201,$AB588),IF($Z588="F",INDEX(Workforce!$F$2:$F$151,MATCH(INDEX(FTE_Allocation!$A$2:$A$201,$AB588),Workforce!$A$2:$A$151,0))*N(INDEX(FTE_Allocation!$F$2:$H$201,$AB588,$AC588)),"")))</f>
        <v/>
      </c>
    </row>
    <row r="589">
      <c r="A589" s="7">
        <f>IF($Z589="","",$AD589)</f>
        <v/>
      </c>
      <c r="B589" s="7">
        <f>IF($Z589="C",INDEX(Contracts!$D$2:$D$151,$AB589)&amp;"",IF($Z589="A",INDEX(Fixed_Assets!$C$2:$C$201,$AB589)&amp;"",IF($Z589="F",INDEX(Workforce!$B$2:$B$151,MATCH(INDEX(FTE_Allocation!$A$2:$A$201,$AB589),Workforce!$A$2:$A$151,0))&amp;"","")))</f>
        <v/>
      </c>
      <c r="C589" s="7">
        <f>IF($Z589="C",INDEX(Contracts!$E$2:$E$151,$AB589)&amp;"",IF($Z589="A",INDEX(Fixed_Assets!$D$2:$D$201,$AB589)&amp;"",IF($Z589="F",INDEX(FTE_Allocation!$C$2:$C$201,$AB589)&amp;"","")))</f>
        <v/>
      </c>
      <c r="D589" s="7">
        <f>IF($Z589="C",INDEX(Contracts!$B$2:$B$151,$AB589)&amp;"",IF($Z589="A",INDEX(Fixed_Assets!$B$2:$B$201,$AB589)&amp;"",IF($Z589="F",INDEX(FTE_Allocation!$B$2:$B$201,$AB589)&amp;"","")))</f>
        <v/>
      </c>
      <c r="E589" s="7">
        <f>IF($Z589="C",INDEX(Contracts!$P$2:$P$151,$AB589)&amp;"",IF($Z589="A",INDEX(Fixed_Assets!$K$2:$K$201,$AB589)&amp;"",IF($Z589="F",IF(INDEX(FTE_Allocation!$D$2:$D$201,$AB589)="PROJECT",IFERROR(INDEX(Projects!$D:$D,MATCH(INDEX(FTE_Allocation!$E$2:$E$201,$AB589),Projects!$A:$A,0))&amp;"","#PROJECT?"),INDEX(FTE_Allocation!$E$2:$E$201,$AB589)&amp;""),"")))</f>
        <v/>
      </c>
      <c r="F589" s="7">
        <f>IF($Z589="C",INDEX(Contracts!$Q$2:$Q$151,$AB589)&amp;"",IF($Z589="A",INDEX(Fixed_Assets!$L$2:$L$201,$AB589)&amp;"",IF($Z589="F",INDEX(Workforce!$K$2:$K$151,MATCH(INDEX(FTE_Allocation!$A$2:$A$201,$AB589),Workforce!$A$2:$A$151,0))&amp;"","")))</f>
        <v/>
      </c>
      <c r="G589" s="7">
        <f>IF($Z589="C",INDEX(Contracts!$F$2:$F$151,$AB589)&amp;" / "&amp;INDEX(Contracts!$G$2:$G$151,$AB589),IF($Z589="A",INDEX(Fixed_Assets!$E$2:$E$201,$AB589)&amp;"",IF($Z589="F","Personnel "&amp;INDEX(FTE_Allocation!$A$2:$A$201,$AB589)&amp;IF(INDEX(FTE_Allocation!$D$2:$D$201,$AB589)="PROJECT"," ("&amp;INDEX(FTE_Allocation!$E$2:$E$201,$AB589)&amp;")",""),"")))</f>
        <v/>
      </c>
      <c r="H589" s="7">
        <f>IF($Z589="C","CONTRACT",IF($Z589="A","ASSET",IF($Z589="F","WORKFORCE","")))</f>
        <v/>
      </c>
      <c r="I589" s="7">
        <f>IF($Z589="C",INDEX(Contracts!$L$2:$L$151,$AB589)&amp;"",IF($Z589="A",INDEX(Fixed_Assets!$I$2:$I$201,$AB589)&amp;"",IF($Z589="F",INDEX(Workforce!$G$2:$G$151,MATCH(INDEX(FTE_Allocation!$A$2:$A$201,$AB589),Workforce!$A$2:$A$151,0))&amp;"","")))</f>
        <v/>
      </c>
      <c r="J589" s="18">
        <f>IF($Z589="","",IF(AND(DATE($AD589,1,1)&gt;=$AE589,DATE($AD589,1,1)&lt;=$AF589),ROUND($AG589,2),0))</f>
        <v/>
      </c>
      <c r="K589" s="18">
        <f>IF($Z589="","",IF(AND(DATE($AD589,2,1)&gt;=$AE589,DATE($AD589,2,1)&lt;=$AF589),ROUND($AG589,2),0))</f>
        <v/>
      </c>
      <c r="L589" s="18">
        <f>IF($Z589="","",IF(AND(DATE($AD589,3,1)&gt;=$AE589,DATE($AD589,3,1)&lt;=$AF589),ROUND($AG589,2),0))</f>
        <v/>
      </c>
      <c r="M589" s="18">
        <f>IF($Z589="","",IF(AND(DATE($AD589,4,1)&gt;=$AE589,DATE($AD589,4,1)&lt;=$AF589),ROUND($AG589,2),0))</f>
        <v/>
      </c>
      <c r="N589" s="18">
        <f>IF($Z589="","",IF(AND(DATE($AD589,5,1)&gt;=$AE589,DATE($AD589,5,1)&lt;=$AF589),ROUND($AG589,2),0))</f>
        <v/>
      </c>
      <c r="O589" s="18">
        <f>IF($Z589="","",IF(AND(DATE($AD589,6,1)&gt;=$AE589,DATE($AD589,6,1)&lt;=$AF589),ROUND($AG589,2),0))</f>
        <v/>
      </c>
      <c r="P589" s="18">
        <f>IF($Z589="","",IF(AND(DATE($AD589,7,1)&gt;=$AE589,DATE($AD589,7,1)&lt;=$AF589),ROUND($AG589,2),0))</f>
        <v/>
      </c>
      <c r="Q589" s="18">
        <f>IF($Z589="","",IF(AND(DATE($AD589,8,1)&gt;=$AE589,DATE($AD589,8,1)&lt;=$AF589),ROUND($AG589,2),0))</f>
        <v/>
      </c>
      <c r="R589" s="18">
        <f>IF($Z589="","",IF(AND(DATE($AD589,9,1)&gt;=$AE589,DATE($AD589,9,1)&lt;=$AF589),ROUND($AG589,2),0))</f>
        <v/>
      </c>
      <c r="S589" s="18">
        <f>IF($Z589="","",IF(AND(DATE($AD589,10,1)&gt;=$AE589,DATE($AD589,10,1)&lt;=$AF589),ROUND($AG589,2),0))</f>
        <v/>
      </c>
      <c r="T589" s="18">
        <f>IF($Z589="","",IF(AND(DATE($AD589,11,1)&gt;=$AE589,DATE($AD589,11,1)&lt;=$AF589),ROUND($AG589,2),0))</f>
        <v/>
      </c>
      <c r="U589" s="18">
        <f>IF($Z589="","",IF(AND(DATE($AD589,12,1)&gt;=$AE589,DATE($AD589,12,1)&lt;=$AF589),ROUND($AG589,2),0))</f>
        <v/>
      </c>
      <c r="V589" s="7">
        <f>IF($Z589="C","Generated from "&amp;INDEX(Contracts!$A$2:$A$151,$AB589),IF($Z589="A","Generated from "&amp;INDEX(Fixed_Assets!$A$2:$A$201,$AB589),IF($Z589="F","Generated from "&amp;INDEX(FTE_Allocation!$A$2:$A$201,$AB589),"")))</f>
        <v/>
      </c>
      <c r="X589" s="19">
        <f>IF($Z589="","",SUM(J589:U589))</f>
        <v/>
      </c>
      <c r="Y589" s="20">
        <f>ROW()-1</f>
        <v/>
      </c>
      <c r="Z589" s="20">
        <f>IF($Y589&lt;=Settings!$B$4*3,"C",IF($Y589&lt;=(Settings!$B$4+Settings!$B$5)*3,"A",IF($Y589&lt;=(Settings!$B$4+Settings!$B$5+Settings!$B$6)*3,"F","")))</f>
        <v/>
      </c>
      <c r="AA589" s="20">
        <f>IF($Z589="C",$Y589,IF($Z589="A",$Y589-Settings!$B$4*3,IF($Z589="F",$Y589-(Settings!$B$4+Settings!$B$5)*3,"")))</f>
        <v/>
      </c>
      <c r="AB589" s="20">
        <f>IF($Z589="","",INT(($AA589-1)/3)+1)</f>
        <v/>
      </c>
      <c r="AC589" s="20">
        <f>IF($Z589="","",MOD($AA589-1,3)+1)</f>
        <v/>
      </c>
      <c r="AD589" s="20">
        <f>IF($Z589="","",Settings!$B$2+$AC589-1)</f>
        <v/>
      </c>
      <c r="AE589" s="21">
        <f>IF($Z589="C",DATE(YEAR(INDEX(Contracts!$J$2:$J$151,$AB589)),MONTH(INDEX(Contracts!$J$2:$J$151,$AB589)),1),IF($Z589="A",DATE(YEAR(INDEX(Fixed_Assets!$G$2:$G$201,$AB589)),MONTH(INDEX(Fixed_Assets!$G$2:$G$201,$AB589)),1),IF($Z589="F",DATE(YEAR(MAX(N(INDEX(Workforce!$I$2:$I$151,MATCH(INDEX(FTE_Allocation!$A$2:$A$201,$AB589),Workforce!$A$2:$A$151,0))),N(INDEX(FTE_Allocation!$I$2:$I$201,$AB589)))),MONTH(MAX(N(INDEX(Workforce!$I$2:$I$151,MATCH(INDEX(FTE_Allocation!$A$2:$A$201,$AB589),Workforce!$A$2:$A$151,0))),N(INDEX(FTE_Allocation!$I$2:$I$201,$AB589)))),1),"")))</f>
        <v/>
      </c>
      <c r="AF589" s="21">
        <f>IF($Z589="C",IF(INDEX(Contracts!$I$2:$I$151,$AB589)="PREPAID",EDATE(DATE(YEAR(INDEX(Contracts!$J$2:$J$151,$AB589)),MONTH(INDEX(Contracts!$J$2:$J$151,$AB589)),1),IF(INDEX(Contracts!$N$2:$N$151,$AB589)="",12,INDEX(Contracts!$N$2:$N$151,$AB589))-1),IF(INDEX(Contracts!$I$2:$I$151,$AB589)="MONTHLY",IF(INDEX(Contracts!$K$2:$K$151,$AB589)="",2958101,INDEX(Contracts!$K$2:$K$151,$AB589)),0)),IF($Z589="A",EDATE(DATE(YEAR(INDEX(Fixed_Assets!$G$2:$G$201,$AB589)),MONTH(INDEX(Fixed_Assets!$G$2:$G$201,$AB589)),1),INDEX(Fixed_Assets!$J$2:$J$201,$AB589)-1),IF($Z589="F",MIN(IF(INDEX(Workforce!$J$2:$J$151,MATCH(INDEX(FTE_Allocation!$A$2:$A$201,$AB589),Workforce!$A$2:$A$151,0))="",2958101,INDEX(Workforce!$J$2:$J$151,MATCH(INDEX(FTE_Allocation!$A$2:$A$201,$AB589),Workforce!$A$2:$A$151,0))),IF(INDEX(FTE_Allocation!$J$2:$J$201,$AB589)="",2958101,INDEX(FTE_Allocation!$J$2:$J$201,$AB589))),"")))</f>
        <v/>
      </c>
      <c r="AG589" s="19">
        <f>IF($Z589="C",IF(INDEX(Contracts!$I$2:$I$151,$AB589)="PREPAID",INDEX(Contracts!$M$2:$M$151,$AB589)/IF(INDEX(Contracts!$N$2:$N$151,$AB589)="",12,INDEX(Contracts!$N$2:$N$151,$AB589)),IF(INDEX(Contracts!$I$2:$I$151,$AB589)="MONTHLY",INDEX(Contracts!$M$2:$M$151,$AB589),0))*(1-N(INDEX(Contracts!$O$2:$O$151,$AB589))),IF($Z589="A",INDEX(Fixed_Assets!$H$2:$H$201,$AB589)/INDEX(Fixed_Assets!$J$2:$J$201,$AB589),IF($Z589="F",INDEX(Workforce!$F$2:$F$151,MATCH(INDEX(FTE_Allocation!$A$2:$A$201,$AB589),Workforce!$A$2:$A$151,0))*N(INDEX(FTE_Allocation!$F$2:$H$201,$AB589,$AC589)),"")))</f>
        <v/>
      </c>
    </row>
    <row r="590">
      <c r="A590" s="7">
        <f>IF($Z590="","",$AD590)</f>
        <v/>
      </c>
      <c r="B590" s="7">
        <f>IF($Z590="C",INDEX(Contracts!$D$2:$D$151,$AB590)&amp;"",IF($Z590="A",INDEX(Fixed_Assets!$C$2:$C$201,$AB590)&amp;"",IF($Z590="F",INDEX(Workforce!$B$2:$B$151,MATCH(INDEX(FTE_Allocation!$A$2:$A$201,$AB590),Workforce!$A$2:$A$151,0))&amp;"","")))</f>
        <v/>
      </c>
      <c r="C590" s="7">
        <f>IF($Z590="C",INDEX(Contracts!$E$2:$E$151,$AB590)&amp;"",IF($Z590="A",INDEX(Fixed_Assets!$D$2:$D$201,$AB590)&amp;"",IF($Z590="F",INDEX(FTE_Allocation!$C$2:$C$201,$AB590)&amp;"","")))</f>
        <v/>
      </c>
      <c r="D590" s="7">
        <f>IF($Z590="C",INDEX(Contracts!$B$2:$B$151,$AB590)&amp;"",IF($Z590="A",INDEX(Fixed_Assets!$B$2:$B$201,$AB590)&amp;"",IF($Z590="F",INDEX(FTE_Allocation!$B$2:$B$201,$AB590)&amp;"","")))</f>
        <v/>
      </c>
      <c r="E590" s="7">
        <f>IF($Z590="C",INDEX(Contracts!$P$2:$P$151,$AB590)&amp;"",IF($Z590="A",INDEX(Fixed_Assets!$K$2:$K$201,$AB590)&amp;"",IF($Z590="F",IF(INDEX(FTE_Allocation!$D$2:$D$201,$AB590)="PROJECT",IFERROR(INDEX(Projects!$D:$D,MATCH(INDEX(FTE_Allocation!$E$2:$E$201,$AB590),Projects!$A:$A,0))&amp;"","#PROJECT?"),INDEX(FTE_Allocation!$E$2:$E$201,$AB590)&amp;""),"")))</f>
        <v/>
      </c>
      <c r="F590" s="7">
        <f>IF($Z590="C",INDEX(Contracts!$Q$2:$Q$151,$AB590)&amp;"",IF($Z590="A",INDEX(Fixed_Assets!$L$2:$L$201,$AB590)&amp;"",IF($Z590="F",INDEX(Workforce!$K$2:$K$151,MATCH(INDEX(FTE_Allocation!$A$2:$A$201,$AB590),Workforce!$A$2:$A$151,0))&amp;"","")))</f>
        <v/>
      </c>
      <c r="G590" s="7">
        <f>IF($Z590="C",INDEX(Contracts!$F$2:$F$151,$AB590)&amp;" / "&amp;INDEX(Contracts!$G$2:$G$151,$AB590),IF($Z590="A",INDEX(Fixed_Assets!$E$2:$E$201,$AB590)&amp;"",IF($Z590="F","Personnel "&amp;INDEX(FTE_Allocation!$A$2:$A$201,$AB590)&amp;IF(INDEX(FTE_Allocation!$D$2:$D$201,$AB590)="PROJECT"," ("&amp;INDEX(FTE_Allocation!$E$2:$E$201,$AB590)&amp;")",""),"")))</f>
        <v/>
      </c>
      <c r="H590" s="7">
        <f>IF($Z590="C","CONTRACT",IF($Z590="A","ASSET",IF($Z590="F","WORKFORCE","")))</f>
        <v/>
      </c>
      <c r="I590" s="7">
        <f>IF($Z590="C",INDEX(Contracts!$L$2:$L$151,$AB590)&amp;"",IF($Z590="A",INDEX(Fixed_Assets!$I$2:$I$201,$AB590)&amp;"",IF($Z590="F",INDEX(Workforce!$G$2:$G$151,MATCH(INDEX(FTE_Allocation!$A$2:$A$201,$AB590),Workforce!$A$2:$A$151,0))&amp;"","")))</f>
        <v/>
      </c>
      <c r="J590" s="18">
        <f>IF($Z590="","",IF(AND(DATE($AD590,1,1)&gt;=$AE590,DATE($AD590,1,1)&lt;=$AF590),ROUND($AG590,2),0))</f>
        <v/>
      </c>
      <c r="K590" s="18">
        <f>IF($Z590="","",IF(AND(DATE($AD590,2,1)&gt;=$AE590,DATE($AD590,2,1)&lt;=$AF590),ROUND($AG590,2),0))</f>
        <v/>
      </c>
      <c r="L590" s="18">
        <f>IF($Z590="","",IF(AND(DATE($AD590,3,1)&gt;=$AE590,DATE($AD590,3,1)&lt;=$AF590),ROUND($AG590,2),0))</f>
        <v/>
      </c>
      <c r="M590" s="18">
        <f>IF($Z590="","",IF(AND(DATE($AD590,4,1)&gt;=$AE590,DATE($AD590,4,1)&lt;=$AF590),ROUND($AG590,2),0))</f>
        <v/>
      </c>
      <c r="N590" s="18">
        <f>IF($Z590="","",IF(AND(DATE($AD590,5,1)&gt;=$AE590,DATE($AD590,5,1)&lt;=$AF590),ROUND($AG590,2),0))</f>
        <v/>
      </c>
      <c r="O590" s="18">
        <f>IF($Z590="","",IF(AND(DATE($AD590,6,1)&gt;=$AE590,DATE($AD590,6,1)&lt;=$AF590),ROUND($AG590,2),0))</f>
        <v/>
      </c>
      <c r="P590" s="18">
        <f>IF($Z590="","",IF(AND(DATE($AD590,7,1)&gt;=$AE590,DATE($AD590,7,1)&lt;=$AF590),ROUND($AG590,2),0))</f>
        <v/>
      </c>
      <c r="Q590" s="18">
        <f>IF($Z590="","",IF(AND(DATE($AD590,8,1)&gt;=$AE590,DATE($AD590,8,1)&lt;=$AF590),ROUND($AG590,2),0))</f>
        <v/>
      </c>
      <c r="R590" s="18">
        <f>IF($Z590="","",IF(AND(DATE($AD590,9,1)&gt;=$AE590,DATE($AD590,9,1)&lt;=$AF590),ROUND($AG590,2),0))</f>
        <v/>
      </c>
      <c r="S590" s="18">
        <f>IF($Z590="","",IF(AND(DATE($AD590,10,1)&gt;=$AE590,DATE($AD590,10,1)&lt;=$AF590),ROUND($AG590,2),0))</f>
        <v/>
      </c>
      <c r="T590" s="18">
        <f>IF($Z590="","",IF(AND(DATE($AD590,11,1)&gt;=$AE590,DATE($AD590,11,1)&lt;=$AF590),ROUND($AG590,2),0))</f>
        <v/>
      </c>
      <c r="U590" s="18">
        <f>IF($Z590="","",IF(AND(DATE($AD590,12,1)&gt;=$AE590,DATE($AD590,12,1)&lt;=$AF590),ROUND($AG590,2),0))</f>
        <v/>
      </c>
      <c r="V590" s="7">
        <f>IF($Z590="C","Generated from "&amp;INDEX(Contracts!$A$2:$A$151,$AB590),IF($Z590="A","Generated from "&amp;INDEX(Fixed_Assets!$A$2:$A$201,$AB590),IF($Z590="F","Generated from "&amp;INDEX(FTE_Allocation!$A$2:$A$201,$AB590),"")))</f>
        <v/>
      </c>
      <c r="X590" s="19">
        <f>IF($Z590="","",SUM(J590:U590))</f>
        <v/>
      </c>
      <c r="Y590" s="20">
        <f>ROW()-1</f>
        <v/>
      </c>
      <c r="Z590" s="20">
        <f>IF($Y590&lt;=Settings!$B$4*3,"C",IF($Y590&lt;=(Settings!$B$4+Settings!$B$5)*3,"A",IF($Y590&lt;=(Settings!$B$4+Settings!$B$5+Settings!$B$6)*3,"F","")))</f>
        <v/>
      </c>
      <c r="AA590" s="20">
        <f>IF($Z590="C",$Y590,IF($Z590="A",$Y590-Settings!$B$4*3,IF($Z590="F",$Y590-(Settings!$B$4+Settings!$B$5)*3,"")))</f>
        <v/>
      </c>
      <c r="AB590" s="20">
        <f>IF($Z590="","",INT(($AA590-1)/3)+1)</f>
        <v/>
      </c>
      <c r="AC590" s="20">
        <f>IF($Z590="","",MOD($AA590-1,3)+1)</f>
        <v/>
      </c>
      <c r="AD590" s="20">
        <f>IF($Z590="","",Settings!$B$2+$AC590-1)</f>
        <v/>
      </c>
      <c r="AE590" s="21">
        <f>IF($Z590="C",DATE(YEAR(INDEX(Contracts!$J$2:$J$151,$AB590)),MONTH(INDEX(Contracts!$J$2:$J$151,$AB590)),1),IF($Z590="A",DATE(YEAR(INDEX(Fixed_Assets!$G$2:$G$201,$AB590)),MONTH(INDEX(Fixed_Assets!$G$2:$G$201,$AB590)),1),IF($Z590="F",DATE(YEAR(MAX(N(INDEX(Workforce!$I$2:$I$151,MATCH(INDEX(FTE_Allocation!$A$2:$A$201,$AB590),Workforce!$A$2:$A$151,0))),N(INDEX(FTE_Allocation!$I$2:$I$201,$AB590)))),MONTH(MAX(N(INDEX(Workforce!$I$2:$I$151,MATCH(INDEX(FTE_Allocation!$A$2:$A$201,$AB590),Workforce!$A$2:$A$151,0))),N(INDEX(FTE_Allocation!$I$2:$I$201,$AB590)))),1),"")))</f>
        <v/>
      </c>
      <c r="AF590" s="21">
        <f>IF($Z590="C",IF(INDEX(Contracts!$I$2:$I$151,$AB590)="PREPAID",EDATE(DATE(YEAR(INDEX(Contracts!$J$2:$J$151,$AB590)),MONTH(INDEX(Contracts!$J$2:$J$151,$AB590)),1),IF(INDEX(Contracts!$N$2:$N$151,$AB590)="",12,INDEX(Contracts!$N$2:$N$151,$AB590))-1),IF(INDEX(Contracts!$I$2:$I$151,$AB590)="MONTHLY",IF(INDEX(Contracts!$K$2:$K$151,$AB590)="",2958101,INDEX(Contracts!$K$2:$K$151,$AB590)),0)),IF($Z590="A",EDATE(DATE(YEAR(INDEX(Fixed_Assets!$G$2:$G$201,$AB590)),MONTH(INDEX(Fixed_Assets!$G$2:$G$201,$AB590)),1),INDEX(Fixed_Assets!$J$2:$J$201,$AB590)-1),IF($Z590="F",MIN(IF(INDEX(Workforce!$J$2:$J$151,MATCH(INDEX(FTE_Allocation!$A$2:$A$201,$AB590),Workforce!$A$2:$A$151,0))="",2958101,INDEX(Workforce!$J$2:$J$151,MATCH(INDEX(FTE_Allocation!$A$2:$A$201,$AB590),Workforce!$A$2:$A$151,0))),IF(INDEX(FTE_Allocation!$J$2:$J$201,$AB590)="",2958101,INDEX(FTE_Allocation!$J$2:$J$201,$AB590))),"")))</f>
        <v/>
      </c>
      <c r="AG590" s="19">
        <f>IF($Z590="C",IF(INDEX(Contracts!$I$2:$I$151,$AB590)="PREPAID",INDEX(Contracts!$M$2:$M$151,$AB590)/IF(INDEX(Contracts!$N$2:$N$151,$AB590)="",12,INDEX(Contracts!$N$2:$N$151,$AB590)),IF(INDEX(Contracts!$I$2:$I$151,$AB590)="MONTHLY",INDEX(Contracts!$M$2:$M$151,$AB590),0))*(1-N(INDEX(Contracts!$O$2:$O$151,$AB590))),IF($Z590="A",INDEX(Fixed_Assets!$H$2:$H$201,$AB590)/INDEX(Fixed_Assets!$J$2:$J$201,$AB590),IF($Z590="F",INDEX(Workforce!$F$2:$F$151,MATCH(INDEX(FTE_Allocation!$A$2:$A$201,$AB590),Workforce!$A$2:$A$151,0))*N(INDEX(FTE_Allocation!$F$2:$H$201,$AB590,$AC590)),"")))</f>
        <v/>
      </c>
    </row>
    <row r="591">
      <c r="A591" s="7">
        <f>IF($Z591="","",$AD591)</f>
        <v/>
      </c>
      <c r="B591" s="7">
        <f>IF($Z591="C",INDEX(Contracts!$D$2:$D$151,$AB591)&amp;"",IF($Z591="A",INDEX(Fixed_Assets!$C$2:$C$201,$AB591)&amp;"",IF($Z591="F",INDEX(Workforce!$B$2:$B$151,MATCH(INDEX(FTE_Allocation!$A$2:$A$201,$AB591),Workforce!$A$2:$A$151,0))&amp;"","")))</f>
        <v/>
      </c>
      <c r="C591" s="7">
        <f>IF($Z591="C",INDEX(Contracts!$E$2:$E$151,$AB591)&amp;"",IF($Z591="A",INDEX(Fixed_Assets!$D$2:$D$201,$AB591)&amp;"",IF($Z591="F",INDEX(FTE_Allocation!$C$2:$C$201,$AB591)&amp;"","")))</f>
        <v/>
      </c>
      <c r="D591" s="7">
        <f>IF($Z591="C",INDEX(Contracts!$B$2:$B$151,$AB591)&amp;"",IF($Z591="A",INDEX(Fixed_Assets!$B$2:$B$201,$AB591)&amp;"",IF($Z591="F",INDEX(FTE_Allocation!$B$2:$B$201,$AB591)&amp;"","")))</f>
        <v/>
      </c>
      <c r="E591" s="7">
        <f>IF($Z591="C",INDEX(Contracts!$P$2:$P$151,$AB591)&amp;"",IF($Z591="A",INDEX(Fixed_Assets!$K$2:$K$201,$AB591)&amp;"",IF($Z591="F",IF(INDEX(FTE_Allocation!$D$2:$D$201,$AB591)="PROJECT",IFERROR(INDEX(Projects!$D:$D,MATCH(INDEX(FTE_Allocation!$E$2:$E$201,$AB591),Projects!$A:$A,0))&amp;"","#PROJECT?"),INDEX(FTE_Allocation!$E$2:$E$201,$AB591)&amp;""),"")))</f>
        <v/>
      </c>
      <c r="F591" s="7">
        <f>IF($Z591="C",INDEX(Contracts!$Q$2:$Q$151,$AB591)&amp;"",IF($Z591="A",INDEX(Fixed_Assets!$L$2:$L$201,$AB591)&amp;"",IF($Z591="F",INDEX(Workforce!$K$2:$K$151,MATCH(INDEX(FTE_Allocation!$A$2:$A$201,$AB591),Workforce!$A$2:$A$151,0))&amp;"","")))</f>
        <v/>
      </c>
      <c r="G591" s="7">
        <f>IF($Z591="C",INDEX(Contracts!$F$2:$F$151,$AB591)&amp;" / "&amp;INDEX(Contracts!$G$2:$G$151,$AB591),IF($Z591="A",INDEX(Fixed_Assets!$E$2:$E$201,$AB591)&amp;"",IF($Z591="F","Personnel "&amp;INDEX(FTE_Allocation!$A$2:$A$201,$AB591)&amp;IF(INDEX(FTE_Allocation!$D$2:$D$201,$AB591)="PROJECT"," ("&amp;INDEX(FTE_Allocation!$E$2:$E$201,$AB591)&amp;")",""),"")))</f>
        <v/>
      </c>
      <c r="H591" s="7">
        <f>IF($Z591="C","CONTRACT",IF($Z591="A","ASSET",IF($Z591="F","WORKFORCE","")))</f>
        <v/>
      </c>
      <c r="I591" s="7">
        <f>IF($Z591="C",INDEX(Contracts!$L$2:$L$151,$AB591)&amp;"",IF($Z591="A",INDEX(Fixed_Assets!$I$2:$I$201,$AB591)&amp;"",IF($Z591="F",INDEX(Workforce!$G$2:$G$151,MATCH(INDEX(FTE_Allocation!$A$2:$A$201,$AB591),Workforce!$A$2:$A$151,0))&amp;"","")))</f>
        <v/>
      </c>
      <c r="J591" s="18">
        <f>IF($Z591="","",IF(AND(DATE($AD591,1,1)&gt;=$AE591,DATE($AD591,1,1)&lt;=$AF591),ROUND($AG591,2),0))</f>
        <v/>
      </c>
      <c r="K591" s="18">
        <f>IF($Z591="","",IF(AND(DATE($AD591,2,1)&gt;=$AE591,DATE($AD591,2,1)&lt;=$AF591),ROUND($AG591,2),0))</f>
        <v/>
      </c>
      <c r="L591" s="18">
        <f>IF($Z591="","",IF(AND(DATE($AD591,3,1)&gt;=$AE591,DATE($AD591,3,1)&lt;=$AF591),ROUND($AG591,2),0))</f>
        <v/>
      </c>
      <c r="M591" s="18">
        <f>IF($Z591="","",IF(AND(DATE($AD591,4,1)&gt;=$AE591,DATE($AD591,4,1)&lt;=$AF591),ROUND($AG591,2),0))</f>
        <v/>
      </c>
      <c r="N591" s="18">
        <f>IF($Z591="","",IF(AND(DATE($AD591,5,1)&gt;=$AE591,DATE($AD591,5,1)&lt;=$AF591),ROUND($AG591,2),0))</f>
        <v/>
      </c>
      <c r="O591" s="18">
        <f>IF($Z591="","",IF(AND(DATE($AD591,6,1)&gt;=$AE591,DATE($AD591,6,1)&lt;=$AF591),ROUND($AG591,2),0))</f>
        <v/>
      </c>
      <c r="P591" s="18">
        <f>IF($Z591="","",IF(AND(DATE($AD591,7,1)&gt;=$AE591,DATE($AD591,7,1)&lt;=$AF591),ROUND($AG591,2),0))</f>
        <v/>
      </c>
      <c r="Q591" s="18">
        <f>IF($Z591="","",IF(AND(DATE($AD591,8,1)&gt;=$AE591,DATE($AD591,8,1)&lt;=$AF591),ROUND($AG591,2),0))</f>
        <v/>
      </c>
      <c r="R591" s="18">
        <f>IF($Z591="","",IF(AND(DATE($AD591,9,1)&gt;=$AE591,DATE($AD591,9,1)&lt;=$AF591),ROUND($AG591,2),0))</f>
        <v/>
      </c>
      <c r="S591" s="18">
        <f>IF($Z591="","",IF(AND(DATE($AD591,10,1)&gt;=$AE591,DATE($AD591,10,1)&lt;=$AF591),ROUND($AG591,2),0))</f>
        <v/>
      </c>
      <c r="T591" s="18">
        <f>IF($Z591="","",IF(AND(DATE($AD591,11,1)&gt;=$AE591,DATE($AD591,11,1)&lt;=$AF591),ROUND($AG591,2),0))</f>
        <v/>
      </c>
      <c r="U591" s="18">
        <f>IF($Z591="","",IF(AND(DATE($AD591,12,1)&gt;=$AE591,DATE($AD591,12,1)&lt;=$AF591),ROUND($AG591,2),0))</f>
        <v/>
      </c>
      <c r="V591" s="7">
        <f>IF($Z591="C","Generated from "&amp;INDEX(Contracts!$A$2:$A$151,$AB591),IF($Z591="A","Generated from "&amp;INDEX(Fixed_Assets!$A$2:$A$201,$AB591),IF($Z591="F","Generated from "&amp;INDEX(FTE_Allocation!$A$2:$A$201,$AB591),"")))</f>
        <v/>
      </c>
      <c r="X591" s="19">
        <f>IF($Z591="","",SUM(J591:U591))</f>
        <v/>
      </c>
      <c r="Y591" s="20">
        <f>ROW()-1</f>
        <v/>
      </c>
      <c r="Z591" s="20">
        <f>IF($Y591&lt;=Settings!$B$4*3,"C",IF($Y591&lt;=(Settings!$B$4+Settings!$B$5)*3,"A",IF($Y591&lt;=(Settings!$B$4+Settings!$B$5+Settings!$B$6)*3,"F","")))</f>
        <v/>
      </c>
      <c r="AA591" s="20">
        <f>IF($Z591="C",$Y591,IF($Z591="A",$Y591-Settings!$B$4*3,IF($Z591="F",$Y591-(Settings!$B$4+Settings!$B$5)*3,"")))</f>
        <v/>
      </c>
      <c r="AB591" s="20">
        <f>IF($Z591="","",INT(($AA591-1)/3)+1)</f>
        <v/>
      </c>
      <c r="AC591" s="20">
        <f>IF($Z591="","",MOD($AA591-1,3)+1)</f>
        <v/>
      </c>
      <c r="AD591" s="20">
        <f>IF($Z591="","",Settings!$B$2+$AC591-1)</f>
        <v/>
      </c>
      <c r="AE591" s="21">
        <f>IF($Z591="C",DATE(YEAR(INDEX(Contracts!$J$2:$J$151,$AB591)),MONTH(INDEX(Contracts!$J$2:$J$151,$AB591)),1),IF($Z591="A",DATE(YEAR(INDEX(Fixed_Assets!$G$2:$G$201,$AB591)),MONTH(INDEX(Fixed_Assets!$G$2:$G$201,$AB591)),1),IF($Z591="F",DATE(YEAR(MAX(N(INDEX(Workforce!$I$2:$I$151,MATCH(INDEX(FTE_Allocation!$A$2:$A$201,$AB591),Workforce!$A$2:$A$151,0))),N(INDEX(FTE_Allocation!$I$2:$I$201,$AB591)))),MONTH(MAX(N(INDEX(Workforce!$I$2:$I$151,MATCH(INDEX(FTE_Allocation!$A$2:$A$201,$AB591),Workforce!$A$2:$A$151,0))),N(INDEX(FTE_Allocation!$I$2:$I$201,$AB591)))),1),"")))</f>
        <v/>
      </c>
      <c r="AF591" s="21">
        <f>IF($Z591="C",IF(INDEX(Contracts!$I$2:$I$151,$AB591)="PREPAID",EDATE(DATE(YEAR(INDEX(Contracts!$J$2:$J$151,$AB591)),MONTH(INDEX(Contracts!$J$2:$J$151,$AB591)),1),IF(INDEX(Contracts!$N$2:$N$151,$AB591)="",12,INDEX(Contracts!$N$2:$N$151,$AB591))-1),IF(INDEX(Contracts!$I$2:$I$151,$AB591)="MONTHLY",IF(INDEX(Contracts!$K$2:$K$151,$AB591)="",2958101,INDEX(Contracts!$K$2:$K$151,$AB591)),0)),IF($Z591="A",EDATE(DATE(YEAR(INDEX(Fixed_Assets!$G$2:$G$201,$AB591)),MONTH(INDEX(Fixed_Assets!$G$2:$G$201,$AB591)),1),INDEX(Fixed_Assets!$J$2:$J$201,$AB591)-1),IF($Z591="F",MIN(IF(INDEX(Workforce!$J$2:$J$151,MATCH(INDEX(FTE_Allocation!$A$2:$A$201,$AB591),Workforce!$A$2:$A$151,0))="",2958101,INDEX(Workforce!$J$2:$J$151,MATCH(INDEX(FTE_Allocation!$A$2:$A$201,$AB591),Workforce!$A$2:$A$151,0))),IF(INDEX(FTE_Allocation!$J$2:$J$201,$AB591)="",2958101,INDEX(FTE_Allocation!$J$2:$J$201,$AB591))),"")))</f>
        <v/>
      </c>
      <c r="AG591" s="19">
        <f>IF($Z591="C",IF(INDEX(Contracts!$I$2:$I$151,$AB591)="PREPAID",INDEX(Contracts!$M$2:$M$151,$AB591)/IF(INDEX(Contracts!$N$2:$N$151,$AB591)="",12,INDEX(Contracts!$N$2:$N$151,$AB591)),IF(INDEX(Contracts!$I$2:$I$151,$AB591)="MONTHLY",INDEX(Contracts!$M$2:$M$151,$AB591),0))*(1-N(INDEX(Contracts!$O$2:$O$151,$AB591))),IF($Z591="A",INDEX(Fixed_Assets!$H$2:$H$201,$AB591)/INDEX(Fixed_Assets!$J$2:$J$201,$AB591),IF($Z591="F",INDEX(Workforce!$F$2:$F$151,MATCH(INDEX(FTE_Allocation!$A$2:$A$201,$AB591),Workforce!$A$2:$A$151,0))*N(INDEX(FTE_Allocation!$F$2:$H$201,$AB591,$AC591)),"")))</f>
        <v/>
      </c>
    </row>
    <row r="592">
      <c r="A592" s="7">
        <f>IF($Z592="","",$AD592)</f>
        <v/>
      </c>
      <c r="B592" s="7">
        <f>IF($Z592="C",INDEX(Contracts!$D$2:$D$151,$AB592)&amp;"",IF($Z592="A",INDEX(Fixed_Assets!$C$2:$C$201,$AB592)&amp;"",IF($Z592="F",INDEX(Workforce!$B$2:$B$151,MATCH(INDEX(FTE_Allocation!$A$2:$A$201,$AB592),Workforce!$A$2:$A$151,0))&amp;"","")))</f>
        <v/>
      </c>
      <c r="C592" s="7">
        <f>IF($Z592="C",INDEX(Contracts!$E$2:$E$151,$AB592)&amp;"",IF($Z592="A",INDEX(Fixed_Assets!$D$2:$D$201,$AB592)&amp;"",IF($Z592="F",INDEX(FTE_Allocation!$C$2:$C$201,$AB592)&amp;"","")))</f>
        <v/>
      </c>
      <c r="D592" s="7">
        <f>IF($Z592="C",INDEX(Contracts!$B$2:$B$151,$AB592)&amp;"",IF($Z592="A",INDEX(Fixed_Assets!$B$2:$B$201,$AB592)&amp;"",IF($Z592="F",INDEX(FTE_Allocation!$B$2:$B$201,$AB592)&amp;"","")))</f>
        <v/>
      </c>
      <c r="E592" s="7">
        <f>IF($Z592="C",INDEX(Contracts!$P$2:$P$151,$AB592)&amp;"",IF($Z592="A",INDEX(Fixed_Assets!$K$2:$K$201,$AB592)&amp;"",IF($Z592="F",IF(INDEX(FTE_Allocation!$D$2:$D$201,$AB592)="PROJECT",IFERROR(INDEX(Projects!$D:$D,MATCH(INDEX(FTE_Allocation!$E$2:$E$201,$AB592),Projects!$A:$A,0))&amp;"","#PROJECT?"),INDEX(FTE_Allocation!$E$2:$E$201,$AB592)&amp;""),"")))</f>
        <v/>
      </c>
      <c r="F592" s="7">
        <f>IF($Z592="C",INDEX(Contracts!$Q$2:$Q$151,$AB592)&amp;"",IF($Z592="A",INDEX(Fixed_Assets!$L$2:$L$201,$AB592)&amp;"",IF($Z592="F",INDEX(Workforce!$K$2:$K$151,MATCH(INDEX(FTE_Allocation!$A$2:$A$201,$AB592),Workforce!$A$2:$A$151,0))&amp;"","")))</f>
        <v/>
      </c>
      <c r="G592" s="7">
        <f>IF($Z592="C",INDEX(Contracts!$F$2:$F$151,$AB592)&amp;" / "&amp;INDEX(Contracts!$G$2:$G$151,$AB592),IF($Z592="A",INDEX(Fixed_Assets!$E$2:$E$201,$AB592)&amp;"",IF($Z592="F","Personnel "&amp;INDEX(FTE_Allocation!$A$2:$A$201,$AB592)&amp;IF(INDEX(FTE_Allocation!$D$2:$D$201,$AB592)="PROJECT"," ("&amp;INDEX(FTE_Allocation!$E$2:$E$201,$AB592)&amp;")",""),"")))</f>
        <v/>
      </c>
      <c r="H592" s="7">
        <f>IF($Z592="C","CONTRACT",IF($Z592="A","ASSET",IF($Z592="F","WORKFORCE","")))</f>
        <v/>
      </c>
      <c r="I592" s="7">
        <f>IF($Z592="C",INDEX(Contracts!$L$2:$L$151,$AB592)&amp;"",IF($Z592="A",INDEX(Fixed_Assets!$I$2:$I$201,$AB592)&amp;"",IF($Z592="F",INDEX(Workforce!$G$2:$G$151,MATCH(INDEX(FTE_Allocation!$A$2:$A$201,$AB592),Workforce!$A$2:$A$151,0))&amp;"","")))</f>
        <v/>
      </c>
      <c r="J592" s="18">
        <f>IF($Z592="","",IF(AND(DATE($AD592,1,1)&gt;=$AE592,DATE($AD592,1,1)&lt;=$AF592),ROUND($AG592,2),0))</f>
        <v/>
      </c>
      <c r="K592" s="18">
        <f>IF($Z592="","",IF(AND(DATE($AD592,2,1)&gt;=$AE592,DATE($AD592,2,1)&lt;=$AF592),ROUND($AG592,2),0))</f>
        <v/>
      </c>
      <c r="L592" s="18">
        <f>IF($Z592="","",IF(AND(DATE($AD592,3,1)&gt;=$AE592,DATE($AD592,3,1)&lt;=$AF592),ROUND($AG592,2),0))</f>
        <v/>
      </c>
      <c r="M592" s="18">
        <f>IF($Z592="","",IF(AND(DATE($AD592,4,1)&gt;=$AE592,DATE($AD592,4,1)&lt;=$AF592),ROUND($AG592,2),0))</f>
        <v/>
      </c>
      <c r="N592" s="18">
        <f>IF($Z592="","",IF(AND(DATE($AD592,5,1)&gt;=$AE592,DATE($AD592,5,1)&lt;=$AF592),ROUND($AG592,2),0))</f>
        <v/>
      </c>
      <c r="O592" s="18">
        <f>IF($Z592="","",IF(AND(DATE($AD592,6,1)&gt;=$AE592,DATE($AD592,6,1)&lt;=$AF592),ROUND($AG592,2),0))</f>
        <v/>
      </c>
      <c r="P592" s="18">
        <f>IF($Z592="","",IF(AND(DATE($AD592,7,1)&gt;=$AE592,DATE($AD592,7,1)&lt;=$AF592),ROUND($AG592,2),0))</f>
        <v/>
      </c>
      <c r="Q592" s="18">
        <f>IF($Z592="","",IF(AND(DATE($AD592,8,1)&gt;=$AE592,DATE($AD592,8,1)&lt;=$AF592),ROUND($AG592,2),0))</f>
        <v/>
      </c>
      <c r="R592" s="18">
        <f>IF($Z592="","",IF(AND(DATE($AD592,9,1)&gt;=$AE592,DATE($AD592,9,1)&lt;=$AF592),ROUND($AG592,2),0))</f>
        <v/>
      </c>
      <c r="S592" s="18">
        <f>IF($Z592="","",IF(AND(DATE($AD592,10,1)&gt;=$AE592,DATE($AD592,10,1)&lt;=$AF592),ROUND($AG592,2),0))</f>
        <v/>
      </c>
      <c r="T592" s="18">
        <f>IF($Z592="","",IF(AND(DATE($AD592,11,1)&gt;=$AE592,DATE($AD592,11,1)&lt;=$AF592),ROUND($AG592,2),0))</f>
        <v/>
      </c>
      <c r="U592" s="18">
        <f>IF($Z592="","",IF(AND(DATE($AD592,12,1)&gt;=$AE592,DATE($AD592,12,1)&lt;=$AF592),ROUND($AG592,2),0))</f>
        <v/>
      </c>
      <c r="V592" s="7">
        <f>IF($Z592="C","Generated from "&amp;INDEX(Contracts!$A$2:$A$151,$AB592),IF($Z592="A","Generated from "&amp;INDEX(Fixed_Assets!$A$2:$A$201,$AB592),IF($Z592="F","Generated from "&amp;INDEX(FTE_Allocation!$A$2:$A$201,$AB592),"")))</f>
        <v/>
      </c>
      <c r="X592" s="19">
        <f>IF($Z592="","",SUM(J592:U592))</f>
        <v/>
      </c>
      <c r="Y592" s="20">
        <f>ROW()-1</f>
        <v/>
      </c>
      <c r="Z592" s="20">
        <f>IF($Y592&lt;=Settings!$B$4*3,"C",IF($Y592&lt;=(Settings!$B$4+Settings!$B$5)*3,"A",IF($Y592&lt;=(Settings!$B$4+Settings!$B$5+Settings!$B$6)*3,"F","")))</f>
        <v/>
      </c>
      <c r="AA592" s="20">
        <f>IF($Z592="C",$Y592,IF($Z592="A",$Y592-Settings!$B$4*3,IF($Z592="F",$Y592-(Settings!$B$4+Settings!$B$5)*3,"")))</f>
        <v/>
      </c>
      <c r="AB592" s="20">
        <f>IF($Z592="","",INT(($AA592-1)/3)+1)</f>
        <v/>
      </c>
      <c r="AC592" s="20">
        <f>IF($Z592="","",MOD($AA592-1,3)+1)</f>
        <v/>
      </c>
      <c r="AD592" s="20">
        <f>IF($Z592="","",Settings!$B$2+$AC592-1)</f>
        <v/>
      </c>
      <c r="AE592" s="21">
        <f>IF($Z592="C",DATE(YEAR(INDEX(Contracts!$J$2:$J$151,$AB592)),MONTH(INDEX(Contracts!$J$2:$J$151,$AB592)),1),IF($Z592="A",DATE(YEAR(INDEX(Fixed_Assets!$G$2:$G$201,$AB592)),MONTH(INDEX(Fixed_Assets!$G$2:$G$201,$AB592)),1),IF($Z592="F",DATE(YEAR(MAX(N(INDEX(Workforce!$I$2:$I$151,MATCH(INDEX(FTE_Allocation!$A$2:$A$201,$AB592),Workforce!$A$2:$A$151,0))),N(INDEX(FTE_Allocation!$I$2:$I$201,$AB592)))),MONTH(MAX(N(INDEX(Workforce!$I$2:$I$151,MATCH(INDEX(FTE_Allocation!$A$2:$A$201,$AB592),Workforce!$A$2:$A$151,0))),N(INDEX(FTE_Allocation!$I$2:$I$201,$AB592)))),1),"")))</f>
        <v/>
      </c>
      <c r="AF592" s="21">
        <f>IF($Z592="C",IF(INDEX(Contracts!$I$2:$I$151,$AB592)="PREPAID",EDATE(DATE(YEAR(INDEX(Contracts!$J$2:$J$151,$AB592)),MONTH(INDEX(Contracts!$J$2:$J$151,$AB592)),1),IF(INDEX(Contracts!$N$2:$N$151,$AB592)="",12,INDEX(Contracts!$N$2:$N$151,$AB592))-1),IF(INDEX(Contracts!$I$2:$I$151,$AB592)="MONTHLY",IF(INDEX(Contracts!$K$2:$K$151,$AB592)="",2958101,INDEX(Contracts!$K$2:$K$151,$AB592)),0)),IF($Z592="A",EDATE(DATE(YEAR(INDEX(Fixed_Assets!$G$2:$G$201,$AB592)),MONTH(INDEX(Fixed_Assets!$G$2:$G$201,$AB592)),1),INDEX(Fixed_Assets!$J$2:$J$201,$AB592)-1),IF($Z592="F",MIN(IF(INDEX(Workforce!$J$2:$J$151,MATCH(INDEX(FTE_Allocation!$A$2:$A$201,$AB592),Workforce!$A$2:$A$151,0))="",2958101,INDEX(Workforce!$J$2:$J$151,MATCH(INDEX(FTE_Allocation!$A$2:$A$201,$AB592),Workforce!$A$2:$A$151,0))),IF(INDEX(FTE_Allocation!$J$2:$J$201,$AB592)="",2958101,INDEX(FTE_Allocation!$J$2:$J$201,$AB592))),"")))</f>
        <v/>
      </c>
      <c r="AG592" s="19">
        <f>IF($Z592="C",IF(INDEX(Contracts!$I$2:$I$151,$AB592)="PREPAID",INDEX(Contracts!$M$2:$M$151,$AB592)/IF(INDEX(Contracts!$N$2:$N$151,$AB592)="",12,INDEX(Contracts!$N$2:$N$151,$AB592)),IF(INDEX(Contracts!$I$2:$I$151,$AB592)="MONTHLY",INDEX(Contracts!$M$2:$M$151,$AB592),0))*(1-N(INDEX(Contracts!$O$2:$O$151,$AB592))),IF($Z592="A",INDEX(Fixed_Assets!$H$2:$H$201,$AB592)/INDEX(Fixed_Assets!$J$2:$J$201,$AB592),IF($Z592="F",INDEX(Workforce!$F$2:$F$151,MATCH(INDEX(FTE_Allocation!$A$2:$A$201,$AB592),Workforce!$A$2:$A$151,0))*N(INDEX(FTE_Allocation!$F$2:$H$201,$AB592,$AC592)),"")))</f>
        <v/>
      </c>
    </row>
    <row r="593">
      <c r="A593" s="7">
        <f>IF($Z593="","",$AD593)</f>
        <v/>
      </c>
      <c r="B593" s="7">
        <f>IF($Z593="C",INDEX(Contracts!$D$2:$D$151,$AB593)&amp;"",IF($Z593="A",INDEX(Fixed_Assets!$C$2:$C$201,$AB593)&amp;"",IF($Z593="F",INDEX(Workforce!$B$2:$B$151,MATCH(INDEX(FTE_Allocation!$A$2:$A$201,$AB593),Workforce!$A$2:$A$151,0))&amp;"","")))</f>
        <v/>
      </c>
      <c r="C593" s="7">
        <f>IF($Z593="C",INDEX(Contracts!$E$2:$E$151,$AB593)&amp;"",IF($Z593="A",INDEX(Fixed_Assets!$D$2:$D$201,$AB593)&amp;"",IF($Z593="F",INDEX(FTE_Allocation!$C$2:$C$201,$AB593)&amp;"","")))</f>
        <v/>
      </c>
      <c r="D593" s="7">
        <f>IF($Z593="C",INDEX(Contracts!$B$2:$B$151,$AB593)&amp;"",IF($Z593="A",INDEX(Fixed_Assets!$B$2:$B$201,$AB593)&amp;"",IF($Z593="F",INDEX(FTE_Allocation!$B$2:$B$201,$AB593)&amp;"","")))</f>
        <v/>
      </c>
      <c r="E593" s="7">
        <f>IF($Z593="C",INDEX(Contracts!$P$2:$P$151,$AB593)&amp;"",IF($Z593="A",INDEX(Fixed_Assets!$K$2:$K$201,$AB593)&amp;"",IF($Z593="F",IF(INDEX(FTE_Allocation!$D$2:$D$201,$AB593)="PROJECT",IFERROR(INDEX(Projects!$D:$D,MATCH(INDEX(FTE_Allocation!$E$2:$E$201,$AB593),Projects!$A:$A,0))&amp;"","#PROJECT?"),INDEX(FTE_Allocation!$E$2:$E$201,$AB593)&amp;""),"")))</f>
        <v/>
      </c>
      <c r="F593" s="7">
        <f>IF($Z593="C",INDEX(Contracts!$Q$2:$Q$151,$AB593)&amp;"",IF($Z593="A",INDEX(Fixed_Assets!$L$2:$L$201,$AB593)&amp;"",IF($Z593="F",INDEX(Workforce!$K$2:$K$151,MATCH(INDEX(FTE_Allocation!$A$2:$A$201,$AB593),Workforce!$A$2:$A$151,0))&amp;"","")))</f>
        <v/>
      </c>
      <c r="G593" s="7">
        <f>IF($Z593="C",INDEX(Contracts!$F$2:$F$151,$AB593)&amp;" / "&amp;INDEX(Contracts!$G$2:$G$151,$AB593),IF($Z593="A",INDEX(Fixed_Assets!$E$2:$E$201,$AB593)&amp;"",IF($Z593="F","Personnel "&amp;INDEX(FTE_Allocation!$A$2:$A$201,$AB593)&amp;IF(INDEX(FTE_Allocation!$D$2:$D$201,$AB593)="PROJECT"," ("&amp;INDEX(FTE_Allocation!$E$2:$E$201,$AB593)&amp;")",""),"")))</f>
        <v/>
      </c>
      <c r="H593" s="7">
        <f>IF($Z593="C","CONTRACT",IF($Z593="A","ASSET",IF($Z593="F","WORKFORCE","")))</f>
        <v/>
      </c>
      <c r="I593" s="7">
        <f>IF($Z593="C",INDEX(Contracts!$L$2:$L$151,$AB593)&amp;"",IF($Z593="A",INDEX(Fixed_Assets!$I$2:$I$201,$AB593)&amp;"",IF($Z593="F",INDEX(Workforce!$G$2:$G$151,MATCH(INDEX(FTE_Allocation!$A$2:$A$201,$AB593),Workforce!$A$2:$A$151,0))&amp;"","")))</f>
        <v/>
      </c>
      <c r="J593" s="18">
        <f>IF($Z593="","",IF(AND(DATE($AD593,1,1)&gt;=$AE593,DATE($AD593,1,1)&lt;=$AF593),ROUND($AG593,2),0))</f>
        <v/>
      </c>
      <c r="K593" s="18">
        <f>IF($Z593="","",IF(AND(DATE($AD593,2,1)&gt;=$AE593,DATE($AD593,2,1)&lt;=$AF593),ROUND($AG593,2),0))</f>
        <v/>
      </c>
      <c r="L593" s="18">
        <f>IF($Z593="","",IF(AND(DATE($AD593,3,1)&gt;=$AE593,DATE($AD593,3,1)&lt;=$AF593),ROUND($AG593,2),0))</f>
        <v/>
      </c>
      <c r="M593" s="18">
        <f>IF($Z593="","",IF(AND(DATE($AD593,4,1)&gt;=$AE593,DATE($AD593,4,1)&lt;=$AF593),ROUND($AG593,2),0))</f>
        <v/>
      </c>
      <c r="N593" s="18">
        <f>IF($Z593="","",IF(AND(DATE($AD593,5,1)&gt;=$AE593,DATE($AD593,5,1)&lt;=$AF593),ROUND($AG593,2),0))</f>
        <v/>
      </c>
      <c r="O593" s="18">
        <f>IF($Z593="","",IF(AND(DATE($AD593,6,1)&gt;=$AE593,DATE($AD593,6,1)&lt;=$AF593),ROUND($AG593,2),0))</f>
        <v/>
      </c>
      <c r="P593" s="18">
        <f>IF($Z593="","",IF(AND(DATE($AD593,7,1)&gt;=$AE593,DATE($AD593,7,1)&lt;=$AF593),ROUND($AG593,2),0))</f>
        <v/>
      </c>
      <c r="Q593" s="18">
        <f>IF($Z593="","",IF(AND(DATE($AD593,8,1)&gt;=$AE593,DATE($AD593,8,1)&lt;=$AF593),ROUND($AG593,2),0))</f>
        <v/>
      </c>
      <c r="R593" s="18">
        <f>IF($Z593="","",IF(AND(DATE($AD593,9,1)&gt;=$AE593,DATE($AD593,9,1)&lt;=$AF593),ROUND($AG593,2),0))</f>
        <v/>
      </c>
      <c r="S593" s="18">
        <f>IF($Z593="","",IF(AND(DATE($AD593,10,1)&gt;=$AE593,DATE($AD593,10,1)&lt;=$AF593),ROUND($AG593,2),0))</f>
        <v/>
      </c>
      <c r="T593" s="18">
        <f>IF($Z593="","",IF(AND(DATE($AD593,11,1)&gt;=$AE593,DATE($AD593,11,1)&lt;=$AF593),ROUND($AG593,2),0))</f>
        <v/>
      </c>
      <c r="U593" s="18">
        <f>IF($Z593="","",IF(AND(DATE($AD593,12,1)&gt;=$AE593,DATE($AD593,12,1)&lt;=$AF593),ROUND($AG593,2),0))</f>
        <v/>
      </c>
      <c r="V593" s="7">
        <f>IF($Z593="C","Generated from "&amp;INDEX(Contracts!$A$2:$A$151,$AB593),IF($Z593="A","Generated from "&amp;INDEX(Fixed_Assets!$A$2:$A$201,$AB593),IF($Z593="F","Generated from "&amp;INDEX(FTE_Allocation!$A$2:$A$201,$AB593),"")))</f>
        <v/>
      </c>
      <c r="X593" s="19">
        <f>IF($Z593="","",SUM(J593:U593))</f>
        <v/>
      </c>
      <c r="Y593" s="20">
        <f>ROW()-1</f>
        <v/>
      </c>
      <c r="Z593" s="20">
        <f>IF($Y593&lt;=Settings!$B$4*3,"C",IF($Y593&lt;=(Settings!$B$4+Settings!$B$5)*3,"A",IF($Y593&lt;=(Settings!$B$4+Settings!$B$5+Settings!$B$6)*3,"F","")))</f>
        <v/>
      </c>
      <c r="AA593" s="20">
        <f>IF($Z593="C",$Y593,IF($Z593="A",$Y593-Settings!$B$4*3,IF($Z593="F",$Y593-(Settings!$B$4+Settings!$B$5)*3,"")))</f>
        <v/>
      </c>
      <c r="AB593" s="20">
        <f>IF($Z593="","",INT(($AA593-1)/3)+1)</f>
        <v/>
      </c>
      <c r="AC593" s="20">
        <f>IF($Z593="","",MOD($AA593-1,3)+1)</f>
        <v/>
      </c>
      <c r="AD593" s="20">
        <f>IF($Z593="","",Settings!$B$2+$AC593-1)</f>
        <v/>
      </c>
      <c r="AE593" s="21">
        <f>IF($Z593="C",DATE(YEAR(INDEX(Contracts!$J$2:$J$151,$AB593)),MONTH(INDEX(Contracts!$J$2:$J$151,$AB593)),1),IF($Z593="A",DATE(YEAR(INDEX(Fixed_Assets!$G$2:$G$201,$AB593)),MONTH(INDEX(Fixed_Assets!$G$2:$G$201,$AB593)),1),IF($Z593="F",DATE(YEAR(MAX(N(INDEX(Workforce!$I$2:$I$151,MATCH(INDEX(FTE_Allocation!$A$2:$A$201,$AB593),Workforce!$A$2:$A$151,0))),N(INDEX(FTE_Allocation!$I$2:$I$201,$AB593)))),MONTH(MAX(N(INDEX(Workforce!$I$2:$I$151,MATCH(INDEX(FTE_Allocation!$A$2:$A$201,$AB593),Workforce!$A$2:$A$151,0))),N(INDEX(FTE_Allocation!$I$2:$I$201,$AB593)))),1),"")))</f>
        <v/>
      </c>
      <c r="AF593" s="21">
        <f>IF($Z593="C",IF(INDEX(Contracts!$I$2:$I$151,$AB593)="PREPAID",EDATE(DATE(YEAR(INDEX(Contracts!$J$2:$J$151,$AB593)),MONTH(INDEX(Contracts!$J$2:$J$151,$AB593)),1),IF(INDEX(Contracts!$N$2:$N$151,$AB593)="",12,INDEX(Contracts!$N$2:$N$151,$AB593))-1),IF(INDEX(Contracts!$I$2:$I$151,$AB593)="MONTHLY",IF(INDEX(Contracts!$K$2:$K$151,$AB593)="",2958101,INDEX(Contracts!$K$2:$K$151,$AB593)),0)),IF($Z593="A",EDATE(DATE(YEAR(INDEX(Fixed_Assets!$G$2:$G$201,$AB593)),MONTH(INDEX(Fixed_Assets!$G$2:$G$201,$AB593)),1),INDEX(Fixed_Assets!$J$2:$J$201,$AB593)-1),IF($Z593="F",MIN(IF(INDEX(Workforce!$J$2:$J$151,MATCH(INDEX(FTE_Allocation!$A$2:$A$201,$AB593),Workforce!$A$2:$A$151,0))="",2958101,INDEX(Workforce!$J$2:$J$151,MATCH(INDEX(FTE_Allocation!$A$2:$A$201,$AB593),Workforce!$A$2:$A$151,0))),IF(INDEX(FTE_Allocation!$J$2:$J$201,$AB593)="",2958101,INDEX(FTE_Allocation!$J$2:$J$201,$AB593))),"")))</f>
        <v/>
      </c>
      <c r="AG593" s="19">
        <f>IF($Z593="C",IF(INDEX(Contracts!$I$2:$I$151,$AB593)="PREPAID",INDEX(Contracts!$M$2:$M$151,$AB593)/IF(INDEX(Contracts!$N$2:$N$151,$AB593)="",12,INDEX(Contracts!$N$2:$N$151,$AB593)),IF(INDEX(Contracts!$I$2:$I$151,$AB593)="MONTHLY",INDEX(Contracts!$M$2:$M$151,$AB593),0))*(1-N(INDEX(Contracts!$O$2:$O$151,$AB593))),IF($Z593="A",INDEX(Fixed_Assets!$H$2:$H$201,$AB593)/INDEX(Fixed_Assets!$J$2:$J$201,$AB593),IF($Z593="F",INDEX(Workforce!$F$2:$F$151,MATCH(INDEX(FTE_Allocation!$A$2:$A$201,$AB593),Workforce!$A$2:$A$151,0))*N(INDEX(FTE_Allocation!$F$2:$H$201,$AB593,$AC593)),"")))</f>
        <v/>
      </c>
    </row>
    <row r="594">
      <c r="A594" s="7">
        <f>IF($Z594="","",$AD594)</f>
        <v/>
      </c>
      <c r="B594" s="7">
        <f>IF($Z594="C",INDEX(Contracts!$D$2:$D$151,$AB594)&amp;"",IF($Z594="A",INDEX(Fixed_Assets!$C$2:$C$201,$AB594)&amp;"",IF($Z594="F",INDEX(Workforce!$B$2:$B$151,MATCH(INDEX(FTE_Allocation!$A$2:$A$201,$AB594),Workforce!$A$2:$A$151,0))&amp;"","")))</f>
        <v/>
      </c>
      <c r="C594" s="7">
        <f>IF($Z594="C",INDEX(Contracts!$E$2:$E$151,$AB594)&amp;"",IF($Z594="A",INDEX(Fixed_Assets!$D$2:$D$201,$AB594)&amp;"",IF($Z594="F",INDEX(FTE_Allocation!$C$2:$C$201,$AB594)&amp;"","")))</f>
        <v/>
      </c>
      <c r="D594" s="7">
        <f>IF($Z594="C",INDEX(Contracts!$B$2:$B$151,$AB594)&amp;"",IF($Z594="A",INDEX(Fixed_Assets!$B$2:$B$201,$AB594)&amp;"",IF($Z594="F",INDEX(FTE_Allocation!$B$2:$B$201,$AB594)&amp;"","")))</f>
        <v/>
      </c>
      <c r="E594" s="7">
        <f>IF($Z594="C",INDEX(Contracts!$P$2:$P$151,$AB594)&amp;"",IF($Z594="A",INDEX(Fixed_Assets!$K$2:$K$201,$AB594)&amp;"",IF($Z594="F",IF(INDEX(FTE_Allocation!$D$2:$D$201,$AB594)="PROJECT",IFERROR(INDEX(Projects!$D:$D,MATCH(INDEX(FTE_Allocation!$E$2:$E$201,$AB594),Projects!$A:$A,0))&amp;"","#PROJECT?"),INDEX(FTE_Allocation!$E$2:$E$201,$AB594)&amp;""),"")))</f>
        <v/>
      </c>
      <c r="F594" s="7">
        <f>IF($Z594="C",INDEX(Contracts!$Q$2:$Q$151,$AB594)&amp;"",IF($Z594="A",INDEX(Fixed_Assets!$L$2:$L$201,$AB594)&amp;"",IF($Z594="F",INDEX(Workforce!$K$2:$K$151,MATCH(INDEX(FTE_Allocation!$A$2:$A$201,$AB594),Workforce!$A$2:$A$151,0))&amp;"","")))</f>
        <v/>
      </c>
      <c r="G594" s="7">
        <f>IF($Z594="C",INDEX(Contracts!$F$2:$F$151,$AB594)&amp;" / "&amp;INDEX(Contracts!$G$2:$G$151,$AB594),IF($Z594="A",INDEX(Fixed_Assets!$E$2:$E$201,$AB594)&amp;"",IF($Z594="F","Personnel "&amp;INDEX(FTE_Allocation!$A$2:$A$201,$AB594)&amp;IF(INDEX(FTE_Allocation!$D$2:$D$201,$AB594)="PROJECT"," ("&amp;INDEX(FTE_Allocation!$E$2:$E$201,$AB594)&amp;")",""),"")))</f>
        <v/>
      </c>
      <c r="H594" s="7">
        <f>IF($Z594="C","CONTRACT",IF($Z594="A","ASSET",IF($Z594="F","WORKFORCE","")))</f>
        <v/>
      </c>
      <c r="I594" s="7">
        <f>IF($Z594="C",INDEX(Contracts!$L$2:$L$151,$AB594)&amp;"",IF($Z594="A",INDEX(Fixed_Assets!$I$2:$I$201,$AB594)&amp;"",IF($Z594="F",INDEX(Workforce!$G$2:$G$151,MATCH(INDEX(FTE_Allocation!$A$2:$A$201,$AB594),Workforce!$A$2:$A$151,0))&amp;"","")))</f>
        <v/>
      </c>
      <c r="J594" s="18">
        <f>IF($Z594="","",IF(AND(DATE($AD594,1,1)&gt;=$AE594,DATE($AD594,1,1)&lt;=$AF594),ROUND($AG594,2),0))</f>
        <v/>
      </c>
      <c r="K594" s="18">
        <f>IF($Z594="","",IF(AND(DATE($AD594,2,1)&gt;=$AE594,DATE($AD594,2,1)&lt;=$AF594),ROUND($AG594,2),0))</f>
        <v/>
      </c>
      <c r="L594" s="18">
        <f>IF($Z594="","",IF(AND(DATE($AD594,3,1)&gt;=$AE594,DATE($AD594,3,1)&lt;=$AF594),ROUND($AG594,2),0))</f>
        <v/>
      </c>
      <c r="M594" s="18">
        <f>IF($Z594="","",IF(AND(DATE($AD594,4,1)&gt;=$AE594,DATE($AD594,4,1)&lt;=$AF594),ROUND($AG594,2),0))</f>
        <v/>
      </c>
      <c r="N594" s="18">
        <f>IF($Z594="","",IF(AND(DATE($AD594,5,1)&gt;=$AE594,DATE($AD594,5,1)&lt;=$AF594),ROUND($AG594,2),0))</f>
        <v/>
      </c>
      <c r="O594" s="18">
        <f>IF($Z594="","",IF(AND(DATE($AD594,6,1)&gt;=$AE594,DATE($AD594,6,1)&lt;=$AF594),ROUND($AG594,2),0))</f>
        <v/>
      </c>
      <c r="P594" s="18">
        <f>IF($Z594="","",IF(AND(DATE($AD594,7,1)&gt;=$AE594,DATE($AD594,7,1)&lt;=$AF594),ROUND($AG594,2),0))</f>
        <v/>
      </c>
      <c r="Q594" s="18">
        <f>IF($Z594="","",IF(AND(DATE($AD594,8,1)&gt;=$AE594,DATE($AD594,8,1)&lt;=$AF594),ROUND($AG594,2),0))</f>
        <v/>
      </c>
      <c r="R594" s="18">
        <f>IF($Z594="","",IF(AND(DATE($AD594,9,1)&gt;=$AE594,DATE($AD594,9,1)&lt;=$AF594),ROUND($AG594,2),0))</f>
        <v/>
      </c>
      <c r="S594" s="18">
        <f>IF($Z594="","",IF(AND(DATE($AD594,10,1)&gt;=$AE594,DATE($AD594,10,1)&lt;=$AF594),ROUND($AG594,2),0))</f>
        <v/>
      </c>
      <c r="T594" s="18">
        <f>IF($Z594="","",IF(AND(DATE($AD594,11,1)&gt;=$AE594,DATE($AD594,11,1)&lt;=$AF594),ROUND($AG594,2),0))</f>
        <v/>
      </c>
      <c r="U594" s="18">
        <f>IF($Z594="","",IF(AND(DATE($AD594,12,1)&gt;=$AE594,DATE($AD594,12,1)&lt;=$AF594),ROUND($AG594,2),0))</f>
        <v/>
      </c>
      <c r="V594" s="7">
        <f>IF($Z594="C","Generated from "&amp;INDEX(Contracts!$A$2:$A$151,$AB594),IF($Z594="A","Generated from "&amp;INDEX(Fixed_Assets!$A$2:$A$201,$AB594),IF($Z594="F","Generated from "&amp;INDEX(FTE_Allocation!$A$2:$A$201,$AB594),"")))</f>
        <v/>
      </c>
      <c r="X594" s="19">
        <f>IF($Z594="","",SUM(J594:U594))</f>
        <v/>
      </c>
      <c r="Y594" s="20">
        <f>ROW()-1</f>
        <v/>
      </c>
      <c r="Z594" s="20">
        <f>IF($Y594&lt;=Settings!$B$4*3,"C",IF($Y594&lt;=(Settings!$B$4+Settings!$B$5)*3,"A",IF($Y594&lt;=(Settings!$B$4+Settings!$B$5+Settings!$B$6)*3,"F","")))</f>
        <v/>
      </c>
      <c r="AA594" s="20">
        <f>IF($Z594="C",$Y594,IF($Z594="A",$Y594-Settings!$B$4*3,IF($Z594="F",$Y594-(Settings!$B$4+Settings!$B$5)*3,"")))</f>
        <v/>
      </c>
      <c r="AB594" s="20">
        <f>IF($Z594="","",INT(($AA594-1)/3)+1)</f>
        <v/>
      </c>
      <c r="AC594" s="20">
        <f>IF($Z594="","",MOD($AA594-1,3)+1)</f>
        <v/>
      </c>
      <c r="AD594" s="20">
        <f>IF($Z594="","",Settings!$B$2+$AC594-1)</f>
        <v/>
      </c>
      <c r="AE594" s="21">
        <f>IF($Z594="C",DATE(YEAR(INDEX(Contracts!$J$2:$J$151,$AB594)),MONTH(INDEX(Contracts!$J$2:$J$151,$AB594)),1),IF($Z594="A",DATE(YEAR(INDEX(Fixed_Assets!$G$2:$G$201,$AB594)),MONTH(INDEX(Fixed_Assets!$G$2:$G$201,$AB594)),1),IF($Z594="F",DATE(YEAR(MAX(N(INDEX(Workforce!$I$2:$I$151,MATCH(INDEX(FTE_Allocation!$A$2:$A$201,$AB594),Workforce!$A$2:$A$151,0))),N(INDEX(FTE_Allocation!$I$2:$I$201,$AB594)))),MONTH(MAX(N(INDEX(Workforce!$I$2:$I$151,MATCH(INDEX(FTE_Allocation!$A$2:$A$201,$AB594),Workforce!$A$2:$A$151,0))),N(INDEX(FTE_Allocation!$I$2:$I$201,$AB594)))),1),"")))</f>
        <v/>
      </c>
      <c r="AF594" s="21">
        <f>IF($Z594="C",IF(INDEX(Contracts!$I$2:$I$151,$AB594)="PREPAID",EDATE(DATE(YEAR(INDEX(Contracts!$J$2:$J$151,$AB594)),MONTH(INDEX(Contracts!$J$2:$J$151,$AB594)),1),IF(INDEX(Contracts!$N$2:$N$151,$AB594)="",12,INDEX(Contracts!$N$2:$N$151,$AB594))-1),IF(INDEX(Contracts!$I$2:$I$151,$AB594)="MONTHLY",IF(INDEX(Contracts!$K$2:$K$151,$AB594)="",2958101,INDEX(Contracts!$K$2:$K$151,$AB594)),0)),IF($Z594="A",EDATE(DATE(YEAR(INDEX(Fixed_Assets!$G$2:$G$201,$AB594)),MONTH(INDEX(Fixed_Assets!$G$2:$G$201,$AB594)),1),INDEX(Fixed_Assets!$J$2:$J$201,$AB594)-1),IF($Z594="F",MIN(IF(INDEX(Workforce!$J$2:$J$151,MATCH(INDEX(FTE_Allocation!$A$2:$A$201,$AB594),Workforce!$A$2:$A$151,0))="",2958101,INDEX(Workforce!$J$2:$J$151,MATCH(INDEX(FTE_Allocation!$A$2:$A$201,$AB594),Workforce!$A$2:$A$151,0))),IF(INDEX(FTE_Allocation!$J$2:$J$201,$AB594)="",2958101,INDEX(FTE_Allocation!$J$2:$J$201,$AB594))),"")))</f>
        <v/>
      </c>
      <c r="AG594" s="19">
        <f>IF($Z594="C",IF(INDEX(Contracts!$I$2:$I$151,$AB594)="PREPAID",INDEX(Contracts!$M$2:$M$151,$AB594)/IF(INDEX(Contracts!$N$2:$N$151,$AB594)="",12,INDEX(Contracts!$N$2:$N$151,$AB594)),IF(INDEX(Contracts!$I$2:$I$151,$AB594)="MONTHLY",INDEX(Contracts!$M$2:$M$151,$AB594),0))*(1-N(INDEX(Contracts!$O$2:$O$151,$AB594))),IF($Z594="A",INDEX(Fixed_Assets!$H$2:$H$201,$AB594)/INDEX(Fixed_Assets!$J$2:$J$201,$AB594),IF($Z594="F",INDEX(Workforce!$F$2:$F$151,MATCH(INDEX(FTE_Allocation!$A$2:$A$201,$AB594),Workforce!$A$2:$A$151,0))*N(INDEX(FTE_Allocation!$F$2:$H$201,$AB594,$AC594)),"")))</f>
        <v/>
      </c>
    </row>
    <row r="595">
      <c r="A595" s="7">
        <f>IF($Z595="","",$AD595)</f>
        <v/>
      </c>
      <c r="B595" s="7">
        <f>IF($Z595="C",INDEX(Contracts!$D$2:$D$151,$AB595)&amp;"",IF($Z595="A",INDEX(Fixed_Assets!$C$2:$C$201,$AB595)&amp;"",IF($Z595="F",INDEX(Workforce!$B$2:$B$151,MATCH(INDEX(FTE_Allocation!$A$2:$A$201,$AB595),Workforce!$A$2:$A$151,0))&amp;"","")))</f>
        <v/>
      </c>
      <c r="C595" s="7">
        <f>IF($Z595="C",INDEX(Contracts!$E$2:$E$151,$AB595)&amp;"",IF($Z595="A",INDEX(Fixed_Assets!$D$2:$D$201,$AB595)&amp;"",IF($Z595="F",INDEX(FTE_Allocation!$C$2:$C$201,$AB595)&amp;"","")))</f>
        <v/>
      </c>
      <c r="D595" s="7">
        <f>IF($Z595="C",INDEX(Contracts!$B$2:$B$151,$AB595)&amp;"",IF($Z595="A",INDEX(Fixed_Assets!$B$2:$B$201,$AB595)&amp;"",IF($Z595="F",INDEX(FTE_Allocation!$B$2:$B$201,$AB595)&amp;"","")))</f>
        <v/>
      </c>
      <c r="E595" s="7">
        <f>IF($Z595="C",INDEX(Contracts!$P$2:$P$151,$AB595)&amp;"",IF($Z595="A",INDEX(Fixed_Assets!$K$2:$K$201,$AB595)&amp;"",IF($Z595="F",IF(INDEX(FTE_Allocation!$D$2:$D$201,$AB595)="PROJECT",IFERROR(INDEX(Projects!$D:$D,MATCH(INDEX(FTE_Allocation!$E$2:$E$201,$AB595),Projects!$A:$A,0))&amp;"","#PROJECT?"),INDEX(FTE_Allocation!$E$2:$E$201,$AB595)&amp;""),"")))</f>
        <v/>
      </c>
      <c r="F595" s="7">
        <f>IF($Z595="C",INDEX(Contracts!$Q$2:$Q$151,$AB595)&amp;"",IF($Z595="A",INDEX(Fixed_Assets!$L$2:$L$201,$AB595)&amp;"",IF($Z595="F",INDEX(Workforce!$K$2:$K$151,MATCH(INDEX(FTE_Allocation!$A$2:$A$201,$AB595),Workforce!$A$2:$A$151,0))&amp;"","")))</f>
        <v/>
      </c>
      <c r="G595" s="7">
        <f>IF($Z595="C",INDEX(Contracts!$F$2:$F$151,$AB595)&amp;" / "&amp;INDEX(Contracts!$G$2:$G$151,$AB595),IF($Z595="A",INDEX(Fixed_Assets!$E$2:$E$201,$AB595)&amp;"",IF($Z595="F","Personnel "&amp;INDEX(FTE_Allocation!$A$2:$A$201,$AB595)&amp;IF(INDEX(FTE_Allocation!$D$2:$D$201,$AB595)="PROJECT"," ("&amp;INDEX(FTE_Allocation!$E$2:$E$201,$AB595)&amp;")",""),"")))</f>
        <v/>
      </c>
      <c r="H595" s="7">
        <f>IF($Z595="C","CONTRACT",IF($Z595="A","ASSET",IF($Z595="F","WORKFORCE","")))</f>
        <v/>
      </c>
      <c r="I595" s="7">
        <f>IF($Z595="C",INDEX(Contracts!$L$2:$L$151,$AB595)&amp;"",IF($Z595="A",INDEX(Fixed_Assets!$I$2:$I$201,$AB595)&amp;"",IF($Z595="F",INDEX(Workforce!$G$2:$G$151,MATCH(INDEX(FTE_Allocation!$A$2:$A$201,$AB595),Workforce!$A$2:$A$151,0))&amp;"","")))</f>
        <v/>
      </c>
      <c r="J595" s="18">
        <f>IF($Z595="","",IF(AND(DATE($AD595,1,1)&gt;=$AE595,DATE($AD595,1,1)&lt;=$AF595),ROUND($AG595,2),0))</f>
        <v/>
      </c>
      <c r="K595" s="18">
        <f>IF($Z595="","",IF(AND(DATE($AD595,2,1)&gt;=$AE595,DATE($AD595,2,1)&lt;=$AF595),ROUND($AG595,2),0))</f>
        <v/>
      </c>
      <c r="L595" s="18">
        <f>IF($Z595="","",IF(AND(DATE($AD595,3,1)&gt;=$AE595,DATE($AD595,3,1)&lt;=$AF595),ROUND($AG595,2),0))</f>
        <v/>
      </c>
      <c r="M595" s="18">
        <f>IF($Z595="","",IF(AND(DATE($AD595,4,1)&gt;=$AE595,DATE($AD595,4,1)&lt;=$AF595),ROUND($AG595,2),0))</f>
        <v/>
      </c>
      <c r="N595" s="18">
        <f>IF($Z595="","",IF(AND(DATE($AD595,5,1)&gt;=$AE595,DATE($AD595,5,1)&lt;=$AF595),ROUND($AG595,2),0))</f>
        <v/>
      </c>
      <c r="O595" s="18">
        <f>IF($Z595="","",IF(AND(DATE($AD595,6,1)&gt;=$AE595,DATE($AD595,6,1)&lt;=$AF595),ROUND($AG595,2),0))</f>
        <v/>
      </c>
      <c r="P595" s="18">
        <f>IF($Z595="","",IF(AND(DATE($AD595,7,1)&gt;=$AE595,DATE($AD595,7,1)&lt;=$AF595),ROUND($AG595,2),0))</f>
        <v/>
      </c>
      <c r="Q595" s="18">
        <f>IF($Z595="","",IF(AND(DATE($AD595,8,1)&gt;=$AE595,DATE($AD595,8,1)&lt;=$AF595),ROUND($AG595,2),0))</f>
        <v/>
      </c>
      <c r="R595" s="18">
        <f>IF($Z595="","",IF(AND(DATE($AD595,9,1)&gt;=$AE595,DATE($AD595,9,1)&lt;=$AF595),ROUND($AG595,2),0))</f>
        <v/>
      </c>
      <c r="S595" s="18">
        <f>IF($Z595="","",IF(AND(DATE($AD595,10,1)&gt;=$AE595,DATE($AD595,10,1)&lt;=$AF595),ROUND($AG595,2),0))</f>
        <v/>
      </c>
      <c r="T595" s="18">
        <f>IF($Z595="","",IF(AND(DATE($AD595,11,1)&gt;=$AE595,DATE($AD595,11,1)&lt;=$AF595),ROUND($AG595,2),0))</f>
        <v/>
      </c>
      <c r="U595" s="18">
        <f>IF($Z595="","",IF(AND(DATE($AD595,12,1)&gt;=$AE595,DATE($AD595,12,1)&lt;=$AF595),ROUND($AG595,2),0))</f>
        <v/>
      </c>
      <c r="V595" s="7">
        <f>IF($Z595="C","Generated from "&amp;INDEX(Contracts!$A$2:$A$151,$AB595),IF($Z595="A","Generated from "&amp;INDEX(Fixed_Assets!$A$2:$A$201,$AB595),IF($Z595="F","Generated from "&amp;INDEX(FTE_Allocation!$A$2:$A$201,$AB595),"")))</f>
        <v/>
      </c>
      <c r="X595" s="19">
        <f>IF($Z595="","",SUM(J595:U595))</f>
        <v/>
      </c>
      <c r="Y595" s="20">
        <f>ROW()-1</f>
        <v/>
      </c>
      <c r="Z595" s="20">
        <f>IF($Y595&lt;=Settings!$B$4*3,"C",IF($Y595&lt;=(Settings!$B$4+Settings!$B$5)*3,"A",IF($Y595&lt;=(Settings!$B$4+Settings!$B$5+Settings!$B$6)*3,"F","")))</f>
        <v/>
      </c>
      <c r="AA595" s="20">
        <f>IF($Z595="C",$Y595,IF($Z595="A",$Y595-Settings!$B$4*3,IF($Z595="F",$Y595-(Settings!$B$4+Settings!$B$5)*3,"")))</f>
        <v/>
      </c>
      <c r="AB595" s="20">
        <f>IF($Z595="","",INT(($AA595-1)/3)+1)</f>
        <v/>
      </c>
      <c r="AC595" s="20">
        <f>IF($Z595="","",MOD($AA595-1,3)+1)</f>
        <v/>
      </c>
      <c r="AD595" s="20">
        <f>IF($Z595="","",Settings!$B$2+$AC595-1)</f>
        <v/>
      </c>
      <c r="AE595" s="21">
        <f>IF($Z595="C",DATE(YEAR(INDEX(Contracts!$J$2:$J$151,$AB595)),MONTH(INDEX(Contracts!$J$2:$J$151,$AB595)),1),IF($Z595="A",DATE(YEAR(INDEX(Fixed_Assets!$G$2:$G$201,$AB595)),MONTH(INDEX(Fixed_Assets!$G$2:$G$201,$AB595)),1),IF($Z595="F",DATE(YEAR(MAX(N(INDEX(Workforce!$I$2:$I$151,MATCH(INDEX(FTE_Allocation!$A$2:$A$201,$AB595),Workforce!$A$2:$A$151,0))),N(INDEX(FTE_Allocation!$I$2:$I$201,$AB595)))),MONTH(MAX(N(INDEX(Workforce!$I$2:$I$151,MATCH(INDEX(FTE_Allocation!$A$2:$A$201,$AB595),Workforce!$A$2:$A$151,0))),N(INDEX(FTE_Allocation!$I$2:$I$201,$AB595)))),1),"")))</f>
        <v/>
      </c>
      <c r="AF595" s="21">
        <f>IF($Z595="C",IF(INDEX(Contracts!$I$2:$I$151,$AB595)="PREPAID",EDATE(DATE(YEAR(INDEX(Contracts!$J$2:$J$151,$AB595)),MONTH(INDEX(Contracts!$J$2:$J$151,$AB595)),1),IF(INDEX(Contracts!$N$2:$N$151,$AB595)="",12,INDEX(Contracts!$N$2:$N$151,$AB595))-1),IF(INDEX(Contracts!$I$2:$I$151,$AB595)="MONTHLY",IF(INDEX(Contracts!$K$2:$K$151,$AB595)="",2958101,INDEX(Contracts!$K$2:$K$151,$AB595)),0)),IF($Z595="A",EDATE(DATE(YEAR(INDEX(Fixed_Assets!$G$2:$G$201,$AB595)),MONTH(INDEX(Fixed_Assets!$G$2:$G$201,$AB595)),1),INDEX(Fixed_Assets!$J$2:$J$201,$AB595)-1),IF($Z595="F",MIN(IF(INDEX(Workforce!$J$2:$J$151,MATCH(INDEX(FTE_Allocation!$A$2:$A$201,$AB595),Workforce!$A$2:$A$151,0))="",2958101,INDEX(Workforce!$J$2:$J$151,MATCH(INDEX(FTE_Allocation!$A$2:$A$201,$AB595),Workforce!$A$2:$A$151,0))),IF(INDEX(FTE_Allocation!$J$2:$J$201,$AB595)="",2958101,INDEX(FTE_Allocation!$J$2:$J$201,$AB595))),"")))</f>
        <v/>
      </c>
      <c r="AG595" s="19">
        <f>IF($Z595="C",IF(INDEX(Contracts!$I$2:$I$151,$AB595)="PREPAID",INDEX(Contracts!$M$2:$M$151,$AB595)/IF(INDEX(Contracts!$N$2:$N$151,$AB595)="",12,INDEX(Contracts!$N$2:$N$151,$AB595)),IF(INDEX(Contracts!$I$2:$I$151,$AB595)="MONTHLY",INDEX(Contracts!$M$2:$M$151,$AB595),0))*(1-N(INDEX(Contracts!$O$2:$O$151,$AB595))),IF($Z595="A",INDEX(Fixed_Assets!$H$2:$H$201,$AB595)/INDEX(Fixed_Assets!$J$2:$J$201,$AB595),IF($Z595="F",INDEX(Workforce!$F$2:$F$151,MATCH(INDEX(FTE_Allocation!$A$2:$A$201,$AB595),Workforce!$A$2:$A$151,0))*N(INDEX(FTE_Allocation!$F$2:$H$201,$AB595,$AC595)),"")))</f>
        <v/>
      </c>
    </row>
    <row r="596">
      <c r="A596" s="7">
        <f>IF($Z596="","",$AD596)</f>
        <v/>
      </c>
      <c r="B596" s="7">
        <f>IF($Z596="C",INDEX(Contracts!$D$2:$D$151,$AB596)&amp;"",IF($Z596="A",INDEX(Fixed_Assets!$C$2:$C$201,$AB596)&amp;"",IF($Z596="F",INDEX(Workforce!$B$2:$B$151,MATCH(INDEX(FTE_Allocation!$A$2:$A$201,$AB596),Workforce!$A$2:$A$151,0))&amp;"","")))</f>
        <v/>
      </c>
      <c r="C596" s="7">
        <f>IF($Z596="C",INDEX(Contracts!$E$2:$E$151,$AB596)&amp;"",IF($Z596="A",INDEX(Fixed_Assets!$D$2:$D$201,$AB596)&amp;"",IF($Z596="F",INDEX(FTE_Allocation!$C$2:$C$201,$AB596)&amp;"","")))</f>
        <v/>
      </c>
      <c r="D596" s="7">
        <f>IF($Z596="C",INDEX(Contracts!$B$2:$B$151,$AB596)&amp;"",IF($Z596="A",INDEX(Fixed_Assets!$B$2:$B$201,$AB596)&amp;"",IF($Z596="F",INDEX(FTE_Allocation!$B$2:$B$201,$AB596)&amp;"","")))</f>
        <v/>
      </c>
      <c r="E596" s="7">
        <f>IF($Z596="C",INDEX(Contracts!$P$2:$P$151,$AB596)&amp;"",IF($Z596="A",INDEX(Fixed_Assets!$K$2:$K$201,$AB596)&amp;"",IF($Z596="F",IF(INDEX(FTE_Allocation!$D$2:$D$201,$AB596)="PROJECT",IFERROR(INDEX(Projects!$D:$D,MATCH(INDEX(FTE_Allocation!$E$2:$E$201,$AB596),Projects!$A:$A,0))&amp;"","#PROJECT?"),INDEX(FTE_Allocation!$E$2:$E$201,$AB596)&amp;""),"")))</f>
        <v/>
      </c>
      <c r="F596" s="7">
        <f>IF($Z596="C",INDEX(Contracts!$Q$2:$Q$151,$AB596)&amp;"",IF($Z596="A",INDEX(Fixed_Assets!$L$2:$L$201,$AB596)&amp;"",IF($Z596="F",INDEX(Workforce!$K$2:$K$151,MATCH(INDEX(FTE_Allocation!$A$2:$A$201,$AB596),Workforce!$A$2:$A$151,0))&amp;"","")))</f>
        <v/>
      </c>
      <c r="G596" s="7">
        <f>IF($Z596="C",INDEX(Contracts!$F$2:$F$151,$AB596)&amp;" / "&amp;INDEX(Contracts!$G$2:$G$151,$AB596),IF($Z596="A",INDEX(Fixed_Assets!$E$2:$E$201,$AB596)&amp;"",IF($Z596="F","Personnel "&amp;INDEX(FTE_Allocation!$A$2:$A$201,$AB596)&amp;IF(INDEX(FTE_Allocation!$D$2:$D$201,$AB596)="PROJECT"," ("&amp;INDEX(FTE_Allocation!$E$2:$E$201,$AB596)&amp;")",""),"")))</f>
        <v/>
      </c>
      <c r="H596" s="7">
        <f>IF($Z596="C","CONTRACT",IF($Z596="A","ASSET",IF($Z596="F","WORKFORCE","")))</f>
        <v/>
      </c>
      <c r="I596" s="7">
        <f>IF($Z596="C",INDEX(Contracts!$L$2:$L$151,$AB596)&amp;"",IF($Z596="A",INDEX(Fixed_Assets!$I$2:$I$201,$AB596)&amp;"",IF($Z596="F",INDEX(Workforce!$G$2:$G$151,MATCH(INDEX(FTE_Allocation!$A$2:$A$201,$AB596),Workforce!$A$2:$A$151,0))&amp;"","")))</f>
        <v/>
      </c>
      <c r="J596" s="18">
        <f>IF($Z596="","",IF(AND(DATE($AD596,1,1)&gt;=$AE596,DATE($AD596,1,1)&lt;=$AF596),ROUND($AG596,2),0))</f>
        <v/>
      </c>
      <c r="K596" s="18">
        <f>IF($Z596="","",IF(AND(DATE($AD596,2,1)&gt;=$AE596,DATE($AD596,2,1)&lt;=$AF596),ROUND($AG596,2),0))</f>
        <v/>
      </c>
      <c r="L596" s="18">
        <f>IF($Z596="","",IF(AND(DATE($AD596,3,1)&gt;=$AE596,DATE($AD596,3,1)&lt;=$AF596),ROUND($AG596,2),0))</f>
        <v/>
      </c>
      <c r="M596" s="18">
        <f>IF($Z596="","",IF(AND(DATE($AD596,4,1)&gt;=$AE596,DATE($AD596,4,1)&lt;=$AF596),ROUND($AG596,2),0))</f>
        <v/>
      </c>
      <c r="N596" s="18">
        <f>IF($Z596="","",IF(AND(DATE($AD596,5,1)&gt;=$AE596,DATE($AD596,5,1)&lt;=$AF596),ROUND($AG596,2),0))</f>
        <v/>
      </c>
      <c r="O596" s="18">
        <f>IF($Z596="","",IF(AND(DATE($AD596,6,1)&gt;=$AE596,DATE($AD596,6,1)&lt;=$AF596),ROUND($AG596,2),0))</f>
        <v/>
      </c>
      <c r="P596" s="18">
        <f>IF($Z596="","",IF(AND(DATE($AD596,7,1)&gt;=$AE596,DATE($AD596,7,1)&lt;=$AF596),ROUND($AG596,2),0))</f>
        <v/>
      </c>
      <c r="Q596" s="18">
        <f>IF($Z596="","",IF(AND(DATE($AD596,8,1)&gt;=$AE596,DATE($AD596,8,1)&lt;=$AF596),ROUND($AG596,2),0))</f>
        <v/>
      </c>
      <c r="R596" s="18">
        <f>IF($Z596="","",IF(AND(DATE($AD596,9,1)&gt;=$AE596,DATE($AD596,9,1)&lt;=$AF596),ROUND($AG596,2),0))</f>
        <v/>
      </c>
      <c r="S596" s="18">
        <f>IF($Z596="","",IF(AND(DATE($AD596,10,1)&gt;=$AE596,DATE($AD596,10,1)&lt;=$AF596),ROUND($AG596,2),0))</f>
        <v/>
      </c>
      <c r="T596" s="18">
        <f>IF($Z596="","",IF(AND(DATE($AD596,11,1)&gt;=$AE596,DATE($AD596,11,1)&lt;=$AF596),ROUND($AG596,2),0))</f>
        <v/>
      </c>
      <c r="U596" s="18">
        <f>IF($Z596="","",IF(AND(DATE($AD596,12,1)&gt;=$AE596,DATE($AD596,12,1)&lt;=$AF596),ROUND($AG596,2),0))</f>
        <v/>
      </c>
      <c r="V596" s="7">
        <f>IF($Z596="C","Generated from "&amp;INDEX(Contracts!$A$2:$A$151,$AB596),IF($Z596="A","Generated from "&amp;INDEX(Fixed_Assets!$A$2:$A$201,$AB596),IF($Z596="F","Generated from "&amp;INDEX(FTE_Allocation!$A$2:$A$201,$AB596),"")))</f>
        <v/>
      </c>
      <c r="X596" s="19">
        <f>IF($Z596="","",SUM(J596:U596))</f>
        <v/>
      </c>
      <c r="Y596" s="20">
        <f>ROW()-1</f>
        <v/>
      </c>
      <c r="Z596" s="20">
        <f>IF($Y596&lt;=Settings!$B$4*3,"C",IF($Y596&lt;=(Settings!$B$4+Settings!$B$5)*3,"A",IF($Y596&lt;=(Settings!$B$4+Settings!$B$5+Settings!$B$6)*3,"F","")))</f>
        <v/>
      </c>
      <c r="AA596" s="20">
        <f>IF($Z596="C",$Y596,IF($Z596="A",$Y596-Settings!$B$4*3,IF($Z596="F",$Y596-(Settings!$B$4+Settings!$B$5)*3,"")))</f>
        <v/>
      </c>
      <c r="AB596" s="20">
        <f>IF($Z596="","",INT(($AA596-1)/3)+1)</f>
        <v/>
      </c>
      <c r="AC596" s="20">
        <f>IF($Z596="","",MOD($AA596-1,3)+1)</f>
        <v/>
      </c>
      <c r="AD596" s="20">
        <f>IF($Z596="","",Settings!$B$2+$AC596-1)</f>
        <v/>
      </c>
      <c r="AE596" s="21">
        <f>IF($Z596="C",DATE(YEAR(INDEX(Contracts!$J$2:$J$151,$AB596)),MONTH(INDEX(Contracts!$J$2:$J$151,$AB596)),1),IF($Z596="A",DATE(YEAR(INDEX(Fixed_Assets!$G$2:$G$201,$AB596)),MONTH(INDEX(Fixed_Assets!$G$2:$G$201,$AB596)),1),IF($Z596="F",DATE(YEAR(MAX(N(INDEX(Workforce!$I$2:$I$151,MATCH(INDEX(FTE_Allocation!$A$2:$A$201,$AB596),Workforce!$A$2:$A$151,0))),N(INDEX(FTE_Allocation!$I$2:$I$201,$AB596)))),MONTH(MAX(N(INDEX(Workforce!$I$2:$I$151,MATCH(INDEX(FTE_Allocation!$A$2:$A$201,$AB596),Workforce!$A$2:$A$151,0))),N(INDEX(FTE_Allocation!$I$2:$I$201,$AB596)))),1),"")))</f>
        <v/>
      </c>
      <c r="AF596" s="21">
        <f>IF($Z596="C",IF(INDEX(Contracts!$I$2:$I$151,$AB596)="PREPAID",EDATE(DATE(YEAR(INDEX(Contracts!$J$2:$J$151,$AB596)),MONTH(INDEX(Contracts!$J$2:$J$151,$AB596)),1),IF(INDEX(Contracts!$N$2:$N$151,$AB596)="",12,INDEX(Contracts!$N$2:$N$151,$AB596))-1),IF(INDEX(Contracts!$I$2:$I$151,$AB596)="MONTHLY",IF(INDEX(Contracts!$K$2:$K$151,$AB596)="",2958101,INDEX(Contracts!$K$2:$K$151,$AB596)),0)),IF($Z596="A",EDATE(DATE(YEAR(INDEX(Fixed_Assets!$G$2:$G$201,$AB596)),MONTH(INDEX(Fixed_Assets!$G$2:$G$201,$AB596)),1),INDEX(Fixed_Assets!$J$2:$J$201,$AB596)-1),IF($Z596="F",MIN(IF(INDEX(Workforce!$J$2:$J$151,MATCH(INDEX(FTE_Allocation!$A$2:$A$201,$AB596),Workforce!$A$2:$A$151,0))="",2958101,INDEX(Workforce!$J$2:$J$151,MATCH(INDEX(FTE_Allocation!$A$2:$A$201,$AB596),Workforce!$A$2:$A$151,0))),IF(INDEX(FTE_Allocation!$J$2:$J$201,$AB596)="",2958101,INDEX(FTE_Allocation!$J$2:$J$201,$AB596))),"")))</f>
        <v/>
      </c>
      <c r="AG596" s="19">
        <f>IF($Z596="C",IF(INDEX(Contracts!$I$2:$I$151,$AB596)="PREPAID",INDEX(Contracts!$M$2:$M$151,$AB596)/IF(INDEX(Contracts!$N$2:$N$151,$AB596)="",12,INDEX(Contracts!$N$2:$N$151,$AB596)),IF(INDEX(Contracts!$I$2:$I$151,$AB596)="MONTHLY",INDEX(Contracts!$M$2:$M$151,$AB596),0))*(1-N(INDEX(Contracts!$O$2:$O$151,$AB596))),IF($Z596="A",INDEX(Fixed_Assets!$H$2:$H$201,$AB596)/INDEX(Fixed_Assets!$J$2:$J$201,$AB596),IF($Z596="F",INDEX(Workforce!$F$2:$F$151,MATCH(INDEX(FTE_Allocation!$A$2:$A$201,$AB596),Workforce!$A$2:$A$151,0))*N(INDEX(FTE_Allocation!$F$2:$H$201,$AB596,$AC596)),"")))</f>
        <v/>
      </c>
    </row>
    <row r="597">
      <c r="A597" s="7">
        <f>IF($Z597="","",$AD597)</f>
        <v/>
      </c>
      <c r="B597" s="7">
        <f>IF($Z597="C",INDEX(Contracts!$D$2:$D$151,$AB597)&amp;"",IF($Z597="A",INDEX(Fixed_Assets!$C$2:$C$201,$AB597)&amp;"",IF($Z597="F",INDEX(Workforce!$B$2:$B$151,MATCH(INDEX(FTE_Allocation!$A$2:$A$201,$AB597),Workforce!$A$2:$A$151,0))&amp;"","")))</f>
        <v/>
      </c>
      <c r="C597" s="7">
        <f>IF($Z597="C",INDEX(Contracts!$E$2:$E$151,$AB597)&amp;"",IF($Z597="A",INDEX(Fixed_Assets!$D$2:$D$201,$AB597)&amp;"",IF($Z597="F",INDEX(FTE_Allocation!$C$2:$C$201,$AB597)&amp;"","")))</f>
        <v/>
      </c>
      <c r="D597" s="7">
        <f>IF($Z597="C",INDEX(Contracts!$B$2:$B$151,$AB597)&amp;"",IF($Z597="A",INDEX(Fixed_Assets!$B$2:$B$201,$AB597)&amp;"",IF($Z597="F",INDEX(FTE_Allocation!$B$2:$B$201,$AB597)&amp;"","")))</f>
        <v/>
      </c>
      <c r="E597" s="7">
        <f>IF($Z597="C",INDEX(Contracts!$P$2:$P$151,$AB597)&amp;"",IF($Z597="A",INDEX(Fixed_Assets!$K$2:$K$201,$AB597)&amp;"",IF($Z597="F",IF(INDEX(FTE_Allocation!$D$2:$D$201,$AB597)="PROJECT",IFERROR(INDEX(Projects!$D:$D,MATCH(INDEX(FTE_Allocation!$E$2:$E$201,$AB597),Projects!$A:$A,0))&amp;"","#PROJECT?"),INDEX(FTE_Allocation!$E$2:$E$201,$AB597)&amp;""),"")))</f>
        <v/>
      </c>
      <c r="F597" s="7">
        <f>IF($Z597="C",INDEX(Contracts!$Q$2:$Q$151,$AB597)&amp;"",IF($Z597="A",INDEX(Fixed_Assets!$L$2:$L$201,$AB597)&amp;"",IF($Z597="F",INDEX(Workforce!$K$2:$K$151,MATCH(INDEX(FTE_Allocation!$A$2:$A$201,$AB597),Workforce!$A$2:$A$151,0))&amp;"","")))</f>
        <v/>
      </c>
      <c r="G597" s="7">
        <f>IF($Z597="C",INDEX(Contracts!$F$2:$F$151,$AB597)&amp;" / "&amp;INDEX(Contracts!$G$2:$G$151,$AB597),IF($Z597="A",INDEX(Fixed_Assets!$E$2:$E$201,$AB597)&amp;"",IF($Z597="F","Personnel "&amp;INDEX(FTE_Allocation!$A$2:$A$201,$AB597)&amp;IF(INDEX(FTE_Allocation!$D$2:$D$201,$AB597)="PROJECT"," ("&amp;INDEX(FTE_Allocation!$E$2:$E$201,$AB597)&amp;")",""),"")))</f>
        <v/>
      </c>
      <c r="H597" s="7">
        <f>IF($Z597="C","CONTRACT",IF($Z597="A","ASSET",IF($Z597="F","WORKFORCE","")))</f>
        <v/>
      </c>
      <c r="I597" s="7">
        <f>IF($Z597="C",INDEX(Contracts!$L$2:$L$151,$AB597)&amp;"",IF($Z597="A",INDEX(Fixed_Assets!$I$2:$I$201,$AB597)&amp;"",IF($Z597="F",INDEX(Workforce!$G$2:$G$151,MATCH(INDEX(FTE_Allocation!$A$2:$A$201,$AB597),Workforce!$A$2:$A$151,0))&amp;"","")))</f>
        <v/>
      </c>
      <c r="J597" s="18">
        <f>IF($Z597="","",IF(AND(DATE($AD597,1,1)&gt;=$AE597,DATE($AD597,1,1)&lt;=$AF597),ROUND($AG597,2),0))</f>
        <v/>
      </c>
      <c r="K597" s="18">
        <f>IF($Z597="","",IF(AND(DATE($AD597,2,1)&gt;=$AE597,DATE($AD597,2,1)&lt;=$AF597),ROUND($AG597,2),0))</f>
        <v/>
      </c>
      <c r="L597" s="18">
        <f>IF($Z597="","",IF(AND(DATE($AD597,3,1)&gt;=$AE597,DATE($AD597,3,1)&lt;=$AF597),ROUND($AG597,2),0))</f>
        <v/>
      </c>
      <c r="M597" s="18">
        <f>IF($Z597="","",IF(AND(DATE($AD597,4,1)&gt;=$AE597,DATE($AD597,4,1)&lt;=$AF597),ROUND($AG597,2),0))</f>
        <v/>
      </c>
      <c r="N597" s="18">
        <f>IF($Z597="","",IF(AND(DATE($AD597,5,1)&gt;=$AE597,DATE($AD597,5,1)&lt;=$AF597),ROUND($AG597,2),0))</f>
        <v/>
      </c>
      <c r="O597" s="18">
        <f>IF($Z597="","",IF(AND(DATE($AD597,6,1)&gt;=$AE597,DATE($AD597,6,1)&lt;=$AF597),ROUND($AG597,2),0))</f>
        <v/>
      </c>
      <c r="P597" s="18">
        <f>IF($Z597="","",IF(AND(DATE($AD597,7,1)&gt;=$AE597,DATE($AD597,7,1)&lt;=$AF597),ROUND($AG597,2),0))</f>
        <v/>
      </c>
      <c r="Q597" s="18">
        <f>IF($Z597="","",IF(AND(DATE($AD597,8,1)&gt;=$AE597,DATE($AD597,8,1)&lt;=$AF597),ROUND($AG597,2),0))</f>
        <v/>
      </c>
      <c r="R597" s="18">
        <f>IF($Z597="","",IF(AND(DATE($AD597,9,1)&gt;=$AE597,DATE($AD597,9,1)&lt;=$AF597),ROUND($AG597,2),0))</f>
        <v/>
      </c>
      <c r="S597" s="18">
        <f>IF($Z597="","",IF(AND(DATE($AD597,10,1)&gt;=$AE597,DATE($AD597,10,1)&lt;=$AF597),ROUND($AG597,2),0))</f>
        <v/>
      </c>
      <c r="T597" s="18">
        <f>IF($Z597="","",IF(AND(DATE($AD597,11,1)&gt;=$AE597,DATE($AD597,11,1)&lt;=$AF597),ROUND($AG597,2),0))</f>
        <v/>
      </c>
      <c r="U597" s="18">
        <f>IF($Z597="","",IF(AND(DATE($AD597,12,1)&gt;=$AE597,DATE($AD597,12,1)&lt;=$AF597),ROUND($AG597,2),0))</f>
        <v/>
      </c>
      <c r="V597" s="7">
        <f>IF($Z597="C","Generated from "&amp;INDEX(Contracts!$A$2:$A$151,$AB597),IF($Z597="A","Generated from "&amp;INDEX(Fixed_Assets!$A$2:$A$201,$AB597),IF($Z597="F","Generated from "&amp;INDEX(FTE_Allocation!$A$2:$A$201,$AB597),"")))</f>
        <v/>
      </c>
      <c r="X597" s="19">
        <f>IF($Z597="","",SUM(J597:U597))</f>
        <v/>
      </c>
      <c r="Y597" s="20">
        <f>ROW()-1</f>
        <v/>
      </c>
      <c r="Z597" s="20">
        <f>IF($Y597&lt;=Settings!$B$4*3,"C",IF($Y597&lt;=(Settings!$B$4+Settings!$B$5)*3,"A",IF($Y597&lt;=(Settings!$B$4+Settings!$B$5+Settings!$B$6)*3,"F","")))</f>
        <v/>
      </c>
      <c r="AA597" s="20">
        <f>IF($Z597="C",$Y597,IF($Z597="A",$Y597-Settings!$B$4*3,IF($Z597="F",$Y597-(Settings!$B$4+Settings!$B$5)*3,"")))</f>
        <v/>
      </c>
      <c r="AB597" s="20">
        <f>IF($Z597="","",INT(($AA597-1)/3)+1)</f>
        <v/>
      </c>
      <c r="AC597" s="20">
        <f>IF($Z597="","",MOD($AA597-1,3)+1)</f>
        <v/>
      </c>
      <c r="AD597" s="20">
        <f>IF($Z597="","",Settings!$B$2+$AC597-1)</f>
        <v/>
      </c>
      <c r="AE597" s="21">
        <f>IF($Z597="C",DATE(YEAR(INDEX(Contracts!$J$2:$J$151,$AB597)),MONTH(INDEX(Contracts!$J$2:$J$151,$AB597)),1),IF($Z597="A",DATE(YEAR(INDEX(Fixed_Assets!$G$2:$G$201,$AB597)),MONTH(INDEX(Fixed_Assets!$G$2:$G$201,$AB597)),1),IF($Z597="F",DATE(YEAR(MAX(N(INDEX(Workforce!$I$2:$I$151,MATCH(INDEX(FTE_Allocation!$A$2:$A$201,$AB597),Workforce!$A$2:$A$151,0))),N(INDEX(FTE_Allocation!$I$2:$I$201,$AB597)))),MONTH(MAX(N(INDEX(Workforce!$I$2:$I$151,MATCH(INDEX(FTE_Allocation!$A$2:$A$201,$AB597),Workforce!$A$2:$A$151,0))),N(INDEX(FTE_Allocation!$I$2:$I$201,$AB597)))),1),"")))</f>
        <v/>
      </c>
      <c r="AF597" s="21">
        <f>IF($Z597="C",IF(INDEX(Contracts!$I$2:$I$151,$AB597)="PREPAID",EDATE(DATE(YEAR(INDEX(Contracts!$J$2:$J$151,$AB597)),MONTH(INDEX(Contracts!$J$2:$J$151,$AB597)),1),IF(INDEX(Contracts!$N$2:$N$151,$AB597)="",12,INDEX(Contracts!$N$2:$N$151,$AB597))-1),IF(INDEX(Contracts!$I$2:$I$151,$AB597)="MONTHLY",IF(INDEX(Contracts!$K$2:$K$151,$AB597)="",2958101,INDEX(Contracts!$K$2:$K$151,$AB597)),0)),IF($Z597="A",EDATE(DATE(YEAR(INDEX(Fixed_Assets!$G$2:$G$201,$AB597)),MONTH(INDEX(Fixed_Assets!$G$2:$G$201,$AB597)),1),INDEX(Fixed_Assets!$J$2:$J$201,$AB597)-1),IF($Z597="F",MIN(IF(INDEX(Workforce!$J$2:$J$151,MATCH(INDEX(FTE_Allocation!$A$2:$A$201,$AB597),Workforce!$A$2:$A$151,0))="",2958101,INDEX(Workforce!$J$2:$J$151,MATCH(INDEX(FTE_Allocation!$A$2:$A$201,$AB597),Workforce!$A$2:$A$151,0))),IF(INDEX(FTE_Allocation!$J$2:$J$201,$AB597)="",2958101,INDEX(FTE_Allocation!$J$2:$J$201,$AB597))),"")))</f>
        <v/>
      </c>
      <c r="AG597" s="19">
        <f>IF($Z597="C",IF(INDEX(Contracts!$I$2:$I$151,$AB597)="PREPAID",INDEX(Contracts!$M$2:$M$151,$AB597)/IF(INDEX(Contracts!$N$2:$N$151,$AB597)="",12,INDEX(Contracts!$N$2:$N$151,$AB597)),IF(INDEX(Contracts!$I$2:$I$151,$AB597)="MONTHLY",INDEX(Contracts!$M$2:$M$151,$AB597),0))*(1-N(INDEX(Contracts!$O$2:$O$151,$AB597))),IF($Z597="A",INDEX(Fixed_Assets!$H$2:$H$201,$AB597)/INDEX(Fixed_Assets!$J$2:$J$201,$AB597),IF($Z597="F",INDEX(Workforce!$F$2:$F$151,MATCH(INDEX(FTE_Allocation!$A$2:$A$201,$AB597),Workforce!$A$2:$A$151,0))*N(INDEX(FTE_Allocation!$F$2:$H$201,$AB597,$AC597)),"")))</f>
        <v/>
      </c>
    </row>
    <row r="598">
      <c r="A598" s="7">
        <f>IF($Z598="","",$AD598)</f>
        <v/>
      </c>
      <c r="B598" s="7">
        <f>IF($Z598="C",INDEX(Contracts!$D$2:$D$151,$AB598)&amp;"",IF($Z598="A",INDEX(Fixed_Assets!$C$2:$C$201,$AB598)&amp;"",IF($Z598="F",INDEX(Workforce!$B$2:$B$151,MATCH(INDEX(FTE_Allocation!$A$2:$A$201,$AB598),Workforce!$A$2:$A$151,0))&amp;"","")))</f>
        <v/>
      </c>
      <c r="C598" s="7">
        <f>IF($Z598="C",INDEX(Contracts!$E$2:$E$151,$AB598)&amp;"",IF($Z598="A",INDEX(Fixed_Assets!$D$2:$D$201,$AB598)&amp;"",IF($Z598="F",INDEX(FTE_Allocation!$C$2:$C$201,$AB598)&amp;"","")))</f>
        <v/>
      </c>
      <c r="D598" s="7">
        <f>IF($Z598="C",INDEX(Contracts!$B$2:$B$151,$AB598)&amp;"",IF($Z598="A",INDEX(Fixed_Assets!$B$2:$B$201,$AB598)&amp;"",IF($Z598="F",INDEX(FTE_Allocation!$B$2:$B$201,$AB598)&amp;"","")))</f>
        <v/>
      </c>
      <c r="E598" s="7">
        <f>IF($Z598="C",INDEX(Contracts!$P$2:$P$151,$AB598)&amp;"",IF($Z598="A",INDEX(Fixed_Assets!$K$2:$K$201,$AB598)&amp;"",IF($Z598="F",IF(INDEX(FTE_Allocation!$D$2:$D$201,$AB598)="PROJECT",IFERROR(INDEX(Projects!$D:$D,MATCH(INDEX(FTE_Allocation!$E$2:$E$201,$AB598),Projects!$A:$A,0))&amp;"","#PROJECT?"),INDEX(FTE_Allocation!$E$2:$E$201,$AB598)&amp;""),"")))</f>
        <v/>
      </c>
      <c r="F598" s="7">
        <f>IF($Z598="C",INDEX(Contracts!$Q$2:$Q$151,$AB598)&amp;"",IF($Z598="A",INDEX(Fixed_Assets!$L$2:$L$201,$AB598)&amp;"",IF($Z598="F",INDEX(Workforce!$K$2:$K$151,MATCH(INDEX(FTE_Allocation!$A$2:$A$201,$AB598),Workforce!$A$2:$A$151,0))&amp;"","")))</f>
        <v/>
      </c>
      <c r="G598" s="7">
        <f>IF($Z598="C",INDEX(Contracts!$F$2:$F$151,$AB598)&amp;" / "&amp;INDEX(Contracts!$G$2:$G$151,$AB598),IF($Z598="A",INDEX(Fixed_Assets!$E$2:$E$201,$AB598)&amp;"",IF($Z598="F","Personnel "&amp;INDEX(FTE_Allocation!$A$2:$A$201,$AB598)&amp;IF(INDEX(FTE_Allocation!$D$2:$D$201,$AB598)="PROJECT"," ("&amp;INDEX(FTE_Allocation!$E$2:$E$201,$AB598)&amp;")",""),"")))</f>
        <v/>
      </c>
      <c r="H598" s="7">
        <f>IF($Z598="C","CONTRACT",IF($Z598="A","ASSET",IF($Z598="F","WORKFORCE","")))</f>
        <v/>
      </c>
      <c r="I598" s="7">
        <f>IF($Z598="C",INDEX(Contracts!$L$2:$L$151,$AB598)&amp;"",IF($Z598="A",INDEX(Fixed_Assets!$I$2:$I$201,$AB598)&amp;"",IF($Z598="F",INDEX(Workforce!$G$2:$G$151,MATCH(INDEX(FTE_Allocation!$A$2:$A$201,$AB598),Workforce!$A$2:$A$151,0))&amp;"","")))</f>
        <v/>
      </c>
      <c r="J598" s="18">
        <f>IF($Z598="","",IF(AND(DATE($AD598,1,1)&gt;=$AE598,DATE($AD598,1,1)&lt;=$AF598),ROUND($AG598,2),0))</f>
        <v/>
      </c>
      <c r="K598" s="18">
        <f>IF($Z598="","",IF(AND(DATE($AD598,2,1)&gt;=$AE598,DATE($AD598,2,1)&lt;=$AF598),ROUND($AG598,2),0))</f>
        <v/>
      </c>
      <c r="L598" s="18">
        <f>IF($Z598="","",IF(AND(DATE($AD598,3,1)&gt;=$AE598,DATE($AD598,3,1)&lt;=$AF598),ROUND($AG598,2),0))</f>
        <v/>
      </c>
      <c r="M598" s="18">
        <f>IF($Z598="","",IF(AND(DATE($AD598,4,1)&gt;=$AE598,DATE($AD598,4,1)&lt;=$AF598),ROUND($AG598,2),0))</f>
        <v/>
      </c>
      <c r="N598" s="18">
        <f>IF($Z598="","",IF(AND(DATE($AD598,5,1)&gt;=$AE598,DATE($AD598,5,1)&lt;=$AF598),ROUND($AG598,2),0))</f>
        <v/>
      </c>
      <c r="O598" s="18">
        <f>IF($Z598="","",IF(AND(DATE($AD598,6,1)&gt;=$AE598,DATE($AD598,6,1)&lt;=$AF598),ROUND($AG598,2),0))</f>
        <v/>
      </c>
      <c r="P598" s="18">
        <f>IF($Z598="","",IF(AND(DATE($AD598,7,1)&gt;=$AE598,DATE($AD598,7,1)&lt;=$AF598),ROUND($AG598,2),0))</f>
        <v/>
      </c>
      <c r="Q598" s="18">
        <f>IF($Z598="","",IF(AND(DATE($AD598,8,1)&gt;=$AE598,DATE($AD598,8,1)&lt;=$AF598),ROUND($AG598,2),0))</f>
        <v/>
      </c>
      <c r="R598" s="18">
        <f>IF($Z598="","",IF(AND(DATE($AD598,9,1)&gt;=$AE598,DATE($AD598,9,1)&lt;=$AF598),ROUND($AG598,2),0))</f>
        <v/>
      </c>
      <c r="S598" s="18">
        <f>IF($Z598="","",IF(AND(DATE($AD598,10,1)&gt;=$AE598,DATE($AD598,10,1)&lt;=$AF598),ROUND($AG598,2),0))</f>
        <v/>
      </c>
      <c r="T598" s="18">
        <f>IF($Z598="","",IF(AND(DATE($AD598,11,1)&gt;=$AE598,DATE($AD598,11,1)&lt;=$AF598),ROUND($AG598,2),0))</f>
        <v/>
      </c>
      <c r="U598" s="18">
        <f>IF($Z598="","",IF(AND(DATE($AD598,12,1)&gt;=$AE598,DATE($AD598,12,1)&lt;=$AF598),ROUND($AG598,2),0))</f>
        <v/>
      </c>
      <c r="V598" s="7">
        <f>IF($Z598="C","Generated from "&amp;INDEX(Contracts!$A$2:$A$151,$AB598),IF($Z598="A","Generated from "&amp;INDEX(Fixed_Assets!$A$2:$A$201,$AB598),IF($Z598="F","Generated from "&amp;INDEX(FTE_Allocation!$A$2:$A$201,$AB598),"")))</f>
        <v/>
      </c>
      <c r="X598" s="19">
        <f>IF($Z598="","",SUM(J598:U598))</f>
        <v/>
      </c>
      <c r="Y598" s="20">
        <f>ROW()-1</f>
        <v/>
      </c>
      <c r="Z598" s="20">
        <f>IF($Y598&lt;=Settings!$B$4*3,"C",IF($Y598&lt;=(Settings!$B$4+Settings!$B$5)*3,"A",IF($Y598&lt;=(Settings!$B$4+Settings!$B$5+Settings!$B$6)*3,"F","")))</f>
        <v/>
      </c>
      <c r="AA598" s="20">
        <f>IF($Z598="C",$Y598,IF($Z598="A",$Y598-Settings!$B$4*3,IF($Z598="F",$Y598-(Settings!$B$4+Settings!$B$5)*3,"")))</f>
        <v/>
      </c>
      <c r="AB598" s="20">
        <f>IF($Z598="","",INT(($AA598-1)/3)+1)</f>
        <v/>
      </c>
      <c r="AC598" s="20">
        <f>IF($Z598="","",MOD($AA598-1,3)+1)</f>
        <v/>
      </c>
      <c r="AD598" s="20">
        <f>IF($Z598="","",Settings!$B$2+$AC598-1)</f>
        <v/>
      </c>
      <c r="AE598" s="21">
        <f>IF($Z598="C",DATE(YEAR(INDEX(Contracts!$J$2:$J$151,$AB598)),MONTH(INDEX(Contracts!$J$2:$J$151,$AB598)),1),IF($Z598="A",DATE(YEAR(INDEX(Fixed_Assets!$G$2:$G$201,$AB598)),MONTH(INDEX(Fixed_Assets!$G$2:$G$201,$AB598)),1),IF($Z598="F",DATE(YEAR(MAX(N(INDEX(Workforce!$I$2:$I$151,MATCH(INDEX(FTE_Allocation!$A$2:$A$201,$AB598),Workforce!$A$2:$A$151,0))),N(INDEX(FTE_Allocation!$I$2:$I$201,$AB598)))),MONTH(MAX(N(INDEX(Workforce!$I$2:$I$151,MATCH(INDEX(FTE_Allocation!$A$2:$A$201,$AB598),Workforce!$A$2:$A$151,0))),N(INDEX(FTE_Allocation!$I$2:$I$201,$AB598)))),1),"")))</f>
        <v/>
      </c>
      <c r="AF598" s="21">
        <f>IF($Z598="C",IF(INDEX(Contracts!$I$2:$I$151,$AB598)="PREPAID",EDATE(DATE(YEAR(INDEX(Contracts!$J$2:$J$151,$AB598)),MONTH(INDEX(Contracts!$J$2:$J$151,$AB598)),1),IF(INDEX(Contracts!$N$2:$N$151,$AB598)="",12,INDEX(Contracts!$N$2:$N$151,$AB598))-1),IF(INDEX(Contracts!$I$2:$I$151,$AB598)="MONTHLY",IF(INDEX(Contracts!$K$2:$K$151,$AB598)="",2958101,INDEX(Contracts!$K$2:$K$151,$AB598)),0)),IF($Z598="A",EDATE(DATE(YEAR(INDEX(Fixed_Assets!$G$2:$G$201,$AB598)),MONTH(INDEX(Fixed_Assets!$G$2:$G$201,$AB598)),1),INDEX(Fixed_Assets!$J$2:$J$201,$AB598)-1),IF($Z598="F",MIN(IF(INDEX(Workforce!$J$2:$J$151,MATCH(INDEX(FTE_Allocation!$A$2:$A$201,$AB598),Workforce!$A$2:$A$151,0))="",2958101,INDEX(Workforce!$J$2:$J$151,MATCH(INDEX(FTE_Allocation!$A$2:$A$201,$AB598),Workforce!$A$2:$A$151,0))),IF(INDEX(FTE_Allocation!$J$2:$J$201,$AB598)="",2958101,INDEX(FTE_Allocation!$J$2:$J$201,$AB598))),"")))</f>
        <v/>
      </c>
      <c r="AG598" s="19">
        <f>IF($Z598="C",IF(INDEX(Contracts!$I$2:$I$151,$AB598)="PREPAID",INDEX(Contracts!$M$2:$M$151,$AB598)/IF(INDEX(Contracts!$N$2:$N$151,$AB598)="",12,INDEX(Contracts!$N$2:$N$151,$AB598)),IF(INDEX(Contracts!$I$2:$I$151,$AB598)="MONTHLY",INDEX(Contracts!$M$2:$M$151,$AB598),0))*(1-N(INDEX(Contracts!$O$2:$O$151,$AB598))),IF($Z598="A",INDEX(Fixed_Assets!$H$2:$H$201,$AB598)/INDEX(Fixed_Assets!$J$2:$J$201,$AB598),IF($Z598="F",INDEX(Workforce!$F$2:$F$151,MATCH(INDEX(FTE_Allocation!$A$2:$A$201,$AB598),Workforce!$A$2:$A$151,0))*N(INDEX(FTE_Allocation!$F$2:$H$201,$AB598,$AC598)),"")))</f>
        <v/>
      </c>
    </row>
    <row r="599">
      <c r="A599" s="7">
        <f>IF($Z599="","",$AD599)</f>
        <v/>
      </c>
      <c r="B599" s="7">
        <f>IF($Z599="C",INDEX(Contracts!$D$2:$D$151,$AB599)&amp;"",IF($Z599="A",INDEX(Fixed_Assets!$C$2:$C$201,$AB599)&amp;"",IF($Z599="F",INDEX(Workforce!$B$2:$B$151,MATCH(INDEX(FTE_Allocation!$A$2:$A$201,$AB599),Workforce!$A$2:$A$151,0))&amp;"","")))</f>
        <v/>
      </c>
      <c r="C599" s="7">
        <f>IF($Z599="C",INDEX(Contracts!$E$2:$E$151,$AB599)&amp;"",IF($Z599="A",INDEX(Fixed_Assets!$D$2:$D$201,$AB599)&amp;"",IF($Z599="F",INDEX(FTE_Allocation!$C$2:$C$201,$AB599)&amp;"","")))</f>
        <v/>
      </c>
      <c r="D599" s="7">
        <f>IF($Z599="C",INDEX(Contracts!$B$2:$B$151,$AB599)&amp;"",IF($Z599="A",INDEX(Fixed_Assets!$B$2:$B$201,$AB599)&amp;"",IF($Z599="F",INDEX(FTE_Allocation!$B$2:$B$201,$AB599)&amp;"","")))</f>
        <v/>
      </c>
      <c r="E599" s="7">
        <f>IF($Z599="C",INDEX(Contracts!$P$2:$P$151,$AB599)&amp;"",IF($Z599="A",INDEX(Fixed_Assets!$K$2:$K$201,$AB599)&amp;"",IF($Z599="F",IF(INDEX(FTE_Allocation!$D$2:$D$201,$AB599)="PROJECT",IFERROR(INDEX(Projects!$D:$D,MATCH(INDEX(FTE_Allocation!$E$2:$E$201,$AB599),Projects!$A:$A,0))&amp;"","#PROJECT?"),INDEX(FTE_Allocation!$E$2:$E$201,$AB599)&amp;""),"")))</f>
        <v/>
      </c>
      <c r="F599" s="7">
        <f>IF($Z599="C",INDEX(Contracts!$Q$2:$Q$151,$AB599)&amp;"",IF($Z599="A",INDEX(Fixed_Assets!$L$2:$L$201,$AB599)&amp;"",IF($Z599="F",INDEX(Workforce!$K$2:$K$151,MATCH(INDEX(FTE_Allocation!$A$2:$A$201,$AB599),Workforce!$A$2:$A$151,0))&amp;"","")))</f>
        <v/>
      </c>
      <c r="G599" s="7">
        <f>IF($Z599="C",INDEX(Contracts!$F$2:$F$151,$AB599)&amp;" / "&amp;INDEX(Contracts!$G$2:$G$151,$AB599),IF($Z599="A",INDEX(Fixed_Assets!$E$2:$E$201,$AB599)&amp;"",IF($Z599="F","Personnel "&amp;INDEX(FTE_Allocation!$A$2:$A$201,$AB599)&amp;IF(INDEX(FTE_Allocation!$D$2:$D$201,$AB599)="PROJECT"," ("&amp;INDEX(FTE_Allocation!$E$2:$E$201,$AB599)&amp;")",""),"")))</f>
        <v/>
      </c>
      <c r="H599" s="7">
        <f>IF($Z599="C","CONTRACT",IF($Z599="A","ASSET",IF($Z599="F","WORKFORCE","")))</f>
        <v/>
      </c>
      <c r="I599" s="7">
        <f>IF($Z599="C",INDEX(Contracts!$L$2:$L$151,$AB599)&amp;"",IF($Z599="A",INDEX(Fixed_Assets!$I$2:$I$201,$AB599)&amp;"",IF($Z599="F",INDEX(Workforce!$G$2:$G$151,MATCH(INDEX(FTE_Allocation!$A$2:$A$201,$AB599),Workforce!$A$2:$A$151,0))&amp;"","")))</f>
        <v/>
      </c>
      <c r="J599" s="18">
        <f>IF($Z599="","",IF(AND(DATE($AD599,1,1)&gt;=$AE599,DATE($AD599,1,1)&lt;=$AF599),ROUND($AG599,2),0))</f>
        <v/>
      </c>
      <c r="K599" s="18">
        <f>IF($Z599="","",IF(AND(DATE($AD599,2,1)&gt;=$AE599,DATE($AD599,2,1)&lt;=$AF599),ROUND($AG599,2),0))</f>
        <v/>
      </c>
      <c r="L599" s="18">
        <f>IF($Z599="","",IF(AND(DATE($AD599,3,1)&gt;=$AE599,DATE($AD599,3,1)&lt;=$AF599),ROUND($AG599,2),0))</f>
        <v/>
      </c>
      <c r="M599" s="18">
        <f>IF($Z599="","",IF(AND(DATE($AD599,4,1)&gt;=$AE599,DATE($AD599,4,1)&lt;=$AF599),ROUND($AG599,2),0))</f>
        <v/>
      </c>
      <c r="N599" s="18">
        <f>IF($Z599="","",IF(AND(DATE($AD599,5,1)&gt;=$AE599,DATE($AD599,5,1)&lt;=$AF599),ROUND($AG599,2),0))</f>
        <v/>
      </c>
      <c r="O599" s="18">
        <f>IF($Z599="","",IF(AND(DATE($AD599,6,1)&gt;=$AE599,DATE($AD599,6,1)&lt;=$AF599),ROUND($AG599,2),0))</f>
        <v/>
      </c>
      <c r="P599" s="18">
        <f>IF($Z599="","",IF(AND(DATE($AD599,7,1)&gt;=$AE599,DATE($AD599,7,1)&lt;=$AF599),ROUND($AG599,2),0))</f>
        <v/>
      </c>
      <c r="Q599" s="18">
        <f>IF($Z599="","",IF(AND(DATE($AD599,8,1)&gt;=$AE599,DATE($AD599,8,1)&lt;=$AF599),ROUND($AG599,2),0))</f>
        <v/>
      </c>
      <c r="R599" s="18">
        <f>IF($Z599="","",IF(AND(DATE($AD599,9,1)&gt;=$AE599,DATE($AD599,9,1)&lt;=$AF599),ROUND($AG599,2),0))</f>
        <v/>
      </c>
      <c r="S599" s="18">
        <f>IF($Z599="","",IF(AND(DATE($AD599,10,1)&gt;=$AE599,DATE($AD599,10,1)&lt;=$AF599),ROUND($AG599,2),0))</f>
        <v/>
      </c>
      <c r="T599" s="18">
        <f>IF($Z599="","",IF(AND(DATE($AD599,11,1)&gt;=$AE599,DATE($AD599,11,1)&lt;=$AF599),ROUND($AG599,2),0))</f>
        <v/>
      </c>
      <c r="U599" s="18">
        <f>IF($Z599="","",IF(AND(DATE($AD599,12,1)&gt;=$AE599,DATE($AD599,12,1)&lt;=$AF599),ROUND($AG599,2),0))</f>
        <v/>
      </c>
      <c r="V599" s="7">
        <f>IF($Z599="C","Generated from "&amp;INDEX(Contracts!$A$2:$A$151,$AB599),IF($Z599="A","Generated from "&amp;INDEX(Fixed_Assets!$A$2:$A$201,$AB599),IF($Z599="F","Generated from "&amp;INDEX(FTE_Allocation!$A$2:$A$201,$AB599),"")))</f>
        <v/>
      </c>
      <c r="X599" s="19">
        <f>IF($Z599="","",SUM(J599:U599))</f>
        <v/>
      </c>
      <c r="Y599" s="20">
        <f>ROW()-1</f>
        <v/>
      </c>
      <c r="Z599" s="20">
        <f>IF($Y599&lt;=Settings!$B$4*3,"C",IF($Y599&lt;=(Settings!$B$4+Settings!$B$5)*3,"A",IF($Y599&lt;=(Settings!$B$4+Settings!$B$5+Settings!$B$6)*3,"F","")))</f>
        <v/>
      </c>
      <c r="AA599" s="20">
        <f>IF($Z599="C",$Y599,IF($Z599="A",$Y599-Settings!$B$4*3,IF($Z599="F",$Y599-(Settings!$B$4+Settings!$B$5)*3,"")))</f>
        <v/>
      </c>
      <c r="AB599" s="20">
        <f>IF($Z599="","",INT(($AA599-1)/3)+1)</f>
        <v/>
      </c>
      <c r="AC599" s="20">
        <f>IF($Z599="","",MOD($AA599-1,3)+1)</f>
        <v/>
      </c>
      <c r="AD599" s="20">
        <f>IF($Z599="","",Settings!$B$2+$AC599-1)</f>
        <v/>
      </c>
      <c r="AE599" s="21">
        <f>IF($Z599="C",DATE(YEAR(INDEX(Contracts!$J$2:$J$151,$AB599)),MONTH(INDEX(Contracts!$J$2:$J$151,$AB599)),1),IF($Z599="A",DATE(YEAR(INDEX(Fixed_Assets!$G$2:$G$201,$AB599)),MONTH(INDEX(Fixed_Assets!$G$2:$G$201,$AB599)),1),IF($Z599="F",DATE(YEAR(MAX(N(INDEX(Workforce!$I$2:$I$151,MATCH(INDEX(FTE_Allocation!$A$2:$A$201,$AB599),Workforce!$A$2:$A$151,0))),N(INDEX(FTE_Allocation!$I$2:$I$201,$AB599)))),MONTH(MAX(N(INDEX(Workforce!$I$2:$I$151,MATCH(INDEX(FTE_Allocation!$A$2:$A$201,$AB599),Workforce!$A$2:$A$151,0))),N(INDEX(FTE_Allocation!$I$2:$I$201,$AB599)))),1),"")))</f>
        <v/>
      </c>
      <c r="AF599" s="21">
        <f>IF($Z599="C",IF(INDEX(Contracts!$I$2:$I$151,$AB599)="PREPAID",EDATE(DATE(YEAR(INDEX(Contracts!$J$2:$J$151,$AB599)),MONTH(INDEX(Contracts!$J$2:$J$151,$AB599)),1),IF(INDEX(Contracts!$N$2:$N$151,$AB599)="",12,INDEX(Contracts!$N$2:$N$151,$AB599))-1),IF(INDEX(Contracts!$I$2:$I$151,$AB599)="MONTHLY",IF(INDEX(Contracts!$K$2:$K$151,$AB599)="",2958101,INDEX(Contracts!$K$2:$K$151,$AB599)),0)),IF($Z599="A",EDATE(DATE(YEAR(INDEX(Fixed_Assets!$G$2:$G$201,$AB599)),MONTH(INDEX(Fixed_Assets!$G$2:$G$201,$AB599)),1),INDEX(Fixed_Assets!$J$2:$J$201,$AB599)-1),IF($Z599="F",MIN(IF(INDEX(Workforce!$J$2:$J$151,MATCH(INDEX(FTE_Allocation!$A$2:$A$201,$AB599),Workforce!$A$2:$A$151,0))="",2958101,INDEX(Workforce!$J$2:$J$151,MATCH(INDEX(FTE_Allocation!$A$2:$A$201,$AB599),Workforce!$A$2:$A$151,0))),IF(INDEX(FTE_Allocation!$J$2:$J$201,$AB599)="",2958101,INDEX(FTE_Allocation!$J$2:$J$201,$AB599))),"")))</f>
        <v/>
      </c>
      <c r="AG599" s="19">
        <f>IF($Z599="C",IF(INDEX(Contracts!$I$2:$I$151,$AB599)="PREPAID",INDEX(Contracts!$M$2:$M$151,$AB599)/IF(INDEX(Contracts!$N$2:$N$151,$AB599)="",12,INDEX(Contracts!$N$2:$N$151,$AB599)),IF(INDEX(Contracts!$I$2:$I$151,$AB599)="MONTHLY",INDEX(Contracts!$M$2:$M$151,$AB599),0))*(1-N(INDEX(Contracts!$O$2:$O$151,$AB599))),IF($Z599="A",INDEX(Fixed_Assets!$H$2:$H$201,$AB599)/INDEX(Fixed_Assets!$J$2:$J$201,$AB599),IF($Z599="F",INDEX(Workforce!$F$2:$F$151,MATCH(INDEX(FTE_Allocation!$A$2:$A$201,$AB599),Workforce!$A$2:$A$151,0))*N(INDEX(FTE_Allocation!$F$2:$H$201,$AB599,$AC599)),"")))</f>
        <v/>
      </c>
    </row>
    <row r="600">
      <c r="A600" s="7">
        <f>IF($Z600="","",$AD600)</f>
        <v/>
      </c>
      <c r="B600" s="7">
        <f>IF($Z600="C",INDEX(Contracts!$D$2:$D$151,$AB600)&amp;"",IF($Z600="A",INDEX(Fixed_Assets!$C$2:$C$201,$AB600)&amp;"",IF($Z600="F",INDEX(Workforce!$B$2:$B$151,MATCH(INDEX(FTE_Allocation!$A$2:$A$201,$AB600),Workforce!$A$2:$A$151,0))&amp;"","")))</f>
        <v/>
      </c>
      <c r="C600" s="7">
        <f>IF($Z600="C",INDEX(Contracts!$E$2:$E$151,$AB600)&amp;"",IF($Z600="A",INDEX(Fixed_Assets!$D$2:$D$201,$AB600)&amp;"",IF($Z600="F",INDEX(FTE_Allocation!$C$2:$C$201,$AB600)&amp;"","")))</f>
        <v/>
      </c>
      <c r="D600" s="7">
        <f>IF($Z600="C",INDEX(Contracts!$B$2:$B$151,$AB600)&amp;"",IF($Z600="A",INDEX(Fixed_Assets!$B$2:$B$201,$AB600)&amp;"",IF($Z600="F",INDEX(FTE_Allocation!$B$2:$B$201,$AB600)&amp;"","")))</f>
        <v/>
      </c>
      <c r="E600" s="7">
        <f>IF($Z600="C",INDEX(Contracts!$P$2:$P$151,$AB600)&amp;"",IF($Z600="A",INDEX(Fixed_Assets!$K$2:$K$201,$AB600)&amp;"",IF($Z600="F",IF(INDEX(FTE_Allocation!$D$2:$D$201,$AB600)="PROJECT",IFERROR(INDEX(Projects!$D:$D,MATCH(INDEX(FTE_Allocation!$E$2:$E$201,$AB600),Projects!$A:$A,0))&amp;"","#PROJECT?"),INDEX(FTE_Allocation!$E$2:$E$201,$AB600)&amp;""),"")))</f>
        <v/>
      </c>
      <c r="F600" s="7">
        <f>IF($Z600="C",INDEX(Contracts!$Q$2:$Q$151,$AB600)&amp;"",IF($Z600="A",INDEX(Fixed_Assets!$L$2:$L$201,$AB600)&amp;"",IF($Z600="F",INDEX(Workforce!$K$2:$K$151,MATCH(INDEX(FTE_Allocation!$A$2:$A$201,$AB600),Workforce!$A$2:$A$151,0))&amp;"","")))</f>
        <v/>
      </c>
      <c r="G600" s="7">
        <f>IF($Z600="C",INDEX(Contracts!$F$2:$F$151,$AB600)&amp;" / "&amp;INDEX(Contracts!$G$2:$G$151,$AB600),IF($Z600="A",INDEX(Fixed_Assets!$E$2:$E$201,$AB600)&amp;"",IF($Z600="F","Personnel "&amp;INDEX(FTE_Allocation!$A$2:$A$201,$AB600)&amp;IF(INDEX(FTE_Allocation!$D$2:$D$201,$AB600)="PROJECT"," ("&amp;INDEX(FTE_Allocation!$E$2:$E$201,$AB600)&amp;")",""),"")))</f>
        <v/>
      </c>
      <c r="H600" s="7">
        <f>IF($Z600="C","CONTRACT",IF($Z600="A","ASSET",IF($Z600="F","WORKFORCE","")))</f>
        <v/>
      </c>
      <c r="I600" s="7">
        <f>IF($Z600="C",INDEX(Contracts!$L$2:$L$151,$AB600)&amp;"",IF($Z600="A",INDEX(Fixed_Assets!$I$2:$I$201,$AB600)&amp;"",IF($Z600="F",INDEX(Workforce!$G$2:$G$151,MATCH(INDEX(FTE_Allocation!$A$2:$A$201,$AB600),Workforce!$A$2:$A$151,0))&amp;"","")))</f>
        <v/>
      </c>
      <c r="J600" s="18">
        <f>IF($Z600="","",IF(AND(DATE($AD600,1,1)&gt;=$AE600,DATE($AD600,1,1)&lt;=$AF600),ROUND($AG600,2),0))</f>
        <v/>
      </c>
      <c r="K600" s="18">
        <f>IF($Z600="","",IF(AND(DATE($AD600,2,1)&gt;=$AE600,DATE($AD600,2,1)&lt;=$AF600),ROUND($AG600,2),0))</f>
        <v/>
      </c>
      <c r="L600" s="18">
        <f>IF($Z600="","",IF(AND(DATE($AD600,3,1)&gt;=$AE600,DATE($AD600,3,1)&lt;=$AF600),ROUND($AG600,2),0))</f>
        <v/>
      </c>
      <c r="M600" s="18">
        <f>IF($Z600="","",IF(AND(DATE($AD600,4,1)&gt;=$AE600,DATE($AD600,4,1)&lt;=$AF600),ROUND($AG600,2),0))</f>
        <v/>
      </c>
      <c r="N600" s="18">
        <f>IF($Z600="","",IF(AND(DATE($AD600,5,1)&gt;=$AE600,DATE($AD600,5,1)&lt;=$AF600),ROUND($AG600,2),0))</f>
        <v/>
      </c>
      <c r="O600" s="18">
        <f>IF($Z600="","",IF(AND(DATE($AD600,6,1)&gt;=$AE600,DATE($AD600,6,1)&lt;=$AF600),ROUND($AG600,2),0))</f>
        <v/>
      </c>
      <c r="P600" s="18">
        <f>IF($Z600="","",IF(AND(DATE($AD600,7,1)&gt;=$AE600,DATE($AD600,7,1)&lt;=$AF600),ROUND($AG600,2),0))</f>
        <v/>
      </c>
      <c r="Q600" s="18">
        <f>IF($Z600="","",IF(AND(DATE($AD600,8,1)&gt;=$AE600,DATE($AD600,8,1)&lt;=$AF600),ROUND($AG600,2),0))</f>
        <v/>
      </c>
      <c r="R600" s="18">
        <f>IF($Z600="","",IF(AND(DATE($AD600,9,1)&gt;=$AE600,DATE($AD600,9,1)&lt;=$AF600),ROUND($AG600,2),0))</f>
        <v/>
      </c>
      <c r="S600" s="18">
        <f>IF($Z600="","",IF(AND(DATE($AD600,10,1)&gt;=$AE600,DATE($AD600,10,1)&lt;=$AF600),ROUND($AG600,2),0))</f>
        <v/>
      </c>
      <c r="T600" s="18">
        <f>IF($Z600="","",IF(AND(DATE($AD600,11,1)&gt;=$AE600,DATE($AD600,11,1)&lt;=$AF600),ROUND($AG600,2),0))</f>
        <v/>
      </c>
      <c r="U600" s="18">
        <f>IF($Z600="","",IF(AND(DATE($AD600,12,1)&gt;=$AE600,DATE($AD600,12,1)&lt;=$AF600),ROUND($AG600,2),0))</f>
        <v/>
      </c>
      <c r="V600" s="7">
        <f>IF($Z600="C","Generated from "&amp;INDEX(Contracts!$A$2:$A$151,$AB600),IF($Z600="A","Generated from "&amp;INDEX(Fixed_Assets!$A$2:$A$201,$AB600),IF($Z600="F","Generated from "&amp;INDEX(FTE_Allocation!$A$2:$A$201,$AB600),"")))</f>
        <v/>
      </c>
      <c r="X600" s="19">
        <f>IF($Z600="","",SUM(J600:U600))</f>
        <v/>
      </c>
      <c r="Y600" s="20">
        <f>ROW()-1</f>
        <v/>
      </c>
      <c r="Z600" s="20">
        <f>IF($Y600&lt;=Settings!$B$4*3,"C",IF($Y600&lt;=(Settings!$B$4+Settings!$B$5)*3,"A",IF($Y600&lt;=(Settings!$B$4+Settings!$B$5+Settings!$B$6)*3,"F","")))</f>
        <v/>
      </c>
      <c r="AA600" s="20">
        <f>IF($Z600="C",$Y600,IF($Z600="A",$Y600-Settings!$B$4*3,IF($Z600="F",$Y600-(Settings!$B$4+Settings!$B$5)*3,"")))</f>
        <v/>
      </c>
      <c r="AB600" s="20">
        <f>IF($Z600="","",INT(($AA600-1)/3)+1)</f>
        <v/>
      </c>
      <c r="AC600" s="20">
        <f>IF($Z600="","",MOD($AA600-1,3)+1)</f>
        <v/>
      </c>
      <c r="AD600" s="20">
        <f>IF($Z600="","",Settings!$B$2+$AC600-1)</f>
        <v/>
      </c>
      <c r="AE600" s="21">
        <f>IF($Z600="C",DATE(YEAR(INDEX(Contracts!$J$2:$J$151,$AB600)),MONTH(INDEX(Contracts!$J$2:$J$151,$AB600)),1),IF($Z600="A",DATE(YEAR(INDEX(Fixed_Assets!$G$2:$G$201,$AB600)),MONTH(INDEX(Fixed_Assets!$G$2:$G$201,$AB600)),1),IF($Z600="F",DATE(YEAR(MAX(N(INDEX(Workforce!$I$2:$I$151,MATCH(INDEX(FTE_Allocation!$A$2:$A$201,$AB600),Workforce!$A$2:$A$151,0))),N(INDEX(FTE_Allocation!$I$2:$I$201,$AB600)))),MONTH(MAX(N(INDEX(Workforce!$I$2:$I$151,MATCH(INDEX(FTE_Allocation!$A$2:$A$201,$AB600),Workforce!$A$2:$A$151,0))),N(INDEX(FTE_Allocation!$I$2:$I$201,$AB600)))),1),"")))</f>
        <v/>
      </c>
      <c r="AF600" s="21">
        <f>IF($Z600="C",IF(INDEX(Contracts!$I$2:$I$151,$AB600)="PREPAID",EDATE(DATE(YEAR(INDEX(Contracts!$J$2:$J$151,$AB600)),MONTH(INDEX(Contracts!$J$2:$J$151,$AB600)),1),IF(INDEX(Contracts!$N$2:$N$151,$AB600)="",12,INDEX(Contracts!$N$2:$N$151,$AB600))-1),IF(INDEX(Contracts!$I$2:$I$151,$AB600)="MONTHLY",IF(INDEX(Contracts!$K$2:$K$151,$AB600)="",2958101,INDEX(Contracts!$K$2:$K$151,$AB600)),0)),IF($Z600="A",EDATE(DATE(YEAR(INDEX(Fixed_Assets!$G$2:$G$201,$AB600)),MONTH(INDEX(Fixed_Assets!$G$2:$G$201,$AB600)),1),INDEX(Fixed_Assets!$J$2:$J$201,$AB600)-1),IF($Z600="F",MIN(IF(INDEX(Workforce!$J$2:$J$151,MATCH(INDEX(FTE_Allocation!$A$2:$A$201,$AB600),Workforce!$A$2:$A$151,0))="",2958101,INDEX(Workforce!$J$2:$J$151,MATCH(INDEX(FTE_Allocation!$A$2:$A$201,$AB600),Workforce!$A$2:$A$151,0))),IF(INDEX(FTE_Allocation!$J$2:$J$201,$AB600)="",2958101,INDEX(FTE_Allocation!$J$2:$J$201,$AB600))),"")))</f>
        <v/>
      </c>
      <c r="AG600" s="19">
        <f>IF($Z600="C",IF(INDEX(Contracts!$I$2:$I$151,$AB600)="PREPAID",INDEX(Contracts!$M$2:$M$151,$AB600)/IF(INDEX(Contracts!$N$2:$N$151,$AB600)="",12,INDEX(Contracts!$N$2:$N$151,$AB600)),IF(INDEX(Contracts!$I$2:$I$151,$AB600)="MONTHLY",INDEX(Contracts!$M$2:$M$151,$AB600),0))*(1-N(INDEX(Contracts!$O$2:$O$151,$AB600))),IF($Z600="A",INDEX(Fixed_Assets!$H$2:$H$201,$AB600)/INDEX(Fixed_Assets!$J$2:$J$201,$AB600),IF($Z600="F",INDEX(Workforce!$F$2:$F$151,MATCH(INDEX(FTE_Allocation!$A$2:$A$201,$AB600),Workforce!$A$2:$A$151,0))*N(INDEX(FTE_Allocation!$F$2:$H$201,$AB600,$AC600)),"")))</f>
        <v/>
      </c>
    </row>
    <row r="601">
      <c r="A601" s="7">
        <f>IF($Z601="","",$AD601)</f>
        <v/>
      </c>
      <c r="B601" s="7">
        <f>IF($Z601="C",INDEX(Contracts!$D$2:$D$151,$AB601)&amp;"",IF($Z601="A",INDEX(Fixed_Assets!$C$2:$C$201,$AB601)&amp;"",IF($Z601="F",INDEX(Workforce!$B$2:$B$151,MATCH(INDEX(FTE_Allocation!$A$2:$A$201,$AB601),Workforce!$A$2:$A$151,0))&amp;"","")))</f>
        <v/>
      </c>
      <c r="C601" s="7">
        <f>IF($Z601="C",INDEX(Contracts!$E$2:$E$151,$AB601)&amp;"",IF($Z601="A",INDEX(Fixed_Assets!$D$2:$D$201,$AB601)&amp;"",IF($Z601="F",INDEX(FTE_Allocation!$C$2:$C$201,$AB601)&amp;"","")))</f>
        <v/>
      </c>
      <c r="D601" s="7">
        <f>IF($Z601="C",INDEX(Contracts!$B$2:$B$151,$AB601)&amp;"",IF($Z601="A",INDEX(Fixed_Assets!$B$2:$B$201,$AB601)&amp;"",IF($Z601="F",INDEX(FTE_Allocation!$B$2:$B$201,$AB601)&amp;"","")))</f>
        <v/>
      </c>
      <c r="E601" s="7">
        <f>IF($Z601="C",INDEX(Contracts!$P$2:$P$151,$AB601)&amp;"",IF($Z601="A",INDEX(Fixed_Assets!$K$2:$K$201,$AB601)&amp;"",IF($Z601="F",IF(INDEX(FTE_Allocation!$D$2:$D$201,$AB601)="PROJECT",IFERROR(INDEX(Projects!$D:$D,MATCH(INDEX(FTE_Allocation!$E$2:$E$201,$AB601),Projects!$A:$A,0))&amp;"","#PROJECT?"),INDEX(FTE_Allocation!$E$2:$E$201,$AB601)&amp;""),"")))</f>
        <v/>
      </c>
      <c r="F601" s="7">
        <f>IF($Z601="C",INDEX(Contracts!$Q$2:$Q$151,$AB601)&amp;"",IF($Z601="A",INDEX(Fixed_Assets!$L$2:$L$201,$AB601)&amp;"",IF($Z601="F",INDEX(Workforce!$K$2:$K$151,MATCH(INDEX(FTE_Allocation!$A$2:$A$201,$AB601),Workforce!$A$2:$A$151,0))&amp;"","")))</f>
        <v/>
      </c>
      <c r="G601" s="7">
        <f>IF($Z601="C",INDEX(Contracts!$F$2:$F$151,$AB601)&amp;" / "&amp;INDEX(Contracts!$G$2:$G$151,$AB601),IF($Z601="A",INDEX(Fixed_Assets!$E$2:$E$201,$AB601)&amp;"",IF($Z601="F","Personnel "&amp;INDEX(FTE_Allocation!$A$2:$A$201,$AB601)&amp;IF(INDEX(FTE_Allocation!$D$2:$D$201,$AB601)="PROJECT"," ("&amp;INDEX(FTE_Allocation!$E$2:$E$201,$AB601)&amp;")",""),"")))</f>
        <v/>
      </c>
      <c r="H601" s="7">
        <f>IF($Z601="C","CONTRACT",IF($Z601="A","ASSET",IF($Z601="F","WORKFORCE","")))</f>
        <v/>
      </c>
      <c r="I601" s="7">
        <f>IF($Z601="C",INDEX(Contracts!$L$2:$L$151,$AB601)&amp;"",IF($Z601="A",INDEX(Fixed_Assets!$I$2:$I$201,$AB601)&amp;"",IF($Z601="F",INDEX(Workforce!$G$2:$G$151,MATCH(INDEX(FTE_Allocation!$A$2:$A$201,$AB601),Workforce!$A$2:$A$151,0))&amp;"","")))</f>
        <v/>
      </c>
      <c r="J601" s="18">
        <f>IF($Z601="","",IF(AND(DATE($AD601,1,1)&gt;=$AE601,DATE($AD601,1,1)&lt;=$AF601),ROUND($AG601,2),0))</f>
        <v/>
      </c>
      <c r="K601" s="18">
        <f>IF($Z601="","",IF(AND(DATE($AD601,2,1)&gt;=$AE601,DATE($AD601,2,1)&lt;=$AF601),ROUND($AG601,2),0))</f>
        <v/>
      </c>
      <c r="L601" s="18">
        <f>IF($Z601="","",IF(AND(DATE($AD601,3,1)&gt;=$AE601,DATE($AD601,3,1)&lt;=$AF601),ROUND($AG601,2),0))</f>
        <v/>
      </c>
      <c r="M601" s="18">
        <f>IF($Z601="","",IF(AND(DATE($AD601,4,1)&gt;=$AE601,DATE($AD601,4,1)&lt;=$AF601),ROUND($AG601,2),0))</f>
        <v/>
      </c>
      <c r="N601" s="18">
        <f>IF($Z601="","",IF(AND(DATE($AD601,5,1)&gt;=$AE601,DATE($AD601,5,1)&lt;=$AF601),ROUND($AG601,2),0))</f>
        <v/>
      </c>
      <c r="O601" s="18">
        <f>IF($Z601="","",IF(AND(DATE($AD601,6,1)&gt;=$AE601,DATE($AD601,6,1)&lt;=$AF601),ROUND($AG601,2),0))</f>
        <v/>
      </c>
      <c r="P601" s="18">
        <f>IF($Z601="","",IF(AND(DATE($AD601,7,1)&gt;=$AE601,DATE($AD601,7,1)&lt;=$AF601),ROUND($AG601,2),0))</f>
        <v/>
      </c>
      <c r="Q601" s="18">
        <f>IF($Z601="","",IF(AND(DATE($AD601,8,1)&gt;=$AE601,DATE($AD601,8,1)&lt;=$AF601),ROUND($AG601,2),0))</f>
        <v/>
      </c>
      <c r="R601" s="18">
        <f>IF($Z601="","",IF(AND(DATE($AD601,9,1)&gt;=$AE601,DATE($AD601,9,1)&lt;=$AF601),ROUND($AG601,2),0))</f>
        <v/>
      </c>
      <c r="S601" s="18">
        <f>IF($Z601="","",IF(AND(DATE($AD601,10,1)&gt;=$AE601,DATE($AD601,10,1)&lt;=$AF601),ROUND($AG601,2),0))</f>
        <v/>
      </c>
      <c r="T601" s="18">
        <f>IF($Z601="","",IF(AND(DATE($AD601,11,1)&gt;=$AE601,DATE($AD601,11,1)&lt;=$AF601),ROUND($AG601,2),0))</f>
        <v/>
      </c>
      <c r="U601" s="18">
        <f>IF($Z601="","",IF(AND(DATE($AD601,12,1)&gt;=$AE601,DATE($AD601,12,1)&lt;=$AF601),ROUND($AG601,2),0))</f>
        <v/>
      </c>
      <c r="V601" s="7">
        <f>IF($Z601="C","Generated from "&amp;INDEX(Contracts!$A$2:$A$151,$AB601),IF($Z601="A","Generated from "&amp;INDEX(Fixed_Assets!$A$2:$A$201,$AB601),IF($Z601="F","Generated from "&amp;INDEX(FTE_Allocation!$A$2:$A$201,$AB601),"")))</f>
        <v/>
      </c>
      <c r="X601" s="19">
        <f>IF($Z601="","",SUM(J601:U601))</f>
        <v/>
      </c>
      <c r="Y601" s="20">
        <f>ROW()-1</f>
        <v/>
      </c>
      <c r="Z601" s="20">
        <f>IF($Y601&lt;=Settings!$B$4*3,"C",IF($Y601&lt;=(Settings!$B$4+Settings!$B$5)*3,"A",IF($Y601&lt;=(Settings!$B$4+Settings!$B$5+Settings!$B$6)*3,"F","")))</f>
        <v/>
      </c>
      <c r="AA601" s="20">
        <f>IF($Z601="C",$Y601,IF($Z601="A",$Y601-Settings!$B$4*3,IF($Z601="F",$Y601-(Settings!$B$4+Settings!$B$5)*3,"")))</f>
        <v/>
      </c>
      <c r="AB601" s="20">
        <f>IF($Z601="","",INT(($AA601-1)/3)+1)</f>
        <v/>
      </c>
      <c r="AC601" s="20">
        <f>IF($Z601="","",MOD($AA601-1,3)+1)</f>
        <v/>
      </c>
      <c r="AD601" s="20">
        <f>IF($Z601="","",Settings!$B$2+$AC601-1)</f>
        <v/>
      </c>
      <c r="AE601" s="21">
        <f>IF($Z601="C",DATE(YEAR(INDEX(Contracts!$J$2:$J$151,$AB601)),MONTH(INDEX(Contracts!$J$2:$J$151,$AB601)),1),IF($Z601="A",DATE(YEAR(INDEX(Fixed_Assets!$G$2:$G$201,$AB601)),MONTH(INDEX(Fixed_Assets!$G$2:$G$201,$AB601)),1),IF($Z601="F",DATE(YEAR(MAX(N(INDEX(Workforce!$I$2:$I$151,MATCH(INDEX(FTE_Allocation!$A$2:$A$201,$AB601),Workforce!$A$2:$A$151,0))),N(INDEX(FTE_Allocation!$I$2:$I$201,$AB601)))),MONTH(MAX(N(INDEX(Workforce!$I$2:$I$151,MATCH(INDEX(FTE_Allocation!$A$2:$A$201,$AB601),Workforce!$A$2:$A$151,0))),N(INDEX(FTE_Allocation!$I$2:$I$201,$AB601)))),1),"")))</f>
        <v/>
      </c>
      <c r="AF601" s="21">
        <f>IF($Z601="C",IF(INDEX(Contracts!$I$2:$I$151,$AB601)="PREPAID",EDATE(DATE(YEAR(INDEX(Contracts!$J$2:$J$151,$AB601)),MONTH(INDEX(Contracts!$J$2:$J$151,$AB601)),1),IF(INDEX(Contracts!$N$2:$N$151,$AB601)="",12,INDEX(Contracts!$N$2:$N$151,$AB601))-1),IF(INDEX(Contracts!$I$2:$I$151,$AB601)="MONTHLY",IF(INDEX(Contracts!$K$2:$K$151,$AB601)="",2958101,INDEX(Contracts!$K$2:$K$151,$AB601)),0)),IF($Z601="A",EDATE(DATE(YEAR(INDEX(Fixed_Assets!$G$2:$G$201,$AB601)),MONTH(INDEX(Fixed_Assets!$G$2:$G$201,$AB601)),1),INDEX(Fixed_Assets!$J$2:$J$201,$AB601)-1),IF($Z601="F",MIN(IF(INDEX(Workforce!$J$2:$J$151,MATCH(INDEX(FTE_Allocation!$A$2:$A$201,$AB601),Workforce!$A$2:$A$151,0))="",2958101,INDEX(Workforce!$J$2:$J$151,MATCH(INDEX(FTE_Allocation!$A$2:$A$201,$AB601),Workforce!$A$2:$A$151,0))),IF(INDEX(FTE_Allocation!$J$2:$J$201,$AB601)="",2958101,INDEX(FTE_Allocation!$J$2:$J$201,$AB601))),"")))</f>
        <v/>
      </c>
      <c r="AG601" s="19">
        <f>IF($Z601="C",IF(INDEX(Contracts!$I$2:$I$151,$AB601)="PREPAID",INDEX(Contracts!$M$2:$M$151,$AB601)/IF(INDEX(Contracts!$N$2:$N$151,$AB601)="",12,INDEX(Contracts!$N$2:$N$151,$AB601)),IF(INDEX(Contracts!$I$2:$I$151,$AB601)="MONTHLY",INDEX(Contracts!$M$2:$M$151,$AB601),0))*(1-N(INDEX(Contracts!$O$2:$O$151,$AB601))),IF($Z601="A",INDEX(Fixed_Assets!$H$2:$H$201,$AB601)/INDEX(Fixed_Assets!$J$2:$J$201,$AB601),IF($Z601="F",INDEX(Workforce!$F$2:$F$151,MATCH(INDEX(FTE_Allocation!$A$2:$A$201,$AB601),Workforce!$A$2:$A$151,0))*N(INDEX(FTE_Allocation!$F$2:$H$201,$AB601,$AC601)),"")))</f>
        <v/>
      </c>
    </row>
    <row r="602">
      <c r="A602" s="7">
        <f>IF($Z602="","",$AD602)</f>
        <v/>
      </c>
      <c r="B602" s="7">
        <f>IF($Z602="C",INDEX(Contracts!$D$2:$D$151,$AB602)&amp;"",IF($Z602="A",INDEX(Fixed_Assets!$C$2:$C$201,$AB602)&amp;"",IF($Z602="F",INDEX(Workforce!$B$2:$B$151,MATCH(INDEX(FTE_Allocation!$A$2:$A$201,$AB602),Workforce!$A$2:$A$151,0))&amp;"","")))</f>
        <v/>
      </c>
      <c r="C602" s="7">
        <f>IF($Z602="C",INDEX(Contracts!$E$2:$E$151,$AB602)&amp;"",IF($Z602="A",INDEX(Fixed_Assets!$D$2:$D$201,$AB602)&amp;"",IF($Z602="F",INDEX(FTE_Allocation!$C$2:$C$201,$AB602)&amp;"","")))</f>
        <v/>
      </c>
      <c r="D602" s="7">
        <f>IF($Z602="C",INDEX(Contracts!$B$2:$B$151,$AB602)&amp;"",IF($Z602="A",INDEX(Fixed_Assets!$B$2:$B$201,$AB602)&amp;"",IF($Z602="F",INDEX(FTE_Allocation!$B$2:$B$201,$AB602)&amp;"","")))</f>
        <v/>
      </c>
      <c r="E602" s="7">
        <f>IF($Z602="C",INDEX(Contracts!$P$2:$P$151,$AB602)&amp;"",IF($Z602="A",INDEX(Fixed_Assets!$K$2:$K$201,$AB602)&amp;"",IF($Z602="F",IF(INDEX(FTE_Allocation!$D$2:$D$201,$AB602)="PROJECT",IFERROR(INDEX(Projects!$D:$D,MATCH(INDEX(FTE_Allocation!$E$2:$E$201,$AB602),Projects!$A:$A,0))&amp;"","#PROJECT?"),INDEX(FTE_Allocation!$E$2:$E$201,$AB602)&amp;""),"")))</f>
        <v/>
      </c>
      <c r="F602" s="7">
        <f>IF($Z602="C",INDEX(Contracts!$Q$2:$Q$151,$AB602)&amp;"",IF($Z602="A",INDEX(Fixed_Assets!$L$2:$L$201,$AB602)&amp;"",IF($Z602="F",INDEX(Workforce!$K$2:$K$151,MATCH(INDEX(FTE_Allocation!$A$2:$A$201,$AB602),Workforce!$A$2:$A$151,0))&amp;"","")))</f>
        <v/>
      </c>
      <c r="G602" s="7">
        <f>IF($Z602="C",INDEX(Contracts!$F$2:$F$151,$AB602)&amp;" / "&amp;INDEX(Contracts!$G$2:$G$151,$AB602),IF($Z602="A",INDEX(Fixed_Assets!$E$2:$E$201,$AB602)&amp;"",IF($Z602="F","Personnel "&amp;INDEX(FTE_Allocation!$A$2:$A$201,$AB602)&amp;IF(INDEX(FTE_Allocation!$D$2:$D$201,$AB602)="PROJECT"," ("&amp;INDEX(FTE_Allocation!$E$2:$E$201,$AB602)&amp;")",""),"")))</f>
        <v/>
      </c>
      <c r="H602" s="7">
        <f>IF($Z602="C","CONTRACT",IF($Z602="A","ASSET",IF($Z602="F","WORKFORCE","")))</f>
        <v/>
      </c>
      <c r="I602" s="7">
        <f>IF($Z602="C",INDEX(Contracts!$L$2:$L$151,$AB602)&amp;"",IF($Z602="A",INDEX(Fixed_Assets!$I$2:$I$201,$AB602)&amp;"",IF($Z602="F",INDEX(Workforce!$G$2:$G$151,MATCH(INDEX(FTE_Allocation!$A$2:$A$201,$AB602),Workforce!$A$2:$A$151,0))&amp;"","")))</f>
        <v/>
      </c>
      <c r="J602" s="18">
        <f>IF($Z602="","",IF(AND(DATE($AD602,1,1)&gt;=$AE602,DATE($AD602,1,1)&lt;=$AF602),ROUND($AG602,2),0))</f>
        <v/>
      </c>
      <c r="K602" s="18">
        <f>IF($Z602="","",IF(AND(DATE($AD602,2,1)&gt;=$AE602,DATE($AD602,2,1)&lt;=$AF602),ROUND($AG602,2),0))</f>
        <v/>
      </c>
      <c r="L602" s="18">
        <f>IF($Z602="","",IF(AND(DATE($AD602,3,1)&gt;=$AE602,DATE($AD602,3,1)&lt;=$AF602),ROUND($AG602,2),0))</f>
        <v/>
      </c>
      <c r="M602" s="18">
        <f>IF($Z602="","",IF(AND(DATE($AD602,4,1)&gt;=$AE602,DATE($AD602,4,1)&lt;=$AF602),ROUND($AG602,2),0))</f>
        <v/>
      </c>
      <c r="N602" s="18">
        <f>IF($Z602="","",IF(AND(DATE($AD602,5,1)&gt;=$AE602,DATE($AD602,5,1)&lt;=$AF602),ROUND($AG602,2),0))</f>
        <v/>
      </c>
      <c r="O602" s="18">
        <f>IF($Z602="","",IF(AND(DATE($AD602,6,1)&gt;=$AE602,DATE($AD602,6,1)&lt;=$AF602),ROUND($AG602,2),0))</f>
        <v/>
      </c>
      <c r="P602" s="18">
        <f>IF($Z602="","",IF(AND(DATE($AD602,7,1)&gt;=$AE602,DATE($AD602,7,1)&lt;=$AF602),ROUND($AG602,2),0))</f>
        <v/>
      </c>
      <c r="Q602" s="18">
        <f>IF($Z602="","",IF(AND(DATE($AD602,8,1)&gt;=$AE602,DATE($AD602,8,1)&lt;=$AF602),ROUND($AG602,2),0))</f>
        <v/>
      </c>
      <c r="R602" s="18">
        <f>IF($Z602="","",IF(AND(DATE($AD602,9,1)&gt;=$AE602,DATE($AD602,9,1)&lt;=$AF602),ROUND($AG602,2),0))</f>
        <v/>
      </c>
      <c r="S602" s="18">
        <f>IF($Z602="","",IF(AND(DATE($AD602,10,1)&gt;=$AE602,DATE($AD602,10,1)&lt;=$AF602),ROUND($AG602,2),0))</f>
        <v/>
      </c>
      <c r="T602" s="18">
        <f>IF($Z602="","",IF(AND(DATE($AD602,11,1)&gt;=$AE602,DATE($AD602,11,1)&lt;=$AF602),ROUND($AG602,2),0))</f>
        <v/>
      </c>
      <c r="U602" s="18">
        <f>IF($Z602="","",IF(AND(DATE($AD602,12,1)&gt;=$AE602,DATE($AD602,12,1)&lt;=$AF602),ROUND($AG602,2),0))</f>
        <v/>
      </c>
      <c r="V602" s="7">
        <f>IF($Z602="C","Generated from "&amp;INDEX(Contracts!$A$2:$A$151,$AB602),IF($Z602="A","Generated from "&amp;INDEX(Fixed_Assets!$A$2:$A$201,$AB602),IF($Z602="F","Generated from "&amp;INDEX(FTE_Allocation!$A$2:$A$201,$AB602),"")))</f>
        <v/>
      </c>
      <c r="X602" s="19">
        <f>IF($Z602="","",SUM(J602:U602))</f>
        <v/>
      </c>
      <c r="Y602" s="20">
        <f>ROW()-1</f>
        <v/>
      </c>
      <c r="Z602" s="20">
        <f>IF($Y602&lt;=Settings!$B$4*3,"C",IF($Y602&lt;=(Settings!$B$4+Settings!$B$5)*3,"A",IF($Y602&lt;=(Settings!$B$4+Settings!$B$5+Settings!$B$6)*3,"F","")))</f>
        <v/>
      </c>
      <c r="AA602" s="20">
        <f>IF($Z602="C",$Y602,IF($Z602="A",$Y602-Settings!$B$4*3,IF($Z602="F",$Y602-(Settings!$B$4+Settings!$B$5)*3,"")))</f>
        <v/>
      </c>
      <c r="AB602" s="20">
        <f>IF($Z602="","",INT(($AA602-1)/3)+1)</f>
        <v/>
      </c>
      <c r="AC602" s="20">
        <f>IF($Z602="","",MOD($AA602-1,3)+1)</f>
        <v/>
      </c>
      <c r="AD602" s="20">
        <f>IF($Z602="","",Settings!$B$2+$AC602-1)</f>
        <v/>
      </c>
      <c r="AE602" s="21">
        <f>IF($Z602="C",DATE(YEAR(INDEX(Contracts!$J$2:$J$151,$AB602)),MONTH(INDEX(Contracts!$J$2:$J$151,$AB602)),1),IF($Z602="A",DATE(YEAR(INDEX(Fixed_Assets!$G$2:$G$201,$AB602)),MONTH(INDEX(Fixed_Assets!$G$2:$G$201,$AB602)),1),IF($Z602="F",DATE(YEAR(MAX(N(INDEX(Workforce!$I$2:$I$151,MATCH(INDEX(FTE_Allocation!$A$2:$A$201,$AB602),Workforce!$A$2:$A$151,0))),N(INDEX(FTE_Allocation!$I$2:$I$201,$AB602)))),MONTH(MAX(N(INDEX(Workforce!$I$2:$I$151,MATCH(INDEX(FTE_Allocation!$A$2:$A$201,$AB602),Workforce!$A$2:$A$151,0))),N(INDEX(FTE_Allocation!$I$2:$I$201,$AB602)))),1),"")))</f>
        <v/>
      </c>
      <c r="AF602" s="21">
        <f>IF($Z602="C",IF(INDEX(Contracts!$I$2:$I$151,$AB602)="PREPAID",EDATE(DATE(YEAR(INDEX(Contracts!$J$2:$J$151,$AB602)),MONTH(INDEX(Contracts!$J$2:$J$151,$AB602)),1),IF(INDEX(Contracts!$N$2:$N$151,$AB602)="",12,INDEX(Contracts!$N$2:$N$151,$AB602))-1),IF(INDEX(Contracts!$I$2:$I$151,$AB602)="MONTHLY",IF(INDEX(Contracts!$K$2:$K$151,$AB602)="",2958101,INDEX(Contracts!$K$2:$K$151,$AB602)),0)),IF($Z602="A",EDATE(DATE(YEAR(INDEX(Fixed_Assets!$G$2:$G$201,$AB602)),MONTH(INDEX(Fixed_Assets!$G$2:$G$201,$AB602)),1),INDEX(Fixed_Assets!$J$2:$J$201,$AB602)-1),IF($Z602="F",MIN(IF(INDEX(Workforce!$J$2:$J$151,MATCH(INDEX(FTE_Allocation!$A$2:$A$201,$AB602),Workforce!$A$2:$A$151,0))="",2958101,INDEX(Workforce!$J$2:$J$151,MATCH(INDEX(FTE_Allocation!$A$2:$A$201,$AB602),Workforce!$A$2:$A$151,0))),IF(INDEX(FTE_Allocation!$J$2:$J$201,$AB602)="",2958101,INDEX(FTE_Allocation!$J$2:$J$201,$AB602))),"")))</f>
        <v/>
      </c>
      <c r="AG602" s="19">
        <f>IF($Z602="C",IF(INDEX(Contracts!$I$2:$I$151,$AB602)="PREPAID",INDEX(Contracts!$M$2:$M$151,$AB602)/IF(INDEX(Contracts!$N$2:$N$151,$AB602)="",12,INDEX(Contracts!$N$2:$N$151,$AB602)),IF(INDEX(Contracts!$I$2:$I$151,$AB602)="MONTHLY",INDEX(Contracts!$M$2:$M$151,$AB602),0))*(1-N(INDEX(Contracts!$O$2:$O$151,$AB602))),IF($Z602="A",INDEX(Fixed_Assets!$H$2:$H$201,$AB602)/INDEX(Fixed_Assets!$J$2:$J$201,$AB602),IF($Z602="F",INDEX(Workforce!$F$2:$F$151,MATCH(INDEX(FTE_Allocation!$A$2:$A$201,$AB602),Workforce!$A$2:$A$151,0))*N(INDEX(FTE_Allocation!$F$2:$H$201,$AB602,$AC602)),"")))</f>
        <v/>
      </c>
    </row>
    <row r="603">
      <c r="A603" s="7">
        <f>IF($Z603="","",$AD603)</f>
        <v/>
      </c>
      <c r="B603" s="7">
        <f>IF($Z603="C",INDEX(Contracts!$D$2:$D$151,$AB603)&amp;"",IF($Z603="A",INDEX(Fixed_Assets!$C$2:$C$201,$AB603)&amp;"",IF($Z603="F",INDEX(Workforce!$B$2:$B$151,MATCH(INDEX(FTE_Allocation!$A$2:$A$201,$AB603),Workforce!$A$2:$A$151,0))&amp;"","")))</f>
        <v/>
      </c>
      <c r="C603" s="7">
        <f>IF($Z603="C",INDEX(Contracts!$E$2:$E$151,$AB603)&amp;"",IF($Z603="A",INDEX(Fixed_Assets!$D$2:$D$201,$AB603)&amp;"",IF($Z603="F",INDEX(FTE_Allocation!$C$2:$C$201,$AB603)&amp;"","")))</f>
        <v/>
      </c>
      <c r="D603" s="7">
        <f>IF($Z603="C",INDEX(Contracts!$B$2:$B$151,$AB603)&amp;"",IF($Z603="A",INDEX(Fixed_Assets!$B$2:$B$201,$AB603)&amp;"",IF($Z603="F",INDEX(FTE_Allocation!$B$2:$B$201,$AB603)&amp;"","")))</f>
        <v/>
      </c>
      <c r="E603" s="7">
        <f>IF($Z603="C",INDEX(Contracts!$P$2:$P$151,$AB603)&amp;"",IF($Z603="A",INDEX(Fixed_Assets!$K$2:$K$201,$AB603)&amp;"",IF($Z603="F",IF(INDEX(FTE_Allocation!$D$2:$D$201,$AB603)="PROJECT",IFERROR(INDEX(Projects!$D:$D,MATCH(INDEX(FTE_Allocation!$E$2:$E$201,$AB603),Projects!$A:$A,0))&amp;"","#PROJECT?"),INDEX(FTE_Allocation!$E$2:$E$201,$AB603)&amp;""),"")))</f>
        <v/>
      </c>
      <c r="F603" s="7">
        <f>IF($Z603="C",INDEX(Contracts!$Q$2:$Q$151,$AB603)&amp;"",IF($Z603="A",INDEX(Fixed_Assets!$L$2:$L$201,$AB603)&amp;"",IF($Z603="F",INDEX(Workforce!$K$2:$K$151,MATCH(INDEX(FTE_Allocation!$A$2:$A$201,$AB603),Workforce!$A$2:$A$151,0))&amp;"","")))</f>
        <v/>
      </c>
      <c r="G603" s="7">
        <f>IF($Z603="C",INDEX(Contracts!$F$2:$F$151,$AB603)&amp;" / "&amp;INDEX(Contracts!$G$2:$G$151,$AB603),IF($Z603="A",INDEX(Fixed_Assets!$E$2:$E$201,$AB603)&amp;"",IF($Z603="F","Personnel "&amp;INDEX(FTE_Allocation!$A$2:$A$201,$AB603)&amp;IF(INDEX(FTE_Allocation!$D$2:$D$201,$AB603)="PROJECT"," ("&amp;INDEX(FTE_Allocation!$E$2:$E$201,$AB603)&amp;")",""),"")))</f>
        <v/>
      </c>
      <c r="H603" s="7">
        <f>IF($Z603="C","CONTRACT",IF($Z603="A","ASSET",IF($Z603="F","WORKFORCE","")))</f>
        <v/>
      </c>
      <c r="I603" s="7">
        <f>IF($Z603="C",INDEX(Contracts!$L$2:$L$151,$AB603)&amp;"",IF($Z603="A",INDEX(Fixed_Assets!$I$2:$I$201,$AB603)&amp;"",IF($Z603="F",INDEX(Workforce!$G$2:$G$151,MATCH(INDEX(FTE_Allocation!$A$2:$A$201,$AB603),Workforce!$A$2:$A$151,0))&amp;"","")))</f>
        <v/>
      </c>
      <c r="J603" s="18">
        <f>IF($Z603="","",IF(AND(DATE($AD603,1,1)&gt;=$AE603,DATE($AD603,1,1)&lt;=$AF603),ROUND($AG603,2),0))</f>
        <v/>
      </c>
      <c r="K603" s="18">
        <f>IF($Z603="","",IF(AND(DATE($AD603,2,1)&gt;=$AE603,DATE($AD603,2,1)&lt;=$AF603),ROUND($AG603,2),0))</f>
        <v/>
      </c>
      <c r="L603" s="18">
        <f>IF($Z603="","",IF(AND(DATE($AD603,3,1)&gt;=$AE603,DATE($AD603,3,1)&lt;=$AF603),ROUND($AG603,2),0))</f>
        <v/>
      </c>
      <c r="M603" s="18">
        <f>IF($Z603="","",IF(AND(DATE($AD603,4,1)&gt;=$AE603,DATE($AD603,4,1)&lt;=$AF603),ROUND($AG603,2),0))</f>
        <v/>
      </c>
      <c r="N603" s="18">
        <f>IF($Z603="","",IF(AND(DATE($AD603,5,1)&gt;=$AE603,DATE($AD603,5,1)&lt;=$AF603),ROUND($AG603,2),0))</f>
        <v/>
      </c>
      <c r="O603" s="18">
        <f>IF($Z603="","",IF(AND(DATE($AD603,6,1)&gt;=$AE603,DATE($AD603,6,1)&lt;=$AF603),ROUND($AG603,2),0))</f>
        <v/>
      </c>
      <c r="P603" s="18">
        <f>IF($Z603="","",IF(AND(DATE($AD603,7,1)&gt;=$AE603,DATE($AD603,7,1)&lt;=$AF603),ROUND($AG603,2),0))</f>
        <v/>
      </c>
      <c r="Q603" s="18">
        <f>IF($Z603="","",IF(AND(DATE($AD603,8,1)&gt;=$AE603,DATE($AD603,8,1)&lt;=$AF603),ROUND($AG603,2),0))</f>
        <v/>
      </c>
      <c r="R603" s="18">
        <f>IF($Z603="","",IF(AND(DATE($AD603,9,1)&gt;=$AE603,DATE($AD603,9,1)&lt;=$AF603),ROUND($AG603,2),0))</f>
        <v/>
      </c>
      <c r="S603" s="18">
        <f>IF($Z603="","",IF(AND(DATE($AD603,10,1)&gt;=$AE603,DATE($AD603,10,1)&lt;=$AF603),ROUND($AG603,2),0))</f>
        <v/>
      </c>
      <c r="T603" s="18">
        <f>IF($Z603="","",IF(AND(DATE($AD603,11,1)&gt;=$AE603,DATE($AD603,11,1)&lt;=$AF603),ROUND($AG603,2),0))</f>
        <v/>
      </c>
      <c r="U603" s="18">
        <f>IF($Z603="","",IF(AND(DATE($AD603,12,1)&gt;=$AE603,DATE($AD603,12,1)&lt;=$AF603),ROUND($AG603,2),0))</f>
        <v/>
      </c>
      <c r="V603" s="7">
        <f>IF($Z603="C","Generated from "&amp;INDEX(Contracts!$A$2:$A$151,$AB603),IF($Z603="A","Generated from "&amp;INDEX(Fixed_Assets!$A$2:$A$201,$AB603),IF($Z603="F","Generated from "&amp;INDEX(FTE_Allocation!$A$2:$A$201,$AB603),"")))</f>
        <v/>
      </c>
      <c r="X603" s="19">
        <f>IF($Z603="","",SUM(J603:U603))</f>
        <v/>
      </c>
      <c r="Y603" s="20">
        <f>ROW()-1</f>
        <v/>
      </c>
      <c r="Z603" s="20">
        <f>IF($Y603&lt;=Settings!$B$4*3,"C",IF($Y603&lt;=(Settings!$B$4+Settings!$B$5)*3,"A",IF($Y603&lt;=(Settings!$B$4+Settings!$B$5+Settings!$B$6)*3,"F","")))</f>
        <v/>
      </c>
      <c r="AA603" s="20">
        <f>IF($Z603="C",$Y603,IF($Z603="A",$Y603-Settings!$B$4*3,IF($Z603="F",$Y603-(Settings!$B$4+Settings!$B$5)*3,"")))</f>
        <v/>
      </c>
      <c r="AB603" s="20">
        <f>IF($Z603="","",INT(($AA603-1)/3)+1)</f>
        <v/>
      </c>
      <c r="AC603" s="20">
        <f>IF($Z603="","",MOD($AA603-1,3)+1)</f>
        <v/>
      </c>
      <c r="AD603" s="20">
        <f>IF($Z603="","",Settings!$B$2+$AC603-1)</f>
        <v/>
      </c>
      <c r="AE603" s="21">
        <f>IF($Z603="C",DATE(YEAR(INDEX(Contracts!$J$2:$J$151,$AB603)),MONTH(INDEX(Contracts!$J$2:$J$151,$AB603)),1),IF($Z603="A",DATE(YEAR(INDEX(Fixed_Assets!$G$2:$G$201,$AB603)),MONTH(INDEX(Fixed_Assets!$G$2:$G$201,$AB603)),1),IF($Z603="F",DATE(YEAR(MAX(N(INDEX(Workforce!$I$2:$I$151,MATCH(INDEX(FTE_Allocation!$A$2:$A$201,$AB603),Workforce!$A$2:$A$151,0))),N(INDEX(FTE_Allocation!$I$2:$I$201,$AB603)))),MONTH(MAX(N(INDEX(Workforce!$I$2:$I$151,MATCH(INDEX(FTE_Allocation!$A$2:$A$201,$AB603),Workforce!$A$2:$A$151,0))),N(INDEX(FTE_Allocation!$I$2:$I$201,$AB603)))),1),"")))</f>
        <v/>
      </c>
      <c r="AF603" s="21">
        <f>IF($Z603="C",IF(INDEX(Contracts!$I$2:$I$151,$AB603)="PREPAID",EDATE(DATE(YEAR(INDEX(Contracts!$J$2:$J$151,$AB603)),MONTH(INDEX(Contracts!$J$2:$J$151,$AB603)),1),IF(INDEX(Contracts!$N$2:$N$151,$AB603)="",12,INDEX(Contracts!$N$2:$N$151,$AB603))-1),IF(INDEX(Contracts!$I$2:$I$151,$AB603)="MONTHLY",IF(INDEX(Contracts!$K$2:$K$151,$AB603)="",2958101,INDEX(Contracts!$K$2:$K$151,$AB603)),0)),IF($Z603="A",EDATE(DATE(YEAR(INDEX(Fixed_Assets!$G$2:$G$201,$AB603)),MONTH(INDEX(Fixed_Assets!$G$2:$G$201,$AB603)),1),INDEX(Fixed_Assets!$J$2:$J$201,$AB603)-1),IF($Z603="F",MIN(IF(INDEX(Workforce!$J$2:$J$151,MATCH(INDEX(FTE_Allocation!$A$2:$A$201,$AB603),Workforce!$A$2:$A$151,0))="",2958101,INDEX(Workforce!$J$2:$J$151,MATCH(INDEX(FTE_Allocation!$A$2:$A$201,$AB603),Workforce!$A$2:$A$151,0))),IF(INDEX(FTE_Allocation!$J$2:$J$201,$AB603)="",2958101,INDEX(FTE_Allocation!$J$2:$J$201,$AB603))),"")))</f>
        <v/>
      </c>
      <c r="AG603" s="19">
        <f>IF($Z603="C",IF(INDEX(Contracts!$I$2:$I$151,$AB603)="PREPAID",INDEX(Contracts!$M$2:$M$151,$AB603)/IF(INDEX(Contracts!$N$2:$N$151,$AB603)="",12,INDEX(Contracts!$N$2:$N$151,$AB603)),IF(INDEX(Contracts!$I$2:$I$151,$AB603)="MONTHLY",INDEX(Contracts!$M$2:$M$151,$AB603),0))*(1-N(INDEX(Contracts!$O$2:$O$151,$AB603))),IF($Z603="A",INDEX(Fixed_Assets!$H$2:$H$201,$AB603)/INDEX(Fixed_Assets!$J$2:$J$201,$AB603),IF($Z603="F",INDEX(Workforce!$F$2:$F$151,MATCH(INDEX(FTE_Allocation!$A$2:$A$201,$AB603),Workforce!$A$2:$A$151,0))*N(INDEX(FTE_Allocation!$F$2:$H$201,$AB603,$AC603)),"")))</f>
        <v/>
      </c>
    </row>
    <row r="604">
      <c r="A604" s="7">
        <f>IF($Z604="","",$AD604)</f>
        <v/>
      </c>
      <c r="B604" s="7">
        <f>IF($Z604="C",INDEX(Contracts!$D$2:$D$151,$AB604)&amp;"",IF($Z604="A",INDEX(Fixed_Assets!$C$2:$C$201,$AB604)&amp;"",IF($Z604="F",INDEX(Workforce!$B$2:$B$151,MATCH(INDEX(FTE_Allocation!$A$2:$A$201,$AB604),Workforce!$A$2:$A$151,0))&amp;"","")))</f>
        <v/>
      </c>
      <c r="C604" s="7">
        <f>IF($Z604="C",INDEX(Contracts!$E$2:$E$151,$AB604)&amp;"",IF($Z604="A",INDEX(Fixed_Assets!$D$2:$D$201,$AB604)&amp;"",IF($Z604="F",INDEX(FTE_Allocation!$C$2:$C$201,$AB604)&amp;"","")))</f>
        <v/>
      </c>
      <c r="D604" s="7">
        <f>IF($Z604="C",INDEX(Contracts!$B$2:$B$151,$AB604)&amp;"",IF($Z604="A",INDEX(Fixed_Assets!$B$2:$B$201,$AB604)&amp;"",IF($Z604="F",INDEX(FTE_Allocation!$B$2:$B$201,$AB604)&amp;"","")))</f>
        <v/>
      </c>
      <c r="E604" s="7">
        <f>IF($Z604="C",INDEX(Contracts!$P$2:$P$151,$AB604)&amp;"",IF($Z604="A",INDEX(Fixed_Assets!$K$2:$K$201,$AB604)&amp;"",IF($Z604="F",IF(INDEX(FTE_Allocation!$D$2:$D$201,$AB604)="PROJECT",IFERROR(INDEX(Projects!$D:$D,MATCH(INDEX(FTE_Allocation!$E$2:$E$201,$AB604),Projects!$A:$A,0))&amp;"","#PROJECT?"),INDEX(FTE_Allocation!$E$2:$E$201,$AB604)&amp;""),"")))</f>
        <v/>
      </c>
      <c r="F604" s="7">
        <f>IF($Z604="C",INDEX(Contracts!$Q$2:$Q$151,$AB604)&amp;"",IF($Z604="A",INDEX(Fixed_Assets!$L$2:$L$201,$AB604)&amp;"",IF($Z604="F",INDEX(Workforce!$K$2:$K$151,MATCH(INDEX(FTE_Allocation!$A$2:$A$201,$AB604),Workforce!$A$2:$A$151,0))&amp;"","")))</f>
        <v/>
      </c>
      <c r="G604" s="7">
        <f>IF($Z604="C",INDEX(Contracts!$F$2:$F$151,$AB604)&amp;" / "&amp;INDEX(Contracts!$G$2:$G$151,$AB604),IF($Z604="A",INDEX(Fixed_Assets!$E$2:$E$201,$AB604)&amp;"",IF($Z604="F","Personnel "&amp;INDEX(FTE_Allocation!$A$2:$A$201,$AB604)&amp;IF(INDEX(FTE_Allocation!$D$2:$D$201,$AB604)="PROJECT"," ("&amp;INDEX(FTE_Allocation!$E$2:$E$201,$AB604)&amp;")",""),"")))</f>
        <v/>
      </c>
      <c r="H604" s="7">
        <f>IF($Z604="C","CONTRACT",IF($Z604="A","ASSET",IF($Z604="F","WORKFORCE","")))</f>
        <v/>
      </c>
      <c r="I604" s="7">
        <f>IF($Z604="C",INDEX(Contracts!$L$2:$L$151,$AB604)&amp;"",IF($Z604="A",INDEX(Fixed_Assets!$I$2:$I$201,$AB604)&amp;"",IF($Z604="F",INDEX(Workforce!$G$2:$G$151,MATCH(INDEX(FTE_Allocation!$A$2:$A$201,$AB604),Workforce!$A$2:$A$151,0))&amp;"","")))</f>
        <v/>
      </c>
      <c r="J604" s="18">
        <f>IF($Z604="","",IF(AND(DATE($AD604,1,1)&gt;=$AE604,DATE($AD604,1,1)&lt;=$AF604),ROUND($AG604,2),0))</f>
        <v/>
      </c>
      <c r="K604" s="18">
        <f>IF($Z604="","",IF(AND(DATE($AD604,2,1)&gt;=$AE604,DATE($AD604,2,1)&lt;=$AF604),ROUND($AG604,2),0))</f>
        <v/>
      </c>
      <c r="L604" s="18">
        <f>IF($Z604="","",IF(AND(DATE($AD604,3,1)&gt;=$AE604,DATE($AD604,3,1)&lt;=$AF604),ROUND($AG604,2),0))</f>
        <v/>
      </c>
      <c r="M604" s="18">
        <f>IF($Z604="","",IF(AND(DATE($AD604,4,1)&gt;=$AE604,DATE($AD604,4,1)&lt;=$AF604),ROUND($AG604,2),0))</f>
        <v/>
      </c>
      <c r="N604" s="18">
        <f>IF($Z604="","",IF(AND(DATE($AD604,5,1)&gt;=$AE604,DATE($AD604,5,1)&lt;=$AF604),ROUND($AG604,2),0))</f>
        <v/>
      </c>
      <c r="O604" s="18">
        <f>IF($Z604="","",IF(AND(DATE($AD604,6,1)&gt;=$AE604,DATE($AD604,6,1)&lt;=$AF604),ROUND($AG604,2),0))</f>
        <v/>
      </c>
      <c r="P604" s="18">
        <f>IF($Z604="","",IF(AND(DATE($AD604,7,1)&gt;=$AE604,DATE($AD604,7,1)&lt;=$AF604),ROUND($AG604,2),0))</f>
        <v/>
      </c>
      <c r="Q604" s="18">
        <f>IF($Z604="","",IF(AND(DATE($AD604,8,1)&gt;=$AE604,DATE($AD604,8,1)&lt;=$AF604),ROUND($AG604,2),0))</f>
        <v/>
      </c>
      <c r="R604" s="18">
        <f>IF($Z604="","",IF(AND(DATE($AD604,9,1)&gt;=$AE604,DATE($AD604,9,1)&lt;=$AF604),ROUND($AG604,2),0))</f>
        <v/>
      </c>
      <c r="S604" s="18">
        <f>IF($Z604="","",IF(AND(DATE($AD604,10,1)&gt;=$AE604,DATE($AD604,10,1)&lt;=$AF604),ROUND($AG604,2),0))</f>
        <v/>
      </c>
      <c r="T604" s="18">
        <f>IF($Z604="","",IF(AND(DATE($AD604,11,1)&gt;=$AE604,DATE($AD604,11,1)&lt;=$AF604),ROUND($AG604,2),0))</f>
        <v/>
      </c>
      <c r="U604" s="18">
        <f>IF($Z604="","",IF(AND(DATE($AD604,12,1)&gt;=$AE604,DATE($AD604,12,1)&lt;=$AF604),ROUND($AG604,2),0))</f>
        <v/>
      </c>
      <c r="V604" s="7">
        <f>IF($Z604="C","Generated from "&amp;INDEX(Contracts!$A$2:$A$151,$AB604),IF($Z604="A","Generated from "&amp;INDEX(Fixed_Assets!$A$2:$A$201,$AB604),IF($Z604="F","Generated from "&amp;INDEX(FTE_Allocation!$A$2:$A$201,$AB604),"")))</f>
        <v/>
      </c>
      <c r="X604" s="19">
        <f>IF($Z604="","",SUM(J604:U604))</f>
        <v/>
      </c>
      <c r="Y604" s="20">
        <f>ROW()-1</f>
        <v/>
      </c>
      <c r="Z604" s="20">
        <f>IF($Y604&lt;=Settings!$B$4*3,"C",IF($Y604&lt;=(Settings!$B$4+Settings!$B$5)*3,"A",IF($Y604&lt;=(Settings!$B$4+Settings!$B$5+Settings!$B$6)*3,"F","")))</f>
        <v/>
      </c>
      <c r="AA604" s="20">
        <f>IF($Z604="C",$Y604,IF($Z604="A",$Y604-Settings!$B$4*3,IF($Z604="F",$Y604-(Settings!$B$4+Settings!$B$5)*3,"")))</f>
        <v/>
      </c>
      <c r="AB604" s="20">
        <f>IF($Z604="","",INT(($AA604-1)/3)+1)</f>
        <v/>
      </c>
      <c r="AC604" s="20">
        <f>IF($Z604="","",MOD($AA604-1,3)+1)</f>
        <v/>
      </c>
      <c r="AD604" s="20">
        <f>IF($Z604="","",Settings!$B$2+$AC604-1)</f>
        <v/>
      </c>
      <c r="AE604" s="21">
        <f>IF($Z604="C",DATE(YEAR(INDEX(Contracts!$J$2:$J$151,$AB604)),MONTH(INDEX(Contracts!$J$2:$J$151,$AB604)),1),IF($Z604="A",DATE(YEAR(INDEX(Fixed_Assets!$G$2:$G$201,$AB604)),MONTH(INDEX(Fixed_Assets!$G$2:$G$201,$AB604)),1),IF($Z604="F",DATE(YEAR(MAX(N(INDEX(Workforce!$I$2:$I$151,MATCH(INDEX(FTE_Allocation!$A$2:$A$201,$AB604),Workforce!$A$2:$A$151,0))),N(INDEX(FTE_Allocation!$I$2:$I$201,$AB604)))),MONTH(MAX(N(INDEX(Workforce!$I$2:$I$151,MATCH(INDEX(FTE_Allocation!$A$2:$A$201,$AB604),Workforce!$A$2:$A$151,0))),N(INDEX(FTE_Allocation!$I$2:$I$201,$AB604)))),1),"")))</f>
        <v/>
      </c>
      <c r="AF604" s="21">
        <f>IF($Z604="C",IF(INDEX(Contracts!$I$2:$I$151,$AB604)="PREPAID",EDATE(DATE(YEAR(INDEX(Contracts!$J$2:$J$151,$AB604)),MONTH(INDEX(Contracts!$J$2:$J$151,$AB604)),1),IF(INDEX(Contracts!$N$2:$N$151,$AB604)="",12,INDEX(Contracts!$N$2:$N$151,$AB604))-1),IF(INDEX(Contracts!$I$2:$I$151,$AB604)="MONTHLY",IF(INDEX(Contracts!$K$2:$K$151,$AB604)="",2958101,INDEX(Contracts!$K$2:$K$151,$AB604)),0)),IF($Z604="A",EDATE(DATE(YEAR(INDEX(Fixed_Assets!$G$2:$G$201,$AB604)),MONTH(INDEX(Fixed_Assets!$G$2:$G$201,$AB604)),1),INDEX(Fixed_Assets!$J$2:$J$201,$AB604)-1),IF($Z604="F",MIN(IF(INDEX(Workforce!$J$2:$J$151,MATCH(INDEX(FTE_Allocation!$A$2:$A$201,$AB604),Workforce!$A$2:$A$151,0))="",2958101,INDEX(Workforce!$J$2:$J$151,MATCH(INDEX(FTE_Allocation!$A$2:$A$201,$AB604),Workforce!$A$2:$A$151,0))),IF(INDEX(FTE_Allocation!$J$2:$J$201,$AB604)="",2958101,INDEX(FTE_Allocation!$J$2:$J$201,$AB604))),"")))</f>
        <v/>
      </c>
      <c r="AG604" s="19">
        <f>IF($Z604="C",IF(INDEX(Contracts!$I$2:$I$151,$AB604)="PREPAID",INDEX(Contracts!$M$2:$M$151,$AB604)/IF(INDEX(Contracts!$N$2:$N$151,$AB604)="",12,INDEX(Contracts!$N$2:$N$151,$AB604)),IF(INDEX(Contracts!$I$2:$I$151,$AB604)="MONTHLY",INDEX(Contracts!$M$2:$M$151,$AB604),0))*(1-N(INDEX(Contracts!$O$2:$O$151,$AB604))),IF($Z604="A",INDEX(Fixed_Assets!$H$2:$H$201,$AB604)/INDEX(Fixed_Assets!$J$2:$J$201,$AB604),IF($Z604="F",INDEX(Workforce!$F$2:$F$151,MATCH(INDEX(FTE_Allocation!$A$2:$A$201,$AB604),Workforce!$A$2:$A$151,0))*N(INDEX(FTE_Allocation!$F$2:$H$201,$AB604,$AC604)),"")))</f>
        <v/>
      </c>
    </row>
    <row r="605">
      <c r="A605" s="7">
        <f>IF($Z605="","",$AD605)</f>
        <v/>
      </c>
      <c r="B605" s="7">
        <f>IF($Z605="C",INDEX(Contracts!$D$2:$D$151,$AB605)&amp;"",IF($Z605="A",INDEX(Fixed_Assets!$C$2:$C$201,$AB605)&amp;"",IF($Z605="F",INDEX(Workforce!$B$2:$B$151,MATCH(INDEX(FTE_Allocation!$A$2:$A$201,$AB605),Workforce!$A$2:$A$151,0))&amp;"","")))</f>
        <v/>
      </c>
      <c r="C605" s="7">
        <f>IF($Z605="C",INDEX(Contracts!$E$2:$E$151,$AB605)&amp;"",IF($Z605="A",INDEX(Fixed_Assets!$D$2:$D$201,$AB605)&amp;"",IF($Z605="F",INDEX(FTE_Allocation!$C$2:$C$201,$AB605)&amp;"","")))</f>
        <v/>
      </c>
      <c r="D605" s="7">
        <f>IF($Z605="C",INDEX(Contracts!$B$2:$B$151,$AB605)&amp;"",IF($Z605="A",INDEX(Fixed_Assets!$B$2:$B$201,$AB605)&amp;"",IF($Z605="F",INDEX(FTE_Allocation!$B$2:$B$201,$AB605)&amp;"","")))</f>
        <v/>
      </c>
      <c r="E605" s="7">
        <f>IF($Z605="C",INDEX(Contracts!$P$2:$P$151,$AB605)&amp;"",IF($Z605="A",INDEX(Fixed_Assets!$K$2:$K$201,$AB605)&amp;"",IF($Z605="F",IF(INDEX(FTE_Allocation!$D$2:$D$201,$AB605)="PROJECT",IFERROR(INDEX(Projects!$D:$D,MATCH(INDEX(FTE_Allocation!$E$2:$E$201,$AB605),Projects!$A:$A,0))&amp;"","#PROJECT?"),INDEX(FTE_Allocation!$E$2:$E$201,$AB605)&amp;""),"")))</f>
        <v/>
      </c>
      <c r="F605" s="7">
        <f>IF($Z605="C",INDEX(Contracts!$Q$2:$Q$151,$AB605)&amp;"",IF($Z605="A",INDEX(Fixed_Assets!$L$2:$L$201,$AB605)&amp;"",IF($Z605="F",INDEX(Workforce!$K$2:$K$151,MATCH(INDEX(FTE_Allocation!$A$2:$A$201,$AB605),Workforce!$A$2:$A$151,0))&amp;"","")))</f>
        <v/>
      </c>
      <c r="G605" s="7">
        <f>IF($Z605="C",INDEX(Contracts!$F$2:$F$151,$AB605)&amp;" / "&amp;INDEX(Contracts!$G$2:$G$151,$AB605),IF($Z605="A",INDEX(Fixed_Assets!$E$2:$E$201,$AB605)&amp;"",IF($Z605="F","Personnel "&amp;INDEX(FTE_Allocation!$A$2:$A$201,$AB605)&amp;IF(INDEX(FTE_Allocation!$D$2:$D$201,$AB605)="PROJECT"," ("&amp;INDEX(FTE_Allocation!$E$2:$E$201,$AB605)&amp;")",""),"")))</f>
        <v/>
      </c>
      <c r="H605" s="7">
        <f>IF($Z605="C","CONTRACT",IF($Z605="A","ASSET",IF($Z605="F","WORKFORCE","")))</f>
        <v/>
      </c>
      <c r="I605" s="7">
        <f>IF($Z605="C",INDEX(Contracts!$L$2:$L$151,$AB605)&amp;"",IF($Z605="A",INDEX(Fixed_Assets!$I$2:$I$201,$AB605)&amp;"",IF($Z605="F",INDEX(Workforce!$G$2:$G$151,MATCH(INDEX(FTE_Allocation!$A$2:$A$201,$AB605),Workforce!$A$2:$A$151,0))&amp;"","")))</f>
        <v/>
      </c>
      <c r="J605" s="18">
        <f>IF($Z605="","",IF(AND(DATE($AD605,1,1)&gt;=$AE605,DATE($AD605,1,1)&lt;=$AF605),ROUND($AG605,2),0))</f>
        <v/>
      </c>
      <c r="K605" s="18">
        <f>IF($Z605="","",IF(AND(DATE($AD605,2,1)&gt;=$AE605,DATE($AD605,2,1)&lt;=$AF605),ROUND($AG605,2),0))</f>
        <v/>
      </c>
      <c r="L605" s="18">
        <f>IF($Z605="","",IF(AND(DATE($AD605,3,1)&gt;=$AE605,DATE($AD605,3,1)&lt;=$AF605),ROUND($AG605,2),0))</f>
        <v/>
      </c>
      <c r="M605" s="18">
        <f>IF($Z605="","",IF(AND(DATE($AD605,4,1)&gt;=$AE605,DATE($AD605,4,1)&lt;=$AF605),ROUND($AG605,2),0))</f>
        <v/>
      </c>
      <c r="N605" s="18">
        <f>IF($Z605="","",IF(AND(DATE($AD605,5,1)&gt;=$AE605,DATE($AD605,5,1)&lt;=$AF605),ROUND($AG605,2),0))</f>
        <v/>
      </c>
      <c r="O605" s="18">
        <f>IF($Z605="","",IF(AND(DATE($AD605,6,1)&gt;=$AE605,DATE($AD605,6,1)&lt;=$AF605),ROUND($AG605,2),0))</f>
        <v/>
      </c>
      <c r="P605" s="18">
        <f>IF($Z605="","",IF(AND(DATE($AD605,7,1)&gt;=$AE605,DATE($AD605,7,1)&lt;=$AF605),ROUND($AG605,2),0))</f>
        <v/>
      </c>
      <c r="Q605" s="18">
        <f>IF($Z605="","",IF(AND(DATE($AD605,8,1)&gt;=$AE605,DATE($AD605,8,1)&lt;=$AF605),ROUND($AG605,2),0))</f>
        <v/>
      </c>
      <c r="R605" s="18">
        <f>IF($Z605="","",IF(AND(DATE($AD605,9,1)&gt;=$AE605,DATE($AD605,9,1)&lt;=$AF605),ROUND($AG605,2),0))</f>
        <v/>
      </c>
      <c r="S605" s="18">
        <f>IF($Z605="","",IF(AND(DATE($AD605,10,1)&gt;=$AE605,DATE($AD605,10,1)&lt;=$AF605),ROUND($AG605,2),0))</f>
        <v/>
      </c>
      <c r="T605" s="18">
        <f>IF($Z605="","",IF(AND(DATE($AD605,11,1)&gt;=$AE605,DATE($AD605,11,1)&lt;=$AF605),ROUND($AG605,2),0))</f>
        <v/>
      </c>
      <c r="U605" s="18">
        <f>IF($Z605="","",IF(AND(DATE($AD605,12,1)&gt;=$AE605,DATE($AD605,12,1)&lt;=$AF605),ROUND($AG605,2),0))</f>
        <v/>
      </c>
      <c r="V605" s="7">
        <f>IF($Z605="C","Generated from "&amp;INDEX(Contracts!$A$2:$A$151,$AB605),IF($Z605="A","Generated from "&amp;INDEX(Fixed_Assets!$A$2:$A$201,$AB605),IF($Z605="F","Generated from "&amp;INDEX(FTE_Allocation!$A$2:$A$201,$AB605),"")))</f>
        <v/>
      </c>
      <c r="X605" s="19">
        <f>IF($Z605="","",SUM(J605:U605))</f>
        <v/>
      </c>
      <c r="Y605" s="20">
        <f>ROW()-1</f>
        <v/>
      </c>
      <c r="Z605" s="20">
        <f>IF($Y605&lt;=Settings!$B$4*3,"C",IF($Y605&lt;=(Settings!$B$4+Settings!$B$5)*3,"A",IF($Y605&lt;=(Settings!$B$4+Settings!$B$5+Settings!$B$6)*3,"F","")))</f>
        <v/>
      </c>
      <c r="AA605" s="20">
        <f>IF($Z605="C",$Y605,IF($Z605="A",$Y605-Settings!$B$4*3,IF($Z605="F",$Y605-(Settings!$B$4+Settings!$B$5)*3,"")))</f>
        <v/>
      </c>
      <c r="AB605" s="20">
        <f>IF($Z605="","",INT(($AA605-1)/3)+1)</f>
        <v/>
      </c>
      <c r="AC605" s="20">
        <f>IF($Z605="","",MOD($AA605-1,3)+1)</f>
        <v/>
      </c>
      <c r="AD605" s="20">
        <f>IF($Z605="","",Settings!$B$2+$AC605-1)</f>
        <v/>
      </c>
      <c r="AE605" s="21">
        <f>IF($Z605="C",DATE(YEAR(INDEX(Contracts!$J$2:$J$151,$AB605)),MONTH(INDEX(Contracts!$J$2:$J$151,$AB605)),1),IF($Z605="A",DATE(YEAR(INDEX(Fixed_Assets!$G$2:$G$201,$AB605)),MONTH(INDEX(Fixed_Assets!$G$2:$G$201,$AB605)),1),IF($Z605="F",DATE(YEAR(MAX(N(INDEX(Workforce!$I$2:$I$151,MATCH(INDEX(FTE_Allocation!$A$2:$A$201,$AB605),Workforce!$A$2:$A$151,0))),N(INDEX(FTE_Allocation!$I$2:$I$201,$AB605)))),MONTH(MAX(N(INDEX(Workforce!$I$2:$I$151,MATCH(INDEX(FTE_Allocation!$A$2:$A$201,$AB605),Workforce!$A$2:$A$151,0))),N(INDEX(FTE_Allocation!$I$2:$I$201,$AB605)))),1),"")))</f>
        <v/>
      </c>
      <c r="AF605" s="21">
        <f>IF($Z605="C",IF(INDEX(Contracts!$I$2:$I$151,$AB605)="PREPAID",EDATE(DATE(YEAR(INDEX(Contracts!$J$2:$J$151,$AB605)),MONTH(INDEX(Contracts!$J$2:$J$151,$AB605)),1),IF(INDEX(Contracts!$N$2:$N$151,$AB605)="",12,INDEX(Contracts!$N$2:$N$151,$AB605))-1),IF(INDEX(Contracts!$I$2:$I$151,$AB605)="MONTHLY",IF(INDEX(Contracts!$K$2:$K$151,$AB605)="",2958101,INDEX(Contracts!$K$2:$K$151,$AB605)),0)),IF($Z605="A",EDATE(DATE(YEAR(INDEX(Fixed_Assets!$G$2:$G$201,$AB605)),MONTH(INDEX(Fixed_Assets!$G$2:$G$201,$AB605)),1),INDEX(Fixed_Assets!$J$2:$J$201,$AB605)-1),IF($Z605="F",MIN(IF(INDEX(Workforce!$J$2:$J$151,MATCH(INDEX(FTE_Allocation!$A$2:$A$201,$AB605),Workforce!$A$2:$A$151,0))="",2958101,INDEX(Workforce!$J$2:$J$151,MATCH(INDEX(FTE_Allocation!$A$2:$A$201,$AB605),Workforce!$A$2:$A$151,0))),IF(INDEX(FTE_Allocation!$J$2:$J$201,$AB605)="",2958101,INDEX(FTE_Allocation!$J$2:$J$201,$AB605))),"")))</f>
        <v/>
      </c>
      <c r="AG605" s="19">
        <f>IF($Z605="C",IF(INDEX(Contracts!$I$2:$I$151,$AB605)="PREPAID",INDEX(Contracts!$M$2:$M$151,$AB605)/IF(INDEX(Contracts!$N$2:$N$151,$AB605)="",12,INDEX(Contracts!$N$2:$N$151,$AB605)),IF(INDEX(Contracts!$I$2:$I$151,$AB605)="MONTHLY",INDEX(Contracts!$M$2:$M$151,$AB605),0))*(1-N(INDEX(Contracts!$O$2:$O$151,$AB605))),IF($Z605="A",INDEX(Fixed_Assets!$H$2:$H$201,$AB605)/INDEX(Fixed_Assets!$J$2:$J$201,$AB605),IF($Z605="F",INDEX(Workforce!$F$2:$F$151,MATCH(INDEX(FTE_Allocation!$A$2:$A$201,$AB605),Workforce!$A$2:$A$151,0))*N(INDEX(FTE_Allocation!$F$2:$H$201,$AB605,$AC605)),"")))</f>
        <v/>
      </c>
    </row>
    <row r="606">
      <c r="A606" s="7">
        <f>IF($Z606="","",$AD606)</f>
        <v/>
      </c>
      <c r="B606" s="7">
        <f>IF($Z606="C",INDEX(Contracts!$D$2:$D$151,$AB606)&amp;"",IF($Z606="A",INDEX(Fixed_Assets!$C$2:$C$201,$AB606)&amp;"",IF($Z606="F",INDEX(Workforce!$B$2:$B$151,MATCH(INDEX(FTE_Allocation!$A$2:$A$201,$AB606),Workforce!$A$2:$A$151,0))&amp;"","")))</f>
        <v/>
      </c>
      <c r="C606" s="7">
        <f>IF($Z606="C",INDEX(Contracts!$E$2:$E$151,$AB606)&amp;"",IF($Z606="A",INDEX(Fixed_Assets!$D$2:$D$201,$AB606)&amp;"",IF($Z606="F",INDEX(FTE_Allocation!$C$2:$C$201,$AB606)&amp;"","")))</f>
        <v/>
      </c>
      <c r="D606" s="7">
        <f>IF($Z606="C",INDEX(Contracts!$B$2:$B$151,$AB606)&amp;"",IF($Z606="A",INDEX(Fixed_Assets!$B$2:$B$201,$AB606)&amp;"",IF($Z606="F",INDEX(FTE_Allocation!$B$2:$B$201,$AB606)&amp;"","")))</f>
        <v/>
      </c>
      <c r="E606" s="7">
        <f>IF($Z606="C",INDEX(Contracts!$P$2:$P$151,$AB606)&amp;"",IF($Z606="A",INDEX(Fixed_Assets!$K$2:$K$201,$AB606)&amp;"",IF($Z606="F",IF(INDEX(FTE_Allocation!$D$2:$D$201,$AB606)="PROJECT",IFERROR(INDEX(Projects!$D:$D,MATCH(INDEX(FTE_Allocation!$E$2:$E$201,$AB606),Projects!$A:$A,0))&amp;"","#PROJECT?"),INDEX(FTE_Allocation!$E$2:$E$201,$AB606)&amp;""),"")))</f>
        <v/>
      </c>
      <c r="F606" s="7">
        <f>IF($Z606="C",INDEX(Contracts!$Q$2:$Q$151,$AB606)&amp;"",IF($Z606="A",INDEX(Fixed_Assets!$L$2:$L$201,$AB606)&amp;"",IF($Z606="F",INDEX(Workforce!$K$2:$K$151,MATCH(INDEX(FTE_Allocation!$A$2:$A$201,$AB606),Workforce!$A$2:$A$151,0))&amp;"","")))</f>
        <v/>
      </c>
      <c r="G606" s="7">
        <f>IF($Z606="C",INDEX(Contracts!$F$2:$F$151,$AB606)&amp;" / "&amp;INDEX(Contracts!$G$2:$G$151,$AB606),IF($Z606="A",INDEX(Fixed_Assets!$E$2:$E$201,$AB606)&amp;"",IF($Z606="F","Personnel "&amp;INDEX(FTE_Allocation!$A$2:$A$201,$AB606)&amp;IF(INDEX(FTE_Allocation!$D$2:$D$201,$AB606)="PROJECT"," ("&amp;INDEX(FTE_Allocation!$E$2:$E$201,$AB606)&amp;")",""),"")))</f>
        <v/>
      </c>
      <c r="H606" s="7">
        <f>IF($Z606="C","CONTRACT",IF($Z606="A","ASSET",IF($Z606="F","WORKFORCE","")))</f>
        <v/>
      </c>
      <c r="I606" s="7">
        <f>IF($Z606="C",INDEX(Contracts!$L$2:$L$151,$AB606)&amp;"",IF($Z606="A",INDEX(Fixed_Assets!$I$2:$I$201,$AB606)&amp;"",IF($Z606="F",INDEX(Workforce!$G$2:$G$151,MATCH(INDEX(FTE_Allocation!$A$2:$A$201,$AB606),Workforce!$A$2:$A$151,0))&amp;"","")))</f>
        <v/>
      </c>
      <c r="J606" s="18">
        <f>IF($Z606="","",IF(AND(DATE($AD606,1,1)&gt;=$AE606,DATE($AD606,1,1)&lt;=$AF606),ROUND($AG606,2),0))</f>
        <v/>
      </c>
      <c r="K606" s="18">
        <f>IF($Z606="","",IF(AND(DATE($AD606,2,1)&gt;=$AE606,DATE($AD606,2,1)&lt;=$AF606),ROUND($AG606,2),0))</f>
        <v/>
      </c>
      <c r="L606" s="18">
        <f>IF($Z606="","",IF(AND(DATE($AD606,3,1)&gt;=$AE606,DATE($AD606,3,1)&lt;=$AF606),ROUND($AG606,2),0))</f>
        <v/>
      </c>
      <c r="M606" s="18">
        <f>IF($Z606="","",IF(AND(DATE($AD606,4,1)&gt;=$AE606,DATE($AD606,4,1)&lt;=$AF606),ROUND($AG606,2),0))</f>
        <v/>
      </c>
      <c r="N606" s="18">
        <f>IF($Z606="","",IF(AND(DATE($AD606,5,1)&gt;=$AE606,DATE($AD606,5,1)&lt;=$AF606),ROUND($AG606,2),0))</f>
        <v/>
      </c>
      <c r="O606" s="18">
        <f>IF($Z606="","",IF(AND(DATE($AD606,6,1)&gt;=$AE606,DATE($AD606,6,1)&lt;=$AF606),ROUND($AG606,2),0))</f>
        <v/>
      </c>
      <c r="P606" s="18">
        <f>IF($Z606="","",IF(AND(DATE($AD606,7,1)&gt;=$AE606,DATE($AD606,7,1)&lt;=$AF606),ROUND($AG606,2),0))</f>
        <v/>
      </c>
      <c r="Q606" s="18">
        <f>IF($Z606="","",IF(AND(DATE($AD606,8,1)&gt;=$AE606,DATE($AD606,8,1)&lt;=$AF606),ROUND($AG606,2),0))</f>
        <v/>
      </c>
      <c r="R606" s="18">
        <f>IF($Z606="","",IF(AND(DATE($AD606,9,1)&gt;=$AE606,DATE($AD606,9,1)&lt;=$AF606),ROUND($AG606,2),0))</f>
        <v/>
      </c>
      <c r="S606" s="18">
        <f>IF($Z606="","",IF(AND(DATE($AD606,10,1)&gt;=$AE606,DATE($AD606,10,1)&lt;=$AF606),ROUND($AG606,2),0))</f>
        <v/>
      </c>
      <c r="T606" s="18">
        <f>IF($Z606="","",IF(AND(DATE($AD606,11,1)&gt;=$AE606,DATE($AD606,11,1)&lt;=$AF606),ROUND($AG606,2),0))</f>
        <v/>
      </c>
      <c r="U606" s="18">
        <f>IF($Z606="","",IF(AND(DATE($AD606,12,1)&gt;=$AE606,DATE($AD606,12,1)&lt;=$AF606),ROUND($AG606,2),0))</f>
        <v/>
      </c>
      <c r="V606" s="7">
        <f>IF($Z606="C","Generated from "&amp;INDEX(Contracts!$A$2:$A$151,$AB606),IF($Z606="A","Generated from "&amp;INDEX(Fixed_Assets!$A$2:$A$201,$AB606),IF($Z606="F","Generated from "&amp;INDEX(FTE_Allocation!$A$2:$A$201,$AB606),"")))</f>
        <v/>
      </c>
      <c r="X606" s="19">
        <f>IF($Z606="","",SUM(J606:U606))</f>
        <v/>
      </c>
      <c r="Y606" s="20">
        <f>ROW()-1</f>
        <v/>
      </c>
      <c r="Z606" s="20">
        <f>IF($Y606&lt;=Settings!$B$4*3,"C",IF($Y606&lt;=(Settings!$B$4+Settings!$B$5)*3,"A",IF($Y606&lt;=(Settings!$B$4+Settings!$B$5+Settings!$B$6)*3,"F","")))</f>
        <v/>
      </c>
      <c r="AA606" s="20">
        <f>IF($Z606="C",$Y606,IF($Z606="A",$Y606-Settings!$B$4*3,IF($Z606="F",$Y606-(Settings!$B$4+Settings!$B$5)*3,"")))</f>
        <v/>
      </c>
      <c r="AB606" s="20">
        <f>IF($Z606="","",INT(($AA606-1)/3)+1)</f>
        <v/>
      </c>
      <c r="AC606" s="20">
        <f>IF($Z606="","",MOD($AA606-1,3)+1)</f>
        <v/>
      </c>
      <c r="AD606" s="20">
        <f>IF($Z606="","",Settings!$B$2+$AC606-1)</f>
        <v/>
      </c>
      <c r="AE606" s="21">
        <f>IF($Z606="C",DATE(YEAR(INDEX(Contracts!$J$2:$J$151,$AB606)),MONTH(INDEX(Contracts!$J$2:$J$151,$AB606)),1),IF($Z606="A",DATE(YEAR(INDEX(Fixed_Assets!$G$2:$G$201,$AB606)),MONTH(INDEX(Fixed_Assets!$G$2:$G$201,$AB606)),1),IF($Z606="F",DATE(YEAR(MAX(N(INDEX(Workforce!$I$2:$I$151,MATCH(INDEX(FTE_Allocation!$A$2:$A$201,$AB606),Workforce!$A$2:$A$151,0))),N(INDEX(FTE_Allocation!$I$2:$I$201,$AB606)))),MONTH(MAX(N(INDEX(Workforce!$I$2:$I$151,MATCH(INDEX(FTE_Allocation!$A$2:$A$201,$AB606),Workforce!$A$2:$A$151,0))),N(INDEX(FTE_Allocation!$I$2:$I$201,$AB606)))),1),"")))</f>
        <v/>
      </c>
      <c r="AF606" s="21">
        <f>IF($Z606="C",IF(INDEX(Contracts!$I$2:$I$151,$AB606)="PREPAID",EDATE(DATE(YEAR(INDEX(Contracts!$J$2:$J$151,$AB606)),MONTH(INDEX(Contracts!$J$2:$J$151,$AB606)),1),IF(INDEX(Contracts!$N$2:$N$151,$AB606)="",12,INDEX(Contracts!$N$2:$N$151,$AB606))-1),IF(INDEX(Contracts!$I$2:$I$151,$AB606)="MONTHLY",IF(INDEX(Contracts!$K$2:$K$151,$AB606)="",2958101,INDEX(Contracts!$K$2:$K$151,$AB606)),0)),IF($Z606="A",EDATE(DATE(YEAR(INDEX(Fixed_Assets!$G$2:$G$201,$AB606)),MONTH(INDEX(Fixed_Assets!$G$2:$G$201,$AB606)),1),INDEX(Fixed_Assets!$J$2:$J$201,$AB606)-1),IF($Z606="F",MIN(IF(INDEX(Workforce!$J$2:$J$151,MATCH(INDEX(FTE_Allocation!$A$2:$A$201,$AB606),Workforce!$A$2:$A$151,0))="",2958101,INDEX(Workforce!$J$2:$J$151,MATCH(INDEX(FTE_Allocation!$A$2:$A$201,$AB606),Workforce!$A$2:$A$151,0))),IF(INDEX(FTE_Allocation!$J$2:$J$201,$AB606)="",2958101,INDEX(FTE_Allocation!$J$2:$J$201,$AB606))),"")))</f>
        <v/>
      </c>
      <c r="AG606" s="19">
        <f>IF($Z606="C",IF(INDEX(Contracts!$I$2:$I$151,$AB606)="PREPAID",INDEX(Contracts!$M$2:$M$151,$AB606)/IF(INDEX(Contracts!$N$2:$N$151,$AB606)="",12,INDEX(Contracts!$N$2:$N$151,$AB606)),IF(INDEX(Contracts!$I$2:$I$151,$AB606)="MONTHLY",INDEX(Contracts!$M$2:$M$151,$AB606),0))*(1-N(INDEX(Contracts!$O$2:$O$151,$AB606))),IF($Z606="A",INDEX(Fixed_Assets!$H$2:$H$201,$AB606)/INDEX(Fixed_Assets!$J$2:$J$201,$AB606),IF($Z606="F",INDEX(Workforce!$F$2:$F$151,MATCH(INDEX(FTE_Allocation!$A$2:$A$201,$AB606),Workforce!$A$2:$A$151,0))*N(INDEX(FTE_Allocation!$F$2:$H$201,$AB606,$AC606)),"")))</f>
        <v/>
      </c>
    </row>
    <row r="607">
      <c r="A607" s="7">
        <f>IF($Z607="","",$AD607)</f>
        <v/>
      </c>
      <c r="B607" s="7">
        <f>IF($Z607="C",INDEX(Contracts!$D$2:$D$151,$AB607)&amp;"",IF($Z607="A",INDEX(Fixed_Assets!$C$2:$C$201,$AB607)&amp;"",IF($Z607="F",INDEX(Workforce!$B$2:$B$151,MATCH(INDEX(FTE_Allocation!$A$2:$A$201,$AB607),Workforce!$A$2:$A$151,0))&amp;"","")))</f>
        <v/>
      </c>
      <c r="C607" s="7">
        <f>IF($Z607="C",INDEX(Contracts!$E$2:$E$151,$AB607)&amp;"",IF($Z607="A",INDEX(Fixed_Assets!$D$2:$D$201,$AB607)&amp;"",IF($Z607="F",INDEX(FTE_Allocation!$C$2:$C$201,$AB607)&amp;"","")))</f>
        <v/>
      </c>
      <c r="D607" s="7">
        <f>IF($Z607="C",INDEX(Contracts!$B$2:$B$151,$AB607)&amp;"",IF($Z607="A",INDEX(Fixed_Assets!$B$2:$B$201,$AB607)&amp;"",IF($Z607="F",INDEX(FTE_Allocation!$B$2:$B$201,$AB607)&amp;"","")))</f>
        <v/>
      </c>
      <c r="E607" s="7">
        <f>IF($Z607="C",INDEX(Contracts!$P$2:$P$151,$AB607)&amp;"",IF($Z607="A",INDEX(Fixed_Assets!$K$2:$K$201,$AB607)&amp;"",IF($Z607="F",IF(INDEX(FTE_Allocation!$D$2:$D$201,$AB607)="PROJECT",IFERROR(INDEX(Projects!$D:$D,MATCH(INDEX(FTE_Allocation!$E$2:$E$201,$AB607),Projects!$A:$A,0))&amp;"","#PROJECT?"),INDEX(FTE_Allocation!$E$2:$E$201,$AB607)&amp;""),"")))</f>
        <v/>
      </c>
      <c r="F607" s="7">
        <f>IF($Z607="C",INDEX(Contracts!$Q$2:$Q$151,$AB607)&amp;"",IF($Z607="A",INDEX(Fixed_Assets!$L$2:$L$201,$AB607)&amp;"",IF($Z607="F",INDEX(Workforce!$K$2:$K$151,MATCH(INDEX(FTE_Allocation!$A$2:$A$201,$AB607),Workforce!$A$2:$A$151,0))&amp;"","")))</f>
        <v/>
      </c>
      <c r="G607" s="7">
        <f>IF($Z607="C",INDEX(Contracts!$F$2:$F$151,$AB607)&amp;" / "&amp;INDEX(Contracts!$G$2:$G$151,$AB607),IF($Z607="A",INDEX(Fixed_Assets!$E$2:$E$201,$AB607)&amp;"",IF($Z607="F","Personnel "&amp;INDEX(FTE_Allocation!$A$2:$A$201,$AB607)&amp;IF(INDEX(FTE_Allocation!$D$2:$D$201,$AB607)="PROJECT"," ("&amp;INDEX(FTE_Allocation!$E$2:$E$201,$AB607)&amp;")",""),"")))</f>
        <v/>
      </c>
      <c r="H607" s="7">
        <f>IF($Z607="C","CONTRACT",IF($Z607="A","ASSET",IF($Z607="F","WORKFORCE","")))</f>
        <v/>
      </c>
      <c r="I607" s="7">
        <f>IF($Z607="C",INDEX(Contracts!$L$2:$L$151,$AB607)&amp;"",IF($Z607="A",INDEX(Fixed_Assets!$I$2:$I$201,$AB607)&amp;"",IF($Z607="F",INDEX(Workforce!$G$2:$G$151,MATCH(INDEX(FTE_Allocation!$A$2:$A$201,$AB607),Workforce!$A$2:$A$151,0))&amp;"","")))</f>
        <v/>
      </c>
      <c r="J607" s="18">
        <f>IF($Z607="","",IF(AND(DATE($AD607,1,1)&gt;=$AE607,DATE($AD607,1,1)&lt;=$AF607),ROUND($AG607,2),0))</f>
        <v/>
      </c>
      <c r="K607" s="18">
        <f>IF($Z607="","",IF(AND(DATE($AD607,2,1)&gt;=$AE607,DATE($AD607,2,1)&lt;=$AF607),ROUND($AG607,2),0))</f>
        <v/>
      </c>
      <c r="L607" s="18">
        <f>IF($Z607="","",IF(AND(DATE($AD607,3,1)&gt;=$AE607,DATE($AD607,3,1)&lt;=$AF607),ROUND($AG607,2),0))</f>
        <v/>
      </c>
      <c r="M607" s="18">
        <f>IF($Z607="","",IF(AND(DATE($AD607,4,1)&gt;=$AE607,DATE($AD607,4,1)&lt;=$AF607),ROUND($AG607,2),0))</f>
        <v/>
      </c>
      <c r="N607" s="18">
        <f>IF($Z607="","",IF(AND(DATE($AD607,5,1)&gt;=$AE607,DATE($AD607,5,1)&lt;=$AF607),ROUND($AG607,2),0))</f>
        <v/>
      </c>
      <c r="O607" s="18">
        <f>IF($Z607="","",IF(AND(DATE($AD607,6,1)&gt;=$AE607,DATE($AD607,6,1)&lt;=$AF607),ROUND($AG607,2),0))</f>
        <v/>
      </c>
      <c r="P607" s="18">
        <f>IF($Z607="","",IF(AND(DATE($AD607,7,1)&gt;=$AE607,DATE($AD607,7,1)&lt;=$AF607),ROUND($AG607,2),0))</f>
        <v/>
      </c>
      <c r="Q607" s="18">
        <f>IF($Z607="","",IF(AND(DATE($AD607,8,1)&gt;=$AE607,DATE($AD607,8,1)&lt;=$AF607),ROUND($AG607,2),0))</f>
        <v/>
      </c>
      <c r="R607" s="18">
        <f>IF($Z607="","",IF(AND(DATE($AD607,9,1)&gt;=$AE607,DATE($AD607,9,1)&lt;=$AF607),ROUND($AG607,2),0))</f>
        <v/>
      </c>
      <c r="S607" s="18">
        <f>IF($Z607="","",IF(AND(DATE($AD607,10,1)&gt;=$AE607,DATE($AD607,10,1)&lt;=$AF607),ROUND($AG607,2),0))</f>
        <v/>
      </c>
      <c r="T607" s="18">
        <f>IF($Z607="","",IF(AND(DATE($AD607,11,1)&gt;=$AE607,DATE($AD607,11,1)&lt;=$AF607),ROUND($AG607,2),0))</f>
        <v/>
      </c>
      <c r="U607" s="18">
        <f>IF($Z607="","",IF(AND(DATE($AD607,12,1)&gt;=$AE607,DATE($AD607,12,1)&lt;=$AF607),ROUND($AG607,2),0))</f>
        <v/>
      </c>
      <c r="V607" s="7">
        <f>IF($Z607="C","Generated from "&amp;INDEX(Contracts!$A$2:$A$151,$AB607),IF($Z607="A","Generated from "&amp;INDEX(Fixed_Assets!$A$2:$A$201,$AB607),IF($Z607="F","Generated from "&amp;INDEX(FTE_Allocation!$A$2:$A$201,$AB607),"")))</f>
        <v/>
      </c>
      <c r="X607" s="19">
        <f>IF($Z607="","",SUM(J607:U607))</f>
        <v/>
      </c>
      <c r="Y607" s="20">
        <f>ROW()-1</f>
        <v/>
      </c>
      <c r="Z607" s="20">
        <f>IF($Y607&lt;=Settings!$B$4*3,"C",IF($Y607&lt;=(Settings!$B$4+Settings!$B$5)*3,"A",IF($Y607&lt;=(Settings!$B$4+Settings!$B$5+Settings!$B$6)*3,"F","")))</f>
        <v/>
      </c>
      <c r="AA607" s="20">
        <f>IF($Z607="C",$Y607,IF($Z607="A",$Y607-Settings!$B$4*3,IF($Z607="F",$Y607-(Settings!$B$4+Settings!$B$5)*3,"")))</f>
        <v/>
      </c>
      <c r="AB607" s="20">
        <f>IF($Z607="","",INT(($AA607-1)/3)+1)</f>
        <v/>
      </c>
      <c r="AC607" s="20">
        <f>IF($Z607="","",MOD($AA607-1,3)+1)</f>
        <v/>
      </c>
      <c r="AD607" s="20">
        <f>IF($Z607="","",Settings!$B$2+$AC607-1)</f>
        <v/>
      </c>
      <c r="AE607" s="21">
        <f>IF($Z607="C",DATE(YEAR(INDEX(Contracts!$J$2:$J$151,$AB607)),MONTH(INDEX(Contracts!$J$2:$J$151,$AB607)),1),IF($Z607="A",DATE(YEAR(INDEX(Fixed_Assets!$G$2:$G$201,$AB607)),MONTH(INDEX(Fixed_Assets!$G$2:$G$201,$AB607)),1),IF($Z607="F",DATE(YEAR(MAX(N(INDEX(Workforce!$I$2:$I$151,MATCH(INDEX(FTE_Allocation!$A$2:$A$201,$AB607),Workforce!$A$2:$A$151,0))),N(INDEX(FTE_Allocation!$I$2:$I$201,$AB607)))),MONTH(MAX(N(INDEX(Workforce!$I$2:$I$151,MATCH(INDEX(FTE_Allocation!$A$2:$A$201,$AB607),Workforce!$A$2:$A$151,0))),N(INDEX(FTE_Allocation!$I$2:$I$201,$AB607)))),1),"")))</f>
        <v/>
      </c>
      <c r="AF607" s="21">
        <f>IF($Z607="C",IF(INDEX(Contracts!$I$2:$I$151,$AB607)="PREPAID",EDATE(DATE(YEAR(INDEX(Contracts!$J$2:$J$151,$AB607)),MONTH(INDEX(Contracts!$J$2:$J$151,$AB607)),1),IF(INDEX(Contracts!$N$2:$N$151,$AB607)="",12,INDEX(Contracts!$N$2:$N$151,$AB607))-1),IF(INDEX(Contracts!$I$2:$I$151,$AB607)="MONTHLY",IF(INDEX(Contracts!$K$2:$K$151,$AB607)="",2958101,INDEX(Contracts!$K$2:$K$151,$AB607)),0)),IF($Z607="A",EDATE(DATE(YEAR(INDEX(Fixed_Assets!$G$2:$G$201,$AB607)),MONTH(INDEX(Fixed_Assets!$G$2:$G$201,$AB607)),1),INDEX(Fixed_Assets!$J$2:$J$201,$AB607)-1),IF($Z607="F",MIN(IF(INDEX(Workforce!$J$2:$J$151,MATCH(INDEX(FTE_Allocation!$A$2:$A$201,$AB607),Workforce!$A$2:$A$151,0))="",2958101,INDEX(Workforce!$J$2:$J$151,MATCH(INDEX(FTE_Allocation!$A$2:$A$201,$AB607),Workforce!$A$2:$A$151,0))),IF(INDEX(FTE_Allocation!$J$2:$J$201,$AB607)="",2958101,INDEX(FTE_Allocation!$J$2:$J$201,$AB607))),"")))</f>
        <v/>
      </c>
      <c r="AG607" s="19">
        <f>IF($Z607="C",IF(INDEX(Contracts!$I$2:$I$151,$AB607)="PREPAID",INDEX(Contracts!$M$2:$M$151,$AB607)/IF(INDEX(Contracts!$N$2:$N$151,$AB607)="",12,INDEX(Contracts!$N$2:$N$151,$AB607)),IF(INDEX(Contracts!$I$2:$I$151,$AB607)="MONTHLY",INDEX(Contracts!$M$2:$M$151,$AB607),0))*(1-N(INDEX(Contracts!$O$2:$O$151,$AB607))),IF($Z607="A",INDEX(Fixed_Assets!$H$2:$H$201,$AB607)/INDEX(Fixed_Assets!$J$2:$J$201,$AB607),IF($Z607="F",INDEX(Workforce!$F$2:$F$151,MATCH(INDEX(FTE_Allocation!$A$2:$A$201,$AB607),Workforce!$A$2:$A$151,0))*N(INDEX(FTE_Allocation!$F$2:$H$201,$AB607,$AC607)),"")))</f>
        <v/>
      </c>
    </row>
    <row r="608">
      <c r="A608" s="7">
        <f>IF($Z608="","",$AD608)</f>
        <v/>
      </c>
      <c r="B608" s="7">
        <f>IF($Z608="C",INDEX(Contracts!$D$2:$D$151,$AB608)&amp;"",IF($Z608="A",INDEX(Fixed_Assets!$C$2:$C$201,$AB608)&amp;"",IF($Z608="F",INDEX(Workforce!$B$2:$B$151,MATCH(INDEX(FTE_Allocation!$A$2:$A$201,$AB608),Workforce!$A$2:$A$151,0))&amp;"","")))</f>
        <v/>
      </c>
      <c r="C608" s="7">
        <f>IF($Z608="C",INDEX(Contracts!$E$2:$E$151,$AB608)&amp;"",IF($Z608="A",INDEX(Fixed_Assets!$D$2:$D$201,$AB608)&amp;"",IF($Z608="F",INDEX(FTE_Allocation!$C$2:$C$201,$AB608)&amp;"","")))</f>
        <v/>
      </c>
      <c r="D608" s="7">
        <f>IF($Z608="C",INDEX(Contracts!$B$2:$B$151,$AB608)&amp;"",IF($Z608="A",INDEX(Fixed_Assets!$B$2:$B$201,$AB608)&amp;"",IF($Z608="F",INDEX(FTE_Allocation!$B$2:$B$201,$AB608)&amp;"","")))</f>
        <v/>
      </c>
      <c r="E608" s="7">
        <f>IF($Z608="C",INDEX(Contracts!$P$2:$P$151,$AB608)&amp;"",IF($Z608="A",INDEX(Fixed_Assets!$K$2:$K$201,$AB608)&amp;"",IF($Z608="F",IF(INDEX(FTE_Allocation!$D$2:$D$201,$AB608)="PROJECT",IFERROR(INDEX(Projects!$D:$D,MATCH(INDEX(FTE_Allocation!$E$2:$E$201,$AB608),Projects!$A:$A,0))&amp;"","#PROJECT?"),INDEX(FTE_Allocation!$E$2:$E$201,$AB608)&amp;""),"")))</f>
        <v/>
      </c>
      <c r="F608" s="7">
        <f>IF($Z608="C",INDEX(Contracts!$Q$2:$Q$151,$AB608)&amp;"",IF($Z608="A",INDEX(Fixed_Assets!$L$2:$L$201,$AB608)&amp;"",IF($Z608="F",INDEX(Workforce!$K$2:$K$151,MATCH(INDEX(FTE_Allocation!$A$2:$A$201,$AB608),Workforce!$A$2:$A$151,0))&amp;"","")))</f>
        <v/>
      </c>
      <c r="G608" s="7">
        <f>IF($Z608="C",INDEX(Contracts!$F$2:$F$151,$AB608)&amp;" / "&amp;INDEX(Contracts!$G$2:$G$151,$AB608),IF($Z608="A",INDEX(Fixed_Assets!$E$2:$E$201,$AB608)&amp;"",IF($Z608="F","Personnel "&amp;INDEX(FTE_Allocation!$A$2:$A$201,$AB608)&amp;IF(INDEX(FTE_Allocation!$D$2:$D$201,$AB608)="PROJECT"," ("&amp;INDEX(FTE_Allocation!$E$2:$E$201,$AB608)&amp;")",""),"")))</f>
        <v/>
      </c>
      <c r="H608" s="7">
        <f>IF($Z608="C","CONTRACT",IF($Z608="A","ASSET",IF($Z608="F","WORKFORCE","")))</f>
        <v/>
      </c>
      <c r="I608" s="7">
        <f>IF($Z608="C",INDEX(Contracts!$L$2:$L$151,$AB608)&amp;"",IF($Z608="A",INDEX(Fixed_Assets!$I$2:$I$201,$AB608)&amp;"",IF($Z608="F",INDEX(Workforce!$G$2:$G$151,MATCH(INDEX(FTE_Allocation!$A$2:$A$201,$AB608),Workforce!$A$2:$A$151,0))&amp;"","")))</f>
        <v/>
      </c>
      <c r="J608" s="18">
        <f>IF($Z608="","",IF(AND(DATE($AD608,1,1)&gt;=$AE608,DATE($AD608,1,1)&lt;=$AF608),ROUND($AG608,2),0))</f>
        <v/>
      </c>
      <c r="K608" s="18">
        <f>IF($Z608="","",IF(AND(DATE($AD608,2,1)&gt;=$AE608,DATE($AD608,2,1)&lt;=$AF608),ROUND($AG608,2),0))</f>
        <v/>
      </c>
      <c r="L608" s="18">
        <f>IF($Z608="","",IF(AND(DATE($AD608,3,1)&gt;=$AE608,DATE($AD608,3,1)&lt;=$AF608),ROUND($AG608,2),0))</f>
        <v/>
      </c>
      <c r="M608" s="18">
        <f>IF($Z608="","",IF(AND(DATE($AD608,4,1)&gt;=$AE608,DATE($AD608,4,1)&lt;=$AF608),ROUND($AG608,2),0))</f>
        <v/>
      </c>
      <c r="N608" s="18">
        <f>IF($Z608="","",IF(AND(DATE($AD608,5,1)&gt;=$AE608,DATE($AD608,5,1)&lt;=$AF608),ROUND($AG608,2),0))</f>
        <v/>
      </c>
      <c r="O608" s="18">
        <f>IF($Z608="","",IF(AND(DATE($AD608,6,1)&gt;=$AE608,DATE($AD608,6,1)&lt;=$AF608),ROUND($AG608,2),0))</f>
        <v/>
      </c>
      <c r="P608" s="18">
        <f>IF($Z608="","",IF(AND(DATE($AD608,7,1)&gt;=$AE608,DATE($AD608,7,1)&lt;=$AF608),ROUND($AG608,2),0))</f>
        <v/>
      </c>
      <c r="Q608" s="18">
        <f>IF($Z608="","",IF(AND(DATE($AD608,8,1)&gt;=$AE608,DATE($AD608,8,1)&lt;=$AF608),ROUND($AG608,2),0))</f>
        <v/>
      </c>
      <c r="R608" s="18">
        <f>IF($Z608="","",IF(AND(DATE($AD608,9,1)&gt;=$AE608,DATE($AD608,9,1)&lt;=$AF608),ROUND($AG608,2),0))</f>
        <v/>
      </c>
      <c r="S608" s="18">
        <f>IF($Z608="","",IF(AND(DATE($AD608,10,1)&gt;=$AE608,DATE($AD608,10,1)&lt;=$AF608),ROUND($AG608,2),0))</f>
        <v/>
      </c>
      <c r="T608" s="18">
        <f>IF($Z608="","",IF(AND(DATE($AD608,11,1)&gt;=$AE608,DATE($AD608,11,1)&lt;=$AF608),ROUND($AG608,2),0))</f>
        <v/>
      </c>
      <c r="U608" s="18">
        <f>IF($Z608="","",IF(AND(DATE($AD608,12,1)&gt;=$AE608,DATE($AD608,12,1)&lt;=$AF608),ROUND($AG608,2),0))</f>
        <v/>
      </c>
      <c r="V608" s="7">
        <f>IF($Z608="C","Generated from "&amp;INDEX(Contracts!$A$2:$A$151,$AB608),IF($Z608="A","Generated from "&amp;INDEX(Fixed_Assets!$A$2:$A$201,$AB608),IF($Z608="F","Generated from "&amp;INDEX(FTE_Allocation!$A$2:$A$201,$AB608),"")))</f>
        <v/>
      </c>
      <c r="X608" s="19">
        <f>IF($Z608="","",SUM(J608:U608))</f>
        <v/>
      </c>
      <c r="Y608" s="20">
        <f>ROW()-1</f>
        <v/>
      </c>
      <c r="Z608" s="20">
        <f>IF($Y608&lt;=Settings!$B$4*3,"C",IF($Y608&lt;=(Settings!$B$4+Settings!$B$5)*3,"A",IF($Y608&lt;=(Settings!$B$4+Settings!$B$5+Settings!$B$6)*3,"F","")))</f>
        <v/>
      </c>
      <c r="AA608" s="20">
        <f>IF($Z608="C",$Y608,IF($Z608="A",$Y608-Settings!$B$4*3,IF($Z608="F",$Y608-(Settings!$B$4+Settings!$B$5)*3,"")))</f>
        <v/>
      </c>
      <c r="AB608" s="20">
        <f>IF($Z608="","",INT(($AA608-1)/3)+1)</f>
        <v/>
      </c>
      <c r="AC608" s="20">
        <f>IF($Z608="","",MOD($AA608-1,3)+1)</f>
        <v/>
      </c>
      <c r="AD608" s="20">
        <f>IF($Z608="","",Settings!$B$2+$AC608-1)</f>
        <v/>
      </c>
      <c r="AE608" s="21">
        <f>IF($Z608="C",DATE(YEAR(INDEX(Contracts!$J$2:$J$151,$AB608)),MONTH(INDEX(Contracts!$J$2:$J$151,$AB608)),1),IF($Z608="A",DATE(YEAR(INDEX(Fixed_Assets!$G$2:$G$201,$AB608)),MONTH(INDEX(Fixed_Assets!$G$2:$G$201,$AB608)),1),IF($Z608="F",DATE(YEAR(MAX(N(INDEX(Workforce!$I$2:$I$151,MATCH(INDEX(FTE_Allocation!$A$2:$A$201,$AB608),Workforce!$A$2:$A$151,0))),N(INDEX(FTE_Allocation!$I$2:$I$201,$AB608)))),MONTH(MAX(N(INDEX(Workforce!$I$2:$I$151,MATCH(INDEX(FTE_Allocation!$A$2:$A$201,$AB608),Workforce!$A$2:$A$151,0))),N(INDEX(FTE_Allocation!$I$2:$I$201,$AB608)))),1),"")))</f>
        <v/>
      </c>
      <c r="AF608" s="21">
        <f>IF($Z608="C",IF(INDEX(Contracts!$I$2:$I$151,$AB608)="PREPAID",EDATE(DATE(YEAR(INDEX(Contracts!$J$2:$J$151,$AB608)),MONTH(INDEX(Contracts!$J$2:$J$151,$AB608)),1),IF(INDEX(Contracts!$N$2:$N$151,$AB608)="",12,INDEX(Contracts!$N$2:$N$151,$AB608))-1),IF(INDEX(Contracts!$I$2:$I$151,$AB608)="MONTHLY",IF(INDEX(Contracts!$K$2:$K$151,$AB608)="",2958101,INDEX(Contracts!$K$2:$K$151,$AB608)),0)),IF($Z608="A",EDATE(DATE(YEAR(INDEX(Fixed_Assets!$G$2:$G$201,$AB608)),MONTH(INDEX(Fixed_Assets!$G$2:$G$201,$AB608)),1),INDEX(Fixed_Assets!$J$2:$J$201,$AB608)-1),IF($Z608="F",MIN(IF(INDEX(Workforce!$J$2:$J$151,MATCH(INDEX(FTE_Allocation!$A$2:$A$201,$AB608),Workforce!$A$2:$A$151,0))="",2958101,INDEX(Workforce!$J$2:$J$151,MATCH(INDEX(FTE_Allocation!$A$2:$A$201,$AB608),Workforce!$A$2:$A$151,0))),IF(INDEX(FTE_Allocation!$J$2:$J$201,$AB608)="",2958101,INDEX(FTE_Allocation!$J$2:$J$201,$AB608))),"")))</f>
        <v/>
      </c>
      <c r="AG608" s="19">
        <f>IF($Z608="C",IF(INDEX(Contracts!$I$2:$I$151,$AB608)="PREPAID",INDEX(Contracts!$M$2:$M$151,$AB608)/IF(INDEX(Contracts!$N$2:$N$151,$AB608)="",12,INDEX(Contracts!$N$2:$N$151,$AB608)),IF(INDEX(Contracts!$I$2:$I$151,$AB608)="MONTHLY",INDEX(Contracts!$M$2:$M$151,$AB608),0))*(1-N(INDEX(Contracts!$O$2:$O$151,$AB608))),IF($Z608="A",INDEX(Fixed_Assets!$H$2:$H$201,$AB608)/INDEX(Fixed_Assets!$J$2:$J$201,$AB608),IF($Z608="F",INDEX(Workforce!$F$2:$F$151,MATCH(INDEX(FTE_Allocation!$A$2:$A$201,$AB608),Workforce!$A$2:$A$151,0))*N(INDEX(FTE_Allocation!$F$2:$H$201,$AB608,$AC608)),"")))</f>
        <v/>
      </c>
    </row>
    <row r="609">
      <c r="A609" s="7">
        <f>IF($Z609="","",$AD609)</f>
        <v/>
      </c>
      <c r="B609" s="7">
        <f>IF($Z609="C",INDEX(Contracts!$D$2:$D$151,$AB609)&amp;"",IF($Z609="A",INDEX(Fixed_Assets!$C$2:$C$201,$AB609)&amp;"",IF($Z609="F",INDEX(Workforce!$B$2:$B$151,MATCH(INDEX(FTE_Allocation!$A$2:$A$201,$AB609),Workforce!$A$2:$A$151,0))&amp;"","")))</f>
        <v/>
      </c>
      <c r="C609" s="7">
        <f>IF($Z609="C",INDEX(Contracts!$E$2:$E$151,$AB609)&amp;"",IF($Z609="A",INDEX(Fixed_Assets!$D$2:$D$201,$AB609)&amp;"",IF($Z609="F",INDEX(FTE_Allocation!$C$2:$C$201,$AB609)&amp;"","")))</f>
        <v/>
      </c>
      <c r="D609" s="7">
        <f>IF($Z609="C",INDEX(Contracts!$B$2:$B$151,$AB609)&amp;"",IF($Z609="A",INDEX(Fixed_Assets!$B$2:$B$201,$AB609)&amp;"",IF($Z609="F",INDEX(FTE_Allocation!$B$2:$B$201,$AB609)&amp;"","")))</f>
        <v/>
      </c>
      <c r="E609" s="7">
        <f>IF($Z609="C",INDEX(Contracts!$P$2:$P$151,$AB609)&amp;"",IF($Z609="A",INDEX(Fixed_Assets!$K$2:$K$201,$AB609)&amp;"",IF($Z609="F",IF(INDEX(FTE_Allocation!$D$2:$D$201,$AB609)="PROJECT",IFERROR(INDEX(Projects!$D:$D,MATCH(INDEX(FTE_Allocation!$E$2:$E$201,$AB609),Projects!$A:$A,0))&amp;"","#PROJECT?"),INDEX(FTE_Allocation!$E$2:$E$201,$AB609)&amp;""),"")))</f>
        <v/>
      </c>
      <c r="F609" s="7">
        <f>IF($Z609="C",INDEX(Contracts!$Q$2:$Q$151,$AB609)&amp;"",IF($Z609="A",INDEX(Fixed_Assets!$L$2:$L$201,$AB609)&amp;"",IF($Z609="F",INDEX(Workforce!$K$2:$K$151,MATCH(INDEX(FTE_Allocation!$A$2:$A$201,$AB609),Workforce!$A$2:$A$151,0))&amp;"","")))</f>
        <v/>
      </c>
      <c r="G609" s="7">
        <f>IF($Z609="C",INDEX(Contracts!$F$2:$F$151,$AB609)&amp;" / "&amp;INDEX(Contracts!$G$2:$G$151,$AB609),IF($Z609="A",INDEX(Fixed_Assets!$E$2:$E$201,$AB609)&amp;"",IF($Z609="F","Personnel "&amp;INDEX(FTE_Allocation!$A$2:$A$201,$AB609)&amp;IF(INDEX(FTE_Allocation!$D$2:$D$201,$AB609)="PROJECT"," ("&amp;INDEX(FTE_Allocation!$E$2:$E$201,$AB609)&amp;")",""),"")))</f>
        <v/>
      </c>
      <c r="H609" s="7">
        <f>IF($Z609="C","CONTRACT",IF($Z609="A","ASSET",IF($Z609="F","WORKFORCE","")))</f>
        <v/>
      </c>
      <c r="I609" s="7">
        <f>IF($Z609="C",INDEX(Contracts!$L$2:$L$151,$AB609)&amp;"",IF($Z609="A",INDEX(Fixed_Assets!$I$2:$I$201,$AB609)&amp;"",IF($Z609="F",INDEX(Workforce!$G$2:$G$151,MATCH(INDEX(FTE_Allocation!$A$2:$A$201,$AB609),Workforce!$A$2:$A$151,0))&amp;"","")))</f>
        <v/>
      </c>
      <c r="J609" s="18">
        <f>IF($Z609="","",IF(AND(DATE($AD609,1,1)&gt;=$AE609,DATE($AD609,1,1)&lt;=$AF609),ROUND($AG609,2),0))</f>
        <v/>
      </c>
      <c r="K609" s="18">
        <f>IF($Z609="","",IF(AND(DATE($AD609,2,1)&gt;=$AE609,DATE($AD609,2,1)&lt;=$AF609),ROUND($AG609,2),0))</f>
        <v/>
      </c>
      <c r="L609" s="18">
        <f>IF($Z609="","",IF(AND(DATE($AD609,3,1)&gt;=$AE609,DATE($AD609,3,1)&lt;=$AF609),ROUND($AG609,2),0))</f>
        <v/>
      </c>
      <c r="M609" s="18">
        <f>IF($Z609="","",IF(AND(DATE($AD609,4,1)&gt;=$AE609,DATE($AD609,4,1)&lt;=$AF609),ROUND($AG609,2),0))</f>
        <v/>
      </c>
      <c r="N609" s="18">
        <f>IF($Z609="","",IF(AND(DATE($AD609,5,1)&gt;=$AE609,DATE($AD609,5,1)&lt;=$AF609),ROUND($AG609,2),0))</f>
        <v/>
      </c>
      <c r="O609" s="18">
        <f>IF($Z609="","",IF(AND(DATE($AD609,6,1)&gt;=$AE609,DATE($AD609,6,1)&lt;=$AF609),ROUND($AG609,2),0))</f>
        <v/>
      </c>
      <c r="P609" s="18">
        <f>IF($Z609="","",IF(AND(DATE($AD609,7,1)&gt;=$AE609,DATE($AD609,7,1)&lt;=$AF609),ROUND($AG609,2),0))</f>
        <v/>
      </c>
      <c r="Q609" s="18">
        <f>IF($Z609="","",IF(AND(DATE($AD609,8,1)&gt;=$AE609,DATE($AD609,8,1)&lt;=$AF609),ROUND($AG609,2),0))</f>
        <v/>
      </c>
      <c r="R609" s="18">
        <f>IF($Z609="","",IF(AND(DATE($AD609,9,1)&gt;=$AE609,DATE($AD609,9,1)&lt;=$AF609),ROUND($AG609,2),0))</f>
        <v/>
      </c>
      <c r="S609" s="18">
        <f>IF($Z609="","",IF(AND(DATE($AD609,10,1)&gt;=$AE609,DATE($AD609,10,1)&lt;=$AF609),ROUND($AG609,2),0))</f>
        <v/>
      </c>
      <c r="T609" s="18">
        <f>IF($Z609="","",IF(AND(DATE($AD609,11,1)&gt;=$AE609,DATE($AD609,11,1)&lt;=$AF609),ROUND($AG609,2),0))</f>
        <v/>
      </c>
      <c r="U609" s="18">
        <f>IF($Z609="","",IF(AND(DATE($AD609,12,1)&gt;=$AE609,DATE($AD609,12,1)&lt;=$AF609),ROUND($AG609,2),0))</f>
        <v/>
      </c>
      <c r="V609" s="7">
        <f>IF($Z609="C","Generated from "&amp;INDEX(Contracts!$A$2:$A$151,$AB609),IF($Z609="A","Generated from "&amp;INDEX(Fixed_Assets!$A$2:$A$201,$AB609),IF($Z609="F","Generated from "&amp;INDEX(FTE_Allocation!$A$2:$A$201,$AB609),"")))</f>
        <v/>
      </c>
      <c r="X609" s="19">
        <f>IF($Z609="","",SUM(J609:U609))</f>
        <v/>
      </c>
      <c r="Y609" s="20">
        <f>ROW()-1</f>
        <v/>
      </c>
      <c r="Z609" s="20">
        <f>IF($Y609&lt;=Settings!$B$4*3,"C",IF($Y609&lt;=(Settings!$B$4+Settings!$B$5)*3,"A",IF($Y609&lt;=(Settings!$B$4+Settings!$B$5+Settings!$B$6)*3,"F","")))</f>
        <v/>
      </c>
      <c r="AA609" s="20">
        <f>IF($Z609="C",$Y609,IF($Z609="A",$Y609-Settings!$B$4*3,IF($Z609="F",$Y609-(Settings!$B$4+Settings!$B$5)*3,"")))</f>
        <v/>
      </c>
      <c r="AB609" s="20">
        <f>IF($Z609="","",INT(($AA609-1)/3)+1)</f>
        <v/>
      </c>
      <c r="AC609" s="20">
        <f>IF($Z609="","",MOD($AA609-1,3)+1)</f>
        <v/>
      </c>
      <c r="AD609" s="20">
        <f>IF($Z609="","",Settings!$B$2+$AC609-1)</f>
        <v/>
      </c>
      <c r="AE609" s="21">
        <f>IF($Z609="C",DATE(YEAR(INDEX(Contracts!$J$2:$J$151,$AB609)),MONTH(INDEX(Contracts!$J$2:$J$151,$AB609)),1),IF($Z609="A",DATE(YEAR(INDEX(Fixed_Assets!$G$2:$G$201,$AB609)),MONTH(INDEX(Fixed_Assets!$G$2:$G$201,$AB609)),1),IF($Z609="F",DATE(YEAR(MAX(N(INDEX(Workforce!$I$2:$I$151,MATCH(INDEX(FTE_Allocation!$A$2:$A$201,$AB609),Workforce!$A$2:$A$151,0))),N(INDEX(FTE_Allocation!$I$2:$I$201,$AB609)))),MONTH(MAX(N(INDEX(Workforce!$I$2:$I$151,MATCH(INDEX(FTE_Allocation!$A$2:$A$201,$AB609),Workforce!$A$2:$A$151,0))),N(INDEX(FTE_Allocation!$I$2:$I$201,$AB609)))),1),"")))</f>
        <v/>
      </c>
      <c r="AF609" s="21">
        <f>IF($Z609="C",IF(INDEX(Contracts!$I$2:$I$151,$AB609)="PREPAID",EDATE(DATE(YEAR(INDEX(Contracts!$J$2:$J$151,$AB609)),MONTH(INDEX(Contracts!$J$2:$J$151,$AB609)),1),IF(INDEX(Contracts!$N$2:$N$151,$AB609)="",12,INDEX(Contracts!$N$2:$N$151,$AB609))-1),IF(INDEX(Contracts!$I$2:$I$151,$AB609)="MONTHLY",IF(INDEX(Contracts!$K$2:$K$151,$AB609)="",2958101,INDEX(Contracts!$K$2:$K$151,$AB609)),0)),IF($Z609="A",EDATE(DATE(YEAR(INDEX(Fixed_Assets!$G$2:$G$201,$AB609)),MONTH(INDEX(Fixed_Assets!$G$2:$G$201,$AB609)),1),INDEX(Fixed_Assets!$J$2:$J$201,$AB609)-1),IF($Z609="F",MIN(IF(INDEX(Workforce!$J$2:$J$151,MATCH(INDEX(FTE_Allocation!$A$2:$A$201,$AB609),Workforce!$A$2:$A$151,0))="",2958101,INDEX(Workforce!$J$2:$J$151,MATCH(INDEX(FTE_Allocation!$A$2:$A$201,$AB609),Workforce!$A$2:$A$151,0))),IF(INDEX(FTE_Allocation!$J$2:$J$201,$AB609)="",2958101,INDEX(FTE_Allocation!$J$2:$J$201,$AB609))),"")))</f>
        <v/>
      </c>
      <c r="AG609" s="19">
        <f>IF($Z609="C",IF(INDEX(Contracts!$I$2:$I$151,$AB609)="PREPAID",INDEX(Contracts!$M$2:$M$151,$AB609)/IF(INDEX(Contracts!$N$2:$N$151,$AB609)="",12,INDEX(Contracts!$N$2:$N$151,$AB609)),IF(INDEX(Contracts!$I$2:$I$151,$AB609)="MONTHLY",INDEX(Contracts!$M$2:$M$151,$AB609),0))*(1-N(INDEX(Contracts!$O$2:$O$151,$AB609))),IF($Z609="A",INDEX(Fixed_Assets!$H$2:$H$201,$AB609)/INDEX(Fixed_Assets!$J$2:$J$201,$AB609),IF($Z609="F",INDEX(Workforce!$F$2:$F$151,MATCH(INDEX(FTE_Allocation!$A$2:$A$201,$AB609),Workforce!$A$2:$A$151,0))*N(INDEX(FTE_Allocation!$F$2:$H$201,$AB609,$AC609)),"")))</f>
        <v/>
      </c>
    </row>
    <row r="610">
      <c r="A610" s="7">
        <f>IF($Z610="","",$AD610)</f>
        <v/>
      </c>
      <c r="B610" s="7">
        <f>IF($Z610="C",INDEX(Contracts!$D$2:$D$151,$AB610)&amp;"",IF($Z610="A",INDEX(Fixed_Assets!$C$2:$C$201,$AB610)&amp;"",IF($Z610="F",INDEX(Workforce!$B$2:$B$151,MATCH(INDEX(FTE_Allocation!$A$2:$A$201,$AB610),Workforce!$A$2:$A$151,0))&amp;"","")))</f>
        <v/>
      </c>
      <c r="C610" s="7">
        <f>IF($Z610="C",INDEX(Contracts!$E$2:$E$151,$AB610)&amp;"",IF($Z610="A",INDEX(Fixed_Assets!$D$2:$D$201,$AB610)&amp;"",IF($Z610="F",INDEX(FTE_Allocation!$C$2:$C$201,$AB610)&amp;"","")))</f>
        <v/>
      </c>
      <c r="D610" s="7">
        <f>IF($Z610="C",INDEX(Contracts!$B$2:$B$151,$AB610)&amp;"",IF($Z610="A",INDEX(Fixed_Assets!$B$2:$B$201,$AB610)&amp;"",IF($Z610="F",INDEX(FTE_Allocation!$B$2:$B$201,$AB610)&amp;"","")))</f>
        <v/>
      </c>
      <c r="E610" s="7">
        <f>IF($Z610="C",INDEX(Contracts!$P$2:$P$151,$AB610)&amp;"",IF($Z610="A",INDEX(Fixed_Assets!$K$2:$K$201,$AB610)&amp;"",IF($Z610="F",IF(INDEX(FTE_Allocation!$D$2:$D$201,$AB610)="PROJECT",IFERROR(INDEX(Projects!$D:$D,MATCH(INDEX(FTE_Allocation!$E$2:$E$201,$AB610),Projects!$A:$A,0))&amp;"","#PROJECT?"),INDEX(FTE_Allocation!$E$2:$E$201,$AB610)&amp;""),"")))</f>
        <v/>
      </c>
      <c r="F610" s="7">
        <f>IF($Z610="C",INDEX(Contracts!$Q$2:$Q$151,$AB610)&amp;"",IF($Z610="A",INDEX(Fixed_Assets!$L$2:$L$201,$AB610)&amp;"",IF($Z610="F",INDEX(Workforce!$K$2:$K$151,MATCH(INDEX(FTE_Allocation!$A$2:$A$201,$AB610),Workforce!$A$2:$A$151,0))&amp;"","")))</f>
        <v/>
      </c>
      <c r="G610" s="7">
        <f>IF($Z610="C",INDEX(Contracts!$F$2:$F$151,$AB610)&amp;" / "&amp;INDEX(Contracts!$G$2:$G$151,$AB610),IF($Z610="A",INDEX(Fixed_Assets!$E$2:$E$201,$AB610)&amp;"",IF($Z610="F","Personnel "&amp;INDEX(FTE_Allocation!$A$2:$A$201,$AB610)&amp;IF(INDEX(FTE_Allocation!$D$2:$D$201,$AB610)="PROJECT"," ("&amp;INDEX(FTE_Allocation!$E$2:$E$201,$AB610)&amp;")",""),"")))</f>
        <v/>
      </c>
      <c r="H610" s="7">
        <f>IF($Z610="C","CONTRACT",IF($Z610="A","ASSET",IF($Z610="F","WORKFORCE","")))</f>
        <v/>
      </c>
      <c r="I610" s="7">
        <f>IF($Z610="C",INDEX(Contracts!$L$2:$L$151,$AB610)&amp;"",IF($Z610="A",INDEX(Fixed_Assets!$I$2:$I$201,$AB610)&amp;"",IF($Z610="F",INDEX(Workforce!$G$2:$G$151,MATCH(INDEX(FTE_Allocation!$A$2:$A$201,$AB610),Workforce!$A$2:$A$151,0))&amp;"","")))</f>
        <v/>
      </c>
      <c r="J610" s="18">
        <f>IF($Z610="","",IF(AND(DATE($AD610,1,1)&gt;=$AE610,DATE($AD610,1,1)&lt;=$AF610),ROUND($AG610,2),0))</f>
        <v/>
      </c>
      <c r="K610" s="18">
        <f>IF($Z610="","",IF(AND(DATE($AD610,2,1)&gt;=$AE610,DATE($AD610,2,1)&lt;=$AF610),ROUND($AG610,2),0))</f>
        <v/>
      </c>
      <c r="L610" s="18">
        <f>IF($Z610="","",IF(AND(DATE($AD610,3,1)&gt;=$AE610,DATE($AD610,3,1)&lt;=$AF610),ROUND($AG610,2),0))</f>
        <v/>
      </c>
      <c r="M610" s="18">
        <f>IF($Z610="","",IF(AND(DATE($AD610,4,1)&gt;=$AE610,DATE($AD610,4,1)&lt;=$AF610),ROUND($AG610,2),0))</f>
        <v/>
      </c>
      <c r="N610" s="18">
        <f>IF($Z610="","",IF(AND(DATE($AD610,5,1)&gt;=$AE610,DATE($AD610,5,1)&lt;=$AF610),ROUND($AG610,2),0))</f>
        <v/>
      </c>
      <c r="O610" s="18">
        <f>IF($Z610="","",IF(AND(DATE($AD610,6,1)&gt;=$AE610,DATE($AD610,6,1)&lt;=$AF610),ROUND($AG610,2),0))</f>
        <v/>
      </c>
      <c r="P610" s="18">
        <f>IF($Z610="","",IF(AND(DATE($AD610,7,1)&gt;=$AE610,DATE($AD610,7,1)&lt;=$AF610),ROUND($AG610,2),0))</f>
        <v/>
      </c>
      <c r="Q610" s="18">
        <f>IF($Z610="","",IF(AND(DATE($AD610,8,1)&gt;=$AE610,DATE($AD610,8,1)&lt;=$AF610),ROUND($AG610,2),0))</f>
        <v/>
      </c>
      <c r="R610" s="18">
        <f>IF($Z610="","",IF(AND(DATE($AD610,9,1)&gt;=$AE610,DATE($AD610,9,1)&lt;=$AF610),ROUND($AG610,2),0))</f>
        <v/>
      </c>
      <c r="S610" s="18">
        <f>IF($Z610="","",IF(AND(DATE($AD610,10,1)&gt;=$AE610,DATE($AD610,10,1)&lt;=$AF610),ROUND($AG610,2),0))</f>
        <v/>
      </c>
      <c r="T610" s="18">
        <f>IF($Z610="","",IF(AND(DATE($AD610,11,1)&gt;=$AE610,DATE($AD610,11,1)&lt;=$AF610),ROUND($AG610,2),0))</f>
        <v/>
      </c>
      <c r="U610" s="18">
        <f>IF($Z610="","",IF(AND(DATE($AD610,12,1)&gt;=$AE610,DATE($AD610,12,1)&lt;=$AF610),ROUND($AG610,2),0))</f>
        <v/>
      </c>
      <c r="V610" s="7">
        <f>IF($Z610="C","Generated from "&amp;INDEX(Contracts!$A$2:$A$151,$AB610),IF($Z610="A","Generated from "&amp;INDEX(Fixed_Assets!$A$2:$A$201,$AB610),IF($Z610="F","Generated from "&amp;INDEX(FTE_Allocation!$A$2:$A$201,$AB610),"")))</f>
        <v/>
      </c>
      <c r="X610" s="19">
        <f>IF($Z610="","",SUM(J610:U610))</f>
        <v/>
      </c>
      <c r="Y610" s="20">
        <f>ROW()-1</f>
        <v/>
      </c>
      <c r="Z610" s="20">
        <f>IF($Y610&lt;=Settings!$B$4*3,"C",IF($Y610&lt;=(Settings!$B$4+Settings!$B$5)*3,"A",IF($Y610&lt;=(Settings!$B$4+Settings!$B$5+Settings!$B$6)*3,"F","")))</f>
        <v/>
      </c>
      <c r="AA610" s="20">
        <f>IF($Z610="C",$Y610,IF($Z610="A",$Y610-Settings!$B$4*3,IF($Z610="F",$Y610-(Settings!$B$4+Settings!$B$5)*3,"")))</f>
        <v/>
      </c>
      <c r="AB610" s="20">
        <f>IF($Z610="","",INT(($AA610-1)/3)+1)</f>
        <v/>
      </c>
      <c r="AC610" s="20">
        <f>IF($Z610="","",MOD($AA610-1,3)+1)</f>
        <v/>
      </c>
      <c r="AD610" s="20">
        <f>IF($Z610="","",Settings!$B$2+$AC610-1)</f>
        <v/>
      </c>
      <c r="AE610" s="21">
        <f>IF($Z610="C",DATE(YEAR(INDEX(Contracts!$J$2:$J$151,$AB610)),MONTH(INDEX(Contracts!$J$2:$J$151,$AB610)),1),IF($Z610="A",DATE(YEAR(INDEX(Fixed_Assets!$G$2:$G$201,$AB610)),MONTH(INDEX(Fixed_Assets!$G$2:$G$201,$AB610)),1),IF($Z610="F",DATE(YEAR(MAX(N(INDEX(Workforce!$I$2:$I$151,MATCH(INDEX(FTE_Allocation!$A$2:$A$201,$AB610),Workforce!$A$2:$A$151,0))),N(INDEX(FTE_Allocation!$I$2:$I$201,$AB610)))),MONTH(MAX(N(INDEX(Workforce!$I$2:$I$151,MATCH(INDEX(FTE_Allocation!$A$2:$A$201,$AB610),Workforce!$A$2:$A$151,0))),N(INDEX(FTE_Allocation!$I$2:$I$201,$AB610)))),1),"")))</f>
        <v/>
      </c>
      <c r="AF610" s="21">
        <f>IF($Z610="C",IF(INDEX(Contracts!$I$2:$I$151,$AB610)="PREPAID",EDATE(DATE(YEAR(INDEX(Contracts!$J$2:$J$151,$AB610)),MONTH(INDEX(Contracts!$J$2:$J$151,$AB610)),1),IF(INDEX(Contracts!$N$2:$N$151,$AB610)="",12,INDEX(Contracts!$N$2:$N$151,$AB610))-1),IF(INDEX(Contracts!$I$2:$I$151,$AB610)="MONTHLY",IF(INDEX(Contracts!$K$2:$K$151,$AB610)="",2958101,INDEX(Contracts!$K$2:$K$151,$AB610)),0)),IF($Z610="A",EDATE(DATE(YEAR(INDEX(Fixed_Assets!$G$2:$G$201,$AB610)),MONTH(INDEX(Fixed_Assets!$G$2:$G$201,$AB610)),1),INDEX(Fixed_Assets!$J$2:$J$201,$AB610)-1),IF($Z610="F",MIN(IF(INDEX(Workforce!$J$2:$J$151,MATCH(INDEX(FTE_Allocation!$A$2:$A$201,$AB610),Workforce!$A$2:$A$151,0))="",2958101,INDEX(Workforce!$J$2:$J$151,MATCH(INDEX(FTE_Allocation!$A$2:$A$201,$AB610),Workforce!$A$2:$A$151,0))),IF(INDEX(FTE_Allocation!$J$2:$J$201,$AB610)="",2958101,INDEX(FTE_Allocation!$J$2:$J$201,$AB610))),"")))</f>
        <v/>
      </c>
      <c r="AG610" s="19">
        <f>IF($Z610="C",IF(INDEX(Contracts!$I$2:$I$151,$AB610)="PREPAID",INDEX(Contracts!$M$2:$M$151,$AB610)/IF(INDEX(Contracts!$N$2:$N$151,$AB610)="",12,INDEX(Contracts!$N$2:$N$151,$AB610)),IF(INDEX(Contracts!$I$2:$I$151,$AB610)="MONTHLY",INDEX(Contracts!$M$2:$M$151,$AB610),0))*(1-N(INDEX(Contracts!$O$2:$O$151,$AB610))),IF($Z610="A",INDEX(Fixed_Assets!$H$2:$H$201,$AB610)/INDEX(Fixed_Assets!$J$2:$J$201,$AB610),IF($Z610="F",INDEX(Workforce!$F$2:$F$151,MATCH(INDEX(FTE_Allocation!$A$2:$A$201,$AB610),Workforce!$A$2:$A$151,0))*N(INDEX(FTE_Allocation!$F$2:$H$201,$AB610,$AC610)),"")))</f>
        <v/>
      </c>
    </row>
    <row r="611">
      <c r="A611" s="7">
        <f>IF($Z611="","",$AD611)</f>
        <v/>
      </c>
      <c r="B611" s="7">
        <f>IF($Z611="C",INDEX(Contracts!$D$2:$D$151,$AB611)&amp;"",IF($Z611="A",INDEX(Fixed_Assets!$C$2:$C$201,$AB611)&amp;"",IF($Z611="F",INDEX(Workforce!$B$2:$B$151,MATCH(INDEX(FTE_Allocation!$A$2:$A$201,$AB611),Workforce!$A$2:$A$151,0))&amp;"","")))</f>
        <v/>
      </c>
      <c r="C611" s="7">
        <f>IF($Z611="C",INDEX(Contracts!$E$2:$E$151,$AB611)&amp;"",IF($Z611="A",INDEX(Fixed_Assets!$D$2:$D$201,$AB611)&amp;"",IF($Z611="F",INDEX(FTE_Allocation!$C$2:$C$201,$AB611)&amp;"","")))</f>
        <v/>
      </c>
      <c r="D611" s="7">
        <f>IF($Z611="C",INDEX(Contracts!$B$2:$B$151,$AB611)&amp;"",IF($Z611="A",INDEX(Fixed_Assets!$B$2:$B$201,$AB611)&amp;"",IF($Z611="F",INDEX(FTE_Allocation!$B$2:$B$201,$AB611)&amp;"","")))</f>
        <v/>
      </c>
      <c r="E611" s="7">
        <f>IF($Z611="C",INDEX(Contracts!$P$2:$P$151,$AB611)&amp;"",IF($Z611="A",INDEX(Fixed_Assets!$K$2:$K$201,$AB611)&amp;"",IF($Z611="F",IF(INDEX(FTE_Allocation!$D$2:$D$201,$AB611)="PROJECT",IFERROR(INDEX(Projects!$D:$D,MATCH(INDEX(FTE_Allocation!$E$2:$E$201,$AB611),Projects!$A:$A,0))&amp;"","#PROJECT?"),INDEX(FTE_Allocation!$E$2:$E$201,$AB611)&amp;""),"")))</f>
        <v/>
      </c>
      <c r="F611" s="7">
        <f>IF($Z611="C",INDEX(Contracts!$Q$2:$Q$151,$AB611)&amp;"",IF($Z611="A",INDEX(Fixed_Assets!$L$2:$L$201,$AB611)&amp;"",IF($Z611="F",INDEX(Workforce!$K$2:$K$151,MATCH(INDEX(FTE_Allocation!$A$2:$A$201,$AB611),Workforce!$A$2:$A$151,0))&amp;"","")))</f>
        <v/>
      </c>
      <c r="G611" s="7">
        <f>IF($Z611="C",INDEX(Contracts!$F$2:$F$151,$AB611)&amp;" / "&amp;INDEX(Contracts!$G$2:$G$151,$AB611),IF($Z611="A",INDEX(Fixed_Assets!$E$2:$E$201,$AB611)&amp;"",IF($Z611="F","Personnel "&amp;INDEX(FTE_Allocation!$A$2:$A$201,$AB611)&amp;IF(INDEX(FTE_Allocation!$D$2:$D$201,$AB611)="PROJECT"," ("&amp;INDEX(FTE_Allocation!$E$2:$E$201,$AB611)&amp;")",""),"")))</f>
        <v/>
      </c>
      <c r="H611" s="7">
        <f>IF($Z611="C","CONTRACT",IF($Z611="A","ASSET",IF($Z611="F","WORKFORCE","")))</f>
        <v/>
      </c>
      <c r="I611" s="7">
        <f>IF($Z611="C",INDEX(Contracts!$L$2:$L$151,$AB611)&amp;"",IF($Z611="A",INDEX(Fixed_Assets!$I$2:$I$201,$AB611)&amp;"",IF($Z611="F",INDEX(Workforce!$G$2:$G$151,MATCH(INDEX(FTE_Allocation!$A$2:$A$201,$AB611),Workforce!$A$2:$A$151,0))&amp;"","")))</f>
        <v/>
      </c>
      <c r="J611" s="18">
        <f>IF($Z611="","",IF(AND(DATE($AD611,1,1)&gt;=$AE611,DATE($AD611,1,1)&lt;=$AF611),ROUND($AG611,2),0))</f>
        <v/>
      </c>
      <c r="K611" s="18">
        <f>IF($Z611="","",IF(AND(DATE($AD611,2,1)&gt;=$AE611,DATE($AD611,2,1)&lt;=$AF611),ROUND($AG611,2),0))</f>
        <v/>
      </c>
      <c r="L611" s="18">
        <f>IF($Z611="","",IF(AND(DATE($AD611,3,1)&gt;=$AE611,DATE($AD611,3,1)&lt;=$AF611),ROUND($AG611,2),0))</f>
        <v/>
      </c>
      <c r="M611" s="18">
        <f>IF($Z611="","",IF(AND(DATE($AD611,4,1)&gt;=$AE611,DATE($AD611,4,1)&lt;=$AF611),ROUND($AG611,2),0))</f>
        <v/>
      </c>
      <c r="N611" s="18">
        <f>IF($Z611="","",IF(AND(DATE($AD611,5,1)&gt;=$AE611,DATE($AD611,5,1)&lt;=$AF611),ROUND($AG611,2),0))</f>
        <v/>
      </c>
      <c r="O611" s="18">
        <f>IF($Z611="","",IF(AND(DATE($AD611,6,1)&gt;=$AE611,DATE($AD611,6,1)&lt;=$AF611),ROUND($AG611,2),0))</f>
        <v/>
      </c>
      <c r="P611" s="18">
        <f>IF($Z611="","",IF(AND(DATE($AD611,7,1)&gt;=$AE611,DATE($AD611,7,1)&lt;=$AF611),ROUND($AG611,2),0))</f>
        <v/>
      </c>
      <c r="Q611" s="18">
        <f>IF($Z611="","",IF(AND(DATE($AD611,8,1)&gt;=$AE611,DATE($AD611,8,1)&lt;=$AF611),ROUND($AG611,2),0))</f>
        <v/>
      </c>
      <c r="R611" s="18">
        <f>IF($Z611="","",IF(AND(DATE($AD611,9,1)&gt;=$AE611,DATE($AD611,9,1)&lt;=$AF611),ROUND($AG611,2),0))</f>
        <v/>
      </c>
      <c r="S611" s="18">
        <f>IF($Z611="","",IF(AND(DATE($AD611,10,1)&gt;=$AE611,DATE($AD611,10,1)&lt;=$AF611),ROUND($AG611,2),0))</f>
        <v/>
      </c>
      <c r="T611" s="18">
        <f>IF($Z611="","",IF(AND(DATE($AD611,11,1)&gt;=$AE611,DATE($AD611,11,1)&lt;=$AF611),ROUND($AG611,2),0))</f>
        <v/>
      </c>
      <c r="U611" s="18">
        <f>IF($Z611="","",IF(AND(DATE($AD611,12,1)&gt;=$AE611,DATE($AD611,12,1)&lt;=$AF611),ROUND($AG611,2),0))</f>
        <v/>
      </c>
      <c r="V611" s="7">
        <f>IF($Z611="C","Generated from "&amp;INDEX(Contracts!$A$2:$A$151,$AB611),IF($Z611="A","Generated from "&amp;INDEX(Fixed_Assets!$A$2:$A$201,$AB611),IF($Z611="F","Generated from "&amp;INDEX(FTE_Allocation!$A$2:$A$201,$AB611),"")))</f>
        <v/>
      </c>
      <c r="X611" s="19">
        <f>IF($Z611="","",SUM(J611:U611))</f>
        <v/>
      </c>
      <c r="Y611" s="20">
        <f>ROW()-1</f>
        <v/>
      </c>
      <c r="Z611" s="20">
        <f>IF($Y611&lt;=Settings!$B$4*3,"C",IF($Y611&lt;=(Settings!$B$4+Settings!$B$5)*3,"A",IF($Y611&lt;=(Settings!$B$4+Settings!$B$5+Settings!$B$6)*3,"F","")))</f>
        <v/>
      </c>
      <c r="AA611" s="20">
        <f>IF($Z611="C",$Y611,IF($Z611="A",$Y611-Settings!$B$4*3,IF($Z611="F",$Y611-(Settings!$B$4+Settings!$B$5)*3,"")))</f>
        <v/>
      </c>
      <c r="AB611" s="20">
        <f>IF($Z611="","",INT(($AA611-1)/3)+1)</f>
        <v/>
      </c>
      <c r="AC611" s="20">
        <f>IF($Z611="","",MOD($AA611-1,3)+1)</f>
        <v/>
      </c>
      <c r="AD611" s="20">
        <f>IF($Z611="","",Settings!$B$2+$AC611-1)</f>
        <v/>
      </c>
      <c r="AE611" s="21">
        <f>IF($Z611="C",DATE(YEAR(INDEX(Contracts!$J$2:$J$151,$AB611)),MONTH(INDEX(Contracts!$J$2:$J$151,$AB611)),1),IF($Z611="A",DATE(YEAR(INDEX(Fixed_Assets!$G$2:$G$201,$AB611)),MONTH(INDEX(Fixed_Assets!$G$2:$G$201,$AB611)),1),IF($Z611="F",DATE(YEAR(MAX(N(INDEX(Workforce!$I$2:$I$151,MATCH(INDEX(FTE_Allocation!$A$2:$A$201,$AB611),Workforce!$A$2:$A$151,0))),N(INDEX(FTE_Allocation!$I$2:$I$201,$AB611)))),MONTH(MAX(N(INDEX(Workforce!$I$2:$I$151,MATCH(INDEX(FTE_Allocation!$A$2:$A$201,$AB611),Workforce!$A$2:$A$151,0))),N(INDEX(FTE_Allocation!$I$2:$I$201,$AB611)))),1),"")))</f>
        <v/>
      </c>
      <c r="AF611" s="21">
        <f>IF($Z611="C",IF(INDEX(Contracts!$I$2:$I$151,$AB611)="PREPAID",EDATE(DATE(YEAR(INDEX(Contracts!$J$2:$J$151,$AB611)),MONTH(INDEX(Contracts!$J$2:$J$151,$AB611)),1),IF(INDEX(Contracts!$N$2:$N$151,$AB611)="",12,INDEX(Contracts!$N$2:$N$151,$AB611))-1),IF(INDEX(Contracts!$I$2:$I$151,$AB611)="MONTHLY",IF(INDEX(Contracts!$K$2:$K$151,$AB611)="",2958101,INDEX(Contracts!$K$2:$K$151,$AB611)),0)),IF($Z611="A",EDATE(DATE(YEAR(INDEX(Fixed_Assets!$G$2:$G$201,$AB611)),MONTH(INDEX(Fixed_Assets!$G$2:$G$201,$AB611)),1),INDEX(Fixed_Assets!$J$2:$J$201,$AB611)-1),IF($Z611="F",MIN(IF(INDEX(Workforce!$J$2:$J$151,MATCH(INDEX(FTE_Allocation!$A$2:$A$201,$AB611),Workforce!$A$2:$A$151,0))="",2958101,INDEX(Workforce!$J$2:$J$151,MATCH(INDEX(FTE_Allocation!$A$2:$A$201,$AB611),Workforce!$A$2:$A$151,0))),IF(INDEX(FTE_Allocation!$J$2:$J$201,$AB611)="",2958101,INDEX(FTE_Allocation!$J$2:$J$201,$AB611))),"")))</f>
        <v/>
      </c>
      <c r="AG611" s="19">
        <f>IF($Z611="C",IF(INDEX(Contracts!$I$2:$I$151,$AB611)="PREPAID",INDEX(Contracts!$M$2:$M$151,$AB611)/IF(INDEX(Contracts!$N$2:$N$151,$AB611)="",12,INDEX(Contracts!$N$2:$N$151,$AB611)),IF(INDEX(Contracts!$I$2:$I$151,$AB611)="MONTHLY",INDEX(Contracts!$M$2:$M$151,$AB611),0))*(1-N(INDEX(Contracts!$O$2:$O$151,$AB611))),IF($Z611="A",INDEX(Fixed_Assets!$H$2:$H$201,$AB611)/INDEX(Fixed_Assets!$J$2:$J$201,$AB611),IF($Z611="F",INDEX(Workforce!$F$2:$F$151,MATCH(INDEX(FTE_Allocation!$A$2:$A$201,$AB611),Workforce!$A$2:$A$151,0))*N(INDEX(FTE_Allocation!$F$2:$H$201,$AB611,$AC611)),"")))</f>
        <v/>
      </c>
    </row>
    <row r="612">
      <c r="A612" s="7">
        <f>IF($Z612="","",$AD612)</f>
        <v/>
      </c>
      <c r="B612" s="7">
        <f>IF($Z612="C",INDEX(Contracts!$D$2:$D$151,$AB612)&amp;"",IF($Z612="A",INDEX(Fixed_Assets!$C$2:$C$201,$AB612)&amp;"",IF($Z612="F",INDEX(Workforce!$B$2:$B$151,MATCH(INDEX(FTE_Allocation!$A$2:$A$201,$AB612),Workforce!$A$2:$A$151,0))&amp;"","")))</f>
        <v/>
      </c>
      <c r="C612" s="7">
        <f>IF($Z612="C",INDEX(Contracts!$E$2:$E$151,$AB612)&amp;"",IF($Z612="A",INDEX(Fixed_Assets!$D$2:$D$201,$AB612)&amp;"",IF($Z612="F",INDEX(FTE_Allocation!$C$2:$C$201,$AB612)&amp;"","")))</f>
        <v/>
      </c>
      <c r="D612" s="7">
        <f>IF($Z612="C",INDEX(Contracts!$B$2:$B$151,$AB612)&amp;"",IF($Z612="A",INDEX(Fixed_Assets!$B$2:$B$201,$AB612)&amp;"",IF($Z612="F",INDEX(FTE_Allocation!$B$2:$B$201,$AB612)&amp;"","")))</f>
        <v/>
      </c>
      <c r="E612" s="7">
        <f>IF($Z612="C",INDEX(Contracts!$P$2:$P$151,$AB612)&amp;"",IF($Z612="A",INDEX(Fixed_Assets!$K$2:$K$201,$AB612)&amp;"",IF($Z612="F",IF(INDEX(FTE_Allocation!$D$2:$D$201,$AB612)="PROJECT",IFERROR(INDEX(Projects!$D:$D,MATCH(INDEX(FTE_Allocation!$E$2:$E$201,$AB612),Projects!$A:$A,0))&amp;"","#PROJECT?"),INDEX(FTE_Allocation!$E$2:$E$201,$AB612)&amp;""),"")))</f>
        <v/>
      </c>
      <c r="F612" s="7">
        <f>IF($Z612="C",INDEX(Contracts!$Q$2:$Q$151,$AB612)&amp;"",IF($Z612="A",INDEX(Fixed_Assets!$L$2:$L$201,$AB612)&amp;"",IF($Z612="F",INDEX(Workforce!$K$2:$K$151,MATCH(INDEX(FTE_Allocation!$A$2:$A$201,$AB612),Workforce!$A$2:$A$151,0))&amp;"","")))</f>
        <v/>
      </c>
      <c r="G612" s="7">
        <f>IF($Z612="C",INDEX(Contracts!$F$2:$F$151,$AB612)&amp;" / "&amp;INDEX(Contracts!$G$2:$G$151,$AB612),IF($Z612="A",INDEX(Fixed_Assets!$E$2:$E$201,$AB612)&amp;"",IF($Z612="F","Personnel "&amp;INDEX(FTE_Allocation!$A$2:$A$201,$AB612)&amp;IF(INDEX(FTE_Allocation!$D$2:$D$201,$AB612)="PROJECT"," ("&amp;INDEX(FTE_Allocation!$E$2:$E$201,$AB612)&amp;")",""),"")))</f>
        <v/>
      </c>
      <c r="H612" s="7">
        <f>IF($Z612="C","CONTRACT",IF($Z612="A","ASSET",IF($Z612="F","WORKFORCE","")))</f>
        <v/>
      </c>
      <c r="I612" s="7">
        <f>IF($Z612="C",INDEX(Contracts!$L$2:$L$151,$AB612)&amp;"",IF($Z612="A",INDEX(Fixed_Assets!$I$2:$I$201,$AB612)&amp;"",IF($Z612="F",INDEX(Workforce!$G$2:$G$151,MATCH(INDEX(FTE_Allocation!$A$2:$A$201,$AB612),Workforce!$A$2:$A$151,0))&amp;"","")))</f>
        <v/>
      </c>
      <c r="J612" s="18">
        <f>IF($Z612="","",IF(AND(DATE($AD612,1,1)&gt;=$AE612,DATE($AD612,1,1)&lt;=$AF612),ROUND($AG612,2),0))</f>
        <v/>
      </c>
      <c r="K612" s="18">
        <f>IF($Z612="","",IF(AND(DATE($AD612,2,1)&gt;=$AE612,DATE($AD612,2,1)&lt;=$AF612),ROUND($AG612,2),0))</f>
        <v/>
      </c>
      <c r="L612" s="18">
        <f>IF($Z612="","",IF(AND(DATE($AD612,3,1)&gt;=$AE612,DATE($AD612,3,1)&lt;=$AF612),ROUND($AG612,2),0))</f>
        <v/>
      </c>
      <c r="M612" s="18">
        <f>IF($Z612="","",IF(AND(DATE($AD612,4,1)&gt;=$AE612,DATE($AD612,4,1)&lt;=$AF612),ROUND($AG612,2),0))</f>
        <v/>
      </c>
      <c r="N612" s="18">
        <f>IF($Z612="","",IF(AND(DATE($AD612,5,1)&gt;=$AE612,DATE($AD612,5,1)&lt;=$AF612),ROUND($AG612,2),0))</f>
        <v/>
      </c>
      <c r="O612" s="18">
        <f>IF($Z612="","",IF(AND(DATE($AD612,6,1)&gt;=$AE612,DATE($AD612,6,1)&lt;=$AF612),ROUND($AG612,2),0))</f>
        <v/>
      </c>
      <c r="P612" s="18">
        <f>IF($Z612="","",IF(AND(DATE($AD612,7,1)&gt;=$AE612,DATE($AD612,7,1)&lt;=$AF612),ROUND($AG612,2),0))</f>
        <v/>
      </c>
      <c r="Q612" s="18">
        <f>IF($Z612="","",IF(AND(DATE($AD612,8,1)&gt;=$AE612,DATE($AD612,8,1)&lt;=$AF612),ROUND($AG612,2),0))</f>
        <v/>
      </c>
      <c r="R612" s="18">
        <f>IF($Z612="","",IF(AND(DATE($AD612,9,1)&gt;=$AE612,DATE($AD612,9,1)&lt;=$AF612),ROUND($AG612,2),0))</f>
        <v/>
      </c>
      <c r="S612" s="18">
        <f>IF($Z612="","",IF(AND(DATE($AD612,10,1)&gt;=$AE612,DATE($AD612,10,1)&lt;=$AF612),ROUND($AG612,2),0))</f>
        <v/>
      </c>
      <c r="T612" s="18">
        <f>IF($Z612="","",IF(AND(DATE($AD612,11,1)&gt;=$AE612,DATE($AD612,11,1)&lt;=$AF612),ROUND($AG612,2),0))</f>
        <v/>
      </c>
      <c r="U612" s="18">
        <f>IF($Z612="","",IF(AND(DATE($AD612,12,1)&gt;=$AE612,DATE($AD612,12,1)&lt;=$AF612),ROUND($AG612,2),0))</f>
        <v/>
      </c>
      <c r="V612" s="7">
        <f>IF($Z612="C","Generated from "&amp;INDEX(Contracts!$A$2:$A$151,$AB612),IF($Z612="A","Generated from "&amp;INDEX(Fixed_Assets!$A$2:$A$201,$AB612),IF($Z612="F","Generated from "&amp;INDEX(FTE_Allocation!$A$2:$A$201,$AB612),"")))</f>
        <v/>
      </c>
      <c r="X612" s="19">
        <f>IF($Z612="","",SUM(J612:U612))</f>
        <v/>
      </c>
      <c r="Y612" s="20">
        <f>ROW()-1</f>
        <v/>
      </c>
      <c r="Z612" s="20">
        <f>IF($Y612&lt;=Settings!$B$4*3,"C",IF($Y612&lt;=(Settings!$B$4+Settings!$B$5)*3,"A",IF($Y612&lt;=(Settings!$B$4+Settings!$B$5+Settings!$B$6)*3,"F","")))</f>
        <v/>
      </c>
      <c r="AA612" s="20">
        <f>IF($Z612="C",$Y612,IF($Z612="A",$Y612-Settings!$B$4*3,IF($Z612="F",$Y612-(Settings!$B$4+Settings!$B$5)*3,"")))</f>
        <v/>
      </c>
      <c r="AB612" s="20">
        <f>IF($Z612="","",INT(($AA612-1)/3)+1)</f>
        <v/>
      </c>
      <c r="AC612" s="20">
        <f>IF($Z612="","",MOD($AA612-1,3)+1)</f>
        <v/>
      </c>
      <c r="AD612" s="20">
        <f>IF($Z612="","",Settings!$B$2+$AC612-1)</f>
        <v/>
      </c>
      <c r="AE612" s="21">
        <f>IF($Z612="C",DATE(YEAR(INDEX(Contracts!$J$2:$J$151,$AB612)),MONTH(INDEX(Contracts!$J$2:$J$151,$AB612)),1),IF($Z612="A",DATE(YEAR(INDEX(Fixed_Assets!$G$2:$G$201,$AB612)),MONTH(INDEX(Fixed_Assets!$G$2:$G$201,$AB612)),1),IF($Z612="F",DATE(YEAR(MAX(N(INDEX(Workforce!$I$2:$I$151,MATCH(INDEX(FTE_Allocation!$A$2:$A$201,$AB612),Workforce!$A$2:$A$151,0))),N(INDEX(FTE_Allocation!$I$2:$I$201,$AB612)))),MONTH(MAX(N(INDEX(Workforce!$I$2:$I$151,MATCH(INDEX(FTE_Allocation!$A$2:$A$201,$AB612),Workforce!$A$2:$A$151,0))),N(INDEX(FTE_Allocation!$I$2:$I$201,$AB612)))),1),"")))</f>
        <v/>
      </c>
      <c r="AF612" s="21">
        <f>IF($Z612="C",IF(INDEX(Contracts!$I$2:$I$151,$AB612)="PREPAID",EDATE(DATE(YEAR(INDEX(Contracts!$J$2:$J$151,$AB612)),MONTH(INDEX(Contracts!$J$2:$J$151,$AB612)),1),IF(INDEX(Contracts!$N$2:$N$151,$AB612)="",12,INDEX(Contracts!$N$2:$N$151,$AB612))-1),IF(INDEX(Contracts!$I$2:$I$151,$AB612)="MONTHLY",IF(INDEX(Contracts!$K$2:$K$151,$AB612)="",2958101,INDEX(Contracts!$K$2:$K$151,$AB612)),0)),IF($Z612="A",EDATE(DATE(YEAR(INDEX(Fixed_Assets!$G$2:$G$201,$AB612)),MONTH(INDEX(Fixed_Assets!$G$2:$G$201,$AB612)),1),INDEX(Fixed_Assets!$J$2:$J$201,$AB612)-1),IF($Z612="F",MIN(IF(INDEX(Workforce!$J$2:$J$151,MATCH(INDEX(FTE_Allocation!$A$2:$A$201,$AB612),Workforce!$A$2:$A$151,0))="",2958101,INDEX(Workforce!$J$2:$J$151,MATCH(INDEX(FTE_Allocation!$A$2:$A$201,$AB612),Workforce!$A$2:$A$151,0))),IF(INDEX(FTE_Allocation!$J$2:$J$201,$AB612)="",2958101,INDEX(FTE_Allocation!$J$2:$J$201,$AB612))),"")))</f>
        <v/>
      </c>
      <c r="AG612" s="19">
        <f>IF($Z612="C",IF(INDEX(Contracts!$I$2:$I$151,$AB612)="PREPAID",INDEX(Contracts!$M$2:$M$151,$AB612)/IF(INDEX(Contracts!$N$2:$N$151,$AB612)="",12,INDEX(Contracts!$N$2:$N$151,$AB612)),IF(INDEX(Contracts!$I$2:$I$151,$AB612)="MONTHLY",INDEX(Contracts!$M$2:$M$151,$AB612),0))*(1-N(INDEX(Contracts!$O$2:$O$151,$AB612))),IF($Z612="A",INDEX(Fixed_Assets!$H$2:$H$201,$AB612)/INDEX(Fixed_Assets!$J$2:$J$201,$AB612),IF($Z612="F",INDEX(Workforce!$F$2:$F$151,MATCH(INDEX(FTE_Allocation!$A$2:$A$201,$AB612),Workforce!$A$2:$A$151,0))*N(INDEX(FTE_Allocation!$F$2:$H$201,$AB612,$AC612)),"")))</f>
        <v/>
      </c>
    </row>
    <row r="613">
      <c r="A613" s="7">
        <f>IF($Z613="","",$AD613)</f>
        <v/>
      </c>
      <c r="B613" s="7">
        <f>IF($Z613="C",INDEX(Contracts!$D$2:$D$151,$AB613)&amp;"",IF($Z613="A",INDEX(Fixed_Assets!$C$2:$C$201,$AB613)&amp;"",IF($Z613="F",INDEX(Workforce!$B$2:$B$151,MATCH(INDEX(FTE_Allocation!$A$2:$A$201,$AB613),Workforce!$A$2:$A$151,0))&amp;"","")))</f>
        <v/>
      </c>
      <c r="C613" s="7">
        <f>IF($Z613="C",INDEX(Contracts!$E$2:$E$151,$AB613)&amp;"",IF($Z613="A",INDEX(Fixed_Assets!$D$2:$D$201,$AB613)&amp;"",IF($Z613="F",INDEX(FTE_Allocation!$C$2:$C$201,$AB613)&amp;"","")))</f>
        <v/>
      </c>
      <c r="D613" s="7">
        <f>IF($Z613="C",INDEX(Contracts!$B$2:$B$151,$AB613)&amp;"",IF($Z613="A",INDEX(Fixed_Assets!$B$2:$B$201,$AB613)&amp;"",IF($Z613="F",INDEX(FTE_Allocation!$B$2:$B$201,$AB613)&amp;"","")))</f>
        <v/>
      </c>
      <c r="E613" s="7">
        <f>IF($Z613="C",INDEX(Contracts!$P$2:$P$151,$AB613)&amp;"",IF($Z613="A",INDEX(Fixed_Assets!$K$2:$K$201,$AB613)&amp;"",IF($Z613="F",IF(INDEX(FTE_Allocation!$D$2:$D$201,$AB613)="PROJECT",IFERROR(INDEX(Projects!$D:$D,MATCH(INDEX(FTE_Allocation!$E$2:$E$201,$AB613),Projects!$A:$A,0))&amp;"","#PROJECT?"),INDEX(FTE_Allocation!$E$2:$E$201,$AB613)&amp;""),"")))</f>
        <v/>
      </c>
      <c r="F613" s="7">
        <f>IF($Z613="C",INDEX(Contracts!$Q$2:$Q$151,$AB613)&amp;"",IF($Z613="A",INDEX(Fixed_Assets!$L$2:$L$201,$AB613)&amp;"",IF($Z613="F",INDEX(Workforce!$K$2:$K$151,MATCH(INDEX(FTE_Allocation!$A$2:$A$201,$AB613),Workforce!$A$2:$A$151,0))&amp;"","")))</f>
        <v/>
      </c>
      <c r="G613" s="7">
        <f>IF($Z613="C",INDEX(Contracts!$F$2:$F$151,$AB613)&amp;" / "&amp;INDEX(Contracts!$G$2:$G$151,$AB613),IF($Z613="A",INDEX(Fixed_Assets!$E$2:$E$201,$AB613)&amp;"",IF($Z613="F","Personnel "&amp;INDEX(FTE_Allocation!$A$2:$A$201,$AB613)&amp;IF(INDEX(FTE_Allocation!$D$2:$D$201,$AB613)="PROJECT"," ("&amp;INDEX(FTE_Allocation!$E$2:$E$201,$AB613)&amp;")",""),"")))</f>
        <v/>
      </c>
      <c r="H613" s="7">
        <f>IF($Z613="C","CONTRACT",IF($Z613="A","ASSET",IF($Z613="F","WORKFORCE","")))</f>
        <v/>
      </c>
      <c r="I613" s="7">
        <f>IF($Z613="C",INDEX(Contracts!$L$2:$L$151,$AB613)&amp;"",IF($Z613="A",INDEX(Fixed_Assets!$I$2:$I$201,$AB613)&amp;"",IF($Z613="F",INDEX(Workforce!$G$2:$G$151,MATCH(INDEX(FTE_Allocation!$A$2:$A$201,$AB613),Workforce!$A$2:$A$151,0))&amp;"","")))</f>
        <v/>
      </c>
      <c r="J613" s="18">
        <f>IF($Z613="","",IF(AND(DATE($AD613,1,1)&gt;=$AE613,DATE($AD613,1,1)&lt;=$AF613),ROUND($AG613,2),0))</f>
        <v/>
      </c>
      <c r="K613" s="18">
        <f>IF($Z613="","",IF(AND(DATE($AD613,2,1)&gt;=$AE613,DATE($AD613,2,1)&lt;=$AF613),ROUND($AG613,2),0))</f>
        <v/>
      </c>
      <c r="L613" s="18">
        <f>IF($Z613="","",IF(AND(DATE($AD613,3,1)&gt;=$AE613,DATE($AD613,3,1)&lt;=$AF613),ROUND($AG613,2),0))</f>
        <v/>
      </c>
      <c r="M613" s="18">
        <f>IF($Z613="","",IF(AND(DATE($AD613,4,1)&gt;=$AE613,DATE($AD613,4,1)&lt;=$AF613),ROUND($AG613,2),0))</f>
        <v/>
      </c>
      <c r="N613" s="18">
        <f>IF($Z613="","",IF(AND(DATE($AD613,5,1)&gt;=$AE613,DATE($AD613,5,1)&lt;=$AF613),ROUND($AG613,2),0))</f>
        <v/>
      </c>
      <c r="O613" s="18">
        <f>IF($Z613="","",IF(AND(DATE($AD613,6,1)&gt;=$AE613,DATE($AD613,6,1)&lt;=$AF613),ROUND($AG613,2),0))</f>
        <v/>
      </c>
      <c r="P613" s="18">
        <f>IF($Z613="","",IF(AND(DATE($AD613,7,1)&gt;=$AE613,DATE($AD613,7,1)&lt;=$AF613),ROUND($AG613,2),0))</f>
        <v/>
      </c>
      <c r="Q613" s="18">
        <f>IF($Z613="","",IF(AND(DATE($AD613,8,1)&gt;=$AE613,DATE($AD613,8,1)&lt;=$AF613),ROUND($AG613,2),0))</f>
        <v/>
      </c>
      <c r="R613" s="18">
        <f>IF($Z613="","",IF(AND(DATE($AD613,9,1)&gt;=$AE613,DATE($AD613,9,1)&lt;=$AF613),ROUND($AG613,2),0))</f>
        <v/>
      </c>
      <c r="S613" s="18">
        <f>IF($Z613="","",IF(AND(DATE($AD613,10,1)&gt;=$AE613,DATE($AD613,10,1)&lt;=$AF613),ROUND($AG613,2),0))</f>
        <v/>
      </c>
      <c r="T613" s="18">
        <f>IF($Z613="","",IF(AND(DATE($AD613,11,1)&gt;=$AE613,DATE($AD613,11,1)&lt;=$AF613),ROUND($AG613,2),0))</f>
        <v/>
      </c>
      <c r="U613" s="18">
        <f>IF($Z613="","",IF(AND(DATE($AD613,12,1)&gt;=$AE613,DATE($AD613,12,1)&lt;=$AF613),ROUND($AG613,2),0))</f>
        <v/>
      </c>
      <c r="V613" s="7">
        <f>IF($Z613="C","Generated from "&amp;INDEX(Contracts!$A$2:$A$151,$AB613),IF($Z613="A","Generated from "&amp;INDEX(Fixed_Assets!$A$2:$A$201,$AB613),IF($Z613="F","Generated from "&amp;INDEX(FTE_Allocation!$A$2:$A$201,$AB613),"")))</f>
        <v/>
      </c>
      <c r="X613" s="19">
        <f>IF($Z613="","",SUM(J613:U613))</f>
        <v/>
      </c>
      <c r="Y613" s="20">
        <f>ROW()-1</f>
        <v/>
      </c>
      <c r="Z613" s="20">
        <f>IF($Y613&lt;=Settings!$B$4*3,"C",IF($Y613&lt;=(Settings!$B$4+Settings!$B$5)*3,"A",IF($Y613&lt;=(Settings!$B$4+Settings!$B$5+Settings!$B$6)*3,"F","")))</f>
        <v/>
      </c>
      <c r="AA613" s="20">
        <f>IF($Z613="C",$Y613,IF($Z613="A",$Y613-Settings!$B$4*3,IF($Z613="F",$Y613-(Settings!$B$4+Settings!$B$5)*3,"")))</f>
        <v/>
      </c>
      <c r="AB613" s="20">
        <f>IF($Z613="","",INT(($AA613-1)/3)+1)</f>
        <v/>
      </c>
      <c r="AC613" s="20">
        <f>IF($Z613="","",MOD($AA613-1,3)+1)</f>
        <v/>
      </c>
      <c r="AD613" s="20">
        <f>IF($Z613="","",Settings!$B$2+$AC613-1)</f>
        <v/>
      </c>
      <c r="AE613" s="21">
        <f>IF($Z613="C",DATE(YEAR(INDEX(Contracts!$J$2:$J$151,$AB613)),MONTH(INDEX(Contracts!$J$2:$J$151,$AB613)),1),IF($Z613="A",DATE(YEAR(INDEX(Fixed_Assets!$G$2:$G$201,$AB613)),MONTH(INDEX(Fixed_Assets!$G$2:$G$201,$AB613)),1),IF($Z613="F",DATE(YEAR(MAX(N(INDEX(Workforce!$I$2:$I$151,MATCH(INDEX(FTE_Allocation!$A$2:$A$201,$AB613),Workforce!$A$2:$A$151,0))),N(INDEX(FTE_Allocation!$I$2:$I$201,$AB613)))),MONTH(MAX(N(INDEX(Workforce!$I$2:$I$151,MATCH(INDEX(FTE_Allocation!$A$2:$A$201,$AB613),Workforce!$A$2:$A$151,0))),N(INDEX(FTE_Allocation!$I$2:$I$201,$AB613)))),1),"")))</f>
        <v/>
      </c>
      <c r="AF613" s="21">
        <f>IF($Z613="C",IF(INDEX(Contracts!$I$2:$I$151,$AB613)="PREPAID",EDATE(DATE(YEAR(INDEX(Contracts!$J$2:$J$151,$AB613)),MONTH(INDEX(Contracts!$J$2:$J$151,$AB613)),1),IF(INDEX(Contracts!$N$2:$N$151,$AB613)="",12,INDEX(Contracts!$N$2:$N$151,$AB613))-1),IF(INDEX(Contracts!$I$2:$I$151,$AB613)="MONTHLY",IF(INDEX(Contracts!$K$2:$K$151,$AB613)="",2958101,INDEX(Contracts!$K$2:$K$151,$AB613)),0)),IF($Z613="A",EDATE(DATE(YEAR(INDEX(Fixed_Assets!$G$2:$G$201,$AB613)),MONTH(INDEX(Fixed_Assets!$G$2:$G$201,$AB613)),1),INDEX(Fixed_Assets!$J$2:$J$201,$AB613)-1),IF($Z613="F",MIN(IF(INDEX(Workforce!$J$2:$J$151,MATCH(INDEX(FTE_Allocation!$A$2:$A$201,$AB613),Workforce!$A$2:$A$151,0))="",2958101,INDEX(Workforce!$J$2:$J$151,MATCH(INDEX(FTE_Allocation!$A$2:$A$201,$AB613),Workforce!$A$2:$A$151,0))),IF(INDEX(FTE_Allocation!$J$2:$J$201,$AB613)="",2958101,INDEX(FTE_Allocation!$J$2:$J$201,$AB613))),"")))</f>
        <v/>
      </c>
      <c r="AG613" s="19">
        <f>IF($Z613="C",IF(INDEX(Contracts!$I$2:$I$151,$AB613)="PREPAID",INDEX(Contracts!$M$2:$M$151,$AB613)/IF(INDEX(Contracts!$N$2:$N$151,$AB613)="",12,INDEX(Contracts!$N$2:$N$151,$AB613)),IF(INDEX(Contracts!$I$2:$I$151,$AB613)="MONTHLY",INDEX(Contracts!$M$2:$M$151,$AB613),0))*(1-N(INDEX(Contracts!$O$2:$O$151,$AB613))),IF($Z613="A",INDEX(Fixed_Assets!$H$2:$H$201,$AB613)/INDEX(Fixed_Assets!$J$2:$J$201,$AB613),IF($Z613="F",INDEX(Workforce!$F$2:$F$151,MATCH(INDEX(FTE_Allocation!$A$2:$A$201,$AB613),Workforce!$A$2:$A$151,0))*N(INDEX(FTE_Allocation!$F$2:$H$201,$AB613,$AC613)),"")))</f>
        <v/>
      </c>
    </row>
    <row r="614">
      <c r="A614" s="7">
        <f>IF($Z614="","",$AD614)</f>
        <v/>
      </c>
      <c r="B614" s="7">
        <f>IF($Z614="C",INDEX(Contracts!$D$2:$D$151,$AB614)&amp;"",IF($Z614="A",INDEX(Fixed_Assets!$C$2:$C$201,$AB614)&amp;"",IF($Z614="F",INDEX(Workforce!$B$2:$B$151,MATCH(INDEX(FTE_Allocation!$A$2:$A$201,$AB614),Workforce!$A$2:$A$151,0))&amp;"","")))</f>
        <v/>
      </c>
      <c r="C614" s="7">
        <f>IF($Z614="C",INDEX(Contracts!$E$2:$E$151,$AB614)&amp;"",IF($Z614="A",INDEX(Fixed_Assets!$D$2:$D$201,$AB614)&amp;"",IF($Z614="F",INDEX(FTE_Allocation!$C$2:$C$201,$AB614)&amp;"","")))</f>
        <v/>
      </c>
      <c r="D614" s="7">
        <f>IF($Z614="C",INDEX(Contracts!$B$2:$B$151,$AB614)&amp;"",IF($Z614="A",INDEX(Fixed_Assets!$B$2:$B$201,$AB614)&amp;"",IF($Z614="F",INDEX(FTE_Allocation!$B$2:$B$201,$AB614)&amp;"","")))</f>
        <v/>
      </c>
      <c r="E614" s="7">
        <f>IF($Z614="C",INDEX(Contracts!$P$2:$P$151,$AB614)&amp;"",IF($Z614="A",INDEX(Fixed_Assets!$K$2:$K$201,$AB614)&amp;"",IF($Z614="F",IF(INDEX(FTE_Allocation!$D$2:$D$201,$AB614)="PROJECT",IFERROR(INDEX(Projects!$D:$D,MATCH(INDEX(FTE_Allocation!$E$2:$E$201,$AB614),Projects!$A:$A,0))&amp;"","#PROJECT?"),INDEX(FTE_Allocation!$E$2:$E$201,$AB614)&amp;""),"")))</f>
        <v/>
      </c>
      <c r="F614" s="7">
        <f>IF($Z614="C",INDEX(Contracts!$Q$2:$Q$151,$AB614)&amp;"",IF($Z614="A",INDEX(Fixed_Assets!$L$2:$L$201,$AB614)&amp;"",IF($Z614="F",INDEX(Workforce!$K$2:$K$151,MATCH(INDEX(FTE_Allocation!$A$2:$A$201,$AB614),Workforce!$A$2:$A$151,0))&amp;"","")))</f>
        <v/>
      </c>
      <c r="G614" s="7">
        <f>IF($Z614="C",INDEX(Contracts!$F$2:$F$151,$AB614)&amp;" / "&amp;INDEX(Contracts!$G$2:$G$151,$AB614),IF($Z614="A",INDEX(Fixed_Assets!$E$2:$E$201,$AB614)&amp;"",IF($Z614="F","Personnel "&amp;INDEX(FTE_Allocation!$A$2:$A$201,$AB614)&amp;IF(INDEX(FTE_Allocation!$D$2:$D$201,$AB614)="PROJECT"," ("&amp;INDEX(FTE_Allocation!$E$2:$E$201,$AB614)&amp;")",""),"")))</f>
        <v/>
      </c>
      <c r="H614" s="7">
        <f>IF($Z614="C","CONTRACT",IF($Z614="A","ASSET",IF($Z614="F","WORKFORCE","")))</f>
        <v/>
      </c>
      <c r="I614" s="7">
        <f>IF($Z614="C",INDEX(Contracts!$L$2:$L$151,$AB614)&amp;"",IF($Z614="A",INDEX(Fixed_Assets!$I$2:$I$201,$AB614)&amp;"",IF($Z614="F",INDEX(Workforce!$G$2:$G$151,MATCH(INDEX(FTE_Allocation!$A$2:$A$201,$AB614),Workforce!$A$2:$A$151,0))&amp;"","")))</f>
        <v/>
      </c>
      <c r="J614" s="18">
        <f>IF($Z614="","",IF(AND(DATE($AD614,1,1)&gt;=$AE614,DATE($AD614,1,1)&lt;=$AF614),ROUND($AG614,2),0))</f>
        <v/>
      </c>
      <c r="K614" s="18">
        <f>IF($Z614="","",IF(AND(DATE($AD614,2,1)&gt;=$AE614,DATE($AD614,2,1)&lt;=$AF614),ROUND($AG614,2),0))</f>
        <v/>
      </c>
      <c r="L614" s="18">
        <f>IF($Z614="","",IF(AND(DATE($AD614,3,1)&gt;=$AE614,DATE($AD614,3,1)&lt;=$AF614),ROUND($AG614,2),0))</f>
        <v/>
      </c>
      <c r="M614" s="18">
        <f>IF($Z614="","",IF(AND(DATE($AD614,4,1)&gt;=$AE614,DATE($AD614,4,1)&lt;=$AF614),ROUND($AG614,2),0))</f>
        <v/>
      </c>
      <c r="N614" s="18">
        <f>IF($Z614="","",IF(AND(DATE($AD614,5,1)&gt;=$AE614,DATE($AD614,5,1)&lt;=$AF614),ROUND($AG614,2),0))</f>
        <v/>
      </c>
      <c r="O614" s="18">
        <f>IF($Z614="","",IF(AND(DATE($AD614,6,1)&gt;=$AE614,DATE($AD614,6,1)&lt;=$AF614),ROUND($AG614,2),0))</f>
        <v/>
      </c>
      <c r="P614" s="18">
        <f>IF($Z614="","",IF(AND(DATE($AD614,7,1)&gt;=$AE614,DATE($AD614,7,1)&lt;=$AF614),ROUND($AG614,2),0))</f>
        <v/>
      </c>
      <c r="Q614" s="18">
        <f>IF($Z614="","",IF(AND(DATE($AD614,8,1)&gt;=$AE614,DATE($AD614,8,1)&lt;=$AF614),ROUND($AG614,2),0))</f>
        <v/>
      </c>
      <c r="R614" s="18">
        <f>IF($Z614="","",IF(AND(DATE($AD614,9,1)&gt;=$AE614,DATE($AD614,9,1)&lt;=$AF614),ROUND($AG614,2),0))</f>
        <v/>
      </c>
      <c r="S614" s="18">
        <f>IF($Z614="","",IF(AND(DATE($AD614,10,1)&gt;=$AE614,DATE($AD614,10,1)&lt;=$AF614),ROUND($AG614,2),0))</f>
        <v/>
      </c>
      <c r="T614" s="18">
        <f>IF($Z614="","",IF(AND(DATE($AD614,11,1)&gt;=$AE614,DATE($AD614,11,1)&lt;=$AF614),ROUND($AG614,2),0))</f>
        <v/>
      </c>
      <c r="U614" s="18">
        <f>IF($Z614="","",IF(AND(DATE($AD614,12,1)&gt;=$AE614,DATE($AD614,12,1)&lt;=$AF614),ROUND($AG614,2),0))</f>
        <v/>
      </c>
      <c r="V614" s="7">
        <f>IF($Z614="C","Generated from "&amp;INDEX(Contracts!$A$2:$A$151,$AB614),IF($Z614="A","Generated from "&amp;INDEX(Fixed_Assets!$A$2:$A$201,$AB614),IF($Z614="F","Generated from "&amp;INDEX(FTE_Allocation!$A$2:$A$201,$AB614),"")))</f>
        <v/>
      </c>
      <c r="X614" s="19">
        <f>IF($Z614="","",SUM(J614:U614))</f>
        <v/>
      </c>
      <c r="Y614" s="20">
        <f>ROW()-1</f>
        <v/>
      </c>
      <c r="Z614" s="20">
        <f>IF($Y614&lt;=Settings!$B$4*3,"C",IF($Y614&lt;=(Settings!$B$4+Settings!$B$5)*3,"A",IF($Y614&lt;=(Settings!$B$4+Settings!$B$5+Settings!$B$6)*3,"F","")))</f>
        <v/>
      </c>
      <c r="AA614" s="20">
        <f>IF($Z614="C",$Y614,IF($Z614="A",$Y614-Settings!$B$4*3,IF($Z614="F",$Y614-(Settings!$B$4+Settings!$B$5)*3,"")))</f>
        <v/>
      </c>
      <c r="AB614" s="20">
        <f>IF($Z614="","",INT(($AA614-1)/3)+1)</f>
        <v/>
      </c>
      <c r="AC614" s="20">
        <f>IF($Z614="","",MOD($AA614-1,3)+1)</f>
        <v/>
      </c>
      <c r="AD614" s="20">
        <f>IF($Z614="","",Settings!$B$2+$AC614-1)</f>
        <v/>
      </c>
      <c r="AE614" s="21">
        <f>IF($Z614="C",DATE(YEAR(INDEX(Contracts!$J$2:$J$151,$AB614)),MONTH(INDEX(Contracts!$J$2:$J$151,$AB614)),1),IF($Z614="A",DATE(YEAR(INDEX(Fixed_Assets!$G$2:$G$201,$AB614)),MONTH(INDEX(Fixed_Assets!$G$2:$G$201,$AB614)),1),IF($Z614="F",DATE(YEAR(MAX(N(INDEX(Workforce!$I$2:$I$151,MATCH(INDEX(FTE_Allocation!$A$2:$A$201,$AB614),Workforce!$A$2:$A$151,0))),N(INDEX(FTE_Allocation!$I$2:$I$201,$AB614)))),MONTH(MAX(N(INDEX(Workforce!$I$2:$I$151,MATCH(INDEX(FTE_Allocation!$A$2:$A$201,$AB614),Workforce!$A$2:$A$151,0))),N(INDEX(FTE_Allocation!$I$2:$I$201,$AB614)))),1),"")))</f>
        <v/>
      </c>
      <c r="AF614" s="21">
        <f>IF($Z614="C",IF(INDEX(Contracts!$I$2:$I$151,$AB614)="PREPAID",EDATE(DATE(YEAR(INDEX(Contracts!$J$2:$J$151,$AB614)),MONTH(INDEX(Contracts!$J$2:$J$151,$AB614)),1),IF(INDEX(Contracts!$N$2:$N$151,$AB614)="",12,INDEX(Contracts!$N$2:$N$151,$AB614))-1),IF(INDEX(Contracts!$I$2:$I$151,$AB614)="MONTHLY",IF(INDEX(Contracts!$K$2:$K$151,$AB614)="",2958101,INDEX(Contracts!$K$2:$K$151,$AB614)),0)),IF($Z614="A",EDATE(DATE(YEAR(INDEX(Fixed_Assets!$G$2:$G$201,$AB614)),MONTH(INDEX(Fixed_Assets!$G$2:$G$201,$AB614)),1),INDEX(Fixed_Assets!$J$2:$J$201,$AB614)-1),IF($Z614="F",MIN(IF(INDEX(Workforce!$J$2:$J$151,MATCH(INDEX(FTE_Allocation!$A$2:$A$201,$AB614),Workforce!$A$2:$A$151,0))="",2958101,INDEX(Workforce!$J$2:$J$151,MATCH(INDEX(FTE_Allocation!$A$2:$A$201,$AB614),Workforce!$A$2:$A$151,0))),IF(INDEX(FTE_Allocation!$J$2:$J$201,$AB614)="",2958101,INDEX(FTE_Allocation!$J$2:$J$201,$AB614))),"")))</f>
        <v/>
      </c>
      <c r="AG614" s="19">
        <f>IF($Z614="C",IF(INDEX(Contracts!$I$2:$I$151,$AB614)="PREPAID",INDEX(Contracts!$M$2:$M$151,$AB614)/IF(INDEX(Contracts!$N$2:$N$151,$AB614)="",12,INDEX(Contracts!$N$2:$N$151,$AB614)),IF(INDEX(Contracts!$I$2:$I$151,$AB614)="MONTHLY",INDEX(Contracts!$M$2:$M$151,$AB614),0))*(1-N(INDEX(Contracts!$O$2:$O$151,$AB614))),IF($Z614="A",INDEX(Fixed_Assets!$H$2:$H$201,$AB614)/INDEX(Fixed_Assets!$J$2:$J$201,$AB614),IF($Z614="F",INDEX(Workforce!$F$2:$F$151,MATCH(INDEX(FTE_Allocation!$A$2:$A$201,$AB614),Workforce!$A$2:$A$151,0))*N(INDEX(FTE_Allocation!$F$2:$H$201,$AB614,$AC614)),"")))</f>
        <v/>
      </c>
    </row>
    <row r="615">
      <c r="A615" s="7">
        <f>IF($Z615="","",$AD615)</f>
        <v/>
      </c>
      <c r="B615" s="7">
        <f>IF($Z615="C",INDEX(Contracts!$D$2:$D$151,$AB615)&amp;"",IF($Z615="A",INDEX(Fixed_Assets!$C$2:$C$201,$AB615)&amp;"",IF($Z615="F",INDEX(Workforce!$B$2:$B$151,MATCH(INDEX(FTE_Allocation!$A$2:$A$201,$AB615),Workforce!$A$2:$A$151,0))&amp;"","")))</f>
        <v/>
      </c>
      <c r="C615" s="7">
        <f>IF($Z615="C",INDEX(Contracts!$E$2:$E$151,$AB615)&amp;"",IF($Z615="A",INDEX(Fixed_Assets!$D$2:$D$201,$AB615)&amp;"",IF($Z615="F",INDEX(FTE_Allocation!$C$2:$C$201,$AB615)&amp;"","")))</f>
        <v/>
      </c>
      <c r="D615" s="7">
        <f>IF($Z615="C",INDEX(Contracts!$B$2:$B$151,$AB615)&amp;"",IF($Z615="A",INDEX(Fixed_Assets!$B$2:$B$201,$AB615)&amp;"",IF($Z615="F",INDEX(FTE_Allocation!$B$2:$B$201,$AB615)&amp;"","")))</f>
        <v/>
      </c>
      <c r="E615" s="7">
        <f>IF($Z615="C",INDEX(Contracts!$P$2:$P$151,$AB615)&amp;"",IF($Z615="A",INDEX(Fixed_Assets!$K$2:$K$201,$AB615)&amp;"",IF($Z615="F",IF(INDEX(FTE_Allocation!$D$2:$D$201,$AB615)="PROJECT",IFERROR(INDEX(Projects!$D:$D,MATCH(INDEX(FTE_Allocation!$E$2:$E$201,$AB615),Projects!$A:$A,0))&amp;"","#PROJECT?"),INDEX(FTE_Allocation!$E$2:$E$201,$AB615)&amp;""),"")))</f>
        <v/>
      </c>
      <c r="F615" s="7">
        <f>IF($Z615="C",INDEX(Contracts!$Q$2:$Q$151,$AB615)&amp;"",IF($Z615="A",INDEX(Fixed_Assets!$L$2:$L$201,$AB615)&amp;"",IF($Z615="F",INDEX(Workforce!$K$2:$K$151,MATCH(INDEX(FTE_Allocation!$A$2:$A$201,$AB615),Workforce!$A$2:$A$151,0))&amp;"","")))</f>
        <v/>
      </c>
      <c r="G615" s="7">
        <f>IF($Z615="C",INDEX(Contracts!$F$2:$F$151,$AB615)&amp;" / "&amp;INDEX(Contracts!$G$2:$G$151,$AB615),IF($Z615="A",INDEX(Fixed_Assets!$E$2:$E$201,$AB615)&amp;"",IF($Z615="F","Personnel "&amp;INDEX(FTE_Allocation!$A$2:$A$201,$AB615)&amp;IF(INDEX(FTE_Allocation!$D$2:$D$201,$AB615)="PROJECT"," ("&amp;INDEX(FTE_Allocation!$E$2:$E$201,$AB615)&amp;")",""),"")))</f>
        <v/>
      </c>
      <c r="H615" s="7">
        <f>IF($Z615="C","CONTRACT",IF($Z615="A","ASSET",IF($Z615="F","WORKFORCE","")))</f>
        <v/>
      </c>
      <c r="I615" s="7">
        <f>IF($Z615="C",INDEX(Contracts!$L$2:$L$151,$AB615)&amp;"",IF($Z615="A",INDEX(Fixed_Assets!$I$2:$I$201,$AB615)&amp;"",IF($Z615="F",INDEX(Workforce!$G$2:$G$151,MATCH(INDEX(FTE_Allocation!$A$2:$A$201,$AB615),Workforce!$A$2:$A$151,0))&amp;"","")))</f>
        <v/>
      </c>
      <c r="J615" s="18">
        <f>IF($Z615="","",IF(AND(DATE($AD615,1,1)&gt;=$AE615,DATE($AD615,1,1)&lt;=$AF615),ROUND($AG615,2),0))</f>
        <v/>
      </c>
      <c r="K615" s="18">
        <f>IF($Z615="","",IF(AND(DATE($AD615,2,1)&gt;=$AE615,DATE($AD615,2,1)&lt;=$AF615),ROUND($AG615,2),0))</f>
        <v/>
      </c>
      <c r="L615" s="18">
        <f>IF($Z615="","",IF(AND(DATE($AD615,3,1)&gt;=$AE615,DATE($AD615,3,1)&lt;=$AF615),ROUND($AG615,2),0))</f>
        <v/>
      </c>
      <c r="M615" s="18">
        <f>IF($Z615="","",IF(AND(DATE($AD615,4,1)&gt;=$AE615,DATE($AD615,4,1)&lt;=$AF615),ROUND($AG615,2),0))</f>
        <v/>
      </c>
      <c r="N615" s="18">
        <f>IF($Z615="","",IF(AND(DATE($AD615,5,1)&gt;=$AE615,DATE($AD615,5,1)&lt;=$AF615),ROUND($AG615,2),0))</f>
        <v/>
      </c>
      <c r="O615" s="18">
        <f>IF($Z615="","",IF(AND(DATE($AD615,6,1)&gt;=$AE615,DATE($AD615,6,1)&lt;=$AF615),ROUND($AG615,2),0))</f>
        <v/>
      </c>
      <c r="P615" s="18">
        <f>IF($Z615="","",IF(AND(DATE($AD615,7,1)&gt;=$AE615,DATE($AD615,7,1)&lt;=$AF615),ROUND($AG615,2),0))</f>
        <v/>
      </c>
      <c r="Q615" s="18">
        <f>IF($Z615="","",IF(AND(DATE($AD615,8,1)&gt;=$AE615,DATE($AD615,8,1)&lt;=$AF615),ROUND($AG615,2),0))</f>
        <v/>
      </c>
      <c r="R615" s="18">
        <f>IF($Z615="","",IF(AND(DATE($AD615,9,1)&gt;=$AE615,DATE($AD615,9,1)&lt;=$AF615),ROUND($AG615,2),0))</f>
        <v/>
      </c>
      <c r="S615" s="18">
        <f>IF($Z615="","",IF(AND(DATE($AD615,10,1)&gt;=$AE615,DATE($AD615,10,1)&lt;=$AF615),ROUND($AG615,2),0))</f>
        <v/>
      </c>
      <c r="T615" s="18">
        <f>IF($Z615="","",IF(AND(DATE($AD615,11,1)&gt;=$AE615,DATE($AD615,11,1)&lt;=$AF615),ROUND($AG615,2),0))</f>
        <v/>
      </c>
      <c r="U615" s="18">
        <f>IF($Z615="","",IF(AND(DATE($AD615,12,1)&gt;=$AE615,DATE($AD615,12,1)&lt;=$AF615),ROUND($AG615,2),0))</f>
        <v/>
      </c>
      <c r="V615" s="7">
        <f>IF($Z615="C","Generated from "&amp;INDEX(Contracts!$A$2:$A$151,$AB615),IF($Z615="A","Generated from "&amp;INDEX(Fixed_Assets!$A$2:$A$201,$AB615),IF($Z615="F","Generated from "&amp;INDEX(FTE_Allocation!$A$2:$A$201,$AB615),"")))</f>
        <v/>
      </c>
      <c r="X615" s="19">
        <f>IF($Z615="","",SUM(J615:U615))</f>
        <v/>
      </c>
      <c r="Y615" s="20">
        <f>ROW()-1</f>
        <v/>
      </c>
      <c r="Z615" s="20">
        <f>IF($Y615&lt;=Settings!$B$4*3,"C",IF($Y615&lt;=(Settings!$B$4+Settings!$B$5)*3,"A",IF($Y615&lt;=(Settings!$B$4+Settings!$B$5+Settings!$B$6)*3,"F","")))</f>
        <v/>
      </c>
      <c r="AA615" s="20">
        <f>IF($Z615="C",$Y615,IF($Z615="A",$Y615-Settings!$B$4*3,IF($Z615="F",$Y615-(Settings!$B$4+Settings!$B$5)*3,"")))</f>
        <v/>
      </c>
      <c r="AB615" s="20">
        <f>IF($Z615="","",INT(($AA615-1)/3)+1)</f>
        <v/>
      </c>
      <c r="AC615" s="20">
        <f>IF($Z615="","",MOD($AA615-1,3)+1)</f>
        <v/>
      </c>
      <c r="AD615" s="20">
        <f>IF($Z615="","",Settings!$B$2+$AC615-1)</f>
        <v/>
      </c>
      <c r="AE615" s="21">
        <f>IF($Z615="C",DATE(YEAR(INDEX(Contracts!$J$2:$J$151,$AB615)),MONTH(INDEX(Contracts!$J$2:$J$151,$AB615)),1),IF($Z615="A",DATE(YEAR(INDEX(Fixed_Assets!$G$2:$G$201,$AB615)),MONTH(INDEX(Fixed_Assets!$G$2:$G$201,$AB615)),1),IF($Z615="F",DATE(YEAR(MAX(N(INDEX(Workforce!$I$2:$I$151,MATCH(INDEX(FTE_Allocation!$A$2:$A$201,$AB615),Workforce!$A$2:$A$151,0))),N(INDEX(FTE_Allocation!$I$2:$I$201,$AB615)))),MONTH(MAX(N(INDEX(Workforce!$I$2:$I$151,MATCH(INDEX(FTE_Allocation!$A$2:$A$201,$AB615),Workforce!$A$2:$A$151,0))),N(INDEX(FTE_Allocation!$I$2:$I$201,$AB615)))),1),"")))</f>
        <v/>
      </c>
      <c r="AF615" s="21">
        <f>IF($Z615="C",IF(INDEX(Contracts!$I$2:$I$151,$AB615)="PREPAID",EDATE(DATE(YEAR(INDEX(Contracts!$J$2:$J$151,$AB615)),MONTH(INDEX(Contracts!$J$2:$J$151,$AB615)),1),IF(INDEX(Contracts!$N$2:$N$151,$AB615)="",12,INDEX(Contracts!$N$2:$N$151,$AB615))-1),IF(INDEX(Contracts!$I$2:$I$151,$AB615)="MONTHLY",IF(INDEX(Contracts!$K$2:$K$151,$AB615)="",2958101,INDEX(Contracts!$K$2:$K$151,$AB615)),0)),IF($Z615="A",EDATE(DATE(YEAR(INDEX(Fixed_Assets!$G$2:$G$201,$AB615)),MONTH(INDEX(Fixed_Assets!$G$2:$G$201,$AB615)),1),INDEX(Fixed_Assets!$J$2:$J$201,$AB615)-1),IF($Z615="F",MIN(IF(INDEX(Workforce!$J$2:$J$151,MATCH(INDEX(FTE_Allocation!$A$2:$A$201,$AB615),Workforce!$A$2:$A$151,0))="",2958101,INDEX(Workforce!$J$2:$J$151,MATCH(INDEX(FTE_Allocation!$A$2:$A$201,$AB615),Workforce!$A$2:$A$151,0))),IF(INDEX(FTE_Allocation!$J$2:$J$201,$AB615)="",2958101,INDEX(FTE_Allocation!$J$2:$J$201,$AB615))),"")))</f>
        <v/>
      </c>
      <c r="AG615" s="19">
        <f>IF($Z615="C",IF(INDEX(Contracts!$I$2:$I$151,$AB615)="PREPAID",INDEX(Contracts!$M$2:$M$151,$AB615)/IF(INDEX(Contracts!$N$2:$N$151,$AB615)="",12,INDEX(Contracts!$N$2:$N$151,$AB615)),IF(INDEX(Contracts!$I$2:$I$151,$AB615)="MONTHLY",INDEX(Contracts!$M$2:$M$151,$AB615),0))*(1-N(INDEX(Contracts!$O$2:$O$151,$AB615))),IF($Z615="A",INDEX(Fixed_Assets!$H$2:$H$201,$AB615)/INDEX(Fixed_Assets!$J$2:$J$201,$AB615),IF($Z615="F",INDEX(Workforce!$F$2:$F$151,MATCH(INDEX(FTE_Allocation!$A$2:$A$201,$AB615),Workforce!$A$2:$A$151,0))*N(INDEX(FTE_Allocation!$F$2:$H$201,$AB615,$AC615)),"")))</f>
        <v/>
      </c>
    </row>
    <row r="616">
      <c r="A616" s="7">
        <f>IF($Z616="","",$AD616)</f>
        <v/>
      </c>
      <c r="B616" s="7">
        <f>IF($Z616="C",INDEX(Contracts!$D$2:$D$151,$AB616)&amp;"",IF($Z616="A",INDEX(Fixed_Assets!$C$2:$C$201,$AB616)&amp;"",IF($Z616="F",INDEX(Workforce!$B$2:$B$151,MATCH(INDEX(FTE_Allocation!$A$2:$A$201,$AB616),Workforce!$A$2:$A$151,0))&amp;"","")))</f>
        <v/>
      </c>
      <c r="C616" s="7">
        <f>IF($Z616="C",INDEX(Contracts!$E$2:$E$151,$AB616)&amp;"",IF($Z616="A",INDEX(Fixed_Assets!$D$2:$D$201,$AB616)&amp;"",IF($Z616="F",INDEX(FTE_Allocation!$C$2:$C$201,$AB616)&amp;"","")))</f>
        <v/>
      </c>
      <c r="D616" s="7">
        <f>IF($Z616="C",INDEX(Contracts!$B$2:$B$151,$AB616)&amp;"",IF($Z616="A",INDEX(Fixed_Assets!$B$2:$B$201,$AB616)&amp;"",IF($Z616="F",INDEX(FTE_Allocation!$B$2:$B$201,$AB616)&amp;"","")))</f>
        <v/>
      </c>
      <c r="E616" s="7">
        <f>IF($Z616="C",INDEX(Contracts!$P$2:$P$151,$AB616)&amp;"",IF($Z616="A",INDEX(Fixed_Assets!$K$2:$K$201,$AB616)&amp;"",IF($Z616="F",IF(INDEX(FTE_Allocation!$D$2:$D$201,$AB616)="PROJECT",IFERROR(INDEX(Projects!$D:$D,MATCH(INDEX(FTE_Allocation!$E$2:$E$201,$AB616),Projects!$A:$A,0))&amp;"","#PROJECT?"),INDEX(FTE_Allocation!$E$2:$E$201,$AB616)&amp;""),"")))</f>
        <v/>
      </c>
      <c r="F616" s="7">
        <f>IF($Z616="C",INDEX(Contracts!$Q$2:$Q$151,$AB616)&amp;"",IF($Z616="A",INDEX(Fixed_Assets!$L$2:$L$201,$AB616)&amp;"",IF($Z616="F",INDEX(Workforce!$K$2:$K$151,MATCH(INDEX(FTE_Allocation!$A$2:$A$201,$AB616),Workforce!$A$2:$A$151,0))&amp;"","")))</f>
        <v/>
      </c>
      <c r="G616" s="7">
        <f>IF($Z616="C",INDEX(Contracts!$F$2:$F$151,$AB616)&amp;" / "&amp;INDEX(Contracts!$G$2:$G$151,$AB616),IF($Z616="A",INDEX(Fixed_Assets!$E$2:$E$201,$AB616)&amp;"",IF($Z616="F","Personnel "&amp;INDEX(FTE_Allocation!$A$2:$A$201,$AB616)&amp;IF(INDEX(FTE_Allocation!$D$2:$D$201,$AB616)="PROJECT"," ("&amp;INDEX(FTE_Allocation!$E$2:$E$201,$AB616)&amp;")",""),"")))</f>
        <v/>
      </c>
      <c r="H616" s="7">
        <f>IF($Z616="C","CONTRACT",IF($Z616="A","ASSET",IF($Z616="F","WORKFORCE","")))</f>
        <v/>
      </c>
      <c r="I616" s="7">
        <f>IF($Z616="C",INDEX(Contracts!$L$2:$L$151,$AB616)&amp;"",IF($Z616="A",INDEX(Fixed_Assets!$I$2:$I$201,$AB616)&amp;"",IF($Z616="F",INDEX(Workforce!$G$2:$G$151,MATCH(INDEX(FTE_Allocation!$A$2:$A$201,$AB616),Workforce!$A$2:$A$151,0))&amp;"","")))</f>
        <v/>
      </c>
      <c r="J616" s="18">
        <f>IF($Z616="","",IF(AND(DATE($AD616,1,1)&gt;=$AE616,DATE($AD616,1,1)&lt;=$AF616),ROUND($AG616,2),0))</f>
        <v/>
      </c>
      <c r="K616" s="18">
        <f>IF($Z616="","",IF(AND(DATE($AD616,2,1)&gt;=$AE616,DATE($AD616,2,1)&lt;=$AF616),ROUND($AG616,2),0))</f>
        <v/>
      </c>
      <c r="L616" s="18">
        <f>IF($Z616="","",IF(AND(DATE($AD616,3,1)&gt;=$AE616,DATE($AD616,3,1)&lt;=$AF616),ROUND($AG616,2),0))</f>
        <v/>
      </c>
      <c r="M616" s="18">
        <f>IF($Z616="","",IF(AND(DATE($AD616,4,1)&gt;=$AE616,DATE($AD616,4,1)&lt;=$AF616),ROUND($AG616,2),0))</f>
        <v/>
      </c>
      <c r="N616" s="18">
        <f>IF($Z616="","",IF(AND(DATE($AD616,5,1)&gt;=$AE616,DATE($AD616,5,1)&lt;=$AF616),ROUND($AG616,2),0))</f>
        <v/>
      </c>
      <c r="O616" s="18">
        <f>IF($Z616="","",IF(AND(DATE($AD616,6,1)&gt;=$AE616,DATE($AD616,6,1)&lt;=$AF616),ROUND($AG616,2),0))</f>
        <v/>
      </c>
      <c r="P616" s="18">
        <f>IF($Z616="","",IF(AND(DATE($AD616,7,1)&gt;=$AE616,DATE($AD616,7,1)&lt;=$AF616),ROUND($AG616,2),0))</f>
        <v/>
      </c>
      <c r="Q616" s="18">
        <f>IF($Z616="","",IF(AND(DATE($AD616,8,1)&gt;=$AE616,DATE($AD616,8,1)&lt;=$AF616),ROUND($AG616,2),0))</f>
        <v/>
      </c>
      <c r="R616" s="18">
        <f>IF($Z616="","",IF(AND(DATE($AD616,9,1)&gt;=$AE616,DATE($AD616,9,1)&lt;=$AF616),ROUND($AG616,2),0))</f>
        <v/>
      </c>
      <c r="S616" s="18">
        <f>IF($Z616="","",IF(AND(DATE($AD616,10,1)&gt;=$AE616,DATE($AD616,10,1)&lt;=$AF616),ROUND($AG616,2),0))</f>
        <v/>
      </c>
      <c r="T616" s="18">
        <f>IF($Z616="","",IF(AND(DATE($AD616,11,1)&gt;=$AE616,DATE($AD616,11,1)&lt;=$AF616),ROUND($AG616,2),0))</f>
        <v/>
      </c>
      <c r="U616" s="18">
        <f>IF($Z616="","",IF(AND(DATE($AD616,12,1)&gt;=$AE616,DATE($AD616,12,1)&lt;=$AF616),ROUND($AG616,2),0))</f>
        <v/>
      </c>
      <c r="V616" s="7">
        <f>IF($Z616="C","Generated from "&amp;INDEX(Contracts!$A$2:$A$151,$AB616),IF($Z616="A","Generated from "&amp;INDEX(Fixed_Assets!$A$2:$A$201,$AB616),IF($Z616="F","Generated from "&amp;INDEX(FTE_Allocation!$A$2:$A$201,$AB616),"")))</f>
        <v/>
      </c>
      <c r="X616" s="19">
        <f>IF($Z616="","",SUM(J616:U616))</f>
        <v/>
      </c>
      <c r="Y616" s="20">
        <f>ROW()-1</f>
        <v/>
      </c>
      <c r="Z616" s="20">
        <f>IF($Y616&lt;=Settings!$B$4*3,"C",IF($Y616&lt;=(Settings!$B$4+Settings!$B$5)*3,"A",IF($Y616&lt;=(Settings!$B$4+Settings!$B$5+Settings!$B$6)*3,"F","")))</f>
        <v/>
      </c>
      <c r="AA616" s="20">
        <f>IF($Z616="C",$Y616,IF($Z616="A",$Y616-Settings!$B$4*3,IF($Z616="F",$Y616-(Settings!$B$4+Settings!$B$5)*3,"")))</f>
        <v/>
      </c>
      <c r="AB616" s="20">
        <f>IF($Z616="","",INT(($AA616-1)/3)+1)</f>
        <v/>
      </c>
      <c r="AC616" s="20">
        <f>IF($Z616="","",MOD($AA616-1,3)+1)</f>
        <v/>
      </c>
      <c r="AD616" s="20">
        <f>IF($Z616="","",Settings!$B$2+$AC616-1)</f>
        <v/>
      </c>
      <c r="AE616" s="21">
        <f>IF($Z616="C",DATE(YEAR(INDEX(Contracts!$J$2:$J$151,$AB616)),MONTH(INDEX(Contracts!$J$2:$J$151,$AB616)),1),IF($Z616="A",DATE(YEAR(INDEX(Fixed_Assets!$G$2:$G$201,$AB616)),MONTH(INDEX(Fixed_Assets!$G$2:$G$201,$AB616)),1),IF($Z616="F",DATE(YEAR(MAX(N(INDEX(Workforce!$I$2:$I$151,MATCH(INDEX(FTE_Allocation!$A$2:$A$201,$AB616),Workforce!$A$2:$A$151,0))),N(INDEX(FTE_Allocation!$I$2:$I$201,$AB616)))),MONTH(MAX(N(INDEX(Workforce!$I$2:$I$151,MATCH(INDEX(FTE_Allocation!$A$2:$A$201,$AB616),Workforce!$A$2:$A$151,0))),N(INDEX(FTE_Allocation!$I$2:$I$201,$AB616)))),1),"")))</f>
        <v/>
      </c>
      <c r="AF616" s="21">
        <f>IF($Z616="C",IF(INDEX(Contracts!$I$2:$I$151,$AB616)="PREPAID",EDATE(DATE(YEAR(INDEX(Contracts!$J$2:$J$151,$AB616)),MONTH(INDEX(Contracts!$J$2:$J$151,$AB616)),1),IF(INDEX(Contracts!$N$2:$N$151,$AB616)="",12,INDEX(Contracts!$N$2:$N$151,$AB616))-1),IF(INDEX(Contracts!$I$2:$I$151,$AB616)="MONTHLY",IF(INDEX(Contracts!$K$2:$K$151,$AB616)="",2958101,INDEX(Contracts!$K$2:$K$151,$AB616)),0)),IF($Z616="A",EDATE(DATE(YEAR(INDEX(Fixed_Assets!$G$2:$G$201,$AB616)),MONTH(INDEX(Fixed_Assets!$G$2:$G$201,$AB616)),1),INDEX(Fixed_Assets!$J$2:$J$201,$AB616)-1),IF($Z616="F",MIN(IF(INDEX(Workforce!$J$2:$J$151,MATCH(INDEX(FTE_Allocation!$A$2:$A$201,$AB616),Workforce!$A$2:$A$151,0))="",2958101,INDEX(Workforce!$J$2:$J$151,MATCH(INDEX(FTE_Allocation!$A$2:$A$201,$AB616),Workforce!$A$2:$A$151,0))),IF(INDEX(FTE_Allocation!$J$2:$J$201,$AB616)="",2958101,INDEX(FTE_Allocation!$J$2:$J$201,$AB616))),"")))</f>
        <v/>
      </c>
      <c r="AG616" s="19">
        <f>IF($Z616="C",IF(INDEX(Contracts!$I$2:$I$151,$AB616)="PREPAID",INDEX(Contracts!$M$2:$M$151,$AB616)/IF(INDEX(Contracts!$N$2:$N$151,$AB616)="",12,INDEX(Contracts!$N$2:$N$151,$AB616)),IF(INDEX(Contracts!$I$2:$I$151,$AB616)="MONTHLY",INDEX(Contracts!$M$2:$M$151,$AB616),0))*(1-N(INDEX(Contracts!$O$2:$O$151,$AB616))),IF($Z616="A",INDEX(Fixed_Assets!$H$2:$H$201,$AB616)/INDEX(Fixed_Assets!$J$2:$J$201,$AB616),IF($Z616="F",INDEX(Workforce!$F$2:$F$151,MATCH(INDEX(FTE_Allocation!$A$2:$A$201,$AB616),Workforce!$A$2:$A$151,0))*N(INDEX(FTE_Allocation!$F$2:$H$201,$AB616,$AC616)),"")))</f>
        <v/>
      </c>
    </row>
    <row r="617">
      <c r="A617" s="7">
        <f>IF($Z617="","",$AD617)</f>
        <v/>
      </c>
      <c r="B617" s="7">
        <f>IF($Z617="C",INDEX(Contracts!$D$2:$D$151,$AB617)&amp;"",IF($Z617="A",INDEX(Fixed_Assets!$C$2:$C$201,$AB617)&amp;"",IF($Z617="F",INDEX(Workforce!$B$2:$B$151,MATCH(INDEX(FTE_Allocation!$A$2:$A$201,$AB617),Workforce!$A$2:$A$151,0))&amp;"","")))</f>
        <v/>
      </c>
      <c r="C617" s="7">
        <f>IF($Z617="C",INDEX(Contracts!$E$2:$E$151,$AB617)&amp;"",IF($Z617="A",INDEX(Fixed_Assets!$D$2:$D$201,$AB617)&amp;"",IF($Z617="F",INDEX(FTE_Allocation!$C$2:$C$201,$AB617)&amp;"","")))</f>
        <v/>
      </c>
      <c r="D617" s="7">
        <f>IF($Z617="C",INDEX(Contracts!$B$2:$B$151,$AB617)&amp;"",IF($Z617="A",INDEX(Fixed_Assets!$B$2:$B$201,$AB617)&amp;"",IF($Z617="F",INDEX(FTE_Allocation!$B$2:$B$201,$AB617)&amp;"","")))</f>
        <v/>
      </c>
      <c r="E617" s="7">
        <f>IF($Z617="C",INDEX(Contracts!$P$2:$P$151,$AB617)&amp;"",IF($Z617="A",INDEX(Fixed_Assets!$K$2:$K$201,$AB617)&amp;"",IF($Z617="F",IF(INDEX(FTE_Allocation!$D$2:$D$201,$AB617)="PROJECT",IFERROR(INDEX(Projects!$D:$D,MATCH(INDEX(FTE_Allocation!$E$2:$E$201,$AB617),Projects!$A:$A,0))&amp;"","#PROJECT?"),INDEX(FTE_Allocation!$E$2:$E$201,$AB617)&amp;""),"")))</f>
        <v/>
      </c>
      <c r="F617" s="7">
        <f>IF($Z617="C",INDEX(Contracts!$Q$2:$Q$151,$AB617)&amp;"",IF($Z617="A",INDEX(Fixed_Assets!$L$2:$L$201,$AB617)&amp;"",IF($Z617="F",INDEX(Workforce!$K$2:$K$151,MATCH(INDEX(FTE_Allocation!$A$2:$A$201,$AB617),Workforce!$A$2:$A$151,0))&amp;"","")))</f>
        <v/>
      </c>
      <c r="G617" s="7">
        <f>IF($Z617="C",INDEX(Contracts!$F$2:$F$151,$AB617)&amp;" / "&amp;INDEX(Contracts!$G$2:$G$151,$AB617),IF($Z617="A",INDEX(Fixed_Assets!$E$2:$E$201,$AB617)&amp;"",IF($Z617="F","Personnel "&amp;INDEX(FTE_Allocation!$A$2:$A$201,$AB617)&amp;IF(INDEX(FTE_Allocation!$D$2:$D$201,$AB617)="PROJECT"," ("&amp;INDEX(FTE_Allocation!$E$2:$E$201,$AB617)&amp;")",""),"")))</f>
        <v/>
      </c>
      <c r="H617" s="7">
        <f>IF($Z617="C","CONTRACT",IF($Z617="A","ASSET",IF($Z617="F","WORKFORCE","")))</f>
        <v/>
      </c>
      <c r="I617" s="7">
        <f>IF($Z617="C",INDEX(Contracts!$L$2:$L$151,$AB617)&amp;"",IF($Z617="A",INDEX(Fixed_Assets!$I$2:$I$201,$AB617)&amp;"",IF($Z617="F",INDEX(Workforce!$G$2:$G$151,MATCH(INDEX(FTE_Allocation!$A$2:$A$201,$AB617),Workforce!$A$2:$A$151,0))&amp;"","")))</f>
        <v/>
      </c>
      <c r="J617" s="18">
        <f>IF($Z617="","",IF(AND(DATE($AD617,1,1)&gt;=$AE617,DATE($AD617,1,1)&lt;=$AF617),ROUND($AG617,2),0))</f>
        <v/>
      </c>
      <c r="K617" s="18">
        <f>IF($Z617="","",IF(AND(DATE($AD617,2,1)&gt;=$AE617,DATE($AD617,2,1)&lt;=$AF617),ROUND($AG617,2),0))</f>
        <v/>
      </c>
      <c r="L617" s="18">
        <f>IF($Z617="","",IF(AND(DATE($AD617,3,1)&gt;=$AE617,DATE($AD617,3,1)&lt;=$AF617),ROUND($AG617,2),0))</f>
        <v/>
      </c>
      <c r="M617" s="18">
        <f>IF($Z617="","",IF(AND(DATE($AD617,4,1)&gt;=$AE617,DATE($AD617,4,1)&lt;=$AF617),ROUND($AG617,2),0))</f>
        <v/>
      </c>
      <c r="N617" s="18">
        <f>IF($Z617="","",IF(AND(DATE($AD617,5,1)&gt;=$AE617,DATE($AD617,5,1)&lt;=$AF617),ROUND($AG617,2),0))</f>
        <v/>
      </c>
      <c r="O617" s="18">
        <f>IF($Z617="","",IF(AND(DATE($AD617,6,1)&gt;=$AE617,DATE($AD617,6,1)&lt;=$AF617),ROUND($AG617,2),0))</f>
        <v/>
      </c>
      <c r="P617" s="18">
        <f>IF($Z617="","",IF(AND(DATE($AD617,7,1)&gt;=$AE617,DATE($AD617,7,1)&lt;=$AF617),ROUND($AG617,2),0))</f>
        <v/>
      </c>
      <c r="Q617" s="18">
        <f>IF($Z617="","",IF(AND(DATE($AD617,8,1)&gt;=$AE617,DATE($AD617,8,1)&lt;=$AF617),ROUND($AG617,2),0))</f>
        <v/>
      </c>
      <c r="R617" s="18">
        <f>IF($Z617="","",IF(AND(DATE($AD617,9,1)&gt;=$AE617,DATE($AD617,9,1)&lt;=$AF617),ROUND($AG617,2),0))</f>
        <v/>
      </c>
      <c r="S617" s="18">
        <f>IF($Z617="","",IF(AND(DATE($AD617,10,1)&gt;=$AE617,DATE($AD617,10,1)&lt;=$AF617),ROUND($AG617,2),0))</f>
        <v/>
      </c>
      <c r="T617" s="18">
        <f>IF($Z617="","",IF(AND(DATE($AD617,11,1)&gt;=$AE617,DATE($AD617,11,1)&lt;=$AF617),ROUND($AG617,2),0))</f>
        <v/>
      </c>
      <c r="U617" s="18">
        <f>IF($Z617="","",IF(AND(DATE($AD617,12,1)&gt;=$AE617,DATE($AD617,12,1)&lt;=$AF617),ROUND($AG617,2),0))</f>
        <v/>
      </c>
      <c r="V617" s="7">
        <f>IF($Z617="C","Generated from "&amp;INDEX(Contracts!$A$2:$A$151,$AB617),IF($Z617="A","Generated from "&amp;INDEX(Fixed_Assets!$A$2:$A$201,$AB617),IF($Z617="F","Generated from "&amp;INDEX(FTE_Allocation!$A$2:$A$201,$AB617),"")))</f>
        <v/>
      </c>
      <c r="X617" s="19">
        <f>IF($Z617="","",SUM(J617:U617))</f>
        <v/>
      </c>
      <c r="Y617" s="20">
        <f>ROW()-1</f>
        <v/>
      </c>
      <c r="Z617" s="20">
        <f>IF($Y617&lt;=Settings!$B$4*3,"C",IF($Y617&lt;=(Settings!$B$4+Settings!$B$5)*3,"A",IF($Y617&lt;=(Settings!$B$4+Settings!$B$5+Settings!$B$6)*3,"F","")))</f>
        <v/>
      </c>
      <c r="AA617" s="20">
        <f>IF($Z617="C",$Y617,IF($Z617="A",$Y617-Settings!$B$4*3,IF($Z617="F",$Y617-(Settings!$B$4+Settings!$B$5)*3,"")))</f>
        <v/>
      </c>
      <c r="AB617" s="20">
        <f>IF($Z617="","",INT(($AA617-1)/3)+1)</f>
        <v/>
      </c>
      <c r="AC617" s="20">
        <f>IF($Z617="","",MOD($AA617-1,3)+1)</f>
        <v/>
      </c>
      <c r="AD617" s="20">
        <f>IF($Z617="","",Settings!$B$2+$AC617-1)</f>
        <v/>
      </c>
      <c r="AE617" s="21">
        <f>IF($Z617="C",DATE(YEAR(INDEX(Contracts!$J$2:$J$151,$AB617)),MONTH(INDEX(Contracts!$J$2:$J$151,$AB617)),1),IF($Z617="A",DATE(YEAR(INDEX(Fixed_Assets!$G$2:$G$201,$AB617)),MONTH(INDEX(Fixed_Assets!$G$2:$G$201,$AB617)),1),IF($Z617="F",DATE(YEAR(MAX(N(INDEX(Workforce!$I$2:$I$151,MATCH(INDEX(FTE_Allocation!$A$2:$A$201,$AB617),Workforce!$A$2:$A$151,0))),N(INDEX(FTE_Allocation!$I$2:$I$201,$AB617)))),MONTH(MAX(N(INDEX(Workforce!$I$2:$I$151,MATCH(INDEX(FTE_Allocation!$A$2:$A$201,$AB617),Workforce!$A$2:$A$151,0))),N(INDEX(FTE_Allocation!$I$2:$I$201,$AB617)))),1),"")))</f>
        <v/>
      </c>
      <c r="AF617" s="21">
        <f>IF($Z617="C",IF(INDEX(Contracts!$I$2:$I$151,$AB617)="PREPAID",EDATE(DATE(YEAR(INDEX(Contracts!$J$2:$J$151,$AB617)),MONTH(INDEX(Contracts!$J$2:$J$151,$AB617)),1),IF(INDEX(Contracts!$N$2:$N$151,$AB617)="",12,INDEX(Contracts!$N$2:$N$151,$AB617))-1),IF(INDEX(Contracts!$I$2:$I$151,$AB617)="MONTHLY",IF(INDEX(Contracts!$K$2:$K$151,$AB617)="",2958101,INDEX(Contracts!$K$2:$K$151,$AB617)),0)),IF($Z617="A",EDATE(DATE(YEAR(INDEX(Fixed_Assets!$G$2:$G$201,$AB617)),MONTH(INDEX(Fixed_Assets!$G$2:$G$201,$AB617)),1),INDEX(Fixed_Assets!$J$2:$J$201,$AB617)-1),IF($Z617="F",MIN(IF(INDEX(Workforce!$J$2:$J$151,MATCH(INDEX(FTE_Allocation!$A$2:$A$201,$AB617),Workforce!$A$2:$A$151,0))="",2958101,INDEX(Workforce!$J$2:$J$151,MATCH(INDEX(FTE_Allocation!$A$2:$A$201,$AB617),Workforce!$A$2:$A$151,0))),IF(INDEX(FTE_Allocation!$J$2:$J$201,$AB617)="",2958101,INDEX(FTE_Allocation!$J$2:$J$201,$AB617))),"")))</f>
        <v/>
      </c>
      <c r="AG617" s="19">
        <f>IF($Z617="C",IF(INDEX(Contracts!$I$2:$I$151,$AB617)="PREPAID",INDEX(Contracts!$M$2:$M$151,$AB617)/IF(INDEX(Contracts!$N$2:$N$151,$AB617)="",12,INDEX(Contracts!$N$2:$N$151,$AB617)),IF(INDEX(Contracts!$I$2:$I$151,$AB617)="MONTHLY",INDEX(Contracts!$M$2:$M$151,$AB617),0))*(1-N(INDEX(Contracts!$O$2:$O$151,$AB617))),IF($Z617="A",INDEX(Fixed_Assets!$H$2:$H$201,$AB617)/INDEX(Fixed_Assets!$J$2:$J$201,$AB617),IF($Z617="F",INDEX(Workforce!$F$2:$F$151,MATCH(INDEX(FTE_Allocation!$A$2:$A$201,$AB617),Workforce!$A$2:$A$151,0))*N(INDEX(FTE_Allocation!$F$2:$H$201,$AB617,$AC617)),"")))</f>
        <v/>
      </c>
    </row>
    <row r="618">
      <c r="A618" s="7">
        <f>IF($Z618="","",$AD618)</f>
        <v/>
      </c>
      <c r="B618" s="7">
        <f>IF($Z618="C",INDEX(Contracts!$D$2:$D$151,$AB618)&amp;"",IF($Z618="A",INDEX(Fixed_Assets!$C$2:$C$201,$AB618)&amp;"",IF($Z618="F",INDEX(Workforce!$B$2:$B$151,MATCH(INDEX(FTE_Allocation!$A$2:$A$201,$AB618),Workforce!$A$2:$A$151,0))&amp;"","")))</f>
        <v/>
      </c>
      <c r="C618" s="7">
        <f>IF($Z618="C",INDEX(Contracts!$E$2:$E$151,$AB618)&amp;"",IF($Z618="A",INDEX(Fixed_Assets!$D$2:$D$201,$AB618)&amp;"",IF($Z618="F",INDEX(FTE_Allocation!$C$2:$C$201,$AB618)&amp;"","")))</f>
        <v/>
      </c>
      <c r="D618" s="7">
        <f>IF($Z618="C",INDEX(Contracts!$B$2:$B$151,$AB618)&amp;"",IF($Z618="A",INDEX(Fixed_Assets!$B$2:$B$201,$AB618)&amp;"",IF($Z618="F",INDEX(FTE_Allocation!$B$2:$B$201,$AB618)&amp;"","")))</f>
        <v/>
      </c>
      <c r="E618" s="7">
        <f>IF($Z618="C",INDEX(Contracts!$P$2:$P$151,$AB618)&amp;"",IF($Z618="A",INDEX(Fixed_Assets!$K$2:$K$201,$AB618)&amp;"",IF($Z618="F",IF(INDEX(FTE_Allocation!$D$2:$D$201,$AB618)="PROJECT",IFERROR(INDEX(Projects!$D:$D,MATCH(INDEX(FTE_Allocation!$E$2:$E$201,$AB618),Projects!$A:$A,0))&amp;"","#PROJECT?"),INDEX(FTE_Allocation!$E$2:$E$201,$AB618)&amp;""),"")))</f>
        <v/>
      </c>
      <c r="F618" s="7">
        <f>IF($Z618="C",INDEX(Contracts!$Q$2:$Q$151,$AB618)&amp;"",IF($Z618="A",INDEX(Fixed_Assets!$L$2:$L$201,$AB618)&amp;"",IF($Z618="F",INDEX(Workforce!$K$2:$K$151,MATCH(INDEX(FTE_Allocation!$A$2:$A$201,$AB618),Workforce!$A$2:$A$151,0))&amp;"","")))</f>
        <v/>
      </c>
      <c r="G618" s="7">
        <f>IF($Z618="C",INDEX(Contracts!$F$2:$F$151,$AB618)&amp;" / "&amp;INDEX(Contracts!$G$2:$G$151,$AB618),IF($Z618="A",INDEX(Fixed_Assets!$E$2:$E$201,$AB618)&amp;"",IF($Z618="F","Personnel "&amp;INDEX(FTE_Allocation!$A$2:$A$201,$AB618)&amp;IF(INDEX(FTE_Allocation!$D$2:$D$201,$AB618)="PROJECT"," ("&amp;INDEX(FTE_Allocation!$E$2:$E$201,$AB618)&amp;")",""),"")))</f>
        <v/>
      </c>
      <c r="H618" s="7">
        <f>IF($Z618="C","CONTRACT",IF($Z618="A","ASSET",IF($Z618="F","WORKFORCE","")))</f>
        <v/>
      </c>
      <c r="I618" s="7">
        <f>IF($Z618="C",INDEX(Contracts!$L$2:$L$151,$AB618)&amp;"",IF($Z618="A",INDEX(Fixed_Assets!$I$2:$I$201,$AB618)&amp;"",IF($Z618="F",INDEX(Workforce!$G$2:$G$151,MATCH(INDEX(FTE_Allocation!$A$2:$A$201,$AB618),Workforce!$A$2:$A$151,0))&amp;"","")))</f>
        <v/>
      </c>
      <c r="J618" s="18">
        <f>IF($Z618="","",IF(AND(DATE($AD618,1,1)&gt;=$AE618,DATE($AD618,1,1)&lt;=$AF618),ROUND($AG618,2),0))</f>
        <v/>
      </c>
      <c r="K618" s="18">
        <f>IF($Z618="","",IF(AND(DATE($AD618,2,1)&gt;=$AE618,DATE($AD618,2,1)&lt;=$AF618),ROUND($AG618,2),0))</f>
        <v/>
      </c>
      <c r="L618" s="18">
        <f>IF($Z618="","",IF(AND(DATE($AD618,3,1)&gt;=$AE618,DATE($AD618,3,1)&lt;=$AF618),ROUND($AG618,2),0))</f>
        <v/>
      </c>
      <c r="M618" s="18">
        <f>IF($Z618="","",IF(AND(DATE($AD618,4,1)&gt;=$AE618,DATE($AD618,4,1)&lt;=$AF618),ROUND($AG618,2),0))</f>
        <v/>
      </c>
      <c r="N618" s="18">
        <f>IF($Z618="","",IF(AND(DATE($AD618,5,1)&gt;=$AE618,DATE($AD618,5,1)&lt;=$AF618),ROUND($AG618,2),0))</f>
        <v/>
      </c>
      <c r="O618" s="18">
        <f>IF($Z618="","",IF(AND(DATE($AD618,6,1)&gt;=$AE618,DATE($AD618,6,1)&lt;=$AF618),ROUND($AG618,2),0))</f>
        <v/>
      </c>
      <c r="P618" s="18">
        <f>IF($Z618="","",IF(AND(DATE($AD618,7,1)&gt;=$AE618,DATE($AD618,7,1)&lt;=$AF618),ROUND($AG618,2),0))</f>
        <v/>
      </c>
      <c r="Q618" s="18">
        <f>IF($Z618="","",IF(AND(DATE($AD618,8,1)&gt;=$AE618,DATE($AD618,8,1)&lt;=$AF618),ROUND($AG618,2),0))</f>
        <v/>
      </c>
      <c r="R618" s="18">
        <f>IF($Z618="","",IF(AND(DATE($AD618,9,1)&gt;=$AE618,DATE($AD618,9,1)&lt;=$AF618),ROUND($AG618,2),0))</f>
        <v/>
      </c>
      <c r="S618" s="18">
        <f>IF($Z618="","",IF(AND(DATE($AD618,10,1)&gt;=$AE618,DATE($AD618,10,1)&lt;=$AF618),ROUND($AG618,2),0))</f>
        <v/>
      </c>
      <c r="T618" s="18">
        <f>IF($Z618="","",IF(AND(DATE($AD618,11,1)&gt;=$AE618,DATE($AD618,11,1)&lt;=$AF618),ROUND($AG618,2),0))</f>
        <v/>
      </c>
      <c r="U618" s="18">
        <f>IF($Z618="","",IF(AND(DATE($AD618,12,1)&gt;=$AE618,DATE($AD618,12,1)&lt;=$AF618),ROUND($AG618,2),0))</f>
        <v/>
      </c>
      <c r="V618" s="7">
        <f>IF($Z618="C","Generated from "&amp;INDEX(Contracts!$A$2:$A$151,$AB618),IF($Z618="A","Generated from "&amp;INDEX(Fixed_Assets!$A$2:$A$201,$AB618),IF($Z618="F","Generated from "&amp;INDEX(FTE_Allocation!$A$2:$A$201,$AB618),"")))</f>
        <v/>
      </c>
      <c r="X618" s="19">
        <f>IF($Z618="","",SUM(J618:U618))</f>
        <v/>
      </c>
      <c r="Y618" s="20">
        <f>ROW()-1</f>
        <v/>
      </c>
      <c r="Z618" s="20">
        <f>IF($Y618&lt;=Settings!$B$4*3,"C",IF($Y618&lt;=(Settings!$B$4+Settings!$B$5)*3,"A",IF($Y618&lt;=(Settings!$B$4+Settings!$B$5+Settings!$B$6)*3,"F","")))</f>
        <v/>
      </c>
      <c r="AA618" s="20">
        <f>IF($Z618="C",$Y618,IF($Z618="A",$Y618-Settings!$B$4*3,IF($Z618="F",$Y618-(Settings!$B$4+Settings!$B$5)*3,"")))</f>
        <v/>
      </c>
      <c r="AB618" s="20">
        <f>IF($Z618="","",INT(($AA618-1)/3)+1)</f>
        <v/>
      </c>
      <c r="AC618" s="20">
        <f>IF($Z618="","",MOD($AA618-1,3)+1)</f>
        <v/>
      </c>
      <c r="AD618" s="20">
        <f>IF($Z618="","",Settings!$B$2+$AC618-1)</f>
        <v/>
      </c>
      <c r="AE618" s="21">
        <f>IF($Z618="C",DATE(YEAR(INDEX(Contracts!$J$2:$J$151,$AB618)),MONTH(INDEX(Contracts!$J$2:$J$151,$AB618)),1),IF($Z618="A",DATE(YEAR(INDEX(Fixed_Assets!$G$2:$G$201,$AB618)),MONTH(INDEX(Fixed_Assets!$G$2:$G$201,$AB618)),1),IF($Z618="F",DATE(YEAR(MAX(N(INDEX(Workforce!$I$2:$I$151,MATCH(INDEX(FTE_Allocation!$A$2:$A$201,$AB618),Workforce!$A$2:$A$151,0))),N(INDEX(FTE_Allocation!$I$2:$I$201,$AB618)))),MONTH(MAX(N(INDEX(Workforce!$I$2:$I$151,MATCH(INDEX(FTE_Allocation!$A$2:$A$201,$AB618),Workforce!$A$2:$A$151,0))),N(INDEX(FTE_Allocation!$I$2:$I$201,$AB618)))),1),"")))</f>
        <v/>
      </c>
      <c r="AF618" s="21">
        <f>IF($Z618="C",IF(INDEX(Contracts!$I$2:$I$151,$AB618)="PREPAID",EDATE(DATE(YEAR(INDEX(Contracts!$J$2:$J$151,$AB618)),MONTH(INDEX(Contracts!$J$2:$J$151,$AB618)),1),IF(INDEX(Contracts!$N$2:$N$151,$AB618)="",12,INDEX(Contracts!$N$2:$N$151,$AB618))-1),IF(INDEX(Contracts!$I$2:$I$151,$AB618)="MONTHLY",IF(INDEX(Contracts!$K$2:$K$151,$AB618)="",2958101,INDEX(Contracts!$K$2:$K$151,$AB618)),0)),IF($Z618="A",EDATE(DATE(YEAR(INDEX(Fixed_Assets!$G$2:$G$201,$AB618)),MONTH(INDEX(Fixed_Assets!$G$2:$G$201,$AB618)),1),INDEX(Fixed_Assets!$J$2:$J$201,$AB618)-1),IF($Z618="F",MIN(IF(INDEX(Workforce!$J$2:$J$151,MATCH(INDEX(FTE_Allocation!$A$2:$A$201,$AB618),Workforce!$A$2:$A$151,0))="",2958101,INDEX(Workforce!$J$2:$J$151,MATCH(INDEX(FTE_Allocation!$A$2:$A$201,$AB618),Workforce!$A$2:$A$151,0))),IF(INDEX(FTE_Allocation!$J$2:$J$201,$AB618)="",2958101,INDEX(FTE_Allocation!$J$2:$J$201,$AB618))),"")))</f>
        <v/>
      </c>
      <c r="AG618" s="19">
        <f>IF($Z618="C",IF(INDEX(Contracts!$I$2:$I$151,$AB618)="PREPAID",INDEX(Contracts!$M$2:$M$151,$AB618)/IF(INDEX(Contracts!$N$2:$N$151,$AB618)="",12,INDEX(Contracts!$N$2:$N$151,$AB618)),IF(INDEX(Contracts!$I$2:$I$151,$AB618)="MONTHLY",INDEX(Contracts!$M$2:$M$151,$AB618),0))*(1-N(INDEX(Contracts!$O$2:$O$151,$AB618))),IF($Z618="A",INDEX(Fixed_Assets!$H$2:$H$201,$AB618)/INDEX(Fixed_Assets!$J$2:$J$201,$AB618),IF($Z618="F",INDEX(Workforce!$F$2:$F$151,MATCH(INDEX(FTE_Allocation!$A$2:$A$201,$AB618),Workforce!$A$2:$A$151,0))*N(INDEX(FTE_Allocation!$F$2:$H$201,$AB618,$AC618)),"")))</f>
        <v/>
      </c>
    </row>
    <row r="619">
      <c r="A619" s="7">
        <f>IF($Z619="","",$AD619)</f>
        <v/>
      </c>
      <c r="B619" s="7">
        <f>IF($Z619="C",INDEX(Contracts!$D$2:$D$151,$AB619)&amp;"",IF($Z619="A",INDEX(Fixed_Assets!$C$2:$C$201,$AB619)&amp;"",IF($Z619="F",INDEX(Workforce!$B$2:$B$151,MATCH(INDEX(FTE_Allocation!$A$2:$A$201,$AB619),Workforce!$A$2:$A$151,0))&amp;"","")))</f>
        <v/>
      </c>
      <c r="C619" s="7">
        <f>IF($Z619="C",INDEX(Contracts!$E$2:$E$151,$AB619)&amp;"",IF($Z619="A",INDEX(Fixed_Assets!$D$2:$D$201,$AB619)&amp;"",IF($Z619="F",INDEX(FTE_Allocation!$C$2:$C$201,$AB619)&amp;"","")))</f>
        <v/>
      </c>
      <c r="D619" s="7">
        <f>IF($Z619="C",INDEX(Contracts!$B$2:$B$151,$AB619)&amp;"",IF($Z619="A",INDEX(Fixed_Assets!$B$2:$B$201,$AB619)&amp;"",IF($Z619="F",INDEX(FTE_Allocation!$B$2:$B$201,$AB619)&amp;"","")))</f>
        <v/>
      </c>
      <c r="E619" s="7">
        <f>IF($Z619="C",INDEX(Contracts!$P$2:$P$151,$AB619)&amp;"",IF($Z619="A",INDEX(Fixed_Assets!$K$2:$K$201,$AB619)&amp;"",IF($Z619="F",IF(INDEX(FTE_Allocation!$D$2:$D$201,$AB619)="PROJECT",IFERROR(INDEX(Projects!$D:$D,MATCH(INDEX(FTE_Allocation!$E$2:$E$201,$AB619),Projects!$A:$A,0))&amp;"","#PROJECT?"),INDEX(FTE_Allocation!$E$2:$E$201,$AB619)&amp;""),"")))</f>
        <v/>
      </c>
      <c r="F619" s="7">
        <f>IF($Z619="C",INDEX(Contracts!$Q$2:$Q$151,$AB619)&amp;"",IF($Z619="A",INDEX(Fixed_Assets!$L$2:$L$201,$AB619)&amp;"",IF($Z619="F",INDEX(Workforce!$K$2:$K$151,MATCH(INDEX(FTE_Allocation!$A$2:$A$201,$AB619),Workforce!$A$2:$A$151,0))&amp;"","")))</f>
        <v/>
      </c>
      <c r="G619" s="7">
        <f>IF($Z619="C",INDEX(Contracts!$F$2:$F$151,$AB619)&amp;" / "&amp;INDEX(Contracts!$G$2:$G$151,$AB619),IF($Z619="A",INDEX(Fixed_Assets!$E$2:$E$201,$AB619)&amp;"",IF($Z619="F","Personnel "&amp;INDEX(FTE_Allocation!$A$2:$A$201,$AB619)&amp;IF(INDEX(FTE_Allocation!$D$2:$D$201,$AB619)="PROJECT"," ("&amp;INDEX(FTE_Allocation!$E$2:$E$201,$AB619)&amp;")",""),"")))</f>
        <v/>
      </c>
      <c r="H619" s="7">
        <f>IF($Z619="C","CONTRACT",IF($Z619="A","ASSET",IF($Z619="F","WORKFORCE","")))</f>
        <v/>
      </c>
      <c r="I619" s="7">
        <f>IF($Z619="C",INDEX(Contracts!$L$2:$L$151,$AB619)&amp;"",IF($Z619="A",INDEX(Fixed_Assets!$I$2:$I$201,$AB619)&amp;"",IF($Z619="F",INDEX(Workforce!$G$2:$G$151,MATCH(INDEX(FTE_Allocation!$A$2:$A$201,$AB619),Workforce!$A$2:$A$151,0))&amp;"","")))</f>
        <v/>
      </c>
      <c r="J619" s="18">
        <f>IF($Z619="","",IF(AND(DATE($AD619,1,1)&gt;=$AE619,DATE($AD619,1,1)&lt;=$AF619),ROUND($AG619,2),0))</f>
        <v/>
      </c>
      <c r="K619" s="18">
        <f>IF($Z619="","",IF(AND(DATE($AD619,2,1)&gt;=$AE619,DATE($AD619,2,1)&lt;=$AF619),ROUND($AG619,2),0))</f>
        <v/>
      </c>
      <c r="L619" s="18">
        <f>IF($Z619="","",IF(AND(DATE($AD619,3,1)&gt;=$AE619,DATE($AD619,3,1)&lt;=$AF619),ROUND($AG619,2),0))</f>
        <v/>
      </c>
      <c r="M619" s="18">
        <f>IF($Z619="","",IF(AND(DATE($AD619,4,1)&gt;=$AE619,DATE($AD619,4,1)&lt;=$AF619),ROUND($AG619,2),0))</f>
        <v/>
      </c>
      <c r="N619" s="18">
        <f>IF($Z619="","",IF(AND(DATE($AD619,5,1)&gt;=$AE619,DATE($AD619,5,1)&lt;=$AF619),ROUND($AG619,2),0))</f>
        <v/>
      </c>
      <c r="O619" s="18">
        <f>IF($Z619="","",IF(AND(DATE($AD619,6,1)&gt;=$AE619,DATE($AD619,6,1)&lt;=$AF619),ROUND($AG619,2),0))</f>
        <v/>
      </c>
      <c r="P619" s="18">
        <f>IF($Z619="","",IF(AND(DATE($AD619,7,1)&gt;=$AE619,DATE($AD619,7,1)&lt;=$AF619),ROUND($AG619,2),0))</f>
        <v/>
      </c>
      <c r="Q619" s="18">
        <f>IF($Z619="","",IF(AND(DATE($AD619,8,1)&gt;=$AE619,DATE($AD619,8,1)&lt;=$AF619),ROUND($AG619,2),0))</f>
        <v/>
      </c>
      <c r="R619" s="18">
        <f>IF($Z619="","",IF(AND(DATE($AD619,9,1)&gt;=$AE619,DATE($AD619,9,1)&lt;=$AF619),ROUND($AG619,2),0))</f>
        <v/>
      </c>
      <c r="S619" s="18">
        <f>IF($Z619="","",IF(AND(DATE($AD619,10,1)&gt;=$AE619,DATE($AD619,10,1)&lt;=$AF619),ROUND($AG619,2),0))</f>
        <v/>
      </c>
      <c r="T619" s="18">
        <f>IF($Z619="","",IF(AND(DATE($AD619,11,1)&gt;=$AE619,DATE($AD619,11,1)&lt;=$AF619),ROUND($AG619,2),0))</f>
        <v/>
      </c>
      <c r="U619" s="18">
        <f>IF($Z619="","",IF(AND(DATE($AD619,12,1)&gt;=$AE619,DATE($AD619,12,1)&lt;=$AF619),ROUND($AG619,2),0))</f>
        <v/>
      </c>
      <c r="V619" s="7">
        <f>IF($Z619="C","Generated from "&amp;INDEX(Contracts!$A$2:$A$151,$AB619),IF($Z619="A","Generated from "&amp;INDEX(Fixed_Assets!$A$2:$A$201,$AB619),IF($Z619="F","Generated from "&amp;INDEX(FTE_Allocation!$A$2:$A$201,$AB619),"")))</f>
        <v/>
      </c>
      <c r="X619" s="19">
        <f>IF($Z619="","",SUM(J619:U619))</f>
        <v/>
      </c>
      <c r="Y619" s="20">
        <f>ROW()-1</f>
        <v/>
      </c>
      <c r="Z619" s="20">
        <f>IF($Y619&lt;=Settings!$B$4*3,"C",IF($Y619&lt;=(Settings!$B$4+Settings!$B$5)*3,"A",IF($Y619&lt;=(Settings!$B$4+Settings!$B$5+Settings!$B$6)*3,"F","")))</f>
        <v/>
      </c>
      <c r="AA619" s="20">
        <f>IF($Z619="C",$Y619,IF($Z619="A",$Y619-Settings!$B$4*3,IF($Z619="F",$Y619-(Settings!$B$4+Settings!$B$5)*3,"")))</f>
        <v/>
      </c>
      <c r="AB619" s="20">
        <f>IF($Z619="","",INT(($AA619-1)/3)+1)</f>
        <v/>
      </c>
      <c r="AC619" s="20">
        <f>IF($Z619="","",MOD($AA619-1,3)+1)</f>
        <v/>
      </c>
      <c r="AD619" s="20">
        <f>IF($Z619="","",Settings!$B$2+$AC619-1)</f>
        <v/>
      </c>
      <c r="AE619" s="21">
        <f>IF($Z619="C",DATE(YEAR(INDEX(Contracts!$J$2:$J$151,$AB619)),MONTH(INDEX(Contracts!$J$2:$J$151,$AB619)),1),IF($Z619="A",DATE(YEAR(INDEX(Fixed_Assets!$G$2:$G$201,$AB619)),MONTH(INDEX(Fixed_Assets!$G$2:$G$201,$AB619)),1),IF($Z619="F",DATE(YEAR(MAX(N(INDEX(Workforce!$I$2:$I$151,MATCH(INDEX(FTE_Allocation!$A$2:$A$201,$AB619),Workforce!$A$2:$A$151,0))),N(INDEX(FTE_Allocation!$I$2:$I$201,$AB619)))),MONTH(MAX(N(INDEX(Workforce!$I$2:$I$151,MATCH(INDEX(FTE_Allocation!$A$2:$A$201,$AB619),Workforce!$A$2:$A$151,0))),N(INDEX(FTE_Allocation!$I$2:$I$201,$AB619)))),1),"")))</f>
        <v/>
      </c>
      <c r="AF619" s="21">
        <f>IF($Z619="C",IF(INDEX(Contracts!$I$2:$I$151,$AB619)="PREPAID",EDATE(DATE(YEAR(INDEX(Contracts!$J$2:$J$151,$AB619)),MONTH(INDEX(Contracts!$J$2:$J$151,$AB619)),1),IF(INDEX(Contracts!$N$2:$N$151,$AB619)="",12,INDEX(Contracts!$N$2:$N$151,$AB619))-1),IF(INDEX(Contracts!$I$2:$I$151,$AB619)="MONTHLY",IF(INDEX(Contracts!$K$2:$K$151,$AB619)="",2958101,INDEX(Contracts!$K$2:$K$151,$AB619)),0)),IF($Z619="A",EDATE(DATE(YEAR(INDEX(Fixed_Assets!$G$2:$G$201,$AB619)),MONTH(INDEX(Fixed_Assets!$G$2:$G$201,$AB619)),1),INDEX(Fixed_Assets!$J$2:$J$201,$AB619)-1),IF($Z619="F",MIN(IF(INDEX(Workforce!$J$2:$J$151,MATCH(INDEX(FTE_Allocation!$A$2:$A$201,$AB619),Workforce!$A$2:$A$151,0))="",2958101,INDEX(Workforce!$J$2:$J$151,MATCH(INDEX(FTE_Allocation!$A$2:$A$201,$AB619),Workforce!$A$2:$A$151,0))),IF(INDEX(FTE_Allocation!$J$2:$J$201,$AB619)="",2958101,INDEX(FTE_Allocation!$J$2:$J$201,$AB619))),"")))</f>
        <v/>
      </c>
      <c r="AG619" s="19">
        <f>IF($Z619="C",IF(INDEX(Contracts!$I$2:$I$151,$AB619)="PREPAID",INDEX(Contracts!$M$2:$M$151,$AB619)/IF(INDEX(Contracts!$N$2:$N$151,$AB619)="",12,INDEX(Contracts!$N$2:$N$151,$AB619)),IF(INDEX(Contracts!$I$2:$I$151,$AB619)="MONTHLY",INDEX(Contracts!$M$2:$M$151,$AB619),0))*(1-N(INDEX(Contracts!$O$2:$O$151,$AB619))),IF($Z619="A",INDEX(Fixed_Assets!$H$2:$H$201,$AB619)/INDEX(Fixed_Assets!$J$2:$J$201,$AB619),IF($Z619="F",INDEX(Workforce!$F$2:$F$151,MATCH(INDEX(FTE_Allocation!$A$2:$A$201,$AB619),Workforce!$A$2:$A$151,0))*N(INDEX(FTE_Allocation!$F$2:$H$201,$AB619,$AC619)),"")))</f>
        <v/>
      </c>
    </row>
    <row r="620">
      <c r="A620" s="7">
        <f>IF($Z620="","",$AD620)</f>
        <v/>
      </c>
      <c r="B620" s="7">
        <f>IF($Z620="C",INDEX(Contracts!$D$2:$D$151,$AB620)&amp;"",IF($Z620="A",INDEX(Fixed_Assets!$C$2:$C$201,$AB620)&amp;"",IF($Z620="F",INDEX(Workforce!$B$2:$B$151,MATCH(INDEX(FTE_Allocation!$A$2:$A$201,$AB620),Workforce!$A$2:$A$151,0))&amp;"","")))</f>
        <v/>
      </c>
      <c r="C620" s="7">
        <f>IF($Z620="C",INDEX(Contracts!$E$2:$E$151,$AB620)&amp;"",IF($Z620="A",INDEX(Fixed_Assets!$D$2:$D$201,$AB620)&amp;"",IF($Z620="F",INDEX(FTE_Allocation!$C$2:$C$201,$AB620)&amp;"","")))</f>
        <v/>
      </c>
      <c r="D620" s="7">
        <f>IF($Z620="C",INDEX(Contracts!$B$2:$B$151,$AB620)&amp;"",IF($Z620="A",INDEX(Fixed_Assets!$B$2:$B$201,$AB620)&amp;"",IF($Z620="F",INDEX(FTE_Allocation!$B$2:$B$201,$AB620)&amp;"","")))</f>
        <v/>
      </c>
      <c r="E620" s="7">
        <f>IF($Z620="C",INDEX(Contracts!$P$2:$P$151,$AB620)&amp;"",IF($Z620="A",INDEX(Fixed_Assets!$K$2:$K$201,$AB620)&amp;"",IF($Z620="F",IF(INDEX(FTE_Allocation!$D$2:$D$201,$AB620)="PROJECT",IFERROR(INDEX(Projects!$D:$D,MATCH(INDEX(FTE_Allocation!$E$2:$E$201,$AB620),Projects!$A:$A,0))&amp;"","#PROJECT?"),INDEX(FTE_Allocation!$E$2:$E$201,$AB620)&amp;""),"")))</f>
        <v/>
      </c>
      <c r="F620" s="7">
        <f>IF($Z620="C",INDEX(Contracts!$Q$2:$Q$151,$AB620)&amp;"",IF($Z620="A",INDEX(Fixed_Assets!$L$2:$L$201,$AB620)&amp;"",IF($Z620="F",INDEX(Workforce!$K$2:$K$151,MATCH(INDEX(FTE_Allocation!$A$2:$A$201,$AB620),Workforce!$A$2:$A$151,0))&amp;"","")))</f>
        <v/>
      </c>
      <c r="G620" s="7">
        <f>IF($Z620="C",INDEX(Contracts!$F$2:$F$151,$AB620)&amp;" / "&amp;INDEX(Contracts!$G$2:$G$151,$AB620),IF($Z620="A",INDEX(Fixed_Assets!$E$2:$E$201,$AB620)&amp;"",IF($Z620="F","Personnel "&amp;INDEX(FTE_Allocation!$A$2:$A$201,$AB620)&amp;IF(INDEX(FTE_Allocation!$D$2:$D$201,$AB620)="PROJECT"," ("&amp;INDEX(FTE_Allocation!$E$2:$E$201,$AB620)&amp;")",""),"")))</f>
        <v/>
      </c>
      <c r="H620" s="7">
        <f>IF($Z620="C","CONTRACT",IF($Z620="A","ASSET",IF($Z620="F","WORKFORCE","")))</f>
        <v/>
      </c>
      <c r="I620" s="7">
        <f>IF($Z620="C",INDEX(Contracts!$L$2:$L$151,$AB620)&amp;"",IF($Z620="A",INDEX(Fixed_Assets!$I$2:$I$201,$AB620)&amp;"",IF($Z620="F",INDEX(Workforce!$G$2:$G$151,MATCH(INDEX(FTE_Allocation!$A$2:$A$201,$AB620),Workforce!$A$2:$A$151,0))&amp;"","")))</f>
        <v/>
      </c>
      <c r="J620" s="18">
        <f>IF($Z620="","",IF(AND(DATE($AD620,1,1)&gt;=$AE620,DATE($AD620,1,1)&lt;=$AF620),ROUND($AG620,2),0))</f>
        <v/>
      </c>
      <c r="K620" s="18">
        <f>IF($Z620="","",IF(AND(DATE($AD620,2,1)&gt;=$AE620,DATE($AD620,2,1)&lt;=$AF620),ROUND($AG620,2),0))</f>
        <v/>
      </c>
      <c r="L620" s="18">
        <f>IF($Z620="","",IF(AND(DATE($AD620,3,1)&gt;=$AE620,DATE($AD620,3,1)&lt;=$AF620),ROUND($AG620,2),0))</f>
        <v/>
      </c>
      <c r="M620" s="18">
        <f>IF($Z620="","",IF(AND(DATE($AD620,4,1)&gt;=$AE620,DATE($AD620,4,1)&lt;=$AF620),ROUND($AG620,2),0))</f>
        <v/>
      </c>
      <c r="N620" s="18">
        <f>IF($Z620="","",IF(AND(DATE($AD620,5,1)&gt;=$AE620,DATE($AD620,5,1)&lt;=$AF620),ROUND($AG620,2),0))</f>
        <v/>
      </c>
      <c r="O620" s="18">
        <f>IF($Z620="","",IF(AND(DATE($AD620,6,1)&gt;=$AE620,DATE($AD620,6,1)&lt;=$AF620),ROUND($AG620,2),0))</f>
        <v/>
      </c>
      <c r="P620" s="18">
        <f>IF($Z620="","",IF(AND(DATE($AD620,7,1)&gt;=$AE620,DATE($AD620,7,1)&lt;=$AF620),ROUND($AG620,2),0))</f>
        <v/>
      </c>
      <c r="Q620" s="18">
        <f>IF($Z620="","",IF(AND(DATE($AD620,8,1)&gt;=$AE620,DATE($AD620,8,1)&lt;=$AF620),ROUND($AG620,2),0))</f>
        <v/>
      </c>
      <c r="R620" s="18">
        <f>IF($Z620="","",IF(AND(DATE($AD620,9,1)&gt;=$AE620,DATE($AD620,9,1)&lt;=$AF620),ROUND($AG620,2),0))</f>
        <v/>
      </c>
      <c r="S620" s="18">
        <f>IF($Z620="","",IF(AND(DATE($AD620,10,1)&gt;=$AE620,DATE($AD620,10,1)&lt;=$AF620),ROUND($AG620,2),0))</f>
        <v/>
      </c>
      <c r="T620" s="18">
        <f>IF($Z620="","",IF(AND(DATE($AD620,11,1)&gt;=$AE620,DATE($AD620,11,1)&lt;=$AF620),ROUND($AG620,2),0))</f>
        <v/>
      </c>
      <c r="U620" s="18">
        <f>IF($Z620="","",IF(AND(DATE($AD620,12,1)&gt;=$AE620,DATE($AD620,12,1)&lt;=$AF620),ROUND($AG620,2),0))</f>
        <v/>
      </c>
      <c r="V620" s="7">
        <f>IF($Z620="C","Generated from "&amp;INDEX(Contracts!$A$2:$A$151,$AB620),IF($Z620="A","Generated from "&amp;INDEX(Fixed_Assets!$A$2:$A$201,$AB620),IF($Z620="F","Generated from "&amp;INDEX(FTE_Allocation!$A$2:$A$201,$AB620),"")))</f>
        <v/>
      </c>
      <c r="X620" s="19">
        <f>IF($Z620="","",SUM(J620:U620))</f>
        <v/>
      </c>
      <c r="Y620" s="20">
        <f>ROW()-1</f>
        <v/>
      </c>
      <c r="Z620" s="20">
        <f>IF($Y620&lt;=Settings!$B$4*3,"C",IF($Y620&lt;=(Settings!$B$4+Settings!$B$5)*3,"A",IF($Y620&lt;=(Settings!$B$4+Settings!$B$5+Settings!$B$6)*3,"F","")))</f>
        <v/>
      </c>
      <c r="AA620" s="20">
        <f>IF($Z620="C",$Y620,IF($Z620="A",$Y620-Settings!$B$4*3,IF($Z620="F",$Y620-(Settings!$B$4+Settings!$B$5)*3,"")))</f>
        <v/>
      </c>
      <c r="AB620" s="20">
        <f>IF($Z620="","",INT(($AA620-1)/3)+1)</f>
        <v/>
      </c>
      <c r="AC620" s="20">
        <f>IF($Z620="","",MOD($AA620-1,3)+1)</f>
        <v/>
      </c>
      <c r="AD620" s="20">
        <f>IF($Z620="","",Settings!$B$2+$AC620-1)</f>
        <v/>
      </c>
      <c r="AE620" s="21">
        <f>IF($Z620="C",DATE(YEAR(INDEX(Contracts!$J$2:$J$151,$AB620)),MONTH(INDEX(Contracts!$J$2:$J$151,$AB620)),1),IF($Z620="A",DATE(YEAR(INDEX(Fixed_Assets!$G$2:$G$201,$AB620)),MONTH(INDEX(Fixed_Assets!$G$2:$G$201,$AB620)),1),IF($Z620="F",DATE(YEAR(MAX(N(INDEX(Workforce!$I$2:$I$151,MATCH(INDEX(FTE_Allocation!$A$2:$A$201,$AB620),Workforce!$A$2:$A$151,0))),N(INDEX(FTE_Allocation!$I$2:$I$201,$AB620)))),MONTH(MAX(N(INDEX(Workforce!$I$2:$I$151,MATCH(INDEX(FTE_Allocation!$A$2:$A$201,$AB620),Workforce!$A$2:$A$151,0))),N(INDEX(FTE_Allocation!$I$2:$I$201,$AB620)))),1),"")))</f>
        <v/>
      </c>
      <c r="AF620" s="21">
        <f>IF($Z620="C",IF(INDEX(Contracts!$I$2:$I$151,$AB620)="PREPAID",EDATE(DATE(YEAR(INDEX(Contracts!$J$2:$J$151,$AB620)),MONTH(INDEX(Contracts!$J$2:$J$151,$AB620)),1),IF(INDEX(Contracts!$N$2:$N$151,$AB620)="",12,INDEX(Contracts!$N$2:$N$151,$AB620))-1),IF(INDEX(Contracts!$I$2:$I$151,$AB620)="MONTHLY",IF(INDEX(Contracts!$K$2:$K$151,$AB620)="",2958101,INDEX(Contracts!$K$2:$K$151,$AB620)),0)),IF($Z620="A",EDATE(DATE(YEAR(INDEX(Fixed_Assets!$G$2:$G$201,$AB620)),MONTH(INDEX(Fixed_Assets!$G$2:$G$201,$AB620)),1),INDEX(Fixed_Assets!$J$2:$J$201,$AB620)-1),IF($Z620="F",MIN(IF(INDEX(Workforce!$J$2:$J$151,MATCH(INDEX(FTE_Allocation!$A$2:$A$201,$AB620),Workforce!$A$2:$A$151,0))="",2958101,INDEX(Workforce!$J$2:$J$151,MATCH(INDEX(FTE_Allocation!$A$2:$A$201,$AB620),Workforce!$A$2:$A$151,0))),IF(INDEX(FTE_Allocation!$J$2:$J$201,$AB620)="",2958101,INDEX(FTE_Allocation!$J$2:$J$201,$AB620))),"")))</f>
        <v/>
      </c>
      <c r="AG620" s="19">
        <f>IF($Z620="C",IF(INDEX(Contracts!$I$2:$I$151,$AB620)="PREPAID",INDEX(Contracts!$M$2:$M$151,$AB620)/IF(INDEX(Contracts!$N$2:$N$151,$AB620)="",12,INDEX(Contracts!$N$2:$N$151,$AB620)),IF(INDEX(Contracts!$I$2:$I$151,$AB620)="MONTHLY",INDEX(Contracts!$M$2:$M$151,$AB620),0))*(1-N(INDEX(Contracts!$O$2:$O$151,$AB620))),IF($Z620="A",INDEX(Fixed_Assets!$H$2:$H$201,$AB620)/INDEX(Fixed_Assets!$J$2:$J$201,$AB620),IF($Z620="F",INDEX(Workforce!$F$2:$F$151,MATCH(INDEX(FTE_Allocation!$A$2:$A$201,$AB620),Workforce!$A$2:$A$151,0))*N(INDEX(FTE_Allocation!$F$2:$H$201,$AB620,$AC620)),"")))</f>
        <v/>
      </c>
    </row>
    <row r="621">
      <c r="A621" s="7">
        <f>IF($Z621="","",$AD621)</f>
        <v/>
      </c>
      <c r="B621" s="7">
        <f>IF($Z621="C",INDEX(Contracts!$D$2:$D$151,$AB621)&amp;"",IF($Z621="A",INDEX(Fixed_Assets!$C$2:$C$201,$AB621)&amp;"",IF($Z621="F",INDEX(Workforce!$B$2:$B$151,MATCH(INDEX(FTE_Allocation!$A$2:$A$201,$AB621),Workforce!$A$2:$A$151,0))&amp;"","")))</f>
        <v/>
      </c>
      <c r="C621" s="7">
        <f>IF($Z621="C",INDEX(Contracts!$E$2:$E$151,$AB621)&amp;"",IF($Z621="A",INDEX(Fixed_Assets!$D$2:$D$201,$AB621)&amp;"",IF($Z621="F",INDEX(FTE_Allocation!$C$2:$C$201,$AB621)&amp;"","")))</f>
        <v/>
      </c>
      <c r="D621" s="7">
        <f>IF($Z621="C",INDEX(Contracts!$B$2:$B$151,$AB621)&amp;"",IF($Z621="A",INDEX(Fixed_Assets!$B$2:$B$201,$AB621)&amp;"",IF($Z621="F",INDEX(FTE_Allocation!$B$2:$B$201,$AB621)&amp;"","")))</f>
        <v/>
      </c>
      <c r="E621" s="7">
        <f>IF($Z621="C",INDEX(Contracts!$P$2:$P$151,$AB621)&amp;"",IF($Z621="A",INDEX(Fixed_Assets!$K$2:$K$201,$AB621)&amp;"",IF($Z621="F",IF(INDEX(FTE_Allocation!$D$2:$D$201,$AB621)="PROJECT",IFERROR(INDEX(Projects!$D:$D,MATCH(INDEX(FTE_Allocation!$E$2:$E$201,$AB621),Projects!$A:$A,0))&amp;"","#PROJECT?"),INDEX(FTE_Allocation!$E$2:$E$201,$AB621)&amp;""),"")))</f>
        <v/>
      </c>
      <c r="F621" s="7">
        <f>IF($Z621="C",INDEX(Contracts!$Q$2:$Q$151,$AB621)&amp;"",IF($Z621="A",INDEX(Fixed_Assets!$L$2:$L$201,$AB621)&amp;"",IF($Z621="F",INDEX(Workforce!$K$2:$K$151,MATCH(INDEX(FTE_Allocation!$A$2:$A$201,$AB621),Workforce!$A$2:$A$151,0))&amp;"","")))</f>
        <v/>
      </c>
      <c r="G621" s="7">
        <f>IF($Z621="C",INDEX(Contracts!$F$2:$F$151,$AB621)&amp;" / "&amp;INDEX(Contracts!$G$2:$G$151,$AB621),IF($Z621="A",INDEX(Fixed_Assets!$E$2:$E$201,$AB621)&amp;"",IF($Z621="F","Personnel "&amp;INDEX(FTE_Allocation!$A$2:$A$201,$AB621)&amp;IF(INDEX(FTE_Allocation!$D$2:$D$201,$AB621)="PROJECT"," ("&amp;INDEX(FTE_Allocation!$E$2:$E$201,$AB621)&amp;")",""),"")))</f>
        <v/>
      </c>
      <c r="H621" s="7">
        <f>IF($Z621="C","CONTRACT",IF($Z621="A","ASSET",IF($Z621="F","WORKFORCE","")))</f>
        <v/>
      </c>
      <c r="I621" s="7">
        <f>IF($Z621="C",INDEX(Contracts!$L$2:$L$151,$AB621)&amp;"",IF($Z621="A",INDEX(Fixed_Assets!$I$2:$I$201,$AB621)&amp;"",IF($Z621="F",INDEX(Workforce!$G$2:$G$151,MATCH(INDEX(FTE_Allocation!$A$2:$A$201,$AB621),Workforce!$A$2:$A$151,0))&amp;"","")))</f>
        <v/>
      </c>
      <c r="J621" s="18">
        <f>IF($Z621="","",IF(AND(DATE($AD621,1,1)&gt;=$AE621,DATE($AD621,1,1)&lt;=$AF621),ROUND($AG621,2),0))</f>
        <v/>
      </c>
      <c r="K621" s="18">
        <f>IF($Z621="","",IF(AND(DATE($AD621,2,1)&gt;=$AE621,DATE($AD621,2,1)&lt;=$AF621),ROUND($AG621,2),0))</f>
        <v/>
      </c>
      <c r="L621" s="18">
        <f>IF($Z621="","",IF(AND(DATE($AD621,3,1)&gt;=$AE621,DATE($AD621,3,1)&lt;=$AF621),ROUND($AG621,2),0))</f>
        <v/>
      </c>
      <c r="M621" s="18">
        <f>IF($Z621="","",IF(AND(DATE($AD621,4,1)&gt;=$AE621,DATE($AD621,4,1)&lt;=$AF621),ROUND($AG621,2),0))</f>
        <v/>
      </c>
      <c r="N621" s="18">
        <f>IF($Z621="","",IF(AND(DATE($AD621,5,1)&gt;=$AE621,DATE($AD621,5,1)&lt;=$AF621),ROUND($AG621,2),0))</f>
        <v/>
      </c>
      <c r="O621" s="18">
        <f>IF($Z621="","",IF(AND(DATE($AD621,6,1)&gt;=$AE621,DATE($AD621,6,1)&lt;=$AF621),ROUND($AG621,2),0))</f>
        <v/>
      </c>
      <c r="P621" s="18">
        <f>IF($Z621="","",IF(AND(DATE($AD621,7,1)&gt;=$AE621,DATE($AD621,7,1)&lt;=$AF621),ROUND($AG621,2),0))</f>
        <v/>
      </c>
      <c r="Q621" s="18">
        <f>IF($Z621="","",IF(AND(DATE($AD621,8,1)&gt;=$AE621,DATE($AD621,8,1)&lt;=$AF621),ROUND($AG621,2),0))</f>
        <v/>
      </c>
      <c r="R621" s="18">
        <f>IF($Z621="","",IF(AND(DATE($AD621,9,1)&gt;=$AE621,DATE($AD621,9,1)&lt;=$AF621),ROUND($AG621,2),0))</f>
        <v/>
      </c>
      <c r="S621" s="18">
        <f>IF($Z621="","",IF(AND(DATE($AD621,10,1)&gt;=$AE621,DATE($AD621,10,1)&lt;=$AF621),ROUND($AG621,2),0))</f>
        <v/>
      </c>
      <c r="T621" s="18">
        <f>IF($Z621="","",IF(AND(DATE($AD621,11,1)&gt;=$AE621,DATE($AD621,11,1)&lt;=$AF621),ROUND($AG621,2),0))</f>
        <v/>
      </c>
      <c r="U621" s="18">
        <f>IF($Z621="","",IF(AND(DATE($AD621,12,1)&gt;=$AE621,DATE($AD621,12,1)&lt;=$AF621),ROUND($AG621,2),0))</f>
        <v/>
      </c>
      <c r="V621" s="7">
        <f>IF($Z621="C","Generated from "&amp;INDEX(Contracts!$A$2:$A$151,$AB621),IF($Z621="A","Generated from "&amp;INDEX(Fixed_Assets!$A$2:$A$201,$AB621),IF($Z621="F","Generated from "&amp;INDEX(FTE_Allocation!$A$2:$A$201,$AB621),"")))</f>
        <v/>
      </c>
      <c r="X621" s="19">
        <f>IF($Z621="","",SUM(J621:U621))</f>
        <v/>
      </c>
      <c r="Y621" s="20">
        <f>ROW()-1</f>
        <v/>
      </c>
      <c r="Z621" s="20">
        <f>IF($Y621&lt;=Settings!$B$4*3,"C",IF($Y621&lt;=(Settings!$B$4+Settings!$B$5)*3,"A",IF($Y621&lt;=(Settings!$B$4+Settings!$B$5+Settings!$B$6)*3,"F","")))</f>
        <v/>
      </c>
      <c r="AA621" s="20">
        <f>IF($Z621="C",$Y621,IF($Z621="A",$Y621-Settings!$B$4*3,IF($Z621="F",$Y621-(Settings!$B$4+Settings!$B$5)*3,"")))</f>
        <v/>
      </c>
      <c r="AB621" s="20">
        <f>IF($Z621="","",INT(($AA621-1)/3)+1)</f>
        <v/>
      </c>
      <c r="AC621" s="20">
        <f>IF($Z621="","",MOD($AA621-1,3)+1)</f>
        <v/>
      </c>
      <c r="AD621" s="20">
        <f>IF($Z621="","",Settings!$B$2+$AC621-1)</f>
        <v/>
      </c>
      <c r="AE621" s="21">
        <f>IF($Z621="C",DATE(YEAR(INDEX(Contracts!$J$2:$J$151,$AB621)),MONTH(INDEX(Contracts!$J$2:$J$151,$AB621)),1),IF($Z621="A",DATE(YEAR(INDEX(Fixed_Assets!$G$2:$G$201,$AB621)),MONTH(INDEX(Fixed_Assets!$G$2:$G$201,$AB621)),1),IF($Z621="F",DATE(YEAR(MAX(N(INDEX(Workforce!$I$2:$I$151,MATCH(INDEX(FTE_Allocation!$A$2:$A$201,$AB621),Workforce!$A$2:$A$151,0))),N(INDEX(FTE_Allocation!$I$2:$I$201,$AB621)))),MONTH(MAX(N(INDEX(Workforce!$I$2:$I$151,MATCH(INDEX(FTE_Allocation!$A$2:$A$201,$AB621),Workforce!$A$2:$A$151,0))),N(INDEX(FTE_Allocation!$I$2:$I$201,$AB621)))),1),"")))</f>
        <v/>
      </c>
      <c r="AF621" s="21">
        <f>IF($Z621="C",IF(INDEX(Contracts!$I$2:$I$151,$AB621)="PREPAID",EDATE(DATE(YEAR(INDEX(Contracts!$J$2:$J$151,$AB621)),MONTH(INDEX(Contracts!$J$2:$J$151,$AB621)),1),IF(INDEX(Contracts!$N$2:$N$151,$AB621)="",12,INDEX(Contracts!$N$2:$N$151,$AB621))-1),IF(INDEX(Contracts!$I$2:$I$151,$AB621)="MONTHLY",IF(INDEX(Contracts!$K$2:$K$151,$AB621)="",2958101,INDEX(Contracts!$K$2:$K$151,$AB621)),0)),IF($Z621="A",EDATE(DATE(YEAR(INDEX(Fixed_Assets!$G$2:$G$201,$AB621)),MONTH(INDEX(Fixed_Assets!$G$2:$G$201,$AB621)),1),INDEX(Fixed_Assets!$J$2:$J$201,$AB621)-1),IF($Z621="F",MIN(IF(INDEX(Workforce!$J$2:$J$151,MATCH(INDEX(FTE_Allocation!$A$2:$A$201,$AB621),Workforce!$A$2:$A$151,0))="",2958101,INDEX(Workforce!$J$2:$J$151,MATCH(INDEX(FTE_Allocation!$A$2:$A$201,$AB621),Workforce!$A$2:$A$151,0))),IF(INDEX(FTE_Allocation!$J$2:$J$201,$AB621)="",2958101,INDEX(FTE_Allocation!$J$2:$J$201,$AB621))),"")))</f>
        <v/>
      </c>
      <c r="AG621" s="19">
        <f>IF($Z621="C",IF(INDEX(Contracts!$I$2:$I$151,$AB621)="PREPAID",INDEX(Contracts!$M$2:$M$151,$AB621)/IF(INDEX(Contracts!$N$2:$N$151,$AB621)="",12,INDEX(Contracts!$N$2:$N$151,$AB621)),IF(INDEX(Contracts!$I$2:$I$151,$AB621)="MONTHLY",INDEX(Contracts!$M$2:$M$151,$AB621),0))*(1-N(INDEX(Contracts!$O$2:$O$151,$AB621))),IF($Z621="A",INDEX(Fixed_Assets!$H$2:$H$201,$AB621)/INDEX(Fixed_Assets!$J$2:$J$201,$AB621),IF($Z621="F",INDEX(Workforce!$F$2:$F$151,MATCH(INDEX(FTE_Allocation!$A$2:$A$201,$AB621),Workforce!$A$2:$A$151,0))*N(INDEX(FTE_Allocation!$F$2:$H$201,$AB621,$AC621)),"")))</f>
        <v/>
      </c>
    </row>
    <row r="622">
      <c r="A622" s="7">
        <f>IF($Z622="","",$AD622)</f>
        <v/>
      </c>
      <c r="B622" s="7">
        <f>IF($Z622="C",INDEX(Contracts!$D$2:$D$151,$AB622)&amp;"",IF($Z622="A",INDEX(Fixed_Assets!$C$2:$C$201,$AB622)&amp;"",IF($Z622="F",INDEX(Workforce!$B$2:$B$151,MATCH(INDEX(FTE_Allocation!$A$2:$A$201,$AB622),Workforce!$A$2:$A$151,0))&amp;"","")))</f>
        <v/>
      </c>
      <c r="C622" s="7">
        <f>IF($Z622="C",INDEX(Contracts!$E$2:$E$151,$AB622)&amp;"",IF($Z622="A",INDEX(Fixed_Assets!$D$2:$D$201,$AB622)&amp;"",IF($Z622="F",INDEX(FTE_Allocation!$C$2:$C$201,$AB622)&amp;"","")))</f>
        <v/>
      </c>
      <c r="D622" s="7">
        <f>IF($Z622="C",INDEX(Contracts!$B$2:$B$151,$AB622)&amp;"",IF($Z622="A",INDEX(Fixed_Assets!$B$2:$B$201,$AB622)&amp;"",IF($Z622="F",INDEX(FTE_Allocation!$B$2:$B$201,$AB622)&amp;"","")))</f>
        <v/>
      </c>
      <c r="E622" s="7">
        <f>IF($Z622="C",INDEX(Contracts!$P$2:$P$151,$AB622)&amp;"",IF($Z622="A",INDEX(Fixed_Assets!$K$2:$K$201,$AB622)&amp;"",IF($Z622="F",IF(INDEX(FTE_Allocation!$D$2:$D$201,$AB622)="PROJECT",IFERROR(INDEX(Projects!$D:$D,MATCH(INDEX(FTE_Allocation!$E$2:$E$201,$AB622),Projects!$A:$A,0))&amp;"","#PROJECT?"),INDEX(FTE_Allocation!$E$2:$E$201,$AB622)&amp;""),"")))</f>
        <v/>
      </c>
      <c r="F622" s="7">
        <f>IF($Z622="C",INDEX(Contracts!$Q$2:$Q$151,$AB622)&amp;"",IF($Z622="A",INDEX(Fixed_Assets!$L$2:$L$201,$AB622)&amp;"",IF($Z622="F",INDEX(Workforce!$K$2:$K$151,MATCH(INDEX(FTE_Allocation!$A$2:$A$201,$AB622),Workforce!$A$2:$A$151,0))&amp;"","")))</f>
        <v/>
      </c>
      <c r="G622" s="7">
        <f>IF($Z622="C",INDEX(Contracts!$F$2:$F$151,$AB622)&amp;" / "&amp;INDEX(Contracts!$G$2:$G$151,$AB622),IF($Z622="A",INDEX(Fixed_Assets!$E$2:$E$201,$AB622)&amp;"",IF($Z622="F","Personnel "&amp;INDEX(FTE_Allocation!$A$2:$A$201,$AB622)&amp;IF(INDEX(FTE_Allocation!$D$2:$D$201,$AB622)="PROJECT"," ("&amp;INDEX(FTE_Allocation!$E$2:$E$201,$AB622)&amp;")",""),"")))</f>
        <v/>
      </c>
      <c r="H622" s="7">
        <f>IF($Z622="C","CONTRACT",IF($Z622="A","ASSET",IF($Z622="F","WORKFORCE","")))</f>
        <v/>
      </c>
      <c r="I622" s="7">
        <f>IF($Z622="C",INDEX(Contracts!$L$2:$L$151,$AB622)&amp;"",IF($Z622="A",INDEX(Fixed_Assets!$I$2:$I$201,$AB622)&amp;"",IF($Z622="F",INDEX(Workforce!$G$2:$G$151,MATCH(INDEX(FTE_Allocation!$A$2:$A$201,$AB622),Workforce!$A$2:$A$151,0))&amp;"","")))</f>
        <v/>
      </c>
      <c r="J622" s="18">
        <f>IF($Z622="","",IF(AND(DATE($AD622,1,1)&gt;=$AE622,DATE($AD622,1,1)&lt;=$AF622),ROUND($AG622,2),0))</f>
        <v/>
      </c>
      <c r="K622" s="18">
        <f>IF($Z622="","",IF(AND(DATE($AD622,2,1)&gt;=$AE622,DATE($AD622,2,1)&lt;=$AF622),ROUND($AG622,2),0))</f>
        <v/>
      </c>
      <c r="L622" s="18">
        <f>IF($Z622="","",IF(AND(DATE($AD622,3,1)&gt;=$AE622,DATE($AD622,3,1)&lt;=$AF622),ROUND($AG622,2),0))</f>
        <v/>
      </c>
      <c r="M622" s="18">
        <f>IF($Z622="","",IF(AND(DATE($AD622,4,1)&gt;=$AE622,DATE($AD622,4,1)&lt;=$AF622),ROUND($AG622,2),0))</f>
        <v/>
      </c>
      <c r="N622" s="18">
        <f>IF($Z622="","",IF(AND(DATE($AD622,5,1)&gt;=$AE622,DATE($AD622,5,1)&lt;=$AF622),ROUND($AG622,2),0))</f>
        <v/>
      </c>
      <c r="O622" s="18">
        <f>IF($Z622="","",IF(AND(DATE($AD622,6,1)&gt;=$AE622,DATE($AD622,6,1)&lt;=$AF622),ROUND($AG622,2),0))</f>
        <v/>
      </c>
      <c r="P622" s="18">
        <f>IF($Z622="","",IF(AND(DATE($AD622,7,1)&gt;=$AE622,DATE($AD622,7,1)&lt;=$AF622),ROUND($AG622,2),0))</f>
        <v/>
      </c>
      <c r="Q622" s="18">
        <f>IF($Z622="","",IF(AND(DATE($AD622,8,1)&gt;=$AE622,DATE($AD622,8,1)&lt;=$AF622),ROUND($AG622,2),0))</f>
        <v/>
      </c>
      <c r="R622" s="18">
        <f>IF($Z622="","",IF(AND(DATE($AD622,9,1)&gt;=$AE622,DATE($AD622,9,1)&lt;=$AF622),ROUND($AG622,2),0))</f>
        <v/>
      </c>
      <c r="S622" s="18">
        <f>IF($Z622="","",IF(AND(DATE($AD622,10,1)&gt;=$AE622,DATE($AD622,10,1)&lt;=$AF622),ROUND($AG622,2),0))</f>
        <v/>
      </c>
      <c r="T622" s="18">
        <f>IF($Z622="","",IF(AND(DATE($AD622,11,1)&gt;=$AE622,DATE($AD622,11,1)&lt;=$AF622),ROUND($AG622,2),0))</f>
        <v/>
      </c>
      <c r="U622" s="18">
        <f>IF($Z622="","",IF(AND(DATE($AD622,12,1)&gt;=$AE622,DATE($AD622,12,1)&lt;=$AF622),ROUND($AG622,2),0))</f>
        <v/>
      </c>
      <c r="V622" s="7">
        <f>IF($Z622="C","Generated from "&amp;INDEX(Contracts!$A$2:$A$151,$AB622),IF($Z622="A","Generated from "&amp;INDEX(Fixed_Assets!$A$2:$A$201,$AB622),IF($Z622="F","Generated from "&amp;INDEX(FTE_Allocation!$A$2:$A$201,$AB622),"")))</f>
        <v/>
      </c>
      <c r="X622" s="19">
        <f>IF($Z622="","",SUM(J622:U622))</f>
        <v/>
      </c>
      <c r="Y622" s="20">
        <f>ROW()-1</f>
        <v/>
      </c>
      <c r="Z622" s="20">
        <f>IF($Y622&lt;=Settings!$B$4*3,"C",IF($Y622&lt;=(Settings!$B$4+Settings!$B$5)*3,"A",IF($Y622&lt;=(Settings!$B$4+Settings!$B$5+Settings!$B$6)*3,"F","")))</f>
        <v/>
      </c>
      <c r="AA622" s="20">
        <f>IF($Z622="C",$Y622,IF($Z622="A",$Y622-Settings!$B$4*3,IF($Z622="F",$Y622-(Settings!$B$4+Settings!$B$5)*3,"")))</f>
        <v/>
      </c>
      <c r="AB622" s="20">
        <f>IF($Z622="","",INT(($AA622-1)/3)+1)</f>
        <v/>
      </c>
      <c r="AC622" s="20">
        <f>IF($Z622="","",MOD($AA622-1,3)+1)</f>
        <v/>
      </c>
      <c r="AD622" s="20">
        <f>IF($Z622="","",Settings!$B$2+$AC622-1)</f>
        <v/>
      </c>
      <c r="AE622" s="21">
        <f>IF($Z622="C",DATE(YEAR(INDEX(Contracts!$J$2:$J$151,$AB622)),MONTH(INDEX(Contracts!$J$2:$J$151,$AB622)),1),IF($Z622="A",DATE(YEAR(INDEX(Fixed_Assets!$G$2:$G$201,$AB622)),MONTH(INDEX(Fixed_Assets!$G$2:$G$201,$AB622)),1),IF($Z622="F",DATE(YEAR(MAX(N(INDEX(Workforce!$I$2:$I$151,MATCH(INDEX(FTE_Allocation!$A$2:$A$201,$AB622),Workforce!$A$2:$A$151,0))),N(INDEX(FTE_Allocation!$I$2:$I$201,$AB622)))),MONTH(MAX(N(INDEX(Workforce!$I$2:$I$151,MATCH(INDEX(FTE_Allocation!$A$2:$A$201,$AB622),Workforce!$A$2:$A$151,0))),N(INDEX(FTE_Allocation!$I$2:$I$201,$AB622)))),1),"")))</f>
        <v/>
      </c>
      <c r="AF622" s="21">
        <f>IF($Z622="C",IF(INDEX(Contracts!$I$2:$I$151,$AB622)="PREPAID",EDATE(DATE(YEAR(INDEX(Contracts!$J$2:$J$151,$AB622)),MONTH(INDEX(Contracts!$J$2:$J$151,$AB622)),1),IF(INDEX(Contracts!$N$2:$N$151,$AB622)="",12,INDEX(Contracts!$N$2:$N$151,$AB622))-1),IF(INDEX(Contracts!$I$2:$I$151,$AB622)="MONTHLY",IF(INDEX(Contracts!$K$2:$K$151,$AB622)="",2958101,INDEX(Contracts!$K$2:$K$151,$AB622)),0)),IF($Z622="A",EDATE(DATE(YEAR(INDEX(Fixed_Assets!$G$2:$G$201,$AB622)),MONTH(INDEX(Fixed_Assets!$G$2:$G$201,$AB622)),1),INDEX(Fixed_Assets!$J$2:$J$201,$AB622)-1),IF($Z622="F",MIN(IF(INDEX(Workforce!$J$2:$J$151,MATCH(INDEX(FTE_Allocation!$A$2:$A$201,$AB622),Workforce!$A$2:$A$151,0))="",2958101,INDEX(Workforce!$J$2:$J$151,MATCH(INDEX(FTE_Allocation!$A$2:$A$201,$AB622),Workforce!$A$2:$A$151,0))),IF(INDEX(FTE_Allocation!$J$2:$J$201,$AB622)="",2958101,INDEX(FTE_Allocation!$J$2:$J$201,$AB622))),"")))</f>
        <v/>
      </c>
      <c r="AG622" s="19">
        <f>IF($Z622="C",IF(INDEX(Contracts!$I$2:$I$151,$AB622)="PREPAID",INDEX(Contracts!$M$2:$M$151,$AB622)/IF(INDEX(Contracts!$N$2:$N$151,$AB622)="",12,INDEX(Contracts!$N$2:$N$151,$AB622)),IF(INDEX(Contracts!$I$2:$I$151,$AB622)="MONTHLY",INDEX(Contracts!$M$2:$M$151,$AB622),0))*(1-N(INDEX(Contracts!$O$2:$O$151,$AB622))),IF($Z622="A",INDEX(Fixed_Assets!$H$2:$H$201,$AB622)/INDEX(Fixed_Assets!$J$2:$J$201,$AB622),IF($Z622="F",INDEX(Workforce!$F$2:$F$151,MATCH(INDEX(FTE_Allocation!$A$2:$A$201,$AB622),Workforce!$A$2:$A$151,0))*N(INDEX(FTE_Allocation!$F$2:$H$201,$AB622,$AC622)),"")))</f>
        <v/>
      </c>
    </row>
    <row r="623">
      <c r="A623" s="7">
        <f>IF($Z623="","",$AD623)</f>
        <v/>
      </c>
      <c r="B623" s="7">
        <f>IF($Z623="C",INDEX(Contracts!$D$2:$D$151,$AB623)&amp;"",IF($Z623="A",INDEX(Fixed_Assets!$C$2:$C$201,$AB623)&amp;"",IF($Z623="F",INDEX(Workforce!$B$2:$B$151,MATCH(INDEX(FTE_Allocation!$A$2:$A$201,$AB623),Workforce!$A$2:$A$151,0))&amp;"","")))</f>
        <v/>
      </c>
      <c r="C623" s="7">
        <f>IF($Z623="C",INDEX(Contracts!$E$2:$E$151,$AB623)&amp;"",IF($Z623="A",INDEX(Fixed_Assets!$D$2:$D$201,$AB623)&amp;"",IF($Z623="F",INDEX(FTE_Allocation!$C$2:$C$201,$AB623)&amp;"","")))</f>
        <v/>
      </c>
      <c r="D623" s="7">
        <f>IF($Z623="C",INDEX(Contracts!$B$2:$B$151,$AB623)&amp;"",IF($Z623="A",INDEX(Fixed_Assets!$B$2:$B$201,$AB623)&amp;"",IF($Z623="F",INDEX(FTE_Allocation!$B$2:$B$201,$AB623)&amp;"","")))</f>
        <v/>
      </c>
      <c r="E623" s="7">
        <f>IF($Z623="C",INDEX(Contracts!$P$2:$P$151,$AB623)&amp;"",IF($Z623="A",INDEX(Fixed_Assets!$K$2:$K$201,$AB623)&amp;"",IF($Z623="F",IF(INDEX(FTE_Allocation!$D$2:$D$201,$AB623)="PROJECT",IFERROR(INDEX(Projects!$D:$D,MATCH(INDEX(FTE_Allocation!$E$2:$E$201,$AB623),Projects!$A:$A,0))&amp;"","#PROJECT?"),INDEX(FTE_Allocation!$E$2:$E$201,$AB623)&amp;""),"")))</f>
        <v/>
      </c>
      <c r="F623" s="7">
        <f>IF($Z623="C",INDEX(Contracts!$Q$2:$Q$151,$AB623)&amp;"",IF($Z623="A",INDEX(Fixed_Assets!$L$2:$L$201,$AB623)&amp;"",IF($Z623="F",INDEX(Workforce!$K$2:$K$151,MATCH(INDEX(FTE_Allocation!$A$2:$A$201,$AB623),Workforce!$A$2:$A$151,0))&amp;"","")))</f>
        <v/>
      </c>
      <c r="G623" s="7">
        <f>IF($Z623="C",INDEX(Contracts!$F$2:$F$151,$AB623)&amp;" / "&amp;INDEX(Contracts!$G$2:$G$151,$AB623),IF($Z623="A",INDEX(Fixed_Assets!$E$2:$E$201,$AB623)&amp;"",IF($Z623="F","Personnel "&amp;INDEX(FTE_Allocation!$A$2:$A$201,$AB623)&amp;IF(INDEX(FTE_Allocation!$D$2:$D$201,$AB623)="PROJECT"," ("&amp;INDEX(FTE_Allocation!$E$2:$E$201,$AB623)&amp;")",""),"")))</f>
        <v/>
      </c>
      <c r="H623" s="7">
        <f>IF($Z623="C","CONTRACT",IF($Z623="A","ASSET",IF($Z623="F","WORKFORCE","")))</f>
        <v/>
      </c>
      <c r="I623" s="7">
        <f>IF($Z623="C",INDEX(Contracts!$L$2:$L$151,$AB623)&amp;"",IF($Z623="A",INDEX(Fixed_Assets!$I$2:$I$201,$AB623)&amp;"",IF($Z623="F",INDEX(Workforce!$G$2:$G$151,MATCH(INDEX(FTE_Allocation!$A$2:$A$201,$AB623),Workforce!$A$2:$A$151,0))&amp;"","")))</f>
        <v/>
      </c>
      <c r="J623" s="18">
        <f>IF($Z623="","",IF(AND(DATE($AD623,1,1)&gt;=$AE623,DATE($AD623,1,1)&lt;=$AF623),ROUND($AG623,2),0))</f>
        <v/>
      </c>
      <c r="K623" s="18">
        <f>IF($Z623="","",IF(AND(DATE($AD623,2,1)&gt;=$AE623,DATE($AD623,2,1)&lt;=$AF623),ROUND($AG623,2),0))</f>
        <v/>
      </c>
      <c r="L623" s="18">
        <f>IF($Z623="","",IF(AND(DATE($AD623,3,1)&gt;=$AE623,DATE($AD623,3,1)&lt;=$AF623),ROUND($AG623,2),0))</f>
        <v/>
      </c>
      <c r="M623" s="18">
        <f>IF($Z623="","",IF(AND(DATE($AD623,4,1)&gt;=$AE623,DATE($AD623,4,1)&lt;=$AF623),ROUND($AG623,2),0))</f>
        <v/>
      </c>
      <c r="N623" s="18">
        <f>IF($Z623="","",IF(AND(DATE($AD623,5,1)&gt;=$AE623,DATE($AD623,5,1)&lt;=$AF623),ROUND($AG623,2),0))</f>
        <v/>
      </c>
      <c r="O623" s="18">
        <f>IF($Z623="","",IF(AND(DATE($AD623,6,1)&gt;=$AE623,DATE($AD623,6,1)&lt;=$AF623),ROUND($AG623,2),0))</f>
        <v/>
      </c>
      <c r="P623" s="18">
        <f>IF($Z623="","",IF(AND(DATE($AD623,7,1)&gt;=$AE623,DATE($AD623,7,1)&lt;=$AF623),ROUND($AG623,2),0))</f>
        <v/>
      </c>
      <c r="Q623" s="18">
        <f>IF($Z623="","",IF(AND(DATE($AD623,8,1)&gt;=$AE623,DATE($AD623,8,1)&lt;=$AF623),ROUND($AG623,2),0))</f>
        <v/>
      </c>
      <c r="R623" s="18">
        <f>IF($Z623="","",IF(AND(DATE($AD623,9,1)&gt;=$AE623,DATE($AD623,9,1)&lt;=$AF623),ROUND($AG623,2),0))</f>
        <v/>
      </c>
      <c r="S623" s="18">
        <f>IF($Z623="","",IF(AND(DATE($AD623,10,1)&gt;=$AE623,DATE($AD623,10,1)&lt;=$AF623),ROUND($AG623,2),0))</f>
        <v/>
      </c>
      <c r="T623" s="18">
        <f>IF($Z623="","",IF(AND(DATE($AD623,11,1)&gt;=$AE623,DATE($AD623,11,1)&lt;=$AF623),ROUND($AG623,2),0))</f>
        <v/>
      </c>
      <c r="U623" s="18">
        <f>IF($Z623="","",IF(AND(DATE($AD623,12,1)&gt;=$AE623,DATE($AD623,12,1)&lt;=$AF623),ROUND($AG623,2),0))</f>
        <v/>
      </c>
      <c r="V623" s="7">
        <f>IF($Z623="C","Generated from "&amp;INDEX(Contracts!$A$2:$A$151,$AB623),IF($Z623="A","Generated from "&amp;INDEX(Fixed_Assets!$A$2:$A$201,$AB623),IF($Z623="F","Generated from "&amp;INDEX(FTE_Allocation!$A$2:$A$201,$AB623),"")))</f>
        <v/>
      </c>
      <c r="X623" s="19">
        <f>IF($Z623="","",SUM(J623:U623))</f>
        <v/>
      </c>
      <c r="Y623" s="20">
        <f>ROW()-1</f>
        <v/>
      </c>
      <c r="Z623" s="20">
        <f>IF($Y623&lt;=Settings!$B$4*3,"C",IF($Y623&lt;=(Settings!$B$4+Settings!$B$5)*3,"A",IF($Y623&lt;=(Settings!$B$4+Settings!$B$5+Settings!$B$6)*3,"F","")))</f>
        <v/>
      </c>
      <c r="AA623" s="20">
        <f>IF($Z623="C",$Y623,IF($Z623="A",$Y623-Settings!$B$4*3,IF($Z623="F",$Y623-(Settings!$B$4+Settings!$B$5)*3,"")))</f>
        <v/>
      </c>
      <c r="AB623" s="20">
        <f>IF($Z623="","",INT(($AA623-1)/3)+1)</f>
        <v/>
      </c>
      <c r="AC623" s="20">
        <f>IF($Z623="","",MOD($AA623-1,3)+1)</f>
        <v/>
      </c>
      <c r="AD623" s="20">
        <f>IF($Z623="","",Settings!$B$2+$AC623-1)</f>
        <v/>
      </c>
      <c r="AE623" s="21">
        <f>IF($Z623="C",DATE(YEAR(INDEX(Contracts!$J$2:$J$151,$AB623)),MONTH(INDEX(Contracts!$J$2:$J$151,$AB623)),1),IF($Z623="A",DATE(YEAR(INDEX(Fixed_Assets!$G$2:$G$201,$AB623)),MONTH(INDEX(Fixed_Assets!$G$2:$G$201,$AB623)),1),IF($Z623="F",DATE(YEAR(MAX(N(INDEX(Workforce!$I$2:$I$151,MATCH(INDEX(FTE_Allocation!$A$2:$A$201,$AB623),Workforce!$A$2:$A$151,0))),N(INDEX(FTE_Allocation!$I$2:$I$201,$AB623)))),MONTH(MAX(N(INDEX(Workforce!$I$2:$I$151,MATCH(INDEX(FTE_Allocation!$A$2:$A$201,$AB623),Workforce!$A$2:$A$151,0))),N(INDEX(FTE_Allocation!$I$2:$I$201,$AB623)))),1),"")))</f>
        <v/>
      </c>
      <c r="AF623" s="21">
        <f>IF($Z623="C",IF(INDEX(Contracts!$I$2:$I$151,$AB623)="PREPAID",EDATE(DATE(YEAR(INDEX(Contracts!$J$2:$J$151,$AB623)),MONTH(INDEX(Contracts!$J$2:$J$151,$AB623)),1),IF(INDEX(Contracts!$N$2:$N$151,$AB623)="",12,INDEX(Contracts!$N$2:$N$151,$AB623))-1),IF(INDEX(Contracts!$I$2:$I$151,$AB623)="MONTHLY",IF(INDEX(Contracts!$K$2:$K$151,$AB623)="",2958101,INDEX(Contracts!$K$2:$K$151,$AB623)),0)),IF($Z623="A",EDATE(DATE(YEAR(INDEX(Fixed_Assets!$G$2:$G$201,$AB623)),MONTH(INDEX(Fixed_Assets!$G$2:$G$201,$AB623)),1),INDEX(Fixed_Assets!$J$2:$J$201,$AB623)-1),IF($Z623="F",MIN(IF(INDEX(Workforce!$J$2:$J$151,MATCH(INDEX(FTE_Allocation!$A$2:$A$201,$AB623),Workforce!$A$2:$A$151,0))="",2958101,INDEX(Workforce!$J$2:$J$151,MATCH(INDEX(FTE_Allocation!$A$2:$A$201,$AB623),Workforce!$A$2:$A$151,0))),IF(INDEX(FTE_Allocation!$J$2:$J$201,$AB623)="",2958101,INDEX(FTE_Allocation!$J$2:$J$201,$AB623))),"")))</f>
        <v/>
      </c>
      <c r="AG623" s="19">
        <f>IF($Z623="C",IF(INDEX(Contracts!$I$2:$I$151,$AB623)="PREPAID",INDEX(Contracts!$M$2:$M$151,$AB623)/IF(INDEX(Contracts!$N$2:$N$151,$AB623)="",12,INDEX(Contracts!$N$2:$N$151,$AB623)),IF(INDEX(Contracts!$I$2:$I$151,$AB623)="MONTHLY",INDEX(Contracts!$M$2:$M$151,$AB623),0))*(1-N(INDEX(Contracts!$O$2:$O$151,$AB623))),IF($Z623="A",INDEX(Fixed_Assets!$H$2:$H$201,$AB623)/INDEX(Fixed_Assets!$J$2:$J$201,$AB623),IF($Z623="F",INDEX(Workforce!$F$2:$F$151,MATCH(INDEX(FTE_Allocation!$A$2:$A$201,$AB623),Workforce!$A$2:$A$151,0))*N(INDEX(FTE_Allocation!$F$2:$H$201,$AB623,$AC623)),"")))</f>
        <v/>
      </c>
    </row>
    <row r="624">
      <c r="A624" s="7">
        <f>IF($Z624="","",$AD624)</f>
        <v/>
      </c>
      <c r="B624" s="7">
        <f>IF($Z624="C",INDEX(Contracts!$D$2:$D$151,$AB624)&amp;"",IF($Z624="A",INDEX(Fixed_Assets!$C$2:$C$201,$AB624)&amp;"",IF($Z624="F",INDEX(Workforce!$B$2:$B$151,MATCH(INDEX(FTE_Allocation!$A$2:$A$201,$AB624),Workforce!$A$2:$A$151,0))&amp;"","")))</f>
        <v/>
      </c>
      <c r="C624" s="7">
        <f>IF($Z624="C",INDEX(Contracts!$E$2:$E$151,$AB624)&amp;"",IF($Z624="A",INDEX(Fixed_Assets!$D$2:$D$201,$AB624)&amp;"",IF($Z624="F",INDEX(FTE_Allocation!$C$2:$C$201,$AB624)&amp;"","")))</f>
        <v/>
      </c>
      <c r="D624" s="7">
        <f>IF($Z624="C",INDEX(Contracts!$B$2:$B$151,$AB624)&amp;"",IF($Z624="A",INDEX(Fixed_Assets!$B$2:$B$201,$AB624)&amp;"",IF($Z624="F",INDEX(FTE_Allocation!$B$2:$B$201,$AB624)&amp;"","")))</f>
        <v/>
      </c>
      <c r="E624" s="7">
        <f>IF($Z624="C",INDEX(Contracts!$P$2:$P$151,$AB624)&amp;"",IF($Z624="A",INDEX(Fixed_Assets!$K$2:$K$201,$AB624)&amp;"",IF($Z624="F",IF(INDEX(FTE_Allocation!$D$2:$D$201,$AB624)="PROJECT",IFERROR(INDEX(Projects!$D:$D,MATCH(INDEX(FTE_Allocation!$E$2:$E$201,$AB624),Projects!$A:$A,0))&amp;"","#PROJECT?"),INDEX(FTE_Allocation!$E$2:$E$201,$AB624)&amp;""),"")))</f>
        <v/>
      </c>
      <c r="F624" s="7">
        <f>IF($Z624="C",INDEX(Contracts!$Q$2:$Q$151,$AB624)&amp;"",IF($Z624="A",INDEX(Fixed_Assets!$L$2:$L$201,$AB624)&amp;"",IF($Z624="F",INDEX(Workforce!$K$2:$K$151,MATCH(INDEX(FTE_Allocation!$A$2:$A$201,$AB624),Workforce!$A$2:$A$151,0))&amp;"","")))</f>
        <v/>
      </c>
      <c r="G624" s="7">
        <f>IF($Z624="C",INDEX(Contracts!$F$2:$F$151,$AB624)&amp;" / "&amp;INDEX(Contracts!$G$2:$G$151,$AB624),IF($Z624="A",INDEX(Fixed_Assets!$E$2:$E$201,$AB624)&amp;"",IF($Z624="F","Personnel "&amp;INDEX(FTE_Allocation!$A$2:$A$201,$AB624)&amp;IF(INDEX(FTE_Allocation!$D$2:$D$201,$AB624)="PROJECT"," ("&amp;INDEX(FTE_Allocation!$E$2:$E$201,$AB624)&amp;")",""),"")))</f>
        <v/>
      </c>
      <c r="H624" s="7">
        <f>IF($Z624="C","CONTRACT",IF($Z624="A","ASSET",IF($Z624="F","WORKFORCE","")))</f>
        <v/>
      </c>
      <c r="I624" s="7">
        <f>IF($Z624="C",INDEX(Contracts!$L$2:$L$151,$AB624)&amp;"",IF($Z624="A",INDEX(Fixed_Assets!$I$2:$I$201,$AB624)&amp;"",IF($Z624="F",INDEX(Workforce!$G$2:$G$151,MATCH(INDEX(FTE_Allocation!$A$2:$A$201,$AB624),Workforce!$A$2:$A$151,0))&amp;"","")))</f>
        <v/>
      </c>
      <c r="J624" s="18">
        <f>IF($Z624="","",IF(AND(DATE($AD624,1,1)&gt;=$AE624,DATE($AD624,1,1)&lt;=$AF624),ROUND($AG624,2),0))</f>
        <v/>
      </c>
      <c r="K624" s="18">
        <f>IF($Z624="","",IF(AND(DATE($AD624,2,1)&gt;=$AE624,DATE($AD624,2,1)&lt;=$AF624),ROUND($AG624,2),0))</f>
        <v/>
      </c>
      <c r="L624" s="18">
        <f>IF($Z624="","",IF(AND(DATE($AD624,3,1)&gt;=$AE624,DATE($AD624,3,1)&lt;=$AF624),ROUND($AG624,2),0))</f>
        <v/>
      </c>
      <c r="M624" s="18">
        <f>IF($Z624="","",IF(AND(DATE($AD624,4,1)&gt;=$AE624,DATE($AD624,4,1)&lt;=$AF624),ROUND($AG624,2),0))</f>
        <v/>
      </c>
      <c r="N624" s="18">
        <f>IF($Z624="","",IF(AND(DATE($AD624,5,1)&gt;=$AE624,DATE($AD624,5,1)&lt;=$AF624),ROUND($AG624,2),0))</f>
        <v/>
      </c>
      <c r="O624" s="18">
        <f>IF($Z624="","",IF(AND(DATE($AD624,6,1)&gt;=$AE624,DATE($AD624,6,1)&lt;=$AF624),ROUND($AG624,2),0))</f>
        <v/>
      </c>
      <c r="P624" s="18">
        <f>IF($Z624="","",IF(AND(DATE($AD624,7,1)&gt;=$AE624,DATE($AD624,7,1)&lt;=$AF624),ROUND($AG624,2),0))</f>
        <v/>
      </c>
      <c r="Q624" s="18">
        <f>IF($Z624="","",IF(AND(DATE($AD624,8,1)&gt;=$AE624,DATE($AD624,8,1)&lt;=$AF624),ROUND($AG624,2),0))</f>
        <v/>
      </c>
      <c r="R624" s="18">
        <f>IF($Z624="","",IF(AND(DATE($AD624,9,1)&gt;=$AE624,DATE($AD624,9,1)&lt;=$AF624),ROUND($AG624,2),0))</f>
        <v/>
      </c>
      <c r="S624" s="18">
        <f>IF($Z624="","",IF(AND(DATE($AD624,10,1)&gt;=$AE624,DATE($AD624,10,1)&lt;=$AF624),ROUND($AG624,2),0))</f>
        <v/>
      </c>
      <c r="T624" s="18">
        <f>IF($Z624="","",IF(AND(DATE($AD624,11,1)&gt;=$AE624,DATE($AD624,11,1)&lt;=$AF624),ROUND($AG624,2),0))</f>
        <v/>
      </c>
      <c r="U624" s="18">
        <f>IF($Z624="","",IF(AND(DATE($AD624,12,1)&gt;=$AE624,DATE($AD624,12,1)&lt;=$AF624),ROUND($AG624,2),0))</f>
        <v/>
      </c>
      <c r="V624" s="7">
        <f>IF($Z624="C","Generated from "&amp;INDEX(Contracts!$A$2:$A$151,$AB624),IF($Z624="A","Generated from "&amp;INDEX(Fixed_Assets!$A$2:$A$201,$AB624),IF($Z624="F","Generated from "&amp;INDEX(FTE_Allocation!$A$2:$A$201,$AB624),"")))</f>
        <v/>
      </c>
      <c r="X624" s="19">
        <f>IF($Z624="","",SUM(J624:U624))</f>
        <v/>
      </c>
      <c r="Y624" s="20">
        <f>ROW()-1</f>
        <v/>
      </c>
      <c r="Z624" s="20">
        <f>IF($Y624&lt;=Settings!$B$4*3,"C",IF($Y624&lt;=(Settings!$B$4+Settings!$B$5)*3,"A",IF($Y624&lt;=(Settings!$B$4+Settings!$B$5+Settings!$B$6)*3,"F","")))</f>
        <v/>
      </c>
      <c r="AA624" s="20">
        <f>IF($Z624="C",$Y624,IF($Z624="A",$Y624-Settings!$B$4*3,IF($Z624="F",$Y624-(Settings!$B$4+Settings!$B$5)*3,"")))</f>
        <v/>
      </c>
      <c r="AB624" s="20">
        <f>IF($Z624="","",INT(($AA624-1)/3)+1)</f>
        <v/>
      </c>
      <c r="AC624" s="20">
        <f>IF($Z624="","",MOD($AA624-1,3)+1)</f>
        <v/>
      </c>
      <c r="AD624" s="20">
        <f>IF($Z624="","",Settings!$B$2+$AC624-1)</f>
        <v/>
      </c>
      <c r="AE624" s="21">
        <f>IF($Z624="C",DATE(YEAR(INDEX(Contracts!$J$2:$J$151,$AB624)),MONTH(INDEX(Contracts!$J$2:$J$151,$AB624)),1),IF($Z624="A",DATE(YEAR(INDEX(Fixed_Assets!$G$2:$G$201,$AB624)),MONTH(INDEX(Fixed_Assets!$G$2:$G$201,$AB624)),1),IF($Z624="F",DATE(YEAR(MAX(N(INDEX(Workforce!$I$2:$I$151,MATCH(INDEX(FTE_Allocation!$A$2:$A$201,$AB624),Workforce!$A$2:$A$151,0))),N(INDEX(FTE_Allocation!$I$2:$I$201,$AB624)))),MONTH(MAX(N(INDEX(Workforce!$I$2:$I$151,MATCH(INDEX(FTE_Allocation!$A$2:$A$201,$AB624),Workforce!$A$2:$A$151,0))),N(INDEX(FTE_Allocation!$I$2:$I$201,$AB624)))),1),"")))</f>
        <v/>
      </c>
      <c r="AF624" s="21">
        <f>IF($Z624="C",IF(INDEX(Contracts!$I$2:$I$151,$AB624)="PREPAID",EDATE(DATE(YEAR(INDEX(Contracts!$J$2:$J$151,$AB624)),MONTH(INDEX(Contracts!$J$2:$J$151,$AB624)),1),IF(INDEX(Contracts!$N$2:$N$151,$AB624)="",12,INDEX(Contracts!$N$2:$N$151,$AB624))-1),IF(INDEX(Contracts!$I$2:$I$151,$AB624)="MONTHLY",IF(INDEX(Contracts!$K$2:$K$151,$AB624)="",2958101,INDEX(Contracts!$K$2:$K$151,$AB624)),0)),IF($Z624="A",EDATE(DATE(YEAR(INDEX(Fixed_Assets!$G$2:$G$201,$AB624)),MONTH(INDEX(Fixed_Assets!$G$2:$G$201,$AB624)),1),INDEX(Fixed_Assets!$J$2:$J$201,$AB624)-1),IF($Z624="F",MIN(IF(INDEX(Workforce!$J$2:$J$151,MATCH(INDEX(FTE_Allocation!$A$2:$A$201,$AB624),Workforce!$A$2:$A$151,0))="",2958101,INDEX(Workforce!$J$2:$J$151,MATCH(INDEX(FTE_Allocation!$A$2:$A$201,$AB624),Workforce!$A$2:$A$151,0))),IF(INDEX(FTE_Allocation!$J$2:$J$201,$AB624)="",2958101,INDEX(FTE_Allocation!$J$2:$J$201,$AB624))),"")))</f>
        <v/>
      </c>
      <c r="AG624" s="19">
        <f>IF($Z624="C",IF(INDEX(Contracts!$I$2:$I$151,$AB624)="PREPAID",INDEX(Contracts!$M$2:$M$151,$AB624)/IF(INDEX(Contracts!$N$2:$N$151,$AB624)="",12,INDEX(Contracts!$N$2:$N$151,$AB624)),IF(INDEX(Contracts!$I$2:$I$151,$AB624)="MONTHLY",INDEX(Contracts!$M$2:$M$151,$AB624),0))*(1-N(INDEX(Contracts!$O$2:$O$151,$AB624))),IF($Z624="A",INDEX(Fixed_Assets!$H$2:$H$201,$AB624)/INDEX(Fixed_Assets!$J$2:$J$201,$AB624),IF($Z624="F",INDEX(Workforce!$F$2:$F$151,MATCH(INDEX(FTE_Allocation!$A$2:$A$201,$AB624),Workforce!$A$2:$A$151,0))*N(INDEX(FTE_Allocation!$F$2:$H$201,$AB624,$AC624)),"")))</f>
        <v/>
      </c>
    </row>
    <row r="625">
      <c r="A625" s="7">
        <f>IF($Z625="","",$AD625)</f>
        <v/>
      </c>
      <c r="B625" s="7">
        <f>IF($Z625="C",INDEX(Contracts!$D$2:$D$151,$AB625)&amp;"",IF($Z625="A",INDEX(Fixed_Assets!$C$2:$C$201,$AB625)&amp;"",IF($Z625="F",INDEX(Workforce!$B$2:$B$151,MATCH(INDEX(FTE_Allocation!$A$2:$A$201,$AB625),Workforce!$A$2:$A$151,0))&amp;"","")))</f>
        <v/>
      </c>
      <c r="C625" s="7">
        <f>IF($Z625="C",INDEX(Contracts!$E$2:$E$151,$AB625)&amp;"",IF($Z625="A",INDEX(Fixed_Assets!$D$2:$D$201,$AB625)&amp;"",IF($Z625="F",INDEX(FTE_Allocation!$C$2:$C$201,$AB625)&amp;"","")))</f>
        <v/>
      </c>
      <c r="D625" s="7">
        <f>IF($Z625="C",INDEX(Contracts!$B$2:$B$151,$AB625)&amp;"",IF($Z625="A",INDEX(Fixed_Assets!$B$2:$B$201,$AB625)&amp;"",IF($Z625="F",INDEX(FTE_Allocation!$B$2:$B$201,$AB625)&amp;"","")))</f>
        <v/>
      </c>
      <c r="E625" s="7">
        <f>IF($Z625="C",INDEX(Contracts!$P$2:$P$151,$AB625)&amp;"",IF($Z625="A",INDEX(Fixed_Assets!$K$2:$K$201,$AB625)&amp;"",IF($Z625="F",IF(INDEX(FTE_Allocation!$D$2:$D$201,$AB625)="PROJECT",IFERROR(INDEX(Projects!$D:$D,MATCH(INDEX(FTE_Allocation!$E$2:$E$201,$AB625),Projects!$A:$A,0))&amp;"","#PROJECT?"),INDEX(FTE_Allocation!$E$2:$E$201,$AB625)&amp;""),"")))</f>
        <v/>
      </c>
      <c r="F625" s="7">
        <f>IF($Z625="C",INDEX(Contracts!$Q$2:$Q$151,$AB625)&amp;"",IF($Z625="A",INDEX(Fixed_Assets!$L$2:$L$201,$AB625)&amp;"",IF($Z625="F",INDEX(Workforce!$K$2:$K$151,MATCH(INDEX(FTE_Allocation!$A$2:$A$201,$AB625),Workforce!$A$2:$A$151,0))&amp;"","")))</f>
        <v/>
      </c>
      <c r="G625" s="7">
        <f>IF($Z625="C",INDEX(Contracts!$F$2:$F$151,$AB625)&amp;" / "&amp;INDEX(Contracts!$G$2:$G$151,$AB625),IF($Z625="A",INDEX(Fixed_Assets!$E$2:$E$201,$AB625)&amp;"",IF($Z625="F","Personnel "&amp;INDEX(FTE_Allocation!$A$2:$A$201,$AB625)&amp;IF(INDEX(FTE_Allocation!$D$2:$D$201,$AB625)="PROJECT"," ("&amp;INDEX(FTE_Allocation!$E$2:$E$201,$AB625)&amp;")",""),"")))</f>
        <v/>
      </c>
      <c r="H625" s="7">
        <f>IF($Z625="C","CONTRACT",IF($Z625="A","ASSET",IF($Z625="F","WORKFORCE","")))</f>
        <v/>
      </c>
      <c r="I625" s="7">
        <f>IF($Z625="C",INDEX(Contracts!$L$2:$L$151,$AB625)&amp;"",IF($Z625="A",INDEX(Fixed_Assets!$I$2:$I$201,$AB625)&amp;"",IF($Z625="F",INDEX(Workforce!$G$2:$G$151,MATCH(INDEX(FTE_Allocation!$A$2:$A$201,$AB625),Workforce!$A$2:$A$151,0))&amp;"","")))</f>
        <v/>
      </c>
      <c r="J625" s="18">
        <f>IF($Z625="","",IF(AND(DATE($AD625,1,1)&gt;=$AE625,DATE($AD625,1,1)&lt;=$AF625),ROUND($AG625,2),0))</f>
        <v/>
      </c>
      <c r="K625" s="18">
        <f>IF($Z625="","",IF(AND(DATE($AD625,2,1)&gt;=$AE625,DATE($AD625,2,1)&lt;=$AF625),ROUND($AG625,2),0))</f>
        <v/>
      </c>
      <c r="L625" s="18">
        <f>IF($Z625="","",IF(AND(DATE($AD625,3,1)&gt;=$AE625,DATE($AD625,3,1)&lt;=$AF625),ROUND($AG625,2),0))</f>
        <v/>
      </c>
      <c r="M625" s="18">
        <f>IF($Z625="","",IF(AND(DATE($AD625,4,1)&gt;=$AE625,DATE($AD625,4,1)&lt;=$AF625),ROUND($AG625,2),0))</f>
        <v/>
      </c>
      <c r="N625" s="18">
        <f>IF($Z625="","",IF(AND(DATE($AD625,5,1)&gt;=$AE625,DATE($AD625,5,1)&lt;=$AF625),ROUND($AG625,2),0))</f>
        <v/>
      </c>
      <c r="O625" s="18">
        <f>IF($Z625="","",IF(AND(DATE($AD625,6,1)&gt;=$AE625,DATE($AD625,6,1)&lt;=$AF625),ROUND($AG625,2),0))</f>
        <v/>
      </c>
      <c r="P625" s="18">
        <f>IF($Z625="","",IF(AND(DATE($AD625,7,1)&gt;=$AE625,DATE($AD625,7,1)&lt;=$AF625),ROUND($AG625,2),0))</f>
        <v/>
      </c>
      <c r="Q625" s="18">
        <f>IF($Z625="","",IF(AND(DATE($AD625,8,1)&gt;=$AE625,DATE($AD625,8,1)&lt;=$AF625),ROUND($AG625,2),0))</f>
        <v/>
      </c>
      <c r="R625" s="18">
        <f>IF($Z625="","",IF(AND(DATE($AD625,9,1)&gt;=$AE625,DATE($AD625,9,1)&lt;=$AF625),ROUND($AG625,2),0))</f>
        <v/>
      </c>
      <c r="S625" s="18">
        <f>IF($Z625="","",IF(AND(DATE($AD625,10,1)&gt;=$AE625,DATE($AD625,10,1)&lt;=$AF625),ROUND($AG625,2),0))</f>
        <v/>
      </c>
      <c r="T625" s="18">
        <f>IF($Z625="","",IF(AND(DATE($AD625,11,1)&gt;=$AE625,DATE($AD625,11,1)&lt;=$AF625),ROUND($AG625,2),0))</f>
        <v/>
      </c>
      <c r="U625" s="18">
        <f>IF($Z625="","",IF(AND(DATE($AD625,12,1)&gt;=$AE625,DATE($AD625,12,1)&lt;=$AF625),ROUND($AG625,2),0))</f>
        <v/>
      </c>
      <c r="V625" s="7">
        <f>IF($Z625="C","Generated from "&amp;INDEX(Contracts!$A$2:$A$151,$AB625),IF($Z625="A","Generated from "&amp;INDEX(Fixed_Assets!$A$2:$A$201,$AB625),IF($Z625="F","Generated from "&amp;INDEX(FTE_Allocation!$A$2:$A$201,$AB625),"")))</f>
        <v/>
      </c>
      <c r="X625" s="19">
        <f>IF($Z625="","",SUM(J625:U625))</f>
        <v/>
      </c>
      <c r="Y625" s="20">
        <f>ROW()-1</f>
        <v/>
      </c>
      <c r="Z625" s="20">
        <f>IF($Y625&lt;=Settings!$B$4*3,"C",IF($Y625&lt;=(Settings!$B$4+Settings!$B$5)*3,"A",IF($Y625&lt;=(Settings!$B$4+Settings!$B$5+Settings!$B$6)*3,"F","")))</f>
        <v/>
      </c>
      <c r="AA625" s="20">
        <f>IF($Z625="C",$Y625,IF($Z625="A",$Y625-Settings!$B$4*3,IF($Z625="F",$Y625-(Settings!$B$4+Settings!$B$5)*3,"")))</f>
        <v/>
      </c>
      <c r="AB625" s="20">
        <f>IF($Z625="","",INT(($AA625-1)/3)+1)</f>
        <v/>
      </c>
      <c r="AC625" s="20">
        <f>IF($Z625="","",MOD($AA625-1,3)+1)</f>
        <v/>
      </c>
      <c r="AD625" s="20">
        <f>IF($Z625="","",Settings!$B$2+$AC625-1)</f>
        <v/>
      </c>
      <c r="AE625" s="21">
        <f>IF($Z625="C",DATE(YEAR(INDEX(Contracts!$J$2:$J$151,$AB625)),MONTH(INDEX(Contracts!$J$2:$J$151,$AB625)),1),IF($Z625="A",DATE(YEAR(INDEX(Fixed_Assets!$G$2:$G$201,$AB625)),MONTH(INDEX(Fixed_Assets!$G$2:$G$201,$AB625)),1),IF($Z625="F",DATE(YEAR(MAX(N(INDEX(Workforce!$I$2:$I$151,MATCH(INDEX(FTE_Allocation!$A$2:$A$201,$AB625),Workforce!$A$2:$A$151,0))),N(INDEX(FTE_Allocation!$I$2:$I$201,$AB625)))),MONTH(MAX(N(INDEX(Workforce!$I$2:$I$151,MATCH(INDEX(FTE_Allocation!$A$2:$A$201,$AB625),Workforce!$A$2:$A$151,0))),N(INDEX(FTE_Allocation!$I$2:$I$201,$AB625)))),1),"")))</f>
        <v/>
      </c>
      <c r="AF625" s="21">
        <f>IF($Z625="C",IF(INDEX(Contracts!$I$2:$I$151,$AB625)="PREPAID",EDATE(DATE(YEAR(INDEX(Contracts!$J$2:$J$151,$AB625)),MONTH(INDEX(Contracts!$J$2:$J$151,$AB625)),1),IF(INDEX(Contracts!$N$2:$N$151,$AB625)="",12,INDEX(Contracts!$N$2:$N$151,$AB625))-1),IF(INDEX(Contracts!$I$2:$I$151,$AB625)="MONTHLY",IF(INDEX(Contracts!$K$2:$K$151,$AB625)="",2958101,INDEX(Contracts!$K$2:$K$151,$AB625)),0)),IF($Z625="A",EDATE(DATE(YEAR(INDEX(Fixed_Assets!$G$2:$G$201,$AB625)),MONTH(INDEX(Fixed_Assets!$G$2:$G$201,$AB625)),1),INDEX(Fixed_Assets!$J$2:$J$201,$AB625)-1),IF($Z625="F",MIN(IF(INDEX(Workforce!$J$2:$J$151,MATCH(INDEX(FTE_Allocation!$A$2:$A$201,$AB625),Workforce!$A$2:$A$151,0))="",2958101,INDEX(Workforce!$J$2:$J$151,MATCH(INDEX(FTE_Allocation!$A$2:$A$201,$AB625),Workforce!$A$2:$A$151,0))),IF(INDEX(FTE_Allocation!$J$2:$J$201,$AB625)="",2958101,INDEX(FTE_Allocation!$J$2:$J$201,$AB625))),"")))</f>
        <v/>
      </c>
      <c r="AG625" s="19">
        <f>IF($Z625="C",IF(INDEX(Contracts!$I$2:$I$151,$AB625)="PREPAID",INDEX(Contracts!$M$2:$M$151,$AB625)/IF(INDEX(Contracts!$N$2:$N$151,$AB625)="",12,INDEX(Contracts!$N$2:$N$151,$AB625)),IF(INDEX(Contracts!$I$2:$I$151,$AB625)="MONTHLY",INDEX(Contracts!$M$2:$M$151,$AB625),0))*(1-N(INDEX(Contracts!$O$2:$O$151,$AB625))),IF($Z625="A",INDEX(Fixed_Assets!$H$2:$H$201,$AB625)/INDEX(Fixed_Assets!$J$2:$J$201,$AB625),IF($Z625="F",INDEX(Workforce!$F$2:$F$151,MATCH(INDEX(FTE_Allocation!$A$2:$A$201,$AB625),Workforce!$A$2:$A$151,0))*N(INDEX(FTE_Allocation!$F$2:$H$201,$AB625,$AC625)),"")))</f>
        <v/>
      </c>
    </row>
    <row r="626">
      <c r="A626" s="7">
        <f>IF($Z626="","",$AD626)</f>
        <v/>
      </c>
      <c r="B626" s="7">
        <f>IF($Z626="C",INDEX(Contracts!$D$2:$D$151,$AB626)&amp;"",IF($Z626="A",INDEX(Fixed_Assets!$C$2:$C$201,$AB626)&amp;"",IF($Z626="F",INDEX(Workforce!$B$2:$B$151,MATCH(INDEX(FTE_Allocation!$A$2:$A$201,$AB626),Workforce!$A$2:$A$151,0))&amp;"","")))</f>
        <v/>
      </c>
      <c r="C626" s="7">
        <f>IF($Z626="C",INDEX(Contracts!$E$2:$E$151,$AB626)&amp;"",IF($Z626="A",INDEX(Fixed_Assets!$D$2:$D$201,$AB626)&amp;"",IF($Z626="F",INDEX(FTE_Allocation!$C$2:$C$201,$AB626)&amp;"","")))</f>
        <v/>
      </c>
      <c r="D626" s="7">
        <f>IF($Z626="C",INDEX(Contracts!$B$2:$B$151,$AB626)&amp;"",IF($Z626="A",INDEX(Fixed_Assets!$B$2:$B$201,$AB626)&amp;"",IF($Z626="F",INDEX(FTE_Allocation!$B$2:$B$201,$AB626)&amp;"","")))</f>
        <v/>
      </c>
      <c r="E626" s="7">
        <f>IF($Z626="C",INDEX(Contracts!$P$2:$P$151,$AB626)&amp;"",IF($Z626="A",INDEX(Fixed_Assets!$K$2:$K$201,$AB626)&amp;"",IF($Z626="F",IF(INDEX(FTE_Allocation!$D$2:$D$201,$AB626)="PROJECT",IFERROR(INDEX(Projects!$D:$D,MATCH(INDEX(FTE_Allocation!$E$2:$E$201,$AB626),Projects!$A:$A,0))&amp;"","#PROJECT?"),INDEX(FTE_Allocation!$E$2:$E$201,$AB626)&amp;""),"")))</f>
        <v/>
      </c>
      <c r="F626" s="7">
        <f>IF($Z626="C",INDEX(Contracts!$Q$2:$Q$151,$AB626)&amp;"",IF($Z626="A",INDEX(Fixed_Assets!$L$2:$L$201,$AB626)&amp;"",IF($Z626="F",INDEX(Workforce!$K$2:$K$151,MATCH(INDEX(FTE_Allocation!$A$2:$A$201,$AB626),Workforce!$A$2:$A$151,0))&amp;"","")))</f>
        <v/>
      </c>
      <c r="G626" s="7">
        <f>IF($Z626="C",INDEX(Contracts!$F$2:$F$151,$AB626)&amp;" / "&amp;INDEX(Contracts!$G$2:$G$151,$AB626),IF($Z626="A",INDEX(Fixed_Assets!$E$2:$E$201,$AB626)&amp;"",IF($Z626="F","Personnel "&amp;INDEX(FTE_Allocation!$A$2:$A$201,$AB626)&amp;IF(INDEX(FTE_Allocation!$D$2:$D$201,$AB626)="PROJECT"," ("&amp;INDEX(FTE_Allocation!$E$2:$E$201,$AB626)&amp;")",""),"")))</f>
        <v/>
      </c>
      <c r="H626" s="7">
        <f>IF($Z626="C","CONTRACT",IF($Z626="A","ASSET",IF($Z626="F","WORKFORCE","")))</f>
        <v/>
      </c>
      <c r="I626" s="7">
        <f>IF($Z626="C",INDEX(Contracts!$L$2:$L$151,$AB626)&amp;"",IF($Z626="A",INDEX(Fixed_Assets!$I$2:$I$201,$AB626)&amp;"",IF($Z626="F",INDEX(Workforce!$G$2:$G$151,MATCH(INDEX(FTE_Allocation!$A$2:$A$201,$AB626),Workforce!$A$2:$A$151,0))&amp;"","")))</f>
        <v/>
      </c>
      <c r="J626" s="18">
        <f>IF($Z626="","",IF(AND(DATE($AD626,1,1)&gt;=$AE626,DATE($AD626,1,1)&lt;=$AF626),ROUND($AG626,2),0))</f>
        <v/>
      </c>
      <c r="K626" s="18">
        <f>IF($Z626="","",IF(AND(DATE($AD626,2,1)&gt;=$AE626,DATE($AD626,2,1)&lt;=$AF626),ROUND($AG626,2),0))</f>
        <v/>
      </c>
      <c r="L626" s="18">
        <f>IF($Z626="","",IF(AND(DATE($AD626,3,1)&gt;=$AE626,DATE($AD626,3,1)&lt;=$AF626),ROUND($AG626,2),0))</f>
        <v/>
      </c>
      <c r="M626" s="18">
        <f>IF($Z626="","",IF(AND(DATE($AD626,4,1)&gt;=$AE626,DATE($AD626,4,1)&lt;=$AF626),ROUND($AG626,2),0))</f>
        <v/>
      </c>
      <c r="N626" s="18">
        <f>IF($Z626="","",IF(AND(DATE($AD626,5,1)&gt;=$AE626,DATE($AD626,5,1)&lt;=$AF626),ROUND($AG626,2),0))</f>
        <v/>
      </c>
      <c r="O626" s="18">
        <f>IF($Z626="","",IF(AND(DATE($AD626,6,1)&gt;=$AE626,DATE($AD626,6,1)&lt;=$AF626),ROUND($AG626,2),0))</f>
        <v/>
      </c>
      <c r="P626" s="18">
        <f>IF($Z626="","",IF(AND(DATE($AD626,7,1)&gt;=$AE626,DATE($AD626,7,1)&lt;=$AF626),ROUND($AG626,2),0))</f>
        <v/>
      </c>
      <c r="Q626" s="18">
        <f>IF($Z626="","",IF(AND(DATE($AD626,8,1)&gt;=$AE626,DATE($AD626,8,1)&lt;=$AF626),ROUND($AG626,2),0))</f>
        <v/>
      </c>
      <c r="R626" s="18">
        <f>IF($Z626="","",IF(AND(DATE($AD626,9,1)&gt;=$AE626,DATE($AD626,9,1)&lt;=$AF626),ROUND($AG626,2),0))</f>
        <v/>
      </c>
      <c r="S626" s="18">
        <f>IF($Z626="","",IF(AND(DATE($AD626,10,1)&gt;=$AE626,DATE($AD626,10,1)&lt;=$AF626),ROUND($AG626,2),0))</f>
        <v/>
      </c>
      <c r="T626" s="18">
        <f>IF($Z626="","",IF(AND(DATE($AD626,11,1)&gt;=$AE626,DATE($AD626,11,1)&lt;=$AF626),ROUND($AG626,2),0))</f>
        <v/>
      </c>
      <c r="U626" s="18">
        <f>IF($Z626="","",IF(AND(DATE($AD626,12,1)&gt;=$AE626,DATE($AD626,12,1)&lt;=$AF626),ROUND($AG626,2),0))</f>
        <v/>
      </c>
      <c r="V626" s="7">
        <f>IF($Z626="C","Generated from "&amp;INDEX(Contracts!$A$2:$A$151,$AB626),IF($Z626="A","Generated from "&amp;INDEX(Fixed_Assets!$A$2:$A$201,$AB626),IF($Z626="F","Generated from "&amp;INDEX(FTE_Allocation!$A$2:$A$201,$AB626),"")))</f>
        <v/>
      </c>
      <c r="X626" s="19">
        <f>IF($Z626="","",SUM(J626:U626))</f>
        <v/>
      </c>
      <c r="Y626" s="20">
        <f>ROW()-1</f>
        <v/>
      </c>
      <c r="Z626" s="20">
        <f>IF($Y626&lt;=Settings!$B$4*3,"C",IF($Y626&lt;=(Settings!$B$4+Settings!$B$5)*3,"A",IF($Y626&lt;=(Settings!$B$4+Settings!$B$5+Settings!$B$6)*3,"F","")))</f>
        <v/>
      </c>
      <c r="AA626" s="20">
        <f>IF($Z626="C",$Y626,IF($Z626="A",$Y626-Settings!$B$4*3,IF($Z626="F",$Y626-(Settings!$B$4+Settings!$B$5)*3,"")))</f>
        <v/>
      </c>
      <c r="AB626" s="20">
        <f>IF($Z626="","",INT(($AA626-1)/3)+1)</f>
        <v/>
      </c>
      <c r="AC626" s="20">
        <f>IF($Z626="","",MOD($AA626-1,3)+1)</f>
        <v/>
      </c>
      <c r="AD626" s="20">
        <f>IF($Z626="","",Settings!$B$2+$AC626-1)</f>
        <v/>
      </c>
      <c r="AE626" s="21">
        <f>IF($Z626="C",DATE(YEAR(INDEX(Contracts!$J$2:$J$151,$AB626)),MONTH(INDEX(Contracts!$J$2:$J$151,$AB626)),1),IF($Z626="A",DATE(YEAR(INDEX(Fixed_Assets!$G$2:$G$201,$AB626)),MONTH(INDEX(Fixed_Assets!$G$2:$G$201,$AB626)),1),IF($Z626="F",DATE(YEAR(MAX(N(INDEX(Workforce!$I$2:$I$151,MATCH(INDEX(FTE_Allocation!$A$2:$A$201,$AB626),Workforce!$A$2:$A$151,0))),N(INDEX(FTE_Allocation!$I$2:$I$201,$AB626)))),MONTH(MAX(N(INDEX(Workforce!$I$2:$I$151,MATCH(INDEX(FTE_Allocation!$A$2:$A$201,$AB626),Workforce!$A$2:$A$151,0))),N(INDEX(FTE_Allocation!$I$2:$I$201,$AB626)))),1),"")))</f>
        <v/>
      </c>
      <c r="AF626" s="21">
        <f>IF($Z626="C",IF(INDEX(Contracts!$I$2:$I$151,$AB626)="PREPAID",EDATE(DATE(YEAR(INDEX(Contracts!$J$2:$J$151,$AB626)),MONTH(INDEX(Contracts!$J$2:$J$151,$AB626)),1),IF(INDEX(Contracts!$N$2:$N$151,$AB626)="",12,INDEX(Contracts!$N$2:$N$151,$AB626))-1),IF(INDEX(Contracts!$I$2:$I$151,$AB626)="MONTHLY",IF(INDEX(Contracts!$K$2:$K$151,$AB626)="",2958101,INDEX(Contracts!$K$2:$K$151,$AB626)),0)),IF($Z626="A",EDATE(DATE(YEAR(INDEX(Fixed_Assets!$G$2:$G$201,$AB626)),MONTH(INDEX(Fixed_Assets!$G$2:$G$201,$AB626)),1),INDEX(Fixed_Assets!$J$2:$J$201,$AB626)-1),IF($Z626="F",MIN(IF(INDEX(Workforce!$J$2:$J$151,MATCH(INDEX(FTE_Allocation!$A$2:$A$201,$AB626),Workforce!$A$2:$A$151,0))="",2958101,INDEX(Workforce!$J$2:$J$151,MATCH(INDEX(FTE_Allocation!$A$2:$A$201,$AB626),Workforce!$A$2:$A$151,0))),IF(INDEX(FTE_Allocation!$J$2:$J$201,$AB626)="",2958101,INDEX(FTE_Allocation!$J$2:$J$201,$AB626))),"")))</f>
        <v/>
      </c>
      <c r="AG626" s="19">
        <f>IF($Z626="C",IF(INDEX(Contracts!$I$2:$I$151,$AB626)="PREPAID",INDEX(Contracts!$M$2:$M$151,$AB626)/IF(INDEX(Contracts!$N$2:$N$151,$AB626)="",12,INDEX(Contracts!$N$2:$N$151,$AB626)),IF(INDEX(Contracts!$I$2:$I$151,$AB626)="MONTHLY",INDEX(Contracts!$M$2:$M$151,$AB626),0))*(1-N(INDEX(Contracts!$O$2:$O$151,$AB626))),IF($Z626="A",INDEX(Fixed_Assets!$H$2:$H$201,$AB626)/INDEX(Fixed_Assets!$J$2:$J$201,$AB626),IF($Z626="F",INDEX(Workforce!$F$2:$F$151,MATCH(INDEX(FTE_Allocation!$A$2:$A$201,$AB626),Workforce!$A$2:$A$151,0))*N(INDEX(FTE_Allocation!$F$2:$H$201,$AB626,$AC626)),"")))</f>
        <v/>
      </c>
    </row>
    <row r="627">
      <c r="A627" s="7">
        <f>IF($Z627="","",$AD627)</f>
        <v/>
      </c>
      <c r="B627" s="7">
        <f>IF($Z627="C",INDEX(Contracts!$D$2:$D$151,$AB627)&amp;"",IF($Z627="A",INDEX(Fixed_Assets!$C$2:$C$201,$AB627)&amp;"",IF($Z627="F",INDEX(Workforce!$B$2:$B$151,MATCH(INDEX(FTE_Allocation!$A$2:$A$201,$AB627),Workforce!$A$2:$A$151,0))&amp;"","")))</f>
        <v/>
      </c>
      <c r="C627" s="7">
        <f>IF($Z627="C",INDEX(Contracts!$E$2:$E$151,$AB627)&amp;"",IF($Z627="A",INDEX(Fixed_Assets!$D$2:$D$201,$AB627)&amp;"",IF($Z627="F",INDEX(FTE_Allocation!$C$2:$C$201,$AB627)&amp;"","")))</f>
        <v/>
      </c>
      <c r="D627" s="7">
        <f>IF($Z627="C",INDEX(Contracts!$B$2:$B$151,$AB627)&amp;"",IF($Z627="A",INDEX(Fixed_Assets!$B$2:$B$201,$AB627)&amp;"",IF($Z627="F",INDEX(FTE_Allocation!$B$2:$B$201,$AB627)&amp;"","")))</f>
        <v/>
      </c>
      <c r="E627" s="7">
        <f>IF($Z627="C",INDEX(Contracts!$P$2:$P$151,$AB627)&amp;"",IF($Z627="A",INDEX(Fixed_Assets!$K$2:$K$201,$AB627)&amp;"",IF($Z627="F",IF(INDEX(FTE_Allocation!$D$2:$D$201,$AB627)="PROJECT",IFERROR(INDEX(Projects!$D:$D,MATCH(INDEX(FTE_Allocation!$E$2:$E$201,$AB627),Projects!$A:$A,0))&amp;"","#PROJECT?"),INDEX(FTE_Allocation!$E$2:$E$201,$AB627)&amp;""),"")))</f>
        <v/>
      </c>
      <c r="F627" s="7">
        <f>IF($Z627="C",INDEX(Contracts!$Q$2:$Q$151,$AB627)&amp;"",IF($Z627="A",INDEX(Fixed_Assets!$L$2:$L$201,$AB627)&amp;"",IF($Z627="F",INDEX(Workforce!$K$2:$K$151,MATCH(INDEX(FTE_Allocation!$A$2:$A$201,$AB627),Workforce!$A$2:$A$151,0))&amp;"","")))</f>
        <v/>
      </c>
      <c r="G627" s="7">
        <f>IF($Z627="C",INDEX(Contracts!$F$2:$F$151,$AB627)&amp;" / "&amp;INDEX(Contracts!$G$2:$G$151,$AB627),IF($Z627="A",INDEX(Fixed_Assets!$E$2:$E$201,$AB627)&amp;"",IF($Z627="F","Personnel "&amp;INDEX(FTE_Allocation!$A$2:$A$201,$AB627)&amp;IF(INDEX(FTE_Allocation!$D$2:$D$201,$AB627)="PROJECT"," ("&amp;INDEX(FTE_Allocation!$E$2:$E$201,$AB627)&amp;")",""),"")))</f>
        <v/>
      </c>
      <c r="H627" s="7">
        <f>IF($Z627="C","CONTRACT",IF($Z627="A","ASSET",IF($Z627="F","WORKFORCE","")))</f>
        <v/>
      </c>
      <c r="I627" s="7">
        <f>IF($Z627="C",INDEX(Contracts!$L$2:$L$151,$AB627)&amp;"",IF($Z627="A",INDEX(Fixed_Assets!$I$2:$I$201,$AB627)&amp;"",IF($Z627="F",INDEX(Workforce!$G$2:$G$151,MATCH(INDEX(FTE_Allocation!$A$2:$A$201,$AB627),Workforce!$A$2:$A$151,0))&amp;"","")))</f>
        <v/>
      </c>
      <c r="J627" s="18">
        <f>IF($Z627="","",IF(AND(DATE($AD627,1,1)&gt;=$AE627,DATE($AD627,1,1)&lt;=$AF627),ROUND($AG627,2),0))</f>
        <v/>
      </c>
      <c r="K627" s="18">
        <f>IF($Z627="","",IF(AND(DATE($AD627,2,1)&gt;=$AE627,DATE($AD627,2,1)&lt;=$AF627),ROUND($AG627,2),0))</f>
        <v/>
      </c>
      <c r="L627" s="18">
        <f>IF($Z627="","",IF(AND(DATE($AD627,3,1)&gt;=$AE627,DATE($AD627,3,1)&lt;=$AF627),ROUND($AG627,2),0))</f>
        <v/>
      </c>
      <c r="M627" s="18">
        <f>IF($Z627="","",IF(AND(DATE($AD627,4,1)&gt;=$AE627,DATE($AD627,4,1)&lt;=$AF627),ROUND($AG627,2),0))</f>
        <v/>
      </c>
      <c r="N627" s="18">
        <f>IF($Z627="","",IF(AND(DATE($AD627,5,1)&gt;=$AE627,DATE($AD627,5,1)&lt;=$AF627),ROUND($AG627,2),0))</f>
        <v/>
      </c>
      <c r="O627" s="18">
        <f>IF($Z627="","",IF(AND(DATE($AD627,6,1)&gt;=$AE627,DATE($AD627,6,1)&lt;=$AF627),ROUND($AG627,2),0))</f>
        <v/>
      </c>
      <c r="P627" s="18">
        <f>IF($Z627="","",IF(AND(DATE($AD627,7,1)&gt;=$AE627,DATE($AD627,7,1)&lt;=$AF627),ROUND($AG627,2),0))</f>
        <v/>
      </c>
      <c r="Q627" s="18">
        <f>IF($Z627="","",IF(AND(DATE($AD627,8,1)&gt;=$AE627,DATE($AD627,8,1)&lt;=$AF627),ROUND($AG627,2),0))</f>
        <v/>
      </c>
      <c r="R627" s="18">
        <f>IF($Z627="","",IF(AND(DATE($AD627,9,1)&gt;=$AE627,DATE($AD627,9,1)&lt;=$AF627),ROUND($AG627,2),0))</f>
        <v/>
      </c>
      <c r="S627" s="18">
        <f>IF($Z627="","",IF(AND(DATE($AD627,10,1)&gt;=$AE627,DATE($AD627,10,1)&lt;=$AF627),ROUND($AG627,2),0))</f>
        <v/>
      </c>
      <c r="T627" s="18">
        <f>IF($Z627="","",IF(AND(DATE($AD627,11,1)&gt;=$AE627,DATE($AD627,11,1)&lt;=$AF627),ROUND($AG627,2),0))</f>
        <v/>
      </c>
      <c r="U627" s="18">
        <f>IF($Z627="","",IF(AND(DATE($AD627,12,1)&gt;=$AE627,DATE($AD627,12,1)&lt;=$AF627),ROUND($AG627,2),0))</f>
        <v/>
      </c>
      <c r="V627" s="7">
        <f>IF($Z627="C","Generated from "&amp;INDEX(Contracts!$A$2:$A$151,$AB627),IF($Z627="A","Generated from "&amp;INDEX(Fixed_Assets!$A$2:$A$201,$AB627),IF($Z627="F","Generated from "&amp;INDEX(FTE_Allocation!$A$2:$A$201,$AB627),"")))</f>
        <v/>
      </c>
      <c r="X627" s="19">
        <f>IF($Z627="","",SUM(J627:U627))</f>
        <v/>
      </c>
      <c r="Y627" s="20">
        <f>ROW()-1</f>
        <v/>
      </c>
      <c r="Z627" s="20">
        <f>IF($Y627&lt;=Settings!$B$4*3,"C",IF($Y627&lt;=(Settings!$B$4+Settings!$B$5)*3,"A",IF($Y627&lt;=(Settings!$B$4+Settings!$B$5+Settings!$B$6)*3,"F","")))</f>
        <v/>
      </c>
      <c r="AA627" s="20">
        <f>IF($Z627="C",$Y627,IF($Z627="A",$Y627-Settings!$B$4*3,IF($Z627="F",$Y627-(Settings!$B$4+Settings!$B$5)*3,"")))</f>
        <v/>
      </c>
      <c r="AB627" s="20">
        <f>IF($Z627="","",INT(($AA627-1)/3)+1)</f>
        <v/>
      </c>
      <c r="AC627" s="20">
        <f>IF($Z627="","",MOD($AA627-1,3)+1)</f>
        <v/>
      </c>
      <c r="AD627" s="20">
        <f>IF($Z627="","",Settings!$B$2+$AC627-1)</f>
        <v/>
      </c>
      <c r="AE627" s="21">
        <f>IF($Z627="C",DATE(YEAR(INDEX(Contracts!$J$2:$J$151,$AB627)),MONTH(INDEX(Contracts!$J$2:$J$151,$AB627)),1),IF($Z627="A",DATE(YEAR(INDEX(Fixed_Assets!$G$2:$G$201,$AB627)),MONTH(INDEX(Fixed_Assets!$G$2:$G$201,$AB627)),1),IF($Z627="F",DATE(YEAR(MAX(N(INDEX(Workforce!$I$2:$I$151,MATCH(INDEX(FTE_Allocation!$A$2:$A$201,$AB627),Workforce!$A$2:$A$151,0))),N(INDEX(FTE_Allocation!$I$2:$I$201,$AB627)))),MONTH(MAX(N(INDEX(Workforce!$I$2:$I$151,MATCH(INDEX(FTE_Allocation!$A$2:$A$201,$AB627),Workforce!$A$2:$A$151,0))),N(INDEX(FTE_Allocation!$I$2:$I$201,$AB627)))),1),"")))</f>
        <v/>
      </c>
      <c r="AF627" s="21">
        <f>IF($Z627="C",IF(INDEX(Contracts!$I$2:$I$151,$AB627)="PREPAID",EDATE(DATE(YEAR(INDEX(Contracts!$J$2:$J$151,$AB627)),MONTH(INDEX(Contracts!$J$2:$J$151,$AB627)),1),IF(INDEX(Contracts!$N$2:$N$151,$AB627)="",12,INDEX(Contracts!$N$2:$N$151,$AB627))-1),IF(INDEX(Contracts!$I$2:$I$151,$AB627)="MONTHLY",IF(INDEX(Contracts!$K$2:$K$151,$AB627)="",2958101,INDEX(Contracts!$K$2:$K$151,$AB627)),0)),IF($Z627="A",EDATE(DATE(YEAR(INDEX(Fixed_Assets!$G$2:$G$201,$AB627)),MONTH(INDEX(Fixed_Assets!$G$2:$G$201,$AB627)),1),INDEX(Fixed_Assets!$J$2:$J$201,$AB627)-1),IF($Z627="F",MIN(IF(INDEX(Workforce!$J$2:$J$151,MATCH(INDEX(FTE_Allocation!$A$2:$A$201,$AB627),Workforce!$A$2:$A$151,0))="",2958101,INDEX(Workforce!$J$2:$J$151,MATCH(INDEX(FTE_Allocation!$A$2:$A$201,$AB627),Workforce!$A$2:$A$151,0))),IF(INDEX(FTE_Allocation!$J$2:$J$201,$AB627)="",2958101,INDEX(FTE_Allocation!$J$2:$J$201,$AB627))),"")))</f>
        <v/>
      </c>
      <c r="AG627" s="19">
        <f>IF($Z627="C",IF(INDEX(Contracts!$I$2:$I$151,$AB627)="PREPAID",INDEX(Contracts!$M$2:$M$151,$AB627)/IF(INDEX(Contracts!$N$2:$N$151,$AB627)="",12,INDEX(Contracts!$N$2:$N$151,$AB627)),IF(INDEX(Contracts!$I$2:$I$151,$AB627)="MONTHLY",INDEX(Contracts!$M$2:$M$151,$AB627),0))*(1-N(INDEX(Contracts!$O$2:$O$151,$AB627))),IF($Z627="A",INDEX(Fixed_Assets!$H$2:$H$201,$AB627)/INDEX(Fixed_Assets!$J$2:$J$201,$AB627),IF($Z627="F",INDEX(Workforce!$F$2:$F$151,MATCH(INDEX(FTE_Allocation!$A$2:$A$201,$AB627),Workforce!$A$2:$A$151,0))*N(INDEX(FTE_Allocation!$F$2:$H$201,$AB627,$AC627)),"")))</f>
        <v/>
      </c>
    </row>
    <row r="628">
      <c r="A628" s="7">
        <f>IF($Z628="","",$AD628)</f>
        <v/>
      </c>
      <c r="B628" s="7">
        <f>IF($Z628="C",INDEX(Contracts!$D$2:$D$151,$AB628)&amp;"",IF($Z628="A",INDEX(Fixed_Assets!$C$2:$C$201,$AB628)&amp;"",IF($Z628="F",INDEX(Workforce!$B$2:$B$151,MATCH(INDEX(FTE_Allocation!$A$2:$A$201,$AB628),Workforce!$A$2:$A$151,0))&amp;"","")))</f>
        <v/>
      </c>
      <c r="C628" s="7">
        <f>IF($Z628="C",INDEX(Contracts!$E$2:$E$151,$AB628)&amp;"",IF($Z628="A",INDEX(Fixed_Assets!$D$2:$D$201,$AB628)&amp;"",IF($Z628="F",INDEX(FTE_Allocation!$C$2:$C$201,$AB628)&amp;"","")))</f>
        <v/>
      </c>
      <c r="D628" s="7">
        <f>IF($Z628="C",INDEX(Contracts!$B$2:$B$151,$AB628)&amp;"",IF($Z628="A",INDEX(Fixed_Assets!$B$2:$B$201,$AB628)&amp;"",IF($Z628="F",INDEX(FTE_Allocation!$B$2:$B$201,$AB628)&amp;"","")))</f>
        <v/>
      </c>
      <c r="E628" s="7">
        <f>IF($Z628="C",INDEX(Contracts!$P$2:$P$151,$AB628)&amp;"",IF($Z628="A",INDEX(Fixed_Assets!$K$2:$K$201,$AB628)&amp;"",IF($Z628="F",IF(INDEX(FTE_Allocation!$D$2:$D$201,$AB628)="PROJECT",IFERROR(INDEX(Projects!$D:$D,MATCH(INDEX(FTE_Allocation!$E$2:$E$201,$AB628),Projects!$A:$A,0))&amp;"","#PROJECT?"),INDEX(FTE_Allocation!$E$2:$E$201,$AB628)&amp;""),"")))</f>
        <v/>
      </c>
      <c r="F628" s="7">
        <f>IF($Z628="C",INDEX(Contracts!$Q$2:$Q$151,$AB628)&amp;"",IF($Z628="A",INDEX(Fixed_Assets!$L$2:$L$201,$AB628)&amp;"",IF($Z628="F",INDEX(Workforce!$K$2:$K$151,MATCH(INDEX(FTE_Allocation!$A$2:$A$201,$AB628),Workforce!$A$2:$A$151,0))&amp;"","")))</f>
        <v/>
      </c>
      <c r="G628" s="7">
        <f>IF($Z628="C",INDEX(Contracts!$F$2:$F$151,$AB628)&amp;" / "&amp;INDEX(Contracts!$G$2:$G$151,$AB628),IF($Z628="A",INDEX(Fixed_Assets!$E$2:$E$201,$AB628)&amp;"",IF($Z628="F","Personnel "&amp;INDEX(FTE_Allocation!$A$2:$A$201,$AB628)&amp;IF(INDEX(FTE_Allocation!$D$2:$D$201,$AB628)="PROJECT"," ("&amp;INDEX(FTE_Allocation!$E$2:$E$201,$AB628)&amp;")",""),"")))</f>
        <v/>
      </c>
      <c r="H628" s="7">
        <f>IF($Z628="C","CONTRACT",IF($Z628="A","ASSET",IF($Z628="F","WORKFORCE","")))</f>
        <v/>
      </c>
      <c r="I628" s="7">
        <f>IF($Z628="C",INDEX(Contracts!$L$2:$L$151,$AB628)&amp;"",IF($Z628="A",INDEX(Fixed_Assets!$I$2:$I$201,$AB628)&amp;"",IF($Z628="F",INDEX(Workforce!$G$2:$G$151,MATCH(INDEX(FTE_Allocation!$A$2:$A$201,$AB628),Workforce!$A$2:$A$151,0))&amp;"","")))</f>
        <v/>
      </c>
      <c r="J628" s="18">
        <f>IF($Z628="","",IF(AND(DATE($AD628,1,1)&gt;=$AE628,DATE($AD628,1,1)&lt;=$AF628),ROUND($AG628,2),0))</f>
        <v/>
      </c>
      <c r="K628" s="18">
        <f>IF($Z628="","",IF(AND(DATE($AD628,2,1)&gt;=$AE628,DATE($AD628,2,1)&lt;=$AF628),ROUND($AG628,2),0))</f>
        <v/>
      </c>
      <c r="L628" s="18">
        <f>IF($Z628="","",IF(AND(DATE($AD628,3,1)&gt;=$AE628,DATE($AD628,3,1)&lt;=$AF628),ROUND($AG628,2),0))</f>
        <v/>
      </c>
      <c r="M628" s="18">
        <f>IF($Z628="","",IF(AND(DATE($AD628,4,1)&gt;=$AE628,DATE($AD628,4,1)&lt;=$AF628),ROUND($AG628,2),0))</f>
        <v/>
      </c>
      <c r="N628" s="18">
        <f>IF($Z628="","",IF(AND(DATE($AD628,5,1)&gt;=$AE628,DATE($AD628,5,1)&lt;=$AF628),ROUND($AG628,2),0))</f>
        <v/>
      </c>
      <c r="O628" s="18">
        <f>IF($Z628="","",IF(AND(DATE($AD628,6,1)&gt;=$AE628,DATE($AD628,6,1)&lt;=$AF628),ROUND($AG628,2),0))</f>
        <v/>
      </c>
      <c r="P628" s="18">
        <f>IF($Z628="","",IF(AND(DATE($AD628,7,1)&gt;=$AE628,DATE($AD628,7,1)&lt;=$AF628),ROUND($AG628,2),0))</f>
        <v/>
      </c>
      <c r="Q628" s="18">
        <f>IF($Z628="","",IF(AND(DATE($AD628,8,1)&gt;=$AE628,DATE($AD628,8,1)&lt;=$AF628),ROUND($AG628,2),0))</f>
        <v/>
      </c>
      <c r="R628" s="18">
        <f>IF($Z628="","",IF(AND(DATE($AD628,9,1)&gt;=$AE628,DATE($AD628,9,1)&lt;=$AF628),ROUND($AG628,2),0))</f>
        <v/>
      </c>
      <c r="S628" s="18">
        <f>IF($Z628="","",IF(AND(DATE($AD628,10,1)&gt;=$AE628,DATE($AD628,10,1)&lt;=$AF628),ROUND($AG628,2),0))</f>
        <v/>
      </c>
      <c r="T628" s="18">
        <f>IF($Z628="","",IF(AND(DATE($AD628,11,1)&gt;=$AE628,DATE($AD628,11,1)&lt;=$AF628),ROUND($AG628,2),0))</f>
        <v/>
      </c>
      <c r="U628" s="18">
        <f>IF($Z628="","",IF(AND(DATE($AD628,12,1)&gt;=$AE628,DATE($AD628,12,1)&lt;=$AF628),ROUND($AG628,2),0))</f>
        <v/>
      </c>
      <c r="V628" s="7">
        <f>IF($Z628="C","Generated from "&amp;INDEX(Contracts!$A$2:$A$151,$AB628),IF($Z628="A","Generated from "&amp;INDEX(Fixed_Assets!$A$2:$A$201,$AB628),IF($Z628="F","Generated from "&amp;INDEX(FTE_Allocation!$A$2:$A$201,$AB628),"")))</f>
        <v/>
      </c>
      <c r="X628" s="19">
        <f>IF($Z628="","",SUM(J628:U628))</f>
        <v/>
      </c>
      <c r="Y628" s="20">
        <f>ROW()-1</f>
        <v/>
      </c>
      <c r="Z628" s="20">
        <f>IF($Y628&lt;=Settings!$B$4*3,"C",IF($Y628&lt;=(Settings!$B$4+Settings!$B$5)*3,"A",IF($Y628&lt;=(Settings!$B$4+Settings!$B$5+Settings!$B$6)*3,"F","")))</f>
        <v/>
      </c>
      <c r="AA628" s="20">
        <f>IF($Z628="C",$Y628,IF($Z628="A",$Y628-Settings!$B$4*3,IF($Z628="F",$Y628-(Settings!$B$4+Settings!$B$5)*3,"")))</f>
        <v/>
      </c>
      <c r="AB628" s="20">
        <f>IF($Z628="","",INT(($AA628-1)/3)+1)</f>
        <v/>
      </c>
      <c r="AC628" s="20">
        <f>IF($Z628="","",MOD($AA628-1,3)+1)</f>
        <v/>
      </c>
      <c r="AD628" s="20">
        <f>IF($Z628="","",Settings!$B$2+$AC628-1)</f>
        <v/>
      </c>
      <c r="AE628" s="21">
        <f>IF($Z628="C",DATE(YEAR(INDEX(Contracts!$J$2:$J$151,$AB628)),MONTH(INDEX(Contracts!$J$2:$J$151,$AB628)),1),IF($Z628="A",DATE(YEAR(INDEX(Fixed_Assets!$G$2:$G$201,$AB628)),MONTH(INDEX(Fixed_Assets!$G$2:$G$201,$AB628)),1),IF($Z628="F",DATE(YEAR(MAX(N(INDEX(Workforce!$I$2:$I$151,MATCH(INDEX(FTE_Allocation!$A$2:$A$201,$AB628),Workforce!$A$2:$A$151,0))),N(INDEX(FTE_Allocation!$I$2:$I$201,$AB628)))),MONTH(MAX(N(INDEX(Workforce!$I$2:$I$151,MATCH(INDEX(FTE_Allocation!$A$2:$A$201,$AB628),Workforce!$A$2:$A$151,0))),N(INDEX(FTE_Allocation!$I$2:$I$201,$AB628)))),1),"")))</f>
        <v/>
      </c>
      <c r="AF628" s="21">
        <f>IF($Z628="C",IF(INDEX(Contracts!$I$2:$I$151,$AB628)="PREPAID",EDATE(DATE(YEAR(INDEX(Contracts!$J$2:$J$151,$AB628)),MONTH(INDEX(Contracts!$J$2:$J$151,$AB628)),1),IF(INDEX(Contracts!$N$2:$N$151,$AB628)="",12,INDEX(Contracts!$N$2:$N$151,$AB628))-1),IF(INDEX(Contracts!$I$2:$I$151,$AB628)="MONTHLY",IF(INDEX(Contracts!$K$2:$K$151,$AB628)="",2958101,INDEX(Contracts!$K$2:$K$151,$AB628)),0)),IF($Z628="A",EDATE(DATE(YEAR(INDEX(Fixed_Assets!$G$2:$G$201,$AB628)),MONTH(INDEX(Fixed_Assets!$G$2:$G$201,$AB628)),1),INDEX(Fixed_Assets!$J$2:$J$201,$AB628)-1),IF($Z628="F",MIN(IF(INDEX(Workforce!$J$2:$J$151,MATCH(INDEX(FTE_Allocation!$A$2:$A$201,$AB628),Workforce!$A$2:$A$151,0))="",2958101,INDEX(Workforce!$J$2:$J$151,MATCH(INDEX(FTE_Allocation!$A$2:$A$201,$AB628),Workforce!$A$2:$A$151,0))),IF(INDEX(FTE_Allocation!$J$2:$J$201,$AB628)="",2958101,INDEX(FTE_Allocation!$J$2:$J$201,$AB628))),"")))</f>
        <v/>
      </c>
      <c r="AG628" s="19">
        <f>IF($Z628="C",IF(INDEX(Contracts!$I$2:$I$151,$AB628)="PREPAID",INDEX(Contracts!$M$2:$M$151,$AB628)/IF(INDEX(Contracts!$N$2:$N$151,$AB628)="",12,INDEX(Contracts!$N$2:$N$151,$AB628)),IF(INDEX(Contracts!$I$2:$I$151,$AB628)="MONTHLY",INDEX(Contracts!$M$2:$M$151,$AB628),0))*(1-N(INDEX(Contracts!$O$2:$O$151,$AB628))),IF($Z628="A",INDEX(Fixed_Assets!$H$2:$H$201,$AB628)/INDEX(Fixed_Assets!$J$2:$J$201,$AB628),IF($Z628="F",INDEX(Workforce!$F$2:$F$151,MATCH(INDEX(FTE_Allocation!$A$2:$A$201,$AB628),Workforce!$A$2:$A$151,0))*N(INDEX(FTE_Allocation!$F$2:$H$201,$AB628,$AC628)),"")))</f>
        <v/>
      </c>
    </row>
    <row r="629">
      <c r="A629" s="7">
        <f>IF($Z629="","",$AD629)</f>
        <v/>
      </c>
      <c r="B629" s="7">
        <f>IF($Z629="C",INDEX(Contracts!$D$2:$D$151,$AB629)&amp;"",IF($Z629="A",INDEX(Fixed_Assets!$C$2:$C$201,$AB629)&amp;"",IF($Z629="F",INDEX(Workforce!$B$2:$B$151,MATCH(INDEX(FTE_Allocation!$A$2:$A$201,$AB629),Workforce!$A$2:$A$151,0))&amp;"","")))</f>
        <v/>
      </c>
      <c r="C629" s="7">
        <f>IF($Z629="C",INDEX(Contracts!$E$2:$E$151,$AB629)&amp;"",IF($Z629="A",INDEX(Fixed_Assets!$D$2:$D$201,$AB629)&amp;"",IF($Z629="F",INDEX(FTE_Allocation!$C$2:$C$201,$AB629)&amp;"","")))</f>
        <v/>
      </c>
      <c r="D629" s="7">
        <f>IF($Z629="C",INDEX(Contracts!$B$2:$B$151,$AB629)&amp;"",IF($Z629="A",INDEX(Fixed_Assets!$B$2:$B$201,$AB629)&amp;"",IF($Z629="F",INDEX(FTE_Allocation!$B$2:$B$201,$AB629)&amp;"","")))</f>
        <v/>
      </c>
      <c r="E629" s="7">
        <f>IF($Z629="C",INDEX(Contracts!$P$2:$P$151,$AB629)&amp;"",IF($Z629="A",INDEX(Fixed_Assets!$K$2:$K$201,$AB629)&amp;"",IF($Z629="F",IF(INDEX(FTE_Allocation!$D$2:$D$201,$AB629)="PROJECT",IFERROR(INDEX(Projects!$D:$D,MATCH(INDEX(FTE_Allocation!$E$2:$E$201,$AB629),Projects!$A:$A,0))&amp;"","#PROJECT?"),INDEX(FTE_Allocation!$E$2:$E$201,$AB629)&amp;""),"")))</f>
        <v/>
      </c>
      <c r="F629" s="7">
        <f>IF($Z629="C",INDEX(Contracts!$Q$2:$Q$151,$AB629)&amp;"",IF($Z629="A",INDEX(Fixed_Assets!$L$2:$L$201,$AB629)&amp;"",IF($Z629="F",INDEX(Workforce!$K$2:$K$151,MATCH(INDEX(FTE_Allocation!$A$2:$A$201,$AB629),Workforce!$A$2:$A$151,0))&amp;"","")))</f>
        <v/>
      </c>
      <c r="G629" s="7">
        <f>IF($Z629="C",INDEX(Contracts!$F$2:$F$151,$AB629)&amp;" / "&amp;INDEX(Contracts!$G$2:$G$151,$AB629),IF($Z629="A",INDEX(Fixed_Assets!$E$2:$E$201,$AB629)&amp;"",IF($Z629="F","Personnel "&amp;INDEX(FTE_Allocation!$A$2:$A$201,$AB629)&amp;IF(INDEX(FTE_Allocation!$D$2:$D$201,$AB629)="PROJECT"," ("&amp;INDEX(FTE_Allocation!$E$2:$E$201,$AB629)&amp;")",""),"")))</f>
        <v/>
      </c>
      <c r="H629" s="7">
        <f>IF($Z629="C","CONTRACT",IF($Z629="A","ASSET",IF($Z629="F","WORKFORCE","")))</f>
        <v/>
      </c>
      <c r="I629" s="7">
        <f>IF($Z629="C",INDEX(Contracts!$L$2:$L$151,$AB629)&amp;"",IF($Z629="A",INDEX(Fixed_Assets!$I$2:$I$201,$AB629)&amp;"",IF($Z629="F",INDEX(Workforce!$G$2:$G$151,MATCH(INDEX(FTE_Allocation!$A$2:$A$201,$AB629),Workforce!$A$2:$A$151,0))&amp;"","")))</f>
        <v/>
      </c>
      <c r="J629" s="18">
        <f>IF($Z629="","",IF(AND(DATE($AD629,1,1)&gt;=$AE629,DATE($AD629,1,1)&lt;=$AF629),ROUND($AG629,2),0))</f>
        <v/>
      </c>
      <c r="K629" s="18">
        <f>IF($Z629="","",IF(AND(DATE($AD629,2,1)&gt;=$AE629,DATE($AD629,2,1)&lt;=$AF629),ROUND($AG629,2),0))</f>
        <v/>
      </c>
      <c r="L629" s="18">
        <f>IF($Z629="","",IF(AND(DATE($AD629,3,1)&gt;=$AE629,DATE($AD629,3,1)&lt;=$AF629),ROUND($AG629,2),0))</f>
        <v/>
      </c>
      <c r="M629" s="18">
        <f>IF($Z629="","",IF(AND(DATE($AD629,4,1)&gt;=$AE629,DATE($AD629,4,1)&lt;=$AF629),ROUND($AG629,2),0))</f>
        <v/>
      </c>
      <c r="N629" s="18">
        <f>IF($Z629="","",IF(AND(DATE($AD629,5,1)&gt;=$AE629,DATE($AD629,5,1)&lt;=$AF629),ROUND($AG629,2),0))</f>
        <v/>
      </c>
      <c r="O629" s="18">
        <f>IF($Z629="","",IF(AND(DATE($AD629,6,1)&gt;=$AE629,DATE($AD629,6,1)&lt;=$AF629),ROUND($AG629,2),0))</f>
        <v/>
      </c>
      <c r="P629" s="18">
        <f>IF($Z629="","",IF(AND(DATE($AD629,7,1)&gt;=$AE629,DATE($AD629,7,1)&lt;=$AF629),ROUND($AG629,2),0))</f>
        <v/>
      </c>
      <c r="Q629" s="18">
        <f>IF($Z629="","",IF(AND(DATE($AD629,8,1)&gt;=$AE629,DATE($AD629,8,1)&lt;=$AF629),ROUND($AG629,2),0))</f>
        <v/>
      </c>
      <c r="R629" s="18">
        <f>IF($Z629="","",IF(AND(DATE($AD629,9,1)&gt;=$AE629,DATE($AD629,9,1)&lt;=$AF629),ROUND($AG629,2),0))</f>
        <v/>
      </c>
      <c r="S629" s="18">
        <f>IF($Z629="","",IF(AND(DATE($AD629,10,1)&gt;=$AE629,DATE($AD629,10,1)&lt;=$AF629),ROUND($AG629,2),0))</f>
        <v/>
      </c>
      <c r="T629" s="18">
        <f>IF($Z629="","",IF(AND(DATE($AD629,11,1)&gt;=$AE629,DATE($AD629,11,1)&lt;=$AF629),ROUND($AG629,2),0))</f>
        <v/>
      </c>
      <c r="U629" s="18">
        <f>IF($Z629="","",IF(AND(DATE($AD629,12,1)&gt;=$AE629,DATE($AD629,12,1)&lt;=$AF629),ROUND($AG629,2),0))</f>
        <v/>
      </c>
      <c r="V629" s="7">
        <f>IF($Z629="C","Generated from "&amp;INDEX(Contracts!$A$2:$A$151,$AB629),IF($Z629="A","Generated from "&amp;INDEX(Fixed_Assets!$A$2:$A$201,$AB629),IF($Z629="F","Generated from "&amp;INDEX(FTE_Allocation!$A$2:$A$201,$AB629),"")))</f>
        <v/>
      </c>
      <c r="X629" s="19">
        <f>IF($Z629="","",SUM(J629:U629))</f>
        <v/>
      </c>
      <c r="Y629" s="20">
        <f>ROW()-1</f>
        <v/>
      </c>
      <c r="Z629" s="20">
        <f>IF($Y629&lt;=Settings!$B$4*3,"C",IF($Y629&lt;=(Settings!$B$4+Settings!$B$5)*3,"A",IF($Y629&lt;=(Settings!$B$4+Settings!$B$5+Settings!$B$6)*3,"F","")))</f>
        <v/>
      </c>
      <c r="AA629" s="20">
        <f>IF($Z629="C",$Y629,IF($Z629="A",$Y629-Settings!$B$4*3,IF($Z629="F",$Y629-(Settings!$B$4+Settings!$B$5)*3,"")))</f>
        <v/>
      </c>
      <c r="AB629" s="20">
        <f>IF($Z629="","",INT(($AA629-1)/3)+1)</f>
        <v/>
      </c>
      <c r="AC629" s="20">
        <f>IF($Z629="","",MOD($AA629-1,3)+1)</f>
        <v/>
      </c>
      <c r="AD629" s="20">
        <f>IF($Z629="","",Settings!$B$2+$AC629-1)</f>
        <v/>
      </c>
      <c r="AE629" s="21">
        <f>IF($Z629="C",DATE(YEAR(INDEX(Contracts!$J$2:$J$151,$AB629)),MONTH(INDEX(Contracts!$J$2:$J$151,$AB629)),1),IF($Z629="A",DATE(YEAR(INDEX(Fixed_Assets!$G$2:$G$201,$AB629)),MONTH(INDEX(Fixed_Assets!$G$2:$G$201,$AB629)),1),IF($Z629="F",DATE(YEAR(MAX(N(INDEX(Workforce!$I$2:$I$151,MATCH(INDEX(FTE_Allocation!$A$2:$A$201,$AB629),Workforce!$A$2:$A$151,0))),N(INDEX(FTE_Allocation!$I$2:$I$201,$AB629)))),MONTH(MAX(N(INDEX(Workforce!$I$2:$I$151,MATCH(INDEX(FTE_Allocation!$A$2:$A$201,$AB629),Workforce!$A$2:$A$151,0))),N(INDEX(FTE_Allocation!$I$2:$I$201,$AB629)))),1),"")))</f>
        <v/>
      </c>
      <c r="AF629" s="21">
        <f>IF($Z629="C",IF(INDEX(Contracts!$I$2:$I$151,$AB629)="PREPAID",EDATE(DATE(YEAR(INDEX(Contracts!$J$2:$J$151,$AB629)),MONTH(INDEX(Contracts!$J$2:$J$151,$AB629)),1),IF(INDEX(Contracts!$N$2:$N$151,$AB629)="",12,INDEX(Contracts!$N$2:$N$151,$AB629))-1),IF(INDEX(Contracts!$I$2:$I$151,$AB629)="MONTHLY",IF(INDEX(Contracts!$K$2:$K$151,$AB629)="",2958101,INDEX(Contracts!$K$2:$K$151,$AB629)),0)),IF($Z629="A",EDATE(DATE(YEAR(INDEX(Fixed_Assets!$G$2:$G$201,$AB629)),MONTH(INDEX(Fixed_Assets!$G$2:$G$201,$AB629)),1),INDEX(Fixed_Assets!$J$2:$J$201,$AB629)-1),IF($Z629="F",MIN(IF(INDEX(Workforce!$J$2:$J$151,MATCH(INDEX(FTE_Allocation!$A$2:$A$201,$AB629),Workforce!$A$2:$A$151,0))="",2958101,INDEX(Workforce!$J$2:$J$151,MATCH(INDEX(FTE_Allocation!$A$2:$A$201,$AB629),Workforce!$A$2:$A$151,0))),IF(INDEX(FTE_Allocation!$J$2:$J$201,$AB629)="",2958101,INDEX(FTE_Allocation!$J$2:$J$201,$AB629))),"")))</f>
        <v/>
      </c>
      <c r="AG629" s="19">
        <f>IF($Z629="C",IF(INDEX(Contracts!$I$2:$I$151,$AB629)="PREPAID",INDEX(Contracts!$M$2:$M$151,$AB629)/IF(INDEX(Contracts!$N$2:$N$151,$AB629)="",12,INDEX(Contracts!$N$2:$N$151,$AB629)),IF(INDEX(Contracts!$I$2:$I$151,$AB629)="MONTHLY",INDEX(Contracts!$M$2:$M$151,$AB629),0))*(1-N(INDEX(Contracts!$O$2:$O$151,$AB629))),IF($Z629="A",INDEX(Fixed_Assets!$H$2:$H$201,$AB629)/INDEX(Fixed_Assets!$J$2:$J$201,$AB629),IF($Z629="F",INDEX(Workforce!$F$2:$F$151,MATCH(INDEX(FTE_Allocation!$A$2:$A$201,$AB629),Workforce!$A$2:$A$151,0))*N(INDEX(FTE_Allocation!$F$2:$H$201,$AB629,$AC629)),"")))</f>
        <v/>
      </c>
    </row>
    <row r="630">
      <c r="A630" s="7">
        <f>IF($Z630="","",$AD630)</f>
        <v/>
      </c>
      <c r="B630" s="7">
        <f>IF($Z630="C",INDEX(Contracts!$D$2:$D$151,$AB630)&amp;"",IF($Z630="A",INDEX(Fixed_Assets!$C$2:$C$201,$AB630)&amp;"",IF($Z630="F",INDEX(Workforce!$B$2:$B$151,MATCH(INDEX(FTE_Allocation!$A$2:$A$201,$AB630),Workforce!$A$2:$A$151,0))&amp;"","")))</f>
        <v/>
      </c>
      <c r="C630" s="7">
        <f>IF($Z630="C",INDEX(Contracts!$E$2:$E$151,$AB630)&amp;"",IF($Z630="A",INDEX(Fixed_Assets!$D$2:$D$201,$AB630)&amp;"",IF($Z630="F",INDEX(FTE_Allocation!$C$2:$C$201,$AB630)&amp;"","")))</f>
        <v/>
      </c>
      <c r="D630" s="7">
        <f>IF($Z630="C",INDEX(Contracts!$B$2:$B$151,$AB630)&amp;"",IF($Z630="A",INDEX(Fixed_Assets!$B$2:$B$201,$AB630)&amp;"",IF($Z630="F",INDEX(FTE_Allocation!$B$2:$B$201,$AB630)&amp;"","")))</f>
        <v/>
      </c>
      <c r="E630" s="7">
        <f>IF($Z630="C",INDEX(Contracts!$P$2:$P$151,$AB630)&amp;"",IF($Z630="A",INDEX(Fixed_Assets!$K$2:$K$201,$AB630)&amp;"",IF($Z630="F",IF(INDEX(FTE_Allocation!$D$2:$D$201,$AB630)="PROJECT",IFERROR(INDEX(Projects!$D:$D,MATCH(INDEX(FTE_Allocation!$E$2:$E$201,$AB630),Projects!$A:$A,0))&amp;"","#PROJECT?"),INDEX(FTE_Allocation!$E$2:$E$201,$AB630)&amp;""),"")))</f>
        <v/>
      </c>
      <c r="F630" s="7">
        <f>IF($Z630="C",INDEX(Contracts!$Q$2:$Q$151,$AB630)&amp;"",IF($Z630="A",INDEX(Fixed_Assets!$L$2:$L$201,$AB630)&amp;"",IF($Z630="F",INDEX(Workforce!$K$2:$K$151,MATCH(INDEX(FTE_Allocation!$A$2:$A$201,$AB630),Workforce!$A$2:$A$151,0))&amp;"","")))</f>
        <v/>
      </c>
      <c r="G630" s="7">
        <f>IF($Z630="C",INDEX(Contracts!$F$2:$F$151,$AB630)&amp;" / "&amp;INDEX(Contracts!$G$2:$G$151,$AB630),IF($Z630="A",INDEX(Fixed_Assets!$E$2:$E$201,$AB630)&amp;"",IF($Z630="F","Personnel "&amp;INDEX(FTE_Allocation!$A$2:$A$201,$AB630)&amp;IF(INDEX(FTE_Allocation!$D$2:$D$201,$AB630)="PROJECT"," ("&amp;INDEX(FTE_Allocation!$E$2:$E$201,$AB630)&amp;")",""),"")))</f>
        <v/>
      </c>
      <c r="H630" s="7">
        <f>IF($Z630="C","CONTRACT",IF($Z630="A","ASSET",IF($Z630="F","WORKFORCE","")))</f>
        <v/>
      </c>
      <c r="I630" s="7">
        <f>IF($Z630="C",INDEX(Contracts!$L$2:$L$151,$AB630)&amp;"",IF($Z630="A",INDEX(Fixed_Assets!$I$2:$I$201,$AB630)&amp;"",IF($Z630="F",INDEX(Workforce!$G$2:$G$151,MATCH(INDEX(FTE_Allocation!$A$2:$A$201,$AB630),Workforce!$A$2:$A$151,0))&amp;"","")))</f>
        <v/>
      </c>
      <c r="J630" s="18">
        <f>IF($Z630="","",IF(AND(DATE($AD630,1,1)&gt;=$AE630,DATE($AD630,1,1)&lt;=$AF630),ROUND($AG630,2),0))</f>
        <v/>
      </c>
      <c r="K630" s="18">
        <f>IF($Z630="","",IF(AND(DATE($AD630,2,1)&gt;=$AE630,DATE($AD630,2,1)&lt;=$AF630),ROUND($AG630,2),0))</f>
        <v/>
      </c>
      <c r="L630" s="18">
        <f>IF($Z630="","",IF(AND(DATE($AD630,3,1)&gt;=$AE630,DATE($AD630,3,1)&lt;=$AF630),ROUND($AG630,2),0))</f>
        <v/>
      </c>
      <c r="M630" s="18">
        <f>IF($Z630="","",IF(AND(DATE($AD630,4,1)&gt;=$AE630,DATE($AD630,4,1)&lt;=$AF630),ROUND($AG630,2),0))</f>
        <v/>
      </c>
      <c r="N630" s="18">
        <f>IF($Z630="","",IF(AND(DATE($AD630,5,1)&gt;=$AE630,DATE($AD630,5,1)&lt;=$AF630),ROUND($AG630,2),0))</f>
        <v/>
      </c>
      <c r="O630" s="18">
        <f>IF($Z630="","",IF(AND(DATE($AD630,6,1)&gt;=$AE630,DATE($AD630,6,1)&lt;=$AF630),ROUND($AG630,2),0))</f>
        <v/>
      </c>
      <c r="P630" s="18">
        <f>IF($Z630="","",IF(AND(DATE($AD630,7,1)&gt;=$AE630,DATE($AD630,7,1)&lt;=$AF630),ROUND($AG630,2),0))</f>
        <v/>
      </c>
      <c r="Q630" s="18">
        <f>IF($Z630="","",IF(AND(DATE($AD630,8,1)&gt;=$AE630,DATE($AD630,8,1)&lt;=$AF630),ROUND($AG630,2),0))</f>
        <v/>
      </c>
      <c r="R630" s="18">
        <f>IF($Z630="","",IF(AND(DATE($AD630,9,1)&gt;=$AE630,DATE($AD630,9,1)&lt;=$AF630),ROUND($AG630,2),0))</f>
        <v/>
      </c>
      <c r="S630" s="18">
        <f>IF($Z630="","",IF(AND(DATE($AD630,10,1)&gt;=$AE630,DATE($AD630,10,1)&lt;=$AF630),ROUND($AG630,2),0))</f>
        <v/>
      </c>
      <c r="T630" s="18">
        <f>IF($Z630="","",IF(AND(DATE($AD630,11,1)&gt;=$AE630,DATE($AD630,11,1)&lt;=$AF630),ROUND($AG630,2),0))</f>
        <v/>
      </c>
      <c r="U630" s="18">
        <f>IF($Z630="","",IF(AND(DATE($AD630,12,1)&gt;=$AE630,DATE($AD630,12,1)&lt;=$AF630),ROUND($AG630,2),0))</f>
        <v/>
      </c>
      <c r="V630" s="7">
        <f>IF($Z630="C","Generated from "&amp;INDEX(Contracts!$A$2:$A$151,$AB630),IF($Z630="A","Generated from "&amp;INDEX(Fixed_Assets!$A$2:$A$201,$AB630),IF($Z630="F","Generated from "&amp;INDEX(FTE_Allocation!$A$2:$A$201,$AB630),"")))</f>
        <v/>
      </c>
      <c r="X630" s="19">
        <f>IF($Z630="","",SUM(J630:U630))</f>
        <v/>
      </c>
      <c r="Y630" s="20">
        <f>ROW()-1</f>
        <v/>
      </c>
      <c r="Z630" s="20">
        <f>IF($Y630&lt;=Settings!$B$4*3,"C",IF($Y630&lt;=(Settings!$B$4+Settings!$B$5)*3,"A",IF($Y630&lt;=(Settings!$B$4+Settings!$B$5+Settings!$B$6)*3,"F","")))</f>
        <v/>
      </c>
      <c r="AA630" s="20">
        <f>IF($Z630="C",$Y630,IF($Z630="A",$Y630-Settings!$B$4*3,IF($Z630="F",$Y630-(Settings!$B$4+Settings!$B$5)*3,"")))</f>
        <v/>
      </c>
      <c r="AB630" s="20">
        <f>IF($Z630="","",INT(($AA630-1)/3)+1)</f>
        <v/>
      </c>
      <c r="AC630" s="20">
        <f>IF($Z630="","",MOD($AA630-1,3)+1)</f>
        <v/>
      </c>
      <c r="AD630" s="20">
        <f>IF($Z630="","",Settings!$B$2+$AC630-1)</f>
        <v/>
      </c>
      <c r="AE630" s="21">
        <f>IF($Z630="C",DATE(YEAR(INDEX(Contracts!$J$2:$J$151,$AB630)),MONTH(INDEX(Contracts!$J$2:$J$151,$AB630)),1),IF($Z630="A",DATE(YEAR(INDEX(Fixed_Assets!$G$2:$G$201,$AB630)),MONTH(INDEX(Fixed_Assets!$G$2:$G$201,$AB630)),1),IF($Z630="F",DATE(YEAR(MAX(N(INDEX(Workforce!$I$2:$I$151,MATCH(INDEX(FTE_Allocation!$A$2:$A$201,$AB630),Workforce!$A$2:$A$151,0))),N(INDEX(FTE_Allocation!$I$2:$I$201,$AB630)))),MONTH(MAX(N(INDEX(Workforce!$I$2:$I$151,MATCH(INDEX(FTE_Allocation!$A$2:$A$201,$AB630),Workforce!$A$2:$A$151,0))),N(INDEX(FTE_Allocation!$I$2:$I$201,$AB630)))),1),"")))</f>
        <v/>
      </c>
      <c r="AF630" s="21">
        <f>IF($Z630="C",IF(INDEX(Contracts!$I$2:$I$151,$AB630)="PREPAID",EDATE(DATE(YEAR(INDEX(Contracts!$J$2:$J$151,$AB630)),MONTH(INDEX(Contracts!$J$2:$J$151,$AB630)),1),IF(INDEX(Contracts!$N$2:$N$151,$AB630)="",12,INDEX(Contracts!$N$2:$N$151,$AB630))-1),IF(INDEX(Contracts!$I$2:$I$151,$AB630)="MONTHLY",IF(INDEX(Contracts!$K$2:$K$151,$AB630)="",2958101,INDEX(Contracts!$K$2:$K$151,$AB630)),0)),IF($Z630="A",EDATE(DATE(YEAR(INDEX(Fixed_Assets!$G$2:$G$201,$AB630)),MONTH(INDEX(Fixed_Assets!$G$2:$G$201,$AB630)),1),INDEX(Fixed_Assets!$J$2:$J$201,$AB630)-1),IF($Z630="F",MIN(IF(INDEX(Workforce!$J$2:$J$151,MATCH(INDEX(FTE_Allocation!$A$2:$A$201,$AB630),Workforce!$A$2:$A$151,0))="",2958101,INDEX(Workforce!$J$2:$J$151,MATCH(INDEX(FTE_Allocation!$A$2:$A$201,$AB630),Workforce!$A$2:$A$151,0))),IF(INDEX(FTE_Allocation!$J$2:$J$201,$AB630)="",2958101,INDEX(FTE_Allocation!$J$2:$J$201,$AB630))),"")))</f>
        <v/>
      </c>
      <c r="AG630" s="19">
        <f>IF($Z630="C",IF(INDEX(Contracts!$I$2:$I$151,$AB630)="PREPAID",INDEX(Contracts!$M$2:$M$151,$AB630)/IF(INDEX(Contracts!$N$2:$N$151,$AB630)="",12,INDEX(Contracts!$N$2:$N$151,$AB630)),IF(INDEX(Contracts!$I$2:$I$151,$AB630)="MONTHLY",INDEX(Contracts!$M$2:$M$151,$AB630),0))*(1-N(INDEX(Contracts!$O$2:$O$151,$AB630))),IF($Z630="A",INDEX(Fixed_Assets!$H$2:$H$201,$AB630)/INDEX(Fixed_Assets!$J$2:$J$201,$AB630),IF($Z630="F",INDEX(Workforce!$F$2:$F$151,MATCH(INDEX(FTE_Allocation!$A$2:$A$201,$AB630),Workforce!$A$2:$A$151,0))*N(INDEX(FTE_Allocation!$F$2:$H$201,$AB630,$AC630)),"")))</f>
        <v/>
      </c>
    </row>
    <row r="631">
      <c r="A631" s="7">
        <f>IF($Z631="","",$AD631)</f>
        <v/>
      </c>
      <c r="B631" s="7">
        <f>IF($Z631="C",INDEX(Contracts!$D$2:$D$151,$AB631)&amp;"",IF($Z631="A",INDEX(Fixed_Assets!$C$2:$C$201,$AB631)&amp;"",IF($Z631="F",INDEX(Workforce!$B$2:$B$151,MATCH(INDEX(FTE_Allocation!$A$2:$A$201,$AB631),Workforce!$A$2:$A$151,0))&amp;"","")))</f>
        <v/>
      </c>
      <c r="C631" s="7">
        <f>IF($Z631="C",INDEX(Contracts!$E$2:$E$151,$AB631)&amp;"",IF($Z631="A",INDEX(Fixed_Assets!$D$2:$D$201,$AB631)&amp;"",IF($Z631="F",INDEX(FTE_Allocation!$C$2:$C$201,$AB631)&amp;"","")))</f>
        <v/>
      </c>
      <c r="D631" s="7">
        <f>IF($Z631="C",INDEX(Contracts!$B$2:$B$151,$AB631)&amp;"",IF($Z631="A",INDEX(Fixed_Assets!$B$2:$B$201,$AB631)&amp;"",IF($Z631="F",INDEX(FTE_Allocation!$B$2:$B$201,$AB631)&amp;"","")))</f>
        <v/>
      </c>
      <c r="E631" s="7">
        <f>IF($Z631="C",INDEX(Contracts!$P$2:$P$151,$AB631)&amp;"",IF($Z631="A",INDEX(Fixed_Assets!$K$2:$K$201,$AB631)&amp;"",IF($Z631="F",IF(INDEX(FTE_Allocation!$D$2:$D$201,$AB631)="PROJECT",IFERROR(INDEX(Projects!$D:$D,MATCH(INDEX(FTE_Allocation!$E$2:$E$201,$AB631),Projects!$A:$A,0))&amp;"","#PROJECT?"),INDEX(FTE_Allocation!$E$2:$E$201,$AB631)&amp;""),"")))</f>
        <v/>
      </c>
      <c r="F631" s="7">
        <f>IF($Z631="C",INDEX(Contracts!$Q$2:$Q$151,$AB631)&amp;"",IF($Z631="A",INDEX(Fixed_Assets!$L$2:$L$201,$AB631)&amp;"",IF($Z631="F",INDEX(Workforce!$K$2:$K$151,MATCH(INDEX(FTE_Allocation!$A$2:$A$201,$AB631),Workforce!$A$2:$A$151,0))&amp;"","")))</f>
        <v/>
      </c>
      <c r="G631" s="7">
        <f>IF($Z631="C",INDEX(Contracts!$F$2:$F$151,$AB631)&amp;" / "&amp;INDEX(Contracts!$G$2:$G$151,$AB631),IF($Z631="A",INDEX(Fixed_Assets!$E$2:$E$201,$AB631)&amp;"",IF($Z631="F","Personnel "&amp;INDEX(FTE_Allocation!$A$2:$A$201,$AB631)&amp;IF(INDEX(FTE_Allocation!$D$2:$D$201,$AB631)="PROJECT"," ("&amp;INDEX(FTE_Allocation!$E$2:$E$201,$AB631)&amp;")",""),"")))</f>
        <v/>
      </c>
      <c r="H631" s="7">
        <f>IF($Z631="C","CONTRACT",IF($Z631="A","ASSET",IF($Z631="F","WORKFORCE","")))</f>
        <v/>
      </c>
      <c r="I631" s="7">
        <f>IF($Z631="C",INDEX(Contracts!$L$2:$L$151,$AB631)&amp;"",IF($Z631="A",INDEX(Fixed_Assets!$I$2:$I$201,$AB631)&amp;"",IF($Z631="F",INDEX(Workforce!$G$2:$G$151,MATCH(INDEX(FTE_Allocation!$A$2:$A$201,$AB631),Workforce!$A$2:$A$151,0))&amp;"","")))</f>
        <v/>
      </c>
      <c r="J631" s="18">
        <f>IF($Z631="","",IF(AND(DATE($AD631,1,1)&gt;=$AE631,DATE($AD631,1,1)&lt;=$AF631),ROUND($AG631,2),0))</f>
        <v/>
      </c>
      <c r="K631" s="18">
        <f>IF($Z631="","",IF(AND(DATE($AD631,2,1)&gt;=$AE631,DATE($AD631,2,1)&lt;=$AF631),ROUND($AG631,2),0))</f>
        <v/>
      </c>
      <c r="L631" s="18">
        <f>IF($Z631="","",IF(AND(DATE($AD631,3,1)&gt;=$AE631,DATE($AD631,3,1)&lt;=$AF631),ROUND($AG631,2),0))</f>
        <v/>
      </c>
      <c r="M631" s="18">
        <f>IF($Z631="","",IF(AND(DATE($AD631,4,1)&gt;=$AE631,DATE($AD631,4,1)&lt;=$AF631),ROUND($AG631,2),0))</f>
        <v/>
      </c>
      <c r="N631" s="18">
        <f>IF($Z631="","",IF(AND(DATE($AD631,5,1)&gt;=$AE631,DATE($AD631,5,1)&lt;=$AF631),ROUND($AG631,2),0))</f>
        <v/>
      </c>
      <c r="O631" s="18">
        <f>IF($Z631="","",IF(AND(DATE($AD631,6,1)&gt;=$AE631,DATE($AD631,6,1)&lt;=$AF631),ROUND($AG631,2),0))</f>
        <v/>
      </c>
      <c r="P631" s="18">
        <f>IF($Z631="","",IF(AND(DATE($AD631,7,1)&gt;=$AE631,DATE($AD631,7,1)&lt;=$AF631),ROUND($AG631,2),0))</f>
        <v/>
      </c>
      <c r="Q631" s="18">
        <f>IF($Z631="","",IF(AND(DATE($AD631,8,1)&gt;=$AE631,DATE($AD631,8,1)&lt;=$AF631),ROUND($AG631,2),0))</f>
        <v/>
      </c>
      <c r="R631" s="18">
        <f>IF($Z631="","",IF(AND(DATE($AD631,9,1)&gt;=$AE631,DATE($AD631,9,1)&lt;=$AF631),ROUND($AG631,2),0))</f>
        <v/>
      </c>
      <c r="S631" s="18">
        <f>IF($Z631="","",IF(AND(DATE($AD631,10,1)&gt;=$AE631,DATE($AD631,10,1)&lt;=$AF631),ROUND($AG631,2),0))</f>
        <v/>
      </c>
      <c r="T631" s="18">
        <f>IF($Z631="","",IF(AND(DATE($AD631,11,1)&gt;=$AE631,DATE($AD631,11,1)&lt;=$AF631),ROUND($AG631,2),0))</f>
        <v/>
      </c>
      <c r="U631" s="18">
        <f>IF($Z631="","",IF(AND(DATE($AD631,12,1)&gt;=$AE631,DATE($AD631,12,1)&lt;=$AF631),ROUND($AG631,2),0))</f>
        <v/>
      </c>
      <c r="V631" s="7">
        <f>IF($Z631="C","Generated from "&amp;INDEX(Contracts!$A$2:$A$151,$AB631),IF($Z631="A","Generated from "&amp;INDEX(Fixed_Assets!$A$2:$A$201,$AB631),IF($Z631="F","Generated from "&amp;INDEX(FTE_Allocation!$A$2:$A$201,$AB631),"")))</f>
        <v/>
      </c>
      <c r="X631" s="19">
        <f>IF($Z631="","",SUM(J631:U631))</f>
        <v/>
      </c>
      <c r="Y631" s="20">
        <f>ROW()-1</f>
        <v/>
      </c>
      <c r="Z631" s="20">
        <f>IF($Y631&lt;=Settings!$B$4*3,"C",IF($Y631&lt;=(Settings!$B$4+Settings!$B$5)*3,"A",IF($Y631&lt;=(Settings!$B$4+Settings!$B$5+Settings!$B$6)*3,"F","")))</f>
        <v/>
      </c>
      <c r="AA631" s="20">
        <f>IF($Z631="C",$Y631,IF($Z631="A",$Y631-Settings!$B$4*3,IF($Z631="F",$Y631-(Settings!$B$4+Settings!$B$5)*3,"")))</f>
        <v/>
      </c>
      <c r="AB631" s="20">
        <f>IF($Z631="","",INT(($AA631-1)/3)+1)</f>
        <v/>
      </c>
      <c r="AC631" s="20">
        <f>IF($Z631="","",MOD($AA631-1,3)+1)</f>
        <v/>
      </c>
      <c r="AD631" s="20">
        <f>IF($Z631="","",Settings!$B$2+$AC631-1)</f>
        <v/>
      </c>
      <c r="AE631" s="21">
        <f>IF($Z631="C",DATE(YEAR(INDEX(Contracts!$J$2:$J$151,$AB631)),MONTH(INDEX(Contracts!$J$2:$J$151,$AB631)),1),IF($Z631="A",DATE(YEAR(INDEX(Fixed_Assets!$G$2:$G$201,$AB631)),MONTH(INDEX(Fixed_Assets!$G$2:$G$201,$AB631)),1),IF($Z631="F",DATE(YEAR(MAX(N(INDEX(Workforce!$I$2:$I$151,MATCH(INDEX(FTE_Allocation!$A$2:$A$201,$AB631),Workforce!$A$2:$A$151,0))),N(INDEX(FTE_Allocation!$I$2:$I$201,$AB631)))),MONTH(MAX(N(INDEX(Workforce!$I$2:$I$151,MATCH(INDEX(FTE_Allocation!$A$2:$A$201,$AB631),Workforce!$A$2:$A$151,0))),N(INDEX(FTE_Allocation!$I$2:$I$201,$AB631)))),1),"")))</f>
        <v/>
      </c>
      <c r="AF631" s="21">
        <f>IF($Z631="C",IF(INDEX(Contracts!$I$2:$I$151,$AB631)="PREPAID",EDATE(DATE(YEAR(INDEX(Contracts!$J$2:$J$151,$AB631)),MONTH(INDEX(Contracts!$J$2:$J$151,$AB631)),1),IF(INDEX(Contracts!$N$2:$N$151,$AB631)="",12,INDEX(Contracts!$N$2:$N$151,$AB631))-1),IF(INDEX(Contracts!$I$2:$I$151,$AB631)="MONTHLY",IF(INDEX(Contracts!$K$2:$K$151,$AB631)="",2958101,INDEX(Contracts!$K$2:$K$151,$AB631)),0)),IF($Z631="A",EDATE(DATE(YEAR(INDEX(Fixed_Assets!$G$2:$G$201,$AB631)),MONTH(INDEX(Fixed_Assets!$G$2:$G$201,$AB631)),1),INDEX(Fixed_Assets!$J$2:$J$201,$AB631)-1),IF($Z631="F",MIN(IF(INDEX(Workforce!$J$2:$J$151,MATCH(INDEX(FTE_Allocation!$A$2:$A$201,$AB631),Workforce!$A$2:$A$151,0))="",2958101,INDEX(Workforce!$J$2:$J$151,MATCH(INDEX(FTE_Allocation!$A$2:$A$201,$AB631),Workforce!$A$2:$A$151,0))),IF(INDEX(FTE_Allocation!$J$2:$J$201,$AB631)="",2958101,INDEX(FTE_Allocation!$J$2:$J$201,$AB631))),"")))</f>
        <v/>
      </c>
      <c r="AG631" s="19">
        <f>IF($Z631="C",IF(INDEX(Contracts!$I$2:$I$151,$AB631)="PREPAID",INDEX(Contracts!$M$2:$M$151,$AB631)/IF(INDEX(Contracts!$N$2:$N$151,$AB631)="",12,INDEX(Contracts!$N$2:$N$151,$AB631)),IF(INDEX(Contracts!$I$2:$I$151,$AB631)="MONTHLY",INDEX(Contracts!$M$2:$M$151,$AB631),0))*(1-N(INDEX(Contracts!$O$2:$O$151,$AB631))),IF($Z631="A",INDEX(Fixed_Assets!$H$2:$H$201,$AB631)/INDEX(Fixed_Assets!$J$2:$J$201,$AB631),IF($Z631="F",INDEX(Workforce!$F$2:$F$151,MATCH(INDEX(FTE_Allocation!$A$2:$A$201,$AB631),Workforce!$A$2:$A$151,0))*N(INDEX(FTE_Allocation!$F$2:$H$201,$AB631,$AC631)),"")))</f>
        <v/>
      </c>
    </row>
    <row r="632">
      <c r="A632" s="7">
        <f>IF($Z632="","",$AD632)</f>
        <v/>
      </c>
      <c r="B632" s="7">
        <f>IF($Z632="C",INDEX(Contracts!$D$2:$D$151,$AB632)&amp;"",IF($Z632="A",INDEX(Fixed_Assets!$C$2:$C$201,$AB632)&amp;"",IF($Z632="F",INDEX(Workforce!$B$2:$B$151,MATCH(INDEX(FTE_Allocation!$A$2:$A$201,$AB632),Workforce!$A$2:$A$151,0))&amp;"","")))</f>
        <v/>
      </c>
      <c r="C632" s="7">
        <f>IF($Z632="C",INDEX(Contracts!$E$2:$E$151,$AB632)&amp;"",IF($Z632="A",INDEX(Fixed_Assets!$D$2:$D$201,$AB632)&amp;"",IF($Z632="F",INDEX(FTE_Allocation!$C$2:$C$201,$AB632)&amp;"","")))</f>
        <v/>
      </c>
      <c r="D632" s="7">
        <f>IF($Z632="C",INDEX(Contracts!$B$2:$B$151,$AB632)&amp;"",IF($Z632="A",INDEX(Fixed_Assets!$B$2:$B$201,$AB632)&amp;"",IF($Z632="F",INDEX(FTE_Allocation!$B$2:$B$201,$AB632)&amp;"","")))</f>
        <v/>
      </c>
      <c r="E632" s="7">
        <f>IF($Z632="C",INDEX(Contracts!$P$2:$P$151,$AB632)&amp;"",IF($Z632="A",INDEX(Fixed_Assets!$K$2:$K$201,$AB632)&amp;"",IF($Z632="F",IF(INDEX(FTE_Allocation!$D$2:$D$201,$AB632)="PROJECT",IFERROR(INDEX(Projects!$D:$D,MATCH(INDEX(FTE_Allocation!$E$2:$E$201,$AB632),Projects!$A:$A,0))&amp;"","#PROJECT?"),INDEX(FTE_Allocation!$E$2:$E$201,$AB632)&amp;""),"")))</f>
        <v/>
      </c>
      <c r="F632" s="7">
        <f>IF($Z632="C",INDEX(Contracts!$Q$2:$Q$151,$AB632)&amp;"",IF($Z632="A",INDEX(Fixed_Assets!$L$2:$L$201,$AB632)&amp;"",IF($Z632="F",INDEX(Workforce!$K$2:$K$151,MATCH(INDEX(FTE_Allocation!$A$2:$A$201,$AB632),Workforce!$A$2:$A$151,0))&amp;"","")))</f>
        <v/>
      </c>
      <c r="G632" s="7">
        <f>IF($Z632="C",INDEX(Contracts!$F$2:$F$151,$AB632)&amp;" / "&amp;INDEX(Contracts!$G$2:$G$151,$AB632),IF($Z632="A",INDEX(Fixed_Assets!$E$2:$E$201,$AB632)&amp;"",IF($Z632="F","Personnel "&amp;INDEX(FTE_Allocation!$A$2:$A$201,$AB632)&amp;IF(INDEX(FTE_Allocation!$D$2:$D$201,$AB632)="PROJECT"," ("&amp;INDEX(FTE_Allocation!$E$2:$E$201,$AB632)&amp;")",""),"")))</f>
        <v/>
      </c>
      <c r="H632" s="7">
        <f>IF($Z632="C","CONTRACT",IF($Z632="A","ASSET",IF($Z632="F","WORKFORCE","")))</f>
        <v/>
      </c>
      <c r="I632" s="7">
        <f>IF($Z632="C",INDEX(Contracts!$L$2:$L$151,$AB632)&amp;"",IF($Z632="A",INDEX(Fixed_Assets!$I$2:$I$201,$AB632)&amp;"",IF($Z632="F",INDEX(Workforce!$G$2:$G$151,MATCH(INDEX(FTE_Allocation!$A$2:$A$201,$AB632),Workforce!$A$2:$A$151,0))&amp;"","")))</f>
        <v/>
      </c>
      <c r="J632" s="18">
        <f>IF($Z632="","",IF(AND(DATE($AD632,1,1)&gt;=$AE632,DATE($AD632,1,1)&lt;=$AF632),ROUND($AG632,2),0))</f>
        <v/>
      </c>
      <c r="K632" s="18">
        <f>IF($Z632="","",IF(AND(DATE($AD632,2,1)&gt;=$AE632,DATE($AD632,2,1)&lt;=$AF632),ROUND($AG632,2),0))</f>
        <v/>
      </c>
      <c r="L632" s="18">
        <f>IF($Z632="","",IF(AND(DATE($AD632,3,1)&gt;=$AE632,DATE($AD632,3,1)&lt;=$AF632),ROUND($AG632,2),0))</f>
        <v/>
      </c>
      <c r="M632" s="18">
        <f>IF($Z632="","",IF(AND(DATE($AD632,4,1)&gt;=$AE632,DATE($AD632,4,1)&lt;=$AF632),ROUND($AG632,2),0))</f>
        <v/>
      </c>
      <c r="N632" s="18">
        <f>IF($Z632="","",IF(AND(DATE($AD632,5,1)&gt;=$AE632,DATE($AD632,5,1)&lt;=$AF632),ROUND($AG632,2),0))</f>
        <v/>
      </c>
      <c r="O632" s="18">
        <f>IF($Z632="","",IF(AND(DATE($AD632,6,1)&gt;=$AE632,DATE($AD632,6,1)&lt;=$AF632),ROUND($AG632,2),0))</f>
        <v/>
      </c>
      <c r="P632" s="18">
        <f>IF($Z632="","",IF(AND(DATE($AD632,7,1)&gt;=$AE632,DATE($AD632,7,1)&lt;=$AF632),ROUND($AG632,2),0))</f>
        <v/>
      </c>
      <c r="Q632" s="18">
        <f>IF($Z632="","",IF(AND(DATE($AD632,8,1)&gt;=$AE632,DATE($AD632,8,1)&lt;=$AF632),ROUND($AG632,2),0))</f>
        <v/>
      </c>
      <c r="R632" s="18">
        <f>IF($Z632="","",IF(AND(DATE($AD632,9,1)&gt;=$AE632,DATE($AD632,9,1)&lt;=$AF632),ROUND($AG632,2),0))</f>
        <v/>
      </c>
      <c r="S632" s="18">
        <f>IF($Z632="","",IF(AND(DATE($AD632,10,1)&gt;=$AE632,DATE($AD632,10,1)&lt;=$AF632),ROUND($AG632,2),0))</f>
        <v/>
      </c>
      <c r="T632" s="18">
        <f>IF($Z632="","",IF(AND(DATE($AD632,11,1)&gt;=$AE632,DATE($AD632,11,1)&lt;=$AF632),ROUND($AG632,2),0))</f>
        <v/>
      </c>
      <c r="U632" s="18">
        <f>IF($Z632="","",IF(AND(DATE($AD632,12,1)&gt;=$AE632,DATE($AD632,12,1)&lt;=$AF632),ROUND($AG632,2),0))</f>
        <v/>
      </c>
      <c r="V632" s="7">
        <f>IF($Z632="C","Generated from "&amp;INDEX(Contracts!$A$2:$A$151,$AB632),IF($Z632="A","Generated from "&amp;INDEX(Fixed_Assets!$A$2:$A$201,$AB632),IF($Z632="F","Generated from "&amp;INDEX(FTE_Allocation!$A$2:$A$201,$AB632),"")))</f>
        <v/>
      </c>
      <c r="X632" s="19">
        <f>IF($Z632="","",SUM(J632:U632))</f>
        <v/>
      </c>
      <c r="Y632" s="20">
        <f>ROW()-1</f>
        <v/>
      </c>
      <c r="Z632" s="20">
        <f>IF($Y632&lt;=Settings!$B$4*3,"C",IF($Y632&lt;=(Settings!$B$4+Settings!$B$5)*3,"A",IF($Y632&lt;=(Settings!$B$4+Settings!$B$5+Settings!$B$6)*3,"F","")))</f>
        <v/>
      </c>
      <c r="AA632" s="20">
        <f>IF($Z632="C",$Y632,IF($Z632="A",$Y632-Settings!$B$4*3,IF($Z632="F",$Y632-(Settings!$B$4+Settings!$B$5)*3,"")))</f>
        <v/>
      </c>
      <c r="AB632" s="20">
        <f>IF($Z632="","",INT(($AA632-1)/3)+1)</f>
        <v/>
      </c>
      <c r="AC632" s="20">
        <f>IF($Z632="","",MOD($AA632-1,3)+1)</f>
        <v/>
      </c>
      <c r="AD632" s="20">
        <f>IF($Z632="","",Settings!$B$2+$AC632-1)</f>
        <v/>
      </c>
      <c r="AE632" s="21">
        <f>IF($Z632="C",DATE(YEAR(INDEX(Contracts!$J$2:$J$151,$AB632)),MONTH(INDEX(Contracts!$J$2:$J$151,$AB632)),1),IF($Z632="A",DATE(YEAR(INDEX(Fixed_Assets!$G$2:$G$201,$AB632)),MONTH(INDEX(Fixed_Assets!$G$2:$G$201,$AB632)),1),IF($Z632="F",DATE(YEAR(MAX(N(INDEX(Workforce!$I$2:$I$151,MATCH(INDEX(FTE_Allocation!$A$2:$A$201,$AB632),Workforce!$A$2:$A$151,0))),N(INDEX(FTE_Allocation!$I$2:$I$201,$AB632)))),MONTH(MAX(N(INDEX(Workforce!$I$2:$I$151,MATCH(INDEX(FTE_Allocation!$A$2:$A$201,$AB632),Workforce!$A$2:$A$151,0))),N(INDEX(FTE_Allocation!$I$2:$I$201,$AB632)))),1),"")))</f>
        <v/>
      </c>
      <c r="AF632" s="21">
        <f>IF($Z632="C",IF(INDEX(Contracts!$I$2:$I$151,$AB632)="PREPAID",EDATE(DATE(YEAR(INDEX(Contracts!$J$2:$J$151,$AB632)),MONTH(INDEX(Contracts!$J$2:$J$151,$AB632)),1),IF(INDEX(Contracts!$N$2:$N$151,$AB632)="",12,INDEX(Contracts!$N$2:$N$151,$AB632))-1),IF(INDEX(Contracts!$I$2:$I$151,$AB632)="MONTHLY",IF(INDEX(Contracts!$K$2:$K$151,$AB632)="",2958101,INDEX(Contracts!$K$2:$K$151,$AB632)),0)),IF($Z632="A",EDATE(DATE(YEAR(INDEX(Fixed_Assets!$G$2:$G$201,$AB632)),MONTH(INDEX(Fixed_Assets!$G$2:$G$201,$AB632)),1),INDEX(Fixed_Assets!$J$2:$J$201,$AB632)-1),IF($Z632="F",MIN(IF(INDEX(Workforce!$J$2:$J$151,MATCH(INDEX(FTE_Allocation!$A$2:$A$201,$AB632),Workforce!$A$2:$A$151,0))="",2958101,INDEX(Workforce!$J$2:$J$151,MATCH(INDEX(FTE_Allocation!$A$2:$A$201,$AB632),Workforce!$A$2:$A$151,0))),IF(INDEX(FTE_Allocation!$J$2:$J$201,$AB632)="",2958101,INDEX(FTE_Allocation!$J$2:$J$201,$AB632))),"")))</f>
        <v/>
      </c>
      <c r="AG632" s="19">
        <f>IF($Z632="C",IF(INDEX(Contracts!$I$2:$I$151,$AB632)="PREPAID",INDEX(Contracts!$M$2:$M$151,$AB632)/IF(INDEX(Contracts!$N$2:$N$151,$AB632)="",12,INDEX(Contracts!$N$2:$N$151,$AB632)),IF(INDEX(Contracts!$I$2:$I$151,$AB632)="MONTHLY",INDEX(Contracts!$M$2:$M$151,$AB632),0))*(1-N(INDEX(Contracts!$O$2:$O$151,$AB632))),IF($Z632="A",INDEX(Fixed_Assets!$H$2:$H$201,$AB632)/INDEX(Fixed_Assets!$J$2:$J$201,$AB632),IF($Z632="F",INDEX(Workforce!$F$2:$F$151,MATCH(INDEX(FTE_Allocation!$A$2:$A$201,$AB632),Workforce!$A$2:$A$151,0))*N(INDEX(FTE_Allocation!$F$2:$H$201,$AB632,$AC632)),"")))</f>
        <v/>
      </c>
    </row>
    <row r="633">
      <c r="A633" s="7">
        <f>IF($Z633="","",$AD633)</f>
        <v/>
      </c>
      <c r="B633" s="7">
        <f>IF($Z633="C",INDEX(Contracts!$D$2:$D$151,$AB633)&amp;"",IF($Z633="A",INDEX(Fixed_Assets!$C$2:$C$201,$AB633)&amp;"",IF($Z633="F",INDEX(Workforce!$B$2:$B$151,MATCH(INDEX(FTE_Allocation!$A$2:$A$201,$AB633),Workforce!$A$2:$A$151,0))&amp;"","")))</f>
        <v/>
      </c>
      <c r="C633" s="7">
        <f>IF($Z633="C",INDEX(Contracts!$E$2:$E$151,$AB633)&amp;"",IF($Z633="A",INDEX(Fixed_Assets!$D$2:$D$201,$AB633)&amp;"",IF($Z633="F",INDEX(FTE_Allocation!$C$2:$C$201,$AB633)&amp;"","")))</f>
        <v/>
      </c>
      <c r="D633" s="7">
        <f>IF($Z633="C",INDEX(Contracts!$B$2:$B$151,$AB633)&amp;"",IF($Z633="A",INDEX(Fixed_Assets!$B$2:$B$201,$AB633)&amp;"",IF($Z633="F",INDEX(FTE_Allocation!$B$2:$B$201,$AB633)&amp;"","")))</f>
        <v/>
      </c>
      <c r="E633" s="7">
        <f>IF($Z633="C",INDEX(Contracts!$P$2:$P$151,$AB633)&amp;"",IF($Z633="A",INDEX(Fixed_Assets!$K$2:$K$201,$AB633)&amp;"",IF($Z633="F",IF(INDEX(FTE_Allocation!$D$2:$D$201,$AB633)="PROJECT",IFERROR(INDEX(Projects!$D:$D,MATCH(INDEX(FTE_Allocation!$E$2:$E$201,$AB633),Projects!$A:$A,0))&amp;"","#PROJECT?"),INDEX(FTE_Allocation!$E$2:$E$201,$AB633)&amp;""),"")))</f>
        <v/>
      </c>
      <c r="F633" s="7">
        <f>IF($Z633="C",INDEX(Contracts!$Q$2:$Q$151,$AB633)&amp;"",IF($Z633="A",INDEX(Fixed_Assets!$L$2:$L$201,$AB633)&amp;"",IF($Z633="F",INDEX(Workforce!$K$2:$K$151,MATCH(INDEX(FTE_Allocation!$A$2:$A$201,$AB633),Workforce!$A$2:$A$151,0))&amp;"","")))</f>
        <v/>
      </c>
      <c r="G633" s="7">
        <f>IF($Z633="C",INDEX(Contracts!$F$2:$F$151,$AB633)&amp;" / "&amp;INDEX(Contracts!$G$2:$G$151,$AB633),IF($Z633="A",INDEX(Fixed_Assets!$E$2:$E$201,$AB633)&amp;"",IF($Z633="F","Personnel "&amp;INDEX(FTE_Allocation!$A$2:$A$201,$AB633)&amp;IF(INDEX(FTE_Allocation!$D$2:$D$201,$AB633)="PROJECT"," ("&amp;INDEX(FTE_Allocation!$E$2:$E$201,$AB633)&amp;")",""),"")))</f>
        <v/>
      </c>
      <c r="H633" s="7">
        <f>IF($Z633="C","CONTRACT",IF($Z633="A","ASSET",IF($Z633="F","WORKFORCE","")))</f>
        <v/>
      </c>
      <c r="I633" s="7">
        <f>IF($Z633="C",INDEX(Contracts!$L$2:$L$151,$AB633)&amp;"",IF($Z633="A",INDEX(Fixed_Assets!$I$2:$I$201,$AB633)&amp;"",IF($Z633="F",INDEX(Workforce!$G$2:$G$151,MATCH(INDEX(FTE_Allocation!$A$2:$A$201,$AB633),Workforce!$A$2:$A$151,0))&amp;"","")))</f>
        <v/>
      </c>
      <c r="J633" s="18">
        <f>IF($Z633="","",IF(AND(DATE($AD633,1,1)&gt;=$AE633,DATE($AD633,1,1)&lt;=$AF633),ROUND($AG633,2),0))</f>
        <v/>
      </c>
      <c r="K633" s="18">
        <f>IF($Z633="","",IF(AND(DATE($AD633,2,1)&gt;=$AE633,DATE($AD633,2,1)&lt;=$AF633),ROUND($AG633,2),0))</f>
        <v/>
      </c>
      <c r="L633" s="18">
        <f>IF($Z633="","",IF(AND(DATE($AD633,3,1)&gt;=$AE633,DATE($AD633,3,1)&lt;=$AF633),ROUND($AG633,2),0))</f>
        <v/>
      </c>
      <c r="M633" s="18">
        <f>IF($Z633="","",IF(AND(DATE($AD633,4,1)&gt;=$AE633,DATE($AD633,4,1)&lt;=$AF633),ROUND($AG633,2),0))</f>
        <v/>
      </c>
      <c r="N633" s="18">
        <f>IF($Z633="","",IF(AND(DATE($AD633,5,1)&gt;=$AE633,DATE($AD633,5,1)&lt;=$AF633),ROUND($AG633,2),0))</f>
        <v/>
      </c>
      <c r="O633" s="18">
        <f>IF($Z633="","",IF(AND(DATE($AD633,6,1)&gt;=$AE633,DATE($AD633,6,1)&lt;=$AF633),ROUND($AG633,2),0))</f>
        <v/>
      </c>
      <c r="P633" s="18">
        <f>IF($Z633="","",IF(AND(DATE($AD633,7,1)&gt;=$AE633,DATE($AD633,7,1)&lt;=$AF633),ROUND($AG633,2),0))</f>
        <v/>
      </c>
      <c r="Q633" s="18">
        <f>IF($Z633="","",IF(AND(DATE($AD633,8,1)&gt;=$AE633,DATE($AD633,8,1)&lt;=$AF633),ROUND($AG633,2),0))</f>
        <v/>
      </c>
      <c r="R633" s="18">
        <f>IF($Z633="","",IF(AND(DATE($AD633,9,1)&gt;=$AE633,DATE($AD633,9,1)&lt;=$AF633),ROUND($AG633,2),0))</f>
        <v/>
      </c>
      <c r="S633" s="18">
        <f>IF($Z633="","",IF(AND(DATE($AD633,10,1)&gt;=$AE633,DATE($AD633,10,1)&lt;=$AF633),ROUND($AG633,2),0))</f>
        <v/>
      </c>
      <c r="T633" s="18">
        <f>IF($Z633="","",IF(AND(DATE($AD633,11,1)&gt;=$AE633,DATE($AD633,11,1)&lt;=$AF633),ROUND($AG633,2),0))</f>
        <v/>
      </c>
      <c r="U633" s="18">
        <f>IF($Z633="","",IF(AND(DATE($AD633,12,1)&gt;=$AE633,DATE($AD633,12,1)&lt;=$AF633),ROUND($AG633,2),0))</f>
        <v/>
      </c>
      <c r="V633" s="7">
        <f>IF($Z633="C","Generated from "&amp;INDEX(Contracts!$A$2:$A$151,$AB633),IF($Z633="A","Generated from "&amp;INDEX(Fixed_Assets!$A$2:$A$201,$AB633),IF($Z633="F","Generated from "&amp;INDEX(FTE_Allocation!$A$2:$A$201,$AB633),"")))</f>
        <v/>
      </c>
      <c r="X633" s="19">
        <f>IF($Z633="","",SUM(J633:U633))</f>
        <v/>
      </c>
      <c r="Y633" s="20">
        <f>ROW()-1</f>
        <v/>
      </c>
      <c r="Z633" s="20">
        <f>IF($Y633&lt;=Settings!$B$4*3,"C",IF($Y633&lt;=(Settings!$B$4+Settings!$B$5)*3,"A",IF($Y633&lt;=(Settings!$B$4+Settings!$B$5+Settings!$B$6)*3,"F","")))</f>
        <v/>
      </c>
      <c r="AA633" s="20">
        <f>IF($Z633="C",$Y633,IF($Z633="A",$Y633-Settings!$B$4*3,IF($Z633="F",$Y633-(Settings!$B$4+Settings!$B$5)*3,"")))</f>
        <v/>
      </c>
      <c r="AB633" s="20">
        <f>IF($Z633="","",INT(($AA633-1)/3)+1)</f>
        <v/>
      </c>
      <c r="AC633" s="20">
        <f>IF($Z633="","",MOD($AA633-1,3)+1)</f>
        <v/>
      </c>
      <c r="AD633" s="20">
        <f>IF($Z633="","",Settings!$B$2+$AC633-1)</f>
        <v/>
      </c>
      <c r="AE633" s="21">
        <f>IF($Z633="C",DATE(YEAR(INDEX(Contracts!$J$2:$J$151,$AB633)),MONTH(INDEX(Contracts!$J$2:$J$151,$AB633)),1),IF($Z633="A",DATE(YEAR(INDEX(Fixed_Assets!$G$2:$G$201,$AB633)),MONTH(INDEX(Fixed_Assets!$G$2:$G$201,$AB633)),1),IF($Z633="F",DATE(YEAR(MAX(N(INDEX(Workforce!$I$2:$I$151,MATCH(INDEX(FTE_Allocation!$A$2:$A$201,$AB633),Workforce!$A$2:$A$151,0))),N(INDEX(FTE_Allocation!$I$2:$I$201,$AB633)))),MONTH(MAX(N(INDEX(Workforce!$I$2:$I$151,MATCH(INDEX(FTE_Allocation!$A$2:$A$201,$AB633),Workforce!$A$2:$A$151,0))),N(INDEX(FTE_Allocation!$I$2:$I$201,$AB633)))),1),"")))</f>
        <v/>
      </c>
      <c r="AF633" s="21">
        <f>IF($Z633="C",IF(INDEX(Contracts!$I$2:$I$151,$AB633)="PREPAID",EDATE(DATE(YEAR(INDEX(Contracts!$J$2:$J$151,$AB633)),MONTH(INDEX(Contracts!$J$2:$J$151,$AB633)),1),IF(INDEX(Contracts!$N$2:$N$151,$AB633)="",12,INDEX(Contracts!$N$2:$N$151,$AB633))-1),IF(INDEX(Contracts!$I$2:$I$151,$AB633)="MONTHLY",IF(INDEX(Contracts!$K$2:$K$151,$AB633)="",2958101,INDEX(Contracts!$K$2:$K$151,$AB633)),0)),IF($Z633="A",EDATE(DATE(YEAR(INDEX(Fixed_Assets!$G$2:$G$201,$AB633)),MONTH(INDEX(Fixed_Assets!$G$2:$G$201,$AB633)),1),INDEX(Fixed_Assets!$J$2:$J$201,$AB633)-1),IF($Z633="F",MIN(IF(INDEX(Workforce!$J$2:$J$151,MATCH(INDEX(FTE_Allocation!$A$2:$A$201,$AB633),Workforce!$A$2:$A$151,0))="",2958101,INDEX(Workforce!$J$2:$J$151,MATCH(INDEX(FTE_Allocation!$A$2:$A$201,$AB633),Workforce!$A$2:$A$151,0))),IF(INDEX(FTE_Allocation!$J$2:$J$201,$AB633)="",2958101,INDEX(FTE_Allocation!$J$2:$J$201,$AB633))),"")))</f>
        <v/>
      </c>
      <c r="AG633" s="19">
        <f>IF($Z633="C",IF(INDEX(Contracts!$I$2:$I$151,$AB633)="PREPAID",INDEX(Contracts!$M$2:$M$151,$AB633)/IF(INDEX(Contracts!$N$2:$N$151,$AB633)="",12,INDEX(Contracts!$N$2:$N$151,$AB633)),IF(INDEX(Contracts!$I$2:$I$151,$AB633)="MONTHLY",INDEX(Contracts!$M$2:$M$151,$AB633),0))*(1-N(INDEX(Contracts!$O$2:$O$151,$AB633))),IF($Z633="A",INDEX(Fixed_Assets!$H$2:$H$201,$AB633)/INDEX(Fixed_Assets!$J$2:$J$201,$AB633),IF($Z633="F",INDEX(Workforce!$F$2:$F$151,MATCH(INDEX(FTE_Allocation!$A$2:$A$201,$AB633),Workforce!$A$2:$A$151,0))*N(INDEX(FTE_Allocation!$F$2:$H$201,$AB633,$AC633)),"")))</f>
        <v/>
      </c>
    </row>
    <row r="634">
      <c r="A634" s="7">
        <f>IF($Z634="","",$AD634)</f>
        <v/>
      </c>
      <c r="B634" s="7">
        <f>IF($Z634="C",INDEX(Contracts!$D$2:$D$151,$AB634)&amp;"",IF($Z634="A",INDEX(Fixed_Assets!$C$2:$C$201,$AB634)&amp;"",IF($Z634="F",INDEX(Workforce!$B$2:$B$151,MATCH(INDEX(FTE_Allocation!$A$2:$A$201,$AB634),Workforce!$A$2:$A$151,0))&amp;"","")))</f>
        <v/>
      </c>
      <c r="C634" s="7">
        <f>IF($Z634="C",INDEX(Contracts!$E$2:$E$151,$AB634)&amp;"",IF($Z634="A",INDEX(Fixed_Assets!$D$2:$D$201,$AB634)&amp;"",IF($Z634="F",INDEX(FTE_Allocation!$C$2:$C$201,$AB634)&amp;"","")))</f>
        <v/>
      </c>
      <c r="D634" s="7">
        <f>IF($Z634="C",INDEX(Contracts!$B$2:$B$151,$AB634)&amp;"",IF($Z634="A",INDEX(Fixed_Assets!$B$2:$B$201,$AB634)&amp;"",IF($Z634="F",INDEX(FTE_Allocation!$B$2:$B$201,$AB634)&amp;"","")))</f>
        <v/>
      </c>
      <c r="E634" s="7">
        <f>IF($Z634="C",INDEX(Contracts!$P$2:$P$151,$AB634)&amp;"",IF($Z634="A",INDEX(Fixed_Assets!$K$2:$K$201,$AB634)&amp;"",IF($Z634="F",IF(INDEX(FTE_Allocation!$D$2:$D$201,$AB634)="PROJECT",IFERROR(INDEX(Projects!$D:$D,MATCH(INDEX(FTE_Allocation!$E$2:$E$201,$AB634),Projects!$A:$A,0))&amp;"","#PROJECT?"),INDEX(FTE_Allocation!$E$2:$E$201,$AB634)&amp;""),"")))</f>
        <v/>
      </c>
      <c r="F634" s="7">
        <f>IF($Z634="C",INDEX(Contracts!$Q$2:$Q$151,$AB634)&amp;"",IF($Z634="A",INDEX(Fixed_Assets!$L$2:$L$201,$AB634)&amp;"",IF($Z634="F",INDEX(Workforce!$K$2:$K$151,MATCH(INDEX(FTE_Allocation!$A$2:$A$201,$AB634),Workforce!$A$2:$A$151,0))&amp;"","")))</f>
        <v/>
      </c>
      <c r="G634" s="7">
        <f>IF($Z634="C",INDEX(Contracts!$F$2:$F$151,$AB634)&amp;" / "&amp;INDEX(Contracts!$G$2:$G$151,$AB634),IF($Z634="A",INDEX(Fixed_Assets!$E$2:$E$201,$AB634)&amp;"",IF($Z634="F","Personnel "&amp;INDEX(FTE_Allocation!$A$2:$A$201,$AB634)&amp;IF(INDEX(FTE_Allocation!$D$2:$D$201,$AB634)="PROJECT"," ("&amp;INDEX(FTE_Allocation!$E$2:$E$201,$AB634)&amp;")",""),"")))</f>
        <v/>
      </c>
      <c r="H634" s="7">
        <f>IF($Z634="C","CONTRACT",IF($Z634="A","ASSET",IF($Z634="F","WORKFORCE","")))</f>
        <v/>
      </c>
      <c r="I634" s="7">
        <f>IF($Z634="C",INDEX(Contracts!$L$2:$L$151,$AB634)&amp;"",IF($Z634="A",INDEX(Fixed_Assets!$I$2:$I$201,$AB634)&amp;"",IF($Z634="F",INDEX(Workforce!$G$2:$G$151,MATCH(INDEX(FTE_Allocation!$A$2:$A$201,$AB634),Workforce!$A$2:$A$151,0))&amp;"","")))</f>
        <v/>
      </c>
      <c r="J634" s="18">
        <f>IF($Z634="","",IF(AND(DATE($AD634,1,1)&gt;=$AE634,DATE($AD634,1,1)&lt;=$AF634),ROUND($AG634,2),0))</f>
        <v/>
      </c>
      <c r="K634" s="18">
        <f>IF($Z634="","",IF(AND(DATE($AD634,2,1)&gt;=$AE634,DATE($AD634,2,1)&lt;=$AF634),ROUND($AG634,2),0))</f>
        <v/>
      </c>
      <c r="L634" s="18">
        <f>IF($Z634="","",IF(AND(DATE($AD634,3,1)&gt;=$AE634,DATE($AD634,3,1)&lt;=$AF634),ROUND($AG634,2),0))</f>
        <v/>
      </c>
      <c r="M634" s="18">
        <f>IF($Z634="","",IF(AND(DATE($AD634,4,1)&gt;=$AE634,DATE($AD634,4,1)&lt;=$AF634),ROUND($AG634,2),0))</f>
        <v/>
      </c>
      <c r="N634" s="18">
        <f>IF($Z634="","",IF(AND(DATE($AD634,5,1)&gt;=$AE634,DATE($AD634,5,1)&lt;=$AF634),ROUND($AG634,2),0))</f>
        <v/>
      </c>
      <c r="O634" s="18">
        <f>IF($Z634="","",IF(AND(DATE($AD634,6,1)&gt;=$AE634,DATE($AD634,6,1)&lt;=$AF634),ROUND($AG634,2),0))</f>
        <v/>
      </c>
      <c r="P634" s="18">
        <f>IF($Z634="","",IF(AND(DATE($AD634,7,1)&gt;=$AE634,DATE($AD634,7,1)&lt;=$AF634),ROUND($AG634,2),0))</f>
        <v/>
      </c>
      <c r="Q634" s="18">
        <f>IF($Z634="","",IF(AND(DATE($AD634,8,1)&gt;=$AE634,DATE($AD634,8,1)&lt;=$AF634),ROUND($AG634,2),0))</f>
        <v/>
      </c>
      <c r="R634" s="18">
        <f>IF($Z634="","",IF(AND(DATE($AD634,9,1)&gt;=$AE634,DATE($AD634,9,1)&lt;=$AF634),ROUND($AG634,2),0))</f>
        <v/>
      </c>
      <c r="S634" s="18">
        <f>IF($Z634="","",IF(AND(DATE($AD634,10,1)&gt;=$AE634,DATE($AD634,10,1)&lt;=$AF634),ROUND($AG634,2),0))</f>
        <v/>
      </c>
      <c r="T634" s="18">
        <f>IF($Z634="","",IF(AND(DATE($AD634,11,1)&gt;=$AE634,DATE($AD634,11,1)&lt;=$AF634),ROUND($AG634,2),0))</f>
        <v/>
      </c>
      <c r="U634" s="18">
        <f>IF($Z634="","",IF(AND(DATE($AD634,12,1)&gt;=$AE634,DATE($AD634,12,1)&lt;=$AF634),ROUND($AG634,2),0))</f>
        <v/>
      </c>
      <c r="V634" s="7">
        <f>IF($Z634="C","Generated from "&amp;INDEX(Contracts!$A$2:$A$151,$AB634),IF($Z634="A","Generated from "&amp;INDEX(Fixed_Assets!$A$2:$A$201,$AB634),IF($Z634="F","Generated from "&amp;INDEX(FTE_Allocation!$A$2:$A$201,$AB634),"")))</f>
        <v/>
      </c>
      <c r="X634" s="19">
        <f>IF($Z634="","",SUM(J634:U634))</f>
        <v/>
      </c>
      <c r="Y634" s="20">
        <f>ROW()-1</f>
        <v/>
      </c>
      <c r="Z634" s="20">
        <f>IF($Y634&lt;=Settings!$B$4*3,"C",IF($Y634&lt;=(Settings!$B$4+Settings!$B$5)*3,"A",IF($Y634&lt;=(Settings!$B$4+Settings!$B$5+Settings!$B$6)*3,"F","")))</f>
        <v/>
      </c>
      <c r="AA634" s="20">
        <f>IF($Z634="C",$Y634,IF($Z634="A",$Y634-Settings!$B$4*3,IF($Z634="F",$Y634-(Settings!$B$4+Settings!$B$5)*3,"")))</f>
        <v/>
      </c>
      <c r="AB634" s="20">
        <f>IF($Z634="","",INT(($AA634-1)/3)+1)</f>
        <v/>
      </c>
      <c r="AC634" s="20">
        <f>IF($Z634="","",MOD($AA634-1,3)+1)</f>
        <v/>
      </c>
      <c r="AD634" s="20">
        <f>IF($Z634="","",Settings!$B$2+$AC634-1)</f>
        <v/>
      </c>
      <c r="AE634" s="21">
        <f>IF($Z634="C",DATE(YEAR(INDEX(Contracts!$J$2:$J$151,$AB634)),MONTH(INDEX(Contracts!$J$2:$J$151,$AB634)),1),IF($Z634="A",DATE(YEAR(INDEX(Fixed_Assets!$G$2:$G$201,$AB634)),MONTH(INDEX(Fixed_Assets!$G$2:$G$201,$AB634)),1),IF($Z634="F",DATE(YEAR(MAX(N(INDEX(Workforce!$I$2:$I$151,MATCH(INDEX(FTE_Allocation!$A$2:$A$201,$AB634),Workforce!$A$2:$A$151,0))),N(INDEX(FTE_Allocation!$I$2:$I$201,$AB634)))),MONTH(MAX(N(INDEX(Workforce!$I$2:$I$151,MATCH(INDEX(FTE_Allocation!$A$2:$A$201,$AB634),Workforce!$A$2:$A$151,0))),N(INDEX(FTE_Allocation!$I$2:$I$201,$AB634)))),1),"")))</f>
        <v/>
      </c>
      <c r="AF634" s="21">
        <f>IF($Z634="C",IF(INDEX(Contracts!$I$2:$I$151,$AB634)="PREPAID",EDATE(DATE(YEAR(INDEX(Contracts!$J$2:$J$151,$AB634)),MONTH(INDEX(Contracts!$J$2:$J$151,$AB634)),1),IF(INDEX(Contracts!$N$2:$N$151,$AB634)="",12,INDEX(Contracts!$N$2:$N$151,$AB634))-1),IF(INDEX(Contracts!$I$2:$I$151,$AB634)="MONTHLY",IF(INDEX(Contracts!$K$2:$K$151,$AB634)="",2958101,INDEX(Contracts!$K$2:$K$151,$AB634)),0)),IF($Z634="A",EDATE(DATE(YEAR(INDEX(Fixed_Assets!$G$2:$G$201,$AB634)),MONTH(INDEX(Fixed_Assets!$G$2:$G$201,$AB634)),1),INDEX(Fixed_Assets!$J$2:$J$201,$AB634)-1),IF($Z634="F",MIN(IF(INDEX(Workforce!$J$2:$J$151,MATCH(INDEX(FTE_Allocation!$A$2:$A$201,$AB634),Workforce!$A$2:$A$151,0))="",2958101,INDEX(Workforce!$J$2:$J$151,MATCH(INDEX(FTE_Allocation!$A$2:$A$201,$AB634),Workforce!$A$2:$A$151,0))),IF(INDEX(FTE_Allocation!$J$2:$J$201,$AB634)="",2958101,INDEX(FTE_Allocation!$J$2:$J$201,$AB634))),"")))</f>
        <v/>
      </c>
      <c r="AG634" s="19">
        <f>IF($Z634="C",IF(INDEX(Contracts!$I$2:$I$151,$AB634)="PREPAID",INDEX(Contracts!$M$2:$M$151,$AB634)/IF(INDEX(Contracts!$N$2:$N$151,$AB634)="",12,INDEX(Contracts!$N$2:$N$151,$AB634)),IF(INDEX(Contracts!$I$2:$I$151,$AB634)="MONTHLY",INDEX(Contracts!$M$2:$M$151,$AB634),0))*(1-N(INDEX(Contracts!$O$2:$O$151,$AB634))),IF($Z634="A",INDEX(Fixed_Assets!$H$2:$H$201,$AB634)/INDEX(Fixed_Assets!$J$2:$J$201,$AB634),IF($Z634="F",INDEX(Workforce!$F$2:$F$151,MATCH(INDEX(FTE_Allocation!$A$2:$A$201,$AB634),Workforce!$A$2:$A$151,0))*N(INDEX(FTE_Allocation!$F$2:$H$201,$AB634,$AC634)),"")))</f>
        <v/>
      </c>
    </row>
    <row r="635">
      <c r="A635" s="7">
        <f>IF($Z635="","",$AD635)</f>
        <v/>
      </c>
      <c r="B635" s="7">
        <f>IF($Z635="C",INDEX(Contracts!$D$2:$D$151,$AB635)&amp;"",IF($Z635="A",INDEX(Fixed_Assets!$C$2:$C$201,$AB635)&amp;"",IF($Z635="F",INDEX(Workforce!$B$2:$B$151,MATCH(INDEX(FTE_Allocation!$A$2:$A$201,$AB635),Workforce!$A$2:$A$151,0))&amp;"","")))</f>
        <v/>
      </c>
      <c r="C635" s="7">
        <f>IF($Z635="C",INDEX(Contracts!$E$2:$E$151,$AB635)&amp;"",IF($Z635="A",INDEX(Fixed_Assets!$D$2:$D$201,$AB635)&amp;"",IF($Z635="F",INDEX(FTE_Allocation!$C$2:$C$201,$AB635)&amp;"","")))</f>
        <v/>
      </c>
      <c r="D635" s="7">
        <f>IF($Z635="C",INDEX(Contracts!$B$2:$B$151,$AB635)&amp;"",IF($Z635="A",INDEX(Fixed_Assets!$B$2:$B$201,$AB635)&amp;"",IF($Z635="F",INDEX(FTE_Allocation!$B$2:$B$201,$AB635)&amp;"","")))</f>
        <v/>
      </c>
      <c r="E635" s="7">
        <f>IF($Z635="C",INDEX(Contracts!$P$2:$P$151,$AB635)&amp;"",IF($Z635="A",INDEX(Fixed_Assets!$K$2:$K$201,$AB635)&amp;"",IF($Z635="F",IF(INDEX(FTE_Allocation!$D$2:$D$201,$AB635)="PROJECT",IFERROR(INDEX(Projects!$D:$D,MATCH(INDEX(FTE_Allocation!$E$2:$E$201,$AB635),Projects!$A:$A,0))&amp;"","#PROJECT?"),INDEX(FTE_Allocation!$E$2:$E$201,$AB635)&amp;""),"")))</f>
        <v/>
      </c>
      <c r="F635" s="7">
        <f>IF($Z635="C",INDEX(Contracts!$Q$2:$Q$151,$AB635)&amp;"",IF($Z635="A",INDEX(Fixed_Assets!$L$2:$L$201,$AB635)&amp;"",IF($Z635="F",INDEX(Workforce!$K$2:$K$151,MATCH(INDEX(FTE_Allocation!$A$2:$A$201,$AB635),Workforce!$A$2:$A$151,0))&amp;"","")))</f>
        <v/>
      </c>
      <c r="G635" s="7">
        <f>IF($Z635="C",INDEX(Contracts!$F$2:$F$151,$AB635)&amp;" / "&amp;INDEX(Contracts!$G$2:$G$151,$AB635),IF($Z635="A",INDEX(Fixed_Assets!$E$2:$E$201,$AB635)&amp;"",IF($Z635="F","Personnel "&amp;INDEX(FTE_Allocation!$A$2:$A$201,$AB635)&amp;IF(INDEX(FTE_Allocation!$D$2:$D$201,$AB635)="PROJECT"," ("&amp;INDEX(FTE_Allocation!$E$2:$E$201,$AB635)&amp;")",""),"")))</f>
        <v/>
      </c>
      <c r="H635" s="7">
        <f>IF($Z635="C","CONTRACT",IF($Z635="A","ASSET",IF($Z635="F","WORKFORCE","")))</f>
        <v/>
      </c>
      <c r="I635" s="7">
        <f>IF($Z635="C",INDEX(Contracts!$L$2:$L$151,$AB635)&amp;"",IF($Z635="A",INDEX(Fixed_Assets!$I$2:$I$201,$AB635)&amp;"",IF($Z635="F",INDEX(Workforce!$G$2:$G$151,MATCH(INDEX(FTE_Allocation!$A$2:$A$201,$AB635),Workforce!$A$2:$A$151,0))&amp;"","")))</f>
        <v/>
      </c>
      <c r="J635" s="18">
        <f>IF($Z635="","",IF(AND(DATE($AD635,1,1)&gt;=$AE635,DATE($AD635,1,1)&lt;=$AF635),ROUND($AG635,2),0))</f>
        <v/>
      </c>
      <c r="K635" s="18">
        <f>IF($Z635="","",IF(AND(DATE($AD635,2,1)&gt;=$AE635,DATE($AD635,2,1)&lt;=$AF635),ROUND($AG635,2),0))</f>
        <v/>
      </c>
      <c r="L635" s="18">
        <f>IF($Z635="","",IF(AND(DATE($AD635,3,1)&gt;=$AE635,DATE($AD635,3,1)&lt;=$AF635),ROUND($AG635,2),0))</f>
        <v/>
      </c>
      <c r="M635" s="18">
        <f>IF($Z635="","",IF(AND(DATE($AD635,4,1)&gt;=$AE635,DATE($AD635,4,1)&lt;=$AF635),ROUND($AG635,2),0))</f>
        <v/>
      </c>
      <c r="N635" s="18">
        <f>IF($Z635="","",IF(AND(DATE($AD635,5,1)&gt;=$AE635,DATE($AD635,5,1)&lt;=$AF635),ROUND($AG635,2),0))</f>
        <v/>
      </c>
      <c r="O635" s="18">
        <f>IF($Z635="","",IF(AND(DATE($AD635,6,1)&gt;=$AE635,DATE($AD635,6,1)&lt;=$AF635),ROUND($AG635,2),0))</f>
        <v/>
      </c>
      <c r="P635" s="18">
        <f>IF($Z635="","",IF(AND(DATE($AD635,7,1)&gt;=$AE635,DATE($AD635,7,1)&lt;=$AF635),ROUND($AG635,2),0))</f>
        <v/>
      </c>
      <c r="Q635" s="18">
        <f>IF($Z635="","",IF(AND(DATE($AD635,8,1)&gt;=$AE635,DATE($AD635,8,1)&lt;=$AF635),ROUND($AG635,2),0))</f>
        <v/>
      </c>
      <c r="R635" s="18">
        <f>IF($Z635="","",IF(AND(DATE($AD635,9,1)&gt;=$AE635,DATE($AD635,9,1)&lt;=$AF635),ROUND($AG635,2),0))</f>
        <v/>
      </c>
      <c r="S635" s="18">
        <f>IF($Z635="","",IF(AND(DATE($AD635,10,1)&gt;=$AE635,DATE($AD635,10,1)&lt;=$AF635),ROUND($AG635,2),0))</f>
        <v/>
      </c>
      <c r="T635" s="18">
        <f>IF($Z635="","",IF(AND(DATE($AD635,11,1)&gt;=$AE635,DATE($AD635,11,1)&lt;=$AF635),ROUND($AG635,2),0))</f>
        <v/>
      </c>
      <c r="U635" s="18">
        <f>IF($Z635="","",IF(AND(DATE($AD635,12,1)&gt;=$AE635,DATE($AD635,12,1)&lt;=$AF635),ROUND($AG635,2),0))</f>
        <v/>
      </c>
      <c r="V635" s="7">
        <f>IF($Z635="C","Generated from "&amp;INDEX(Contracts!$A$2:$A$151,$AB635),IF($Z635="A","Generated from "&amp;INDEX(Fixed_Assets!$A$2:$A$201,$AB635),IF($Z635="F","Generated from "&amp;INDEX(FTE_Allocation!$A$2:$A$201,$AB635),"")))</f>
        <v/>
      </c>
      <c r="X635" s="19">
        <f>IF($Z635="","",SUM(J635:U635))</f>
        <v/>
      </c>
      <c r="Y635" s="20">
        <f>ROW()-1</f>
        <v/>
      </c>
      <c r="Z635" s="20">
        <f>IF($Y635&lt;=Settings!$B$4*3,"C",IF($Y635&lt;=(Settings!$B$4+Settings!$B$5)*3,"A",IF($Y635&lt;=(Settings!$B$4+Settings!$B$5+Settings!$B$6)*3,"F","")))</f>
        <v/>
      </c>
      <c r="AA635" s="20">
        <f>IF($Z635="C",$Y635,IF($Z635="A",$Y635-Settings!$B$4*3,IF($Z635="F",$Y635-(Settings!$B$4+Settings!$B$5)*3,"")))</f>
        <v/>
      </c>
      <c r="AB635" s="20">
        <f>IF($Z635="","",INT(($AA635-1)/3)+1)</f>
        <v/>
      </c>
      <c r="AC635" s="20">
        <f>IF($Z635="","",MOD($AA635-1,3)+1)</f>
        <v/>
      </c>
      <c r="AD635" s="20">
        <f>IF($Z635="","",Settings!$B$2+$AC635-1)</f>
        <v/>
      </c>
      <c r="AE635" s="21">
        <f>IF($Z635="C",DATE(YEAR(INDEX(Contracts!$J$2:$J$151,$AB635)),MONTH(INDEX(Contracts!$J$2:$J$151,$AB635)),1),IF($Z635="A",DATE(YEAR(INDEX(Fixed_Assets!$G$2:$G$201,$AB635)),MONTH(INDEX(Fixed_Assets!$G$2:$G$201,$AB635)),1),IF($Z635="F",DATE(YEAR(MAX(N(INDEX(Workforce!$I$2:$I$151,MATCH(INDEX(FTE_Allocation!$A$2:$A$201,$AB635),Workforce!$A$2:$A$151,0))),N(INDEX(FTE_Allocation!$I$2:$I$201,$AB635)))),MONTH(MAX(N(INDEX(Workforce!$I$2:$I$151,MATCH(INDEX(FTE_Allocation!$A$2:$A$201,$AB635),Workforce!$A$2:$A$151,0))),N(INDEX(FTE_Allocation!$I$2:$I$201,$AB635)))),1),"")))</f>
        <v/>
      </c>
      <c r="AF635" s="21">
        <f>IF($Z635="C",IF(INDEX(Contracts!$I$2:$I$151,$AB635)="PREPAID",EDATE(DATE(YEAR(INDEX(Contracts!$J$2:$J$151,$AB635)),MONTH(INDEX(Contracts!$J$2:$J$151,$AB635)),1),IF(INDEX(Contracts!$N$2:$N$151,$AB635)="",12,INDEX(Contracts!$N$2:$N$151,$AB635))-1),IF(INDEX(Contracts!$I$2:$I$151,$AB635)="MONTHLY",IF(INDEX(Contracts!$K$2:$K$151,$AB635)="",2958101,INDEX(Contracts!$K$2:$K$151,$AB635)),0)),IF($Z635="A",EDATE(DATE(YEAR(INDEX(Fixed_Assets!$G$2:$G$201,$AB635)),MONTH(INDEX(Fixed_Assets!$G$2:$G$201,$AB635)),1),INDEX(Fixed_Assets!$J$2:$J$201,$AB635)-1),IF($Z635="F",MIN(IF(INDEX(Workforce!$J$2:$J$151,MATCH(INDEX(FTE_Allocation!$A$2:$A$201,$AB635),Workforce!$A$2:$A$151,0))="",2958101,INDEX(Workforce!$J$2:$J$151,MATCH(INDEX(FTE_Allocation!$A$2:$A$201,$AB635),Workforce!$A$2:$A$151,0))),IF(INDEX(FTE_Allocation!$J$2:$J$201,$AB635)="",2958101,INDEX(FTE_Allocation!$J$2:$J$201,$AB635))),"")))</f>
        <v/>
      </c>
      <c r="AG635" s="19">
        <f>IF($Z635="C",IF(INDEX(Contracts!$I$2:$I$151,$AB635)="PREPAID",INDEX(Contracts!$M$2:$M$151,$AB635)/IF(INDEX(Contracts!$N$2:$N$151,$AB635)="",12,INDEX(Contracts!$N$2:$N$151,$AB635)),IF(INDEX(Contracts!$I$2:$I$151,$AB635)="MONTHLY",INDEX(Contracts!$M$2:$M$151,$AB635),0))*(1-N(INDEX(Contracts!$O$2:$O$151,$AB635))),IF($Z635="A",INDEX(Fixed_Assets!$H$2:$H$201,$AB635)/INDEX(Fixed_Assets!$J$2:$J$201,$AB635),IF($Z635="F",INDEX(Workforce!$F$2:$F$151,MATCH(INDEX(FTE_Allocation!$A$2:$A$201,$AB635),Workforce!$A$2:$A$151,0))*N(INDEX(FTE_Allocation!$F$2:$H$201,$AB635,$AC635)),"")))</f>
        <v/>
      </c>
    </row>
    <row r="636">
      <c r="A636" s="7">
        <f>IF($Z636="","",$AD636)</f>
        <v/>
      </c>
      <c r="B636" s="7">
        <f>IF($Z636="C",INDEX(Contracts!$D$2:$D$151,$AB636)&amp;"",IF($Z636="A",INDEX(Fixed_Assets!$C$2:$C$201,$AB636)&amp;"",IF($Z636="F",INDEX(Workforce!$B$2:$B$151,MATCH(INDEX(FTE_Allocation!$A$2:$A$201,$AB636),Workforce!$A$2:$A$151,0))&amp;"","")))</f>
        <v/>
      </c>
      <c r="C636" s="7">
        <f>IF($Z636="C",INDEX(Contracts!$E$2:$E$151,$AB636)&amp;"",IF($Z636="A",INDEX(Fixed_Assets!$D$2:$D$201,$AB636)&amp;"",IF($Z636="F",INDEX(FTE_Allocation!$C$2:$C$201,$AB636)&amp;"","")))</f>
        <v/>
      </c>
      <c r="D636" s="7">
        <f>IF($Z636="C",INDEX(Contracts!$B$2:$B$151,$AB636)&amp;"",IF($Z636="A",INDEX(Fixed_Assets!$B$2:$B$201,$AB636)&amp;"",IF($Z636="F",INDEX(FTE_Allocation!$B$2:$B$201,$AB636)&amp;"","")))</f>
        <v/>
      </c>
      <c r="E636" s="7">
        <f>IF($Z636="C",INDEX(Contracts!$P$2:$P$151,$AB636)&amp;"",IF($Z636="A",INDEX(Fixed_Assets!$K$2:$K$201,$AB636)&amp;"",IF($Z636="F",IF(INDEX(FTE_Allocation!$D$2:$D$201,$AB636)="PROJECT",IFERROR(INDEX(Projects!$D:$D,MATCH(INDEX(FTE_Allocation!$E$2:$E$201,$AB636),Projects!$A:$A,0))&amp;"","#PROJECT?"),INDEX(FTE_Allocation!$E$2:$E$201,$AB636)&amp;""),"")))</f>
        <v/>
      </c>
      <c r="F636" s="7">
        <f>IF($Z636="C",INDEX(Contracts!$Q$2:$Q$151,$AB636)&amp;"",IF($Z636="A",INDEX(Fixed_Assets!$L$2:$L$201,$AB636)&amp;"",IF($Z636="F",INDEX(Workforce!$K$2:$K$151,MATCH(INDEX(FTE_Allocation!$A$2:$A$201,$AB636),Workforce!$A$2:$A$151,0))&amp;"","")))</f>
        <v/>
      </c>
      <c r="G636" s="7">
        <f>IF($Z636="C",INDEX(Contracts!$F$2:$F$151,$AB636)&amp;" / "&amp;INDEX(Contracts!$G$2:$G$151,$AB636),IF($Z636="A",INDEX(Fixed_Assets!$E$2:$E$201,$AB636)&amp;"",IF($Z636="F","Personnel "&amp;INDEX(FTE_Allocation!$A$2:$A$201,$AB636)&amp;IF(INDEX(FTE_Allocation!$D$2:$D$201,$AB636)="PROJECT"," ("&amp;INDEX(FTE_Allocation!$E$2:$E$201,$AB636)&amp;")",""),"")))</f>
        <v/>
      </c>
      <c r="H636" s="7">
        <f>IF($Z636="C","CONTRACT",IF($Z636="A","ASSET",IF($Z636="F","WORKFORCE","")))</f>
        <v/>
      </c>
      <c r="I636" s="7">
        <f>IF($Z636="C",INDEX(Contracts!$L$2:$L$151,$AB636)&amp;"",IF($Z636="A",INDEX(Fixed_Assets!$I$2:$I$201,$AB636)&amp;"",IF($Z636="F",INDEX(Workforce!$G$2:$G$151,MATCH(INDEX(FTE_Allocation!$A$2:$A$201,$AB636),Workforce!$A$2:$A$151,0))&amp;"","")))</f>
        <v/>
      </c>
      <c r="J636" s="18">
        <f>IF($Z636="","",IF(AND(DATE($AD636,1,1)&gt;=$AE636,DATE($AD636,1,1)&lt;=$AF636),ROUND($AG636,2),0))</f>
        <v/>
      </c>
      <c r="K636" s="18">
        <f>IF($Z636="","",IF(AND(DATE($AD636,2,1)&gt;=$AE636,DATE($AD636,2,1)&lt;=$AF636),ROUND($AG636,2),0))</f>
        <v/>
      </c>
      <c r="L636" s="18">
        <f>IF($Z636="","",IF(AND(DATE($AD636,3,1)&gt;=$AE636,DATE($AD636,3,1)&lt;=$AF636),ROUND($AG636,2),0))</f>
        <v/>
      </c>
      <c r="M636" s="18">
        <f>IF($Z636="","",IF(AND(DATE($AD636,4,1)&gt;=$AE636,DATE($AD636,4,1)&lt;=$AF636),ROUND($AG636,2),0))</f>
        <v/>
      </c>
      <c r="N636" s="18">
        <f>IF($Z636="","",IF(AND(DATE($AD636,5,1)&gt;=$AE636,DATE($AD636,5,1)&lt;=$AF636),ROUND($AG636,2),0))</f>
        <v/>
      </c>
      <c r="O636" s="18">
        <f>IF($Z636="","",IF(AND(DATE($AD636,6,1)&gt;=$AE636,DATE($AD636,6,1)&lt;=$AF636),ROUND($AG636,2),0))</f>
        <v/>
      </c>
      <c r="P636" s="18">
        <f>IF($Z636="","",IF(AND(DATE($AD636,7,1)&gt;=$AE636,DATE($AD636,7,1)&lt;=$AF636),ROUND($AG636,2),0))</f>
        <v/>
      </c>
      <c r="Q636" s="18">
        <f>IF($Z636="","",IF(AND(DATE($AD636,8,1)&gt;=$AE636,DATE($AD636,8,1)&lt;=$AF636),ROUND($AG636,2),0))</f>
        <v/>
      </c>
      <c r="R636" s="18">
        <f>IF($Z636="","",IF(AND(DATE($AD636,9,1)&gt;=$AE636,DATE($AD636,9,1)&lt;=$AF636),ROUND($AG636,2),0))</f>
        <v/>
      </c>
      <c r="S636" s="18">
        <f>IF($Z636="","",IF(AND(DATE($AD636,10,1)&gt;=$AE636,DATE($AD636,10,1)&lt;=$AF636),ROUND($AG636,2),0))</f>
        <v/>
      </c>
      <c r="T636" s="18">
        <f>IF($Z636="","",IF(AND(DATE($AD636,11,1)&gt;=$AE636,DATE($AD636,11,1)&lt;=$AF636),ROUND($AG636,2),0))</f>
        <v/>
      </c>
      <c r="U636" s="18">
        <f>IF($Z636="","",IF(AND(DATE($AD636,12,1)&gt;=$AE636,DATE($AD636,12,1)&lt;=$AF636),ROUND($AG636,2),0))</f>
        <v/>
      </c>
      <c r="V636" s="7">
        <f>IF($Z636="C","Generated from "&amp;INDEX(Contracts!$A$2:$A$151,$AB636),IF($Z636="A","Generated from "&amp;INDEX(Fixed_Assets!$A$2:$A$201,$AB636),IF($Z636="F","Generated from "&amp;INDEX(FTE_Allocation!$A$2:$A$201,$AB636),"")))</f>
        <v/>
      </c>
      <c r="X636" s="19">
        <f>IF($Z636="","",SUM(J636:U636))</f>
        <v/>
      </c>
      <c r="Y636" s="20">
        <f>ROW()-1</f>
        <v/>
      </c>
      <c r="Z636" s="20">
        <f>IF($Y636&lt;=Settings!$B$4*3,"C",IF($Y636&lt;=(Settings!$B$4+Settings!$B$5)*3,"A",IF($Y636&lt;=(Settings!$B$4+Settings!$B$5+Settings!$B$6)*3,"F","")))</f>
        <v/>
      </c>
      <c r="AA636" s="20">
        <f>IF($Z636="C",$Y636,IF($Z636="A",$Y636-Settings!$B$4*3,IF($Z636="F",$Y636-(Settings!$B$4+Settings!$B$5)*3,"")))</f>
        <v/>
      </c>
      <c r="AB636" s="20">
        <f>IF($Z636="","",INT(($AA636-1)/3)+1)</f>
        <v/>
      </c>
      <c r="AC636" s="20">
        <f>IF($Z636="","",MOD($AA636-1,3)+1)</f>
        <v/>
      </c>
      <c r="AD636" s="20">
        <f>IF($Z636="","",Settings!$B$2+$AC636-1)</f>
        <v/>
      </c>
      <c r="AE636" s="21">
        <f>IF($Z636="C",DATE(YEAR(INDEX(Contracts!$J$2:$J$151,$AB636)),MONTH(INDEX(Contracts!$J$2:$J$151,$AB636)),1),IF($Z636="A",DATE(YEAR(INDEX(Fixed_Assets!$G$2:$G$201,$AB636)),MONTH(INDEX(Fixed_Assets!$G$2:$G$201,$AB636)),1),IF($Z636="F",DATE(YEAR(MAX(N(INDEX(Workforce!$I$2:$I$151,MATCH(INDEX(FTE_Allocation!$A$2:$A$201,$AB636),Workforce!$A$2:$A$151,0))),N(INDEX(FTE_Allocation!$I$2:$I$201,$AB636)))),MONTH(MAX(N(INDEX(Workforce!$I$2:$I$151,MATCH(INDEX(FTE_Allocation!$A$2:$A$201,$AB636),Workforce!$A$2:$A$151,0))),N(INDEX(FTE_Allocation!$I$2:$I$201,$AB636)))),1),"")))</f>
        <v/>
      </c>
      <c r="AF636" s="21">
        <f>IF($Z636="C",IF(INDEX(Contracts!$I$2:$I$151,$AB636)="PREPAID",EDATE(DATE(YEAR(INDEX(Contracts!$J$2:$J$151,$AB636)),MONTH(INDEX(Contracts!$J$2:$J$151,$AB636)),1),IF(INDEX(Contracts!$N$2:$N$151,$AB636)="",12,INDEX(Contracts!$N$2:$N$151,$AB636))-1),IF(INDEX(Contracts!$I$2:$I$151,$AB636)="MONTHLY",IF(INDEX(Contracts!$K$2:$K$151,$AB636)="",2958101,INDEX(Contracts!$K$2:$K$151,$AB636)),0)),IF($Z636="A",EDATE(DATE(YEAR(INDEX(Fixed_Assets!$G$2:$G$201,$AB636)),MONTH(INDEX(Fixed_Assets!$G$2:$G$201,$AB636)),1),INDEX(Fixed_Assets!$J$2:$J$201,$AB636)-1),IF($Z636="F",MIN(IF(INDEX(Workforce!$J$2:$J$151,MATCH(INDEX(FTE_Allocation!$A$2:$A$201,$AB636),Workforce!$A$2:$A$151,0))="",2958101,INDEX(Workforce!$J$2:$J$151,MATCH(INDEX(FTE_Allocation!$A$2:$A$201,$AB636),Workforce!$A$2:$A$151,0))),IF(INDEX(FTE_Allocation!$J$2:$J$201,$AB636)="",2958101,INDEX(FTE_Allocation!$J$2:$J$201,$AB636))),"")))</f>
        <v/>
      </c>
      <c r="AG636" s="19">
        <f>IF($Z636="C",IF(INDEX(Contracts!$I$2:$I$151,$AB636)="PREPAID",INDEX(Contracts!$M$2:$M$151,$AB636)/IF(INDEX(Contracts!$N$2:$N$151,$AB636)="",12,INDEX(Contracts!$N$2:$N$151,$AB636)),IF(INDEX(Contracts!$I$2:$I$151,$AB636)="MONTHLY",INDEX(Contracts!$M$2:$M$151,$AB636),0))*(1-N(INDEX(Contracts!$O$2:$O$151,$AB636))),IF($Z636="A",INDEX(Fixed_Assets!$H$2:$H$201,$AB636)/INDEX(Fixed_Assets!$J$2:$J$201,$AB636),IF($Z636="F",INDEX(Workforce!$F$2:$F$151,MATCH(INDEX(FTE_Allocation!$A$2:$A$201,$AB636),Workforce!$A$2:$A$151,0))*N(INDEX(FTE_Allocation!$F$2:$H$201,$AB636,$AC636)),"")))</f>
        <v/>
      </c>
    </row>
    <row r="637">
      <c r="A637" s="7">
        <f>IF($Z637="","",$AD637)</f>
        <v/>
      </c>
      <c r="B637" s="7">
        <f>IF($Z637="C",INDEX(Contracts!$D$2:$D$151,$AB637)&amp;"",IF($Z637="A",INDEX(Fixed_Assets!$C$2:$C$201,$AB637)&amp;"",IF($Z637="F",INDEX(Workforce!$B$2:$B$151,MATCH(INDEX(FTE_Allocation!$A$2:$A$201,$AB637),Workforce!$A$2:$A$151,0))&amp;"","")))</f>
        <v/>
      </c>
      <c r="C637" s="7">
        <f>IF($Z637="C",INDEX(Contracts!$E$2:$E$151,$AB637)&amp;"",IF($Z637="A",INDEX(Fixed_Assets!$D$2:$D$201,$AB637)&amp;"",IF($Z637="F",INDEX(FTE_Allocation!$C$2:$C$201,$AB637)&amp;"","")))</f>
        <v/>
      </c>
      <c r="D637" s="7">
        <f>IF($Z637="C",INDEX(Contracts!$B$2:$B$151,$AB637)&amp;"",IF($Z637="A",INDEX(Fixed_Assets!$B$2:$B$201,$AB637)&amp;"",IF($Z637="F",INDEX(FTE_Allocation!$B$2:$B$201,$AB637)&amp;"","")))</f>
        <v/>
      </c>
      <c r="E637" s="7">
        <f>IF($Z637="C",INDEX(Contracts!$P$2:$P$151,$AB637)&amp;"",IF($Z637="A",INDEX(Fixed_Assets!$K$2:$K$201,$AB637)&amp;"",IF($Z637="F",IF(INDEX(FTE_Allocation!$D$2:$D$201,$AB637)="PROJECT",IFERROR(INDEX(Projects!$D:$D,MATCH(INDEX(FTE_Allocation!$E$2:$E$201,$AB637),Projects!$A:$A,0))&amp;"","#PROJECT?"),INDEX(FTE_Allocation!$E$2:$E$201,$AB637)&amp;""),"")))</f>
        <v/>
      </c>
      <c r="F637" s="7">
        <f>IF($Z637="C",INDEX(Contracts!$Q$2:$Q$151,$AB637)&amp;"",IF($Z637="A",INDEX(Fixed_Assets!$L$2:$L$201,$AB637)&amp;"",IF($Z637="F",INDEX(Workforce!$K$2:$K$151,MATCH(INDEX(FTE_Allocation!$A$2:$A$201,$AB637),Workforce!$A$2:$A$151,0))&amp;"","")))</f>
        <v/>
      </c>
      <c r="G637" s="7">
        <f>IF($Z637="C",INDEX(Contracts!$F$2:$F$151,$AB637)&amp;" / "&amp;INDEX(Contracts!$G$2:$G$151,$AB637),IF($Z637="A",INDEX(Fixed_Assets!$E$2:$E$201,$AB637)&amp;"",IF($Z637="F","Personnel "&amp;INDEX(FTE_Allocation!$A$2:$A$201,$AB637)&amp;IF(INDEX(FTE_Allocation!$D$2:$D$201,$AB637)="PROJECT"," ("&amp;INDEX(FTE_Allocation!$E$2:$E$201,$AB637)&amp;")",""),"")))</f>
        <v/>
      </c>
      <c r="H637" s="7">
        <f>IF($Z637="C","CONTRACT",IF($Z637="A","ASSET",IF($Z637="F","WORKFORCE","")))</f>
        <v/>
      </c>
      <c r="I637" s="7">
        <f>IF($Z637="C",INDEX(Contracts!$L$2:$L$151,$AB637)&amp;"",IF($Z637="A",INDEX(Fixed_Assets!$I$2:$I$201,$AB637)&amp;"",IF($Z637="F",INDEX(Workforce!$G$2:$G$151,MATCH(INDEX(FTE_Allocation!$A$2:$A$201,$AB637),Workforce!$A$2:$A$151,0))&amp;"","")))</f>
        <v/>
      </c>
      <c r="J637" s="18">
        <f>IF($Z637="","",IF(AND(DATE($AD637,1,1)&gt;=$AE637,DATE($AD637,1,1)&lt;=$AF637),ROUND($AG637,2),0))</f>
        <v/>
      </c>
      <c r="K637" s="18">
        <f>IF($Z637="","",IF(AND(DATE($AD637,2,1)&gt;=$AE637,DATE($AD637,2,1)&lt;=$AF637),ROUND($AG637,2),0))</f>
        <v/>
      </c>
      <c r="L637" s="18">
        <f>IF($Z637="","",IF(AND(DATE($AD637,3,1)&gt;=$AE637,DATE($AD637,3,1)&lt;=$AF637),ROUND($AG637,2),0))</f>
        <v/>
      </c>
      <c r="M637" s="18">
        <f>IF($Z637="","",IF(AND(DATE($AD637,4,1)&gt;=$AE637,DATE($AD637,4,1)&lt;=$AF637),ROUND($AG637,2),0))</f>
        <v/>
      </c>
      <c r="N637" s="18">
        <f>IF($Z637="","",IF(AND(DATE($AD637,5,1)&gt;=$AE637,DATE($AD637,5,1)&lt;=$AF637),ROUND($AG637,2),0))</f>
        <v/>
      </c>
      <c r="O637" s="18">
        <f>IF($Z637="","",IF(AND(DATE($AD637,6,1)&gt;=$AE637,DATE($AD637,6,1)&lt;=$AF637),ROUND($AG637,2),0))</f>
        <v/>
      </c>
      <c r="P637" s="18">
        <f>IF($Z637="","",IF(AND(DATE($AD637,7,1)&gt;=$AE637,DATE($AD637,7,1)&lt;=$AF637),ROUND($AG637,2),0))</f>
        <v/>
      </c>
      <c r="Q637" s="18">
        <f>IF($Z637="","",IF(AND(DATE($AD637,8,1)&gt;=$AE637,DATE($AD637,8,1)&lt;=$AF637),ROUND($AG637,2),0))</f>
        <v/>
      </c>
      <c r="R637" s="18">
        <f>IF($Z637="","",IF(AND(DATE($AD637,9,1)&gt;=$AE637,DATE($AD637,9,1)&lt;=$AF637),ROUND($AG637,2),0))</f>
        <v/>
      </c>
      <c r="S637" s="18">
        <f>IF($Z637="","",IF(AND(DATE($AD637,10,1)&gt;=$AE637,DATE($AD637,10,1)&lt;=$AF637),ROUND($AG637,2),0))</f>
        <v/>
      </c>
      <c r="T637" s="18">
        <f>IF($Z637="","",IF(AND(DATE($AD637,11,1)&gt;=$AE637,DATE($AD637,11,1)&lt;=$AF637),ROUND($AG637,2),0))</f>
        <v/>
      </c>
      <c r="U637" s="18">
        <f>IF($Z637="","",IF(AND(DATE($AD637,12,1)&gt;=$AE637,DATE($AD637,12,1)&lt;=$AF637),ROUND($AG637,2),0))</f>
        <v/>
      </c>
      <c r="V637" s="7">
        <f>IF($Z637="C","Generated from "&amp;INDEX(Contracts!$A$2:$A$151,$AB637),IF($Z637="A","Generated from "&amp;INDEX(Fixed_Assets!$A$2:$A$201,$AB637),IF($Z637="F","Generated from "&amp;INDEX(FTE_Allocation!$A$2:$A$201,$AB637),"")))</f>
        <v/>
      </c>
      <c r="X637" s="19">
        <f>IF($Z637="","",SUM(J637:U637))</f>
        <v/>
      </c>
      <c r="Y637" s="20">
        <f>ROW()-1</f>
        <v/>
      </c>
      <c r="Z637" s="20">
        <f>IF($Y637&lt;=Settings!$B$4*3,"C",IF($Y637&lt;=(Settings!$B$4+Settings!$B$5)*3,"A",IF($Y637&lt;=(Settings!$B$4+Settings!$B$5+Settings!$B$6)*3,"F","")))</f>
        <v/>
      </c>
      <c r="AA637" s="20">
        <f>IF($Z637="C",$Y637,IF($Z637="A",$Y637-Settings!$B$4*3,IF($Z637="F",$Y637-(Settings!$B$4+Settings!$B$5)*3,"")))</f>
        <v/>
      </c>
      <c r="AB637" s="20">
        <f>IF($Z637="","",INT(($AA637-1)/3)+1)</f>
        <v/>
      </c>
      <c r="AC637" s="20">
        <f>IF($Z637="","",MOD($AA637-1,3)+1)</f>
        <v/>
      </c>
      <c r="AD637" s="20">
        <f>IF($Z637="","",Settings!$B$2+$AC637-1)</f>
        <v/>
      </c>
      <c r="AE637" s="21">
        <f>IF($Z637="C",DATE(YEAR(INDEX(Contracts!$J$2:$J$151,$AB637)),MONTH(INDEX(Contracts!$J$2:$J$151,$AB637)),1),IF($Z637="A",DATE(YEAR(INDEX(Fixed_Assets!$G$2:$G$201,$AB637)),MONTH(INDEX(Fixed_Assets!$G$2:$G$201,$AB637)),1),IF($Z637="F",DATE(YEAR(MAX(N(INDEX(Workforce!$I$2:$I$151,MATCH(INDEX(FTE_Allocation!$A$2:$A$201,$AB637),Workforce!$A$2:$A$151,0))),N(INDEX(FTE_Allocation!$I$2:$I$201,$AB637)))),MONTH(MAX(N(INDEX(Workforce!$I$2:$I$151,MATCH(INDEX(FTE_Allocation!$A$2:$A$201,$AB637),Workforce!$A$2:$A$151,0))),N(INDEX(FTE_Allocation!$I$2:$I$201,$AB637)))),1),"")))</f>
        <v/>
      </c>
      <c r="AF637" s="21">
        <f>IF($Z637="C",IF(INDEX(Contracts!$I$2:$I$151,$AB637)="PREPAID",EDATE(DATE(YEAR(INDEX(Contracts!$J$2:$J$151,$AB637)),MONTH(INDEX(Contracts!$J$2:$J$151,$AB637)),1),IF(INDEX(Contracts!$N$2:$N$151,$AB637)="",12,INDEX(Contracts!$N$2:$N$151,$AB637))-1),IF(INDEX(Contracts!$I$2:$I$151,$AB637)="MONTHLY",IF(INDEX(Contracts!$K$2:$K$151,$AB637)="",2958101,INDEX(Contracts!$K$2:$K$151,$AB637)),0)),IF($Z637="A",EDATE(DATE(YEAR(INDEX(Fixed_Assets!$G$2:$G$201,$AB637)),MONTH(INDEX(Fixed_Assets!$G$2:$G$201,$AB637)),1),INDEX(Fixed_Assets!$J$2:$J$201,$AB637)-1),IF($Z637="F",MIN(IF(INDEX(Workforce!$J$2:$J$151,MATCH(INDEX(FTE_Allocation!$A$2:$A$201,$AB637),Workforce!$A$2:$A$151,0))="",2958101,INDEX(Workforce!$J$2:$J$151,MATCH(INDEX(FTE_Allocation!$A$2:$A$201,$AB637),Workforce!$A$2:$A$151,0))),IF(INDEX(FTE_Allocation!$J$2:$J$201,$AB637)="",2958101,INDEX(FTE_Allocation!$J$2:$J$201,$AB637))),"")))</f>
        <v/>
      </c>
      <c r="AG637" s="19">
        <f>IF($Z637="C",IF(INDEX(Contracts!$I$2:$I$151,$AB637)="PREPAID",INDEX(Contracts!$M$2:$M$151,$AB637)/IF(INDEX(Contracts!$N$2:$N$151,$AB637)="",12,INDEX(Contracts!$N$2:$N$151,$AB637)),IF(INDEX(Contracts!$I$2:$I$151,$AB637)="MONTHLY",INDEX(Contracts!$M$2:$M$151,$AB637),0))*(1-N(INDEX(Contracts!$O$2:$O$151,$AB637))),IF($Z637="A",INDEX(Fixed_Assets!$H$2:$H$201,$AB637)/INDEX(Fixed_Assets!$J$2:$J$201,$AB637),IF($Z637="F",INDEX(Workforce!$F$2:$F$151,MATCH(INDEX(FTE_Allocation!$A$2:$A$201,$AB637),Workforce!$A$2:$A$151,0))*N(INDEX(FTE_Allocation!$F$2:$H$201,$AB637,$AC637)),"")))</f>
        <v/>
      </c>
    </row>
    <row r="638">
      <c r="A638" s="7">
        <f>IF($Z638="","",$AD638)</f>
        <v/>
      </c>
      <c r="B638" s="7">
        <f>IF($Z638="C",INDEX(Contracts!$D$2:$D$151,$AB638)&amp;"",IF($Z638="A",INDEX(Fixed_Assets!$C$2:$C$201,$AB638)&amp;"",IF($Z638="F",INDEX(Workforce!$B$2:$B$151,MATCH(INDEX(FTE_Allocation!$A$2:$A$201,$AB638),Workforce!$A$2:$A$151,0))&amp;"","")))</f>
        <v/>
      </c>
      <c r="C638" s="7">
        <f>IF($Z638="C",INDEX(Contracts!$E$2:$E$151,$AB638)&amp;"",IF($Z638="A",INDEX(Fixed_Assets!$D$2:$D$201,$AB638)&amp;"",IF($Z638="F",INDEX(FTE_Allocation!$C$2:$C$201,$AB638)&amp;"","")))</f>
        <v/>
      </c>
      <c r="D638" s="7">
        <f>IF($Z638="C",INDEX(Contracts!$B$2:$B$151,$AB638)&amp;"",IF($Z638="A",INDEX(Fixed_Assets!$B$2:$B$201,$AB638)&amp;"",IF($Z638="F",INDEX(FTE_Allocation!$B$2:$B$201,$AB638)&amp;"","")))</f>
        <v/>
      </c>
      <c r="E638" s="7">
        <f>IF($Z638="C",INDEX(Contracts!$P$2:$P$151,$AB638)&amp;"",IF($Z638="A",INDEX(Fixed_Assets!$K$2:$K$201,$AB638)&amp;"",IF($Z638="F",IF(INDEX(FTE_Allocation!$D$2:$D$201,$AB638)="PROJECT",IFERROR(INDEX(Projects!$D:$D,MATCH(INDEX(FTE_Allocation!$E$2:$E$201,$AB638),Projects!$A:$A,0))&amp;"","#PROJECT?"),INDEX(FTE_Allocation!$E$2:$E$201,$AB638)&amp;""),"")))</f>
        <v/>
      </c>
      <c r="F638" s="7">
        <f>IF($Z638="C",INDEX(Contracts!$Q$2:$Q$151,$AB638)&amp;"",IF($Z638="A",INDEX(Fixed_Assets!$L$2:$L$201,$AB638)&amp;"",IF($Z638="F",INDEX(Workforce!$K$2:$K$151,MATCH(INDEX(FTE_Allocation!$A$2:$A$201,$AB638),Workforce!$A$2:$A$151,0))&amp;"","")))</f>
        <v/>
      </c>
      <c r="G638" s="7">
        <f>IF($Z638="C",INDEX(Contracts!$F$2:$F$151,$AB638)&amp;" / "&amp;INDEX(Contracts!$G$2:$G$151,$AB638),IF($Z638="A",INDEX(Fixed_Assets!$E$2:$E$201,$AB638)&amp;"",IF($Z638="F","Personnel "&amp;INDEX(FTE_Allocation!$A$2:$A$201,$AB638)&amp;IF(INDEX(FTE_Allocation!$D$2:$D$201,$AB638)="PROJECT"," ("&amp;INDEX(FTE_Allocation!$E$2:$E$201,$AB638)&amp;")",""),"")))</f>
        <v/>
      </c>
      <c r="H638" s="7">
        <f>IF($Z638="C","CONTRACT",IF($Z638="A","ASSET",IF($Z638="F","WORKFORCE","")))</f>
        <v/>
      </c>
      <c r="I638" s="7">
        <f>IF($Z638="C",INDEX(Contracts!$L$2:$L$151,$AB638)&amp;"",IF($Z638="A",INDEX(Fixed_Assets!$I$2:$I$201,$AB638)&amp;"",IF($Z638="F",INDEX(Workforce!$G$2:$G$151,MATCH(INDEX(FTE_Allocation!$A$2:$A$201,$AB638),Workforce!$A$2:$A$151,0))&amp;"","")))</f>
        <v/>
      </c>
      <c r="J638" s="18">
        <f>IF($Z638="","",IF(AND(DATE($AD638,1,1)&gt;=$AE638,DATE($AD638,1,1)&lt;=$AF638),ROUND($AG638,2),0))</f>
        <v/>
      </c>
      <c r="K638" s="18">
        <f>IF($Z638="","",IF(AND(DATE($AD638,2,1)&gt;=$AE638,DATE($AD638,2,1)&lt;=$AF638),ROUND($AG638,2),0))</f>
        <v/>
      </c>
      <c r="L638" s="18">
        <f>IF($Z638="","",IF(AND(DATE($AD638,3,1)&gt;=$AE638,DATE($AD638,3,1)&lt;=$AF638),ROUND($AG638,2),0))</f>
        <v/>
      </c>
      <c r="M638" s="18">
        <f>IF($Z638="","",IF(AND(DATE($AD638,4,1)&gt;=$AE638,DATE($AD638,4,1)&lt;=$AF638),ROUND($AG638,2),0))</f>
        <v/>
      </c>
      <c r="N638" s="18">
        <f>IF($Z638="","",IF(AND(DATE($AD638,5,1)&gt;=$AE638,DATE($AD638,5,1)&lt;=$AF638),ROUND($AG638,2),0))</f>
        <v/>
      </c>
      <c r="O638" s="18">
        <f>IF($Z638="","",IF(AND(DATE($AD638,6,1)&gt;=$AE638,DATE($AD638,6,1)&lt;=$AF638),ROUND($AG638,2),0))</f>
        <v/>
      </c>
      <c r="P638" s="18">
        <f>IF($Z638="","",IF(AND(DATE($AD638,7,1)&gt;=$AE638,DATE($AD638,7,1)&lt;=$AF638),ROUND($AG638,2),0))</f>
        <v/>
      </c>
      <c r="Q638" s="18">
        <f>IF($Z638="","",IF(AND(DATE($AD638,8,1)&gt;=$AE638,DATE($AD638,8,1)&lt;=$AF638),ROUND($AG638,2),0))</f>
        <v/>
      </c>
      <c r="R638" s="18">
        <f>IF($Z638="","",IF(AND(DATE($AD638,9,1)&gt;=$AE638,DATE($AD638,9,1)&lt;=$AF638),ROUND($AG638,2),0))</f>
        <v/>
      </c>
      <c r="S638" s="18">
        <f>IF($Z638="","",IF(AND(DATE($AD638,10,1)&gt;=$AE638,DATE($AD638,10,1)&lt;=$AF638),ROUND($AG638,2),0))</f>
        <v/>
      </c>
      <c r="T638" s="18">
        <f>IF($Z638="","",IF(AND(DATE($AD638,11,1)&gt;=$AE638,DATE($AD638,11,1)&lt;=$AF638),ROUND($AG638,2),0))</f>
        <v/>
      </c>
      <c r="U638" s="18">
        <f>IF($Z638="","",IF(AND(DATE($AD638,12,1)&gt;=$AE638,DATE($AD638,12,1)&lt;=$AF638),ROUND($AG638,2),0))</f>
        <v/>
      </c>
      <c r="V638" s="7">
        <f>IF($Z638="C","Generated from "&amp;INDEX(Contracts!$A$2:$A$151,$AB638),IF($Z638="A","Generated from "&amp;INDEX(Fixed_Assets!$A$2:$A$201,$AB638),IF($Z638="F","Generated from "&amp;INDEX(FTE_Allocation!$A$2:$A$201,$AB638),"")))</f>
        <v/>
      </c>
      <c r="X638" s="19">
        <f>IF($Z638="","",SUM(J638:U638))</f>
        <v/>
      </c>
      <c r="Y638" s="20">
        <f>ROW()-1</f>
        <v/>
      </c>
      <c r="Z638" s="20">
        <f>IF($Y638&lt;=Settings!$B$4*3,"C",IF($Y638&lt;=(Settings!$B$4+Settings!$B$5)*3,"A",IF($Y638&lt;=(Settings!$B$4+Settings!$B$5+Settings!$B$6)*3,"F","")))</f>
        <v/>
      </c>
      <c r="AA638" s="20">
        <f>IF($Z638="C",$Y638,IF($Z638="A",$Y638-Settings!$B$4*3,IF($Z638="F",$Y638-(Settings!$B$4+Settings!$B$5)*3,"")))</f>
        <v/>
      </c>
      <c r="AB638" s="20">
        <f>IF($Z638="","",INT(($AA638-1)/3)+1)</f>
        <v/>
      </c>
      <c r="AC638" s="20">
        <f>IF($Z638="","",MOD($AA638-1,3)+1)</f>
        <v/>
      </c>
      <c r="AD638" s="20">
        <f>IF($Z638="","",Settings!$B$2+$AC638-1)</f>
        <v/>
      </c>
      <c r="AE638" s="21">
        <f>IF($Z638="C",DATE(YEAR(INDEX(Contracts!$J$2:$J$151,$AB638)),MONTH(INDEX(Contracts!$J$2:$J$151,$AB638)),1),IF($Z638="A",DATE(YEAR(INDEX(Fixed_Assets!$G$2:$G$201,$AB638)),MONTH(INDEX(Fixed_Assets!$G$2:$G$201,$AB638)),1),IF($Z638="F",DATE(YEAR(MAX(N(INDEX(Workforce!$I$2:$I$151,MATCH(INDEX(FTE_Allocation!$A$2:$A$201,$AB638),Workforce!$A$2:$A$151,0))),N(INDEX(FTE_Allocation!$I$2:$I$201,$AB638)))),MONTH(MAX(N(INDEX(Workforce!$I$2:$I$151,MATCH(INDEX(FTE_Allocation!$A$2:$A$201,$AB638),Workforce!$A$2:$A$151,0))),N(INDEX(FTE_Allocation!$I$2:$I$201,$AB638)))),1),"")))</f>
        <v/>
      </c>
      <c r="AF638" s="21">
        <f>IF($Z638="C",IF(INDEX(Contracts!$I$2:$I$151,$AB638)="PREPAID",EDATE(DATE(YEAR(INDEX(Contracts!$J$2:$J$151,$AB638)),MONTH(INDEX(Contracts!$J$2:$J$151,$AB638)),1),IF(INDEX(Contracts!$N$2:$N$151,$AB638)="",12,INDEX(Contracts!$N$2:$N$151,$AB638))-1),IF(INDEX(Contracts!$I$2:$I$151,$AB638)="MONTHLY",IF(INDEX(Contracts!$K$2:$K$151,$AB638)="",2958101,INDEX(Contracts!$K$2:$K$151,$AB638)),0)),IF($Z638="A",EDATE(DATE(YEAR(INDEX(Fixed_Assets!$G$2:$G$201,$AB638)),MONTH(INDEX(Fixed_Assets!$G$2:$G$201,$AB638)),1),INDEX(Fixed_Assets!$J$2:$J$201,$AB638)-1),IF($Z638="F",MIN(IF(INDEX(Workforce!$J$2:$J$151,MATCH(INDEX(FTE_Allocation!$A$2:$A$201,$AB638),Workforce!$A$2:$A$151,0))="",2958101,INDEX(Workforce!$J$2:$J$151,MATCH(INDEX(FTE_Allocation!$A$2:$A$201,$AB638),Workforce!$A$2:$A$151,0))),IF(INDEX(FTE_Allocation!$J$2:$J$201,$AB638)="",2958101,INDEX(FTE_Allocation!$J$2:$J$201,$AB638))),"")))</f>
        <v/>
      </c>
      <c r="AG638" s="19">
        <f>IF($Z638="C",IF(INDEX(Contracts!$I$2:$I$151,$AB638)="PREPAID",INDEX(Contracts!$M$2:$M$151,$AB638)/IF(INDEX(Contracts!$N$2:$N$151,$AB638)="",12,INDEX(Contracts!$N$2:$N$151,$AB638)),IF(INDEX(Contracts!$I$2:$I$151,$AB638)="MONTHLY",INDEX(Contracts!$M$2:$M$151,$AB638),0))*(1-N(INDEX(Contracts!$O$2:$O$151,$AB638))),IF($Z638="A",INDEX(Fixed_Assets!$H$2:$H$201,$AB638)/INDEX(Fixed_Assets!$J$2:$J$201,$AB638),IF($Z638="F",INDEX(Workforce!$F$2:$F$151,MATCH(INDEX(FTE_Allocation!$A$2:$A$201,$AB638),Workforce!$A$2:$A$151,0))*N(INDEX(FTE_Allocation!$F$2:$H$201,$AB638,$AC638)),"")))</f>
        <v/>
      </c>
    </row>
    <row r="639">
      <c r="A639" s="7">
        <f>IF($Z639="","",$AD639)</f>
        <v/>
      </c>
      <c r="B639" s="7">
        <f>IF($Z639="C",INDEX(Contracts!$D$2:$D$151,$AB639)&amp;"",IF($Z639="A",INDEX(Fixed_Assets!$C$2:$C$201,$AB639)&amp;"",IF($Z639="F",INDEX(Workforce!$B$2:$B$151,MATCH(INDEX(FTE_Allocation!$A$2:$A$201,$AB639),Workforce!$A$2:$A$151,0))&amp;"","")))</f>
        <v/>
      </c>
      <c r="C639" s="7">
        <f>IF($Z639="C",INDEX(Contracts!$E$2:$E$151,$AB639)&amp;"",IF($Z639="A",INDEX(Fixed_Assets!$D$2:$D$201,$AB639)&amp;"",IF($Z639="F",INDEX(FTE_Allocation!$C$2:$C$201,$AB639)&amp;"","")))</f>
        <v/>
      </c>
      <c r="D639" s="7">
        <f>IF($Z639="C",INDEX(Contracts!$B$2:$B$151,$AB639)&amp;"",IF($Z639="A",INDEX(Fixed_Assets!$B$2:$B$201,$AB639)&amp;"",IF($Z639="F",INDEX(FTE_Allocation!$B$2:$B$201,$AB639)&amp;"","")))</f>
        <v/>
      </c>
      <c r="E639" s="7">
        <f>IF($Z639="C",INDEX(Contracts!$P$2:$P$151,$AB639)&amp;"",IF($Z639="A",INDEX(Fixed_Assets!$K$2:$K$201,$AB639)&amp;"",IF($Z639="F",IF(INDEX(FTE_Allocation!$D$2:$D$201,$AB639)="PROJECT",IFERROR(INDEX(Projects!$D:$D,MATCH(INDEX(FTE_Allocation!$E$2:$E$201,$AB639),Projects!$A:$A,0))&amp;"","#PROJECT?"),INDEX(FTE_Allocation!$E$2:$E$201,$AB639)&amp;""),"")))</f>
        <v/>
      </c>
      <c r="F639" s="7">
        <f>IF($Z639="C",INDEX(Contracts!$Q$2:$Q$151,$AB639)&amp;"",IF($Z639="A",INDEX(Fixed_Assets!$L$2:$L$201,$AB639)&amp;"",IF($Z639="F",INDEX(Workforce!$K$2:$K$151,MATCH(INDEX(FTE_Allocation!$A$2:$A$201,$AB639),Workforce!$A$2:$A$151,0))&amp;"","")))</f>
        <v/>
      </c>
      <c r="G639" s="7">
        <f>IF($Z639="C",INDEX(Contracts!$F$2:$F$151,$AB639)&amp;" / "&amp;INDEX(Contracts!$G$2:$G$151,$AB639),IF($Z639="A",INDEX(Fixed_Assets!$E$2:$E$201,$AB639)&amp;"",IF($Z639="F","Personnel "&amp;INDEX(FTE_Allocation!$A$2:$A$201,$AB639)&amp;IF(INDEX(FTE_Allocation!$D$2:$D$201,$AB639)="PROJECT"," ("&amp;INDEX(FTE_Allocation!$E$2:$E$201,$AB639)&amp;")",""),"")))</f>
        <v/>
      </c>
      <c r="H639" s="7">
        <f>IF($Z639="C","CONTRACT",IF($Z639="A","ASSET",IF($Z639="F","WORKFORCE","")))</f>
        <v/>
      </c>
      <c r="I639" s="7">
        <f>IF($Z639="C",INDEX(Contracts!$L$2:$L$151,$AB639)&amp;"",IF($Z639="A",INDEX(Fixed_Assets!$I$2:$I$201,$AB639)&amp;"",IF($Z639="F",INDEX(Workforce!$G$2:$G$151,MATCH(INDEX(FTE_Allocation!$A$2:$A$201,$AB639),Workforce!$A$2:$A$151,0))&amp;"","")))</f>
        <v/>
      </c>
      <c r="J639" s="18">
        <f>IF($Z639="","",IF(AND(DATE($AD639,1,1)&gt;=$AE639,DATE($AD639,1,1)&lt;=$AF639),ROUND($AG639,2),0))</f>
        <v/>
      </c>
      <c r="K639" s="18">
        <f>IF($Z639="","",IF(AND(DATE($AD639,2,1)&gt;=$AE639,DATE($AD639,2,1)&lt;=$AF639),ROUND($AG639,2),0))</f>
        <v/>
      </c>
      <c r="L639" s="18">
        <f>IF($Z639="","",IF(AND(DATE($AD639,3,1)&gt;=$AE639,DATE($AD639,3,1)&lt;=$AF639),ROUND($AG639,2),0))</f>
        <v/>
      </c>
      <c r="M639" s="18">
        <f>IF($Z639="","",IF(AND(DATE($AD639,4,1)&gt;=$AE639,DATE($AD639,4,1)&lt;=$AF639),ROUND($AG639,2),0))</f>
        <v/>
      </c>
      <c r="N639" s="18">
        <f>IF($Z639="","",IF(AND(DATE($AD639,5,1)&gt;=$AE639,DATE($AD639,5,1)&lt;=$AF639),ROUND($AG639,2),0))</f>
        <v/>
      </c>
      <c r="O639" s="18">
        <f>IF($Z639="","",IF(AND(DATE($AD639,6,1)&gt;=$AE639,DATE($AD639,6,1)&lt;=$AF639),ROUND($AG639,2),0))</f>
        <v/>
      </c>
      <c r="P639" s="18">
        <f>IF($Z639="","",IF(AND(DATE($AD639,7,1)&gt;=$AE639,DATE($AD639,7,1)&lt;=$AF639),ROUND($AG639,2),0))</f>
        <v/>
      </c>
      <c r="Q639" s="18">
        <f>IF($Z639="","",IF(AND(DATE($AD639,8,1)&gt;=$AE639,DATE($AD639,8,1)&lt;=$AF639),ROUND($AG639,2),0))</f>
        <v/>
      </c>
      <c r="R639" s="18">
        <f>IF($Z639="","",IF(AND(DATE($AD639,9,1)&gt;=$AE639,DATE($AD639,9,1)&lt;=$AF639),ROUND($AG639,2),0))</f>
        <v/>
      </c>
      <c r="S639" s="18">
        <f>IF($Z639="","",IF(AND(DATE($AD639,10,1)&gt;=$AE639,DATE($AD639,10,1)&lt;=$AF639),ROUND($AG639,2),0))</f>
        <v/>
      </c>
      <c r="T639" s="18">
        <f>IF($Z639="","",IF(AND(DATE($AD639,11,1)&gt;=$AE639,DATE($AD639,11,1)&lt;=$AF639),ROUND($AG639,2),0))</f>
        <v/>
      </c>
      <c r="U639" s="18">
        <f>IF($Z639="","",IF(AND(DATE($AD639,12,1)&gt;=$AE639,DATE($AD639,12,1)&lt;=$AF639),ROUND($AG639,2),0))</f>
        <v/>
      </c>
      <c r="V639" s="7">
        <f>IF($Z639="C","Generated from "&amp;INDEX(Contracts!$A$2:$A$151,$AB639),IF($Z639="A","Generated from "&amp;INDEX(Fixed_Assets!$A$2:$A$201,$AB639),IF($Z639="F","Generated from "&amp;INDEX(FTE_Allocation!$A$2:$A$201,$AB639),"")))</f>
        <v/>
      </c>
      <c r="X639" s="19">
        <f>IF($Z639="","",SUM(J639:U639))</f>
        <v/>
      </c>
      <c r="Y639" s="20">
        <f>ROW()-1</f>
        <v/>
      </c>
      <c r="Z639" s="20">
        <f>IF($Y639&lt;=Settings!$B$4*3,"C",IF($Y639&lt;=(Settings!$B$4+Settings!$B$5)*3,"A",IF($Y639&lt;=(Settings!$B$4+Settings!$B$5+Settings!$B$6)*3,"F","")))</f>
        <v/>
      </c>
      <c r="AA639" s="20">
        <f>IF($Z639="C",$Y639,IF($Z639="A",$Y639-Settings!$B$4*3,IF($Z639="F",$Y639-(Settings!$B$4+Settings!$B$5)*3,"")))</f>
        <v/>
      </c>
      <c r="AB639" s="20">
        <f>IF($Z639="","",INT(($AA639-1)/3)+1)</f>
        <v/>
      </c>
      <c r="AC639" s="20">
        <f>IF($Z639="","",MOD($AA639-1,3)+1)</f>
        <v/>
      </c>
      <c r="AD639" s="20">
        <f>IF($Z639="","",Settings!$B$2+$AC639-1)</f>
        <v/>
      </c>
      <c r="AE639" s="21">
        <f>IF($Z639="C",DATE(YEAR(INDEX(Contracts!$J$2:$J$151,$AB639)),MONTH(INDEX(Contracts!$J$2:$J$151,$AB639)),1),IF($Z639="A",DATE(YEAR(INDEX(Fixed_Assets!$G$2:$G$201,$AB639)),MONTH(INDEX(Fixed_Assets!$G$2:$G$201,$AB639)),1),IF($Z639="F",DATE(YEAR(MAX(N(INDEX(Workforce!$I$2:$I$151,MATCH(INDEX(FTE_Allocation!$A$2:$A$201,$AB639),Workforce!$A$2:$A$151,0))),N(INDEX(FTE_Allocation!$I$2:$I$201,$AB639)))),MONTH(MAX(N(INDEX(Workforce!$I$2:$I$151,MATCH(INDEX(FTE_Allocation!$A$2:$A$201,$AB639),Workforce!$A$2:$A$151,0))),N(INDEX(FTE_Allocation!$I$2:$I$201,$AB639)))),1),"")))</f>
        <v/>
      </c>
      <c r="AF639" s="21">
        <f>IF($Z639="C",IF(INDEX(Contracts!$I$2:$I$151,$AB639)="PREPAID",EDATE(DATE(YEAR(INDEX(Contracts!$J$2:$J$151,$AB639)),MONTH(INDEX(Contracts!$J$2:$J$151,$AB639)),1),IF(INDEX(Contracts!$N$2:$N$151,$AB639)="",12,INDEX(Contracts!$N$2:$N$151,$AB639))-1),IF(INDEX(Contracts!$I$2:$I$151,$AB639)="MONTHLY",IF(INDEX(Contracts!$K$2:$K$151,$AB639)="",2958101,INDEX(Contracts!$K$2:$K$151,$AB639)),0)),IF($Z639="A",EDATE(DATE(YEAR(INDEX(Fixed_Assets!$G$2:$G$201,$AB639)),MONTH(INDEX(Fixed_Assets!$G$2:$G$201,$AB639)),1),INDEX(Fixed_Assets!$J$2:$J$201,$AB639)-1),IF($Z639="F",MIN(IF(INDEX(Workforce!$J$2:$J$151,MATCH(INDEX(FTE_Allocation!$A$2:$A$201,$AB639),Workforce!$A$2:$A$151,0))="",2958101,INDEX(Workforce!$J$2:$J$151,MATCH(INDEX(FTE_Allocation!$A$2:$A$201,$AB639),Workforce!$A$2:$A$151,0))),IF(INDEX(FTE_Allocation!$J$2:$J$201,$AB639)="",2958101,INDEX(FTE_Allocation!$J$2:$J$201,$AB639))),"")))</f>
        <v/>
      </c>
      <c r="AG639" s="19">
        <f>IF($Z639="C",IF(INDEX(Contracts!$I$2:$I$151,$AB639)="PREPAID",INDEX(Contracts!$M$2:$M$151,$AB639)/IF(INDEX(Contracts!$N$2:$N$151,$AB639)="",12,INDEX(Contracts!$N$2:$N$151,$AB639)),IF(INDEX(Contracts!$I$2:$I$151,$AB639)="MONTHLY",INDEX(Contracts!$M$2:$M$151,$AB639),0))*(1-N(INDEX(Contracts!$O$2:$O$151,$AB639))),IF($Z639="A",INDEX(Fixed_Assets!$H$2:$H$201,$AB639)/INDEX(Fixed_Assets!$J$2:$J$201,$AB639),IF($Z639="F",INDEX(Workforce!$F$2:$F$151,MATCH(INDEX(FTE_Allocation!$A$2:$A$201,$AB639),Workforce!$A$2:$A$151,0))*N(INDEX(FTE_Allocation!$F$2:$H$201,$AB639,$AC639)),"")))</f>
        <v/>
      </c>
    </row>
    <row r="640">
      <c r="A640" s="7">
        <f>IF($Z640="","",$AD640)</f>
        <v/>
      </c>
      <c r="B640" s="7">
        <f>IF($Z640="C",INDEX(Contracts!$D$2:$D$151,$AB640)&amp;"",IF($Z640="A",INDEX(Fixed_Assets!$C$2:$C$201,$AB640)&amp;"",IF($Z640="F",INDEX(Workforce!$B$2:$B$151,MATCH(INDEX(FTE_Allocation!$A$2:$A$201,$AB640),Workforce!$A$2:$A$151,0))&amp;"","")))</f>
        <v/>
      </c>
      <c r="C640" s="7">
        <f>IF($Z640="C",INDEX(Contracts!$E$2:$E$151,$AB640)&amp;"",IF($Z640="A",INDEX(Fixed_Assets!$D$2:$D$201,$AB640)&amp;"",IF($Z640="F",INDEX(FTE_Allocation!$C$2:$C$201,$AB640)&amp;"","")))</f>
        <v/>
      </c>
      <c r="D640" s="7">
        <f>IF($Z640="C",INDEX(Contracts!$B$2:$B$151,$AB640)&amp;"",IF($Z640="A",INDEX(Fixed_Assets!$B$2:$B$201,$AB640)&amp;"",IF($Z640="F",INDEX(FTE_Allocation!$B$2:$B$201,$AB640)&amp;"","")))</f>
        <v/>
      </c>
      <c r="E640" s="7">
        <f>IF($Z640="C",INDEX(Contracts!$P$2:$P$151,$AB640)&amp;"",IF($Z640="A",INDEX(Fixed_Assets!$K$2:$K$201,$AB640)&amp;"",IF($Z640="F",IF(INDEX(FTE_Allocation!$D$2:$D$201,$AB640)="PROJECT",IFERROR(INDEX(Projects!$D:$D,MATCH(INDEX(FTE_Allocation!$E$2:$E$201,$AB640),Projects!$A:$A,0))&amp;"","#PROJECT?"),INDEX(FTE_Allocation!$E$2:$E$201,$AB640)&amp;""),"")))</f>
        <v/>
      </c>
      <c r="F640" s="7">
        <f>IF($Z640="C",INDEX(Contracts!$Q$2:$Q$151,$AB640)&amp;"",IF($Z640="A",INDEX(Fixed_Assets!$L$2:$L$201,$AB640)&amp;"",IF($Z640="F",INDEX(Workforce!$K$2:$K$151,MATCH(INDEX(FTE_Allocation!$A$2:$A$201,$AB640),Workforce!$A$2:$A$151,0))&amp;"","")))</f>
        <v/>
      </c>
      <c r="G640" s="7">
        <f>IF($Z640="C",INDEX(Contracts!$F$2:$F$151,$AB640)&amp;" / "&amp;INDEX(Contracts!$G$2:$G$151,$AB640),IF($Z640="A",INDEX(Fixed_Assets!$E$2:$E$201,$AB640)&amp;"",IF($Z640="F","Personnel "&amp;INDEX(FTE_Allocation!$A$2:$A$201,$AB640)&amp;IF(INDEX(FTE_Allocation!$D$2:$D$201,$AB640)="PROJECT"," ("&amp;INDEX(FTE_Allocation!$E$2:$E$201,$AB640)&amp;")",""),"")))</f>
        <v/>
      </c>
      <c r="H640" s="7">
        <f>IF($Z640="C","CONTRACT",IF($Z640="A","ASSET",IF($Z640="F","WORKFORCE","")))</f>
        <v/>
      </c>
      <c r="I640" s="7">
        <f>IF($Z640="C",INDEX(Contracts!$L$2:$L$151,$AB640)&amp;"",IF($Z640="A",INDEX(Fixed_Assets!$I$2:$I$201,$AB640)&amp;"",IF($Z640="F",INDEX(Workforce!$G$2:$G$151,MATCH(INDEX(FTE_Allocation!$A$2:$A$201,$AB640),Workforce!$A$2:$A$151,0))&amp;"","")))</f>
        <v/>
      </c>
      <c r="J640" s="18">
        <f>IF($Z640="","",IF(AND(DATE($AD640,1,1)&gt;=$AE640,DATE($AD640,1,1)&lt;=$AF640),ROUND($AG640,2),0))</f>
        <v/>
      </c>
      <c r="K640" s="18">
        <f>IF($Z640="","",IF(AND(DATE($AD640,2,1)&gt;=$AE640,DATE($AD640,2,1)&lt;=$AF640),ROUND($AG640,2),0))</f>
        <v/>
      </c>
      <c r="L640" s="18">
        <f>IF($Z640="","",IF(AND(DATE($AD640,3,1)&gt;=$AE640,DATE($AD640,3,1)&lt;=$AF640),ROUND($AG640,2),0))</f>
        <v/>
      </c>
      <c r="M640" s="18">
        <f>IF($Z640="","",IF(AND(DATE($AD640,4,1)&gt;=$AE640,DATE($AD640,4,1)&lt;=$AF640),ROUND($AG640,2),0))</f>
        <v/>
      </c>
      <c r="N640" s="18">
        <f>IF($Z640="","",IF(AND(DATE($AD640,5,1)&gt;=$AE640,DATE($AD640,5,1)&lt;=$AF640),ROUND($AG640,2),0))</f>
        <v/>
      </c>
      <c r="O640" s="18">
        <f>IF($Z640="","",IF(AND(DATE($AD640,6,1)&gt;=$AE640,DATE($AD640,6,1)&lt;=$AF640),ROUND($AG640,2),0))</f>
        <v/>
      </c>
      <c r="P640" s="18">
        <f>IF($Z640="","",IF(AND(DATE($AD640,7,1)&gt;=$AE640,DATE($AD640,7,1)&lt;=$AF640),ROUND($AG640,2),0))</f>
        <v/>
      </c>
      <c r="Q640" s="18">
        <f>IF($Z640="","",IF(AND(DATE($AD640,8,1)&gt;=$AE640,DATE($AD640,8,1)&lt;=$AF640),ROUND($AG640,2),0))</f>
        <v/>
      </c>
      <c r="R640" s="18">
        <f>IF($Z640="","",IF(AND(DATE($AD640,9,1)&gt;=$AE640,DATE($AD640,9,1)&lt;=$AF640),ROUND($AG640,2),0))</f>
        <v/>
      </c>
      <c r="S640" s="18">
        <f>IF($Z640="","",IF(AND(DATE($AD640,10,1)&gt;=$AE640,DATE($AD640,10,1)&lt;=$AF640),ROUND($AG640,2),0))</f>
        <v/>
      </c>
      <c r="T640" s="18">
        <f>IF($Z640="","",IF(AND(DATE($AD640,11,1)&gt;=$AE640,DATE($AD640,11,1)&lt;=$AF640),ROUND($AG640,2),0))</f>
        <v/>
      </c>
      <c r="U640" s="18">
        <f>IF($Z640="","",IF(AND(DATE($AD640,12,1)&gt;=$AE640,DATE($AD640,12,1)&lt;=$AF640),ROUND($AG640,2),0))</f>
        <v/>
      </c>
      <c r="V640" s="7">
        <f>IF($Z640="C","Generated from "&amp;INDEX(Contracts!$A$2:$A$151,$AB640),IF($Z640="A","Generated from "&amp;INDEX(Fixed_Assets!$A$2:$A$201,$AB640),IF($Z640="F","Generated from "&amp;INDEX(FTE_Allocation!$A$2:$A$201,$AB640),"")))</f>
        <v/>
      </c>
      <c r="X640" s="19">
        <f>IF($Z640="","",SUM(J640:U640))</f>
        <v/>
      </c>
      <c r="Y640" s="20">
        <f>ROW()-1</f>
        <v/>
      </c>
      <c r="Z640" s="20">
        <f>IF($Y640&lt;=Settings!$B$4*3,"C",IF($Y640&lt;=(Settings!$B$4+Settings!$B$5)*3,"A",IF($Y640&lt;=(Settings!$B$4+Settings!$B$5+Settings!$B$6)*3,"F","")))</f>
        <v/>
      </c>
      <c r="AA640" s="20">
        <f>IF($Z640="C",$Y640,IF($Z640="A",$Y640-Settings!$B$4*3,IF($Z640="F",$Y640-(Settings!$B$4+Settings!$B$5)*3,"")))</f>
        <v/>
      </c>
      <c r="AB640" s="20">
        <f>IF($Z640="","",INT(($AA640-1)/3)+1)</f>
        <v/>
      </c>
      <c r="AC640" s="20">
        <f>IF($Z640="","",MOD($AA640-1,3)+1)</f>
        <v/>
      </c>
      <c r="AD640" s="20">
        <f>IF($Z640="","",Settings!$B$2+$AC640-1)</f>
        <v/>
      </c>
      <c r="AE640" s="21">
        <f>IF($Z640="C",DATE(YEAR(INDEX(Contracts!$J$2:$J$151,$AB640)),MONTH(INDEX(Contracts!$J$2:$J$151,$AB640)),1),IF($Z640="A",DATE(YEAR(INDEX(Fixed_Assets!$G$2:$G$201,$AB640)),MONTH(INDEX(Fixed_Assets!$G$2:$G$201,$AB640)),1),IF($Z640="F",DATE(YEAR(MAX(N(INDEX(Workforce!$I$2:$I$151,MATCH(INDEX(FTE_Allocation!$A$2:$A$201,$AB640),Workforce!$A$2:$A$151,0))),N(INDEX(FTE_Allocation!$I$2:$I$201,$AB640)))),MONTH(MAX(N(INDEX(Workforce!$I$2:$I$151,MATCH(INDEX(FTE_Allocation!$A$2:$A$201,$AB640),Workforce!$A$2:$A$151,0))),N(INDEX(FTE_Allocation!$I$2:$I$201,$AB640)))),1),"")))</f>
        <v/>
      </c>
      <c r="AF640" s="21">
        <f>IF($Z640="C",IF(INDEX(Contracts!$I$2:$I$151,$AB640)="PREPAID",EDATE(DATE(YEAR(INDEX(Contracts!$J$2:$J$151,$AB640)),MONTH(INDEX(Contracts!$J$2:$J$151,$AB640)),1),IF(INDEX(Contracts!$N$2:$N$151,$AB640)="",12,INDEX(Contracts!$N$2:$N$151,$AB640))-1),IF(INDEX(Contracts!$I$2:$I$151,$AB640)="MONTHLY",IF(INDEX(Contracts!$K$2:$K$151,$AB640)="",2958101,INDEX(Contracts!$K$2:$K$151,$AB640)),0)),IF($Z640="A",EDATE(DATE(YEAR(INDEX(Fixed_Assets!$G$2:$G$201,$AB640)),MONTH(INDEX(Fixed_Assets!$G$2:$G$201,$AB640)),1),INDEX(Fixed_Assets!$J$2:$J$201,$AB640)-1),IF($Z640="F",MIN(IF(INDEX(Workforce!$J$2:$J$151,MATCH(INDEX(FTE_Allocation!$A$2:$A$201,$AB640),Workforce!$A$2:$A$151,0))="",2958101,INDEX(Workforce!$J$2:$J$151,MATCH(INDEX(FTE_Allocation!$A$2:$A$201,$AB640),Workforce!$A$2:$A$151,0))),IF(INDEX(FTE_Allocation!$J$2:$J$201,$AB640)="",2958101,INDEX(FTE_Allocation!$J$2:$J$201,$AB640))),"")))</f>
        <v/>
      </c>
      <c r="AG640" s="19">
        <f>IF($Z640="C",IF(INDEX(Contracts!$I$2:$I$151,$AB640)="PREPAID",INDEX(Contracts!$M$2:$M$151,$AB640)/IF(INDEX(Contracts!$N$2:$N$151,$AB640)="",12,INDEX(Contracts!$N$2:$N$151,$AB640)),IF(INDEX(Contracts!$I$2:$I$151,$AB640)="MONTHLY",INDEX(Contracts!$M$2:$M$151,$AB640),0))*(1-N(INDEX(Contracts!$O$2:$O$151,$AB640))),IF($Z640="A",INDEX(Fixed_Assets!$H$2:$H$201,$AB640)/INDEX(Fixed_Assets!$J$2:$J$201,$AB640),IF($Z640="F",INDEX(Workforce!$F$2:$F$151,MATCH(INDEX(FTE_Allocation!$A$2:$A$201,$AB640),Workforce!$A$2:$A$151,0))*N(INDEX(FTE_Allocation!$F$2:$H$201,$AB640,$AC640)),"")))</f>
        <v/>
      </c>
    </row>
    <row r="641">
      <c r="A641" s="7">
        <f>IF($Z641="","",$AD641)</f>
        <v/>
      </c>
      <c r="B641" s="7">
        <f>IF($Z641="C",INDEX(Contracts!$D$2:$D$151,$AB641)&amp;"",IF($Z641="A",INDEX(Fixed_Assets!$C$2:$C$201,$AB641)&amp;"",IF($Z641="F",INDEX(Workforce!$B$2:$B$151,MATCH(INDEX(FTE_Allocation!$A$2:$A$201,$AB641),Workforce!$A$2:$A$151,0))&amp;"","")))</f>
        <v/>
      </c>
      <c r="C641" s="7">
        <f>IF($Z641="C",INDEX(Contracts!$E$2:$E$151,$AB641)&amp;"",IF($Z641="A",INDEX(Fixed_Assets!$D$2:$D$201,$AB641)&amp;"",IF($Z641="F",INDEX(FTE_Allocation!$C$2:$C$201,$AB641)&amp;"","")))</f>
        <v/>
      </c>
      <c r="D641" s="7">
        <f>IF($Z641="C",INDEX(Contracts!$B$2:$B$151,$AB641)&amp;"",IF($Z641="A",INDEX(Fixed_Assets!$B$2:$B$201,$AB641)&amp;"",IF($Z641="F",INDEX(FTE_Allocation!$B$2:$B$201,$AB641)&amp;"","")))</f>
        <v/>
      </c>
      <c r="E641" s="7">
        <f>IF($Z641="C",INDEX(Contracts!$P$2:$P$151,$AB641)&amp;"",IF($Z641="A",INDEX(Fixed_Assets!$K$2:$K$201,$AB641)&amp;"",IF($Z641="F",IF(INDEX(FTE_Allocation!$D$2:$D$201,$AB641)="PROJECT",IFERROR(INDEX(Projects!$D:$D,MATCH(INDEX(FTE_Allocation!$E$2:$E$201,$AB641),Projects!$A:$A,0))&amp;"","#PROJECT?"),INDEX(FTE_Allocation!$E$2:$E$201,$AB641)&amp;""),"")))</f>
        <v/>
      </c>
      <c r="F641" s="7">
        <f>IF($Z641="C",INDEX(Contracts!$Q$2:$Q$151,$AB641)&amp;"",IF($Z641="A",INDEX(Fixed_Assets!$L$2:$L$201,$AB641)&amp;"",IF($Z641="F",INDEX(Workforce!$K$2:$K$151,MATCH(INDEX(FTE_Allocation!$A$2:$A$201,$AB641),Workforce!$A$2:$A$151,0))&amp;"","")))</f>
        <v/>
      </c>
      <c r="G641" s="7">
        <f>IF($Z641="C",INDEX(Contracts!$F$2:$F$151,$AB641)&amp;" / "&amp;INDEX(Contracts!$G$2:$G$151,$AB641),IF($Z641="A",INDEX(Fixed_Assets!$E$2:$E$201,$AB641)&amp;"",IF($Z641="F","Personnel "&amp;INDEX(FTE_Allocation!$A$2:$A$201,$AB641)&amp;IF(INDEX(FTE_Allocation!$D$2:$D$201,$AB641)="PROJECT"," ("&amp;INDEX(FTE_Allocation!$E$2:$E$201,$AB641)&amp;")",""),"")))</f>
        <v/>
      </c>
      <c r="H641" s="7">
        <f>IF($Z641="C","CONTRACT",IF($Z641="A","ASSET",IF($Z641="F","WORKFORCE","")))</f>
        <v/>
      </c>
      <c r="I641" s="7">
        <f>IF($Z641="C",INDEX(Contracts!$L$2:$L$151,$AB641)&amp;"",IF($Z641="A",INDEX(Fixed_Assets!$I$2:$I$201,$AB641)&amp;"",IF($Z641="F",INDEX(Workforce!$G$2:$G$151,MATCH(INDEX(FTE_Allocation!$A$2:$A$201,$AB641),Workforce!$A$2:$A$151,0))&amp;"","")))</f>
        <v/>
      </c>
      <c r="J641" s="18">
        <f>IF($Z641="","",IF(AND(DATE($AD641,1,1)&gt;=$AE641,DATE($AD641,1,1)&lt;=$AF641),ROUND($AG641,2),0))</f>
        <v/>
      </c>
      <c r="K641" s="18">
        <f>IF($Z641="","",IF(AND(DATE($AD641,2,1)&gt;=$AE641,DATE($AD641,2,1)&lt;=$AF641),ROUND($AG641,2),0))</f>
        <v/>
      </c>
      <c r="L641" s="18">
        <f>IF($Z641="","",IF(AND(DATE($AD641,3,1)&gt;=$AE641,DATE($AD641,3,1)&lt;=$AF641),ROUND($AG641,2),0))</f>
        <v/>
      </c>
      <c r="M641" s="18">
        <f>IF($Z641="","",IF(AND(DATE($AD641,4,1)&gt;=$AE641,DATE($AD641,4,1)&lt;=$AF641),ROUND($AG641,2),0))</f>
        <v/>
      </c>
      <c r="N641" s="18">
        <f>IF($Z641="","",IF(AND(DATE($AD641,5,1)&gt;=$AE641,DATE($AD641,5,1)&lt;=$AF641),ROUND($AG641,2),0))</f>
        <v/>
      </c>
      <c r="O641" s="18">
        <f>IF($Z641="","",IF(AND(DATE($AD641,6,1)&gt;=$AE641,DATE($AD641,6,1)&lt;=$AF641),ROUND($AG641,2),0))</f>
        <v/>
      </c>
      <c r="P641" s="18">
        <f>IF($Z641="","",IF(AND(DATE($AD641,7,1)&gt;=$AE641,DATE($AD641,7,1)&lt;=$AF641),ROUND($AG641,2),0))</f>
        <v/>
      </c>
      <c r="Q641" s="18">
        <f>IF($Z641="","",IF(AND(DATE($AD641,8,1)&gt;=$AE641,DATE($AD641,8,1)&lt;=$AF641),ROUND($AG641,2),0))</f>
        <v/>
      </c>
      <c r="R641" s="18">
        <f>IF($Z641="","",IF(AND(DATE($AD641,9,1)&gt;=$AE641,DATE($AD641,9,1)&lt;=$AF641),ROUND($AG641,2),0))</f>
        <v/>
      </c>
      <c r="S641" s="18">
        <f>IF($Z641="","",IF(AND(DATE($AD641,10,1)&gt;=$AE641,DATE($AD641,10,1)&lt;=$AF641),ROUND($AG641,2),0))</f>
        <v/>
      </c>
      <c r="T641" s="18">
        <f>IF($Z641="","",IF(AND(DATE($AD641,11,1)&gt;=$AE641,DATE($AD641,11,1)&lt;=$AF641),ROUND($AG641,2),0))</f>
        <v/>
      </c>
      <c r="U641" s="18">
        <f>IF($Z641="","",IF(AND(DATE($AD641,12,1)&gt;=$AE641,DATE($AD641,12,1)&lt;=$AF641),ROUND($AG641,2),0))</f>
        <v/>
      </c>
      <c r="V641" s="7">
        <f>IF($Z641="C","Generated from "&amp;INDEX(Contracts!$A$2:$A$151,$AB641),IF($Z641="A","Generated from "&amp;INDEX(Fixed_Assets!$A$2:$A$201,$AB641),IF($Z641="F","Generated from "&amp;INDEX(FTE_Allocation!$A$2:$A$201,$AB641),"")))</f>
        <v/>
      </c>
      <c r="X641" s="19">
        <f>IF($Z641="","",SUM(J641:U641))</f>
        <v/>
      </c>
      <c r="Y641" s="20">
        <f>ROW()-1</f>
        <v/>
      </c>
      <c r="Z641" s="20">
        <f>IF($Y641&lt;=Settings!$B$4*3,"C",IF($Y641&lt;=(Settings!$B$4+Settings!$B$5)*3,"A",IF($Y641&lt;=(Settings!$B$4+Settings!$B$5+Settings!$B$6)*3,"F","")))</f>
        <v/>
      </c>
      <c r="AA641" s="20">
        <f>IF($Z641="C",$Y641,IF($Z641="A",$Y641-Settings!$B$4*3,IF($Z641="F",$Y641-(Settings!$B$4+Settings!$B$5)*3,"")))</f>
        <v/>
      </c>
      <c r="AB641" s="20">
        <f>IF($Z641="","",INT(($AA641-1)/3)+1)</f>
        <v/>
      </c>
      <c r="AC641" s="20">
        <f>IF($Z641="","",MOD($AA641-1,3)+1)</f>
        <v/>
      </c>
      <c r="AD641" s="20">
        <f>IF($Z641="","",Settings!$B$2+$AC641-1)</f>
        <v/>
      </c>
      <c r="AE641" s="21">
        <f>IF($Z641="C",DATE(YEAR(INDEX(Contracts!$J$2:$J$151,$AB641)),MONTH(INDEX(Contracts!$J$2:$J$151,$AB641)),1),IF($Z641="A",DATE(YEAR(INDEX(Fixed_Assets!$G$2:$G$201,$AB641)),MONTH(INDEX(Fixed_Assets!$G$2:$G$201,$AB641)),1),IF($Z641="F",DATE(YEAR(MAX(N(INDEX(Workforce!$I$2:$I$151,MATCH(INDEX(FTE_Allocation!$A$2:$A$201,$AB641),Workforce!$A$2:$A$151,0))),N(INDEX(FTE_Allocation!$I$2:$I$201,$AB641)))),MONTH(MAX(N(INDEX(Workforce!$I$2:$I$151,MATCH(INDEX(FTE_Allocation!$A$2:$A$201,$AB641),Workforce!$A$2:$A$151,0))),N(INDEX(FTE_Allocation!$I$2:$I$201,$AB641)))),1),"")))</f>
        <v/>
      </c>
      <c r="AF641" s="21">
        <f>IF($Z641="C",IF(INDEX(Contracts!$I$2:$I$151,$AB641)="PREPAID",EDATE(DATE(YEAR(INDEX(Contracts!$J$2:$J$151,$AB641)),MONTH(INDEX(Contracts!$J$2:$J$151,$AB641)),1),IF(INDEX(Contracts!$N$2:$N$151,$AB641)="",12,INDEX(Contracts!$N$2:$N$151,$AB641))-1),IF(INDEX(Contracts!$I$2:$I$151,$AB641)="MONTHLY",IF(INDEX(Contracts!$K$2:$K$151,$AB641)="",2958101,INDEX(Contracts!$K$2:$K$151,$AB641)),0)),IF($Z641="A",EDATE(DATE(YEAR(INDEX(Fixed_Assets!$G$2:$G$201,$AB641)),MONTH(INDEX(Fixed_Assets!$G$2:$G$201,$AB641)),1),INDEX(Fixed_Assets!$J$2:$J$201,$AB641)-1),IF($Z641="F",MIN(IF(INDEX(Workforce!$J$2:$J$151,MATCH(INDEX(FTE_Allocation!$A$2:$A$201,$AB641),Workforce!$A$2:$A$151,0))="",2958101,INDEX(Workforce!$J$2:$J$151,MATCH(INDEX(FTE_Allocation!$A$2:$A$201,$AB641),Workforce!$A$2:$A$151,0))),IF(INDEX(FTE_Allocation!$J$2:$J$201,$AB641)="",2958101,INDEX(FTE_Allocation!$J$2:$J$201,$AB641))),"")))</f>
        <v/>
      </c>
      <c r="AG641" s="19">
        <f>IF($Z641="C",IF(INDEX(Contracts!$I$2:$I$151,$AB641)="PREPAID",INDEX(Contracts!$M$2:$M$151,$AB641)/IF(INDEX(Contracts!$N$2:$N$151,$AB641)="",12,INDEX(Contracts!$N$2:$N$151,$AB641)),IF(INDEX(Contracts!$I$2:$I$151,$AB641)="MONTHLY",INDEX(Contracts!$M$2:$M$151,$AB641),0))*(1-N(INDEX(Contracts!$O$2:$O$151,$AB641))),IF($Z641="A",INDEX(Fixed_Assets!$H$2:$H$201,$AB641)/INDEX(Fixed_Assets!$J$2:$J$201,$AB641),IF($Z641="F",INDEX(Workforce!$F$2:$F$151,MATCH(INDEX(FTE_Allocation!$A$2:$A$201,$AB641),Workforce!$A$2:$A$151,0))*N(INDEX(FTE_Allocation!$F$2:$H$201,$AB641,$AC641)),"")))</f>
        <v/>
      </c>
    </row>
    <row r="642">
      <c r="A642" s="7">
        <f>IF($Z642="","",$AD642)</f>
        <v/>
      </c>
      <c r="B642" s="7">
        <f>IF($Z642="C",INDEX(Contracts!$D$2:$D$151,$AB642)&amp;"",IF($Z642="A",INDEX(Fixed_Assets!$C$2:$C$201,$AB642)&amp;"",IF($Z642="F",INDEX(Workforce!$B$2:$B$151,MATCH(INDEX(FTE_Allocation!$A$2:$A$201,$AB642),Workforce!$A$2:$A$151,0))&amp;"","")))</f>
        <v/>
      </c>
      <c r="C642" s="7">
        <f>IF($Z642="C",INDEX(Contracts!$E$2:$E$151,$AB642)&amp;"",IF($Z642="A",INDEX(Fixed_Assets!$D$2:$D$201,$AB642)&amp;"",IF($Z642="F",INDEX(FTE_Allocation!$C$2:$C$201,$AB642)&amp;"","")))</f>
        <v/>
      </c>
      <c r="D642" s="7">
        <f>IF($Z642="C",INDEX(Contracts!$B$2:$B$151,$AB642)&amp;"",IF($Z642="A",INDEX(Fixed_Assets!$B$2:$B$201,$AB642)&amp;"",IF($Z642="F",INDEX(FTE_Allocation!$B$2:$B$201,$AB642)&amp;"","")))</f>
        <v/>
      </c>
      <c r="E642" s="7">
        <f>IF($Z642="C",INDEX(Contracts!$P$2:$P$151,$AB642)&amp;"",IF($Z642="A",INDEX(Fixed_Assets!$K$2:$K$201,$AB642)&amp;"",IF($Z642="F",IF(INDEX(FTE_Allocation!$D$2:$D$201,$AB642)="PROJECT",IFERROR(INDEX(Projects!$D:$D,MATCH(INDEX(FTE_Allocation!$E$2:$E$201,$AB642),Projects!$A:$A,0))&amp;"","#PROJECT?"),INDEX(FTE_Allocation!$E$2:$E$201,$AB642)&amp;""),"")))</f>
        <v/>
      </c>
      <c r="F642" s="7">
        <f>IF($Z642="C",INDEX(Contracts!$Q$2:$Q$151,$AB642)&amp;"",IF($Z642="A",INDEX(Fixed_Assets!$L$2:$L$201,$AB642)&amp;"",IF($Z642="F",INDEX(Workforce!$K$2:$K$151,MATCH(INDEX(FTE_Allocation!$A$2:$A$201,$AB642),Workforce!$A$2:$A$151,0))&amp;"","")))</f>
        <v/>
      </c>
      <c r="G642" s="7">
        <f>IF($Z642="C",INDEX(Contracts!$F$2:$F$151,$AB642)&amp;" / "&amp;INDEX(Contracts!$G$2:$G$151,$AB642),IF($Z642="A",INDEX(Fixed_Assets!$E$2:$E$201,$AB642)&amp;"",IF($Z642="F","Personnel "&amp;INDEX(FTE_Allocation!$A$2:$A$201,$AB642)&amp;IF(INDEX(FTE_Allocation!$D$2:$D$201,$AB642)="PROJECT"," ("&amp;INDEX(FTE_Allocation!$E$2:$E$201,$AB642)&amp;")",""),"")))</f>
        <v/>
      </c>
      <c r="H642" s="7">
        <f>IF($Z642="C","CONTRACT",IF($Z642="A","ASSET",IF($Z642="F","WORKFORCE","")))</f>
        <v/>
      </c>
      <c r="I642" s="7">
        <f>IF($Z642="C",INDEX(Contracts!$L$2:$L$151,$AB642)&amp;"",IF($Z642="A",INDEX(Fixed_Assets!$I$2:$I$201,$AB642)&amp;"",IF($Z642="F",INDEX(Workforce!$G$2:$G$151,MATCH(INDEX(FTE_Allocation!$A$2:$A$201,$AB642),Workforce!$A$2:$A$151,0))&amp;"","")))</f>
        <v/>
      </c>
      <c r="J642" s="18">
        <f>IF($Z642="","",IF(AND(DATE($AD642,1,1)&gt;=$AE642,DATE($AD642,1,1)&lt;=$AF642),ROUND($AG642,2),0))</f>
        <v/>
      </c>
      <c r="K642" s="18">
        <f>IF($Z642="","",IF(AND(DATE($AD642,2,1)&gt;=$AE642,DATE($AD642,2,1)&lt;=$AF642),ROUND($AG642,2),0))</f>
        <v/>
      </c>
      <c r="L642" s="18">
        <f>IF($Z642="","",IF(AND(DATE($AD642,3,1)&gt;=$AE642,DATE($AD642,3,1)&lt;=$AF642),ROUND($AG642,2),0))</f>
        <v/>
      </c>
      <c r="M642" s="18">
        <f>IF($Z642="","",IF(AND(DATE($AD642,4,1)&gt;=$AE642,DATE($AD642,4,1)&lt;=$AF642),ROUND($AG642,2),0))</f>
        <v/>
      </c>
      <c r="N642" s="18">
        <f>IF($Z642="","",IF(AND(DATE($AD642,5,1)&gt;=$AE642,DATE($AD642,5,1)&lt;=$AF642),ROUND($AG642,2),0))</f>
        <v/>
      </c>
      <c r="O642" s="18">
        <f>IF($Z642="","",IF(AND(DATE($AD642,6,1)&gt;=$AE642,DATE($AD642,6,1)&lt;=$AF642),ROUND($AG642,2),0))</f>
        <v/>
      </c>
      <c r="P642" s="18">
        <f>IF($Z642="","",IF(AND(DATE($AD642,7,1)&gt;=$AE642,DATE($AD642,7,1)&lt;=$AF642),ROUND($AG642,2),0))</f>
        <v/>
      </c>
      <c r="Q642" s="18">
        <f>IF($Z642="","",IF(AND(DATE($AD642,8,1)&gt;=$AE642,DATE($AD642,8,1)&lt;=$AF642),ROUND($AG642,2),0))</f>
        <v/>
      </c>
      <c r="R642" s="18">
        <f>IF($Z642="","",IF(AND(DATE($AD642,9,1)&gt;=$AE642,DATE($AD642,9,1)&lt;=$AF642),ROUND($AG642,2),0))</f>
        <v/>
      </c>
      <c r="S642" s="18">
        <f>IF($Z642="","",IF(AND(DATE($AD642,10,1)&gt;=$AE642,DATE($AD642,10,1)&lt;=$AF642),ROUND($AG642,2),0))</f>
        <v/>
      </c>
      <c r="T642" s="18">
        <f>IF($Z642="","",IF(AND(DATE($AD642,11,1)&gt;=$AE642,DATE($AD642,11,1)&lt;=$AF642),ROUND($AG642,2),0))</f>
        <v/>
      </c>
      <c r="U642" s="18">
        <f>IF($Z642="","",IF(AND(DATE($AD642,12,1)&gt;=$AE642,DATE($AD642,12,1)&lt;=$AF642),ROUND($AG642,2),0))</f>
        <v/>
      </c>
      <c r="V642" s="7">
        <f>IF($Z642="C","Generated from "&amp;INDEX(Contracts!$A$2:$A$151,$AB642),IF($Z642="A","Generated from "&amp;INDEX(Fixed_Assets!$A$2:$A$201,$AB642),IF($Z642="F","Generated from "&amp;INDEX(FTE_Allocation!$A$2:$A$201,$AB642),"")))</f>
        <v/>
      </c>
      <c r="X642" s="19">
        <f>IF($Z642="","",SUM(J642:U642))</f>
        <v/>
      </c>
      <c r="Y642" s="20">
        <f>ROW()-1</f>
        <v/>
      </c>
      <c r="Z642" s="20">
        <f>IF($Y642&lt;=Settings!$B$4*3,"C",IF($Y642&lt;=(Settings!$B$4+Settings!$B$5)*3,"A",IF($Y642&lt;=(Settings!$B$4+Settings!$B$5+Settings!$B$6)*3,"F","")))</f>
        <v/>
      </c>
      <c r="AA642" s="20">
        <f>IF($Z642="C",$Y642,IF($Z642="A",$Y642-Settings!$B$4*3,IF($Z642="F",$Y642-(Settings!$B$4+Settings!$B$5)*3,"")))</f>
        <v/>
      </c>
      <c r="AB642" s="20">
        <f>IF($Z642="","",INT(($AA642-1)/3)+1)</f>
        <v/>
      </c>
      <c r="AC642" s="20">
        <f>IF($Z642="","",MOD($AA642-1,3)+1)</f>
        <v/>
      </c>
      <c r="AD642" s="20">
        <f>IF($Z642="","",Settings!$B$2+$AC642-1)</f>
        <v/>
      </c>
      <c r="AE642" s="21">
        <f>IF($Z642="C",DATE(YEAR(INDEX(Contracts!$J$2:$J$151,$AB642)),MONTH(INDEX(Contracts!$J$2:$J$151,$AB642)),1),IF($Z642="A",DATE(YEAR(INDEX(Fixed_Assets!$G$2:$G$201,$AB642)),MONTH(INDEX(Fixed_Assets!$G$2:$G$201,$AB642)),1),IF($Z642="F",DATE(YEAR(MAX(N(INDEX(Workforce!$I$2:$I$151,MATCH(INDEX(FTE_Allocation!$A$2:$A$201,$AB642),Workforce!$A$2:$A$151,0))),N(INDEX(FTE_Allocation!$I$2:$I$201,$AB642)))),MONTH(MAX(N(INDEX(Workforce!$I$2:$I$151,MATCH(INDEX(FTE_Allocation!$A$2:$A$201,$AB642),Workforce!$A$2:$A$151,0))),N(INDEX(FTE_Allocation!$I$2:$I$201,$AB642)))),1),"")))</f>
        <v/>
      </c>
      <c r="AF642" s="21">
        <f>IF($Z642="C",IF(INDEX(Contracts!$I$2:$I$151,$AB642)="PREPAID",EDATE(DATE(YEAR(INDEX(Contracts!$J$2:$J$151,$AB642)),MONTH(INDEX(Contracts!$J$2:$J$151,$AB642)),1),IF(INDEX(Contracts!$N$2:$N$151,$AB642)="",12,INDEX(Contracts!$N$2:$N$151,$AB642))-1),IF(INDEX(Contracts!$I$2:$I$151,$AB642)="MONTHLY",IF(INDEX(Contracts!$K$2:$K$151,$AB642)="",2958101,INDEX(Contracts!$K$2:$K$151,$AB642)),0)),IF($Z642="A",EDATE(DATE(YEAR(INDEX(Fixed_Assets!$G$2:$G$201,$AB642)),MONTH(INDEX(Fixed_Assets!$G$2:$G$201,$AB642)),1),INDEX(Fixed_Assets!$J$2:$J$201,$AB642)-1),IF($Z642="F",MIN(IF(INDEX(Workforce!$J$2:$J$151,MATCH(INDEX(FTE_Allocation!$A$2:$A$201,$AB642),Workforce!$A$2:$A$151,0))="",2958101,INDEX(Workforce!$J$2:$J$151,MATCH(INDEX(FTE_Allocation!$A$2:$A$201,$AB642),Workforce!$A$2:$A$151,0))),IF(INDEX(FTE_Allocation!$J$2:$J$201,$AB642)="",2958101,INDEX(FTE_Allocation!$J$2:$J$201,$AB642))),"")))</f>
        <v/>
      </c>
      <c r="AG642" s="19">
        <f>IF($Z642="C",IF(INDEX(Contracts!$I$2:$I$151,$AB642)="PREPAID",INDEX(Contracts!$M$2:$M$151,$AB642)/IF(INDEX(Contracts!$N$2:$N$151,$AB642)="",12,INDEX(Contracts!$N$2:$N$151,$AB642)),IF(INDEX(Contracts!$I$2:$I$151,$AB642)="MONTHLY",INDEX(Contracts!$M$2:$M$151,$AB642),0))*(1-N(INDEX(Contracts!$O$2:$O$151,$AB642))),IF($Z642="A",INDEX(Fixed_Assets!$H$2:$H$201,$AB642)/INDEX(Fixed_Assets!$J$2:$J$201,$AB642),IF($Z642="F",INDEX(Workforce!$F$2:$F$151,MATCH(INDEX(FTE_Allocation!$A$2:$A$201,$AB642),Workforce!$A$2:$A$151,0))*N(INDEX(FTE_Allocation!$F$2:$H$201,$AB642,$AC642)),"")))</f>
        <v/>
      </c>
    </row>
    <row r="643">
      <c r="A643" s="7">
        <f>IF($Z643="","",$AD643)</f>
        <v/>
      </c>
      <c r="B643" s="7">
        <f>IF($Z643="C",INDEX(Contracts!$D$2:$D$151,$AB643)&amp;"",IF($Z643="A",INDEX(Fixed_Assets!$C$2:$C$201,$AB643)&amp;"",IF($Z643="F",INDEX(Workforce!$B$2:$B$151,MATCH(INDEX(FTE_Allocation!$A$2:$A$201,$AB643),Workforce!$A$2:$A$151,0))&amp;"","")))</f>
        <v/>
      </c>
      <c r="C643" s="7">
        <f>IF($Z643="C",INDEX(Contracts!$E$2:$E$151,$AB643)&amp;"",IF($Z643="A",INDEX(Fixed_Assets!$D$2:$D$201,$AB643)&amp;"",IF($Z643="F",INDEX(FTE_Allocation!$C$2:$C$201,$AB643)&amp;"","")))</f>
        <v/>
      </c>
      <c r="D643" s="7">
        <f>IF($Z643="C",INDEX(Contracts!$B$2:$B$151,$AB643)&amp;"",IF($Z643="A",INDEX(Fixed_Assets!$B$2:$B$201,$AB643)&amp;"",IF($Z643="F",INDEX(FTE_Allocation!$B$2:$B$201,$AB643)&amp;"","")))</f>
        <v/>
      </c>
      <c r="E643" s="7">
        <f>IF($Z643="C",INDEX(Contracts!$P$2:$P$151,$AB643)&amp;"",IF($Z643="A",INDEX(Fixed_Assets!$K$2:$K$201,$AB643)&amp;"",IF($Z643="F",IF(INDEX(FTE_Allocation!$D$2:$D$201,$AB643)="PROJECT",IFERROR(INDEX(Projects!$D:$D,MATCH(INDEX(FTE_Allocation!$E$2:$E$201,$AB643),Projects!$A:$A,0))&amp;"","#PROJECT?"),INDEX(FTE_Allocation!$E$2:$E$201,$AB643)&amp;""),"")))</f>
        <v/>
      </c>
      <c r="F643" s="7">
        <f>IF($Z643="C",INDEX(Contracts!$Q$2:$Q$151,$AB643)&amp;"",IF($Z643="A",INDEX(Fixed_Assets!$L$2:$L$201,$AB643)&amp;"",IF($Z643="F",INDEX(Workforce!$K$2:$K$151,MATCH(INDEX(FTE_Allocation!$A$2:$A$201,$AB643),Workforce!$A$2:$A$151,0))&amp;"","")))</f>
        <v/>
      </c>
      <c r="G643" s="7">
        <f>IF($Z643="C",INDEX(Contracts!$F$2:$F$151,$AB643)&amp;" / "&amp;INDEX(Contracts!$G$2:$G$151,$AB643),IF($Z643="A",INDEX(Fixed_Assets!$E$2:$E$201,$AB643)&amp;"",IF($Z643="F","Personnel "&amp;INDEX(FTE_Allocation!$A$2:$A$201,$AB643)&amp;IF(INDEX(FTE_Allocation!$D$2:$D$201,$AB643)="PROJECT"," ("&amp;INDEX(FTE_Allocation!$E$2:$E$201,$AB643)&amp;")",""),"")))</f>
        <v/>
      </c>
      <c r="H643" s="7">
        <f>IF($Z643="C","CONTRACT",IF($Z643="A","ASSET",IF($Z643="F","WORKFORCE","")))</f>
        <v/>
      </c>
      <c r="I643" s="7">
        <f>IF($Z643="C",INDEX(Contracts!$L$2:$L$151,$AB643)&amp;"",IF($Z643="A",INDEX(Fixed_Assets!$I$2:$I$201,$AB643)&amp;"",IF($Z643="F",INDEX(Workforce!$G$2:$G$151,MATCH(INDEX(FTE_Allocation!$A$2:$A$201,$AB643),Workforce!$A$2:$A$151,0))&amp;"","")))</f>
        <v/>
      </c>
      <c r="J643" s="18">
        <f>IF($Z643="","",IF(AND(DATE($AD643,1,1)&gt;=$AE643,DATE($AD643,1,1)&lt;=$AF643),ROUND($AG643,2),0))</f>
        <v/>
      </c>
      <c r="K643" s="18">
        <f>IF($Z643="","",IF(AND(DATE($AD643,2,1)&gt;=$AE643,DATE($AD643,2,1)&lt;=$AF643),ROUND($AG643,2),0))</f>
        <v/>
      </c>
      <c r="L643" s="18">
        <f>IF($Z643="","",IF(AND(DATE($AD643,3,1)&gt;=$AE643,DATE($AD643,3,1)&lt;=$AF643),ROUND($AG643,2),0))</f>
        <v/>
      </c>
      <c r="M643" s="18">
        <f>IF($Z643="","",IF(AND(DATE($AD643,4,1)&gt;=$AE643,DATE($AD643,4,1)&lt;=$AF643),ROUND($AG643,2),0))</f>
        <v/>
      </c>
      <c r="N643" s="18">
        <f>IF($Z643="","",IF(AND(DATE($AD643,5,1)&gt;=$AE643,DATE($AD643,5,1)&lt;=$AF643),ROUND($AG643,2),0))</f>
        <v/>
      </c>
      <c r="O643" s="18">
        <f>IF($Z643="","",IF(AND(DATE($AD643,6,1)&gt;=$AE643,DATE($AD643,6,1)&lt;=$AF643),ROUND($AG643,2),0))</f>
        <v/>
      </c>
      <c r="P643" s="18">
        <f>IF($Z643="","",IF(AND(DATE($AD643,7,1)&gt;=$AE643,DATE($AD643,7,1)&lt;=$AF643),ROUND($AG643,2),0))</f>
        <v/>
      </c>
      <c r="Q643" s="18">
        <f>IF($Z643="","",IF(AND(DATE($AD643,8,1)&gt;=$AE643,DATE($AD643,8,1)&lt;=$AF643),ROUND($AG643,2),0))</f>
        <v/>
      </c>
      <c r="R643" s="18">
        <f>IF($Z643="","",IF(AND(DATE($AD643,9,1)&gt;=$AE643,DATE($AD643,9,1)&lt;=$AF643),ROUND($AG643,2),0))</f>
        <v/>
      </c>
      <c r="S643" s="18">
        <f>IF($Z643="","",IF(AND(DATE($AD643,10,1)&gt;=$AE643,DATE($AD643,10,1)&lt;=$AF643),ROUND($AG643,2),0))</f>
        <v/>
      </c>
      <c r="T643" s="18">
        <f>IF($Z643="","",IF(AND(DATE($AD643,11,1)&gt;=$AE643,DATE($AD643,11,1)&lt;=$AF643),ROUND($AG643,2),0))</f>
        <v/>
      </c>
      <c r="U643" s="18">
        <f>IF($Z643="","",IF(AND(DATE($AD643,12,1)&gt;=$AE643,DATE($AD643,12,1)&lt;=$AF643),ROUND($AG643,2),0))</f>
        <v/>
      </c>
      <c r="V643" s="7">
        <f>IF($Z643="C","Generated from "&amp;INDEX(Contracts!$A$2:$A$151,$AB643),IF($Z643="A","Generated from "&amp;INDEX(Fixed_Assets!$A$2:$A$201,$AB643),IF($Z643="F","Generated from "&amp;INDEX(FTE_Allocation!$A$2:$A$201,$AB643),"")))</f>
        <v/>
      </c>
      <c r="X643" s="19">
        <f>IF($Z643="","",SUM(J643:U643))</f>
        <v/>
      </c>
      <c r="Y643" s="20">
        <f>ROW()-1</f>
        <v/>
      </c>
      <c r="Z643" s="20">
        <f>IF($Y643&lt;=Settings!$B$4*3,"C",IF($Y643&lt;=(Settings!$B$4+Settings!$B$5)*3,"A",IF($Y643&lt;=(Settings!$B$4+Settings!$B$5+Settings!$B$6)*3,"F","")))</f>
        <v/>
      </c>
      <c r="AA643" s="20">
        <f>IF($Z643="C",$Y643,IF($Z643="A",$Y643-Settings!$B$4*3,IF($Z643="F",$Y643-(Settings!$B$4+Settings!$B$5)*3,"")))</f>
        <v/>
      </c>
      <c r="AB643" s="20">
        <f>IF($Z643="","",INT(($AA643-1)/3)+1)</f>
        <v/>
      </c>
      <c r="AC643" s="20">
        <f>IF($Z643="","",MOD($AA643-1,3)+1)</f>
        <v/>
      </c>
      <c r="AD643" s="20">
        <f>IF($Z643="","",Settings!$B$2+$AC643-1)</f>
        <v/>
      </c>
      <c r="AE643" s="21">
        <f>IF($Z643="C",DATE(YEAR(INDEX(Contracts!$J$2:$J$151,$AB643)),MONTH(INDEX(Contracts!$J$2:$J$151,$AB643)),1),IF($Z643="A",DATE(YEAR(INDEX(Fixed_Assets!$G$2:$G$201,$AB643)),MONTH(INDEX(Fixed_Assets!$G$2:$G$201,$AB643)),1),IF($Z643="F",DATE(YEAR(MAX(N(INDEX(Workforce!$I$2:$I$151,MATCH(INDEX(FTE_Allocation!$A$2:$A$201,$AB643),Workforce!$A$2:$A$151,0))),N(INDEX(FTE_Allocation!$I$2:$I$201,$AB643)))),MONTH(MAX(N(INDEX(Workforce!$I$2:$I$151,MATCH(INDEX(FTE_Allocation!$A$2:$A$201,$AB643),Workforce!$A$2:$A$151,0))),N(INDEX(FTE_Allocation!$I$2:$I$201,$AB643)))),1),"")))</f>
        <v/>
      </c>
      <c r="AF643" s="21">
        <f>IF($Z643="C",IF(INDEX(Contracts!$I$2:$I$151,$AB643)="PREPAID",EDATE(DATE(YEAR(INDEX(Contracts!$J$2:$J$151,$AB643)),MONTH(INDEX(Contracts!$J$2:$J$151,$AB643)),1),IF(INDEX(Contracts!$N$2:$N$151,$AB643)="",12,INDEX(Contracts!$N$2:$N$151,$AB643))-1),IF(INDEX(Contracts!$I$2:$I$151,$AB643)="MONTHLY",IF(INDEX(Contracts!$K$2:$K$151,$AB643)="",2958101,INDEX(Contracts!$K$2:$K$151,$AB643)),0)),IF($Z643="A",EDATE(DATE(YEAR(INDEX(Fixed_Assets!$G$2:$G$201,$AB643)),MONTH(INDEX(Fixed_Assets!$G$2:$G$201,$AB643)),1),INDEX(Fixed_Assets!$J$2:$J$201,$AB643)-1),IF($Z643="F",MIN(IF(INDEX(Workforce!$J$2:$J$151,MATCH(INDEX(FTE_Allocation!$A$2:$A$201,$AB643),Workforce!$A$2:$A$151,0))="",2958101,INDEX(Workforce!$J$2:$J$151,MATCH(INDEX(FTE_Allocation!$A$2:$A$201,$AB643),Workforce!$A$2:$A$151,0))),IF(INDEX(FTE_Allocation!$J$2:$J$201,$AB643)="",2958101,INDEX(FTE_Allocation!$J$2:$J$201,$AB643))),"")))</f>
        <v/>
      </c>
      <c r="AG643" s="19">
        <f>IF($Z643="C",IF(INDEX(Contracts!$I$2:$I$151,$AB643)="PREPAID",INDEX(Contracts!$M$2:$M$151,$AB643)/IF(INDEX(Contracts!$N$2:$N$151,$AB643)="",12,INDEX(Contracts!$N$2:$N$151,$AB643)),IF(INDEX(Contracts!$I$2:$I$151,$AB643)="MONTHLY",INDEX(Contracts!$M$2:$M$151,$AB643),0))*(1-N(INDEX(Contracts!$O$2:$O$151,$AB643))),IF($Z643="A",INDEX(Fixed_Assets!$H$2:$H$201,$AB643)/INDEX(Fixed_Assets!$J$2:$J$201,$AB643),IF($Z643="F",INDEX(Workforce!$F$2:$F$151,MATCH(INDEX(FTE_Allocation!$A$2:$A$201,$AB643),Workforce!$A$2:$A$151,0))*N(INDEX(FTE_Allocation!$F$2:$H$201,$AB643,$AC643)),"")))</f>
        <v/>
      </c>
    </row>
    <row r="644">
      <c r="A644" s="7">
        <f>IF($Z644="","",$AD644)</f>
        <v/>
      </c>
      <c r="B644" s="7">
        <f>IF($Z644="C",INDEX(Contracts!$D$2:$D$151,$AB644)&amp;"",IF($Z644="A",INDEX(Fixed_Assets!$C$2:$C$201,$AB644)&amp;"",IF($Z644="F",INDEX(Workforce!$B$2:$B$151,MATCH(INDEX(FTE_Allocation!$A$2:$A$201,$AB644),Workforce!$A$2:$A$151,0))&amp;"","")))</f>
        <v/>
      </c>
      <c r="C644" s="7">
        <f>IF($Z644="C",INDEX(Contracts!$E$2:$E$151,$AB644)&amp;"",IF($Z644="A",INDEX(Fixed_Assets!$D$2:$D$201,$AB644)&amp;"",IF($Z644="F",INDEX(FTE_Allocation!$C$2:$C$201,$AB644)&amp;"","")))</f>
        <v/>
      </c>
      <c r="D644" s="7">
        <f>IF($Z644="C",INDEX(Contracts!$B$2:$B$151,$AB644)&amp;"",IF($Z644="A",INDEX(Fixed_Assets!$B$2:$B$201,$AB644)&amp;"",IF($Z644="F",INDEX(FTE_Allocation!$B$2:$B$201,$AB644)&amp;"","")))</f>
        <v/>
      </c>
      <c r="E644" s="7">
        <f>IF($Z644="C",INDEX(Contracts!$P$2:$P$151,$AB644)&amp;"",IF($Z644="A",INDEX(Fixed_Assets!$K$2:$K$201,$AB644)&amp;"",IF($Z644="F",IF(INDEX(FTE_Allocation!$D$2:$D$201,$AB644)="PROJECT",IFERROR(INDEX(Projects!$D:$D,MATCH(INDEX(FTE_Allocation!$E$2:$E$201,$AB644),Projects!$A:$A,0))&amp;"","#PROJECT?"),INDEX(FTE_Allocation!$E$2:$E$201,$AB644)&amp;""),"")))</f>
        <v/>
      </c>
      <c r="F644" s="7">
        <f>IF($Z644="C",INDEX(Contracts!$Q$2:$Q$151,$AB644)&amp;"",IF($Z644="A",INDEX(Fixed_Assets!$L$2:$L$201,$AB644)&amp;"",IF($Z644="F",INDEX(Workforce!$K$2:$K$151,MATCH(INDEX(FTE_Allocation!$A$2:$A$201,$AB644),Workforce!$A$2:$A$151,0))&amp;"","")))</f>
        <v/>
      </c>
      <c r="G644" s="7">
        <f>IF($Z644="C",INDEX(Contracts!$F$2:$F$151,$AB644)&amp;" / "&amp;INDEX(Contracts!$G$2:$G$151,$AB644),IF($Z644="A",INDEX(Fixed_Assets!$E$2:$E$201,$AB644)&amp;"",IF($Z644="F","Personnel "&amp;INDEX(FTE_Allocation!$A$2:$A$201,$AB644)&amp;IF(INDEX(FTE_Allocation!$D$2:$D$201,$AB644)="PROJECT"," ("&amp;INDEX(FTE_Allocation!$E$2:$E$201,$AB644)&amp;")",""),"")))</f>
        <v/>
      </c>
      <c r="H644" s="7">
        <f>IF($Z644="C","CONTRACT",IF($Z644="A","ASSET",IF($Z644="F","WORKFORCE","")))</f>
        <v/>
      </c>
      <c r="I644" s="7">
        <f>IF($Z644="C",INDEX(Contracts!$L$2:$L$151,$AB644)&amp;"",IF($Z644="A",INDEX(Fixed_Assets!$I$2:$I$201,$AB644)&amp;"",IF($Z644="F",INDEX(Workforce!$G$2:$G$151,MATCH(INDEX(FTE_Allocation!$A$2:$A$201,$AB644),Workforce!$A$2:$A$151,0))&amp;"","")))</f>
        <v/>
      </c>
      <c r="J644" s="18">
        <f>IF($Z644="","",IF(AND(DATE($AD644,1,1)&gt;=$AE644,DATE($AD644,1,1)&lt;=$AF644),ROUND($AG644,2),0))</f>
        <v/>
      </c>
      <c r="K644" s="18">
        <f>IF($Z644="","",IF(AND(DATE($AD644,2,1)&gt;=$AE644,DATE($AD644,2,1)&lt;=$AF644),ROUND($AG644,2),0))</f>
        <v/>
      </c>
      <c r="L644" s="18">
        <f>IF($Z644="","",IF(AND(DATE($AD644,3,1)&gt;=$AE644,DATE($AD644,3,1)&lt;=$AF644),ROUND($AG644,2),0))</f>
        <v/>
      </c>
      <c r="M644" s="18">
        <f>IF($Z644="","",IF(AND(DATE($AD644,4,1)&gt;=$AE644,DATE($AD644,4,1)&lt;=$AF644),ROUND($AG644,2),0))</f>
        <v/>
      </c>
      <c r="N644" s="18">
        <f>IF($Z644="","",IF(AND(DATE($AD644,5,1)&gt;=$AE644,DATE($AD644,5,1)&lt;=$AF644),ROUND($AG644,2),0))</f>
        <v/>
      </c>
      <c r="O644" s="18">
        <f>IF($Z644="","",IF(AND(DATE($AD644,6,1)&gt;=$AE644,DATE($AD644,6,1)&lt;=$AF644),ROUND($AG644,2),0))</f>
        <v/>
      </c>
      <c r="P644" s="18">
        <f>IF($Z644="","",IF(AND(DATE($AD644,7,1)&gt;=$AE644,DATE($AD644,7,1)&lt;=$AF644),ROUND($AG644,2),0))</f>
        <v/>
      </c>
      <c r="Q644" s="18">
        <f>IF($Z644="","",IF(AND(DATE($AD644,8,1)&gt;=$AE644,DATE($AD644,8,1)&lt;=$AF644),ROUND($AG644,2),0))</f>
        <v/>
      </c>
      <c r="R644" s="18">
        <f>IF($Z644="","",IF(AND(DATE($AD644,9,1)&gt;=$AE644,DATE($AD644,9,1)&lt;=$AF644),ROUND($AG644,2),0))</f>
        <v/>
      </c>
      <c r="S644" s="18">
        <f>IF($Z644="","",IF(AND(DATE($AD644,10,1)&gt;=$AE644,DATE($AD644,10,1)&lt;=$AF644),ROUND($AG644,2),0))</f>
        <v/>
      </c>
      <c r="T644" s="18">
        <f>IF($Z644="","",IF(AND(DATE($AD644,11,1)&gt;=$AE644,DATE($AD644,11,1)&lt;=$AF644),ROUND($AG644,2),0))</f>
        <v/>
      </c>
      <c r="U644" s="18">
        <f>IF($Z644="","",IF(AND(DATE($AD644,12,1)&gt;=$AE644,DATE($AD644,12,1)&lt;=$AF644),ROUND($AG644,2),0))</f>
        <v/>
      </c>
      <c r="V644" s="7">
        <f>IF($Z644="C","Generated from "&amp;INDEX(Contracts!$A$2:$A$151,$AB644),IF($Z644="A","Generated from "&amp;INDEX(Fixed_Assets!$A$2:$A$201,$AB644),IF($Z644="F","Generated from "&amp;INDEX(FTE_Allocation!$A$2:$A$201,$AB644),"")))</f>
        <v/>
      </c>
      <c r="X644" s="19">
        <f>IF($Z644="","",SUM(J644:U644))</f>
        <v/>
      </c>
      <c r="Y644" s="20">
        <f>ROW()-1</f>
        <v/>
      </c>
      <c r="Z644" s="20">
        <f>IF($Y644&lt;=Settings!$B$4*3,"C",IF($Y644&lt;=(Settings!$B$4+Settings!$B$5)*3,"A",IF($Y644&lt;=(Settings!$B$4+Settings!$B$5+Settings!$B$6)*3,"F","")))</f>
        <v/>
      </c>
      <c r="AA644" s="20">
        <f>IF($Z644="C",$Y644,IF($Z644="A",$Y644-Settings!$B$4*3,IF($Z644="F",$Y644-(Settings!$B$4+Settings!$B$5)*3,"")))</f>
        <v/>
      </c>
      <c r="AB644" s="20">
        <f>IF($Z644="","",INT(($AA644-1)/3)+1)</f>
        <v/>
      </c>
      <c r="AC644" s="20">
        <f>IF($Z644="","",MOD($AA644-1,3)+1)</f>
        <v/>
      </c>
      <c r="AD644" s="20">
        <f>IF($Z644="","",Settings!$B$2+$AC644-1)</f>
        <v/>
      </c>
      <c r="AE644" s="21">
        <f>IF($Z644="C",DATE(YEAR(INDEX(Contracts!$J$2:$J$151,$AB644)),MONTH(INDEX(Contracts!$J$2:$J$151,$AB644)),1),IF($Z644="A",DATE(YEAR(INDEX(Fixed_Assets!$G$2:$G$201,$AB644)),MONTH(INDEX(Fixed_Assets!$G$2:$G$201,$AB644)),1),IF($Z644="F",DATE(YEAR(MAX(N(INDEX(Workforce!$I$2:$I$151,MATCH(INDEX(FTE_Allocation!$A$2:$A$201,$AB644),Workforce!$A$2:$A$151,0))),N(INDEX(FTE_Allocation!$I$2:$I$201,$AB644)))),MONTH(MAX(N(INDEX(Workforce!$I$2:$I$151,MATCH(INDEX(FTE_Allocation!$A$2:$A$201,$AB644),Workforce!$A$2:$A$151,0))),N(INDEX(FTE_Allocation!$I$2:$I$201,$AB644)))),1),"")))</f>
        <v/>
      </c>
      <c r="AF644" s="21">
        <f>IF($Z644="C",IF(INDEX(Contracts!$I$2:$I$151,$AB644)="PREPAID",EDATE(DATE(YEAR(INDEX(Contracts!$J$2:$J$151,$AB644)),MONTH(INDEX(Contracts!$J$2:$J$151,$AB644)),1),IF(INDEX(Contracts!$N$2:$N$151,$AB644)="",12,INDEX(Contracts!$N$2:$N$151,$AB644))-1),IF(INDEX(Contracts!$I$2:$I$151,$AB644)="MONTHLY",IF(INDEX(Contracts!$K$2:$K$151,$AB644)="",2958101,INDEX(Contracts!$K$2:$K$151,$AB644)),0)),IF($Z644="A",EDATE(DATE(YEAR(INDEX(Fixed_Assets!$G$2:$G$201,$AB644)),MONTH(INDEX(Fixed_Assets!$G$2:$G$201,$AB644)),1),INDEX(Fixed_Assets!$J$2:$J$201,$AB644)-1),IF($Z644="F",MIN(IF(INDEX(Workforce!$J$2:$J$151,MATCH(INDEX(FTE_Allocation!$A$2:$A$201,$AB644),Workforce!$A$2:$A$151,0))="",2958101,INDEX(Workforce!$J$2:$J$151,MATCH(INDEX(FTE_Allocation!$A$2:$A$201,$AB644),Workforce!$A$2:$A$151,0))),IF(INDEX(FTE_Allocation!$J$2:$J$201,$AB644)="",2958101,INDEX(FTE_Allocation!$J$2:$J$201,$AB644))),"")))</f>
        <v/>
      </c>
      <c r="AG644" s="19">
        <f>IF($Z644="C",IF(INDEX(Contracts!$I$2:$I$151,$AB644)="PREPAID",INDEX(Contracts!$M$2:$M$151,$AB644)/IF(INDEX(Contracts!$N$2:$N$151,$AB644)="",12,INDEX(Contracts!$N$2:$N$151,$AB644)),IF(INDEX(Contracts!$I$2:$I$151,$AB644)="MONTHLY",INDEX(Contracts!$M$2:$M$151,$AB644),0))*(1-N(INDEX(Contracts!$O$2:$O$151,$AB644))),IF($Z644="A",INDEX(Fixed_Assets!$H$2:$H$201,$AB644)/INDEX(Fixed_Assets!$J$2:$J$201,$AB644),IF($Z644="F",INDEX(Workforce!$F$2:$F$151,MATCH(INDEX(FTE_Allocation!$A$2:$A$201,$AB644),Workforce!$A$2:$A$151,0))*N(INDEX(FTE_Allocation!$F$2:$H$201,$AB644,$AC644)),"")))</f>
        <v/>
      </c>
    </row>
    <row r="645">
      <c r="A645" s="7">
        <f>IF($Z645="","",$AD645)</f>
        <v/>
      </c>
      <c r="B645" s="7">
        <f>IF($Z645="C",INDEX(Contracts!$D$2:$D$151,$AB645)&amp;"",IF($Z645="A",INDEX(Fixed_Assets!$C$2:$C$201,$AB645)&amp;"",IF($Z645="F",INDEX(Workforce!$B$2:$B$151,MATCH(INDEX(FTE_Allocation!$A$2:$A$201,$AB645),Workforce!$A$2:$A$151,0))&amp;"","")))</f>
        <v/>
      </c>
      <c r="C645" s="7">
        <f>IF($Z645="C",INDEX(Contracts!$E$2:$E$151,$AB645)&amp;"",IF($Z645="A",INDEX(Fixed_Assets!$D$2:$D$201,$AB645)&amp;"",IF($Z645="F",INDEX(FTE_Allocation!$C$2:$C$201,$AB645)&amp;"","")))</f>
        <v/>
      </c>
      <c r="D645" s="7">
        <f>IF($Z645="C",INDEX(Contracts!$B$2:$B$151,$AB645)&amp;"",IF($Z645="A",INDEX(Fixed_Assets!$B$2:$B$201,$AB645)&amp;"",IF($Z645="F",INDEX(FTE_Allocation!$B$2:$B$201,$AB645)&amp;"","")))</f>
        <v/>
      </c>
      <c r="E645" s="7">
        <f>IF($Z645="C",INDEX(Contracts!$P$2:$P$151,$AB645)&amp;"",IF($Z645="A",INDEX(Fixed_Assets!$K$2:$K$201,$AB645)&amp;"",IF($Z645="F",IF(INDEX(FTE_Allocation!$D$2:$D$201,$AB645)="PROJECT",IFERROR(INDEX(Projects!$D:$D,MATCH(INDEX(FTE_Allocation!$E$2:$E$201,$AB645),Projects!$A:$A,0))&amp;"","#PROJECT?"),INDEX(FTE_Allocation!$E$2:$E$201,$AB645)&amp;""),"")))</f>
        <v/>
      </c>
      <c r="F645" s="7">
        <f>IF($Z645="C",INDEX(Contracts!$Q$2:$Q$151,$AB645)&amp;"",IF($Z645="A",INDEX(Fixed_Assets!$L$2:$L$201,$AB645)&amp;"",IF($Z645="F",INDEX(Workforce!$K$2:$K$151,MATCH(INDEX(FTE_Allocation!$A$2:$A$201,$AB645),Workforce!$A$2:$A$151,0))&amp;"","")))</f>
        <v/>
      </c>
      <c r="G645" s="7">
        <f>IF($Z645="C",INDEX(Contracts!$F$2:$F$151,$AB645)&amp;" / "&amp;INDEX(Contracts!$G$2:$G$151,$AB645),IF($Z645="A",INDEX(Fixed_Assets!$E$2:$E$201,$AB645)&amp;"",IF($Z645="F","Personnel "&amp;INDEX(FTE_Allocation!$A$2:$A$201,$AB645)&amp;IF(INDEX(FTE_Allocation!$D$2:$D$201,$AB645)="PROJECT"," ("&amp;INDEX(FTE_Allocation!$E$2:$E$201,$AB645)&amp;")",""),"")))</f>
        <v/>
      </c>
      <c r="H645" s="7">
        <f>IF($Z645="C","CONTRACT",IF($Z645="A","ASSET",IF($Z645="F","WORKFORCE","")))</f>
        <v/>
      </c>
      <c r="I645" s="7">
        <f>IF($Z645="C",INDEX(Contracts!$L$2:$L$151,$AB645)&amp;"",IF($Z645="A",INDEX(Fixed_Assets!$I$2:$I$201,$AB645)&amp;"",IF($Z645="F",INDEX(Workforce!$G$2:$G$151,MATCH(INDEX(FTE_Allocation!$A$2:$A$201,$AB645),Workforce!$A$2:$A$151,0))&amp;"","")))</f>
        <v/>
      </c>
      <c r="J645" s="18">
        <f>IF($Z645="","",IF(AND(DATE($AD645,1,1)&gt;=$AE645,DATE($AD645,1,1)&lt;=$AF645),ROUND($AG645,2),0))</f>
        <v/>
      </c>
      <c r="K645" s="18">
        <f>IF($Z645="","",IF(AND(DATE($AD645,2,1)&gt;=$AE645,DATE($AD645,2,1)&lt;=$AF645),ROUND($AG645,2),0))</f>
        <v/>
      </c>
      <c r="L645" s="18">
        <f>IF($Z645="","",IF(AND(DATE($AD645,3,1)&gt;=$AE645,DATE($AD645,3,1)&lt;=$AF645),ROUND($AG645,2),0))</f>
        <v/>
      </c>
      <c r="M645" s="18">
        <f>IF($Z645="","",IF(AND(DATE($AD645,4,1)&gt;=$AE645,DATE($AD645,4,1)&lt;=$AF645),ROUND($AG645,2),0))</f>
        <v/>
      </c>
      <c r="N645" s="18">
        <f>IF($Z645="","",IF(AND(DATE($AD645,5,1)&gt;=$AE645,DATE($AD645,5,1)&lt;=$AF645),ROUND($AG645,2),0))</f>
        <v/>
      </c>
      <c r="O645" s="18">
        <f>IF($Z645="","",IF(AND(DATE($AD645,6,1)&gt;=$AE645,DATE($AD645,6,1)&lt;=$AF645),ROUND($AG645,2),0))</f>
        <v/>
      </c>
      <c r="P645" s="18">
        <f>IF($Z645="","",IF(AND(DATE($AD645,7,1)&gt;=$AE645,DATE($AD645,7,1)&lt;=$AF645),ROUND($AG645,2),0))</f>
        <v/>
      </c>
      <c r="Q645" s="18">
        <f>IF($Z645="","",IF(AND(DATE($AD645,8,1)&gt;=$AE645,DATE($AD645,8,1)&lt;=$AF645),ROUND($AG645,2),0))</f>
        <v/>
      </c>
      <c r="R645" s="18">
        <f>IF($Z645="","",IF(AND(DATE($AD645,9,1)&gt;=$AE645,DATE($AD645,9,1)&lt;=$AF645),ROUND($AG645,2),0))</f>
        <v/>
      </c>
      <c r="S645" s="18">
        <f>IF($Z645="","",IF(AND(DATE($AD645,10,1)&gt;=$AE645,DATE($AD645,10,1)&lt;=$AF645),ROUND($AG645,2),0))</f>
        <v/>
      </c>
      <c r="T645" s="18">
        <f>IF($Z645="","",IF(AND(DATE($AD645,11,1)&gt;=$AE645,DATE($AD645,11,1)&lt;=$AF645),ROUND($AG645,2),0))</f>
        <v/>
      </c>
      <c r="U645" s="18">
        <f>IF($Z645="","",IF(AND(DATE($AD645,12,1)&gt;=$AE645,DATE($AD645,12,1)&lt;=$AF645),ROUND($AG645,2),0))</f>
        <v/>
      </c>
      <c r="V645" s="7">
        <f>IF($Z645="C","Generated from "&amp;INDEX(Contracts!$A$2:$A$151,$AB645),IF($Z645="A","Generated from "&amp;INDEX(Fixed_Assets!$A$2:$A$201,$AB645),IF($Z645="F","Generated from "&amp;INDEX(FTE_Allocation!$A$2:$A$201,$AB645),"")))</f>
        <v/>
      </c>
      <c r="X645" s="19">
        <f>IF($Z645="","",SUM(J645:U645))</f>
        <v/>
      </c>
      <c r="Y645" s="20">
        <f>ROW()-1</f>
        <v/>
      </c>
      <c r="Z645" s="20">
        <f>IF($Y645&lt;=Settings!$B$4*3,"C",IF($Y645&lt;=(Settings!$B$4+Settings!$B$5)*3,"A",IF($Y645&lt;=(Settings!$B$4+Settings!$B$5+Settings!$B$6)*3,"F","")))</f>
        <v/>
      </c>
      <c r="AA645" s="20">
        <f>IF($Z645="C",$Y645,IF($Z645="A",$Y645-Settings!$B$4*3,IF($Z645="F",$Y645-(Settings!$B$4+Settings!$B$5)*3,"")))</f>
        <v/>
      </c>
      <c r="AB645" s="20">
        <f>IF($Z645="","",INT(($AA645-1)/3)+1)</f>
        <v/>
      </c>
      <c r="AC645" s="20">
        <f>IF($Z645="","",MOD($AA645-1,3)+1)</f>
        <v/>
      </c>
      <c r="AD645" s="20">
        <f>IF($Z645="","",Settings!$B$2+$AC645-1)</f>
        <v/>
      </c>
      <c r="AE645" s="21">
        <f>IF($Z645="C",DATE(YEAR(INDEX(Contracts!$J$2:$J$151,$AB645)),MONTH(INDEX(Contracts!$J$2:$J$151,$AB645)),1),IF($Z645="A",DATE(YEAR(INDEX(Fixed_Assets!$G$2:$G$201,$AB645)),MONTH(INDEX(Fixed_Assets!$G$2:$G$201,$AB645)),1),IF($Z645="F",DATE(YEAR(MAX(N(INDEX(Workforce!$I$2:$I$151,MATCH(INDEX(FTE_Allocation!$A$2:$A$201,$AB645),Workforce!$A$2:$A$151,0))),N(INDEX(FTE_Allocation!$I$2:$I$201,$AB645)))),MONTH(MAX(N(INDEX(Workforce!$I$2:$I$151,MATCH(INDEX(FTE_Allocation!$A$2:$A$201,$AB645),Workforce!$A$2:$A$151,0))),N(INDEX(FTE_Allocation!$I$2:$I$201,$AB645)))),1),"")))</f>
        <v/>
      </c>
      <c r="AF645" s="21">
        <f>IF($Z645="C",IF(INDEX(Contracts!$I$2:$I$151,$AB645)="PREPAID",EDATE(DATE(YEAR(INDEX(Contracts!$J$2:$J$151,$AB645)),MONTH(INDEX(Contracts!$J$2:$J$151,$AB645)),1),IF(INDEX(Contracts!$N$2:$N$151,$AB645)="",12,INDEX(Contracts!$N$2:$N$151,$AB645))-1),IF(INDEX(Contracts!$I$2:$I$151,$AB645)="MONTHLY",IF(INDEX(Contracts!$K$2:$K$151,$AB645)="",2958101,INDEX(Contracts!$K$2:$K$151,$AB645)),0)),IF($Z645="A",EDATE(DATE(YEAR(INDEX(Fixed_Assets!$G$2:$G$201,$AB645)),MONTH(INDEX(Fixed_Assets!$G$2:$G$201,$AB645)),1),INDEX(Fixed_Assets!$J$2:$J$201,$AB645)-1),IF($Z645="F",MIN(IF(INDEX(Workforce!$J$2:$J$151,MATCH(INDEX(FTE_Allocation!$A$2:$A$201,$AB645),Workforce!$A$2:$A$151,0))="",2958101,INDEX(Workforce!$J$2:$J$151,MATCH(INDEX(FTE_Allocation!$A$2:$A$201,$AB645),Workforce!$A$2:$A$151,0))),IF(INDEX(FTE_Allocation!$J$2:$J$201,$AB645)="",2958101,INDEX(FTE_Allocation!$J$2:$J$201,$AB645))),"")))</f>
        <v/>
      </c>
      <c r="AG645" s="19">
        <f>IF($Z645="C",IF(INDEX(Contracts!$I$2:$I$151,$AB645)="PREPAID",INDEX(Contracts!$M$2:$M$151,$AB645)/IF(INDEX(Contracts!$N$2:$N$151,$AB645)="",12,INDEX(Contracts!$N$2:$N$151,$AB645)),IF(INDEX(Contracts!$I$2:$I$151,$AB645)="MONTHLY",INDEX(Contracts!$M$2:$M$151,$AB645),0))*(1-N(INDEX(Contracts!$O$2:$O$151,$AB645))),IF($Z645="A",INDEX(Fixed_Assets!$H$2:$H$201,$AB645)/INDEX(Fixed_Assets!$J$2:$J$201,$AB645),IF($Z645="F",INDEX(Workforce!$F$2:$F$151,MATCH(INDEX(FTE_Allocation!$A$2:$A$201,$AB645),Workforce!$A$2:$A$151,0))*N(INDEX(FTE_Allocation!$F$2:$H$201,$AB645,$AC645)),"")))</f>
        <v/>
      </c>
    </row>
    <row r="646">
      <c r="A646" s="7">
        <f>IF($Z646="","",$AD646)</f>
        <v/>
      </c>
      <c r="B646" s="7">
        <f>IF($Z646="C",INDEX(Contracts!$D$2:$D$151,$AB646)&amp;"",IF($Z646="A",INDEX(Fixed_Assets!$C$2:$C$201,$AB646)&amp;"",IF($Z646="F",INDEX(Workforce!$B$2:$B$151,MATCH(INDEX(FTE_Allocation!$A$2:$A$201,$AB646),Workforce!$A$2:$A$151,0))&amp;"","")))</f>
        <v/>
      </c>
      <c r="C646" s="7">
        <f>IF($Z646="C",INDEX(Contracts!$E$2:$E$151,$AB646)&amp;"",IF($Z646="A",INDEX(Fixed_Assets!$D$2:$D$201,$AB646)&amp;"",IF($Z646="F",INDEX(FTE_Allocation!$C$2:$C$201,$AB646)&amp;"","")))</f>
        <v/>
      </c>
      <c r="D646" s="7">
        <f>IF($Z646="C",INDEX(Contracts!$B$2:$B$151,$AB646)&amp;"",IF($Z646="A",INDEX(Fixed_Assets!$B$2:$B$201,$AB646)&amp;"",IF($Z646="F",INDEX(FTE_Allocation!$B$2:$B$201,$AB646)&amp;"","")))</f>
        <v/>
      </c>
      <c r="E646" s="7">
        <f>IF($Z646="C",INDEX(Contracts!$P$2:$P$151,$AB646)&amp;"",IF($Z646="A",INDEX(Fixed_Assets!$K$2:$K$201,$AB646)&amp;"",IF($Z646="F",IF(INDEX(FTE_Allocation!$D$2:$D$201,$AB646)="PROJECT",IFERROR(INDEX(Projects!$D:$D,MATCH(INDEX(FTE_Allocation!$E$2:$E$201,$AB646),Projects!$A:$A,0))&amp;"","#PROJECT?"),INDEX(FTE_Allocation!$E$2:$E$201,$AB646)&amp;""),"")))</f>
        <v/>
      </c>
      <c r="F646" s="7">
        <f>IF($Z646="C",INDEX(Contracts!$Q$2:$Q$151,$AB646)&amp;"",IF($Z646="A",INDEX(Fixed_Assets!$L$2:$L$201,$AB646)&amp;"",IF($Z646="F",INDEX(Workforce!$K$2:$K$151,MATCH(INDEX(FTE_Allocation!$A$2:$A$201,$AB646),Workforce!$A$2:$A$151,0))&amp;"","")))</f>
        <v/>
      </c>
      <c r="G646" s="7">
        <f>IF($Z646="C",INDEX(Contracts!$F$2:$F$151,$AB646)&amp;" / "&amp;INDEX(Contracts!$G$2:$G$151,$AB646),IF($Z646="A",INDEX(Fixed_Assets!$E$2:$E$201,$AB646)&amp;"",IF($Z646="F","Personnel "&amp;INDEX(FTE_Allocation!$A$2:$A$201,$AB646)&amp;IF(INDEX(FTE_Allocation!$D$2:$D$201,$AB646)="PROJECT"," ("&amp;INDEX(FTE_Allocation!$E$2:$E$201,$AB646)&amp;")",""),"")))</f>
        <v/>
      </c>
      <c r="H646" s="7">
        <f>IF($Z646="C","CONTRACT",IF($Z646="A","ASSET",IF($Z646="F","WORKFORCE","")))</f>
        <v/>
      </c>
      <c r="I646" s="7">
        <f>IF($Z646="C",INDEX(Contracts!$L$2:$L$151,$AB646)&amp;"",IF($Z646="A",INDEX(Fixed_Assets!$I$2:$I$201,$AB646)&amp;"",IF($Z646="F",INDEX(Workforce!$G$2:$G$151,MATCH(INDEX(FTE_Allocation!$A$2:$A$201,$AB646),Workforce!$A$2:$A$151,0))&amp;"","")))</f>
        <v/>
      </c>
      <c r="J646" s="18">
        <f>IF($Z646="","",IF(AND(DATE($AD646,1,1)&gt;=$AE646,DATE($AD646,1,1)&lt;=$AF646),ROUND($AG646,2),0))</f>
        <v/>
      </c>
      <c r="K646" s="18">
        <f>IF($Z646="","",IF(AND(DATE($AD646,2,1)&gt;=$AE646,DATE($AD646,2,1)&lt;=$AF646),ROUND($AG646,2),0))</f>
        <v/>
      </c>
      <c r="L646" s="18">
        <f>IF($Z646="","",IF(AND(DATE($AD646,3,1)&gt;=$AE646,DATE($AD646,3,1)&lt;=$AF646),ROUND($AG646,2),0))</f>
        <v/>
      </c>
      <c r="M646" s="18">
        <f>IF($Z646="","",IF(AND(DATE($AD646,4,1)&gt;=$AE646,DATE($AD646,4,1)&lt;=$AF646),ROUND($AG646,2),0))</f>
        <v/>
      </c>
      <c r="N646" s="18">
        <f>IF($Z646="","",IF(AND(DATE($AD646,5,1)&gt;=$AE646,DATE($AD646,5,1)&lt;=$AF646),ROUND($AG646,2),0))</f>
        <v/>
      </c>
      <c r="O646" s="18">
        <f>IF($Z646="","",IF(AND(DATE($AD646,6,1)&gt;=$AE646,DATE($AD646,6,1)&lt;=$AF646),ROUND($AG646,2),0))</f>
        <v/>
      </c>
      <c r="P646" s="18">
        <f>IF($Z646="","",IF(AND(DATE($AD646,7,1)&gt;=$AE646,DATE($AD646,7,1)&lt;=$AF646),ROUND($AG646,2),0))</f>
        <v/>
      </c>
      <c r="Q646" s="18">
        <f>IF($Z646="","",IF(AND(DATE($AD646,8,1)&gt;=$AE646,DATE($AD646,8,1)&lt;=$AF646),ROUND($AG646,2),0))</f>
        <v/>
      </c>
      <c r="R646" s="18">
        <f>IF($Z646="","",IF(AND(DATE($AD646,9,1)&gt;=$AE646,DATE($AD646,9,1)&lt;=$AF646),ROUND($AG646,2),0))</f>
        <v/>
      </c>
      <c r="S646" s="18">
        <f>IF($Z646="","",IF(AND(DATE($AD646,10,1)&gt;=$AE646,DATE($AD646,10,1)&lt;=$AF646),ROUND($AG646,2),0))</f>
        <v/>
      </c>
      <c r="T646" s="18">
        <f>IF($Z646="","",IF(AND(DATE($AD646,11,1)&gt;=$AE646,DATE($AD646,11,1)&lt;=$AF646),ROUND($AG646,2),0))</f>
        <v/>
      </c>
      <c r="U646" s="18">
        <f>IF($Z646="","",IF(AND(DATE($AD646,12,1)&gt;=$AE646,DATE($AD646,12,1)&lt;=$AF646),ROUND($AG646,2),0))</f>
        <v/>
      </c>
      <c r="V646" s="7">
        <f>IF($Z646="C","Generated from "&amp;INDEX(Contracts!$A$2:$A$151,$AB646),IF($Z646="A","Generated from "&amp;INDEX(Fixed_Assets!$A$2:$A$201,$AB646),IF($Z646="F","Generated from "&amp;INDEX(FTE_Allocation!$A$2:$A$201,$AB646),"")))</f>
        <v/>
      </c>
      <c r="X646" s="19">
        <f>IF($Z646="","",SUM(J646:U646))</f>
        <v/>
      </c>
      <c r="Y646" s="20">
        <f>ROW()-1</f>
        <v/>
      </c>
      <c r="Z646" s="20">
        <f>IF($Y646&lt;=Settings!$B$4*3,"C",IF($Y646&lt;=(Settings!$B$4+Settings!$B$5)*3,"A",IF($Y646&lt;=(Settings!$B$4+Settings!$B$5+Settings!$B$6)*3,"F","")))</f>
        <v/>
      </c>
      <c r="AA646" s="20">
        <f>IF($Z646="C",$Y646,IF($Z646="A",$Y646-Settings!$B$4*3,IF($Z646="F",$Y646-(Settings!$B$4+Settings!$B$5)*3,"")))</f>
        <v/>
      </c>
      <c r="AB646" s="20">
        <f>IF($Z646="","",INT(($AA646-1)/3)+1)</f>
        <v/>
      </c>
      <c r="AC646" s="20">
        <f>IF($Z646="","",MOD($AA646-1,3)+1)</f>
        <v/>
      </c>
      <c r="AD646" s="20">
        <f>IF($Z646="","",Settings!$B$2+$AC646-1)</f>
        <v/>
      </c>
      <c r="AE646" s="21">
        <f>IF($Z646="C",DATE(YEAR(INDEX(Contracts!$J$2:$J$151,$AB646)),MONTH(INDEX(Contracts!$J$2:$J$151,$AB646)),1),IF($Z646="A",DATE(YEAR(INDEX(Fixed_Assets!$G$2:$G$201,$AB646)),MONTH(INDEX(Fixed_Assets!$G$2:$G$201,$AB646)),1),IF($Z646="F",DATE(YEAR(MAX(N(INDEX(Workforce!$I$2:$I$151,MATCH(INDEX(FTE_Allocation!$A$2:$A$201,$AB646),Workforce!$A$2:$A$151,0))),N(INDEX(FTE_Allocation!$I$2:$I$201,$AB646)))),MONTH(MAX(N(INDEX(Workforce!$I$2:$I$151,MATCH(INDEX(FTE_Allocation!$A$2:$A$201,$AB646),Workforce!$A$2:$A$151,0))),N(INDEX(FTE_Allocation!$I$2:$I$201,$AB646)))),1),"")))</f>
        <v/>
      </c>
      <c r="AF646" s="21">
        <f>IF($Z646="C",IF(INDEX(Contracts!$I$2:$I$151,$AB646)="PREPAID",EDATE(DATE(YEAR(INDEX(Contracts!$J$2:$J$151,$AB646)),MONTH(INDEX(Contracts!$J$2:$J$151,$AB646)),1),IF(INDEX(Contracts!$N$2:$N$151,$AB646)="",12,INDEX(Contracts!$N$2:$N$151,$AB646))-1),IF(INDEX(Contracts!$I$2:$I$151,$AB646)="MONTHLY",IF(INDEX(Contracts!$K$2:$K$151,$AB646)="",2958101,INDEX(Contracts!$K$2:$K$151,$AB646)),0)),IF($Z646="A",EDATE(DATE(YEAR(INDEX(Fixed_Assets!$G$2:$G$201,$AB646)),MONTH(INDEX(Fixed_Assets!$G$2:$G$201,$AB646)),1),INDEX(Fixed_Assets!$J$2:$J$201,$AB646)-1),IF($Z646="F",MIN(IF(INDEX(Workforce!$J$2:$J$151,MATCH(INDEX(FTE_Allocation!$A$2:$A$201,$AB646),Workforce!$A$2:$A$151,0))="",2958101,INDEX(Workforce!$J$2:$J$151,MATCH(INDEX(FTE_Allocation!$A$2:$A$201,$AB646),Workforce!$A$2:$A$151,0))),IF(INDEX(FTE_Allocation!$J$2:$J$201,$AB646)="",2958101,INDEX(FTE_Allocation!$J$2:$J$201,$AB646))),"")))</f>
        <v/>
      </c>
      <c r="AG646" s="19">
        <f>IF($Z646="C",IF(INDEX(Contracts!$I$2:$I$151,$AB646)="PREPAID",INDEX(Contracts!$M$2:$M$151,$AB646)/IF(INDEX(Contracts!$N$2:$N$151,$AB646)="",12,INDEX(Contracts!$N$2:$N$151,$AB646)),IF(INDEX(Contracts!$I$2:$I$151,$AB646)="MONTHLY",INDEX(Contracts!$M$2:$M$151,$AB646),0))*(1-N(INDEX(Contracts!$O$2:$O$151,$AB646))),IF($Z646="A",INDEX(Fixed_Assets!$H$2:$H$201,$AB646)/INDEX(Fixed_Assets!$J$2:$J$201,$AB646),IF($Z646="F",INDEX(Workforce!$F$2:$F$151,MATCH(INDEX(FTE_Allocation!$A$2:$A$201,$AB646),Workforce!$A$2:$A$151,0))*N(INDEX(FTE_Allocation!$F$2:$H$201,$AB646,$AC646)),"")))</f>
        <v/>
      </c>
    </row>
    <row r="647">
      <c r="A647" s="7">
        <f>IF($Z647="","",$AD647)</f>
        <v/>
      </c>
      <c r="B647" s="7">
        <f>IF($Z647="C",INDEX(Contracts!$D$2:$D$151,$AB647)&amp;"",IF($Z647="A",INDEX(Fixed_Assets!$C$2:$C$201,$AB647)&amp;"",IF($Z647="F",INDEX(Workforce!$B$2:$B$151,MATCH(INDEX(FTE_Allocation!$A$2:$A$201,$AB647),Workforce!$A$2:$A$151,0))&amp;"","")))</f>
        <v/>
      </c>
      <c r="C647" s="7">
        <f>IF($Z647="C",INDEX(Contracts!$E$2:$E$151,$AB647)&amp;"",IF($Z647="A",INDEX(Fixed_Assets!$D$2:$D$201,$AB647)&amp;"",IF($Z647="F",INDEX(FTE_Allocation!$C$2:$C$201,$AB647)&amp;"","")))</f>
        <v/>
      </c>
      <c r="D647" s="7">
        <f>IF($Z647="C",INDEX(Contracts!$B$2:$B$151,$AB647)&amp;"",IF($Z647="A",INDEX(Fixed_Assets!$B$2:$B$201,$AB647)&amp;"",IF($Z647="F",INDEX(FTE_Allocation!$B$2:$B$201,$AB647)&amp;"","")))</f>
        <v/>
      </c>
      <c r="E647" s="7">
        <f>IF($Z647="C",INDEX(Contracts!$P$2:$P$151,$AB647)&amp;"",IF($Z647="A",INDEX(Fixed_Assets!$K$2:$K$201,$AB647)&amp;"",IF($Z647="F",IF(INDEX(FTE_Allocation!$D$2:$D$201,$AB647)="PROJECT",IFERROR(INDEX(Projects!$D:$D,MATCH(INDEX(FTE_Allocation!$E$2:$E$201,$AB647),Projects!$A:$A,0))&amp;"","#PROJECT?"),INDEX(FTE_Allocation!$E$2:$E$201,$AB647)&amp;""),"")))</f>
        <v/>
      </c>
      <c r="F647" s="7">
        <f>IF($Z647="C",INDEX(Contracts!$Q$2:$Q$151,$AB647)&amp;"",IF($Z647="A",INDEX(Fixed_Assets!$L$2:$L$201,$AB647)&amp;"",IF($Z647="F",INDEX(Workforce!$K$2:$K$151,MATCH(INDEX(FTE_Allocation!$A$2:$A$201,$AB647),Workforce!$A$2:$A$151,0))&amp;"","")))</f>
        <v/>
      </c>
      <c r="G647" s="7">
        <f>IF($Z647="C",INDEX(Contracts!$F$2:$F$151,$AB647)&amp;" / "&amp;INDEX(Contracts!$G$2:$G$151,$AB647),IF($Z647="A",INDEX(Fixed_Assets!$E$2:$E$201,$AB647)&amp;"",IF($Z647="F","Personnel "&amp;INDEX(FTE_Allocation!$A$2:$A$201,$AB647)&amp;IF(INDEX(FTE_Allocation!$D$2:$D$201,$AB647)="PROJECT"," ("&amp;INDEX(FTE_Allocation!$E$2:$E$201,$AB647)&amp;")",""),"")))</f>
        <v/>
      </c>
      <c r="H647" s="7">
        <f>IF($Z647="C","CONTRACT",IF($Z647="A","ASSET",IF($Z647="F","WORKFORCE","")))</f>
        <v/>
      </c>
      <c r="I647" s="7">
        <f>IF($Z647="C",INDEX(Contracts!$L$2:$L$151,$AB647)&amp;"",IF($Z647="A",INDEX(Fixed_Assets!$I$2:$I$201,$AB647)&amp;"",IF($Z647="F",INDEX(Workforce!$G$2:$G$151,MATCH(INDEX(FTE_Allocation!$A$2:$A$201,$AB647),Workforce!$A$2:$A$151,0))&amp;"","")))</f>
        <v/>
      </c>
      <c r="J647" s="18">
        <f>IF($Z647="","",IF(AND(DATE($AD647,1,1)&gt;=$AE647,DATE($AD647,1,1)&lt;=$AF647),ROUND($AG647,2),0))</f>
        <v/>
      </c>
      <c r="K647" s="18">
        <f>IF($Z647="","",IF(AND(DATE($AD647,2,1)&gt;=$AE647,DATE($AD647,2,1)&lt;=$AF647),ROUND($AG647,2),0))</f>
        <v/>
      </c>
      <c r="L647" s="18">
        <f>IF($Z647="","",IF(AND(DATE($AD647,3,1)&gt;=$AE647,DATE($AD647,3,1)&lt;=$AF647),ROUND($AG647,2),0))</f>
        <v/>
      </c>
      <c r="M647" s="18">
        <f>IF($Z647="","",IF(AND(DATE($AD647,4,1)&gt;=$AE647,DATE($AD647,4,1)&lt;=$AF647),ROUND($AG647,2),0))</f>
        <v/>
      </c>
      <c r="N647" s="18">
        <f>IF($Z647="","",IF(AND(DATE($AD647,5,1)&gt;=$AE647,DATE($AD647,5,1)&lt;=$AF647),ROUND($AG647,2),0))</f>
        <v/>
      </c>
      <c r="O647" s="18">
        <f>IF($Z647="","",IF(AND(DATE($AD647,6,1)&gt;=$AE647,DATE($AD647,6,1)&lt;=$AF647),ROUND($AG647,2),0))</f>
        <v/>
      </c>
      <c r="P647" s="18">
        <f>IF($Z647="","",IF(AND(DATE($AD647,7,1)&gt;=$AE647,DATE($AD647,7,1)&lt;=$AF647),ROUND($AG647,2),0))</f>
        <v/>
      </c>
      <c r="Q647" s="18">
        <f>IF($Z647="","",IF(AND(DATE($AD647,8,1)&gt;=$AE647,DATE($AD647,8,1)&lt;=$AF647),ROUND($AG647,2),0))</f>
        <v/>
      </c>
      <c r="R647" s="18">
        <f>IF($Z647="","",IF(AND(DATE($AD647,9,1)&gt;=$AE647,DATE($AD647,9,1)&lt;=$AF647),ROUND($AG647,2),0))</f>
        <v/>
      </c>
      <c r="S647" s="18">
        <f>IF($Z647="","",IF(AND(DATE($AD647,10,1)&gt;=$AE647,DATE($AD647,10,1)&lt;=$AF647),ROUND($AG647,2),0))</f>
        <v/>
      </c>
      <c r="T647" s="18">
        <f>IF($Z647="","",IF(AND(DATE($AD647,11,1)&gt;=$AE647,DATE($AD647,11,1)&lt;=$AF647),ROUND($AG647,2),0))</f>
        <v/>
      </c>
      <c r="U647" s="18">
        <f>IF($Z647="","",IF(AND(DATE($AD647,12,1)&gt;=$AE647,DATE($AD647,12,1)&lt;=$AF647),ROUND($AG647,2),0))</f>
        <v/>
      </c>
      <c r="V647" s="7">
        <f>IF($Z647="C","Generated from "&amp;INDEX(Contracts!$A$2:$A$151,$AB647),IF($Z647="A","Generated from "&amp;INDEX(Fixed_Assets!$A$2:$A$201,$AB647),IF($Z647="F","Generated from "&amp;INDEX(FTE_Allocation!$A$2:$A$201,$AB647),"")))</f>
        <v/>
      </c>
      <c r="X647" s="19">
        <f>IF($Z647="","",SUM(J647:U647))</f>
        <v/>
      </c>
      <c r="Y647" s="20">
        <f>ROW()-1</f>
        <v/>
      </c>
      <c r="Z647" s="20">
        <f>IF($Y647&lt;=Settings!$B$4*3,"C",IF($Y647&lt;=(Settings!$B$4+Settings!$B$5)*3,"A",IF($Y647&lt;=(Settings!$B$4+Settings!$B$5+Settings!$B$6)*3,"F","")))</f>
        <v/>
      </c>
      <c r="AA647" s="20">
        <f>IF($Z647="C",$Y647,IF($Z647="A",$Y647-Settings!$B$4*3,IF($Z647="F",$Y647-(Settings!$B$4+Settings!$B$5)*3,"")))</f>
        <v/>
      </c>
      <c r="AB647" s="20">
        <f>IF($Z647="","",INT(($AA647-1)/3)+1)</f>
        <v/>
      </c>
      <c r="AC647" s="20">
        <f>IF($Z647="","",MOD($AA647-1,3)+1)</f>
        <v/>
      </c>
      <c r="AD647" s="20">
        <f>IF($Z647="","",Settings!$B$2+$AC647-1)</f>
        <v/>
      </c>
      <c r="AE647" s="21">
        <f>IF($Z647="C",DATE(YEAR(INDEX(Contracts!$J$2:$J$151,$AB647)),MONTH(INDEX(Contracts!$J$2:$J$151,$AB647)),1),IF($Z647="A",DATE(YEAR(INDEX(Fixed_Assets!$G$2:$G$201,$AB647)),MONTH(INDEX(Fixed_Assets!$G$2:$G$201,$AB647)),1),IF($Z647="F",DATE(YEAR(MAX(N(INDEX(Workforce!$I$2:$I$151,MATCH(INDEX(FTE_Allocation!$A$2:$A$201,$AB647),Workforce!$A$2:$A$151,0))),N(INDEX(FTE_Allocation!$I$2:$I$201,$AB647)))),MONTH(MAX(N(INDEX(Workforce!$I$2:$I$151,MATCH(INDEX(FTE_Allocation!$A$2:$A$201,$AB647),Workforce!$A$2:$A$151,0))),N(INDEX(FTE_Allocation!$I$2:$I$201,$AB647)))),1),"")))</f>
        <v/>
      </c>
      <c r="AF647" s="21">
        <f>IF($Z647="C",IF(INDEX(Contracts!$I$2:$I$151,$AB647)="PREPAID",EDATE(DATE(YEAR(INDEX(Contracts!$J$2:$J$151,$AB647)),MONTH(INDEX(Contracts!$J$2:$J$151,$AB647)),1),IF(INDEX(Contracts!$N$2:$N$151,$AB647)="",12,INDEX(Contracts!$N$2:$N$151,$AB647))-1),IF(INDEX(Contracts!$I$2:$I$151,$AB647)="MONTHLY",IF(INDEX(Contracts!$K$2:$K$151,$AB647)="",2958101,INDEX(Contracts!$K$2:$K$151,$AB647)),0)),IF($Z647="A",EDATE(DATE(YEAR(INDEX(Fixed_Assets!$G$2:$G$201,$AB647)),MONTH(INDEX(Fixed_Assets!$G$2:$G$201,$AB647)),1),INDEX(Fixed_Assets!$J$2:$J$201,$AB647)-1),IF($Z647="F",MIN(IF(INDEX(Workforce!$J$2:$J$151,MATCH(INDEX(FTE_Allocation!$A$2:$A$201,$AB647),Workforce!$A$2:$A$151,0))="",2958101,INDEX(Workforce!$J$2:$J$151,MATCH(INDEX(FTE_Allocation!$A$2:$A$201,$AB647),Workforce!$A$2:$A$151,0))),IF(INDEX(FTE_Allocation!$J$2:$J$201,$AB647)="",2958101,INDEX(FTE_Allocation!$J$2:$J$201,$AB647))),"")))</f>
        <v/>
      </c>
      <c r="AG647" s="19">
        <f>IF($Z647="C",IF(INDEX(Contracts!$I$2:$I$151,$AB647)="PREPAID",INDEX(Contracts!$M$2:$M$151,$AB647)/IF(INDEX(Contracts!$N$2:$N$151,$AB647)="",12,INDEX(Contracts!$N$2:$N$151,$AB647)),IF(INDEX(Contracts!$I$2:$I$151,$AB647)="MONTHLY",INDEX(Contracts!$M$2:$M$151,$AB647),0))*(1-N(INDEX(Contracts!$O$2:$O$151,$AB647))),IF($Z647="A",INDEX(Fixed_Assets!$H$2:$H$201,$AB647)/INDEX(Fixed_Assets!$J$2:$J$201,$AB647),IF($Z647="F",INDEX(Workforce!$F$2:$F$151,MATCH(INDEX(FTE_Allocation!$A$2:$A$201,$AB647),Workforce!$A$2:$A$151,0))*N(INDEX(FTE_Allocation!$F$2:$H$201,$AB647,$AC647)),"")))</f>
        <v/>
      </c>
    </row>
    <row r="648">
      <c r="A648" s="7">
        <f>IF($Z648="","",$AD648)</f>
        <v/>
      </c>
      <c r="B648" s="7">
        <f>IF($Z648="C",INDEX(Contracts!$D$2:$D$151,$AB648)&amp;"",IF($Z648="A",INDEX(Fixed_Assets!$C$2:$C$201,$AB648)&amp;"",IF($Z648="F",INDEX(Workforce!$B$2:$B$151,MATCH(INDEX(FTE_Allocation!$A$2:$A$201,$AB648),Workforce!$A$2:$A$151,0))&amp;"","")))</f>
        <v/>
      </c>
      <c r="C648" s="7">
        <f>IF($Z648="C",INDEX(Contracts!$E$2:$E$151,$AB648)&amp;"",IF($Z648="A",INDEX(Fixed_Assets!$D$2:$D$201,$AB648)&amp;"",IF($Z648="F",INDEX(FTE_Allocation!$C$2:$C$201,$AB648)&amp;"","")))</f>
        <v/>
      </c>
      <c r="D648" s="7">
        <f>IF($Z648="C",INDEX(Contracts!$B$2:$B$151,$AB648)&amp;"",IF($Z648="A",INDEX(Fixed_Assets!$B$2:$B$201,$AB648)&amp;"",IF($Z648="F",INDEX(FTE_Allocation!$B$2:$B$201,$AB648)&amp;"","")))</f>
        <v/>
      </c>
      <c r="E648" s="7">
        <f>IF($Z648="C",INDEX(Contracts!$P$2:$P$151,$AB648)&amp;"",IF($Z648="A",INDEX(Fixed_Assets!$K$2:$K$201,$AB648)&amp;"",IF($Z648="F",IF(INDEX(FTE_Allocation!$D$2:$D$201,$AB648)="PROJECT",IFERROR(INDEX(Projects!$D:$D,MATCH(INDEX(FTE_Allocation!$E$2:$E$201,$AB648),Projects!$A:$A,0))&amp;"","#PROJECT?"),INDEX(FTE_Allocation!$E$2:$E$201,$AB648)&amp;""),"")))</f>
        <v/>
      </c>
      <c r="F648" s="7">
        <f>IF($Z648="C",INDEX(Contracts!$Q$2:$Q$151,$AB648)&amp;"",IF($Z648="A",INDEX(Fixed_Assets!$L$2:$L$201,$AB648)&amp;"",IF($Z648="F",INDEX(Workforce!$K$2:$K$151,MATCH(INDEX(FTE_Allocation!$A$2:$A$201,$AB648),Workforce!$A$2:$A$151,0))&amp;"","")))</f>
        <v/>
      </c>
      <c r="G648" s="7">
        <f>IF($Z648="C",INDEX(Contracts!$F$2:$F$151,$AB648)&amp;" / "&amp;INDEX(Contracts!$G$2:$G$151,$AB648),IF($Z648="A",INDEX(Fixed_Assets!$E$2:$E$201,$AB648)&amp;"",IF($Z648="F","Personnel "&amp;INDEX(FTE_Allocation!$A$2:$A$201,$AB648)&amp;IF(INDEX(FTE_Allocation!$D$2:$D$201,$AB648)="PROJECT"," ("&amp;INDEX(FTE_Allocation!$E$2:$E$201,$AB648)&amp;")",""),"")))</f>
        <v/>
      </c>
      <c r="H648" s="7">
        <f>IF($Z648="C","CONTRACT",IF($Z648="A","ASSET",IF($Z648="F","WORKFORCE","")))</f>
        <v/>
      </c>
      <c r="I648" s="7">
        <f>IF($Z648="C",INDEX(Contracts!$L$2:$L$151,$AB648)&amp;"",IF($Z648="A",INDEX(Fixed_Assets!$I$2:$I$201,$AB648)&amp;"",IF($Z648="F",INDEX(Workforce!$G$2:$G$151,MATCH(INDEX(FTE_Allocation!$A$2:$A$201,$AB648),Workforce!$A$2:$A$151,0))&amp;"","")))</f>
        <v/>
      </c>
      <c r="J648" s="18">
        <f>IF($Z648="","",IF(AND(DATE($AD648,1,1)&gt;=$AE648,DATE($AD648,1,1)&lt;=$AF648),ROUND($AG648,2),0))</f>
        <v/>
      </c>
      <c r="K648" s="18">
        <f>IF($Z648="","",IF(AND(DATE($AD648,2,1)&gt;=$AE648,DATE($AD648,2,1)&lt;=$AF648),ROUND($AG648,2),0))</f>
        <v/>
      </c>
      <c r="L648" s="18">
        <f>IF($Z648="","",IF(AND(DATE($AD648,3,1)&gt;=$AE648,DATE($AD648,3,1)&lt;=$AF648),ROUND($AG648,2),0))</f>
        <v/>
      </c>
      <c r="M648" s="18">
        <f>IF($Z648="","",IF(AND(DATE($AD648,4,1)&gt;=$AE648,DATE($AD648,4,1)&lt;=$AF648),ROUND($AG648,2),0))</f>
        <v/>
      </c>
      <c r="N648" s="18">
        <f>IF($Z648="","",IF(AND(DATE($AD648,5,1)&gt;=$AE648,DATE($AD648,5,1)&lt;=$AF648),ROUND($AG648,2),0))</f>
        <v/>
      </c>
      <c r="O648" s="18">
        <f>IF($Z648="","",IF(AND(DATE($AD648,6,1)&gt;=$AE648,DATE($AD648,6,1)&lt;=$AF648),ROUND($AG648,2),0))</f>
        <v/>
      </c>
      <c r="P648" s="18">
        <f>IF($Z648="","",IF(AND(DATE($AD648,7,1)&gt;=$AE648,DATE($AD648,7,1)&lt;=$AF648),ROUND($AG648,2),0))</f>
        <v/>
      </c>
      <c r="Q648" s="18">
        <f>IF($Z648="","",IF(AND(DATE($AD648,8,1)&gt;=$AE648,DATE($AD648,8,1)&lt;=$AF648),ROUND($AG648,2),0))</f>
        <v/>
      </c>
      <c r="R648" s="18">
        <f>IF($Z648="","",IF(AND(DATE($AD648,9,1)&gt;=$AE648,DATE($AD648,9,1)&lt;=$AF648),ROUND($AG648,2),0))</f>
        <v/>
      </c>
      <c r="S648" s="18">
        <f>IF($Z648="","",IF(AND(DATE($AD648,10,1)&gt;=$AE648,DATE($AD648,10,1)&lt;=$AF648),ROUND($AG648,2),0))</f>
        <v/>
      </c>
      <c r="T648" s="18">
        <f>IF($Z648="","",IF(AND(DATE($AD648,11,1)&gt;=$AE648,DATE($AD648,11,1)&lt;=$AF648),ROUND($AG648,2),0))</f>
        <v/>
      </c>
      <c r="U648" s="18">
        <f>IF($Z648="","",IF(AND(DATE($AD648,12,1)&gt;=$AE648,DATE($AD648,12,1)&lt;=$AF648),ROUND($AG648,2),0))</f>
        <v/>
      </c>
      <c r="V648" s="7">
        <f>IF($Z648="C","Generated from "&amp;INDEX(Contracts!$A$2:$A$151,$AB648),IF($Z648="A","Generated from "&amp;INDEX(Fixed_Assets!$A$2:$A$201,$AB648),IF($Z648="F","Generated from "&amp;INDEX(FTE_Allocation!$A$2:$A$201,$AB648),"")))</f>
        <v/>
      </c>
      <c r="X648" s="19">
        <f>IF($Z648="","",SUM(J648:U648))</f>
        <v/>
      </c>
      <c r="Y648" s="20">
        <f>ROW()-1</f>
        <v/>
      </c>
      <c r="Z648" s="20">
        <f>IF($Y648&lt;=Settings!$B$4*3,"C",IF($Y648&lt;=(Settings!$B$4+Settings!$B$5)*3,"A",IF($Y648&lt;=(Settings!$B$4+Settings!$B$5+Settings!$B$6)*3,"F","")))</f>
        <v/>
      </c>
      <c r="AA648" s="20">
        <f>IF($Z648="C",$Y648,IF($Z648="A",$Y648-Settings!$B$4*3,IF($Z648="F",$Y648-(Settings!$B$4+Settings!$B$5)*3,"")))</f>
        <v/>
      </c>
      <c r="AB648" s="20">
        <f>IF($Z648="","",INT(($AA648-1)/3)+1)</f>
        <v/>
      </c>
      <c r="AC648" s="20">
        <f>IF($Z648="","",MOD($AA648-1,3)+1)</f>
        <v/>
      </c>
      <c r="AD648" s="20">
        <f>IF($Z648="","",Settings!$B$2+$AC648-1)</f>
        <v/>
      </c>
      <c r="AE648" s="21">
        <f>IF($Z648="C",DATE(YEAR(INDEX(Contracts!$J$2:$J$151,$AB648)),MONTH(INDEX(Contracts!$J$2:$J$151,$AB648)),1),IF($Z648="A",DATE(YEAR(INDEX(Fixed_Assets!$G$2:$G$201,$AB648)),MONTH(INDEX(Fixed_Assets!$G$2:$G$201,$AB648)),1),IF($Z648="F",DATE(YEAR(MAX(N(INDEX(Workforce!$I$2:$I$151,MATCH(INDEX(FTE_Allocation!$A$2:$A$201,$AB648),Workforce!$A$2:$A$151,0))),N(INDEX(FTE_Allocation!$I$2:$I$201,$AB648)))),MONTH(MAX(N(INDEX(Workforce!$I$2:$I$151,MATCH(INDEX(FTE_Allocation!$A$2:$A$201,$AB648),Workforce!$A$2:$A$151,0))),N(INDEX(FTE_Allocation!$I$2:$I$201,$AB648)))),1),"")))</f>
        <v/>
      </c>
      <c r="AF648" s="21">
        <f>IF($Z648="C",IF(INDEX(Contracts!$I$2:$I$151,$AB648)="PREPAID",EDATE(DATE(YEAR(INDEX(Contracts!$J$2:$J$151,$AB648)),MONTH(INDEX(Contracts!$J$2:$J$151,$AB648)),1),IF(INDEX(Contracts!$N$2:$N$151,$AB648)="",12,INDEX(Contracts!$N$2:$N$151,$AB648))-1),IF(INDEX(Contracts!$I$2:$I$151,$AB648)="MONTHLY",IF(INDEX(Contracts!$K$2:$K$151,$AB648)="",2958101,INDEX(Contracts!$K$2:$K$151,$AB648)),0)),IF($Z648="A",EDATE(DATE(YEAR(INDEX(Fixed_Assets!$G$2:$G$201,$AB648)),MONTH(INDEX(Fixed_Assets!$G$2:$G$201,$AB648)),1),INDEX(Fixed_Assets!$J$2:$J$201,$AB648)-1),IF($Z648="F",MIN(IF(INDEX(Workforce!$J$2:$J$151,MATCH(INDEX(FTE_Allocation!$A$2:$A$201,$AB648),Workforce!$A$2:$A$151,0))="",2958101,INDEX(Workforce!$J$2:$J$151,MATCH(INDEX(FTE_Allocation!$A$2:$A$201,$AB648),Workforce!$A$2:$A$151,0))),IF(INDEX(FTE_Allocation!$J$2:$J$201,$AB648)="",2958101,INDEX(FTE_Allocation!$J$2:$J$201,$AB648))),"")))</f>
        <v/>
      </c>
      <c r="AG648" s="19">
        <f>IF($Z648="C",IF(INDEX(Contracts!$I$2:$I$151,$AB648)="PREPAID",INDEX(Contracts!$M$2:$M$151,$AB648)/IF(INDEX(Contracts!$N$2:$N$151,$AB648)="",12,INDEX(Contracts!$N$2:$N$151,$AB648)),IF(INDEX(Contracts!$I$2:$I$151,$AB648)="MONTHLY",INDEX(Contracts!$M$2:$M$151,$AB648),0))*(1-N(INDEX(Contracts!$O$2:$O$151,$AB648))),IF($Z648="A",INDEX(Fixed_Assets!$H$2:$H$201,$AB648)/INDEX(Fixed_Assets!$J$2:$J$201,$AB648),IF($Z648="F",INDEX(Workforce!$F$2:$F$151,MATCH(INDEX(FTE_Allocation!$A$2:$A$201,$AB648),Workforce!$A$2:$A$151,0))*N(INDEX(FTE_Allocation!$F$2:$H$201,$AB648,$AC648)),"")))</f>
        <v/>
      </c>
    </row>
    <row r="649">
      <c r="A649" s="7">
        <f>IF($Z649="","",$AD649)</f>
        <v/>
      </c>
      <c r="B649" s="7">
        <f>IF($Z649="C",INDEX(Contracts!$D$2:$D$151,$AB649)&amp;"",IF($Z649="A",INDEX(Fixed_Assets!$C$2:$C$201,$AB649)&amp;"",IF($Z649="F",INDEX(Workforce!$B$2:$B$151,MATCH(INDEX(FTE_Allocation!$A$2:$A$201,$AB649),Workforce!$A$2:$A$151,0))&amp;"","")))</f>
        <v/>
      </c>
      <c r="C649" s="7">
        <f>IF($Z649="C",INDEX(Contracts!$E$2:$E$151,$AB649)&amp;"",IF($Z649="A",INDEX(Fixed_Assets!$D$2:$D$201,$AB649)&amp;"",IF($Z649="F",INDEX(FTE_Allocation!$C$2:$C$201,$AB649)&amp;"","")))</f>
        <v/>
      </c>
      <c r="D649" s="7">
        <f>IF($Z649="C",INDEX(Contracts!$B$2:$B$151,$AB649)&amp;"",IF($Z649="A",INDEX(Fixed_Assets!$B$2:$B$201,$AB649)&amp;"",IF($Z649="F",INDEX(FTE_Allocation!$B$2:$B$201,$AB649)&amp;"","")))</f>
        <v/>
      </c>
      <c r="E649" s="7">
        <f>IF($Z649="C",INDEX(Contracts!$P$2:$P$151,$AB649)&amp;"",IF($Z649="A",INDEX(Fixed_Assets!$K$2:$K$201,$AB649)&amp;"",IF($Z649="F",IF(INDEX(FTE_Allocation!$D$2:$D$201,$AB649)="PROJECT",IFERROR(INDEX(Projects!$D:$D,MATCH(INDEX(FTE_Allocation!$E$2:$E$201,$AB649),Projects!$A:$A,0))&amp;"","#PROJECT?"),INDEX(FTE_Allocation!$E$2:$E$201,$AB649)&amp;""),"")))</f>
        <v/>
      </c>
      <c r="F649" s="7">
        <f>IF($Z649="C",INDEX(Contracts!$Q$2:$Q$151,$AB649)&amp;"",IF($Z649="A",INDEX(Fixed_Assets!$L$2:$L$201,$AB649)&amp;"",IF($Z649="F",INDEX(Workforce!$K$2:$K$151,MATCH(INDEX(FTE_Allocation!$A$2:$A$201,$AB649),Workforce!$A$2:$A$151,0))&amp;"","")))</f>
        <v/>
      </c>
      <c r="G649" s="7">
        <f>IF($Z649="C",INDEX(Contracts!$F$2:$F$151,$AB649)&amp;" / "&amp;INDEX(Contracts!$G$2:$G$151,$AB649),IF($Z649="A",INDEX(Fixed_Assets!$E$2:$E$201,$AB649)&amp;"",IF($Z649="F","Personnel "&amp;INDEX(FTE_Allocation!$A$2:$A$201,$AB649)&amp;IF(INDEX(FTE_Allocation!$D$2:$D$201,$AB649)="PROJECT"," ("&amp;INDEX(FTE_Allocation!$E$2:$E$201,$AB649)&amp;")",""),"")))</f>
        <v/>
      </c>
      <c r="H649" s="7">
        <f>IF($Z649="C","CONTRACT",IF($Z649="A","ASSET",IF($Z649="F","WORKFORCE","")))</f>
        <v/>
      </c>
      <c r="I649" s="7">
        <f>IF($Z649="C",INDEX(Contracts!$L$2:$L$151,$AB649)&amp;"",IF($Z649="A",INDEX(Fixed_Assets!$I$2:$I$201,$AB649)&amp;"",IF($Z649="F",INDEX(Workforce!$G$2:$G$151,MATCH(INDEX(FTE_Allocation!$A$2:$A$201,$AB649),Workforce!$A$2:$A$151,0))&amp;"","")))</f>
        <v/>
      </c>
      <c r="J649" s="18">
        <f>IF($Z649="","",IF(AND(DATE($AD649,1,1)&gt;=$AE649,DATE($AD649,1,1)&lt;=$AF649),ROUND($AG649,2),0))</f>
        <v/>
      </c>
      <c r="K649" s="18">
        <f>IF($Z649="","",IF(AND(DATE($AD649,2,1)&gt;=$AE649,DATE($AD649,2,1)&lt;=$AF649),ROUND($AG649,2),0))</f>
        <v/>
      </c>
      <c r="L649" s="18">
        <f>IF($Z649="","",IF(AND(DATE($AD649,3,1)&gt;=$AE649,DATE($AD649,3,1)&lt;=$AF649),ROUND($AG649,2),0))</f>
        <v/>
      </c>
      <c r="M649" s="18">
        <f>IF($Z649="","",IF(AND(DATE($AD649,4,1)&gt;=$AE649,DATE($AD649,4,1)&lt;=$AF649),ROUND($AG649,2),0))</f>
        <v/>
      </c>
      <c r="N649" s="18">
        <f>IF($Z649="","",IF(AND(DATE($AD649,5,1)&gt;=$AE649,DATE($AD649,5,1)&lt;=$AF649),ROUND($AG649,2),0))</f>
        <v/>
      </c>
      <c r="O649" s="18">
        <f>IF($Z649="","",IF(AND(DATE($AD649,6,1)&gt;=$AE649,DATE($AD649,6,1)&lt;=$AF649),ROUND($AG649,2),0))</f>
        <v/>
      </c>
      <c r="P649" s="18">
        <f>IF($Z649="","",IF(AND(DATE($AD649,7,1)&gt;=$AE649,DATE($AD649,7,1)&lt;=$AF649),ROUND($AG649,2),0))</f>
        <v/>
      </c>
      <c r="Q649" s="18">
        <f>IF($Z649="","",IF(AND(DATE($AD649,8,1)&gt;=$AE649,DATE($AD649,8,1)&lt;=$AF649),ROUND($AG649,2),0))</f>
        <v/>
      </c>
      <c r="R649" s="18">
        <f>IF($Z649="","",IF(AND(DATE($AD649,9,1)&gt;=$AE649,DATE($AD649,9,1)&lt;=$AF649),ROUND($AG649,2),0))</f>
        <v/>
      </c>
      <c r="S649" s="18">
        <f>IF($Z649="","",IF(AND(DATE($AD649,10,1)&gt;=$AE649,DATE($AD649,10,1)&lt;=$AF649),ROUND($AG649,2),0))</f>
        <v/>
      </c>
      <c r="T649" s="18">
        <f>IF($Z649="","",IF(AND(DATE($AD649,11,1)&gt;=$AE649,DATE($AD649,11,1)&lt;=$AF649),ROUND($AG649,2),0))</f>
        <v/>
      </c>
      <c r="U649" s="18">
        <f>IF($Z649="","",IF(AND(DATE($AD649,12,1)&gt;=$AE649,DATE($AD649,12,1)&lt;=$AF649),ROUND($AG649,2),0))</f>
        <v/>
      </c>
      <c r="V649" s="7">
        <f>IF($Z649="C","Generated from "&amp;INDEX(Contracts!$A$2:$A$151,$AB649),IF($Z649="A","Generated from "&amp;INDEX(Fixed_Assets!$A$2:$A$201,$AB649),IF($Z649="F","Generated from "&amp;INDEX(FTE_Allocation!$A$2:$A$201,$AB649),"")))</f>
        <v/>
      </c>
      <c r="X649" s="19">
        <f>IF($Z649="","",SUM(J649:U649))</f>
        <v/>
      </c>
      <c r="Y649" s="20">
        <f>ROW()-1</f>
        <v/>
      </c>
      <c r="Z649" s="20">
        <f>IF($Y649&lt;=Settings!$B$4*3,"C",IF($Y649&lt;=(Settings!$B$4+Settings!$B$5)*3,"A",IF($Y649&lt;=(Settings!$B$4+Settings!$B$5+Settings!$B$6)*3,"F","")))</f>
        <v/>
      </c>
      <c r="AA649" s="20">
        <f>IF($Z649="C",$Y649,IF($Z649="A",$Y649-Settings!$B$4*3,IF($Z649="F",$Y649-(Settings!$B$4+Settings!$B$5)*3,"")))</f>
        <v/>
      </c>
      <c r="AB649" s="20">
        <f>IF($Z649="","",INT(($AA649-1)/3)+1)</f>
        <v/>
      </c>
      <c r="AC649" s="20">
        <f>IF($Z649="","",MOD($AA649-1,3)+1)</f>
        <v/>
      </c>
      <c r="AD649" s="20">
        <f>IF($Z649="","",Settings!$B$2+$AC649-1)</f>
        <v/>
      </c>
      <c r="AE649" s="21">
        <f>IF($Z649="C",DATE(YEAR(INDEX(Contracts!$J$2:$J$151,$AB649)),MONTH(INDEX(Contracts!$J$2:$J$151,$AB649)),1),IF($Z649="A",DATE(YEAR(INDEX(Fixed_Assets!$G$2:$G$201,$AB649)),MONTH(INDEX(Fixed_Assets!$G$2:$G$201,$AB649)),1),IF($Z649="F",DATE(YEAR(MAX(N(INDEX(Workforce!$I$2:$I$151,MATCH(INDEX(FTE_Allocation!$A$2:$A$201,$AB649),Workforce!$A$2:$A$151,0))),N(INDEX(FTE_Allocation!$I$2:$I$201,$AB649)))),MONTH(MAX(N(INDEX(Workforce!$I$2:$I$151,MATCH(INDEX(FTE_Allocation!$A$2:$A$201,$AB649),Workforce!$A$2:$A$151,0))),N(INDEX(FTE_Allocation!$I$2:$I$201,$AB649)))),1),"")))</f>
        <v/>
      </c>
      <c r="AF649" s="21">
        <f>IF($Z649="C",IF(INDEX(Contracts!$I$2:$I$151,$AB649)="PREPAID",EDATE(DATE(YEAR(INDEX(Contracts!$J$2:$J$151,$AB649)),MONTH(INDEX(Contracts!$J$2:$J$151,$AB649)),1),IF(INDEX(Contracts!$N$2:$N$151,$AB649)="",12,INDEX(Contracts!$N$2:$N$151,$AB649))-1),IF(INDEX(Contracts!$I$2:$I$151,$AB649)="MONTHLY",IF(INDEX(Contracts!$K$2:$K$151,$AB649)="",2958101,INDEX(Contracts!$K$2:$K$151,$AB649)),0)),IF($Z649="A",EDATE(DATE(YEAR(INDEX(Fixed_Assets!$G$2:$G$201,$AB649)),MONTH(INDEX(Fixed_Assets!$G$2:$G$201,$AB649)),1),INDEX(Fixed_Assets!$J$2:$J$201,$AB649)-1),IF($Z649="F",MIN(IF(INDEX(Workforce!$J$2:$J$151,MATCH(INDEX(FTE_Allocation!$A$2:$A$201,$AB649),Workforce!$A$2:$A$151,0))="",2958101,INDEX(Workforce!$J$2:$J$151,MATCH(INDEX(FTE_Allocation!$A$2:$A$201,$AB649),Workforce!$A$2:$A$151,0))),IF(INDEX(FTE_Allocation!$J$2:$J$201,$AB649)="",2958101,INDEX(FTE_Allocation!$J$2:$J$201,$AB649))),"")))</f>
        <v/>
      </c>
      <c r="AG649" s="19">
        <f>IF($Z649="C",IF(INDEX(Contracts!$I$2:$I$151,$AB649)="PREPAID",INDEX(Contracts!$M$2:$M$151,$AB649)/IF(INDEX(Contracts!$N$2:$N$151,$AB649)="",12,INDEX(Contracts!$N$2:$N$151,$AB649)),IF(INDEX(Contracts!$I$2:$I$151,$AB649)="MONTHLY",INDEX(Contracts!$M$2:$M$151,$AB649),0))*(1-N(INDEX(Contracts!$O$2:$O$151,$AB649))),IF($Z649="A",INDEX(Fixed_Assets!$H$2:$H$201,$AB649)/INDEX(Fixed_Assets!$J$2:$J$201,$AB649),IF($Z649="F",INDEX(Workforce!$F$2:$F$151,MATCH(INDEX(FTE_Allocation!$A$2:$A$201,$AB649),Workforce!$A$2:$A$151,0))*N(INDEX(FTE_Allocation!$F$2:$H$201,$AB649,$AC649)),"")))</f>
        <v/>
      </c>
    </row>
    <row r="650">
      <c r="A650" s="7">
        <f>IF($Z650="","",$AD650)</f>
        <v/>
      </c>
      <c r="B650" s="7">
        <f>IF($Z650="C",INDEX(Contracts!$D$2:$D$151,$AB650)&amp;"",IF($Z650="A",INDEX(Fixed_Assets!$C$2:$C$201,$AB650)&amp;"",IF($Z650="F",INDEX(Workforce!$B$2:$B$151,MATCH(INDEX(FTE_Allocation!$A$2:$A$201,$AB650),Workforce!$A$2:$A$151,0))&amp;"","")))</f>
        <v/>
      </c>
      <c r="C650" s="7">
        <f>IF($Z650="C",INDEX(Contracts!$E$2:$E$151,$AB650)&amp;"",IF($Z650="A",INDEX(Fixed_Assets!$D$2:$D$201,$AB650)&amp;"",IF($Z650="F",INDEX(FTE_Allocation!$C$2:$C$201,$AB650)&amp;"","")))</f>
        <v/>
      </c>
      <c r="D650" s="7">
        <f>IF($Z650="C",INDEX(Contracts!$B$2:$B$151,$AB650)&amp;"",IF($Z650="A",INDEX(Fixed_Assets!$B$2:$B$201,$AB650)&amp;"",IF($Z650="F",INDEX(FTE_Allocation!$B$2:$B$201,$AB650)&amp;"","")))</f>
        <v/>
      </c>
      <c r="E650" s="7">
        <f>IF($Z650="C",INDEX(Contracts!$P$2:$P$151,$AB650)&amp;"",IF($Z650="A",INDEX(Fixed_Assets!$K$2:$K$201,$AB650)&amp;"",IF($Z650="F",IF(INDEX(FTE_Allocation!$D$2:$D$201,$AB650)="PROJECT",IFERROR(INDEX(Projects!$D:$D,MATCH(INDEX(FTE_Allocation!$E$2:$E$201,$AB650),Projects!$A:$A,0))&amp;"","#PROJECT?"),INDEX(FTE_Allocation!$E$2:$E$201,$AB650)&amp;""),"")))</f>
        <v/>
      </c>
      <c r="F650" s="7">
        <f>IF($Z650="C",INDEX(Contracts!$Q$2:$Q$151,$AB650)&amp;"",IF($Z650="A",INDEX(Fixed_Assets!$L$2:$L$201,$AB650)&amp;"",IF($Z650="F",INDEX(Workforce!$K$2:$K$151,MATCH(INDEX(FTE_Allocation!$A$2:$A$201,$AB650),Workforce!$A$2:$A$151,0))&amp;"","")))</f>
        <v/>
      </c>
      <c r="G650" s="7">
        <f>IF($Z650="C",INDEX(Contracts!$F$2:$F$151,$AB650)&amp;" / "&amp;INDEX(Contracts!$G$2:$G$151,$AB650),IF($Z650="A",INDEX(Fixed_Assets!$E$2:$E$201,$AB650)&amp;"",IF($Z650="F","Personnel "&amp;INDEX(FTE_Allocation!$A$2:$A$201,$AB650)&amp;IF(INDEX(FTE_Allocation!$D$2:$D$201,$AB650)="PROJECT"," ("&amp;INDEX(FTE_Allocation!$E$2:$E$201,$AB650)&amp;")",""),"")))</f>
        <v/>
      </c>
      <c r="H650" s="7">
        <f>IF($Z650="C","CONTRACT",IF($Z650="A","ASSET",IF($Z650="F","WORKFORCE","")))</f>
        <v/>
      </c>
      <c r="I650" s="7">
        <f>IF($Z650="C",INDEX(Contracts!$L$2:$L$151,$AB650)&amp;"",IF($Z650="A",INDEX(Fixed_Assets!$I$2:$I$201,$AB650)&amp;"",IF($Z650="F",INDEX(Workforce!$G$2:$G$151,MATCH(INDEX(FTE_Allocation!$A$2:$A$201,$AB650),Workforce!$A$2:$A$151,0))&amp;"","")))</f>
        <v/>
      </c>
      <c r="J650" s="18">
        <f>IF($Z650="","",IF(AND(DATE($AD650,1,1)&gt;=$AE650,DATE($AD650,1,1)&lt;=$AF650),ROUND($AG650,2),0))</f>
        <v/>
      </c>
      <c r="K650" s="18">
        <f>IF($Z650="","",IF(AND(DATE($AD650,2,1)&gt;=$AE650,DATE($AD650,2,1)&lt;=$AF650),ROUND($AG650,2),0))</f>
        <v/>
      </c>
      <c r="L650" s="18">
        <f>IF($Z650="","",IF(AND(DATE($AD650,3,1)&gt;=$AE650,DATE($AD650,3,1)&lt;=$AF650),ROUND($AG650,2),0))</f>
        <v/>
      </c>
      <c r="M650" s="18">
        <f>IF($Z650="","",IF(AND(DATE($AD650,4,1)&gt;=$AE650,DATE($AD650,4,1)&lt;=$AF650),ROUND($AG650,2),0))</f>
        <v/>
      </c>
      <c r="N650" s="18">
        <f>IF($Z650="","",IF(AND(DATE($AD650,5,1)&gt;=$AE650,DATE($AD650,5,1)&lt;=$AF650),ROUND($AG650,2),0))</f>
        <v/>
      </c>
      <c r="O650" s="18">
        <f>IF($Z650="","",IF(AND(DATE($AD650,6,1)&gt;=$AE650,DATE($AD650,6,1)&lt;=$AF650),ROUND($AG650,2),0))</f>
        <v/>
      </c>
      <c r="P650" s="18">
        <f>IF($Z650="","",IF(AND(DATE($AD650,7,1)&gt;=$AE650,DATE($AD650,7,1)&lt;=$AF650),ROUND($AG650,2),0))</f>
        <v/>
      </c>
      <c r="Q650" s="18">
        <f>IF($Z650="","",IF(AND(DATE($AD650,8,1)&gt;=$AE650,DATE($AD650,8,1)&lt;=$AF650),ROUND($AG650,2),0))</f>
        <v/>
      </c>
      <c r="R650" s="18">
        <f>IF($Z650="","",IF(AND(DATE($AD650,9,1)&gt;=$AE650,DATE($AD650,9,1)&lt;=$AF650),ROUND($AG650,2),0))</f>
        <v/>
      </c>
      <c r="S650" s="18">
        <f>IF($Z650="","",IF(AND(DATE($AD650,10,1)&gt;=$AE650,DATE($AD650,10,1)&lt;=$AF650),ROUND($AG650,2),0))</f>
        <v/>
      </c>
      <c r="T650" s="18">
        <f>IF($Z650="","",IF(AND(DATE($AD650,11,1)&gt;=$AE650,DATE($AD650,11,1)&lt;=$AF650),ROUND($AG650,2),0))</f>
        <v/>
      </c>
      <c r="U650" s="18">
        <f>IF($Z650="","",IF(AND(DATE($AD650,12,1)&gt;=$AE650,DATE($AD650,12,1)&lt;=$AF650),ROUND($AG650,2),0))</f>
        <v/>
      </c>
      <c r="V650" s="7">
        <f>IF($Z650="C","Generated from "&amp;INDEX(Contracts!$A$2:$A$151,$AB650),IF($Z650="A","Generated from "&amp;INDEX(Fixed_Assets!$A$2:$A$201,$AB650),IF($Z650="F","Generated from "&amp;INDEX(FTE_Allocation!$A$2:$A$201,$AB650),"")))</f>
        <v/>
      </c>
      <c r="X650" s="19">
        <f>IF($Z650="","",SUM(J650:U650))</f>
        <v/>
      </c>
      <c r="Y650" s="20">
        <f>ROW()-1</f>
        <v/>
      </c>
      <c r="Z650" s="20">
        <f>IF($Y650&lt;=Settings!$B$4*3,"C",IF($Y650&lt;=(Settings!$B$4+Settings!$B$5)*3,"A",IF($Y650&lt;=(Settings!$B$4+Settings!$B$5+Settings!$B$6)*3,"F","")))</f>
        <v/>
      </c>
      <c r="AA650" s="20">
        <f>IF($Z650="C",$Y650,IF($Z650="A",$Y650-Settings!$B$4*3,IF($Z650="F",$Y650-(Settings!$B$4+Settings!$B$5)*3,"")))</f>
        <v/>
      </c>
      <c r="AB650" s="20">
        <f>IF($Z650="","",INT(($AA650-1)/3)+1)</f>
        <v/>
      </c>
      <c r="AC650" s="20">
        <f>IF($Z650="","",MOD($AA650-1,3)+1)</f>
        <v/>
      </c>
      <c r="AD650" s="20">
        <f>IF($Z650="","",Settings!$B$2+$AC650-1)</f>
        <v/>
      </c>
      <c r="AE650" s="21">
        <f>IF($Z650="C",DATE(YEAR(INDEX(Contracts!$J$2:$J$151,$AB650)),MONTH(INDEX(Contracts!$J$2:$J$151,$AB650)),1),IF($Z650="A",DATE(YEAR(INDEX(Fixed_Assets!$G$2:$G$201,$AB650)),MONTH(INDEX(Fixed_Assets!$G$2:$G$201,$AB650)),1),IF($Z650="F",DATE(YEAR(MAX(N(INDEX(Workforce!$I$2:$I$151,MATCH(INDEX(FTE_Allocation!$A$2:$A$201,$AB650),Workforce!$A$2:$A$151,0))),N(INDEX(FTE_Allocation!$I$2:$I$201,$AB650)))),MONTH(MAX(N(INDEX(Workforce!$I$2:$I$151,MATCH(INDEX(FTE_Allocation!$A$2:$A$201,$AB650),Workforce!$A$2:$A$151,0))),N(INDEX(FTE_Allocation!$I$2:$I$201,$AB650)))),1),"")))</f>
        <v/>
      </c>
      <c r="AF650" s="21">
        <f>IF($Z650="C",IF(INDEX(Contracts!$I$2:$I$151,$AB650)="PREPAID",EDATE(DATE(YEAR(INDEX(Contracts!$J$2:$J$151,$AB650)),MONTH(INDEX(Contracts!$J$2:$J$151,$AB650)),1),IF(INDEX(Contracts!$N$2:$N$151,$AB650)="",12,INDEX(Contracts!$N$2:$N$151,$AB650))-1),IF(INDEX(Contracts!$I$2:$I$151,$AB650)="MONTHLY",IF(INDEX(Contracts!$K$2:$K$151,$AB650)="",2958101,INDEX(Contracts!$K$2:$K$151,$AB650)),0)),IF($Z650="A",EDATE(DATE(YEAR(INDEX(Fixed_Assets!$G$2:$G$201,$AB650)),MONTH(INDEX(Fixed_Assets!$G$2:$G$201,$AB650)),1),INDEX(Fixed_Assets!$J$2:$J$201,$AB650)-1),IF($Z650="F",MIN(IF(INDEX(Workforce!$J$2:$J$151,MATCH(INDEX(FTE_Allocation!$A$2:$A$201,$AB650),Workforce!$A$2:$A$151,0))="",2958101,INDEX(Workforce!$J$2:$J$151,MATCH(INDEX(FTE_Allocation!$A$2:$A$201,$AB650),Workforce!$A$2:$A$151,0))),IF(INDEX(FTE_Allocation!$J$2:$J$201,$AB650)="",2958101,INDEX(FTE_Allocation!$J$2:$J$201,$AB650))),"")))</f>
        <v/>
      </c>
      <c r="AG650" s="19">
        <f>IF($Z650="C",IF(INDEX(Contracts!$I$2:$I$151,$AB650)="PREPAID",INDEX(Contracts!$M$2:$M$151,$AB650)/IF(INDEX(Contracts!$N$2:$N$151,$AB650)="",12,INDEX(Contracts!$N$2:$N$151,$AB650)),IF(INDEX(Contracts!$I$2:$I$151,$AB650)="MONTHLY",INDEX(Contracts!$M$2:$M$151,$AB650),0))*(1-N(INDEX(Contracts!$O$2:$O$151,$AB650))),IF($Z650="A",INDEX(Fixed_Assets!$H$2:$H$201,$AB650)/INDEX(Fixed_Assets!$J$2:$J$201,$AB650),IF($Z650="F",INDEX(Workforce!$F$2:$F$151,MATCH(INDEX(FTE_Allocation!$A$2:$A$201,$AB650),Workforce!$A$2:$A$151,0))*N(INDEX(FTE_Allocation!$F$2:$H$201,$AB650,$AC650)),"")))</f>
        <v/>
      </c>
    </row>
    <row r="651">
      <c r="A651" s="7">
        <f>IF($Z651="","",$AD651)</f>
        <v/>
      </c>
      <c r="B651" s="7">
        <f>IF($Z651="C",INDEX(Contracts!$D$2:$D$151,$AB651)&amp;"",IF($Z651="A",INDEX(Fixed_Assets!$C$2:$C$201,$AB651)&amp;"",IF($Z651="F",INDEX(Workforce!$B$2:$B$151,MATCH(INDEX(FTE_Allocation!$A$2:$A$201,$AB651),Workforce!$A$2:$A$151,0))&amp;"","")))</f>
        <v/>
      </c>
      <c r="C651" s="7">
        <f>IF($Z651="C",INDEX(Contracts!$E$2:$E$151,$AB651)&amp;"",IF($Z651="A",INDEX(Fixed_Assets!$D$2:$D$201,$AB651)&amp;"",IF($Z651="F",INDEX(FTE_Allocation!$C$2:$C$201,$AB651)&amp;"","")))</f>
        <v/>
      </c>
      <c r="D651" s="7">
        <f>IF($Z651="C",INDEX(Contracts!$B$2:$B$151,$AB651)&amp;"",IF($Z651="A",INDEX(Fixed_Assets!$B$2:$B$201,$AB651)&amp;"",IF($Z651="F",INDEX(FTE_Allocation!$B$2:$B$201,$AB651)&amp;"","")))</f>
        <v/>
      </c>
      <c r="E651" s="7">
        <f>IF($Z651="C",INDEX(Contracts!$P$2:$P$151,$AB651)&amp;"",IF($Z651="A",INDEX(Fixed_Assets!$K$2:$K$201,$AB651)&amp;"",IF($Z651="F",IF(INDEX(FTE_Allocation!$D$2:$D$201,$AB651)="PROJECT",IFERROR(INDEX(Projects!$D:$D,MATCH(INDEX(FTE_Allocation!$E$2:$E$201,$AB651),Projects!$A:$A,0))&amp;"","#PROJECT?"),INDEX(FTE_Allocation!$E$2:$E$201,$AB651)&amp;""),"")))</f>
        <v/>
      </c>
      <c r="F651" s="7">
        <f>IF($Z651="C",INDEX(Contracts!$Q$2:$Q$151,$AB651)&amp;"",IF($Z651="A",INDEX(Fixed_Assets!$L$2:$L$201,$AB651)&amp;"",IF($Z651="F",INDEX(Workforce!$K$2:$K$151,MATCH(INDEX(FTE_Allocation!$A$2:$A$201,$AB651),Workforce!$A$2:$A$151,0))&amp;"","")))</f>
        <v/>
      </c>
      <c r="G651" s="7">
        <f>IF($Z651="C",INDEX(Contracts!$F$2:$F$151,$AB651)&amp;" / "&amp;INDEX(Contracts!$G$2:$G$151,$AB651),IF($Z651="A",INDEX(Fixed_Assets!$E$2:$E$201,$AB651)&amp;"",IF($Z651="F","Personnel "&amp;INDEX(FTE_Allocation!$A$2:$A$201,$AB651)&amp;IF(INDEX(FTE_Allocation!$D$2:$D$201,$AB651)="PROJECT"," ("&amp;INDEX(FTE_Allocation!$E$2:$E$201,$AB651)&amp;")",""),"")))</f>
        <v/>
      </c>
      <c r="H651" s="7">
        <f>IF($Z651="C","CONTRACT",IF($Z651="A","ASSET",IF($Z651="F","WORKFORCE","")))</f>
        <v/>
      </c>
      <c r="I651" s="7">
        <f>IF($Z651="C",INDEX(Contracts!$L$2:$L$151,$AB651)&amp;"",IF($Z651="A",INDEX(Fixed_Assets!$I$2:$I$201,$AB651)&amp;"",IF($Z651="F",INDEX(Workforce!$G$2:$G$151,MATCH(INDEX(FTE_Allocation!$A$2:$A$201,$AB651),Workforce!$A$2:$A$151,0))&amp;"","")))</f>
        <v/>
      </c>
      <c r="J651" s="18">
        <f>IF($Z651="","",IF(AND(DATE($AD651,1,1)&gt;=$AE651,DATE($AD651,1,1)&lt;=$AF651),ROUND($AG651,2),0))</f>
        <v/>
      </c>
      <c r="K651" s="18">
        <f>IF($Z651="","",IF(AND(DATE($AD651,2,1)&gt;=$AE651,DATE($AD651,2,1)&lt;=$AF651),ROUND($AG651,2),0))</f>
        <v/>
      </c>
      <c r="L651" s="18">
        <f>IF($Z651="","",IF(AND(DATE($AD651,3,1)&gt;=$AE651,DATE($AD651,3,1)&lt;=$AF651),ROUND($AG651,2),0))</f>
        <v/>
      </c>
      <c r="M651" s="18">
        <f>IF($Z651="","",IF(AND(DATE($AD651,4,1)&gt;=$AE651,DATE($AD651,4,1)&lt;=$AF651),ROUND($AG651,2),0))</f>
        <v/>
      </c>
      <c r="N651" s="18">
        <f>IF($Z651="","",IF(AND(DATE($AD651,5,1)&gt;=$AE651,DATE($AD651,5,1)&lt;=$AF651),ROUND($AG651,2),0))</f>
        <v/>
      </c>
      <c r="O651" s="18">
        <f>IF($Z651="","",IF(AND(DATE($AD651,6,1)&gt;=$AE651,DATE($AD651,6,1)&lt;=$AF651),ROUND($AG651,2),0))</f>
        <v/>
      </c>
      <c r="P651" s="18">
        <f>IF($Z651="","",IF(AND(DATE($AD651,7,1)&gt;=$AE651,DATE($AD651,7,1)&lt;=$AF651),ROUND($AG651,2),0))</f>
        <v/>
      </c>
      <c r="Q651" s="18">
        <f>IF($Z651="","",IF(AND(DATE($AD651,8,1)&gt;=$AE651,DATE($AD651,8,1)&lt;=$AF651),ROUND($AG651,2),0))</f>
        <v/>
      </c>
      <c r="R651" s="18">
        <f>IF($Z651="","",IF(AND(DATE($AD651,9,1)&gt;=$AE651,DATE($AD651,9,1)&lt;=$AF651),ROUND($AG651,2),0))</f>
        <v/>
      </c>
      <c r="S651" s="18">
        <f>IF($Z651="","",IF(AND(DATE($AD651,10,1)&gt;=$AE651,DATE($AD651,10,1)&lt;=$AF651),ROUND($AG651,2),0))</f>
        <v/>
      </c>
      <c r="T651" s="18">
        <f>IF($Z651="","",IF(AND(DATE($AD651,11,1)&gt;=$AE651,DATE($AD651,11,1)&lt;=$AF651),ROUND($AG651,2),0))</f>
        <v/>
      </c>
      <c r="U651" s="18">
        <f>IF($Z651="","",IF(AND(DATE($AD651,12,1)&gt;=$AE651,DATE($AD651,12,1)&lt;=$AF651),ROUND($AG651,2),0))</f>
        <v/>
      </c>
      <c r="V651" s="7">
        <f>IF($Z651="C","Generated from "&amp;INDEX(Contracts!$A$2:$A$151,$AB651),IF($Z651="A","Generated from "&amp;INDEX(Fixed_Assets!$A$2:$A$201,$AB651),IF($Z651="F","Generated from "&amp;INDEX(FTE_Allocation!$A$2:$A$201,$AB651),"")))</f>
        <v/>
      </c>
      <c r="X651" s="19">
        <f>IF($Z651="","",SUM(J651:U651))</f>
        <v/>
      </c>
      <c r="Y651" s="20">
        <f>ROW()-1</f>
        <v/>
      </c>
      <c r="Z651" s="20">
        <f>IF($Y651&lt;=Settings!$B$4*3,"C",IF($Y651&lt;=(Settings!$B$4+Settings!$B$5)*3,"A",IF($Y651&lt;=(Settings!$B$4+Settings!$B$5+Settings!$B$6)*3,"F","")))</f>
        <v/>
      </c>
      <c r="AA651" s="20">
        <f>IF($Z651="C",$Y651,IF($Z651="A",$Y651-Settings!$B$4*3,IF($Z651="F",$Y651-(Settings!$B$4+Settings!$B$5)*3,"")))</f>
        <v/>
      </c>
      <c r="AB651" s="20">
        <f>IF($Z651="","",INT(($AA651-1)/3)+1)</f>
        <v/>
      </c>
      <c r="AC651" s="20">
        <f>IF($Z651="","",MOD($AA651-1,3)+1)</f>
        <v/>
      </c>
      <c r="AD651" s="20">
        <f>IF($Z651="","",Settings!$B$2+$AC651-1)</f>
        <v/>
      </c>
      <c r="AE651" s="21">
        <f>IF($Z651="C",DATE(YEAR(INDEX(Contracts!$J$2:$J$151,$AB651)),MONTH(INDEX(Contracts!$J$2:$J$151,$AB651)),1),IF($Z651="A",DATE(YEAR(INDEX(Fixed_Assets!$G$2:$G$201,$AB651)),MONTH(INDEX(Fixed_Assets!$G$2:$G$201,$AB651)),1),IF($Z651="F",DATE(YEAR(MAX(N(INDEX(Workforce!$I$2:$I$151,MATCH(INDEX(FTE_Allocation!$A$2:$A$201,$AB651),Workforce!$A$2:$A$151,0))),N(INDEX(FTE_Allocation!$I$2:$I$201,$AB651)))),MONTH(MAX(N(INDEX(Workforce!$I$2:$I$151,MATCH(INDEX(FTE_Allocation!$A$2:$A$201,$AB651),Workforce!$A$2:$A$151,0))),N(INDEX(FTE_Allocation!$I$2:$I$201,$AB651)))),1),"")))</f>
        <v/>
      </c>
      <c r="AF651" s="21">
        <f>IF($Z651="C",IF(INDEX(Contracts!$I$2:$I$151,$AB651)="PREPAID",EDATE(DATE(YEAR(INDEX(Contracts!$J$2:$J$151,$AB651)),MONTH(INDEX(Contracts!$J$2:$J$151,$AB651)),1),IF(INDEX(Contracts!$N$2:$N$151,$AB651)="",12,INDEX(Contracts!$N$2:$N$151,$AB651))-1),IF(INDEX(Contracts!$I$2:$I$151,$AB651)="MONTHLY",IF(INDEX(Contracts!$K$2:$K$151,$AB651)="",2958101,INDEX(Contracts!$K$2:$K$151,$AB651)),0)),IF($Z651="A",EDATE(DATE(YEAR(INDEX(Fixed_Assets!$G$2:$G$201,$AB651)),MONTH(INDEX(Fixed_Assets!$G$2:$G$201,$AB651)),1),INDEX(Fixed_Assets!$J$2:$J$201,$AB651)-1),IF($Z651="F",MIN(IF(INDEX(Workforce!$J$2:$J$151,MATCH(INDEX(FTE_Allocation!$A$2:$A$201,$AB651),Workforce!$A$2:$A$151,0))="",2958101,INDEX(Workforce!$J$2:$J$151,MATCH(INDEX(FTE_Allocation!$A$2:$A$201,$AB651),Workforce!$A$2:$A$151,0))),IF(INDEX(FTE_Allocation!$J$2:$J$201,$AB651)="",2958101,INDEX(FTE_Allocation!$J$2:$J$201,$AB651))),"")))</f>
        <v/>
      </c>
      <c r="AG651" s="19">
        <f>IF($Z651="C",IF(INDEX(Contracts!$I$2:$I$151,$AB651)="PREPAID",INDEX(Contracts!$M$2:$M$151,$AB651)/IF(INDEX(Contracts!$N$2:$N$151,$AB651)="",12,INDEX(Contracts!$N$2:$N$151,$AB651)),IF(INDEX(Contracts!$I$2:$I$151,$AB651)="MONTHLY",INDEX(Contracts!$M$2:$M$151,$AB651),0))*(1-N(INDEX(Contracts!$O$2:$O$151,$AB651))),IF($Z651="A",INDEX(Fixed_Assets!$H$2:$H$201,$AB651)/INDEX(Fixed_Assets!$J$2:$J$201,$AB651),IF($Z651="F",INDEX(Workforce!$F$2:$F$151,MATCH(INDEX(FTE_Allocation!$A$2:$A$201,$AB651),Workforce!$A$2:$A$151,0))*N(INDEX(FTE_Allocation!$F$2:$H$201,$AB651,$AC651)),"")))</f>
        <v/>
      </c>
    </row>
    <row r="652">
      <c r="A652" s="7">
        <f>IF($Z652="","",$AD652)</f>
        <v/>
      </c>
      <c r="B652" s="7">
        <f>IF($Z652="C",INDEX(Contracts!$D$2:$D$151,$AB652)&amp;"",IF($Z652="A",INDEX(Fixed_Assets!$C$2:$C$201,$AB652)&amp;"",IF($Z652="F",INDEX(Workforce!$B$2:$B$151,MATCH(INDEX(FTE_Allocation!$A$2:$A$201,$AB652),Workforce!$A$2:$A$151,0))&amp;"","")))</f>
        <v/>
      </c>
      <c r="C652" s="7">
        <f>IF($Z652="C",INDEX(Contracts!$E$2:$E$151,$AB652)&amp;"",IF($Z652="A",INDEX(Fixed_Assets!$D$2:$D$201,$AB652)&amp;"",IF($Z652="F",INDEX(FTE_Allocation!$C$2:$C$201,$AB652)&amp;"","")))</f>
        <v/>
      </c>
      <c r="D652" s="7">
        <f>IF($Z652="C",INDEX(Contracts!$B$2:$B$151,$AB652)&amp;"",IF($Z652="A",INDEX(Fixed_Assets!$B$2:$B$201,$AB652)&amp;"",IF($Z652="F",INDEX(FTE_Allocation!$B$2:$B$201,$AB652)&amp;"","")))</f>
        <v/>
      </c>
      <c r="E652" s="7">
        <f>IF($Z652="C",INDEX(Contracts!$P$2:$P$151,$AB652)&amp;"",IF($Z652="A",INDEX(Fixed_Assets!$K$2:$K$201,$AB652)&amp;"",IF($Z652="F",IF(INDEX(FTE_Allocation!$D$2:$D$201,$AB652)="PROJECT",IFERROR(INDEX(Projects!$D:$D,MATCH(INDEX(FTE_Allocation!$E$2:$E$201,$AB652),Projects!$A:$A,0))&amp;"","#PROJECT?"),INDEX(FTE_Allocation!$E$2:$E$201,$AB652)&amp;""),"")))</f>
        <v/>
      </c>
      <c r="F652" s="7">
        <f>IF($Z652="C",INDEX(Contracts!$Q$2:$Q$151,$AB652)&amp;"",IF($Z652="A",INDEX(Fixed_Assets!$L$2:$L$201,$AB652)&amp;"",IF($Z652="F",INDEX(Workforce!$K$2:$K$151,MATCH(INDEX(FTE_Allocation!$A$2:$A$201,$AB652),Workforce!$A$2:$A$151,0))&amp;"","")))</f>
        <v/>
      </c>
      <c r="G652" s="7">
        <f>IF($Z652="C",INDEX(Contracts!$F$2:$F$151,$AB652)&amp;" / "&amp;INDEX(Contracts!$G$2:$G$151,$AB652),IF($Z652="A",INDEX(Fixed_Assets!$E$2:$E$201,$AB652)&amp;"",IF($Z652="F","Personnel "&amp;INDEX(FTE_Allocation!$A$2:$A$201,$AB652)&amp;IF(INDEX(FTE_Allocation!$D$2:$D$201,$AB652)="PROJECT"," ("&amp;INDEX(FTE_Allocation!$E$2:$E$201,$AB652)&amp;")",""),"")))</f>
        <v/>
      </c>
      <c r="H652" s="7">
        <f>IF($Z652="C","CONTRACT",IF($Z652="A","ASSET",IF($Z652="F","WORKFORCE","")))</f>
        <v/>
      </c>
      <c r="I652" s="7">
        <f>IF($Z652="C",INDEX(Contracts!$L$2:$L$151,$AB652)&amp;"",IF($Z652="A",INDEX(Fixed_Assets!$I$2:$I$201,$AB652)&amp;"",IF($Z652="F",INDEX(Workforce!$G$2:$G$151,MATCH(INDEX(FTE_Allocation!$A$2:$A$201,$AB652),Workforce!$A$2:$A$151,0))&amp;"","")))</f>
        <v/>
      </c>
      <c r="J652" s="18">
        <f>IF($Z652="","",IF(AND(DATE($AD652,1,1)&gt;=$AE652,DATE($AD652,1,1)&lt;=$AF652),ROUND($AG652,2),0))</f>
        <v/>
      </c>
      <c r="K652" s="18">
        <f>IF($Z652="","",IF(AND(DATE($AD652,2,1)&gt;=$AE652,DATE($AD652,2,1)&lt;=$AF652),ROUND($AG652,2),0))</f>
        <v/>
      </c>
      <c r="L652" s="18">
        <f>IF($Z652="","",IF(AND(DATE($AD652,3,1)&gt;=$AE652,DATE($AD652,3,1)&lt;=$AF652),ROUND($AG652,2),0))</f>
        <v/>
      </c>
      <c r="M652" s="18">
        <f>IF($Z652="","",IF(AND(DATE($AD652,4,1)&gt;=$AE652,DATE($AD652,4,1)&lt;=$AF652),ROUND($AG652,2),0))</f>
        <v/>
      </c>
      <c r="N652" s="18">
        <f>IF($Z652="","",IF(AND(DATE($AD652,5,1)&gt;=$AE652,DATE($AD652,5,1)&lt;=$AF652),ROUND($AG652,2),0))</f>
        <v/>
      </c>
      <c r="O652" s="18">
        <f>IF($Z652="","",IF(AND(DATE($AD652,6,1)&gt;=$AE652,DATE($AD652,6,1)&lt;=$AF652),ROUND($AG652,2),0))</f>
        <v/>
      </c>
      <c r="P652" s="18">
        <f>IF($Z652="","",IF(AND(DATE($AD652,7,1)&gt;=$AE652,DATE($AD652,7,1)&lt;=$AF652),ROUND($AG652,2),0))</f>
        <v/>
      </c>
      <c r="Q652" s="18">
        <f>IF($Z652="","",IF(AND(DATE($AD652,8,1)&gt;=$AE652,DATE($AD652,8,1)&lt;=$AF652),ROUND($AG652,2),0))</f>
        <v/>
      </c>
      <c r="R652" s="18">
        <f>IF($Z652="","",IF(AND(DATE($AD652,9,1)&gt;=$AE652,DATE($AD652,9,1)&lt;=$AF652),ROUND($AG652,2),0))</f>
        <v/>
      </c>
      <c r="S652" s="18">
        <f>IF($Z652="","",IF(AND(DATE($AD652,10,1)&gt;=$AE652,DATE($AD652,10,1)&lt;=$AF652),ROUND($AG652,2),0))</f>
        <v/>
      </c>
      <c r="T652" s="18">
        <f>IF($Z652="","",IF(AND(DATE($AD652,11,1)&gt;=$AE652,DATE($AD652,11,1)&lt;=$AF652),ROUND($AG652,2),0))</f>
        <v/>
      </c>
      <c r="U652" s="18">
        <f>IF($Z652="","",IF(AND(DATE($AD652,12,1)&gt;=$AE652,DATE($AD652,12,1)&lt;=$AF652),ROUND($AG652,2),0))</f>
        <v/>
      </c>
      <c r="V652" s="7">
        <f>IF($Z652="C","Generated from "&amp;INDEX(Contracts!$A$2:$A$151,$AB652),IF($Z652="A","Generated from "&amp;INDEX(Fixed_Assets!$A$2:$A$201,$AB652),IF($Z652="F","Generated from "&amp;INDEX(FTE_Allocation!$A$2:$A$201,$AB652),"")))</f>
        <v/>
      </c>
      <c r="X652" s="19">
        <f>IF($Z652="","",SUM(J652:U652))</f>
        <v/>
      </c>
      <c r="Y652" s="20">
        <f>ROW()-1</f>
        <v/>
      </c>
      <c r="Z652" s="20">
        <f>IF($Y652&lt;=Settings!$B$4*3,"C",IF($Y652&lt;=(Settings!$B$4+Settings!$B$5)*3,"A",IF($Y652&lt;=(Settings!$B$4+Settings!$B$5+Settings!$B$6)*3,"F","")))</f>
        <v/>
      </c>
      <c r="AA652" s="20">
        <f>IF($Z652="C",$Y652,IF($Z652="A",$Y652-Settings!$B$4*3,IF($Z652="F",$Y652-(Settings!$B$4+Settings!$B$5)*3,"")))</f>
        <v/>
      </c>
      <c r="AB652" s="20">
        <f>IF($Z652="","",INT(($AA652-1)/3)+1)</f>
        <v/>
      </c>
      <c r="AC652" s="20">
        <f>IF($Z652="","",MOD($AA652-1,3)+1)</f>
        <v/>
      </c>
      <c r="AD652" s="20">
        <f>IF($Z652="","",Settings!$B$2+$AC652-1)</f>
        <v/>
      </c>
      <c r="AE652" s="21">
        <f>IF($Z652="C",DATE(YEAR(INDEX(Contracts!$J$2:$J$151,$AB652)),MONTH(INDEX(Contracts!$J$2:$J$151,$AB652)),1),IF($Z652="A",DATE(YEAR(INDEX(Fixed_Assets!$G$2:$G$201,$AB652)),MONTH(INDEX(Fixed_Assets!$G$2:$G$201,$AB652)),1),IF($Z652="F",DATE(YEAR(MAX(N(INDEX(Workforce!$I$2:$I$151,MATCH(INDEX(FTE_Allocation!$A$2:$A$201,$AB652),Workforce!$A$2:$A$151,0))),N(INDEX(FTE_Allocation!$I$2:$I$201,$AB652)))),MONTH(MAX(N(INDEX(Workforce!$I$2:$I$151,MATCH(INDEX(FTE_Allocation!$A$2:$A$201,$AB652),Workforce!$A$2:$A$151,0))),N(INDEX(FTE_Allocation!$I$2:$I$201,$AB652)))),1),"")))</f>
        <v/>
      </c>
      <c r="AF652" s="21">
        <f>IF($Z652="C",IF(INDEX(Contracts!$I$2:$I$151,$AB652)="PREPAID",EDATE(DATE(YEAR(INDEX(Contracts!$J$2:$J$151,$AB652)),MONTH(INDEX(Contracts!$J$2:$J$151,$AB652)),1),IF(INDEX(Contracts!$N$2:$N$151,$AB652)="",12,INDEX(Contracts!$N$2:$N$151,$AB652))-1),IF(INDEX(Contracts!$I$2:$I$151,$AB652)="MONTHLY",IF(INDEX(Contracts!$K$2:$K$151,$AB652)="",2958101,INDEX(Contracts!$K$2:$K$151,$AB652)),0)),IF($Z652="A",EDATE(DATE(YEAR(INDEX(Fixed_Assets!$G$2:$G$201,$AB652)),MONTH(INDEX(Fixed_Assets!$G$2:$G$201,$AB652)),1),INDEX(Fixed_Assets!$J$2:$J$201,$AB652)-1),IF($Z652="F",MIN(IF(INDEX(Workforce!$J$2:$J$151,MATCH(INDEX(FTE_Allocation!$A$2:$A$201,$AB652),Workforce!$A$2:$A$151,0))="",2958101,INDEX(Workforce!$J$2:$J$151,MATCH(INDEX(FTE_Allocation!$A$2:$A$201,$AB652),Workforce!$A$2:$A$151,0))),IF(INDEX(FTE_Allocation!$J$2:$J$201,$AB652)="",2958101,INDEX(FTE_Allocation!$J$2:$J$201,$AB652))),"")))</f>
        <v/>
      </c>
      <c r="AG652" s="19">
        <f>IF($Z652="C",IF(INDEX(Contracts!$I$2:$I$151,$AB652)="PREPAID",INDEX(Contracts!$M$2:$M$151,$AB652)/IF(INDEX(Contracts!$N$2:$N$151,$AB652)="",12,INDEX(Contracts!$N$2:$N$151,$AB652)),IF(INDEX(Contracts!$I$2:$I$151,$AB652)="MONTHLY",INDEX(Contracts!$M$2:$M$151,$AB652),0))*(1-N(INDEX(Contracts!$O$2:$O$151,$AB652))),IF($Z652="A",INDEX(Fixed_Assets!$H$2:$H$201,$AB652)/INDEX(Fixed_Assets!$J$2:$J$201,$AB652),IF($Z652="F",INDEX(Workforce!$F$2:$F$151,MATCH(INDEX(FTE_Allocation!$A$2:$A$201,$AB652),Workforce!$A$2:$A$151,0))*N(INDEX(FTE_Allocation!$F$2:$H$201,$AB652,$AC652)),"")))</f>
        <v/>
      </c>
    </row>
    <row r="653">
      <c r="A653" s="7">
        <f>IF($Z653="","",$AD653)</f>
        <v/>
      </c>
      <c r="B653" s="7">
        <f>IF($Z653="C",INDEX(Contracts!$D$2:$D$151,$AB653)&amp;"",IF($Z653="A",INDEX(Fixed_Assets!$C$2:$C$201,$AB653)&amp;"",IF($Z653="F",INDEX(Workforce!$B$2:$B$151,MATCH(INDEX(FTE_Allocation!$A$2:$A$201,$AB653),Workforce!$A$2:$A$151,0))&amp;"","")))</f>
        <v/>
      </c>
      <c r="C653" s="7">
        <f>IF($Z653="C",INDEX(Contracts!$E$2:$E$151,$AB653)&amp;"",IF($Z653="A",INDEX(Fixed_Assets!$D$2:$D$201,$AB653)&amp;"",IF($Z653="F",INDEX(FTE_Allocation!$C$2:$C$201,$AB653)&amp;"","")))</f>
        <v/>
      </c>
      <c r="D653" s="7">
        <f>IF($Z653="C",INDEX(Contracts!$B$2:$B$151,$AB653)&amp;"",IF($Z653="A",INDEX(Fixed_Assets!$B$2:$B$201,$AB653)&amp;"",IF($Z653="F",INDEX(FTE_Allocation!$B$2:$B$201,$AB653)&amp;"","")))</f>
        <v/>
      </c>
      <c r="E653" s="7">
        <f>IF($Z653="C",INDEX(Contracts!$P$2:$P$151,$AB653)&amp;"",IF($Z653="A",INDEX(Fixed_Assets!$K$2:$K$201,$AB653)&amp;"",IF($Z653="F",IF(INDEX(FTE_Allocation!$D$2:$D$201,$AB653)="PROJECT",IFERROR(INDEX(Projects!$D:$D,MATCH(INDEX(FTE_Allocation!$E$2:$E$201,$AB653),Projects!$A:$A,0))&amp;"","#PROJECT?"),INDEX(FTE_Allocation!$E$2:$E$201,$AB653)&amp;""),"")))</f>
        <v/>
      </c>
      <c r="F653" s="7">
        <f>IF($Z653="C",INDEX(Contracts!$Q$2:$Q$151,$AB653)&amp;"",IF($Z653="A",INDEX(Fixed_Assets!$L$2:$L$201,$AB653)&amp;"",IF($Z653="F",INDEX(Workforce!$K$2:$K$151,MATCH(INDEX(FTE_Allocation!$A$2:$A$201,$AB653),Workforce!$A$2:$A$151,0))&amp;"","")))</f>
        <v/>
      </c>
      <c r="G653" s="7">
        <f>IF($Z653="C",INDEX(Contracts!$F$2:$F$151,$AB653)&amp;" / "&amp;INDEX(Contracts!$G$2:$G$151,$AB653),IF($Z653="A",INDEX(Fixed_Assets!$E$2:$E$201,$AB653)&amp;"",IF($Z653="F","Personnel "&amp;INDEX(FTE_Allocation!$A$2:$A$201,$AB653)&amp;IF(INDEX(FTE_Allocation!$D$2:$D$201,$AB653)="PROJECT"," ("&amp;INDEX(FTE_Allocation!$E$2:$E$201,$AB653)&amp;")",""),"")))</f>
        <v/>
      </c>
      <c r="H653" s="7">
        <f>IF($Z653="C","CONTRACT",IF($Z653="A","ASSET",IF($Z653="F","WORKFORCE","")))</f>
        <v/>
      </c>
      <c r="I653" s="7">
        <f>IF($Z653="C",INDEX(Contracts!$L$2:$L$151,$AB653)&amp;"",IF($Z653="A",INDEX(Fixed_Assets!$I$2:$I$201,$AB653)&amp;"",IF($Z653="F",INDEX(Workforce!$G$2:$G$151,MATCH(INDEX(FTE_Allocation!$A$2:$A$201,$AB653),Workforce!$A$2:$A$151,0))&amp;"","")))</f>
        <v/>
      </c>
      <c r="J653" s="18">
        <f>IF($Z653="","",IF(AND(DATE($AD653,1,1)&gt;=$AE653,DATE($AD653,1,1)&lt;=$AF653),ROUND($AG653,2),0))</f>
        <v/>
      </c>
      <c r="K653" s="18">
        <f>IF($Z653="","",IF(AND(DATE($AD653,2,1)&gt;=$AE653,DATE($AD653,2,1)&lt;=$AF653),ROUND($AG653,2),0))</f>
        <v/>
      </c>
      <c r="L653" s="18">
        <f>IF($Z653="","",IF(AND(DATE($AD653,3,1)&gt;=$AE653,DATE($AD653,3,1)&lt;=$AF653),ROUND($AG653,2),0))</f>
        <v/>
      </c>
      <c r="M653" s="18">
        <f>IF($Z653="","",IF(AND(DATE($AD653,4,1)&gt;=$AE653,DATE($AD653,4,1)&lt;=$AF653),ROUND($AG653,2),0))</f>
        <v/>
      </c>
      <c r="N653" s="18">
        <f>IF($Z653="","",IF(AND(DATE($AD653,5,1)&gt;=$AE653,DATE($AD653,5,1)&lt;=$AF653),ROUND($AG653,2),0))</f>
        <v/>
      </c>
      <c r="O653" s="18">
        <f>IF($Z653="","",IF(AND(DATE($AD653,6,1)&gt;=$AE653,DATE($AD653,6,1)&lt;=$AF653),ROUND($AG653,2),0))</f>
        <v/>
      </c>
      <c r="P653" s="18">
        <f>IF($Z653="","",IF(AND(DATE($AD653,7,1)&gt;=$AE653,DATE($AD653,7,1)&lt;=$AF653),ROUND($AG653,2),0))</f>
        <v/>
      </c>
      <c r="Q653" s="18">
        <f>IF($Z653="","",IF(AND(DATE($AD653,8,1)&gt;=$AE653,DATE($AD653,8,1)&lt;=$AF653),ROUND($AG653,2),0))</f>
        <v/>
      </c>
      <c r="R653" s="18">
        <f>IF($Z653="","",IF(AND(DATE($AD653,9,1)&gt;=$AE653,DATE($AD653,9,1)&lt;=$AF653),ROUND($AG653,2),0))</f>
        <v/>
      </c>
      <c r="S653" s="18">
        <f>IF($Z653="","",IF(AND(DATE($AD653,10,1)&gt;=$AE653,DATE($AD653,10,1)&lt;=$AF653),ROUND($AG653,2),0))</f>
        <v/>
      </c>
      <c r="T653" s="18">
        <f>IF($Z653="","",IF(AND(DATE($AD653,11,1)&gt;=$AE653,DATE($AD653,11,1)&lt;=$AF653),ROUND($AG653,2),0))</f>
        <v/>
      </c>
      <c r="U653" s="18">
        <f>IF($Z653="","",IF(AND(DATE($AD653,12,1)&gt;=$AE653,DATE($AD653,12,1)&lt;=$AF653),ROUND($AG653,2),0))</f>
        <v/>
      </c>
      <c r="V653" s="7">
        <f>IF($Z653="C","Generated from "&amp;INDEX(Contracts!$A$2:$A$151,$AB653),IF($Z653="A","Generated from "&amp;INDEX(Fixed_Assets!$A$2:$A$201,$AB653),IF($Z653="F","Generated from "&amp;INDEX(FTE_Allocation!$A$2:$A$201,$AB653),"")))</f>
        <v/>
      </c>
      <c r="X653" s="19">
        <f>IF($Z653="","",SUM(J653:U653))</f>
        <v/>
      </c>
      <c r="Y653" s="20">
        <f>ROW()-1</f>
        <v/>
      </c>
      <c r="Z653" s="20">
        <f>IF($Y653&lt;=Settings!$B$4*3,"C",IF($Y653&lt;=(Settings!$B$4+Settings!$B$5)*3,"A",IF($Y653&lt;=(Settings!$B$4+Settings!$B$5+Settings!$B$6)*3,"F","")))</f>
        <v/>
      </c>
      <c r="AA653" s="20">
        <f>IF($Z653="C",$Y653,IF($Z653="A",$Y653-Settings!$B$4*3,IF($Z653="F",$Y653-(Settings!$B$4+Settings!$B$5)*3,"")))</f>
        <v/>
      </c>
      <c r="AB653" s="20">
        <f>IF($Z653="","",INT(($AA653-1)/3)+1)</f>
        <v/>
      </c>
      <c r="AC653" s="20">
        <f>IF($Z653="","",MOD($AA653-1,3)+1)</f>
        <v/>
      </c>
      <c r="AD653" s="20">
        <f>IF($Z653="","",Settings!$B$2+$AC653-1)</f>
        <v/>
      </c>
      <c r="AE653" s="21">
        <f>IF($Z653="C",DATE(YEAR(INDEX(Contracts!$J$2:$J$151,$AB653)),MONTH(INDEX(Contracts!$J$2:$J$151,$AB653)),1),IF($Z653="A",DATE(YEAR(INDEX(Fixed_Assets!$G$2:$G$201,$AB653)),MONTH(INDEX(Fixed_Assets!$G$2:$G$201,$AB653)),1),IF($Z653="F",DATE(YEAR(MAX(N(INDEX(Workforce!$I$2:$I$151,MATCH(INDEX(FTE_Allocation!$A$2:$A$201,$AB653),Workforce!$A$2:$A$151,0))),N(INDEX(FTE_Allocation!$I$2:$I$201,$AB653)))),MONTH(MAX(N(INDEX(Workforce!$I$2:$I$151,MATCH(INDEX(FTE_Allocation!$A$2:$A$201,$AB653),Workforce!$A$2:$A$151,0))),N(INDEX(FTE_Allocation!$I$2:$I$201,$AB653)))),1),"")))</f>
        <v/>
      </c>
      <c r="AF653" s="21">
        <f>IF($Z653="C",IF(INDEX(Contracts!$I$2:$I$151,$AB653)="PREPAID",EDATE(DATE(YEAR(INDEX(Contracts!$J$2:$J$151,$AB653)),MONTH(INDEX(Contracts!$J$2:$J$151,$AB653)),1),IF(INDEX(Contracts!$N$2:$N$151,$AB653)="",12,INDEX(Contracts!$N$2:$N$151,$AB653))-1),IF(INDEX(Contracts!$I$2:$I$151,$AB653)="MONTHLY",IF(INDEX(Contracts!$K$2:$K$151,$AB653)="",2958101,INDEX(Contracts!$K$2:$K$151,$AB653)),0)),IF($Z653="A",EDATE(DATE(YEAR(INDEX(Fixed_Assets!$G$2:$G$201,$AB653)),MONTH(INDEX(Fixed_Assets!$G$2:$G$201,$AB653)),1),INDEX(Fixed_Assets!$J$2:$J$201,$AB653)-1),IF($Z653="F",MIN(IF(INDEX(Workforce!$J$2:$J$151,MATCH(INDEX(FTE_Allocation!$A$2:$A$201,$AB653),Workforce!$A$2:$A$151,0))="",2958101,INDEX(Workforce!$J$2:$J$151,MATCH(INDEX(FTE_Allocation!$A$2:$A$201,$AB653),Workforce!$A$2:$A$151,0))),IF(INDEX(FTE_Allocation!$J$2:$J$201,$AB653)="",2958101,INDEX(FTE_Allocation!$J$2:$J$201,$AB653))),"")))</f>
        <v/>
      </c>
      <c r="AG653" s="19">
        <f>IF($Z653="C",IF(INDEX(Contracts!$I$2:$I$151,$AB653)="PREPAID",INDEX(Contracts!$M$2:$M$151,$AB653)/IF(INDEX(Contracts!$N$2:$N$151,$AB653)="",12,INDEX(Contracts!$N$2:$N$151,$AB653)),IF(INDEX(Contracts!$I$2:$I$151,$AB653)="MONTHLY",INDEX(Contracts!$M$2:$M$151,$AB653),0))*(1-N(INDEX(Contracts!$O$2:$O$151,$AB653))),IF($Z653="A",INDEX(Fixed_Assets!$H$2:$H$201,$AB653)/INDEX(Fixed_Assets!$J$2:$J$201,$AB653),IF($Z653="F",INDEX(Workforce!$F$2:$F$151,MATCH(INDEX(FTE_Allocation!$A$2:$A$201,$AB653),Workforce!$A$2:$A$151,0))*N(INDEX(FTE_Allocation!$F$2:$H$201,$AB653,$AC653)),"")))</f>
        <v/>
      </c>
    </row>
    <row r="654">
      <c r="A654" s="7">
        <f>IF($Z654="","",$AD654)</f>
        <v/>
      </c>
      <c r="B654" s="7">
        <f>IF($Z654="C",INDEX(Contracts!$D$2:$D$151,$AB654)&amp;"",IF($Z654="A",INDEX(Fixed_Assets!$C$2:$C$201,$AB654)&amp;"",IF($Z654="F",INDEX(Workforce!$B$2:$B$151,MATCH(INDEX(FTE_Allocation!$A$2:$A$201,$AB654),Workforce!$A$2:$A$151,0))&amp;"","")))</f>
        <v/>
      </c>
      <c r="C654" s="7">
        <f>IF($Z654="C",INDEX(Contracts!$E$2:$E$151,$AB654)&amp;"",IF($Z654="A",INDEX(Fixed_Assets!$D$2:$D$201,$AB654)&amp;"",IF($Z654="F",INDEX(FTE_Allocation!$C$2:$C$201,$AB654)&amp;"","")))</f>
        <v/>
      </c>
      <c r="D654" s="7">
        <f>IF($Z654="C",INDEX(Contracts!$B$2:$B$151,$AB654)&amp;"",IF($Z654="A",INDEX(Fixed_Assets!$B$2:$B$201,$AB654)&amp;"",IF($Z654="F",INDEX(FTE_Allocation!$B$2:$B$201,$AB654)&amp;"","")))</f>
        <v/>
      </c>
      <c r="E654" s="7">
        <f>IF($Z654="C",INDEX(Contracts!$P$2:$P$151,$AB654)&amp;"",IF($Z654="A",INDEX(Fixed_Assets!$K$2:$K$201,$AB654)&amp;"",IF($Z654="F",IF(INDEX(FTE_Allocation!$D$2:$D$201,$AB654)="PROJECT",IFERROR(INDEX(Projects!$D:$D,MATCH(INDEX(FTE_Allocation!$E$2:$E$201,$AB654),Projects!$A:$A,0))&amp;"","#PROJECT?"),INDEX(FTE_Allocation!$E$2:$E$201,$AB654)&amp;""),"")))</f>
        <v/>
      </c>
      <c r="F654" s="7">
        <f>IF($Z654="C",INDEX(Contracts!$Q$2:$Q$151,$AB654)&amp;"",IF($Z654="A",INDEX(Fixed_Assets!$L$2:$L$201,$AB654)&amp;"",IF($Z654="F",INDEX(Workforce!$K$2:$K$151,MATCH(INDEX(FTE_Allocation!$A$2:$A$201,$AB654),Workforce!$A$2:$A$151,0))&amp;"","")))</f>
        <v/>
      </c>
      <c r="G654" s="7">
        <f>IF($Z654="C",INDEX(Contracts!$F$2:$F$151,$AB654)&amp;" / "&amp;INDEX(Contracts!$G$2:$G$151,$AB654),IF($Z654="A",INDEX(Fixed_Assets!$E$2:$E$201,$AB654)&amp;"",IF($Z654="F","Personnel "&amp;INDEX(FTE_Allocation!$A$2:$A$201,$AB654)&amp;IF(INDEX(FTE_Allocation!$D$2:$D$201,$AB654)="PROJECT"," ("&amp;INDEX(FTE_Allocation!$E$2:$E$201,$AB654)&amp;")",""),"")))</f>
        <v/>
      </c>
      <c r="H654" s="7">
        <f>IF($Z654="C","CONTRACT",IF($Z654="A","ASSET",IF($Z654="F","WORKFORCE","")))</f>
        <v/>
      </c>
      <c r="I654" s="7">
        <f>IF($Z654="C",INDEX(Contracts!$L$2:$L$151,$AB654)&amp;"",IF($Z654="A",INDEX(Fixed_Assets!$I$2:$I$201,$AB654)&amp;"",IF($Z654="F",INDEX(Workforce!$G$2:$G$151,MATCH(INDEX(FTE_Allocation!$A$2:$A$201,$AB654),Workforce!$A$2:$A$151,0))&amp;"","")))</f>
        <v/>
      </c>
      <c r="J654" s="18">
        <f>IF($Z654="","",IF(AND(DATE($AD654,1,1)&gt;=$AE654,DATE($AD654,1,1)&lt;=$AF654),ROUND($AG654,2),0))</f>
        <v/>
      </c>
      <c r="K654" s="18">
        <f>IF($Z654="","",IF(AND(DATE($AD654,2,1)&gt;=$AE654,DATE($AD654,2,1)&lt;=$AF654),ROUND($AG654,2),0))</f>
        <v/>
      </c>
      <c r="L654" s="18">
        <f>IF($Z654="","",IF(AND(DATE($AD654,3,1)&gt;=$AE654,DATE($AD654,3,1)&lt;=$AF654),ROUND($AG654,2),0))</f>
        <v/>
      </c>
      <c r="M654" s="18">
        <f>IF($Z654="","",IF(AND(DATE($AD654,4,1)&gt;=$AE654,DATE($AD654,4,1)&lt;=$AF654),ROUND($AG654,2),0))</f>
        <v/>
      </c>
      <c r="N654" s="18">
        <f>IF($Z654="","",IF(AND(DATE($AD654,5,1)&gt;=$AE654,DATE($AD654,5,1)&lt;=$AF654),ROUND($AG654,2),0))</f>
        <v/>
      </c>
      <c r="O654" s="18">
        <f>IF($Z654="","",IF(AND(DATE($AD654,6,1)&gt;=$AE654,DATE($AD654,6,1)&lt;=$AF654),ROUND($AG654,2),0))</f>
        <v/>
      </c>
      <c r="P654" s="18">
        <f>IF($Z654="","",IF(AND(DATE($AD654,7,1)&gt;=$AE654,DATE($AD654,7,1)&lt;=$AF654),ROUND($AG654,2),0))</f>
        <v/>
      </c>
      <c r="Q654" s="18">
        <f>IF($Z654="","",IF(AND(DATE($AD654,8,1)&gt;=$AE654,DATE($AD654,8,1)&lt;=$AF654),ROUND($AG654,2),0))</f>
        <v/>
      </c>
      <c r="R654" s="18">
        <f>IF($Z654="","",IF(AND(DATE($AD654,9,1)&gt;=$AE654,DATE($AD654,9,1)&lt;=$AF654),ROUND($AG654,2),0))</f>
        <v/>
      </c>
      <c r="S654" s="18">
        <f>IF($Z654="","",IF(AND(DATE($AD654,10,1)&gt;=$AE654,DATE($AD654,10,1)&lt;=$AF654),ROUND($AG654,2),0))</f>
        <v/>
      </c>
      <c r="T654" s="18">
        <f>IF($Z654="","",IF(AND(DATE($AD654,11,1)&gt;=$AE654,DATE($AD654,11,1)&lt;=$AF654),ROUND($AG654,2),0))</f>
        <v/>
      </c>
      <c r="U654" s="18">
        <f>IF($Z654="","",IF(AND(DATE($AD654,12,1)&gt;=$AE654,DATE($AD654,12,1)&lt;=$AF654),ROUND($AG654,2),0))</f>
        <v/>
      </c>
      <c r="V654" s="7">
        <f>IF($Z654="C","Generated from "&amp;INDEX(Contracts!$A$2:$A$151,$AB654),IF($Z654="A","Generated from "&amp;INDEX(Fixed_Assets!$A$2:$A$201,$AB654),IF($Z654="F","Generated from "&amp;INDEX(FTE_Allocation!$A$2:$A$201,$AB654),"")))</f>
        <v/>
      </c>
      <c r="X654" s="19">
        <f>IF($Z654="","",SUM(J654:U654))</f>
        <v/>
      </c>
      <c r="Y654" s="20">
        <f>ROW()-1</f>
        <v/>
      </c>
      <c r="Z654" s="20">
        <f>IF($Y654&lt;=Settings!$B$4*3,"C",IF($Y654&lt;=(Settings!$B$4+Settings!$B$5)*3,"A",IF($Y654&lt;=(Settings!$B$4+Settings!$B$5+Settings!$B$6)*3,"F","")))</f>
        <v/>
      </c>
      <c r="AA654" s="20">
        <f>IF($Z654="C",$Y654,IF($Z654="A",$Y654-Settings!$B$4*3,IF($Z654="F",$Y654-(Settings!$B$4+Settings!$B$5)*3,"")))</f>
        <v/>
      </c>
      <c r="AB654" s="20">
        <f>IF($Z654="","",INT(($AA654-1)/3)+1)</f>
        <v/>
      </c>
      <c r="AC654" s="20">
        <f>IF($Z654="","",MOD($AA654-1,3)+1)</f>
        <v/>
      </c>
      <c r="AD654" s="20">
        <f>IF($Z654="","",Settings!$B$2+$AC654-1)</f>
        <v/>
      </c>
      <c r="AE654" s="21">
        <f>IF($Z654="C",DATE(YEAR(INDEX(Contracts!$J$2:$J$151,$AB654)),MONTH(INDEX(Contracts!$J$2:$J$151,$AB654)),1),IF($Z654="A",DATE(YEAR(INDEX(Fixed_Assets!$G$2:$G$201,$AB654)),MONTH(INDEX(Fixed_Assets!$G$2:$G$201,$AB654)),1),IF($Z654="F",DATE(YEAR(MAX(N(INDEX(Workforce!$I$2:$I$151,MATCH(INDEX(FTE_Allocation!$A$2:$A$201,$AB654),Workforce!$A$2:$A$151,0))),N(INDEX(FTE_Allocation!$I$2:$I$201,$AB654)))),MONTH(MAX(N(INDEX(Workforce!$I$2:$I$151,MATCH(INDEX(FTE_Allocation!$A$2:$A$201,$AB654),Workforce!$A$2:$A$151,0))),N(INDEX(FTE_Allocation!$I$2:$I$201,$AB654)))),1),"")))</f>
        <v/>
      </c>
      <c r="AF654" s="21">
        <f>IF($Z654="C",IF(INDEX(Contracts!$I$2:$I$151,$AB654)="PREPAID",EDATE(DATE(YEAR(INDEX(Contracts!$J$2:$J$151,$AB654)),MONTH(INDEX(Contracts!$J$2:$J$151,$AB654)),1),IF(INDEX(Contracts!$N$2:$N$151,$AB654)="",12,INDEX(Contracts!$N$2:$N$151,$AB654))-1),IF(INDEX(Contracts!$I$2:$I$151,$AB654)="MONTHLY",IF(INDEX(Contracts!$K$2:$K$151,$AB654)="",2958101,INDEX(Contracts!$K$2:$K$151,$AB654)),0)),IF($Z654="A",EDATE(DATE(YEAR(INDEX(Fixed_Assets!$G$2:$G$201,$AB654)),MONTH(INDEX(Fixed_Assets!$G$2:$G$201,$AB654)),1),INDEX(Fixed_Assets!$J$2:$J$201,$AB654)-1),IF($Z654="F",MIN(IF(INDEX(Workforce!$J$2:$J$151,MATCH(INDEX(FTE_Allocation!$A$2:$A$201,$AB654),Workforce!$A$2:$A$151,0))="",2958101,INDEX(Workforce!$J$2:$J$151,MATCH(INDEX(FTE_Allocation!$A$2:$A$201,$AB654),Workforce!$A$2:$A$151,0))),IF(INDEX(FTE_Allocation!$J$2:$J$201,$AB654)="",2958101,INDEX(FTE_Allocation!$J$2:$J$201,$AB654))),"")))</f>
        <v/>
      </c>
      <c r="AG654" s="19">
        <f>IF($Z654="C",IF(INDEX(Contracts!$I$2:$I$151,$AB654)="PREPAID",INDEX(Contracts!$M$2:$M$151,$AB654)/IF(INDEX(Contracts!$N$2:$N$151,$AB654)="",12,INDEX(Contracts!$N$2:$N$151,$AB654)),IF(INDEX(Contracts!$I$2:$I$151,$AB654)="MONTHLY",INDEX(Contracts!$M$2:$M$151,$AB654),0))*(1-N(INDEX(Contracts!$O$2:$O$151,$AB654))),IF($Z654="A",INDEX(Fixed_Assets!$H$2:$H$201,$AB654)/INDEX(Fixed_Assets!$J$2:$J$201,$AB654),IF($Z654="F",INDEX(Workforce!$F$2:$F$151,MATCH(INDEX(FTE_Allocation!$A$2:$A$201,$AB654),Workforce!$A$2:$A$151,0))*N(INDEX(FTE_Allocation!$F$2:$H$201,$AB654,$AC654)),"")))</f>
        <v/>
      </c>
    </row>
    <row r="655">
      <c r="A655" s="7">
        <f>IF($Z655="","",$AD655)</f>
        <v/>
      </c>
      <c r="B655" s="7">
        <f>IF($Z655="C",INDEX(Contracts!$D$2:$D$151,$AB655)&amp;"",IF($Z655="A",INDEX(Fixed_Assets!$C$2:$C$201,$AB655)&amp;"",IF($Z655="F",INDEX(Workforce!$B$2:$B$151,MATCH(INDEX(FTE_Allocation!$A$2:$A$201,$AB655),Workforce!$A$2:$A$151,0))&amp;"","")))</f>
        <v/>
      </c>
      <c r="C655" s="7">
        <f>IF($Z655="C",INDEX(Contracts!$E$2:$E$151,$AB655)&amp;"",IF($Z655="A",INDEX(Fixed_Assets!$D$2:$D$201,$AB655)&amp;"",IF($Z655="F",INDEX(FTE_Allocation!$C$2:$C$201,$AB655)&amp;"","")))</f>
        <v/>
      </c>
      <c r="D655" s="7">
        <f>IF($Z655="C",INDEX(Contracts!$B$2:$B$151,$AB655)&amp;"",IF($Z655="A",INDEX(Fixed_Assets!$B$2:$B$201,$AB655)&amp;"",IF($Z655="F",INDEX(FTE_Allocation!$B$2:$B$201,$AB655)&amp;"","")))</f>
        <v/>
      </c>
      <c r="E655" s="7">
        <f>IF($Z655="C",INDEX(Contracts!$P$2:$P$151,$AB655)&amp;"",IF($Z655="A",INDEX(Fixed_Assets!$K$2:$K$201,$AB655)&amp;"",IF($Z655="F",IF(INDEX(FTE_Allocation!$D$2:$D$201,$AB655)="PROJECT",IFERROR(INDEX(Projects!$D:$D,MATCH(INDEX(FTE_Allocation!$E$2:$E$201,$AB655),Projects!$A:$A,0))&amp;"","#PROJECT?"),INDEX(FTE_Allocation!$E$2:$E$201,$AB655)&amp;""),"")))</f>
        <v/>
      </c>
      <c r="F655" s="7">
        <f>IF($Z655="C",INDEX(Contracts!$Q$2:$Q$151,$AB655)&amp;"",IF($Z655="A",INDEX(Fixed_Assets!$L$2:$L$201,$AB655)&amp;"",IF($Z655="F",INDEX(Workforce!$K$2:$K$151,MATCH(INDEX(FTE_Allocation!$A$2:$A$201,$AB655),Workforce!$A$2:$A$151,0))&amp;"","")))</f>
        <v/>
      </c>
      <c r="G655" s="7">
        <f>IF($Z655="C",INDEX(Contracts!$F$2:$F$151,$AB655)&amp;" / "&amp;INDEX(Contracts!$G$2:$G$151,$AB655),IF($Z655="A",INDEX(Fixed_Assets!$E$2:$E$201,$AB655)&amp;"",IF($Z655="F","Personnel "&amp;INDEX(FTE_Allocation!$A$2:$A$201,$AB655)&amp;IF(INDEX(FTE_Allocation!$D$2:$D$201,$AB655)="PROJECT"," ("&amp;INDEX(FTE_Allocation!$E$2:$E$201,$AB655)&amp;")",""),"")))</f>
        <v/>
      </c>
      <c r="H655" s="7">
        <f>IF($Z655="C","CONTRACT",IF($Z655="A","ASSET",IF($Z655="F","WORKFORCE","")))</f>
        <v/>
      </c>
      <c r="I655" s="7">
        <f>IF($Z655="C",INDEX(Contracts!$L$2:$L$151,$AB655)&amp;"",IF($Z655="A",INDEX(Fixed_Assets!$I$2:$I$201,$AB655)&amp;"",IF($Z655="F",INDEX(Workforce!$G$2:$G$151,MATCH(INDEX(FTE_Allocation!$A$2:$A$201,$AB655),Workforce!$A$2:$A$151,0))&amp;"","")))</f>
        <v/>
      </c>
      <c r="J655" s="18">
        <f>IF($Z655="","",IF(AND(DATE($AD655,1,1)&gt;=$AE655,DATE($AD655,1,1)&lt;=$AF655),ROUND($AG655,2),0))</f>
        <v/>
      </c>
      <c r="K655" s="18">
        <f>IF($Z655="","",IF(AND(DATE($AD655,2,1)&gt;=$AE655,DATE($AD655,2,1)&lt;=$AF655),ROUND($AG655,2),0))</f>
        <v/>
      </c>
      <c r="L655" s="18">
        <f>IF($Z655="","",IF(AND(DATE($AD655,3,1)&gt;=$AE655,DATE($AD655,3,1)&lt;=$AF655),ROUND($AG655,2),0))</f>
        <v/>
      </c>
      <c r="M655" s="18">
        <f>IF($Z655="","",IF(AND(DATE($AD655,4,1)&gt;=$AE655,DATE($AD655,4,1)&lt;=$AF655),ROUND($AG655,2),0))</f>
        <v/>
      </c>
      <c r="N655" s="18">
        <f>IF($Z655="","",IF(AND(DATE($AD655,5,1)&gt;=$AE655,DATE($AD655,5,1)&lt;=$AF655),ROUND($AG655,2),0))</f>
        <v/>
      </c>
      <c r="O655" s="18">
        <f>IF($Z655="","",IF(AND(DATE($AD655,6,1)&gt;=$AE655,DATE($AD655,6,1)&lt;=$AF655),ROUND($AG655,2),0))</f>
        <v/>
      </c>
      <c r="P655" s="18">
        <f>IF($Z655="","",IF(AND(DATE($AD655,7,1)&gt;=$AE655,DATE($AD655,7,1)&lt;=$AF655),ROUND($AG655,2),0))</f>
        <v/>
      </c>
      <c r="Q655" s="18">
        <f>IF($Z655="","",IF(AND(DATE($AD655,8,1)&gt;=$AE655,DATE($AD655,8,1)&lt;=$AF655),ROUND($AG655,2),0))</f>
        <v/>
      </c>
      <c r="R655" s="18">
        <f>IF($Z655="","",IF(AND(DATE($AD655,9,1)&gt;=$AE655,DATE($AD655,9,1)&lt;=$AF655),ROUND($AG655,2),0))</f>
        <v/>
      </c>
      <c r="S655" s="18">
        <f>IF($Z655="","",IF(AND(DATE($AD655,10,1)&gt;=$AE655,DATE($AD655,10,1)&lt;=$AF655),ROUND($AG655,2),0))</f>
        <v/>
      </c>
      <c r="T655" s="18">
        <f>IF($Z655="","",IF(AND(DATE($AD655,11,1)&gt;=$AE655,DATE($AD655,11,1)&lt;=$AF655),ROUND($AG655,2),0))</f>
        <v/>
      </c>
      <c r="U655" s="18">
        <f>IF($Z655="","",IF(AND(DATE($AD655,12,1)&gt;=$AE655,DATE($AD655,12,1)&lt;=$AF655),ROUND($AG655,2),0))</f>
        <v/>
      </c>
      <c r="V655" s="7">
        <f>IF($Z655="C","Generated from "&amp;INDEX(Contracts!$A$2:$A$151,$AB655),IF($Z655="A","Generated from "&amp;INDEX(Fixed_Assets!$A$2:$A$201,$AB655),IF($Z655="F","Generated from "&amp;INDEX(FTE_Allocation!$A$2:$A$201,$AB655),"")))</f>
        <v/>
      </c>
      <c r="X655" s="19">
        <f>IF($Z655="","",SUM(J655:U655))</f>
        <v/>
      </c>
      <c r="Y655" s="20">
        <f>ROW()-1</f>
        <v/>
      </c>
      <c r="Z655" s="20">
        <f>IF($Y655&lt;=Settings!$B$4*3,"C",IF($Y655&lt;=(Settings!$B$4+Settings!$B$5)*3,"A",IF($Y655&lt;=(Settings!$B$4+Settings!$B$5+Settings!$B$6)*3,"F","")))</f>
        <v/>
      </c>
      <c r="AA655" s="20">
        <f>IF($Z655="C",$Y655,IF($Z655="A",$Y655-Settings!$B$4*3,IF($Z655="F",$Y655-(Settings!$B$4+Settings!$B$5)*3,"")))</f>
        <v/>
      </c>
      <c r="AB655" s="20">
        <f>IF($Z655="","",INT(($AA655-1)/3)+1)</f>
        <v/>
      </c>
      <c r="AC655" s="20">
        <f>IF($Z655="","",MOD($AA655-1,3)+1)</f>
        <v/>
      </c>
      <c r="AD655" s="20">
        <f>IF($Z655="","",Settings!$B$2+$AC655-1)</f>
        <v/>
      </c>
      <c r="AE655" s="21">
        <f>IF($Z655="C",DATE(YEAR(INDEX(Contracts!$J$2:$J$151,$AB655)),MONTH(INDEX(Contracts!$J$2:$J$151,$AB655)),1),IF($Z655="A",DATE(YEAR(INDEX(Fixed_Assets!$G$2:$G$201,$AB655)),MONTH(INDEX(Fixed_Assets!$G$2:$G$201,$AB655)),1),IF($Z655="F",DATE(YEAR(MAX(N(INDEX(Workforce!$I$2:$I$151,MATCH(INDEX(FTE_Allocation!$A$2:$A$201,$AB655),Workforce!$A$2:$A$151,0))),N(INDEX(FTE_Allocation!$I$2:$I$201,$AB655)))),MONTH(MAX(N(INDEX(Workforce!$I$2:$I$151,MATCH(INDEX(FTE_Allocation!$A$2:$A$201,$AB655),Workforce!$A$2:$A$151,0))),N(INDEX(FTE_Allocation!$I$2:$I$201,$AB655)))),1),"")))</f>
        <v/>
      </c>
      <c r="AF655" s="21">
        <f>IF($Z655="C",IF(INDEX(Contracts!$I$2:$I$151,$AB655)="PREPAID",EDATE(DATE(YEAR(INDEX(Contracts!$J$2:$J$151,$AB655)),MONTH(INDEX(Contracts!$J$2:$J$151,$AB655)),1),IF(INDEX(Contracts!$N$2:$N$151,$AB655)="",12,INDEX(Contracts!$N$2:$N$151,$AB655))-1),IF(INDEX(Contracts!$I$2:$I$151,$AB655)="MONTHLY",IF(INDEX(Contracts!$K$2:$K$151,$AB655)="",2958101,INDEX(Contracts!$K$2:$K$151,$AB655)),0)),IF($Z655="A",EDATE(DATE(YEAR(INDEX(Fixed_Assets!$G$2:$G$201,$AB655)),MONTH(INDEX(Fixed_Assets!$G$2:$G$201,$AB655)),1),INDEX(Fixed_Assets!$J$2:$J$201,$AB655)-1),IF($Z655="F",MIN(IF(INDEX(Workforce!$J$2:$J$151,MATCH(INDEX(FTE_Allocation!$A$2:$A$201,$AB655),Workforce!$A$2:$A$151,0))="",2958101,INDEX(Workforce!$J$2:$J$151,MATCH(INDEX(FTE_Allocation!$A$2:$A$201,$AB655),Workforce!$A$2:$A$151,0))),IF(INDEX(FTE_Allocation!$J$2:$J$201,$AB655)="",2958101,INDEX(FTE_Allocation!$J$2:$J$201,$AB655))),"")))</f>
        <v/>
      </c>
      <c r="AG655" s="19">
        <f>IF($Z655="C",IF(INDEX(Contracts!$I$2:$I$151,$AB655)="PREPAID",INDEX(Contracts!$M$2:$M$151,$AB655)/IF(INDEX(Contracts!$N$2:$N$151,$AB655)="",12,INDEX(Contracts!$N$2:$N$151,$AB655)),IF(INDEX(Contracts!$I$2:$I$151,$AB655)="MONTHLY",INDEX(Contracts!$M$2:$M$151,$AB655),0))*(1-N(INDEX(Contracts!$O$2:$O$151,$AB655))),IF($Z655="A",INDEX(Fixed_Assets!$H$2:$H$201,$AB655)/INDEX(Fixed_Assets!$J$2:$J$201,$AB655),IF($Z655="F",INDEX(Workforce!$F$2:$F$151,MATCH(INDEX(FTE_Allocation!$A$2:$A$201,$AB655),Workforce!$A$2:$A$151,0))*N(INDEX(FTE_Allocation!$F$2:$H$201,$AB655,$AC655)),"")))</f>
        <v/>
      </c>
    </row>
    <row r="656">
      <c r="A656" s="7">
        <f>IF($Z656="","",$AD656)</f>
        <v/>
      </c>
      <c r="B656" s="7">
        <f>IF($Z656="C",INDEX(Contracts!$D$2:$D$151,$AB656)&amp;"",IF($Z656="A",INDEX(Fixed_Assets!$C$2:$C$201,$AB656)&amp;"",IF($Z656="F",INDEX(Workforce!$B$2:$B$151,MATCH(INDEX(FTE_Allocation!$A$2:$A$201,$AB656),Workforce!$A$2:$A$151,0))&amp;"","")))</f>
        <v/>
      </c>
      <c r="C656" s="7">
        <f>IF($Z656="C",INDEX(Contracts!$E$2:$E$151,$AB656)&amp;"",IF($Z656="A",INDEX(Fixed_Assets!$D$2:$D$201,$AB656)&amp;"",IF($Z656="F",INDEX(FTE_Allocation!$C$2:$C$201,$AB656)&amp;"","")))</f>
        <v/>
      </c>
      <c r="D656" s="7">
        <f>IF($Z656="C",INDEX(Contracts!$B$2:$B$151,$AB656)&amp;"",IF($Z656="A",INDEX(Fixed_Assets!$B$2:$B$201,$AB656)&amp;"",IF($Z656="F",INDEX(FTE_Allocation!$B$2:$B$201,$AB656)&amp;"","")))</f>
        <v/>
      </c>
      <c r="E656" s="7">
        <f>IF($Z656="C",INDEX(Contracts!$P$2:$P$151,$AB656)&amp;"",IF($Z656="A",INDEX(Fixed_Assets!$K$2:$K$201,$AB656)&amp;"",IF($Z656="F",IF(INDEX(FTE_Allocation!$D$2:$D$201,$AB656)="PROJECT",IFERROR(INDEX(Projects!$D:$D,MATCH(INDEX(FTE_Allocation!$E$2:$E$201,$AB656),Projects!$A:$A,0))&amp;"","#PROJECT?"),INDEX(FTE_Allocation!$E$2:$E$201,$AB656)&amp;""),"")))</f>
        <v/>
      </c>
      <c r="F656" s="7">
        <f>IF($Z656="C",INDEX(Contracts!$Q$2:$Q$151,$AB656)&amp;"",IF($Z656="A",INDEX(Fixed_Assets!$L$2:$L$201,$AB656)&amp;"",IF($Z656="F",INDEX(Workforce!$K$2:$K$151,MATCH(INDEX(FTE_Allocation!$A$2:$A$201,$AB656),Workforce!$A$2:$A$151,0))&amp;"","")))</f>
        <v/>
      </c>
      <c r="G656" s="7">
        <f>IF($Z656="C",INDEX(Contracts!$F$2:$F$151,$AB656)&amp;" / "&amp;INDEX(Contracts!$G$2:$G$151,$AB656),IF($Z656="A",INDEX(Fixed_Assets!$E$2:$E$201,$AB656)&amp;"",IF($Z656="F","Personnel "&amp;INDEX(FTE_Allocation!$A$2:$A$201,$AB656)&amp;IF(INDEX(FTE_Allocation!$D$2:$D$201,$AB656)="PROJECT"," ("&amp;INDEX(FTE_Allocation!$E$2:$E$201,$AB656)&amp;")",""),"")))</f>
        <v/>
      </c>
      <c r="H656" s="7">
        <f>IF($Z656="C","CONTRACT",IF($Z656="A","ASSET",IF($Z656="F","WORKFORCE","")))</f>
        <v/>
      </c>
      <c r="I656" s="7">
        <f>IF($Z656="C",INDEX(Contracts!$L$2:$L$151,$AB656)&amp;"",IF($Z656="A",INDEX(Fixed_Assets!$I$2:$I$201,$AB656)&amp;"",IF($Z656="F",INDEX(Workforce!$G$2:$G$151,MATCH(INDEX(FTE_Allocation!$A$2:$A$201,$AB656),Workforce!$A$2:$A$151,0))&amp;"","")))</f>
        <v/>
      </c>
      <c r="J656" s="18">
        <f>IF($Z656="","",IF(AND(DATE($AD656,1,1)&gt;=$AE656,DATE($AD656,1,1)&lt;=$AF656),ROUND($AG656,2),0))</f>
        <v/>
      </c>
      <c r="K656" s="18">
        <f>IF($Z656="","",IF(AND(DATE($AD656,2,1)&gt;=$AE656,DATE($AD656,2,1)&lt;=$AF656),ROUND($AG656,2),0))</f>
        <v/>
      </c>
      <c r="L656" s="18">
        <f>IF($Z656="","",IF(AND(DATE($AD656,3,1)&gt;=$AE656,DATE($AD656,3,1)&lt;=$AF656),ROUND($AG656,2),0))</f>
        <v/>
      </c>
      <c r="M656" s="18">
        <f>IF($Z656="","",IF(AND(DATE($AD656,4,1)&gt;=$AE656,DATE($AD656,4,1)&lt;=$AF656),ROUND($AG656,2),0))</f>
        <v/>
      </c>
      <c r="N656" s="18">
        <f>IF($Z656="","",IF(AND(DATE($AD656,5,1)&gt;=$AE656,DATE($AD656,5,1)&lt;=$AF656),ROUND($AG656,2),0))</f>
        <v/>
      </c>
      <c r="O656" s="18">
        <f>IF($Z656="","",IF(AND(DATE($AD656,6,1)&gt;=$AE656,DATE($AD656,6,1)&lt;=$AF656),ROUND($AG656,2),0))</f>
        <v/>
      </c>
      <c r="P656" s="18">
        <f>IF($Z656="","",IF(AND(DATE($AD656,7,1)&gt;=$AE656,DATE($AD656,7,1)&lt;=$AF656),ROUND($AG656,2),0))</f>
        <v/>
      </c>
      <c r="Q656" s="18">
        <f>IF($Z656="","",IF(AND(DATE($AD656,8,1)&gt;=$AE656,DATE($AD656,8,1)&lt;=$AF656),ROUND($AG656,2),0))</f>
        <v/>
      </c>
      <c r="R656" s="18">
        <f>IF($Z656="","",IF(AND(DATE($AD656,9,1)&gt;=$AE656,DATE($AD656,9,1)&lt;=$AF656),ROUND($AG656,2),0))</f>
        <v/>
      </c>
      <c r="S656" s="18">
        <f>IF($Z656="","",IF(AND(DATE($AD656,10,1)&gt;=$AE656,DATE($AD656,10,1)&lt;=$AF656),ROUND($AG656,2),0))</f>
        <v/>
      </c>
      <c r="T656" s="18">
        <f>IF($Z656="","",IF(AND(DATE($AD656,11,1)&gt;=$AE656,DATE($AD656,11,1)&lt;=$AF656),ROUND($AG656,2),0))</f>
        <v/>
      </c>
      <c r="U656" s="18">
        <f>IF($Z656="","",IF(AND(DATE($AD656,12,1)&gt;=$AE656,DATE($AD656,12,1)&lt;=$AF656),ROUND($AG656,2),0))</f>
        <v/>
      </c>
      <c r="V656" s="7">
        <f>IF($Z656="C","Generated from "&amp;INDEX(Contracts!$A$2:$A$151,$AB656),IF($Z656="A","Generated from "&amp;INDEX(Fixed_Assets!$A$2:$A$201,$AB656),IF($Z656="F","Generated from "&amp;INDEX(FTE_Allocation!$A$2:$A$201,$AB656),"")))</f>
        <v/>
      </c>
      <c r="X656" s="19">
        <f>IF($Z656="","",SUM(J656:U656))</f>
        <v/>
      </c>
      <c r="Y656" s="20">
        <f>ROW()-1</f>
        <v/>
      </c>
      <c r="Z656" s="20">
        <f>IF($Y656&lt;=Settings!$B$4*3,"C",IF($Y656&lt;=(Settings!$B$4+Settings!$B$5)*3,"A",IF($Y656&lt;=(Settings!$B$4+Settings!$B$5+Settings!$B$6)*3,"F","")))</f>
        <v/>
      </c>
      <c r="AA656" s="20">
        <f>IF($Z656="C",$Y656,IF($Z656="A",$Y656-Settings!$B$4*3,IF($Z656="F",$Y656-(Settings!$B$4+Settings!$B$5)*3,"")))</f>
        <v/>
      </c>
      <c r="AB656" s="20">
        <f>IF($Z656="","",INT(($AA656-1)/3)+1)</f>
        <v/>
      </c>
      <c r="AC656" s="20">
        <f>IF($Z656="","",MOD($AA656-1,3)+1)</f>
        <v/>
      </c>
      <c r="AD656" s="20">
        <f>IF($Z656="","",Settings!$B$2+$AC656-1)</f>
        <v/>
      </c>
      <c r="AE656" s="21">
        <f>IF($Z656="C",DATE(YEAR(INDEX(Contracts!$J$2:$J$151,$AB656)),MONTH(INDEX(Contracts!$J$2:$J$151,$AB656)),1),IF($Z656="A",DATE(YEAR(INDEX(Fixed_Assets!$G$2:$G$201,$AB656)),MONTH(INDEX(Fixed_Assets!$G$2:$G$201,$AB656)),1),IF($Z656="F",DATE(YEAR(MAX(N(INDEX(Workforce!$I$2:$I$151,MATCH(INDEX(FTE_Allocation!$A$2:$A$201,$AB656),Workforce!$A$2:$A$151,0))),N(INDEX(FTE_Allocation!$I$2:$I$201,$AB656)))),MONTH(MAX(N(INDEX(Workforce!$I$2:$I$151,MATCH(INDEX(FTE_Allocation!$A$2:$A$201,$AB656),Workforce!$A$2:$A$151,0))),N(INDEX(FTE_Allocation!$I$2:$I$201,$AB656)))),1),"")))</f>
        <v/>
      </c>
      <c r="AF656" s="21">
        <f>IF($Z656="C",IF(INDEX(Contracts!$I$2:$I$151,$AB656)="PREPAID",EDATE(DATE(YEAR(INDEX(Contracts!$J$2:$J$151,$AB656)),MONTH(INDEX(Contracts!$J$2:$J$151,$AB656)),1),IF(INDEX(Contracts!$N$2:$N$151,$AB656)="",12,INDEX(Contracts!$N$2:$N$151,$AB656))-1),IF(INDEX(Contracts!$I$2:$I$151,$AB656)="MONTHLY",IF(INDEX(Contracts!$K$2:$K$151,$AB656)="",2958101,INDEX(Contracts!$K$2:$K$151,$AB656)),0)),IF($Z656="A",EDATE(DATE(YEAR(INDEX(Fixed_Assets!$G$2:$G$201,$AB656)),MONTH(INDEX(Fixed_Assets!$G$2:$G$201,$AB656)),1),INDEX(Fixed_Assets!$J$2:$J$201,$AB656)-1),IF($Z656="F",MIN(IF(INDEX(Workforce!$J$2:$J$151,MATCH(INDEX(FTE_Allocation!$A$2:$A$201,$AB656),Workforce!$A$2:$A$151,0))="",2958101,INDEX(Workforce!$J$2:$J$151,MATCH(INDEX(FTE_Allocation!$A$2:$A$201,$AB656),Workforce!$A$2:$A$151,0))),IF(INDEX(FTE_Allocation!$J$2:$J$201,$AB656)="",2958101,INDEX(FTE_Allocation!$J$2:$J$201,$AB656))),"")))</f>
        <v/>
      </c>
      <c r="AG656" s="19">
        <f>IF($Z656="C",IF(INDEX(Contracts!$I$2:$I$151,$AB656)="PREPAID",INDEX(Contracts!$M$2:$M$151,$AB656)/IF(INDEX(Contracts!$N$2:$N$151,$AB656)="",12,INDEX(Contracts!$N$2:$N$151,$AB656)),IF(INDEX(Contracts!$I$2:$I$151,$AB656)="MONTHLY",INDEX(Contracts!$M$2:$M$151,$AB656),0))*(1-N(INDEX(Contracts!$O$2:$O$151,$AB656))),IF($Z656="A",INDEX(Fixed_Assets!$H$2:$H$201,$AB656)/INDEX(Fixed_Assets!$J$2:$J$201,$AB656),IF($Z656="F",INDEX(Workforce!$F$2:$F$151,MATCH(INDEX(FTE_Allocation!$A$2:$A$201,$AB656),Workforce!$A$2:$A$151,0))*N(INDEX(FTE_Allocation!$F$2:$H$201,$AB656,$AC656)),"")))</f>
        <v/>
      </c>
    </row>
    <row r="657">
      <c r="A657" s="7">
        <f>IF($Z657="","",$AD657)</f>
        <v/>
      </c>
      <c r="B657" s="7">
        <f>IF($Z657="C",INDEX(Contracts!$D$2:$D$151,$AB657)&amp;"",IF($Z657="A",INDEX(Fixed_Assets!$C$2:$C$201,$AB657)&amp;"",IF($Z657="F",INDEX(Workforce!$B$2:$B$151,MATCH(INDEX(FTE_Allocation!$A$2:$A$201,$AB657),Workforce!$A$2:$A$151,0))&amp;"","")))</f>
        <v/>
      </c>
      <c r="C657" s="7">
        <f>IF($Z657="C",INDEX(Contracts!$E$2:$E$151,$AB657)&amp;"",IF($Z657="A",INDEX(Fixed_Assets!$D$2:$D$201,$AB657)&amp;"",IF($Z657="F",INDEX(FTE_Allocation!$C$2:$C$201,$AB657)&amp;"","")))</f>
        <v/>
      </c>
      <c r="D657" s="7">
        <f>IF($Z657="C",INDEX(Contracts!$B$2:$B$151,$AB657)&amp;"",IF($Z657="A",INDEX(Fixed_Assets!$B$2:$B$201,$AB657)&amp;"",IF($Z657="F",INDEX(FTE_Allocation!$B$2:$B$201,$AB657)&amp;"","")))</f>
        <v/>
      </c>
      <c r="E657" s="7">
        <f>IF($Z657="C",INDEX(Contracts!$P$2:$P$151,$AB657)&amp;"",IF($Z657="A",INDEX(Fixed_Assets!$K$2:$K$201,$AB657)&amp;"",IF($Z657="F",IF(INDEX(FTE_Allocation!$D$2:$D$201,$AB657)="PROJECT",IFERROR(INDEX(Projects!$D:$D,MATCH(INDEX(FTE_Allocation!$E$2:$E$201,$AB657),Projects!$A:$A,0))&amp;"","#PROJECT?"),INDEX(FTE_Allocation!$E$2:$E$201,$AB657)&amp;""),"")))</f>
        <v/>
      </c>
      <c r="F657" s="7">
        <f>IF($Z657="C",INDEX(Contracts!$Q$2:$Q$151,$AB657)&amp;"",IF($Z657="A",INDEX(Fixed_Assets!$L$2:$L$201,$AB657)&amp;"",IF($Z657="F",INDEX(Workforce!$K$2:$K$151,MATCH(INDEX(FTE_Allocation!$A$2:$A$201,$AB657),Workforce!$A$2:$A$151,0))&amp;"","")))</f>
        <v/>
      </c>
      <c r="G657" s="7">
        <f>IF($Z657="C",INDEX(Contracts!$F$2:$F$151,$AB657)&amp;" / "&amp;INDEX(Contracts!$G$2:$G$151,$AB657),IF($Z657="A",INDEX(Fixed_Assets!$E$2:$E$201,$AB657)&amp;"",IF($Z657="F","Personnel "&amp;INDEX(FTE_Allocation!$A$2:$A$201,$AB657)&amp;IF(INDEX(FTE_Allocation!$D$2:$D$201,$AB657)="PROJECT"," ("&amp;INDEX(FTE_Allocation!$E$2:$E$201,$AB657)&amp;")",""),"")))</f>
        <v/>
      </c>
      <c r="H657" s="7">
        <f>IF($Z657="C","CONTRACT",IF($Z657="A","ASSET",IF($Z657="F","WORKFORCE","")))</f>
        <v/>
      </c>
      <c r="I657" s="7">
        <f>IF($Z657="C",INDEX(Contracts!$L$2:$L$151,$AB657)&amp;"",IF($Z657="A",INDEX(Fixed_Assets!$I$2:$I$201,$AB657)&amp;"",IF($Z657="F",INDEX(Workforce!$G$2:$G$151,MATCH(INDEX(FTE_Allocation!$A$2:$A$201,$AB657),Workforce!$A$2:$A$151,0))&amp;"","")))</f>
        <v/>
      </c>
      <c r="J657" s="18">
        <f>IF($Z657="","",IF(AND(DATE($AD657,1,1)&gt;=$AE657,DATE($AD657,1,1)&lt;=$AF657),ROUND($AG657,2),0))</f>
        <v/>
      </c>
      <c r="K657" s="18">
        <f>IF($Z657="","",IF(AND(DATE($AD657,2,1)&gt;=$AE657,DATE($AD657,2,1)&lt;=$AF657),ROUND($AG657,2),0))</f>
        <v/>
      </c>
      <c r="L657" s="18">
        <f>IF($Z657="","",IF(AND(DATE($AD657,3,1)&gt;=$AE657,DATE($AD657,3,1)&lt;=$AF657),ROUND($AG657,2),0))</f>
        <v/>
      </c>
      <c r="M657" s="18">
        <f>IF($Z657="","",IF(AND(DATE($AD657,4,1)&gt;=$AE657,DATE($AD657,4,1)&lt;=$AF657),ROUND($AG657,2),0))</f>
        <v/>
      </c>
      <c r="N657" s="18">
        <f>IF($Z657="","",IF(AND(DATE($AD657,5,1)&gt;=$AE657,DATE($AD657,5,1)&lt;=$AF657),ROUND($AG657,2),0))</f>
        <v/>
      </c>
      <c r="O657" s="18">
        <f>IF($Z657="","",IF(AND(DATE($AD657,6,1)&gt;=$AE657,DATE($AD657,6,1)&lt;=$AF657),ROUND($AG657,2),0))</f>
        <v/>
      </c>
      <c r="P657" s="18">
        <f>IF($Z657="","",IF(AND(DATE($AD657,7,1)&gt;=$AE657,DATE($AD657,7,1)&lt;=$AF657),ROUND($AG657,2),0))</f>
        <v/>
      </c>
      <c r="Q657" s="18">
        <f>IF($Z657="","",IF(AND(DATE($AD657,8,1)&gt;=$AE657,DATE($AD657,8,1)&lt;=$AF657),ROUND($AG657,2),0))</f>
        <v/>
      </c>
      <c r="R657" s="18">
        <f>IF($Z657="","",IF(AND(DATE($AD657,9,1)&gt;=$AE657,DATE($AD657,9,1)&lt;=$AF657),ROUND($AG657,2),0))</f>
        <v/>
      </c>
      <c r="S657" s="18">
        <f>IF($Z657="","",IF(AND(DATE($AD657,10,1)&gt;=$AE657,DATE($AD657,10,1)&lt;=$AF657),ROUND($AG657,2),0))</f>
        <v/>
      </c>
      <c r="T657" s="18">
        <f>IF($Z657="","",IF(AND(DATE($AD657,11,1)&gt;=$AE657,DATE($AD657,11,1)&lt;=$AF657),ROUND($AG657,2),0))</f>
        <v/>
      </c>
      <c r="U657" s="18">
        <f>IF($Z657="","",IF(AND(DATE($AD657,12,1)&gt;=$AE657,DATE($AD657,12,1)&lt;=$AF657),ROUND($AG657,2),0))</f>
        <v/>
      </c>
      <c r="V657" s="7">
        <f>IF($Z657="C","Generated from "&amp;INDEX(Contracts!$A$2:$A$151,$AB657),IF($Z657="A","Generated from "&amp;INDEX(Fixed_Assets!$A$2:$A$201,$AB657),IF($Z657="F","Generated from "&amp;INDEX(FTE_Allocation!$A$2:$A$201,$AB657),"")))</f>
        <v/>
      </c>
      <c r="X657" s="19">
        <f>IF($Z657="","",SUM(J657:U657))</f>
        <v/>
      </c>
      <c r="Y657" s="20">
        <f>ROW()-1</f>
        <v/>
      </c>
      <c r="Z657" s="20">
        <f>IF($Y657&lt;=Settings!$B$4*3,"C",IF($Y657&lt;=(Settings!$B$4+Settings!$B$5)*3,"A",IF($Y657&lt;=(Settings!$B$4+Settings!$B$5+Settings!$B$6)*3,"F","")))</f>
        <v/>
      </c>
      <c r="AA657" s="20">
        <f>IF($Z657="C",$Y657,IF($Z657="A",$Y657-Settings!$B$4*3,IF($Z657="F",$Y657-(Settings!$B$4+Settings!$B$5)*3,"")))</f>
        <v/>
      </c>
      <c r="AB657" s="20">
        <f>IF($Z657="","",INT(($AA657-1)/3)+1)</f>
        <v/>
      </c>
      <c r="AC657" s="20">
        <f>IF($Z657="","",MOD($AA657-1,3)+1)</f>
        <v/>
      </c>
      <c r="AD657" s="20">
        <f>IF($Z657="","",Settings!$B$2+$AC657-1)</f>
        <v/>
      </c>
      <c r="AE657" s="21">
        <f>IF($Z657="C",DATE(YEAR(INDEX(Contracts!$J$2:$J$151,$AB657)),MONTH(INDEX(Contracts!$J$2:$J$151,$AB657)),1),IF($Z657="A",DATE(YEAR(INDEX(Fixed_Assets!$G$2:$G$201,$AB657)),MONTH(INDEX(Fixed_Assets!$G$2:$G$201,$AB657)),1),IF($Z657="F",DATE(YEAR(MAX(N(INDEX(Workforce!$I$2:$I$151,MATCH(INDEX(FTE_Allocation!$A$2:$A$201,$AB657),Workforce!$A$2:$A$151,0))),N(INDEX(FTE_Allocation!$I$2:$I$201,$AB657)))),MONTH(MAX(N(INDEX(Workforce!$I$2:$I$151,MATCH(INDEX(FTE_Allocation!$A$2:$A$201,$AB657),Workforce!$A$2:$A$151,0))),N(INDEX(FTE_Allocation!$I$2:$I$201,$AB657)))),1),"")))</f>
        <v/>
      </c>
      <c r="AF657" s="21">
        <f>IF($Z657="C",IF(INDEX(Contracts!$I$2:$I$151,$AB657)="PREPAID",EDATE(DATE(YEAR(INDEX(Contracts!$J$2:$J$151,$AB657)),MONTH(INDEX(Contracts!$J$2:$J$151,$AB657)),1),IF(INDEX(Contracts!$N$2:$N$151,$AB657)="",12,INDEX(Contracts!$N$2:$N$151,$AB657))-1),IF(INDEX(Contracts!$I$2:$I$151,$AB657)="MONTHLY",IF(INDEX(Contracts!$K$2:$K$151,$AB657)="",2958101,INDEX(Contracts!$K$2:$K$151,$AB657)),0)),IF($Z657="A",EDATE(DATE(YEAR(INDEX(Fixed_Assets!$G$2:$G$201,$AB657)),MONTH(INDEX(Fixed_Assets!$G$2:$G$201,$AB657)),1),INDEX(Fixed_Assets!$J$2:$J$201,$AB657)-1),IF($Z657="F",MIN(IF(INDEX(Workforce!$J$2:$J$151,MATCH(INDEX(FTE_Allocation!$A$2:$A$201,$AB657),Workforce!$A$2:$A$151,0))="",2958101,INDEX(Workforce!$J$2:$J$151,MATCH(INDEX(FTE_Allocation!$A$2:$A$201,$AB657),Workforce!$A$2:$A$151,0))),IF(INDEX(FTE_Allocation!$J$2:$J$201,$AB657)="",2958101,INDEX(FTE_Allocation!$J$2:$J$201,$AB657))),"")))</f>
        <v/>
      </c>
      <c r="AG657" s="19">
        <f>IF($Z657="C",IF(INDEX(Contracts!$I$2:$I$151,$AB657)="PREPAID",INDEX(Contracts!$M$2:$M$151,$AB657)/IF(INDEX(Contracts!$N$2:$N$151,$AB657)="",12,INDEX(Contracts!$N$2:$N$151,$AB657)),IF(INDEX(Contracts!$I$2:$I$151,$AB657)="MONTHLY",INDEX(Contracts!$M$2:$M$151,$AB657),0))*(1-N(INDEX(Contracts!$O$2:$O$151,$AB657))),IF($Z657="A",INDEX(Fixed_Assets!$H$2:$H$201,$AB657)/INDEX(Fixed_Assets!$J$2:$J$201,$AB657),IF($Z657="F",INDEX(Workforce!$F$2:$F$151,MATCH(INDEX(FTE_Allocation!$A$2:$A$201,$AB657),Workforce!$A$2:$A$151,0))*N(INDEX(FTE_Allocation!$F$2:$H$201,$AB657,$AC657)),"")))</f>
        <v/>
      </c>
    </row>
    <row r="658">
      <c r="A658" s="7">
        <f>IF($Z658="","",$AD658)</f>
        <v/>
      </c>
      <c r="B658" s="7">
        <f>IF($Z658="C",INDEX(Contracts!$D$2:$D$151,$AB658)&amp;"",IF($Z658="A",INDEX(Fixed_Assets!$C$2:$C$201,$AB658)&amp;"",IF($Z658="F",INDEX(Workforce!$B$2:$B$151,MATCH(INDEX(FTE_Allocation!$A$2:$A$201,$AB658),Workforce!$A$2:$A$151,0))&amp;"","")))</f>
        <v/>
      </c>
      <c r="C658" s="7">
        <f>IF($Z658="C",INDEX(Contracts!$E$2:$E$151,$AB658)&amp;"",IF($Z658="A",INDEX(Fixed_Assets!$D$2:$D$201,$AB658)&amp;"",IF($Z658="F",INDEX(FTE_Allocation!$C$2:$C$201,$AB658)&amp;"","")))</f>
        <v/>
      </c>
      <c r="D658" s="7">
        <f>IF($Z658="C",INDEX(Contracts!$B$2:$B$151,$AB658)&amp;"",IF($Z658="A",INDEX(Fixed_Assets!$B$2:$B$201,$AB658)&amp;"",IF($Z658="F",INDEX(FTE_Allocation!$B$2:$B$201,$AB658)&amp;"","")))</f>
        <v/>
      </c>
      <c r="E658" s="7">
        <f>IF($Z658="C",INDEX(Contracts!$P$2:$P$151,$AB658)&amp;"",IF($Z658="A",INDEX(Fixed_Assets!$K$2:$K$201,$AB658)&amp;"",IF($Z658="F",IF(INDEX(FTE_Allocation!$D$2:$D$201,$AB658)="PROJECT",IFERROR(INDEX(Projects!$D:$D,MATCH(INDEX(FTE_Allocation!$E$2:$E$201,$AB658),Projects!$A:$A,0))&amp;"","#PROJECT?"),INDEX(FTE_Allocation!$E$2:$E$201,$AB658)&amp;""),"")))</f>
        <v/>
      </c>
      <c r="F658" s="7">
        <f>IF($Z658="C",INDEX(Contracts!$Q$2:$Q$151,$AB658)&amp;"",IF($Z658="A",INDEX(Fixed_Assets!$L$2:$L$201,$AB658)&amp;"",IF($Z658="F",INDEX(Workforce!$K$2:$K$151,MATCH(INDEX(FTE_Allocation!$A$2:$A$201,$AB658),Workforce!$A$2:$A$151,0))&amp;"","")))</f>
        <v/>
      </c>
      <c r="G658" s="7">
        <f>IF($Z658="C",INDEX(Contracts!$F$2:$F$151,$AB658)&amp;" / "&amp;INDEX(Contracts!$G$2:$G$151,$AB658),IF($Z658="A",INDEX(Fixed_Assets!$E$2:$E$201,$AB658)&amp;"",IF($Z658="F","Personnel "&amp;INDEX(FTE_Allocation!$A$2:$A$201,$AB658)&amp;IF(INDEX(FTE_Allocation!$D$2:$D$201,$AB658)="PROJECT"," ("&amp;INDEX(FTE_Allocation!$E$2:$E$201,$AB658)&amp;")",""),"")))</f>
        <v/>
      </c>
      <c r="H658" s="7">
        <f>IF($Z658="C","CONTRACT",IF($Z658="A","ASSET",IF($Z658="F","WORKFORCE","")))</f>
        <v/>
      </c>
      <c r="I658" s="7">
        <f>IF($Z658="C",INDEX(Contracts!$L$2:$L$151,$AB658)&amp;"",IF($Z658="A",INDEX(Fixed_Assets!$I$2:$I$201,$AB658)&amp;"",IF($Z658="F",INDEX(Workforce!$G$2:$G$151,MATCH(INDEX(FTE_Allocation!$A$2:$A$201,$AB658),Workforce!$A$2:$A$151,0))&amp;"","")))</f>
        <v/>
      </c>
      <c r="J658" s="18">
        <f>IF($Z658="","",IF(AND(DATE($AD658,1,1)&gt;=$AE658,DATE($AD658,1,1)&lt;=$AF658),ROUND($AG658,2),0))</f>
        <v/>
      </c>
      <c r="K658" s="18">
        <f>IF($Z658="","",IF(AND(DATE($AD658,2,1)&gt;=$AE658,DATE($AD658,2,1)&lt;=$AF658),ROUND($AG658,2),0))</f>
        <v/>
      </c>
      <c r="L658" s="18">
        <f>IF($Z658="","",IF(AND(DATE($AD658,3,1)&gt;=$AE658,DATE($AD658,3,1)&lt;=$AF658),ROUND($AG658,2),0))</f>
        <v/>
      </c>
      <c r="M658" s="18">
        <f>IF($Z658="","",IF(AND(DATE($AD658,4,1)&gt;=$AE658,DATE($AD658,4,1)&lt;=$AF658),ROUND($AG658,2),0))</f>
        <v/>
      </c>
      <c r="N658" s="18">
        <f>IF($Z658="","",IF(AND(DATE($AD658,5,1)&gt;=$AE658,DATE($AD658,5,1)&lt;=$AF658),ROUND($AG658,2),0))</f>
        <v/>
      </c>
      <c r="O658" s="18">
        <f>IF($Z658="","",IF(AND(DATE($AD658,6,1)&gt;=$AE658,DATE($AD658,6,1)&lt;=$AF658),ROUND($AG658,2),0))</f>
        <v/>
      </c>
      <c r="P658" s="18">
        <f>IF($Z658="","",IF(AND(DATE($AD658,7,1)&gt;=$AE658,DATE($AD658,7,1)&lt;=$AF658),ROUND($AG658,2),0))</f>
        <v/>
      </c>
      <c r="Q658" s="18">
        <f>IF($Z658="","",IF(AND(DATE($AD658,8,1)&gt;=$AE658,DATE($AD658,8,1)&lt;=$AF658),ROUND($AG658,2),0))</f>
        <v/>
      </c>
      <c r="R658" s="18">
        <f>IF($Z658="","",IF(AND(DATE($AD658,9,1)&gt;=$AE658,DATE($AD658,9,1)&lt;=$AF658),ROUND($AG658,2),0))</f>
        <v/>
      </c>
      <c r="S658" s="18">
        <f>IF($Z658="","",IF(AND(DATE($AD658,10,1)&gt;=$AE658,DATE($AD658,10,1)&lt;=$AF658),ROUND($AG658,2),0))</f>
        <v/>
      </c>
      <c r="T658" s="18">
        <f>IF($Z658="","",IF(AND(DATE($AD658,11,1)&gt;=$AE658,DATE($AD658,11,1)&lt;=$AF658),ROUND($AG658,2),0))</f>
        <v/>
      </c>
      <c r="U658" s="18">
        <f>IF($Z658="","",IF(AND(DATE($AD658,12,1)&gt;=$AE658,DATE($AD658,12,1)&lt;=$AF658),ROUND($AG658,2),0))</f>
        <v/>
      </c>
      <c r="V658" s="7">
        <f>IF($Z658="C","Generated from "&amp;INDEX(Contracts!$A$2:$A$151,$AB658),IF($Z658="A","Generated from "&amp;INDEX(Fixed_Assets!$A$2:$A$201,$AB658),IF($Z658="F","Generated from "&amp;INDEX(FTE_Allocation!$A$2:$A$201,$AB658),"")))</f>
        <v/>
      </c>
      <c r="X658" s="19">
        <f>IF($Z658="","",SUM(J658:U658))</f>
        <v/>
      </c>
      <c r="Y658" s="20">
        <f>ROW()-1</f>
        <v/>
      </c>
      <c r="Z658" s="20">
        <f>IF($Y658&lt;=Settings!$B$4*3,"C",IF($Y658&lt;=(Settings!$B$4+Settings!$B$5)*3,"A",IF($Y658&lt;=(Settings!$B$4+Settings!$B$5+Settings!$B$6)*3,"F","")))</f>
        <v/>
      </c>
      <c r="AA658" s="20">
        <f>IF($Z658="C",$Y658,IF($Z658="A",$Y658-Settings!$B$4*3,IF($Z658="F",$Y658-(Settings!$B$4+Settings!$B$5)*3,"")))</f>
        <v/>
      </c>
      <c r="AB658" s="20">
        <f>IF($Z658="","",INT(($AA658-1)/3)+1)</f>
        <v/>
      </c>
      <c r="AC658" s="20">
        <f>IF($Z658="","",MOD($AA658-1,3)+1)</f>
        <v/>
      </c>
      <c r="AD658" s="20">
        <f>IF($Z658="","",Settings!$B$2+$AC658-1)</f>
        <v/>
      </c>
      <c r="AE658" s="21">
        <f>IF($Z658="C",DATE(YEAR(INDEX(Contracts!$J$2:$J$151,$AB658)),MONTH(INDEX(Contracts!$J$2:$J$151,$AB658)),1),IF($Z658="A",DATE(YEAR(INDEX(Fixed_Assets!$G$2:$G$201,$AB658)),MONTH(INDEX(Fixed_Assets!$G$2:$G$201,$AB658)),1),IF($Z658="F",DATE(YEAR(MAX(N(INDEX(Workforce!$I$2:$I$151,MATCH(INDEX(FTE_Allocation!$A$2:$A$201,$AB658),Workforce!$A$2:$A$151,0))),N(INDEX(FTE_Allocation!$I$2:$I$201,$AB658)))),MONTH(MAX(N(INDEX(Workforce!$I$2:$I$151,MATCH(INDEX(FTE_Allocation!$A$2:$A$201,$AB658),Workforce!$A$2:$A$151,0))),N(INDEX(FTE_Allocation!$I$2:$I$201,$AB658)))),1),"")))</f>
        <v/>
      </c>
      <c r="AF658" s="21">
        <f>IF($Z658="C",IF(INDEX(Contracts!$I$2:$I$151,$AB658)="PREPAID",EDATE(DATE(YEAR(INDEX(Contracts!$J$2:$J$151,$AB658)),MONTH(INDEX(Contracts!$J$2:$J$151,$AB658)),1),IF(INDEX(Contracts!$N$2:$N$151,$AB658)="",12,INDEX(Contracts!$N$2:$N$151,$AB658))-1),IF(INDEX(Contracts!$I$2:$I$151,$AB658)="MONTHLY",IF(INDEX(Contracts!$K$2:$K$151,$AB658)="",2958101,INDEX(Contracts!$K$2:$K$151,$AB658)),0)),IF($Z658="A",EDATE(DATE(YEAR(INDEX(Fixed_Assets!$G$2:$G$201,$AB658)),MONTH(INDEX(Fixed_Assets!$G$2:$G$201,$AB658)),1),INDEX(Fixed_Assets!$J$2:$J$201,$AB658)-1),IF($Z658="F",MIN(IF(INDEX(Workforce!$J$2:$J$151,MATCH(INDEX(FTE_Allocation!$A$2:$A$201,$AB658),Workforce!$A$2:$A$151,0))="",2958101,INDEX(Workforce!$J$2:$J$151,MATCH(INDEX(FTE_Allocation!$A$2:$A$201,$AB658),Workforce!$A$2:$A$151,0))),IF(INDEX(FTE_Allocation!$J$2:$J$201,$AB658)="",2958101,INDEX(FTE_Allocation!$J$2:$J$201,$AB658))),"")))</f>
        <v/>
      </c>
      <c r="AG658" s="19">
        <f>IF($Z658="C",IF(INDEX(Contracts!$I$2:$I$151,$AB658)="PREPAID",INDEX(Contracts!$M$2:$M$151,$AB658)/IF(INDEX(Contracts!$N$2:$N$151,$AB658)="",12,INDEX(Contracts!$N$2:$N$151,$AB658)),IF(INDEX(Contracts!$I$2:$I$151,$AB658)="MONTHLY",INDEX(Contracts!$M$2:$M$151,$AB658),0))*(1-N(INDEX(Contracts!$O$2:$O$151,$AB658))),IF($Z658="A",INDEX(Fixed_Assets!$H$2:$H$201,$AB658)/INDEX(Fixed_Assets!$J$2:$J$201,$AB658),IF($Z658="F",INDEX(Workforce!$F$2:$F$151,MATCH(INDEX(FTE_Allocation!$A$2:$A$201,$AB658),Workforce!$A$2:$A$151,0))*N(INDEX(FTE_Allocation!$F$2:$H$201,$AB658,$AC658)),"")))</f>
        <v/>
      </c>
    </row>
    <row r="659">
      <c r="A659" s="7">
        <f>IF($Z659="","",$AD659)</f>
        <v/>
      </c>
      <c r="B659" s="7">
        <f>IF($Z659="C",INDEX(Contracts!$D$2:$D$151,$AB659)&amp;"",IF($Z659="A",INDEX(Fixed_Assets!$C$2:$C$201,$AB659)&amp;"",IF($Z659="F",INDEX(Workforce!$B$2:$B$151,MATCH(INDEX(FTE_Allocation!$A$2:$A$201,$AB659),Workforce!$A$2:$A$151,0))&amp;"","")))</f>
        <v/>
      </c>
      <c r="C659" s="7">
        <f>IF($Z659="C",INDEX(Contracts!$E$2:$E$151,$AB659)&amp;"",IF($Z659="A",INDEX(Fixed_Assets!$D$2:$D$201,$AB659)&amp;"",IF($Z659="F",INDEX(FTE_Allocation!$C$2:$C$201,$AB659)&amp;"","")))</f>
        <v/>
      </c>
      <c r="D659" s="7">
        <f>IF($Z659="C",INDEX(Contracts!$B$2:$B$151,$AB659)&amp;"",IF($Z659="A",INDEX(Fixed_Assets!$B$2:$B$201,$AB659)&amp;"",IF($Z659="F",INDEX(FTE_Allocation!$B$2:$B$201,$AB659)&amp;"","")))</f>
        <v/>
      </c>
      <c r="E659" s="7">
        <f>IF($Z659="C",INDEX(Contracts!$P$2:$P$151,$AB659)&amp;"",IF($Z659="A",INDEX(Fixed_Assets!$K$2:$K$201,$AB659)&amp;"",IF($Z659="F",IF(INDEX(FTE_Allocation!$D$2:$D$201,$AB659)="PROJECT",IFERROR(INDEX(Projects!$D:$D,MATCH(INDEX(FTE_Allocation!$E$2:$E$201,$AB659),Projects!$A:$A,0))&amp;"","#PROJECT?"),INDEX(FTE_Allocation!$E$2:$E$201,$AB659)&amp;""),"")))</f>
        <v/>
      </c>
      <c r="F659" s="7">
        <f>IF($Z659="C",INDEX(Contracts!$Q$2:$Q$151,$AB659)&amp;"",IF($Z659="A",INDEX(Fixed_Assets!$L$2:$L$201,$AB659)&amp;"",IF($Z659="F",INDEX(Workforce!$K$2:$K$151,MATCH(INDEX(FTE_Allocation!$A$2:$A$201,$AB659),Workforce!$A$2:$A$151,0))&amp;"","")))</f>
        <v/>
      </c>
      <c r="G659" s="7">
        <f>IF($Z659="C",INDEX(Contracts!$F$2:$F$151,$AB659)&amp;" / "&amp;INDEX(Contracts!$G$2:$G$151,$AB659),IF($Z659="A",INDEX(Fixed_Assets!$E$2:$E$201,$AB659)&amp;"",IF($Z659="F","Personnel "&amp;INDEX(FTE_Allocation!$A$2:$A$201,$AB659)&amp;IF(INDEX(FTE_Allocation!$D$2:$D$201,$AB659)="PROJECT"," ("&amp;INDEX(FTE_Allocation!$E$2:$E$201,$AB659)&amp;")",""),"")))</f>
        <v/>
      </c>
      <c r="H659" s="7">
        <f>IF($Z659="C","CONTRACT",IF($Z659="A","ASSET",IF($Z659="F","WORKFORCE","")))</f>
        <v/>
      </c>
      <c r="I659" s="7">
        <f>IF($Z659="C",INDEX(Contracts!$L$2:$L$151,$AB659)&amp;"",IF($Z659="A",INDEX(Fixed_Assets!$I$2:$I$201,$AB659)&amp;"",IF($Z659="F",INDEX(Workforce!$G$2:$G$151,MATCH(INDEX(FTE_Allocation!$A$2:$A$201,$AB659),Workforce!$A$2:$A$151,0))&amp;"","")))</f>
        <v/>
      </c>
      <c r="J659" s="18">
        <f>IF($Z659="","",IF(AND(DATE($AD659,1,1)&gt;=$AE659,DATE($AD659,1,1)&lt;=$AF659),ROUND($AG659,2),0))</f>
        <v/>
      </c>
      <c r="K659" s="18">
        <f>IF($Z659="","",IF(AND(DATE($AD659,2,1)&gt;=$AE659,DATE($AD659,2,1)&lt;=$AF659),ROUND($AG659,2),0))</f>
        <v/>
      </c>
      <c r="L659" s="18">
        <f>IF($Z659="","",IF(AND(DATE($AD659,3,1)&gt;=$AE659,DATE($AD659,3,1)&lt;=$AF659),ROUND($AG659,2),0))</f>
        <v/>
      </c>
      <c r="M659" s="18">
        <f>IF($Z659="","",IF(AND(DATE($AD659,4,1)&gt;=$AE659,DATE($AD659,4,1)&lt;=$AF659),ROUND($AG659,2),0))</f>
        <v/>
      </c>
      <c r="N659" s="18">
        <f>IF($Z659="","",IF(AND(DATE($AD659,5,1)&gt;=$AE659,DATE($AD659,5,1)&lt;=$AF659),ROUND($AG659,2),0))</f>
        <v/>
      </c>
      <c r="O659" s="18">
        <f>IF($Z659="","",IF(AND(DATE($AD659,6,1)&gt;=$AE659,DATE($AD659,6,1)&lt;=$AF659),ROUND($AG659,2),0))</f>
        <v/>
      </c>
      <c r="P659" s="18">
        <f>IF($Z659="","",IF(AND(DATE($AD659,7,1)&gt;=$AE659,DATE($AD659,7,1)&lt;=$AF659),ROUND($AG659,2),0))</f>
        <v/>
      </c>
      <c r="Q659" s="18">
        <f>IF($Z659="","",IF(AND(DATE($AD659,8,1)&gt;=$AE659,DATE($AD659,8,1)&lt;=$AF659),ROUND($AG659,2),0))</f>
        <v/>
      </c>
      <c r="R659" s="18">
        <f>IF($Z659="","",IF(AND(DATE($AD659,9,1)&gt;=$AE659,DATE($AD659,9,1)&lt;=$AF659),ROUND($AG659,2),0))</f>
        <v/>
      </c>
      <c r="S659" s="18">
        <f>IF($Z659="","",IF(AND(DATE($AD659,10,1)&gt;=$AE659,DATE($AD659,10,1)&lt;=$AF659),ROUND($AG659,2),0))</f>
        <v/>
      </c>
      <c r="T659" s="18">
        <f>IF($Z659="","",IF(AND(DATE($AD659,11,1)&gt;=$AE659,DATE($AD659,11,1)&lt;=$AF659),ROUND($AG659,2),0))</f>
        <v/>
      </c>
      <c r="U659" s="18">
        <f>IF($Z659="","",IF(AND(DATE($AD659,12,1)&gt;=$AE659,DATE($AD659,12,1)&lt;=$AF659),ROUND($AG659,2),0))</f>
        <v/>
      </c>
      <c r="V659" s="7">
        <f>IF($Z659="C","Generated from "&amp;INDEX(Contracts!$A$2:$A$151,$AB659),IF($Z659="A","Generated from "&amp;INDEX(Fixed_Assets!$A$2:$A$201,$AB659),IF($Z659="F","Generated from "&amp;INDEX(FTE_Allocation!$A$2:$A$201,$AB659),"")))</f>
        <v/>
      </c>
      <c r="X659" s="19">
        <f>IF($Z659="","",SUM(J659:U659))</f>
        <v/>
      </c>
      <c r="Y659" s="20">
        <f>ROW()-1</f>
        <v/>
      </c>
      <c r="Z659" s="20">
        <f>IF($Y659&lt;=Settings!$B$4*3,"C",IF($Y659&lt;=(Settings!$B$4+Settings!$B$5)*3,"A",IF($Y659&lt;=(Settings!$B$4+Settings!$B$5+Settings!$B$6)*3,"F","")))</f>
        <v/>
      </c>
      <c r="AA659" s="20">
        <f>IF($Z659="C",$Y659,IF($Z659="A",$Y659-Settings!$B$4*3,IF($Z659="F",$Y659-(Settings!$B$4+Settings!$B$5)*3,"")))</f>
        <v/>
      </c>
      <c r="AB659" s="20">
        <f>IF($Z659="","",INT(($AA659-1)/3)+1)</f>
        <v/>
      </c>
      <c r="AC659" s="20">
        <f>IF($Z659="","",MOD($AA659-1,3)+1)</f>
        <v/>
      </c>
      <c r="AD659" s="20">
        <f>IF($Z659="","",Settings!$B$2+$AC659-1)</f>
        <v/>
      </c>
      <c r="AE659" s="21">
        <f>IF($Z659="C",DATE(YEAR(INDEX(Contracts!$J$2:$J$151,$AB659)),MONTH(INDEX(Contracts!$J$2:$J$151,$AB659)),1),IF($Z659="A",DATE(YEAR(INDEX(Fixed_Assets!$G$2:$G$201,$AB659)),MONTH(INDEX(Fixed_Assets!$G$2:$G$201,$AB659)),1),IF($Z659="F",DATE(YEAR(MAX(N(INDEX(Workforce!$I$2:$I$151,MATCH(INDEX(FTE_Allocation!$A$2:$A$201,$AB659),Workforce!$A$2:$A$151,0))),N(INDEX(FTE_Allocation!$I$2:$I$201,$AB659)))),MONTH(MAX(N(INDEX(Workforce!$I$2:$I$151,MATCH(INDEX(FTE_Allocation!$A$2:$A$201,$AB659),Workforce!$A$2:$A$151,0))),N(INDEX(FTE_Allocation!$I$2:$I$201,$AB659)))),1),"")))</f>
        <v/>
      </c>
      <c r="AF659" s="21">
        <f>IF($Z659="C",IF(INDEX(Contracts!$I$2:$I$151,$AB659)="PREPAID",EDATE(DATE(YEAR(INDEX(Contracts!$J$2:$J$151,$AB659)),MONTH(INDEX(Contracts!$J$2:$J$151,$AB659)),1),IF(INDEX(Contracts!$N$2:$N$151,$AB659)="",12,INDEX(Contracts!$N$2:$N$151,$AB659))-1),IF(INDEX(Contracts!$I$2:$I$151,$AB659)="MONTHLY",IF(INDEX(Contracts!$K$2:$K$151,$AB659)="",2958101,INDEX(Contracts!$K$2:$K$151,$AB659)),0)),IF($Z659="A",EDATE(DATE(YEAR(INDEX(Fixed_Assets!$G$2:$G$201,$AB659)),MONTH(INDEX(Fixed_Assets!$G$2:$G$201,$AB659)),1),INDEX(Fixed_Assets!$J$2:$J$201,$AB659)-1),IF($Z659="F",MIN(IF(INDEX(Workforce!$J$2:$J$151,MATCH(INDEX(FTE_Allocation!$A$2:$A$201,$AB659),Workforce!$A$2:$A$151,0))="",2958101,INDEX(Workforce!$J$2:$J$151,MATCH(INDEX(FTE_Allocation!$A$2:$A$201,$AB659),Workforce!$A$2:$A$151,0))),IF(INDEX(FTE_Allocation!$J$2:$J$201,$AB659)="",2958101,INDEX(FTE_Allocation!$J$2:$J$201,$AB659))),"")))</f>
        <v/>
      </c>
      <c r="AG659" s="19">
        <f>IF($Z659="C",IF(INDEX(Contracts!$I$2:$I$151,$AB659)="PREPAID",INDEX(Contracts!$M$2:$M$151,$AB659)/IF(INDEX(Contracts!$N$2:$N$151,$AB659)="",12,INDEX(Contracts!$N$2:$N$151,$AB659)),IF(INDEX(Contracts!$I$2:$I$151,$AB659)="MONTHLY",INDEX(Contracts!$M$2:$M$151,$AB659),0))*(1-N(INDEX(Contracts!$O$2:$O$151,$AB659))),IF($Z659="A",INDEX(Fixed_Assets!$H$2:$H$201,$AB659)/INDEX(Fixed_Assets!$J$2:$J$201,$AB659),IF($Z659="F",INDEX(Workforce!$F$2:$F$151,MATCH(INDEX(FTE_Allocation!$A$2:$A$201,$AB659),Workforce!$A$2:$A$151,0))*N(INDEX(FTE_Allocation!$F$2:$H$201,$AB659,$AC659)),"")))</f>
        <v/>
      </c>
    </row>
    <row r="660">
      <c r="A660" s="7">
        <f>IF($Z660="","",$AD660)</f>
        <v/>
      </c>
      <c r="B660" s="7">
        <f>IF($Z660="C",INDEX(Contracts!$D$2:$D$151,$AB660)&amp;"",IF($Z660="A",INDEX(Fixed_Assets!$C$2:$C$201,$AB660)&amp;"",IF($Z660="F",INDEX(Workforce!$B$2:$B$151,MATCH(INDEX(FTE_Allocation!$A$2:$A$201,$AB660),Workforce!$A$2:$A$151,0))&amp;"","")))</f>
        <v/>
      </c>
      <c r="C660" s="7">
        <f>IF($Z660="C",INDEX(Contracts!$E$2:$E$151,$AB660)&amp;"",IF($Z660="A",INDEX(Fixed_Assets!$D$2:$D$201,$AB660)&amp;"",IF($Z660="F",INDEX(FTE_Allocation!$C$2:$C$201,$AB660)&amp;"","")))</f>
        <v/>
      </c>
      <c r="D660" s="7">
        <f>IF($Z660="C",INDEX(Contracts!$B$2:$B$151,$AB660)&amp;"",IF($Z660="A",INDEX(Fixed_Assets!$B$2:$B$201,$AB660)&amp;"",IF($Z660="F",INDEX(FTE_Allocation!$B$2:$B$201,$AB660)&amp;"","")))</f>
        <v/>
      </c>
      <c r="E660" s="7">
        <f>IF($Z660="C",INDEX(Contracts!$P$2:$P$151,$AB660)&amp;"",IF($Z660="A",INDEX(Fixed_Assets!$K$2:$K$201,$AB660)&amp;"",IF($Z660="F",IF(INDEX(FTE_Allocation!$D$2:$D$201,$AB660)="PROJECT",IFERROR(INDEX(Projects!$D:$D,MATCH(INDEX(FTE_Allocation!$E$2:$E$201,$AB660),Projects!$A:$A,0))&amp;"","#PROJECT?"),INDEX(FTE_Allocation!$E$2:$E$201,$AB660)&amp;""),"")))</f>
        <v/>
      </c>
      <c r="F660" s="7">
        <f>IF($Z660="C",INDEX(Contracts!$Q$2:$Q$151,$AB660)&amp;"",IF($Z660="A",INDEX(Fixed_Assets!$L$2:$L$201,$AB660)&amp;"",IF($Z660="F",INDEX(Workforce!$K$2:$K$151,MATCH(INDEX(FTE_Allocation!$A$2:$A$201,$AB660),Workforce!$A$2:$A$151,0))&amp;"","")))</f>
        <v/>
      </c>
      <c r="G660" s="7">
        <f>IF($Z660="C",INDEX(Contracts!$F$2:$F$151,$AB660)&amp;" / "&amp;INDEX(Contracts!$G$2:$G$151,$AB660),IF($Z660="A",INDEX(Fixed_Assets!$E$2:$E$201,$AB660)&amp;"",IF($Z660="F","Personnel "&amp;INDEX(FTE_Allocation!$A$2:$A$201,$AB660)&amp;IF(INDEX(FTE_Allocation!$D$2:$D$201,$AB660)="PROJECT"," ("&amp;INDEX(FTE_Allocation!$E$2:$E$201,$AB660)&amp;")",""),"")))</f>
        <v/>
      </c>
      <c r="H660" s="7">
        <f>IF($Z660="C","CONTRACT",IF($Z660="A","ASSET",IF($Z660="F","WORKFORCE","")))</f>
        <v/>
      </c>
      <c r="I660" s="7">
        <f>IF($Z660="C",INDEX(Contracts!$L$2:$L$151,$AB660)&amp;"",IF($Z660="A",INDEX(Fixed_Assets!$I$2:$I$201,$AB660)&amp;"",IF($Z660="F",INDEX(Workforce!$G$2:$G$151,MATCH(INDEX(FTE_Allocation!$A$2:$A$201,$AB660),Workforce!$A$2:$A$151,0))&amp;"","")))</f>
        <v/>
      </c>
      <c r="J660" s="18">
        <f>IF($Z660="","",IF(AND(DATE($AD660,1,1)&gt;=$AE660,DATE($AD660,1,1)&lt;=$AF660),ROUND($AG660,2),0))</f>
        <v/>
      </c>
      <c r="K660" s="18">
        <f>IF($Z660="","",IF(AND(DATE($AD660,2,1)&gt;=$AE660,DATE($AD660,2,1)&lt;=$AF660),ROUND($AG660,2),0))</f>
        <v/>
      </c>
      <c r="L660" s="18">
        <f>IF($Z660="","",IF(AND(DATE($AD660,3,1)&gt;=$AE660,DATE($AD660,3,1)&lt;=$AF660),ROUND($AG660,2),0))</f>
        <v/>
      </c>
      <c r="M660" s="18">
        <f>IF($Z660="","",IF(AND(DATE($AD660,4,1)&gt;=$AE660,DATE($AD660,4,1)&lt;=$AF660),ROUND($AG660,2),0))</f>
        <v/>
      </c>
      <c r="N660" s="18">
        <f>IF($Z660="","",IF(AND(DATE($AD660,5,1)&gt;=$AE660,DATE($AD660,5,1)&lt;=$AF660),ROUND($AG660,2),0))</f>
        <v/>
      </c>
      <c r="O660" s="18">
        <f>IF($Z660="","",IF(AND(DATE($AD660,6,1)&gt;=$AE660,DATE($AD660,6,1)&lt;=$AF660),ROUND($AG660,2),0))</f>
        <v/>
      </c>
      <c r="P660" s="18">
        <f>IF($Z660="","",IF(AND(DATE($AD660,7,1)&gt;=$AE660,DATE($AD660,7,1)&lt;=$AF660),ROUND($AG660,2),0))</f>
        <v/>
      </c>
      <c r="Q660" s="18">
        <f>IF($Z660="","",IF(AND(DATE($AD660,8,1)&gt;=$AE660,DATE($AD660,8,1)&lt;=$AF660),ROUND($AG660,2),0))</f>
        <v/>
      </c>
      <c r="R660" s="18">
        <f>IF($Z660="","",IF(AND(DATE($AD660,9,1)&gt;=$AE660,DATE($AD660,9,1)&lt;=$AF660),ROUND($AG660,2),0))</f>
        <v/>
      </c>
      <c r="S660" s="18">
        <f>IF($Z660="","",IF(AND(DATE($AD660,10,1)&gt;=$AE660,DATE($AD660,10,1)&lt;=$AF660),ROUND($AG660,2),0))</f>
        <v/>
      </c>
      <c r="T660" s="18">
        <f>IF($Z660="","",IF(AND(DATE($AD660,11,1)&gt;=$AE660,DATE($AD660,11,1)&lt;=$AF660),ROUND($AG660,2),0))</f>
        <v/>
      </c>
      <c r="U660" s="18">
        <f>IF($Z660="","",IF(AND(DATE($AD660,12,1)&gt;=$AE660,DATE($AD660,12,1)&lt;=$AF660),ROUND($AG660,2),0))</f>
        <v/>
      </c>
      <c r="V660" s="7">
        <f>IF($Z660="C","Generated from "&amp;INDEX(Contracts!$A$2:$A$151,$AB660),IF($Z660="A","Generated from "&amp;INDEX(Fixed_Assets!$A$2:$A$201,$AB660),IF($Z660="F","Generated from "&amp;INDEX(FTE_Allocation!$A$2:$A$201,$AB660),"")))</f>
        <v/>
      </c>
      <c r="X660" s="19">
        <f>IF($Z660="","",SUM(J660:U660))</f>
        <v/>
      </c>
      <c r="Y660" s="20">
        <f>ROW()-1</f>
        <v/>
      </c>
      <c r="Z660" s="20">
        <f>IF($Y660&lt;=Settings!$B$4*3,"C",IF($Y660&lt;=(Settings!$B$4+Settings!$B$5)*3,"A",IF($Y660&lt;=(Settings!$B$4+Settings!$B$5+Settings!$B$6)*3,"F","")))</f>
        <v/>
      </c>
      <c r="AA660" s="20">
        <f>IF($Z660="C",$Y660,IF($Z660="A",$Y660-Settings!$B$4*3,IF($Z660="F",$Y660-(Settings!$B$4+Settings!$B$5)*3,"")))</f>
        <v/>
      </c>
      <c r="AB660" s="20">
        <f>IF($Z660="","",INT(($AA660-1)/3)+1)</f>
        <v/>
      </c>
      <c r="AC660" s="20">
        <f>IF($Z660="","",MOD($AA660-1,3)+1)</f>
        <v/>
      </c>
      <c r="AD660" s="20">
        <f>IF($Z660="","",Settings!$B$2+$AC660-1)</f>
        <v/>
      </c>
      <c r="AE660" s="21">
        <f>IF($Z660="C",DATE(YEAR(INDEX(Contracts!$J$2:$J$151,$AB660)),MONTH(INDEX(Contracts!$J$2:$J$151,$AB660)),1),IF($Z660="A",DATE(YEAR(INDEX(Fixed_Assets!$G$2:$G$201,$AB660)),MONTH(INDEX(Fixed_Assets!$G$2:$G$201,$AB660)),1),IF($Z660="F",DATE(YEAR(MAX(N(INDEX(Workforce!$I$2:$I$151,MATCH(INDEX(FTE_Allocation!$A$2:$A$201,$AB660),Workforce!$A$2:$A$151,0))),N(INDEX(FTE_Allocation!$I$2:$I$201,$AB660)))),MONTH(MAX(N(INDEX(Workforce!$I$2:$I$151,MATCH(INDEX(FTE_Allocation!$A$2:$A$201,$AB660),Workforce!$A$2:$A$151,0))),N(INDEX(FTE_Allocation!$I$2:$I$201,$AB660)))),1),"")))</f>
        <v/>
      </c>
      <c r="AF660" s="21">
        <f>IF($Z660="C",IF(INDEX(Contracts!$I$2:$I$151,$AB660)="PREPAID",EDATE(DATE(YEAR(INDEX(Contracts!$J$2:$J$151,$AB660)),MONTH(INDEX(Contracts!$J$2:$J$151,$AB660)),1),IF(INDEX(Contracts!$N$2:$N$151,$AB660)="",12,INDEX(Contracts!$N$2:$N$151,$AB660))-1),IF(INDEX(Contracts!$I$2:$I$151,$AB660)="MONTHLY",IF(INDEX(Contracts!$K$2:$K$151,$AB660)="",2958101,INDEX(Contracts!$K$2:$K$151,$AB660)),0)),IF($Z660="A",EDATE(DATE(YEAR(INDEX(Fixed_Assets!$G$2:$G$201,$AB660)),MONTH(INDEX(Fixed_Assets!$G$2:$G$201,$AB660)),1),INDEX(Fixed_Assets!$J$2:$J$201,$AB660)-1),IF($Z660="F",MIN(IF(INDEX(Workforce!$J$2:$J$151,MATCH(INDEX(FTE_Allocation!$A$2:$A$201,$AB660),Workforce!$A$2:$A$151,0))="",2958101,INDEX(Workforce!$J$2:$J$151,MATCH(INDEX(FTE_Allocation!$A$2:$A$201,$AB660),Workforce!$A$2:$A$151,0))),IF(INDEX(FTE_Allocation!$J$2:$J$201,$AB660)="",2958101,INDEX(FTE_Allocation!$J$2:$J$201,$AB660))),"")))</f>
        <v/>
      </c>
      <c r="AG660" s="19">
        <f>IF($Z660="C",IF(INDEX(Contracts!$I$2:$I$151,$AB660)="PREPAID",INDEX(Contracts!$M$2:$M$151,$AB660)/IF(INDEX(Contracts!$N$2:$N$151,$AB660)="",12,INDEX(Contracts!$N$2:$N$151,$AB660)),IF(INDEX(Contracts!$I$2:$I$151,$AB660)="MONTHLY",INDEX(Contracts!$M$2:$M$151,$AB660),0))*(1-N(INDEX(Contracts!$O$2:$O$151,$AB660))),IF($Z660="A",INDEX(Fixed_Assets!$H$2:$H$201,$AB660)/INDEX(Fixed_Assets!$J$2:$J$201,$AB660),IF($Z660="F",INDEX(Workforce!$F$2:$F$151,MATCH(INDEX(FTE_Allocation!$A$2:$A$201,$AB660),Workforce!$A$2:$A$151,0))*N(INDEX(FTE_Allocation!$F$2:$H$201,$AB660,$AC660)),"")))</f>
        <v/>
      </c>
    </row>
    <row r="661">
      <c r="A661" s="7">
        <f>IF($Z661="","",$AD661)</f>
        <v/>
      </c>
      <c r="B661" s="7">
        <f>IF($Z661="C",INDEX(Contracts!$D$2:$D$151,$AB661)&amp;"",IF($Z661="A",INDEX(Fixed_Assets!$C$2:$C$201,$AB661)&amp;"",IF($Z661="F",INDEX(Workforce!$B$2:$B$151,MATCH(INDEX(FTE_Allocation!$A$2:$A$201,$AB661),Workforce!$A$2:$A$151,0))&amp;"","")))</f>
        <v/>
      </c>
      <c r="C661" s="7">
        <f>IF($Z661="C",INDEX(Contracts!$E$2:$E$151,$AB661)&amp;"",IF($Z661="A",INDEX(Fixed_Assets!$D$2:$D$201,$AB661)&amp;"",IF($Z661="F",INDEX(FTE_Allocation!$C$2:$C$201,$AB661)&amp;"","")))</f>
        <v/>
      </c>
      <c r="D661" s="7">
        <f>IF($Z661="C",INDEX(Contracts!$B$2:$B$151,$AB661)&amp;"",IF($Z661="A",INDEX(Fixed_Assets!$B$2:$B$201,$AB661)&amp;"",IF($Z661="F",INDEX(FTE_Allocation!$B$2:$B$201,$AB661)&amp;"","")))</f>
        <v/>
      </c>
      <c r="E661" s="7">
        <f>IF($Z661="C",INDEX(Contracts!$P$2:$P$151,$AB661)&amp;"",IF($Z661="A",INDEX(Fixed_Assets!$K$2:$K$201,$AB661)&amp;"",IF($Z661="F",IF(INDEX(FTE_Allocation!$D$2:$D$201,$AB661)="PROJECT",IFERROR(INDEX(Projects!$D:$D,MATCH(INDEX(FTE_Allocation!$E$2:$E$201,$AB661),Projects!$A:$A,0))&amp;"","#PROJECT?"),INDEX(FTE_Allocation!$E$2:$E$201,$AB661)&amp;""),"")))</f>
        <v/>
      </c>
      <c r="F661" s="7">
        <f>IF($Z661="C",INDEX(Contracts!$Q$2:$Q$151,$AB661)&amp;"",IF($Z661="A",INDEX(Fixed_Assets!$L$2:$L$201,$AB661)&amp;"",IF($Z661="F",INDEX(Workforce!$K$2:$K$151,MATCH(INDEX(FTE_Allocation!$A$2:$A$201,$AB661),Workforce!$A$2:$A$151,0))&amp;"","")))</f>
        <v/>
      </c>
      <c r="G661" s="7">
        <f>IF($Z661="C",INDEX(Contracts!$F$2:$F$151,$AB661)&amp;" / "&amp;INDEX(Contracts!$G$2:$G$151,$AB661),IF($Z661="A",INDEX(Fixed_Assets!$E$2:$E$201,$AB661)&amp;"",IF($Z661="F","Personnel "&amp;INDEX(FTE_Allocation!$A$2:$A$201,$AB661)&amp;IF(INDEX(FTE_Allocation!$D$2:$D$201,$AB661)="PROJECT"," ("&amp;INDEX(FTE_Allocation!$E$2:$E$201,$AB661)&amp;")",""),"")))</f>
        <v/>
      </c>
      <c r="H661" s="7">
        <f>IF($Z661="C","CONTRACT",IF($Z661="A","ASSET",IF($Z661="F","WORKFORCE","")))</f>
        <v/>
      </c>
      <c r="I661" s="7">
        <f>IF($Z661="C",INDEX(Contracts!$L$2:$L$151,$AB661)&amp;"",IF($Z661="A",INDEX(Fixed_Assets!$I$2:$I$201,$AB661)&amp;"",IF($Z661="F",INDEX(Workforce!$G$2:$G$151,MATCH(INDEX(FTE_Allocation!$A$2:$A$201,$AB661),Workforce!$A$2:$A$151,0))&amp;"","")))</f>
        <v/>
      </c>
      <c r="J661" s="18">
        <f>IF($Z661="","",IF(AND(DATE($AD661,1,1)&gt;=$AE661,DATE($AD661,1,1)&lt;=$AF661),ROUND($AG661,2),0))</f>
        <v/>
      </c>
      <c r="K661" s="18">
        <f>IF($Z661="","",IF(AND(DATE($AD661,2,1)&gt;=$AE661,DATE($AD661,2,1)&lt;=$AF661),ROUND($AG661,2),0))</f>
        <v/>
      </c>
      <c r="L661" s="18">
        <f>IF($Z661="","",IF(AND(DATE($AD661,3,1)&gt;=$AE661,DATE($AD661,3,1)&lt;=$AF661),ROUND($AG661,2),0))</f>
        <v/>
      </c>
      <c r="M661" s="18">
        <f>IF($Z661="","",IF(AND(DATE($AD661,4,1)&gt;=$AE661,DATE($AD661,4,1)&lt;=$AF661),ROUND($AG661,2),0))</f>
        <v/>
      </c>
      <c r="N661" s="18">
        <f>IF($Z661="","",IF(AND(DATE($AD661,5,1)&gt;=$AE661,DATE($AD661,5,1)&lt;=$AF661),ROUND($AG661,2),0))</f>
        <v/>
      </c>
      <c r="O661" s="18">
        <f>IF($Z661="","",IF(AND(DATE($AD661,6,1)&gt;=$AE661,DATE($AD661,6,1)&lt;=$AF661),ROUND($AG661,2),0))</f>
        <v/>
      </c>
      <c r="P661" s="18">
        <f>IF($Z661="","",IF(AND(DATE($AD661,7,1)&gt;=$AE661,DATE($AD661,7,1)&lt;=$AF661),ROUND($AG661,2),0))</f>
        <v/>
      </c>
      <c r="Q661" s="18">
        <f>IF($Z661="","",IF(AND(DATE($AD661,8,1)&gt;=$AE661,DATE($AD661,8,1)&lt;=$AF661),ROUND($AG661,2),0))</f>
        <v/>
      </c>
      <c r="R661" s="18">
        <f>IF($Z661="","",IF(AND(DATE($AD661,9,1)&gt;=$AE661,DATE($AD661,9,1)&lt;=$AF661),ROUND($AG661,2),0))</f>
        <v/>
      </c>
      <c r="S661" s="18">
        <f>IF($Z661="","",IF(AND(DATE($AD661,10,1)&gt;=$AE661,DATE($AD661,10,1)&lt;=$AF661),ROUND($AG661,2),0))</f>
        <v/>
      </c>
      <c r="T661" s="18">
        <f>IF($Z661="","",IF(AND(DATE($AD661,11,1)&gt;=$AE661,DATE($AD661,11,1)&lt;=$AF661),ROUND($AG661,2),0))</f>
        <v/>
      </c>
      <c r="U661" s="18">
        <f>IF($Z661="","",IF(AND(DATE($AD661,12,1)&gt;=$AE661,DATE($AD661,12,1)&lt;=$AF661),ROUND($AG661,2),0))</f>
        <v/>
      </c>
      <c r="V661" s="7">
        <f>IF($Z661="C","Generated from "&amp;INDEX(Contracts!$A$2:$A$151,$AB661),IF($Z661="A","Generated from "&amp;INDEX(Fixed_Assets!$A$2:$A$201,$AB661),IF($Z661="F","Generated from "&amp;INDEX(FTE_Allocation!$A$2:$A$201,$AB661),"")))</f>
        <v/>
      </c>
      <c r="X661" s="19">
        <f>IF($Z661="","",SUM(J661:U661))</f>
        <v/>
      </c>
      <c r="Y661" s="20">
        <f>ROW()-1</f>
        <v/>
      </c>
      <c r="Z661" s="20">
        <f>IF($Y661&lt;=Settings!$B$4*3,"C",IF($Y661&lt;=(Settings!$B$4+Settings!$B$5)*3,"A",IF($Y661&lt;=(Settings!$B$4+Settings!$B$5+Settings!$B$6)*3,"F","")))</f>
        <v/>
      </c>
      <c r="AA661" s="20">
        <f>IF($Z661="C",$Y661,IF($Z661="A",$Y661-Settings!$B$4*3,IF($Z661="F",$Y661-(Settings!$B$4+Settings!$B$5)*3,"")))</f>
        <v/>
      </c>
      <c r="AB661" s="20">
        <f>IF($Z661="","",INT(($AA661-1)/3)+1)</f>
        <v/>
      </c>
      <c r="AC661" s="20">
        <f>IF($Z661="","",MOD($AA661-1,3)+1)</f>
        <v/>
      </c>
      <c r="AD661" s="20">
        <f>IF($Z661="","",Settings!$B$2+$AC661-1)</f>
        <v/>
      </c>
      <c r="AE661" s="21">
        <f>IF($Z661="C",DATE(YEAR(INDEX(Contracts!$J$2:$J$151,$AB661)),MONTH(INDEX(Contracts!$J$2:$J$151,$AB661)),1),IF($Z661="A",DATE(YEAR(INDEX(Fixed_Assets!$G$2:$G$201,$AB661)),MONTH(INDEX(Fixed_Assets!$G$2:$G$201,$AB661)),1),IF($Z661="F",DATE(YEAR(MAX(N(INDEX(Workforce!$I$2:$I$151,MATCH(INDEX(FTE_Allocation!$A$2:$A$201,$AB661),Workforce!$A$2:$A$151,0))),N(INDEX(FTE_Allocation!$I$2:$I$201,$AB661)))),MONTH(MAX(N(INDEX(Workforce!$I$2:$I$151,MATCH(INDEX(FTE_Allocation!$A$2:$A$201,$AB661),Workforce!$A$2:$A$151,0))),N(INDEX(FTE_Allocation!$I$2:$I$201,$AB661)))),1),"")))</f>
        <v/>
      </c>
      <c r="AF661" s="21">
        <f>IF($Z661="C",IF(INDEX(Contracts!$I$2:$I$151,$AB661)="PREPAID",EDATE(DATE(YEAR(INDEX(Contracts!$J$2:$J$151,$AB661)),MONTH(INDEX(Contracts!$J$2:$J$151,$AB661)),1),IF(INDEX(Contracts!$N$2:$N$151,$AB661)="",12,INDEX(Contracts!$N$2:$N$151,$AB661))-1),IF(INDEX(Contracts!$I$2:$I$151,$AB661)="MONTHLY",IF(INDEX(Contracts!$K$2:$K$151,$AB661)="",2958101,INDEX(Contracts!$K$2:$K$151,$AB661)),0)),IF($Z661="A",EDATE(DATE(YEAR(INDEX(Fixed_Assets!$G$2:$G$201,$AB661)),MONTH(INDEX(Fixed_Assets!$G$2:$G$201,$AB661)),1),INDEX(Fixed_Assets!$J$2:$J$201,$AB661)-1),IF($Z661="F",MIN(IF(INDEX(Workforce!$J$2:$J$151,MATCH(INDEX(FTE_Allocation!$A$2:$A$201,$AB661),Workforce!$A$2:$A$151,0))="",2958101,INDEX(Workforce!$J$2:$J$151,MATCH(INDEX(FTE_Allocation!$A$2:$A$201,$AB661),Workforce!$A$2:$A$151,0))),IF(INDEX(FTE_Allocation!$J$2:$J$201,$AB661)="",2958101,INDEX(FTE_Allocation!$J$2:$J$201,$AB661))),"")))</f>
        <v/>
      </c>
      <c r="AG661" s="19">
        <f>IF($Z661="C",IF(INDEX(Contracts!$I$2:$I$151,$AB661)="PREPAID",INDEX(Contracts!$M$2:$M$151,$AB661)/IF(INDEX(Contracts!$N$2:$N$151,$AB661)="",12,INDEX(Contracts!$N$2:$N$151,$AB661)),IF(INDEX(Contracts!$I$2:$I$151,$AB661)="MONTHLY",INDEX(Contracts!$M$2:$M$151,$AB661),0))*(1-N(INDEX(Contracts!$O$2:$O$151,$AB661))),IF($Z661="A",INDEX(Fixed_Assets!$H$2:$H$201,$AB661)/INDEX(Fixed_Assets!$J$2:$J$201,$AB661),IF($Z661="F",INDEX(Workforce!$F$2:$F$151,MATCH(INDEX(FTE_Allocation!$A$2:$A$201,$AB661),Workforce!$A$2:$A$151,0))*N(INDEX(FTE_Allocation!$F$2:$H$201,$AB661,$AC661)),"")))</f>
        <v/>
      </c>
    </row>
    <row r="662">
      <c r="A662" s="7">
        <f>IF($Z662="","",$AD662)</f>
        <v/>
      </c>
      <c r="B662" s="7">
        <f>IF($Z662="C",INDEX(Contracts!$D$2:$D$151,$AB662)&amp;"",IF($Z662="A",INDEX(Fixed_Assets!$C$2:$C$201,$AB662)&amp;"",IF($Z662="F",INDEX(Workforce!$B$2:$B$151,MATCH(INDEX(FTE_Allocation!$A$2:$A$201,$AB662),Workforce!$A$2:$A$151,0))&amp;"","")))</f>
        <v/>
      </c>
      <c r="C662" s="7">
        <f>IF($Z662="C",INDEX(Contracts!$E$2:$E$151,$AB662)&amp;"",IF($Z662="A",INDEX(Fixed_Assets!$D$2:$D$201,$AB662)&amp;"",IF($Z662="F",INDEX(FTE_Allocation!$C$2:$C$201,$AB662)&amp;"","")))</f>
        <v/>
      </c>
      <c r="D662" s="7">
        <f>IF($Z662="C",INDEX(Contracts!$B$2:$B$151,$AB662)&amp;"",IF($Z662="A",INDEX(Fixed_Assets!$B$2:$B$201,$AB662)&amp;"",IF($Z662="F",INDEX(FTE_Allocation!$B$2:$B$201,$AB662)&amp;"","")))</f>
        <v/>
      </c>
      <c r="E662" s="7">
        <f>IF($Z662="C",INDEX(Contracts!$P$2:$P$151,$AB662)&amp;"",IF($Z662="A",INDEX(Fixed_Assets!$K$2:$K$201,$AB662)&amp;"",IF($Z662="F",IF(INDEX(FTE_Allocation!$D$2:$D$201,$AB662)="PROJECT",IFERROR(INDEX(Projects!$D:$D,MATCH(INDEX(FTE_Allocation!$E$2:$E$201,$AB662),Projects!$A:$A,0))&amp;"","#PROJECT?"),INDEX(FTE_Allocation!$E$2:$E$201,$AB662)&amp;""),"")))</f>
        <v/>
      </c>
      <c r="F662" s="7">
        <f>IF($Z662="C",INDEX(Contracts!$Q$2:$Q$151,$AB662)&amp;"",IF($Z662="A",INDEX(Fixed_Assets!$L$2:$L$201,$AB662)&amp;"",IF($Z662="F",INDEX(Workforce!$K$2:$K$151,MATCH(INDEX(FTE_Allocation!$A$2:$A$201,$AB662),Workforce!$A$2:$A$151,0))&amp;"","")))</f>
        <v/>
      </c>
      <c r="G662" s="7">
        <f>IF($Z662="C",INDEX(Contracts!$F$2:$F$151,$AB662)&amp;" / "&amp;INDEX(Contracts!$G$2:$G$151,$AB662),IF($Z662="A",INDEX(Fixed_Assets!$E$2:$E$201,$AB662)&amp;"",IF($Z662="F","Personnel "&amp;INDEX(FTE_Allocation!$A$2:$A$201,$AB662)&amp;IF(INDEX(FTE_Allocation!$D$2:$D$201,$AB662)="PROJECT"," ("&amp;INDEX(FTE_Allocation!$E$2:$E$201,$AB662)&amp;")",""),"")))</f>
        <v/>
      </c>
      <c r="H662" s="7">
        <f>IF($Z662="C","CONTRACT",IF($Z662="A","ASSET",IF($Z662="F","WORKFORCE","")))</f>
        <v/>
      </c>
      <c r="I662" s="7">
        <f>IF($Z662="C",INDEX(Contracts!$L$2:$L$151,$AB662)&amp;"",IF($Z662="A",INDEX(Fixed_Assets!$I$2:$I$201,$AB662)&amp;"",IF($Z662="F",INDEX(Workforce!$G$2:$G$151,MATCH(INDEX(FTE_Allocation!$A$2:$A$201,$AB662),Workforce!$A$2:$A$151,0))&amp;"","")))</f>
        <v/>
      </c>
      <c r="J662" s="18">
        <f>IF($Z662="","",IF(AND(DATE($AD662,1,1)&gt;=$AE662,DATE($AD662,1,1)&lt;=$AF662),ROUND($AG662,2),0))</f>
        <v/>
      </c>
      <c r="K662" s="18">
        <f>IF($Z662="","",IF(AND(DATE($AD662,2,1)&gt;=$AE662,DATE($AD662,2,1)&lt;=$AF662),ROUND($AG662,2),0))</f>
        <v/>
      </c>
      <c r="L662" s="18">
        <f>IF($Z662="","",IF(AND(DATE($AD662,3,1)&gt;=$AE662,DATE($AD662,3,1)&lt;=$AF662),ROUND($AG662,2),0))</f>
        <v/>
      </c>
      <c r="M662" s="18">
        <f>IF($Z662="","",IF(AND(DATE($AD662,4,1)&gt;=$AE662,DATE($AD662,4,1)&lt;=$AF662),ROUND($AG662,2),0))</f>
        <v/>
      </c>
      <c r="N662" s="18">
        <f>IF($Z662="","",IF(AND(DATE($AD662,5,1)&gt;=$AE662,DATE($AD662,5,1)&lt;=$AF662),ROUND($AG662,2),0))</f>
        <v/>
      </c>
      <c r="O662" s="18">
        <f>IF($Z662="","",IF(AND(DATE($AD662,6,1)&gt;=$AE662,DATE($AD662,6,1)&lt;=$AF662),ROUND($AG662,2),0))</f>
        <v/>
      </c>
      <c r="P662" s="18">
        <f>IF($Z662="","",IF(AND(DATE($AD662,7,1)&gt;=$AE662,DATE($AD662,7,1)&lt;=$AF662),ROUND($AG662,2),0))</f>
        <v/>
      </c>
      <c r="Q662" s="18">
        <f>IF($Z662="","",IF(AND(DATE($AD662,8,1)&gt;=$AE662,DATE($AD662,8,1)&lt;=$AF662),ROUND($AG662,2),0))</f>
        <v/>
      </c>
      <c r="R662" s="18">
        <f>IF($Z662="","",IF(AND(DATE($AD662,9,1)&gt;=$AE662,DATE($AD662,9,1)&lt;=$AF662),ROUND($AG662,2),0))</f>
        <v/>
      </c>
      <c r="S662" s="18">
        <f>IF($Z662="","",IF(AND(DATE($AD662,10,1)&gt;=$AE662,DATE($AD662,10,1)&lt;=$AF662),ROUND($AG662,2),0))</f>
        <v/>
      </c>
      <c r="T662" s="18">
        <f>IF($Z662="","",IF(AND(DATE($AD662,11,1)&gt;=$AE662,DATE($AD662,11,1)&lt;=$AF662),ROUND($AG662,2),0))</f>
        <v/>
      </c>
      <c r="U662" s="18">
        <f>IF($Z662="","",IF(AND(DATE($AD662,12,1)&gt;=$AE662,DATE($AD662,12,1)&lt;=$AF662),ROUND($AG662,2),0))</f>
        <v/>
      </c>
      <c r="V662" s="7">
        <f>IF($Z662="C","Generated from "&amp;INDEX(Contracts!$A$2:$A$151,$AB662),IF($Z662="A","Generated from "&amp;INDEX(Fixed_Assets!$A$2:$A$201,$AB662),IF($Z662="F","Generated from "&amp;INDEX(FTE_Allocation!$A$2:$A$201,$AB662),"")))</f>
        <v/>
      </c>
      <c r="X662" s="19">
        <f>IF($Z662="","",SUM(J662:U662))</f>
        <v/>
      </c>
      <c r="Y662" s="20">
        <f>ROW()-1</f>
        <v/>
      </c>
      <c r="Z662" s="20">
        <f>IF($Y662&lt;=Settings!$B$4*3,"C",IF($Y662&lt;=(Settings!$B$4+Settings!$B$5)*3,"A",IF($Y662&lt;=(Settings!$B$4+Settings!$B$5+Settings!$B$6)*3,"F","")))</f>
        <v/>
      </c>
      <c r="AA662" s="20">
        <f>IF($Z662="C",$Y662,IF($Z662="A",$Y662-Settings!$B$4*3,IF($Z662="F",$Y662-(Settings!$B$4+Settings!$B$5)*3,"")))</f>
        <v/>
      </c>
      <c r="AB662" s="20">
        <f>IF($Z662="","",INT(($AA662-1)/3)+1)</f>
        <v/>
      </c>
      <c r="AC662" s="20">
        <f>IF($Z662="","",MOD($AA662-1,3)+1)</f>
        <v/>
      </c>
      <c r="AD662" s="20">
        <f>IF($Z662="","",Settings!$B$2+$AC662-1)</f>
        <v/>
      </c>
      <c r="AE662" s="21">
        <f>IF($Z662="C",DATE(YEAR(INDEX(Contracts!$J$2:$J$151,$AB662)),MONTH(INDEX(Contracts!$J$2:$J$151,$AB662)),1),IF($Z662="A",DATE(YEAR(INDEX(Fixed_Assets!$G$2:$G$201,$AB662)),MONTH(INDEX(Fixed_Assets!$G$2:$G$201,$AB662)),1),IF($Z662="F",DATE(YEAR(MAX(N(INDEX(Workforce!$I$2:$I$151,MATCH(INDEX(FTE_Allocation!$A$2:$A$201,$AB662),Workforce!$A$2:$A$151,0))),N(INDEX(FTE_Allocation!$I$2:$I$201,$AB662)))),MONTH(MAX(N(INDEX(Workforce!$I$2:$I$151,MATCH(INDEX(FTE_Allocation!$A$2:$A$201,$AB662),Workforce!$A$2:$A$151,0))),N(INDEX(FTE_Allocation!$I$2:$I$201,$AB662)))),1),"")))</f>
        <v/>
      </c>
      <c r="AF662" s="21">
        <f>IF($Z662="C",IF(INDEX(Contracts!$I$2:$I$151,$AB662)="PREPAID",EDATE(DATE(YEAR(INDEX(Contracts!$J$2:$J$151,$AB662)),MONTH(INDEX(Contracts!$J$2:$J$151,$AB662)),1),IF(INDEX(Contracts!$N$2:$N$151,$AB662)="",12,INDEX(Contracts!$N$2:$N$151,$AB662))-1),IF(INDEX(Contracts!$I$2:$I$151,$AB662)="MONTHLY",IF(INDEX(Contracts!$K$2:$K$151,$AB662)="",2958101,INDEX(Contracts!$K$2:$K$151,$AB662)),0)),IF($Z662="A",EDATE(DATE(YEAR(INDEX(Fixed_Assets!$G$2:$G$201,$AB662)),MONTH(INDEX(Fixed_Assets!$G$2:$G$201,$AB662)),1),INDEX(Fixed_Assets!$J$2:$J$201,$AB662)-1),IF($Z662="F",MIN(IF(INDEX(Workforce!$J$2:$J$151,MATCH(INDEX(FTE_Allocation!$A$2:$A$201,$AB662),Workforce!$A$2:$A$151,0))="",2958101,INDEX(Workforce!$J$2:$J$151,MATCH(INDEX(FTE_Allocation!$A$2:$A$201,$AB662),Workforce!$A$2:$A$151,0))),IF(INDEX(FTE_Allocation!$J$2:$J$201,$AB662)="",2958101,INDEX(FTE_Allocation!$J$2:$J$201,$AB662))),"")))</f>
        <v/>
      </c>
      <c r="AG662" s="19">
        <f>IF($Z662="C",IF(INDEX(Contracts!$I$2:$I$151,$AB662)="PREPAID",INDEX(Contracts!$M$2:$M$151,$AB662)/IF(INDEX(Contracts!$N$2:$N$151,$AB662)="",12,INDEX(Contracts!$N$2:$N$151,$AB662)),IF(INDEX(Contracts!$I$2:$I$151,$AB662)="MONTHLY",INDEX(Contracts!$M$2:$M$151,$AB662),0))*(1-N(INDEX(Contracts!$O$2:$O$151,$AB662))),IF($Z662="A",INDEX(Fixed_Assets!$H$2:$H$201,$AB662)/INDEX(Fixed_Assets!$J$2:$J$201,$AB662),IF($Z662="F",INDEX(Workforce!$F$2:$F$151,MATCH(INDEX(FTE_Allocation!$A$2:$A$201,$AB662),Workforce!$A$2:$A$151,0))*N(INDEX(FTE_Allocation!$F$2:$H$201,$AB662,$AC662)),"")))</f>
        <v/>
      </c>
    </row>
    <row r="663">
      <c r="A663" s="7">
        <f>IF($Z663="","",$AD663)</f>
        <v/>
      </c>
      <c r="B663" s="7">
        <f>IF($Z663="C",INDEX(Contracts!$D$2:$D$151,$AB663)&amp;"",IF($Z663="A",INDEX(Fixed_Assets!$C$2:$C$201,$AB663)&amp;"",IF($Z663="F",INDEX(Workforce!$B$2:$B$151,MATCH(INDEX(FTE_Allocation!$A$2:$A$201,$AB663),Workforce!$A$2:$A$151,0))&amp;"","")))</f>
        <v/>
      </c>
      <c r="C663" s="7">
        <f>IF($Z663="C",INDEX(Contracts!$E$2:$E$151,$AB663)&amp;"",IF($Z663="A",INDEX(Fixed_Assets!$D$2:$D$201,$AB663)&amp;"",IF($Z663="F",INDEX(FTE_Allocation!$C$2:$C$201,$AB663)&amp;"","")))</f>
        <v/>
      </c>
      <c r="D663" s="7">
        <f>IF($Z663="C",INDEX(Contracts!$B$2:$B$151,$AB663)&amp;"",IF($Z663="A",INDEX(Fixed_Assets!$B$2:$B$201,$AB663)&amp;"",IF($Z663="F",INDEX(FTE_Allocation!$B$2:$B$201,$AB663)&amp;"","")))</f>
        <v/>
      </c>
      <c r="E663" s="7">
        <f>IF($Z663="C",INDEX(Contracts!$P$2:$P$151,$AB663)&amp;"",IF($Z663="A",INDEX(Fixed_Assets!$K$2:$K$201,$AB663)&amp;"",IF($Z663="F",IF(INDEX(FTE_Allocation!$D$2:$D$201,$AB663)="PROJECT",IFERROR(INDEX(Projects!$D:$D,MATCH(INDEX(FTE_Allocation!$E$2:$E$201,$AB663),Projects!$A:$A,0))&amp;"","#PROJECT?"),INDEX(FTE_Allocation!$E$2:$E$201,$AB663)&amp;""),"")))</f>
        <v/>
      </c>
      <c r="F663" s="7">
        <f>IF($Z663="C",INDEX(Contracts!$Q$2:$Q$151,$AB663)&amp;"",IF($Z663="A",INDEX(Fixed_Assets!$L$2:$L$201,$AB663)&amp;"",IF($Z663="F",INDEX(Workforce!$K$2:$K$151,MATCH(INDEX(FTE_Allocation!$A$2:$A$201,$AB663),Workforce!$A$2:$A$151,0))&amp;"","")))</f>
        <v/>
      </c>
      <c r="G663" s="7">
        <f>IF($Z663="C",INDEX(Contracts!$F$2:$F$151,$AB663)&amp;" / "&amp;INDEX(Contracts!$G$2:$G$151,$AB663),IF($Z663="A",INDEX(Fixed_Assets!$E$2:$E$201,$AB663)&amp;"",IF($Z663="F","Personnel "&amp;INDEX(FTE_Allocation!$A$2:$A$201,$AB663)&amp;IF(INDEX(FTE_Allocation!$D$2:$D$201,$AB663)="PROJECT"," ("&amp;INDEX(FTE_Allocation!$E$2:$E$201,$AB663)&amp;")",""),"")))</f>
        <v/>
      </c>
      <c r="H663" s="7">
        <f>IF($Z663="C","CONTRACT",IF($Z663="A","ASSET",IF($Z663="F","WORKFORCE","")))</f>
        <v/>
      </c>
      <c r="I663" s="7">
        <f>IF($Z663="C",INDEX(Contracts!$L$2:$L$151,$AB663)&amp;"",IF($Z663="A",INDEX(Fixed_Assets!$I$2:$I$201,$AB663)&amp;"",IF($Z663="F",INDEX(Workforce!$G$2:$G$151,MATCH(INDEX(FTE_Allocation!$A$2:$A$201,$AB663),Workforce!$A$2:$A$151,0))&amp;"","")))</f>
        <v/>
      </c>
      <c r="J663" s="18">
        <f>IF($Z663="","",IF(AND(DATE($AD663,1,1)&gt;=$AE663,DATE($AD663,1,1)&lt;=$AF663),ROUND($AG663,2),0))</f>
        <v/>
      </c>
      <c r="K663" s="18">
        <f>IF($Z663="","",IF(AND(DATE($AD663,2,1)&gt;=$AE663,DATE($AD663,2,1)&lt;=$AF663),ROUND($AG663,2),0))</f>
        <v/>
      </c>
      <c r="L663" s="18">
        <f>IF($Z663="","",IF(AND(DATE($AD663,3,1)&gt;=$AE663,DATE($AD663,3,1)&lt;=$AF663),ROUND($AG663,2),0))</f>
        <v/>
      </c>
      <c r="M663" s="18">
        <f>IF($Z663="","",IF(AND(DATE($AD663,4,1)&gt;=$AE663,DATE($AD663,4,1)&lt;=$AF663),ROUND($AG663,2),0))</f>
        <v/>
      </c>
      <c r="N663" s="18">
        <f>IF($Z663="","",IF(AND(DATE($AD663,5,1)&gt;=$AE663,DATE($AD663,5,1)&lt;=$AF663),ROUND($AG663,2),0))</f>
        <v/>
      </c>
      <c r="O663" s="18">
        <f>IF($Z663="","",IF(AND(DATE($AD663,6,1)&gt;=$AE663,DATE($AD663,6,1)&lt;=$AF663),ROUND($AG663,2),0))</f>
        <v/>
      </c>
      <c r="P663" s="18">
        <f>IF($Z663="","",IF(AND(DATE($AD663,7,1)&gt;=$AE663,DATE($AD663,7,1)&lt;=$AF663),ROUND($AG663,2),0))</f>
        <v/>
      </c>
      <c r="Q663" s="18">
        <f>IF($Z663="","",IF(AND(DATE($AD663,8,1)&gt;=$AE663,DATE($AD663,8,1)&lt;=$AF663),ROUND($AG663,2),0))</f>
        <v/>
      </c>
      <c r="R663" s="18">
        <f>IF($Z663="","",IF(AND(DATE($AD663,9,1)&gt;=$AE663,DATE($AD663,9,1)&lt;=$AF663),ROUND($AG663,2),0))</f>
        <v/>
      </c>
      <c r="S663" s="18">
        <f>IF($Z663="","",IF(AND(DATE($AD663,10,1)&gt;=$AE663,DATE($AD663,10,1)&lt;=$AF663),ROUND($AG663,2),0))</f>
        <v/>
      </c>
      <c r="T663" s="18">
        <f>IF($Z663="","",IF(AND(DATE($AD663,11,1)&gt;=$AE663,DATE($AD663,11,1)&lt;=$AF663),ROUND($AG663,2),0))</f>
        <v/>
      </c>
      <c r="U663" s="18">
        <f>IF($Z663="","",IF(AND(DATE($AD663,12,1)&gt;=$AE663,DATE($AD663,12,1)&lt;=$AF663),ROUND($AG663,2),0))</f>
        <v/>
      </c>
      <c r="V663" s="7">
        <f>IF($Z663="C","Generated from "&amp;INDEX(Contracts!$A$2:$A$151,$AB663),IF($Z663="A","Generated from "&amp;INDEX(Fixed_Assets!$A$2:$A$201,$AB663),IF($Z663="F","Generated from "&amp;INDEX(FTE_Allocation!$A$2:$A$201,$AB663),"")))</f>
        <v/>
      </c>
      <c r="X663" s="19">
        <f>IF($Z663="","",SUM(J663:U663))</f>
        <v/>
      </c>
      <c r="Y663" s="20">
        <f>ROW()-1</f>
        <v/>
      </c>
      <c r="Z663" s="20">
        <f>IF($Y663&lt;=Settings!$B$4*3,"C",IF($Y663&lt;=(Settings!$B$4+Settings!$B$5)*3,"A",IF($Y663&lt;=(Settings!$B$4+Settings!$B$5+Settings!$B$6)*3,"F","")))</f>
        <v/>
      </c>
      <c r="AA663" s="20">
        <f>IF($Z663="C",$Y663,IF($Z663="A",$Y663-Settings!$B$4*3,IF($Z663="F",$Y663-(Settings!$B$4+Settings!$B$5)*3,"")))</f>
        <v/>
      </c>
      <c r="AB663" s="20">
        <f>IF($Z663="","",INT(($AA663-1)/3)+1)</f>
        <v/>
      </c>
      <c r="AC663" s="20">
        <f>IF($Z663="","",MOD($AA663-1,3)+1)</f>
        <v/>
      </c>
      <c r="AD663" s="20">
        <f>IF($Z663="","",Settings!$B$2+$AC663-1)</f>
        <v/>
      </c>
      <c r="AE663" s="21">
        <f>IF($Z663="C",DATE(YEAR(INDEX(Contracts!$J$2:$J$151,$AB663)),MONTH(INDEX(Contracts!$J$2:$J$151,$AB663)),1),IF($Z663="A",DATE(YEAR(INDEX(Fixed_Assets!$G$2:$G$201,$AB663)),MONTH(INDEX(Fixed_Assets!$G$2:$G$201,$AB663)),1),IF($Z663="F",DATE(YEAR(MAX(N(INDEX(Workforce!$I$2:$I$151,MATCH(INDEX(FTE_Allocation!$A$2:$A$201,$AB663),Workforce!$A$2:$A$151,0))),N(INDEX(FTE_Allocation!$I$2:$I$201,$AB663)))),MONTH(MAX(N(INDEX(Workforce!$I$2:$I$151,MATCH(INDEX(FTE_Allocation!$A$2:$A$201,$AB663),Workforce!$A$2:$A$151,0))),N(INDEX(FTE_Allocation!$I$2:$I$201,$AB663)))),1),"")))</f>
        <v/>
      </c>
      <c r="AF663" s="21">
        <f>IF($Z663="C",IF(INDEX(Contracts!$I$2:$I$151,$AB663)="PREPAID",EDATE(DATE(YEAR(INDEX(Contracts!$J$2:$J$151,$AB663)),MONTH(INDEX(Contracts!$J$2:$J$151,$AB663)),1),IF(INDEX(Contracts!$N$2:$N$151,$AB663)="",12,INDEX(Contracts!$N$2:$N$151,$AB663))-1),IF(INDEX(Contracts!$I$2:$I$151,$AB663)="MONTHLY",IF(INDEX(Contracts!$K$2:$K$151,$AB663)="",2958101,INDEX(Contracts!$K$2:$K$151,$AB663)),0)),IF($Z663="A",EDATE(DATE(YEAR(INDEX(Fixed_Assets!$G$2:$G$201,$AB663)),MONTH(INDEX(Fixed_Assets!$G$2:$G$201,$AB663)),1),INDEX(Fixed_Assets!$J$2:$J$201,$AB663)-1),IF($Z663="F",MIN(IF(INDEX(Workforce!$J$2:$J$151,MATCH(INDEX(FTE_Allocation!$A$2:$A$201,$AB663),Workforce!$A$2:$A$151,0))="",2958101,INDEX(Workforce!$J$2:$J$151,MATCH(INDEX(FTE_Allocation!$A$2:$A$201,$AB663),Workforce!$A$2:$A$151,0))),IF(INDEX(FTE_Allocation!$J$2:$J$201,$AB663)="",2958101,INDEX(FTE_Allocation!$J$2:$J$201,$AB663))),"")))</f>
        <v/>
      </c>
      <c r="AG663" s="19">
        <f>IF($Z663="C",IF(INDEX(Contracts!$I$2:$I$151,$AB663)="PREPAID",INDEX(Contracts!$M$2:$M$151,$AB663)/IF(INDEX(Contracts!$N$2:$N$151,$AB663)="",12,INDEX(Contracts!$N$2:$N$151,$AB663)),IF(INDEX(Contracts!$I$2:$I$151,$AB663)="MONTHLY",INDEX(Contracts!$M$2:$M$151,$AB663),0))*(1-N(INDEX(Contracts!$O$2:$O$151,$AB663))),IF($Z663="A",INDEX(Fixed_Assets!$H$2:$H$201,$AB663)/INDEX(Fixed_Assets!$J$2:$J$201,$AB663),IF($Z663="F",INDEX(Workforce!$F$2:$F$151,MATCH(INDEX(FTE_Allocation!$A$2:$A$201,$AB663),Workforce!$A$2:$A$151,0))*N(INDEX(FTE_Allocation!$F$2:$H$201,$AB663,$AC663)),"")))</f>
        <v/>
      </c>
    </row>
    <row r="664">
      <c r="A664" s="7">
        <f>IF($Z664="","",$AD664)</f>
        <v/>
      </c>
      <c r="B664" s="7">
        <f>IF($Z664="C",INDEX(Contracts!$D$2:$D$151,$AB664)&amp;"",IF($Z664="A",INDEX(Fixed_Assets!$C$2:$C$201,$AB664)&amp;"",IF($Z664="F",INDEX(Workforce!$B$2:$B$151,MATCH(INDEX(FTE_Allocation!$A$2:$A$201,$AB664),Workforce!$A$2:$A$151,0))&amp;"","")))</f>
        <v/>
      </c>
      <c r="C664" s="7">
        <f>IF($Z664="C",INDEX(Contracts!$E$2:$E$151,$AB664)&amp;"",IF($Z664="A",INDEX(Fixed_Assets!$D$2:$D$201,$AB664)&amp;"",IF($Z664="F",INDEX(FTE_Allocation!$C$2:$C$201,$AB664)&amp;"","")))</f>
        <v/>
      </c>
      <c r="D664" s="7">
        <f>IF($Z664="C",INDEX(Contracts!$B$2:$B$151,$AB664)&amp;"",IF($Z664="A",INDEX(Fixed_Assets!$B$2:$B$201,$AB664)&amp;"",IF($Z664="F",INDEX(FTE_Allocation!$B$2:$B$201,$AB664)&amp;"","")))</f>
        <v/>
      </c>
      <c r="E664" s="7">
        <f>IF($Z664="C",INDEX(Contracts!$P$2:$P$151,$AB664)&amp;"",IF($Z664="A",INDEX(Fixed_Assets!$K$2:$K$201,$AB664)&amp;"",IF($Z664="F",IF(INDEX(FTE_Allocation!$D$2:$D$201,$AB664)="PROJECT",IFERROR(INDEX(Projects!$D:$D,MATCH(INDEX(FTE_Allocation!$E$2:$E$201,$AB664),Projects!$A:$A,0))&amp;"","#PROJECT?"),INDEX(FTE_Allocation!$E$2:$E$201,$AB664)&amp;""),"")))</f>
        <v/>
      </c>
      <c r="F664" s="7">
        <f>IF($Z664="C",INDEX(Contracts!$Q$2:$Q$151,$AB664)&amp;"",IF($Z664="A",INDEX(Fixed_Assets!$L$2:$L$201,$AB664)&amp;"",IF($Z664="F",INDEX(Workforce!$K$2:$K$151,MATCH(INDEX(FTE_Allocation!$A$2:$A$201,$AB664),Workforce!$A$2:$A$151,0))&amp;"","")))</f>
        <v/>
      </c>
      <c r="G664" s="7">
        <f>IF($Z664="C",INDEX(Contracts!$F$2:$F$151,$AB664)&amp;" / "&amp;INDEX(Contracts!$G$2:$G$151,$AB664),IF($Z664="A",INDEX(Fixed_Assets!$E$2:$E$201,$AB664)&amp;"",IF($Z664="F","Personnel "&amp;INDEX(FTE_Allocation!$A$2:$A$201,$AB664)&amp;IF(INDEX(FTE_Allocation!$D$2:$D$201,$AB664)="PROJECT"," ("&amp;INDEX(FTE_Allocation!$E$2:$E$201,$AB664)&amp;")",""),"")))</f>
        <v/>
      </c>
      <c r="H664" s="7">
        <f>IF($Z664="C","CONTRACT",IF($Z664="A","ASSET",IF($Z664="F","WORKFORCE","")))</f>
        <v/>
      </c>
      <c r="I664" s="7">
        <f>IF($Z664="C",INDEX(Contracts!$L$2:$L$151,$AB664)&amp;"",IF($Z664="A",INDEX(Fixed_Assets!$I$2:$I$201,$AB664)&amp;"",IF($Z664="F",INDEX(Workforce!$G$2:$G$151,MATCH(INDEX(FTE_Allocation!$A$2:$A$201,$AB664),Workforce!$A$2:$A$151,0))&amp;"","")))</f>
        <v/>
      </c>
      <c r="J664" s="18">
        <f>IF($Z664="","",IF(AND(DATE($AD664,1,1)&gt;=$AE664,DATE($AD664,1,1)&lt;=$AF664),ROUND($AG664,2),0))</f>
        <v/>
      </c>
      <c r="K664" s="18">
        <f>IF($Z664="","",IF(AND(DATE($AD664,2,1)&gt;=$AE664,DATE($AD664,2,1)&lt;=$AF664),ROUND($AG664,2),0))</f>
        <v/>
      </c>
      <c r="L664" s="18">
        <f>IF($Z664="","",IF(AND(DATE($AD664,3,1)&gt;=$AE664,DATE($AD664,3,1)&lt;=$AF664),ROUND($AG664,2),0))</f>
        <v/>
      </c>
      <c r="M664" s="18">
        <f>IF($Z664="","",IF(AND(DATE($AD664,4,1)&gt;=$AE664,DATE($AD664,4,1)&lt;=$AF664),ROUND($AG664,2),0))</f>
        <v/>
      </c>
      <c r="N664" s="18">
        <f>IF($Z664="","",IF(AND(DATE($AD664,5,1)&gt;=$AE664,DATE($AD664,5,1)&lt;=$AF664),ROUND($AG664,2),0))</f>
        <v/>
      </c>
      <c r="O664" s="18">
        <f>IF($Z664="","",IF(AND(DATE($AD664,6,1)&gt;=$AE664,DATE($AD664,6,1)&lt;=$AF664),ROUND($AG664,2),0))</f>
        <v/>
      </c>
      <c r="P664" s="18">
        <f>IF($Z664="","",IF(AND(DATE($AD664,7,1)&gt;=$AE664,DATE($AD664,7,1)&lt;=$AF664),ROUND($AG664,2),0))</f>
        <v/>
      </c>
      <c r="Q664" s="18">
        <f>IF($Z664="","",IF(AND(DATE($AD664,8,1)&gt;=$AE664,DATE($AD664,8,1)&lt;=$AF664),ROUND($AG664,2),0))</f>
        <v/>
      </c>
      <c r="R664" s="18">
        <f>IF($Z664="","",IF(AND(DATE($AD664,9,1)&gt;=$AE664,DATE($AD664,9,1)&lt;=$AF664),ROUND($AG664,2),0))</f>
        <v/>
      </c>
      <c r="S664" s="18">
        <f>IF($Z664="","",IF(AND(DATE($AD664,10,1)&gt;=$AE664,DATE($AD664,10,1)&lt;=$AF664),ROUND($AG664,2),0))</f>
        <v/>
      </c>
      <c r="T664" s="18">
        <f>IF($Z664="","",IF(AND(DATE($AD664,11,1)&gt;=$AE664,DATE($AD664,11,1)&lt;=$AF664),ROUND($AG664,2),0))</f>
        <v/>
      </c>
      <c r="U664" s="18">
        <f>IF($Z664="","",IF(AND(DATE($AD664,12,1)&gt;=$AE664,DATE($AD664,12,1)&lt;=$AF664),ROUND($AG664,2),0))</f>
        <v/>
      </c>
      <c r="V664" s="7">
        <f>IF($Z664="C","Generated from "&amp;INDEX(Contracts!$A$2:$A$151,$AB664),IF($Z664="A","Generated from "&amp;INDEX(Fixed_Assets!$A$2:$A$201,$AB664),IF($Z664="F","Generated from "&amp;INDEX(FTE_Allocation!$A$2:$A$201,$AB664),"")))</f>
        <v/>
      </c>
      <c r="X664" s="19">
        <f>IF($Z664="","",SUM(J664:U664))</f>
        <v/>
      </c>
      <c r="Y664" s="20">
        <f>ROW()-1</f>
        <v/>
      </c>
      <c r="Z664" s="20">
        <f>IF($Y664&lt;=Settings!$B$4*3,"C",IF($Y664&lt;=(Settings!$B$4+Settings!$B$5)*3,"A",IF($Y664&lt;=(Settings!$B$4+Settings!$B$5+Settings!$B$6)*3,"F","")))</f>
        <v/>
      </c>
      <c r="AA664" s="20">
        <f>IF($Z664="C",$Y664,IF($Z664="A",$Y664-Settings!$B$4*3,IF($Z664="F",$Y664-(Settings!$B$4+Settings!$B$5)*3,"")))</f>
        <v/>
      </c>
      <c r="AB664" s="20">
        <f>IF($Z664="","",INT(($AA664-1)/3)+1)</f>
        <v/>
      </c>
      <c r="AC664" s="20">
        <f>IF($Z664="","",MOD($AA664-1,3)+1)</f>
        <v/>
      </c>
      <c r="AD664" s="20">
        <f>IF($Z664="","",Settings!$B$2+$AC664-1)</f>
        <v/>
      </c>
      <c r="AE664" s="21">
        <f>IF($Z664="C",DATE(YEAR(INDEX(Contracts!$J$2:$J$151,$AB664)),MONTH(INDEX(Contracts!$J$2:$J$151,$AB664)),1),IF($Z664="A",DATE(YEAR(INDEX(Fixed_Assets!$G$2:$G$201,$AB664)),MONTH(INDEX(Fixed_Assets!$G$2:$G$201,$AB664)),1),IF($Z664="F",DATE(YEAR(MAX(N(INDEX(Workforce!$I$2:$I$151,MATCH(INDEX(FTE_Allocation!$A$2:$A$201,$AB664),Workforce!$A$2:$A$151,0))),N(INDEX(FTE_Allocation!$I$2:$I$201,$AB664)))),MONTH(MAX(N(INDEX(Workforce!$I$2:$I$151,MATCH(INDEX(FTE_Allocation!$A$2:$A$201,$AB664),Workforce!$A$2:$A$151,0))),N(INDEX(FTE_Allocation!$I$2:$I$201,$AB664)))),1),"")))</f>
        <v/>
      </c>
      <c r="AF664" s="21">
        <f>IF($Z664="C",IF(INDEX(Contracts!$I$2:$I$151,$AB664)="PREPAID",EDATE(DATE(YEAR(INDEX(Contracts!$J$2:$J$151,$AB664)),MONTH(INDEX(Contracts!$J$2:$J$151,$AB664)),1),IF(INDEX(Contracts!$N$2:$N$151,$AB664)="",12,INDEX(Contracts!$N$2:$N$151,$AB664))-1),IF(INDEX(Contracts!$I$2:$I$151,$AB664)="MONTHLY",IF(INDEX(Contracts!$K$2:$K$151,$AB664)="",2958101,INDEX(Contracts!$K$2:$K$151,$AB664)),0)),IF($Z664="A",EDATE(DATE(YEAR(INDEX(Fixed_Assets!$G$2:$G$201,$AB664)),MONTH(INDEX(Fixed_Assets!$G$2:$G$201,$AB664)),1),INDEX(Fixed_Assets!$J$2:$J$201,$AB664)-1),IF($Z664="F",MIN(IF(INDEX(Workforce!$J$2:$J$151,MATCH(INDEX(FTE_Allocation!$A$2:$A$201,$AB664),Workforce!$A$2:$A$151,0))="",2958101,INDEX(Workforce!$J$2:$J$151,MATCH(INDEX(FTE_Allocation!$A$2:$A$201,$AB664),Workforce!$A$2:$A$151,0))),IF(INDEX(FTE_Allocation!$J$2:$J$201,$AB664)="",2958101,INDEX(FTE_Allocation!$J$2:$J$201,$AB664))),"")))</f>
        <v/>
      </c>
      <c r="AG664" s="19">
        <f>IF($Z664="C",IF(INDEX(Contracts!$I$2:$I$151,$AB664)="PREPAID",INDEX(Contracts!$M$2:$M$151,$AB664)/IF(INDEX(Contracts!$N$2:$N$151,$AB664)="",12,INDEX(Contracts!$N$2:$N$151,$AB664)),IF(INDEX(Contracts!$I$2:$I$151,$AB664)="MONTHLY",INDEX(Contracts!$M$2:$M$151,$AB664),0))*(1-N(INDEX(Contracts!$O$2:$O$151,$AB664))),IF($Z664="A",INDEX(Fixed_Assets!$H$2:$H$201,$AB664)/INDEX(Fixed_Assets!$J$2:$J$201,$AB664),IF($Z664="F",INDEX(Workforce!$F$2:$F$151,MATCH(INDEX(FTE_Allocation!$A$2:$A$201,$AB664),Workforce!$A$2:$A$151,0))*N(INDEX(FTE_Allocation!$F$2:$H$201,$AB664,$AC664)),"")))</f>
        <v/>
      </c>
    </row>
    <row r="665">
      <c r="A665" s="7">
        <f>IF($Z665="","",$AD665)</f>
        <v/>
      </c>
      <c r="B665" s="7">
        <f>IF($Z665="C",INDEX(Contracts!$D$2:$D$151,$AB665)&amp;"",IF($Z665="A",INDEX(Fixed_Assets!$C$2:$C$201,$AB665)&amp;"",IF($Z665="F",INDEX(Workforce!$B$2:$B$151,MATCH(INDEX(FTE_Allocation!$A$2:$A$201,$AB665),Workforce!$A$2:$A$151,0))&amp;"","")))</f>
        <v/>
      </c>
      <c r="C665" s="7">
        <f>IF($Z665="C",INDEX(Contracts!$E$2:$E$151,$AB665)&amp;"",IF($Z665="A",INDEX(Fixed_Assets!$D$2:$D$201,$AB665)&amp;"",IF($Z665="F",INDEX(FTE_Allocation!$C$2:$C$201,$AB665)&amp;"","")))</f>
        <v/>
      </c>
      <c r="D665" s="7">
        <f>IF($Z665="C",INDEX(Contracts!$B$2:$B$151,$AB665)&amp;"",IF($Z665="A",INDEX(Fixed_Assets!$B$2:$B$201,$AB665)&amp;"",IF($Z665="F",INDEX(FTE_Allocation!$B$2:$B$201,$AB665)&amp;"","")))</f>
        <v/>
      </c>
      <c r="E665" s="7">
        <f>IF($Z665="C",INDEX(Contracts!$P$2:$P$151,$AB665)&amp;"",IF($Z665="A",INDEX(Fixed_Assets!$K$2:$K$201,$AB665)&amp;"",IF($Z665="F",IF(INDEX(FTE_Allocation!$D$2:$D$201,$AB665)="PROJECT",IFERROR(INDEX(Projects!$D:$D,MATCH(INDEX(FTE_Allocation!$E$2:$E$201,$AB665),Projects!$A:$A,0))&amp;"","#PROJECT?"),INDEX(FTE_Allocation!$E$2:$E$201,$AB665)&amp;""),"")))</f>
        <v/>
      </c>
      <c r="F665" s="7">
        <f>IF($Z665="C",INDEX(Contracts!$Q$2:$Q$151,$AB665)&amp;"",IF($Z665="A",INDEX(Fixed_Assets!$L$2:$L$201,$AB665)&amp;"",IF($Z665="F",INDEX(Workforce!$K$2:$K$151,MATCH(INDEX(FTE_Allocation!$A$2:$A$201,$AB665),Workforce!$A$2:$A$151,0))&amp;"","")))</f>
        <v/>
      </c>
      <c r="G665" s="7">
        <f>IF($Z665="C",INDEX(Contracts!$F$2:$F$151,$AB665)&amp;" / "&amp;INDEX(Contracts!$G$2:$G$151,$AB665),IF($Z665="A",INDEX(Fixed_Assets!$E$2:$E$201,$AB665)&amp;"",IF($Z665="F","Personnel "&amp;INDEX(FTE_Allocation!$A$2:$A$201,$AB665)&amp;IF(INDEX(FTE_Allocation!$D$2:$D$201,$AB665)="PROJECT"," ("&amp;INDEX(FTE_Allocation!$E$2:$E$201,$AB665)&amp;")",""),"")))</f>
        <v/>
      </c>
      <c r="H665" s="7">
        <f>IF($Z665="C","CONTRACT",IF($Z665="A","ASSET",IF($Z665="F","WORKFORCE","")))</f>
        <v/>
      </c>
      <c r="I665" s="7">
        <f>IF($Z665="C",INDEX(Contracts!$L$2:$L$151,$AB665)&amp;"",IF($Z665="A",INDEX(Fixed_Assets!$I$2:$I$201,$AB665)&amp;"",IF($Z665="F",INDEX(Workforce!$G$2:$G$151,MATCH(INDEX(FTE_Allocation!$A$2:$A$201,$AB665),Workforce!$A$2:$A$151,0))&amp;"","")))</f>
        <v/>
      </c>
      <c r="J665" s="18">
        <f>IF($Z665="","",IF(AND(DATE($AD665,1,1)&gt;=$AE665,DATE($AD665,1,1)&lt;=$AF665),ROUND($AG665,2),0))</f>
        <v/>
      </c>
      <c r="K665" s="18">
        <f>IF($Z665="","",IF(AND(DATE($AD665,2,1)&gt;=$AE665,DATE($AD665,2,1)&lt;=$AF665),ROUND($AG665,2),0))</f>
        <v/>
      </c>
      <c r="L665" s="18">
        <f>IF($Z665="","",IF(AND(DATE($AD665,3,1)&gt;=$AE665,DATE($AD665,3,1)&lt;=$AF665),ROUND($AG665,2),0))</f>
        <v/>
      </c>
      <c r="M665" s="18">
        <f>IF($Z665="","",IF(AND(DATE($AD665,4,1)&gt;=$AE665,DATE($AD665,4,1)&lt;=$AF665),ROUND($AG665,2),0))</f>
        <v/>
      </c>
      <c r="N665" s="18">
        <f>IF($Z665="","",IF(AND(DATE($AD665,5,1)&gt;=$AE665,DATE($AD665,5,1)&lt;=$AF665),ROUND($AG665,2),0))</f>
        <v/>
      </c>
      <c r="O665" s="18">
        <f>IF($Z665="","",IF(AND(DATE($AD665,6,1)&gt;=$AE665,DATE($AD665,6,1)&lt;=$AF665),ROUND($AG665,2),0))</f>
        <v/>
      </c>
      <c r="P665" s="18">
        <f>IF($Z665="","",IF(AND(DATE($AD665,7,1)&gt;=$AE665,DATE($AD665,7,1)&lt;=$AF665),ROUND($AG665,2),0))</f>
        <v/>
      </c>
      <c r="Q665" s="18">
        <f>IF($Z665="","",IF(AND(DATE($AD665,8,1)&gt;=$AE665,DATE($AD665,8,1)&lt;=$AF665),ROUND($AG665,2),0))</f>
        <v/>
      </c>
      <c r="R665" s="18">
        <f>IF($Z665="","",IF(AND(DATE($AD665,9,1)&gt;=$AE665,DATE($AD665,9,1)&lt;=$AF665),ROUND($AG665,2),0))</f>
        <v/>
      </c>
      <c r="S665" s="18">
        <f>IF($Z665="","",IF(AND(DATE($AD665,10,1)&gt;=$AE665,DATE($AD665,10,1)&lt;=$AF665),ROUND($AG665,2),0))</f>
        <v/>
      </c>
      <c r="T665" s="18">
        <f>IF($Z665="","",IF(AND(DATE($AD665,11,1)&gt;=$AE665,DATE($AD665,11,1)&lt;=$AF665),ROUND($AG665,2),0))</f>
        <v/>
      </c>
      <c r="U665" s="18">
        <f>IF($Z665="","",IF(AND(DATE($AD665,12,1)&gt;=$AE665,DATE($AD665,12,1)&lt;=$AF665),ROUND($AG665,2),0))</f>
        <v/>
      </c>
      <c r="V665" s="7">
        <f>IF($Z665="C","Generated from "&amp;INDEX(Contracts!$A$2:$A$151,$AB665),IF($Z665="A","Generated from "&amp;INDEX(Fixed_Assets!$A$2:$A$201,$AB665),IF($Z665="F","Generated from "&amp;INDEX(FTE_Allocation!$A$2:$A$201,$AB665),"")))</f>
        <v/>
      </c>
      <c r="X665" s="19">
        <f>IF($Z665="","",SUM(J665:U665))</f>
        <v/>
      </c>
      <c r="Y665" s="20">
        <f>ROW()-1</f>
        <v/>
      </c>
      <c r="Z665" s="20">
        <f>IF($Y665&lt;=Settings!$B$4*3,"C",IF($Y665&lt;=(Settings!$B$4+Settings!$B$5)*3,"A",IF($Y665&lt;=(Settings!$B$4+Settings!$B$5+Settings!$B$6)*3,"F","")))</f>
        <v/>
      </c>
      <c r="AA665" s="20">
        <f>IF($Z665="C",$Y665,IF($Z665="A",$Y665-Settings!$B$4*3,IF($Z665="F",$Y665-(Settings!$B$4+Settings!$B$5)*3,"")))</f>
        <v/>
      </c>
      <c r="AB665" s="20">
        <f>IF($Z665="","",INT(($AA665-1)/3)+1)</f>
        <v/>
      </c>
      <c r="AC665" s="20">
        <f>IF($Z665="","",MOD($AA665-1,3)+1)</f>
        <v/>
      </c>
      <c r="AD665" s="20">
        <f>IF($Z665="","",Settings!$B$2+$AC665-1)</f>
        <v/>
      </c>
      <c r="AE665" s="21">
        <f>IF($Z665="C",DATE(YEAR(INDEX(Contracts!$J$2:$J$151,$AB665)),MONTH(INDEX(Contracts!$J$2:$J$151,$AB665)),1),IF($Z665="A",DATE(YEAR(INDEX(Fixed_Assets!$G$2:$G$201,$AB665)),MONTH(INDEX(Fixed_Assets!$G$2:$G$201,$AB665)),1),IF($Z665="F",DATE(YEAR(MAX(N(INDEX(Workforce!$I$2:$I$151,MATCH(INDEX(FTE_Allocation!$A$2:$A$201,$AB665),Workforce!$A$2:$A$151,0))),N(INDEX(FTE_Allocation!$I$2:$I$201,$AB665)))),MONTH(MAX(N(INDEX(Workforce!$I$2:$I$151,MATCH(INDEX(FTE_Allocation!$A$2:$A$201,$AB665),Workforce!$A$2:$A$151,0))),N(INDEX(FTE_Allocation!$I$2:$I$201,$AB665)))),1),"")))</f>
        <v/>
      </c>
      <c r="AF665" s="21">
        <f>IF($Z665="C",IF(INDEX(Contracts!$I$2:$I$151,$AB665)="PREPAID",EDATE(DATE(YEAR(INDEX(Contracts!$J$2:$J$151,$AB665)),MONTH(INDEX(Contracts!$J$2:$J$151,$AB665)),1),IF(INDEX(Contracts!$N$2:$N$151,$AB665)="",12,INDEX(Contracts!$N$2:$N$151,$AB665))-1),IF(INDEX(Contracts!$I$2:$I$151,$AB665)="MONTHLY",IF(INDEX(Contracts!$K$2:$K$151,$AB665)="",2958101,INDEX(Contracts!$K$2:$K$151,$AB665)),0)),IF($Z665="A",EDATE(DATE(YEAR(INDEX(Fixed_Assets!$G$2:$G$201,$AB665)),MONTH(INDEX(Fixed_Assets!$G$2:$G$201,$AB665)),1),INDEX(Fixed_Assets!$J$2:$J$201,$AB665)-1),IF($Z665="F",MIN(IF(INDEX(Workforce!$J$2:$J$151,MATCH(INDEX(FTE_Allocation!$A$2:$A$201,$AB665),Workforce!$A$2:$A$151,0))="",2958101,INDEX(Workforce!$J$2:$J$151,MATCH(INDEX(FTE_Allocation!$A$2:$A$201,$AB665),Workforce!$A$2:$A$151,0))),IF(INDEX(FTE_Allocation!$J$2:$J$201,$AB665)="",2958101,INDEX(FTE_Allocation!$J$2:$J$201,$AB665))),"")))</f>
        <v/>
      </c>
      <c r="AG665" s="19">
        <f>IF($Z665="C",IF(INDEX(Contracts!$I$2:$I$151,$AB665)="PREPAID",INDEX(Contracts!$M$2:$M$151,$AB665)/IF(INDEX(Contracts!$N$2:$N$151,$AB665)="",12,INDEX(Contracts!$N$2:$N$151,$AB665)),IF(INDEX(Contracts!$I$2:$I$151,$AB665)="MONTHLY",INDEX(Contracts!$M$2:$M$151,$AB665),0))*(1-N(INDEX(Contracts!$O$2:$O$151,$AB665))),IF($Z665="A",INDEX(Fixed_Assets!$H$2:$H$201,$AB665)/INDEX(Fixed_Assets!$J$2:$J$201,$AB665),IF($Z665="F",INDEX(Workforce!$F$2:$F$151,MATCH(INDEX(FTE_Allocation!$A$2:$A$201,$AB665),Workforce!$A$2:$A$151,0))*N(INDEX(FTE_Allocation!$F$2:$H$201,$AB665,$AC665)),"")))</f>
        <v/>
      </c>
    </row>
    <row r="666">
      <c r="A666" s="7">
        <f>IF($Z666="","",$AD666)</f>
        <v/>
      </c>
      <c r="B666" s="7">
        <f>IF($Z666="C",INDEX(Contracts!$D$2:$D$151,$AB666)&amp;"",IF($Z666="A",INDEX(Fixed_Assets!$C$2:$C$201,$AB666)&amp;"",IF($Z666="F",INDEX(Workforce!$B$2:$B$151,MATCH(INDEX(FTE_Allocation!$A$2:$A$201,$AB666),Workforce!$A$2:$A$151,0))&amp;"","")))</f>
        <v/>
      </c>
      <c r="C666" s="7">
        <f>IF($Z666="C",INDEX(Contracts!$E$2:$E$151,$AB666)&amp;"",IF($Z666="A",INDEX(Fixed_Assets!$D$2:$D$201,$AB666)&amp;"",IF($Z666="F",INDEX(FTE_Allocation!$C$2:$C$201,$AB666)&amp;"","")))</f>
        <v/>
      </c>
      <c r="D666" s="7">
        <f>IF($Z666="C",INDEX(Contracts!$B$2:$B$151,$AB666)&amp;"",IF($Z666="A",INDEX(Fixed_Assets!$B$2:$B$201,$AB666)&amp;"",IF($Z666="F",INDEX(FTE_Allocation!$B$2:$B$201,$AB666)&amp;"","")))</f>
        <v/>
      </c>
      <c r="E666" s="7">
        <f>IF($Z666="C",INDEX(Contracts!$P$2:$P$151,$AB666)&amp;"",IF($Z666="A",INDEX(Fixed_Assets!$K$2:$K$201,$AB666)&amp;"",IF($Z666="F",IF(INDEX(FTE_Allocation!$D$2:$D$201,$AB666)="PROJECT",IFERROR(INDEX(Projects!$D:$D,MATCH(INDEX(FTE_Allocation!$E$2:$E$201,$AB666),Projects!$A:$A,0))&amp;"","#PROJECT?"),INDEX(FTE_Allocation!$E$2:$E$201,$AB666)&amp;""),"")))</f>
        <v/>
      </c>
      <c r="F666" s="7">
        <f>IF($Z666="C",INDEX(Contracts!$Q$2:$Q$151,$AB666)&amp;"",IF($Z666="A",INDEX(Fixed_Assets!$L$2:$L$201,$AB666)&amp;"",IF($Z666="F",INDEX(Workforce!$K$2:$K$151,MATCH(INDEX(FTE_Allocation!$A$2:$A$201,$AB666),Workforce!$A$2:$A$151,0))&amp;"","")))</f>
        <v/>
      </c>
      <c r="G666" s="7">
        <f>IF($Z666="C",INDEX(Contracts!$F$2:$F$151,$AB666)&amp;" / "&amp;INDEX(Contracts!$G$2:$G$151,$AB666),IF($Z666="A",INDEX(Fixed_Assets!$E$2:$E$201,$AB666)&amp;"",IF($Z666="F","Personnel "&amp;INDEX(FTE_Allocation!$A$2:$A$201,$AB666)&amp;IF(INDEX(FTE_Allocation!$D$2:$D$201,$AB666)="PROJECT"," ("&amp;INDEX(FTE_Allocation!$E$2:$E$201,$AB666)&amp;")",""),"")))</f>
        <v/>
      </c>
      <c r="H666" s="7">
        <f>IF($Z666="C","CONTRACT",IF($Z666="A","ASSET",IF($Z666="F","WORKFORCE","")))</f>
        <v/>
      </c>
      <c r="I666" s="7">
        <f>IF($Z666="C",INDEX(Contracts!$L$2:$L$151,$AB666)&amp;"",IF($Z666="A",INDEX(Fixed_Assets!$I$2:$I$201,$AB666)&amp;"",IF($Z666="F",INDEX(Workforce!$G$2:$G$151,MATCH(INDEX(FTE_Allocation!$A$2:$A$201,$AB666),Workforce!$A$2:$A$151,0))&amp;"","")))</f>
        <v/>
      </c>
      <c r="J666" s="18">
        <f>IF($Z666="","",IF(AND(DATE($AD666,1,1)&gt;=$AE666,DATE($AD666,1,1)&lt;=$AF666),ROUND($AG666,2),0))</f>
        <v/>
      </c>
      <c r="K666" s="18">
        <f>IF($Z666="","",IF(AND(DATE($AD666,2,1)&gt;=$AE666,DATE($AD666,2,1)&lt;=$AF666),ROUND($AG666,2),0))</f>
        <v/>
      </c>
      <c r="L666" s="18">
        <f>IF($Z666="","",IF(AND(DATE($AD666,3,1)&gt;=$AE666,DATE($AD666,3,1)&lt;=$AF666),ROUND($AG666,2),0))</f>
        <v/>
      </c>
      <c r="M666" s="18">
        <f>IF($Z666="","",IF(AND(DATE($AD666,4,1)&gt;=$AE666,DATE($AD666,4,1)&lt;=$AF666),ROUND($AG666,2),0))</f>
        <v/>
      </c>
      <c r="N666" s="18">
        <f>IF($Z666="","",IF(AND(DATE($AD666,5,1)&gt;=$AE666,DATE($AD666,5,1)&lt;=$AF666),ROUND($AG666,2),0))</f>
        <v/>
      </c>
      <c r="O666" s="18">
        <f>IF($Z666="","",IF(AND(DATE($AD666,6,1)&gt;=$AE666,DATE($AD666,6,1)&lt;=$AF666),ROUND($AG666,2),0))</f>
        <v/>
      </c>
      <c r="P666" s="18">
        <f>IF($Z666="","",IF(AND(DATE($AD666,7,1)&gt;=$AE666,DATE($AD666,7,1)&lt;=$AF666),ROUND($AG666,2),0))</f>
        <v/>
      </c>
      <c r="Q666" s="18">
        <f>IF($Z666="","",IF(AND(DATE($AD666,8,1)&gt;=$AE666,DATE($AD666,8,1)&lt;=$AF666),ROUND($AG666,2),0))</f>
        <v/>
      </c>
      <c r="R666" s="18">
        <f>IF($Z666="","",IF(AND(DATE($AD666,9,1)&gt;=$AE666,DATE($AD666,9,1)&lt;=$AF666),ROUND($AG666,2),0))</f>
        <v/>
      </c>
      <c r="S666" s="18">
        <f>IF($Z666="","",IF(AND(DATE($AD666,10,1)&gt;=$AE666,DATE($AD666,10,1)&lt;=$AF666),ROUND($AG666,2),0))</f>
        <v/>
      </c>
      <c r="T666" s="18">
        <f>IF($Z666="","",IF(AND(DATE($AD666,11,1)&gt;=$AE666,DATE($AD666,11,1)&lt;=$AF666),ROUND($AG666,2),0))</f>
        <v/>
      </c>
      <c r="U666" s="18">
        <f>IF($Z666="","",IF(AND(DATE($AD666,12,1)&gt;=$AE666,DATE($AD666,12,1)&lt;=$AF666),ROUND($AG666,2),0))</f>
        <v/>
      </c>
      <c r="V666" s="7">
        <f>IF($Z666="C","Generated from "&amp;INDEX(Contracts!$A$2:$A$151,$AB666),IF($Z666="A","Generated from "&amp;INDEX(Fixed_Assets!$A$2:$A$201,$AB666),IF($Z666="F","Generated from "&amp;INDEX(FTE_Allocation!$A$2:$A$201,$AB666),"")))</f>
        <v/>
      </c>
      <c r="X666" s="19">
        <f>IF($Z666="","",SUM(J666:U666))</f>
        <v/>
      </c>
      <c r="Y666" s="20">
        <f>ROW()-1</f>
        <v/>
      </c>
      <c r="Z666" s="20">
        <f>IF($Y666&lt;=Settings!$B$4*3,"C",IF($Y666&lt;=(Settings!$B$4+Settings!$B$5)*3,"A",IF($Y666&lt;=(Settings!$B$4+Settings!$B$5+Settings!$B$6)*3,"F","")))</f>
        <v/>
      </c>
      <c r="AA666" s="20">
        <f>IF($Z666="C",$Y666,IF($Z666="A",$Y666-Settings!$B$4*3,IF($Z666="F",$Y666-(Settings!$B$4+Settings!$B$5)*3,"")))</f>
        <v/>
      </c>
      <c r="AB666" s="20">
        <f>IF($Z666="","",INT(($AA666-1)/3)+1)</f>
        <v/>
      </c>
      <c r="AC666" s="20">
        <f>IF($Z666="","",MOD($AA666-1,3)+1)</f>
        <v/>
      </c>
      <c r="AD666" s="20">
        <f>IF($Z666="","",Settings!$B$2+$AC666-1)</f>
        <v/>
      </c>
      <c r="AE666" s="21">
        <f>IF($Z666="C",DATE(YEAR(INDEX(Contracts!$J$2:$J$151,$AB666)),MONTH(INDEX(Contracts!$J$2:$J$151,$AB666)),1),IF($Z666="A",DATE(YEAR(INDEX(Fixed_Assets!$G$2:$G$201,$AB666)),MONTH(INDEX(Fixed_Assets!$G$2:$G$201,$AB666)),1),IF($Z666="F",DATE(YEAR(MAX(N(INDEX(Workforce!$I$2:$I$151,MATCH(INDEX(FTE_Allocation!$A$2:$A$201,$AB666),Workforce!$A$2:$A$151,0))),N(INDEX(FTE_Allocation!$I$2:$I$201,$AB666)))),MONTH(MAX(N(INDEX(Workforce!$I$2:$I$151,MATCH(INDEX(FTE_Allocation!$A$2:$A$201,$AB666),Workforce!$A$2:$A$151,0))),N(INDEX(FTE_Allocation!$I$2:$I$201,$AB666)))),1),"")))</f>
        <v/>
      </c>
      <c r="AF666" s="21">
        <f>IF($Z666="C",IF(INDEX(Contracts!$I$2:$I$151,$AB666)="PREPAID",EDATE(DATE(YEAR(INDEX(Contracts!$J$2:$J$151,$AB666)),MONTH(INDEX(Contracts!$J$2:$J$151,$AB666)),1),IF(INDEX(Contracts!$N$2:$N$151,$AB666)="",12,INDEX(Contracts!$N$2:$N$151,$AB666))-1),IF(INDEX(Contracts!$I$2:$I$151,$AB666)="MONTHLY",IF(INDEX(Contracts!$K$2:$K$151,$AB666)="",2958101,INDEX(Contracts!$K$2:$K$151,$AB666)),0)),IF($Z666="A",EDATE(DATE(YEAR(INDEX(Fixed_Assets!$G$2:$G$201,$AB666)),MONTH(INDEX(Fixed_Assets!$G$2:$G$201,$AB666)),1),INDEX(Fixed_Assets!$J$2:$J$201,$AB666)-1),IF($Z666="F",MIN(IF(INDEX(Workforce!$J$2:$J$151,MATCH(INDEX(FTE_Allocation!$A$2:$A$201,$AB666),Workforce!$A$2:$A$151,0))="",2958101,INDEX(Workforce!$J$2:$J$151,MATCH(INDEX(FTE_Allocation!$A$2:$A$201,$AB666),Workforce!$A$2:$A$151,0))),IF(INDEX(FTE_Allocation!$J$2:$J$201,$AB666)="",2958101,INDEX(FTE_Allocation!$J$2:$J$201,$AB666))),"")))</f>
        <v/>
      </c>
      <c r="AG666" s="19">
        <f>IF($Z666="C",IF(INDEX(Contracts!$I$2:$I$151,$AB666)="PREPAID",INDEX(Contracts!$M$2:$M$151,$AB666)/IF(INDEX(Contracts!$N$2:$N$151,$AB666)="",12,INDEX(Contracts!$N$2:$N$151,$AB666)),IF(INDEX(Contracts!$I$2:$I$151,$AB666)="MONTHLY",INDEX(Contracts!$M$2:$M$151,$AB666),0))*(1-N(INDEX(Contracts!$O$2:$O$151,$AB666))),IF($Z666="A",INDEX(Fixed_Assets!$H$2:$H$201,$AB666)/INDEX(Fixed_Assets!$J$2:$J$201,$AB666),IF($Z666="F",INDEX(Workforce!$F$2:$F$151,MATCH(INDEX(FTE_Allocation!$A$2:$A$201,$AB666),Workforce!$A$2:$A$151,0))*N(INDEX(FTE_Allocation!$F$2:$H$201,$AB666,$AC666)),"")))</f>
        <v/>
      </c>
    </row>
    <row r="667">
      <c r="A667" s="7">
        <f>IF($Z667="","",$AD667)</f>
        <v/>
      </c>
      <c r="B667" s="7">
        <f>IF($Z667="C",INDEX(Contracts!$D$2:$D$151,$AB667)&amp;"",IF($Z667="A",INDEX(Fixed_Assets!$C$2:$C$201,$AB667)&amp;"",IF($Z667="F",INDEX(Workforce!$B$2:$B$151,MATCH(INDEX(FTE_Allocation!$A$2:$A$201,$AB667),Workforce!$A$2:$A$151,0))&amp;"","")))</f>
        <v/>
      </c>
      <c r="C667" s="7">
        <f>IF($Z667="C",INDEX(Contracts!$E$2:$E$151,$AB667)&amp;"",IF($Z667="A",INDEX(Fixed_Assets!$D$2:$D$201,$AB667)&amp;"",IF($Z667="F",INDEX(FTE_Allocation!$C$2:$C$201,$AB667)&amp;"","")))</f>
        <v/>
      </c>
      <c r="D667" s="7">
        <f>IF($Z667="C",INDEX(Contracts!$B$2:$B$151,$AB667)&amp;"",IF($Z667="A",INDEX(Fixed_Assets!$B$2:$B$201,$AB667)&amp;"",IF($Z667="F",INDEX(FTE_Allocation!$B$2:$B$201,$AB667)&amp;"","")))</f>
        <v/>
      </c>
      <c r="E667" s="7">
        <f>IF($Z667="C",INDEX(Contracts!$P$2:$P$151,$AB667)&amp;"",IF($Z667="A",INDEX(Fixed_Assets!$K$2:$K$201,$AB667)&amp;"",IF($Z667="F",IF(INDEX(FTE_Allocation!$D$2:$D$201,$AB667)="PROJECT",IFERROR(INDEX(Projects!$D:$D,MATCH(INDEX(FTE_Allocation!$E$2:$E$201,$AB667),Projects!$A:$A,0))&amp;"","#PROJECT?"),INDEX(FTE_Allocation!$E$2:$E$201,$AB667)&amp;""),"")))</f>
        <v/>
      </c>
      <c r="F667" s="7">
        <f>IF($Z667="C",INDEX(Contracts!$Q$2:$Q$151,$AB667)&amp;"",IF($Z667="A",INDEX(Fixed_Assets!$L$2:$L$201,$AB667)&amp;"",IF($Z667="F",INDEX(Workforce!$K$2:$K$151,MATCH(INDEX(FTE_Allocation!$A$2:$A$201,$AB667),Workforce!$A$2:$A$151,0))&amp;"","")))</f>
        <v/>
      </c>
      <c r="G667" s="7">
        <f>IF($Z667="C",INDEX(Contracts!$F$2:$F$151,$AB667)&amp;" / "&amp;INDEX(Contracts!$G$2:$G$151,$AB667),IF($Z667="A",INDEX(Fixed_Assets!$E$2:$E$201,$AB667)&amp;"",IF($Z667="F","Personnel "&amp;INDEX(FTE_Allocation!$A$2:$A$201,$AB667)&amp;IF(INDEX(FTE_Allocation!$D$2:$D$201,$AB667)="PROJECT"," ("&amp;INDEX(FTE_Allocation!$E$2:$E$201,$AB667)&amp;")",""),"")))</f>
        <v/>
      </c>
      <c r="H667" s="7">
        <f>IF($Z667="C","CONTRACT",IF($Z667="A","ASSET",IF($Z667="F","WORKFORCE","")))</f>
        <v/>
      </c>
      <c r="I667" s="7">
        <f>IF($Z667="C",INDEX(Contracts!$L$2:$L$151,$AB667)&amp;"",IF($Z667="A",INDEX(Fixed_Assets!$I$2:$I$201,$AB667)&amp;"",IF($Z667="F",INDEX(Workforce!$G$2:$G$151,MATCH(INDEX(FTE_Allocation!$A$2:$A$201,$AB667),Workforce!$A$2:$A$151,0))&amp;"","")))</f>
        <v/>
      </c>
      <c r="J667" s="18">
        <f>IF($Z667="","",IF(AND(DATE($AD667,1,1)&gt;=$AE667,DATE($AD667,1,1)&lt;=$AF667),ROUND($AG667,2),0))</f>
        <v/>
      </c>
      <c r="K667" s="18">
        <f>IF($Z667="","",IF(AND(DATE($AD667,2,1)&gt;=$AE667,DATE($AD667,2,1)&lt;=$AF667),ROUND($AG667,2),0))</f>
        <v/>
      </c>
      <c r="L667" s="18">
        <f>IF($Z667="","",IF(AND(DATE($AD667,3,1)&gt;=$AE667,DATE($AD667,3,1)&lt;=$AF667),ROUND($AG667,2),0))</f>
        <v/>
      </c>
      <c r="M667" s="18">
        <f>IF($Z667="","",IF(AND(DATE($AD667,4,1)&gt;=$AE667,DATE($AD667,4,1)&lt;=$AF667),ROUND($AG667,2),0))</f>
        <v/>
      </c>
      <c r="N667" s="18">
        <f>IF($Z667="","",IF(AND(DATE($AD667,5,1)&gt;=$AE667,DATE($AD667,5,1)&lt;=$AF667),ROUND($AG667,2),0))</f>
        <v/>
      </c>
      <c r="O667" s="18">
        <f>IF($Z667="","",IF(AND(DATE($AD667,6,1)&gt;=$AE667,DATE($AD667,6,1)&lt;=$AF667),ROUND($AG667,2),0))</f>
        <v/>
      </c>
      <c r="P667" s="18">
        <f>IF($Z667="","",IF(AND(DATE($AD667,7,1)&gt;=$AE667,DATE($AD667,7,1)&lt;=$AF667),ROUND($AG667,2),0))</f>
        <v/>
      </c>
      <c r="Q667" s="18">
        <f>IF($Z667="","",IF(AND(DATE($AD667,8,1)&gt;=$AE667,DATE($AD667,8,1)&lt;=$AF667),ROUND($AG667,2),0))</f>
        <v/>
      </c>
      <c r="R667" s="18">
        <f>IF($Z667="","",IF(AND(DATE($AD667,9,1)&gt;=$AE667,DATE($AD667,9,1)&lt;=$AF667),ROUND($AG667,2),0))</f>
        <v/>
      </c>
      <c r="S667" s="18">
        <f>IF($Z667="","",IF(AND(DATE($AD667,10,1)&gt;=$AE667,DATE($AD667,10,1)&lt;=$AF667),ROUND($AG667,2),0))</f>
        <v/>
      </c>
      <c r="T667" s="18">
        <f>IF($Z667="","",IF(AND(DATE($AD667,11,1)&gt;=$AE667,DATE($AD667,11,1)&lt;=$AF667),ROUND($AG667,2),0))</f>
        <v/>
      </c>
      <c r="U667" s="18">
        <f>IF($Z667="","",IF(AND(DATE($AD667,12,1)&gt;=$AE667,DATE($AD667,12,1)&lt;=$AF667),ROUND($AG667,2),0))</f>
        <v/>
      </c>
      <c r="V667" s="7">
        <f>IF($Z667="C","Generated from "&amp;INDEX(Contracts!$A$2:$A$151,$AB667),IF($Z667="A","Generated from "&amp;INDEX(Fixed_Assets!$A$2:$A$201,$AB667),IF($Z667="F","Generated from "&amp;INDEX(FTE_Allocation!$A$2:$A$201,$AB667),"")))</f>
        <v/>
      </c>
      <c r="X667" s="19">
        <f>IF($Z667="","",SUM(J667:U667))</f>
        <v/>
      </c>
      <c r="Y667" s="20">
        <f>ROW()-1</f>
        <v/>
      </c>
      <c r="Z667" s="20">
        <f>IF($Y667&lt;=Settings!$B$4*3,"C",IF($Y667&lt;=(Settings!$B$4+Settings!$B$5)*3,"A",IF($Y667&lt;=(Settings!$B$4+Settings!$B$5+Settings!$B$6)*3,"F","")))</f>
        <v/>
      </c>
      <c r="AA667" s="20">
        <f>IF($Z667="C",$Y667,IF($Z667="A",$Y667-Settings!$B$4*3,IF($Z667="F",$Y667-(Settings!$B$4+Settings!$B$5)*3,"")))</f>
        <v/>
      </c>
      <c r="AB667" s="20">
        <f>IF($Z667="","",INT(($AA667-1)/3)+1)</f>
        <v/>
      </c>
      <c r="AC667" s="20">
        <f>IF($Z667="","",MOD($AA667-1,3)+1)</f>
        <v/>
      </c>
      <c r="AD667" s="20">
        <f>IF($Z667="","",Settings!$B$2+$AC667-1)</f>
        <v/>
      </c>
      <c r="AE667" s="21">
        <f>IF($Z667="C",DATE(YEAR(INDEX(Contracts!$J$2:$J$151,$AB667)),MONTH(INDEX(Contracts!$J$2:$J$151,$AB667)),1),IF($Z667="A",DATE(YEAR(INDEX(Fixed_Assets!$G$2:$G$201,$AB667)),MONTH(INDEX(Fixed_Assets!$G$2:$G$201,$AB667)),1),IF($Z667="F",DATE(YEAR(MAX(N(INDEX(Workforce!$I$2:$I$151,MATCH(INDEX(FTE_Allocation!$A$2:$A$201,$AB667),Workforce!$A$2:$A$151,0))),N(INDEX(FTE_Allocation!$I$2:$I$201,$AB667)))),MONTH(MAX(N(INDEX(Workforce!$I$2:$I$151,MATCH(INDEX(FTE_Allocation!$A$2:$A$201,$AB667),Workforce!$A$2:$A$151,0))),N(INDEX(FTE_Allocation!$I$2:$I$201,$AB667)))),1),"")))</f>
        <v/>
      </c>
      <c r="AF667" s="21">
        <f>IF($Z667="C",IF(INDEX(Contracts!$I$2:$I$151,$AB667)="PREPAID",EDATE(DATE(YEAR(INDEX(Contracts!$J$2:$J$151,$AB667)),MONTH(INDEX(Contracts!$J$2:$J$151,$AB667)),1),IF(INDEX(Contracts!$N$2:$N$151,$AB667)="",12,INDEX(Contracts!$N$2:$N$151,$AB667))-1),IF(INDEX(Contracts!$I$2:$I$151,$AB667)="MONTHLY",IF(INDEX(Contracts!$K$2:$K$151,$AB667)="",2958101,INDEX(Contracts!$K$2:$K$151,$AB667)),0)),IF($Z667="A",EDATE(DATE(YEAR(INDEX(Fixed_Assets!$G$2:$G$201,$AB667)),MONTH(INDEX(Fixed_Assets!$G$2:$G$201,$AB667)),1),INDEX(Fixed_Assets!$J$2:$J$201,$AB667)-1),IF($Z667="F",MIN(IF(INDEX(Workforce!$J$2:$J$151,MATCH(INDEX(FTE_Allocation!$A$2:$A$201,$AB667),Workforce!$A$2:$A$151,0))="",2958101,INDEX(Workforce!$J$2:$J$151,MATCH(INDEX(FTE_Allocation!$A$2:$A$201,$AB667),Workforce!$A$2:$A$151,0))),IF(INDEX(FTE_Allocation!$J$2:$J$201,$AB667)="",2958101,INDEX(FTE_Allocation!$J$2:$J$201,$AB667))),"")))</f>
        <v/>
      </c>
      <c r="AG667" s="19">
        <f>IF($Z667="C",IF(INDEX(Contracts!$I$2:$I$151,$AB667)="PREPAID",INDEX(Contracts!$M$2:$M$151,$AB667)/IF(INDEX(Contracts!$N$2:$N$151,$AB667)="",12,INDEX(Contracts!$N$2:$N$151,$AB667)),IF(INDEX(Contracts!$I$2:$I$151,$AB667)="MONTHLY",INDEX(Contracts!$M$2:$M$151,$AB667),0))*(1-N(INDEX(Contracts!$O$2:$O$151,$AB667))),IF($Z667="A",INDEX(Fixed_Assets!$H$2:$H$201,$AB667)/INDEX(Fixed_Assets!$J$2:$J$201,$AB667),IF($Z667="F",INDEX(Workforce!$F$2:$F$151,MATCH(INDEX(FTE_Allocation!$A$2:$A$201,$AB667),Workforce!$A$2:$A$151,0))*N(INDEX(FTE_Allocation!$F$2:$H$201,$AB667,$AC667)),"")))</f>
        <v/>
      </c>
    </row>
    <row r="668">
      <c r="A668" s="7">
        <f>IF($Z668="","",$AD668)</f>
        <v/>
      </c>
      <c r="B668" s="7">
        <f>IF($Z668="C",INDEX(Contracts!$D$2:$D$151,$AB668)&amp;"",IF($Z668="A",INDEX(Fixed_Assets!$C$2:$C$201,$AB668)&amp;"",IF($Z668="F",INDEX(Workforce!$B$2:$B$151,MATCH(INDEX(FTE_Allocation!$A$2:$A$201,$AB668),Workforce!$A$2:$A$151,0))&amp;"","")))</f>
        <v/>
      </c>
      <c r="C668" s="7">
        <f>IF($Z668="C",INDEX(Contracts!$E$2:$E$151,$AB668)&amp;"",IF($Z668="A",INDEX(Fixed_Assets!$D$2:$D$201,$AB668)&amp;"",IF($Z668="F",INDEX(FTE_Allocation!$C$2:$C$201,$AB668)&amp;"","")))</f>
        <v/>
      </c>
      <c r="D668" s="7">
        <f>IF($Z668="C",INDEX(Contracts!$B$2:$B$151,$AB668)&amp;"",IF($Z668="A",INDEX(Fixed_Assets!$B$2:$B$201,$AB668)&amp;"",IF($Z668="F",INDEX(FTE_Allocation!$B$2:$B$201,$AB668)&amp;"","")))</f>
        <v/>
      </c>
      <c r="E668" s="7">
        <f>IF($Z668="C",INDEX(Contracts!$P$2:$P$151,$AB668)&amp;"",IF($Z668="A",INDEX(Fixed_Assets!$K$2:$K$201,$AB668)&amp;"",IF($Z668="F",IF(INDEX(FTE_Allocation!$D$2:$D$201,$AB668)="PROJECT",IFERROR(INDEX(Projects!$D:$D,MATCH(INDEX(FTE_Allocation!$E$2:$E$201,$AB668),Projects!$A:$A,0))&amp;"","#PROJECT?"),INDEX(FTE_Allocation!$E$2:$E$201,$AB668)&amp;""),"")))</f>
        <v/>
      </c>
      <c r="F668" s="7">
        <f>IF($Z668="C",INDEX(Contracts!$Q$2:$Q$151,$AB668)&amp;"",IF($Z668="A",INDEX(Fixed_Assets!$L$2:$L$201,$AB668)&amp;"",IF($Z668="F",INDEX(Workforce!$K$2:$K$151,MATCH(INDEX(FTE_Allocation!$A$2:$A$201,$AB668),Workforce!$A$2:$A$151,0))&amp;"","")))</f>
        <v/>
      </c>
      <c r="G668" s="7">
        <f>IF($Z668="C",INDEX(Contracts!$F$2:$F$151,$AB668)&amp;" / "&amp;INDEX(Contracts!$G$2:$G$151,$AB668),IF($Z668="A",INDEX(Fixed_Assets!$E$2:$E$201,$AB668)&amp;"",IF($Z668="F","Personnel "&amp;INDEX(FTE_Allocation!$A$2:$A$201,$AB668)&amp;IF(INDEX(FTE_Allocation!$D$2:$D$201,$AB668)="PROJECT"," ("&amp;INDEX(FTE_Allocation!$E$2:$E$201,$AB668)&amp;")",""),"")))</f>
        <v/>
      </c>
      <c r="H668" s="7">
        <f>IF($Z668="C","CONTRACT",IF($Z668="A","ASSET",IF($Z668="F","WORKFORCE","")))</f>
        <v/>
      </c>
      <c r="I668" s="7">
        <f>IF($Z668="C",INDEX(Contracts!$L$2:$L$151,$AB668)&amp;"",IF($Z668="A",INDEX(Fixed_Assets!$I$2:$I$201,$AB668)&amp;"",IF($Z668="F",INDEX(Workforce!$G$2:$G$151,MATCH(INDEX(FTE_Allocation!$A$2:$A$201,$AB668),Workforce!$A$2:$A$151,0))&amp;"","")))</f>
        <v/>
      </c>
      <c r="J668" s="18">
        <f>IF($Z668="","",IF(AND(DATE($AD668,1,1)&gt;=$AE668,DATE($AD668,1,1)&lt;=$AF668),ROUND($AG668,2),0))</f>
        <v/>
      </c>
      <c r="K668" s="18">
        <f>IF($Z668="","",IF(AND(DATE($AD668,2,1)&gt;=$AE668,DATE($AD668,2,1)&lt;=$AF668),ROUND($AG668,2),0))</f>
        <v/>
      </c>
      <c r="L668" s="18">
        <f>IF($Z668="","",IF(AND(DATE($AD668,3,1)&gt;=$AE668,DATE($AD668,3,1)&lt;=$AF668),ROUND($AG668,2),0))</f>
        <v/>
      </c>
      <c r="M668" s="18">
        <f>IF($Z668="","",IF(AND(DATE($AD668,4,1)&gt;=$AE668,DATE($AD668,4,1)&lt;=$AF668),ROUND($AG668,2),0))</f>
        <v/>
      </c>
      <c r="N668" s="18">
        <f>IF($Z668="","",IF(AND(DATE($AD668,5,1)&gt;=$AE668,DATE($AD668,5,1)&lt;=$AF668),ROUND($AG668,2),0))</f>
        <v/>
      </c>
      <c r="O668" s="18">
        <f>IF($Z668="","",IF(AND(DATE($AD668,6,1)&gt;=$AE668,DATE($AD668,6,1)&lt;=$AF668),ROUND($AG668,2),0))</f>
        <v/>
      </c>
      <c r="P668" s="18">
        <f>IF($Z668="","",IF(AND(DATE($AD668,7,1)&gt;=$AE668,DATE($AD668,7,1)&lt;=$AF668),ROUND($AG668,2),0))</f>
        <v/>
      </c>
      <c r="Q668" s="18">
        <f>IF($Z668="","",IF(AND(DATE($AD668,8,1)&gt;=$AE668,DATE($AD668,8,1)&lt;=$AF668),ROUND($AG668,2),0))</f>
        <v/>
      </c>
      <c r="R668" s="18">
        <f>IF($Z668="","",IF(AND(DATE($AD668,9,1)&gt;=$AE668,DATE($AD668,9,1)&lt;=$AF668),ROUND($AG668,2),0))</f>
        <v/>
      </c>
      <c r="S668" s="18">
        <f>IF($Z668="","",IF(AND(DATE($AD668,10,1)&gt;=$AE668,DATE($AD668,10,1)&lt;=$AF668),ROUND($AG668,2),0))</f>
        <v/>
      </c>
      <c r="T668" s="18">
        <f>IF($Z668="","",IF(AND(DATE($AD668,11,1)&gt;=$AE668,DATE($AD668,11,1)&lt;=$AF668),ROUND($AG668,2),0))</f>
        <v/>
      </c>
      <c r="U668" s="18">
        <f>IF($Z668="","",IF(AND(DATE($AD668,12,1)&gt;=$AE668,DATE($AD668,12,1)&lt;=$AF668),ROUND($AG668,2),0))</f>
        <v/>
      </c>
      <c r="V668" s="7">
        <f>IF($Z668="C","Generated from "&amp;INDEX(Contracts!$A$2:$A$151,$AB668),IF($Z668="A","Generated from "&amp;INDEX(Fixed_Assets!$A$2:$A$201,$AB668),IF($Z668="F","Generated from "&amp;INDEX(FTE_Allocation!$A$2:$A$201,$AB668),"")))</f>
        <v/>
      </c>
      <c r="X668" s="19">
        <f>IF($Z668="","",SUM(J668:U668))</f>
        <v/>
      </c>
      <c r="Y668" s="20">
        <f>ROW()-1</f>
        <v/>
      </c>
      <c r="Z668" s="20">
        <f>IF($Y668&lt;=Settings!$B$4*3,"C",IF($Y668&lt;=(Settings!$B$4+Settings!$B$5)*3,"A",IF($Y668&lt;=(Settings!$B$4+Settings!$B$5+Settings!$B$6)*3,"F","")))</f>
        <v/>
      </c>
      <c r="AA668" s="20">
        <f>IF($Z668="C",$Y668,IF($Z668="A",$Y668-Settings!$B$4*3,IF($Z668="F",$Y668-(Settings!$B$4+Settings!$B$5)*3,"")))</f>
        <v/>
      </c>
      <c r="AB668" s="20">
        <f>IF($Z668="","",INT(($AA668-1)/3)+1)</f>
        <v/>
      </c>
      <c r="AC668" s="20">
        <f>IF($Z668="","",MOD($AA668-1,3)+1)</f>
        <v/>
      </c>
      <c r="AD668" s="20">
        <f>IF($Z668="","",Settings!$B$2+$AC668-1)</f>
        <v/>
      </c>
      <c r="AE668" s="21">
        <f>IF($Z668="C",DATE(YEAR(INDEX(Contracts!$J$2:$J$151,$AB668)),MONTH(INDEX(Contracts!$J$2:$J$151,$AB668)),1),IF($Z668="A",DATE(YEAR(INDEX(Fixed_Assets!$G$2:$G$201,$AB668)),MONTH(INDEX(Fixed_Assets!$G$2:$G$201,$AB668)),1),IF($Z668="F",DATE(YEAR(MAX(N(INDEX(Workforce!$I$2:$I$151,MATCH(INDEX(FTE_Allocation!$A$2:$A$201,$AB668),Workforce!$A$2:$A$151,0))),N(INDEX(FTE_Allocation!$I$2:$I$201,$AB668)))),MONTH(MAX(N(INDEX(Workforce!$I$2:$I$151,MATCH(INDEX(FTE_Allocation!$A$2:$A$201,$AB668),Workforce!$A$2:$A$151,0))),N(INDEX(FTE_Allocation!$I$2:$I$201,$AB668)))),1),"")))</f>
        <v/>
      </c>
      <c r="AF668" s="21">
        <f>IF($Z668="C",IF(INDEX(Contracts!$I$2:$I$151,$AB668)="PREPAID",EDATE(DATE(YEAR(INDEX(Contracts!$J$2:$J$151,$AB668)),MONTH(INDEX(Contracts!$J$2:$J$151,$AB668)),1),IF(INDEX(Contracts!$N$2:$N$151,$AB668)="",12,INDEX(Contracts!$N$2:$N$151,$AB668))-1),IF(INDEX(Contracts!$I$2:$I$151,$AB668)="MONTHLY",IF(INDEX(Contracts!$K$2:$K$151,$AB668)="",2958101,INDEX(Contracts!$K$2:$K$151,$AB668)),0)),IF($Z668="A",EDATE(DATE(YEAR(INDEX(Fixed_Assets!$G$2:$G$201,$AB668)),MONTH(INDEX(Fixed_Assets!$G$2:$G$201,$AB668)),1),INDEX(Fixed_Assets!$J$2:$J$201,$AB668)-1),IF($Z668="F",MIN(IF(INDEX(Workforce!$J$2:$J$151,MATCH(INDEX(FTE_Allocation!$A$2:$A$201,$AB668),Workforce!$A$2:$A$151,0))="",2958101,INDEX(Workforce!$J$2:$J$151,MATCH(INDEX(FTE_Allocation!$A$2:$A$201,$AB668),Workforce!$A$2:$A$151,0))),IF(INDEX(FTE_Allocation!$J$2:$J$201,$AB668)="",2958101,INDEX(FTE_Allocation!$J$2:$J$201,$AB668))),"")))</f>
        <v/>
      </c>
      <c r="AG668" s="19">
        <f>IF($Z668="C",IF(INDEX(Contracts!$I$2:$I$151,$AB668)="PREPAID",INDEX(Contracts!$M$2:$M$151,$AB668)/IF(INDEX(Contracts!$N$2:$N$151,$AB668)="",12,INDEX(Contracts!$N$2:$N$151,$AB668)),IF(INDEX(Contracts!$I$2:$I$151,$AB668)="MONTHLY",INDEX(Contracts!$M$2:$M$151,$AB668),0))*(1-N(INDEX(Contracts!$O$2:$O$151,$AB668))),IF($Z668="A",INDEX(Fixed_Assets!$H$2:$H$201,$AB668)/INDEX(Fixed_Assets!$J$2:$J$201,$AB668),IF($Z668="F",INDEX(Workforce!$F$2:$F$151,MATCH(INDEX(FTE_Allocation!$A$2:$A$201,$AB668),Workforce!$A$2:$A$151,0))*N(INDEX(FTE_Allocation!$F$2:$H$201,$AB668,$AC668)),"")))</f>
        <v/>
      </c>
    </row>
    <row r="669">
      <c r="A669" s="7">
        <f>IF($Z669="","",$AD669)</f>
        <v/>
      </c>
      <c r="B669" s="7">
        <f>IF($Z669="C",INDEX(Contracts!$D$2:$D$151,$AB669)&amp;"",IF($Z669="A",INDEX(Fixed_Assets!$C$2:$C$201,$AB669)&amp;"",IF($Z669="F",INDEX(Workforce!$B$2:$B$151,MATCH(INDEX(FTE_Allocation!$A$2:$A$201,$AB669),Workforce!$A$2:$A$151,0))&amp;"","")))</f>
        <v/>
      </c>
      <c r="C669" s="7">
        <f>IF($Z669="C",INDEX(Contracts!$E$2:$E$151,$AB669)&amp;"",IF($Z669="A",INDEX(Fixed_Assets!$D$2:$D$201,$AB669)&amp;"",IF($Z669="F",INDEX(FTE_Allocation!$C$2:$C$201,$AB669)&amp;"","")))</f>
        <v/>
      </c>
      <c r="D669" s="7">
        <f>IF($Z669="C",INDEX(Contracts!$B$2:$B$151,$AB669)&amp;"",IF($Z669="A",INDEX(Fixed_Assets!$B$2:$B$201,$AB669)&amp;"",IF($Z669="F",INDEX(FTE_Allocation!$B$2:$B$201,$AB669)&amp;"","")))</f>
        <v/>
      </c>
      <c r="E669" s="7">
        <f>IF($Z669="C",INDEX(Contracts!$P$2:$P$151,$AB669)&amp;"",IF($Z669="A",INDEX(Fixed_Assets!$K$2:$K$201,$AB669)&amp;"",IF($Z669="F",IF(INDEX(FTE_Allocation!$D$2:$D$201,$AB669)="PROJECT",IFERROR(INDEX(Projects!$D:$D,MATCH(INDEX(FTE_Allocation!$E$2:$E$201,$AB669),Projects!$A:$A,0))&amp;"","#PROJECT?"),INDEX(FTE_Allocation!$E$2:$E$201,$AB669)&amp;""),"")))</f>
        <v/>
      </c>
      <c r="F669" s="7">
        <f>IF($Z669="C",INDEX(Contracts!$Q$2:$Q$151,$AB669)&amp;"",IF($Z669="A",INDEX(Fixed_Assets!$L$2:$L$201,$AB669)&amp;"",IF($Z669="F",INDEX(Workforce!$K$2:$K$151,MATCH(INDEX(FTE_Allocation!$A$2:$A$201,$AB669),Workforce!$A$2:$A$151,0))&amp;"","")))</f>
        <v/>
      </c>
      <c r="G669" s="7">
        <f>IF($Z669="C",INDEX(Contracts!$F$2:$F$151,$AB669)&amp;" / "&amp;INDEX(Contracts!$G$2:$G$151,$AB669),IF($Z669="A",INDEX(Fixed_Assets!$E$2:$E$201,$AB669)&amp;"",IF($Z669="F","Personnel "&amp;INDEX(FTE_Allocation!$A$2:$A$201,$AB669)&amp;IF(INDEX(FTE_Allocation!$D$2:$D$201,$AB669)="PROJECT"," ("&amp;INDEX(FTE_Allocation!$E$2:$E$201,$AB669)&amp;")",""),"")))</f>
        <v/>
      </c>
      <c r="H669" s="7">
        <f>IF($Z669="C","CONTRACT",IF($Z669="A","ASSET",IF($Z669="F","WORKFORCE","")))</f>
        <v/>
      </c>
      <c r="I669" s="7">
        <f>IF($Z669="C",INDEX(Contracts!$L$2:$L$151,$AB669)&amp;"",IF($Z669="A",INDEX(Fixed_Assets!$I$2:$I$201,$AB669)&amp;"",IF($Z669="F",INDEX(Workforce!$G$2:$G$151,MATCH(INDEX(FTE_Allocation!$A$2:$A$201,$AB669),Workforce!$A$2:$A$151,0))&amp;"","")))</f>
        <v/>
      </c>
      <c r="J669" s="18">
        <f>IF($Z669="","",IF(AND(DATE($AD669,1,1)&gt;=$AE669,DATE($AD669,1,1)&lt;=$AF669),ROUND($AG669,2),0))</f>
        <v/>
      </c>
      <c r="K669" s="18">
        <f>IF($Z669="","",IF(AND(DATE($AD669,2,1)&gt;=$AE669,DATE($AD669,2,1)&lt;=$AF669),ROUND($AG669,2),0))</f>
        <v/>
      </c>
      <c r="L669" s="18">
        <f>IF($Z669="","",IF(AND(DATE($AD669,3,1)&gt;=$AE669,DATE($AD669,3,1)&lt;=$AF669),ROUND($AG669,2),0))</f>
        <v/>
      </c>
      <c r="M669" s="18">
        <f>IF($Z669="","",IF(AND(DATE($AD669,4,1)&gt;=$AE669,DATE($AD669,4,1)&lt;=$AF669),ROUND($AG669,2),0))</f>
        <v/>
      </c>
      <c r="N669" s="18">
        <f>IF($Z669="","",IF(AND(DATE($AD669,5,1)&gt;=$AE669,DATE($AD669,5,1)&lt;=$AF669),ROUND($AG669,2),0))</f>
        <v/>
      </c>
      <c r="O669" s="18">
        <f>IF($Z669="","",IF(AND(DATE($AD669,6,1)&gt;=$AE669,DATE($AD669,6,1)&lt;=$AF669),ROUND($AG669,2),0))</f>
        <v/>
      </c>
      <c r="P669" s="18">
        <f>IF($Z669="","",IF(AND(DATE($AD669,7,1)&gt;=$AE669,DATE($AD669,7,1)&lt;=$AF669),ROUND($AG669,2),0))</f>
        <v/>
      </c>
      <c r="Q669" s="18">
        <f>IF($Z669="","",IF(AND(DATE($AD669,8,1)&gt;=$AE669,DATE($AD669,8,1)&lt;=$AF669),ROUND($AG669,2),0))</f>
        <v/>
      </c>
      <c r="R669" s="18">
        <f>IF($Z669="","",IF(AND(DATE($AD669,9,1)&gt;=$AE669,DATE($AD669,9,1)&lt;=$AF669),ROUND($AG669,2),0))</f>
        <v/>
      </c>
      <c r="S669" s="18">
        <f>IF($Z669="","",IF(AND(DATE($AD669,10,1)&gt;=$AE669,DATE($AD669,10,1)&lt;=$AF669),ROUND($AG669,2),0))</f>
        <v/>
      </c>
      <c r="T669" s="18">
        <f>IF($Z669="","",IF(AND(DATE($AD669,11,1)&gt;=$AE669,DATE($AD669,11,1)&lt;=$AF669),ROUND($AG669,2),0))</f>
        <v/>
      </c>
      <c r="U669" s="18">
        <f>IF($Z669="","",IF(AND(DATE($AD669,12,1)&gt;=$AE669,DATE($AD669,12,1)&lt;=$AF669),ROUND($AG669,2),0))</f>
        <v/>
      </c>
      <c r="V669" s="7">
        <f>IF($Z669="C","Generated from "&amp;INDEX(Contracts!$A$2:$A$151,$AB669),IF($Z669="A","Generated from "&amp;INDEX(Fixed_Assets!$A$2:$A$201,$AB669),IF($Z669="F","Generated from "&amp;INDEX(FTE_Allocation!$A$2:$A$201,$AB669),"")))</f>
        <v/>
      </c>
      <c r="X669" s="19">
        <f>IF($Z669="","",SUM(J669:U669))</f>
        <v/>
      </c>
      <c r="Y669" s="20">
        <f>ROW()-1</f>
        <v/>
      </c>
      <c r="Z669" s="20">
        <f>IF($Y669&lt;=Settings!$B$4*3,"C",IF($Y669&lt;=(Settings!$B$4+Settings!$B$5)*3,"A",IF($Y669&lt;=(Settings!$B$4+Settings!$B$5+Settings!$B$6)*3,"F","")))</f>
        <v/>
      </c>
      <c r="AA669" s="20">
        <f>IF($Z669="C",$Y669,IF($Z669="A",$Y669-Settings!$B$4*3,IF($Z669="F",$Y669-(Settings!$B$4+Settings!$B$5)*3,"")))</f>
        <v/>
      </c>
      <c r="AB669" s="20">
        <f>IF($Z669="","",INT(($AA669-1)/3)+1)</f>
        <v/>
      </c>
      <c r="AC669" s="20">
        <f>IF($Z669="","",MOD($AA669-1,3)+1)</f>
        <v/>
      </c>
      <c r="AD669" s="20">
        <f>IF($Z669="","",Settings!$B$2+$AC669-1)</f>
        <v/>
      </c>
      <c r="AE669" s="21">
        <f>IF($Z669="C",DATE(YEAR(INDEX(Contracts!$J$2:$J$151,$AB669)),MONTH(INDEX(Contracts!$J$2:$J$151,$AB669)),1),IF($Z669="A",DATE(YEAR(INDEX(Fixed_Assets!$G$2:$G$201,$AB669)),MONTH(INDEX(Fixed_Assets!$G$2:$G$201,$AB669)),1),IF($Z669="F",DATE(YEAR(MAX(N(INDEX(Workforce!$I$2:$I$151,MATCH(INDEX(FTE_Allocation!$A$2:$A$201,$AB669),Workforce!$A$2:$A$151,0))),N(INDEX(FTE_Allocation!$I$2:$I$201,$AB669)))),MONTH(MAX(N(INDEX(Workforce!$I$2:$I$151,MATCH(INDEX(FTE_Allocation!$A$2:$A$201,$AB669),Workforce!$A$2:$A$151,0))),N(INDEX(FTE_Allocation!$I$2:$I$201,$AB669)))),1),"")))</f>
        <v/>
      </c>
      <c r="AF669" s="21">
        <f>IF($Z669="C",IF(INDEX(Contracts!$I$2:$I$151,$AB669)="PREPAID",EDATE(DATE(YEAR(INDEX(Contracts!$J$2:$J$151,$AB669)),MONTH(INDEX(Contracts!$J$2:$J$151,$AB669)),1),IF(INDEX(Contracts!$N$2:$N$151,$AB669)="",12,INDEX(Contracts!$N$2:$N$151,$AB669))-1),IF(INDEX(Contracts!$I$2:$I$151,$AB669)="MONTHLY",IF(INDEX(Contracts!$K$2:$K$151,$AB669)="",2958101,INDEX(Contracts!$K$2:$K$151,$AB669)),0)),IF($Z669="A",EDATE(DATE(YEAR(INDEX(Fixed_Assets!$G$2:$G$201,$AB669)),MONTH(INDEX(Fixed_Assets!$G$2:$G$201,$AB669)),1),INDEX(Fixed_Assets!$J$2:$J$201,$AB669)-1),IF($Z669="F",MIN(IF(INDEX(Workforce!$J$2:$J$151,MATCH(INDEX(FTE_Allocation!$A$2:$A$201,$AB669),Workforce!$A$2:$A$151,0))="",2958101,INDEX(Workforce!$J$2:$J$151,MATCH(INDEX(FTE_Allocation!$A$2:$A$201,$AB669),Workforce!$A$2:$A$151,0))),IF(INDEX(FTE_Allocation!$J$2:$J$201,$AB669)="",2958101,INDEX(FTE_Allocation!$J$2:$J$201,$AB669))),"")))</f>
        <v/>
      </c>
      <c r="AG669" s="19">
        <f>IF($Z669="C",IF(INDEX(Contracts!$I$2:$I$151,$AB669)="PREPAID",INDEX(Contracts!$M$2:$M$151,$AB669)/IF(INDEX(Contracts!$N$2:$N$151,$AB669)="",12,INDEX(Contracts!$N$2:$N$151,$AB669)),IF(INDEX(Contracts!$I$2:$I$151,$AB669)="MONTHLY",INDEX(Contracts!$M$2:$M$151,$AB669),0))*(1-N(INDEX(Contracts!$O$2:$O$151,$AB669))),IF($Z669="A",INDEX(Fixed_Assets!$H$2:$H$201,$AB669)/INDEX(Fixed_Assets!$J$2:$J$201,$AB669),IF($Z669="F",INDEX(Workforce!$F$2:$F$151,MATCH(INDEX(FTE_Allocation!$A$2:$A$201,$AB669),Workforce!$A$2:$A$151,0))*N(INDEX(FTE_Allocation!$F$2:$H$201,$AB669,$AC669)),"")))</f>
        <v/>
      </c>
    </row>
    <row r="670">
      <c r="A670" s="7">
        <f>IF($Z670="","",$AD670)</f>
        <v/>
      </c>
      <c r="B670" s="7">
        <f>IF($Z670="C",INDEX(Contracts!$D$2:$D$151,$AB670)&amp;"",IF($Z670="A",INDEX(Fixed_Assets!$C$2:$C$201,$AB670)&amp;"",IF($Z670="F",INDEX(Workforce!$B$2:$B$151,MATCH(INDEX(FTE_Allocation!$A$2:$A$201,$AB670),Workforce!$A$2:$A$151,0))&amp;"","")))</f>
        <v/>
      </c>
      <c r="C670" s="7">
        <f>IF($Z670="C",INDEX(Contracts!$E$2:$E$151,$AB670)&amp;"",IF($Z670="A",INDEX(Fixed_Assets!$D$2:$D$201,$AB670)&amp;"",IF($Z670="F",INDEX(FTE_Allocation!$C$2:$C$201,$AB670)&amp;"","")))</f>
        <v/>
      </c>
      <c r="D670" s="7">
        <f>IF($Z670="C",INDEX(Contracts!$B$2:$B$151,$AB670)&amp;"",IF($Z670="A",INDEX(Fixed_Assets!$B$2:$B$201,$AB670)&amp;"",IF($Z670="F",INDEX(FTE_Allocation!$B$2:$B$201,$AB670)&amp;"","")))</f>
        <v/>
      </c>
      <c r="E670" s="7">
        <f>IF($Z670="C",INDEX(Contracts!$P$2:$P$151,$AB670)&amp;"",IF($Z670="A",INDEX(Fixed_Assets!$K$2:$K$201,$AB670)&amp;"",IF($Z670="F",IF(INDEX(FTE_Allocation!$D$2:$D$201,$AB670)="PROJECT",IFERROR(INDEX(Projects!$D:$D,MATCH(INDEX(FTE_Allocation!$E$2:$E$201,$AB670),Projects!$A:$A,0))&amp;"","#PROJECT?"),INDEX(FTE_Allocation!$E$2:$E$201,$AB670)&amp;""),"")))</f>
        <v/>
      </c>
      <c r="F670" s="7">
        <f>IF($Z670="C",INDEX(Contracts!$Q$2:$Q$151,$AB670)&amp;"",IF($Z670="A",INDEX(Fixed_Assets!$L$2:$L$201,$AB670)&amp;"",IF($Z670="F",INDEX(Workforce!$K$2:$K$151,MATCH(INDEX(FTE_Allocation!$A$2:$A$201,$AB670),Workforce!$A$2:$A$151,0))&amp;"","")))</f>
        <v/>
      </c>
      <c r="G670" s="7">
        <f>IF($Z670="C",INDEX(Contracts!$F$2:$F$151,$AB670)&amp;" / "&amp;INDEX(Contracts!$G$2:$G$151,$AB670),IF($Z670="A",INDEX(Fixed_Assets!$E$2:$E$201,$AB670)&amp;"",IF($Z670="F","Personnel "&amp;INDEX(FTE_Allocation!$A$2:$A$201,$AB670)&amp;IF(INDEX(FTE_Allocation!$D$2:$D$201,$AB670)="PROJECT"," ("&amp;INDEX(FTE_Allocation!$E$2:$E$201,$AB670)&amp;")",""),"")))</f>
        <v/>
      </c>
      <c r="H670" s="7">
        <f>IF($Z670="C","CONTRACT",IF($Z670="A","ASSET",IF($Z670="F","WORKFORCE","")))</f>
        <v/>
      </c>
      <c r="I670" s="7">
        <f>IF($Z670="C",INDEX(Contracts!$L$2:$L$151,$AB670)&amp;"",IF($Z670="A",INDEX(Fixed_Assets!$I$2:$I$201,$AB670)&amp;"",IF($Z670="F",INDEX(Workforce!$G$2:$G$151,MATCH(INDEX(FTE_Allocation!$A$2:$A$201,$AB670),Workforce!$A$2:$A$151,0))&amp;"","")))</f>
        <v/>
      </c>
      <c r="J670" s="18">
        <f>IF($Z670="","",IF(AND(DATE($AD670,1,1)&gt;=$AE670,DATE($AD670,1,1)&lt;=$AF670),ROUND($AG670,2),0))</f>
        <v/>
      </c>
      <c r="K670" s="18">
        <f>IF($Z670="","",IF(AND(DATE($AD670,2,1)&gt;=$AE670,DATE($AD670,2,1)&lt;=$AF670),ROUND($AG670,2),0))</f>
        <v/>
      </c>
      <c r="L670" s="18">
        <f>IF($Z670="","",IF(AND(DATE($AD670,3,1)&gt;=$AE670,DATE($AD670,3,1)&lt;=$AF670),ROUND($AG670,2),0))</f>
        <v/>
      </c>
      <c r="M670" s="18">
        <f>IF($Z670="","",IF(AND(DATE($AD670,4,1)&gt;=$AE670,DATE($AD670,4,1)&lt;=$AF670),ROUND($AG670,2),0))</f>
        <v/>
      </c>
      <c r="N670" s="18">
        <f>IF($Z670="","",IF(AND(DATE($AD670,5,1)&gt;=$AE670,DATE($AD670,5,1)&lt;=$AF670),ROUND($AG670,2),0))</f>
        <v/>
      </c>
      <c r="O670" s="18">
        <f>IF($Z670="","",IF(AND(DATE($AD670,6,1)&gt;=$AE670,DATE($AD670,6,1)&lt;=$AF670),ROUND($AG670,2),0))</f>
        <v/>
      </c>
      <c r="P670" s="18">
        <f>IF($Z670="","",IF(AND(DATE($AD670,7,1)&gt;=$AE670,DATE($AD670,7,1)&lt;=$AF670),ROUND($AG670,2),0))</f>
        <v/>
      </c>
      <c r="Q670" s="18">
        <f>IF($Z670="","",IF(AND(DATE($AD670,8,1)&gt;=$AE670,DATE($AD670,8,1)&lt;=$AF670),ROUND($AG670,2),0))</f>
        <v/>
      </c>
      <c r="R670" s="18">
        <f>IF($Z670="","",IF(AND(DATE($AD670,9,1)&gt;=$AE670,DATE($AD670,9,1)&lt;=$AF670),ROUND($AG670,2),0))</f>
        <v/>
      </c>
      <c r="S670" s="18">
        <f>IF($Z670="","",IF(AND(DATE($AD670,10,1)&gt;=$AE670,DATE($AD670,10,1)&lt;=$AF670),ROUND($AG670,2),0))</f>
        <v/>
      </c>
      <c r="T670" s="18">
        <f>IF($Z670="","",IF(AND(DATE($AD670,11,1)&gt;=$AE670,DATE($AD670,11,1)&lt;=$AF670),ROUND($AG670,2),0))</f>
        <v/>
      </c>
      <c r="U670" s="18">
        <f>IF($Z670="","",IF(AND(DATE($AD670,12,1)&gt;=$AE670,DATE($AD670,12,1)&lt;=$AF670),ROUND($AG670,2),0))</f>
        <v/>
      </c>
      <c r="V670" s="7">
        <f>IF($Z670="C","Generated from "&amp;INDEX(Contracts!$A$2:$A$151,$AB670),IF($Z670="A","Generated from "&amp;INDEX(Fixed_Assets!$A$2:$A$201,$AB670),IF($Z670="F","Generated from "&amp;INDEX(FTE_Allocation!$A$2:$A$201,$AB670),"")))</f>
        <v/>
      </c>
      <c r="X670" s="19">
        <f>IF($Z670="","",SUM(J670:U670))</f>
        <v/>
      </c>
      <c r="Y670" s="20">
        <f>ROW()-1</f>
        <v/>
      </c>
      <c r="Z670" s="20">
        <f>IF($Y670&lt;=Settings!$B$4*3,"C",IF($Y670&lt;=(Settings!$B$4+Settings!$B$5)*3,"A",IF($Y670&lt;=(Settings!$B$4+Settings!$B$5+Settings!$B$6)*3,"F","")))</f>
        <v/>
      </c>
      <c r="AA670" s="20">
        <f>IF($Z670="C",$Y670,IF($Z670="A",$Y670-Settings!$B$4*3,IF($Z670="F",$Y670-(Settings!$B$4+Settings!$B$5)*3,"")))</f>
        <v/>
      </c>
      <c r="AB670" s="20">
        <f>IF($Z670="","",INT(($AA670-1)/3)+1)</f>
        <v/>
      </c>
      <c r="AC670" s="20">
        <f>IF($Z670="","",MOD($AA670-1,3)+1)</f>
        <v/>
      </c>
      <c r="AD670" s="20">
        <f>IF($Z670="","",Settings!$B$2+$AC670-1)</f>
        <v/>
      </c>
      <c r="AE670" s="21">
        <f>IF($Z670="C",DATE(YEAR(INDEX(Contracts!$J$2:$J$151,$AB670)),MONTH(INDEX(Contracts!$J$2:$J$151,$AB670)),1),IF($Z670="A",DATE(YEAR(INDEX(Fixed_Assets!$G$2:$G$201,$AB670)),MONTH(INDEX(Fixed_Assets!$G$2:$G$201,$AB670)),1),IF($Z670="F",DATE(YEAR(MAX(N(INDEX(Workforce!$I$2:$I$151,MATCH(INDEX(FTE_Allocation!$A$2:$A$201,$AB670),Workforce!$A$2:$A$151,0))),N(INDEX(FTE_Allocation!$I$2:$I$201,$AB670)))),MONTH(MAX(N(INDEX(Workforce!$I$2:$I$151,MATCH(INDEX(FTE_Allocation!$A$2:$A$201,$AB670),Workforce!$A$2:$A$151,0))),N(INDEX(FTE_Allocation!$I$2:$I$201,$AB670)))),1),"")))</f>
        <v/>
      </c>
      <c r="AF670" s="21">
        <f>IF($Z670="C",IF(INDEX(Contracts!$I$2:$I$151,$AB670)="PREPAID",EDATE(DATE(YEAR(INDEX(Contracts!$J$2:$J$151,$AB670)),MONTH(INDEX(Contracts!$J$2:$J$151,$AB670)),1),IF(INDEX(Contracts!$N$2:$N$151,$AB670)="",12,INDEX(Contracts!$N$2:$N$151,$AB670))-1),IF(INDEX(Contracts!$I$2:$I$151,$AB670)="MONTHLY",IF(INDEX(Contracts!$K$2:$K$151,$AB670)="",2958101,INDEX(Contracts!$K$2:$K$151,$AB670)),0)),IF($Z670="A",EDATE(DATE(YEAR(INDEX(Fixed_Assets!$G$2:$G$201,$AB670)),MONTH(INDEX(Fixed_Assets!$G$2:$G$201,$AB670)),1),INDEX(Fixed_Assets!$J$2:$J$201,$AB670)-1),IF($Z670="F",MIN(IF(INDEX(Workforce!$J$2:$J$151,MATCH(INDEX(FTE_Allocation!$A$2:$A$201,$AB670),Workforce!$A$2:$A$151,0))="",2958101,INDEX(Workforce!$J$2:$J$151,MATCH(INDEX(FTE_Allocation!$A$2:$A$201,$AB670),Workforce!$A$2:$A$151,0))),IF(INDEX(FTE_Allocation!$J$2:$J$201,$AB670)="",2958101,INDEX(FTE_Allocation!$J$2:$J$201,$AB670))),"")))</f>
        <v/>
      </c>
      <c r="AG670" s="19">
        <f>IF($Z670="C",IF(INDEX(Contracts!$I$2:$I$151,$AB670)="PREPAID",INDEX(Contracts!$M$2:$M$151,$AB670)/IF(INDEX(Contracts!$N$2:$N$151,$AB670)="",12,INDEX(Contracts!$N$2:$N$151,$AB670)),IF(INDEX(Contracts!$I$2:$I$151,$AB670)="MONTHLY",INDEX(Contracts!$M$2:$M$151,$AB670),0))*(1-N(INDEX(Contracts!$O$2:$O$151,$AB670))),IF($Z670="A",INDEX(Fixed_Assets!$H$2:$H$201,$AB670)/INDEX(Fixed_Assets!$J$2:$J$201,$AB670),IF($Z670="F",INDEX(Workforce!$F$2:$F$151,MATCH(INDEX(FTE_Allocation!$A$2:$A$201,$AB670),Workforce!$A$2:$A$151,0))*N(INDEX(FTE_Allocation!$F$2:$H$201,$AB670,$AC670)),"")))</f>
        <v/>
      </c>
    </row>
    <row r="671">
      <c r="A671" s="7">
        <f>IF($Z671="","",$AD671)</f>
        <v/>
      </c>
      <c r="B671" s="7">
        <f>IF($Z671="C",INDEX(Contracts!$D$2:$D$151,$AB671)&amp;"",IF($Z671="A",INDEX(Fixed_Assets!$C$2:$C$201,$AB671)&amp;"",IF($Z671="F",INDEX(Workforce!$B$2:$B$151,MATCH(INDEX(FTE_Allocation!$A$2:$A$201,$AB671),Workforce!$A$2:$A$151,0))&amp;"","")))</f>
        <v/>
      </c>
      <c r="C671" s="7">
        <f>IF($Z671="C",INDEX(Contracts!$E$2:$E$151,$AB671)&amp;"",IF($Z671="A",INDEX(Fixed_Assets!$D$2:$D$201,$AB671)&amp;"",IF($Z671="F",INDEX(FTE_Allocation!$C$2:$C$201,$AB671)&amp;"","")))</f>
        <v/>
      </c>
      <c r="D671" s="7">
        <f>IF($Z671="C",INDEX(Contracts!$B$2:$B$151,$AB671)&amp;"",IF($Z671="A",INDEX(Fixed_Assets!$B$2:$B$201,$AB671)&amp;"",IF($Z671="F",INDEX(FTE_Allocation!$B$2:$B$201,$AB671)&amp;"","")))</f>
        <v/>
      </c>
      <c r="E671" s="7">
        <f>IF($Z671="C",INDEX(Contracts!$P$2:$P$151,$AB671)&amp;"",IF($Z671="A",INDEX(Fixed_Assets!$K$2:$K$201,$AB671)&amp;"",IF($Z671="F",IF(INDEX(FTE_Allocation!$D$2:$D$201,$AB671)="PROJECT",IFERROR(INDEX(Projects!$D:$D,MATCH(INDEX(FTE_Allocation!$E$2:$E$201,$AB671),Projects!$A:$A,0))&amp;"","#PROJECT?"),INDEX(FTE_Allocation!$E$2:$E$201,$AB671)&amp;""),"")))</f>
        <v/>
      </c>
      <c r="F671" s="7">
        <f>IF($Z671="C",INDEX(Contracts!$Q$2:$Q$151,$AB671)&amp;"",IF($Z671="A",INDEX(Fixed_Assets!$L$2:$L$201,$AB671)&amp;"",IF($Z671="F",INDEX(Workforce!$K$2:$K$151,MATCH(INDEX(FTE_Allocation!$A$2:$A$201,$AB671),Workforce!$A$2:$A$151,0))&amp;"","")))</f>
        <v/>
      </c>
      <c r="G671" s="7">
        <f>IF($Z671="C",INDEX(Contracts!$F$2:$F$151,$AB671)&amp;" / "&amp;INDEX(Contracts!$G$2:$G$151,$AB671),IF($Z671="A",INDEX(Fixed_Assets!$E$2:$E$201,$AB671)&amp;"",IF($Z671="F","Personnel "&amp;INDEX(FTE_Allocation!$A$2:$A$201,$AB671)&amp;IF(INDEX(FTE_Allocation!$D$2:$D$201,$AB671)="PROJECT"," ("&amp;INDEX(FTE_Allocation!$E$2:$E$201,$AB671)&amp;")",""),"")))</f>
        <v/>
      </c>
      <c r="H671" s="7">
        <f>IF($Z671="C","CONTRACT",IF($Z671="A","ASSET",IF($Z671="F","WORKFORCE","")))</f>
        <v/>
      </c>
      <c r="I671" s="7">
        <f>IF($Z671="C",INDEX(Contracts!$L$2:$L$151,$AB671)&amp;"",IF($Z671="A",INDEX(Fixed_Assets!$I$2:$I$201,$AB671)&amp;"",IF($Z671="F",INDEX(Workforce!$G$2:$G$151,MATCH(INDEX(FTE_Allocation!$A$2:$A$201,$AB671),Workforce!$A$2:$A$151,0))&amp;"","")))</f>
        <v/>
      </c>
      <c r="J671" s="18">
        <f>IF($Z671="","",IF(AND(DATE($AD671,1,1)&gt;=$AE671,DATE($AD671,1,1)&lt;=$AF671),ROUND($AG671,2),0))</f>
        <v/>
      </c>
      <c r="K671" s="18">
        <f>IF($Z671="","",IF(AND(DATE($AD671,2,1)&gt;=$AE671,DATE($AD671,2,1)&lt;=$AF671),ROUND($AG671,2),0))</f>
        <v/>
      </c>
      <c r="L671" s="18">
        <f>IF($Z671="","",IF(AND(DATE($AD671,3,1)&gt;=$AE671,DATE($AD671,3,1)&lt;=$AF671),ROUND($AG671,2),0))</f>
        <v/>
      </c>
      <c r="M671" s="18">
        <f>IF($Z671="","",IF(AND(DATE($AD671,4,1)&gt;=$AE671,DATE($AD671,4,1)&lt;=$AF671),ROUND($AG671,2),0))</f>
        <v/>
      </c>
      <c r="N671" s="18">
        <f>IF($Z671="","",IF(AND(DATE($AD671,5,1)&gt;=$AE671,DATE($AD671,5,1)&lt;=$AF671),ROUND($AG671,2),0))</f>
        <v/>
      </c>
      <c r="O671" s="18">
        <f>IF($Z671="","",IF(AND(DATE($AD671,6,1)&gt;=$AE671,DATE($AD671,6,1)&lt;=$AF671),ROUND($AG671,2),0))</f>
        <v/>
      </c>
      <c r="P671" s="18">
        <f>IF($Z671="","",IF(AND(DATE($AD671,7,1)&gt;=$AE671,DATE($AD671,7,1)&lt;=$AF671),ROUND($AG671,2),0))</f>
        <v/>
      </c>
      <c r="Q671" s="18">
        <f>IF($Z671="","",IF(AND(DATE($AD671,8,1)&gt;=$AE671,DATE($AD671,8,1)&lt;=$AF671),ROUND($AG671,2),0))</f>
        <v/>
      </c>
      <c r="R671" s="18">
        <f>IF($Z671="","",IF(AND(DATE($AD671,9,1)&gt;=$AE671,DATE($AD671,9,1)&lt;=$AF671),ROUND($AG671,2),0))</f>
        <v/>
      </c>
      <c r="S671" s="18">
        <f>IF($Z671="","",IF(AND(DATE($AD671,10,1)&gt;=$AE671,DATE($AD671,10,1)&lt;=$AF671),ROUND($AG671,2),0))</f>
        <v/>
      </c>
      <c r="T671" s="18">
        <f>IF($Z671="","",IF(AND(DATE($AD671,11,1)&gt;=$AE671,DATE($AD671,11,1)&lt;=$AF671),ROUND($AG671,2),0))</f>
        <v/>
      </c>
      <c r="U671" s="18">
        <f>IF($Z671="","",IF(AND(DATE($AD671,12,1)&gt;=$AE671,DATE($AD671,12,1)&lt;=$AF671),ROUND($AG671,2),0))</f>
        <v/>
      </c>
      <c r="V671" s="7">
        <f>IF($Z671="C","Generated from "&amp;INDEX(Contracts!$A$2:$A$151,$AB671),IF($Z671="A","Generated from "&amp;INDEX(Fixed_Assets!$A$2:$A$201,$AB671),IF($Z671="F","Generated from "&amp;INDEX(FTE_Allocation!$A$2:$A$201,$AB671),"")))</f>
        <v/>
      </c>
      <c r="X671" s="19">
        <f>IF($Z671="","",SUM(J671:U671))</f>
        <v/>
      </c>
      <c r="Y671" s="20">
        <f>ROW()-1</f>
        <v/>
      </c>
      <c r="Z671" s="20">
        <f>IF($Y671&lt;=Settings!$B$4*3,"C",IF($Y671&lt;=(Settings!$B$4+Settings!$B$5)*3,"A",IF($Y671&lt;=(Settings!$B$4+Settings!$B$5+Settings!$B$6)*3,"F","")))</f>
        <v/>
      </c>
      <c r="AA671" s="20">
        <f>IF($Z671="C",$Y671,IF($Z671="A",$Y671-Settings!$B$4*3,IF($Z671="F",$Y671-(Settings!$B$4+Settings!$B$5)*3,"")))</f>
        <v/>
      </c>
      <c r="AB671" s="20">
        <f>IF($Z671="","",INT(($AA671-1)/3)+1)</f>
        <v/>
      </c>
      <c r="AC671" s="20">
        <f>IF($Z671="","",MOD($AA671-1,3)+1)</f>
        <v/>
      </c>
      <c r="AD671" s="20">
        <f>IF($Z671="","",Settings!$B$2+$AC671-1)</f>
        <v/>
      </c>
      <c r="AE671" s="21">
        <f>IF($Z671="C",DATE(YEAR(INDEX(Contracts!$J$2:$J$151,$AB671)),MONTH(INDEX(Contracts!$J$2:$J$151,$AB671)),1),IF($Z671="A",DATE(YEAR(INDEX(Fixed_Assets!$G$2:$G$201,$AB671)),MONTH(INDEX(Fixed_Assets!$G$2:$G$201,$AB671)),1),IF($Z671="F",DATE(YEAR(MAX(N(INDEX(Workforce!$I$2:$I$151,MATCH(INDEX(FTE_Allocation!$A$2:$A$201,$AB671),Workforce!$A$2:$A$151,0))),N(INDEX(FTE_Allocation!$I$2:$I$201,$AB671)))),MONTH(MAX(N(INDEX(Workforce!$I$2:$I$151,MATCH(INDEX(FTE_Allocation!$A$2:$A$201,$AB671),Workforce!$A$2:$A$151,0))),N(INDEX(FTE_Allocation!$I$2:$I$201,$AB671)))),1),"")))</f>
        <v/>
      </c>
      <c r="AF671" s="21">
        <f>IF($Z671="C",IF(INDEX(Contracts!$I$2:$I$151,$AB671)="PREPAID",EDATE(DATE(YEAR(INDEX(Contracts!$J$2:$J$151,$AB671)),MONTH(INDEX(Contracts!$J$2:$J$151,$AB671)),1),IF(INDEX(Contracts!$N$2:$N$151,$AB671)="",12,INDEX(Contracts!$N$2:$N$151,$AB671))-1),IF(INDEX(Contracts!$I$2:$I$151,$AB671)="MONTHLY",IF(INDEX(Contracts!$K$2:$K$151,$AB671)="",2958101,INDEX(Contracts!$K$2:$K$151,$AB671)),0)),IF($Z671="A",EDATE(DATE(YEAR(INDEX(Fixed_Assets!$G$2:$G$201,$AB671)),MONTH(INDEX(Fixed_Assets!$G$2:$G$201,$AB671)),1),INDEX(Fixed_Assets!$J$2:$J$201,$AB671)-1),IF($Z671="F",MIN(IF(INDEX(Workforce!$J$2:$J$151,MATCH(INDEX(FTE_Allocation!$A$2:$A$201,$AB671),Workforce!$A$2:$A$151,0))="",2958101,INDEX(Workforce!$J$2:$J$151,MATCH(INDEX(FTE_Allocation!$A$2:$A$201,$AB671),Workforce!$A$2:$A$151,0))),IF(INDEX(FTE_Allocation!$J$2:$J$201,$AB671)="",2958101,INDEX(FTE_Allocation!$J$2:$J$201,$AB671))),"")))</f>
        <v/>
      </c>
      <c r="AG671" s="19">
        <f>IF($Z671="C",IF(INDEX(Contracts!$I$2:$I$151,$AB671)="PREPAID",INDEX(Contracts!$M$2:$M$151,$AB671)/IF(INDEX(Contracts!$N$2:$N$151,$AB671)="",12,INDEX(Contracts!$N$2:$N$151,$AB671)),IF(INDEX(Contracts!$I$2:$I$151,$AB671)="MONTHLY",INDEX(Contracts!$M$2:$M$151,$AB671),0))*(1-N(INDEX(Contracts!$O$2:$O$151,$AB671))),IF($Z671="A",INDEX(Fixed_Assets!$H$2:$H$201,$AB671)/INDEX(Fixed_Assets!$J$2:$J$201,$AB671),IF($Z671="F",INDEX(Workforce!$F$2:$F$151,MATCH(INDEX(FTE_Allocation!$A$2:$A$201,$AB671),Workforce!$A$2:$A$151,0))*N(INDEX(FTE_Allocation!$F$2:$H$201,$AB671,$AC671)),"")))</f>
        <v/>
      </c>
    </row>
    <row r="672">
      <c r="A672" s="7">
        <f>IF($Z672="","",$AD672)</f>
        <v/>
      </c>
      <c r="B672" s="7">
        <f>IF($Z672="C",INDEX(Contracts!$D$2:$D$151,$AB672)&amp;"",IF($Z672="A",INDEX(Fixed_Assets!$C$2:$C$201,$AB672)&amp;"",IF($Z672="F",INDEX(Workforce!$B$2:$B$151,MATCH(INDEX(FTE_Allocation!$A$2:$A$201,$AB672),Workforce!$A$2:$A$151,0))&amp;"","")))</f>
        <v/>
      </c>
      <c r="C672" s="7">
        <f>IF($Z672="C",INDEX(Contracts!$E$2:$E$151,$AB672)&amp;"",IF($Z672="A",INDEX(Fixed_Assets!$D$2:$D$201,$AB672)&amp;"",IF($Z672="F",INDEX(FTE_Allocation!$C$2:$C$201,$AB672)&amp;"","")))</f>
        <v/>
      </c>
      <c r="D672" s="7">
        <f>IF($Z672="C",INDEX(Contracts!$B$2:$B$151,$AB672)&amp;"",IF($Z672="A",INDEX(Fixed_Assets!$B$2:$B$201,$AB672)&amp;"",IF($Z672="F",INDEX(FTE_Allocation!$B$2:$B$201,$AB672)&amp;"","")))</f>
        <v/>
      </c>
      <c r="E672" s="7">
        <f>IF($Z672="C",INDEX(Contracts!$P$2:$P$151,$AB672)&amp;"",IF($Z672="A",INDEX(Fixed_Assets!$K$2:$K$201,$AB672)&amp;"",IF($Z672="F",IF(INDEX(FTE_Allocation!$D$2:$D$201,$AB672)="PROJECT",IFERROR(INDEX(Projects!$D:$D,MATCH(INDEX(FTE_Allocation!$E$2:$E$201,$AB672),Projects!$A:$A,0))&amp;"","#PROJECT?"),INDEX(FTE_Allocation!$E$2:$E$201,$AB672)&amp;""),"")))</f>
        <v/>
      </c>
      <c r="F672" s="7">
        <f>IF($Z672="C",INDEX(Contracts!$Q$2:$Q$151,$AB672)&amp;"",IF($Z672="A",INDEX(Fixed_Assets!$L$2:$L$201,$AB672)&amp;"",IF($Z672="F",INDEX(Workforce!$K$2:$K$151,MATCH(INDEX(FTE_Allocation!$A$2:$A$201,$AB672),Workforce!$A$2:$A$151,0))&amp;"","")))</f>
        <v/>
      </c>
      <c r="G672" s="7">
        <f>IF($Z672="C",INDEX(Contracts!$F$2:$F$151,$AB672)&amp;" / "&amp;INDEX(Contracts!$G$2:$G$151,$AB672),IF($Z672="A",INDEX(Fixed_Assets!$E$2:$E$201,$AB672)&amp;"",IF($Z672="F","Personnel "&amp;INDEX(FTE_Allocation!$A$2:$A$201,$AB672)&amp;IF(INDEX(FTE_Allocation!$D$2:$D$201,$AB672)="PROJECT"," ("&amp;INDEX(FTE_Allocation!$E$2:$E$201,$AB672)&amp;")",""),"")))</f>
        <v/>
      </c>
      <c r="H672" s="7">
        <f>IF($Z672="C","CONTRACT",IF($Z672="A","ASSET",IF($Z672="F","WORKFORCE","")))</f>
        <v/>
      </c>
      <c r="I672" s="7">
        <f>IF($Z672="C",INDEX(Contracts!$L$2:$L$151,$AB672)&amp;"",IF($Z672="A",INDEX(Fixed_Assets!$I$2:$I$201,$AB672)&amp;"",IF($Z672="F",INDEX(Workforce!$G$2:$G$151,MATCH(INDEX(FTE_Allocation!$A$2:$A$201,$AB672),Workforce!$A$2:$A$151,0))&amp;"","")))</f>
        <v/>
      </c>
      <c r="J672" s="18">
        <f>IF($Z672="","",IF(AND(DATE($AD672,1,1)&gt;=$AE672,DATE($AD672,1,1)&lt;=$AF672),ROUND($AG672,2),0))</f>
        <v/>
      </c>
      <c r="K672" s="18">
        <f>IF($Z672="","",IF(AND(DATE($AD672,2,1)&gt;=$AE672,DATE($AD672,2,1)&lt;=$AF672),ROUND($AG672,2),0))</f>
        <v/>
      </c>
      <c r="L672" s="18">
        <f>IF($Z672="","",IF(AND(DATE($AD672,3,1)&gt;=$AE672,DATE($AD672,3,1)&lt;=$AF672),ROUND($AG672,2),0))</f>
        <v/>
      </c>
      <c r="M672" s="18">
        <f>IF($Z672="","",IF(AND(DATE($AD672,4,1)&gt;=$AE672,DATE($AD672,4,1)&lt;=$AF672),ROUND($AG672,2),0))</f>
        <v/>
      </c>
      <c r="N672" s="18">
        <f>IF($Z672="","",IF(AND(DATE($AD672,5,1)&gt;=$AE672,DATE($AD672,5,1)&lt;=$AF672),ROUND($AG672,2),0))</f>
        <v/>
      </c>
      <c r="O672" s="18">
        <f>IF($Z672="","",IF(AND(DATE($AD672,6,1)&gt;=$AE672,DATE($AD672,6,1)&lt;=$AF672),ROUND($AG672,2),0))</f>
        <v/>
      </c>
      <c r="P672" s="18">
        <f>IF($Z672="","",IF(AND(DATE($AD672,7,1)&gt;=$AE672,DATE($AD672,7,1)&lt;=$AF672),ROUND($AG672,2),0))</f>
        <v/>
      </c>
      <c r="Q672" s="18">
        <f>IF($Z672="","",IF(AND(DATE($AD672,8,1)&gt;=$AE672,DATE($AD672,8,1)&lt;=$AF672),ROUND($AG672,2),0))</f>
        <v/>
      </c>
      <c r="R672" s="18">
        <f>IF($Z672="","",IF(AND(DATE($AD672,9,1)&gt;=$AE672,DATE($AD672,9,1)&lt;=$AF672),ROUND($AG672,2),0))</f>
        <v/>
      </c>
      <c r="S672" s="18">
        <f>IF($Z672="","",IF(AND(DATE($AD672,10,1)&gt;=$AE672,DATE($AD672,10,1)&lt;=$AF672),ROUND($AG672,2),0))</f>
        <v/>
      </c>
      <c r="T672" s="18">
        <f>IF($Z672="","",IF(AND(DATE($AD672,11,1)&gt;=$AE672,DATE($AD672,11,1)&lt;=$AF672),ROUND($AG672,2),0))</f>
        <v/>
      </c>
      <c r="U672" s="18">
        <f>IF($Z672="","",IF(AND(DATE($AD672,12,1)&gt;=$AE672,DATE($AD672,12,1)&lt;=$AF672),ROUND($AG672,2),0))</f>
        <v/>
      </c>
      <c r="V672" s="7">
        <f>IF($Z672="C","Generated from "&amp;INDEX(Contracts!$A$2:$A$151,$AB672),IF($Z672="A","Generated from "&amp;INDEX(Fixed_Assets!$A$2:$A$201,$AB672),IF($Z672="F","Generated from "&amp;INDEX(FTE_Allocation!$A$2:$A$201,$AB672),"")))</f>
        <v/>
      </c>
      <c r="X672" s="19">
        <f>IF($Z672="","",SUM(J672:U672))</f>
        <v/>
      </c>
      <c r="Y672" s="20">
        <f>ROW()-1</f>
        <v/>
      </c>
      <c r="Z672" s="20">
        <f>IF($Y672&lt;=Settings!$B$4*3,"C",IF($Y672&lt;=(Settings!$B$4+Settings!$B$5)*3,"A",IF($Y672&lt;=(Settings!$B$4+Settings!$B$5+Settings!$B$6)*3,"F","")))</f>
        <v/>
      </c>
      <c r="AA672" s="20">
        <f>IF($Z672="C",$Y672,IF($Z672="A",$Y672-Settings!$B$4*3,IF($Z672="F",$Y672-(Settings!$B$4+Settings!$B$5)*3,"")))</f>
        <v/>
      </c>
      <c r="AB672" s="20">
        <f>IF($Z672="","",INT(($AA672-1)/3)+1)</f>
        <v/>
      </c>
      <c r="AC672" s="20">
        <f>IF($Z672="","",MOD($AA672-1,3)+1)</f>
        <v/>
      </c>
      <c r="AD672" s="20">
        <f>IF($Z672="","",Settings!$B$2+$AC672-1)</f>
        <v/>
      </c>
      <c r="AE672" s="21">
        <f>IF($Z672="C",DATE(YEAR(INDEX(Contracts!$J$2:$J$151,$AB672)),MONTH(INDEX(Contracts!$J$2:$J$151,$AB672)),1),IF($Z672="A",DATE(YEAR(INDEX(Fixed_Assets!$G$2:$G$201,$AB672)),MONTH(INDEX(Fixed_Assets!$G$2:$G$201,$AB672)),1),IF($Z672="F",DATE(YEAR(MAX(N(INDEX(Workforce!$I$2:$I$151,MATCH(INDEX(FTE_Allocation!$A$2:$A$201,$AB672),Workforce!$A$2:$A$151,0))),N(INDEX(FTE_Allocation!$I$2:$I$201,$AB672)))),MONTH(MAX(N(INDEX(Workforce!$I$2:$I$151,MATCH(INDEX(FTE_Allocation!$A$2:$A$201,$AB672),Workforce!$A$2:$A$151,0))),N(INDEX(FTE_Allocation!$I$2:$I$201,$AB672)))),1),"")))</f>
        <v/>
      </c>
      <c r="AF672" s="21">
        <f>IF($Z672="C",IF(INDEX(Contracts!$I$2:$I$151,$AB672)="PREPAID",EDATE(DATE(YEAR(INDEX(Contracts!$J$2:$J$151,$AB672)),MONTH(INDEX(Contracts!$J$2:$J$151,$AB672)),1),IF(INDEX(Contracts!$N$2:$N$151,$AB672)="",12,INDEX(Contracts!$N$2:$N$151,$AB672))-1),IF(INDEX(Contracts!$I$2:$I$151,$AB672)="MONTHLY",IF(INDEX(Contracts!$K$2:$K$151,$AB672)="",2958101,INDEX(Contracts!$K$2:$K$151,$AB672)),0)),IF($Z672="A",EDATE(DATE(YEAR(INDEX(Fixed_Assets!$G$2:$G$201,$AB672)),MONTH(INDEX(Fixed_Assets!$G$2:$G$201,$AB672)),1),INDEX(Fixed_Assets!$J$2:$J$201,$AB672)-1),IF($Z672="F",MIN(IF(INDEX(Workforce!$J$2:$J$151,MATCH(INDEX(FTE_Allocation!$A$2:$A$201,$AB672),Workforce!$A$2:$A$151,0))="",2958101,INDEX(Workforce!$J$2:$J$151,MATCH(INDEX(FTE_Allocation!$A$2:$A$201,$AB672),Workforce!$A$2:$A$151,0))),IF(INDEX(FTE_Allocation!$J$2:$J$201,$AB672)="",2958101,INDEX(FTE_Allocation!$J$2:$J$201,$AB672))),"")))</f>
        <v/>
      </c>
      <c r="AG672" s="19">
        <f>IF($Z672="C",IF(INDEX(Contracts!$I$2:$I$151,$AB672)="PREPAID",INDEX(Contracts!$M$2:$M$151,$AB672)/IF(INDEX(Contracts!$N$2:$N$151,$AB672)="",12,INDEX(Contracts!$N$2:$N$151,$AB672)),IF(INDEX(Contracts!$I$2:$I$151,$AB672)="MONTHLY",INDEX(Contracts!$M$2:$M$151,$AB672),0))*(1-N(INDEX(Contracts!$O$2:$O$151,$AB672))),IF($Z672="A",INDEX(Fixed_Assets!$H$2:$H$201,$AB672)/INDEX(Fixed_Assets!$J$2:$J$201,$AB672),IF($Z672="F",INDEX(Workforce!$F$2:$F$151,MATCH(INDEX(FTE_Allocation!$A$2:$A$201,$AB672),Workforce!$A$2:$A$151,0))*N(INDEX(FTE_Allocation!$F$2:$H$201,$AB672,$AC672)),"")))</f>
        <v/>
      </c>
    </row>
    <row r="673">
      <c r="A673" s="7">
        <f>IF($Z673="","",$AD673)</f>
        <v/>
      </c>
      <c r="B673" s="7">
        <f>IF($Z673="C",INDEX(Contracts!$D$2:$D$151,$AB673)&amp;"",IF($Z673="A",INDEX(Fixed_Assets!$C$2:$C$201,$AB673)&amp;"",IF($Z673="F",INDEX(Workforce!$B$2:$B$151,MATCH(INDEX(FTE_Allocation!$A$2:$A$201,$AB673),Workforce!$A$2:$A$151,0))&amp;"","")))</f>
        <v/>
      </c>
      <c r="C673" s="7">
        <f>IF($Z673="C",INDEX(Contracts!$E$2:$E$151,$AB673)&amp;"",IF($Z673="A",INDEX(Fixed_Assets!$D$2:$D$201,$AB673)&amp;"",IF($Z673="F",INDEX(FTE_Allocation!$C$2:$C$201,$AB673)&amp;"","")))</f>
        <v/>
      </c>
      <c r="D673" s="7">
        <f>IF($Z673="C",INDEX(Contracts!$B$2:$B$151,$AB673)&amp;"",IF($Z673="A",INDEX(Fixed_Assets!$B$2:$B$201,$AB673)&amp;"",IF($Z673="F",INDEX(FTE_Allocation!$B$2:$B$201,$AB673)&amp;"","")))</f>
        <v/>
      </c>
      <c r="E673" s="7">
        <f>IF($Z673="C",INDEX(Contracts!$P$2:$P$151,$AB673)&amp;"",IF($Z673="A",INDEX(Fixed_Assets!$K$2:$K$201,$AB673)&amp;"",IF($Z673="F",IF(INDEX(FTE_Allocation!$D$2:$D$201,$AB673)="PROJECT",IFERROR(INDEX(Projects!$D:$D,MATCH(INDEX(FTE_Allocation!$E$2:$E$201,$AB673),Projects!$A:$A,0))&amp;"","#PROJECT?"),INDEX(FTE_Allocation!$E$2:$E$201,$AB673)&amp;""),"")))</f>
        <v/>
      </c>
      <c r="F673" s="7">
        <f>IF($Z673="C",INDEX(Contracts!$Q$2:$Q$151,$AB673)&amp;"",IF($Z673="A",INDEX(Fixed_Assets!$L$2:$L$201,$AB673)&amp;"",IF($Z673="F",INDEX(Workforce!$K$2:$K$151,MATCH(INDEX(FTE_Allocation!$A$2:$A$201,$AB673),Workforce!$A$2:$A$151,0))&amp;"","")))</f>
        <v/>
      </c>
      <c r="G673" s="7">
        <f>IF($Z673="C",INDEX(Contracts!$F$2:$F$151,$AB673)&amp;" / "&amp;INDEX(Contracts!$G$2:$G$151,$AB673),IF($Z673="A",INDEX(Fixed_Assets!$E$2:$E$201,$AB673)&amp;"",IF($Z673="F","Personnel "&amp;INDEX(FTE_Allocation!$A$2:$A$201,$AB673)&amp;IF(INDEX(FTE_Allocation!$D$2:$D$201,$AB673)="PROJECT"," ("&amp;INDEX(FTE_Allocation!$E$2:$E$201,$AB673)&amp;")",""),"")))</f>
        <v/>
      </c>
      <c r="H673" s="7">
        <f>IF($Z673="C","CONTRACT",IF($Z673="A","ASSET",IF($Z673="F","WORKFORCE","")))</f>
        <v/>
      </c>
      <c r="I673" s="7">
        <f>IF($Z673="C",INDEX(Contracts!$L$2:$L$151,$AB673)&amp;"",IF($Z673="A",INDEX(Fixed_Assets!$I$2:$I$201,$AB673)&amp;"",IF($Z673="F",INDEX(Workforce!$G$2:$G$151,MATCH(INDEX(FTE_Allocation!$A$2:$A$201,$AB673),Workforce!$A$2:$A$151,0))&amp;"","")))</f>
        <v/>
      </c>
      <c r="J673" s="18">
        <f>IF($Z673="","",IF(AND(DATE($AD673,1,1)&gt;=$AE673,DATE($AD673,1,1)&lt;=$AF673),ROUND($AG673,2),0))</f>
        <v/>
      </c>
      <c r="K673" s="18">
        <f>IF($Z673="","",IF(AND(DATE($AD673,2,1)&gt;=$AE673,DATE($AD673,2,1)&lt;=$AF673),ROUND($AG673,2),0))</f>
        <v/>
      </c>
      <c r="L673" s="18">
        <f>IF($Z673="","",IF(AND(DATE($AD673,3,1)&gt;=$AE673,DATE($AD673,3,1)&lt;=$AF673),ROUND($AG673,2),0))</f>
        <v/>
      </c>
      <c r="M673" s="18">
        <f>IF($Z673="","",IF(AND(DATE($AD673,4,1)&gt;=$AE673,DATE($AD673,4,1)&lt;=$AF673),ROUND($AG673,2),0))</f>
        <v/>
      </c>
      <c r="N673" s="18">
        <f>IF($Z673="","",IF(AND(DATE($AD673,5,1)&gt;=$AE673,DATE($AD673,5,1)&lt;=$AF673),ROUND($AG673,2),0))</f>
        <v/>
      </c>
      <c r="O673" s="18">
        <f>IF($Z673="","",IF(AND(DATE($AD673,6,1)&gt;=$AE673,DATE($AD673,6,1)&lt;=$AF673),ROUND($AG673,2),0))</f>
        <v/>
      </c>
      <c r="P673" s="18">
        <f>IF($Z673="","",IF(AND(DATE($AD673,7,1)&gt;=$AE673,DATE($AD673,7,1)&lt;=$AF673),ROUND($AG673,2),0))</f>
        <v/>
      </c>
      <c r="Q673" s="18">
        <f>IF($Z673="","",IF(AND(DATE($AD673,8,1)&gt;=$AE673,DATE($AD673,8,1)&lt;=$AF673),ROUND($AG673,2),0))</f>
        <v/>
      </c>
      <c r="R673" s="18">
        <f>IF($Z673="","",IF(AND(DATE($AD673,9,1)&gt;=$AE673,DATE($AD673,9,1)&lt;=$AF673),ROUND($AG673,2),0))</f>
        <v/>
      </c>
      <c r="S673" s="18">
        <f>IF($Z673="","",IF(AND(DATE($AD673,10,1)&gt;=$AE673,DATE($AD673,10,1)&lt;=$AF673),ROUND($AG673,2),0))</f>
        <v/>
      </c>
      <c r="T673" s="18">
        <f>IF($Z673="","",IF(AND(DATE($AD673,11,1)&gt;=$AE673,DATE($AD673,11,1)&lt;=$AF673),ROUND($AG673,2),0))</f>
        <v/>
      </c>
      <c r="U673" s="18">
        <f>IF($Z673="","",IF(AND(DATE($AD673,12,1)&gt;=$AE673,DATE($AD673,12,1)&lt;=$AF673),ROUND($AG673,2),0))</f>
        <v/>
      </c>
      <c r="V673" s="7">
        <f>IF($Z673="C","Generated from "&amp;INDEX(Contracts!$A$2:$A$151,$AB673),IF($Z673="A","Generated from "&amp;INDEX(Fixed_Assets!$A$2:$A$201,$AB673),IF($Z673="F","Generated from "&amp;INDEX(FTE_Allocation!$A$2:$A$201,$AB673),"")))</f>
        <v/>
      </c>
      <c r="X673" s="19">
        <f>IF($Z673="","",SUM(J673:U673))</f>
        <v/>
      </c>
      <c r="Y673" s="20">
        <f>ROW()-1</f>
        <v/>
      </c>
      <c r="Z673" s="20">
        <f>IF($Y673&lt;=Settings!$B$4*3,"C",IF($Y673&lt;=(Settings!$B$4+Settings!$B$5)*3,"A",IF($Y673&lt;=(Settings!$B$4+Settings!$B$5+Settings!$B$6)*3,"F","")))</f>
        <v/>
      </c>
      <c r="AA673" s="20">
        <f>IF($Z673="C",$Y673,IF($Z673="A",$Y673-Settings!$B$4*3,IF($Z673="F",$Y673-(Settings!$B$4+Settings!$B$5)*3,"")))</f>
        <v/>
      </c>
      <c r="AB673" s="20">
        <f>IF($Z673="","",INT(($AA673-1)/3)+1)</f>
        <v/>
      </c>
      <c r="AC673" s="20">
        <f>IF($Z673="","",MOD($AA673-1,3)+1)</f>
        <v/>
      </c>
      <c r="AD673" s="20">
        <f>IF($Z673="","",Settings!$B$2+$AC673-1)</f>
        <v/>
      </c>
      <c r="AE673" s="21">
        <f>IF($Z673="C",DATE(YEAR(INDEX(Contracts!$J$2:$J$151,$AB673)),MONTH(INDEX(Contracts!$J$2:$J$151,$AB673)),1),IF($Z673="A",DATE(YEAR(INDEX(Fixed_Assets!$G$2:$G$201,$AB673)),MONTH(INDEX(Fixed_Assets!$G$2:$G$201,$AB673)),1),IF($Z673="F",DATE(YEAR(MAX(N(INDEX(Workforce!$I$2:$I$151,MATCH(INDEX(FTE_Allocation!$A$2:$A$201,$AB673),Workforce!$A$2:$A$151,0))),N(INDEX(FTE_Allocation!$I$2:$I$201,$AB673)))),MONTH(MAX(N(INDEX(Workforce!$I$2:$I$151,MATCH(INDEX(FTE_Allocation!$A$2:$A$201,$AB673),Workforce!$A$2:$A$151,0))),N(INDEX(FTE_Allocation!$I$2:$I$201,$AB673)))),1),"")))</f>
        <v/>
      </c>
      <c r="AF673" s="21">
        <f>IF($Z673="C",IF(INDEX(Contracts!$I$2:$I$151,$AB673)="PREPAID",EDATE(DATE(YEAR(INDEX(Contracts!$J$2:$J$151,$AB673)),MONTH(INDEX(Contracts!$J$2:$J$151,$AB673)),1),IF(INDEX(Contracts!$N$2:$N$151,$AB673)="",12,INDEX(Contracts!$N$2:$N$151,$AB673))-1),IF(INDEX(Contracts!$I$2:$I$151,$AB673)="MONTHLY",IF(INDEX(Contracts!$K$2:$K$151,$AB673)="",2958101,INDEX(Contracts!$K$2:$K$151,$AB673)),0)),IF($Z673="A",EDATE(DATE(YEAR(INDEX(Fixed_Assets!$G$2:$G$201,$AB673)),MONTH(INDEX(Fixed_Assets!$G$2:$G$201,$AB673)),1),INDEX(Fixed_Assets!$J$2:$J$201,$AB673)-1),IF($Z673="F",MIN(IF(INDEX(Workforce!$J$2:$J$151,MATCH(INDEX(FTE_Allocation!$A$2:$A$201,$AB673),Workforce!$A$2:$A$151,0))="",2958101,INDEX(Workforce!$J$2:$J$151,MATCH(INDEX(FTE_Allocation!$A$2:$A$201,$AB673),Workforce!$A$2:$A$151,0))),IF(INDEX(FTE_Allocation!$J$2:$J$201,$AB673)="",2958101,INDEX(FTE_Allocation!$J$2:$J$201,$AB673))),"")))</f>
        <v/>
      </c>
      <c r="AG673" s="19">
        <f>IF($Z673="C",IF(INDEX(Contracts!$I$2:$I$151,$AB673)="PREPAID",INDEX(Contracts!$M$2:$M$151,$AB673)/IF(INDEX(Contracts!$N$2:$N$151,$AB673)="",12,INDEX(Contracts!$N$2:$N$151,$AB673)),IF(INDEX(Contracts!$I$2:$I$151,$AB673)="MONTHLY",INDEX(Contracts!$M$2:$M$151,$AB673),0))*(1-N(INDEX(Contracts!$O$2:$O$151,$AB673))),IF($Z673="A",INDEX(Fixed_Assets!$H$2:$H$201,$AB673)/INDEX(Fixed_Assets!$J$2:$J$201,$AB673),IF($Z673="F",INDEX(Workforce!$F$2:$F$151,MATCH(INDEX(FTE_Allocation!$A$2:$A$201,$AB673),Workforce!$A$2:$A$151,0))*N(INDEX(FTE_Allocation!$F$2:$H$201,$AB673,$AC673)),"")))</f>
        <v/>
      </c>
    </row>
    <row r="674">
      <c r="A674" s="7">
        <f>IF($Z674="","",$AD674)</f>
        <v/>
      </c>
      <c r="B674" s="7">
        <f>IF($Z674="C",INDEX(Contracts!$D$2:$D$151,$AB674)&amp;"",IF($Z674="A",INDEX(Fixed_Assets!$C$2:$C$201,$AB674)&amp;"",IF($Z674="F",INDEX(Workforce!$B$2:$B$151,MATCH(INDEX(FTE_Allocation!$A$2:$A$201,$AB674),Workforce!$A$2:$A$151,0))&amp;"","")))</f>
        <v/>
      </c>
      <c r="C674" s="7">
        <f>IF($Z674="C",INDEX(Contracts!$E$2:$E$151,$AB674)&amp;"",IF($Z674="A",INDEX(Fixed_Assets!$D$2:$D$201,$AB674)&amp;"",IF($Z674="F",INDEX(FTE_Allocation!$C$2:$C$201,$AB674)&amp;"","")))</f>
        <v/>
      </c>
      <c r="D674" s="7">
        <f>IF($Z674="C",INDEX(Contracts!$B$2:$B$151,$AB674)&amp;"",IF($Z674="A",INDEX(Fixed_Assets!$B$2:$B$201,$AB674)&amp;"",IF($Z674="F",INDEX(FTE_Allocation!$B$2:$B$201,$AB674)&amp;"","")))</f>
        <v/>
      </c>
      <c r="E674" s="7">
        <f>IF($Z674="C",INDEX(Contracts!$P$2:$P$151,$AB674)&amp;"",IF($Z674="A",INDEX(Fixed_Assets!$K$2:$K$201,$AB674)&amp;"",IF($Z674="F",IF(INDEX(FTE_Allocation!$D$2:$D$201,$AB674)="PROJECT",IFERROR(INDEX(Projects!$D:$D,MATCH(INDEX(FTE_Allocation!$E$2:$E$201,$AB674),Projects!$A:$A,0))&amp;"","#PROJECT?"),INDEX(FTE_Allocation!$E$2:$E$201,$AB674)&amp;""),"")))</f>
        <v/>
      </c>
      <c r="F674" s="7">
        <f>IF($Z674="C",INDEX(Contracts!$Q$2:$Q$151,$AB674)&amp;"",IF($Z674="A",INDEX(Fixed_Assets!$L$2:$L$201,$AB674)&amp;"",IF($Z674="F",INDEX(Workforce!$K$2:$K$151,MATCH(INDEX(FTE_Allocation!$A$2:$A$201,$AB674),Workforce!$A$2:$A$151,0))&amp;"","")))</f>
        <v/>
      </c>
      <c r="G674" s="7">
        <f>IF($Z674="C",INDEX(Contracts!$F$2:$F$151,$AB674)&amp;" / "&amp;INDEX(Contracts!$G$2:$G$151,$AB674),IF($Z674="A",INDEX(Fixed_Assets!$E$2:$E$201,$AB674)&amp;"",IF($Z674="F","Personnel "&amp;INDEX(FTE_Allocation!$A$2:$A$201,$AB674)&amp;IF(INDEX(FTE_Allocation!$D$2:$D$201,$AB674)="PROJECT"," ("&amp;INDEX(FTE_Allocation!$E$2:$E$201,$AB674)&amp;")",""),"")))</f>
        <v/>
      </c>
      <c r="H674" s="7">
        <f>IF($Z674="C","CONTRACT",IF($Z674="A","ASSET",IF($Z674="F","WORKFORCE","")))</f>
        <v/>
      </c>
      <c r="I674" s="7">
        <f>IF($Z674="C",INDEX(Contracts!$L$2:$L$151,$AB674)&amp;"",IF($Z674="A",INDEX(Fixed_Assets!$I$2:$I$201,$AB674)&amp;"",IF($Z674="F",INDEX(Workforce!$G$2:$G$151,MATCH(INDEX(FTE_Allocation!$A$2:$A$201,$AB674),Workforce!$A$2:$A$151,0))&amp;"","")))</f>
        <v/>
      </c>
      <c r="J674" s="18">
        <f>IF($Z674="","",IF(AND(DATE($AD674,1,1)&gt;=$AE674,DATE($AD674,1,1)&lt;=$AF674),ROUND($AG674,2),0))</f>
        <v/>
      </c>
      <c r="K674" s="18">
        <f>IF($Z674="","",IF(AND(DATE($AD674,2,1)&gt;=$AE674,DATE($AD674,2,1)&lt;=$AF674),ROUND($AG674,2),0))</f>
        <v/>
      </c>
      <c r="L674" s="18">
        <f>IF($Z674="","",IF(AND(DATE($AD674,3,1)&gt;=$AE674,DATE($AD674,3,1)&lt;=$AF674),ROUND($AG674,2),0))</f>
        <v/>
      </c>
      <c r="M674" s="18">
        <f>IF($Z674="","",IF(AND(DATE($AD674,4,1)&gt;=$AE674,DATE($AD674,4,1)&lt;=$AF674),ROUND($AG674,2),0))</f>
        <v/>
      </c>
      <c r="N674" s="18">
        <f>IF($Z674="","",IF(AND(DATE($AD674,5,1)&gt;=$AE674,DATE($AD674,5,1)&lt;=$AF674),ROUND($AG674,2),0))</f>
        <v/>
      </c>
      <c r="O674" s="18">
        <f>IF($Z674="","",IF(AND(DATE($AD674,6,1)&gt;=$AE674,DATE($AD674,6,1)&lt;=$AF674),ROUND($AG674,2),0))</f>
        <v/>
      </c>
      <c r="P674" s="18">
        <f>IF($Z674="","",IF(AND(DATE($AD674,7,1)&gt;=$AE674,DATE($AD674,7,1)&lt;=$AF674),ROUND($AG674,2),0))</f>
        <v/>
      </c>
      <c r="Q674" s="18">
        <f>IF($Z674="","",IF(AND(DATE($AD674,8,1)&gt;=$AE674,DATE($AD674,8,1)&lt;=$AF674),ROUND($AG674,2),0))</f>
        <v/>
      </c>
      <c r="R674" s="18">
        <f>IF($Z674="","",IF(AND(DATE($AD674,9,1)&gt;=$AE674,DATE($AD674,9,1)&lt;=$AF674),ROUND($AG674,2),0))</f>
        <v/>
      </c>
      <c r="S674" s="18">
        <f>IF($Z674="","",IF(AND(DATE($AD674,10,1)&gt;=$AE674,DATE($AD674,10,1)&lt;=$AF674),ROUND($AG674,2),0))</f>
        <v/>
      </c>
      <c r="T674" s="18">
        <f>IF($Z674="","",IF(AND(DATE($AD674,11,1)&gt;=$AE674,DATE($AD674,11,1)&lt;=$AF674),ROUND($AG674,2),0))</f>
        <v/>
      </c>
      <c r="U674" s="18">
        <f>IF($Z674="","",IF(AND(DATE($AD674,12,1)&gt;=$AE674,DATE($AD674,12,1)&lt;=$AF674),ROUND($AG674,2),0))</f>
        <v/>
      </c>
      <c r="V674" s="7">
        <f>IF($Z674="C","Generated from "&amp;INDEX(Contracts!$A$2:$A$151,$AB674),IF($Z674="A","Generated from "&amp;INDEX(Fixed_Assets!$A$2:$A$201,$AB674),IF($Z674="F","Generated from "&amp;INDEX(FTE_Allocation!$A$2:$A$201,$AB674),"")))</f>
        <v/>
      </c>
      <c r="X674" s="19">
        <f>IF($Z674="","",SUM(J674:U674))</f>
        <v/>
      </c>
      <c r="Y674" s="20">
        <f>ROW()-1</f>
        <v/>
      </c>
      <c r="Z674" s="20">
        <f>IF($Y674&lt;=Settings!$B$4*3,"C",IF($Y674&lt;=(Settings!$B$4+Settings!$B$5)*3,"A",IF($Y674&lt;=(Settings!$B$4+Settings!$B$5+Settings!$B$6)*3,"F","")))</f>
        <v/>
      </c>
      <c r="AA674" s="20">
        <f>IF($Z674="C",$Y674,IF($Z674="A",$Y674-Settings!$B$4*3,IF($Z674="F",$Y674-(Settings!$B$4+Settings!$B$5)*3,"")))</f>
        <v/>
      </c>
      <c r="AB674" s="20">
        <f>IF($Z674="","",INT(($AA674-1)/3)+1)</f>
        <v/>
      </c>
      <c r="AC674" s="20">
        <f>IF($Z674="","",MOD($AA674-1,3)+1)</f>
        <v/>
      </c>
      <c r="AD674" s="20">
        <f>IF($Z674="","",Settings!$B$2+$AC674-1)</f>
        <v/>
      </c>
      <c r="AE674" s="21">
        <f>IF($Z674="C",DATE(YEAR(INDEX(Contracts!$J$2:$J$151,$AB674)),MONTH(INDEX(Contracts!$J$2:$J$151,$AB674)),1),IF($Z674="A",DATE(YEAR(INDEX(Fixed_Assets!$G$2:$G$201,$AB674)),MONTH(INDEX(Fixed_Assets!$G$2:$G$201,$AB674)),1),IF($Z674="F",DATE(YEAR(MAX(N(INDEX(Workforce!$I$2:$I$151,MATCH(INDEX(FTE_Allocation!$A$2:$A$201,$AB674),Workforce!$A$2:$A$151,0))),N(INDEX(FTE_Allocation!$I$2:$I$201,$AB674)))),MONTH(MAX(N(INDEX(Workforce!$I$2:$I$151,MATCH(INDEX(FTE_Allocation!$A$2:$A$201,$AB674),Workforce!$A$2:$A$151,0))),N(INDEX(FTE_Allocation!$I$2:$I$201,$AB674)))),1),"")))</f>
        <v/>
      </c>
      <c r="AF674" s="21">
        <f>IF($Z674="C",IF(INDEX(Contracts!$I$2:$I$151,$AB674)="PREPAID",EDATE(DATE(YEAR(INDEX(Contracts!$J$2:$J$151,$AB674)),MONTH(INDEX(Contracts!$J$2:$J$151,$AB674)),1),IF(INDEX(Contracts!$N$2:$N$151,$AB674)="",12,INDEX(Contracts!$N$2:$N$151,$AB674))-1),IF(INDEX(Contracts!$I$2:$I$151,$AB674)="MONTHLY",IF(INDEX(Contracts!$K$2:$K$151,$AB674)="",2958101,INDEX(Contracts!$K$2:$K$151,$AB674)),0)),IF($Z674="A",EDATE(DATE(YEAR(INDEX(Fixed_Assets!$G$2:$G$201,$AB674)),MONTH(INDEX(Fixed_Assets!$G$2:$G$201,$AB674)),1),INDEX(Fixed_Assets!$J$2:$J$201,$AB674)-1),IF($Z674="F",MIN(IF(INDEX(Workforce!$J$2:$J$151,MATCH(INDEX(FTE_Allocation!$A$2:$A$201,$AB674),Workforce!$A$2:$A$151,0))="",2958101,INDEX(Workforce!$J$2:$J$151,MATCH(INDEX(FTE_Allocation!$A$2:$A$201,$AB674),Workforce!$A$2:$A$151,0))),IF(INDEX(FTE_Allocation!$J$2:$J$201,$AB674)="",2958101,INDEX(FTE_Allocation!$J$2:$J$201,$AB674))),"")))</f>
        <v/>
      </c>
      <c r="AG674" s="19">
        <f>IF($Z674="C",IF(INDEX(Contracts!$I$2:$I$151,$AB674)="PREPAID",INDEX(Contracts!$M$2:$M$151,$AB674)/IF(INDEX(Contracts!$N$2:$N$151,$AB674)="",12,INDEX(Contracts!$N$2:$N$151,$AB674)),IF(INDEX(Contracts!$I$2:$I$151,$AB674)="MONTHLY",INDEX(Contracts!$M$2:$M$151,$AB674),0))*(1-N(INDEX(Contracts!$O$2:$O$151,$AB674))),IF($Z674="A",INDEX(Fixed_Assets!$H$2:$H$201,$AB674)/INDEX(Fixed_Assets!$J$2:$J$201,$AB674),IF($Z674="F",INDEX(Workforce!$F$2:$F$151,MATCH(INDEX(FTE_Allocation!$A$2:$A$201,$AB674),Workforce!$A$2:$A$151,0))*N(INDEX(FTE_Allocation!$F$2:$H$201,$AB674,$AC674)),"")))</f>
        <v/>
      </c>
    </row>
    <row r="675">
      <c r="A675" s="7">
        <f>IF($Z675="","",$AD675)</f>
        <v/>
      </c>
      <c r="B675" s="7">
        <f>IF($Z675="C",INDEX(Contracts!$D$2:$D$151,$AB675)&amp;"",IF($Z675="A",INDEX(Fixed_Assets!$C$2:$C$201,$AB675)&amp;"",IF($Z675="F",INDEX(Workforce!$B$2:$B$151,MATCH(INDEX(FTE_Allocation!$A$2:$A$201,$AB675),Workforce!$A$2:$A$151,0))&amp;"","")))</f>
        <v/>
      </c>
      <c r="C675" s="7">
        <f>IF($Z675="C",INDEX(Contracts!$E$2:$E$151,$AB675)&amp;"",IF($Z675="A",INDEX(Fixed_Assets!$D$2:$D$201,$AB675)&amp;"",IF($Z675="F",INDEX(FTE_Allocation!$C$2:$C$201,$AB675)&amp;"","")))</f>
        <v/>
      </c>
      <c r="D675" s="7">
        <f>IF($Z675="C",INDEX(Contracts!$B$2:$B$151,$AB675)&amp;"",IF($Z675="A",INDEX(Fixed_Assets!$B$2:$B$201,$AB675)&amp;"",IF($Z675="F",INDEX(FTE_Allocation!$B$2:$B$201,$AB675)&amp;"","")))</f>
        <v/>
      </c>
      <c r="E675" s="7">
        <f>IF($Z675="C",INDEX(Contracts!$P$2:$P$151,$AB675)&amp;"",IF($Z675="A",INDEX(Fixed_Assets!$K$2:$K$201,$AB675)&amp;"",IF($Z675="F",IF(INDEX(FTE_Allocation!$D$2:$D$201,$AB675)="PROJECT",IFERROR(INDEX(Projects!$D:$D,MATCH(INDEX(FTE_Allocation!$E$2:$E$201,$AB675),Projects!$A:$A,0))&amp;"","#PROJECT?"),INDEX(FTE_Allocation!$E$2:$E$201,$AB675)&amp;""),"")))</f>
        <v/>
      </c>
      <c r="F675" s="7">
        <f>IF($Z675="C",INDEX(Contracts!$Q$2:$Q$151,$AB675)&amp;"",IF($Z675="A",INDEX(Fixed_Assets!$L$2:$L$201,$AB675)&amp;"",IF($Z675="F",INDEX(Workforce!$K$2:$K$151,MATCH(INDEX(FTE_Allocation!$A$2:$A$201,$AB675),Workforce!$A$2:$A$151,0))&amp;"","")))</f>
        <v/>
      </c>
      <c r="G675" s="7">
        <f>IF($Z675="C",INDEX(Contracts!$F$2:$F$151,$AB675)&amp;" / "&amp;INDEX(Contracts!$G$2:$G$151,$AB675),IF($Z675="A",INDEX(Fixed_Assets!$E$2:$E$201,$AB675)&amp;"",IF($Z675="F","Personnel "&amp;INDEX(FTE_Allocation!$A$2:$A$201,$AB675)&amp;IF(INDEX(FTE_Allocation!$D$2:$D$201,$AB675)="PROJECT"," ("&amp;INDEX(FTE_Allocation!$E$2:$E$201,$AB675)&amp;")",""),"")))</f>
        <v/>
      </c>
      <c r="H675" s="7">
        <f>IF($Z675="C","CONTRACT",IF($Z675="A","ASSET",IF($Z675="F","WORKFORCE","")))</f>
        <v/>
      </c>
      <c r="I675" s="7">
        <f>IF($Z675="C",INDEX(Contracts!$L$2:$L$151,$AB675)&amp;"",IF($Z675="A",INDEX(Fixed_Assets!$I$2:$I$201,$AB675)&amp;"",IF($Z675="F",INDEX(Workforce!$G$2:$G$151,MATCH(INDEX(FTE_Allocation!$A$2:$A$201,$AB675),Workforce!$A$2:$A$151,0))&amp;"","")))</f>
        <v/>
      </c>
      <c r="J675" s="18">
        <f>IF($Z675="","",IF(AND(DATE($AD675,1,1)&gt;=$AE675,DATE($AD675,1,1)&lt;=$AF675),ROUND($AG675,2),0))</f>
        <v/>
      </c>
      <c r="K675" s="18">
        <f>IF($Z675="","",IF(AND(DATE($AD675,2,1)&gt;=$AE675,DATE($AD675,2,1)&lt;=$AF675),ROUND($AG675,2),0))</f>
        <v/>
      </c>
      <c r="L675" s="18">
        <f>IF($Z675="","",IF(AND(DATE($AD675,3,1)&gt;=$AE675,DATE($AD675,3,1)&lt;=$AF675),ROUND($AG675,2),0))</f>
        <v/>
      </c>
      <c r="M675" s="18">
        <f>IF($Z675="","",IF(AND(DATE($AD675,4,1)&gt;=$AE675,DATE($AD675,4,1)&lt;=$AF675),ROUND($AG675,2),0))</f>
        <v/>
      </c>
      <c r="N675" s="18">
        <f>IF($Z675="","",IF(AND(DATE($AD675,5,1)&gt;=$AE675,DATE($AD675,5,1)&lt;=$AF675),ROUND($AG675,2),0))</f>
        <v/>
      </c>
      <c r="O675" s="18">
        <f>IF($Z675="","",IF(AND(DATE($AD675,6,1)&gt;=$AE675,DATE($AD675,6,1)&lt;=$AF675),ROUND($AG675,2),0))</f>
        <v/>
      </c>
      <c r="P675" s="18">
        <f>IF($Z675="","",IF(AND(DATE($AD675,7,1)&gt;=$AE675,DATE($AD675,7,1)&lt;=$AF675),ROUND($AG675,2),0))</f>
        <v/>
      </c>
      <c r="Q675" s="18">
        <f>IF($Z675="","",IF(AND(DATE($AD675,8,1)&gt;=$AE675,DATE($AD675,8,1)&lt;=$AF675),ROUND($AG675,2),0))</f>
        <v/>
      </c>
      <c r="R675" s="18">
        <f>IF($Z675="","",IF(AND(DATE($AD675,9,1)&gt;=$AE675,DATE($AD675,9,1)&lt;=$AF675),ROUND($AG675,2),0))</f>
        <v/>
      </c>
      <c r="S675" s="18">
        <f>IF($Z675="","",IF(AND(DATE($AD675,10,1)&gt;=$AE675,DATE($AD675,10,1)&lt;=$AF675),ROUND($AG675,2),0))</f>
        <v/>
      </c>
      <c r="T675" s="18">
        <f>IF($Z675="","",IF(AND(DATE($AD675,11,1)&gt;=$AE675,DATE($AD675,11,1)&lt;=$AF675),ROUND($AG675,2),0))</f>
        <v/>
      </c>
      <c r="U675" s="18">
        <f>IF($Z675="","",IF(AND(DATE($AD675,12,1)&gt;=$AE675,DATE($AD675,12,1)&lt;=$AF675),ROUND($AG675,2),0))</f>
        <v/>
      </c>
      <c r="V675" s="7">
        <f>IF($Z675="C","Generated from "&amp;INDEX(Contracts!$A$2:$A$151,$AB675),IF($Z675="A","Generated from "&amp;INDEX(Fixed_Assets!$A$2:$A$201,$AB675),IF($Z675="F","Generated from "&amp;INDEX(FTE_Allocation!$A$2:$A$201,$AB675),"")))</f>
        <v/>
      </c>
      <c r="X675" s="19">
        <f>IF($Z675="","",SUM(J675:U675))</f>
        <v/>
      </c>
      <c r="Y675" s="20">
        <f>ROW()-1</f>
        <v/>
      </c>
      <c r="Z675" s="20">
        <f>IF($Y675&lt;=Settings!$B$4*3,"C",IF($Y675&lt;=(Settings!$B$4+Settings!$B$5)*3,"A",IF($Y675&lt;=(Settings!$B$4+Settings!$B$5+Settings!$B$6)*3,"F","")))</f>
        <v/>
      </c>
      <c r="AA675" s="20">
        <f>IF($Z675="C",$Y675,IF($Z675="A",$Y675-Settings!$B$4*3,IF($Z675="F",$Y675-(Settings!$B$4+Settings!$B$5)*3,"")))</f>
        <v/>
      </c>
      <c r="AB675" s="20">
        <f>IF($Z675="","",INT(($AA675-1)/3)+1)</f>
        <v/>
      </c>
      <c r="AC675" s="20">
        <f>IF($Z675="","",MOD($AA675-1,3)+1)</f>
        <v/>
      </c>
      <c r="AD675" s="20">
        <f>IF($Z675="","",Settings!$B$2+$AC675-1)</f>
        <v/>
      </c>
      <c r="AE675" s="21">
        <f>IF($Z675="C",DATE(YEAR(INDEX(Contracts!$J$2:$J$151,$AB675)),MONTH(INDEX(Contracts!$J$2:$J$151,$AB675)),1),IF($Z675="A",DATE(YEAR(INDEX(Fixed_Assets!$G$2:$G$201,$AB675)),MONTH(INDEX(Fixed_Assets!$G$2:$G$201,$AB675)),1),IF($Z675="F",DATE(YEAR(MAX(N(INDEX(Workforce!$I$2:$I$151,MATCH(INDEX(FTE_Allocation!$A$2:$A$201,$AB675),Workforce!$A$2:$A$151,0))),N(INDEX(FTE_Allocation!$I$2:$I$201,$AB675)))),MONTH(MAX(N(INDEX(Workforce!$I$2:$I$151,MATCH(INDEX(FTE_Allocation!$A$2:$A$201,$AB675),Workforce!$A$2:$A$151,0))),N(INDEX(FTE_Allocation!$I$2:$I$201,$AB675)))),1),"")))</f>
        <v/>
      </c>
      <c r="AF675" s="21">
        <f>IF($Z675="C",IF(INDEX(Contracts!$I$2:$I$151,$AB675)="PREPAID",EDATE(DATE(YEAR(INDEX(Contracts!$J$2:$J$151,$AB675)),MONTH(INDEX(Contracts!$J$2:$J$151,$AB675)),1),IF(INDEX(Contracts!$N$2:$N$151,$AB675)="",12,INDEX(Contracts!$N$2:$N$151,$AB675))-1),IF(INDEX(Contracts!$I$2:$I$151,$AB675)="MONTHLY",IF(INDEX(Contracts!$K$2:$K$151,$AB675)="",2958101,INDEX(Contracts!$K$2:$K$151,$AB675)),0)),IF($Z675="A",EDATE(DATE(YEAR(INDEX(Fixed_Assets!$G$2:$G$201,$AB675)),MONTH(INDEX(Fixed_Assets!$G$2:$G$201,$AB675)),1),INDEX(Fixed_Assets!$J$2:$J$201,$AB675)-1),IF($Z675="F",MIN(IF(INDEX(Workforce!$J$2:$J$151,MATCH(INDEX(FTE_Allocation!$A$2:$A$201,$AB675),Workforce!$A$2:$A$151,0))="",2958101,INDEX(Workforce!$J$2:$J$151,MATCH(INDEX(FTE_Allocation!$A$2:$A$201,$AB675),Workforce!$A$2:$A$151,0))),IF(INDEX(FTE_Allocation!$J$2:$J$201,$AB675)="",2958101,INDEX(FTE_Allocation!$J$2:$J$201,$AB675))),"")))</f>
        <v/>
      </c>
      <c r="AG675" s="19">
        <f>IF($Z675="C",IF(INDEX(Contracts!$I$2:$I$151,$AB675)="PREPAID",INDEX(Contracts!$M$2:$M$151,$AB675)/IF(INDEX(Contracts!$N$2:$N$151,$AB675)="",12,INDEX(Contracts!$N$2:$N$151,$AB675)),IF(INDEX(Contracts!$I$2:$I$151,$AB675)="MONTHLY",INDEX(Contracts!$M$2:$M$151,$AB675),0))*(1-N(INDEX(Contracts!$O$2:$O$151,$AB675))),IF($Z675="A",INDEX(Fixed_Assets!$H$2:$H$201,$AB675)/INDEX(Fixed_Assets!$J$2:$J$201,$AB675),IF($Z675="F",INDEX(Workforce!$F$2:$F$151,MATCH(INDEX(FTE_Allocation!$A$2:$A$201,$AB675),Workforce!$A$2:$A$151,0))*N(INDEX(FTE_Allocation!$F$2:$H$201,$AB675,$AC675)),"")))</f>
        <v/>
      </c>
    </row>
    <row r="676">
      <c r="A676" s="7">
        <f>IF($Z676="","",$AD676)</f>
        <v/>
      </c>
      <c r="B676" s="7">
        <f>IF($Z676="C",INDEX(Contracts!$D$2:$D$151,$AB676)&amp;"",IF($Z676="A",INDEX(Fixed_Assets!$C$2:$C$201,$AB676)&amp;"",IF($Z676="F",INDEX(Workforce!$B$2:$B$151,MATCH(INDEX(FTE_Allocation!$A$2:$A$201,$AB676),Workforce!$A$2:$A$151,0))&amp;"","")))</f>
        <v/>
      </c>
      <c r="C676" s="7">
        <f>IF($Z676="C",INDEX(Contracts!$E$2:$E$151,$AB676)&amp;"",IF($Z676="A",INDEX(Fixed_Assets!$D$2:$D$201,$AB676)&amp;"",IF($Z676="F",INDEX(FTE_Allocation!$C$2:$C$201,$AB676)&amp;"","")))</f>
        <v/>
      </c>
      <c r="D676" s="7">
        <f>IF($Z676="C",INDEX(Contracts!$B$2:$B$151,$AB676)&amp;"",IF($Z676="A",INDEX(Fixed_Assets!$B$2:$B$201,$AB676)&amp;"",IF($Z676="F",INDEX(FTE_Allocation!$B$2:$B$201,$AB676)&amp;"","")))</f>
        <v/>
      </c>
      <c r="E676" s="7">
        <f>IF($Z676="C",INDEX(Contracts!$P$2:$P$151,$AB676)&amp;"",IF($Z676="A",INDEX(Fixed_Assets!$K$2:$K$201,$AB676)&amp;"",IF($Z676="F",IF(INDEX(FTE_Allocation!$D$2:$D$201,$AB676)="PROJECT",IFERROR(INDEX(Projects!$D:$D,MATCH(INDEX(FTE_Allocation!$E$2:$E$201,$AB676),Projects!$A:$A,0))&amp;"","#PROJECT?"),INDEX(FTE_Allocation!$E$2:$E$201,$AB676)&amp;""),"")))</f>
        <v/>
      </c>
      <c r="F676" s="7">
        <f>IF($Z676="C",INDEX(Contracts!$Q$2:$Q$151,$AB676)&amp;"",IF($Z676="A",INDEX(Fixed_Assets!$L$2:$L$201,$AB676)&amp;"",IF($Z676="F",INDEX(Workforce!$K$2:$K$151,MATCH(INDEX(FTE_Allocation!$A$2:$A$201,$AB676),Workforce!$A$2:$A$151,0))&amp;"","")))</f>
        <v/>
      </c>
      <c r="G676" s="7">
        <f>IF($Z676="C",INDEX(Contracts!$F$2:$F$151,$AB676)&amp;" / "&amp;INDEX(Contracts!$G$2:$G$151,$AB676),IF($Z676="A",INDEX(Fixed_Assets!$E$2:$E$201,$AB676)&amp;"",IF($Z676="F","Personnel "&amp;INDEX(FTE_Allocation!$A$2:$A$201,$AB676)&amp;IF(INDEX(FTE_Allocation!$D$2:$D$201,$AB676)="PROJECT"," ("&amp;INDEX(FTE_Allocation!$E$2:$E$201,$AB676)&amp;")",""),"")))</f>
        <v/>
      </c>
      <c r="H676" s="7">
        <f>IF($Z676="C","CONTRACT",IF($Z676="A","ASSET",IF($Z676="F","WORKFORCE","")))</f>
        <v/>
      </c>
      <c r="I676" s="7">
        <f>IF($Z676="C",INDEX(Contracts!$L$2:$L$151,$AB676)&amp;"",IF($Z676="A",INDEX(Fixed_Assets!$I$2:$I$201,$AB676)&amp;"",IF($Z676="F",INDEX(Workforce!$G$2:$G$151,MATCH(INDEX(FTE_Allocation!$A$2:$A$201,$AB676),Workforce!$A$2:$A$151,0))&amp;"","")))</f>
        <v/>
      </c>
      <c r="J676" s="18">
        <f>IF($Z676="","",IF(AND(DATE($AD676,1,1)&gt;=$AE676,DATE($AD676,1,1)&lt;=$AF676),ROUND($AG676,2),0))</f>
        <v/>
      </c>
      <c r="K676" s="18">
        <f>IF($Z676="","",IF(AND(DATE($AD676,2,1)&gt;=$AE676,DATE($AD676,2,1)&lt;=$AF676),ROUND($AG676,2),0))</f>
        <v/>
      </c>
      <c r="L676" s="18">
        <f>IF($Z676="","",IF(AND(DATE($AD676,3,1)&gt;=$AE676,DATE($AD676,3,1)&lt;=$AF676),ROUND($AG676,2),0))</f>
        <v/>
      </c>
      <c r="M676" s="18">
        <f>IF($Z676="","",IF(AND(DATE($AD676,4,1)&gt;=$AE676,DATE($AD676,4,1)&lt;=$AF676),ROUND($AG676,2),0))</f>
        <v/>
      </c>
      <c r="N676" s="18">
        <f>IF($Z676="","",IF(AND(DATE($AD676,5,1)&gt;=$AE676,DATE($AD676,5,1)&lt;=$AF676),ROUND($AG676,2),0))</f>
        <v/>
      </c>
      <c r="O676" s="18">
        <f>IF($Z676="","",IF(AND(DATE($AD676,6,1)&gt;=$AE676,DATE($AD676,6,1)&lt;=$AF676),ROUND($AG676,2),0))</f>
        <v/>
      </c>
      <c r="P676" s="18">
        <f>IF($Z676="","",IF(AND(DATE($AD676,7,1)&gt;=$AE676,DATE($AD676,7,1)&lt;=$AF676),ROUND($AG676,2),0))</f>
        <v/>
      </c>
      <c r="Q676" s="18">
        <f>IF($Z676="","",IF(AND(DATE($AD676,8,1)&gt;=$AE676,DATE($AD676,8,1)&lt;=$AF676),ROUND($AG676,2),0))</f>
        <v/>
      </c>
      <c r="R676" s="18">
        <f>IF($Z676="","",IF(AND(DATE($AD676,9,1)&gt;=$AE676,DATE($AD676,9,1)&lt;=$AF676),ROUND($AG676,2),0))</f>
        <v/>
      </c>
      <c r="S676" s="18">
        <f>IF($Z676="","",IF(AND(DATE($AD676,10,1)&gt;=$AE676,DATE($AD676,10,1)&lt;=$AF676),ROUND($AG676,2),0))</f>
        <v/>
      </c>
      <c r="T676" s="18">
        <f>IF($Z676="","",IF(AND(DATE($AD676,11,1)&gt;=$AE676,DATE($AD676,11,1)&lt;=$AF676),ROUND($AG676,2),0))</f>
        <v/>
      </c>
      <c r="U676" s="18">
        <f>IF($Z676="","",IF(AND(DATE($AD676,12,1)&gt;=$AE676,DATE($AD676,12,1)&lt;=$AF676),ROUND($AG676,2),0))</f>
        <v/>
      </c>
      <c r="V676" s="7">
        <f>IF($Z676="C","Generated from "&amp;INDEX(Contracts!$A$2:$A$151,$AB676),IF($Z676="A","Generated from "&amp;INDEX(Fixed_Assets!$A$2:$A$201,$AB676),IF($Z676="F","Generated from "&amp;INDEX(FTE_Allocation!$A$2:$A$201,$AB676),"")))</f>
        <v/>
      </c>
      <c r="X676" s="19">
        <f>IF($Z676="","",SUM(J676:U676))</f>
        <v/>
      </c>
      <c r="Y676" s="20">
        <f>ROW()-1</f>
        <v/>
      </c>
      <c r="Z676" s="20">
        <f>IF($Y676&lt;=Settings!$B$4*3,"C",IF($Y676&lt;=(Settings!$B$4+Settings!$B$5)*3,"A",IF($Y676&lt;=(Settings!$B$4+Settings!$B$5+Settings!$B$6)*3,"F","")))</f>
        <v/>
      </c>
      <c r="AA676" s="20">
        <f>IF($Z676="C",$Y676,IF($Z676="A",$Y676-Settings!$B$4*3,IF($Z676="F",$Y676-(Settings!$B$4+Settings!$B$5)*3,"")))</f>
        <v/>
      </c>
      <c r="AB676" s="20">
        <f>IF($Z676="","",INT(($AA676-1)/3)+1)</f>
        <v/>
      </c>
      <c r="AC676" s="20">
        <f>IF($Z676="","",MOD($AA676-1,3)+1)</f>
        <v/>
      </c>
      <c r="AD676" s="20">
        <f>IF($Z676="","",Settings!$B$2+$AC676-1)</f>
        <v/>
      </c>
      <c r="AE676" s="21">
        <f>IF($Z676="C",DATE(YEAR(INDEX(Contracts!$J$2:$J$151,$AB676)),MONTH(INDEX(Contracts!$J$2:$J$151,$AB676)),1),IF($Z676="A",DATE(YEAR(INDEX(Fixed_Assets!$G$2:$G$201,$AB676)),MONTH(INDEX(Fixed_Assets!$G$2:$G$201,$AB676)),1),IF($Z676="F",DATE(YEAR(MAX(N(INDEX(Workforce!$I$2:$I$151,MATCH(INDEX(FTE_Allocation!$A$2:$A$201,$AB676),Workforce!$A$2:$A$151,0))),N(INDEX(FTE_Allocation!$I$2:$I$201,$AB676)))),MONTH(MAX(N(INDEX(Workforce!$I$2:$I$151,MATCH(INDEX(FTE_Allocation!$A$2:$A$201,$AB676),Workforce!$A$2:$A$151,0))),N(INDEX(FTE_Allocation!$I$2:$I$201,$AB676)))),1),"")))</f>
        <v/>
      </c>
      <c r="AF676" s="21">
        <f>IF($Z676="C",IF(INDEX(Contracts!$I$2:$I$151,$AB676)="PREPAID",EDATE(DATE(YEAR(INDEX(Contracts!$J$2:$J$151,$AB676)),MONTH(INDEX(Contracts!$J$2:$J$151,$AB676)),1),IF(INDEX(Contracts!$N$2:$N$151,$AB676)="",12,INDEX(Contracts!$N$2:$N$151,$AB676))-1),IF(INDEX(Contracts!$I$2:$I$151,$AB676)="MONTHLY",IF(INDEX(Contracts!$K$2:$K$151,$AB676)="",2958101,INDEX(Contracts!$K$2:$K$151,$AB676)),0)),IF($Z676="A",EDATE(DATE(YEAR(INDEX(Fixed_Assets!$G$2:$G$201,$AB676)),MONTH(INDEX(Fixed_Assets!$G$2:$G$201,$AB676)),1),INDEX(Fixed_Assets!$J$2:$J$201,$AB676)-1),IF($Z676="F",MIN(IF(INDEX(Workforce!$J$2:$J$151,MATCH(INDEX(FTE_Allocation!$A$2:$A$201,$AB676),Workforce!$A$2:$A$151,0))="",2958101,INDEX(Workforce!$J$2:$J$151,MATCH(INDEX(FTE_Allocation!$A$2:$A$201,$AB676),Workforce!$A$2:$A$151,0))),IF(INDEX(FTE_Allocation!$J$2:$J$201,$AB676)="",2958101,INDEX(FTE_Allocation!$J$2:$J$201,$AB676))),"")))</f>
        <v/>
      </c>
      <c r="AG676" s="19">
        <f>IF($Z676="C",IF(INDEX(Contracts!$I$2:$I$151,$AB676)="PREPAID",INDEX(Contracts!$M$2:$M$151,$AB676)/IF(INDEX(Contracts!$N$2:$N$151,$AB676)="",12,INDEX(Contracts!$N$2:$N$151,$AB676)),IF(INDEX(Contracts!$I$2:$I$151,$AB676)="MONTHLY",INDEX(Contracts!$M$2:$M$151,$AB676),0))*(1-N(INDEX(Contracts!$O$2:$O$151,$AB676))),IF($Z676="A",INDEX(Fixed_Assets!$H$2:$H$201,$AB676)/INDEX(Fixed_Assets!$J$2:$J$201,$AB676),IF($Z676="F",INDEX(Workforce!$F$2:$F$151,MATCH(INDEX(FTE_Allocation!$A$2:$A$201,$AB676),Workforce!$A$2:$A$151,0))*N(INDEX(FTE_Allocation!$F$2:$H$201,$AB676,$AC676)),"")))</f>
        <v/>
      </c>
    </row>
    <row r="677">
      <c r="A677" s="7">
        <f>IF($Z677="","",$AD677)</f>
        <v/>
      </c>
      <c r="B677" s="7">
        <f>IF($Z677="C",INDEX(Contracts!$D$2:$D$151,$AB677)&amp;"",IF($Z677="A",INDEX(Fixed_Assets!$C$2:$C$201,$AB677)&amp;"",IF($Z677="F",INDEX(Workforce!$B$2:$B$151,MATCH(INDEX(FTE_Allocation!$A$2:$A$201,$AB677),Workforce!$A$2:$A$151,0))&amp;"","")))</f>
        <v/>
      </c>
      <c r="C677" s="7">
        <f>IF($Z677="C",INDEX(Contracts!$E$2:$E$151,$AB677)&amp;"",IF($Z677="A",INDEX(Fixed_Assets!$D$2:$D$201,$AB677)&amp;"",IF($Z677="F",INDEX(FTE_Allocation!$C$2:$C$201,$AB677)&amp;"","")))</f>
        <v/>
      </c>
      <c r="D677" s="7">
        <f>IF($Z677="C",INDEX(Contracts!$B$2:$B$151,$AB677)&amp;"",IF($Z677="A",INDEX(Fixed_Assets!$B$2:$B$201,$AB677)&amp;"",IF($Z677="F",INDEX(FTE_Allocation!$B$2:$B$201,$AB677)&amp;"","")))</f>
        <v/>
      </c>
      <c r="E677" s="7">
        <f>IF($Z677="C",INDEX(Contracts!$P$2:$P$151,$AB677)&amp;"",IF($Z677="A",INDEX(Fixed_Assets!$K$2:$K$201,$AB677)&amp;"",IF($Z677="F",IF(INDEX(FTE_Allocation!$D$2:$D$201,$AB677)="PROJECT",IFERROR(INDEX(Projects!$D:$D,MATCH(INDEX(FTE_Allocation!$E$2:$E$201,$AB677),Projects!$A:$A,0))&amp;"","#PROJECT?"),INDEX(FTE_Allocation!$E$2:$E$201,$AB677)&amp;""),"")))</f>
        <v/>
      </c>
      <c r="F677" s="7">
        <f>IF($Z677="C",INDEX(Contracts!$Q$2:$Q$151,$AB677)&amp;"",IF($Z677="A",INDEX(Fixed_Assets!$L$2:$L$201,$AB677)&amp;"",IF($Z677="F",INDEX(Workforce!$K$2:$K$151,MATCH(INDEX(FTE_Allocation!$A$2:$A$201,$AB677),Workforce!$A$2:$A$151,0))&amp;"","")))</f>
        <v/>
      </c>
      <c r="G677" s="7">
        <f>IF($Z677="C",INDEX(Contracts!$F$2:$F$151,$AB677)&amp;" / "&amp;INDEX(Contracts!$G$2:$G$151,$AB677),IF($Z677="A",INDEX(Fixed_Assets!$E$2:$E$201,$AB677)&amp;"",IF($Z677="F","Personnel "&amp;INDEX(FTE_Allocation!$A$2:$A$201,$AB677)&amp;IF(INDEX(FTE_Allocation!$D$2:$D$201,$AB677)="PROJECT"," ("&amp;INDEX(FTE_Allocation!$E$2:$E$201,$AB677)&amp;")",""),"")))</f>
        <v/>
      </c>
      <c r="H677" s="7">
        <f>IF($Z677="C","CONTRACT",IF($Z677="A","ASSET",IF($Z677="F","WORKFORCE","")))</f>
        <v/>
      </c>
      <c r="I677" s="7">
        <f>IF($Z677="C",INDEX(Contracts!$L$2:$L$151,$AB677)&amp;"",IF($Z677="A",INDEX(Fixed_Assets!$I$2:$I$201,$AB677)&amp;"",IF($Z677="F",INDEX(Workforce!$G$2:$G$151,MATCH(INDEX(FTE_Allocation!$A$2:$A$201,$AB677),Workforce!$A$2:$A$151,0))&amp;"","")))</f>
        <v/>
      </c>
      <c r="J677" s="18">
        <f>IF($Z677="","",IF(AND(DATE($AD677,1,1)&gt;=$AE677,DATE($AD677,1,1)&lt;=$AF677),ROUND($AG677,2),0))</f>
        <v/>
      </c>
      <c r="K677" s="18">
        <f>IF($Z677="","",IF(AND(DATE($AD677,2,1)&gt;=$AE677,DATE($AD677,2,1)&lt;=$AF677),ROUND($AG677,2),0))</f>
        <v/>
      </c>
      <c r="L677" s="18">
        <f>IF($Z677="","",IF(AND(DATE($AD677,3,1)&gt;=$AE677,DATE($AD677,3,1)&lt;=$AF677),ROUND($AG677,2),0))</f>
        <v/>
      </c>
      <c r="M677" s="18">
        <f>IF($Z677="","",IF(AND(DATE($AD677,4,1)&gt;=$AE677,DATE($AD677,4,1)&lt;=$AF677),ROUND($AG677,2),0))</f>
        <v/>
      </c>
      <c r="N677" s="18">
        <f>IF($Z677="","",IF(AND(DATE($AD677,5,1)&gt;=$AE677,DATE($AD677,5,1)&lt;=$AF677),ROUND($AG677,2),0))</f>
        <v/>
      </c>
      <c r="O677" s="18">
        <f>IF($Z677="","",IF(AND(DATE($AD677,6,1)&gt;=$AE677,DATE($AD677,6,1)&lt;=$AF677),ROUND($AG677,2),0))</f>
        <v/>
      </c>
      <c r="P677" s="18">
        <f>IF($Z677="","",IF(AND(DATE($AD677,7,1)&gt;=$AE677,DATE($AD677,7,1)&lt;=$AF677),ROUND($AG677,2),0))</f>
        <v/>
      </c>
      <c r="Q677" s="18">
        <f>IF($Z677="","",IF(AND(DATE($AD677,8,1)&gt;=$AE677,DATE($AD677,8,1)&lt;=$AF677),ROUND($AG677,2),0))</f>
        <v/>
      </c>
      <c r="R677" s="18">
        <f>IF($Z677="","",IF(AND(DATE($AD677,9,1)&gt;=$AE677,DATE($AD677,9,1)&lt;=$AF677),ROUND($AG677,2),0))</f>
        <v/>
      </c>
      <c r="S677" s="18">
        <f>IF($Z677="","",IF(AND(DATE($AD677,10,1)&gt;=$AE677,DATE($AD677,10,1)&lt;=$AF677),ROUND($AG677,2),0))</f>
        <v/>
      </c>
      <c r="T677" s="18">
        <f>IF($Z677="","",IF(AND(DATE($AD677,11,1)&gt;=$AE677,DATE($AD677,11,1)&lt;=$AF677),ROUND($AG677,2),0))</f>
        <v/>
      </c>
      <c r="U677" s="18">
        <f>IF($Z677="","",IF(AND(DATE($AD677,12,1)&gt;=$AE677,DATE($AD677,12,1)&lt;=$AF677),ROUND($AG677,2),0))</f>
        <v/>
      </c>
      <c r="V677" s="7">
        <f>IF($Z677="C","Generated from "&amp;INDEX(Contracts!$A$2:$A$151,$AB677),IF($Z677="A","Generated from "&amp;INDEX(Fixed_Assets!$A$2:$A$201,$AB677),IF($Z677="F","Generated from "&amp;INDEX(FTE_Allocation!$A$2:$A$201,$AB677),"")))</f>
        <v/>
      </c>
      <c r="X677" s="19">
        <f>IF($Z677="","",SUM(J677:U677))</f>
        <v/>
      </c>
      <c r="Y677" s="20">
        <f>ROW()-1</f>
        <v/>
      </c>
      <c r="Z677" s="20">
        <f>IF($Y677&lt;=Settings!$B$4*3,"C",IF($Y677&lt;=(Settings!$B$4+Settings!$B$5)*3,"A",IF($Y677&lt;=(Settings!$B$4+Settings!$B$5+Settings!$B$6)*3,"F","")))</f>
        <v/>
      </c>
      <c r="AA677" s="20">
        <f>IF($Z677="C",$Y677,IF($Z677="A",$Y677-Settings!$B$4*3,IF($Z677="F",$Y677-(Settings!$B$4+Settings!$B$5)*3,"")))</f>
        <v/>
      </c>
      <c r="AB677" s="20">
        <f>IF($Z677="","",INT(($AA677-1)/3)+1)</f>
        <v/>
      </c>
      <c r="AC677" s="20">
        <f>IF($Z677="","",MOD($AA677-1,3)+1)</f>
        <v/>
      </c>
      <c r="AD677" s="20">
        <f>IF($Z677="","",Settings!$B$2+$AC677-1)</f>
        <v/>
      </c>
      <c r="AE677" s="21">
        <f>IF($Z677="C",DATE(YEAR(INDEX(Contracts!$J$2:$J$151,$AB677)),MONTH(INDEX(Contracts!$J$2:$J$151,$AB677)),1),IF($Z677="A",DATE(YEAR(INDEX(Fixed_Assets!$G$2:$G$201,$AB677)),MONTH(INDEX(Fixed_Assets!$G$2:$G$201,$AB677)),1),IF($Z677="F",DATE(YEAR(MAX(N(INDEX(Workforce!$I$2:$I$151,MATCH(INDEX(FTE_Allocation!$A$2:$A$201,$AB677),Workforce!$A$2:$A$151,0))),N(INDEX(FTE_Allocation!$I$2:$I$201,$AB677)))),MONTH(MAX(N(INDEX(Workforce!$I$2:$I$151,MATCH(INDEX(FTE_Allocation!$A$2:$A$201,$AB677),Workforce!$A$2:$A$151,0))),N(INDEX(FTE_Allocation!$I$2:$I$201,$AB677)))),1),"")))</f>
        <v/>
      </c>
      <c r="AF677" s="21">
        <f>IF($Z677="C",IF(INDEX(Contracts!$I$2:$I$151,$AB677)="PREPAID",EDATE(DATE(YEAR(INDEX(Contracts!$J$2:$J$151,$AB677)),MONTH(INDEX(Contracts!$J$2:$J$151,$AB677)),1),IF(INDEX(Contracts!$N$2:$N$151,$AB677)="",12,INDEX(Contracts!$N$2:$N$151,$AB677))-1),IF(INDEX(Contracts!$I$2:$I$151,$AB677)="MONTHLY",IF(INDEX(Contracts!$K$2:$K$151,$AB677)="",2958101,INDEX(Contracts!$K$2:$K$151,$AB677)),0)),IF($Z677="A",EDATE(DATE(YEAR(INDEX(Fixed_Assets!$G$2:$G$201,$AB677)),MONTH(INDEX(Fixed_Assets!$G$2:$G$201,$AB677)),1),INDEX(Fixed_Assets!$J$2:$J$201,$AB677)-1),IF($Z677="F",MIN(IF(INDEX(Workforce!$J$2:$J$151,MATCH(INDEX(FTE_Allocation!$A$2:$A$201,$AB677),Workforce!$A$2:$A$151,0))="",2958101,INDEX(Workforce!$J$2:$J$151,MATCH(INDEX(FTE_Allocation!$A$2:$A$201,$AB677),Workforce!$A$2:$A$151,0))),IF(INDEX(FTE_Allocation!$J$2:$J$201,$AB677)="",2958101,INDEX(FTE_Allocation!$J$2:$J$201,$AB677))),"")))</f>
        <v/>
      </c>
      <c r="AG677" s="19">
        <f>IF($Z677="C",IF(INDEX(Contracts!$I$2:$I$151,$AB677)="PREPAID",INDEX(Contracts!$M$2:$M$151,$AB677)/IF(INDEX(Contracts!$N$2:$N$151,$AB677)="",12,INDEX(Contracts!$N$2:$N$151,$AB677)),IF(INDEX(Contracts!$I$2:$I$151,$AB677)="MONTHLY",INDEX(Contracts!$M$2:$M$151,$AB677),0))*(1-N(INDEX(Contracts!$O$2:$O$151,$AB677))),IF($Z677="A",INDEX(Fixed_Assets!$H$2:$H$201,$AB677)/INDEX(Fixed_Assets!$J$2:$J$201,$AB677),IF($Z677="F",INDEX(Workforce!$F$2:$F$151,MATCH(INDEX(FTE_Allocation!$A$2:$A$201,$AB677),Workforce!$A$2:$A$151,0))*N(INDEX(FTE_Allocation!$F$2:$H$201,$AB677,$AC677)),"")))</f>
        <v/>
      </c>
    </row>
    <row r="678">
      <c r="A678" s="7">
        <f>IF($Z678="","",$AD678)</f>
        <v/>
      </c>
      <c r="B678" s="7">
        <f>IF($Z678="C",INDEX(Contracts!$D$2:$D$151,$AB678)&amp;"",IF($Z678="A",INDEX(Fixed_Assets!$C$2:$C$201,$AB678)&amp;"",IF($Z678="F",INDEX(Workforce!$B$2:$B$151,MATCH(INDEX(FTE_Allocation!$A$2:$A$201,$AB678),Workforce!$A$2:$A$151,0))&amp;"","")))</f>
        <v/>
      </c>
      <c r="C678" s="7">
        <f>IF($Z678="C",INDEX(Contracts!$E$2:$E$151,$AB678)&amp;"",IF($Z678="A",INDEX(Fixed_Assets!$D$2:$D$201,$AB678)&amp;"",IF($Z678="F",INDEX(FTE_Allocation!$C$2:$C$201,$AB678)&amp;"","")))</f>
        <v/>
      </c>
      <c r="D678" s="7">
        <f>IF($Z678="C",INDEX(Contracts!$B$2:$B$151,$AB678)&amp;"",IF($Z678="A",INDEX(Fixed_Assets!$B$2:$B$201,$AB678)&amp;"",IF($Z678="F",INDEX(FTE_Allocation!$B$2:$B$201,$AB678)&amp;"","")))</f>
        <v/>
      </c>
      <c r="E678" s="7">
        <f>IF($Z678="C",INDEX(Contracts!$P$2:$P$151,$AB678)&amp;"",IF($Z678="A",INDEX(Fixed_Assets!$K$2:$K$201,$AB678)&amp;"",IF($Z678="F",IF(INDEX(FTE_Allocation!$D$2:$D$201,$AB678)="PROJECT",IFERROR(INDEX(Projects!$D:$D,MATCH(INDEX(FTE_Allocation!$E$2:$E$201,$AB678),Projects!$A:$A,0))&amp;"","#PROJECT?"),INDEX(FTE_Allocation!$E$2:$E$201,$AB678)&amp;""),"")))</f>
        <v/>
      </c>
      <c r="F678" s="7">
        <f>IF($Z678="C",INDEX(Contracts!$Q$2:$Q$151,$AB678)&amp;"",IF($Z678="A",INDEX(Fixed_Assets!$L$2:$L$201,$AB678)&amp;"",IF($Z678="F",INDEX(Workforce!$K$2:$K$151,MATCH(INDEX(FTE_Allocation!$A$2:$A$201,$AB678),Workforce!$A$2:$A$151,0))&amp;"","")))</f>
        <v/>
      </c>
      <c r="G678" s="7">
        <f>IF($Z678="C",INDEX(Contracts!$F$2:$F$151,$AB678)&amp;" / "&amp;INDEX(Contracts!$G$2:$G$151,$AB678),IF($Z678="A",INDEX(Fixed_Assets!$E$2:$E$201,$AB678)&amp;"",IF($Z678="F","Personnel "&amp;INDEX(FTE_Allocation!$A$2:$A$201,$AB678)&amp;IF(INDEX(FTE_Allocation!$D$2:$D$201,$AB678)="PROJECT"," ("&amp;INDEX(FTE_Allocation!$E$2:$E$201,$AB678)&amp;")",""),"")))</f>
        <v/>
      </c>
      <c r="H678" s="7">
        <f>IF($Z678="C","CONTRACT",IF($Z678="A","ASSET",IF($Z678="F","WORKFORCE","")))</f>
        <v/>
      </c>
      <c r="I678" s="7">
        <f>IF($Z678="C",INDEX(Contracts!$L$2:$L$151,$AB678)&amp;"",IF($Z678="A",INDEX(Fixed_Assets!$I$2:$I$201,$AB678)&amp;"",IF($Z678="F",INDEX(Workforce!$G$2:$G$151,MATCH(INDEX(FTE_Allocation!$A$2:$A$201,$AB678),Workforce!$A$2:$A$151,0))&amp;"","")))</f>
        <v/>
      </c>
      <c r="J678" s="18">
        <f>IF($Z678="","",IF(AND(DATE($AD678,1,1)&gt;=$AE678,DATE($AD678,1,1)&lt;=$AF678),ROUND($AG678,2),0))</f>
        <v/>
      </c>
      <c r="K678" s="18">
        <f>IF($Z678="","",IF(AND(DATE($AD678,2,1)&gt;=$AE678,DATE($AD678,2,1)&lt;=$AF678),ROUND($AG678,2),0))</f>
        <v/>
      </c>
      <c r="L678" s="18">
        <f>IF($Z678="","",IF(AND(DATE($AD678,3,1)&gt;=$AE678,DATE($AD678,3,1)&lt;=$AF678),ROUND($AG678,2),0))</f>
        <v/>
      </c>
      <c r="M678" s="18">
        <f>IF($Z678="","",IF(AND(DATE($AD678,4,1)&gt;=$AE678,DATE($AD678,4,1)&lt;=$AF678),ROUND($AG678,2),0))</f>
        <v/>
      </c>
      <c r="N678" s="18">
        <f>IF($Z678="","",IF(AND(DATE($AD678,5,1)&gt;=$AE678,DATE($AD678,5,1)&lt;=$AF678),ROUND($AG678,2),0))</f>
        <v/>
      </c>
      <c r="O678" s="18">
        <f>IF($Z678="","",IF(AND(DATE($AD678,6,1)&gt;=$AE678,DATE($AD678,6,1)&lt;=$AF678),ROUND($AG678,2),0))</f>
        <v/>
      </c>
      <c r="P678" s="18">
        <f>IF($Z678="","",IF(AND(DATE($AD678,7,1)&gt;=$AE678,DATE($AD678,7,1)&lt;=$AF678),ROUND($AG678,2),0))</f>
        <v/>
      </c>
      <c r="Q678" s="18">
        <f>IF($Z678="","",IF(AND(DATE($AD678,8,1)&gt;=$AE678,DATE($AD678,8,1)&lt;=$AF678),ROUND($AG678,2),0))</f>
        <v/>
      </c>
      <c r="R678" s="18">
        <f>IF($Z678="","",IF(AND(DATE($AD678,9,1)&gt;=$AE678,DATE($AD678,9,1)&lt;=$AF678),ROUND($AG678,2),0))</f>
        <v/>
      </c>
      <c r="S678" s="18">
        <f>IF($Z678="","",IF(AND(DATE($AD678,10,1)&gt;=$AE678,DATE($AD678,10,1)&lt;=$AF678),ROUND($AG678,2),0))</f>
        <v/>
      </c>
      <c r="T678" s="18">
        <f>IF($Z678="","",IF(AND(DATE($AD678,11,1)&gt;=$AE678,DATE($AD678,11,1)&lt;=$AF678),ROUND($AG678,2),0))</f>
        <v/>
      </c>
      <c r="U678" s="18">
        <f>IF($Z678="","",IF(AND(DATE($AD678,12,1)&gt;=$AE678,DATE($AD678,12,1)&lt;=$AF678),ROUND($AG678,2),0))</f>
        <v/>
      </c>
      <c r="V678" s="7">
        <f>IF($Z678="C","Generated from "&amp;INDEX(Contracts!$A$2:$A$151,$AB678),IF($Z678="A","Generated from "&amp;INDEX(Fixed_Assets!$A$2:$A$201,$AB678),IF($Z678="F","Generated from "&amp;INDEX(FTE_Allocation!$A$2:$A$201,$AB678),"")))</f>
        <v/>
      </c>
      <c r="X678" s="19">
        <f>IF($Z678="","",SUM(J678:U678))</f>
        <v/>
      </c>
      <c r="Y678" s="20">
        <f>ROW()-1</f>
        <v/>
      </c>
      <c r="Z678" s="20">
        <f>IF($Y678&lt;=Settings!$B$4*3,"C",IF($Y678&lt;=(Settings!$B$4+Settings!$B$5)*3,"A",IF($Y678&lt;=(Settings!$B$4+Settings!$B$5+Settings!$B$6)*3,"F","")))</f>
        <v/>
      </c>
      <c r="AA678" s="20">
        <f>IF($Z678="C",$Y678,IF($Z678="A",$Y678-Settings!$B$4*3,IF($Z678="F",$Y678-(Settings!$B$4+Settings!$B$5)*3,"")))</f>
        <v/>
      </c>
      <c r="AB678" s="20">
        <f>IF($Z678="","",INT(($AA678-1)/3)+1)</f>
        <v/>
      </c>
      <c r="AC678" s="20">
        <f>IF($Z678="","",MOD($AA678-1,3)+1)</f>
        <v/>
      </c>
      <c r="AD678" s="20">
        <f>IF($Z678="","",Settings!$B$2+$AC678-1)</f>
        <v/>
      </c>
      <c r="AE678" s="21">
        <f>IF($Z678="C",DATE(YEAR(INDEX(Contracts!$J$2:$J$151,$AB678)),MONTH(INDEX(Contracts!$J$2:$J$151,$AB678)),1),IF($Z678="A",DATE(YEAR(INDEX(Fixed_Assets!$G$2:$G$201,$AB678)),MONTH(INDEX(Fixed_Assets!$G$2:$G$201,$AB678)),1),IF($Z678="F",DATE(YEAR(MAX(N(INDEX(Workforce!$I$2:$I$151,MATCH(INDEX(FTE_Allocation!$A$2:$A$201,$AB678),Workforce!$A$2:$A$151,0))),N(INDEX(FTE_Allocation!$I$2:$I$201,$AB678)))),MONTH(MAX(N(INDEX(Workforce!$I$2:$I$151,MATCH(INDEX(FTE_Allocation!$A$2:$A$201,$AB678),Workforce!$A$2:$A$151,0))),N(INDEX(FTE_Allocation!$I$2:$I$201,$AB678)))),1),"")))</f>
        <v/>
      </c>
      <c r="AF678" s="21">
        <f>IF($Z678="C",IF(INDEX(Contracts!$I$2:$I$151,$AB678)="PREPAID",EDATE(DATE(YEAR(INDEX(Contracts!$J$2:$J$151,$AB678)),MONTH(INDEX(Contracts!$J$2:$J$151,$AB678)),1),IF(INDEX(Contracts!$N$2:$N$151,$AB678)="",12,INDEX(Contracts!$N$2:$N$151,$AB678))-1),IF(INDEX(Contracts!$I$2:$I$151,$AB678)="MONTHLY",IF(INDEX(Contracts!$K$2:$K$151,$AB678)="",2958101,INDEX(Contracts!$K$2:$K$151,$AB678)),0)),IF($Z678="A",EDATE(DATE(YEAR(INDEX(Fixed_Assets!$G$2:$G$201,$AB678)),MONTH(INDEX(Fixed_Assets!$G$2:$G$201,$AB678)),1),INDEX(Fixed_Assets!$J$2:$J$201,$AB678)-1),IF($Z678="F",MIN(IF(INDEX(Workforce!$J$2:$J$151,MATCH(INDEX(FTE_Allocation!$A$2:$A$201,$AB678),Workforce!$A$2:$A$151,0))="",2958101,INDEX(Workforce!$J$2:$J$151,MATCH(INDEX(FTE_Allocation!$A$2:$A$201,$AB678),Workforce!$A$2:$A$151,0))),IF(INDEX(FTE_Allocation!$J$2:$J$201,$AB678)="",2958101,INDEX(FTE_Allocation!$J$2:$J$201,$AB678))),"")))</f>
        <v/>
      </c>
      <c r="AG678" s="19">
        <f>IF($Z678="C",IF(INDEX(Contracts!$I$2:$I$151,$AB678)="PREPAID",INDEX(Contracts!$M$2:$M$151,$AB678)/IF(INDEX(Contracts!$N$2:$N$151,$AB678)="",12,INDEX(Contracts!$N$2:$N$151,$AB678)),IF(INDEX(Contracts!$I$2:$I$151,$AB678)="MONTHLY",INDEX(Contracts!$M$2:$M$151,$AB678),0))*(1-N(INDEX(Contracts!$O$2:$O$151,$AB678))),IF($Z678="A",INDEX(Fixed_Assets!$H$2:$H$201,$AB678)/INDEX(Fixed_Assets!$J$2:$J$201,$AB678),IF($Z678="F",INDEX(Workforce!$F$2:$F$151,MATCH(INDEX(FTE_Allocation!$A$2:$A$201,$AB678),Workforce!$A$2:$A$151,0))*N(INDEX(FTE_Allocation!$F$2:$H$201,$AB678,$AC678)),"")))</f>
        <v/>
      </c>
    </row>
    <row r="679">
      <c r="A679" s="7">
        <f>IF($Z679="","",$AD679)</f>
        <v/>
      </c>
      <c r="B679" s="7">
        <f>IF($Z679="C",INDEX(Contracts!$D$2:$D$151,$AB679)&amp;"",IF($Z679="A",INDEX(Fixed_Assets!$C$2:$C$201,$AB679)&amp;"",IF($Z679="F",INDEX(Workforce!$B$2:$B$151,MATCH(INDEX(FTE_Allocation!$A$2:$A$201,$AB679),Workforce!$A$2:$A$151,0))&amp;"","")))</f>
        <v/>
      </c>
      <c r="C679" s="7">
        <f>IF($Z679="C",INDEX(Contracts!$E$2:$E$151,$AB679)&amp;"",IF($Z679="A",INDEX(Fixed_Assets!$D$2:$D$201,$AB679)&amp;"",IF($Z679="F",INDEX(FTE_Allocation!$C$2:$C$201,$AB679)&amp;"","")))</f>
        <v/>
      </c>
      <c r="D679" s="7">
        <f>IF($Z679="C",INDEX(Contracts!$B$2:$B$151,$AB679)&amp;"",IF($Z679="A",INDEX(Fixed_Assets!$B$2:$B$201,$AB679)&amp;"",IF($Z679="F",INDEX(FTE_Allocation!$B$2:$B$201,$AB679)&amp;"","")))</f>
        <v/>
      </c>
      <c r="E679" s="7">
        <f>IF($Z679="C",INDEX(Contracts!$P$2:$P$151,$AB679)&amp;"",IF($Z679="A",INDEX(Fixed_Assets!$K$2:$K$201,$AB679)&amp;"",IF($Z679="F",IF(INDEX(FTE_Allocation!$D$2:$D$201,$AB679)="PROJECT",IFERROR(INDEX(Projects!$D:$D,MATCH(INDEX(FTE_Allocation!$E$2:$E$201,$AB679),Projects!$A:$A,0))&amp;"","#PROJECT?"),INDEX(FTE_Allocation!$E$2:$E$201,$AB679)&amp;""),"")))</f>
        <v/>
      </c>
      <c r="F679" s="7">
        <f>IF($Z679="C",INDEX(Contracts!$Q$2:$Q$151,$AB679)&amp;"",IF($Z679="A",INDEX(Fixed_Assets!$L$2:$L$201,$AB679)&amp;"",IF($Z679="F",INDEX(Workforce!$K$2:$K$151,MATCH(INDEX(FTE_Allocation!$A$2:$A$201,$AB679),Workforce!$A$2:$A$151,0))&amp;"","")))</f>
        <v/>
      </c>
      <c r="G679" s="7">
        <f>IF($Z679="C",INDEX(Contracts!$F$2:$F$151,$AB679)&amp;" / "&amp;INDEX(Contracts!$G$2:$G$151,$AB679),IF($Z679="A",INDEX(Fixed_Assets!$E$2:$E$201,$AB679)&amp;"",IF($Z679="F","Personnel "&amp;INDEX(FTE_Allocation!$A$2:$A$201,$AB679)&amp;IF(INDEX(FTE_Allocation!$D$2:$D$201,$AB679)="PROJECT"," ("&amp;INDEX(FTE_Allocation!$E$2:$E$201,$AB679)&amp;")",""),"")))</f>
        <v/>
      </c>
      <c r="H679" s="7">
        <f>IF($Z679="C","CONTRACT",IF($Z679="A","ASSET",IF($Z679="F","WORKFORCE","")))</f>
        <v/>
      </c>
      <c r="I679" s="7">
        <f>IF($Z679="C",INDEX(Contracts!$L$2:$L$151,$AB679)&amp;"",IF($Z679="A",INDEX(Fixed_Assets!$I$2:$I$201,$AB679)&amp;"",IF($Z679="F",INDEX(Workforce!$G$2:$G$151,MATCH(INDEX(FTE_Allocation!$A$2:$A$201,$AB679),Workforce!$A$2:$A$151,0))&amp;"","")))</f>
        <v/>
      </c>
      <c r="J679" s="18">
        <f>IF($Z679="","",IF(AND(DATE($AD679,1,1)&gt;=$AE679,DATE($AD679,1,1)&lt;=$AF679),ROUND($AG679,2),0))</f>
        <v/>
      </c>
      <c r="K679" s="18">
        <f>IF($Z679="","",IF(AND(DATE($AD679,2,1)&gt;=$AE679,DATE($AD679,2,1)&lt;=$AF679),ROUND($AG679,2),0))</f>
        <v/>
      </c>
      <c r="L679" s="18">
        <f>IF($Z679="","",IF(AND(DATE($AD679,3,1)&gt;=$AE679,DATE($AD679,3,1)&lt;=$AF679),ROUND($AG679,2),0))</f>
        <v/>
      </c>
      <c r="M679" s="18">
        <f>IF($Z679="","",IF(AND(DATE($AD679,4,1)&gt;=$AE679,DATE($AD679,4,1)&lt;=$AF679),ROUND($AG679,2),0))</f>
        <v/>
      </c>
      <c r="N679" s="18">
        <f>IF($Z679="","",IF(AND(DATE($AD679,5,1)&gt;=$AE679,DATE($AD679,5,1)&lt;=$AF679),ROUND($AG679,2),0))</f>
        <v/>
      </c>
      <c r="O679" s="18">
        <f>IF($Z679="","",IF(AND(DATE($AD679,6,1)&gt;=$AE679,DATE($AD679,6,1)&lt;=$AF679),ROUND($AG679,2),0))</f>
        <v/>
      </c>
      <c r="P679" s="18">
        <f>IF($Z679="","",IF(AND(DATE($AD679,7,1)&gt;=$AE679,DATE($AD679,7,1)&lt;=$AF679),ROUND($AG679,2),0))</f>
        <v/>
      </c>
      <c r="Q679" s="18">
        <f>IF($Z679="","",IF(AND(DATE($AD679,8,1)&gt;=$AE679,DATE($AD679,8,1)&lt;=$AF679),ROUND($AG679,2),0))</f>
        <v/>
      </c>
      <c r="R679" s="18">
        <f>IF($Z679="","",IF(AND(DATE($AD679,9,1)&gt;=$AE679,DATE($AD679,9,1)&lt;=$AF679),ROUND($AG679,2),0))</f>
        <v/>
      </c>
      <c r="S679" s="18">
        <f>IF($Z679="","",IF(AND(DATE($AD679,10,1)&gt;=$AE679,DATE($AD679,10,1)&lt;=$AF679),ROUND($AG679,2),0))</f>
        <v/>
      </c>
      <c r="T679" s="18">
        <f>IF($Z679="","",IF(AND(DATE($AD679,11,1)&gt;=$AE679,DATE($AD679,11,1)&lt;=$AF679),ROUND($AG679,2),0))</f>
        <v/>
      </c>
      <c r="U679" s="18">
        <f>IF($Z679="","",IF(AND(DATE($AD679,12,1)&gt;=$AE679,DATE($AD679,12,1)&lt;=$AF679),ROUND($AG679,2),0))</f>
        <v/>
      </c>
      <c r="V679" s="7">
        <f>IF($Z679="C","Generated from "&amp;INDEX(Contracts!$A$2:$A$151,$AB679),IF($Z679="A","Generated from "&amp;INDEX(Fixed_Assets!$A$2:$A$201,$AB679),IF($Z679="F","Generated from "&amp;INDEX(FTE_Allocation!$A$2:$A$201,$AB679),"")))</f>
        <v/>
      </c>
      <c r="X679" s="19">
        <f>IF($Z679="","",SUM(J679:U679))</f>
        <v/>
      </c>
      <c r="Y679" s="20">
        <f>ROW()-1</f>
        <v/>
      </c>
      <c r="Z679" s="20">
        <f>IF($Y679&lt;=Settings!$B$4*3,"C",IF($Y679&lt;=(Settings!$B$4+Settings!$B$5)*3,"A",IF($Y679&lt;=(Settings!$B$4+Settings!$B$5+Settings!$B$6)*3,"F","")))</f>
        <v/>
      </c>
      <c r="AA679" s="20">
        <f>IF($Z679="C",$Y679,IF($Z679="A",$Y679-Settings!$B$4*3,IF($Z679="F",$Y679-(Settings!$B$4+Settings!$B$5)*3,"")))</f>
        <v/>
      </c>
      <c r="AB679" s="20">
        <f>IF($Z679="","",INT(($AA679-1)/3)+1)</f>
        <v/>
      </c>
      <c r="AC679" s="20">
        <f>IF($Z679="","",MOD($AA679-1,3)+1)</f>
        <v/>
      </c>
      <c r="AD679" s="20">
        <f>IF($Z679="","",Settings!$B$2+$AC679-1)</f>
        <v/>
      </c>
      <c r="AE679" s="21">
        <f>IF($Z679="C",DATE(YEAR(INDEX(Contracts!$J$2:$J$151,$AB679)),MONTH(INDEX(Contracts!$J$2:$J$151,$AB679)),1),IF($Z679="A",DATE(YEAR(INDEX(Fixed_Assets!$G$2:$G$201,$AB679)),MONTH(INDEX(Fixed_Assets!$G$2:$G$201,$AB679)),1),IF($Z679="F",DATE(YEAR(MAX(N(INDEX(Workforce!$I$2:$I$151,MATCH(INDEX(FTE_Allocation!$A$2:$A$201,$AB679),Workforce!$A$2:$A$151,0))),N(INDEX(FTE_Allocation!$I$2:$I$201,$AB679)))),MONTH(MAX(N(INDEX(Workforce!$I$2:$I$151,MATCH(INDEX(FTE_Allocation!$A$2:$A$201,$AB679),Workforce!$A$2:$A$151,0))),N(INDEX(FTE_Allocation!$I$2:$I$201,$AB679)))),1),"")))</f>
        <v/>
      </c>
      <c r="AF679" s="21">
        <f>IF($Z679="C",IF(INDEX(Contracts!$I$2:$I$151,$AB679)="PREPAID",EDATE(DATE(YEAR(INDEX(Contracts!$J$2:$J$151,$AB679)),MONTH(INDEX(Contracts!$J$2:$J$151,$AB679)),1),IF(INDEX(Contracts!$N$2:$N$151,$AB679)="",12,INDEX(Contracts!$N$2:$N$151,$AB679))-1),IF(INDEX(Contracts!$I$2:$I$151,$AB679)="MONTHLY",IF(INDEX(Contracts!$K$2:$K$151,$AB679)="",2958101,INDEX(Contracts!$K$2:$K$151,$AB679)),0)),IF($Z679="A",EDATE(DATE(YEAR(INDEX(Fixed_Assets!$G$2:$G$201,$AB679)),MONTH(INDEX(Fixed_Assets!$G$2:$G$201,$AB679)),1),INDEX(Fixed_Assets!$J$2:$J$201,$AB679)-1),IF($Z679="F",MIN(IF(INDEX(Workforce!$J$2:$J$151,MATCH(INDEX(FTE_Allocation!$A$2:$A$201,$AB679),Workforce!$A$2:$A$151,0))="",2958101,INDEX(Workforce!$J$2:$J$151,MATCH(INDEX(FTE_Allocation!$A$2:$A$201,$AB679),Workforce!$A$2:$A$151,0))),IF(INDEX(FTE_Allocation!$J$2:$J$201,$AB679)="",2958101,INDEX(FTE_Allocation!$J$2:$J$201,$AB679))),"")))</f>
        <v/>
      </c>
      <c r="AG679" s="19">
        <f>IF($Z679="C",IF(INDEX(Contracts!$I$2:$I$151,$AB679)="PREPAID",INDEX(Contracts!$M$2:$M$151,$AB679)/IF(INDEX(Contracts!$N$2:$N$151,$AB679)="",12,INDEX(Contracts!$N$2:$N$151,$AB679)),IF(INDEX(Contracts!$I$2:$I$151,$AB679)="MONTHLY",INDEX(Contracts!$M$2:$M$151,$AB679),0))*(1-N(INDEX(Contracts!$O$2:$O$151,$AB679))),IF($Z679="A",INDEX(Fixed_Assets!$H$2:$H$201,$AB679)/INDEX(Fixed_Assets!$J$2:$J$201,$AB679),IF($Z679="F",INDEX(Workforce!$F$2:$F$151,MATCH(INDEX(FTE_Allocation!$A$2:$A$201,$AB679),Workforce!$A$2:$A$151,0))*N(INDEX(FTE_Allocation!$F$2:$H$201,$AB679,$AC679)),"")))</f>
        <v/>
      </c>
    </row>
    <row r="680">
      <c r="A680" s="7">
        <f>IF($Z680="","",$AD680)</f>
        <v/>
      </c>
      <c r="B680" s="7">
        <f>IF($Z680="C",INDEX(Contracts!$D$2:$D$151,$AB680)&amp;"",IF($Z680="A",INDEX(Fixed_Assets!$C$2:$C$201,$AB680)&amp;"",IF($Z680="F",INDEX(Workforce!$B$2:$B$151,MATCH(INDEX(FTE_Allocation!$A$2:$A$201,$AB680),Workforce!$A$2:$A$151,0))&amp;"","")))</f>
        <v/>
      </c>
      <c r="C680" s="7">
        <f>IF($Z680="C",INDEX(Contracts!$E$2:$E$151,$AB680)&amp;"",IF($Z680="A",INDEX(Fixed_Assets!$D$2:$D$201,$AB680)&amp;"",IF($Z680="F",INDEX(FTE_Allocation!$C$2:$C$201,$AB680)&amp;"","")))</f>
        <v/>
      </c>
      <c r="D680" s="7">
        <f>IF($Z680="C",INDEX(Contracts!$B$2:$B$151,$AB680)&amp;"",IF($Z680="A",INDEX(Fixed_Assets!$B$2:$B$201,$AB680)&amp;"",IF($Z680="F",INDEX(FTE_Allocation!$B$2:$B$201,$AB680)&amp;"","")))</f>
        <v/>
      </c>
      <c r="E680" s="7">
        <f>IF($Z680="C",INDEX(Contracts!$P$2:$P$151,$AB680)&amp;"",IF($Z680="A",INDEX(Fixed_Assets!$K$2:$K$201,$AB680)&amp;"",IF($Z680="F",IF(INDEX(FTE_Allocation!$D$2:$D$201,$AB680)="PROJECT",IFERROR(INDEX(Projects!$D:$D,MATCH(INDEX(FTE_Allocation!$E$2:$E$201,$AB680),Projects!$A:$A,0))&amp;"","#PROJECT?"),INDEX(FTE_Allocation!$E$2:$E$201,$AB680)&amp;""),"")))</f>
        <v/>
      </c>
      <c r="F680" s="7">
        <f>IF($Z680="C",INDEX(Contracts!$Q$2:$Q$151,$AB680)&amp;"",IF($Z680="A",INDEX(Fixed_Assets!$L$2:$L$201,$AB680)&amp;"",IF($Z680="F",INDEX(Workforce!$K$2:$K$151,MATCH(INDEX(FTE_Allocation!$A$2:$A$201,$AB680),Workforce!$A$2:$A$151,0))&amp;"","")))</f>
        <v/>
      </c>
      <c r="G680" s="7">
        <f>IF($Z680="C",INDEX(Contracts!$F$2:$F$151,$AB680)&amp;" / "&amp;INDEX(Contracts!$G$2:$G$151,$AB680),IF($Z680="A",INDEX(Fixed_Assets!$E$2:$E$201,$AB680)&amp;"",IF($Z680="F","Personnel "&amp;INDEX(FTE_Allocation!$A$2:$A$201,$AB680)&amp;IF(INDEX(FTE_Allocation!$D$2:$D$201,$AB680)="PROJECT"," ("&amp;INDEX(FTE_Allocation!$E$2:$E$201,$AB680)&amp;")",""),"")))</f>
        <v/>
      </c>
      <c r="H680" s="7">
        <f>IF($Z680="C","CONTRACT",IF($Z680="A","ASSET",IF($Z680="F","WORKFORCE","")))</f>
        <v/>
      </c>
      <c r="I680" s="7">
        <f>IF($Z680="C",INDEX(Contracts!$L$2:$L$151,$AB680)&amp;"",IF($Z680="A",INDEX(Fixed_Assets!$I$2:$I$201,$AB680)&amp;"",IF($Z680="F",INDEX(Workforce!$G$2:$G$151,MATCH(INDEX(FTE_Allocation!$A$2:$A$201,$AB680),Workforce!$A$2:$A$151,0))&amp;"","")))</f>
        <v/>
      </c>
      <c r="J680" s="18">
        <f>IF($Z680="","",IF(AND(DATE($AD680,1,1)&gt;=$AE680,DATE($AD680,1,1)&lt;=$AF680),ROUND($AG680,2),0))</f>
        <v/>
      </c>
      <c r="K680" s="18">
        <f>IF($Z680="","",IF(AND(DATE($AD680,2,1)&gt;=$AE680,DATE($AD680,2,1)&lt;=$AF680),ROUND($AG680,2),0))</f>
        <v/>
      </c>
      <c r="L680" s="18">
        <f>IF($Z680="","",IF(AND(DATE($AD680,3,1)&gt;=$AE680,DATE($AD680,3,1)&lt;=$AF680),ROUND($AG680,2),0))</f>
        <v/>
      </c>
      <c r="M680" s="18">
        <f>IF($Z680="","",IF(AND(DATE($AD680,4,1)&gt;=$AE680,DATE($AD680,4,1)&lt;=$AF680),ROUND($AG680,2),0))</f>
        <v/>
      </c>
      <c r="N680" s="18">
        <f>IF($Z680="","",IF(AND(DATE($AD680,5,1)&gt;=$AE680,DATE($AD680,5,1)&lt;=$AF680),ROUND($AG680,2),0))</f>
        <v/>
      </c>
      <c r="O680" s="18">
        <f>IF($Z680="","",IF(AND(DATE($AD680,6,1)&gt;=$AE680,DATE($AD680,6,1)&lt;=$AF680),ROUND($AG680,2),0))</f>
        <v/>
      </c>
      <c r="P680" s="18">
        <f>IF($Z680="","",IF(AND(DATE($AD680,7,1)&gt;=$AE680,DATE($AD680,7,1)&lt;=$AF680),ROUND($AG680,2),0))</f>
        <v/>
      </c>
      <c r="Q680" s="18">
        <f>IF($Z680="","",IF(AND(DATE($AD680,8,1)&gt;=$AE680,DATE($AD680,8,1)&lt;=$AF680),ROUND($AG680,2),0))</f>
        <v/>
      </c>
      <c r="R680" s="18">
        <f>IF($Z680="","",IF(AND(DATE($AD680,9,1)&gt;=$AE680,DATE($AD680,9,1)&lt;=$AF680),ROUND($AG680,2),0))</f>
        <v/>
      </c>
      <c r="S680" s="18">
        <f>IF($Z680="","",IF(AND(DATE($AD680,10,1)&gt;=$AE680,DATE($AD680,10,1)&lt;=$AF680),ROUND($AG680,2),0))</f>
        <v/>
      </c>
      <c r="T680" s="18">
        <f>IF($Z680="","",IF(AND(DATE($AD680,11,1)&gt;=$AE680,DATE($AD680,11,1)&lt;=$AF680),ROUND($AG680,2),0))</f>
        <v/>
      </c>
      <c r="U680" s="18">
        <f>IF($Z680="","",IF(AND(DATE($AD680,12,1)&gt;=$AE680,DATE($AD680,12,1)&lt;=$AF680),ROUND($AG680,2),0))</f>
        <v/>
      </c>
      <c r="V680" s="7">
        <f>IF($Z680="C","Generated from "&amp;INDEX(Contracts!$A$2:$A$151,$AB680),IF($Z680="A","Generated from "&amp;INDEX(Fixed_Assets!$A$2:$A$201,$AB680),IF($Z680="F","Generated from "&amp;INDEX(FTE_Allocation!$A$2:$A$201,$AB680),"")))</f>
        <v/>
      </c>
      <c r="X680" s="19">
        <f>IF($Z680="","",SUM(J680:U680))</f>
        <v/>
      </c>
      <c r="Y680" s="20">
        <f>ROW()-1</f>
        <v/>
      </c>
      <c r="Z680" s="20">
        <f>IF($Y680&lt;=Settings!$B$4*3,"C",IF($Y680&lt;=(Settings!$B$4+Settings!$B$5)*3,"A",IF($Y680&lt;=(Settings!$B$4+Settings!$B$5+Settings!$B$6)*3,"F","")))</f>
        <v/>
      </c>
      <c r="AA680" s="20">
        <f>IF($Z680="C",$Y680,IF($Z680="A",$Y680-Settings!$B$4*3,IF($Z680="F",$Y680-(Settings!$B$4+Settings!$B$5)*3,"")))</f>
        <v/>
      </c>
      <c r="AB680" s="20">
        <f>IF($Z680="","",INT(($AA680-1)/3)+1)</f>
        <v/>
      </c>
      <c r="AC680" s="20">
        <f>IF($Z680="","",MOD($AA680-1,3)+1)</f>
        <v/>
      </c>
      <c r="AD680" s="20">
        <f>IF($Z680="","",Settings!$B$2+$AC680-1)</f>
        <v/>
      </c>
      <c r="AE680" s="21">
        <f>IF($Z680="C",DATE(YEAR(INDEX(Contracts!$J$2:$J$151,$AB680)),MONTH(INDEX(Contracts!$J$2:$J$151,$AB680)),1),IF($Z680="A",DATE(YEAR(INDEX(Fixed_Assets!$G$2:$G$201,$AB680)),MONTH(INDEX(Fixed_Assets!$G$2:$G$201,$AB680)),1),IF($Z680="F",DATE(YEAR(MAX(N(INDEX(Workforce!$I$2:$I$151,MATCH(INDEX(FTE_Allocation!$A$2:$A$201,$AB680),Workforce!$A$2:$A$151,0))),N(INDEX(FTE_Allocation!$I$2:$I$201,$AB680)))),MONTH(MAX(N(INDEX(Workforce!$I$2:$I$151,MATCH(INDEX(FTE_Allocation!$A$2:$A$201,$AB680),Workforce!$A$2:$A$151,0))),N(INDEX(FTE_Allocation!$I$2:$I$201,$AB680)))),1),"")))</f>
        <v/>
      </c>
      <c r="AF680" s="21">
        <f>IF($Z680="C",IF(INDEX(Contracts!$I$2:$I$151,$AB680)="PREPAID",EDATE(DATE(YEAR(INDEX(Contracts!$J$2:$J$151,$AB680)),MONTH(INDEX(Contracts!$J$2:$J$151,$AB680)),1),IF(INDEX(Contracts!$N$2:$N$151,$AB680)="",12,INDEX(Contracts!$N$2:$N$151,$AB680))-1),IF(INDEX(Contracts!$I$2:$I$151,$AB680)="MONTHLY",IF(INDEX(Contracts!$K$2:$K$151,$AB680)="",2958101,INDEX(Contracts!$K$2:$K$151,$AB680)),0)),IF($Z680="A",EDATE(DATE(YEAR(INDEX(Fixed_Assets!$G$2:$G$201,$AB680)),MONTH(INDEX(Fixed_Assets!$G$2:$G$201,$AB680)),1),INDEX(Fixed_Assets!$J$2:$J$201,$AB680)-1),IF($Z680="F",MIN(IF(INDEX(Workforce!$J$2:$J$151,MATCH(INDEX(FTE_Allocation!$A$2:$A$201,$AB680),Workforce!$A$2:$A$151,0))="",2958101,INDEX(Workforce!$J$2:$J$151,MATCH(INDEX(FTE_Allocation!$A$2:$A$201,$AB680),Workforce!$A$2:$A$151,0))),IF(INDEX(FTE_Allocation!$J$2:$J$201,$AB680)="",2958101,INDEX(FTE_Allocation!$J$2:$J$201,$AB680))),"")))</f>
        <v/>
      </c>
      <c r="AG680" s="19">
        <f>IF($Z680="C",IF(INDEX(Contracts!$I$2:$I$151,$AB680)="PREPAID",INDEX(Contracts!$M$2:$M$151,$AB680)/IF(INDEX(Contracts!$N$2:$N$151,$AB680)="",12,INDEX(Contracts!$N$2:$N$151,$AB680)),IF(INDEX(Contracts!$I$2:$I$151,$AB680)="MONTHLY",INDEX(Contracts!$M$2:$M$151,$AB680),0))*(1-N(INDEX(Contracts!$O$2:$O$151,$AB680))),IF($Z680="A",INDEX(Fixed_Assets!$H$2:$H$201,$AB680)/INDEX(Fixed_Assets!$J$2:$J$201,$AB680),IF($Z680="F",INDEX(Workforce!$F$2:$F$151,MATCH(INDEX(FTE_Allocation!$A$2:$A$201,$AB680),Workforce!$A$2:$A$151,0))*N(INDEX(FTE_Allocation!$F$2:$H$201,$AB680,$AC680)),"")))</f>
        <v/>
      </c>
    </row>
    <row r="681">
      <c r="A681" s="7">
        <f>IF($Z681="","",$AD681)</f>
        <v/>
      </c>
      <c r="B681" s="7">
        <f>IF($Z681="C",INDEX(Contracts!$D$2:$D$151,$AB681)&amp;"",IF($Z681="A",INDEX(Fixed_Assets!$C$2:$C$201,$AB681)&amp;"",IF($Z681="F",INDEX(Workforce!$B$2:$B$151,MATCH(INDEX(FTE_Allocation!$A$2:$A$201,$AB681),Workforce!$A$2:$A$151,0))&amp;"","")))</f>
        <v/>
      </c>
      <c r="C681" s="7">
        <f>IF($Z681="C",INDEX(Contracts!$E$2:$E$151,$AB681)&amp;"",IF($Z681="A",INDEX(Fixed_Assets!$D$2:$D$201,$AB681)&amp;"",IF($Z681="F",INDEX(FTE_Allocation!$C$2:$C$201,$AB681)&amp;"","")))</f>
        <v/>
      </c>
      <c r="D681" s="7">
        <f>IF($Z681="C",INDEX(Contracts!$B$2:$B$151,$AB681)&amp;"",IF($Z681="A",INDEX(Fixed_Assets!$B$2:$B$201,$AB681)&amp;"",IF($Z681="F",INDEX(FTE_Allocation!$B$2:$B$201,$AB681)&amp;"","")))</f>
        <v/>
      </c>
      <c r="E681" s="7">
        <f>IF($Z681="C",INDEX(Contracts!$P$2:$P$151,$AB681)&amp;"",IF($Z681="A",INDEX(Fixed_Assets!$K$2:$K$201,$AB681)&amp;"",IF($Z681="F",IF(INDEX(FTE_Allocation!$D$2:$D$201,$AB681)="PROJECT",IFERROR(INDEX(Projects!$D:$D,MATCH(INDEX(FTE_Allocation!$E$2:$E$201,$AB681),Projects!$A:$A,0))&amp;"","#PROJECT?"),INDEX(FTE_Allocation!$E$2:$E$201,$AB681)&amp;""),"")))</f>
        <v/>
      </c>
      <c r="F681" s="7">
        <f>IF($Z681="C",INDEX(Contracts!$Q$2:$Q$151,$AB681)&amp;"",IF($Z681="A",INDEX(Fixed_Assets!$L$2:$L$201,$AB681)&amp;"",IF($Z681="F",INDEX(Workforce!$K$2:$K$151,MATCH(INDEX(FTE_Allocation!$A$2:$A$201,$AB681),Workforce!$A$2:$A$151,0))&amp;"","")))</f>
        <v/>
      </c>
      <c r="G681" s="7">
        <f>IF($Z681="C",INDEX(Contracts!$F$2:$F$151,$AB681)&amp;" / "&amp;INDEX(Contracts!$G$2:$G$151,$AB681),IF($Z681="A",INDEX(Fixed_Assets!$E$2:$E$201,$AB681)&amp;"",IF($Z681="F","Personnel "&amp;INDEX(FTE_Allocation!$A$2:$A$201,$AB681)&amp;IF(INDEX(FTE_Allocation!$D$2:$D$201,$AB681)="PROJECT"," ("&amp;INDEX(FTE_Allocation!$E$2:$E$201,$AB681)&amp;")",""),"")))</f>
        <v/>
      </c>
      <c r="H681" s="7">
        <f>IF($Z681="C","CONTRACT",IF($Z681="A","ASSET",IF($Z681="F","WORKFORCE","")))</f>
        <v/>
      </c>
      <c r="I681" s="7">
        <f>IF($Z681="C",INDEX(Contracts!$L$2:$L$151,$AB681)&amp;"",IF($Z681="A",INDEX(Fixed_Assets!$I$2:$I$201,$AB681)&amp;"",IF($Z681="F",INDEX(Workforce!$G$2:$G$151,MATCH(INDEX(FTE_Allocation!$A$2:$A$201,$AB681),Workforce!$A$2:$A$151,0))&amp;"","")))</f>
        <v/>
      </c>
      <c r="J681" s="18">
        <f>IF($Z681="","",IF(AND(DATE($AD681,1,1)&gt;=$AE681,DATE($AD681,1,1)&lt;=$AF681),ROUND($AG681,2),0))</f>
        <v/>
      </c>
      <c r="K681" s="18">
        <f>IF($Z681="","",IF(AND(DATE($AD681,2,1)&gt;=$AE681,DATE($AD681,2,1)&lt;=$AF681),ROUND($AG681,2),0))</f>
        <v/>
      </c>
      <c r="L681" s="18">
        <f>IF($Z681="","",IF(AND(DATE($AD681,3,1)&gt;=$AE681,DATE($AD681,3,1)&lt;=$AF681),ROUND($AG681,2),0))</f>
        <v/>
      </c>
      <c r="M681" s="18">
        <f>IF($Z681="","",IF(AND(DATE($AD681,4,1)&gt;=$AE681,DATE($AD681,4,1)&lt;=$AF681),ROUND($AG681,2),0))</f>
        <v/>
      </c>
      <c r="N681" s="18">
        <f>IF($Z681="","",IF(AND(DATE($AD681,5,1)&gt;=$AE681,DATE($AD681,5,1)&lt;=$AF681),ROUND($AG681,2),0))</f>
        <v/>
      </c>
      <c r="O681" s="18">
        <f>IF($Z681="","",IF(AND(DATE($AD681,6,1)&gt;=$AE681,DATE($AD681,6,1)&lt;=$AF681),ROUND($AG681,2),0))</f>
        <v/>
      </c>
      <c r="P681" s="18">
        <f>IF($Z681="","",IF(AND(DATE($AD681,7,1)&gt;=$AE681,DATE($AD681,7,1)&lt;=$AF681),ROUND($AG681,2),0))</f>
        <v/>
      </c>
      <c r="Q681" s="18">
        <f>IF($Z681="","",IF(AND(DATE($AD681,8,1)&gt;=$AE681,DATE($AD681,8,1)&lt;=$AF681),ROUND($AG681,2),0))</f>
        <v/>
      </c>
      <c r="R681" s="18">
        <f>IF($Z681="","",IF(AND(DATE($AD681,9,1)&gt;=$AE681,DATE($AD681,9,1)&lt;=$AF681),ROUND($AG681,2),0))</f>
        <v/>
      </c>
      <c r="S681" s="18">
        <f>IF($Z681="","",IF(AND(DATE($AD681,10,1)&gt;=$AE681,DATE($AD681,10,1)&lt;=$AF681),ROUND($AG681,2),0))</f>
        <v/>
      </c>
      <c r="T681" s="18">
        <f>IF($Z681="","",IF(AND(DATE($AD681,11,1)&gt;=$AE681,DATE($AD681,11,1)&lt;=$AF681),ROUND($AG681,2),0))</f>
        <v/>
      </c>
      <c r="U681" s="18">
        <f>IF($Z681="","",IF(AND(DATE($AD681,12,1)&gt;=$AE681,DATE($AD681,12,1)&lt;=$AF681),ROUND($AG681,2),0))</f>
        <v/>
      </c>
      <c r="V681" s="7">
        <f>IF($Z681="C","Generated from "&amp;INDEX(Contracts!$A$2:$A$151,$AB681),IF($Z681="A","Generated from "&amp;INDEX(Fixed_Assets!$A$2:$A$201,$AB681),IF($Z681="F","Generated from "&amp;INDEX(FTE_Allocation!$A$2:$A$201,$AB681),"")))</f>
        <v/>
      </c>
      <c r="X681" s="19">
        <f>IF($Z681="","",SUM(J681:U681))</f>
        <v/>
      </c>
      <c r="Y681" s="20">
        <f>ROW()-1</f>
        <v/>
      </c>
      <c r="Z681" s="20">
        <f>IF($Y681&lt;=Settings!$B$4*3,"C",IF($Y681&lt;=(Settings!$B$4+Settings!$B$5)*3,"A",IF($Y681&lt;=(Settings!$B$4+Settings!$B$5+Settings!$B$6)*3,"F","")))</f>
        <v/>
      </c>
      <c r="AA681" s="20">
        <f>IF($Z681="C",$Y681,IF($Z681="A",$Y681-Settings!$B$4*3,IF($Z681="F",$Y681-(Settings!$B$4+Settings!$B$5)*3,"")))</f>
        <v/>
      </c>
      <c r="AB681" s="20">
        <f>IF($Z681="","",INT(($AA681-1)/3)+1)</f>
        <v/>
      </c>
      <c r="AC681" s="20">
        <f>IF($Z681="","",MOD($AA681-1,3)+1)</f>
        <v/>
      </c>
      <c r="AD681" s="20">
        <f>IF($Z681="","",Settings!$B$2+$AC681-1)</f>
        <v/>
      </c>
      <c r="AE681" s="21">
        <f>IF($Z681="C",DATE(YEAR(INDEX(Contracts!$J$2:$J$151,$AB681)),MONTH(INDEX(Contracts!$J$2:$J$151,$AB681)),1),IF($Z681="A",DATE(YEAR(INDEX(Fixed_Assets!$G$2:$G$201,$AB681)),MONTH(INDEX(Fixed_Assets!$G$2:$G$201,$AB681)),1),IF($Z681="F",DATE(YEAR(MAX(N(INDEX(Workforce!$I$2:$I$151,MATCH(INDEX(FTE_Allocation!$A$2:$A$201,$AB681),Workforce!$A$2:$A$151,0))),N(INDEX(FTE_Allocation!$I$2:$I$201,$AB681)))),MONTH(MAX(N(INDEX(Workforce!$I$2:$I$151,MATCH(INDEX(FTE_Allocation!$A$2:$A$201,$AB681),Workforce!$A$2:$A$151,0))),N(INDEX(FTE_Allocation!$I$2:$I$201,$AB681)))),1),"")))</f>
        <v/>
      </c>
      <c r="AF681" s="21">
        <f>IF($Z681="C",IF(INDEX(Contracts!$I$2:$I$151,$AB681)="PREPAID",EDATE(DATE(YEAR(INDEX(Contracts!$J$2:$J$151,$AB681)),MONTH(INDEX(Contracts!$J$2:$J$151,$AB681)),1),IF(INDEX(Contracts!$N$2:$N$151,$AB681)="",12,INDEX(Contracts!$N$2:$N$151,$AB681))-1),IF(INDEX(Contracts!$I$2:$I$151,$AB681)="MONTHLY",IF(INDEX(Contracts!$K$2:$K$151,$AB681)="",2958101,INDEX(Contracts!$K$2:$K$151,$AB681)),0)),IF($Z681="A",EDATE(DATE(YEAR(INDEX(Fixed_Assets!$G$2:$G$201,$AB681)),MONTH(INDEX(Fixed_Assets!$G$2:$G$201,$AB681)),1),INDEX(Fixed_Assets!$J$2:$J$201,$AB681)-1),IF($Z681="F",MIN(IF(INDEX(Workforce!$J$2:$J$151,MATCH(INDEX(FTE_Allocation!$A$2:$A$201,$AB681),Workforce!$A$2:$A$151,0))="",2958101,INDEX(Workforce!$J$2:$J$151,MATCH(INDEX(FTE_Allocation!$A$2:$A$201,$AB681),Workforce!$A$2:$A$151,0))),IF(INDEX(FTE_Allocation!$J$2:$J$201,$AB681)="",2958101,INDEX(FTE_Allocation!$J$2:$J$201,$AB681))),"")))</f>
        <v/>
      </c>
      <c r="AG681" s="19">
        <f>IF($Z681="C",IF(INDEX(Contracts!$I$2:$I$151,$AB681)="PREPAID",INDEX(Contracts!$M$2:$M$151,$AB681)/IF(INDEX(Contracts!$N$2:$N$151,$AB681)="",12,INDEX(Contracts!$N$2:$N$151,$AB681)),IF(INDEX(Contracts!$I$2:$I$151,$AB681)="MONTHLY",INDEX(Contracts!$M$2:$M$151,$AB681),0))*(1-N(INDEX(Contracts!$O$2:$O$151,$AB681))),IF($Z681="A",INDEX(Fixed_Assets!$H$2:$H$201,$AB681)/INDEX(Fixed_Assets!$J$2:$J$201,$AB681),IF($Z681="F",INDEX(Workforce!$F$2:$F$151,MATCH(INDEX(FTE_Allocation!$A$2:$A$201,$AB681),Workforce!$A$2:$A$151,0))*N(INDEX(FTE_Allocation!$F$2:$H$201,$AB681,$AC681)),"")))</f>
        <v/>
      </c>
    </row>
    <row r="682">
      <c r="A682" s="7">
        <f>IF($Z682="","",$AD682)</f>
        <v/>
      </c>
      <c r="B682" s="7">
        <f>IF($Z682="C",INDEX(Contracts!$D$2:$D$151,$AB682)&amp;"",IF($Z682="A",INDEX(Fixed_Assets!$C$2:$C$201,$AB682)&amp;"",IF($Z682="F",INDEX(Workforce!$B$2:$B$151,MATCH(INDEX(FTE_Allocation!$A$2:$A$201,$AB682),Workforce!$A$2:$A$151,0))&amp;"","")))</f>
        <v/>
      </c>
      <c r="C682" s="7">
        <f>IF($Z682="C",INDEX(Contracts!$E$2:$E$151,$AB682)&amp;"",IF($Z682="A",INDEX(Fixed_Assets!$D$2:$D$201,$AB682)&amp;"",IF($Z682="F",INDEX(FTE_Allocation!$C$2:$C$201,$AB682)&amp;"","")))</f>
        <v/>
      </c>
      <c r="D682" s="7">
        <f>IF($Z682="C",INDEX(Contracts!$B$2:$B$151,$AB682)&amp;"",IF($Z682="A",INDEX(Fixed_Assets!$B$2:$B$201,$AB682)&amp;"",IF($Z682="F",INDEX(FTE_Allocation!$B$2:$B$201,$AB682)&amp;"","")))</f>
        <v/>
      </c>
      <c r="E682" s="7">
        <f>IF($Z682="C",INDEX(Contracts!$P$2:$P$151,$AB682)&amp;"",IF($Z682="A",INDEX(Fixed_Assets!$K$2:$K$201,$AB682)&amp;"",IF($Z682="F",IF(INDEX(FTE_Allocation!$D$2:$D$201,$AB682)="PROJECT",IFERROR(INDEX(Projects!$D:$D,MATCH(INDEX(FTE_Allocation!$E$2:$E$201,$AB682),Projects!$A:$A,0))&amp;"","#PROJECT?"),INDEX(FTE_Allocation!$E$2:$E$201,$AB682)&amp;""),"")))</f>
        <v/>
      </c>
      <c r="F682" s="7">
        <f>IF($Z682="C",INDEX(Contracts!$Q$2:$Q$151,$AB682)&amp;"",IF($Z682="A",INDEX(Fixed_Assets!$L$2:$L$201,$AB682)&amp;"",IF($Z682="F",INDEX(Workforce!$K$2:$K$151,MATCH(INDEX(FTE_Allocation!$A$2:$A$201,$AB682),Workforce!$A$2:$A$151,0))&amp;"","")))</f>
        <v/>
      </c>
      <c r="G682" s="7">
        <f>IF($Z682="C",INDEX(Contracts!$F$2:$F$151,$AB682)&amp;" / "&amp;INDEX(Contracts!$G$2:$G$151,$AB682),IF($Z682="A",INDEX(Fixed_Assets!$E$2:$E$201,$AB682)&amp;"",IF($Z682="F","Personnel "&amp;INDEX(FTE_Allocation!$A$2:$A$201,$AB682)&amp;IF(INDEX(FTE_Allocation!$D$2:$D$201,$AB682)="PROJECT"," ("&amp;INDEX(FTE_Allocation!$E$2:$E$201,$AB682)&amp;")",""),"")))</f>
        <v/>
      </c>
      <c r="H682" s="7">
        <f>IF($Z682="C","CONTRACT",IF($Z682="A","ASSET",IF($Z682="F","WORKFORCE","")))</f>
        <v/>
      </c>
      <c r="I682" s="7">
        <f>IF($Z682="C",INDEX(Contracts!$L$2:$L$151,$AB682)&amp;"",IF($Z682="A",INDEX(Fixed_Assets!$I$2:$I$201,$AB682)&amp;"",IF($Z682="F",INDEX(Workforce!$G$2:$G$151,MATCH(INDEX(FTE_Allocation!$A$2:$A$201,$AB682),Workforce!$A$2:$A$151,0))&amp;"","")))</f>
        <v/>
      </c>
      <c r="J682" s="18">
        <f>IF($Z682="","",IF(AND(DATE($AD682,1,1)&gt;=$AE682,DATE($AD682,1,1)&lt;=$AF682),ROUND($AG682,2),0))</f>
        <v/>
      </c>
      <c r="K682" s="18">
        <f>IF($Z682="","",IF(AND(DATE($AD682,2,1)&gt;=$AE682,DATE($AD682,2,1)&lt;=$AF682),ROUND($AG682,2),0))</f>
        <v/>
      </c>
      <c r="L682" s="18">
        <f>IF($Z682="","",IF(AND(DATE($AD682,3,1)&gt;=$AE682,DATE($AD682,3,1)&lt;=$AF682),ROUND($AG682,2),0))</f>
        <v/>
      </c>
      <c r="M682" s="18">
        <f>IF($Z682="","",IF(AND(DATE($AD682,4,1)&gt;=$AE682,DATE($AD682,4,1)&lt;=$AF682),ROUND($AG682,2),0))</f>
        <v/>
      </c>
      <c r="N682" s="18">
        <f>IF($Z682="","",IF(AND(DATE($AD682,5,1)&gt;=$AE682,DATE($AD682,5,1)&lt;=$AF682),ROUND($AG682,2),0))</f>
        <v/>
      </c>
      <c r="O682" s="18">
        <f>IF($Z682="","",IF(AND(DATE($AD682,6,1)&gt;=$AE682,DATE($AD682,6,1)&lt;=$AF682),ROUND($AG682,2),0))</f>
        <v/>
      </c>
      <c r="P682" s="18">
        <f>IF($Z682="","",IF(AND(DATE($AD682,7,1)&gt;=$AE682,DATE($AD682,7,1)&lt;=$AF682),ROUND($AG682,2),0))</f>
        <v/>
      </c>
      <c r="Q682" s="18">
        <f>IF($Z682="","",IF(AND(DATE($AD682,8,1)&gt;=$AE682,DATE($AD682,8,1)&lt;=$AF682),ROUND($AG682,2),0))</f>
        <v/>
      </c>
      <c r="R682" s="18">
        <f>IF($Z682="","",IF(AND(DATE($AD682,9,1)&gt;=$AE682,DATE($AD682,9,1)&lt;=$AF682),ROUND($AG682,2),0))</f>
        <v/>
      </c>
      <c r="S682" s="18">
        <f>IF($Z682="","",IF(AND(DATE($AD682,10,1)&gt;=$AE682,DATE($AD682,10,1)&lt;=$AF682),ROUND($AG682,2),0))</f>
        <v/>
      </c>
      <c r="T682" s="18">
        <f>IF($Z682="","",IF(AND(DATE($AD682,11,1)&gt;=$AE682,DATE($AD682,11,1)&lt;=$AF682),ROUND($AG682,2),0))</f>
        <v/>
      </c>
      <c r="U682" s="18">
        <f>IF($Z682="","",IF(AND(DATE($AD682,12,1)&gt;=$AE682,DATE($AD682,12,1)&lt;=$AF682),ROUND($AG682,2),0))</f>
        <v/>
      </c>
      <c r="V682" s="7">
        <f>IF($Z682="C","Generated from "&amp;INDEX(Contracts!$A$2:$A$151,$AB682),IF($Z682="A","Generated from "&amp;INDEX(Fixed_Assets!$A$2:$A$201,$AB682),IF($Z682="F","Generated from "&amp;INDEX(FTE_Allocation!$A$2:$A$201,$AB682),"")))</f>
        <v/>
      </c>
      <c r="X682" s="19">
        <f>IF($Z682="","",SUM(J682:U682))</f>
        <v/>
      </c>
      <c r="Y682" s="20">
        <f>ROW()-1</f>
        <v/>
      </c>
      <c r="Z682" s="20">
        <f>IF($Y682&lt;=Settings!$B$4*3,"C",IF($Y682&lt;=(Settings!$B$4+Settings!$B$5)*3,"A",IF($Y682&lt;=(Settings!$B$4+Settings!$B$5+Settings!$B$6)*3,"F","")))</f>
        <v/>
      </c>
      <c r="AA682" s="20">
        <f>IF($Z682="C",$Y682,IF($Z682="A",$Y682-Settings!$B$4*3,IF($Z682="F",$Y682-(Settings!$B$4+Settings!$B$5)*3,"")))</f>
        <v/>
      </c>
      <c r="AB682" s="20">
        <f>IF($Z682="","",INT(($AA682-1)/3)+1)</f>
        <v/>
      </c>
      <c r="AC682" s="20">
        <f>IF($Z682="","",MOD($AA682-1,3)+1)</f>
        <v/>
      </c>
      <c r="AD682" s="20">
        <f>IF($Z682="","",Settings!$B$2+$AC682-1)</f>
        <v/>
      </c>
      <c r="AE682" s="21">
        <f>IF($Z682="C",DATE(YEAR(INDEX(Contracts!$J$2:$J$151,$AB682)),MONTH(INDEX(Contracts!$J$2:$J$151,$AB682)),1),IF($Z682="A",DATE(YEAR(INDEX(Fixed_Assets!$G$2:$G$201,$AB682)),MONTH(INDEX(Fixed_Assets!$G$2:$G$201,$AB682)),1),IF($Z682="F",DATE(YEAR(MAX(N(INDEX(Workforce!$I$2:$I$151,MATCH(INDEX(FTE_Allocation!$A$2:$A$201,$AB682),Workforce!$A$2:$A$151,0))),N(INDEX(FTE_Allocation!$I$2:$I$201,$AB682)))),MONTH(MAX(N(INDEX(Workforce!$I$2:$I$151,MATCH(INDEX(FTE_Allocation!$A$2:$A$201,$AB682),Workforce!$A$2:$A$151,0))),N(INDEX(FTE_Allocation!$I$2:$I$201,$AB682)))),1),"")))</f>
        <v/>
      </c>
      <c r="AF682" s="21">
        <f>IF($Z682="C",IF(INDEX(Contracts!$I$2:$I$151,$AB682)="PREPAID",EDATE(DATE(YEAR(INDEX(Contracts!$J$2:$J$151,$AB682)),MONTH(INDEX(Contracts!$J$2:$J$151,$AB682)),1),IF(INDEX(Contracts!$N$2:$N$151,$AB682)="",12,INDEX(Contracts!$N$2:$N$151,$AB682))-1),IF(INDEX(Contracts!$I$2:$I$151,$AB682)="MONTHLY",IF(INDEX(Contracts!$K$2:$K$151,$AB682)="",2958101,INDEX(Contracts!$K$2:$K$151,$AB682)),0)),IF($Z682="A",EDATE(DATE(YEAR(INDEX(Fixed_Assets!$G$2:$G$201,$AB682)),MONTH(INDEX(Fixed_Assets!$G$2:$G$201,$AB682)),1),INDEX(Fixed_Assets!$J$2:$J$201,$AB682)-1),IF($Z682="F",MIN(IF(INDEX(Workforce!$J$2:$J$151,MATCH(INDEX(FTE_Allocation!$A$2:$A$201,$AB682),Workforce!$A$2:$A$151,0))="",2958101,INDEX(Workforce!$J$2:$J$151,MATCH(INDEX(FTE_Allocation!$A$2:$A$201,$AB682),Workforce!$A$2:$A$151,0))),IF(INDEX(FTE_Allocation!$J$2:$J$201,$AB682)="",2958101,INDEX(FTE_Allocation!$J$2:$J$201,$AB682))),"")))</f>
        <v/>
      </c>
      <c r="AG682" s="19">
        <f>IF($Z682="C",IF(INDEX(Contracts!$I$2:$I$151,$AB682)="PREPAID",INDEX(Contracts!$M$2:$M$151,$AB682)/IF(INDEX(Contracts!$N$2:$N$151,$AB682)="",12,INDEX(Contracts!$N$2:$N$151,$AB682)),IF(INDEX(Contracts!$I$2:$I$151,$AB682)="MONTHLY",INDEX(Contracts!$M$2:$M$151,$AB682),0))*(1-N(INDEX(Contracts!$O$2:$O$151,$AB682))),IF($Z682="A",INDEX(Fixed_Assets!$H$2:$H$201,$AB682)/INDEX(Fixed_Assets!$J$2:$J$201,$AB682),IF($Z682="F",INDEX(Workforce!$F$2:$F$151,MATCH(INDEX(FTE_Allocation!$A$2:$A$201,$AB682),Workforce!$A$2:$A$151,0))*N(INDEX(FTE_Allocation!$F$2:$H$201,$AB682,$AC682)),"")))</f>
        <v/>
      </c>
    </row>
    <row r="683">
      <c r="A683" s="7">
        <f>IF($Z683="","",$AD683)</f>
        <v/>
      </c>
      <c r="B683" s="7">
        <f>IF($Z683="C",INDEX(Contracts!$D$2:$D$151,$AB683)&amp;"",IF($Z683="A",INDEX(Fixed_Assets!$C$2:$C$201,$AB683)&amp;"",IF($Z683="F",INDEX(Workforce!$B$2:$B$151,MATCH(INDEX(FTE_Allocation!$A$2:$A$201,$AB683),Workforce!$A$2:$A$151,0))&amp;"","")))</f>
        <v/>
      </c>
      <c r="C683" s="7">
        <f>IF($Z683="C",INDEX(Contracts!$E$2:$E$151,$AB683)&amp;"",IF($Z683="A",INDEX(Fixed_Assets!$D$2:$D$201,$AB683)&amp;"",IF($Z683="F",INDEX(FTE_Allocation!$C$2:$C$201,$AB683)&amp;"","")))</f>
        <v/>
      </c>
      <c r="D683" s="7">
        <f>IF($Z683="C",INDEX(Contracts!$B$2:$B$151,$AB683)&amp;"",IF($Z683="A",INDEX(Fixed_Assets!$B$2:$B$201,$AB683)&amp;"",IF($Z683="F",INDEX(FTE_Allocation!$B$2:$B$201,$AB683)&amp;"","")))</f>
        <v/>
      </c>
      <c r="E683" s="7">
        <f>IF($Z683="C",INDEX(Contracts!$P$2:$P$151,$AB683)&amp;"",IF($Z683="A",INDEX(Fixed_Assets!$K$2:$K$201,$AB683)&amp;"",IF($Z683="F",IF(INDEX(FTE_Allocation!$D$2:$D$201,$AB683)="PROJECT",IFERROR(INDEX(Projects!$D:$D,MATCH(INDEX(FTE_Allocation!$E$2:$E$201,$AB683),Projects!$A:$A,0))&amp;"","#PROJECT?"),INDEX(FTE_Allocation!$E$2:$E$201,$AB683)&amp;""),"")))</f>
        <v/>
      </c>
      <c r="F683" s="7">
        <f>IF($Z683="C",INDEX(Contracts!$Q$2:$Q$151,$AB683)&amp;"",IF($Z683="A",INDEX(Fixed_Assets!$L$2:$L$201,$AB683)&amp;"",IF($Z683="F",INDEX(Workforce!$K$2:$K$151,MATCH(INDEX(FTE_Allocation!$A$2:$A$201,$AB683),Workforce!$A$2:$A$151,0))&amp;"","")))</f>
        <v/>
      </c>
      <c r="G683" s="7">
        <f>IF($Z683="C",INDEX(Contracts!$F$2:$F$151,$AB683)&amp;" / "&amp;INDEX(Contracts!$G$2:$G$151,$AB683),IF($Z683="A",INDEX(Fixed_Assets!$E$2:$E$201,$AB683)&amp;"",IF($Z683="F","Personnel "&amp;INDEX(FTE_Allocation!$A$2:$A$201,$AB683)&amp;IF(INDEX(FTE_Allocation!$D$2:$D$201,$AB683)="PROJECT"," ("&amp;INDEX(FTE_Allocation!$E$2:$E$201,$AB683)&amp;")",""),"")))</f>
        <v/>
      </c>
      <c r="H683" s="7">
        <f>IF($Z683="C","CONTRACT",IF($Z683="A","ASSET",IF($Z683="F","WORKFORCE","")))</f>
        <v/>
      </c>
      <c r="I683" s="7">
        <f>IF($Z683="C",INDEX(Contracts!$L$2:$L$151,$AB683)&amp;"",IF($Z683="A",INDEX(Fixed_Assets!$I$2:$I$201,$AB683)&amp;"",IF($Z683="F",INDEX(Workforce!$G$2:$G$151,MATCH(INDEX(FTE_Allocation!$A$2:$A$201,$AB683),Workforce!$A$2:$A$151,0))&amp;"","")))</f>
        <v/>
      </c>
      <c r="J683" s="18">
        <f>IF($Z683="","",IF(AND(DATE($AD683,1,1)&gt;=$AE683,DATE($AD683,1,1)&lt;=$AF683),ROUND($AG683,2),0))</f>
        <v/>
      </c>
      <c r="K683" s="18">
        <f>IF($Z683="","",IF(AND(DATE($AD683,2,1)&gt;=$AE683,DATE($AD683,2,1)&lt;=$AF683),ROUND($AG683,2),0))</f>
        <v/>
      </c>
      <c r="L683" s="18">
        <f>IF($Z683="","",IF(AND(DATE($AD683,3,1)&gt;=$AE683,DATE($AD683,3,1)&lt;=$AF683),ROUND($AG683,2),0))</f>
        <v/>
      </c>
      <c r="M683" s="18">
        <f>IF($Z683="","",IF(AND(DATE($AD683,4,1)&gt;=$AE683,DATE($AD683,4,1)&lt;=$AF683),ROUND($AG683,2),0))</f>
        <v/>
      </c>
      <c r="N683" s="18">
        <f>IF($Z683="","",IF(AND(DATE($AD683,5,1)&gt;=$AE683,DATE($AD683,5,1)&lt;=$AF683),ROUND($AG683,2),0))</f>
        <v/>
      </c>
      <c r="O683" s="18">
        <f>IF($Z683="","",IF(AND(DATE($AD683,6,1)&gt;=$AE683,DATE($AD683,6,1)&lt;=$AF683),ROUND($AG683,2),0))</f>
        <v/>
      </c>
      <c r="P683" s="18">
        <f>IF($Z683="","",IF(AND(DATE($AD683,7,1)&gt;=$AE683,DATE($AD683,7,1)&lt;=$AF683),ROUND($AG683,2),0))</f>
        <v/>
      </c>
      <c r="Q683" s="18">
        <f>IF($Z683="","",IF(AND(DATE($AD683,8,1)&gt;=$AE683,DATE($AD683,8,1)&lt;=$AF683),ROUND($AG683,2),0))</f>
        <v/>
      </c>
      <c r="R683" s="18">
        <f>IF($Z683="","",IF(AND(DATE($AD683,9,1)&gt;=$AE683,DATE($AD683,9,1)&lt;=$AF683),ROUND($AG683,2),0))</f>
        <v/>
      </c>
      <c r="S683" s="18">
        <f>IF($Z683="","",IF(AND(DATE($AD683,10,1)&gt;=$AE683,DATE($AD683,10,1)&lt;=$AF683),ROUND($AG683,2),0))</f>
        <v/>
      </c>
      <c r="T683" s="18">
        <f>IF($Z683="","",IF(AND(DATE($AD683,11,1)&gt;=$AE683,DATE($AD683,11,1)&lt;=$AF683),ROUND($AG683,2),0))</f>
        <v/>
      </c>
      <c r="U683" s="18">
        <f>IF($Z683="","",IF(AND(DATE($AD683,12,1)&gt;=$AE683,DATE($AD683,12,1)&lt;=$AF683),ROUND($AG683,2),0))</f>
        <v/>
      </c>
      <c r="V683" s="7">
        <f>IF($Z683="C","Generated from "&amp;INDEX(Contracts!$A$2:$A$151,$AB683),IF($Z683="A","Generated from "&amp;INDEX(Fixed_Assets!$A$2:$A$201,$AB683),IF($Z683="F","Generated from "&amp;INDEX(FTE_Allocation!$A$2:$A$201,$AB683),"")))</f>
        <v/>
      </c>
      <c r="X683" s="19">
        <f>IF($Z683="","",SUM(J683:U683))</f>
        <v/>
      </c>
      <c r="Y683" s="20">
        <f>ROW()-1</f>
        <v/>
      </c>
      <c r="Z683" s="20">
        <f>IF($Y683&lt;=Settings!$B$4*3,"C",IF($Y683&lt;=(Settings!$B$4+Settings!$B$5)*3,"A",IF($Y683&lt;=(Settings!$B$4+Settings!$B$5+Settings!$B$6)*3,"F","")))</f>
        <v/>
      </c>
      <c r="AA683" s="20">
        <f>IF($Z683="C",$Y683,IF($Z683="A",$Y683-Settings!$B$4*3,IF($Z683="F",$Y683-(Settings!$B$4+Settings!$B$5)*3,"")))</f>
        <v/>
      </c>
      <c r="AB683" s="20">
        <f>IF($Z683="","",INT(($AA683-1)/3)+1)</f>
        <v/>
      </c>
      <c r="AC683" s="20">
        <f>IF($Z683="","",MOD($AA683-1,3)+1)</f>
        <v/>
      </c>
      <c r="AD683" s="20">
        <f>IF($Z683="","",Settings!$B$2+$AC683-1)</f>
        <v/>
      </c>
      <c r="AE683" s="21">
        <f>IF($Z683="C",DATE(YEAR(INDEX(Contracts!$J$2:$J$151,$AB683)),MONTH(INDEX(Contracts!$J$2:$J$151,$AB683)),1),IF($Z683="A",DATE(YEAR(INDEX(Fixed_Assets!$G$2:$G$201,$AB683)),MONTH(INDEX(Fixed_Assets!$G$2:$G$201,$AB683)),1),IF($Z683="F",DATE(YEAR(MAX(N(INDEX(Workforce!$I$2:$I$151,MATCH(INDEX(FTE_Allocation!$A$2:$A$201,$AB683),Workforce!$A$2:$A$151,0))),N(INDEX(FTE_Allocation!$I$2:$I$201,$AB683)))),MONTH(MAX(N(INDEX(Workforce!$I$2:$I$151,MATCH(INDEX(FTE_Allocation!$A$2:$A$201,$AB683),Workforce!$A$2:$A$151,0))),N(INDEX(FTE_Allocation!$I$2:$I$201,$AB683)))),1),"")))</f>
        <v/>
      </c>
      <c r="AF683" s="21">
        <f>IF($Z683="C",IF(INDEX(Contracts!$I$2:$I$151,$AB683)="PREPAID",EDATE(DATE(YEAR(INDEX(Contracts!$J$2:$J$151,$AB683)),MONTH(INDEX(Contracts!$J$2:$J$151,$AB683)),1),IF(INDEX(Contracts!$N$2:$N$151,$AB683)="",12,INDEX(Contracts!$N$2:$N$151,$AB683))-1),IF(INDEX(Contracts!$I$2:$I$151,$AB683)="MONTHLY",IF(INDEX(Contracts!$K$2:$K$151,$AB683)="",2958101,INDEX(Contracts!$K$2:$K$151,$AB683)),0)),IF($Z683="A",EDATE(DATE(YEAR(INDEX(Fixed_Assets!$G$2:$G$201,$AB683)),MONTH(INDEX(Fixed_Assets!$G$2:$G$201,$AB683)),1),INDEX(Fixed_Assets!$J$2:$J$201,$AB683)-1),IF($Z683="F",MIN(IF(INDEX(Workforce!$J$2:$J$151,MATCH(INDEX(FTE_Allocation!$A$2:$A$201,$AB683),Workforce!$A$2:$A$151,0))="",2958101,INDEX(Workforce!$J$2:$J$151,MATCH(INDEX(FTE_Allocation!$A$2:$A$201,$AB683),Workforce!$A$2:$A$151,0))),IF(INDEX(FTE_Allocation!$J$2:$J$201,$AB683)="",2958101,INDEX(FTE_Allocation!$J$2:$J$201,$AB683))),"")))</f>
        <v/>
      </c>
      <c r="AG683" s="19">
        <f>IF($Z683="C",IF(INDEX(Contracts!$I$2:$I$151,$AB683)="PREPAID",INDEX(Contracts!$M$2:$M$151,$AB683)/IF(INDEX(Contracts!$N$2:$N$151,$AB683)="",12,INDEX(Contracts!$N$2:$N$151,$AB683)),IF(INDEX(Contracts!$I$2:$I$151,$AB683)="MONTHLY",INDEX(Contracts!$M$2:$M$151,$AB683),0))*(1-N(INDEX(Contracts!$O$2:$O$151,$AB683))),IF($Z683="A",INDEX(Fixed_Assets!$H$2:$H$201,$AB683)/INDEX(Fixed_Assets!$J$2:$J$201,$AB683),IF($Z683="F",INDEX(Workforce!$F$2:$F$151,MATCH(INDEX(FTE_Allocation!$A$2:$A$201,$AB683),Workforce!$A$2:$A$151,0))*N(INDEX(FTE_Allocation!$F$2:$H$201,$AB683,$AC683)),"")))</f>
        <v/>
      </c>
    </row>
    <row r="684">
      <c r="A684" s="7">
        <f>IF($Z684="","",$AD684)</f>
        <v/>
      </c>
      <c r="B684" s="7">
        <f>IF($Z684="C",INDEX(Contracts!$D$2:$D$151,$AB684)&amp;"",IF($Z684="A",INDEX(Fixed_Assets!$C$2:$C$201,$AB684)&amp;"",IF($Z684="F",INDEX(Workforce!$B$2:$B$151,MATCH(INDEX(FTE_Allocation!$A$2:$A$201,$AB684),Workforce!$A$2:$A$151,0))&amp;"","")))</f>
        <v/>
      </c>
      <c r="C684" s="7">
        <f>IF($Z684="C",INDEX(Contracts!$E$2:$E$151,$AB684)&amp;"",IF($Z684="A",INDEX(Fixed_Assets!$D$2:$D$201,$AB684)&amp;"",IF($Z684="F",INDEX(FTE_Allocation!$C$2:$C$201,$AB684)&amp;"","")))</f>
        <v/>
      </c>
      <c r="D684" s="7">
        <f>IF($Z684="C",INDEX(Contracts!$B$2:$B$151,$AB684)&amp;"",IF($Z684="A",INDEX(Fixed_Assets!$B$2:$B$201,$AB684)&amp;"",IF($Z684="F",INDEX(FTE_Allocation!$B$2:$B$201,$AB684)&amp;"","")))</f>
        <v/>
      </c>
      <c r="E684" s="7">
        <f>IF($Z684="C",INDEX(Contracts!$P$2:$P$151,$AB684)&amp;"",IF($Z684="A",INDEX(Fixed_Assets!$K$2:$K$201,$AB684)&amp;"",IF($Z684="F",IF(INDEX(FTE_Allocation!$D$2:$D$201,$AB684)="PROJECT",IFERROR(INDEX(Projects!$D:$D,MATCH(INDEX(FTE_Allocation!$E$2:$E$201,$AB684),Projects!$A:$A,0))&amp;"","#PROJECT?"),INDEX(FTE_Allocation!$E$2:$E$201,$AB684)&amp;""),"")))</f>
        <v/>
      </c>
      <c r="F684" s="7">
        <f>IF($Z684="C",INDEX(Contracts!$Q$2:$Q$151,$AB684)&amp;"",IF($Z684="A",INDEX(Fixed_Assets!$L$2:$L$201,$AB684)&amp;"",IF($Z684="F",INDEX(Workforce!$K$2:$K$151,MATCH(INDEX(FTE_Allocation!$A$2:$A$201,$AB684),Workforce!$A$2:$A$151,0))&amp;"","")))</f>
        <v/>
      </c>
      <c r="G684" s="7">
        <f>IF($Z684="C",INDEX(Contracts!$F$2:$F$151,$AB684)&amp;" / "&amp;INDEX(Contracts!$G$2:$G$151,$AB684),IF($Z684="A",INDEX(Fixed_Assets!$E$2:$E$201,$AB684)&amp;"",IF($Z684="F","Personnel "&amp;INDEX(FTE_Allocation!$A$2:$A$201,$AB684)&amp;IF(INDEX(FTE_Allocation!$D$2:$D$201,$AB684)="PROJECT"," ("&amp;INDEX(FTE_Allocation!$E$2:$E$201,$AB684)&amp;")",""),"")))</f>
        <v/>
      </c>
      <c r="H684" s="7">
        <f>IF($Z684="C","CONTRACT",IF($Z684="A","ASSET",IF($Z684="F","WORKFORCE","")))</f>
        <v/>
      </c>
      <c r="I684" s="7">
        <f>IF($Z684="C",INDEX(Contracts!$L$2:$L$151,$AB684)&amp;"",IF($Z684="A",INDEX(Fixed_Assets!$I$2:$I$201,$AB684)&amp;"",IF($Z684="F",INDEX(Workforce!$G$2:$G$151,MATCH(INDEX(FTE_Allocation!$A$2:$A$201,$AB684),Workforce!$A$2:$A$151,0))&amp;"","")))</f>
        <v/>
      </c>
      <c r="J684" s="18">
        <f>IF($Z684="","",IF(AND(DATE($AD684,1,1)&gt;=$AE684,DATE($AD684,1,1)&lt;=$AF684),ROUND($AG684,2),0))</f>
        <v/>
      </c>
      <c r="K684" s="18">
        <f>IF($Z684="","",IF(AND(DATE($AD684,2,1)&gt;=$AE684,DATE($AD684,2,1)&lt;=$AF684),ROUND($AG684,2),0))</f>
        <v/>
      </c>
      <c r="L684" s="18">
        <f>IF($Z684="","",IF(AND(DATE($AD684,3,1)&gt;=$AE684,DATE($AD684,3,1)&lt;=$AF684),ROUND($AG684,2),0))</f>
        <v/>
      </c>
      <c r="M684" s="18">
        <f>IF($Z684="","",IF(AND(DATE($AD684,4,1)&gt;=$AE684,DATE($AD684,4,1)&lt;=$AF684),ROUND($AG684,2),0))</f>
        <v/>
      </c>
      <c r="N684" s="18">
        <f>IF($Z684="","",IF(AND(DATE($AD684,5,1)&gt;=$AE684,DATE($AD684,5,1)&lt;=$AF684),ROUND($AG684,2),0))</f>
        <v/>
      </c>
      <c r="O684" s="18">
        <f>IF($Z684="","",IF(AND(DATE($AD684,6,1)&gt;=$AE684,DATE($AD684,6,1)&lt;=$AF684),ROUND($AG684,2),0))</f>
        <v/>
      </c>
      <c r="P684" s="18">
        <f>IF($Z684="","",IF(AND(DATE($AD684,7,1)&gt;=$AE684,DATE($AD684,7,1)&lt;=$AF684),ROUND($AG684,2),0))</f>
        <v/>
      </c>
      <c r="Q684" s="18">
        <f>IF($Z684="","",IF(AND(DATE($AD684,8,1)&gt;=$AE684,DATE($AD684,8,1)&lt;=$AF684),ROUND($AG684,2),0))</f>
        <v/>
      </c>
      <c r="R684" s="18">
        <f>IF($Z684="","",IF(AND(DATE($AD684,9,1)&gt;=$AE684,DATE($AD684,9,1)&lt;=$AF684),ROUND($AG684,2),0))</f>
        <v/>
      </c>
      <c r="S684" s="18">
        <f>IF($Z684="","",IF(AND(DATE($AD684,10,1)&gt;=$AE684,DATE($AD684,10,1)&lt;=$AF684),ROUND($AG684,2),0))</f>
        <v/>
      </c>
      <c r="T684" s="18">
        <f>IF($Z684="","",IF(AND(DATE($AD684,11,1)&gt;=$AE684,DATE($AD684,11,1)&lt;=$AF684),ROUND($AG684,2),0))</f>
        <v/>
      </c>
      <c r="U684" s="18">
        <f>IF($Z684="","",IF(AND(DATE($AD684,12,1)&gt;=$AE684,DATE($AD684,12,1)&lt;=$AF684),ROUND($AG684,2),0))</f>
        <v/>
      </c>
      <c r="V684" s="7">
        <f>IF($Z684="C","Generated from "&amp;INDEX(Contracts!$A$2:$A$151,$AB684),IF($Z684="A","Generated from "&amp;INDEX(Fixed_Assets!$A$2:$A$201,$AB684),IF($Z684="F","Generated from "&amp;INDEX(FTE_Allocation!$A$2:$A$201,$AB684),"")))</f>
        <v/>
      </c>
      <c r="X684" s="19">
        <f>IF($Z684="","",SUM(J684:U684))</f>
        <v/>
      </c>
      <c r="Y684" s="20">
        <f>ROW()-1</f>
        <v/>
      </c>
      <c r="Z684" s="20">
        <f>IF($Y684&lt;=Settings!$B$4*3,"C",IF($Y684&lt;=(Settings!$B$4+Settings!$B$5)*3,"A",IF($Y684&lt;=(Settings!$B$4+Settings!$B$5+Settings!$B$6)*3,"F","")))</f>
        <v/>
      </c>
      <c r="AA684" s="20">
        <f>IF($Z684="C",$Y684,IF($Z684="A",$Y684-Settings!$B$4*3,IF($Z684="F",$Y684-(Settings!$B$4+Settings!$B$5)*3,"")))</f>
        <v/>
      </c>
      <c r="AB684" s="20">
        <f>IF($Z684="","",INT(($AA684-1)/3)+1)</f>
        <v/>
      </c>
      <c r="AC684" s="20">
        <f>IF($Z684="","",MOD($AA684-1,3)+1)</f>
        <v/>
      </c>
      <c r="AD684" s="20">
        <f>IF($Z684="","",Settings!$B$2+$AC684-1)</f>
        <v/>
      </c>
      <c r="AE684" s="21">
        <f>IF($Z684="C",DATE(YEAR(INDEX(Contracts!$J$2:$J$151,$AB684)),MONTH(INDEX(Contracts!$J$2:$J$151,$AB684)),1),IF($Z684="A",DATE(YEAR(INDEX(Fixed_Assets!$G$2:$G$201,$AB684)),MONTH(INDEX(Fixed_Assets!$G$2:$G$201,$AB684)),1),IF($Z684="F",DATE(YEAR(MAX(N(INDEX(Workforce!$I$2:$I$151,MATCH(INDEX(FTE_Allocation!$A$2:$A$201,$AB684),Workforce!$A$2:$A$151,0))),N(INDEX(FTE_Allocation!$I$2:$I$201,$AB684)))),MONTH(MAX(N(INDEX(Workforce!$I$2:$I$151,MATCH(INDEX(FTE_Allocation!$A$2:$A$201,$AB684),Workforce!$A$2:$A$151,0))),N(INDEX(FTE_Allocation!$I$2:$I$201,$AB684)))),1),"")))</f>
        <v/>
      </c>
      <c r="AF684" s="21">
        <f>IF($Z684="C",IF(INDEX(Contracts!$I$2:$I$151,$AB684)="PREPAID",EDATE(DATE(YEAR(INDEX(Contracts!$J$2:$J$151,$AB684)),MONTH(INDEX(Contracts!$J$2:$J$151,$AB684)),1),IF(INDEX(Contracts!$N$2:$N$151,$AB684)="",12,INDEX(Contracts!$N$2:$N$151,$AB684))-1),IF(INDEX(Contracts!$I$2:$I$151,$AB684)="MONTHLY",IF(INDEX(Contracts!$K$2:$K$151,$AB684)="",2958101,INDEX(Contracts!$K$2:$K$151,$AB684)),0)),IF($Z684="A",EDATE(DATE(YEAR(INDEX(Fixed_Assets!$G$2:$G$201,$AB684)),MONTH(INDEX(Fixed_Assets!$G$2:$G$201,$AB684)),1),INDEX(Fixed_Assets!$J$2:$J$201,$AB684)-1),IF($Z684="F",MIN(IF(INDEX(Workforce!$J$2:$J$151,MATCH(INDEX(FTE_Allocation!$A$2:$A$201,$AB684),Workforce!$A$2:$A$151,0))="",2958101,INDEX(Workforce!$J$2:$J$151,MATCH(INDEX(FTE_Allocation!$A$2:$A$201,$AB684),Workforce!$A$2:$A$151,0))),IF(INDEX(FTE_Allocation!$J$2:$J$201,$AB684)="",2958101,INDEX(FTE_Allocation!$J$2:$J$201,$AB684))),"")))</f>
        <v/>
      </c>
      <c r="AG684" s="19">
        <f>IF($Z684="C",IF(INDEX(Contracts!$I$2:$I$151,$AB684)="PREPAID",INDEX(Contracts!$M$2:$M$151,$AB684)/IF(INDEX(Contracts!$N$2:$N$151,$AB684)="",12,INDEX(Contracts!$N$2:$N$151,$AB684)),IF(INDEX(Contracts!$I$2:$I$151,$AB684)="MONTHLY",INDEX(Contracts!$M$2:$M$151,$AB684),0))*(1-N(INDEX(Contracts!$O$2:$O$151,$AB684))),IF($Z684="A",INDEX(Fixed_Assets!$H$2:$H$201,$AB684)/INDEX(Fixed_Assets!$J$2:$J$201,$AB684),IF($Z684="F",INDEX(Workforce!$F$2:$F$151,MATCH(INDEX(FTE_Allocation!$A$2:$A$201,$AB684),Workforce!$A$2:$A$151,0))*N(INDEX(FTE_Allocation!$F$2:$H$201,$AB684,$AC684)),"")))</f>
        <v/>
      </c>
    </row>
    <row r="685">
      <c r="A685" s="7">
        <f>IF($Z685="","",$AD685)</f>
        <v/>
      </c>
      <c r="B685" s="7">
        <f>IF($Z685="C",INDEX(Contracts!$D$2:$D$151,$AB685)&amp;"",IF($Z685="A",INDEX(Fixed_Assets!$C$2:$C$201,$AB685)&amp;"",IF($Z685="F",INDEX(Workforce!$B$2:$B$151,MATCH(INDEX(FTE_Allocation!$A$2:$A$201,$AB685),Workforce!$A$2:$A$151,0))&amp;"","")))</f>
        <v/>
      </c>
      <c r="C685" s="7">
        <f>IF($Z685="C",INDEX(Contracts!$E$2:$E$151,$AB685)&amp;"",IF($Z685="A",INDEX(Fixed_Assets!$D$2:$D$201,$AB685)&amp;"",IF($Z685="F",INDEX(FTE_Allocation!$C$2:$C$201,$AB685)&amp;"","")))</f>
        <v/>
      </c>
      <c r="D685" s="7">
        <f>IF($Z685="C",INDEX(Contracts!$B$2:$B$151,$AB685)&amp;"",IF($Z685="A",INDEX(Fixed_Assets!$B$2:$B$201,$AB685)&amp;"",IF($Z685="F",INDEX(FTE_Allocation!$B$2:$B$201,$AB685)&amp;"","")))</f>
        <v/>
      </c>
      <c r="E685" s="7">
        <f>IF($Z685="C",INDEX(Contracts!$P$2:$P$151,$AB685)&amp;"",IF($Z685="A",INDEX(Fixed_Assets!$K$2:$K$201,$AB685)&amp;"",IF($Z685="F",IF(INDEX(FTE_Allocation!$D$2:$D$201,$AB685)="PROJECT",IFERROR(INDEX(Projects!$D:$D,MATCH(INDEX(FTE_Allocation!$E$2:$E$201,$AB685),Projects!$A:$A,0))&amp;"","#PROJECT?"),INDEX(FTE_Allocation!$E$2:$E$201,$AB685)&amp;""),"")))</f>
        <v/>
      </c>
      <c r="F685" s="7">
        <f>IF($Z685="C",INDEX(Contracts!$Q$2:$Q$151,$AB685)&amp;"",IF($Z685="A",INDEX(Fixed_Assets!$L$2:$L$201,$AB685)&amp;"",IF($Z685="F",INDEX(Workforce!$K$2:$K$151,MATCH(INDEX(FTE_Allocation!$A$2:$A$201,$AB685),Workforce!$A$2:$A$151,0))&amp;"","")))</f>
        <v/>
      </c>
      <c r="G685" s="7">
        <f>IF($Z685="C",INDEX(Contracts!$F$2:$F$151,$AB685)&amp;" / "&amp;INDEX(Contracts!$G$2:$G$151,$AB685),IF($Z685="A",INDEX(Fixed_Assets!$E$2:$E$201,$AB685)&amp;"",IF($Z685="F","Personnel "&amp;INDEX(FTE_Allocation!$A$2:$A$201,$AB685)&amp;IF(INDEX(FTE_Allocation!$D$2:$D$201,$AB685)="PROJECT"," ("&amp;INDEX(FTE_Allocation!$E$2:$E$201,$AB685)&amp;")",""),"")))</f>
        <v/>
      </c>
      <c r="H685" s="7">
        <f>IF($Z685="C","CONTRACT",IF($Z685="A","ASSET",IF($Z685="F","WORKFORCE","")))</f>
        <v/>
      </c>
      <c r="I685" s="7">
        <f>IF($Z685="C",INDEX(Contracts!$L$2:$L$151,$AB685)&amp;"",IF($Z685="A",INDEX(Fixed_Assets!$I$2:$I$201,$AB685)&amp;"",IF($Z685="F",INDEX(Workforce!$G$2:$G$151,MATCH(INDEX(FTE_Allocation!$A$2:$A$201,$AB685),Workforce!$A$2:$A$151,0))&amp;"","")))</f>
        <v/>
      </c>
      <c r="J685" s="18">
        <f>IF($Z685="","",IF(AND(DATE($AD685,1,1)&gt;=$AE685,DATE($AD685,1,1)&lt;=$AF685),ROUND($AG685,2),0))</f>
        <v/>
      </c>
      <c r="K685" s="18">
        <f>IF($Z685="","",IF(AND(DATE($AD685,2,1)&gt;=$AE685,DATE($AD685,2,1)&lt;=$AF685),ROUND($AG685,2),0))</f>
        <v/>
      </c>
      <c r="L685" s="18">
        <f>IF($Z685="","",IF(AND(DATE($AD685,3,1)&gt;=$AE685,DATE($AD685,3,1)&lt;=$AF685),ROUND($AG685,2),0))</f>
        <v/>
      </c>
      <c r="M685" s="18">
        <f>IF($Z685="","",IF(AND(DATE($AD685,4,1)&gt;=$AE685,DATE($AD685,4,1)&lt;=$AF685),ROUND($AG685,2),0))</f>
        <v/>
      </c>
      <c r="N685" s="18">
        <f>IF($Z685="","",IF(AND(DATE($AD685,5,1)&gt;=$AE685,DATE($AD685,5,1)&lt;=$AF685),ROUND($AG685,2),0))</f>
        <v/>
      </c>
      <c r="O685" s="18">
        <f>IF($Z685="","",IF(AND(DATE($AD685,6,1)&gt;=$AE685,DATE($AD685,6,1)&lt;=$AF685),ROUND($AG685,2),0))</f>
        <v/>
      </c>
      <c r="P685" s="18">
        <f>IF($Z685="","",IF(AND(DATE($AD685,7,1)&gt;=$AE685,DATE($AD685,7,1)&lt;=$AF685),ROUND($AG685,2),0))</f>
        <v/>
      </c>
      <c r="Q685" s="18">
        <f>IF($Z685="","",IF(AND(DATE($AD685,8,1)&gt;=$AE685,DATE($AD685,8,1)&lt;=$AF685),ROUND($AG685,2),0))</f>
        <v/>
      </c>
      <c r="R685" s="18">
        <f>IF($Z685="","",IF(AND(DATE($AD685,9,1)&gt;=$AE685,DATE($AD685,9,1)&lt;=$AF685),ROUND($AG685,2),0))</f>
        <v/>
      </c>
      <c r="S685" s="18">
        <f>IF($Z685="","",IF(AND(DATE($AD685,10,1)&gt;=$AE685,DATE($AD685,10,1)&lt;=$AF685),ROUND($AG685,2),0))</f>
        <v/>
      </c>
      <c r="T685" s="18">
        <f>IF($Z685="","",IF(AND(DATE($AD685,11,1)&gt;=$AE685,DATE($AD685,11,1)&lt;=$AF685),ROUND($AG685,2),0))</f>
        <v/>
      </c>
      <c r="U685" s="18">
        <f>IF($Z685="","",IF(AND(DATE($AD685,12,1)&gt;=$AE685,DATE($AD685,12,1)&lt;=$AF685),ROUND($AG685,2),0))</f>
        <v/>
      </c>
      <c r="V685" s="7">
        <f>IF($Z685="C","Generated from "&amp;INDEX(Contracts!$A$2:$A$151,$AB685),IF($Z685="A","Generated from "&amp;INDEX(Fixed_Assets!$A$2:$A$201,$AB685),IF($Z685="F","Generated from "&amp;INDEX(FTE_Allocation!$A$2:$A$201,$AB685),"")))</f>
        <v/>
      </c>
      <c r="X685" s="19">
        <f>IF($Z685="","",SUM(J685:U685))</f>
        <v/>
      </c>
      <c r="Y685" s="20">
        <f>ROW()-1</f>
        <v/>
      </c>
      <c r="Z685" s="20">
        <f>IF($Y685&lt;=Settings!$B$4*3,"C",IF($Y685&lt;=(Settings!$B$4+Settings!$B$5)*3,"A",IF($Y685&lt;=(Settings!$B$4+Settings!$B$5+Settings!$B$6)*3,"F","")))</f>
        <v/>
      </c>
      <c r="AA685" s="20">
        <f>IF($Z685="C",$Y685,IF($Z685="A",$Y685-Settings!$B$4*3,IF($Z685="F",$Y685-(Settings!$B$4+Settings!$B$5)*3,"")))</f>
        <v/>
      </c>
      <c r="AB685" s="20">
        <f>IF($Z685="","",INT(($AA685-1)/3)+1)</f>
        <v/>
      </c>
      <c r="AC685" s="20">
        <f>IF($Z685="","",MOD($AA685-1,3)+1)</f>
        <v/>
      </c>
      <c r="AD685" s="20">
        <f>IF($Z685="","",Settings!$B$2+$AC685-1)</f>
        <v/>
      </c>
      <c r="AE685" s="21">
        <f>IF($Z685="C",DATE(YEAR(INDEX(Contracts!$J$2:$J$151,$AB685)),MONTH(INDEX(Contracts!$J$2:$J$151,$AB685)),1),IF($Z685="A",DATE(YEAR(INDEX(Fixed_Assets!$G$2:$G$201,$AB685)),MONTH(INDEX(Fixed_Assets!$G$2:$G$201,$AB685)),1),IF($Z685="F",DATE(YEAR(MAX(N(INDEX(Workforce!$I$2:$I$151,MATCH(INDEX(FTE_Allocation!$A$2:$A$201,$AB685),Workforce!$A$2:$A$151,0))),N(INDEX(FTE_Allocation!$I$2:$I$201,$AB685)))),MONTH(MAX(N(INDEX(Workforce!$I$2:$I$151,MATCH(INDEX(FTE_Allocation!$A$2:$A$201,$AB685),Workforce!$A$2:$A$151,0))),N(INDEX(FTE_Allocation!$I$2:$I$201,$AB685)))),1),"")))</f>
        <v/>
      </c>
      <c r="AF685" s="21">
        <f>IF($Z685="C",IF(INDEX(Contracts!$I$2:$I$151,$AB685)="PREPAID",EDATE(DATE(YEAR(INDEX(Contracts!$J$2:$J$151,$AB685)),MONTH(INDEX(Contracts!$J$2:$J$151,$AB685)),1),IF(INDEX(Contracts!$N$2:$N$151,$AB685)="",12,INDEX(Contracts!$N$2:$N$151,$AB685))-1),IF(INDEX(Contracts!$I$2:$I$151,$AB685)="MONTHLY",IF(INDEX(Contracts!$K$2:$K$151,$AB685)="",2958101,INDEX(Contracts!$K$2:$K$151,$AB685)),0)),IF($Z685="A",EDATE(DATE(YEAR(INDEX(Fixed_Assets!$G$2:$G$201,$AB685)),MONTH(INDEX(Fixed_Assets!$G$2:$G$201,$AB685)),1),INDEX(Fixed_Assets!$J$2:$J$201,$AB685)-1),IF($Z685="F",MIN(IF(INDEX(Workforce!$J$2:$J$151,MATCH(INDEX(FTE_Allocation!$A$2:$A$201,$AB685),Workforce!$A$2:$A$151,0))="",2958101,INDEX(Workforce!$J$2:$J$151,MATCH(INDEX(FTE_Allocation!$A$2:$A$201,$AB685),Workforce!$A$2:$A$151,0))),IF(INDEX(FTE_Allocation!$J$2:$J$201,$AB685)="",2958101,INDEX(FTE_Allocation!$J$2:$J$201,$AB685))),"")))</f>
        <v/>
      </c>
      <c r="AG685" s="19">
        <f>IF($Z685="C",IF(INDEX(Contracts!$I$2:$I$151,$AB685)="PREPAID",INDEX(Contracts!$M$2:$M$151,$AB685)/IF(INDEX(Contracts!$N$2:$N$151,$AB685)="",12,INDEX(Contracts!$N$2:$N$151,$AB685)),IF(INDEX(Contracts!$I$2:$I$151,$AB685)="MONTHLY",INDEX(Contracts!$M$2:$M$151,$AB685),0))*(1-N(INDEX(Contracts!$O$2:$O$151,$AB685))),IF($Z685="A",INDEX(Fixed_Assets!$H$2:$H$201,$AB685)/INDEX(Fixed_Assets!$J$2:$J$201,$AB685),IF($Z685="F",INDEX(Workforce!$F$2:$F$151,MATCH(INDEX(FTE_Allocation!$A$2:$A$201,$AB685),Workforce!$A$2:$A$151,0))*N(INDEX(FTE_Allocation!$F$2:$H$201,$AB685,$AC685)),"")))</f>
        <v/>
      </c>
    </row>
    <row r="686">
      <c r="A686" s="7">
        <f>IF($Z686="","",$AD686)</f>
        <v/>
      </c>
      <c r="B686" s="7">
        <f>IF($Z686="C",INDEX(Contracts!$D$2:$D$151,$AB686)&amp;"",IF($Z686="A",INDEX(Fixed_Assets!$C$2:$C$201,$AB686)&amp;"",IF($Z686="F",INDEX(Workforce!$B$2:$B$151,MATCH(INDEX(FTE_Allocation!$A$2:$A$201,$AB686),Workforce!$A$2:$A$151,0))&amp;"","")))</f>
        <v/>
      </c>
      <c r="C686" s="7">
        <f>IF($Z686="C",INDEX(Contracts!$E$2:$E$151,$AB686)&amp;"",IF($Z686="A",INDEX(Fixed_Assets!$D$2:$D$201,$AB686)&amp;"",IF($Z686="F",INDEX(FTE_Allocation!$C$2:$C$201,$AB686)&amp;"","")))</f>
        <v/>
      </c>
      <c r="D686" s="7">
        <f>IF($Z686="C",INDEX(Contracts!$B$2:$B$151,$AB686)&amp;"",IF($Z686="A",INDEX(Fixed_Assets!$B$2:$B$201,$AB686)&amp;"",IF($Z686="F",INDEX(FTE_Allocation!$B$2:$B$201,$AB686)&amp;"","")))</f>
        <v/>
      </c>
      <c r="E686" s="7">
        <f>IF($Z686="C",INDEX(Contracts!$P$2:$P$151,$AB686)&amp;"",IF($Z686="A",INDEX(Fixed_Assets!$K$2:$K$201,$AB686)&amp;"",IF($Z686="F",IF(INDEX(FTE_Allocation!$D$2:$D$201,$AB686)="PROJECT",IFERROR(INDEX(Projects!$D:$D,MATCH(INDEX(FTE_Allocation!$E$2:$E$201,$AB686),Projects!$A:$A,0))&amp;"","#PROJECT?"),INDEX(FTE_Allocation!$E$2:$E$201,$AB686)&amp;""),"")))</f>
        <v/>
      </c>
      <c r="F686" s="7">
        <f>IF($Z686="C",INDEX(Contracts!$Q$2:$Q$151,$AB686)&amp;"",IF($Z686="A",INDEX(Fixed_Assets!$L$2:$L$201,$AB686)&amp;"",IF($Z686="F",INDEX(Workforce!$K$2:$K$151,MATCH(INDEX(FTE_Allocation!$A$2:$A$201,$AB686),Workforce!$A$2:$A$151,0))&amp;"","")))</f>
        <v/>
      </c>
      <c r="G686" s="7">
        <f>IF($Z686="C",INDEX(Contracts!$F$2:$F$151,$AB686)&amp;" / "&amp;INDEX(Contracts!$G$2:$G$151,$AB686),IF($Z686="A",INDEX(Fixed_Assets!$E$2:$E$201,$AB686)&amp;"",IF($Z686="F","Personnel "&amp;INDEX(FTE_Allocation!$A$2:$A$201,$AB686)&amp;IF(INDEX(FTE_Allocation!$D$2:$D$201,$AB686)="PROJECT"," ("&amp;INDEX(FTE_Allocation!$E$2:$E$201,$AB686)&amp;")",""),"")))</f>
        <v/>
      </c>
      <c r="H686" s="7">
        <f>IF($Z686="C","CONTRACT",IF($Z686="A","ASSET",IF($Z686="F","WORKFORCE","")))</f>
        <v/>
      </c>
      <c r="I686" s="7">
        <f>IF($Z686="C",INDEX(Contracts!$L$2:$L$151,$AB686)&amp;"",IF($Z686="A",INDEX(Fixed_Assets!$I$2:$I$201,$AB686)&amp;"",IF($Z686="F",INDEX(Workforce!$G$2:$G$151,MATCH(INDEX(FTE_Allocation!$A$2:$A$201,$AB686),Workforce!$A$2:$A$151,0))&amp;"","")))</f>
        <v/>
      </c>
      <c r="J686" s="18">
        <f>IF($Z686="","",IF(AND(DATE($AD686,1,1)&gt;=$AE686,DATE($AD686,1,1)&lt;=$AF686),ROUND($AG686,2),0))</f>
        <v/>
      </c>
      <c r="K686" s="18">
        <f>IF($Z686="","",IF(AND(DATE($AD686,2,1)&gt;=$AE686,DATE($AD686,2,1)&lt;=$AF686),ROUND($AG686,2),0))</f>
        <v/>
      </c>
      <c r="L686" s="18">
        <f>IF($Z686="","",IF(AND(DATE($AD686,3,1)&gt;=$AE686,DATE($AD686,3,1)&lt;=$AF686),ROUND($AG686,2),0))</f>
        <v/>
      </c>
      <c r="M686" s="18">
        <f>IF($Z686="","",IF(AND(DATE($AD686,4,1)&gt;=$AE686,DATE($AD686,4,1)&lt;=$AF686),ROUND($AG686,2),0))</f>
        <v/>
      </c>
      <c r="N686" s="18">
        <f>IF($Z686="","",IF(AND(DATE($AD686,5,1)&gt;=$AE686,DATE($AD686,5,1)&lt;=$AF686),ROUND($AG686,2),0))</f>
        <v/>
      </c>
      <c r="O686" s="18">
        <f>IF($Z686="","",IF(AND(DATE($AD686,6,1)&gt;=$AE686,DATE($AD686,6,1)&lt;=$AF686),ROUND($AG686,2),0))</f>
        <v/>
      </c>
      <c r="P686" s="18">
        <f>IF($Z686="","",IF(AND(DATE($AD686,7,1)&gt;=$AE686,DATE($AD686,7,1)&lt;=$AF686),ROUND($AG686,2),0))</f>
        <v/>
      </c>
      <c r="Q686" s="18">
        <f>IF($Z686="","",IF(AND(DATE($AD686,8,1)&gt;=$AE686,DATE($AD686,8,1)&lt;=$AF686),ROUND($AG686,2),0))</f>
        <v/>
      </c>
      <c r="R686" s="18">
        <f>IF($Z686="","",IF(AND(DATE($AD686,9,1)&gt;=$AE686,DATE($AD686,9,1)&lt;=$AF686),ROUND($AG686,2),0))</f>
        <v/>
      </c>
      <c r="S686" s="18">
        <f>IF($Z686="","",IF(AND(DATE($AD686,10,1)&gt;=$AE686,DATE($AD686,10,1)&lt;=$AF686),ROUND($AG686,2),0))</f>
        <v/>
      </c>
      <c r="T686" s="18">
        <f>IF($Z686="","",IF(AND(DATE($AD686,11,1)&gt;=$AE686,DATE($AD686,11,1)&lt;=$AF686),ROUND($AG686,2),0))</f>
        <v/>
      </c>
      <c r="U686" s="18">
        <f>IF($Z686="","",IF(AND(DATE($AD686,12,1)&gt;=$AE686,DATE($AD686,12,1)&lt;=$AF686),ROUND($AG686,2),0))</f>
        <v/>
      </c>
      <c r="V686" s="7">
        <f>IF($Z686="C","Generated from "&amp;INDEX(Contracts!$A$2:$A$151,$AB686),IF($Z686="A","Generated from "&amp;INDEX(Fixed_Assets!$A$2:$A$201,$AB686),IF($Z686="F","Generated from "&amp;INDEX(FTE_Allocation!$A$2:$A$201,$AB686),"")))</f>
        <v/>
      </c>
      <c r="X686" s="19">
        <f>IF($Z686="","",SUM(J686:U686))</f>
        <v/>
      </c>
      <c r="Y686" s="20">
        <f>ROW()-1</f>
        <v/>
      </c>
      <c r="Z686" s="20">
        <f>IF($Y686&lt;=Settings!$B$4*3,"C",IF($Y686&lt;=(Settings!$B$4+Settings!$B$5)*3,"A",IF($Y686&lt;=(Settings!$B$4+Settings!$B$5+Settings!$B$6)*3,"F","")))</f>
        <v/>
      </c>
      <c r="AA686" s="20">
        <f>IF($Z686="C",$Y686,IF($Z686="A",$Y686-Settings!$B$4*3,IF($Z686="F",$Y686-(Settings!$B$4+Settings!$B$5)*3,"")))</f>
        <v/>
      </c>
      <c r="AB686" s="20">
        <f>IF($Z686="","",INT(($AA686-1)/3)+1)</f>
        <v/>
      </c>
      <c r="AC686" s="20">
        <f>IF($Z686="","",MOD($AA686-1,3)+1)</f>
        <v/>
      </c>
      <c r="AD686" s="20">
        <f>IF($Z686="","",Settings!$B$2+$AC686-1)</f>
        <v/>
      </c>
      <c r="AE686" s="21">
        <f>IF($Z686="C",DATE(YEAR(INDEX(Contracts!$J$2:$J$151,$AB686)),MONTH(INDEX(Contracts!$J$2:$J$151,$AB686)),1),IF($Z686="A",DATE(YEAR(INDEX(Fixed_Assets!$G$2:$G$201,$AB686)),MONTH(INDEX(Fixed_Assets!$G$2:$G$201,$AB686)),1),IF($Z686="F",DATE(YEAR(MAX(N(INDEX(Workforce!$I$2:$I$151,MATCH(INDEX(FTE_Allocation!$A$2:$A$201,$AB686),Workforce!$A$2:$A$151,0))),N(INDEX(FTE_Allocation!$I$2:$I$201,$AB686)))),MONTH(MAX(N(INDEX(Workforce!$I$2:$I$151,MATCH(INDEX(FTE_Allocation!$A$2:$A$201,$AB686),Workforce!$A$2:$A$151,0))),N(INDEX(FTE_Allocation!$I$2:$I$201,$AB686)))),1),"")))</f>
        <v/>
      </c>
      <c r="AF686" s="21">
        <f>IF($Z686="C",IF(INDEX(Contracts!$I$2:$I$151,$AB686)="PREPAID",EDATE(DATE(YEAR(INDEX(Contracts!$J$2:$J$151,$AB686)),MONTH(INDEX(Contracts!$J$2:$J$151,$AB686)),1),IF(INDEX(Contracts!$N$2:$N$151,$AB686)="",12,INDEX(Contracts!$N$2:$N$151,$AB686))-1),IF(INDEX(Contracts!$I$2:$I$151,$AB686)="MONTHLY",IF(INDEX(Contracts!$K$2:$K$151,$AB686)="",2958101,INDEX(Contracts!$K$2:$K$151,$AB686)),0)),IF($Z686="A",EDATE(DATE(YEAR(INDEX(Fixed_Assets!$G$2:$G$201,$AB686)),MONTH(INDEX(Fixed_Assets!$G$2:$G$201,$AB686)),1),INDEX(Fixed_Assets!$J$2:$J$201,$AB686)-1),IF($Z686="F",MIN(IF(INDEX(Workforce!$J$2:$J$151,MATCH(INDEX(FTE_Allocation!$A$2:$A$201,$AB686),Workforce!$A$2:$A$151,0))="",2958101,INDEX(Workforce!$J$2:$J$151,MATCH(INDEX(FTE_Allocation!$A$2:$A$201,$AB686),Workforce!$A$2:$A$151,0))),IF(INDEX(FTE_Allocation!$J$2:$J$201,$AB686)="",2958101,INDEX(FTE_Allocation!$J$2:$J$201,$AB686))),"")))</f>
        <v/>
      </c>
      <c r="AG686" s="19">
        <f>IF($Z686="C",IF(INDEX(Contracts!$I$2:$I$151,$AB686)="PREPAID",INDEX(Contracts!$M$2:$M$151,$AB686)/IF(INDEX(Contracts!$N$2:$N$151,$AB686)="",12,INDEX(Contracts!$N$2:$N$151,$AB686)),IF(INDEX(Contracts!$I$2:$I$151,$AB686)="MONTHLY",INDEX(Contracts!$M$2:$M$151,$AB686),0))*(1-N(INDEX(Contracts!$O$2:$O$151,$AB686))),IF($Z686="A",INDEX(Fixed_Assets!$H$2:$H$201,$AB686)/INDEX(Fixed_Assets!$J$2:$J$201,$AB686),IF($Z686="F",INDEX(Workforce!$F$2:$F$151,MATCH(INDEX(FTE_Allocation!$A$2:$A$201,$AB686),Workforce!$A$2:$A$151,0))*N(INDEX(FTE_Allocation!$F$2:$H$201,$AB686,$AC686)),"")))</f>
        <v/>
      </c>
    </row>
    <row r="687">
      <c r="A687" s="7">
        <f>IF($Z687="","",$AD687)</f>
        <v/>
      </c>
      <c r="B687" s="7">
        <f>IF($Z687="C",INDEX(Contracts!$D$2:$D$151,$AB687)&amp;"",IF($Z687="A",INDEX(Fixed_Assets!$C$2:$C$201,$AB687)&amp;"",IF($Z687="F",INDEX(Workforce!$B$2:$B$151,MATCH(INDEX(FTE_Allocation!$A$2:$A$201,$AB687),Workforce!$A$2:$A$151,0))&amp;"","")))</f>
        <v/>
      </c>
      <c r="C687" s="7">
        <f>IF($Z687="C",INDEX(Contracts!$E$2:$E$151,$AB687)&amp;"",IF($Z687="A",INDEX(Fixed_Assets!$D$2:$D$201,$AB687)&amp;"",IF($Z687="F",INDEX(FTE_Allocation!$C$2:$C$201,$AB687)&amp;"","")))</f>
        <v/>
      </c>
      <c r="D687" s="7">
        <f>IF($Z687="C",INDEX(Contracts!$B$2:$B$151,$AB687)&amp;"",IF($Z687="A",INDEX(Fixed_Assets!$B$2:$B$201,$AB687)&amp;"",IF($Z687="F",INDEX(FTE_Allocation!$B$2:$B$201,$AB687)&amp;"","")))</f>
        <v/>
      </c>
      <c r="E687" s="7">
        <f>IF($Z687="C",INDEX(Contracts!$P$2:$P$151,$AB687)&amp;"",IF($Z687="A",INDEX(Fixed_Assets!$K$2:$K$201,$AB687)&amp;"",IF($Z687="F",IF(INDEX(FTE_Allocation!$D$2:$D$201,$AB687)="PROJECT",IFERROR(INDEX(Projects!$D:$D,MATCH(INDEX(FTE_Allocation!$E$2:$E$201,$AB687),Projects!$A:$A,0))&amp;"","#PROJECT?"),INDEX(FTE_Allocation!$E$2:$E$201,$AB687)&amp;""),"")))</f>
        <v/>
      </c>
      <c r="F687" s="7">
        <f>IF($Z687="C",INDEX(Contracts!$Q$2:$Q$151,$AB687)&amp;"",IF($Z687="A",INDEX(Fixed_Assets!$L$2:$L$201,$AB687)&amp;"",IF($Z687="F",INDEX(Workforce!$K$2:$K$151,MATCH(INDEX(FTE_Allocation!$A$2:$A$201,$AB687),Workforce!$A$2:$A$151,0))&amp;"","")))</f>
        <v/>
      </c>
      <c r="G687" s="7">
        <f>IF($Z687="C",INDEX(Contracts!$F$2:$F$151,$AB687)&amp;" / "&amp;INDEX(Contracts!$G$2:$G$151,$AB687),IF($Z687="A",INDEX(Fixed_Assets!$E$2:$E$201,$AB687)&amp;"",IF($Z687="F","Personnel "&amp;INDEX(FTE_Allocation!$A$2:$A$201,$AB687)&amp;IF(INDEX(FTE_Allocation!$D$2:$D$201,$AB687)="PROJECT"," ("&amp;INDEX(FTE_Allocation!$E$2:$E$201,$AB687)&amp;")",""),"")))</f>
        <v/>
      </c>
      <c r="H687" s="7">
        <f>IF($Z687="C","CONTRACT",IF($Z687="A","ASSET",IF($Z687="F","WORKFORCE","")))</f>
        <v/>
      </c>
      <c r="I687" s="7">
        <f>IF($Z687="C",INDEX(Contracts!$L$2:$L$151,$AB687)&amp;"",IF($Z687="A",INDEX(Fixed_Assets!$I$2:$I$201,$AB687)&amp;"",IF($Z687="F",INDEX(Workforce!$G$2:$G$151,MATCH(INDEX(FTE_Allocation!$A$2:$A$201,$AB687),Workforce!$A$2:$A$151,0))&amp;"","")))</f>
        <v/>
      </c>
      <c r="J687" s="18">
        <f>IF($Z687="","",IF(AND(DATE($AD687,1,1)&gt;=$AE687,DATE($AD687,1,1)&lt;=$AF687),ROUND($AG687,2),0))</f>
        <v/>
      </c>
      <c r="K687" s="18">
        <f>IF($Z687="","",IF(AND(DATE($AD687,2,1)&gt;=$AE687,DATE($AD687,2,1)&lt;=$AF687),ROUND($AG687,2),0))</f>
        <v/>
      </c>
      <c r="L687" s="18">
        <f>IF($Z687="","",IF(AND(DATE($AD687,3,1)&gt;=$AE687,DATE($AD687,3,1)&lt;=$AF687),ROUND($AG687,2),0))</f>
        <v/>
      </c>
      <c r="M687" s="18">
        <f>IF($Z687="","",IF(AND(DATE($AD687,4,1)&gt;=$AE687,DATE($AD687,4,1)&lt;=$AF687),ROUND($AG687,2),0))</f>
        <v/>
      </c>
      <c r="N687" s="18">
        <f>IF($Z687="","",IF(AND(DATE($AD687,5,1)&gt;=$AE687,DATE($AD687,5,1)&lt;=$AF687),ROUND($AG687,2),0))</f>
        <v/>
      </c>
      <c r="O687" s="18">
        <f>IF($Z687="","",IF(AND(DATE($AD687,6,1)&gt;=$AE687,DATE($AD687,6,1)&lt;=$AF687),ROUND($AG687,2),0))</f>
        <v/>
      </c>
      <c r="P687" s="18">
        <f>IF($Z687="","",IF(AND(DATE($AD687,7,1)&gt;=$AE687,DATE($AD687,7,1)&lt;=$AF687),ROUND($AG687,2),0))</f>
        <v/>
      </c>
      <c r="Q687" s="18">
        <f>IF($Z687="","",IF(AND(DATE($AD687,8,1)&gt;=$AE687,DATE($AD687,8,1)&lt;=$AF687),ROUND($AG687,2),0))</f>
        <v/>
      </c>
      <c r="R687" s="18">
        <f>IF($Z687="","",IF(AND(DATE($AD687,9,1)&gt;=$AE687,DATE($AD687,9,1)&lt;=$AF687),ROUND($AG687,2),0))</f>
        <v/>
      </c>
      <c r="S687" s="18">
        <f>IF($Z687="","",IF(AND(DATE($AD687,10,1)&gt;=$AE687,DATE($AD687,10,1)&lt;=$AF687),ROUND($AG687,2),0))</f>
        <v/>
      </c>
      <c r="T687" s="18">
        <f>IF($Z687="","",IF(AND(DATE($AD687,11,1)&gt;=$AE687,DATE($AD687,11,1)&lt;=$AF687),ROUND($AG687,2),0))</f>
        <v/>
      </c>
      <c r="U687" s="18">
        <f>IF($Z687="","",IF(AND(DATE($AD687,12,1)&gt;=$AE687,DATE($AD687,12,1)&lt;=$AF687),ROUND($AG687,2),0))</f>
        <v/>
      </c>
      <c r="V687" s="7">
        <f>IF($Z687="C","Generated from "&amp;INDEX(Contracts!$A$2:$A$151,$AB687),IF($Z687="A","Generated from "&amp;INDEX(Fixed_Assets!$A$2:$A$201,$AB687),IF($Z687="F","Generated from "&amp;INDEX(FTE_Allocation!$A$2:$A$201,$AB687),"")))</f>
        <v/>
      </c>
      <c r="X687" s="19">
        <f>IF($Z687="","",SUM(J687:U687))</f>
        <v/>
      </c>
      <c r="Y687" s="20">
        <f>ROW()-1</f>
        <v/>
      </c>
      <c r="Z687" s="20">
        <f>IF($Y687&lt;=Settings!$B$4*3,"C",IF($Y687&lt;=(Settings!$B$4+Settings!$B$5)*3,"A",IF($Y687&lt;=(Settings!$B$4+Settings!$B$5+Settings!$B$6)*3,"F","")))</f>
        <v/>
      </c>
      <c r="AA687" s="20">
        <f>IF($Z687="C",$Y687,IF($Z687="A",$Y687-Settings!$B$4*3,IF($Z687="F",$Y687-(Settings!$B$4+Settings!$B$5)*3,"")))</f>
        <v/>
      </c>
      <c r="AB687" s="20">
        <f>IF($Z687="","",INT(($AA687-1)/3)+1)</f>
        <v/>
      </c>
      <c r="AC687" s="20">
        <f>IF($Z687="","",MOD($AA687-1,3)+1)</f>
        <v/>
      </c>
      <c r="AD687" s="20">
        <f>IF($Z687="","",Settings!$B$2+$AC687-1)</f>
        <v/>
      </c>
      <c r="AE687" s="21">
        <f>IF($Z687="C",DATE(YEAR(INDEX(Contracts!$J$2:$J$151,$AB687)),MONTH(INDEX(Contracts!$J$2:$J$151,$AB687)),1),IF($Z687="A",DATE(YEAR(INDEX(Fixed_Assets!$G$2:$G$201,$AB687)),MONTH(INDEX(Fixed_Assets!$G$2:$G$201,$AB687)),1),IF($Z687="F",DATE(YEAR(MAX(N(INDEX(Workforce!$I$2:$I$151,MATCH(INDEX(FTE_Allocation!$A$2:$A$201,$AB687),Workforce!$A$2:$A$151,0))),N(INDEX(FTE_Allocation!$I$2:$I$201,$AB687)))),MONTH(MAX(N(INDEX(Workforce!$I$2:$I$151,MATCH(INDEX(FTE_Allocation!$A$2:$A$201,$AB687),Workforce!$A$2:$A$151,0))),N(INDEX(FTE_Allocation!$I$2:$I$201,$AB687)))),1),"")))</f>
        <v/>
      </c>
      <c r="AF687" s="21">
        <f>IF($Z687="C",IF(INDEX(Contracts!$I$2:$I$151,$AB687)="PREPAID",EDATE(DATE(YEAR(INDEX(Contracts!$J$2:$J$151,$AB687)),MONTH(INDEX(Contracts!$J$2:$J$151,$AB687)),1),IF(INDEX(Contracts!$N$2:$N$151,$AB687)="",12,INDEX(Contracts!$N$2:$N$151,$AB687))-1),IF(INDEX(Contracts!$I$2:$I$151,$AB687)="MONTHLY",IF(INDEX(Contracts!$K$2:$K$151,$AB687)="",2958101,INDEX(Contracts!$K$2:$K$151,$AB687)),0)),IF($Z687="A",EDATE(DATE(YEAR(INDEX(Fixed_Assets!$G$2:$G$201,$AB687)),MONTH(INDEX(Fixed_Assets!$G$2:$G$201,$AB687)),1),INDEX(Fixed_Assets!$J$2:$J$201,$AB687)-1),IF($Z687="F",MIN(IF(INDEX(Workforce!$J$2:$J$151,MATCH(INDEX(FTE_Allocation!$A$2:$A$201,$AB687),Workforce!$A$2:$A$151,0))="",2958101,INDEX(Workforce!$J$2:$J$151,MATCH(INDEX(FTE_Allocation!$A$2:$A$201,$AB687),Workforce!$A$2:$A$151,0))),IF(INDEX(FTE_Allocation!$J$2:$J$201,$AB687)="",2958101,INDEX(FTE_Allocation!$J$2:$J$201,$AB687))),"")))</f>
        <v/>
      </c>
      <c r="AG687" s="19">
        <f>IF($Z687="C",IF(INDEX(Contracts!$I$2:$I$151,$AB687)="PREPAID",INDEX(Contracts!$M$2:$M$151,$AB687)/IF(INDEX(Contracts!$N$2:$N$151,$AB687)="",12,INDEX(Contracts!$N$2:$N$151,$AB687)),IF(INDEX(Contracts!$I$2:$I$151,$AB687)="MONTHLY",INDEX(Contracts!$M$2:$M$151,$AB687),0))*(1-N(INDEX(Contracts!$O$2:$O$151,$AB687))),IF($Z687="A",INDEX(Fixed_Assets!$H$2:$H$201,$AB687)/INDEX(Fixed_Assets!$J$2:$J$201,$AB687),IF($Z687="F",INDEX(Workforce!$F$2:$F$151,MATCH(INDEX(FTE_Allocation!$A$2:$A$201,$AB687),Workforce!$A$2:$A$151,0))*N(INDEX(FTE_Allocation!$F$2:$H$201,$AB687,$AC687)),"")))</f>
        <v/>
      </c>
    </row>
    <row r="688">
      <c r="A688" s="7">
        <f>IF($Z688="","",$AD688)</f>
        <v/>
      </c>
      <c r="B688" s="7">
        <f>IF($Z688="C",INDEX(Contracts!$D$2:$D$151,$AB688)&amp;"",IF($Z688="A",INDEX(Fixed_Assets!$C$2:$C$201,$AB688)&amp;"",IF($Z688="F",INDEX(Workforce!$B$2:$B$151,MATCH(INDEX(FTE_Allocation!$A$2:$A$201,$AB688),Workforce!$A$2:$A$151,0))&amp;"","")))</f>
        <v/>
      </c>
      <c r="C688" s="7">
        <f>IF($Z688="C",INDEX(Contracts!$E$2:$E$151,$AB688)&amp;"",IF($Z688="A",INDEX(Fixed_Assets!$D$2:$D$201,$AB688)&amp;"",IF($Z688="F",INDEX(FTE_Allocation!$C$2:$C$201,$AB688)&amp;"","")))</f>
        <v/>
      </c>
      <c r="D688" s="7">
        <f>IF($Z688="C",INDEX(Contracts!$B$2:$B$151,$AB688)&amp;"",IF($Z688="A",INDEX(Fixed_Assets!$B$2:$B$201,$AB688)&amp;"",IF($Z688="F",INDEX(FTE_Allocation!$B$2:$B$201,$AB688)&amp;"","")))</f>
        <v/>
      </c>
      <c r="E688" s="7">
        <f>IF($Z688="C",INDEX(Contracts!$P$2:$P$151,$AB688)&amp;"",IF($Z688="A",INDEX(Fixed_Assets!$K$2:$K$201,$AB688)&amp;"",IF($Z688="F",IF(INDEX(FTE_Allocation!$D$2:$D$201,$AB688)="PROJECT",IFERROR(INDEX(Projects!$D:$D,MATCH(INDEX(FTE_Allocation!$E$2:$E$201,$AB688),Projects!$A:$A,0))&amp;"","#PROJECT?"),INDEX(FTE_Allocation!$E$2:$E$201,$AB688)&amp;""),"")))</f>
        <v/>
      </c>
      <c r="F688" s="7">
        <f>IF($Z688="C",INDEX(Contracts!$Q$2:$Q$151,$AB688)&amp;"",IF($Z688="A",INDEX(Fixed_Assets!$L$2:$L$201,$AB688)&amp;"",IF($Z688="F",INDEX(Workforce!$K$2:$K$151,MATCH(INDEX(FTE_Allocation!$A$2:$A$201,$AB688),Workforce!$A$2:$A$151,0))&amp;"","")))</f>
        <v/>
      </c>
      <c r="G688" s="7">
        <f>IF($Z688="C",INDEX(Contracts!$F$2:$F$151,$AB688)&amp;" / "&amp;INDEX(Contracts!$G$2:$G$151,$AB688),IF($Z688="A",INDEX(Fixed_Assets!$E$2:$E$201,$AB688)&amp;"",IF($Z688="F","Personnel "&amp;INDEX(FTE_Allocation!$A$2:$A$201,$AB688)&amp;IF(INDEX(FTE_Allocation!$D$2:$D$201,$AB688)="PROJECT"," ("&amp;INDEX(FTE_Allocation!$E$2:$E$201,$AB688)&amp;")",""),"")))</f>
        <v/>
      </c>
      <c r="H688" s="7">
        <f>IF($Z688="C","CONTRACT",IF($Z688="A","ASSET",IF($Z688="F","WORKFORCE","")))</f>
        <v/>
      </c>
      <c r="I688" s="7">
        <f>IF($Z688="C",INDEX(Contracts!$L$2:$L$151,$AB688)&amp;"",IF($Z688="A",INDEX(Fixed_Assets!$I$2:$I$201,$AB688)&amp;"",IF($Z688="F",INDEX(Workforce!$G$2:$G$151,MATCH(INDEX(FTE_Allocation!$A$2:$A$201,$AB688),Workforce!$A$2:$A$151,0))&amp;"","")))</f>
        <v/>
      </c>
      <c r="J688" s="18">
        <f>IF($Z688="","",IF(AND(DATE($AD688,1,1)&gt;=$AE688,DATE($AD688,1,1)&lt;=$AF688),ROUND($AG688,2),0))</f>
        <v/>
      </c>
      <c r="K688" s="18">
        <f>IF($Z688="","",IF(AND(DATE($AD688,2,1)&gt;=$AE688,DATE($AD688,2,1)&lt;=$AF688),ROUND($AG688,2),0))</f>
        <v/>
      </c>
      <c r="L688" s="18">
        <f>IF($Z688="","",IF(AND(DATE($AD688,3,1)&gt;=$AE688,DATE($AD688,3,1)&lt;=$AF688),ROUND($AG688,2),0))</f>
        <v/>
      </c>
      <c r="M688" s="18">
        <f>IF($Z688="","",IF(AND(DATE($AD688,4,1)&gt;=$AE688,DATE($AD688,4,1)&lt;=$AF688),ROUND($AG688,2),0))</f>
        <v/>
      </c>
      <c r="N688" s="18">
        <f>IF($Z688="","",IF(AND(DATE($AD688,5,1)&gt;=$AE688,DATE($AD688,5,1)&lt;=$AF688),ROUND($AG688,2),0))</f>
        <v/>
      </c>
      <c r="O688" s="18">
        <f>IF($Z688="","",IF(AND(DATE($AD688,6,1)&gt;=$AE688,DATE($AD688,6,1)&lt;=$AF688),ROUND($AG688,2),0))</f>
        <v/>
      </c>
      <c r="P688" s="18">
        <f>IF($Z688="","",IF(AND(DATE($AD688,7,1)&gt;=$AE688,DATE($AD688,7,1)&lt;=$AF688),ROUND($AG688,2),0))</f>
        <v/>
      </c>
      <c r="Q688" s="18">
        <f>IF($Z688="","",IF(AND(DATE($AD688,8,1)&gt;=$AE688,DATE($AD688,8,1)&lt;=$AF688),ROUND($AG688,2),0))</f>
        <v/>
      </c>
      <c r="R688" s="18">
        <f>IF($Z688="","",IF(AND(DATE($AD688,9,1)&gt;=$AE688,DATE($AD688,9,1)&lt;=$AF688),ROUND($AG688,2),0))</f>
        <v/>
      </c>
      <c r="S688" s="18">
        <f>IF($Z688="","",IF(AND(DATE($AD688,10,1)&gt;=$AE688,DATE($AD688,10,1)&lt;=$AF688),ROUND($AG688,2),0))</f>
        <v/>
      </c>
      <c r="T688" s="18">
        <f>IF($Z688="","",IF(AND(DATE($AD688,11,1)&gt;=$AE688,DATE($AD688,11,1)&lt;=$AF688),ROUND($AG688,2),0))</f>
        <v/>
      </c>
      <c r="U688" s="18">
        <f>IF($Z688="","",IF(AND(DATE($AD688,12,1)&gt;=$AE688,DATE($AD688,12,1)&lt;=$AF688),ROUND($AG688,2),0))</f>
        <v/>
      </c>
      <c r="V688" s="7">
        <f>IF($Z688="C","Generated from "&amp;INDEX(Contracts!$A$2:$A$151,$AB688),IF($Z688="A","Generated from "&amp;INDEX(Fixed_Assets!$A$2:$A$201,$AB688),IF($Z688="F","Generated from "&amp;INDEX(FTE_Allocation!$A$2:$A$201,$AB688),"")))</f>
        <v/>
      </c>
      <c r="X688" s="19">
        <f>IF($Z688="","",SUM(J688:U688))</f>
        <v/>
      </c>
      <c r="Y688" s="20">
        <f>ROW()-1</f>
        <v/>
      </c>
      <c r="Z688" s="20">
        <f>IF($Y688&lt;=Settings!$B$4*3,"C",IF($Y688&lt;=(Settings!$B$4+Settings!$B$5)*3,"A",IF($Y688&lt;=(Settings!$B$4+Settings!$B$5+Settings!$B$6)*3,"F","")))</f>
        <v/>
      </c>
      <c r="AA688" s="20">
        <f>IF($Z688="C",$Y688,IF($Z688="A",$Y688-Settings!$B$4*3,IF($Z688="F",$Y688-(Settings!$B$4+Settings!$B$5)*3,"")))</f>
        <v/>
      </c>
      <c r="AB688" s="20">
        <f>IF($Z688="","",INT(($AA688-1)/3)+1)</f>
        <v/>
      </c>
      <c r="AC688" s="20">
        <f>IF($Z688="","",MOD($AA688-1,3)+1)</f>
        <v/>
      </c>
      <c r="AD688" s="20">
        <f>IF($Z688="","",Settings!$B$2+$AC688-1)</f>
        <v/>
      </c>
      <c r="AE688" s="21">
        <f>IF($Z688="C",DATE(YEAR(INDEX(Contracts!$J$2:$J$151,$AB688)),MONTH(INDEX(Contracts!$J$2:$J$151,$AB688)),1),IF($Z688="A",DATE(YEAR(INDEX(Fixed_Assets!$G$2:$G$201,$AB688)),MONTH(INDEX(Fixed_Assets!$G$2:$G$201,$AB688)),1),IF($Z688="F",DATE(YEAR(MAX(N(INDEX(Workforce!$I$2:$I$151,MATCH(INDEX(FTE_Allocation!$A$2:$A$201,$AB688),Workforce!$A$2:$A$151,0))),N(INDEX(FTE_Allocation!$I$2:$I$201,$AB688)))),MONTH(MAX(N(INDEX(Workforce!$I$2:$I$151,MATCH(INDEX(FTE_Allocation!$A$2:$A$201,$AB688),Workforce!$A$2:$A$151,0))),N(INDEX(FTE_Allocation!$I$2:$I$201,$AB688)))),1),"")))</f>
        <v/>
      </c>
      <c r="AF688" s="21">
        <f>IF($Z688="C",IF(INDEX(Contracts!$I$2:$I$151,$AB688)="PREPAID",EDATE(DATE(YEAR(INDEX(Contracts!$J$2:$J$151,$AB688)),MONTH(INDEX(Contracts!$J$2:$J$151,$AB688)),1),IF(INDEX(Contracts!$N$2:$N$151,$AB688)="",12,INDEX(Contracts!$N$2:$N$151,$AB688))-1),IF(INDEX(Contracts!$I$2:$I$151,$AB688)="MONTHLY",IF(INDEX(Contracts!$K$2:$K$151,$AB688)="",2958101,INDEX(Contracts!$K$2:$K$151,$AB688)),0)),IF($Z688="A",EDATE(DATE(YEAR(INDEX(Fixed_Assets!$G$2:$G$201,$AB688)),MONTH(INDEX(Fixed_Assets!$G$2:$G$201,$AB688)),1),INDEX(Fixed_Assets!$J$2:$J$201,$AB688)-1),IF($Z688="F",MIN(IF(INDEX(Workforce!$J$2:$J$151,MATCH(INDEX(FTE_Allocation!$A$2:$A$201,$AB688),Workforce!$A$2:$A$151,0))="",2958101,INDEX(Workforce!$J$2:$J$151,MATCH(INDEX(FTE_Allocation!$A$2:$A$201,$AB688),Workforce!$A$2:$A$151,0))),IF(INDEX(FTE_Allocation!$J$2:$J$201,$AB688)="",2958101,INDEX(FTE_Allocation!$J$2:$J$201,$AB688))),"")))</f>
        <v/>
      </c>
      <c r="AG688" s="19">
        <f>IF($Z688="C",IF(INDEX(Contracts!$I$2:$I$151,$AB688)="PREPAID",INDEX(Contracts!$M$2:$M$151,$AB688)/IF(INDEX(Contracts!$N$2:$N$151,$AB688)="",12,INDEX(Contracts!$N$2:$N$151,$AB688)),IF(INDEX(Contracts!$I$2:$I$151,$AB688)="MONTHLY",INDEX(Contracts!$M$2:$M$151,$AB688),0))*(1-N(INDEX(Contracts!$O$2:$O$151,$AB688))),IF($Z688="A",INDEX(Fixed_Assets!$H$2:$H$201,$AB688)/INDEX(Fixed_Assets!$J$2:$J$201,$AB688),IF($Z688="F",INDEX(Workforce!$F$2:$F$151,MATCH(INDEX(FTE_Allocation!$A$2:$A$201,$AB688),Workforce!$A$2:$A$151,0))*N(INDEX(FTE_Allocation!$F$2:$H$201,$AB688,$AC688)),"")))</f>
        <v/>
      </c>
    </row>
    <row r="689">
      <c r="A689" s="7">
        <f>IF($Z689="","",$AD689)</f>
        <v/>
      </c>
      <c r="B689" s="7">
        <f>IF($Z689="C",INDEX(Contracts!$D$2:$D$151,$AB689)&amp;"",IF($Z689="A",INDEX(Fixed_Assets!$C$2:$C$201,$AB689)&amp;"",IF($Z689="F",INDEX(Workforce!$B$2:$B$151,MATCH(INDEX(FTE_Allocation!$A$2:$A$201,$AB689),Workforce!$A$2:$A$151,0))&amp;"","")))</f>
        <v/>
      </c>
      <c r="C689" s="7">
        <f>IF($Z689="C",INDEX(Contracts!$E$2:$E$151,$AB689)&amp;"",IF($Z689="A",INDEX(Fixed_Assets!$D$2:$D$201,$AB689)&amp;"",IF($Z689="F",INDEX(FTE_Allocation!$C$2:$C$201,$AB689)&amp;"","")))</f>
        <v/>
      </c>
      <c r="D689" s="7">
        <f>IF($Z689="C",INDEX(Contracts!$B$2:$B$151,$AB689)&amp;"",IF($Z689="A",INDEX(Fixed_Assets!$B$2:$B$201,$AB689)&amp;"",IF($Z689="F",INDEX(FTE_Allocation!$B$2:$B$201,$AB689)&amp;"","")))</f>
        <v/>
      </c>
      <c r="E689" s="7">
        <f>IF($Z689="C",INDEX(Contracts!$P$2:$P$151,$AB689)&amp;"",IF($Z689="A",INDEX(Fixed_Assets!$K$2:$K$201,$AB689)&amp;"",IF($Z689="F",IF(INDEX(FTE_Allocation!$D$2:$D$201,$AB689)="PROJECT",IFERROR(INDEX(Projects!$D:$D,MATCH(INDEX(FTE_Allocation!$E$2:$E$201,$AB689),Projects!$A:$A,0))&amp;"","#PROJECT?"),INDEX(FTE_Allocation!$E$2:$E$201,$AB689)&amp;""),"")))</f>
        <v/>
      </c>
      <c r="F689" s="7">
        <f>IF($Z689="C",INDEX(Contracts!$Q$2:$Q$151,$AB689)&amp;"",IF($Z689="A",INDEX(Fixed_Assets!$L$2:$L$201,$AB689)&amp;"",IF($Z689="F",INDEX(Workforce!$K$2:$K$151,MATCH(INDEX(FTE_Allocation!$A$2:$A$201,$AB689),Workforce!$A$2:$A$151,0))&amp;"","")))</f>
        <v/>
      </c>
      <c r="G689" s="7">
        <f>IF($Z689="C",INDEX(Contracts!$F$2:$F$151,$AB689)&amp;" / "&amp;INDEX(Contracts!$G$2:$G$151,$AB689),IF($Z689="A",INDEX(Fixed_Assets!$E$2:$E$201,$AB689)&amp;"",IF($Z689="F","Personnel "&amp;INDEX(FTE_Allocation!$A$2:$A$201,$AB689)&amp;IF(INDEX(FTE_Allocation!$D$2:$D$201,$AB689)="PROJECT"," ("&amp;INDEX(FTE_Allocation!$E$2:$E$201,$AB689)&amp;")",""),"")))</f>
        <v/>
      </c>
      <c r="H689" s="7">
        <f>IF($Z689="C","CONTRACT",IF($Z689="A","ASSET",IF($Z689="F","WORKFORCE","")))</f>
        <v/>
      </c>
      <c r="I689" s="7">
        <f>IF($Z689="C",INDEX(Contracts!$L$2:$L$151,$AB689)&amp;"",IF($Z689="A",INDEX(Fixed_Assets!$I$2:$I$201,$AB689)&amp;"",IF($Z689="F",INDEX(Workforce!$G$2:$G$151,MATCH(INDEX(FTE_Allocation!$A$2:$A$201,$AB689),Workforce!$A$2:$A$151,0))&amp;"","")))</f>
        <v/>
      </c>
      <c r="J689" s="18">
        <f>IF($Z689="","",IF(AND(DATE($AD689,1,1)&gt;=$AE689,DATE($AD689,1,1)&lt;=$AF689),ROUND($AG689,2),0))</f>
        <v/>
      </c>
      <c r="K689" s="18">
        <f>IF($Z689="","",IF(AND(DATE($AD689,2,1)&gt;=$AE689,DATE($AD689,2,1)&lt;=$AF689),ROUND($AG689,2),0))</f>
        <v/>
      </c>
      <c r="L689" s="18">
        <f>IF($Z689="","",IF(AND(DATE($AD689,3,1)&gt;=$AE689,DATE($AD689,3,1)&lt;=$AF689),ROUND($AG689,2),0))</f>
        <v/>
      </c>
      <c r="M689" s="18">
        <f>IF($Z689="","",IF(AND(DATE($AD689,4,1)&gt;=$AE689,DATE($AD689,4,1)&lt;=$AF689),ROUND($AG689,2),0))</f>
        <v/>
      </c>
      <c r="N689" s="18">
        <f>IF($Z689="","",IF(AND(DATE($AD689,5,1)&gt;=$AE689,DATE($AD689,5,1)&lt;=$AF689),ROUND($AG689,2),0))</f>
        <v/>
      </c>
      <c r="O689" s="18">
        <f>IF($Z689="","",IF(AND(DATE($AD689,6,1)&gt;=$AE689,DATE($AD689,6,1)&lt;=$AF689),ROUND($AG689,2),0))</f>
        <v/>
      </c>
      <c r="P689" s="18">
        <f>IF($Z689="","",IF(AND(DATE($AD689,7,1)&gt;=$AE689,DATE($AD689,7,1)&lt;=$AF689),ROUND($AG689,2),0))</f>
        <v/>
      </c>
      <c r="Q689" s="18">
        <f>IF($Z689="","",IF(AND(DATE($AD689,8,1)&gt;=$AE689,DATE($AD689,8,1)&lt;=$AF689),ROUND($AG689,2),0))</f>
        <v/>
      </c>
      <c r="R689" s="18">
        <f>IF($Z689="","",IF(AND(DATE($AD689,9,1)&gt;=$AE689,DATE($AD689,9,1)&lt;=$AF689),ROUND($AG689,2),0))</f>
        <v/>
      </c>
      <c r="S689" s="18">
        <f>IF($Z689="","",IF(AND(DATE($AD689,10,1)&gt;=$AE689,DATE($AD689,10,1)&lt;=$AF689),ROUND($AG689,2),0))</f>
        <v/>
      </c>
      <c r="T689" s="18">
        <f>IF($Z689="","",IF(AND(DATE($AD689,11,1)&gt;=$AE689,DATE($AD689,11,1)&lt;=$AF689),ROUND($AG689,2),0))</f>
        <v/>
      </c>
      <c r="U689" s="18">
        <f>IF($Z689="","",IF(AND(DATE($AD689,12,1)&gt;=$AE689,DATE($AD689,12,1)&lt;=$AF689),ROUND($AG689,2),0))</f>
        <v/>
      </c>
      <c r="V689" s="7">
        <f>IF($Z689="C","Generated from "&amp;INDEX(Contracts!$A$2:$A$151,$AB689),IF($Z689="A","Generated from "&amp;INDEX(Fixed_Assets!$A$2:$A$201,$AB689),IF($Z689="F","Generated from "&amp;INDEX(FTE_Allocation!$A$2:$A$201,$AB689),"")))</f>
        <v/>
      </c>
      <c r="X689" s="19">
        <f>IF($Z689="","",SUM(J689:U689))</f>
        <v/>
      </c>
      <c r="Y689" s="20">
        <f>ROW()-1</f>
        <v/>
      </c>
      <c r="Z689" s="20">
        <f>IF($Y689&lt;=Settings!$B$4*3,"C",IF($Y689&lt;=(Settings!$B$4+Settings!$B$5)*3,"A",IF($Y689&lt;=(Settings!$B$4+Settings!$B$5+Settings!$B$6)*3,"F","")))</f>
        <v/>
      </c>
      <c r="AA689" s="20">
        <f>IF($Z689="C",$Y689,IF($Z689="A",$Y689-Settings!$B$4*3,IF($Z689="F",$Y689-(Settings!$B$4+Settings!$B$5)*3,"")))</f>
        <v/>
      </c>
      <c r="AB689" s="20">
        <f>IF($Z689="","",INT(($AA689-1)/3)+1)</f>
        <v/>
      </c>
      <c r="AC689" s="20">
        <f>IF($Z689="","",MOD($AA689-1,3)+1)</f>
        <v/>
      </c>
      <c r="AD689" s="20">
        <f>IF($Z689="","",Settings!$B$2+$AC689-1)</f>
        <v/>
      </c>
      <c r="AE689" s="21">
        <f>IF($Z689="C",DATE(YEAR(INDEX(Contracts!$J$2:$J$151,$AB689)),MONTH(INDEX(Contracts!$J$2:$J$151,$AB689)),1),IF($Z689="A",DATE(YEAR(INDEX(Fixed_Assets!$G$2:$G$201,$AB689)),MONTH(INDEX(Fixed_Assets!$G$2:$G$201,$AB689)),1),IF($Z689="F",DATE(YEAR(MAX(N(INDEX(Workforce!$I$2:$I$151,MATCH(INDEX(FTE_Allocation!$A$2:$A$201,$AB689),Workforce!$A$2:$A$151,0))),N(INDEX(FTE_Allocation!$I$2:$I$201,$AB689)))),MONTH(MAX(N(INDEX(Workforce!$I$2:$I$151,MATCH(INDEX(FTE_Allocation!$A$2:$A$201,$AB689),Workforce!$A$2:$A$151,0))),N(INDEX(FTE_Allocation!$I$2:$I$201,$AB689)))),1),"")))</f>
        <v/>
      </c>
      <c r="AF689" s="21">
        <f>IF($Z689="C",IF(INDEX(Contracts!$I$2:$I$151,$AB689)="PREPAID",EDATE(DATE(YEAR(INDEX(Contracts!$J$2:$J$151,$AB689)),MONTH(INDEX(Contracts!$J$2:$J$151,$AB689)),1),IF(INDEX(Contracts!$N$2:$N$151,$AB689)="",12,INDEX(Contracts!$N$2:$N$151,$AB689))-1),IF(INDEX(Contracts!$I$2:$I$151,$AB689)="MONTHLY",IF(INDEX(Contracts!$K$2:$K$151,$AB689)="",2958101,INDEX(Contracts!$K$2:$K$151,$AB689)),0)),IF($Z689="A",EDATE(DATE(YEAR(INDEX(Fixed_Assets!$G$2:$G$201,$AB689)),MONTH(INDEX(Fixed_Assets!$G$2:$G$201,$AB689)),1),INDEX(Fixed_Assets!$J$2:$J$201,$AB689)-1),IF($Z689="F",MIN(IF(INDEX(Workforce!$J$2:$J$151,MATCH(INDEX(FTE_Allocation!$A$2:$A$201,$AB689),Workforce!$A$2:$A$151,0))="",2958101,INDEX(Workforce!$J$2:$J$151,MATCH(INDEX(FTE_Allocation!$A$2:$A$201,$AB689),Workforce!$A$2:$A$151,0))),IF(INDEX(FTE_Allocation!$J$2:$J$201,$AB689)="",2958101,INDEX(FTE_Allocation!$J$2:$J$201,$AB689))),"")))</f>
        <v/>
      </c>
      <c r="AG689" s="19">
        <f>IF($Z689="C",IF(INDEX(Contracts!$I$2:$I$151,$AB689)="PREPAID",INDEX(Contracts!$M$2:$M$151,$AB689)/IF(INDEX(Contracts!$N$2:$N$151,$AB689)="",12,INDEX(Contracts!$N$2:$N$151,$AB689)),IF(INDEX(Contracts!$I$2:$I$151,$AB689)="MONTHLY",INDEX(Contracts!$M$2:$M$151,$AB689),0))*(1-N(INDEX(Contracts!$O$2:$O$151,$AB689))),IF($Z689="A",INDEX(Fixed_Assets!$H$2:$H$201,$AB689)/INDEX(Fixed_Assets!$J$2:$J$201,$AB689),IF($Z689="F",INDEX(Workforce!$F$2:$F$151,MATCH(INDEX(FTE_Allocation!$A$2:$A$201,$AB689),Workforce!$A$2:$A$151,0))*N(INDEX(FTE_Allocation!$F$2:$H$201,$AB689,$AC689)),"")))</f>
        <v/>
      </c>
    </row>
    <row r="690">
      <c r="A690" s="7">
        <f>IF($Z690="","",$AD690)</f>
        <v/>
      </c>
      <c r="B690" s="7">
        <f>IF($Z690="C",INDEX(Contracts!$D$2:$D$151,$AB690)&amp;"",IF($Z690="A",INDEX(Fixed_Assets!$C$2:$C$201,$AB690)&amp;"",IF($Z690="F",INDEX(Workforce!$B$2:$B$151,MATCH(INDEX(FTE_Allocation!$A$2:$A$201,$AB690),Workforce!$A$2:$A$151,0))&amp;"","")))</f>
        <v/>
      </c>
      <c r="C690" s="7">
        <f>IF($Z690="C",INDEX(Contracts!$E$2:$E$151,$AB690)&amp;"",IF($Z690="A",INDEX(Fixed_Assets!$D$2:$D$201,$AB690)&amp;"",IF($Z690="F",INDEX(FTE_Allocation!$C$2:$C$201,$AB690)&amp;"","")))</f>
        <v/>
      </c>
      <c r="D690" s="7">
        <f>IF($Z690="C",INDEX(Contracts!$B$2:$B$151,$AB690)&amp;"",IF($Z690="A",INDEX(Fixed_Assets!$B$2:$B$201,$AB690)&amp;"",IF($Z690="F",INDEX(FTE_Allocation!$B$2:$B$201,$AB690)&amp;"","")))</f>
        <v/>
      </c>
      <c r="E690" s="7">
        <f>IF($Z690="C",INDEX(Contracts!$P$2:$P$151,$AB690)&amp;"",IF($Z690="A",INDEX(Fixed_Assets!$K$2:$K$201,$AB690)&amp;"",IF($Z690="F",IF(INDEX(FTE_Allocation!$D$2:$D$201,$AB690)="PROJECT",IFERROR(INDEX(Projects!$D:$D,MATCH(INDEX(FTE_Allocation!$E$2:$E$201,$AB690),Projects!$A:$A,0))&amp;"","#PROJECT?"),INDEX(FTE_Allocation!$E$2:$E$201,$AB690)&amp;""),"")))</f>
        <v/>
      </c>
      <c r="F690" s="7">
        <f>IF($Z690="C",INDEX(Contracts!$Q$2:$Q$151,$AB690)&amp;"",IF($Z690="A",INDEX(Fixed_Assets!$L$2:$L$201,$AB690)&amp;"",IF($Z690="F",INDEX(Workforce!$K$2:$K$151,MATCH(INDEX(FTE_Allocation!$A$2:$A$201,$AB690),Workforce!$A$2:$A$151,0))&amp;"","")))</f>
        <v/>
      </c>
      <c r="G690" s="7">
        <f>IF($Z690="C",INDEX(Contracts!$F$2:$F$151,$AB690)&amp;" / "&amp;INDEX(Contracts!$G$2:$G$151,$AB690),IF($Z690="A",INDEX(Fixed_Assets!$E$2:$E$201,$AB690)&amp;"",IF($Z690="F","Personnel "&amp;INDEX(FTE_Allocation!$A$2:$A$201,$AB690)&amp;IF(INDEX(FTE_Allocation!$D$2:$D$201,$AB690)="PROJECT"," ("&amp;INDEX(FTE_Allocation!$E$2:$E$201,$AB690)&amp;")",""),"")))</f>
        <v/>
      </c>
      <c r="H690" s="7">
        <f>IF($Z690="C","CONTRACT",IF($Z690="A","ASSET",IF($Z690="F","WORKFORCE","")))</f>
        <v/>
      </c>
      <c r="I690" s="7">
        <f>IF($Z690="C",INDEX(Contracts!$L$2:$L$151,$AB690)&amp;"",IF($Z690="A",INDEX(Fixed_Assets!$I$2:$I$201,$AB690)&amp;"",IF($Z690="F",INDEX(Workforce!$G$2:$G$151,MATCH(INDEX(FTE_Allocation!$A$2:$A$201,$AB690),Workforce!$A$2:$A$151,0))&amp;"","")))</f>
        <v/>
      </c>
      <c r="J690" s="18">
        <f>IF($Z690="","",IF(AND(DATE($AD690,1,1)&gt;=$AE690,DATE($AD690,1,1)&lt;=$AF690),ROUND($AG690,2),0))</f>
        <v/>
      </c>
      <c r="K690" s="18">
        <f>IF($Z690="","",IF(AND(DATE($AD690,2,1)&gt;=$AE690,DATE($AD690,2,1)&lt;=$AF690),ROUND($AG690,2),0))</f>
        <v/>
      </c>
      <c r="L690" s="18">
        <f>IF($Z690="","",IF(AND(DATE($AD690,3,1)&gt;=$AE690,DATE($AD690,3,1)&lt;=$AF690),ROUND($AG690,2),0))</f>
        <v/>
      </c>
      <c r="M690" s="18">
        <f>IF($Z690="","",IF(AND(DATE($AD690,4,1)&gt;=$AE690,DATE($AD690,4,1)&lt;=$AF690),ROUND($AG690,2),0))</f>
        <v/>
      </c>
      <c r="N690" s="18">
        <f>IF($Z690="","",IF(AND(DATE($AD690,5,1)&gt;=$AE690,DATE($AD690,5,1)&lt;=$AF690),ROUND($AG690,2),0))</f>
        <v/>
      </c>
      <c r="O690" s="18">
        <f>IF($Z690="","",IF(AND(DATE($AD690,6,1)&gt;=$AE690,DATE($AD690,6,1)&lt;=$AF690),ROUND($AG690,2),0))</f>
        <v/>
      </c>
      <c r="P690" s="18">
        <f>IF($Z690="","",IF(AND(DATE($AD690,7,1)&gt;=$AE690,DATE($AD690,7,1)&lt;=$AF690),ROUND($AG690,2),0))</f>
        <v/>
      </c>
      <c r="Q690" s="18">
        <f>IF($Z690="","",IF(AND(DATE($AD690,8,1)&gt;=$AE690,DATE($AD690,8,1)&lt;=$AF690),ROUND($AG690,2),0))</f>
        <v/>
      </c>
      <c r="R690" s="18">
        <f>IF($Z690="","",IF(AND(DATE($AD690,9,1)&gt;=$AE690,DATE($AD690,9,1)&lt;=$AF690),ROUND($AG690,2),0))</f>
        <v/>
      </c>
      <c r="S690" s="18">
        <f>IF($Z690="","",IF(AND(DATE($AD690,10,1)&gt;=$AE690,DATE($AD690,10,1)&lt;=$AF690),ROUND($AG690,2),0))</f>
        <v/>
      </c>
      <c r="T690" s="18">
        <f>IF($Z690="","",IF(AND(DATE($AD690,11,1)&gt;=$AE690,DATE($AD690,11,1)&lt;=$AF690),ROUND($AG690,2),0))</f>
        <v/>
      </c>
      <c r="U690" s="18">
        <f>IF($Z690="","",IF(AND(DATE($AD690,12,1)&gt;=$AE690,DATE($AD690,12,1)&lt;=$AF690),ROUND($AG690,2),0))</f>
        <v/>
      </c>
      <c r="V690" s="7">
        <f>IF($Z690="C","Generated from "&amp;INDEX(Contracts!$A$2:$A$151,$AB690),IF($Z690="A","Generated from "&amp;INDEX(Fixed_Assets!$A$2:$A$201,$AB690),IF($Z690="F","Generated from "&amp;INDEX(FTE_Allocation!$A$2:$A$201,$AB690),"")))</f>
        <v/>
      </c>
      <c r="X690" s="19">
        <f>IF($Z690="","",SUM(J690:U690))</f>
        <v/>
      </c>
      <c r="Y690" s="20">
        <f>ROW()-1</f>
        <v/>
      </c>
      <c r="Z690" s="20">
        <f>IF($Y690&lt;=Settings!$B$4*3,"C",IF($Y690&lt;=(Settings!$B$4+Settings!$B$5)*3,"A",IF($Y690&lt;=(Settings!$B$4+Settings!$B$5+Settings!$B$6)*3,"F","")))</f>
        <v/>
      </c>
      <c r="AA690" s="20">
        <f>IF($Z690="C",$Y690,IF($Z690="A",$Y690-Settings!$B$4*3,IF($Z690="F",$Y690-(Settings!$B$4+Settings!$B$5)*3,"")))</f>
        <v/>
      </c>
      <c r="AB690" s="20">
        <f>IF($Z690="","",INT(($AA690-1)/3)+1)</f>
        <v/>
      </c>
      <c r="AC690" s="20">
        <f>IF($Z690="","",MOD($AA690-1,3)+1)</f>
        <v/>
      </c>
      <c r="AD690" s="20">
        <f>IF($Z690="","",Settings!$B$2+$AC690-1)</f>
        <v/>
      </c>
      <c r="AE690" s="21">
        <f>IF($Z690="C",DATE(YEAR(INDEX(Contracts!$J$2:$J$151,$AB690)),MONTH(INDEX(Contracts!$J$2:$J$151,$AB690)),1),IF($Z690="A",DATE(YEAR(INDEX(Fixed_Assets!$G$2:$G$201,$AB690)),MONTH(INDEX(Fixed_Assets!$G$2:$G$201,$AB690)),1),IF($Z690="F",DATE(YEAR(MAX(N(INDEX(Workforce!$I$2:$I$151,MATCH(INDEX(FTE_Allocation!$A$2:$A$201,$AB690),Workforce!$A$2:$A$151,0))),N(INDEX(FTE_Allocation!$I$2:$I$201,$AB690)))),MONTH(MAX(N(INDEX(Workforce!$I$2:$I$151,MATCH(INDEX(FTE_Allocation!$A$2:$A$201,$AB690),Workforce!$A$2:$A$151,0))),N(INDEX(FTE_Allocation!$I$2:$I$201,$AB690)))),1),"")))</f>
        <v/>
      </c>
      <c r="AF690" s="21">
        <f>IF($Z690="C",IF(INDEX(Contracts!$I$2:$I$151,$AB690)="PREPAID",EDATE(DATE(YEAR(INDEX(Contracts!$J$2:$J$151,$AB690)),MONTH(INDEX(Contracts!$J$2:$J$151,$AB690)),1),IF(INDEX(Contracts!$N$2:$N$151,$AB690)="",12,INDEX(Contracts!$N$2:$N$151,$AB690))-1),IF(INDEX(Contracts!$I$2:$I$151,$AB690)="MONTHLY",IF(INDEX(Contracts!$K$2:$K$151,$AB690)="",2958101,INDEX(Contracts!$K$2:$K$151,$AB690)),0)),IF($Z690="A",EDATE(DATE(YEAR(INDEX(Fixed_Assets!$G$2:$G$201,$AB690)),MONTH(INDEX(Fixed_Assets!$G$2:$G$201,$AB690)),1),INDEX(Fixed_Assets!$J$2:$J$201,$AB690)-1),IF($Z690="F",MIN(IF(INDEX(Workforce!$J$2:$J$151,MATCH(INDEX(FTE_Allocation!$A$2:$A$201,$AB690),Workforce!$A$2:$A$151,0))="",2958101,INDEX(Workforce!$J$2:$J$151,MATCH(INDEX(FTE_Allocation!$A$2:$A$201,$AB690),Workforce!$A$2:$A$151,0))),IF(INDEX(FTE_Allocation!$J$2:$J$201,$AB690)="",2958101,INDEX(FTE_Allocation!$J$2:$J$201,$AB690))),"")))</f>
        <v/>
      </c>
      <c r="AG690" s="19">
        <f>IF($Z690="C",IF(INDEX(Contracts!$I$2:$I$151,$AB690)="PREPAID",INDEX(Contracts!$M$2:$M$151,$AB690)/IF(INDEX(Contracts!$N$2:$N$151,$AB690)="",12,INDEX(Contracts!$N$2:$N$151,$AB690)),IF(INDEX(Contracts!$I$2:$I$151,$AB690)="MONTHLY",INDEX(Contracts!$M$2:$M$151,$AB690),0))*(1-N(INDEX(Contracts!$O$2:$O$151,$AB690))),IF($Z690="A",INDEX(Fixed_Assets!$H$2:$H$201,$AB690)/INDEX(Fixed_Assets!$J$2:$J$201,$AB690),IF($Z690="F",INDEX(Workforce!$F$2:$F$151,MATCH(INDEX(FTE_Allocation!$A$2:$A$201,$AB690),Workforce!$A$2:$A$151,0))*N(INDEX(FTE_Allocation!$F$2:$H$201,$AB690,$AC690)),"")))</f>
        <v/>
      </c>
    </row>
    <row r="691">
      <c r="A691" s="7">
        <f>IF($Z691="","",$AD691)</f>
        <v/>
      </c>
      <c r="B691" s="7">
        <f>IF($Z691="C",INDEX(Contracts!$D$2:$D$151,$AB691)&amp;"",IF($Z691="A",INDEX(Fixed_Assets!$C$2:$C$201,$AB691)&amp;"",IF($Z691="F",INDEX(Workforce!$B$2:$B$151,MATCH(INDEX(FTE_Allocation!$A$2:$A$201,$AB691),Workforce!$A$2:$A$151,0))&amp;"","")))</f>
        <v/>
      </c>
      <c r="C691" s="7">
        <f>IF($Z691="C",INDEX(Contracts!$E$2:$E$151,$AB691)&amp;"",IF($Z691="A",INDEX(Fixed_Assets!$D$2:$D$201,$AB691)&amp;"",IF($Z691="F",INDEX(FTE_Allocation!$C$2:$C$201,$AB691)&amp;"","")))</f>
        <v/>
      </c>
      <c r="D691" s="7">
        <f>IF($Z691="C",INDEX(Contracts!$B$2:$B$151,$AB691)&amp;"",IF($Z691="A",INDEX(Fixed_Assets!$B$2:$B$201,$AB691)&amp;"",IF($Z691="F",INDEX(FTE_Allocation!$B$2:$B$201,$AB691)&amp;"","")))</f>
        <v/>
      </c>
      <c r="E691" s="7">
        <f>IF($Z691="C",INDEX(Contracts!$P$2:$P$151,$AB691)&amp;"",IF($Z691="A",INDEX(Fixed_Assets!$K$2:$K$201,$AB691)&amp;"",IF($Z691="F",IF(INDEX(FTE_Allocation!$D$2:$D$201,$AB691)="PROJECT",IFERROR(INDEX(Projects!$D:$D,MATCH(INDEX(FTE_Allocation!$E$2:$E$201,$AB691),Projects!$A:$A,0))&amp;"","#PROJECT?"),INDEX(FTE_Allocation!$E$2:$E$201,$AB691)&amp;""),"")))</f>
        <v/>
      </c>
      <c r="F691" s="7">
        <f>IF($Z691="C",INDEX(Contracts!$Q$2:$Q$151,$AB691)&amp;"",IF($Z691="A",INDEX(Fixed_Assets!$L$2:$L$201,$AB691)&amp;"",IF($Z691="F",INDEX(Workforce!$K$2:$K$151,MATCH(INDEX(FTE_Allocation!$A$2:$A$201,$AB691),Workforce!$A$2:$A$151,0))&amp;"","")))</f>
        <v/>
      </c>
      <c r="G691" s="7">
        <f>IF($Z691="C",INDEX(Contracts!$F$2:$F$151,$AB691)&amp;" / "&amp;INDEX(Contracts!$G$2:$G$151,$AB691),IF($Z691="A",INDEX(Fixed_Assets!$E$2:$E$201,$AB691)&amp;"",IF($Z691="F","Personnel "&amp;INDEX(FTE_Allocation!$A$2:$A$201,$AB691)&amp;IF(INDEX(FTE_Allocation!$D$2:$D$201,$AB691)="PROJECT"," ("&amp;INDEX(FTE_Allocation!$E$2:$E$201,$AB691)&amp;")",""),"")))</f>
        <v/>
      </c>
      <c r="H691" s="7">
        <f>IF($Z691="C","CONTRACT",IF($Z691="A","ASSET",IF($Z691="F","WORKFORCE","")))</f>
        <v/>
      </c>
      <c r="I691" s="7">
        <f>IF($Z691="C",INDEX(Contracts!$L$2:$L$151,$AB691)&amp;"",IF($Z691="A",INDEX(Fixed_Assets!$I$2:$I$201,$AB691)&amp;"",IF($Z691="F",INDEX(Workforce!$G$2:$G$151,MATCH(INDEX(FTE_Allocation!$A$2:$A$201,$AB691),Workforce!$A$2:$A$151,0))&amp;"","")))</f>
        <v/>
      </c>
      <c r="J691" s="18">
        <f>IF($Z691="","",IF(AND(DATE($AD691,1,1)&gt;=$AE691,DATE($AD691,1,1)&lt;=$AF691),ROUND($AG691,2),0))</f>
        <v/>
      </c>
      <c r="K691" s="18">
        <f>IF($Z691="","",IF(AND(DATE($AD691,2,1)&gt;=$AE691,DATE($AD691,2,1)&lt;=$AF691),ROUND($AG691,2),0))</f>
        <v/>
      </c>
      <c r="L691" s="18">
        <f>IF($Z691="","",IF(AND(DATE($AD691,3,1)&gt;=$AE691,DATE($AD691,3,1)&lt;=$AF691),ROUND($AG691,2),0))</f>
        <v/>
      </c>
      <c r="M691" s="18">
        <f>IF($Z691="","",IF(AND(DATE($AD691,4,1)&gt;=$AE691,DATE($AD691,4,1)&lt;=$AF691),ROUND($AG691,2),0))</f>
        <v/>
      </c>
      <c r="N691" s="18">
        <f>IF($Z691="","",IF(AND(DATE($AD691,5,1)&gt;=$AE691,DATE($AD691,5,1)&lt;=$AF691),ROUND($AG691,2),0))</f>
        <v/>
      </c>
      <c r="O691" s="18">
        <f>IF($Z691="","",IF(AND(DATE($AD691,6,1)&gt;=$AE691,DATE($AD691,6,1)&lt;=$AF691),ROUND($AG691,2),0))</f>
        <v/>
      </c>
      <c r="P691" s="18">
        <f>IF($Z691="","",IF(AND(DATE($AD691,7,1)&gt;=$AE691,DATE($AD691,7,1)&lt;=$AF691),ROUND($AG691,2),0))</f>
        <v/>
      </c>
      <c r="Q691" s="18">
        <f>IF($Z691="","",IF(AND(DATE($AD691,8,1)&gt;=$AE691,DATE($AD691,8,1)&lt;=$AF691),ROUND($AG691,2),0))</f>
        <v/>
      </c>
      <c r="R691" s="18">
        <f>IF($Z691="","",IF(AND(DATE($AD691,9,1)&gt;=$AE691,DATE($AD691,9,1)&lt;=$AF691),ROUND($AG691,2),0))</f>
        <v/>
      </c>
      <c r="S691" s="18">
        <f>IF($Z691="","",IF(AND(DATE($AD691,10,1)&gt;=$AE691,DATE($AD691,10,1)&lt;=$AF691),ROUND($AG691,2),0))</f>
        <v/>
      </c>
      <c r="T691" s="18">
        <f>IF($Z691="","",IF(AND(DATE($AD691,11,1)&gt;=$AE691,DATE($AD691,11,1)&lt;=$AF691),ROUND($AG691,2),0))</f>
        <v/>
      </c>
      <c r="U691" s="18">
        <f>IF($Z691="","",IF(AND(DATE($AD691,12,1)&gt;=$AE691,DATE($AD691,12,1)&lt;=$AF691),ROUND($AG691,2),0))</f>
        <v/>
      </c>
      <c r="V691" s="7">
        <f>IF($Z691="C","Generated from "&amp;INDEX(Contracts!$A$2:$A$151,$AB691),IF($Z691="A","Generated from "&amp;INDEX(Fixed_Assets!$A$2:$A$201,$AB691),IF($Z691="F","Generated from "&amp;INDEX(FTE_Allocation!$A$2:$A$201,$AB691),"")))</f>
        <v/>
      </c>
      <c r="X691" s="19">
        <f>IF($Z691="","",SUM(J691:U691))</f>
        <v/>
      </c>
      <c r="Y691" s="20">
        <f>ROW()-1</f>
        <v/>
      </c>
      <c r="Z691" s="20">
        <f>IF($Y691&lt;=Settings!$B$4*3,"C",IF($Y691&lt;=(Settings!$B$4+Settings!$B$5)*3,"A",IF($Y691&lt;=(Settings!$B$4+Settings!$B$5+Settings!$B$6)*3,"F","")))</f>
        <v/>
      </c>
      <c r="AA691" s="20">
        <f>IF($Z691="C",$Y691,IF($Z691="A",$Y691-Settings!$B$4*3,IF($Z691="F",$Y691-(Settings!$B$4+Settings!$B$5)*3,"")))</f>
        <v/>
      </c>
      <c r="AB691" s="20">
        <f>IF($Z691="","",INT(($AA691-1)/3)+1)</f>
        <v/>
      </c>
      <c r="AC691" s="20">
        <f>IF($Z691="","",MOD($AA691-1,3)+1)</f>
        <v/>
      </c>
      <c r="AD691" s="20">
        <f>IF($Z691="","",Settings!$B$2+$AC691-1)</f>
        <v/>
      </c>
      <c r="AE691" s="21">
        <f>IF($Z691="C",DATE(YEAR(INDEX(Contracts!$J$2:$J$151,$AB691)),MONTH(INDEX(Contracts!$J$2:$J$151,$AB691)),1),IF($Z691="A",DATE(YEAR(INDEX(Fixed_Assets!$G$2:$G$201,$AB691)),MONTH(INDEX(Fixed_Assets!$G$2:$G$201,$AB691)),1),IF($Z691="F",DATE(YEAR(MAX(N(INDEX(Workforce!$I$2:$I$151,MATCH(INDEX(FTE_Allocation!$A$2:$A$201,$AB691),Workforce!$A$2:$A$151,0))),N(INDEX(FTE_Allocation!$I$2:$I$201,$AB691)))),MONTH(MAX(N(INDEX(Workforce!$I$2:$I$151,MATCH(INDEX(FTE_Allocation!$A$2:$A$201,$AB691),Workforce!$A$2:$A$151,0))),N(INDEX(FTE_Allocation!$I$2:$I$201,$AB691)))),1),"")))</f>
        <v/>
      </c>
      <c r="AF691" s="21">
        <f>IF($Z691="C",IF(INDEX(Contracts!$I$2:$I$151,$AB691)="PREPAID",EDATE(DATE(YEAR(INDEX(Contracts!$J$2:$J$151,$AB691)),MONTH(INDEX(Contracts!$J$2:$J$151,$AB691)),1),IF(INDEX(Contracts!$N$2:$N$151,$AB691)="",12,INDEX(Contracts!$N$2:$N$151,$AB691))-1),IF(INDEX(Contracts!$I$2:$I$151,$AB691)="MONTHLY",IF(INDEX(Contracts!$K$2:$K$151,$AB691)="",2958101,INDEX(Contracts!$K$2:$K$151,$AB691)),0)),IF($Z691="A",EDATE(DATE(YEAR(INDEX(Fixed_Assets!$G$2:$G$201,$AB691)),MONTH(INDEX(Fixed_Assets!$G$2:$G$201,$AB691)),1),INDEX(Fixed_Assets!$J$2:$J$201,$AB691)-1),IF($Z691="F",MIN(IF(INDEX(Workforce!$J$2:$J$151,MATCH(INDEX(FTE_Allocation!$A$2:$A$201,$AB691),Workforce!$A$2:$A$151,0))="",2958101,INDEX(Workforce!$J$2:$J$151,MATCH(INDEX(FTE_Allocation!$A$2:$A$201,$AB691),Workforce!$A$2:$A$151,0))),IF(INDEX(FTE_Allocation!$J$2:$J$201,$AB691)="",2958101,INDEX(FTE_Allocation!$J$2:$J$201,$AB691))),"")))</f>
        <v/>
      </c>
      <c r="AG691" s="19">
        <f>IF($Z691="C",IF(INDEX(Contracts!$I$2:$I$151,$AB691)="PREPAID",INDEX(Contracts!$M$2:$M$151,$AB691)/IF(INDEX(Contracts!$N$2:$N$151,$AB691)="",12,INDEX(Contracts!$N$2:$N$151,$AB691)),IF(INDEX(Contracts!$I$2:$I$151,$AB691)="MONTHLY",INDEX(Contracts!$M$2:$M$151,$AB691),0))*(1-N(INDEX(Contracts!$O$2:$O$151,$AB691))),IF($Z691="A",INDEX(Fixed_Assets!$H$2:$H$201,$AB691)/INDEX(Fixed_Assets!$J$2:$J$201,$AB691),IF($Z691="F",INDEX(Workforce!$F$2:$F$151,MATCH(INDEX(FTE_Allocation!$A$2:$A$201,$AB691),Workforce!$A$2:$A$151,0))*N(INDEX(FTE_Allocation!$F$2:$H$201,$AB691,$AC691)),"")))</f>
        <v/>
      </c>
    </row>
    <row r="692">
      <c r="A692" s="7">
        <f>IF($Z692="","",$AD692)</f>
        <v/>
      </c>
      <c r="B692" s="7">
        <f>IF($Z692="C",INDEX(Contracts!$D$2:$D$151,$AB692)&amp;"",IF($Z692="A",INDEX(Fixed_Assets!$C$2:$C$201,$AB692)&amp;"",IF($Z692="F",INDEX(Workforce!$B$2:$B$151,MATCH(INDEX(FTE_Allocation!$A$2:$A$201,$AB692),Workforce!$A$2:$A$151,0))&amp;"","")))</f>
        <v/>
      </c>
      <c r="C692" s="7">
        <f>IF($Z692="C",INDEX(Contracts!$E$2:$E$151,$AB692)&amp;"",IF($Z692="A",INDEX(Fixed_Assets!$D$2:$D$201,$AB692)&amp;"",IF($Z692="F",INDEX(FTE_Allocation!$C$2:$C$201,$AB692)&amp;"","")))</f>
        <v/>
      </c>
      <c r="D692" s="7">
        <f>IF($Z692="C",INDEX(Contracts!$B$2:$B$151,$AB692)&amp;"",IF($Z692="A",INDEX(Fixed_Assets!$B$2:$B$201,$AB692)&amp;"",IF($Z692="F",INDEX(FTE_Allocation!$B$2:$B$201,$AB692)&amp;"","")))</f>
        <v/>
      </c>
      <c r="E692" s="7">
        <f>IF($Z692="C",INDEX(Contracts!$P$2:$P$151,$AB692)&amp;"",IF($Z692="A",INDEX(Fixed_Assets!$K$2:$K$201,$AB692)&amp;"",IF($Z692="F",IF(INDEX(FTE_Allocation!$D$2:$D$201,$AB692)="PROJECT",IFERROR(INDEX(Projects!$D:$D,MATCH(INDEX(FTE_Allocation!$E$2:$E$201,$AB692),Projects!$A:$A,0))&amp;"","#PROJECT?"),INDEX(FTE_Allocation!$E$2:$E$201,$AB692)&amp;""),"")))</f>
        <v/>
      </c>
      <c r="F692" s="7">
        <f>IF($Z692="C",INDEX(Contracts!$Q$2:$Q$151,$AB692)&amp;"",IF($Z692="A",INDEX(Fixed_Assets!$L$2:$L$201,$AB692)&amp;"",IF($Z692="F",INDEX(Workforce!$K$2:$K$151,MATCH(INDEX(FTE_Allocation!$A$2:$A$201,$AB692),Workforce!$A$2:$A$151,0))&amp;"","")))</f>
        <v/>
      </c>
      <c r="G692" s="7">
        <f>IF($Z692="C",INDEX(Contracts!$F$2:$F$151,$AB692)&amp;" / "&amp;INDEX(Contracts!$G$2:$G$151,$AB692),IF($Z692="A",INDEX(Fixed_Assets!$E$2:$E$201,$AB692)&amp;"",IF($Z692="F","Personnel "&amp;INDEX(FTE_Allocation!$A$2:$A$201,$AB692)&amp;IF(INDEX(FTE_Allocation!$D$2:$D$201,$AB692)="PROJECT"," ("&amp;INDEX(FTE_Allocation!$E$2:$E$201,$AB692)&amp;")",""),"")))</f>
        <v/>
      </c>
      <c r="H692" s="7">
        <f>IF($Z692="C","CONTRACT",IF($Z692="A","ASSET",IF($Z692="F","WORKFORCE","")))</f>
        <v/>
      </c>
      <c r="I692" s="7">
        <f>IF($Z692="C",INDEX(Contracts!$L$2:$L$151,$AB692)&amp;"",IF($Z692="A",INDEX(Fixed_Assets!$I$2:$I$201,$AB692)&amp;"",IF($Z692="F",INDEX(Workforce!$G$2:$G$151,MATCH(INDEX(FTE_Allocation!$A$2:$A$201,$AB692),Workforce!$A$2:$A$151,0))&amp;"","")))</f>
        <v/>
      </c>
      <c r="J692" s="18">
        <f>IF($Z692="","",IF(AND(DATE($AD692,1,1)&gt;=$AE692,DATE($AD692,1,1)&lt;=$AF692),ROUND($AG692,2),0))</f>
        <v/>
      </c>
      <c r="K692" s="18">
        <f>IF($Z692="","",IF(AND(DATE($AD692,2,1)&gt;=$AE692,DATE($AD692,2,1)&lt;=$AF692),ROUND($AG692,2),0))</f>
        <v/>
      </c>
      <c r="L692" s="18">
        <f>IF($Z692="","",IF(AND(DATE($AD692,3,1)&gt;=$AE692,DATE($AD692,3,1)&lt;=$AF692),ROUND($AG692,2),0))</f>
        <v/>
      </c>
      <c r="M692" s="18">
        <f>IF($Z692="","",IF(AND(DATE($AD692,4,1)&gt;=$AE692,DATE($AD692,4,1)&lt;=$AF692),ROUND($AG692,2),0))</f>
        <v/>
      </c>
      <c r="N692" s="18">
        <f>IF($Z692="","",IF(AND(DATE($AD692,5,1)&gt;=$AE692,DATE($AD692,5,1)&lt;=$AF692),ROUND($AG692,2),0))</f>
        <v/>
      </c>
      <c r="O692" s="18">
        <f>IF($Z692="","",IF(AND(DATE($AD692,6,1)&gt;=$AE692,DATE($AD692,6,1)&lt;=$AF692),ROUND($AG692,2),0))</f>
        <v/>
      </c>
      <c r="P692" s="18">
        <f>IF($Z692="","",IF(AND(DATE($AD692,7,1)&gt;=$AE692,DATE($AD692,7,1)&lt;=$AF692),ROUND($AG692,2),0))</f>
        <v/>
      </c>
      <c r="Q692" s="18">
        <f>IF($Z692="","",IF(AND(DATE($AD692,8,1)&gt;=$AE692,DATE($AD692,8,1)&lt;=$AF692),ROUND($AG692,2),0))</f>
        <v/>
      </c>
      <c r="R692" s="18">
        <f>IF($Z692="","",IF(AND(DATE($AD692,9,1)&gt;=$AE692,DATE($AD692,9,1)&lt;=$AF692),ROUND($AG692,2),0))</f>
        <v/>
      </c>
      <c r="S692" s="18">
        <f>IF($Z692="","",IF(AND(DATE($AD692,10,1)&gt;=$AE692,DATE($AD692,10,1)&lt;=$AF692),ROUND($AG692,2),0))</f>
        <v/>
      </c>
      <c r="T692" s="18">
        <f>IF($Z692="","",IF(AND(DATE($AD692,11,1)&gt;=$AE692,DATE($AD692,11,1)&lt;=$AF692),ROUND($AG692,2),0))</f>
        <v/>
      </c>
      <c r="U692" s="18">
        <f>IF($Z692="","",IF(AND(DATE($AD692,12,1)&gt;=$AE692,DATE($AD692,12,1)&lt;=$AF692),ROUND($AG692,2),0))</f>
        <v/>
      </c>
      <c r="V692" s="7">
        <f>IF($Z692="C","Generated from "&amp;INDEX(Contracts!$A$2:$A$151,$AB692),IF($Z692="A","Generated from "&amp;INDEX(Fixed_Assets!$A$2:$A$201,$AB692),IF($Z692="F","Generated from "&amp;INDEX(FTE_Allocation!$A$2:$A$201,$AB692),"")))</f>
        <v/>
      </c>
      <c r="X692" s="19">
        <f>IF($Z692="","",SUM(J692:U692))</f>
        <v/>
      </c>
      <c r="Y692" s="20">
        <f>ROW()-1</f>
        <v/>
      </c>
      <c r="Z692" s="20">
        <f>IF($Y692&lt;=Settings!$B$4*3,"C",IF($Y692&lt;=(Settings!$B$4+Settings!$B$5)*3,"A",IF($Y692&lt;=(Settings!$B$4+Settings!$B$5+Settings!$B$6)*3,"F","")))</f>
        <v/>
      </c>
      <c r="AA692" s="20">
        <f>IF($Z692="C",$Y692,IF($Z692="A",$Y692-Settings!$B$4*3,IF($Z692="F",$Y692-(Settings!$B$4+Settings!$B$5)*3,"")))</f>
        <v/>
      </c>
      <c r="AB692" s="20">
        <f>IF($Z692="","",INT(($AA692-1)/3)+1)</f>
        <v/>
      </c>
      <c r="AC692" s="20">
        <f>IF($Z692="","",MOD($AA692-1,3)+1)</f>
        <v/>
      </c>
      <c r="AD692" s="20">
        <f>IF($Z692="","",Settings!$B$2+$AC692-1)</f>
        <v/>
      </c>
      <c r="AE692" s="21">
        <f>IF($Z692="C",DATE(YEAR(INDEX(Contracts!$J$2:$J$151,$AB692)),MONTH(INDEX(Contracts!$J$2:$J$151,$AB692)),1),IF($Z692="A",DATE(YEAR(INDEX(Fixed_Assets!$G$2:$G$201,$AB692)),MONTH(INDEX(Fixed_Assets!$G$2:$G$201,$AB692)),1),IF($Z692="F",DATE(YEAR(MAX(N(INDEX(Workforce!$I$2:$I$151,MATCH(INDEX(FTE_Allocation!$A$2:$A$201,$AB692),Workforce!$A$2:$A$151,0))),N(INDEX(FTE_Allocation!$I$2:$I$201,$AB692)))),MONTH(MAX(N(INDEX(Workforce!$I$2:$I$151,MATCH(INDEX(FTE_Allocation!$A$2:$A$201,$AB692),Workforce!$A$2:$A$151,0))),N(INDEX(FTE_Allocation!$I$2:$I$201,$AB692)))),1),"")))</f>
        <v/>
      </c>
      <c r="AF692" s="21">
        <f>IF($Z692="C",IF(INDEX(Contracts!$I$2:$I$151,$AB692)="PREPAID",EDATE(DATE(YEAR(INDEX(Contracts!$J$2:$J$151,$AB692)),MONTH(INDEX(Contracts!$J$2:$J$151,$AB692)),1),IF(INDEX(Contracts!$N$2:$N$151,$AB692)="",12,INDEX(Contracts!$N$2:$N$151,$AB692))-1),IF(INDEX(Contracts!$I$2:$I$151,$AB692)="MONTHLY",IF(INDEX(Contracts!$K$2:$K$151,$AB692)="",2958101,INDEX(Contracts!$K$2:$K$151,$AB692)),0)),IF($Z692="A",EDATE(DATE(YEAR(INDEX(Fixed_Assets!$G$2:$G$201,$AB692)),MONTH(INDEX(Fixed_Assets!$G$2:$G$201,$AB692)),1),INDEX(Fixed_Assets!$J$2:$J$201,$AB692)-1),IF($Z692="F",MIN(IF(INDEX(Workforce!$J$2:$J$151,MATCH(INDEX(FTE_Allocation!$A$2:$A$201,$AB692),Workforce!$A$2:$A$151,0))="",2958101,INDEX(Workforce!$J$2:$J$151,MATCH(INDEX(FTE_Allocation!$A$2:$A$201,$AB692),Workforce!$A$2:$A$151,0))),IF(INDEX(FTE_Allocation!$J$2:$J$201,$AB692)="",2958101,INDEX(FTE_Allocation!$J$2:$J$201,$AB692))),"")))</f>
        <v/>
      </c>
      <c r="AG692" s="19">
        <f>IF($Z692="C",IF(INDEX(Contracts!$I$2:$I$151,$AB692)="PREPAID",INDEX(Contracts!$M$2:$M$151,$AB692)/IF(INDEX(Contracts!$N$2:$N$151,$AB692)="",12,INDEX(Contracts!$N$2:$N$151,$AB692)),IF(INDEX(Contracts!$I$2:$I$151,$AB692)="MONTHLY",INDEX(Contracts!$M$2:$M$151,$AB692),0))*(1-N(INDEX(Contracts!$O$2:$O$151,$AB692))),IF($Z692="A",INDEX(Fixed_Assets!$H$2:$H$201,$AB692)/INDEX(Fixed_Assets!$J$2:$J$201,$AB692),IF($Z692="F",INDEX(Workforce!$F$2:$F$151,MATCH(INDEX(FTE_Allocation!$A$2:$A$201,$AB692),Workforce!$A$2:$A$151,0))*N(INDEX(FTE_Allocation!$F$2:$H$201,$AB692,$AC692)),"")))</f>
        <v/>
      </c>
    </row>
    <row r="693">
      <c r="A693" s="7">
        <f>IF($Z693="","",$AD693)</f>
        <v/>
      </c>
      <c r="B693" s="7">
        <f>IF($Z693="C",INDEX(Contracts!$D$2:$D$151,$AB693)&amp;"",IF($Z693="A",INDEX(Fixed_Assets!$C$2:$C$201,$AB693)&amp;"",IF($Z693="F",INDEX(Workforce!$B$2:$B$151,MATCH(INDEX(FTE_Allocation!$A$2:$A$201,$AB693),Workforce!$A$2:$A$151,0))&amp;"","")))</f>
        <v/>
      </c>
      <c r="C693" s="7">
        <f>IF($Z693="C",INDEX(Contracts!$E$2:$E$151,$AB693)&amp;"",IF($Z693="A",INDEX(Fixed_Assets!$D$2:$D$201,$AB693)&amp;"",IF($Z693="F",INDEX(FTE_Allocation!$C$2:$C$201,$AB693)&amp;"","")))</f>
        <v/>
      </c>
      <c r="D693" s="7">
        <f>IF($Z693="C",INDEX(Contracts!$B$2:$B$151,$AB693)&amp;"",IF($Z693="A",INDEX(Fixed_Assets!$B$2:$B$201,$AB693)&amp;"",IF($Z693="F",INDEX(FTE_Allocation!$B$2:$B$201,$AB693)&amp;"","")))</f>
        <v/>
      </c>
      <c r="E693" s="7">
        <f>IF($Z693="C",INDEX(Contracts!$P$2:$P$151,$AB693)&amp;"",IF($Z693="A",INDEX(Fixed_Assets!$K$2:$K$201,$AB693)&amp;"",IF($Z693="F",IF(INDEX(FTE_Allocation!$D$2:$D$201,$AB693)="PROJECT",IFERROR(INDEX(Projects!$D:$D,MATCH(INDEX(FTE_Allocation!$E$2:$E$201,$AB693),Projects!$A:$A,0))&amp;"","#PROJECT?"),INDEX(FTE_Allocation!$E$2:$E$201,$AB693)&amp;""),"")))</f>
        <v/>
      </c>
      <c r="F693" s="7">
        <f>IF($Z693="C",INDEX(Contracts!$Q$2:$Q$151,$AB693)&amp;"",IF($Z693="A",INDEX(Fixed_Assets!$L$2:$L$201,$AB693)&amp;"",IF($Z693="F",INDEX(Workforce!$K$2:$K$151,MATCH(INDEX(FTE_Allocation!$A$2:$A$201,$AB693),Workforce!$A$2:$A$151,0))&amp;"","")))</f>
        <v/>
      </c>
      <c r="G693" s="7">
        <f>IF($Z693="C",INDEX(Contracts!$F$2:$F$151,$AB693)&amp;" / "&amp;INDEX(Contracts!$G$2:$G$151,$AB693),IF($Z693="A",INDEX(Fixed_Assets!$E$2:$E$201,$AB693)&amp;"",IF($Z693="F","Personnel "&amp;INDEX(FTE_Allocation!$A$2:$A$201,$AB693)&amp;IF(INDEX(FTE_Allocation!$D$2:$D$201,$AB693)="PROJECT"," ("&amp;INDEX(FTE_Allocation!$E$2:$E$201,$AB693)&amp;")",""),"")))</f>
        <v/>
      </c>
      <c r="H693" s="7">
        <f>IF($Z693="C","CONTRACT",IF($Z693="A","ASSET",IF($Z693="F","WORKFORCE","")))</f>
        <v/>
      </c>
      <c r="I693" s="7">
        <f>IF($Z693="C",INDEX(Contracts!$L$2:$L$151,$AB693)&amp;"",IF($Z693="A",INDEX(Fixed_Assets!$I$2:$I$201,$AB693)&amp;"",IF($Z693="F",INDEX(Workforce!$G$2:$G$151,MATCH(INDEX(FTE_Allocation!$A$2:$A$201,$AB693),Workforce!$A$2:$A$151,0))&amp;"","")))</f>
        <v/>
      </c>
      <c r="J693" s="18">
        <f>IF($Z693="","",IF(AND(DATE($AD693,1,1)&gt;=$AE693,DATE($AD693,1,1)&lt;=$AF693),ROUND($AG693,2),0))</f>
        <v/>
      </c>
      <c r="K693" s="18">
        <f>IF($Z693="","",IF(AND(DATE($AD693,2,1)&gt;=$AE693,DATE($AD693,2,1)&lt;=$AF693),ROUND($AG693,2),0))</f>
        <v/>
      </c>
      <c r="L693" s="18">
        <f>IF($Z693="","",IF(AND(DATE($AD693,3,1)&gt;=$AE693,DATE($AD693,3,1)&lt;=$AF693),ROUND($AG693,2),0))</f>
        <v/>
      </c>
      <c r="M693" s="18">
        <f>IF($Z693="","",IF(AND(DATE($AD693,4,1)&gt;=$AE693,DATE($AD693,4,1)&lt;=$AF693),ROUND($AG693,2),0))</f>
        <v/>
      </c>
      <c r="N693" s="18">
        <f>IF($Z693="","",IF(AND(DATE($AD693,5,1)&gt;=$AE693,DATE($AD693,5,1)&lt;=$AF693),ROUND($AG693,2),0))</f>
        <v/>
      </c>
      <c r="O693" s="18">
        <f>IF($Z693="","",IF(AND(DATE($AD693,6,1)&gt;=$AE693,DATE($AD693,6,1)&lt;=$AF693),ROUND($AG693,2),0))</f>
        <v/>
      </c>
      <c r="P693" s="18">
        <f>IF($Z693="","",IF(AND(DATE($AD693,7,1)&gt;=$AE693,DATE($AD693,7,1)&lt;=$AF693),ROUND($AG693,2),0))</f>
        <v/>
      </c>
      <c r="Q693" s="18">
        <f>IF($Z693="","",IF(AND(DATE($AD693,8,1)&gt;=$AE693,DATE($AD693,8,1)&lt;=$AF693),ROUND($AG693,2),0))</f>
        <v/>
      </c>
      <c r="R693" s="18">
        <f>IF($Z693="","",IF(AND(DATE($AD693,9,1)&gt;=$AE693,DATE($AD693,9,1)&lt;=$AF693),ROUND($AG693,2),0))</f>
        <v/>
      </c>
      <c r="S693" s="18">
        <f>IF($Z693="","",IF(AND(DATE($AD693,10,1)&gt;=$AE693,DATE($AD693,10,1)&lt;=$AF693),ROUND($AG693,2),0))</f>
        <v/>
      </c>
      <c r="T693" s="18">
        <f>IF($Z693="","",IF(AND(DATE($AD693,11,1)&gt;=$AE693,DATE($AD693,11,1)&lt;=$AF693),ROUND($AG693,2),0))</f>
        <v/>
      </c>
      <c r="U693" s="18">
        <f>IF($Z693="","",IF(AND(DATE($AD693,12,1)&gt;=$AE693,DATE($AD693,12,1)&lt;=$AF693),ROUND($AG693,2),0))</f>
        <v/>
      </c>
      <c r="V693" s="7">
        <f>IF($Z693="C","Generated from "&amp;INDEX(Contracts!$A$2:$A$151,$AB693),IF($Z693="A","Generated from "&amp;INDEX(Fixed_Assets!$A$2:$A$201,$AB693),IF($Z693="F","Generated from "&amp;INDEX(FTE_Allocation!$A$2:$A$201,$AB693),"")))</f>
        <v/>
      </c>
      <c r="X693" s="19">
        <f>IF($Z693="","",SUM(J693:U693))</f>
        <v/>
      </c>
      <c r="Y693" s="20">
        <f>ROW()-1</f>
        <v/>
      </c>
      <c r="Z693" s="20">
        <f>IF($Y693&lt;=Settings!$B$4*3,"C",IF($Y693&lt;=(Settings!$B$4+Settings!$B$5)*3,"A",IF($Y693&lt;=(Settings!$B$4+Settings!$B$5+Settings!$B$6)*3,"F","")))</f>
        <v/>
      </c>
      <c r="AA693" s="20">
        <f>IF($Z693="C",$Y693,IF($Z693="A",$Y693-Settings!$B$4*3,IF($Z693="F",$Y693-(Settings!$B$4+Settings!$B$5)*3,"")))</f>
        <v/>
      </c>
      <c r="AB693" s="20">
        <f>IF($Z693="","",INT(($AA693-1)/3)+1)</f>
        <v/>
      </c>
      <c r="AC693" s="20">
        <f>IF($Z693="","",MOD($AA693-1,3)+1)</f>
        <v/>
      </c>
      <c r="AD693" s="20">
        <f>IF($Z693="","",Settings!$B$2+$AC693-1)</f>
        <v/>
      </c>
      <c r="AE693" s="21">
        <f>IF($Z693="C",DATE(YEAR(INDEX(Contracts!$J$2:$J$151,$AB693)),MONTH(INDEX(Contracts!$J$2:$J$151,$AB693)),1),IF($Z693="A",DATE(YEAR(INDEX(Fixed_Assets!$G$2:$G$201,$AB693)),MONTH(INDEX(Fixed_Assets!$G$2:$G$201,$AB693)),1),IF($Z693="F",DATE(YEAR(MAX(N(INDEX(Workforce!$I$2:$I$151,MATCH(INDEX(FTE_Allocation!$A$2:$A$201,$AB693),Workforce!$A$2:$A$151,0))),N(INDEX(FTE_Allocation!$I$2:$I$201,$AB693)))),MONTH(MAX(N(INDEX(Workforce!$I$2:$I$151,MATCH(INDEX(FTE_Allocation!$A$2:$A$201,$AB693),Workforce!$A$2:$A$151,0))),N(INDEX(FTE_Allocation!$I$2:$I$201,$AB693)))),1),"")))</f>
        <v/>
      </c>
      <c r="AF693" s="21">
        <f>IF($Z693="C",IF(INDEX(Contracts!$I$2:$I$151,$AB693)="PREPAID",EDATE(DATE(YEAR(INDEX(Contracts!$J$2:$J$151,$AB693)),MONTH(INDEX(Contracts!$J$2:$J$151,$AB693)),1),IF(INDEX(Contracts!$N$2:$N$151,$AB693)="",12,INDEX(Contracts!$N$2:$N$151,$AB693))-1),IF(INDEX(Contracts!$I$2:$I$151,$AB693)="MONTHLY",IF(INDEX(Contracts!$K$2:$K$151,$AB693)="",2958101,INDEX(Contracts!$K$2:$K$151,$AB693)),0)),IF($Z693="A",EDATE(DATE(YEAR(INDEX(Fixed_Assets!$G$2:$G$201,$AB693)),MONTH(INDEX(Fixed_Assets!$G$2:$G$201,$AB693)),1),INDEX(Fixed_Assets!$J$2:$J$201,$AB693)-1),IF($Z693="F",MIN(IF(INDEX(Workforce!$J$2:$J$151,MATCH(INDEX(FTE_Allocation!$A$2:$A$201,$AB693),Workforce!$A$2:$A$151,0))="",2958101,INDEX(Workforce!$J$2:$J$151,MATCH(INDEX(FTE_Allocation!$A$2:$A$201,$AB693),Workforce!$A$2:$A$151,0))),IF(INDEX(FTE_Allocation!$J$2:$J$201,$AB693)="",2958101,INDEX(FTE_Allocation!$J$2:$J$201,$AB693))),"")))</f>
        <v/>
      </c>
      <c r="AG693" s="19">
        <f>IF($Z693="C",IF(INDEX(Contracts!$I$2:$I$151,$AB693)="PREPAID",INDEX(Contracts!$M$2:$M$151,$AB693)/IF(INDEX(Contracts!$N$2:$N$151,$AB693)="",12,INDEX(Contracts!$N$2:$N$151,$AB693)),IF(INDEX(Contracts!$I$2:$I$151,$AB693)="MONTHLY",INDEX(Contracts!$M$2:$M$151,$AB693),0))*(1-N(INDEX(Contracts!$O$2:$O$151,$AB693))),IF($Z693="A",INDEX(Fixed_Assets!$H$2:$H$201,$AB693)/INDEX(Fixed_Assets!$J$2:$J$201,$AB693),IF($Z693="F",INDEX(Workforce!$F$2:$F$151,MATCH(INDEX(FTE_Allocation!$A$2:$A$201,$AB693),Workforce!$A$2:$A$151,0))*N(INDEX(FTE_Allocation!$F$2:$H$201,$AB693,$AC693)),"")))</f>
        <v/>
      </c>
    </row>
    <row r="694">
      <c r="A694" s="7">
        <f>IF($Z694="","",$AD694)</f>
        <v/>
      </c>
      <c r="B694" s="7">
        <f>IF($Z694="C",INDEX(Contracts!$D$2:$D$151,$AB694)&amp;"",IF($Z694="A",INDEX(Fixed_Assets!$C$2:$C$201,$AB694)&amp;"",IF($Z694="F",INDEX(Workforce!$B$2:$B$151,MATCH(INDEX(FTE_Allocation!$A$2:$A$201,$AB694),Workforce!$A$2:$A$151,0))&amp;"","")))</f>
        <v/>
      </c>
      <c r="C694" s="7">
        <f>IF($Z694="C",INDEX(Contracts!$E$2:$E$151,$AB694)&amp;"",IF($Z694="A",INDEX(Fixed_Assets!$D$2:$D$201,$AB694)&amp;"",IF($Z694="F",INDEX(FTE_Allocation!$C$2:$C$201,$AB694)&amp;"","")))</f>
        <v/>
      </c>
      <c r="D694" s="7">
        <f>IF($Z694="C",INDEX(Contracts!$B$2:$B$151,$AB694)&amp;"",IF($Z694="A",INDEX(Fixed_Assets!$B$2:$B$201,$AB694)&amp;"",IF($Z694="F",INDEX(FTE_Allocation!$B$2:$B$201,$AB694)&amp;"","")))</f>
        <v/>
      </c>
      <c r="E694" s="7">
        <f>IF($Z694="C",INDEX(Contracts!$P$2:$P$151,$AB694)&amp;"",IF($Z694="A",INDEX(Fixed_Assets!$K$2:$K$201,$AB694)&amp;"",IF($Z694="F",IF(INDEX(FTE_Allocation!$D$2:$D$201,$AB694)="PROJECT",IFERROR(INDEX(Projects!$D:$D,MATCH(INDEX(FTE_Allocation!$E$2:$E$201,$AB694),Projects!$A:$A,0))&amp;"","#PROJECT?"),INDEX(FTE_Allocation!$E$2:$E$201,$AB694)&amp;""),"")))</f>
        <v/>
      </c>
      <c r="F694" s="7">
        <f>IF($Z694="C",INDEX(Contracts!$Q$2:$Q$151,$AB694)&amp;"",IF($Z694="A",INDEX(Fixed_Assets!$L$2:$L$201,$AB694)&amp;"",IF($Z694="F",INDEX(Workforce!$K$2:$K$151,MATCH(INDEX(FTE_Allocation!$A$2:$A$201,$AB694),Workforce!$A$2:$A$151,0))&amp;"","")))</f>
        <v/>
      </c>
      <c r="G694" s="7">
        <f>IF($Z694="C",INDEX(Contracts!$F$2:$F$151,$AB694)&amp;" / "&amp;INDEX(Contracts!$G$2:$G$151,$AB694),IF($Z694="A",INDEX(Fixed_Assets!$E$2:$E$201,$AB694)&amp;"",IF($Z694="F","Personnel "&amp;INDEX(FTE_Allocation!$A$2:$A$201,$AB694)&amp;IF(INDEX(FTE_Allocation!$D$2:$D$201,$AB694)="PROJECT"," ("&amp;INDEX(FTE_Allocation!$E$2:$E$201,$AB694)&amp;")",""),"")))</f>
        <v/>
      </c>
      <c r="H694" s="7">
        <f>IF($Z694="C","CONTRACT",IF($Z694="A","ASSET",IF($Z694="F","WORKFORCE","")))</f>
        <v/>
      </c>
      <c r="I694" s="7">
        <f>IF($Z694="C",INDEX(Contracts!$L$2:$L$151,$AB694)&amp;"",IF($Z694="A",INDEX(Fixed_Assets!$I$2:$I$201,$AB694)&amp;"",IF($Z694="F",INDEX(Workforce!$G$2:$G$151,MATCH(INDEX(FTE_Allocation!$A$2:$A$201,$AB694),Workforce!$A$2:$A$151,0))&amp;"","")))</f>
        <v/>
      </c>
      <c r="J694" s="18">
        <f>IF($Z694="","",IF(AND(DATE($AD694,1,1)&gt;=$AE694,DATE($AD694,1,1)&lt;=$AF694),ROUND($AG694,2),0))</f>
        <v/>
      </c>
      <c r="K694" s="18">
        <f>IF($Z694="","",IF(AND(DATE($AD694,2,1)&gt;=$AE694,DATE($AD694,2,1)&lt;=$AF694),ROUND($AG694,2),0))</f>
        <v/>
      </c>
      <c r="L694" s="18">
        <f>IF($Z694="","",IF(AND(DATE($AD694,3,1)&gt;=$AE694,DATE($AD694,3,1)&lt;=$AF694),ROUND($AG694,2),0))</f>
        <v/>
      </c>
      <c r="M694" s="18">
        <f>IF($Z694="","",IF(AND(DATE($AD694,4,1)&gt;=$AE694,DATE($AD694,4,1)&lt;=$AF694),ROUND($AG694,2),0))</f>
        <v/>
      </c>
      <c r="N694" s="18">
        <f>IF($Z694="","",IF(AND(DATE($AD694,5,1)&gt;=$AE694,DATE($AD694,5,1)&lt;=$AF694),ROUND($AG694,2),0))</f>
        <v/>
      </c>
      <c r="O694" s="18">
        <f>IF($Z694="","",IF(AND(DATE($AD694,6,1)&gt;=$AE694,DATE($AD694,6,1)&lt;=$AF694),ROUND($AG694,2),0))</f>
        <v/>
      </c>
      <c r="P694" s="18">
        <f>IF($Z694="","",IF(AND(DATE($AD694,7,1)&gt;=$AE694,DATE($AD694,7,1)&lt;=$AF694),ROUND($AG694,2),0))</f>
        <v/>
      </c>
      <c r="Q694" s="18">
        <f>IF($Z694="","",IF(AND(DATE($AD694,8,1)&gt;=$AE694,DATE($AD694,8,1)&lt;=$AF694),ROUND($AG694,2),0))</f>
        <v/>
      </c>
      <c r="R694" s="18">
        <f>IF($Z694="","",IF(AND(DATE($AD694,9,1)&gt;=$AE694,DATE($AD694,9,1)&lt;=$AF694),ROUND($AG694,2),0))</f>
        <v/>
      </c>
      <c r="S694" s="18">
        <f>IF($Z694="","",IF(AND(DATE($AD694,10,1)&gt;=$AE694,DATE($AD694,10,1)&lt;=$AF694),ROUND($AG694,2),0))</f>
        <v/>
      </c>
      <c r="T694" s="18">
        <f>IF($Z694="","",IF(AND(DATE($AD694,11,1)&gt;=$AE694,DATE($AD694,11,1)&lt;=$AF694),ROUND($AG694,2),0))</f>
        <v/>
      </c>
      <c r="U694" s="18">
        <f>IF($Z694="","",IF(AND(DATE($AD694,12,1)&gt;=$AE694,DATE($AD694,12,1)&lt;=$AF694),ROUND($AG694,2),0))</f>
        <v/>
      </c>
      <c r="V694" s="7">
        <f>IF($Z694="C","Generated from "&amp;INDEX(Contracts!$A$2:$A$151,$AB694),IF($Z694="A","Generated from "&amp;INDEX(Fixed_Assets!$A$2:$A$201,$AB694),IF($Z694="F","Generated from "&amp;INDEX(FTE_Allocation!$A$2:$A$201,$AB694),"")))</f>
        <v/>
      </c>
      <c r="X694" s="19">
        <f>IF($Z694="","",SUM(J694:U694))</f>
        <v/>
      </c>
      <c r="Y694" s="20">
        <f>ROW()-1</f>
        <v/>
      </c>
      <c r="Z694" s="20">
        <f>IF($Y694&lt;=Settings!$B$4*3,"C",IF($Y694&lt;=(Settings!$B$4+Settings!$B$5)*3,"A",IF($Y694&lt;=(Settings!$B$4+Settings!$B$5+Settings!$B$6)*3,"F","")))</f>
        <v/>
      </c>
      <c r="AA694" s="20">
        <f>IF($Z694="C",$Y694,IF($Z694="A",$Y694-Settings!$B$4*3,IF($Z694="F",$Y694-(Settings!$B$4+Settings!$B$5)*3,"")))</f>
        <v/>
      </c>
      <c r="AB694" s="20">
        <f>IF($Z694="","",INT(($AA694-1)/3)+1)</f>
        <v/>
      </c>
      <c r="AC694" s="20">
        <f>IF($Z694="","",MOD($AA694-1,3)+1)</f>
        <v/>
      </c>
      <c r="AD694" s="20">
        <f>IF($Z694="","",Settings!$B$2+$AC694-1)</f>
        <v/>
      </c>
      <c r="AE694" s="21">
        <f>IF($Z694="C",DATE(YEAR(INDEX(Contracts!$J$2:$J$151,$AB694)),MONTH(INDEX(Contracts!$J$2:$J$151,$AB694)),1),IF($Z694="A",DATE(YEAR(INDEX(Fixed_Assets!$G$2:$G$201,$AB694)),MONTH(INDEX(Fixed_Assets!$G$2:$G$201,$AB694)),1),IF($Z694="F",DATE(YEAR(MAX(N(INDEX(Workforce!$I$2:$I$151,MATCH(INDEX(FTE_Allocation!$A$2:$A$201,$AB694),Workforce!$A$2:$A$151,0))),N(INDEX(FTE_Allocation!$I$2:$I$201,$AB694)))),MONTH(MAX(N(INDEX(Workforce!$I$2:$I$151,MATCH(INDEX(FTE_Allocation!$A$2:$A$201,$AB694),Workforce!$A$2:$A$151,0))),N(INDEX(FTE_Allocation!$I$2:$I$201,$AB694)))),1),"")))</f>
        <v/>
      </c>
      <c r="AF694" s="21">
        <f>IF($Z694="C",IF(INDEX(Contracts!$I$2:$I$151,$AB694)="PREPAID",EDATE(DATE(YEAR(INDEX(Contracts!$J$2:$J$151,$AB694)),MONTH(INDEX(Contracts!$J$2:$J$151,$AB694)),1),IF(INDEX(Contracts!$N$2:$N$151,$AB694)="",12,INDEX(Contracts!$N$2:$N$151,$AB694))-1),IF(INDEX(Contracts!$I$2:$I$151,$AB694)="MONTHLY",IF(INDEX(Contracts!$K$2:$K$151,$AB694)="",2958101,INDEX(Contracts!$K$2:$K$151,$AB694)),0)),IF($Z694="A",EDATE(DATE(YEAR(INDEX(Fixed_Assets!$G$2:$G$201,$AB694)),MONTH(INDEX(Fixed_Assets!$G$2:$G$201,$AB694)),1),INDEX(Fixed_Assets!$J$2:$J$201,$AB694)-1),IF($Z694="F",MIN(IF(INDEX(Workforce!$J$2:$J$151,MATCH(INDEX(FTE_Allocation!$A$2:$A$201,$AB694),Workforce!$A$2:$A$151,0))="",2958101,INDEX(Workforce!$J$2:$J$151,MATCH(INDEX(FTE_Allocation!$A$2:$A$201,$AB694),Workforce!$A$2:$A$151,0))),IF(INDEX(FTE_Allocation!$J$2:$J$201,$AB694)="",2958101,INDEX(FTE_Allocation!$J$2:$J$201,$AB694))),"")))</f>
        <v/>
      </c>
      <c r="AG694" s="19">
        <f>IF($Z694="C",IF(INDEX(Contracts!$I$2:$I$151,$AB694)="PREPAID",INDEX(Contracts!$M$2:$M$151,$AB694)/IF(INDEX(Contracts!$N$2:$N$151,$AB694)="",12,INDEX(Contracts!$N$2:$N$151,$AB694)),IF(INDEX(Contracts!$I$2:$I$151,$AB694)="MONTHLY",INDEX(Contracts!$M$2:$M$151,$AB694),0))*(1-N(INDEX(Contracts!$O$2:$O$151,$AB694))),IF($Z694="A",INDEX(Fixed_Assets!$H$2:$H$201,$AB694)/INDEX(Fixed_Assets!$J$2:$J$201,$AB694),IF($Z694="F",INDEX(Workforce!$F$2:$F$151,MATCH(INDEX(FTE_Allocation!$A$2:$A$201,$AB694),Workforce!$A$2:$A$151,0))*N(INDEX(FTE_Allocation!$F$2:$H$201,$AB694,$AC694)),"")))</f>
        <v/>
      </c>
    </row>
    <row r="695">
      <c r="A695" s="7">
        <f>IF($Z695="","",$AD695)</f>
        <v/>
      </c>
      <c r="B695" s="7">
        <f>IF($Z695="C",INDEX(Contracts!$D$2:$D$151,$AB695)&amp;"",IF($Z695="A",INDEX(Fixed_Assets!$C$2:$C$201,$AB695)&amp;"",IF($Z695="F",INDEX(Workforce!$B$2:$B$151,MATCH(INDEX(FTE_Allocation!$A$2:$A$201,$AB695),Workforce!$A$2:$A$151,0))&amp;"","")))</f>
        <v/>
      </c>
      <c r="C695" s="7">
        <f>IF($Z695="C",INDEX(Contracts!$E$2:$E$151,$AB695)&amp;"",IF($Z695="A",INDEX(Fixed_Assets!$D$2:$D$201,$AB695)&amp;"",IF($Z695="F",INDEX(FTE_Allocation!$C$2:$C$201,$AB695)&amp;"","")))</f>
        <v/>
      </c>
      <c r="D695" s="7">
        <f>IF($Z695="C",INDEX(Contracts!$B$2:$B$151,$AB695)&amp;"",IF($Z695="A",INDEX(Fixed_Assets!$B$2:$B$201,$AB695)&amp;"",IF($Z695="F",INDEX(FTE_Allocation!$B$2:$B$201,$AB695)&amp;"","")))</f>
        <v/>
      </c>
      <c r="E695" s="7">
        <f>IF($Z695="C",INDEX(Contracts!$P$2:$P$151,$AB695)&amp;"",IF($Z695="A",INDEX(Fixed_Assets!$K$2:$K$201,$AB695)&amp;"",IF($Z695="F",IF(INDEX(FTE_Allocation!$D$2:$D$201,$AB695)="PROJECT",IFERROR(INDEX(Projects!$D:$D,MATCH(INDEX(FTE_Allocation!$E$2:$E$201,$AB695),Projects!$A:$A,0))&amp;"","#PROJECT?"),INDEX(FTE_Allocation!$E$2:$E$201,$AB695)&amp;""),"")))</f>
        <v/>
      </c>
      <c r="F695" s="7">
        <f>IF($Z695="C",INDEX(Contracts!$Q$2:$Q$151,$AB695)&amp;"",IF($Z695="A",INDEX(Fixed_Assets!$L$2:$L$201,$AB695)&amp;"",IF($Z695="F",INDEX(Workforce!$K$2:$K$151,MATCH(INDEX(FTE_Allocation!$A$2:$A$201,$AB695),Workforce!$A$2:$A$151,0))&amp;"","")))</f>
        <v/>
      </c>
      <c r="G695" s="7">
        <f>IF($Z695="C",INDEX(Contracts!$F$2:$F$151,$AB695)&amp;" / "&amp;INDEX(Contracts!$G$2:$G$151,$AB695),IF($Z695="A",INDEX(Fixed_Assets!$E$2:$E$201,$AB695)&amp;"",IF($Z695="F","Personnel "&amp;INDEX(FTE_Allocation!$A$2:$A$201,$AB695)&amp;IF(INDEX(FTE_Allocation!$D$2:$D$201,$AB695)="PROJECT"," ("&amp;INDEX(FTE_Allocation!$E$2:$E$201,$AB695)&amp;")",""),"")))</f>
        <v/>
      </c>
      <c r="H695" s="7">
        <f>IF($Z695="C","CONTRACT",IF($Z695="A","ASSET",IF($Z695="F","WORKFORCE","")))</f>
        <v/>
      </c>
      <c r="I695" s="7">
        <f>IF($Z695="C",INDEX(Contracts!$L$2:$L$151,$AB695)&amp;"",IF($Z695="A",INDEX(Fixed_Assets!$I$2:$I$201,$AB695)&amp;"",IF($Z695="F",INDEX(Workforce!$G$2:$G$151,MATCH(INDEX(FTE_Allocation!$A$2:$A$201,$AB695),Workforce!$A$2:$A$151,0))&amp;"","")))</f>
        <v/>
      </c>
      <c r="J695" s="18">
        <f>IF($Z695="","",IF(AND(DATE($AD695,1,1)&gt;=$AE695,DATE($AD695,1,1)&lt;=$AF695),ROUND($AG695,2),0))</f>
        <v/>
      </c>
      <c r="K695" s="18">
        <f>IF($Z695="","",IF(AND(DATE($AD695,2,1)&gt;=$AE695,DATE($AD695,2,1)&lt;=$AF695),ROUND($AG695,2),0))</f>
        <v/>
      </c>
      <c r="L695" s="18">
        <f>IF($Z695="","",IF(AND(DATE($AD695,3,1)&gt;=$AE695,DATE($AD695,3,1)&lt;=$AF695),ROUND($AG695,2),0))</f>
        <v/>
      </c>
      <c r="M695" s="18">
        <f>IF($Z695="","",IF(AND(DATE($AD695,4,1)&gt;=$AE695,DATE($AD695,4,1)&lt;=$AF695),ROUND($AG695,2),0))</f>
        <v/>
      </c>
      <c r="N695" s="18">
        <f>IF($Z695="","",IF(AND(DATE($AD695,5,1)&gt;=$AE695,DATE($AD695,5,1)&lt;=$AF695),ROUND($AG695,2),0))</f>
        <v/>
      </c>
      <c r="O695" s="18">
        <f>IF($Z695="","",IF(AND(DATE($AD695,6,1)&gt;=$AE695,DATE($AD695,6,1)&lt;=$AF695),ROUND($AG695,2),0))</f>
        <v/>
      </c>
      <c r="P695" s="18">
        <f>IF($Z695="","",IF(AND(DATE($AD695,7,1)&gt;=$AE695,DATE($AD695,7,1)&lt;=$AF695),ROUND($AG695,2),0))</f>
        <v/>
      </c>
      <c r="Q695" s="18">
        <f>IF($Z695="","",IF(AND(DATE($AD695,8,1)&gt;=$AE695,DATE($AD695,8,1)&lt;=$AF695),ROUND($AG695,2),0))</f>
        <v/>
      </c>
      <c r="R695" s="18">
        <f>IF($Z695="","",IF(AND(DATE($AD695,9,1)&gt;=$AE695,DATE($AD695,9,1)&lt;=$AF695),ROUND($AG695,2),0))</f>
        <v/>
      </c>
      <c r="S695" s="18">
        <f>IF($Z695="","",IF(AND(DATE($AD695,10,1)&gt;=$AE695,DATE($AD695,10,1)&lt;=$AF695),ROUND($AG695,2),0))</f>
        <v/>
      </c>
      <c r="T695" s="18">
        <f>IF($Z695="","",IF(AND(DATE($AD695,11,1)&gt;=$AE695,DATE($AD695,11,1)&lt;=$AF695),ROUND($AG695,2),0))</f>
        <v/>
      </c>
      <c r="U695" s="18">
        <f>IF($Z695="","",IF(AND(DATE($AD695,12,1)&gt;=$AE695,DATE($AD695,12,1)&lt;=$AF695),ROUND($AG695,2),0))</f>
        <v/>
      </c>
      <c r="V695" s="7">
        <f>IF($Z695="C","Generated from "&amp;INDEX(Contracts!$A$2:$A$151,$AB695),IF($Z695="A","Generated from "&amp;INDEX(Fixed_Assets!$A$2:$A$201,$AB695),IF($Z695="F","Generated from "&amp;INDEX(FTE_Allocation!$A$2:$A$201,$AB695),"")))</f>
        <v/>
      </c>
      <c r="X695" s="19">
        <f>IF($Z695="","",SUM(J695:U695))</f>
        <v/>
      </c>
      <c r="Y695" s="20">
        <f>ROW()-1</f>
        <v/>
      </c>
      <c r="Z695" s="20">
        <f>IF($Y695&lt;=Settings!$B$4*3,"C",IF($Y695&lt;=(Settings!$B$4+Settings!$B$5)*3,"A",IF($Y695&lt;=(Settings!$B$4+Settings!$B$5+Settings!$B$6)*3,"F","")))</f>
        <v/>
      </c>
      <c r="AA695" s="20">
        <f>IF($Z695="C",$Y695,IF($Z695="A",$Y695-Settings!$B$4*3,IF($Z695="F",$Y695-(Settings!$B$4+Settings!$B$5)*3,"")))</f>
        <v/>
      </c>
      <c r="AB695" s="20">
        <f>IF($Z695="","",INT(($AA695-1)/3)+1)</f>
        <v/>
      </c>
      <c r="AC695" s="20">
        <f>IF($Z695="","",MOD($AA695-1,3)+1)</f>
        <v/>
      </c>
      <c r="AD695" s="20">
        <f>IF($Z695="","",Settings!$B$2+$AC695-1)</f>
        <v/>
      </c>
      <c r="AE695" s="21">
        <f>IF($Z695="C",DATE(YEAR(INDEX(Contracts!$J$2:$J$151,$AB695)),MONTH(INDEX(Contracts!$J$2:$J$151,$AB695)),1),IF($Z695="A",DATE(YEAR(INDEX(Fixed_Assets!$G$2:$G$201,$AB695)),MONTH(INDEX(Fixed_Assets!$G$2:$G$201,$AB695)),1),IF($Z695="F",DATE(YEAR(MAX(N(INDEX(Workforce!$I$2:$I$151,MATCH(INDEX(FTE_Allocation!$A$2:$A$201,$AB695),Workforce!$A$2:$A$151,0))),N(INDEX(FTE_Allocation!$I$2:$I$201,$AB695)))),MONTH(MAX(N(INDEX(Workforce!$I$2:$I$151,MATCH(INDEX(FTE_Allocation!$A$2:$A$201,$AB695),Workforce!$A$2:$A$151,0))),N(INDEX(FTE_Allocation!$I$2:$I$201,$AB695)))),1),"")))</f>
        <v/>
      </c>
      <c r="AF695" s="21">
        <f>IF($Z695="C",IF(INDEX(Contracts!$I$2:$I$151,$AB695)="PREPAID",EDATE(DATE(YEAR(INDEX(Contracts!$J$2:$J$151,$AB695)),MONTH(INDEX(Contracts!$J$2:$J$151,$AB695)),1),IF(INDEX(Contracts!$N$2:$N$151,$AB695)="",12,INDEX(Contracts!$N$2:$N$151,$AB695))-1),IF(INDEX(Contracts!$I$2:$I$151,$AB695)="MONTHLY",IF(INDEX(Contracts!$K$2:$K$151,$AB695)="",2958101,INDEX(Contracts!$K$2:$K$151,$AB695)),0)),IF($Z695="A",EDATE(DATE(YEAR(INDEX(Fixed_Assets!$G$2:$G$201,$AB695)),MONTH(INDEX(Fixed_Assets!$G$2:$G$201,$AB695)),1),INDEX(Fixed_Assets!$J$2:$J$201,$AB695)-1),IF($Z695="F",MIN(IF(INDEX(Workforce!$J$2:$J$151,MATCH(INDEX(FTE_Allocation!$A$2:$A$201,$AB695),Workforce!$A$2:$A$151,0))="",2958101,INDEX(Workforce!$J$2:$J$151,MATCH(INDEX(FTE_Allocation!$A$2:$A$201,$AB695),Workforce!$A$2:$A$151,0))),IF(INDEX(FTE_Allocation!$J$2:$J$201,$AB695)="",2958101,INDEX(FTE_Allocation!$J$2:$J$201,$AB695))),"")))</f>
        <v/>
      </c>
      <c r="AG695" s="19">
        <f>IF($Z695="C",IF(INDEX(Contracts!$I$2:$I$151,$AB695)="PREPAID",INDEX(Contracts!$M$2:$M$151,$AB695)/IF(INDEX(Contracts!$N$2:$N$151,$AB695)="",12,INDEX(Contracts!$N$2:$N$151,$AB695)),IF(INDEX(Contracts!$I$2:$I$151,$AB695)="MONTHLY",INDEX(Contracts!$M$2:$M$151,$AB695),0))*(1-N(INDEX(Contracts!$O$2:$O$151,$AB695))),IF($Z695="A",INDEX(Fixed_Assets!$H$2:$H$201,$AB695)/INDEX(Fixed_Assets!$J$2:$J$201,$AB695),IF($Z695="F",INDEX(Workforce!$F$2:$F$151,MATCH(INDEX(FTE_Allocation!$A$2:$A$201,$AB695),Workforce!$A$2:$A$151,0))*N(INDEX(FTE_Allocation!$F$2:$H$201,$AB695,$AC695)),"")))</f>
        <v/>
      </c>
    </row>
    <row r="696">
      <c r="A696" s="7">
        <f>IF($Z696="","",$AD696)</f>
        <v/>
      </c>
      <c r="B696" s="7">
        <f>IF($Z696="C",INDEX(Contracts!$D$2:$D$151,$AB696)&amp;"",IF($Z696="A",INDEX(Fixed_Assets!$C$2:$C$201,$AB696)&amp;"",IF($Z696="F",INDEX(Workforce!$B$2:$B$151,MATCH(INDEX(FTE_Allocation!$A$2:$A$201,$AB696),Workforce!$A$2:$A$151,0))&amp;"","")))</f>
        <v/>
      </c>
      <c r="C696" s="7">
        <f>IF($Z696="C",INDEX(Contracts!$E$2:$E$151,$AB696)&amp;"",IF($Z696="A",INDEX(Fixed_Assets!$D$2:$D$201,$AB696)&amp;"",IF($Z696="F",INDEX(FTE_Allocation!$C$2:$C$201,$AB696)&amp;"","")))</f>
        <v/>
      </c>
      <c r="D696" s="7">
        <f>IF($Z696="C",INDEX(Contracts!$B$2:$B$151,$AB696)&amp;"",IF($Z696="A",INDEX(Fixed_Assets!$B$2:$B$201,$AB696)&amp;"",IF($Z696="F",INDEX(FTE_Allocation!$B$2:$B$201,$AB696)&amp;"","")))</f>
        <v/>
      </c>
      <c r="E696" s="7">
        <f>IF($Z696="C",INDEX(Contracts!$P$2:$P$151,$AB696)&amp;"",IF($Z696="A",INDEX(Fixed_Assets!$K$2:$K$201,$AB696)&amp;"",IF($Z696="F",IF(INDEX(FTE_Allocation!$D$2:$D$201,$AB696)="PROJECT",IFERROR(INDEX(Projects!$D:$D,MATCH(INDEX(FTE_Allocation!$E$2:$E$201,$AB696),Projects!$A:$A,0))&amp;"","#PROJECT?"),INDEX(FTE_Allocation!$E$2:$E$201,$AB696)&amp;""),"")))</f>
        <v/>
      </c>
      <c r="F696" s="7">
        <f>IF($Z696="C",INDEX(Contracts!$Q$2:$Q$151,$AB696)&amp;"",IF($Z696="A",INDEX(Fixed_Assets!$L$2:$L$201,$AB696)&amp;"",IF($Z696="F",INDEX(Workforce!$K$2:$K$151,MATCH(INDEX(FTE_Allocation!$A$2:$A$201,$AB696),Workforce!$A$2:$A$151,0))&amp;"","")))</f>
        <v/>
      </c>
      <c r="G696" s="7">
        <f>IF($Z696="C",INDEX(Contracts!$F$2:$F$151,$AB696)&amp;" / "&amp;INDEX(Contracts!$G$2:$G$151,$AB696),IF($Z696="A",INDEX(Fixed_Assets!$E$2:$E$201,$AB696)&amp;"",IF($Z696="F","Personnel "&amp;INDEX(FTE_Allocation!$A$2:$A$201,$AB696)&amp;IF(INDEX(FTE_Allocation!$D$2:$D$201,$AB696)="PROJECT"," ("&amp;INDEX(FTE_Allocation!$E$2:$E$201,$AB696)&amp;")",""),"")))</f>
        <v/>
      </c>
      <c r="H696" s="7">
        <f>IF($Z696="C","CONTRACT",IF($Z696="A","ASSET",IF($Z696="F","WORKFORCE","")))</f>
        <v/>
      </c>
      <c r="I696" s="7">
        <f>IF($Z696="C",INDEX(Contracts!$L$2:$L$151,$AB696)&amp;"",IF($Z696="A",INDEX(Fixed_Assets!$I$2:$I$201,$AB696)&amp;"",IF($Z696="F",INDEX(Workforce!$G$2:$G$151,MATCH(INDEX(FTE_Allocation!$A$2:$A$201,$AB696),Workforce!$A$2:$A$151,0))&amp;"","")))</f>
        <v/>
      </c>
      <c r="J696" s="18">
        <f>IF($Z696="","",IF(AND(DATE($AD696,1,1)&gt;=$AE696,DATE($AD696,1,1)&lt;=$AF696),ROUND($AG696,2),0))</f>
        <v/>
      </c>
      <c r="K696" s="18">
        <f>IF($Z696="","",IF(AND(DATE($AD696,2,1)&gt;=$AE696,DATE($AD696,2,1)&lt;=$AF696),ROUND($AG696,2),0))</f>
        <v/>
      </c>
      <c r="L696" s="18">
        <f>IF($Z696="","",IF(AND(DATE($AD696,3,1)&gt;=$AE696,DATE($AD696,3,1)&lt;=$AF696),ROUND($AG696,2),0))</f>
        <v/>
      </c>
      <c r="M696" s="18">
        <f>IF($Z696="","",IF(AND(DATE($AD696,4,1)&gt;=$AE696,DATE($AD696,4,1)&lt;=$AF696),ROUND($AG696,2),0))</f>
        <v/>
      </c>
      <c r="N696" s="18">
        <f>IF($Z696="","",IF(AND(DATE($AD696,5,1)&gt;=$AE696,DATE($AD696,5,1)&lt;=$AF696),ROUND($AG696,2),0))</f>
        <v/>
      </c>
      <c r="O696" s="18">
        <f>IF($Z696="","",IF(AND(DATE($AD696,6,1)&gt;=$AE696,DATE($AD696,6,1)&lt;=$AF696),ROUND($AG696,2),0))</f>
        <v/>
      </c>
      <c r="P696" s="18">
        <f>IF($Z696="","",IF(AND(DATE($AD696,7,1)&gt;=$AE696,DATE($AD696,7,1)&lt;=$AF696),ROUND($AG696,2),0))</f>
        <v/>
      </c>
      <c r="Q696" s="18">
        <f>IF($Z696="","",IF(AND(DATE($AD696,8,1)&gt;=$AE696,DATE($AD696,8,1)&lt;=$AF696),ROUND($AG696,2),0))</f>
        <v/>
      </c>
      <c r="R696" s="18">
        <f>IF($Z696="","",IF(AND(DATE($AD696,9,1)&gt;=$AE696,DATE($AD696,9,1)&lt;=$AF696),ROUND($AG696,2),0))</f>
        <v/>
      </c>
      <c r="S696" s="18">
        <f>IF($Z696="","",IF(AND(DATE($AD696,10,1)&gt;=$AE696,DATE($AD696,10,1)&lt;=$AF696),ROUND($AG696,2),0))</f>
        <v/>
      </c>
      <c r="T696" s="18">
        <f>IF($Z696="","",IF(AND(DATE($AD696,11,1)&gt;=$AE696,DATE($AD696,11,1)&lt;=$AF696),ROUND($AG696,2),0))</f>
        <v/>
      </c>
      <c r="U696" s="18">
        <f>IF($Z696="","",IF(AND(DATE($AD696,12,1)&gt;=$AE696,DATE($AD696,12,1)&lt;=$AF696),ROUND($AG696,2),0))</f>
        <v/>
      </c>
      <c r="V696" s="7">
        <f>IF($Z696="C","Generated from "&amp;INDEX(Contracts!$A$2:$A$151,$AB696),IF($Z696="A","Generated from "&amp;INDEX(Fixed_Assets!$A$2:$A$201,$AB696),IF($Z696="F","Generated from "&amp;INDEX(FTE_Allocation!$A$2:$A$201,$AB696),"")))</f>
        <v/>
      </c>
      <c r="X696" s="19">
        <f>IF($Z696="","",SUM(J696:U696))</f>
        <v/>
      </c>
      <c r="Y696" s="20">
        <f>ROW()-1</f>
        <v/>
      </c>
      <c r="Z696" s="20">
        <f>IF($Y696&lt;=Settings!$B$4*3,"C",IF($Y696&lt;=(Settings!$B$4+Settings!$B$5)*3,"A",IF($Y696&lt;=(Settings!$B$4+Settings!$B$5+Settings!$B$6)*3,"F","")))</f>
        <v/>
      </c>
      <c r="AA696" s="20">
        <f>IF($Z696="C",$Y696,IF($Z696="A",$Y696-Settings!$B$4*3,IF($Z696="F",$Y696-(Settings!$B$4+Settings!$B$5)*3,"")))</f>
        <v/>
      </c>
      <c r="AB696" s="20">
        <f>IF($Z696="","",INT(($AA696-1)/3)+1)</f>
        <v/>
      </c>
      <c r="AC696" s="20">
        <f>IF($Z696="","",MOD($AA696-1,3)+1)</f>
        <v/>
      </c>
      <c r="AD696" s="20">
        <f>IF($Z696="","",Settings!$B$2+$AC696-1)</f>
        <v/>
      </c>
      <c r="AE696" s="21">
        <f>IF($Z696="C",DATE(YEAR(INDEX(Contracts!$J$2:$J$151,$AB696)),MONTH(INDEX(Contracts!$J$2:$J$151,$AB696)),1),IF($Z696="A",DATE(YEAR(INDEX(Fixed_Assets!$G$2:$G$201,$AB696)),MONTH(INDEX(Fixed_Assets!$G$2:$G$201,$AB696)),1),IF($Z696="F",DATE(YEAR(MAX(N(INDEX(Workforce!$I$2:$I$151,MATCH(INDEX(FTE_Allocation!$A$2:$A$201,$AB696),Workforce!$A$2:$A$151,0))),N(INDEX(FTE_Allocation!$I$2:$I$201,$AB696)))),MONTH(MAX(N(INDEX(Workforce!$I$2:$I$151,MATCH(INDEX(FTE_Allocation!$A$2:$A$201,$AB696),Workforce!$A$2:$A$151,0))),N(INDEX(FTE_Allocation!$I$2:$I$201,$AB696)))),1),"")))</f>
        <v/>
      </c>
      <c r="AF696" s="21">
        <f>IF($Z696="C",IF(INDEX(Contracts!$I$2:$I$151,$AB696)="PREPAID",EDATE(DATE(YEAR(INDEX(Contracts!$J$2:$J$151,$AB696)),MONTH(INDEX(Contracts!$J$2:$J$151,$AB696)),1),IF(INDEX(Contracts!$N$2:$N$151,$AB696)="",12,INDEX(Contracts!$N$2:$N$151,$AB696))-1),IF(INDEX(Contracts!$I$2:$I$151,$AB696)="MONTHLY",IF(INDEX(Contracts!$K$2:$K$151,$AB696)="",2958101,INDEX(Contracts!$K$2:$K$151,$AB696)),0)),IF($Z696="A",EDATE(DATE(YEAR(INDEX(Fixed_Assets!$G$2:$G$201,$AB696)),MONTH(INDEX(Fixed_Assets!$G$2:$G$201,$AB696)),1),INDEX(Fixed_Assets!$J$2:$J$201,$AB696)-1),IF($Z696="F",MIN(IF(INDEX(Workforce!$J$2:$J$151,MATCH(INDEX(FTE_Allocation!$A$2:$A$201,$AB696),Workforce!$A$2:$A$151,0))="",2958101,INDEX(Workforce!$J$2:$J$151,MATCH(INDEX(FTE_Allocation!$A$2:$A$201,$AB696),Workforce!$A$2:$A$151,0))),IF(INDEX(FTE_Allocation!$J$2:$J$201,$AB696)="",2958101,INDEX(FTE_Allocation!$J$2:$J$201,$AB696))),"")))</f>
        <v/>
      </c>
      <c r="AG696" s="19">
        <f>IF($Z696="C",IF(INDEX(Contracts!$I$2:$I$151,$AB696)="PREPAID",INDEX(Contracts!$M$2:$M$151,$AB696)/IF(INDEX(Contracts!$N$2:$N$151,$AB696)="",12,INDEX(Contracts!$N$2:$N$151,$AB696)),IF(INDEX(Contracts!$I$2:$I$151,$AB696)="MONTHLY",INDEX(Contracts!$M$2:$M$151,$AB696),0))*(1-N(INDEX(Contracts!$O$2:$O$151,$AB696))),IF($Z696="A",INDEX(Fixed_Assets!$H$2:$H$201,$AB696)/INDEX(Fixed_Assets!$J$2:$J$201,$AB696),IF($Z696="F",INDEX(Workforce!$F$2:$F$151,MATCH(INDEX(FTE_Allocation!$A$2:$A$201,$AB696),Workforce!$A$2:$A$151,0))*N(INDEX(FTE_Allocation!$F$2:$H$201,$AB696,$AC696)),"")))</f>
        <v/>
      </c>
    </row>
    <row r="697">
      <c r="A697" s="7">
        <f>IF($Z697="","",$AD697)</f>
        <v/>
      </c>
      <c r="B697" s="7">
        <f>IF($Z697="C",INDEX(Contracts!$D$2:$D$151,$AB697)&amp;"",IF($Z697="A",INDEX(Fixed_Assets!$C$2:$C$201,$AB697)&amp;"",IF($Z697="F",INDEX(Workforce!$B$2:$B$151,MATCH(INDEX(FTE_Allocation!$A$2:$A$201,$AB697),Workforce!$A$2:$A$151,0))&amp;"","")))</f>
        <v/>
      </c>
      <c r="C697" s="7">
        <f>IF($Z697="C",INDEX(Contracts!$E$2:$E$151,$AB697)&amp;"",IF($Z697="A",INDEX(Fixed_Assets!$D$2:$D$201,$AB697)&amp;"",IF($Z697="F",INDEX(FTE_Allocation!$C$2:$C$201,$AB697)&amp;"","")))</f>
        <v/>
      </c>
      <c r="D697" s="7">
        <f>IF($Z697="C",INDEX(Contracts!$B$2:$B$151,$AB697)&amp;"",IF($Z697="A",INDEX(Fixed_Assets!$B$2:$B$201,$AB697)&amp;"",IF($Z697="F",INDEX(FTE_Allocation!$B$2:$B$201,$AB697)&amp;"","")))</f>
        <v/>
      </c>
      <c r="E697" s="7">
        <f>IF($Z697="C",INDEX(Contracts!$P$2:$P$151,$AB697)&amp;"",IF($Z697="A",INDEX(Fixed_Assets!$K$2:$K$201,$AB697)&amp;"",IF($Z697="F",IF(INDEX(FTE_Allocation!$D$2:$D$201,$AB697)="PROJECT",IFERROR(INDEX(Projects!$D:$D,MATCH(INDEX(FTE_Allocation!$E$2:$E$201,$AB697),Projects!$A:$A,0))&amp;"","#PROJECT?"),INDEX(FTE_Allocation!$E$2:$E$201,$AB697)&amp;""),"")))</f>
        <v/>
      </c>
      <c r="F697" s="7">
        <f>IF($Z697="C",INDEX(Contracts!$Q$2:$Q$151,$AB697)&amp;"",IF($Z697="A",INDEX(Fixed_Assets!$L$2:$L$201,$AB697)&amp;"",IF($Z697="F",INDEX(Workforce!$K$2:$K$151,MATCH(INDEX(FTE_Allocation!$A$2:$A$201,$AB697),Workforce!$A$2:$A$151,0))&amp;"","")))</f>
        <v/>
      </c>
      <c r="G697" s="7">
        <f>IF($Z697="C",INDEX(Contracts!$F$2:$F$151,$AB697)&amp;" / "&amp;INDEX(Contracts!$G$2:$G$151,$AB697),IF($Z697="A",INDEX(Fixed_Assets!$E$2:$E$201,$AB697)&amp;"",IF($Z697="F","Personnel "&amp;INDEX(FTE_Allocation!$A$2:$A$201,$AB697)&amp;IF(INDEX(FTE_Allocation!$D$2:$D$201,$AB697)="PROJECT"," ("&amp;INDEX(FTE_Allocation!$E$2:$E$201,$AB697)&amp;")",""),"")))</f>
        <v/>
      </c>
      <c r="H697" s="7">
        <f>IF($Z697="C","CONTRACT",IF($Z697="A","ASSET",IF($Z697="F","WORKFORCE","")))</f>
        <v/>
      </c>
      <c r="I697" s="7">
        <f>IF($Z697="C",INDEX(Contracts!$L$2:$L$151,$AB697)&amp;"",IF($Z697="A",INDEX(Fixed_Assets!$I$2:$I$201,$AB697)&amp;"",IF($Z697="F",INDEX(Workforce!$G$2:$G$151,MATCH(INDEX(FTE_Allocation!$A$2:$A$201,$AB697),Workforce!$A$2:$A$151,0))&amp;"","")))</f>
        <v/>
      </c>
      <c r="J697" s="18">
        <f>IF($Z697="","",IF(AND(DATE($AD697,1,1)&gt;=$AE697,DATE($AD697,1,1)&lt;=$AF697),ROUND($AG697,2),0))</f>
        <v/>
      </c>
      <c r="K697" s="18">
        <f>IF($Z697="","",IF(AND(DATE($AD697,2,1)&gt;=$AE697,DATE($AD697,2,1)&lt;=$AF697),ROUND($AG697,2),0))</f>
        <v/>
      </c>
      <c r="L697" s="18">
        <f>IF($Z697="","",IF(AND(DATE($AD697,3,1)&gt;=$AE697,DATE($AD697,3,1)&lt;=$AF697),ROUND($AG697,2),0))</f>
        <v/>
      </c>
      <c r="M697" s="18">
        <f>IF($Z697="","",IF(AND(DATE($AD697,4,1)&gt;=$AE697,DATE($AD697,4,1)&lt;=$AF697),ROUND($AG697,2),0))</f>
        <v/>
      </c>
      <c r="N697" s="18">
        <f>IF($Z697="","",IF(AND(DATE($AD697,5,1)&gt;=$AE697,DATE($AD697,5,1)&lt;=$AF697),ROUND($AG697,2),0))</f>
        <v/>
      </c>
      <c r="O697" s="18">
        <f>IF($Z697="","",IF(AND(DATE($AD697,6,1)&gt;=$AE697,DATE($AD697,6,1)&lt;=$AF697),ROUND($AG697,2),0))</f>
        <v/>
      </c>
      <c r="P697" s="18">
        <f>IF($Z697="","",IF(AND(DATE($AD697,7,1)&gt;=$AE697,DATE($AD697,7,1)&lt;=$AF697),ROUND($AG697,2),0))</f>
        <v/>
      </c>
      <c r="Q697" s="18">
        <f>IF($Z697="","",IF(AND(DATE($AD697,8,1)&gt;=$AE697,DATE($AD697,8,1)&lt;=$AF697),ROUND($AG697,2),0))</f>
        <v/>
      </c>
      <c r="R697" s="18">
        <f>IF($Z697="","",IF(AND(DATE($AD697,9,1)&gt;=$AE697,DATE($AD697,9,1)&lt;=$AF697),ROUND($AG697,2),0))</f>
        <v/>
      </c>
      <c r="S697" s="18">
        <f>IF($Z697="","",IF(AND(DATE($AD697,10,1)&gt;=$AE697,DATE($AD697,10,1)&lt;=$AF697),ROUND($AG697,2),0))</f>
        <v/>
      </c>
      <c r="T697" s="18">
        <f>IF($Z697="","",IF(AND(DATE($AD697,11,1)&gt;=$AE697,DATE($AD697,11,1)&lt;=$AF697),ROUND($AG697,2),0))</f>
        <v/>
      </c>
      <c r="U697" s="18">
        <f>IF($Z697="","",IF(AND(DATE($AD697,12,1)&gt;=$AE697,DATE($AD697,12,1)&lt;=$AF697),ROUND($AG697,2),0))</f>
        <v/>
      </c>
      <c r="V697" s="7">
        <f>IF($Z697="C","Generated from "&amp;INDEX(Contracts!$A$2:$A$151,$AB697),IF($Z697="A","Generated from "&amp;INDEX(Fixed_Assets!$A$2:$A$201,$AB697),IF($Z697="F","Generated from "&amp;INDEX(FTE_Allocation!$A$2:$A$201,$AB697),"")))</f>
        <v/>
      </c>
      <c r="X697" s="19">
        <f>IF($Z697="","",SUM(J697:U697))</f>
        <v/>
      </c>
      <c r="Y697" s="20">
        <f>ROW()-1</f>
        <v/>
      </c>
      <c r="Z697" s="20">
        <f>IF($Y697&lt;=Settings!$B$4*3,"C",IF($Y697&lt;=(Settings!$B$4+Settings!$B$5)*3,"A",IF($Y697&lt;=(Settings!$B$4+Settings!$B$5+Settings!$B$6)*3,"F","")))</f>
        <v/>
      </c>
      <c r="AA697" s="20">
        <f>IF($Z697="C",$Y697,IF($Z697="A",$Y697-Settings!$B$4*3,IF($Z697="F",$Y697-(Settings!$B$4+Settings!$B$5)*3,"")))</f>
        <v/>
      </c>
      <c r="AB697" s="20">
        <f>IF($Z697="","",INT(($AA697-1)/3)+1)</f>
        <v/>
      </c>
      <c r="AC697" s="20">
        <f>IF($Z697="","",MOD($AA697-1,3)+1)</f>
        <v/>
      </c>
      <c r="AD697" s="20">
        <f>IF($Z697="","",Settings!$B$2+$AC697-1)</f>
        <v/>
      </c>
      <c r="AE697" s="21">
        <f>IF($Z697="C",DATE(YEAR(INDEX(Contracts!$J$2:$J$151,$AB697)),MONTH(INDEX(Contracts!$J$2:$J$151,$AB697)),1),IF($Z697="A",DATE(YEAR(INDEX(Fixed_Assets!$G$2:$G$201,$AB697)),MONTH(INDEX(Fixed_Assets!$G$2:$G$201,$AB697)),1),IF($Z697="F",DATE(YEAR(MAX(N(INDEX(Workforce!$I$2:$I$151,MATCH(INDEX(FTE_Allocation!$A$2:$A$201,$AB697),Workforce!$A$2:$A$151,0))),N(INDEX(FTE_Allocation!$I$2:$I$201,$AB697)))),MONTH(MAX(N(INDEX(Workforce!$I$2:$I$151,MATCH(INDEX(FTE_Allocation!$A$2:$A$201,$AB697),Workforce!$A$2:$A$151,0))),N(INDEX(FTE_Allocation!$I$2:$I$201,$AB697)))),1),"")))</f>
        <v/>
      </c>
      <c r="AF697" s="21">
        <f>IF($Z697="C",IF(INDEX(Contracts!$I$2:$I$151,$AB697)="PREPAID",EDATE(DATE(YEAR(INDEX(Contracts!$J$2:$J$151,$AB697)),MONTH(INDEX(Contracts!$J$2:$J$151,$AB697)),1),IF(INDEX(Contracts!$N$2:$N$151,$AB697)="",12,INDEX(Contracts!$N$2:$N$151,$AB697))-1),IF(INDEX(Contracts!$I$2:$I$151,$AB697)="MONTHLY",IF(INDEX(Contracts!$K$2:$K$151,$AB697)="",2958101,INDEX(Contracts!$K$2:$K$151,$AB697)),0)),IF($Z697="A",EDATE(DATE(YEAR(INDEX(Fixed_Assets!$G$2:$G$201,$AB697)),MONTH(INDEX(Fixed_Assets!$G$2:$G$201,$AB697)),1),INDEX(Fixed_Assets!$J$2:$J$201,$AB697)-1),IF($Z697="F",MIN(IF(INDEX(Workforce!$J$2:$J$151,MATCH(INDEX(FTE_Allocation!$A$2:$A$201,$AB697),Workforce!$A$2:$A$151,0))="",2958101,INDEX(Workforce!$J$2:$J$151,MATCH(INDEX(FTE_Allocation!$A$2:$A$201,$AB697),Workforce!$A$2:$A$151,0))),IF(INDEX(FTE_Allocation!$J$2:$J$201,$AB697)="",2958101,INDEX(FTE_Allocation!$J$2:$J$201,$AB697))),"")))</f>
        <v/>
      </c>
      <c r="AG697" s="19">
        <f>IF($Z697="C",IF(INDEX(Contracts!$I$2:$I$151,$AB697)="PREPAID",INDEX(Contracts!$M$2:$M$151,$AB697)/IF(INDEX(Contracts!$N$2:$N$151,$AB697)="",12,INDEX(Contracts!$N$2:$N$151,$AB697)),IF(INDEX(Contracts!$I$2:$I$151,$AB697)="MONTHLY",INDEX(Contracts!$M$2:$M$151,$AB697),0))*(1-N(INDEX(Contracts!$O$2:$O$151,$AB697))),IF($Z697="A",INDEX(Fixed_Assets!$H$2:$H$201,$AB697)/INDEX(Fixed_Assets!$J$2:$J$201,$AB697),IF($Z697="F",INDEX(Workforce!$F$2:$F$151,MATCH(INDEX(FTE_Allocation!$A$2:$A$201,$AB697),Workforce!$A$2:$A$151,0))*N(INDEX(FTE_Allocation!$F$2:$H$201,$AB697,$AC697)),"")))</f>
        <v/>
      </c>
    </row>
    <row r="698">
      <c r="A698" s="7">
        <f>IF($Z698="","",$AD698)</f>
        <v/>
      </c>
      <c r="B698" s="7">
        <f>IF($Z698="C",INDEX(Contracts!$D$2:$D$151,$AB698)&amp;"",IF($Z698="A",INDEX(Fixed_Assets!$C$2:$C$201,$AB698)&amp;"",IF($Z698="F",INDEX(Workforce!$B$2:$B$151,MATCH(INDEX(FTE_Allocation!$A$2:$A$201,$AB698),Workforce!$A$2:$A$151,0))&amp;"","")))</f>
        <v/>
      </c>
      <c r="C698" s="7">
        <f>IF($Z698="C",INDEX(Contracts!$E$2:$E$151,$AB698)&amp;"",IF($Z698="A",INDEX(Fixed_Assets!$D$2:$D$201,$AB698)&amp;"",IF($Z698="F",INDEX(FTE_Allocation!$C$2:$C$201,$AB698)&amp;"","")))</f>
        <v/>
      </c>
      <c r="D698" s="7">
        <f>IF($Z698="C",INDEX(Contracts!$B$2:$B$151,$AB698)&amp;"",IF($Z698="A",INDEX(Fixed_Assets!$B$2:$B$201,$AB698)&amp;"",IF($Z698="F",INDEX(FTE_Allocation!$B$2:$B$201,$AB698)&amp;"","")))</f>
        <v/>
      </c>
      <c r="E698" s="7">
        <f>IF($Z698="C",INDEX(Contracts!$P$2:$P$151,$AB698)&amp;"",IF($Z698="A",INDEX(Fixed_Assets!$K$2:$K$201,$AB698)&amp;"",IF($Z698="F",IF(INDEX(FTE_Allocation!$D$2:$D$201,$AB698)="PROJECT",IFERROR(INDEX(Projects!$D:$D,MATCH(INDEX(FTE_Allocation!$E$2:$E$201,$AB698),Projects!$A:$A,0))&amp;"","#PROJECT?"),INDEX(FTE_Allocation!$E$2:$E$201,$AB698)&amp;""),"")))</f>
        <v/>
      </c>
      <c r="F698" s="7">
        <f>IF($Z698="C",INDEX(Contracts!$Q$2:$Q$151,$AB698)&amp;"",IF($Z698="A",INDEX(Fixed_Assets!$L$2:$L$201,$AB698)&amp;"",IF($Z698="F",INDEX(Workforce!$K$2:$K$151,MATCH(INDEX(FTE_Allocation!$A$2:$A$201,$AB698),Workforce!$A$2:$A$151,0))&amp;"","")))</f>
        <v/>
      </c>
      <c r="G698" s="7">
        <f>IF($Z698="C",INDEX(Contracts!$F$2:$F$151,$AB698)&amp;" / "&amp;INDEX(Contracts!$G$2:$G$151,$AB698),IF($Z698="A",INDEX(Fixed_Assets!$E$2:$E$201,$AB698)&amp;"",IF($Z698="F","Personnel "&amp;INDEX(FTE_Allocation!$A$2:$A$201,$AB698)&amp;IF(INDEX(FTE_Allocation!$D$2:$D$201,$AB698)="PROJECT"," ("&amp;INDEX(FTE_Allocation!$E$2:$E$201,$AB698)&amp;")",""),"")))</f>
        <v/>
      </c>
      <c r="H698" s="7">
        <f>IF($Z698="C","CONTRACT",IF($Z698="A","ASSET",IF($Z698="F","WORKFORCE","")))</f>
        <v/>
      </c>
      <c r="I698" s="7">
        <f>IF($Z698="C",INDEX(Contracts!$L$2:$L$151,$AB698)&amp;"",IF($Z698="A",INDEX(Fixed_Assets!$I$2:$I$201,$AB698)&amp;"",IF($Z698="F",INDEX(Workforce!$G$2:$G$151,MATCH(INDEX(FTE_Allocation!$A$2:$A$201,$AB698),Workforce!$A$2:$A$151,0))&amp;"","")))</f>
        <v/>
      </c>
      <c r="J698" s="18">
        <f>IF($Z698="","",IF(AND(DATE($AD698,1,1)&gt;=$AE698,DATE($AD698,1,1)&lt;=$AF698),ROUND($AG698,2),0))</f>
        <v/>
      </c>
      <c r="K698" s="18">
        <f>IF($Z698="","",IF(AND(DATE($AD698,2,1)&gt;=$AE698,DATE($AD698,2,1)&lt;=$AF698),ROUND($AG698,2),0))</f>
        <v/>
      </c>
      <c r="L698" s="18">
        <f>IF($Z698="","",IF(AND(DATE($AD698,3,1)&gt;=$AE698,DATE($AD698,3,1)&lt;=$AF698),ROUND($AG698,2),0))</f>
        <v/>
      </c>
      <c r="M698" s="18">
        <f>IF($Z698="","",IF(AND(DATE($AD698,4,1)&gt;=$AE698,DATE($AD698,4,1)&lt;=$AF698),ROUND($AG698,2),0))</f>
        <v/>
      </c>
      <c r="N698" s="18">
        <f>IF($Z698="","",IF(AND(DATE($AD698,5,1)&gt;=$AE698,DATE($AD698,5,1)&lt;=$AF698),ROUND($AG698,2),0))</f>
        <v/>
      </c>
      <c r="O698" s="18">
        <f>IF($Z698="","",IF(AND(DATE($AD698,6,1)&gt;=$AE698,DATE($AD698,6,1)&lt;=$AF698),ROUND($AG698,2),0))</f>
        <v/>
      </c>
      <c r="P698" s="18">
        <f>IF($Z698="","",IF(AND(DATE($AD698,7,1)&gt;=$AE698,DATE($AD698,7,1)&lt;=$AF698),ROUND($AG698,2),0))</f>
        <v/>
      </c>
      <c r="Q698" s="18">
        <f>IF($Z698="","",IF(AND(DATE($AD698,8,1)&gt;=$AE698,DATE($AD698,8,1)&lt;=$AF698),ROUND($AG698,2),0))</f>
        <v/>
      </c>
      <c r="R698" s="18">
        <f>IF($Z698="","",IF(AND(DATE($AD698,9,1)&gt;=$AE698,DATE($AD698,9,1)&lt;=$AF698),ROUND($AG698,2),0))</f>
        <v/>
      </c>
      <c r="S698" s="18">
        <f>IF($Z698="","",IF(AND(DATE($AD698,10,1)&gt;=$AE698,DATE($AD698,10,1)&lt;=$AF698),ROUND($AG698,2),0))</f>
        <v/>
      </c>
      <c r="T698" s="18">
        <f>IF($Z698="","",IF(AND(DATE($AD698,11,1)&gt;=$AE698,DATE($AD698,11,1)&lt;=$AF698),ROUND($AG698,2),0))</f>
        <v/>
      </c>
      <c r="U698" s="18">
        <f>IF($Z698="","",IF(AND(DATE($AD698,12,1)&gt;=$AE698,DATE($AD698,12,1)&lt;=$AF698),ROUND($AG698,2),0))</f>
        <v/>
      </c>
      <c r="V698" s="7">
        <f>IF($Z698="C","Generated from "&amp;INDEX(Contracts!$A$2:$A$151,$AB698),IF($Z698="A","Generated from "&amp;INDEX(Fixed_Assets!$A$2:$A$201,$AB698),IF($Z698="F","Generated from "&amp;INDEX(FTE_Allocation!$A$2:$A$201,$AB698),"")))</f>
        <v/>
      </c>
      <c r="X698" s="19">
        <f>IF($Z698="","",SUM(J698:U698))</f>
        <v/>
      </c>
      <c r="Y698" s="20">
        <f>ROW()-1</f>
        <v/>
      </c>
      <c r="Z698" s="20">
        <f>IF($Y698&lt;=Settings!$B$4*3,"C",IF($Y698&lt;=(Settings!$B$4+Settings!$B$5)*3,"A",IF($Y698&lt;=(Settings!$B$4+Settings!$B$5+Settings!$B$6)*3,"F","")))</f>
        <v/>
      </c>
      <c r="AA698" s="20">
        <f>IF($Z698="C",$Y698,IF($Z698="A",$Y698-Settings!$B$4*3,IF($Z698="F",$Y698-(Settings!$B$4+Settings!$B$5)*3,"")))</f>
        <v/>
      </c>
      <c r="AB698" s="20">
        <f>IF($Z698="","",INT(($AA698-1)/3)+1)</f>
        <v/>
      </c>
      <c r="AC698" s="20">
        <f>IF($Z698="","",MOD($AA698-1,3)+1)</f>
        <v/>
      </c>
      <c r="AD698" s="20">
        <f>IF($Z698="","",Settings!$B$2+$AC698-1)</f>
        <v/>
      </c>
      <c r="AE698" s="21">
        <f>IF($Z698="C",DATE(YEAR(INDEX(Contracts!$J$2:$J$151,$AB698)),MONTH(INDEX(Contracts!$J$2:$J$151,$AB698)),1),IF($Z698="A",DATE(YEAR(INDEX(Fixed_Assets!$G$2:$G$201,$AB698)),MONTH(INDEX(Fixed_Assets!$G$2:$G$201,$AB698)),1),IF($Z698="F",DATE(YEAR(MAX(N(INDEX(Workforce!$I$2:$I$151,MATCH(INDEX(FTE_Allocation!$A$2:$A$201,$AB698),Workforce!$A$2:$A$151,0))),N(INDEX(FTE_Allocation!$I$2:$I$201,$AB698)))),MONTH(MAX(N(INDEX(Workforce!$I$2:$I$151,MATCH(INDEX(FTE_Allocation!$A$2:$A$201,$AB698),Workforce!$A$2:$A$151,0))),N(INDEX(FTE_Allocation!$I$2:$I$201,$AB698)))),1),"")))</f>
        <v/>
      </c>
      <c r="AF698" s="21">
        <f>IF($Z698="C",IF(INDEX(Contracts!$I$2:$I$151,$AB698)="PREPAID",EDATE(DATE(YEAR(INDEX(Contracts!$J$2:$J$151,$AB698)),MONTH(INDEX(Contracts!$J$2:$J$151,$AB698)),1),IF(INDEX(Contracts!$N$2:$N$151,$AB698)="",12,INDEX(Contracts!$N$2:$N$151,$AB698))-1),IF(INDEX(Contracts!$I$2:$I$151,$AB698)="MONTHLY",IF(INDEX(Contracts!$K$2:$K$151,$AB698)="",2958101,INDEX(Contracts!$K$2:$K$151,$AB698)),0)),IF($Z698="A",EDATE(DATE(YEAR(INDEX(Fixed_Assets!$G$2:$G$201,$AB698)),MONTH(INDEX(Fixed_Assets!$G$2:$G$201,$AB698)),1),INDEX(Fixed_Assets!$J$2:$J$201,$AB698)-1),IF($Z698="F",MIN(IF(INDEX(Workforce!$J$2:$J$151,MATCH(INDEX(FTE_Allocation!$A$2:$A$201,$AB698),Workforce!$A$2:$A$151,0))="",2958101,INDEX(Workforce!$J$2:$J$151,MATCH(INDEX(FTE_Allocation!$A$2:$A$201,$AB698),Workforce!$A$2:$A$151,0))),IF(INDEX(FTE_Allocation!$J$2:$J$201,$AB698)="",2958101,INDEX(FTE_Allocation!$J$2:$J$201,$AB698))),"")))</f>
        <v/>
      </c>
      <c r="AG698" s="19">
        <f>IF($Z698="C",IF(INDEX(Contracts!$I$2:$I$151,$AB698)="PREPAID",INDEX(Contracts!$M$2:$M$151,$AB698)/IF(INDEX(Contracts!$N$2:$N$151,$AB698)="",12,INDEX(Contracts!$N$2:$N$151,$AB698)),IF(INDEX(Contracts!$I$2:$I$151,$AB698)="MONTHLY",INDEX(Contracts!$M$2:$M$151,$AB698),0))*(1-N(INDEX(Contracts!$O$2:$O$151,$AB698))),IF($Z698="A",INDEX(Fixed_Assets!$H$2:$H$201,$AB698)/INDEX(Fixed_Assets!$J$2:$J$201,$AB698),IF($Z698="F",INDEX(Workforce!$F$2:$F$151,MATCH(INDEX(FTE_Allocation!$A$2:$A$201,$AB698),Workforce!$A$2:$A$151,0))*N(INDEX(FTE_Allocation!$F$2:$H$201,$AB698,$AC698)),"")))</f>
        <v/>
      </c>
    </row>
    <row r="699">
      <c r="A699" s="7">
        <f>IF($Z699="","",$AD699)</f>
        <v/>
      </c>
      <c r="B699" s="7">
        <f>IF($Z699="C",INDEX(Contracts!$D$2:$D$151,$AB699)&amp;"",IF($Z699="A",INDEX(Fixed_Assets!$C$2:$C$201,$AB699)&amp;"",IF($Z699="F",INDEX(Workforce!$B$2:$B$151,MATCH(INDEX(FTE_Allocation!$A$2:$A$201,$AB699),Workforce!$A$2:$A$151,0))&amp;"","")))</f>
        <v/>
      </c>
      <c r="C699" s="7">
        <f>IF($Z699="C",INDEX(Contracts!$E$2:$E$151,$AB699)&amp;"",IF($Z699="A",INDEX(Fixed_Assets!$D$2:$D$201,$AB699)&amp;"",IF($Z699="F",INDEX(FTE_Allocation!$C$2:$C$201,$AB699)&amp;"","")))</f>
        <v/>
      </c>
      <c r="D699" s="7">
        <f>IF($Z699="C",INDEX(Contracts!$B$2:$B$151,$AB699)&amp;"",IF($Z699="A",INDEX(Fixed_Assets!$B$2:$B$201,$AB699)&amp;"",IF($Z699="F",INDEX(FTE_Allocation!$B$2:$B$201,$AB699)&amp;"","")))</f>
        <v/>
      </c>
      <c r="E699" s="7">
        <f>IF($Z699="C",INDEX(Contracts!$P$2:$P$151,$AB699)&amp;"",IF($Z699="A",INDEX(Fixed_Assets!$K$2:$K$201,$AB699)&amp;"",IF($Z699="F",IF(INDEX(FTE_Allocation!$D$2:$D$201,$AB699)="PROJECT",IFERROR(INDEX(Projects!$D:$D,MATCH(INDEX(FTE_Allocation!$E$2:$E$201,$AB699),Projects!$A:$A,0))&amp;"","#PROJECT?"),INDEX(FTE_Allocation!$E$2:$E$201,$AB699)&amp;""),"")))</f>
        <v/>
      </c>
      <c r="F699" s="7">
        <f>IF($Z699="C",INDEX(Contracts!$Q$2:$Q$151,$AB699)&amp;"",IF($Z699="A",INDEX(Fixed_Assets!$L$2:$L$201,$AB699)&amp;"",IF($Z699="F",INDEX(Workforce!$K$2:$K$151,MATCH(INDEX(FTE_Allocation!$A$2:$A$201,$AB699),Workforce!$A$2:$A$151,0))&amp;"","")))</f>
        <v/>
      </c>
      <c r="G699" s="7">
        <f>IF($Z699="C",INDEX(Contracts!$F$2:$F$151,$AB699)&amp;" / "&amp;INDEX(Contracts!$G$2:$G$151,$AB699),IF($Z699="A",INDEX(Fixed_Assets!$E$2:$E$201,$AB699)&amp;"",IF($Z699="F","Personnel "&amp;INDEX(FTE_Allocation!$A$2:$A$201,$AB699)&amp;IF(INDEX(FTE_Allocation!$D$2:$D$201,$AB699)="PROJECT"," ("&amp;INDEX(FTE_Allocation!$E$2:$E$201,$AB699)&amp;")",""),"")))</f>
        <v/>
      </c>
      <c r="H699" s="7">
        <f>IF($Z699="C","CONTRACT",IF($Z699="A","ASSET",IF($Z699="F","WORKFORCE","")))</f>
        <v/>
      </c>
      <c r="I699" s="7">
        <f>IF($Z699="C",INDEX(Contracts!$L$2:$L$151,$AB699)&amp;"",IF($Z699="A",INDEX(Fixed_Assets!$I$2:$I$201,$AB699)&amp;"",IF($Z699="F",INDEX(Workforce!$G$2:$G$151,MATCH(INDEX(FTE_Allocation!$A$2:$A$201,$AB699),Workforce!$A$2:$A$151,0))&amp;"","")))</f>
        <v/>
      </c>
      <c r="J699" s="18">
        <f>IF($Z699="","",IF(AND(DATE($AD699,1,1)&gt;=$AE699,DATE($AD699,1,1)&lt;=$AF699),ROUND($AG699,2),0))</f>
        <v/>
      </c>
      <c r="K699" s="18">
        <f>IF($Z699="","",IF(AND(DATE($AD699,2,1)&gt;=$AE699,DATE($AD699,2,1)&lt;=$AF699),ROUND($AG699,2),0))</f>
        <v/>
      </c>
      <c r="L699" s="18">
        <f>IF($Z699="","",IF(AND(DATE($AD699,3,1)&gt;=$AE699,DATE($AD699,3,1)&lt;=$AF699),ROUND($AG699,2),0))</f>
        <v/>
      </c>
      <c r="M699" s="18">
        <f>IF($Z699="","",IF(AND(DATE($AD699,4,1)&gt;=$AE699,DATE($AD699,4,1)&lt;=$AF699),ROUND($AG699,2),0))</f>
        <v/>
      </c>
      <c r="N699" s="18">
        <f>IF($Z699="","",IF(AND(DATE($AD699,5,1)&gt;=$AE699,DATE($AD699,5,1)&lt;=$AF699),ROUND($AG699,2),0))</f>
        <v/>
      </c>
      <c r="O699" s="18">
        <f>IF($Z699="","",IF(AND(DATE($AD699,6,1)&gt;=$AE699,DATE($AD699,6,1)&lt;=$AF699),ROUND($AG699,2),0))</f>
        <v/>
      </c>
      <c r="P699" s="18">
        <f>IF($Z699="","",IF(AND(DATE($AD699,7,1)&gt;=$AE699,DATE($AD699,7,1)&lt;=$AF699),ROUND($AG699,2),0))</f>
        <v/>
      </c>
      <c r="Q699" s="18">
        <f>IF($Z699="","",IF(AND(DATE($AD699,8,1)&gt;=$AE699,DATE($AD699,8,1)&lt;=$AF699),ROUND($AG699,2),0))</f>
        <v/>
      </c>
      <c r="R699" s="18">
        <f>IF($Z699="","",IF(AND(DATE($AD699,9,1)&gt;=$AE699,DATE($AD699,9,1)&lt;=$AF699),ROUND($AG699,2),0))</f>
        <v/>
      </c>
      <c r="S699" s="18">
        <f>IF($Z699="","",IF(AND(DATE($AD699,10,1)&gt;=$AE699,DATE($AD699,10,1)&lt;=$AF699),ROUND($AG699,2),0))</f>
        <v/>
      </c>
      <c r="T699" s="18">
        <f>IF($Z699="","",IF(AND(DATE($AD699,11,1)&gt;=$AE699,DATE($AD699,11,1)&lt;=$AF699),ROUND($AG699,2),0))</f>
        <v/>
      </c>
      <c r="U699" s="18">
        <f>IF($Z699="","",IF(AND(DATE($AD699,12,1)&gt;=$AE699,DATE($AD699,12,1)&lt;=$AF699),ROUND($AG699,2),0))</f>
        <v/>
      </c>
      <c r="V699" s="7">
        <f>IF($Z699="C","Generated from "&amp;INDEX(Contracts!$A$2:$A$151,$AB699),IF($Z699="A","Generated from "&amp;INDEX(Fixed_Assets!$A$2:$A$201,$AB699),IF($Z699="F","Generated from "&amp;INDEX(FTE_Allocation!$A$2:$A$201,$AB699),"")))</f>
        <v/>
      </c>
      <c r="X699" s="19">
        <f>IF($Z699="","",SUM(J699:U699))</f>
        <v/>
      </c>
      <c r="Y699" s="20">
        <f>ROW()-1</f>
        <v/>
      </c>
      <c r="Z699" s="20">
        <f>IF($Y699&lt;=Settings!$B$4*3,"C",IF($Y699&lt;=(Settings!$B$4+Settings!$B$5)*3,"A",IF($Y699&lt;=(Settings!$B$4+Settings!$B$5+Settings!$B$6)*3,"F","")))</f>
        <v/>
      </c>
      <c r="AA699" s="20">
        <f>IF($Z699="C",$Y699,IF($Z699="A",$Y699-Settings!$B$4*3,IF($Z699="F",$Y699-(Settings!$B$4+Settings!$B$5)*3,"")))</f>
        <v/>
      </c>
      <c r="AB699" s="20">
        <f>IF($Z699="","",INT(($AA699-1)/3)+1)</f>
        <v/>
      </c>
      <c r="AC699" s="20">
        <f>IF($Z699="","",MOD($AA699-1,3)+1)</f>
        <v/>
      </c>
      <c r="AD699" s="20">
        <f>IF($Z699="","",Settings!$B$2+$AC699-1)</f>
        <v/>
      </c>
      <c r="AE699" s="21">
        <f>IF($Z699="C",DATE(YEAR(INDEX(Contracts!$J$2:$J$151,$AB699)),MONTH(INDEX(Contracts!$J$2:$J$151,$AB699)),1),IF($Z699="A",DATE(YEAR(INDEX(Fixed_Assets!$G$2:$G$201,$AB699)),MONTH(INDEX(Fixed_Assets!$G$2:$G$201,$AB699)),1),IF($Z699="F",DATE(YEAR(MAX(N(INDEX(Workforce!$I$2:$I$151,MATCH(INDEX(FTE_Allocation!$A$2:$A$201,$AB699),Workforce!$A$2:$A$151,0))),N(INDEX(FTE_Allocation!$I$2:$I$201,$AB699)))),MONTH(MAX(N(INDEX(Workforce!$I$2:$I$151,MATCH(INDEX(FTE_Allocation!$A$2:$A$201,$AB699),Workforce!$A$2:$A$151,0))),N(INDEX(FTE_Allocation!$I$2:$I$201,$AB699)))),1),"")))</f>
        <v/>
      </c>
      <c r="AF699" s="21">
        <f>IF($Z699="C",IF(INDEX(Contracts!$I$2:$I$151,$AB699)="PREPAID",EDATE(DATE(YEAR(INDEX(Contracts!$J$2:$J$151,$AB699)),MONTH(INDEX(Contracts!$J$2:$J$151,$AB699)),1),IF(INDEX(Contracts!$N$2:$N$151,$AB699)="",12,INDEX(Contracts!$N$2:$N$151,$AB699))-1),IF(INDEX(Contracts!$I$2:$I$151,$AB699)="MONTHLY",IF(INDEX(Contracts!$K$2:$K$151,$AB699)="",2958101,INDEX(Contracts!$K$2:$K$151,$AB699)),0)),IF($Z699="A",EDATE(DATE(YEAR(INDEX(Fixed_Assets!$G$2:$G$201,$AB699)),MONTH(INDEX(Fixed_Assets!$G$2:$G$201,$AB699)),1),INDEX(Fixed_Assets!$J$2:$J$201,$AB699)-1),IF($Z699="F",MIN(IF(INDEX(Workforce!$J$2:$J$151,MATCH(INDEX(FTE_Allocation!$A$2:$A$201,$AB699),Workforce!$A$2:$A$151,0))="",2958101,INDEX(Workforce!$J$2:$J$151,MATCH(INDEX(FTE_Allocation!$A$2:$A$201,$AB699),Workforce!$A$2:$A$151,0))),IF(INDEX(FTE_Allocation!$J$2:$J$201,$AB699)="",2958101,INDEX(FTE_Allocation!$J$2:$J$201,$AB699))),"")))</f>
        <v/>
      </c>
      <c r="AG699" s="19">
        <f>IF($Z699="C",IF(INDEX(Contracts!$I$2:$I$151,$AB699)="PREPAID",INDEX(Contracts!$M$2:$M$151,$AB699)/IF(INDEX(Contracts!$N$2:$N$151,$AB699)="",12,INDEX(Contracts!$N$2:$N$151,$AB699)),IF(INDEX(Contracts!$I$2:$I$151,$AB699)="MONTHLY",INDEX(Contracts!$M$2:$M$151,$AB699),0))*(1-N(INDEX(Contracts!$O$2:$O$151,$AB699))),IF($Z699="A",INDEX(Fixed_Assets!$H$2:$H$201,$AB699)/INDEX(Fixed_Assets!$J$2:$J$201,$AB699),IF($Z699="F",INDEX(Workforce!$F$2:$F$151,MATCH(INDEX(FTE_Allocation!$A$2:$A$201,$AB699),Workforce!$A$2:$A$151,0))*N(INDEX(FTE_Allocation!$F$2:$H$201,$AB699,$AC699)),"")))</f>
        <v/>
      </c>
    </row>
    <row r="700">
      <c r="A700" s="7">
        <f>IF($Z700="","",$AD700)</f>
        <v/>
      </c>
      <c r="B700" s="7">
        <f>IF($Z700="C",INDEX(Contracts!$D$2:$D$151,$AB700)&amp;"",IF($Z700="A",INDEX(Fixed_Assets!$C$2:$C$201,$AB700)&amp;"",IF($Z700="F",INDEX(Workforce!$B$2:$B$151,MATCH(INDEX(FTE_Allocation!$A$2:$A$201,$AB700),Workforce!$A$2:$A$151,0))&amp;"","")))</f>
        <v/>
      </c>
      <c r="C700" s="7">
        <f>IF($Z700="C",INDEX(Contracts!$E$2:$E$151,$AB700)&amp;"",IF($Z700="A",INDEX(Fixed_Assets!$D$2:$D$201,$AB700)&amp;"",IF($Z700="F",INDEX(FTE_Allocation!$C$2:$C$201,$AB700)&amp;"","")))</f>
        <v/>
      </c>
      <c r="D700" s="7">
        <f>IF($Z700="C",INDEX(Contracts!$B$2:$B$151,$AB700)&amp;"",IF($Z700="A",INDEX(Fixed_Assets!$B$2:$B$201,$AB700)&amp;"",IF($Z700="F",INDEX(FTE_Allocation!$B$2:$B$201,$AB700)&amp;"","")))</f>
        <v/>
      </c>
      <c r="E700" s="7">
        <f>IF($Z700="C",INDEX(Contracts!$P$2:$P$151,$AB700)&amp;"",IF($Z700="A",INDEX(Fixed_Assets!$K$2:$K$201,$AB700)&amp;"",IF($Z700="F",IF(INDEX(FTE_Allocation!$D$2:$D$201,$AB700)="PROJECT",IFERROR(INDEX(Projects!$D:$D,MATCH(INDEX(FTE_Allocation!$E$2:$E$201,$AB700),Projects!$A:$A,0))&amp;"","#PROJECT?"),INDEX(FTE_Allocation!$E$2:$E$201,$AB700)&amp;""),"")))</f>
        <v/>
      </c>
      <c r="F700" s="7">
        <f>IF($Z700="C",INDEX(Contracts!$Q$2:$Q$151,$AB700)&amp;"",IF($Z700="A",INDEX(Fixed_Assets!$L$2:$L$201,$AB700)&amp;"",IF($Z700="F",INDEX(Workforce!$K$2:$K$151,MATCH(INDEX(FTE_Allocation!$A$2:$A$201,$AB700),Workforce!$A$2:$A$151,0))&amp;"","")))</f>
        <v/>
      </c>
      <c r="G700" s="7">
        <f>IF($Z700="C",INDEX(Contracts!$F$2:$F$151,$AB700)&amp;" / "&amp;INDEX(Contracts!$G$2:$G$151,$AB700),IF($Z700="A",INDEX(Fixed_Assets!$E$2:$E$201,$AB700)&amp;"",IF($Z700="F","Personnel "&amp;INDEX(FTE_Allocation!$A$2:$A$201,$AB700)&amp;IF(INDEX(FTE_Allocation!$D$2:$D$201,$AB700)="PROJECT"," ("&amp;INDEX(FTE_Allocation!$E$2:$E$201,$AB700)&amp;")",""),"")))</f>
        <v/>
      </c>
      <c r="H700" s="7">
        <f>IF($Z700="C","CONTRACT",IF($Z700="A","ASSET",IF($Z700="F","WORKFORCE","")))</f>
        <v/>
      </c>
      <c r="I700" s="7">
        <f>IF($Z700="C",INDEX(Contracts!$L$2:$L$151,$AB700)&amp;"",IF($Z700="A",INDEX(Fixed_Assets!$I$2:$I$201,$AB700)&amp;"",IF($Z700="F",INDEX(Workforce!$G$2:$G$151,MATCH(INDEX(FTE_Allocation!$A$2:$A$201,$AB700),Workforce!$A$2:$A$151,0))&amp;"","")))</f>
        <v/>
      </c>
      <c r="J700" s="18">
        <f>IF($Z700="","",IF(AND(DATE($AD700,1,1)&gt;=$AE700,DATE($AD700,1,1)&lt;=$AF700),ROUND($AG700,2),0))</f>
        <v/>
      </c>
      <c r="K700" s="18">
        <f>IF($Z700="","",IF(AND(DATE($AD700,2,1)&gt;=$AE700,DATE($AD700,2,1)&lt;=$AF700),ROUND($AG700,2),0))</f>
        <v/>
      </c>
      <c r="L700" s="18">
        <f>IF($Z700="","",IF(AND(DATE($AD700,3,1)&gt;=$AE700,DATE($AD700,3,1)&lt;=$AF700),ROUND($AG700,2),0))</f>
        <v/>
      </c>
      <c r="M700" s="18">
        <f>IF($Z700="","",IF(AND(DATE($AD700,4,1)&gt;=$AE700,DATE($AD700,4,1)&lt;=$AF700),ROUND($AG700,2),0))</f>
        <v/>
      </c>
      <c r="N700" s="18">
        <f>IF($Z700="","",IF(AND(DATE($AD700,5,1)&gt;=$AE700,DATE($AD700,5,1)&lt;=$AF700),ROUND($AG700,2),0))</f>
        <v/>
      </c>
      <c r="O700" s="18">
        <f>IF($Z700="","",IF(AND(DATE($AD700,6,1)&gt;=$AE700,DATE($AD700,6,1)&lt;=$AF700),ROUND($AG700,2),0))</f>
        <v/>
      </c>
      <c r="P700" s="18">
        <f>IF($Z700="","",IF(AND(DATE($AD700,7,1)&gt;=$AE700,DATE($AD700,7,1)&lt;=$AF700),ROUND($AG700,2),0))</f>
        <v/>
      </c>
      <c r="Q700" s="18">
        <f>IF($Z700="","",IF(AND(DATE($AD700,8,1)&gt;=$AE700,DATE($AD700,8,1)&lt;=$AF700),ROUND($AG700,2),0))</f>
        <v/>
      </c>
      <c r="R700" s="18">
        <f>IF($Z700="","",IF(AND(DATE($AD700,9,1)&gt;=$AE700,DATE($AD700,9,1)&lt;=$AF700),ROUND($AG700,2),0))</f>
        <v/>
      </c>
      <c r="S700" s="18">
        <f>IF($Z700="","",IF(AND(DATE($AD700,10,1)&gt;=$AE700,DATE($AD700,10,1)&lt;=$AF700),ROUND($AG700,2),0))</f>
        <v/>
      </c>
      <c r="T700" s="18">
        <f>IF($Z700="","",IF(AND(DATE($AD700,11,1)&gt;=$AE700,DATE($AD700,11,1)&lt;=$AF700),ROUND($AG700,2),0))</f>
        <v/>
      </c>
      <c r="U700" s="18">
        <f>IF($Z700="","",IF(AND(DATE($AD700,12,1)&gt;=$AE700,DATE($AD700,12,1)&lt;=$AF700),ROUND($AG700,2),0))</f>
        <v/>
      </c>
      <c r="V700" s="7">
        <f>IF($Z700="C","Generated from "&amp;INDEX(Contracts!$A$2:$A$151,$AB700),IF($Z700="A","Generated from "&amp;INDEX(Fixed_Assets!$A$2:$A$201,$AB700),IF($Z700="F","Generated from "&amp;INDEX(FTE_Allocation!$A$2:$A$201,$AB700),"")))</f>
        <v/>
      </c>
      <c r="X700" s="19">
        <f>IF($Z700="","",SUM(J700:U700))</f>
        <v/>
      </c>
      <c r="Y700" s="20">
        <f>ROW()-1</f>
        <v/>
      </c>
      <c r="Z700" s="20">
        <f>IF($Y700&lt;=Settings!$B$4*3,"C",IF($Y700&lt;=(Settings!$B$4+Settings!$B$5)*3,"A",IF($Y700&lt;=(Settings!$B$4+Settings!$B$5+Settings!$B$6)*3,"F","")))</f>
        <v/>
      </c>
      <c r="AA700" s="20">
        <f>IF($Z700="C",$Y700,IF($Z700="A",$Y700-Settings!$B$4*3,IF($Z700="F",$Y700-(Settings!$B$4+Settings!$B$5)*3,"")))</f>
        <v/>
      </c>
      <c r="AB700" s="20">
        <f>IF($Z700="","",INT(($AA700-1)/3)+1)</f>
        <v/>
      </c>
      <c r="AC700" s="20">
        <f>IF($Z700="","",MOD($AA700-1,3)+1)</f>
        <v/>
      </c>
      <c r="AD700" s="20">
        <f>IF($Z700="","",Settings!$B$2+$AC700-1)</f>
        <v/>
      </c>
      <c r="AE700" s="21">
        <f>IF($Z700="C",DATE(YEAR(INDEX(Contracts!$J$2:$J$151,$AB700)),MONTH(INDEX(Contracts!$J$2:$J$151,$AB700)),1),IF($Z700="A",DATE(YEAR(INDEX(Fixed_Assets!$G$2:$G$201,$AB700)),MONTH(INDEX(Fixed_Assets!$G$2:$G$201,$AB700)),1),IF($Z700="F",DATE(YEAR(MAX(N(INDEX(Workforce!$I$2:$I$151,MATCH(INDEX(FTE_Allocation!$A$2:$A$201,$AB700),Workforce!$A$2:$A$151,0))),N(INDEX(FTE_Allocation!$I$2:$I$201,$AB700)))),MONTH(MAX(N(INDEX(Workforce!$I$2:$I$151,MATCH(INDEX(FTE_Allocation!$A$2:$A$201,$AB700),Workforce!$A$2:$A$151,0))),N(INDEX(FTE_Allocation!$I$2:$I$201,$AB700)))),1),"")))</f>
        <v/>
      </c>
      <c r="AF700" s="21">
        <f>IF($Z700="C",IF(INDEX(Contracts!$I$2:$I$151,$AB700)="PREPAID",EDATE(DATE(YEAR(INDEX(Contracts!$J$2:$J$151,$AB700)),MONTH(INDEX(Contracts!$J$2:$J$151,$AB700)),1),IF(INDEX(Contracts!$N$2:$N$151,$AB700)="",12,INDEX(Contracts!$N$2:$N$151,$AB700))-1),IF(INDEX(Contracts!$I$2:$I$151,$AB700)="MONTHLY",IF(INDEX(Contracts!$K$2:$K$151,$AB700)="",2958101,INDEX(Contracts!$K$2:$K$151,$AB700)),0)),IF($Z700="A",EDATE(DATE(YEAR(INDEX(Fixed_Assets!$G$2:$G$201,$AB700)),MONTH(INDEX(Fixed_Assets!$G$2:$G$201,$AB700)),1),INDEX(Fixed_Assets!$J$2:$J$201,$AB700)-1),IF($Z700="F",MIN(IF(INDEX(Workforce!$J$2:$J$151,MATCH(INDEX(FTE_Allocation!$A$2:$A$201,$AB700),Workforce!$A$2:$A$151,0))="",2958101,INDEX(Workforce!$J$2:$J$151,MATCH(INDEX(FTE_Allocation!$A$2:$A$201,$AB700),Workforce!$A$2:$A$151,0))),IF(INDEX(FTE_Allocation!$J$2:$J$201,$AB700)="",2958101,INDEX(FTE_Allocation!$J$2:$J$201,$AB700))),"")))</f>
        <v/>
      </c>
      <c r="AG700" s="19">
        <f>IF($Z700="C",IF(INDEX(Contracts!$I$2:$I$151,$AB700)="PREPAID",INDEX(Contracts!$M$2:$M$151,$AB700)/IF(INDEX(Contracts!$N$2:$N$151,$AB700)="",12,INDEX(Contracts!$N$2:$N$151,$AB700)),IF(INDEX(Contracts!$I$2:$I$151,$AB700)="MONTHLY",INDEX(Contracts!$M$2:$M$151,$AB700),0))*(1-N(INDEX(Contracts!$O$2:$O$151,$AB700))),IF($Z700="A",INDEX(Fixed_Assets!$H$2:$H$201,$AB700)/INDEX(Fixed_Assets!$J$2:$J$201,$AB700),IF($Z700="F",INDEX(Workforce!$F$2:$F$151,MATCH(INDEX(FTE_Allocation!$A$2:$A$201,$AB700),Workforce!$A$2:$A$151,0))*N(INDEX(FTE_Allocation!$F$2:$H$201,$AB700,$AC700)),"")))</f>
        <v/>
      </c>
    </row>
    <row r="701">
      <c r="A701" s="7">
        <f>IF($Z701="","",$AD701)</f>
        <v/>
      </c>
      <c r="B701" s="7">
        <f>IF($Z701="C",INDEX(Contracts!$D$2:$D$151,$AB701)&amp;"",IF($Z701="A",INDEX(Fixed_Assets!$C$2:$C$201,$AB701)&amp;"",IF($Z701="F",INDEX(Workforce!$B$2:$B$151,MATCH(INDEX(FTE_Allocation!$A$2:$A$201,$AB701),Workforce!$A$2:$A$151,0))&amp;"","")))</f>
        <v/>
      </c>
      <c r="C701" s="7">
        <f>IF($Z701="C",INDEX(Contracts!$E$2:$E$151,$AB701)&amp;"",IF($Z701="A",INDEX(Fixed_Assets!$D$2:$D$201,$AB701)&amp;"",IF($Z701="F",INDEX(FTE_Allocation!$C$2:$C$201,$AB701)&amp;"","")))</f>
        <v/>
      </c>
      <c r="D701" s="7">
        <f>IF($Z701="C",INDEX(Contracts!$B$2:$B$151,$AB701)&amp;"",IF($Z701="A",INDEX(Fixed_Assets!$B$2:$B$201,$AB701)&amp;"",IF($Z701="F",INDEX(FTE_Allocation!$B$2:$B$201,$AB701)&amp;"","")))</f>
        <v/>
      </c>
      <c r="E701" s="7">
        <f>IF($Z701="C",INDEX(Contracts!$P$2:$P$151,$AB701)&amp;"",IF($Z701="A",INDEX(Fixed_Assets!$K$2:$K$201,$AB701)&amp;"",IF($Z701="F",IF(INDEX(FTE_Allocation!$D$2:$D$201,$AB701)="PROJECT",IFERROR(INDEX(Projects!$D:$D,MATCH(INDEX(FTE_Allocation!$E$2:$E$201,$AB701),Projects!$A:$A,0))&amp;"","#PROJECT?"),INDEX(FTE_Allocation!$E$2:$E$201,$AB701)&amp;""),"")))</f>
        <v/>
      </c>
      <c r="F701" s="7">
        <f>IF($Z701="C",INDEX(Contracts!$Q$2:$Q$151,$AB701)&amp;"",IF($Z701="A",INDEX(Fixed_Assets!$L$2:$L$201,$AB701)&amp;"",IF($Z701="F",INDEX(Workforce!$K$2:$K$151,MATCH(INDEX(FTE_Allocation!$A$2:$A$201,$AB701),Workforce!$A$2:$A$151,0))&amp;"","")))</f>
        <v/>
      </c>
      <c r="G701" s="7">
        <f>IF($Z701="C",INDEX(Contracts!$F$2:$F$151,$AB701)&amp;" / "&amp;INDEX(Contracts!$G$2:$G$151,$AB701),IF($Z701="A",INDEX(Fixed_Assets!$E$2:$E$201,$AB701)&amp;"",IF($Z701="F","Personnel "&amp;INDEX(FTE_Allocation!$A$2:$A$201,$AB701)&amp;IF(INDEX(FTE_Allocation!$D$2:$D$201,$AB701)="PROJECT"," ("&amp;INDEX(FTE_Allocation!$E$2:$E$201,$AB701)&amp;")",""),"")))</f>
        <v/>
      </c>
      <c r="H701" s="7">
        <f>IF($Z701="C","CONTRACT",IF($Z701="A","ASSET",IF($Z701="F","WORKFORCE","")))</f>
        <v/>
      </c>
      <c r="I701" s="7">
        <f>IF($Z701="C",INDEX(Contracts!$L$2:$L$151,$AB701)&amp;"",IF($Z701="A",INDEX(Fixed_Assets!$I$2:$I$201,$AB701)&amp;"",IF($Z701="F",INDEX(Workforce!$G$2:$G$151,MATCH(INDEX(FTE_Allocation!$A$2:$A$201,$AB701),Workforce!$A$2:$A$151,0))&amp;"","")))</f>
        <v/>
      </c>
      <c r="J701" s="18">
        <f>IF($Z701="","",IF(AND(DATE($AD701,1,1)&gt;=$AE701,DATE($AD701,1,1)&lt;=$AF701),ROUND($AG701,2),0))</f>
        <v/>
      </c>
      <c r="K701" s="18">
        <f>IF($Z701="","",IF(AND(DATE($AD701,2,1)&gt;=$AE701,DATE($AD701,2,1)&lt;=$AF701),ROUND($AG701,2),0))</f>
        <v/>
      </c>
      <c r="L701" s="18">
        <f>IF($Z701="","",IF(AND(DATE($AD701,3,1)&gt;=$AE701,DATE($AD701,3,1)&lt;=$AF701),ROUND($AG701,2),0))</f>
        <v/>
      </c>
      <c r="M701" s="18">
        <f>IF($Z701="","",IF(AND(DATE($AD701,4,1)&gt;=$AE701,DATE($AD701,4,1)&lt;=$AF701),ROUND($AG701,2),0))</f>
        <v/>
      </c>
      <c r="N701" s="18">
        <f>IF($Z701="","",IF(AND(DATE($AD701,5,1)&gt;=$AE701,DATE($AD701,5,1)&lt;=$AF701),ROUND($AG701,2),0))</f>
        <v/>
      </c>
      <c r="O701" s="18">
        <f>IF($Z701="","",IF(AND(DATE($AD701,6,1)&gt;=$AE701,DATE($AD701,6,1)&lt;=$AF701),ROUND($AG701,2),0))</f>
        <v/>
      </c>
      <c r="P701" s="18">
        <f>IF($Z701="","",IF(AND(DATE($AD701,7,1)&gt;=$AE701,DATE($AD701,7,1)&lt;=$AF701),ROUND($AG701,2),0))</f>
        <v/>
      </c>
      <c r="Q701" s="18">
        <f>IF($Z701="","",IF(AND(DATE($AD701,8,1)&gt;=$AE701,DATE($AD701,8,1)&lt;=$AF701),ROUND($AG701,2),0))</f>
        <v/>
      </c>
      <c r="R701" s="18">
        <f>IF($Z701="","",IF(AND(DATE($AD701,9,1)&gt;=$AE701,DATE($AD701,9,1)&lt;=$AF701),ROUND($AG701,2),0))</f>
        <v/>
      </c>
      <c r="S701" s="18">
        <f>IF($Z701="","",IF(AND(DATE($AD701,10,1)&gt;=$AE701,DATE($AD701,10,1)&lt;=$AF701),ROUND($AG701,2),0))</f>
        <v/>
      </c>
      <c r="T701" s="18">
        <f>IF($Z701="","",IF(AND(DATE($AD701,11,1)&gt;=$AE701,DATE($AD701,11,1)&lt;=$AF701),ROUND($AG701,2),0))</f>
        <v/>
      </c>
      <c r="U701" s="18">
        <f>IF($Z701="","",IF(AND(DATE($AD701,12,1)&gt;=$AE701,DATE($AD701,12,1)&lt;=$AF701),ROUND($AG701,2),0))</f>
        <v/>
      </c>
      <c r="V701" s="7">
        <f>IF($Z701="C","Generated from "&amp;INDEX(Contracts!$A$2:$A$151,$AB701),IF($Z701="A","Generated from "&amp;INDEX(Fixed_Assets!$A$2:$A$201,$AB701),IF($Z701="F","Generated from "&amp;INDEX(FTE_Allocation!$A$2:$A$201,$AB701),"")))</f>
        <v/>
      </c>
      <c r="X701" s="19">
        <f>IF($Z701="","",SUM(J701:U701))</f>
        <v/>
      </c>
      <c r="Y701" s="20">
        <f>ROW()-1</f>
        <v/>
      </c>
      <c r="Z701" s="20">
        <f>IF($Y701&lt;=Settings!$B$4*3,"C",IF($Y701&lt;=(Settings!$B$4+Settings!$B$5)*3,"A",IF($Y701&lt;=(Settings!$B$4+Settings!$B$5+Settings!$B$6)*3,"F","")))</f>
        <v/>
      </c>
      <c r="AA701" s="20">
        <f>IF($Z701="C",$Y701,IF($Z701="A",$Y701-Settings!$B$4*3,IF($Z701="F",$Y701-(Settings!$B$4+Settings!$B$5)*3,"")))</f>
        <v/>
      </c>
      <c r="AB701" s="20">
        <f>IF($Z701="","",INT(($AA701-1)/3)+1)</f>
        <v/>
      </c>
      <c r="AC701" s="20">
        <f>IF($Z701="","",MOD($AA701-1,3)+1)</f>
        <v/>
      </c>
      <c r="AD701" s="20">
        <f>IF($Z701="","",Settings!$B$2+$AC701-1)</f>
        <v/>
      </c>
      <c r="AE701" s="21">
        <f>IF($Z701="C",DATE(YEAR(INDEX(Contracts!$J$2:$J$151,$AB701)),MONTH(INDEX(Contracts!$J$2:$J$151,$AB701)),1),IF($Z701="A",DATE(YEAR(INDEX(Fixed_Assets!$G$2:$G$201,$AB701)),MONTH(INDEX(Fixed_Assets!$G$2:$G$201,$AB701)),1),IF($Z701="F",DATE(YEAR(MAX(N(INDEX(Workforce!$I$2:$I$151,MATCH(INDEX(FTE_Allocation!$A$2:$A$201,$AB701),Workforce!$A$2:$A$151,0))),N(INDEX(FTE_Allocation!$I$2:$I$201,$AB701)))),MONTH(MAX(N(INDEX(Workforce!$I$2:$I$151,MATCH(INDEX(FTE_Allocation!$A$2:$A$201,$AB701),Workforce!$A$2:$A$151,0))),N(INDEX(FTE_Allocation!$I$2:$I$201,$AB701)))),1),"")))</f>
        <v/>
      </c>
      <c r="AF701" s="21">
        <f>IF($Z701="C",IF(INDEX(Contracts!$I$2:$I$151,$AB701)="PREPAID",EDATE(DATE(YEAR(INDEX(Contracts!$J$2:$J$151,$AB701)),MONTH(INDEX(Contracts!$J$2:$J$151,$AB701)),1),IF(INDEX(Contracts!$N$2:$N$151,$AB701)="",12,INDEX(Contracts!$N$2:$N$151,$AB701))-1),IF(INDEX(Contracts!$I$2:$I$151,$AB701)="MONTHLY",IF(INDEX(Contracts!$K$2:$K$151,$AB701)="",2958101,INDEX(Contracts!$K$2:$K$151,$AB701)),0)),IF($Z701="A",EDATE(DATE(YEAR(INDEX(Fixed_Assets!$G$2:$G$201,$AB701)),MONTH(INDEX(Fixed_Assets!$G$2:$G$201,$AB701)),1),INDEX(Fixed_Assets!$J$2:$J$201,$AB701)-1),IF($Z701="F",MIN(IF(INDEX(Workforce!$J$2:$J$151,MATCH(INDEX(FTE_Allocation!$A$2:$A$201,$AB701),Workforce!$A$2:$A$151,0))="",2958101,INDEX(Workforce!$J$2:$J$151,MATCH(INDEX(FTE_Allocation!$A$2:$A$201,$AB701),Workforce!$A$2:$A$151,0))),IF(INDEX(FTE_Allocation!$J$2:$J$201,$AB701)="",2958101,INDEX(FTE_Allocation!$J$2:$J$201,$AB701))),"")))</f>
        <v/>
      </c>
      <c r="AG701" s="19">
        <f>IF($Z701="C",IF(INDEX(Contracts!$I$2:$I$151,$AB701)="PREPAID",INDEX(Contracts!$M$2:$M$151,$AB701)/IF(INDEX(Contracts!$N$2:$N$151,$AB701)="",12,INDEX(Contracts!$N$2:$N$151,$AB701)),IF(INDEX(Contracts!$I$2:$I$151,$AB701)="MONTHLY",INDEX(Contracts!$M$2:$M$151,$AB701),0))*(1-N(INDEX(Contracts!$O$2:$O$151,$AB701))),IF($Z701="A",INDEX(Fixed_Assets!$H$2:$H$201,$AB701)/INDEX(Fixed_Assets!$J$2:$J$201,$AB701),IF($Z701="F",INDEX(Workforce!$F$2:$F$151,MATCH(INDEX(FTE_Allocation!$A$2:$A$201,$AB701),Workforce!$A$2:$A$151,0))*N(INDEX(FTE_Allocation!$F$2:$H$201,$AB701,$AC701)),"")))</f>
        <v/>
      </c>
    </row>
    <row r="702">
      <c r="A702" s="7">
        <f>IF($Z702="","",$AD702)</f>
        <v/>
      </c>
      <c r="B702" s="7">
        <f>IF($Z702="C",INDEX(Contracts!$D$2:$D$151,$AB702)&amp;"",IF($Z702="A",INDEX(Fixed_Assets!$C$2:$C$201,$AB702)&amp;"",IF($Z702="F",INDEX(Workforce!$B$2:$B$151,MATCH(INDEX(FTE_Allocation!$A$2:$A$201,$AB702),Workforce!$A$2:$A$151,0))&amp;"","")))</f>
        <v/>
      </c>
      <c r="C702" s="7">
        <f>IF($Z702="C",INDEX(Contracts!$E$2:$E$151,$AB702)&amp;"",IF($Z702="A",INDEX(Fixed_Assets!$D$2:$D$201,$AB702)&amp;"",IF($Z702="F",INDEX(FTE_Allocation!$C$2:$C$201,$AB702)&amp;"","")))</f>
        <v/>
      </c>
      <c r="D702" s="7">
        <f>IF($Z702="C",INDEX(Contracts!$B$2:$B$151,$AB702)&amp;"",IF($Z702="A",INDEX(Fixed_Assets!$B$2:$B$201,$AB702)&amp;"",IF($Z702="F",INDEX(FTE_Allocation!$B$2:$B$201,$AB702)&amp;"","")))</f>
        <v/>
      </c>
      <c r="E702" s="7">
        <f>IF($Z702="C",INDEX(Contracts!$P$2:$P$151,$AB702)&amp;"",IF($Z702="A",INDEX(Fixed_Assets!$K$2:$K$201,$AB702)&amp;"",IF($Z702="F",IF(INDEX(FTE_Allocation!$D$2:$D$201,$AB702)="PROJECT",IFERROR(INDEX(Projects!$D:$D,MATCH(INDEX(FTE_Allocation!$E$2:$E$201,$AB702),Projects!$A:$A,0))&amp;"","#PROJECT?"),INDEX(FTE_Allocation!$E$2:$E$201,$AB702)&amp;""),"")))</f>
        <v/>
      </c>
      <c r="F702" s="7">
        <f>IF($Z702="C",INDEX(Contracts!$Q$2:$Q$151,$AB702)&amp;"",IF($Z702="A",INDEX(Fixed_Assets!$L$2:$L$201,$AB702)&amp;"",IF($Z702="F",INDEX(Workforce!$K$2:$K$151,MATCH(INDEX(FTE_Allocation!$A$2:$A$201,$AB702),Workforce!$A$2:$A$151,0))&amp;"","")))</f>
        <v/>
      </c>
      <c r="G702" s="7">
        <f>IF($Z702="C",INDEX(Contracts!$F$2:$F$151,$AB702)&amp;" / "&amp;INDEX(Contracts!$G$2:$G$151,$AB702),IF($Z702="A",INDEX(Fixed_Assets!$E$2:$E$201,$AB702)&amp;"",IF($Z702="F","Personnel "&amp;INDEX(FTE_Allocation!$A$2:$A$201,$AB702)&amp;IF(INDEX(FTE_Allocation!$D$2:$D$201,$AB702)="PROJECT"," ("&amp;INDEX(FTE_Allocation!$E$2:$E$201,$AB702)&amp;")",""),"")))</f>
        <v/>
      </c>
      <c r="H702" s="7">
        <f>IF($Z702="C","CONTRACT",IF($Z702="A","ASSET",IF($Z702="F","WORKFORCE","")))</f>
        <v/>
      </c>
      <c r="I702" s="7">
        <f>IF($Z702="C",INDEX(Contracts!$L$2:$L$151,$AB702)&amp;"",IF($Z702="A",INDEX(Fixed_Assets!$I$2:$I$201,$AB702)&amp;"",IF($Z702="F",INDEX(Workforce!$G$2:$G$151,MATCH(INDEX(FTE_Allocation!$A$2:$A$201,$AB702),Workforce!$A$2:$A$151,0))&amp;"","")))</f>
        <v/>
      </c>
      <c r="J702" s="18">
        <f>IF($Z702="","",IF(AND(DATE($AD702,1,1)&gt;=$AE702,DATE($AD702,1,1)&lt;=$AF702),ROUND($AG702,2),0))</f>
        <v/>
      </c>
      <c r="K702" s="18">
        <f>IF($Z702="","",IF(AND(DATE($AD702,2,1)&gt;=$AE702,DATE($AD702,2,1)&lt;=$AF702),ROUND($AG702,2),0))</f>
        <v/>
      </c>
      <c r="L702" s="18">
        <f>IF($Z702="","",IF(AND(DATE($AD702,3,1)&gt;=$AE702,DATE($AD702,3,1)&lt;=$AF702),ROUND($AG702,2),0))</f>
        <v/>
      </c>
      <c r="M702" s="18">
        <f>IF($Z702="","",IF(AND(DATE($AD702,4,1)&gt;=$AE702,DATE($AD702,4,1)&lt;=$AF702),ROUND($AG702,2),0))</f>
        <v/>
      </c>
      <c r="N702" s="18">
        <f>IF($Z702="","",IF(AND(DATE($AD702,5,1)&gt;=$AE702,DATE($AD702,5,1)&lt;=$AF702),ROUND($AG702,2),0))</f>
        <v/>
      </c>
      <c r="O702" s="18">
        <f>IF($Z702="","",IF(AND(DATE($AD702,6,1)&gt;=$AE702,DATE($AD702,6,1)&lt;=$AF702),ROUND($AG702,2),0))</f>
        <v/>
      </c>
      <c r="P702" s="18">
        <f>IF($Z702="","",IF(AND(DATE($AD702,7,1)&gt;=$AE702,DATE($AD702,7,1)&lt;=$AF702),ROUND($AG702,2),0))</f>
        <v/>
      </c>
      <c r="Q702" s="18">
        <f>IF($Z702="","",IF(AND(DATE($AD702,8,1)&gt;=$AE702,DATE($AD702,8,1)&lt;=$AF702),ROUND($AG702,2),0))</f>
        <v/>
      </c>
      <c r="R702" s="18">
        <f>IF($Z702="","",IF(AND(DATE($AD702,9,1)&gt;=$AE702,DATE($AD702,9,1)&lt;=$AF702),ROUND($AG702,2),0))</f>
        <v/>
      </c>
      <c r="S702" s="18">
        <f>IF($Z702="","",IF(AND(DATE($AD702,10,1)&gt;=$AE702,DATE($AD702,10,1)&lt;=$AF702),ROUND($AG702,2),0))</f>
        <v/>
      </c>
      <c r="T702" s="18">
        <f>IF($Z702="","",IF(AND(DATE($AD702,11,1)&gt;=$AE702,DATE($AD702,11,1)&lt;=$AF702),ROUND($AG702,2),0))</f>
        <v/>
      </c>
      <c r="U702" s="18">
        <f>IF($Z702="","",IF(AND(DATE($AD702,12,1)&gt;=$AE702,DATE($AD702,12,1)&lt;=$AF702),ROUND($AG702,2),0))</f>
        <v/>
      </c>
      <c r="V702" s="7">
        <f>IF($Z702="C","Generated from "&amp;INDEX(Contracts!$A$2:$A$151,$AB702),IF($Z702="A","Generated from "&amp;INDEX(Fixed_Assets!$A$2:$A$201,$AB702),IF($Z702="F","Generated from "&amp;INDEX(FTE_Allocation!$A$2:$A$201,$AB702),"")))</f>
        <v/>
      </c>
      <c r="X702" s="19">
        <f>IF($Z702="","",SUM(J702:U702))</f>
        <v/>
      </c>
      <c r="Y702" s="20">
        <f>ROW()-1</f>
        <v/>
      </c>
      <c r="Z702" s="20">
        <f>IF($Y702&lt;=Settings!$B$4*3,"C",IF($Y702&lt;=(Settings!$B$4+Settings!$B$5)*3,"A",IF($Y702&lt;=(Settings!$B$4+Settings!$B$5+Settings!$B$6)*3,"F","")))</f>
        <v/>
      </c>
      <c r="AA702" s="20">
        <f>IF($Z702="C",$Y702,IF($Z702="A",$Y702-Settings!$B$4*3,IF($Z702="F",$Y702-(Settings!$B$4+Settings!$B$5)*3,"")))</f>
        <v/>
      </c>
      <c r="AB702" s="20">
        <f>IF($Z702="","",INT(($AA702-1)/3)+1)</f>
        <v/>
      </c>
      <c r="AC702" s="20">
        <f>IF($Z702="","",MOD($AA702-1,3)+1)</f>
        <v/>
      </c>
      <c r="AD702" s="20">
        <f>IF($Z702="","",Settings!$B$2+$AC702-1)</f>
        <v/>
      </c>
      <c r="AE702" s="21">
        <f>IF($Z702="C",DATE(YEAR(INDEX(Contracts!$J$2:$J$151,$AB702)),MONTH(INDEX(Contracts!$J$2:$J$151,$AB702)),1),IF($Z702="A",DATE(YEAR(INDEX(Fixed_Assets!$G$2:$G$201,$AB702)),MONTH(INDEX(Fixed_Assets!$G$2:$G$201,$AB702)),1),IF($Z702="F",DATE(YEAR(MAX(N(INDEX(Workforce!$I$2:$I$151,MATCH(INDEX(FTE_Allocation!$A$2:$A$201,$AB702),Workforce!$A$2:$A$151,0))),N(INDEX(FTE_Allocation!$I$2:$I$201,$AB702)))),MONTH(MAX(N(INDEX(Workforce!$I$2:$I$151,MATCH(INDEX(FTE_Allocation!$A$2:$A$201,$AB702),Workforce!$A$2:$A$151,0))),N(INDEX(FTE_Allocation!$I$2:$I$201,$AB702)))),1),"")))</f>
        <v/>
      </c>
      <c r="AF702" s="21">
        <f>IF($Z702="C",IF(INDEX(Contracts!$I$2:$I$151,$AB702)="PREPAID",EDATE(DATE(YEAR(INDEX(Contracts!$J$2:$J$151,$AB702)),MONTH(INDEX(Contracts!$J$2:$J$151,$AB702)),1),IF(INDEX(Contracts!$N$2:$N$151,$AB702)="",12,INDEX(Contracts!$N$2:$N$151,$AB702))-1),IF(INDEX(Contracts!$I$2:$I$151,$AB702)="MONTHLY",IF(INDEX(Contracts!$K$2:$K$151,$AB702)="",2958101,INDEX(Contracts!$K$2:$K$151,$AB702)),0)),IF($Z702="A",EDATE(DATE(YEAR(INDEX(Fixed_Assets!$G$2:$G$201,$AB702)),MONTH(INDEX(Fixed_Assets!$G$2:$G$201,$AB702)),1),INDEX(Fixed_Assets!$J$2:$J$201,$AB702)-1),IF($Z702="F",MIN(IF(INDEX(Workforce!$J$2:$J$151,MATCH(INDEX(FTE_Allocation!$A$2:$A$201,$AB702),Workforce!$A$2:$A$151,0))="",2958101,INDEX(Workforce!$J$2:$J$151,MATCH(INDEX(FTE_Allocation!$A$2:$A$201,$AB702),Workforce!$A$2:$A$151,0))),IF(INDEX(FTE_Allocation!$J$2:$J$201,$AB702)="",2958101,INDEX(FTE_Allocation!$J$2:$J$201,$AB702))),"")))</f>
        <v/>
      </c>
      <c r="AG702" s="19">
        <f>IF($Z702="C",IF(INDEX(Contracts!$I$2:$I$151,$AB702)="PREPAID",INDEX(Contracts!$M$2:$M$151,$AB702)/IF(INDEX(Contracts!$N$2:$N$151,$AB702)="",12,INDEX(Contracts!$N$2:$N$151,$AB702)),IF(INDEX(Contracts!$I$2:$I$151,$AB702)="MONTHLY",INDEX(Contracts!$M$2:$M$151,$AB702),0))*(1-N(INDEX(Contracts!$O$2:$O$151,$AB702))),IF($Z702="A",INDEX(Fixed_Assets!$H$2:$H$201,$AB702)/INDEX(Fixed_Assets!$J$2:$J$201,$AB702),IF($Z702="F",INDEX(Workforce!$F$2:$F$151,MATCH(INDEX(FTE_Allocation!$A$2:$A$201,$AB702),Workforce!$A$2:$A$151,0))*N(INDEX(FTE_Allocation!$F$2:$H$201,$AB702,$AC702)),"")))</f>
        <v/>
      </c>
    </row>
    <row r="703">
      <c r="A703" s="7">
        <f>IF($Z703="","",$AD703)</f>
        <v/>
      </c>
      <c r="B703" s="7">
        <f>IF($Z703="C",INDEX(Contracts!$D$2:$D$151,$AB703)&amp;"",IF($Z703="A",INDEX(Fixed_Assets!$C$2:$C$201,$AB703)&amp;"",IF($Z703="F",INDEX(Workforce!$B$2:$B$151,MATCH(INDEX(FTE_Allocation!$A$2:$A$201,$AB703),Workforce!$A$2:$A$151,0))&amp;"","")))</f>
        <v/>
      </c>
      <c r="C703" s="7">
        <f>IF($Z703="C",INDEX(Contracts!$E$2:$E$151,$AB703)&amp;"",IF($Z703="A",INDEX(Fixed_Assets!$D$2:$D$201,$AB703)&amp;"",IF($Z703="F",INDEX(FTE_Allocation!$C$2:$C$201,$AB703)&amp;"","")))</f>
        <v/>
      </c>
      <c r="D703" s="7">
        <f>IF($Z703="C",INDEX(Contracts!$B$2:$B$151,$AB703)&amp;"",IF($Z703="A",INDEX(Fixed_Assets!$B$2:$B$201,$AB703)&amp;"",IF($Z703="F",INDEX(FTE_Allocation!$B$2:$B$201,$AB703)&amp;"","")))</f>
        <v/>
      </c>
      <c r="E703" s="7">
        <f>IF($Z703="C",INDEX(Contracts!$P$2:$P$151,$AB703)&amp;"",IF($Z703="A",INDEX(Fixed_Assets!$K$2:$K$201,$AB703)&amp;"",IF($Z703="F",IF(INDEX(FTE_Allocation!$D$2:$D$201,$AB703)="PROJECT",IFERROR(INDEX(Projects!$D:$D,MATCH(INDEX(FTE_Allocation!$E$2:$E$201,$AB703),Projects!$A:$A,0))&amp;"","#PROJECT?"),INDEX(FTE_Allocation!$E$2:$E$201,$AB703)&amp;""),"")))</f>
        <v/>
      </c>
      <c r="F703" s="7">
        <f>IF($Z703="C",INDEX(Contracts!$Q$2:$Q$151,$AB703)&amp;"",IF($Z703="A",INDEX(Fixed_Assets!$L$2:$L$201,$AB703)&amp;"",IF($Z703="F",INDEX(Workforce!$K$2:$K$151,MATCH(INDEX(FTE_Allocation!$A$2:$A$201,$AB703),Workforce!$A$2:$A$151,0))&amp;"","")))</f>
        <v/>
      </c>
      <c r="G703" s="7">
        <f>IF($Z703="C",INDEX(Contracts!$F$2:$F$151,$AB703)&amp;" / "&amp;INDEX(Contracts!$G$2:$G$151,$AB703),IF($Z703="A",INDEX(Fixed_Assets!$E$2:$E$201,$AB703)&amp;"",IF($Z703="F","Personnel "&amp;INDEX(FTE_Allocation!$A$2:$A$201,$AB703)&amp;IF(INDEX(FTE_Allocation!$D$2:$D$201,$AB703)="PROJECT"," ("&amp;INDEX(FTE_Allocation!$E$2:$E$201,$AB703)&amp;")",""),"")))</f>
        <v/>
      </c>
      <c r="H703" s="7">
        <f>IF($Z703="C","CONTRACT",IF($Z703="A","ASSET",IF($Z703="F","WORKFORCE","")))</f>
        <v/>
      </c>
      <c r="I703" s="7">
        <f>IF($Z703="C",INDEX(Contracts!$L$2:$L$151,$AB703)&amp;"",IF($Z703="A",INDEX(Fixed_Assets!$I$2:$I$201,$AB703)&amp;"",IF($Z703="F",INDEX(Workforce!$G$2:$G$151,MATCH(INDEX(FTE_Allocation!$A$2:$A$201,$AB703),Workforce!$A$2:$A$151,0))&amp;"","")))</f>
        <v/>
      </c>
      <c r="J703" s="18">
        <f>IF($Z703="","",IF(AND(DATE($AD703,1,1)&gt;=$AE703,DATE($AD703,1,1)&lt;=$AF703),ROUND($AG703,2),0))</f>
        <v/>
      </c>
      <c r="K703" s="18">
        <f>IF($Z703="","",IF(AND(DATE($AD703,2,1)&gt;=$AE703,DATE($AD703,2,1)&lt;=$AF703),ROUND($AG703,2),0))</f>
        <v/>
      </c>
      <c r="L703" s="18">
        <f>IF($Z703="","",IF(AND(DATE($AD703,3,1)&gt;=$AE703,DATE($AD703,3,1)&lt;=$AF703),ROUND($AG703,2),0))</f>
        <v/>
      </c>
      <c r="M703" s="18">
        <f>IF($Z703="","",IF(AND(DATE($AD703,4,1)&gt;=$AE703,DATE($AD703,4,1)&lt;=$AF703),ROUND($AG703,2),0))</f>
        <v/>
      </c>
      <c r="N703" s="18">
        <f>IF($Z703="","",IF(AND(DATE($AD703,5,1)&gt;=$AE703,DATE($AD703,5,1)&lt;=$AF703),ROUND($AG703,2),0))</f>
        <v/>
      </c>
      <c r="O703" s="18">
        <f>IF($Z703="","",IF(AND(DATE($AD703,6,1)&gt;=$AE703,DATE($AD703,6,1)&lt;=$AF703),ROUND($AG703,2),0))</f>
        <v/>
      </c>
      <c r="P703" s="18">
        <f>IF($Z703="","",IF(AND(DATE($AD703,7,1)&gt;=$AE703,DATE($AD703,7,1)&lt;=$AF703),ROUND($AG703,2),0))</f>
        <v/>
      </c>
      <c r="Q703" s="18">
        <f>IF($Z703="","",IF(AND(DATE($AD703,8,1)&gt;=$AE703,DATE($AD703,8,1)&lt;=$AF703),ROUND($AG703,2),0))</f>
        <v/>
      </c>
      <c r="R703" s="18">
        <f>IF($Z703="","",IF(AND(DATE($AD703,9,1)&gt;=$AE703,DATE($AD703,9,1)&lt;=$AF703),ROUND($AG703,2),0))</f>
        <v/>
      </c>
      <c r="S703" s="18">
        <f>IF($Z703="","",IF(AND(DATE($AD703,10,1)&gt;=$AE703,DATE($AD703,10,1)&lt;=$AF703),ROUND($AG703,2),0))</f>
        <v/>
      </c>
      <c r="T703" s="18">
        <f>IF($Z703="","",IF(AND(DATE($AD703,11,1)&gt;=$AE703,DATE($AD703,11,1)&lt;=$AF703),ROUND($AG703,2),0))</f>
        <v/>
      </c>
      <c r="U703" s="18">
        <f>IF($Z703="","",IF(AND(DATE($AD703,12,1)&gt;=$AE703,DATE($AD703,12,1)&lt;=$AF703),ROUND($AG703,2),0))</f>
        <v/>
      </c>
      <c r="V703" s="7">
        <f>IF($Z703="C","Generated from "&amp;INDEX(Contracts!$A$2:$A$151,$AB703),IF($Z703="A","Generated from "&amp;INDEX(Fixed_Assets!$A$2:$A$201,$AB703),IF($Z703="F","Generated from "&amp;INDEX(FTE_Allocation!$A$2:$A$201,$AB703),"")))</f>
        <v/>
      </c>
      <c r="X703" s="19">
        <f>IF($Z703="","",SUM(J703:U703))</f>
        <v/>
      </c>
      <c r="Y703" s="20">
        <f>ROW()-1</f>
        <v/>
      </c>
      <c r="Z703" s="20">
        <f>IF($Y703&lt;=Settings!$B$4*3,"C",IF($Y703&lt;=(Settings!$B$4+Settings!$B$5)*3,"A",IF($Y703&lt;=(Settings!$B$4+Settings!$B$5+Settings!$B$6)*3,"F","")))</f>
        <v/>
      </c>
      <c r="AA703" s="20">
        <f>IF($Z703="C",$Y703,IF($Z703="A",$Y703-Settings!$B$4*3,IF($Z703="F",$Y703-(Settings!$B$4+Settings!$B$5)*3,"")))</f>
        <v/>
      </c>
      <c r="AB703" s="20">
        <f>IF($Z703="","",INT(($AA703-1)/3)+1)</f>
        <v/>
      </c>
      <c r="AC703" s="20">
        <f>IF($Z703="","",MOD($AA703-1,3)+1)</f>
        <v/>
      </c>
      <c r="AD703" s="20">
        <f>IF($Z703="","",Settings!$B$2+$AC703-1)</f>
        <v/>
      </c>
      <c r="AE703" s="21">
        <f>IF($Z703="C",DATE(YEAR(INDEX(Contracts!$J$2:$J$151,$AB703)),MONTH(INDEX(Contracts!$J$2:$J$151,$AB703)),1),IF($Z703="A",DATE(YEAR(INDEX(Fixed_Assets!$G$2:$G$201,$AB703)),MONTH(INDEX(Fixed_Assets!$G$2:$G$201,$AB703)),1),IF($Z703="F",DATE(YEAR(MAX(N(INDEX(Workforce!$I$2:$I$151,MATCH(INDEX(FTE_Allocation!$A$2:$A$201,$AB703),Workforce!$A$2:$A$151,0))),N(INDEX(FTE_Allocation!$I$2:$I$201,$AB703)))),MONTH(MAX(N(INDEX(Workforce!$I$2:$I$151,MATCH(INDEX(FTE_Allocation!$A$2:$A$201,$AB703),Workforce!$A$2:$A$151,0))),N(INDEX(FTE_Allocation!$I$2:$I$201,$AB703)))),1),"")))</f>
        <v/>
      </c>
      <c r="AF703" s="21">
        <f>IF($Z703="C",IF(INDEX(Contracts!$I$2:$I$151,$AB703)="PREPAID",EDATE(DATE(YEAR(INDEX(Contracts!$J$2:$J$151,$AB703)),MONTH(INDEX(Contracts!$J$2:$J$151,$AB703)),1),IF(INDEX(Contracts!$N$2:$N$151,$AB703)="",12,INDEX(Contracts!$N$2:$N$151,$AB703))-1),IF(INDEX(Contracts!$I$2:$I$151,$AB703)="MONTHLY",IF(INDEX(Contracts!$K$2:$K$151,$AB703)="",2958101,INDEX(Contracts!$K$2:$K$151,$AB703)),0)),IF($Z703="A",EDATE(DATE(YEAR(INDEX(Fixed_Assets!$G$2:$G$201,$AB703)),MONTH(INDEX(Fixed_Assets!$G$2:$G$201,$AB703)),1),INDEX(Fixed_Assets!$J$2:$J$201,$AB703)-1),IF($Z703="F",MIN(IF(INDEX(Workforce!$J$2:$J$151,MATCH(INDEX(FTE_Allocation!$A$2:$A$201,$AB703),Workforce!$A$2:$A$151,0))="",2958101,INDEX(Workforce!$J$2:$J$151,MATCH(INDEX(FTE_Allocation!$A$2:$A$201,$AB703),Workforce!$A$2:$A$151,0))),IF(INDEX(FTE_Allocation!$J$2:$J$201,$AB703)="",2958101,INDEX(FTE_Allocation!$J$2:$J$201,$AB703))),"")))</f>
        <v/>
      </c>
      <c r="AG703" s="19">
        <f>IF($Z703="C",IF(INDEX(Contracts!$I$2:$I$151,$AB703)="PREPAID",INDEX(Contracts!$M$2:$M$151,$AB703)/IF(INDEX(Contracts!$N$2:$N$151,$AB703)="",12,INDEX(Contracts!$N$2:$N$151,$AB703)),IF(INDEX(Contracts!$I$2:$I$151,$AB703)="MONTHLY",INDEX(Contracts!$M$2:$M$151,$AB703),0))*(1-N(INDEX(Contracts!$O$2:$O$151,$AB703))),IF($Z703="A",INDEX(Fixed_Assets!$H$2:$H$201,$AB703)/INDEX(Fixed_Assets!$J$2:$J$201,$AB703),IF($Z703="F",INDEX(Workforce!$F$2:$F$151,MATCH(INDEX(FTE_Allocation!$A$2:$A$201,$AB703),Workforce!$A$2:$A$151,0))*N(INDEX(FTE_Allocation!$F$2:$H$201,$AB703,$AC703)),"")))</f>
        <v/>
      </c>
    </row>
    <row r="704">
      <c r="A704" s="7">
        <f>IF($Z704="","",$AD704)</f>
        <v/>
      </c>
      <c r="B704" s="7">
        <f>IF($Z704="C",INDEX(Contracts!$D$2:$D$151,$AB704)&amp;"",IF($Z704="A",INDEX(Fixed_Assets!$C$2:$C$201,$AB704)&amp;"",IF($Z704="F",INDEX(Workforce!$B$2:$B$151,MATCH(INDEX(FTE_Allocation!$A$2:$A$201,$AB704),Workforce!$A$2:$A$151,0))&amp;"","")))</f>
        <v/>
      </c>
      <c r="C704" s="7">
        <f>IF($Z704="C",INDEX(Contracts!$E$2:$E$151,$AB704)&amp;"",IF($Z704="A",INDEX(Fixed_Assets!$D$2:$D$201,$AB704)&amp;"",IF($Z704="F",INDEX(FTE_Allocation!$C$2:$C$201,$AB704)&amp;"","")))</f>
        <v/>
      </c>
      <c r="D704" s="7">
        <f>IF($Z704="C",INDEX(Contracts!$B$2:$B$151,$AB704)&amp;"",IF($Z704="A",INDEX(Fixed_Assets!$B$2:$B$201,$AB704)&amp;"",IF($Z704="F",INDEX(FTE_Allocation!$B$2:$B$201,$AB704)&amp;"","")))</f>
        <v/>
      </c>
      <c r="E704" s="7">
        <f>IF($Z704="C",INDEX(Contracts!$P$2:$P$151,$AB704)&amp;"",IF($Z704="A",INDEX(Fixed_Assets!$K$2:$K$201,$AB704)&amp;"",IF($Z704="F",IF(INDEX(FTE_Allocation!$D$2:$D$201,$AB704)="PROJECT",IFERROR(INDEX(Projects!$D:$D,MATCH(INDEX(FTE_Allocation!$E$2:$E$201,$AB704),Projects!$A:$A,0))&amp;"","#PROJECT?"),INDEX(FTE_Allocation!$E$2:$E$201,$AB704)&amp;""),"")))</f>
        <v/>
      </c>
      <c r="F704" s="7">
        <f>IF($Z704="C",INDEX(Contracts!$Q$2:$Q$151,$AB704)&amp;"",IF($Z704="A",INDEX(Fixed_Assets!$L$2:$L$201,$AB704)&amp;"",IF($Z704="F",INDEX(Workforce!$K$2:$K$151,MATCH(INDEX(FTE_Allocation!$A$2:$A$201,$AB704),Workforce!$A$2:$A$151,0))&amp;"","")))</f>
        <v/>
      </c>
      <c r="G704" s="7">
        <f>IF($Z704="C",INDEX(Contracts!$F$2:$F$151,$AB704)&amp;" / "&amp;INDEX(Contracts!$G$2:$G$151,$AB704),IF($Z704="A",INDEX(Fixed_Assets!$E$2:$E$201,$AB704)&amp;"",IF($Z704="F","Personnel "&amp;INDEX(FTE_Allocation!$A$2:$A$201,$AB704)&amp;IF(INDEX(FTE_Allocation!$D$2:$D$201,$AB704)="PROJECT"," ("&amp;INDEX(FTE_Allocation!$E$2:$E$201,$AB704)&amp;")",""),"")))</f>
        <v/>
      </c>
      <c r="H704" s="7">
        <f>IF($Z704="C","CONTRACT",IF($Z704="A","ASSET",IF($Z704="F","WORKFORCE","")))</f>
        <v/>
      </c>
      <c r="I704" s="7">
        <f>IF($Z704="C",INDEX(Contracts!$L$2:$L$151,$AB704)&amp;"",IF($Z704="A",INDEX(Fixed_Assets!$I$2:$I$201,$AB704)&amp;"",IF($Z704="F",INDEX(Workforce!$G$2:$G$151,MATCH(INDEX(FTE_Allocation!$A$2:$A$201,$AB704),Workforce!$A$2:$A$151,0))&amp;"","")))</f>
        <v/>
      </c>
      <c r="J704" s="18">
        <f>IF($Z704="","",IF(AND(DATE($AD704,1,1)&gt;=$AE704,DATE($AD704,1,1)&lt;=$AF704),ROUND($AG704,2),0))</f>
        <v/>
      </c>
      <c r="K704" s="18">
        <f>IF($Z704="","",IF(AND(DATE($AD704,2,1)&gt;=$AE704,DATE($AD704,2,1)&lt;=$AF704),ROUND($AG704,2),0))</f>
        <v/>
      </c>
      <c r="L704" s="18">
        <f>IF($Z704="","",IF(AND(DATE($AD704,3,1)&gt;=$AE704,DATE($AD704,3,1)&lt;=$AF704),ROUND($AG704,2),0))</f>
        <v/>
      </c>
      <c r="M704" s="18">
        <f>IF($Z704="","",IF(AND(DATE($AD704,4,1)&gt;=$AE704,DATE($AD704,4,1)&lt;=$AF704),ROUND($AG704,2),0))</f>
        <v/>
      </c>
      <c r="N704" s="18">
        <f>IF($Z704="","",IF(AND(DATE($AD704,5,1)&gt;=$AE704,DATE($AD704,5,1)&lt;=$AF704),ROUND($AG704,2),0))</f>
        <v/>
      </c>
      <c r="O704" s="18">
        <f>IF($Z704="","",IF(AND(DATE($AD704,6,1)&gt;=$AE704,DATE($AD704,6,1)&lt;=$AF704),ROUND($AG704,2),0))</f>
        <v/>
      </c>
      <c r="P704" s="18">
        <f>IF($Z704="","",IF(AND(DATE($AD704,7,1)&gt;=$AE704,DATE($AD704,7,1)&lt;=$AF704),ROUND($AG704,2),0))</f>
        <v/>
      </c>
      <c r="Q704" s="18">
        <f>IF($Z704="","",IF(AND(DATE($AD704,8,1)&gt;=$AE704,DATE($AD704,8,1)&lt;=$AF704),ROUND($AG704,2),0))</f>
        <v/>
      </c>
      <c r="R704" s="18">
        <f>IF($Z704="","",IF(AND(DATE($AD704,9,1)&gt;=$AE704,DATE($AD704,9,1)&lt;=$AF704),ROUND($AG704,2),0))</f>
        <v/>
      </c>
      <c r="S704" s="18">
        <f>IF($Z704="","",IF(AND(DATE($AD704,10,1)&gt;=$AE704,DATE($AD704,10,1)&lt;=$AF704),ROUND($AG704,2),0))</f>
        <v/>
      </c>
      <c r="T704" s="18">
        <f>IF($Z704="","",IF(AND(DATE($AD704,11,1)&gt;=$AE704,DATE($AD704,11,1)&lt;=$AF704),ROUND($AG704,2),0))</f>
        <v/>
      </c>
      <c r="U704" s="18">
        <f>IF($Z704="","",IF(AND(DATE($AD704,12,1)&gt;=$AE704,DATE($AD704,12,1)&lt;=$AF704),ROUND($AG704,2),0))</f>
        <v/>
      </c>
      <c r="V704" s="7">
        <f>IF($Z704="C","Generated from "&amp;INDEX(Contracts!$A$2:$A$151,$AB704),IF($Z704="A","Generated from "&amp;INDEX(Fixed_Assets!$A$2:$A$201,$AB704),IF($Z704="F","Generated from "&amp;INDEX(FTE_Allocation!$A$2:$A$201,$AB704),"")))</f>
        <v/>
      </c>
      <c r="X704" s="19">
        <f>IF($Z704="","",SUM(J704:U704))</f>
        <v/>
      </c>
      <c r="Y704" s="20">
        <f>ROW()-1</f>
        <v/>
      </c>
      <c r="Z704" s="20">
        <f>IF($Y704&lt;=Settings!$B$4*3,"C",IF($Y704&lt;=(Settings!$B$4+Settings!$B$5)*3,"A",IF($Y704&lt;=(Settings!$B$4+Settings!$B$5+Settings!$B$6)*3,"F","")))</f>
        <v/>
      </c>
      <c r="AA704" s="20">
        <f>IF($Z704="C",$Y704,IF($Z704="A",$Y704-Settings!$B$4*3,IF($Z704="F",$Y704-(Settings!$B$4+Settings!$B$5)*3,"")))</f>
        <v/>
      </c>
      <c r="AB704" s="20">
        <f>IF($Z704="","",INT(($AA704-1)/3)+1)</f>
        <v/>
      </c>
      <c r="AC704" s="20">
        <f>IF($Z704="","",MOD($AA704-1,3)+1)</f>
        <v/>
      </c>
      <c r="AD704" s="20">
        <f>IF($Z704="","",Settings!$B$2+$AC704-1)</f>
        <v/>
      </c>
      <c r="AE704" s="21">
        <f>IF($Z704="C",DATE(YEAR(INDEX(Contracts!$J$2:$J$151,$AB704)),MONTH(INDEX(Contracts!$J$2:$J$151,$AB704)),1),IF($Z704="A",DATE(YEAR(INDEX(Fixed_Assets!$G$2:$G$201,$AB704)),MONTH(INDEX(Fixed_Assets!$G$2:$G$201,$AB704)),1),IF($Z704="F",DATE(YEAR(MAX(N(INDEX(Workforce!$I$2:$I$151,MATCH(INDEX(FTE_Allocation!$A$2:$A$201,$AB704),Workforce!$A$2:$A$151,0))),N(INDEX(FTE_Allocation!$I$2:$I$201,$AB704)))),MONTH(MAX(N(INDEX(Workforce!$I$2:$I$151,MATCH(INDEX(FTE_Allocation!$A$2:$A$201,$AB704),Workforce!$A$2:$A$151,0))),N(INDEX(FTE_Allocation!$I$2:$I$201,$AB704)))),1),"")))</f>
        <v/>
      </c>
      <c r="AF704" s="21">
        <f>IF($Z704="C",IF(INDEX(Contracts!$I$2:$I$151,$AB704)="PREPAID",EDATE(DATE(YEAR(INDEX(Contracts!$J$2:$J$151,$AB704)),MONTH(INDEX(Contracts!$J$2:$J$151,$AB704)),1),IF(INDEX(Contracts!$N$2:$N$151,$AB704)="",12,INDEX(Contracts!$N$2:$N$151,$AB704))-1),IF(INDEX(Contracts!$I$2:$I$151,$AB704)="MONTHLY",IF(INDEX(Contracts!$K$2:$K$151,$AB704)="",2958101,INDEX(Contracts!$K$2:$K$151,$AB704)),0)),IF($Z704="A",EDATE(DATE(YEAR(INDEX(Fixed_Assets!$G$2:$G$201,$AB704)),MONTH(INDEX(Fixed_Assets!$G$2:$G$201,$AB704)),1),INDEX(Fixed_Assets!$J$2:$J$201,$AB704)-1),IF($Z704="F",MIN(IF(INDEX(Workforce!$J$2:$J$151,MATCH(INDEX(FTE_Allocation!$A$2:$A$201,$AB704),Workforce!$A$2:$A$151,0))="",2958101,INDEX(Workforce!$J$2:$J$151,MATCH(INDEX(FTE_Allocation!$A$2:$A$201,$AB704),Workforce!$A$2:$A$151,0))),IF(INDEX(FTE_Allocation!$J$2:$J$201,$AB704)="",2958101,INDEX(FTE_Allocation!$J$2:$J$201,$AB704))),"")))</f>
        <v/>
      </c>
      <c r="AG704" s="19">
        <f>IF($Z704="C",IF(INDEX(Contracts!$I$2:$I$151,$AB704)="PREPAID",INDEX(Contracts!$M$2:$M$151,$AB704)/IF(INDEX(Contracts!$N$2:$N$151,$AB704)="",12,INDEX(Contracts!$N$2:$N$151,$AB704)),IF(INDEX(Contracts!$I$2:$I$151,$AB704)="MONTHLY",INDEX(Contracts!$M$2:$M$151,$AB704),0))*(1-N(INDEX(Contracts!$O$2:$O$151,$AB704))),IF($Z704="A",INDEX(Fixed_Assets!$H$2:$H$201,$AB704)/INDEX(Fixed_Assets!$J$2:$J$201,$AB704),IF($Z704="F",INDEX(Workforce!$F$2:$F$151,MATCH(INDEX(FTE_Allocation!$A$2:$A$201,$AB704),Workforce!$A$2:$A$151,0))*N(INDEX(FTE_Allocation!$F$2:$H$201,$AB704,$AC704)),"")))</f>
        <v/>
      </c>
    </row>
    <row r="705">
      <c r="A705" s="7">
        <f>IF($Z705="","",$AD705)</f>
        <v/>
      </c>
      <c r="B705" s="7">
        <f>IF($Z705="C",INDEX(Contracts!$D$2:$D$151,$AB705)&amp;"",IF($Z705="A",INDEX(Fixed_Assets!$C$2:$C$201,$AB705)&amp;"",IF($Z705="F",INDEX(Workforce!$B$2:$B$151,MATCH(INDEX(FTE_Allocation!$A$2:$A$201,$AB705),Workforce!$A$2:$A$151,0))&amp;"","")))</f>
        <v/>
      </c>
      <c r="C705" s="7">
        <f>IF($Z705="C",INDEX(Contracts!$E$2:$E$151,$AB705)&amp;"",IF($Z705="A",INDEX(Fixed_Assets!$D$2:$D$201,$AB705)&amp;"",IF($Z705="F",INDEX(FTE_Allocation!$C$2:$C$201,$AB705)&amp;"","")))</f>
        <v/>
      </c>
      <c r="D705" s="7">
        <f>IF($Z705="C",INDEX(Contracts!$B$2:$B$151,$AB705)&amp;"",IF($Z705="A",INDEX(Fixed_Assets!$B$2:$B$201,$AB705)&amp;"",IF($Z705="F",INDEX(FTE_Allocation!$B$2:$B$201,$AB705)&amp;"","")))</f>
        <v/>
      </c>
      <c r="E705" s="7">
        <f>IF($Z705="C",INDEX(Contracts!$P$2:$P$151,$AB705)&amp;"",IF($Z705="A",INDEX(Fixed_Assets!$K$2:$K$201,$AB705)&amp;"",IF($Z705="F",IF(INDEX(FTE_Allocation!$D$2:$D$201,$AB705)="PROJECT",IFERROR(INDEX(Projects!$D:$D,MATCH(INDEX(FTE_Allocation!$E$2:$E$201,$AB705),Projects!$A:$A,0))&amp;"","#PROJECT?"),INDEX(FTE_Allocation!$E$2:$E$201,$AB705)&amp;""),"")))</f>
        <v/>
      </c>
      <c r="F705" s="7">
        <f>IF($Z705="C",INDEX(Contracts!$Q$2:$Q$151,$AB705)&amp;"",IF($Z705="A",INDEX(Fixed_Assets!$L$2:$L$201,$AB705)&amp;"",IF($Z705="F",INDEX(Workforce!$K$2:$K$151,MATCH(INDEX(FTE_Allocation!$A$2:$A$201,$AB705),Workforce!$A$2:$A$151,0))&amp;"","")))</f>
        <v/>
      </c>
      <c r="G705" s="7">
        <f>IF($Z705="C",INDEX(Contracts!$F$2:$F$151,$AB705)&amp;" / "&amp;INDEX(Contracts!$G$2:$G$151,$AB705),IF($Z705="A",INDEX(Fixed_Assets!$E$2:$E$201,$AB705)&amp;"",IF($Z705="F","Personnel "&amp;INDEX(FTE_Allocation!$A$2:$A$201,$AB705)&amp;IF(INDEX(FTE_Allocation!$D$2:$D$201,$AB705)="PROJECT"," ("&amp;INDEX(FTE_Allocation!$E$2:$E$201,$AB705)&amp;")",""),"")))</f>
        <v/>
      </c>
      <c r="H705" s="7">
        <f>IF($Z705="C","CONTRACT",IF($Z705="A","ASSET",IF($Z705="F","WORKFORCE","")))</f>
        <v/>
      </c>
      <c r="I705" s="7">
        <f>IF($Z705="C",INDEX(Contracts!$L$2:$L$151,$AB705)&amp;"",IF($Z705="A",INDEX(Fixed_Assets!$I$2:$I$201,$AB705)&amp;"",IF($Z705="F",INDEX(Workforce!$G$2:$G$151,MATCH(INDEX(FTE_Allocation!$A$2:$A$201,$AB705),Workforce!$A$2:$A$151,0))&amp;"","")))</f>
        <v/>
      </c>
      <c r="J705" s="18">
        <f>IF($Z705="","",IF(AND(DATE($AD705,1,1)&gt;=$AE705,DATE($AD705,1,1)&lt;=$AF705),ROUND($AG705,2),0))</f>
        <v/>
      </c>
      <c r="K705" s="18">
        <f>IF($Z705="","",IF(AND(DATE($AD705,2,1)&gt;=$AE705,DATE($AD705,2,1)&lt;=$AF705),ROUND($AG705,2),0))</f>
        <v/>
      </c>
      <c r="L705" s="18">
        <f>IF($Z705="","",IF(AND(DATE($AD705,3,1)&gt;=$AE705,DATE($AD705,3,1)&lt;=$AF705),ROUND($AG705,2),0))</f>
        <v/>
      </c>
      <c r="M705" s="18">
        <f>IF($Z705="","",IF(AND(DATE($AD705,4,1)&gt;=$AE705,DATE($AD705,4,1)&lt;=$AF705),ROUND($AG705,2),0))</f>
        <v/>
      </c>
      <c r="N705" s="18">
        <f>IF($Z705="","",IF(AND(DATE($AD705,5,1)&gt;=$AE705,DATE($AD705,5,1)&lt;=$AF705),ROUND($AG705,2),0))</f>
        <v/>
      </c>
      <c r="O705" s="18">
        <f>IF($Z705="","",IF(AND(DATE($AD705,6,1)&gt;=$AE705,DATE($AD705,6,1)&lt;=$AF705),ROUND($AG705,2),0))</f>
        <v/>
      </c>
      <c r="P705" s="18">
        <f>IF($Z705="","",IF(AND(DATE($AD705,7,1)&gt;=$AE705,DATE($AD705,7,1)&lt;=$AF705),ROUND($AG705,2),0))</f>
        <v/>
      </c>
      <c r="Q705" s="18">
        <f>IF($Z705="","",IF(AND(DATE($AD705,8,1)&gt;=$AE705,DATE($AD705,8,1)&lt;=$AF705),ROUND($AG705,2),0))</f>
        <v/>
      </c>
      <c r="R705" s="18">
        <f>IF($Z705="","",IF(AND(DATE($AD705,9,1)&gt;=$AE705,DATE($AD705,9,1)&lt;=$AF705),ROUND($AG705,2),0))</f>
        <v/>
      </c>
      <c r="S705" s="18">
        <f>IF($Z705="","",IF(AND(DATE($AD705,10,1)&gt;=$AE705,DATE($AD705,10,1)&lt;=$AF705),ROUND($AG705,2),0))</f>
        <v/>
      </c>
      <c r="T705" s="18">
        <f>IF($Z705="","",IF(AND(DATE($AD705,11,1)&gt;=$AE705,DATE($AD705,11,1)&lt;=$AF705),ROUND($AG705,2),0))</f>
        <v/>
      </c>
      <c r="U705" s="18">
        <f>IF($Z705="","",IF(AND(DATE($AD705,12,1)&gt;=$AE705,DATE($AD705,12,1)&lt;=$AF705),ROUND($AG705,2),0))</f>
        <v/>
      </c>
      <c r="V705" s="7">
        <f>IF($Z705="C","Generated from "&amp;INDEX(Contracts!$A$2:$A$151,$AB705),IF($Z705="A","Generated from "&amp;INDEX(Fixed_Assets!$A$2:$A$201,$AB705),IF($Z705="F","Generated from "&amp;INDEX(FTE_Allocation!$A$2:$A$201,$AB705),"")))</f>
        <v/>
      </c>
      <c r="X705" s="19">
        <f>IF($Z705="","",SUM(J705:U705))</f>
        <v/>
      </c>
      <c r="Y705" s="20">
        <f>ROW()-1</f>
        <v/>
      </c>
      <c r="Z705" s="20">
        <f>IF($Y705&lt;=Settings!$B$4*3,"C",IF($Y705&lt;=(Settings!$B$4+Settings!$B$5)*3,"A",IF($Y705&lt;=(Settings!$B$4+Settings!$B$5+Settings!$B$6)*3,"F","")))</f>
        <v/>
      </c>
      <c r="AA705" s="20">
        <f>IF($Z705="C",$Y705,IF($Z705="A",$Y705-Settings!$B$4*3,IF($Z705="F",$Y705-(Settings!$B$4+Settings!$B$5)*3,"")))</f>
        <v/>
      </c>
      <c r="AB705" s="20">
        <f>IF($Z705="","",INT(($AA705-1)/3)+1)</f>
        <v/>
      </c>
      <c r="AC705" s="20">
        <f>IF($Z705="","",MOD($AA705-1,3)+1)</f>
        <v/>
      </c>
      <c r="AD705" s="20">
        <f>IF($Z705="","",Settings!$B$2+$AC705-1)</f>
        <v/>
      </c>
      <c r="AE705" s="21">
        <f>IF($Z705="C",DATE(YEAR(INDEX(Contracts!$J$2:$J$151,$AB705)),MONTH(INDEX(Contracts!$J$2:$J$151,$AB705)),1),IF($Z705="A",DATE(YEAR(INDEX(Fixed_Assets!$G$2:$G$201,$AB705)),MONTH(INDEX(Fixed_Assets!$G$2:$G$201,$AB705)),1),IF($Z705="F",DATE(YEAR(MAX(N(INDEX(Workforce!$I$2:$I$151,MATCH(INDEX(FTE_Allocation!$A$2:$A$201,$AB705),Workforce!$A$2:$A$151,0))),N(INDEX(FTE_Allocation!$I$2:$I$201,$AB705)))),MONTH(MAX(N(INDEX(Workforce!$I$2:$I$151,MATCH(INDEX(FTE_Allocation!$A$2:$A$201,$AB705),Workforce!$A$2:$A$151,0))),N(INDEX(FTE_Allocation!$I$2:$I$201,$AB705)))),1),"")))</f>
        <v/>
      </c>
      <c r="AF705" s="21">
        <f>IF($Z705="C",IF(INDEX(Contracts!$I$2:$I$151,$AB705)="PREPAID",EDATE(DATE(YEAR(INDEX(Contracts!$J$2:$J$151,$AB705)),MONTH(INDEX(Contracts!$J$2:$J$151,$AB705)),1),IF(INDEX(Contracts!$N$2:$N$151,$AB705)="",12,INDEX(Contracts!$N$2:$N$151,$AB705))-1),IF(INDEX(Contracts!$I$2:$I$151,$AB705)="MONTHLY",IF(INDEX(Contracts!$K$2:$K$151,$AB705)="",2958101,INDEX(Contracts!$K$2:$K$151,$AB705)),0)),IF($Z705="A",EDATE(DATE(YEAR(INDEX(Fixed_Assets!$G$2:$G$201,$AB705)),MONTH(INDEX(Fixed_Assets!$G$2:$G$201,$AB705)),1),INDEX(Fixed_Assets!$J$2:$J$201,$AB705)-1),IF($Z705="F",MIN(IF(INDEX(Workforce!$J$2:$J$151,MATCH(INDEX(FTE_Allocation!$A$2:$A$201,$AB705),Workforce!$A$2:$A$151,0))="",2958101,INDEX(Workforce!$J$2:$J$151,MATCH(INDEX(FTE_Allocation!$A$2:$A$201,$AB705),Workforce!$A$2:$A$151,0))),IF(INDEX(FTE_Allocation!$J$2:$J$201,$AB705)="",2958101,INDEX(FTE_Allocation!$J$2:$J$201,$AB705))),"")))</f>
        <v/>
      </c>
      <c r="AG705" s="19">
        <f>IF($Z705="C",IF(INDEX(Contracts!$I$2:$I$151,$AB705)="PREPAID",INDEX(Contracts!$M$2:$M$151,$AB705)/IF(INDEX(Contracts!$N$2:$N$151,$AB705)="",12,INDEX(Contracts!$N$2:$N$151,$AB705)),IF(INDEX(Contracts!$I$2:$I$151,$AB705)="MONTHLY",INDEX(Contracts!$M$2:$M$151,$AB705),0))*(1-N(INDEX(Contracts!$O$2:$O$151,$AB705))),IF($Z705="A",INDEX(Fixed_Assets!$H$2:$H$201,$AB705)/INDEX(Fixed_Assets!$J$2:$J$201,$AB705),IF($Z705="F",INDEX(Workforce!$F$2:$F$151,MATCH(INDEX(FTE_Allocation!$A$2:$A$201,$AB705),Workforce!$A$2:$A$151,0))*N(INDEX(FTE_Allocation!$F$2:$H$201,$AB705,$AC705)),"")))</f>
        <v/>
      </c>
    </row>
    <row r="706">
      <c r="A706" s="7">
        <f>IF($Z706="","",$AD706)</f>
        <v/>
      </c>
      <c r="B706" s="7">
        <f>IF($Z706="C",INDEX(Contracts!$D$2:$D$151,$AB706)&amp;"",IF($Z706="A",INDEX(Fixed_Assets!$C$2:$C$201,$AB706)&amp;"",IF($Z706="F",INDEX(Workforce!$B$2:$B$151,MATCH(INDEX(FTE_Allocation!$A$2:$A$201,$AB706),Workforce!$A$2:$A$151,0))&amp;"","")))</f>
        <v/>
      </c>
      <c r="C706" s="7">
        <f>IF($Z706="C",INDEX(Contracts!$E$2:$E$151,$AB706)&amp;"",IF($Z706="A",INDEX(Fixed_Assets!$D$2:$D$201,$AB706)&amp;"",IF($Z706="F",INDEX(FTE_Allocation!$C$2:$C$201,$AB706)&amp;"","")))</f>
        <v/>
      </c>
      <c r="D706" s="7">
        <f>IF($Z706="C",INDEX(Contracts!$B$2:$B$151,$AB706)&amp;"",IF($Z706="A",INDEX(Fixed_Assets!$B$2:$B$201,$AB706)&amp;"",IF($Z706="F",INDEX(FTE_Allocation!$B$2:$B$201,$AB706)&amp;"","")))</f>
        <v/>
      </c>
      <c r="E706" s="7">
        <f>IF($Z706="C",INDEX(Contracts!$P$2:$P$151,$AB706)&amp;"",IF($Z706="A",INDEX(Fixed_Assets!$K$2:$K$201,$AB706)&amp;"",IF($Z706="F",IF(INDEX(FTE_Allocation!$D$2:$D$201,$AB706)="PROJECT",IFERROR(INDEX(Projects!$D:$D,MATCH(INDEX(FTE_Allocation!$E$2:$E$201,$AB706),Projects!$A:$A,0))&amp;"","#PROJECT?"),INDEX(FTE_Allocation!$E$2:$E$201,$AB706)&amp;""),"")))</f>
        <v/>
      </c>
      <c r="F706" s="7">
        <f>IF($Z706="C",INDEX(Contracts!$Q$2:$Q$151,$AB706)&amp;"",IF($Z706="A",INDEX(Fixed_Assets!$L$2:$L$201,$AB706)&amp;"",IF($Z706="F",INDEX(Workforce!$K$2:$K$151,MATCH(INDEX(FTE_Allocation!$A$2:$A$201,$AB706),Workforce!$A$2:$A$151,0))&amp;"","")))</f>
        <v/>
      </c>
      <c r="G706" s="7">
        <f>IF($Z706="C",INDEX(Contracts!$F$2:$F$151,$AB706)&amp;" / "&amp;INDEX(Contracts!$G$2:$G$151,$AB706),IF($Z706="A",INDEX(Fixed_Assets!$E$2:$E$201,$AB706)&amp;"",IF($Z706="F","Personnel "&amp;INDEX(FTE_Allocation!$A$2:$A$201,$AB706)&amp;IF(INDEX(FTE_Allocation!$D$2:$D$201,$AB706)="PROJECT"," ("&amp;INDEX(FTE_Allocation!$E$2:$E$201,$AB706)&amp;")",""),"")))</f>
        <v/>
      </c>
      <c r="H706" s="7">
        <f>IF($Z706="C","CONTRACT",IF($Z706="A","ASSET",IF($Z706="F","WORKFORCE","")))</f>
        <v/>
      </c>
      <c r="I706" s="7">
        <f>IF($Z706="C",INDEX(Contracts!$L$2:$L$151,$AB706)&amp;"",IF($Z706="A",INDEX(Fixed_Assets!$I$2:$I$201,$AB706)&amp;"",IF($Z706="F",INDEX(Workforce!$G$2:$G$151,MATCH(INDEX(FTE_Allocation!$A$2:$A$201,$AB706),Workforce!$A$2:$A$151,0))&amp;"","")))</f>
        <v/>
      </c>
      <c r="J706" s="18">
        <f>IF($Z706="","",IF(AND(DATE($AD706,1,1)&gt;=$AE706,DATE($AD706,1,1)&lt;=$AF706),ROUND($AG706,2),0))</f>
        <v/>
      </c>
      <c r="K706" s="18">
        <f>IF($Z706="","",IF(AND(DATE($AD706,2,1)&gt;=$AE706,DATE($AD706,2,1)&lt;=$AF706),ROUND($AG706,2),0))</f>
        <v/>
      </c>
      <c r="L706" s="18">
        <f>IF($Z706="","",IF(AND(DATE($AD706,3,1)&gt;=$AE706,DATE($AD706,3,1)&lt;=$AF706),ROUND($AG706,2),0))</f>
        <v/>
      </c>
      <c r="M706" s="18">
        <f>IF($Z706="","",IF(AND(DATE($AD706,4,1)&gt;=$AE706,DATE($AD706,4,1)&lt;=$AF706),ROUND($AG706,2),0))</f>
        <v/>
      </c>
      <c r="N706" s="18">
        <f>IF($Z706="","",IF(AND(DATE($AD706,5,1)&gt;=$AE706,DATE($AD706,5,1)&lt;=$AF706),ROUND($AG706,2),0))</f>
        <v/>
      </c>
      <c r="O706" s="18">
        <f>IF($Z706="","",IF(AND(DATE($AD706,6,1)&gt;=$AE706,DATE($AD706,6,1)&lt;=$AF706),ROUND($AG706,2),0))</f>
        <v/>
      </c>
      <c r="P706" s="18">
        <f>IF($Z706="","",IF(AND(DATE($AD706,7,1)&gt;=$AE706,DATE($AD706,7,1)&lt;=$AF706),ROUND($AG706,2),0))</f>
        <v/>
      </c>
      <c r="Q706" s="18">
        <f>IF($Z706="","",IF(AND(DATE($AD706,8,1)&gt;=$AE706,DATE($AD706,8,1)&lt;=$AF706),ROUND($AG706,2),0))</f>
        <v/>
      </c>
      <c r="R706" s="18">
        <f>IF($Z706="","",IF(AND(DATE($AD706,9,1)&gt;=$AE706,DATE($AD706,9,1)&lt;=$AF706),ROUND($AG706,2),0))</f>
        <v/>
      </c>
      <c r="S706" s="18">
        <f>IF($Z706="","",IF(AND(DATE($AD706,10,1)&gt;=$AE706,DATE($AD706,10,1)&lt;=$AF706),ROUND($AG706,2),0))</f>
        <v/>
      </c>
      <c r="T706" s="18">
        <f>IF($Z706="","",IF(AND(DATE($AD706,11,1)&gt;=$AE706,DATE($AD706,11,1)&lt;=$AF706),ROUND($AG706,2),0))</f>
        <v/>
      </c>
      <c r="U706" s="18">
        <f>IF($Z706="","",IF(AND(DATE($AD706,12,1)&gt;=$AE706,DATE($AD706,12,1)&lt;=$AF706),ROUND($AG706,2),0))</f>
        <v/>
      </c>
      <c r="V706" s="7">
        <f>IF($Z706="C","Generated from "&amp;INDEX(Contracts!$A$2:$A$151,$AB706),IF($Z706="A","Generated from "&amp;INDEX(Fixed_Assets!$A$2:$A$201,$AB706),IF($Z706="F","Generated from "&amp;INDEX(FTE_Allocation!$A$2:$A$201,$AB706),"")))</f>
        <v/>
      </c>
      <c r="X706" s="19">
        <f>IF($Z706="","",SUM(J706:U706))</f>
        <v/>
      </c>
      <c r="Y706" s="20">
        <f>ROW()-1</f>
        <v/>
      </c>
      <c r="Z706" s="20">
        <f>IF($Y706&lt;=Settings!$B$4*3,"C",IF($Y706&lt;=(Settings!$B$4+Settings!$B$5)*3,"A",IF($Y706&lt;=(Settings!$B$4+Settings!$B$5+Settings!$B$6)*3,"F","")))</f>
        <v/>
      </c>
      <c r="AA706" s="20">
        <f>IF($Z706="C",$Y706,IF($Z706="A",$Y706-Settings!$B$4*3,IF($Z706="F",$Y706-(Settings!$B$4+Settings!$B$5)*3,"")))</f>
        <v/>
      </c>
      <c r="AB706" s="20">
        <f>IF($Z706="","",INT(($AA706-1)/3)+1)</f>
        <v/>
      </c>
      <c r="AC706" s="20">
        <f>IF($Z706="","",MOD($AA706-1,3)+1)</f>
        <v/>
      </c>
      <c r="AD706" s="20">
        <f>IF($Z706="","",Settings!$B$2+$AC706-1)</f>
        <v/>
      </c>
      <c r="AE706" s="21">
        <f>IF($Z706="C",DATE(YEAR(INDEX(Contracts!$J$2:$J$151,$AB706)),MONTH(INDEX(Contracts!$J$2:$J$151,$AB706)),1),IF($Z706="A",DATE(YEAR(INDEX(Fixed_Assets!$G$2:$G$201,$AB706)),MONTH(INDEX(Fixed_Assets!$G$2:$G$201,$AB706)),1),IF($Z706="F",DATE(YEAR(MAX(N(INDEX(Workforce!$I$2:$I$151,MATCH(INDEX(FTE_Allocation!$A$2:$A$201,$AB706),Workforce!$A$2:$A$151,0))),N(INDEX(FTE_Allocation!$I$2:$I$201,$AB706)))),MONTH(MAX(N(INDEX(Workforce!$I$2:$I$151,MATCH(INDEX(FTE_Allocation!$A$2:$A$201,$AB706),Workforce!$A$2:$A$151,0))),N(INDEX(FTE_Allocation!$I$2:$I$201,$AB706)))),1),"")))</f>
        <v/>
      </c>
      <c r="AF706" s="21">
        <f>IF($Z706="C",IF(INDEX(Contracts!$I$2:$I$151,$AB706)="PREPAID",EDATE(DATE(YEAR(INDEX(Contracts!$J$2:$J$151,$AB706)),MONTH(INDEX(Contracts!$J$2:$J$151,$AB706)),1),IF(INDEX(Contracts!$N$2:$N$151,$AB706)="",12,INDEX(Contracts!$N$2:$N$151,$AB706))-1),IF(INDEX(Contracts!$I$2:$I$151,$AB706)="MONTHLY",IF(INDEX(Contracts!$K$2:$K$151,$AB706)="",2958101,INDEX(Contracts!$K$2:$K$151,$AB706)),0)),IF($Z706="A",EDATE(DATE(YEAR(INDEX(Fixed_Assets!$G$2:$G$201,$AB706)),MONTH(INDEX(Fixed_Assets!$G$2:$G$201,$AB706)),1),INDEX(Fixed_Assets!$J$2:$J$201,$AB706)-1),IF($Z706="F",MIN(IF(INDEX(Workforce!$J$2:$J$151,MATCH(INDEX(FTE_Allocation!$A$2:$A$201,$AB706),Workforce!$A$2:$A$151,0))="",2958101,INDEX(Workforce!$J$2:$J$151,MATCH(INDEX(FTE_Allocation!$A$2:$A$201,$AB706),Workforce!$A$2:$A$151,0))),IF(INDEX(FTE_Allocation!$J$2:$J$201,$AB706)="",2958101,INDEX(FTE_Allocation!$J$2:$J$201,$AB706))),"")))</f>
        <v/>
      </c>
      <c r="AG706" s="19">
        <f>IF($Z706="C",IF(INDEX(Contracts!$I$2:$I$151,$AB706)="PREPAID",INDEX(Contracts!$M$2:$M$151,$AB706)/IF(INDEX(Contracts!$N$2:$N$151,$AB706)="",12,INDEX(Contracts!$N$2:$N$151,$AB706)),IF(INDEX(Contracts!$I$2:$I$151,$AB706)="MONTHLY",INDEX(Contracts!$M$2:$M$151,$AB706),0))*(1-N(INDEX(Contracts!$O$2:$O$151,$AB706))),IF($Z706="A",INDEX(Fixed_Assets!$H$2:$H$201,$AB706)/INDEX(Fixed_Assets!$J$2:$J$201,$AB706),IF($Z706="F",INDEX(Workforce!$F$2:$F$151,MATCH(INDEX(FTE_Allocation!$A$2:$A$201,$AB706),Workforce!$A$2:$A$151,0))*N(INDEX(FTE_Allocation!$F$2:$H$201,$AB706,$AC706)),"")))</f>
        <v/>
      </c>
    </row>
    <row r="707">
      <c r="A707" s="7">
        <f>IF($Z707="","",$AD707)</f>
        <v/>
      </c>
      <c r="B707" s="7">
        <f>IF($Z707="C",INDEX(Contracts!$D$2:$D$151,$AB707)&amp;"",IF($Z707="A",INDEX(Fixed_Assets!$C$2:$C$201,$AB707)&amp;"",IF($Z707="F",INDEX(Workforce!$B$2:$B$151,MATCH(INDEX(FTE_Allocation!$A$2:$A$201,$AB707),Workforce!$A$2:$A$151,0))&amp;"","")))</f>
        <v/>
      </c>
      <c r="C707" s="7">
        <f>IF($Z707="C",INDEX(Contracts!$E$2:$E$151,$AB707)&amp;"",IF($Z707="A",INDEX(Fixed_Assets!$D$2:$D$201,$AB707)&amp;"",IF($Z707="F",INDEX(FTE_Allocation!$C$2:$C$201,$AB707)&amp;"","")))</f>
        <v/>
      </c>
      <c r="D707" s="7">
        <f>IF($Z707="C",INDEX(Contracts!$B$2:$B$151,$AB707)&amp;"",IF($Z707="A",INDEX(Fixed_Assets!$B$2:$B$201,$AB707)&amp;"",IF($Z707="F",INDEX(FTE_Allocation!$B$2:$B$201,$AB707)&amp;"","")))</f>
        <v/>
      </c>
      <c r="E707" s="7">
        <f>IF($Z707="C",INDEX(Contracts!$P$2:$P$151,$AB707)&amp;"",IF($Z707="A",INDEX(Fixed_Assets!$K$2:$K$201,$AB707)&amp;"",IF($Z707="F",IF(INDEX(FTE_Allocation!$D$2:$D$201,$AB707)="PROJECT",IFERROR(INDEX(Projects!$D:$D,MATCH(INDEX(FTE_Allocation!$E$2:$E$201,$AB707),Projects!$A:$A,0))&amp;"","#PROJECT?"),INDEX(FTE_Allocation!$E$2:$E$201,$AB707)&amp;""),"")))</f>
        <v/>
      </c>
      <c r="F707" s="7">
        <f>IF($Z707="C",INDEX(Contracts!$Q$2:$Q$151,$AB707)&amp;"",IF($Z707="A",INDEX(Fixed_Assets!$L$2:$L$201,$AB707)&amp;"",IF($Z707="F",INDEX(Workforce!$K$2:$K$151,MATCH(INDEX(FTE_Allocation!$A$2:$A$201,$AB707),Workforce!$A$2:$A$151,0))&amp;"","")))</f>
        <v/>
      </c>
      <c r="G707" s="7">
        <f>IF($Z707="C",INDEX(Contracts!$F$2:$F$151,$AB707)&amp;" / "&amp;INDEX(Contracts!$G$2:$G$151,$AB707),IF($Z707="A",INDEX(Fixed_Assets!$E$2:$E$201,$AB707)&amp;"",IF($Z707="F","Personnel "&amp;INDEX(FTE_Allocation!$A$2:$A$201,$AB707)&amp;IF(INDEX(FTE_Allocation!$D$2:$D$201,$AB707)="PROJECT"," ("&amp;INDEX(FTE_Allocation!$E$2:$E$201,$AB707)&amp;")",""),"")))</f>
        <v/>
      </c>
      <c r="H707" s="7">
        <f>IF($Z707="C","CONTRACT",IF($Z707="A","ASSET",IF($Z707="F","WORKFORCE","")))</f>
        <v/>
      </c>
      <c r="I707" s="7">
        <f>IF($Z707="C",INDEX(Contracts!$L$2:$L$151,$AB707)&amp;"",IF($Z707="A",INDEX(Fixed_Assets!$I$2:$I$201,$AB707)&amp;"",IF($Z707="F",INDEX(Workforce!$G$2:$G$151,MATCH(INDEX(FTE_Allocation!$A$2:$A$201,$AB707),Workforce!$A$2:$A$151,0))&amp;"","")))</f>
        <v/>
      </c>
      <c r="J707" s="18">
        <f>IF($Z707="","",IF(AND(DATE($AD707,1,1)&gt;=$AE707,DATE($AD707,1,1)&lt;=$AF707),ROUND($AG707,2),0))</f>
        <v/>
      </c>
      <c r="K707" s="18">
        <f>IF($Z707="","",IF(AND(DATE($AD707,2,1)&gt;=$AE707,DATE($AD707,2,1)&lt;=$AF707),ROUND($AG707,2),0))</f>
        <v/>
      </c>
      <c r="L707" s="18">
        <f>IF($Z707="","",IF(AND(DATE($AD707,3,1)&gt;=$AE707,DATE($AD707,3,1)&lt;=$AF707),ROUND($AG707,2),0))</f>
        <v/>
      </c>
      <c r="M707" s="18">
        <f>IF($Z707="","",IF(AND(DATE($AD707,4,1)&gt;=$AE707,DATE($AD707,4,1)&lt;=$AF707),ROUND($AG707,2),0))</f>
        <v/>
      </c>
      <c r="N707" s="18">
        <f>IF($Z707="","",IF(AND(DATE($AD707,5,1)&gt;=$AE707,DATE($AD707,5,1)&lt;=$AF707),ROUND($AG707,2),0))</f>
        <v/>
      </c>
      <c r="O707" s="18">
        <f>IF($Z707="","",IF(AND(DATE($AD707,6,1)&gt;=$AE707,DATE($AD707,6,1)&lt;=$AF707),ROUND($AG707,2),0))</f>
        <v/>
      </c>
      <c r="P707" s="18">
        <f>IF($Z707="","",IF(AND(DATE($AD707,7,1)&gt;=$AE707,DATE($AD707,7,1)&lt;=$AF707),ROUND($AG707,2),0))</f>
        <v/>
      </c>
      <c r="Q707" s="18">
        <f>IF($Z707="","",IF(AND(DATE($AD707,8,1)&gt;=$AE707,DATE($AD707,8,1)&lt;=$AF707),ROUND($AG707,2),0))</f>
        <v/>
      </c>
      <c r="R707" s="18">
        <f>IF($Z707="","",IF(AND(DATE($AD707,9,1)&gt;=$AE707,DATE($AD707,9,1)&lt;=$AF707),ROUND($AG707,2),0))</f>
        <v/>
      </c>
      <c r="S707" s="18">
        <f>IF($Z707="","",IF(AND(DATE($AD707,10,1)&gt;=$AE707,DATE($AD707,10,1)&lt;=$AF707),ROUND($AG707,2),0))</f>
        <v/>
      </c>
      <c r="T707" s="18">
        <f>IF($Z707="","",IF(AND(DATE($AD707,11,1)&gt;=$AE707,DATE($AD707,11,1)&lt;=$AF707),ROUND($AG707,2),0))</f>
        <v/>
      </c>
      <c r="U707" s="18">
        <f>IF($Z707="","",IF(AND(DATE($AD707,12,1)&gt;=$AE707,DATE($AD707,12,1)&lt;=$AF707),ROUND($AG707,2),0))</f>
        <v/>
      </c>
      <c r="V707" s="7">
        <f>IF($Z707="C","Generated from "&amp;INDEX(Contracts!$A$2:$A$151,$AB707),IF($Z707="A","Generated from "&amp;INDEX(Fixed_Assets!$A$2:$A$201,$AB707),IF($Z707="F","Generated from "&amp;INDEX(FTE_Allocation!$A$2:$A$201,$AB707),"")))</f>
        <v/>
      </c>
      <c r="X707" s="19">
        <f>IF($Z707="","",SUM(J707:U707))</f>
        <v/>
      </c>
      <c r="Y707" s="20">
        <f>ROW()-1</f>
        <v/>
      </c>
      <c r="Z707" s="20">
        <f>IF($Y707&lt;=Settings!$B$4*3,"C",IF($Y707&lt;=(Settings!$B$4+Settings!$B$5)*3,"A",IF($Y707&lt;=(Settings!$B$4+Settings!$B$5+Settings!$B$6)*3,"F","")))</f>
        <v/>
      </c>
      <c r="AA707" s="20">
        <f>IF($Z707="C",$Y707,IF($Z707="A",$Y707-Settings!$B$4*3,IF($Z707="F",$Y707-(Settings!$B$4+Settings!$B$5)*3,"")))</f>
        <v/>
      </c>
      <c r="AB707" s="20">
        <f>IF($Z707="","",INT(($AA707-1)/3)+1)</f>
        <v/>
      </c>
      <c r="AC707" s="20">
        <f>IF($Z707="","",MOD($AA707-1,3)+1)</f>
        <v/>
      </c>
      <c r="AD707" s="20">
        <f>IF($Z707="","",Settings!$B$2+$AC707-1)</f>
        <v/>
      </c>
      <c r="AE707" s="21">
        <f>IF($Z707="C",DATE(YEAR(INDEX(Contracts!$J$2:$J$151,$AB707)),MONTH(INDEX(Contracts!$J$2:$J$151,$AB707)),1),IF($Z707="A",DATE(YEAR(INDEX(Fixed_Assets!$G$2:$G$201,$AB707)),MONTH(INDEX(Fixed_Assets!$G$2:$G$201,$AB707)),1),IF($Z707="F",DATE(YEAR(MAX(N(INDEX(Workforce!$I$2:$I$151,MATCH(INDEX(FTE_Allocation!$A$2:$A$201,$AB707),Workforce!$A$2:$A$151,0))),N(INDEX(FTE_Allocation!$I$2:$I$201,$AB707)))),MONTH(MAX(N(INDEX(Workforce!$I$2:$I$151,MATCH(INDEX(FTE_Allocation!$A$2:$A$201,$AB707),Workforce!$A$2:$A$151,0))),N(INDEX(FTE_Allocation!$I$2:$I$201,$AB707)))),1),"")))</f>
        <v/>
      </c>
      <c r="AF707" s="21">
        <f>IF($Z707="C",IF(INDEX(Contracts!$I$2:$I$151,$AB707)="PREPAID",EDATE(DATE(YEAR(INDEX(Contracts!$J$2:$J$151,$AB707)),MONTH(INDEX(Contracts!$J$2:$J$151,$AB707)),1),IF(INDEX(Contracts!$N$2:$N$151,$AB707)="",12,INDEX(Contracts!$N$2:$N$151,$AB707))-1),IF(INDEX(Contracts!$I$2:$I$151,$AB707)="MONTHLY",IF(INDEX(Contracts!$K$2:$K$151,$AB707)="",2958101,INDEX(Contracts!$K$2:$K$151,$AB707)),0)),IF($Z707="A",EDATE(DATE(YEAR(INDEX(Fixed_Assets!$G$2:$G$201,$AB707)),MONTH(INDEX(Fixed_Assets!$G$2:$G$201,$AB707)),1),INDEX(Fixed_Assets!$J$2:$J$201,$AB707)-1),IF($Z707="F",MIN(IF(INDEX(Workforce!$J$2:$J$151,MATCH(INDEX(FTE_Allocation!$A$2:$A$201,$AB707),Workforce!$A$2:$A$151,0))="",2958101,INDEX(Workforce!$J$2:$J$151,MATCH(INDEX(FTE_Allocation!$A$2:$A$201,$AB707),Workforce!$A$2:$A$151,0))),IF(INDEX(FTE_Allocation!$J$2:$J$201,$AB707)="",2958101,INDEX(FTE_Allocation!$J$2:$J$201,$AB707))),"")))</f>
        <v/>
      </c>
      <c r="AG707" s="19">
        <f>IF($Z707="C",IF(INDEX(Contracts!$I$2:$I$151,$AB707)="PREPAID",INDEX(Contracts!$M$2:$M$151,$AB707)/IF(INDEX(Contracts!$N$2:$N$151,$AB707)="",12,INDEX(Contracts!$N$2:$N$151,$AB707)),IF(INDEX(Contracts!$I$2:$I$151,$AB707)="MONTHLY",INDEX(Contracts!$M$2:$M$151,$AB707),0))*(1-N(INDEX(Contracts!$O$2:$O$151,$AB707))),IF($Z707="A",INDEX(Fixed_Assets!$H$2:$H$201,$AB707)/INDEX(Fixed_Assets!$J$2:$J$201,$AB707),IF($Z707="F",INDEX(Workforce!$F$2:$F$151,MATCH(INDEX(FTE_Allocation!$A$2:$A$201,$AB707),Workforce!$A$2:$A$151,0))*N(INDEX(FTE_Allocation!$F$2:$H$201,$AB707,$AC707)),"")))</f>
        <v/>
      </c>
    </row>
    <row r="708">
      <c r="A708" s="7">
        <f>IF($Z708="","",$AD708)</f>
        <v/>
      </c>
      <c r="B708" s="7">
        <f>IF($Z708="C",INDEX(Contracts!$D$2:$D$151,$AB708)&amp;"",IF($Z708="A",INDEX(Fixed_Assets!$C$2:$C$201,$AB708)&amp;"",IF($Z708="F",INDEX(Workforce!$B$2:$B$151,MATCH(INDEX(FTE_Allocation!$A$2:$A$201,$AB708),Workforce!$A$2:$A$151,0))&amp;"","")))</f>
        <v/>
      </c>
      <c r="C708" s="7">
        <f>IF($Z708="C",INDEX(Contracts!$E$2:$E$151,$AB708)&amp;"",IF($Z708="A",INDEX(Fixed_Assets!$D$2:$D$201,$AB708)&amp;"",IF($Z708="F",INDEX(FTE_Allocation!$C$2:$C$201,$AB708)&amp;"","")))</f>
        <v/>
      </c>
      <c r="D708" s="7">
        <f>IF($Z708="C",INDEX(Contracts!$B$2:$B$151,$AB708)&amp;"",IF($Z708="A",INDEX(Fixed_Assets!$B$2:$B$201,$AB708)&amp;"",IF($Z708="F",INDEX(FTE_Allocation!$B$2:$B$201,$AB708)&amp;"","")))</f>
        <v/>
      </c>
      <c r="E708" s="7">
        <f>IF($Z708="C",INDEX(Contracts!$P$2:$P$151,$AB708)&amp;"",IF($Z708="A",INDEX(Fixed_Assets!$K$2:$K$201,$AB708)&amp;"",IF($Z708="F",IF(INDEX(FTE_Allocation!$D$2:$D$201,$AB708)="PROJECT",IFERROR(INDEX(Projects!$D:$D,MATCH(INDEX(FTE_Allocation!$E$2:$E$201,$AB708),Projects!$A:$A,0))&amp;"","#PROJECT?"),INDEX(FTE_Allocation!$E$2:$E$201,$AB708)&amp;""),"")))</f>
        <v/>
      </c>
      <c r="F708" s="7">
        <f>IF($Z708="C",INDEX(Contracts!$Q$2:$Q$151,$AB708)&amp;"",IF($Z708="A",INDEX(Fixed_Assets!$L$2:$L$201,$AB708)&amp;"",IF($Z708="F",INDEX(Workforce!$K$2:$K$151,MATCH(INDEX(FTE_Allocation!$A$2:$A$201,$AB708),Workforce!$A$2:$A$151,0))&amp;"","")))</f>
        <v/>
      </c>
      <c r="G708" s="7">
        <f>IF($Z708="C",INDEX(Contracts!$F$2:$F$151,$AB708)&amp;" / "&amp;INDEX(Contracts!$G$2:$G$151,$AB708),IF($Z708="A",INDEX(Fixed_Assets!$E$2:$E$201,$AB708)&amp;"",IF($Z708="F","Personnel "&amp;INDEX(FTE_Allocation!$A$2:$A$201,$AB708)&amp;IF(INDEX(FTE_Allocation!$D$2:$D$201,$AB708)="PROJECT"," ("&amp;INDEX(FTE_Allocation!$E$2:$E$201,$AB708)&amp;")",""),"")))</f>
        <v/>
      </c>
      <c r="H708" s="7">
        <f>IF($Z708="C","CONTRACT",IF($Z708="A","ASSET",IF($Z708="F","WORKFORCE","")))</f>
        <v/>
      </c>
      <c r="I708" s="7">
        <f>IF($Z708="C",INDEX(Contracts!$L$2:$L$151,$AB708)&amp;"",IF($Z708="A",INDEX(Fixed_Assets!$I$2:$I$201,$AB708)&amp;"",IF($Z708="F",INDEX(Workforce!$G$2:$G$151,MATCH(INDEX(FTE_Allocation!$A$2:$A$201,$AB708),Workforce!$A$2:$A$151,0))&amp;"","")))</f>
        <v/>
      </c>
      <c r="J708" s="18">
        <f>IF($Z708="","",IF(AND(DATE($AD708,1,1)&gt;=$AE708,DATE($AD708,1,1)&lt;=$AF708),ROUND($AG708,2),0))</f>
        <v/>
      </c>
      <c r="K708" s="18">
        <f>IF($Z708="","",IF(AND(DATE($AD708,2,1)&gt;=$AE708,DATE($AD708,2,1)&lt;=$AF708),ROUND($AG708,2),0))</f>
        <v/>
      </c>
      <c r="L708" s="18">
        <f>IF($Z708="","",IF(AND(DATE($AD708,3,1)&gt;=$AE708,DATE($AD708,3,1)&lt;=$AF708),ROUND($AG708,2),0))</f>
        <v/>
      </c>
      <c r="M708" s="18">
        <f>IF($Z708="","",IF(AND(DATE($AD708,4,1)&gt;=$AE708,DATE($AD708,4,1)&lt;=$AF708),ROUND($AG708,2),0))</f>
        <v/>
      </c>
      <c r="N708" s="18">
        <f>IF($Z708="","",IF(AND(DATE($AD708,5,1)&gt;=$AE708,DATE($AD708,5,1)&lt;=$AF708),ROUND($AG708,2),0))</f>
        <v/>
      </c>
      <c r="O708" s="18">
        <f>IF($Z708="","",IF(AND(DATE($AD708,6,1)&gt;=$AE708,DATE($AD708,6,1)&lt;=$AF708),ROUND($AG708,2),0))</f>
        <v/>
      </c>
      <c r="P708" s="18">
        <f>IF($Z708="","",IF(AND(DATE($AD708,7,1)&gt;=$AE708,DATE($AD708,7,1)&lt;=$AF708),ROUND($AG708,2),0))</f>
        <v/>
      </c>
      <c r="Q708" s="18">
        <f>IF($Z708="","",IF(AND(DATE($AD708,8,1)&gt;=$AE708,DATE($AD708,8,1)&lt;=$AF708),ROUND($AG708,2),0))</f>
        <v/>
      </c>
      <c r="R708" s="18">
        <f>IF($Z708="","",IF(AND(DATE($AD708,9,1)&gt;=$AE708,DATE($AD708,9,1)&lt;=$AF708),ROUND($AG708,2),0))</f>
        <v/>
      </c>
      <c r="S708" s="18">
        <f>IF($Z708="","",IF(AND(DATE($AD708,10,1)&gt;=$AE708,DATE($AD708,10,1)&lt;=$AF708),ROUND($AG708,2),0))</f>
        <v/>
      </c>
      <c r="T708" s="18">
        <f>IF($Z708="","",IF(AND(DATE($AD708,11,1)&gt;=$AE708,DATE($AD708,11,1)&lt;=$AF708),ROUND($AG708,2),0))</f>
        <v/>
      </c>
      <c r="U708" s="18">
        <f>IF($Z708="","",IF(AND(DATE($AD708,12,1)&gt;=$AE708,DATE($AD708,12,1)&lt;=$AF708),ROUND($AG708,2),0))</f>
        <v/>
      </c>
      <c r="V708" s="7">
        <f>IF($Z708="C","Generated from "&amp;INDEX(Contracts!$A$2:$A$151,$AB708),IF($Z708="A","Generated from "&amp;INDEX(Fixed_Assets!$A$2:$A$201,$AB708),IF($Z708="F","Generated from "&amp;INDEX(FTE_Allocation!$A$2:$A$201,$AB708),"")))</f>
        <v/>
      </c>
      <c r="X708" s="19">
        <f>IF($Z708="","",SUM(J708:U708))</f>
        <v/>
      </c>
      <c r="Y708" s="20">
        <f>ROW()-1</f>
        <v/>
      </c>
      <c r="Z708" s="20">
        <f>IF($Y708&lt;=Settings!$B$4*3,"C",IF($Y708&lt;=(Settings!$B$4+Settings!$B$5)*3,"A",IF($Y708&lt;=(Settings!$B$4+Settings!$B$5+Settings!$B$6)*3,"F","")))</f>
        <v/>
      </c>
      <c r="AA708" s="20">
        <f>IF($Z708="C",$Y708,IF($Z708="A",$Y708-Settings!$B$4*3,IF($Z708="F",$Y708-(Settings!$B$4+Settings!$B$5)*3,"")))</f>
        <v/>
      </c>
      <c r="AB708" s="20">
        <f>IF($Z708="","",INT(($AA708-1)/3)+1)</f>
        <v/>
      </c>
      <c r="AC708" s="20">
        <f>IF($Z708="","",MOD($AA708-1,3)+1)</f>
        <v/>
      </c>
      <c r="AD708" s="20">
        <f>IF($Z708="","",Settings!$B$2+$AC708-1)</f>
        <v/>
      </c>
      <c r="AE708" s="21">
        <f>IF($Z708="C",DATE(YEAR(INDEX(Contracts!$J$2:$J$151,$AB708)),MONTH(INDEX(Contracts!$J$2:$J$151,$AB708)),1),IF($Z708="A",DATE(YEAR(INDEX(Fixed_Assets!$G$2:$G$201,$AB708)),MONTH(INDEX(Fixed_Assets!$G$2:$G$201,$AB708)),1),IF($Z708="F",DATE(YEAR(MAX(N(INDEX(Workforce!$I$2:$I$151,MATCH(INDEX(FTE_Allocation!$A$2:$A$201,$AB708),Workforce!$A$2:$A$151,0))),N(INDEX(FTE_Allocation!$I$2:$I$201,$AB708)))),MONTH(MAX(N(INDEX(Workforce!$I$2:$I$151,MATCH(INDEX(FTE_Allocation!$A$2:$A$201,$AB708),Workforce!$A$2:$A$151,0))),N(INDEX(FTE_Allocation!$I$2:$I$201,$AB708)))),1),"")))</f>
        <v/>
      </c>
      <c r="AF708" s="21">
        <f>IF($Z708="C",IF(INDEX(Contracts!$I$2:$I$151,$AB708)="PREPAID",EDATE(DATE(YEAR(INDEX(Contracts!$J$2:$J$151,$AB708)),MONTH(INDEX(Contracts!$J$2:$J$151,$AB708)),1),IF(INDEX(Contracts!$N$2:$N$151,$AB708)="",12,INDEX(Contracts!$N$2:$N$151,$AB708))-1),IF(INDEX(Contracts!$I$2:$I$151,$AB708)="MONTHLY",IF(INDEX(Contracts!$K$2:$K$151,$AB708)="",2958101,INDEX(Contracts!$K$2:$K$151,$AB708)),0)),IF($Z708="A",EDATE(DATE(YEAR(INDEX(Fixed_Assets!$G$2:$G$201,$AB708)),MONTH(INDEX(Fixed_Assets!$G$2:$G$201,$AB708)),1),INDEX(Fixed_Assets!$J$2:$J$201,$AB708)-1),IF($Z708="F",MIN(IF(INDEX(Workforce!$J$2:$J$151,MATCH(INDEX(FTE_Allocation!$A$2:$A$201,$AB708),Workforce!$A$2:$A$151,0))="",2958101,INDEX(Workforce!$J$2:$J$151,MATCH(INDEX(FTE_Allocation!$A$2:$A$201,$AB708),Workforce!$A$2:$A$151,0))),IF(INDEX(FTE_Allocation!$J$2:$J$201,$AB708)="",2958101,INDEX(FTE_Allocation!$J$2:$J$201,$AB708))),"")))</f>
        <v/>
      </c>
      <c r="AG708" s="19">
        <f>IF($Z708="C",IF(INDEX(Contracts!$I$2:$I$151,$AB708)="PREPAID",INDEX(Contracts!$M$2:$M$151,$AB708)/IF(INDEX(Contracts!$N$2:$N$151,$AB708)="",12,INDEX(Contracts!$N$2:$N$151,$AB708)),IF(INDEX(Contracts!$I$2:$I$151,$AB708)="MONTHLY",INDEX(Contracts!$M$2:$M$151,$AB708),0))*(1-N(INDEX(Contracts!$O$2:$O$151,$AB708))),IF($Z708="A",INDEX(Fixed_Assets!$H$2:$H$201,$AB708)/INDEX(Fixed_Assets!$J$2:$J$201,$AB708),IF($Z708="F",INDEX(Workforce!$F$2:$F$151,MATCH(INDEX(FTE_Allocation!$A$2:$A$201,$AB708),Workforce!$A$2:$A$151,0))*N(INDEX(FTE_Allocation!$F$2:$H$201,$AB708,$AC708)),"")))</f>
        <v/>
      </c>
    </row>
    <row r="709">
      <c r="A709" s="7">
        <f>IF($Z709="","",$AD709)</f>
        <v/>
      </c>
      <c r="B709" s="7">
        <f>IF($Z709="C",INDEX(Contracts!$D$2:$D$151,$AB709)&amp;"",IF($Z709="A",INDEX(Fixed_Assets!$C$2:$C$201,$AB709)&amp;"",IF($Z709="F",INDEX(Workforce!$B$2:$B$151,MATCH(INDEX(FTE_Allocation!$A$2:$A$201,$AB709),Workforce!$A$2:$A$151,0))&amp;"","")))</f>
        <v/>
      </c>
      <c r="C709" s="7">
        <f>IF($Z709="C",INDEX(Contracts!$E$2:$E$151,$AB709)&amp;"",IF($Z709="A",INDEX(Fixed_Assets!$D$2:$D$201,$AB709)&amp;"",IF($Z709="F",INDEX(FTE_Allocation!$C$2:$C$201,$AB709)&amp;"","")))</f>
        <v/>
      </c>
      <c r="D709" s="7">
        <f>IF($Z709="C",INDEX(Contracts!$B$2:$B$151,$AB709)&amp;"",IF($Z709="A",INDEX(Fixed_Assets!$B$2:$B$201,$AB709)&amp;"",IF($Z709="F",INDEX(FTE_Allocation!$B$2:$B$201,$AB709)&amp;"","")))</f>
        <v/>
      </c>
      <c r="E709" s="7">
        <f>IF($Z709="C",INDEX(Contracts!$P$2:$P$151,$AB709)&amp;"",IF($Z709="A",INDEX(Fixed_Assets!$K$2:$K$201,$AB709)&amp;"",IF($Z709="F",IF(INDEX(FTE_Allocation!$D$2:$D$201,$AB709)="PROJECT",IFERROR(INDEX(Projects!$D:$D,MATCH(INDEX(FTE_Allocation!$E$2:$E$201,$AB709),Projects!$A:$A,0))&amp;"","#PROJECT?"),INDEX(FTE_Allocation!$E$2:$E$201,$AB709)&amp;""),"")))</f>
        <v/>
      </c>
      <c r="F709" s="7">
        <f>IF($Z709="C",INDEX(Contracts!$Q$2:$Q$151,$AB709)&amp;"",IF($Z709="A",INDEX(Fixed_Assets!$L$2:$L$201,$AB709)&amp;"",IF($Z709="F",INDEX(Workforce!$K$2:$K$151,MATCH(INDEX(FTE_Allocation!$A$2:$A$201,$AB709),Workforce!$A$2:$A$151,0))&amp;"","")))</f>
        <v/>
      </c>
      <c r="G709" s="7">
        <f>IF($Z709="C",INDEX(Contracts!$F$2:$F$151,$AB709)&amp;" / "&amp;INDEX(Contracts!$G$2:$G$151,$AB709),IF($Z709="A",INDEX(Fixed_Assets!$E$2:$E$201,$AB709)&amp;"",IF($Z709="F","Personnel "&amp;INDEX(FTE_Allocation!$A$2:$A$201,$AB709)&amp;IF(INDEX(FTE_Allocation!$D$2:$D$201,$AB709)="PROJECT"," ("&amp;INDEX(FTE_Allocation!$E$2:$E$201,$AB709)&amp;")",""),"")))</f>
        <v/>
      </c>
      <c r="H709" s="7">
        <f>IF($Z709="C","CONTRACT",IF($Z709="A","ASSET",IF($Z709="F","WORKFORCE","")))</f>
        <v/>
      </c>
      <c r="I709" s="7">
        <f>IF($Z709="C",INDEX(Contracts!$L$2:$L$151,$AB709)&amp;"",IF($Z709="A",INDEX(Fixed_Assets!$I$2:$I$201,$AB709)&amp;"",IF($Z709="F",INDEX(Workforce!$G$2:$G$151,MATCH(INDEX(FTE_Allocation!$A$2:$A$201,$AB709),Workforce!$A$2:$A$151,0))&amp;"","")))</f>
        <v/>
      </c>
      <c r="J709" s="18">
        <f>IF($Z709="","",IF(AND(DATE($AD709,1,1)&gt;=$AE709,DATE($AD709,1,1)&lt;=$AF709),ROUND($AG709,2),0))</f>
        <v/>
      </c>
      <c r="K709" s="18">
        <f>IF($Z709="","",IF(AND(DATE($AD709,2,1)&gt;=$AE709,DATE($AD709,2,1)&lt;=$AF709),ROUND($AG709,2),0))</f>
        <v/>
      </c>
      <c r="L709" s="18">
        <f>IF($Z709="","",IF(AND(DATE($AD709,3,1)&gt;=$AE709,DATE($AD709,3,1)&lt;=$AF709),ROUND($AG709,2),0))</f>
        <v/>
      </c>
      <c r="M709" s="18">
        <f>IF($Z709="","",IF(AND(DATE($AD709,4,1)&gt;=$AE709,DATE($AD709,4,1)&lt;=$AF709),ROUND($AG709,2),0))</f>
        <v/>
      </c>
      <c r="N709" s="18">
        <f>IF($Z709="","",IF(AND(DATE($AD709,5,1)&gt;=$AE709,DATE($AD709,5,1)&lt;=$AF709),ROUND($AG709,2),0))</f>
        <v/>
      </c>
      <c r="O709" s="18">
        <f>IF($Z709="","",IF(AND(DATE($AD709,6,1)&gt;=$AE709,DATE($AD709,6,1)&lt;=$AF709),ROUND($AG709,2),0))</f>
        <v/>
      </c>
      <c r="P709" s="18">
        <f>IF($Z709="","",IF(AND(DATE($AD709,7,1)&gt;=$AE709,DATE($AD709,7,1)&lt;=$AF709),ROUND($AG709,2),0))</f>
        <v/>
      </c>
      <c r="Q709" s="18">
        <f>IF($Z709="","",IF(AND(DATE($AD709,8,1)&gt;=$AE709,DATE($AD709,8,1)&lt;=$AF709),ROUND($AG709,2),0))</f>
        <v/>
      </c>
      <c r="R709" s="18">
        <f>IF($Z709="","",IF(AND(DATE($AD709,9,1)&gt;=$AE709,DATE($AD709,9,1)&lt;=$AF709),ROUND($AG709,2),0))</f>
        <v/>
      </c>
      <c r="S709" s="18">
        <f>IF($Z709="","",IF(AND(DATE($AD709,10,1)&gt;=$AE709,DATE($AD709,10,1)&lt;=$AF709),ROUND($AG709,2),0))</f>
        <v/>
      </c>
      <c r="T709" s="18">
        <f>IF($Z709="","",IF(AND(DATE($AD709,11,1)&gt;=$AE709,DATE($AD709,11,1)&lt;=$AF709),ROUND($AG709,2),0))</f>
        <v/>
      </c>
      <c r="U709" s="18">
        <f>IF($Z709="","",IF(AND(DATE($AD709,12,1)&gt;=$AE709,DATE($AD709,12,1)&lt;=$AF709),ROUND($AG709,2),0))</f>
        <v/>
      </c>
      <c r="V709" s="7">
        <f>IF($Z709="C","Generated from "&amp;INDEX(Contracts!$A$2:$A$151,$AB709),IF($Z709="A","Generated from "&amp;INDEX(Fixed_Assets!$A$2:$A$201,$AB709),IF($Z709="F","Generated from "&amp;INDEX(FTE_Allocation!$A$2:$A$201,$AB709),"")))</f>
        <v/>
      </c>
      <c r="X709" s="19">
        <f>IF($Z709="","",SUM(J709:U709))</f>
        <v/>
      </c>
      <c r="Y709" s="20">
        <f>ROW()-1</f>
        <v/>
      </c>
      <c r="Z709" s="20">
        <f>IF($Y709&lt;=Settings!$B$4*3,"C",IF($Y709&lt;=(Settings!$B$4+Settings!$B$5)*3,"A",IF($Y709&lt;=(Settings!$B$4+Settings!$B$5+Settings!$B$6)*3,"F","")))</f>
        <v/>
      </c>
      <c r="AA709" s="20">
        <f>IF($Z709="C",$Y709,IF($Z709="A",$Y709-Settings!$B$4*3,IF($Z709="F",$Y709-(Settings!$B$4+Settings!$B$5)*3,"")))</f>
        <v/>
      </c>
      <c r="AB709" s="20">
        <f>IF($Z709="","",INT(($AA709-1)/3)+1)</f>
        <v/>
      </c>
      <c r="AC709" s="20">
        <f>IF($Z709="","",MOD($AA709-1,3)+1)</f>
        <v/>
      </c>
      <c r="AD709" s="20">
        <f>IF($Z709="","",Settings!$B$2+$AC709-1)</f>
        <v/>
      </c>
      <c r="AE709" s="21">
        <f>IF($Z709="C",DATE(YEAR(INDEX(Contracts!$J$2:$J$151,$AB709)),MONTH(INDEX(Contracts!$J$2:$J$151,$AB709)),1),IF($Z709="A",DATE(YEAR(INDEX(Fixed_Assets!$G$2:$G$201,$AB709)),MONTH(INDEX(Fixed_Assets!$G$2:$G$201,$AB709)),1),IF($Z709="F",DATE(YEAR(MAX(N(INDEX(Workforce!$I$2:$I$151,MATCH(INDEX(FTE_Allocation!$A$2:$A$201,$AB709),Workforce!$A$2:$A$151,0))),N(INDEX(FTE_Allocation!$I$2:$I$201,$AB709)))),MONTH(MAX(N(INDEX(Workforce!$I$2:$I$151,MATCH(INDEX(FTE_Allocation!$A$2:$A$201,$AB709),Workforce!$A$2:$A$151,0))),N(INDEX(FTE_Allocation!$I$2:$I$201,$AB709)))),1),"")))</f>
        <v/>
      </c>
      <c r="AF709" s="21">
        <f>IF($Z709="C",IF(INDEX(Contracts!$I$2:$I$151,$AB709)="PREPAID",EDATE(DATE(YEAR(INDEX(Contracts!$J$2:$J$151,$AB709)),MONTH(INDEX(Contracts!$J$2:$J$151,$AB709)),1),IF(INDEX(Contracts!$N$2:$N$151,$AB709)="",12,INDEX(Contracts!$N$2:$N$151,$AB709))-1),IF(INDEX(Contracts!$I$2:$I$151,$AB709)="MONTHLY",IF(INDEX(Contracts!$K$2:$K$151,$AB709)="",2958101,INDEX(Contracts!$K$2:$K$151,$AB709)),0)),IF($Z709="A",EDATE(DATE(YEAR(INDEX(Fixed_Assets!$G$2:$G$201,$AB709)),MONTH(INDEX(Fixed_Assets!$G$2:$G$201,$AB709)),1),INDEX(Fixed_Assets!$J$2:$J$201,$AB709)-1),IF($Z709="F",MIN(IF(INDEX(Workforce!$J$2:$J$151,MATCH(INDEX(FTE_Allocation!$A$2:$A$201,$AB709),Workforce!$A$2:$A$151,0))="",2958101,INDEX(Workforce!$J$2:$J$151,MATCH(INDEX(FTE_Allocation!$A$2:$A$201,$AB709),Workforce!$A$2:$A$151,0))),IF(INDEX(FTE_Allocation!$J$2:$J$201,$AB709)="",2958101,INDEX(FTE_Allocation!$J$2:$J$201,$AB709))),"")))</f>
        <v/>
      </c>
      <c r="AG709" s="19">
        <f>IF($Z709="C",IF(INDEX(Contracts!$I$2:$I$151,$AB709)="PREPAID",INDEX(Contracts!$M$2:$M$151,$AB709)/IF(INDEX(Contracts!$N$2:$N$151,$AB709)="",12,INDEX(Contracts!$N$2:$N$151,$AB709)),IF(INDEX(Contracts!$I$2:$I$151,$AB709)="MONTHLY",INDEX(Contracts!$M$2:$M$151,$AB709),0))*(1-N(INDEX(Contracts!$O$2:$O$151,$AB709))),IF($Z709="A",INDEX(Fixed_Assets!$H$2:$H$201,$AB709)/INDEX(Fixed_Assets!$J$2:$J$201,$AB709),IF($Z709="F",INDEX(Workforce!$F$2:$F$151,MATCH(INDEX(FTE_Allocation!$A$2:$A$201,$AB709),Workforce!$A$2:$A$151,0))*N(INDEX(FTE_Allocation!$F$2:$H$201,$AB709,$AC709)),"")))</f>
        <v/>
      </c>
    </row>
    <row r="710">
      <c r="A710" s="7">
        <f>IF($Z710="","",$AD710)</f>
        <v/>
      </c>
      <c r="B710" s="7">
        <f>IF($Z710="C",INDEX(Contracts!$D$2:$D$151,$AB710)&amp;"",IF($Z710="A",INDEX(Fixed_Assets!$C$2:$C$201,$AB710)&amp;"",IF($Z710="F",INDEX(Workforce!$B$2:$B$151,MATCH(INDEX(FTE_Allocation!$A$2:$A$201,$AB710),Workforce!$A$2:$A$151,0))&amp;"","")))</f>
        <v/>
      </c>
      <c r="C710" s="7">
        <f>IF($Z710="C",INDEX(Contracts!$E$2:$E$151,$AB710)&amp;"",IF($Z710="A",INDEX(Fixed_Assets!$D$2:$D$201,$AB710)&amp;"",IF($Z710="F",INDEX(FTE_Allocation!$C$2:$C$201,$AB710)&amp;"","")))</f>
        <v/>
      </c>
      <c r="D710" s="7">
        <f>IF($Z710="C",INDEX(Contracts!$B$2:$B$151,$AB710)&amp;"",IF($Z710="A",INDEX(Fixed_Assets!$B$2:$B$201,$AB710)&amp;"",IF($Z710="F",INDEX(FTE_Allocation!$B$2:$B$201,$AB710)&amp;"","")))</f>
        <v/>
      </c>
      <c r="E710" s="7">
        <f>IF($Z710="C",INDEX(Contracts!$P$2:$P$151,$AB710)&amp;"",IF($Z710="A",INDEX(Fixed_Assets!$K$2:$K$201,$AB710)&amp;"",IF($Z710="F",IF(INDEX(FTE_Allocation!$D$2:$D$201,$AB710)="PROJECT",IFERROR(INDEX(Projects!$D:$D,MATCH(INDEX(FTE_Allocation!$E$2:$E$201,$AB710),Projects!$A:$A,0))&amp;"","#PROJECT?"),INDEX(FTE_Allocation!$E$2:$E$201,$AB710)&amp;""),"")))</f>
        <v/>
      </c>
      <c r="F710" s="7">
        <f>IF($Z710="C",INDEX(Contracts!$Q$2:$Q$151,$AB710)&amp;"",IF($Z710="A",INDEX(Fixed_Assets!$L$2:$L$201,$AB710)&amp;"",IF($Z710="F",INDEX(Workforce!$K$2:$K$151,MATCH(INDEX(FTE_Allocation!$A$2:$A$201,$AB710),Workforce!$A$2:$A$151,0))&amp;"","")))</f>
        <v/>
      </c>
      <c r="G710" s="7">
        <f>IF($Z710="C",INDEX(Contracts!$F$2:$F$151,$AB710)&amp;" / "&amp;INDEX(Contracts!$G$2:$G$151,$AB710),IF($Z710="A",INDEX(Fixed_Assets!$E$2:$E$201,$AB710)&amp;"",IF($Z710="F","Personnel "&amp;INDEX(FTE_Allocation!$A$2:$A$201,$AB710)&amp;IF(INDEX(FTE_Allocation!$D$2:$D$201,$AB710)="PROJECT"," ("&amp;INDEX(FTE_Allocation!$E$2:$E$201,$AB710)&amp;")",""),"")))</f>
        <v/>
      </c>
      <c r="H710" s="7">
        <f>IF($Z710="C","CONTRACT",IF($Z710="A","ASSET",IF($Z710="F","WORKFORCE","")))</f>
        <v/>
      </c>
      <c r="I710" s="7">
        <f>IF($Z710="C",INDEX(Contracts!$L$2:$L$151,$AB710)&amp;"",IF($Z710="A",INDEX(Fixed_Assets!$I$2:$I$201,$AB710)&amp;"",IF($Z710="F",INDEX(Workforce!$G$2:$G$151,MATCH(INDEX(FTE_Allocation!$A$2:$A$201,$AB710),Workforce!$A$2:$A$151,0))&amp;"","")))</f>
        <v/>
      </c>
      <c r="J710" s="18">
        <f>IF($Z710="","",IF(AND(DATE($AD710,1,1)&gt;=$AE710,DATE($AD710,1,1)&lt;=$AF710),ROUND($AG710,2),0))</f>
        <v/>
      </c>
      <c r="K710" s="18">
        <f>IF($Z710="","",IF(AND(DATE($AD710,2,1)&gt;=$AE710,DATE($AD710,2,1)&lt;=$AF710),ROUND($AG710,2),0))</f>
        <v/>
      </c>
      <c r="L710" s="18">
        <f>IF($Z710="","",IF(AND(DATE($AD710,3,1)&gt;=$AE710,DATE($AD710,3,1)&lt;=$AF710),ROUND($AG710,2),0))</f>
        <v/>
      </c>
      <c r="M710" s="18">
        <f>IF($Z710="","",IF(AND(DATE($AD710,4,1)&gt;=$AE710,DATE($AD710,4,1)&lt;=$AF710),ROUND($AG710,2),0))</f>
        <v/>
      </c>
      <c r="N710" s="18">
        <f>IF($Z710="","",IF(AND(DATE($AD710,5,1)&gt;=$AE710,DATE($AD710,5,1)&lt;=$AF710),ROUND($AG710,2),0))</f>
        <v/>
      </c>
      <c r="O710" s="18">
        <f>IF($Z710="","",IF(AND(DATE($AD710,6,1)&gt;=$AE710,DATE($AD710,6,1)&lt;=$AF710),ROUND($AG710,2),0))</f>
        <v/>
      </c>
      <c r="P710" s="18">
        <f>IF($Z710="","",IF(AND(DATE($AD710,7,1)&gt;=$AE710,DATE($AD710,7,1)&lt;=$AF710),ROUND($AG710,2),0))</f>
        <v/>
      </c>
      <c r="Q710" s="18">
        <f>IF($Z710="","",IF(AND(DATE($AD710,8,1)&gt;=$AE710,DATE($AD710,8,1)&lt;=$AF710),ROUND($AG710,2),0))</f>
        <v/>
      </c>
      <c r="R710" s="18">
        <f>IF($Z710="","",IF(AND(DATE($AD710,9,1)&gt;=$AE710,DATE($AD710,9,1)&lt;=$AF710),ROUND($AG710,2),0))</f>
        <v/>
      </c>
      <c r="S710" s="18">
        <f>IF($Z710="","",IF(AND(DATE($AD710,10,1)&gt;=$AE710,DATE($AD710,10,1)&lt;=$AF710),ROUND($AG710,2),0))</f>
        <v/>
      </c>
      <c r="T710" s="18">
        <f>IF($Z710="","",IF(AND(DATE($AD710,11,1)&gt;=$AE710,DATE($AD710,11,1)&lt;=$AF710),ROUND($AG710,2),0))</f>
        <v/>
      </c>
      <c r="U710" s="18">
        <f>IF($Z710="","",IF(AND(DATE($AD710,12,1)&gt;=$AE710,DATE($AD710,12,1)&lt;=$AF710),ROUND($AG710,2),0))</f>
        <v/>
      </c>
      <c r="V710" s="7">
        <f>IF($Z710="C","Generated from "&amp;INDEX(Contracts!$A$2:$A$151,$AB710),IF($Z710="A","Generated from "&amp;INDEX(Fixed_Assets!$A$2:$A$201,$AB710),IF($Z710="F","Generated from "&amp;INDEX(FTE_Allocation!$A$2:$A$201,$AB710),"")))</f>
        <v/>
      </c>
      <c r="X710" s="19">
        <f>IF($Z710="","",SUM(J710:U710))</f>
        <v/>
      </c>
      <c r="Y710" s="20">
        <f>ROW()-1</f>
        <v/>
      </c>
      <c r="Z710" s="20">
        <f>IF($Y710&lt;=Settings!$B$4*3,"C",IF($Y710&lt;=(Settings!$B$4+Settings!$B$5)*3,"A",IF($Y710&lt;=(Settings!$B$4+Settings!$B$5+Settings!$B$6)*3,"F","")))</f>
        <v/>
      </c>
      <c r="AA710" s="20">
        <f>IF($Z710="C",$Y710,IF($Z710="A",$Y710-Settings!$B$4*3,IF($Z710="F",$Y710-(Settings!$B$4+Settings!$B$5)*3,"")))</f>
        <v/>
      </c>
      <c r="AB710" s="20">
        <f>IF($Z710="","",INT(($AA710-1)/3)+1)</f>
        <v/>
      </c>
      <c r="AC710" s="20">
        <f>IF($Z710="","",MOD($AA710-1,3)+1)</f>
        <v/>
      </c>
      <c r="AD710" s="20">
        <f>IF($Z710="","",Settings!$B$2+$AC710-1)</f>
        <v/>
      </c>
      <c r="AE710" s="21">
        <f>IF($Z710="C",DATE(YEAR(INDEX(Contracts!$J$2:$J$151,$AB710)),MONTH(INDEX(Contracts!$J$2:$J$151,$AB710)),1),IF($Z710="A",DATE(YEAR(INDEX(Fixed_Assets!$G$2:$G$201,$AB710)),MONTH(INDEX(Fixed_Assets!$G$2:$G$201,$AB710)),1),IF($Z710="F",DATE(YEAR(MAX(N(INDEX(Workforce!$I$2:$I$151,MATCH(INDEX(FTE_Allocation!$A$2:$A$201,$AB710),Workforce!$A$2:$A$151,0))),N(INDEX(FTE_Allocation!$I$2:$I$201,$AB710)))),MONTH(MAX(N(INDEX(Workforce!$I$2:$I$151,MATCH(INDEX(FTE_Allocation!$A$2:$A$201,$AB710),Workforce!$A$2:$A$151,0))),N(INDEX(FTE_Allocation!$I$2:$I$201,$AB710)))),1),"")))</f>
        <v/>
      </c>
      <c r="AF710" s="21">
        <f>IF($Z710="C",IF(INDEX(Contracts!$I$2:$I$151,$AB710)="PREPAID",EDATE(DATE(YEAR(INDEX(Contracts!$J$2:$J$151,$AB710)),MONTH(INDEX(Contracts!$J$2:$J$151,$AB710)),1),IF(INDEX(Contracts!$N$2:$N$151,$AB710)="",12,INDEX(Contracts!$N$2:$N$151,$AB710))-1),IF(INDEX(Contracts!$I$2:$I$151,$AB710)="MONTHLY",IF(INDEX(Contracts!$K$2:$K$151,$AB710)="",2958101,INDEX(Contracts!$K$2:$K$151,$AB710)),0)),IF($Z710="A",EDATE(DATE(YEAR(INDEX(Fixed_Assets!$G$2:$G$201,$AB710)),MONTH(INDEX(Fixed_Assets!$G$2:$G$201,$AB710)),1),INDEX(Fixed_Assets!$J$2:$J$201,$AB710)-1),IF($Z710="F",MIN(IF(INDEX(Workforce!$J$2:$J$151,MATCH(INDEX(FTE_Allocation!$A$2:$A$201,$AB710),Workforce!$A$2:$A$151,0))="",2958101,INDEX(Workforce!$J$2:$J$151,MATCH(INDEX(FTE_Allocation!$A$2:$A$201,$AB710),Workforce!$A$2:$A$151,0))),IF(INDEX(FTE_Allocation!$J$2:$J$201,$AB710)="",2958101,INDEX(FTE_Allocation!$J$2:$J$201,$AB710))),"")))</f>
        <v/>
      </c>
      <c r="AG710" s="19">
        <f>IF($Z710="C",IF(INDEX(Contracts!$I$2:$I$151,$AB710)="PREPAID",INDEX(Contracts!$M$2:$M$151,$AB710)/IF(INDEX(Contracts!$N$2:$N$151,$AB710)="",12,INDEX(Contracts!$N$2:$N$151,$AB710)),IF(INDEX(Contracts!$I$2:$I$151,$AB710)="MONTHLY",INDEX(Contracts!$M$2:$M$151,$AB710),0))*(1-N(INDEX(Contracts!$O$2:$O$151,$AB710))),IF($Z710="A",INDEX(Fixed_Assets!$H$2:$H$201,$AB710)/INDEX(Fixed_Assets!$J$2:$J$201,$AB710),IF($Z710="F",INDEX(Workforce!$F$2:$F$151,MATCH(INDEX(FTE_Allocation!$A$2:$A$201,$AB710),Workforce!$A$2:$A$151,0))*N(INDEX(FTE_Allocation!$F$2:$H$201,$AB710,$AC710)),"")))</f>
        <v/>
      </c>
    </row>
    <row r="711">
      <c r="A711" s="7">
        <f>IF($Z711="","",$AD711)</f>
        <v/>
      </c>
      <c r="B711" s="7">
        <f>IF($Z711="C",INDEX(Contracts!$D$2:$D$151,$AB711)&amp;"",IF($Z711="A",INDEX(Fixed_Assets!$C$2:$C$201,$AB711)&amp;"",IF($Z711="F",INDEX(Workforce!$B$2:$B$151,MATCH(INDEX(FTE_Allocation!$A$2:$A$201,$AB711),Workforce!$A$2:$A$151,0))&amp;"","")))</f>
        <v/>
      </c>
      <c r="C711" s="7">
        <f>IF($Z711="C",INDEX(Contracts!$E$2:$E$151,$AB711)&amp;"",IF($Z711="A",INDEX(Fixed_Assets!$D$2:$D$201,$AB711)&amp;"",IF($Z711="F",INDEX(FTE_Allocation!$C$2:$C$201,$AB711)&amp;"","")))</f>
        <v/>
      </c>
      <c r="D711" s="7">
        <f>IF($Z711="C",INDEX(Contracts!$B$2:$B$151,$AB711)&amp;"",IF($Z711="A",INDEX(Fixed_Assets!$B$2:$B$201,$AB711)&amp;"",IF($Z711="F",INDEX(FTE_Allocation!$B$2:$B$201,$AB711)&amp;"","")))</f>
        <v/>
      </c>
      <c r="E711" s="7">
        <f>IF($Z711="C",INDEX(Contracts!$P$2:$P$151,$AB711)&amp;"",IF($Z711="A",INDEX(Fixed_Assets!$K$2:$K$201,$AB711)&amp;"",IF($Z711="F",IF(INDEX(FTE_Allocation!$D$2:$D$201,$AB711)="PROJECT",IFERROR(INDEX(Projects!$D:$D,MATCH(INDEX(FTE_Allocation!$E$2:$E$201,$AB711),Projects!$A:$A,0))&amp;"","#PROJECT?"),INDEX(FTE_Allocation!$E$2:$E$201,$AB711)&amp;""),"")))</f>
        <v/>
      </c>
      <c r="F711" s="7">
        <f>IF($Z711="C",INDEX(Contracts!$Q$2:$Q$151,$AB711)&amp;"",IF($Z711="A",INDEX(Fixed_Assets!$L$2:$L$201,$AB711)&amp;"",IF($Z711="F",INDEX(Workforce!$K$2:$K$151,MATCH(INDEX(FTE_Allocation!$A$2:$A$201,$AB711),Workforce!$A$2:$A$151,0))&amp;"","")))</f>
        <v/>
      </c>
      <c r="G711" s="7">
        <f>IF($Z711="C",INDEX(Contracts!$F$2:$F$151,$AB711)&amp;" / "&amp;INDEX(Contracts!$G$2:$G$151,$AB711),IF($Z711="A",INDEX(Fixed_Assets!$E$2:$E$201,$AB711)&amp;"",IF($Z711="F","Personnel "&amp;INDEX(FTE_Allocation!$A$2:$A$201,$AB711)&amp;IF(INDEX(FTE_Allocation!$D$2:$D$201,$AB711)="PROJECT"," ("&amp;INDEX(FTE_Allocation!$E$2:$E$201,$AB711)&amp;")",""),"")))</f>
        <v/>
      </c>
      <c r="H711" s="7">
        <f>IF($Z711="C","CONTRACT",IF($Z711="A","ASSET",IF($Z711="F","WORKFORCE","")))</f>
        <v/>
      </c>
      <c r="I711" s="7">
        <f>IF($Z711="C",INDEX(Contracts!$L$2:$L$151,$AB711)&amp;"",IF($Z711="A",INDEX(Fixed_Assets!$I$2:$I$201,$AB711)&amp;"",IF($Z711="F",INDEX(Workforce!$G$2:$G$151,MATCH(INDEX(FTE_Allocation!$A$2:$A$201,$AB711),Workforce!$A$2:$A$151,0))&amp;"","")))</f>
        <v/>
      </c>
      <c r="J711" s="18">
        <f>IF($Z711="","",IF(AND(DATE($AD711,1,1)&gt;=$AE711,DATE($AD711,1,1)&lt;=$AF711),ROUND($AG711,2),0))</f>
        <v/>
      </c>
      <c r="K711" s="18">
        <f>IF($Z711="","",IF(AND(DATE($AD711,2,1)&gt;=$AE711,DATE($AD711,2,1)&lt;=$AF711),ROUND($AG711,2),0))</f>
        <v/>
      </c>
      <c r="L711" s="18">
        <f>IF($Z711="","",IF(AND(DATE($AD711,3,1)&gt;=$AE711,DATE($AD711,3,1)&lt;=$AF711),ROUND($AG711,2),0))</f>
        <v/>
      </c>
      <c r="M711" s="18">
        <f>IF($Z711="","",IF(AND(DATE($AD711,4,1)&gt;=$AE711,DATE($AD711,4,1)&lt;=$AF711),ROUND($AG711,2),0))</f>
        <v/>
      </c>
      <c r="N711" s="18">
        <f>IF($Z711="","",IF(AND(DATE($AD711,5,1)&gt;=$AE711,DATE($AD711,5,1)&lt;=$AF711),ROUND($AG711,2),0))</f>
        <v/>
      </c>
      <c r="O711" s="18">
        <f>IF($Z711="","",IF(AND(DATE($AD711,6,1)&gt;=$AE711,DATE($AD711,6,1)&lt;=$AF711),ROUND($AG711,2),0))</f>
        <v/>
      </c>
      <c r="P711" s="18">
        <f>IF($Z711="","",IF(AND(DATE($AD711,7,1)&gt;=$AE711,DATE($AD711,7,1)&lt;=$AF711),ROUND($AG711,2),0))</f>
        <v/>
      </c>
      <c r="Q711" s="18">
        <f>IF($Z711="","",IF(AND(DATE($AD711,8,1)&gt;=$AE711,DATE($AD711,8,1)&lt;=$AF711),ROUND($AG711,2),0))</f>
        <v/>
      </c>
      <c r="R711" s="18">
        <f>IF($Z711="","",IF(AND(DATE($AD711,9,1)&gt;=$AE711,DATE($AD711,9,1)&lt;=$AF711),ROUND($AG711,2),0))</f>
        <v/>
      </c>
      <c r="S711" s="18">
        <f>IF($Z711="","",IF(AND(DATE($AD711,10,1)&gt;=$AE711,DATE($AD711,10,1)&lt;=$AF711),ROUND($AG711,2),0))</f>
        <v/>
      </c>
      <c r="T711" s="18">
        <f>IF($Z711="","",IF(AND(DATE($AD711,11,1)&gt;=$AE711,DATE($AD711,11,1)&lt;=$AF711),ROUND($AG711,2),0))</f>
        <v/>
      </c>
      <c r="U711" s="18">
        <f>IF($Z711="","",IF(AND(DATE($AD711,12,1)&gt;=$AE711,DATE($AD711,12,1)&lt;=$AF711),ROUND($AG711,2),0))</f>
        <v/>
      </c>
      <c r="V711" s="7">
        <f>IF($Z711="C","Generated from "&amp;INDEX(Contracts!$A$2:$A$151,$AB711),IF($Z711="A","Generated from "&amp;INDEX(Fixed_Assets!$A$2:$A$201,$AB711),IF($Z711="F","Generated from "&amp;INDEX(FTE_Allocation!$A$2:$A$201,$AB711),"")))</f>
        <v/>
      </c>
      <c r="X711" s="19">
        <f>IF($Z711="","",SUM(J711:U711))</f>
        <v/>
      </c>
      <c r="Y711" s="20">
        <f>ROW()-1</f>
        <v/>
      </c>
      <c r="Z711" s="20">
        <f>IF($Y711&lt;=Settings!$B$4*3,"C",IF($Y711&lt;=(Settings!$B$4+Settings!$B$5)*3,"A",IF($Y711&lt;=(Settings!$B$4+Settings!$B$5+Settings!$B$6)*3,"F","")))</f>
        <v/>
      </c>
      <c r="AA711" s="20">
        <f>IF($Z711="C",$Y711,IF($Z711="A",$Y711-Settings!$B$4*3,IF($Z711="F",$Y711-(Settings!$B$4+Settings!$B$5)*3,"")))</f>
        <v/>
      </c>
      <c r="AB711" s="20">
        <f>IF($Z711="","",INT(($AA711-1)/3)+1)</f>
        <v/>
      </c>
      <c r="AC711" s="20">
        <f>IF($Z711="","",MOD($AA711-1,3)+1)</f>
        <v/>
      </c>
      <c r="AD711" s="20">
        <f>IF($Z711="","",Settings!$B$2+$AC711-1)</f>
        <v/>
      </c>
      <c r="AE711" s="21">
        <f>IF($Z711="C",DATE(YEAR(INDEX(Contracts!$J$2:$J$151,$AB711)),MONTH(INDEX(Contracts!$J$2:$J$151,$AB711)),1),IF($Z711="A",DATE(YEAR(INDEX(Fixed_Assets!$G$2:$G$201,$AB711)),MONTH(INDEX(Fixed_Assets!$G$2:$G$201,$AB711)),1),IF($Z711="F",DATE(YEAR(MAX(N(INDEX(Workforce!$I$2:$I$151,MATCH(INDEX(FTE_Allocation!$A$2:$A$201,$AB711),Workforce!$A$2:$A$151,0))),N(INDEX(FTE_Allocation!$I$2:$I$201,$AB711)))),MONTH(MAX(N(INDEX(Workforce!$I$2:$I$151,MATCH(INDEX(FTE_Allocation!$A$2:$A$201,$AB711),Workforce!$A$2:$A$151,0))),N(INDEX(FTE_Allocation!$I$2:$I$201,$AB711)))),1),"")))</f>
        <v/>
      </c>
      <c r="AF711" s="21">
        <f>IF($Z711="C",IF(INDEX(Contracts!$I$2:$I$151,$AB711)="PREPAID",EDATE(DATE(YEAR(INDEX(Contracts!$J$2:$J$151,$AB711)),MONTH(INDEX(Contracts!$J$2:$J$151,$AB711)),1),IF(INDEX(Contracts!$N$2:$N$151,$AB711)="",12,INDEX(Contracts!$N$2:$N$151,$AB711))-1),IF(INDEX(Contracts!$I$2:$I$151,$AB711)="MONTHLY",IF(INDEX(Contracts!$K$2:$K$151,$AB711)="",2958101,INDEX(Contracts!$K$2:$K$151,$AB711)),0)),IF($Z711="A",EDATE(DATE(YEAR(INDEX(Fixed_Assets!$G$2:$G$201,$AB711)),MONTH(INDEX(Fixed_Assets!$G$2:$G$201,$AB711)),1),INDEX(Fixed_Assets!$J$2:$J$201,$AB711)-1),IF($Z711="F",MIN(IF(INDEX(Workforce!$J$2:$J$151,MATCH(INDEX(FTE_Allocation!$A$2:$A$201,$AB711),Workforce!$A$2:$A$151,0))="",2958101,INDEX(Workforce!$J$2:$J$151,MATCH(INDEX(FTE_Allocation!$A$2:$A$201,$AB711),Workforce!$A$2:$A$151,0))),IF(INDEX(FTE_Allocation!$J$2:$J$201,$AB711)="",2958101,INDEX(FTE_Allocation!$J$2:$J$201,$AB711))),"")))</f>
        <v/>
      </c>
      <c r="AG711" s="19">
        <f>IF($Z711="C",IF(INDEX(Contracts!$I$2:$I$151,$AB711)="PREPAID",INDEX(Contracts!$M$2:$M$151,$AB711)/IF(INDEX(Contracts!$N$2:$N$151,$AB711)="",12,INDEX(Contracts!$N$2:$N$151,$AB711)),IF(INDEX(Contracts!$I$2:$I$151,$AB711)="MONTHLY",INDEX(Contracts!$M$2:$M$151,$AB711),0))*(1-N(INDEX(Contracts!$O$2:$O$151,$AB711))),IF($Z711="A",INDEX(Fixed_Assets!$H$2:$H$201,$AB711)/INDEX(Fixed_Assets!$J$2:$J$201,$AB711),IF($Z711="F",INDEX(Workforce!$F$2:$F$151,MATCH(INDEX(FTE_Allocation!$A$2:$A$201,$AB711),Workforce!$A$2:$A$151,0))*N(INDEX(FTE_Allocation!$F$2:$H$201,$AB711,$AC711)),"")))</f>
        <v/>
      </c>
    </row>
    <row r="712">
      <c r="A712" s="7">
        <f>IF($Z712="","",$AD712)</f>
        <v/>
      </c>
      <c r="B712" s="7">
        <f>IF($Z712="C",INDEX(Contracts!$D$2:$D$151,$AB712)&amp;"",IF($Z712="A",INDEX(Fixed_Assets!$C$2:$C$201,$AB712)&amp;"",IF($Z712="F",INDEX(Workforce!$B$2:$B$151,MATCH(INDEX(FTE_Allocation!$A$2:$A$201,$AB712),Workforce!$A$2:$A$151,0))&amp;"","")))</f>
        <v/>
      </c>
      <c r="C712" s="7">
        <f>IF($Z712="C",INDEX(Contracts!$E$2:$E$151,$AB712)&amp;"",IF($Z712="A",INDEX(Fixed_Assets!$D$2:$D$201,$AB712)&amp;"",IF($Z712="F",INDEX(FTE_Allocation!$C$2:$C$201,$AB712)&amp;"","")))</f>
        <v/>
      </c>
      <c r="D712" s="7">
        <f>IF($Z712="C",INDEX(Contracts!$B$2:$B$151,$AB712)&amp;"",IF($Z712="A",INDEX(Fixed_Assets!$B$2:$B$201,$AB712)&amp;"",IF($Z712="F",INDEX(FTE_Allocation!$B$2:$B$201,$AB712)&amp;"","")))</f>
        <v/>
      </c>
      <c r="E712" s="7">
        <f>IF($Z712="C",INDEX(Contracts!$P$2:$P$151,$AB712)&amp;"",IF($Z712="A",INDEX(Fixed_Assets!$K$2:$K$201,$AB712)&amp;"",IF($Z712="F",IF(INDEX(FTE_Allocation!$D$2:$D$201,$AB712)="PROJECT",IFERROR(INDEX(Projects!$D:$D,MATCH(INDEX(FTE_Allocation!$E$2:$E$201,$AB712),Projects!$A:$A,0))&amp;"","#PROJECT?"),INDEX(FTE_Allocation!$E$2:$E$201,$AB712)&amp;""),"")))</f>
        <v/>
      </c>
      <c r="F712" s="7">
        <f>IF($Z712="C",INDEX(Contracts!$Q$2:$Q$151,$AB712)&amp;"",IF($Z712="A",INDEX(Fixed_Assets!$L$2:$L$201,$AB712)&amp;"",IF($Z712="F",INDEX(Workforce!$K$2:$K$151,MATCH(INDEX(FTE_Allocation!$A$2:$A$201,$AB712),Workforce!$A$2:$A$151,0))&amp;"","")))</f>
        <v/>
      </c>
      <c r="G712" s="7">
        <f>IF($Z712="C",INDEX(Contracts!$F$2:$F$151,$AB712)&amp;" / "&amp;INDEX(Contracts!$G$2:$G$151,$AB712),IF($Z712="A",INDEX(Fixed_Assets!$E$2:$E$201,$AB712)&amp;"",IF($Z712="F","Personnel "&amp;INDEX(FTE_Allocation!$A$2:$A$201,$AB712)&amp;IF(INDEX(FTE_Allocation!$D$2:$D$201,$AB712)="PROJECT"," ("&amp;INDEX(FTE_Allocation!$E$2:$E$201,$AB712)&amp;")",""),"")))</f>
        <v/>
      </c>
      <c r="H712" s="7">
        <f>IF($Z712="C","CONTRACT",IF($Z712="A","ASSET",IF($Z712="F","WORKFORCE","")))</f>
        <v/>
      </c>
      <c r="I712" s="7">
        <f>IF($Z712="C",INDEX(Contracts!$L$2:$L$151,$AB712)&amp;"",IF($Z712="A",INDEX(Fixed_Assets!$I$2:$I$201,$AB712)&amp;"",IF($Z712="F",INDEX(Workforce!$G$2:$G$151,MATCH(INDEX(FTE_Allocation!$A$2:$A$201,$AB712),Workforce!$A$2:$A$151,0))&amp;"","")))</f>
        <v/>
      </c>
      <c r="J712" s="18">
        <f>IF($Z712="","",IF(AND(DATE($AD712,1,1)&gt;=$AE712,DATE($AD712,1,1)&lt;=$AF712),ROUND($AG712,2),0))</f>
        <v/>
      </c>
      <c r="K712" s="18">
        <f>IF($Z712="","",IF(AND(DATE($AD712,2,1)&gt;=$AE712,DATE($AD712,2,1)&lt;=$AF712),ROUND($AG712,2),0))</f>
        <v/>
      </c>
      <c r="L712" s="18">
        <f>IF($Z712="","",IF(AND(DATE($AD712,3,1)&gt;=$AE712,DATE($AD712,3,1)&lt;=$AF712),ROUND($AG712,2),0))</f>
        <v/>
      </c>
      <c r="M712" s="18">
        <f>IF($Z712="","",IF(AND(DATE($AD712,4,1)&gt;=$AE712,DATE($AD712,4,1)&lt;=$AF712),ROUND($AG712,2),0))</f>
        <v/>
      </c>
      <c r="N712" s="18">
        <f>IF($Z712="","",IF(AND(DATE($AD712,5,1)&gt;=$AE712,DATE($AD712,5,1)&lt;=$AF712),ROUND($AG712,2),0))</f>
        <v/>
      </c>
      <c r="O712" s="18">
        <f>IF($Z712="","",IF(AND(DATE($AD712,6,1)&gt;=$AE712,DATE($AD712,6,1)&lt;=$AF712),ROUND($AG712,2),0))</f>
        <v/>
      </c>
      <c r="P712" s="18">
        <f>IF($Z712="","",IF(AND(DATE($AD712,7,1)&gt;=$AE712,DATE($AD712,7,1)&lt;=$AF712),ROUND($AG712,2),0))</f>
        <v/>
      </c>
      <c r="Q712" s="18">
        <f>IF($Z712="","",IF(AND(DATE($AD712,8,1)&gt;=$AE712,DATE($AD712,8,1)&lt;=$AF712),ROUND($AG712,2),0))</f>
        <v/>
      </c>
      <c r="R712" s="18">
        <f>IF($Z712="","",IF(AND(DATE($AD712,9,1)&gt;=$AE712,DATE($AD712,9,1)&lt;=$AF712),ROUND($AG712,2),0))</f>
        <v/>
      </c>
      <c r="S712" s="18">
        <f>IF($Z712="","",IF(AND(DATE($AD712,10,1)&gt;=$AE712,DATE($AD712,10,1)&lt;=$AF712),ROUND($AG712,2),0))</f>
        <v/>
      </c>
      <c r="T712" s="18">
        <f>IF($Z712="","",IF(AND(DATE($AD712,11,1)&gt;=$AE712,DATE($AD712,11,1)&lt;=$AF712),ROUND($AG712,2),0))</f>
        <v/>
      </c>
      <c r="U712" s="18">
        <f>IF($Z712="","",IF(AND(DATE($AD712,12,1)&gt;=$AE712,DATE($AD712,12,1)&lt;=$AF712),ROUND($AG712,2),0))</f>
        <v/>
      </c>
      <c r="V712" s="7">
        <f>IF($Z712="C","Generated from "&amp;INDEX(Contracts!$A$2:$A$151,$AB712),IF($Z712="A","Generated from "&amp;INDEX(Fixed_Assets!$A$2:$A$201,$AB712),IF($Z712="F","Generated from "&amp;INDEX(FTE_Allocation!$A$2:$A$201,$AB712),"")))</f>
        <v/>
      </c>
      <c r="X712" s="19">
        <f>IF($Z712="","",SUM(J712:U712))</f>
        <v/>
      </c>
      <c r="Y712" s="20">
        <f>ROW()-1</f>
        <v/>
      </c>
      <c r="Z712" s="20">
        <f>IF($Y712&lt;=Settings!$B$4*3,"C",IF($Y712&lt;=(Settings!$B$4+Settings!$B$5)*3,"A",IF($Y712&lt;=(Settings!$B$4+Settings!$B$5+Settings!$B$6)*3,"F","")))</f>
        <v/>
      </c>
      <c r="AA712" s="20">
        <f>IF($Z712="C",$Y712,IF($Z712="A",$Y712-Settings!$B$4*3,IF($Z712="F",$Y712-(Settings!$B$4+Settings!$B$5)*3,"")))</f>
        <v/>
      </c>
      <c r="AB712" s="20">
        <f>IF($Z712="","",INT(($AA712-1)/3)+1)</f>
        <v/>
      </c>
      <c r="AC712" s="20">
        <f>IF($Z712="","",MOD($AA712-1,3)+1)</f>
        <v/>
      </c>
      <c r="AD712" s="20">
        <f>IF($Z712="","",Settings!$B$2+$AC712-1)</f>
        <v/>
      </c>
      <c r="AE712" s="21">
        <f>IF($Z712="C",DATE(YEAR(INDEX(Contracts!$J$2:$J$151,$AB712)),MONTH(INDEX(Contracts!$J$2:$J$151,$AB712)),1),IF($Z712="A",DATE(YEAR(INDEX(Fixed_Assets!$G$2:$G$201,$AB712)),MONTH(INDEX(Fixed_Assets!$G$2:$G$201,$AB712)),1),IF($Z712="F",DATE(YEAR(MAX(N(INDEX(Workforce!$I$2:$I$151,MATCH(INDEX(FTE_Allocation!$A$2:$A$201,$AB712),Workforce!$A$2:$A$151,0))),N(INDEX(FTE_Allocation!$I$2:$I$201,$AB712)))),MONTH(MAX(N(INDEX(Workforce!$I$2:$I$151,MATCH(INDEX(FTE_Allocation!$A$2:$A$201,$AB712),Workforce!$A$2:$A$151,0))),N(INDEX(FTE_Allocation!$I$2:$I$201,$AB712)))),1),"")))</f>
        <v/>
      </c>
      <c r="AF712" s="21">
        <f>IF($Z712="C",IF(INDEX(Contracts!$I$2:$I$151,$AB712)="PREPAID",EDATE(DATE(YEAR(INDEX(Contracts!$J$2:$J$151,$AB712)),MONTH(INDEX(Contracts!$J$2:$J$151,$AB712)),1),IF(INDEX(Contracts!$N$2:$N$151,$AB712)="",12,INDEX(Contracts!$N$2:$N$151,$AB712))-1),IF(INDEX(Contracts!$I$2:$I$151,$AB712)="MONTHLY",IF(INDEX(Contracts!$K$2:$K$151,$AB712)="",2958101,INDEX(Contracts!$K$2:$K$151,$AB712)),0)),IF($Z712="A",EDATE(DATE(YEAR(INDEX(Fixed_Assets!$G$2:$G$201,$AB712)),MONTH(INDEX(Fixed_Assets!$G$2:$G$201,$AB712)),1),INDEX(Fixed_Assets!$J$2:$J$201,$AB712)-1),IF($Z712="F",MIN(IF(INDEX(Workforce!$J$2:$J$151,MATCH(INDEX(FTE_Allocation!$A$2:$A$201,$AB712),Workforce!$A$2:$A$151,0))="",2958101,INDEX(Workforce!$J$2:$J$151,MATCH(INDEX(FTE_Allocation!$A$2:$A$201,$AB712),Workforce!$A$2:$A$151,0))),IF(INDEX(FTE_Allocation!$J$2:$J$201,$AB712)="",2958101,INDEX(FTE_Allocation!$J$2:$J$201,$AB712))),"")))</f>
        <v/>
      </c>
      <c r="AG712" s="19">
        <f>IF($Z712="C",IF(INDEX(Contracts!$I$2:$I$151,$AB712)="PREPAID",INDEX(Contracts!$M$2:$M$151,$AB712)/IF(INDEX(Contracts!$N$2:$N$151,$AB712)="",12,INDEX(Contracts!$N$2:$N$151,$AB712)),IF(INDEX(Contracts!$I$2:$I$151,$AB712)="MONTHLY",INDEX(Contracts!$M$2:$M$151,$AB712),0))*(1-N(INDEX(Contracts!$O$2:$O$151,$AB712))),IF($Z712="A",INDEX(Fixed_Assets!$H$2:$H$201,$AB712)/INDEX(Fixed_Assets!$J$2:$J$201,$AB712),IF($Z712="F",INDEX(Workforce!$F$2:$F$151,MATCH(INDEX(FTE_Allocation!$A$2:$A$201,$AB712),Workforce!$A$2:$A$151,0))*N(INDEX(FTE_Allocation!$F$2:$H$201,$AB712,$AC712)),"")))</f>
        <v/>
      </c>
    </row>
    <row r="713">
      <c r="A713" s="7">
        <f>IF($Z713="","",$AD713)</f>
        <v/>
      </c>
      <c r="B713" s="7">
        <f>IF($Z713="C",INDEX(Contracts!$D$2:$D$151,$AB713)&amp;"",IF($Z713="A",INDEX(Fixed_Assets!$C$2:$C$201,$AB713)&amp;"",IF($Z713="F",INDEX(Workforce!$B$2:$B$151,MATCH(INDEX(FTE_Allocation!$A$2:$A$201,$AB713),Workforce!$A$2:$A$151,0))&amp;"","")))</f>
        <v/>
      </c>
      <c r="C713" s="7">
        <f>IF($Z713="C",INDEX(Contracts!$E$2:$E$151,$AB713)&amp;"",IF($Z713="A",INDEX(Fixed_Assets!$D$2:$D$201,$AB713)&amp;"",IF($Z713="F",INDEX(FTE_Allocation!$C$2:$C$201,$AB713)&amp;"","")))</f>
        <v/>
      </c>
      <c r="D713" s="7">
        <f>IF($Z713="C",INDEX(Contracts!$B$2:$B$151,$AB713)&amp;"",IF($Z713="A",INDEX(Fixed_Assets!$B$2:$B$201,$AB713)&amp;"",IF($Z713="F",INDEX(FTE_Allocation!$B$2:$B$201,$AB713)&amp;"","")))</f>
        <v/>
      </c>
      <c r="E713" s="7">
        <f>IF($Z713="C",INDEX(Contracts!$P$2:$P$151,$AB713)&amp;"",IF($Z713="A",INDEX(Fixed_Assets!$K$2:$K$201,$AB713)&amp;"",IF($Z713="F",IF(INDEX(FTE_Allocation!$D$2:$D$201,$AB713)="PROJECT",IFERROR(INDEX(Projects!$D:$D,MATCH(INDEX(FTE_Allocation!$E$2:$E$201,$AB713),Projects!$A:$A,0))&amp;"","#PROJECT?"),INDEX(FTE_Allocation!$E$2:$E$201,$AB713)&amp;""),"")))</f>
        <v/>
      </c>
      <c r="F713" s="7">
        <f>IF($Z713="C",INDEX(Contracts!$Q$2:$Q$151,$AB713)&amp;"",IF($Z713="A",INDEX(Fixed_Assets!$L$2:$L$201,$AB713)&amp;"",IF($Z713="F",INDEX(Workforce!$K$2:$K$151,MATCH(INDEX(FTE_Allocation!$A$2:$A$201,$AB713),Workforce!$A$2:$A$151,0))&amp;"","")))</f>
        <v/>
      </c>
      <c r="G713" s="7">
        <f>IF($Z713="C",INDEX(Contracts!$F$2:$F$151,$AB713)&amp;" / "&amp;INDEX(Contracts!$G$2:$G$151,$AB713),IF($Z713="A",INDEX(Fixed_Assets!$E$2:$E$201,$AB713)&amp;"",IF($Z713="F","Personnel "&amp;INDEX(FTE_Allocation!$A$2:$A$201,$AB713)&amp;IF(INDEX(FTE_Allocation!$D$2:$D$201,$AB713)="PROJECT"," ("&amp;INDEX(FTE_Allocation!$E$2:$E$201,$AB713)&amp;")",""),"")))</f>
        <v/>
      </c>
      <c r="H713" s="7">
        <f>IF($Z713="C","CONTRACT",IF($Z713="A","ASSET",IF($Z713="F","WORKFORCE","")))</f>
        <v/>
      </c>
      <c r="I713" s="7">
        <f>IF($Z713="C",INDEX(Contracts!$L$2:$L$151,$AB713)&amp;"",IF($Z713="A",INDEX(Fixed_Assets!$I$2:$I$201,$AB713)&amp;"",IF($Z713="F",INDEX(Workforce!$G$2:$G$151,MATCH(INDEX(FTE_Allocation!$A$2:$A$201,$AB713),Workforce!$A$2:$A$151,0))&amp;"","")))</f>
        <v/>
      </c>
      <c r="J713" s="18">
        <f>IF($Z713="","",IF(AND(DATE($AD713,1,1)&gt;=$AE713,DATE($AD713,1,1)&lt;=$AF713),ROUND($AG713,2),0))</f>
        <v/>
      </c>
      <c r="K713" s="18">
        <f>IF($Z713="","",IF(AND(DATE($AD713,2,1)&gt;=$AE713,DATE($AD713,2,1)&lt;=$AF713),ROUND($AG713,2),0))</f>
        <v/>
      </c>
      <c r="L713" s="18">
        <f>IF($Z713="","",IF(AND(DATE($AD713,3,1)&gt;=$AE713,DATE($AD713,3,1)&lt;=$AF713),ROUND($AG713,2),0))</f>
        <v/>
      </c>
      <c r="M713" s="18">
        <f>IF($Z713="","",IF(AND(DATE($AD713,4,1)&gt;=$AE713,DATE($AD713,4,1)&lt;=$AF713),ROUND($AG713,2),0))</f>
        <v/>
      </c>
      <c r="N713" s="18">
        <f>IF($Z713="","",IF(AND(DATE($AD713,5,1)&gt;=$AE713,DATE($AD713,5,1)&lt;=$AF713),ROUND($AG713,2),0))</f>
        <v/>
      </c>
      <c r="O713" s="18">
        <f>IF($Z713="","",IF(AND(DATE($AD713,6,1)&gt;=$AE713,DATE($AD713,6,1)&lt;=$AF713),ROUND($AG713,2),0))</f>
        <v/>
      </c>
      <c r="P713" s="18">
        <f>IF($Z713="","",IF(AND(DATE($AD713,7,1)&gt;=$AE713,DATE($AD713,7,1)&lt;=$AF713),ROUND($AG713,2),0))</f>
        <v/>
      </c>
      <c r="Q713" s="18">
        <f>IF($Z713="","",IF(AND(DATE($AD713,8,1)&gt;=$AE713,DATE($AD713,8,1)&lt;=$AF713),ROUND($AG713,2),0))</f>
        <v/>
      </c>
      <c r="R713" s="18">
        <f>IF($Z713="","",IF(AND(DATE($AD713,9,1)&gt;=$AE713,DATE($AD713,9,1)&lt;=$AF713),ROUND($AG713,2),0))</f>
        <v/>
      </c>
      <c r="S713" s="18">
        <f>IF($Z713="","",IF(AND(DATE($AD713,10,1)&gt;=$AE713,DATE($AD713,10,1)&lt;=$AF713),ROUND($AG713,2),0))</f>
        <v/>
      </c>
      <c r="T713" s="18">
        <f>IF($Z713="","",IF(AND(DATE($AD713,11,1)&gt;=$AE713,DATE($AD713,11,1)&lt;=$AF713),ROUND($AG713,2),0))</f>
        <v/>
      </c>
      <c r="U713" s="18">
        <f>IF($Z713="","",IF(AND(DATE($AD713,12,1)&gt;=$AE713,DATE($AD713,12,1)&lt;=$AF713),ROUND($AG713,2),0))</f>
        <v/>
      </c>
      <c r="V713" s="7">
        <f>IF($Z713="C","Generated from "&amp;INDEX(Contracts!$A$2:$A$151,$AB713),IF($Z713="A","Generated from "&amp;INDEX(Fixed_Assets!$A$2:$A$201,$AB713),IF($Z713="F","Generated from "&amp;INDEX(FTE_Allocation!$A$2:$A$201,$AB713),"")))</f>
        <v/>
      </c>
      <c r="X713" s="19">
        <f>IF($Z713="","",SUM(J713:U713))</f>
        <v/>
      </c>
      <c r="Y713" s="20">
        <f>ROW()-1</f>
        <v/>
      </c>
      <c r="Z713" s="20">
        <f>IF($Y713&lt;=Settings!$B$4*3,"C",IF($Y713&lt;=(Settings!$B$4+Settings!$B$5)*3,"A",IF($Y713&lt;=(Settings!$B$4+Settings!$B$5+Settings!$B$6)*3,"F","")))</f>
        <v/>
      </c>
      <c r="AA713" s="20">
        <f>IF($Z713="C",$Y713,IF($Z713="A",$Y713-Settings!$B$4*3,IF($Z713="F",$Y713-(Settings!$B$4+Settings!$B$5)*3,"")))</f>
        <v/>
      </c>
      <c r="AB713" s="20">
        <f>IF($Z713="","",INT(($AA713-1)/3)+1)</f>
        <v/>
      </c>
      <c r="AC713" s="20">
        <f>IF($Z713="","",MOD($AA713-1,3)+1)</f>
        <v/>
      </c>
      <c r="AD713" s="20">
        <f>IF($Z713="","",Settings!$B$2+$AC713-1)</f>
        <v/>
      </c>
      <c r="AE713" s="21">
        <f>IF($Z713="C",DATE(YEAR(INDEX(Contracts!$J$2:$J$151,$AB713)),MONTH(INDEX(Contracts!$J$2:$J$151,$AB713)),1),IF($Z713="A",DATE(YEAR(INDEX(Fixed_Assets!$G$2:$G$201,$AB713)),MONTH(INDEX(Fixed_Assets!$G$2:$G$201,$AB713)),1),IF($Z713="F",DATE(YEAR(MAX(N(INDEX(Workforce!$I$2:$I$151,MATCH(INDEX(FTE_Allocation!$A$2:$A$201,$AB713),Workforce!$A$2:$A$151,0))),N(INDEX(FTE_Allocation!$I$2:$I$201,$AB713)))),MONTH(MAX(N(INDEX(Workforce!$I$2:$I$151,MATCH(INDEX(FTE_Allocation!$A$2:$A$201,$AB713),Workforce!$A$2:$A$151,0))),N(INDEX(FTE_Allocation!$I$2:$I$201,$AB713)))),1),"")))</f>
        <v/>
      </c>
      <c r="AF713" s="21">
        <f>IF($Z713="C",IF(INDEX(Contracts!$I$2:$I$151,$AB713)="PREPAID",EDATE(DATE(YEAR(INDEX(Contracts!$J$2:$J$151,$AB713)),MONTH(INDEX(Contracts!$J$2:$J$151,$AB713)),1),IF(INDEX(Contracts!$N$2:$N$151,$AB713)="",12,INDEX(Contracts!$N$2:$N$151,$AB713))-1),IF(INDEX(Contracts!$I$2:$I$151,$AB713)="MONTHLY",IF(INDEX(Contracts!$K$2:$K$151,$AB713)="",2958101,INDEX(Contracts!$K$2:$K$151,$AB713)),0)),IF($Z713="A",EDATE(DATE(YEAR(INDEX(Fixed_Assets!$G$2:$G$201,$AB713)),MONTH(INDEX(Fixed_Assets!$G$2:$G$201,$AB713)),1),INDEX(Fixed_Assets!$J$2:$J$201,$AB713)-1),IF($Z713="F",MIN(IF(INDEX(Workforce!$J$2:$J$151,MATCH(INDEX(FTE_Allocation!$A$2:$A$201,$AB713),Workforce!$A$2:$A$151,0))="",2958101,INDEX(Workforce!$J$2:$J$151,MATCH(INDEX(FTE_Allocation!$A$2:$A$201,$AB713),Workforce!$A$2:$A$151,0))),IF(INDEX(FTE_Allocation!$J$2:$J$201,$AB713)="",2958101,INDEX(FTE_Allocation!$J$2:$J$201,$AB713))),"")))</f>
        <v/>
      </c>
      <c r="AG713" s="19">
        <f>IF($Z713="C",IF(INDEX(Contracts!$I$2:$I$151,$AB713)="PREPAID",INDEX(Contracts!$M$2:$M$151,$AB713)/IF(INDEX(Contracts!$N$2:$N$151,$AB713)="",12,INDEX(Contracts!$N$2:$N$151,$AB713)),IF(INDEX(Contracts!$I$2:$I$151,$AB713)="MONTHLY",INDEX(Contracts!$M$2:$M$151,$AB713),0))*(1-N(INDEX(Contracts!$O$2:$O$151,$AB713))),IF($Z713="A",INDEX(Fixed_Assets!$H$2:$H$201,$AB713)/INDEX(Fixed_Assets!$J$2:$J$201,$AB713),IF($Z713="F",INDEX(Workforce!$F$2:$F$151,MATCH(INDEX(FTE_Allocation!$A$2:$A$201,$AB713),Workforce!$A$2:$A$151,0))*N(INDEX(FTE_Allocation!$F$2:$H$201,$AB713,$AC713)),"")))</f>
        <v/>
      </c>
    </row>
    <row r="714">
      <c r="A714" s="7">
        <f>IF($Z714="","",$AD714)</f>
        <v/>
      </c>
      <c r="B714" s="7">
        <f>IF($Z714="C",INDEX(Contracts!$D$2:$D$151,$AB714)&amp;"",IF($Z714="A",INDEX(Fixed_Assets!$C$2:$C$201,$AB714)&amp;"",IF($Z714="F",INDEX(Workforce!$B$2:$B$151,MATCH(INDEX(FTE_Allocation!$A$2:$A$201,$AB714),Workforce!$A$2:$A$151,0))&amp;"","")))</f>
        <v/>
      </c>
      <c r="C714" s="7">
        <f>IF($Z714="C",INDEX(Contracts!$E$2:$E$151,$AB714)&amp;"",IF($Z714="A",INDEX(Fixed_Assets!$D$2:$D$201,$AB714)&amp;"",IF($Z714="F",INDEX(FTE_Allocation!$C$2:$C$201,$AB714)&amp;"","")))</f>
        <v/>
      </c>
      <c r="D714" s="7">
        <f>IF($Z714="C",INDEX(Contracts!$B$2:$B$151,$AB714)&amp;"",IF($Z714="A",INDEX(Fixed_Assets!$B$2:$B$201,$AB714)&amp;"",IF($Z714="F",INDEX(FTE_Allocation!$B$2:$B$201,$AB714)&amp;"","")))</f>
        <v/>
      </c>
      <c r="E714" s="7">
        <f>IF($Z714="C",INDEX(Contracts!$P$2:$P$151,$AB714)&amp;"",IF($Z714="A",INDEX(Fixed_Assets!$K$2:$K$201,$AB714)&amp;"",IF($Z714="F",IF(INDEX(FTE_Allocation!$D$2:$D$201,$AB714)="PROJECT",IFERROR(INDEX(Projects!$D:$D,MATCH(INDEX(FTE_Allocation!$E$2:$E$201,$AB714),Projects!$A:$A,0))&amp;"","#PROJECT?"),INDEX(FTE_Allocation!$E$2:$E$201,$AB714)&amp;""),"")))</f>
        <v/>
      </c>
      <c r="F714" s="7">
        <f>IF($Z714="C",INDEX(Contracts!$Q$2:$Q$151,$AB714)&amp;"",IF($Z714="A",INDEX(Fixed_Assets!$L$2:$L$201,$AB714)&amp;"",IF($Z714="F",INDEX(Workforce!$K$2:$K$151,MATCH(INDEX(FTE_Allocation!$A$2:$A$201,$AB714),Workforce!$A$2:$A$151,0))&amp;"","")))</f>
        <v/>
      </c>
      <c r="G714" s="7">
        <f>IF($Z714="C",INDEX(Contracts!$F$2:$F$151,$AB714)&amp;" / "&amp;INDEX(Contracts!$G$2:$G$151,$AB714),IF($Z714="A",INDEX(Fixed_Assets!$E$2:$E$201,$AB714)&amp;"",IF($Z714="F","Personnel "&amp;INDEX(FTE_Allocation!$A$2:$A$201,$AB714)&amp;IF(INDEX(FTE_Allocation!$D$2:$D$201,$AB714)="PROJECT"," ("&amp;INDEX(FTE_Allocation!$E$2:$E$201,$AB714)&amp;")",""),"")))</f>
        <v/>
      </c>
      <c r="H714" s="7">
        <f>IF($Z714="C","CONTRACT",IF($Z714="A","ASSET",IF($Z714="F","WORKFORCE","")))</f>
        <v/>
      </c>
      <c r="I714" s="7">
        <f>IF($Z714="C",INDEX(Contracts!$L$2:$L$151,$AB714)&amp;"",IF($Z714="A",INDEX(Fixed_Assets!$I$2:$I$201,$AB714)&amp;"",IF($Z714="F",INDEX(Workforce!$G$2:$G$151,MATCH(INDEX(FTE_Allocation!$A$2:$A$201,$AB714),Workforce!$A$2:$A$151,0))&amp;"","")))</f>
        <v/>
      </c>
      <c r="J714" s="18">
        <f>IF($Z714="","",IF(AND(DATE($AD714,1,1)&gt;=$AE714,DATE($AD714,1,1)&lt;=$AF714),ROUND($AG714,2),0))</f>
        <v/>
      </c>
      <c r="K714" s="18">
        <f>IF($Z714="","",IF(AND(DATE($AD714,2,1)&gt;=$AE714,DATE($AD714,2,1)&lt;=$AF714),ROUND($AG714,2),0))</f>
        <v/>
      </c>
      <c r="L714" s="18">
        <f>IF($Z714="","",IF(AND(DATE($AD714,3,1)&gt;=$AE714,DATE($AD714,3,1)&lt;=$AF714),ROUND($AG714,2),0))</f>
        <v/>
      </c>
      <c r="M714" s="18">
        <f>IF($Z714="","",IF(AND(DATE($AD714,4,1)&gt;=$AE714,DATE($AD714,4,1)&lt;=$AF714),ROUND($AG714,2),0))</f>
        <v/>
      </c>
      <c r="N714" s="18">
        <f>IF($Z714="","",IF(AND(DATE($AD714,5,1)&gt;=$AE714,DATE($AD714,5,1)&lt;=$AF714),ROUND($AG714,2),0))</f>
        <v/>
      </c>
      <c r="O714" s="18">
        <f>IF($Z714="","",IF(AND(DATE($AD714,6,1)&gt;=$AE714,DATE($AD714,6,1)&lt;=$AF714),ROUND($AG714,2),0))</f>
        <v/>
      </c>
      <c r="P714" s="18">
        <f>IF($Z714="","",IF(AND(DATE($AD714,7,1)&gt;=$AE714,DATE($AD714,7,1)&lt;=$AF714),ROUND($AG714,2),0))</f>
        <v/>
      </c>
      <c r="Q714" s="18">
        <f>IF($Z714="","",IF(AND(DATE($AD714,8,1)&gt;=$AE714,DATE($AD714,8,1)&lt;=$AF714),ROUND($AG714,2),0))</f>
        <v/>
      </c>
      <c r="R714" s="18">
        <f>IF($Z714="","",IF(AND(DATE($AD714,9,1)&gt;=$AE714,DATE($AD714,9,1)&lt;=$AF714),ROUND($AG714,2),0))</f>
        <v/>
      </c>
      <c r="S714" s="18">
        <f>IF($Z714="","",IF(AND(DATE($AD714,10,1)&gt;=$AE714,DATE($AD714,10,1)&lt;=$AF714),ROUND($AG714,2),0))</f>
        <v/>
      </c>
      <c r="T714" s="18">
        <f>IF($Z714="","",IF(AND(DATE($AD714,11,1)&gt;=$AE714,DATE($AD714,11,1)&lt;=$AF714),ROUND($AG714,2),0))</f>
        <v/>
      </c>
      <c r="U714" s="18">
        <f>IF($Z714="","",IF(AND(DATE($AD714,12,1)&gt;=$AE714,DATE($AD714,12,1)&lt;=$AF714),ROUND($AG714,2),0))</f>
        <v/>
      </c>
      <c r="V714" s="7">
        <f>IF($Z714="C","Generated from "&amp;INDEX(Contracts!$A$2:$A$151,$AB714),IF($Z714="A","Generated from "&amp;INDEX(Fixed_Assets!$A$2:$A$201,$AB714),IF($Z714="F","Generated from "&amp;INDEX(FTE_Allocation!$A$2:$A$201,$AB714),"")))</f>
        <v/>
      </c>
      <c r="X714" s="19">
        <f>IF($Z714="","",SUM(J714:U714))</f>
        <v/>
      </c>
      <c r="Y714" s="20">
        <f>ROW()-1</f>
        <v/>
      </c>
      <c r="Z714" s="20">
        <f>IF($Y714&lt;=Settings!$B$4*3,"C",IF($Y714&lt;=(Settings!$B$4+Settings!$B$5)*3,"A",IF($Y714&lt;=(Settings!$B$4+Settings!$B$5+Settings!$B$6)*3,"F","")))</f>
        <v/>
      </c>
      <c r="AA714" s="20">
        <f>IF($Z714="C",$Y714,IF($Z714="A",$Y714-Settings!$B$4*3,IF($Z714="F",$Y714-(Settings!$B$4+Settings!$B$5)*3,"")))</f>
        <v/>
      </c>
      <c r="AB714" s="20">
        <f>IF($Z714="","",INT(($AA714-1)/3)+1)</f>
        <v/>
      </c>
      <c r="AC714" s="20">
        <f>IF($Z714="","",MOD($AA714-1,3)+1)</f>
        <v/>
      </c>
      <c r="AD714" s="20">
        <f>IF($Z714="","",Settings!$B$2+$AC714-1)</f>
        <v/>
      </c>
      <c r="AE714" s="21">
        <f>IF($Z714="C",DATE(YEAR(INDEX(Contracts!$J$2:$J$151,$AB714)),MONTH(INDEX(Contracts!$J$2:$J$151,$AB714)),1),IF($Z714="A",DATE(YEAR(INDEX(Fixed_Assets!$G$2:$G$201,$AB714)),MONTH(INDEX(Fixed_Assets!$G$2:$G$201,$AB714)),1),IF($Z714="F",DATE(YEAR(MAX(N(INDEX(Workforce!$I$2:$I$151,MATCH(INDEX(FTE_Allocation!$A$2:$A$201,$AB714),Workforce!$A$2:$A$151,0))),N(INDEX(FTE_Allocation!$I$2:$I$201,$AB714)))),MONTH(MAX(N(INDEX(Workforce!$I$2:$I$151,MATCH(INDEX(FTE_Allocation!$A$2:$A$201,$AB714),Workforce!$A$2:$A$151,0))),N(INDEX(FTE_Allocation!$I$2:$I$201,$AB714)))),1),"")))</f>
        <v/>
      </c>
      <c r="AF714" s="21">
        <f>IF($Z714="C",IF(INDEX(Contracts!$I$2:$I$151,$AB714)="PREPAID",EDATE(DATE(YEAR(INDEX(Contracts!$J$2:$J$151,$AB714)),MONTH(INDEX(Contracts!$J$2:$J$151,$AB714)),1),IF(INDEX(Contracts!$N$2:$N$151,$AB714)="",12,INDEX(Contracts!$N$2:$N$151,$AB714))-1),IF(INDEX(Contracts!$I$2:$I$151,$AB714)="MONTHLY",IF(INDEX(Contracts!$K$2:$K$151,$AB714)="",2958101,INDEX(Contracts!$K$2:$K$151,$AB714)),0)),IF($Z714="A",EDATE(DATE(YEAR(INDEX(Fixed_Assets!$G$2:$G$201,$AB714)),MONTH(INDEX(Fixed_Assets!$G$2:$G$201,$AB714)),1),INDEX(Fixed_Assets!$J$2:$J$201,$AB714)-1),IF($Z714="F",MIN(IF(INDEX(Workforce!$J$2:$J$151,MATCH(INDEX(FTE_Allocation!$A$2:$A$201,$AB714),Workforce!$A$2:$A$151,0))="",2958101,INDEX(Workforce!$J$2:$J$151,MATCH(INDEX(FTE_Allocation!$A$2:$A$201,$AB714),Workforce!$A$2:$A$151,0))),IF(INDEX(FTE_Allocation!$J$2:$J$201,$AB714)="",2958101,INDEX(FTE_Allocation!$J$2:$J$201,$AB714))),"")))</f>
        <v/>
      </c>
      <c r="AG714" s="19">
        <f>IF($Z714="C",IF(INDEX(Contracts!$I$2:$I$151,$AB714)="PREPAID",INDEX(Contracts!$M$2:$M$151,$AB714)/IF(INDEX(Contracts!$N$2:$N$151,$AB714)="",12,INDEX(Contracts!$N$2:$N$151,$AB714)),IF(INDEX(Contracts!$I$2:$I$151,$AB714)="MONTHLY",INDEX(Contracts!$M$2:$M$151,$AB714),0))*(1-N(INDEX(Contracts!$O$2:$O$151,$AB714))),IF($Z714="A",INDEX(Fixed_Assets!$H$2:$H$201,$AB714)/INDEX(Fixed_Assets!$J$2:$J$201,$AB714),IF($Z714="F",INDEX(Workforce!$F$2:$F$151,MATCH(INDEX(FTE_Allocation!$A$2:$A$201,$AB714),Workforce!$A$2:$A$151,0))*N(INDEX(FTE_Allocation!$F$2:$H$201,$AB714,$AC714)),"")))</f>
        <v/>
      </c>
    </row>
    <row r="715">
      <c r="A715" s="7">
        <f>IF($Z715="","",$AD715)</f>
        <v/>
      </c>
      <c r="B715" s="7">
        <f>IF($Z715="C",INDEX(Contracts!$D$2:$D$151,$AB715)&amp;"",IF($Z715="A",INDEX(Fixed_Assets!$C$2:$C$201,$AB715)&amp;"",IF($Z715="F",INDEX(Workforce!$B$2:$B$151,MATCH(INDEX(FTE_Allocation!$A$2:$A$201,$AB715),Workforce!$A$2:$A$151,0))&amp;"","")))</f>
        <v/>
      </c>
      <c r="C715" s="7">
        <f>IF($Z715="C",INDEX(Contracts!$E$2:$E$151,$AB715)&amp;"",IF($Z715="A",INDEX(Fixed_Assets!$D$2:$D$201,$AB715)&amp;"",IF($Z715="F",INDEX(FTE_Allocation!$C$2:$C$201,$AB715)&amp;"","")))</f>
        <v/>
      </c>
      <c r="D715" s="7">
        <f>IF($Z715="C",INDEX(Contracts!$B$2:$B$151,$AB715)&amp;"",IF($Z715="A",INDEX(Fixed_Assets!$B$2:$B$201,$AB715)&amp;"",IF($Z715="F",INDEX(FTE_Allocation!$B$2:$B$201,$AB715)&amp;"","")))</f>
        <v/>
      </c>
      <c r="E715" s="7">
        <f>IF($Z715="C",INDEX(Contracts!$P$2:$P$151,$AB715)&amp;"",IF($Z715="A",INDEX(Fixed_Assets!$K$2:$K$201,$AB715)&amp;"",IF($Z715="F",IF(INDEX(FTE_Allocation!$D$2:$D$201,$AB715)="PROJECT",IFERROR(INDEX(Projects!$D:$D,MATCH(INDEX(FTE_Allocation!$E$2:$E$201,$AB715),Projects!$A:$A,0))&amp;"","#PROJECT?"),INDEX(FTE_Allocation!$E$2:$E$201,$AB715)&amp;""),"")))</f>
        <v/>
      </c>
      <c r="F715" s="7">
        <f>IF($Z715="C",INDEX(Contracts!$Q$2:$Q$151,$AB715)&amp;"",IF($Z715="A",INDEX(Fixed_Assets!$L$2:$L$201,$AB715)&amp;"",IF($Z715="F",INDEX(Workforce!$K$2:$K$151,MATCH(INDEX(FTE_Allocation!$A$2:$A$201,$AB715),Workforce!$A$2:$A$151,0))&amp;"","")))</f>
        <v/>
      </c>
      <c r="G715" s="7">
        <f>IF($Z715="C",INDEX(Contracts!$F$2:$F$151,$AB715)&amp;" / "&amp;INDEX(Contracts!$G$2:$G$151,$AB715),IF($Z715="A",INDEX(Fixed_Assets!$E$2:$E$201,$AB715)&amp;"",IF($Z715="F","Personnel "&amp;INDEX(FTE_Allocation!$A$2:$A$201,$AB715)&amp;IF(INDEX(FTE_Allocation!$D$2:$D$201,$AB715)="PROJECT"," ("&amp;INDEX(FTE_Allocation!$E$2:$E$201,$AB715)&amp;")",""),"")))</f>
        <v/>
      </c>
      <c r="H715" s="7">
        <f>IF($Z715="C","CONTRACT",IF($Z715="A","ASSET",IF($Z715="F","WORKFORCE","")))</f>
        <v/>
      </c>
      <c r="I715" s="7">
        <f>IF($Z715="C",INDEX(Contracts!$L$2:$L$151,$AB715)&amp;"",IF($Z715="A",INDEX(Fixed_Assets!$I$2:$I$201,$AB715)&amp;"",IF($Z715="F",INDEX(Workforce!$G$2:$G$151,MATCH(INDEX(FTE_Allocation!$A$2:$A$201,$AB715),Workforce!$A$2:$A$151,0))&amp;"","")))</f>
        <v/>
      </c>
      <c r="J715" s="18">
        <f>IF($Z715="","",IF(AND(DATE($AD715,1,1)&gt;=$AE715,DATE($AD715,1,1)&lt;=$AF715),ROUND($AG715,2),0))</f>
        <v/>
      </c>
      <c r="K715" s="18">
        <f>IF($Z715="","",IF(AND(DATE($AD715,2,1)&gt;=$AE715,DATE($AD715,2,1)&lt;=$AF715),ROUND($AG715,2),0))</f>
        <v/>
      </c>
      <c r="L715" s="18">
        <f>IF($Z715="","",IF(AND(DATE($AD715,3,1)&gt;=$AE715,DATE($AD715,3,1)&lt;=$AF715),ROUND($AG715,2),0))</f>
        <v/>
      </c>
      <c r="M715" s="18">
        <f>IF($Z715="","",IF(AND(DATE($AD715,4,1)&gt;=$AE715,DATE($AD715,4,1)&lt;=$AF715),ROUND($AG715,2),0))</f>
        <v/>
      </c>
      <c r="N715" s="18">
        <f>IF($Z715="","",IF(AND(DATE($AD715,5,1)&gt;=$AE715,DATE($AD715,5,1)&lt;=$AF715),ROUND($AG715,2),0))</f>
        <v/>
      </c>
      <c r="O715" s="18">
        <f>IF($Z715="","",IF(AND(DATE($AD715,6,1)&gt;=$AE715,DATE($AD715,6,1)&lt;=$AF715),ROUND($AG715,2),0))</f>
        <v/>
      </c>
      <c r="P715" s="18">
        <f>IF($Z715="","",IF(AND(DATE($AD715,7,1)&gt;=$AE715,DATE($AD715,7,1)&lt;=$AF715),ROUND($AG715,2),0))</f>
        <v/>
      </c>
      <c r="Q715" s="18">
        <f>IF($Z715="","",IF(AND(DATE($AD715,8,1)&gt;=$AE715,DATE($AD715,8,1)&lt;=$AF715),ROUND($AG715,2),0))</f>
        <v/>
      </c>
      <c r="R715" s="18">
        <f>IF($Z715="","",IF(AND(DATE($AD715,9,1)&gt;=$AE715,DATE($AD715,9,1)&lt;=$AF715),ROUND($AG715,2),0))</f>
        <v/>
      </c>
      <c r="S715" s="18">
        <f>IF($Z715="","",IF(AND(DATE($AD715,10,1)&gt;=$AE715,DATE($AD715,10,1)&lt;=$AF715),ROUND($AG715,2),0))</f>
        <v/>
      </c>
      <c r="T715" s="18">
        <f>IF($Z715="","",IF(AND(DATE($AD715,11,1)&gt;=$AE715,DATE($AD715,11,1)&lt;=$AF715),ROUND($AG715,2),0))</f>
        <v/>
      </c>
      <c r="U715" s="18">
        <f>IF($Z715="","",IF(AND(DATE($AD715,12,1)&gt;=$AE715,DATE($AD715,12,1)&lt;=$AF715),ROUND($AG715,2),0))</f>
        <v/>
      </c>
      <c r="V715" s="7">
        <f>IF($Z715="C","Generated from "&amp;INDEX(Contracts!$A$2:$A$151,$AB715),IF($Z715="A","Generated from "&amp;INDEX(Fixed_Assets!$A$2:$A$201,$AB715),IF($Z715="F","Generated from "&amp;INDEX(FTE_Allocation!$A$2:$A$201,$AB715),"")))</f>
        <v/>
      </c>
      <c r="X715" s="19">
        <f>IF($Z715="","",SUM(J715:U715))</f>
        <v/>
      </c>
      <c r="Y715" s="20">
        <f>ROW()-1</f>
        <v/>
      </c>
      <c r="Z715" s="20">
        <f>IF($Y715&lt;=Settings!$B$4*3,"C",IF($Y715&lt;=(Settings!$B$4+Settings!$B$5)*3,"A",IF($Y715&lt;=(Settings!$B$4+Settings!$B$5+Settings!$B$6)*3,"F","")))</f>
        <v/>
      </c>
      <c r="AA715" s="20">
        <f>IF($Z715="C",$Y715,IF($Z715="A",$Y715-Settings!$B$4*3,IF($Z715="F",$Y715-(Settings!$B$4+Settings!$B$5)*3,"")))</f>
        <v/>
      </c>
      <c r="AB715" s="20">
        <f>IF($Z715="","",INT(($AA715-1)/3)+1)</f>
        <v/>
      </c>
      <c r="AC715" s="20">
        <f>IF($Z715="","",MOD($AA715-1,3)+1)</f>
        <v/>
      </c>
      <c r="AD715" s="20">
        <f>IF($Z715="","",Settings!$B$2+$AC715-1)</f>
        <v/>
      </c>
      <c r="AE715" s="21">
        <f>IF($Z715="C",DATE(YEAR(INDEX(Contracts!$J$2:$J$151,$AB715)),MONTH(INDEX(Contracts!$J$2:$J$151,$AB715)),1),IF($Z715="A",DATE(YEAR(INDEX(Fixed_Assets!$G$2:$G$201,$AB715)),MONTH(INDEX(Fixed_Assets!$G$2:$G$201,$AB715)),1),IF($Z715="F",DATE(YEAR(MAX(N(INDEX(Workforce!$I$2:$I$151,MATCH(INDEX(FTE_Allocation!$A$2:$A$201,$AB715),Workforce!$A$2:$A$151,0))),N(INDEX(FTE_Allocation!$I$2:$I$201,$AB715)))),MONTH(MAX(N(INDEX(Workforce!$I$2:$I$151,MATCH(INDEX(FTE_Allocation!$A$2:$A$201,$AB715),Workforce!$A$2:$A$151,0))),N(INDEX(FTE_Allocation!$I$2:$I$201,$AB715)))),1),"")))</f>
        <v/>
      </c>
      <c r="AF715" s="21">
        <f>IF($Z715="C",IF(INDEX(Contracts!$I$2:$I$151,$AB715)="PREPAID",EDATE(DATE(YEAR(INDEX(Contracts!$J$2:$J$151,$AB715)),MONTH(INDEX(Contracts!$J$2:$J$151,$AB715)),1),IF(INDEX(Contracts!$N$2:$N$151,$AB715)="",12,INDEX(Contracts!$N$2:$N$151,$AB715))-1),IF(INDEX(Contracts!$I$2:$I$151,$AB715)="MONTHLY",IF(INDEX(Contracts!$K$2:$K$151,$AB715)="",2958101,INDEX(Contracts!$K$2:$K$151,$AB715)),0)),IF($Z715="A",EDATE(DATE(YEAR(INDEX(Fixed_Assets!$G$2:$G$201,$AB715)),MONTH(INDEX(Fixed_Assets!$G$2:$G$201,$AB715)),1),INDEX(Fixed_Assets!$J$2:$J$201,$AB715)-1),IF($Z715="F",MIN(IF(INDEX(Workforce!$J$2:$J$151,MATCH(INDEX(FTE_Allocation!$A$2:$A$201,$AB715),Workforce!$A$2:$A$151,0))="",2958101,INDEX(Workforce!$J$2:$J$151,MATCH(INDEX(FTE_Allocation!$A$2:$A$201,$AB715),Workforce!$A$2:$A$151,0))),IF(INDEX(FTE_Allocation!$J$2:$J$201,$AB715)="",2958101,INDEX(FTE_Allocation!$J$2:$J$201,$AB715))),"")))</f>
        <v/>
      </c>
      <c r="AG715" s="19">
        <f>IF($Z715="C",IF(INDEX(Contracts!$I$2:$I$151,$AB715)="PREPAID",INDEX(Contracts!$M$2:$M$151,$AB715)/IF(INDEX(Contracts!$N$2:$N$151,$AB715)="",12,INDEX(Contracts!$N$2:$N$151,$AB715)),IF(INDEX(Contracts!$I$2:$I$151,$AB715)="MONTHLY",INDEX(Contracts!$M$2:$M$151,$AB715),0))*(1-N(INDEX(Contracts!$O$2:$O$151,$AB715))),IF($Z715="A",INDEX(Fixed_Assets!$H$2:$H$201,$AB715)/INDEX(Fixed_Assets!$J$2:$J$201,$AB715),IF($Z715="F",INDEX(Workforce!$F$2:$F$151,MATCH(INDEX(FTE_Allocation!$A$2:$A$201,$AB715),Workforce!$A$2:$A$151,0))*N(INDEX(FTE_Allocation!$F$2:$H$201,$AB715,$AC715)),"")))</f>
        <v/>
      </c>
    </row>
    <row r="716">
      <c r="A716" s="7">
        <f>IF($Z716="","",$AD716)</f>
        <v/>
      </c>
      <c r="B716" s="7">
        <f>IF($Z716="C",INDEX(Contracts!$D$2:$D$151,$AB716)&amp;"",IF($Z716="A",INDEX(Fixed_Assets!$C$2:$C$201,$AB716)&amp;"",IF($Z716="F",INDEX(Workforce!$B$2:$B$151,MATCH(INDEX(FTE_Allocation!$A$2:$A$201,$AB716),Workforce!$A$2:$A$151,0))&amp;"","")))</f>
        <v/>
      </c>
      <c r="C716" s="7">
        <f>IF($Z716="C",INDEX(Contracts!$E$2:$E$151,$AB716)&amp;"",IF($Z716="A",INDEX(Fixed_Assets!$D$2:$D$201,$AB716)&amp;"",IF($Z716="F",INDEX(FTE_Allocation!$C$2:$C$201,$AB716)&amp;"","")))</f>
        <v/>
      </c>
      <c r="D716" s="7">
        <f>IF($Z716="C",INDEX(Contracts!$B$2:$B$151,$AB716)&amp;"",IF($Z716="A",INDEX(Fixed_Assets!$B$2:$B$201,$AB716)&amp;"",IF($Z716="F",INDEX(FTE_Allocation!$B$2:$B$201,$AB716)&amp;"","")))</f>
        <v/>
      </c>
      <c r="E716" s="7">
        <f>IF($Z716="C",INDEX(Contracts!$P$2:$P$151,$AB716)&amp;"",IF($Z716="A",INDEX(Fixed_Assets!$K$2:$K$201,$AB716)&amp;"",IF($Z716="F",IF(INDEX(FTE_Allocation!$D$2:$D$201,$AB716)="PROJECT",IFERROR(INDEX(Projects!$D:$D,MATCH(INDEX(FTE_Allocation!$E$2:$E$201,$AB716),Projects!$A:$A,0))&amp;"","#PROJECT?"),INDEX(FTE_Allocation!$E$2:$E$201,$AB716)&amp;""),"")))</f>
        <v/>
      </c>
      <c r="F716" s="7">
        <f>IF($Z716="C",INDEX(Contracts!$Q$2:$Q$151,$AB716)&amp;"",IF($Z716="A",INDEX(Fixed_Assets!$L$2:$L$201,$AB716)&amp;"",IF($Z716="F",INDEX(Workforce!$K$2:$K$151,MATCH(INDEX(FTE_Allocation!$A$2:$A$201,$AB716),Workforce!$A$2:$A$151,0))&amp;"","")))</f>
        <v/>
      </c>
      <c r="G716" s="7">
        <f>IF($Z716="C",INDEX(Contracts!$F$2:$F$151,$AB716)&amp;" / "&amp;INDEX(Contracts!$G$2:$G$151,$AB716),IF($Z716="A",INDEX(Fixed_Assets!$E$2:$E$201,$AB716)&amp;"",IF($Z716="F","Personnel "&amp;INDEX(FTE_Allocation!$A$2:$A$201,$AB716)&amp;IF(INDEX(FTE_Allocation!$D$2:$D$201,$AB716)="PROJECT"," ("&amp;INDEX(FTE_Allocation!$E$2:$E$201,$AB716)&amp;")",""),"")))</f>
        <v/>
      </c>
      <c r="H716" s="7">
        <f>IF($Z716="C","CONTRACT",IF($Z716="A","ASSET",IF($Z716="F","WORKFORCE","")))</f>
        <v/>
      </c>
      <c r="I716" s="7">
        <f>IF($Z716="C",INDEX(Contracts!$L$2:$L$151,$AB716)&amp;"",IF($Z716="A",INDEX(Fixed_Assets!$I$2:$I$201,$AB716)&amp;"",IF($Z716="F",INDEX(Workforce!$G$2:$G$151,MATCH(INDEX(FTE_Allocation!$A$2:$A$201,$AB716),Workforce!$A$2:$A$151,0))&amp;"","")))</f>
        <v/>
      </c>
      <c r="J716" s="18">
        <f>IF($Z716="","",IF(AND(DATE($AD716,1,1)&gt;=$AE716,DATE($AD716,1,1)&lt;=$AF716),ROUND($AG716,2),0))</f>
        <v/>
      </c>
      <c r="K716" s="18">
        <f>IF($Z716="","",IF(AND(DATE($AD716,2,1)&gt;=$AE716,DATE($AD716,2,1)&lt;=$AF716),ROUND($AG716,2),0))</f>
        <v/>
      </c>
      <c r="L716" s="18">
        <f>IF($Z716="","",IF(AND(DATE($AD716,3,1)&gt;=$AE716,DATE($AD716,3,1)&lt;=$AF716),ROUND($AG716,2),0))</f>
        <v/>
      </c>
      <c r="M716" s="18">
        <f>IF($Z716="","",IF(AND(DATE($AD716,4,1)&gt;=$AE716,DATE($AD716,4,1)&lt;=$AF716),ROUND($AG716,2),0))</f>
        <v/>
      </c>
      <c r="N716" s="18">
        <f>IF($Z716="","",IF(AND(DATE($AD716,5,1)&gt;=$AE716,DATE($AD716,5,1)&lt;=$AF716),ROUND($AG716,2),0))</f>
        <v/>
      </c>
      <c r="O716" s="18">
        <f>IF($Z716="","",IF(AND(DATE($AD716,6,1)&gt;=$AE716,DATE($AD716,6,1)&lt;=$AF716),ROUND($AG716,2),0))</f>
        <v/>
      </c>
      <c r="P716" s="18">
        <f>IF($Z716="","",IF(AND(DATE($AD716,7,1)&gt;=$AE716,DATE($AD716,7,1)&lt;=$AF716),ROUND($AG716,2),0))</f>
        <v/>
      </c>
      <c r="Q716" s="18">
        <f>IF($Z716="","",IF(AND(DATE($AD716,8,1)&gt;=$AE716,DATE($AD716,8,1)&lt;=$AF716),ROUND($AG716,2),0))</f>
        <v/>
      </c>
      <c r="R716" s="18">
        <f>IF($Z716="","",IF(AND(DATE($AD716,9,1)&gt;=$AE716,DATE($AD716,9,1)&lt;=$AF716),ROUND($AG716,2),0))</f>
        <v/>
      </c>
      <c r="S716" s="18">
        <f>IF($Z716="","",IF(AND(DATE($AD716,10,1)&gt;=$AE716,DATE($AD716,10,1)&lt;=$AF716),ROUND($AG716,2),0))</f>
        <v/>
      </c>
      <c r="T716" s="18">
        <f>IF($Z716="","",IF(AND(DATE($AD716,11,1)&gt;=$AE716,DATE($AD716,11,1)&lt;=$AF716),ROUND($AG716,2),0))</f>
        <v/>
      </c>
      <c r="U716" s="18">
        <f>IF($Z716="","",IF(AND(DATE($AD716,12,1)&gt;=$AE716,DATE($AD716,12,1)&lt;=$AF716),ROUND($AG716,2),0))</f>
        <v/>
      </c>
      <c r="V716" s="7">
        <f>IF($Z716="C","Generated from "&amp;INDEX(Contracts!$A$2:$A$151,$AB716),IF($Z716="A","Generated from "&amp;INDEX(Fixed_Assets!$A$2:$A$201,$AB716),IF($Z716="F","Generated from "&amp;INDEX(FTE_Allocation!$A$2:$A$201,$AB716),"")))</f>
        <v/>
      </c>
      <c r="X716" s="19">
        <f>IF($Z716="","",SUM(J716:U716))</f>
        <v/>
      </c>
      <c r="Y716" s="20">
        <f>ROW()-1</f>
        <v/>
      </c>
      <c r="Z716" s="20">
        <f>IF($Y716&lt;=Settings!$B$4*3,"C",IF($Y716&lt;=(Settings!$B$4+Settings!$B$5)*3,"A",IF($Y716&lt;=(Settings!$B$4+Settings!$B$5+Settings!$B$6)*3,"F","")))</f>
        <v/>
      </c>
      <c r="AA716" s="20">
        <f>IF($Z716="C",$Y716,IF($Z716="A",$Y716-Settings!$B$4*3,IF($Z716="F",$Y716-(Settings!$B$4+Settings!$B$5)*3,"")))</f>
        <v/>
      </c>
      <c r="AB716" s="20">
        <f>IF($Z716="","",INT(($AA716-1)/3)+1)</f>
        <v/>
      </c>
      <c r="AC716" s="20">
        <f>IF($Z716="","",MOD($AA716-1,3)+1)</f>
        <v/>
      </c>
      <c r="AD716" s="20">
        <f>IF($Z716="","",Settings!$B$2+$AC716-1)</f>
        <v/>
      </c>
      <c r="AE716" s="21">
        <f>IF($Z716="C",DATE(YEAR(INDEX(Contracts!$J$2:$J$151,$AB716)),MONTH(INDEX(Contracts!$J$2:$J$151,$AB716)),1),IF($Z716="A",DATE(YEAR(INDEX(Fixed_Assets!$G$2:$G$201,$AB716)),MONTH(INDEX(Fixed_Assets!$G$2:$G$201,$AB716)),1),IF($Z716="F",DATE(YEAR(MAX(N(INDEX(Workforce!$I$2:$I$151,MATCH(INDEX(FTE_Allocation!$A$2:$A$201,$AB716),Workforce!$A$2:$A$151,0))),N(INDEX(FTE_Allocation!$I$2:$I$201,$AB716)))),MONTH(MAX(N(INDEX(Workforce!$I$2:$I$151,MATCH(INDEX(FTE_Allocation!$A$2:$A$201,$AB716),Workforce!$A$2:$A$151,0))),N(INDEX(FTE_Allocation!$I$2:$I$201,$AB716)))),1),"")))</f>
        <v/>
      </c>
      <c r="AF716" s="21">
        <f>IF($Z716="C",IF(INDEX(Contracts!$I$2:$I$151,$AB716)="PREPAID",EDATE(DATE(YEAR(INDEX(Contracts!$J$2:$J$151,$AB716)),MONTH(INDEX(Contracts!$J$2:$J$151,$AB716)),1),IF(INDEX(Contracts!$N$2:$N$151,$AB716)="",12,INDEX(Contracts!$N$2:$N$151,$AB716))-1),IF(INDEX(Contracts!$I$2:$I$151,$AB716)="MONTHLY",IF(INDEX(Contracts!$K$2:$K$151,$AB716)="",2958101,INDEX(Contracts!$K$2:$K$151,$AB716)),0)),IF($Z716="A",EDATE(DATE(YEAR(INDEX(Fixed_Assets!$G$2:$G$201,$AB716)),MONTH(INDEX(Fixed_Assets!$G$2:$G$201,$AB716)),1),INDEX(Fixed_Assets!$J$2:$J$201,$AB716)-1),IF($Z716="F",MIN(IF(INDEX(Workforce!$J$2:$J$151,MATCH(INDEX(FTE_Allocation!$A$2:$A$201,$AB716),Workforce!$A$2:$A$151,0))="",2958101,INDEX(Workforce!$J$2:$J$151,MATCH(INDEX(FTE_Allocation!$A$2:$A$201,$AB716),Workforce!$A$2:$A$151,0))),IF(INDEX(FTE_Allocation!$J$2:$J$201,$AB716)="",2958101,INDEX(FTE_Allocation!$J$2:$J$201,$AB716))),"")))</f>
        <v/>
      </c>
      <c r="AG716" s="19">
        <f>IF($Z716="C",IF(INDEX(Contracts!$I$2:$I$151,$AB716)="PREPAID",INDEX(Contracts!$M$2:$M$151,$AB716)/IF(INDEX(Contracts!$N$2:$N$151,$AB716)="",12,INDEX(Contracts!$N$2:$N$151,$AB716)),IF(INDEX(Contracts!$I$2:$I$151,$AB716)="MONTHLY",INDEX(Contracts!$M$2:$M$151,$AB716),0))*(1-N(INDEX(Contracts!$O$2:$O$151,$AB716))),IF($Z716="A",INDEX(Fixed_Assets!$H$2:$H$201,$AB716)/INDEX(Fixed_Assets!$J$2:$J$201,$AB716),IF($Z716="F",INDEX(Workforce!$F$2:$F$151,MATCH(INDEX(FTE_Allocation!$A$2:$A$201,$AB716),Workforce!$A$2:$A$151,0))*N(INDEX(FTE_Allocation!$F$2:$H$201,$AB716,$AC716)),"")))</f>
        <v/>
      </c>
    </row>
    <row r="717">
      <c r="A717" s="7">
        <f>IF($Z717="","",$AD717)</f>
        <v/>
      </c>
      <c r="B717" s="7">
        <f>IF($Z717="C",INDEX(Contracts!$D$2:$D$151,$AB717)&amp;"",IF($Z717="A",INDEX(Fixed_Assets!$C$2:$C$201,$AB717)&amp;"",IF($Z717="F",INDEX(Workforce!$B$2:$B$151,MATCH(INDEX(FTE_Allocation!$A$2:$A$201,$AB717),Workforce!$A$2:$A$151,0))&amp;"","")))</f>
        <v/>
      </c>
      <c r="C717" s="7">
        <f>IF($Z717="C",INDEX(Contracts!$E$2:$E$151,$AB717)&amp;"",IF($Z717="A",INDEX(Fixed_Assets!$D$2:$D$201,$AB717)&amp;"",IF($Z717="F",INDEX(FTE_Allocation!$C$2:$C$201,$AB717)&amp;"","")))</f>
        <v/>
      </c>
      <c r="D717" s="7">
        <f>IF($Z717="C",INDEX(Contracts!$B$2:$B$151,$AB717)&amp;"",IF($Z717="A",INDEX(Fixed_Assets!$B$2:$B$201,$AB717)&amp;"",IF($Z717="F",INDEX(FTE_Allocation!$B$2:$B$201,$AB717)&amp;"","")))</f>
        <v/>
      </c>
      <c r="E717" s="7">
        <f>IF($Z717="C",INDEX(Contracts!$P$2:$P$151,$AB717)&amp;"",IF($Z717="A",INDEX(Fixed_Assets!$K$2:$K$201,$AB717)&amp;"",IF($Z717="F",IF(INDEX(FTE_Allocation!$D$2:$D$201,$AB717)="PROJECT",IFERROR(INDEX(Projects!$D:$D,MATCH(INDEX(FTE_Allocation!$E$2:$E$201,$AB717),Projects!$A:$A,0))&amp;"","#PROJECT?"),INDEX(FTE_Allocation!$E$2:$E$201,$AB717)&amp;""),"")))</f>
        <v/>
      </c>
      <c r="F717" s="7">
        <f>IF($Z717="C",INDEX(Contracts!$Q$2:$Q$151,$AB717)&amp;"",IF($Z717="A",INDEX(Fixed_Assets!$L$2:$L$201,$AB717)&amp;"",IF($Z717="F",INDEX(Workforce!$K$2:$K$151,MATCH(INDEX(FTE_Allocation!$A$2:$A$201,$AB717),Workforce!$A$2:$A$151,0))&amp;"","")))</f>
        <v/>
      </c>
      <c r="G717" s="7">
        <f>IF($Z717="C",INDEX(Contracts!$F$2:$F$151,$AB717)&amp;" / "&amp;INDEX(Contracts!$G$2:$G$151,$AB717),IF($Z717="A",INDEX(Fixed_Assets!$E$2:$E$201,$AB717)&amp;"",IF($Z717="F","Personnel "&amp;INDEX(FTE_Allocation!$A$2:$A$201,$AB717)&amp;IF(INDEX(FTE_Allocation!$D$2:$D$201,$AB717)="PROJECT"," ("&amp;INDEX(FTE_Allocation!$E$2:$E$201,$AB717)&amp;")",""),"")))</f>
        <v/>
      </c>
      <c r="H717" s="7">
        <f>IF($Z717="C","CONTRACT",IF($Z717="A","ASSET",IF($Z717="F","WORKFORCE","")))</f>
        <v/>
      </c>
      <c r="I717" s="7">
        <f>IF($Z717="C",INDEX(Contracts!$L$2:$L$151,$AB717)&amp;"",IF($Z717="A",INDEX(Fixed_Assets!$I$2:$I$201,$AB717)&amp;"",IF($Z717="F",INDEX(Workforce!$G$2:$G$151,MATCH(INDEX(FTE_Allocation!$A$2:$A$201,$AB717),Workforce!$A$2:$A$151,0))&amp;"","")))</f>
        <v/>
      </c>
      <c r="J717" s="18">
        <f>IF($Z717="","",IF(AND(DATE($AD717,1,1)&gt;=$AE717,DATE($AD717,1,1)&lt;=$AF717),ROUND($AG717,2),0))</f>
        <v/>
      </c>
      <c r="K717" s="18">
        <f>IF($Z717="","",IF(AND(DATE($AD717,2,1)&gt;=$AE717,DATE($AD717,2,1)&lt;=$AF717),ROUND($AG717,2),0))</f>
        <v/>
      </c>
      <c r="L717" s="18">
        <f>IF($Z717="","",IF(AND(DATE($AD717,3,1)&gt;=$AE717,DATE($AD717,3,1)&lt;=$AF717),ROUND($AG717,2),0))</f>
        <v/>
      </c>
      <c r="M717" s="18">
        <f>IF($Z717="","",IF(AND(DATE($AD717,4,1)&gt;=$AE717,DATE($AD717,4,1)&lt;=$AF717),ROUND($AG717,2),0))</f>
        <v/>
      </c>
      <c r="N717" s="18">
        <f>IF($Z717="","",IF(AND(DATE($AD717,5,1)&gt;=$AE717,DATE($AD717,5,1)&lt;=$AF717),ROUND($AG717,2),0))</f>
        <v/>
      </c>
      <c r="O717" s="18">
        <f>IF($Z717="","",IF(AND(DATE($AD717,6,1)&gt;=$AE717,DATE($AD717,6,1)&lt;=$AF717),ROUND($AG717,2),0))</f>
        <v/>
      </c>
      <c r="P717" s="18">
        <f>IF($Z717="","",IF(AND(DATE($AD717,7,1)&gt;=$AE717,DATE($AD717,7,1)&lt;=$AF717),ROUND($AG717,2),0))</f>
        <v/>
      </c>
      <c r="Q717" s="18">
        <f>IF($Z717="","",IF(AND(DATE($AD717,8,1)&gt;=$AE717,DATE($AD717,8,1)&lt;=$AF717),ROUND($AG717,2),0))</f>
        <v/>
      </c>
      <c r="R717" s="18">
        <f>IF($Z717="","",IF(AND(DATE($AD717,9,1)&gt;=$AE717,DATE($AD717,9,1)&lt;=$AF717),ROUND($AG717,2),0))</f>
        <v/>
      </c>
      <c r="S717" s="18">
        <f>IF($Z717="","",IF(AND(DATE($AD717,10,1)&gt;=$AE717,DATE($AD717,10,1)&lt;=$AF717),ROUND($AG717,2),0))</f>
        <v/>
      </c>
      <c r="T717" s="18">
        <f>IF($Z717="","",IF(AND(DATE($AD717,11,1)&gt;=$AE717,DATE($AD717,11,1)&lt;=$AF717),ROUND($AG717,2),0))</f>
        <v/>
      </c>
      <c r="U717" s="18">
        <f>IF($Z717="","",IF(AND(DATE($AD717,12,1)&gt;=$AE717,DATE($AD717,12,1)&lt;=$AF717),ROUND($AG717,2),0))</f>
        <v/>
      </c>
      <c r="V717" s="7">
        <f>IF($Z717="C","Generated from "&amp;INDEX(Contracts!$A$2:$A$151,$AB717),IF($Z717="A","Generated from "&amp;INDEX(Fixed_Assets!$A$2:$A$201,$AB717),IF($Z717="F","Generated from "&amp;INDEX(FTE_Allocation!$A$2:$A$201,$AB717),"")))</f>
        <v/>
      </c>
      <c r="X717" s="19">
        <f>IF($Z717="","",SUM(J717:U717))</f>
        <v/>
      </c>
      <c r="Y717" s="20">
        <f>ROW()-1</f>
        <v/>
      </c>
      <c r="Z717" s="20">
        <f>IF($Y717&lt;=Settings!$B$4*3,"C",IF($Y717&lt;=(Settings!$B$4+Settings!$B$5)*3,"A",IF($Y717&lt;=(Settings!$B$4+Settings!$B$5+Settings!$B$6)*3,"F","")))</f>
        <v/>
      </c>
      <c r="AA717" s="20">
        <f>IF($Z717="C",$Y717,IF($Z717="A",$Y717-Settings!$B$4*3,IF($Z717="F",$Y717-(Settings!$B$4+Settings!$B$5)*3,"")))</f>
        <v/>
      </c>
      <c r="AB717" s="20">
        <f>IF($Z717="","",INT(($AA717-1)/3)+1)</f>
        <v/>
      </c>
      <c r="AC717" s="20">
        <f>IF($Z717="","",MOD($AA717-1,3)+1)</f>
        <v/>
      </c>
      <c r="AD717" s="20">
        <f>IF($Z717="","",Settings!$B$2+$AC717-1)</f>
        <v/>
      </c>
      <c r="AE717" s="21">
        <f>IF($Z717="C",DATE(YEAR(INDEX(Contracts!$J$2:$J$151,$AB717)),MONTH(INDEX(Contracts!$J$2:$J$151,$AB717)),1),IF($Z717="A",DATE(YEAR(INDEX(Fixed_Assets!$G$2:$G$201,$AB717)),MONTH(INDEX(Fixed_Assets!$G$2:$G$201,$AB717)),1),IF($Z717="F",DATE(YEAR(MAX(N(INDEX(Workforce!$I$2:$I$151,MATCH(INDEX(FTE_Allocation!$A$2:$A$201,$AB717),Workforce!$A$2:$A$151,0))),N(INDEX(FTE_Allocation!$I$2:$I$201,$AB717)))),MONTH(MAX(N(INDEX(Workforce!$I$2:$I$151,MATCH(INDEX(FTE_Allocation!$A$2:$A$201,$AB717),Workforce!$A$2:$A$151,0))),N(INDEX(FTE_Allocation!$I$2:$I$201,$AB717)))),1),"")))</f>
        <v/>
      </c>
      <c r="AF717" s="21">
        <f>IF($Z717="C",IF(INDEX(Contracts!$I$2:$I$151,$AB717)="PREPAID",EDATE(DATE(YEAR(INDEX(Contracts!$J$2:$J$151,$AB717)),MONTH(INDEX(Contracts!$J$2:$J$151,$AB717)),1),IF(INDEX(Contracts!$N$2:$N$151,$AB717)="",12,INDEX(Contracts!$N$2:$N$151,$AB717))-1),IF(INDEX(Contracts!$I$2:$I$151,$AB717)="MONTHLY",IF(INDEX(Contracts!$K$2:$K$151,$AB717)="",2958101,INDEX(Contracts!$K$2:$K$151,$AB717)),0)),IF($Z717="A",EDATE(DATE(YEAR(INDEX(Fixed_Assets!$G$2:$G$201,$AB717)),MONTH(INDEX(Fixed_Assets!$G$2:$G$201,$AB717)),1),INDEX(Fixed_Assets!$J$2:$J$201,$AB717)-1),IF($Z717="F",MIN(IF(INDEX(Workforce!$J$2:$J$151,MATCH(INDEX(FTE_Allocation!$A$2:$A$201,$AB717),Workforce!$A$2:$A$151,0))="",2958101,INDEX(Workforce!$J$2:$J$151,MATCH(INDEX(FTE_Allocation!$A$2:$A$201,$AB717),Workforce!$A$2:$A$151,0))),IF(INDEX(FTE_Allocation!$J$2:$J$201,$AB717)="",2958101,INDEX(FTE_Allocation!$J$2:$J$201,$AB717))),"")))</f>
        <v/>
      </c>
      <c r="AG717" s="19">
        <f>IF($Z717="C",IF(INDEX(Contracts!$I$2:$I$151,$AB717)="PREPAID",INDEX(Contracts!$M$2:$M$151,$AB717)/IF(INDEX(Contracts!$N$2:$N$151,$AB717)="",12,INDEX(Contracts!$N$2:$N$151,$AB717)),IF(INDEX(Contracts!$I$2:$I$151,$AB717)="MONTHLY",INDEX(Contracts!$M$2:$M$151,$AB717),0))*(1-N(INDEX(Contracts!$O$2:$O$151,$AB717))),IF($Z717="A",INDEX(Fixed_Assets!$H$2:$H$201,$AB717)/INDEX(Fixed_Assets!$J$2:$J$201,$AB717),IF($Z717="F",INDEX(Workforce!$F$2:$F$151,MATCH(INDEX(FTE_Allocation!$A$2:$A$201,$AB717),Workforce!$A$2:$A$151,0))*N(INDEX(FTE_Allocation!$F$2:$H$201,$AB717,$AC717)),"")))</f>
        <v/>
      </c>
    </row>
    <row r="718">
      <c r="A718" s="7">
        <f>IF($Z718="","",$AD718)</f>
        <v/>
      </c>
      <c r="B718" s="7">
        <f>IF($Z718="C",INDEX(Contracts!$D$2:$D$151,$AB718)&amp;"",IF($Z718="A",INDEX(Fixed_Assets!$C$2:$C$201,$AB718)&amp;"",IF($Z718="F",INDEX(Workforce!$B$2:$B$151,MATCH(INDEX(FTE_Allocation!$A$2:$A$201,$AB718),Workforce!$A$2:$A$151,0))&amp;"","")))</f>
        <v/>
      </c>
      <c r="C718" s="7">
        <f>IF($Z718="C",INDEX(Contracts!$E$2:$E$151,$AB718)&amp;"",IF($Z718="A",INDEX(Fixed_Assets!$D$2:$D$201,$AB718)&amp;"",IF($Z718="F",INDEX(FTE_Allocation!$C$2:$C$201,$AB718)&amp;"","")))</f>
        <v/>
      </c>
      <c r="D718" s="7">
        <f>IF($Z718="C",INDEX(Contracts!$B$2:$B$151,$AB718)&amp;"",IF($Z718="A",INDEX(Fixed_Assets!$B$2:$B$201,$AB718)&amp;"",IF($Z718="F",INDEX(FTE_Allocation!$B$2:$B$201,$AB718)&amp;"","")))</f>
        <v/>
      </c>
      <c r="E718" s="7">
        <f>IF($Z718="C",INDEX(Contracts!$P$2:$P$151,$AB718)&amp;"",IF($Z718="A",INDEX(Fixed_Assets!$K$2:$K$201,$AB718)&amp;"",IF($Z718="F",IF(INDEX(FTE_Allocation!$D$2:$D$201,$AB718)="PROJECT",IFERROR(INDEX(Projects!$D:$D,MATCH(INDEX(FTE_Allocation!$E$2:$E$201,$AB718),Projects!$A:$A,0))&amp;"","#PROJECT?"),INDEX(FTE_Allocation!$E$2:$E$201,$AB718)&amp;""),"")))</f>
        <v/>
      </c>
      <c r="F718" s="7">
        <f>IF($Z718="C",INDEX(Contracts!$Q$2:$Q$151,$AB718)&amp;"",IF($Z718="A",INDEX(Fixed_Assets!$L$2:$L$201,$AB718)&amp;"",IF($Z718="F",INDEX(Workforce!$K$2:$K$151,MATCH(INDEX(FTE_Allocation!$A$2:$A$201,$AB718),Workforce!$A$2:$A$151,0))&amp;"","")))</f>
        <v/>
      </c>
      <c r="G718" s="7">
        <f>IF($Z718="C",INDEX(Contracts!$F$2:$F$151,$AB718)&amp;" / "&amp;INDEX(Contracts!$G$2:$G$151,$AB718),IF($Z718="A",INDEX(Fixed_Assets!$E$2:$E$201,$AB718)&amp;"",IF($Z718="F","Personnel "&amp;INDEX(FTE_Allocation!$A$2:$A$201,$AB718)&amp;IF(INDEX(FTE_Allocation!$D$2:$D$201,$AB718)="PROJECT"," ("&amp;INDEX(FTE_Allocation!$E$2:$E$201,$AB718)&amp;")",""),"")))</f>
        <v/>
      </c>
      <c r="H718" s="7">
        <f>IF($Z718="C","CONTRACT",IF($Z718="A","ASSET",IF($Z718="F","WORKFORCE","")))</f>
        <v/>
      </c>
      <c r="I718" s="7">
        <f>IF($Z718="C",INDEX(Contracts!$L$2:$L$151,$AB718)&amp;"",IF($Z718="A",INDEX(Fixed_Assets!$I$2:$I$201,$AB718)&amp;"",IF($Z718="F",INDEX(Workforce!$G$2:$G$151,MATCH(INDEX(FTE_Allocation!$A$2:$A$201,$AB718),Workforce!$A$2:$A$151,0))&amp;"","")))</f>
        <v/>
      </c>
      <c r="J718" s="18">
        <f>IF($Z718="","",IF(AND(DATE($AD718,1,1)&gt;=$AE718,DATE($AD718,1,1)&lt;=$AF718),ROUND($AG718,2),0))</f>
        <v/>
      </c>
      <c r="K718" s="18">
        <f>IF($Z718="","",IF(AND(DATE($AD718,2,1)&gt;=$AE718,DATE($AD718,2,1)&lt;=$AF718),ROUND($AG718,2),0))</f>
        <v/>
      </c>
      <c r="L718" s="18">
        <f>IF($Z718="","",IF(AND(DATE($AD718,3,1)&gt;=$AE718,DATE($AD718,3,1)&lt;=$AF718),ROUND($AG718,2),0))</f>
        <v/>
      </c>
      <c r="M718" s="18">
        <f>IF($Z718="","",IF(AND(DATE($AD718,4,1)&gt;=$AE718,DATE($AD718,4,1)&lt;=$AF718),ROUND($AG718,2),0))</f>
        <v/>
      </c>
      <c r="N718" s="18">
        <f>IF($Z718="","",IF(AND(DATE($AD718,5,1)&gt;=$AE718,DATE($AD718,5,1)&lt;=$AF718),ROUND($AG718,2),0))</f>
        <v/>
      </c>
      <c r="O718" s="18">
        <f>IF($Z718="","",IF(AND(DATE($AD718,6,1)&gt;=$AE718,DATE($AD718,6,1)&lt;=$AF718),ROUND($AG718,2),0))</f>
        <v/>
      </c>
      <c r="P718" s="18">
        <f>IF($Z718="","",IF(AND(DATE($AD718,7,1)&gt;=$AE718,DATE($AD718,7,1)&lt;=$AF718),ROUND($AG718,2),0))</f>
        <v/>
      </c>
      <c r="Q718" s="18">
        <f>IF($Z718="","",IF(AND(DATE($AD718,8,1)&gt;=$AE718,DATE($AD718,8,1)&lt;=$AF718),ROUND($AG718,2),0))</f>
        <v/>
      </c>
      <c r="R718" s="18">
        <f>IF($Z718="","",IF(AND(DATE($AD718,9,1)&gt;=$AE718,DATE($AD718,9,1)&lt;=$AF718),ROUND($AG718,2),0))</f>
        <v/>
      </c>
      <c r="S718" s="18">
        <f>IF($Z718="","",IF(AND(DATE($AD718,10,1)&gt;=$AE718,DATE($AD718,10,1)&lt;=$AF718),ROUND($AG718,2),0))</f>
        <v/>
      </c>
      <c r="T718" s="18">
        <f>IF($Z718="","",IF(AND(DATE($AD718,11,1)&gt;=$AE718,DATE($AD718,11,1)&lt;=$AF718),ROUND($AG718,2),0))</f>
        <v/>
      </c>
      <c r="U718" s="18">
        <f>IF($Z718="","",IF(AND(DATE($AD718,12,1)&gt;=$AE718,DATE($AD718,12,1)&lt;=$AF718),ROUND($AG718,2),0))</f>
        <v/>
      </c>
      <c r="V718" s="7">
        <f>IF($Z718="C","Generated from "&amp;INDEX(Contracts!$A$2:$A$151,$AB718),IF($Z718="A","Generated from "&amp;INDEX(Fixed_Assets!$A$2:$A$201,$AB718),IF($Z718="F","Generated from "&amp;INDEX(FTE_Allocation!$A$2:$A$201,$AB718),"")))</f>
        <v/>
      </c>
      <c r="X718" s="19">
        <f>IF($Z718="","",SUM(J718:U718))</f>
        <v/>
      </c>
      <c r="Y718" s="20">
        <f>ROW()-1</f>
        <v/>
      </c>
      <c r="Z718" s="20">
        <f>IF($Y718&lt;=Settings!$B$4*3,"C",IF($Y718&lt;=(Settings!$B$4+Settings!$B$5)*3,"A",IF($Y718&lt;=(Settings!$B$4+Settings!$B$5+Settings!$B$6)*3,"F","")))</f>
        <v/>
      </c>
      <c r="AA718" s="20">
        <f>IF($Z718="C",$Y718,IF($Z718="A",$Y718-Settings!$B$4*3,IF($Z718="F",$Y718-(Settings!$B$4+Settings!$B$5)*3,"")))</f>
        <v/>
      </c>
      <c r="AB718" s="20">
        <f>IF($Z718="","",INT(($AA718-1)/3)+1)</f>
        <v/>
      </c>
      <c r="AC718" s="20">
        <f>IF($Z718="","",MOD($AA718-1,3)+1)</f>
        <v/>
      </c>
      <c r="AD718" s="20">
        <f>IF($Z718="","",Settings!$B$2+$AC718-1)</f>
        <v/>
      </c>
      <c r="AE718" s="21">
        <f>IF($Z718="C",DATE(YEAR(INDEX(Contracts!$J$2:$J$151,$AB718)),MONTH(INDEX(Contracts!$J$2:$J$151,$AB718)),1),IF($Z718="A",DATE(YEAR(INDEX(Fixed_Assets!$G$2:$G$201,$AB718)),MONTH(INDEX(Fixed_Assets!$G$2:$G$201,$AB718)),1),IF($Z718="F",DATE(YEAR(MAX(N(INDEX(Workforce!$I$2:$I$151,MATCH(INDEX(FTE_Allocation!$A$2:$A$201,$AB718),Workforce!$A$2:$A$151,0))),N(INDEX(FTE_Allocation!$I$2:$I$201,$AB718)))),MONTH(MAX(N(INDEX(Workforce!$I$2:$I$151,MATCH(INDEX(FTE_Allocation!$A$2:$A$201,$AB718),Workforce!$A$2:$A$151,0))),N(INDEX(FTE_Allocation!$I$2:$I$201,$AB718)))),1),"")))</f>
        <v/>
      </c>
      <c r="AF718" s="21">
        <f>IF($Z718="C",IF(INDEX(Contracts!$I$2:$I$151,$AB718)="PREPAID",EDATE(DATE(YEAR(INDEX(Contracts!$J$2:$J$151,$AB718)),MONTH(INDEX(Contracts!$J$2:$J$151,$AB718)),1),IF(INDEX(Contracts!$N$2:$N$151,$AB718)="",12,INDEX(Contracts!$N$2:$N$151,$AB718))-1),IF(INDEX(Contracts!$I$2:$I$151,$AB718)="MONTHLY",IF(INDEX(Contracts!$K$2:$K$151,$AB718)="",2958101,INDEX(Contracts!$K$2:$K$151,$AB718)),0)),IF($Z718="A",EDATE(DATE(YEAR(INDEX(Fixed_Assets!$G$2:$G$201,$AB718)),MONTH(INDEX(Fixed_Assets!$G$2:$G$201,$AB718)),1),INDEX(Fixed_Assets!$J$2:$J$201,$AB718)-1),IF($Z718="F",MIN(IF(INDEX(Workforce!$J$2:$J$151,MATCH(INDEX(FTE_Allocation!$A$2:$A$201,$AB718),Workforce!$A$2:$A$151,0))="",2958101,INDEX(Workforce!$J$2:$J$151,MATCH(INDEX(FTE_Allocation!$A$2:$A$201,$AB718),Workforce!$A$2:$A$151,0))),IF(INDEX(FTE_Allocation!$J$2:$J$201,$AB718)="",2958101,INDEX(FTE_Allocation!$J$2:$J$201,$AB718))),"")))</f>
        <v/>
      </c>
      <c r="AG718" s="19">
        <f>IF($Z718="C",IF(INDEX(Contracts!$I$2:$I$151,$AB718)="PREPAID",INDEX(Contracts!$M$2:$M$151,$AB718)/IF(INDEX(Contracts!$N$2:$N$151,$AB718)="",12,INDEX(Contracts!$N$2:$N$151,$AB718)),IF(INDEX(Contracts!$I$2:$I$151,$AB718)="MONTHLY",INDEX(Contracts!$M$2:$M$151,$AB718),0))*(1-N(INDEX(Contracts!$O$2:$O$151,$AB718))),IF($Z718="A",INDEX(Fixed_Assets!$H$2:$H$201,$AB718)/INDEX(Fixed_Assets!$J$2:$J$201,$AB718),IF($Z718="F",INDEX(Workforce!$F$2:$F$151,MATCH(INDEX(FTE_Allocation!$A$2:$A$201,$AB718),Workforce!$A$2:$A$151,0))*N(INDEX(FTE_Allocation!$F$2:$H$201,$AB718,$AC718)),"")))</f>
        <v/>
      </c>
    </row>
    <row r="719">
      <c r="A719" s="7">
        <f>IF($Z719="","",$AD719)</f>
        <v/>
      </c>
      <c r="B719" s="7">
        <f>IF($Z719="C",INDEX(Contracts!$D$2:$D$151,$AB719)&amp;"",IF($Z719="A",INDEX(Fixed_Assets!$C$2:$C$201,$AB719)&amp;"",IF($Z719="F",INDEX(Workforce!$B$2:$B$151,MATCH(INDEX(FTE_Allocation!$A$2:$A$201,$AB719),Workforce!$A$2:$A$151,0))&amp;"","")))</f>
        <v/>
      </c>
      <c r="C719" s="7">
        <f>IF($Z719="C",INDEX(Contracts!$E$2:$E$151,$AB719)&amp;"",IF($Z719="A",INDEX(Fixed_Assets!$D$2:$D$201,$AB719)&amp;"",IF($Z719="F",INDEX(FTE_Allocation!$C$2:$C$201,$AB719)&amp;"","")))</f>
        <v/>
      </c>
      <c r="D719" s="7">
        <f>IF($Z719="C",INDEX(Contracts!$B$2:$B$151,$AB719)&amp;"",IF($Z719="A",INDEX(Fixed_Assets!$B$2:$B$201,$AB719)&amp;"",IF($Z719="F",INDEX(FTE_Allocation!$B$2:$B$201,$AB719)&amp;"","")))</f>
        <v/>
      </c>
      <c r="E719" s="7">
        <f>IF($Z719="C",INDEX(Contracts!$P$2:$P$151,$AB719)&amp;"",IF($Z719="A",INDEX(Fixed_Assets!$K$2:$K$201,$AB719)&amp;"",IF($Z719="F",IF(INDEX(FTE_Allocation!$D$2:$D$201,$AB719)="PROJECT",IFERROR(INDEX(Projects!$D:$D,MATCH(INDEX(FTE_Allocation!$E$2:$E$201,$AB719),Projects!$A:$A,0))&amp;"","#PROJECT?"),INDEX(FTE_Allocation!$E$2:$E$201,$AB719)&amp;""),"")))</f>
        <v/>
      </c>
      <c r="F719" s="7">
        <f>IF($Z719="C",INDEX(Contracts!$Q$2:$Q$151,$AB719)&amp;"",IF($Z719="A",INDEX(Fixed_Assets!$L$2:$L$201,$AB719)&amp;"",IF($Z719="F",INDEX(Workforce!$K$2:$K$151,MATCH(INDEX(FTE_Allocation!$A$2:$A$201,$AB719),Workforce!$A$2:$A$151,0))&amp;"","")))</f>
        <v/>
      </c>
      <c r="G719" s="7">
        <f>IF($Z719="C",INDEX(Contracts!$F$2:$F$151,$AB719)&amp;" / "&amp;INDEX(Contracts!$G$2:$G$151,$AB719),IF($Z719="A",INDEX(Fixed_Assets!$E$2:$E$201,$AB719)&amp;"",IF($Z719="F","Personnel "&amp;INDEX(FTE_Allocation!$A$2:$A$201,$AB719)&amp;IF(INDEX(FTE_Allocation!$D$2:$D$201,$AB719)="PROJECT"," ("&amp;INDEX(FTE_Allocation!$E$2:$E$201,$AB719)&amp;")",""),"")))</f>
        <v/>
      </c>
      <c r="H719" s="7">
        <f>IF($Z719="C","CONTRACT",IF($Z719="A","ASSET",IF($Z719="F","WORKFORCE","")))</f>
        <v/>
      </c>
      <c r="I719" s="7">
        <f>IF($Z719="C",INDEX(Contracts!$L$2:$L$151,$AB719)&amp;"",IF($Z719="A",INDEX(Fixed_Assets!$I$2:$I$201,$AB719)&amp;"",IF($Z719="F",INDEX(Workforce!$G$2:$G$151,MATCH(INDEX(FTE_Allocation!$A$2:$A$201,$AB719),Workforce!$A$2:$A$151,0))&amp;"","")))</f>
        <v/>
      </c>
      <c r="J719" s="18">
        <f>IF($Z719="","",IF(AND(DATE($AD719,1,1)&gt;=$AE719,DATE($AD719,1,1)&lt;=$AF719),ROUND($AG719,2),0))</f>
        <v/>
      </c>
      <c r="K719" s="18">
        <f>IF($Z719="","",IF(AND(DATE($AD719,2,1)&gt;=$AE719,DATE($AD719,2,1)&lt;=$AF719),ROUND($AG719,2),0))</f>
        <v/>
      </c>
      <c r="L719" s="18">
        <f>IF($Z719="","",IF(AND(DATE($AD719,3,1)&gt;=$AE719,DATE($AD719,3,1)&lt;=$AF719),ROUND($AG719,2),0))</f>
        <v/>
      </c>
      <c r="M719" s="18">
        <f>IF($Z719="","",IF(AND(DATE($AD719,4,1)&gt;=$AE719,DATE($AD719,4,1)&lt;=$AF719),ROUND($AG719,2),0))</f>
        <v/>
      </c>
      <c r="N719" s="18">
        <f>IF($Z719="","",IF(AND(DATE($AD719,5,1)&gt;=$AE719,DATE($AD719,5,1)&lt;=$AF719),ROUND($AG719,2),0))</f>
        <v/>
      </c>
      <c r="O719" s="18">
        <f>IF($Z719="","",IF(AND(DATE($AD719,6,1)&gt;=$AE719,DATE($AD719,6,1)&lt;=$AF719),ROUND($AG719,2),0))</f>
        <v/>
      </c>
      <c r="P719" s="18">
        <f>IF($Z719="","",IF(AND(DATE($AD719,7,1)&gt;=$AE719,DATE($AD719,7,1)&lt;=$AF719),ROUND($AG719,2),0))</f>
        <v/>
      </c>
      <c r="Q719" s="18">
        <f>IF($Z719="","",IF(AND(DATE($AD719,8,1)&gt;=$AE719,DATE($AD719,8,1)&lt;=$AF719),ROUND($AG719,2),0))</f>
        <v/>
      </c>
      <c r="R719" s="18">
        <f>IF($Z719="","",IF(AND(DATE($AD719,9,1)&gt;=$AE719,DATE($AD719,9,1)&lt;=$AF719),ROUND($AG719,2),0))</f>
        <v/>
      </c>
      <c r="S719" s="18">
        <f>IF($Z719="","",IF(AND(DATE($AD719,10,1)&gt;=$AE719,DATE($AD719,10,1)&lt;=$AF719),ROUND($AG719,2),0))</f>
        <v/>
      </c>
      <c r="T719" s="18">
        <f>IF($Z719="","",IF(AND(DATE($AD719,11,1)&gt;=$AE719,DATE($AD719,11,1)&lt;=$AF719),ROUND($AG719,2),0))</f>
        <v/>
      </c>
      <c r="U719" s="18">
        <f>IF($Z719="","",IF(AND(DATE($AD719,12,1)&gt;=$AE719,DATE($AD719,12,1)&lt;=$AF719),ROUND($AG719,2),0))</f>
        <v/>
      </c>
      <c r="V719" s="7">
        <f>IF($Z719="C","Generated from "&amp;INDEX(Contracts!$A$2:$A$151,$AB719),IF($Z719="A","Generated from "&amp;INDEX(Fixed_Assets!$A$2:$A$201,$AB719),IF($Z719="F","Generated from "&amp;INDEX(FTE_Allocation!$A$2:$A$201,$AB719),"")))</f>
        <v/>
      </c>
      <c r="X719" s="19">
        <f>IF($Z719="","",SUM(J719:U719))</f>
        <v/>
      </c>
      <c r="Y719" s="20">
        <f>ROW()-1</f>
        <v/>
      </c>
      <c r="Z719" s="20">
        <f>IF($Y719&lt;=Settings!$B$4*3,"C",IF($Y719&lt;=(Settings!$B$4+Settings!$B$5)*3,"A",IF($Y719&lt;=(Settings!$B$4+Settings!$B$5+Settings!$B$6)*3,"F","")))</f>
        <v/>
      </c>
      <c r="AA719" s="20">
        <f>IF($Z719="C",$Y719,IF($Z719="A",$Y719-Settings!$B$4*3,IF($Z719="F",$Y719-(Settings!$B$4+Settings!$B$5)*3,"")))</f>
        <v/>
      </c>
      <c r="AB719" s="20">
        <f>IF($Z719="","",INT(($AA719-1)/3)+1)</f>
        <v/>
      </c>
      <c r="AC719" s="20">
        <f>IF($Z719="","",MOD($AA719-1,3)+1)</f>
        <v/>
      </c>
      <c r="AD719" s="20">
        <f>IF($Z719="","",Settings!$B$2+$AC719-1)</f>
        <v/>
      </c>
      <c r="AE719" s="21">
        <f>IF($Z719="C",DATE(YEAR(INDEX(Contracts!$J$2:$J$151,$AB719)),MONTH(INDEX(Contracts!$J$2:$J$151,$AB719)),1),IF($Z719="A",DATE(YEAR(INDEX(Fixed_Assets!$G$2:$G$201,$AB719)),MONTH(INDEX(Fixed_Assets!$G$2:$G$201,$AB719)),1),IF($Z719="F",DATE(YEAR(MAX(N(INDEX(Workforce!$I$2:$I$151,MATCH(INDEX(FTE_Allocation!$A$2:$A$201,$AB719),Workforce!$A$2:$A$151,0))),N(INDEX(FTE_Allocation!$I$2:$I$201,$AB719)))),MONTH(MAX(N(INDEX(Workforce!$I$2:$I$151,MATCH(INDEX(FTE_Allocation!$A$2:$A$201,$AB719),Workforce!$A$2:$A$151,0))),N(INDEX(FTE_Allocation!$I$2:$I$201,$AB719)))),1),"")))</f>
        <v/>
      </c>
      <c r="AF719" s="21">
        <f>IF($Z719="C",IF(INDEX(Contracts!$I$2:$I$151,$AB719)="PREPAID",EDATE(DATE(YEAR(INDEX(Contracts!$J$2:$J$151,$AB719)),MONTH(INDEX(Contracts!$J$2:$J$151,$AB719)),1),IF(INDEX(Contracts!$N$2:$N$151,$AB719)="",12,INDEX(Contracts!$N$2:$N$151,$AB719))-1),IF(INDEX(Contracts!$I$2:$I$151,$AB719)="MONTHLY",IF(INDEX(Contracts!$K$2:$K$151,$AB719)="",2958101,INDEX(Contracts!$K$2:$K$151,$AB719)),0)),IF($Z719="A",EDATE(DATE(YEAR(INDEX(Fixed_Assets!$G$2:$G$201,$AB719)),MONTH(INDEX(Fixed_Assets!$G$2:$G$201,$AB719)),1),INDEX(Fixed_Assets!$J$2:$J$201,$AB719)-1),IF($Z719="F",MIN(IF(INDEX(Workforce!$J$2:$J$151,MATCH(INDEX(FTE_Allocation!$A$2:$A$201,$AB719),Workforce!$A$2:$A$151,0))="",2958101,INDEX(Workforce!$J$2:$J$151,MATCH(INDEX(FTE_Allocation!$A$2:$A$201,$AB719),Workforce!$A$2:$A$151,0))),IF(INDEX(FTE_Allocation!$J$2:$J$201,$AB719)="",2958101,INDEX(FTE_Allocation!$J$2:$J$201,$AB719))),"")))</f>
        <v/>
      </c>
      <c r="AG719" s="19">
        <f>IF($Z719="C",IF(INDEX(Contracts!$I$2:$I$151,$AB719)="PREPAID",INDEX(Contracts!$M$2:$M$151,$AB719)/IF(INDEX(Contracts!$N$2:$N$151,$AB719)="",12,INDEX(Contracts!$N$2:$N$151,$AB719)),IF(INDEX(Contracts!$I$2:$I$151,$AB719)="MONTHLY",INDEX(Contracts!$M$2:$M$151,$AB719),0))*(1-N(INDEX(Contracts!$O$2:$O$151,$AB719))),IF($Z719="A",INDEX(Fixed_Assets!$H$2:$H$201,$AB719)/INDEX(Fixed_Assets!$J$2:$J$201,$AB719),IF($Z719="F",INDEX(Workforce!$F$2:$F$151,MATCH(INDEX(FTE_Allocation!$A$2:$A$201,$AB719),Workforce!$A$2:$A$151,0))*N(INDEX(FTE_Allocation!$F$2:$H$201,$AB719,$AC719)),"")))</f>
        <v/>
      </c>
    </row>
    <row r="720">
      <c r="A720" s="7">
        <f>IF($Z720="","",$AD720)</f>
        <v/>
      </c>
      <c r="B720" s="7">
        <f>IF($Z720="C",INDEX(Contracts!$D$2:$D$151,$AB720)&amp;"",IF($Z720="A",INDEX(Fixed_Assets!$C$2:$C$201,$AB720)&amp;"",IF($Z720="F",INDEX(Workforce!$B$2:$B$151,MATCH(INDEX(FTE_Allocation!$A$2:$A$201,$AB720),Workforce!$A$2:$A$151,0))&amp;"","")))</f>
        <v/>
      </c>
      <c r="C720" s="7">
        <f>IF($Z720="C",INDEX(Contracts!$E$2:$E$151,$AB720)&amp;"",IF($Z720="A",INDEX(Fixed_Assets!$D$2:$D$201,$AB720)&amp;"",IF($Z720="F",INDEX(FTE_Allocation!$C$2:$C$201,$AB720)&amp;"","")))</f>
        <v/>
      </c>
      <c r="D720" s="7">
        <f>IF($Z720="C",INDEX(Contracts!$B$2:$B$151,$AB720)&amp;"",IF($Z720="A",INDEX(Fixed_Assets!$B$2:$B$201,$AB720)&amp;"",IF($Z720="F",INDEX(FTE_Allocation!$B$2:$B$201,$AB720)&amp;"","")))</f>
        <v/>
      </c>
      <c r="E720" s="7">
        <f>IF($Z720="C",INDEX(Contracts!$P$2:$P$151,$AB720)&amp;"",IF($Z720="A",INDEX(Fixed_Assets!$K$2:$K$201,$AB720)&amp;"",IF($Z720="F",IF(INDEX(FTE_Allocation!$D$2:$D$201,$AB720)="PROJECT",IFERROR(INDEX(Projects!$D:$D,MATCH(INDEX(FTE_Allocation!$E$2:$E$201,$AB720),Projects!$A:$A,0))&amp;"","#PROJECT?"),INDEX(FTE_Allocation!$E$2:$E$201,$AB720)&amp;""),"")))</f>
        <v/>
      </c>
      <c r="F720" s="7">
        <f>IF($Z720="C",INDEX(Contracts!$Q$2:$Q$151,$AB720)&amp;"",IF($Z720="A",INDEX(Fixed_Assets!$L$2:$L$201,$AB720)&amp;"",IF($Z720="F",INDEX(Workforce!$K$2:$K$151,MATCH(INDEX(FTE_Allocation!$A$2:$A$201,$AB720),Workforce!$A$2:$A$151,0))&amp;"","")))</f>
        <v/>
      </c>
      <c r="G720" s="7">
        <f>IF($Z720="C",INDEX(Contracts!$F$2:$F$151,$AB720)&amp;" / "&amp;INDEX(Contracts!$G$2:$G$151,$AB720),IF($Z720="A",INDEX(Fixed_Assets!$E$2:$E$201,$AB720)&amp;"",IF($Z720="F","Personnel "&amp;INDEX(FTE_Allocation!$A$2:$A$201,$AB720)&amp;IF(INDEX(FTE_Allocation!$D$2:$D$201,$AB720)="PROJECT"," ("&amp;INDEX(FTE_Allocation!$E$2:$E$201,$AB720)&amp;")",""),"")))</f>
        <v/>
      </c>
      <c r="H720" s="7">
        <f>IF($Z720="C","CONTRACT",IF($Z720="A","ASSET",IF($Z720="F","WORKFORCE","")))</f>
        <v/>
      </c>
      <c r="I720" s="7">
        <f>IF($Z720="C",INDEX(Contracts!$L$2:$L$151,$AB720)&amp;"",IF($Z720="A",INDEX(Fixed_Assets!$I$2:$I$201,$AB720)&amp;"",IF($Z720="F",INDEX(Workforce!$G$2:$G$151,MATCH(INDEX(FTE_Allocation!$A$2:$A$201,$AB720),Workforce!$A$2:$A$151,0))&amp;"","")))</f>
        <v/>
      </c>
      <c r="J720" s="18">
        <f>IF($Z720="","",IF(AND(DATE($AD720,1,1)&gt;=$AE720,DATE($AD720,1,1)&lt;=$AF720),ROUND($AG720,2),0))</f>
        <v/>
      </c>
      <c r="K720" s="18">
        <f>IF($Z720="","",IF(AND(DATE($AD720,2,1)&gt;=$AE720,DATE($AD720,2,1)&lt;=$AF720),ROUND($AG720,2),0))</f>
        <v/>
      </c>
      <c r="L720" s="18">
        <f>IF($Z720="","",IF(AND(DATE($AD720,3,1)&gt;=$AE720,DATE($AD720,3,1)&lt;=$AF720),ROUND($AG720,2),0))</f>
        <v/>
      </c>
      <c r="M720" s="18">
        <f>IF($Z720="","",IF(AND(DATE($AD720,4,1)&gt;=$AE720,DATE($AD720,4,1)&lt;=$AF720),ROUND($AG720,2),0))</f>
        <v/>
      </c>
      <c r="N720" s="18">
        <f>IF($Z720="","",IF(AND(DATE($AD720,5,1)&gt;=$AE720,DATE($AD720,5,1)&lt;=$AF720),ROUND($AG720,2),0))</f>
        <v/>
      </c>
      <c r="O720" s="18">
        <f>IF($Z720="","",IF(AND(DATE($AD720,6,1)&gt;=$AE720,DATE($AD720,6,1)&lt;=$AF720),ROUND($AG720,2),0))</f>
        <v/>
      </c>
      <c r="P720" s="18">
        <f>IF($Z720="","",IF(AND(DATE($AD720,7,1)&gt;=$AE720,DATE($AD720,7,1)&lt;=$AF720),ROUND($AG720,2),0))</f>
        <v/>
      </c>
      <c r="Q720" s="18">
        <f>IF($Z720="","",IF(AND(DATE($AD720,8,1)&gt;=$AE720,DATE($AD720,8,1)&lt;=$AF720),ROUND($AG720,2),0))</f>
        <v/>
      </c>
      <c r="R720" s="18">
        <f>IF($Z720="","",IF(AND(DATE($AD720,9,1)&gt;=$AE720,DATE($AD720,9,1)&lt;=$AF720),ROUND($AG720,2),0))</f>
        <v/>
      </c>
      <c r="S720" s="18">
        <f>IF($Z720="","",IF(AND(DATE($AD720,10,1)&gt;=$AE720,DATE($AD720,10,1)&lt;=$AF720),ROUND($AG720,2),0))</f>
        <v/>
      </c>
      <c r="T720" s="18">
        <f>IF($Z720="","",IF(AND(DATE($AD720,11,1)&gt;=$AE720,DATE($AD720,11,1)&lt;=$AF720),ROUND($AG720,2),0))</f>
        <v/>
      </c>
      <c r="U720" s="18">
        <f>IF($Z720="","",IF(AND(DATE($AD720,12,1)&gt;=$AE720,DATE($AD720,12,1)&lt;=$AF720),ROUND($AG720,2),0))</f>
        <v/>
      </c>
      <c r="V720" s="7">
        <f>IF($Z720="C","Generated from "&amp;INDEX(Contracts!$A$2:$A$151,$AB720),IF($Z720="A","Generated from "&amp;INDEX(Fixed_Assets!$A$2:$A$201,$AB720),IF($Z720="F","Generated from "&amp;INDEX(FTE_Allocation!$A$2:$A$201,$AB720),"")))</f>
        <v/>
      </c>
      <c r="X720" s="19">
        <f>IF($Z720="","",SUM(J720:U720))</f>
        <v/>
      </c>
      <c r="Y720" s="20">
        <f>ROW()-1</f>
        <v/>
      </c>
      <c r="Z720" s="20">
        <f>IF($Y720&lt;=Settings!$B$4*3,"C",IF($Y720&lt;=(Settings!$B$4+Settings!$B$5)*3,"A",IF($Y720&lt;=(Settings!$B$4+Settings!$B$5+Settings!$B$6)*3,"F","")))</f>
        <v/>
      </c>
      <c r="AA720" s="20">
        <f>IF($Z720="C",$Y720,IF($Z720="A",$Y720-Settings!$B$4*3,IF($Z720="F",$Y720-(Settings!$B$4+Settings!$B$5)*3,"")))</f>
        <v/>
      </c>
      <c r="AB720" s="20">
        <f>IF($Z720="","",INT(($AA720-1)/3)+1)</f>
        <v/>
      </c>
      <c r="AC720" s="20">
        <f>IF($Z720="","",MOD($AA720-1,3)+1)</f>
        <v/>
      </c>
      <c r="AD720" s="20">
        <f>IF($Z720="","",Settings!$B$2+$AC720-1)</f>
        <v/>
      </c>
      <c r="AE720" s="21">
        <f>IF($Z720="C",DATE(YEAR(INDEX(Contracts!$J$2:$J$151,$AB720)),MONTH(INDEX(Contracts!$J$2:$J$151,$AB720)),1),IF($Z720="A",DATE(YEAR(INDEX(Fixed_Assets!$G$2:$G$201,$AB720)),MONTH(INDEX(Fixed_Assets!$G$2:$G$201,$AB720)),1),IF($Z720="F",DATE(YEAR(MAX(N(INDEX(Workforce!$I$2:$I$151,MATCH(INDEX(FTE_Allocation!$A$2:$A$201,$AB720),Workforce!$A$2:$A$151,0))),N(INDEX(FTE_Allocation!$I$2:$I$201,$AB720)))),MONTH(MAX(N(INDEX(Workforce!$I$2:$I$151,MATCH(INDEX(FTE_Allocation!$A$2:$A$201,$AB720),Workforce!$A$2:$A$151,0))),N(INDEX(FTE_Allocation!$I$2:$I$201,$AB720)))),1),"")))</f>
        <v/>
      </c>
      <c r="AF720" s="21">
        <f>IF($Z720="C",IF(INDEX(Contracts!$I$2:$I$151,$AB720)="PREPAID",EDATE(DATE(YEAR(INDEX(Contracts!$J$2:$J$151,$AB720)),MONTH(INDEX(Contracts!$J$2:$J$151,$AB720)),1),IF(INDEX(Contracts!$N$2:$N$151,$AB720)="",12,INDEX(Contracts!$N$2:$N$151,$AB720))-1),IF(INDEX(Contracts!$I$2:$I$151,$AB720)="MONTHLY",IF(INDEX(Contracts!$K$2:$K$151,$AB720)="",2958101,INDEX(Contracts!$K$2:$K$151,$AB720)),0)),IF($Z720="A",EDATE(DATE(YEAR(INDEX(Fixed_Assets!$G$2:$G$201,$AB720)),MONTH(INDEX(Fixed_Assets!$G$2:$G$201,$AB720)),1),INDEX(Fixed_Assets!$J$2:$J$201,$AB720)-1),IF($Z720="F",MIN(IF(INDEX(Workforce!$J$2:$J$151,MATCH(INDEX(FTE_Allocation!$A$2:$A$201,$AB720),Workforce!$A$2:$A$151,0))="",2958101,INDEX(Workforce!$J$2:$J$151,MATCH(INDEX(FTE_Allocation!$A$2:$A$201,$AB720),Workforce!$A$2:$A$151,0))),IF(INDEX(FTE_Allocation!$J$2:$J$201,$AB720)="",2958101,INDEX(FTE_Allocation!$J$2:$J$201,$AB720))),"")))</f>
        <v/>
      </c>
      <c r="AG720" s="19">
        <f>IF($Z720="C",IF(INDEX(Contracts!$I$2:$I$151,$AB720)="PREPAID",INDEX(Contracts!$M$2:$M$151,$AB720)/IF(INDEX(Contracts!$N$2:$N$151,$AB720)="",12,INDEX(Contracts!$N$2:$N$151,$AB720)),IF(INDEX(Contracts!$I$2:$I$151,$AB720)="MONTHLY",INDEX(Contracts!$M$2:$M$151,$AB720),0))*(1-N(INDEX(Contracts!$O$2:$O$151,$AB720))),IF($Z720="A",INDEX(Fixed_Assets!$H$2:$H$201,$AB720)/INDEX(Fixed_Assets!$J$2:$J$201,$AB720),IF($Z720="F",INDEX(Workforce!$F$2:$F$151,MATCH(INDEX(FTE_Allocation!$A$2:$A$201,$AB720),Workforce!$A$2:$A$151,0))*N(INDEX(FTE_Allocation!$F$2:$H$201,$AB720,$AC720)),"")))</f>
        <v/>
      </c>
    </row>
    <row r="721">
      <c r="A721" s="7">
        <f>IF($Z721="","",$AD721)</f>
        <v/>
      </c>
      <c r="B721" s="7">
        <f>IF($Z721="C",INDEX(Contracts!$D$2:$D$151,$AB721)&amp;"",IF($Z721="A",INDEX(Fixed_Assets!$C$2:$C$201,$AB721)&amp;"",IF($Z721="F",INDEX(Workforce!$B$2:$B$151,MATCH(INDEX(FTE_Allocation!$A$2:$A$201,$AB721),Workforce!$A$2:$A$151,0))&amp;"","")))</f>
        <v/>
      </c>
      <c r="C721" s="7">
        <f>IF($Z721="C",INDEX(Contracts!$E$2:$E$151,$AB721)&amp;"",IF($Z721="A",INDEX(Fixed_Assets!$D$2:$D$201,$AB721)&amp;"",IF($Z721="F",INDEX(FTE_Allocation!$C$2:$C$201,$AB721)&amp;"","")))</f>
        <v/>
      </c>
      <c r="D721" s="7">
        <f>IF($Z721="C",INDEX(Contracts!$B$2:$B$151,$AB721)&amp;"",IF($Z721="A",INDEX(Fixed_Assets!$B$2:$B$201,$AB721)&amp;"",IF($Z721="F",INDEX(FTE_Allocation!$B$2:$B$201,$AB721)&amp;"","")))</f>
        <v/>
      </c>
      <c r="E721" s="7">
        <f>IF($Z721="C",INDEX(Contracts!$P$2:$P$151,$AB721)&amp;"",IF($Z721="A",INDEX(Fixed_Assets!$K$2:$K$201,$AB721)&amp;"",IF($Z721="F",IF(INDEX(FTE_Allocation!$D$2:$D$201,$AB721)="PROJECT",IFERROR(INDEX(Projects!$D:$D,MATCH(INDEX(FTE_Allocation!$E$2:$E$201,$AB721),Projects!$A:$A,0))&amp;"","#PROJECT?"),INDEX(FTE_Allocation!$E$2:$E$201,$AB721)&amp;""),"")))</f>
        <v/>
      </c>
      <c r="F721" s="7">
        <f>IF($Z721="C",INDEX(Contracts!$Q$2:$Q$151,$AB721)&amp;"",IF($Z721="A",INDEX(Fixed_Assets!$L$2:$L$201,$AB721)&amp;"",IF($Z721="F",INDEX(Workforce!$K$2:$K$151,MATCH(INDEX(FTE_Allocation!$A$2:$A$201,$AB721),Workforce!$A$2:$A$151,0))&amp;"","")))</f>
        <v/>
      </c>
      <c r="G721" s="7">
        <f>IF($Z721="C",INDEX(Contracts!$F$2:$F$151,$AB721)&amp;" / "&amp;INDEX(Contracts!$G$2:$G$151,$AB721),IF($Z721="A",INDEX(Fixed_Assets!$E$2:$E$201,$AB721)&amp;"",IF($Z721="F","Personnel "&amp;INDEX(FTE_Allocation!$A$2:$A$201,$AB721)&amp;IF(INDEX(FTE_Allocation!$D$2:$D$201,$AB721)="PROJECT"," ("&amp;INDEX(FTE_Allocation!$E$2:$E$201,$AB721)&amp;")",""),"")))</f>
        <v/>
      </c>
      <c r="H721" s="7">
        <f>IF($Z721="C","CONTRACT",IF($Z721="A","ASSET",IF($Z721="F","WORKFORCE","")))</f>
        <v/>
      </c>
      <c r="I721" s="7">
        <f>IF($Z721="C",INDEX(Contracts!$L$2:$L$151,$AB721)&amp;"",IF($Z721="A",INDEX(Fixed_Assets!$I$2:$I$201,$AB721)&amp;"",IF($Z721="F",INDEX(Workforce!$G$2:$G$151,MATCH(INDEX(FTE_Allocation!$A$2:$A$201,$AB721),Workforce!$A$2:$A$151,0))&amp;"","")))</f>
        <v/>
      </c>
      <c r="J721" s="18">
        <f>IF($Z721="","",IF(AND(DATE($AD721,1,1)&gt;=$AE721,DATE($AD721,1,1)&lt;=$AF721),ROUND($AG721,2),0))</f>
        <v/>
      </c>
      <c r="K721" s="18">
        <f>IF($Z721="","",IF(AND(DATE($AD721,2,1)&gt;=$AE721,DATE($AD721,2,1)&lt;=$AF721),ROUND($AG721,2),0))</f>
        <v/>
      </c>
      <c r="L721" s="18">
        <f>IF($Z721="","",IF(AND(DATE($AD721,3,1)&gt;=$AE721,DATE($AD721,3,1)&lt;=$AF721),ROUND($AG721,2),0))</f>
        <v/>
      </c>
      <c r="M721" s="18">
        <f>IF($Z721="","",IF(AND(DATE($AD721,4,1)&gt;=$AE721,DATE($AD721,4,1)&lt;=$AF721),ROUND($AG721,2),0))</f>
        <v/>
      </c>
      <c r="N721" s="18">
        <f>IF($Z721="","",IF(AND(DATE($AD721,5,1)&gt;=$AE721,DATE($AD721,5,1)&lt;=$AF721),ROUND($AG721,2),0))</f>
        <v/>
      </c>
      <c r="O721" s="18">
        <f>IF($Z721="","",IF(AND(DATE($AD721,6,1)&gt;=$AE721,DATE($AD721,6,1)&lt;=$AF721),ROUND($AG721,2),0))</f>
        <v/>
      </c>
      <c r="P721" s="18">
        <f>IF($Z721="","",IF(AND(DATE($AD721,7,1)&gt;=$AE721,DATE($AD721,7,1)&lt;=$AF721),ROUND($AG721,2),0))</f>
        <v/>
      </c>
      <c r="Q721" s="18">
        <f>IF($Z721="","",IF(AND(DATE($AD721,8,1)&gt;=$AE721,DATE($AD721,8,1)&lt;=$AF721),ROUND($AG721,2),0))</f>
        <v/>
      </c>
      <c r="R721" s="18">
        <f>IF($Z721="","",IF(AND(DATE($AD721,9,1)&gt;=$AE721,DATE($AD721,9,1)&lt;=$AF721),ROUND($AG721,2),0))</f>
        <v/>
      </c>
      <c r="S721" s="18">
        <f>IF($Z721="","",IF(AND(DATE($AD721,10,1)&gt;=$AE721,DATE($AD721,10,1)&lt;=$AF721),ROUND($AG721,2),0))</f>
        <v/>
      </c>
      <c r="T721" s="18">
        <f>IF($Z721="","",IF(AND(DATE($AD721,11,1)&gt;=$AE721,DATE($AD721,11,1)&lt;=$AF721),ROUND($AG721,2),0))</f>
        <v/>
      </c>
      <c r="U721" s="18">
        <f>IF($Z721="","",IF(AND(DATE($AD721,12,1)&gt;=$AE721,DATE($AD721,12,1)&lt;=$AF721),ROUND($AG721,2),0))</f>
        <v/>
      </c>
      <c r="V721" s="7">
        <f>IF($Z721="C","Generated from "&amp;INDEX(Contracts!$A$2:$A$151,$AB721),IF($Z721="A","Generated from "&amp;INDEX(Fixed_Assets!$A$2:$A$201,$AB721),IF($Z721="F","Generated from "&amp;INDEX(FTE_Allocation!$A$2:$A$201,$AB721),"")))</f>
        <v/>
      </c>
      <c r="X721" s="19">
        <f>IF($Z721="","",SUM(J721:U721))</f>
        <v/>
      </c>
      <c r="Y721" s="20">
        <f>ROW()-1</f>
        <v/>
      </c>
      <c r="Z721" s="20">
        <f>IF($Y721&lt;=Settings!$B$4*3,"C",IF($Y721&lt;=(Settings!$B$4+Settings!$B$5)*3,"A",IF($Y721&lt;=(Settings!$B$4+Settings!$B$5+Settings!$B$6)*3,"F","")))</f>
        <v/>
      </c>
      <c r="AA721" s="20">
        <f>IF($Z721="C",$Y721,IF($Z721="A",$Y721-Settings!$B$4*3,IF($Z721="F",$Y721-(Settings!$B$4+Settings!$B$5)*3,"")))</f>
        <v/>
      </c>
      <c r="AB721" s="20">
        <f>IF($Z721="","",INT(($AA721-1)/3)+1)</f>
        <v/>
      </c>
      <c r="AC721" s="20">
        <f>IF($Z721="","",MOD($AA721-1,3)+1)</f>
        <v/>
      </c>
      <c r="AD721" s="20">
        <f>IF($Z721="","",Settings!$B$2+$AC721-1)</f>
        <v/>
      </c>
      <c r="AE721" s="21">
        <f>IF($Z721="C",DATE(YEAR(INDEX(Contracts!$J$2:$J$151,$AB721)),MONTH(INDEX(Contracts!$J$2:$J$151,$AB721)),1),IF($Z721="A",DATE(YEAR(INDEX(Fixed_Assets!$G$2:$G$201,$AB721)),MONTH(INDEX(Fixed_Assets!$G$2:$G$201,$AB721)),1),IF($Z721="F",DATE(YEAR(MAX(N(INDEX(Workforce!$I$2:$I$151,MATCH(INDEX(FTE_Allocation!$A$2:$A$201,$AB721),Workforce!$A$2:$A$151,0))),N(INDEX(FTE_Allocation!$I$2:$I$201,$AB721)))),MONTH(MAX(N(INDEX(Workforce!$I$2:$I$151,MATCH(INDEX(FTE_Allocation!$A$2:$A$201,$AB721),Workforce!$A$2:$A$151,0))),N(INDEX(FTE_Allocation!$I$2:$I$201,$AB721)))),1),"")))</f>
        <v/>
      </c>
      <c r="AF721" s="21">
        <f>IF($Z721="C",IF(INDEX(Contracts!$I$2:$I$151,$AB721)="PREPAID",EDATE(DATE(YEAR(INDEX(Contracts!$J$2:$J$151,$AB721)),MONTH(INDEX(Contracts!$J$2:$J$151,$AB721)),1),IF(INDEX(Contracts!$N$2:$N$151,$AB721)="",12,INDEX(Contracts!$N$2:$N$151,$AB721))-1),IF(INDEX(Contracts!$I$2:$I$151,$AB721)="MONTHLY",IF(INDEX(Contracts!$K$2:$K$151,$AB721)="",2958101,INDEX(Contracts!$K$2:$K$151,$AB721)),0)),IF($Z721="A",EDATE(DATE(YEAR(INDEX(Fixed_Assets!$G$2:$G$201,$AB721)),MONTH(INDEX(Fixed_Assets!$G$2:$G$201,$AB721)),1),INDEX(Fixed_Assets!$J$2:$J$201,$AB721)-1),IF($Z721="F",MIN(IF(INDEX(Workforce!$J$2:$J$151,MATCH(INDEX(FTE_Allocation!$A$2:$A$201,$AB721),Workforce!$A$2:$A$151,0))="",2958101,INDEX(Workforce!$J$2:$J$151,MATCH(INDEX(FTE_Allocation!$A$2:$A$201,$AB721),Workforce!$A$2:$A$151,0))),IF(INDEX(FTE_Allocation!$J$2:$J$201,$AB721)="",2958101,INDEX(FTE_Allocation!$J$2:$J$201,$AB721))),"")))</f>
        <v/>
      </c>
      <c r="AG721" s="19">
        <f>IF($Z721="C",IF(INDEX(Contracts!$I$2:$I$151,$AB721)="PREPAID",INDEX(Contracts!$M$2:$M$151,$AB721)/IF(INDEX(Contracts!$N$2:$N$151,$AB721)="",12,INDEX(Contracts!$N$2:$N$151,$AB721)),IF(INDEX(Contracts!$I$2:$I$151,$AB721)="MONTHLY",INDEX(Contracts!$M$2:$M$151,$AB721),0))*(1-N(INDEX(Contracts!$O$2:$O$151,$AB721))),IF($Z721="A",INDEX(Fixed_Assets!$H$2:$H$201,$AB721)/INDEX(Fixed_Assets!$J$2:$J$201,$AB721),IF($Z721="F",INDEX(Workforce!$F$2:$F$151,MATCH(INDEX(FTE_Allocation!$A$2:$A$201,$AB721),Workforce!$A$2:$A$151,0))*N(INDEX(FTE_Allocation!$F$2:$H$201,$AB721,$AC721)),"")))</f>
        <v/>
      </c>
    </row>
    <row r="722">
      <c r="A722" s="7">
        <f>IF($Z722="","",$AD722)</f>
        <v/>
      </c>
      <c r="B722" s="7">
        <f>IF($Z722="C",INDEX(Contracts!$D$2:$D$151,$AB722)&amp;"",IF($Z722="A",INDEX(Fixed_Assets!$C$2:$C$201,$AB722)&amp;"",IF($Z722="F",INDEX(Workforce!$B$2:$B$151,MATCH(INDEX(FTE_Allocation!$A$2:$A$201,$AB722),Workforce!$A$2:$A$151,0))&amp;"","")))</f>
        <v/>
      </c>
      <c r="C722" s="7">
        <f>IF($Z722="C",INDEX(Contracts!$E$2:$E$151,$AB722)&amp;"",IF($Z722="A",INDEX(Fixed_Assets!$D$2:$D$201,$AB722)&amp;"",IF($Z722="F",INDEX(FTE_Allocation!$C$2:$C$201,$AB722)&amp;"","")))</f>
        <v/>
      </c>
      <c r="D722" s="7">
        <f>IF($Z722="C",INDEX(Contracts!$B$2:$B$151,$AB722)&amp;"",IF($Z722="A",INDEX(Fixed_Assets!$B$2:$B$201,$AB722)&amp;"",IF($Z722="F",INDEX(FTE_Allocation!$B$2:$B$201,$AB722)&amp;"","")))</f>
        <v/>
      </c>
      <c r="E722" s="7">
        <f>IF($Z722="C",INDEX(Contracts!$P$2:$P$151,$AB722)&amp;"",IF($Z722="A",INDEX(Fixed_Assets!$K$2:$K$201,$AB722)&amp;"",IF($Z722="F",IF(INDEX(FTE_Allocation!$D$2:$D$201,$AB722)="PROJECT",IFERROR(INDEX(Projects!$D:$D,MATCH(INDEX(FTE_Allocation!$E$2:$E$201,$AB722),Projects!$A:$A,0))&amp;"","#PROJECT?"),INDEX(FTE_Allocation!$E$2:$E$201,$AB722)&amp;""),"")))</f>
        <v/>
      </c>
      <c r="F722" s="7">
        <f>IF($Z722="C",INDEX(Contracts!$Q$2:$Q$151,$AB722)&amp;"",IF($Z722="A",INDEX(Fixed_Assets!$L$2:$L$201,$AB722)&amp;"",IF($Z722="F",INDEX(Workforce!$K$2:$K$151,MATCH(INDEX(FTE_Allocation!$A$2:$A$201,$AB722),Workforce!$A$2:$A$151,0))&amp;"","")))</f>
        <v/>
      </c>
      <c r="G722" s="7">
        <f>IF($Z722="C",INDEX(Contracts!$F$2:$F$151,$AB722)&amp;" / "&amp;INDEX(Contracts!$G$2:$G$151,$AB722),IF($Z722="A",INDEX(Fixed_Assets!$E$2:$E$201,$AB722)&amp;"",IF($Z722="F","Personnel "&amp;INDEX(FTE_Allocation!$A$2:$A$201,$AB722)&amp;IF(INDEX(FTE_Allocation!$D$2:$D$201,$AB722)="PROJECT"," ("&amp;INDEX(FTE_Allocation!$E$2:$E$201,$AB722)&amp;")",""),"")))</f>
        <v/>
      </c>
      <c r="H722" s="7">
        <f>IF($Z722="C","CONTRACT",IF($Z722="A","ASSET",IF($Z722="F","WORKFORCE","")))</f>
        <v/>
      </c>
      <c r="I722" s="7">
        <f>IF($Z722="C",INDEX(Contracts!$L$2:$L$151,$AB722)&amp;"",IF($Z722="A",INDEX(Fixed_Assets!$I$2:$I$201,$AB722)&amp;"",IF($Z722="F",INDEX(Workforce!$G$2:$G$151,MATCH(INDEX(FTE_Allocation!$A$2:$A$201,$AB722),Workforce!$A$2:$A$151,0))&amp;"","")))</f>
        <v/>
      </c>
      <c r="J722" s="18">
        <f>IF($Z722="","",IF(AND(DATE($AD722,1,1)&gt;=$AE722,DATE($AD722,1,1)&lt;=$AF722),ROUND($AG722,2),0))</f>
        <v/>
      </c>
      <c r="K722" s="18">
        <f>IF($Z722="","",IF(AND(DATE($AD722,2,1)&gt;=$AE722,DATE($AD722,2,1)&lt;=$AF722),ROUND($AG722,2),0))</f>
        <v/>
      </c>
      <c r="L722" s="18">
        <f>IF($Z722="","",IF(AND(DATE($AD722,3,1)&gt;=$AE722,DATE($AD722,3,1)&lt;=$AF722),ROUND($AG722,2),0))</f>
        <v/>
      </c>
      <c r="M722" s="18">
        <f>IF($Z722="","",IF(AND(DATE($AD722,4,1)&gt;=$AE722,DATE($AD722,4,1)&lt;=$AF722),ROUND($AG722,2),0))</f>
        <v/>
      </c>
      <c r="N722" s="18">
        <f>IF($Z722="","",IF(AND(DATE($AD722,5,1)&gt;=$AE722,DATE($AD722,5,1)&lt;=$AF722),ROUND($AG722,2),0))</f>
        <v/>
      </c>
      <c r="O722" s="18">
        <f>IF($Z722="","",IF(AND(DATE($AD722,6,1)&gt;=$AE722,DATE($AD722,6,1)&lt;=$AF722),ROUND($AG722,2),0))</f>
        <v/>
      </c>
      <c r="P722" s="18">
        <f>IF($Z722="","",IF(AND(DATE($AD722,7,1)&gt;=$AE722,DATE($AD722,7,1)&lt;=$AF722),ROUND($AG722,2),0))</f>
        <v/>
      </c>
      <c r="Q722" s="18">
        <f>IF($Z722="","",IF(AND(DATE($AD722,8,1)&gt;=$AE722,DATE($AD722,8,1)&lt;=$AF722),ROUND($AG722,2),0))</f>
        <v/>
      </c>
      <c r="R722" s="18">
        <f>IF($Z722="","",IF(AND(DATE($AD722,9,1)&gt;=$AE722,DATE($AD722,9,1)&lt;=$AF722),ROUND($AG722,2),0))</f>
        <v/>
      </c>
      <c r="S722" s="18">
        <f>IF($Z722="","",IF(AND(DATE($AD722,10,1)&gt;=$AE722,DATE($AD722,10,1)&lt;=$AF722),ROUND($AG722,2),0))</f>
        <v/>
      </c>
      <c r="T722" s="18">
        <f>IF($Z722="","",IF(AND(DATE($AD722,11,1)&gt;=$AE722,DATE($AD722,11,1)&lt;=$AF722),ROUND($AG722,2),0))</f>
        <v/>
      </c>
      <c r="U722" s="18">
        <f>IF($Z722="","",IF(AND(DATE($AD722,12,1)&gt;=$AE722,DATE($AD722,12,1)&lt;=$AF722),ROUND($AG722,2),0))</f>
        <v/>
      </c>
      <c r="V722" s="7">
        <f>IF($Z722="C","Generated from "&amp;INDEX(Contracts!$A$2:$A$151,$AB722),IF($Z722="A","Generated from "&amp;INDEX(Fixed_Assets!$A$2:$A$201,$AB722),IF($Z722="F","Generated from "&amp;INDEX(FTE_Allocation!$A$2:$A$201,$AB722),"")))</f>
        <v/>
      </c>
      <c r="X722" s="19">
        <f>IF($Z722="","",SUM(J722:U722))</f>
        <v/>
      </c>
      <c r="Y722" s="20">
        <f>ROW()-1</f>
        <v/>
      </c>
      <c r="Z722" s="20">
        <f>IF($Y722&lt;=Settings!$B$4*3,"C",IF($Y722&lt;=(Settings!$B$4+Settings!$B$5)*3,"A",IF($Y722&lt;=(Settings!$B$4+Settings!$B$5+Settings!$B$6)*3,"F","")))</f>
        <v/>
      </c>
      <c r="AA722" s="20">
        <f>IF($Z722="C",$Y722,IF($Z722="A",$Y722-Settings!$B$4*3,IF($Z722="F",$Y722-(Settings!$B$4+Settings!$B$5)*3,"")))</f>
        <v/>
      </c>
      <c r="AB722" s="20">
        <f>IF($Z722="","",INT(($AA722-1)/3)+1)</f>
        <v/>
      </c>
      <c r="AC722" s="20">
        <f>IF($Z722="","",MOD($AA722-1,3)+1)</f>
        <v/>
      </c>
      <c r="AD722" s="20">
        <f>IF($Z722="","",Settings!$B$2+$AC722-1)</f>
        <v/>
      </c>
      <c r="AE722" s="21">
        <f>IF($Z722="C",DATE(YEAR(INDEX(Contracts!$J$2:$J$151,$AB722)),MONTH(INDEX(Contracts!$J$2:$J$151,$AB722)),1),IF($Z722="A",DATE(YEAR(INDEX(Fixed_Assets!$G$2:$G$201,$AB722)),MONTH(INDEX(Fixed_Assets!$G$2:$G$201,$AB722)),1),IF($Z722="F",DATE(YEAR(MAX(N(INDEX(Workforce!$I$2:$I$151,MATCH(INDEX(FTE_Allocation!$A$2:$A$201,$AB722),Workforce!$A$2:$A$151,0))),N(INDEX(FTE_Allocation!$I$2:$I$201,$AB722)))),MONTH(MAX(N(INDEX(Workforce!$I$2:$I$151,MATCH(INDEX(FTE_Allocation!$A$2:$A$201,$AB722),Workforce!$A$2:$A$151,0))),N(INDEX(FTE_Allocation!$I$2:$I$201,$AB722)))),1),"")))</f>
        <v/>
      </c>
      <c r="AF722" s="21">
        <f>IF($Z722="C",IF(INDEX(Contracts!$I$2:$I$151,$AB722)="PREPAID",EDATE(DATE(YEAR(INDEX(Contracts!$J$2:$J$151,$AB722)),MONTH(INDEX(Contracts!$J$2:$J$151,$AB722)),1),IF(INDEX(Contracts!$N$2:$N$151,$AB722)="",12,INDEX(Contracts!$N$2:$N$151,$AB722))-1),IF(INDEX(Contracts!$I$2:$I$151,$AB722)="MONTHLY",IF(INDEX(Contracts!$K$2:$K$151,$AB722)="",2958101,INDEX(Contracts!$K$2:$K$151,$AB722)),0)),IF($Z722="A",EDATE(DATE(YEAR(INDEX(Fixed_Assets!$G$2:$G$201,$AB722)),MONTH(INDEX(Fixed_Assets!$G$2:$G$201,$AB722)),1),INDEX(Fixed_Assets!$J$2:$J$201,$AB722)-1),IF($Z722="F",MIN(IF(INDEX(Workforce!$J$2:$J$151,MATCH(INDEX(FTE_Allocation!$A$2:$A$201,$AB722),Workforce!$A$2:$A$151,0))="",2958101,INDEX(Workforce!$J$2:$J$151,MATCH(INDEX(FTE_Allocation!$A$2:$A$201,$AB722),Workforce!$A$2:$A$151,0))),IF(INDEX(FTE_Allocation!$J$2:$J$201,$AB722)="",2958101,INDEX(FTE_Allocation!$J$2:$J$201,$AB722))),"")))</f>
        <v/>
      </c>
      <c r="AG722" s="19">
        <f>IF($Z722="C",IF(INDEX(Contracts!$I$2:$I$151,$AB722)="PREPAID",INDEX(Contracts!$M$2:$M$151,$AB722)/IF(INDEX(Contracts!$N$2:$N$151,$AB722)="",12,INDEX(Contracts!$N$2:$N$151,$AB722)),IF(INDEX(Contracts!$I$2:$I$151,$AB722)="MONTHLY",INDEX(Contracts!$M$2:$M$151,$AB722),0))*(1-N(INDEX(Contracts!$O$2:$O$151,$AB722))),IF($Z722="A",INDEX(Fixed_Assets!$H$2:$H$201,$AB722)/INDEX(Fixed_Assets!$J$2:$J$201,$AB722),IF($Z722="F",INDEX(Workforce!$F$2:$F$151,MATCH(INDEX(FTE_Allocation!$A$2:$A$201,$AB722),Workforce!$A$2:$A$151,0))*N(INDEX(FTE_Allocation!$F$2:$H$201,$AB722,$AC722)),"")))</f>
        <v/>
      </c>
    </row>
    <row r="723">
      <c r="A723" s="7">
        <f>IF($Z723="","",$AD723)</f>
        <v/>
      </c>
      <c r="B723" s="7">
        <f>IF($Z723="C",INDEX(Contracts!$D$2:$D$151,$AB723)&amp;"",IF($Z723="A",INDEX(Fixed_Assets!$C$2:$C$201,$AB723)&amp;"",IF($Z723="F",INDEX(Workforce!$B$2:$B$151,MATCH(INDEX(FTE_Allocation!$A$2:$A$201,$AB723),Workforce!$A$2:$A$151,0))&amp;"","")))</f>
        <v/>
      </c>
      <c r="C723" s="7">
        <f>IF($Z723="C",INDEX(Contracts!$E$2:$E$151,$AB723)&amp;"",IF($Z723="A",INDEX(Fixed_Assets!$D$2:$D$201,$AB723)&amp;"",IF($Z723="F",INDEX(FTE_Allocation!$C$2:$C$201,$AB723)&amp;"","")))</f>
        <v/>
      </c>
      <c r="D723" s="7">
        <f>IF($Z723="C",INDEX(Contracts!$B$2:$B$151,$AB723)&amp;"",IF($Z723="A",INDEX(Fixed_Assets!$B$2:$B$201,$AB723)&amp;"",IF($Z723="F",INDEX(FTE_Allocation!$B$2:$B$201,$AB723)&amp;"","")))</f>
        <v/>
      </c>
      <c r="E723" s="7">
        <f>IF($Z723="C",INDEX(Contracts!$P$2:$P$151,$AB723)&amp;"",IF($Z723="A",INDEX(Fixed_Assets!$K$2:$K$201,$AB723)&amp;"",IF($Z723="F",IF(INDEX(FTE_Allocation!$D$2:$D$201,$AB723)="PROJECT",IFERROR(INDEX(Projects!$D:$D,MATCH(INDEX(FTE_Allocation!$E$2:$E$201,$AB723),Projects!$A:$A,0))&amp;"","#PROJECT?"),INDEX(FTE_Allocation!$E$2:$E$201,$AB723)&amp;""),"")))</f>
        <v/>
      </c>
      <c r="F723" s="7">
        <f>IF($Z723="C",INDEX(Contracts!$Q$2:$Q$151,$AB723)&amp;"",IF($Z723="A",INDEX(Fixed_Assets!$L$2:$L$201,$AB723)&amp;"",IF($Z723="F",INDEX(Workforce!$K$2:$K$151,MATCH(INDEX(FTE_Allocation!$A$2:$A$201,$AB723),Workforce!$A$2:$A$151,0))&amp;"","")))</f>
        <v/>
      </c>
      <c r="G723" s="7">
        <f>IF($Z723="C",INDEX(Contracts!$F$2:$F$151,$AB723)&amp;" / "&amp;INDEX(Contracts!$G$2:$G$151,$AB723),IF($Z723="A",INDEX(Fixed_Assets!$E$2:$E$201,$AB723)&amp;"",IF($Z723="F","Personnel "&amp;INDEX(FTE_Allocation!$A$2:$A$201,$AB723)&amp;IF(INDEX(FTE_Allocation!$D$2:$D$201,$AB723)="PROJECT"," ("&amp;INDEX(FTE_Allocation!$E$2:$E$201,$AB723)&amp;")",""),"")))</f>
        <v/>
      </c>
      <c r="H723" s="7">
        <f>IF($Z723="C","CONTRACT",IF($Z723="A","ASSET",IF($Z723="F","WORKFORCE","")))</f>
        <v/>
      </c>
      <c r="I723" s="7">
        <f>IF($Z723="C",INDEX(Contracts!$L$2:$L$151,$AB723)&amp;"",IF($Z723="A",INDEX(Fixed_Assets!$I$2:$I$201,$AB723)&amp;"",IF($Z723="F",INDEX(Workforce!$G$2:$G$151,MATCH(INDEX(FTE_Allocation!$A$2:$A$201,$AB723),Workforce!$A$2:$A$151,0))&amp;"","")))</f>
        <v/>
      </c>
      <c r="J723" s="18">
        <f>IF($Z723="","",IF(AND(DATE($AD723,1,1)&gt;=$AE723,DATE($AD723,1,1)&lt;=$AF723),ROUND($AG723,2),0))</f>
        <v/>
      </c>
      <c r="K723" s="18">
        <f>IF($Z723="","",IF(AND(DATE($AD723,2,1)&gt;=$AE723,DATE($AD723,2,1)&lt;=$AF723),ROUND($AG723,2),0))</f>
        <v/>
      </c>
      <c r="L723" s="18">
        <f>IF($Z723="","",IF(AND(DATE($AD723,3,1)&gt;=$AE723,DATE($AD723,3,1)&lt;=$AF723),ROUND($AG723,2),0))</f>
        <v/>
      </c>
      <c r="M723" s="18">
        <f>IF($Z723="","",IF(AND(DATE($AD723,4,1)&gt;=$AE723,DATE($AD723,4,1)&lt;=$AF723),ROUND($AG723,2),0))</f>
        <v/>
      </c>
      <c r="N723" s="18">
        <f>IF($Z723="","",IF(AND(DATE($AD723,5,1)&gt;=$AE723,DATE($AD723,5,1)&lt;=$AF723),ROUND($AG723,2),0))</f>
        <v/>
      </c>
      <c r="O723" s="18">
        <f>IF($Z723="","",IF(AND(DATE($AD723,6,1)&gt;=$AE723,DATE($AD723,6,1)&lt;=$AF723),ROUND($AG723,2),0))</f>
        <v/>
      </c>
      <c r="P723" s="18">
        <f>IF($Z723="","",IF(AND(DATE($AD723,7,1)&gt;=$AE723,DATE($AD723,7,1)&lt;=$AF723),ROUND($AG723,2),0))</f>
        <v/>
      </c>
      <c r="Q723" s="18">
        <f>IF($Z723="","",IF(AND(DATE($AD723,8,1)&gt;=$AE723,DATE($AD723,8,1)&lt;=$AF723),ROUND($AG723,2),0))</f>
        <v/>
      </c>
      <c r="R723" s="18">
        <f>IF($Z723="","",IF(AND(DATE($AD723,9,1)&gt;=$AE723,DATE($AD723,9,1)&lt;=$AF723),ROUND($AG723,2),0))</f>
        <v/>
      </c>
      <c r="S723" s="18">
        <f>IF($Z723="","",IF(AND(DATE($AD723,10,1)&gt;=$AE723,DATE($AD723,10,1)&lt;=$AF723),ROUND($AG723,2),0))</f>
        <v/>
      </c>
      <c r="T723" s="18">
        <f>IF($Z723="","",IF(AND(DATE($AD723,11,1)&gt;=$AE723,DATE($AD723,11,1)&lt;=$AF723),ROUND($AG723,2),0))</f>
        <v/>
      </c>
      <c r="U723" s="18">
        <f>IF($Z723="","",IF(AND(DATE($AD723,12,1)&gt;=$AE723,DATE($AD723,12,1)&lt;=$AF723),ROUND($AG723,2),0))</f>
        <v/>
      </c>
      <c r="V723" s="7">
        <f>IF($Z723="C","Generated from "&amp;INDEX(Contracts!$A$2:$A$151,$AB723),IF($Z723="A","Generated from "&amp;INDEX(Fixed_Assets!$A$2:$A$201,$AB723),IF($Z723="F","Generated from "&amp;INDEX(FTE_Allocation!$A$2:$A$201,$AB723),"")))</f>
        <v/>
      </c>
      <c r="X723" s="19">
        <f>IF($Z723="","",SUM(J723:U723))</f>
        <v/>
      </c>
      <c r="Y723" s="20">
        <f>ROW()-1</f>
        <v/>
      </c>
      <c r="Z723" s="20">
        <f>IF($Y723&lt;=Settings!$B$4*3,"C",IF($Y723&lt;=(Settings!$B$4+Settings!$B$5)*3,"A",IF($Y723&lt;=(Settings!$B$4+Settings!$B$5+Settings!$B$6)*3,"F","")))</f>
        <v/>
      </c>
      <c r="AA723" s="20">
        <f>IF($Z723="C",$Y723,IF($Z723="A",$Y723-Settings!$B$4*3,IF($Z723="F",$Y723-(Settings!$B$4+Settings!$B$5)*3,"")))</f>
        <v/>
      </c>
      <c r="AB723" s="20">
        <f>IF($Z723="","",INT(($AA723-1)/3)+1)</f>
        <v/>
      </c>
      <c r="AC723" s="20">
        <f>IF($Z723="","",MOD($AA723-1,3)+1)</f>
        <v/>
      </c>
      <c r="AD723" s="20">
        <f>IF($Z723="","",Settings!$B$2+$AC723-1)</f>
        <v/>
      </c>
      <c r="AE723" s="21">
        <f>IF($Z723="C",DATE(YEAR(INDEX(Contracts!$J$2:$J$151,$AB723)),MONTH(INDEX(Contracts!$J$2:$J$151,$AB723)),1),IF($Z723="A",DATE(YEAR(INDEX(Fixed_Assets!$G$2:$G$201,$AB723)),MONTH(INDEX(Fixed_Assets!$G$2:$G$201,$AB723)),1),IF($Z723="F",DATE(YEAR(MAX(N(INDEX(Workforce!$I$2:$I$151,MATCH(INDEX(FTE_Allocation!$A$2:$A$201,$AB723),Workforce!$A$2:$A$151,0))),N(INDEX(FTE_Allocation!$I$2:$I$201,$AB723)))),MONTH(MAX(N(INDEX(Workforce!$I$2:$I$151,MATCH(INDEX(FTE_Allocation!$A$2:$A$201,$AB723),Workforce!$A$2:$A$151,0))),N(INDEX(FTE_Allocation!$I$2:$I$201,$AB723)))),1),"")))</f>
        <v/>
      </c>
      <c r="AF723" s="21">
        <f>IF($Z723="C",IF(INDEX(Contracts!$I$2:$I$151,$AB723)="PREPAID",EDATE(DATE(YEAR(INDEX(Contracts!$J$2:$J$151,$AB723)),MONTH(INDEX(Contracts!$J$2:$J$151,$AB723)),1),IF(INDEX(Contracts!$N$2:$N$151,$AB723)="",12,INDEX(Contracts!$N$2:$N$151,$AB723))-1),IF(INDEX(Contracts!$I$2:$I$151,$AB723)="MONTHLY",IF(INDEX(Contracts!$K$2:$K$151,$AB723)="",2958101,INDEX(Contracts!$K$2:$K$151,$AB723)),0)),IF($Z723="A",EDATE(DATE(YEAR(INDEX(Fixed_Assets!$G$2:$G$201,$AB723)),MONTH(INDEX(Fixed_Assets!$G$2:$G$201,$AB723)),1),INDEX(Fixed_Assets!$J$2:$J$201,$AB723)-1),IF($Z723="F",MIN(IF(INDEX(Workforce!$J$2:$J$151,MATCH(INDEX(FTE_Allocation!$A$2:$A$201,$AB723),Workforce!$A$2:$A$151,0))="",2958101,INDEX(Workforce!$J$2:$J$151,MATCH(INDEX(FTE_Allocation!$A$2:$A$201,$AB723),Workforce!$A$2:$A$151,0))),IF(INDEX(FTE_Allocation!$J$2:$J$201,$AB723)="",2958101,INDEX(FTE_Allocation!$J$2:$J$201,$AB723))),"")))</f>
        <v/>
      </c>
      <c r="AG723" s="19">
        <f>IF($Z723="C",IF(INDEX(Contracts!$I$2:$I$151,$AB723)="PREPAID",INDEX(Contracts!$M$2:$M$151,$AB723)/IF(INDEX(Contracts!$N$2:$N$151,$AB723)="",12,INDEX(Contracts!$N$2:$N$151,$AB723)),IF(INDEX(Contracts!$I$2:$I$151,$AB723)="MONTHLY",INDEX(Contracts!$M$2:$M$151,$AB723),0))*(1-N(INDEX(Contracts!$O$2:$O$151,$AB723))),IF($Z723="A",INDEX(Fixed_Assets!$H$2:$H$201,$AB723)/INDEX(Fixed_Assets!$J$2:$J$201,$AB723),IF($Z723="F",INDEX(Workforce!$F$2:$F$151,MATCH(INDEX(FTE_Allocation!$A$2:$A$201,$AB723),Workforce!$A$2:$A$151,0))*N(INDEX(FTE_Allocation!$F$2:$H$201,$AB723,$AC723)),"")))</f>
        <v/>
      </c>
    </row>
    <row r="724">
      <c r="A724" s="7">
        <f>IF($Z724="","",$AD724)</f>
        <v/>
      </c>
      <c r="B724" s="7">
        <f>IF($Z724="C",INDEX(Contracts!$D$2:$D$151,$AB724)&amp;"",IF($Z724="A",INDEX(Fixed_Assets!$C$2:$C$201,$AB724)&amp;"",IF($Z724="F",INDEX(Workforce!$B$2:$B$151,MATCH(INDEX(FTE_Allocation!$A$2:$A$201,$AB724),Workforce!$A$2:$A$151,0))&amp;"","")))</f>
        <v/>
      </c>
      <c r="C724" s="7">
        <f>IF($Z724="C",INDEX(Contracts!$E$2:$E$151,$AB724)&amp;"",IF($Z724="A",INDEX(Fixed_Assets!$D$2:$D$201,$AB724)&amp;"",IF($Z724="F",INDEX(FTE_Allocation!$C$2:$C$201,$AB724)&amp;"","")))</f>
        <v/>
      </c>
      <c r="D724" s="7">
        <f>IF($Z724="C",INDEX(Contracts!$B$2:$B$151,$AB724)&amp;"",IF($Z724="A",INDEX(Fixed_Assets!$B$2:$B$201,$AB724)&amp;"",IF($Z724="F",INDEX(FTE_Allocation!$B$2:$B$201,$AB724)&amp;"","")))</f>
        <v/>
      </c>
      <c r="E724" s="7">
        <f>IF($Z724="C",INDEX(Contracts!$P$2:$P$151,$AB724)&amp;"",IF($Z724="A",INDEX(Fixed_Assets!$K$2:$K$201,$AB724)&amp;"",IF($Z724="F",IF(INDEX(FTE_Allocation!$D$2:$D$201,$AB724)="PROJECT",IFERROR(INDEX(Projects!$D:$D,MATCH(INDEX(FTE_Allocation!$E$2:$E$201,$AB724),Projects!$A:$A,0))&amp;"","#PROJECT?"),INDEX(FTE_Allocation!$E$2:$E$201,$AB724)&amp;""),"")))</f>
        <v/>
      </c>
      <c r="F724" s="7">
        <f>IF($Z724="C",INDEX(Contracts!$Q$2:$Q$151,$AB724)&amp;"",IF($Z724="A",INDEX(Fixed_Assets!$L$2:$L$201,$AB724)&amp;"",IF($Z724="F",INDEX(Workforce!$K$2:$K$151,MATCH(INDEX(FTE_Allocation!$A$2:$A$201,$AB724),Workforce!$A$2:$A$151,0))&amp;"","")))</f>
        <v/>
      </c>
      <c r="G724" s="7">
        <f>IF($Z724="C",INDEX(Contracts!$F$2:$F$151,$AB724)&amp;" / "&amp;INDEX(Contracts!$G$2:$G$151,$AB724),IF($Z724="A",INDEX(Fixed_Assets!$E$2:$E$201,$AB724)&amp;"",IF($Z724="F","Personnel "&amp;INDEX(FTE_Allocation!$A$2:$A$201,$AB724)&amp;IF(INDEX(FTE_Allocation!$D$2:$D$201,$AB724)="PROJECT"," ("&amp;INDEX(FTE_Allocation!$E$2:$E$201,$AB724)&amp;")",""),"")))</f>
        <v/>
      </c>
      <c r="H724" s="7">
        <f>IF($Z724="C","CONTRACT",IF($Z724="A","ASSET",IF($Z724="F","WORKFORCE","")))</f>
        <v/>
      </c>
      <c r="I724" s="7">
        <f>IF($Z724="C",INDEX(Contracts!$L$2:$L$151,$AB724)&amp;"",IF($Z724="A",INDEX(Fixed_Assets!$I$2:$I$201,$AB724)&amp;"",IF($Z724="F",INDEX(Workforce!$G$2:$G$151,MATCH(INDEX(FTE_Allocation!$A$2:$A$201,$AB724),Workforce!$A$2:$A$151,0))&amp;"","")))</f>
        <v/>
      </c>
      <c r="J724" s="18">
        <f>IF($Z724="","",IF(AND(DATE($AD724,1,1)&gt;=$AE724,DATE($AD724,1,1)&lt;=$AF724),ROUND($AG724,2),0))</f>
        <v/>
      </c>
      <c r="K724" s="18">
        <f>IF($Z724="","",IF(AND(DATE($AD724,2,1)&gt;=$AE724,DATE($AD724,2,1)&lt;=$AF724),ROUND($AG724,2),0))</f>
        <v/>
      </c>
      <c r="L724" s="18">
        <f>IF($Z724="","",IF(AND(DATE($AD724,3,1)&gt;=$AE724,DATE($AD724,3,1)&lt;=$AF724),ROUND($AG724,2),0))</f>
        <v/>
      </c>
      <c r="M724" s="18">
        <f>IF($Z724="","",IF(AND(DATE($AD724,4,1)&gt;=$AE724,DATE($AD724,4,1)&lt;=$AF724),ROUND($AG724,2),0))</f>
        <v/>
      </c>
      <c r="N724" s="18">
        <f>IF($Z724="","",IF(AND(DATE($AD724,5,1)&gt;=$AE724,DATE($AD724,5,1)&lt;=$AF724),ROUND($AG724,2),0))</f>
        <v/>
      </c>
      <c r="O724" s="18">
        <f>IF($Z724="","",IF(AND(DATE($AD724,6,1)&gt;=$AE724,DATE($AD724,6,1)&lt;=$AF724),ROUND($AG724,2),0))</f>
        <v/>
      </c>
      <c r="P724" s="18">
        <f>IF($Z724="","",IF(AND(DATE($AD724,7,1)&gt;=$AE724,DATE($AD724,7,1)&lt;=$AF724),ROUND($AG724,2),0))</f>
        <v/>
      </c>
      <c r="Q724" s="18">
        <f>IF($Z724="","",IF(AND(DATE($AD724,8,1)&gt;=$AE724,DATE($AD724,8,1)&lt;=$AF724),ROUND($AG724,2),0))</f>
        <v/>
      </c>
      <c r="R724" s="18">
        <f>IF($Z724="","",IF(AND(DATE($AD724,9,1)&gt;=$AE724,DATE($AD724,9,1)&lt;=$AF724),ROUND($AG724,2),0))</f>
        <v/>
      </c>
      <c r="S724" s="18">
        <f>IF($Z724="","",IF(AND(DATE($AD724,10,1)&gt;=$AE724,DATE($AD724,10,1)&lt;=$AF724),ROUND($AG724,2),0))</f>
        <v/>
      </c>
      <c r="T724" s="18">
        <f>IF($Z724="","",IF(AND(DATE($AD724,11,1)&gt;=$AE724,DATE($AD724,11,1)&lt;=$AF724),ROUND($AG724,2),0))</f>
        <v/>
      </c>
      <c r="U724" s="18">
        <f>IF($Z724="","",IF(AND(DATE($AD724,12,1)&gt;=$AE724,DATE($AD724,12,1)&lt;=$AF724),ROUND($AG724,2),0))</f>
        <v/>
      </c>
      <c r="V724" s="7">
        <f>IF($Z724="C","Generated from "&amp;INDEX(Contracts!$A$2:$A$151,$AB724),IF($Z724="A","Generated from "&amp;INDEX(Fixed_Assets!$A$2:$A$201,$AB724),IF($Z724="F","Generated from "&amp;INDEX(FTE_Allocation!$A$2:$A$201,$AB724),"")))</f>
        <v/>
      </c>
      <c r="X724" s="19">
        <f>IF($Z724="","",SUM(J724:U724))</f>
        <v/>
      </c>
      <c r="Y724" s="20">
        <f>ROW()-1</f>
        <v/>
      </c>
      <c r="Z724" s="20">
        <f>IF($Y724&lt;=Settings!$B$4*3,"C",IF($Y724&lt;=(Settings!$B$4+Settings!$B$5)*3,"A",IF($Y724&lt;=(Settings!$B$4+Settings!$B$5+Settings!$B$6)*3,"F","")))</f>
        <v/>
      </c>
      <c r="AA724" s="20">
        <f>IF($Z724="C",$Y724,IF($Z724="A",$Y724-Settings!$B$4*3,IF($Z724="F",$Y724-(Settings!$B$4+Settings!$B$5)*3,"")))</f>
        <v/>
      </c>
      <c r="AB724" s="20">
        <f>IF($Z724="","",INT(($AA724-1)/3)+1)</f>
        <v/>
      </c>
      <c r="AC724" s="20">
        <f>IF($Z724="","",MOD($AA724-1,3)+1)</f>
        <v/>
      </c>
      <c r="AD724" s="20">
        <f>IF($Z724="","",Settings!$B$2+$AC724-1)</f>
        <v/>
      </c>
      <c r="AE724" s="21">
        <f>IF($Z724="C",DATE(YEAR(INDEX(Contracts!$J$2:$J$151,$AB724)),MONTH(INDEX(Contracts!$J$2:$J$151,$AB724)),1),IF($Z724="A",DATE(YEAR(INDEX(Fixed_Assets!$G$2:$G$201,$AB724)),MONTH(INDEX(Fixed_Assets!$G$2:$G$201,$AB724)),1),IF($Z724="F",DATE(YEAR(MAX(N(INDEX(Workforce!$I$2:$I$151,MATCH(INDEX(FTE_Allocation!$A$2:$A$201,$AB724),Workforce!$A$2:$A$151,0))),N(INDEX(FTE_Allocation!$I$2:$I$201,$AB724)))),MONTH(MAX(N(INDEX(Workforce!$I$2:$I$151,MATCH(INDEX(FTE_Allocation!$A$2:$A$201,$AB724),Workforce!$A$2:$A$151,0))),N(INDEX(FTE_Allocation!$I$2:$I$201,$AB724)))),1),"")))</f>
        <v/>
      </c>
      <c r="AF724" s="21">
        <f>IF($Z724="C",IF(INDEX(Contracts!$I$2:$I$151,$AB724)="PREPAID",EDATE(DATE(YEAR(INDEX(Contracts!$J$2:$J$151,$AB724)),MONTH(INDEX(Contracts!$J$2:$J$151,$AB724)),1),IF(INDEX(Contracts!$N$2:$N$151,$AB724)="",12,INDEX(Contracts!$N$2:$N$151,$AB724))-1),IF(INDEX(Contracts!$I$2:$I$151,$AB724)="MONTHLY",IF(INDEX(Contracts!$K$2:$K$151,$AB724)="",2958101,INDEX(Contracts!$K$2:$K$151,$AB724)),0)),IF($Z724="A",EDATE(DATE(YEAR(INDEX(Fixed_Assets!$G$2:$G$201,$AB724)),MONTH(INDEX(Fixed_Assets!$G$2:$G$201,$AB724)),1),INDEX(Fixed_Assets!$J$2:$J$201,$AB724)-1),IF($Z724="F",MIN(IF(INDEX(Workforce!$J$2:$J$151,MATCH(INDEX(FTE_Allocation!$A$2:$A$201,$AB724),Workforce!$A$2:$A$151,0))="",2958101,INDEX(Workforce!$J$2:$J$151,MATCH(INDEX(FTE_Allocation!$A$2:$A$201,$AB724),Workforce!$A$2:$A$151,0))),IF(INDEX(FTE_Allocation!$J$2:$J$201,$AB724)="",2958101,INDEX(FTE_Allocation!$J$2:$J$201,$AB724))),"")))</f>
        <v/>
      </c>
      <c r="AG724" s="19">
        <f>IF($Z724="C",IF(INDEX(Contracts!$I$2:$I$151,$AB724)="PREPAID",INDEX(Contracts!$M$2:$M$151,$AB724)/IF(INDEX(Contracts!$N$2:$N$151,$AB724)="",12,INDEX(Contracts!$N$2:$N$151,$AB724)),IF(INDEX(Contracts!$I$2:$I$151,$AB724)="MONTHLY",INDEX(Contracts!$M$2:$M$151,$AB724),0))*(1-N(INDEX(Contracts!$O$2:$O$151,$AB724))),IF($Z724="A",INDEX(Fixed_Assets!$H$2:$H$201,$AB724)/INDEX(Fixed_Assets!$J$2:$J$201,$AB724),IF($Z724="F",INDEX(Workforce!$F$2:$F$151,MATCH(INDEX(FTE_Allocation!$A$2:$A$201,$AB724),Workforce!$A$2:$A$151,0))*N(INDEX(FTE_Allocation!$F$2:$H$201,$AB724,$AC724)),"")))</f>
        <v/>
      </c>
    </row>
    <row r="725">
      <c r="A725" s="7">
        <f>IF($Z725="","",$AD725)</f>
        <v/>
      </c>
      <c r="B725" s="7">
        <f>IF($Z725="C",INDEX(Contracts!$D$2:$D$151,$AB725)&amp;"",IF($Z725="A",INDEX(Fixed_Assets!$C$2:$C$201,$AB725)&amp;"",IF($Z725="F",INDEX(Workforce!$B$2:$B$151,MATCH(INDEX(FTE_Allocation!$A$2:$A$201,$AB725),Workforce!$A$2:$A$151,0))&amp;"","")))</f>
        <v/>
      </c>
      <c r="C725" s="7">
        <f>IF($Z725="C",INDEX(Contracts!$E$2:$E$151,$AB725)&amp;"",IF($Z725="A",INDEX(Fixed_Assets!$D$2:$D$201,$AB725)&amp;"",IF($Z725="F",INDEX(FTE_Allocation!$C$2:$C$201,$AB725)&amp;"","")))</f>
        <v/>
      </c>
      <c r="D725" s="7">
        <f>IF($Z725="C",INDEX(Contracts!$B$2:$B$151,$AB725)&amp;"",IF($Z725="A",INDEX(Fixed_Assets!$B$2:$B$201,$AB725)&amp;"",IF($Z725="F",INDEX(FTE_Allocation!$B$2:$B$201,$AB725)&amp;"","")))</f>
        <v/>
      </c>
      <c r="E725" s="7">
        <f>IF($Z725="C",INDEX(Contracts!$P$2:$P$151,$AB725)&amp;"",IF($Z725="A",INDEX(Fixed_Assets!$K$2:$K$201,$AB725)&amp;"",IF($Z725="F",IF(INDEX(FTE_Allocation!$D$2:$D$201,$AB725)="PROJECT",IFERROR(INDEX(Projects!$D:$D,MATCH(INDEX(FTE_Allocation!$E$2:$E$201,$AB725),Projects!$A:$A,0))&amp;"","#PROJECT?"),INDEX(FTE_Allocation!$E$2:$E$201,$AB725)&amp;""),"")))</f>
        <v/>
      </c>
      <c r="F725" s="7">
        <f>IF($Z725="C",INDEX(Contracts!$Q$2:$Q$151,$AB725)&amp;"",IF($Z725="A",INDEX(Fixed_Assets!$L$2:$L$201,$AB725)&amp;"",IF($Z725="F",INDEX(Workforce!$K$2:$K$151,MATCH(INDEX(FTE_Allocation!$A$2:$A$201,$AB725),Workforce!$A$2:$A$151,0))&amp;"","")))</f>
        <v/>
      </c>
      <c r="G725" s="7">
        <f>IF($Z725="C",INDEX(Contracts!$F$2:$F$151,$AB725)&amp;" / "&amp;INDEX(Contracts!$G$2:$G$151,$AB725),IF($Z725="A",INDEX(Fixed_Assets!$E$2:$E$201,$AB725)&amp;"",IF($Z725="F","Personnel "&amp;INDEX(FTE_Allocation!$A$2:$A$201,$AB725)&amp;IF(INDEX(FTE_Allocation!$D$2:$D$201,$AB725)="PROJECT"," ("&amp;INDEX(FTE_Allocation!$E$2:$E$201,$AB725)&amp;")",""),"")))</f>
        <v/>
      </c>
      <c r="H725" s="7">
        <f>IF($Z725="C","CONTRACT",IF($Z725="A","ASSET",IF($Z725="F","WORKFORCE","")))</f>
        <v/>
      </c>
      <c r="I725" s="7">
        <f>IF($Z725="C",INDEX(Contracts!$L$2:$L$151,$AB725)&amp;"",IF($Z725="A",INDEX(Fixed_Assets!$I$2:$I$201,$AB725)&amp;"",IF($Z725="F",INDEX(Workforce!$G$2:$G$151,MATCH(INDEX(FTE_Allocation!$A$2:$A$201,$AB725),Workforce!$A$2:$A$151,0))&amp;"","")))</f>
        <v/>
      </c>
      <c r="J725" s="18">
        <f>IF($Z725="","",IF(AND(DATE($AD725,1,1)&gt;=$AE725,DATE($AD725,1,1)&lt;=$AF725),ROUND($AG725,2),0))</f>
        <v/>
      </c>
      <c r="K725" s="18">
        <f>IF($Z725="","",IF(AND(DATE($AD725,2,1)&gt;=$AE725,DATE($AD725,2,1)&lt;=$AF725),ROUND($AG725,2),0))</f>
        <v/>
      </c>
      <c r="L725" s="18">
        <f>IF($Z725="","",IF(AND(DATE($AD725,3,1)&gt;=$AE725,DATE($AD725,3,1)&lt;=$AF725),ROUND($AG725,2),0))</f>
        <v/>
      </c>
      <c r="M725" s="18">
        <f>IF($Z725="","",IF(AND(DATE($AD725,4,1)&gt;=$AE725,DATE($AD725,4,1)&lt;=$AF725),ROUND($AG725,2),0))</f>
        <v/>
      </c>
      <c r="N725" s="18">
        <f>IF($Z725="","",IF(AND(DATE($AD725,5,1)&gt;=$AE725,DATE($AD725,5,1)&lt;=$AF725),ROUND($AG725,2),0))</f>
        <v/>
      </c>
      <c r="O725" s="18">
        <f>IF($Z725="","",IF(AND(DATE($AD725,6,1)&gt;=$AE725,DATE($AD725,6,1)&lt;=$AF725),ROUND($AG725,2),0))</f>
        <v/>
      </c>
      <c r="P725" s="18">
        <f>IF($Z725="","",IF(AND(DATE($AD725,7,1)&gt;=$AE725,DATE($AD725,7,1)&lt;=$AF725),ROUND($AG725,2),0))</f>
        <v/>
      </c>
      <c r="Q725" s="18">
        <f>IF($Z725="","",IF(AND(DATE($AD725,8,1)&gt;=$AE725,DATE($AD725,8,1)&lt;=$AF725),ROUND($AG725,2),0))</f>
        <v/>
      </c>
      <c r="R725" s="18">
        <f>IF($Z725="","",IF(AND(DATE($AD725,9,1)&gt;=$AE725,DATE($AD725,9,1)&lt;=$AF725),ROUND($AG725,2),0))</f>
        <v/>
      </c>
      <c r="S725" s="18">
        <f>IF($Z725="","",IF(AND(DATE($AD725,10,1)&gt;=$AE725,DATE($AD725,10,1)&lt;=$AF725),ROUND($AG725,2),0))</f>
        <v/>
      </c>
      <c r="T725" s="18">
        <f>IF($Z725="","",IF(AND(DATE($AD725,11,1)&gt;=$AE725,DATE($AD725,11,1)&lt;=$AF725),ROUND($AG725,2),0))</f>
        <v/>
      </c>
      <c r="U725" s="18">
        <f>IF($Z725="","",IF(AND(DATE($AD725,12,1)&gt;=$AE725,DATE($AD725,12,1)&lt;=$AF725),ROUND($AG725,2),0))</f>
        <v/>
      </c>
      <c r="V725" s="7">
        <f>IF($Z725="C","Generated from "&amp;INDEX(Contracts!$A$2:$A$151,$AB725),IF($Z725="A","Generated from "&amp;INDEX(Fixed_Assets!$A$2:$A$201,$AB725),IF($Z725="F","Generated from "&amp;INDEX(FTE_Allocation!$A$2:$A$201,$AB725),"")))</f>
        <v/>
      </c>
      <c r="X725" s="19">
        <f>IF($Z725="","",SUM(J725:U725))</f>
        <v/>
      </c>
      <c r="Y725" s="20">
        <f>ROW()-1</f>
        <v/>
      </c>
      <c r="Z725" s="20">
        <f>IF($Y725&lt;=Settings!$B$4*3,"C",IF($Y725&lt;=(Settings!$B$4+Settings!$B$5)*3,"A",IF($Y725&lt;=(Settings!$B$4+Settings!$B$5+Settings!$B$6)*3,"F","")))</f>
        <v/>
      </c>
      <c r="AA725" s="20">
        <f>IF($Z725="C",$Y725,IF($Z725="A",$Y725-Settings!$B$4*3,IF($Z725="F",$Y725-(Settings!$B$4+Settings!$B$5)*3,"")))</f>
        <v/>
      </c>
      <c r="AB725" s="20">
        <f>IF($Z725="","",INT(($AA725-1)/3)+1)</f>
        <v/>
      </c>
      <c r="AC725" s="20">
        <f>IF($Z725="","",MOD($AA725-1,3)+1)</f>
        <v/>
      </c>
      <c r="AD725" s="20">
        <f>IF($Z725="","",Settings!$B$2+$AC725-1)</f>
        <v/>
      </c>
      <c r="AE725" s="21">
        <f>IF($Z725="C",DATE(YEAR(INDEX(Contracts!$J$2:$J$151,$AB725)),MONTH(INDEX(Contracts!$J$2:$J$151,$AB725)),1),IF($Z725="A",DATE(YEAR(INDEX(Fixed_Assets!$G$2:$G$201,$AB725)),MONTH(INDEX(Fixed_Assets!$G$2:$G$201,$AB725)),1),IF($Z725="F",DATE(YEAR(MAX(N(INDEX(Workforce!$I$2:$I$151,MATCH(INDEX(FTE_Allocation!$A$2:$A$201,$AB725),Workforce!$A$2:$A$151,0))),N(INDEX(FTE_Allocation!$I$2:$I$201,$AB725)))),MONTH(MAX(N(INDEX(Workforce!$I$2:$I$151,MATCH(INDEX(FTE_Allocation!$A$2:$A$201,$AB725),Workforce!$A$2:$A$151,0))),N(INDEX(FTE_Allocation!$I$2:$I$201,$AB725)))),1),"")))</f>
        <v/>
      </c>
      <c r="AF725" s="21">
        <f>IF($Z725="C",IF(INDEX(Contracts!$I$2:$I$151,$AB725)="PREPAID",EDATE(DATE(YEAR(INDEX(Contracts!$J$2:$J$151,$AB725)),MONTH(INDEX(Contracts!$J$2:$J$151,$AB725)),1),IF(INDEX(Contracts!$N$2:$N$151,$AB725)="",12,INDEX(Contracts!$N$2:$N$151,$AB725))-1),IF(INDEX(Contracts!$I$2:$I$151,$AB725)="MONTHLY",IF(INDEX(Contracts!$K$2:$K$151,$AB725)="",2958101,INDEX(Contracts!$K$2:$K$151,$AB725)),0)),IF($Z725="A",EDATE(DATE(YEAR(INDEX(Fixed_Assets!$G$2:$G$201,$AB725)),MONTH(INDEX(Fixed_Assets!$G$2:$G$201,$AB725)),1),INDEX(Fixed_Assets!$J$2:$J$201,$AB725)-1),IF($Z725="F",MIN(IF(INDEX(Workforce!$J$2:$J$151,MATCH(INDEX(FTE_Allocation!$A$2:$A$201,$AB725),Workforce!$A$2:$A$151,0))="",2958101,INDEX(Workforce!$J$2:$J$151,MATCH(INDEX(FTE_Allocation!$A$2:$A$201,$AB725),Workforce!$A$2:$A$151,0))),IF(INDEX(FTE_Allocation!$J$2:$J$201,$AB725)="",2958101,INDEX(FTE_Allocation!$J$2:$J$201,$AB725))),"")))</f>
        <v/>
      </c>
      <c r="AG725" s="19">
        <f>IF($Z725="C",IF(INDEX(Contracts!$I$2:$I$151,$AB725)="PREPAID",INDEX(Contracts!$M$2:$M$151,$AB725)/IF(INDEX(Contracts!$N$2:$N$151,$AB725)="",12,INDEX(Contracts!$N$2:$N$151,$AB725)),IF(INDEX(Contracts!$I$2:$I$151,$AB725)="MONTHLY",INDEX(Contracts!$M$2:$M$151,$AB725),0))*(1-N(INDEX(Contracts!$O$2:$O$151,$AB725))),IF($Z725="A",INDEX(Fixed_Assets!$H$2:$H$201,$AB725)/INDEX(Fixed_Assets!$J$2:$J$201,$AB725),IF($Z725="F",INDEX(Workforce!$F$2:$F$151,MATCH(INDEX(FTE_Allocation!$A$2:$A$201,$AB725),Workforce!$A$2:$A$151,0))*N(INDEX(FTE_Allocation!$F$2:$H$201,$AB725,$AC725)),"")))</f>
        <v/>
      </c>
    </row>
    <row r="726">
      <c r="A726" s="7">
        <f>IF($Z726="","",$AD726)</f>
        <v/>
      </c>
      <c r="B726" s="7">
        <f>IF($Z726="C",INDEX(Contracts!$D$2:$D$151,$AB726)&amp;"",IF($Z726="A",INDEX(Fixed_Assets!$C$2:$C$201,$AB726)&amp;"",IF($Z726="F",INDEX(Workforce!$B$2:$B$151,MATCH(INDEX(FTE_Allocation!$A$2:$A$201,$AB726),Workforce!$A$2:$A$151,0))&amp;"","")))</f>
        <v/>
      </c>
      <c r="C726" s="7">
        <f>IF($Z726="C",INDEX(Contracts!$E$2:$E$151,$AB726)&amp;"",IF($Z726="A",INDEX(Fixed_Assets!$D$2:$D$201,$AB726)&amp;"",IF($Z726="F",INDEX(FTE_Allocation!$C$2:$C$201,$AB726)&amp;"","")))</f>
        <v/>
      </c>
      <c r="D726" s="7">
        <f>IF($Z726="C",INDEX(Contracts!$B$2:$B$151,$AB726)&amp;"",IF($Z726="A",INDEX(Fixed_Assets!$B$2:$B$201,$AB726)&amp;"",IF($Z726="F",INDEX(FTE_Allocation!$B$2:$B$201,$AB726)&amp;"","")))</f>
        <v/>
      </c>
      <c r="E726" s="7">
        <f>IF($Z726="C",INDEX(Contracts!$P$2:$P$151,$AB726)&amp;"",IF($Z726="A",INDEX(Fixed_Assets!$K$2:$K$201,$AB726)&amp;"",IF($Z726="F",IF(INDEX(FTE_Allocation!$D$2:$D$201,$AB726)="PROJECT",IFERROR(INDEX(Projects!$D:$D,MATCH(INDEX(FTE_Allocation!$E$2:$E$201,$AB726),Projects!$A:$A,0))&amp;"","#PROJECT?"),INDEX(FTE_Allocation!$E$2:$E$201,$AB726)&amp;""),"")))</f>
        <v/>
      </c>
      <c r="F726" s="7">
        <f>IF($Z726="C",INDEX(Contracts!$Q$2:$Q$151,$AB726)&amp;"",IF($Z726="A",INDEX(Fixed_Assets!$L$2:$L$201,$AB726)&amp;"",IF($Z726="F",INDEX(Workforce!$K$2:$K$151,MATCH(INDEX(FTE_Allocation!$A$2:$A$201,$AB726),Workforce!$A$2:$A$151,0))&amp;"","")))</f>
        <v/>
      </c>
      <c r="G726" s="7">
        <f>IF($Z726="C",INDEX(Contracts!$F$2:$F$151,$AB726)&amp;" / "&amp;INDEX(Contracts!$G$2:$G$151,$AB726),IF($Z726="A",INDEX(Fixed_Assets!$E$2:$E$201,$AB726)&amp;"",IF($Z726="F","Personnel "&amp;INDEX(FTE_Allocation!$A$2:$A$201,$AB726)&amp;IF(INDEX(FTE_Allocation!$D$2:$D$201,$AB726)="PROJECT"," ("&amp;INDEX(FTE_Allocation!$E$2:$E$201,$AB726)&amp;")",""),"")))</f>
        <v/>
      </c>
      <c r="H726" s="7">
        <f>IF($Z726="C","CONTRACT",IF($Z726="A","ASSET",IF($Z726="F","WORKFORCE","")))</f>
        <v/>
      </c>
      <c r="I726" s="7">
        <f>IF($Z726="C",INDEX(Contracts!$L$2:$L$151,$AB726)&amp;"",IF($Z726="A",INDEX(Fixed_Assets!$I$2:$I$201,$AB726)&amp;"",IF($Z726="F",INDEX(Workforce!$G$2:$G$151,MATCH(INDEX(FTE_Allocation!$A$2:$A$201,$AB726),Workforce!$A$2:$A$151,0))&amp;"","")))</f>
        <v/>
      </c>
      <c r="J726" s="18">
        <f>IF($Z726="","",IF(AND(DATE($AD726,1,1)&gt;=$AE726,DATE($AD726,1,1)&lt;=$AF726),ROUND($AG726,2),0))</f>
        <v/>
      </c>
      <c r="K726" s="18">
        <f>IF($Z726="","",IF(AND(DATE($AD726,2,1)&gt;=$AE726,DATE($AD726,2,1)&lt;=$AF726),ROUND($AG726,2),0))</f>
        <v/>
      </c>
      <c r="L726" s="18">
        <f>IF($Z726="","",IF(AND(DATE($AD726,3,1)&gt;=$AE726,DATE($AD726,3,1)&lt;=$AF726),ROUND($AG726,2),0))</f>
        <v/>
      </c>
      <c r="M726" s="18">
        <f>IF($Z726="","",IF(AND(DATE($AD726,4,1)&gt;=$AE726,DATE($AD726,4,1)&lt;=$AF726),ROUND($AG726,2),0))</f>
        <v/>
      </c>
      <c r="N726" s="18">
        <f>IF($Z726="","",IF(AND(DATE($AD726,5,1)&gt;=$AE726,DATE($AD726,5,1)&lt;=$AF726),ROUND($AG726,2),0))</f>
        <v/>
      </c>
      <c r="O726" s="18">
        <f>IF($Z726="","",IF(AND(DATE($AD726,6,1)&gt;=$AE726,DATE($AD726,6,1)&lt;=$AF726),ROUND($AG726,2),0))</f>
        <v/>
      </c>
      <c r="P726" s="18">
        <f>IF($Z726="","",IF(AND(DATE($AD726,7,1)&gt;=$AE726,DATE($AD726,7,1)&lt;=$AF726),ROUND($AG726,2),0))</f>
        <v/>
      </c>
      <c r="Q726" s="18">
        <f>IF($Z726="","",IF(AND(DATE($AD726,8,1)&gt;=$AE726,DATE($AD726,8,1)&lt;=$AF726),ROUND($AG726,2),0))</f>
        <v/>
      </c>
      <c r="R726" s="18">
        <f>IF($Z726="","",IF(AND(DATE($AD726,9,1)&gt;=$AE726,DATE($AD726,9,1)&lt;=$AF726),ROUND($AG726,2),0))</f>
        <v/>
      </c>
      <c r="S726" s="18">
        <f>IF($Z726="","",IF(AND(DATE($AD726,10,1)&gt;=$AE726,DATE($AD726,10,1)&lt;=$AF726),ROUND($AG726,2),0))</f>
        <v/>
      </c>
      <c r="T726" s="18">
        <f>IF($Z726="","",IF(AND(DATE($AD726,11,1)&gt;=$AE726,DATE($AD726,11,1)&lt;=$AF726),ROUND($AG726,2),0))</f>
        <v/>
      </c>
      <c r="U726" s="18">
        <f>IF($Z726="","",IF(AND(DATE($AD726,12,1)&gt;=$AE726,DATE($AD726,12,1)&lt;=$AF726),ROUND($AG726,2),0))</f>
        <v/>
      </c>
      <c r="V726" s="7">
        <f>IF($Z726="C","Generated from "&amp;INDEX(Contracts!$A$2:$A$151,$AB726),IF($Z726="A","Generated from "&amp;INDEX(Fixed_Assets!$A$2:$A$201,$AB726),IF($Z726="F","Generated from "&amp;INDEX(FTE_Allocation!$A$2:$A$201,$AB726),"")))</f>
        <v/>
      </c>
      <c r="X726" s="19">
        <f>IF($Z726="","",SUM(J726:U726))</f>
        <v/>
      </c>
      <c r="Y726" s="20">
        <f>ROW()-1</f>
        <v/>
      </c>
      <c r="Z726" s="20">
        <f>IF($Y726&lt;=Settings!$B$4*3,"C",IF($Y726&lt;=(Settings!$B$4+Settings!$B$5)*3,"A",IF($Y726&lt;=(Settings!$B$4+Settings!$B$5+Settings!$B$6)*3,"F","")))</f>
        <v/>
      </c>
      <c r="AA726" s="20">
        <f>IF($Z726="C",$Y726,IF($Z726="A",$Y726-Settings!$B$4*3,IF($Z726="F",$Y726-(Settings!$B$4+Settings!$B$5)*3,"")))</f>
        <v/>
      </c>
      <c r="AB726" s="20">
        <f>IF($Z726="","",INT(($AA726-1)/3)+1)</f>
        <v/>
      </c>
      <c r="AC726" s="20">
        <f>IF($Z726="","",MOD($AA726-1,3)+1)</f>
        <v/>
      </c>
      <c r="AD726" s="20">
        <f>IF($Z726="","",Settings!$B$2+$AC726-1)</f>
        <v/>
      </c>
      <c r="AE726" s="21">
        <f>IF($Z726="C",DATE(YEAR(INDEX(Contracts!$J$2:$J$151,$AB726)),MONTH(INDEX(Contracts!$J$2:$J$151,$AB726)),1),IF($Z726="A",DATE(YEAR(INDEX(Fixed_Assets!$G$2:$G$201,$AB726)),MONTH(INDEX(Fixed_Assets!$G$2:$G$201,$AB726)),1),IF($Z726="F",DATE(YEAR(MAX(N(INDEX(Workforce!$I$2:$I$151,MATCH(INDEX(FTE_Allocation!$A$2:$A$201,$AB726),Workforce!$A$2:$A$151,0))),N(INDEX(FTE_Allocation!$I$2:$I$201,$AB726)))),MONTH(MAX(N(INDEX(Workforce!$I$2:$I$151,MATCH(INDEX(FTE_Allocation!$A$2:$A$201,$AB726),Workforce!$A$2:$A$151,0))),N(INDEX(FTE_Allocation!$I$2:$I$201,$AB726)))),1),"")))</f>
        <v/>
      </c>
      <c r="AF726" s="21">
        <f>IF($Z726="C",IF(INDEX(Contracts!$I$2:$I$151,$AB726)="PREPAID",EDATE(DATE(YEAR(INDEX(Contracts!$J$2:$J$151,$AB726)),MONTH(INDEX(Contracts!$J$2:$J$151,$AB726)),1),IF(INDEX(Contracts!$N$2:$N$151,$AB726)="",12,INDEX(Contracts!$N$2:$N$151,$AB726))-1),IF(INDEX(Contracts!$I$2:$I$151,$AB726)="MONTHLY",IF(INDEX(Contracts!$K$2:$K$151,$AB726)="",2958101,INDEX(Contracts!$K$2:$K$151,$AB726)),0)),IF($Z726="A",EDATE(DATE(YEAR(INDEX(Fixed_Assets!$G$2:$G$201,$AB726)),MONTH(INDEX(Fixed_Assets!$G$2:$G$201,$AB726)),1),INDEX(Fixed_Assets!$J$2:$J$201,$AB726)-1),IF($Z726="F",MIN(IF(INDEX(Workforce!$J$2:$J$151,MATCH(INDEX(FTE_Allocation!$A$2:$A$201,$AB726),Workforce!$A$2:$A$151,0))="",2958101,INDEX(Workforce!$J$2:$J$151,MATCH(INDEX(FTE_Allocation!$A$2:$A$201,$AB726),Workforce!$A$2:$A$151,0))),IF(INDEX(FTE_Allocation!$J$2:$J$201,$AB726)="",2958101,INDEX(FTE_Allocation!$J$2:$J$201,$AB726))),"")))</f>
        <v/>
      </c>
      <c r="AG726" s="19">
        <f>IF($Z726="C",IF(INDEX(Contracts!$I$2:$I$151,$AB726)="PREPAID",INDEX(Contracts!$M$2:$M$151,$AB726)/IF(INDEX(Contracts!$N$2:$N$151,$AB726)="",12,INDEX(Contracts!$N$2:$N$151,$AB726)),IF(INDEX(Contracts!$I$2:$I$151,$AB726)="MONTHLY",INDEX(Contracts!$M$2:$M$151,$AB726),0))*(1-N(INDEX(Contracts!$O$2:$O$151,$AB726))),IF($Z726="A",INDEX(Fixed_Assets!$H$2:$H$201,$AB726)/INDEX(Fixed_Assets!$J$2:$J$201,$AB726),IF($Z726="F",INDEX(Workforce!$F$2:$F$151,MATCH(INDEX(FTE_Allocation!$A$2:$A$201,$AB726),Workforce!$A$2:$A$151,0))*N(INDEX(FTE_Allocation!$F$2:$H$201,$AB726,$AC726)),"")))</f>
        <v/>
      </c>
    </row>
    <row r="727">
      <c r="A727" s="7">
        <f>IF($Z727="","",$AD727)</f>
        <v/>
      </c>
      <c r="B727" s="7">
        <f>IF($Z727="C",INDEX(Contracts!$D$2:$D$151,$AB727)&amp;"",IF($Z727="A",INDEX(Fixed_Assets!$C$2:$C$201,$AB727)&amp;"",IF($Z727="F",INDEX(Workforce!$B$2:$B$151,MATCH(INDEX(FTE_Allocation!$A$2:$A$201,$AB727),Workforce!$A$2:$A$151,0))&amp;"","")))</f>
        <v/>
      </c>
      <c r="C727" s="7">
        <f>IF($Z727="C",INDEX(Contracts!$E$2:$E$151,$AB727)&amp;"",IF($Z727="A",INDEX(Fixed_Assets!$D$2:$D$201,$AB727)&amp;"",IF($Z727="F",INDEX(FTE_Allocation!$C$2:$C$201,$AB727)&amp;"","")))</f>
        <v/>
      </c>
      <c r="D727" s="7">
        <f>IF($Z727="C",INDEX(Contracts!$B$2:$B$151,$AB727)&amp;"",IF($Z727="A",INDEX(Fixed_Assets!$B$2:$B$201,$AB727)&amp;"",IF($Z727="F",INDEX(FTE_Allocation!$B$2:$B$201,$AB727)&amp;"","")))</f>
        <v/>
      </c>
      <c r="E727" s="7">
        <f>IF($Z727="C",INDEX(Contracts!$P$2:$P$151,$AB727)&amp;"",IF($Z727="A",INDEX(Fixed_Assets!$K$2:$K$201,$AB727)&amp;"",IF($Z727="F",IF(INDEX(FTE_Allocation!$D$2:$D$201,$AB727)="PROJECT",IFERROR(INDEX(Projects!$D:$D,MATCH(INDEX(FTE_Allocation!$E$2:$E$201,$AB727),Projects!$A:$A,0))&amp;"","#PROJECT?"),INDEX(FTE_Allocation!$E$2:$E$201,$AB727)&amp;""),"")))</f>
        <v/>
      </c>
      <c r="F727" s="7">
        <f>IF($Z727="C",INDEX(Contracts!$Q$2:$Q$151,$AB727)&amp;"",IF($Z727="A",INDEX(Fixed_Assets!$L$2:$L$201,$AB727)&amp;"",IF($Z727="F",INDEX(Workforce!$K$2:$K$151,MATCH(INDEX(FTE_Allocation!$A$2:$A$201,$AB727),Workforce!$A$2:$A$151,0))&amp;"","")))</f>
        <v/>
      </c>
      <c r="G727" s="7">
        <f>IF($Z727="C",INDEX(Contracts!$F$2:$F$151,$AB727)&amp;" / "&amp;INDEX(Contracts!$G$2:$G$151,$AB727),IF($Z727="A",INDEX(Fixed_Assets!$E$2:$E$201,$AB727)&amp;"",IF($Z727="F","Personnel "&amp;INDEX(FTE_Allocation!$A$2:$A$201,$AB727)&amp;IF(INDEX(FTE_Allocation!$D$2:$D$201,$AB727)="PROJECT"," ("&amp;INDEX(FTE_Allocation!$E$2:$E$201,$AB727)&amp;")",""),"")))</f>
        <v/>
      </c>
      <c r="H727" s="7">
        <f>IF($Z727="C","CONTRACT",IF($Z727="A","ASSET",IF($Z727="F","WORKFORCE","")))</f>
        <v/>
      </c>
      <c r="I727" s="7">
        <f>IF($Z727="C",INDEX(Contracts!$L$2:$L$151,$AB727)&amp;"",IF($Z727="A",INDEX(Fixed_Assets!$I$2:$I$201,$AB727)&amp;"",IF($Z727="F",INDEX(Workforce!$G$2:$G$151,MATCH(INDEX(FTE_Allocation!$A$2:$A$201,$AB727),Workforce!$A$2:$A$151,0))&amp;"","")))</f>
        <v/>
      </c>
      <c r="J727" s="18">
        <f>IF($Z727="","",IF(AND(DATE($AD727,1,1)&gt;=$AE727,DATE($AD727,1,1)&lt;=$AF727),ROUND($AG727,2),0))</f>
        <v/>
      </c>
      <c r="K727" s="18">
        <f>IF($Z727="","",IF(AND(DATE($AD727,2,1)&gt;=$AE727,DATE($AD727,2,1)&lt;=$AF727),ROUND($AG727,2),0))</f>
        <v/>
      </c>
      <c r="L727" s="18">
        <f>IF($Z727="","",IF(AND(DATE($AD727,3,1)&gt;=$AE727,DATE($AD727,3,1)&lt;=$AF727),ROUND($AG727,2),0))</f>
        <v/>
      </c>
      <c r="M727" s="18">
        <f>IF($Z727="","",IF(AND(DATE($AD727,4,1)&gt;=$AE727,DATE($AD727,4,1)&lt;=$AF727),ROUND($AG727,2),0))</f>
        <v/>
      </c>
      <c r="N727" s="18">
        <f>IF($Z727="","",IF(AND(DATE($AD727,5,1)&gt;=$AE727,DATE($AD727,5,1)&lt;=$AF727),ROUND($AG727,2),0))</f>
        <v/>
      </c>
      <c r="O727" s="18">
        <f>IF($Z727="","",IF(AND(DATE($AD727,6,1)&gt;=$AE727,DATE($AD727,6,1)&lt;=$AF727),ROUND($AG727,2),0))</f>
        <v/>
      </c>
      <c r="P727" s="18">
        <f>IF($Z727="","",IF(AND(DATE($AD727,7,1)&gt;=$AE727,DATE($AD727,7,1)&lt;=$AF727),ROUND($AG727,2),0))</f>
        <v/>
      </c>
      <c r="Q727" s="18">
        <f>IF($Z727="","",IF(AND(DATE($AD727,8,1)&gt;=$AE727,DATE($AD727,8,1)&lt;=$AF727),ROUND($AG727,2),0))</f>
        <v/>
      </c>
      <c r="R727" s="18">
        <f>IF($Z727="","",IF(AND(DATE($AD727,9,1)&gt;=$AE727,DATE($AD727,9,1)&lt;=$AF727),ROUND($AG727,2),0))</f>
        <v/>
      </c>
      <c r="S727" s="18">
        <f>IF($Z727="","",IF(AND(DATE($AD727,10,1)&gt;=$AE727,DATE($AD727,10,1)&lt;=$AF727),ROUND($AG727,2),0))</f>
        <v/>
      </c>
      <c r="T727" s="18">
        <f>IF($Z727="","",IF(AND(DATE($AD727,11,1)&gt;=$AE727,DATE($AD727,11,1)&lt;=$AF727),ROUND($AG727,2),0))</f>
        <v/>
      </c>
      <c r="U727" s="18">
        <f>IF($Z727="","",IF(AND(DATE($AD727,12,1)&gt;=$AE727,DATE($AD727,12,1)&lt;=$AF727),ROUND($AG727,2),0))</f>
        <v/>
      </c>
      <c r="V727" s="7">
        <f>IF($Z727="C","Generated from "&amp;INDEX(Contracts!$A$2:$A$151,$AB727),IF($Z727="A","Generated from "&amp;INDEX(Fixed_Assets!$A$2:$A$201,$AB727),IF($Z727="F","Generated from "&amp;INDEX(FTE_Allocation!$A$2:$A$201,$AB727),"")))</f>
        <v/>
      </c>
      <c r="X727" s="19">
        <f>IF($Z727="","",SUM(J727:U727))</f>
        <v/>
      </c>
      <c r="Y727" s="20">
        <f>ROW()-1</f>
        <v/>
      </c>
      <c r="Z727" s="20">
        <f>IF($Y727&lt;=Settings!$B$4*3,"C",IF($Y727&lt;=(Settings!$B$4+Settings!$B$5)*3,"A",IF($Y727&lt;=(Settings!$B$4+Settings!$B$5+Settings!$B$6)*3,"F","")))</f>
        <v/>
      </c>
      <c r="AA727" s="20">
        <f>IF($Z727="C",$Y727,IF($Z727="A",$Y727-Settings!$B$4*3,IF($Z727="F",$Y727-(Settings!$B$4+Settings!$B$5)*3,"")))</f>
        <v/>
      </c>
      <c r="AB727" s="20">
        <f>IF($Z727="","",INT(($AA727-1)/3)+1)</f>
        <v/>
      </c>
      <c r="AC727" s="20">
        <f>IF($Z727="","",MOD($AA727-1,3)+1)</f>
        <v/>
      </c>
      <c r="AD727" s="20">
        <f>IF($Z727="","",Settings!$B$2+$AC727-1)</f>
        <v/>
      </c>
      <c r="AE727" s="21">
        <f>IF($Z727="C",DATE(YEAR(INDEX(Contracts!$J$2:$J$151,$AB727)),MONTH(INDEX(Contracts!$J$2:$J$151,$AB727)),1),IF($Z727="A",DATE(YEAR(INDEX(Fixed_Assets!$G$2:$G$201,$AB727)),MONTH(INDEX(Fixed_Assets!$G$2:$G$201,$AB727)),1),IF($Z727="F",DATE(YEAR(MAX(N(INDEX(Workforce!$I$2:$I$151,MATCH(INDEX(FTE_Allocation!$A$2:$A$201,$AB727),Workforce!$A$2:$A$151,0))),N(INDEX(FTE_Allocation!$I$2:$I$201,$AB727)))),MONTH(MAX(N(INDEX(Workforce!$I$2:$I$151,MATCH(INDEX(FTE_Allocation!$A$2:$A$201,$AB727),Workforce!$A$2:$A$151,0))),N(INDEX(FTE_Allocation!$I$2:$I$201,$AB727)))),1),"")))</f>
        <v/>
      </c>
      <c r="AF727" s="21">
        <f>IF($Z727="C",IF(INDEX(Contracts!$I$2:$I$151,$AB727)="PREPAID",EDATE(DATE(YEAR(INDEX(Contracts!$J$2:$J$151,$AB727)),MONTH(INDEX(Contracts!$J$2:$J$151,$AB727)),1),IF(INDEX(Contracts!$N$2:$N$151,$AB727)="",12,INDEX(Contracts!$N$2:$N$151,$AB727))-1),IF(INDEX(Contracts!$I$2:$I$151,$AB727)="MONTHLY",IF(INDEX(Contracts!$K$2:$K$151,$AB727)="",2958101,INDEX(Contracts!$K$2:$K$151,$AB727)),0)),IF($Z727="A",EDATE(DATE(YEAR(INDEX(Fixed_Assets!$G$2:$G$201,$AB727)),MONTH(INDEX(Fixed_Assets!$G$2:$G$201,$AB727)),1),INDEX(Fixed_Assets!$J$2:$J$201,$AB727)-1),IF($Z727="F",MIN(IF(INDEX(Workforce!$J$2:$J$151,MATCH(INDEX(FTE_Allocation!$A$2:$A$201,$AB727),Workforce!$A$2:$A$151,0))="",2958101,INDEX(Workforce!$J$2:$J$151,MATCH(INDEX(FTE_Allocation!$A$2:$A$201,$AB727),Workforce!$A$2:$A$151,0))),IF(INDEX(FTE_Allocation!$J$2:$J$201,$AB727)="",2958101,INDEX(FTE_Allocation!$J$2:$J$201,$AB727))),"")))</f>
        <v/>
      </c>
      <c r="AG727" s="19">
        <f>IF($Z727="C",IF(INDEX(Contracts!$I$2:$I$151,$AB727)="PREPAID",INDEX(Contracts!$M$2:$M$151,$AB727)/IF(INDEX(Contracts!$N$2:$N$151,$AB727)="",12,INDEX(Contracts!$N$2:$N$151,$AB727)),IF(INDEX(Contracts!$I$2:$I$151,$AB727)="MONTHLY",INDEX(Contracts!$M$2:$M$151,$AB727),0))*(1-N(INDEX(Contracts!$O$2:$O$151,$AB727))),IF($Z727="A",INDEX(Fixed_Assets!$H$2:$H$201,$AB727)/INDEX(Fixed_Assets!$J$2:$J$201,$AB727),IF($Z727="F",INDEX(Workforce!$F$2:$F$151,MATCH(INDEX(FTE_Allocation!$A$2:$A$201,$AB727),Workforce!$A$2:$A$151,0))*N(INDEX(FTE_Allocation!$F$2:$H$201,$AB727,$AC727)),"")))</f>
        <v/>
      </c>
    </row>
    <row r="728">
      <c r="A728" s="7">
        <f>IF($Z728="","",$AD728)</f>
        <v/>
      </c>
      <c r="B728" s="7">
        <f>IF($Z728="C",INDEX(Contracts!$D$2:$D$151,$AB728)&amp;"",IF($Z728="A",INDEX(Fixed_Assets!$C$2:$C$201,$AB728)&amp;"",IF($Z728="F",INDEX(Workforce!$B$2:$B$151,MATCH(INDEX(FTE_Allocation!$A$2:$A$201,$AB728),Workforce!$A$2:$A$151,0))&amp;"","")))</f>
        <v/>
      </c>
      <c r="C728" s="7">
        <f>IF($Z728="C",INDEX(Contracts!$E$2:$E$151,$AB728)&amp;"",IF($Z728="A",INDEX(Fixed_Assets!$D$2:$D$201,$AB728)&amp;"",IF($Z728="F",INDEX(FTE_Allocation!$C$2:$C$201,$AB728)&amp;"","")))</f>
        <v/>
      </c>
      <c r="D728" s="7">
        <f>IF($Z728="C",INDEX(Contracts!$B$2:$B$151,$AB728)&amp;"",IF($Z728="A",INDEX(Fixed_Assets!$B$2:$B$201,$AB728)&amp;"",IF($Z728="F",INDEX(FTE_Allocation!$B$2:$B$201,$AB728)&amp;"","")))</f>
        <v/>
      </c>
      <c r="E728" s="7">
        <f>IF($Z728="C",INDEX(Contracts!$P$2:$P$151,$AB728)&amp;"",IF($Z728="A",INDEX(Fixed_Assets!$K$2:$K$201,$AB728)&amp;"",IF($Z728="F",IF(INDEX(FTE_Allocation!$D$2:$D$201,$AB728)="PROJECT",IFERROR(INDEX(Projects!$D:$D,MATCH(INDEX(FTE_Allocation!$E$2:$E$201,$AB728),Projects!$A:$A,0))&amp;"","#PROJECT?"),INDEX(FTE_Allocation!$E$2:$E$201,$AB728)&amp;""),"")))</f>
        <v/>
      </c>
      <c r="F728" s="7">
        <f>IF($Z728="C",INDEX(Contracts!$Q$2:$Q$151,$AB728)&amp;"",IF($Z728="A",INDEX(Fixed_Assets!$L$2:$L$201,$AB728)&amp;"",IF($Z728="F",INDEX(Workforce!$K$2:$K$151,MATCH(INDEX(FTE_Allocation!$A$2:$A$201,$AB728),Workforce!$A$2:$A$151,0))&amp;"","")))</f>
        <v/>
      </c>
      <c r="G728" s="7">
        <f>IF($Z728="C",INDEX(Contracts!$F$2:$F$151,$AB728)&amp;" / "&amp;INDEX(Contracts!$G$2:$G$151,$AB728),IF($Z728="A",INDEX(Fixed_Assets!$E$2:$E$201,$AB728)&amp;"",IF($Z728="F","Personnel "&amp;INDEX(FTE_Allocation!$A$2:$A$201,$AB728)&amp;IF(INDEX(FTE_Allocation!$D$2:$D$201,$AB728)="PROJECT"," ("&amp;INDEX(FTE_Allocation!$E$2:$E$201,$AB728)&amp;")",""),"")))</f>
        <v/>
      </c>
      <c r="H728" s="7">
        <f>IF($Z728="C","CONTRACT",IF($Z728="A","ASSET",IF($Z728="F","WORKFORCE","")))</f>
        <v/>
      </c>
      <c r="I728" s="7">
        <f>IF($Z728="C",INDEX(Contracts!$L$2:$L$151,$AB728)&amp;"",IF($Z728="A",INDEX(Fixed_Assets!$I$2:$I$201,$AB728)&amp;"",IF($Z728="F",INDEX(Workforce!$G$2:$G$151,MATCH(INDEX(FTE_Allocation!$A$2:$A$201,$AB728),Workforce!$A$2:$A$151,0))&amp;"","")))</f>
        <v/>
      </c>
      <c r="J728" s="18">
        <f>IF($Z728="","",IF(AND(DATE($AD728,1,1)&gt;=$AE728,DATE($AD728,1,1)&lt;=$AF728),ROUND($AG728,2),0))</f>
        <v/>
      </c>
      <c r="K728" s="18">
        <f>IF($Z728="","",IF(AND(DATE($AD728,2,1)&gt;=$AE728,DATE($AD728,2,1)&lt;=$AF728),ROUND($AG728,2),0))</f>
        <v/>
      </c>
      <c r="L728" s="18">
        <f>IF($Z728="","",IF(AND(DATE($AD728,3,1)&gt;=$AE728,DATE($AD728,3,1)&lt;=$AF728),ROUND($AG728,2),0))</f>
        <v/>
      </c>
      <c r="M728" s="18">
        <f>IF($Z728="","",IF(AND(DATE($AD728,4,1)&gt;=$AE728,DATE($AD728,4,1)&lt;=$AF728),ROUND($AG728,2),0))</f>
        <v/>
      </c>
      <c r="N728" s="18">
        <f>IF($Z728="","",IF(AND(DATE($AD728,5,1)&gt;=$AE728,DATE($AD728,5,1)&lt;=$AF728),ROUND($AG728,2),0))</f>
        <v/>
      </c>
      <c r="O728" s="18">
        <f>IF($Z728="","",IF(AND(DATE($AD728,6,1)&gt;=$AE728,DATE($AD728,6,1)&lt;=$AF728),ROUND($AG728,2),0))</f>
        <v/>
      </c>
      <c r="P728" s="18">
        <f>IF($Z728="","",IF(AND(DATE($AD728,7,1)&gt;=$AE728,DATE($AD728,7,1)&lt;=$AF728),ROUND($AG728,2),0))</f>
        <v/>
      </c>
      <c r="Q728" s="18">
        <f>IF($Z728="","",IF(AND(DATE($AD728,8,1)&gt;=$AE728,DATE($AD728,8,1)&lt;=$AF728),ROUND($AG728,2),0))</f>
        <v/>
      </c>
      <c r="R728" s="18">
        <f>IF($Z728="","",IF(AND(DATE($AD728,9,1)&gt;=$AE728,DATE($AD728,9,1)&lt;=$AF728),ROUND($AG728,2),0))</f>
        <v/>
      </c>
      <c r="S728" s="18">
        <f>IF($Z728="","",IF(AND(DATE($AD728,10,1)&gt;=$AE728,DATE($AD728,10,1)&lt;=$AF728),ROUND($AG728,2),0))</f>
        <v/>
      </c>
      <c r="T728" s="18">
        <f>IF($Z728="","",IF(AND(DATE($AD728,11,1)&gt;=$AE728,DATE($AD728,11,1)&lt;=$AF728),ROUND($AG728,2),0))</f>
        <v/>
      </c>
      <c r="U728" s="18">
        <f>IF($Z728="","",IF(AND(DATE($AD728,12,1)&gt;=$AE728,DATE($AD728,12,1)&lt;=$AF728),ROUND($AG728,2),0))</f>
        <v/>
      </c>
      <c r="V728" s="7">
        <f>IF($Z728="C","Generated from "&amp;INDEX(Contracts!$A$2:$A$151,$AB728),IF($Z728="A","Generated from "&amp;INDEX(Fixed_Assets!$A$2:$A$201,$AB728),IF($Z728="F","Generated from "&amp;INDEX(FTE_Allocation!$A$2:$A$201,$AB728),"")))</f>
        <v/>
      </c>
      <c r="X728" s="19">
        <f>IF($Z728="","",SUM(J728:U728))</f>
        <v/>
      </c>
      <c r="Y728" s="20">
        <f>ROW()-1</f>
        <v/>
      </c>
      <c r="Z728" s="20">
        <f>IF($Y728&lt;=Settings!$B$4*3,"C",IF($Y728&lt;=(Settings!$B$4+Settings!$B$5)*3,"A",IF($Y728&lt;=(Settings!$B$4+Settings!$B$5+Settings!$B$6)*3,"F","")))</f>
        <v/>
      </c>
      <c r="AA728" s="20">
        <f>IF($Z728="C",$Y728,IF($Z728="A",$Y728-Settings!$B$4*3,IF($Z728="F",$Y728-(Settings!$B$4+Settings!$B$5)*3,"")))</f>
        <v/>
      </c>
      <c r="AB728" s="20">
        <f>IF($Z728="","",INT(($AA728-1)/3)+1)</f>
        <v/>
      </c>
      <c r="AC728" s="20">
        <f>IF($Z728="","",MOD($AA728-1,3)+1)</f>
        <v/>
      </c>
      <c r="AD728" s="20">
        <f>IF($Z728="","",Settings!$B$2+$AC728-1)</f>
        <v/>
      </c>
      <c r="AE728" s="21">
        <f>IF($Z728="C",DATE(YEAR(INDEX(Contracts!$J$2:$J$151,$AB728)),MONTH(INDEX(Contracts!$J$2:$J$151,$AB728)),1),IF($Z728="A",DATE(YEAR(INDEX(Fixed_Assets!$G$2:$G$201,$AB728)),MONTH(INDEX(Fixed_Assets!$G$2:$G$201,$AB728)),1),IF($Z728="F",DATE(YEAR(MAX(N(INDEX(Workforce!$I$2:$I$151,MATCH(INDEX(FTE_Allocation!$A$2:$A$201,$AB728),Workforce!$A$2:$A$151,0))),N(INDEX(FTE_Allocation!$I$2:$I$201,$AB728)))),MONTH(MAX(N(INDEX(Workforce!$I$2:$I$151,MATCH(INDEX(FTE_Allocation!$A$2:$A$201,$AB728),Workforce!$A$2:$A$151,0))),N(INDEX(FTE_Allocation!$I$2:$I$201,$AB728)))),1),"")))</f>
        <v/>
      </c>
      <c r="AF728" s="21">
        <f>IF($Z728="C",IF(INDEX(Contracts!$I$2:$I$151,$AB728)="PREPAID",EDATE(DATE(YEAR(INDEX(Contracts!$J$2:$J$151,$AB728)),MONTH(INDEX(Contracts!$J$2:$J$151,$AB728)),1),IF(INDEX(Contracts!$N$2:$N$151,$AB728)="",12,INDEX(Contracts!$N$2:$N$151,$AB728))-1),IF(INDEX(Contracts!$I$2:$I$151,$AB728)="MONTHLY",IF(INDEX(Contracts!$K$2:$K$151,$AB728)="",2958101,INDEX(Contracts!$K$2:$K$151,$AB728)),0)),IF($Z728="A",EDATE(DATE(YEAR(INDEX(Fixed_Assets!$G$2:$G$201,$AB728)),MONTH(INDEX(Fixed_Assets!$G$2:$G$201,$AB728)),1),INDEX(Fixed_Assets!$J$2:$J$201,$AB728)-1),IF($Z728="F",MIN(IF(INDEX(Workforce!$J$2:$J$151,MATCH(INDEX(FTE_Allocation!$A$2:$A$201,$AB728),Workforce!$A$2:$A$151,0))="",2958101,INDEX(Workforce!$J$2:$J$151,MATCH(INDEX(FTE_Allocation!$A$2:$A$201,$AB728),Workforce!$A$2:$A$151,0))),IF(INDEX(FTE_Allocation!$J$2:$J$201,$AB728)="",2958101,INDEX(FTE_Allocation!$J$2:$J$201,$AB728))),"")))</f>
        <v/>
      </c>
      <c r="AG728" s="19">
        <f>IF($Z728="C",IF(INDEX(Contracts!$I$2:$I$151,$AB728)="PREPAID",INDEX(Contracts!$M$2:$M$151,$AB728)/IF(INDEX(Contracts!$N$2:$N$151,$AB728)="",12,INDEX(Contracts!$N$2:$N$151,$AB728)),IF(INDEX(Contracts!$I$2:$I$151,$AB728)="MONTHLY",INDEX(Contracts!$M$2:$M$151,$AB728),0))*(1-N(INDEX(Contracts!$O$2:$O$151,$AB728))),IF($Z728="A",INDEX(Fixed_Assets!$H$2:$H$201,$AB728)/INDEX(Fixed_Assets!$J$2:$J$201,$AB728),IF($Z728="F",INDEX(Workforce!$F$2:$F$151,MATCH(INDEX(FTE_Allocation!$A$2:$A$201,$AB728),Workforce!$A$2:$A$151,0))*N(INDEX(FTE_Allocation!$F$2:$H$201,$AB728,$AC728)),"")))</f>
        <v/>
      </c>
    </row>
    <row r="729">
      <c r="A729" s="7">
        <f>IF($Z729="","",$AD729)</f>
        <v/>
      </c>
      <c r="B729" s="7">
        <f>IF($Z729="C",INDEX(Contracts!$D$2:$D$151,$AB729)&amp;"",IF($Z729="A",INDEX(Fixed_Assets!$C$2:$C$201,$AB729)&amp;"",IF($Z729="F",INDEX(Workforce!$B$2:$B$151,MATCH(INDEX(FTE_Allocation!$A$2:$A$201,$AB729),Workforce!$A$2:$A$151,0))&amp;"","")))</f>
        <v/>
      </c>
      <c r="C729" s="7">
        <f>IF($Z729="C",INDEX(Contracts!$E$2:$E$151,$AB729)&amp;"",IF($Z729="A",INDEX(Fixed_Assets!$D$2:$D$201,$AB729)&amp;"",IF($Z729="F",INDEX(FTE_Allocation!$C$2:$C$201,$AB729)&amp;"","")))</f>
        <v/>
      </c>
      <c r="D729" s="7">
        <f>IF($Z729="C",INDEX(Contracts!$B$2:$B$151,$AB729)&amp;"",IF($Z729="A",INDEX(Fixed_Assets!$B$2:$B$201,$AB729)&amp;"",IF($Z729="F",INDEX(FTE_Allocation!$B$2:$B$201,$AB729)&amp;"","")))</f>
        <v/>
      </c>
      <c r="E729" s="7">
        <f>IF($Z729="C",INDEX(Contracts!$P$2:$P$151,$AB729)&amp;"",IF($Z729="A",INDEX(Fixed_Assets!$K$2:$K$201,$AB729)&amp;"",IF($Z729="F",IF(INDEX(FTE_Allocation!$D$2:$D$201,$AB729)="PROJECT",IFERROR(INDEX(Projects!$D:$D,MATCH(INDEX(FTE_Allocation!$E$2:$E$201,$AB729),Projects!$A:$A,0))&amp;"","#PROJECT?"),INDEX(FTE_Allocation!$E$2:$E$201,$AB729)&amp;""),"")))</f>
        <v/>
      </c>
      <c r="F729" s="7">
        <f>IF($Z729="C",INDEX(Contracts!$Q$2:$Q$151,$AB729)&amp;"",IF($Z729="A",INDEX(Fixed_Assets!$L$2:$L$201,$AB729)&amp;"",IF($Z729="F",INDEX(Workforce!$K$2:$K$151,MATCH(INDEX(FTE_Allocation!$A$2:$A$201,$AB729),Workforce!$A$2:$A$151,0))&amp;"","")))</f>
        <v/>
      </c>
      <c r="G729" s="7">
        <f>IF($Z729="C",INDEX(Contracts!$F$2:$F$151,$AB729)&amp;" / "&amp;INDEX(Contracts!$G$2:$G$151,$AB729),IF($Z729="A",INDEX(Fixed_Assets!$E$2:$E$201,$AB729)&amp;"",IF($Z729="F","Personnel "&amp;INDEX(FTE_Allocation!$A$2:$A$201,$AB729)&amp;IF(INDEX(FTE_Allocation!$D$2:$D$201,$AB729)="PROJECT"," ("&amp;INDEX(FTE_Allocation!$E$2:$E$201,$AB729)&amp;")",""),"")))</f>
        <v/>
      </c>
      <c r="H729" s="7">
        <f>IF($Z729="C","CONTRACT",IF($Z729="A","ASSET",IF($Z729="F","WORKFORCE","")))</f>
        <v/>
      </c>
      <c r="I729" s="7">
        <f>IF($Z729="C",INDEX(Contracts!$L$2:$L$151,$AB729)&amp;"",IF($Z729="A",INDEX(Fixed_Assets!$I$2:$I$201,$AB729)&amp;"",IF($Z729="F",INDEX(Workforce!$G$2:$G$151,MATCH(INDEX(FTE_Allocation!$A$2:$A$201,$AB729),Workforce!$A$2:$A$151,0))&amp;"","")))</f>
        <v/>
      </c>
      <c r="J729" s="18">
        <f>IF($Z729="","",IF(AND(DATE($AD729,1,1)&gt;=$AE729,DATE($AD729,1,1)&lt;=$AF729),ROUND($AG729,2),0))</f>
        <v/>
      </c>
      <c r="K729" s="18">
        <f>IF($Z729="","",IF(AND(DATE($AD729,2,1)&gt;=$AE729,DATE($AD729,2,1)&lt;=$AF729),ROUND($AG729,2),0))</f>
        <v/>
      </c>
      <c r="L729" s="18">
        <f>IF($Z729="","",IF(AND(DATE($AD729,3,1)&gt;=$AE729,DATE($AD729,3,1)&lt;=$AF729),ROUND($AG729,2),0))</f>
        <v/>
      </c>
      <c r="M729" s="18">
        <f>IF($Z729="","",IF(AND(DATE($AD729,4,1)&gt;=$AE729,DATE($AD729,4,1)&lt;=$AF729),ROUND($AG729,2),0))</f>
        <v/>
      </c>
      <c r="N729" s="18">
        <f>IF($Z729="","",IF(AND(DATE($AD729,5,1)&gt;=$AE729,DATE($AD729,5,1)&lt;=$AF729),ROUND($AG729,2),0))</f>
        <v/>
      </c>
      <c r="O729" s="18">
        <f>IF($Z729="","",IF(AND(DATE($AD729,6,1)&gt;=$AE729,DATE($AD729,6,1)&lt;=$AF729),ROUND($AG729,2),0))</f>
        <v/>
      </c>
      <c r="P729" s="18">
        <f>IF($Z729="","",IF(AND(DATE($AD729,7,1)&gt;=$AE729,DATE($AD729,7,1)&lt;=$AF729),ROUND($AG729,2),0))</f>
        <v/>
      </c>
      <c r="Q729" s="18">
        <f>IF($Z729="","",IF(AND(DATE($AD729,8,1)&gt;=$AE729,DATE($AD729,8,1)&lt;=$AF729),ROUND($AG729,2),0))</f>
        <v/>
      </c>
      <c r="R729" s="18">
        <f>IF($Z729="","",IF(AND(DATE($AD729,9,1)&gt;=$AE729,DATE($AD729,9,1)&lt;=$AF729),ROUND($AG729,2),0))</f>
        <v/>
      </c>
      <c r="S729" s="18">
        <f>IF($Z729="","",IF(AND(DATE($AD729,10,1)&gt;=$AE729,DATE($AD729,10,1)&lt;=$AF729),ROUND($AG729,2),0))</f>
        <v/>
      </c>
      <c r="T729" s="18">
        <f>IF($Z729="","",IF(AND(DATE($AD729,11,1)&gt;=$AE729,DATE($AD729,11,1)&lt;=$AF729),ROUND($AG729,2),0))</f>
        <v/>
      </c>
      <c r="U729" s="18">
        <f>IF($Z729="","",IF(AND(DATE($AD729,12,1)&gt;=$AE729,DATE($AD729,12,1)&lt;=$AF729),ROUND($AG729,2),0))</f>
        <v/>
      </c>
      <c r="V729" s="7">
        <f>IF($Z729="C","Generated from "&amp;INDEX(Contracts!$A$2:$A$151,$AB729),IF($Z729="A","Generated from "&amp;INDEX(Fixed_Assets!$A$2:$A$201,$AB729),IF($Z729="F","Generated from "&amp;INDEX(FTE_Allocation!$A$2:$A$201,$AB729),"")))</f>
        <v/>
      </c>
      <c r="X729" s="19">
        <f>IF($Z729="","",SUM(J729:U729))</f>
        <v/>
      </c>
      <c r="Y729" s="20">
        <f>ROW()-1</f>
        <v/>
      </c>
      <c r="Z729" s="20">
        <f>IF($Y729&lt;=Settings!$B$4*3,"C",IF($Y729&lt;=(Settings!$B$4+Settings!$B$5)*3,"A",IF($Y729&lt;=(Settings!$B$4+Settings!$B$5+Settings!$B$6)*3,"F","")))</f>
        <v/>
      </c>
      <c r="AA729" s="20">
        <f>IF($Z729="C",$Y729,IF($Z729="A",$Y729-Settings!$B$4*3,IF($Z729="F",$Y729-(Settings!$B$4+Settings!$B$5)*3,"")))</f>
        <v/>
      </c>
      <c r="AB729" s="20">
        <f>IF($Z729="","",INT(($AA729-1)/3)+1)</f>
        <v/>
      </c>
      <c r="AC729" s="20">
        <f>IF($Z729="","",MOD($AA729-1,3)+1)</f>
        <v/>
      </c>
      <c r="AD729" s="20">
        <f>IF($Z729="","",Settings!$B$2+$AC729-1)</f>
        <v/>
      </c>
      <c r="AE729" s="21">
        <f>IF($Z729="C",DATE(YEAR(INDEX(Contracts!$J$2:$J$151,$AB729)),MONTH(INDEX(Contracts!$J$2:$J$151,$AB729)),1),IF($Z729="A",DATE(YEAR(INDEX(Fixed_Assets!$G$2:$G$201,$AB729)),MONTH(INDEX(Fixed_Assets!$G$2:$G$201,$AB729)),1),IF($Z729="F",DATE(YEAR(MAX(N(INDEX(Workforce!$I$2:$I$151,MATCH(INDEX(FTE_Allocation!$A$2:$A$201,$AB729),Workforce!$A$2:$A$151,0))),N(INDEX(FTE_Allocation!$I$2:$I$201,$AB729)))),MONTH(MAX(N(INDEX(Workforce!$I$2:$I$151,MATCH(INDEX(FTE_Allocation!$A$2:$A$201,$AB729),Workforce!$A$2:$A$151,0))),N(INDEX(FTE_Allocation!$I$2:$I$201,$AB729)))),1),"")))</f>
        <v/>
      </c>
      <c r="AF729" s="21">
        <f>IF($Z729="C",IF(INDEX(Contracts!$I$2:$I$151,$AB729)="PREPAID",EDATE(DATE(YEAR(INDEX(Contracts!$J$2:$J$151,$AB729)),MONTH(INDEX(Contracts!$J$2:$J$151,$AB729)),1),IF(INDEX(Contracts!$N$2:$N$151,$AB729)="",12,INDEX(Contracts!$N$2:$N$151,$AB729))-1),IF(INDEX(Contracts!$I$2:$I$151,$AB729)="MONTHLY",IF(INDEX(Contracts!$K$2:$K$151,$AB729)="",2958101,INDEX(Contracts!$K$2:$K$151,$AB729)),0)),IF($Z729="A",EDATE(DATE(YEAR(INDEX(Fixed_Assets!$G$2:$G$201,$AB729)),MONTH(INDEX(Fixed_Assets!$G$2:$G$201,$AB729)),1),INDEX(Fixed_Assets!$J$2:$J$201,$AB729)-1),IF($Z729="F",MIN(IF(INDEX(Workforce!$J$2:$J$151,MATCH(INDEX(FTE_Allocation!$A$2:$A$201,$AB729),Workforce!$A$2:$A$151,0))="",2958101,INDEX(Workforce!$J$2:$J$151,MATCH(INDEX(FTE_Allocation!$A$2:$A$201,$AB729),Workforce!$A$2:$A$151,0))),IF(INDEX(FTE_Allocation!$J$2:$J$201,$AB729)="",2958101,INDEX(FTE_Allocation!$J$2:$J$201,$AB729))),"")))</f>
        <v/>
      </c>
      <c r="AG729" s="19">
        <f>IF($Z729="C",IF(INDEX(Contracts!$I$2:$I$151,$AB729)="PREPAID",INDEX(Contracts!$M$2:$M$151,$AB729)/IF(INDEX(Contracts!$N$2:$N$151,$AB729)="",12,INDEX(Contracts!$N$2:$N$151,$AB729)),IF(INDEX(Contracts!$I$2:$I$151,$AB729)="MONTHLY",INDEX(Contracts!$M$2:$M$151,$AB729),0))*(1-N(INDEX(Contracts!$O$2:$O$151,$AB729))),IF($Z729="A",INDEX(Fixed_Assets!$H$2:$H$201,$AB729)/INDEX(Fixed_Assets!$J$2:$J$201,$AB729),IF($Z729="F",INDEX(Workforce!$F$2:$F$151,MATCH(INDEX(FTE_Allocation!$A$2:$A$201,$AB729),Workforce!$A$2:$A$151,0))*N(INDEX(FTE_Allocation!$F$2:$H$201,$AB729,$AC729)),"")))</f>
        <v/>
      </c>
    </row>
    <row r="730">
      <c r="A730" s="7">
        <f>IF($Z730="","",$AD730)</f>
        <v/>
      </c>
      <c r="B730" s="7">
        <f>IF($Z730="C",INDEX(Contracts!$D$2:$D$151,$AB730)&amp;"",IF($Z730="A",INDEX(Fixed_Assets!$C$2:$C$201,$AB730)&amp;"",IF($Z730="F",INDEX(Workforce!$B$2:$B$151,MATCH(INDEX(FTE_Allocation!$A$2:$A$201,$AB730),Workforce!$A$2:$A$151,0))&amp;"","")))</f>
        <v/>
      </c>
      <c r="C730" s="7">
        <f>IF($Z730="C",INDEX(Contracts!$E$2:$E$151,$AB730)&amp;"",IF($Z730="A",INDEX(Fixed_Assets!$D$2:$D$201,$AB730)&amp;"",IF($Z730="F",INDEX(FTE_Allocation!$C$2:$C$201,$AB730)&amp;"","")))</f>
        <v/>
      </c>
      <c r="D730" s="7">
        <f>IF($Z730="C",INDEX(Contracts!$B$2:$B$151,$AB730)&amp;"",IF($Z730="A",INDEX(Fixed_Assets!$B$2:$B$201,$AB730)&amp;"",IF($Z730="F",INDEX(FTE_Allocation!$B$2:$B$201,$AB730)&amp;"","")))</f>
        <v/>
      </c>
      <c r="E730" s="7">
        <f>IF($Z730="C",INDEX(Contracts!$P$2:$P$151,$AB730)&amp;"",IF($Z730="A",INDEX(Fixed_Assets!$K$2:$K$201,$AB730)&amp;"",IF($Z730="F",IF(INDEX(FTE_Allocation!$D$2:$D$201,$AB730)="PROJECT",IFERROR(INDEX(Projects!$D:$D,MATCH(INDEX(FTE_Allocation!$E$2:$E$201,$AB730),Projects!$A:$A,0))&amp;"","#PROJECT?"),INDEX(FTE_Allocation!$E$2:$E$201,$AB730)&amp;""),"")))</f>
        <v/>
      </c>
      <c r="F730" s="7">
        <f>IF($Z730="C",INDEX(Contracts!$Q$2:$Q$151,$AB730)&amp;"",IF($Z730="A",INDEX(Fixed_Assets!$L$2:$L$201,$AB730)&amp;"",IF($Z730="F",INDEX(Workforce!$K$2:$K$151,MATCH(INDEX(FTE_Allocation!$A$2:$A$201,$AB730),Workforce!$A$2:$A$151,0))&amp;"","")))</f>
        <v/>
      </c>
      <c r="G730" s="7">
        <f>IF($Z730="C",INDEX(Contracts!$F$2:$F$151,$AB730)&amp;" / "&amp;INDEX(Contracts!$G$2:$G$151,$AB730),IF($Z730="A",INDEX(Fixed_Assets!$E$2:$E$201,$AB730)&amp;"",IF($Z730="F","Personnel "&amp;INDEX(FTE_Allocation!$A$2:$A$201,$AB730)&amp;IF(INDEX(FTE_Allocation!$D$2:$D$201,$AB730)="PROJECT"," ("&amp;INDEX(FTE_Allocation!$E$2:$E$201,$AB730)&amp;")",""),"")))</f>
        <v/>
      </c>
      <c r="H730" s="7">
        <f>IF($Z730="C","CONTRACT",IF($Z730="A","ASSET",IF($Z730="F","WORKFORCE","")))</f>
        <v/>
      </c>
      <c r="I730" s="7">
        <f>IF($Z730="C",INDEX(Contracts!$L$2:$L$151,$AB730)&amp;"",IF($Z730="A",INDEX(Fixed_Assets!$I$2:$I$201,$AB730)&amp;"",IF($Z730="F",INDEX(Workforce!$G$2:$G$151,MATCH(INDEX(FTE_Allocation!$A$2:$A$201,$AB730),Workforce!$A$2:$A$151,0))&amp;"","")))</f>
        <v/>
      </c>
      <c r="J730" s="18">
        <f>IF($Z730="","",IF(AND(DATE($AD730,1,1)&gt;=$AE730,DATE($AD730,1,1)&lt;=$AF730),ROUND($AG730,2),0))</f>
        <v/>
      </c>
      <c r="K730" s="18">
        <f>IF($Z730="","",IF(AND(DATE($AD730,2,1)&gt;=$AE730,DATE($AD730,2,1)&lt;=$AF730),ROUND($AG730,2),0))</f>
        <v/>
      </c>
      <c r="L730" s="18">
        <f>IF($Z730="","",IF(AND(DATE($AD730,3,1)&gt;=$AE730,DATE($AD730,3,1)&lt;=$AF730),ROUND($AG730,2),0))</f>
        <v/>
      </c>
      <c r="M730" s="18">
        <f>IF($Z730="","",IF(AND(DATE($AD730,4,1)&gt;=$AE730,DATE($AD730,4,1)&lt;=$AF730),ROUND($AG730,2),0))</f>
        <v/>
      </c>
      <c r="N730" s="18">
        <f>IF($Z730="","",IF(AND(DATE($AD730,5,1)&gt;=$AE730,DATE($AD730,5,1)&lt;=$AF730),ROUND($AG730,2),0))</f>
        <v/>
      </c>
      <c r="O730" s="18">
        <f>IF($Z730="","",IF(AND(DATE($AD730,6,1)&gt;=$AE730,DATE($AD730,6,1)&lt;=$AF730),ROUND($AG730,2),0))</f>
        <v/>
      </c>
      <c r="P730" s="18">
        <f>IF($Z730="","",IF(AND(DATE($AD730,7,1)&gt;=$AE730,DATE($AD730,7,1)&lt;=$AF730),ROUND($AG730,2),0))</f>
        <v/>
      </c>
      <c r="Q730" s="18">
        <f>IF($Z730="","",IF(AND(DATE($AD730,8,1)&gt;=$AE730,DATE($AD730,8,1)&lt;=$AF730),ROUND($AG730,2),0))</f>
        <v/>
      </c>
      <c r="R730" s="18">
        <f>IF($Z730="","",IF(AND(DATE($AD730,9,1)&gt;=$AE730,DATE($AD730,9,1)&lt;=$AF730),ROUND($AG730,2),0))</f>
        <v/>
      </c>
      <c r="S730" s="18">
        <f>IF($Z730="","",IF(AND(DATE($AD730,10,1)&gt;=$AE730,DATE($AD730,10,1)&lt;=$AF730),ROUND($AG730,2),0))</f>
        <v/>
      </c>
      <c r="T730" s="18">
        <f>IF($Z730="","",IF(AND(DATE($AD730,11,1)&gt;=$AE730,DATE($AD730,11,1)&lt;=$AF730),ROUND($AG730,2),0))</f>
        <v/>
      </c>
      <c r="U730" s="18">
        <f>IF($Z730="","",IF(AND(DATE($AD730,12,1)&gt;=$AE730,DATE($AD730,12,1)&lt;=$AF730),ROUND($AG730,2),0))</f>
        <v/>
      </c>
      <c r="V730" s="7">
        <f>IF($Z730="C","Generated from "&amp;INDEX(Contracts!$A$2:$A$151,$AB730),IF($Z730="A","Generated from "&amp;INDEX(Fixed_Assets!$A$2:$A$201,$AB730),IF($Z730="F","Generated from "&amp;INDEX(FTE_Allocation!$A$2:$A$201,$AB730),"")))</f>
        <v/>
      </c>
      <c r="X730" s="19">
        <f>IF($Z730="","",SUM(J730:U730))</f>
        <v/>
      </c>
      <c r="Y730" s="20">
        <f>ROW()-1</f>
        <v/>
      </c>
      <c r="Z730" s="20">
        <f>IF($Y730&lt;=Settings!$B$4*3,"C",IF($Y730&lt;=(Settings!$B$4+Settings!$B$5)*3,"A",IF($Y730&lt;=(Settings!$B$4+Settings!$B$5+Settings!$B$6)*3,"F","")))</f>
        <v/>
      </c>
      <c r="AA730" s="20">
        <f>IF($Z730="C",$Y730,IF($Z730="A",$Y730-Settings!$B$4*3,IF($Z730="F",$Y730-(Settings!$B$4+Settings!$B$5)*3,"")))</f>
        <v/>
      </c>
      <c r="AB730" s="20">
        <f>IF($Z730="","",INT(($AA730-1)/3)+1)</f>
        <v/>
      </c>
      <c r="AC730" s="20">
        <f>IF($Z730="","",MOD($AA730-1,3)+1)</f>
        <v/>
      </c>
      <c r="AD730" s="20">
        <f>IF($Z730="","",Settings!$B$2+$AC730-1)</f>
        <v/>
      </c>
      <c r="AE730" s="21">
        <f>IF($Z730="C",DATE(YEAR(INDEX(Contracts!$J$2:$J$151,$AB730)),MONTH(INDEX(Contracts!$J$2:$J$151,$AB730)),1),IF($Z730="A",DATE(YEAR(INDEX(Fixed_Assets!$G$2:$G$201,$AB730)),MONTH(INDEX(Fixed_Assets!$G$2:$G$201,$AB730)),1),IF($Z730="F",DATE(YEAR(MAX(N(INDEX(Workforce!$I$2:$I$151,MATCH(INDEX(FTE_Allocation!$A$2:$A$201,$AB730),Workforce!$A$2:$A$151,0))),N(INDEX(FTE_Allocation!$I$2:$I$201,$AB730)))),MONTH(MAX(N(INDEX(Workforce!$I$2:$I$151,MATCH(INDEX(FTE_Allocation!$A$2:$A$201,$AB730),Workforce!$A$2:$A$151,0))),N(INDEX(FTE_Allocation!$I$2:$I$201,$AB730)))),1),"")))</f>
        <v/>
      </c>
      <c r="AF730" s="21">
        <f>IF($Z730="C",IF(INDEX(Contracts!$I$2:$I$151,$AB730)="PREPAID",EDATE(DATE(YEAR(INDEX(Contracts!$J$2:$J$151,$AB730)),MONTH(INDEX(Contracts!$J$2:$J$151,$AB730)),1),IF(INDEX(Contracts!$N$2:$N$151,$AB730)="",12,INDEX(Contracts!$N$2:$N$151,$AB730))-1),IF(INDEX(Contracts!$I$2:$I$151,$AB730)="MONTHLY",IF(INDEX(Contracts!$K$2:$K$151,$AB730)="",2958101,INDEX(Contracts!$K$2:$K$151,$AB730)),0)),IF($Z730="A",EDATE(DATE(YEAR(INDEX(Fixed_Assets!$G$2:$G$201,$AB730)),MONTH(INDEX(Fixed_Assets!$G$2:$G$201,$AB730)),1),INDEX(Fixed_Assets!$J$2:$J$201,$AB730)-1),IF($Z730="F",MIN(IF(INDEX(Workforce!$J$2:$J$151,MATCH(INDEX(FTE_Allocation!$A$2:$A$201,$AB730),Workforce!$A$2:$A$151,0))="",2958101,INDEX(Workforce!$J$2:$J$151,MATCH(INDEX(FTE_Allocation!$A$2:$A$201,$AB730),Workforce!$A$2:$A$151,0))),IF(INDEX(FTE_Allocation!$J$2:$J$201,$AB730)="",2958101,INDEX(FTE_Allocation!$J$2:$J$201,$AB730))),"")))</f>
        <v/>
      </c>
      <c r="AG730" s="19">
        <f>IF($Z730="C",IF(INDEX(Contracts!$I$2:$I$151,$AB730)="PREPAID",INDEX(Contracts!$M$2:$M$151,$AB730)/IF(INDEX(Contracts!$N$2:$N$151,$AB730)="",12,INDEX(Contracts!$N$2:$N$151,$AB730)),IF(INDEX(Contracts!$I$2:$I$151,$AB730)="MONTHLY",INDEX(Contracts!$M$2:$M$151,$AB730),0))*(1-N(INDEX(Contracts!$O$2:$O$151,$AB730))),IF($Z730="A",INDEX(Fixed_Assets!$H$2:$H$201,$AB730)/INDEX(Fixed_Assets!$J$2:$J$201,$AB730),IF($Z730="F",INDEX(Workforce!$F$2:$F$151,MATCH(INDEX(FTE_Allocation!$A$2:$A$201,$AB730),Workforce!$A$2:$A$151,0))*N(INDEX(FTE_Allocation!$F$2:$H$201,$AB730,$AC730)),"")))</f>
        <v/>
      </c>
    </row>
    <row r="731">
      <c r="A731" s="7">
        <f>IF($Z731="","",$AD731)</f>
        <v/>
      </c>
      <c r="B731" s="7">
        <f>IF($Z731="C",INDEX(Contracts!$D$2:$D$151,$AB731)&amp;"",IF($Z731="A",INDEX(Fixed_Assets!$C$2:$C$201,$AB731)&amp;"",IF($Z731="F",INDEX(Workforce!$B$2:$B$151,MATCH(INDEX(FTE_Allocation!$A$2:$A$201,$AB731),Workforce!$A$2:$A$151,0))&amp;"","")))</f>
        <v/>
      </c>
      <c r="C731" s="7">
        <f>IF($Z731="C",INDEX(Contracts!$E$2:$E$151,$AB731)&amp;"",IF($Z731="A",INDEX(Fixed_Assets!$D$2:$D$201,$AB731)&amp;"",IF($Z731="F",INDEX(FTE_Allocation!$C$2:$C$201,$AB731)&amp;"","")))</f>
        <v/>
      </c>
      <c r="D731" s="7">
        <f>IF($Z731="C",INDEX(Contracts!$B$2:$B$151,$AB731)&amp;"",IF($Z731="A",INDEX(Fixed_Assets!$B$2:$B$201,$AB731)&amp;"",IF($Z731="F",INDEX(FTE_Allocation!$B$2:$B$201,$AB731)&amp;"","")))</f>
        <v/>
      </c>
      <c r="E731" s="7">
        <f>IF($Z731="C",INDEX(Contracts!$P$2:$P$151,$AB731)&amp;"",IF($Z731="A",INDEX(Fixed_Assets!$K$2:$K$201,$AB731)&amp;"",IF($Z731="F",IF(INDEX(FTE_Allocation!$D$2:$D$201,$AB731)="PROJECT",IFERROR(INDEX(Projects!$D:$D,MATCH(INDEX(FTE_Allocation!$E$2:$E$201,$AB731),Projects!$A:$A,0))&amp;"","#PROJECT?"),INDEX(FTE_Allocation!$E$2:$E$201,$AB731)&amp;""),"")))</f>
        <v/>
      </c>
      <c r="F731" s="7">
        <f>IF($Z731="C",INDEX(Contracts!$Q$2:$Q$151,$AB731)&amp;"",IF($Z731="A",INDEX(Fixed_Assets!$L$2:$L$201,$AB731)&amp;"",IF($Z731="F",INDEX(Workforce!$K$2:$K$151,MATCH(INDEX(FTE_Allocation!$A$2:$A$201,$AB731),Workforce!$A$2:$A$151,0))&amp;"","")))</f>
        <v/>
      </c>
      <c r="G731" s="7">
        <f>IF($Z731="C",INDEX(Contracts!$F$2:$F$151,$AB731)&amp;" / "&amp;INDEX(Contracts!$G$2:$G$151,$AB731),IF($Z731="A",INDEX(Fixed_Assets!$E$2:$E$201,$AB731)&amp;"",IF($Z731="F","Personnel "&amp;INDEX(FTE_Allocation!$A$2:$A$201,$AB731)&amp;IF(INDEX(FTE_Allocation!$D$2:$D$201,$AB731)="PROJECT"," ("&amp;INDEX(FTE_Allocation!$E$2:$E$201,$AB731)&amp;")",""),"")))</f>
        <v/>
      </c>
      <c r="H731" s="7">
        <f>IF($Z731="C","CONTRACT",IF($Z731="A","ASSET",IF($Z731="F","WORKFORCE","")))</f>
        <v/>
      </c>
      <c r="I731" s="7">
        <f>IF($Z731="C",INDEX(Contracts!$L$2:$L$151,$AB731)&amp;"",IF($Z731="A",INDEX(Fixed_Assets!$I$2:$I$201,$AB731)&amp;"",IF($Z731="F",INDEX(Workforce!$G$2:$G$151,MATCH(INDEX(FTE_Allocation!$A$2:$A$201,$AB731),Workforce!$A$2:$A$151,0))&amp;"","")))</f>
        <v/>
      </c>
      <c r="J731" s="18">
        <f>IF($Z731="","",IF(AND(DATE($AD731,1,1)&gt;=$AE731,DATE($AD731,1,1)&lt;=$AF731),ROUND($AG731,2),0))</f>
        <v/>
      </c>
      <c r="K731" s="18">
        <f>IF($Z731="","",IF(AND(DATE($AD731,2,1)&gt;=$AE731,DATE($AD731,2,1)&lt;=$AF731),ROUND($AG731,2),0))</f>
        <v/>
      </c>
      <c r="L731" s="18">
        <f>IF($Z731="","",IF(AND(DATE($AD731,3,1)&gt;=$AE731,DATE($AD731,3,1)&lt;=$AF731),ROUND($AG731,2),0))</f>
        <v/>
      </c>
      <c r="M731" s="18">
        <f>IF($Z731="","",IF(AND(DATE($AD731,4,1)&gt;=$AE731,DATE($AD731,4,1)&lt;=$AF731),ROUND($AG731,2),0))</f>
        <v/>
      </c>
      <c r="N731" s="18">
        <f>IF($Z731="","",IF(AND(DATE($AD731,5,1)&gt;=$AE731,DATE($AD731,5,1)&lt;=$AF731),ROUND($AG731,2),0))</f>
        <v/>
      </c>
      <c r="O731" s="18">
        <f>IF($Z731="","",IF(AND(DATE($AD731,6,1)&gt;=$AE731,DATE($AD731,6,1)&lt;=$AF731),ROUND($AG731,2),0))</f>
        <v/>
      </c>
      <c r="P731" s="18">
        <f>IF($Z731="","",IF(AND(DATE($AD731,7,1)&gt;=$AE731,DATE($AD731,7,1)&lt;=$AF731),ROUND($AG731,2),0))</f>
        <v/>
      </c>
      <c r="Q731" s="18">
        <f>IF($Z731="","",IF(AND(DATE($AD731,8,1)&gt;=$AE731,DATE($AD731,8,1)&lt;=$AF731),ROUND($AG731,2),0))</f>
        <v/>
      </c>
      <c r="R731" s="18">
        <f>IF($Z731="","",IF(AND(DATE($AD731,9,1)&gt;=$AE731,DATE($AD731,9,1)&lt;=$AF731),ROUND($AG731,2),0))</f>
        <v/>
      </c>
      <c r="S731" s="18">
        <f>IF($Z731="","",IF(AND(DATE($AD731,10,1)&gt;=$AE731,DATE($AD731,10,1)&lt;=$AF731),ROUND($AG731,2),0))</f>
        <v/>
      </c>
      <c r="T731" s="18">
        <f>IF($Z731="","",IF(AND(DATE($AD731,11,1)&gt;=$AE731,DATE($AD731,11,1)&lt;=$AF731),ROUND($AG731,2),0))</f>
        <v/>
      </c>
      <c r="U731" s="18">
        <f>IF($Z731="","",IF(AND(DATE($AD731,12,1)&gt;=$AE731,DATE($AD731,12,1)&lt;=$AF731),ROUND($AG731,2),0))</f>
        <v/>
      </c>
      <c r="V731" s="7">
        <f>IF($Z731="C","Generated from "&amp;INDEX(Contracts!$A$2:$A$151,$AB731),IF($Z731="A","Generated from "&amp;INDEX(Fixed_Assets!$A$2:$A$201,$AB731),IF($Z731="F","Generated from "&amp;INDEX(FTE_Allocation!$A$2:$A$201,$AB731),"")))</f>
        <v/>
      </c>
      <c r="X731" s="19">
        <f>IF($Z731="","",SUM(J731:U731))</f>
        <v/>
      </c>
      <c r="Y731" s="20">
        <f>ROW()-1</f>
        <v/>
      </c>
      <c r="Z731" s="20">
        <f>IF($Y731&lt;=Settings!$B$4*3,"C",IF($Y731&lt;=(Settings!$B$4+Settings!$B$5)*3,"A",IF($Y731&lt;=(Settings!$B$4+Settings!$B$5+Settings!$B$6)*3,"F","")))</f>
        <v/>
      </c>
      <c r="AA731" s="20">
        <f>IF($Z731="C",$Y731,IF($Z731="A",$Y731-Settings!$B$4*3,IF($Z731="F",$Y731-(Settings!$B$4+Settings!$B$5)*3,"")))</f>
        <v/>
      </c>
      <c r="AB731" s="20">
        <f>IF($Z731="","",INT(($AA731-1)/3)+1)</f>
        <v/>
      </c>
      <c r="AC731" s="20">
        <f>IF($Z731="","",MOD($AA731-1,3)+1)</f>
        <v/>
      </c>
      <c r="AD731" s="20">
        <f>IF($Z731="","",Settings!$B$2+$AC731-1)</f>
        <v/>
      </c>
      <c r="AE731" s="21">
        <f>IF($Z731="C",DATE(YEAR(INDEX(Contracts!$J$2:$J$151,$AB731)),MONTH(INDEX(Contracts!$J$2:$J$151,$AB731)),1),IF($Z731="A",DATE(YEAR(INDEX(Fixed_Assets!$G$2:$G$201,$AB731)),MONTH(INDEX(Fixed_Assets!$G$2:$G$201,$AB731)),1),IF($Z731="F",DATE(YEAR(MAX(N(INDEX(Workforce!$I$2:$I$151,MATCH(INDEX(FTE_Allocation!$A$2:$A$201,$AB731),Workforce!$A$2:$A$151,0))),N(INDEX(FTE_Allocation!$I$2:$I$201,$AB731)))),MONTH(MAX(N(INDEX(Workforce!$I$2:$I$151,MATCH(INDEX(FTE_Allocation!$A$2:$A$201,$AB731),Workforce!$A$2:$A$151,0))),N(INDEX(FTE_Allocation!$I$2:$I$201,$AB731)))),1),"")))</f>
        <v/>
      </c>
      <c r="AF731" s="21">
        <f>IF($Z731="C",IF(INDEX(Contracts!$I$2:$I$151,$AB731)="PREPAID",EDATE(DATE(YEAR(INDEX(Contracts!$J$2:$J$151,$AB731)),MONTH(INDEX(Contracts!$J$2:$J$151,$AB731)),1),IF(INDEX(Contracts!$N$2:$N$151,$AB731)="",12,INDEX(Contracts!$N$2:$N$151,$AB731))-1),IF(INDEX(Contracts!$I$2:$I$151,$AB731)="MONTHLY",IF(INDEX(Contracts!$K$2:$K$151,$AB731)="",2958101,INDEX(Contracts!$K$2:$K$151,$AB731)),0)),IF($Z731="A",EDATE(DATE(YEAR(INDEX(Fixed_Assets!$G$2:$G$201,$AB731)),MONTH(INDEX(Fixed_Assets!$G$2:$G$201,$AB731)),1),INDEX(Fixed_Assets!$J$2:$J$201,$AB731)-1),IF($Z731="F",MIN(IF(INDEX(Workforce!$J$2:$J$151,MATCH(INDEX(FTE_Allocation!$A$2:$A$201,$AB731),Workforce!$A$2:$A$151,0))="",2958101,INDEX(Workforce!$J$2:$J$151,MATCH(INDEX(FTE_Allocation!$A$2:$A$201,$AB731),Workforce!$A$2:$A$151,0))),IF(INDEX(FTE_Allocation!$J$2:$J$201,$AB731)="",2958101,INDEX(FTE_Allocation!$J$2:$J$201,$AB731))),"")))</f>
        <v/>
      </c>
      <c r="AG731" s="19">
        <f>IF($Z731="C",IF(INDEX(Contracts!$I$2:$I$151,$AB731)="PREPAID",INDEX(Contracts!$M$2:$M$151,$AB731)/IF(INDEX(Contracts!$N$2:$N$151,$AB731)="",12,INDEX(Contracts!$N$2:$N$151,$AB731)),IF(INDEX(Contracts!$I$2:$I$151,$AB731)="MONTHLY",INDEX(Contracts!$M$2:$M$151,$AB731),0))*(1-N(INDEX(Contracts!$O$2:$O$151,$AB731))),IF($Z731="A",INDEX(Fixed_Assets!$H$2:$H$201,$AB731)/INDEX(Fixed_Assets!$J$2:$J$201,$AB731),IF($Z731="F",INDEX(Workforce!$F$2:$F$151,MATCH(INDEX(FTE_Allocation!$A$2:$A$201,$AB731),Workforce!$A$2:$A$151,0))*N(INDEX(FTE_Allocation!$F$2:$H$201,$AB731,$AC731)),"")))</f>
        <v/>
      </c>
    </row>
    <row r="732">
      <c r="A732" s="7">
        <f>IF($Z732="","",$AD732)</f>
        <v/>
      </c>
      <c r="B732" s="7">
        <f>IF($Z732="C",INDEX(Contracts!$D$2:$D$151,$AB732)&amp;"",IF($Z732="A",INDEX(Fixed_Assets!$C$2:$C$201,$AB732)&amp;"",IF($Z732="F",INDEX(Workforce!$B$2:$B$151,MATCH(INDEX(FTE_Allocation!$A$2:$A$201,$AB732),Workforce!$A$2:$A$151,0))&amp;"","")))</f>
        <v/>
      </c>
      <c r="C732" s="7">
        <f>IF($Z732="C",INDEX(Contracts!$E$2:$E$151,$AB732)&amp;"",IF($Z732="A",INDEX(Fixed_Assets!$D$2:$D$201,$AB732)&amp;"",IF($Z732="F",INDEX(FTE_Allocation!$C$2:$C$201,$AB732)&amp;"","")))</f>
        <v/>
      </c>
      <c r="D732" s="7">
        <f>IF($Z732="C",INDEX(Contracts!$B$2:$B$151,$AB732)&amp;"",IF($Z732="A",INDEX(Fixed_Assets!$B$2:$B$201,$AB732)&amp;"",IF($Z732="F",INDEX(FTE_Allocation!$B$2:$B$201,$AB732)&amp;"","")))</f>
        <v/>
      </c>
      <c r="E732" s="7">
        <f>IF($Z732="C",INDEX(Contracts!$P$2:$P$151,$AB732)&amp;"",IF($Z732="A",INDEX(Fixed_Assets!$K$2:$K$201,$AB732)&amp;"",IF($Z732="F",IF(INDEX(FTE_Allocation!$D$2:$D$201,$AB732)="PROJECT",IFERROR(INDEX(Projects!$D:$D,MATCH(INDEX(FTE_Allocation!$E$2:$E$201,$AB732),Projects!$A:$A,0))&amp;"","#PROJECT?"),INDEX(FTE_Allocation!$E$2:$E$201,$AB732)&amp;""),"")))</f>
        <v/>
      </c>
      <c r="F732" s="7">
        <f>IF($Z732="C",INDEX(Contracts!$Q$2:$Q$151,$AB732)&amp;"",IF($Z732="A",INDEX(Fixed_Assets!$L$2:$L$201,$AB732)&amp;"",IF($Z732="F",INDEX(Workforce!$K$2:$K$151,MATCH(INDEX(FTE_Allocation!$A$2:$A$201,$AB732),Workforce!$A$2:$A$151,0))&amp;"","")))</f>
        <v/>
      </c>
      <c r="G732" s="7">
        <f>IF($Z732="C",INDEX(Contracts!$F$2:$F$151,$AB732)&amp;" / "&amp;INDEX(Contracts!$G$2:$G$151,$AB732),IF($Z732="A",INDEX(Fixed_Assets!$E$2:$E$201,$AB732)&amp;"",IF($Z732="F","Personnel "&amp;INDEX(FTE_Allocation!$A$2:$A$201,$AB732)&amp;IF(INDEX(FTE_Allocation!$D$2:$D$201,$AB732)="PROJECT"," ("&amp;INDEX(FTE_Allocation!$E$2:$E$201,$AB732)&amp;")",""),"")))</f>
        <v/>
      </c>
      <c r="H732" s="7">
        <f>IF($Z732="C","CONTRACT",IF($Z732="A","ASSET",IF($Z732="F","WORKFORCE","")))</f>
        <v/>
      </c>
      <c r="I732" s="7">
        <f>IF($Z732="C",INDEX(Contracts!$L$2:$L$151,$AB732)&amp;"",IF($Z732="A",INDEX(Fixed_Assets!$I$2:$I$201,$AB732)&amp;"",IF($Z732="F",INDEX(Workforce!$G$2:$G$151,MATCH(INDEX(FTE_Allocation!$A$2:$A$201,$AB732),Workforce!$A$2:$A$151,0))&amp;"","")))</f>
        <v/>
      </c>
      <c r="J732" s="18">
        <f>IF($Z732="","",IF(AND(DATE($AD732,1,1)&gt;=$AE732,DATE($AD732,1,1)&lt;=$AF732),ROUND($AG732,2),0))</f>
        <v/>
      </c>
      <c r="K732" s="18">
        <f>IF($Z732="","",IF(AND(DATE($AD732,2,1)&gt;=$AE732,DATE($AD732,2,1)&lt;=$AF732),ROUND($AG732,2),0))</f>
        <v/>
      </c>
      <c r="L732" s="18">
        <f>IF($Z732="","",IF(AND(DATE($AD732,3,1)&gt;=$AE732,DATE($AD732,3,1)&lt;=$AF732),ROUND($AG732,2),0))</f>
        <v/>
      </c>
      <c r="M732" s="18">
        <f>IF($Z732="","",IF(AND(DATE($AD732,4,1)&gt;=$AE732,DATE($AD732,4,1)&lt;=$AF732),ROUND($AG732,2),0))</f>
        <v/>
      </c>
      <c r="N732" s="18">
        <f>IF($Z732="","",IF(AND(DATE($AD732,5,1)&gt;=$AE732,DATE($AD732,5,1)&lt;=$AF732),ROUND($AG732,2),0))</f>
        <v/>
      </c>
      <c r="O732" s="18">
        <f>IF($Z732="","",IF(AND(DATE($AD732,6,1)&gt;=$AE732,DATE($AD732,6,1)&lt;=$AF732),ROUND($AG732,2),0))</f>
        <v/>
      </c>
      <c r="P732" s="18">
        <f>IF($Z732="","",IF(AND(DATE($AD732,7,1)&gt;=$AE732,DATE($AD732,7,1)&lt;=$AF732),ROUND($AG732,2),0))</f>
        <v/>
      </c>
      <c r="Q732" s="18">
        <f>IF($Z732="","",IF(AND(DATE($AD732,8,1)&gt;=$AE732,DATE($AD732,8,1)&lt;=$AF732),ROUND($AG732,2),0))</f>
        <v/>
      </c>
      <c r="R732" s="18">
        <f>IF($Z732="","",IF(AND(DATE($AD732,9,1)&gt;=$AE732,DATE($AD732,9,1)&lt;=$AF732),ROUND($AG732,2),0))</f>
        <v/>
      </c>
      <c r="S732" s="18">
        <f>IF($Z732="","",IF(AND(DATE($AD732,10,1)&gt;=$AE732,DATE($AD732,10,1)&lt;=$AF732),ROUND($AG732,2),0))</f>
        <v/>
      </c>
      <c r="T732" s="18">
        <f>IF($Z732="","",IF(AND(DATE($AD732,11,1)&gt;=$AE732,DATE($AD732,11,1)&lt;=$AF732),ROUND($AG732,2),0))</f>
        <v/>
      </c>
      <c r="U732" s="18">
        <f>IF($Z732="","",IF(AND(DATE($AD732,12,1)&gt;=$AE732,DATE($AD732,12,1)&lt;=$AF732),ROUND($AG732,2),0))</f>
        <v/>
      </c>
      <c r="V732" s="7">
        <f>IF($Z732="C","Generated from "&amp;INDEX(Contracts!$A$2:$A$151,$AB732),IF($Z732="A","Generated from "&amp;INDEX(Fixed_Assets!$A$2:$A$201,$AB732),IF($Z732="F","Generated from "&amp;INDEX(FTE_Allocation!$A$2:$A$201,$AB732),"")))</f>
        <v/>
      </c>
      <c r="X732" s="19">
        <f>IF($Z732="","",SUM(J732:U732))</f>
        <v/>
      </c>
      <c r="Y732" s="20">
        <f>ROW()-1</f>
        <v/>
      </c>
      <c r="Z732" s="20">
        <f>IF($Y732&lt;=Settings!$B$4*3,"C",IF($Y732&lt;=(Settings!$B$4+Settings!$B$5)*3,"A",IF($Y732&lt;=(Settings!$B$4+Settings!$B$5+Settings!$B$6)*3,"F","")))</f>
        <v/>
      </c>
      <c r="AA732" s="20">
        <f>IF($Z732="C",$Y732,IF($Z732="A",$Y732-Settings!$B$4*3,IF($Z732="F",$Y732-(Settings!$B$4+Settings!$B$5)*3,"")))</f>
        <v/>
      </c>
      <c r="AB732" s="20">
        <f>IF($Z732="","",INT(($AA732-1)/3)+1)</f>
        <v/>
      </c>
      <c r="AC732" s="20">
        <f>IF($Z732="","",MOD($AA732-1,3)+1)</f>
        <v/>
      </c>
      <c r="AD732" s="20">
        <f>IF($Z732="","",Settings!$B$2+$AC732-1)</f>
        <v/>
      </c>
      <c r="AE732" s="21">
        <f>IF($Z732="C",DATE(YEAR(INDEX(Contracts!$J$2:$J$151,$AB732)),MONTH(INDEX(Contracts!$J$2:$J$151,$AB732)),1),IF($Z732="A",DATE(YEAR(INDEX(Fixed_Assets!$G$2:$G$201,$AB732)),MONTH(INDEX(Fixed_Assets!$G$2:$G$201,$AB732)),1),IF($Z732="F",DATE(YEAR(MAX(N(INDEX(Workforce!$I$2:$I$151,MATCH(INDEX(FTE_Allocation!$A$2:$A$201,$AB732),Workforce!$A$2:$A$151,0))),N(INDEX(FTE_Allocation!$I$2:$I$201,$AB732)))),MONTH(MAX(N(INDEX(Workforce!$I$2:$I$151,MATCH(INDEX(FTE_Allocation!$A$2:$A$201,$AB732),Workforce!$A$2:$A$151,0))),N(INDEX(FTE_Allocation!$I$2:$I$201,$AB732)))),1),"")))</f>
        <v/>
      </c>
      <c r="AF732" s="21">
        <f>IF($Z732="C",IF(INDEX(Contracts!$I$2:$I$151,$AB732)="PREPAID",EDATE(DATE(YEAR(INDEX(Contracts!$J$2:$J$151,$AB732)),MONTH(INDEX(Contracts!$J$2:$J$151,$AB732)),1),IF(INDEX(Contracts!$N$2:$N$151,$AB732)="",12,INDEX(Contracts!$N$2:$N$151,$AB732))-1),IF(INDEX(Contracts!$I$2:$I$151,$AB732)="MONTHLY",IF(INDEX(Contracts!$K$2:$K$151,$AB732)="",2958101,INDEX(Contracts!$K$2:$K$151,$AB732)),0)),IF($Z732="A",EDATE(DATE(YEAR(INDEX(Fixed_Assets!$G$2:$G$201,$AB732)),MONTH(INDEX(Fixed_Assets!$G$2:$G$201,$AB732)),1),INDEX(Fixed_Assets!$J$2:$J$201,$AB732)-1),IF($Z732="F",MIN(IF(INDEX(Workforce!$J$2:$J$151,MATCH(INDEX(FTE_Allocation!$A$2:$A$201,$AB732),Workforce!$A$2:$A$151,0))="",2958101,INDEX(Workforce!$J$2:$J$151,MATCH(INDEX(FTE_Allocation!$A$2:$A$201,$AB732),Workforce!$A$2:$A$151,0))),IF(INDEX(FTE_Allocation!$J$2:$J$201,$AB732)="",2958101,INDEX(FTE_Allocation!$J$2:$J$201,$AB732))),"")))</f>
        <v/>
      </c>
      <c r="AG732" s="19">
        <f>IF($Z732="C",IF(INDEX(Contracts!$I$2:$I$151,$AB732)="PREPAID",INDEX(Contracts!$M$2:$M$151,$AB732)/IF(INDEX(Contracts!$N$2:$N$151,$AB732)="",12,INDEX(Contracts!$N$2:$N$151,$AB732)),IF(INDEX(Contracts!$I$2:$I$151,$AB732)="MONTHLY",INDEX(Contracts!$M$2:$M$151,$AB732),0))*(1-N(INDEX(Contracts!$O$2:$O$151,$AB732))),IF($Z732="A",INDEX(Fixed_Assets!$H$2:$H$201,$AB732)/INDEX(Fixed_Assets!$J$2:$J$201,$AB732),IF($Z732="F",INDEX(Workforce!$F$2:$F$151,MATCH(INDEX(FTE_Allocation!$A$2:$A$201,$AB732),Workforce!$A$2:$A$151,0))*N(INDEX(FTE_Allocation!$F$2:$H$201,$AB732,$AC732)),"")))</f>
        <v/>
      </c>
    </row>
    <row r="733">
      <c r="A733" s="7">
        <f>IF($Z733="","",$AD733)</f>
        <v/>
      </c>
      <c r="B733" s="7">
        <f>IF($Z733="C",INDEX(Contracts!$D$2:$D$151,$AB733)&amp;"",IF($Z733="A",INDEX(Fixed_Assets!$C$2:$C$201,$AB733)&amp;"",IF($Z733="F",INDEX(Workforce!$B$2:$B$151,MATCH(INDEX(FTE_Allocation!$A$2:$A$201,$AB733),Workforce!$A$2:$A$151,0))&amp;"","")))</f>
        <v/>
      </c>
      <c r="C733" s="7">
        <f>IF($Z733="C",INDEX(Contracts!$E$2:$E$151,$AB733)&amp;"",IF($Z733="A",INDEX(Fixed_Assets!$D$2:$D$201,$AB733)&amp;"",IF($Z733="F",INDEX(FTE_Allocation!$C$2:$C$201,$AB733)&amp;"","")))</f>
        <v/>
      </c>
      <c r="D733" s="7">
        <f>IF($Z733="C",INDEX(Contracts!$B$2:$B$151,$AB733)&amp;"",IF($Z733="A",INDEX(Fixed_Assets!$B$2:$B$201,$AB733)&amp;"",IF($Z733="F",INDEX(FTE_Allocation!$B$2:$B$201,$AB733)&amp;"","")))</f>
        <v/>
      </c>
      <c r="E733" s="7">
        <f>IF($Z733="C",INDEX(Contracts!$P$2:$P$151,$AB733)&amp;"",IF($Z733="A",INDEX(Fixed_Assets!$K$2:$K$201,$AB733)&amp;"",IF($Z733="F",IF(INDEX(FTE_Allocation!$D$2:$D$201,$AB733)="PROJECT",IFERROR(INDEX(Projects!$D:$D,MATCH(INDEX(FTE_Allocation!$E$2:$E$201,$AB733),Projects!$A:$A,0))&amp;"","#PROJECT?"),INDEX(FTE_Allocation!$E$2:$E$201,$AB733)&amp;""),"")))</f>
        <v/>
      </c>
      <c r="F733" s="7">
        <f>IF($Z733="C",INDEX(Contracts!$Q$2:$Q$151,$AB733)&amp;"",IF($Z733="A",INDEX(Fixed_Assets!$L$2:$L$201,$AB733)&amp;"",IF($Z733="F",INDEX(Workforce!$K$2:$K$151,MATCH(INDEX(FTE_Allocation!$A$2:$A$201,$AB733),Workforce!$A$2:$A$151,0))&amp;"","")))</f>
        <v/>
      </c>
      <c r="G733" s="7">
        <f>IF($Z733="C",INDEX(Contracts!$F$2:$F$151,$AB733)&amp;" / "&amp;INDEX(Contracts!$G$2:$G$151,$AB733),IF($Z733="A",INDEX(Fixed_Assets!$E$2:$E$201,$AB733)&amp;"",IF($Z733="F","Personnel "&amp;INDEX(FTE_Allocation!$A$2:$A$201,$AB733)&amp;IF(INDEX(FTE_Allocation!$D$2:$D$201,$AB733)="PROJECT"," ("&amp;INDEX(FTE_Allocation!$E$2:$E$201,$AB733)&amp;")",""),"")))</f>
        <v/>
      </c>
      <c r="H733" s="7">
        <f>IF($Z733="C","CONTRACT",IF($Z733="A","ASSET",IF($Z733="F","WORKFORCE","")))</f>
        <v/>
      </c>
      <c r="I733" s="7">
        <f>IF($Z733="C",INDEX(Contracts!$L$2:$L$151,$AB733)&amp;"",IF($Z733="A",INDEX(Fixed_Assets!$I$2:$I$201,$AB733)&amp;"",IF($Z733="F",INDEX(Workforce!$G$2:$G$151,MATCH(INDEX(FTE_Allocation!$A$2:$A$201,$AB733),Workforce!$A$2:$A$151,0))&amp;"","")))</f>
        <v/>
      </c>
      <c r="J733" s="18">
        <f>IF($Z733="","",IF(AND(DATE($AD733,1,1)&gt;=$AE733,DATE($AD733,1,1)&lt;=$AF733),ROUND($AG733,2),0))</f>
        <v/>
      </c>
      <c r="K733" s="18">
        <f>IF($Z733="","",IF(AND(DATE($AD733,2,1)&gt;=$AE733,DATE($AD733,2,1)&lt;=$AF733),ROUND($AG733,2),0))</f>
        <v/>
      </c>
      <c r="L733" s="18">
        <f>IF($Z733="","",IF(AND(DATE($AD733,3,1)&gt;=$AE733,DATE($AD733,3,1)&lt;=$AF733),ROUND($AG733,2),0))</f>
        <v/>
      </c>
      <c r="M733" s="18">
        <f>IF($Z733="","",IF(AND(DATE($AD733,4,1)&gt;=$AE733,DATE($AD733,4,1)&lt;=$AF733),ROUND($AG733,2),0))</f>
        <v/>
      </c>
      <c r="N733" s="18">
        <f>IF($Z733="","",IF(AND(DATE($AD733,5,1)&gt;=$AE733,DATE($AD733,5,1)&lt;=$AF733),ROUND($AG733,2),0))</f>
        <v/>
      </c>
      <c r="O733" s="18">
        <f>IF($Z733="","",IF(AND(DATE($AD733,6,1)&gt;=$AE733,DATE($AD733,6,1)&lt;=$AF733),ROUND($AG733,2),0))</f>
        <v/>
      </c>
      <c r="P733" s="18">
        <f>IF($Z733="","",IF(AND(DATE($AD733,7,1)&gt;=$AE733,DATE($AD733,7,1)&lt;=$AF733),ROUND($AG733,2),0))</f>
        <v/>
      </c>
      <c r="Q733" s="18">
        <f>IF($Z733="","",IF(AND(DATE($AD733,8,1)&gt;=$AE733,DATE($AD733,8,1)&lt;=$AF733),ROUND($AG733,2),0))</f>
        <v/>
      </c>
      <c r="R733" s="18">
        <f>IF($Z733="","",IF(AND(DATE($AD733,9,1)&gt;=$AE733,DATE($AD733,9,1)&lt;=$AF733),ROUND($AG733,2),0))</f>
        <v/>
      </c>
      <c r="S733" s="18">
        <f>IF($Z733="","",IF(AND(DATE($AD733,10,1)&gt;=$AE733,DATE($AD733,10,1)&lt;=$AF733),ROUND($AG733,2),0))</f>
        <v/>
      </c>
      <c r="T733" s="18">
        <f>IF($Z733="","",IF(AND(DATE($AD733,11,1)&gt;=$AE733,DATE($AD733,11,1)&lt;=$AF733),ROUND($AG733,2),0))</f>
        <v/>
      </c>
      <c r="U733" s="18">
        <f>IF($Z733="","",IF(AND(DATE($AD733,12,1)&gt;=$AE733,DATE($AD733,12,1)&lt;=$AF733),ROUND($AG733,2),0))</f>
        <v/>
      </c>
      <c r="V733" s="7">
        <f>IF($Z733="C","Generated from "&amp;INDEX(Contracts!$A$2:$A$151,$AB733),IF($Z733="A","Generated from "&amp;INDEX(Fixed_Assets!$A$2:$A$201,$AB733),IF($Z733="F","Generated from "&amp;INDEX(FTE_Allocation!$A$2:$A$201,$AB733),"")))</f>
        <v/>
      </c>
      <c r="X733" s="19">
        <f>IF($Z733="","",SUM(J733:U733))</f>
        <v/>
      </c>
      <c r="Y733" s="20">
        <f>ROW()-1</f>
        <v/>
      </c>
      <c r="Z733" s="20">
        <f>IF($Y733&lt;=Settings!$B$4*3,"C",IF($Y733&lt;=(Settings!$B$4+Settings!$B$5)*3,"A",IF($Y733&lt;=(Settings!$B$4+Settings!$B$5+Settings!$B$6)*3,"F","")))</f>
        <v/>
      </c>
      <c r="AA733" s="20">
        <f>IF($Z733="C",$Y733,IF($Z733="A",$Y733-Settings!$B$4*3,IF($Z733="F",$Y733-(Settings!$B$4+Settings!$B$5)*3,"")))</f>
        <v/>
      </c>
      <c r="AB733" s="20">
        <f>IF($Z733="","",INT(($AA733-1)/3)+1)</f>
        <v/>
      </c>
      <c r="AC733" s="20">
        <f>IF($Z733="","",MOD($AA733-1,3)+1)</f>
        <v/>
      </c>
      <c r="AD733" s="20">
        <f>IF($Z733="","",Settings!$B$2+$AC733-1)</f>
        <v/>
      </c>
      <c r="AE733" s="21">
        <f>IF($Z733="C",DATE(YEAR(INDEX(Contracts!$J$2:$J$151,$AB733)),MONTH(INDEX(Contracts!$J$2:$J$151,$AB733)),1),IF($Z733="A",DATE(YEAR(INDEX(Fixed_Assets!$G$2:$G$201,$AB733)),MONTH(INDEX(Fixed_Assets!$G$2:$G$201,$AB733)),1),IF($Z733="F",DATE(YEAR(MAX(N(INDEX(Workforce!$I$2:$I$151,MATCH(INDEX(FTE_Allocation!$A$2:$A$201,$AB733),Workforce!$A$2:$A$151,0))),N(INDEX(FTE_Allocation!$I$2:$I$201,$AB733)))),MONTH(MAX(N(INDEX(Workforce!$I$2:$I$151,MATCH(INDEX(FTE_Allocation!$A$2:$A$201,$AB733),Workforce!$A$2:$A$151,0))),N(INDEX(FTE_Allocation!$I$2:$I$201,$AB733)))),1),"")))</f>
        <v/>
      </c>
      <c r="AF733" s="21">
        <f>IF($Z733="C",IF(INDEX(Contracts!$I$2:$I$151,$AB733)="PREPAID",EDATE(DATE(YEAR(INDEX(Contracts!$J$2:$J$151,$AB733)),MONTH(INDEX(Contracts!$J$2:$J$151,$AB733)),1),IF(INDEX(Contracts!$N$2:$N$151,$AB733)="",12,INDEX(Contracts!$N$2:$N$151,$AB733))-1),IF(INDEX(Contracts!$I$2:$I$151,$AB733)="MONTHLY",IF(INDEX(Contracts!$K$2:$K$151,$AB733)="",2958101,INDEX(Contracts!$K$2:$K$151,$AB733)),0)),IF($Z733="A",EDATE(DATE(YEAR(INDEX(Fixed_Assets!$G$2:$G$201,$AB733)),MONTH(INDEX(Fixed_Assets!$G$2:$G$201,$AB733)),1),INDEX(Fixed_Assets!$J$2:$J$201,$AB733)-1),IF($Z733="F",MIN(IF(INDEX(Workforce!$J$2:$J$151,MATCH(INDEX(FTE_Allocation!$A$2:$A$201,$AB733),Workforce!$A$2:$A$151,0))="",2958101,INDEX(Workforce!$J$2:$J$151,MATCH(INDEX(FTE_Allocation!$A$2:$A$201,$AB733),Workforce!$A$2:$A$151,0))),IF(INDEX(FTE_Allocation!$J$2:$J$201,$AB733)="",2958101,INDEX(FTE_Allocation!$J$2:$J$201,$AB733))),"")))</f>
        <v/>
      </c>
      <c r="AG733" s="19">
        <f>IF($Z733="C",IF(INDEX(Contracts!$I$2:$I$151,$AB733)="PREPAID",INDEX(Contracts!$M$2:$M$151,$AB733)/IF(INDEX(Contracts!$N$2:$N$151,$AB733)="",12,INDEX(Contracts!$N$2:$N$151,$AB733)),IF(INDEX(Contracts!$I$2:$I$151,$AB733)="MONTHLY",INDEX(Contracts!$M$2:$M$151,$AB733),0))*(1-N(INDEX(Contracts!$O$2:$O$151,$AB733))),IF($Z733="A",INDEX(Fixed_Assets!$H$2:$H$201,$AB733)/INDEX(Fixed_Assets!$J$2:$J$201,$AB733),IF($Z733="F",INDEX(Workforce!$F$2:$F$151,MATCH(INDEX(FTE_Allocation!$A$2:$A$201,$AB733),Workforce!$A$2:$A$151,0))*N(INDEX(FTE_Allocation!$F$2:$H$201,$AB733,$AC733)),"")))</f>
        <v/>
      </c>
    </row>
    <row r="734">
      <c r="A734" s="7">
        <f>IF($Z734="","",$AD734)</f>
        <v/>
      </c>
      <c r="B734" s="7">
        <f>IF($Z734="C",INDEX(Contracts!$D$2:$D$151,$AB734)&amp;"",IF($Z734="A",INDEX(Fixed_Assets!$C$2:$C$201,$AB734)&amp;"",IF($Z734="F",INDEX(Workforce!$B$2:$B$151,MATCH(INDEX(FTE_Allocation!$A$2:$A$201,$AB734),Workforce!$A$2:$A$151,0))&amp;"","")))</f>
        <v/>
      </c>
      <c r="C734" s="7">
        <f>IF($Z734="C",INDEX(Contracts!$E$2:$E$151,$AB734)&amp;"",IF($Z734="A",INDEX(Fixed_Assets!$D$2:$D$201,$AB734)&amp;"",IF($Z734="F",INDEX(FTE_Allocation!$C$2:$C$201,$AB734)&amp;"","")))</f>
        <v/>
      </c>
      <c r="D734" s="7">
        <f>IF($Z734="C",INDEX(Contracts!$B$2:$B$151,$AB734)&amp;"",IF($Z734="A",INDEX(Fixed_Assets!$B$2:$B$201,$AB734)&amp;"",IF($Z734="F",INDEX(FTE_Allocation!$B$2:$B$201,$AB734)&amp;"","")))</f>
        <v/>
      </c>
      <c r="E734" s="7">
        <f>IF($Z734="C",INDEX(Contracts!$P$2:$P$151,$AB734)&amp;"",IF($Z734="A",INDEX(Fixed_Assets!$K$2:$K$201,$AB734)&amp;"",IF($Z734="F",IF(INDEX(FTE_Allocation!$D$2:$D$201,$AB734)="PROJECT",IFERROR(INDEX(Projects!$D:$D,MATCH(INDEX(FTE_Allocation!$E$2:$E$201,$AB734),Projects!$A:$A,0))&amp;"","#PROJECT?"),INDEX(FTE_Allocation!$E$2:$E$201,$AB734)&amp;""),"")))</f>
        <v/>
      </c>
      <c r="F734" s="7">
        <f>IF($Z734="C",INDEX(Contracts!$Q$2:$Q$151,$AB734)&amp;"",IF($Z734="A",INDEX(Fixed_Assets!$L$2:$L$201,$AB734)&amp;"",IF($Z734="F",INDEX(Workforce!$K$2:$K$151,MATCH(INDEX(FTE_Allocation!$A$2:$A$201,$AB734),Workforce!$A$2:$A$151,0))&amp;"","")))</f>
        <v/>
      </c>
      <c r="G734" s="7">
        <f>IF($Z734="C",INDEX(Contracts!$F$2:$F$151,$AB734)&amp;" / "&amp;INDEX(Contracts!$G$2:$G$151,$AB734),IF($Z734="A",INDEX(Fixed_Assets!$E$2:$E$201,$AB734)&amp;"",IF($Z734="F","Personnel "&amp;INDEX(FTE_Allocation!$A$2:$A$201,$AB734)&amp;IF(INDEX(FTE_Allocation!$D$2:$D$201,$AB734)="PROJECT"," ("&amp;INDEX(FTE_Allocation!$E$2:$E$201,$AB734)&amp;")",""),"")))</f>
        <v/>
      </c>
      <c r="H734" s="7">
        <f>IF($Z734="C","CONTRACT",IF($Z734="A","ASSET",IF($Z734="F","WORKFORCE","")))</f>
        <v/>
      </c>
      <c r="I734" s="7">
        <f>IF($Z734="C",INDEX(Contracts!$L$2:$L$151,$AB734)&amp;"",IF($Z734="A",INDEX(Fixed_Assets!$I$2:$I$201,$AB734)&amp;"",IF($Z734="F",INDEX(Workforce!$G$2:$G$151,MATCH(INDEX(FTE_Allocation!$A$2:$A$201,$AB734),Workforce!$A$2:$A$151,0))&amp;"","")))</f>
        <v/>
      </c>
      <c r="J734" s="18">
        <f>IF($Z734="","",IF(AND(DATE($AD734,1,1)&gt;=$AE734,DATE($AD734,1,1)&lt;=$AF734),ROUND($AG734,2),0))</f>
        <v/>
      </c>
      <c r="K734" s="18">
        <f>IF($Z734="","",IF(AND(DATE($AD734,2,1)&gt;=$AE734,DATE($AD734,2,1)&lt;=$AF734),ROUND($AG734,2),0))</f>
        <v/>
      </c>
      <c r="L734" s="18">
        <f>IF($Z734="","",IF(AND(DATE($AD734,3,1)&gt;=$AE734,DATE($AD734,3,1)&lt;=$AF734),ROUND($AG734,2),0))</f>
        <v/>
      </c>
      <c r="M734" s="18">
        <f>IF($Z734="","",IF(AND(DATE($AD734,4,1)&gt;=$AE734,DATE($AD734,4,1)&lt;=$AF734),ROUND($AG734,2),0))</f>
        <v/>
      </c>
      <c r="N734" s="18">
        <f>IF($Z734="","",IF(AND(DATE($AD734,5,1)&gt;=$AE734,DATE($AD734,5,1)&lt;=$AF734),ROUND($AG734,2),0))</f>
        <v/>
      </c>
      <c r="O734" s="18">
        <f>IF($Z734="","",IF(AND(DATE($AD734,6,1)&gt;=$AE734,DATE($AD734,6,1)&lt;=$AF734),ROUND($AG734,2),0))</f>
        <v/>
      </c>
      <c r="P734" s="18">
        <f>IF($Z734="","",IF(AND(DATE($AD734,7,1)&gt;=$AE734,DATE($AD734,7,1)&lt;=$AF734),ROUND($AG734,2),0))</f>
        <v/>
      </c>
      <c r="Q734" s="18">
        <f>IF($Z734="","",IF(AND(DATE($AD734,8,1)&gt;=$AE734,DATE($AD734,8,1)&lt;=$AF734),ROUND($AG734,2),0))</f>
        <v/>
      </c>
      <c r="R734" s="18">
        <f>IF($Z734="","",IF(AND(DATE($AD734,9,1)&gt;=$AE734,DATE($AD734,9,1)&lt;=$AF734),ROUND($AG734,2),0))</f>
        <v/>
      </c>
      <c r="S734" s="18">
        <f>IF($Z734="","",IF(AND(DATE($AD734,10,1)&gt;=$AE734,DATE($AD734,10,1)&lt;=$AF734),ROUND($AG734,2),0))</f>
        <v/>
      </c>
      <c r="T734" s="18">
        <f>IF($Z734="","",IF(AND(DATE($AD734,11,1)&gt;=$AE734,DATE($AD734,11,1)&lt;=$AF734),ROUND($AG734,2),0))</f>
        <v/>
      </c>
      <c r="U734" s="18">
        <f>IF($Z734="","",IF(AND(DATE($AD734,12,1)&gt;=$AE734,DATE($AD734,12,1)&lt;=$AF734),ROUND($AG734,2),0))</f>
        <v/>
      </c>
      <c r="V734" s="7">
        <f>IF($Z734="C","Generated from "&amp;INDEX(Contracts!$A$2:$A$151,$AB734),IF($Z734="A","Generated from "&amp;INDEX(Fixed_Assets!$A$2:$A$201,$AB734),IF($Z734="F","Generated from "&amp;INDEX(FTE_Allocation!$A$2:$A$201,$AB734),"")))</f>
        <v/>
      </c>
      <c r="X734" s="19">
        <f>IF($Z734="","",SUM(J734:U734))</f>
        <v/>
      </c>
      <c r="Y734" s="20">
        <f>ROW()-1</f>
        <v/>
      </c>
      <c r="Z734" s="20">
        <f>IF($Y734&lt;=Settings!$B$4*3,"C",IF($Y734&lt;=(Settings!$B$4+Settings!$B$5)*3,"A",IF($Y734&lt;=(Settings!$B$4+Settings!$B$5+Settings!$B$6)*3,"F","")))</f>
        <v/>
      </c>
      <c r="AA734" s="20">
        <f>IF($Z734="C",$Y734,IF($Z734="A",$Y734-Settings!$B$4*3,IF($Z734="F",$Y734-(Settings!$B$4+Settings!$B$5)*3,"")))</f>
        <v/>
      </c>
      <c r="AB734" s="20">
        <f>IF($Z734="","",INT(($AA734-1)/3)+1)</f>
        <v/>
      </c>
      <c r="AC734" s="20">
        <f>IF($Z734="","",MOD($AA734-1,3)+1)</f>
        <v/>
      </c>
      <c r="AD734" s="20">
        <f>IF($Z734="","",Settings!$B$2+$AC734-1)</f>
        <v/>
      </c>
      <c r="AE734" s="21">
        <f>IF($Z734="C",DATE(YEAR(INDEX(Contracts!$J$2:$J$151,$AB734)),MONTH(INDEX(Contracts!$J$2:$J$151,$AB734)),1),IF($Z734="A",DATE(YEAR(INDEX(Fixed_Assets!$G$2:$G$201,$AB734)),MONTH(INDEX(Fixed_Assets!$G$2:$G$201,$AB734)),1),IF($Z734="F",DATE(YEAR(MAX(N(INDEX(Workforce!$I$2:$I$151,MATCH(INDEX(FTE_Allocation!$A$2:$A$201,$AB734),Workforce!$A$2:$A$151,0))),N(INDEX(FTE_Allocation!$I$2:$I$201,$AB734)))),MONTH(MAX(N(INDEX(Workforce!$I$2:$I$151,MATCH(INDEX(FTE_Allocation!$A$2:$A$201,$AB734),Workforce!$A$2:$A$151,0))),N(INDEX(FTE_Allocation!$I$2:$I$201,$AB734)))),1),"")))</f>
        <v/>
      </c>
      <c r="AF734" s="21">
        <f>IF($Z734="C",IF(INDEX(Contracts!$I$2:$I$151,$AB734)="PREPAID",EDATE(DATE(YEAR(INDEX(Contracts!$J$2:$J$151,$AB734)),MONTH(INDEX(Contracts!$J$2:$J$151,$AB734)),1),IF(INDEX(Contracts!$N$2:$N$151,$AB734)="",12,INDEX(Contracts!$N$2:$N$151,$AB734))-1),IF(INDEX(Contracts!$I$2:$I$151,$AB734)="MONTHLY",IF(INDEX(Contracts!$K$2:$K$151,$AB734)="",2958101,INDEX(Contracts!$K$2:$K$151,$AB734)),0)),IF($Z734="A",EDATE(DATE(YEAR(INDEX(Fixed_Assets!$G$2:$G$201,$AB734)),MONTH(INDEX(Fixed_Assets!$G$2:$G$201,$AB734)),1),INDEX(Fixed_Assets!$J$2:$J$201,$AB734)-1),IF($Z734="F",MIN(IF(INDEX(Workforce!$J$2:$J$151,MATCH(INDEX(FTE_Allocation!$A$2:$A$201,$AB734),Workforce!$A$2:$A$151,0))="",2958101,INDEX(Workforce!$J$2:$J$151,MATCH(INDEX(FTE_Allocation!$A$2:$A$201,$AB734),Workforce!$A$2:$A$151,0))),IF(INDEX(FTE_Allocation!$J$2:$J$201,$AB734)="",2958101,INDEX(FTE_Allocation!$J$2:$J$201,$AB734))),"")))</f>
        <v/>
      </c>
      <c r="AG734" s="19">
        <f>IF($Z734="C",IF(INDEX(Contracts!$I$2:$I$151,$AB734)="PREPAID",INDEX(Contracts!$M$2:$M$151,$AB734)/IF(INDEX(Contracts!$N$2:$N$151,$AB734)="",12,INDEX(Contracts!$N$2:$N$151,$AB734)),IF(INDEX(Contracts!$I$2:$I$151,$AB734)="MONTHLY",INDEX(Contracts!$M$2:$M$151,$AB734),0))*(1-N(INDEX(Contracts!$O$2:$O$151,$AB734))),IF($Z734="A",INDEX(Fixed_Assets!$H$2:$H$201,$AB734)/INDEX(Fixed_Assets!$J$2:$J$201,$AB734),IF($Z734="F",INDEX(Workforce!$F$2:$F$151,MATCH(INDEX(FTE_Allocation!$A$2:$A$201,$AB734),Workforce!$A$2:$A$151,0))*N(INDEX(FTE_Allocation!$F$2:$H$201,$AB734,$AC734)),"")))</f>
        <v/>
      </c>
    </row>
    <row r="735">
      <c r="A735" s="7">
        <f>IF($Z735="","",$AD735)</f>
        <v/>
      </c>
      <c r="B735" s="7">
        <f>IF($Z735="C",INDEX(Contracts!$D$2:$D$151,$AB735)&amp;"",IF($Z735="A",INDEX(Fixed_Assets!$C$2:$C$201,$AB735)&amp;"",IF($Z735="F",INDEX(Workforce!$B$2:$B$151,MATCH(INDEX(FTE_Allocation!$A$2:$A$201,$AB735),Workforce!$A$2:$A$151,0))&amp;"","")))</f>
        <v/>
      </c>
      <c r="C735" s="7">
        <f>IF($Z735="C",INDEX(Contracts!$E$2:$E$151,$AB735)&amp;"",IF($Z735="A",INDEX(Fixed_Assets!$D$2:$D$201,$AB735)&amp;"",IF($Z735="F",INDEX(FTE_Allocation!$C$2:$C$201,$AB735)&amp;"","")))</f>
        <v/>
      </c>
      <c r="D735" s="7">
        <f>IF($Z735="C",INDEX(Contracts!$B$2:$B$151,$AB735)&amp;"",IF($Z735="A",INDEX(Fixed_Assets!$B$2:$B$201,$AB735)&amp;"",IF($Z735="F",INDEX(FTE_Allocation!$B$2:$B$201,$AB735)&amp;"","")))</f>
        <v/>
      </c>
      <c r="E735" s="7">
        <f>IF($Z735="C",INDEX(Contracts!$P$2:$P$151,$AB735)&amp;"",IF($Z735="A",INDEX(Fixed_Assets!$K$2:$K$201,$AB735)&amp;"",IF($Z735="F",IF(INDEX(FTE_Allocation!$D$2:$D$201,$AB735)="PROJECT",IFERROR(INDEX(Projects!$D:$D,MATCH(INDEX(FTE_Allocation!$E$2:$E$201,$AB735),Projects!$A:$A,0))&amp;"","#PROJECT?"),INDEX(FTE_Allocation!$E$2:$E$201,$AB735)&amp;""),"")))</f>
        <v/>
      </c>
      <c r="F735" s="7">
        <f>IF($Z735="C",INDEX(Contracts!$Q$2:$Q$151,$AB735)&amp;"",IF($Z735="A",INDEX(Fixed_Assets!$L$2:$L$201,$AB735)&amp;"",IF($Z735="F",INDEX(Workforce!$K$2:$K$151,MATCH(INDEX(FTE_Allocation!$A$2:$A$201,$AB735),Workforce!$A$2:$A$151,0))&amp;"","")))</f>
        <v/>
      </c>
      <c r="G735" s="7">
        <f>IF($Z735="C",INDEX(Contracts!$F$2:$F$151,$AB735)&amp;" / "&amp;INDEX(Contracts!$G$2:$G$151,$AB735),IF($Z735="A",INDEX(Fixed_Assets!$E$2:$E$201,$AB735)&amp;"",IF($Z735="F","Personnel "&amp;INDEX(FTE_Allocation!$A$2:$A$201,$AB735)&amp;IF(INDEX(FTE_Allocation!$D$2:$D$201,$AB735)="PROJECT"," ("&amp;INDEX(FTE_Allocation!$E$2:$E$201,$AB735)&amp;")",""),"")))</f>
        <v/>
      </c>
      <c r="H735" s="7">
        <f>IF($Z735="C","CONTRACT",IF($Z735="A","ASSET",IF($Z735="F","WORKFORCE","")))</f>
        <v/>
      </c>
      <c r="I735" s="7">
        <f>IF($Z735="C",INDEX(Contracts!$L$2:$L$151,$AB735)&amp;"",IF($Z735="A",INDEX(Fixed_Assets!$I$2:$I$201,$AB735)&amp;"",IF($Z735="F",INDEX(Workforce!$G$2:$G$151,MATCH(INDEX(FTE_Allocation!$A$2:$A$201,$AB735),Workforce!$A$2:$A$151,0))&amp;"","")))</f>
        <v/>
      </c>
      <c r="J735" s="18">
        <f>IF($Z735="","",IF(AND(DATE($AD735,1,1)&gt;=$AE735,DATE($AD735,1,1)&lt;=$AF735),ROUND($AG735,2),0))</f>
        <v/>
      </c>
      <c r="K735" s="18">
        <f>IF($Z735="","",IF(AND(DATE($AD735,2,1)&gt;=$AE735,DATE($AD735,2,1)&lt;=$AF735),ROUND($AG735,2),0))</f>
        <v/>
      </c>
      <c r="L735" s="18">
        <f>IF($Z735="","",IF(AND(DATE($AD735,3,1)&gt;=$AE735,DATE($AD735,3,1)&lt;=$AF735),ROUND($AG735,2),0))</f>
        <v/>
      </c>
      <c r="M735" s="18">
        <f>IF($Z735="","",IF(AND(DATE($AD735,4,1)&gt;=$AE735,DATE($AD735,4,1)&lt;=$AF735),ROUND($AG735,2),0))</f>
        <v/>
      </c>
      <c r="N735" s="18">
        <f>IF($Z735="","",IF(AND(DATE($AD735,5,1)&gt;=$AE735,DATE($AD735,5,1)&lt;=$AF735),ROUND($AG735,2),0))</f>
        <v/>
      </c>
      <c r="O735" s="18">
        <f>IF($Z735="","",IF(AND(DATE($AD735,6,1)&gt;=$AE735,DATE($AD735,6,1)&lt;=$AF735),ROUND($AG735,2),0))</f>
        <v/>
      </c>
      <c r="P735" s="18">
        <f>IF($Z735="","",IF(AND(DATE($AD735,7,1)&gt;=$AE735,DATE($AD735,7,1)&lt;=$AF735),ROUND($AG735,2),0))</f>
        <v/>
      </c>
      <c r="Q735" s="18">
        <f>IF($Z735="","",IF(AND(DATE($AD735,8,1)&gt;=$AE735,DATE($AD735,8,1)&lt;=$AF735),ROUND($AG735,2),0))</f>
        <v/>
      </c>
      <c r="R735" s="18">
        <f>IF($Z735="","",IF(AND(DATE($AD735,9,1)&gt;=$AE735,DATE($AD735,9,1)&lt;=$AF735),ROUND($AG735,2),0))</f>
        <v/>
      </c>
      <c r="S735" s="18">
        <f>IF($Z735="","",IF(AND(DATE($AD735,10,1)&gt;=$AE735,DATE($AD735,10,1)&lt;=$AF735),ROUND($AG735,2),0))</f>
        <v/>
      </c>
      <c r="T735" s="18">
        <f>IF($Z735="","",IF(AND(DATE($AD735,11,1)&gt;=$AE735,DATE($AD735,11,1)&lt;=$AF735),ROUND($AG735,2),0))</f>
        <v/>
      </c>
      <c r="U735" s="18">
        <f>IF($Z735="","",IF(AND(DATE($AD735,12,1)&gt;=$AE735,DATE($AD735,12,1)&lt;=$AF735),ROUND($AG735,2),0))</f>
        <v/>
      </c>
      <c r="V735" s="7">
        <f>IF($Z735="C","Generated from "&amp;INDEX(Contracts!$A$2:$A$151,$AB735),IF($Z735="A","Generated from "&amp;INDEX(Fixed_Assets!$A$2:$A$201,$AB735),IF($Z735="F","Generated from "&amp;INDEX(FTE_Allocation!$A$2:$A$201,$AB735),"")))</f>
        <v/>
      </c>
      <c r="X735" s="19">
        <f>IF($Z735="","",SUM(J735:U735))</f>
        <v/>
      </c>
      <c r="Y735" s="20">
        <f>ROW()-1</f>
        <v/>
      </c>
      <c r="Z735" s="20">
        <f>IF($Y735&lt;=Settings!$B$4*3,"C",IF($Y735&lt;=(Settings!$B$4+Settings!$B$5)*3,"A",IF($Y735&lt;=(Settings!$B$4+Settings!$B$5+Settings!$B$6)*3,"F","")))</f>
        <v/>
      </c>
      <c r="AA735" s="20">
        <f>IF($Z735="C",$Y735,IF($Z735="A",$Y735-Settings!$B$4*3,IF($Z735="F",$Y735-(Settings!$B$4+Settings!$B$5)*3,"")))</f>
        <v/>
      </c>
      <c r="AB735" s="20">
        <f>IF($Z735="","",INT(($AA735-1)/3)+1)</f>
        <v/>
      </c>
      <c r="AC735" s="20">
        <f>IF($Z735="","",MOD($AA735-1,3)+1)</f>
        <v/>
      </c>
      <c r="AD735" s="20">
        <f>IF($Z735="","",Settings!$B$2+$AC735-1)</f>
        <v/>
      </c>
      <c r="AE735" s="21">
        <f>IF($Z735="C",DATE(YEAR(INDEX(Contracts!$J$2:$J$151,$AB735)),MONTH(INDEX(Contracts!$J$2:$J$151,$AB735)),1),IF($Z735="A",DATE(YEAR(INDEX(Fixed_Assets!$G$2:$G$201,$AB735)),MONTH(INDEX(Fixed_Assets!$G$2:$G$201,$AB735)),1),IF($Z735="F",DATE(YEAR(MAX(N(INDEX(Workforce!$I$2:$I$151,MATCH(INDEX(FTE_Allocation!$A$2:$A$201,$AB735),Workforce!$A$2:$A$151,0))),N(INDEX(FTE_Allocation!$I$2:$I$201,$AB735)))),MONTH(MAX(N(INDEX(Workforce!$I$2:$I$151,MATCH(INDEX(FTE_Allocation!$A$2:$A$201,$AB735),Workforce!$A$2:$A$151,0))),N(INDEX(FTE_Allocation!$I$2:$I$201,$AB735)))),1),"")))</f>
        <v/>
      </c>
      <c r="AF735" s="21">
        <f>IF($Z735="C",IF(INDEX(Contracts!$I$2:$I$151,$AB735)="PREPAID",EDATE(DATE(YEAR(INDEX(Contracts!$J$2:$J$151,$AB735)),MONTH(INDEX(Contracts!$J$2:$J$151,$AB735)),1),IF(INDEX(Contracts!$N$2:$N$151,$AB735)="",12,INDEX(Contracts!$N$2:$N$151,$AB735))-1),IF(INDEX(Contracts!$I$2:$I$151,$AB735)="MONTHLY",IF(INDEX(Contracts!$K$2:$K$151,$AB735)="",2958101,INDEX(Contracts!$K$2:$K$151,$AB735)),0)),IF($Z735="A",EDATE(DATE(YEAR(INDEX(Fixed_Assets!$G$2:$G$201,$AB735)),MONTH(INDEX(Fixed_Assets!$G$2:$G$201,$AB735)),1),INDEX(Fixed_Assets!$J$2:$J$201,$AB735)-1),IF($Z735="F",MIN(IF(INDEX(Workforce!$J$2:$J$151,MATCH(INDEX(FTE_Allocation!$A$2:$A$201,$AB735),Workforce!$A$2:$A$151,0))="",2958101,INDEX(Workforce!$J$2:$J$151,MATCH(INDEX(FTE_Allocation!$A$2:$A$201,$AB735),Workforce!$A$2:$A$151,0))),IF(INDEX(FTE_Allocation!$J$2:$J$201,$AB735)="",2958101,INDEX(FTE_Allocation!$J$2:$J$201,$AB735))),"")))</f>
        <v/>
      </c>
      <c r="AG735" s="19">
        <f>IF($Z735="C",IF(INDEX(Contracts!$I$2:$I$151,$AB735)="PREPAID",INDEX(Contracts!$M$2:$M$151,$AB735)/IF(INDEX(Contracts!$N$2:$N$151,$AB735)="",12,INDEX(Contracts!$N$2:$N$151,$AB735)),IF(INDEX(Contracts!$I$2:$I$151,$AB735)="MONTHLY",INDEX(Contracts!$M$2:$M$151,$AB735),0))*(1-N(INDEX(Contracts!$O$2:$O$151,$AB735))),IF($Z735="A",INDEX(Fixed_Assets!$H$2:$H$201,$AB735)/INDEX(Fixed_Assets!$J$2:$J$201,$AB735),IF($Z735="F",INDEX(Workforce!$F$2:$F$151,MATCH(INDEX(FTE_Allocation!$A$2:$A$201,$AB735),Workforce!$A$2:$A$151,0))*N(INDEX(FTE_Allocation!$F$2:$H$201,$AB735,$AC735)),"")))</f>
        <v/>
      </c>
    </row>
    <row r="736">
      <c r="A736" s="7">
        <f>IF($Z736="","",$AD736)</f>
        <v/>
      </c>
      <c r="B736" s="7">
        <f>IF($Z736="C",INDEX(Contracts!$D$2:$D$151,$AB736)&amp;"",IF($Z736="A",INDEX(Fixed_Assets!$C$2:$C$201,$AB736)&amp;"",IF($Z736="F",INDEX(Workforce!$B$2:$B$151,MATCH(INDEX(FTE_Allocation!$A$2:$A$201,$AB736),Workforce!$A$2:$A$151,0))&amp;"","")))</f>
        <v/>
      </c>
      <c r="C736" s="7">
        <f>IF($Z736="C",INDEX(Contracts!$E$2:$E$151,$AB736)&amp;"",IF($Z736="A",INDEX(Fixed_Assets!$D$2:$D$201,$AB736)&amp;"",IF($Z736="F",INDEX(FTE_Allocation!$C$2:$C$201,$AB736)&amp;"","")))</f>
        <v/>
      </c>
      <c r="D736" s="7">
        <f>IF($Z736="C",INDEX(Contracts!$B$2:$B$151,$AB736)&amp;"",IF($Z736="A",INDEX(Fixed_Assets!$B$2:$B$201,$AB736)&amp;"",IF($Z736="F",INDEX(FTE_Allocation!$B$2:$B$201,$AB736)&amp;"","")))</f>
        <v/>
      </c>
      <c r="E736" s="7">
        <f>IF($Z736="C",INDEX(Contracts!$P$2:$P$151,$AB736)&amp;"",IF($Z736="A",INDEX(Fixed_Assets!$K$2:$K$201,$AB736)&amp;"",IF($Z736="F",IF(INDEX(FTE_Allocation!$D$2:$D$201,$AB736)="PROJECT",IFERROR(INDEX(Projects!$D:$D,MATCH(INDEX(FTE_Allocation!$E$2:$E$201,$AB736),Projects!$A:$A,0))&amp;"","#PROJECT?"),INDEX(FTE_Allocation!$E$2:$E$201,$AB736)&amp;""),"")))</f>
        <v/>
      </c>
      <c r="F736" s="7">
        <f>IF($Z736="C",INDEX(Contracts!$Q$2:$Q$151,$AB736)&amp;"",IF($Z736="A",INDEX(Fixed_Assets!$L$2:$L$201,$AB736)&amp;"",IF($Z736="F",INDEX(Workforce!$K$2:$K$151,MATCH(INDEX(FTE_Allocation!$A$2:$A$201,$AB736),Workforce!$A$2:$A$151,0))&amp;"","")))</f>
        <v/>
      </c>
      <c r="G736" s="7">
        <f>IF($Z736="C",INDEX(Contracts!$F$2:$F$151,$AB736)&amp;" / "&amp;INDEX(Contracts!$G$2:$G$151,$AB736),IF($Z736="A",INDEX(Fixed_Assets!$E$2:$E$201,$AB736)&amp;"",IF($Z736="F","Personnel "&amp;INDEX(FTE_Allocation!$A$2:$A$201,$AB736)&amp;IF(INDEX(FTE_Allocation!$D$2:$D$201,$AB736)="PROJECT"," ("&amp;INDEX(FTE_Allocation!$E$2:$E$201,$AB736)&amp;")",""),"")))</f>
        <v/>
      </c>
      <c r="H736" s="7">
        <f>IF($Z736="C","CONTRACT",IF($Z736="A","ASSET",IF($Z736="F","WORKFORCE","")))</f>
        <v/>
      </c>
      <c r="I736" s="7">
        <f>IF($Z736="C",INDEX(Contracts!$L$2:$L$151,$AB736)&amp;"",IF($Z736="A",INDEX(Fixed_Assets!$I$2:$I$201,$AB736)&amp;"",IF($Z736="F",INDEX(Workforce!$G$2:$G$151,MATCH(INDEX(FTE_Allocation!$A$2:$A$201,$AB736),Workforce!$A$2:$A$151,0))&amp;"","")))</f>
        <v/>
      </c>
      <c r="J736" s="18">
        <f>IF($Z736="","",IF(AND(DATE($AD736,1,1)&gt;=$AE736,DATE($AD736,1,1)&lt;=$AF736),ROUND($AG736,2),0))</f>
        <v/>
      </c>
      <c r="K736" s="18">
        <f>IF($Z736="","",IF(AND(DATE($AD736,2,1)&gt;=$AE736,DATE($AD736,2,1)&lt;=$AF736),ROUND($AG736,2),0))</f>
        <v/>
      </c>
      <c r="L736" s="18">
        <f>IF($Z736="","",IF(AND(DATE($AD736,3,1)&gt;=$AE736,DATE($AD736,3,1)&lt;=$AF736),ROUND($AG736,2),0))</f>
        <v/>
      </c>
      <c r="M736" s="18">
        <f>IF($Z736="","",IF(AND(DATE($AD736,4,1)&gt;=$AE736,DATE($AD736,4,1)&lt;=$AF736),ROUND($AG736,2),0))</f>
        <v/>
      </c>
      <c r="N736" s="18">
        <f>IF($Z736="","",IF(AND(DATE($AD736,5,1)&gt;=$AE736,DATE($AD736,5,1)&lt;=$AF736),ROUND($AG736,2),0))</f>
        <v/>
      </c>
      <c r="O736" s="18">
        <f>IF($Z736="","",IF(AND(DATE($AD736,6,1)&gt;=$AE736,DATE($AD736,6,1)&lt;=$AF736),ROUND($AG736,2),0))</f>
        <v/>
      </c>
      <c r="P736" s="18">
        <f>IF($Z736="","",IF(AND(DATE($AD736,7,1)&gt;=$AE736,DATE($AD736,7,1)&lt;=$AF736),ROUND($AG736,2),0))</f>
        <v/>
      </c>
      <c r="Q736" s="18">
        <f>IF($Z736="","",IF(AND(DATE($AD736,8,1)&gt;=$AE736,DATE($AD736,8,1)&lt;=$AF736),ROUND($AG736,2),0))</f>
        <v/>
      </c>
      <c r="R736" s="18">
        <f>IF($Z736="","",IF(AND(DATE($AD736,9,1)&gt;=$AE736,DATE($AD736,9,1)&lt;=$AF736),ROUND($AG736,2),0))</f>
        <v/>
      </c>
      <c r="S736" s="18">
        <f>IF($Z736="","",IF(AND(DATE($AD736,10,1)&gt;=$AE736,DATE($AD736,10,1)&lt;=$AF736),ROUND($AG736,2),0))</f>
        <v/>
      </c>
      <c r="T736" s="18">
        <f>IF($Z736="","",IF(AND(DATE($AD736,11,1)&gt;=$AE736,DATE($AD736,11,1)&lt;=$AF736),ROUND($AG736,2),0))</f>
        <v/>
      </c>
      <c r="U736" s="18">
        <f>IF($Z736="","",IF(AND(DATE($AD736,12,1)&gt;=$AE736,DATE($AD736,12,1)&lt;=$AF736),ROUND($AG736,2),0))</f>
        <v/>
      </c>
      <c r="V736" s="7">
        <f>IF($Z736="C","Generated from "&amp;INDEX(Contracts!$A$2:$A$151,$AB736),IF($Z736="A","Generated from "&amp;INDEX(Fixed_Assets!$A$2:$A$201,$AB736),IF($Z736="F","Generated from "&amp;INDEX(FTE_Allocation!$A$2:$A$201,$AB736),"")))</f>
        <v/>
      </c>
      <c r="X736" s="19">
        <f>IF($Z736="","",SUM(J736:U736))</f>
        <v/>
      </c>
      <c r="Y736" s="20">
        <f>ROW()-1</f>
        <v/>
      </c>
      <c r="Z736" s="20">
        <f>IF($Y736&lt;=Settings!$B$4*3,"C",IF($Y736&lt;=(Settings!$B$4+Settings!$B$5)*3,"A",IF($Y736&lt;=(Settings!$B$4+Settings!$B$5+Settings!$B$6)*3,"F","")))</f>
        <v/>
      </c>
      <c r="AA736" s="20">
        <f>IF($Z736="C",$Y736,IF($Z736="A",$Y736-Settings!$B$4*3,IF($Z736="F",$Y736-(Settings!$B$4+Settings!$B$5)*3,"")))</f>
        <v/>
      </c>
      <c r="AB736" s="20">
        <f>IF($Z736="","",INT(($AA736-1)/3)+1)</f>
        <v/>
      </c>
      <c r="AC736" s="20">
        <f>IF($Z736="","",MOD($AA736-1,3)+1)</f>
        <v/>
      </c>
      <c r="AD736" s="20">
        <f>IF($Z736="","",Settings!$B$2+$AC736-1)</f>
        <v/>
      </c>
      <c r="AE736" s="21">
        <f>IF($Z736="C",DATE(YEAR(INDEX(Contracts!$J$2:$J$151,$AB736)),MONTH(INDEX(Contracts!$J$2:$J$151,$AB736)),1),IF($Z736="A",DATE(YEAR(INDEX(Fixed_Assets!$G$2:$G$201,$AB736)),MONTH(INDEX(Fixed_Assets!$G$2:$G$201,$AB736)),1),IF($Z736="F",DATE(YEAR(MAX(N(INDEX(Workforce!$I$2:$I$151,MATCH(INDEX(FTE_Allocation!$A$2:$A$201,$AB736),Workforce!$A$2:$A$151,0))),N(INDEX(FTE_Allocation!$I$2:$I$201,$AB736)))),MONTH(MAX(N(INDEX(Workforce!$I$2:$I$151,MATCH(INDEX(FTE_Allocation!$A$2:$A$201,$AB736),Workforce!$A$2:$A$151,0))),N(INDEX(FTE_Allocation!$I$2:$I$201,$AB736)))),1),"")))</f>
        <v/>
      </c>
      <c r="AF736" s="21">
        <f>IF($Z736="C",IF(INDEX(Contracts!$I$2:$I$151,$AB736)="PREPAID",EDATE(DATE(YEAR(INDEX(Contracts!$J$2:$J$151,$AB736)),MONTH(INDEX(Contracts!$J$2:$J$151,$AB736)),1),IF(INDEX(Contracts!$N$2:$N$151,$AB736)="",12,INDEX(Contracts!$N$2:$N$151,$AB736))-1),IF(INDEX(Contracts!$I$2:$I$151,$AB736)="MONTHLY",IF(INDEX(Contracts!$K$2:$K$151,$AB736)="",2958101,INDEX(Contracts!$K$2:$K$151,$AB736)),0)),IF($Z736="A",EDATE(DATE(YEAR(INDEX(Fixed_Assets!$G$2:$G$201,$AB736)),MONTH(INDEX(Fixed_Assets!$G$2:$G$201,$AB736)),1),INDEX(Fixed_Assets!$J$2:$J$201,$AB736)-1),IF($Z736="F",MIN(IF(INDEX(Workforce!$J$2:$J$151,MATCH(INDEX(FTE_Allocation!$A$2:$A$201,$AB736),Workforce!$A$2:$A$151,0))="",2958101,INDEX(Workforce!$J$2:$J$151,MATCH(INDEX(FTE_Allocation!$A$2:$A$201,$AB736),Workforce!$A$2:$A$151,0))),IF(INDEX(FTE_Allocation!$J$2:$J$201,$AB736)="",2958101,INDEX(FTE_Allocation!$J$2:$J$201,$AB736))),"")))</f>
        <v/>
      </c>
      <c r="AG736" s="19">
        <f>IF($Z736="C",IF(INDEX(Contracts!$I$2:$I$151,$AB736)="PREPAID",INDEX(Contracts!$M$2:$M$151,$AB736)/IF(INDEX(Contracts!$N$2:$N$151,$AB736)="",12,INDEX(Contracts!$N$2:$N$151,$AB736)),IF(INDEX(Contracts!$I$2:$I$151,$AB736)="MONTHLY",INDEX(Contracts!$M$2:$M$151,$AB736),0))*(1-N(INDEX(Contracts!$O$2:$O$151,$AB736))),IF($Z736="A",INDEX(Fixed_Assets!$H$2:$H$201,$AB736)/INDEX(Fixed_Assets!$J$2:$J$201,$AB736),IF($Z736="F",INDEX(Workforce!$F$2:$F$151,MATCH(INDEX(FTE_Allocation!$A$2:$A$201,$AB736),Workforce!$A$2:$A$151,0))*N(INDEX(FTE_Allocation!$F$2:$H$201,$AB736,$AC736)),"")))</f>
        <v/>
      </c>
    </row>
    <row r="737">
      <c r="A737" s="7">
        <f>IF($Z737="","",$AD737)</f>
        <v/>
      </c>
      <c r="B737" s="7">
        <f>IF($Z737="C",INDEX(Contracts!$D$2:$D$151,$AB737)&amp;"",IF($Z737="A",INDEX(Fixed_Assets!$C$2:$C$201,$AB737)&amp;"",IF($Z737="F",INDEX(Workforce!$B$2:$B$151,MATCH(INDEX(FTE_Allocation!$A$2:$A$201,$AB737),Workforce!$A$2:$A$151,0))&amp;"","")))</f>
        <v/>
      </c>
      <c r="C737" s="7">
        <f>IF($Z737="C",INDEX(Contracts!$E$2:$E$151,$AB737)&amp;"",IF($Z737="A",INDEX(Fixed_Assets!$D$2:$D$201,$AB737)&amp;"",IF($Z737="F",INDEX(FTE_Allocation!$C$2:$C$201,$AB737)&amp;"","")))</f>
        <v/>
      </c>
      <c r="D737" s="7">
        <f>IF($Z737="C",INDEX(Contracts!$B$2:$B$151,$AB737)&amp;"",IF($Z737="A",INDEX(Fixed_Assets!$B$2:$B$201,$AB737)&amp;"",IF($Z737="F",INDEX(FTE_Allocation!$B$2:$B$201,$AB737)&amp;"","")))</f>
        <v/>
      </c>
      <c r="E737" s="7">
        <f>IF($Z737="C",INDEX(Contracts!$P$2:$P$151,$AB737)&amp;"",IF($Z737="A",INDEX(Fixed_Assets!$K$2:$K$201,$AB737)&amp;"",IF($Z737="F",IF(INDEX(FTE_Allocation!$D$2:$D$201,$AB737)="PROJECT",IFERROR(INDEX(Projects!$D:$D,MATCH(INDEX(FTE_Allocation!$E$2:$E$201,$AB737),Projects!$A:$A,0))&amp;"","#PROJECT?"),INDEX(FTE_Allocation!$E$2:$E$201,$AB737)&amp;""),"")))</f>
        <v/>
      </c>
      <c r="F737" s="7">
        <f>IF($Z737="C",INDEX(Contracts!$Q$2:$Q$151,$AB737)&amp;"",IF($Z737="A",INDEX(Fixed_Assets!$L$2:$L$201,$AB737)&amp;"",IF($Z737="F",INDEX(Workforce!$K$2:$K$151,MATCH(INDEX(FTE_Allocation!$A$2:$A$201,$AB737),Workforce!$A$2:$A$151,0))&amp;"","")))</f>
        <v/>
      </c>
      <c r="G737" s="7">
        <f>IF($Z737="C",INDEX(Contracts!$F$2:$F$151,$AB737)&amp;" / "&amp;INDEX(Contracts!$G$2:$G$151,$AB737),IF($Z737="A",INDEX(Fixed_Assets!$E$2:$E$201,$AB737)&amp;"",IF($Z737="F","Personnel "&amp;INDEX(FTE_Allocation!$A$2:$A$201,$AB737)&amp;IF(INDEX(FTE_Allocation!$D$2:$D$201,$AB737)="PROJECT"," ("&amp;INDEX(FTE_Allocation!$E$2:$E$201,$AB737)&amp;")",""),"")))</f>
        <v/>
      </c>
      <c r="H737" s="7">
        <f>IF($Z737="C","CONTRACT",IF($Z737="A","ASSET",IF($Z737="F","WORKFORCE","")))</f>
        <v/>
      </c>
      <c r="I737" s="7">
        <f>IF($Z737="C",INDEX(Contracts!$L$2:$L$151,$AB737)&amp;"",IF($Z737="A",INDEX(Fixed_Assets!$I$2:$I$201,$AB737)&amp;"",IF($Z737="F",INDEX(Workforce!$G$2:$G$151,MATCH(INDEX(FTE_Allocation!$A$2:$A$201,$AB737),Workforce!$A$2:$A$151,0))&amp;"","")))</f>
        <v/>
      </c>
      <c r="J737" s="18">
        <f>IF($Z737="","",IF(AND(DATE($AD737,1,1)&gt;=$AE737,DATE($AD737,1,1)&lt;=$AF737),ROUND($AG737,2),0))</f>
        <v/>
      </c>
      <c r="K737" s="18">
        <f>IF($Z737="","",IF(AND(DATE($AD737,2,1)&gt;=$AE737,DATE($AD737,2,1)&lt;=$AF737),ROUND($AG737,2),0))</f>
        <v/>
      </c>
      <c r="L737" s="18">
        <f>IF($Z737="","",IF(AND(DATE($AD737,3,1)&gt;=$AE737,DATE($AD737,3,1)&lt;=$AF737),ROUND($AG737,2),0))</f>
        <v/>
      </c>
      <c r="M737" s="18">
        <f>IF($Z737="","",IF(AND(DATE($AD737,4,1)&gt;=$AE737,DATE($AD737,4,1)&lt;=$AF737),ROUND($AG737,2),0))</f>
        <v/>
      </c>
      <c r="N737" s="18">
        <f>IF($Z737="","",IF(AND(DATE($AD737,5,1)&gt;=$AE737,DATE($AD737,5,1)&lt;=$AF737),ROUND($AG737,2),0))</f>
        <v/>
      </c>
      <c r="O737" s="18">
        <f>IF($Z737="","",IF(AND(DATE($AD737,6,1)&gt;=$AE737,DATE($AD737,6,1)&lt;=$AF737),ROUND($AG737,2),0))</f>
        <v/>
      </c>
      <c r="P737" s="18">
        <f>IF($Z737="","",IF(AND(DATE($AD737,7,1)&gt;=$AE737,DATE($AD737,7,1)&lt;=$AF737),ROUND($AG737,2),0))</f>
        <v/>
      </c>
      <c r="Q737" s="18">
        <f>IF($Z737="","",IF(AND(DATE($AD737,8,1)&gt;=$AE737,DATE($AD737,8,1)&lt;=$AF737),ROUND($AG737,2),0))</f>
        <v/>
      </c>
      <c r="R737" s="18">
        <f>IF($Z737="","",IF(AND(DATE($AD737,9,1)&gt;=$AE737,DATE($AD737,9,1)&lt;=$AF737),ROUND($AG737,2),0))</f>
        <v/>
      </c>
      <c r="S737" s="18">
        <f>IF($Z737="","",IF(AND(DATE($AD737,10,1)&gt;=$AE737,DATE($AD737,10,1)&lt;=$AF737),ROUND($AG737,2),0))</f>
        <v/>
      </c>
      <c r="T737" s="18">
        <f>IF($Z737="","",IF(AND(DATE($AD737,11,1)&gt;=$AE737,DATE($AD737,11,1)&lt;=$AF737),ROUND($AG737,2),0))</f>
        <v/>
      </c>
      <c r="U737" s="18">
        <f>IF($Z737="","",IF(AND(DATE($AD737,12,1)&gt;=$AE737,DATE($AD737,12,1)&lt;=$AF737),ROUND($AG737,2),0))</f>
        <v/>
      </c>
      <c r="V737" s="7">
        <f>IF($Z737="C","Generated from "&amp;INDEX(Contracts!$A$2:$A$151,$AB737),IF($Z737="A","Generated from "&amp;INDEX(Fixed_Assets!$A$2:$A$201,$AB737),IF($Z737="F","Generated from "&amp;INDEX(FTE_Allocation!$A$2:$A$201,$AB737),"")))</f>
        <v/>
      </c>
      <c r="X737" s="19">
        <f>IF($Z737="","",SUM(J737:U737))</f>
        <v/>
      </c>
      <c r="Y737" s="20">
        <f>ROW()-1</f>
        <v/>
      </c>
      <c r="Z737" s="20">
        <f>IF($Y737&lt;=Settings!$B$4*3,"C",IF($Y737&lt;=(Settings!$B$4+Settings!$B$5)*3,"A",IF($Y737&lt;=(Settings!$B$4+Settings!$B$5+Settings!$B$6)*3,"F","")))</f>
        <v/>
      </c>
      <c r="AA737" s="20">
        <f>IF($Z737="C",$Y737,IF($Z737="A",$Y737-Settings!$B$4*3,IF($Z737="F",$Y737-(Settings!$B$4+Settings!$B$5)*3,"")))</f>
        <v/>
      </c>
      <c r="AB737" s="20">
        <f>IF($Z737="","",INT(($AA737-1)/3)+1)</f>
        <v/>
      </c>
      <c r="AC737" s="20">
        <f>IF($Z737="","",MOD($AA737-1,3)+1)</f>
        <v/>
      </c>
      <c r="AD737" s="20">
        <f>IF($Z737="","",Settings!$B$2+$AC737-1)</f>
        <v/>
      </c>
      <c r="AE737" s="21">
        <f>IF($Z737="C",DATE(YEAR(INDEX(Contracts!$J$2:$J$151,$AB737)),MONTH(INDEX(Contracts!$J$2:$J$151,$AB737)),1),IF($Z737="A",DATE(YEAR(INDEX(Fixed_Assets!$G$2:$G$201,$AB737)),MONTH(INDEX(Fixed_Assets!$G$2:$G$201,$AB737)),1),IF($Z737="F",DATE(YEAR(MAX(N(INDEX(Workforce!$I$2:$I$151,MATCH(INDEX(FTE_Allocation!$A$2:$A$201,$AB737),Workforce!$A$2:$A$151,0))),N(INDEX(FTE_Allocation!$I$2:$I$201,$AB737)))),MONTH(MAX(N(INDEX(Workforce!$I$2:$I$151,MATCH(INDEX(FTE_Allocation!$A$2:$A$201,$AB737),Workforce!$A$2:$A$151,0))),N(INDEX(FTE_Allocation!$I$2:$I$201,$AB737)))),1),"")))</f>
        <v/>
      </c>
      <c r="AF737" s="21">
        <f>IF($Z737="C",IF(INDEX(Contracts!$I$2:$I$151,$AB737)="PREPAID",EDATE(DATE(YEAR(INDEX(Contracts!$J$2:$J$151,$AB737)),MONTH(INDEX(Contracts!$J$2:$J$151,$AB737)),1),IF(INDEX(Contracts!$N$2:$N$151,$AB737)="",12,INDEX(Contracts!$N$2:$N$151,$AB737))-1),IF(INDEX(Contracts!$I$2:$I$151,$AB737)="MONTHLY",IF(INDEX(Contracts!$K$2:$K$151,$AB737)="",2958101,INDEX(Contracts!$K$2:$K$151,$AB737)),0)),IF($Z737="A",EDATE(DATE(YEAR(INDEX(Fixed_Assets!$G$2:$G$201,$AB737)),MONTH(INDEX(Fixed_Assets!$G$2:$G$201,$AB737)),1),INDEX(Fixed_Assets!$J$2:$J$201,$AB737)-1),IF($Z737="F",MIN(IF(INDEX(Workforce!$J$2:$J$151,MATCH(INDEX(FTE_Allocation!$A$2:$A$201,$AB737),Workforce!$A$2:$A$151,0))="",2958101,INDEX(Workforce!$J$2:$J$151,MATCH(INDEX(FTE_Allocation!$A$2:$A$201,$AB737),Workforce!$A$2:$A$151,0))),IF(INDEX(FTE_Allocation!$J$2:$J$201,$AB737)="",2958101,INDEX(FTE_Allocation!$J$2:$J$201,$AB737))),"")))</f>
        <v/>
      </c>
      <c r="AG737" s="19">
        <f>IF($Z737="C",IF(INDEX(Contracts!$I$2:$I$151,$AB737)="PREPAID",INDEX(Contracts!$M$2:$M$151,$AB737)/IF(INDEX(Contracts!$N$2:$N$151,$AB737)="",12,INDEX(Contracts!$N$2:$N$151,$AB737)),IF(INDEX(Contracts!$I$2:$I$151,$AB737)="MONTHLY",INDEX(Contracts!$M$2:$M$151,$AB737),0))*(1-N(INDEX(Contracts!$O$2:$O$151,$AB737))),IF($Z737="A",INDEX(Fixed_Assets!$H$2:$H$201,$AB737)/INDEX(Fixed_Assets!$J$2:$J$201,$AB737),IF($Z737="F",INDEX(Workforce!$F$2:$F$151,MATCH(INDEX(FTE_Allocation!$A$2:$A$201,$AB737),Workforce!$A$2:$A$151,0))*N(INDEX(FTE_Allocation!$F$2:$H$201,$AB737,$AC737)),"")))</f>
        <v/>
      </c>
    </row>
    <row r="738">
      <c r="A738" s="7">
        <f>IF($Z738="","",$AD738)</f>
        <v/>
      </c>
      <c r="B738" s="7">
        <f>IF($Z738="C",INDEX(Contracts!$D$2:$D$151,$AB738)&amp;"",IF($Z738="A",INDEX(Fixed_Assets!$C$2:$C$201,$AB738)&amp;"",IF($Z738="F",INDEX(Workforce!$B$2:$B$151,MATCH(INDEX(FTE_Allocation!$A$2:$A$201,$AB738),Workforce!$A$2:$A$151,0))&amp;"","")))</f>
        <v/>
      </c>
      <c r="C738" s="7">
        <f>IF($Z738="C",INDEX(Contracts!$E$2:$E$151,$AB738)&amp;"",IF($Z738="A",INDEX(Fixed_Assets!$D$2:$D$201,$AB738)&amp;"",IF($Z738="F",INDEX(FTE_Allocation!$C$2:$C$201,$AB738)&amp;"","")))</f>
        <v/>
      </c>
      <c r="D738" s="7">
        <f>IF($Z738="C",INDEX(Contracts!$B$2:$B$151,$AB738)&amp;"",IF($Z738="A",INDEX(Fixed_Assets!$B$2:$B$201,$AB738)&amp;"",IF($Z738="F",INDEX(FTE_Allocation!$B$2:$B$201,$AB738)&amp;"","")))</f>
        <v/>
      </c>
      <c r="E738" s="7">
        <f>IF($Z738="C",INDEX(Contracts!$P$2:$P$151,$AB738)&amp;"",IF($Z738="A",INDEX(Fixed_Assets!$K$2:$K$201,$AB738)&amp;"",IF($Z738="F",IF(INDEX(FTE_Allocation!$D$2:$D$201,$AB738)="PROJECT",IFERROR(INDEX(Projects!$D:$D,MATCH(INDEX(FTE_Allocation!$E$2:$E$201,$AB738),Projects!$A:$A,0))&amp;"","#PROJECT?"),INDEX(FTE_Allocation!$E$2:$E$201,$AB738)&amp;""),"")))</f>
        <v/>
      </c>
      <c r="F738" s="7">
        <f>IF($Z738="C",INDEX(Contracts!$Q$2:$Q$151,$AB738)&amp;"",IF($Z738="A",INDEX(Fixed_Assets!$L$2:$L$201,$AB738)&amp;"",IF($Z738="F",INDEX(Workforce!$K$2:$K$151,MATCH(INDEX(FTE_Allocation!$A$2:$A$201,$AB738),Workforce!$A$2:$A$151,0))&amp;"","")))</f>
        <v/>
      </c>
      <c r="G738" s="7">
        <f>IF($Z738="C",INDEX(Contracts!$F$2:$F$151,$AB738)&amp;" / "&amp;INDEX(Contracts!$G$2:$G$151,$AB738),IF($Z738="A",INDEX(Fixed_Assets!$E$2:$E$201,$AB738)&amp;"",IF($Z738="F","Personnel "&amp;INDEX(FTE_Allocation!$A$2:$A$201,$AB738)&amp;IF(INDEX(FTE_Allocation!$D$2:$D$201,$AB738)="PROJECT"," ("&amp;INDEX(FTE_Allocation!$E$2:$E$201,$AB738)&amp;")",""),"")))</f>
        <v/>
      </c>
      <c r="H738" s="7">
        <f>IF($Z738="C","CONTRACT",IF($Z738="A","ASSET",IF($Z738="F","WORKFORCE","")))</f>
        <v/>
      </c>
      <c r="I738" s="7">
        <f>IF($Z738="C",INDEX(Contracts!$L$2:$L$151,$AB738)&amp;"",IF($Z738="A",INDEX(Fixed_Assets!$I$2:$I$201,$AB738)&amp;"",IF($Z738="F",INDEX(Workforce!$G$2:$G$151,MATCH(INDEX(FTE_Allocation!$A$2:$A$201,$AB738),Workforce!$A$2:$A$151,0))&amp;"","")))</f>
        <v/>
      </c>
      <c r="J738" s="18">
        <f>IF($Z738="","",IF(AND(DATE($AD738,1,1)&gt;=$AE738,DATE($AD738,1,1)&lt;=$AF738),ROUND($AG738,2),0))</f>
        <v/>
      </c>
      <c r="K738" s="18">
        <f>IF($Z738="","",IF(AND(DATE($AD738,2,1)&gt;=$AE738,DATE($AD738,2,1)&lt;=$AF738),ROUND($AG738,2),0))</f>
        <v/>
      </c>
      <c r="L738" s="18">
        <f>IF($Z738="","",IF(AND(DATE($AD738,3,1)&gt;=$AE738,DATE($AD738,3,1)&lt;=$AF738),ROUND($AG738,2),0))</f>
        <v/>
      </c>
      <c r="M738" s="18">
        <f>IF($Z738="","",IF(AND(DATE($AD738,4,1)&gt;=$AE738,DATE($AD738,4,1)&lt;=$AF738),ROUND($AG738,2),0))</f>
        <v/>
      </c>
      <c r="N738" s="18">
        <f>IF($Z738="","",IF(AND(DATE($AD738,5,1)&gt;=$AE738,DATE($AD738,5,1)&lt;=$AF738),ROUND($AG738,2),0))</f>
        <v/>
      </c>
      <c r="O738" s="18">
        <f>IF($Z738="","",IF(AND(DATE($AD738,6,1)&gt;=$AE738,DATE($AD738,6,1)&lt;=$AF738),ROUND($AG738,2),0))</f>
        <v/>
      </c>
      <c r="P738" s="18">
        <f>IF($Z738="","",IF(AND(DATE($AD738,7,1)&gt;=$AE738,DATE($AD738,7,1)&lt;=$AF738),ROUND($AG738,2),0))</f>
        <v/>
      </c>
      <c r="Q738" s="18">
        <f>IF($Z738="","",IF(AND(DATE($AD738,8,1)&gt;=$AE738,DATE($AD738,8,1)&lt;=$AF738),ROUND($AG738,2),0))</f>
        <v/>
      </c>
      <c r="R738" s="18">
        <f>IF($Z738="","",IF(AND(DATE($AD738,9,1)&gt;=$AE738,DATE($AD738,9,1)&lt;=$AF738),ROUND($AG738,2),0))</f>
        <v/>
      </c>
      <c r="S738" s="18">
        <f>IF($Z738="","",IF(AND(DATE($AD738,10,1)&gt;=$AE738,DATE($AD738,10,1)&lt;=$AF738),ROUND($AG738,2),0))</f>
        <v/>
      </c>
      <c r="T738" s="18">
        <f>IF($Z738="","",IF(AND(DATE($AD738,11,1)&gt;=$AE738,DATE($AD738,11,1)&lt;=$AF738),ROUND($AG738,2),0))</f>
        <v/>
      </c>
      <c r="U738" s="18">
        <f>IF($Z738="","",IF(AND(DATE($AD738,12,1)&gt;=$AE738,DATE($AD738,12,1)&lt;=$AF738),ROUND($AG738,2),0))</f>
        <v/>
      </c>
      <c r="V738" s="7">
        <f>IF($Z738="C","Generated from "&amp;INDEX(Contracts!$A$2:$A$151,$AB738),IF($Z738="A","Generated from "&amp;INDEX(Fixed_Assets!$A$2:$A$201,$AB738),IF($Z738="F","Generated from "&amp;INDEX(FTE_Allocation!$A$2:$A$201,$AB738),"")))</f>
        <v/>
      </c>
      <c r="X738" s="19">
        <f>IF($Z738="","",SUM(J738:U738))</f>
        <v/>
      </c>
      <c r="Y738" s="20">
        <f>ROW()-1</f>
        <v/>
      </c>
      <c r="Z738" s="20">
        <f>IF($Y738&lt;=Settings!$B$4*3,"C",IF($Y738&lt;=(Settings!$B$4+Settings!$B$5)*3,"A",IF($Y738&lt;=(Settings!$B$4+Settings!$B$5+Settings!$B$6)*3,"F","")))</f>
        <v/>
      </c>
      <c r="AA738" s="20">
        <f>IF($Z738="C",$Y738,IF($Z738="A",$Y738-Settings!$B$4*3,IF($Z738="F",$Y738-(Settings!$B$4+Settings!$B$5)*3,"")))</f>
        <v/>
      </c>
      <c r="AB738" s="20">
        <f>IF($Z738="","",INT(($AA738-1)/3)+1)</f>
        <v/>
      </c>
      <c r="AC738" s="20">
        <f>IF($Z738="","",MOD($AA738-1,3)+1)</f>
        <v/>
      </c>
      <c r="AD738" s="20">
        <f>IF($Z738="","",Settings!$B$2+$AC738-1)</f>
        <v/>
      </c>
      <c r="AE738" s="21">
        <f>IF($Z738="C",DATE(YEAR(INDEX(Contracts!$J$2:$J$151,$AB738)),MONTH(INDEX(Contracts!$J$2:$J$151,$AB738)),1),IF($Z738="A",DATE(YEAR(INDEX(Fixed_Assets!$G$2:$G$201,$AB738)),MONTH(INDEX(Fixed_Assets!$G$2:$G$201,$AB738)),1),IF($Z738="F",DATE(YEAR(MAX(N(INDEX(Workforce!$I$2:$I$151,MATCH(INDEX(FTE_Allocation!$A$2:$A$201,$AB738),Workforce!$A$2:$A$151,0))),N(INDEX(FTE_Allocation!$I$2:$I$201,$AB738)))),MONTH(MAX(N(INDEX(Workforce!$I$2:$I$151,MATCH(INDEX(FTE_Allocation!$A$2:$A$201,$AB738),Workforce!$A$2:$A$151,0))),N(INDEX(FTE_Allocation!$I$2:$I$201,$AB738)))),1),"")))</f>
        <v/>
      </c>
      <c r="AF738" s="21">
        <f>IF($Z738="C",IF(INDEX(Contracts!$I$2:$I$151,$AB738)="PREPAID",EDATE(DATE(YEAR(INDEX(Contracts!$J$2:$J$151,$AB738)),MONTH(INDEX(Contracts!$J$2:$J$151,$AB738)),1),IF(INDEX(Contracts!$N$2:$N$151,$AB738)="",12,INDEX(Contracts!$N$2:$N$151,$AB738))-1),IF(INDEX(Contracts!$I$2:$I$151,$AB738)="MONTHLY",IF(INDEX(Contracts!$K$2:$K$151,$AB738)="",2958101,INDEX(Contracts!$K$2:$K$151,$AB738)),0)),IF($Z738="A",EDATE(DATE(YEAR(INDEX(Fixed_Assets!$G$2:$G$201,$AB738)),MONTH(INDEX(Fixed_Assets!$G$2:$G$201,$AB738)),1),INDEX(Fixed_Assets!$J$2:$J$201,$AB738)-1),IF($Z738="F",MIN(IF(INDEX(Workforce!$J$2:$J$151,MATCH(INDEX(FTE_Allocation!$A$2:$A$201,$AB738),Workforce!$A$2:$A$151,0))="",2958101,INDEX(Workforce!$J$2:$J$151,MATCH(INDEX(FTE_Allocation!$A$2:$A$201,$AB738),Workforce!$A$2:$A$151,0))),IF(INDEX(FTE_Allocation!$J$2:$J$201,$AB738)="",2958101,INDEX(FTE_Allocation!$J$2:$J$201,$AB738))),"")))</f>
        <v/>
      </c>
      <c r="AG738" s="19">
        <f>IF($Z738="C",IF(INDEX(Contracts!$I$2:$I$151,$AB738)="PREPAID",INDEX(Contracts!$M$2:$M$151,$AB738)/IF(INDEX(Contracts!$N$2:$N$151,$AB738)="",12,INDEX(Contracts!$N$2:$N$151,$AB738)),IF(INDEX(Contracts!$I$2:$I$151,$AB738)="MONTHLY",INDEX(Contracts!$M$2:$M$151,$AB738),0))*(1-N(INDEX(Contracts!$O$2:$O$151,$AB738))),IF($Z738="A",INDEX(Fixed_Assets!$H$2:$H$201,$AB738)/INDEX(Fixed_Assets!$J$2:$J$201,$AB738),IF($Z738="F",INDEX(Workforce!$F$2:$F$151,MATCH(INDEX(FTE_Allocation!$A$2:$A$201,$AB738),Workforce!$A$2:$A$151,0))*N(INDEX(FTE_Allocation!$F$2:$H$201,$AB738,$AC738)),"")))</f>
        <v/>
      </c>
    </row>
    <row r="739">
      <c r="A739" s="7">
        <f>IF($Z739="","",$AD739)</f>
        <v/>
      </c>
      <c r="B739" s="7">
        <f>IF($Z739="C",INDEX(Contracts!$D$2:$D$151,$AB739)&amp;"",IF($Z739="A",INDEX(Fixed_Assets!$C$2:$C$201,$AB739)&amp;"",IF($Z739="F",INDEX(Workforce!$B$2:$B$151,MATCH(INDEX(FTE_Allocation!$A$2:$A$201,$AB739),Workforce!$A$2:$A$151,0))&amp;"","")))</f>
        <v/>
      </c>
      <c r="C739" s="7">
        <f>IF($Z739="C",INDEX(Contracts!$E$2:$E$151,$AB739)&amp;"",IF($Z739="A",INDEX(Fixed_Assets!$D$2:$D$201,$AB739)&amp;"",IF($Z739="F",INDEX(FTE_Allocation!$C$2:$C$201,$AB739)&amp;"","")))</f>
        <v/>
      </c>
      <c r="D739" s="7">
        <f>IF($Z739="C",INDEX(Contracts!$B$2:$B$151,$AB739)&amp;"",IF($Z739="A",INDEX(Fixed_Assets!$B$2:$B$201,$AB739)&amp;"",IF($Z739="F",INDEX(FTE_Allocation!$B$2:$B$201,$AB739)&amp;"","")))</f>
        <v/>
      </c>
      <c r="E739" s="7">
        <f>IF($Z739="C",INDEX(Contracts!$P$2:$P$151,$AB739)&amp;"",IF($Z739="A",INDEX(Fixed_Assets!$K$2:$K$201,$AB739)&amp;"",IF($Z739="F",IF(INDEX(FTE_Allocation!$D$2:$D$201,$AB739)="PROJECT",IFERROR(INDEX(Projects!$D:$D,MATCH(INDEX(FTE_Allocation!$E$2:$E$201,$AB739),Projects!$A:$A,0))&amp;"","#PROJECT?"),INDEX(FTE_Allocation!$E$2:$E$201,$AB739)&amp;""),"")))</f>
        <v/>
      </c>
      <c r="F739" s="7">
        <f>IF($Z739="C",INDEX(Contracts!$Q$2:$Q$151,$AB739)&amp;"",IF($Z739="A",INDEX(Fixed_Assets!$L$2:$L$201,$AB739)&amp;"",IF($Z739="F",INDEX(Workforce!$K$2:$K$151,MATCH(INDEX(FTE_Allocation!$A$2:$A$201,$AB739),Workforce!$A$2:$A$151,0))&amp;"","")))</f>
        <v/>
      </c>
      <c r="G739" s="7">
        <f>IF($Z739="C",INDEX(Contracts!$F$2:$F$151,$AB739)&amp;" / "&amp;INDEX(Contracts!$G$2:$G$151,$AB739),IF($Z739="A",INDEX(Fixed_Assets!$E$2:$E$201,$AB739)&amp;"",IF($Z739="F","Personnel "&amp;INDEX(FTE_Allocation!$A$2:$A$201,$AB739)&amp;IF(INDEX(FTE_Allocation!$D$2:$D$201,$AB739)="PROJECT"," ("&amp;INDEX(FTE_Allocation!$E$2:$E$201,$AB739)&amp;")",""),"")))</f>
        <v/>
      </c>
      <c r="H739" s="7">
        <f>IF($Z739="C","CONTRACT",IF($Z739="A","ASSET",IF($Z739="F","WORKFORCE","")))</f>
        <v/>
      </c>
      <c r="I739" s="7">
        <f>IF($Z739="C",INDEX(Contracts!$L$2:$L$151,$AB739)&amp;"",IF($Z739="A",INDEX(Fixed_Assets!$I$2:$I$201,$AB739)&amp;"",IF($Z739="F",INDEX(Workforce!$G$2:$G$151,MATCH(INDEX(FTE_Allocation!$A$2:$A$201,$AB739),Workforce!$A$2:$A$151,0))&amp;"","")))</f>
        <v/>
      </c>
      <c r="J739" s="18">
        <f>IF($Z739="","",IF(AND(DATE($AD739,1,1)&gt;=$AE739,DATE($AD739,1,1)&lt;=$AF739),ROUND($AG739,2),0))</f>
        <v/>
      </c>
      <c r="K739" s="18">
        <f>IF($Z739="","",IF(AND(DATE($AD739,2,1)&gt;=$AE739,DATE($AD739,2,1)&lt;=$AF739),ROUND($AG739,2),0))</f>
        <v/>
      </c>
      <c r="L739" s="18">
        <f>IF($Z739="","",IF(AND(DATE($AD739,3,1)&gt;=$AE739,DATE($AD739,3,1)&lt;=$AF739),ROUND($AG739,2),0))</f>
        <v/>
      </c>
      <c r="M739" s="18">
        <f>IF($Z739="","",IF(AND(DATE($AD739,4,1)&gt;=$AE739,DATE($AD739,4,1)&lt;=$AF739),ROUND($AG739,2),0))</f>
        <v/>
      </c>
      <c r="N739" s="18">
        <f>IF($Z739="","",IF(AND(DATE($AD739,5,1)&gt;=$AE739,DATE($AD739,5,1)&lt;=$AF739),ROUND($AG739,2),0))</f>
        <v/>
      </c>
      <c r="O739" s="18">
        <f>IF($Z739="","",IF(AND(DATE($AD739,6,1)&gt;=$AE739,DATE($AD739,6,1)&lt;=$AF739),ROUND($AG739,2),0))</f>
        <v/>
      </c>
      <c r="P739" s="18">
        <f>IF($Z739="","",IF(AND(DATE($AD739,7,1)&gt;=$AE739,DATE($AD739,7,1)&lt;=$AF739),ROUND($AG739,2),0))</f>
        <v/>
      </c>
      <c r="Q739" s="18">
        <f>IF($Z739="","",IF(AND(DATE($AD739,8,1)&gt;=$AE739,DATE($AD739,8,1)&lt;=$AF739),ROUND($AG739,2),0))</f>
        <v/>
      </c>
      <c r="R739" s="18">
        <f>IF($Z739="","",IF(AND(DATE($AD739,9,1)&gt;=$AE739,DATE($AD739,9,1)&lt;=$AF739),ROUND($AG739,2),0))</f>
        <v/>
      </c>
      <c r="S739" s="18">
        <f>IF($Z739="","",IF(AND(DATE($AD739,10,1)&gt;=$AE739,DATE($AD739,10,1)&lt;=$AF739),ROUND($AG739,2),0))</f>
        <v/>
      </c>
      <c r="T739" s="18">
        <f>IF($Z739="","",IF(AND(DATE($AD739,11,1)&gt;=$AE739,DATE($AD739,11,1)&lt;=$AF739),ROUND($AG739,2),0))</f>
        <v/>
      </c>
      <c r="U739" s="18">
        <f>IF($Z739="","",IF(AND(DATE($AD739,12,1)&gt;=$AE739,DATE($AD739,12,1)&lt;=$AF739),ROUND($AG739,2),0))</f>
        <v/>
      </c>
      <c r="V739" s="7">
        <f>IF($Z739="C","Generated from "&amp;INDEX(Contracts!$A$2:$A$151,$AB739),IF($Z739="A","Generated from "&amp;INDEX(Fixed_Assets!$A$2:$A$201,$AB739),IF($Z739="F","Generated from "&amp;INDEX(FTE_Allocation!$A$2:$A$201,$AB739),"")))</f>
        <v/>
      </c>
      <c r="X739" s="19">
        <f>IF($Z739="","",SUM(J739:U739))</f>
        <v/>
      </c>
      <c r="Y739" s="20">
        <f>ROW()-1</f>
        <v/>
      </c>
      <c r="Z739" s="20">
        <f>IF($Y739&lt;=Settings!$B$4*3,"C",IF($Y739&lt;=(Settings!$B$4+Settings!$B$5)*3,"A",IF($Y739&lt;=(Settings!$B$4+Settings!$B$5+Settings!$B$6)*3,"F","")))</f>
        <v/>
      </c>
      <c r="AA739" s="20">
        <f>IF($Z739="C",$Y739,IF($Z739="A",$Y739-Settings!$B$4*3,IF($Z739="F",$Y739-(Settings!$B$4+Settings!$B$5)*3,"")))</f>
        <v/>
      </c>
      <c r="AB739" s="20">
        <f>IF($Z739="","",INT(($AA739-1)/3)+1)</f>
        <v/>
      </c>
      <c r="AC739" s="20">
        <f>IF($Z739="","",MOD($AA739-1,3)+1)</f>
        <v/>
      </c>
      <c r="AD739" s="20">
        <f>IF($Z739="","",Settings!$B$2+$AC739-1)</f>
        <v/>
      </c>
      <c r="AE739" s="21">
        <f>IF($Z739="C",DATE(YEAR(INDEX(Contracts!$J$2:$J$151,$AB739)),MONTH(INDEX(Contracts!$J$2:$J$151,$AB739)),1),IF($Z739="A",DATE(YEAR(INDEX(Fixed_Assets!$G$2:$G$201,$AB739)),MONTH(INDEX(Fixed_Assets!$G$2:$G$201,$AB739)),1),IF($Z739="F",DATE(YEAR(MAX(N(INDEX(Workforce!$I$2:$I$151,MATCH(INDEX(FTE_Allocation!$A$2:$A$201,$AB739),Workforce!$A$2:$A$151,0))),N(INDEX(FTE_Allocation!$I$2:$I$201,$AB739)))),MONTH(MAX(N(INDEX(Workforce!$I$2:$I$151,MATCH(INDEX(FTE_Allocation!$A$2:$A$201,$AB739),Workforce!$A$2:$A$151,0))),N(INDEX(FTE_Allocation!$I$2:$I$201,$AB739)))),1),"")))</f>
        <v/>
      </c>
      <c r="AF739" s="21">
        <f>IF($Z739="C",IF(INDEX(Contracts!$I$2:$I$151,$AB739)="PREPAID",EDATE(DATE(YEAR(INDEX(Contracts!$J$2:$J$151,$AB739)),MONTH(INDEX(Contracts!$J$2:$J$151,$AB739)),1),IF(INDEX(Contracts!$N$2:$N$151,$AB739)="",12,INDEX(Contracts!$N$2:$N$151,$AB739))-1),IF(INDEX(Contracts!$I$2:$I$151,$AB739)="MONTHLY",IF(INDEX(Contracts!$K$2:$K$151,$AB739)="",2958101,INDEX(Contracts!$K$2:$K$151,$AB739)),0)),IF($Z739="A",EDATE(DATE(YEAR(INDEX(Fixed_Assets!$G$2:$G$201,$AB739)),MONTH(INDEX(Fixed_Assets!$G$2:$G$201,$AB739)),1),INDEX(Fixed_Assets!$J$2:$J$201,$AB739)-1),IF($Z739="F",MIN(IF(INDEX(Workforce!$J$2:$J$151,MATCH(INDEX(FTE_Allocation!$A$2:$A$201,$AB739),Workforce!$A$2:$A$151,0))="",2958101,INDEX(Workforce!$J$2:$J$151,MATCH(INDEX(FTE_Allocation!$A$2:$A$201,$AB739),Workforce!$A$2:$A$151,0))),IF(INDEX(FTE_Allocation!$J$2:$J$201,$AB739)="",2958101,INDEX(FTE_Allocation!$J$2:$J$201,$AB739))),"")))</f>
        <v/>
      </c>
      <c r="AG739" s="19">
        <f>IF($Z739="C",IF(INDEX(Contracts!$I$2:$I$151,$AB739)="PREPAID",INDEX(Contracts!$M$2:$M$151,$AB739)/IF(INDEX(Contracts!$N$2:$N$151,$AB739)="",12,INDEX(Contracts!$N$2:$N$151,$AB739)),IF(INDEX(Contracts!$I$2:$I$151,$AB739)="MONTHLY",INDEX(Contracts!$M$2:$M$151,$AB739),0))*(1-N(INDEX(Contracts!$O$2:$O$151,$AB739))),IF($Z739="A",INDEX(Fixed_Assets!$H$2:$H$201,$AB739)/INDEX(Fixed_Assets!$J$2:$J$201,$AB739),IF($Z739="F",INDEX(Workforce!$F$2:$F$151,MATCH(INDEX(FTE_Allocation!$A$2:$A$201,$AB739),Workforce!$A$2:$A$151,0))*N(INDEX(FTE_Allocation!$F$2:$H$201,$AB739,$AC739)),"")))</f>
        <v/>
      </c>
    </row>
    <row r="740">
      <c r="A740" s="7">
        <f>IF($Z740="","",$AD740)</f>
        <v/>
      </c>
      <c r="B740" s="7">
        <f>IF($Z740="C",INDEX(Contracts!$D$2:$D$151,$AB740)&amp;"",IF($Z740="A",INDEX(Fixed_Assets!$C$2:$C$201,$AB740)&amp;"",IF($Z740="F",INDEX(Workforce!$B$2:$B$151,MATCH(INDEX(FTE_Allocation!$A$2:$A$201,$AB740),Workforce!$A$2:$A$151,0))&amp;"","")))</f>
        <v/>
      </c>
      <c r="C740" s="7">
        <f>IF($Z740="C",INDEX(Contracts!$E$2:$E$151,$AB740)&amp;"",IF($Z740="A",INDEX(Fixed_Assets!$D$2:$D$201,$AB740)&amp;"",IF($Z740="F",INDEX(FTE_Allocation!$C$2:$C$201,$AB740)&amp;"","")))</f>
        <v/>
      </c>
      <c r="D740" s="7">
        <f>IF($Z740="C",INDEX(Contracts!$B$2:$B$151,$AB740)&amp;"",IF($Z740="A",INDEX(Fixed_Assets!$B$2:$B$201,$AB740)&amp;"",IF($Z740="F",INDEX(FTE_Allocation!$B$2:$B$201,$AB740)&amp;"","")))</f>
        <v/>
      </c>
      <c r="E740" s="7">
        <f>IF($Z740="C",INDEX(Contracts!$P$2:$P$151,$AB740)&amp;"",IF($Z740="A",INDEX(Fixed_Assets!$K$2:$K$201,$AB740)&amp;"",IF($Z740="F",IF(INDEX(FTE_Allocation!$D$2:$D$201,$AB740)="PROJECT",IFERROR(INDEX(Projects!$D:$D,MATCH(INDEX(FTE_Allocation!$E$2:$E$201,$AB740),Projects!$A:$A,0))&amp;"","#PROJECT?"),INDEX(FTE_Allocation!$E$2:$E$201,$AB740)&amp;""),"")))</f>
        <v/>
      </c>
      <c r="F740" s="7">
        <f>IF($Z740="C",INDEX(Contracts!$Q$2:$Q$151,$AB740)&amp;"",IF($Z740="A",INDEX(Fixed_Assets!$L$2:$L$201,$AB740)&amp;"",IF($Z740="F",INDEX(Workforce!$K$2:$K$151,MATCH(INDEX(FTE_Allocation!$A$2:$A$201,$AB740),Workforce!$A$2:$A$151,0))&amp;"","")))</f>
        <v/>
      </c>
      <c r="G740" s="7">
        <f>IF($Z740="C",INDEX(Contracts!$F$2:$F$151,$AB740)&amp;" / "&amp;INDEX(Contracts!$G$2:$G$151,$AB740),IF($Z740="A",INDEX(Fixed_Assets!$E$2:$E$201,$AB740)&amp;"",IF($Z740="F","Personnel "&amp;INDEX(FTE_Allocation!$A$2:$A$201,$AB740)&amp;IF(INDEX(FTE_Allocation!$D$2:$D$201,$AB740)="PROJECT"," ("&amp;INDEX(FTE_Allocation!$E$2:$E$201,$AB740)&amp;")",""),"")))</f>
        <v/>
      </c>
      <c r="H740" s="7">
        <f>IF($Z740="C","CONTRACT",IF($Z740="A","ASSET",IF($Z740="F","WORKFORCE","")))</f>
        <v/>
      </c>
      <c r="I740" s="7">
        <f>IF($Z740="C",INDEX(Contracts!$L$2:$L$151,$AB740)&amp;"",IF($Z740="A",INDEX(Fixed_Assets!$I$2:$I$201,$AB740)&amp;"",IF($Z740="F",INDEX(Workforce!$G$2:$G$151,MATCH(INDEX(FTE_Allocation!$A$2:$A$201,$AB740),Workforce!$A$2:$A$151,0))&amp;"","")))</f>
        <v/>
      </c>
      <c r="J740" s="18">
        <f>IF($Z740="","",IF(AND(DATE($AD740,1,1)&gt;=$AE740,DATE($AD740,1,1)&lt;=$AF740),ROUND($AG740,2),0))</f>
        <v/>
      </c>
      <c r="K740" s="18">
        <f>IF($Z740="","",IF(AND(DATE($AD740,2,1)&gt;=$AE740,DATE($AD740,2,1)&lt;=$AF740),ROUND($AG740,2),0))</f>
        <v/>
      </c>
      <c r="L740" s="18">
        <f>IF($Z740="","",IF(AND(DATE($AD740,3,1)&gt;=$AE740,DATE($AD740,3,1)&lt;=$AF740),ROUND($AG740,2),0))</f>
        <v/>
      </c>
      <c r="M740" s="18">
        <f>IF($Z740="","",IF(AND(DATE($AD740,4,1)&gt;=$AE740,DATE($AD740,4,1)&lt;=$AF740),ROUND($AG740,2),0))</f>
        <v/>
      </c>
      <c r="N740" s="18">
        <f>IF($Z740="","",IF(AND(DATE($AD740,5,1)&gt;=$AE740,DATE($AD740,5,1)&lt;=$AF740),ROUND($AG740,2),0))</f>
        <v/>
      </c>
      <c r="O740" s="18">
        <f>IF($Z740="","",IF(AND(DATE($AD740,6,1)&gt;=$AE740,DATE($AD740,6,1)&lt;=$AF740),ROUND($AG740,2),0))</f>
        <v/>
      </c>
      <c r="P740" s="18">
        <f>IF($Z740="","",IF(AND(DATE($AD740,7,1)&gt;=$AE740,DATE($AD740,7,1)&lt;=$AF740),ROUND($AG740,2),0))</f>
        <v/>
      </c>
      <c r="Q740" s="18">
        <f>IF($Z740="","",IF(AND(DATE($AD740,8,1)&gt;=$AE740,DATE($AD740,8,1)&lt;=$AF740),ROUND($AG740,2),0))</f>
        <v/>
      </c>
      <c r="R740" s="18">
        <f>IF($Z740="","",IF(AND(DATE($AD740,9,1)&gt;=$AE740,DATE($AD740,9,1)&lt;=$AF740),ROUND($AG740,2),0))</f>
        <v/>
      </c>
      <c r="S740" s="18">
        <f>IF($Z740="","",IF(AND(DATE($AD740,10,1)&gt;=$AE740,DATE($AD740,10,1)&lt;=$AF740),ROUND($AG740,2),0))</f>
        <v/>
      </c>
      <c r="T740" s="18">
        <f>IF($Z740="","",IF(AND(DATE($AD740,11,1)&gt;=$AE740,DATE($AD740,11,1)&lt;=$AF740),ROUND($AG740,2),0))</f>
        <v/>
      </c>
      <c r="U740" s="18">
        <f>IF($Z740="","",IF(AND(DATE($AD740,12,1)&gt;=$AE740,DATE($AD740,12,1)&lt;=$AF740),ROUND($AG740,2),0))</f>
        <v/>
      </c>
      <c r="V740" s="7">
        <f>IF($Z740="C","Generated from "&amp;INDEX(Contracts!$A$2:$A$151,$AB740),IF($Z740="A","Generated from "&amp;INDEX(Fixed_Assets!$A$2:$A$201,$AB740),IF($Z740="F","Generated from "&amp;INDEX(FTE_Allocation!$A$2:$A$201,$AB740),"")))</f>
        <v/>
      </c>
      <c r="X740" s="19">
        <f>IF($Z740="","",SUM(J740:U740))</f>
        <v/>
      </c>
      <c r="Y740" s="20">
        <f>ROW()-1</f>
        <v/>
      </c>
      <c r="Z740" s="20">
        <f>IF($Y740&lt;=Settings!$B$4*3,"C",IF($Y740&lt;=(Settings!$B$4+Settings!$B$5)*3,"A",IF($Y740&lt;=(Settings!$B$4+Settings!$B$5+Settings!$B$6)*3,"F","")))</f>
        <v/>
      </c>
      <c r="AA740" s="20">
        <f>IF($Z740="C",$Y740,IF($Z740="A",$Y740-Settings!$B$4*3,IF($Z740="F",$Y740-(Settings!$B$4+Settings!$B$5)*3,"")))</f>
        <v/>
      </c>
      <c r="AB740" s="20">
        <f>IF($Z740="","",INT(($AA740-1)/3)+1)</f>
        <v/>
      </c>
      <c r="AC740" s="20">
        <f>IF($Z740="","",MOD($AA740-1,3)+1)</f>
        <v/>
      </c>
      <c r="AD740" s="20">
        <f>IF($Z740="","",Settings!$B$2+$AC740-1)</f>
        <v/>
      </c>
      <c r="AE740" s="21">
        <f>IF($Z740="C",DATE(YEAR(INDEX(Contracts!$J$2:$J$151,$AB740)),MONTH(INDEX(Contracts!$J$2:$J$151,$AB740)),1),IF($Z740="A",DATE(YEAR(INDEX(Fixed_Assets!$G$2:$G$201,$AB740)),MONTH(INDEX(Fixed_Assets!$G$2:$G$201,$AB740)),1),IF($Z740="F",DATE(YEAR(MAX(N(INDEX(Workforce!$I$2:$I$151,MATCH(INDEX(FTE_Allocation!$A$2:$A$201,$AB740),Workforce!$A$2:$A$151,0))),N(INDEX(FTE_Allocation!$I$2:$I$201,$AB740)))),MONTH(MAX(N(INDEX(Workforce!$I$2:$I$151,MATCH(INDEX(FTE_Allocation!$A$2:$A$201,$AB740),Workforce!$A$2:$A$151,0))),N(INDEX(FTE_Allocation!$I$2:$I$201,$AB740)))),1),"")))</f>
        <v/>
      </c>
      <c r="AF740" s="21">
        <f>IF($Z740="C",IF(INDEX(Contracts!$I$2:$I$151,$AB740)="PREPAID",EDATE(DATE(YEAR(INDEX(Contracts!$J$2:$J$151,$AB740)),MONTH(INDEX(Contracts!$J$2:$J$151,$AB740)),1),IF(INDEX(Contracts!$N$2:$N$151,$AB740)="",12,INDEX(Contracts!$N$2:$N$151,$AB740))-1),IF(INDEX(Contracts!$I$2:$I$151,$AB740)="MONTHLY",IF(INDEX(Contracts!$K$2:$K$151,$AB740)="",2958101,INDEX(Contracts!$K$2:$K$151,$AB740)),0)),IF($Z740="A",EDATE(DATE(YEAR(INDEX(Fixed_Assets!$G$2:$G$201,$AB740)),MONTH(INDEX(Fixed_Assets!$G$2:$G$201,$AB740)),1),INDEX(Fixed_Assets!$J$2:$J$201,$AB740)-1),IF($Z740="F",MIN(IF(INDEX(Workforce!$J$2:$J$151,MATCH(INDEX(FTE_Allocation!$A$2:$A$201,$AB740),Workforce!$A$2:$A$151,0))="",2958101,INDEX(Workforce!$J$2:$J$151,MATCH(INDEX(FTE_Allocation!$A$2:$A$201,$AB740),Workforce!$A$2:$A$151,0))),IF(INDEX(FTE_Allocation!$J$2:$J$201,$AB740)="",2958101,INDEX(FTE_Allocation!$J$2:$J$201,$AB740))),"")))</f>
        <v/>
      </c>
      <c r="AG740" s="19">
        <f>IF($Z740="C",IF(INDEX(Contracts!$I$2:$I$151,$AB740)="PREPAID",INDEX(Contracts!$M$2:$M$151,$AB740)/IF(INDEX(Contracts!$N$2:$N$151,$AB740)="",12,INDEX(Contracts!$N$2:$N$151,$AB740)),IF(INDEX(Contracts!$I$2:$I$151,$AB740)="MONTHLY",INDEX(Contracts!$M$2:$M$151,$AB740),0))*(1-N(INDEX(Contracts!$O$2:$O$151,$AB740))),IF($Z740="A",INDEX(Fixed_Assets!$H$2:$H$201,$AB740)/INDEX(Fixed_Assets!$J$2:$J$201,$AB740),IF($Z740="F",INDEX(Workforce!$F$2:$F$151,MATCH(INDEX(FTE_Allocation!$A$2:$A$201,$AB740),Workforce!$A$2:$A$151,0))*N(INDEX(FTE_Allocation!$F$2:$H$201,$AB740,$AC740)),"")))</f>
        <v/>
      </c>
    </row>
    <row r="741">
      <c r="A741" s="7">
        <f>IF($Z741="","",$AD741)</f>
        <v/>
      </c>
      <c r="B741" s="7">
        <f>IF($Z741="C",INDEX(Contracts!$D$2:$D$151,$AB741)&amp;"",IF($Z741="A",INDEX(Fixed_Assets!$C$2:$C$201,$AB741)&amp;"",IF($Z741="F",INDEX(Workforce!$B$2:$B$151,MATCH(INDEX(FTE_Allocation!$A$2:$A$201,$AB741),Workforce!$A$2:$A$151,0))&amp;"","")))</f>
        <v/>
      </c>
      <c r="C741" s="7">
        <f>IF($Z741="C",INDEX(Contracts!$E$2:$E$151,$AB741)&amp;"",IF($Z741="A",INDEX(Fixed_Assets!$D$2:$D$201,$AB741)&amp;"",IF($Z741="F",INDEX(FTE_Allocation!$C$2:$C$201,$AB741)&amp;"","")))</f>
        <v/>
      </c>
      <c r="D741" s="7">
        <f>IF($Z741="C",INDEX(Contracts!$B$2:$B$151,$AB741)&amp;"",IF($Z741="A",INDEX(Fixed_Assets!$B$2:$B$201,$AB741)&amp;"",IF($Z741="F",INDEX(FTE_Allocation!$B$2:$B$201,$AB741)&amp;"","")))</f>
        <v/>
      </c>
      <c r="E741" s="7">
        <f>IF($Z741="C",INDEX(Contracts!$P$2:$P$151,$AB741)&amp;"",IF($Z741="A",INDEX(Fixed_Assets!$K$2:$K$201,$AB741)&amp;"",IF($Z741="F",IF(INDEX(FTE_Allocation!$D$2:$D$201,$AB741)="PROJECT",IFERROR(INDEX(Projects!$D:$D,MATCH(INDEX(FTE_Allocation!$E$2:$E$201,$AB741),Projects!$A:$A,0))&amp;"","#PROJECT?"),INDEX(FTE_Allocation!$E$2:$E$201,$AB741)&amp;""),"")))</f>
        <v/>
      </c>
      <c r="F741" s="7">
        <f>IF($Z741="C",INDEX(Contracts!$Q$2:$Q$151,$AB741)&amp;"",IF($Z741="A",INDEX(Fixed_Assets!$L$2:$L$201,$AB741)&amp;"",IF($Z741="F",INDEX(Workforce!$K$2:$K$151,MATCH(INDEX(FTE_Allocation!$A$2:$A$201,$AB741),Workforce!$A$2:$A$151,0))&amp;"","")))</f>
        <v/>
      </c>
      <c r="G741" s="7">
        <f>IF($Z741="C",INDEX(Contracts!$F$2:$F$151,$AB741)&amp;" / "&amp;INDEX(Contracts!$G$2:$G$151,$AB741),IF($Z741="A",INDEX(Fixed_Assets!$E$2:$E$201,$AB741)&amp;"",IF($Z741="F","Personnel "&amp;INDEX(FTE_Allocation!$A$2:$A$201,$AB741)&amp;IF(INDEX(FTE_Allocation!$D$2:$D$201,$AB741)="PROJECT"," ("&amp;INDEX(FTE_Allocation!$E$2:$E$201,$AB741)&amp;")",""),"")))</f>
        <v/>
      </c>
      <c r="H741" s="7">
        <f>IF($Z741="C","CONTRACT",IF($Z741="A","ASSET",IF($Z741="F","WORKFORCE","")))</f>
        <v/>
      </c>
      <c r="I741" s="7">
        <f>IF($Z741="C",INDEX(Contracts!$L$2:$L$151,$AB741)&amp;"",IF($Z741="A",INDEX(Fixed_Assets!$I$2:$I$201,$AB741)&amp;"",IF($Z741="F",INDEX(Workforce!$G$2:$G$151,MATCH(INDEX(FTE_Allocation!$A$2:$A$201,$AB741),Workforce!$A$2:$A$151,0))&amp;"","")))</f>
        <v/>
      </c>
      <c r="J741" s="18">
        <f>IF($Z741="","",IF(AND(DATE($AD741,1,1)&gt;=$AE741,DATE($AD741,1,1)&lt;=$AF741),ROUND($AG741,2),0))</f>
        <v/>
      </c>
      <c r="K741" s="18">
        <f>IF($Z741="","",IF(AND(DATE($AD741,2,1)&gt;=$AE741,DATE($AD741,2,1)&lt;=$AF741),ROUND($AG741,2),0))</f>
        <v/>
      </c>
      <c r="L741" s="18">
        <f>IF($Z741="","",IF(AND(DATE($AD741,3,1)&gt;=$AE741,DATE($AD741,3,1)&lt;=$AF741),ROUND($AG741,2),0))</f>
        <v/>
      </c>
      <c r="M741" s="18">
        <f>IF($Z741="","",IF(AND(DATE($AD741,4,1)&gt;=$AE741,DATE($AD741,4,1)&lt;=$AF741),ROUND($AG741,2),0))</f>
        <v/>
      </c>
      <c r="N741" s="18">
        <f>IF($Z741="","",IF(AND(DATE($AD741,5,1)&gt;=$AE741,DATE($AD741,5,1)&lt;=$AF741),ROUND($AG741,2),0))</f>
        <v/>
      </c>
      <c r="O741" s="18">
        <f>IF($Z741="","",IF(AND(DATE($AD741,6,1)&gt;=$AE741,DATE($AD741,6,1)&lt;=$AF741),ROUND($AG741,2),0))</f>
        <v/>
      </c>
      <c r="P741" s="18">
        <f>IF($Z741="","",IF(AND(DATE($AD741,7,1)&gt;=$AE741,DATE($AD741,7,1)&lt;=$AF741),ROUND($AG741,2),0))</f>
        <v/>
      </c>
      <c r="Q741" s="18">
        <f>IF($Z741="","",IF(AND(DATE($AD741,8,1)&gt;=$AE741,DATE($AD741,8,1)&lt;=$AF741),ROUND($AG741,2),0))</f>
        <v/>
      </c>
      <c r="R741" s="18">
        <f>IF($Z741="","",IF(AND(DATE($AD741,9,1)&gt;=$AE741,DATE($AD741,9,1)&lt;=$AF741),ROUND($AG741,2),0))</f>
        <v/>
      </c>
      <c r="S741" s="18">
        <f>IF($Z741="","",IF(AND(DATE($AD741,10,1)&gt;=$AE741,DATE($AD741,10,1)&lt;=$AF741),ROUND($AG741,2),0))</f>
        <v/>
      </c>
      <c r="T741" s="18">
        <f>IF($Z741="","",IF(AND(DATE($AD741,11,1)&gt;=$AE741,DATE($AD741,11,1)&lt;=$AF741),ROUND($AG741,2),0))</f>
        <v/>
      </c>
      <c r="U741" s="18">
        <f>IF($Z741="","",IF(AND(DATE($AD741,12,1)&gt;=$AE741,DATE($AD741,12,1)&lt;=$AF741),ROUND($AG741,2),0))</f>
        <v/>
      </c>
      <c r="V741" s="7">
        <f>IF($Z741="C","Generated from "&amp;INDEX(Contracts!$A$2:$A$151,$AB741),IF($Z741="A","Generated from "&amp;INDEX(Fixed_Assets!$A$2:$A$201,$AB741),IF($Z741="F","Generated from "&amp;INDEX(FTE_Allocation!$A$2:$A$201,$AB741),"")))</f>
        <v/>
      </c>
      <c r="X741" s="19">
        <f>IF($Z741="","",SUM(J741:U741))</f>
        <v/>
      </c>
      <c r="Y741" s="20">
        <f>ROW()-1</f>
        <v/>
      </c>
      <c r="Z741" s="20">
        <f>IF($Y741&lt;=Settings!$B$4*3,"C",IF($Y741&lt;=(Settings!$B$4+Settings!$B$5)*3,"A",IF($Y741&lt;=(Settings!$B$4+Settings!$B$5+Settings!$B$6)*3,"F","")))</f>
        <v/>
      </c>
      <c r="AA741" s="20">
        <f>IF($Z741="C",$Y741,IF($Z741="A",$Y741-Settings!$B$4*3,IF($Z741="F",$Y741-(Settings!$B$4+Settings!$B$5)*3,"")))</f>
        <v/>
      </c>
      <c r="AB741" s="20">
        <f>IF($Z741="","",INT(($AA741-1)/3)+1)</f>
        <v/>
      </c>
      <c r="AC741" s="20">
        <f>IF($Z741="","",MOD($AA741-1,3)+1)</f>
        <v/>
      </c>
      <c r="AD741" s="20">
        <f>IF($Z741="","",Settings!$B$2+$AC741-1)</f>
        <v/>
      </c>
      <c r="AE741" s="21">
        <f>IF($Z741="C",DATE(YEAR(INDEX(Contracts!$J$2:$J$151,$AB741)),MONTH(INDEX(Contracts!$J$2:$J$151,$AB741)),1),IF($Z741="A",DATE(YEAR(INDEX(Fixed_Assets!$G$2:$G$201,$AB741)),MONTH(INDEX(Fixed_Assets!$G$2:$G$201,$AB741)),1),IF($Z741="F",DATE(YEAR(MAX(N(INDEX(Workforce!$I$2:$I$151,MATCH(INDEX(FTE_Allocation!$A$2:$A$201,$AB741),Workforce!$A$2:$A$151,0))),N(INDEX(FTE_Allocation!$I$2:$I$201,$AB741)))),MONTH(MAX(N(INDEX(Workforce!$I$2:$I$151,MATCH(INDEX(FTE_Allocation!$A$2:$A$201,$AB741),Workforce!$A$2:$A$151,0))),N(INDEX(FTE_Allocation!$I$2:$I$201,$AB741)))),1),"")))</f>
        <v/>
      </c>
      <c r="AF741" s="21">
        <f>IF($Z741="C",IF(INDEX(Contracts!$I$2:$I$151,$AB741)="PREPAID",EDATE(DATE(YEAR(INDEX(Contracts!$J$2:$J$151,$AB741)),MONTH(INDEX(Contracts!$J$2:$J$151,$AB741)),1),IF(INDEX(Contracts!$N$2:$N$151,$AB741)="",12,INDEX(Contracts!$N$2:$N$151,$AB741))-1),IF(INDEX(Contracts!$I$2:$I$151,$AB741)="MONTHLY",IF(INDEX(Contracts!$K$2:$K$151,$AB741)="",2958101,INDEX(Contracts!$K$2:$K$151,$AB741)),0)),IF($Z741="A",EDATE(DATE(YEAR(INDEX(Fixed_Assets!$G$2:$G$201,$AB741)),MONTH(INDEX(Fixed_Assets!$G$2:$G$201,$AB741)),1),INDEX(Fixed_Assets!$J$2:$J$201,$AB741)-1),IF($Z741="F",MIN(IF(INDEX(Workforce!$J$2:$J$151,MATCH(INDEX(FTE_Allocation!$A$2:$A$201,$AB741),Workforce!$A$2:$A$151,0))="",2958101,INDEX(Workforce!$J$2:$J$151,MATCH(INDEX(FTE_Allocation!$A$2:$A$201,$AB741),Workforce!$A$2:$A$151,0))),IF(INDEX(FTE_Allocation!$J$2:$J$201,$AB741)="",2958101,INDEX(FTE_Allocation!$J$2:$J$201,$AB741))),"")))</f>
        <v/>
      </c>
      <c r="AG741" s="19">
        <f>IF($Z741="C",IF(INDEX(Contracts!$I$2:$I$151,$AB741)="PREPAID",INDEX(Contracts!$M$2:$M$151,$AB741)/IF(INDEX(Contracts!$N$2:$N$151,$AB741)="",12,INDEX(Contracts!$N$2:$N$151,$AB741)),IF(INDEX(Contracts!$I$2:$I$151,$AB741)="MONTHLY",INDEX(Contracts!$M$2:$M$151,$AB741),0))*(1-N(INDEX(Contracts!$O$2:$O$151,$AB741))),IF($Z741="A",INDEX(Fixed_Assets!$H$2:$H$201,$AB741)/INDEX(Fixed_Assets!$J$2:$J$201,$AB741),IF($Z741="F",INDEX(Workforce!$F$2:$F$151,MATCH(INDEX(FTE_Allocation!$A$2:$A$201,$AB741),Workforce!$A$2:$A$151,0))*N(INDEX(FTE_Allocation!$F$2:$H$201,$AB741,$AC741)),"")))</f>
        <v/>
      </c>
    </row>
    <row r="742">
      <c r="A742" s="7">
        <f>IF($Z742="","",$AD742)</f>
        <v/>
      </c>
      <c r="B742" s="7">
        <f>IF($Z742="C",INDEX(Contracts!$D$2:$D$151,$AB742)&amp;"",IF($Z742="A",INDEX(Fixed_Assets!$C$2:$C$201,$AB742)&amp;"",IF($Z742="F",INDEX(Workforce!$B$2:$B$151,MATCH(INDEX(FTE_Allocation!$A$2:$A$201,$AB742),Workforce!$A$2:$A$151,0))&amp;"","")))</f>
        <v/>
      </c>
      <c r="C742" s="7">
        <f>IF($Z742="C",INDEX(Contracts!$E$2:$E$151,$AB742)&amp;"",IF($Z742="A",INDEX(Fixed_Assets!$D$2:$D$201,$AB742)&amp;"",IF($Z742="F",INDEX(FTE_Allocation!$C$2:$C$201,$AB742)&amp;"","")))</f>
        <v/>
      </c>
      <c r="D742" s="7">
        <f>IF($Z742="C",INDEX(Contracts!$B$2:$B$151,$AB742)&amp;"",IF($Z742="A",INDEX(Fixed_Assets!$B$2:$B$201,$AB742)&amp;"",IF($Z742="F",INDEX(FTE_Allocation!$B$2:$B$201,$AB742)&amp;"","")))</f>
        <v/>
      </c>
      <c r="E742" s="7">
        <f>IF($Z742="C",INDEX(Contracts!$P$2:$P$151,$AB742)&amp;"",IF($Z742="A",INDEX(Fixed_Assets!$K$2:$K$201,$AB742)&amp;"",IF($Z742="F",IF(INDEX(FTE_Allocation!$D$2:$D$201,$AB742)="PROJECT",IFERROR(INDEX(Projects!$D:$D,MATCH(INDEX(FTE_Allocation!$E$2:$E$201,$AB742),Projects!$A:$A,0))&amp;"","#PROJECT?"),INDEX(FTE_Allocation!$E$2:$E$201,$AB742)&amp;""),"")))</f>
        <v/>
      </c>
      <c r="F742" s="7">
        <f>IF($Z742="C",INDEX(Contracts!$Q$2:$Q$151,$AB742)&amp;"",IF($Z742="A",INDEX(Fixed_Assets!$L$2:$L$201,$AB742)&amp;"",IF($Z742="F",INDEX(Workforce!$K$2:$K$151,MATCH(INDEX(FTE_Allocation!$A$2:$A$201,$AB742),Workforce!$A$2:$A$151,0))&amp;"","")))</f>
        <v/>
      </c>
      <c r="G742" s="7">
        <f>IF($Z742="C",INDEX(Contracts!$F$2:$F$151,$AB742)&amp;" / "&amp;INDEX(Contracts!$G$2:$G$151,$AB742),IF($Z742="A",INDEX(Fixed_Assets!$E$2:$E$201,$AB742)&amp;"",IF($Z742="F","Personnel "&amp;INDEX(FTE_Allocation!$A$2:$A$201,$AB742)&amp;IF(INDEX(FTE_Allocation!$D$2:$D$201,$AB742)="PROJECT"," ("&amp;INDEX(FTE_Allocation!$E$2:$E$201,$AB742)&amp;")",""),"")))</f>
        <v/>
      </c>
      <c r="H742" s="7">
        <f>IF($Z742="C","CONTRACT",IF($Z742="A","ASSET",IF($Z742="F","WORKFORCE","")))</f>
        <v/>
      </c>
      <c r="I742" s="7">
        <f>IF($Z742="C",INDEX(Contracts!$L$2:$L$151,$AB742)&amp;"",IF($Z742="A",INDEX(Fixed_Assets!$I$2:$I$201,$AB742)&amp;"",IF($Z742="F",INDEX(Workforce!$G$2:$G$151,MATCH(INDEX(FTE_Allocation!$A$2:$A$201,$AB742),Workforce!$A$2:$A$151,0))&amp;"","")))</f>
        <v/>
      </c>
      <c r="J742" s="18">
        <f>IF($Z742="","",IF(AND(DATE($AD742,1,1)&gt;=$AE742,DATE($AD742,1,1)&lt;=$AF742),ROUND($AG742,2),0))</f>
        <v/>
      </c>
      <c r="K742" s="18">
        <f>IF($Z742="","",IF(AND(DATE($AD742,2,1)&gt;=$AE742,DATE($AD742,2,1)&lt;=$AF742),ROUND($AG742,2),0))</f>
        <v/>
      </c>
      <c r="L742" s="18">
        <f>IF($Z742="","",IF(AND(DATE($AD742,3,1)&gt;=$AE742,DATE($AD742,3,1)&lt;=$AF742),ROUND($AG742,2),0))</f>
        <v/>
      </c>
      <c r="M742" s="18">
        <f>IF($Z742="","",IF(AND(DATE($AD742,4,1)&gt;=$AE742,DATE($AD742,4,1)&lt;=$AF742),ROUND($AG742,2),0))</f>
        <v/>
      </c>
      <c r="N742" s="18">
        <f>IF($Z742="","",IF(AND(DATE($AD742,5,1)&gt;=$AE742,DATE($AD742,5,1)&lt;=$AF742),ROUND($AG742,2),0))</f>
        <v/>
      </c>
      <c r="O742" s="18">
        <f>IF($Z742="","",IF(AND(DATE($AD742,6,1)&gt;=$AE742,DATE($AD742,6,1)&lt;=$AF742),ROUND($AG742,2),0))</f>
        <v/>
      </c>
      <c r="P742" s="18">
        <f>IF($Z742="","",IF(AND(DATE($AD742,7,1)&gt;=$AE742,DATE($AD742,7,1)&lt;=$AF742),ROUND($AG742,2),0))</f>
        <v/>
      </c>
      <c r="Q742" s="18">
        <f>IF($Z742="","",IF(AND(DATE($AD742,8,1)&gt;=$AE742,DATE($AD742,8,1)&lt;=$AF742),ROUND($AG742,2),0))</f>
        <v/>
      </c>
      <c r="R742" s="18">
        <f>IF($Z742="","",IF(AND(DATE($AD742,9,1)&gt;=$AE742,DATE($AD742,9,1)&lt;=$AF742),ROUND($AG742,2),0))</f>
        <v/>
      </c>
      <c r="S742" s="18">
        <f>IF($Z742="","",IF(AND(DATE($AD742,10,1)&gt;=$AE742,DATE($AD742,10,1)&lt;=$AF742),ROUND($AG742,2),0))</f>
        <v/>
      </c>
      <c r="T742" s="18">
        <f>IF($Z742="","",IF(AND(DATE($AD742,11,1)&gt;=$AE742,DATE($AD742,11,1)&lt;=$AF742),ROUND($AG742,2),0))</f>
        <v/>
      </c>
      <c r="U742" s="18">
        <f>IF($Z742="","",IF(AND(DATE($AD742,12,1)&gt;=$AE742,DATE($AD742,12,1)&lt;=$AF742),ROUND($AG742,2),0))</f>
        <v/>
      </c>
      <c r="V742" s="7">
        <f>IF($Z742="C","Generated from "&amp;INDEX(Contracts!$A$2:$A$151,$AB742),IF($Z742="A","Generated from "&amp;INDEX(Fixed_Assets!$A$2:$A$201,$AB742),IF($Z742="F","Generated from "&amp;INDEX(FTE_Allocation!$A$2:$A$201,$AB742),"")))</f>
        <v/>
      </c>
      <c r="X742" s="19">
        <f>IF($Z742="","",SUM(J742:U742))</f>
        <v/>
      </c>
      <c r="Y742" s="20">
        <f>ROW()-1</f>
        <v/>
      </c>
      <c r="Z742" s="20">
        <f>IF($Y742&lt;=Settings!$B$4*3,"C",IF($Y742&lt;=(Settings!$B$4+Settings!$B$5)*3,"A",IF($Y742&lt;=(Settings!$B$4+Settings!$B$5+Settings!$B$6)*3,"F","")))</f>
        <v/>
      </c>
      <c r="AA742" s="20">
        <f>IF($Z742="C",$Y742,IF($Z742="A",$Y742-Settings!$B$4*3,IF($Z742="F",$Y742-(Settings!$B$4+Settings!$B$5)*3,"")))</f>
        <v/>
      </c>
      <c r="AB742" s="20">
        <f>IF($Z742="","",INT(($AA742-1)/3)+1)</f>
        <v/>
      </c>
      <c r="AC742" s="20">
        <f>IF($Z742="","",MOD($AA742-1,3)+1)</f>
        <v/>
      </c>
      <c r="AD742" s="20">
        <f>IF($Z742="","",Settings!$B$2+$AC742-1)</f>
        <v/>
      </c>
      <c r="AE742" s="21">
        <f>IF($Z742="C",DATE(YEAR(INDEX(Contracts!$J$2:$J$151,$AB742)),MONTH(INDEX(Contracts!$J$2:$J$151,$AB742)),1),IF($Z742="A",DATE(YEAR(INDEX(Fixed_Assets!$G$2:$G$201,$AB742)),MONTH(INDEX(Fixed_Assets!$G$2:$G$201,$AB742)),1),IF($Z742="F",DATE(YEAR(MAX(N(INDEX(Workforce!$I$2:$I$151,MATCH(INDEX(FTE_Allocation!$A$2:$A$201,$AB742),Workforce!$A$2:$A$151,0))),N(INDEX(FTE_Allocation!$I$2:$I$201,$AB742)))),MONTH(MAX(N(INDEX(Workforce!$I$2:$I$151,MATCH(INDEX(FTE_Allocation!$A$2:$A$201,$AB742),Workforce!$A$2:$A$151,0))),N(INDEX(FTE_Allocation!$I$2:$I$201,$AB742)))),1),"")))</f>
        <v/>
      </c>
      <c r="AF742" s="21">
        <f>IF($Z742="C",IF(INDEX(Contracts!$I$2:$I$151,$AB742)="PREPAID",EDATE(DATE(YEAR(INDEX(Contracts!$J$2:$J$151,$AB742)),MONTH(INDEX(Contracts!$J$2:$J$151,$AB742)),1),IF(INDEX(Contracts!$N$2:$N$151,$AB742)="",12,INDEX(Contracts!$N$2:$N$151,$AB742))-1),IF(INDEX(Contracts!$I$2:$I$151,$AB742)="MONTHLY",IF(INDEX(Contracts!$K$2:$K$151,$AB742)="",2958101,INDEX(Contracts!$K$2:$K$151,$AB742)),0)),IF($Z742="A",EDATE(DATE(YEAR(INDEX(Fixed_Assets!$G$2:$G$201,$AB742)),MONTH(INDEX(Fixed_Assets!$G$2:$G$201,$AB742)),1),INDEX(Fixed_Assets!$J$2:$J$201,$AB742)-1),IF($Z742="F",MIN(IF(INDEX(Workforce!$J$2:$J$151,MATCH(INDEX(FTE_Allocation!$A$2:$A$201,$AB742),Workforce!$A$2:$A$151,0))="",2958101,INDEX(Workforce!$J$2:$J$151,MATCH(INDEX(FTE_Allocation!$A$2:$A$201,$AB742),Workforce!$A$2:$A$151,0))),IF(INDEX(FTE_Allocation!$J$2:$J$201,$AB742)="",2958101,INDEX(FTE_Allocation!$J$2:$J$201,$AB742))),"")))</f>
        <v/>
      </c>
      <c r="AG742" s="19">
        <f>IF($Z742="C",IF(INDEX(Contracts!$I$2:$I$151,$AB742)="PREPAID",INDEX(Contracts!$M$2:$M$151,$AB742)/IF(INDEX(Contracts!$N$2:$N$151,$AB742)="",12,INDEX(Contracts!$N$2:$N$151,$AB742)),IF(INDEX(Contracts!$I$2:$I$151,$AB742)="MONTHLY",INDEX(Contracts!$M$2:$M$151,$AB742),0))*(1-N(INDEX(Contracts!$O$2:$O$151,$AB742))),IF($Z742="A",INDEX(Fixed_Assets!$H$2:$H$201,$AB742)/INDEX(Fixed_Assets!$J$2:$J$201,$AB742),IF($Z742="F",INDEX(Workforce!$F$2:$F$151,MATCH(INDEX(FTE_Allocation!$A$2:$A$201,$AB742),Workforce!$A$2:$A$151,0))*N(INDEX(FTE_Allocation!$F$2:$H$201,$AB742,$AC742)),"")))</f>
        <v/>
      </c>
    </row>
    <row r="743">
      <c r="A743" s="7">
        <f>IF($Z743="","",$AD743)</f>
        <v/>
      </c>
      <c r="B743" s="7">
        <f>IF($Z743="C",INDEX(Contracts!$D$2:$D$151,$AB743)&amp;"",IF($Z743="A",INDEX(Fixed_Assets!$C$2:$C$201,$AB743)&amp;"",IF($Z743="F",INDEX(Workforce!$B$2:$B$151,MATCH(INDEX(FTE_Allocation!$A$2:$A$201,$AB743),Workforce!$A$2:$A$151,0))&amp;"","")))</f>
        <v/>
      </c>
      <c r="C743" s="7">
        <f>IF($Z743="C",INDEX(Contracts!$E$2:$E$151,$AB743)&amp;"",IF($Z743="A",INDEX(Fixed_Assets!$D$2:$D$201,$AB743)&amp;"",IF($Z743="F",INDEX(FTE_Allocation!$C$2:$C$201,$AB743)&amp;"","")))</f>
        <v/>
      </c>
      <c r="D743" s="7">
        <f>IF($Z743="C",INDEX(Contracts!$B$2:$B$151,$AB743)&amp;"",IF($Z743="A",INDEX(Fixed_Assets!$B$2:$B$201,$AB743)&amp;"",IF($Z743="F",INDEX(FTE_Allocation!$B$2:$B$201,$AB743)&amp;"","")))</f>
        <v/>
      </c>
      <c r="E743" s="7">
        <f>IF($Z743="C",INDEX(Contracts!$P$2:$P$151,$AB743)&amp;"",IF($Z743="A",INDEX(Fixed_Assets!$K$2:$K$201,$AB743)&amp;"",IF($Z743="F",IF(INDEX(FTE_Allocation!$D$2:$D$201,$AB743)="PROJECT",IFERROR(INDEX(Projects!$D:$D,MATCH(INDEX(FTE_Allocation!$E$2:$E$201,$AB743),Projects!$A:$A,0))&amp;"","#PROJECT?"),INDEX(FTE_Allocation!$E$2:$E$201,$AB743)&amp;""),"")))</f>
        <v/>
      </c>
      <c r="F743" s="7">
        <f>IF($Z743="C",INDEX(Contracts!$Q$2:$Q$151,$AB743)&amp;"",IF($Z743="A",INDEX(Fixed_Assets!$L$2:$L$201,$AB743)&amp;"",IF($Z743="F",INDEX(Workforce!$K$2:$K$151,MATCH(INDEX(FTE_Allocation!$A$2:$A$201,$AB743),Workforce!$A$2:$A$151,0))&amp;"","")))</f>
        <v/>
      </c>
      <c r="G743" s="7">
        <f>IF($Z743="C",INDEX(Contracts!$F$2:$F$151,$AB743)&amp;" / "&amp;INDEX(Contracts!$G$2:$G$151,$AB743),IF($Z743="A",INDEX(Fixed_Assets!$E$2:$E$201,$AB743)&amp;"",IF($Z743="F","Personnel "&amp;INDEX(FTE_Allocation!$A$2:$A$201,$AB743)&amp;IF(INDEX(FTE_Allocation!$D$2:$D$201,$AB743)="PROJECT"," ("&amp;INDEX(FTE_Allocation!$E$2:$E$201,$AB743)&amp;")",""),"")))</f>
        <v/>
      </c>
      <c r="H743" s="7">
        <f>IF($Z743="C","CONTRACT",IF($Z743="A","ASSET",IF($Z743="F","WORKFORCE","")))</f>
        <v/>
      </c>
      <c r="I743" s="7">
        <f>IF($Z743="C",INDEX(Contracts!$L$2:$L$151,$AB743)&amp;"",IF($Z743="A",INDEX(Fixed_Assets!$I$2:$I$201,$AB743)&amp;"",IF($Z743="F",INDEX(Workforce!$G$2:$G$151,MATCH(INDEX(FTE_Allocation!$A$2:$A$201,$AB743),Workforce!$A$2:$A$151,0))&amp;"","")))</f>
        <v/>
      </c>
      <c r="J743" s="18">
        <f>IF($Z743="","",IF(AND(DATE($AD743,1,1)&gt;=$AE743,DATE($AD743,1,1)&lt;=$AF743),ROUND($AG743,2),0))</f>
        <v/>
      </c>
      <c r="K743" s="18">
        <f>IF($Z743="","",IF(AND(DATE($AD743,2,1)&gt;=$AE743,DATE($AD743,2,1)&lt;=$AF743),ROUND($AG743,2),0))</f>
        <v/>
      </c>
      <c r="L743" s="18">
        <f>IF($Z743="","",IF(AND(DATE($AD743,3,1)&gt;=$AE743,DATE($AD743,3,1)&lt;=$AF743),ROUND($AG743,2),0))</f>
        <v/>
      </c>
      <c r="M743" s="18">
        <f>IF($Z743="","",IF(AND(DATE($AD743,4,1)&gt;=$AE743,DATE($AD743,4,1)&lt;=$AF743),ROUND($AG743,2),0))</f>
        <v/>
      </c>
      <c r="N743" s="18">
        <f>IF($Z743="","",IF(AND(DATE($AD743,5,1)&gt;=$AE743,DATE($AD743,5,1)&lt;=$AF743),ROUND($AG743,2),0))</f>
        <v/>
      </c>
      <c r="O743" s="18">
        <f>IF($Z743="","",IF(AND(DATE($AD743,6,1)&gt;=$AE743,DATE($AD743,6,1)&lt;=$AF743),ROUND($AG743,2),0))</f>
        <v/>
      </c>
      <c r="P743" s="18">
        <f>IF($Z743="","",IF(AND(DATE($AD743,7,1)&gt;=$AE743,DATE($AD743,7,1)&lt;=$AF743),ROUND($AG743,2),0))</f>
        <v/>
      </c>
      <c r="Q743" s="18">
        <f>IF($Z743="","",IF(AND(DATE($AD743,8,1)&gt;=$AE743,DATE($AD743,8,1)&lt;=$AF743),ROUND($AG743,2),0))</f>
        <v/>
      </c>
      <c r="R743" s="18">
        <f>IF($Z743="","",IF(AND(DATE($AD743,9,1)&gt;=$AE743,DATE($AD743,9,1)&lt;=$AF743),ROUND($AG743,2),0))</f>
        <v/>
      </c>
      <c r="S743" s="18">
        <f>IF($Z743="","",IF(AND(DATE($AD743,10,1)&gt;=$AE743,DATE($AD743,10,1)&lt;=$AF743),ROUND($AG743,2),0))</f>
        <v/>
      </c>
      <c r="T743" s="18">
        <f>IF($Z743="","",IF(AND(DATE($AD743,11,1)&gt;=$AE743,DATE($AD743,11,1)&lt;=$AF743),ROUND($AG743,2),0))</f>
        <v/>
      </c>
      <c r="U743" s="18">
        <f>IF($Z743="","",IF(AND(DATE($AD743,12,1)&gt;=$AE743,DATE($AD743,12,1)&lt;=$AF743),ROUND($AG743,2),0))</f>
        <v/>
      </c>
      <c r="V743" s="7">
        <f>IF($Z743="C","Generated from "&amp;INDEX(Contracts!$A$2:$A$151,$AB743),IF($Z743="A","Generated from "&amp;INDEX(Fixed_Assets!$A$2:$A$201,$AB743),IF($Z743="F","Generated from "&amp;INDEX(FTE_Allocation!$A$2:$A$201,$AB743),"")))</f>
        <v/>
      </c>
      <c r="X743" s="19">
        <f>IF($Z743="","",SUM(J743:U743))</f>
        <v/>
      </c>
      <c r="Y743" s="20">
        <f>ROW()-1</f>
        <v/>
      </c>
      <c r="Z743" s="20">
        <f>IF($Y743&lt;=Settings!$B$4*3,"C",IF($Y743&lt;=(Settings!$B$4+Settings!$B$5)*3,"A",IF($Y743&lt;=(Settings!$B$4+Settings!$B$5+Settings!$B$6)*3,"F","")))</f>
        <v/>
      </c>
      <c r="AA743" s="20">
        <f>IF($Z743="C",$Y743,IF($Z743="A",$Y743-Settings!$B$4*3,IF($Z743="F",$Y743-(Settings!$B$4+Settings!$B$5)*3,"")))</f>
        <v/>
      </c>
      <c r="AB743" s="20">
        <f>IF($Z743="","",INT(($AA743-1)/3)+1)</f>
        <v/>
      </c>
      <c r="AC743" s="20">
        <f>IF($Z743="","",MOD($AA743-1,3)+1)</f>
        <v/>
      </c>
      <c r="AD743" s="20">
        <f>IF($Z743="","",Settings!$B$2+$AC743-1)</f>
        <v/>
      </c>
      <c r="AE743" s="21">
        <f>IF($Z743="C",DATE(YEAR(INDEX(Contracts!$J$2:$J$151,$AB743)),MONTH(INDEX(Contracts!$J$2:$J$151,$AB743)),1),IF($Z743="A",DATE(YEAR(INDEX(Fixed_Assets!$G$2:$G$201,$AB743)),MONTH(INDEX(Fixed_Assets!$G$2:$G$201,$AB743)),1),IF($Z743="F",DATE(YEAR(MAX(N(INDEX(Workforce!$I$2:$I$151,MATCH(INDEX(FTE_Allocation!$A$2:$A$201,$AB743),Workforce!$A$2:$A$151,0))),N(INDEX(FTE_Allocation!$I$2:$I$201,$AB743)))),MONTH(MAX(N(INDEX(Workforce!$I$2:$I$151,MATCH(INDEX(FTE_Allocation!$A$2:$A$201,$AB743),Workforce!$A$2:$A$151,0))),N(INDEX(FTE_Allocation!$I$2:$I$201,$AB743)))),1),"")))</f>
        <v/>
      </c>
      <c r="AF743" s="21">
        <f>IF($Z743="C",IF(INDEX(Contracts!$I$2:$I$151,$AB743)="PREPAID",EDATE(DATE(YEAR(INDEX(Contracts!$J$2:$J$151,$AB743)),MONTH(INDEX(Contracts!$J$2:$J$151,$AB743)),1),IF(INDEX(Contracts!$N$2:$N$151,$AB743)="",12,INDEX(Contracts!$N$2:$N$151,$AB743))-1),IF(INDEX(Contracts!$I$2:$I$151,$AB743)="MONTHLY",IF(INDEX(Contracts!$K$2:$K$151,$AB743)="",2958101,INDEX(Contracts!$K$2:$K$151,$AB743)),0)),IF($Z743="A",EDATE(DATE(YEAR(INDEX(Fixed_Assets!$G$2:$G$201,$AB743)),MONTH(INDEX(Fixed_Assets!$G$2:$G$201,$AB743)),1),INDEX(Fixed_Assets!$J$2:$J$201,$AB743)-1),IF($Z743="F",MIN(IF(INDEX(Workforce!$J$2:$J$151,MATCH(INDEX(FTE_Allocation!$A$2:$A$201,$AB743),Workforce!$A$2:$A$151,0))="",2958101,INDEX(Workforce!$J$2:$J$151,MATCH(INDEX(FTE_Allocation!$A$2:$A$201,$AB743),Workforce!$A$2:$A$151,0))),IF(INDEX(FTE_Allocation!$J$2:$J$201,$AB743)="",2958101,INDEX(FTE_Allocation!$J$2:$J$201,$AB743))),"")))</f>
        <v/>
      </c>
      <c r="AG743" s="19">
        <f>IF($Z743="C",IF(INDEX(Contracts!$I$2:$I$151,$AB743)="PREPAID",INDEX(Contracts!$M$2:$M$151,$AB743)/IF(INDEX(Contracts!$N$2:$N$151,$AB743)="",12,INDEX(Contracts!$N$2:$N$151,$AB743)),IF(INDEX(Contracts!$I$2:$I$151,$AB743)="MONTHLY",INDEX(Contracts!$M$2:$M$151,$AB743),0))*(1-N(INDEX(Contracts!$O$2:$O$151,$AB743))),IF($Z743="A",INDEX(Fixed_Assets!$H$2:$H$201,$AB743)/INDEX(Fixed_Assets!$J$2:$J$201,$AB743),IF($Z743="F",INDEX(Workforce!$F$2:$F$151,MATCH(INDEX(FTE_Allocation!$A$2:$A$201,$AB743),Workforce!$A$2:$A$151,0))*N(INDEX(FTE_Allocation!$F$2:$H$201,$AB743,$AC743)),"")))</f>
        <v/>
      </c>
    </row>
    <row r="744">
      <c r="A744" s="7">
        <f>IF($Z744="","",$AD744)</f>
        <v/>
      </c>
      <c r="B744" s="7">
        <f>IF($Z744="C",INDEX(Contracts!$D$2:$D$151,$AB744)&amp;"",IF($Z744="A",INDEX(Fixed_Assets!$C$2:$C$201,$AB744)&amp;"",IF($Z744="F",INDEX(Workforce!$B$2:$B$151,MATCH(INDEX(FTE_Allocation!$A$2:$A$201,$AB744),Workforce!$A$2:$A$151,0))&amp;"","")))</f>
        <v/>
      </c>
      <c r="C744" s="7">
        <f>IF($Z744="C",INDEX(Contracts!$E$2:$E$151,$AB744)&amp;"",IF($Z744="A",INDEX(Fixed_Assets!$D$2:$D$201,$AB744)&amp;"",IF($Z744="F",INDEX(FTE_Allocation!$C$2:$C$201,$AB744)&amp;"","")))</f>
        <v/>
      </c>
      <c r="D744" s="7">
        <f>IF($Z744="C",INDEX(Contracts!$B$2:$B$151,$AB744)&amp;"",IF($Z744="A",INDEX(Fixed_Assets!$B$2:$B$201,$AB744)&amp;"",IF($Z744="F",INDEX(FTE_Allocation!$B$2:$B$201,$AB744)&amp;"","")))</f>
        <v/>
      </c>
      <c r="E744" s="7">
        <f>IF($Z744="C",INDEX(Contracts!$P$2:$P$151,$AB744)&amp;"",IF($Z744="A",INDEX(Fixed_Assets!$K$2:$K$201,$AB744)&amp;"",IF($Z744="F",IF(INDEX(FTE_Allocation!$D$2:$D$201,$AB744)="PROJECT",IFERROR(INDEX(Projects!$D:$D,MATCH(INDEX(FTE_Allocation!$E$2:$E$201,$AB744),Projects!$A:$A,0))&amp;"","#PROJECT?"),INDEX(FTE_Allocation!$E$2:$E$201,$AB744)&amp;""),"")))</f>
        <v/>
      </c>
      <c r="F744" s="7">
        <f>IF($Z744="C",INDEX(Contracts!$Q$2:$Q$151,$AB744)&amp;"",IF($Z744="A",INDEX(Fixed_Assets!$L$2:$L$201,$AB744)&amp;"",IF($Z744="F",INDEX(Workforce!$K$2:$K$151,MATCH(INDEX(FTE_Allocation!$A$2:$A$201,$AB744),Workforce!$A$2:$A$151,0))&amp;"","")))</f>
        <v/>
      </c>
      <c r="G744" s="7">
        <f>IF($Z744="C",INDEX(Contracts!$F$2:$F$151,$AB744)&amp;" / "&amp;INDEX(Contracts!$G$2:$G$151,$AB744),IF($Z744="A",INDEX(Fixed_Assets!$E$2:$E$201,$AB744)&amp;"",IF($Z744="F","Personnel "&amp;INDEX(FTE_Allocation!$A$2:$A$201,$AB744)&amp;IF(INDEX(FTE_Allocation!$D$2:$D$201,$AB744)="PROJECT"," ("&amp;INDEX(FTE_Allocation!$E$2:$E$201,$AB744)&amp;")",""),"")))</f>
        <v/>
      </c>
      <c r="H744" s="7">
        <f>IF($Z744="C","CONTRACT",IF($Z744="A","ASSET",IF($Z744="F","WORKFORCE","")))</f>
        <v/>
      </c>
      <c r="I744" s="7">
        <f>IF($Z744="C",INDEX(Contracts!$L$2:$L$151,$AB744)&amp;"",IF($Z744="A",INDEX(Fixed_Assets!$I$2:$I$201,$AB744)&amp;"",IF($Z744="F",INDEX(Workforce!$G$2:$G$151,MATCH(INDEX(FTE_Allocation!$A$2:$A$201,$AB744),Workforce!$A$2:$A$151,0))&amp;"","")))</f>
        <v/>
      </c>
      <c r="J744" s="18">
        <f>IF($Z744="","",IF(AND(DATE($AD744,1,1)&gt;=$AE744,DATE($AD744,1,1)&lt;=$AF744),ROUND($AG744,2),0))</f>
        <v/>
      </c>
      <c r="K744" s="18">
        <f>IF($Z744="","",IF(AND(DATE($AD744,2,1)&gt;=$AE744,DATE($AD744,2,1)&lt;=$AF744),ROUND($AG744,2),0))</f>
        <v/>
      </c>
      <c r="L744" s="18">
        <f>IF($Z744="","",IF(AND(DATE($AD744,3,1)&gt;=$AE744,DATE($AD744,3,1)&lt;=$AF744),ROUND($AG744,2),0))</f>
        <v/>
      </c>
      <c r="M744" s="18">
        <f>IF($Z744="","",IF(AND(DATE($AD744,4,1)&gt;=$AE744,DATE($AD744,4,1)&lt;=$AF744),ROUND($AG744,2),0))</f>
        <v/>
      </c>
      <c r="N744" s="18">
        <f>IF($Z744="","",IF(AND(DATE($AD744,5,1)&gt;=$AE744,DATE($AD744,5,1)&lt;=$AF744),ROUND($AG744,2),0))</f>
        <v/>
      </c>
      <c r="O744" s="18">
        <f>IF($Z744="","",IF(AND(DATE($AD744,6,1)&gt;=$AE744,DATE($AD744,6,1)&lt;=$AF744),ROUND($AG744,2),0))</f>
        <v/>
      </c>
      <c r="P744" s="18">
        <f>IF($Z744="","",IF(AND(DATE($AD744,7,1)&gt;=$AE744,DATE($AD744,7,1)&lt;=$AF744),ROUND($AG744,2),0))</f>
        <v/>
      </c>
      <c r="Q744" s="18">
        <f>IF($Z744="","",IF(AND(DATE($AD744,8,1)&gt;=$AE744,DATE($AD744,8,1)&lt;=$AF744),ROUND($AG744,2),0))</f>
        <v/>
      </c>
      <c r="R744" s="18">
        <f>IF($Z744="","",IF(AND(DATE($AD744,9,1)&gt;=$AE744,DATE($AD744,9,1)&lt;=$AF744),ROUND($AG744,2),0))</f>
        <v/>
      </c>
      <c r="S744" s="18">
        <f>IF($Z744="","",IF(AND(DATE($AD744,10,1)&gt;=$AE744,DATE($AD744,10,1)&lt;=$AF744),ROUND($AG744,2),0))</f>
        <v/>
      </c>
      <c r="T744" s="18">
        <f>IF($Z744="","",IF(AND(DATE($AD744,11,1)&gt;=$AE744,DATE($AD744,11,1)&lt;=$AF744),ROUND($AG744,2),0))</f>
        <v/>
      </c>
      <c r="U744" s="18">
        <f>IF($Z744="","",IF(AND(DATE($AD744,12,1)&gt;=$AE744,DATE($AD744,12,1)&lt;=$AF744),ROUND($AG744,2),0))</f>
        <v/>
      </c>
      <c r="V744" s="7">
        <f>IF($Z744="C","Generated from "&amp;INDEX(Contracts!$A$2:$A$151,$AB744),IF($Z744="A","Generated from "&amp;INDEX(Fixed_Assets!$A$2:$A$201,$AB744),IF($Z744="F","Generated from "&amp;INDEX(FTE_Allocation!$A$2:$A$201,$AB744),"")))</f>
        <v/>
      </c>
      <c r="X744" s="19">
        <f>IF($Z744="","",SUM(J744:U744))</f>
        <v/>
      </c>
      <c r="Y744" s="20">
        <f>ROW()-1</f>
        <v/>
      </c>
      <c r="Z744" s="20">
        <f>IF($Y744&lt;=Settings!$B$4*3,"C",IF($Y744&lt;=(Settings!$B$4+Settings!$B$5)*3,"A",IF($Y744&lt;=(Settings!$B$4+Settings!$B$5+Settings!$B$6)*3,"F","")))</f>
        <v/>
      </c>
      <c r="AA744" s="20">
        <f>IF($Z744="C",$Y744,IF($Z744="A",$Y744-Settings!$B$4*3,IF($Z744="F",$Y744-(Settings!$B$4+Settings!$B$5)*3,"")))</f>
        <v/>
      </c>
      <c r="AB744" s="20">
        <f>IF($Z744="","",INT(($AA744-1)/3)+1)</f>
        <v/>
      </c>
      <c r="AC744" s="20">
        <f>IF($Z744="","",MOD($AA744-1,3)+1)</f>
        <v/>
      </c>
      <c r="AD744" s="20">
        <f>IF($Z744="","",Settings!$B$2+$AC744-1)</f>
        <v/>
      </c>
      <c r="AE744" s="21">
        <f>IF($Z744="C",DATE(YEAR(INDEX(Contracts!$J$2:$J$151,$AB744)),MONTH(INDEX(Contracts!$J$2:$J$151,$AB744)),1),IF($Z744="A",DATE(YEAR(INDEX(Fixed_Assets!$G$2:$G$201,$AB744)),MONTH(INDEX(Fixed_Assets!$G$2:$G$201,$AB744)),1),IF($Z744="F",DATE(YEAR(MAX(N(INDEX(Workforce!$I$2:$I$151,MATCH(INDEX(FTE_Allocation!$A$2:$A$201,$AB744),Workforce!$A$2:$A$151,0))),N(INDEX(FTE_Allocation!$I$2:$I$201,$AB744)))),MONTH(MAX(N(INDEX(Workforce!$I$2:$I$151,MATCH(INDEX(FTE_Allocation!$A$2:$A$201,$AB744),Workforce!$A$2:$A$151,0))),N(INDEX(FTE_Allocation!$I$2:$I$201,$AB744)))),1),"")))</f>
        <v/>
      </c>
      <c r="AF744" s="21">
        <f>IF($Z744="C",IF(INDEX(Contracts!$I$2:$I$151,$AB744)="PREPAID",EDATE(DATE(YEAR(INDEX(Contracts!$J$2:$J$151,$AB744)),MONTH(INDEX(Contracts!$J$2:$J$151,$AB744)),1),IF(INDEX(Contracts!$N$2:$N$151,$AB744)="",12,INDEX(Contracts!$N$2:$N$151,$AB744))-1),IF(INDEX(Contracts!$I$2:$I$151,$AB744)="MONTHLY",IF(INDEX(Contracts!$K$2:$K$151,$AB744)="",2958101,INDEX(Contracts!$K$2:$K$151,$AB744)),0)),IF($Z744="A",EDATE(DATE(YEAR(INDEX(Fixed_Assets!$G$2:$G$201,$AB744)),MONTH(INDEX(Fixed_Assets!$G$2:$G$201,$AB744)),1),INDEX(Fixed_Assets!$J$2:$J$201,$AB744)-1),IF($Z744="F",MIN(IF(INDEX(Workforce!$J$2:$J$151,MATCH(INDEX(FTE_Allocation!$A$2:$A$201,$AB744),Workforce!$A$2:$A$151,0))="",2958101,INDEX(Workforce!$J$2:$J$151,MATCH(INDEX(FTE_Allocation!$A$2:$A$201,$AB744),Workforce!$A$2:$A$151,0))),IF(INDEX(FTE_Allocation!$J$2:$J$201,$AB744)="",2958101,INDEX(FTE_Allocation!$J$2:$J$201,$AB744))),"")))</f>
        <v/>
      </c>
      <c r="AG744" s="19">
        <f>IF($Z744="C",IF(INDEX(Contracts!$I$2:$I$151,$AB744)="PREPAID",INDEX(Contracts!$M$2:$M$151,$AB744)/IF(INDEX(Contracts!$N$2:$N$151,$AB744)="",12,INDEX(Contracts!$N$2:$N$151,$AB744)),IF(INDEX(Contracts!$I$2:$I$151,$AB744)="MONTHLY",INDEX(Contracts!$M$2:$M$151,$AB744),0))*(1-N(INDEX(Contracts!$O$2:$O$151,$AB744))),IF($Z744="A",INDEX(Fixed_Assets!$H$2:$H$201,$AB744)/INDEX(Fixed_Assets!$J$2:$J$201,$AB744),IF($Z744="F",INDEX(Workforce!$F$2:$F$151,MATCH(INDEX(FTE_Allocation!$A$2:$A$201,$AB744),Workforce!$A$2:$A$151,0))*N(INDEX(FTE_Allocation!$F$2:$H$201,$AB744,$AC744)),"")))</f>
        <v/>
      </c>
    </row>
    <row r="745">
      <c r="A745" s="7">
        <f>IF($Z745="","",$AD745)</f>
        <v/>
      </c>
      <c r="B745" s="7">
        <f>IF($Z745="C",INDEX(Contracts!$D$2:$D$151,$AB745)&amp;"",IF($Z745="A",INDEX(Fixed_Assets!$C$2:$C$201,$AB745)&amp;"",IF($Z745="F",INDEX(Workforce!$B$2:$B$151,MATCH(INDEX(FTE_Allocation!$A$2:$A$201,$AB745),Workforce!$A$2:$A$151,0))&amp;"","")))</f>
        <v/>
      </c>
      <c r="C745" s="7">
        <f>IF($Z745="C",INDEX(Contracts!$E$2:$E$151,$AB745)&amp;"",IF($Z745="A",INDEX(Fixed_Assets!$D$2:$D$201,$AB745)&amp;"",IF($Z745="F",INDEX(FTE_Allocation!$C$2:$C$201,$AB745)&amp;"","")))</f>
        <v/>
      </c>
      <c r="D745" s="7">
        <f>IF($Z745="C",INDEX(Contracts!$B$2:$B$151,$AB745)&amp;"",IF($Z745="A",INDEX(Fixed_Assets!$B$2:$B$201,$AB745)&amp;"",IF($Z745="F",INDEX(FTE_Allocation!$B$2:$B$201,$AB745)&amp;"","")))</f>
        <v/>
      </c>
      <c r="E745" s="7">
        <f>IF($Z745="C",INDEX(Contracts!$P$2:$P$151,$AB745)&amp;"",IF($Z745="A",INDEX(Fixed_Assets!$K$2:$K$201,$AB745)&amp;"",IF($Z745="F",IF(INDEX(FTE_Allocation!$D$2:$D$201,$AB745)="PROJECT",IFERROR(INDEX(Projects!$D:$D,MATCH(INDEX(FTE_Allocation!$E$2:$E$201,$AB745),Projects!$A:$A,0))&amp;"","#PROJECT?"),INDEX(FTE_Allocation!$E$2:$E$201,$AB745)&amp;""),"")))</f>
        <v/>
      </c>
      <c r="F745" s="7">
        <f>IF($Z745="C",INDEX(Contracts!$Q$2:$Q$151,$AB745)&amp;"",IF($Z745="A",INDEX(Fixed_Assets!$L$2:$L$201,$AB745)&amp;"",IF($Z745="F",INDEX(Workforce!$K$2:$K$151,MATCH(INDEX(FTE_Allocation!$A$2:$A$201,$AB745),Workforce!$A$2:$A$151,0))&amp;"","")))</f>
        <v/>
      </c>
      <c r="G745" s="7">
        <f>IF($Z745="C",INDEX(Contracts!$F$2:$F$151,$AB745)&amp;" / "&amp;INDEX(Contracts!$G$2:$G$151,$AB745),IF($Z745="A",INDEX(Fixed_Assets!$E$2:$E$201,$AB745)&amp;"",IF($Z745="F","Personnel "&amp;INDEX(FTE_Allocation!$A$2:$A$201,$AB745)&amp;IF(INDEX(FTE_Allocation!$D$2:$D$201,$AB745)="PROJECT"," ("&amp;INDEX(FTE_Allocation!$E$2:$E$201,$AB745)&amp;")",""),"")))</f>
        <v/>
      </c>
      <c r="H745" s="7">
        <f>IF($Z745="C","CONTRACT",IF($Z745="A","ASSET",IF($Z745="F","WORKFORCE","")))</f>
        <v/>
      </c>
      <c r="I745" s="7">
        <f>IF($Z745="C",INDEX(Contracts!$L$2:$L$151,$AB745)&amp;"",IF($Z745="A",INDEX(Fixed_Assets!$I$2:$I$201,$AB745)&amp;"",IF($Z745="F",INDEX(Workforce!$G$2:$G$151,MATCH(INDEX(FTE_Allocation!$A$2:$A$201,$AB745),Workforce!$A$2:$A$151,0))&amp;"","")))</f>
        <v/>
      </c>
      <c r="J745" s="18">
        <f>IF($Z745="","",IF(AND(DATE($AD745,1,1)&gt;=$AE745,DATE($AD745,1,1)&lt;=$AF745),ROUND($AG745,2),0))</f>
        <v/>
      </c>
      <c r="K745" s="18">
        <f>IF($Z745="","",IF(AND(DATE($AD745,2,1)&gt;=$AE745,DATE($AD745,2,1)&lt;=$AF745),ROUND($AG745,2),0))</f>
        <v/>
      </c>
      <c r="L745" s="18">
        <f>IF($Z745="","",IF(AND(DATE($AD745,3,1)&gt;=$AE745,DATE($AD745,3,1)&lt;=$AF745),ROUND($AG745,2),0))</f>
        <v/>
      </c>
      <c r="M745" s="18">
        <f>IF($Z745="","",IF(AND(DATE($AD745,4,1)&gt;=$AE745,DATE($AD745,4,1)&lt;=$AF745),ROUND($AG745,2),0))</f>
        <v/>
      </c>
      <c r="N745" s="18">
        <f>IF($Z745="","",IF(AND(DATE($AD745,5,1)&gt;=$AE745,DATE($AD745,5,1)&lt;=$AF745),ROUND($AG745,2),0))</f>
        <v/>
      </c>
      <c r="O745" s="18">
        <f>IF($Z745="","",IF(AND(DATE($AD745,6,1)&gt;=$AE745,DATE($AD745,6,1)&lt;=$AF745),ROUND($AG745,2),0))</f>
        <v/>
      </c>
      <c r="P745" s="18">
        <f>IF($Z745="","",IF(AND(DATE($AD745,7,1)&gt;=$AE745,DATE($AD745,7,1)&lt;=$AF745),ROUND($AG745,2),0))</f>
        <v/>
      </c>
      <c r="Q745" s="18">
        <f>IF($Z745="","",IF(AND(DATE($AD745,8,1)&gt;=$AE745,DATE($AD745,8,1)&lt;=$AF745),ROUND($AG745,2),0))</f>
        <v/>
      </c>
      <c r="R745" s="18">
        <f>IF($Z745="","",IF(AND(DATE($AD745,9,1)&gt;=$AE745,DATE($AD745,9,1)&lt;=$AF745),ROUND($AG745,2),0))</f>
        <v/>
      </c>
      <c r="S745" s="18">
        <f>IF($Z745="","",IF(AND(DATE($AD745,10,1)&gt;=$AE745,DATE($AD745,10,1)&lt;=$AF745),ROUND($AG745,2),0))</f>
        <v/>
      </c>
      <c r="T745" s="18">
        <f>IF($Z745="","",IF(AND(DATE($AD745,11,1)&gt;=$AE745,DATE($AD745,11,1)&lt;=$AF745),ROUND($AG745,2),0))</f>
        <v/>
      </c>
      <c r="U745" s="18">
        <f>IF($Z745="","",IF(AND(DATE($AD745,12,1)&gt;=$AE745,DATE($AD745,12,1)&lt;=$AF745),ROUND($AG745,2),0))</f>
        <v/>
      </c>
      <c r="V745" s="7">
        <f>IF($Z745="C","Generated from "&amp;INDEX(Contracts!$A$2:$A$151,$AB745),IF($Z745="A","Generated from "&amp;INDEX(Fixed_Assets!$A$2:$A$201,$AB745),IF($Z745="F","Generated from "&amp;INDEX(FTE_Allocation!$A$2:$A$201,$AB745),"")))</f>
        <v/>
      </c>
      <c r="X745" s="19">
        <f>IF($Z745="","",SUM(J745:U745))</f>
        <v/>
      </c>
      <c r="Y745" s="20">
        <f>ROW()-1</f>
        <v/>
      </c>
      <c r="Z745" s="20">
        <f>IF($Y745&lt;=Settings!$B$4*3,"C",IF($Y745&lt;=(Settings!$B$4+Settings!$B$5)*3,"A",IF($Y745&lt;=(Settings!$B$4+Settings!$B$5+Settings!$B$6)*3,"F","")))</f>
        <v/>
      </c>
      <c r="AA745" s="20">
        <f>IF($Z745="C",$Y745,IF($Z745="A",$Y745-Settings!$B$4*3,IF($Z745="F",$Y745-(Settings!$B$4+Settings!$B$5)*3,"")))</f>
        <v/>
      </c>
      <c r="AB745" s="20">
        <f>IF($Z745="","",INT(($AA745-1)/3)+1)</f>
        <v/>
      </c>
      <c r="AC745" s="20">
        <f>IF($Z745="","",MOD($AA745-1,3)+1)</f>
        <v/>
      </c>
      <c r="AD745" s="20">
        <f>IF($Z745="","",Settings!$B$2+$AC745-1)</f>
        <v/>
      </c>
      <c r="AE745" s="21">
        <f>IF($Z745="C",DATE(YEAR(INDEX(Contracts!$J$2:$J$151,$AB745)),MONTH(INDEX(Contracts!$J$2:$J$151,$AB745)),1),IF($Z745="A",DATE(YEAR(INDEX(Fixed_Assets!$G$2:$G$201,$AB745)),MONTH(INDEX(Fixed_Assets!$G$2:$G$201,$AB745)),1),IF($Z745="F",DATE(YEAR(MAX(N(INDEX(Workforce!$I$2:$I$151,MATCH(INDEX(FTE_Allocation!$A$2:$A$201,$AB745),Workforce!$A$2:$A$151,0))),N(INDEX(FTE_Allocation!$I$2:$I$201,$AB745)))),MONTH(MAX(N(INDEX(Workforce!$I$2:$I$151,MATCH(INDEX(FTE_Allocation!$A$2:$A$201,$AB745),Workforce!$A$2:$A$151,0))),N(INDEX(FTE_Allocation!$I$2:$I$201,$AB745)))),1),"")))</f>
        <v/>
      </c>
      <c r="AF745" s="21">
        <f>IF($Z745="C",IF(INDEX(Contracts!$I$2:$I$151,$AB745)="PREPAID",EDATE(DATE(YEAR(INDEX(Contracts!$J$2:$J$151,$AB745)),MONTH(INDEX(Contracts!$J$2:$J$151,$AB745)),1),IF(INDEX(Contracts!$N$2:$N$151,$AB745)="",12,INDEX(Contracts!$N$2:$N$151,$AB745))-1),IF(INDEX(Contracts!$I$2:$I$151,$AB745)="MONTHLY",IF(INDEX(Contracts!$K$2:$K$151,$AB745)="",2958101,INDEX(Contracts!$K$2:$K$151,$AB745)),0)),IF($Z745="A",EDATE(DATE(YEAR(INDEX(Fixed_Assets!$G$2:$G$201,$AB745)),MONTH(INDEX(Fixed_Assets!$G$2:$G$201,$AB745)),1),INDEX(Fixed_Assets!$J$2:$J$201,$AB745)-1),IF($Z745="F",MIN(IF(INDEX(Workforce!$J$2:$J$151,MATCH(INDEX(FTE_Allocation!$A$2:$A$201,$AB745),Workforce!$A$2:$A$151,0))="",2958101,INDEX(Workforce!$J$2:$J$151,MATCH(INDEX(FTE_Allocation!$A$2:$A$201,$AB745),Workforce!$A$2:$A$151,0))),IF(INDEX(FTE_Allocation!$J$2:$J$201,$AB745)="",2958101,INDEX(FTE_Allocation!$J$2:$J$201,$AB745))),"")))</f>
        <v/>
      </c>
      <c r="AG745" s="19">
        <f>IF($Z745="C",IF(INDEX(Contracts!$I$2:$I$151,$AB745)="PREPAID",INDEX(Contracts!$M$2:$M$151,$AB745)/IF(INDEX(Contracts!$N$2:$N$151,$AB745)="",12,INDEX(Contracts!$N$2:$N$151,$AB745)),IF(INDEX(Contracts!$I$2:$I$151,$AB745)="MONTHLY",INDEX(Contracts!$M$2:$M$151,$AB745),0))*(1-N(INDEX(Contracts!$O$2:$O$151,$AB745))),IF($Z745="A",INDEX(Fixed_Assets!$H$2:$H$201,$AB745)/INDEX(Fixed_Assets!$J$2:$J$201,$AB745),IF($Z745="F",INDEX(Workforce!$F$2:$F$151,MATCH(INDEX(FTE_Allocation!$A$2:$A$201,$AB745),Workforce!$A$2:$A$151,0))*N(INDEX(FTE_Allocation!$F$2:$H$201,$AB745,$AC745)),"")))</f>
        <v/>
      </c>
    </row>
    <row r="746">
      <c r="A746" s="7">
        <f>IF($Z746="","",$AD746)</f>
        <v/>
      </c>
      <c r="B746" s="7">
        <f>IF($Z746="C",INDEX(Contracts!$D$2:$D$151,$AB746)&amp;"",IF($Z746="A",INDEX(Fixed_Assets!$C$2:$C$201,$AB746)&amp;"",IF($Z746="F",INDEX(Workforce!$B$2:$B$151,MATCH(INDEX(FTE_Allocation!$A$2:$A$201,$AB746),Workforce!$A$2:$A$151,0))&amp;"","")))</f>
        <v/>
      </c>
      <c r="C746" s="7">
        <f>IF($Z746="C",INDEX(Contracts!$E$2:$E$151,$AB746)&amp;"",IF($Z746="A",INDEX(Fixed_Assets!$D$2:$D$201,$AB746)&amp;"",IF($Z746="F",INDEX(FTE_Allocation!$C$2:$C$201,$AB746)&amp;"","")))</f>
        <v/>
      </c>
      <c r="D746" s="7">
        <f>IF($Z746="C",INDEX(Contracts!$B$2:$B$151,$AB746)&amp;"",IF($Z746="A",INDEX(Fixed_Assets!$B$2:$B$201,$AB746)&amp;"",IF($Z746="F",INDEX(FTE_Allocation!$B$2:$B$201,$AB746)&amp;"","")))</f>
        <v/>
      </c>
      <c r="E746" s="7">
        <f>IF($Z746="C",INDEX(Contracts!$P$2:$P$151,$AB746)&amp;"",IF($Z746="A",INDEX(Fixed_Assets!$K$2:$K$201,$AB746)&amp;"",IF($Z746="F",IF(INDEX(FTE_Allocation!$D$2:$D$201,$AB746)="PROJECT",IFERROR(INDEX(Projects!$D:$D,MATCH(INDEX(FTE_Allocation!$E$2:$E$201,$AB746),Projects!$A:$A,0))&amp;"","#PROJECT?"),INDEX(FTE_Allocation!$E$2:$E$201,$AB746)&amp;""),"")))</f>
        <v/>
      </c>
      <c r="F746" s="7">
        <f>IF($Z746="C",INDEX(Contracts!$Q$2:$Q$151,$AB746)&amp;"",IF($Z746="A",INDEX(Fixed_Assets!$L$2:$L$201,$AB746)&amp;"",IF($Z746="F",INDEX(Workforce!$K$2:$K$151,MATCH(INDEX(FTE_Allocation!$A$2:$A$201,$AB746),Workforce!$A$2:$A$151,0))&amp;"","")))</f>
        <v/>
      </c>
      <c r="G746" s="7">
        <f>IF($Z746="C",INDEX(Contracts!$F$2:$F$151,$AB746)&amp;" / "&amp;INDEX(Contracts!$G$2:$G$151,$AB746),IF($Z746="A",INDEX(Fixed_Assets!$E$2:$E$201,$AB746)&amp;"",IF($Z746="F","Personnel "&amp;INDEX(FTE_Allocation!$A$2:$A$201,$AB746)&amp;IF(INDEX(FTE_Allocation!$D$2:$D$201,$AB746)="PROJECT"," ("&amp;INDEX(FTE_Allocation!$E$2:$E$201,$AB746)&amp;")",""),"")))</f>
        <v/>
      </c>
      <c r="H746" s="7">
        <f>IF($Z746="C","CONTRACT",IF($Z746="A","ASSET",IF($Z746="F","WORKFORCE","")))</f>
        <v/>
      </c>
      <c r="I746" s="7">
        <f>IF($Z746="C",INDEX(Contracts!$L$2:$L$151,$AB746)&amp;"",IF($Z746="A",INDEX(Fixed_Assets!$I$2:$I$201,$AB746)&amp;"",IF($Z746="F",INDEX(Workforce!$G$2:$G$151,MATCH(INDEX(FTE_Allocation!$A$2:$A$201,$AB746),Workforce!$A$2:$A$151,0))&amp;"","")))</f>
        <v/>
      </c>
      <c r="J746" s="18">
        <f>IF($Z746="","",IF(AND(DATE($AD746,1,1)&gt;=$AE746,DATE($AD746,1,1)&lt;=$AF746),ROUND($AG746,2),0))</f>
        <v/>
      </c>
      <c r="K746" s="18">
        <f>IF($Z746="","",IF(AND(DATE($AD746,2,1)&gt;=$AE746,DATE($AD746,2,1)&lt;=$AF746),ROUND($AG746,2),0))</f>
        <v/>
      </c>
      <c r="L746" s="18">
        <f>IF($Z746="","",IF(AND(DATE($AD746,3,1)&gt;=$AE746,DATE($AD746,3,1)&lt;=$AF746),ROUND($AG746,2),0))</f>
        <v/>
      </c>
      <c r="M746" s="18">
        <f>IF($Z746="","",IF(AND(DATE($AD746,4,1)&gt;=$AE746,DATE($AD746,4,1)&lt;=$AF746),ROUND($AG746,2),0))</f>
        <v/>
      </c>
      <c r="N746" s="18">
        <f>IF($Z746="","",IF(AND(DATE($AD746,5,1)&gt;=$AE746,DATE($AD746,5,1)&lt;=$AF746),ROUND($AG746,2),0))</f>
        <v/>
      </c>
      <c r="O746" s="18">
        <f>IF($Z746="","",IF(AND(DATE($AD746,6,1)&gt;=$AE746,DATE($AD746,6,1)&lt;=$AF746),ROUND($AG746,2),0))</f>
        <v/>
      </c>
      <c r="P746" s="18">
        <f>IF($Z746="","",IF(AND(DATE($AD746,7,1)&gt;=$AE746,DATE($AD746,7,1)&lt;=$AF746),ROUND($AG746,2),0))</f>
        <v/>
      </c>
      <c r="Q746" s="18">
        <f>IF($Z746="","",IF(AND(DATE($AD746,8,1)&gt;=$AE746,DATE($AD746,8,1)&lt;=$AF746),ROUND($AG746,2),0))</f>
        <v/>
      </c>
      <c r="R746" s="18">
        <f>IF($Z746="","",IF(AND(DATE($AD746,9,1)&gt;=$AE746,DATE($AD746,9,1)&lt;=$AF746),ROUND($AG746,2),0))</f>
        <v/>
      </c>
      <c r="S746" s="18">
        <f>IF($Z746="","",IF(AND(DATE($AD746,10,1)&gt;=$AE746,DATE($AD746,10,1)&lt;=$AF746),ROUND($AG746,2),0))</f>
        <v/>
      </c>
      <c r="T746" s="18">
        <f>IF($Z746="","",IF(AND(DATE($AD746,11,1)&gt;=$AE746,DATE($AD746,11,1)&lt;=$AF746),ROUND($AG746,2),0))</f>
        <v/>
      </c>
      <c r="U746" s="18">
        <f>IF($Z746="","",IF(AND(DATE($AD746,12,1)&gt;=$AE746,DATE($AD746,12,1)&lt;=$AF746),ROUND($AG746,2),0))</f>
        <v/>
      </c>
      <c r="V746" s="7">
        <f>IF($Z746="C","Generated from "&amp;INDEX(Contracts!$A$2:$A$151,$AB746),IF($Z746="A","Generated from "&amp;INDEX(Fixed_Assets!$A$2:$A$201,$AB746),IF($Z746="F","Generated from "&amp;INDEX(FTE_Allocation!$A$2:$A$201,$AB746),"")))</f>
        <v/>
      </c>
      <c r="X746" s="19">
        <f>IF($Z746="","",SUM(J746:U746))</f>
        <v/>
      </c>
      <c r="Y746" s="20">
        <f>ROW()-1</f>
        <v/>
      </c>
      <c r="Z746" s="20">
        <f>IF($Y746&lt;=Settings!$B$4*3,"C",IF($Y746&lt;=(Settings!$B$4+Settings!$B$5)*3,"A",IF($Y746&lt;=(Settings!$B$4+Settings!$B$5+Settings!$B$6)*3,"F","")))</f>
        <v/>
      </c>
      <c r="AA746" s="20">
        <f>IF($Z746="C",$Y746,IF($Z746="A",$Y746-Settings!$B$4*3,IF($Z746="F",$Y746-(Settings!$B$4+Settings!$B$5)*3,"")))</f>
        <v/>
      </c>
      <c r="AB746" s="20">
        <f>IF($Z746="","",INT(($AA746-1)/3)+1)</f>
        <v/>
      </c>
      <c r="AC746" s="20">
        <f>IF($Z746="","",MOD($AA746-1,3)+1)</f>
        <v/>
      </c>
      <c r="AD746" s="20">
        <f>IF($Z746="","",Settings!$B$2+$AC746-1)</f>
        <v/>
      </c>
      <c r="AE746" s="21">
        <f>IF($Z746="C",DATE(YEAR(INDEX(Contracts!$J$2:$J$151,$AB746)),MONTH(INDEX(Contracts!$J$2:$J$151,$AB746)),1),IF($Z746="A",DATE(YEAR(INDEX(Fixed_Assets!$G$2:$G$201,$AB746)),MONTH(INDEX(Fixed_Assets!$G$2:$G$201,$AB746)),1),IF($Z746="F",DATE(YEAR(MAX(N(INDEX(Workforce!$I$2:$I$151,MATCH(INDEX(FTE_Allocation!$A$2:$A$201,$AB746),Workforce!$A$2:$A$151,0))),N(INDEX(FTE_Allocation!$I$2:$I$201,$AB746)))),MONTH(MAX(N(INDEX(Workforce!$I$2:$I$151,MATCH(INDEX(FTE_Allocation!$A$2:$A$201,$AB746),Workforce!$A$2:$A$151,0))),N(INDEX(FTE_Allocation!$I$2:$I$201,$AB746)))),1),"")))</f>
        <v/>
      </c>
      <c r="AF746" s="21">
        <f>IF($Z746="C",IF(INDEX(Contracts!$I$2:$I$151,$AB746)="PREPAID",EDATE(DATE(YEAR(INDEX(Contracts!$J$2:$J$151,$AB746)),MONTH(INDEX(Contracts!$J$2:$J$151,$AB746)),1),IF(INDEX(Contracts!$N$2:$N$151,$AB746)="",12,INDEX(Contracts!$N$2:$N$151,$AB746))-1),IF(INDEX(Contracts!$I$2:$I$151,$AB746)="MONTHLY",IF(INDEX(Contracts!$K$2:$K$151,$AB746)="",2958101,INDEX(Contracts!$K$2:$K$151,$AB746)),0)),IF($Z746="A",EDATE(DATE(YEAR(INDEX(Fixed_Assets!$G$2:$G$201,$AB746)),MONTH(INDEX(Fixed_Assets!$G$2:$G$201,$AB746)),1),INDEX(Fixed_Assets!$J$2:$J$201,$AB746)-1),IF($Z746="F",MIN(IF(INDEX(Workforce!$J$2:$J$151,MATCH(INDEX(FTE_Allocation!$A$2:$A$201,$AB746),Workforce!$A$2:$A$151,0))="",2958101,INDEX(Workforce!$J$2:$J$151,MATCH(INDEX(FTE_Allocation!$A$2:$A$201,$AB746),Workforce!$A$2:$A$151,0))),IF(INDEX(FTE_Allocation!$J$2:$J$201,$AB746)="",2958101,INDEX(FTE_Allocation!$J$2:$J$201,$AB746))),"")))</f>
        <v/>
      </c>
      <c r="AG746" s="19">
        <f>IF($Z746="C",IF(INDEX(Contracts!$I$2:$I$151,$AB746)="PREPAID",INDEX(Contracts!$M$2:$M$151,$AB746)/IF(INDEX(Contracts!$N$2:$N$151,$AB746)="",12,INDEX(Contracts!$N$2:$N$151,$AB746)),IF(INDEX(Contracts!$I$2:$I$151,$AB746)="MONTHLY",INDEX(Contracts!$M$2:$M$151,$AB746),0))*(1-N(INDEX(Contracts!$O$2:$O$151,$AB746))),IF($Z746="A",INDEX(Fixed_Assets!$H$2:$H$201,$AB746)/INDEX(Fixed_Assets!$J$2:$J$201,$AB746),IF($Z746="F",INDEX(Workforce!$F$2:$F$151,MATCH(INDEX(FTE_Allocation!$A$2:$A$201,$AB746),Workforce!$A$2:$A$151,0))*N(INDEX(FTE_Allocation!$F$2:$H$201,$AB746,$AC746)),"")))</f>
        <v/>
      </c>
    </row>
    <row r="747">
      <c r="A747" s="7">
        <f>IF($Z747="","",$AD747)</f>
        <v/>
      </c>
      <c r="B747" s="7">
        <f>IF($Z747="C",INDEX(Contracts!$D$2:$D$151,$AB747)&amp;"",IF($Z747="A",INDEX(Fixed_Assets!$C$2:$C$201,$AB747)&amp;"",IF($Z747="F",INDEX(Workforce!$B$2:$B$151,MATCH(INDEX(FTE_Allocation!$A$2:$A$201,$AB747),Workforce!$A$2:$A$151,0))&amp;"","")))</f>
        <v/>
      </c>
      <c r="C747" s="7">
        <f>IF($Z747="C",INDEX(Contracts!$E$2:$E$151,$AB747)&amp;"",IF($Z747="A",INDEX(Fixed_Assets!$D$2:$D$201,$AB747)&amp;"",IF($Z747="F",INDEX(FTE_Allocation!$C$2:$C$201,$AB747)&amp;"","")))</f>
        <v/>
      </c>
      <c r="D747" s="7">
        <f>IF($Z747="C",INDEX(Contracts!$B$2:$B$151,$AB747)&amp;"",IF($Z747="A",INDEX(Fixed_Assets!$B$2:$B$201,$AB747)&amp;"",IF($Z747="F",INDEX(FTE_Allocation!$B$2:$B$201,$AB747)&amp;"","")))</f>
        <v/>
      </c>
      <c r="E747" s="7">
        <f>IF($Z747="C",INDEX(Contracts!$P$2:$P$151,$AB747)&amp;"",IF($Z747="A",INDEX(Fixed_Assets!$K$2:$K$201,$AB747)&amp;"",IF($Z747="F",IF(INDEX(FTE_Allocation!$D$2:$D$201,$AB747)="PROJECT",IFERROR(INDEX(Projects!$D:$D,MATCH(INDEX(FTE_Allocation!$E$2:$E$201,$AB747),Projects!$A:$A,0))&amp;"","#PROJECT?"),INDEX(FTE_Allocation!$E$2:$E$201,$AB747)&amp;""),"")))</f>
        <v/>
      </c>
      <c r="F747" s="7">
        <f>IF($Z747="C",INDEX(Contracts!$Q$2:$Q$151,$AB747)&amp;"",IF($Z747="A",INDEX(Fixed_Assets!$L$2:$L$201,$AB747)&amp;"",IF($Z747="F",INDEX(Workforce!$K$2:$K$151,MATCH(INDEX(FTE_Allocation!$A$2:$A$201,$AB747),Workforce!$A$2:$A$151,0))&amp;"","")))</f>
        <v/>
      </c>
      <c r="G747" s="7">
        <f>IF($Z747="C",INDEX(Contracts!$F$2:$F$151,$AB747)&amp;" / "&amp;INDEX(Contracts!$G$2:$G$151,$AB747),IF($Z747="A",INDEX(Fixed_Assets!$E$2:$E$201,$AB747)&amp;"",IF($Z747="F","Personnel "&amp;INDEX(FTE_Allocation!$A$2:$A$201,$AB747)&amp;IF(INDEX(FTE_Allocation!$D$2:$D$201,$AB747)="PROJECT"," ("&amp;INDEX(FTE_Allocation!$E$2:$E$201,$AB747)&amp;")",""),"")))</f>
        <v/>
      </c>
      <c r="H747" s="7">
        <f>IF($Z747="C","CONTRACT",IF($Z747="A","ASSET",IF($Z747="F","WORKFORCE","")))</f>
        <v/>
      </c>
      <c r="I747" s="7">
        <f>IF($Z747="C",INDEX(Contracts!$L$2:$L$151,$AB747)&amp;"",IF($Z747="A",INDEX(Fixed_Assets!$I$2:$I$201,$AB747)&amp;"",IF($Z747="F",INDEX(Workforce!$G$2:$G$151,MATCH(INDEX(FTE_Allocation!$A$2:$A$201,$AB747),Workforce!$A$2:$A$151,0))&amp;"","")))</f>
        <v/>
      </c>
      <c r="J747" s="18">
        <f>IF($Z747="","",IF(AND(DATE($AD747,1,1)&gt;=$AE747,DATE($AD747,1,1)&lt;=$AF747),ROUND($AG747,2),0))</f>
        <v/>
      </c>
      <c r="K747" s="18">
        <f>IF($Z747="","",IF(AND(DATE($AD747,2,1)&gt;=$AE747,DATE($AD747,2,1)&lt;=$AF747),ROUND($AG747,2),0))</f>
        <v/>
      </c>
      <c r="L747" s="18">
        <f>IF($Z747="","",IF(AND(DATE($AD747,3,1)&gt;=$AE747,DATE($AD747,3,1)&lt;=$AF747),ROUND($AG747,2),0))</f>
        <v/>
      </c>
      <c r="M747" s="18">
        <f>IF($Z747="","",IF(AND(DATE($AD747,4,1)&gt;=$AE747,DATE($AD747,4,1)&lt;=$AF747),ROUND($AG747,2),0))</f>
        <v/>
      </c>
      <c r="N747" s="18">
        <f>IF($Z747="","",IF(AND(DATE($AD747,5,1)&gt;=$AE747,DATE($AD747,5,1)&lt;=$AF747),ROUND($AG747,2),0))</f>
        <v/>
      </c>
      <c r="O747" s="18">
        <f>IF($Z747="","",IF(AND(DATE($AD747,6,1)&gt;=$AE747,DATE($AD747,6,1)&lt;=$AF747),ROUND($AG747,2),0))</f>
        <v/>
      </c>
      <c r="P747" s="18">
        <f>IF($Z747="","",IF(AND(DATE($AD747,7,1)&gt;=$AE747,DATE($AD747,7,1)&lt;=$AF747),ROUND($AG747,2),0))</f>
        <v/>
      </c>
      <c r="Q747" s="18">
        <f>IF($Z747="","",IF(AND(DATE($AD747,8,1)&gt;=$AE747,DATE($AD747,8,1)&lt;=$AF747),ROUND($AG747,2),0))</f>
        <v/>
      </c>
      <c r="R747" s="18">
        <f>IF($Z747="","",IF(AND(DATE($AD747,9,1)&gt;=$AE747,DATE($AD747,9,1)&lt;=$AF747),ROUND($AG747,2),0))</f>
        <v/>
      </c>
      <c r="S747" s="18">
        <f>IF($Z747="","",IF(AND(DATE($AD747,10,1)&gt;=$AE747,DATE($AD747,10,1)&lt;=$AF747),ROUND($AG747,2),0))</f>
        <v/>
      </c>
      <c r="T747" s="18">
        <f>IF($Z747="","",IF(AND(DATE($AD747,11,1)&gt;=$AE747,DATE($AD747,11,1)&lt;=$AF747),ROUND($AG747,2),0))</f>
        <v/>
      </c>
      <c r="U747" s="18">
        <f>IF($Z747="","",IF(AND(DATE($AD747,12,1)&gt;=$AE747,DATE($AD747,12,1)&lt;=$AF747),ROUND($AG747,2),0))</f>
        <v/>
      </c>
      <c r="V747" s="7">
        <f>IF($Z747="C","Generated from "&amp;INDEX(Contracts!$A$2:$A$151,$AB747),IF($Z747="A","Generated from "&amp;INDEX(Fixed_Assets!$A$2:$A$201,$AB747),IF($Z747="F","Generated from "&amp;INDEX(FTE_Allocation!$A$2:$A$201,$AB747),"")))</f>
        <v/>
      </c>
      <c r="X747" s="19">
        <f>IF($Z747="","",SUM(J747:U747))</f>
        <v/>
      </c>
      <c r="Y747" s="20">
        <f>ROW()-1</f>
        <v/>
      </c>
      <c r="Z747" s="20">
        <f>IF($Y747&lt;=Settings!$B$4*3,"C",IF($Y747&lt;=(Settings!$B$4+Settings!$B$5)*3,"A",IF($Y747&lt;=(Settings!$B$4+Settings!$B$5+Settings!$B$6)*3,"F","")))</f>
        <v/>
      </c>
      <c r="AA747" s="20">
        <f>IF($Z747="C",$Y747,IF($Z747="A",$Y747-Settings!$B$4*3,IF($Z747="F",$Y747-(Settings!$B$4+Settings!$B$5)*3,"")))</f>
        <v/>
      </c>
      <c r="AB747" s="20">
        <f>IF($Z747="","",INT(($AA747-1)/3)+1)</f>
        <v/>
      </c>
      <c r="AC747" s="20">
        <f>IF($Z747="","",MOD($AA747-1,3)+1)</f>
        <v/>
      </c>
      <c r="AD747" s="20">
        <f>IF($Z747="","",Settings!$B$2+$AC747-1)</f>
        <v/>
      </c>
      <c r="AE747" s="21">
        <f>IF($Z747="C",DATE(YEAR(INDEX(Contracts!$J$2:$J$151,$AB747)),MONTH(INDEX(Contracts!$J$2:$J$151,$AB747)),1),IF($Z747="A",DATE(YEAR(INDEX(Fixed_Assets!$G$2:$G$201,$AB747)),MONTH(INDEX(Fixed_Assets!$G$2:$G$201,$AB747)),1),IF($Z747="F",DATE(YEAR(MAX(N(INDEX(Workforce!$I$2:$I$151,MATCH(INDEX(FTE_Allocation!$A$2:$A$201,$AB747),Workforce!$A$2:$A$151,0))),N(INDEX(FTE_Allocation!$I$2:$I$201,$AB747)))),MONTH(MAX(N(INDEX(Workforce!$I$2:$I$151,MATCH(INDEX(FTE_Allocation!$A$2:$A$201,$AB747),Workforce!$A$2:$A$151,0))),N(INDEX(FTE_Allocation!$I$2:$I$201,$AB747)))),1),"")))</f>
        <v/>
      </c>
      <c r="AF747" s="21">
        <f>IF($Z747="C",IF(INDEX(Contracts!$I$2:$I$151,$AB747)="PREPAID",EDATE(DATE(YEAR(INDEX(Contracts!$J$2:$J$151,$AB747)),MONTH(INDEX(Contracts!$J$2:$J$151,$AB747)),1),IF(INDEX(Contracts!$N$2:$N$151,$AB747)="",12,INDEX(Contracts!$N$2:$N$151,$AB747))-1),IF(INDEX(Contracts!$I$2:$I$151,$AB747)="MONTHLY",IF(INDEX(Contracts!$K$2:$K$151,$AB747)="",2958101,INDEX(Contracts!$K$2:$K$151,$AB747)),0)),IF($Z747="A",EDATE(DATE(YEAR(INDEX(Fixed_Assets!$G$2:$G$201,$AB747)),MONTH(INDEX(Fixed_Assets!$G$2:$G$201,$AB747)),1),INDEX(Fixed_Assets!$J$2:$J$201,$AB747)-1),IF($Z747="F",MIN(IF(INDEX(Workforce!$J$2:$J$151,MATCH(INDEX(FTE_Allocation!$A$2:$A$201,$AB747),Workforce!$A$2:$A$151,0))="",2958101,INDEX(Workforce!$J$2:$J$151,MATCH(INDEX(FTE_Allocation!$A$2:$A$201,$AB747),Workforce!$A$2:$A$151,0))),IF(INDEX(FTE_Allocation!$J$2:$J$201,$AB747)="",2958101,INDEX(FTE_Allocation!$J$2:$J$201,$AB747))),"")))</f>
        <v/>
      </c>
      <c r="AG747" s="19">
        <f>IF($Z747="C",IF(INDEX(Contracts!$I$2:$I$151,$AB747)="PREPAID",INDEX(Contracts!$M$2:$M$151,$AB747)/IF(INDEX(Contracts!$N$2:$N$151,$AB747)="",12,INDEX(Contracts!$N$2:$N$151,$AB747)),IF(INDEX(Contracts!$I$2:$I$151,$AB747)="MONTHLY",INDEX(Contracts!$M$2:$M$151,$AB747),0))*(1-N(INDEX(Contracts!$O$2:$O$151,$AB747))),IF($Z747="A",INDEX(Fixed_Assets!$H$2:$H$201,$AB747)/INDEX(Fixed_Assets!$J$2:$J$201,$AB747),IF($Z747="F",INDEX(Workforce!$F$2:$F$151,MATCH(INDEX(FTE_Allocation!$A$2:$A$201,$AB747),Workforce!$A$2:$A$151,0))*N(INDEX(FTE_Allocation!$F$2:$H$201,$AB747,$AC747)),"")))</f>
        <v/>
      </c>
    </row>
    <row r="748">
      <c r="A748" s="7">
        <f>IF($Z748="","",$AD748)</f>
        <v/>
      </c>
      <c r="B748" s="7">
        <f>IF($Z748="C",INDEX(Contracts!$D$2:$D$151,$AB748)&amp;"",IF($Z748="A",INDEX(Fixed_Assets!$C$2:$C$201,$AB748)&amp;"",IF($Z748="F",INDEX(Workforce!$B$2:$B$151,MATCH(INDEX(FTE_Allocation!$A$2:$A$201,$AB748),Workforce!$A$2:$A$151,0))&amp;"","")))</f>
        <v/>
      </c>
      <c r="C748" s="7">
        <f>IF($Z748="C",INDEX(Contracts!$E$2:$E$151,$AB748)&amp;"",IF($Z748="A",INDEX(Fixed_Assets!$D$2:$D$201,$AB748)&amp;"",IF($Z748="F",INDEX(FTE_Allocation!$C$2:$C$201,$AB748)&amp;"","")))</f>
        <v/>
      </c>
      <c r="D748" s="7">
        <f>IF($Z748="C",INDEX(Contracts!$B$2:$B$151,$AB748)&amp;"",IF($Z748="A",INDEX(Fixed_Assets!$B$2:$B$201,$AB748)&amp;"",IF($Z748="F",INDEX(FTE_Allocation!$B$2:$B$201,$AB748)&amp;"","")))</f>
        <v/>
      </c>
      <c r="E748" s="7">
        <f>IF($Z748="C",INDEX(Contracts!$P$2:$P$151,$AB748)&amp;"",IF($Z748="A",INDEX(Fixed_Assets!$K$2:$K$201,$AB748)&amp;"",IF($Z748="F",IF(INDEX(FTE_Allocation!$D$2:$D$201,$AB748)="PROJECT",IFERROR(INDEX(Projects!$D:$D,MATCH(INDEX(FTE_Allocation!$E$2:$E$201,$AB748),Projects!$A:$A,0))&amp;"","#PROJECT?"),INDEX(FTE_Allocation!$E$2:$E$201,$AB748)&amp;""),"")))</f>
        <v/>
      </c>
      <c r="F748" s="7">
        <f>IF($Z748="C",INDEX(Contracts!$Q$2:$Q$151,$AB748)&amp;"",IF($Z748="A",INDEX(Fixed_Assets!$L$2:$L$201,$AB748)&amp;"",IF($Z748="F",INDEX(Workforce!$K$2:$K$151,MATCH(INDEX(FTE_Allocation!$A$2:$A$201,$AB748),Workforce!$A$2:$A$151,0))&amp;"","")))</f>
        <v/>
      </c>
      <c r="G748" s="7">
        <f>IF($Z748="C",INDEX(Contracts!$F$2:$F$151,$AB748)&amp;" / "&amp;INDEX(Contracts!$G$2:$G$151,$AB748),IF($Z748="A",INDEX(Fixed_Assets!$E$2:$E$201,$AB748)&amp;"",IF($Z748="F","Personnel "&amp;INDEX(FTE_Allocation!$A$2:$A$201,$AB748)&amp;IF(INDEX(FTE_Allocation!$D$2:$D$201,$AB748)="PROJECT"," ("&amp;INDEX(FTE_Allocation!$E$2:$E$201,$AB748)&amp;")",""),"")))</f>
        <v/>
      </c>
      <c r="H748" s="7">
        <f>IF($Z748="C","CONTRACT",IF($Z748="A","ASSET",IF($Z748="F","WORKFORCE","")))</f>
        <v/>
      </c>
      <c r="I748" s="7">
        <f>IF($Z748="C",INDEX(Contracts!$L$2:$L$151,$AB748)&amp;"",IF($Z748="A",INDEX(Fixed_Assets!$I$2:$I$201,$AB748)&amp;"",IF($Z748="F",INDEX(Workforce!$G$2:$G$151,MATCH(INDEX(FTE_Allocation!$A$2:$A$201,$AB748),Workforce!$A$2:$A$151,0))&amp;"","")))</f>
        <v/>
      </c>
      <c r="J748" s="18">
        <f>IF($Z748="","",IF(AND(DATE($AD748,1,1)&gt;=$AE748,DATE($AD748,1,1)&lt;=$AF748),ROUND($AG748,2),0))</f>
        <v/>
      </c>
      <c r="K748" s="18">
        <f>IF($Z748="","",IF(AND(DATE($AD748,2,1)&gt;=$AE748,DATE($AD748,2,1)&lt;=$AF748),ROUND($AG748,2),0))</f>
        <v/>
      </c>
      <c r="L748" s="18">
        <f>IF($Z748="","",IF(AND(DATE($AD748,3,1)&gt;=$AE748,DATE($AD748,3,1)&lt;=$AF748),ROUND($AG748,2),0))</f>
        <v/>
      </c>
      <c r="M748" s="18">
        <f>IF($Z748="","",IF(AND(DATE($AD748,4,1)&gt;=$AE748,DATE($AD748,4,1)&lt;=$AF748),ROUND($AG748,2),0))</f>
        <v/>
      </c>
      <c r="N748" s="18">
        <f>IF($Z748="","",IF(AND(DATE($AD748,5,1)&gt;=$AE748,DATE($AD748,5,1)&lt;=$AF748),ROUND($AG748,2),0))</f>
        <v/>
      </c>
      <c r="O748" s="18">
        <f>IF($Z748="","",IF(AND(DATE($AD748,6,1)&gt;=$AE748,DATE($AD748,6,1)&lt;=$AF748),ROUND($AG748,2),0))</f>
        <v/>
      </c>
      <c r="P748" s="18">
        <f>IF($Z748="","",IF(AND(DATE($AD748,7,1)&gt;=$AE748,DATE($AD748,7,1)&lt;=$AF748),ROUND($AG748,2),0))</f>
        <v/>
      </c>
      <c r="Q748" s="18">
        <f>IF($Z748="","",IF(AND(DATE($AD748,8,1)&gt;=$AE748,DATE($AD748,8,1)&lt;=$AF748),ROUND($AG748,2),0))</f>
        <v/>
      </c>
      <c r="R748" s="18">
        <f>IF($Z748="","",IF(AND(DATE($AD748,9,1)&gt;=$AE748,DATE($AD748,9,1)&lt;=$AF748),ROUND($AG748,2),0))</f>
        <v/>
      </c>
      <c r="S748" s="18">
        <f>IF($Z748="","",IF(AND(DATE($AD748,10,1)&gt;=$AE748,DATE($AD748,10,1)&lt;=$AF748),ROUND($AG748,2),0))</f>
        <v/>
      </c>
      <c r="T748" s="18">
        <f>IF($Z748="","",IF(AND(DATE($AD748,11,1)&gt;=$AE748,DATE($AD748,11,1)&lt;=$AF748),ROUND($AG748,2),0))</f>
        <v/>
      </c>
      <c r="U748" s="18">
        <f>IF($Z748="","",IF(AND(DATE($AD748,12,1)&gt;=$AE748,DATE($AD748,12,1)&lt;=$AF748),ROUND($AG748,2),0))</f>
        <v/>
      </c>
      <c r="V748" s="7">
        <f>IF($Z748="C","Generated from "&amp;INDEX(Contracts!$A$2:$A$151,$AB748),IF($Z748="A","Generated from "&amp;INDEX(Fixed_Assets!$A$2:$A$201,$AB748),IF($Z748="F","Generated from "&amp;INDEX(FTE_Allocation!$A$2:$A$201,$AB748),"")))</f>
        <v/>
      </c>
      <c r="X748" s="19">
        <f>IF($Z748="","",SUM(J748:U748))</f>
        <v/>
      </c>
      <c r="Y748" s="20">
        <f>ROW()-1</f>
        <v/>
      </c>
      <c r="Z748" s="20">
        <f>IF($Y748&lt;=Settings!$B$4*3,"C",IF($Y748&lt;=(Settings!$B$4+Settings!$B$5)*3,"A",IF($Y748&lt;=(Settings!$B$4+Settings!$B$5+Settings!$B$6)*3,"F","")))</f>
        <v/>
      </c>
      <c r="AA748" s="20">
        <f>IF($Z748="C",$Y748,IF($Z748="A",$Y748-Settings!$B$4*3,IF($Z748="F",$Y748-(Settings!$B$4+Settings!$B$5)*3,"")))</f>
        <v/>
      </c>
      <c r="AB748" s="20">
        <f>IF($Z748="","",INT(($AA748-1)/3)+1)</f>
        <v/>
      </c>
      <c r="AC748" s="20">
        <f>IF($Z748="","",MOD($AA748-1,3)+1)</f>
        <v/>
      </c>
      <c r="AD748" s="20">
        <f>IF($Z748="","",Settings!$B$2+$AC748-1)</f>
        <v/>
      </c>
      <c r="AE748" s="21">
        <f>IF($Z748="C",DATE(YEAR(INDEX(Contracts!$J$2:$J$151,$AB748)),MONTH(INDEX(Contracts!$J$2:$J$151,$AB748)),1),IF($Z748="A",DATE(YEAR(INDEX(Fixed_Assets!$G$2:$G$201,$AB748)),MONTH(INDEX(Fixed_Assets!$G$2:$G$201,$AB748)),1),IF($Z748="F",DATE(YEAR(MAX(N(INDEX(Workforce!$I$2:$I$151,MATCH(INDEX(FTE_Allocation!$A$2:$A$201,$AB748),Workforce!$A$2:$A$151,0))),N(INDEX(FTE_Allocation!$I$2:$I$201,$AB748)))),MONTH(MAX(N(INDEX(Workforce!$I$2:$I$151,MATCH(INDEX(FTE_Allocation!$A$2:$A$201,$AB748),Workforce!$A$2:$A$151,0))),N(INDEX(FTE_Allocation!$I$2:$I$201,$AB748)))),1),"")))</f>
        <v/>
      </c>
      <c r="AF748" s="21">
        <f>IF($Z748="C",IF(INDEX(Contracts!$I$2:$I$151,$AB748)="PREPAID",EDATE(DATE(YEAR(INDEX(Contracts!$J$2:$J$151,$AB748)),MONTH(INDEX(Contracts!$J$2:$J$151,$AB748)),1),IF(INDEX(Contracts!$N$2:$N$151,$AB748)="",12,INDEX(Contracts!$N$2:$N$151,$AB748))-1),IF(INDEX(Contracts!$I$2:$I$151,$AB748)="MONTHLY",IF(INDEX(Contracts!$K$2:$K$151,$AB748)="",2958101,INDEX(Contracts!$K$2:$K$151,$AB748)),0)),IF($Z748="A",EDATE(DATE(YEAR(INDEX(Fixed_Assets!$G$2:$G$201,$AB748)),MONTH(INDEX(Fixed_Assets!$G$2:$G$201,$AB748)),1),INDEX(Fixed_Assets!$J$2:$J$201,$AB748)-1),IF($Z748="F",MIN(IF(INDEX(Workforce!$J$2:$J$151,MATCH(INDEX(FTE_Allocation!$A$2:$A$201,$AB748),Workforce!$A$2:$A$151,0))="",2958101,INDEX(Workforce!$J$2:$J$151,MATCH(INDEX(FTE_Allocation!$A$2:$A$201,$AB748),Workforce!$A$2:$A$151,0))),IF(INDEX(FTE_Allocation!$J$2:$J$201,$AB748)="",2958101,INDEX(FTE_Allocation!$J$2:$J$201,$AB748))),"")))</f>
        <v/>
      </c>
      <c r="AG748" s="19">
        <f>IF($Z748="C",IF(INDEX(Contracts!$I$2:$I$151,$AB748)="PREPAID",INDEX(Contracts!$M$2:$M$151,$AB748)/IF(INDEX(Contracts!$N$2:$N$151,$AB748)="",12,INDEX(Contracts!$N$2:$N$151,$AB748)),IF(INDEX(Contracts!$I$2:$I$151,$AB748)="MONTHLY",INDEX(Contracts!$M$2:$M$151,$AB748),0))*(1-N(INDEX(Contracts!$O$2:$O$151,$AB748))),IF($Z748="A",INDEX(Fixed_Assets!$H$2:$H$201,$AB748)/INDEX(Fixed_Assets!$J$2:$J$201,$AB748),IF($Z748="F",INDEX(Workforce!$F$2:$F$151,MATCH(INDEX(FTE_Allocation!$A$2:$A$201,$AB748),Workforce!$A$2:$A$151,0))*N(INDEX(FTE_Allocation!$F$2:$H$201,$AB748,$AC748)),"")))</f>
        <v/>
      </c>
    </row>
    <row r="749">
      <c r="A749" s="7">
        <f>IF($Z749="","",$AD749)</f>
        <v/>
      </c>
      <c r="B749" s="7">
        <f>IF($Z749="C",INDEX(Contracts!$D$2:$D$151,$AB749)&amp;"",IF($Z749="A",INDEX(Fixed_Assets!$C$2:$C$201,$AB749)&amp;"",IF($Z749="F",INDEX(Workforce!$B$2:$B$151,MATCH(INDEX(FTE_Allocation!$A$2:$A$201,$AB749),Workforce!$A$2:$A$151,0))&amp;"","")))</f>
        <v/>
      </c>
      <c r="C749" s="7">
        <f>IF($Z749="C",INDEX(Contracts!$E$2:$E$151,$AB749)&amp;"",IF($Z749="A",INDEX(Fixed_Assets!$D$2:$D$201,$AB749)&amp;"",IF($Z749="F",INDEX(FTE_Allocation!$C$2:$C$201,$AB749)&amp;"","")))</f>
        <v/>
      </c>
      <c r="D749" s="7">
        <f>IF($Z749="C",INDEX(Contracts!$B$2:$B$151,$AB749)&amp;"",IF($Z749="A",INDEX(Fixed_Assets!$B$2:$B$201,$AB749)&amp;"",IF($Z749="F",INDEX(FTE_Allocation!$B$2:$B$201,$AB749)&amp;"","")))</f>
        <v/>
      </c>
      <c r="E749" s="7">
        <f>IF($Z749="C",INDEX(Contracts!$P$2:$P$151,$AB749)&amp;"",IF($Z749="A",INDEX(Fixed_Assets!$K$2:$K$201,$AB749)&amp;"",IF($Z749="F",IF(INDEX(FTE_Allocation!$D$2:$D$201,$AB749)="PROJECT",IFERROR(INDEX(Projects!$D:$D,MATCH(INDEX(FTE_Allocation!$E$2:$E$201,$AB749),Projects!$A:$A,0))&amp;"","#PROJECT?"),INDEX(FTE_Allocation!$E$2:$E$201,$AB749)&amp;""),"")))</f>
        <v/>
      </c>
      <c r="F749" s="7">
        <f>IF($Z749="C",INDEX(Contracts!$Q$2:$Q$151,$AB749)&amp;"",IF($Z749="A",INDEX(Fixed_Assets!$L$2:$L$201,$AB749)&amp;"",IF($Z749="F",INDEX(Workforce!$K$2:$K$151,MATCH(INDEX(FTE_Allocation!$A$2:$A$201,$AB749),Workforce!$A$2:$A$151,0))&amp;"","")))</f>
        <v/>
      </c>
      <c r="G749" s="7">
        <f>IF($Z749="C",INDEX(Contracts!$F$2:$F$151,$AB749)&amp;" / "&amp;INDEX(Contracts!$G$2:$G$151,$AB749),IF($Z749="A",INDEX(Fixed_Assets!$E$2:$E$201,$AB749)&amp;"",IF($Z749="F","Personnel "&amp;INDEX(FTE_Allocation!$A$2:$A$201,$AB749)&amp;IF(INDEX(FTE_Allocation!$D$2:$D$201,$AB749)="PROJECT"," ("&amp;INDEX(FTE_Allocation!$E$2:$E$201,$AB749)&amp;")",""),"")))</f>
        <v/>
      </c>
      <c r="H749" s="7">
        <f>IF($Z749="C","CONTRACT",IF($Z749="A","ASSET",IF($Z749="F","WORKFORCE","")))</f>
        <v/>
      </c>
      <c r="I749" s="7">
        <f>IF($Z749="C",INDEX(Contracts!$L$2:$L$151,$AB749)&amp;"",IF($Z749="A",INDEX(Fixed_Assets!$I$2:$I$201,$AB749)&amp;"",IF($Z749="F",INDEX(Workforce!$G$2:$G$151,MATCH(INDEX(FTE_Allocation!$A$2:$A$201,$AB749),Workforce!$A$2:$A$151,0))&amp;"","")))</f>
        <v/>
      </c>
      <c r="J749" s="18">
        <f>IF($Z749="","",IF(AND(DATE($AD749,1,1)&gt;=$AE749,DATE($AD749,1,1)&lt;=$AF749),ROUND($AG749,2),0))</f>
        <v/>
      </c>
      <c r="K749" s="18">
        <f>IF($Z749="","",IF(AND(DATE($AD749,2,1)&gt;=$AE749,DATE($AD749,2,1)&lt;=$AF749),ROUND($AG749,2),0))</f>
        <v/>
      </c>
      <c r="L749" s="18">
        <f>IF($Z749="","",IF(AND(DATE($AD749,3,1)&gt;=$AE749,DATE($AD749,3,1)&lt;=$AF749),ROUND($AG749,2),0))</f>
        <v/>
      </c>
      <c r="M749" s="18">
        <f>IF($Z749="","",IF(AND(DATE($AD749,4,1)&gt;=$AE749,DATE($AD749,4,1)&lt;=$AF749),ROUND($AG749,2),0))</f>
        <v/>
      </c>
      <c r="N749" s="18">
        <f>IF($Z749="","",IF(AND(DATE($AD749,5,1)&gt;=$AE749,DATE($AD749,5,1)&lt;=$AF749),ROUND($AG749,2),0))</f>
        <v/>
      </c>
      <c r="O749" s="18">
        <f>IF($Z749="","",IF(AND(DATE($AD749,6,1)&gt;=$AE749,DATE($AD749,6,1)&lt;=$AF749),ROUND($AG749,2),0))</f>
        <v/>
      </c>
      <c r="P749" s="18">
        <f>IF($Z749="","",IF(AND(DATE($AD749,7,1)&gt;=$AE749,DATE($AD749,7,1)&lt;=$AF749),ROUND($AG749,2),0))</f>
        <v/>
      </c>
      <c r="Q749" s="18">
        <f>IF($Z749="","",IF(AND(DATE($AD749,8,1)&gt;=$AE749,DATE($AD749,8,1)&lt;=$AF749),ROUND($AG749,2),0))</f>
        <v/>
      </c>
      <c r="R749" s="18">
        <f>IF($Z749="","",IF(AND(DATE($AD749,9,1)&gt;=$AE749,DATE($AD749,9,1)&lt;=$AF749),ROUND($AG749,2),0))</f>
        <v/>
      </c>
      <c r="S749" s="18">
        <f>IF($Z749="","",IF(AND(DATE($AD749,10,1)&gt;=$AE749,DATE($AD749,10,1)&lt;=$AF749),ROUND($AG749,2),0))</f>
        <v/>
      </c>
      <c r="T749" s="18">
        <f>IF($Z749="","",IF(AND(DATE($AD749,11,1)&gt;=$AE749,DATE($AD749,11,1)&lt;=$AF749),ROUND($AG749,2),0))</f>
        <v/>
      </c>
      <c r="U749" s="18">
        <f>IF($Z749="","",IF(AND(DATE($AD749,12,1)&gt;=$AE749,DATE($AD749,12,1)&lt;=$AF749),ROUND($AG749,2),0))</f>
        <v/>
      </c>
      <c r="V749" s="7">
        <f>IF($Z749="C","Generated from "&amp;INDEX(Contracts!$A$2:$A$151,$AB749),IF($Z749="A","Generated from "&amp;INDEX(Fixed_Assets!$A$2:$A$201,$AB749),IF($Z749="F","Generated from "&amp;INDEX(FTE_Allocation!$A$2:$A$201,$AB749),"")))</f>
        <v/>
      </c>
      <c r="X749" s="19">
        <f>IF($Z749="","",SUM(J749:U749))</f>
        <v/>
      </c>
      <c r="Y749" s="20">
        <f>ROW()-1</f>
        <v/>
      </c>
      <c r="Z749" s="20">
        <f>IF($Y749&lt;=Settings!$B$4*3,"C",IF($Y749&lt;=(Settings!$B$4+Settings!$B$5)*3,"A",IF($Y749&lt;=(Settings!$B$4+Settings!$B$5+Settings!$B$6)*3,"F","")))</f>
        <v/>
      </c>
      <c r="AA749" s="20">
        <f>IF($Z749="C",$Y749,IF($Z749="A",$Y749-Settings!$B$4*3,IF($Z749="F",$Y749-(Settings!$B$4+Settings!$B$5)*3,"")))</f>
        <v/>
      </c>
      <c r="AB749" s="20">
        <f>IF($Z749="","",INT(($AA749-1)/3)+1)</f>
        <v/>
      </c>
      <c r="AC749" s="20">
        <f>IF($Z749="","",MOD($AA749-1,3)+1)</f>
        <v/>
      </c>
      <c r="AD749" s="20">
        <f>IF($Z749="","",Settings!$B$2+$AC749-1)</f>
        <v/>
      </c>
      <c r="AE749" s="21">
        <f>IF($Z749="C",DATE(YEAR(INDEX(Contracts!$J$2:$J$151,$AB749)),MONTH(INDEX(Contracts!$J$2:$J$151,$AB749)),1),IF($Z749="A",DATE(YEAR(INDEX(Fixed_Assets!$G$2:$G$201,$AB749)),MONTH(INDEX(Fixed_Assets!$G$2:$G$201,$AB749)),1),IF($Z749="F",DATE(YEAR(MAX(N(INDEX(Workforce!$I$2:$I$151,MATCH(INDEX(FTE_Allocation!$A$2:$A$201,$AB749),Workforce!$A$2:$A$151,0))),N(INDEX(FTE_Allocation!$I$2:$I$201,$AB749)))),MONTH(MAX(N(INDEX(Workforce!$I$2:$I$151,MATCH(INDEX(FTE_Allocation!$A$2:$A$201,$AB749),Workforce!$A$2:$A$151,0))),N(INDEX(FTE_Allocation!$I$2:$I$201,$AB749)))),1),"")))</f>
        <v/>
      </c>
      <c r="AF749" s="21">
        <f>IF($Z749="C",IF(INDEX(Contracts!$I$2:$I$151,$AB749)="PREPAID",EDATE(DATE(YEAR(INDEX(Contracts!$J$2:$J$151,$AB749)),MONTH(INDEX(Contracts!$J$2:$J$151,$AB749)),1),IF(INDEX(Contracts!$N$2:$N$151,$AB749)="",12,INDEX(Contracts!$N$2:$N$151,$AB749))-1),IF(INDEX(Contracts!$I$2:$I$151,$AB749)="MONTHLY",IF(INDEX(Contracts!$K$2:$K$151,$AB749)="",2958101,INDEX(Contracts!$K$2:$K$151,$AB749)),0)),IF($Z749="A",EDATE(DATE(YEAR(INDEX(Fixed_Assets!$G$2:$G$201,$AB749)),MONTH(INDEX(Fixed_Assets!$G$2:$G$201,$AB749)),1),INDEX(Fixed_Assets!$J$2:$J$201,$AB749)-1),IF($Z749="F",MIN(IF(INDEX(Workforce!$J$2:$J$151,MATCH(INDEX(FTE_Allocation!$A$2:$A$201,$AB749),Workforce!$A$2:$A$151,0))="",2958101,INDEX(Workforce!$J$2:$J$151,MATCH(INDEX(FTE_Allocation!$A$2:$A$201,$AB749),Workforce!$A$2:$A$151,0))),IF(INDEX(FTE_Allocation!$J$2:$J$201,$AB749)="",2958101,INDEX(FTE_Allocation!$J$2:$J$201,$AB749))),"")))</f>
        <v/>
      </c>
      <c r="AG749" s="19">
        <f>IF($Z749="C",IF(INDEX(Contracts!$I$2:$I$151,$AB749)="PREPAID",INDEX(Contracts!$M$2:$M$151,$AB749)/IF(INDEX(Contracts!$N$2:$N$151,$AB749)="",12,INDEX(Contracts!$N$2:$N$151,$AB749)),IF(INDEX(Contracts!$I$2:$I$151,$AB749)="MONTHLY",INDEX(Contracts!$M$2:$M$151,$AB749),0))*(1-N(INDEX(Contracts!$O$2:$O$151,$AB749))),IF($Z749="A",INDEX(Fixed_Assets!$H$2:$H$201,$AB749)/INDEX(Fixed_Assets!$J$2:$J$201,$AB749),IF($Z749="F",INDEX(Workforce!$F$2:$F$151,MATCH(INDEX(FTE_Allocation!$A$2:$A$201,$AB749),Workforce!$A$2:$A$151,0))*N(INDEX(FTE_Allocation!$F$2:$H$201,$AB749,$AC749)),"")))</f>
        <v/>
      </c>
    </row>
    <row r="750">
      <c r="A750" s="7">
        <f>IF($Z750="","",$AD750)</f>
        <v/>
      </c>
      <c r="B750" s="7">
        <f>IF($Z750="C",INDEX(Contracts!$D$2:$D$151,$AB750)&amp;"",IF($Z750="A",INDEX(Fixed_Assets!$C$2:$C$201,$AB750)&amp;"",IF($Z750="F",INDEX(Workforce!$B$2:$B$151,MATCH(INDEX(FTE_Allocation!$A$2:$A$201,$AB750),Workforce!$A$2:$A$151,0))&amp;"","")))</f>
        <v/>
      </c>
      <c r="C750" s="7">
        <f>IF($Z750="C",INDEX(Contracts!$E$2:$E$151,$AB750)&amp;"",IF($Z750="A",INDEX(Fixed_Assets!$D$2:$D$201,$AB750)&amp;"",IF($Z750="F",INDEX(FTE_Allocation!$C$2:$C$201,$AB750)&amp;"","")))</f>
        <v/>
      </c>
      <c r="D750" s="7">
        <f>IF($Z750="C",INDEX(Contracts!$B$2:$B$151,$AB750)&amp;"",IF($Z750="A",INDEX(Fixed_Assets!$B$2:$B$201,$AB750)&amp;"",IF($Z750="F",INDEX(FTE_Allocation!$B$2:$B$201,$AB750)&amp;"","")))</f>
        <v/>
      </c>
      <c r="E750" s="7">
        <f>IF($Z750="C",INDEX(Contracts!$P$2:$P$151,$AB750)&amp;"",IF($Z750="A",INDEX(Fixed_Assets!$K$2:$K$201,$AB750)&amp;"",IF($Z750="F",IF(INDEX(FTE_Allocation!$D$2:$D$201,$AB750)="PROJECT",IFERROR(INDEX(Projects!$D:$D,MATCH(INDEX(FTE_Allocation!$E$2:$E$201,$AB750),Projects!$A:$A,0))&amp;"","#PROJECT?"),INDEX(FTE_Allocation!$E$2:$E$201,$AB750)&amp;""),"")))</f>
        <v/>
      </c>
      <c r="F750" s="7">
        <f>IF($Z750="C",INDEX(Contracts!$Q$2:$Q$151,$AB750)&amp;"",IF($Z750="A",INDEX(Fixed_Assets!$L$2:$L$201,$AB750)&amp;"",IF($Z750="F",INDEX(Workforce!$K$2:$K$151,MATCH(INDEX(FTE_Allocation!$A$2:$A$201,$AB750),Workforce!$A$2:$A$151,0))&amp;"","")))</f>
        <v/>
      </c>
      <c r="G750" s="7">
        <f>IF($Z750="C",INDEX(Contracts!$F$2:$F$151,$AB750)&amp;" / "&amp;INDEX(Contracts!$G$2:$G$151,$AB750),IF($Z750="A",INDEX(Fixed_Assets!$E$2:$E$201,$AB750)&amp;"",IF($Z750="F","Personnel "&amp;INDEX(FTE_Allocation!$A$2:$A$201,$AB750)&amp;IF(INDEX(FTE_Allocation!$D$2:$D$201,$AB750)="PROJECT"," ("&amp;INDEX(FTE_Allocation!$E$2:$E$201,$AB750)&amp;")",""),"")))</f>
        <v/>
      </c>
      <c r="H750" s="7">
        <f>IF($Z750="C","CONTRACT",IF($Z750="A","ASSET",IF($Z750="F","WORKFORCE","")))</f>
        <v/>
      </c>
      <c r="I750" s="7">
        <f>IF($Z750="C",INDEX(Contracts!$L$2:$L$151,$AB750)&amp;"",IF($Z750="A",INDEX(Fixed_Assets!$I$2:$I$201,$AB750)&amp;"",IF($Z750="F",INDEX(Workforce!$G$2:$G$151,MATCH(INDEX(FTE_Allocation!$A$2:$A$201,$AB750),Workforce!$A$2:$A$151,0))&amp;"","")))</f>
        <v/>
      </c>
      <c r="J750" s="18">
        <f>IF($Z750="","",IF(AND(DATE($AD750,1,1)&gt;=$AE750,DATE($AD750,1,1)&lt;=$AF750),ROUND($AG750,2),0))</f>
        <v/>
      </c>
      <c r="K750" s="18">
        <f>IF($Z750="","",IF(AND(DATE($AD750,2,1)&gt;=$AE750,DATE($AD750,2,1)&lt;=$AF750),ROUND($AG750,2),0))</f>
        <v/>
      </c>
      <c r="L750" s="18">
        <f>IF($Z750="","",IF(AND(DATE($AD750,3,1)&gt;=$AE750,DATE($AD750,3,1)&lt;=$AF750),ROUND($AG750,2),0))</f>
        <v/>
      </c>
      <c r="M750" s="18">
        <f>IF($Z750="","",IF(AND(DATE($AD750,4,1)&gt;=$AE750,DATE($AD750,4,1)&lt;=$AF750),ROUND($AG750,2),0))</f>
        <v/>
      </c>
      <c r="N750" s="18">
        <f>IF($Z750="","",IF(AND(DATE($AD750,5,1)&gt;=$AE750,DATE($AD750,5,1)&lt;=$AF750),ROUND($AG750,2),0))</f>
        <v/>
      </c>
      <c r="O750" s="18">
        <f>IF($Z750="","",IF(AND(DATE($AD750,6,1)&gt;=$AE750,DATE($AD750,6,1)&lt;=$AF750),ROUND($AG750,2),0))</f>
        <v/>
      </c>
      <c r="P750" s="18">
        <f>IF($Z750="","",IF(AND(DATE($AD750,7,1)&gt;=$AE750,DATE($AD750,7,1)&lt;=$AF750),ROUND($AG750,2),0))</f>
        <v/>
      </c>
      <c r="Q750" s="18">
        <f>IF($Z750="","",IF(AND(DATE($AD750,8,1)&gt;=$AE750,DATE($AD750,8,1)&lt;=$AF750),ROUND($AG750,2),0))</f>
        <v/>
      </c>
      <c r="R750" s="18">
        <f>IF($Z750="","",IF(AND(DATE($AD750,9,1)&gt;=$AE750,DATE($AD750,9,1)&lt;=$AF750),ROUND($AG750,2),0))</f>
        <v/>
      </c>
      <c r="S750" s="18">
        <f>IF($Z750="","",IF(AND(DATE($AD750,10,1)&gt;=$AE750,DATE($AD750,10,1)&lt;=$AF750),ROUND($AG750,2),0))</f>
        <v/>
      </c>
      <c r="T750" s="18">
        <f>IF($Z750="","",IF(AND(DATE($AD750,11,1)&gt;=$AE750,DATE($AD750,11,1)&lt;=$AF750),ROUND($AG750,2),0))</f>
        <v/>
      </c>
      <c r="U750" s="18">
        <f>IF($Z750="","",IF(AND(DATE($AD750,12,1)&gt;=$AE750,DATE($AD750,12,1)&lt;=$AF750),ROUND($AG750,2),0))</f>
        <v/>
      </c>
      <c r="V750" s="7">
        <f>IF($Z750="C","Generated from "&amp;INDEX(Contracts!$A$2:$A$151,$AB750),IF($Z750="A","Generated from "&amp;INDEX(Fixed_Assets!$A$2:$A$201,$AB750),IF($Z750="F","Generated from "&amp;INDEX(FTE_Allocation!$A$2:$A$201,$AB750),"")))</f>
        <v/>
      </c>
      <c r="X750" s="19">
        <f>IF($Z750="","",SUM(J750:U750))</f>
        <v/>
      </c>
      <c r="Y750" s="20">
        <f>ROW()-1</f>
        <v/>
      </c>
      <c r="Z750" s="20">
        <f>IF($Y750&lt;=Settings!$B$4*3,"C",IF($Y750&lt;=(Settings!$B$4+Settings!$B$5)*3,"A",IF($Y750&lt;=(Settings!$B$4+Settings!$B$5+Settings!$B$6)*3,"F","")))</f>
        <v/>
      </c>
      <c r="AA750" s="20">
        <f>IF($Z750="C",$Y750,IF($Z750="A",$Y750-Settings!$B$4*3,IF($Z750="F",$Y750-(Settings!$B$4+Settings!$B$5)*3,"")))</f>
        <v/>
      </c>
      <c r="AB750" s="20">
        <f>IF($Z750="","",INT(($AA750-1)/3)+1)</f>
        <v/>
      </c>
      <c r="AC750" s="20">
        <f>IF($Z750="","",MOD($AA750-1,3)+1)</f>
        <v/>
      </c>
      <c r="AD750" s="20">
        <f>IF($Z750="","",Settings!$B$2+$AC750-1)</f>
        <v/>
      </c>
      <c r="AE750" s="21">
        <f>IF($Z750="C",DATE(YEAR(INDEX(Contracts!$J$2:$J$151,$AB750)),MONTH(INDEX(Contracts!$J$2:$J$151,$AB750)),1),IF($Z750="A",DATE(YEAR(INDEX(Fixed_Assets!$G$2:$G$201,$AB750)),MONTH(INDEX(Fixed_Assets!$G$2:$G$201,$AB750)),1),IF($Z750="F",DATE(YEAR(MAX(N(INDEX(Workforce!$I$2:$I$151,MATCH(INDEX(FTE_Allocation!$A$2:$A$201,$AB750),Workforce!$A$2:$A$151,0))),N(INDEX(FTE_Allocation!$I$2:$I$201,$AB750)))),MONTH(MAX(N(INDEX(Workforce!$I$2:$I$151,MATCH(INDEX(FTE_Allocation!$A$2:$A$201,$AB750),Workforce!$A$2:$A$151,0))),N(INDEX(FTE_Allocation!$I$2:$I$201,$AB750)))),1),"")))</f>
        <v/>
      </c>
      <c r="AF750" s="21">
        <f>IF($Z750="C",IF(INDEX(Contracts!$I$2:$I$151,$AB750)="PREPAID",EDATE(DATE(YEAR(INDEX(Contracts!$J$2:$J$151,$AB750)),MONTH(INDEX(Contracts!$J$2:$J$151,$AB750)),1),IF(INDEX(Contracts!$N$2:$N$151,$AB750)="",12,INDEX(Contracts!$N$2:$N$151,$AB750))-1),IF(INDEX(Contracts!$I$2:$I$151,$AB750)="MONTHLY",IF(INDEX(Contracts!$K$2:$K$151,$AB750)="",2958101,INDEX(Contracts!$K$2:$K$151,$AB750)),0)),IF($Z750="A",EDATE(DATE(YEAR(INDEX(Fixed_Assets!$G$2:$G$201,$AB750)),MONTH(INDEX(Fixed_Assets!$G$2:$G$201,$AB750)),1),INDEX(Fixed_Assets!$J$2:$J$201,$AB750)-1),IF($Z750="F",MIN(IF(INDEX(Workforce!$J$2:$J$151,MATCH(INDEX(FTE_Allocation!$A$2:$A$201,$AB750),Workforce!$A$2:$A$151,0))="",2958101,INDEX(Workforce!$J$2:$J$151,MATCH(INDEX(FTE_Allocation!$A$2:$A$201,$AB750),Workforce!$A$2:$A$151,0))),IF(INDEX(FTE_Allocation!$J$2:$J$201,$AB750)="",2958101,INDEX(FTE_Allocation!$J$2:$J$201,$AB750))),"")))</f>
        <v/>
      </c>
      <c r="AG750" s="19">
        <f>IF($Z750="C",IF(INDEX(Contracts!$I$2:$I$151,$AB750)="PREPAID",INDEX(Contracts!$M$2:$M$151,$AB750)/IF(INDEX(Contracts!$N$2:$N$151,$AB750)="",12,INDEX(Contracts!$N$2:$N$151,$AB750)),IF(INDEX(Contracts!$I$2:$I$151,$AB750)="MONTHLY",INDEX(Contracts!$M$2:$M$151,$AB750),0))*(1-N(INDEX(Contracts!$O$2:$O$151,$AB750))),IF($Z750="A",INDEX(Fixed_Assets!$H$2:$H$201,$AB750)/INDEX(Fixed_Assets!$J$2:$J$201,$AB750),IF($Z750="F",INDEX(Workforce!$F$2:$F$151,MATCH(INDEX(FTE_Allocation!$A$2:$A$201,$AB750),Workforce!$A$2:$A$151,0))*N(INDEX(FTE_Allocation!$F$2:$H$201,$AB750,$AC750)),"")))</f>
        <v/>
      </c>
    </row>
    <row r="751">
      <c r="A751" s="7">
        <f>IF($Z751="","",$AD751)</f>
        <v/>
      </c>
      <c r="B751" s="7">
        <f>IF($Z751="C",INDEX(Contracts!$D$2:$D$151,$AB751)&amp;"",IF($Z751="A",INDEX(Fixed_Assets!$C$2:$C$201,$AB751)&amp;"",IF($Z751="F",INDEX(Workforce!$B$2:$B$151,MATCH(INDEX(FTE_Allocation!$A$2:$A$201,$AB751),Workforce!$A$2:$A$151,0))&amp;"","")))</f>
        <v/>
      </c>
      <c r="C751" s="7">
        <f>IF($Z751="C",INDEX(Contracts!$E$2:$E$151,$AB751)&amp;"",IF($Z751="A",INDEX(Fixed_Assets!$D$2:$D$201,$AB751)&amp;"",IF($Z751="F",INDEX(FTE_Allocation!$C$2:$C$201,$AB751)&amp;"","")))</f>
        <v/>
      </c>
      <c r="D751" s="7">
        <f>IF($Z751="C",INDEX(Contracts!$B$2:$B$151,$AB751)&amp;"",IF($Z751="A",INDEX(Fixed_Assets!$B$2:$B$201,$AB751)&amp;"",IF($Z751="F",INDEX(FTE_Allocation!$B$2:$B$201,$AB751)&amp;"","")))</f>
        <v/>
      </c>
      <c r="E751" s="7">
        <f>IF($Z751="C",INDEX(Contracts!$P$2:$P$151,$AB751)&amp;"",IF($Z751="A",INDEX(Fixed_Assets!$K$2:$K$201,$AB751)&amp;"",IF($Z751="F",IF(INDEX(FTE_Allocation!$D$2:$D$201,$AB751)="PROJECT",IFERROR(INDEX(Projects!$D:$D,MATCH(INDEX(FTE_Allocation!$E$2:$E$201,$AB751),Projects!$A:$A,0))&amp;"","#PROJECT?"),INDEX(FTE_Allocation!$E$2:$E$201,$AB751)&amp;""),"")))</f>
        <v/>
      </c>
      <c r="F751" s="7">
        <f>IF($Z751="C",INDEX(Contracts!$Q$2:$Q$151,$AB751)&amp;"",IF($Z751="A",INDEX(Fixed_Assets!$L$2:$L$201,$AB751)&amp;"",IF($Z751="F",INDEX(Workforce!$K$2:$K$151,MATCH(INDEX(FTE_Allocation!$A$2:$A$201,$AB751),Workforce!$A$2:$A$151,0))&amp;"","")))</f>
        <v/>
      </c>
      <c r="G751" s="7">
        <f>IF($Z751="C",INDEX(Contracts!$F$2:$F$151,$AB751)&amp;" / "&amp;INDEX(Contracts!$G$2:$G$151,$AB751),IF($Z751="A",INDEX(Fixed_Assets!$E$2:$E$201,$AB751)&amp;"",IF($Z751="F","Personnel "&amp;INDEX(FTE_Allocation!$A$2:$A$201,$AB751)&amp;IF(INDEX(FTE_Allocation!$D$2:$D$201,$AB751)="PROJECT"," ("&amp;INDEX(FTE_Allocation!$E$2:$E$201,$AB751)&amp;")",""),"")))</f>
        <v/>
      </c>
      <c r="H751" s="7">
        <f>IF($Z751="C","CONTRACT",IF($Z751="A","ASSET",IF($Z751="F","WORKFORCE","")))</f>
        <v/>
      </c>
      <c r="I751" s="7">
        <f>IF($Z751="C",INDEX(Contracts!$L$2:$L$151,$AB751)&amp;"",IF($Z751="A",INDEX(Fixed_Assets!$I$2:$I$201,$AB751)&amp;"",IF($Z751="F",INDEX(Workforce!$G$2:$G$151,MATCH(INDEX(FTE_Allocation!$A$2:$A$201,$AB751),Workforce!$A$2:$A$151,0))&amp;"","")))</f>
        <v/>
      </c>
      <c r="J751" s="18">
        <f>IF($Z751="","",IF(AND(DATE($AD751,1,1)&gt;=$AE751,DATE($AD751,1,1)&lt;=$AF751),ROUND($AG751,2),0))</f>
        <v/>
      </c>
      <c r="K751" s="18">
        <f>IF($Z751="","",IF(AND(DATE($AD751,2,1)&gt;=$AE751,DATE($AD751,2,1)&lt;=$AF751),ROUND($AG751,2),0))</f>
        <v/>
      </c>
      <c r="L751" s="18">
        <f>IF($Z751="","",IF(AND(DATE($AD751,3,1)&gt;=$AE751,DATE($AD751,3,1)&lt;=$AF751),ROUND($AG751,2),0))</f>
        <v/>
      </c>
      <c r="M751" s="18">
        <f>IF($Z751="","",IF(AND(DATE($AD751,4,1)&gt;=$AE751,DATE($AD751,4,1)&lt;=$AF751),ROUND($AG751,2),0))</f>
        <v/>
      </c>
      <c r="N751" s="18">
        <f>IF($Z751="","",IF(AND(DATE($AD751,5,1)&gt;=$AE751,DATE($AD751,5,1)&lt;=$AF751),ROUND($AG751,2),0))</f>
        <v/>
      </c>
      <c r="O751" s="18">
        <f>IF($Z751="","",IF(AND(DATE($AD751,6,1)&gt;=$AE751,DATE($AD751,6,1)&lt;=$AF751),ROUND($AG751,2),0))</f>
        <v/>
      </c>
      <c r="P751" s="18">
        <f>IF($Z751="","",IF(AND(DATE($AD751,7,1)&gt;=$AE751,DATE($AD751,7,1)&lt;=$AF751),ROUND($AG751,2),0))</f>
        <v/>
      </c>
      <c r="Q751" s="18">
        <f>IF($Z751="","",IF(AND(DATE($AD751,8,1)&gt;=$AE751,DATE($AD751,8,1)&lt;=$AF751),ROUND($AG751,2),0))</f>
        <v/>
      </c>
      <c r="R751" s="18">
        <f>IF($Z751="","",IF(AND(DATE($AD751,9,1)&gt;=$AE751,DATE($AD751,9,1)&lt;=$AF751),ROUND($AG751,2),0))</f>
        <v/>
      </c>
      <c r="S751" s="18">
        <f>IF($Z751="","",IF(AND(DATE($AD751,10,1)&gt;=$AE751,DATE($AD751,10,1)&lt;=$AF751),ROUND($AG751,2),0))</f>
        <v/>
      </c>
      <c r="T751" s="18">
        <f>IF($Z751="","",IF(AND(DATE($AD751,11,1)&gt;=$AE751,DATE($AD751,11,1)&lt;=$AF751),ROUND($AG751,2),0))</f>
        <v/>
      </c>
      <c r="U751" s="18">
        <f>IF($Z751="","",IF(AND(DATE($AD751,12,1)&gt;=$AE751,DATE($AD751,12,1)&lt;=$AF751),ROUND($AG751,2),0))</f>
        <v/>
      </c>
      <c r="V751" s="7">
        <f>IF($Z751="C","Generated from "&amp;INDEX(Contracts!$A$2:$A$151,$AB751),IF($Z751="A","Generated from "&amp;INDEX(Fixed_Assets!$A$2:$A$201,$AB751),IF($Z751="F","Generated from "&amp;INDEX(FTE_Allocation!$A$2:$A$201,$AB751),"")))</f>
        <v/>
      </c>
      <c r="X751" s="19">
        <f>IF($Z751="","",SUM(J751:U751))</f>
        <v/>
      </c>
      <c r="Y751" s="20">
        <f>ROW()-1</f>
        <v/>
      </c>
      <c r="Z751" s="20">
        <f>IF($Y751&lt;=Settings!$B$4*3,"C",IF($Y751&lt;=(Settings!$B$4+Settings!$B$5)*3,"A",IF($Y751&lt;=(Settings!$B$4+Settings!$B$5+Settings!$B$6)*3,"F","")))</f>
        <v/>
      </c>
      <c r="AA751" s="20">
        <f>IF($Z751="C",$Y751,IF($Z751="A",$Y751-Settings!$B$4*3,IF($Z751="F",$Y751-(Settings!$B$4+Settings!$B$5)*3,"")))</f>
        <v/>
      </c>
      <c r="AB751" s="20">
        <f>IF($Z751="","",INT(($AA751-1)/3)+1)</f>
        <v/>
      </c>
      <c r="AC751" s="20">
        <f>IF($Z751="","",MOD($AA751-1,3)+1)</f>
        <v/>
      </c>
      <c r="AD751" s="20">
        <f>IF($Z751="","",Settings!$B$2+$AC751-1)</f>
        <v/>
      </c>
      <c r="AE751" s="21">
        <f>IF($Z751="C",DATE(YEAR(INDEX(Contracts!$J$2:$J$151,$AB751)),MONTH(INDEX(Contracts!$J$2:$J$151,$AB751)),1),IF($Z751="A",DATE(YEAR(INDEX(Fixed_Assets!$G$2:$G$201,$AB751)),MONTH(INDEX(Fixed_Assets!$G$2:$G$201,$AB751)),1),IF($Z751="F",DATE(YEAR(MAX(N(INDEX(Workforce!$I$2:$I$151,MATCH(INDEX(FTE_Allocation!$A$2:$A$201,$AB751),Workforce!$A$2:$A$151,0))),N(INDEX(FTE_Allocation!$I$2:$I$201,$AB751)))),MONTH(MAX(N(INDEX(Workforce!$I$2:$I$151,MATCH(INDEX(FTE_Allocation!$A$2:$A$201,$AB751),Workforce!$A$2:$A$151,0))),N(INDEX(FTE_Allocation!$I$2:$I$201,$AB751)))),1),"")))</f>
        <v/>
      </c>
      <c r="AF751" s="21">
        <f>IF($Z751="C",IF(INDEX(Contracts!$I$2:$I$151,$AB751)="PREPAID",EDATE(DATE(YEAR(INDEX(Contracts!$J$2:$J$151,$AB751)),MONTH(INDEX(Contracts!$J$2:$J$151,$AB751)),1),IF(INDEX(Contracts!$N$2:$N$151,$AB751)="",12,INDEX(Contracts!$N$2:$N$151,$AB751))-1),IF(INDEX(Contracts!$I$2:$I$151,$AB751)="MONTHLY",IF(INDEX(Contracts!$K$2:$K$151,$AB751)="",2958101,INDEX(Contracts!$K$2:$K$151,$AB751)),0)),IF($Z751="A",EDATE(DATE(YEAR(INDEX(Fixed_Assets!$G$2:$G$201,$AB751)),MONTH(INDEX(Fixed_Assets!$G$2:$G$201,$AB751)),1),INDEX(Fixed_Assets!$J$2:$J$201,$AB751)-1),IF($Z751="F",MIN(IF(INDEX(Workforce!$J$2:$J$151,MATCH(INDEX(FTE_Allocation!$A$2:$A$201,$AB751),Workforce!$A$2:$A$151,0))="",2958101,INDEX(Workforce!$J$2:$J$151,MATCH(INDEX(FTE_Allocation!$A$2:$A$201,$AB751),Workforce!$A$2:$A$151,0))),IF(INDEX(FTE_Allocation!$J$2:$J$201,$AB751)="",2958101,INDEX(FTE_Allocation!$J$2:$J$201,$AB751))),"")))</f>
        <v/>
      </c>
      <c r="AG751" s="19">
        <f>IF($Z751="C",IF(INDEX(Contracts!$I$2:$I$151,$AB751)="PREPAID",INDEX(Contracts!$M$2:$M$151,$AB751)/IF(INDEX(Contracts!$N$2:$N$151,$AB751)="",12,INDEX(Contracts!$N$2:$N$151,$AB751)),IF(INDEX(Contracts!$I$2:$I$151,$AB751)="MONTHLY",INDEX(Contracts!$M$2:$M$151,$AB751),0))*(1-N(INDEX(Contracts!$O$2:$O$151,$AB751))),IF($Z751="A",INDEX(Fixed_Assets!$H$2:$H$201,$AB751)/INDEX(Fixed_Assets!$J$2:$J$201,$AB751),IF($Z751="F",INDEX(Workforce!$F$2:$F$151,MATCH(INDEX(FTE_Allocation!$A$2:$A$201,$AB751),Workforce!$A$2:$A$151,0))*N(INDEX(FTE_Allocation!$F$2:$H$201,$AB751,$AC751)),"")))</f>
        <v/>
      </c>
    </row>
    <row r="752">
      <c r="A752" s="7">
        <f>IF($Z752="","",$AD752)</f>
        <v/>
      </c>
      <c r="B752" s="7">
        <f>IF($Z752="C",INDEX(Contracts!$D$2:$D$151,$AB752)&amp;"",IF($Z752="A",INDEX(Fixed_Assets!$C$2:$C$201,$AB752)&amp;"",IF($Z752="F",INDEX(Workforce!$B$2:$B$151,MATCH(INDEX(FTE_Allocation!$A$2:$A$201,$AB752),Workforce!$A$2:$A$151,0))&amp;"","")))</f>
        <v/>
      </c>
      <c r="C752" s="7">
        <f>IF($Z752="C",INDEX(Contracts!$E$2:$E$151,$AB752)&amp;"",IF($Z752="A",INDEX(Fixed_Assets!$D$2:$D$201,$AB752)&amp;"",IF($Z752="F",INDEX(FTE_Allocation!$C$2:$C$201,$AB752)&amp;"","")))</f>
        <v/>
      </c>
      <c r="D752" s="7">
        <f>IF($Z752="C",INDEX(Contracts!$B$2:$B$151,$AB752)&amp;"",IF($Z752="A",INDEX(Fixed_Assets!$B$2:$B$201,$AB752)&amp;"",IF($Z752="F",INDEX(FTE_Allocation!$B$2:$B$201,$AB752)&amp;"","")))</f>
        <v/>
      </c>
      <c r="E752" s="7">
        <f>IF($Z752="C",INDEX(Contracts!$P$2:$P$151,$AB752)&amp;"",IF($Z752="A",INDEX(Fixed_Assets!$K$2:$K$201,$AB752)&amp;"",IF($Z752="F",IF(INDEX(FTE_Allocation!$D$2:$D$201,$AB752)="PROJECT",IFERROR(INDEX(Projects!$D:$D,MATCH(INDEX(FTE_Allocation!$E$2:$E$201,$AB752),Projects!$A:$A,0))&amp;"","#PROJECT?"),INDEX(FTE_Allocation!$E$2:$E$201,$AB752)&amp;""),"")))</f>
        <v/>
      </c>
      <c r="F752" s="7">
        <f>IF($Z752="C",INDEX(Contracts!$Q$2:$Q$151,$AB752)&amp;"",IF($Z752="A",INDEX(Fixed_Assets!$L$2:$L$201,$AB752)&amp;"",IF($Z752="F",INDEX(Workforce!$K$2:$K$151,MATCH(INDEX(FTE_Allocation!$A$2:$A$201,$AB752),Workforce!$A$2:$A$151,0))&amp;"","")))</f>
        <v/>
      </c>
      <c r="G752" s="7">
        <f>IF($Z752="C",INDEX(Contracts!$F$2:$F$151,$AB752)&amp;" / "&amp;INDEX(Contracts!$G$2:$G$151,$AB752),IF($Z752="A",INDEX(Fixed_Assets!$E$2:$E$201,$AB752)&amp;"",IF($Z752="F","Personnel "&amp;INDEX(FTE_Allocation!$A$2:$A$201,$AB752)&amp;IF(INDEX(FTE_Allocation!$D$2:$D$201,$AB752)="PROJECT"," ("&amp;INDEX(FTE_Allocation!$E$2:$E$201,$AB752)&amp;")",""),"")))</f>
        <v/>
      </c>
      <c r="H752" s="7">
        <f>IF($Z752="C","CONTRACT",IF($Z752="A","ASSET",IF($Z752="F","WORKFORCE","")))</f>
        <v/>
      </c>
      <c r="I752" s="7">
        <f>IF($Z752="C",INDEX(Contracts!$L$2:$L$151,$AB752)&amp;"",IF($Z752="A",INDEX(Fixed_Assets!$I$2:$I$201,$AB752)&amp;"",IF($Z752="F",INDEX(Workforce!$G$2:$G$151,MATCH(INDEX(FTE_Allocation!$A$2:$A$201,$AB752),Workforce!$A$2:$A$151,0))&amp;"","")))</f>
        <v/>
      </c>
      <c r="J752" s="18">
        <f>IF($Z752="","",IF(AND(DATE($AD752,1,1)&gt;=$AE752,DATE($AD752,1,1)&lt;=$AF752),ROUND($AG752,2),0))</f>
        <v/>
      </c>
      <c r="K752" s="18">
        <f>IF($Z752="","",IF(AND(DATE($AD752,2,1)&gt;=$AE752,DATE($AD752,2,1)&lt;=$AF752),ROUND($AG752,2),0))</f>
        <v/>
      </c>
      <c r="L752" s="18">
        <f>IF($Z752="","",IF(AND(DATE($AD752,3,1)&gt;=$AE752,DATE($AD752,3,1)&lt;=$AF752),ROUND($AG752,2),0))</f>
        <v/>
      </c>
      <c r="M752" s="18">
        <f>IF($Z752="","",IF(AND(DATE($AD752,4,1)&gt;=$AE752,DATE($AD752,4,1)&lt;=$AF752),ROUND($AG752,2),0))</f>
        <v/>
      </c>
      <c r="N752" s="18">
        <f>IF($Z752="","",IF(AND(DATE($AD752,5,1)&gt;=$AE752,DATE($AD752,5,1)&lt;=$AF752),ROUND($AG752,2),0))</f>
        <v/>
      </c>
      <c r="O752" s="18">
        <f>IF($Z752="","",IF(AND(DATE($AD752,6,1)&gt;=$AE752,DATE($AD752,6,1)&lt;=$AF752),ROUND($AG752,2),0))</f>
        <v/>
      </c>
      <c r="P752" s="18">
        <f>IF($Z752="","",IF(AND(DATE($AD752,7,1)&gt;=$AE752,DATE($AD752,7,1)&lt;=$AF752),ROUND($AG752,2),0))</f>
        <v/>
      </c>
      <c r="Q752" s="18">
        <f>IF($Z752="","",IF(AND(DATE($AD752,8,1)&gt;=$AE752,DATE($AD752,8,1)&lt;=$AF752),ROUND($AG752,2),0))</f>
        <v/>
      </c>
      <c r="R752" s="18">
        <f>IF($Z752="","",IF(AND(DATE($AD752,9,1)&gt;=$AE752,DATE($AD752,9,1)&lt;=$AF752),ROUND($AG752,2),0))</f>
        <v/>
      </c>
      <c r="S752" s="18">
        <f>IF($Z752="","",IF(AND(DATE($AD752,10,1)&gt;=$AE752,DATE($AD752,10,1)&lt;=$AF752),ROUND($AG752,2),0))</f>
        <v/>
      </c>
      <c r="T752" s="18">
        <f>IF($Z752="","",IF(AND(DATE($AD752,11,1)&gt;=$AE752,DATE($AD752,11,1)&lt;=$AF752),ROUND($AG752,2),0))</f>
        <v/>
      </c>
      <c r="U752" s="18">
        <f>IF($Z752="","",IF(AND(DATE($AD752,12,1)&gt;=$AE752,DATE($AD752,12,1)&lt;=$AF752),ROUND($AG752,2),0))</f>
        <v/>
      </c>
      <c r="V752" s="7">
        <f>IF($Z752="C","Generated from "&amp;INDEX(Contracts!$A$2:$A$151,$AB752),IF($Z752="A","Generated from "&amp;INDEX(Fixed_Assets!$A$2:$A$201,$AB752),IF($Z752="F","Generated from "&amp;INDEX(FTE_Allocation!$A$2:$A$201,$AB752),"")))</f>
        <v/>
      </c>
      <c r="X752" s="19">
        <f>IF($Z752="","",SUM(J752:U752))</f>
        <v/>
      </c>
      <c r="Y752" s="20">
        <f>ROW()-1</f>
        <v/>
      </c>
      <c r="Z752" s="20">
        <f>IF($Y752&lt;=Settings!$B$4*3,"C",IF($Y752&lt;=(Settings!$B$4+Settings!$B$5)*3,"A",IF($Y752&lt;=(Settings!$B$4+Settings!$B$5+Settings!$B$6)*3,"F","")))</f>
        <v/>
      </c>
      <c r="AA752" s="20">
        <f>IF($Z752="C",$Y752,IF($Z752="A",$Y752-Settings!$B$4*3,IF($Z752="F",$Y752-(Settings!$B$4+Settings!$B$5)*3,"")))</f>
        <v/>
      </c>
      <c r="AB752" s="20">
        <f>IF($Z752="","",INT(($AA752-1)/3)+1)</f>
        <v/>
      </c>
      <c r="AC752" s="20">
        <f>IF($Z752="","",MOD($AA752-1,3)+1)</f>
        <v/>
      </c>
      <c r="AD752" s="20">
        <f>IF($Z752="","",Settings!$B$2+$AC752-1)</f>
        <v/>
      </c>
      <c r="AE752" s="21">
        <f>IF($Z752="C",DATE(YEAR(INDEX(Contracts!$J$2:$J$151,$AB752)),MONTH(INDEX(Contracts!$J$2:$J$151,$AB752)),1),IF($Z752="A",DATE(YEAR(INDEX(Fixed_Assets!$G$2:$G$201,$AB752)),MONTH(INDEX(Fixed_Assets!$G$2:$G$201,$AB752)),1),IF($Z752="F",DATE(YEAR(MAX(N(INDEX(Workforce!$I$2:$I$151,MATCH(INDEX(FTE_Allocation!$A$2:$A$201,$AB752),Workforce!$A$2:$A$151,0))),N(INDEX(FTE_Allocation!$I$2:$I$201,$AB752)))),MONTH(MAX(N(INDEX(Workforce!$I$2:$I$151,MATCH(INDEX(FTE_Allocation!$A$2:$A$201,$AB752),Workforce!$A$2:$A$151,0))),N(INDEX(FTE_Allocation!$I$2:$I$201,$AB752)))),1),"")))</f>
        <v/>
      </c>
      <c r="AF752" s="21">
        <f>IF($Z752="C",IF(INDEX(Contracts!$I$2:$I$151,$AB752)="PREPAID",EDATE(DATE(YEAR(INDEX(Contracts!$J$2:$J$151,$AB752)),MONTH(INDEX(Contracts!$J$2:$J$151,$AB752)),1),IF(INDEX(Contracts!$N$2:$N$151,$AB752)="",12,INDEX(Contracts!$N$2:$N$151,$AB752))-1),IF(INDEX(Contracts!$I$2:$I$151,$AB752)="MONTHLY",IF(INDEX(Contracts!$K$2:$K$151,$AB752)="",2958101,INDEX(Contracts!$K$2:$K$151,$AB752)),0)),IF($Z752="A",EDATE(DATE(YEAR(INDEX(Fixed_Assets!$G$2:$G$201,$AB752)),MONTH(INDEX(Fixed_Assets!$G$2:$G$201,$AB752)),1),INDEX(Fixed_Assets!$J$2:$J$201,$AB752)-1),IF($Z752="F",MIN(IF(INDEX(Workforce!$J$2:$J$151,MATCH(INDEX(FTE_Allocation!$A$2:$A$201,$AB752),Workforce!$A$2:$A$151,0))="",2958101,INDEX(Workforce!$J$2:$J$151,MATCH(INDEX(FTE_Allocation!$A$2:$A$201,$AB752),Workforce!$A$2:$A$151,0))),IF(INDEX(FTE_Allocation!$J$2:$J$201,$AB752)="",2958101,INDEX(FTE_Allocation!$J$2:$J$201,$AB752))),"")))</f>
        <v/>
      </c>
      <c r="AG752" s="19">
        <f>IF($Z752="C",IF(INDEX(Contracts!$I$2:$I$151,$AB752)="PREPAID",INDEX(Contracts!$M$2:$M$151,$AB752)/IF(INDEX(Contracts!$N$2:$N$151,$AB752)="",12,INDEX(Contracts!$N$2:$N$151,$AB752)),IF(INDEX(Contracts!$I$2:$I$151,$AB752)="MONTHLY",INDEX(Contracts!$M$2:$M$151,$AB752),0))*(1-N(INDEX(Contracts!$O$2:$O$151,$AB752))),IF($Z752="A",INDEX(Fixed_Assets!$H$2:$H$201,$AB752)/INDEX(Fixed_Assets!$J$2:$J$201,$AB752),IF($Z752="F",INDEX(Workforce!$F$2:$F$151,MATCH(INDEX(FTE_Allocation!$A$2:$A$201,$AB752),Workforce!$A$2:$A$151,0))*N(INDEX(FTE_Allocation!$F$2:$H$201,$AB752,$AC752)),"")))</f>
        <v/>
      </c>
    </row>
    <row r="753">
      <c r="A753" s="7">
        <f>IF($Z753="","",$AD753)</f>
        <v/>
      </c>
      <c r="B753" s="7">
        <f>IF($Z753="C",INDEX(Contracts!$D$2:$D$151,$AB753)&amp;"",IF($Z753="A",INDEX(Fixed_Assets!$C$2:$C$201,$AB753)&amp;"",IF($Z753="F",INDEX(Workforce!$B$2:$B$151,MATCH(INDEX(FTE_Allocation!$A$2:$A$201,$AB753),Workforce!$A$2:$A$151,0))&amp;"","")))</f>
        <v/>
      </c>
      <c r="C753" s="7">
        <f>IF($Z753="C",INDEX(Contracts!$E$2:$E$151,$AB753)&amp;"",IF($Z753="A",INDEX(Fixed_Assets!$D$2:$D$201,$AB753)&amp;"",IF($Z753="F",INDEX(FTE_Allocation!$C$2:$C$201,$AB753)&amp;"","")))</f>
        <v/>
      </c>
      <c r="D753" s="7">
        <f>IF($Z753="C",INDEX(Contracts!$B$2:$B$151,$AB753)&amp;"",IF($Z753="A",INDEX(Fixed_Assets!$B$2:$B$201,$AB753)&amp;"",IF($Z753="F",INDEX(FTE_Allocation!$B$2:$B$201,$AB753)&amp;"","")))</f>
        <v/>
      </c>
      <c r="E753" s="7">
        <f>IF($Z753="C",INDEX(Contracts!$P$2:$P$151,$AB753)&amp;"",IF($Z753="A",INDEX(Fixed_Assets!$K$2:$K$201,$AB753)&amp;"",IF($Z753="F",IF(INDEX(FTE_Allocation!$D$2:$D$201,$AB753)="PROJECT",IFERROR(INDEX(Projects!$D:$D,MATCH(INDEX(FTE_Allocation!$E$2:$E$201,$AB753),Projects!$A:$A,0))&amp;"","#PROJECT?"),INDEX(FTE_Allocation!$E$2:$E$201,$AB753)&amp;""),"")))</f>
        <v/>
      </c>
      <c r="F753" s="7">
        <f>IF($Z753="C",INDEX(Contracts!$Q$2:$Q$151,$AB753)&amp;"",IF($Z753="A",INDEX(Fixed_Assets!$L$2:$L$201,$AB753)&amp;"",IF($Z753="F",INDEX(Workforce!$K$2:$K$151,MATCH(INDEX(FTE_Allocation!$A$2:$A$201,$AB753),Workforce!$A$2:$A$151,0))&amp;"","")))</f>
        <v/>
      </c>
      <c r="G753" s="7">
        <f>IF($Z753="C",INDEX(Contracts!$F$2:$F$151,$AB753)&amp;" / "&amp;INDEX(Contracts!$G$2:$G$151,$AB753),IF($Z753="A",INDEX(Fixed_Assets!$E$2:$E$201,$AB753)&amp;"",IF($Z753="F","Personnel "&amp;INDEX(FTE_Allocation!$A$2:$A$201,$AB753)&amp;IF(INDEX(FTE_Allocation!$D$2:$D$201,$AB753)="PROJECT"," ("&amp;INDEX(FTE_Allocation!$E$2:$E$201,$AB753)&amp;")",""),"")))</f>
        <v/>
      </c>
      <c r="H753" s="7">
        <f>IF($Z753="C","CONTRACT",IF($Z753="A","ASSET",IF($Z753="F","WORKFORCE","")))</f>
        <v/>
      </c>
      <c r="I753" s="7">
        <f>IF($Z753="C",INDEX(Contracts!$L$2:$L$151,$AB753)&amp;"",IF($Z753="A",INDEX(Fixed_Assets!$I$2:$I$201,$AB753)&amp;"",IF($Z753="F",INDEX(Workforce!$G$2:$G$151,MATCH(INDEX(FTE_Allocation!$A$2:$A$201,$AB753),Workforce!$A$2:$A$151,0))&amp;"","")))</f>
        <v/>
      </c>
      <c r="J753" s="18">
        <f>IF($Z753="","",IF(AND(DATE($AD753,1,1)&gt;=$AE753,DATE($AD753,1,1)&lt;=$AF753),ROUND($AG753,2),0))</f>
        <v/>
      </c>
      <c r="K753" s="18">
        <f>IF($Z753="","",IF(AND(DATE($AD753,2,1)&gt;=$AE753,DATE($AD753,2,1)&lt;=$AF753),ROUND($AG753,2),0))</f>
        <v/>
      </c>
      <c r="L753" s="18">
        <f>IF($Z753="","",IF(AND(DATE($AD753,3,1)&gt;=$AE753,DATE($AD753,3,1)&lt;=$AF753),ROUND($AG753,2),0))</f>
        <v/>
      </c>
      <c r="M753" s="18">
        <f>IF($Z753="","",IF(AND(DATE($AD753,4,1)&gt;=$AE753,DATE($AD753,4,1)&lt;=$AF753),ROUND($AG753,2),0))</f>
        <v/>
      </c>
      <c r="N753" s="18">
        <f>IF($Z753="","",IF(AND(DATE($AD753,5,1)&gt;=$AE753,DATE($AD753,5,1)&lt;=$AF753),ROUND($AG753,2),0))</f>
        <v/>
      </c>
      <c r="O753" s="18">
        <f>IF($Z753="","",IF(AND(DATE($AD753,6,1)&gt;=$AE753,DATE($AD753,6,1)&lt;=$AF753),ROUND($AG753,2),0))</f>
        <v/>
      </c>
      <c r="P753" s="18">
        <f>IF($Z753="","",IF(AND(DATE($AD753,7,1)&gt;=$AE753,DATE($AD753,7,1)&lt;=$AF753),ROUND($AG753,2),0))</f>
        <v/>
      </c>
      <c r="Q753" s="18">
        <f>IF($Z753="","",IF(AND(DATE($AD753,8,1)&gt;=$AE753,DATE($AD753,8,1)&lt;=$AF753),ROUND($AG753,2),0))</f>
        <v/>
      </c>
      <c r="R753" s="18">
        <f>IF($Z753="","",IF(AND(DATE($AD753,9,1)&gt;=$AE753,DATE($AD753,9,1)&lt;=$AF753),ROUND($AG753,2),0))</f>
        <v/>
      </c>
      <c r="S753" s="18">
        <f>IF($Z753="","",IF(AND(DATE($AD753,10,1)&gt;=$AE753,DATE($AD753,10,1)&lt;=$AF753),ROUND($AG753,2),0))</f>
        <v/>
      </c>
      <c r="T753" s="18">
        <f>IF($Z753="","",IF(AND(DATE($AD753,11,1)&gt;=$AE753,DATE($AD753,11,1)&lt;=$AF753),ROUND($AG753,2),0))</f>
        <v/>
      </c>
      <c r="U753" s="18">
        <f>IF($Z753="","",IF(AND(DATE($AD753,12,1)&gt;=$AE753,DATE($AD753,12,1)&lt;=$AF753),ROUND($AG753,2),0))</f>
        <v/>
      </c>
      <c r="V753" s="7">
        <f>IF($Z753="C","Generated from "&amp;INDEX(Contracts!$A$2:$A$151,$AB753),IF($Z753="A","Generated from "&amp;INDEX(Fixed_Assets!$A$2:$A$201,$AB753),IF($Z753="F","Generated from "&amp;INDEX(FTE_Allocation!$A$2:$A$201,$AB753),"")))</f>
        <v/>
      </c>
      <c r="X753" s="19">
        <f>IF($Z753="","",SUM(J753:U753))</f>
        <v/>
      </c>
      <c r="Y753" s="20">
        <f>ROW()-1</f>
        <v/>
      </c>
      <c r="Z753" s="20">
        <f>IF($Y753&lt;=Settings!$B$4*3,"C",IF($Y753&lt;=(Settings!$B$4+Settings!$B$5)*3,"A",IF($Y753&lt;=(Settings!$B$4+Settings!$B$5+Settings!$B$6)*3,"F","")))</f>
        <v/>
      </c>
      <c r="AA753" s="20">
        <f>IF($Z753="C",$Y753,IF($Z753="A",$Y753-Settings!$B$4*3,IF($Z753="F",$Y753-(Settings!$B$4+Settings!$B$5)*3,"")))</f>
        <v/>
      </c>
      <c r="AB753" s="20">
        <f>IF($Z753="","",INT(($AA753-1)/3)+1)</f>
        <v/>
      </c>
      <c r="AC753" s="20">
        <f>IF($Z753="","",MOD($AA753-1,3)+1)</f>
        <v/>
      </c>
      <c r="AD753" s="20">
        <f>IF($Z753="","",Settings!$B$2+$AC753-1)</f>
        <v/>
      </c>
      <c r="AE753" s="21">
        <f>IF($Z753="C",DATE(YEAR(INDEX(Contracts!$J$2:$J$151,$AB753)),MONTH(INDEX(Contracts!$J$2:$J$151,$AB753)),1),IF($Z753="A",DATE(YEAR(INDEX(Fixed_Assets!$G$2:$G$201,$AB753)),MONTH(INDEX(Fixed_Assets!$G$2:$G$201,$AB753)),1),IF($Z753="F",DATE(YEAR(MAX(N(INDEX(Workforce!$I$2:$I$151,MATCH(INDEX(FTE_Allocation!$A$2:$A$201,$AB753),Workforce!$A$2:$A$151,0))),N(INDEX(FTE_Allocation!$I$2:$I$201,$AB753)))),MONTH(MAX(N(INDEX(Workforce!$I$2:$I$151,MATCH(INDEX(FTE_Allocation!$A$2:$A$201,$AB753),Workforce!$A$2:$A$151,0))),N(INDEX(FTE_Allocation!$I$2:$I$201,$AB753)))),1),"")))</f>
        <v/>
      </c>
      <c r="AF753" s="21">
        <f>IF($Z753="C",IF(INDEX(Contracts!$I$2:$I$151,$AB753)="PREPAID",EDATE(DATE(YEAR(INDEX(Contracts!$J$2:$J$151,$AB753)),MONTH(INDEX(Contracts!$J$2:$J$151,$AB753)),1),IF(INDEX(Contracts!$N$2:$N$151,$AB753)="",12,INDEX(Contracts!$N$2:$N$151,$AB753))-1),IF(INDEX(Contracts!$I$2:$I$151,$AB753)="MONTHLY",IF(INDEX(Contracts!$K$2:$K$151,$AB753)="",2958101,INDEX(Contracts!$K$2:$K$151,$AB753)),0)),IF($Z753="A",EDATE(DATE(YEAR(INDEX(Fixed_Assets!$G$2:$G$201,$AB753)),MONTH(INDEX(Fixed_Assets!$G$2:$G$201,$AB753)),1),INDEX(Fixed_Assets!$J$2:$J$201,$AB753)-1),IF($Z753="F",MIN(IF(INDEX(Workforce!$J$2:$J$151,MATCH(INDEX(FTE_Allocation!$A$2:$A$201,$AB753),Workforce!$A$2:$A$151,0))="",2958101,INDEX(Workforce!$J$2:$J$151,MATCH(INDEX(FTE_Allocation!$A$2:$A$201,$AB753),Workforce!$A$2:$A$151,0))),IF(INDEX(FTE_Allocation!$J$2:$J$201,$AB753)="",2958101,INDEX(FTE_Allocation!$J$2:$J$201,$AB753))),"")))</f>
        <v/>
      </c>
      <c r="AG753" s="19">
        <f>IF($Z753="C",IF(INDEX(Contracts!$I$2:$I$151,$AB753)="PREPAID",INDEX(Contracts!$M$2:$M$151,$AB753)/IF(INDEX(Contracts!$N$2:$N$151,$AB753)="",12,INDEX(Contracts!$N$2:$N$151,$AB753)),IF(INDEX(Contracts!$I$2:$I$151,$AB753)="MONTHLY",INDEX(Contracts!$M$2:$M$151,$AB753),0))*(1-N(INDEX(Contracts!$O$2:$O$151,$AB753))),IF($Z753="A",INDEX(Fixed_Assets!$H$2:$H$201,$AB753)/INDEX(Fixed_Assets!$J$2:$J$201,$AB753),IF($Z753="F",INDEX(Workforce!$F$2:$F$151,MATCH(INDEX(FTE_Allocation!$A$2:$A$201,$AB753),Workforce!$A$2:$A$151,0))*N(INDEX(FTE_Allocation!$F$2:$H$201,$AB753,$AC753)),"")))</f>
        <v/>
      </c>
    </row>
    <row r="754">
      <c r="A754" s="7">
        <f>IF($Z754="","",$AD754)</f>
        <v/>
      </c>
      <c r="B754" s="7">
        <f>IF($Z754="C",INDEX(Contracts!$D$2:$D$151,$AB754)&amp;"",IF($Z754="A",INDEX(Fixed_Assets!$C$2:$C$201,$AB754)&amp;"",IF($Z754="F",INDEX(Workforce!$B$2:$B$151,MATCH(INDEX(FTE_Allocation!$A$2:$A$201,$AB754),Workforce!$A$2:$A$151,0))&amp;"","")))</f>
        <v/>
      </c>
      <c r="C754" s="7">
        <f>IF($Z754="C",INDEX(Contracts!$E$2:$E$151,$AB754)&amp;"",IF($Z754="A",INDEX(Fixed_Assets!$D$2:$D$201,$AB754)&amp;"",IF($Z754="F",INDEX(FTE_Allocation!$C$2:$C$201,$AB754)&amp;"","")))</f>
        <v/>
      </c>
      <c r="D754" s="7">
        <f>IF($Z754="C",INDEX(Contracts!$B$2:$B$151,$AB754)&amp;"",IF($Z754="A",INDEX(Fixed_Assets!$B$2:$B$201,$AB754)&amp;"",IF($Z754="F",INDEX(FTE_Allocation!$B$2:$B$201,$AB754)&amp;"","")))</f>
        <v/>
      </c>
      <c r="E754" s="7">
        <f>IF($Z754="C",INDEX(Contracts!$P$2:$P$151,$AB754)&amp;"",IF($Z754="A",INDEX(Fixed_Assets!$K$2:$K$201,$AB754)&amp;"",IF($Z754="F",IF(INDEX(FTE_Allocation!$D$2:$D$201,$AB754)="PROJECT",IFERROR(INDEX(Projects!$D:$D,MATCH(INDEX(FTE_Allocation!$E$2:$E$201,$AB754),Projects!$A:$A,0))&amp;"","#PROJECT?"),INDEX(FTE_Allocation!$E$2:$E$201,$AB754)&amp;""),"")))</f>
        <v/>
      </c>
      <c r="F754" s="7">
        <f>IF($Z754="C",INDEX(Contracts!$Q$2:$Q$151,$AB754)&amp;"",IF($Z754="A",INDEX(Fixed_Assets!$L$2:$L$201,$AB754)&amp;"",IF($Z754="F",INDEX(Workforce!$K$2:$K$151,MATCH(INDEX(FTE_Allocation!$A$2:$A$201,$AB754),Workforce!$A$2:$A$151,0))&amp;"","")))</f>
        <v/>
      </c>
      <c r="G754" s="7">
        <f>IF($Z754="C",INDEX(Contracts!$F$2:$F$151,$AB754)&amp;" / "&amp;INDEX(Contracts!$G$2:$G$151,$AB754),IF($Z754="A",INDEX(Fixed_Assets!$E$2:$E$201,$AB754)&amp;"",IF($Z754="F","Personnel "&amp;INDEX(FTE_Allocation!$A$2:$A$201,$AB754)&amp;IF(INDEX(FTE_Allocation!$D$2:$D$201,$AB754)="PROJECT"," ("&amp;INDEX(FTE_Allocation!$E$2:$E$201,$AB754)&amp;")",""),"")))</f>
        <v/>
      </c>
      <c r="H754" s="7">
        <f>IF($Z754="C","CONTRACT",IF($Z754="A","ASSET",IF($Z754="F","WORKFORCE","")))</f>
        <v/>
      </c>
      <c r="I754" s="7">
        <f>IF($Z754="C",INDEX(Contracts!$L$2:$L$151,$AB754)&amp;"",IF($Z754="A",INDEX(Fixed_Assets!$I$2:$I$201,$AB754)&amp;"",IF($Z754="F",INDEX(Workforce!$G$2:$G$151,MATCH(INDEX(FTE_Allocation!$A$2:$A$201,$AB754),Workforce!$A$2:$A$151,0))&amp;"","")))</f>
        <v/>
      </c>
      <c r="J754" s="18">
        <f>IF($Z754="","",IF(AND(DATE($AD754,1,1)&gt;=$AE754,DATE($AD754,1,1)&lt;=$AF754),ROUND($AG754,2),0))</f>
        <v/>
      </c>
      <c r="K754" s="18">
        <f>IF($Z754="","",IF(AND(DATE($AD754,2,1)&gt;=$AE754,DATE($AD754,2,1)&lt;=$AF754),ROUND($AG754,2),0))</f>
        <v/>
      </c>
      <c r="L754" s="18">
        <f>IF($Z754="","",IF(AND(DATE($AD754,3,1)&gt;=$AE754,DATE($AD754,3,1)&lt;=$AF754),ROUND($AG754,2),0))</f>
        <v/>
      </c>
      <c r="M754" s="18">
        <f>IF($Z754="","",IF(AND(DATE($AD754,4,1)&gt;=$AE754,DATE($AD754,4,1)&lt;=$AF754),ROUND($AG754,2),0))</f>
        <v/>
      </c>
      <c r="N754" s="18">
        <f>IF($Z754="","",IF(AND(DATE($AD754,5,1)&gt;=$AE754,DATE($AD754,5,1)&lt;=$AF754),ROUND($AG754,2),0))</f>
        <v/>
      </c>
      <c r="O754" s="18">
        <f>IF($Z754="","",IF(AND(DATE($AD754,6,1)&gt;=$AE754,DATE($AD754,6,1)&lt;=$AF754),ROUND($AG754,2),0))</f>
        <v/>
      </c>
      <c r="P754" s="18">
        <f>IF($Z754="","",IF(AND(DATE($AD754,7,1)&gt;=$AE754,DATE($AD754,7,1)&lt;=$AF754),ROUND($AG754,2),0))</f>
        <v/>
      </c>
      <c r="Q754" s="18">
        <f>IF($Z754="","",IF(AND(DATE($AD754,8,1)&gt;=$AE754,DATE($AD754,8,1)&lt;=$AF754),ROUND($AG754,2),0))</f>
        <v/>
      </c>
      <c r="R754" s="18">
        <f>IF($Z754="","",IF(AND(DATE($AD754,9,1)&gt;=$AE754,DATE($AD754,9,1)&lt;=$AF754),ROUND($AG754,2),0))</f>
        <v/>
      </c>
      <c r="S754" s="18">
        <f>IF($Z754="","",IF(AND(DATE($AD754,10,1)&gt;=$AE754,DATE($AD754,10,1)&lt;=$AF754),ROUND($AG754,2),0))</f>
        <v/>
      </c>
      <c r="T754" s="18">
        <f>IF($Z754="","",IF(AND(DATE($AD754,11,1)&gt;=$AE754,DATE($AD754,11,1)&lt;=$AF754),ROUND($AG754,2),0))</f>
        <v/>
      </c>
      <c r="U754" s="18">
        <f>IF($Z754="","",IF(AND(DATE($AD754,12,1)&gt;=$AE754,DATE($AD754,12,1)&lt;=$AF754),ROUND($AG754,2),0))</f>
        <v/>
      </c>
      <c r="V754" s="7">
        <f>IF($Z754="C","Generated from "&amp;INDEX(Contracts!$A$2:$A$151,$AB754),IF($Z754="A","Generated from "&amp;INDEX(Fixed_Assets!$A$2:$A$201,$AB754),IF($Z754="F","Generated from "&amp;INDEX(FTE_Allocation!$A$2:$A$201,$AB754),"")))</f>
        <v/>
      </c>
      <c r="X754" s="19">
        <f>IF($Z754="","",SUM(J754:U754))</f>
        <v/>
      </c>
      <c r="Y754" s="20">
        <f>ROW()-1</f>
        <v/>
      </c>
      <c r="Z754" s="20">
        <f>IF($Y754&lt;=Settings!$B$4*3,"C",IF($Y754&lt;=(Settings!$B$4+Settings!$B$5)*3,"A",IF($Y754&lt;=(Settings!$B$4+Settings!$B$5+Settings!$B$6)*3,"F","")))</f>
        <v/>
      </c>
      <c r="AA754" s="20">
        <f>IF($Z754="C",$Y754,IF($Z754="A",$Y754-Settings!$B$4*3,IF($Z754="F",$Y754-(Settings!$B$4+Settings!$B$5)*3,"")))</f>
        <v/>
      </c>
      <c r="AB754" s="20">
        <f>IF($Z754="","",INT(($AA754-1)/3)+1)</f>
        <v/>
      </c>
      <c r="AC754" s="20">
        <f>IF($Z754="","",MOD($AA754-1,3)+1)</f>
        <v/>
      </c>
      <c r="AD754" s="20">
        <f>IF($Z754="","",Settings!$B$2+$AC754-1)</f>
        <v/>
      </c>
      <c r="AE754" s="21">
        <f>IF($Z754="C",DATE(YEAR(INDEX(Contracts!$J$2:$J$151,$AB754)),MONTH(INDEX(Contracts!$J$2:$J$151,$AB754)),1),IF($Z754="A",DATE(YEAR(INDEX(Fixed_Assets!$G$2:$G$201,$AB754)),MONTH(INDEX(Fixed_Assets!$G$2:$G$201,$AB754)),1),IF($Z754="F",DATE(YEAR(MAX(N(INDEX(Workforce!$I$2:$I$151,MATCH(INDEX(FTE_Allocation!$A$2:$A$201,$AB754),Workforce!$A$2:$A$151,0))),N(INDEX(FTE_Allocation!$I$2:$I$201,$AB754)))),MONTH(MAX(N(INDEX(Workforce!$I$2:$I$151,MATCH(INDEX(FTE_Allocation!$A$2:$A$201,$AB754),Workforce!$A$2:$A$151,0))),N(INDEX(FTE_Allocation!$I$2:$I$201,$AB754)))),1),"")))</f>
        <v/>
      </c>
      <c r="AF754" s="21">
        <f>IF($Z754="C",IF(INDEX(Contracts!$I$2:$I$151,$AB754)="PREPAID",EDATE(DATE(YEAR(INDEX(Contracts!$J$2:$J$151,$AB754)),MONTH(INDEX(Contracts!$J$2:$J$151,$AB754)),1),IF(INDEX(Contracts!$N$2:$N$151,$AB754)="",12,INDEX(Contracts!$N$2:$N$151,$AB754))-1),IF(INDEX(Contracts!$I$2:$I$151,$AB754)="MONTHLY",IF(INDEX(Contracts!$K$2:$K$151,$AB754)="",2958101,INDEX(Contracts!$K$2:$K$151,$AB754)),0)),IF($Z754="A",EDATE(DATE(YEAR(INDEX(Fixed_Assets!$G$2:$G$201,$AB754)),MONTH(INDEX(Fixed_Assets!$G$2:$G$201,$AB754)),1),INDEX(Fixed_Assets!$J$2:$J$201,$AB754)-1),IF($Z754="F",MIN(IF(INDEX(Workforce!$J$2:$J$151,MATCH(INDEX(FTE_Allocation!$A$2:$A$201,$AB754),Workforce!$A$2:$A$151,0))="",2958101,INDEX(Workforce!$J$2:$J$151,MATCH(INDEX(FTE_Allocation!$A$2:$A$201,$AB754),Workforce!$A$2:$A$151,0))),IF(INDEX(FTE_Allocation!$J$2:$J$201,$AB754)="",2958101,INDEX(FTE_Allocation!$J$2:$J$201,$AB754))),"")))</f>
        <v/>
      </c>
      <c r="AG754" s="19">
        <f>IF($Z754="C",IF(INDEX(Contracts!$I$2:$I$151,$AB754)="PREPAID",INDEX(Contracts!$M$2:$M$151,$AB754)/IF(INDEX(Contracts!$N$2:$N$151,$AB754)="",12,INDEX(Contracts!$N$2:$N$151,$AB754)),IF(INDEX(Contracts!$I$2:$I$151,$AB754)="MONTHLY",INDEX(Contracts!$M$2:$M$151,$AB754),0))*(1-N(INDEX(Contracts!$O$2:$O$151,$AB754))),IF($Z754="A",INDEX(Fixed_Assets!$H$2:$H$201,$AB754)/INDEX(Fixed_Assets!$J$2:$J$201,$AB754),IF($Z754="F",INDEX(Workforce!$F$2:$F$151,MATCH(INDEX(FTE_Allocation!$A$2:$A$201,$AB754),Workforce!$A$2:$A$151,0))*N(INDEX(FTE_Allocation!$F$2:$H$201,$AB754,$AC754)),"")))</f>
        <v/>
      </c>
    </row>
    <row r="755">
      <c r="A755" s="7">
        <f>IF($Z755="","",$AD755)</f>
        <v/>
      </c>
      <c r="B755" s="7">
        <f>IF($Z755="C",INDEX(Contracts!$D$2:$D$151,$AB755)&amp;"",IF($Z755="A",INDEX(Fixed_Assets!$C$2:$C$201,$AB755)&amp;"",IF($Z755="F",INDEX(Workforce!$B$2:$B$151,MATCH(INDEX(FTE_Allocation!$A$2:$A$201,$AB755),Workforce!$A$2:$A$151,0))&amp;"","")))</f>
        <v/>
      </c>
      <c r="C755" s="7">
        <f>IF($Z755="C",INDEX(Contracts!$E$2:$E$151,$AB755)&amp;"",IF($Z755="A",INDEX(Fixed_Assets!$D$2:$D$201,$AB755)&amp;"",IF($Z755="F",INDEX(FTE_Allocation!$C$2:$C$201,$AB755)&amp;"","")))</f>
        <v/>
      </c>
      <c r="D755" s="7">
        <f>IF($Z755="C",INDEX(Contracts!$B$2:$B$151,$AB755)&amp;"",IF($Z755="A",INDEX(Fixed_Assets!$B$2:$B$201,$AB755)&amp;"",IF($Z755="F",INDEX(FTE_Allocation!$B$2:$B$201,$AB755)&amp;"","")))</f>
        <v/>
      </c>
      <c r="E755" s="7">
        <f>IF($Z755="C",INDEX(Contracts!$P$2:$P$151,$AB755)&amp;"",IF($Z755="A",INDEX(Fixed_Assets!$K$2:$K$201,$AB755)&amp;"",IF($Z755="F",IF(INDEX(FTE_Allocation!$D$2:$D$201,$AB755)="PROJECT",IFERROR(INDEX(Projects!$D:$D,MATCH(INDEX(FTE_Allocation!$E$2:$E$201,$AB755),Projects!$A:$A,0))&amp;"","#PROJECT?"),INDEX(FTE_Allocation!$E$2:$E$201,$AB755)&amp;""),"")))</f>
        <v/>
      </c>
      <c r="F755" s="7">
        <f>IF($Z755="C",INDEX(Contracts!$Q$2:$Q$151,$AB755)&amp;"",IF($Z755="A",INDEX(Fixed_Assets!$L$2:$L$201,$AB755)&amp;"",IF($Z755="F",INDEX(Workforce!$K$2:$K$151,MATCH(INDEX(FTE_Allocation!$A$2:$A$201,$AB755),Workforce!$A$2:$A$151,0))&amp;"","")))</f>
        <v/>
      </c>
      <c r="G755" s="7">
        <f>IF($Z755="C",INDEX(Contracts!$F$2:$F$151,$AB755)&amp;" / "&amp;INDEX(Contracts!$G$2:$G$151,$AB755),IF($Z755="A",INDEX(Fixed_Assets!$E$2:$E$201,$AB755)&amp;"",IF($Z755="F","Personnel "&amp;INDEX(FTE_Allocation!$A$2:$A$201,$AB755)&amp;IF(INDEX(FTE_Allocation!$D$2:$D$201,$AB755)="PROJECT"," ("&amp;INDEX(FTE_Allocation!$E$2:$E$201,$AB755)&amp;")",""),"")))</f>
        <v/>
      </c>
      <c r="H755" s="7">
        <f>IF($Z755="C","CONTRACT",IF($Z755="A","ASSET",IF($Z755="F","WORKFORCE","")))</f>
        <v/>
      </c>
      <c r="I755" s="7">
        <f>IF($Z755="C",INDEX(Contracts!$L$2:$L$151,$AB755)&amp;"",IF($Z755="A",INDEX(Fixed_Assets!$I$2:$I$201,$AB755)&amp;"",IF($Z755="F",INDEX(Workforce!$G$2:$G$151,MATCH(INDEX(FTE_Allocation!$A$2:$A$201,$AB755),Workforce!$A$2:$A$151,0))&amp;"","")))</f>
        <v/>
      </c>
      <c r="J755" s="18">
        <f>IF($Z755="","",IF(AND(DATE($AD755,1,1)&gt;=$AE755,DATE($AD755,1,1)&lt;=$AF755),ROUND($AG755,2),0))</f>
        <v/>
      </c>
      <c r="K755" s="18">
        <f>IF($Z755="","",IF(AND(DATE($AD755,2,1)&gt;=$AE755,DATE($AD755,2,1)&lt;=$AF755),ROUND($AG755,2),0))</f>
        <v/>
      </c>
      <c r="L755" s="18">
        <f>IF($Z755="","",IF(AND(DATE($AD755,3,1)&gt;=$AE755,DATE($AD755,3,1)&lt;=$AF755),ROUND($AG755,2),0))</f>
        <v/>
      </c>
      <c r="M755" s="18">
        <f>IF($Z755="","",IF(AND(DATE($AD755,4,1)&gt;=$AE755,DATE($AD755,4,1)&lt;=$AF755),ROUND($AG755,2),0))</f>
        <v/>
      </c>
      <c r="N755" s="18">
        <f>IF($Z755="","",IF(AND(DATE($AD755,5,1)&gt;=$AE755,DATE($AD755,5,1)&lt;=$AF755),ROUND($AG755,2),0))</f>
        <v/>
      </c>
      <c r="O755" s="18">
        <f>IF($Z755="","",IF(AND(DATE($AD755,6,1)&gt;=$AE755,DATE($AD755,6,1)&lt;=$AF755),ROUND($AG755,2),0))</f>
        <v/>
      </c>
      <c r="P755" s="18">
        <f>IF($Z755="","",IF(AND(DATE($AD755,7,1)&gt;=$AE755,DATE($AD755,7,1)&lt;=$AF755),ROUND($AG755,2),0))</f>
        <v/>
      </c>
      <c r="Q755" s="18">
        <f>IF($Z755="","",IF(AND(DATE($AD755,8,1)&gt;=$AE755,DATE($AD755,8,1)&lt;=$AF755),ROUND($AG755,2),0))</f>
        <v/>
      </c>
      <c r="R755" s="18">
        <f>IF($Z755="","",IF(AND(DATE($AD755,9,1)&gt;=$AE755,DATE($AD755,9,1)&lt;=$AF755),ROUND($AG755,2),0))</f>
        <v/>
      </c>
      <c r="S755" s="18">
        <f>IF($Z755="","",IF(AND(DATE($AD755,10,1)&gt;=$AE755,DATE($AD755,10,1)&lt;=$AF755),ROUND($AG755,2),0))</f>
        <v/>
      </c>
      <c r="T755" s="18">
        <f>IF($Z755="","",IF(AND(DATE($AD755,11,1)&gt;=$AE755,DATE($AD755,11,1)&lt;=$AF755),ROUND($AG755,2),0))</f>
        <v/>
      </c>
      <c r="U755" s="18">
        <f>IF($Z755="","",IF(AND(DATE($AD755,12,1)&gt;=$AE755,DATE($AD755,12,1)&lt;=$AF755),ROUND($AG755,2),0))</f>
        <v/>
      </c>
      <c r="V755" s="7">
        <f>IF($Z755="C","Generated from "&amp;INDEX(Contracts!$A$2:$A$151,$AB755),IF($Z755="A","Generated from "&amp;INDEX(Fixed_Assets!$A$2:$A$201,$AB755),IF($Z755="F","Generated from "&amp;INDEX(FTE_Allocation!$A$2:$A$201,$AB755),"")))</f>
        <v/>
      </c>
      <c r="X755" s="19">
        <f>IF($Z755="","",SUM(J755:U755))</f>
        <v/>
      </c>
      <c r="Y755" s="20">
        <f>ROW()-1</f>
        <v/>
      </c>
      <c r="Z755" s="20">
        <f>IF($Y755&lt;=Settings!$B$4*3,"C",IF($Y755&lt;=(Settings!$B$4+Settings!$B$5)*3,"A",IF($Y755&lt;=(Settings!$B$4+Settings!$B$5+Settings!$B$6)*3,"F","")))</f>
        <v/>
      </c>
      <c r="AA755" s="20">
        <f>IF($Z755="C",$Y755,IF($Z755="A",$Y755-Settings!$B$4*3,IF($Z755="F",$Y755-(Settings!$B$4+Settings!$B$5)*3,"")))</f>
        <v/>
      </c>
      <c r="AB755" s="20">
        <f>IF($Z755="","",INT(($AA755-1)/3)+1)</f>
        <v/>
      </c>
      <c r="AC755" s="20">
        <f>IF($Z755="","",MOD($AA755-1,3)+1)</f>
        <v/>
      </c>
      <c r="AD755" s="20">
        <f>IF($Z755="","",Settings!$B$2+$AC755-1)</f>
        <v/>
      </c>
      <c r="AE755" s="21">
        <f>IF($Z755="C",DATE(YEAR(INDEX(Contracts!$J$2:$J$151,$AB755)),MONTH(INDEX(Contracts!$J$2:$J$151,$AB755)),1),IF($Z755="A",DATE(YEAR(INDEX(Fixed_Assets!$G$2:$G$201,$AB755)),MONTH(INDEX(Fixed_Assets!$G$2:$G$201,$AB755)),1),IF($Z755="F",DATE(YEAR(MAX(N(INDEX(Workforce!$I$2:$I$151,MATCH(INDEX(FTE_Allocation!$A$2:$A$201,$AB755),Workforce!$A$2:$A$151,0))),N(INDEX(FTE_Allocation!$I$2:$I$201,$AB755)))),MONTH(MAX(N(INDEX(Workforce!$I$2:$I$151,MATCH(INDEX(FTE_Allocation!$A$2:$A$201,$AB755),Workforce!$A$2:$A$151,0))),N(INDEX(FTE_Allocation!$I$2:$I$201,$AB755)))),1),"")))</f>
        <v/>
      </c>
      <c r="AF755" s="21">
        <f>IF($Z755="C",IF(INDEX(Contracts!$I$2:$I$151,$AB755)="PREPAID",EDATE(DATE(YEAR(INDEX(Contracts!$J$2:$J$151,$AB755)),MONTH(INDEX(Contracts!$J$2:$J$151,$AB755)),1),IF(INDEX(Contracts!$N$2:$N$151,$AB755)="",12,INDEX(Contracts!$N$2:$N$151,$AB755))-1),IF(INDEX(Contracts!$I$2:$I$151,$AB755)="MONTHLY",IF(INDEX(Contracts!$K$2:$K$151,$AB755)="",2958101,INDEX(Contracts!$K$2:$K$151,$AB755)),0)),IF($Z755="A",EDATE(DATE(YEAR(INDEX(Fixed_Assets!$G$2:$G$201,$AB755)),MONTH(INDEX(Fixed_Assets!$G$2:$G$201,$AB755)),1),INDEX(Fixed_Assets!$J$2:$J$201,$AB755)-1),IF($Z755="F",MIN(IF(INDEX(Workforce!$J$2:$J$151,MATCH(INDEX(FTE_Allocation!$A$2:$A$201,$AB755),Workforce!$A$2:$A$151,0))="",2958101,INDEX(Workforce!$J$2:$J$151,MATCH(INDEX(FTE_Allocation!$A$2:$A$201,$AB755),Workforce!$A$2:$A$151,0))),IF(INDEX(FTE_Allocation!$J$2:$J$201,$AB755)="",2958101,INDEX(FTE_Allocation!$J$2:$J$201,$AB755))),"")))</f>
        <v/>
      </c>
      <c r="AG755" s="19">
        <f>IF($Z755="C",IF(INDEX(Contracts!$I$2:$I$151,$AB755)="PREPAID",INDEX(Contracts!$M$2:$M$151,$AB755)/IF(INDEX(Contracts!$N$2:$N$151,$AB755)="",12,INDEX(Contracts!$N$2:$N$151,$AB755)),IF(INDEX(Contracts!$I$2:$I$151,$AB755)="MONTHLY",INDEX(Contracts!$M$2:$M$151,$AB755),0))*(1-N(INDEX(Contracts!$O$2:$O$151,$AB755))),IF($Z755="A",INDEX(Fixed_Assets!$H$2:$H$201,$AB755)/INDEX(Fixed_Assets!$J$2:$J$201,$AB755),IF($Z755="F",INDEX(Workforce!$F$2:$F$151,MATCH(INDEX(FTE_Allocation!$A$2:$A$201,$AB755),Workforce!$A$2:$A$151,0))*N(INDEX(FTE_Allocation!$F$2:$H$201,$AB755,$AC755)),"")))</f>
        <v/>
      </c>
    </row>
    <row r="756">
      <c r="A756" s="7">
        <f>IF($Z756="","",$AD756)</f>
        <v/>
      </c>
      <c r="B756" s="7">
        <f>IF($Z756="C",INDEX(Contracts!$D$2:$D$151,$AB756)&amp;"",IF($Z756="A",INDEX(Fixed_Assets!$C$2:$C$201,$AB756)&amp;"",IF($Z756="F",INDEX(Workforce!$B$2:$B$151,MATCH(INDEX(FTE_Allocation!$A$2:$A$201,$AB756),Workforce!$A$2:$A$151,0))&amp;"","")))</f>
        <v/>
      </c>
      <c r="C756" s="7">
        <f>IF($Z756="C",INDEX(Contracts!$E$2:$E$151,$AB756)&amp;"",IF($Z756="A",INDEX(Fixed_Assets!$D$2:$D$201,$AB756)&amp;"",IF($Z756="F",INDEX(FTE_Allocation!$C$2:$C$201,$AB756)&amp;"","")))</f>
        <v/>
      </c>
      <c r="D756" s="7">
        <f>IF($Z756="C",INDEX(Contracts!$B$2:$B$151,$AB756)&amp;"",IF($Z756="A",INDEX(Fixed_Assets!$B$2:$B$201,$AB756)&amp;"",IF($Z756="F",INDEX(FTE_Allocation!$B$2:$B$201,$AB756)&amp;"","")))</f>
        <v/>
      </c>
      <c r="E756" s="7">
        <f>IF($Z756="C",INDEX(Contracts!$P$2:$P$151,$AB756)&amp;"",IF($Z756="A",INDEX(Fixed_Assets!$K$2:$K$201,$AB756)&amp;"",IF($Z756="F",IF(INDEX(FTE_Allocation!$D$2:$D$201,$AB756)="PROJECT",IFERROR(INDEX(Projects!$D:$D,MATCH(INDEX(FTE_Allocation!$E$2:$E$201,$AB756),Projects!$A:$A,0))&amp;"","#PROJECT?"),INDEX(FTE_Allocation!$E$2:$E$201,$AB756)&amp;""),"")))</f>
        <v/>
      </c>
      <c r="F756" s="7">
        <f>IF($Z756="C",INDEX(Contracts!$Q$2:$Q$151,$AB756)&amp;"",IF($Z756="A",INDEX(Fixed_Assets!$L$2:$L$201,$AB756)&amp;"",IF($Z756="F",INDEX(Workforce!$K$2:$K$151,MATCH(INDEX(FTE_Allocation!$A$2:$A$201,$AB756),Workforce!$A$2:$A$151,0))&amp;"","")))</f>
        <v/>
      </c>
      <c r="G756" s="7">
        <f>IF($Z756="C",INDEX(Contracts!$F$2:$F$151,$AB756)&amp;" / "&amp;INDEX(Contracts!$G$2:$G$151,$AB756),IF($Z756="A",INDEX(Fixed_Assets!$E$2:$E$201,$AB756)&amp;"",IF($Z756="F","Personnel "&amp;INDEX(FTE_Allocation!$A$2:$A$201,$AB756)&amp;IF(INDEX(FTE_Allocation!$D$2:$D$201,$AB756)="PROJECT"," ("&amp;INDEX(FTE_Allocation!$E$2:$E$201,$AB756)&amp;")",""),"")))</f>
        <v/>
      </c>
      <c r="H756" s="7">
        <f>IF($Z756="C","CONTRACT",IF($Z756="A","ASSET",IF($Z756="F","WORKFORCE","")))</f>
        <v/>
      </c>
      <c r="I756" s="7">
        <f>IF($Z756="C",INDEX(Contracts!$L$2:$L$151,$AB756)&amp;"",IF($Z756="A",INDEX(Fixed_Assets!$I$2:$I$201,$AB756)&amp;"",IF($Z756="F",INDEX(Workforce!$G$2:$G$151,MATCH(INDEX(FTE_Allocation!$A$2:$A$201,$AB756),Workforce!$A$2:$A$151,0))&amp;"","")))</f>
        <v/>
      </c>
      <c r="J756" s="18">
        <f>IF($Z756="","",IF(AND(DATE($AD756,1,1)&gt;=$AE756,DATE($AD756,1,1)&lt;=$AF756),ROUND($AG756,2),0))</f>
        <v/>
      </c>
      <c r="K756" s="18">
        <f>IF($Z756="","",IF(AND(DATE($AD756,2,1)&gt;=$AE756,DATE($AD756,2,1)&lt;=$AF756),ROUND($AG756,2),0))</f>
        <v/>
      </c>
      <c r="L756" s="18">
        <f>IF($Z756="","",IF(AND(DATE($AD756,3,1)&gt;=$AE756,DATE($AD756,3,1)&lt;=$AF756),ROUND($AG756,2),0))</f>
        <v/>
      </c>
      <c r="M756" s="18">
        <f>IF($Z756="","",IF(AND(DATE($AD756,4,1)&gt;=$AE756,DATE($AD756,4,1)&lt;=$AF756),ROUND($AG756,2),0))</f>
        <v/>
      </c>
      <c r="N756" s="18">
        <f>IF($Z756="","",IF(AND(DATE($AD756,5,1)&gt;=$AE756,DATE($AD756,5,1)&lt;=$AF756),ROUND($AG756,2),0))</f>
        <v/>
      </c>
      <c r="O756" s="18">
        <f>IF($Z756="","",IF(AND(DATE($AD756,6,1)&gt;=$AE756,DATE($AD756,6,1)&lt;=$AF756),ROUND($AG756,2),0))</f>
        <v/>
      </c>
      <c r="P756" s="18">
        <f>IF($Z756="","",IF(AND(DATE($AD756,7,1)&gt;=$AE756,DATE($AD756,7,1)&lt;=$AF756),ROUND($AG756,2),0))</f>
        <v/>
      </c>
      <c r="Q756" s="18">
        <f>IF($Z756="","",IF(AND(DATE($AD756,8,1)&gt;=$AE756,DATE($AD756,8,1)&lt;=$AF756),ROUND($AG756,2),0))</f>
        <v/>
      </c>
      <c r="R756" s="18">
        <f>IF($Z756="","",IF(AND(DATE($AD756,9,1)&gt;=$AE756,DATE($AD756,9,1)&lt;=$AF756),ROUND($AG756,2),0))</f>
        <v/>
      </c>
      <c r="S756" s="18">
        <f>IF($Z756="","",IF(AND(DATE($AD756,10,1)&gt;=$AE756,DATE($AD756,10,1)&lt;=$AF756),ROUND($AG756,2),0))</f>
        <v/>
      </c>
      <c r="T756" s="18">
        <f>IF($Z756="","",IF(AND(DATE($AD756,11,1)&gt;=$AE756,DATE($AD756,11,1)&lt;=$AF756),ROUND($AG756,2),0))</f>
        <v/>
      </c>
      <c r="U756" s="18">
        <f>IF($Z756="","",IF(AND(DATE($AD756,12,1)&gt;=$AE756,DATE($AD756,12,1)&lt;=$AF756),ROUND($AG756,2),0))</f>
        <v/>
      </c>
      <c r="V756" s="7">
        <f>IF($Z756="C","Generated from "&amp;INDEX(Contracts!$A$2:$A$151,$AB756),IF($Z756="A","Generated from "&amp;INDEX(Fixed_Assets!$A$2:$A$201,$AB756),IF($Z756="F","Generated from "&amp;INDEX(FTE_Allocation!$A$2:$A$201,$AB756),"")))</f>
        <v/>
      </c>
      <c r="X756" s="19">
        <f>IF($Z756="","",SUM(J756:U756))</f>
        <v/>
      </c>
      <c r="Y756" s="20">
        <f>ROW()-1</f>
        <v/>
      </c>
      <c r="Z756" s="20">
        <f>IF($Y756&lt;=Settings!$B$4*3,"C",IF($Y756&lt;=(Settings!$B$4+Settings!$B$5)*3,"A",IF($Y756&lt;=(Settings!$B$4+Settings!$B$5+Settings!$B$6)*3,"F","")))</f>
        <v/>
      </c>
      <c r="AA756" s="20">
        <f>IF($Z756="C",$Y756,IF($Z756="A",$Y756-Settings!$B$4*3,IF($Z756="F",$Y756-(Settings!$B$4+Settings!$B$5)*3,"")))</f>
        <v/>
      </c>
      <c r="AB756" s="20">
        <f>IF($Z756="","",INT(($AA756-1)/3)+1)</f>
        <v/>
      </c>
      <c r="AC756" s="20">
        <f>IF($Z756="","",MOD($AA756-1,3)+1)</f>
        <v/>
      </c>
      <c r="AD756" s="20">
        <f>IF($Z756="","",Settings!$B$2+$AC756-1)</f>
        <v/>
      </c>
      <c r="AE756" s="21">
        <f>IF($Z756="C",DATE(YEAR(INDEX(Contracts!$J$2:$J$151,$AB756)),MONTH(INDEX(Contracts!$J$2:$J$151,$AB756)),1),IF($Z756="A",DATE(YEAR(INDEX(Fixed_Assets!$G$2:$G$201,$AB756)),MONTH(INDEX(Fixed_Assets!$G$2:$G$201,$AB756)),1),IF($Z756="F",DATE(YEAR(MAX(N(INDEX(Workforce!$I$2:$I$151,MATCH(INDEX(FTE_Allocation!$A$2:$A$201,$AB756),Workforce!$A$2:$A$151,0))),N(INDEX(FTE_Allocation!$I$2:$I$201,$AB756)))),MONTH(MAX(N(INDEX(Workforce!$I$2:$I$151,MATCH(INDEX(FTE_Allocation!$A$2:$A$201,$AB756),Workforce!$A$2:$A$151,0))),N(INDEX(FTE_Allocation!$I$2:$I$201,$AB756)))),1),"")))</f>
        <v/>
      </c>
      <c r="AF756" s="21">
        <f>IF($Z756="C",IF(INDEX(Contracts!$I$2:$I$151,$AB756)="PREPAID",EDATE(DATE(YEAR(INDEX(Contracts!$J$2:$J$151,$AB756)),MONTH(INDEX(Contracts!$J$2:$J$151,$AB756)),1),IF(INDEX(Contracts!$N$2:$N$151,$AB756)="",12,INDEX(Contracts!$N$2:$N$151,$AB756))-1),IF(INDEX(Contracts!$I$2:$I$151,$AB756)="MONTHLY",IF(INDEX(Contracts!$K$2:$K$151,$AB756)="",2958101,INDEX(Contracts!$K$2:$K$151,$AB756)),0)),IF($Z756="A",EDATE(DATE(YEAR(INDEX(Fixed_Assets!$G$2:$G$201,$AB756)),MONTH(INDEX(Fixed_Assets!$G$2:$G$201,$AB756)),1),INDEX(Fixed_Assets!$J$2:$J$201,$AB756)-1),IF($Z756="F",MIN(IF(INDEX(Workforce!$J$2:$J$151,MATCH(INDEX(FTE_Allocation!$A$2:$A$201,$AB756),Workforce!$A$2:$A$151,0))="",2958101,INDEX(Workforce!$J$2:$J$151,MATCH(INDEX(FTE_Allocation!$A$2:$A$201,$AB756),Workforce!$A$2:$A$151,0))),IF(INDEX(FTE_Allocation!$J$2:$J$201,$AB756)="",2958101,INDEX(FTE_Allocation!$J$2:$J$201,$AB756))),"")))</f>
        <v/>
      </c>
      <c r="AG756" s="19">
        <f>IF($Z756="C",IF(INDEX(Contracts!$I$2:$I$151,$AB756)="PREPAID",INDEX(Contracts!$M$2:$M$151,$AB756)/IF(INDEX(Contracts!$N$2:$N$151,$AB756)="",12,INDEX(Contracts!$N$2:$N$151,$AB756)),IF(INDEX(Contracts!$I$2:$I$151,$AB756)="MONTHLY",INDEX(Contracts!$M$2:$M$151,$AB756),0))*(1-N(INDEX(Contracts!$O$2:$O$151,$AB756))),IF($Z756="A",INDEX(Fixed_Assets!$H$2:$H$201,$AB756)/INDEX(Fixed_Assets!$J$2:$J$201,$AB756),IF($Z756="F",INDEX(Workforce!$F$2:$F$151,MATCH(INDEX(FTE_Allocation!$A$2:$A$201,$AB756),Workforce!$A$2:$A$151,0))*N(INDEX(FTE_Allocation!$F$2:$H$201,$AB756,$AC756)),"")))</f>
        <v/>
      </c>
    </row>
    <row r="757">
      <c r="A757" s="7">
        <f>IF($Z757="","",$AD757)</f>
        <v/>
      </c>
      <c r="B757" s="7">
        <f>IF($Z757="C",INDEX(Contracts!$D$2:$D$151,$AB757)&amp;"",IF($Z757="A",INDEX(Fixed_Assets!$C$2:$C$201,$AB757)&amp;"",IF($Z757="F",INDEX(Workforce!$B$2:$B$151,MATCH(INDEX(FTE_Allocation!$A$2:$A$201,$AB757),Workforce!$A$2:$A$151,0))&amp;"","")))</f>
        <v/>
      </c>
      <c r="C757" s="7">
        <f>IF($Z757="C",INDEX(Contracts!$E$2:$E$151,$AB757)&amp;"",IF($Z757="A",INDEX(Fixed_Assets!$D$2:$D$201,$AB757)&amp;"",IF($Z757="F",INDEX(FTE_Allocation!$C$2:$C$201,$AB757)&amp;"","")))</f>
        <v/>
      </c>
      <c r="D757" s="7">
        <f>IF($Z757="C",INDEX(Contracts!$B$2:$B$151,$AB757)&amp;"",IF($Z757="A",INDEX(Fixed_Assets!$B$2:$B$201,$AB757)&amp;"",IF($Z757="F",INDEX(FTE_Allocation!$B$2:$B$201,$AB757)&amp;"","")))</f>
        <v/>
      </c>
      <c r="E757" s="7">
        <f>IF($Z757="C",INDEX(Contracts!$P$2:$P$151,$AB757)&amp;"",IF($Z757="A",INDEX(Fixed_Assets!$K$2:$K$201,$AB757)&amp;"",IF($Z757="F",IF(INDEX(FTE_Allocation!$D$2:$D$201,$AB757)="PROJECT",IFERROR(INDEX(Projects!$D:$D,MATCH(INDEX(FTE_Allocation!$E$2:$E$201,$AB757),Projects!$A:$A,0))&amp;"","#PROJECT?"),INDEX(FTE_Allocation!$E$2:$E$201,$AB757)&amp;""),"")))</f>
        <v/>
      </c>
      <c r="F757" s="7">
        <f>IF($Z757="C",INDEX(Contracts!$Q$2:$Q$151,$AB757)&amp;"",IF($Z757="A",INDEX(Fixed_Assets!$L$2:$L$201,$AB757)&amp;"",IF($Z757="F",INDEX(Workforce!$K$2:$K$151,MATCH(INDEX(FTE_Allocation!$A$2:$A$201,$AB757),Workforce!$A$2:$A$151,0))&amp;"","")))</f>
        <v/>
      </c>
      <c r="G757" s="7">
        <f>IF($Z757="C",INDEX(Contracts!$F$2:$F$151,$AB757)&amp;" / "&amp;INDEX(Contracts!$G$2:$G$151,$AB757),IF($Z757="A",INDEX(Fixed_Assets!$E$2:$E$201,$AB757)&amp;"",IF($Z757="F","Personnel "&amp;INDEX(FTE_Allocation!$A$2:$A$201,$AB757)&amp;IF(INDEX(FTE_Allocation!$D$2:$D$201,$AB757)="PROJECT"," ("&amp;INDEX(FTE_Allocation!$E$2:$E$201,$AB757)&amp;")",""),"")))</f>
        <v/>
      </c>
      <c r="H757" s="7">
        <f>IF($Z757="C","CONTRACT",IF($Z757="A","ASSET",IF($Z757="F","WORKFORCE","")))</f>
        <v/>
      </c>
      <c r="I757" s="7">
        <f>IF($Z757="C",INDEX(Contracts!$L$2:$L$151,$AB757)&amp;"",IF($Z757="A",INDEX(Fixed_Assets!$I$2:$I$201,$AB757)&amp;"",IF($Z757="F",INDEX(Workforce!$G$2:$G$151,MATCH(INDEX(FTE_Allocation!$A$2:$A$201,$AB757),Workforce!$A$2:$A$151,0))&amp;"","")))</f>
        <v/>
      </c>
      <c r="J757" s="18">
        <f>IF($Z757="","",IF(AND(DATE($AD757,1,1)&gt;=$AE757,DATE($AD757,1,1)&lt;=$AF757),ROUND($AG757,2),0))</f>
        <v/>
      </c>
      <c r="K757" s="18">
        <f>IF($Z757="","",IF(AND(DATE($AD757,2,1)&gt;=$AE757,DATE($AD757,2,1)&lt;=$AF757),ROUND($AG757,2),0))</f>
        <v/>
      </c>
      <c r="L757" s="18">
        <f>IF($Z757="","",IF(AND(DATE($AD757,3,1)&gt;=$AE757,DATE($AD757,3,1)&lt;=$AF757),ROUND($AG757,2),0))</f>
        <v/>
      </c>
      <c r="M757" s="18">
        <f>IF($Z757="","",IF(AND(DATE($AD757,4,1)&gt;=$AE757,DATE($AD757,4,1)&lt;=$AF757),ROUND($AG757,2),0))</f>
        <v/>
      </c>
      <c r="N757" s="18">
        <f>IF($Z757="","",IF(AND(DATE($AD757,5,1)&gt;=$AE757,DATE($AD757,5,1)&lt;=$AF757),ROUND($AG757,2),0))</f>
        <v/>
      </c>
      <c r="O757" s="18">
        <f>IF($Z757="","",IF(AND(DATE($AD757,6,1)&gt;=$AE757,DATE($AD757,6,1)&lt;=$AF757),ROUND($AG757,2),0))</f>
        <v/>
      </c>
      <c r="P757" s="18">
        <f>IF($Z757="","",IF(AND(DATE($AD757,7,1)&gt;=$AE757,DATE($AD757,7,1)&lt;=$AF757),ROUND($AG757,2),0))</f>
        <v/>
      </c>
      <c r="Q757" s="18">
        <f>IF($Z757="","",IF(AND(DATE($AD757,8,1)&gt;=$AE757,DATE($AD757,8,1)&lt;=$AF757),ROUND($AG757,2),0))</f>
        <v/>
      </c>
      <c r="R757" s="18">
        <f>IF($Z757="","",IF(AND(DATE($AD757,9,1)&gt;=$AE757,DATE($AD757,9,1)&lt;=$AF757),ROUND($AG757,2),0))</f>
        <v/>
      </c>
      <c r="S757" s="18">
        <f>IF($Z757="","",IF(AND(DATE($AD757,10,1)&gt;=$AE757,DATE($AD757,10,1)&lt;=$AF757),ROUND($AG757,2),0))</f>
        <v/>
      </c>
      <c r="T757" s="18">
        <f>IF($Z757="","",IF(AND(DATE($AD757,11,1)&gt;=$AE757,DATE($AD757,11,1)&lt;=$AF757),ROUND($AG757,2),0))</f>
        <v/>
      </c>
      <c r="U757" s="18">
        <f>IF($Z757="","",IF(AND(DATE($AD757,12,1)&gt;=$AE757,DATE($AD757,12,1)&lt;=$AF757),ROUND($AG757,2),0))</f>
        <v/>
      </c>
      <c r="V757" s="7">
        <f>IF($Z757="C","Generated from "&amp;INDEX(Contracts!$A$2:$A$151,$AB757),IF($Z757="A","Generated from "&amp;INDEX(Fixed_Assets!$A$2:$A$201,$AB757),IF($Z757="F","Generated from "&amp;INDEX(FTE_Allocation!$A$2:$A$201,$AB757),"")))</f>
        <v/>
      </c>
      <c r="X757" s="19">
        <f>IF($Z757="","",SUM(J757:U757))</f>
        <v/>
      </c>
      <c r="Y757" s="20">
        <f>ROW()-1</f>
        <v/>
      </c>
      <c r="Z757" s="20">
        <f>IF($Y757&lt;=Settings!$B$4*3,"C",IF($Y757&lt;=(Settings!$B$4+Settings!$B$5)*3,"A",IF($Y757&lt;=(Settings!$B$4+Settings!$B$5+Settings!$B$6)*3,"F","")))</f>
        <v/>
      </c>
      <c r="AA757" s="20">
        <f>IF($Z757="C",$Y757,IF($Z757="A",$Y757-Settings!$B$4*3,IF($Z757="F",$Y757-(Settings!$B$4+Settings!$B$5)*3,"")))</f>
        <v/>
      </c>
      <c r="AB757" s="20">
        <f>IF($Z757="","",INT(($AA757-1)/3)+1)</f>
        <v/>
      </c>
      <c r="AC757" s="20">
        <f>IF($Z757="","",MOD($AA757-1,3)+1)</f>
        <v/>
      </c>
      <c r="AD757" s="20">
        <f>IF($Z757="","",Settings!$B$2+$AC757-1)</f>
        <v/>
      </c>
      <c r="AE757" s="21">
        <f>IF($Z757="C",DATE(YEAR(INDEX(Contracts!$J$2:$J$151,$AB757)),MONTH(INDEX(Contracts!$J$2:$J$151,$AB757)),1),IF($Z757="A",DATE(YEAR(INDEX(Fixed_Assets!$G$2:$G$201,$AB757)),MONTH(INDEX(Fixed_Assets!$G$2:$G$201,$AB757)),1),IF($Z757="F",DATE(YEAR(MAX(N(INDEX(Workforce!$I$2:$I$151,MATCH(INDEX(FTE_Allocation!$A$2:$A$201,$AB757),Workforce!$A$2:$A$151,0))),N(INDEX(FTE_Allocation!$I$2:$I$201,$AB757)))),MONTH(MAX(N(INDEX(Workforce!$I$2:$I$151,MATCH(INDEX(FTE_Allocation!$A$2:$A$201,$AB757),Workforce!$A$2:$A$151,0))),N(INDEX(FTE_Allocation!$I$2:$I$201,$AB757)))),1),"")))</f>
        <v/>
      </c>
      <c r="AF757" s="21">
        <f>IF($Z757="C",IF(INDEX(Contracts!$I$2:$I$151,$AB757)="PREPAID",EDATE(DATE(YEAR(INDEX(Contracts!$J$2:$J$151,$AB757)),MONTH(INDEX(Contracts!$J$2:$J$151,$AB757)),1),IF(INDEX(Contracts!$N$2:$N$151,$AB757)="",12,INDEX(Contracts!$N$2:$N$151,$AB757))-1),IF(INDEX(Contracts!$I$2:$I$151,$AB757)="MONTHLY",IF(INDEX(Contracts!$K$2:$K$151,$AB757)="",2958101,INDEX(Contracts!$K$2:$K$151,$AB757)),0)),IF($Z757="A",EDATE(DATE(YEAR(INDEX(Fixed_Assets!$G$2:$G$201,$AB757)),MONTH(INDEX(Fixed_Assets!$G$2:$G$201,$AB757)),1),INDEX(Fixed_Assets!$J$2:$J$201,$AB757)-1),IF($Z757="F",MIN(IF(INDEX(Workforce!$J$2:$J$151,MATCH(INDEX(FTE_Allocation!$A$2:$A$201,$AB757),Workforce!$A$2:$A$151,0))="",2958101,INDEX(Workforce!$J$2:$J$151,MATCH(INDEX(FTE_Allocation!$A$2:$A$201,$AB757),Workforce!$A$2:$A$151,0))),IF(INDEX(FTE_Allocation!$J$2:$J$201,$AB757)="",2958101,INDEX(FTE_Allocation!$J$2:$J$201,$AB757))),"")))</f>
        <v/>
      </c>
      <c r="AG757" s="19">
        <f>IF($Z757="C",IF(INDEX(Contracts!$I$2:$I$151,$AB757)="PREPAID",INDEX(Contracts!$M$2:$M$151,$AB757)/IF(INDEX(Contracts!$N$2:$N$151,$AB757)="",12,INDEX(Contracts!$N$2:$N$151,$AB757)),IF(INDEX(Contracts!$I$2:$I$151,$AB757)="MONTHLY",INDEX(Contracts!$M$2:$M$151,$AB757),0))*(1-N(INDEX(Contracts!$O$2:$O$151,$AB757))),IF($Z757="A",INDEX(Fixed_Assets!$H$2:$H$201,$AB757)/INDEX(Fixed_Assets!$J$2:$J$201,$AB757),IF($Z757="F",INDEX(Workforce!$F$2:$F$151,MATCH(INDEX(FTE_Allocation!$A$2:$A$201,$AB757),Workforce!$A$2:$A$151,0))*N(INDEX(FTE_Allocation!$F$2:$H$201,$AB757,$AC757)),"")))</f>
        <v/>
      </c>
    </row>
    <row r="758">
      <c r="A758" s="7">
        <f>IF($Z758="","",$AD758)</f>
        <v/>
      </c>
      <c r="B758" s="7">
        <f>IF($Z758="C",INDEX(Contracts!$D$2:$D$151,$AB758)&amp;"",IF($Z758="A",INDEX(Fixed_Assets!$C$2:$C$201,$AB758)&amp;"",IF($Z758="F",INDEX(Workforce!$B$2:$B$151,MATCH(INDEX(FTE_Allocation!$A$2:$A$201,$AB758),Workforce!$A$2:$A$151,0))&amp;"","")))</f>
        <v/>
      </c>
      <c r="C758" s="7">
        <f>IF($Z758="C",INDEX(Contracts!$E$2:$E$151,$AB758)&amp;"",IF($Z758="A",INDEX(Fixed_Assets!$D$2:$D$201,$AB758)&amp;"",IF($Z758="F",INDEX(FTE_Allocation!$C$2:$C$201,$AB758)&amp;"","")))</f>
        <v/>
      </c>
      <c r="D758" s="7">
        <f>IF($Z758="C",INDEX(Contracts!$B$2:$B$151,$AB758)&amp;"",IF($Z758="A",INDEX(Fixed_Assets!$B$2:$B$201,$AB758)&amp;"",IF($Z758="F",INDEX(FTE_Allocation!$B$2:$B$201,$AB758)&amp;"","")))</f>
        <v/>
      </c>
      <c r="E758" s="7">
        <f>IF($Z758="C",INDEX(Contracts!$P$2:$P$151,$AB758)&amp;"",IF($Z758="A",INDEX(Fixed_Assets!$K$2:$K$201,$AB758)&amp;"",IF($Z758="F",IF(INDEX(FTE_Allocation!$D$2:$D$201,$AB758)="PROJECT",IFERROR(INDEX(Projects!$D:$D,MATCH(INDEX(FTE_Allocation!$E$2:$E$201,$AB758),Projects!$A:$A,0))&amp;"","#PROJECT?"),INDEX(FTE_Allocation!$E$2:$E$201,$AB758)&amp;""),"")))</f>
        <v/>
      </c>
      <c r="F758" s="7">
        <f>IF($Z758="C",INDEX(Contracts!$Q$2:$Q$151,$AB758)&amp;"",IF($Z758="A",INDEX(Fixed_Assets!$L$2:$L$201,$AB758)&amp;"",IF($Z758="F",INDEX(Workforce!$K$2:$K$151,MATCH(INDEX(FTE_Allocation!$A$2:$A$201,$AB758),Workforce!$A$2:$A$151,0))&amp;"","")))</f>
        <v/>
      </c>
      <c r="G758" s="7">
        <f>IF($Z758="C",INDEX(Contracts!$F$2:$F$151,$AB758)&amp;" / "&amp;INDEX(Contracts!$G$2:$G$151,$AB758),IF($Z758="A",INDEX(Fixed_Assets!$E$2:$E$201,$AB758)&amp;"",IF($Z758="F","Personnel "&amp;INDEX(FTE_Allocation!$A$2:$A$201,$AB758)&amp;IF(INDEX(FTE_Allocation!$D$2:$D$201,$AB758)="PROJECT"," ("&amp;INDEX(FTE_Allocation!$E$2:$E$201,$AB758)&amp;")",""),"")))</f>
        <v/>
      </c>
      <c r="H758" s="7">
        <f>IF($Z758="C","CONTRACT",IF($Z758="A","ASSET",IF($Z758="F","WORKFORCE","")))</f>
        <v/>
      </c>
      <c r="I758" s="7">
        <f>IF($Z758="C",INDEX(Contracts!$L$2:$L$151,$AB758)&amp;"",IF($Z758="A",INDEX(Fixed_Assets!$I$2:$I$201,$AB758)&amp;"",IF($Z758="F",INDEX(Workforce!$G$2:$G$151,MATCH(INDEX(FTE_Allocation!$A$2:$A$201,$AB758),Workforce!$A$2:$A$151,0))&amp;"","")))</f>
        <v/>
      </c>
      <c r="J758" s="18">
        <f>IF($Z758="","",IF(AND(DATE($AD758,1,1)&gt;=$AE758,DATE($AD758,1,1)&lt;=$AF758),ROUND($AG758,2),0))</f>
        <v/>
      </c>
      <c r="K758" s="18">
        <f>IF($Z758="","",IF(AND(DATE($AD758,2,1)&gt;=$AE758,DATE($AD758,2,1)&lt;=$AF758),ROUND($AG758,2),0))</f>
        <v/>
      </c>
      <c r="L758" s="18">
        <f>IF($Z758="","",IF(AND(DATE($AD758,3,1)&gt;=$AE758,DATE($AD758,3,1)&lt;=$AF758),ROUND($AG758,2),0))</f>
        <v/>
      </c>
      <c r="M758" s="18">
        <f>IF($Z758="","",IF(AND(DATE($AD758,4,1)&gt;=$AE758,DATE($AD758,4,1)&lt;=$AF758),ROUND($AG758,2),0))</f>
        <v/>
      </c>
      <c r="N758" s="18">
        <f>IF($Z758="","",IF(AND(DATE($AD758,5,1)&gt;=$AE758,DATE($AD758,5,1)&lt;=$AF758),ROUND($AG758,2),0))</f>
        <v/>
      </c>
      <c r="O758" s="18">
        <f>IF($Z758="","",IF(AND(DATE($AD758,6,1)&gt;=$AE758,DATE($AD758,6,1)&lt;=$AF758),ROUND($AG758,2),0))</f>
        <v/>
      </c>
      <c r="P758" s="18">
        <f>IF($Z758="","",IF(AND(DATE($AD758,7,1)&gt;=$AE758,DATE($AD758,7,1)&lt;=$AF758),ROUND($AG758,2),0))</f>
        <v/>
      </c>
      <c r="Q758" s="18">
        <f>IF($Z758="","",IF(AND(DATE($AD758,8,1)&gt;=$AE758,DATE($AD758,8,1)&lt;=$AF758),ROUND($AG758,2),0))</f>
        <v/>
      </c>
      <c r="R758" s="18">
        <f>IF($Z758="","",IF(AND(DATE($AD758,9,1)&gt;=$AE758,DATE($AD758,9,1)&lt;=$AF758),ROUND($AG758,2),0))</f>
        <v/>
      </c>
      <c r="S758" s="18">
        <f>IF($Z758="","",IF(AND(DATE($AD758,10,1)&gt;=$AE758,DATE($AD758,10,1)&lt;=$AF758),ROUND($AG758,2),0))</f>
        <v/>
      </c>
      <c r="T758" s="18">
        <f>IF($Z758="","",IF(AND(DATE($AD758,11,1)&gt;=$AE758,DATE($AD758,11,1)&lt;=$AF758),ROUND($AG758,2),0))</f>
        <v/>
      </c>
      <c r="U758" s="18">
        <f>IF($Z758="","",IF(AND(DATE($AD758,12,1)&gt;=$AE758,DATE($AD758,12,1)&lt;=$AF758),ROUND($AG758,2),0))</f>
        <v/>
      </c>
      <c r="V758" s="7">
        <f>IF($Z758="C","Generated from "&amp;INDEX(Contracts!$A$2:$A$151,$AB758),IF($Z758="A","Generated from "&amp;INDEX(Fixed_Assets!$A$2:$A$201,$AB758),IF($Z758="F","Generated from "&amp;INDEX(FTE_Allocation!$A$2:$A$201,$AB758),"")))</f>
        <v/>
      </c>
      <c r="X758" s="19">
        <f>IF($Z758="","",SUM(J758:U758))</f>
        <v/>
      </c>
      <c r="Y758" s="20">
        <f>ROW()-1</f>
        <v/>
      </c>
      <c r="Z758" s="20">
        <f>IF($Y758&lt;=Settings!$B$4*3,"C",IF($Y758&lt;=(Settings!$B$4+Settings!$B$5)*3,"A",IF($Y758&lt;=(Settings!$B$4+Settings!$B$5+Settings!$B$6)*3,"F","")))</f>
        <v/>
      </c>
      <c r="AA758" s="20">
        <f>IF($Z758="C",$Y758,IF($Z758="A",$Y758-Settings!$B$4*3,IF($Z758="F",$Y758-(Settings!$B$4+Settings!$B$5)*3,"")))</f>
        <v/>
      </c>
      <c r="AB758" s="20">
        <f>IF($Z758="","",INT(($AA758-1)/3)+1)</f>
        <v/>
      </c>
      <c r="AC758" s="20">
        <f>IF($Z758="","",MOD($AA758-1,3)+1)</f>
        <v/>
      </c>
      <c r="AD758" s="20">
        <f>IF($Z758="","",Settings!$B$2+$AC758-1)</f>
        <v/>
      </c>
      <c r="AE758" s="21">
        <f>IF($Z758="C",DATE(YEAR(INDEX(Contracts!$J$2:$J$151,$AB758)),MONTH(INDEX(Contracts!$J$2:$J$151,$AB758)),1),IF($Z758="A",DATE(YEAR(INDEX(Fixed_Assets!$G$2:$G$201,$AB758)),MONTH(INDEX(Fixed_Assets!$G$2:$G$201,$AB758)),1),IF($Z758="F",DATE(YEAR(MAX(N(INDEX(Workforce!$I$2:$I$151,MATCH(INDEX(FTE_Allocation!$A$2:$A$201,$AB758),Workforce!$A$2:$A$151,0))),N(INDEX(FTE_Allocation!$I$2:$I$201,$AB758)))),MONTH(MAX(N(INDEX(Workforce!$I$2:$I$151,MATCH(INDEX(FTE_Allocation!$A$2:$A$201,$AB758),Workforce!$A$2:$A$151,0))),N(INDEX(FTE_Allocation!$I$2:$I$201,$AB758)))),1),"")))</f>
        <v/>
      </c>
      <c r="AF758" s="21">
        <f>IF($Z758="C",IF(INDEX(Contracts!$I$2:$I$151,$AB758)="PREPAID",EDATE(DATE(YEAR(INDEX(Contracts!$J$2:$J$151,$AB758)),MONTH(INDEX(Contracts!$J$2:$J$151,$AB758)),1),IF(INDEX(Contracts!$N$2:$N$151,$AB758)="",12,INDEX(Contracts!$N$2:$N$151,$AB758))-1),IF(INDEX(Contracts!$I$2:$I$151,$AB758)="MONTHLY",IF(INDEX(Contracts!$K$2:$K$151,$AB758)="",2958101,INDEX(Contracts!$K$2:$K$151,$AB758)),0)),IF($Z758="A",EDATE(DATE(YEAR(INDEX(Fixed_Assets!$G$2:$G$201,$AB758)),MONTH(INDEX(Fixed_Assets!$G$2:$G$201,$AB758)),1),INDEX(Fixed_Assets!$J$2:$J$201,$AB758)-1),IF($Z758="F",MIN(IF(INDEX(Workforce!$J$2:$J$151,MATCH(INDEX(FTE_Allocation!$A$2:$A$201,$AB758),Workforce!$A$2:$A$151,0))="",2958101,INDEX(Workforce!$J$2:$J$151,MATCH(INDEX(FTE_Allocation!$A$2:$A$201,$AB758),Workforce!$A$2:$A$151,0))),IF(INDEX(FTE_Allocation!$J$2:$J$201,$AB758)="",2958101,INDEX(FTE_Allocation!$J$2:$J$201,$AB758))),"")))</f>
        <v/>
      </c>
      <c r="AG758" s="19">
        <f>IF($Z758="C",IF(INDEX(Contracts!$I$2:$I$151,$AB758)="PREPAID",INDEX(Contracts!$M$2:$M$151,$AB758)/IF(INDEX(Contracts!$N$2:$N$151,$AB758)="",12,INDEX(Contracts!$N$2:$N$151,$AB758)),IF(INDEX(Contracts!$I$2:$I$151,$AB758)="MONTHLY",INDEX(Contracts!$M$2:$M$151,$AB758),0))*(1-N(INDEX(Contracts!$O$2:$O$151,$AB758))),IF($Z758="A",INDEX(Fixed_Assets!$H$2:$H$201,$AB758)/INDEX(Fixed_Assets!$J$2:$J$201,$AB758),IF($Z758="F",INDEX(Workforce!$F$2:$F$151,MATCH(INDEX(FTE_Allocation!$A$2:$A$201,$AB758),Workforce!$A$2:$A$151,0))*N(INDEX(FTE_Allocation!$F$2:$H$201,$AB758,$AC758)),"")))</f>
        <v/>
      </c>
    </row>
    <row r="759">
      <c r="A759" s="7">
        <f>IF($Z759="","",$AD759)</f>
        <v/>
      </c>
      <c r="B759" s="7">
        <f>IF($Z759="C",INDEX(Contracts!$D$2:$D$151,$AB759)&amp;"",IF($Z759="A",INDEX(Fixed_Assets!$C$2:$C$201,$AB759)&amp;"",IF($Z759="F",INDEX(Workforce!$B$2:$B$151,MATCH(INDEX(FTE_Allocation!$A$2:$A$201,$AB759),Workforce!$A$2:$A$151,0))&amp;"","")))</f>
        <v/>
      </c>
      <c r="C759" s="7">
        <f>IF($Z759="C",INDEX(Contracts!$E$2:$E$151,$AB759)&amp;"",IF($Z759="A",INDEX(Fixed_Assets!$D$2:$D$201,$AB759)&amp;"",IF($Z759="F",INDEX(FTE_Allocation!$C$2:$C$201,$AB759)&amp;"","")))</f>
        <v/>
      </c>
      <c r="D759" s="7">
        <f>IF($Z759="C",INDEX(Contracts!$B$2:$B$151,$AB759)&amp;"",IF($Z759="A",INDEX(Fixed_Assets!$B$2:$B$201,$AB759)&amp;"",IF($Z759="F",INDEX(FTE_Allocation!$B$2:$B$201,$AB759)&amp;"","")))</f>
        <v/>
      </c>
      <c r="E759" s="7">
        <f>IF($Z759="C",INDEX(Contracts!$P$2:$P$151,$AB759)&amp;"",IF($Z759="A",INDEX(Fixed_Assets!$K$2:$K$201,$AB759)&amp;"",IF($Z759="F",IF(INDEX(FTE_Allocation!$D$2:$D$201,$AB759)="PROJECT",IFERROR(INDEX(Projects!$D:$D,MATCH(INDEX(FTE_Allocation!$E$2:$E$201,$AB759),Projects!$A:$A,0))&amp;"","#PROJECT?"),INDEX(FTE_Allocation!$E$2:$E$201,$AB759)&amp;""),"")))</f>
        <v/>
      </c>
      <c r="F759" s="7">
        <f>IF($Z759="C",INDEX(Contracts!$Q$2:$Q$151,$AB759)&amp;"",IF($Z759="A",INDEX(Fixed_Assets!$L$2:$L$201,$AB759)&amp;"",IF($Z759="F",INDEX(Workforce!$K$2:$K$151,MATCH(INDEX(FTE_Allocation!$A$2:$A$201,$AB759),Workforce!$A$2:$A$151,0))&amp;"","")))</f>
        <v/>
      </c>
      <c r="G759" s="7">
        <f>IF($Z759="C",INDEX(Contracts!$F$2:$F$151,$AB759)&amp;" / "&amp;INDEX(Contracts!$G$2:$G$151,$AB759),IF($Z759="A",INDEX(Fixed_Assets!$E$2:$E$201,$AB759)&amp;"",IF($Z759="F","Personnel "&amp;INDEX(FTE_Allocation!$A$2:$A$201,$AB759)&amp;IF(INDEX(FTE_Allocation!$D$2:$D$201,$AB759)="PROJECT"," ("&amp;INDEX(FTE_Allocation!$E$2:$E$201,$AB759)&amp;")",""),"")))</f>
        <v/>
      </c>
      <c r="H759" s="7">
        <f>IF($Z759="C","CONTRACT",IF($Z759="A","ASSET",IF($Z759="F","WORKFORCE","")))</f>
        <v/>
      </c>
      <c r="I759" s="7">
        <f>IF($Z759="C",INDEX(Contracts!$L$2:$L$151,$AB759)&amp;"",IF($Z759="A",INDEX(Fixed_Assets!$I$2:$I$201,$AB759)&amp;"",IF($Z759="F",INDEX(Workforce!$G$2:$G$151,MATCH(INDEX(FTE_Allocation!$A$2:$A$201,$AB759),Workforce!$A$2:$A$151,0))&amp;"","")))</f>
        <v/>
      </c>
      <c r="J759" s="18">
        <f>IF($Z759="","",IF(AND(DATE($AD759,1,1)&gt;=$AE759,DATE($AD759,1,1)&lt;=$AF759),ROUND($AG759,2),0))</f>
        <v/>
      </c>
      <c r="K759" s="18">
        <f>IF($Z759="","",IF(AND(DATE($AD759,2,1)&gt;=$AE759,DATE($AD759,2,1)&lt;=$AF759),ROUND($AG759,2),0))</f>
        <v/>
      </c>
      <c r="L759" s="18">
        <f>IF($Z759="","",IF(AND(DATE($AD759,3,1)&gt;=$AE759,DATE($AD759,3,1)&lt;=$AF759),ROUND($AG759,2),0))</f>
        <v/>
      </c>
      <c r="M759" s="18">
        <f>IF($Z759="","",IF(AND(DATE($AD759,4,1)&gt;=$AE759,DATE($AD759,4,1)&lt;=$AF759),ROUND($AG759,2),0))</f>
        <v/>
      </c>
      <c r="N759" s="18">
        <f>IF($Z759="","",IF(AND(DATE($AD759,5,1)&gt;=$AE759,DATE($AD759,5,1)&lt;=$AF759),ROUND($AG759,2),0))</f>
        <v/>
      </c>
      <c r="O759" s="18">
        <f>IF($Z759="","",IF(AND(DATE($AD759,6,1)&gt;=$AE759,DATE($AD759,6,1)&lt;=$AF759),ROUND($AG759,2),0))</f>
        <v/>
      </c>
      <c r="P759" s="18">
        <f>IF($Z759="","",IF(AND(DATE($AD759,7,1)&gt;=$AE759,DATE($AD759,7,1)&lt;=$AF759),ROUND($AG759,2),0))</f>
        <v/>
      </c>
      <c r="Q759" s="18">
        <f>IF($Z759="","",IF(AND(DATE($AD759,8,1)&gt;=$AE759,DATE($AD759,8,1)&lt;=$AF759),ROUND($AG759,2),0))</f>
        <v/>
      </c>
      <c r="R759" s="18">
        <f>IF($Z759="","",IF(AND(DATE($AD759,9,1)&gt;=$AE759,DATE($AD759,9,1)&lt;=$AF759),ROUND($AG759,2),0))</f>
        <v/>
      </c>
      <c r="S759" s="18">
        <f>IF($Z759="","",IF(AND(DATE($AD759,10,1)&gt;=$AE759,DATE($AD759,10,1)&lt;=$AF759),ROUND($AG759,2),0))</f>
        <v/>
      </c>
      <c r="T759" s="18">
        <f>IF($Z759="","",IF(AND(DATE($AD759,11,1)&gt;=$AE759,DATE($AD759,11,1)&lt;=$AF759),ROUND($AG759,2),0))</f>
        <v/>
      </c>
      <c r="U759" s="18">
        <f>IF($Z759="","",IF(AND(DATE($AD759,12,1)&gt;=$AE759,DATE($AD759,12,1)&lt;=$AF759),ROUND($AG759,2),0))</f>
        <v/>
      </c>
      <c r="V759" s="7">
        <f>IF($Z759="C","Generated from "&amp;INDEX(Contracts!$A$2:$A$151,$AB759),IF($Z759="A","Generated from "&amp;INDEX(Fixed_Assets!$A$2:$A$201,$AB759),IF($Z759="F","Generated from "&amp;INDEX(FTE_Allocation!$A$2:$A$201,$AB759),"")))</f>
        <v/>
      </c>
      <c r="X759" s="19">
        <f>IF($Z759="","",SUM(J759:U759))</f>
        <v/>
      </c>
      <c r="Y759" s="20">
        <f>ROW()-1</f>
        <v/>
      </c>
      <c r="Z759" s="20">
        <f>IF($Y759&lt;=Settings!$B$4*3,"C",IF($Y759&lt;=(Settings!$B$4+Settings!$B$5)*3,"A",IF($Y759&lt;=(Settings!$B$4+Settings!$B$5+Settings!$B$6)*3,"F","")))</f>
        <v/>
      </c>
      <c r="AA759" s="20">
        <f>IF($Z759="C",$Y759,IF($Z759="A",$Y759-Settings!$B$4*3,IF($Z759="F",$Y759-(Settings!$B$4+Settings!$B$5)*3,"")))</f>
        <v/>
      </c>
      <c r="AB759" s="20">
        <f>IF($Z759="","",INT(($AA759-1)/3)+1)</f>
        <v/>
      </c>
      <c r="AC759" s="20">
        <f>IF($Z759="","",MOD($AA759-1,3)+1)</f>
        <v/>
      </c>
      <c r="AD759" s="20">
        <f>IF($Z759="","",Settings!$B$2+$AC759-1)</f>
        <v/>
      </c>
      <c r="AE759" s="21">
        <f>IF($Z759="C",DATE(YEAR(INDEX(Contracts!$J$2:$J$151,$AB759)),MONTH(INDEX(Contracts!$J$2:$J$151,$AB759)),1),IF($Z759="A",DATE(YEAR(INDEX(Fixed_Assets!$G$2:$G$201,$AB759)),MONTH(INDEX(Fixed_Assets!$G$2:$G$201,$AB759)),1),IF($Z759="F",DATE(YEAR(MAX(N(INDEX(Workforce!$I$2:$I$151,MATCH(INDEX(FTE_Allocation!$A$2:$A$201,$AB759),Workforce!$A$2:$A$151,0))),N(INDEX(FTE_Allocation!$I$2:$I$201,$AB759)))),MONTH(MAX(N(INDEX(Workforce!$I$2:$I$151,MATCH(INDEX(FTE_Allocation!$A$2:$A$201,$AB759),Workforce!$A$2:$A$151,0))),N(INDEX(FTE_Allocation!$I$2:$I$201,$AB759)))),1),"")))</f>
        <v/>
      </c>
      <c r="AF759" s="21">
        <f>IF($Z759="C",IF(INDEX(Contracts!$I$2:$I$151,$AB759)="PREPAID",EDATE(DATE(YEAR(INDEX(Contracts!$J$2:$J$151,$AB759)),MONTH(INDEX(Contracts!$J$2:$J$151,$AB759)),1),IF(INDEX(Contracts!$N$2:$N$151,$AB759)="",12,INDEX(Contracts!$N$2:$N$151,$AB759))-1),IF(INDEX(Contracts!$I$2:$I$151,$AB759)="MONTHLY",IF(INDEX(Contracts!$K$2:$K$151,$AB759)="",2958101,INDEX(Contracts!$K$2:$K$151,$AB759)),0)),IF($Z759="A",EDATE(DATE(YEAR(INDEX(Fixed_Assets!$G$2:$G$201,$AB759)),MONTH(INDEX(Fixed_Assets!$G$2:$G$201,$AB759)),1),INDEX(Fixed_Assets!$J$2:$J$201,$AB759)-1),IF($Z759="F",MIN(IF(INDEX(Workforce!$J$2:$J$151,MATCH(INDEX(FTE_Allocation!$A$2:$A$201,$AB759),Workforce!$A$2:$A$151,0))="",2958101,INDEX(Workforce!$J$2:$J$151,MATCH(INDEX(FTE_Allocation!$A$2:$A$201,$AB759),Workforce!$A$2:$A$151,0))),IF(INDEX(FTE_Allocation!$J$2:$J$201,$AB759)="",2958101,INDEX(FTE_Allocation!$J$2:$J$201,$AB759))),"")))</f>
        <v/>
      </c>
      <c r="AG759" s="19">
        <f>IF($Z759="C",IF(INDEX(Contracts!$I$2:$I$151,$AB759)="PREPAID",INDEX(Contracts!$M$2:$M$151,$AB759)/IF(INDEX(Contracts!$N$2:$N$151,$AB759)="",12,INDEX(Contracts!$N$2:$N$151,$AB759)),IF(INDEX(Contracts!$I$2:$I$151,$AB759)="MONTHLY",INDEX(Contracts!$M$2:$M$151,$AB759),0))*(1-N(INDEX(Contracts!$O$2:$O$151,$AB759))),IF($Z759="A",INDEX(Fixed_Assets!$H$2:$H$201,$AB759)/INDEX(Fixed_Assets!$J$2:$J$201,$AB759),IF($Z759="F",INDEX(Workforce!$F$2:$F$151,MATCH(INDEX(FTE_Allocation!$A$2:$A$201,$AB759),Workforce!$A$2:$A$151,0))*N(INDEX(FTE_Allocation!$F$2:$H$201,$AB759,$AC759)),"")))</f>
        <v/>
      </c>
    </row>
    <row r="760">
      <c r="A760" s="7">
        <f>IF($Z760="","",$AD760)</f>
        <v/>
      </c>
      <c r="B760" s="7">
        <f>IF($Z760="C",INDEX(Contracts!$D$2:$D$151,$AB760)&amp;"",IF($Z760="A",INDEX(Fixed_Assets!$C$2:$C$201,$AB760)&amp;"",IF($Z760="F",INDEX(Workforce!$B$2:$B$151,MATCH(INDEX(FTE_Allocation!$A$2:$A$201,$AB760),Workforce!$A$2:$A$151,0))&amp;"","")))</f>
        <v/>
      </c>
      <c r="C760" s="7">
        <f>IF($Z760="C",INDEX(Contracts!$E$2:$E$151,$AB760)&amp;"",IF($Z760="A",INDEX(Fixed_Assets!$D$2:$D$201,$AB760)&amp;"",IF($Z760="F",INDEX(FTE_Allocation!$C$2:$C$201,$AB760)&amp;"","")))</f>
        <v/>
      </c>
      <c r="D760" s="7">
        <f>IF($Z760="C",INDEX(Contracts!$B$2:$B$151,$AB760)&amp;"",IF($Z760="A",INDEX(Fixed_Assets!$B$2:$B$201,$AB760)&amp;"",IF($Z760="F",INDEX(FTE_Allocation!$B$2:$B$201,$AB760)&amp;"","")))</f>
        <v/>
      </c>
      <c r="E760" s="7">
        <f>IF($Z760="C",INDEX(Contracts!$P$2:$P$151,$AB760)&amp;"",IF($Z760="A",INDEX(Fixed_Assets!$K$2:$K$201,$AB760)&amp;"",IF($Z760="F",IF(INDEX(FTE_Allocation!$D$2:$D$201,$AB760)="PROJECT",IFERROR(INDEX(Projects!$D:$D,MATCH(INDEX(FTE_Allocation!$E$2:$E$201,$AB760),Projects!$A:$A,0))&amp;"","#PROJECT?"),INDEX(FTE_Allocation!$E$2:$E$201,$AB760)&amp;""),"")))</f>
        <v/>
      </c>
      <c r="F760" s="7">
        <f>IF($Z760="C",INDEX(Contracts!$Q$2:$Q$151,$AB760)&amp;"",IF($Z760="A",INDEX(Fixed_Assets!$L$2:$L$201,$AB760)&amp;"",IF($Z760="F",INDEX(Workforce!$K$2:$K$151,MATCH(INDEX(FTE_Allocation!$A$2:$A$201,$AB760),Workforce!$A$2:$A$151,0))&amp;"","")))</f>
        <v/>
      </c>
      <c r="G760" s="7">
        <f>IF($Z760="C",INDEX(Contracts!$F$2:$F$151,$AB760)&amp;" / "&amp;INDEX(Contracts!$G$2:$G$151,$AB760),IF($Z760="A",INDEX(Fixed_Assets!$E$2:$E$201,$AB760)&amp;"",IF($Z760="F","Personnel "&amp;INDEX(FTE_Allocation!$A$2:$A$201,$AB760)&amp;IF(INDEX(FTE_Allocation!$D$2:$D$201,$AB760)="PROJECT"," ("&amp;INDEX(FTE_Allocation!$E$2:$E$201,$AB760)&amp;")",""),"")))</f>
        <v/>
      </c>
      <c r="H760" s="7">
        <f>IF($Z760="C","CONTRACT",IF($Z760="A","ASSET",IF($Z760="F","WORKFORCE","")))</f>
        <v/>
      </c>
      <c r="I760" s="7">
        <f>IF($Z760="C",INDEX(Contracts!$L$2:$L$151,$AB760)&amp;"",IF($Z760="A",INDEX(Fixed_Assets!$I$2:$I$201,$AB760)&amp;"",IF($Z760="F",INDEX(Workforce!$G$2:$G$151,MATCH(INDEX(FTE_Allocation!$A$2:$A$201,$AB760),Workforce!$A$2:$A$151,0))&amp;"","")))</f>
        <v/>
      </c>
      <c r="J760" s="18">
        <f>IF($Z760="","",IF(AND(DATE($AD760,1,1)&gt;=$AE760,DATE($AD760,1,1)&lt;=$AF760),ROUND($AG760,2),0))</f>
        <v/>
      </c>
      <c r="K760" s="18">
        <f>IF($Z760="","",IF(AND(DATE($AD760,2,1)&gt;=$AE760,DATE($AD760,2,1)&lt;=$AF760),ROUND($AG760,2),0))</f>
        <v/>
      </c>
      <c r="L760" s="18">
        <f>IF($Z760="","",IF(AND(DATE($AD760,3,1)&gt;=$AE760,DATE($AD760,3,1)&lt;=$AF760),ROUND($AG760,2),0))</f>
        <v/>
      </c>
      <c r="M760" s="18">
        <f>IF($Z760="","",IF(AND(DATE($AD760,4,1)&gt;=$AE760,DATE($AD760,4,1)&lt;=$AF760),ROUND($AG760,2),0))</f>
        <v/>
      </c>
      <c r="N760" s="18">
        <f>IF($Z760="","",IF(AND(DATE($AD760,5,1)&gt;=$AE760,DATE($AD760,5,1)&lt;=$AF760),ROUND($AG760,2),0))</f>
        <v/>
      </c>
      <c r="O760" s="18">
        <f>IF($Z760="","",IF(AND(DATE($AD760,6,1)&gt;=$AE760,DATE($AD760,6,1)&lt;=$AF760),ROUND($AG760,2),0))</f>
        <v/>
      </c>
      <c r="P760" s="18">
        <f>IF($Z760="","",IF(AND(DATE($AD760,7,1)&gt;=$AE760,DATE($AD760,7,1)&lt;=$AF760),ROUND($AG760,2),0))</f>
        <v/>
      </c>
      <c r="Q760" s="18">
        <f>IF($Z760="","",IF(AND(DATE($AD760,8,1)&gt;=$AE760,DATE($AD760,8,1)&lt;=$AF760),ROUND($AG760,2),0))</f>
        <v/>
      </c>
      <c r="R760" s="18">
        <f>IF($Z760="","",IF(AND(DATE($AD760,9,1)&gt;=$AE760,DATE($AD760,9,1)&lt;=$AF760),ROUND($AG760,2),0))</f>
        <v/>
      </c>
      <c r="S760" s="18">
        <f>IF($Z760="","",IF(AND(DATE($AD760,10,1)&gt;=$AE760,DATE($AD760,10,1)&lt;=$AF760),ROUND($AG760,2),0))</f>
        <v/>
      </c>
      <c r="T760" s="18">
        <f>IF($Z760="","",IF(AND(DATE($AD760,11,1)&gt;=$AE760,DATE($AD760,11,1)&lt;=$AF760),ROUND($AG760,2),0))</f>
        <v/>
      </c>
      <c r="U760" s="18">
        <f>IF($Z760="","",IF(AND(DATE($AD760,12,1)&gt;=$AE760,DATE($AD760,12,1)&lt;=$AF760),ROUND($AG760,2),0))</f>
        <v/>
      </c>
      <c r="V760" s="7">
        <f>IF($Z760="C","Generated from "&amp;INDEX(Contracts!$A$2:$A$151,$AB760),IF($Z760="A","Generated from "&amp;INDEX(Fixed_Assets!$A$2:$A$201,$AB760),IF($Z760="F","Generated from "&amp;INDEX(FTE_Allocation!$A$2:$A$201,$AB760),"")))</f>
        <v/>
      </c>
      <c r="X760" s="19">
        <f>IF($Z760="","",SUM(J760:U760))</f>
        <v/>
      </c>
      <c r="Y760" s="20">
        <f>ROW()-1</f>
        <v/>
      </c>
      <c r="Z760" s="20">
        <f>IF($Y760&lt;=Settings!$B$4*3,"C",IF($Y760&lt;=(Settings!$B$4+Settings!$B$5)*3,"A",IF($Y760&lt;=(Settings!$B$4+Settings!$B$5+Settings!$B$6)*3,"F","")))</f>
        <v/>
      </c>
      <c r="AA760" s="20">
        <f>IF($Z760="C",$Y760,IF($Z760="A",$Y760-Settings!$B$4*3,IF($Z760="F",$Y760-(Settings!$B$4+Settings!$B$5)*3,"")))</f>
        <v/>
      </c>
      <c r="AB760" s="20">
        <f>IF($Z760="","",INT(($AA760-1)/3)+1)</f>
        <v/>
      </c>
      <c r="AC760" s="20">
        <f>IF($Z760="","",MOD($AA760-1,3)+1)</f>
        <v/>
      </c>
      <c r="AD760" s="20">
        <f>IF($Z760="","",Settings!$B$2+$AC760-1)</f>
        <v/>
      </c>
      <c r="AE760" s="21">
        <f>IF($Z760="C",DATE(YEAR(INDEX(Contracts!$J$2:$J$151,$AB760)),MONTH(INDEX(Contracts!$J$2:$J$151,$AB760)),1),IF($Z760="A",DATE(YEAR(INDEX(Fixed_Assets!$G$2:$G$201,$AB760)),MONTH(INDEX(Fixed_Assets!$G$2:$G$201,$AB760)),1),IF($Z760="F",DATE(YEAR(MAX(N(INDEX(Workforce!$I$2:$I$151,MATCH(INDEX(FTE_Allocation!$A$2:$A$201,$AB760),Workforce!$A$2:$A$151,0))),N(INDEX(FTE_Allocation!$I$2:$I$201,$AB760)))),MONTH(MAX(N(INDEX(Workforce!$I$2:$I$151,MATCH(INDEX(FTE_Allocation!$A$2:$A$201,$AB760),Workforce!$A$2:$A$151,0))),N(INDEX(FTE_Allocation!$I$2:$I$201,$AB760)))),1),"")))</f>
        <v/>
      </c>
      <c r="AF760" s="21">
        <f>IF($Z760="C",IF(INDEX(Contracts!$I$2:$I$151,$AB760)="PREPAID",EDATE(DATE(YEAR(INDEX(Contracts!$J$2:$J$151,$AB760)),MONTH(INDEX(Contracts!$J$2:$J$151,$AB760)),1),IF(INDEX(Contracts!$N$2:$N$151,$AB760)="",12,INDEX(Contracts!$N$2:$N$151,$AB760))-1),IF(INDEX(Contracts!$I$2:$I$151,$AB760)="MONTHLY",IF(INDEX(Contracts!$K$2:$K$151,$AB760)="",2958101,INDEX(Contracts!$K$2:$K$151,$AB760)),0)),IF($Z760="A",EDATE(DATE(YEAR(INDEX(Fixed_Assets!$G$2:$G$201,$AB760)),MONTH(INDEX(Fixed_Assets!$G$2:$G$201,$AB760)),1),INDEX(Fixed_Assets!$J$2:$J$201,$AB760)-1),IF($Z760="F",MIN(IF(INDEX(Workforce!$J$2:$J$151,MATCH(INDEX(FTE_Allocation!$A$2:$A$201,$AB760),Workforce!$A$2:$A$151,0))="",2958101,INDEX(Workforce!$J$2:$J$151,MATCH(INDEX(FTE_Allocation!$A$2:$A$201,$AB760),Workforce!$A$2:$A$151,0))),IF(INDEX(FTE_Allocation!$J$2:$J$201,$AB760)="",2958101,INDEX(FTE_Allocation!$J$2:$J$201,$AB760))),"")))</f>
        <v/>
      </c>
      <c r="AG760" s="19">
        <f>IF($Z760="C",IF(INDEX(Contracts!$I$2:$I$151,$AB760)="PREPAID",INDEX(Contracts!$M$2:$M$151,$AB760)/IF(INDEX(Contracts!$N$2:$N$151,$AB760)="",12,INDEX(Contracts!$N$2:$N$151,$AB760)),IF(INDEX(Contracts!$I$2:$I$151,$AB760)="MONTHLY",INDEX(Contracts!$M$2:$M$151,$AB760),0))*(1-N(INDEX(Contracts!$O$2:$O$151,$AB760))),IF($Z760="A",INDEX(Fixed_Assets!$H$2:$H$201,$AB760)/INDEX(Fixed_Assets!$J$2:$J$201,$AB760),IF($Z760="F",INDEX(Workforce!$F$2:$F$151,MATCH(INDEX(FTE_Allocation!$A$2:$A$201,$AB760),Workforce!$A$2:$A$151,0))*N(INDEX(FTE_Allocation!$F$2:$H$201,$AB760,$AC760)),"")))</f>
        <v/>
      </c>
    </row>
    <row r="761">
      <c r="A761" s="7">
        <f>IF($Z761="","",$AD761)</f>
        <v/>
      </c>
      <c r="B761" s="7">
        <f>IF($Z761="C",INDEX(Contracts!$D$2:$D$151,$AB761)&amp;"",IF($Z761="A",INDEX(Fixed_Assets!$C$2:$C$201,$AB761)&amp;"",IF($Z761="F",INDEX(Workforce!$B$2:$B$151,MATCH(INDEX(FTE_Allocation!$A$2:$A$201,$AB761),Workforce!$A$2:$A$151,0))&amp;"","")))</f>
        <v/>
      </c>
      <c r="C761" s="7">
        <f>IF($Z761="C",INDEX(Contracts!$E$2:$E$151,$AB761)&amp;"",IF($Z761="A",INDEX(Fixed_Assets!$D$2:$D$201,$AB761)&amp;"",IF($Z761="F",INDEX(FTE_Allocation!$C$2:$C$201,$AB761)&amp;"","")))</f>
        <v/>
      </c>
      <c r="D761" s="7">
        <f>IF($Z761="C",INDEX(Contracts!$B$2:$B$151,$AB761)&amp;"",IF($Z761="A",INDEX(Fixed_Assets!$B$2:$B$201,$AB761)&amp;"",IF($Z761="F",INDEX(FTE_Allocation!$B$2:$B$201,$AB761)&amp;"","")))</f>
        <v/>
      </c>
      <c r="E761" s="7">
        <f>IF($Z761="C",INDEX(Contracts!$P$2:$P$151,$AB761)&amp;"",IF($Z761="A",INDEX(Fixed_Assets!$K$2:$K$201,$AB761)&amp;"",IF($Z761="F",IF(INDEX(FTE_Allocation!$D$2:$D$201,$AB761)="PROJECT",IFERROR(INDEX(Projects!$D:$D,MATCH(INDEX(FTE_Allocation!$E$2:$E$201,$AB761),Projects!$A:$A,0))&amp;"","#PROJECT?"),INDEX(FTE_Allocation!$E$2:$E$201,$AB761)&amp;""),"")))</f>
        <v/>
      </c>
      <c r="F761" s="7">
        <f>IF($Z761="C",INDEX(Contracts!$Q$2:$Q$151,$AB761)&amp;"",IF($Z761="A",INDEX(Fixed_Assets!$L$2:$L$201,$AB761)&amp;"",IF($Z761="F",INDEX(Workforce!$K$2:$K$151,MATCH(INDEX(FTE_Allocation!$A$2:$A$201,$AB761),Workforce!$A$2:$A$151,0))&amp;"","")))</f>
        <v/>
      </c>
      <c r="G761" s="7">
        <f>IF($Z761="C",INDEX(Contracts!$F$2:$F$151,$AB761)&amp;" / "&amp;INDEX(Contracts!$G$2:$G$151,$AB761),IF($Z761="A",INDEX(Fixed_Assets!$E$2:$E$201,$AB761)&amp;"",IF($Z761="F","Personnel "&amp;INDEX(FTE_Allocation!$A$2:$A$201,$AB761)&amp;IF(INDEX(FTE_Allocation!$D$2:$D$201,$AB761)="PROJECT"," ("&amp;INDEX(FTE_Allocation!$E$2:$E$201,$AB761)&amp;")",""),"")))</f>
        <v/>
      </c>
      <c r="H761" s="7">
        <f>IF($Z761="C","CONTRACT",IF($Z761="A","ASSET",IF($Z761="F","WORKFORCE","")))</f>
        <v/>
      </c>
      <c r="I761" s="7">
        <f>IF($Z761="C",INDEX(Contracts!$L$2:$L$151,$AB761)&amp;"",IF($Z761="A",INDEX(Fixed_Assets!$I$2:$I$201,$AB761)&amp;"",IF($Z761="F",INDEX(Workforce!$G$2:$G$151,MATCH(INDEX(FTE_Allocation!$A$2:$A$201,$AB761),Workforce!$A$2:$A$151,0))&amp;"","")))</f>
        <v/>
      </c>
      <c r="J761" s="18">
        <f>IF($Z761="","",IF(AND(DATE($AD761,1,1)&gt;=$AE761,DATE($AD761,1,1)&lt;=$AF761),ROUND($AG761,2),0))</f>
        <v/>
      </c>
      <c r="K761" s="18">
        <f>IF($Z761="","",IF(AND(DATE($AD761,2,1)&gt;=$AE761,DATE($AD761,2,1)&lt;=$AF761),ROUND($AG761,2),0))</f>
        <v/>
      </c>
      <c r="L761" s="18">
        <f>IF($Z761="","",IF(AND(DATE($AD761,3,1)&gt;=$AE761,DATE($AD761,3,1)&lt;=$AF761),ROUND($AG761,2),0))</f>
        <v/>
      </c>
      <c r="M761" s="18">
        <f>IF($Z761="","",IF(AND(DATE($AD761,4,1)&gt;=$AE761,DATE($AD761,4,1)&lt;=$AF761),ROUND($AG761,2),0))</f>
        <v/>
      </c>
      <c r="N761" s="18">
        <f>IF($Z761="","",IF(AND(DATE($AD761,5,1)&gt;=$AE761,DATE($AD761,5,1)&lt;=$AF761),ROUND($AG761,2),0))</f>
        <v/>
      </c>
      <c r="O761" s="18">
        <f>IF($Z761="","",IF(AND(DATE($AD761,6,1)&gt;=$AE761,DATE($AD761,6,1)&lt;=$AF761),ROUND($AG761,2),0))</f>
        <v/>
      </c>
      <c r="P761" s="18">
        <f>IF($Z761="","",IF(AND(DATE($AD761,7,1)&gt;=$AE761,DATE($AD761,7,1)&lt;=$AF761),ROUND($AG761,2),0))</f>
        <v/>
      </c>
      <c r="Q761" s="18">
        <f>IF($Z761="","",IF(AND(DATE($AD761,8,1)&gt;=$AE761,DATE($AD761,8,1)&lt;=$AF761),ROUND($AG761,2),0))</f>
        <v/>
      </c>
      <c r="R761" s="18">
        <f>IF($Z761="","",IF(AND(DATE($AD761,9,1)&gt;=$AE761,DATE($AD761,9,1)&lt;=$AF761),ROUND($AG761,2),0))</f>
        <v/>
      </c>
      <c r="S761" s="18">
        <f>IF($Z761="","",IF(AND(DATE($AD761,10,1)&gt;=$AE761,DATE($AD761,10,1)&lt;=$AF761),ROUND($AG761,2),0))</f>
        <v/>
      </c>
      <c r="T761" s="18">
        <f>IF($Z761="","",IF(AND(DATE($AD761,11,1)&gt;=$AE761,DATE($AD761,11,1)&lt;=$AF761),ROUND($AG761,2),0))</f>
        <v/>
      </c>
      <c r="U761" s="18">
        <f>IF($Z761="","",IF(AND(DATE($AD761,12,1)&gt;=$AE761,DATE($AD761,12,1)&lt;=$AF761),ROUND($AG761,2),0))</f>
        <v/>
      </c>
      <c r="V761" s="7">
        <f>IF($Z761="C","Generated from "&amp;INDEX(Contracts!$A$2:$A$151,$AB761),IF($Z761="A","Generated from "&amp;INDEX(Fixed_Assets!$A$2:$A$201,$AB761),IF($Z761="F","Generated from "&amp;INDEX(FTE_Allocation!$A$2:$A$201,$AB761),"")))</f>
        <v/>
      </c>
      <c r="X761" s="19">
        <f>IF($Z761="","",SUM(J761:U761))</f>
        <v/>
      </c>
      <c r="Y761" s="20">
        <f>ROW()-1</f>
        <v/>
      </c>
      <c r="Z761" s="20">
        <f>IF($Y761&lt;=Settings!$B$4*3,"C",IF($Y761&lt;=(Settings!$B$4+Settings!$B$5)*3,"A",IF($Y761&lt;=(Settings!$B$4+Settings!$B$5+Settings!$B$6)*3,"F","")))</f>
        <v/>
      </c>
      <c r="AA761" s="20">
        <f>IF($Z761="C",$Y761,IF($Z761="A",$Y761-Settings!$B$4*3,IF($Z761="F",$Y761-(Settings!$B$4+Settings!$B$5)*3,"")))</f>
        <v/>
      </c>
      <c r="AB761" s="20">
        <f>IF($Z761="","",INT(($AA761-1)/3)+1)</f>
        <v/>
      </c>
      <c r="AC761" s="20">
        <f>IF($Z761="","",MOD($AA761-1,3)+1)</f>
        <v/>
      </c>
      <c r="AD761" s="20">
        <f>IF($Z761="","",Settings!$B$2+$AC761-1)</f>
        <v/>
      </c>
      <c r="AE761" s="21">
        <f>IF($Z761="C",DATE(YEAR(INDEX(Contracts!$J$2:$J$151,$AB761)),MONTH(INDEX(Contracts!$J$2:$J$151,$AB761)),1),IF($Z761="A",DATE(YEAR(INDEX(Fixed_Assets!$G$2:$G$201,$AB761)),MONTH(INDEX(Fixed_Assets!$G$2:$G$201,$AB761)),1),IF($Z761="F",DATE(YEAR(MAX(N(INDEX(Workforce!$I$2:$I$151,MATCH(INDEX(FTE_Allocation!$A$2:$A$201,$AB761),Workforce!$A$2:$A$151,0))),N(INDEX(FTE_Allocation!$I$2:$I$201,$AB761)))),MONTH(MAX(N(INDEX(Workforce!$I$2:$I$151,MATCH(INDEX(FTE_Allocation!$A$2:$A$201,$AB761),Workforce!$A$2:$A$151,0))),N(INDEX(FTE_Allocation!$I$2:$I$201,$AB761)))),1),"")))</f>
        <v/>
      </c>
      <c r="AF761" s="21">
        <f>IF($Z761="C",IF(INDEX(Contracts!$I$2:$I$151,$AB761)="PREPAID",EDATE(DATE(YEAR(INDEX(Contracts!$J$2:$J$151,$AB761)),MONTH(INDEX(Contracts!$J$2:$J$151,$AB761)),1),IF(INDEX(Contracts!$N$2:$N$151,$AB761)="",12,INDEX(Contracts!$N$2:$N$151,$AB761))-1),IF(INDEX(Contracts!$I$2:$I$151,$AB761)="MONTHLY",IF(INDEX(Contracts!$K$2:$K$151,$AB761)="",2958101,INDEX(Contracts!$K$2:$K$151,$AB761)),0)),IF($Z761="A",EDATE(DATE(YEAR(INDEX(Fixed_Assets!$G$2:$G$201,$AB761)),MONTH(INDEX(Fixed_Assets!$G$2:$G$201,$AB761)),1),INDEX(Fixed_Assets!$J$2:$J$201,$AB761)-1),IF($Z761="F",MIN(IF(INDEX(Workforce!$J$2:$J$151,MATCH(INDEX(FTE_Allocation!$A$2:$A$201,$AB761),Workforce!$A$2:$A$151,0))="",2958101,INDEX(Workforce!$J$2:$J$151,MATCH(INDEX(FTE_Allocation!$A$2:$A$201,$AB761),Workforce!$A$2:$A$151,0))),IF(INDEX(FTE_Allocation!$J$2:$J$201,$AB761)="",2958101,INDEX(FTE_Allocation!$J$2:$J$201,$AB761))),"")))</f>
        <v/>
      </c>
      <c r="AG761" s="19">
        <f>IF($Z761="C",IF(INDEX(Contracts!$I$2:$I$151,$AB761)="PREPAID",INDEX(Contracts!$M$2:$M$151,$AB761)/IF(INDEX(Contracts!$N$2:$N$151,$AB761)="",12,INDEX(Contracts!$N$2:$N$151,$AB761)),IF(INDEX(Contracts!$I$2:$I$151,$AB761)="MONTHLY",INDEX(Contracts!$M$2:$M$151,$AB761),0))*(1-N(INDEX(Contracts!$O$2:$O$151,$AB761))),IF($Z761="A",INDEX(Fixed_Assets!$H$2:$H$201,$AB761)/INDEX(Fixed_Assets!$J$2:$J$201,$AB761),IF($Z761="F",INDEX(Workforce!$F$2:$F$151,MATCH(INDEX(FTE_Allocation!$A$2:$A$201,$AB761),Workforce!$A$2:$A$151,0))*N(INDEX(FTE_Allocation!$F$2:$H$201,$AB761,$AC761)),"")))</f>
        <v/>
      </c>
    </row>
    <row r="762">
      <c r="A762" s="7">
        <f>IF($Z762="","",$AD762)</f>
        <v/>
      </c>
      <c r="B762" s="7">
        <f>IF($Z762="C",INDEX(Contracts!$D$2:$D$151,$AB762)&amp;"",IF($Z762="A",INDEX(Fixed_Assets!$C$2:$C$201,$AB762)&amp;"",IF($Z762="F",INDEX(Workforce!$B$2:$B$151,MATCH(INDEX(FTE_Allocation!$A$2:$A$201,$AB762),Workforce!$A$2:$A$151,0))&amp;"","")))</f>
        <v/>
      </c>
      <c r="C762" s="7">
        <f>IF($Z762="C",INDEX(Contracts!$E$2:$E$151,$AB762)&amp;"",IF($Z762="A",INDEX(Fixed_Assets!$D$2:$D$201,$AB762)&amp;"",IF($Z762="F",INDEX(FTE_Allocation!$C$2:$C$201,$AB762)&amp;"","")))</f>
        <v/>
      </c>
      <c r="D762" s="7">
        <f>IF($Z762="C",INDEX(Contracts!$B$2:$B$151,$AB762)&amp;"",IF($Z762="A",INDEX(Fixed_Assets!$B$2:$B$201,$AB762)&amp;"",IF($Z762="F",INDEX(FTE_Allocation!$B$2:$B$201,$AB762)&amp;"","")))</f>
        <v/>
      </c>
      <c r="E762" s="7">
        <f>IF($Z762="C",INDEX(Contracts!$P$2:$P$151,$AB762)&amp;"",IF($Z762="A",INDEX(Fixed_Assets!$K$2:$K$201,$AB762)&amp;"",IF($Z762="F",IF(INDEX(FTE_Allocation!$D$2:$D$201,$AB762)="PROJECT",IFERROR(INDEX(Projects!$D:$D,MATCH(INDEX(FTE_Allocation!$E$2:$E$201,$AB762),Projects!$A:$A,0))&amp;"","#PROJECT?"),INDEX(FTE_Allocation!$E$2:$E$201,$AB762)&amp;""),"")))</f>
        <v/>
      </c>
      <c r="F762" s="7">
        <f>IF($Z762="C",INDEX(Contracts!$Q$2:$Q$151,$AB762)&amp;"",IF($Z762="A",INDEX(Fixed_Assets!$L$2:$L$201,$AB762)&amp;"",IF($Z762="F",INDEX(Workforce!$K$2:$K$151,MATCH(INDEX(FTE_Allocation!$A$2:$A$201,$AB762),Workforce!$A$2:$A$151,0))&amp;"","")))</f>
        <v/>
      </c>
      <c r="G762" s="7">
        <f>IF($Z762="C",INDEX(Contracts!$F$2:$F$151,$AB762)&amp;" / "&amp;INDEX(Contracts!$G$2:$G$151,$AB762),IF($Z762="A",INDEX(Fixed_Assets!$E$2:$E$201,$AB762)&amp;"",IF($Z762="F","Personnel "&amp;INDEX(FTE_Allocation!$A$2:$A$201,$AB762)&amp;IF(INDEX(FTE_Allocation!$D$2:$D$201,$AB762)="PROJECT"," ("&amp;INDEX(FTE_Allocation!$E$2:$E$201,$AB762)&amp;")",""),"")))</f>
        <v/>
      </c>
      <c r="H762" s="7">
        <f>IF($Z762="C","CONTRACT",IF($Z762="A","ASSET",IF($Z762="F","WORKFORCE","")))</f>
        <v/>
      </c>
      <c r="I762" s="7">
        <f>IF($Z762="C",INDEX(Contracts!$L$2:$L$151,$AB762)&amp;"",IF($Z762="A",INDEX(Fixed_Assets!$I$2:$I$201,$AB762)&amp;"",IF($Z762="F",INDEX(Workforce!$G$2:$G$151,MATCH(INDEX(FTE_Allocation!$A$2:$A$201,$AB762),Workforce!$A$2:$A$151,0))&amp;"","")))</f>
        <v/>
      </c>
      <c r="J762" s="18">
        <f>IF($Z762="","",IF(AND(DATE($AD762,1,1)&gt;=$AE762,DATE($AD762,1,1)&lt;=$AF762),ROUND($AG762,2),0))</f>
        <v/>
      </c>
      <c r="K762" s="18">
        <f>IF($Z762="","",IF(AND(DATE($AD762,2,1)&gt;=$AE762,DATE($AD762,2,1)&lt;=$AF762),ROUND($AG762,2),0))</f>
        <v/>
      </c>
      <c r="L762" s="18">
        <f>IF($Z762="","",IF(AND(DATE($AD762,3,1)&gt;=$AE762,DATE($AD762,3,1)&lt;=$AF762),ROUND($AG762,2),0))</f>
        <v/>
      </c>
      <c r="M762" s="18">
        <f>IF($Z762="","",IF(AND(DATE($AD762,4,1)&gt;=$AE762,DATE($AD762,4,1)&lt;=$AF762),ROUND($AG762,2),0))</f>
        <v/>
      </c>
      <c r="N762" s="18">
        <f>IF($Z762="","",IF(AND(DATE($AD762,5,1)&gt;=$AE762,DATE($AD762,5,1)&lt;=$AF762),ROUND($AG762,2),0))</f>
        <v/>
      </c>
      <c r="O762" s="18">
        <f>IF($Z762="","",IF(AND(DATE($AD762,6,1)&gt;=$AE762,DATE($AD762,6,1)&lt;=$AF762),ROUND($AG762,2),0))</f>
        <v/>
      </c>
      <c r="P762" s="18">
        <f>IF($Z762="","",IF(AND(DATE($AD762,7,1)&gt;=$AE762,DATE($AD762,7,1)&lt;=$AF762),ROUND($AG762,2),0))</f>
        <v/>
      </c>
      <c r="Q762" s="18">
        <f>IF($Z762="","",IF(AND(DATE($AD762,8,1)&gt;=$AE762,DATE($AD762,8,1)&lt;=$AF762),ROUND($AG762,2),0))</f>
        <v/>
      </c>
      <c r="R762" s="18">
        <f>IF($Z762="","",IF(AND(DATE($AD762,9,1)&gt;=$AE762,DATE($AD762,9,1)&lt;=$AF762),ROUND($AG762,2),0))</f>
        <v/>
      </c>
      <c r="S762" s="18">
        <f>IF($Z762="","",IF(AND(DATE($AD762,10,1)&gt;=$AE762,DATE($AD762,10,1)&lt;=$AF762),ROUND($AG762,2),0))</f>
        <v/>
      </c>
      <c r="T762" s="18">
        <f>IF($Z762="","",IF(AND(DATE($AD762,11,1)&gt;=$AE762,DATE($AD762,11,1)&lt;=$AF762),ROUND($AG762,2),0))</f>
        <v/>
      </c>
      <c r="U762" s="18">
        <f>IF($Z762="","",IF(AND(DATE($AD762,12,1)&gt;=$AE762,DATE($AD762,12,1)&lt;=$AF762),ROUND($AG762,2),0))</f>
        <v/>
      </c>
      <c r="V762" s="7">
        <f>IF($Z762="C","Generated from "&amp;INDEX(Contracts!$A$2:$A$151,$AB762),IF($Z762="A","Generated from "&amp;INDEX(Fixed_Assets!$A$2:$A$201,$AB762),IF($Z762="F","Generated from "&amp;INDEX(FTE_Allocation!$A$2:$A$201,$AB762),"")))</f>
        <v/>
      </c>
      <c r="X762" s="19">
        <f>IF($Z762="","",SUM(J762:U762))</f>
        <v/>
      </c>
      <c r="Y762" s="20">
        <f>ROW()-1</f>
        <v/>
      </c>
      <c r="Z762" s="20">
        <f>IF($Y762&lt;=Settings!$B$4*3,"C",IF($Y762&lt;=(Settings!$B$4+Settings!$B$5)*3,"A",IF($Y762&lt;=(Settings!$B$4+Settings!$B$5+Settings!$B$6)*3,"F","")))</f>
        <v/>
      </c>
      <c r="AA762" s="20">
        <f>IF($Z762="C",$Y762,IF($Z762="A",$Y762-Settings!$B$4*3,IF($Z762="F",$Y762-(Settings!$B$4+Settings!$B$5)*3,"")))</f>
        <v/>
      </c>
      <c r="AB762" s="20">
        <f>IF($Z762="","",INT(($AA762-1)/3)+1)</f>
        <v/>
      </c>
      <c r="AC762" s="20">
        <f>IF($Z762="","",MOD($AA762-1,3)+1)</f>
        <v/>
      </c>
      <c r="AD762" s="20">
        <f>IF($Z762="","",Settings!$B$2+$AC762-1)</f>
        <v/>
      </c>
      <c r="AE762" s="21">
        <f>IF($Z762="C",DATE(YEAR(INDEX(Contracts!$J$2:$J$151,$AB762)),MONTH(INDEX(Contracts!$J$2:$J$151,$AB762)),1),IF($Z762="A",DATE(YEAR(INDEX(Fixed_Assets!$G$2:$G$201,$AB762)),MONTH(INDEX(Fixed_Assets!$G$2:$G$201,$AB762)),1),IF($Z762="F",DATE(YEAR(MAX(N(INDEX(Workforce!$I$2:$I$151,MATCH(INDEX(FTE_Allocation!$A$2:$A$201,$AB762),Workforce!$A$2:$A$151,0))),N(INDEX(FTE_Allocation!$I$2:$I$201,$AB762)))),MONTH(MAX(N(INDEX(Workforce!$I$2:$I$151,MATCH(INDEX(FTE_Allocation!$A$2:$A$201,$AB762),Workforce!$A$2:$A$151,0))),N(INDEX(FTE_Allocation!$I$2:$I$201,$AB762)))),1),"")))</f>
        <v/>
      </c>
      <c r="AF762" s="21">
        <f>IF($Z762="C",IF(INDEX(Contracts!$I$2:$I$151,$AB762)="PREPAID",EDATE(DATE(YEAR(INDEX(Contracts!$J$2:$J$151,$AB762)),MONTH(INDEX(Contracts!$J$2:$J$151,$AB762)),1),IF(INDEX(Contracts!$N$2:$N$151,$AB762)="",12,INDEX(Contracts!$N$2:$N$151,$AB762))-1),IF(INDEX(Contracts!$I$2:$I$151,$AB762)="MONTHLY",IF(INDEX(Contracts!$K$2:$K$151,$AB762)="",2958101,INDEX(Contracts!$K$2:$K$151,$AB762)),0)),IF($Z762="A",EDATE(DATE(YEAR(INDEX(Fixed_Assets!$G$2:$G$201,$AB762)),MONTH(INDEX(Fixed_Assets!$G$2:$G$201,$AB762)),1),INDEX(Fixed_Assets!$J$2:$J$201,$AB762)-1),IF($Z762="F",MIN(IF(INDEX(Workforce!$J$2:$J$151,MATCH(INDEX(FTE_Allocation!$A$2:$A$201,$AB762),Workforce!$A$2:$A$151,0))="",2958101,INDEX(Workforce!$J$2:$J$151,MATCH(INDEX(FTE_Allocation!$A$2:$A$201,$AB762),Workforce!$A$2:$A$151,0))),IF(INDEX(FTE_Allocation!$J$2:$J$201,$AB762)="",2958101,INDEX(FTE_Allocation!$J$2:$J$201,$AB762))),"")))</f>
        <v/>
      </c>
      <c r="AG762" s="19">
        <f>IF($Z762="C",IF(INDEX(Contracts!$I$2:$I$151,$AB762)="PREPAID",INDEX(Contracts!$M$2:$M$151,$AB762)/IF(INDEX(Contracts!$N$2:$N$151,$AB762)="",12,INDEX(Contracts!$N$2:$N$151,$AB762)),IF(INDEX(Contracts!$I$2:$I$151,$AB762)="MONTHLY",INDEX(Contracts!$M$2:$M$151,$AB762),0))*(1-N(INDEX(Contracts!$O$2:$O$151,$AB762))),IF($Z762="A",INDEX(Fixed_Assets!$H$2:$H$201,$AB762)/INDEX(Fixed_Assets!$J$2:$J$201,$AB762),IF($Z762="F",INDEX(Workforce!$F$2:$F$151,MATCH(INDEX(FTE_Allocation!$A$2:$A$201,$AB762),Workforce!$A$2:$A$151,0))*N(INDEX(FTE_Allocation!$F$2:$H$201,$AB762,$AC762)),"")))</f>
        <v/>
      </c>
    </row>
    <row r="763">
      <c r="A763" s="7">
        <f>IF($Z763="","",$AD763)</f>
        <v/>
      </c>
      <c r="B763" s="7">
        <f>IF($Z763="C",INDEX(Contracts!$D$2:$D$151,$AB763)&amp;"",IF($Z763="A",INDEX(Fixed_Assets!$C$2:$C$201,$AB763)&amp;"",IF($Z763="F",INDEX(Workforce!$B$2:$B$151,MATCH(INDEX(FTE_Allocation!$A$2:$A$201,$AB763),Workforce!$A$2:$A$151,0))&amp;"","")))</f>
        <v/>
      </c>
      <c r="C763" s="7">
        <f>IF($Z763="C",INDEX(Contracts!$E$2:$E$151,$AB763)&amp;"",IF($Z763="A",INDEX(Fixed_Assets!$D$2:$D$201,$AB763)&amp;"",IF($Z763="F",INDEX(FTE_Allocation!$C$2:$C$201,$AB763)&amp;"","")))</f>
        <v/>
      </c>
      <c r="D763" s="7">
        <f>IF($Z763="C",INDEX(Contracts!$B$2:$B$151,$AB763)&amp;"",IF($Z763="A",INDEX(Fixed_Assets!$B$2:$B$201,$AB763)&amp;"",IF($Z763="F",INDEX(FTE_Allocation!$B$2:$B$201,$AB763)&amp;"","")))</f>
        <v/>
      </c>
      <c r="E763" s="7">
        <f>IF($Z763="C",INDEX(Contracts!$P$2:$P$151,$AB763)&amp;"",IF($Z763="A",INDEX(Fixed_Assets!$K$2:$K$201,$AB763)&amp;"",IF($Z763="F",IF(INDEX(FTE_Allocation!$D$2:$D$201,$AB763)="PROJECT",IFERROR(INDEX(Projects!$D:$D,MATCH(INDEX(FTE_Allocation!$E$2:$E$201,$AB763),Projects!$A:$A,0))&amp;"","#PROJECT?"),INDEX(FTE_Allocation!$E$2:$E$201,$AB763)&amp;""),"")))</f>
        <v/>
      </c>
      <c r="F763" s="7">
        <f>IF($Z763="C",INDEX(Contracts!$Q$2:$Q$151,$AB763)&amp;"",IF($Z763="A",INDEX(Fixed_Assets!$L$2:$L$201,$AB763)&amp;"",IF($Z763="F",INDEX(Workforce!$K$2:$K$151,MATCH(INDEX(FTE_Allocation!$A$2:$A$201,$AB763),Workforce!$A$2:$A$151,0))&amp;"","")))</f>
        <v/>
      </c>
      <c r="G763" s="7">
        <f>IF($Z763="C",INDEX(Contracts!$F$2:$F$151,$AB763)&amp;" / "&amp;INDEX(Contracts!$G$2:$G$151,$AB763),IF($Z763="A",INDEX(Fixed_Assets!$E$2:$E$201,$AB763)&amp;"",IF($Z763="F","Personnel "&amp;INDEX(FTE_Allocation!$A$2:$A$201,$AB763)&amp;IF(INDEX(FTE_Allocation!$D$2:$D$201,$AB763)="PROJECT"," ("&amp;INDEX(FTE_Allocation!$E$2:$E$201,$AB763)&amp;")",""),"")))</f>
        <v/>
      </c>
      <c r="H763" s="7">
        <f>IF($Z763="C","CONTRACT",IF($Z763="A","ASSET",IF($Z763="F","WORKFORCE","")))</f>
        <v/>
      </c>
      <c r="I763" s="7">
        <f>IF($Z763="C",INDEX(Contracts!$L$2:$L$151,$AB763)&amp;"",IF($Z763="A",INDEX(Fixed_Assets!$I$2:$I$201,$AB763)&amp;"",IF($Z763="F",INDEX(Workforce!$G$2:$G$151,MATCH(INDEX(FTE_Allocation!$A$2:$A$201,$AB763),Workforce!$A$2:$A$151,0))&amp;"","")))</f>
        <v/>
      </c>
      <c r="J763" s="18">
        <f>IF($Z763="","",IF(AND(DATE($AD763,1,1)&gt;=$AE763,DATE($AD763,1,1)&lt;=$AF763),ROUND($AG763,2),0))</f>
        <v/>
      </c>
      <c r="K763" s="18">
        <f>IF($Z763="","",IF(AND(DATE($AD763,2,1)&gt;=$AE763,DATE($AD763,2,1)&lt;=$AF763),ROUND($AG763,2),0))</f>
        <v/>
      </c>
      <c r="L763" s="18">
        <f>IF($Z763="","",IF(AND(DATE($AD763,3,1)&gt;=$AE763,DATE($AD763,3,1)&lt;=$AF763),ROUND($AG763,2),0))</f>
        <v/>
      </c>
      <c r="M763" s="18">
        <f>IF($Z763="","",IF(AND(DATE($AD763,4,1)&gt;=$AE763,DATE($AD763,4,1)&lt;=$AF763),ROUND($AG763,2),0))</f>
        <v/>
      </c>
      <c r="N763" s="18">
        <f>IF($Z763="","",IF(AND(DATE($AD763,5,1)&gt;=$AE763,DATE($AD763,5,1)&lt;=$AF763),ROUND($AG763,2),0))</f>
        <v/>
      </c>
      <c r="O763" s="18">
        <f>IF($Z763="","",IF(AND(DATE($AD763,6,1)&gt;=$AE763,DATE($AD763,6,1)&lt;=$AF763),ROUND($AG763,2),0))</f>
        <v/>
      </c>
      <c r="P763" s="18">
        <f>IF($Z763="","",IF(AND(DATE($AD763,7,1)&gt;=$AE763,DATE($AD763,7,1)&lt;=$AF763),ROUND($AG763,2),0))</f>
        <v/>
      </c>
      <c r="Q763" s="18">
        <f>IF($Z763="","",IF(AND(DATE($AD763,8,1)&gt;=$AE763,DATE($AD763,8,1)&lt;=$AF763),ROUND($AG763,2),0))</f>
        <v/>
      </c>
      <c r="R763" s="18">
        <f>IF($Z763="","",IF(AND(DATE($AD763,9,1)&gt;=$AE763,DATE($AD763,9,1)&lt;=$AF763),ROUND($AG763,2),0))</f>
        <v/>
      </c>
      <c r="S763" s="18">
        <f>IF($Z763="","",IF(AND(DATE($AD763,10,1)&gt;=$AE763,DATE($AD763,10,1)&lt;=$AF763),ROUND($AG763,2),0))</f>
        <v/>
      </c>
      <c r="T763" s="18">
        <f>IF($Z763="","",IF(AND(DATE($AD763,11,1)&gt;=$AE763,DATE($AD763,11,1)&lt;=$AF763),ROUND($AG763,2),0))</f>
        <v/>
      </c>
      <c r="U763" s="18">
        <f>IF($Z763="","",IF(AND(DATE($AD763,12,1)&gt;=$AE763,DATE($AD763,12,1)&lt;=$AF763),ROUND($AG763,2),0))</f>
        <v/>
      </c>
      <c r="V763" s="7">
        <f>IF($Z763="C","Generated from "&amp;INDEX(Contracts!$A$2:$A$151,$AB763),IF($Z763="A","Generated from "&amp;INDEX(Fixed_Assets!$A$2:$A$201,$AB763),IF($Z763="F","Generated from "&amp;INDEX(FTE_Allocation!$A$2:$A$201,$AB763),"")))</f>
        <v/>
      </c>
      <c r="X763" s="19">
        <f>IF($Z763="","",SUM(J763:U763))</f>
        <v/>
      </c>
      <c r="Y763" s="20">
        <f>ROW()-1</f>
        <v/>
      </c>
      <c r="Z763" s="20">
        <f>IF($Y763&lt;=Settings!$B$4*3,"C",IF($Y763&lt;=(Settings!$B$4+Settings!$B$5)*3,"A",IF($Y763&lt;=(Settings!$B$4+Settings!$B$5+Settings!$B$6)*3,"F","")))</f>
        <v/>
      </c>
      <c r="AA763" s="20">
        <f>IF($Z763="C",$Y763,IF($Z763="A",$Y763-Settings!$B$4*3,IF($Z763="F",$Y763-(Settings!$B$4+Settings!$B$5)*3,"")))</f>
        <v/>
      </c>
      <c r="AB763" s="20">
        <f>IF($Z763="","",INT(($AA763-1)/3)+1)</f>
        <v/>
      </c>
      <c r="AC763" s="20">
        <f>IF($Z763="","",MOD($AA763-1,3)+1)</f>
        <v/>
      </c>
      <c r="AD763" s="20">
        <f>IF($Z763="","",Settings!$B$2+$AC763-1)</f>
        <v/>
      </c>
      <c r="AE763" s="21">
        <f>IF($Z763="C",DATE(YEAR(INDEX(Contracts!$J$2:$J$151,$AB763)),MONTH(INDEX(Contracts!$J$2:$J$151,$AB763)),1),IF($Z763="A",DATE(YEAR(INDEX(Fixed_Assets!$G$2:$G$201,$AB763)),MONTH(INDEX(Fixed_Assets!$G$2:$G$201,$AB763)),1),IF($Z763="F",DATE(YEAR(MAX(N(INDEX(Workforce!$I$2:$I$151,MATCH(INDEX(FTE_Allocation!$A$2:$A$201,$AB763),Workforce!$A$2:$A$151,0))),N(INDEX(FTE_Allocation!$I$2:$I$201,$AB763)))),MONTH(MAX(N(INDEX(Workforce!$I$2:$I$151,MATCH(INDEX(FTE_Allocation!$A$2:$A$201,$AB763),Workforce!$A$2:$A$151,0))),N(INDEX(FTE_Allocation!$I$2:$I$201,$AB763)))),1),"")))</f>
        <v/>
      </c>
      <c r="AF763" s="21">
        <f>IF($Z763="C",IF(INDEX(Contracts!$I$2:$I$151,$AB763)="PREPAID",EDATE(DATE(YEAR(INDEX(Contracts!$J$2:$J$151,$AB763)),MONTH(INDEX(Contracts!$J$2:$J$151,$AB763)),1),IF(INDEX(Contracts!$N$2:$N$151,$AB763)="",12,INDEX(Contracts!$N$2:$N$151,$AB763))-1),IF(INDEX(Contracts!$I$2:$I$151,$AB763)="MONTHLY",IF(INDEX(Contracts!$K$2:$K$151,$AB763)="",2958101,INDEX(Contracts!$K$2:$K$151,$AB763)),0)),IF($Z763="A",EDATE(DATE(YEAR(INDEX(Fixed_Assets!$G$2:$G$201,$AB763)),MONTH(INDEX(Fixed_Assets!$G$2:$G$201,$AB763)),1),INDEX(Fixed_Assets!$J$2:$J$201,$AB763)-1),IF($Z763="F",MIN(IF(INDEX(Workforce!$J$2:$J$151,MATCH(INDEX(FTE_Allocation!$A$2:$A$201,$AB763),Workforce!$A$2:$A$151,0))="",2958101,INDEX(Workforce!$J$2:$J$151,MATCH(INDEX(FTE_Allocation!$A$2:$A$201,$AB763),Workforce!$A$2:$A$151,0))),IF(INDEX(FTE_Allocation!$J$2:$J$201,$AB763)="",2958101,INDEX(FTE_Allocation!$J$2:$J$201,$AB763))),"")))</f>
        <v/>
      </c>
      <c r="AG763" s="19">
        <f>IF($Z763="C",IF(INDEX(Contracts!$I$2:$I$151,$AB763)="PREPAID",INDEX(Contracts!$M$2:$M$151,$AB763)/IF(INDEX(Contracts!$N$2:$N$151,$AB763)="",12,INDEX(Contracts!$N$2:$N$151,$AB763)),IF(INDEX(Contracts!$I$2:$I$151,$AB763)="MONTHLY",INDEX(Contracts!$M$2:$M$151,$AB763),0))*(1-N(INDEX(Contracts!$O$2:$O$151,$AB763))),IF($Z763="A",INDEX(Fixed_Assets!$H$2:$H$201,$AB763)/INDEX(Fixed_Assets!$J$2:$J$201,$AB763),IF($Z763="F",INDEX(Workforce!$F$2:$F$151,MATCH(INDEX(FTE_Allocation!$A$2:$A$201,$AB763),Workforce!$A$2:$A$151,0))*N(INDEX(FTE_Allocation!$F$2:$H$201,$AB763,$AC763)),"")))</f>
        <v/>
      </c>
    </row>
    <row r="764">
      <c r="A764" s="7">
        <f>IF($Z764="","",$AD764)</f>
        <v/>
      </c>
      <c r="B764" s="7">
        <f>IF($Z764="C",INDEX(Contracts!$D$2:$D$151,$AB764)&amp;"",IF($Z764="A",INDEX(Fixed_Assets!$C$2:$C$201,$AB764)&amp;"",IF($Z764="F",INDEX(Workforce!$B$2:$B$151,MATCH(INDEX(FTE_Allocation!$A$2:$A$201,$AB764),Workforce!$A$2:$A$151,0))&amp;"","")))</f>
        <v/>
      </c>
      <c r="C764" s="7">
        <f>IF($Z764="C",INDEX(Contracts!$E$2:$E$151,$AB764)&amp;"",IF($Z764="A",INDEX(Fixed_Assets!$D$2:$D$201,$AB764)&amp;"",IF($Z764="F",INDEX(FTE_Allocation!$C$2:$C$201,$AB764)&amp;"","")))</f>
        <v/>
      </c>
      <c r="D764" s="7">
        <f>IF($Z764="C",INDEX(Contracts!$B$2:$B$151,$AB764)&amp;"",IF($Z764="A",INDEX(Fixed_Assets!$B$2:$B$201,$AB764)&amp;"",IF($Z764="F",INDEX(FTE_Allocation!$B$2:$B$201,$AB764)&amp;"","")))</f>
        <v/>
      </c>
      <c r="E764" s="7">
        <f>IF($Z764="C",INDEX(Contracts!$P$2:$P$151,$AB764)&amp;"",IF($Z764="A",INDEX(Fixed_Assets!$K$2:$K$201,$AB764)&amp;"",IF($Z764="F",IF(INDEX(FTE_Allocation!$D$2:$D$201,$AB764)="PROJECT",IFERROR(INDEX(Projects!$D:$D,MATCH(INDEX(FTE_Allocation!$E$2:$E$201,$AB764),Projects!$A:$A,0))&amp;"","#PROJECT?"),INDEX(FTE_Allocation!$E$2:$E$201,$AB764)&amp;""),"")))</f>
        <v/>
      </c>
      <c r="F764" s="7">
        <f>IF($Z764="C",INDEX(Contracts!$Q$2:$Q$151,$AB764)&amp;"",IF($Z764="A",INDEX(Fixed_Assets!$L$2:$L$201,$AB764)&amp;"",IF($Z764="F",INDEX(Workforce!$K$2:$K$151,MATCH(INDEX(FTE_Allocation!$A$2:$A$201,$AB764),Workforce!$A$2:$A$151,0))&amp;"","")))</f>
        <v/>
      </c>
      <c r="G764" s="7">
        <f>IF($Z764="C",INDEX(Contracts!$F$2:$F$151,$AB764)&amp;" / "&amp;INDEX(Contracts!$G$2:$G$151,$AB764),IF($Z764="A",INDEX(Fixed_Assets!$E$2:$E$201,$AB764)&amp;"",IF($Z764="F","Personnel "&amp;INDEX(FTE_Allocation!$A$2:$A$201,$AB764)&amp;IF(INDEX(FTE_Allocation!$D$2:$D$201,$AB764)="PROJECT"," ("&amp;INDEX(FTE_Allocation!$E$2:$E$201,$AB764)&amp;")",""),"")))</f>
        <v/>
      </c>
      <c r="H764" s="7">
        <f>IF($Z764="C","CONTRACT",IF($Z764="A","ASSET",IF($Z764="F","WORKFORCE","")))</f>
        <v/>
      </c>
      <c r="I764" s="7">
        <f>IF($Z764="C",INDEX(Contracts!$L$2:$L$151,$AB764)&amp;"",IF($Z764="A",INDEX(Fixed_Assets!$I$2:$I$201,$AB764)&amp;"",IF($Z764="F",INDEX(Workforce!$G$2:$G$151,MATCH(INDEX(FTE_Allocation!$A$2:$A$201,$AB764),Workforce!$A$2:$A$151,0))&amp;"","")))</f>
        <v/>
      </c>
      <c r="J764" s="18">
        <f>IF($Z764="","",IF(AND(DATE($AD764,1,1)&gt;=$AE764,DATE($AD764,1,1)&lt;=$AF764),ROUND($AG764,2),0))</f>
        <v/>
      </c>
      <c r="K764" s="18">
        <f>IF($Z764="","",IF(AND(DATE($AD764,2,1)&gt;=$AE764,DATE($AD764,2,1)&lt;=$AF764),ROUND($AG764,2),0))</f>
        <v/>
      </c>
      <c r="L764" s="18">
        <f>IF($Z764="","",IF(AND(DATE($AD764,3,1)&gt;=$AE764,DATE($AD764,3,1)&lt;=$AF764),ROUND($AG764,2),0))</f>
        <v/>
      </c>
      <c r="M764" s="18">
        <f>IF($Z764="","",IF(AND(DATE($AD764,4,1)&gt;=$AE764,DATE($AD764,4,1)&lt;=$AF764),ROUND($AG764,2),0))</f>
        <v/>
      </c>
      <c r="N764" s="18">
        <f>IF($Z764="","",IF(AND(DATE($AD764,5,1)&gt;=$AE764,DATE($AD764,5,1)&lt;=$AF764),ROUND($AG764,2),0))</f>
        <v/>
      </c>
      <c r="O764" s="18">
        <f>IF($Z764="","",IF(AND(DATE($AD764,6,1)&gt;=$AE764,DATE($AD764,6,1)&lt;=$AF764),ROUND($AG764,2),0))</f>
        <v/>
      </c>
      <c r="P764" s="18">
        <f>IF($Z764="","",IF(AND(DATE($AD764,7,1)&gt;=$AE764,DATE($AD764,7,1)&lt;=$AF764),ROUND($AG764,2),0))</f>
        <v/>
      </c>
      <c r="Q764" s="18">
        <f>IF($Z764="","",IF(AND(DATE($AD764,8,1)&gt;=$AE764,DATE($AD764,8,1)&lt;=$AF764),ROUND($AG764,2),0))</f>
        <v/>
      </c>
      <c r="R764" s="18">
        <f>IF($Z764="","",IF(AND(DATE($AD764,9,1)&gt;=$AE764,DATE($AD764,9,1)&lt;=$AF764),ROUND($AG764,2),0))</f>
        <v/>
      </c>
      <c r="S764" s="18">
        <f>IF($Z764="","",IF(AND(DATE($AD764,10,1)&gt;=$AE764,DATE($AD764,10,1)&lt;=$AF764),ROUND($AG764,2),0))</f>
        <v/>
      </c>
      <c r="T764" s="18">
        <f>IF($Z764="","",IF(AND(DATE($AD764,11,1)&gt;=$AE764,DATE($AD764,11,1)&lt;=$AF764),ROUND($AG764,2),0))</f>
        <v/>
      </c>
      <c r="U764" s="18">
        <f>IF($Z764="","",IF(AND(DATE($AD764,12,1)&gt;=$AE764,DATE($AD764,12,1)&lt;=$AF764),ROUND($AG764,2),0))</f>
        <v/>
      </c>
      <c r="V764" s="7">
        <f>IF($Z764="C","Generated from "&amp;INDEX(Contracts!$A$2:$A$151,$AB764),IF($Z764="A","Generated from "&amp;INDEX(Fixed_Assets!$A$2:$A$201,$AB764),IF($Z764="F","Generated from "&amp;INDEX(FTE_Allocation!$A$2:$A$201,$AB764),"")))</f>
        <v/>
      </c>
      <c r="X764" s="19">
        <f>IF($Z764="","",SUM(J764:U764))</f>
        <v/>
      </c>
      <c r="Y764" s="20">
        <f>ROW()-1</f>
        <v/>
      </c>
      <c r="Z764" s="20">
        <f>IF($Y764&lt;=Settings!$B$4*3,"C",IF($Y764&lt;=(Settings!$B$4+Settings!$B$5)*3,"A",IF($Y764&lt;=(Settings!$B$4+Settings!$B$5+Settings!$B$6)*3,"F","")))</f>
        <v/>
      </c>
      <c r="AA764" s="20">
        <f>IF($Z764="C",$Y764,IF($Z764="A",$Y764-Settings!$B$4*3,IF($Z764="F",$Y764-(Settings!$B$4+Settings!$B$5)*3,"")))</f>
        <v/>
      </c>
      <c r="AB764" s="20">
        <f>IF($Z764="","",INT(($AA764-1)/3)+1)</f>
        <v/>
      </c>
      <c r="AC764" s="20">
        <f>IF($Z764="","",MOD($AA764-1,3)+1)</f>
        <v/>
      </c>
      <c r="AD764" s="20">
        <f>IF($Z764="","",Settings!$B$2+$AC764-1)</f>
        <v/>
      </c>
      <c r="AE764" s="21">
        <f>IF($Z764="C",DATE(YEAR(INDEX(Contracts!$J$2:$J$151,$AB764)),MONTH(INDEX(Contracts!$J$2:$J$151,$AB764)),1),IF($Z764="A",DATE(YEAR(INDEX(Fixed_Assets!$G$2:$G$201,$AB764)),MONTH(INDEX(Fixed_Assets!$G$2:$G$201,$AB764)),1),IF($Z764="F",DATE(YEAR(MAX(N(INDEX(Workforce!$I$2:$I$151,MATCH(INDEX(FTE_Allocation!$A$2:$A$201,$AB764),Workforce!$A$2:$A$151,0))),N(INDEX(FTE_Allocation!$I$2:$I$201,$AB764)))),MONTH(MAX(N(INDEX(Workforce!$I$2:$I$151,MATCH(INDEX(FTE_Allocation!$A$2:$A$201,$AB764),Workforce!$A$2:$A$151,0))),N(INDEX(FTE_Allocation!$I$2:$I$201,$AB764)))),1),"")))</f>
        <v/>
      </c>
      <c r="AF764" s="21">
        <f>IF($Z764="C",IF(INDEX(Contracts!$I$2:$I$151,$AB764)="PREPAID",EDATE(DATE(YEAR(INDEX(Contracts!$J$2:$J$151,$AB764)),MONTH(INDEX(Contracts!$J$2:$J$151,$AB764)),1),IF(INDEX(Contracts!$N$2:$N$151,$AB764)="",12,INDEX(Contracts!$N$2:$N$151,$AB764))-1),IF(INDEX(Contracts!$I$2:$I$151,$AB764)="MONTHLY",IF(INDEX(Contracts!$K$2:$K$151,$AB764)="",2958101,INDEX(Contracts!$K$2:$K$151,$AB764)),0)),IF($Z764="A",EDATE(DATE(YEAR(INDEX(Fixed_Assets!$G$2:$G$201,$AB764)),MONTH(INDEX(Fixed_Assets!$G$2:$G$201,$AB764)),1),INDEX(Fixed_Assets!$J$2:$J$201,$AB764)-1),IF($Z764="F",MIN(IF(INDEX(Workforce!$J$2:$J$151,MATCH(INDEX(FTE_Allocation!$A$2:$A$201,$AB764),Workforce!$A$2:$A$151,0))="",2958101,INDEX(Workforce!$J$2:$J$151,MATCH(INDEX(FTE_Allocation!$A$2:$A$201,$AB764),Workforce!$A$2:$A$151,0))),IF(INDEX(FTE_Allocation!$J$2:$J$201,$AB764)="",2958101,INDEX(FTE_Allocation!$J$2:$J$201,$AB764))),"")))</f>
        <v/>
      </c>
      <c r="AG764" s="19">
        <f>IF($Z764="C",IF(INDEX(Contracts!$I$2:$I$151,$AB764)="PREPAID",INDEX(Contracts!$M$2:$M$151,$AB764)/IF(INDEX(Contracts!$N$2:$N$151,$AB764)="",12,INDEX(Contracts!$N$2:$N$151,$AB764)),IF(INDEX(Contracts!$I$2:$I$151,$AB764)="MONTHLY",INDEX(Contracts!$M$2:$M$151,$AB764),0))*(1-N(INDEX(Contracts!$O$2:$O$151,$AB764))),IF($Z764="A",INDEX(Fixed_Assets!$H$2:$H$201,$AB764)/INDEX(Fixed_Assets!$J$2:$J$201,$AB764),IF($Z764="F",INDEX(Workforce!$F$2:$F$151,MATCH(INDEX(FTE_Allocation!$A$2:$A$201,$AB764),Workforce!$A$2:$A$151,0))*N(INDEX(FTE_Allocation!$F$2:$H$201,$AB764,$AC764)),"")))</f>
        <v/>
      </c>
    </row>
    <row r="765">
      <c r="A765" s="7">
        <f>IF($Z765="","",$AD765)</f>
        <v/>
      </c>
      <c r="B765" s="7">
        <f>IF($Z765="C",INDEX(Contracts!$D$2:$D$151,$AB765)&amp;"",IF($Z765="A",INDEX(Fixed_Assets!$C$2:$C$201,$AB765)&amp;"",IF($Z765="F",INDEX(Workforce!$B$2:$B$151,MATCH(INDEX(FTE_Allocation!$A$2:$A$201,$AB765),Workforce!$A$2:$A$151,0))&amp;"","")))</f>
        <v/>
      </c>
      <c r="C765" s="7">
        <f>IF($Z765="C",INDEX(Contracts!$E$2:$E$151,$AB765)&amp;"",IF($Z765="A",INDEX(Fixed_Assets!$D$2:$D$201,$AB765)&amp;"",IF($Z765="F",INDEX(FTE_Allocation!$C$2:$C$201,$AB765)&amp;"","")))</f>
        <v/>
      </c>
      <c r="D765" s="7">
        <f>IF($Z765="C",INDEX(Contracts!$B$2:$B$151,$AB765)&amp;"",IF($Z765="A",INDEX(Fixed_Assets!$B$2:$B$201,$AB765)&amp;"",IF($Z765="F",INDEX(FTE_Allocation!$B$2:$B$201,$AB765)&amp;"","")))</f>
        <v/>
      </c>
      <c r="E765" s="7">
        <f>IF($Z765="C",INDEX(Contracts!$P$2:$P$151,$AB765)&amp;"",IF($Z765="A",INDEX(Fixed_Assets!$K$2:$K$201,$AB765)&amp;"",IF($Z765="F",IF(INDEX(FTE_Allocation!$D$2:$D$201,$AB765)="PROJECT",IFERROR(INDEX(Projects!$D:$D,MATCH(INDEX(FTE_Allocation!$E$2:$E$201,$AB765),Projects!$A:$A,0))&amp;"","#PROJECT?"),INDEX(FTE_Allocation!$E$2:$E$201,$AB765)&amp;""),"")))</f>
        <v/>
      </c>
      <c r="F765" s="7">
        <f>IF($Z765="C",INDEX(Contracts!$Q$2:$Q$151,$AB765)&amp;"",IF($Z765="A",INDEX(Fixed_Assets!$L$2:$L$201,$AB765)&amp;"",IF($Z765="F",INDEX(Workforce!$K$2:$K$151,MATCH(INDEX(FTE_Allocation!$A$2:$A$201,$AB765),Workforce!$A$2:$A$151,0))&amp;"","")))</f>
        <v/>
      </c>
      <c r="G765" s="7">
        <f>IF($Z765="C",INDEX(Contracts!$F$2:$F$151,$AB765)&amp;" / "&amp;INDEX(Contracts!$G$2:$G$151,$AB765),IF($Z765="A",INDEX(Fixed_Assets!$E$2:$E$201,$AB765)&amp;"",IF($Z765="F","Personnel "&amp;INDEX(FTE_Allocation!$A$2:$A$201,$AB765)&amp;IF(INDEX(FTE_Allocation!$D$2:$D$201,$AB765)="PROJECT"," ("&amp;INDEX(FTE_Allocation!$E$2:$E$201,$AB765)&amp;")",""),"")))</f>
        <v/>
      </c>
      <c r="H765" s="7">
        <f>IF($Z765="C","CONTRACT",IF($Z765="A","ASSET",IF($Z765="F","WORKFORCE","")))</f>
        <v/>
      </c>
      <c r="I765" s="7">
        <f>IF($Z765="C",INDEX(Contracts!$L$2:$L$151,$AB765)&amp;"",IF($Z765="A",INDEX(Fixed_Assets!$I$2:$I$201,$AB765)&amp;"",IF($Z765="F",INDEX(Workforce!$G$2:$G$151,MATCH(INDEX(FTE_Allocation!$A$2:$A$201,$AB765),Workforce!$A$2:$A$151,0))&amp;"","")))</f>
        <v/>
      </c>
      <c r="J765" s="18">
        <f>IF($Z765="","",IF(AND(DATE($AD765,1,1)&gt;=$AE765,DATE($AD765,1,1)&lt;=$AF765),ROUND($AG765,2),0))</f>
        <v/>
      </c>
      <c r="K765" s="18">
        <f>IF($Z765="","",IF(AND(DATE($AD765,2,1)&gt;=$AE765,DATE($AD765,2,1)&lt;=$AF765),ROUND($AG765,2),0))</f>
        <v/>
      </c>
      <c r="L765" s="18">
        <f>IF($Z765="","",IF(AND(DATE($AD765,3,1)&gt;=$AE765,DATE($AD765,3,1)&lt;=$AF765),ROUND($AG765,2),0))</f>
        <v/>
      </c>
      <c r="M765" s="18">
        <f>IF($Z765="","",IF(AND(DATE($AD765,4,1)&gt;=$AE765,DATE($AD765,4,1)&lt;=$AF765),ROUND($AG765,2),0))</f>
        <v/>
      </c>
      <c r="N765" s="18">
        <f>IF($Z765="","",IF(AND(DATE($AD765,5,1)&gt;=$AE765,DATE($AD765,5,1)&lt;=$AF765),ROUND($AG765,2),0))</f>
        <v/>
      </c>
      <c r="O765" s="18">
        <f>IF($Z765="","",IF(AND(DATE($AD765,6,1)&gt;=$AE765,DATE($AD765,6,1)&lt;=$AF765),ROUND($AG765,2),0))</f>
        <v/>
      </c>
      <c r="P765" s="18">
        <f>IF($Z765="","",IF(AND(DATE($AD765,7,1)&gt;=$AE765,DATE($AD765,7,1)&lt;=$AF765),ROUND($AG765,2),0))</f>
        <v/>
      </c>
      <c r="Q765" s="18">
        <f>IF($Z765="","",IF(AND(DATE($AD765,8,1)&gt;=$AE765,DATE($AD765,8,1)&lt;=$AF765),ROUND($AG765,2),0))</f>
        <v/>
      </c>
      <c r="R765" s="18">
        <f>IF($Z765="","",IF(AND(DATE($AD765,9,1)&gt;=$AE765,DATE($AD765,9,1)&lt;=$AF765),ROUND($AG765,2),0))</f>
        <v/>
      </c>
      <c r="S765" s="18">
        <f>IF($Z765="","",IF(AND(DATE($AD765,10,1)&gt;=$AE765,DATE($AD765,10,1)&lt;=$AF765),ROUND($AG765,2),0))</f>
        <v/>
      </c>
      <c r="T765" s="18">
        <f>IF($Z765="","",IF(AND(DATE($AD765,11,1)&gt;=$AE765,DATE($AD765,11,1)&lt;=$AF765),ROUND($AG765,2),0))</f>
        <v/>
      </c>
      <c r="U765" s="18">
        <f>IF($Z765="","",IF(AND(DATE($AD765,12,1)&gt;=$AE765,DATE($AD765,12,1)&lt;=$AF765),ROUND($AG765,2),0))</f>
        <v/>
      </c>
      <c r="V765" s="7">
        <f>IF($Z765="C","Generated from "&amp;INDEX(Contracts!$A$2:$A$151,$AB765),IF($Z765="A","Generated from "&amp;INDEX(Fixed_Assets!$A$2:$A$201,$AB765),IF($Z765="F","Generated from "&amp;INDEX(FTE_Allocation!$A$2:$A$201,$AB765),"")))</f>
        <v/>
      </c>
      <c r="X765" s="19">
        <f>IF($Z765="","",SUM(J765:U765))</f>
        <v/>
      </c>
      <c r="Y765" s="20">
        <f>ROW()-1</f>
        <v/>
      </c>
      <c r="Z765" s="20">
        <f>IF($Y765&lt;=Settings!$B$4*3,"C",IF($Y765&lt;=(Settings!$B$4+Settings!$B$5)*3,"A",IF($Y765&lt;=(Settings!$B$4+Settings!$B$5+Settings!$B$6)*3,"F","")))</f>
        <v/>
      </c>
      <c r="AA765" s="20">
        <f>IF($Z765="C",$Y765,IF($Z765="A",$Y765-Settings!$B$4*3,IF($Z765="F",$Y765-(Settings!$B$4+Settings!$B$5)*3,"")))</f>
        <v/>
      </c>
      <c r="AB765" s="20">
        <f>IF($Z765="","",INT(($AA765-1)/3)+1)</f>
        <v/>
      </c>
      <c r="AC765" s="20">
        <f>IF($Z765="","",MOD($AA765-1,3)+1)</f>
        <v/>
      </c>
      <c r="AD765" s="20">
        <f>IF($Z765="","",Settings!$B$2+$AC765-1)</f>
        <v/>
      </c>
      <c r="AE765" s="21">
        <f>IF($Z765="C",DATE(YEAR(INDEX(Contracts!$J$2:$J$151,$AB765)),MONTH(INDEX(Contracts!$J$2:$J$151,$AB765)),1),IF($Z765="A",DATE(YEAR(INDEX(Fixed_Assets!$G$2:$G$201,$AB765)),MONTH(INDEX(Fixed_Assets!$G$2:$G$201,$AB765)),1),IF($Z765="F",DATE(YEAR(MAX(N(INDEX(Workforce!$I$2:$I$151,MATCH(INDEX(FTE_Allocation!$A$2:$A$201,$AB765),Workforce!$A$2:$A$151,0))),N(INDEX(FTE_Allocation!$I$2:$I$201,$AB765)))),MONTH(MAX(N(INDEX(Workforce!$I$2:$I$151,MATCH(INDEX(FTE_Allocation!$A$2:$A$201,$AB765),Workforce!$A$2:$A$151,0))),N(INDEX(FTE_Allocation!$I$2:$I$201,$AB765)))),1),"")))</f>
        <v/>
      </c>
      <c r="AF765" s="21">
        <f>IF($Z765="C",IF(INDEX(Contracts!$I$2:$I$151,$AB765)="PREPAID",EDATE(DATE(YEAR(INDEX(Contracts!$J$2:$J$151,$AB765)),MONTH(INDEX(Contracts!$J$2:$J$151,$AB765)),1),IF(INDEX(Contracts!$N$2:$N$151,$AB765)="",12,INDEX(Contracts!$N$2:$N$151,$AB765))-1),IF(INDEX(Contracts!$I$2:$I$151,$AB765)="MONTHLY",IF(INDEX(Contracts!$K$2:$K$151,$AB765)="",2958101,INDEX(Contracts!$K$2:$K$151,$AB765)),0)),IF($Z765="A",EDATE(DATE(YEAR(INDEX(Fixed_Assets!$G$2:$G$201,$AB765)),MONTH(INDEX(Fixed_Assets!$G$2:$G$201,$AB765)),1),INDEX(Fixed_Assets!$J$2:$J$201,$AB765)-1),IF($Z765="F",MIN(IF(INDEX(Workforce!$J$2:$J$151,MATCH(INDEX(FTE_Allocation!$A$2:$A$201,$AB765),Workforce!$A$2:$A$151,0))="",2958101,INDEX(Workforce!$J$2:$J$151,MATCH(INDEX(FTE_Allocation!$A$2:$A$201,$AB765),Workforce!$A$2:$A$151,0))),IF(INDEX(FTE_Allocation!$J$2:$J$201,$AB765)="",2958101,INDEX(FTE_Allocation!$J$2:$J$201,$AB765))),"")))</f>
        <v/>
      </c>
      <c r="AG765" s="19">
        <f>IF($Z765="C",IF(INDEX(Contracts!$I$2:$I$151,$AB765)="PREPAID",INDEX(Contracts!$M$2:$M$151,$AB765)/IF(INDEX(Contracts!$N$2:$N$151,$AB765)="",12,INDEX(Contracts!$N$2:$N$151,$AB765)),IF(INDEX(Contracts!$I$2:$I$151,$AB765)="MONTHLY",INDEX(Contracts!$M$2:$M$151,$AB765),0))*(1-N(INDEX(Contracts!$O$2:$O$151,$AB765))),IF($Z765="A",INDEX(Fixed_Assets!$H$2:$H$201,$AB765)/INDEX(Fixed_Assets!$J$2:$J$201,$AB765),IF($Z765="F",INDEX(Workforce!$F$2:$F$151,MATCH(INDEX(FTE_Allocation!$A$2:$A$201,$AB765),Workforce!$A$2:$A$151,0))*N(INDEX(FTE_Allocation!$F$2:$H$201,$AB765,$AC765)),"")))</f>
        <v/>
      </c>
    </row>
    <row r="766">
      <c r="A766" s="7">
        <f>IF($Z766="","",$AD766)</f>
        <v/>
      </c>
      <c r="B766" s="7">
        <f>IF($Z766="C",INDEX(Contracts!$D$2:$D$151,$AB766)&amp;"",IF($Z766="A",INDEX(Fixed_Assets!$C$2:$C$201,$AB766)&amp;"",IF($Z766="F",INDEX(Workforce!$B$2:$B$151,MATCH(INDEX(FTE_Allocation!$A$2:$A$201,$AB766),Workforce!$A$2:$A$151,0))&amp;"","")))</f>
        <v/>
      </c>
      <c r="C766" s="7">
        <f>IF($Z766="C",INDEX(Contracts!$E$2:$E$151,$AB766)&amp;"",IF($Z766="A",INDEX(Fixed_Assets!$D$2:$D$201,$AB766)&amp;"",IF($Z766="F",INDEX(FTE_Allocation!$C$2:$C$201,$AB766)&amp;"","")))</f>
        <v/>
      </c>
      <c r="D766" s="7">
        <f>IF($Z766="C",INDEX(Contracts!$B$2:$B$151,$AB766)&amp;"",IF($Z766="A",INDEX(Fixed_Assets!$B$2:$B$201,$AB766)&amp;"",IF($Z766="F",INDEX(FTE_Allocation!$B$2:$B$201,$AB766)&amp;"","")))</f>
        <v/>
      </c>
      <c r="E766" s="7">
        <f>IF($Z766="C",INDEX(Contracts!$P$2:$P$151,$AB766)&amp;"",IF($Z766="A",INDEX(Fixed_Assets!$K$2:$K$201,$AB766)&amp;"",IF($Z766="F",IF(INDEX(FTE_Allocation!$D$2:$D$201,$AB766)="PROJECT",IFERROR(INDEX(Projects!$D:$D,MATCH(INDEX(FTE_Allocation!$E$2:$E$201,$AB766),Projects!$A:$A,0))&amp;"","#PROJECT?"),INDEX(FTE_Allocation!$E$2:$E$201,$AB766)&amp;""),"")))</f>
        <v/>
      </c>
      <c r="F766" s="7">
        <f>IF($Z766="C",INDEX(Contracts!$Q$2:$Q$151,$AB766)&amp;"",IF($Z766="A",INDEX(Fixed_Assets!$L$2:$L$201,$AB766)&amp;"",IF($Z766="F",INDEX(Workforce!$K$2:$K$151,MATCH(INDEX(FTE_Allocation!$A$2:$A$201,$AB766),Workforce!$A$2:$A$151,0))&amp;"","")))</f>
        <v/>
      </c>
      <c r="G766" s="7">
        <f>IF($Z766="C",INDEX(Contracts!$F$2:$F$151,$AB766)&amp;" / "&amp;INDEX(Contracts!$G$2:$G$151,$AB766),IF($Z766="A",INDEX(Fixed_Assets!$E$2:$E$201,$AB766)&amp;"",IF($Z766="F","Personnel "&amp;INDEX(FTE_Allocation!$A$2:$A$201,$AB766)&amp;IF(INDEX(FTE_Allocation!$D$2:$D$201,$AB766)="PROJECT"," ("&amp;INDEX(FTE_Allocation!$E$2:$E$201,$AB766)&amp;")",""),"")))</f>
        <v/>
      </c>
      <c r="H766" s="7">
        <f>IF($Z766="C","CONTRACT",IF($Z766="A","ASSET",IF($Z766="F","WORKFORCE","")))</f>
        <v/>
      </c>
      <c r="I766" s="7">
        <f>IF($Z766="C",INDEX(Contracts!$L$2:$L$151,$AB766)&amp;"",IF($Z766="A",INDEX(Fixed_Assets!$I$2:$I$201,$AB766)&amp;"",IF($Z766="F",INDEX(Workforce!$G$2:$G$151,MATCH(INDEX(FTE_Allocation!$A$2:$A$201,$AB766),Workforce!$A$2:$A$151,0))&amp;"","")))</f>
        <v/>
      </c>
      <c r="J766" s="18">
        <f>IF($Z766="","",IF(AND(DATE($AD766,1,1)&gt;=$AE766,DATE($AD766,1,1)&lt;=$AF766),ROUND($AG766,2),0))</f>
        <v/>
      </c>
      <c r="K766" s="18">
        <f>IF($Z766="","",IF(AND(DATE($AD766,2,1)&gt;=$AE766,DATE($AD766,2,1)&lt;=$AF766),ROUND($AG766,2),0))</f>
        <v/>
      </c>
      <c r="L766" s="18">
        <f>IF($Z766="","",IF(AND(DATE($AD766,3,1)&gt;=$AE766,DATE($AD766,3,1)&lt;=$AF766),ROUND($AG766,2),0))</f>
        <v/>
      </c>
      <c r="M766" s="18">
        <f>IF($Z766="","",IF(AND(DATE($AD766,4,1)&gt;=$AE766,DATE($AD766,4,1)&lt;=$AF766),ROUND($AG766,2),0))</f>
        <v/>
      </c>
      <c r="N766" s="18">
        <f>IF($Z766="","",IF(AND(DATE($AD766,5,1)&gt;=$AE766,DATE($AD766,5,1)&lt;=$AF766),ROUND($AG766,2),0))</f>
        <v/>
      </c>
      <c r="O766" s="18">
        <f>IF($Z766="","",IF(AND(DATE($AD766,6,1)&gt;=$AE766,DATE($AD766,6,1)&lt;=$AF766),ROUND($AG766,2),0))</f>
        <v/>
      </c>
      <c r="P766" s="18">
        <f>IF($Z766="","",IF(AND(DATE($AD766,7,1)&gt;=$AE766,DATE($AD766,7,1)&lt;=$AF766),ROUND($AG766,2),0))</f>
        <v/>
      </c>
      <c r="Q766" s="18">
        <f>IF($Z766="","",IF(AND(DATE($AD766,8,1)&gt;=$AE766,DATE($AD766,8,1)&lt;=$AF766),ROUND($AG766,2),0))</f>
        <v/>
      </c>
      <c r="R766" s="18">
        <f>IF($Z766="","",IF(AND(DATE($AD766,9,1)&gt;=$AE766,DATE($AD766,9,1)&lt;=$AF766),ROUND($AG766,2),0))</f>
        <v/>
      </c>
      <c r="S766" s="18">
        <f>IF($Z766="","",IF(AND(DATE($AD766,10,1)&gt;=$AE766,DATE($AD766,10,1)&lt;=$AF766),ROUND($AG766,2),0))</f>
        <v/>
      </c>
      <c r="T766" s="18">
        <f>IF($Z766="","",IF(AND(DATE($AD766,11,1)&gt;=$AE766,DATE($AD766,11,1)&lt;=$AF766),ROUND($AG766,2),0))</f>
        <v/>
      </c>
      <c r="U766" s="18">
        <f>IF($Z766="","",IF(AND(DATE($AD766,12,1)&gt;=$AE766,DATE($AD766,12,1)&lt;=$AF766),ROUND($AG766,2),0))</f>
        <v/>
      </c>
      <c r="V766" s="7">
        <f>IF($Z766="C","Generated from "&amp;INDEX(Contracts!$A$2:$A$151,$AB766),IF($Z766="A","Generated from "&amp;INDEX(Fixed_Assets!$A$2:$A$201,$AB766),IF($Z766="F","Generated from "&amp;INDEX(FTE_Allocation!$A$2:$A$201,$AB766),"")))</f>
        <v/>
      </c>
      <c r="X766" s="19">
        <f>IF($Z766="","",SUM(J766:U766))</f>
        <v/>
      </c>
      <c r="Y766" s="20">
        <f>ROW()-1</f>
        <v/>
      </c>
      <c r="Z766" s="20">
        <f>IF($Y766&lt;=Settings!$B$4*3,"C",IF($Y766&lt;=(Settings!$B$4+Settings!$B$5)*3,"A",IF($Y766&lt;=(Settings!$B$4+Settings!$B$5+Settings!$B$6)*3,"F","")))</f>
        <v/>
      </c>
      <c r="AA766" s="20">
        <f>IF($Z766="C",$Y766,IF($Z766="A",$Y766-Settings!$B$4*3,IF($Z766="F",$Y766-(Settings!$B$4+Settings!$B$5)*3,"")))</f>
        <v/>
      </c>
      <c r="AB766" s="20">
        <f>IF($Z766="","",INT(($AA766-1)/3)+1)</f>
        <v/>
      </c>
      <c r="AC766" s="20">
        <f>IF($Z766="","",MOD($AA766-1,3)+1)</f>
        <v/>
      </c>
      <c r="AD766" s="20">
        <f>IF($Z766="","",Settings!$B$2+$AC766-1)</f>
        <v/>
      </c>
      <c r="AE766" s="21">
        <f>IF($Z766="C",DATE(YEAR(INDEX(Contracts!$J$2:$J$151,$AB766)),MONTH(INDEX(Contracts!$J$2:$J$151,$AB766)),1),IF($Z766="A",DATE(YEAR(INDEX(Fixed_Assets!$G$2:$G$201,$AB766)),MONTH(INDEX(Fixed_Assets!$G$2:$G$201,$AB766)),1),IF($Z766="F",DATE(YEAR(MAX(N(INDEX(Workforce!$I$2:$I$151,MATCH(INDEX(FTE_Allocation!$A$2:$A$201,$AB766),Workforce!$A$2:$A$151,0))),N(INDEX(FTE_Allocation!$I$2:$I$201,$AB766)))),MONTH(MAX(N(INDEX(Workforce!$I$2:$I$151,MATCH(INDEX(FTE_Allocation!$A$2:$A$201,$AB766),Workforce!$A$2:$A$151,0))),N(INDEX(FTE_Allocation!$I$2:$I$201,$AB766)))),1),"")))</f>
        <v/>
      </c>
      <c r="AF766" s="21">
        <f>IF($Z766="C",IF(INDEX(Contracts!$I$2:$I$151,$AB766)="PREPAID",EDATE(DATE(YEAR(INDEX(Contracts!$J$2:$J$151,$AB766)),MONTH(INDEX(Contracts!$J$2:$J$151,$AB766)),1),IF(INDEX(Contracts!$N$2:$N$151,$AB766)="",12,INDEX(Contracts!$N$2:$N$151,$AB766))-1),IF(INDEX(Contracts!$I$2:$I$151,$AB766)="MONTHLY",IF(INDEX(Contracts!$K$2:$K$151,$AB766)="",2958101,INDEX(Contracts!$K$2:$K$151,$AB766)),0)),IF($Z766="A",EDATE(DATE(YEAR(INDEX(Fixed_Assets!$G$2:$G$201,$AB766)),MONTH(INDEX(Fixed_Assets!$G$2:$G$201,$AB766)),1),INDEX(Fixed_Assets!$J$2:$J$201,$AB766)-1),IF($Z766="F",MIN(IF(INDEX(Workforce!$J$2:$J$151,MATCH(INDEX(FTE_Allocation!$A$2:$A$201,$AB766),Workforce!$A$2:$A$151,0))="",2958101,INDEX(Workforce!$J$2:$J$151,MATCH(INDEX(FTE_Allocation!$A$2:$A$201,$AB766),Workforce!$A$2:$A$151,0))),IF(INDEX(FTE_Allocation!$J$2:$J$201,$AB766)="",2958101,INDEX(FTE_Allocation!$J$2:$J$201,$AB766))),"")))</f>
        <v/>
      </c>
      <c r="AG766" s="19">
        <f>IF($Z766="C",IF(INDEX(Contracts!$I$2:$I$151,$AB766)="PREPAID",INDEX(Contracts!$M$2:$M$151,$AB766)/IF(INDEX(Contracts!$N$2:$N$151,$AB766)="",12,INDEX(Contracts!$N$2:$N$151,$AB766)),IF(INDEX(Contracts!$I$2:$I$151,$AB766)="MONTHLY",INDEX(Contracts!$M$2:$M$151,$AB766),0))*(1-N(INDEX(Contracts!$O$2:$O$151,$AB766))),IF($Z766="A",INDEX(Fixed_Assets!$H$2:$H$201,$AB766)/INDEX(Fixed_Assets!$J$2:$J$201,$AB766),IF($Z766="F",INDEX(Workforce!$F$2:$F$151,MATCH(INDEX(FTE_Allocation!$A$2:$A$201,$AB766),Workforce!$A$2:$A$151,0))*N(INDEX(FTE_Allocation!$F$2:$H$201,$AB766,$AC766)),"")))</f>
        <v/>
      </c>
    </row>
    <row r="767">
      <c r="A767" s="7">
        <f>IF($Z767="","",$AD767)</f>
        <v/>
      </c>
      <c r="B767" s="7">
        <f>IF($Z767="C",INDEX(Contracts!$D$2:$D$151,$AB767)&amp;"",IF($Z767="A",INDEX(Fixed_Assets!$C$2:$C$201,$AB767)&amp;"",IF($Z767="F",INDEX(Workforce!$B$2:$B$151,MATCH(INDEX(FTE_Allocation!$A$2:$A$201,$AB767),Workforce!$A$2:$A$151,0))&amp;"","")))</f>
        <v/>
      </c>
      <c r="C767" s="7">
        <f>IF($Z767="C",INDEX(Contracts!$E$2:$E$151,$AB767)&amp;"",IF($Z767="A",INDEX(Fixed_Assets!$D$2:$D$201,$AB767)&amp;"",IF($Z767="F",INDEX(FTE_Allocation!$C$2:$C$201,$AB767)&amp;"","")))</f>
        <v/>
      </c>
      <c r="D767" s="7">
        <f>IF($Z767="C",INDEX(Contracts!$B$2:$B$151,$AB767)&amp;"",IF($Z767="A",INDEX(Fixed_Assets!$B$2:$B$201,$AB767)&amp;"",IF($Z767="F",INDEX(FTE_Allocation!$B$2:$B$201,$AB767)&amp;"","")))</f>
        <v/>
      </c>
      <c r="E767" s="7">
        <f>IF($Z767="C",INDEX(Contracts!$P$2:$P$151,$AB767)&amp;"",IF($Z767="A",INDEX(Fixed_Assets!$K$2:$K$201,$AB767)&amp;"",IF($Z767="F",IF(INDEX(FTE_Allocation!$D$2:$D$201,$AB767)="PROJECT",IFERROR(INDEX(Projects!$D:$D,MATCH(INDEX(FTE_Allocation!$E$2:$E$201,$AB767),Projects!$A:$A,0))&amp;"","#PROJECT?"),INDEX(FTE_Allocation!$E$2:$E$201,$AB767)&amp;""),"")))</f>
        <v/>
      </c>
      <c r="F767" s="7">
        <f>IF($Z767="C",INDEX(Contracts!$Q$2:$Q$151,$AB767)&amp;"",IF($Z767="A",INDEX(Fixed_Assets!$L$2:$L$201,$AB767)&amp;"",IF($Z767="F",INDEX(Workforce!$K$2:$K$151,MATCH(INDEX(FTE_Allocation!$A$2:$A$201,$AB767),Workforce!$A$2:$A$151,0))&amp;"","")))</f>
        <v/>
      </c>
      <c r="G767" s="7">
        <f>IF($Z767="C",INDEX(Contracts!$F$2:$F$151,$AB767)&amp;" / "&amp;INDEX(Contracts!$G$2:$G$151,$AB767),IF($Z767="A",INDEX(Fixed_Assets!$E$2:$E$201,$AB767)&amp;"",IF($Z767="F","Personnel "&amp;INDEX(FTE_Allocation!$A$2:$A$201,$AB767)&amp;IF(INDEX(FTE_Allocation!$D$2:$D$201,$AB767)="PROJECT"," ("&amp;INDEX(FTE_Allocation!$E$2:$E$201,$AB767)&amp;")",""),"")))</f>
        <v/>
      </c>
      <c r="H767" s="7">
        <f>IF($Z767="C","CONTRACT",IF($Z767="A","ASSET",IF($Z767="F","WORKFORCE","")))</f>
        <v/>
      </c>
      <c r="I767" s="7">
        <f>IF($Z767="C",INDEX(Contracts!$L$2:$L$151,$AB767)&amp;"",IF($Z767="A",INDEX(Fixed_Assets!$I$2:$I$201,$AB767)&amp;"",IF($Z767="F",INDEX(Workforce!$G$2:$G$151,MATCH(INDEX(FTE_Allocation!$A$2:$A$201,$AB767),Workforce!$A$2:$A$151,0))&amp;"","")))</f>
        <v/>
      </c>
      <c r="J767" s="18">
        <f>IF($Z767="","",IF(AND(DATE($AD767,1,1)&gt;=$AE767,DATE($AD767,1,1)&lt;=$AF767),ROUND($AG767,2),0))</f>
        <v/>
      </c>
      <c r="K767" s="18">
        <f>IF($Z767="","",IF(AND(DATE($AD767,2,1)&gt;=$AE767,DATE($AD767,2,1)&lt;=$AF767),ROUND($AG767,2),0))</f>
        <v/>
      </c>
      <c r="L767" s="18">
        <f>IF($Z767="","",IF(AND(DATE($AD767,3,1)&gt;=$AE767,DATE($AD767,3,1)&lt;=$AF767),ROUND($AG767,2),0))</f>
        <v/>
      </c>
      <c r="M767" s="18">
        <f>IF($Z767="","",IF(AND(DATE($AD767,4,1)&gt;=$AE767,DATE($AD767,4,1)&lt;=$AF767),ROUND($AG767,2),0))</f>
        <v/>
      </c>
      <c r="N767" s="18">
        <f>IF($Z767="","",IF(AND(DATE($AD767,5,1)&gt;=$AE767,DATE($AD767,5,1)&lt;=$AF767),ROUND($AG767,2),0))</f>
        <v/>
      </c>
      <c r="O767" s="18">
        <f>IF($Z767="","",IF(AND(DATE($AD767,6,1)&gt;=$AE767,DATE($AD767,6,1)&lt;=$AF767),ROUND($AG767,2),0))</f>
        <v/>
      </c>
      <c r="P767" s="18">
        <f>IF($Z767="","",IF(AND(DATE($AD767,7,1)&gt;=$AE767,DATE($AD767,7,1)&lt;=$AF767),ROUND($AG767,2),0))</f>
        <v/>
      </c>
      <c r="Q767" s="18">
        <f>IF($Z767="","",IF(AND(DATE($AD767,8,1)&gt;=$AE767,DATE($AD767,8,1)&lt;=$AF767),ROUND($AG767,2),0))</f>
        <v/>
      </c>
      <c r="R767" s="18">
        <f>IF($Z767="","",IF(AND(DATE($AD767,9,1)&gt;=$AE767,DATE($AD767,9,1)&lt;=$AF767),ROUND($AG767,2),0))</f>
        <v/>
      </c>
      <c r="S767" s="18">
        <f>IF($Z767="","",IF(AND(DATE($AD767,10,1)&gt;=$AE767,DATE($AD767,10,1)&lt;=$AF767),ROUND($AG767,2),0))</f>
        <v/>
      </c>
      <c r="T767" s="18">
        <f>IF($Z767="","",IF(AND(DATE($AD767,11,1)&gt;=$AE767,DATE($AD767,11,1)&lt;=$AF767),ROUND($AG767,2),0))</f>
        <v/>
      </c>
      <c r="U767" s="18">
        <f>IF($Z767="","",IF(AND(DATE($AD767,12,1)&gt;=$AE767,DATE($AD767,12,1)&lt;=$AF767),ROUND($AG767,2),0))</f>
        <v/>
      </c>
      <c r="V767" s="7">
        <f>IF($Z767="C","Generated from "&amp;INDEX(Contracts!$A$2:$A$151,$AB767),IF($Z767="A","Generated from "&amp;INDEX(Fixed_Assets!$A$2:$A$201,$AB767),IF($Z767="F","Generated from "&amp;INDEX(FTE_Allocation!$A$2:$A$201,$AB767),"")))</f>
        <v/>
      </c>
      <c r="X767" s="19">
        <f>IF($Z767="","",SUM(J767:U767))</f>
        <v/>
      </c>
      <c r="Y767" s="20">
        <f>ROW()-1</f>
        <v/>
      </c>
      <c r="Z767" s="20">
        <f>IF($Y767&lt;=Settings!$B$4*3,"C",IF($Y767&lt;=(Settings!$B$4+Settings!$B$5)*3,"A",IF($Y767&lt;=(Settings!$B$4+Settings!$B$5+Settings!$B$6)*3,"F","")))</f>
        <v/>
      </c>
      <c r="AA767" s="20">
        <f>IF($Z767="C",$Y767,IF($Z767="A",$Y767-Settings!$B$4*3,IF($Z767="F",$Y767-(Settings!$B$4+Settings!$B$5)*3,"")))</f>
        <v/>
      </c>
      <c r="AB767" s="20">
        <f>IF($Z767="","",INT(($AA767-1)/3)+1)</f>
        <v/>
      </c>
      <c r="AC767" s="20">
        <f>IF($Z767="","",MOD($AA767-1,3)+1)</f>
        <v/>
      </c>
      <c r="AD767" s="20">
        <f>IF($Z767="","",Settings!$B$2+$AC767-1)</f>
        <v/>
      </c>
      <c r="AE767" s="21">
        <f>IF($Z767="C",DATE(YEAR(INDEX(Contracts!$J$2:$J$151,$AB767)),MONTH(INDEX(Contracts!$J$2:$J$151,$AB767)),1),IF($Z767="A",DATE(YEAR(INDEX(Fixed_Assets!$G$2:$G$201,$AB767)),MONTH(INDEX(Fixed_Assets!$G$2:$G$201,$AB767)),1),IF($Z767="F",DATE(YEAR(MAX(N(INDEX(Workforce!$I$2:$I$151,MATCH(INDEX(FTE_Allocation!$A$2:$A$201,$AB767),Workforce!$A$2:$A$151,0))),N(INDEX(FTE_Allocation!$I$2:$I$201,$AB767)))),MONTH(MAX(N(INDEX(Workforce!$I$2:$I$151,MATCH(INDEX(FTE_Allocation!$A$2:$A$201,$AB767),Workforce!$A$2:$A$151,0))),N(INDEX(FTE_Allocation!$I$2:$I$201,$AB767)))),1),"")))</f>
        <v/>
      </c>
      <c r="AF767" s="21">
        <f>IF($Z767="C",IF(INDEX(Contracts!$I$2:$I$151,$AB767)="PREPAID",EDATE(DATE(YEAR(INDEX(Contracts!$J$2:$J$151,$AB767)),MONTH(INDEX(Contracts!$J$2:$J$151,$AB767)),1),IF(INDEX(Contracts!$N$2:$N$151,$AB767)="",12,INDEX(Contracts!$N$2:$N$151,$AB767))-1),IF(INDEX(Contracts!$I$2:$I$151,$AB767)="MONTHLY",IF(INDEX(Contracts!$K$2:$K$151,$AB767)="",2958101,INDEX(Contracts!$K$2:$K$151,$AB767)),0)),IF($Z767="A",EDATE(DATE(YEAR(INDEX(Fixed_Assets!$G$2:$G$201,$AB767)),MONTH(INDEX(Fixed_Assets!$G$2:$G$201,$AB767)),1),INDEX(Fixed_Assets!$J$2:$J$201,$AB767)-1),IF($Z767="F",MIN(IF(INDEX(Workforce!$J$2:$J$151,MATCH(INDEX(FTE_Allocation!$A$2:$A$201,$AB767),Workforce!$A$2:$A$151,0))="",2958101,INDEX(Workforce!$J$2:$J$151,MATCH(INDEX(FTE_Allocation!$A$2:$A$201,$AB767),Workforce!$A$2:$A$151,0))),IF(INDEX(FTE_Allocation!$J$2:$J$201,$AB767)="",2958101,INDEX(FTE_Allocation!$J$2:$J$201,$AB767))),"")))</f>
        <v/>
      </c>
      <c r="AG767" s="19">
        <f>IF($Z767="C",IF(INDEX(Contracts!$I$2:$I$151,$AB767)="PREPAID",INDEX(Contracts!$M$2:$M$151,$AB767)/IF(INDEX(Contracts!$N$2:$N$151,$AB767)="",12,INDEX(Contracts!$N$2:$N$151,$AB767)),IF(INDEX(Contracts!$I$2:$I$151,$AB767)="MONTHLY",INDEX(Contracts!$M$2:$M$151,$AB767),0))*(1-N(INDEX(Contracts!$O$2:$O$151,$AB767))),IF($Z767="A",INDEX(Fixed_Assets!$H$2:$H$201,$AB767)/INDEX(Fixed_Assets!$J$2:$J$201,$AB767),IF($Z767="F",INDEX(Workforce!$F$2:$F$151,MATCH(INDEX(FTE_Allocation!$A$2:$A$201,$AB767),Workforce!$A$2:$A$151,0))*N(INDEX(FTE_Allocation!$F$2:$H$201,$AB767,$AC767)),"")))</f>
        <v/>
      </c>
    </row>
    <row r="768">
      <c r="A768" s="7">
        <f>IF($Z768="","",$AD768)</f>
        <v/>
      </c>
      <c r="B768" s="7">
        <f>IF($Z768="C",INDEX(Contracts!$D$2:$D$151,$AB768)&amp;"",IF($Z768="A",INDEX(Fixed_Assets!$C$2:$C$201,$AB768)&amp;"",IF($Z768="F",INDEX(Workforce!$B$2:$B$151,MATCH(INDEX(FTE_Allocation!$A$2:$A$201,$AB768),Workforce!$A$2:$A$151,0))&amp;"","")))</f>
        <v/>
      </c>
      <c r="C768" s="7">
        <f>IF($Z768="C",INDEX(Contracts!$E$2:$E$151,$AB768)&amp;"",IF($Z768="A",INDEX(Fixed_Assets!$D$2:$D$201,$AB768)&amp;"",IF($Z768="F",INDEX(FTE_Allocation!$C$2:$C$201,$AB768)&amp;"","")))</f>
        <v/>
      </c>
      <c r="D768" s="7">
        <f>IF($Z768="C",INDEX(Contracts!$B$2:$B$151,$AB768)&amp;"",IF($Z768="A",INDEX(Fixed_Assets!$B$2:$B$201,$AB768)&amp;"",IF($Z768="F",INDEX(FTE_Allocation!$B$2:$B$201,$AB768)&amp;"","")))</f>
        <v/>
      </c>
      <c r="E768" s="7">
        <f>IF($Z768="C",INDEX(Contracts!$P$2:$P$151,$AB768)&amp;"",IF($Z768="A",INDEX(Fixed_Assets!$K$2:$K$201,$AB768)&amp;"",IF($Z768="F",IF(INDEX(FTE_Allocation!$D$2:$D$201,$AB768)="PROJECT",IFERROR(INDEX(Projects!$D:$D,MATCH(INDEX(FTE_Allocation!$E$2:$E$201,$AB768),Projects!$A:$A,0))&amp;"","#PROJECT?"),INDEX(FTE_Allocation!$E$2:$E$201,$AB768)&amp;""),"")))</f>
        <v/>
      </c>
      <c r="F768" s="7">
        <f>IF($Z768="C",INDEX(Contracts!$Q$2:$Q$151,$AB768)&amp;"",IF($Z768="A",INDEX(Fixed_Assets!$L$2:$L$201,$AB768)&amp;"",IF($Z768="F",INDEX(Workforce!$K$2:$K$151,MATCH(INDEX(FTE_Allocation!$A$2:$A$201,$AB768),Workforce!$A$2:$A$151,0))&amp;"","")))</f>
        <v/>
      </c>
      <c r="G768" s="7">
        <f>IF($Z768="C",INDEX(Contracts!$F$2:$F$151,$AB768)&amp;" / "&amp;INDEX(Contracts!$G$2:$G$151,$AB768),IF($Z768="A",INDEX(Fixed_Assets!$E$2:$E$201,$AB768)&amp;"",IF($Z768="F","Personnel "&amp;INDEX(FTE_Allocation!$A$2:$A$201,$AB768)&amp;IF(INDEX(FTE_Allocation!$D$2:$D$201,$AB768)="PROJECT"," ("&amp;INDEX(FTE_Allocation!$E$2:$E$201,$AB768)&amp;")",""),"")))</f>
        <v/>
      </c>
      <c r="H768" s="7">
        <f>IF($Z768="C","CONTRACT",IF($Z768="A","ASSET",IF($Z768="F","WORKFORCE","")))</f>
        <v/>
      </c>
      <c r="I768" s="7">
        <f>IF($Z768="C",INDEX(Contracts!$L$2:$L$151,$AB768)&amp;"",IF($Z768="A",INDEX(Fixed_Assets!$I$2:$I$201,$AB768)&amp;"",IF($Z768="F",INDEX(Workforce!$G$2:$G$151,MATCH(INDEX(FTE_Allocation!$A$2:$A$201,$AB768),Workforce!$A$2:$A$151,0))&amp;"","")))</f>
        <v/>
      </c>
      <c r="J768" s="18">
        <f>IF($Z768="","",IF(AND(DATE($AD768,1,1)&gt;=$AE768,DATE($AD768,1,1)&lt;=$AF768),ROUND($AG768,2),0))</f>
        <v/>
      </c>
      <c r="K768" s="18">
        <f>IF($Z768="","",IF(AND(DATE($AD768,2,1)&gt;=$AE768,DATE($AD768,2,1)&lt;=$AF768),ROUND($AG768,2),0))</f>
        <v/>
      </c>
      <c r="L768" s="18">
        <f>IF($Z768="","",IF(AND(DATE($AD768,3,1)&gt;=$AE768,DATE($AD768,3,1)&lt;=$AF768),ROUND($AG768,2),0))</f>
        <v/>
      </c>
      <c r="M768" s="18">
        <f>IF($Z768="","",IF(AND(DATE($AD768,4,1)&gt;=$AE768,DATE($AD768,4,1)&lt;=$AF768),ROUND($AG768,2),0))</f>
        <v/>
      </c>
      <c r="N768" s="18">
        <f>IF($Z768="","",IF(AND(DATE($AD768,5,1)&gt;=$AE768,DATE($AD768,5,1)&lt;=$AF768),ROUND($AG768,2),0))</f>
        <v/>
      </c>
      <c r="O768" s="18">
        <f>IF($Z768="","",IF(AND(DATE($AD768,6,1)&gt;=$AE768,DATE($AD768,6,1)&lt;=$AF768),ROUND($AG768,2),0))</f>
        <v/>
      </c>
      <c r="P768" s="18">
        <f>IF($Z768="","",IF(AND(DATE($AD768,7,1)&gt;=$AE768,DATE($AD768,7,1)&lt;=$AF768),ROUND($AG768,2),0))</f>
        <v/>
      </c>
      <c r="Q768" s="18">
        <f>IF($Z768="","",IF(AND(DATE($AD768,8,1)&gt;=$AE768,DATE($AD768,8,1)&lt;=$AF768),ROUND($AG768,2),0))</f>
        <v/>
      </c>
      <c r="R768" s="18">
        <f>IF($Z768="","",IF(AND(DATE($AD768,9,1)&gt;=$AE768,DATE($AD768,9,1)&lt;=$AF768),ROUND($AG768,2),0))</f>
        <v/>
      </c>
      <c r="S768" s="18">
        <f>IF($Z768="","",IF(AND(DATE($AD768,10,1)&gt;=$AE768,DATE($AD768,10,1)&lt;=$AF768),ROUND($AG768,2),0))</f>
        <v/>
      </c>
      <c r="T768" s="18">
        <f>IF($Z768="","",IF(AND(DATE($AD768,11,1)&gt;=$AE768,DATE($AD768,11,1)&lt;=$AF768),ROUND($AG768,2),0))</f>
        <v/>
      </c>
      <c r="U768" s="18">
        <f>IF($Z768="","",IF(AND(DATE($AD768,12,1)&gt;=$AE768,DATE($AD768,12,1)&lt;=$AF768),ROUND($AG768,2),0))</f>
        <v/>
      </c>
      <c r="V768" s="7">
        <f>IF($Z768="C","Generated from "&amp;INDEX(Contracts!$A$2:$A$151,$AB768),IF($Z768="A","Generated from "&amp;INDEX(Fixed_Assets!$A$2:$A$201,$AB768),IF($Z768="F","Generated from "&amp;INDEX(FTE_Allocation!$A$2:$A$201,$AB768),"")))</f>
        <v/>
      </c>
      <c r="X768" s="19">
        <f>IF($Z768="","",SUM(J768:U768))</f>
        <v/>
      </c>
      <c r="Y768" s="20">
        <f>ROW()-1</f>
        <v/>
      </c>
      <c r="Z768" s="20">
        <f>IF($Y768&lt;=Settings!$B$4*3,"C",IF($Y768&lt;=(Settings!$B$4+Settings!$B$5)*3,"A",IF($Y768&lt;=(Settings!$B$4+Settings!$B$5+Settings!$B$6)*3,"F","")))</f>
        <v/>
      </c>
      <c r="AA768" s="20">
        <f>IF($Z768="C",$Y768,IF($Z768="A",$Y768-Settings!$B$4*3,IF($Z768="F",$Y768-(Settings!$B$4+Settings!$B$5)*3,"")))</f>
        <v/>
      </c>
      <c r="AB768" s="20">
        <f>IF($Z768="","",INT(($AA768-1)/3)+1)</f>
        <v/>
      </c>
      <c r="AC768" s="20">
        <f>IF($Z768="","",MOD($AA768-1,3)+1)</f>
        <v/>
      </c>
      <c r="AD768" s="20">
        <f>IF($Z768="","",Settings!$B$2+$AC768-1)</f>
        <v/>
      </c>
      <c r="AE768" s="21">
        <f>IF($Z768="C",DATE(YEAR(INDEX(Contracts!$J$2:$J$151,$AB768)),MONTH(INDEX(Contracts!$J$2:$J$151,$AB768)),1),IF($Z768="A",DATE(YEAR(INDEX(Fixed_Assets!$G$2:$G$201,$AB768)),MONTH(INDEX(Fixed_Assets!$G$2:$G$201,$AB768)),1),IF($Z768="F",DATE(YEAR(MAX(N(INDEX(Workforce!$I$2:$I$151,MATCH(INDEX(FTE_Allocation!$A$2:$A$201,$AB768),Workforce!$A$2:$A$151,0))),N(INDEX(FTE_Allocation!$I$2:$I$201,$AB768)))),MONTH(MAX(N(INDEX(Workforce!$I$2:$I$151,MATCH(INDEX(FTE_Allocation!$A$2:$A$201,$AB768),Workforce!$A$2:$A$151,0))),N(INDEX(FTE_Allocation!$I$2:$I$201,$AB768)))),1),"")))</f>
        <v/>
      </c>
      <c r="AF768" s="21">
        <f>IF($Z768="C",IF(INDEX(Contracts!$I$2:$I$151,$AB768)="PREPAID",EDATE(DATE(YEAR(INDEX(Contracts!$J$2:$J$151,$AB768)),MONTH(INDEX(Contracts!$J$2:$J$151,$AB768)),1),IF(INDEX(Contracts!$N$2:$N$151,$AB768)="",12,INDEX(Contracts!$N$2:$N$151,$AB768))-1),IF(INDEX(Contracts!$I$2:$I$151,$AB768)="MONTHLY",IF(INDEX(Contracts!$K$2:$K$151,$AB768)="",2958101,INDEX(Contracts!$K$2:$K$151,$AB768)),0)),IF($Z768="A",EDATE(DATE(YEAR(INDEX(Fixed_Assets!$G$2:$G$201,$AB768)),MONTH(INDEX(Fixed_Assets!$G$2:$G$201,$AB768)),1),INDEX(Fixed_Assets!$J$2:$J$201,$AB768)-1),IF($Z768="F",MIN(IF(INDEX(Workforce!$J$2:$J$151,MATCH(INDEX(FTE_Allocation!$A$2:$A$201,$AB768),Workforce!$A$2:$A$151,0))="",2958101,INDEX(Workforce!$J$2:$J$151,MATCH(INDEX(FTE_Allocation!$A$2:$A$201,$AB768),Workforce!$A$2:$A$151,0))),IF(INDEX(FTE_Allocation!$J$2:$J$201,$AB768)="",2958101,INDEX(FTE_Allocation!$J$2:$J$201,$AB768))),"")))</f>
        <v/>
      </c>
      <c r="AG768" s="19">
        <f>IF($Z768="C",IF(INDEX(Contracts!$I$2:$I$151,$AB768)="PREPAID",INDEX(Contracts!$M$2:$M$151,$AB768)/IF(INDEX(Contracts!$N$2:$N$151,$AB768)="",12,INDEX(Contracts!$N$2:$N$151,$AB768)),IF(INDEX(Contracts!$I$2:$I$151,$AB768)="MONTHLY",INDEX(Contracts!$M$2:$M$151,$AB768),0))*(1-N(INDEX(Contracts!$O$2:$O$151,$AB768))),IF($Z768="A",INDEX(Fixed_Assets!$H$2:$H$201,$AB768)/INDEX(Fixed_Assets!$J$2:$J$201,$AB768),IF($Z768="F",INDEX(Workforce!$F$2:$F$151,MATCH(INDEX(FTE_Allocation!$A$2:$A$201,$AB768),Workforce!$A$2:$A$151,0))*N(INDEX(FTE_Allocation!$F$2:$H$201,$AB768,$AC768)),"")))</f>
        <v/>
      </c>
    </row>
    <row r="769">
      <c r="A769" s="7">
        <f>IF($Z769="","",$AD769)</f>
        <v/>
      </c>
      <c r="B769" s="7">
        <f>IF($Z769="C",INDEX(Contracts!$D$2:$D$151,$AB769)&amp;"",IF($Z769="A",INDEX(Fixed_Assets!$C$2:$C$201,$AB769)&amp;"",IF($Z769="F",INDEX(Workforce!$B$2:$B$151,MATCH(INDEX(FTE_Allocation!$A$2:$A$201,$AB769),Workforce!$A$2:$A$151,0))&amp;"","")))</f>
        <v/>
      </c>
      <c r="C769" s="7">
        <f>IF($Z769="C",INDEX(Contracts!$E$2:$E$151,$AB769)&amp;"",IF($Z769="A",INDEX(Fixed_Assets!$D$2:$D$201,$AB769)&amp;"",IF($Z769="F",INDEX(FTE_Allocation!$C$2:$C$201,$AB769)&amp;"","")))</f>
        <v/>
      </c>
      <c r="D769" s="7">
        <f>IF($Z769="C",INDEX(Contracts!$B$2:$B$151,$AB769)&amp;"",IF($Z769="A",INDEX(Fixed_Assets!$B$2:$B$201,$AB769)&amp;"",IF($Z769="F",INDEX(FTE_Allocation!$B$2:$B$201,$AB769)&amp;"","")))</f>
        <v/>
      </c>
      <c r="E769" s="7">
        <f>IF($Z769="C",INDEX(Contracts!$P$2:$P$151,$AB769)&amp;"",IF($Z769="A",INDEX(Fixed_Assets!$K$2:$K$201,$AB769)&amp;"",IF($Z769="F",IF(INDEX(FTE_Allocation!$D$2:$D$201,$AB769)="PROJECT",IFERROR(INDEX(Projects!$D:$D,MATCH(INDEX(FTE_Allocation!$E$2:$E$201,$AB769),Projects!$A:$A,0))&amp;"","#PROJECT?"),INDEX(FTE_Allocation!$E$2:$E$201,$AB769)&amp;""),"")))</f>
        <v/>
      </c>
      <c r="F769" s="7">
        <f>IF($Z769="C",INDEX(Contracts!$Q$2:$Q$151,$AB769)&amp;"",IF($Z769="A",INDEX(Fixed_Assets!$L$2:$L$201,$AB769)&amp;"",IF($Z769="F",INDEX(Workforce!$K$2:$K$151,MATCH(INDEX(FTE_Allocation!$A$2:$A$201,$AB769),Workforce!$A$2:$A$151,0))&amp;"","")))</f>
        <v/>
      </c>
      <c r="G769" s="7">
        <f>IF($Z769="C",INDEX(Contracts!$F$2:$F$151,$AB769)&amp;" / "&amp;INDEX(Contracts!$G$2:$G$151,$AB769),IF($Z769="A",INDEX(Fixed_Assets!$E$2:$E$201,$AB769)&amp;"",IF($Z769="F","Personnel "&amp;INDEX(FTE_Allocation!$A$2:$A$201,$AB769)&amp;IF(INDEX(FTE_Allocation!$D$2:$D$201,$AB769)="PROJECT"," ("&amp;INDEX(FTE_Allocation!$E$2:$E$201,$AB769)&amp;")",""),"")))</f>
        <v/>
      </c>
      <c r="H769" s="7">
        <f>IF($Z769="C","CONTRACT",IF($Z769="A","ASSET",IF($Z769="F","WORKFORCE","")))</f>
        <v/>
      </c>
      <c r="I769" s="7">
        <f>IF($Z769="C",INDEX(Contracts!$L$2:$L$151,$AB769)&amp;"",IF($Z769="A",INDEX(Fixed_Assets!$I$2:$I$201,$AB769)&amp;"",IF($Z769="F",INDEX(Workforce!$G$2:$G$151,MATCH(INDEX(FTE_Allocation!$A$2:$A$201,$AB769),Workforce!$A$2:$A$151,0))&amp;"","")))</f>
        <v/>
      </c>
      <c r="J769" s="18">
        <f>IF($Z769="","",IF(AND(DATE($AD769,1,1)&gt;=$AE769,DATE($AD769,1,1)&lt;=$AF769),ROUND($AG769,2),0))</f>
        <v/>
      </c>
      <c r="K769" s="18">
        <f>IF($Z769="","",IF(AND(DATE($AD769,2,1)&gt;=$AE769,DATE($AD769,2,1)&lt;=$AF769),ROUND($AG769,2),0))</f>
        <v/>
      </c>
      <c r="L769" s="18">
        <f>IF($Z769="","",IF(AND(DATE($AD769,3,1)&gt;=$AE769,DATE($AD769,3,1)&lt;=$AF769),ROUND($AG769,2),0))</f>
        <v/>
      </c>
      <c r="M769" s="18">
        <f>IF($Z769="","",IF(AND(DATE($AD769,4,1)&gt;=$AE769,DATE($AD769,4,1)&lt;=$AF769),ROUND($AG769,2),0))</f>
        <v/>
      </c>
      <c r="N769" s="18">
        <f>IF($Z769="","",IF(AND(DATE($AD769,5,1)&gt;=$AE769,DATE($AD769,5,1)&lt;=$AF769),ROUND($AG769,2),0))</f>
        <v/>
      </c>
      <c r="O769" s="18">
        <f>IF($Z769="","",IF(AND(DATE($AD769,6,1)&gt;=$AE769,DATE($AD769,6,1)&lt;=$AF769),ROUND($AG769,2),0))</f>
        <v/>
      </c>
      <c r="P769" s="18">
        <f>IF($Z769="","",IF(AND(DATE($AD769,7,1)&gt;=$AE769,DATE($AD769,7,1)&lt;=$AF769),ROUND($AG769,2),0))</f>
        <v/>
      </c>
      <c r="Q769" s="18">
        <f>IF($Z769="","",IF(AND(DATE($AD769,8,1)&gt;=$AE769,DATE($AD769,8,1)&lt;=$AF769),ROUND($AG769,2),0))</f>
        <v/>
      </c>
      <c r="R769" s="18">
        <f>IF($Z769="","",IF(AND(DATE($AD769,9,1)&gt;=$AE769,DATE($AD769,9,1)&lt;=$AF769),ROUND($AG769,2),0))</f>
        <v/>
      </c>
      <c r="S769" s="18">
        <f>IF($Z769="","",IF(AND(DATE($AD769,10,1)&gt;=$AE769,DATE($AD769,10,1)&lt;=$AF769),ROUND($AG769,2),0))</f>
        <v/>
      </c>
      <c r="T769" s="18">
        <f>IF($Z769="","",IF(AND(DATE($AD769,11,1)&gt;=$AE769,DATE($AD769,11,1)&lt;=$AF769),ROUND($AG769,2),0))</f>
        <v/>
      </c>
      <c r="U769" s="18">
        <f>IF($Z769="","",IF(AND(DATE($AD769,12,1)&gt;=$AE769,DATE($AD769,12,1)&lt;=$AF769),ROUND($AG769,2),0))</f>
        <v/>
      </c>
      <c r="V769" s="7">
        <f>IF($Z769="C","Generated from "&amp;INDEX(Contracts!$A$2:$A$151,$AB769),IF($Z769="A","Generated from "&amp;INDEX(Fixed_Assets!$A$2:$A$201,$AB769),IF($Z769="F","Generated from "&amp;INDEX(FTE_Allocation!$A$2:$A$201,$AB769),"")))</f>
        <v/>
      </c>
      <c r="X769" s="19">
        <f>IF($Z769="","",SUM(J769:U769))</f>
        <v/>
      </c>
      <c r="Y769" s="20">
        <f>ROW()-1</f>
        <v/>
      </c>
      <c r="Z769" s="20">
        <f>IF($Y769&lt;=Settings!$B$4*3,"C",IF($Y769&lt;=(Settings!$B$4+Settings!$B$5)*3,"A",IF($Y769&lt;=(Settings!$B$4+Settings!$B$5+Settings!$B$6)*3,"F","")))</f>
        <v/>
      </c>
      <c r="AA769" s="20">
        <f>IF($Z769="C",$Y769,IF($Z769="A",$Y769-Settings!$B$4*3,IF($Z769="F",$Y769-(Settings!$B$4+Settings!$B$5)*3,"")))</f>
        <v/>
      </c>
      <c r="AB769" s="20">
        <f>IF($Z769="","",INT(($AA769-1)/3)+1)</f>
        <v/>
      </c>
      <c r="AC769" s="20">
        <f>IF($Z769="","",MOD($AA769-1,3)+1)</f>
        <v/>
      </c>
      <c r="AD769" s="20">
        <f>IF($Z769="","",Settings!$B$2+$AC769-1)</f>
        <v/>
      </c>
      <c r="AE769" s="21">
        <f>IF($Z769="C",DATE(YEAR(INDEX(Contracts!$J$2:$J$151,$AB769)),MONTH(INDEX(Contracts!$J$2:$J$151,$AB769)),1),IF($Z769="A",DATE(YEAR(INDEX(Fixed_Assets!$G$2:$G$201,$AB769)),MONTH(INDEX(Fixed_Assets!$G$2:$G$201,$AB769)),1),IF($Z769="F",DATE(YEAR(MAX(N(INDEX(Workforce!$I$2:$I$151,MATCH(INDEX(FTE_Allocation!$A$2:$A$201,$AB769),Workforce!$A$2:$A$151,0))),N(INDEX(FTE_Allocation!$I$2:$I$201,$AB769)))),MONTH(MAX(N(INDEX(Workforce!$I$2:$I$151,MATCH(INDEX(FTE_Allocation!$A$2:$A$201,$AB769),Workforce!$A$2:$A$151,0))),N(INDEX(FTE_Allocation!$I$2:$I$201,$AB769)))),1),"")))</f>
        <v/>
      </c>
      <c r="AF769" s="21">
        <f>IF($Z769="C",IF(INDEX(Contracts!$I$2:$I$151,$AB769)="PREPAID",EDATE(DATE(YEAR(INDEX(Contracts!$J$2:$J$151,$AB769)),MONTH(INDEX(Contracts!$J$2:$J$151,$AB769)),1),IF(INDEX(Contracts!$N$2:$N$151,$AB769)="",12,INDEX(Contracts!$N$2:$N$151,$AB769))-1),IF(INDEX(Contracts!$I$2:$I$151,$AB769)="MONTHLY",IF(INDEX(Contracts!$K$2:$K$151,$AB769)="",2958101,INDEX(Contracts!$K$2:$K$151,$AB769)),0)),IF($Z769="A",EDATE(DATE(YEAR(INDEX(Fixed_Assets!$G$2:$G$201,$AB769)),MONTH(INDEX(Fixed_Assets!$G$2:$G$201,$AB769)),1),INDEX(Fixed_Assets!$J$2:$J$201,$AB769)-1),IF($Z769="F",MIN(IF(INDEX(Workforce!$J$2:$J$151,MATCH(INDEX(FTE_Allocation!$A$2:$A$201,$AB769),Workforce!$A$2:$A$151,0))="",2958101,INDEX(Workforce!$J$2:$J$151,MATCH(INDEX(FTE_Allocation!$A$2:$A$201,$AB769),Workforce!$A$2:$A$151,0))),IF(INDEX(FTE_Allocation!$J$2:$J$201,$AB769)="",2958101,INDEX(FTE_Allocation!$J$2:$J$201,$AB769))),"")))</f>
        <v/>
      </c>
      <c r="AG769" s="19">
        <f>IF($Z769="C",IF(INDEX(Contracts!$I$2:$I$151,$AB769)="PREPAID",INDEX(Contracts!$M$2:$M$151,$AB769)/IF(INDEX(Contracts!$N$2:$N$151,$AB769)="",12,INDEX(Contracts!$N$2:$N$151,$AB769)),IF(INDEX(Contracts!$I$2:$I$151,$AB769)="MONTHLY",INDEX(Contracts!$M$2:$M$151,$AB769),0))*(1-N(INDEX(Contracts!$O$2:$O$151,$AB769))),IF($Z769="A",INDEX(Fixed_Assets!$H$2:$H$201,$AB769)/INDEX(Fixed_Assets!$J$2:$J$201,$AB769),IF($Z769="F",INDEX(Workforce!$F$2:$F$151,MATCH(INDEX(FTE_Allocation!$A$2:$A$201,$AB769),Workforce!$A$2:$A$151,0))*N(INDEX(FTE_Allocation!$F$2:$H$201,$AB769,$AC769)),"")))</f>
        <v/>
      </c>
    </row>
    <row r="770">
      <c r="A770" s="7">
        <f>IF($Z770="","",$AD770)</f>
        <v/>
      </c>
      <c r="B770" s="7">
        <f>IF($Z770="C",INDEX(Contracts!$D$2:$D$151,$AB770)&amp;"",IF($Z770="A",INDEX(Fixed_Assets!$C$2:$C$201,$AB770)&amp;"",IF($Z770="F",INDEX(Workforce!$B$2:$B$151,MATCH(INDEX(FTE_Allocation!$A$2:$A$201,$AB770),Workforce!$A$2:$A$151,0))&amp;"","")))</f>
        <v/>
      </c>
      <c r="C770" s="7">
        <f>IF($Z770="C",INDEX(Contracts!$E$2:$E$151,$AB770)&amp;"",IF($Z770="A",INDEX(Fixed_Assets!$D$2:$D$201,$AB770)&amp;"",IF($Z770="F",INDEX(FTE_Allocation!$C$2:$C$201,$AB770)&amp;"","")))</f>
        <v/>
      </c>
      <c r="D770" s="7">
        <f>IF($Z770="C",INDEX(Contracts!$B$2:$B$151,$AB770)&amp;"",IF($Z770="A",INDEX(Fixed_Assets!$B$2:$B$201,$AB770)&amp;"",IF($Z770="F",INDEX(FTE_Allocation!$B$2:$B$201,$AB770)&amp;"","")))</f>
        <v/>
      </c>
      <c r="E770" s="7">
        <f>IF($Z770="C",INDEX(Contracts!$P$2:$P$151,$AB770)&amp;"",IF($Z770="A",INDEX(Fixed_Assets!$K$2:$K$201,$AB770)&amp;"",IF($Z770="F",IF(INDEX(FTE_Allocation!$D$2:$D$201,$AB770)="PROJECT",IFERROR(INDEX(Projects!$D:$D,MATCH(INDEX(FTE_Allocation!$E$2:$E$201,$AB770),Projects!$A:$A,0))&amp;"","#PROJECT?"),INDEX(FTE_Allocation!$E$2:$E$201,$AB770)&amp;""),"")))</f>
        <v/>
      </c>
      <c r="F770" s="7">
        <f>IF($Z770="C",INDEX(Contracts!$Q$2:$Q$151,$AB770)&amp;"",IF($Z770="A",INDEX(Fixed_Assets!$L$2:$L$201,$AB770)&amp;"",IF($Z770="F",INDEX(Workforce!$K$2:$K$151,MATCH(INDEX(FTE_Allocation!$A$2:$A$201,$AB770),Workforce!$A$2:$A$151,0))&amp;"","")))</f>
        <v/>
      </c>
      <c r="G770" s="7">
        <f>IF($Z770="C",INDEX(Contracts!$F$2:$F$151,$AB770)&amp;" / "&amp;INDEX(Contracts!$G$2:$G$151,$AB770),IF($Z770="A",INDEX(Fixed_Assets!$E$2:$E$201,$AB770)&amp;"",IF($Z770="F","Personnel "&amp;INDEX(FTE_Allocation!$A$2:$A$201,$AB770)&amp;IF(INDEX(FTE_Allocation!$D$2:$D$201,$AB770)="PROJECT"," ("&amp;INDEX(FTE_Allocation!$E$2:$E$201,$AB770)&amp;")",""),"")))</f>
        <v/>
      </c>
      <c r="H770" s="7">
        <f>IF($Z770="C","CONTRACT",IF($Z770="A","ASSET",IF($Z770="F","WORKFORCE","")))</f>
        <v/>
      </c>
      <c r="I770" s="7">
        <f>IF($Z770="C",INDEX(Contracts!$L$2:$L$151,$AB770)&amp;"",IF($Z770="A",INDEX(Fixed_Assets!$I$2:$I$201,$AB770)&amp;"",IF($Z770="F",INDEX(Workforce!$G$2:$G$151,MATCH(INDEX(FTE_Allocation!$A$2:$A$201,$AB770),Workforce!$A$2:$A$151,0))&amp;"","")))</f>
        <v/>
      </c>
      <c r="J770" s="18">
        <f>IF($Z770="","",IF(AND(DATE($AD770,1,1)&gt;=$AE770,DATE($AD770,1,1)&lt;=$AF770),ROUND($AG770,2),0))</f>
        <v/>
      </c>
      <c r="K770" s="18">
        <f>IF($Z770="","",IF(AND(DATE($AD770,2,1)&gt;=$AE770,DATE($AD770,2,1)&lt;=$AF770),ROUND($AG770,2),0))</f>
        <v/>
      </c>
      <c r="L770" s="18">
        <f>IF($Z770="","",IF(AND(DATE($AD770,3,1)&gt;=$AE770,DATE($AD770,3,1)&lt;=$AF770),ROUND($AG770,2),0))</f>
        <v/>
      </c>
      <c r="M770" s="18">
        <f>IF($Z770="","",IF(AND(DATE($AD770,4,1)&gt;=$AE770,DATE($AD770,4,1)&lt;=$AF770),ROUND($AG770,2),0))</f>
        <v/>
      </c>
      <c r="N770" s="18">
        <f>IF($Z770="","",IF(AND(DATE($AD770,5,1)&gt;=$AE770,DATE($AD770,5,1)&lt;=$AF770),ROUND($AG770,2),0))</f>
        <v/>
      </c>
      <c r="O770" s="18">
        <f>IF($Z770="","",IF(AND(DATE($AD770,6,1)&gt;=$AE770,DATE($AD770,6,1)&lt;=$AF770),ROUND($AG770,2),0))</f>
        <v/>
      </c>
      <c r="P770" s="18">
        <f>IF($Z770="","",IF(AND(DATE($AD770,7,1)&gt;=$AE770,DATE($AD770,7,1)&lt;=$AF770),ROUND($AG770,2),0))</f>
        <v/>
      </c>
      <c r="Q770" s="18">
        <f>IF($Z770="","",IF(AND(DATE($AD770,8,1)&gt;=$AE770,DATE($AD770,8,1)&lt;=$AF770),ROUND($AG770,2),0))</f>
        <v/>
      </c>
      <c r="R770" s="18">
        <f>IF($Z770="","",IF(AND(DATE($AD770,9,1)&gt;=$AE770,DATE($AD770,9,1)&lt;=$AF770),ROUND($AG770,2),0))</f>
        <v/>
      </c>
      <c r="S770" s="18">
        <f>IF($Z770="","",IF(AND(DATE($AD770,10,1)&gt;=$AE770,DATE($AD770,10,1)&lt;=$AF770),ROUND($AG770,2),0))</f>
        <v/>
      </c>
      <c r="T770" s="18">
        <f>IF($Z770="","",IF(AND(DATE($AD770,11,1)&gt;=$AE770,DATE($AD770,11,1)&lt;=$AF770),ROUND($AG770,2),0))</f>
        <v/>
      </c>
      <c r="U770" s="18">
        <f>IF($Z770="","",IF(AND(DATE($AD770,12,1)&gt;=$AE770,DATE($AD770,12,1)&lt;=$AF770),ROUND($AG770,2),0))</f>
        <v/>
      </c>
      <c r="V770" s="7">
        <f>IF($Z770="C","Generated from "&amp;INDEX(Contracts!$A$2:$A$151,$AB770),IF($Z770="A","Generated from "&amp;INDEX(Fixed_Assets!$A$2:$A$201,$AB770),IF($Z770="F","Generated from "&amp;INDEX(FTE_Allocation!$A$2:$A$201,$AB770),"")))</f>
        <v/>
      </c>
      <c r="X770" s="19">
        <f>IF($Z770="","",SUM(J770:U770))</f>
        <v/>
      </c>
      <c r="Y770" s="20">
        <f>ROW()-1</f>
        <v/>
      </c>
      <c r="Z770" s="20">
        <f>IF($Y770&lt;=Settings!$B$4*3,"C",IF($Y770&lt;=(Settings!$B$4+Settings!$B$5)*3,"A",IF($Y770&lt;=(Settings!$B$4+Settings!$B$5+Settings!$B$6)*3,"F","")))</f>
        <v/>
      </c>
      <c r="AA770" s="20">
        <f>IF($Z770="C",$Y770,IF($Z770="A",$Y770-Settings!$B$4*3,IF($Z770="F",$Y770-(Settings!$B$4+Settings!$B$5)*3,"")))</f>
        <v/>
      </c>
      <c r="AB770" s="20">
        <f>IF($Z770="","",INT(($AA770-1)/3)+1)</f>
        <v/>
      </c>
      <c r="AC770" s="20">
        <f>IF($Z770="","",MOD($AA770-1,3)+1)</f>
        <v/>
      </c>
      <c r="AD770" s="20">
        <f>IF($Z770="","",Settings!$B$2+$AC770-1)</f>
        <v/>
      </c>
      <c r="AE770" s="21">
        <f>IF($Z770="C",DATE(YEAR(INDEX(Contracts!$J$2:$J$151,$AB770)),MONTH(INDEX(Contracts!$J$2:$J$151,$AB770)),1),IF($Z770="A",DATE(YEAR(INDEX(Fixed_Assets!$G$2:$G$201,$AB770)),MONTH(INDEX(Fixed_Assets!$G$2:$G$201,$AB770)),1),IF($Z770="F",DATE(YEAR(MAX(N(INDEX(Workforce!$I$2:$I$151,MATCH(INDEX(FTE_Allocation!$A$2:$A$201,$AB770),Workforce!$A$2:$A$151,0))),N(INDEX(FTE_Allocation!$I$2:$I$201,$AB770)))),MONTH(MAX(N(INDEX(Workforce!$I$2:$I$151,MATCH(INDEX(FTE_Allocation!$A$2:$A$201,$AB770),Workforce!$A$2:$A$151,0))),N(INDEX(FTE_Allocation!$I$2:$I$201,$AB770)))),1),"")))</f>
        <v/>
      </c>
      <c r="AF770" s="21">
        <f>IF($Z770="C",IF(INDEX(Contracts!$I$2:$I$151,$AB770)="PREPAID",EDATE(DATE(YEAR(INDEX(Contracts!$J$2:$J$151,$AB770)),MONTH(INDEX(Contracts!$J$2:$J$151,$AB770)),1),IF(INDEX(Contracts!$N$2:$N$151,$AB770)="",12,INDEX(Contracts!$N$2:$N$151,$AB770))-1),IF(INDEX(Contracts!$I$2:$I$151,$AB770)="MONTHLY",IF(INDEX(Contracts!$K$2:$K$151,$AB770)="",2958101,INDEX(Contracts!$K$2:$K$151,$AB770)),0)),IF($Z770="A",EDATE(DATE(YEAR(INDEX(Fixed_Assets!$G$2:$G$201,$AB770)),MONTH(INDEX(Fixed_Assets!$G$2:$G$201,$AB770)),1),INDEX(Fixed_Assets!$J$2:$J$201,$AB770)-1),IF($Z770="F",MIN(IF(INDEX(Workforce!$J$2:$J$151,MATCH(INDEX(FTE_Allocation!$A$2:$A$201,$AB770),Workforce!$A$2:$A$151,0))="",2958101,INDEX(Workforce!$J$2:$J$151,MATCH(INDEX(FTE_Allocation!$A$2:$A$201,$AB770),Workforce!$A$2:$A$151,0))),IF(INDEX(FTE_Allocation!$J$2:$J$201,$AB770)="",2958101,INDEX(FTE_Allocation!$J$2:$J$201,$AB770))),"")))</f>
        <v/>
      </c>
      <c r="AG770" s="19">
        <f>IF($Z770="C",IF(INDEX(Contracts!$I$2:$I$151,$AB770)="PREPAID",INDEX(Contracts!$M$2:$M$151,$AB770)/IF(INDEX(Contracts!$N$2:$N$151,$AB770)="",12,INDEX(Contracts!$N$2:$N$151,$AB770)),IF(INDEX(Contracts!$I$2:$I$151,$AB770)="MONTHLY",INDEX(Contracts!$M$2:$M$151,$AB770),0))*(1-N(INDEX(Contracts!$O$2:$O$151,$AB770))),IF($Z770="A",INDEX(Fixed_Assets!$H$2:$H$201,$AB770)/INDEX(Fixed_Assets!$J$2:$J$201,$AB770),IF($Z770="F",INDEX(Workforce!$F$2:$F$151,MATCH(INDEX(FTE_Allocation!$A$2:$A$201,$AB770),Workforce!$A$2:$A$151,0))*N(INDEX(FTE_Allocation!$F$2:$H$201,$AB770,$AC770)),"")))</f>
        <v/>
      </c>
    </row>
    <row r="771">
      <c r="A771" s="7">
        <f>IF($Z771="","",$AD771)</f>
        <v/>
      </c>
      <c r="B771" s="7">
        <f>IF($Z771="C",INDEX(Contracts!$D$2:$D$151,$AB771)&amp;"",IF($Z771="A",INDEX(Fixed_Assets!$C$2:$C$201,$AB771)&amp;"",IF($Z771="F",INDEX(Workforce!$B$2:$B$151,MATCH(INDEX(FTE_Allocation!$A$2:$A$201,$AB771),Workforce!$A$2:$A$151,0))&amp;"","")))</f>
        <v/>
      </c>
      <c r="C771" s="7">
        <f>IF($Z771="C",INDEX(Contracts!$E$2:$E$151,$AB771)&amp;"",IF($Z771="A",INDEX(Fixed_Assets!$D$2:$D$201,$AB771)&amp;"",IF($Z771="F",INDEX(FTE_Allocation!$C$2:$C$201,$AB771)&amp;"","")))</f>
        <v/>
      </c>
      <c r="D771" s="7">
        <f>IF($Z771="C",INDEX(Contracts!$B$2:$B$151,$AB771)&amp;"",IF($Z771="A",INDEX(Fixed_Assets!$B$2:$B$201,$AB771)&amp;"",IF($Z771="F",INDEX(FTE_Allocation!$B$2:$B$201,$AB771)&amp;"","")))</f>
        <v/>
      </c>
      <c r="E771" s="7">
        <f>IF($Z771="C",INDEX(Contracts!$P$2:$P$151,$AB771)&amp;"",IF($Z771="A",INDEX(Fixed_Assets!$K$2:$K$201,$AB771)&amp;"",IF($Z771="F",IF(INDEX(FTE_Allocation!$D$2:$D$201,$AB771)="PROJECT",IFERROR(INDEX(Projects!$D:$D,MATCH(INDEX(FTE_Allocation!$E$2:$E$201,$AB771),Projects!$A:$A,0))&amp;"","#PROJECT?"),INDEX(FTE_Allocation!$E$2:$E$201,$AB771)&amp;""),"")))</f>
        <v/>
      </c>
      <c r="F771" s="7">
        <f>IF($Z771="C",INDEX(Contracts!$Q$2:$Q$151,$AB771)&amp;"",IF($Z771="A",INDEX(Fixed_Assets!$L$2:$L$201,$AB771)&amp;"",IF($Z771="F",INDEX(Workforce!$K$2:$K$151,MATCH(INDEX(FTE_Allocation!$A$2:$A$201,$AB771),Workforce!$A$2:$A$151,0))&amp;"","")))</f>
        <v/>
      </c>
      <c r="G771" s="7">
        <f>IF($Z771="C",INDEX(Contracts!$F$2:$F$151,$AB771)&amp;" / "&amp;INDEX(Contracts!$G$2:$G$151,$AB771),IF($Z771="A",INDEX(Fixed_Assets!$E$2:$E$201,$AB771)&amp;"",IF($Z771="F","Personnel "&amp;INDEX(FTE_Allocation!$A$2:$A$201,$AB771)&amp;IF(INDEX(FTE_Allocation!$D$2:$D$201,$AB771)="PROJECT"," ("&amp;INDEX(FTE_Allocation!$E$2:$E$201,$AB771)&amp;")",""),"")))</f>
        <v/>
      </c>
      <c r="H771" s="7">
        <f>IF($Z771="C","CONTRACT",IF($Z771="A","ASSET",IF($Z771="F","WORKFORCE","")))</f>
        <v/>
      </c>
      <c r="I771" s="7">
        <f>IF($Z771="C",INDEX(Contracts!$L$2:$L$151,$AB771)&amp;"",IF($Z771="A",INDEX(Fixed_Assets!$I$2:$I$201,$AB771)&amp;"",IF($Z771="F",INDEX(Workforce!$G$2:$G$151,MATCH(INDEX(FTE_Allocation!$A$2:$A$201,$AB771),Workforce!$A$2:$A$151,0))&amp;"","")))</f>
        <v/>
      </c>
      <c r="J771" s="18">
        <f>IF($Z771="","",IF(AND(DATE($AD771,1,1)&gt;=$AE771,DATE($AD771,1,1)&lt;=$AF771),ROUND($AG771,2),0))</f>
        <v/>
      </c>
      <c r="K771" s="18">
        <f>IF($Z771="","",IF(AND(DATE($AD771,2,1)&gt;=$AE771,DATE($AD771,2,1)&lt;=$AF771),ROUND($AG771,2),0))</f>
        <v/>
      </c>
      <c r="L771" s="18">
        <f>IF($Z771="","",IF(AND(DATE($AD771,3,1)&gt;=$AE771,DATE($AD771,3,1)&lt;=$AF771),ROUND($AG771,2),0))</f>
        <v/>
      </c>
      <c r="M771" s="18">
        <f>IF($Z771="","",IF(AND(DATE($AD771,4,1)&gt;=$AE771,DATE($AD771,4,1)&lt;=$AF771),ROUND($AG771,2),0))</f>
        <v/>
      </c>
      <c r="N771" s="18">
        <f>IF($Z771="","",IF(AND(DATE($AD771,5,1)&gt;=$AE771,DATE($AD771,5,1)&lt;=$AF771),ROUND($AG771,2),0))</f>
        <v/>
      </c>
      <c r="O771" s="18">
        <f>IF($Z771="","",IF(AND(DATE($AD771,6,1)&gt;=$AE771,DATE($AD771,6,1)&lt;=$AF771),ROUND($AG771,2),0))</f>
        <v/>
      </c>
      <c r="P771" s="18">
        <f>IF($Z771="","",IF(AND(DATE($AD771,7,1)&gt;=$AE771,DATE($AD771,7,1)&lt;=$AF771),ROUND($AG771,2),0))</f>
        <v/>
      </c>
      <c r="Q771" s="18">
        <f>IF($Z771="","",IF(AND(DATE($AD771,8,1)&gt;=$AE771,DATE($AD771,8,1)&lt;=$AF771),ROUND($AG771,2),0))</f>
        <v/>
      </c>
      <c r="R771" s="18">
        <f>IF($Z771="","",IF(AND(DATE($AD771,9,1)&gt;=$AE771,DATE($AD771,9,1)&lt;=$AF771),ROUND($AG771,2),0))</f>
        <v/>
      </c>
      <c r="S771" s="18">
        <f>IF($Z771="","",IF(AND(DATE($AD771,10,1)&gt;=$AE771,DATE($AD771,10,1)&lt;=$AF771),ROUND($AG771,2),0))</f>
        <v/>
      </c>
      <c r="T771" s="18">
        <f>IF($Z771="","",IF(AND(DATE($AD771,11,1)&gt;=$AE771,DATE($AD771,11,1)&lt;=$AF771),ROUND($AG771,2),0))</f>
        <v/>
      </c>
      <c r="U771" s="18">
        <f>IF($Z771="","",IF(AND(DATE($AD771,12,1)&gt;=$AE771,DATE($AD771,12,1)&lt;=$AF771),ROUND($AG771,2),0))</f>
        <v/>
      </c>
      <c r="V771" s="7">
        <f>IF($Z771="C","Generated from "&amp;INDEX(Contracts!$A$2:$A$151,$AB771),IF($Z771="A","Generated from "&amp;INDEX(Fixed_Assets!$A$2:$A$201,$AB771),IF($Z771="F","Generated from "&amp;INDEX(FTE_Allocation!$A$2:$A$201,$AB771),"")))</f>
        <v/>
      </c>
      <c r="X771" s="19">
        <f>IF($Z771="","",SUM(J771:U771))</f>
        <v/>
      </c>
      <c r="Y771" s="20">
        <f>ROW()-1</f>
        <v/>
      </c>
      <c r="Z771" s="20">
        <f>IF($Y771&lt;=Settings!$B$4*3,"C",IF($Y771&lt;=(Settings!$B$4+Settings!$B$5)*3,"A",IF($Y771&lt;=(Settings!$B$4+Settings!$B$5+Settings!$B$6)*3,"F","")))</f>
        <v/>
      </c>
      <c r="AA771" s="20">
        <f>IF($Z771="C",$Y771,IF($Z771="A",$Y771-Settings!$B$4*3,IF($Z771="F",$Y771-(Settings!$B$4+Settings!$B$5)*3,"")))</f>
        <v/>
      </c>
      <c r="AB771" s="20">
        <f>IF($Z771="","",INT(($AA771-1)/3)+1)</f>
        <v/>
      </c>
      <c r="AC771" s="20">
        <f>IF($Z771="","",MOD($AA771-1,3)+1)</f>
        <v/>
      </c>
      <c r="AD771" s="20">
        <f>IF($Z771="","",Settings!$B$2+$AC771-1)</f>
        <v/>
      </c>
      <c r="AE771" s="21">
        <f>IF($Z771="C",DATE(YEAR(INDEX(Contracts!$J$2:$J$151,$AB771)),MONTH(INDEX(Contracts!$J$2:$J$151,$AB771)),1),IF($Z771="A",DATE(YEAR(INDEX(Fixed_Assets!$G$2:$G$201,$AB771)),MONTH(INDEX(Fixed_Assets!$G$2:$G$201,$AB771)),1),IF($Z771="F",DATE(YEAR(MAX(N(INDEX(Workforce!$I$2:$I$151,MATCH(INDEX(FTE_Allocation!$A$2:$A$201,$AB771),Workforce!$A$2:$A$151,0))),N(INDEX(FTE_Allocation!$I$2:$I$201,$AB771)))),MONTH(MAX(N(INDEX(Workforce!$I$2:$I$151,MATCH(INDEX(FTE_Allocation!$A$2:$A$201,$AB771),Workforce!$A$2:$A$151,0))),N(INDEX(FTE_Allocation!$I$2:$I$201,$AB771)))),1),"")))</f>
        <v/>
      </c>
      <c r="AF771" s="21">
        <f>IF($Z771="C",IF(INDEX(Contracts!$I$2:$I$151,$AB771)="PREPAID",EDATE(DATE(YEAR(INDEX(Contracts!$J$2:$J$151,$AB771)),MONTH(INDEX(Contracts!$J$2:$J$151,$AB771)),1),IF(INDEX(Contracts!$N$2:$N$151,$AB771)="",12,INDEX(Contracts!$N$2:$N$151,$AB771))-1),IF(INDEX(Contracts!$I$2:$I$151,$AB771)="MONTHLY",IF(INDEX(Contracts!$K$2:$K$151,$AB771)="",2958101,INDEX(Contracts!$K$2:$K$151,$AB771)),0)),IF($Z771="A",EDATE(DATE(YEAR(INDEX(Fixed_Assets!$G$2:$G$201,$AB771)),MONTH(INDEX(Fixed_Assets!$G$2:$G$201,$AB771)),1),INDEX(Fixed_Assets!$J$2:$J$201,$AB771)-1),IF($Z771="F",MIN(IF(INDEX(Workforce!$J$2:$J$151,MATCH(INDEX(FTE_Allocation!$A$2:$A$201,$AB771),Workforce!$A$2:$A$151,0))="",2958101,INDEX(Workforce!$J$2:$J$151,MATCH(INDEX(FTE_Allocation!$A$2:$A$201,$AB771),Workforce!$A$2:$A$151,0))),IF(INDEX(FTE_Allocation!$J$2:$J$201,$AB771)="",2958101,INDEX(FTE_Allocation!$J$2:$J$201,$AB771))),"")))</f>
        <v/>
      </c>
      <c r="AG771" s="19">
        <f>IF($Z771="C",IF(INDEX(Contracts!$I$2:$I$151,$AB771)="PREPAID",INDEX(Contracts!$M$2:$M$151,$AB771)/IF(INDEX(Contracts!$N$2:$N$151,$AB771)="",12,INDEX(Contracts!$N$2:$N$151,$AB771)),IF(INDEX(Contracts!$I$2:$I$151,$AB771)="MONTHLY",INDEX(Contracts!$M$2:$M$151,$AB771),0))*(1-N(INDEX(Contracts!$O$2:$O$151,$AB771))),IF($Z771="A",INDEX(Fixed_Assets!$H$2:$H$201,$AB771)/INDEX(Fixed_Assets!$J$2:$J$201,$AB771),IF($Z771="F",INDEX(Workforce!$F$2:$F$151,MATCH(INDEX(FTE_Allocation!$A$2:$A$201,$AB771),Workforce!$A$2:$A$151,0))*N(INDEX(FTE_Allocation!$F$2:$H$201,$AB771,$AC771)),"")))</f>
        <v/>
      </c>
    </row>
    <row r="772">
      <c r="A772" s="7">
        <f>IF($Z772="","",$AD772)</f>
        <v/>
      </c>
      <c r="B772" s="7">
        <f>IF($Z772="C",INDEX(Contracts!$D$2:$D$151,$AB772)&amp;"",IF($Z772="A",INDEX(Fixed_Assets!$C$2:$C$201,$AB772)&amp;"",IF($Z772="F",INDEX(Workforce!$B$2:$B$151,MATCH(INDEX(FTE_Allocation!$A$2:$A$201,$AB772),Workforce!$A$2:$A$151,0))&amp;"","")))</f>
        <v/>
      </c>
      <c r="C772" s="7">
        <f>IF($Z772="C",INDEX(Contracts!$E$2:$E$151,$AB772)&amp;"",IF($Z772="A",INDEX(Fixed_Assets!$D$2:$D$201,$AB772)&amp;"",IF($Z772="F",INDEX(FTE_Allocation!$C$2:$C$201,$AB772)&amp;"","")))</f>
        <v/>
      </c>
      <c r="D772" s="7">
        <f>IF($Z772="C",INDEX(Contracts!$B$2:$B$151,$AB772)&amp;"",IF($Z772="A",INDEX(Fixed_Assets!$B$2:$B$201,$AB772)&amp;"",IF($Z772="F",INDEX(FTE_Allocation!$B$2:$B$201,$AB772)&amp;"","")))</f>
        <v/>
      </c>
      <c r="E772" s="7">
        <f>IF($Z772="C",INDEX(Contracts!$P$2:$P$151,$AB772)&amp;"",IF($Z772="A",INDEX(Fixed_Assets!$K$2:$K$201,$AB772)&amp;"",IF($Z772="F",IF(INDEX(FTE_Allocation!$D$2:$D$201,$AB772)="PROJECT",IFERROR(INDEX(Projects!$D:$D,MATCH(INDEX(FTE_Allocation!$E$2:$E$201,$AB772),Projects!$A:$A,0))&amp;"","#PROJECT?"),INDEX(FTE_Allocation!$E$2:$E$201,$AB772)&amp;""),"")))</f>
        <v/>
      </c>
      <c r="F772" s="7">
        <f>IF($Z772="C",INDEX(Contracts!$Q$2:$Q$151,$AB772)&amp;"",IF($Z772="A",INDEX(Fixed_Assets!$L$2:$L$201,$AB772)&amp;"",IF($Z772="F",INDEX(Workforce!$K$2:$K$151,MATCH(INDEX(FTE_Allocation!$A$2:$A$201,$AB772),Workforce!$A$2:$A$151,0))&amp;"","")))</f>
        <v/>
      </c>
      <c r="G772" s="7">
        <f>IF($Z772="C",INDEX(Contracts!$F$2:$F$151,$AB772)&amp;" / "&amp;INDEX(Contracts!$G$2:$G$151,$AB772),IF($Z772="A",INDEX(Fixed_Assets!$E$2:$E$201,$AB772)&amp;"",IF($Z772="F","Personnel "&amp;INDEX(FTE_Allocation!$A$2:$A$201,$AB772)&amp;IF(INDEX(FTE_Allocation!$D$2:$D$201,$AB772)="PROJECT"," ("&amp;INDEX(FTE_Allocation!$E$2:$E$201,$AB772)&amp;")",""),"")))</f>
        <v/>
      </c>
      <c r="H772" s="7">
        <f>IF($Z772="C","CONTRACT",IF($Z772="A","ASSET",IF($Z772="F","WORKFORCE","")))</f>
        <v/>
      </c>
      <c r="I772" s="7">
        <f>IF($Z772="C",INDEX(Contracts!$L$2:$L$151,$AB772)&amp;"",IF($Z772="A",INDEX(Fixed_Assets!$I$2:$I$201,$AB772)&amp;"",IF($Z772="F",INDEX(Workforce!$G$2:$G$151,MATCH(INDEX(FTE_Allocation!$A$2:$A$201,$AB772),Workforce!$A$2:$A$151,0))&amp;"","")))</f>
        <v/>
      </c>
      <c r="J772" s="18">
        <f>IF($Z772="","",IF(AND(DATE($AD772,1,1)&gt;=$AE772,DATE($AD772,1,1)&lt;=$AF772),ROUND($AG772,2),0))</f>
        <v/>
      </c>
      <c r="K772" s="18">
        <f>IF($Z772="","",IF(AND(DATE($AD772,2,1)&gt;=$AE772,DATE($AD772,2,1)&lt;=$AF772),ROUND($AG772,2),0))</f>
        <v/>
      </c>
      <c r="L772" s="18">
        <f>IF($Z772="","",IF(AND(DATE($AD772,3,1)&gt;=$AE772,DATE($AD772,3,1)&lt;=$AF772),ROUND($AG772,2),0))</f>
        <v/>
      </c>
      <c r="M772" s="18">
        <f>IF($Z772="","",IF(AND(DATE($AD772,4,1)&gt;=$AE772,DATE($AD772,4,1)&lt;=$AF772),ROUND($AG772,2),0))</f>
        <v/>
      </c>
      <c r="N772" s="18">
        <f>IF($Z772="","",IF(AND(DATE($AD772,5,1)&gt;=$AE772,DATE($AD772,5,1)&lt;=$AF772),ROUND($AG772,2),0))</f>
        <v/>
      </c>
      <c r="O772" s="18">
        <f>IF($Z772="","",IF(AND(DATE($AD772,6,1)&gt;=$AE772,DATE($AD772,6,1)&lt;=$AF772),ROUND($AG772,2),0))</f>
        <v/>
      </c>
      <c r="P772" s="18">
        <f>IF($Z772="","",IF(AND(DATE($AD772,7,1)&gt;=$AE772,DATE($AD772,7,1)&lt;=$AF772),ROUND($AG772,2),0))</f>
        <v/>
      </c>
      <c r="Q772" s="18">
        <f>IF($Z772="","",IF(AND(DATE($AD772,8,1)&gt;=$AE772,DATE($AD772,8,1)&lt;=$AF772),ROUND($AG772,2),0))</f>
        <v/>
      </c>
      <c r="R772" s="18">
        <f>IF($Z772="","",IF(AND(DATE($AD772,9,1)&gt;=$AE772,DATE($AD772,9,1)&lt;=$AF772),ROUND($AG772,2),0))</f>
        <v/>
      </c>
      <c r="S772" s="18">
        <f>IF($Z772="","",IF(AND(DATE($AD772,10,1)&gt;=$AE772,DATE($AD772,10,1)&lt;=$AF772),ROUND($AG772,2),0))</f>
        <v/>
      </c>
      <c r="T772" s="18">
        <f>IF($Z772="","",IF(AND(DATE($AD772,11,1)&gt;=$AE772,DATE($AD772,11,1)&lt;=$AF772),ROUND($AG772,2),0))</f>
        <v/>
      </c>
      <c r="U772" s="18">
        <f>IF($Z772="","",IF(AND(DATE($AD772,12,1)&gt;=$AE772,DATE($AD772,12,1)&lt;=$AF772),ROUND($AG772,2),0))</f>
        <v/>
      </c>
      <c r="V772" s="7">
        <f>IF($Z772="C","Generated from "&amp;INDEX(Contracts!$A$2:$A$151,$AB772),IF($Z772="A","Generated from "&amp;INDEX(Fixed_Assets!$A$2:$A$201,$AB772),IF($Z772="F","Generated from "&amp;INDEX(FTE_Allocation!$A$2:$A$201,$AB772),"")))</f>
        <v/>
      </c>
      <c r="X772" s="19">
        <f>IF($Z772="","",SUM(J772:U772))</f>
        <v/>
      </c>
      <c r="Y772" s="20">
        <f>ROW()-1</f>
        <v/>
      </c>
      <c r="Z772" s="20">
        <f>IF($Y772&lt;=Settings!$B$4*3,"C",IF($Y772&lt;=(Settings!$B$4+Settings!$B$5)*3,"A",IF($Y772&lt;=(Settings!$B$4+Settings!$B$5+Settings!$B$6)*3,"F","")))</f>
        <v/>
      </c>
      <c r="AA772" s="20">
        <f>IF($Z772="C",$Y772,IF($Z772="A",$Y772-Settings!$B$4*3,IF($Z772="F",$Y772-(Settings!$B$4+Settings!$B$5)*3,"")))</f>
        <v/>
      </c>
      <c r="AB772" s="20">
        <f>IF($Z772="","",INT(($AA772-1)/3)+1)</f>
        <v/>
      </c>
      <c r="AC772" s="20">
        <f>IF($Z772="","",MOD($AA772-1,3)+1)</f>
        <v/>
      </c>
      <c r="AD772" s="20">
        <f>IF($Z772="","",Settings!$B$2+$AC772-1)</f>
        <v/>
      </c>
      <c r="AE772" s="21">
        <f>IF($Z772="C",DATE(YEAR(INDEX(Contracts!$J$2:$J$151,$AB772)),MONTH(INDEX(Contracts!$J$2:$J$151,$AB772)),1),IF($Z772="A",DATE(YEAR(INDEX(Fixed_Assets!$G$2:$G$201,$AB772)),MONTH(INDEX(Fixed_Assets!$G$2:$G$201,$AB772)),1),IF($Z772="F",DATE(YEAR(MAX(N(INDEX(Workforce!$I$2:$I$151,MATCH(INDEX(FTE_Allocation!$A$2:$A$201,$AB772),Workforce!$A$2:$A$151,0))),N(INDEX(FTE_Allocation!$I$2:$I$201,$AB772)))),MONTH(MAX(N(INDEX(Workforce!$I$2:$I$151,MATCH(INDEX(FTE_Allocation!$A$2:$A$201,$AB772),Workforce!$A$2:$A$151,0))),N(INDEX(FTE_Allocation!$I$2:$I$201,$AB772)))),1),"")))</f>
        <v/>
      </c>
      <c r="AF772" s="21">
        <f>IF($Z772="C",IF(INDEX(Contracts!$I$2:$I$151,$AB772)="PREPAID",EDATE(DATE(YEAR(INDEX(Contracts!$J$2:$J$151,$AB772)),MONTH(INDEX(Contracts!$J$2:$J$151,$AB772)),1),IF(INDEX(Contracts!$N$2:$N$151,$AB772)="",12,INDEX(Contracts!$N$2:$N$151,$AB772))-1),IF(INDEX(Contracts!$I$2:$I$151,$AB772)="MONTHLY",IF(INDEX(Contracts!$K$2:$K$151,$AB772)="",2958101,INDEX(Contracts!$K$2:$K$151,$AB772)),0)),IF($Z772="A",EDATE(DATE(YEAR(INDEX(Fixed_Assets!$G$2:$G$201,$AB772)),MONTH(INDEX(Fixed_Assets!$G$2:$G$201,$AB772)),1),INDEX(Fixed_Assets!$J$2:$J$201,$AB772)-1),IF($Z772="F",MIN(IF(INDEX(Workforce!$J$2:$J$151,MATCH(INDEX(FTE_Allocation!$A$2:$A$201,$AB772),Workforce!$A$2:$A$151,0))="",2958101,INDEX(Workforce!$J$2:$J$151,MATCH(INDEX(FTE_Allocation!$A$2:$A$201,$AB772),Workforce!$A$2:$A$151,0))),IF(INDEX(FTE_Allocation!$J$2:$J$201,$AB772)="",2958101,INDEX(FTE_Allocation!$J$2:$J$201,$AB772))),"")))</f>
        <v/>
      </c>
      <c r="AG772" s="19">
        <f>IF($Z772="C",IF(INDEX(Contracts!$I$2:$I$151,$AB772)="PREPAID",INDEX(Contracts!$M$2:$M$151,$AB772)/IF(INDEX(Contracts!$N$2:$N$151,$AB772)="",12,INDEX(Contracts!$N$2:$N$151,$AB772)),IF(INDEX(Contracts!$I$2:$I$151,$AB772)="MONTHLY",INDEX(Contracts!$M$2:$M$151,$AB772),0))*(1-N(INDEX(Contracts!$O$2:$O$151,$AB772))),IF($Z772="A",INDEX(Fixed_Assets!$H$2:$H$201,$AB772)/INDEX(Fixed_Assets!$J$2:$J$201,$AB772),IF($Z772="F",INDEX(Workforce!$F$2:$F$151,MATCH(INDEX(FTE_Allocation!$A$2:$A$201,$AB772),Workforce!$A$2:$A$151,0))*N(INDEX(FTE_Allocation!$F$2:$H$201,$AB772,$AC772)),"")))</f>
        <v/>
      </c>
    </row>
    <row r="773">
      <c r="A773" s="7">
        <f>IF($Z773="","",$AD773)</f>
        <v/>
      </c>
      <c r="B773" s="7">
        <f>IF($Z773="C",INDEX(Contracts!$D$2:$D$151,$AB773)&amp;"",IF($Z773="A",INDEX(Fixed_Assets!$C$2:$C$201,$AB773)&amp;"",IF($Z773="F",INDEX(Workforce!$B$2:$B$151,MATCH(INDEX(FTE_Allocation!$A$2:$A$201,$AB773),Workforce!$A$2:$A$151,0))&amp;"","")))</f>
        <v/>
      </c>
      <c r="C773" s="7">
        <f>IF($Z773="C",INDEX(Contracts!$E$2:$E$151,$AB773)&amp;"",IF($Z773="A",INDEX(Fixed_Assets!$D$2:$D$201,$AB773)&amp;"",IF($Z773="F",INDEX(FTE_Allocation!$C$2:$C$201,$AB773)&amp;"","")))</f>
        <v/>
      </c>
      <c r="D773" s="7">
        <f>IF($Z773="C",INDEX(Contracts!$B$2:$B$151,$AB773)&amp;"",IF($Z773="A",INDEX(Fixed_Assets!$B$2:$B$201,$AB773)&amp;"",IF($Z773="F",INDEX(FTE_Allocation!$B$2:$B$201,$AB773)&amp;"","")))</f>
        <v/>
      </c>
      <c r="E773" s="7">
        <f>IF($Z773="C",INDEX(Contracts!$P$2:$P$151,$AB773)&amp;"",IF($Z773="A",INDEX(Fixed_Assets!$K$2:$K$201,$AB773)&amp;"",IF($Z773="F",IF(INDEX(FTE_Allocation!$D$2:$D$201,$AB773)="PROJECT",IFERROR(INDEX(Projects!$D:$D,MATCH(INDEX(FTE_Allocation!$E$2:$E$201,$AB773),Projects!$A:$A,0))&amp;"","#PROJECT?"),INDEX(FTE_Allocation!$E$2:$E$201,$AB773)&amp;""),"")))</f>
        <v/>
      </c>
      <c r="F773" s="7">
        <f>IF($Z773="C",INDEX(Contracts!$Q$2:$Q$151,$AB773)&amp;"",IF($Z773="A",INDEX(Fixed_Assets!$L$2:$L$201,$AB773)&amp;"",IF($Z773="F",INDEX(Workforce!$K$2:$K$151,MATCH(INDEX(FTE_Allocation!$A$2:$A$201,$AB773),Workforce!$A$2:$A$151,0))&amp;"","")))</f>
        <v/>
      </c>
      <c r="G773" s="7">
        <f>IF($Z773="C",INDEX(Contracts!$F$2:$F$151,$AB773)&amp;" / "&amp;INDEX(Contracts!$G$2:$G$151,$AB773),IF($Z773="A",INDEX(Fixed_Assets!$E$2:$E$201,$AB773)&amp;"",IF($Z773="F","Personnel "&amp;INDEX(FTE_Allocation!$A$2:$A$201,$AB773)&amp;IF(INDEX(FTE_Allocation!$D$2:$D$201,$AB773)="PROJECT"," ("&amp;INDEX(FTE_Allocation!$E$2:$E$201,$AB773)&amp;")",""),"")))</f>
        <v/>
      </c>
      <c r="H773" s="7">
        <f>IF($Z773="C","CONTRACT",IF($Z773="A","ASSET",IF($Z773="F","WORKFORCE","")))</f>
        <v/>
      </c>
      <c r="I773" s="7">
        <f>IF($Z773="C",INDEX(Contracts!$L$2:$L$151,$AB773)&amp;"",IF($Z773="A",INDEX(Fixed_Assets!$I$2:$I$201,$AB773)&amp;"",IF($Z773="F",INDEX(Workforce!$G$2:$G$151,MATCH(INDEX(FTE_Allocation!$A$2:$A$201,$AB773),Workforce!$A$2:$A$151,0))&amp;"","")))</f>
        <v/>
      </c>
      <c r="J773" s="18">
        <f>IF($Z773="","",IF(AND(DATE($AD773,1,1)&gt;=$AE773,DATE($AD773,1,1)&lt;=$AF773),ROUND($AG773,2),0))</f>
        <v/>
      </c>
      <c r="K773" s="18">
        <f>IF($Z773="","",IF(AND(DATE($AD773,2,1)&gt;=$AE773,DATE($AD773,2,1)&lt;=$AF773),ROUND($AG773,2),0))</f>
        <v/>
      </c>
      <c r="L773" s="18">
        <f>IF($Z773="","",IF(AND(DATE($AD773,3,1)&gt;=$AE773,DATE($AD773,3,1)&lt;=$AF773),ROUND($AG773,2),0))</f>
        <v/>
      </c>
      <c r="M773" s="18">
        <f>IF($Z773="","",IF(AND(DATE($AD773,4,1)&gt;=$AE773,DATE($AD773,4,1)&lt;=$AF773),ROUND($AG773,2),0))</f>
        <v/>
      </c>
      <c r="N773" s="18">
        <f>IF($Z773="","",IF(AND(DATE($AD773,5,1)&gt;=$AE773,DATE($AD773,5,1)&lt;=$AF773),ROUND($AG773,2),0))</f>
        <v/>
      </c>
      <c r="O773" s="18">
        <f>IF($Z773="","",IF(AND(DATE($AD773,6,1)&gt;=$AE773,DATE($AD773,6,1)&lt;=$AF773),ROUND($AG773,2),0))</f>
        <v/>
      </c>
      <c r="P773" s="18">
        <f>IF($Z773="","",IF(AND(DATE($AD773,7,1)&gt;=$AE773,DATE($AD773,7,1)&lt;=$AF773),ROUND($AG773,2),0))</f>
        <v/>
      </c>
      <c r="Q773" s="18">
        <f>IF($Z773="","",IF(AND(DATE($AD773,8,1)&gt;=$AE773,DATE($AD773,8,1)&lt;=$AF773),ROUND($AG773,2),0))</f>
        <v/>
      </c>
      <c r="R773" s="18">
        <f>IF($Z773="","",IF(AND(DATE($AD773,9,1)&gt;=$AE773,DATE($AD773,9,1)&lt;=$AF773),ROUND($AG773,2),0))</f>
        <v/>
      </c>
      <c r="S773" s="18">
        <f>IF($Z773="","",IF(AND(DATE($AD773,10,1)&gt;=$AE773,DATE($AD773,10,1)&lt;=$AF773),ROUND($AG773,2),0))</f>
        <v/>
      </c>
      <c r="T773" s="18">
        <f>IF($Z773="","",IF(AND(DATE($AD773,11,1)&gt;=$AE773,DATE($AD773,11,1)&lt;=$AF773),ROUND($AG773,2),0))</f>
        <v/>
      </c>
      <c r="U773" s="18">
        <f>IF($Z773="","",IF(AND(DATE($AD773,12,1)&gt;=$AE773,DATE($AD773,12,1)&lt;=$AF773),ROUND($AG773,2),0))</f>
        <v/>
      </c>
      <c r="V773" s="7">
        <f>IF($Z773="C","Generated from "&amp;INDEX(Contracts!$A$2:$A$151,$AB773),IF($Z773="A","Generated from "&amp;INDEX(Fixed_Assets!$A$2:$A$201,$AB773),IF($Z773="F","Generated from "&amp;INDEX(FTE_Allocation!$A$2:$A$201,$AB773),"")))</f>
        <v/>
      </c>
      <c r="X773" s="19">
        <f>IF($Z773="","",SUM(J773:U773))</f>
        <v/>
      </c>
      <c r="Y773" s="20">
        <f>ROW()-1</f>
        <v/>
      </c>
      <c r="Z773" s="20">
        <f>IF($Y773&lt;=Settings!$B$4*3,"C",IF($Y773&lt;=(Settings!$B$4+Settings!$B$5)*3,"A",IF($Y773&lt;=(Settings!$B$4+Settings!$B$5+Settings!$B$6)*3,"F","")))</f>
        <v/>
      </c>
      <c r="AA773" s="20">
        <f>IF($Z773="C",$Y773,IF($Z773="A",$Y773-Settings!$B$4*3,IF($Z773="F",$Y773-(Settings!$B$4+Settings!$B$5)*3,"")))</f>
        <v/>
      </c>
      <c r="AB773" s="20">
        <f>IF($Z773="","",INT(($AA773-1)/3)+1)</f>
        <v/>
      </c>
      <c r="AC773" s="20">
        <f>IF($Z773="","",MOD($AA773-1,3)+1)</f>
        <v/>
      </c>
      <c r="AD773" s="20">
        <f>IF($Z773="","",Settings!$B$2+$AC773-1)</f>
        <v/>
      </c>
      <c r="AE773" s="21">
        <f>IF($Z773="C",DATE(YEAR(INDEX(Contracts!$J$2:$J$151,$AB773)),MONTH(INDEX(Contracts!$J$2:$J$151,$AB773)),1),IF($Z773="A",DATE(YEAR(INDEX(Fixed_Assets!$G$2:$G$201,$AB773)),MONTH(INDEX(Fixed_Assets!$G$2:$G$201,$AB773)),1),IF($Z773="F",DATE(YEAR(MAX(N(INDEX(Workforce!$I$2:$I$151,MATCH(INDEX(FTE_Allocation!$A$2:$A$201,$AB773),Workforce!$A$2:$A$151,0))),N(INDEX(FTE_Allocation!$I$2:$I$201,$AB773)))),MONTH(MAX(N(INDEX(Workforce!$I$2:$I$151,MATCH(INDEX(FTE_Allocation!$A$2:$A$201,$AB773),Workforce!$A$2:$A$151,0))),N(INDEX(FTE_Allocation!$I$2:$I$201,$AB773)))),1),"")))</f>
        <v/>
      </c>
      <c r="AF773" s="21">
        <f>IF($Z773="C",IF(INDEX(Contracts!$I$2:$I$151,$AB773)="PREPAID",EDATE(DATE(YEAR(INDEX(Contracts!$J$2:$J$151,$AB773)),MONTH(INDEX(Contracts!$J$2:$J$151,$AB773)),1),IF(INDEX(Contracts!$N$2:$N$151,$AB773)="",12,INDEX(Contracts!$N$2:$N$151,$AB773))-1),IF(INDEX(Contracts!$I$2:$I$151,$AB773)="MONTHLY",IF(INDEX(Contracts!$K$2:$K$151,$AB773)="",2958101,INDEX(Contracts!$K$2:$K$151,$AB773)),0)),IF($Z773="A",EDATE(DATE(YEAR(INDEX(Fixed_Assets!$G$2:$G$201,$AB773)),MONTH(INDEX(Fixed_Assets!$G$2:$G$201,$AB773)),1),INDEX(Fixed_Assets!$J$2:$J$201,$AB773)-1),IF($Z773="F",MIN(IF(INDEX(Workforce!$J$2:$J$151,MATCH(INDEX(FTE_Allocation!$A$2:$A$201,$AB773),Workforce!$A$2:$A$151,0))="",2958101,INDEX(Workforce!$J$2:$J$151,MATCH(INDEX(FTE_Allocation!$A$2:$A$201,$AB773),Workforce!$A$2:$A$151,0))),IF(INDEX(FTE_Allocation!$J$2:$J$201,$AB773)="",2958101,INDEX(FTE_Allocation!$J$2:$J$201,$AB773))),"")))</f>
        <v/>
      </c>
      <c r="AG773" s="19">
        <f>IF($Z773="C",IF(INDEX(Contracts!$I$2:$I$151,$AB773)="PREPAID",INDEX(Contracts!$M$2:$M$151,$AB773)/IF(INDEX(Contracts!$N$2:$N$151,$AB773)="",12,INDEX(Contracts!$N$2:$N$151,$AB773)),IF(INDEX(Contracts!$I$2:$I$151,$AB773)="MONTHLY",INDEX(Contracts!$M$2:$M$151,$AB773),0))*(1-N(INDEX(Contracts!$O$2:$O$151,$AB773))),IF($Z773="A",INDEX(Fixed_Assets!$H$2:$H$201,$AB773)/INDEX(Fixed_Assets!$J$2:$J$201,$AB773),IF($Z773="F",INDEX(Workforce!$F$2:$F$151,MATCH(INDEX(FTE_Allocation!$A$2:$A$201,$AB773),Workforce!$A$2:$A$151,0))*N(INDEX(FTE_Allocation!$F$2:$H$201,$AB773,$AC773)),"")))</f>
        <v/>
      </c>
    </row>
    <row r="774">
      <c r="A774" s="7">
        <f>IF($Z774="","",$AD774)</f>
        <v/>
      </c>
      <c r="B774" s="7">
        <f>IF($Z774="C",INDEX(Contracts!$D$2:$D$151,$AB774)&amp;"",IF($Z774="A",INDEX(Fixed_Assets!$C$2:$C$201,$AB774)&amp;"",IF($Z774="F",INDEX(Workforce!$B$2:$B$151,MATCH(INDEX(FTE_Allocation!$A$2:$A$201,$AB774),Workforce!$A$2:$A$151,0))&amp;"","")))</f>
        <v/>
      </c>
      <c r="C774" s="7">
        <f>IF($Z774="C",INDEX(Contracts!$E$2:$E$151,$AB774)&amp;"",IF($Z774="A",INDEX(Fixed_Assets!$D$2:$D$201,$AB774)&amp;"",IF($Z774="F",INDEX(FTE_Allocation!$C$2:$C$201,$AB774)&amp;"","")))</f>
        <v/>
      </c>
      <c r="D774" s="7">
        <f>IF($Z774="C",INDEX(Contracts!$B$2:$B$151,$AB774)&amp;"",IF($Z774="A",INDEX(Fixed_Assets!$B$2:$B$201,$AB774)&amp;"",IF($Z774="F",INDEX(FTE_Allocation!$B$2:$B$201,$AB774)&amp;"","")))</f>
        <v/>
      </c>
      <c r="E774" s="7">
        <f>IF($Z774="C",INDEX(Contracts!$P$2:$P$151,$AB774)&amp;"",IF($Z774="A",INDEX(Fixed_Assets!$K$2:$K$201,$AB774)&amp;"",IF($Z774="F",IF(INDEX(FTE_Allocation!$D$2:$D$201,$AB774)="PROJECT",IFERROR(INDEX(Projects!$D:$D,MATCH(INDEX(FTE_Allocation!$E$2:$E$201,$AB774),Projects!$A:$A,0))&amp;"","#PROJECT?"),INDEX(FTE_Allocation!$E$2:$E$201,$AB774)&amp;""),"")))</f>
        <v/>
      </c>
      <c r="F774" s="7">
        <f>IF($Z774="C",INDEX(Contracts!$Q$2:$Q$151,$AB774)&amp;"",IF($Z774="A",INDEX(Fixed_Assets!$L$2:$L$201,$AB774)&amp;"",IF($Z774="F",INDEX(Workforce!$K$2:$K$151,MATCH(INDEX(FTE_Allocation!$A$2:$A$201,$AB774),Workforce!$A$2:$A$151,0))&amp;"","")))</f>
        <v/>
      </c>
      <c r="G774" s="7">
        <f>IF($Z774="C",INDEX(Contracts!$F$2:$F$151,$AB774)&amp;" / "&amp;INDEX(Contracts!$G$2:$G$151,$AB774),IF($Z774="A",INDEX(Fixed_Assets!$E$2:$E$201,$AB774)&amp;"",IF($Z774="F","Personnel "&amp;INDEX(FTE_Allocation!$A$2:$A$201,$AB774)&amp;IF(INDEX(FTE_Allocation!$D$2:$D$201,$AB774)="PROJECT"," ("&amp;INDEX(FTE_Allocation!$E$2:$E$201,$AB774)&amp;")",""),"")))</f>
        <v/>
      </c>
      <c r="H774" s="7">
        <f>IF($Z774="C","CONTRACT",IF($Z774="A","ASSET",IF($Z774="F","WORKFORCE","")))</f>
        <v/>
      </c>
      <c r="I774" s="7">
        <f>IF($Z774="C",INDEX(Contracts!$L$2:$L$151,$AB774)&amp;"",IF($Z774="A",INDEX(Fixed_Assets!$I$2:$I$201,$AB774)&amp;"",IF($Z774="F",INDEX(Workforce!$G$2:$G$151,MATCH(INDEX(FTE_Allocation!$A$2:$A$201,$AB774),Workforce!$A$2:$A$151,0))&amp;"","")))</f>
        <v/>
      </c>
      <c r="J774" s="18">
        <f>IF($Z774="","",IF(AND(DATE($AD774,1,1)&gt;=$AE774,DATE($AD774,1,1)&lt;=$AF774),ROUND($AG774,2),0))</f>
        <v/>
      </c>
      <c r="K774" s="18">
        <f>IF($Z774="","",IF(AND(DATE($AD774,2,1)&gt;=$AE774,DATE($AD774,2,1)&lt;=$AF774),ROUND($AG774,2),0))</f>
        <v/>
      </c>
      <c r="L774" s="18">
        <f>IF($Z774="","",IF(AND(DATE($AD774,3,1)&gt;=$AE774,DATE($AD774,3,1)&lt;=$AF774),ROUND($AG774,2),0))</f>
        <v/>
      </c>
      <c r="M774" s="18">
        <f>IF($Z774="","",IF(AND(DATE($AD774,4,1)&gt;=$AE774,DATE($AD774,4,1)&lt;=$AF774),ROUND($AG774,2),0))</f>
        <v/>
      </c>
      <c r="N774" s="18">
        <f>IF($Z774="","",IF(AND(DATE($AD774,5,1)&gt;=$AE774,DATE($AD774,5,1)&lt;=$AF774),ROUND($AG774,2),0))</f>
        <v/>
      </c>
      <c r="O774" s="18">
        <f>IF($Z774="","",IF(AND(DATE($AD774,6,1)&gt;=$AE774,DATE($AD774,6,1)&lt;=$AF774),ROUND($AG774,2),0))</f>
        <v/>
      </c>
      <c r="P774" s="18">
        <f>IF($Z774="","",IF(AND(DATE($AD774,7,1)&gt;=$AE774,DATE($AD774,7,1)&lt;=$AF774),ROUND($AG774,2),0))</f>
        <v/>
      </c>
      <c r="Q774" s="18">
        <f>IF($Z774="","",IF(AND(DATE($AD774,8,1)&gt;=$AE774,DATE($AD774,8,1)&lt;=$AF774),ROUND($AG774,2),0))</f>
        <v/>
      </c>
      <c r="R774" s="18">
        <f>IF($Z774="","",IF(AND(DATE($AD774,9,1)&gt;=$AE774,DATE($AD774,9,1)&lt;=$AF774),ROUND($AG774,2),0))</f>
        <v/>
      </c>
      <c r="S774" s="18">
        <f>IF($Z774="","",IF(AND(DATE($AD774,10,1)&gt;=$AE774,DATE($AD774,10,1)&lt;=$AF774),ROUND($AG774,2),0))</f>
        <v/>
      </c>
      <c r="T774" s="18">
        <f>IF($Z774="","",IF(AND(DATE($AD774,11,1)&gt;=$AE774,DATE($AD774,11,1)&lt;=$AF774),ROUND($AG774,2),0))</f>
        <v/>
      </c>
      <c r="U774" s="18">
        <f>IF($Z774="","",IF(AND(DATE($AD774,12,1)&gt;=$AE774,DATE($AD774,12,1)&lt;=$AF774),ROUND($AG774,2),0))</f>
        <v/>
      </c>
      <c r="V774" s="7">
        <f>IF($Z774="C","Generated from "&amp;INDEX(Contracts!$A$2:$A$151,$AB774),IF($Z774="A","Generated from "&amp;INDEX(Fixed_Assets!$A$2:$A$201,$AB774),IF($Z774="F","Generated from "&amp;INDEX(FTE_Allocation!$A$2:$A$201,$AB774),"")))</f>
        <v/>
      </c>
      <c r="X774" s="19">
        <f>IF($Z774="","",SUM(J774:U774))</f>
        <v/>
      </c>
      <c r="Y774" s="20">
        <f>ROW()-1</f>
        <v/>
      </c>
      <c r="Z774" s="20">
        <f>IF($Y774&lt;=Settings!$B$4*3,"C",IF($Y774&lt;=(Settings!$B$4+Settings!$B$5)*3,"A",IF($Y774&lt;=(Settings!$B$4+Settings!$B$5+Settings!$B$6)*3,"F","")))</f>
        <v/>
      </c>
      <c r="AA774" s="20">
        <f>IF($Z774="C",$Y774,IF($Z774="A",$Y774-Settings!$B$4*3,IF($Z774="F",$Y774-(Settings!$B$4+Settings!$B$5)*3,"")))</f>
        <v/>
      </c>
      <c r="AB774" s="20">
        <f>IF($Z774="","",INT(($AA774-1)/3)+1)</f>
        <v/>
      </c>
      <c r="AC774" s="20">
        <f>IF($Z774="","",MOD($AA774-1,3)+1)</f>
        <v/>
      </c>
      <c r="AD774" s="20">
        <f>IF($Z774="","",Settings!$B$2+$AC774-1)</f>
        <v/>
      </c>
      <c r="AE774" s="21">
        <f>IF($Z774="C",DATE(YEAR(INDEX(Contracts!$J$2:$J$151,$AB774)),MONTH(INDEX(Contracts!$J$2:$J$151,$AB774)),1),IF($Z774="A",DATE(YEAR(INDEX(Fixed_Assets!$G$2:$G$201,$AB774)),MONTH(INDEX(Fixed_Assets!$G$2:$G$201,$AB774)),1),IF($Z774="F",DATE(YEAR(MAX(N(INDEX(Workforce!$I$2:$I$151,MATCH(INDEX(FTE_Allocation!$A$2:$A$201,$AB774),Workforce!$A$2:$A$151,0))),N(INDEX(FTE_Allocation!$I$2:$I$201,$AB774)))),MONTH(MAX(N(INDEX(Workforce!$I$2:$I$151,MATCH(INDEX(FTE_Allocation!$A$2:$A$201,$AB774),Workforce!$A$2:$A$151,0))),N(INDEX(FTE_Allocation!$I$2:$I$201,$AB774)))),1),"")))</f>
        <v/>
      </c>
      <c r="AF774" s="21">
        <f>IF($Z774="C",IF(INDEX(Contracts!$I$2:$I$151,$AB774)="PREPAID",EDATE(DATE(YEAR(INDEX(Contracts!$J$2:$J$151,$AB774)),MONTH(INDEX(Contracts!$J$2:$J$151,$AB774)),1),IF(INDEX(Contracts!$N$2:$N$151,$AB774)="",12,INDEX(Contracts!$N$2:$N$151,$AB774))-1),IF(INDEX(Contracts!$I$2:$I$151,$AB774)="MONTHLY",IF(INDEX(Contracts!$K$2:$K$151,$AB774)="",2958101,INDEX(Contracts!$K$2:$K$151,$AB774)),0)),IF($Z774="A",EDATE(DATE(YEAR(INDEX(Fixed_Assets!$G$2:$G$201,$AB774)),MONTH(INDEX(Fixed_Assets!$G$2:$G$201,$AB774)),1),INDEX(Fixed_Assets!$J$2:$J$201,$AB774)-1),IF($Z774="F",MIN(IF(INDEX(Workforce!$J$2:$J$151,MATCH(INDEX(FTE_Allocation!$A$2:$A$201,$AB774),Workforce!$A$2:$A$151,0))="",2958101,INDEX(Workforce!$J$2:$J$151,MATCH(INDEX(FTE_Allocation!$A$2:$A$201,$AB774),Workforce!$A$2:$A$151,0))),IF(INDEX(FTE_Allocation!$J$2:$J$201,$AB774)="",2958101,INDEX(FTE_Allocation!$J$2:$J$201,$AB774))),"")))</f>
        <v/>
      </c>
      <c r="AG774" s="19">
        <f>IF($Z774="C",IF(INDEX(Contracts!$I$2:$I$151,$AB774)="PREPAID",INDEX(Contracts!$M$2:$M$151,$AB774)/IF(INDEX(Contracts!$N$2:$N$151,$AB774)="",12,INDEX(Contracts!$N$2:$N$151,$AB774)),IF(INDEX(Contracts!$I$2:$I$151,$AB774)="MONTHLY",INDEX(Contracts!$M$2:$M$151,$AB774),0))*(1-N(INDEX(Contracts!$O$2:$O$151,$AB774))),IF($Z774="A",INDEX(Fixed_Assets!$H$2:$H$201,$AB774)/INDEX(Fixed_Assets!$J$2:$J$201,$AB774),IF($Z774="F",INDEX(Workforce!$F$2:$F$151,MATCH(INDEX(FTE_Allocation!$A$2:$A$201,$AB774),Workforce!$A$2:$A$151,0))*N(INDEX(FTE_Allocation!$F$2:$H$201,$AB774,$AC774)),"")))</f>
        <v/>
      </c>
    </row>
    <row r="775">
      <c r="A775" s="7">
        <f>IF($Z775="","",$AD775)</f>
        <v/>
      </c>
      <c r="B775" s="7">
        <f>IF($Z775="C",INDEX(Contracts!$D$2:$D$151,$AB775)&amp;"",IF($Z775="A",INDEX(Fixed_Assets!$C$2:$C$201,$AB775)&amp;"",IF($Z775="F",INDEX(Workforce!$B$2:$B$151,MATCH(INDEX(FTE_Allocation!$A$2:$A$201,$AB775),Workforce!$A$2:$A$151,0))&amp;"","")))</f>
        <v/>
      </c>
      <c r="C775" s="7">
        <f>IF($Z775="C",INDEX(Contracts!$E$2:$E$151,$AB775)&amp;"",IF($Z775="A",INDEX(Fixed_Assets!$D$2:$D$201,$AB775)&amp;"",IF($Z775="F",INDEX(FTE_Allocation!$C$2:$C$201,$AB775)&amp;"","")))</f>
        <v/>
      </c>
      <c r="D775" s="7">
        <f>IF($Z775="C",INDEX(Contracts!$B$2:$B$151,$AB775)&amp;"",IF($Z775="A",INDEX(Fixed_Assets!$B$2:$B$201,$AB775)&amp;"",IF($Z775="F",INDEX(FTE_Allocation!$B$2:$B$201,$AB775)&amp;"","")))</f>
        <v/>
      </c>
      <c r="E775" s="7">
        <f>IF($Z775="C",INDEX(Contracts!$P$2:$P$151,$AB775)&amp;"",IF($Z775="A",INDEX(Fixed_Assets!$K$2:$K$201,$AB775)&amp;"",IF($Z775="F",IF(INDEX(FTE_Allocation!$D$2:$D$201,$AB775)="PROJECT",IFERROR(INDEX(Projects!$D:$D,MATCH(INDEX(FTE_Allocation!$E$2:$E$201,$AB775),Projects!$A:$A,0))&amp;"","#PROJECT?"),INDEX(FTE_Allocation!$E$2:$E$201,$AB775)&amp;""),"")))</f>
        <v/>
      </c>
      <c r="F775" s="7">
        <f>IF($Z775="C",INDEX(Contracts!$Q$2:$Q$151,$AB775)&amp;"",IF($Z775="A",INDEX(Fixed_Assets!$L$2:$L$201,$AB775)&amp;"",IF($Z775="F",INDEX(Workforce!$K$2:$K$151,MATCH(INDEX(FTE_Allocation!$A$2:$A$201,$AB775),Workforce!$A$2:$A$151,0))&amp;"","")))</f>
        <v/>
      </c>
      <c r="G775" s="7">
        <f>IF($Z775="C",INDEX(Contracts!$F$2:$F$151,$AB775)&amp;" / "&amp;INDEX(Contracts!$G$2:$G$151,$AB775),IF($Z775="A",INDEX(Fixed_Assets!$E$2:$E$201,$AB775)&amp;"",IF($Z775="F","Personnel "&amp;INDEX(FTE_Allocation!$A$2:$A$201,$AB775)&amp;IF(INDEX(FTE_Allocation!$D$2:$D$201,$AB775)="PROJECT"," ("&amp;INDEX(FTE_Allocation!$E$2:$E$201,$AB775)&amp;")",""),"")))</f>
        <v/>
      </c>
      <c r="H775" s="7">
        <f>IF($Z775="C","CONTRACT",IF($Z775="A","ASSET",IF($Z775="F","WORKFORCE","")))</f>
        <v/>
      </c>
      <c r="I775" s="7">
        <f>IF($Z775="C",INDEX(Contracts!$L$2:$L$151,$AB775)&amp;"",IF($Z775="A",INDEX(Fixed_Assets!$I$2:$I$201,$AB775)&amp;"",IF($Z775="F",INDEX(Workforce!$G$2:$G$151,MATCH(INDEX(FTE_Allocation!$A$2:$A$201,$AB775),Workforce!$A$2:$A$151,0))&amp;"","")))</f>
        <v/>
      </c>
      <c r="J775" s="18">
        <f>IF($Z775="","",IF(AND(DATE($AD775,1,1)&gt;=$AE775,DATE($AD775,1,1)&lt;=$AF775),ROUND($AG775,2),0))</f>
        <v/>
      </c>
      <c r="K775" s="18">
        <f>IF($Z775="","",IF(AND(DATE($AD775,2,1)&gt;=$AE775,DATE($AD775,2,1)&lt;=$AF775),ROUND($AG775,2),0))</f>
        <v/>
      </c>
      <c r="L775" s="18">
        <f>IF($Z775="","",IF(AND(DATE($AD775,3,1)&gt;=$AE775,DATE($AD775,3,1)&lt;=$AF775),ROUND($AG775,2),0))</f>
        <v/>
      </c>
      <c r="M775" s="18">
        <f>IF($Z775="","",IF(AND(DATE($AD775,4,1)&gt;=$AE775,DATE($AD775,4,1)&lt;=$AF775),ROUND($AG775,2),0))</f>
        <v/>
      </c>
      <c r="N775" s="18">
        <f>IF($Z775="","",IF(AND(DATE($AD775,5,1)&gt;=$AE775,DATE($AD775,5,1)&lt;=$AF775),ROUND($AG775,2),0))</f>
        <v/>
      </c>
      <c r="O775" s="18">
        <f>IF($Z775="","",IF(AND(DATE($AD775,6,1)&gt;=$AE775,DATE($AD775,6,1)&lt;=$AF775),ROUND($AG775,2),0))</f>
        <v/>
      </c>
      <c r="P775" s="18">
        <f>IF($Z775="","",IF(AND(DATE($AD775,7,1)&gt;=$AE775,DATE($AD775,7,1)&lt;=$AF775),ROUND($AG775,2),0))</f>
        <v/>
      </c>
      <c r="Q775" s="18">
        <f>IF($Z775="","",IF(AND(DATE($AD775,8,1)&gt;=$AE775,DATE($AD775,8,1)&lt;=$AF775),ROUND($AG775,2),0))</f>
        <v/>
      </c>
      <c r="R775" s="18">
        <f>IF($Z775="","",IF(AND(DATE($AD775,9,1)&gt;=$AE775,DATE($AD775,9,1)&lt;=$AF775),ROUND($AG775,2),0))</f>
        <v/>
      </c>
      <c r="S775" s="18">
        <f>IF($Z775="","",IF(AND(DATE($AD775,10,1)&gt;=$AE775,DATE($AD775,10,1)&lt;=$AF775),ROUND($AG775,2),0))</f>
        <v/>
      </c>
      <c r="T775" s="18">
        <f>IF($Z775="","",IF(AND(DATE($AD775,11,1)&gt;=$AE775,DATE($AD775,11,1)&lt;=$AF775),ROUND($AG775,2),0))</f>
        <v/>
      </c>
      <c r="U775" s="18">
        <f>IF($Z775="","",IF(AND(DATE($AD775,12,1)&gt;=$AE775,DATE($AD775,12,1)&lt;=$AF775),ROUND($AG775,2),0))</f>
        <v/>
      </c>
      <c r="V775" s="7">
        <f>IF($Z775="C","Generated from "&amp;INDEX(Contracts!$A$2:$A$151,$AB775),IF($Z775="A","Generated from "&amp;INDEX(Fixed_Assets!$A$2:$A$201,$AB775),IF($Z775="F","Generated from "&amp;INDEX(FTE_Allocation!$A$2:$A$201,$AB775),"")))</f>
        <v/>
      </c>
      <c r="X775" s="19">
        <f>IF($Z775="","",SUM(J775:U775))</f>
        <v/>
      </c>
      <c r="Y775" s="20">
        <f>ROW()-1</f>
        <v/>
      </c>
      <c r="Z775" s="20">
        <f>IF($Y775&lt;=Settings!$B$4*3,"C",IF($Y775&lt;=(Settings!$B$4+Settings!$B$5)*3,"A",IF($Y775&lt;=(Settings!$B$4+Settings!$B$5+Settings!$B$6)*3,"F","")))</f>
        <v/>
      </c>
      <c r="AA775" s="20">
        <f>IF($Z775="C",$Y775,IF($Z775="A",$Y775-Settings!$B$4*3,IF($Z775="F",$Y775-(Settings!$B$4+Settings!$B$5)*3,"")))</f>
        <v/>
      </c>
      <c r="AB775" s="20">
        <f>IF($Z775="","",INT(($AA775-1)/3)+1)</f>
        <v/>
      </c>
      <c r="AC775" s="20">
        <f>IF($Z775="","",MOD($AA775-1,3)+1)</f>
        <v/>
      </c>
      <c r="AD775" s="20">
        <f>IF($Z775="","",Settings!$B$2+$AC775-1)</f>
        <v/>
      </c>
      <c r="AE775" s="21">
        <f>IF($Z775="C",DATE(YEAR(INDEX(Contracts!$J$2:$J$151,$AB775)),MONTH(INDEX(Contracts!$J$2:$J$151,$AB775)),1),IF($Z775="A",DATE(YEAR(INDEX(Fixed_Assets!$G$2:$G$201,$AB775)),MONTH(INDEX(Fixed_Assets!$G$2:$G$201,$AB775)),1),IF($Z775="F",DATE(YEAR(MAX(N(INDEX(Workforce!$I$2:$I$151,MATCH(INDEX(FTE_Allocation!$A$2:$A$201,$AB775),Workforce!$A$2:$A$151,0))),N(INDEX(FTE_Allocation!$I$2:$I$201,$AB775)))),MONTH(MAX(N(INDEX(Workforce!$I$2:$I$151,MATCH(INDEX(FTE_Allocation!$A$2:$A$201,$AB775),Workforce!$A$2:$A$151,0))),N(INDEX(FTE_Allocation!$I$2:$I$201,$AB775)))),1),"")))</f>
        <v/>
      </c>
      <c r="AF775" s="21">
        <f>IF($Z775="C",IF(INDEX(Contracts!$I$2:$I$151,$AB775)="PREPAID",EDATE(DATE(YEAR(INDEX(Contracts!$J$2:$J$151,$AB775)),MONTH(INDEX(Contracts!$J$2:$J$151,$AB775)),1),IF(INDEX(Contracts!$N$2:$N$151,$AB775)="",12,INDEX(Contracts!$N$2:$N$151,$AB775))-1),IF(INDEX(Contracts!$I$2:$I$151,$AB775)="MONTHLY",IF(INDEX(Contracts!$K$2:$K$151,$AB775)="",2958101,INDEX(Contracts!$K$2:$K$151,$AB775)),0)),IF($Z775="A",EDATE(DATE(YEAR(INDEX(Fixed_Assets!$G$2:$G$201,$AB775)),MONTH(INDEX(Fixed_Assets!$G$2:$G$201,$AB775)),1),INDEX(Fixed_Assets!$J$2:$J$201,$AB775)-1),IF($Z775="F",MIN(IF(INDEX(Workforce!$J$2:$J$151,MATCH(INDEX(FTE_Allocation!$A$2:$A$201,$AB775),Workforce!$A$2:$A$151,0))="",2958101,INDEX(Workforce!$J$2:$J$151,MATCH(INDEX(FTE_Allocation!$A$2:$A$201,$AB775),Workforce!$A$2:$A$151,0))),IF(INDEX(FTE_Allocation!$J$2:$J$201,$AB775)="",2958101,INDEX(FTE_Allocation!$J$2:$J$201,$AB775))),"")))</f>
        <v/>
      </c>
      <c r="AG775" s="19">
        <f>IF($Z775="C",IF(INDEX(Contracts!$I$2:$I$151,$AB775)="PREPAID",INDEX(Contracts!$M$2:$M$151,$AB775)/IF(INDEX(Contracts!$N$2:$N$151,$AB775)="",12,INDEX(Contracts!$N$2:$N$151,$AB775)),IF(INDEX(Contracts!$I$2:$I$151,$AB775)="MONTHLY",INDEX(Contracts!$M$2:$M$151,$AB775),0))*(1-N(INDEX(Contracts!$O$2:$O$151,$AB775))),IF($Z775="A",INDEX(Fixed_Assets!$H$2:$H$201,$AB775)/INDEX(Fixed_Assets!$J$2:$J$201,$AB775),IF($Z775="F",INDEX(Workforce!$F$2:$F$151,MATCH(INDEX(FTE_Allocation!$A$2:$A$201,$AB775),Workforce!$A$2:$A$151,0))*N(INDEX(FTE_Allocation!$F$2:$H$201,$AB775,$AC775)),"")))</f>
        <v/>
      </c>
    </row>
    <row r="776">
      <c r="A776" s="7">
        <f>IF($Z776="","",$AD776)</f>
        <v/>
      </c>
      <c r="B776" s="7">
        <f>IF($Z776="C",INDEX(Contracts!$D$2:$D$151,$AB776)&amp;"",IF($Z776="A",INDEX(Fixed_Assets!$C$2:$C$201,$AB776)&amp;"",IF($Z776="F",INDEX(Workforce!$B$2:$B$151,MATCH(INDEX(FTE_Allocation!$A$2:$A$201,$AB776),Workforce!$A$2:$A$151,0))&amp;"","")))</f>
        <v/>
      </c>
      <c r="C776" s="7">
        <f>IF($Z776="C",INDEX(Contracts!$E$2:$E$151,$AB776)&amp;"",IF($Z776="A",INDEX(Fixed_Assets!$D$2:$D$201,$AB776)&amp;"",IF($Z776="F",INDEX(FTE_Allocation!$C$2:$C$201,$AB776)&amp;"","")))</f>
        <v/>
      </c>
      <c r="D776" s="7">
        <f>IF($Z776="C",INDEX(Contracts!$B$2:$B$151,$AB776)&amp;"",IF($Z776="A",INDEX(Fixed_Assets!$B$2:$B$201,$AB776)&amp;"",IF($Z776="F",INDEX(FTE_Allocation!$B$2:$B$201,$AB776)&amp;"","")))</f>
        <v/>
      </c>
      <c r="E776" s="7">
        <f>IF($Z776="C",INDEX(Contracts!$P$2:$P$151,$AB776)&amp;"",IF($Z776="A",INDEX(Fixed_Assets!$K$2:$K$201,$AB776)&amp;"",IF($Z776="F",IF(INDEX(FTE_Allocation!$D$2:$D$201,$AB776)="PROJECT",IFERROR(INDEX(Projects!$D:$D,MATCH(INDEX(FTE_Allocation!$E$2:$E$201,$AB776),Projects!$A:$A,0))&amp;"","#PROJECT?"),INDEX(FTE_Allocation!$E$2:$E$201,$AB776)&amp;""),"")))</f>
        <v/>
      </c>
      <c r="F776" s="7">
        <f>IF($Z776="C",INDEX(Contracts!$Q$2:$Q$151,$AB776)&amp;"",IF($Z776="A",INDEX(Fixed_Assets!$L$2:$L$201,$AB776)&amp;"",IF($Z776="F",INDEX(Workforce!$K$2:$K$151,MATCH(INDEX(FTE_Allocation!$A$2:$A$201,$AB776),Workforce!$A$2:$A$151,0))&amp;"","")))</f>
        <v/>
      </c>
      <c r="G776" s="7">
        <f>IF($Z776="C",INDEX(Contracts!$F$2:$F$151,$AB776)&amp;" / "&amp;INDEX(Contracts!$G$2:$G$151,$AB776),IF($Z776="A",INDEX(Fixed_Assets!$E$2:$E$201,$AB776)&amp;"",IF($Z776="F","Personnel "&amp;INDEX(FTE_Allocation!$A$2:$A$201,$AB776)&amp;IF(INDEX(FTE_Allocation!$D$2:$D$201,$AB776)="PROJECT"," ("&amp;INDEX(FTE_Allocation!$E$2:$E$201,$AB776)&amp;")",""),"")))</f>
        <v/>
      </c>
      <c r="H776" s="7">
        <f>IF($Z776="C","CONTRACT",IF($Z776="A","ASSET",IF($Z776="F","WORKFORCE","")))</f>
        <v/>
      </c>
      <c r="I776" s="7">
        <f>IF($Z776="C",INDEX(Contracts!$L$2:$L$151,$AB776)&amp;"",IF($Z776="A",INDEX(Fixed_Assets!$I$2:$I$201,$AB776)&amp;"",IF($Z776="F",INDEX(Workforce!$G$2:$G$151,MATCH(INDEX(FTE_Allocation!$A$2:$A$201,$AB776),Workforce!$A$2:$A$151,0))&amp;"","")))</f>
        <v/>
      </c>
      <c r="J776" s="18">
        <f>IF($Z776="","",IF(AND(DATE($AD776,1,1)&gt;=$AE776,DATE($AD776,1,1)&lt;=$AF776),ROUND($AG776,2),0))</f>
        <v/>
      </c>
      <c r="K776" s="18">
        <f>IF($Z776="","",IF(AND(DATE($AD776,2,1)&gt;=$AE776,DATE($AD776,2,1)&lt;=$AF776),ROUND($AG776,2),0))</f>
        <v/>
      </c>
      <c r="L776" s="18">
        <f>IF($Z776="","",IF(AND(DATE($AD776,3,1)&gt;=$AE776,DATE($AD776,3,1)&lt;=$AF776),ROUND($AG776,2),0))</f>
        <v/>
      </c>
      <c r="M776" s="18">
        <f>IF($Z776="","",IF(AND(DATE($AD776,4,1)&gt;=$AE776,DATE($AD776,4,1)&lt;=$AF776),ROUND($AG776,2),0))</f>
        <v/>
      </c>
      <c r="N776" s="18">
        <f>IF($Z776="","",IF(AND(DATE($AD776,5,1)&gt;=$AE776,DATE($AD776,5,1)&lt;=$AF776),ROUND($AG776,2),0))</f>
        <v/>
      </c>
      <c r="O776" s="18">
        <f>IF($Z776="","",IF(AND(DATE($AD776,6,1)&gt;=$AE776,DATE($AD776,6,1)&lt;=$AF776),ROUND($AG776,2),0))</f>
        <v/>
      </c>
      <c r="P776" s="18">
        <f>IF($Z776="","",IF(AND(DATE($AD776,7,1)&gt;=$AE776,DATE($AD776,7,1)&lt;=$AF776),ROUND($AG776,2),0))</f>
        <v/>
      </c>
      <c r="Q776" s="18">
        <f>IF($Z776="","",IF(AND(DATE($AD776,8,1)&gt;=$AE776,DATE($AD776,8,1)&lt;=$AF776),ROUND($AG776,2),0))</f>
        <v/>
      </c>
      <c r="R776" s="18">
        <f>IF($Z776="","",IF(AND(DATE($AD776,9,1)&gt;=$AE776,DATE($AD776,9,1)&lt;=$AF776),ROUND($AG776,2),0))</f>
        <v/>
      </c>
      <c r="S776" s="18">
        <f>IF($Z776="","",IF(AND(DATE($AD776,10,1)&gt;=$AE776,DATE($AD776,10,1)&lt;=$AF776),ROUND($AG776,2),0))</f>
        <v/>
      </c>
      <c r="T776" s="18">
        <f>IF($Z776="","",IF(AND(DATE($AD776,11,1)&gt;=$AE776,DATE($AD776,11,1)&lt;=$AF776),ROUND($AG776,2),0))</f>
        <v/>
      </c>
      <c r="U776" s="18">
        <f>IF($Z776="","",IF(AND(DATE($AD776,12,1)&gt;=$AE776,DATE($AD776,12,1)&lt;=$AF776),ROUND($AG776,2),0))</f>
        <v/>
      </c>
      <c r="V776" s="7">
        <f>IF($Z776="C","Generated from "&amp;INDEX(Contracts!$A$2:$A$151,$AB776),IF($Z776="A","Generated from "&amp;INDEX(Fixed_Assets!$A$2:$A$201,$AB776),IF($Z776="F","Generated from "&amp;INDEX(FTE_Allocation!$A$2:$A$201,$AB776),"")))</f>
        <v/>
      </c>
      <c r="X776" s="19">
        <f>IF($Z776="","",SUM(J776:U776))</f>
        <v/>
      </c>
      <c r="Y776" s="20">
        <f>ROW()-1</f>
        <v/>
      </c>
      <c r="Z776" s="20">
        <f>IF($Y776&lt;=Settings!$B$4*3,"C",IF($Y776&lt;=(Settings!$B$4+Settings!$B$5)*3,"A",IF($Y776&lt;=(Settings!$B$4+Settings!$B$5+Settings!$B$6)*3,"F","")))</f>
        <v/>
      </c>
      <c r="AA776" s="20">
        <f>IF($Z776="C",$Y776,IF($Z776="A",$Y776-Settings!$B$4*3,IF($Z776="F",$Y776-(Settings!$B$4+Settings!$B$5)*3,"")))</f>
        <v/>
      </c>
      <c r="AB776" s="20">
        <f>IF($Z776="","",INT(($AA776-1)/3)+1)</f>
        <v/>
      </c>
      <c r="AC776" s="20">
        <f>IF($Z776="","",MOD($AA776-1,3)+1)</f>
        <v/>
      </c>
      <c r="AD776" s="20">
        <f>IF($Z776="","",Settings!$B$2+$AC776-1)</f>
        <v/>
      </c>
      <c r="AE776" s="21">
        <f>IF($Z776="C",DATE(YEAR(INDEX(Contracts!$J$2:$J$151,$AB776)),MONTH(INDEX(Contracts!$J$2:$J$151,$AB776)),1),IF($Z776="A",DATE(YEAR(INDEX(Fixed_Assets!$G$2:$G$201,$AB776)),MONTH(INDEX(Fixed_Assets!$G$2:$G$201,$AB776)),1),IF($Z776="F",DATE(YEAR(MAX(N(INDEX(Workforce!$I$2:$I$151,MATCH(INDEX(FTE_Allocation!$A$2:$A$201,$AB776),Workforce!$A$2:$A$151,0))),N(INDEX(FTE_Allocation!$I$2:$I$201,$AB776)))),MONTH(MAX(N(INDEX(Workforce!$I$2:$I$151,MATCH(INDEX(FTE_Allocation!$A$2:$A$201,$AB776),Workforce!$A$2:$A$151,0))),N(INDEX(FTE_Allocation!$I$2:$I$201,$AB776)))),1),"")))</f>
        <v/>
      </c>
      <c r="AF776" s="21">
        <f>IF($Z776="C",IF(INDEX(Contracts!$I$2:$I$151,$AB776)="PREPAID",EDATE(DATE(YEAR(INDEX(Contracts!$J$2:$J$151,$AB776)),MONTH(INDEX(Contracts!$J$2:$J$151,$AB776)),1),IF(INDEX(Contracts!$N$2:$N$151,$AB776)="",12,INDEX(Contracts!$N$2:$N$151,$AB776))-1),IF(INDEX(Contracts!$I$2:$I$151,$AB776)="MONTHLY",IF(INDEX(Contracts!$K$2:$K$151,$AB776)="",2958101,INDEX(Contracts!$K$2:$K$151,$AB776)),0)),IF($Z776="A",EDATE(DATE(YEAR(INDEX(Fixed_Assets!$G$2:$G$201,$AB776)),MONTH(INDEX(Fixed_Assets!$G$2:$G$201,$AB776)),1),INDEX(Fixed_Assets!$J$2:$J$201,$AB776)-1),IF($Z776="F",MIN(IF(INDEX(Workforce!$J$2:$J$151,MATCH(INDEX(FTE_Allocation!$A$2:$A$201,$AB776),Workforce!$A$2:$A$151,0))="",2958101,INDEX(Workforce!$J$2:$J$151,MATCH(INDEX(FTE_Allocation!$A$2:$A$201,$AB776),Workforce!$A$2:$A$151,0))),IF(INDEX(FTE_Allocation!$J$2:$J$201,$AB776)="",2958101,INDEX(FTE_Allocation!$J$2:$J$201,$AB776))),"")))</f>
        <v/>
      </c>
      <c r="AG776" s="19">
        <f>IF($Z776="C",IF(INDEX(Contracts!$I$2:$I$151,$AB776)="PREPAID",INDEX(Contracts!$M$2:$M$151,$AB776)/IF(INDEX(Contracts!$N$2:$N$151,$AB776)="",12,INDEX(Contracts!$N$2:$N$151,$AB776)),IF(INDEX(Contracts!$I$2:$I$151,$AB776)="MONTHLY",INDEX(Contracts!$M$2:$M$151,$AB776),0))*(1-N(INDEX(Contracts!$O$2:$O$151,$AB776))),IF($Z776="A",INDEX(Fixed_Assets!$H$2:$H$201,$AB776)/INDEX(Fixed_Assets!$J$2:$J$201,$AB776),IF($Z776="F",INDEX(Workforce!$F$2:$F$151,MATCH(INDEX(FTE_Allocation!$A$2:$A$201,$AB776),Workforce!$A$2:$A$151,0))*N(INDEX(FTE_Allocation!$F$2:$H$201,$AB776,$AC776)),"")))</f>
        <v/>
      </c>
    </row>
    <row r="777">
      <c r="A777" s="7">
        <f>IF($Z777="","",$AD777)</f>
        <v/>
      </c>
      <c r="B777" s="7">
        <f>IF($Z777="C",INDEX(Contracts!$D$2:$D$151,$AB777)&amp;"",IF($Z777="A",INDEX(Fixed_Assets!$C$2:$C$201,$AB777)&amp;"",IF($Z777="F",INDEX(Workforce!$B$2:$B$151,MATCH(INDEX(FTE_Allocation!$A$2:$A$201,$AB777),Workforce!$A$2:$A$151,0))&amp;"","")))</f>
        <v/>
      </c>
      <c r="C777" s="7">
        <f>IF($Z777="C",INDEX(Contracts!$E$2:$E$151,$AB777)&amp;"",IF($Z777="A",INDEX(Fixed_Assets!$D$2:$D$201,$AB777)&amp;"",IF($Z777="F",INDEX(FTE_Allocation!$C$2:$C$201,$AB777)&amp;"","")))</f>
        <v/>
      </c>
      <c r="D777" s="7">
        <f>IF($Z777="C",INDEX(Contracts!$B$2:$B$151,$AB777)&amp;"",IF($Z777="A",INDEX(Fixed_Assets!$B$2:$B$201,$AB777)&amp;"",IF($Z777="F",INDEX(FTE_Allocation!$B$2:$B$201,$AB777)&amp;"","")))</f>
        <v/>
      </c>
      <c r="E777" s="7">
        <f>IF($Z777="C",INDEX(Contracts!$P$2:$P$151,$AB777)&amp;"",IF($Z777="A",INDEX(Fixed_Assets!$K$2:$K$201,$AB777)&amp;"",IF($Z777="F",IF(INDEX(FTE_Allocation!$D$2:$D$201,$AB777)="PROJECT",IFERROR(INDEX(Projects!$D:$D,MATCH(INDEX(FTE_Allocation!$E$2:$E$201,$AB777),Projects!$A:$A,0))&amp;"","#PROJECT?"),INDEX(FTE_Allocation!$E$2:$E$201,$AB777)&amp;""),"")))</f>
        <v/>
      </c>
      <c r="F777" s="7">
        <f>IF($Z777="C",INDEX(Contracts!$Q$2:$Q$151,$AB777)&amp;"",IF($Z777="A",INDEX(Fixed_Assets!$L$2:$L$201,$AB777)&amp;"",IF($Z777="F",INDEX(Workforce!$K$2:$K$151,MATCH(INDEX(FTE_Allocation!$A$2:$A$201,$AB777),Workforce!$A$2:$A$151,0))&amp;"","")))</f>
        <v/>
      </c>
      <c r="G777" s="7">
        <f>IF($Z777="C",INDEX(Contracts!$F$2:$F$151,$AB777)&amp;" / "&amp;INDEX(Contracts!$G$2:$G$151,$AB777),IF($Z777="A",INDEX(Fixed_Assets!$E$2:$E$201,$AB777)&amp;"",IF($Z777="F","Personnel "&amp;INDEX(FTE_Allocation!$A$2:$A$201,$AB777)&amp;IF(INDEX(FTE_Allocation!$D$2:$D$201,$AB777)="PROJECT"," ("&amp;INDEX(FTE_Allocation!$E$2:$E$201,$AB777)&amp;")",""),"")))</f>
        <v/>
      </c>
      <c r="H777" s="7">
        <f>IF($Z777="C","CONTRACT",IF($Z777="A","ASSET",IF($Z777="F","WORKFORCE","")))</f>
        <v/>
      </c>
      <c r="I777" s="7">
        <f>IF($Z777="C",INDEX(Contracts!$L$2:$L$151,$AB777)&amp;"",IF($Z777="A",INDEX(Fixed_Assets!$I$2:$I$201,$AB777)&amp;"",IF($Z777="F",INDEX(Workforce!$G$2:$G$151,MATCH(INDEX(FTE_Allocation!$A$2:$A$201,$AB777),Workforce!$A$2:$A$151,0))&amp;"","")))</f>
        <v/>
      </c>
      <c r="J777" s="18">
        <f>IF($Z777="","",IF(AND(DATE($AD777,1,1)&gt;=$AE777,DATE($AD777,1,1)&lt;=$AF777),ROUND($AG777,2),0))</f>
        <v/>
      </c>
      <c r="K777" s="18">
        <f>IF($Z777="","",IF(AND(DATE($AD777,2,1)&gt;=$AE777,DATE($AD777,2,1)&lt;=$AF777),ROUND($AG777,2),0))</f>
        <v/>
      </c>
      <c r="L777" s="18">
        <f>IF($Z777="","",IF(AND(DATE($AD777,3,1)&gt;=$AE777,DATE($AD777,3,1)&lt;=$AF777),ROUND($AG777,2),0))</f>
        <v/>
      </c>
      <c r="M777" s="18">
        <f>IF($Z777="","",IF(AND(DATE($AD777,4,1)&gt;=$AE777,DATE($AD777,4,1)&lt;=$AF777),ROUND($AG777,2),0))</f>
        <v/>
      </c>
      <c r="N777" s="18">
        <f>IF($Z777="","",IF(AND(DATE($AD777,5,1)&gt;=$AE777,DATE($AD777,5,1)&lt;=$AF777),ROUND($AG777,2),0))</f>
        <v/>
      </c>
      <c r="O777" s="18">
        <f>IF($Z777="","",IF(AND(DATE($AD777,6,1)&gt;=$AE777,DATE($AD777,6,1)&lt;=$AF777),ROUND($AG777,2),0))</f>
        <v/>
      </c>
      <c r="P777" s="18">
        <f>IF($Z777="","",IF(AND(DATE($AD777,7,1)&gt;=$AE777,DATE($AD777,7,1)&lt;=$AF777),ROUND($AG777,2),0))</f>
        <v/>
      </c>
      <c r="Q777" s="18">
        <f>IF($Z777="","",IF(AND(DATE($AD777,8,1)&gt;=$AE777,DATE($AD777,8,1)&lt;=$AF777),ROUND($AG777,2),0))</f>
        <v/>
      </c>
      <c r="R777" s="18">
        <f>IF($Z777="","",IF(AND(DATE($AD777,9,1)&gt;=$AE777,DATE($AD777,9,1)&lt;=$AF777),ROUND($AG777,2),0))</f>
        <v/>
      </c>
      <c r="S777" s="18">
        <f>IF($Z777="","",IF(AND(DATE($AD777,10,1)&gt;=$AE777,DATE($AD777,10,1)&lt;=$AF777),ROUND($AG777,2),0))</f>
        <v/>
      </c>
      <c r="T777" s="18">
        <f>IF($Z777="","",IF(AND(DATE($AD777,11,1)&gt;=$AE777,DATE($AD777,11,1)&lt;=$AF777),ROUND($AG777,2),0))</f>
        <v/>
      </c>
      <c r="U777" s="18">
        <f>IF($Z777="","",IF(AND(DATE($AD777,12,1)&gt;=$AE777,DATE($AD777,12,1)&lt;=$AF777),ROUND($AG777,2),0))</f>
        <v/>
      </c>
      <c r="V777" s="7">
        <f>IF($Z777="C","Generated from "&amp;INDEX(Contracts!$A$2:$A$151,$AB777),IF($Z777="A","Generated from "&amp;INDEX(Fixed_Assets!$A$2:$A$201,$AB777),IF($Z777="F","Generated from "&amp;INDEX(FTE_Allocation!$A$2:$A$201,$AB777),"")))</f>
        <v/>
      </c>
      <c r="X777" s="19">
        <f>IF($Z777="","",SUM(J777:U777))</f>
        <v/>
      </c>
      <c r="Y777" s="20">
        <f>ROW()-1</f>
        <v/>
      </c>
      <c r="Z777" s="20">
        <f>IF($Y777&lt;=Settings!$B$4*3,"C",IF($Y777&lt;=(Settings!$B$4+Settings!$B$5)*3,"A",IF($Y777&lt;=(Settings!$B$4+Settings!$B$5+Settings!$B$6)*3,"F","")))</f>
        <v/>
      </c>
      <c r="AA777" s="20">
        <f>IF($Z777="C",$Y777,IF($Z777="A",$Y777-Settings!$B$4*3,IF($Z777="F",$Y777-(Settings!$B$4+Settings!$B$5)*3,"")))</f>
        <v/>
      </c>
      <c r="AB777" s="20">
        <f>IF($Z777="","",INT(($AA777-1)/3)+1)</f>
        <v/>
      </c>
      <c r="AC777" s="20">
        <f>IF($Z777="","",MOD($AA777-1,3)+1)</f>
        <v/>
      </c>
      <c r="AD777" s="20">
        <f>IF($Z777="","",Settings!$B$2+$AC777-1)</f>
        <v/>
      </c>
      <c r="AE777" s="21">
        <f>IF($Z777="C",DATE(YEAR(INDEX(Contracts!$J$2:$J$151,$AB777)),MONTH(INDEX(Contracts!$J$2:$J$151,$AB777)),1),IF($Z777="A",DATE(YEAR(INDEX(Fixed_Assets!$G$2:$G$201,$AB777)),MONTH(INDEX(Fixed_Assets!$G$2:$G$201,$AB777)),1),IF($Z777="F",DATE(YEAR(MAX(N(INDEX(Workforce!$I$2:$I$151,MATCH(INDEX(FTE_Allocation!$A$2:$A$201,$AB777),Workforce!$A$2:$A$151,0))),N(INDEX(FTE_Allocation!$I$2:$I$201,$AB777)))),MONTH(MAX(N(INDEX(Workforce!$I$2:$I$151,MATCH(INDEX(FTE_Allocation!$A$2:$A$201,$AB777),Workforce!$A$2:$A$151,0))),N(INDEX(FTE_Allocation!$I$2:$I$201,$AB777)))),1),"")))</f>
        <v/>
      </c>
      <c r="AF777" s="21">
        <f>IF($Z777="C",IF(INDEX(Contracts!$I$2:$I$151,$AB777)="PREPAID",EDATE(DATE(YEAR(INDEX(Contracts!$J$2:$J$151,$AB777)),MONTH(INDEX(Contracts!$J$2:$J$151,$AB777)),1),IF(INDEX(Contracts!$N$2:$N$151,$AB777)="",12,INDEX(Contracts!$N$2:$N$151,$AB777))-1),IF(INDEX(Contracts!$I$2:$I$151,$AB777)="MONTHLY",IF(INDEX(Contracts!$K$2:$K$151,$AB777)="",2958101,INDEX(Contracts!$K$2:$K$151,$AB777)),0)),IF($Z777="A",EDATE(DATE(YEAR(INDEX(Fixed_Assets!$G$2:$G$201,$AB777)),MONTH(INDEX(Fixed_Assets!$G$2:$G$201,$AB777)),1),INDEX(Fixed_Assets!$J$2:$J$201,$AB777)-1),IF($Z777="F",MIN(IF(INDEX(Workforce!$J$2:$J$151,MATCH(INDEX(FTE_Allocation!$A$2:$A$201,$AB777),Workforce!$A$2:$A$151,0))="",2958101,INDEX(Workforce!$J$2:$J$151,MATCH(INDEX(FTE_Allocation!$A$2:$A$201,$AB777),Workforce!$A$2:$A$151,0))),IF(INDEX(FTE_Allocation!$J$2:$J$201,$AB777)="",2958101,INDEX(FTE_Allocation!$J$2:$J$201,$AB777))),"")))</f>
        <v/>
      </c>
      <c r="AG777" s="19">
        <f>IF($Z777="C",IF(INDEX(Contracts!$I$2:$I$151,$AB777)="PREPAID",INDEX(Contracts!$M$2:$M$151,$AB777)/IF(INDEX(Contracts!$N$2:$N$151,$AB777)="",12,INDEX(Contracts!$N$2:$N$151,$AB777)),IF(INDEX(Contracts!$I$2:$I$151,$AB777)="MONTHLY",INDEX(Contracts!$M$2:$M$151,$AB777),0))*(1-N(INDEX(Contracts!$O$2:$O$151,$AB777))),IF($Z777="A",INDEX(Fixed_Assets!$H$2:$H$201,$AB777)/INDEX(Fixed_Assets!$J$2:$J$201,$AB777),IF($Z777="F",INDEX(Workforce!$F$2:$F$151,MATCH(INDEX(FTE_Allocation!$A$2:$A$201,$AB777),Workforce!$A$2:$A$151,0))*N(INDEX(FTE_Allocation!$F$2:$H$201,$AB777,$AC777)),"")))</f>
        <v/>
      </c>
    </row>
    <row r="778">
      <c r="A778" s="7">
        <f>IF($Z778="","",$AD778)</f>
        <v/>
      </c>
      <c r="B778" s="7">
        <f>IF($Z778="C",INDEX(Contracts!$D$2:$D$151,$AB778)&amp;"",IF($Z778="A",INDEX(Fixed_Assets!$C$2:$C$201,$AB778)&amp;"",IF($Z778="F",INDEX(Workforce!$B$2:$B$151,MATCH(INDEX(FTE_Allocation!$A$2:$A$201,$AB778),Workforce!$A$2:$A$151,0))&amp;"","")))</f>
        <v/>
      </c>
      <c r="C778" s="7">
        <f>IF($Z778="C",INDEX(Contracts!$E$2:$E$151,$AB778)&amp;"",IF($Z778="A",INDEX(Fixed_Assets!$D$2:$D$201,$AB778)&amp;"",IF($Z778="F",INDEX(FTE_Allocation!$C$2:$C$201,$AB778)&amp;"","")))</f>
        <v/>
      </c>
      <c r="D778" s="7">
        <f>IF($Z778="C",INDEX(Contracts!$B$2:$B$151,$AB778)&amp;"",IF($Z778="A",INDEX(Fixed_Assets!$B$2:$B$201,$AB778)&amp;"",IF($Z778="F",INDEX(FTE_Allocation!$B$2:$B$201,$AB778)&amp;"","")))</f>
        <v/>
      </c>
      <c r="E778" s="7">
        <f>IF($Z778="C",INDEX(Contracts!$P$2:$P$151,$AB778)&amp;"",IF($Z778="A",INDEX(Fixed_Assets!$K$2:$K$201,$AB778)&amp;"",IF($Z778="F",IF(INDEX(FTE_Allocation!$D$2:$D$201,$AB778)="PROJECT",IFERROR(INDEX(Projects!$D:$D,MATCH(INDEX(FTE_Allocation!$E$2:$E$201,$AB778),Projects!$A:$A,0))&amp;"","#PROJECT?"),INDEX(FTE_Allocation!$E$2:$E$201,$AB778)&amp;""),"")))</f>
        <v/>
      </c>
      <c r="F778" s="7">
        <f>IF($Z778="C",INDEX(Contracts!$Q$2:$Q$151,$AB778)&amp;"",IF($Z778="A",INDEX(Fixed_Assets!$L$2:$L$201,$AB778)&amp;"",IF($Z778="F",INDEX(Workforce!$K$2:$K$151,MATCH(INDEX(FTE_Allocation!$A$2:$A$201,$AB778),Workforce!$A$2:$A$151,0))&amp;"","")))</f>
        <v/>
      </c>
      <c r="G778" s="7">
        <f>IF($Z778="C",INDEX(Contracts!$F$2:$F$151,$AB778)&amp;" / "&amp;INDEX(Contracts!$G$2:$G$151,$AB778),IF($Z778="A",INDEX(Fixed_Assets!$E$2:$E$201,$AB778)&amp;"",IF($Z778="F","Personnel "&amp;INDEX(FTE_Allocation!$A$2:$A$201,$AB778)&amp;IF(INDEX(FTE_Allocation!$D$2:$D$201,$AB778)="PROJECT"," ("&amp;INDEX(FTE_Allocation!$E$2:$E$201,$AB778)&amp;")",""),"")))</f>
        <v/>
      </c>
      <c r="H778" s="7">
        <f>IF($Z778="C","CONTRACT",IF($Z778="A","ASSET",IF($Z778="F","WORKFORCE","")))</f>
        <v/>
      </c>
      <c r="I778" s="7">
        <f>IF($Z778="C",INDEX(Contracts!$L$2:$L$151,$AB778)&amp;"",IF($Z778="A",INDEX(Fixed_Assets!$I$2:$I$201,$AB778)&amp;"",IF($Z778="F",INDEX(Workforce!$G$2:$G$151,MATCH(INDEX(FTE_Allocation!$A$2:$A$201,$AB778),Workforce!$A$2:$A$151,0))&amp;"","")))</f>
        <v/>
      </c>
      <c r="J778" s="18">
        <f>IF($Z778="","",IF(AND(DATE($AD778,1,1)&gt;=$AE778,DATE($AD778,1,1)&lt;=$AF778),ROUND($AG778,2),0))</f>
        <v/>
      </c>
      <c r="K778" s="18">
        <f>IF($Z778="","",IF(AND(DATE($AD778,2,1)&gt;=$AE778,DATE($AD778,2,1)&lt;=$AF778),ROUND($AG778,2),0))</f>
        <v/>
      </c>
      <c r="L778" s="18">
        <f>IF($Z778="","",IF(AND(DATE($AD778,3,1)&gt;=$AE778,DATE($AD778,3,1)&lt;=$AF778),ROUND($AG778,2),0))</f>
        <v/>
      </c>
      <c r="M778" s="18">
        <f>IF($Z778="","",IF(AND(DATE($AD778,4,1)&gt;=$AE778,DATE($AD778,4,1)&lt;=$AF778),ROUND($AG778,2),0))</f>
        <v/>
      </c>
      <c r="N778" s="18">
        <f>IF($Z778="","",IF(AND(DATE($AD778,5,1)&gt;=$AE778,DATE($AD778,5,1)&lt;=$AF778),ROUND($AG778,2),0))</f>
        <v/>
      </c>
      <c r="O778" s="18">
        <f>IF($Z778="","",IF(AND(DATE($AD778,6,1)&gt;=$AE778,DATE($AD778,6,1)&lt;=$AF778),ROUND($AG778,2),0))</f>
        <v/>
      </c>
      <c r="P778" s="18">
        <f>IF($Z778="","",IF(AND(DATE($AD778,7,1)&gt;=$AE778,DATE($AD778,7,1)&lt;=$AF778),ROUND($AG778,2),0))</f>
        <v/>
      </c>
      <c r="Q778" s="18">
        <f>IF($Z778="","",IF(AND(DATE($AD778,8,1)&gt;=$AE778,DATE($AD778,8,1)&lt;=$AF778),ROUND($AG778,2),0))</f>
        <v/>
      </c>
      <c r="R778" s="18">
        <f>IF($Z778="","",IF(AND(DATE($AD778,9,1)&gt;=$AE778,DATE($AD778,9,1)&lt;=$AF778),ROUND($AG778,2),0))</f>
        <v/>
      </c>
      <c r="S778" s="18">
        <f>IF($Z778="","",IF(AND(DATE($AD778,10,1)&gt;=$AE778,DATE($AD778,10,1)&lt;=$AF778),ROUND($AG778,2),0))</f>
        <v/>
      </c>
      <c r="T778" s="18">
        <f>IF($Z778="","",IF(AND(DATE($AD778,11,1)&gt;=$AE778,DATE($AD778,11,1)&lt;=$AF778),ROUND($AG778,2),0))</f>
        <v/>
      </c>
      <c r="U778" s="18">
        <f>IF($Z778="","",IF(AND(DATE($AD778,12,1)&gt;=$AE778,DATE($AD778,12,1)&lt;=$AF778),ROUND($AG778,2),0))</f>
        <v/>
      </c>
      <c r="V778" s="7">
        <f>IF($Z778="C","Generated from "&amp;INDEX(Contracts!$A$2:$A$151,$AB778),IF($Z778="A","Generated from "&amp;INDEX(Fixed_Assets!$A$2:$A$201,$AB778),IF($Z778="F","Generated from "&amp;INDEX(FTE_Allocation!$A$2:$A$201,$AB778),"")))</f>
        <v/>
      </c>
      <c r="X778" s="19">
        <f>IF($Z778="","",SUM(J778:U778))</f>
        <v/>
      </c>
      <c r="Y778" s="20">
        <f>ROW()-1</f>
        <v/>
      </c>
      <c r="Z778" s="20">
        <f>IF($Y778&lt;=Settings!$B$4*3,"C",IF($Y778&lt;=(Settings!$B$4+Settings!$B$5)*3,"A",IF($Y778&lt;=(Settings!$B$4+Settings!$B$5+Settings!$B$6)*3,"F","")))</f>
        <v/>
      </c>
      <c r="AA778" s="20">
        <f>IF($Z778="C",$Y778,IF($Z778="A",$Y778-Settings!$B$4*3,IF($Z778="F",$Y778-(Settings!$B$4+Settings!$B$5)*3,"")))</f>
        <v/>
      </c>
      <c r="AB778" s="20">
        <f>IF($Z778="","",INT(($AA778-1)/3)+1)</f>
        <v/>
      </c>
      <c r="AC778" s="20">
        <f>IF($Z778="","",MOD($AA778-1,3)+1)</f>
        <v/>
      </c>
      <c r="AD778" s="20">
        <f>IF($Z778="","",Settings!$B$2+$AC778-1)</f>
        <v/>
      </c>
      <c r="AE778" s="21">
        <f>IF($Z778="C",DATE(YEAR(INDEX(Contracts!$J$2:$J$151,$AB778)),MONTH(INDEX(Contracts!$J$2:$J$151,$AB778)),1),IF($Z778="A",DATE(YEAR(INDEX(Fixed_Assets!$G$2:$G$201,$AB778)),MONTH(INDEX(Fixed_Assets!$G$2:$G$201,$AB778)),1),IF($Z778="F",DATE(YEAR(MAX(N(INDEX(Workforce!$I$2:$I$151,MATCH(INDEX(FTE_Allocation!$A$2:$A$201,$AB778),Workforce!$A$2:$A$151,0))),N(INDEX(FTE_Allocation!$I$2:$I$201,$AB778)))),MONTH(MAX(N(INDEX(Workforce!$I$2:$I$151,MATCH(INDEX(FTE_Allocation!$A$2:$A$201,$AB778),Workforce!$A$2:$A$151,0))),N(INDEX(FTE_Allocation!$I$2:$I$201,$AB778)))),1),"")))</f>
        <v/>
      </c>
      <c r="AF778" s="21">
        <f>IF($Z778="C",IF(INDEX(Contracts!$I$2:$I$151,$AB778)="PREPAID",EDATE(DATE(YEAR(INDEX(Contracts!$J$2:$J$151,$AB778)),MONTH(INDEX(Contracts!$J$2:$J$151,$AB778)),1),IF(INDEX(Contracts!$N$2:$N$151,$AB778)="",12,INDEX(Contracts!$N$2:$N$151,$AB778))-1),IF(INDEX(Contracts!$I$2:$I$151,$AB778)="MONTHLY",IF(INDEX(Contracts!$K$2:$K$151,$AB778)="",2958101,INDEX(Contracts!$K$2:$K$151,$AB778)),0)),IF($Z778="A",EDATE(DATE(YEAR(INDEX(Fixed_Assets!$G$2:$G$201,$AB778)),MONTH(INDEX(Fixed_Assets!$G$2:$G$201,$AB778)),1),INDEX(Fixed_Assets!$J$2:$J$201,$AB778)-1),IF($Z778="F",MIN(IF(INDEX(Workforce!$J$2:$J$151,MATCH(INDEX(FTE_Allocation!$A$2:$A$201,$AB778),Workforce!$A$2:$A$151,0))="",2958101,INDEX(Workforce!$J$2:$J$151,MATCH(INDEX(FTE_Allocation!$A$2:$A$201,$AB778),Workforce!$A$2:$A$151,0))),IF(INDEX(FTE_Allocation!$J$2:$J$201,$AB778)="",2958101,INDEX(FTE_Allocation!$J$2:$J$201,$AB778))),"")))</f>
        <v/>
      </c>
      <c r="AG778" s="19">
        <f>IF($Z778="C",IF(INDEX(Contracts!$I$2:$I$151,$AB778)="PREPAID",INDEX(Contracts!$M$2:$M$151,$AB778)/IF(INDEX(Contracts!$N$2:$N$151,$AB778)="",12,INDEX(Contracts!$N$2:$N$151,$AB778)),IF(INDEX(Contracts!$I$2:$I$151,$AB778)="MONTHLY",INDEX(Contracts!$M$2:$M$151,$AB778),0))*(1-N(INDEX(Contracts!$O$2:$O$151,$AB778))),IF($Z778="A",INDEX(Fixed_Assets!$H$2:$H$201,$AB778)/INDEX(Fixed_Assets!$J$2:$J$201,$AB778),IF($Z778="F",INDEX(Workforce!$F$2:$F$151,MATCH(INDEX(FTE_Allocation!$A$2:$A$201,$AB778),Workforce!$A$2:$A$151,0))*N(INDEX(FTE_Allocation!$F$2:$H$201,$AB778,$AC778)),"")))</f>
        <v/>
      </c>
    </row>
    <row r="779">
      <c r="A779" s="7">
        <f>IF($Z779="","",$AD779)</f>
        <v/>
      </c>
      <c r="B779" s="7">
        <f>IF($Z779="C",INDEX(Contracts!$D$2:$D$151,$AB779)&amp;"",IF($Z779="A",INDEX(Fixed_Assets!$C$2:$C$201,$AB779)&amp;"",IF($Z779="F",INDEX(Workforce!$B$2:$B$151,MATCH(INDEX(FTE_Allocation!$A$2:$A$201,$AB779),Workforce!$A$2:$A$151,0))&amp;"","")))</f>
        <v/>
      </c>
      <c r="C779" s="7">
        <f>IF($Z779="C",INDEX(Contracts!$E$2:$E$151,$AB779)&amp;"",IF($Z779="A",INDEX(Fixed_Assets!$D$2:$D$201,$AB779)&amp;"",IF($Z779="F",INDEX(FTE_Allocation!$C$2:$C$201,$AB779)&amp;"","")))</f>
        <v/>
      </c>
      <c r="D779" s="7">
        <f>IF($Z779="C",INDEX(Contracts!$B$2:$B$151,$AB779)&amp;"",IF($Z779="A",INDEX(Fixed_Assets!$B$2:$B$201,$AB779)&amp;"",IF($Z779="F",INDEX(FTE_Allocation!$B$2:$B$201,$AB779)&amp;"","")))</f>
        <v/>
      </c>
      <c r="E779" s="7">
        <f>IF($Z779="C",INDEX(Contracts!$P$2:$P$151,$AB779)&amp;"",IF($Z779="A",INDEX(Fixed_Assets!$K$2:$K$201,$AB779)&amp;"",IF($Z779="F",IF(INDEX(FTE_Allocation!$D$2:$D$201,$AB779)="PROJECT",IFERROR(INDEX(Projects!$D:$D,MATCH(INDEX(FTE_Allocation!$E$2:$E$201,$AB779),Projects!$A:$A,0))&amp;"","#PROJECT?"),INDEX(FTE_Allocation!$E$2:$E$201,$AB779)&amp;""),"")))</f>
        <v/>
      </c>
      <c r="F779" s="7">
        <f>IF($Z779="C",INDEX(Contracts!$Q$2:$Q$151,$AB779)&amp;"",IF($Z779="A",INDEX(Fixed_Assets!$L$2:$L$201,$AB779)&amp;"",IF($Z779="F",INDEX(Workforce!$K$2:$K$151,MATCH(INDEX(FTE_Allocation!$A$2:$A$201,$AB779),Workforce!$A$2:$A$151,0))&amp;"","")))</f>
        <v/>
      </c>
      <c r="G779" s="7">
        <f>IF($Z779="C",INDEX(Contracts!$F$2:$F$151,$AB779)&amp;" / "&amp;INDEX(Contracts!$G$2:$G$151,$AB779),IF($Z779="A",INDEX(Fixed_Assets!$E$2:$E$201,$AB779)&amp;"",IF($Z779="F","Personnel "&amp;INDEX(FTE_Allocation!$A$2:$A$201,$AB779)&amp;IF(INDEX(FTE_Allocation!$D$2:$D$201,$AB779)="PROJECT"," ("&amp;INDEX(FTE_Allocation!$E$2:$E$201,$AB779)&amp;")",""),"")))</f>
        <v/>
      </c>
      <c r="H779" s="7">
        <f>IF($Z779="C","CONTRACT",IF($Z779="A","ASSET",IF($Z779="F","WORKFORCE","")))</f>
        <v/>
      </c>
      <c r="I779" s="7">
        <f>IF($Z779="C",INDEX(Contracts!$L$2:$L$151,$AB779)&amp;"",IF($Z779="A",INDEX(Fixed_Assets!$I$2:$I$201,$AB779)&amp;"",IF($Z779="F",INDEX(Workforce!$G$2:$G$151,MATCH(INDEX(FTE_Allocation!$A$2:$A$201,$AB779),Workforce!$A$2:$A$151,0))&amp;"","")))</f>
        <v/>
      </c>
      <c r="J779" s="18">
        <f>IF($Z779="","",IF(AND(DATE($AD779,1,1)&gt;=$AE779,DATE($AD779,1,1)&lt;=$AF779),ROUND($AG779,2),0))</f>
        <v/>
      </c>
      <c r="K779" s="18">
        <f>IF($Z779="","",IF(AND(DATE($AD779,2,1)&gt;=$AE779,DATE($AD779,2,1)&lt;=$AF779),ROUND($AG779,2),0))</f>
        <v/>
      </c>
      <c r="L779" s="18">
        <f>IF($Z779="","",IF(AND(DATE($AD779,3,1)&gt;=$AE779,DATE($AD779,3,1)&lt;=$AF779),ROUND($AG779,2),0))</f>
        <v/>
      </c>
      <c r="M779" s="18">
        <f>IF($Z779="","",IF(AND(DATE($AD779,4,1)&gt;=$AE779,DATE($AD779,4,1)&lt;=$AF779),ROUND($AG779,2),0))</f>
        <v/>
      </c>
      <c r="N779" s="18">
        <f>IF($Z779="","",IF(AND(DATE($AD779,5,1)&gt;=$AE779,DATE($AD779,5,1)&lt;=$AF779),ROUND($AG779,2),0))</f>
        <v/>
      </c>
      <c r="O779" s="18">
        <f>IF($Z779="","",IF(AND(DATE($AD779,6,1)&gt;=$AE779,DATE($AD779,6,1)&lt;=$AF779),ROUND($AG779,2),0))</f>
        <v/>
      </c>
      <c r="P779" s="18">
        <f>IF($Z779="","",IF(AND(DATE($AD779,7,1)&gt;=$AE779,DATE($AD779,7,1)&lt;=$AF779),ROUND($AG779,2),0))</f>
        <v/>
      </c>
      <c r="Q779" s="18">
        <f>IF($Z779="","",IF(AND(DATE($AD779,8,1)&gt;=$AE779,DATE($AD779,8,1)&lt;=$AF779),ROUND($AG779,2),0))</f>
        <v/>
      </c>
      <c r="R779" s="18">
        <f>IF($Z779="","",IF(AND(DATE($AD779,9,1)&gt;=$AE779,DATE($AD779,9,1)&lt;=$AF779),ROUND($AG779,2),0))</f>
        <v/>
      </c>
      <c r="S779" s="18">
        <f>IF($Z779="","",IF(AND(DATE($AD779,10,1)&gt;=$AE779,DATE($AD779,10,1)&lt;=$AF779),ROUND($AG779,2),0))</f>
        <v/>
      </c>
      <c r="T779" s="18">
        <f>IF($Z779="","",IF(AND(DATE($AD779,11,1)&gt;=$AE779,DATE($AD779,11,1)&lt;=$AF779),ROUND($AG779,2),0))</f>
        <v/>
      </c>
      <c r="U779" s="18">
        <f>IF($Z779="","",IF(AND(DATE($AD779,12,1)&gt;=$AE779,DATE($AD779,12,1)&lt;=$AF779),ROUND($AG779,2),0))</f>
        <v/>
      </c>
      <c r="V779" s="7">
        <f>IF($Z779="C","Generated from "&amp;INDEX(Contracts!$A$2:$A$151,$AB779),IF($Z779="A","Generated from "&amp;INDEX(Fixed_Assets!$A$2:$A$201,$AB779),IF($Z779="F","Generated from "&amp;INDEX(FTE_Allocation!$A$2:$A$201,$AB779),"")))</f>
        <v/>
      </c>
      <c r="X779" s="19">
        <f>IF($Z779="","",SUM(J779:U779))</f>
        <v/>
      </c>
      <c r="Y779" s="20">
        <f>ROW()-1</f>
        <v/>
      </c>
      <c r="Z779" s="20">
        <f>IF($Y779&lt;=Settings!$B$4*3,"C",IF($Y779&lt;=(Settings!$B$4+Settings!$B$5)*3,"A",IF($Y779&lt;=(Settings!$B$4+Settings!$B$5+Settings!$B$6)*3,"F","")))</f>
        <v/>
      </c>
      <c r="AA779" s="20">
        <f>IF($Z779="C",$Y779,IF($Z779="A",$Y779-Settings!$B$4*3,IF($Z779="F",$Y779-(Settings!$B$4+Settings!$B$5)*3,"")))</f>
        <v/>
      </c>
      <c r="AB779" s="20">
        <f>IF($Z779="","",INT(($AA779-1)/3)+1)</f>
        <v/>
      </c>
      <c r="AC779" s="20">
        <f>IF($Z779="","",MOD($AA779-1,3)+1)</f>
        <v/>
      </c>
      <c r="AD779" s="20">
        <f>IF($Z779="","",Settings!$B$2+$AC779-1)</f>
        <v/>
      </c>
      <c r="AE779" s="21">
        <f>IF($Z779="C",DATE(YEAR(INDEX(Contracts!$J$2:$J$151,$AB779)),MONTH(INDEX(Contracts!$J$2:$J$151,$AB779)),1),IF($Z779="A",DATE(YEAR(INDEX(Fixed_Assets!$G$2:$G$201,$AB779)),MONTH(INDEX(Fixed_Assets!$G$2:$G$201,$AB779)),1),IF($Z779="F",DATE(YEAR(MAX(N(INDEX(Workforce!$I$2:$I$151,MATCH(INDEX(FTE_Allocation!$A$2:$A$201,$AB779),Workforce!$A$2:$A$151,0))),N(INDEX(FTE_Allocation!$I$2:$I$201,$AB779)))),MONTH(MAX(N(INDEX(Workforce!$I$2:$I$151,MATCH(INDEX(FTE_Allocation!$A$2:$A$201,$AB779),Workforce!$A$2:$A$151,0))),N(INDEX(FTE_Allocation!$I$2:$I$201,$AB779)))),1),"")))</f>
        <v/>
      </c>
      <c r="AF779" s="21">
        <f>IF($Z779="C",IF(INDEX(Contracts!$I$2:$I$151,$AB779)="PREPAID",EDATE(DATE(YEAR(INDEX(Contracts!$J$2:$J$151,$AB779)),MONTH(INDEX(Contracts!$J$2:$J$151,$AB779)),1),IF(INDEX(Contracts!$N$2:$N$151,$AB779)="",12,INDEX(Contracts!$N$2:$N$151,$AB779))-1),IF(INDEX(Contracts!$I$2:$I$151,$AB779)="MONTHLY",IF(INDEX(Contracts!$K$2:$K$151,$AB779)="",2958101,INDEX(Contracts!$K$2:$K$151,$AB779)),0)),IF($Z779="A",EDATE(DATE(YEAR(INDEX(Fixed_Assets!$G$2:$G$201,$AB779)),MONTH(INDEX(Fixed_Assets!$G$2:$G$201,$AB779)),1),INDEX(Fixed_Assets!$J$2:$J$201,$AB779)-1),IF($Z779="F",MIN(IF(INDEX(Workforce!$J$2:$J$151,MATCH(INDEX(FTE_Allocation!$A$2:$A$201,$AB779),Workforce!$A$2:$A$151,0))="",2958101,INDEX(Workforce!$J$2:$J$151,MATCH(INDEX(FTE_Allocation!$A$2:$A$201,$AB779),Workforce!$A$2:$A$151,0))),IF(INDEX(FTE_Allocation!$J$2:$J$201,$AB779)="",2958101,INDEX(FTE_Allocation!$J$2:$J$201,$AB779))),"")))</f>
        <v/>
      </c>
      <c r="AG779" s="19">
        <f>IF($Z779="C",IF(INDEX(Contracts!$I$2:$I$151,$AB779)="PREPAID",INDEX(Contracts!$M$2:$M$151,$AB779)/IF(INDEX(Contracts!$N$2:$N$151,$AB779)="",12,INDEX(Contracts!$N$2:$N$151,$AB779)),IF(INDEX(Contracts!$I$2:$I$151,$AB779)="MONTHLY",INDEX(Contracts!$M$2:$M$151,$AB779),0))*(1-N(INDEX(Contracts!$O$2:$O$151,$AB779))),IF($Z779="A",INDEX(Fixed_Assets!$H$2:$H$201,$AB779)/INDEX(Fixed_Assets!$J$2:$J$201,$AB779),IF($Z779="F",INDEX(Workforce!$F$2:$F$151,MATCH(INDEX(FTE_Allocation!$A$2:$A$201,$AB779),Workforce!$A$2:$A$151,0))*N(INDEX(FTE_Allocation!$F$2:$H$201,$AB779,$AC779)),"")))</f>
        <v/>
      </c>
    </row>
    <row r="780">
      <c r="A780" s="7">
        <f>IF($Z780="","",$AD780)</f>
        <v/>
      </c>
      <c r="B780" s="7">
        <f>IF($Z780="C",INDEX(Contracts!$D$2:$D$151,$AB780)&amp;"",IF($Z780="A",INDEX(Fixed_Assets!$C$2:$C$201,$AB780)&amp;"",IF($Z780="F",INDEX(Workforce!$B$2:$B$151,MATCH(INDEX(FTE_Allocation!$A$2:$A$201,$AB780),Workforce!$A$2:$A$151,0))&amp;"","")))</f>
        <v/>
      </c>
      <c r="C780" s="7">
        <f>IF($Z780="C",INDEX(Contracts!$E$2:$E$151,$AB780)&amp;"",IF($Z780="A",INDEX(Fixed_Assets!$D$2:$D$201,$AB780)&amp;"",IF($Z780="F",INDEX(FTE_Allocation!$C$2:$C$201,$AB780)&amp;"","")))</f>
        <v/>
      </c>
      <c r="D780" s="7">
        <f>IF($Z780="C",INDEX(Contracts!$B$2:$B$151,$AB780)&amp;"",IF($Z780="A",INDEX(Fixed_Assets!$B$2:$B$201,$AB780)&amp;"",IF($Z780="F",INDEX(FTE_Allocation!$B$2:$B$201,$AB780)&amp;"","")))</f>
        <v/>
      </c>
      <c r="E780" s="7">
        <f>IF($Z780="C",INDEX(Contracts!$P$2:$P$151,$AB780)&amp;"",IF($Z780="A",INDEX(Fixed_Assets!$K$2:$K$201,$AB780)&amp;"",IF($Z780="F",IF(INDEX(FTE_Allocation!$D$2:$D$201,$AB780)="PROJECT",IFERROR(INDEX(Projects!$D:$D,MATCH(INDEX(FTE_Allocation!$E$2:$E$201,$AB780),Projects!$A:$A,0))&amp;"","#PROJECT?"),INDEX(FTE_Allocation!$E$2:$E$201,$AB780)&amp;""),"")))</f>
        <v/>
      </c>
      <c r="F780" s="7">
        <f>IF($Z780="C",INDEX(Contracts!$Q$2:$Q$151,$AB780)&amp;"",IF($Z780="A",INDEX(Fixed_Assets!$L$2:$L$201,$AB780)&amp;"",IF($Z780="F",INDEX(Workforce!$K$2:$K$151,MATCH(INDEX(FTE_Allocation!$A$2:$A$201,$AB780),Workforce!$A$2:$A$151,0))&amp;"","")))</f>
        <v/>
      </c>
      <c r="G780" s="7">
        <f>IF($Z780="C",INDEX(Contracts!$F$2:$F$151,$AB780)&amp;" / "&amp;INDEX(Contracts!$G$2:$G$151,$AB780),IF($Z780="A",INDEX(Fixed_Assets!$E$2:$E$201,$AB780)&amp;"",IF($Z780="F","Personnel "&amp;INDEX(FTE_Allocation!$A$2:$A$201,$AB780)&amp;IF(INDEX(FTE_Allocation!$D$2:$D$201,$AB780)="PROJECT"," ("&amp;INDEX(FTE_Allocation!$E$2:$E$201,$AB780)&amp;")",""),"")))</f>
        <v/>
      </c>
      <c r="H780" s="7">
        <f>IF($Z780="C","CONTRACT",IF($Z780="A","ASSET",IF($Z780="F","WORKFORCE","")))</f>
        <v/>
      </c>
      <c r="I780" s="7">
        <f>IF($Z780="C",INDEX(Contracts!$L$2:$L$151,$AB780)&amp;"",IF($Z780="A",INDEX(Fixed_Assets!$I$2:$I$201,$AB780)&amp;"",IF($Z780="F",INDEX(Workforce!$G$2:$G$151,MATCH(INDEX(FTE_Allocation!$A$2:$A$201,$AB780),Workforce!$A$2:$A$151,0))&amp;"","")))</f>
        <v/>
      </c>
      <c r="J780" s="18">
        <f>IF($Z780="","",IF(AND(DATE($AD780,1,1)&gt;=$AE780,DATE($AD780,1,1)&lt;=$AF780),ROUND($AG780,2),0))</f>
        <v/>
      </c>
      <c r="K780" s="18">
        <f>IF($Z780="","",IF(AND(DATE($AD780,2,1)&gt;=$AE780,DATE($AD780,2,1)&lt;=$AF780),ROUND($AG780,2),0))</f>
        <v/>
      </c>
      <c r="L780" s="18">
        <f>IF($Z780="","",IF(AND(DATE($AD780,3,1)&gt;=$AE780,DATE($AD780,3,1)&lt;=$AF780),ROUND($AG780,2),0))</f>
        <v/>
      </c>
      <c r="M780" s="18">
        <f>IF($Z780="","",IF(AND(DATE($AD780,4,1)&gt;=$AE780,DATE($AD780,4,1)&lt;=$AF780),ROUND($AG780,2),0))</f>
        <v/>
      </c>
      <c r="N780" s="18">
        <f>IF($Z780="","",IF(AND(DATE($AD780,5,1)&gt;=$AE780,DATE($AD780,5,1)&lt;=$AF780),ROUND($AG780,2),0))</f>
        <v/>
      </c>
      <c r="O780" s="18">
        <f>IF($Z780="","",IF(AND(DATE($AD780,6,1)&gt;=$AE780,DATE($AD780,6,1)&lt;=$AF780),ROUND($AG780,2),0))</f>
        <v/>
      </c>
      <c r="P780" s="18">
        <f>IF($Z780="","",IF(AND(DATE($AD780,7,1)&gt;=$AE780,DATE($AD780,7,1)&lt;=$AF780),ROUND($AG780,2),0))</f>
        <v/>
      </c>
      <c r="Q780" s="18">
        <f>IF($Z780="","",IF(AND(DATE($AD780,8,1)&gt;=$AE780,DATE($AD780,8,1)&lt;=$AF780),ROUND($AG780,2),0))</f>
        <v/>
      </c>
      <c r="R780" s="18">
        <f>IF($Z780="","",IF(AND(DATE($AD780,9,1)&gt;=$AE780,DATE($AD780,9,1)&lt;=$AF780),ROUND($AG780,2),0))</f>
        <v/>
      </c>
      <c r="S780" s="18">
        <f>IF($Z780="","",IF(AND(DATE($AD780,10,1)&gt;=$AE780,DATE($AD780,10,1)&lt;=$AF780),ROUND($AG780,2),0))</f>
        <v/>
      </c>
      <c r="T780" s="18">
        <f>IF($Z780="","",IF(AND(DATE($AD780,11,1)&gt;=$AE780,DATE($AD780,11,1)&lt;=$AF780),ROUND($AG780,2),0))</f>
        <v/>
      </c>
      <c r="U780" s="18">
        <f>IF($Z780="","",IF(AND(DATE($AD780,12,1)&gt;=$AE780,DATE($AD780,12,1)&lt;=$AF780),ROUND($AG780,2),0))</f>
        <v/>
      </c>
      <c r="V780" s="7">
        <f>IF($Z780="C","Generated from "&amp;INDEX(Contracts!$A$2:$A$151,$AB780),IF($Z780="A","Generated from "&amp;INDEX(Fixed_Assets!$A$2:$A$201,$AB780),IF($Z780="F","Generated from "&amp;INDEX(FTE_Allocation!$A$2:$A$201,$AB780),"")))</f>
        <v/>
      </c>
      <c r="X780" s="19">
        <f>IF($Z780="","",SUM(J780:U780))</f>
        <v/>
      </c>
      <c r="Y780" s="20">
        <f>ROW()-1</f>
        <v/>
      </c>
      <c r="Z780" s="20">
        <f>IF($Y780&lt;=Settings!$B$4*3,"C",IF($Y780&lt;=(Settings!$B$4+Settings!$B$5)*3,"A",IF($Y780&lt;=(Settings!$B$4+Settings!$B$5+Settings!$B$6)*3,"F","")))</f>
        <v/>
      </c>
      <c r="AA780" s="20">
        <f>IF($Z780="C",$Y780,IF($Z780="A",$Y780-Settings!$B$4*3,IF($Z780="F",$Y780-(Settings!$B$4+Settings!$B$5)*3,"")))</f>
        <v/>
      </c>
      <c r="AB780" s="20">
        <f>IF($Z780="","",INT(($AA780-1)/3)+1)</f>
        <v/>
      </c>
      <c r="AC780" s="20">
        <f>IF($Z780="","",MOD($AA780-1,3)+1)</f>
        <v/>
      </c>
      <c r="AD780" s="20">
        <f>IF($Z780="","",Settings!$B$2+$AC780-1)</f>
        <v/>
      </c>
      <c r="AE780" s="21">
        <f>IF($Z780="C",DATE(YEAR(INDEX(Contracts!$J$2:$J$151,$AB780)),MONTH(INDEX(Contracts!$J$2:$J$151,$AB780)),1),IF($Z780="A",DATE(YEAR(INDEX(Fixed_Assets!$G$2:$G$201,$AB780)),MONTH(INDEX(Fixed_Assets!$G$2:$G$201,$AB780)),1),IF($Z780="F",DATE(YEAR(MAX(N(INDEX(Workforce!$I$2:$I$151,MATCH(INDEX(FTE_Allocation!$A$2:$A$201,$AB780),Workforce!$A$2:$A$151,0))),N(INDEX(FTE_Allocation!$I$2:$I$201,$AB780)))),MONTH(MAX(N(INDEX(Workforce!$I$2:$I$151,MATCH(INDEX(FTE_Allocation!$A$2:$A$201,$AB780),Workforce!$A$2:$A$151,0))),N(INDEX(FTE_Allocation!$I$2:$I$201,$AB780)))),1),"")))</f>
        <v/>
      </c>
      <c r="AF780" s="21">
        <f>IF($Z780="C",IF(INDEX(Contracts!$I$2:$I$151,$AB780)="PREPAID",EDATE(DATE(YEAR(INDEX(Contracts!$J$2:$J$151,$AB780)),MONTH(INDEX(Contracts!$J$2:$J$151,$AB780)),1),IF(INDEX(Contracts!$N$2:$N$151,$AB780)="",12,INDEX(Contracts!$N$2:$N$151,$AB780))-1),IF(INDEX(Contracts!$I$2:$I$151,$AB780)="MONTHLY",IF(INDEX(Contracts!$K$2:$K$151,$AB780)="",2958101,INDEX(Contracts!$K$2:$K$151,$AB780)),0)),IF($Z780="A",EDATE(DATE(YEAR(INDEX(Fixed_Assets!$G$2:$G$201,$AB780)),MONTH(INDEX(Fixed_Assets!$G$2:$G$201,$AB780)),1),INDEX(Fixed_Assets!$J$2:$J$201,$AB780)-1),IF($Z780="F",MIN(IF(INDEX(Workforce!$J$2:$J$151,MATCH(INDEX(FTE_Allocation!$A$2:$A$201,$AB780),Workforce!$A$2:$A$151,0))="",2958101,INDEX(Workforce!$J$2:$J$151,MATCH(INDEX(FTE_Allocation!$A$2:$A$201,$AB780),Workforce!$A$2:$A$151,0))),IF(INDEX(FTE_Allocation!$J$2:$J$201,$AB780)="",2958101,INDEX(FTE_Allocation!$J$2:$J$201,$AB780))),"")))</f>
        <v/>
      </c>
      <c r="AG780" s="19">
        <f>IF($Z780="C",IF(INDEX(Contracts!$I$2:$I$151,$AB780)="PREPAID",INDEX(Contracts!$M$2:$M$151,$AB780)/IF(INDEX(Contracts!$N$2:$N$151,$AB780)="",12,INDEX(Contracts!$N$2:$N$151,$AB780)),IF(INDEX(Contracts!$I$2:$I$151,$AB780)="MONTHLY",INDEX(Contracts!$M$2:$M$151,$AB780),0))*(1-N(INDEX(Contracts!$O$2:$O$151,$AB780))),IF($Z780="A",INDEX(Fixed_Assets!$H$2:$H$201,$AB780)/INDEX(Fixed_Assets!$J$2:$J$201,$AB780),IF($Z780="F",INDEX(Workforce!$F$2:$F$151,MATCH(INDEX(FTE_Allocation!$A$2:$A$201,$AB780),Workforce!$A$2:$A$151,0))*N(INDEX(FTE_Allocation!$F$2:$H$201,$AB780,$AC780)),"")))</f>
        <v/>
      </c>
    </row>
    <row r="781">
      <c r="A781" s="7">
        <f>IF($Z781="","",$AD781)</f>
        <v/>
      </c>
      <c r="B781" s="7">
        <f>IF($Z781="C",INDEX(Contracts!$D$2:$D$151,$AB781)&amp;"",IF($Z781="A",INDEX(Fixed_Assets!$C$2:$C$201,$AB781)&amp;"",IF($Z781="F",INDEX(Workforce!$B$2:$B$151,MATCH(INDEX(FTE_Allocation!$A$2:$A$201,$AB781),Workforce!$A$2:$A$151,0))&amp;"","")))</f>
        <v/>
      </c>
      <c r="C781" s="7">
        <f>IF($Z781="C",INDEX(Contracts!$E$2:$E$151,$AB781)&amp;"",IF($Z781="A",INDEX(Fixed_Assets!$D$2:$D$201,$AB781)&amp;"",IF($Z781="F",INDEX(FTE_Allocation!$C$2:$C$201,$AB781)&amp;"","")))</f>
        <v/>
      </c>
      <c r="D781" s="7">
        <f>IF($Z781="C",INDEX(Contracts!$B$2:$B$151,$AB781)&amp;"",IF($Z781="A",INDEX(Fixed_Assets!$B$2:$B$201,$AB781)&amp;"",IF($Z781="F",INDEX(FTE_Allocation!$B$2:$B$201,$AB781)&amp;"","")))</f>
        <v/>
      </c>
      <c r="E781" s="7">
        <f>IF($Z781="C",INDEX(Contracts!$P$2:$P$151,$AB781)&amp;"",IF($Z781="A",INDEX(Fixed_Assets!$K$2:$K$201,$AB781)&amp;"",IF($Z781="F",IF(INDEX(FTE_Allocation!$D$2:$D$201,$AB781)="PROJECT",IFERROR(INDEX(Projects!$D:$D,MATCH(INDEX(FTE_Allocation!$E$2:$E$201,$AB781),Projects!$A:$A,0))&amp;"","#PROJECT?"),INDEX(FTE_Allocation!$E$2:$E$201,$AB781)&amp;""),"")))</f>
        <v/>
      </c>
      <c r="F781" s="7">
        <f>IF($Z781="C",INDEX(Contracts!$Q$2:$Q$151,$AB781)&amp;"",IF($Z781="A",INDEX(Fixed_Assets!$L$2:$L$201,$AB781)&amp;"",IF($Z781="F",INDEX(Workforce!$K$2:$K$151,MATCH(INDEX(FTE_Allocation!$A$2:$A$201,$AB781),Workforce!$A$2:$A$151,0))&amp;"","")))</f>
        <v/>
      </c>
      <c r="G781" s="7">
        <f>IF($Z781="C",INDEX(Contracts!$F$2:$F$151,$AB781)&amp;" / "&amp;INDEX(Contracts!$G$2:$G$151,$AB781),IF($Z781="A",INDEX(Fixed_Assets!$E$2:$E$201,$AB781)&amp;"",IF($Z781="F","Personnel "&amp;INDEX(FTE_Allocation!$A$2:$A$201,$AB781)&amp;IF(INDEX(FTE_Allocation!$D$2:$D$201,$AB781)="PROJECT"," ("&amp;INDEX(FTE_Allocation!$E$2:$E$201,$AB781)&amp;")",""),"")))</f>
        <v/>
      </c>
      <c r="H781" s="7">
        <f>IF($Z781="C","CONTRACT",IF($Z781="A","ASSET",IF($Z781="F","WORKFORCE","")))</f>
        <v/>
      </c>
      <c r="I781" s="7">
        <f>IF($Z781="C",INDEX(Contracts!$L$2:$L$151,$AB781)&amp;"",IF($Z781="A",INDEX(Fixed_Assets!$I$2:$I$201,$AB781)&amp;"",IF($Z781="F",INDEX(Workforce!$G$2:$G$151,MATCH(INDEX(FTE_Allocation!$A$2:$A$201,$AB781),Workforce!$A$2:$A$151,0))&amp;"","")))</f>
        <v/>
      </c>
      <c r="J781" s="18">
        <f>IF($Z781="","",IF(AND(DATE($AD781,1,1)&gt;=$AE781,DATE($AD781,1,1)&lt;=$AF781),ROUND($AG781,2),0))</f>
        <v/>
      </c>
      <c r="K781" s="18">
        <f>IF($Z781="","",IF(AND(DATE($AD781,2,1)&gt;=$AE781,DATE($AD781,2,1)&lt;=$AF781),ROUND($AG781,2),0))</f>
        <v/>
      </c>
      <c r="L781" s="18">
        <f>IF($Z781="","",IF(AND(DATE($AD781,3,1)&gt;=$AE781,DATE($AD781,3,1)&lt;=$AF781),ROUND($AG781,2),0))</f>
        <v/>
      </c>
      <c r="M781" s="18">
        <f>IF($Z781="","",IF(AND(DATE($AD781,4,1)&gt;=$AE781,DATE($AD781,4,1)&lt;=$AF781),ROUND($AG781,2),0))</f>
        <v/>
      </c>
      <c r="N781" s="18">
        <f>IF($Z781="","",IF(AND(DATE($AD781,5,1)&gt;=$AE781,DATE($AD781,5,1)&lt;=$AF781),ROUND($AG781,2),0))</f>
        <v/>
      </c>
      <c r="O781" s="18">
        <f>IF($Z781="","",IF(AND(DATE($AD781,6,1)&gt;=$AE781,DATE($AD781,6,1)&lt;=$AF781),ROUND($AG781,2),0))</f>
        <v/>
      </c>
      <c r="P781" s="18">
        <f>IF($Z781="","",IF(AND(DATE($AD781,7,1)&gt;=$AE781,DATE($AD781,7,1)&lt;=$AF781),ROUND($AG781,2),0))</f>
        <v/>
      </c>
      <c r="Q781" s="18">
        <f>IF($Z781="","",IF(AND(DATE($AD781,8,1)&gt;=$AE781,DATE($AD781,8,1)&lt;=$AF781),ROUND($AG781,2),0))</f>
        <v/>
      </c>
      <c r="R781" s="18">
        <f>IF($Z781="","",IF(AND(DATE($AD781,9,1)&gt;=$AE781,DATE($AD781,9,1)&lt;=$AF781),ROUND($AG781,2),0))</f>
        <v/>
      </c>
      <c r="S781" s="18">
        <f>IF($Z781="","",IF(AND(DATE($AD781,10,1)&gt;=$AE781,DATE($AD781,10,1)&lt;=$AF781),ROUND($AG781,2),0))</f>
        <v/>
      </c>
      <c r="T781" s="18">
        <f>IF($Z781="","",IF(AND(DATE($AD781,11,1)&gt;=$AE781,DATE($AD781,11,1)&lt;=$AF781),ROUND($AG781,2),0))</f>
        <v/>
      </c>
      <c r="U781" s="18">
        <f>IF($Z781="","",IF(AND(DATE($AD781,12,1)&gt;=$AE781,DATE($AD781,12,1)&lt;=$AF781),ROUND($AG781,2),0))</f>
        <v/>
      </c>
      <c r="V781" s="7">
        <f>IF($Z781="C","Generated from "&amp;INDEX(Contracts!$A$2:$A$151,$AB781),IF($Z781="A","Generated from "&amp;INDEX(Fixed_Assets!$A$2:$A$201,$AB781),IF($Z781="F","Generated from "&amp;INDEX(FTE_Allocation!$A$2:$A$201,$AB781),"")))</f>
        <v/>
      </c>
      <c r="X781" s="19">
        <f>IF($Z781="","",SUM(J781:U781))</f>
        <v/>
      </c>
      <c r="Y781" s="20">
        <f>ROW()-1</f>
        <v/>
      </c>
      <c r="Z781" s="20">
        <f>IF($Y781&lt;=Settings!$B$4*3,"C",IF($Y781&lt;=(Settings!$B$4+Settings!$B$5)*3,"A",IF($Y781&lt;=(Settings!$B$4+Settings!$B$5+Settings!$B$6)*3,"F","")))</f>
        <v/>
      </c>
      <c r="AA781" s="20">
        <f>IF($Z781="C",$Y781,IF($Z781="A",$Y781-Settings!$B$4*3,IF($Z781="F",$Y781-(Settings!$B$4+Settings!$B$5)*3,"")))</f>
        <v/>
      </c>
      <c r="AB781" s="20">
        <f>IF($Z781="","",INT(($AA781-1)/3)+1)</f>
        <v/>
      </c>
      <c r="AC781" s="20">
        <f>IF($Z781="","",MOD($AA781-1,3)+1)</f>
        <v/>
      </c>
      <c r="AD781" s="20">
        <f>IF($Z781="","",Settings!$B$2+$AC781-1)</f>
        <v/>
      </c>
      <c r="AE781" s="21">
        <f>IF($Z781="C",DATE(YEAR(INDEX(Contracts!$J$2:$J$151,$AB781)),MONTH(INDEX(Contracts!$J$2:$J$151,$AB781)),1),IF($Z781="A",DATE(YEAR(INDEX(Fixed_Assets!$G$2:$G$201,$AB781)),MONTH(INDEX(Fixed_Assets!$G$2:$G$201,$AB781)),1),IF($Z781="F",DATE(YEAR(MAX(N(INDEX(Workforce!$I$2:$I$151,MATCH(INDEX(FTE_Allocation!$A$2:$A$201,$AB781),Workforce!$A$2:$A$151,0))),N(INDEX(FTE_Allocation!$I$2:$I$201,$AB781)))),MONTH(MAX(N(INDEX(Workforce!$I$2:$I$151,MATCH(INDEX(FTE_Allocation!$A$2:$A$201,$AB781),Workforce!$A$2:$A$151,0))),N(INDEX(FTE_Allocation!$I$2:$I$201,$AB781)))),1),"")))</f>
        <v/>
      </c>
      <c r="AF781" s="21">
        <f>IF($Z781="C",IF(INDEX(Contracts!$I$2:$I$151,$AB781)="PREPAID",EDATE(DATE(YEAR(INDEX(Contracts!$J$2:$J$151,$AB781)),MONTH(INDEX(Contracts!$J$2:$J$151,$AB781)),1),IF(INDEX(Contracts!$N$2:$N$151,$AB781)="",12,INDEX(Contracts!$N$2:$N$151,$AB781))-1),IF(INDEX(Contracts!$I$2:$I$151,$AB781)="MONTHLY",IF(INDEX(Contracts!$K$2:$K$151,$AB781)="",2958101,INDEX(Contracts!$K$2:$K$151,$AB781)),0)),IF($Z781="A",EDATE(DATE(YEAR(INDEX(Fixed_Assets!$G$2:$G$201,$AB781)),MONTH(INDEX(Fixed_Assets!$G$2:$G$201,$AB781)),1),INDEX(Fixed_Assets!$J$2:$J$201,$AB781)-1),IF($Z781="F",MIN(IF(INDEX(Workforce!$J$2:$J$151,MATCH(INDEX(FTE_Allocation!$A$2:$A$201,$AB781),Workforce!$A$2:$A$151,0))="",2958101,INDEX(Workforce!$J$2:$J$151,MATCH(INDEX(FTE_Allocation!$A$2:$A$201,$AB781),Workforce!$A$2:$A$151,0))),IF(INDEX(FTE_Allocation!$J$2:$J$201,$AB781)="",2958101,INDEX(FTE_Allocation!$J$2:$J$201,$AB781))),"")))</f>
        <v/>
      </c>
      <c r="AG781" s="19">
        <f>IF($Z781="C",IF(INDEX(Contracts!$I$2:$I$151,$AB781)="PREPAID",INDEX(Contracts!$M$2:$M$151,$AB781)/IF(INDEX(Contracts!$N$2:$N$151,$AB781)="",12,INDEX(Contracts!$N$2:$N$151,$AB781)),IF(INDEX(Contracts!$I$2:$I$151,$AB781)="MONTHLY",INDEX(Contracts!$M$2:$M$151,$AB781),0))*(1-N(INDEX(Contracts!$O$2:$O$151,$AB781))),IF($Z781="A",INDEX(Fixed_Assets!$H$2:$H$201,$AB781)/INDEX(Fixed_Assets!$J$2:$J$201,$AB781),IF($Z781="F",INDEX(Workforce!$F$2:$F$151,MATCH(INDEX(FTE_Allocation!$A$2:$A$201,$AB781),Workforce!$A$2:$A$151,0))*N(INDEX(FTE_Allocation!$F$2:$H$201,$AB781,$AC781)),"")))</f>
        <v/>
      </c>
    </row>
    <row r="782">
      <c r="A782" s="7">
        <f>IF($Z782="","",$AD782)</f>
        <v/>
      </c>
      <c r="B782" s="7">
        <f>IF($Z782="C",INDEX(Contracts!$D$2:$D$151,$AB782)&amp;"",IF($Z782="A",INDEX(Fixed_Assets!$C$2:$C$201,$AB782)&amp;"",IF($Z782="F",INDEX(Workforce!$B$2:$B$151,MATCH(INDEX(FTE_Allocation!$A$2:$A$201,$AB782),Workforce!$A$2:$A$151,0))&amp;"","")))</f>
        <v/>
      </c>
      <c r="C782" s="7">
        <f>IF($Z782="C",INDEX(Contracts!$E$2:$E$151,$AB782)&amp;"",IF($Z782="A",INDEX(Fixed_Assets!$D$2:$D$201,$AB782)&amp;"",IF($Z782="F",INDEX(FTE_Allocation!$C$2:$C$201,$AB782)&amp;"","")))</f>
        <v/>
      </c>
      <c r="D782" s="7">
        <f>IF($Z782="C",INDEX(Contracts!$B$2:$B$151,$AB782)&amp;"",IF($Z782="A",INDEX(Fixed_Assets!$B$2:$B$201,$AB782)&amp;"",IF($Z782="F",INDEX(FTE_Allocation!$B$2:$B$201,$AB782)&amp;"","")))</f>
        <v/>
      </c>
      <c r="E782" s="7">
        <f>IF($Z782="C",INDEX(Contracts!$P$2:$P$151,$AB782)&amp;"",IF($Z782="A",INDEX(Fixed_Assets!$K$2:$K$201,$AB782)&amp;"",IF($Z782="F",IF(INDEX(FTE_Allocation!$D$2:$D$201,$AB782)="PROJECT",IFERROR(INDEX(Projects!$D:$D,MATCH(INDEX(FTE_Allocation!$E$2:$E$201,$AB782),Projects!$A:$A,0))&amp;"","#PROJECT?"),INDEX(FTE_Allocation!$E$2:$E$201,$AB782)&amp;""),"")))</f>
        <v/>
      </c>
      <c r="F782" s="7">
        <f>IF($Z782="C",INDEX(Contracts!$Q$2:$Q$151,$AB782)&amp;"",IF($Z782="A",INDEX(Fixed_Assets!$L$2:$L$201,$AB782)&amp;"",IF($Z782="F",INDEX(Workforce!$K$2:$K$151,MATCH(INDEX(FTE_Allocation!$A$2:$A$201,$AB782),Workforce!$A$2:$A$151,0))&amp;"","")))</f>
        <v/>
      </c>
      <c r="G782" s="7">
        <f>IF($Z782="C",INDEX(Contracts!$F$2:$F$151,$AB782)&amp;" / "&amp;INDEX(Contracts!$G$2:$G$151,$AB782),IF($Z782="A",INDEX(Fixed_Assets!$E$2:$E$201,$AB782)&amp;"",IF($Z782="F","Personnel "&amp;INDEX(FTE_Allocation!$A$2:$A$201,$AB782)&amp;IF(INDEX(FTE_Allocation!$D$2:$D$201,$AB782)="PROJECT"," ("&amp;INDEX(FTE_Allocation!$E$2:$E$201,$AB782)&amp;")",""),"")))</f>
        <v/>
      </c>
      <c r="H782" s="7">
        <f>IF($Z782="C","CONTRACT",IF($Z782="A","ASSET",IF($Z782="F","WORKFORCE","")))</f>
        <v/>
      </c>
      <c r="I782" s="7">
        <f>IF($Z782="C",INDEX(Contracts!$L$2:$L$151,$AB782)&amp;"",IF($Z782="A",INDEX(Fixed_Assets!$I$2:$I$201,$AB782)&amp;"",IF($Z782="F",INDEX(Workforce!$G$2:$G$151,MATCH(INDEX(FTE_Allocation!$A$2:$A$201,$AB782),Workforce!$A$2:$A$151,0))&amp;"","")))</f>
        <v/>
      </c>
      <c r="J782" s="18">
        <f>IF($Z782="","",IF(AND(DATE($AD782,1,1)&gt;=$AE782,DATE($AD782,1,1)&lt;=$AF782),ROUND($AG782,2),0))</f>
        <v/>
      </c>
      <c r="K782" s="18">
        <f>IF($Z782="","",IF(AND(DATE($AD782,2,1)&gt;=$AE782,DATE($AD782,2,1)&lt;=$AF782),ROUND($AG782,2),0))</f>
        <v/>
      </c>
      <c r="L782" s="18">
        <f>IF($Z782="","",IF(AND(DATE($AD782,3,1)&gt;=$AE782,DATE($AD782,3,1)&lt;=$AF782),ROUND($AG782,2),0))</f>
        <v/>
      </c>
      <c r="M782" s="18">
        <f>IF($Z782="","",IF(AND(DATE($AD782,4,1)&gt;=$AE782,DATE($AD782,4,1)&lt;=$AF782),ROUND($AG782,2),0))</f>
        <v/>
      </c>
      <c r="N782" s="18">
        <f>IF($Z782="","",IF(AND(DATE($AD782,5,1)&gt;=$AE782,DATE($AD782,5,1)&lt;=$AF782),ROUND($AG782,2),0))</f>
        <v/>
      </c>
      <c r="O782" s="18">
        <f>IF($Z782="","",IF(AND(DATE($AD782,6,1)&gt;=$AE782,DATE($AD782,6,1)&lt;=$AF782),ROUND($AG782,2),0))</f>
        <v/>
      </c>
      <c r="P782" s="18">
        <f>IF($Z782="","",IF(AND(DATE($AD782,7,1)&gt;=$AE782,DATE($AD782,7,1)&lt;=$AF782),ROUND($AG782,2),0))</f>
        <v/>
      </c>
      <c r="Q782" s="18">
        <f>IF($Z782="","",IF(AND(DATE($AD782,8,1)&gt;=$AE782,DATE($AD782,8,1)&lt;=$AF782),ROUND($AG782,2),0))</f>
        <v/>
      </c>
      <c r="R782" s="18">
        <f>IF($Z782="","",IF(AND(DATE($AD782,9,1)&gt;=$AE782,DATE($AD782,9,1)&lt;=$AF782),ROUND($AG782,2),0))</f>
        <v/>
      </c>
      <c r="S782" s="18">
        <f>IF($Z782="","",IF(AND(DATE($AD782,10,1)&gt;=$AE782,DATE($AD782,10,1)&lt;=$AF782),ROUND($AG782,2),0))</f>
        <v/>
      </c>
      <c r="T782" s="18">
        <f>IF($Z782="","",IF(AND(DATE($AD782,11,1)&gt;=$AE782,DATE($AD782,11,1)&lt;=$AF782),ROUND($AG782,2),0))</f>
        <v/>
      </c>
      <c r="U782" s="18">
        <f>IF($Z782="","",IF(AND(DATE($AD782,12,1)&gt;=$AE782,DATE($AD782,12,1)&lt;=$AF782),ROUND($AG782,2),0))</f>
        <v/>
      </c>
      <c r="V782" s="7">
        <f>IF($Z782="C","Generated from "&amp;INDEX(Contracts!$A$2:$A$151,$AB782),IF($Z782="A","Generated from "&amp;INDEX(Fixed_Assets!$A$2:$A$201,$AB782),IF($Z782="F","Generated from "&amp;INDEX(FTE_Allocation!$A$2:$A$201,$AB782),"")))</f>
        <v/>
      </c>
      <c r="X782" s="19">
        <f>IF($Z782="","",SUM(J782:U782))</f>
        <v/>
      </c>
      <c r="Y782" s="20">
        <f>ROW()-1</f>
        <v/>
      </c>
      <c r="Z782" s="20">
        <f>IF($Y782&lt;=Settings!$B$4*3,"C",IF($Y782&lt;=(Settings!$B$4+Settings!$B$5)*3,"A",IF($Y782&lt;=(Settings!$B$4+Settings!$B$5+Settings!$B$6)*3,"F","")))</f>
        <v/>
      </c>
      <c r="AA782" s="20">
        <f>IF($Z782="C",$Y782,IF($Z782="A",$Y782-Settings!$B$4*3,IF($Z782="F",$Y782-(Settings!$B$4+Settings!$B$5)*3,"")))</f>
        <v/>
      </c>
      <c r="AB782" s="20">
        <f>IF($Z782="","",INT(($AA782-1)/3)+1)</f>
        <v/>
      </c>
      <c r="AC782" s="20">
        <f>IF($Z782="","",MOD($AA782-1,3)+1)</f>
        <v/>
      </c>
      <c r="AD782" s="20">
        <f>IF($Z782="","",Settings!$B$2+$AC782-1)</f>
        <v/>
      </c>
      <c r="AE782" s="21">
        <f>IF($Z782="C",DATE(YEAR(INDEX(Contracts!$J$2:$J$151,$AB782)),MONTH(INDEX(Contracts!$J$2:$J$151,$AB782)),1),IF($Z782="A",DATE(YEAR(INDEX(Fixed_Assets!$G$2:$G$201,$AB782)),MONTH(INDEX(Fixed_Assets!$G$2:$G$201,$AB782)),1),IF($Z782="F",DATE(YEAR(MAX(N(INDEX(Workforce!$I$2:$I$151,MATCH(INDEX(FTE_Allocation!$A$2:$A$201,$AB782),Workforce!$A$2:$A$151,0))),N(INDEX(FTE_Allocation!$I$2:$I$201,$AB782)))),MONTH(MAX(N(INDEX(Workforce!$I$2:$I$151,MATCH(INDEX(FTE_Allocation!$A$2:$A$201,$AB782),Workforce!$A$2:$A$151,0))),N(INDEX(FTE_Allocation!$I$2:$I$201,$AB782)))),1),"")))</f>
        <v/>
      </c>
      <c r="AF782" s="21">
        <f>IF($Z782="C",IF(INDEX(Contracts!$I$2:$I$151,$AB782)="PREPAID",EDATE(DATE(YEAR(INDEX(Contracts!$J$2:$J$151,$AB782)),MONTH(INDEX(Contracts!$J$2:$J$151,$AB782)),1),IF(INDEX(Contracts!$N$2:$N$151,$AB782)="",12,INDEX(Contracts!$N$2:$N$151,$AB782))-1),IF(INDEX(Contracts!$I$2:$I$151,$AB782)="MONTHLY",IF(INDEX(Contracts!$K$2:$K$151,$AB782)="",2958101,INDEX(Contracts!$K$2:$K$151,$AB782)),0)),IF($Z782="A",EDATE(DATE(YEAR(INDEX(Fixed_Assets!$G$2:$G$201,$AB782)),MONTH(INDEX(Fixed_Assets!$G$2:$G$201,$AB782)),1),INDEX(Fixed_Assets!$J$2:$J$201,$AB782)-1),IF($Z782="F",MIN(IF(INDEX(Workforce!$J$2:$J$151,MATCH(INDEX(FTE_Allocation!$A$2:$A$201,$AB782),Workforce!$A$2:$A$151,0))="",2958101,INDEX(Workforce!$J$2:$J$151,MATCH(INDEX(FTE_Allocation!$A$2:$A$201,$AB782),Workforce!$A$2:$A$151,0))),IF(INDEX(FTE_Allocation!$J$2:$J$201,$AB782)="",2958101,INDEX(FTE_Allocation!$J$2:$J$201,$AB782))),"")))</f>
        <v/>
      </c>
      <c r="AG782" s="19">
        <f>IF($Z782="C",IF(INDEX(Contracts!$I$2:$I$151,$AB782)="PREPAID",INDEX(Contracts!$M$2:$M$151,$AB782)/IF(INDEX(Contracts!$N$2:$N$151,$AB782)="",12,INDEX(Contracts!$N$2:$N$151,$AB782)),IF(INDEX(Contracts!$I$2:$I$151,$AB782)="MONTHLY",INDEX(Contracts!$M$2:$M$151,$AB782),0))*(1-N(INDEX(Contracts!$O$2:$O$151,$AB782))),IF($Z782="A",INDEX(Fixed_Assets!$H$2:$H$201,$AB782)/INDEX(Fixed_Assets!$J$2:$J$201,$AB782),IF($Z782="F",INDEX(Workforce!$F$2:$F$151,MATCH(INDEX(FTE_Allocation!$A$2:$A$201,$AB782),Workforce!$A$2:$A$151,0))*N(INDEX(FTE_Allocation!$F$2:$H$201,$AB782,$AC782)),"")))</f>
        <v/>
      </c>
    </row>
    <row r="783">
      <c r="A783" s="7">
        <f>IF($Z783="","",$AD783)</f>
        <v/>
      </c>
      <c r="B783" s="7">
        <f>IF($Z783="C",INDEX(Contracts!$D$2:$D$151,$AB783)&amp;"",IF($Z783="A",INDEX(Fixed_Assets!$C$2:$C$201,$AB783)&amp;"",IF($Z783="F",INDEX(Workforce!$B$2:$B$151,MATCH(INDEX(FTE_Allocation!$A$2:$A$201,$AB783),Workforce!$A$2:$A$151,0))&amp;"","")))</f>
        <v/>
      </c>
      <c r="C783" s="7">
        <f>IF($Z783="C",INDEX(Contracts!$E$2:$E$151,$AB783)&amp;"",IF($Z783="A",INDEX(Fixed_Assets!$D$2:$D$201,$AB783)&amp;"",IF($Z783="F",INDEX(FTE_Allocation!$C$2:$C$201,$AB783)&amp;"","")))</f>
        <v/>
      </c>
      <c r="D783" s="7">
        <f>IF($Z783="C",INDEX(Contracts!$B$2:$B$151,$AB783)&amp;"",IF($Z783="A",INDEX(Fixed_Assets!$B$2:$B$201,$AB783)&amp;"",IF($Z783="F",INDEX(FTE_Allocation!$B$2:$B$201,$AB783)&amp;"","")))</f>
        <v/>
      </c>
      <c r="E783" s="7">
        <f>IF($Z783="C",INDEX(Contracts!$P$2:$P$151,$AB783)&amp;"",IF($Z783="A",INDEX(Fixed_Assets!$K$2:$K$201,$AB783)&amp;"",IF($Z783="F",IF(INDEX(FTE_Allocation!$D$2:$D$201,$AB783)="PROJECT",IFERROR(INDEX(Projects!$D:$D,MATCH(INDEX(FTE_Allocation!$E$2:$E$201,$AB783),Projects!$A:$A,0))&amp;"","#PROJECT?"),INDEX(FTE_Allocation!$E$2:$E$201,$AB783)&amp;""),"")))</f>
        <v/>
      </c>
      <c r="F783" s="7">
        <f>IF($Z783="C",INDEX(Contracts!$Q$2:$Q$151,$AB783)&amp;"",IF($Z783="A",INDEX(Fixed_Assets!$L$2:$L$201,$AB783)&amp;"",IF($Z783="F",INDEX(Workforce!$K$2:$K$151,MATCH(INDEX(FTE_Allocation!$A$2:$A$201,$AB783),Workforce!$A$2:$A$151,0))&amp;"","")))</f>
        <v/>
      </c>
      <c r="G783" s="7">
        <f>IF($Z783="C",INDEX(Contracts!$F$2:$F$151,$AB783)&amp;" / "&amp;INDEX(Contracts!$G$2:$G$151,$AB783),IF($Z783="A",INDEX(Fixed_Assets!$E$2:$E$201,$AB783)&amp;"",IF($Z783="F","Personnel "&amp;INDEX(FTE_Allocation!$A$2:$A$201,$AB783)&amp;IF(INDEX(FTE_Allocation!$D$2:$D$201,$AB783)="PROJECT"," ("&amp;INDEX(FTE_Allocation!$E$2:$E$201,$AB783)&amp;")",""),"")))</f>
        <v/>
      </c>
      <c r="H783" s="7">
        <f>IF($Z783="C","CONTRACT",IF($Z783="A","ASSET",IF($Z783="F","WORKFORCE","")))</f>
        <v/>
      </c>
      <c r="I783" s="7">
        <f>IF($Z783="C",INDEX(Contracts!$L$2:$L$151,$AB783)&amp;"",IF($Z783="A",INDEX(Fixed_Assets!$I$2:$I$201,$AB783)&amp;"",IF($Z783="F",INDEX(Workforce!$G$2:$G$151,MATCH(INDEX(FTE_Allocation!$A$2:$A$201,$AB783),Workforce!$A$2:$A$151,0))&amp;"","")))</f>
        <v/>
      </c>
      <c r="J783" s="18">
        <f>IF($Z783="","",IF(AND(DATE($AD783,1,1)&gt;=$AE783,DATE($AD783,1,1)&lt;=$AF783),ROUND($AG783,2),0))</f>
        <v/>
      </c>
      <c r="K783" s="18">
        <f>IF($Z783="","",IF(AND(DATE($AD783,2,1)&gt;=$AE783,DATE($AD783,2,1)&lt;=$AF783),ROUND($AG783,2),0))</f>
        <v/>
      </c>
      <c r="L783" s="18">
        <f>IF($Z783="","",IF(AND(DATE($AD783,3,1)&gt;=$AE783,DATE($AD783,3,1)&lt;=$AF783),ROUND($AG783,2),0))</f>
        <v/>
      </c>
      <c r="M783" s="18">
        <f>IF($Z783="","",IF(AND(DATE($AD783,4,1)&gt;=$AE783,DATE($AD783,4,1)&lt;=$AF783),ROUND($AG783,2),0))</f>
        <v/>
      </c>
      <c r="N783" s="18">
        <f>IF($Z783="","",IF(AND(DATE($AD783,5,1)&gt;=$AE783,DATE($AD783,5,1)&lt;=$AF783),ROUND($AG783,2),0))</f>
        <v/>
      </c>
      <c r="O783" s="18">
        <f>IF($Z783="","",IF(AND(DATE($AD783,6,1)&gt;=$AE783,DATE($AD783,6,1)&lt;=$AF783),ROUND($AG783,2),0))</f>
        <v/>
      </c>
      <c r="P783" s="18">
        <f>IF($Z783="","",IF(AND(DATE($AD783,7,1)&gt;=$AE783,DATE($AD783,7,1)&lt;=$AF783),ROUND($AG783,2),0))</f>
        <v/>
      </c>
      <c r="Q783" s="18">
        <f>IF($Z783="","",IF(AND(DATE($AD783,8,1)&gt;=$AE783,DATE($AD783,8,1)&lt;=$AF783),ROUND($AG783,2),0))</f>
        <v/>
      </c>
      <c r="R783" s="18">
        <f>IF($Z783="","",IF(AND(DATE($AD783,9,1)&gt;=$AE783,DATE($AD783,9,1)&lt;=$AF783),ROUND($AG783,2),0))</f>
        <v/>
      </c>
      <c r="S783" s="18">
        <f>IF($Z783="","",IF(AND(DATE($AD783,10,1)&gt;=$AE783,DATE($AD783,10,1)&lt;=$AF783),ROUND($AG783,2),0))</f>
        <v/>
      </c>
      <c r="T783" s="18">
        <f>IF($Z783="","",IF(AND(DATE($AD783,11,1)&gt;=$AE783,DATE($AD783,11,1)&lt;=$AF783),ROUND($AG783,2),0))</f>
        <v/>
      </c>
      <c r="U783" s="18">
        <f>IF($Z783="","",IF(AND(DATE($AD783,12,1)&gt;=$AE783,DATE($AD783,12,1)&lt;=$AF783),ROUND($AG783,2),0))</f>
        <v/>
      </c>
      <c r="V783" s="7">
        <f>IF($Z783="C","Generated from "&amp;INDEX(Contracts!$A$2:$A$151,$AB783),IF($Z783="A","Generated from "&amp;INDEX(Fixed_Assets!$A$2:$A$201,$AB783),IF($Z783="F","Generated from "&amp;INDEX(FTE_Allocation!$A$2:$A$201,$AB783),"")))</f>
        <v/>
      </c>
      <c r="X783" s="19">
        <f>IF($Z783="","",SUM(J783:U783))</f>
        <v/>
      </c>
      <c r="Y783" s="20">
        <f>ROW()-1</f>
        <v/>
      </c>
      <c r="Z783" s="20">
        <f>IF($Y783&lt;=Settings!$B$4*3,"C",IF($Y783&lt;=(Settings!$B$4+Settings!$B$5)*3,"A",IF($Y783&lt;=(Settings!$B$4+Settings!$B$5+Settings!$B$6)*3,"F","")))</f>
        <v/>
      </c>
      <c r="AA783" s="20">
        <f>IF($Z783="C",$Y783,IF($Z783="A",$Y783-Settings!$B$4*3,IF($Z783="F",$Y783-(Settings!$B$4+Settings!$B$5)*3,"")))</f>
        <v/>
      </c>
      <c r="AB783" s="20">
        <f>IF($Z783="","",INT(($AA783-1)/3)+1)</f>
        <v/>
      </c>
      <c r="AC783" s="20">
        <f>IF($Z783="","",MOD($AA783-1,3)+1)</f>
        <v/>
      </c>
      <c r="AD783" s="20">
        <f>IF($Z783="","",Settings!$B$2+$AC783-1)</f>
        <v/>
      </c>
      <c r="AE783" s="21">
        <f>IF($Z783="C",DATE(YEAR(INDEX(Contracts!$J$2:$J$151,$AB783)),MONTH(INDEX(Contracts!$J$2:$J$151,$AB783)),1),IF($Z783="A",DATE(YEAR(INDEX(Fixed_Assets!$G$2:$G$201,$AB783)),MONTH(INDEX(Fixed_Assets!$G$2:$G$201,$AB783)),1),IF($Z783="F",DATE(YEAR(MAX(N(INDEX(Workforce!$I$2:$I$151,MATCH(INDEX(FTE_Allocation!$A$2:$A$201,$AB783),Workforce!$A$2:$A$151,0))),N(INDEX(FTE_Allocation!$I$2:$I$201,$AB783)))),MONTH(MAX(N(INDEX(Workforce!$I$2:$I$151,MATCH(INDEX(FTE_Allocation!$A$2:$A$201,$AB783),Workforce!$A$2:$A$151,0))),N(INDEX(FTE_Allocation!$I$2:$I$201,$AB783)))),1),"")))</f>
        <v/>
      </c>
      <c r="AF783" s="21">
        <f>IF($Z783="C",IF(INDEX(Contracts!$I$2:$I$151,$AB783)="PREPAID",EDATE(DATE(YEAR(INDEX(Contracts!$J$2:$J$151,$AB783)),MONTH(INDEX(Contracts!$J$2:$J$151,$AB783)),1),IF(INDEX(Contracts!$N$2:$N$151,$AB783)="",12,INDEX(Contracts!$N$2:$N$151,$AB783))-1),IF(INDEX(Contracts!$I$2:$I$151,$AB783)="MONTHLY",IF(INDEX(Contracts!$K$2:$K$151,$AB783)="",2958101,INDEX(Contracts!$K$2:$K$151,$AB783)),0)),IF($Z783="A",EDATE(DATE(YEAR(INDEX(Fixed_Assets!$G$2:$G$201,$AB783)),MONTH(INDEX(Fixed_Assets!$G$2:$G$201,$AB783)),1),INDEX(Fixed_Assets!$J$2:$J$201,$AB783)-1),IF($Z783="F",MIN(IF(INDEX(Workforce!$J$2:$J$151,MATCH(INDEX(FTE_Allocation!$A$2:$A$201,$AB783),Workforce!$A$2:$A$151,0))="",2958101,INDEX(Workforce!$J$2:$J$151,MATCH(INDEX(FTE_Allocation!$A$2:$A$201,$AB783),Workforce!$A$2:$A$151,0))),IF(INDEX(FTE_Allocation!$J$2:$J$201,$AB783)="",2958101,INDEX(FTE_Allocation!$J$2:$J$201,$AB783))),"")))</f>
        <v/>
      </c>
      <c r="AG783" s="19">
        <f>IF($Z783="C",IF(INDEX(Contracts!$I$2:$I$151,$AB783)="PREPAID",INDEX(Contracts!$M$2:$M$151,$AB783)/IF(INDEX(Contracts!$N$2:$N$151,$AB783)="",12,INDEX(Contracts!$N$2:$N$151,$AB783)),IF(INDEX(Contracts!$I$2:$I$151,$AB783)="MONTHLY",INDEX(Contracts!$M$2:$M$151,$AB783),0))*(1-N(INDEX(Contracts!$O$2:$O$151,$AB783))),IF($Z783="A",INDEX(Fixed_Assets!$H$2:$H$201,$AB783)/INDEX(Fixed_Assets!$J$2:$J$201,$AB783),IF($Z783="F",INDEX(Workforce!$F$2:$F$151,MATCH(INDEX(FTE_Allocation!$A$2:$A$201,$AB783),Workforce!$A$2:$A$151,0))*N(INDEX(FTE_Allocation!$F$2:$H$201,$AB783,$AC783)),"")))</f>
        <v/>
      </c>
    </row>
    <row r="784">
      <c r="A784" s="7">
        <f>IF($Z784="","",$AD784)</f>
        <v/>
      </c>
      <c r="B784" s="7">
        <f>IF($Z784="C",INDEX(Contracts!$D$2:$D$151,$AB784)&amp;"",IF($Z784="A",INDEX(Fixed_Assets!$C$2:$C$201,$AB784)&amp;"",IF($Z784="F",INDEX(Workforce!$B$2:$B$151,MATCH(INDEX(FTE_Allocation!$A$2:$A$201,$AB784),Workforce!$A$2:$A$151,0))&amp;"","")))</f>
        <v/>
      </c>
      <c r="C784" s="7">
        <f>IF($Z784="C",INDEX(Contracts!$E$2:$E$151,$AB784)&amp;"",IF($Z784="A",INDEX(Fixed_Assets!$D$2:$D$201,$AB784)&amp;"",IF($Z784="F",INDEX(FTE_Allocation!$C$2:$C$201,$AB784)&amp;"","")))</f>
        <v/>
      </c>
      <c r="D784" s="7">
        <f>IF($Z784="C",INDEX(Contracts!$B$2:$B$151,$AB784)&amp;"",IF($Z784="A",INDEX(Fixed_Assets!$B$2:$B$201,$AB784)&amp;"",IF($Z784="F",INDEX(FTE_Allocation!$B$2:$B$201,$AB784)&amp;"","")))</f>
        <v/>
      </c>
      <c r="E784" s="7">
        <f>IF($Z784="C",INDEX(Contracts!$P$2:$P$151,$AB784)&amp;"",IF($Z784="A",INDEX(Fixed_Assets!$K$2:$K$201,$AB784)&amp;"",IF($Z784="F",IF(INDEX(FTE_Allocation!$D$2:$D$201,$AB784)="PROJECT",IFERROR(INDEX(Projects!$D:$D,MATCH(INDEX(FTE_Allocation!$E$2:$E$201,$AB784),Projects!$A:$A,0))&amp;"","#PROJECT?"),INDEX(FTE_Allocation!$E$2:$E$201,$AB784)&amp;""),"")))</f>
        <v/>
      </c>
      <c r="F784" s="7">
        <f>IF($Z784="C",INDEX(Contracts!$Q$2:$Q$151,$AB784)&amp;"",IF($Z784="A",INDEX(Fixed_Assets!$L$2:$L$201,$AB784)&amp;"",IF($Z784="F",INDEX(Workforce!$K$2:$K$151,MATCH(INDEX(FTE_Allocation!$A$2:$A$201,$AB784),Workforce!$A$2:$A$151,0))&amp;"","")))</f>
        <v/>
      </c>
      <c r="G784" s="7">
        <f>IF($Z784="C",INDEX(Contracts!$F$2:$F$151,$AB784)&amp;" / "&amp;INDEX(Contracts!$G$2:$G$151,$AB784),IF($Z784="A",INDEX(Fixed_Assets!$E$2:$E$201,$AB784)&amp;"",IF($Z784="F","Personnel "&amp;INDEX(FTE_Allocation!$A$2:$A$201,$AB784)&amp;IF(INDEX(FTE_Allocation!$D$2:$D$201,$AB784)="PROJECT"," ("&amp;INDEX(FTE_Allocation!$E$2:$E$201,$AB784)&amp;")",""),"")))</f>
        <v/>
      </c>
      <c r="H784" s="7">
        <f>IF($Z784="C","CONTRACT",IF($Z784="A","ASSET",IF($Z784="F","WORKFORCE","")))</f>
        <v/>
      </c>
      <c r="I784" s="7">
        <f>IF($Z784="C",INDEX(Contracts!$L$2:$L$151,$AB784)&amp;"",IF($Z784="A",INDEX(Fixed_Assets!$I$2:$I$201,$AB784)&amp;"",IF($Z784="F",INDEX(Workforce!$G$2:$G$151,MATCH(INDEX(FTE_Allocation!$A$2:$A$201,$AB784),Workforce!$A$2:$A$151,0))&amp;"","")))</f>
        <v/>
      </c>
      <c r="J784" s="18">
        <f>IF($Z784="","",IF(AND(DATE($AD784,1,1)&gt;=$AE784,DATE($AD784,1,1)&lt;=$AF784),ROUND($AG784,2),0))</f>
        <v/>
      </c>
      <c r="K784" s="18">
        <f>IF($Z784="","",IF(AND(DATE($AD784,2,1)&gt;=$AE784,DATE($AD784,2,1)&lt;=$AF784),ROUND($AG784,2),0))</f>
        <v/>
      </c>
      <c r="L784" s="18">
        <f>IF($Z784="","",IF(AND(DATE($AD784,3,1)&gt;=$AE784,DATE($AD784,3,1)&lt;=$AF784),ROUND($AG784,2),0))</f>
        <v/>
      </c>
      <c r="M784" s="18">
        <f>IF($Z784="","",IF(AND(DATE($AD784,4,1)&gt;=$AE784,DATE($AD784,4,1)&lt;=$AF784),ROUND($AG784,2),0))</f>
        <v/>
      </c>
      <c r="N784" s="18">
        <f>IF($Z784="","",IF(AND(DATE($AD784,5,1)&gt;=$AE784,DATE($AD784,5,1)&lt;=$AF784),ROUND($AG784,2),0))</f>
        <v/>
      </c>
      <c r="O784" s="18">
        <f>IF($Z784="","",IF(AND(DATE($AD784,6,1)&gt;=$AE784,DATE($AD784,6,1)&lt;=$AF784),ROUND($AG784,2),0))</f>
        <v/>
      </c>
      <c r="P784" s="18">
        <f>IF($Z784="","",IF(AND(DATE($AD784,7,1)&gt;=$AE784,DATE($AD784,7,1)&lt;=$AF784),ROUND($AG784,2),0))</f>
        <v/>
      </c>
      <c r="Q784" s="18">
        <f>IF($Z784="","",IF(AND(DATE($AD784,8,1)&gt;=$AE784,DATE($AD784,8,1)&lt;=$AF784),ROUND($AG784,2),0))</f>
        <v/>
      </c>
      <c r="R784" s="18">
        <f>IF($Z784="","",IF(AND(DATE($AD784,9,1)&gt;=$AE784,DATE($AD784,9,1)&lt;=$AF784),ROUND($AG784,2),0))</f>
        <v/>
      </c>
      <c r="S784" s="18">
        <f>IF($Z784="","",IF(AND(DATE($AD784,10,1)&gt;=$AE784,DATE($AD784,10,1)&lt;=$AF784),ROUND($AG784,2),0))</f>
        <v/>
      </c>
      <c r="T784" s="18">
        <f>IF($Z784="","",IF(AND(DATE($AD784,11,1)&gt;=$AE784,DATE($AD784,11,1)&lt;=$AF784),ROUND($AG784,2),0))</f>
        <v/>
      </c>
      <c r="U784" s="18">
        <f>IF($Z784="","",IF(AND(DATE($AD784,12,1)&gt;=$AE784,DATE($AD784,12,1)&lt;=$AF784),ROUND($AG784,2),0))</f>
        <v/>
      </c>
      <c r="V784" s="7">
        <f>IF($Z784="C","Generated from "&amp;INDEX(Contracts!$A$2:$A$151,$AB784),IF($Z784="A","Generated from "&amp;INDEX(Fixed_Assets!$A$2:$A$201,$AB784),IF($Z784="F","Generated from "&amp;INDEX(FTE_Allocation!$A$2:$A$201,$AB784),"")))</f>
        <v/>
      </c>
      <c r="X784" s="19">
        <f>IF($Z784="","",SUM(J784:U784))</f>
        <v/>
      </c>
      <c r="Y784" s="20">
        <f>ROW()-1</f>
        <v/>
      </c>
      <c r="Z784" s="20">
        <f>IF($Y784&lt;=Settings!$B$4*3,"C",IF($Y784&lt;=(Settings!$B$4+Settings!$B$5)*3,"A",IF($Y784&lt;=(Settings!$B$4+Settings!$B$5+Settings!$B$6)*3,"F","")))</f>
        <v/>
      </c>
      <c r="AA784" s="20">
        <f>IF($Z784="C",$Y784,IF($Z784="A",$Y784-Settings!$B$4*3,IF($Z784="F",$Y784-(Settings!$B$4+Settings!$B$5)*3,"")))</f>
        <v/>
      </c>
      <c r="AB784" s="20">
        <f>IF($Z784="","",INT(($AA784-1)/3)+1)</f>
        <v/>
      </c>
      <c r="AC784" s="20">
        <f>IF($Z784="","",MOD($AA784-1,3)+1)</f>
        <v/>
      </c>
      <c r="AD784" s="20">
        <f>IF($Z784="","",Settings!$B$2+$AC784-1)</f>
        <v/>
      </c>
      <c r="AE784" s="21">
        <f>IF($Z784="C",DATE(YEAR(INDEX(Contracts!$J$2:$J$151,$AB784)),MONTH(INDEX(Contracts!$J$2:$J$151,$AB784)),1),IF($Z784="A",DATE(YEAR(INDEX(Fixed_Assets!$G$2:$G$201,$AB784)),MONTH(INDEX(Fixed_Assets!$G$2:$G$201,$AB784)),1),IF($Z784="F",DATE(YEAR(MAX(N(INDEX(Workforce!$I$2:$I$151,MATCH(INDEX(FTE_Allocation!$A$2:$A$201,$AB784),Workforce!$A$2:$A$151,0))),N(INDEX(FTE_Allocation!$I$2:$I$201,$AB784)))),MONTH(MAX(N(INDEX(Workforce!$I$2:$I$151,MATCH(INDEX(FTE_Allocation!$A$2:$A$201,$AB784),Workforce!$A$2:$A$151,0))),N(INDEX(FTE_Allocation!$I$2:$I$201,$AB784)))),1),"")))</f>
        <v/>
      </c>
      <c r="AF784" s="21">
        <f>IF($Z784="C",IF(INDEX(Contracts!$I$2:$I$151,$AB784)="PREPAID",EDATE(DATE(YEAR(INDEX(Contracts!$J$2:$J$151,$AB784)),MONTH(INDEX(Contracts!$J$2:$J$151,$AB784)),1),IF(INDEX(Contracts!$N$2:$N$151,$AB784)="",12,INDEX(Contracts!$N$2:$N$151,$AB784))-1),IF(INDEX(Contracts!$I$2:$I$151,$AB784)="MONTHLY",IF(INDEX(Contracts!$K$2:$K$151,$AB784)="",2958101,INDEX(Contracts!$K$2:$K$151,$AB784)),0)),IF($Z784="A",EDATE(DATE(YEAR(INDEX(Fixed_Assets!$G$2:$G$201,$AB784)),MONTH(INDEX(Fixed_Assets!$G$2:$G$201,$AB784)),1),INDEX(Fixed_Assets!$J$2:$J$201,$AB784)-1),IF($Z784="F",MIN(IF(INDEX(Workforce!$J$2:$J$151,MATCH(INDEX(FTE_Allocation!$A$2:$A$201,$AB784),Workforce!$A$2:$A$151,0))="",2958101,INDEX(Workforce!$J$2:$J$151,MATCH(INDEX(FTE_Allocation!$A$2:$A$201,$AB784),Workforce!$A$2:$A$151,0))),IF(INDEX(FTE_Allocation!$J$2:$J$201,$AB784)="",2958101,INDEX(FTE_Allocation!$J$2:$J$201,$AB784))),"")))</f>
        <v/>
      </c>
      <c r="AG784" s="19">
        <f>IF($Z784="C",IF(INDEX(Contracts!$I$2:$I$151,$AB784)="PREPAID",INDEX(Contracts!$M$2:$M$151,$AB784)/IF(INDEX(Contracts!$N$2:$N$151,$AB784)="",12,INDEX(Contracts!$N$2:$N$151,$AB784)),IF(INDEX(Contracts!$I$2:$I$151,$AB784)="MONTHLY",INDEX(Contracts!$M$2:$M$151,$AB784),0))*(1-N(INDEX(Contracts!$O$2:$O$151,$AB784))),IF($Z784="A",INDEX(Fixed_Assets!$H$2:$H$201,$AB784)/INDEX(Fixed_Assets!$J$2:$J$201,$AB784),IF($Z784="F",INDEX(Workforce!$F$2:$F$151,MATCH(INDEX(FTE_Allocation!$A$2:$A$201,$AB784),Workforce!$A$2:$A$151,0))*N(INDEX(FTE_Allocation!$F$2:$H$201,$AB784,$AC784)),"")))</f>
        <v/>
      </c>
    </row>
    <row r="785">
      <c r="A785" s="7">
        <f>IF($Z785="","",$AD785)</f>
        <v/>
      </c>
      <c r="B785" s="7">
        <f>IF($Z785="C",INDEX(Contracts!$D$2:$D$151,$AB785)&amp;"",IF($Z785="A",INDEX(Fixed_Assets!$C$2:$C$201,$AB785)&amp;"",IF($Z785="F",INDEX(Workforce!$B$2:$B$151,MATCH(INDEX(FTE_Allocation!$A$2:$A$201,$AB785),Workforce!$A$2:$A$151,0))&amp;"","")))</f>
        <v/>
      </c>
      <c r="C785" s="7">
        <f>IF($Z785="C",INDEX(Contracts!$E$2:$E$151,$AB785)&amp;"",IF($Z785="A",INDEX(Fixed_Assets!$D$2:$D$201,$AB785)&amp;"",IF($Z785="F",INDEX(FTE_Allocation!$C$2:$C$201,$AB785)&amp;"","")))</f>
        <v/>
      </c>
      <c r="D785" s="7">
        <f>IF($Z785="C",INDEX(Contracts!$B$2:$B$151,$AB785)&amp;"",IF($Z785="A",INDEX(Fixed_Assets!$B$2:$B$201,$AB785)&amp;"",IF($Z785="F",INDEX(FTE_Allocation!$B$2:$B$201,$AB785)&amp;"","")))</f>
        <v/>
      </c>
      <c r="E785" s="7">
        <f>IF($Z785="C",INDEX(Contracts!$P$2:$P$151,$AB785)&amp;"",IF($Z785="A",INDEX(Fixed_Assets!$K$2:$K$201,$AB785)&amp;"",IF($Z785="F",IF(INDEX(FTE_Allocation!$D$2:$D$201,$AB785)="PROJECT",IFERROR(INDEX(Projects!$D:$D,MATCH(INDEX(FTE_Allocation!$E$2:$E$201,$AB785),Projects!$A:$A,0))&amp;"","#PROJECT?"),INDEX(FTE_Allocation!$E$2:$E$201,$AB785)&amp;""),"")))</f>
        <v/>
      </c>
      <c r="F785" s="7">
        <f>IF($Z785="C",INDEX(Contracts!$Q$2:$Q$151,$AB785)&amp;"",IF($Z785="A",INDEX(Fixed_Assets!$L$2:$L$201,$AB785)&amp;"",IF($Z785="F",INDEX(Workforce!$K$2:$K$151,MATCH(INDEX(FTE_Allocation!$A$2:$A$201,$AB785),Workforce!$A$2:$A$151,0))&amp;"","")))</f>
        <v/>
      </c>
      <c r="G785" s="7">
        <f>IF($Z785="C",INDEX(Contracts!$F$2:$F$151,$AB785)&amp;" / "&amp;INDEX(Contracts!$G$2:$G$151,$AB785),IF($Z785="A",INDEX(Fixed_Assets!$E$2:$E$201,$AB785)&amp;"",IF($Z785="F","Personnel "&amp;INDEX(FTE_Allocation!$A$2:$A$201,$AB785)&amp;IF(INDEX(FTE_Allocation!$D$2:$D$201,$AB785)="PROJECT"," ("&amp;INDEX(FTE_Allocation!$E$2:$E$201,$AB785)&amp;")",""),"")))</f>
        <v/>
      </c>
      <c r="H785" s="7">
        <f>IF($Z785="C","CONTRACT",IF($Z785="A","ASSET",IF($Z785="F","WORKFORCE","")))</f>
        <v/>
      </c>
      <c r="I785" s="7">
        <f>IF($Z785="C",INDEX(Contracts!$L$2:$L$151,$AB785)&amp;"",IF($Z785="A",INDEX(Fixed_Assets!$I$2:$I$201,$AB785)&amp;"",IF($Z785="F",INDEX(Workforce!$G$2:$G$151,MATCH(INDEX(FTE_Allocation!$A$2:$A$201,$AB785),Workforce!$A$2:$A$151,0))&amp;"","")))</f>
        <v/>
      </c>
      <c r="J785" s="18">
        <f>IF($Z785="","",IF(AND(DATE($AD785,1,1)&gt;=$AE785,DATE($AD785,1,1)&lt;=$AF785),ROUND($AG785,2),0))</f>
        <v/>
      </c>
      <c r="K785" s="18">
        <f>IF($Z785="","",IF(AND(DATE($AD785,2,1)&gt;=$AE785,DATE($AD785,2,1)&lt;=$AF785),ROUND($AG785,2),0))</f>
        <v/>
      </c>
      <c r="L785" s="18">
        <f>IF($Z785="","",IF(AND(DATE($AD785,3,1)&gt;=$AE785,DATE($AD785,3,1)&lt;=$AF785),ROUND($AG785,2),0))</f>
        <v/>
      </c>
      <c r="M785" s="18">
        <f>IF($Z785="","",IF(AND(DATE($AD785,4,1)&gt;=$AE785,DATE($AD785,4,1)&lt;=$AF785),ROUND($AG785,2),0))</f>
        <v/>
      </c>
      <c r="N785" s="18">
        <f>IF($Z785="","",IF(AND(DATE($AD785,5,1)&gt;=$AE785,DATE($AD785,5,1)&lt;=$AF785),ROUND($AG785,2),0))</f>
        <v/>
      </c>
      <c r="O785" s="18">
        <f>IF($Z785="","",IF(AND(DATE($AD785,6,1)&gt;=$AE785,DATE($AD785,6,1)&lt;=$AF785),ROUND($AG785,2),0))</f>
        <v/>
      </c>
      <c r="P785" s="18">
        <f>IF($Z785="","",IF(AND(DATE($AD785,7,1)&gt;=$AE785,DATE($AD785,7,1)&lt;=$AF785),ROUND($AG785,2),0))</f>
        <v/>
      </c>
      <c r="Q785" s="18">
        <f>IF($Z785="","",IF(AND(DATE($AD785,8,1)&gt;=$AE785,DATE($AD785,8,1)&lt;=$AF785),ROUND($AG785,2),0))</f>
        <v/>
      </c>
      <c r="R785" s="18">
        <f>IF($Z785="","",IF(AND(DATE($AD785,9,1)&gt;=$AE785,DATE($AD785,9,1)&lt;=$AF785),ROUND($AG785,2),0))</f>
        <v/>
      </c>
      <c r="S785" s="18">
        <f>IF($Z785="","",IF(AND(DATE($AD785,10,1)&gt;=$AE785,DATE($AD785,10,1)&lt;=$AF785),ROUND($AG785,2),0))</f>
        <v/>
      </c>
      <c r="T785" s="18">
        <f>IF($Z785="","",IF(AND(DATE($AD785,11,1)&gt;=$AE785,DATE($AD785,11,1)&lt;=$AF785),ROUND($AG785,2),0))</f>
        <v/>
      </c>
      <c r="U785" s="18">
        <f>IF($Z785="","",IF(AND(DATE($AD785,12,1)&gt;=$AE785,DATE($AD785,12,1)&lt;=$AF785),ROUND($AG785,2),0))</f>
        <v/>
      </c>
      <c r="V785" s="7">
        <f>IF($Z785="C","Generated from "&amp;INDEX(Contracts!$A$2:$A$151,$AB785),IF($Z785="A","Generated from "&amp;INDEX(Fixed_Assets!$A$2:$A$201,$AB785),IF($Z785="F","Generated from "&amp;INDEX(FTE_Allocation!$A$2:$A$201,$AB785),"")))</f>
        <v/>
      </c>
      <c r="X785" s="19">
        <f>IF($Z785="","",SUM(J785:U785))</f>
        <v/>
      </c>
      <c r="Y785" s="20">
        <f>ROW()-1</f>
        <v/>
      </c>
      <c r="Z785" s="20">
        <f>IF($Y785&lt;=Settings!$B$4*3,"C",IF($Y785&lt;=(Settings!$B$4+Settings!$B$5)*3,"A",IF($Y785&lt;=(Settings!$B$4+Settings!$B$5+Settings!$B$6)*3,"F","")))</f>
        <v/>
      </c>
      <c r="AA785" s="20">
        <f>IF($Z785="C",$Y785,IF($Z785="A",$Y785-Settings!$B$4*3,IF($Z785="F",$Y785-(Settings!$B$4+Settings!$B$5)*3,"")))</f>
        <v/>
      </c>
      <c r="AB785" s="20">
        <f>IF($Z785="","",INT(($AA785-1)/3)+1)</f>
        <v/>
      </c>
      <c r="AC785" s="20">
        <f>IF($Z785="","",MOD($AA785-1,3)+1)</f>
        <v/>
      </c>
      <c r="AD785" s="20">
        <f>IF($Z785="","",Settings!$B$2+$AC785-1)</f>
        <v/>
      </c>
      <c r="AE785" s="21">
        <f>IF($Z785="C",DATE(YEAR(INDEX(Contracts!$J$2:$J$151,$AB785)),MONTH(INDEX(Contracts!$J$2:$J$151,$AB785)),1),IF($Z785="A",DATE(YEAR(INDEX(Fixed_Assets!$G$2:$G$201,$AB785)),MONTH(INDEX(Fixed_Assets!$G$2:$G$201,$AB785)),1),IF($Z785="F",DATE(YEAR(MAX(N(INDEX(Workforce!$I$2:$I$151,MATCH(INDEX(FTE_Allocation!$A$2:$A$201,$AB785),Workforce!$A$2:$A$151,0))),N(INDEX(FTE_Allocation!$I$2:$I$201,$AB785)))),MONTH(MAX(N(INDEX(Workforce!$I$2:$I$151,MATCH(INDEX(FTE_Allocation!$A$2:$A$201,$AB785),Workforce!$A$2:$A$151,0))),N(INDEX(FTE_Allocation!$I$2:$I$201,$AB785)))),1),"")))</f>
        <v/>
      </c>
      <c r="AF785" s="21">
        <f>IF($Z785="C",IF(INDEX(Contracts!$I$2:$I$151,$AB785)="PREPAID",EDATE(DATE(YEAR(INDEX(Contracts!$J$2:$J$151,$AB785)),MONTH(INDEX(Contracts!$J$2:$J$151,$AB785)),1),IF(INDEX(Contracts!$N$2:$N$151,$AB785)="",12,INDEX(Contracts!$N$2:$N$151,$AB785))-1),IF(INDEX(Contracts!$I$2:$I$151,$AB785)="MONTHLY",IF(INDEX(Contracts!$K$2:$K$151,$AB785)="",2958101,INDEX(Contracts!$K$2:$K$151,$AB785)),0)),IF($Z785="A",EDATE(DATE(YEAR(INDEX(Fixed_Assets!$G$2:$G$201,$AB785)),MONTH(INDEX(Fixed_Assets!$G$2:$G$201,$AB785)),1),INDEX(Fixed_Assets!$J$2:$J$201,$AB785)-1),IF($Z785="F",MIN(IF(INDEX(Workforce!$J$2:$J$151,MATCH(INDEX(FTE_Allocation!$A$2:$A$201,$AB785),Workforce!$A$2:$A$151,0))="",2958101,INDEX(Workforce!$J$2:$J$151,MATCH(INDEX(FTE_Allocation!$A$2:$A$201,$AB785),Workforce!$A$2:$A$151,0))),IF(INDEX(FTE_Allocation!$J$2:$J$201,$AB785)="",2958101,INDEX(FTE_Allocation!$J$2:$J$201,$AB785))),"")))</f>
        <v/>
      </c>
      <c r="AG785" s="19">
        <f>IF($Z785="C",IF(INDEX(Contracts!$I$2:$I$151,$AB785)="PREPAID",INDEX(Contracts!$M$2:$M$151,$AB785)/IF(INDEX(Contracts!$N$2:$N$151,$AB785)="",12,INDEX(Contracts!$N$2:$N$151,$AB785)),IF(INDEX(Contracts!$I$2:$I$151,$AB785)="MONTHLY",INDEX(Contracts!$M$2:$M$151,$AB785),0))*(1-N(INDEX(Contracts!$O$2:$O$151,$AB785))),IF($Z785="A",INDEX(Fixed_Assets!$H$2:$H$201,$AB785)/INDEX(Fixed_Assets!$J$2:$J$201,$AB785),IF($Z785="F",INDEX(Workforce!$F$2:$F$151,MATCH(INDEX(FTE_Allocation!$A$2:$A$201,$AB785),Workforce!$A$2:$A$151,0))*N(INDEX(FTE_Allocation!$F$2:$H$201,$AB785,$AC785)),"")))</f>
        <v/>
      </c>
    </row>
    <row r="786">
      <c r="A786" s="7">
        <f>IF($Z786="","",$AD786)</f>
        <v/>
      </c>
      <c r="B786" s="7">
        <f>IF($Z786="C",INDEX(Contracts!$D$2:$D$151,$AB786)&amp;"",IF($Z786="A",INDEX(Fixed_Assets!$C$2:$C$201,$AB786)&amp;"",IF($Z786="F",INDEX(Workforce!$B$2:$B$151,MATCH(INDEX(FTE_Allocation!$A$2:$A$201,$AB786),Workforce!$A$2:$A$151,0))&amp;"","")))</f>
        <v/>
      </c>
      <c r="C786" s="7">
        <f>IF($Z786="C",INDEX(Contracts!$E$2:$E$151,$AB786)&amp;"",IF($Z786="A",INDEX(Fixed_Assets!$D$2:$D$201,$AB786)&amp;"",IF($Z786="F",INDEX(FTE_Allocation!$C$2:$C$201,$AB786)&amp;"","")))</f>
        <v/>
      </c>
      <c r="D786" s="7">
        <f>IF($Z786="C",INDEX(Contracts!$B$2:$B$151,$AB786)&amp;"",IF($Z786="A",INDEX(Fixed_Assets!$B$2:$B$201,$AB786)&amp;"",IF($Z786="F",INDEX(FTE_Allocation!$B$2:$B$201,$AB786)&amp;"","")))</f>
        <v/>
      </c>
      <c r="E786" s="7">
        <f>IF($Z786="C",INDEX(Contracts!$P$2:$P$151,$AB786)&amp;"",IF($Z786="A",INDEX(Fixed_Assets!$K$2:$K$201,$AB786)&amp;"",IF($Z786="F",IF(INDEX(FTE_Allocation!$D$2:$D$201,$AB786)="PROJECT",IFERROR(INDEX(Projects!$D:$D,MATCH(INDEX(FTE_Allocation!$E$2:$E$201,$AB786),Projects!$A:$A,0))&amp;"","#PROJECT?"),INDEX(FTE_Allocation!$E$2:$E$201,$AB786)&amp;""),"")))</f>
        <v/>
      </c>
      <c r="F786" s="7">
        <f>IF($Z786="C",INDEX(Contracts!$Q$2:$Q$151,$AB786)&amp;"",IF($Z786="A",INDEX(Fixed_Assets!$L$2:$L$201,$AB786)&amp;"",IF($Z786="F",INDEX(Workforce!$K$2:$K$151,MATCH(INDEX(FTE_Allocation!$A$2:$A$201,$AB786),Workforce!$A$2:$A$151,0))&amp;"","")))</f>
        <v/>
      </c>
      <c r="G786" s="7">
        <f>IF($Z786="C",INDEX(Contracts!$F$2:$F$151,$AB786)&amp;" / "&amp;INDEX(Contracts!$G$2:$G$151,$AB786),IF($Z786="A",INDEX(Fixed_Assets!$E$2:$E$201,$AB786)&amp;"",IF($Z786="F","Personnel "&amp;INDEX(FTE_Allocation!$A$2:$A$201,$AB786)&amp;IF(INDEX(FTE_Allocation!$D$2:$D$201,$AB786)="PROJECT"," ("&amp;INDEX(FTE_Allocation!$E$2:$E$201,$AB786)&amp;")",""),"")))</f>
        <v/>
      </c>
      <c r="H786" s="7">
        <f>IF($Z786="C","CONTRACT",IF($Z786="A","ASSET",IF($Z786="F","WORKFORCE","")))</f>
        <v/>
      </c>
      <c r="I786" s="7">
        <f>IF($Z786="C",INDEX(Contracts!$L$2:$L$151,$AB786)&amp;"",IF($Z786="A",INDEX(Fixed_Assets!$I$2:$I$201,$AB786)&amp;"",IF($Z786="F",INDEX(Workforce!$G$2:$G$151,MATCH(INDEX(FTE_Allocation!$A$2:$A$201,$AB786),Workforce!$A$2:$A$151,0))&amp;"","")))</f>
        <v/>
      </c>
      <c r="J786" s="18">
        <f>IF($Z786="","",IF(AND(DATE($AD786,1,1)&gt;=$AE786,DATE($AD786,1,1)&lt;=$AF786),ROUND($AG786,2),0))</f>
        <v/>
      </c>
      <c r="K786" s="18">
        <f>IF($Z786="","",IF(AND(DATE($AD786,2,1)&gt;=$AE786,DATE($AD786,2,1)&lt;=$AF786),ROUND($AG786,2),0))</f>
        <v/>
      </c>
      <c r="L786" s="18">
        <f>IF($Z786="","",IF(AND(DATE($AD786,3,1)&gt;=$AE786,DATE($AD786,3,1)&lt;=$AF786),ROUND($AG786,2),0))</f>
        <v/>
      </c>
      <c r="M786" s="18">
        <f>IF($Z786="","",IF(AND(DATE($AD786,4,1)&gt;=$AE786,DATE($AD786,4,1)&lt;=$AF786),ROUND($AG786,2),0))</f>
        <v/>
      </c>
      <c r="N786" s="18">
        <f>IF($Z786="","",IF(AND(DATE($AD786,5,1)&gt;=$AE786,DATE($AD786,5,1)&lt;=$AF786),ROUND($AG786,2),0))</f>
        <v/>
      </c>
      <c r="O786" s="18">
        <f>IF($Z786="","",IF(AND(DATE($AD786,6,1)&gt;=$AE786,DATE($AD786,6,1)&lt;=$AF786),ROUND($AG786,2),0))</f>
        <v/>
      </c>
      <c r="P786" s="18">
        <f>IF($Z786="","",IF(AND(DATE($AD786,7,1)&gt;=$AE786,DATE($AD786,7,1)&lt;=$AF786),ROUND($AG786,2),0))</f>
        <v/>
      </c>
      <c r="Q786" s="18">
        <f>IF($Z786="","",IF(AND(DATE($AD786,8,1)&gt;=$AE786,DATE($AD786,8,1)&lt;=$AF786),ROUND($AG786,2),0))</f>
        <v/>
      </c>
      <c r="R786" s="18">
        <f>IF($Z786="","",IF(AND(DATE($AD786,9,1)&gt;=$AE786,DATE($AD786,9,1)&lt;=$AF786),ROUND($AG786,2),0))</f>
        <v/>
      </c>
      <c r="S786" s="18">
        <f>IF($Z786="","",IF(AND(DATE($AD786,10,1)&gt;=$AE786,DATE($AD786,10,1)&lt;=$AF786),ROUND($AG786,2),0))</f>
        <v/>
      </c>
      <c r="T786" s="18">
        <f>IF($Z786="","",IF(AND(DATE($AD786,11,1)&gt;=$AE786,DATE($AD786,11,1)&lt;=$AF786),ROUND($AG786,2),0))</f>
        <v/>
      </c>
      <c r="U786" s="18">
        <f>IF($Z786="","",IF(AND(DATE($AD786,12,1)&gt;=$AE786,DATE($AD786,12,1)&lt;=$AF786),ROUND($AG786,2),0))</f>
        <v/>
      </c>
      <c r="V786" s="7">
        <f>IF($Z786="C","Generated from "&amp;INDEX(Contracts!$A$2:$A$151,$AB786),IF($Z786="A","Generated from "&amp;INDEX(Fixed_Assets!$A$2:$A$201,$AB786),IF($Z786="F","Generated from "&amp;INDEX(FTE_Allocation!$A$2:$A$201,$AB786),"")))</f>
        <v/>
      </c>
      <c r="X786" s="19">
        <f>IF($Z786="","",SUM(J786:U786))</f>
        <v/>
      </c>
      <c r="Y786" s="20">
        <f>ROW()-1</f>
        <v/>
      </c>
      <c r="Z786" s="20">
        <f>IF($Y786&lt;=Settings!$B$4*3,"C",IF($Y786&lt;=(Settings!$B$4+Settings!$B$5)*3,"A",IF($Y786&lt;=(Settings!$B$4+Settings!$B$5+Settings!$B$6)*3,"F","")))</f>
        <v/>
      </c>
      <c r="AA786" s="20">
        <f>IF($Z786="C",$Y786,IF($Z786="A",$Y786-Settings!$B$4*3,IF($Z786="F",$Y786-(Settings!$B$4+Settings!$B$5)*3,"")))</f>
        <v/>
      </c>
      <c r="AB786" s="20">
        <f>IF($Z786="","",INT(($AA786-1)/3)+1)</f>
        <v/>
      </c>
      <c r="AC786" s="20">
        <f>IF($Z786="","",MOD($AA786-1,3)+1)</f>
        <v/>
      </c>
      <c r="AD786" s="20">
        <f>IF($Z786="","",Settings!$B$2+$AC786-1)</f>
        <v/>
      </c>
      <c r="AE786" s="21">
        <f>IF($Z786="C",DATE(YEAR(INDEX(Contracts!$J$2:$J$151,$AB786)),MONTH(INDEX(Contracts!$J$2:$J$151,$AB786)),1),IF($Z786="A",DATE(YEAR(INDEX(Fixed_Assets!$G$2:$G$201,$AB786)),MONTH(INDEX(Fixed_Assets!$G$2:$G$201,$AB786)),1),IF($Z786="F",DATE(YEAR(MAX(N(INDEX(Workforce!$I$2:$I$151,MATCH(INDEX(FTE_Allocation!$A$2:$A$201,$AB786),Workforce!$A$2:$A$151,0))),N(INDEX(FTE_Allocation!$I$2:$I$201,$AB786)))),MONTH(MAX(N(INDEX(Workforce!$I$2:$I$151,MATCH(INDEX(FTE_Allocation!$A$2:$A$201,$AB786),Workforce!$A$2:$A$151,0))),N(INDEX(FTE_Allocation!$I$2:$I$201,$AB786)))),1),"")))</f>
        <v/>
      </c>
      <c r="AF786" s="21">
        <f>IF($Z786="C",IF(INDEX(Contracts!$I$2:$I$151,$AB786)="PREPAID",EDATE(DATE(YEAR(INDEX(Contracts!$J$2:$J$151,$AB786)),MONTH(INDEX(Contracts!$J$2:$J$151,$AB786)),1),IF(INDEX(Contracts!$N$2:$N$151,$AB786)="",12,INDEX(Contracts!$N$2:$N$151,$AB786))-1),IF(INDEX(Contracts!$I$2:$I$151,$AB786)="MONTHLY",IF(INDEX(Contracts!$K$2:$K$151,$AB786)="",2958101,INDEX(Contracts!$K$2:$K$151,$AB786)),0)),IF($Z786="A",EDATE(DATE(YEAR(INDEX(Fixed_Assets!$G$2:$G$201,$AB786)),MONTH(INDEX(Fixed_Assets!$G$2:$G$201,$AB786)),1),INDEX(Fixed_Assets!$J$2:$J$201,$AB786)-1),IF($Z786="F",MIN(IF(INDEX(Workforce!$J$2:$J$151,MATCH(INDEX(FTE_Allocation!$A$2:$A$201,$AB786),Workforce!$A$2:$A$151,0))="",2958101,INDEX(Workforce!$J$2:$J$151,MATCH(INDEX(FTE_Allocation!$A$2:$A$201,$AB786),Workforce!$A$2:$A$151,0))),IF(INDEX(FTE_Allocation!$J$2:$J$201,$AB786)="",2958101,INDEX(FTE_Allocation!$J$2:$J$201,$AB786))),"")))</f>
        <v/>
      </c>
      <c r="AG786" s="19">
        <f>IF($Z786="C",IF(INDEX(Contracts!$I$2:$I$151,$AB786)="PREPAID",INDEX(Contracts!$M$2:$M$151,$AB786)/IF(INDEX(Contracts!$N$2:$N$151,$AB786)="",12,INDEX(Contracts!$N$2:$N$151,$AB786)),IF(INDEX(Contracts!$I$2:$I$151,$AB786)="MONTHLY",INDEX(Contracts!$M$2:$M$151,$AB786),0))*(1-N(INDEX(Contracts!$O$2:$O$151,$AB786))),IF($Z786="A",INDEX(Fixed_Assets!$H$2:$H$201,$AB786)/INDEX(Fixed_Assets!$J$2:$J$201,$AB786),IF($Z786="F",INDEX(Workforce!$F$2:$F$151,MATCH(INDEX(FTE_Allocation!$A$2:$A$201,$AB786),Workforce!$A$2:$A$151,0))*N(INDEX(FTE_Allocation!$F$2:$H$201,$AB786,$AC786)),"")))</f>
        <v/>
      </c>
    </row>
    <row r="787">
      <c r="A787" s="7">
        <f>IF($Z787="","",$AD787)</f>
        <v/>
      </c>
      <c r="B787" s="7">
        <f>IF($Z787="C",INDEX(Contracts!$D$2:$D$151,$AB787)&amp;"",IF($Z787="A",INDEX(Fixed_Assets!$C$2:$C$201,$AB787)&amp;"",IF($Z787="F",INDEX(Workforce!$B$2:$B$151,MATCH(INDEX(FTE_Allocation!$A$2:$A$201,$AB787),Workforce!$A$2:$A$151,0))&amp;"","")))</f>
        <v/>
      </c>
      <c r="C787" s="7">
        <f>IF($Z787="C",INDEX(Contracts!$E$2:$E$151,$AB787)&amp;"",IF($Z787="A",INDEX(Fixed_Assets!$D$2:$D$201,$AB787)&amp;"",IF($Z787="F",INDEX(FTE_Allocation!$C$2:$C$201,$AB787)&amp;"","")))</f>
        <v/>
      </c>
      <c r="D787" s="7">
        <f>IF($Z787="C",INDEX(Contracts!$B$2:$B$151,$AB787)&amp;"",IF($Z787="A",INDEX(Fixed_Assets!$B$2:$B$201,$AB787)&amp;"",IF($Z787="F",INDEX(FTE_Allocation!$B$2:$B$201,$AB787)&amp;"","")))</f>
        <v/>
      </c>
      <c r="E787" s="7">
        <f>IF($Z787="C",INDEX(Contracts!$P$2:$P$151,$AB787)&amp;"",IF($Z787="A",INDEX(Fixed_Assets!$K$2:$K$201,$AB787)&amp;"",IF($Z787="F",IF(INDEX(FTE_Allocation!$D$2:$D$201,$AB787)="PROJECT",IFERROR(INDEX(Projects!$D:$D,MATCH(INDEX(FTE_Allocation!$E$2:$E$201,$AB787),Projects!$A:$A,0))&amp;"","#PROJECT?"),INDEX(FTE_Allocation!$E$2:$E$201,$AB787)&amp;""),"")))</f>
        <v/>
      </c>
      <c r="F787" s="7">
        <f>IF($Z787="C",INDEX(Contracts!$Q$2:$Q$151,$AB787)&amp;"",IF($Z787="A",INDEX(Fixed_Assets!$L$2:$L$201,$AB787)&amp;"",IF($Z787="F",INDEX(Workforce!$K$2:$K$151,MATCH(INDEX(FTE_Allocation!$A$2:$A$201,$AB787),Workforce!$A$2:$A$151,0))&amp;"","")))</f>
        <v/>
      </c>
      <c r="G787" s="7">
        <f>IF($Z787="C",INDEX(Contracts!$F$2:$F$151,$AB787)&amp;" / "&amp;INDEX(Contracts!$G$2:$G$151,$AB787),IF($Z787="A",INDEX(Fixed_Assets!$E$2:$E$201,$AB787)&amp;"",IF($Z787="F","Personnel "&amp;INDEX(FTE_Allocation!$A$2:$A$201,$AB787)&amp;IF(INDEX(FTE_Allocation!$D$2:$D$201,$AB787)="PROJECT"," ("&amp;INDEX(FTE_Allocation!$E$2:$E$201,$AB787)&amp;")",""),"")))</f>
        <v/>
      </c>
      <c r="H787" s="7">
        <f>IF($Z787="C","CONTRACT",IF($Z787="A","ASSET",IF($Z787="F","WORKFORCE","")))</f>
        <v/>
      </c>
      <c r="I787" s="7">
        <f>IF($Z787="C",INDEX(Contracts!$L$2:$L$151,$AB787)&amp;"",IF($Z787="A",INDEX(Fixed_Assets!$I$2:$I$201,$AB787)&amp;"",IF($Z787="F",INDEX(Workforce!$G$2:$G$151,MATCH(INDEX(FTE_Allocation!$A$2:$A$201,$AB787),Workforce!$A$2:$A$151,0))&amp;"","")))</f>
        <v/>
      </c>
      <c r="J787" s="18">
        <f>IF($Z787="","",IF(AND(DATE($AD787,1,1)&gt;=$AE787,DATE($AD787,1,1)&lt;=$AF787),ROUND($AG787,2),0))</f>
        <v/>
      </c>
      <c r="K787" s="18">
        <f>IF($Z787="","",IF(AND(DATE($AD787,2,1)&gt;=$AE787,DATE($AD787,2,1)&lt;=$AF787),ROUND($AG787,2),0))</f>
        <v/>
      </c>
      <c r="L787" s="18">
        <f>IF($Z787="","",IF(AND(DATE($AD787,3,1)&gt;=$AE787,DATE($AD787,3,1)&lt;=$AF787),ROUND($AG787,2),0))</f>
        <v/>
      </c>
      <c r="M787" s="18">
        <f>IF($Z787="","",IF(AND(DATE($AD787,4,1)&gt;=$AE787,DATE($AD787,4,1)&lt;=$AF787),ROUND($AG787,2),0))</f>
        <v/>
      </c>
      <c r="N787" s="18">
        <f>IF($Z787="","",IF(AND(DATE($AD787,5,1)&gt;=$AE787,DATE($AD787,5,1)&lt;=$AF787),ROUND($AG787,2),0))</f>
        <v/>
      </c>
      <c r="O787" s="18">
        <f>IF($Z787="","",IF(AND(DATE($AD787,6,1)&gt;=$AE787,DATE($AD787,6,1)&lt;=$AF787),ROUND($AG787,2),0))</f>
        <v/>
      </c>
      <c r="P787" s="18">
        <f>IF($Z787="","",IF(AND(DATE($AD787,7,1)&gt;=$AE787,DATE($AD787,7,1)&lt;=$AF787),ROUND($AG787,2),0))</f>
        <v/>
      </c>
      <c r="Q787" s="18">
        <f>IF($Z787="","",IF(AND(DATE($AD787,8,1)&gt;=$AE787,DATE($AD787,8,1)&lt;=$AF787),ROUND($AG787,2),0))</f>
        <v/>
      </c>
      <c r="R787" s="18">
        <f>IF($Z787="","",IF(AND(DATE($AD787,9,1)&gt;=$AE787,DATE($AD787,9,1)&lt;=$AF787),ROUND($AG787,2),0))</f>
        <v/>
      </c>
      <c r="S787" s="18">
        <f>IF($Z787="","",IF(AND(DATE($AD787,10,1)&gt;=$AE787,DATE($AD787,10,1)&lt;=$AF787),ROUND($AG787,2),0))</f>
        <v/>
      </c>
      <c r="T787" s="18">
        <f>IF($Z787="","",IF(AND(DATE($AD787,11,1)&gt;=$AE787,DATE($AD787,11,1)&lt;=$AF787),ROUND($AG787,2),0))</f>
        <v/>
      </c>
      <c r="U787" s="18">
        <f>IF($Z787="","",IF(AND(DATE($AD787,12,1)&gt;=$AE787,DATE($AD787,12,1)&lt;=$AF787),ROUND($AG787,2),0))</f>
        <v/>
      </c>
      <c r="V787" s="7">
        <f>IF($Z787="C","Generated from "&amp;INDEX(Contracts!$A$2:$A$151,$AB787),IF($Z787="A","Generated from "&amp;INDEX(Fixed_Assets!$A$2:$A$201,$AB787),IF($Z787="F","Generated from "&amp;INDEX(FTE_Allocation!$A$2:$A$201,$AB787),"")))</f>
        <v/>
      </c>
      <c r="X787" s="19">
        <f>IF($Z787="","",SUM(J787:U787))</f>
        <v/>
      </c>
      <c r="Y787" s="20">
        <f>ROW()-1</f>
        <v/>
      </c>
      <c r="Z787" s="20">
        <f>IF($Y787&lt;=Settings!$B$4*3,"C",IF($Y787&lt;=(Settings!$B$4+Settings!$B$5)*3,"A",IF($Y787&lt;=(Settings!$B$4+Settings!$B$5+Settings!$B$6)*3,"F","")))</f>
        <v/>
      </c>
      <c r="AA787" s="20">
        <f>IF($Z787="C",$Y787,IF($Z787="A",$Y787-Settings!$B$4*3,IF($Z787="F",$Y787-(Settings!$B$4+Settings!$B$5)*3,"")))</f>
        <v/>
      </c>
      <c r="AB787" s="20">
        <f>IF($Z787="","",INT(($AA787-1)/3)+1)</f>
        <v/>
      </c>
      <c r="AC787" s="20">
        <f>IF($Z787="","",MOD($AA787-1,3)+1)</f>
        <v/>
      </c>
      <c r="AD787" s="20">
        <f>IF($Z787="","",Settings!$B$2+$AC787-1)</f>
        <v/>
      </c>
      <c r="AE787" s="21">
        <f>IF($Z787="C",DATE(YEAR(INDEX(Contracts!$J$2:$J$151,$AB787)),MONTH(INDEX(Contracts!$J$2:$J$151,$AB787)),1),IF($Z787="A",DATE(YEAR(INDEX(Fixed_Assets!$G$2:$G$201,$AB787)),MONTH(INDEX(Fixed_Assets!$G$2:$G$201,$AB787)),1),IF($Z787="F",DATE(YEAR(MAX(N(INDEX(Workforce!$I$2:$I$151,MATCH(INDEX(FTE_Allocation!$A$2:$A$201,$AB787),Workforce!$A$2:$A$151,0))),N(INDEX(FTE_Allocation!$I$2:$I$201,$AB787)))),MONTH(MAX(N(INDEX(Workforce!$I$2:$I$151,MATCH(INDEX(FTE_Allocation!$A$2:$A$201,$AB787),Workforce!$A$2:$A$151,0))),N(INDEX(FTE_Allocation!$I$2:$I$201,$AB787)))),1),"")))</f>
        <v/>
      </c>
      <c r="AF787" s="21">
        <f>IF($Z787="C",IF(INDEX(Contracts!$I$2:$I$151,$AB787)="PREPAID",EDATE(DATE(YEAR(INDEX(Contracts!$J$2:$J$151,$AB787)),MONTH(INDEX(Contracts!$J$2:$J$151,$AB787)),1),IF(INDEX(Contracts!$N$2:$N$151,$AB787)="",12,INDEX(Contracts!$N$2:$N$151,$AB787))-1),IF(INDEX(Contracts!$I$2:$I$151,$AB787)="MONTHLY",IF(INDEX(Contracts!$K$2:$K$151,$AB787)="",2958101,INDEX(Contracts!$K$2:$K$151,$AB787)),0)),IF($Z787="A",EDATE(DATE(YEAR(INDEX(Fixed_Assets!$G$2:$G$201,$AB787)),MONTH(INDEX(Fixed_Assets!$G$2:$G$201,$AB787)),1),INDEX(Fixed_Assets!$J$2:$J$201,$AB787)-1),IF($Z787="F",MIN(IF(INDEX(Workforce!$J$2:$J$151,MATCH(INDEX(FTE_Allocation!$A$2:$A$201,$AB787),Workforce!$A$2:$A$151,0))="",2958101,INDEX(Workforce!$J$2:$J$151,MATCH(INDEX(FTE_Allocation!$A$2:$A$201,$AB787),Workforce!$A$2:$A$151,0))),IF(INDEX(FTE_Allocation!$J$2:$J$201,$AB787)="",2958101,INDEX(FTE_Allocation!$J$2:$J$201,$AB787))),"")))</f>
        <v/>
      </c>
      <c r="AG787" s="19">
        <f>IF($Z787="C",IF(INDEX(Contracts!$I$2:$I$151,$AB787)="PREPAID",INDEX(Contracts!$M$2:$M$151,$AB787)/IF(INDEX(Contracts!$N$2:$N$151,$AB787)="",12,INDEX(Contracts!$N$2:$N$151,$AB787)),IF(INDEX(Contracts!$I$2:$I$151,$AB787)="MONTHLY",INDEX(Contracts!$M$2:$M$151,$AB787),0))*(1-N(INDEX(Contracts!$O$2:$O$151,$AB787))),IF($Z787="A",INDEX(Fixed_Assets!$H$2:$H$201,$AB787)/INDEX(Fixed_Assets!$J$2:$J$201,$AB787),IF($Z787="F",INDEX(Workforce!$F$2:$F$151,MATCH(INDEX(FTE_Allocation!$A$2:$A$201,$AB787),Workforce!$A$2:$A$151,0))*N(INDEX(FTE_Allocation!$F$2:$H$201,$AB787,$AC787)),"")))</f>
        <v/>
      </c>
    </row>
    <row r="788">
      <c r="A788" s="7">
        <f>IF($Z788="","",$AD788)</f>
        <v/>
      </c>
      <c r="B788" s="7">
        <f>IF($Z788="C",INDEX(Contracts!$D$2:$D$151,$AB788)&amp;"",IF($Z788="A",INDEX(Fixed_Assets!$C$2:$C$201,$AB788)&amp;"",IF($Z788="F",INDEX(Workforce!$B$2:$B$151,MATCH(INDEX(FTE_Allocation!$A$2:$A$201,$AB788),Workforce!$A$2:$A$151,0))&amp;"","")))</f>
        <v/>
      </c>
      <c r="C788" s="7">
        <f>IF($Z788="C",INDEX(Contracts!$E$2:$E$151,$AB788)&amp;"",IF($Z788="A",INDEX(Fixed_Assets!$D$2:$D$201,$AB788)&amp;"",IF($Z788="F",INDEX(FTE_Allocation!$C$2:$C$201,$AB788)&amp;"","")))</f>
        <v/>
      </c>
      <c r="D788" s="7">
        <f>IF($Z788="C",INDEX(Contracts!$B$2:$B$151,$AB788)&amp;"",IF($Z788="A",INDEX(Fixed_Assets!$B$2:$B$201,$AB788)&amp;"",IF($Z788="F",INDEX(FTE_Allocation!$B$2:$B$201,$AB788)&amp;"","")))</f>
        <v/>
      </c>
      <c r="E788" s="7">
        <f>IF($Z788="C",INDEX(Contracts!$P$2:$P$151,$AB788)&amp;"",IF($Z788="A",INDEX(Fixed_Assets!$K$2:$K$201,$AB788)&amp;"",IF($Z788="F",IF(INDEX(FTE_Allocation!$D$2:$D$201,$AB788)="PROJECT",IFERROR(INDEX(Projects!$D:$D,MATCH(INDEX(FTE_Allocation!$E$2:$E$201,$AB788),Projects!$A:$A,0))&amp;"","#PROJECT?"),INDEX(FTE_Allocation!$E$2:$E$201,$AB788)&amp;""),"")))</f>
        <v/>
      </c>
      <c r="F788" s="7">
        <f>IF($Z788="C",INDEX(Contracts!$Q$2:$Q$151,$AB788)&amp;"",IF($Z788="A",INDEX(Fixed_Assets!$L$2:$L$201,$AB788)&amp;"",IF($Z788="F",INDEX(Workforce!$K$2:$K$151,MATCH(INDEX(FTE_Allocation!$A$2:$A$201,$AB788),Workforce!$A$2:$A$151,0))&amp;"","")))</f>
        <v/>
      </c>
      <c r="G788" s="7">
        <f>IF($Z788="C",INDEX(Contracts!$F$2:$F$151,$AB788)&amp;" / "&amp;INDEX(Contracts!$G$2:$G$151,$AB788),IF($Z788="A",INDEX(Fixed_Assets!$E$2:$E$201,$AB788)&amp;"",IF($Z788="F","Personnel "&amp;INDEX(FTE_Allocation!$A$2:$A$201,$AB788)&amp;IF(INDEX(FTE_Allocation!$D$2:$D$201,$AB788)="PROJECT"," ("&amp;INDEX(FTE_Allocation!$E$2:$E$201,$AB788)&amp;")",""),"")))</f>
        <v/>
      </c>
      <c r="H788" s="7">
        <f>IF($Z788="C","CONTRACT",IF($Z788="A","ASSET",IF($Z788="F","WORKFORCE","")))</f>
        <v/>
      </c>
      <c r="I788" s="7">
        <f>IF($Z788="C",INDEX(Contracts!$L$2:$L$151,$AB788)&amp;"",IF($Z788="A",INDEX(Fixed_Assets!$I$2:$I$201,$AB788)&amp;"",IF($Z788="F",INDEX(Workforce!$G$2:$G$151,MATCH(INDEX(FTE_Allocation!$A$2:$A$201,$AB788),Workforce!$A$2:$A$151,0))&amp;"","")))</f>
        <v/>
      </c>
      <c r="J788" s="18">
        <f>IF($Z788="","",IF(AND(DATE($AD788,1,1)&gt;=$AE788,DATE($AD788,1,1)&lt;=$AF788),ROUND($AG788,2),0))</f>
        <v/>
      </c>
      <c r="K788" s="18">
        <f>IF($Z788="","",IF(AND(DATE($AD788,2,1)&gt;=$AE788,DATE($AD788,2,1)&lt;=$AF788),ROUND($AG788,2),0))</f>
        <v/>
      </c>
      <c r="L788" s="18">
        <f>IF($Z788="","",IF(AND(DATE($AD788,3,1)&gt;=$AE788,DATE($AD788,3,1)&lt;=$AF788),ROUND($AG788,2),0))</f>
        <v/>
      </c>
      <c r="M788" s="18">
        <f>IF($Z788="","",IF(AND(DATE($AD788,4,1)&gt;=$AE788,DATE($AD788,4,1)&lt;=$AF788),ROUND($AG788,2),0))</f>
        <v/>
      </c>
      <c r="N788" s="18">
        <f>IF($Z788="","",IF(AND(DATE($AD788,5,1)&gt;=$AE788,DATE($AD788,5,1)&lt;=$AF788),ROUND($AG788,2),0))</f>
        <v/>
      </c>
      <c r="O788" s="18">
        <f>IF($Z788="","",IF(AND(DATE($AD788,6,1)&gt;=$AE788,DATE($AD788,6,1)&lt;=$AF788),ROUND($AG788,2),0))</f>
        <v/>
      </c>
      <c r="P788" s="18">
        <f>IF($Z788="","",IF(AND(DATE($AD788,7,1)&gt;=$AE788,DATE($AD788,7,1)&lt;=$AF788),ROUND($AG788,2),0))</f>
        <v/>
      </c>
      <c r="Q788" s="18">
        <f>IF($Z788="","",IF(AND(DATE($AD788,8,1)&gt;=$AE788,DATE($AD788,8,1)&lt;=$AF788),ROUND($AG788,2),0))</f>
        <v/>
      </c>
      <c r="R788" s="18">
        <f>IF($Z788="","",IF(AND(DATE($AD788,9,1)&gt;=$AE788,DATE($AD788,9,1)&lt;=$AF788),ROUND($AG788,2),0))</f>
        <v/>
      </c>
      <c r="S788" s="18">
        <f>IF($Z788="","",IF(AND(DATE($AD788,10,1)&gt;=$AE788,DATE($AD788,10,1)&lt;=$AF788),ROUND($AG788,2),0))</f>
        <v/>
      </c>
      <c r="T788" s="18">
        <f>IF($Z788="","",IF(AND(DATE($AD788,11,1)&gt;=$AE788,DATE($AD788,11,1)&lt;=$AF788),ROUND($AG788,2),0))</f>
        <v/>
      </c>
      <c r="U788" s="18">
        <f>IF($Z788="","",IF(AND(DATE($AD788,12,1)&gt;=$AE788,DATE($AD788,12,1)&lt;=$AF788),ROUND($AG788,2),0))</f>
        <v/>
      </c>
      <c r="V788" s="7">
        <f>IF($Z788="C","Generated from "&amp;INDEX(Contracts!$A$2:$A$151,$AB788),IF($Z788="A","Generated from "&amp;INDEX(Fixed_Assets!$A$2:$A$201,$AB788),IF($Z788="F","Generated from "&amp;INDEX(FTE_Allocation!$A$2:$A$201,$AB788),"")))</f>
        <v/>
      </c>
      <c r="X788" s="19">
        <f>IF($Z788="","",SUM(J788:U788))</f>
        <v/>
      </c>
      <c r="Y788" s="20">
        <f>ROW()-1</f>
        <v/>
      </c>
      <c r="Z788" s="20">
        <f>IF($Y788&lt;=Settings!$B$4*3,"C",IF($Y788&lt;=(Settings!$B$4+Settings!$B$5)*3,"A",IF($Y788&lt;=(Settings!$B$4+Settings!$B$5+Settings!$B$6)*3,"F","")))</f>
        <v/>
      </c>
      <c r="AA788" s="20">
        <f>IF($Z788="C",$Y788,IF($Z788="A",$Y788-Settings!$B$4*3,IF($Z788="F",$Y788-(Settings!$B$4+Settings!$B$5)*3,"")))</f>
        <v/>
      </c>
      <c r="AB788" s="20">
        <f>IF($Z788="","",INT(($AA788-1)/3)+1)</f>
        <v/>
      </c>
      <c r="AC788" s="20">
        <f>IF($Z788="","",MOD($AA788-1,3)+1)</f>
        <v/>
      </c>
      <c r="AD788" s="20">
        <f>IF($Z788="","",Settings!$B$2+$AC788-1)</f>
        <v/>
      </c>
      <c r="AE788" s="21">
        <f>IF($Z788="C",DATE(YEAR(INDEX(Contracts!$J$2:$J$151,$AB788)),MONTH(INDEX(Contracts!$J$2:$J$151,$AB788)),1),IF($Z788="A",DATE(YEAR(INDEX(Fixed_Assets!$G$2:$G$201,$AB788)),MONTH(INDEX(Fixed_Assets!$G$2:$G$201,$AB788)),1),IF($Z788="F",DATE(YEAR(MAX(N(INDEX(Workforce!$I$2:$I$151,MATCH(INDEX(FTE_Allocation!$A$2:$A$201,$AB788),Workforce!$A$2:$A$151,0))),N(INDEX(FTE_Allocation!$I$2:$I$201,$AB788)))),MONTH(MAX(N(INDEX(Workforce!$I$2:$I$151,MATCH(INDEX(FTE_Allocation!$A$2:$A$201,$AB788),Workforce!$A$2:$A$151,0))),N(INDEX(FTE_Allocation!$I$2:$I$201,$AB788)))),1),"")))</f>
        <v/>
      </c>
      <c r="AF788" s="21">
        <f>IF($Z788="C",IF(INDEX(Contracts!$I$2:$I$151,$AB788)="PREPAID",EDATE(DATE(YEAR(INDEX(Contracts!$J$2:$J$151,$AB788)),MONTH(INDEX(Contracts!$J$2:$J$151,$AB788)),1),IF(INDEX(Contracts!$N$2:$N$151,$AB788)="",12,INDEX(Contracts!$N$2:$N$151,$AB788))-1),IF(INDEX(Contracts!$I$2:$I$151,$AB788)="MONTHLY",IF(INDEX(Contracts!$K$2:$K$151,$AB788)="",2958101,INDEX(Contracts!$K$2:$K$151,$AB788)),0)),IF($Z788="A",EDATE(DATE(YEAR(INDEX(Fixed_Assets!$G$2:$G$201,$AB788)),MONTH(INDEX(Fixed_Assets!$G$2:$G$201,$AB788)),1),INDEX(Fixed_Assets!$J$2:$J$201,$AB788)-1),IF($Z788="F",MIN(IF(INDEX(Workforce!$J$2:$J$151,MATCH(INDEX(FTE_Allocation!$A$2:$A$201,$AB788),Workforce!$A$2:$A$151,0))="",2958101,INDEX(Workforce!$J$2:$J$151,MATCH(INDEX(FTE_Allocation!$A$2:$A$201,$AB788),Workforce!$A$2:$A$151,0))),IF(INDEX(FTE_Allocation!$J$2:$J$201,$AB788)="",2958101,INDEX(FTE_Allocation!$J$2:$J$201,$AB788))),"")))</f>
        <v/>
      </c>
      <c r="AG788" s="19">
        <f>IF($Z788="C",IF(INDEX(Contracts!$I$2:$I$151,$AB788)="PREPAID",INDEX(Contracts!$M$2:$M$151,$AB788)/IF(INDEX(Contracts!$N$2:$N$151,$AB788)="",12,INDEX(Contracts!$N$2:$N$151,$AB788)),IF(INDEX(Contracts!$I$2:$I$151,$AB788)="MONTHLY",INDEX(Contracts!$M$2:$M$151,$AB788),0))*(1-N(INDEX(Contracts!$O$2:$O$151,$AB788))),IF($Z788="A",INDEX(Fixed_Assets!$H$2:$H$201,$AB788)/INDEX(Fixed_Assets!$J$2:$J$201,$AB788),IF($Z788="F",INDEX(Workforce!$F$2:$F$151,MATCH(INDEX(FTE_Allocation!$A$2:$A$201,$AB788),Workforce!$A$2:$A$151,0))*N(INDEX(FTE_Allocation!$F$2:$H$201,$AB788,$AC788)),"")))</f>
        <v/>
      </c>
    </row>
    <row r="789">
      <c r="A789" s="7">
        <f>IF($Z789="","",$AD789)</f>
        <v/>
      </c>
      <c r="B789" s="7">
        <f>IF($Z789="C",INDEX(Contracts!$D$2:$D$151,$AB789)&amp;"",IF($Z789="A",INDEX(Fixed_Assets!$C$2:$C$201,$AB789)&amp;"",IF($Z789="F",INDEX(Workforce!$B$2:$B$151,MATCH(INDEX(FTE_Allocation!$A$2:$A$201,$AB789),Workforce!$A$2:$A$151,0))&amp;"","")))</f>
        <v/>
      </c>
      <c r="C789" s="7">
        <f>IF($Z789="C",INDEX(Contracts!$E$2:$E$151,$AB789)&amp;"",IF($Z789="A",INDEX(Fixed_Assets!$D$2:$D$201,$AB789)&amp;"",IF($Z789="F",INDEX(FTE_Allocation!$C$2:$C$201,$AB789)&amp;"","")))</f>
        <v/>
      </c>
      <c r="D789" s="7">
        <f>IF($Z789="C",INDEX(Contracts!$B$2:$B$151,$AB789)&amp;"",IF($Z789="A",INDEX(Fixed_Assets!$B$2:$B$201,$AB789)&amp;"",IF($Z789="F",INDEX(FTE_Allocation!$B$2:$B$201,$AB789)&amp;"","")))</f>
        <v/>
      </c>
      <c r="E789" s="7">
        <f>IF($Z789="C",INDEX(Contracts!$P$2:$P$151,$AB789)&amp;"",IF($Z789="A",INDEX(Fixed_Assets!$K$2:$K$201,$AB789)&amp;"",IF($Z789="F",IF(INDEX(FTE_Allocation!$D$2:$D$201,$AB789)="PROJECT",IFERROR(INDEX(Projects!$D:$D,MATCH(INDEX(FTE_Allocation!$E$2:$E$201,$AB789),Projects!$A:$A,0))&amp;"","#PROJECT?"),INDEX(FTE_Allocation!$E$2:$E$201,$AB789)&amp;""),"")))</f>
        <v/>
      </c>
      <c r="F789" s="7">
        <f>IF($Z789="C",INDEX(Contracts!$Q$2:$Q$151,$AB789)&amp;"",IF($Z789="A",INDEX(Fixed_Assets!$L$2:$L$201,$AB789)&amp;"",IF($Z789="F",INDEX(Workforce!$K$2:$K$151,MATCH(INDEX(FTE_Allocation!$A$2:$A$201,$AB789),Workforce!$A$2:$A$151,0))&amp;"","")))</f>
        <v/>
      </c>
      <c r="G789" s="7">
        <f>IF($Z789="C",INDEX(Contracts!$F$2:$F$151,$AB789)&amp;" / "&amp;INDEX(Contracts!$G$2:$G$151,$AB789),IF($Z789="A",INDEX(Fixed_Assets!$E$2:$E$201,$AB789)&amp;"",IF($Z789="F","Personnel "&amp;INDEX(FTE_Allocation!$A$2:$A$201,$AB789)&amp;IF(INDEX(FTE_Allocation!$D$2:$D$201,$AB789)="PROJECT"," ("&amp;INDEX(FTE_Allocation!$E$2:$E$201,$AB789)&amp;")",""),"")))</f>
        <v/>
      </c>
      <c r="H789" s="7">
        <f>IF($Z789="C","CONTRACT",IF($Z789="A","ASSET",IF($Z789="F","WORKFORCE","")))</f>
        <v/>
      </c>
      <c r="I789" s="7">
        <f>IF($Z789="C",INDEX(Contracts!$L$2:$L$151,$AB789)&amp;"",IF($Z789="A",INDEX(Fixed_Assets!$I$2:$I$201,$AB789)&amp;"",IF($Z789="F",INDEX(Workforce!$G$2:$G$151,MATCH(INDEX(FTE_Allocation!$A$2:$A$201,$AB789),Workforce!$A$2:$A$151,0))&amp;"","")))</f>
        <v/>
      </c>
      <c r="J789" s="18">
        <f>IF($Z789="","",IF(AND(DATE($AD789,1,1)&gt;=$AE789,DATE($AD789,1,1)&lt;=$AF789),ROUND($AG789,2),0))</f>
        <v/>
      </c>
      <c r="K789" s="18">
        <f>IF($Z789="","",IF(AND(DATE($AD789,2,1)&gt;=$AE789,DATE($AD789,2,1)&lt;=$AF789),ROUND($AG789,2),0))</f>
        <v/>
      </c>
      <c r="L789" s="18">
        <f>IF($Z789="","",IF(AND(DATE($AD789,3,1)&gt;=$AE789,DATE($AD789,3,1)&lt;=$AF789),ROUND($AG789,2),0))</f>
        <v/>
      </c>
      <c r="M789" s="18">
        <f>IF($Z789="","",IF(AND(DATE($AD789,4,1)&gt;=$AE789,DATE($AD789,4,1)&lt;=$AF789),ROUND($AG789,2),0))</f>
        <v/>
      </c>
      <c r="N789" s="18">
        <f>IF($Z789="","",IF(AND(DATE($AD789,5,1)&gt;=$AE789,DATE($AD789,5,1)&lt;=$AF789),ROUND($AG789,2),0))</f>
        <v/>
      </c>
      <c r="O789" s="18">
        <f>IF($Z789="","",IF(AND(DATE($AD789,6,1)&gt;=$AE789,DATE($AD789,6,1)&lt;=$AF789),ROUND($AG789,2),0))</f>
        <v/>
      </c>
      <c r="P789" s="18">
        <f>IF($Z789="","",IF(AND(DATE($AD789,7,1)&gt;=$AE789,DATE($AD789,7,1)&lt;=$AF789),ROUND($AG789,2),0))</f>
        <v/>
      </c>
      <c r="Q789" s="18">
        <f>IF($Z789="","",IF(AND(DATE($AD789,8,1)&gt;=$AE789,DATE($AD789,8,1)&lt;=$AF789),ROUND($AG789,2),0))</f>
        <v/>
      </c>
      <c r="R789" s="18">
        <f>IF($Z789="","",IF(AND(DATE($AD789,9,1)&gt;=$AE789,DATE($AD789,9,1)&lt;=$AF789),ROUND($AG789,2),0))</f>
        <v/>
      </c>
      <c r="S789" s="18">
        <f>IF($Z789="","",IF(AND(DATE($AD789,10,1)&gt;=$AE789,DATE($AD789,10,1)&lt;=$AF789),ROUND($AG789,2),0))</f>
        <v/>
      </c>
      <c r="T789" s="18">
        <f>IF($Z789="","",IF(AND(DATE($AD789,11,1)&gt;=$AE789,DATE($AD789,11,1)&lt;=$AF789),ROUND($AG789,2),0))</f>
        <v/>
      </c>
      <c r="U789" s="18">
        <f>IF($Z789="","",IF(AND(DATE($AD789,12,1)&gt;=$AE789,DATE($AD789,12,1)&lt;=$AF789),ROUND($AG789,2),0))</f>
        <v/>
      </c>
      <c r="V789" s="7">
        <f>IF($Z789="C","Generated from "&amp;INDEX(Contracts!$A$2:$A$151,$AB789),IF($Z789="A","Generated from "&amp;INDEX(Fixed_Assets!$A$2:$A$201,$AB789),IF($Z789="F","Generated from "&amp;INDEX(FTE_Allocation!$A$2:$A$201,$AB789),"")))</f>
        <v/>
      </c>
      <c r="X789" s="19">
        <f>IF($Z789="","",SUM(J789:U789))</f>
        <v/>
      </c>
      <c r="Y789" s="20">
        <f>ROW()-1</f>
        <v/>
      </c>
      <c r="Z789" s="20">
        <f>IF($Y789&lt;=Settings!$B$4*3,"C",IF($Y789&lt;=(Settings!$B$4+Settings!$B$5)*3,"A",IF($Y789&lt;=(Settings!$B$4+Settings!$B$5+Settings!$B$6)*3,"F","")))</f>
        <v/>
      </c>
      <c r="AA789" s="20">
        <f>IF($Z789="C",$Y789,IF($Z789="A",$Y789-Settings!$B$4*3,IF($Z789="F",$Y789-(Settings!$B$4+Settings!$B$5)*3,"")))</f>
        <v/>
      </c>
      <c r="AB789" s="20">
        <f>IF($Z789="","",INT(($AA789-1)/3)+1)</f>
        <v/>
      </c>
      <c r="AC789" s="20">
        <f>IF($Z789="","",MOD($AA789-1,3)+1)</f>
        <v/>
      </c>
      <c r="AD789" s="20">
        <f>IF($Z789="","",Settings!$B$2+$AC789-1)</f>
        <v/>
      </c>
      <c r="AE789" s="21">
        <f>IF($Z789="C",DATE(YEAR(INDEX(Contracts!$J$2:$J$151,$AB789)),MONTH(INDEX(Contracts!$J$2:$J$151,$AB789)),1),IF($Z789="A",DATE(YEAR(INDEX(Fixed_Assets!$G$2:$G$201,$AB789)),MONTH(INDEX(Fixed_Assets!$G$2:$G$201,$AB789)),1),IF($Z789="F",DATE(YEAR(MAX(N(INDEX(Workforce!$I$2:$I$151,MATCH(INDEX(FTE_Allocation!$A$2:$A$201,$AB789),Workforce!$A$2:$A$151,0))),N(INDEX(FTE_Allocation!$I$2:$I$201,$AB789)))),MONTH(MAX(N(INDEX(Workforce!$I$2:$I$151,MATCH(INDEX(FTE_Allocation!$A$2:$A$201,$AB789),Workforce!$A$2:$A$151,0))),N(INDEX(FTE_Allocation!$I$2:$I$201,$AB789)))),1),"")))</f>
        <v/>
      </c>
      <c r="AF789" s="21">
        <f>IF($Z789="C",IF(INDEX(Contracts!$I$2:$I$151,$AB789)="PREPAID",EDATE(DATE(YEAR(INDEX(Contracts!$J$2:$J$151,$AB789)),MONTH(INDEX(Contracts!$J$2:$J$151,$AB789)),1),IF(INDEX(Contracts!$N$2:$N$151,$AB789)="",12,INDEX(Contracts!$N$2:$N$151,$AB789))-1),IF(INDEX(Contracts!$I$2:$I$151,$AB789)="MONTHLY",IF(INDEX(Contracts!$K$2:$K$151,$AB789)="",2958101,INDEX(Contracts!$K$2:$K$151,$AB789)),0)),IF($Z789="A",EDATE(DATE(YEAR(INDEX(Fixed_Assets!$G$2:$G$201,$AB789)),MONTH(INDEX(Fixed_Assets!$G$2:$G$201,$AB789)),1),INDEX(Fixed_Assets!$J$2:$J$201,$AB789)-1),IF($Z789="F",MIN(IF(INDEX(Workforce!$J$2:$J$151,MATCH(INDEX(FTE_Allocation!$A$2:$A$201,$AB789),Workforce!$A$2:$A$151,0))="",2958101,INDEX(Workforce!$J$2:$J$151,MATCH(INDEX(FTE_Allocation!$A$2:$A$201,$AB789),Workforce!$A$2:$A$151,0))),IF(INDEX(FTE_Allocation!$J$2:$J$201,$AB789)="",2958101,INDEX(FTE_Allocation!$J$2:$J$201,$AB789))),"")))</f>
        <v/>
      </c>
      <c r="AG789" s="19">
        <f>IF($Z789="C",IF(INDEX(Contracts!$I$2:$I$151,$AB789)="PREPAID",INDEX(Contracts!$M$2:$M$151,$AB789)/IF(INDEX(Contracts!$N$2:$N$151,$AB789)="",12,INDEX(Contracts!$N$2:$N$151,$AB789)),IF(INDEX(Contracts!$I$2:$I$151,$AB789)="MONTHLY",INDEX(Contracts!$M$2:$M$151,$AB789),0))*(1-N(INDEX(Contracts!$O$2:$O$151,$AB789))),IF($Z789="A",INDEX(Fixed_Assets!$H$2:$H$201,$AB789)/INDEX(Fixed_Assets!$J$2:$J$201,$AB789),IF($Z789="F",INDEX(Workforce!$F$2:$F$151,MATCH(INDEX(FTE_Allocation!$A$2:$A$201,$AB789),Workforce!$A$2:$A$151,0))*N(INDEX(FTE_Allocation!$F$2:$H$201,$AB789,$AC789)),"")))</f>
        <v/>
      </c>
    </row>
    <row r="790">
      <c r="A790" s="7">
        <f>IF($Z790="","",$AD790)</f>
        <v/>
      </c>
      <c r="B790" s="7">
        <f>IF($Z790="C",INDEX(Contracts!$D$2:$D$151,$AB790)&amp;"",IF($Z790="A",INDEX(Fixed_Assets!$C$2:$C$201,$AB790)&amp;"",IF($Z790="F",INDEX(Workforce!$B$2:$B$151,MATCH(INDEX(FTE_Allocation!$A$2:$A$201,$AB790),Workforce!$A$2:$A$151,0))&amp;"","")))</f>
        <v/>
      </c>
      <c r="C790" s="7">
        <f>IF($Z790="C",INDEX(Contracts!$E$2:$E$151,$AB790)&amp;"",IF($Z790="A",INDEX(Fixed_Assets!$D$2:$D$201,$AB790)&amp;"",IF($Z790="F",INDEX(FTE_Allocation!$C$2:$C$201,$AB790)&amp;"","")))</f>
        <v/>
      </c>
      <c r="D790" s="7">
        <f>IF($Z790="C",INDEX(Contracts!$B$2:$B$151,$AB790)&amp;"",IF($Z790="A",INDEX(Fixed_Assets!$B$2:$B$201,$AB790)&amp;"",IF($Z790="F",INDEX(FTE_Allocation!$B$2:$B$201,$AB790)&amp;"","")))</f>
        <v/>
      </c>
      <c r="E790" s="7">
        <f>IF($Z790="C",INDEX(Contracts!$P$2:$P$151,$AB790)&amp;"",IF($Z790="A",INDEX(Fixed_Assets!$K$2:$K$201,$AB790)&amp;"",IF($Z790="F",IF(INDEX(FTE_Allocation!$D$2:$D$201,$AB790)="PROJECT",IFERROR(INDEX(Projects!$D:$D,MATCH(INDEX(FTE_Allocation!$E$2:$E$201,$AB790),Projects!$A:$A,0))&amp;"","#PROJECT?"),INDEX(FTE_Allocation!$E$2:$E$201,$AB790)&amp;""),"")))</f>
        <v/>
      </c>
      <c r="F790" s="7">
        <f>IF($Z790="C",INDEX(Contracts!$Q$2:$Q$151,$AB790)&amp;"",IF($Z790="A",INDEX(Fixed_Assets!$L$2:$L$201,$AB790)&amp;"",IF($Z790="F",INDEX(Workforce!$K$2:$K$151,MATCH(INDEX(FTE_Allocation!$A$2:$A$201,$AB790),Workforce!$A$2:$A$151,0))&amp;"","")))</f>
        <v/>
      </c>
      <c r="G790" s="7">
        <f>IF($Z790="C",INDEX(Contracts!$F$2:$F$151,$AB790)&amp;" / "&amp;INDEX(Contracts!$G$2:$G$151,$AB790),IF($Z790="A",INDEX(Fixed_Assets!$E$2:$E$201,$AB790)&amp;"",IF($Z790="F","Personnel "&amp;INDEX(FTE_Allocation!$A$2:$A$201,$AB790)&amp;IF(INDEX(FTE_Allocation!$D$2:$D$201,$AB790)="PROJECT"," ("&amp;INDEX(FTE_Allocation!$E$2:$E$201,$AB790)&amp;")",""),"")))</f>
        <v/>
      </c>
      <c r="H790" s="7">
        <f>IF($Z790="C","CONTRACT",IF($Z790="A","ASSET",IF($Z790="F","WORKFORCE","")))</f>
        <v/>
      </c>
      <c r="I790" s="7">
        <f>IF($Z790="C",INDEX(Contracts!$L$2:$L$151,$AB790)&amp;"",IF($Z790="A",INDEX(Fixed_Assets!$I$2:$I$201,$AB790)&amp;"",IF($Z790="F",INDEX(Workforce!$G$2:$G$151,MATCH(INDEX(FTE_Allocation!$A$2:$A$201,$AB790),Workforce!$A$2:$A$151,0))&amp;"","")))</f>
        <v/>
      </c>
      <c r="J790" s="18">
        <f>IF($Z790="","",IF(AND(DATE($AD790,1,1)&gt;=$AE790,DATE($AD790,1,1)&lt;=$AF790),ROUND($AG790,2),0))</f>
        <v/>
      </c>
      <c r="K790" s="18">
        <f>IF($Z790="","",IF(AND(DATE($AD790,2,1)&gt;=$AE790,DATE($AD790,2,1)&lt;=$AF790),ROUND($AG790,2),0))</f>
        <v/>
      </c>
      <c r="L790" s="18">
        <f>IF($Z790="","",IF(AND(DATE($AD790,3,1)&gt;=$AE790,DATE($AD790,3,1)&lt;=$AF790),ROUND($AG790,2),0))</f>
        <v/>
      </c>
      <c r="M790" s="18">
        <f>IF($Z790="","",IF(AND(DATE($AD790,4,1)&gt;=$AE790,DATE($AD790,4,1)&lt;=$AF790),ROUND($AG790,2),0))</f>
        <v/>
      </c>
      <c r="N790" s="18">
        <f>IF($Z790="","",IF(AND(DATE($AD790,5,1)&gt;=$AE790,DATE($AD790,5,1)&lt;=$AF790),ROUND($AG790,2),0))</f>
        <v/>
      </c>
      <c r="O790" s="18">
        <f>IF($Z790="","",IF(AND(DATE($AD790,6,1)&gt;=$AE790,DATE($AD790,6,1)&lt;=$AF790),ROUND($AG790,2),0))</f>
        <v/>
      </c>
      <c r="P790" s="18">
        <f>IF($Z790="","",IF(AND(DATE($AD790,7,1)&gt;=$AE790,DATE($AD790,7,1)&lt;=$AF790),ROUND($AG790,2),0))</f>
        <v/>
      </c>
      <c r="Q790" s="18">
        <f>IF($Z790="","",IF(AND(DATE($AD790,8,1)&gt;=$AE790,DATE($AD790,8,1)&lt;=$AF790),ROUND($AG790,2),0))</f>
        <v/>
      </c>
      <c r="R790" s="18">
        <f>IF($Z790="","",IF(AND(DATE($AD790,9,1)&gt;=$AE790,DATE($AD790,9,1)&lt;=$AF790),ROUND($AG790,2),0))</f>
        <v/>
      </c>
      <c r="S790" s="18">
        <f>IF($Z790="","",IF(AND(DATE($AD790,10,1)&gt;=$AE790,DATE($AD790,10,1)&lt;=$AF790),ROUND($AG790,2),0))</f>
        <v/>
      </c>
      <c r="T790" s="18">
        <f>IF($Z790="","",IF(AND(DATE($AD790,11,1)&gt;=$AE790,DATE($AD790,11,1)&lt;=$AF790),ROUND($AG790,2),0))</f>
        <v/>
      </c>
      <c r="U790" s="18">
        <f>IF($Z790="","",IF(AND(DATE($AD790,12,1)&gt;=$AE790,DATE($AD790,12,1)&lt;=$AF790),ROUND($AG790,2),0))</f>
        <v/>
      </c>
      <c r="V790" s="7">
        <f>IF($Z790="C","Generated from "&amp;INDEX(Contracts!$A$2:$A$151,$AB790),IF($Z790="A","Generated from "&amp;INDEX(Fixed_Assets!$A$2:$A$201,$AB790),IF($Z790="F","Generated from "&amp;INDEX(FTE_Allocation!$A$2:$A$201,$AB790),"")))</f>
        <v/>
      </c>
      <c r="X790" s="19">
        <f>IF($Z790="","",SUM(J790:U790))</f>
        <v/>
      </c>
      <c r="Y790" s="20">
        <f>ROW()-1</f>
        <v/>
      </c>
      <c r="Z790" s="20">
        <f>IF($Y790&lt;=Settings!$B$4*3,"C",IF($Y790&lt;=(Settings!$B$4+Settings!$B$5)*3,"A",IF($Y790&lt;=(Settings!$B$4+Settings!$B$5+Settings!$B$6)*3,"F","")))</f>
        <v/>
      </c>
      <c r="AA790" s="20">
        <f>IF($Z790="C",$Y790,IF($Z790="A",$Y790-Settings!$B$4*3,IF($Z790="F",$Y790-(Settings!$B$4+Settings!$B$5)*3,"")))</f>
        <v/>
      </c>
      <c r="AB790" s="20">
        <f>IF($Z790="","",INT(($AA790-1)/3)+1)</f>
        <v/>
      </c>
      <c r="AC790" s="20">
        <f>IF($Z790="","",MOD($AA790-1,3)+1)</f>
        <v/>
      </c>
      <c r="AD790" s="20">
        <f>IF($Z790="","",Settings!$B$2+$AC790-1)</f>
        <v/>
      </c>
      <c r="AE790" s="21">
        <f>IF($Z790="C",DATE(YEAR(INDEX(Contracts!$J$2:$J$151,$AB790)),MONTH(INDEX(Contracts!$J$2:$J$151,$AB790)),1),IF($Z790="A",DATE(YEAR(INDEX(Fixed_Assets!$G$2:$G$201,$AB790)),MONTH(INDEX(Fixed_Assets!$G$2:$G$201,$AB790)),1),IF($Z790="F",DATE(YEAR(MAX(N(INDEX(Workforce!$I$2:$I$151,MATCH(INDEX(FTE_Allocation!$A$2:$A$201,$AB790),Workforce!$A$2:$A$151,0))),N(INDEX(FTE_Allocation!$I$2:$I$201,$AB790)))),MONTH(MAX(N(INDEX(Workforce!$I$2:$I$151,MATCH(INDEX(FTE_Allocation!$A$2:$A$201,$AB790),Workforce!$A$2:$A$151,0))),N(INDEX(FTE_Allocation!$I$2:$I$201,$AB790)))),1),"")))</f>
        <v/>
      </c>
      <c r="AF790" s="21">
        <f>IF($Z790="C",IF(INDEX(Contracts!$I$2:$I$151,$AB790)="PREPAID",EDATE(DATE(YEAR(INDEX(Contracts!$J$2:$J$151,$AB790)),MONTH(INDEX(Contracts!$J$2:$J$151,$AB790)),1),IF(INDEX(Contracts!$N$2:$N$151,$AB790)="",12,INDEX(Contracts!$N$2:$N$151,$AB790))-1),IF(INDEX(Contracts!$I$2:$I$151,$AB790)="MONTHLY",IF(INDEX(Contracts!$K$2:$K$151,$AB790)="",2958101,INDEX(Contracts!$K$2:$K$151,$AB790)),0)),IF($Z790="A",EDATE(DATE(YEAR(INDEX(Fixed_Assets!$G$2:$G$201,$AB790)),MONTH(INDEX(Fixed_Assets!$G$2:$G$201,$AB790)),1),INDEX(Fixed_Assets!$J$2:$J$201,$AB790)-1),IF($Z790="F",MIN(IF(INDEX(Workforce!$J$2:$J$151,MATCH(INDEX(FTE_Allocation!$A$2:$A$201,$AB790),Workforce!$A$2:$A$151,0))="",2958101,INDEX(Workforce!$J$2:$J$151,MATCH(INDEX(FTE_Allocation!$A$2:$A$201,$AB790),Workforce!$A$2:$A$151,0))),IF(INDEX(FTE_Allocation!$J$2:$J$201,$AB790)="",2958101,INDEX(FTE_Allocation!$J$2:$J$201,$AB790))),"")))</f>
        <v/>
      </c>
      <c r="AG790" s="19">
        <f>IF($Z790="C",IF(INDEX(Contracts!$I$2:$I$151,$AB790)="PREPAID",INDEX(Contracts!$M$2:$M$151,$AB790)/IF(INDEX(Contracts!$N$2:$N$151,$AB790)="",12,INDEX(Contracts!$N$2:$N$151,$AB790)),IF(INDEX(Contracts!$I$2:$I$151,$AB790)="MONTHLY",INDEX(Contracts!$M$2:$M$151,$AB790),0))*(1-N(INDEX(Contracts!$O$2:$O$151,$AB790))),IF($Z790="A",INDEX(Fixed_Assets!$H$2:$H$201,$AB790)/INDEX(Fixed_Assets!$J$2:$J$201,$AB790),IF($Z790="F",INDEX(Workforce!$F$2:$F$151,MATCH(INDEX(FTE_Allocation!$A$2:$A$201,$AB790),Workforce!$A$2:$A$151,0))*N(INDEX(FTE_Allocation!$F$2:$H$201,$AB790,$AC790)),"")))</f>
        <v/>
      </c>
    </row>
    <row r="791">
      <c r="A791" s="7">
        <f>IF($Z791="","",$AD791)</f>
        <v/>
      </c>
      <c r="B791" s="7">
        <f>IF($Z791="C",INDEX(Contracts!$D$2:$D$151,$AB791)&amp;"",IF($Z791="A",INDEX(Fixed_Assets!$C$2:$C$201,$AB791)&amp;"",IF($Z791="F",INDEX(Workforce!$B$2:$B$151,MATCH(INDEX(FTE_Allocation!$A$2:$A$201,$AB791),Workforce!$A$2:$A$151,0))&amp;"","")))</f>
        <v/>
      </c>
      <c r="C791" s="7">
        <f>IF($Z791="C",INDEX(Contracts!$E$2:$E$151,$AB791)&amp;"",IF($Z791="A",INDEX(Fixed_Assets!$D$2:$D$201,$AB791)&amp;"",IF($Z791="F",INDEX(FTE_Allocation!$C$2:$C$201,$AB791)&amp;"","")))</f>
        <v/>
      </c>
      <c r="D791" s="7">
        <f>IF($Z791="C",INDEX(Contracts!$B$2:$B$151,$AB791)&amp;"",IF($Z791="A",INDEX(Fixed_Assets!$B$2:$B$201,$AB791)&amp;"",IF($Z791="F",INDEX(FTE_Allocation!$B$2:$B$201,$AB791)&amp;"","")))</f>
        <v/>
      </c>
      <c r="E791" s="7">
        <f>IF($Z791="C",INDEX(Contracts!$P$2:$P$151,$AB791)&amp;"",IF($Z791="A",INDEX(Fixed_Assets!$K$2:$K$201,$AB791)&amp;"",IF($Z791="F",IF(INDEX(FTE_Allocation!$D$2:$D$201,$AB791)="PROJECT",IFERROR(INDEX(Projects!$D:$D,MATCH(INDEX(FTE_Allocation!$E$2:$E$201,$AB791),Projects!$A:$A,0))&amp;"","#PROJECT?"),INDEX(FTE_Allocation!$E$2:$E$201,$AB791)&amp;""),"")))</f>
        <v/>
      </c>
      <c r="F791" s="7">
        <f>IF($Z791="C",INDEX(Contracts!$Q$2:$Q$151,$AB791)&amp;"",IF($Z791="A",INDEX(Fixed_Assets!$L$2:$L$201,$AB791)&amp;"",IF($Z791="F",INDEX(Workforce!$K$2:$K$151,MATCH(INDEX(FTE_Allocation!$A$2:$A$201,$AB791),Workforce!$A$2:$A$151,0))&amp;"","")))</f>
        <v/>
      </c>
      <c r="G791" s="7">
        <f>IF($Z791="C",INDEX(Contracts!$F$2:$F$151,$AB791)&amp;" / "&amp;INDEX(Contracts!$G$2:$G$151,$AB791),IF($Z791="A",INDEX(Fixed_Assets!$E$2:$E$201,$AB791)&amp;"",IF($Z791="F","Personnel "&amp;INDEX(FTE_Allocation!$A$2:$A$201,$AB791)&amp;IF(INDEX(FTE_Allocation!$D$2:$D$201,$AB791)="PROJECT"," ("&amp;INDEX(FTE_Allocation!$E$2:$E$201,$AB791)&amp;")",""),"")))</f>
        <v/>
      </c>
      <c r="H791" s="7">
        <f>IF($Z791="C","CONTRACT",IF($Z791="A","ASSET",IF($Z791="F","WORKFORCE","")))</f>
        <v/>
      </c>
      <c r="I791" s="7">
        <f>IF($Z791="C",INDEX(Contracts!$L$2:$L$151,$AB791)&amp;"",IF($Z791="A",INDEX(Fixed_Assets!$I$2:$I$201,$AB791)&amp;"",IF($Z791="F",INDEX(Workforce!$G$2:$G$151,MATCH(INDEX(FTE_Allocation!$A$2:$A$201,$AB791),Workforce!$A$2:$A$151,0))&amp;"","")))</f>
        <v/>
      </c>
      <c r="J791" s="18">
        <f>IF($Z791="","",IF(AND(DATE($AD791,1,1)&gt;=$AE791,DATE($AD791,1,1)&lt;=$AF791),ROUND($AG791,2),0))</f>
        <v/>
      </c>
      <c r="K791" s="18">
        <f>IF($Z791="","",IF(AND(DATE($AD791,2,1)&gt;=$AE791,DATE($AD791,2,1)&lt;=$AF791),ROUND($AG791,2),0))</f>
        <v/>
      </c>
      <c r="L791" s="18">
        <f>IF($Z791="","",IF(AND(DATE($AD791,3,1)&gt;=$AE791,DATE($AD791,3,1)&lt;=$AF791),ROUND($AG791,2),0))</f>
        <v/>
      </c>
      <c r="M791" s="18">
        <f>IF($Z791="","",IF(AND(DATE($AD791,4,1)&gt;=$AE791,DATE($AD791,4,1)&lt;=$AF791),ROUND($AG791,2),0))</f>
        <v/>
      </c>
      <c r="N791" s="18">
        <f>IF($Z791="","",IF(AND(DATE($AD791,5,1)&gt;=$AE791,DATE($AD791,5,1)&lt;=$AF791),ROUND($AG791,2),0))</f>
        <v/>
      </c>
      <c r="O791" s="18">
        <f>IF($Z791="","",IF(AND(DATE($AD791,6,1)&gt;=$AE791,DATE($AD791,6,1)&lt;=$AF791),ROUND($AG791,2),0))</f>
        <v/>
      </c>
      <c r="P791" s="18">
        <f>IF($Z791="","",IF(AND(DATE($AD791,7,1)&gt;=$AE791,DATE($AD791,7,1)&lt;=$AF791),ROUND($AG791,2),0))</f>
        <v/>
      </c>
      <c r="Q791" s="18">
        <f>IF($Z791="","",IF(AND(DATE($AD791,8,1)&gt;=$AE791,DATE($AD791,8,1)&lt;=$AF791),ROUND($AG791,2),0))</f>
        <v/>
      </c>
      <c r="R791" s="18">
        <f>IF($Z791="","",IF(AND(DATE($AD791,9,1)&gt;=$AE791,DATE($AD791,9,1)&lt;=$AF791),ROUND($AG791,2),0))</f>
        <v/>
      </c>
      <c r="S791" s="18">
        <f>IF($Z791="","",IF(AND(DATE($AD791,10,1)&gt;=$AE791,DATE($AD791,10,1)&lt;=$AF791),ROUND($AG791,2),0))</f>
        <v/>
      </c>
      <c r="T791" s="18">
        <f>IF($Z791="","",IF(AND(DATE($AD791,11,1)&gt;=$AE791,DATE($AD791,11,1)&lt;=$AF791),ROUND($AG791,2),0))</f>
        <v/>
      </c>
      <c r="U791" s="18">
        <f>IF($Z791="","",IF(AND(DATE($AD791,12,1)&gt;=$AE791,DATE($AD791,12,1)&lt;=$AF791),ROUND($AG791,2),0))</f>
        <v/>
      </c>
      <c r="V791" s="7">
        <f>IF($Z791="C","Generated from "&amp;INDEX(Contracts!$A$2:$A$151,$AB791),IF($Z791="A","Generated from "&amp;INDEX(Fixed_Assets!$A$2:$A$201,$AB791),IF($Z791="F","Generated from "&amp;INDEX(FTE_Allocation!$A$2:$A$201,$AB791),"")))</f>
        <v/>
      </c>
      <c r="X791" s="19">
        <f>IF($Z791="","",SUM(J791:U791))</f>
        <v/>
      </c>
      <c r="Y791" s="20">
        <f>ROW()-1</f>
        <v/>
      </c>
      <c r="Z791" s="20">
        <f>IF($Y791&lt;=Settings!$B$4*3,"C",IF($Y791&lt;=(Settings!$B$4+Settings!$B$5)*3,"A",IF($Y791&lt;=(Settings!$B$4+Settings!$B$5+Settings!$B$6)*3,"F","")))</f>
        <v/>
      </c>
      <c r="AA791" s="20">
        <f>IF($Z791="C",$Y791,IF($Z791="A",$Y791-Settings!$B$4*3,IF($Z791="F",$Y791-(Settings!$B$4+Settings!$B$5)*3,"")))</f>
        <v/>
      </c>
      <c r="AB791" s="20">
        <f>IF($Z791="","",INT(($AA791-1)/3)+1)</f>
        <v/>
      </c>
      <c r="AC791" s="20">
        <f>IF($Z791="","",MOD($AA791-1,3)+1)</f>
        <v/>
      </c>
      <c r="AD791" s="20">
        <f>IF($Z791="","",Settings!$B$2+$AC791-1)</f>
        <v/>
      </c>
      <c r="AE791" s="21">
        <f>IF($Z791="C",DATE(YEAR(INDEX(Contracts!$J$2:$J$151,$AB791)),MONTH(INDEX(Contracts!$J$2:$J$151,$AB791)),1),IF($Z791="A",DATE(YEAR(INDEX(Fixed_Assets!$G$2:$G$201,$AB791)),MONTH(INDEX(Fixed_Assets!$G$2:$G$201,$AB791)),1),IF($Z791="F",DATE(YEAR(MAX(N(INDEX(Workforce!$I$2:$I$151,MATCH(INDEX(FTE_Allocation!$A$2:$A$201,$AB791),Workforce!$A$2:$A$151,0))),N(INDEX(FTE_Allocation!$I$2:$I$201,$AB791)))),MONTH(MAX(N(INDEX(Workforce!$I$2:$I$151,MATCH(INDEX(FTE_Allocation!$A$2:$A$201,$AB791),Workforce!$A$2:$A$151,0))),N(INDEX(FTE_Allocation!$I$2:$I$201,$AB791)))),1),"")))</f>
        <v/>
      </c>
      <c r="AF791" s="21">
        <f>IF($Z791="C",IF(INDEX(Contracts!$I$2:$I$151,$AB791)="PREPAID",EDATE(DATE(YEAR(INDEX(Contracts!$J$2:$J$151,$AB791)),MONTH(INDEX(Contracts!$J$2:$J$151,$AB791)),1),IF(INDEX(Contracts!$N$2:$N$151,$AB791)="",12,INDEX(Contracts!$N$2:$N$151,$AB791))-1),IF(INDEX(Contracts!$I$2:$I$151,$AB791)="MONTHLY",IF(INDEX(Contracts!$K$2:$K$151,$AB791)="",2958101,INDEX(Contracts!$K$2:$K$151,$AB791)),0)),IF($Z791="A",EDATE(DATE(YEAR(INDEX(Fixed_Assets!$G$2:$G$201,$AB791)),MONTH(INDEX(Fixed_Assets!$G$2:$G$201,$AB791)),1),INDEX(Fixed_Assets!$J$2:$J$201,$AB791)-1),IF($Z791="F",MIN(IF(INDEX(Workforce!$J$2:$J$151,MATCH(INDEX(FTE_Allocation!$A$2:$A$201,$AB791),Workforce!$A$2:$A$151,0))="",2958101,INDEX(Workforce!$J$2:$J$151,MATCH(INDEX(FTE_Allocation!$A$2:$A$201,$AB791),Workforce!$A$2:$A$151,0))),IF(INDEX(FTE_Allocation!$J$2:$J$201,$AB791)="",2958101,INDEX(FTE_Allocation!$J$2:$J$201,$AB791))),"")))</f>
        <v/>
      </c>
      <c r="AG791" s="19">
        <f>IF($Z791="C",IF(INDEX(Contracts!$I$2:$I$151,$AB791)="PREPAID",INDEX(Contracts!$M$2:$M$151,$AB791)/IF(INDEX(Contracts!$N$2:$N$151,$AB791)="",12,INDEX(Contracts!$N$2:$N$151,$AB791)),IF(INDEX(Contracts!$I$2:$I$151,$AB791)="MONTHLY",INDEX(Contracts!$M$2:$M$151,$AB791),0))*(1-N(INDEX(Contracts!$O$2:$O$151,$AB791))),IF($Z791="A",INDEX(Fixed_Assets!$H$2:$H$201,$AB791)/INDEX(Fixed_Assets!$J$2:$J$201,$AB791),IF($Z791="F",INDEX(Workforce!$F$2:$F$151,MATCH(INDEX(FTE_Allocation!$A$2:$A$201,$AB791),Workforce!$A$2:$A$151,0))*N(INDEX(FTE_Allocation!$F$2:$H$201,$AB791,$AC791)),"")))</f>
        <v/>
      </c>
    </row>
    <row r="792">
      <c r="A792" s="7">
        <f>IF($Z792="","",$AD792)</f>
        <v/>
      </c>
      <c r="B792" s="7">
        <f>IF($Z792="C",INDEX(Contracts!$D$2:$D$151,$AB792)&amp;"",IF($Z792="A",INDEX(Fixed_Assets!$C$2:$C$201,$AB792)&amp;"",IF($Z792="F",INDEX(Workforce!$B$2:$B$151,MATCH(INDEX(FTE_Allocation!$A$2:$A$201,$AB792),Workforce!$A$2:$A$151,0))&amp;"","")))</f>
        <v/>
      </c>
      <c r="C792" s="7">
        <f>IF($Z792="C",INDEX(Contracts!$E$2:$E$151,$AB792)&amp;"",IF($Z792="A",INDEX(Fixed_Assets!$D$2:$D$201,$AB792)&amp;"",IF($Z792="F",INDEX(FTE_Allocation!$C$2:$C$201,$AB792)&amp;"","")))</f>
        <v/>
      </c>
      <c r="D792" s="7">
        <f>IF($Z792="C",INDEX(Contracts!$B$2:$B$151,$AB792)&amp;"",IF($Z792="A",INDEX(Fixed_Assets!$B$2:$B$201,$AB792)&amp;"",IF($Z792="F",INDEX(FTE_Allocation!$B$2:$B$201,$AB792)&amp;"","")))</f>
        <v/>
      </c>
      <c r="E792" s="7">
        <f>IF($Z792="C",INDEX(Contracts!$P$2:$P$151,$AB792)&amp;"",IF($Z792="A",INDEX(Fixed_Assets!$K$2:$K$201,$AB792)&amp;"",IF($Z792="F",IF(INDEX(FTE_Allocation!$D$2:$D$201,$AB792)="PROJECT",IFERROR(INDEX(Projects!$D:$D,MATCH(INDEX(FTE_Allocation!$E$2:$E$201,$AB792),Projects!$A:$A,0))&amp;"","#PROJECT?"),INDEX(FTE_Allocation!$E$2:$E$201,$AB792)&amp;""),"")))</f>
        <v/>
      </c>
      <c r="F792" s="7">
        <f>IF($Z792="C",INDEX(Contracts!$Q$2:$Q$151,$AB792)&amp;"",IF($Z792="A",INDEX(Fixed_Assets!$L$2:$L$201,$AB792)&amp;"",IF($Z792="F",INDEX(Workforce!$K$2:$K$151,MATCH(INDEX(FTE_Allocation!$A$2:$A$201,$AB792),Workforce!$A$2:$A$151,0))&amp;"","")))</f>
        <v/>
      </c>
      <c r="G792" s="7">
        <f>IF($Z792="C",INDEX(Contracts!$F$2:$F$151,$AB792)&amp;" / "&amp;INDEX(Contracts!$G$2:$G$151,$AB792),IF($Z792="A",INDEX(Fixed_Assets!$E$2:$E$201,$AB792)&amp;"",IF($Z792="F","Personnel "&amp;INDEX(FTE_Allocation!$A$2:$A$201,$AB792)&amp;IF(INDEX(FTE_Allocation!$D$2:$D$201,$AB792)="PROJECT"," ("&amp;INDEX(FTE_Allocation!$E$2:$E$201,$AB792)&amp;")",""),"")))</f>
        <v/>
      </c>
      <c r="H792" s="7">
        <f>IF($Z792="C","CONTRACT",IF($Z792="A","ASSET",IF($Z792="F","WORKFORCE","")))</f>
        <v/>
      </c>
      <c r="I792" s="7">
        <f>IF($Z792="C",INDEX(Contracts!$L$2:$L$151,$AB792)&amp;"",IF($Z792="A",INDEX(Fixed_Assets!$I$2:$I$201,$AB792)&amp;"",IF($Z792="F",INDEX(Workforce!$G$2:$G$151,MATCH(INDEX(FTE_Allocation!$A$2:$A$201,$AB792),Workforce!$A$2:$A$151,0))&amp;"","")))</f>
        <v/>
      </c>
      <c r="J792" s="18">
        <f>IF($Z792="","",IF(AND(DATE($AD792,1,1)&gt;=$AE792,DATE($AD792,1,1)&lt;=$AF792),ROUND($AG792,2),0))</f>
        <v/>
      </c>
      <c r="K792" s="18">
        <f>IF($Z792="","",IF(AND(DATE($AD792,2,1)&gt;=$AE792,DATE($AD792,2,1)&lt;=$AF792),ROUND($AG792,2),0))</f>
        <v/>
      </c>
      <c r="L792" s="18">
        <f>IF($Z792="","",IF(AND(DATE($AD792,3,1)&gt;=$AE792,DATE($AD792,3,1)&lt;=$AF792),ROUND($AG792,2),0))</f>
        <v/>
      </c>
      <c r="M792" s="18">
        <f>IF($Z792="","",IF(AND(DATE($AD792,4,1)&gt;=$AE792,DATE($AD792,4,1)&lt;=$AF792),ROUND($AG792,2),0))</f>
        <v/>
      </c>
      <c r="N792" s="18">
        <f>IF($Z792="","",IF(AND(DATE($AD792,5,1)&gt;=$AE792,DATE($AD792,5,1)&lt;=$AF792),ROUND($AG792,2),0))</f>
        <v/>
      </c>
      <c r="O792" s="18">
        <f>IF($Z792="","",IF(AND(DATE($AD792,6,1)&gt;=$AE792,DATE($AD792,6,1)&lt;=$AF792),ROUND($AG792,2),0))</f>
        <v/>
      </c>
      <c r="P792" s="18">
        <f>IF($Z792="","",IF(AND(DATE($AD792,7,1)&gt;=$AE792,DATE($AD792,7,1)&lt;=$AF792),ROUND($AG792,2),0))</f>
        <v/>
      </c>
      <c r="Q792" s="18">
        <f>IF($Z792="","",IF(AND(DATE($AD792,8,1)&gt;=$AE792,DATE($AD792,8,1)&lt;=$AF792),ROUND($AG792,2),0))</f>
        <v/>
      </c>
      <c r="R792" s="18">
        <f>IF($Z792="","",IF(AND(DATE($AD792,9,1)&gt;=$AE792,DATE($AD792,9,1)&lt;=$AF792),ROUND($AG792,2),0))</f>
        <v/>
      </c>
      <c r="S792" s="18">
        <f>IF($Z792="","",IF(AND(DATE($AD792,10,1)&gt;=$AE792,DATE($AD792,10,1)&lt;=$AF792),ROUND($AG792,2),0))</f>
        <v/>
      </c>
      <c r="T792" s="18">
        <f>IF($Z792="","",IF(AND(DATE($AD792,11,1)&gt;=$AE792,DATE($AD792,11,1)&lt;=$AF792),ROUND($AG792,2),0))</f>
        <v/>
      </c>
      <c r="U792" s="18">
        <f>IF($Z792="","",IF(AND(DATE($AD792,12,1)&gt;=$AE792,DATE($AD792,12,1)&lt;=$AF792),ROUND($AG792,2),0))</f>
        <v/>
      </c>
      <c r="V792" s="7">
        <f>IF($Z792="C","Generated from "&amp;INDEX(Contracts!$A$2:$A$151,$AB792),IF($Z792="A","Generated from "&amp;INDEX(Fixed_Assets!$A$2:$A$201,$AB792),IF($Z792="F","Generated from "&amp;INDEX(FTE_Allocation!$A$2:$A$201,$AB792),"")))</f>
        <v/>
      </c>
      <c r="X792" s="19">
        <f>IF($Z792="","",SUM(J792:U792))</f>
        <v/>
      </c>
      <c r="Y792" s="20">
        <f>ROW()-1</f>
        <v/>
      </c>
      <c r="Z792" s="20">
        <f>IF($Y792&lt;=Settings!$B$4*3,"C",IF($Y792&lt;=(Settings!$B$4+Settings!$B$5)*3,"A",IF($Y792&lt;=(Settings!$B$4+Settings!$B$5+Settings!$B$6)*3,"F","")))</f>
        <v/>
      </c>
      <c r="AA792" s="20">
        <f>IF($Z792="C",$Y792,IF($Z792="A",$Y792-Settings!$B$4*3,IF($Z792="F",$Y792-(Settings!$B$4+Settings!$B$5)*3,"")))</f>
        <v/>
      </c>
      <c r="AB792" s="20">
        <f>IF($Z792="","",INT(($AA792-1)/3)+1)</f>
        <v/>
      </c>
      <c r="AC792" s="20">
        <f>IF($Z792="","",MOD($AA792-1,3)+1)</f>
        <v/>
      </c>
      <c r="AD792" s="20">
        <f>IF($Z792="","",Settings!$B$2+$AC792-1)</f>
        <v/>
      </c>
      <c r="AE792" s="21">
        <f>IF($Z792="C",DATE(YEAR(INDEX(Contracts!$J$2:$J$151,$AB792)),MONTH(INDEX(Contracts!$J$2:$J$151,$AB792)),1),IF($Z792="A",DATE(YEAR(INDEX(Fixed_Assets!$G$2:$G$201,$AB792)),MONTH(INDEX(Fixed_Assets!$G$2:$G$201,$AB792)),1),IF($Z792="F",DATE(YEAR(MAX(N(INDEX(Workforce!$I$2:$I$151,MATCH(INDEX(FTE_Allocation!$A$2:$A$201,$AB792),Workforce!$A$2:$A$151,0))),N(INDEX(FTE_Allocation!$I$2:$I$201,$AB792)))),MONTH(MAX(N(INDEX(Workforce!$I$2:$I$151,MATCH(INDEX(FTE_Allocation!$A$2:$A$201,$AB792),Workforce!$A$2:$A$151,0))),N(INDEX(FTE_Allocation!$I$2:$I$201,$AB792)))),1),"")))</f>
        <v/>
      </c>
      <c r="AF792" s="21">
        <f>IF($Z792="C",IF(INDEX(Contracts!$I$2:$I$151,$AB792)="PREPAID",EDATE(DATE(YEAR(INDEX(Contracts!$J$2:$J$151,$AB792)),MONTH(INDEX(Contracts!$J$2:$J$151,$AB792)),1),IF(INDEX(Contracts!$N$2:$N$151,$AB792)="",12,INDEX(Contracts!$N$2:$N$151,$AB792))-1),IF(INDEX(Contracts!$I$2:$I$151,$AB792)="MONTHLY",IF(INDEX(Contracts!$K$2:$K$151,$AB792)="",2958101,INDEX(Contracts!$K$2:$K$151,$AB792)),0)),IF($Z792="A",EDATE(DATE(YEAR(INDEX(Fixed_Assets!$G$2:$G$201,$AB792)),MONTH(INDEX(Fixed_Assets!$G$2:$G$201,$AB792)),1),INDEX(Fixed_Assets!$J$2:$J$201,$AB792)-1),IF($Z792="F",MIN(IF(INDEX(Workforce!$J$2:$J$151,MATCH(INDEX(FTE_Allocation!$A$2:$A$201,$AB792),Workforce!$A$2:$A$151,0))="",2958101,INDEX(Workforce!$J$2:$J$151,MATCH(INDEX(FTE_Allocation!$A$2:$A$201,$AB792),Workforce!$A$2:$A$151,0))),IF(INDEX(FTE_Allocation!$J$2:$J$201,$AB792)="",2958101,INDEX(FTE_Allocation!$J$2:$J$201,$AB792))),"")))</f>
        <v/>
      </c>
      <c r="AG792" s="19">
        <f>IF($Z792="C",IF(INDEX(Contracts!$I$2:$I$151,$AB792)="PREPAID",INDEX(Contracts!$M$2:$M$151,$AB792)/IF(INDEX(Contracts!$N$2:$N$151,$AB792)="",12,INDEX(Contracts!$N$2:$N$151,$AB792)),IF(INDEX(Contracts!$I$2:$I$151,$AB792)="MONTHLY",INDEX(Contracts!$M$2:$M$151,$AB792),0))*(1-N(INDEX(Contracts!$O$2:$O$151,$AB792))),IF($Z792="A",INDEX(Fixed_Assets!$H$2:$H$201,$AB792)/INDEX(Fixed_Assets!$J$2:$J$201,$AB792),IF($Z792="F",INDEX(Workforce!$F$2:$F$151,MATCH(INDEX(FTE_Allocation!$A$2:$A$201,$AB792),Workforce!$A$2:$A$151,0))*N(INDEX(FTE_Allocation!$F$2:$H$201,$AB792,$AC792)),"")))</f>
        <v/>
      </c>
    </row>
    <row r="793">
      <c r="A793" s="7">
        <f>IF($Z793="","",$AD793)</f>
        <v/>
      </c>
      <c r="B793" s="7">
        <f>IF($Z793="C",INDEX(Contracts!$D$2:$D$151,$AB793)&amp;"",IF($Z793="A",INDEX(Fixed_Assets!$C$2:$C$201,$AB793)&amp;"",IF($Z793="F",INDEX(Workforce!$B$2:$B$151,MATCH(INDEX(FTE_Allocation!$A$2:$A$201,$AB793),Workforce!$A$2:$A$151,0))&amp;"","")))</f>
        <v/>
      </c>
      <c r="C793" s="7">
        <f>IF($Z793="C",INDEX(Contracts!$E$2:$E$151,$AB793)&amp;"",IF($Z793="A",INDEX(Fixed_Assets!$D$2:$D$201,$AB793)&amp;"",IF($Z793="F",INDEX(FTE_Allocation!$C$2:$C$201,$AB793)&amp;"","")))</f>
        <v/>
      </c>
      <c r="D793" s="7">
        <f>IF($Z793="C",INDEX(Contracts!$B$2:$B$151,$AB793)&amp;"",IF($Z793="A",INDEX(Fixed_Assets!$B$2:$B$201,$AB793)&amp;"",IF($Z793="F",INDEX(FTE_Allocation!$B$2:$B$201,$AB793)&amp;"","")))</f>
        <v/>
      </c>
      <c r="E793" s="7">
        <f>IF($Z793="C",INDEX(Contracts!$P$2:$P$151,$AB793)&amp;"",IF($Z793="A",INDEX(Fixed_Assets!$K$2:$K$201,$AB793)&amp;"",IF($Z793="F",IF(INDEX(FTE_Allocation!$D$2:$D$201,$AB793)="PROJECT",IFERROR(INDEX(Projects!$D:$D,MATCH(INDEX(FTE_Allocation!$E$2:$E$201,$AB793),Projects!$A:$A,0))&amp;"","#PROJECT?"),INDEX(FTE_Allocation!$E$2:$E$201,$AB793)&amp;""),"")))</f>
        <v/>
      </c>
      <c r="F793" s="7">
        <f>IF($Z793="C",INDEX(Contracts!$Q$2:$Q$151,$AB793)&amp;"",IF($Z793="A",INDEX(Fixed_Assets!$L$2:$L$201,$AB793)&amp;"",IF($Z793="F",INDEX(Workforce!$K$2:$K$151,MATCH(INDEX(FTE_Allocation!$A$2:$A$201,$AB793),Workforce!$A$2:$A$151,0))&amp;"","")))</f>
        <v/>
      </c>
      <c r="G793" s="7">
        <f>IF($Z793="C",INDEX(Contracts!$F$2:$F$151,$AB793)&amp;" / "&amp;INDEX(Contracts!$G$2:$G$151,$AB793),IF($Z793="A",INDEX(Fixed_Assets!$E$2:$E$201,$AB793)&amp;"",IF($Z793="F","Personnel "&amp;INDEX(FTE_Allocation!$A$2:$A$201,$AB793)&amp;IF(INDEX(FTE_Allocation!$D$2:$D$201,$AB793)="PROJECT"," ("&amp;INDEX(FTE_Allocation!$E$2:$E$201,$AB793)&amp;")",""),"")))</f>
        <v/>
      </c>
      <c r="H793" s="7">
        <f>IF($Z793="C","CONTRACT",IF($Z793="A","ASSET",IF($Z793="F","WORKFORCE","")))</f>
        <v/>
      </c>
      <c r="I793" s="7">
        <f>IF($Z793="C",INDEX(Contracts!$L$2:$L$151,$AB793)&amp;"",IF($Z793="A",INDEX(Fixed_Assets!$I$2:$I$201,$AB793)&amp;"",IF($Z793="F",INDEX(Workforce!$G$2:$G$151,MATCH(INDEX(FTE_Allocation!$A$2:$A$201,$AB793),Workforce!$A$2:$A$151,0))&amp;"","")))</f>
        <v/>
      </c>
      <c r="J793" s="18">
        <f>IF($Z793="","",IF(AND(DATE($AD793,1,1)&gt;=$AE793,DATE($AD793,1,1)&lt;=$AF793),ROUND($AG793,2),0))</f>
        <v/>
      </c>
      <c r="K793" s="18">
        <f>IF($Z793="","",IF(AND(DATE($AD793,2,1)&gt;=$AE793,DATE($AD793,2,1)&lt;=$AF793),ROUND($AG793,2),0))</f>
        <v/>
      </c>
      <c r="L793" s="18">
        <f>IF($Z793="","",IF(AND(DATE($AD793,3,1)&gt;=$AE793,DATE($AD793,3,1)&lt;=$AF793),ROUND($AG793,2),0))</f>
        <v/>
      </c>
      <c r="M793" s="18">
        <f>IF($Z793="","",IF(AND(DATE($AD793,4,1)&gt;=$AE793,DATE($AD793,4,1)&lt;=$AF793),ROUND($AG793,2),0))</f>
        <v/>
      </c>
      <c r="N793" s="18">
        <f>IF($Z793="","",IF(AND(DATE($AD793,5,1)&gt;=$AE793,DATE($AD793,5,1)&lt;=$AF793),ROUND($AG793,2),0))</f>
        <v/>
      </c>
      <c r="O793" s="18">
        <f>IF($Z793="","",IF(AND(DATE($AD793,6,1)&gt;=$AE793,DATE($AD793,6,1)&lt;=$AF793),ROUND($AG793,2),0))</f>
        <v/>
      </c>
      <c r="P793" s="18">
        <f>IF($Z793="","",IF(AND(DATE($AD793,7,1)&gt;=$AE793,DATE($AD793,7,1)&lt;=$AF793),ROUND($AG793,2),0))</f>
        <v/>
      </c>
      <c r="Q793" s="18">
        <f>IF($Z793="","",IF(AND(DATE($AD793,8,1)&gt;=$AE793,DATE($AD793,8,1)&lt;=$AF793),ROUND($AG793,2),0))</f>
        <v/>
      </c>
      <c r="R793" s="18">
        <f>IF($Z793="","",IF(AND(DATE($AD793,9,1)&gt;=$AE793,DATE($AD793,9,1)&lt;=$AF793),ROUND($AG793,2),0))</f>
        <v/>
      </c>
      <c r="S793" s="18">
        <f>IF($Z793="","",IF(AND(DATE($AD793,10,1)&gt;=$AE793,DATE($AD793,10,1)&lt;=$AF793),ROUND($AG793,2),0))</f>
        <v/>
      </c>
      <c r="T793" s="18">
        <f>IF($Z793="","",IF(AND(DATE($AD793,11,1)&gt;=$AE793,DATE($AD793,11,1)&lt;=$AF793),ROUND($AG793,2),0))</f>
        <v/>
      </c>
      <c r="U793" s="18">
        <f>IF($Z793="","",IF(AND(DATE($AD793,12,1)&gt;=$AE793,DATE($AD793,12,1)&lt;=$AF793),ROUND($AG793,2),0))</f>
        <v/>
      </c>
      <c r="V793" s="7">
        <f>IF($Z793="C","Generated from "&amp;INDEX(Contracts!$A$2:$A$151,$AB793),IF($Z793="A","Generated from "&amp;INDEX(Fixed_Assets!$A$2:$A$201,$AB793),IF($Z793="F","Generated from "&amp;INDEX(FTE_Allocation!$A$2:$A$201,$AB793),"")))</f>
        <v/>
      </c>
      <c r="X793" s="19">
        <f>IF($Z793="","",SUM(J793:U793))</f>
        <v/>
      </c>
      <c r="Y793" s="20">
        <f>ROW()-1</f>
        <v/>
      </c>
      <c r="Z793" s="20">
        <f>IF($Y793&lt;=Settings!$B$4*3,"C",IF($Y793&lt;=(Settings!$B$4+Settings!$B$5)*3,"A",IF($Y793&lt;=(Settings!$B$4+Settings!$B$5+Settings!$B$6)*3,"F","")))</f>
        <v/>
      </c>
      <c r="AA793" s="20">
        <f>IF($Z793="C",$Y793,IF($Z793="A",$Y793-Settings!$B$4*3,IF($Z793="F",$Y793-(Settings!$B$4+Settings!$B$5)*3,"")))</f>
        <v/>
      </c>
      <c r="AB793" s="20">
        <f>IF($Z793="","",INT(($AA793-1)/3)+1)</f>
        <v/>
      </c>
      <c r="AC793" s="20">
        <f>IF($Z793="","",MOD($AA793-1,3)+1)</f>
        <v/>
      </c>
      <c r="AD793" s="20">
        <f>IF($Z793="","",Settings!$B$2+$AC793-1)</f>
        <v/>
      </c>
      <c r="AE793" s="21">
        <f>IF($Z793="C",DATE(YEAR(INDEX(Contracts!$J$2:$J$151,$AB793)),MONTH(INDEX(Contracts!$J$2:$J$151,$AB793)),1),IF($Z793="A",DATE(YEAR(INDEX(Fixed_Assets!$G$2:$G$201,$AB793)),MONTH(INDEX(Fixed_Assets!$G$2:$G$201,$AB793)),1),IF($Z793="F",DATE(YEAR(MAX(N(INDEX(Workforce!$I$2:$I$151,MATCH(INDEX(FTE_Allocation!$A$2:$A$201,$AB793),Workforce!$A$2:$A$151,0))),N(INDEX(FTE_Allocation!$I$2:$I$201,$AB793)))),MONTH(MAX(N(INDEX(Workforce!$I$2:$I$151,MATCH(INDEX(FTE_Allocation!$A$2:$A$201,$AB793),Workforce!$A$2:$A$151,0))),N(INDEX(FTE_Allocation!$I$2:$I$201,$AB793)))),1),"")))</f>
        <v/>
      </c>
      <c r="AF793" s="21">
        <f>IF($Z793="C",IF(INDEX(Contracts!$I$2:$I$151,$AB793)="PREPAID",EDATE(DATE(YEAR(INDEX(Contracts!$J$2:$J$151,$AB793)),MONTH(INDEX(Contracts!$J$2:$J$151,$AB793)),1),IF(INDEX(Contracts!$N$2:$N$151,$AB793)="",12,INDEX(Contracts!$N$2:$N$151,$AB793))-1),IF(INDEX(Contracts!$I$2:$I$151,$AB793)="MONTHLY",IF(INDEX(Contracts!$K$2:$K$151,$AB793)="",2958101,INDEX(Contracts!$K$2:$K$151,$AB793)),0)),IF($Z793="A",EDATE(DATE(YEAR(INDEX(Fixed_Assets!$G$2:$G$201,$AB793)),MONTH(INDEX(Fixed_Assets!$G$2:$G$201,$AB793)),1),INDEX(Fixed_Assets!$J$2:$J$201,$AB793)-1),IF($Z793="F",MIN(IF(INDEX(Workforce!$J$2:$J$151,MATCH(INDEX(FTE_Allocation!$A$2:$A$201,$AB793),Workforce!$A$2:$A$151,0))="",2958101,INDEX(Workforce!$J$2:$J$151,MATCH(INDEX(FTE_Allocation!$A$2:$A$201,$AB793),Workforce!$A$2:$A$151,0))),IF(INDEX(FTE_Allocation!$J$2:$J$201,$AB793)="",2958101,INDEX(FTE_Allocation!$J$2:$J$201,$AB793))),"")))</f>
        <v/>
      </c>
      <c r="AG793" s="19">
        <f>IF($Z793="C",IF(INDEX(Contracts!$I$2:$I$151,$AB793)="PREPAID",INDEX(Contracts!$M$2:$M$151,$AB793)/IF(INDEX(Contracts!$N$2:$N$151,$AB793)="",12,INDEX(Contracts!$N$2:$N$151,$AB793)),IF(INDEX(Contracts!$I$2:$I$151,$AB793)="MONTHLY",INDEX(Contracts!$M$2:$M$151,$AB793),0))*(1-N(INDEX(Contracts!$O$2:$O$151,$AB793))),IF($Z793="A",INDEX(Fixed_Assets!$H$2:$H$201,$AB793)/INDEX(Fixed_Assets!$J$2:$J$201,$AB793),IF($Z793="F",INDEX(Workforce!$F$2:$F$151,MATCH(INDEX(FTE_Allocation!$A$2:$A$201,$AB793),Workforce!$A$2:$A$151,0))*N(INDEX(FTE_Allocation!$F$2:$H$201,$AB793,$AC793)),"")))</f>
        <v/>
      </c>
    </row>
    <row r="794">
      <c r="A794" s="7">
        <f>IF($Z794="","",$AD794)</f>
        <v/>
      </c>
      <c r="B794" s="7">
        <f>IF($Z794="C",INDEX(Contracts!$D$2:$D$151,$AB794)&amp;"",IF($Z794="A",INDEX(Fixed_Assets!$C$2:$C$201,$AB794)&amp;"",IF($Z794="F",INDEX(Workforce!$B$2:$B$151,MATCH(INDEX(FTE_Allocation!$A$2:$A$201,$AB794),Workforce!$A$2:$A$151,0))&amp;"","")))</f>
        <v/>
      </c>
      <c r="C794" s="7">
        <f>IF($Z794="C",INDEX(Contracts!$E$2:$E$151,$AB794)&amp;"",IF($Z794="A",INDEX(Fixed_Assets!$D$2:$D$201,$AB794)&amp;"",IF($Z794="F",INDEX(FTE_Allocation!$C$2:$C$201,$AB794)&amp;"","")))</f>
        <v/>
      </c>
      <c r="D794" s="7">
        <f>IF($Z794="C",INDEX(Contracts!$B$2:$B$151,$AB794)&amp;"",IF($Z794="A",INDEX(Fixed_Assets!$B$2:$B$201,$AB794)&amp;"",IF($Z794="F",INDEX(FTE_Allocation!$B$2:$B$201,$AB794)&amp;"","")))</f>
        <v/>
      </c>
      <c r="E794" s="7">
        <f>IF($Z794="C",INDEX(Contracts!$P$2:$P$151,$AB794)&amp;"",IF($Z794="A",INDEX(Fixed_Assets!$K$2:$K$201,$AB794)&amp;"",IF($Z794="F",IF(INDEX(FTE_Allocation!$D$2:$D$201,$AB794)="PROJECT",IFERROR(INDEX(Projects!$D:$D,MATCH(INDEX(FTE_Allocation!$E$2:$E$201,$AB794),Projects!$A:$A,0))&amp;"","#PROJECT?"),INDEX(FTE_Allocation!$E$2:$E$201,$AB794)&amp;""),"")))</f>
        <v/>
      </c>
      <c r="F794" s="7">
        <f>IF($Z794="C",INDEX(Contracts!$Q$2:$Q$151,$AB794)&amp;"",IF($Z794="A",INDEX(Fixed_Assets!$L$2:$L$201,$AB794)&amp;"",IF($Z794="F",INDEX(Workforce!$K$2:$K$151,MATCH(INDEX(FTE_Allocation!$A$2:$A$201,$AB794),Workforce!$A$2:$A$151,0))&amp;"","")))</f>
        <v/>
      </c>
      <c r="G794" s="7">
        <f>IF($Z794="C",INDEX(Contracts!$F$2:$F$151,$AB794)&amp;" / "&amp;INDEX(Contracts!$G$2:$G$151,$AB794),IF($Z794="A",INDEX(Fixed_Assets!$E$2:$E$201,$AB794)&amp;"",IF($Z794="F","Personnel "&amp;INDEX(FTE_Allocation!$A$2:$A$201,$AB794)&amp;IF(INDEX(FTE_Allocation!$D$2:$D$201,$AB794)="PROJECT"," ("&amp;INDEX(FTE_Allocation!$E$2:$E$201,$AB794)&amp;")",""),"")))</f>
        <v/>
      </c>
      <c r="H794" s="7">
        <f>IF($Z794="C","CONTRACT",IF($Z794="A","ASSET",IF($Z794="F","WORKFORCE","")))</f>
        <v/>
      </c>
      <c r="I794" s="7">
        <f>IF($Z794="C",INDEX(Contracts!$L$2:$L$151,$AB794)&amp;"",IF($Z794="A",INDEX(Fixed_Assets!$I$2:$I$201,$AB794)&amp;"",IF($Z794="F",INDEX(Workforce!$G$2:$G$151,MATCH(INDEX(FTE_Allocation!$A$2:$A$201,$AB794),Workforce!$A$2:$A$151,0))&amp;"","")))</f>
        <v/>
      </c>
      <c r="J794" s="18">
        <f>IF($Z794="","",IF(AND(DATE($AD794,1,1)&gt;=$AE794,DATE($AD794,1,1)&lt;=$AF794),ROUND($AG794,2),0))</f>
        <v/>
      </c>
      <c r="K794" s="18">
        <f>IF($Z794="","",IF(AND(DATE($AD794,2,1)&gt;=$AE794,DATE($AD794,2,1)&lt;=$AF794),ROUND($AG794,2),0))</f>
        <v/>
      </c>
      <c r="L794" s="18">
        <f>IF($Z794="","",IF(AND(DATE($AD794,3,1)&gt;=$AE794,DATE($AD794,3,1)&lt;=$AF794),ROUND($AG794,2),0))</f>
        <v/>
      </c>
      <c r="M794" s="18">
        <f>IF($Z794="","",IF(AND(DATE($AD794,4,1)&gt;=$AE794,DATE($AD794,4,1)&lt;=$AF794),ROUND($AG794,2),0))</f>
        <v/>
      </c>
      <c r="N794" s="18">
        <f>IF($Z794="","",IF(AND(DATE($AD794,5,1)&gt;=$AE794,DATE($AD794,5,1)&lt;=$AF794),ROUND($AG794,2),0))</f>
        <v/>
      </c>
      <c r="O794" s="18">
        <f>IF($Z794="","",IF(AND(DATE($AD794,6,1)&gt;=$AE794,DATE($AD794,6,1)&lt;=$AF794),ROUND($AG794,2),0))</f>
        <v/>
      </c>
      <c r="P794" s="18">
        <f>IF($Z794="","",IF(AND(DATE($AD794,7,1)&gt;=$AE794,DATE($AD794,7,1)&lt;=$AF794),ROUND($AG794,2),0))</f>
        <v/>
      </c>
      <c r="Q794" s="18">
        <f>IF($Z794="","",IF(AND(DATE($AD794,8,1)&gt;=$AE794,DATE($AD794,8,1)&lt;=$AF794),ROUND($AG794,2),0))</f>
        <v/>
      </c>
      <c r="R794" s="18">
        <f>IF($Z794="","",IF(AND(DATE($AD794,9,1)&gt;=$AE794,DATE($AD794,9,1)&lt;=$AF794),ROUND($AG794,2),0))</f>
        <v/>
      </c>
      <c r="S794" s="18">
        <f>IF($Z794="","",IF(AND(DATE($AD794,10,1)&gt;=$AE794,DATE($AD794,10,1)&lt;=$AF794),ROUND($AG794,2),0))</f>
        <v/>
      </c>
      <c r="T794" s="18">
        <f>IF($Z794="","",IF(AND(DATE($AD794,11,1)&gt;=$AE794,DATE($AD794,11,1)&lt;=$AF794),ROUND($AG794,2),0))</f>
        <v/>
      </c>
      <c r="U794" s="18">
        <f>IF($Z794="","",IF(AND(DATE($AD794,12,1)&gt;=$AE794,DATE($AD794,12,1)&lt;=$AF794),ROUND($AG794,2),0))</f>
        <v/>
      </c>
      <c r="V794" s="7">
        <f>IF($Z794="C","Generated from "&amp;INDEX(Contracts!$A$2:$A$151,$AB794),IF($Z794="A","Generated from "&amp;INDEX(Fixed_Assets!$A$2:$A$201,$AB794),IF($Z794="F","Generated from "&amp;INDEX(FTE_Allocation!$A$2:$A$201,$AB794),"")))</f>
        <v/>
      </c>
      <c r="X794" s="19">
        <f>IF($Z794="","",SUM(J794:U794))</f>
        <v/>
      </c>
      <c r="Y794" s="20">
        <f>ROW()-1</f>
        <v/>
      </c>
      <c r="Z794" s="20">
        <f>IF($Y794&lt;=Settings!$B$4*3,"C",IF($Y794&lt;=(Settings!$B$4+Settings!$B$5)*3,"A",IF($Y794&lt;=(Settings!$B$4+Settings!$B$5+Settings!$B$6)*3,"F","")))</f>
        <v/>
      </c>
      <c r="AA794" s="20">
        <f>IF($Z794="C",$Y794,IF($Z794="A",$Y794-Settings!$B$4*3,IF($Z794="F",$Y794-(Settings!$B$4+Settings!$B$5)*3,"")))</f>
        <v/>
      </c>
      <c r="AB794" s="20">
        <f>IF($Z794="","",INT(($AA794-1)/3)+1)</f>
        <v/>
      </c>
      <c r="AC794" s="20">
        <f>IF($Z794="","",MOD($AA794-1,3)+1)</f>
        <v/>
      </c>
      <c r="AD794" s="20">
        <f>IF($Z794="","",Settings!$B$2+$AC794-1)</f>
        <v/>
      </c>
      <c r="AE794" s="21">
        <f>IF($Z794="C",DATE(YEAR(INDEX(Contracts!$J$2:$J$151,$AB794)),MONTH(INDEX(Contracts!$J$2:$J$151,$AB794)),1),IF($Z794="A",DATE(YEAR(INDEX(Fixed_Assets!$G$2:$G$201,$AB794)),MONTH(INDEX(Fixed_Assets!$G$2:$G$201,$AB794)),1),IF($Z794="F",DATE(YEAR(MAX(N(INDEX(Workforce!$I$2:$I$151,MATCH(INDEX(FTE_Allocation!$A$2:$A$201,$AB794),Workforce!$A$2:$A$151,0))),N(INDEX(FTE_Allocation!$I$2:$I$201,$AB794)))),MONTH(MAX(N(INDEX(Workforce!$I$2:$I$151,MATCH(INDEX(FTE_Allocation!$A$2:$A$201,$AB794),Workforce!$A$2:$A$151,0))),N(INDEX(FTE_Allocation!$I$2:$I$201,$AB794)))),1),"")))</f>
        <v/>
      </c>
      <c r="AF794" s="21">
        <f>IF($Z794="C",IF(INDEX(Contracts!$I$2:$I$151,$AB794)="PREPAID",EDATE(DATE(YEAR(INDEX(Contracts!$J$2:$J$151,$AB794)),MONTH(INDEX(Contracts!$J$2:$J$151,$AB794)),1),IF(INDEX(Contracts!$N$2:$N$151,$AB794)="",12,INDEX(Contracts!$N$2:$N$151,$AB794))-1),IF(INDEX(Contracts!$I$2:$I$151,$AB794)="MONTHLY",IF(INDEX(Contracts!$K$2:$K$151,$AB794)="",2958101,INDEX(Contracts!$K$2:$K$151,$AB794)),0)),IF($Z794="A",EDATE(DATE(YEAR(INDEX(Fixed_Assets!$G$2:$G$201,$AB794)),MONTH(INDEX(Fixed_Assets!$G$2:$G$201,$AB794)),1),INDEX(Fixed_Assets!$J$2:$J$201,$AB794)-1),IF($Z794="F",MIN(IF(INDEX(Workforce!$J$2:$J$151,MATCH(INDEX(FTE_Allocation!$A$2:$A$201,$AB794),Workforce!$A$2:$A$151,0))="",2958101,INDEX(Workforce!$J$2:$J$151,MATCH(INDEX(FTE_Allocation!$A$2:$A$201,$AB794),Workforce!$A$2:$A$151,0))),IF(INDEX(FTE_Allocation!$J$2:$J$201,$AB794)="",2958101,INDEX(FTE_Allocation!$J$2:$J$201,$AB794))),"")))</f>
        <v/>
      </c>
      <c r="AG794" s="19">
        <f>IF($Z794="C",IF(INDEX(Contracts!$I$2:$I$151,$AB794)="PREPAID",INDEX(Contracts!$M$2:$M$151,$AB794)/IF(INDEX(Contracts!$N$2:$N$151,$AB794)="",12,INDEX(Contracts!$N$2:$N$151,$AB794)),IF(INDEX(Contracts!$I$2:$I$151,$AB794)="MONTHLY",INDEX(Contracts!$M$2:$M$151,$AB794),0))*(1-N(INDEX(Contracts!$O$2:$O$151,$AB794))),IF($Z794="A",INDEX(Fixed_Assets!$H$2:$H$201,$AB794)/INDEX(Fixed_Assets!$J$2:$J$201,$AB794),IF($Z794="F",INDEX(Workforce!$F$2:$F$151,MATCH(INDEX(FTE_Allocation!$A$2:$A$201,$AB794),Workforce!$A$2:$A$151,0))*N(INDEX(FTE_Allocation!$F$2:$H$201,$AB794,$AC794)),"")))</f>
        <v/>
      </c>
    </row>
    <row r="795">
      <c r="A795" s="7">
        <f>IF($Z795="","",$AD795)</f>
        <v/>
      </c>
      <c r="B795" s="7">
        <f>IF($Z795="C",INDEX(Contracts!$D$2:$D$151,$AB795)&amp;"",IF($Z795="A",INDEX(Fixed_Assets!$C$2:$C$201,$AB795)&amp;"",IF($Z795="F",INDEX(Workforce!$B$2:$B$151,MATCH(INDEX(FTE_Allocation!$A$2:$A$201,$AB795),Workforce!$A$2:$A$151,0))&amp;"","")))</f>
        <v/>
      </c>
      <c r="C795" s="7">
        <f>IF($Z795="C",INDEX(Contracts!$E$2:$E$151,$AB795)&amp;"",IF($Z795="A",INDEX(Fixed_Assets!$D$2:$D$201,$AB795)&amp;"",IF($Z795="F",INDEX(FTE_Allocation!$C$2:$C$201,$AB795)&amp;"","")))</f>
        <v/>
      </c>
      <c r="D795" s="7">
        <f>IF($Z795="C",INDEX(Contracts!$B$2:$B$151,$AB795)&amp;"",IF($Z795="A",INDEX(Fixed_Assets!$B$2:$B$201,$AB795)&amp;"",IF($Z795="F",INDEX(FTE_Allocation!$B$2:$B$201,$AB795)&amp;"","")))</f>
        <v/>
      </c>
      <c r="E795" s="7">
        <f>IF($Z795="C",INDEX(Contracts!$P$2:$P$151,$AB795)&amp;"",IF($Z795="A",INDEX(Fixed_Assets!$K$2:$K$201,$AB795)&amp;"",IF($Z795="F",IF(INDEX(FTE_Allocation!$D$2:$D$201,$AB795)="PROJECT",IFERROR(INDEX(Projects!$D:$D,MATCH(INDEX(FTE_Allocation!$E$2:$E$201,$AB795),Projects!$A:$A,0))&amp;"","#PROJECT?"),INDEX(FTE_Allocation!$E$2:$E$201,$AB795)&amp;""),"")))</f>
        <v/>
      </c>
      <c r="F795" s="7">
        <f>IF($Z795="C",INDEX(Contracts!$Q$2:$Q$151,$AB795)&amp;"",IF($Z795="A",INDEX(Fixed_Assets!$L$2:$L$201,$AB795)&amp;"",IF($Z795="F",INDEX(Workforce!$K$2:$K$151,MATCH(INDEX(FTE_Allocation!$A$2:$A$201,$AB795),Workforce!$A$2:$A$151,0))&amp;"","")))</f>
        <v/>
      </c>
      <c r="G795" s="7">
        <f>IF($Z795="C",INDEX(Contracts!$F$2:$F$151,$AB795)&amp;" / "&amp;INDEX(Contracts!$G$2:$G$151,$AB795),IF($Z795="A",INDEX(Fixed_Assets!$E$2:$E$201,$AB795)&amp;"",IF($Z795="F","Personnel "&amp;INDEX(FTE_Allocation!$A$2:$A$201,$AB795)&amp;IF(INDEX(FTE_Allocation!$D$2:$D$201,$AB795)="PROJECT"," ("&amp;INDEX(FTE_Allocation!$E$2:$E$201,$AB795)&amp;")",""),"")))</f>
        <v/>
      </c>
      <c r="H795" s="7">
        <f>IF($Z795="C","CONTRACT",IF($Z795="A","ASSET",IF($Z795="F","WORKFORCE","")))</f>
        <v/>
      </c>
      <c r="I795" s="7">
        <f>IF($Z795="C",INDEX(Contracts!$L$2:$L$151,$AB795)&amp;"",IF($Z795="A",INDEX(Fixed_Assets!$I$2:$I$201,$AB795)&amp;"",IF($Z795="F",INDEX(Workforce!$G$2:$G$151,MATCH(INDEX(FTE_Allocation!$A$2:$A$201,$AB795),Workforce!$A$2:$A$151,0))&amp;"","")))</f>
        <v/>
      </c>
      <c r="J795" s="18">
        <f>IF($Z795="","",IF(AND(DATE($AD795,1,1)&gt;=$AE795,DATE($AD795,1,1)&lt;=$AF795),ROUND($AG795,2),0))</f>
        <v/>
      </c>
      <c r="K795" s="18">
        <f>IF($Z795="","",IF(AND(DATE($AD795,2,1)&gt;=$AE795,DATE($AD795,2,1)&lt;=$AF795),ROUND($AG795,2),0))</f>
        <v/>
      </c>
      <c r="L795" s="18">
        <f>IF($Z795="","",IF(AND(DATE($AD795,3,1)&gt;=$AE795,DATE($AD795,3,1)&lt;=$AF795),ROUND($AG795,2),0))</f>
        <v/>
      </c>
      <c r="M795" s="18">
        <f>IF($Z795="","",IF(AND(DATE($AD795,4,1)&gt;=$AE795,DATE($AD795,4,1)&lt;=$AF795),ROUND($AG795,2),0))</f>
        <v/>
      </c>
      <c r="N795" s="18">
        <f>IF($Z795="","",IF(AND(DATE($AD795,5,1)&gt;=$AE795,DATE($AD795,5,1)&lt;=$AF795),ROUND($AG795,2),0))</f>
        <v/>
      </c>
      <c r="O795" s="18">
        <f>IF($Z795="","",IF(AND(DATE($AD795,6,1)&gt;=$AE795,DATE($AD795,6,1)&lt;=$AF795),ROUND($AG795,2),0))</f>
        <v/>
      </c>
      <c r="P795" s="18">
        <f>IF($Z795="","",IF(AND(DATE($AD795,7,1)&gt;=$AE795,DATE($AD795,7,1)&lt;=$AF795),ROUND($AG795,2),0))</f>
        <v/>
      </c>
      <c r="Q795" s="18">
        <f>IF($Z795="","",IF(AND(DATE($AD795,8,1)&gt;=$AE795,DATE($AD795,8,1)&lt;=$AF795),ROUND($AG795,2),0))</f>
        <v/>
      </c>
      <c r="R795" s="18">
        <f>IF($Z795="","",IF(AND(DATE($AD795,9,1)&gt;=$AE795,DATE($AD795,9,1)&lt;=$AF795),ROUND($AG795,2),0))</f>
        <v/>
      </c>
      <c r="S795" s="18">
        <f>IF($Z795="","",IF(AND(DATE($AD795,10,1)&gt;=$AE795,DATE($AD795,10,1)&lt;=$AF795),ROUND($AG795,2),0))</f>
        <v/>
      </c>
      <c r="T795" s="18">
        <f>IF($Z795="","",IF(AND(DATE($AD795,11,1)&gt;=$AE795,DATE($AD795,11,1)&lt;=$AF795),ROUND($AG795,2),0))</f>
        <v/>
      </c>
      <c r="U795" s="18">
        <f>IF($Z795="","",IF(AND(DATE($AD795,12,1)&gt;=$AE795,DATE($AD795,12,1)&lt;=$AF795),ROUND($AG795,2),0))</f>
        <v/>
      </c>
      <c r="V795" s="7">
        <f>IF($Z795="C","Generated from "&amp;INDEX(Contracts!$A$2:$A$151,$AB795),IF($Z795="A","Generated from "&amp;INDEX(Fixed_Assets!$A$2:$A$201,$AB795),IF($Z795="F","Generated from "&amp;INDEX(FTE_Allocation!$A$2:$A$201,$AB795),"")))</f>
        <v/>
      </c>
      <c r="X795" s="19">
        <f>IF($Z795="","",SUM(J795:U795))</f>
        <v/>
      </c>
      <c r="Y795" s="20">
        <f>ROW()-1</f>
        <v/>
      </c>
      <c r="Z795" s="20">
        <f>IF($Y795&lt;=Settings!$B$4*3,"C",IF($Y795&lt;=(Settings!$B$4+Settings!$B$5)*3,"A",IF($Y795&lt;=(Settings!$B$4+Settings!$B$5+Settings!$B$6)*3,"F","")))</f>
        <v/>
      </c>
      <c r="AA795" s="20">
        <f>IF($Z795="C",$Y795,IF($Z795="A",$Y795-Settings!$B$4*3,IF($Z795="F",$Y795-(Settings!$B$4+Settings!$B$5)*3,"")))</f>
        <v/>
      </c>
      <c r="AB795" s="20">
        <f>IF($Z795="","",INT(($AA795-1)/3)+1)</f>
        <v/>
      </c>
      <c r="AC795" s="20">
        <f>IF($Z795="","",MOD($AA795-1,3)+1)</f>
        <v/>
      </c>
      <c r="AD795" s="20">
        <f>IF($Z795="","",Settings!$B$2+$AC795-1)</f>
        <v/>
      </c>
      <c r="AE795" s="21">
        <f>IF($Z795="C",DATE(YEAR(INDEX(Contracts!$J$2:$J$151,$AB795)),MONTH(INDEX(Contracts!$J$2:$J$151,$AB795)),1),IF($Z795="A",DATE(YEAR(INDEX(Fixed_Assets!$G$2:$G$201,$AB795)),MONTH(INDEX(Fixed_Assets!$G$2:$G$201,$AB795)),1),IF($Z795="F",DATE(YEAR(MAX(N(INDEX(Workforce!$I$2:$I$151,MATCH(INDEX(FTE_Allocation!$A$2:$A$201,$AB795),Workforce!$A$2:$A$151,0))),N(INDEX(FTE_Allocation!$I$2:$I$201,$AB795)))),MONTH(MAX(N(INDEX(Workforce!$I$2:$I$151,MATCH(INDEX(FTE_Allocation!$A$2:$A$201,$AB795),Workforce!$A$2:$A$151,0))),N(INDEX(FTE_Allocation!$I$2:$I$201,$AB795)))),1),"")))</f>
        <v/>
      </c>
      <c r="AF795" s="21">
        <f>IF($Z795="C",IF(INDEX(Contracts!$I$2:$I$151,$AB795)="PREPAID",EDATE(DATE(YEAR(INDEX(Contracts!$J$2:$J$151,$AB795)),MONTH(INDEX(Contracts!$J$2:$J$151,$AB795)),1),IF(INDEX(Contracts!$N$2:$N$151,$AB795)="",12,INDEX(Contracts!$N$2:$N$151,$AB795))-1),IF(INDEX(Contracts!$I$2:$I$151,$AB795)="MONTHLY",IF(INDEX(Contracts!$K$2:$K$151,$AB795)="",2958101,INDEX(Contracts!$K$2:$K$151,$AB795)),0)),IF($Z795="A",EDATE(DATE(YEAR(INDEX(Fixed_Assets!$G$2:$G$201,$AB795)),MONTH(INDEX(Fixed_Assets!$G$2:$G$201,$AB795)),1),INDEX(Fixed_Assets!$J$2:$J$201,$AB795)-1),IF($Z795="F",MIN(IF(INDEX(Workforce!$J$2:$J$151,MATCH(INDEX(FTE_Allocation!$A$2:$A$201,$AB795),Workforce!$A$2:$A$151,0))="",2958101,INDEX(Workforce!$J$2:$J$151,MATCH(INDEX(FTE_Allocation!$A$2:$A$201,$AB795),Workforce!$A$2:$A$151,0))),IF(INDEX(FTE_Allocation!$J$2:$J$201,$AB795)="",2958101,INDEX(FTE_Allocation!$J$2:$J$201,$AB795))),"")))</f>
        <v/>
      </c>
      <c r="AG795" s="19">
        <f>IF($Z795="C",IF(INDEX(Contracts!$I$2:$I$151,$AB795)="PREPAID",INDEX(Contracts!$M$2:$M$151,$AB795)/IF(INDEX(Contracts!$N$2:$N$151,$AB795)="",12,INDEX(Contracts!$N$2:$N$151,$AB795)),IF(INDEX(Contracts!$I$2:$I$151,$AB795)="MONTHLY",INDEX(Contracts!$M$2:$M$151,$AB795),0))*(1-N(INDEX(Contracts!$O$2:$O$151,$AB795))),IF($Z795="A",INDEX(Fixed_Assets!$H$2:$H$201,$AB795)/INDEX(Fixed_Assets!$J$2:$J$201,$AB795),IF($Z795="F",INDEX(Workforce!$F$2:$F$151,MATCH(INDEX(FTE_Allocation!$A$2:$A$201,$AB795),Workforce!$A$2:$A$151,0))*N(INDEX(FTE_Allocation!$F$2:$H$201,$AB795,$AC795)),"")))</f>
        <v/>
      </c>
    </row>
    <row r="796">
      <c r="A796" s="7">
        <f>IF($Z796="","",$AD796)</f>
        <v/>
      </c>
      <c r="B796" s="7">
        <f>IF($Z796="C",INDEX(Contracts!$D$2:$D$151,$AB796)&amp;"",IF($Z796="A",INDEX(Fixed_Assets!$C$2:$C$201,$AB796)&amp;"",IF($Z796="F",INDEX(Workforce!$B$2:$B$151,MATCH(INDEX(FTE_Allocation!$A$2:$A$201,$AB796),Workforce!$A$2:$A$151,0))&amp;"","")))</f>
        <v/>
      </c>
      <c r="C796" s="7">
        <f>IF($Z796="C",INDEX(Contracts!$E$2:$E$151,$AB796)&amp;"",IF($Z796="A",INDEX(Fixed_Assets!$D$2:$D$201,$AB796)&amp;"",IF($Z796="F",INDEX(FTE_Allocation!$C$2:$C$201,$AB796)&amp;"","")))</f>
        <v/>
      </c>
      <c r="D796" s="7">
        <f>IF($Z796="C",INDEX(Contracts!$B$2:$B$151,$AB796)&amp;"",IF($Z796="A",INDEX(Fixed_Assets!$B$2:$B$201,$AB796)&amp;"",IF($Z796="F",INDEX(FTE_Allocation!$B$2:$B$201,$AB796)&amp;"","")))</f>
        <v/>
      </c>
      <c r="E796" s="7">
        <f>IF($Z796="C",INDEX(Contracts!$P$2:$P$151,$AB796)&amp;"",IF($Z796="A",INDEX(Fixed_Assets!$K$2:$K$201,$AB796)&amp;"",IF($Z796="F",IF(INDEX(FTE_Allocation!$D$2:$D$201,$AB796)="PROJECT",IFERROR(INDEX(Projects!$D:$D,MATCH(INDEX(FTE_Allocation!$E$2:$E$201,$AB796),Projects!$A:$A,0))&amp;"","#PROJECT?"),INDEX(FTE_Allocation!$E$2:$E$201,$AB796)&amp;""),"")))</f>
        <v/>
      </c>
      <c r="F796" s="7">
        <f>IF($Z796="C",INDEX(Contracts!$Q$2:$Q$151,$AB796)&amp;"",IF($Z796="A",INDEX(Fixed_Assets!$L$2:$L$201,$AB796)&amp;"",IF($Z796="F",INDEX(Workforce!$K$2:$K$151,MATCH(INDEX(FTE_Allocation!$A$2:$A$201,$AB796),Workforce!$A$2:$A$151,0))&amp;"","")))</f>
        <v/>
      </c>
      <c r="G796" s="7">
        <f>IF($Z796="C",INDEX(Contracts!$F$2:$F$151,$AB796)&amp;" / "&amp;INDEX(Contracts!$G$2:$G$151,$AB796),IF($Z796="A",INDEX(Fixed_Assets!$E$2:$E$201,$AB796)&amp;"",IF($Z796="F","Personnel "&amp;INDEX(FTE_Allocation!$A$2:$A$201,$AB796)&amp;IF(INDEX(FTE_Allocation!$D$2:$D$201,$AB796)="PROJECT"," ("&amp;INDEX(FTE_Allocation!$E$2:$E$201,$AB796)&amp;")",""),"")))</f>
        <v/>
      </c>
      <c r="H796" s="7">
        <f>IF($Z796="C","CONTRACT",IF($Z796="A","ASSET",IF($Z796="F","WORKFORCE","")))</f>
        <v/>
      </c>
      <c r="I796" s="7">
        <f>IF($Z796="C",INDEX(Contracts!$L$2:$L$151,$AB796)&amp;"",IF($Z796="A",INDEX(Fixed_Assets!$I$2:$I$201,$AB796)&amp;"",IF($Z796="F",INDEX(Workforce!$G$2:$G$151,MATCH(INDEX(FTE_Allocation!$A$2:$A$201,$AB796),Workforce!$A$2:$A$151,0))&amp;"","")))</f>
        <v/>
      </c>
      <c r="J796" s="18">
        <f>IF($Z796="","",IF(AND(DATE($AD796,1,1)&gt;=$AE796,DATE($AD796,1,1)&lt;=$AF796),ROUND($AG796,2),0))</f>
        <v/>
      </c>
      <c r="K796" s="18">
        <f>IF($Z796="","",IF(AND(DATE($AD796,2,1)&gt;=$AE796,DATE($AD796,2,1)&lt;=$AF796),ROUND($AG796,2),0))</f>
        <v/>
      </c>
      <c r="L796" s="18">
        <f>IF($Z796="","",IF(AND(DATE($AD796,3,1)&gt;=$AE796,DATE($AD796,3,1)&lt;=$AF796),ROUND($AG796,2),0))</f>
        <v/>
      </c>
      <c r="M796" s="18">
        <f>IF($Z796="","",IF(AND(DATE($AD796,4,1)&gt;=$AE796,DATE($AD796,4,1)&lt;=$AF796),ROUND($AG796,2),0))</f>
        <v/>
      </c>
      <c r="N796" s="18">
        <f>IF($Z796="","",IF(AND(DATE($AD796,5,1)&gt;=$AE796,DATE($AD796,5,1)&lt;=$AF796),ROUND($AG796,2),0))</f>
        <v/>
      </c>
      <c r="O796" s="18">
        <f>IF($Z796="","",IF(AND(DATE($AD796,6,1)&gt;=$AE796,DATE($AD796,6,1)&lt;=$AF796),ROUND($AG796,2),0))</f>
        <v/>
      </c>
      <c r="P796" s="18">
        <f>IF($Z796="","",IF(AND(DATE($AD796,7,1)&gt;=$AE796,DATE($AD796,7,1)&lt;=$AF796),ROUND($AG796,2),0))</f>
        <v/>
      </c>
      <c r="Q796" s="18">
        <f>IF($Z796="","",IF(AND(DATE($AD796,8,1)&gt;=$AE796,DATE($AD796,8,1)&lt;=$AF796),ROUND($AG796,2),0))</f>
        <v/>
      </c>
      <c r="R796" s="18">
        <f>IF($Z796="","",IF(AND(DATE($AD796,9,1)&gt;=$AE796,DATE($AD796,9,1)&lt;=$AF796),ROUND($AG796,2),0))</f>
        <v/>
      </c>
      <c r="S796" s="18">
        <f>IF($Z796="","",IF(AND(DATE($AD796,10,1)&gt;=$AE796,DATE($AD796,10,1)&lt;=$AF796),ROUND($AG796,2),0))</f>
        <v/>
      </c>
      <c r="T796" s="18">
        <f>IF($Z796="","",IF(AND(DATE($AD796,11,1)&gt;=$AE796,DATE($AD796,11,1)&lt;=$AF796),ROUND($AG796,2),0))</f>
        <v/>
      </c>
      <c r="U796" s="18">
        <f>IF($Z796="","",IF(AND(DATE($AD796,12,1)&gt;=$AE796,DATE($AD796,12,1)&lt;=$AF796),ROUND($AG796,2),0))</f>
        <v/>
      </c>
      <c r="V796" s="7">
        <f>IF($Z796="C","Generated from "&amp;INDEX(Contracts!$A$2:$A$151,$AB796),IF($Z796="A","Generated from "&amp;INDEX(Fixed_Assets!$A$2:$A$201,$AB796),IF($Z796="F","Generated from "&amp;INDEX(FTE_Allocation!$A$2:$A$201,$AB796),"")))</f>
        <v/>
      </c>
      <c r="X796" s="19">
        <f>IF($Z796="","",SUM(J796:U796))</f>
        <v/>
      </c>
      <c r="Y796" s="20">
        <f>ROW()-1</f>
        <v/>
      </c>
      <c r="Z796" s="20">
        <f>IF($Y796&lt;=Settings!$B$4*3,"C",IF($Y796&lt;=(Settings!$B$4+Settings!$B$5)*3,"A",IF($Y796&lt;=(Settings!$B$4+Settings!$B$5+Settings!$B$6)*3,"F","")))</f>
        <v/>
      </c>
      <c r="AA796" s="20">
        <f>IF($Z796="C",$Y796,IF($Z796="A",$Y796-Settings!$B$4*3,IF($Z796="F",$Y796-(Settings!$B$4+Settings!$B$5)*3,"")))</f>
        <v/>
      </c>
      <c r="AB796" s="20">
        <f>IF($Z796="","",INT(($AA796-1)/3)+1)</f>
        <v/>
      </c>
      <c r="AC796" s="20">
        <f>IF($Z796="","",MOD($AA796-1,3)+1)</f>
        <v/>
      </c>
      <c r="AD796" s="20">
        <f>IF($Z796="","",Settings!$B$2+$AC796-1)</f>
        <v/>
      </c>
      <c r="AE796" s="21">
        <f>IF($Z796="C",DATE(YEAR(INDEX(Contracts!$J$2:$J$151,$AB796)),MONTH(INDEX(Contracts!$J$2:$J$151,$AB796)),1),IF($Z796="A",DATE(YEAR(INDEX(Fixed_Assets!$G$2:$G$201,$AB796)),MONTH(INDEX(Fixed_Assets!$G$2:$G$201,$AB796)),1),IF($Z796="F",DATE(YEAR(MAX(N(INDEX(Workforce!$I$2:$I$151,MATCH(INDEX(FTE_Allocation!$A$2:$A$201,$AB796),Workforce!$A$2:$A$151,0))),N(INDEX(FTE_Allocation!$I$2:$I$201,$AB796)))),MONTH(MAX(N(INDEX(Workforce!$I$2:$I$151,MATCH(INDEX(FTE_Allocation!$A$2:$A$201,$AB796),Workforce!$A$2:$A$151,0))),N(INDEX(FTE_Allocation!$I$2:$I$201,$AB796)))),1),"")))</f>
        <v/>
      </c>
      <c r="AF796" s="21">
        <f>IF($Z796="C",IF(INDEX(Contracts!$I$2:$I$151,$AB796)="PREPAID",EDATE(DATE(YEAR(INDEX(Contracts!$J$2:$J$151,$AB796)),MONTH(INDEX(Contracts!$J$2:$J$151,$AB796)),1),IF(INDEX(Contracts!$N$2:$N$151,$AB796)="",12,INDEX(Contracts!$N$2:$N$151,$AB796))-1),IF(INDEX(Contracts!$I$2:$I$151,$AB796)="MONTHLY",IF(INDEX(Contracts!$K$2:$K$151,$AB796)="",2958101,INDEX(Contracts!$K$2:$K$151,$AB796)),0)),IF($Z796="A",EDATE(DATE(YEAR(INDEX(Fixed_Assets!$G$2:$G$201,$AB796)),MONTH(INDEX(Fixed_Assets!$G$2:$G$201,$AB796)),1),INDEX(Fixed_Assets!$J$2:$J$201,$AB796)-1),IF($Z796="F",MIN(IF(INDEX(Workforce!$J$2:$J$151,MATCH(INDEX(FTE_Allocation!$A$2:$A$201,$AB796),Workforce!$A$2:$A$151,0))="",2958101,INDEX(Workforce!$J$2:$J$151,MATCH(INDEX(FTE_Allocation!$A$2:$A$201,$AB796),Workforce!$A$2:$A$151,0))),IF(INDEX(FTE_Allocation!$J$2:$J$201,$AB796)="",2958101,INDEX(FTE_Allocation!$J$2:$J$201,$AB796))),"")))</f>
        <v/>
      </c>
      <c r="AG796" s="19">
        <f>IF($Z796="C",IF(INDEX(Contracts!$I$2:$I$151,$AB796)="PREPAID",INDEX(Contracts!$M$2:$M$151,$AB796)/IF(INDEX(Contracts!$N$2:$N$151,$AB796)="",12,INDEX(Contracts!$N$2:$N$151,$AB796)),IF(INDEX(Contracts!$I$2:$I$151,$AB796)="MONTHLY",INDEX(Contracts!$M$2:$M$151,$AB796),0))*(1-N(INDEX(Contracts!$O$2:$O$151,$AB796))),IF($Z796="A",INDEX(Fixed_Assets!$H$2:$H$201,$AB796)/INDEX(Fixed_Assets!$J$2:$J$201,$AB796),IF($Z796="F",INDEX(Workforce!$F$2:$F$151,MATCH(INDEX(FTE_Allocation!$A$2:$A$201,$AB796),Workforce!$A$2:$A$151,0))*N(INDEX(FTE_Allocation!$F$2:$H$201,$AB796,$AC796)),"")))</f>
        <v/>
      </c>
    </row>
    <row r="797">
      <c r="A797" s="7">
        <f>IF($Z797="","",$AD797)</f>
        <v/>
      </c>
      <c r="B797" s="7">
        <f>IF($Z797="C",INDEX(Contracts!$D$2:$D$151,$AB797)&amp;"",IF($Z797="A",INDEX(Fixed_Assets!$C$2:$C$201,$AB797)&amp;"",IF($Z797="F",INDEX(Workforce!$B$2:$B$151,MATCH(INDEX(FTE_Allocation!$A$2:$A$201,$AB797),Workforce!$A$2:$A$151,0))&amp;"","")))</f>
        <v/>
      </c>
      <c r="C797" s="7">
        <f>IF($Z797="C",INDEX(Contracts!$E$2:$E$151,$AB797)&amp;"",IF($Z797="A",INDEX(Fixed_Assets!$D$2:$D$201,$AB797)&amp;"",IF($Z797="F",INDEX(FTE_Allocation!$C$2:$C$201,$AB797)&amp;"","")))</f>
        <v/>
      </c>
      <c r="D797" s="7">
        <f>IF($Z797="C",INDEX(Contracts!$B$2:$B$151,$AB797)&amp;"",IF($Z797="A",INDEX(Fixed_Assets!$B$2:$B$201,$AB797)&amp;"",IF($Z797="F",INDEX(FTE_Allocation!$B$2:$B$201,$AB797)&amp;"","")))</f>
        <v/>
      </c>
      <c r="E797" s="7">
        <f>IF($Z797="C",INDEX(Contracts!$P$2:$P$151,$AB797)&amp;"",IF($Z797="A",INDEX(Fixed_Assets!$K$2:$K$201,$AB797)&amp;"",IF($Z797="F",IF(INDEX(FTE_Allocation!$D$2:$D$201,$AB797)="PROJECT",IFERROR(INDEX(Projects!$D:$D,MATCH(INDEX(FTE_Allocation!$E$2:$E$201,$AB797),Projects!$A:$A,0))&amp;"","#PROJECT?"),INDEX(FTE_Allocation!$E$2:$E$201,$AB797)&amp;""),"")))</f>
        <v/>
      </c>
      <c r="F797" s="7">
        <f>IF($Z797="C",INDEX(Contracts!$Q$2:$Q$151,$AB797)&amp;"",IF($Z797="A",INDEX(Fixed_Assets!$L$2:$L$201,$AB797)&amp;"",IF($Z797="F",INDEX(Workforce!$K$2:$K$151,MATCH(INDEX(FTE_Allocation!$A$2:$A$201,$AB797),Workforce!$A$2:$A$151,0))&amp;"","")))</f>
        <v/>
      </c>
      <c r="G797" s="7">
        <f>IF($Z797="C",INDEX(Contracts!$F$2:$F$151,$AB797)&amp;" / "&amp;INDEX(Contracts!$G$2:$G$151,$AB797),IF($Z797="A",INDEX(Fixed_Assets!$E$2:$E$201,$AB797)&amp;"",IF($Z797="F","Personnel "&amp;INDEX(FTE_Allocation!$A$2:$A$201,$AB797)&amp;IF(INDEX(FTE_Allocation!$D$2:$D$201,$AB797)="PROJECT"," ("&amp;INDEX(FTE_Allocation!$E$2:$E$201,$AB797)&amp;")",""),"")))</f>
        <v/>
      </c>
      <c r="H797" s="7">
        <f>IF($Z797="C","CONTRACT",IF($Z797="A","ASSET",IF($Z797="F","WORKFORCE","")))</f>
        <v/>
      </c>
      <c r="I797" s="7">
        <f>IF($Z797="C",INDEX(Contracts!$L$2:$L$151,$AB797)&amp;"",IF($Z797="A",INDEX(Fixed_Assets!$I$2:$I$201,$AB797)&amp;"",IF($Z797="F",INDEX(Workforce!$G$2:$G$151,MATCH(INDEX(FTE_Allocation!$A$2:$A$201,$AB797),Workforce!$A$2:$A$151,0))&amp;"","")))</f>
        <v/>
      </c>
      <c r="J797" s="18">
        <f>IF($Z797="","",IF(AND(DATE($AD797,1,1)&gt;=$AE797,DATE($AD797,1,1)&lt;=$AF797),ROUND($AG797,2),0))</f>
        <v/>
      </c>
      <c r="K797" s="18">
        <f>IF($Z797="","",IF(AND(DATE($AD797,2,1)&gt;=$AE797,DATE($AD797,2,1)&lt;=$AF797),ROUND($AG797,2),0))</f>
        <v/>
      </c>
      <c r="L797" s="18">
        <f>IF($Z797="","",IF(AND(DATE($AD797,3,1)&gt;=$AE797,DATE($AD797,3,1)&lt;=$AF797),ROUND($AG797,2),0))</f>
        <v/>
      </c>
      <c r="M797" s="18">
        <f>IF($Z797="","",IF(AND(DATE($AD797,4,1)&gt;=$AE797,DATE($AD797,4,1)&lt;=$AF797),ROUND($AG797,2),0))</f>
        <v/>
      </c>
      <c r="N797" s="18">
        <f>IF($Z797="","",IF(AND(DATE($AD797,5,1)&gt;=$AE797,DATE($AD797,5,1)&lt;=$AF797),ROUND($AG797,2),0))</f>
        <v/>
      </c>
      <c r="O797" s="18">
        <f>IF($Z797="","",IF(AND(DATE($AD797,6,1)&gt;=$AE797,DATE($AD797,6,1)&lt;=$AF797),ROUND($AG797,2),0))</f>
        <v/>
      </c>
      <c r="P797" s="18">
        <f>IF($Z797="","",IF(AND(DATE($AD797,7,1)&gt;=$AE797,DATE($AD797,7,1)&lt;=$AF797),ROUND($AG797,2),0))</f>
        <v/>
      </c>
      <c r="Q797" s="18">
        <f>IF($Z797="","",IF(AND(DATE($AD797,8,1)&gt;=$AE797,DATE($AD797,8,1)&lt;=$AF797),ROUND($AG797,2),0))</f>
        <v/>
      </c>
      <c r="R797" s="18">
        <f>IF($Z797="","",IF(AND(DATE($AD797,9,1)&gt;=$AE797,DATE($AD797,9,1)&lt;=$AF797),ROUND($AG797,2),0))</f>
        <v/>
      </c>
      <c r="S797" s="18">
        <f>IF($Z797="","",IF(AND(DATE($AD797,10,1)&gt;=$AE797,DATE($AD797,10,1)&lt;=$AF797),ROUND($AG797,2),0))</f>
        <v/>
      </c>
      <c r="T797" s="18">
        <f>IF($Z797="","",IF(AND(DATE($AD797,11,1)&gt;=$AE797,DATE($AD797,11,1)&lt;=$AF797),ROUND($AG797,2),0))</f>
        <v/>
      </c>
      <c r="U797" s="18">
        <f>IF($Z797="","",IF(AND(DATE($AD797,12,1)&gt;=$AE797,DATE($AD797,12,1)&lt;=$AF797),ROUND($AG797,2),0))</f>
        <v/>
      </c>
      <c r="V797" s="7">
        <f>IF($Z797="C","Generated from "&amp;INDEX(Contracts!$A$2:$A$151,$AB797),IF($Z797="A","Generated from "&amp;INDEX(Fixed_Assets!$A$2:$A$201,$AB797),IF($Z797="F","Generated from "&amp;INDEX(FTE_Allocation!$A$2:$A$201,$AB797),"")))</f>
        <v/>
      </c>
      <c r="X797" s="19">
        <f>IF($Z797="","",SUM(J797:U797))</f>
        <v/>
      </c>
      <c r="Y797" s="20">
        <f>ROW()-1</f>
        <v/>
      </c>
      <c r="Z797" s="20">
        <f>IF($Y797&lt;=Settings!$B$4*3,"C",IF($Y797&lt;=(Settings!$B$4+Settings!$B$5)*3,"A",IF($Y797&lt;=(Settings!$B$4+Settings!$B$5+Settings!$B$6)*3,"F","")))</f>
        <v/>
      </c>
      <c r="AA797" s="20">
        <f>IF($Z797="C",$Y797,IF($Z797="A",$Y797-Settings!$B$4*3,IF($Z797="F",$Y797-(Settings!$B$4+Settings!$B$5)*3,"")))</f>
        <v/>
      </c>
      <c r="AB797" s="20">
        <f>IF($Z797="","",INT(($AA797-1)/3)+1)</f>
        <v/>
      </c>
      <c r="AC797" s="20">
        <f>IF($Z797="","",MOD($AA797-1,3)+1)</f>
        <v/>
      </c>
      <c r="AD797" s="20">
        <f>IF($Z797="","",Settings!$B$2+$AC797-1)</f>
        <v/>
      </c>
      <c r="AE797" s="21">
        <f>IF($Z797="C",DATE(YEAR(INDEX(Contracts!$J$2:$J$151,$AB797)),MONTH(INDEX(Contracts!$J$2:$J$151,$AB797)),1),IF($Z797="A",DATE(YEAR(INDEX(Fixed_Assets!$G$2:$G$201,$AB797)),MONTH(INDEX(Fixed_Assets!$G$2:$G$201,$AB797)),1),IF($Z797="F",DATE(YEAR(MAX(N(INDEX(Workforce!$I$2:$I$151,MATCH(INDEX(FTE_Allocation!$A$2:$A$201,$AB797),Workforce!$A$2:$A$151,0))),N(INDEX(FTE_Allocation!$I$2:$I$201,$AB797)))),MONTH(MAX(N(INDEX(Workforce!$I$2:$I$151,MATCH(INDEX(FTE_Allocation!$A$2:$A$201,$AB797),Workforce!$A$2:$A$151,0))),N(INDEX(FTE_Allocation!$I$2:$I$201,$AB797)))),1),"")))</f>
        <v/>
      </c>
      <c r="AF797" s="21">
        <f>IF($Z797="C",IF(INDEX(Contracts!$I$2:$I$151,$AB797)="PREPAID",EDATE(DATE(YEAR(INDEX(Contracts!$J$2:$J$151,$AB797)),MONTH(INDEX(Contracts!$J$2:$J$151,$AB797)),1),IF(INDEX(Contracts!$N$2:$N$151,$AB797)="",12,INDEX(Contracts!$N$2:$N$151,$AB797))-1),IF(INDEX(Contracts!$I$2:$I$151,$AB797)="MONTHLY",IF(INDEX(Contracts!$K$2:$K$151,$AB797)="",2958101,INDEX(Contracts!$K$2:$K$151,$AB797)),0)),IF($Z797="A",EDATE(DATE(YEAR(INDEX(Fixed_Assets!$G$2:$G$201,$AB797)),MONTH(INDEX(Fixed_Assets!$G$2:$G$201,$AB797)),1),INDEX(Fixed_Assets!$J$2:$J$201,$AB797)-1),IF($Z797="F",MIN(IF(INDEX(Workforce!$J$2:$J$151,MATCH(INDEX(FTE_Allocation!$A$2:$A$201,$AB797),Workforce!$A$2:$A$151,0))="",2958101,INDEX(Workforce!$J$2:$J$151,MATCH(INDEX(FTE_Allocation!$A$2:$A$201,$AB797),Workforce!$A$2:$A$151,0))),IF(INDEX(FTE_Allocation!$J$2:$J$201,$AB797)="",2958101,INDEX(FTE_Allocation!$J$2:$J$201,$AB797))),"")))</f>
        <v/>
      </c>
      <c r="AG797" s="19">
        <f>IF($Z797="C",IF(INDEX(Contracts!$I$2:$I$151,$AB797)="PREPAID",INDEX(Contracts!$M$2:$M$151,$AB797)/IF(INDEX(Contracts!$N$2:$N$151,$AB797)="",12,INDEX(Contracts!$N$2:$N$151,$AB797)),IF(INDEX(Contracts!$I$2:$I$151,$AB797)="MONTHLY",INDEX(Contracts!$M$2:$M$151,$AB797),0))*(1-N(INDEX(Contracts!$O$2:$O$151,$AB797))),IF($Z797="A",INDEX(Fixed_Assets!$H$2:$H$201,$AB797)/INDEX(Fixed_Assets!$J$2:$J$201,$AB797),IF($Z797="F",INDEX(Workforce!$F$2:$F$151,MATCH(INDEX(FTE_Allocation!$A$2:$A$201,$AB797),Workforce!$A$2:$A$151,0))*N(INDEX(FTE_Allocation!$F$2:$H$201,$AB797,$AC797)),"")))</f>
        <v/>
      </c>
    </row>
    <row r="798">
      <c r="A798" s="7">
        <f>IF($Z798="","",$AD798)</f>
        <v/>
      </c>
      <c r="B798" s="7">
        <f>IF($Z798="C",INDEX(Contracts!$D$2:$D$151,$AB798)&amp;"",IF($Z798="A",INDEX(Fixed_Assets!$C$2:$C$201,$AB798)&amp;"",IF($Z798="F",INDEX(Workforce!$B$2:$B$151,MATCH(INDEX(FTE_Allocation!$A$2:$A$201,$AB798),Workforce!$A$2:$A$151,0))&amp;"","")))</f>
        <v/>
      </c>
      <c r="C798" s="7">
        <f>IF($Z798="C",INDEX(Contracts!$E$2:$E$151,$AB798)&amp;"",IF($Z798="A",INDEX(Fixed_Assets!$D$2:$D$201,$AB798)&amp;"",IF($Z798="F",INDEX(FTE_Allocation!$C$2:$C$201,$AB798)&amp;"","")))</f>
        <v/>
      </c>
      <c r="D798" s="7">
        <f>IF($Z798="C",INDEX(Contracts!$B$2:$B$151,$AB798)&amp;"",IF($Z798="A",INDEX(Fixed_Assets!$B$2:$B$201,$AB798)&amp;"",IF($Z798="F",INDEX(FTE_Allocation!$B$2:$B$201,$AB798)&amp;"","")))</f>
        <v/>
      </c>
      <c r="E798" s="7">
        <f>IF($Z798="C",INDEX(Contracts!$P$2:$P$151,$AB798)&amp;"",IF($Z798="A",INDEX(Fixed_Assets!$K$2:$K$201,$AB798)&amp;"",IF($Z798="F",IF(INDEX(FTE_Allocation!$D$2:$D$201,$AB798)="PROJECT",IFERROR(INDEX(Projects!$D:$D,MATCH(INDEX(FTE_Allocation!$E$2:$E$201,$AB798),Projects!$A:$A,0))&amp;"","#PROJECT?"),INDEX(FTE_Allocation!$E$2:$E$201,$AB798)&amp;""),"")))</f>
        <v/>
      </c>
      <c r="F798" s="7">
        <f>IF($Z798="C",INDEX(Contracts!$Q$2:$Q$151,$AB798)&amp;"",IF($Z798="A",INDEX(Fixed_Assets!$L$2:$L$201,$AB798)&amp;"",IF($Z798="F",INDEX(Workforce!$K$2:$K$151,MATCH(INDEX(FTE_Allocation!$A$2:$A$201,$AB798),Workforce!$A$2:$A$151,0))&amp;"","")))</f>
        <v/>
      </c>
      <c r="G798" s="7">
        <f>IF($Z798="C",INDEX(Contracts!$F$2:$F$151,$AB798)&amp;" / "&amp;INDEX(Contracts!$G$2:$G$151,$AB798),IF($Z798="A",INDEX(Fixed_Assets!$E$2:$E$201,$AB798)&amp;"",IF($Z798="F","Personnel "&amp;INDEX(FTE_Allocation!$A$2:$A$201,$AB798)&amp;IF(INDEX(FTE_Allocation!$D$2:$D$201,$AB798)="PROJECT"," ("&amp;INDEX(FTE_Allocation!$E$2:$E$201,$AB798)&amp;")",""),"")))</f>
        <v/>
      </c>
      <c r="H798" s="7">
        <f>IF($Z798="C","CONTRACT",IF($Z798="A","ASSET",IF($Z798="F","WORKFORCE","")))</f>
        <v/>
      </c>
      <c r="I798" s="7">
        <f>IF($Z798="C",INDEX(Contracts!$L$2:$L$151,$AB798)&amp;"",IF($Z798="A",INDEX(Fixed_Assets!$I$2:$I$201,$AB798)&amp;"",IF($Z798="F",INDEX(Workforce!$G$2:$G$151,MATCH(INDEX(FTE_Allocation!$A$2:$A$201,$AB798),Workforce!$A$2:$A$151,0))&amp;"","")))</f>
        <v/>
      </c>
      <c r="J798" s="18">
        <f>IF($Z798="","",IF(AND(DATE($AD798,1,1)&gt;=$AE798,DATE($AD798,1,1)&lt;=$AF798),ROUND($AG798,2),0))</f>
        <v/>
      </c>
      <c r="K798" s="18">
        <f>IF($Z798="","",IF(AND(DATE($AD798,2,1)&gt;=$AE798,DATE($AD798,2,1)&lt;=$AF798),ROUND($AG798,2),0))</f>
        <v/>
      </c>
      <c r="L798" s="18">
        <f>IF($Z798="","",IF(AND(DATE($AD798,3,1)&gt;=$AE798,DATE($AD798,3,1)&lt;=$AF798),ROUND($AG798,2),0))</f>
        <v/>
      </c>
      <c r="M798" s="18">
        <f>IF($Z798="","",IF(AND(DATE($AD798,4,1)&gt;=$AE798,DATE($AD798,4,1)&lt;=$AF798),ROUND($AG798,2),0))</f>
        <v/>
      </c>
      <c r="N798" s="18">
        <f>IF($Z798="","",IF(AND(DATE($AD798,5,1)&gt;=$AE798,DATE($AD798,5,1)&lt;=$AF798),ROUND($AG798,2),0))</f>
        <v/>
      </c>
      <c r="O798" s="18">
        <f>IF($Z798="","",IF(AND(DATE($AD798,6,1)&gt;=$AE798,DATE($AD798,6,1)&lt;=$AF798),ROUND($AG798,2),0))</f>
        <v/>
      </c>
      <c r="P798" s="18">
        <f>IF($Z798="","",IF(AND(DATE($AD798,7,1)&gt;=$AE798,DATE($AD798,7,1)&lt;=$AF798),ROUND($AG798,2),0))</f>
        <v/>
      </c>
      <c r="Q798" s="18">
        <f>IF($Z798="","",IF(AND(DATE($AD798,8,1)&gt;=$AE798,DATE($AD798,8,1)&lt;=$AF798),ROUND($AG798,2),0))</f>
        <v/>
      </c>
      <c r="R798" s="18">
        <f>IF($Z798="","",IF(AND(DATE($AD798,9,1)&gt;=$AE798,DATE($AD798,9,1)&lt;=$AF798),ROUND($AG798,2),0))</f>
        <v/>
      </c>
      <c r="S798" s="18">
        <f>IF($Z798="","",IF(AND(DATE($AD798,10,1)&gt;=$AE798,DATE($AD798,10,1)&lt;=$AF798),ROUND($AG798,2),0))</f>
        <v/>
      </c>
      <c r="T798" s="18">
        <f>IF($Z798="","",IF(AND(DATE($AD798,11,1)&gt;=$AE798,DATE($AD798,11,1)&lt;=$AF798),ROUND($AG798,2),0))</f>
        <v/>
      </c>
      <c r="U798" s="18">
        <f>IF($Z798="","",IF(AND(DATE($AD798,12,1)&gt;=$AE798,DATE($AD798,12,1)&lt;=$AF798),ROUND($AG798,2),0))</f>
        <v/>
      </c>
      <c r="V798" s="7">
        <f>IF($Z798="C","Generated from "&amp;INDEX(Contracts!$A$2:$A$151,$AB798),IF($Z798="A","Generated from "&amp;INDEX(Fixed_Assets!$A$2:$A$201,$AB798),IF($Z798="F","Generated from "&amp;INDEX(FTE_Allocation!$A$2:$A$201,$AB798),"")))</f>
        <v/>
      </c>
      <c r="X798" s="19">
        <f>IF($Z798="","",SUM(J798:U798))</f>
        <v/>
      </c>
      <c r="Y798" s="20">
        <f>ROW()-1</f>
        <v/>
      </c>
      <c r="Z798" s="20">
        <f>IF($Y798&lt;=Settings!$B$4*3,"C",IF($Y798&lt;=(Settings!$B$4+Settings!$B$5)*3,"A",IF($Y798&lt;=(Settings!$B$4+Settings!$B$5+Settings!$B$6)*3,"F","")))</f>
        <v/>
      </c>
      <c r="AA798" s="20">
        <f>IF($Z798="C",$Y798,IF($Z798="A",$Y798-Settings!$B$4*3,IF($Z798="F",$Y798-(Settings!$B$4+Settings!$B$5)*3,"")))</f>
        <v/>
      </c>
      <c r="AB798" s="20">
        <f>IF($Z798="","",INT(($AA798-1)/3)+1)</f>
        <v/>
      </c>
      <c r="AC798" s="20">
        <f>IF($Z798="","",MOD($AA798-1,3)+1)</f>
        <v/>
      </c>
      <c r="AD798" s="20">
        <f>IF($Z798="","",Settings!$B$2+$AC798-1)</f>
        <v/>
      </c>
      <c r="AE798" s="21">
        <f>IF($Z798="C",DATE(YEAR(INDEX(Contracts!$J$2:$J$151,$AB798)),MONTH(INDEX(Contracts!$J$2:$J$151,$AB798)),1),IF($Z798="A",DATE(YEAR(INDEX(Fixed_Assets!$G$2:$G$201,$AB798)),MONTH(INDEX(Fixed_Assets!$G$2:$G$201,$AB798)),1),IF($Z798="F",DATE(YEAR(MAX(N(INDEX(Workforce!$I$2:$I$151,MATCH(INDEX(FTE_Allocation!$A$2:$A$201,$AB798),Workforce!$A$2:$A$151,0))),N(INDEX(FTE_Allocation!$I$2:$I$201,$AB798)))),MONTH(MAX(N(INDEX(Workforce!$I$2:$I$151,MATCH(INDEX(FTE_Allocation!$A$2:$A$201,$AB798),Workforce!$A$2:$A$151,0))),N(INDEX(FTE_Allocation!$I$2:$I$201,$AB798)))),1),"")))</f>
        <v/>
      </c>
      <c r="AF798" s="21">
        <f>IF($Z798="C",IF(INDEX(Contracts!$I$2:$I$151,$AB798)="PREPAID",EDATE(DATE(YEAR(INDEX(Contracts!$J$2:$J$151,$AB798)),MONTH(INDEX(Contracts!$J$2:$J$151,$AB798)),1),IF(INDEX(Contracts!$N$2:$N$151,$AB798)="",12,INDEX(Contracts!$N$2:$N$151,$AB798))-1),IF(INDEX(Contracts!$I$2:$I$151,$AB798)="MONTHLY",IF(INDEX(Contracts!$K$2:$K$151,$AB798)="",2958101,INDEX(Contracts!$K$2:$K$151,$AB798)),0)),IF($Z798="A",EDATE(DATE(YEAR(INDEX(Fixed_Assets!$G$2:$G$201,$AB798)),MONTH(INDEX(Fixed_Assets!$G$2:$G$201,$AB798)),1),INDEX(Fixed_Assets!$J$2:$J$201,$AB798)-1),IF($Z798="F",MIN(IF(INDEX(Workforce!$J$2:$J$151,MATCH(INDEX(FTE_Allocation!$A$2:$A$201,$AB798),Workforce!$A$2:$A$151,0))="",2958101,INDEX(Workforce!$J$2:$J$151,MATCH(INDEX(FTE_Allocation!$A$2:$A$201,$AB798),Workforce!$A$2:$A$151,0))),IF(INDEX(FTE_Allocation!$J$2:$J$201,$AB798)="",2958101,INDEX(FTE_Allocation!$J$2:$J$201,$AB798))),"")))</f>
        <v/>
      </c>
      <c r="AG798" s="19">
        <f>IF($Z798="C",IF(INDEX(Contracts!$I$2:$I$151,$AB798)="PREPAID",INDEX(Contracts!$M$2:$M$151,$AB798)/IF(INDEX(Contracts!$N$2:$N$151,$AB798)="",12,INDEX(Contracts!$N$2:$N$151,$AB798)),IF(INDEX(Contracts!$I$2:$I$151,$AB798)="MONTHLY",INDEX(Contracts!$M$2:$M$151,$AB798),0))*(1-N(INDEX(Contracts!$O$2:$O$151,$AB798))),IF($Z798="A",INDEX(Fixed_Assets!$H$2:$H$201,$AB798)/INDEX(Fixed_Assets!$J$2:$J$201,$AB798),IF($Z798="F",INDEX(Workforce!$F$2:$F$151,MATCH(INDEX(FTE_Allocation!$A$2:$A$201,$AB798),Workforce!$A$2:$A$151,0))*N(INDEX(FTE_Allocation!$F$2:$H$201,$AB798,$AC798)),"")))</f>
        <v/>
      </c>
    </row>
    <row r="799">
      <c r="A799" s="7">
        <f>IF($Z799="","",$AD799)</f>
        <v/>
      </c>
      <c r="B799" s="7">
        <f>IF($Z799="C",INDEX(Contracts!$D$2:$D$151,$AB799)&amp;"",IF($Z799="A",INDEX(Fixed_Assets!$C$2:$C$201,$AB799)&amp;"",IF($Z799="F",INDEX(Workforce!$B$2:$B$151,MATCH(INDEX(FTE_Allocation!$A$2:$A$201,$AB799),Workforce!$A$2:$A$151,0))&amp;"","")))</f>
        <v/>
      </c>
      <c r="C799" s="7">
        <f>IF($Z799="C",INDEX(Contracts!$E$2:$E$151,$AB799)&amp;"",IF($Z799="A",INDEX(Fixed_Assets!$D$2:$D$201,$AB799)&amp;"",IF($Z799="F",INDEX(FTE_Allocation!$C$2:$C$201,$AB799)&amp;"","")))</f>
        <v/>
      </c>
      <c r="D799" s="7">
        <f>IF($Z799="C",INDEX(Contracts!$B$2:$B$151,$AB799)&amp;"",IF($Z799="A",INDEX(Fixed_Assets!$B$2:$B$201,$AB799)&amp;"",IF($Z799="F",INDEX(FTE_Allocation!$B$2:$B$201,$AB799)&amp;"","")))</f>
        <v/>
      </c>
      <c r="E799" s="7">
        <f>IF($Z799="C",INDEX(Contracts!$P$2:$P$151,$AB799)&amp;"",IF($Z799="A",INDEX(Fixed_Assets!$K$2:$K$201,$AB799)&amp;"",IF($Z799="F",IF(INDEX(FTE_Allocation!$D$2:$D$201,$AB799)="PROJECT",IFERROR(INDEX(Projects!$D:$D,MATCH(INDEX(FTE_Allocation!$E$2:$E$201,$AB799),Projects!$A:$A,0))&amp;"","#PROJECT?"),INDEX(FTE_Allocation!$E$2:$E$201,$AB799)&amp;""),"")))</f>
        <v/>
      </c>
      <c r="F799" s="7">
        <f>IF($Z799="C",INDEX(Contracts!$Q$2:$Q$151,$AB799)&amp;"",IF($Z799="A",INDEX(Fixed_Assets!$L$2:$L$201,$AB799)&amp;"",IF($Z799="F",INDEX(Workforce!$K$2:$K$151,MATCH(INDEX(FTE_Allocation!$A$2:$A$201,$AB799),Workforce!$A$2:$A$151,0))&amp;"","")))</f>
        <v/>
      </c>
      <c r="G799" s="7">
        <f>IF($Z799="C",INDEX(Contracts!$F$2:$F$151,$AB799)&amp;" / "&amp;INDEX(Contracts!$G$2:$G$151,$AB799),IF($Z799="A",INDEX(Fixed_Assets!$E$2:$E$201,$AB799)&amp;"",IF($Z799="F","Personnel "&amp;INDEX(FTE_Allocation!$A$2:$A$201,$AB799)&amp;IF(INDEX(FTE_Allocation!$D$2:$D$201,$AB799)="PROJECT"," ("&amp;INDEX(FTE_Allocation!$E$2:$E$201,$AB799)&amp;")",""),"")))</f>
        <v/>
      </c>
      <c r="H799" s="7">
        <f>IF($Z799="C","CONTRACT",IF($Z799="A","ASSET",IF($Z799="F","WORKFORCE","")))</f>
        <v/>
      </c>
      <c r="I799" s="7">
        <f>IF($Z799="C",INDEX(Contracts!$L$2:$L$151,$AB799)&amp;"",IF($Z799="A",INDEX(Fixed_Assets!$I$2:$I$201,$AB799)&amp;"",IF($Z799="F",INDEX(Workforce!$G$2:$G$151,MATCH(INDEX(FTE_Allocation!$A$2:$A$201,$AB799),Workforce!$A$2:$A$151,0))&amp;"","")))</f>
        <v/>
      </c>
      <c r="J799" s="18">
        <f>IF($Z799="","",IF(AND(DATE($AD799,1,1)&gt;=$AE799,DATE($AD799,1,1)&lt;=$AF799),ROUND($AG799,2),0))</f>
        <v/>
      </c>
      <c r="K799" s="18">
        <f>IF($Z799="","",IF(AND(DATE($AD799,2,1)&gt;=$AE799,DATE($AD799,2,1)&lt;=$AF799),ROUND($AG799,2),0))</f>
        <v/>
      </c>
      <c r="L799" s="18">
        <f>IF($Z799="","",IF(AND(DATE($AD799,3,1)&gt;=$AE799,DATE($AD799,3,1)&lt;=$AF799),ROUND($AG799,2),0))</f>
        <v/>
      </c>
      <c r="M799" s="18">
        <f>IF($Z799="","",IF(AND(DATE($AD799,4,1)&gt;=$AE799,DATE($AD799,4,1)&lt;=$AF799),ROUND($AG799,2),0))</f>
        <v/>
      </c>
      <c r="N799" s="18">
        <f>IF($Z799="","",IF(AND(DATE($AD799,5,1)&gt;=$AE799,DATE($AD799,5,1)&lt;=$AF799),ROUND($AG799,2),0))</f>
        <v/>
      </c>
      <c r="O799" s="18">
        <f>IF($Z799="","",IF(AND(DATE($AD799,6,1)&gt;=$AE799,DATE($AD799,6,1)&lt;=$AF799),ROUND($AG799,2),0))</f>
        <v/>
      </c>
      <c r="P799" s="18">
        <f>IF($Z799="","",IF(AND(DATE($AD799,7,1)&gt;=$AE799,DATE($AD799,7,1)&lt;=$AF799),ROUND($AG799,2),0))</f>
        <v/>
      </c>
      <c r="Q799" s="18">
        <f>IF($Z799="","",IF(AND(DATE($AD799,8,1)&gt;=$AE799,DATE($AD799,8,1)&lt;=$AF799),ROUND($AG799,2),0))</f>
        <v/>
      </c>
      <c r="R799" s="18">
        <f>IF($Z799="","",IF(AND(DATE($AD799,9,1)&gt;=$AE799,DATE($AD799,9,1)&lt;=$AF799),ROUND($AG799,2),0))</f>
        <v/>
      </c>
      <c r="S799" s="18">
        <f>IF($Z799="","",IF(AND(DATE($AD799,10,1)&gt;=$AE799,DATE($AD799,10,1)&lt;=$AF799),ROUND($AG799,2),0))</f>
        <v/>
      </c>
      <c r="T799" s="18">
        <f>IF($Z799="","",IF(AND(DATE($AD799,11,1)&gt;=$AE799,DATE($AD799,11,1)&lt;=$AF799),ROUND($AG799,2),0))</f>
        <v/>
      </c>
      <c r="U799" s="18">
        <f>IF($Z799="","",IF(AND(DATE($AD799,12,1)&gt;=$AE799,DATE($AD799,12,1)&lt;=$AF799),ROUND($AG799,2),0))</f>
        <v/>
      </c>
      <c r="V799" s="7">
        <f>IF($Z799="C","Generated from "&amp;INDEX(Contracts!$A$2:$A$151,$AB799),IF($Z799="A","Generated from "&amp;INDEX(Fixed_Assets!$A$2:$A$201,$AB799),IF($Z799="F","Generated from "&amp;INDEX(FTE_Allocation!$A$2:$A$201,$AB799),"")))</f>
        <v/>
      </c>
      <c r="X799" s="19">
        <f>IF($Z799="","",SUM(J799:U799))</f>
        <v/>
      </c>
      <c r="Y799" s="20">
        <f>ROW()-1</f>
        <v/>
      </c>
      <c r="Z799" s="20">
        <f>IF($Y799&lt;=Settings!$B$4*3,"C",IF($Y799&lt;=(Settings!$B$4+Settings!$B$5)*3,"A",IF($Y799&lt;=(Settings!$B$4+Settings!$B$5+Settings!$B$6)*3,"F","")))</f>
        <v/>
      </c>
      <c r="AA799" s="20">
        <f>IF($Z799="C",$Y799,IF($Z799="A",$Y799-Settings!$B$4*3,IF($Z799="F",$Y799-(Settings!$B$4+Settings!$B$5)*3,"")))</f>
        <v/>
      </c>
      <c r="AB799" s="20">
        <f>IF($Z799="","",INT(($AA799-1)/3)+1)</f>
        <v/>
      </c>
      <c r="AC799" s="20">
        <f>IF($Z799="","",MOD($AA799-1,3)+1)</f>
        <v/>
      </c>
      <c r="AD799" s="20">
        <f>IF($Z799="","",Settings!$B$2+$AC799-1)</f>
        <v/>
      </c>
      <c r="AE799" s="21">
        <f>IF($Z799="C",DATE(YEAR(INDEX(Contracts!$J$2:$J$151,$AB799)),MONTH(INDEX(Contracts!$J$2:$J$151,$AB799)),1),IF($Z799="A",DATE(YEAR(INDEX(Fixed_Assets!$G$2:$G$201,$AB799)),MONTH(INDEX(Fixed_Assets!$G$2:$G$201,$AB799)),1),IF($Z799="F",DATE(YEAR(MAX(N(INDEX(Workforce!$I$2:$I$151,MATCH(INDEX(FTE_Allocation!$A$2:$A$201,$AB799),Workforce!$A$2:$A$151,0))),N(INDEX(FTE_Allocation!$I$2:$I$201,$AB799)))),MONTH(MAX(N(INDEX(Workforce!$I$2:$I$151,MATCH(INDEX(FTE_Allocation!$A$2:$A$201,$AB799),Workforce!$A$2:$A$151,0))),N(INDEX(FTE_Allocation!$I$2:$I$201,$AB799)))),1),"")))</f>
        <v/>
      </c>
      <c r="AF799" s="21">
        <f>IF($Z799="C",IF(INDEX(Contracts!$I$2:$I$151,$AB799)="PREPAID",EDATE(DATE(YEAR(INDEX(Contracts!$J$2:$J$151,$AB799)),MONTH(INDEX(Contracts!$J$2:$J$151,$AB799)),1),IF(INDEX(Contracts!$N$2:$N$151,$AB799)="",12,INDEX(Contracts!$N$2:$N$151,$AB799))-1),IF(INDEX(Contracts!$I$2:$I$151,$AB799)="MONTHLY",IF(INDEX(Contracts!$K$2:$K$151,$AB799)="",2958101,INDEX(Contracts!$K$2:$K$151,$AB799)),0)),IF($Z799="A",EDATE(DATE(YEAR(INDEX(Fixed_Assets!$G$2:$G$201,$AB799)),MONTH(INDEX(Fixed_Assets!$G$2:$G$201,$AB799)),1),INDEX(Fixed_Assets!$J$2:$J$201,$AB799)-1),IF($Z799="F",MIN(IF(INDEX(Workforce!$J$2:$J$151,MATCH(INDEX(FTE_Allocation!$A$2:$A$201,$AB799),Workforce!$A$2:$A$151,0))="",2958101,INDEX(Workforce!$J$2:$J$151,MATCH(INDEX(FTE_Allocation!$A$2:$A$201,$AB799),Workforce!$A$2:$A$151,0))),IF(INDEX(FTE_Allocation!$J$2:$J$201,$AB799)="",2958101,INDEX(FTE_Allocation!$J$2:$J$201,$AB799))),"")))</f>
        <v/>
      </c>
      <c r="AG799" s="19">
        <f>IF($Z799="C",IF(INDEX(Contracts!$I$2:$I$151,$AB799)="PREPAID",INDEX(Contracts!$M$2:$M$151,$AB799)/IF(INDEX(Contracts!$N$2:$N$151,$AB799)="",12,INDEX(Contracts!$N$2:$N$151,$AB799)),IF(INDEX(Contracts!$I$2:$I$151,$AB799)="MONTHLY",INDEX(Contracts!$M$2:$M$151,$AB799),0))*(1-N(INDEX(Contracts!$O$2:$O$151,$AB799))),IF($Z799="A",INDEX(Fixed_Assets!$H$2:$H$201,$AB799)/INDEX(Fixed_Assets!$J$2:$J$201,$AB799),IF($Z799="F",INDEX(Workforce!$F$2:$F$151,MATCH(INDEX(FTE_Allocation!$A$2:$A$201,$AB799),Workforce!$A$2:$A$151,0))*N(INDEX(FTE_Allocation!$F$2:$H$201,$AB799,$AC799)),"")))</f>
        <v/>
      </c>
    </row>
    <row r="800">
      <c r="A800" s="7">
        <f>IF($Z800="","",$AD800)</f>
        <v/>
      </c>
      <c r="B800" s="7">
        <f>IF($Z800="C",INDEX(Contracts!$D$2:$D$151,$AB800)&amp;"",IF($Z800="A",INDEX(Fixed_Assets!$C$2:$C$201,$AB800)&amp;"",IF($Z800="F",INDEX(Workforce!$B$2:$B$151,MATCH(INDEX(FTE_Allocation!$A$2:$A$201,$AB800),Workforce!$A$2:$A$151,0))&amp;"","")))</f>
        <v/>
      </c>
      <c r="C800" s="7">
        <f>IF($Z800="C",INDEX(Contracts!$E$2:$E$151,$AB800)&amp;"",IF($Z800="A",INDEX(Fixed_Assets!$D$2:$D$201,$AB800)&amp;"",IF($Z800="F",INDEX(FTE_Allocation!$C$2:$C$201,$AB800)&amp;"","")))</f>
        <v/>
      </c>
      <c r="D800" s="7">
        <f>IF($Z800="C",INDEX(Contracts!$B$2:$B$151,$AB800)&amp;"",IF($Z800="A",INDEX(Fixed_Assets!$B$2:$B$201,$AB800)&amp;"",IF($Z800="F",INDEX(FTE_Allocation!$B$2:$B$201,$AB800)&amp;"","")))</f>
        <v/>
      </c>
      <c r="E800" s="7">
        <f>IF($Z800="C",INDEX(Contracts!$P$2:$P$151,$AB800)&amp;"",IF($Z800="A",INDEX(Fixed_Assets!$K$2:$K$201,$AB800)&amp;"",IF($Z800="F",IF(INDEX(FTE_Allocation!$D$2:$D$201,$AB800)="PROJECT",IFERROR(INDEX(Projects!$D:$D,MATCH(INDEX(FTE_Allocation!$E$2:$E$201,$AB800),Projects!$A:$A,0))&amp;"","#PROJECT?"),INDEX(FTE_Allocation!$E$2:$E$201,$AB800)&amp;""),"")))</f>
        <v/>
      </c>
      <c r="F800" s="7">
        <f>IF($Z800="C",INDEX(Contracts!$Q$2:$Q$151,$AB800)&amp;"",IF($Z800="A",INDEX(Fixed_Assets!$L$2:$L$201,$AB800)&amp;"",IF($Z800="F",INDEX(Workforce!$K$2:$K$151,MATCH(INDEX(FTE_Allocation!$A$2:$A$201,$AB800),Workforce!$A$2:$A$151,0))&amp;"","")))</f>
        <v/>
      </c>
      <c r="G800" s="7">
        <f>IF($Z800="C",INDEX(Contracts!$F$2:$F$151,$AB800)&amp;" / "&amp;INDEX(Contracts!$G$2:$G$151,$AB800),IF($Z800="A",INDEX(Fixed_Assets!$E$2:$E$201,$AB800)&amp;"",IF($Z800="F","Personnel "&amp;INDEX(FTE_Allocation!$A$2:$A$201,$AB800)&amp;IF(INDEX(FTE_Allocation!$D$2:$D$201,$AB800)="PROJECT"," ("&amp;INDEX(FTE_Allocation!$E$2:$E$201,$AB800)&amp;")",""),"")))</f>
        <v/>
      </c>
      <c r="H800" s="7">
        <f>IF($Z800="C","CONTRACT",IF($Z800="A","ASSET",IF($Z800="F","WORKFORCE","")))</f>
        <v/>
      </c>
      <c r="I800" s="7">
        <f>IF($Z800="C",INDEX(Contracts!$L$2:$L$151,$AB800)&amp;"",IF($Z800="A",INDEX(Fixed_Assets!$I$2:$I$201,$AB800)&amp;"",IF($Z800="F",INDEX(Workforce!$G$2:$G$151,MATCH(INDEX(FTE_Allocation!$A$2:$A$201,$AB800),Workforce!$A$2:$A$151,0))&amp;"","")))</f>
        <v/>
      </c>
      <c r="J800" s="18">
        <f>IF($Z800="","",IF(AND(DATE($AD800,1,1)&gt;=$AE800,DATE($AD800,1,1)&lt;=$AF800),ROUND($AG800,2),0))</f>
        <v/>
      </c>
      <c r="K800" s="18">
        <f>IF($Z800="","",IF(AND(DATE($AD800,2,1)&gt;=$AE800,DATE($AD800,2,1)&lt;=$AF800),ROUND($AG800,2),0))</f>
        <v/>
      </c>
      <c r="L800" s="18">
        <f>IF($Z800="","",IF(AND(DATE($AD800,3,1)&gt;=$AE800,DATE($AD800,3,1)&lt;=$AF800),ROUND($AG800,2),0))</f>
        <v/>
      </c>
      <c r="M800" s="18">
        <f>IF($Z800="","",IF(AND(DATE($AD800,4,1)&gt;=$AE800,DATE($AD800,4,1)&lt;=$AF800),ROUND($AG800,2),0))</f>
        <v/>
      </c>
      <c r="N800" s="18">
        <f>IF($Z800="","",IF(AND(DATE($AD800,5,1)&gt;=$AE800,DATE($AD800,5,1)&lt;=$AF800),ROUND($AG800,2),0))</f>
        <v/>
      </c>
      <c r="O800" s="18">
        <f>IF($Z800="","",IF(AND(DATE($AD800,6,1)&gt;=$AE800,DATE($AD800,6,1)&lt;=$AF800),ROUND($AG800,2),0))</f>
        <v/>
      </c>
      <c r="P800" s="18">
        <f>IF($Z800="","",IF(AND(DATE($AD800,7,1)&gt;=$AE800,DATE($AD800,7,1)&lt;=$AF800),ROUND($AG800,2),0))</f>
        <v/>
      </c>
      <c r="Q800" s="18">
        <f>IF($Z800="","",IF(AND(DATE($AD800,8,1)&gt;=$AE800,DATE($AD800,8,1)&lt;=$AF800),ROUND($AG800,2),0))</f>
        <v/>
      </c>
      <c r="R800" s="18">
        <f>IF($Z800="","",IF(AND(DATE($AD800,9,1)&gt;=$AE800,DATE($AD800,9,1)&lt;=$AF800),ROUND($AG800,2),0))</f>
        <v/>
      </c>
      <c r="S800" s="18">
        <f>IF($Z800="","",IF(AND(DATE($AD800,10,1)&gt;=$AE800,DATE($AD800,10,1)&lt;=$AF800),ROUND($AG800,2),0))</f>
        <v/>
      </c>
      <c r="T800" s="18">
        <f>IF($Z800="","",IF(AND(DATE($AD800,11,1)&gt;=$AE800,DATE($AD800,11,1)&lt;=$AF800),ROUND($AG800,2),0))</f>
        <v/>
      </c>
      <c r="U800" s="18">
        <f>IF($Z800="","",IF(AND(DATE($AD800,12,1)&gt;=$AE800,DATE($AD800,12,1)&lt;=$AF800),ROUND($AG800,2),0))</f>
        <v/>
      </c>
      <c r="V800" s="7">
        <f>IF($Z800="C","Generated from "&amp;INDEX(Contracts!$A$2:$A$151,$AB800),IF($Z800="A","Generated from "&amp;INDEX(Fixed_Assets!$A$2:$A$201,$AB800),IF($Z800="F","Generated from "&amp;INDEX(FTE_Allocation!$A$2:$A$201,$AB800),"")))</f>
        <v/>
      </c>
      <c r="X800" s="19">
        <f>IF($Z800="","",SUM(J800:U800))</f>
        <v/>
      </c>
      <c r="Y800" s="20">
        <f>ROW()-1</f>
        <v/>
      </c>
      <c r="Z800" s="20">
        <f>IF($Y800&lt;=Settings!$B$4*3,"C",IF($Y800&lt;=(Settings!$B$4+Settings!$B$5)*3,"A",IF($Y800&lt;=(Settings!$B$4+Settings!$B$5+Settings!$B$6)*3,"F","")))</f>
        <v/>
      </c>
      <c r="AA800" s="20">
        <f>IF($Z800="C",$Y800,IF($Z800="A",$Y800-Settings!$B$4*3,IF($Z800="F",$Y800-(Settings!$B$4+Settings!$B$5)*3,"")))</f>
        <v/>
      </c>
      <c r="AB800" s="20">
        <f>IF($Z800="","",INT(($AA800-1)/3)+1)</f>
        <v/>
      </c>
      <c r="AC800" s="20">
        <f>IF($Z800="","",MOD($AA800-1,3)+1)</f>
        <v/>
      </c>
      <c r="AD800" s="20">
        <f>IF($Z800="","",Settings!$B$2+$AC800-1)</f>
        <v/>
      </c>
      <c r="AE800" s="21">
        <f>IF($Z800="C",DATE(YEAR(INDEX(Contracts!$J$2:$J$151,$AB800)),MONTH(INDEX(Contracts!$J$2:$J$151,$AB800)),1),IF($Z800="A",DATE(YEAR(INDEX(Fixed_Assets!$G$2:$G$201,$AB800)),MONTH(INDEX(Fixed_Assets!$G$2:$G$201,$AB800)),1),IF($Z800="F",DATE(YEAR(MAX(N(INDEX(Workforce!$I$2:$I$151,MATCH(INDEX(FTE_Allocation!$A$2:$A$201,$AB800),Workforce!$A$2:$A$151,0))),N(INDEX(FTE_Allocation!$I$2:$I$201,$AB800)))),MONTH(MAX(N(INDEX(Workforce!$I$2:$I$151,MATCH(INDEX(FTE_Allocation!$A$2:$A$201,$AB800),Workforce!$A$2:$A$151,0))),N(INDEX(FTE_Allocation!$I$2:$I$201,$AB800)))),1),"")))</f>
        <v/>
      </c>
      <c r="AF800" s="21">
        <f>IF($Z800="C",IF(INDEX(Contracts!$I$2:$I$151,$AB800)="PREPAID",EDATE(DATE(YEAR(INDEX(Contracts!$J$2:$J$151,$AB800)),MONTH(INDEX(Contracts!$J$2:$J$151,$AB800)),1),IF(INDEX(Contracts!$N$2:$N$151,$AB800)="",12,INDEX(Contracts!$N$2:$N$151,$AB800))-1),IF(INDEX(Contracts!$I$2:$I$151,$AB800)="MONTHLY",IF(INDEX(Contracts!$K$2:$K$151,$AB800)="",2958101,INDEX(Contracts!$K$2:$K$151,$AB800)),0)),IF($Z800="A",EDATE(DATE(YEAR(INDEX(Fixed_Assets!$G$2:$G$201,$AB800)),MONTH(INDEX(Fixed_Assets!$G$2:$G$201,$AB800)),1),INDEX(Fixed_Assets!$J$2:$J$201,$AB800)-1),IF($Z800="F",MIN(IF(INDEX(Workforce!$J$2:$J$151,MATCH(INDEX(FTE_Allocation!$A$2:$A$201,$AB800),Workforce!$A$2:$A$151,0))="",2958101,INDEX(Workforce!$J$2:$J$151,MATCH(INDEX(FTE_Allocation!$A$2:$A$201,$AB800),Workforce!$A$2:$A$151,0))),IF(INDEX(FTE_Allocation!$J$2:$J$201,$AB800)="",2958101,INDEX(FTE_Allocation!$J$2:$J$201,$AB800))),"")))</f>
        <v/>
      </c>
      <c r="AG800" s="19">
        <f>IF($Z800="C",IF(INDEX(Contracts!$I$2:$I$151,$AB800)="PREPAID",INDEX(Contracts!$M$2:$M$151,$AB800)/IF(INDEX(Contracts!$N$2:$N$151,$AB800)="",12,INDEX(Contracts!$N$2:$N$151,$AB800)),IF(INDEX(Contracts!$I$2:$I$151,$AB800)="MONTHLY",INDEX(Contracts!$M$2:$M$151,$AB800),0))*(1-N(INDEX(Contracts!$O$2:$O$151,$AB800))),IF($Z800="A",INDEX(Fixed_Assets!$H$2:$H$201,$AB800)/INDEX(Fixed_Assets!$J$2:$J$201,$AB800),IF($Z800="F",INDEX(Workforce!$F$2:$F$151,MATCH(INDEX(FTE_Allocation!$A$2:$A$201,$AB800),Workforce!$A$2:$A$151,0))*N(INDEX(FTE_Allocation!$F$2:$H$201,$AB800,$AC800)),"")))</f>
        <v/>
      </c>
    </row>
    <row r="801">
      <c r="A801" s="7">
        <f>IF($Z801="","",$AD801)</f>
        <v/>
      </c>
      <c r="B801" s="7">
        <f>IF($Z801="C",INDEX(Contracts!$D$2:$D$151,$AB801)&amp;"",IF($Z801="A",INDEX(Fixed_Assets!$C$2:$C$201,$AB801)&amp;"",IF($Z801="F",INDEX(Workforce!$B$2:$B$151,MATCH(INDEX(FTE_Allocation!$A$2:$A$201,$AB801),Workforce!$A$2:$A$151,0))&amp;"","")))</f>
        <v/>
      </c>
      <c r="C801" s="7">
        <f>IF($Z801="C",INDEX(Contracts!$E$2:$E$151,$AB801)&amp;"",IF($Z801="A",INDEX(Fixed_Assets!$D$2:$D$201,$AB801)&amp;"",IF($Z801="F",INDEX(FTE_Allocation!$C$2:$C$201,$AB801)&amp;"","")))</f>
        <v/>
      </c>
      <c r="D801" s="7">
        <f>IF($Z801="C",INDEX(Contracts!$B$2:$B$151,$AB801)&amp;"",IF($Z801="A",INDEX(Fixed_Assets!$B$2:$B$201,$AB801)&amp;"",IF($Z801="F",INDEX(FTE_Allocation!$B$2:$B$201,$AB801)&amp;"","")))</f>
        <v/>
      </c>
      <c r="E801" s="7">
        <f>IF($Z801="C",INDEX(Contracts!$P$2:$P$151,$AB801)&amp;"",IF($Z801="A",INDEX(Fixed_Assets!$K$2:$K$201,$AB801)&amp;"",IF($Z801="F",IF(INDEX(FTE_Allocation!$D$2:$D$201,$AB801)="PROJECT",IFERROR(INDEX(Projects!$D:$D,MATCH(INDEX(FTE_Allocation!$E$2:$E$201,$AB801),Projects!$A:$A,0))&amp;"","#PROJECT?"),INDEX(FTE_Allocation!$E$2:$E$201,$AB801)&amp;""),"")))</f>
        <v/>
      </c>
      <c r="F801" s="7">
        <f>IF($Z801="C",INDEX(Contracts!$Q$2:$Q$151,$AB801)&amp;"",IF($Z801="A",INDEX(Fixed_Assets!$L$2:$L$201,$AB801)&amp;"",IF($Z801="F",INDEX(Workforce!$K$2:$K$151,MATCH(INDEX(FTE_Allocation!$A$2:$A$201,$AB801),Workforce!$A$2:$A$151,0))&amp;"","")))</f>
        <v/>
      </c>
      <c r="G801" s="7">
        <f>IF($Z801="C",INDEX(Contracts!$F$2:$F$151,$AB801)&amp;" / "&amp;INDEX(Contracts!$G$2:$G$151,$AB801),IF($Z801="A",INDEX(Fixed_Assets!$E$2:$E$201,$AB801)&amp;"",IF($Z801="F","Personnel "&amp;INDEX(FTE_Allocation!$A$2:$A$201,$AB801)&amp;IF(INDEX(FTE_Allocation!$D$2:$D$201,$AB801)="PROJECT"," ("&amp;INDEX(FTE_Allocation!$E$2:$E$201,$AB801)&amp;")",""),"")))</f>
        <v/>
      </c>
      <c r="H801" s="7">
        <f>IF($Z801="C","CONTRACT",IF($Z801="A","ASSET",IF($Z801="F","WORKFORCE","")))</f>
        <v/>
      </c>
      <c r="I801" s="7">
        <f>IF($Z801="C",INDEX(Contracts!$L$2:$L$151,$AB801)&amp;"",IF($Z801="A",INDEX(Fixed_Assets!$I$2:$I$201,$AB801)&amp;"",IF($Z801="F",INDEX(Workforce!$G$2:$G$151,MATCH(INDEX(FTE_Allocation!$A$2:$A$201,$AB801),Workforce!$A$2:$A$151,0))&amp;"","")))</f>
        <v/>
      </c>
      <c r="J801" s="18">
        <f>IF($Z801="","",IF(AND(DATE($AD801,1,1)&gt;=$AE801,DATE($AD801,1,1)&lt;=$AF801),ROUND($AG801,2),0))</f>
        <v/>
      </c>
      <c r="K801" s="18">
        <f>IF($Z801="","",IF(AND(DATE($AD801,2,1)&gt;=$AE801,DATE($AD801,2,1)&lt;=$AF801),ROUND($AG801,2),0))</f>
        <v/>
      </c>
      <c r="L801" s="18">
        <f>IF($Z801="","",IF(AND(DATE($AD801,3,1)&gt;=$AE801,DATE($AD801,3,1)&lt;=$AF801),ROUND($AG801,2),0))</f>
        <v/>
      </c>
      <c r="M801" s="18">
        <f>IF($Z801="","",IF(AND(DATE($AD801,4,1)&gt;=$AE801,DATE($AD801,4,1)&lt;=$AF801),ROUND($AG801,2),0))</f>
        <v/>
      </c>
      <c r="N801" s="18">
        <f>IF($Z801="","",IF(AND(DATE($AD801,5,1)&gt;=$AE801,DATE($AD801,5,1)&lt;=$AF801),ROUND($AG801,2),0))</f>
        <v/>
      </c>
      <c r="O801" s="18">
        <f>IF($Z801="","",IF(AND(DATE($AD801,6,1)&gt;=$AE801,DATE($AD801,6,1)&lt;=$AF801),ROUND($AG801,2),0))</f>
        <v/>
      </c>
      <c r="P801" s="18">
        <f>IF($Z801="","",IF(AND(DATE($AD801,7,1)&gt;=$AE801,DATE($AD801,7,1)&lt;=$AF801),ROUND($AG801,2),0))</f>
        <v/>
      </c>
      <c r="Q801" s="18">
        <f>IF($Z801="","",IF(AND(DATE($AD801,8,1)&gt;=$AE801,DATE($AD801,8,1)&lt;=$AF801),ROUND($AG801,2),0))</f>
        <v/>
      </c>
      <c r="R801" s="18">
        <f>IF($Z801="","",IF(AND(DATE($AD801,9,1)&gt;=$AE801,DATE($AD801,9,1)&lt;=$AF801),ROUND($AG801,2),0))</f>
        <v/>
      </c>
      <c r="S801" s="18">
        <f>IF($Z801="","",IF(AND(DATE($AD801,10,1)&gt;=$AE801,DATE($AD801,10,1)&lt;=$AF801),ROUND($AG801,2),0))</f>
        <v/>
      </c>
      <c r="T801" s="18">
        <f>IF($Z801="","",IF(AND(DATE($AD801,11,1)&gt;=$AE801,DATE($AD801,11,1)&lt;=$AF801),ROUND($AG801,2),0))</f>
        <v/>
      </c>
      <c r="U801" s="18">
        <f>IF($Z801="","",IF(AND(DATE($AD801,12,1)&gt;=$AE801,DATE($AD801,12,1)&lt;=$AF801),ROUND($AG801,2),0))</f>
        <v/>
      </c>
      <c r="V801" s="7">
        <f>IF($Z801="C","Generated from "&amp;INDEX(Contracts!$A$2:$A$151,$AB801),IF($Z801="A","Generated from "&amp;INDEX(Fixed_Assets!$A$2:$A$201,$AB801),IF($Z801="F","Generated from "&amp;INDEX(FTE_Allocation!$A$2:$A$201,$AB801),"")))</f>
        <v/>
      </c>
      <c r="X801" s="19">
        <f>IF($Z801="","",SUM(J801:U801))</f>
        <v/>
      </c>
      <c r="Y801" s="20">
        <f>ROW()-1</f>
        <v/>
      </c>
      <c r="Z801" s="20">
        <f>IF($Y801&lt;=Settings!$B$4*3,"C",IF($Y801&lt;=(Settings!$B$4+Settings!$B$5)*3,"A",IF($Y801&lt;=(Settings!$B$4+Settings!$B$5+Settings!$B$6)*3,"F","")))</f>
        <v/>
      </c>
      <c r="AA801" s="20">
        <f>IF($Z801="C",$Y801,IF($Z801="A",$Y801-Settings!$B$4*3,IF($Z801="F",$Y801-(Settings!$B$4+Settings!$B$5)*3,"")))</f>
        <v/>
      </c>
      <c r="AB801" s="20">
        <f>IF($Z801="","",INT(($AA801-1)/3)+1)</f>
        <v/>
      </c>
      <c r="AC801" s="20">
        <f>IF($Z801="","",MOD($AA801-1,3)+1)</f>
        <v/>
      </c>
      <c r="AD801" s="20">
        <f>IF($Z801="","",Settings!$B$2+$AC801-1)</f>
        <v/>
      </c>
      <c r="AE801" s="21">
        <f>IF($Z801="C",DATE(YEAR(INDEX(Contracts!$J$2:$J$151,$AB801)),MONTH(INDEX(Contracts!$J$2:$J$151,$AB801)),1),IF($Z801="A",DATE(YEAR(INDEX(Fixed_Assets!$G$2:$G$201,$AB801)),MONTH(INDEX(Fixed_Assets!$G$2:$G$201,$AB801)),1),IF($Z801="F",DATE(YEAR(MAX(N(INDEX(Workforce!$I$2:$I$151,MATCH(INDEX(FTE_Allocation!$A$2:$A$201,$AB801),Workforce!$A$2:$A$151,0))),N(INDEX(FTE_Allocation!$I$2:$I$201,$AB801)))),MONTH(MAX(N(INDEX(Workforce!$I$2:$I$151,MATCH(INDEX(FTE_Allocation!$A$2:$A$201,$AB801),Workforce!$A$2:$A$151,0))),N(INDEX(FTE_Allocation!$I$2:$I$201,$AB801)))),1),"")))</f>
        <v/>
      </c>
      <c r="AF801" s="21">
        <f>IF($Z801="C",IF(INDEX(Contracts!$I$2:$I$151,$AB801)="PREPAID",EDATE(DATE(YEAR(INDEX(Contracts!$J$2:$J$151,$AB801)),MONTH(INDEX(Contracts!$J$2:$J$151,$AB801)),1),IF(INDEX(Contracts!$N$2:$N$151,$AB801)="",12,INDEX(Contracts!$N$2:$N$151,$AB801))-1),IF(INDEX(Contracts!$I$2:$I$151,$AB801)="MONTHLY",IF(INDEX(Contracts!$K$2:$K$151,$AB801)="",2958101,INDEX(Contracts!$K$2:$K$151,$AB801)),0)),IF($Z801="A",EDATE(DATE(YEAR(INDEX(Fixed_Assets!$G$2:$G$201,$AB801)),MONTH(INDEX(Fixed_Assets!$G$2:$G$201,$AB801)),1),INDEX(Fixed_Assets!$J$2:$J$201,$AB801)-1),IF($Z801="F",MIN(IF(INDEX(Workforce!$J$2:$J$151,MATCH(INDEX(FTE_Allocation!$A$2:$A$201,$AB801),Workforce!$A$2:$A$151,0))="",2958101,INDEX(Workforce!$J$2:$J$151,MATCH(INDEX(FTE_Allocation!$A$2:$A$201,$AB801),Workforce!$A$2:$A$151,0))),IF(INDEX(FTE_Allocation!$J$2:$J$201,$AB801)="",2958101,INDEX(FTE_Allocation!$J$2:$J$201,$AB801))),"")))</f>
        <v/>
      </c>
      <c r="AG801" s="19">
        <f>IF($Z801="C",IF(INDEX(Contracts!$I$2:$I$151,$AB801)="PREPAID",INDEX(Contracts!$M$2:$M$151,$AB801)/IF(INDEX(Contracts!$N$2:$N$151,$AB801)="",12,INDEX(Contracts!$N$2:$N$151,$AB801)),IF(INDEX(Contracts!$I$2:$I$151,$AB801)="MONTHLY",INDEX(Contracts!$M$2:$M$151,$AB801),0))*(1-N(INDEX(Contracts!$O$2:$O$151,$AB801))),IF($Z801="A",INDEX(Fixed_Assets!$H$2:$H$201,$AB801)/INDEX(Fixed_Assets!$J$2:$J$201,$AB801),IF($Z801="F",INDEX(Workforce!$F$2:$F$151,MATCH(INDEX(FTE_Allocation!$A$2:$A$201,$AB801),Workforce!$A$2:$A$151,0))*N(INDEX(FTE_Allocation!$F$2:$H$201,$AB801,$AC801)),"")))</f>
        <v/>
      </c>
    </row>
    <row r="802">
      <c r="A802" s="7">
        <f>IF($Z802="","",$AD802)</f>
        <v/>
      </c>
      <c r="B802" s="7">
        <f>IF($Z802="C",INDEX(Contracts!$D$2:$D$151,$AB802)&amp;"",IF($Z802="A",INDEX(Fixed_Assets!$C$2:$C$201,$AB802)&amp;"",IF($Z802="F",INDEX(Workforce!$B$2:$B$151,MATCH(INDEX(FTE_Allocation!$A$2:$A$201,$AB802),Workforce!$A$2:$A$151,0))&amp;"","")))</f>
        <v/>
      </c>
      <c r="C802" s="7">
        <f>IF($Z802="C",INDEX(Contracts!$E$2:$E$151,$AB802)&amp;"",IF($Z802="A",INDEX(Fixed_Assets!$D$2:$D$201,$AB802)&amp;"",IF($Z802="F",INDEX(FTE_Allocation!$C$2:$C$201,$AB802)&amp;"","")))</f>
        <v/>
      </c>
      <c r="D802" s="7">
        <f>IF($Z802="C",INDEX(Contracts!$B$2:$B$151,$AB802)&amp;"",IF($Z802="A",INDEX(Fixed_Assets!$B$2:$B$201,$AB802)&amp;"",IF($Z802="F",INDEX(FTE_Allocation!$B$2:$B$201,$AB802)&amp;"","")))</f>
        <v/>
      </c>
      <c r="E802" s="7">
        <f>IF($Z802="C",INDEX(Contracts!$P$2:$P$151,$AB802)&amp;"",IF($Z802="A",INDEX(Fixed_Assets!$K$2:$K$201,$AB802)&amp;"",IF($Z802="F",IF(INDEX(FTE_Allocation!$D$2:$D$201,$AB802)="PROJECT",IFERROR(INDEX(Projects!$D:$D,MATCH(INDEX(FTE_Allocation!$E$2:$E$201,$AB802),Projects!$A:$A,0))&amp;"","#PROJECT?"),INDEX(FTE_Allocation!$E$2:$E$201,$AB802)&amp;""),"")))</f>
        <v/>
      </c>
      <c r="F802" s="7">
        <f>IF($Z802="C",INDEX(Contracts!$Q$2:$Q$151,$AB802)&amp;"",IF($Z802="A",INDEX(Fixed_Assets!$L$2:$L$201,$AB802)&amp;"",IF($Z802="F",INDEX(Workforce!$K$2:$K$151,MATCH(INDEX(FTE_Allocation!$A$2:$A$201,$AB802),Workforce!$A$2:$A$151,0))&amp;"","")))</f>
        <v/>
      </c>
      <c r="G802" s="7">
        <f>IF($Z802="C",INDEX(Contracts!$F$2:$F$151,$AB802)&amp;" / "&amp;INDEX(Contracts!$G$2:$G$151,$AB802),IF($Z802="A",INDEX(Fixed_Assets!$E$2:$E$201,$AB802)&amp;"",IF($Z802="F","Personnel "&amp;INDEX(FTE_Allocation!$A$2:$A$201,$AB802)&amp;IF(INDEX(FTE_Allocation!$D$2:$D$201,$AB802)="PROJECT"," ("&amp;INDEX(FTE_Allocation!$E$2:$E$201,$AB802)&amp;")",""),"")))</f>
        <v/>
      </c>
      <c r="H802" s="7">
        <f>IF($Z802="C","CONTRACT",IF($Z802="A","ASSET",IF($Z802="F","WORKFORCE","")))</f>
        <v/>
      </c>
      <c r="I802" s="7">
        <f>IF($Z802="C",INDEX(Contracts!$L$2:$L$151,$AB802)&amp;"",IF($Z802="A",INDEX(Fixed_Assets!$I$2:$I$201,$AB802)&amp;"",IF($Z802="F",INDEX(Workforce!$G$2:$G$151,MATCH(INDEX(FTE_Allocation!$A$2:$A$201,$AB802),Workforce!$A$2:$A$151,0))&amp;"","")))</f>
        <v/>
      </c>
      <c r="J802" s="18">
        <f>IF($Z802="","",IF(AND(DATE($AD802,1,1)&gt;=$AE802,DATE($AD802,1,1)&lt;=$AF802),ROUND($AG802,2),0))</f>
        <v/>
      </c>
      <c r="K802" s="18">
        <f>IF($Z802="","",IF(AND(DATE($AD802,2,1)&gt;=$AE802,DATE($AD802,2,1)&lt;=$AF802),ROUND($AG802,2),0))</f>
        <v/>
      </c>
      <c r="L802" s="18">
        <f>IF($Z802="","",IF(AND(DATE($AD802,3,1)&gt;=$AE802,DATE($AD802,3,1)&lt;=$AF802),ROUND($AG802,2),0))</f>
        <v/>
      </c>
      <c r="M802" s="18">
        <f>IF($Z802="","",IF(AND(DATE($AD802,4,1)&gt;=$AE802,DATE($AD802,4,1)&lt;=$AF802),ROUND($AG802,2),0))</f>
        <v/>
      </c>
      <c r="N802" s="18">
        <f>IF($Z802="","",IF(AND(DATE($AD802,5,1)&gt;=$AE802,DATE($AD802,5,1)&lt;=$AF802),ROUND($AG802,2),0))</f>
        <v/>
      </c>
      <c r="O802" s="18">
        <f>IF($Z802="","",IF(AND(DATE($AD802,6,1)&gt;=$AE802,DATE($AD802,6,1)&lt;=$AF802),ROUND($AG802,2),0))</f>
        <v/>
      </c>
      <c r="P802" s="18">
        <f>IF($Z802="","",IF(AND(DATE($AD802,7,1)&gt;=$AE802,DATE($AD802,7,1)&lt;=$AF802),ROUND($AG802,2),0))</f>
        <v/>
      </c>
      <c r="Q802" s="18">
        <f>IF($Z802="","",IF(AND(DATE($AD802,8,1)&gt;=$AE802,DATE($AD802,8,1)&lt;=$AF802),ROUND($AG802,2),0))</f>
        <v/>
      </c>
      <c r="R802" s="18">
        <f>IF($Z802="","",IF(AND(DATE($AD802,9,1)&gt;=$AE802,DATE($AD802,9,1)&lt;=$AF802),ROUND($AG802,2),0))</f>
        <v/>
      </c>
      <c r="S802" s="18">
        <f>IF($Z802="","",IF(AND(DATE($AD802,10,1)&gt;=$AE802,DATE($AD802,10,1)&lt;=$AF802),ROUND($AG802,2),0))</f>
        <v/>
      </c>
      <c r="T802" s="18">
        <f>IF($Z802="","",IF(AND(DATE($AD802,11,1)&gt;=$AE802,DATE($AD802,11,1)&lt;=$AF802),ROUND($AG802,2),0))</f>
        <v/>
      </c>
      <c r="U802" s="18">
        <f>IF($Z802="","",IF(AND(DATE($AD802,12,1)&gt;=$AE802,DATE($AD802,12,1)&lt;=$AF802),ROUND($AG802,2),0))</f>
        <v/>
      </c>
      <c r="V802" s="7">
        <f>IF($Z802="C","Generated from "&amp;INDEX(Contracts!$A$2:$A$151,$AB802),IF($Z802="A","Generated from "&amp;INDEX(Fixed_Assets!$A$2:$A$201,$AB802),IF($Z802="F","Generated from "&amp;INDEX(FTE_Allocation!$A$2:$A$201,$AB802),"")))</f>
        <v/>
      </c>
      <c r="X802" s="19">
        <f>IF($Z802="","",SUM(J802:U802))</f>
        <v/>
      </c>
      <c r="Y802" s="20">
        <f>ROW()-1</f>
        <v/>
      </c>
      <c r="Z802" s="20">
        <f>IF($Y802&lt;=Settings!$B$4*3,"C",IF($Y802&lt;=(Settings!$B$4+Settings!$B$5)*3,"A",IF($Y802&lt;=(Settings!$B$4+Settings!$B$5+Settings!$B$6)*3,"F","")))</f>
        <v/>
      </c>
      <c r="AA802" s="20">
        <f>IF($Z802="C",$Y802,IF($Z802="A",$Y802-Settings!$B$4*3,IF($Z802="F",$Y802-(Settings!$B$4+Settings!$B$5)*3,"")))</f>
        <v/>
      </c>
      <c r="AB802" s="20">
        <f>IF($Z802="","",INT(($AA802-1)/3)+1)</f>
        <v/>
      </c>
      <c r="AC802" s="20">
        <f>IF($Z802="","",MOD($AA802-1,3)+1)</f>
        <v/>
      </c>
      <c r="AD802" s="20">
        <f>IF($Z802="","",Settings!$B$2+$AC802-1)</f>
        <v/>
      </c>
      <c r="AE802" s="21">
        <f>IF($Z802="C",DATE(YEAR(INDEX(Contracts!$J$2:$J$151,$AB802)),MONTH(INDEX(Contracts!$J$2:$J$151,$AB802)),1),IF($Z802="A",DATE(YEAR(INDEX(Fixed_Assets!$G$2:$G$201,$AB802)),MONTH(INDEX(Fixed_Assets!$G$2:$G$201,$AB802)),1),IF($Z802="F",DATE(YEAR(MAX(N(INDEX(Workforce!$I$2:$I$151,MATCH(INDEX(FTE_Allocation!$A$2:$A$201,$AB802),Workforce!$A$2:$A$151,0))),N(INDEX(FTE_Allocation!$I$2:$I$201,$AB802)))),MONTH(MAX(N(INDEX(Workforce!$I$2:$I$151,MATCH(INDEX(FTE_Allocation!$A$2:$A$201,$AB802),Workforce!$A$2:$A$151,0))),N(INDEX(FTE_Allocation!$I$2:$I$201,$AB802)))),1),"")))</f>
        <v/>
      </c>
      <c r="AF802" s="21">
        <f>IF($Z802="C",IF(INDEX(Contracts!$I$2:$I$151,$AB802)="PREPAID",EDATE(DATE(YEAR(INDEX(Contracts!$J$2:$J$151,$AB802)),MONTH(INDEX(Contracts!$J$2:$J$151,$AB802)),1),IF(INDEX(Contracts!$N$2:$N$151,$AB802)="",12,INDEX(Contracts!$N$2:$N$151,$AB802))-1),IF(INDEX(Contracts!$I$2:$I$151,$AB802)="MONTHLY",IF(INDEX(Contracts!$K$2:$K$151,$AB802)="",2958101,INDEX(Contracts!$K$2:$K$151,$AB802)),0)),IF($Z802="A",EDATE(DATE(YEAR(INDEX(Fixed_Assets!$G$2:$G$201,$AB802)),MONTH(INDEX(Fixed_Assets!$G$2:$G$201,$AB802)),1),INDEX(Fixed_Assets!$J$2:$J$201,$AB802)-1),IF($Z802="F",MIN(IF(INDEX(Workforce!$J$2:$J$151,MATCH(INDEX(FTE_Allocation!$A$2:$A$201,$AB802),Workforce!$A$2:$A$151,0))="",2958101,INDEX(Workforce!$J$2:$J$151,MATCH(INDEX(FTE_Allocation!$A$2:$A$201,$AB802),Workforce!$A$2:$A$151,0))),IF(INDEX(FTE_Allocation!$J$2:$J$201,$AB802)="",2958101,INDEX(FTE_Allocation!$J$2:$J$201,$AB802))),"")))</f>
        <v/>
      </c>
      <c r="AG802" s="19">
        <f>IF($Z802="C",IF(INDEX(Contracts!$I$2:$I$151,$AB802)="PREPAID",INDEX(Contracts!$M$2:$M$151,$AB802)/IF(INDEX(Contracts!$N$2:$N$151,$AB802)="",12,INDEX(Contracts!$N$2:$N$151,$AB802)),IF(INDEX(Contracts!$I$2:$I$151,$AB802)="MONTHLY",INDEX(Contracts!$M$2:$M$151,$AB802),0))*(1-N(INDEX(Contracts!$O$2:$O$151,$AB802))),IF($Z802="A",INDEX(Fixed_Assets!$H$2:$H$201,$AB802)/INDEX(Fixed_Assets!$J$2:$J$201,$AB802),IF($Z802="F",INDEX(Workforce!$F$2:$F$151,MATCH(INDEX(FTE_Allocation!$A$2:$A$201,$AB802),Workforce!$A$2:$A$151,0))*N(INDEX(FTE_Allocation!$F$2:$H$201,$AB802,$AC802)),"")))</f>
        <v/>
      </c>
    </row>
    <row r="803">
      <c r="A803" s="7">
        <f>IF($Z803="","",$AD803)</f>
        <v/>
      </c>
      <c r="B803" s="7">
        <f>IF($Z803="C",INDEX(Contracts!$D$2:$D$151,$AB803)&amp;"",IF($Z803="A",INDEX(Fixed_Assets!$C$2:$C$201,$AB803)&amp;"",IF($Z803="F",INDEX(Workforce!$B$2:$B$151,MATCH(INDEX(FTE_Allocation!$A$2:$A$201,$AB803),Workforce!$A$2:$A$151,0))&amp;"","")))</f>
        <v/>
      </c>
      <c r="C803" s="7">
        <f>IF($Z803="C",INDEX(Contracts!$E$2:$E$151,$AB803)&amp;"",IF($Z803="A",INDEX(Fixed_Assets!$D$2:$D$201,$AB803)&amp;"",IF($Z803="F",INDEX(FTE_Allocation!$C$2:$C$201,$AB803)&amp;"","")))</f>
        <v/>
      </c>
      <c r="D803" s="7">
        <f>IF($Z803="C",INDEX(Contracts!$B$2:$B$151,$AB803)&amp;"",IF($Z803="A",INDEX(Fixed_Assets!$B$2:$B$201,$AB803)&amp;"",IF($Z803="F",INDEX(FTE_Allocation!$B$2:$B$201,$AB803)&amp;"","")))</f>
        <v/>
      </c>
      <c r="E803" s="7">
        <f>IF($Z803="C",INDEX(Contracts!$P$2:$P$151,$AB803)&amp;"",IF($Z803="A",INDEX(Fixed_Assets!$K$2:$K$201,$AB803)&amp;"",IF($Z803="F",IF(INDEX(FTE_Allocation!$D$2:$D$201,$AB803)="PROJECT",IFERROR(INDEX(Projects!$D:$D,MATCH(INDEX(FTE_Allocation!$E$2:$E$201,$AB803),Projects!$A:$A,0))&amp;"","#PROJECT?"),INDEX(FTE_Allocation!$E$2:$E$201,$AB803)&amp;""),"")))</f>
        <v/>
      </c>
      <c r="F803" s="7">
        <f>IF($Z803="C",INDEX(Contracts!$Q$2:$Q$151,$AB803)&amp;"",IF($Z803="A",INDEX(Fixed_Assets!$L$2:$L$201,$AB803)&amp;"",IF($Z803="F",INDEX(Workforce!$K$2:$K$151,MATCH(INDEX(FTE_Allocation!$A$2:$A$201,$AB803),Workforce!$A$2:$A$151,0))&amp;"","")))</f>
        <v/>
      </c>
      <c r="G803" s="7">
        <f>IF($Z803="C",INDEX(Contracts!$F$2:$F$151,$AB803)&amp;" / "&amp;INDEX(Contracts!$G$2:$G$151,$AB803),IF($Z803="A",INDEX(Fixed_Assets!$E$2:$E$201,$AB803)&amp;"",IF($Z803="F","Personnel "&amp;INDEX(FTE_Allocation!$A$2:$A$201,$AB803)&amp;IF(INDEX(FTE_Allocation!$D$2:$D$201,$AB803)="PROJECT"," ("&amp;INDEX(FTE_Allocation!$E$2:$E$201,$AB803)&amp;")",""),"")))</f>
        <v/>
      </c>
      <c r="H803" s="7">
        <f>IF($Z803="C","CONTRACT",IF($Z803="A","ASSET",IF($Z803="F","WORKFORCE","")))</f>
        <v/>
      </c>
      <c r="I803" s="7">
        <f>IF($Z803="C",INDEX(Contracts!$L$2:$L$151,$AB803)&amp;"",IF($Z803="A",INDEX(Fixed_Assets!$I$2:$I$201,$AB803)&amp;"",IF($Z803="F",INDEX(Workforce!$G$2:$G$151,MATCH(INDEX(FTE_Allocation!$A$2:$A$201,$AB803),Workforce!$A$2:$A$151,0))&amp;"","")))</f>
        <v/>
      </c>
      <c r="J803" s="18">
        <f>IF($Z803="","",IF(AND(DATE($AD803,1,1)&gt;=$AE803,DATE($AD803,1,1)&lt;=$AF803),ROUND($AG803,2),0))</f>
        <v/>
      </c>
      <c r="K803" s="18">
        <f>IF($Z803="","",IF(AND(DATE($AD803,2,1)&gt;=$AE803,DATE($AD803,2,1)&lt;=$AF803),ROUND($AG803,2),0))</f>
        <v/>
      </c>
      <c r="L803" s="18">
        <f>IF($Z803="","",IF(AND(DATE($AD803,3,1)&gt;=$AE803,DATE($AD803,3,1)&lt;=$AF803),ROUND($AG803,2),0))</f>
        <v/>
      </c>
      <c r="M803" s="18">
        <f>IF($Z803="","",IF(AND(DATE($AD803,4,1)&gt;=$AE803,DATE($AD803,4,1)&lt;=$AF803),ROUND($AG803,2),0))</f>
        <v/>
      </c>
      <c r="N803" s="18">
        <f>IF($Z803="","",IF(AND(DATE($AD803,5,1)&gt;=$AE803,DATE($AD803,5,1)&lt;=$AF803),ROUND($AG803,2),0))</f>
        <v/>
      </c>
      <c r="O803" s="18">
        <f>IF($Z803="","",IF(AND(DATE($AD803,6,1)&gt;=$AE803,DATE($AD803,6,1)&lt;=$AF803),ROUND($AG803,2),0))</f>
        <v/>
      </c>
      <c r="P803" s="18">
        <f>IF($Z803="","",IF(AND(DATE($AD803,7,1)&gt;=$AE803,DATE($AD803,7,1)&lt;=$AF803),ROUND($AG803,2),0))</f>
        <v/>
      </c>
      <c r="Q803" s="18">
        <f>IF($Z803="","",IF(AND(DATE($AD803,8,1)&gt;=$AE803,DATE($AD803,8,1)&lt;=$AF803),ROUND($AG803,2),0))</f>
        <v/>
      </c>
      <c r="R803" s="18">
        <f>IF($Z803="","",IF(AND(DATE($AD803,9,1)&gt;=$AE803,DATE($AD803,9,1)&lt;=$AF803),ROUND($AG803,2),0))</f>
        <v/>
      </c>
      <c r="S803" s="18">
        <f>IF($Z803="","",IF(AND(DATE($AD803,10,1)&gt;=$AE803,DATE($AD803,10,1)&lt;=$AF803),ROUND($AG803,2),0))</f>
        <v/>
      </c>
      <c r="T803" s="18">
        <f>IF($Z803="","",IF(AND(DATE($AD803,11,1)&gt;=$AE803,DATE($AD803,11,1)&lt;=$AF803),ROUND($AG803,2),0))</f>
        <v/>
      </c>
      <c r="U803" s="18">
        <f>IF($Z803="","",IF(AND(DATE($AD803,12,1)&gt;=$AE803,DATE($AD803,12,1)&lt;=$AF803),ROUND($AG803,2),0))</f>
        <v/>
      </c>
      <c r="V803" s="7">
        <f>IF($Z803="C","Generated from "&amp;INDEX(Contracts!$A$2:$A$151,$AB803),IF($Z803="A","Generated from "&amp;INDEX(Fixed_Assets!$A$2:$A$201,$AB803),IF($Z803="F","Generated from "&amp;INDEX(FTE_Allocation!$A$2:$A$201,$AB803),"")))</f>
        <v/>
      </c>
      <c r="X803" s="19">
        <f>IF($Z803="","",SUM(J803:U803))</f>
        <v/>
      </c>
      <c r="Y803" s="20">
        <f>ROW()-1</f>
        <v/>
      </c>
      <c r="Z803" s="20">
        <f>IF($Y803&lt;=Settings!$B$4*3,"C",IF($Y803&lt;=(Settings!$B$4+Settings!$B$5)*3,"A",IF($Y803&lt;=(Settings!$B$4+Settings!$B$5+Settings!$B$6)*3,"F","")))</f>
        <v/>
      </c>
      <c r="AA803" s="20">
        <f>IF($Z803="C",$Y803,IF($Z803="A",$Y803-Settings!$B$4*3,IF($Z803="F",$Y803-(Settings!$B$4+Settings!$B$5)*3,"")))</f>
        <v/>
      </c>
      <c r="AB803" s="20">
        <f>IF($Z803="","",INT(($AA803-1)/3)+1)</f>
        <v/>
      </c>
      <c r="AC803" s="20">
        <f>IF($Z803="","",MOD($AA803-1,3)+1)</f>
        <v/>
      </c>
      <c r="AD803" s="20">
        <f>IF($Z803="","",Settings!$B$2+$AC803-1)</f>
        <v/>
      </c>
      <c r="AE803" s="21">
        <f>IF($Z803="C",DATE(YEAR(INDEX(Contracts!$J$2:$J$151,$AB803)),MONTH(INDEX(Contracts!$J$2:$J$151,$AB803)),1),IF($Z803="A",DATE(YEAR(INDEX(Fixed_Assets!$G$2:$G$201,$AB803)),MONTH(INDEX(Fixed_Assets!$G$2:$G$201,$AB803)),1),IF($Z803="F",DATE(YEAR(MAX(N(INDEX(Workforce!$I$2:$I$151,MATCH(INDEX(FTE_Allocation!$A$2:$A$201,$AB803),Workforce!$A$2:$A$151,0))),N(INDEX(FTE_Allocation!$I$2:$I$201,$AB803)))),MONTH(MAX(N(INDEX(Workforce!$I$2:$I$151,MATCH(INDEX(FTE_Allocation!$A$2:$A$201,$AB803),Workforce!$A$2:$A$151,0))),N(INDEX(FTE_Allocation!$I$2:$I$201,$AB803)))),1),"")))</f>
        <v/>
      </c>
      <c r="AF803" s="21">
        <f>IF($Z803="C",IF(INDEX(Contracts!$I$2:$I$151,$AB803)="PREPAID",EDATE(DATE(YEAR(INDEX(Contracts!$J$2:$J$151,$AB803)),MONTH(INDEX(Contracts!$J$2:$J$151,$AB803)),1),IF(INDEX(Contracts!$N$2:$N$151,$AB803)="",12,INDEX(Contracts!$N$2:$N$151,$AB803))-1),IF(INDEX(Contracts!$I$2:$I$151,$AB803)="MONTHLY",IF(INDEX(Contracts!$K$2:$K$151,$AB803)="",2958101,INDEX(Contracts!$K$2:$K$151,$AB803)),0)),IF($Z803="A",EDATE(DATE(YEAR(INDEX(Fixed_Assets!$G$2:$G$201,$AB803)),MONTH(INDEX(Fixed_Assets!$G$2:$G$201,$AB803)),1),INDEX(Fixed_Assets!$J$2:$J$201,$AB803)-1),IF($Z803="F",MIN(IF(INDEX(Workforce!$J$2:$J$151,MATCH(INDEX(FTE_Allocation!$A$2:$A$201,$AB803),Workforce!$A$2:$A$151,0))="",2958101,INDEX(Workforce!$J$2:$J$151,MATCH(INDEX(FTE_Allocation!$A$2:$A$201,$AB803),Workforce!$A$2:$A$151,0))),IF(INDEX(FTE_Allocation!$J$2:$J$201,$AB803)="",2958101,INDEX(FTE_Allocation!$J$2:$J$201,$AB803))),"")))</f>
        <v/>
      </c>
      <c r="AG803" s="19">
        <f>IF($Z803="C",IF(INDEX(Contracts!$I$2:$I$151,$AB803)="PREPAID",INDEX(Contracts!$M$2:$M$151,$AB803)/IF(INDEX(Contracts!$N$2:$N$151,$AB803)="",12,INDEX(Contracts!$N$2:$N$151,$AB803)),IF(INDEX(Contracts!$I$2:$I$151,$AB803)="MONTHLY",INDEX(Contracts!$M$2:$M$151,$AB803),0))*(1-N(INDEX(Contracts!$O$2:$O$151,$AB803))),IF($Z803="A",INDEX(Fixed_Assets!$H$2:$H$201,$AB803)/INDEX(Fixed_Assets!$J$2:$J$201,$AB803),IF($Z803="F",INDEX(Workforce!$F$2:$F$151,MATCH(INDEX(FTE_Allocation!$A$2:$A$201,$AB803),Workforce!$A$2:$A$151,0))*N(INDEX(FTE_Allocation!$F$2:$H$201,$AB803,$AC803)),"")))</f>
        <v/>
      </c>
    </row>
    <row r="804">
      <c r="A804" s="7">
        <f>IF($Z804="","",$AD804)</f>
        <v/>
      </c>
      <c r="B804" s="7">
        <f>IF($Z804="C",INDEX(Contracts!$D$2:$D$151,$AB804)&amp;"",IF($Z804="A",INDEX(Fixed_Assets!$C$2:$C$201,$AB804)&amp;"",IF($Z804="F",INDEX(Workforce!$B$2:$B$151,MATCH(INDEX(FTE_Allocation!$A$2:$A$201,$AB804),Workforce!$A$2:$A$151,0))&amp;"","")))</f>
        <v/>
      </c>
      <c r="C804" s="7">
        <f>IF($Z804="C",INDEX(Contracts!$E$2:$E$151,$AB804)&amp;"",IF($Z804="A",INDEX(Fixed_Assets!$D$2:$D$201,$AB804)&amp;"",IF($Z804="F",INDEX(FTE_Allocation!$C$2:$C$201,$AB804)&amp;"","")))</f>
        <v/>
      </c>
      <c r="D804" s="7">
        <f>IF($Z804="C",INDEX(Contracts!$B$2:$B$151,$AB804)&amp;"",IF($Z804="A",INDEX(Fixed_Assets!$B$2:$B$201,$AB804)&amp;"",IF($Z804="F",INDEX(FTE_Allocation!$B$2:$B$201,$AB804)&amp;"","")))</f>
        <v/>
      </c>
      <c r="E804" s="7">
        <f>IF($Z804="C",INDEX(Contracts!$P$2:$P$151,$AB804)&amp;"",IF($Z804="A",INDEX(Fixed_Assets!$K$2:$K$201,$AB804)&amp;"",IF($Z804="F",IF(INDEX(FTE_Allocation!$D$2:$D$201,$AB804)="PROJECT",IFERROR(INDEX(Projects!$D:$D,MATCH(INDEX(FTE_Allocation!$E$2:$E$201,$AB804),Projects!$A:$A,0))&amp;"","#PROJECT?"),INDEX(FTE_Allocation!$E$2:$E$201,$AB804)&amp;""),"")))</f>
        <v/>
      </c>
      <c r="F804" s="7">
        <f>IF($Z804="C",INDEX(Contracts!$Q$2:$Q$151,$AB804)&amp;"",IF($Z804="A",INDEX(Fixed_Assets!$L$2:$L$201,$AB804)&amp;"",IF($Z804="F",INDEX(Workforce!$K$2:$K$151,MATCH(INDEX(FTE_Allocation!$A$2:$A$201,$AB804),Workforce!$A$2:$A$151,0))&amp;"","")))</f>
        <v/>
      </c>
      <c r="G804" s="7">
        <f>IF($Z804="C",INDEX(Contracts!$F$2:$F$151,$AB804)&amp;" / "&amp;INDEX(Contracts!$G$2:$G$151,$AB804),IF($Z804="A",INDEX(Fixed_Assets!$E$2:$E$201,$AB804)&amp;"",IF($Z804="F","Personnel "&amp;INDEX(FTE_Allocation!$A$2:$A$201,$AB804)&amp;IF(INDEX(FTE_Allocation!$D$2:$D$201,$AB804)="PROJECT"," ("&amp;INDEX(FTE_Allocation!$E$2:$E$201,$AB804)&amp;")",""),"")))</f>
        <v/>
      </c>
      <c r="H804" s="7">
        <f>IF($Z804="C","CONTRACT",IF($Z804="A","ASSET",IF($Z804="F","WORKFORCE","")))</f>
        <v/>
      </c>
      <c r="I804" s="7">
        <f>IF($Z804="C",INDEX(Contracts!$L$2:$L$151,$AB804)&amp;"",IF($Z804="A",INDEX(Fixed_Assets!$I$2:$I$201,$AB804)&amp;"",IF($Z804="F",INDEX(Workforce!$G$2:$G$151,MATCH(INDEX(FTE_Allocation!$A$2:$A$201,$AB804),Workforce!$A$2:$A$151,0))&amp;"","")))</f>
        <v/>
      </c>
      <c r="J804" s="18">
        <f>IF($Z804="","",IF(AND(DATE($AD804,1,1)&gt;=$AE804,DATE($AD804,1,1)&lt;=$AF804),ROUND($AG804,2),0))</f>
        <v/>
      </c>
      <c r="K804" s="18">
        <f>IF($Z804="","",IF(AND(DATE($AD804,2,1)&gt;=$AE804,DATE($AD804,2,1)&lt;=$AF804),ROUND($AG804,2),0))</f>
        <v/>
      </c>
      <c r="L804" s="18">
        <f>IF($Z804="","",IF(AND(DATE($AD804,3,1)&gt;=$AE804,DATE($AD804,3,1)&lt;=$AF804),ROUND($AG804,2),0))</f>
        <v/>
      </c>
      <c r="M804" s="18">
        <f>IF($Z804="","",IF(AND(DATE($AD804,4,1)&gt;=$AE804,DATE($AD804,4,1)&lt;=$AF804),ROUND($AG804,2),0))</f>
        <v/>
      </c>
      <c r="N804" s="18">
        <f>IF($Z804="","",IF(AND(DATE($AD804,5,1)&gt;=$AE804,DATE($AD804,5,1)&lt;=$AF804),ROUND($AG804,2),0))</f>
        <v/>
      </c>
      <c r="O804" s="18">
        <f>IF($Z804="","",IF(AND(DATE($AD804,6,1)&gt;=$AE804,DATE($AD804,6,1)&lt;=$AF804),ROUND($AG804,2),0))</f>
        <v/>
      </c>
      <c r="P804" s="18">
        <f>IF($Z804="","",IF(AND(DATE($AD804,7,1)&gt;=$AE804,DATE($AD804,7,1)&lt;=$AF804),ROUND($AG804,2),0))</f>
        <v/>
      </c>
      <c r="Q804" s="18">
        <f>IF($Z804="","",IF(AND(DATE($AD804,8,1)&gt;=$AE804,DATE($AD804,8,1)&lt;=$AF804),ROUND($AG804,2),0))</f>
        <v/>
      </c>
      <c r="R804" s="18">
        <f>IF($Z804="","",IF(AND(DATE($AD804,9,1)&gt;=$AE804,DATE($AD804,9,1)&lt;=$AF804),ROUND($AG804,2),0))</f>
        <v/>
      </c>
      <c r="S804" s="18">
        <f>IF($Z804="","",IF(AND(DATE($AD804,10,1)&gt;=$AE804,DATE($AD804,10,1)&lt;=$AF804),ROUND($AG804,2),0))</f>
        <v/>
      </c>
      <c r="T804" s="18">
        <f>IF($Z804="","",IF(AND(DATE($AD804,11,1)&gt;=$AE804,DATE($AD804,11,1)&lt;=$AF804),ROUND($AG804,2),0))</f>
        <v/>
      </c>
      <c r="U804" s="18">
        <f>IF($Z804="","",IF(AND(DATE($AD804,12,1)&gt;=$AE804,DATE($AD804,12,1)&lt;=$AF804),ROUND($AG804,2),0))</f>
        <v/>
      </c>
      <c r="V804" s="7">
        <f>IF($Z804="C","Generated from "&amp;INDEX(Contracts!$A$2:$A$151,$AB804),IF($Z804="A","Generated from "&amp;INDEX(Fixed_Assets!$A$2:$A$201,$AB804),IF($Z804="F","Generated from "&amp;INDEX(FTE_Allocation!$A$2:$A$201,$AB804),"")))</f>
        <v/>
      </c>
      <c r="X804" s="19">
        <f>IF($Z804="","",SUM(J804:U804))</f>
        <v/>
      </c>
      <c r="Y804" s="20">
        <f>ROW()-1</f>
        <v/>
      </c>
      <c r="Z804" s="20">
        <f>IF($Y804&lt;=Settings!$B$4*3,"C",IF($Y804&lt;=(Settings!$B$4+Settings!$B$5)*3,"A",IF($Y804&lt;=(Settings!$B$4+Settings!$B$5+Settings!$B$6)*3,"F","")))</f>
        <v/>
      </c>
      <c r="AA804" s="20">
        <f>IF($Z804="C",$Y804,IF($Z804="A",$Y804-Settings!$B$4*3,IF($Z804="F",$Y804-(Settings!$B$4+Settings!$B$5)*3,"")))</f>
        <v/>
      </c>
      <c r="AB804" s="20">
        <f>IF($Z804="","",INT(($AA804-1)/3)+1)</f>
        <v/>
      </c>
      <c r="AC804" s="20">
        <f>IF($Z804="","",MOD($AA804-1,3)+1)</f>
        <v/>
      </c>
      <c r="AD804" s="20">
        <f>IF($Z804="","",Settings!$B$2+$AC804-1)</f>
        <v/>
      </c>
      <c r="AE804" s="21">
        <f>IF($Z804="C",DATE(YEAR(INDEX(Contracts!$J$2:$J$151,$AB804)),MONTH(INDEX(Contracts!$J$2:$J$151,$AB804)),1),IF($Z804="A",DATE(YEAR(INDEX(Fixed_Assets!$G$2:$G$201,$AB804)),MONTH(INDEX(Fixed_Assets!$G$2:$G$201,$AB804)),1),IF($Z804="F",DATE(YEAR(MAX(N(INDEX(Workforce!$I$2:$I$151,MATCH(INDEX(FTE_Allocation!$A$2:$A$201,$AB804),Workforce!$A$2:$A$151,0))),N(INDEX(FTE_Allocation!$I$2:$I$201,$AB804)))),MONTH(MAX(N(INDEX(Workforce!$I$2:$I$151,MATCH(INDEX(FTE_Allocation!$A$2:$A$201,$AB804),Workforce!$A$2:$A$151,0))),N(INDEX(FTE_Allocation!$I$2:$I$201,$AB804)))),1),"")))</f>
        <v/>
      </c>
      <c r="AF804" s="21">
        <f>IF($Z804="C",IF(INDEX(Contracts!$I$2:$I$151,$AB804)="PREPAID",EDATE(DATE(YEAR(INDEX(Contracts!$J$2:$J$151,$AB804)),MONTH(INDEX(Contracts!$J$2:$J$151,$AB804)),1),IF(INDEX(Contracts!$N$2:$N$151,$AB804)="",12,INDEX(Contracts!$N$2:$N$151,$AB804))-1),IF(INDEX(Contracts!$I$2:$I$151,$AB804)="MONTHLY",IF(INDEX(Contracts!$K$2:$K$151,$AB804)="",2958101,INDEX(Contracts!$K$2:$K$151,$AB804)),0)),IF($Z804="A",EDATE(DATE(YEAR(INDEX(Fixed_Assets!$G$2:$G$201,$AB804)),MONTH(INDEX(Fixed_Assets!$G$2:$G$201,$AB804)),1),INDEX(Fixed_Assets!$J$2:$J$201,$AB804)-1),IF($Z804="F",MIN(IF(INDEX(Workforce!$J$2:$J$151,MATCH(INDEX(FTE_Allocation!$A$2:$A$201,$AB804),Workforce!$A$2:$A$151,0))="",2958101,INDEX(Workforce!$J$2:$J$151,MATCH(INDEX(FTE_Allocation!$A$2:$A$201,$AB804),Workforce!$A$2:$A$151,0))),IF(INDEX(FTE_Allocation!$J$2:$J$201,$AB804)="",2958101,INDEX(FTE_Allocation!$J$2:$J$201,$AB804))),"")))</f>
        <v/>
      </c>
      <c r="AG804" s="19">
        <f>IF($Z804="C",IF(INDEX(Contracts!$I$2:$I$151,$AB804)="PREPAID",INDEX(Contracts!$M$2:$M$151,$AB804)/IF(INDEX(Contracts!$N$2:$N$151,$AB804)="",12,INDEX(Contracts!$N$2:$N$151,$AB804)),IF(INDEX(Contracts!$I$2:$I$151,$AB804)="MONTHLY",INDEX(Contracts!$M$2:$M$151,$AB804),0))*(1-N(INDEX(Contracts!$O$2:$O$151,$AB804))),IF($Z804="A",INDEX(Fixed_Assets!$H$2:$H$201,$AB804)/INDEX(Fixed_Assets!$J$2:$J$201,$AB804),IF($Z804="F",INDEX(Workforce!$F$2:$F$151,MATCH(INDEX(FTE_Allocation!$A$2:$A$201,$AB804),Workforce!$A$2:$A$151,0))*N(INDEX(FTE_Allocation!$F$2:$H$201,$AB804,$AC804)),"")))</f>
        <v/>
      </c>
    </row>
    <row r="805">
      <c r="A805" s="7">
        <f>IF($Z805="","",$AD805)</f>
        <v/>
      </c>
      <c r="B805" s="7">
        <f>IF($Z805="C",INDEX(Contracts!$D$2:$D$151,$AB805)&amp;"",IF($Z805="A",INDEX(Fixed_Assets!$C$2:$C$201,$AB805)&amp;"",IF($Z805="F",INDEX(Workforce!$B$2:$B$151,MATCH(INDEX(FTE_Allocation!$A$2:$A$201,$AB805),Workforce!$A$2:$A$151,0))&amp;"","")))</f>
        <v/>
      </c>
      <c r="C805" s="7">
        <f>IF($Z805="C",INDEX(Contracts!$E$2:$E$151,$AB805)&amp;"",IF($Z805="A",INDEX(Fixed_Assets!$D$2:$D$201,$AB805)&amp;"",IF($Z805="F",INDEX(FTE_Allocation!$C$2:$C$201,$AB805)&amp;"","")))</f>
        <v/>
      </c>
      <c r="D805" s="7">
        <f>IF($Z805="C",INDEX(Contracts!$B$2:$B$151,$AB805)&amp;"",IF($Z805="A",INDEX(Fixed_Assets!$B$2:$B$201,$AB805)&amp;"",IF($Z805="F",INDEX(FTE_Allocation!$B$2:$B$201,$AB805)&amp;"","")))</f>
        <v/>
      </c>
      <c r="E805" s="7">
        <f>IF($Z805="C",INDEX(Contracts!$P$2:$P$151,$AB805)&amp;"",IF($Z805="A",INDEX(Fixed_Assets!$K$2:$K$201,$AB805)&amp;"",IF($Z805="F",IF(INDEX(FTE_Allocation!$D$2:$D$201,$AB805)="PROJECT",IFERROR(INDEX(Projects!$D:$D,MATCH(INDEX(FTE_Allocation!$E$2:$E$201,$AB805),Projects!$A:$A,0))&amp;"","#PROJECT?"),INDEX(FTE_Allocation!$E$2:$E$201,$AB805)&amp;""),"")))</f>
        <v/>
      </c>
      <c r="F805" s="7">
        <f>IF($Z805="C",INDEX(Contracts!$Q$2:$Q$151,$AB805)&amp;"",IF($Z805="A",INDEX(Fixed_Assets!$L$2:$L$201,$AB805)&amp;"",IF($Z805="F",INDEX(Workforce!$K$2:$K$151,MATCH(INDEX(FTE_Allocation!$A$2:$A$201,$AB805),Workforce!$A$2:$A$151,0))&amp;"","")))</f>
        <v/>
      </c>
      <c r="G805" s="7">
        <f>IF($Z805="C",INDEX(Contracts!$F$2:$F$151,$AB805)&amp;" / "&amp;INDEX(Contracts!$G$2:$G$151,$AB805),IF($Z805="A",INDEX(Fixed_Assets!$E$2:$E$201,$AB805)&amp;"",IF($Z805="F","Personnel "&amp;INDEX(FTE_Allocation!$A$2:$A$201,$AB805)&amp;IF(INDEX(FTE_Allocation!$D$2:$D$201,$AB805)="PROJECT"," ("&amp;INDEX(FTE_Allocation!$E$2:$E$201,$AB805)&amp;")",""),"")))</f>
        <v/>
      </c>
      <c r="H805" s="7">
        <f>IF($Z805="C","CONTRACT",IF($Z805="A","ASSET",IF($Z805="F","WORKFORCE","")))</f>
        <v/>
      </c>
      <c r="I805" s="7">
        <f>IF($Z805="C",INDEX(Contracts!$L$2:$L$151,$AB805)&amp;"",IF($Z805="A",INDEX(Fixed_Assets!$I$2:$I$201,$AB805)&amp;"",IF($Z805="F",INDEX(Workforce!$G$2:$G$151,MATCH(INDEX(FTE_Allocation!$A$2:$A$201,$AB805),Workforce!$A$2:$A$151,0))&amp;"","")))</f>
        <v/>
      </c>
      <c r="J805" s="18">
        <f>IF($Z805="","",IF(AND(DATE($AD805,1,1)&gt;=$AE805,DATE($AD805,1,1)&lt;=$AF805),ROUND($AG805,2),0))</f>
        <v/>
      </c>
      <c r="K805" s="18">
        <f>IF($Z805="","",IF(AND(DATE($AD805,2,1)&gt;=$AE805,DATE($AD805,2,1)&lt;=$AF805),ROUND($AG805,2),0))</f>
        <v/>
      </c>
      <c r="L805" s="18">
        <f>IF($Z805="","",IF(AND(DATE($AD805,3,1)&gt;=$AE805,DATE($AD805,3,1)&lt;=$AF805),ROUND($AG805,2),0))</f>
        <v/>
      </c>
      <c r="M805" s="18">
        <f>IF($Z805="","",IF(AND(DATE($AD805,4,1)&gt;=$AE805,DATE($AD805,4,1)&lt;=$AF805),ROUND($AG805,2),0))</f>
        <v/>
      </c>
      <c r="N805" s="18">
        <f>IF($Z805="","",IF(AND(DATE($AD805,5,1)&gt;=$AE805,DATE($AD805,5,1)&lt;=$AF805),ROUND($AG805,2),0))</f>
        <v/>
      </c>
      <c r="O805" s="18">
        <f>IF($Z805="","",IF(AND(DATE($AD805,6,1)&gt;=$AE805,DATE($AD805,6,1)&lt;=$AF805),ROUND($AG805,2),0))</f>
        <v/>
      </c>
      <c r="P805" s="18">
        <f>IF($Z805="","",IF(AND(DATE($AD805,7,1)&gt;=$AE805,DATE($AD805,7,1)&lt;=$AF805),ROUND($AG805,2),0))</f>
        <v/>
      </c>
      <c r="Q805" s="18">
        <f>IF($Z805="","",IF(AND(DATE($AD805,8,1)&gt;=$AE805,DATE($AD805,8,1)&lt;=$AF805),ROUND($AG805,2),0))</f>
        <v/>
      </c>
      <c r="R805" s="18">
        <f>IF($Z805="","",IF(AND(DATE($AD805,9,1)&gt;=$AE805,DATE($AD805,9,1)&lt;=$AF805),ROUND($AG805,2),0))</f>
        <v/>
      </c>
      <c r="S805" s="18">
        <f>IF($Z805="","",IF(AND(DATE($AD805,10,1)&gt;=$AE805,DATE($AD805,10,1)&lt;=$AF805),ROUND($AG805,2),0))</f>
        <v/>
      </c>
      <c r="T805" s="18">
        <f>IF($Z805="","",IF(AND(DATE($AD805,11,1)&gt;=$AE805,DATE($AD805,11,1)&lt;=$AF805),ROUND($AG805,2),0))</f>
        <v/>
      </c>
      <c r="U805" s="18">
        <f>IF($Z805="","",IF(AND(DATE($AD805,12,1)&gt;=$AE805,DATE($AD805,12,1)&lt;=$AF805),ROUND($AG805,2),0))</f>
        <v/>
      </c>
      <c r="V805" s="7">
        <f>IF($Z805="C","Generated from "&amp;INDEX(Contracts!$A$2:$A$151,$AB805),IF($Z805="A","Generated from "&amp;INDEX(Fixed_Assets!$A$2:$A$201,$AB805),IF($Z805="F","Generated from "&amp;INDEX(FTE_Allocation!$A$2:$A$201,$AB805),"")))</f>
        <v/>
      </c>
      <c r="X805" s="19">
        <f>IF($Z805="","",SUM(J805:U805))</f>
        <v/>
      </c>
      <c r="Y805" s="20">
        <f>ROW()-1</f>
        <v/>
      </c>
      <c r="Z805" s="20">
        <f>IF($Y805&lt;=Settings!$B$4*3,"C",IF($Y805&lt;=(Settings!$B$4+Settings!$B$5)*3,"A",IF($Y805&lt;=(Settings!$B$4+Settings!$B$5+Settings!$B$6)*3,"F","")))</f>
        <v/>
      </c>
      <c r="AA805" s="20">
        <f>IF($Z805="C",$Y805,IF($Z805="A",$Y805-Settings!$B$4*3,IF($Z805="F",$Y805-(Settings!$B$4+Settings!$B$5)*3,"")))</f>
        <v/>
      </c>
      <c r="AB805" s="20">
        <f>IF($Z805="","",INT(($AA805-1)/3)+1)</f>
        <v/>
      </c>
      <c r="AC805" s="20">
        <f>IF($Z805="","",MOD($AA805-1,3)+1)</f>
        <v/>
      </c>
      <c r="AD805" s="20">
        <f>IF($Z805="","",Settings!$B$2+$AC805-1)</f>
        <v/>
      </c>
      <c r="AE805" s="21">
        <f>IF($Z805="C",DATE(YEAR(INDEX(Contracts!$J$2:$J$151,$AB805)),MONTH(INDEX(Contracts!$J$2:$J$151,$AB805)),1),IF($Z805="A",DATE(YEAR(INDEX(Fixed_Assets!$G$2:$G$201,$AB805)),MONTH(INDEX(Fixed_Assets!$G$2:$G$201,$AB805)),1),IF($Z805="F",DATE(YEAR(MAX(N(INDEX(Workforce!$I$2:$I$151,MATCH(INDEX(FTE_Allocation!$A$2:$A$201,$AB805),Workforce!$A$2:$A$151,0))),N(INDEX(FTE_Allocation!$I$2:$I$201,$AB805)))),MONTH(MAX(N(INDEX(Workforce!$I$2:$I$151,MATCH(INDEX(FTE_Allocation!$A$2:$A$201,$AB805),Workforce!$A$2:$A$151,0))),N(INDEX(FTE_Allocation!$I$2:$I$201,$AB805)))),1),"")))</f>
        <v/>
      </c>
      <c r="AF805" s="21">
        <f>IF($Z805="C",IF(INDEX(Contracts!$I$2:$I$151,$AB805)="PREPAID",EDATE(DATE(YEAR(INDEX(Contracts!$J$2:$J$151,$AB805)),MONTH(INDEX(Contracts!$J$2:$J$151,$AB805)),1),IF(INDEX(Contracts!$N$2:$N$151,$AB805)="",12,INDEX(Contracts!$N$2:$N$151,$AB805))-1),IF(INDEX(Contracts!$I$2:$I$151,$AB805)="MONTHLY",IF(INDEX(Contracts!$K$2:$K$151,$AB805)="",2958101,INDEX(Contracts!$K$2:$K$151,$AB805)),0)),IF($Z805="A",EDATE(DATE(YEAR(INDEX(Fixed_Assets!$G$2:$G$201,$AB805)),MONTH(INDEX(Fixed_Assets!$G$2:$G$201,$AB805)),1),INDEX(Fixed_Assets!$J$2:$J$201,$AB805)-1),IF($Z805="F",MIN(IF(INDEX(Workforce!$J$2:$J$151,MATCH(INDEX(FTE_Allocation!$A$2:$A$201,$AB805),Workforce!$A$2:$A$151,0))="",2958101,INDEX(Workforce!$J$2:$J$151,MATCH(INDEX(FTE_Allocation!$A$2:$A$201,$AB805),Workforce!$A$2:$A$151,0))),IF(INDEX(FTE_Allocation!$J$2:$J$201,$AB805)="",2958101,INDEX(FTE_Allocation!$J$2:$J$201,$AB805))),"")))</f>
        <v/>
      </c>
      <c r="AG805" s="19">
        <f>IF($Z805="C",IF(INDEX(Contracts!$I$2:$I$151,$AB805)="PREPAID",INDEX(Contracts!$M$2:$M$151,$AB805)/IF(INDEX(Contracts!$N$2:$N$151,$AB805)="",12,INDEX(Contracts!$N$2:$N$151,$AB805)),IF(INDEX(Contracts!$I$2:$I$151,$AB805)="MONTHLY",INDEX(Contracts!$M$2:$M$151,$AB805),0))*(1-N(INDEX(Contracts!$O$2:$O$151,$AB805))),IF($Z805="A",INDEX(Fixed_Assets!$H$2:$H$201,$AB805)/INDEX(Fixed_Assets!$J$2:$J$201,$AB805),IF($Z805="F",INDEX(Workforce!$F$2:$F$151,MATCH(INDEX(FTE_Allocation!$A$2:$A$201,$AB805),Workforce!$A$2:$A$151,0))*N(INDEX(FTE_Allocation!$F$2:$H$201,$AB805,$AC805)),"")))</f>
        <v/>
      </c>
    </row>
    <row r="806">
      <c r="A806" s="7">
        <f>IF($Z806="","",$AD806)</f>
        <v/>
      </c>
      <c r="B806" s="7">
        <f>IF($Z806="C",INDEX(Contracts!$D$2:$D$151,$AB806)&amp;"",IF($Z806="A",INDEX(Fixed_Assets!$C$2:$C$201,$AB806)&amp;"",IF($Z806="F",INDEX(Workforce!$B$2:$B$151,MATCH(INDEX(FTE_Allocation!$A$2:$A$201,$AB806),Workforce!$A$2:$A$151,0))&amp;"","")))</f>
        <v/>
      </c>
      <c r="C806" s="7">
        <f>IF($Z806="C",INDEX(Contracts!$E$2:$E$151,$AB806)&amp;"",IF($Z806="A",INDEX(Fixed_Assets!$D$2:$D$201,$AB806)&amp;"",IF($Z806="F",INDEX(FTE_Allocation!$C$2:$C$201,$AB806)&amp;"","")))</f>
        <v/>
      </c>
      <c r="D806" s="7">
        <f>IF($Z806="C",INDEX(Contracts!$B$2:$B$151,$AB806)&amp;"",IF($Z806="A",INDEX(Fixed_Assets!$B$2:$B$201,$AB806)&amp;"",IF($Z806="F",INDEX(FTE_Allocation!$B$2:$B$201,$AB806)&amp;"","")))</f>
        <v/>
      </c>
      <c r="E806" s="7">
        <f>IF($Z806="C",INDEX(Contracts!$P$2:$P$151,$AB806)&amp;"",IF($Z806="A",INDEX(Fixed_Assets!$K$2:$K$201,$AB806)&amp;"",IF($Z806="F",IF(INDEX(FTE_Allocation!$D$2:$D$201,$AB806)="PROJECT",IFERROR(INDEX(Projects!$D:$D,MATCH(INDEX(FTE_Allocation!$E$2:$E$201,$AB806),Projects!$A:$A,0))&amp;"","#PROJECT?"),INDEX(FTE_Allocation!$E$2:$E$201,$AB806)&amp;""),"")))</f>
        <v/>
      </c>
      <c r="F806" s="7">
        <f>IF($Z806="C",INDEX(Contracts!$Q$2:$Q$151,$AB806)&amp;"",IF($Z806="A",INDEX(Fixed_Assets!$L$2:$L$201,$AB806)&amp;"",IF($Z806="F",INDEX(Workforce!$K$2:$K$151,MATCH(INDEX(FTE_Allocation!$A$2:$A$201,$AB806),Workforce!$A$2:$A$151,0))&amp;"","")))</f>
        <v/>
      </c>
      <c r="G806" s="7">
        <f>IF($Z806="C",INDEX(Contracts!$F$2:$F$151,$AB806)&amp;" / "&amp;INDEX(Contracts!$G$2:$G$151,$AB806),IF($Z806="A",INDEX(Fixed_Assets!$E$2:$E$201,$AB806)&amp;"",IF($Z806="F","Personnel "&amp;INDEX(FTE_Allocation!$A$2:$A$201,$AB806)&amp;IF(INDEX(FTE_Allocation!$D$2:$D$201,$AB806)="PROJECT"," ("&amp;INDEX(FTE_Allocation!$E$2:$E$201,$AB806)&amp;")",""),"")))</f>
        <v/>
      </c>
      <c r="H806" s="7">
        <f>IF($Z806="C","CONTRACT",IF($Z806="A","ASSET",IF($Z806="F","WORKFORCE","")))</f>
        <v/>
      </c>
      <c r="I806" s="7">
        <f>IF($Z806="C",INDEX(Contracts!$L$2:$L$151,$AB806)&amp;"",IF($Z806="A",INDEX(Fixed_Assets!$I$2:$I$201,$AB806)&amp;"",IF($Z806="F",INDEX(Workforce!$G$2:$G$151,MATCH(INDEX(FTE_Allocation!$A$2:$A$201,$AB806),Workforce!$A$2:$A$151,0))&amp;"","")))</f>
        <v/>
      </c>
      <c r="J806" s="18">
        <f>IF($Z806="","",IF(AND(DATE($AD806,1,1)&gt;=$AE806,DATE($AD806,1,1)&lt;=$AF806),ROUND($AG806,2),0))</f>
        <v/>
      </c>
      <c r="K806" s="18">
        <f>IF($Z806="","",IF(AND(DATE($AD806,2,1)&gt;=$AE806,DATE($AD806,2,1)&lt;=$AF806),ROUND($AG806,2),0))</f>
        <v/>
      </c>
      <c r="L806" s="18">
        <f>IF($Z806="","",IF(AND(DATE($AD806,3,1)&gt;=$AE806,DATE($AD806,3,1)&lt;=$AF806),ROUND($AG806,2),0))</f>
        <v/>
      </c>
      <c r="M806" s="18">
        <f>IF($Z806="","",IF(AND(DATE($AD806,4,1)&gt;=$AE806,DATE($AD806,4,1)&lt;=$AF806),ROUND($AG806,2),0))</f>
        <v/>
      </c>
      <c r="N806" s="18">
        <f>IF($Z806="","",IF(AND(DATE($AD806,5,1)&gt;=$AE806,DATE($AD806,5,1)&lt;=$AF806),ROUND($AG806,2),0))</f>
        <v/>
      </c>
      <c r="O806" s="18">
        <f>IF($Z806="","",IF(AND(DATE($AD806,6,1)&gt;=$AE806,DATE($AD806,6,1)&lt;=$AF806),ROUND($AG806,2),0))</f>
        <v/>
      </c>
      <c r="P806" s="18">
        <f>IF($Z806="","",IF(AND(DATE($AD806,7,1)&gt;=$AE806,DATE($AD806,7,1)&lt;=$AF806),ROUND($AG806,2),0))</f>
        <v/>
      </c>
      <c r="Q806" s="18">
        <f>IF($Z806="","",IF(AND(DATE($AD806,8,1)&gt;=$AE806,DATE($AD806,8,1)&lt;=$AF806),ROUND($AG806,2),0))</f>
        <v/>
      </c>
      <c r="R806" s="18">
        <f>IF($Z806="","",IF(AND(DATE($AD806,9,1)&gt;=$AE806,DATE($AD806,9,1)&lt;=$AF806),ROUND($AG806,2),0))</f>
        <v/>
      </c>
      <c r="S806" s="18">
        <f>IF($Z806="","",IF(AND(DATE($AD806,10,1)&gt;=$AE806,DATE($AD806,10,1)&lt;=$AF806),ROUND($AG806,2),0))</f>
        <v/>
      </c>
      <c r="T806" s="18">
        <f>IF($Z806="","",IF(AND(DATE($AD806,11,1)&gt;=$AE806,DATE($AD806,11,1)&lt;=$AF806),ROUND($AG806,2),0))</f>
        <v/>
      </c>
      <c r="U806" s="18">
        <f>IF($Z806="","",IF(AND(DATE($AD806,12,1)&gt;=$AE806,DATE($AD806,12,1)&lt;=$AF806),ROUND($AG806,2),0))</f>
        <v/>
      </c>
      <c r="V806" s="7">
        <f>IF($Z806="C","Generated from "&amp;INDEX(Contracts!$A$2:$A$151,$AB806),IF($Z806="A","Generated from "&amp;INDEX(Fixed_Assets!$A$2:$A$201,$AB806),IF($Z806="F","Generated from "&amp;INDEX(FTE_Allocation!$A$2:$A$201,$AB806),"")))</f>
        <v/>
      </c>
      <c r="X806" s="19">
        <f>IF($Z806="","",SUM(J806:U806))</f>
        <v/>
      </c>
      <c r="Y806" s="20">
        <f>ROW()-1</f>
        <v/>
      </c>
      <c r="Z806" s="20">
        <f>IF($Y806&lt;=Settings!$B$4*3,"C",IF($Y806&lt;=(Settings!$B$4+Settings!$B$5)*3,"A",IF($Y806&lt;=(Settings!$B$4+Settings!$B$5+Settings!$B$6)*3,"F","")))</f>
        <v/>
      </c>
      <c r="AA806" s="20">
        <f>IF($Z806="C",$Y806,IF($Z806="A",$Y806-Settings!$B$4*3,IF($Z806="F",$Y806-(Settings!$B$4+Settings!$B$5)*3,"")))</f>
        <v/>
      </c>
      <c r="AB806" s="20">
        <f>IF($Z806="","",INT(($AA806-1)/3)+1)</f>
        <v/>
      </c>
      <c r="AC806" s="20">
        <f>IF($Z806="","",MOD($AA806-1,3)+1)</f>
        <v/>
      </c>
      <c r="AD806" s="20">
        <f>IF($Z806="","",Settings!$B$2+$AC806-1)</f>
        <v/>
      </c>
      <c r="AE806" s="21">
        <f>IF($Z806="C",DATE(YEAR(INDEX(Contracts!$J$2:$J$151,$AB806)),MONTH(INDEX(Contracts!$J$2:$J$151,$AB806)),1),IF($Z806="A",DATE(YEAR(INDEX(Fixed_Assets!$G$2:$G$201,$AB806)),MONTH(INDEX(Fixed_Assets!$G$2:$G$201,$AB806)),1),IF($Z806="F",DATE(YEAR(MAX(N(INDEX(Workforce!$I$2:$I$151,MATCH(INDEX(FTE_Allocation!$A$2:$A$201,$AB806),Workforce!$A$2:$A$151,0))),N(INDEX(FTE_Allocation!$I$2:$I$201,$AB806)))),MONTH(MAX(N(INDEX(Workforce!$I$2:$I$151,MATCH(INDEX(FTE_Allocation!$A$2:$A$201,$AB806),Workforce!$A$2:$A$151,0))),N(INDEX(FTE_Allocation!$I$2:$I$201,$AB806)))),1),"")))</f>
        <v/>
      </c>
      <c r="AF806" s="21">
        <f>IF($Z806="C",IF(INDEX(Contracts!$I$2:$I$151,$AB806)="PREPAID",EDATE(DATE(YEAR(INDEX(Contracts!$J$2:$J$151,$AB806)),MONTH(INDEX(Contracts!$J$2:$J$151,$AB806)),1),IF(INDEX(Contracts!$N$2:$N$151,$AB806)="",12,INDEX(Contracts!$N$2:$N$151,$AB806))-1),IF(INDEX(Contracts!$I$2:$I$151,$AB806)="MONTHLY",IF(INDEX(Contracts!$K$2:$K$151,$AB806)="",2958101,INDEX(Contracts!$K$2:$K$151,$AB806)),0)),IF($Z806="A",EDATE(DATE(YEAR(INDEX(Fixed_Assets!$G$2:$G$201,$AB806)),MONTH(INDEX(Fixed_Assets!$G$2:$G$201,$AB806)),1),INDEX(Fixed_Assets!$J$2:$J$201,$AB806)-1),IF($Z806="F",MIN(IF(INDEX(Workforce!$J$2:$J$151,MATCH(INDEX(FTE_Allocation!$A$2:$A$201,$AB806),Workforce!$A$2:$A$151,0))="",2958101,INDEX(Workforce!$J$2:$J$151,MATCH(INDEX(FTE_Allocation!$A$2:$A$201,$AB806),Workforce!$A$2:$A$151,0))),IF(INDEX(FTE_Allocation!$J$2:$J$201,$AB806)="",2958101,INDEX(FTE_Allocation!$J$2:$J$201,$AB806))),"")))</f>
        <v/>
      </c>
      <c r="AG806" s="19">
        <f>IF($Z806="C",IF(INDEX(Contracts!$I$2:$I$151,$AB806)="PREPAID",INDEX(Contracts!$M$2:$M$151,$AB806)/IF(INDEX(Contracts!$N$2:$N$151,$AB806)="",12,INDEX(Contracts!$N$2:$N$151,$AB806)),IF(INDEX(Contracts!$I$2:$I$151,$AB806)="MONTHLY",INDEX(Contracts!$M$2:$M$151,$AB806),0))*(1-N(INDEX(Contracts!$O$2:$O$151,$AB806))),IF($Z806="A",INDEX(Fixed_Assets!$H$2:$H$201,$AB806)/INDEX(Fixed_Assets!$J$2:$J$201,$AB806),IF($Z806="F",INDEX(Workforce!$F$2:$F$151,MATCH(INDEX(FTE_Allocation!$A$2:$A$201,$AB806),Workforce!$A$2:$A$151,0))*N(INDEX(FTE_Allocation!$F$2:$H$201,$AB806,$AC806)),"")))</f>
        <v/>
      </c>
    </row>
    <row r="807">
      <c r="A807" s="7">
        <f>IF($Z807="","",$AD807)</f>
        <v/>
      </c>
      <c r="B807" s="7">
        <f>IF($Z807="C",INDEX(Contracts!$D$2:$D$151,$AB807)&amp;"",IF($Z807="A",INDEX(Fixed_Assets!$C$2:$C$201,$AB807)&amp;"",IF($Z807="F",INDEX(Workforce!$B$2:$B$151,MATCH(INDEX(FTE_Allocation!$A$2:$A$201,$AB807),Workforce!$A$2:$A$151,0))&amp;"","")))</f>
        <v/>
      </c>
      <c r="C807" s="7">
        <f>IF($Z807="C",INDEX(Contracts!$E$2:$E$151,$AB807)&amp;"",IF($Z807="A",INDEX(Fixed_Assets!$D$2:$D$201,$AB807)&amp;"",IF($Z807="F",INDEX(FTE_Allocation!$C$2:$C$201,$AB807)&amp;"","")))</f>
        <v/>
      </c>
      <c r="D807" s="7">
        <f>IF($Z807="C",INDEX(Contracts!$B$2:$B$151,$AB807)&amp;"",IF($Z807="A",INDEX(Fixed_Assets!$B$2:$B$201,$AB807)&amp;"",IF($Z807="F",INDEX(FTE_Allocation!$B$2:$B$201,$AB807)&amp;"","")))</f>
        <v/>
      </c>
      <c r="E807" s="7">
        <f>IF($Z807="C",INDEX(Contracts!$P$2:$P$151,$AB807)&amp;"",IF($Z807="A",INDEX(Fixed_Assets!$K$2:$K$201,$AB807)&amp;"",IF($Z807="F",IF(INDEX(FTE_Allocation!$D$2:$D$201,$AB807)="PROJECT",IFERROR(INDEX(Projects!$D:$D,MATCH(INDEX(FTE_Allocation!$E$2:$E$201,$AB807),Projects!$A:$A,0))&amp;"","#PROJECT?"),INDEX(FTE_Allocation!$E$2:$E$201,$AB807)&amp;""),"")))</f>
        <v/>
      </c>
      <c r="F807" s="7">
        <f>IF($Z807="C",INDEX(Contracts!$Q$2:$Q$151,$AB807)&amp;"",IF($Z807="A",INDEX(Fixed_Assets!$L$2:$L$201,$AB807)&amp;"",IF($Z807="F",INDEX(Workforce!$K$2:$K$151,MATCH(INDEX(FTE_Allocation!$A$2:$A$201,$AB807),Workforce!$A$2:$A$151,0))&amp;"","")))</f>
        <v/>
      </c>
      <c r="G807" s="7">
        <f>IF($Z807="C",INDEX(Contracts!$F$2:$F$151,$AB807)&amp;" / "&amp;INDEX(Contracts!$G$2:$G$151,$AB807),IF($Z807="A",INDEX(Fixed_Assets!$E$2:$E$201,$AB807)&amp;"",IF($Z807="F","Personnel "&amp;INDEX(FTE_Allocation!$A$2:$A$201,$AB807)&amp;IF(INDEX(FTE_Allocation!$D$2:$D$201,$AB807)="PROJECT"," ("&amp;INDEX(FTE_Allocation!$E$2:$E$201,$AB807)&amp;")",""),"")))</f>
        <v/>
      </c>
      <c r="H807" s="7">
        <f>IF($Z807="C","CONTRACT",IF($Z807="A","ASSET",IF($Z807="F","WORKFORCE","")))</f>
        <v/>
      </c>
      <c r="I807" s="7">
        <f>IF($Z807="C",INDEX(Contracts!$L$2:$L$151,$AB807)&amp;"",IF($Z807="A",INDEX(Fixed_Assets!$I$2:$I$201,$AB807)&amp;"",IF($Z807="F",INDEX(Workforce!$G$2:$G$151,MATCH(INDEX(FTE_Allocation!$A$2:$A$201,$AB807),Workforce!$A$2:$A$151,0))&amp;"","")))</f>
        <v/>
      </c>
      <c r="J807" s="18">
        <f>IF($Z807="","",IF(AND(DATE($AD807,1,1)&gt;=$AE807,DATE($AD807,1,1)&lt;=$AF807),ROUND($AG807,2),0))</f>
        <v/>
      </c>
      <c r="K807" s="18">
        <f>IF($Z807="","",IF(AND(DATE($AD807,2,1)&gt;=$AE807,DATE($AD807,2,1)&lt;=$AF807),ROUND($AG807,2),0))</f>
        <v/>
      </c>
      <c r="L807" s="18">
        <f>IF($Z807="","",IF(AND(DATE($AD807,3,1)&gt;=$AE807,DATE($AD807,3,1)&lt;=$AF807),ROUND($AG807,2),0))</f>
        <v/>
      </c>
      <c r="M807" s="18">
        <f>IF($Z807="","",IF(AND(DATE($AD807,4,1)&gt;=$AE807,DATE($AD807,4,1)&lt;=$AF807),ROUND($AG807,2),0))</f>
        <v/>
      </c>
      <c r="N807" s="18">
        <f>IF($Z807="","",IF(AND(DATE($AD807,5,1)&gt;=$AE807,DATE($AD807,5,1)&lt;=$AF807),ROUND($AG807,2),0))</f>
        <v/>
      </c>
      <c r="O807" s="18">
        <f>IF($Z807="","",IF(AND(DATE($AD807,6,1)&gt;=$AE807,DATE($AD807,6,1)&lt;=$AF807),ROUND($AG807,2),0))</f>
        <v/>
      </c>
      <c r="P807" s="18">
        <f>IF($Z807="","",IF(AND(DATE($AD807,7,1)&gt;=$AE807,DATE($AD807,7,1)&lt;=$AF807),ROUND($AG807,2),0))</f>
        <v/>
      </c>
      <c r="Q807" s="18">
        <f>IF($Z807="","",IF(AND(DATE($AD807,8,1)&gt;=$AE807,DATE($AD807,8,1)&lt;=$AF807),ROUND($AG807,2),0))</f>
        <v/>
      </c>
      <c r="R807" s="18">
        <f>IF($Z807="","",IF(AND(DATE($AD807,9,1)&gt;=$AE807,DATE($AD807,9,1)&lt;=$AF807),ROUND($AG807,2),0))</f>
        <v/>
      </c>
      <c r="S807" s="18">
        <f>IF($Z807="","",IF(AND(DATE($AD807,10,1)&gt;=$AE807,DATE($AD807,10,1)&lt;=$AF807),ROUND($AG807,2),0))</f>
        <v/>
      </c>
      <c r="T807" s="18">
        <f>IF($Z807="","",IF(AND(DATE($AD807,11,1)&gt;=$AE807,DATE($AD807,11,1)&lt;=$AF807),ROUND($AG807,2),0))</f>
        <v/>
      </c>
      <c r="U807" s="18">
        <f>IF($Z807="","",IF(AND(DATE($AD807,12,1)&gt;=$AE807,DATE($AD807,12,1)&lt;=$AF807),ROUND($AG807,2),0))</f>
        <v/>
      </c>
      <c r="V807" s="7">
        <f>IF($Z807="C","Generated from "&amp;INDEX(Contracts!$A$2:$A$151,$AB807),IF($Z807="A","Generated from "&amp;INDEX(Fixed_Assets!$A$2:$A$201,$AB807),IF($Z807="F","Generated from "&amp;INDEX(FTE_Allocation!$A$2:$A$201,$AB807),"")))</f>
        <v/>
      </c>
      <c r="X807" s="19">
        <f>IF($Z807="","",SUM(J807:U807))</f>
        <v/>
      </c>
      <c r="Y807" s="20">
        <f>ROW()-1</f>
        <v/>
      </c>
      <c r="Z807" s="20">
        <f>IF($Y807&lt;=Settings!$B$4*3,"C",IF($Y807&lt;=(Settings!$B$4+Settings!$B$5)*3,"A",IF($Y807&lt;=(Settings!$B$4+Settings!$B$5+Settings!$B$6)*3,"F","")))</f>
        <v/>
      </c>
      <c r="AA807" s="20">
        <f>IF($Z807="C",$Y807,IF($Z807="A",$Y807-Settings!$B$4*3,IF($Z807="F",$Y807-(Settings!$B$4+Settings!$B$5)*3,"")))</f>
        <v/>
      </c>
      <c r="AB807" s="20">
        <f>IF($Z807="","",INT(($AA807-1)/3)+1)</f>
        <v/>
      </c>
      <c r="AC807" s="20">
        <f>IF($Z807="","",MOD($AA807-1,3)+1)</f>
        <v/>
      </c>
      <c r="AD807" s="20">
        <f>IF($Z807="","",Settings!$B$2+$AC807-1)</f>
        <v/>
      </c>
      <c r="AE807" s="21">
        <f>IF($Z807="C",DATE(YEAR(INDEX(Contracts!$J$2:$J$151,$AB807)),MONTH(INDEX(Contracts!$J$2:$J$151,$AB807)),1),IF($Z807="A",DATE(YEAR(INDEX(Fixed_Assets!$G$2:$G$201,$AB807)),MONTH(INDEX(Fixed_Assets!$G$2:$G$201,$AB807)),1),IF($Z807="F",DATE(YEAR(MAX(N(INDEX(Workforce!$I$2:$I$151,MATCH(INDEX(FTE_Allocation!$A$2:$A$201,$AB807),Workforce!$A$2:$A$151,0))),N(INDEX(FTE_Allocation!$I$2:$I$201,$AB807)))),MONTH(MAX(N(INDEX(Workforce!$I$2:$I$151,MATCH(INDEX(FTE_Allocation!$A$2:$A$201,$AB807),Workforce!$A$2:$A$151,0))),N(INDEX(FTE_Allocation!$I$2:$I$201,$AB807)))),1),"")))</f>
        <v/>
      </c>
      <c r="AF807" s="21">
        <f>IF($Z807="C",IF(INDEX(Contracts!$I$2:$I$151,$AB807)="PREPAID",EDATE(DATE(YEAR(INDEX(Contracts!$J$2:$J$151,$AB807)),MONTH(INDEX(Contracts!$J$2:$J$151,$AB807)),1),IF(INDEX(Contracts!$N$2:$N$151,$AB807)="",12,INDEX(Contracts!$N$2:$N$151,$AB807))-1),IF(INDEX(Contracts!$I$2:$I$151,$AB807)="MONTHLY",IF(INDEX(Contracts!$K$2:$K$151,$AB807)="",2958101,INDEX(Contracts!$K$2:$K$151,$AB807)),0)),IF($Z807="A",EDATE(DATE(YEAR(INDEX(Fixed_Assets!$G$2:$G$201,$AB807)),MONTH(INDEX(Fixed_Assets!$G$2:$G$201,$AB807)),1),INDEX(Fixed_Assets!$J$2:$J$201,$AB807)-1),IF($Z807="F",MIN(IF(INDEX(Workforce!$J$2:$J$151,MATCH(INDEX(FTE_Allocation!$A$2:$A$201,$AB807),Workforce!$A$2:$A$151,0))="",2958101,INDEX(Workforce!$J$2:$J$151,MATCH(INDEX(FTE_Allocation!$A$2:$A$201,$AB807),Workforce!$A$2:$A$151,0))),IF(INDEX(FTE_Allocation!$J$2:$J$201,$AB807)="",2958101,INDEX(FTE_Allocation!$J$2:$J$201,$AB807))),"")))</f>
        <v/>
      </c>
      <c r="AG807" s="19">
        <f>IF($Z807="C",IF(INDEX(Contracts!$I$2:$I$151,$AB807)="PREPAID",INDEX(Contracts!$M$2:$M$151,$AB807)/IF(INDEX(Contracts!$N$2:$N$151,$AB807)="",12,INDEX(Contracts!$N$2:$N$151,$AB807)),IF(INDEX(Contracts!$I$2:$I$151,$AB807)="MONTHLY",INDEX(Contracts!$M$2:$M$151,$AB807),0))*(1-N(INDEX(Contracts!$O$2:$O$151,$AB807))),IF($Z807="A",INDEX(Fixed_Assets!$H$2:$H$201,$AB807)/INDEX(Fixed_Assets!$J$2:$J$201,$AB807),IF($Z807="F",INDEX(Workforce!$F$2:$F$151,MATCH(INDEX(FTE_Allocation!$A$2:$A$201,$AB807),Workforce!$A$2:$A$151,0))*N(INDEX(FTE_Allocation!$F$2:$H$201,$AB807,$AC807)),"")))</f>
        <v/>
      </c>
    </row>
    <row r="808">
      <c r="A808" s="7">
        <f>IF($Z808="","",$AD808)</f>
        <v/>
      </c>
      <c r="B808" s="7">
        <f>IF($Z808="C",INDEX(Contracts!$D$2:$D$151,$AB808)&amp;"",IF($Z808="A",INDEX(Fixed_Assets!$C$2:$C$201,$AB808)&amp;"",IF($Z808="F",INDEX(Workforce!$B$2:$B$151,MATCH(INDEX(FTE_Allocation!$A$2:$A$201,$AB808),Workforce!$A$2:$A$151,0))&amp;"","")))</f>
        <v/>
      </c>
      <c r="C808" s="7">
        <f>IF($Z808="C",INDEX(Contracts!$E$2:$E$151,$AB808)&amp;"",IF($Z808="A",INDEX(Fixed_Assets!$D$2:$D$201,$AB808)&amp;"",IF($Z808="F",INDEX(FTE_Allocation!$C$2:$C$201,$AB808)&amp;"","")))</f>
        <v/>
      </c>
      <c r="D808" s="7">
        <f>IF($Z808="C",INDEX(Contracts!$B$2:$B$151,$AB808)&amp;"",IF($Z808="A",INDEX(Fixed_Assets!$B$2:$B$201,$AB808)&amp;"",IF($Z808="F",INDEX(FTE_Allocation!$B$2:$B$201,$AB808)&amp;"","")))</f>
        <v/>
      </c>
      <c r="E808" s="7">
        <f>IF($Z808="C",INDEX(Contracts!$P$2:$P$151,$AB808)&amp;"",IF($Z808="A",INDEX(Fixed_Assets!$K$2:$K$201,$AB808)&amp;"",IF($Z808="F",IF(INDEX(FTE_Allocation!$D$2:$D$201,$AB808)="PROJECT",IFERROR(INDEX(Projects!$D:$D,MATCH(INDEX(FTE_Allocation!$E$2:$E$201,$AB808),Projects!$A:$A,0))&amp;"","#PROJECT?"),INDEX(FTE_Allocation!$E$2:$E$201,$AB808)&amp;""),"")))</f>
        <v/>
      </c>
      <c r="F808" s="7">
        <f>IF($Z808="C",INDEX(Contracts!$Q$2:$Q$151,$AB808)&amp;"",IF($Z808="A",INDEX(Fixed_Assets!$L$2:$L$201,$AB808)&amp;"",IF($Z808="F",INDEX(Workforce!$K$2:$K$151,MATCH(INDEX(FTE_Allocation!$A$2:$A$201,$AB808),Workforce!$A$2:$A$151,0))&amp;"","")))</f>
        <v/>
      </c>
      <c r="G808" s="7">
        <f>IF($Z808="C",INDEX(Contracts!$F$2:$F$151,$AB808)&amp;" / "&amp;INDEX(Contracts!$G$2:$G$151,$AB808),IF($Z808="A",INDEX(Fixed_Assets!$E$2:$E$201,$AB808)&amp;"",IF($Z808="F","Personnel "&amp;INDEX(FTE_Allocation!$A$2:$A$201,$AB808)&amp;IF(INDEX(FTE_Allocation!$D$2:$D$201,$AB808)="PROJECT"," ("&amp;INDEX(FTE_Allocation!$E$2:$E$201,$AB808)&amp;")",""),"")))</f>
        <v/>
      </c>
      <c r="H808" s="7">
        <f>IF($Z808="C","CONTRACT",IF($Z808="A","ASSET",IF($Z808="F","WORKFORCE","")))</f>
        <v/>
      </c>
      <c r="I808" s="7">
        <f>IF($Z808="C",INDEX(Contracts!$L$2:$L$151,$AB808)&amp;"",IF($Z808="A",INDEX(Fixed_Assets!$I$2:$I$201,$AB808)&amp;"",IF($Z808="F",INDEX(Workforce!$G$2:$G$151,MATCH(INDEX(FTE_Allocation!$A$2:$A$201,$AB808),Workforce!$A$2:$A$151,0))&amp;"","")))</f>
        <v/>
      </c>
      <c r="J808" s="18">
        <f>IF($Z808="","",IF(AND(DATE($AD808,1,1)&gt;=$AE808,DATE($AD808,1,1)&lt;=$AF808),ROUND($AG808,2),0))</f>
        <v/>
      </c>
      <c r="K808" s="18">
        <f>IF($Z808="","",IF(AND(DATE($AD808,2,1)&gt;=$AE808,DATE($AD808,2,1)&lt;=$AF808),ROUND($AG808,2),0))</f>
        <v/>
      </c>
      <c r="L808" s="18">
        <f>IF($Z808="","",IF(AND(DATE($AD808,3,1)&gt;=$AE808,DATE($AD808,3,1)&lt;=$AF808),ROUND($AG808,2),0))</f>
        <v/>
      </c>
      <c r="M808" s="18">
        <f>IF($Z808="","",IF(AND(DATE($AD808,4,1)&gt;=$AE808,DATE($AD808,4,1)&lt;=$AF808),ROUND($AG808,2),0))</f>
        <v/>
      </c>
      <c r="N808" s="18">
        <f>IF($Z808="","",IF(AND(DATE($AD808,5,1)&gt;=$AE808,DATE($AD808,5,1)&lt;=$AF808),ROUND($AG808,2),0))</f>
        <v/>
      </c>
      <c r="O808" s="18">
        <f>IF($Z808="","",IF(AND(DATE($AD808,6,1)&gt;=$AE808,DATE($AD808,6,1)&lt;=$AF808),ROUND($AG808,2),0))</f>
        <v/>
      </c>
      <c r="P808" s="18">
        <f>IF($Z808="","",IF(AND(DATE($AD808,7,1)&gt;=$AE808,DATE($AD808,7,1)&lt;=$AF808),ROUND($AG808,2),0))</f>
        <v/>
      </c>
      <c r="Q808" s="18">
        <f>IF($Z808="","",IF(AND(DATE($AD808,8,1)&gt;=$AE808,DATE($AD808,8,1)&lt;=$AF808),ROUND($AG808,2),0))</f>
        <v/>
      </c>
      <c r="R808" s="18">
        <f>IF($Z808="","",IF(AND(DATE($AD808,9,1)&gt;=$AE808,DATE($AD808,9,1)&lt;=$AF808),ROUND($AG808,2),0))</f>
        <v/>
      </c>
      <c r="S808" s="18">
        <f>IF($Z808="","",IF(AND(DATE($AD808,10,1)&gt;=$AE808,DATE($AD808,10,1)&lt;=$AF808),ROUND($AG808,2),0))</f>
        <v/>
      </c>
      <c r="T808" s="18">
        <f>IF($Z808="","",IF(AND(DATE($AD808,11,1)&gt;=$AE808,DATE($AD808,11,1)&lt;=$AF808),ROUND($AG808,2),0))</f>
        <v/>
      </c>
      <c r="U808" s="18">
        <f>IF($Z808="","",IF(AND(DATE($AD808,12,1)&gt;=$AE808,DATE($AD808,12,1)&lt;=$AF808),ROUND($AG808,2),0))</f>
        <v/>
      </c>
      <c r="V808" s="7">
        <f>IF($Z808="C","Generated from "&amp;INDEX(Contracts!$A$2:$A$151,$AB808),IF($Z808="A","Generated from "&amp;INDEX(Fixed_Assets!$A$2:$A$201,$AB808),IF($Z808="F","Generated from "&amp;INDEX(FTE_Allocation!$A$2:$A$201,$AB808),"")))</f>
        <v/>
      </c>
      <c r="X808" s="19">
        <f>IF($Z808="","",SUM(J808:U808))</f>
        <v/>
      </c>
      <c r="Y808" s="20">
        <f>ROW()-1</f>
        <v/>
      </c>
      <c r="Z808" s="20">
        <f>IF($Y808&lt;=Settings!$B$4*3,"C",IF($Y808&lt;=(Settings!$B$4+Settings!$B$5)*3,"A",IF($Y808&lt;=(Settings!$B$4+Settings!$B$5+Settings!$B$6)*3,"F","")))</f>
        <v/>
      </c>
      <c r="AA808" s="20">
        <f>IF($Z808="C",$Y808,IF($Z808="A",$Y808-Settings!$B$4*3,IF($Z808="F",$Y808-(Settings!$B$4+Settings!$B$5)*3,"")))</f>
        <v/>
      </c>
      <c r="AB808" s="20">
        <f>IF($Z808="","",INT(($AA808-1)/3)+1)</f>
        <v/>
      </c>
      <c r="AC808" s="20">
        <f>IF($Z808="","",MOD($AA808-1,3)+1)</f>
        <v/>
      </c>
      <c r="AD808" s="20">
        <f>IF($Z808="","",Settings!$B$2+$AC808-1)</f>
        <v/>
      </c>
      <c r="AE808" s="21">
        <f>IF($Z808="C",DATE(YEAR(INDEX(Contracts!$J$2:$J$151,$AB808)),MONTH(INDEX(Contracts!$J$2:$J$151,$AB808)),1),IF($Z808="A",DATE(YEAR(INDEX(Fixed_Assets!$G$2:$G$201,$AB808)),MONTH(INDEX(Fixed_Assets!$G$2:$G$201,$AB808)),1),IF($Z808="F",DATE(YEAR(MAX(N(INDEX(Workforce!$I$2:$I$151,MATCH(INDEX(FTE_Allocation!$A$2:$A$201,$AB808),Workforce!$A$2:$A$151,0))),N(INDEX(FTE_Allocation!$I$2:$I$201,$AB808)))),MONTH(MAX(N(INDEX(Workforce!$I$2:$I$151,MATCH(INDEX(FTE_Allocation!$A$2:$A$201,$AB808),Workforce!$A$2:$A$151,0))),N(INDEX(FTE_Allocation!$I$2:$I$201,$AB808)))),1),"")))</f>
        <v/>
      </c>
      <c r="AF808" s="21">
        <f>IF($Z808="C",IF(INDEX(Contracts!$I$2:$I$151,$AB808)="PREPAID",EDATE(DATE(YEAR(INDEX(Contracts!$J$2:$J$151,$AB808)),MONTH(INDEX(Contracts!$J$2:$J$151,$AB808)),1),IF(INDEX(Contracts!$N$2:$N$151,$AB808)="",12,INDEX(Contracts!$N$2:$N$151,$AB808))-1),IF(INDEX(Contracts!$I$2:$I$151,$AB808)="MONTHLY",IF(INDEX(Contracts!$K$2:$K$151,$AB808)="",2958101,INDEX(Contracts!$K$2:$K$151,$AB808)),0)),IF($Z808="A",EDATE(DATE(YEAR(INDEX(Fixed_Assets!$G$2:$G$201,$AB808)),MONTH(INDEX(Fixed_Assets!$G$2:$G$201,$AB808)),1),INDEX(Fixed_Assets!$J$2:$J$201,$AB808)-1),IF($Z808="F",MIN(IF(INDEX(Workforce!$J$2:$J$151,MATCH(INDEX(FTE_Allocation!$A$2:$A$201,$AB808),Workforce!$A$2:$A$151,0))="",2958101,INDEX(Workforce!$J$2:$J$151,MATCH(INDEX(FTE_Allocation!$A$2:$A$201,$AB808),Workforce!$A$2:$A$151,0))),IF(INDEX(FTE_Allocation!$J$2:$J$201,$AB808)="",2958101,INDEX(FTE_Allocation!$J$2:$J$201,$AB808))),"")))</f>
        <v/>
      </c>
      <c r="AG808" s="19">
        <f>IF($Z808="C",IF(INDEX(Contracts!$I$2:$I$151,$AB808)="PREPAID",INDEX(Contracts!$M$2:$M$151,$AB808)/IF(INDEX(Contracts!$N$2:$N$151,$AB808)="",12,INDEX(Contracts!$N$2:$N$151,$AB808)),IF(INDEX(Contracts!$I$2:$I$151,$AB808)="MONTHLY",INDEX(Contracts!$M$2:$M$151,$AB808),0))*(1-N(INDEX(Contracts!$O$2:$O$151,$AB808))),IF($Z808="A",INDEX(Fixed_Assets!$H$2:$H$201,$AB808)/INDEX(Fixed_Assets!$J$2:$J$201,$AB808),IF($Z808="F",INDEX(Workforce!$F$2:$F$151,MATCH(INDEX(FTE_Allocation!$A$2:$A$201,$AB808),Workforce!$A$2:$A$151,0))*N(INDEX(FTE_Allocation!$F$2:$H$201,$AB808,$AC808)),"")))</f>
        <v/>
      </c>
    </row>
    <row r="809">
      <c r="A809" s="7">
        <f>IF($Z809="","",$AD809)</f>
        <v/>
      </c>
      <c r="B809" s="7">
        <f>IF($Z809="C",INDEX(Contracts!$D$2:$D$151,$AB809)&amp;"",IF($Z809="A",INDEX(Fixed_Assets!$C$2:$C$201,$AB809)&amp;"",IF($Z809="F",INDEX(Workforce!$B$2:$B$151,MATCH(INDEX(FTE_Allocation!$A$2:$A$201,$AB809),Workforce!$A$2:$A$151,0))&amp;"","")))</f>
        <v/>
      </c>
      <c r="C809" s="7">
        <f>IF($Z809="C",INDEX(Contracts!$E$2:$E$151,$AB809)&amp;"",IF($Z809="A",INDEX(Fixed_Assets!$D$2:$D$201,$AB809)&amp;"",IF($Z809="F",INDEX(FTE_Allocation!$C$2:$C$201,$AB809)&amp;"","")))</f>
        <v/>
      </c>
      <c r="D809" s="7">
        <f>IF($Z809="C",INDEX(Contracts!$B$2:$B$151,$AB809)&amp;"",IF($Z809="A",INDEX(Fixed_Assets!$B$2:$B$201,$AB809)&amp;"",IF($Z809="F",INDEX(FTE_Allocation!$B$2:$B$201,$AB809)&amp;"","")))</f>
        <v/>
      </c>
      <c r="E809" s="7">
        <f>IF($Z809="C",INDEX(Contracts!$P$2:$P$151,$AB809)&amp;"",IF($Z809="A",INDEX(Fixed_Assets!$K$2:$K$201,$AB809)&amp;"",IF($Z809="F",IF(INDEX(FTE_Allocation!$D$2:$D$201,$AB809)="PROJECT",IFERROR(INDEX(Projects!$D:$D,MATCH(INDEX(FTE_Allocation!$E$2:$E$201,$AB809),Projects!$A:$A,0))&amp;"","#PROJECT?"),INDEX(FTE_Allocation!$E$2:$E$201,$AB809)&amp;""),"")))</f>
        <v/>
      </c>
      <c r="F809" s="7">
        <f>IF($Z809="C",INDEX(Contracts!$Q$2:$Q$151,$AB809)&amp;"",IF($Z809="A",INDEX(Fixed_Assets!$L$2:$L$201,$AB809)&amp;"",IF($Z809="F",INDEX(Workforce!$K$2:$K$151,MATCH(INDEX(FTE_Allocation!$A$2:$A$201,$AB809),Workforce!$A$2:$A$151,0))&amp;"","")))</f>
        <v/>
      </c>
      <c r="G809" s="7">
        <f>IF($Z809="C",INDEX(Contracts!$F$2:$F$151,$AB809)&amp;" / "&amp;INDEX(Contracts!$G$2:$G$151,$AB809),IF($Z809="A",INDEX(Fixed_Assets!$E$2:$E$201,$AB809)&amp;"",IF($Z809="F","Personnel "&amp;INDEX(FTE_Allocation!$A$2:$A$201,$AB809)&amp;IF(INDEX(FTE_Allocation!$D$2:$D$201,$AB809)="PROJECT"," ("&amp;INDEX(FTE_Allocation!$E$2:$E$201,$AB809)&amp;")",""),"")))</f>
        <v/>
      </c>
      <c r="H809" s="7">
        <f>IF($Z809="C","CONTRACT",IF($Z809="A","ASSET",IF($Z809="F","WORKFORCE","")))</f>
        <v/>
      </c>
      <c r="I809" s="7">
        <f>IF($Z809="C",INDEX(Contracts!$L$2:$L$151,$AB809)&amp;"",IF($Z809="A",INDEX(Fixed_Assets!$I$2:$I$201,$AB809)&amp;"",IF($Z809="F",INDEX(Workforce!$G$2:$G$151,MATCH(INDEX(FTE_Allocation!$A$2:$A$201,$AB809),Workforce!$A$2:$A$151,0))&amp;"","")))</f>
        <v/>
      </c>
      <c r="J809" s="18">
        <f>IF($Z809="","",IF(AND(DATE($AD809,1,1)&gt;=$AE809,DATE($AD809,1,1)&lt;=$AF809),ROUND($AG809,2),0))</f>
        <v/>
      </c>
      <c r="K809" s="18">
        <f>IF($Z809="","",IF(AND(DATE($AD809,2,1)&gt;=$AE809,DATE($AD809,2,1)&lt;=$AF809),ROUND($AG809,2),0))</f>
        <v/>
      </c>
      <c r="L809" s="18">
        <f>IF($Z809="","",IF(AND(DATE($AD809,3,1)&gt;=$AE809,DATE($AD809,3,1)&lt;=$AF809),ROUND($AG809,2),0))</f>
        <v/>
      </c>
      <c r="M809" s="18">
        <f>IF($Z809="","",IF(AND(DATE($AD809,4,1)&gt;=$AE809,DATE($AD809,4,1)&lt;=$AF809),ROUND($AG809,2),0))</f>
        <v/>
      </c>
      <c r="N809" s="18">
        <f>IF($Z809="","",IF(AND(DATE($AD809,5,1)&gt;=$AE809,DATE($AD809,5,1)&lt;=$AF809),ROUND($AG809,2),0))</f>
        <v/>
      </c>
      <c r="O809" s="18">
        <f>IF($Z809="","",IF(AND(DATE($AD809,6,1)&gt;=$AE809,DATE($AD809,6,1)&lt;=$AF809),ROUND($AG809,2),0))</f>
        <v/>
      </c>
      <c r="P809" s="18">
        <f>IF($Z809="","",IF(AND(DATE($AD809,7,1)&gt;=$AE809,DATE($AD809,7,1)&lt;=$AF809),ROUND($AG809,2),0))</f>
        <v/>
      </c>
      <c r="Q809" s="18">
        <f>IF($Z809="","",IF(AND(DATE($AD809,8,1)&gt;=$AE809,DATE($AD809,8,1)&lt;=$AF809),ROUND($AG809,2),0))</f>
        <v/>
      </c>
      <c r="R809" s="18">
        <f>IF($Z809="","",IF(AND(DATE($AD809,9,1)&gt;=$AE809,DATE($AD809,9,1)&lt;=$AF809),ROUND($AG809,2),0))</f>
        <v/>
      </c>
      <c r="S809" s="18">
        <f>IF($Z809="","",IF(AND(DATE($AD809,10,1)&gt;=$AE809,DATE($AD809,10,1)&lt;=$AF809),ROUND($AG809,2),0))</f>
        <v/>
      </c>
      <c r="T809" s="18">
        <f>IF($Z809="","",IF(AND(DATE($AD809,11,1)&gt;=$AE809,DATE($AD809,11,1)&lt;=$AF809),ROUND($AG809,2),0))</f>
        <v/>
      </c>
      <c r="U809" s="18">
        <f>IF($Z809="","",IF(AND(DATE($AD809,12,1)&gt;=$AE809,DATE($AD809,12,1)&lt;=$AF809),ROUND($AG809,2),0))</f>
        <v/>
      </c>
      <c r="V809" s="7">
        <f>IF($Z809="C","Generated from "&amp;INDEX(Contracts!$A$2:$A$151,$AB809),IF($Z809="A","Generated from "&amp;INDEX(Fixed_Assets!$A$2:$A$201,$AB809),IF($Z809="F","Generated from "&amp;INDEX(FTE_Allocation!$A$2:$A$201,$AB809),"")))</f>
        <v/>
      </c>
      <c r="X809" s="19">
        <f>IF($Z809="","",SUM(J809:U809))</f>
        <v/>
      </c>
      <c r="Y809" s="20">
        <f>ROW()-1</f>
        <v/>
      </c>
      <c r="Z809" s="20">
        <f>IF($Y809&lt;=Settings!$B$4*3,"C",IF($Y809&lt;=(Settings!$B$4+Settings!$B$5)*3,"A",IF($Y809&lt;=(Settings!$B$4+Settings!$B$5+Settings!$B$6)*3,"F","")))</f>
        <v/>
      </c>
      <c r="AA809" s="20">
        <f>IF($Z809="C",$Y809,IF($Z809="A",$Y809-Settings!$B$4*3,IF($Z809="F",$Y809-(Settings!$B$4+Settings!$B$5)*3,"")))</f>
        <v/>
      </c>
      <c r="AB809" s="20">
        <f>IF($Z809="","",INT(($AA809-1)/3)+1)</f>
        <v/>
      </c>
      <c r="AC809" s="20">
        <f>IF($Z809="","",MOD($AA809-1,3)+1)</f>
        <v/>
      </c>
      <c r="AD809" s="20">
        <f>IF($Z809="","",Settings!$B$2+$AC809-1)</f>
        <v/>
      </c>
      <c r="AE809" s="21">
        <f>IF($Z809="C",DATE(YEAR(INDEX(Contracts!$J$2:$J$151,$AB809)),MONTH(INDEX(Contracts!$J$2:$J$151,$AB809)),1),IF($Z809="A",DATE(YEAR(INDEX(Fixed_Assets!$G$2:$G$201,$AB809)),MONTH(INDEX(Fixed_Assets!$G$2:$G$201,$AB809)),1),IF($Z809="F",DATE(YEAR(MAX(N(INDEX(Workforce!$I$2:$I$151,MATCH(INDEX(FTE_Allocation!$A$2:$A$201,$AB809),Workforce!$A$2:$A$151,0))),N(INDEX(FTE_Allocation!$I$2:$I$201,$AB809)))),MONTH(MAX(N(INDEX(Workforce!$I$2:$I$151,MATCH(INDEX(FTE_Allocation!$A$2:$A$201,$AB809),Workforce!$A$2:$A$151,0))),N(INDEX(FTE_Allocation!$I$2:$I$201,$AB809)))),1),"")))</f>
        <v/>
      </c>
      <c r="AF809" s="21">
        <f>IF($Z809="C",IF(INDEX(Contracts!$I$2:$I$151,$AB809)="PREPAID",EDATE(DATE(YEAR(INDEX(Contracts!$J$2:$J$151,$AB809)),MONTH(INDEX(Contracts!$J$2:$J$151,$AB809)),1),IF(INDEX(Contracts!$N$2:$N$151,$AB809)="",12,INDEX(Contracts!$N$2:$N$151,$AB809))-1),IF(INDEX(Contracts!$I$2:$I$151,$AB809)="MONTHLY",IF(INDEX(Contracts!$K$2:$K$151,$AB809)="",2958101,INDEX(Contracts!$K$2:$K$151,$AB809)),0)),IF($Z809="A",EDATE(DATE(YEAR(INDEX(Fixed_Assets!$G$2:$G$201,$AB809)),MONTH(INDEX(Fixed_Assets!$G$2:$G$201,$AB809)),1),INDEX(Fixed_Assets!$J$2:$J$201,$AB809)-1),IF($Z809="F",MIN(IF(INDEX(Workforce!$J$2:$J$151,MATCH(INDEX(FTE_Allocation!$A$2:$A$201,$AB809),Workforce!$A$2:$A$151,0))="",2958101,INDEX(Workforce!$J$2:$J$151,MATCH(INDEX(FTE_Allocation!$A$2:$A$201,$AB809),Workforce!$A$2:$A$151,0))),IF(INDEX(FTE_Allocation!$J$2:$J$201,$AB809)="",2958101,INDEX(FTE_Allocation!$J$2:$J$201,$AB809))),"")))</f>
        <v/>
      </c>
      <c r="AG809" s="19">
        <f>IF($Z809="C",IF(INDEX(Contracts!$I$2:$I$151,$AB809)="PREPAID",INDEX(Contracts!$M$2:$M$151,$AB809)/IF(INDEX(Contracts!$N$2:$N$151,$AB809)="",12,INDEX(Contracts!$N$2:$N$151,$AB809)),IF(INDEX(Contracts!$I$2:$I$151,$AB809)="MONTHLY",INDEX(Contracts!$M$2:$M$151,$AB809),0))*(1-N(INDEX(Contracts!$O$2:$O$151,$AB809))),IF($Z809="A",INDEX(Fixed_Assets!$H$2:$H$201,$AB809)/INDEX(Fixed_Assets!$J$2:$J$201,$AB809),IF($Z809="F",INDEX(Workforce!$F$2:$F$151,MATCH(INDEX(FTE_Allocation!$A$2:$A$201,$AB809),Workforce!$A$2:$A$151,0))*N(INDEX(FTE_Allocation!$F$2:$H$201,$AB809,$AC809)),"")))</f>
        <v/>
      </c>
    </row>
    <row r="810">
      <c r="A810" s="7">
        <f>IF($Z810="","",$AD810)</f>
        <v/>
      </c>
      <c r="B810" s="7">
        <f>IF($Z810="C",INDEX(Contracts!$D$2:$D$151,$AB810)&amp;"",IF($Z810="A",INDEX(Fixed_Assets!$C$2:$C$201,$AB810)&amp;"",IF($Z810="F",INDEX(Workforce!$B$2:$B$151,MATCH(INDEX(FTE_Allocation!$A$2:$A$201,$AB810),Workforce!$A$2:$A$151,0))&amp;"","")))</f>
        <v/>
      </c>
      <c r="C810" s="7">
        <f>IF($Z810="C",INDEX(Contracts!$E$2:$E$151,$AB810)&amp;"",IF($Z810="A",INDEX(Fixed_Assets!$D$2:$D$201,$AB810)&amp;"",IF($Z810="F",INDEX(FTE_Allocation!$C$2:$C$201,$AB810)&amp;"","")))</f>
        <v/>
      </c>
      <c r="D810" s="7">
        <f>IF($Z810="C",INDEX(Contracts!$B$2:$B$151,$AB810)&amp;"",IF($Z810="A",INDEX(Fixed_Assets!$B$2:$B$201,$AB810)&amp;"",IF($Z810="F",INDEX(FTE_Allocation!$B$2:$B$201,$AB810)&amp;"","")))</f>
        <v/>
      </c>
      <c r="E810" s="7">
        <f>IF($Z810="C",INDEX(Contracts!$P$2:$P$151,$AB810)&amp;"",IF($Z810="A",INDEX(Fixed_Assets!$K$2:$K$201,$AB810)&amp;"",IF($Z810="F",IF(INDEX(FTE_Allocation!$D$2:$D$201,$AB810)="PROJECT",IFERROR(INDEX(Projects!$D:$D,MATCH(INDEX(FTE_Allocation!$E$2:$E$201,$AB810),Projects!$A:$A,0))&amp;"","#PROJECT?"),INDEX(FTE_Allocation!$E$2:$E$201,$AB810)&amp;""),"")))</f>
        <v/>
      </c>
      <c r="F810" s="7">
        <f>IF($Z810="C",INDEX(Contracts!$Q$2:$Q$151,$AB810)&amp;"",IF($Z810="A",INDEX(Fixed_Assets!$L$2:$L$201,$AB810)&amp;"",IF($Z810="F",INDEX(Workforce!$K$2:$K$151,MATCH(INDEX(FTE_Allocation!$A$2:$A$201,$AB810),Workforce!$A$2:$A$151,0))&amp;"","")))</f>
        <v/>
      </c>
      <c r="G810" s="7">
        <f>IF($Z810="C",INDEX(Contracts!$F$2:$F$151,$AB810)&amp;" / "&amp;INDEX(Contracts!$G$2:$G$151,$AB810),IF($Z810="A",INDEX(Fixed_Assets!$E$2:$E$201,$AB810)&amp;"",IF($Z810="F","Personnel "&amp;INDEX(FTE_Allocation!$A$2:$A$201,$AB810)&amp;IF(INDEX(FTE_Allocation!$D$2:$D$201,$AB810)="PROJECT"," ("&amp;INDEX(FTE_Allocation!$E$2:$E$201,$AB810)&amp;")",""),"")))</f>
        <v/>
      </c>
      <c r="H810" s="7">
        <f>IF($Z810="C","CONTRACT",IF($Z810="A","ASSET",IF($Z810="F","WORKFORCE","")))</f>
        <v/>
      </c>
      <c r="I810" s="7">
        <f>IF($Z810="C",INDEX(Contracts!$L$2:$L$151,$AB810)&amp;"",IF($Z810="A",INDEX(Fixed_Assets!$I$2:$I$201,$AB810)&amp;"",IF($Z810="F",INDEX(Workforce!$G$2:$G$151,MATCH(INDEX(FTE_Allocation!$A$2:$A$201,$AB810),Workforce!$A$2:$A$151,0))&amp;"","")))</f>
        <v/>
      </c>
      <c r="J810" s="18">
        <f>IF($Z810="","",IF(AND(DATE($AD810,1,1)&gt;=$AE810,DATE($AD810,1,1)&lt;=$AF810),ROUND($AG810,2),0))</f>
        <v/>
      </c>
      <c r="K810" s="18">
        <f>IF($Z810="","",IF(AND(DATE($AD810,2,1)&gt;=$AE810,DATE($AD810,2,1)&lt;=$AF810),ROUND($AG810,2),0))</f>
        <v/>
      </c>
      <c r="L810" s="18">
        <f>IF($Z810="","",IF(AND(DATE($AD810,3,1)&gt;=$AE810,DATE($AD810,3,1)&lt;=$AF810),ROUND($AG810,2),0))</f>
        <v/>
      </c>
      <c r="M810" s="18">
        <f>IF($Z810="","",IF(AND(DATE($AD810,4,1)&gt;=$AE810,DATE($AD810,4,1)&lt;=$AF810),ROUND($AG810,2),0))</f>
        <v/>
      </c>
      <c r="N810" s="18">
        <f>IF($Z810="","",IF(AND(DATE($AD810,5,1)&gt;=$AE810,DATE($AD810,5,1)&lt;=$AF810),ROUND($AG810,2),0))</f>
        <v/>
      </c>
      <c r="O810" s="18">
        <f>IF($Z810="","",IF(AND(DATE($AD810,6,1)&gt;=$AE810,DATE($AD810,6,1)&lt;=$AF810),ROUND($AG810,2),0))</f>
        <v/>
      </c>
      <c r="P810" s="18">
        <f>IF($Z810="","",IF(AND(DATE($AD810,7,1)&gt;=$AE810,DATE($AD810,7,1)&lt;=$AF810),ROUND($AG810,2),0))</f>
        <v/>
      </c>
      <c r="Q810" s="18">
        <f>IF($Z810="","",IF(AND(DATE($AD810,8,1)&gt;=$AE810,DATE($AD810,8,1)&lt;=$AF810),ROUND($AG810,2),0))</f>
        <v/>
      </c>
      <c r="R810" s="18">
        <f>IF($Z810="","",IF(AND(DATE($AD810,9,1)&gt;=$AE810,DATE($AD810,9,1)&lt;=$AF810),ROUND($AG810,2),0))</f>
        <v/>
      </c>
      <c r="S810" s="18">
        <f>IF($Z810="","",IF(AND(DATE($AD810,10,1)&gt;=$AE810,DATE($AD810,10,1)&lt;=$AF810),ROUND($AG810,2),0))</f>
        <v/>
      </c>
      <c r="T810" s="18">
        <f>IF($Z810="","",IF(AND(DATE($AD810,11,1)&gt;=$AE810,DATE($AD810,11,1)&lt;=$AF810),ROUND($AG810,2),0))</f>
        <v/>
      </c>
      <c r="U810" s="18">
        <f>IF($Z810="","",IF(AND(DATE($AD810,12,1)&gt;=$AE810,DATE($AD810,12,1)&lt;=$AF810),ROUND($AG810,2),0))</f>
        <v/>
      </c>
      <c r="V810" s="7">
        <f>IF($Z810="C","Generated from "&amp;INDEX(Contracts!$A$2:$A$151,$AB810),IF($Z810="A","Generated from "&amp;INDEX(Fixed_Assets!$A$2:$A$201,$AB810),IF($Z810="F","Generated from "&amp;INDEX(FTE_Allocation!$A$2:$A$201,$AB810),"")))</f>
        <v/>
      </c>
      <c r="X810" s="19">
        <f>IF($Z810="","",SUM(J810:U810))</f>
        <v/>
      </c>
      <c r="Y810" s="20">
        <f>ROW()-1</f>
        <v/>
      </c>
      <c r="Z810" s="20">
        <f>IF($Y810&lt;=Settings!$B$4*3,"C",IF($Y810&lt;=(Settings!$B$4+Settings!$B$5)*3,"A",IF($Y810&lt;=(Settings!$B$4+Settings!$B$5+Settings!$B$6)*3,"F","")))</f>
        <v/>
      </c>
      <c r="AA810" s="20">
        <f>IF($Z810="C",$Y810,IF($Z810="A",$Y810-Settings!$B$4*3,IF($Z810="F",$Y810-(Settings!$B$4+Settings!$B$5)*3,"")))</f>
        <v/>
      </c>
      <c r="AB810" s="20">
        <f>IF($Z810="","",INT(($AA810-1)/3)+1)</f>
        <v/>
      </c>
      <c r="AC810" s="20">
        <f>IF($Z810="","",MOD($AA810-1,3)+1)</f>
        <v/>
      </c>
      <c r="AD810" s="20">
        <f>IF($Z810="","",Settings!$B$2+$AC810-1)</f>
        <v/>
      </c>
      <c r="AE810" s="21">
        <f>IF($Z810="C",DATE(YEAR(INDEX(Contracts!$J$2:$J$151,$AB810)),MONTH(INDEX(Contracts!$J$2:$J$151,$AB810)),1),IF($Z810="A",DATE(YEAR(INDEX(Fixed_Assets!$G$2:$G$201,$AB810)),MONTH(INDEX(Fixed_Assets!$G$2:$G$201,$AB810)),1),IF($Z810="F",DATE(YEAR(MAX(N(INDEX(Workforce!$I$2:$I$151,MATCH(INDEX(FTE_Allocation!$A$2:$A$201,$AB810),Workforce!$A$2:$A$151,0))),N(INDEX(FTE_Allocation!$I$2:$I$201,$AB810)))),MONTH(MAX(N(INDEX(Workforce!$I$2:$I$151,MATCH(INDEX(FTE_Allocation!$A$2:$A$201,$AB810),Workforce!$A$2:$A$151,0))),N(INDEX(FTE_Allocation!$I$2:$I$201,$AB810)))),1),"")))</f>
        <v/>
      </c>
      <c r="AF810" s="21">
        <f>IF($Z810="C",IF(INDEX(Contracts!$I$2:$I$151,$AB810)="PREPAID",EDATE(DATE(YEAR(INDEX(Contracts!$J$2:$J$151,$AB810)),MONTH(INDEX(Contracts!$J$2:$J$151,$AB810)),1),IF(INDEX(Contracts!$N$2:$N$151,$AB810)="",12,INDEX(Contracts!$N$2:$N$151,$AB810))-1),IF(INDEX(Contracts!$I$2:$I$151,$AB810)="MONTHLY",IF(INDEX(Contracts!$K$2:$K$151,$AB810)="",2958101,INDEX(Contracts!$K$2:$K$151,$AB810)),0)),IF($Z810="A",EDATE(DATE(YEAR(INDEX(Fixed_Assets!$G$2:$G$201,$AB810)),MONTH(INDEX(Fixed_Assets!$G$2:$G$201,$AB810)),1),INDEX(Fixed_Assets!$J$2:$J$201,$AB810)-1),IF($Z810="F",MIN(IF(INDEX(Workforce!$J$2:$J$151,MATCH(INDEX(FTE_Allocation!$A$2:$A$201,$AB810),Workforce!$A$2:$A$151,0))="",2958101,INDEX(Workforce!$J$2:$J$151,MATCH(INDEX(FTE_Allocation!$A$2:$A$201,$AB810),Workforce!$A$2:$A$151,0))),IF(INDEX(FTE_Allocation!$J$2:$J$201,$AB810)="",2958101,INDEX(FTE_Allocation!$J$2:$J$201,$AB810))),"")))</f>
        <v/>
      </c>
      <c r="AG810" s="19">
        <f>IF($Z810="C",IF(INDEX(Contracts!$I$2:$I$151,$AB810)="PREPAID",INDEX(Contracts!$M$2:$M$151,$AB810)/IF(INDEX(Contracts!$N$2:$N$151,$AB810)="",12,INDEX(Contracts!$N$2:$N$151,$AB810)),IF(INDEX(Contracts!$I$2:$I$151,$AB810)="MONTHLY",INDEX(Contracts!$M$2:$M$151,$AB810),0))*(1-N(INDEX(Contracts!$O$2:$O$151,$AB810))),IF($Z810="A",INDEX(Fixed_Assets!$H$2:$H$201,$AB810)/INDEX(Fixed_Assets!$J$2:$J$201,$AB810),IF($Z810="F",INDEX(Workforce!$F$2:$F$151,MATCH(INDEX(FTE_Allocation!$A$2:$A$201,$AB810),Workforce!$A$2:$A$151,0))*N(INDEX(FTE_Allocation!$F$2:$H$201,$AB810,$AC810)),"")))</f>
        <v/>
      </c>
    </row>
    <row r="811">
      <c r="A811" s="7">
        <f>IF($Z811="","",$AD811)</f>
        <v/>
      </c>
      <c r="B811" s="7">
        <f>IF($Z811="C",INDEX(Contracts!$D$2:$D$151,$AB811)&amp;"",IF($Z811="A",INDEX(Fixed_Assets!$C$2:$C$201,$AB811)&amp;"",IF($Z811="F",INDEX(Workforce!$B$2:$B$151,MATCH(INDEX(FTE_Allocation!$A$2:$A$201,$AB811),Workforce!$A$2:$A$151,0))&amp;"","")))</f>
        <v/>
      </c>
      <c r="C811" s="7">
        <f>IF($Z811="C",INDEX(Contracts!$E$2:$E$151,$AB811)&amp;"",IF($Z811="A",INDEX(Fixed_Assets!$D$2:$D$201,$AB811)&amp;"",IF($Z811="F",INDEX(FTE_Allocation!$C$2:$C$201,$AB811)&amp;"","")))</f>
        <v/>
      </c>
      <c r="D811" s="7">
        <f>IF($Z811="C",INDEX(Contracts!$B$2:$B$151,$AB811)&amp;"",IF($Z811="A",INDEX(Fixed_Assets!$B$2:$B$201,$AB811)&amp;"",IF($Z811="F",INDEX(FTE_Allocation!$B$2:$B$201,$AB811)&amp;"","")))</f>
        <v/>
      </c>
      <c r="E811" s="7">
        <f>IF($Z811="C",INDEX(Contracts!$P$2:$P$151,$AB811)&amp;"",IF($Z811="A",INDEX(Fixed_Assets!$K$2:$K$201,$AB811)&amp;"",IF($Z811="F",IF(INDEX(FTE_Allocation!$D$2:$D$201,$AB811)="PROJECT",IFERROR(INDEX(Projects!$D:$D,MATCH(INDEX(FTE_Allocation!$E$2:$E$201,$AB811),Projects!$A:$A,0))&amp;"","#PROJECT?"),INDEX(FTE_Allocation!$E$2:$E$201,$AB811)&amp;""),"")))</f>
        <v/>
      </c>
      <c r="F811" s="7">
        <f>IF($Z811="C",INDEX(Contracts!$Q$2:$Q$151,$AB811)&amp;"",IF($Z811="A",INDEX(Fixed_Assets!$L$2:$L$201,$AB811)&amp;"",IF($Z811="F",INDEX(Workforce!$K$2:$K$151,MATCH(INDEX(FTE_Allocation!$A$2:$A$201,$AB811),Workforce!$A$2:$A$151,0))&amp;"","")))</f>
        <v/>
      </c>
      <c r="G811" s="7">
        <f>IF($Z811="C",INDEX(Contracts!$F$2:$F$151,$AB811)&amp;" / "&amp;INDEX(Contracts!$G$2:$G$151,$AB811),IF($Z811="A",INDEX(Fixed_Assets!$E$2:$E$201,$AB811)&amp;"",IF($Z811="F","Personnel "&amp;INDEX(FTE_Allocation!$A$2:$A$201,$AB811)&amp;IF(INDEX(FTE_Allocation!$D$2:$D$201,$AB811)="PROJECT"," ("&amp;INDEX(FTE_Allocation!$E$2:$E$201,$AB811)&amp;")",""),"")))</f>
        <v/>
      </c>
      <c r="H811" s="7">
        <f>IF($Z811="C","CONTRACT",IF($Z811="A","ASSET",IF($Z811="F","WORKFORCE","")))</f>
        <v/>
      </c>
      <c r="I811" s="7">
        <f>IF($Z811="C",INDEX(Contracts!$L$2:$L$151,$AB811)&amp;"",IF($Z811="A",INDEX(Fixed_Assets!$I$2:$I$201,$AB811)&amp;"",IF($Z811="F",INDEX(Workforce!$G$2:$G$151,MATCH(INDEX(FTE_Allocation!$A$2:$A$201,$AB811),Workforce!$A$2:$A$151,0))&amp;"","")))</f>
        <v/>
      </c>
      <c r="J811" s="18">
        <f>IF($Z811="","",IF(AND(DATE($AD811,1,1)&gt;=$AE811,DATE($AD811,1,1)&lt;=$AF811),ROUND($AG811,2),0))</f>
        <v/>
      </c>
      <c r="K811" s="18">
        <f>IF($Z811="","",IF(AND(DATE($AD811,2,1)&gt;=$AE811,DATE($AD811,2,1)&lt;=$AF811),ROUND($AG811,2),0))</f>
        <v/>
      </c>
      <c r="L811" s="18">
        <f>IF($Z811="","",IF(AND(DATE($AD811,3,1)&gt;=$AE811,DATE($AD811,3,1)&lt;=$AF811),ROUND($AG811,2),0))</f>
        <v/>
      </c>
      <c r="M811" s="18">
        <f>IF($Z811="","",IF(AND(DATE($AD811,4,1)&gt;=$AE811,DATE($AD811,4,1)&lt;=$AF811),ROUND($AG811,2),0))</f>
        <v/>
      </c>
      <c r="N811" s="18">
        <f>IF($Z811="","",IF(AND(DATE($AD811,5,1)&gt;=$AE811,DATE($AD811,5,1)&lt;=$AF811),ROUND($AG811,2),0))</f>
        <v/>
      </c>
      <c r="O811" s="18">
        <f>IF($Z811="","",IF(AND(DATE($AD811,6,1)&gt;=$AE811,DATE($AD811,6,1)&lt;=$AF811),ROUND($AG811,2),0))</f>
        <v/>
      </c>
      <c r="P811" s="18">
        <f>IF($Z811="","",IF(AND(DATE($AD811,7,1)&gt;=$AE811,DATE($AD811,7,1)&lt;=$AF811),ROUND($AG811,2),0))</f>
        <v/>
      </c>
      <c r="Q811" s="18">
        <f>IF($Z811="","",IF(AND(DATE($AD811,8,1)&gt;=$AE811,DATE($AD811,8,1)&lt;=$AF811),ROUND($AG811,2),0))</f>
        <v/>
      </c>
      <c r="R811" s="18">
        <f>IF($Z811="","",IF(AND(DATE($AD811,9,1)&gt;=$AE811,DATE($AD811,9,1)&lt;=$AF811),ROUND($AG811,2),0))</f>
        <v/>
      </c>
      <c r="S811" s="18">
        <f>IF($Z811="","",IF(AND(DATE($AD811,10,1)&gt;=$AE811,DATE($AD811,10,1)&lt;=$AF811),ROUND($AG811,2),0))</f>
        <v/>
      </c>
      <c r="T811" s="18">
        <f>IF($Z811="","",IF(AND(DATE($AD811,11,1)&gt;=$AE811,DATE($AD811,11,1)&lt;=$AF811),ROUND($AG811,2),0))</f>
        <v/>
      </c>
      <c r="U811" s="18">
        <f>IF($Z811="","",IF(AND(DATE($AD811,12,1)&gt;=$AE811,DATE($AD811,12,1)&lt;=$AF811),ROUND($AG811,2),0))</f>
        <v/>
      </c>
      <c r="V811" s="7">
        <f>IF($Z811="C","Generated from "&amp;INDEX(Contracts!$A$2:$A$151,$AB811),IF($Z811="A","Generated from "&amp;INDEX(Fixed_Assets!$A$2:$A$201,$AB811),IF($Z811="F","Generated from "&amp;INDEX(FTE_Allocation!$A$2:$A$201,$AB811),"")))</f>
        <v/>
      </c>
      <c r="X811" s="19">
        <f>IF($Z811="","",SUM(J811:U811))</f>
        <v/>
      </c>
      <c r="Y811" s="20">
        <f>ROW()-1</f>
        <v/>
      </c>
      <c r="Z811" s="20">
        <f>IF($Y811&lt;=Settings!$B$4*3,"C",IF($Y811&lt;=(Settings!$B$4+Settings!$B$5)*3,"A",IF($Y811&lt;=(Settings!$B$4+Settings!$B$5+Settings!$B$6)*3,"F","")))</f>
        <v/>
      </c>
      <c r="AA811" s="20">
        <f>IF($Z811="C",$Y811,IF($Z811="A",$Y811-Settings!$B$4*3,IF($Z811="F",$Y811-(Settings!$B$4+Settings!$B$5)*3,"")))</f>
        <v/>
      </c>
      <c r="AB811" s="20">
        <f>IF($Z811="","",INT(($AA811-1)/3)+1)</f>
        <v/>
      </c>
      <c r="AC811" s="20">
        <f>IF($Z811="","",MOD($AA811-1,3)+1)</f>
        <v/>
      </c>
      <c r="AD811" s="20">
        <f>IF($Z811="","",Settings!$B$2+$AC811-1)</f>
        <v/>
      </c>
      <c r="AE811" s="21">
        <f>IF($Z811="C",DATE(YEAR(INDEX(Contracts!$J$2:$J$151,$AB811)),MONTH(INDEX(Contracts!$J$2:$J$151,$AB811)),1),IF($Z811="A",DATE(YEAR(INDEX(Fixed_Assets!$G$2:$G$201,$AB811)),MONTH(INDEX(Fixed_Assets!$G$2:$G$201,$AB811)),1),IF($Z811="F",DATE(YEAR(MAX(N(INDEX(Workforce!$I$2:$I$151,MATCH(INDEX(FTE_Allocation!$A$2:$A$201,$AB811),Workforce!$A$2:$A$151,0))),N(INDEX(FTE_Allocation!$I$2:$I$201,$AB811)))),MONTH(MAX(N(INDEX(Workforce!$I$2:$I$151,MATCH(INDEX(FTE_Allocation!$A$2:$A$201,$AB811),Workforce!$A$2:$A$151,0))),N(INDEX(FTE_Allocation!$I$2:$I$201,$AB811)))),1),"")))</f>
        <v/>
      </c>
      <c r="AF811" s="21">
        <f>IF($Z811="C",IF(INDEX(Contracts!$I$2:$I$151,$AB811)="PREPAID",EDATE(DATE(YEAR(INDEX(Contracts!$J$2:$J$151,$AB811)),MONTH(INDEX(Contracts!$J$2:$J$151,$AB811)),1),IF(INDEX(Contracts!$N$2:$N$151,$AB811)="",12,INDEX(Contracts!$N$2:$N$151,$AB811))-1),IF(INDEX(Contracts!$I$2:$I$151,$AB811)="MONTHLY",IF(INDEX(Contracts!$K$2:$K$151,$AB811)="",2958101,INDEX(Contracts!$K$2:$K$151,$AB811)),0)),IF($Z811="A",EDATE(DATE(YEAR(INDEX(Fixed_Assets!$G$2:$G$201,$AB811)),MONTH(INDEX(Fixed_Assets!$G$2:$G$201,$AB811)),1),INDEX(Fixed_Assets!$J$2:$J$201,$AB811)-1),IF($Z811="F",MIN(IF(INDEX(Workforce!$J$2:$J$151,MATCH(INDEX(FTE_Allocation!$A$2:$A$201,$AB811),Workforce!$A$2:$A$151,0))="",2958101,INDEX(Workforce!$J$2:$J$151,MATCH(INDEX(FTE_Allocation!$A$2:$A$201,$AB811),Workforce!$A$2:$A$151,0))),IF(INDEX(FTE_Allocation!$J$2:$J$201,$AB811)="",2958101,INDEX(FTE_Allocation!$J$2:$J$201,$AB811))),"")))</f>
        <v/>
      </c>
      <c r="AG811" s="19">
        <f>IF($Z811="C",IF(INDEX(Contracts!$I$2:$I$151,$AB811)="PREPAID",INDEX(Contracts!$M$2:$M$151,$AB811)/IF(INDEX(Contracts!$N$2:$N$151,$AB811)="",12,INDEX(Contracts!$N$2:$N$151,$AB811)),IF(INDEX(Contracts!$I$2:$I$151,$AB811)="MONTHLY",INDEX(Contracts!$M$2:$M$151,$AB811),0))*(1-N(INDEX(Contracts!$O$2:$O$151,$AB811))),IF($Z811="A",INDEX(Fixed_Assets!$H$2:$H$201,$AB811)/INDEX(Fixed_Assets!$J$2:$J$201,$AB811),IF($Z811="F",INDEX(Workforce!$F$2:$F$151,MATCH(INDEX(FTE_Allocation!$A$2:$A$201,$AB811),Workforce!$A$2:$A$151,0))*N(INDEX(FTE_Allocation!$F$2:$H$201,$AB811,$AC811)),"")))</f>
        <v/>
      </c>
    </row>
    <row r="812">
      <c r="A812" s="7">
        <f>IF($Z812="","",$AD812)</f>
        <v/>
      </c>
      <c r="B812" s="7">
        <f>IF($Z812="C",INDEX(Contracts!$D$2:$D$151,$AB812)&amp;"",IF($Z812="A",INDEX(Fixed_Assets!$C$2:$C$201,$AB812)&amp;"",IF($Z812="F",INDEX(Workforce!$B$2:$B$151,MATCH(INDEX(FTE_Allocation!$A$2:$A$201,$AB812),Workforce!$A$2:$A$151,0))&amp;"","")))</f>
        <v/>
      </c>
      <c r="C812" s="7">
        <f>IF($Z812="C",INDEX(Contracts!$E$2:$E$151,$AB812)&amp;"",IF($Z812="A",INDEX(Fixed_Assets!$D$2:$D$201,$AB812)&amp;"",IF($Z812="F",INDEX(FTE_Allocation!$C$2:$C$201,$AB812)&amp;"","")))</f>
        <v/>
      </c>
      <c r="D812" s="7">
        <f>IF($Z812="C",INDEX(Contracts!$B$2:$B$151,$AB812)&amp;"",IF($Z812="A",INDEX(Fixed_Assets!$B$2:$B$201,$AB812)&amp;"",IF($Z812="F",INDEX(FTE_Allocation!$B$2:$B$201,$AB812)&amp;"","")))</f>
        <v/>
      </c>
      <c r="E812" s="7">
        <f>IF($Z812="C",INDEX(Contracts!$P$2:$P$151,$AB812)&amp;"",IF($Z812="A",INDEX(Fixed_Assets!$K$2:$K$201,$AB812)&amp;"",IF($Z812="F",IF(INDEX(FTE_Allocation!$D$2:$D$201,$AB812)="PROJECT",IFERROR(INDEX(Projects!$D:$D,MATCH(INDEX(FTE_Allocation!$E$2:$E$201,$AB812),Projects!$A:$A,0))&amp;"","#PROJECT?"),INDEX(FTE_Allocation!$E$2:$E$201,$AB812)&amp;""),"")))</f>
        <v/>
      </c>
      <c r="F812" s="7">
        <f>IF($Z812="C",INDEX(Contracts!$Q$2:$Q$151,$AB812)&amp;"",IF($Z812="A",INDEX(Fixed_Assets!$L$2:$L$201,$AB812)&amp;"",IF($Z812="F",INDEX(Workforce!$K$2:$K$151,MATCH(INDEX(FTE_Allocation!$A$2:$A$201,$AB812),Workforce!$A$2:$A$151,0))&amp;"","")))</f>
        <v/>
      </c>
      <c r="G812" s="7">
        <f>IF($Z812="C",INDEX(Contracts!$F$2:$F$151,$AB812)&amp;" / "&amp;INDEX(Contracts!$G$2:$G$151,$AB812),IF($Z812="A",INDEX(Fixed_Assets!$E$2:$E$201,$AB812)&amp;"",IF($Z812="F","Personnel "&amp;INDEX(FTE_Allocation!$A$2:$A$201,$AB812)&amp;IF(INDEX(FTE_Allocation!$D$2:$D$201,$AB812)="PROJECT"," ("&amp;INDEX(FTE_Allocation!$E$2:$E$201,$AB812)&amp;")",""),"")))</f>
        <v/>
      </c>
      <c r="H812" s="7">
        <f>IF($Z812="C","CONTRACT",IF($Z812="A","ASSET",IF($Z812="F","WORKFORCE","")))</f>
        <v/>
      </c>
      <c r="I812" s="7">
        <f>IF($Z812="C",INDEX(Contracts!$L$2:$L$151,$AB812)&amp;"",IF($Z812="A",INDEX(Fixed_Assets!$I$2:$I$201,$AB812)&amp;"",IF($Z812="F",INDEX(Workforce!$G$2:$G$151,MATCH(INDEX(FTE_Allocation!$A$2:$A$201,$AB812),Workforce!$A$2:$A$151,0))&amp;"","")))</f>
        <v/>
      </c>
      <c r="J812" s="18">
        <f>IF($Z812="","",IF(AND(DATE($AD812,1,1)&gt;=$AE812,DATE($AD812,1,1)&lt;=$AF812),ROUND($AG812,2),0))</f>
        <v/>
      </c>
      <c r="K812" s="18">
        <f>IF($Z812="","",IF(AND(DATE($AD812,2,1)&gt;=$AE812,DATE($AD812,2,1)&lt;=$AF812),ROUND($AG812,2),0))</f>
        <v/>
      </c>
      <c r="L812" s="18">
        <f>IF($Z812="","",IF(AND(DATE($AD812,3,1)&gt;=$AE812,DATE($AD812,3,1)&lt;=$AF812),ROUND($AG812,2),0))</f>
        <v/>
      </c>
      <c r="M812" s="18">
        <f>IF($Z812="","",IF(AND(DATE($AD812,4,1)&gt;=$AE812,DATE($AD812,4,1)&lt;=$AF812),ROUND($AG812,2),0))</f>
        <v/>
      </c>
      <c r="N812" s="18">
        <f>IF($Z812="","",IF(AND(DATE($AD812,5,1)&gt;=$AE812,DATE($AD812,5,1)&lt;=$AF812),ROUND($AG812,2),0))</f>
        <v/>
      </c>
      <c r="O812" s="18">
        <f>IF($Z812="","",IF(AND(DATE($AD812,6,1)&gt;=$AE812,DATE($AD812,6,1)&lt;=$AF812),ROUND($AG812,2),0))</f>
        <v/>
      </c>
      <c r="P812" s="18">
        <f>IF($Z812="","",IF(AND(DATE($AD812,7,1)&gt;=$AE812,DATE($AD812,7,1)&lt;=$AF812),ROUND($AG812,2),0))</f>
        <v/>
      </c>
      <c r="Q812" s="18">
        <f>IF($Z812="","",IF(AND(DATE($AD812,8,1)&gt;=$AE812,DATE($AD812,8,1)&lt;=$AF812),ROUND($AG812,2),0))</f>
        <v/>
      </c>
      <c r="R812" s="18">
        <f>IF($Z812="","",IF(AND(DATE($AD812,9,1)&gt;=$AE812,DATE($AD812,9,1)&lt;=$AF812),ROUND($AG812,2),0))</f>
        <v/>
      </c>
      <c r="S812" s="18">
        <f>IF($Z812="","",IF(AND(DATE($AD812,10,1)&gt;=$AE812,DATE($AD812,10,1)&lt;=$AF812),ROUND($AG812,2),0))</f>
        <v/>
      </c>
      <c r="T812" s="18">
        <f>IF($Z812="","",IF(AND(DATE($AD812,11,1)&gt;=$AE812,DATE($AD812,11,1)&lt;=$AF812),ROUND($AG812,2),0))</f>
        <v/>
      </c>
      <c r="U812" s="18">
        <f>IF($Z812="","",IF(AND(DATE($AD812,12,1)&gt;=$AE812,DATE($AD812,12,1)&lt;=$AF812),ROUND($AG812,2),0))</f>
        <v/>
      </c>
      <c r="V812" s="7">
        <f>IF($Z812="C","Generated from "&amp;INDEX(Contracts!$A$2:$A$151,$AB812),IF($Z812="A","Generated from "&amp;INDEX(Fixed_Assets!$A$2:$A$201,$AB812),IF($Z812="F","Generated from "&amp;INDEX(FTE_Allocation!$A$2:$A$201,$AB812),"")))</f>
        <v/>
      </c>
      <c r="X812" s="19">
        <f>IF($Z812="","",SUM(J812:U812))</f>
        <v/>
      </c>
      <c r="Y812" s="20">
        <f>ROW()-1</f>
        <v/>
      </c>
      <c r="Z812" s="20">
        <f>IF($Y812&lt;=Settings!$B$4*3,"C",IF($Y812&lt;=(Settings!$B$4+Settings!$B$5)*3,"A",IF($Y812&lt;=(Settings!$B$4+Settings!$B$5+Settings!$B$6)*3,"F","")))</f>
        <v/>
      </c>
      <c r="AA812" s="20">
        <f>IF($Z812="C",$Y812,IF($Z812="A",$Y812-Settings!$B$4*3,IF($Z812="F",$Y812-(Settings!$B$4+Settings!$B$5)*3,"")))</f>
        <v/>
      </c>
      <c r="AB812" s="20">
        <f>IF($Z812="","",INT(($AA812-1)/3)+1)</f>
        <v/>
      </c>
      <c r="AC812" s="20">
        <f>IF($Z812="","",MOD($AA812-1,3)+1)</f>
        <v/>
      </c>
      <c r="AD812" s="20">
        <f>IF($Z812="","",Settings!$B$2+$AC812-1)</f>
        <v/>
      </c>
      <c r="AE812" s="21">
        <f>IF($Z812="C",DATE(YEAR(INDEX(Contracts!$J$2:$J$151,$AB812)),MONTH(INDEX(Contracts!$J$2:$J$151,$AB812)),1),IF($Z812="A",DATE(YEAR(INDEX(Fixed_Assets!$G$2:$G$201,$AB812)),MONTH(INDEX(Fixed_Assets!$G$2:$G$201,$AB812)),1),IF($Z812="F",DATE(YEAR(MAX(N(INDEX(Workforce!$I$2:$I$151,MATCH(INDEX(FTE_Allocation!$A$2:$A$201,$AB812),Workforce!$A$2:$A$151,0))),N(INDEX(FTE_Allocation!$I$2:$I$201,$AB812)))),MONTH(MAX(N(INDEX(Workforce!$I$2:$I$151,MATCH(INDEX(FTE_Allocation!$A$2:$A$201,$AB812),Workforce!$A$2:$A$151,0))),N(INDEX(FTE_Allocation!$I$2:$I$201,$AB812)))),1),"")))</f>
        <v/>
      </c>
      <c r="AF812" s="21">
        <f>IF($Z812="C",IF(INDEX(Contracts!$I$2:$I$151,$AB812)="PREPAID",EDATE(DATE(YEAR(INDEX(Contracts!$J$2:$J$151,$AB812)),MONTH(INDEX(Contracts!$J$2:$J$151,$AB812)),1),IF(INDEX(Contracts!$N$2:$N$151,$AB812)="",12,INDEX(Contracts!$N$2:$N$151,$AB812))-1),IF(INDEX(Contracts!$I$2:$I$151,$AB812)="MONTHLY",IF(INDEX(Contracts!$K$2:$K$151,$AB812)="",2958101,INDEX(Contracts!$K$2:$K$151,$AB812)),0)),IF($Z812="A",EDATE(DATE(YEAR(INDEX(Fixed_Assets!$G$2:$G$201,$AB812)),MONTH(INDEX(Fixed_Assets!$G$2:$G$201,$AB812)),1),INDEX(Fixed_Assets!$J$2:$J$201,$AB812)-1),IF($Z812="F",MIN(IF(INDEX(Workforce!$J$2:$J$151,MATCH(INDEX(FTE_Allocation!$A$2:$A$201,$AB812),Workforce!$A$2:$A$151,0))="",2958101,INDEX(Workforce!$J$2:$J$151,MATCH(INDEX(FTE_Allocation!$A$2:$A$201,$AB812),Workforce!$A$2:$A$151,0))),IF(INDEX(FTE_Allocation!$J$2:$J$201,$AB812)="",2958101,INDEX(FTE_Allocation!$J$2:$J$201,$AB812))),"")))</f>
        <v/>
      </c>
      <c r="AG812" s="19">
        <f>IF($Z812="C",IF(INDEX(Contracts!$I$2:$I$151,$AB812)="PREPAID",INDEX(Contracts!$M$2:$M$151,$AB812)/IF(INDEX(Contracts!$N$2:$N$151,$AB812)="",12,INDEX(Contracts!$N$2:$N$151,$AB812)),IF(INDEX(Contracts!$I$2:$I$151,$AB812)="MONTHLY",INDEX(Contracts!$M$2:$M$151,$AB812),0))*(1-N(INDEX(Contracts!$O$2:$O$151,$AB812))),IF($Z812="A",INDEX(Fixed_Assets!$H$2:$H$201,$AB812)/INDEX(Fixed_Assets!$J$2:$J$201,$AB812),IF($Z812="F",INDEX(Workforce!$F$2:$F$151,MATCH(INDEX(FTE_Allocation!$A$2:$A$201,$AB812),Workforce!$A$2:$A$151,0))*N(INDEX(FTE_Allocation!$F$2:$H$201,$AB812,$AC812)),"")))</f>
        <v/>
      </c>
    </row>
    <row r="813">
      <c r="A813" s="7">
        <f>IF($Z813="","",$AD813)</f>
        <v/>
      </c>
      <c r="B813" s="7">
        <f>IF($Z813="C",INDEX(Contracts!$D$2:$D$151,$AB813)&amp;"",IF($Z813="A",INDEX(Fixed_Assets!$C$2:$C$201,$AB813)&amp;"",IF($Z813="F",INDEX(Workforce!$B$2:$B$151,MATCH(INDEX(FTE_Allocation!$A$2:$A$201,$AB813),Workforce!$A$2:$A$151,0))&amp;"","")))</f>
        <v/>
      </c>
      <c r="C813" s="7">
        <f>IF($Z813="C",INDEX(Contracts!$E$2:$E$151,$AB813)&amp;"",IF($Z813="A",INDEX(Fixed_Assets!$D$2:$D$201,$AB813)&amp;"",IF($Z813="F",INDEX(FTE_Allocation!$C$2:$C$201,$AB813)&amp;"","")))</f>
        <v/>
      </c>
      <c r="D813" s="7">
        <f>IF($Z813="C",INDEX(Contracts!$B$2:$B$151,$AB813)&amp;"",IF($Z813="A",INDEX(Fixed_Assets!$B$2:$B$201,$AB813)&amp;"",IF($Z813="F",INDEX(FTE_Allocation!$B$2:$B$201,$AB813)&amp;"","")))</f>
        <v/>
      </c>
      <c r="E813" s="7">
        <f>IF($Z813="C",INDEX(Contracts!$P$2:$P$151,$AB813)&amp;"",IF($Z813="A",INDEX(Fixed_Assets!$K$2:$K$201,$AB813)&amp;"",IF($Z813="F",IF(INDEX(FTE_Allocation!$D$2:$D$201,$AB813)="PROJECT",IFERROR(INDEX(Projects!$D:$D,MATCH(INDEX(FTE_Allocation!$E$2:$E$201,$AB813),Projects!$A:$A,0))&amp;"","#PROJECT?"),INDEX(FTE_Allocation!$E$2:$E$201,$AB813)&amp;""),"")))</f>
        <v/>
      </c>
      <c r="F813" s="7">
        <f>IF($Z813="C",INDEX(Contracts!$Q$2:$Q$151,$AB813)&amp;"",IF($Z813="A",INDEX(Fixed_Assets!$L$2:$L$201,$AB813)&amp;"",IF($Z813="F",INDEX(Workforce!$K$2:$K$151,MATCH(INDEX(FTE_Allocation!$A$2:$A$201,$AB813),Workforce!$A$2:$A$151,0))&amp;"","")))</f>
        <v/>
      </c>
      <c r="G813" s="7">
        <f>IF($Z813="C",INDEX(Contracts!$F$2:$F$151,$AB813)&amp;" / "&amp;INDEX(Contracts!$G$2:$G$151,$AB813),IF($Z813="A",INDEX(Fixed_Assets!$E$2:$E$201,$AB813)&amp;"",IF($Z813="F","Personnel "&amp;INDEX(FTE_Allocation!$A$2:$A$201,$AB813)&amp;IF(INDEX(FTE_Allocation!$D$2:$D$201,$AB813)="PROJECT"," ("&amp;INDEX(FTE_Allocation!$E$2:$E$201,$AB813)&amp;")",""),"")))</f>
        <v/>
      </c>
      <c r="H813" s="7">
        <f>IF($Z813="C","CONTRACT",IF($Z813="A","ASSET",IF($Z813="F","WORKFORCE","")))</f>
        <v/>
      </c>
      <c r="I813" s="7">
        <f>IF($Z813="C",INDEX(Contracts!$L$2:$L$151,$AB813)&amp;"",IF($Z813="A",INDEX(Fixed_Assets!$I$2:$I$201,$AB813)&amp;"",IF($Z813="F",INDEX(Workforce!$G$2:$G$151,MATCH(INDEX(FTE_Allocation!$A$2:$A$201,$AB813),Workforce!$A$2:$A$151,0))&amp;"","")))</f>
        <v/>
      </c>
      <c r="J813" s="18">
        <f>IF($Z813="","",IF(AND(DATE($AD813,1,1)&gt;=$AE813,DATE($AD813,1,1)&lt;=$AF813),ROUND($AG813,2),0))</f>
        <v/>
      </c>
      <c r="K813" s="18">
        <f>IF($Z813="","",IF(AND(DATE($AD813,2,1)&gt;=$AE813,DATE($AD813,2,1)&lt;=$AF813),ROUND($AG813,2),0))</f>
        <v/>
      </c>
      <c r="L813" s="18">
        <f>IF($Z813="","",IF(AND(DATE($AD813,3,1)&gt;=$AE813,DATE($AD813,3,1)&lt;=$AF813),ROUND($AG813,2),0))</f>
        <v/>
      </c>
      <c r="M813" s="18">
        <f>IF($Z813="","",IF(AND(DATE($AD813,4,1)&gt;=$AE813,DATE($AD813,4,1)&lt;=$AF813),ROUND($AG813,2),0))</f>
        <v/>
      </c>
      <c r="N813" s="18">
        <f>IF($Z813="","",IF(AND(DATE($AD813,5,1)&gt;=$AE813,DATE($AD813,5,1)&lt;=$AF813),ROUND($AG813,2),0))</f>
        <v/>
      </c>
      <c r="O813" s="18">
        <f>IF($Z813="","",IF(AND(DATE($AD813,6,1)&gt;=$AE813,DATE($AD813,6,1)&lt;=$AF813),ROUND($AG813,2),0))</f>
        <v/>
      </c>
      <c r="P813" s="18">
        <f>IF($Z813="","",IF(AND(DATE($AD813,7,1)&gt;=$AE813,DATE($AD813,7,1)&lt;=$AF813),ROUND($AG813,2),0))</f>
        <v/>
      </c>
      <c r="Q813" s="18">
        <f>IF($Z813="","",IF(AND(DATE($AD813,8,1)&gt;=$AE813,DATE($AD813,8,1)&lt;=$AF813),ROUND($AG813,2),0))</f>
        <v/>
      </c>
      <c r="R813" s="18">
        <f>IF($Z813="","",IF(AND(DATE($AD813,9,1)&gt;=$AE813,DATE($AD813,9,1)&lt;=$AF813),ROUND($AG813,2),0))</f>
        <v/>
      </c>
      <c r="S813" s="18">
        <f>IF($Z813="","",IF(AND(DATE($AD813,10,1)&gt;=$AE813,DATE($AD813,10,1)&lt;=$AF813),ROUND($AG813,2),0))</f>
        <v/>
      </c>
      <c r="T813" s="18">
        <f>IF($Z813="","",IF(AND(DATE($AD813,11,1)&gt;=$AE813,DATE($AD813,11,1)&lt;=$AF813),ROUND($AG813,2),0))</f>
        <v/>
      </c>
      <c r="U813" s="18">
        <f>IF($Z813="","",IF(AND(DATE($AD813,12,1)&gt;=$AE813,DATE($AD813,12,1)&lt;=$AF813),ROUND($AG813,2),0))</f>
        <v/>
      </c>
      <c r="V813" s="7">
        <f>IF($Z813="C","Generated from "&amp;INDEX(Contracts!$A$2:$A$151,$AB813),IF($Z813="A","Generated from "&amp;INDEX(Fixed_Assets!$A$2:$A$201,$AB813),IF($Z813="F","Generated from "&amp;INDEX(FTE_Allocation!$A$2:$A$201,$AB813),"")))</f>
        <v/>
      </c>
      <c r="X813" s="19">
        <f>IF($Z813="","",SUM(J813:U813))</f>
        <v/>
      </c>
      <c r="Y813" s="20">
        <f>ROW()-1</f>
        <v/>
      </c>
      <c r="Z813" s="20">
        <f>IF($Y813&lt;=Settings!$B$4*3,"C",IF($Y813&lt;=(Settings!$B$4+Settings!$B$5)*3,"A",IF($Y813&lt;=(Settings!$B$4+Settings!$B$5+Settings!$B$6)*3,"F","")))</f>
        <v/>
      </c>
      <c r="AA813" s="20">
        <f>IF($Z813="C",$Y813,IF($Z813="A",$Y813-Settings!$B$4*3,IF($Z813="F",$Y813-(Settings!$B$4+Settings!$B$5)*3,"")))</f>
        <v/>
      </c>
      <c r="AB813" s="20">
        <f>IF($Z813="","",INT(($AA813-1)/3)+1)</f>
        <v/>
      </c>
      <c r="AC813" s="20">
        <f>IF($Z813="","",MOD($AA813-1,3)+1)</f>
        <v/>
      </c>
      <c r="AD813" s="20">
        <f>IF($Z813="","",Settings!$B$2+$AC813-1)</f>
        <v/>
      </c>
      <c r="AE813" s="21">
        <f>IF($Z813="C",DATE(YEAR(INDEX(Contracts!$J$2:$J$151,$AB813)),MONTH(INDEX(Contracts!$J$2:$J$151,$AB813)),1),IF($Z813="A",DATE(YEAR(INDEX(Fixed_Assets!$G$2:$G$201,$AB813)),MONTH(INDEX(Fixed_Assets!$G$2:$G$201,$AB813)),1),IF($Z813="F",DATE(YEAR(MAX(N(INDEX(Workforce!$I$2:$I$151,MATCH(INDEX(FTE_Allocation!$A$2:$A$201,$AB813),Workforce!$A$2:$A$151,0))),N(INDEX(FTE_Allocation!$I$2:$I$201,$AB813)))),MONTH(MAX(N(INDEX(Workforce!$I$2:$I$151,MATCH(INDEX(FTE_Allocation!$A$2:$A$201,$AB813),Workforce!$A$2:$A$151,0))),N(INDEX(FTE_Allocation!$I$2:$I$201,$AB813)))),1),"")))</f>
        <v/>
      </c>
      <c r="AF813" s="21">
        <f>IF($Z813="C",IF(INDEX(Contracts!$I$2:$I$151,$AB813)="PREPAID",EDATE(DATE(YEAR(INDEX(Contracts!$J$2:$J$151,$AB813)),MONTH(INDEX(Contracts!$J$2:$J$151,$AB813)),1),IF(INDEX(Contracts!$N$2:$N$151,$AB813)="",12,INDEX(Contracts!$N$2:$N$151,$AB813))-1),IF(INDEX(Contracts!$I$2:$I$151,$AB813)="MONTHLY",IF(INDEX(Contracts!$K$2:$K$151,$AB813)="",2958101,INDEX(Contracts!$K$2:$K$151,$AB813)),0)),IF($Z813="A",EDATE(DATE(YEAR(INDEX(Fixed_Assets!$G$2:$G$201,$AB813)),MONTH(INDEX(Fixed_Assets!$G$2:$G$201,$AB813)),1),INDEX(Fixed_Assets!$J$2:$J$201,$AB813)-1),IF($Z813="F",MIN(IF(INDEX(Workforce!$J$2:$J$151,MATCH(INDEX(FTE_Allocation!$A$2:$A$201,$AB813),Workforce!$A$2:$A$151,0))="",2958101,INDEX(Workforce!$J$2:$J$151,MATCH(INDEX(FTE_Allocation!$A$2:$A$201,$AB813),Workforce!$A$2:$A$151,0))),IF(INDEX(FTE_Allocation!$J$2:$J$201,$AB813)="",2958101,INDEX(FTE_Allocation!$J$2:$J$201,$AB813))),"")))</f>
        <v/>
      </c>
      <c r="AG813" s="19">
        <f>IF($Z813="C",IF(INDEX(Contracts!$I$2:$I$151,$AB813)="PREPAID",INDEX(Contracts!$M$2:$M$151,$AB813)/IF(INDEX(Contracts!$N$2:$N$151,$AB813)="",12,INDEX(Contracts!$N$2:$N$151,$AB813)),IF(INDEX(Contracts!$I$2:$I$151,$AB813)="MONTHLY",INDEX(Contracts!$M$2:$M$151,$AB813),0))*(1-N(INDEX(Contracts!$O$2:$O$151,$AB813))),IF($Z813="A",INDEX(Fixed_Assets!$H$2:$H$201,$AB813)/INDEX(Fixed_Assets!$J$2:$J$201,$AB813),IF($Z813="F",INDEX(Workforce!$F$2:$F$151,MATCH(INDEX(FTE_Allocation!$A$2:$A$201,$AB813),Workforce!$A$2:$A$151,0))*N(INDEX(FTE_Allocation!$F$2:$H$201,$AB813,$AC813)),"")))</f>
        <v/>
      </c>
    </row>
    <row r="814">
      <c r="A814" s="7">
        <f>IF($Z814="","",$AD814)</f>
        <v/>
      </c>
      <c r="B814" s="7">
        <f>IF($Z814="C",INDEX(Contracts!$D$2:$D$151,$AB814)&amp;"",IF($Z814="A",INDEX(Fixed_Assets!$C$2:$C$201,$AB814)&amp;"",IF($Z814="F",INDEX(Workforce!$B$2:$B$151,MATCH(INDEX(FTE_Allocation!$A$2:$A$201,$AB814),Workforce!$A$2:$A$151,0))&amp;"","")))</f>
        <v/>
      </c>
      <c r="C814" s="7">
        <f>IF($Z814="C",INDEX(Contracts!$E$2:$E$151,$AB814)&amp;"",IF($Z814="A",INDEX(Fixed_Assets!$D$2:$D$201,$AB814)&amp;"",IF($Z814="F",INDEX(FTE_Allocation!$C$2:$C$201,$AB814)&amp;"","")))</f>
        <v/>
      </c>
      <c r="D814" s="7">
        <f>IF($Z814="C",INDEX(Contracts!$B$2:$B$151,$AB814)&amp;"",IF($Z814="A",INDEX(Fixed_Assets!$B$2:$B$201,$AB814)&amp;"",IF($Z814="F",INDEX(FTE_Allocation!$B$2:$B$201,$AB814)&amp;"","")))</f>
        <v/>
      </c>
      <c r="E814" s="7">
        <f>IF($Z814="C",INDEX(Contracts!$P$2:$P$151,$AB814)&amp;"",IF($Z814="A",INDEX(Fixed_Assets!$K$2:$K$201,$AB814)&amp;"",IF($Z814="F",IF(INDEX(FTE_Allocation!$D$2:$D$201,$AB814)="PROJECT",IFERROR(INDEX(Projects!$D:$D,MATCH(INDEX(FTE_Allocation!$E$2:$E$201,$AB814),Projects!$A:$A,0))&amp;"","#PROJECT?"),INDEX(FTE_Allocation!$E$2:$E$201,$AB814)&amp;""),"")))</f>
        <v/>
      </c>
      <c r="F814" s="7">
        <f>IF($Z814="C",INDEX(Contracts!$Q$2:$Q$151,$AB814)&amp;"",IF($Z814="A",INDEX(Fixed_Assets!$L$2:$L$201,$AB814)&amp;"",IF($Z814="F",INDEX(Workforce!$K$2:$K$151,MATCH(INDEX(FTE_Allocation!$A$2:$A$201,$AB814),Workforce!$A$2:$A$151,0))&amp;"","")))</f>
        <v/>
      </c>
      <c r="G814" s="7">
        <f>IF($Z814="C",INDEX(Contracts!$F$2:$F$151,$AB814)&amp;" / "&amp;INDEX(Contracts!$G$2:$G$151,$AB814),IF($Z814="A",INDEX(Fixed_Assets!$E$2:$E$201,$AB814)&amp;"",IF($Z814="F","Personnel "&amp;INDEX(FTE_Allocation!$A$2:$A$201,$AB814)&amp;IF(INDEX(FTE_Allocation!$D$2:$D$201,$AB814)="PROJECT"," ("&amp;INDEX(FTE_Allocation!$E$2:$E$201,$AB814)&amp;")",""),"")))</f>
        <v/>
      </c>
      <c r="H814" s="7">
        <f>IF($Z814="C","CONTRACT",IF($Z814="A","ASSET",IF($Z814="F","WORKFORCE","")))</f>
        <v/>
      </c>
      <c r="I814" s="7">
        <f>IF($Z814="C",INDEX(Contracts!$L$2:$L$151,$AB814)&amp;"",IF($Z814="A",INDEX(Fixed_Assets!$I$2:$I$201,$AB814)&amp;"",IF($Z814="F",INDEX(Workforce!$G$2:$G$151,MATCH(INDEX(FTE_Allocation!$A$2:$A$201,$AB814),Workforce!$A$2:$A$151,0))&amp;"","")))</f>
        <v/>
      </c>
      <c r="J814" s="18">
        <f>IF($Z814="","",IF(AND(DATE($AD814,1,1)&gt;=$AE814,DATE($AD814,1,1)&lt;=$AF814),ROUND($AG814,2),0))</f>
        <v/>
      </c>
      <c r="K814" s="18">
        <f>IF($Z814="","",IF(AND(DATE($AD814,2,1)&gt;=$AE814,DATE($AD814,2,1)&lt;=$AF814),ROUND($AG814,2),0))</f>
        <v/>
      </c>
      <c r="L814" s="18">
        <f>IF($Z814="","",IF(AND(DATE($AD814,3,1)&gt;=$AE814,DATE($AD814,3,1)&lt;=$AF814),ROUND($AG814,2),0))</f>
        <v/>
      </c>
      <c r="M814" s="18">
        <f>IF($Z814="","",IF(AND(DATE($AD814,4,1)&gt;=$AE814,DATE($AD814,4,1)&lt;=$AF814),ROUND($AG814,2),0))</f>
        <v/>
      </c>
      <c r="N814" s="18">
        <f>IF($Z814="","",IF(AND(DATE($AD814,5,1)&gt;=$AE814,DATE($AD814,5,1)&lt;=$AF814),ROUND($AG814,2),0))</f>
        <v/>
      </c>
      <c r="O814" s="18">
        <f>IF($Z814="","",IF(AND(DATE($AD814,6,1)&gt;=$AE814,DATE($AD814,6,1)&lt;=$AF814),ROUND($AG814,2),0))</f>
        <v/>
      </c>
      <c r="P814" s="18">
        <f>IF($Z814="","",IF(AND(DATE($AD814,7,1)&gt;=$AE814,DATE($AD814,7,1)&lt;=$AF814),ROUND($AG814,2),0))</f>
        <v/>
      </c>
      <c r="Q814" s="18">
        <f>IF($Z814="","",IF(AND(DATE($AD814,8,1)&gt;=$AE814,DATE($AD814,8,1)&lt;=$AF814),ROUND($AG814,2),0))</f>
        <v/>
      </c>
      <c r="R814" s="18">
        <f>IF($Z814="","",IF(AND(DATE($AD814,9,1)&gt;=$AE814,DATE($AD814,9,1)&lt;=$AF814),ROUND($AG814,2),0))</f>
        <v/>
      </c>
      <c r="S814" s="18">
        <f>IF($Z814="","",IF(AND(DATE($AD814,10,1)&gt;=$AE814,DATE($AD814,10,1)&lt;=$AF814),ROUND($AG814,2),0))</f>
        <v/>
      </c>
      <c r="T814" s="18">
        <f>IF($Z814="","",IF(AND(DATE($AD814,11,1)&gt;=$AE814,DATE($AD814,11,1)&lt;=$AF814),ROUND($AG814,2),0))</f>
        <v/>
      </c>
      <c r="U814" s="18">
        <f>IF($Z814="","",IF(AND(DATE($AD814,12,1)&gt;=$AE814,DATE($AD814,12,1)&lt;=$AF814),ROUND($AG814,2),0))</f>
        <v/>
      </c>
      <c r="V814" s="7">
        <f>IF($Z814="C","Generated from "&amp;INDEX(Contracts!$A$2:$A$151,$AB814),IF($Z814="A","Generated from "&amp;INDEX(Fixed_Assets!$A$2:$A$201,$AB814),IF($Z814="F","Generated from "&amp;INDEX(FTE_Allocation!$A$2:$A$201,$AB814),"")))</f>
        <v/>
      </c>
      <c r="X814" s="19">
        <f>IF($Z814="","",SUM(J814:U814))</f>
        <v/>
      </c>
      <c r="Y814" s="20">
        <f>ROW()-1</f>
        <v/>
      </c>
      <c r="Z814" s="20">
        <f>IF($Y814&lt;=Settings!$B$4*3,"C",IF($Y814&lt;=(Settings!$B$4+Settings!$B$5)*3,"A",IF($Y814&lt;=(Settings!$B$4+Settings!$B$5+Settings!$B$6)*3,"F","")))</f>
        <v/>
      </c>
      <c r="AA814" s="20">
        <f>IF($Z814="C",$Y814,IF($Z814="A",$Y814-Settings!$B$4*3,IF($Z814="F",$Y814-(Settings!$B$4+Settings!$B$5)*3,"")))</f>
        <v/>
      </c>
      <c r="AB814" s="20">
        <f>IF($Z814="","",INT(($AA814-1)/3)+1)</f>
        <v/>
      </c>
      <c r="AC814" s="20">
        <f>IF($Z814="","",MOD($AA814-1,3)+1)</f>
        <v/>
      </c>
      <c r="AD814" s="20">
        <f>IF($Z814="","",Settings!$B$2+$AC814-1)</f>
        <v/>
      </c>
      <c r="AE814" s="21">
        <f>IF($Z814="C",DATE(YEAR(INDEX(Contracts!$J$2:$J$151,$AB814)),MONTH(INDEX(Contracts!$J$2:$J$151,$AB814)),1),IF($Z814="A",DATE(YEAR(INDEX(Fixed_Assets!$G$2:$G$201,$AB814)),MONTH(INDEX(Fixed_Assets!$G$2:$G$201,$AB814)),1),IF($Z814="F",DATE(YEAR(MAX(N(INDEX(Workforce!$I$2:$I$151,MATCH(INDEX(FTE_Allocation!$A$2:$A$201,$AB814),Workforce!$A$2:$A$151,0))),N(INDEX(FTE_Allocation!$I$2:$I$201,$AB814)))),MONTH(MAX(N(INDEX(Workforce!$I$2:$I$151,MATCH(INDEX(FTE_Allocation!$A$2:$A$201,$AB814),Workforce!$A$2:$A$151,0))),N(INDEX(FTE_Allocation!$I$2:$I$201,$AB814)))),1),"")))</f>
        <v/>
      </c>
      <c r="AF814" s="21">
        <f>IF($Z814="C",IF(INDEX(Contracts!$I$2:$I$151,$AB814)="PREPAID",EDATE(DATE(YEAR(INDEX(Contracts!$J$2:$J$151,$AB814)),MONTH(INDEX(Contracts!$J$2:$J$151,$AB814)),1),IF(INDEX(Contracts!$N$2:$N$151,$AB814)="",12,INDEX(Contracts!$N$2:$N$151,$AB814))-1),IF(INDEX(Contracts!$I$2:$I$151,$AB814)="MONTHLY",IF(INDEX(Contracts!$K$2:$K$151,$AB814)="",2958101,INDEX(Contracts!$K$2:$K$151,$AB814)),0)),IF($Z814="A",EDATE(DATE(YEAR(INDEX(Fixed_Assets!$G$2:$G$201,$AB814)),MONTH(INDEX(Fixed_Assets!$G$2:$G$201,$AB814)),1),INDEX(Fixed_Assets!$J$2:$J$201,$AB814)-1),IF($Z814="F",MIN(IF(INDEX(Workforce!$J$2:$J$151,MATCH(INDEX(FTE_Allocation!$A$2:$A$201,$AB814),Workforce!$A$2:$A$151,0))="",2958101,INDEX(Workforce!$J$2:$J$151,MATCH(INDEX(FTE_Allocation!$A$2:$A$201,$AB814),Workforce!$A$2:$A$151,0))),IF(INDEX(FTE_Allocation!$J$2:$J$201,$AB814)="",2958101,INDEX(FTE_Allocation!$J$2:$J$201,$AB814))),"")))</f>
        <v/>
      </c>
      <c r="AG814" s="19">
        <f>IF($Z814="C",IF(INDEX(Contracts!$I$2:$I$151,$AB814)="PREPAID",INDEX(Contracts!$M$2:$M$151,$AB814)/IF(INDEX(Contracts!$N$2:$N$151,$AB814)="",12,INDEX(Contracts!$N$2:$N$151,$AB814)),IF(INDEX(Contracts!$I$2:$I$151,$AB814)="MONTHLY",INDEX(Contracts!$M$2:$M$151,$AB814),0))*(1-N(INDEX(Contracts!$O$2:$O$151,$AB814))),IF($Z814="A",INDEX(Fixed_Assets!$H$2:$H$201,$AB814)/INDEX(Fixed_Assets!$J$2:$J$201,$AB814),IF($Z814="F",INDEX(Workforce!$F$2:$F$151,MATCH(INDEX(FTE_Allocation!$A$2:$A$201,$AB814),Workforce!$A$2:$A$151,0))*N(INDEX(FTE_Allocation!$F$2:$H$201,$AB814,$AC814)),"")))</f>
        <v/>
      </c>
    </row>
    <row r="815">
      <c r="A815" s="7">
        <f>IF($Z815="","",$AD815)</f>
        <v/>
      </c>
      <c r="B815" s="7">
        <f>IF($Z815="C",INDEX(Contracts!$D$2:$D$151,$AB815)&amp;"",IF($Z815="A",INDEX(Fixed_Assets!$C$2:$C$201,$AB815)&amp;"",IF($Z815="F",INDEX(Workforce!$B$2:$B$151,MATCH(INDEX(FTE_Allocation!$A$2:$A$201,$AB815),Workforce!$A$2:$A$151,0))&amp;"","")))</f>
        <v/>
      </c>
      <c r="C815" s="7">
        <f>IF($Z815="C",INDEX(Contracts!$E$2:$E$151,$AB815)&amp;"",IF($Z815="A",INDEX(Fixed_Assets!$D$2:$D$201,$AB815)&amp;"",IF($Z815="F",INDEX(FTE_Allocation!$C$2:$C$201,$AB815)&amp;"","")))</f>
        <v/>
      </c>
      <c r="D815" s="7">
        <f>IF($Z815="C",INDEX(Contracts!$B$2:$B$151,$AB815)&amp;"",IF($Z815="A",INDEX(Fixed_Assets!$B$2:$B$201,$AB815)&amp;"",IF($Z815="F",INDEX(FTE_Allocation!$B$2:$B$201,$AB815)&amp;"","")))</f>
        <v/>
      </c>
      <c r="E815" s="7">
        <f>IF($Z815="C",INDEX(Contracts!$P$2:$P$151,$AB815)&amp;"",IF($Z815="A",INDEX(Fixed_Assets!$K$2:$K$201,$AB815)&amp;"",IF($Z815="F",IF(INDEX(FTE_Allocation!$D$2:$D$201,$AB815)="PROJECT",IFERROR(INDEX(Projects!$D:$D,MATCH(INDEX(FTE_Allocation!$E$2:$E$201,$AB815),Projects!$A:$A,0))&amp;"","#PROJECT?"),INDEX(FTE_Allocation!$E$2:$E$201,$AB815)&amp;""),"")))</f>
        <v/>
      </c>
      <c r="F815" s="7">
        <f>IF($Z815="C",INDEX(Contracts!$Q$2:$Q$151,$AB815)&amp;"",IF($Z815="A",INDEX(Fixed_Assets!$L$2:$L$201,$AB815)&amp;"",IF($Z815="F",INDEX(Workforce!$K$2:$K$151,MATCH(INDEX(FTE_Allocation!$A$2:$A$201,$AB815),Workforce!$A$2:$A$151,0))&amp;"","")))</f>
        <v/>
      </c>
      <c r="G815" s="7">
        <f>IF($Z815="C",INDEX(Contracts!$F$2:$F$151,$AB815)&amp;" / "&amp;INDEX(Contracts!$G$2:$G$151,$AB815),IF($Z815="A",INDEX(Fixed_Assets!$E$2:$E$201,$AB815)&amp;"",IF($Z815="F","Personnel "&amp;INDEX(FTE_Allocation!$A$2:$A$201,$AB815)&amp;IF(INDEX(FTE_Allocation!$D$2:$D$201,$AB815)="PROJECT"," ("&amp;INDEX(FTE_Allocation!$E$2:$E$201,$AB815)&amp;")",""),"")))</f>
        <v/>
      </c>
      <c r="H815" s="7">
        <f>IF($Z815="C","CONTRACT",IF($Z815="A","ASSET",IF($Z815="F","WORKFORCE","")))</f>
        <v/>
      </c>
      <c r="I815" s="7">
        <f>IF($Z815="C",INDEX(Contracts!$L$2:$L$151,$AB815)&amp;"",IF($Z815="A",INDEX(Fixed_Assets!$I$2:$I$201,$AB815)&amp;"",IF($Z815="F",INDEX(Workforce!$G$2:$G$151,MATCH(INDEX(FTE_Allocation!$A$2:$A$201,$AB815),Workforce!$A$2:$A$151,0))&amp;"","")))</f>
        <v/>
      </c>
      <c r="J815" s="18">
        <f>IF($Z815="","",IF(AND(DATE($AD815,1,1)&gt;=$AE815,DATE($AD815,1,1)&lt;=$AF815),ROUND($AG815,2),0))</f>
        <v/>
      </c>
      <c r="K815" s="18">
        <f>IF($Z815="","",IF(AND(DATE($AD815,2,1)&gt;=$AE815,DATE($AD815,2,1)&lt;=$AF815),ROUND($AG815,2),0))</f>
        <v/>
      </c>
      <c r="L815" s="18">
        <f>IF($Z815="","",IF(AND(DATE($AD815,3,1)&gt;=$AE815,DATE($AD815,3,1)&lt;=$AF815),ROUND($AG815,2),0))</f>
        <v/>
      </c>
      <c r="M815" s="18">
        <f>IF($Z815="","",IF(AND(DATE($AD815,4,1)&gt;=$AE815,DATE($AD815,4,1)&lt;=$AF815),ROUND($AG815,2),0))</f>
        <v/>
      </c>
      <c r="N815" s="18">
        <f>IF($Z815="","",IF(AND(DATE($AD815,5,1)&gt;=$AE815,DATE($AD815,5,1)&lt;=$AF815),ROUND($AG815,2),0))</f>
        <v/>
      </c>
      <c r="O815" s="18">
        <f>IF($Z815="","",IF(AND(DATE($AD815,6,1)&gt;=$AE815,DATE($AD815,6,1)&lt;=$AF815),ROUND($AG815,2),0))</f>
        <v/>
      </c>
      <c r="P815" s="18">
        <f>IF($Z815="","",IF(AND(DATE($AD815,7,1)&gt;=$AE815,DATE($AD815,7,1)&lt;=$AF815),ROUND($AG815,2),0))</f>
        <v/>
      </c>
      <c r="Q815" s="18">
        <f>IF($Z815="","",IF(AND(DATE($AD815,8,1)&gt;=$AE815,DATE($AD815,8,1)&lt;=$AF815),ROUND($AG815,2),0))</f>
        <v/>
      </c>
      <c r="R815" s="18">
        <f>IF($Z815="","",IF(AND(DATE($AD815,9,1)&gt;=$AE815,DATE($AD815,9,1)&lt;=$AF815),ROUND($AG815,2),0))</f>
        <v/>
      </c>
      <c r="S815" s="18">
        <f>IF($Z815="","",IF(AND(DATE($AD815,10,1)&gt;=$AE815,DATE($AD815,10,1)&lt;=$AF815),ROUND($AG815,2),0))</f>
        <v/>
      </c>
      <c r="T815" s="18">
        <f>IF($Z815="","",IF(AND(DATE($AD815,11,1)&gt;=$AE815,DATE($AD815,11,1)&lt;=$AF815),ROUND($AG815,2),0))</f>
        <v/>
      </c>
      <c r="U815" s="18">
        <f>IF($Z815="","",IF(AND(DATE($AD815,12,1)&gt;=$AE815,DATE($AD815,12,1)&lt;=$AF815),ROUND($AG815,2),0))</f>
        <v/>
      </c>
      <c r="V815" s="7">
        <f>IF($Z815="C","Generated from "&amp;INDEX(Contracts!$A$2:$A$151,$AB815),IF($Z815="A","Generated from "&amp;INDEX(Fixed_Assets!$A$2:$A$201,$AB815),IF($Z815="F","Generated from "&amp;INDEX(FTE_Allocation!$A$2:$A$201,$AB815),"")))</f>
        <v/>
      </c>
      <c r="X815" s="19">
        <f>IF($Z815="","",SUM(J815:U815))</f>
        <v/>
      </c>
      <c r="Y815" s="20">
        <f>ROW()-1</f>
        <v/>
      </c>
      <c r="Z815" s="20">
        <f>IF($Y815&lt;=Settings!$B$4*3,"C",IF($Y815&lt;=(Settings!$B$4+Settings!$B$5)*3,"A",IF($Y815&lt;=(Settings!$B$4+Settings!$B$5+Settings!$B$6)*3,"F","")))</f>
        <v/>
      </c>
      <c r="AA815" s="20">
        <f>IF($Z815="C",$Y815,IF($Z815="A",$Y815-Settings!$B$4*3,IF($Z815="F",$Y815-(Settings!$B$4+Settings!$B$5)*3,"")))</f>
        <v/>
      </c>
      <c r="AB815" s="20">
        <f>IF($Z815="","",INT(($AA815-1)/3)+1)</f>
        <v/>
      </c>
      <c r="AC815" s="20">
        <f>IF($Z815="","",MOD($AA815-1,3)+1)</f>
        <v/>
      </c>
      <c r="AD815" s="20">
        <f>IF($Z815="","",Settings!$B$2+$AC815-1)</f>
        <v/>
      </c>
      <c r="AE815" s="21">
        <f>IF($Z815="C",DATE(YEAR(INDEX(Contracts!$J$2:$J$151,$AB815)),MONTH(INDEX(Contracts!$J$2:$J$151,$AB815)),1),IF($Z815="A",DATE(YEAR(INDEX(Fixed_Assets!$G$2:$G$201,$AB815)),MONTH(INDEX(Fixed_Assets!$G$2:$G$201,$AB815)),1),IF($Z815="F",DATE(YEAR(MAX(N(INDEX(Workforce!$I$2:$I$151,MATCH(INDEX(FTE_Allocation!$A$2:$A$201,$AB815),Workforce!$A$2:$A$151,0))),N(INDEX(FTE_Allocation!$I$2:$I$201,$AB815)))),MONTH(MAX(N(INDEX(Workforce!$I$2:$I$151,MATCH(INDEX(FTE_Allocation!$A$2:$A$201,$AB815),Workforce!$A$2:$A$151,0))),N(INDEX(FTE_Allocation!$I$2:$I$201,$AB815)))),1),"")))</f>
        <v/>
      </c>
      <c r="AF815" s="21">
        <f>IF($Z815="C",IF(INDEX(Contracts!$I$2:$I$151,$AB815)="PREPAID",EDATE(DATE(YEAR(INDEX(Contracts!$J$2:$J$151,$AB815)),MONTH(INDEX(Contracts!$J$2:$J$151,$AB815)),1),IF(INDEX(Contracts!$N$2:$N$151,$AB815)="",12,INDEX(Contracts!$N$2:$N$151,$AB815))-1),IF(INDEX(Contracts!$I$2:$I$151,$AB815)="MONTHLY",IF(INDEX(Contracts!$K$2:$K$151,$AB815)="",2958101,INDEX(Contracts!$K$2:$K$151,$AB815)),0)),IF($Z815="A",EDATE(DATE(YEAR(INDEX(Fixed_Assets!$G$2:$G$201,$AB815)),MONTH(INDEX(Fixed_Assets!$G$2:$G$201,$AB815)),1),INDEX(Fixed_Assets!$J$2:$J$201,$AB815)-1),IF($Z815="F",MIN(IF(INDEX(Workforce!$J$2:$J$151,MATCH(INDEX(FTE_Allocation!$A$2:$A$201,$AB815),Workforce!$A$2:$A$151,0))="",2958101,INDEX(Workforce!$J$2:$J$151,MATCH(INDEX(FTE_Allocation!$A$2:$A$201,$AB815),Workforce!$A$2:$A$151,0))),IF(INDEX(FTE_Allocation!$J$2:$J$201,$AB815)="",2958101,INDEX(FTE_Allocation!$J$2:$J$201,$AB815))),"")))</f>
        <v/>
      </c>
      <c r="AG815" s="19">
        <f>IF($Z815="C",IF(INDEX(Contracts!$I$2:$I$151,$AB815)="PREPAID",INDEX(Contracts!$M$2:$M$151,$AB815)/IF(INDEX(Contracts!$N$2:$N$151,$AB815)="",12,INDEX(Contracts!$N$2:$N$151,$AB815)),IF(INDEX(Contracts!$I$2:$I$151,$AB815)="MONTHLY",INDEX(Contracts!$M$2:$M$151,$AB815),0))*(1-N(INDEX(Contracts!$O$2:$O$151,$AB815))),IF($Z815="A",INDEX(Fixed_Assets!$H$2:$H$201,$AB815)/INDEX(Fixed_Assets!$J$2:$J$201,$AB815),IF($Z815="F",INDEX(Workforce!$F$2:$F$151,MATCH(INDEX(FTE_Allocation!$A$2:$A$201,$AB815),Workforce!$A$2:$A$151,0))*N(INDEX(FTE_Allocation!$F$2:$H$201,$AB815,$AC815)),"")))</f>
        <v/>
      </c>
    </row>
    <row r="816">
      <c r="A816" s="7">
        <f>IF($Z816="","",$AD816)</f>
        <v/>
      </c>
      <c r="B816" s="7">
        <f>IF($Z816="C",INDEX(Contracts!$D$2:$D$151,$AB816)&amp;"",IF($Z816="A",INDEX(Fixed_Assets!$C$2:$C$201,$AB816)&amp;"",IF($Z816="F",INDEX(Workforce!$B$2:$B$151,MATCH(INDEX(FTE_Allocation!$A$2:$A$201,$AB816),Workforce!$A$2:$A$151,0))&amp;"","")))</f>
        <v/>
      </c>
      <c r="C816" s="7">
        <f>IF($Z816="C",INDEX(Contracts!$E$2:$E$151,$AB816)&amp;"",IF($Z816="A",INDEX(Fixed_Assets!$D$2:$D$201,$AB816)&amp;"",IF($Z816="F",INDEX(FTE_Allocation!$C$2:$C$201,$AB816)&amp;"","")))</f>
        <v/>
      </c>
      <c r="D816" s="7">
        <f>IF($Z816="C",INDEX(Contracts!$B$2:$B$151,$AB816)&amp;"",IF($Z816="A",INDEX(Fixed_Assets!$B$2:$B$201,$AB816)&amp;"",IF($Z816="F",INDEX(FTE_Allocation!$B$2:$B$201,$AB816)&amp;"","")))</f>
        <v/>
      </c>
      <c r="E816" s="7">
        <f>IF($Z816="C",INDEX(Contracts!$P$2:$P$151,$AB816)&amp;"",IF($Z816="A",INDEX(Fixed_Assets!$K$2:$K$201,$AB816)&amp;"",IF($Z816="F",IF(INDEX(FTE_Allocation!$D$2:$D$201,$AB816)="PROJECT",IFERROR(INDEX(Projects!$D:$D,MATCH(INDEX(FTE_Allocation!$E$2:$E$201,$AB816),Projects!$A:$A,0))&amp;"","#PROJECT?"),INDEX(FTE_Allocation!$E$2:$E$201,$AB816)&amp;""),"")))</f>
        <v/>
      </c>
      <c r="F816" s="7">
        <f>IF($Z816="C",INDEX(Contracts!$Q$2:$Q$151,$AB816)&amp;"",IF($Z816="A",INDEX(Fixed_Assets!$L$2:$L$201,$AB816)&amp;"",IF($Z816="F",INDEX(Workforce!$K$2:$K$151,MATCH(INDEX(FTE_Allocation!$A$2:$A$201,$AB816),Workforce!$A$2:$A$151,0))&amp;"","")))</f>
        <v/>
      </c>
      <c r="G816" s="7">
        <f>IF($Z816="C",INDEX(Contracts!$F$2:$F$151,$AB816)&amp;" / "&amp;INDEX(Contracts!$G$2:$G$151,$AB816),IF($Z816="A",INDEX(Fixed_Assets!$E$2:$E$201,$AB816)&amp;"",IF($Z816="F","Personnel "&amp;INDEX(FTE_Allocation!$A$2:$A$201,$AB816)&amp;IF(INDEX(FTE_Allocation!$D$2:$D$201,$AB816)="PROJECT"," ("&amp;INDEX(FTE_Allocation!$E$2:$E$201,$AB816)&amp;")",""),"")))</f>
        <v/>
      </c>
      <c r="H816" s="7">
        <f>IF($Z816="C","CONTRACT",IF($Z816="A","ASSET",IF($Z816="F","WORKFORCE","")))</f>
        <v/>
      </c>
      <c r="I816" s="7">
        <f>IF($Z816="C",INDEX(Contracts!$L$2:$L$151,$AB816)&amp;"",IF($Z816="A",INDEX(Fixed_Assets!$I$2:$I$201,$AB816)&amp;"",IF($Z816="F",INDEX(Workforce!$G$2:$G$151,MATCH(INDEX(FTE_Allocation!$A$2:$A$201,$AB816),Workforce!$A$2:$A$151,0))&amp;"","")))</f>
        <v/>
      </c>
      <c r="J816" s="18">
        <f>IF($Z816="","",IF(AND(DATE($AD816,1,1)&gt;=$AE816,DATE($AD816,1,1)&lt;=$AF816),ROUND($AG816,2),0))</f>
        <v/>
      </c>
      <c r="K816" s="18">
        <f>IF($Z816="","",IF(AND(DATE($AD816,2,1)&gt;=$AE816,DATE($AD816,2,1)&lt;=$AF816),ROUND($AG816,2),0))</f>
        <v/>
      </c>
      <c r="L816" s="18">
        <f>IF($Z816="","",IF(AND(DATE($AD816,3,1)&gt;=$AE816,DATE($AD816,3,1)&lt;=$AF816),ROUND($AG816,2),0))</f>
        <v/>
      </c>
      <c r="M816" s="18">
        <f>IF($Z816="","",IF(AND(DATE($AD816,4,1)&gt;=$AE816,DATE($AD816,4,1)&lt;=$AF816),ROUND($AG816,2),0))</f>
        <v/>
      </c>
      <c r="N816" s="18">
        <f>IF($Z816="","",IF(AND(DATE($AD816,5,1)&gt;=$AE816,DATE($AD816,5,1)&lt;=$AF816),ROUND($AG816,2),0))</f>
        <v/>
      </c>
      <c r="O816" s="18">
        <f>IF($Z816="","",IF(AND(DATE($AD816,6,1)&gt;=$AE816,DATE($AD816,6,1)&lt;=$AF816),ROUND($AG816,2),0))</f>
        <v/>
      </c>
      <c r="P816" s="18">
        <f>IF($Z816="","",IF(AND(DATE($AD816,7,1)&gt;=$AE816,DATE($AD816,7,1)&lt;=$AF816),ROUND($AG816,2),0))</f>
        <v/>
      </c>
      <c r="Q816" s="18">
        <f>IF($Z816="","",IF(AND(DATE($AD816,8,1)&gt;=$AE816,DATE($AD816,8,1)&lt;=$AF816),ROUND($AG816,2),0))</f>
        <v/>
      </c>
      <c r="R816" s="18">
        <f>IF($Z816="","",IF(AND(DATE($AD816,9,1)&gt;=$AE816,DATE($AD816,9,1)&lt;=$AF816),ROUND($AG816,2),0))</f>
        <v/>
      </c>
      <c r="S816" s="18">
        <f>IF($Z816="","",IF(AND(DATE($AD816,10,1)&gt;=$AE816,DATE($AD816,10,1)&lt;=$AF816),ROUND($AG816,2),0))</f>
        <v/>
      </c>
      <c r="T816" s="18">
        <f>IF($Z816="","",IF(AND(DATE($AD816,11,1)&gt;=$AE816,DATE($AD816,11,1)&lt;=$AF816),ROUND($AG816,2),0))</f>
        <v/>
      </c>
      <c r="U816" s="18">
        <f>IF($Z816="","",IF(AND(DATE($AD816,12,1)&gt;=$AE816,DATE($AD816,12,1)&lt;=$AF816),ROUND($AG816,2),0))</f>
        <v/>
      </c>
      <c r="V816" s="7">
        <f>IF($Z816="C","Generated from "&amp;INDEX(Contracts!$A$2:$A$151,$AB816),IF($Z816="A","Generated from "&amp;INDEX(Fixed_Assets!$A$2:$A$201,$AB816),IF($Z816="F","Generated from "&amp;INDEX(FTE_Allocation!$A$2:$A$201,$AB816),"")))</f>
        <v/>
      </c>
      <c r="X816" s="19">
        <f>IF($Z816="","",SUM(J816:U816))</f>
        <v/>
      </c>
      <c r="Y816" s="20">
        <f>ROW()-1</f>
        <v/>
      </c>
      <c r="Z816" s="20">
        <f>IF($Y816&lt;=Settings!$B$4*3,"C",IF($Y816&lt;=(Settings!$B$4+Settings!$B$5)*3,"A",IF($Y816&lt;=(Settings!$B$4+Settings!$B$5+Settings!$B$6)*3,"F","")))</f>
        <v/>
      </c>
      <c r="AA816" s="20">
        <f>IF($Z816="C",$Y816,IF($Z816="A",$Y816-Settings!$B$4*3,IF($Z816="F",$Y816-(Settings!$B$4+Settings!$B$5)*3,"")))</f>
        <v/>
      </c>
      <c r="AB816" s="20">
        <f>IF($Z816="","",INT(($AA816-1)/3)+1)</f>
        <v/>
      </c>
      <c r="AC816" s="20">
        <f>IF($Z816="","",MOD($AA816-1,3)+1)</f>
        <v/>
      </c>
      <c r="AD816" s="20">
        <f>IF($Z816="","",Settings!$B$2+$AC816-1)</f>
        <v/>
      </c>
      <c r="AE816" s="21">
        <f>IF($Z816="C",DATE(YEAR(INDEX(Contracts!$J$2:$J$151,$AB816)),MONTH(INDEX(Contracts!$J$2:$J$151,$AB816)),1),IF($Z816="A",DATE(YEAR(INDEX(Fixed_Assets!$G$2:$G$201,$AB816)),MONTH(INDEX(Fixed_Assets!$G$2:$G$201,$AB816)),1),IF($Z816="F",DATE(YEAR(MAX(N(INDEX(Workforce!$I$2:$I$151,MATCH(INDEX(FTE_Allocation!$A$2:$A$201,$AB816),Workforce!$A$2:$A$151,0))),N(INDEX(FTE_Allocation!$I$2:$I$201,$AB816)))),MONTH(MAX(N(INDEX(Workforce!$I$2:$I$151,MATCH(INDEX(FTE_Allocation!$A$2:$A$201,$AB816),Workforce!$A$2:$A$151,0))),N(INDEX(FTE_Allocation!$I$2:$I$201,$AB816)))),1),"")))</f>
        <v/>
      </c>
      <c r="AF816" s="21">
        <f>IF($Z816="C",IF(INDEX(Contracts!$I$2:$I$151,$AB816)="PREPAID",EDATE(DATE(YEAR(INDEX(Contracts!$J$2:$J$151,$AB816)),MONTH(INDEX(Contracts!$J$2:$J$151,$AB816)),1),IF(INDEX(Contracts!$N$2:$N$151,$AB816)="",12,INDEX(Contracts!$N$2:$N$151,$AB816))-1),IF(INDEX(Contracts!$I$2:$I$151,$AB816)="MONTHLY",IF(INDEX(Contracts!$K$2:$K$151,$AB816)="",2958101,INDEX(Contracts!$K$2:$K$151,$AB816)),0)),IF($Z816="A",EDATE(DATE(YEAR(INDEX(Fixed_Assets!$G$2:$G$201,$AB816)),MONTH(INDEX(Fixed_Assets!$G$2:$G$201,$AB816)),1),INDEX(Fixed_Assets!$J$2:$J$201,$AB816)-1),IF($Z816="F",MIN(IF(INDEX(Workforce!$J$2:$J$151,MATCH(INDEX(FTE_Allocation!$A$2:$A$201,$AB816),Workforce!$A$2:$A$151,0))="",2958101,INDEX(Workforce!$J$2:$J$151,MATCH(INDEX(FTE_Allocation!$A$2:$A$201,$AB816),Workforce!$A$2:$A$151,0))),IF(INDEX(FTE_Allocation!$J$2:$J$201,$AB816)="",2958101,INDEX(FTE_Allocation!$J$2:$J$201,$AB816))),"")))</f>
        <v/>
      </c>
      <c r="AG816" s="19">
        <f>IF($Z816="C",IF(INDEX(Contracts!$I$2:$I$151,$AB816)="PREPAID",INDEX(Contracts!$M$2:$M$151,$AB816)/IF(INDEX(Contracts!$N$2:$N$151,$AB816)="",12,INDEX(Contracts!$N$2:$N$151,$AB816)),IF(INDEX(Contracts!$I$2:$I$151,$AB816)="MONTHLY",INDEX(Contracts!$M$2:$M$151,$AB816),0))*(1-N(INDEX(Contracts!$O$2:$O$151,$AB816))),IF($Z816="A",INDEX(Fixed_Assets!$H$2:$H$201,$AB816)/INDEX(Fixed_Assets!$J$2:$J$201,$AB816),IF($Z816="F",INDEX(Workforce!$F$2:$F$151,MATCH(INDEX(FTE_Allocation!$A$2:$A$201,$AB816),Workforce!$A$2:$A$151,0))*N(INDEX(FTE_Allocation!$F$2:$H$201,$AB816,$AC816)),"")))</f>
        <v/>
      </c>
    </row>
    <row r="817">
      <c r="A817" s="7">
        <f>IF($Z817="","",$AD817)</f>
        <v/>
      </c>
      <c r="B817" s="7">
        <f>IF($Z817="C",INDEX(Contracts!$D$2:$D$151,$AB817)&amp;"",IF($Z817="A",INDEX(Fixed_Assets!$C$2:$C$201,$AB817)&amp;"",IF($Z817="F",INDEX(Workforce!$B$2:$B$151,MATCH(INDEX(FTE_Allocation!$A$2:$A$201,$AB817),Workforce!$A$2:$A$151,0))&amp;"","")))</f>
        <v/>
      </c>
      <c r="C817" s="7">
        <f>IF($Z817="C",INDEX(Contracts!$E$2:$E$151,$AB817)&amp;"",IF($Z817="A",INDEX(Fixed_Assets!$D$2:$D$201,$AB817)&amp;"",IF($Z817="F",INDEX(FTE_Allocation!$C$2:$C$201,$AB817)&amp;"","")))</f>
        <v/>
      </c>
      <c r="D817" s="7">
        <f>IF($Z817="C",INDEX(Contracts!$B$2:$B$151,$AB817)&amp;"",IF($Z817="A",INDEX(Fixed_Assets!$B$2:$B$201,$AB817)&amp;"",IF($Z817="F",INDEX(FTE_Allocation!$B$2:$B$201,$AB817)&amp;"","")))</f>
        <v/>
      </c>
      <c r="E817" s="7">
        <f>IF($Z817="C",INDEX(Contracts!$P$2:$P$151,$AB817)&amp;"",IF($Z817="A",INDEX(Fixed_Assets!$K$2:$K$201,$AB817)&amp;"",IF($Z817="F",IF(INDEX(FTE_Allocation!$D$2:$D$201,$AB817)="PROJECT",IFERROR(INDEX(Projects!$D:$D,MATCH(INDEX(FTE_Allocation!$E$2:$E$201,$AB817),Projects!$A:$A,0))&amp;"","#PROJECT?"),INDEX(FTE_Allocation!$E$2:$E$201,$AB817)&amp;""),"")))</f>
        <v/>
      </c>
      <c r="F817" s="7">
        <f>IF($Z817="C",INDEX(Contracts!$Q$2:$Q$151,$AB817)&amp;"",IF($Z817="A",INDEX(Fixed_Assets!$L$2:$L$201,$AB817)&amp;"",IF($Z817="F",INDEX(Workforce!$K$2:$K$151,MATCH(INDEX(FTE_Allocation!$A$2:$A$201,$AB817),Workforce!$A$2:$A$151,0))&amp;"","")))</f>
        <v/>
      </c>
      <c r="G817" s="7">
        <f>IF($Z817="C",INDEX(Contracts!$F$2:$F$151,$AB817)&amp;" / "&amp;INDEX(Contracts!$G$2:$G$151,$AB817),IF($Z817="A",INDEX(Fixed_Assets!$E$2:$E$201,$AB817)&amp;"",IF($Z817="F","Personnel "&amp;INDEX(FTE_Allocation!$A$2:$A$201,$AB817)&amp;IF(INDEX(FTE_Allocation!$D$2:$D$201,$AB817)="PROJECT"," ("&amp;INDEX(FTE_Allocation!$E$2:$E$201,$AB817)&amp;")",""),"")))</f>
        <v/>
      </c>
      <c r="H817" s="7">
        <f>IF($Z817="C","CONTRACT",IF($Z817="A","ASSET",IF($Z817="F","WORKFORCE","")))</f>
        <v/>
      </c>
      <c r="I817" s="7">
        <f>IF($Z817="C",INDEX(Contracts!$L$2:$L$151,$AB817)&amp;"",IF($Z817="A",INDEX(Fixed_Assets!$I$2:$I$201,$AB817)&amp;"",IF($Z817="F",INDEX(Workforce!$G$2:$G$151,MATCH(INDEX(FTE_Allocation!$A$2:$A$201,$AB817),Workforce!$A$2:$A$151,0))&amp;"","")))</f>
        <v/>
      </c>
      <c r="J817" s="18">
        <f>IF($Z817="","",IF(AND(DATE($AD817,1,1)&gt;=$AE817,DATE($AD817,1,1)&lt;=$AF817),ROUND($AG817,2),0))</f>
        <v/>
      </c>
      <c r="K817" s="18">
        <f>IF($Z817="","",IF(AND(DATE($AD817,2,1)&gt;=$AE817,DATE($AD817,2,1)&lt;=$AF817),ROUND($AG817,2),0))</f>
        <v/>
      </c>
      <c r="L817" s="18">
        <f>IF($Z817="","",IF(AND(DATE($AD817,3,1)&gt;=$AE817,DATE($AD817,3,1)&lt;=$AF817),ROUND($AG817,2),0))</f>
        <v/>
      </c>
      <c r="M817" s="18">
        <f>IF($Z817="","",IF(AND(DATE($AD817,4,1)&gt;=$AE817,DATE($AD817,4,1)&lt;=$AF817),ROUND($AG817,2),0))</f>
        <v/>
      </c>
      <c r="N817" s="18">
        <f>IF($Z817="","",IF(AND(DATE($AD817,5,1)&gt;=$AE817,DATE($AD817,5,1)&lt;=$AF817),ROUND($AG817,2),0))</f>
        <v/>
      </c>
      <c r="O817" s="18">
        <f>IF($Z817="","",IF(AND(DATE($AD817,6,1)&gt;=$AE817,DATE($AD817,6,1)&lt;=$AF817),ROUND($AG817,2),0))</f>
        <v/>
      </c>
      <c r="P817" s="18">
        <f>IF($Z817="","",IF(AND(DATE($AD817,7,1)&gt;=$AE817,DATE($AD817,7,1)&lt;=$AF817),ROUND($AG817,2),0))</f>
        <v/>
      </c>
      <c r="Q817" s="18">
        <f>IF($Z817="","",IF(AND(DATE($AD817,8,1)&gt;=$AE817,DATE($AD817,8,1)&lt;=$AF817),ROUND($AG817,2),0))</f>
        <v/>
      </c>
      <c r="R817" s="18">
        <f>IF($Z817="","",IF(AND(DATE($AD817,9,1)&gt;=$AE817,DATE($AD817,9,1)&lt;=$AF817),ROUND($AG817,2),0))</f>
        <v/>
      </c>
      <c r="S817" s="18">
        <f>IF($Z817="","",IF(AND(DATE($AD817,10,1)&gt;=$AE817,DATE($AD817,10,1)&lt;=$AF817),ROUND($AG817,2),0))</f>
        <v/>
      </c>
      <c r="T817" s="18">
        <f>IF($Z817="","",IF(AND(DATE($AD817,11,1)&gt;=$AE817,DATE($AD817,11,1)&lt;=$AF817),ROUND($AG817,2),0))</f>
        <v/>
      </c>
      <c r="U817" s="18">
        <f>IF($Z817="","",IF(AND(DATE($AD817,12,1)&gt;=$AE817,DATE($AD817,12,1)&lt;=$AF817),ROUND($AG817,2),0))</f>
        <v/>
      </c>
      <c r="V817" s="7">
        <f>IF($Z817="C","Generated from "&amp;INDEX(Contracts!$A$2:$A$151,$AB817),IF($Z817="A","Generated from "&amp;INDEX(Fixed_Assets!$A$2:$A$201,$AB817),IF($Z817="F","Generated from "&amp;INDEX(FTE_Allocation!$A$2:$A$201,$AB817),"")))</f>
        <v/>
      </c>
      <c r="X817" s="19">
        <f>IF($Z817="","",SUM(J817:U817))</f>
        <v/>
      </c>
      <c r="Y817" s="20">
        <f>ROW()-1</f>
        <v/>
      </c>
      <c r="Z817" s="20">
        <f>IF($Y817&lt;=Settings!$B$4*3,"C",IF($Y817&lt;=(Settings!$B$4+Settings!$B$5)*3,"A",IF($Y817&lt;=(Settings!$B$4+Settings!$B$5+Settings!$B$6)*3,"F","")))</f>
        <v/>
      </c>
      <c r="AA817" s="20">
        <f>IF($Z817="C",$Y817,IF($Z817="A",$Y817-Settings!$B$4*3,IF($Z817="F",$Y817-(Settings!$B$4+Settings!$B$5)*3,"")))</f>
        <v/>
      </c>
      <c r="AB817" s="20">
        <f>IF($Z817="","",INT(($AA817-1)/3)+1)</f>
        <v/>
      </c>
      <c r="AC817" s="20">
        <f>IF($Z817="","",MOD($AA817-1,3)+1)</f>
        <v/>
      </c>
      <c r="AD817" s="20">
        <f>IF($Z817="","",Settings!$B$2+$AC817-1)</f>
        <v/>
      </c>
      <c r="AE817" s="21">
        <f>IF($Z817="C",DATE(YEAR(INDEX(Contracts!$J$2:$J$151,$AB817)),MONTH(INDEX(Contracts!$J$2:$J$151,$AB817)),1),IF($Z817="A",DATE(YEAR(INDEX(Fixed_Assets!$G$2:$G$201,$AB817)),MONTH(INDEX(Fixed_Assets!$G$2:$G$201,$AB817)),1),IF($Z817="F",DATE(YEAR(MAX(N(INDEX(Workforce!$I$2:$I$151,MATCH(INDEX(FTE_Allocation!$A$2:$A$201,$AB817),Workforce!$A$2:$A$151,0))),N(INDEX(FTE_Allocation!$I$2:$I$201,$AB817)))),MONTH(MAX(N(INDEX(Workforce!$I$2:$I$151,MATCH(INDEX(FTE_Allocation!$A$2:$A$201,$AB817),Workforce!$A$2:$A$151,0))),N(INDEX(FTE_Allocation!$I$2:$I$201,$AB817)))),1),"")))</f>
        <v/>
      </c>
      <c r="AF817" s="21">
        <f>IF($Z817="C",IF(INDEX(Contracts!$I$2:$I$151,$AB817)="PREPAID",EDATE(DATE(YEAR(INDEX(Contracts!$J$2:$J$151,$AB817)),MONTH(INDEX(Contracts!$J$2:$J$151,$AB817)),1),IF(INDEX(Contracts!$N$2:$N$151,$AB817)="",12,INDEX(Contracts!$N$2:$N$151,$AB817))-1),IF(INDEX(Contracts!$I$2:$I$151,$AB817)="MONTHLY",IF(INDEX(Contracts!$K$2:$K$151,$AB817)="",2958101,INDEX(Contracts!$K$2:$K$151,$AB817)),0)),IF($Z817="A",EDATE(DATE(YEAR(INDEX(Fixed_Assets!$G$2:$G$201,$AB817)),MONTH(INDEX(Fixed_Assets!$G$2:$G$201,$AB817)),1),INDEX(Fixed_Assets!$J$2:$J$201,$AB817)-1),IF($Z817="F",MIN(IF(INDEX(Workforce!$J$2:$J$151,MATCH(INDEX(FTE_Allocation!$A$2:$A$201,$AB817),Workforce!$A$2:$A$151,0))="",2958101,INDEX(Workforce!$J$2:$J$151,MATCH(INDEX(FTE_Allocation!$A$2:$A$201,$AB817),Workforce!$A$2:$A$151,0))),IF(INDEX(FTE_Allocation!$J$2:$J$201,$AB817)="",2958101,INDEX(FTE_Allocation!$J$2:$J$201,$AB817))),"")))</f>
        <v/>
      </c>
      <c r="AG817" s="19">
        <f>IF($Z817="C",IF(INDEX(Contracts!$I$2:$I$151,$AB817)="PREPAID",INDEX(Contracts!$M$2:$M$151,$AB817)/IF(INDEX(Contracts!$N$2:$N$151,$AB817)="",12,INDEX(Contracts!$N$2:$N$151,$AB817)),IF(INDEX(Contracts!$I$2:$I$151,$AB817)="MONTHLY",INDEX(Contracts!$M$2:$M$151,$AB817),0))*(1-N(INDEX(Contracts!$O$2:$O$151,$AB817))),IF($Z817="A",INDEX(Fixed_Assets!$H$2:$H$201,$AB817)/INDEX(Fixed_Assets!$J$2:$J$201,$AB817),IF($Z817="F",INDEX(Workforce!$F$2:$F$151,MATCH(INDEX(FTE_Allocation!$A$2:$A$201,$AB817),Workforce!$A$2:$A$151,0))*N(INDEX(FTE_Allocation!$F$2:$H$201,$AB817,$AC817)),"")))</f>
        <v/>
      </c>
    </row>
    <row r="818">
      <c r="A818" s="7">
        <f>IF($Z818="","",$AD818)</f>
        <v/>
      </c>
      <c r="B818" s="7">
        <f>IF($Z818="C",INDEX(Contracts!$D$2:$D$151,$AB818)&amp;"",IF($Z818="A",INDEX(Fixed_Assets!$C$2:$C$201,$AB818)&amp;"",IF($Z818="F",INDEX(Workforce!$B$2:$B$151,MATCH(INDEX(FTE_Allocation!$A$2:$A$201,$AB818),Workforce!$A$2:$A$151,0))&amp;"","")))</f>
        <v/>
      </c>
      <c r="C818" s="7">
        <f>IF($Z818="C",INDEX(Contracts!$E$2:$E$151,$AB818)&amp;"",IF($Z818="A",INDEX(Fixed_Assets!$D$2:$D$201,$AB818)&amp;"",IF($Z818="F",INDEX(FTE_Allocation!$C$2:$C$201,$AB818)&amp;"","")))</f>
        <v/>
      </c>
      <c r="D818" s="7">
        <f>IF($Z818="C",INDEX(Contracts!$B$2:$B$151,$AB818)&amp;"",IF($Z818="A",INDEX(Fixed_Assets!$B$2:$B$201,$AB818)&amp;"",IF($Z818="F",INDEX(FTE_Allocation!$B$2:$B$201,$AB818)&amp;"","")))</f>
        <v/>
      </c>
      <c r="E818" s="7">
        <f>IF($Z818="C",INDEX(Contracts!$P$2:$P$151,$AB818)&amp;"",IF($Z818="A",INDEX(Fixed_Assets!$K$2:$K$201,$AB818)&amp;"",IF($Z818="F",IF(INDEX(FTE_Allocation!$D$2:$D$201,$AB818)="PROJECT",IFERROR(INDEX(Projects!$D:$D,MATCH(INDEX(FTE_Allocation!$E$2:$E$201,$AB818),Projects!$A:$A,0))&amp;"","#PROJECT?"),INDEX(FTE_Allocation!$E$2:$E$201,$AB818)&amp;""),"")))</f>
        <v/>
      </c>
      <c r="F818" s="7">
        <f>IF($Z818="C",INDEX(Contracts!$Q$2:$Q$151,$AB818)&amp;"",IF($Z818="A",INDEX(Fixed_Assets!$L$2:$L$201,$AB818)&amp;"",IF($Z818="F",INDEX(Workforce!$K$2:$K$151,MATCH(INDEX(FTE_Allocation!$A$2:$A$201,$AB818),Workforce!$A$2:$A$151,0))&amp;"","")))</f>
        <v/>
      </c>
      <c r="G818" s="7">
        <f>IF($Z818="C",INDEX(Contracts!$F$2:$F$151,$AB818)&amp;" / "&amp;INDEX(Contracts!$G$2:$G$151,$AB818),IF($Z818="A",INDEX(Fixed_Assets!$E$2:$E$201,$AB818)&amp;"",IF($Z818="F","Personnel "&amp;INDEX(FTE_Allocation!$A$2:$A$201,$AB818)&amp;IF(INDEX(FTE_Allocation!$D$2:$D$201,$AB818)="PROJECT"," ("&amp;INDEX(FTE_Allocation!$E$2:$E$201,$AB818)&amp;")",""),"")))</f>
        <v/>
      </c>
      <c r="H818" s="7">
        <f>IF($Z818="C","CONTRACT",IF($Z818="A","ASSET",IF($Z818="F","WORKFORCE","")))</f>
        <v/>
      </c>
      <c r="I818" s="7">
        <f>IF($Z818="C",INDEX(Contracts!$L$2:$L$151,$AB818)&amp;"",IF($Z818="A",INDEX(Fixed_Assets!$I$2:$I$201,$AB818)&amp;"",IF($Z818="F",INDEX(Workforce!$G$2:$G$151,MATCH(INDEX(FTE_Allocation!$A$2:$A$201,$AB818),Workforce!$A$2:$A$151,0))&amp;"","")))</f>
        <v/>
      </c>
      <c r="J818" s="18">
        <f>IF($Z818="","",IF(AND(DATE($AD818,1,1)&gt;=$AE818,DATE($AD818,1,1)&lt;=$AF818),ROUND($AG818,2),0))</f>
        <v/>
      </c>
      <c r="K818" s="18">
        <f>IF($Z818="","",IF(AND(DATE($AD818,2,1)&gt;=$AE818,DATE($AD818,2,1)&lt;=$AF818),ROUND($AG818,2),0))</f>
        <v/>
      </c>
      <c r="L818" s="18">
        <f>IF($Z818="","",IF(AND(DATE($AD818,3,1)&gt;=$AE818,DATE($AD818,3,1)&lt;=$AF818),ROUND($AG818,2),0))</f>
        <v/>
      </c>
      <c r="M818" s="18">
        <f>IF($Z818="","",IF(AND(DATE($AD818,4,1)&gt;=$AE818,DATE($AD818,4,1)&lt;=$AF818),ROUND($AG818,2),0))</f>
        <v/>
      </c>
      <c r="N818" s="18">
        <f>IF($Z818="","",IF(AND(DATE($AD818,5,1)&gt;=$AE818,DATE($AD818,5,1)&lt;=$AF818),ROUND($AG818,2),0))</f>
        <v/>
      </c>
      <c r="O818" s="18">
        <f>IF($Z818="","",IF(AND(DATE($AD818,6,1)&gt;=$AE818,DATE($AD818,6,1)&lt;=$AF818),ROUND($AG818,2),0))</f>
        <v/>
      </c>
      <c r="P818" s="18">
        <f>IF($Z818="","",IF(AND(DATE($AD818,7,1)&gt;=$AE818,DATE($AD818,7,1)&lt;=$AF818),ROUND($AG818,2),0))</f>
        <v/>
      </c>
      <c r="Q818" s="18">
        <f>IF($Z818="","",IF(AND(DATE($AD818,8,1)&gt;=$AE818,DATE($AD818,8,1)&lt;=$AF818),ROUND($AG818,2),0))</f>
        <v/>
      </c>
      <c r="R818" s="18">
        <f>IF($Z818="","",IF(AND(DATE($AD818,9,1)&gt;=$AE818,DATE($AD818,9,1)&lt;=$AF818),ROUND($AG818,2),0))</f>
        <v/>
      </c>
      <c r="S818" s="18">
        <f>IF($Z818="","",IF(AND(DATE($AD818,10,1)&gt;=$AE818,DATE($AD818,10,1)&lt;=$AF818),ROUND($AG818,2),0))</f>
        <v/>
      </c>
      <c r="T818" s="18">
        <f>IF($Z818="","",IF(AND(DATE($AD818,11,1)&gt;=$AE818,DATE($AD818,11,1)&lt;=$AF818),ROUND($AG818,2),0))</f>
        <v/>
      </c>
      <c r="U818" s="18">
        <f>IF($Z818="","",IF(AND(DATE($AD818,12,1)&gt;=$AE818,DATE($AD818,12,1)&lt;=$AF818),ROUND($AG818,2),0))</f>
        <v/>
      </c>
      <c r="V818" s="7">
        <f>IF($Z818="C","Generated from "&amp;INDEX(Contracts!$A$2:$A$151,$AB818),IF($Z818="A","Generated from "&amp;INDEX(Fixed_Assets!$A$2:$A$201,$AB818),IF($Z818="F","Generated from "&amp;INDEX(FTE_Allocation!$A$2:$A$201,$AB818),"")))</f>
        <v/>
      </c>
      <c r="X818" s="19">
        <f>IF($Z818="","",SUM(J818:U818))</f>
        <v/>
      </c>
      <c r="Y818" s="20">
        <f>ROW()-1</f>
        <v/>
      </c>
      <c r="Z818" s="20">
        <f>IF($Y818&lt;=Settings!$B$4*3,"C",IF($Y818&lt;=(Settings!$B$4+Settings!$B$5)*3,"A",IF($Y818&lt;=(Settings!$B$4+Settings!$B$5+Settings!$B$6)*3,"F","")))</f>
        <v/>
      </c>
      <c r="AA818" s="20">
        <f>IF($Z818="C",$Y818,IF($Z818="A",$Y818-Settings!$B$4*3,IF($Z818="F",$Y818-(Settings!$B$4+Settings!$B$5)*3,"")))</f>
        <v/>
      </c>
      <c r="AB818" s="20">
        <f>IF($Z818="","",INT(($AA818-1)/3)+1)</f>
        <v/>
      </c>
      <c r="AC818" s="20">
        <f>IF($Z818="","",MOD($AA818-1,3)+1)</f>
        <v/>
      </c>
      <c r="AD818" s="20">
        <f>IF($Z818="","",Settings!$B$2+$AC818-1)</f>
        <v/>
      </c>
      <c r="AE818" s="21">
        <f>IF($Z818="C",DATE(YEAR(INDEX(Contracts!$J$2:$J$151,$AB818)),MONTH(INDEX(Contracts!$J$2:$J$151,$AB818)),1),IF($Z818="A",DATE(YEAR(INDEX(Fixed_Assets!$G$2:$G$201,$AB818)),MONTH(INDEX(Fixed_Assets!$G$2:$G$201,$AB818)),1),IF($Z818="F",DATE(YEAR(MAX(N(INDEX(Workforce!$I$2:$I$151,MATCH(INDEX(FTE_Allocation!$A$2:$A$201,$AB818),Workforce!$A$2:$A$151,0))),N(INDEX(FTE_Allocation!$I$2:$I$201,$AB818)))),MONTH(MAX(N(INDEX(Workforce!$I$2:$I$151,MATCH(INDEX(FTE_Allocation!$A$2:$A$201,$AB818),Workforce!$A$2:$A$151,0))),N(INDEX(FTE_Allocation!$I$2:$I$201,$AB818)))),1),"")))</f>
        <v/>
      </c>
      <c r="AF818" s="21">
        <f>IF($Z818="C",IF(INDEX(Contracts!$I$2:$I$151,$AB818)="PREPAID",EDATE(DATE(YEAR(INDEX(Contracts!$J$2:$J$151,$AB818)),MONTH(INDEX(Contracts!$J$2:$J$151,$AB818)),1),IF(INDEX(Contracts!$N$2:$N$151,$AB818)="",12,INDEX(Contracts!$N$2:$N$151,$AB818))-1),IF(INDEX(Contracts!$I$2:$I$151,$AB818)="MONTHLY",IF(INDEX(Contracts!$K$2:$K$151,$AB818)="",2958101,INDEX(Contracts!$K$2:$K$151,$AB818)),0)),IF($Z818="A",EDATE(DATE(YEAR(INDEX(Fixed_Assets!$G$2:$G$201,$AB818)),MONTH(INDEX(Fixed_Assets!$G$2:$G$201,$AB818)),1),INDEX(Fixed_Assets!$J$2:$J$201,$AB818)-1),IF($Z818="F",MIN(IF(INDEX(Workforce!$J$2:$J$151,MATCH(INDEX(FTE_Allocation!$A$2:$A$201,$AB818),Workforce!$A$2:$A$151,0))="",2958101,INDEX(Workforce!$J$2:$J$151,MATCH(INDEX(FTE_Allocation!$A$2:$A$201,$AB818),Workforce!$A$2:$A$151,0))),IF(INDEX(FTE_Allocation!$J$2:$J$201,$AB818)="",2958101,INDEX(FTE_Allocation!$J$2:$J$201,$AB818))),"")))</f>
        <v/>
      </c>
      <c r="AG818" s="19">
        <f>IF($Z818="C",IF(INDEX(Contracts!$I$2:$I$151,$AB818)="PREPAID",INDEX(Contracts!$M$2:$M$151,$AB818)/IF(INDEX(Contracts!$N$2:$N$151,$AB818)="",12,INDEX(Contracts!$N$2:$N$151,$AB818)),IF(INDEX(Contracts!$I$2:$I$151,$AB818)="MONTHLY",INDEX(Contracts!$M$2:$M$151,$AB818),0))*(1-N(INDEX(Contracts!$O$2:$O$151,$AB818))),IF($Z818="A",INDEX(Fixed_Assets!$H$2:$H$201,$AB818)/INDEX(Fixed_Assets!$J$2:$J$201,$AB818),IF($Z818="F",INDEX(Workforce!$F$2:$F$151,MATCH(INDEX(FTE_Allocation!$A$2:$A$201,$AB818),Workforce!$A$2:$A$151,0))*N(INDEX(FTE_Allocation!$F$2:$H$201,$AB818,$AC818)),"")))</f>
        <v/>
      </c>
    </row>
    <row r="819">
      <c r="A819" s="7">
        <f>IF($Z819="","",$AD819)</f>
        <v/>
      </c>
      <c r="B819" s="7">
        <f>IF($Z819="C",INDEX(Contracts!$D$2:$D$151,$AB819)&amp;"",IF($Z819="A",INDEX(Fixed_Assets!$C$2:$C$201,$AB819)&amp;"",IF($Z819="F",INDEX(Workforce!$B$2:$B$151,MATCH(INDEX(FTE_Allocation!$A$2:$A$201,$AB819),Workforce!$A$2:$A$151,0))&amp;"","")))</f>
        <v/>
      </c>
      <c r="C819" s="7">
        <f>IF($Z819="C",INDEX(Contracts!$E$2:$E$151,$AB819)&amp;"",IF($Z819="A",INDEX(Fixed_Assets!$D$2:$D$201,$AB819)&amp;"",IF($Z819="F",INDEX(FTE_Allocation!$C$2:$C$201,$AB819)&amp;"","")))</f>
        <v/>
      </c>
      <c r="D819" s="7">
        <f>IF($Z819="C",INDEX(Contracts!$B$2:$B$151,$AB819)&amp;"",IF($Z819="A",INDEX(Fixed_Assets!$B$2:$B$201,$AB819)&amp;"",IF($Z819="F",INDEX(FTE_Allocation!$B$2:$B$201,$AB819)&amp;"","")))</f>
        <v/>
      </c>
      <c r="E819" s="7">
        <f>IF($Z819="C",INDEX(Contracts!$P$2:$P$151,$AB819)&amp;"",IF($Z819="A",INDEX(Fixed_Assets!$K$2:$K$201,$AB819)&amp;"",IF($Z819="F",IF(INDEX(FTE_Allocation!$D$2:$D$201,$AB819)="PROJECT",IFERROR(INDEX(Projects!$D:$D,MATCH(INDEX(FTE_Allocation!$E$2:$E$201,$AB819),Projects!$A:$A,0))&amp;"","#PROJECT?"),INDEX(FTE_Allocation!$E$2:$E$201,$AB819)&amp;""),"")))</f>
        <v/>
      </c>
      <c r="F819" s="7">
        <f>IF($Z819="C",INDEX(Contracts!$Q$2:$Q$151,$AB819)&amp;"",IF($Z819="A",INDEX(Fixed_Assets!$L$2:$L$201,$AB819)&amp;"",IF($Z819="F",INDEX(Workforce!$K$2:$K$151,MATCH(INDEX(FTE_Allocation!$A$2:$A$201,$AB819),Workforce!$A$2:$A$151,0))&amp;"","")))</f>
        <v/>
      </c>
      <c r="G819" s="7">
        <f>IF($Z819="C",INDEX(Contracts!$F$2:$F$151,$AB819)&amp;" / "&amp;INDEX(Contracts!$G$2:$G$151,$AB819),IF($Z819="A",INDEX(Fixed_Assets!$E$2:$E$201,$AB819)&amp;"",IF($Z819="F","Personnel "&amp;INDEX(FTE_Allocation!$A$2:$A$201,$AB819)&amp;IF(INDEX(FTE_Allocation!$D$2:$D$201,$AB819)="PROJECT"," ("&amp;INDEX(FTE_Allocation!$E$2:$E$201,$AB819)&amp;")",""),"")))</f>
        <v/>
      </c>
      <c r="H819" s="7">
        <f>IF($Z819="C","CONTRACT",IF($Z819="A","ASSET",IF($Z819="F","WORKFORCE","")))</f>
        <v/>
      </c>
      <c r="I819" s="7">
        <f>IF($Z819="C",INDEX(Contracts!$L$2:$L$151,$AB819)&amp;"",IF($Z819="A",INDEX(Fixed_Assets!$I$2:$I$201,$AB819)&amp;"",IF($Z819="F",INDEX(Workforce!$G$2:$G$151,MATCH(INDEX(FTE_Allocation!$A$2:$A$201,$AB819),Workforce!$A$2:$A$151,0))&amp;"","")))</f>
        <v/>
      </c>
      <c r="J819" s="18">
        <f>IF($Z819="","",IF(AND(DATE($AD819,1,1)&gt;=$AE819,DATE($AD819,1,1)&lt;=$AF819),ROUND($AG819,2),0))</f>
        <v/>
      </c>
      <c r="K819" s="18">
        <f>IF($Z819="","",IF(AND(DATE($AD819,2,1)&gt;=$AE819,DATE($AD819,2,1)&lt;=$AF819),ROUND($AG819,2),0))</f>
        <v/>
      </c>
      <c r="L819" s="18">
        <f>IF($Z819="","",IF(AND(DATE($AD819,3,1)&gt;=$AE819,DATE($AD819,3,1)&lt;=$AF819),ROUND($AG819,2),0))</f>
        <v/>
      </c>
      <c r="M819" s="18">
        <f>IF($Z819="","",IF(AND(DATE($AD819,4,1)&gt;=$AE819,DATE($AD819,4,1)&lt;=$AF819),ROUND($AG819,2),0))</f>
        <v/>
      </c>
      <c r="N819" s="18">
        <f>IF($Z819="","",IF(AND(DATE($AD819,5,1)&gt;=$AE819,DATE($AD819,5,1)&lt;=$AF819),ROUND($AG819,2),0))</f>
        <v/>
      </c>
      <c r="O819" s="18">
        <f>IF($Z819="","",IF(AND(DATE($AD819,6,1)&gt;=$AE819,DATE($AD819,6,1)&lt;=$AF819),ROUND($AG819,2),0))</f>
        <v/>
      </c>
      <c r="P819" s="18">
        <f>IF($Z819="","",IF(AND(DATE($AD819,7,1)&gt;=$AE819,DATE($AD819,7,1)&lt;=$AF819),ROUND($AG819,2),0))</f>
        <v/>
      </c>
      <c r="Q819" s="18">
        <f>IF($Z819="","",IF(AND(DATE($AD819,8,1)&gt;=$AE819,DATE($AD819,8,1)&lt;=$AF819),ROUND($AG819,2),0))</f>
        <v/>
      </c>
      <c r="R819" s="18">
        <f>IF($Z819="","",IF(AND(DATE($AD819,9,1)&gt;=$AE819,DATE($AD819,9,1)&lt;=$AF819),ROUND($AG819,2),0))</f>
        <v/>
      </c>
      <c r="S819" s="18">
        <f>IF($Z819="","",IF(AND(DATE($AD819,10,1)&gt;=$AE819,DATE($AD819,10,1)&lt;=$AF819),ROUND($AG819,2),0))</f>
        <v/>
      </c>
      <c r="T819" s="18">
        <f>IF($Z819="","",IF(AND(DATE($AD819,11,1)&gt;=$AE819,DATE($AD819,11,1)&lt;=$AF819),ROUND($AG819,2),0))</f>
        <v/>
      </c>
      <c r="U819" s="18">
        <f>IF($Z819="","",IF(AND(DATE($AD819,12,1)&gt;=$AE819,DATE($AD819,12,1)&lt;=$AF819),ROUND($AG819,2),0))</f>
        <v/>
      </c>
      <c r="V819" s="7">
        <f>IF($Z819="C","Generated from "&amp;INDEX(Contracts!$A$2:$A$151,$AB819),IF($Z819="A","Generated from "&amp;INDEX(Fixed_Assets!$A$2:$A$201,$AB819),IF($Z819="F","Generated from "&amp;INDEX(FTE_Allocation!$A$2:$A$201,$AB819),"")))</f>
        <v/>
      </c>
      <c r="X819" s="19">
        <f>IF($Z819="","",SUM(J819:U819))</f>
        <v/>
      </c>
      <c r="Y819" s="20">
        <f>ROW()-1</f>
        <v/>
      </c>
      <c r="Z819" s="20">
        <f>IF($Y819&lt;=Settings!$B$4*3,"C",IF($Y819&lt;=(Settings!$B$4+Settings!$B$5)*3,"A",IF($Y819&lt;=(Settings!$B$4+Settings!$B$5+Settings!$B$6)*3,"F","")))</f>
        <v/>
      </c>
      <c r="AA819" s="20">
        <f>IF($Z819="C",$Y819,IF($Z819="A",$Y819-Settings!$B$4*3,IF($Z819="F",$Y819-(Settings!$B$4+Settings!$B$5)*3,"")))</f>
        <v/>
      </c>
      <c r="AB819" s="20">
        <f>IF($Z819="","",INT(($AA819-1)/3)+1)</f>
        <v/>
      </c>
      <c r="AC819" s="20">
        <f>IF($Z819="","",MOD($AA819-1,3)+1)</f>
        <v/>
      </c>
      <c r="AD819" s="20">
        <f>IF($Z819="","",Settings!$B$2+$AC819-1)</f>
        <v/>
      </c>
      <c r="AE819" s="21">
        <f>IF($Z819="C",DATE(YEAR(INDEX(Contracts!$J$2:$J$151,$AB819)),MONTH(INDEX(Contracts!$J$2:$J$151,$AB819)),1),IF($Z819="A",DATE(YEAR(INDEX(Fixed_Assets!$G$2:$G$201,$AB819)),MONTH(INDEX(Fixed_Assets!$G$2:$G$201,$AB819)),1),IF($Z819="F",DATE(YEAR(MAX(N(INDEX(Workforce!$I$2:$I$151,MATCH(INDEX(FTE_Allocation!$A$2:$A$201,$AB819),Workforce!$A$2:$A$151,0))),N(INDEX(FTE_Allocation!$I$2:$I$201,$AB819)))),MONTH(MAX(N(INDEX(Workforce!$I$2:$I$151,MATCH(INDEX(FTE_Allocation!$A$2:$A$201,$AB819),Workforce!$A$2:$A$151,0))),N(INDEX(FTE_Allocation!$I$2:$I$201,$AB819)))),1),"")))</f>
        <v/>
      </c>
      <c r="AF819" s="21">
        <f>IF($Z819="C",IF(INDEX(Contracts!$I$2:$I$151,$AB819)="PREPAID",EDATE(DATE(YEAR(INDEX(Contracts!$J$2:$J$151,$AB819)),MONTH(INDEX(Contracts!$J$2:$J$151,$AB819)),1),IF(INDEX(Contracts!$N$2:$N$151,$AB819)="",12,INDEX(Contracts!$N$2:$N$151,$AB819))-1),IF(INDEX(Contracts!$I$2:$I$151,$AB819)="MONTHLY",IF(INDEX(Contracts!$K$2:$K$151,$AB819)="",2958101,INDEX(Contracts!$K$2:$K$151,$AB819)),0)),IF($Z819="A",EDATE(DATE(YEAR(INDEX(Fixed_Assets!$G$2:$G$201,$AB819)),MONTH(INDEX(Fixed_Assets!$G$2:$G$201,$AB819)),1),INDEX(Fixed_Assets!$J$2:$J$201,$AB819)-1),IF($Z819="F",MIN(IF(INDEX(Workforce!$J$2:$J$151,MATCH(INDEX(FTE_Allocation!$A$2:$A$201,$AB819),Workforce!$A$2:$A$151,0))="",2958101,INDEX(Workforce!$J$2:$J$151,MATCH(INDEX(FTE_Allocation!$A$2:$A$201,$AB819),Workforce!$A$2:$A$151,0))),IF(INDEX(FTE_Allocation!$J$2:$J$201,$AB819)="",2958101,INDEX(FTE_Allocation!$J$2:$J$201,$AB819))),"")))</f>
        <v/>
      </c>
      <c r="AG819" s="19">
        <f>IF($Z819="C",IF(INDEX(Contracts!$I$2:$I$151,$AB819)="PREPAID",INDEX(Contracts!$M$2:$M$151,$AB819)/IF(INDEX(Contracts!$N$2:$N$151,$AB819)="",12,INDEX(Contracts!$N$2:$N$151,$AB819)),IF(INDEX(Contracts!$I$2:$I$151,$AB819)="MONTHLY",INDEX(Contracts!$M$2:$M$151,$AB819),0))*(1-N(INDEX(Contracts!$O$2:$O$151,$AB819))),IF($Z819="A",INDEX(Fixed_Assets!$H$2:$H$201,$AB819)/INDEX(Fixed_Assets!$J$2:$J$201,$AB819),IF($Z819="F",INDEX(Workforce!$F$2:$F$151,MATCH(INDEX(FTE_Allocation!$A$2:$A$201,$AB819),Workforce!$A$2:$A$151,0))*N(INDEX(FTE_Allocation!$F$2:$H$201,$AB819,$AC819)),"")))</f>
        <v/>
      </c>
    </row>
    <row r="820">
      <c r="A820" s="7">
        <f>IF($Z820="","",$AD820)</f>
        <v/>
      </c>
      <c r="B820" s="7">
        <f>IF($Z820="C",INDEX(Contracts!$D$2:$D$151,$AB820)&amp;"",IF($Z820="A",INDEX(Fixed_Assets!$C$2:$C$201,$AB820)&amp;"",IF($Z820="F",INDEX(Workforce!$B$2:$B$151,MATCH(INDEX(FTE_Allocation!$A$2:$A$201,$AB820),Workforce!$A$2:$A$151,0))&amp;"","")))</f>
        <v/>
      </c>
      <c r="C820" s="7">
        <f>IF($Z820="C",INDEX(Contracts!$E$2:$E$151,$AB820)&amp;"",IF($Z820="A",INDEX(Fixed_Assets!$D$2:$D$201,$AB820)&amp;"",IF($Z820="F",INDEX(FTE_Allocation!$C$2:$C$201,$AB820)&amp;"","")))</f>
        <v/>
      </c>
      <c r="D820" s="7">
        <f>IF($Z820="C",INDEX(Contracts!$B$2:$B$151,$AB820)&amp;"",IF($Z820="A",INDEX(Fixed_Assets!$B$2:$B$201,$AB820)&amp;"",IF($Z820="F",INDEX(FTE_Allocation!$B$2:$B$201,$AB820)&amp;"","")))</f>
        <v/>
      </c>
      <c r="E820" s="7">
        <f>IF($Z820="C",INDEX(Contracts!$P$2:$P$151,$AB820)&amp;"",IF($Z820="A",INDEX(Fixed_Assets!$K$2:$K$201,$AB820)&amp;"",IF($Z820="F",IF(INDEX(FTE_Allocation!$D$2:$D$201,$AB820)="PROJECT",IFERROR(INDEX(Projects!$D:$D,MATCH(INDEX(FTE_Allocation!$E$2:$E$201,$AB820),Projects!$A:$A,0))&amp;"","#PROJECT?"),INDEX(FTE_Allocation!$E$2:$E$201,$AB820)&amp;""),"")))</f>
        <v/>
      </c>
      <c r="F820" s="7">
        <f>IF($Z820="C",INDEX(Contracts!$Q$2:$Q$151,$AB820)&amp;"",IF($Z820="A",INDEX(Fixed_Assets!$L$2:$L$201,$AB820)&amp;"",IF($Z820="F",INDEX(Workforce!$K$2:$K$151,MATCH(INDEX(FTE_Allocation!$A$2:$A$201,$AB820),Workforce!$A$2:$A$151,0))&amp;"","")))</f>
        <v/>
      </c>
      <c r="G820" s="7">
        <f>IF($Z820="C",INDEX(Contracts!$F$2:$F$151,$AB820)&amp;" / "&amp;INDEX(Contracts!$G$2:$G$151,$AB820),IF($Z820="A",INDEX(Fixed_Assets!$E$2:$E$201,$AB820)&amp;"",IF($Z820="F","Personnel "&amp;INDEX(FTE_Allocation!$A$2:$A$201,$AB820)&amp;IF(INDEX(FTE_Allocation!$D$2:$D$201,$AB820)="PROJECT"," ("&amp;INDEX(FTE_Allocation!$E$2:$E$201,$AB820)&amp;")",""),"")))</f>
        <v/>
      </c>
      <c r="H820" s="7">
        <f>IF($Z820="C","CONTRACT",IF($Z820="A","ASSET",IF($Z820="F","WORKFORCE","")))</f>
        <v/>
      </c>
      <c r="I820" s="7">
        <f>IF($Z820="C",INDEX(Contracts!$L$2:$L$151,$AB820)&amp;"",IF($Z820="A",INDEX(Fixed_Assets!$I$2:$I$201,$AB820)&amp;"",IF($Z820="F",INDEX(Workforce!$G$2:$G$151,MATCH(INDEX(FTE_Allocation!$A$2:$A$201,$AB820),Workforce!$A$2:$A$151,0))&amp;"","")))</f>
        <v/>
      </c>
      <c r="J820" s="18">
        <f>IF($Z820="","",IF(AND(DATE($AD820,1,1)&gt;=$AE820,DATE($AD820,1,1)&lt;=$AF820),ROUND($AG820,2),0))</f>
        <v/>
      </c>
      <c r="K820" s="18">
        <f>IF($Z820="","",IF(AND(DATE($AD820,2,1)&gt;=$AE820,DATE($AD820,2,1)&lt;=$AF820),ROUND($AG820,2),0))</f>
        <v/>
      </c>
      <c r="L820" s="18">
        <f>IF($Z820="","",IF(AND(DATE($AD820,3,1)&gt;=$AE820,DATE($AD820,3,1)&lt;=$AF820),ROUND($AG820,2),0))</f>
        <v/>
      </c>
      <c r="M820" s="18">
        <f>IF($Z820="","",IF(AND(DATE($AD820,4,1)&gt;=$AE820,DATE($AD820,4,1)&lt;=$AF820),ROUND($AG820,2),0))</f>
        <v/>
      </c>
      <c r="N820" s="18">
        <f>IF($Z820="","",IF(AND(DATE($AD820,5,1)&gt;=$AE820,DATE($AD820,5,1)&lt;=$AF820),ROUND($AG820,2),0))</f>
        <v/>
      </c>
      <c r="O820" s="18">
        <f>IF($Z820="","",IF(AND(DATE($AD820,6,1)&gt;=$AE820,DATE($AD820,6,1)&lt;=$AF820),ROUND($AG820,2),0))</f>
        <v/>
      </c>
      <c r="P820" s="18">
        <f>IF($Z820="","",IF(AND(DATE($AD820,7,1)&gt;=$AE820,DATE($AD820,7,1)&lt;=$AF820),ROUND($AG820,2),0))</f>
        <v/>
      </c>
      <c r="Q820" s="18">
        <f>IF($Z820="","",IF(AND(DATE($AD820,8,1)&gt;=$AE820,DATE($AD820,8,1)&lt;=$AF820),ROUND($AG820,2),0))</f>
        <v/>
      </c>
      <c r="R820" s="18">
        <f>IF($Z820="","",IF(AND(DATE($AD820,9,1)&gt;=$AE820,DATE($AD820,9,1)&lt;=$AF820),ROUND($AG820,2),0))</f>
        <v/>
      </c>
      <c r="S820" s="18">
        <f>IF($Z820="","",IF(AND(DATE($AD820,10,1)&gt;=$AE820,DATE($AD820,10,1)&lt;=$AF820),ROUND($AG820,2),0))</f>
        <v/>
      </c>
      <c r="T820" s="18">
        <f>IF($Z820="","",IF(AND(DATE($AD820,11,1)&gt;=$AE820,DATE($AD820,11,1)&lt;=$AF820),ROUND($AG820,2),0))</f>
        <v/>
      </c>
      <c r="U820" s="18">
        <f>IF($Z820="","",IF(AND(DATE($AD820,12,1)&gt;=$AE820,DATE($AD820,12,1)&lt;=$AF820),ROUND($AG820,2),0))</f>
        <v/>
      </c>
      <c r="V820" s="7">
        <f>IF($Z820="C","Generated from "&amp;INDEX(Contracts!$A$2:$A$151,$AB820),IF($Z820="A","Generated from "&amp;INDEX(Fixed_Assets!$A$2:$A$201,$AB820),IF($Z820="F","Generated from "&amp;INDEX(FTE_Allocation!$A$2:$A$201,$AB820),"")))</f>
        <v/>
      </c>
      <c r="X820" s="19">
        <f>IF($Z820="","",SUM(J820:U820))</f>
        <v/>
      </c>
      <c r="Y820" s="20">
        <f>ROW()-1</f>
        <v/>
      </c>
      <c r="Z820" s="20">
        <f>IF($Y820&lt;=Settings!$B$4*3,"C",IF($Y820&lt;=(Settings!$B$4+Settings!$B$5)*3,"A",IF($Y820&lt;=(Settings!$B$4+Settings!$B$5+Settings!$B$6)*3,"F","")))</f>
        <v/>
      </c>
      <c r="AA820" s="20">
        <f>IF($Z820="C",$Y820,IF($Z820="A",$Y820-Settings!$B$4*3,IF($Z820="F",$Y820-(Settings!$B$4+Settings!$B$5)*3,"")))</f>
        <v/>
      </c>
      <c r="AB820" s="20">
        <f>IF($Z820="","",INT(($AA820-1)/3)+1)</f>
        <v/>
      </c>
      <c r="AC820" s="20">
        <f>IF($Z820="","",MOD($AA820-1,3)+1)</f>
        <v/>
      </c>
      <c r="AD820" s="20">
        <f>IF($Z820="","",Settings!$B$2+$AC820-1)</f>
        <v/>
      </c>
      <c r="AE820" s="21">
        <f>IF($Z820="C",DATE(YEAR(INDEX(Contracts!$J$2:$J$151,$AB820)),MONTH(INDEX(Contracts!$J$2:$J$151,$AB820)),1),IF($Z820="A",DATE(YEAR(INDEX(Fixed_Assets!$G$2:$G$201,$AB820)),MONTH(INDEX(Fixed_Assets!$G$2:$G$201,$AB820)),1),IF($Z820="F",DATE(YEAR(MAX(N(INDEX(Workforce!$I$2:$I$151,MATCH(INDEX(FTE_Allocation!$A$2:$A$201,$AB820),Workforce!$A$2:$A$151,0))),N(INDEX(FTE_Allocation!$I$2:$I$201,$AB820)))),MONTH(MAX(N(INDEX(Workforce!$I$2:$I$151,MATCH(INDEX(FTE_Allocation!$A$2:$A$201,$AB820),Workforce!$A$2:$A$151,0))),N(INDEX(FTE_Allocation!$I$2:$I$201,$AB820)))),1),"")))</f>
        <v/>
      </c>
      <c r="AF820" s="21">
        <f>IF($Z820="C",IF(INDEX(Contracts!$I$2:$I$151,$AB820)="PREPAID",EDATE(DATE(YEAR(INDEX(Contracts!$J$2:$J$151,$AB820)),MONTH(INDEX(Contracts!$J$2:$J$151,$AB820)),1),IF(INDEX(Contracts!$N$2:$N$151,$AB820)="",12,INDEX(Contracts!$N$2:$N$151,$AB820))-1),IF(INDEX(Contracts!$I$2:$I$151,$AB820)="MONTHLY",IF(INDEX(Contracts!$K$2:$K$151,$AB820)="",2958101,INDEX(Contracts!$K$2:$K$151,$AB820)),0)),IF($Z820="A",EDATE(DATE(YEAR(INDEX(Fixed_Assets!$G$2:$G$201,$AB820)),MONTH(INDEX(Fixed_Assets!$G$2:$G$201,$AB820)),1),INDEX(Fixed_Assets!$J$2:$J$201,$AB820)-1),IF($Z820="F",MIN(IF(INDEX(Workforce!$J$2:$J$151,MATCH(INDEX(FTE_Allocation!$A$2:$A$201,$AB820),Workforce!$A$2:$A$151,0))="",2958101,INDEX(Workforce!$J$2:$J$151,MATCH(INDEX(FTE_Allocation!$A$2:$A$201,$AB820),Workforce!$A$2:$A$151,0))),IF(INDEX(FTE_Allocation!$J$2:$J$201,$AB820)="",2958101,INDEX(FTE_Allocation!$J$2:$J$201,$AB820))),"")))</f>
        <v/>
      </c>
      <c r="AG820" s="19">
        <f>IF($Z820="C",IF(INDEX(Contracts!$I$2:$I$151,$AB820)="PREPAID",INDEX(Contracts!$M$2:$M$151,$AB820)/IF(INDEX(Contracts!$N$2:$N$151,$AB820)="",12,INDEX(Contracts!$N$2:$N$151,$AB820)),IF(INDEX(Contracts!$I$2:$I$151,$AB820)="MONTHLY",INDEX(Contracts!$M$2:$M$151,$AB820),0))*(1-N(INDEX(Contracts!$O$2:$O$151,$AB820))),IF($Z820="A",INDEX(Fixed_Assets!$H$2:$H$201,$AB820)/INDEX(Fixed_Assets!$J$2:$J$201,$AB820),IF($Z820="F",INDEX(Workforce!$F$2:$F$151,MATCH(INDEX(FTE_Allocation!$A$2:$A$201,$AB820),Workforce!$A$2:$A$151,0))*N(INDEX(FTE_Allocation!$F$2:$H$201,$AB820,$AC820)),"")))</f>
        <v/>
      </c>
    </row>
    <row r="821">
      <c r="A821" s="7">
        <f>IF($Z821="","",$AD821)</f>
        <v/>
      </c>
      <c r="B821" s="7">
        <f>IF($Z821="C",INDEX(Contracts!$D$2:$D$151,$AB821)&amp;"",IF($Z821="A",INDEX(Fixed_Assets!$C$2:$C$201,$AB821)&amp;"",IF($Z821="F",INDEX(Workforce!$B$2:$B$151,MATCH(INDEX(FTE_Allocation!$A$2:$A$201,$AB821),Workforce!$A$2:$A$151,0))&amp;"","")))</f>
        <v/>
      </c>
      <c r="C821" s="7">
        <f>IF($Z821="C",INDEX(Contracts!$E$2:$E$151,$AB821)&amp;"",IF($Z821="A",INDEX(Fixed_Assets!$D$2:$D$201,$AB821)&amp;"",IF($Z821="F",INDEX(FTE_Allocation!$C$2:$C$201,$AB821)&amp;"","")))</f>
        <v/>
      </c>
      <c r="D821" s="7">
        <f>IF($Z821="C",INDEX(Contracts!$B$2:$B$151,$AB821)&amp;"",IF($Z821="A",INDEX(Fixed_Assets!$B$2:$B$201,$AB821)&amp;"",IF($Z821="F",INDEX(FTE_Allocation!$B$2:$B$201,$AB821)&amp;"","")))</f>
        <v/>
      </c>
      <c r="E821" s="7">
        <f>IF($Z821="C",INDEX(Contracts!$P$2:$P$151,$AB821)&amp;"",IF($Z821="A",INDEX(Fixed_Assets!$K$2:$K$201,$AB821)&amp;"",IF($Z821="F",IF(INDEX(FTE_Allocation!$D$2:$D$201,$AB821)="PROJECT",IFERROR(INDEX(Projects!$D:$D,MATCH(INDEX(FTE_Allocation!$E$2:$E$201,$AB821),Projects!$A:$A,0))&amp;"","#PROJECT?"),INDEX(FTE_Allocation!$E$2:$E$201,$AB821)&amp;""),"")))</f>
        <v/>
      </c>
      <c r="F821" s="7">
        <f>IF($Z821="C",INDEX(Contracts!$Q$2:$Q$151,$AB821)&amp;"",IF($Z821="A",INDEX(Fixed_Assets!$L$2:$L$201,$AB821)&amp;"",IF($Z821="F",INDEX(Workforce!$K$2:$K$151,MATCH(INDEX(FTE_Allocation!$A$2:$A$201,$AB821),Workforce!$A$2:$A$151,0))&amp;"","")))</f>
        <v/>
      </c>
      <c r="G821" s="7">
        <f>IF($Z821="C",INDEX(Contracts!$F$2:$F$151,$AB821)&amp;" / "&amp;INDEX(Contracts!$G$2:$G$151,$AB821),IF($Z821="A",INDEX(Fixed_Assets!$E$2:$E$201,$AB821)&amp;"",IF($Z821="F","Personnel "&amp;INDEX(FTE_Allocation!$A$2:$A$201,$AB821)&amp;IF(INDEX(FTE_Allocation!$D$2:$D$201,$AB821)="PROJECT"," ("&amp;INDEX(FTE_Allocation!$E$2:$E$201,$AB821)&amp;")",""),"")))</f>
        <v/>
      </c>
      <c r="H821" s="7">
        <f>IF($Z821="C","CONTRACT",IF($Z821="A","ASSET",IF($Z821="F","WORKFORCE","")))</f>
        <v/>
      </c>
      <c r="I821" s="7">
        <f>IF($Z821="C",INDEX(Contracts!$L$2:$L$151,$AB821)&amp;"",IF($Z821="A",INDEX(Fixed_Assets!$I$2:$I$201,$AB821)&amp;"",IF($Z821="F",INDEX(Workforce!$G$2:$G$151,MATCH(INDEX(FTE_Allocation!$A$2:$A$201,$AB821),Workforce!$A$2:$A$151,0))&amp;"","")))</f>
        <v/>
      </c>
      <c r="J821" s="18">
        <f>IF($Z821="","",IF(AND(DATE($AD821,1,1)&gt;=$AE821,DATE($AD821,1,1)&lt;=$AF821),ROUND($AG821,2),0))</f>
        <v/>
      </c>
      <c r="K821" s="18">
        <f>IF($Z821="","",IF(AND(DATE($AD821,2,1)&gt;=$AE821,DATE($AD821,2,1)&lt;=$AF821),ROUND($AG821,2),0))</f>
        <v/>
      </c>
      <c r="L821" s="18">
        <f>IF($Z821="","",IF(AND(DATE($AD821,3,1)&gt;=$AE821,DATE($AD821,3,1)&lt;=$AF821),ROUND($AG821,2),0))</f>
        <v/>
      </c>
      <c r="M821" s="18">
        <f>IF($Z821="","",IF(AND(DATE($AD821,4,1)&gt;=$AE821,DATE($AD821,4,1)&lt;=$AF821),ROUND($AG821,2),0))</f>
        <v/>
      </c>
      <c r="N821" s="18">
        <f>IF($Z821="","",IF(AND(DATE($AD821,5,1)&gt;=$AE821,DATE($AD821,5,1)&lt;=$AF821),ROUND($AG821,2),0))</f>
        <v/>
      </c>
      <c r="O821" s="18">
        <f>IF($Z821="","",IF(AND(DATE($AD821,6,1)&gt;=$AE821,DATE($AD821,6,1)&lt;=$AF821),ROUND($AG821,2),0))</f>
        <v/>
      </c>
      <c r="P821" s="18">
        <f>IF($Z821="","",IF(AND(DATE($AD821,7,1)&gt;=$AE821,DATE($AD821,7,1)&lt;=$AF821),ROUND($AG821,2),0))</f>
        <v/>
      </c>
      <c r="Q821" s="18">
        <f>IF($Z821="","",IF(AND(DATE($AD821,8,1)&gt;=$AE821,DATE($AD821,8,1)&lt;=$AF821),ROUND($AG821,2),0))</f>
        <v/>
      </c>
      <c r="R821" s="18">
        <f>IF($Z821="","",IF(AND(DATE($AD821,9,1)&gt;=$AE821,DATE($AD821,9,1)&lt;=$AF821),ROUND($AG821,2),0))</f>
        <v/>
      </c>
      <c r="S821" s="18">
        <f>IF($Z821="","",IF(AND(DATE($AD821,10,1)&gt;=$AE821,DATE($AD821,10,1)&lt;=$AF821),ROUND($AG821,2),0))</f>
        <v/>
      </c>
      <c r="T821" s="18">
        <f>IF($Z821="","",IF(AND(DATE($AD821,11,1)&gt;=$AE821,DATE($AD821,11,1)&lt;=$AF821),ROUND($AG821,2),0))</f>
        <v/>
      </c>
      <c r="U821" s="18">
        <f>IF($Z821="","",IF(AND(DATE($AD821,12,1)&gt;=$AE821,DATE($AD821,12,1)&lt;=$AF821),ROUND($AG821,2),0))</f>
        <v/>
      </c>
      <c r="V821" s="7">
        <f>IF($Z821="C","Generated from "&amp;INDEX(Contracts!$A$2:$A$151,$AB821),IF($Z821="A","Generated from "&amp;INDEX(Fixed_Assets!$A$2:$A$201,$AB821),IF($Z821="F","Generated from "&amp;INDEX(FTE_Allocation!$A$2:$A$201,$AB821),"")))</f>
        <v/>
      </c>
      <c r="X821" s="19">
        <f>IF($Z821="","",SUM(J821:U821))</f>
        <v/>
      </c>
      <c r="Y821" s="20">
        <f>ROW()-1</f>
        <v/>
      </c>
      <c r="Z821" s="20">
        <f>IF($Y821&lt;=Settings!$B$4*3,"C",IF($Y821&lt;=(Settings!$B$4+Settings!$B$5)*3,"A",IF($Y821&lt;=(Settings!$B$4+Settings!$B$5+Settings!$B$6)*3,"F","")))</f>
        <v/>
      </c>
      <c r="AA821" s="20">
        <f>IF($Z821="C",$Y821,IF($Z821="A",$Y821-Settings!$B$4*3,IF($Z821="F",$Y821-(Settings!$B$4+Settings!$B$5)*3,"")))</f>
        <v/>
      </c>
      <c r="AB821" s="20">
        <f>IF($Z821="","",INT(($AA821-1)/3)+1)</f>
        <v/>
      </c>
      <c r="AC821" s="20">
        <f>IF($Z821="","",MOD($AA821-1,3)+1)</f>
        <v/>
      </c>
      <c r="AD821" s="20">
        <f>IF($Z821="","",Settings!$B$2+$AC821-1)</f>
        <v/>
      </c>
      <c r="AE821" s="21">
        <f>IF($Z821="C",DATE(YEAR(INDEX(Contracts!$J$2:$J$151,$AB821)),MONTH(INDEX(Contracts!$J$2:$J$151,$AB821)),1),IF($Z821="A",DATE(YEAR(INDEX(Fixed_Assets!$G$2:$G$201,$AB821)),MONTH(INDEX(Fixed_Assets!$G$2:$G$201,$AB821)),1),IF($Z821="F",DATE(YEAR(MAX(N(INDEX(Workforce!$I$2:$I$151,MATCH(INDEX(FTE_Allocation!$A$2:$A$201,$AB821),Workforce!$A$2:$A$151,0))),N(INDEX(FTE_Allocation!$I$2:$I$201,$AB821)))),MONTH(MAX(N(INDEX(Workforce!$I$2:$I$151,MATCH(INDEX(FTE_Allocation!$A$2:$A$201,$AB821),Workforce!$A$2:$A$151,0))),N(INDEX(FTE_Allocation!$I$2:$I$201,$AB821)))),1),"")))</f>
        <v/>
      </c>
      <c r="AF821" s="21">
        <f>IF($Z821="C",IF(INDEX(Contracts!$I$2:$I$151,$AB821)="PREPAID",EDATE(DATE(YEAR(INDEX(Contracts!$J$2:$J$151,$AB821)),MONTH(INDEX(Contracts!$J$2:$J$151,$AB821)),1),IF(INDEX(Contracts!$N$2:$N$151,$AB821)="",12,INDEX(Contracts!$N$2:$N$151,$AB821))-1),IF(INDEX(Contracts!$I$2:$I$151,$AB821)="MONTHLY",IF(INDEX(Contracts!$K$2:$K$151,$AB821)="",2958101,INDEX(Contracts!$K$2:$K$151,$AB821)),0)),IF($Z821="A",EDATE(DATE(YEAR(INDEX(Fixed_Assets!$G$2:$G$201,$AB821)),MONTH(INDEX(Fixed_Assets!$G$2:$G$201,$AB821)),1),INDEX(Fixed_Assets!$J$2:$J$201,$AB821)-1),IF($Z821="F",MIN(IF(INDEX(Workforce!$J$2:$J$151,MATCH(INDEX(FTE_Allocation!$A$2:$A$201,$AB821),Workforce!$A$2:$A$151,0))="",2958101,INDEX(Workforce!$J$2:$J$151,MATCH(INDEX(FTE_Allocation!$A$2:$A$201,$AB821),Workforce!$A$2:$A$151,0))),IF(INDEX(FTE_Allocation!$J$2:$J$201,$AB821)="",2958101,INDEX(FTE_Allocation!$J$2:$J$201,$AB821))),"")))</f>
        <v/>
      </c>
      <c r="AG821" s="19">
        <f>IF($Z821="C",IF(INDEX(Contracts!$I$2:$I$151,$AB821)="PREPAID",INDEX(Contracts!$M$2:$M$151,$AB821)/IF(INDEX(Contracts!$N$2:$N$151,$AB821)="",12,INDEX(Contracts!$N$2:$N$151,$AB821)),IF(INDEX(Contracts!$I$2:$I$151,$AB821)="MONTHLY",INDEX(Contracts!$M$2:$M$151,$AB821),0))*(1-N(INDEX(Contracts!$O$2:$O$151,$AB821))),IF($Z821="A",INDEX(Fixed_Assets!$H$2:$H$201,$AB821)/INDEX(Fixed_Assets!$J$2:$J$201,$AB821),IF($Z821="F",INDEX(Workforce!$F$2:$F$151,MATCH(INDEX(FTE_Allocation!$A$2:$A$201,$AB821),Workforce!$A$2:$A$151,0))*N(INDEX(FTE_Allocation!$F$2:$H$201,$AB821,$AC821)),"")))</f>
        <v/>
      </c>
    </row>
    <row r="822">
      <c r="A822" s="7">
        <f>IF($Z822="","",$AD822)</f>
        <v/>
      </c>
      <c r="B822" s="7">
        <f>IF($Z822="C",INDEX(Contracts!$D$2:$D$151,$AB822)&amp;"",IF($Z822="A",INDEX(Fixed_Assets!$C$2:$C$201,$AB822)&amp;"",IF($Z822="F",INDEX(Workforce!$B$2:$B$151,MATCH(INDEX(FTE_Allocation!$A$2:$A$201,$AB822),Workforce!$A$2:$A$151,0))&amp;"","")))</f>
        <v/>
      </c>
      <c r="C822" s="7">
        <f>IF($Z822="C",INDEX(Contracts!$E$2:$E$151,$AB822)&amp;"",IF($Z822="A",INDEX(Fixed_Assets!$D$2:$D$201,$AB822)&amp;"",IF($Z822="F",INDEX(FTE_Allocation!$C$2:$C$201,$AB822)&amp;"","")))</f>
        <v/>
      </c>
      <c r="D822" s="7">
        <f>IF($Z822="C",INDEX(Contracts!$B$2:$B$151,$AB822)&amp;"",IF($Z822="A",INDEX(Fixed_Assets!$B$2:$B$201,$AB822)&amp;"",IF($Z822="F",INDEX(FTE_Allocation!$B$2:$B$201,$AB822)&amp;"","")))</f>
        <v/>
      </c>
      <c r="E822" s="7">
        <f>IF($Z822="C",INDEX(Contracts!$P$2:$P$151,$AB822)&amp;"",IF($Z822="A",INDEX(Fixed_Assets!$K$2:$K$201,$AB822)&amp;"",IF($Z822="F",IF(INDEX(FTE_Allocation!$D$2:$D$201,$AB822)="PROJECT",IFERROR(INDEX(Projects!$D:$D,MATCH(INDEX(FTE_Allocation!$E$2:$E$201,$AB822),Projects!$A:$A,0))&amp;"","#PROJECT?"),INDEX(FTE_Allocation!$E$2:$E$201,$AB822)&amp;""),"")))</f>
        <v/>
      </c>
      <c r="F822" s="7">
        <f>IF($Z822="C",INDEX(Contracts!$Q$2:$Q$151,$AB822)&amp;"",IF($Z822="A",INDEX(Fixed_Assets!$L$2:$L$201,$AB822)&amp;"",IF($Z822="F",INDEX(Workforce!$K$2:$K$151,MATCH(INDEX(FTE_Allocation!$A$2:$A$201,$AB822),Workforce!$A$2:$A$151,0))&amp;"","")))</f>
        <v/>
      </c>
      <c r="G822" s="7">
        <f>IF($Z822="C",INDEX(Contracts!$F$2:$F$151,$AB822)&amp;" / "&amp;INDEX(Contracts!$G$2:$G$151,$AB822),IF($Z822="A",INDEX(Fixed_Assets!$E$2:$E$201,$AB822)&amp;"",IF($Z822="F","Personnel "&amp;INDEX(FTE_Allocation!$A$2:$A$201,$AB822)&amp;IF(INDEX(FTE_Allocation!$D$2:$D$201,$AB822)="PROJECT"," ("&amp;INDEX(FTE_Allocation!$E$2:$E$201,$AB822)&amp;")",""),"")))</f>
        <v/>
      </c>
      <c r="H822" s="7">
        <f>IF($Z822="C","CONTRACT",IF($Z822="A","ASSET",IF($Z822="F","WORKFORCE","")))</f>
        <v/>
      </c>
      <c r="I822" s="7">
        <f>IF($Z822="C",INDEX(Contracts!$L$2:$L$151,$AB822)&amp;"",IF($Z822="A",INDEX(Fixed_Assets!$I$2:$I$201,$AB822)&amp;"",IF($Z822="F",INDEX(Workforce!$G$2:$G$151,MATCH(INDEX(FTE_Allocation!$A$2:$A$201,$AB822),Workforce!$A$2:$A$151,0))&amp;"","")))</f>
        <v/>
      </c>
      <c r="J822" s="18">
        <f>IF($Z822="","",IF(AND(DATE($AD822,1,1)&gt;=$AE822,DATE($AD822,1,1)&lt;=$AF822),ROUND($AG822,2),0))</f>
        <v/>
      </c>
      <c r="K822" s="18">
        <f>IF($Z822="","",IF(AND(DATE($AD822,2,1)&gt;=$AE822,DATE($AD822,2,1)&lt;=$AF822),ROUND($AG822,2),0))</f>
        <v/>
      </c>
      <c r="L822" s="18">
        <f>IF($Z822="","",IF(AND(DATE($AD822,3,1)&gt;=$AE822,DATE($AD822,3,1)&lt;=$AF822),ROUND($AG822,2),0))</f>
        <v/>
      </c>
      <c r="M822" s="18">
        <f>IF($Z822="","",IF(AND(DATE($AD822,4,1)&gt;=$AE822,DATE($AD822,4,1)&lt;=$AF822),ROUND($AG822,2),0))</f>
        <v/>
      </c>
      <c r="N822" s="18">
        <f>IF($Z822="","",IF(AND(DATE($AD822,5,1)&gt;=$AE822,DATE($AD822,5,1)&lt;=$AF822),ROUND($AG822,2),0))</f>
        <v/>
      </c>
      <c r="O822" s="18">
        <f>IF($Z822="","",IF(AND(DATE($AD822,6,1)&gt;=$AE822,DATE($AD822,6,1)&lt;=$AF822),ROUND($AG822,2),0))</f>
        <v/>
      </c>
      <c r="P822" s="18">
        <f>IF($Z822="","",IF(AND(DATE($AD822,7,1)&gt;=$AE822,DATE($AD822,7,1)&lt;=$AF822),ROUND($AG822,2),0))</f>
        <v/>
      </c>
      <c r="Q822" s="18">
        <f>IF($Z822="","",IF(AND(DATE($AD822,8,1)&gt;=$AE822,DATE($AD822,8,1)&lt;=$AF822),ROUND($AG822,2),0))</f>
        <v/>
      </c>
      <c r="R822" s="18">
        <f>IF($Z822="","",IF(AND(DATE($AD822,9,1)&gt;=$AE822,DATE($AD822,9,1)&lt;=$AF822),ROUND($AG822,2),0))</f>
        <v/>
      </c>
      <c r="S822" s="18">
        <f>IF($Z822="","",IF(AND(DATE($AD822,10,1)&gt;=$AE822,DATE($AD822,10,1)&lt;=$AF822),ROUND($AG822,2),0))</f>
        <v/>
      </c>
      <c r="T822" s="18">
        <f>IF($Z822="","",IF(AND(DATE($AD822,11,1)&gt;=$AE822,DATE($AD822,11,1)&lt;=$AF822),ROUND($AG822,2),0))</f>
        <v/>
      </c>
      <c r="U822" s="18">
        <f>IF($Z822="","",IF(AND(DATE($AD822,12,1)&gt;=$AE822,DATE($AD822,12,1)&lt;=$AF822),ROUND($AG822,2),0))</f>
        <v/>
      </c>
      <c r="V822" s="7">
        <f>IF($Z822="C","Generated from "&amp;INDEX(Contracts!$A$2:$A$151,$AB822),IF($Z822="A","Generated from "&amp;INDEX(Fixed_Assets!$A$2:$A$201,$AB822),IF($Z822="F","Generated from "&amp;INDEX(FTE_Allocation!$A$2:$A$201,$AB822),"")))</f>
        <v/>
      </c>
      <c r="X822" s="19">
        <f>IF($Z822="","",SUM(J822:U822))</f>
        <v/>
      </c>
      <c r="Y822" s="20">
        <f>ROW()-1</f>
        <v/>
      </c>
      <c r="Z822" s="20">
        <f>IF($Y822&lt;=Settings!$B$4*3,"C",IF($Y822&lt;=(Settings!$B$4+Settings!$B$5)*3,"A",IF($Y822&lt;=(Settings!$B$4+Settings!$B$5+Settings!$B$6)*3,"F","")))</f>
        <v/>
      </c>
      <c r="AA822" s="20">
        <f>IF($Z822="C",$Y822,IF($Z822="A",$Y822-Settings!$B$4*3,IF($Z822="F",$Y822-(Settings!$B$4+Settings!$B$5)*3,"")))</f>
        <v/>
      </c>
      <c r="AB822" s="20">
        <f>IF($Z822="","",INT(($AA822-1)/3)+1)</f>
        <v/>
      </c>
      <c r="AC822" s="20">
        <f>IF($Z822="","",MOD($AA822-1,3)+1)</f>
        <v/>
      </c>
      <c r="AD822" s="20">
        <f>IF($Z822="","",Settings!$B$2+$AC822-1)</f>
        <v/>
      </c>
      <c r="AE822" s="21">
        <f>IF($Z822="C",DATE(YEAR(INDEX(Contracts!$J$2:$J$151,$AB822)),MONTH(INDEX(Contracts!$J$2:$J$151,$AB822)),1),IF($Z822="A",DATE(YEAR(INDEX(Fixed_Assets!$G$2:$G$201,$AB822)),MONTH(INDEX(Fixed_Assets!$G$2:$G$201,$AB822)),1),IF($Z822="F",DATE(YEAR(MAX(N(INDEX(Workforce!$I$2:$I$151,MATCH(INDEX(FTE_Allocation!$A$2:$A$201,$AB822),Workforce!$A$2:$A$151,0))),N(INDEX(FTE_Allocation!$I$2:$I$201,$AB822)))),MONTH(MAX(N(INDEX(Workforce!$I$2:$I$151,MATCH(INDEX(FTE_Allocation!$A$2:$A$201,$AB822),Workforce!$A$2:$A$151,0))),N(INDEX(FTE_Allocation!$I$2:$I$201,$AB822)))),1),"")))</f>
        <v/>
      </c>
      <c r="AF822" s="21">
        <f>IF($Z822="C",IF(INDEX(Contracts!$I$2:$I$151,$AB822)="PREPAID",EDATE(DATE(YEAR(INDEX(Contracts!$J$2:$J$151,$AB822)),MONTH(INDEX(Contracts!$J$2:$J$151,$AB822)),1),IF(INDEX(Contracts!$N$2:$N$151,$AB822)="",12,INDEX(Contracts!$N$2:$N$151,$AB822))-1),IF(INDEX(Contracts!$I$2:$I$151,$AB822)="MONTHLY",IF(INDEX(Contracts!$K$2:$K$151,$AB822)="",2958101,INDEX(Contracts!$K$2:$K$151,$AB822)),0)),IF($Z822="A",EDATE(DATE(YEAR(INDEX(Fixed_Assets!$G$2:$G$201,$AB822)),MONTH(INDEX(Fixed_Assets!$G$2:$G$201,$AB822)),1),INDEX(Fixed_Assets!$J$2:$J$201,$AB822)-1),IF($Z822="F",MIN(IF(INDEX(Workforce!$J$2:$J$151,MATCH(INDEX(FTE_Allocation!$A$2:$A$201,$AB822),Workforce!$A$2:$A$151,0))="",2958101,INDEX(Workforce!$J$2:$J$151,MATCH(INDEX(FTE_Allocation!$A$2:$A$201,$AB822),Workforce!$A$2:$A$151,0))),IF(INDEX(FTE_Allocation!$J$2:$J$201,$AB822)="",2958101,INDEX(FTE_Allocation!$J$2:$J$201,$AB822))),"")))</f>
        <v/>
      </c>
      <c r="AG822" s="19">
        <f>IF($Z822="C",IF(INDEX(Contracts!$I$2:$I$151,$AB822)="PREPAID",INDEX(Contracts!$M$2:$M$151,$AB822)/IF(INDEX(Contracts!$N$2:$N$151,$AB822)="",12,INDEX(Contracts!$N$2:$N$151,$AB822)),IF(INDEX(Contracts!$I$2:$I$151,$AB822)="MONTHLY",INDEX(Contracts!$M$2:$M$151,$AB822),0))*(1-N(INDEX(Contracts!$O$2:$O$151,$AB822))),IF($Z822="A",INDEX(Fixed_Assets!$H$2:$H$201,$AB822)/INDEX(Fixed_Assets!$J$2:$J$201,$AB822),IF($Z822="F",INDEX(Workforce!$F$2:$F$151,MATCH(INDEX(FTE_Allocation!$A$2:$A$201,$AB822),Workforce!$A$2:$A$151,0))*N(INDEX(FTE_Allocation!$F$2:$H$201,$AB822,$AC822)),"")))</f>
        <v/>
      </c>
    </row>
    <row r="823">
      <c r="A823" s="7">
        <f>IF($Z823="","",$AD823)</f>
        <v/>
      </c>
      <c r="B823" s="7">
        <f>IF($Z823="C",INDEX(Contracts!$D$2:$D$151,$AB823)&amp;"",IF($Z823="A",INDEX(Fixed_Assets!$C$2:$C$201,$AB823)&amp;"",IF($Z823="F",INDEX(Workforce!$B$2:$B$151,MATCH(INDEX(FTE_Allocation!$A$2:$A$201,$AB823),Workforce!$A$2:$A$151,0))&amp;"","")))</f>
        <v/>
      </c>
      <c r="C823" s="7">
        <f>IF($Z823="C",INDEX(Contracts!$E$2:$E$151,$AB823)&amp;"",IF($Z823="A",INDEX(Fixed_Assets!$D$2:$D$201,$AB823)&amp;"",IF($Z823="F",INDEX(FTE_Allocation!$C$2:$C$201,$AB823)&amp;"","")))</f>
        <v/>
      </c>
      <c r="D823" s="7">
        <f>IF($Z823="C",INDEX(Contracts!$B$2:$B$151,$AB823)&amp;"",IF($Z823="A",INDEX(Fixed_Assets!$B$2:$B$201,$AB823)&amp;"",IF($Z823="F",INDEX(FTE_Allocation!$B$2:$B$201,$AB823)&amp;"","")))</f>
        <v/>
      </c>
      <c r="E823" s="7">
        <f>IF($Z823="C",INDEX(Contracts!$P$2:$P$151,$AB823)&amp;"",IF($Z823="A",INDEX(Fixed_Assets!$K$2:$K$201,$AB823)&amp;"",IF($Z823="F",IF(INDEX(FTE_Allocation!$D$2:$D$201,$AB823)="PROJECT",IFERROR(INDEX(Projects!$D:$D,MATCH(INDEX(FTE_Allocation!$E$2:$E$201,$AB823),Projects!$A:$A,0))&amp;"","#PROJECT?"),INDEX(FTE_Allocation!$E$2:$E$201,$AB823)&amp;""),"")))</f>
        <v/>
      </c>
      <c r="F823" s="7">
        <f>IF($Z823="C",INDEX(Contracts!$Q$2:$Q$151,$AB823)&amp;"",IF($Z823="A",INDEX(Fixed_Assets!$L$2:$L$201,$AB823)&amp;"",IF($Z823="F",INDEX(Workforce!$K$2:$K$151,MATCH(INDEX(FTE_Allocation!$A$2:$A$201,$AB823),Workforce!$A$2:$A$151,0))&amp;"","")))</f>
        <v/>
      </c>
      <c r="G823" s="7">
        <f>IF($Z823="C",INDEX(Contracts!$F$2:$F$151,$AB823)&amp;" / "&amp;INDEX(Contracts!$G$2:$G$151,$AB823),IF($Z823="A",INDEX(Fixed_Assets!$E$2:$E$201,$AB823)&amp;"",IF($Z823="F","Personnel "&amp;INDEX(FTE_Allocation!$A$2:$A$201,$AB823)&amp;IF(INDEX(FTE_Allocation!$D$2:$D$201,$AB823)="PROJECT"," ("&amp;INDEX(FTE_Allocation!$E$2:$E$201,$AB823)&amp;")",""),"")))</f>
        <v/>
      </c>
      <c r="H823" s="7">
        <f>IF($Z823="C","CONTRACT",IF($Z823="A","ASSET",IF($Z823="F","WORKFORCE","")))</f>
        <v/>
      </c>
      <c r="I823" s="7">
        <f>IF($Z823="C",INDEX(Contracts!$L$2:$L$151,$AB823)&amp;"",IF($Z823="A",INDEX(Fixed_Assets!$I$2:$I$201,$AB823)&amp;"",IF($Z823="F",INDEX(Workforce!$G$2:$G$151,MATCH(INDEX(FTE_Allocation!$A$2:$A$201,$AB823),Workforce!$A$2:$A$151,0))&amp;"","")))</f>
        <v/>
      </c>
      <c r="J823" s="18">
        <f>IF($Z823="","",IF(AND(DATE($AD823,1,1)&gt;=$AE823,DATE($AD823,1,1)&lt;=$AF823),ROUND($AG823,2),0))</f>
        <v/>
      </c>
      <c r="K823" s="18">
        <f>IF($Z823="","",IF(AND(DATE($AD823,2,1)&gt;=$AE823,DATE($AD823,2,1)&lt;=$AF823),ROUND($AG823,2),0))</f>
        <v/>
      </c>
      <c r="L823" s="18">
        <f>IF($Z823="","",IF(AND(DATE($AD823,3,1)&gt;=$AE823,DATE($AD823,3,1)&lt;=$AF823),ROUND($AG823,2),0))</f>
        <v/>
      </c>
      <c r="M823" s="18">
        <f>IF($Z823="","",IF(AND(DATE($AD823,4,1)&gt;=$AE823,DATE($AD823,4,1)&lt;=$AF823),ROUND($AG823,2),0))</f>
        <v/>
      </c>
      <c r="N823" s="18">
        <f>IF($Z823="","",IF(AND(DATE($AD823,5,1)&gt;=$AE823,DATE($AD823,5,1)&lt;=$AF823),ROUND($AG823,2),0))</f>
        <v/>
      </c>
      <c r="O823" s="18">
        <f>IF($Z823="","",IF(AND(DATE($AD823,6,1)&gt;=$AE823,DATE($AD823,6,1)&lt;=$AF823),ROUND($AG823,2),0))</f>
        <v/>
      </c>
      <c r="P823" s="18">
        <f>IF($Z823="","",IF(AND(DATE($AD823,7,1)&gt;=$AE823,DATE($AD823,7,1)&lt;=$AF823),ROUND($AG823,2),0))</f>
        <v/>
      </c>
      <c r="Q823" s="18">
        <f>IF($Z823="","",IF(AND(DATE($AD823,8,1)&gt;=$AE823,DATE($AD823,8,1)&lt;=$AF823),ROUND($AG823,2),0))</f>
        <v/>
      </c>
      <c r="R823" s="18">
        <f>IF($Z823="","",IF(AND(DATE($AD823,9,1)&gt;=$AE823,DATE($AD823,9,1)&lt;=$AF823),ROUND($AG823,2),0))</f>
        <v/>
      </c>
      <c r="S823" s="18">
        <f>IF($Z823="","",IF(AND(DATE($AD823,10,1)&gt;=$AE823,DATE($AD823,10,1)&lt;=$AF823),ROUND($AG823,2),0))</f>
        <v/>
      </c>
      <c r="T823" s="18">
        <f>IF($Z823="","",IF(AND(DATE($AD823,11,1)&gt;=$AE823,DATE($AD823,11,1)&lt;=$AF823),ROUND($AG823,2),0))</f>
        <v/>
      </c>
      <c r="U823" s="18">
        <f>IF($Z823="","",IF(AND(DATE($AD823,12,1)&gt;=$AE823,DATE($AD823,12,1)&lt;=$AF823),ROUND($AG823,2),0))</f>
        <v/>
      </c>
      <c r="V823" s="7">
        <f>IF($Z823="C","Generated from "&amp;INDEX(Contracts!$A$2:$A$151,$AB823),IF($Z823="A","Generated from "&amp;INDEX(Fixed_Assets!$A$2:$A$201,$AB823),IF($Z823="F","Generated from "&amp;INDEX(FTE_Allocation!$A$2:$A$201,$AB823),"")))</f>
        <v/>
      </c>
      <c r="X823" s="19">
        <f>IF($Z823="","",SUM(J823:U823))</f>
        <v/>
      </c>
      <c r="Y823" s="20">
        <f>ROW()-1</f>
        <v/>
      </c>
      <c r="Z823" s="20">
        <f>IF($Y823&lt;=Settings!$B$4*3,"C",IF($Y823&lt;=(Settings!$B$4+Settings!$B$5)*3,"A",IF($Y823&lt;=(Settings!$B$4+Settings!$B$5+Settings!$B$6)*3,"F","")))</f>
        <v/>
      </c>
      <c r="AA823" s="20">
        <f>IF($Z823="C",$Y823,IF($Z823="A",$Y823-Settings!$B$4*3,IF($Z823="F",$Y823-(Settings!$B$4+Settings!$B$5)*3,"")))</f>
        <v/>
      </c>
      <c r="AB823" s="20">
        <f>IF($Z823="","",INT(($AA823-1)/3)+1)</f>
        <v/>
      </c>
      <c r="AC823" s="20">
        <f>IF($Z823="","",MOD($AA823-1,3)+1)</f>
        <v/>
      </c>
      <c r="AD823" s="20">
        <f>IF($Z823="","",Settings!$B$2+$AC823-1)</f>
        <v/>
      </c>
      <c r="AE823" s="21">
        <f>IF($Z823="C",DATE(YEAR(INDEX(Contracts!$J$2:$J$151,$AB823)),MONTH(INDEX(Contracts!$J$2:$J$151,$AB823)),1),IF($Z823="A",DATE(YEAR(INDEX(Fixed_Assets!$G$2:$G$201,$AB823)),MONTH(INDEX(Fixed_Assets!$G$2:$G$201,$AB823)),1),IF($Z823="F",DATE(YEAR(MAX(N(INDEX(Workforce!$I$2:$I$151,MATCH(INDEX(FTE_Allocation!$A$2:$A$201,$AB823),Workforce!$A$2:$A$151,0))),N(INDEX(FTE_Allocation!$I$2:$I$201,$AB823)))),MONTH(MAX(N(INDEX(Workforce!$I$2:$I$151,MATCH(INDEX(FTE_Allocation!$A$2:$A$201,$AB823),Workforce!$A$2:$A$151,0))),N(INDEX(FTE_Allocation!$I$2:$I$201,$AB823)))),1),"")))</f>
        <v/>
      </c>
      <c r="AF823" s="21">
        <f>IF($Z823="C",IF(INDEX(Contracts!$I$2:$I$151,$AB823)="PREPAID",EDATE(DATE(YEAR(INDEX(Contracts!$J$2:$J$151,$AB823)),MONTH(INDEX(Contracts!$J$2:$J$151,$AB823)),1),IF(INDEX(Contracts!$N$2:$N$151,$AB823)="",12,INDEX(Contracts!$N$2:$N$151,$AB823))-1),IF(INDEX(Contracts!$I$2:$I$151,$AB823)="MONTHLY",IF(INDEX(Contracts!$K$2:$K$151,$AB823)="",2958101,INDEX(Contracts!$K$2:$K$151,$AB823)),0)),IF($Z823="A",EDATE(DATE(YEAR(INDEX(Fixed_Assets!$G$2:$G$201,$AB823)),MONTH(INDEX(Fixed_Assets!$G$2:$G$201,$AB823)),1),INDEX(Fixed_Assets!$J$2:$J$201,$AB823)-1),IF($Z823="F",MIN(IF(INDEX(Workforce!$J$2:$J$151,MATCH(INDEX(FTE_Allocation!$A$2:$A$201,$AB823),Workforce!$A$2:$A$151,0))="",2958101,INDEX(Workforce!$J$2:$J$151,MATCH(INDEX(FTE_Allocation!$A$2:$A$201,$AB823),Workforce!$A$2:$A$151,0))),IF(INDEX(FTE_Allocation!$J$2:$J$201,$AB823)="",2958101,INDEX(FTE_Allocation!$J$2:$J$201,$AB823))),"")))</f>
        <v/>
      </c>
      <c r="AG823" s="19">
        <f>IF($Z823="C",IF(INDEX(Contracts!$I$2:$I$151,$AB823)="PREPAID",INDEX(Contracts!$M$2:$M$151,$AB823)/IF(INDEX(Contracts!$N$2:$N$151,$AB823)="",12,INDEX(Contracts!$N$2:$N$151,$AB823)),IF(INDEX(Contracts!$I$2:$I$151,$AB823)="MONTHLY",INDEX(Contracts!$M$2:$M$151,$AB823),0))*(1-N(INDEX(Contracts!$O$2:$O$151,$AB823))),IF($Z823="A",INDEX(Fixed_Assets!$H$2:$H$201,$AB823)/INDEX(Fixed_Assets!$J$2:$J$201,$AB823),IF($Z823="F",INDEX(Workforce!$F$2:$F$151,MATCH(INDEX(FTE_Allocation!$A$2:$A$201,$AB823),Workforce!$A$2:$A$151,0))*N(INDEX(FTE_Allocation!$F$2:$H$201,$AB823,$AC823)),"")))</f>
        <v/>
      </c>
    </row>
    <row r="824">
      <c r="A824" s="7">
        <f>IF($Z824="","",$AD824)</f>
        <v/>
      </c>
      <c r="B824" s="7">
        <f>IF($Z824="C",INDEX(Contracts!$D$2:$D$151,$AB824)&amp;"",IF($Z824="A",INDEX(Fixed_Assets!$C$2:$C$201,$AB824)&amp;"",IF($Z824="F",INDEX(Workforce!$B$2:$B$151,MATCH(INDEX(FTE_Allocation!$A$2:$A$201,$AB824),Workforce!$A$2:$A$151,0))&amp;"","")))</f>
        <v/>
      </c>
      <c r="C824" s="7">
        <f>IF($Z824="C",INDEX(Contracts!$E$2:$E$151,$AB824)&amp;"",IF($Z824="A",INDEX(Fixed_Assets!$D$2:$D$201,$AB824)&amp;"",IF($Z824="F",INDEX(FTE_Allocation!$C$2:$C$201,$AB824)&amp;"","")))</f>
        <v/>
      </c>
      <c r="D824" s="7">
        <f>IF($Z824="C",INDEX(Contracts!$B$2:$B$151,$AB824)&amp;"",IF($Z824="A",INDEX(Fixed_Assets!$B$2:$B$201,$AB824)&amp;"",IF($Z824="F",INDEX(FTE_Allocation!$B$2:$B$201,$AB824)&amp;"","")))</f>
        <v/>
      </c>
      <c r="E824" s="7">
        <f>IF($Z824="C",INDEX(Contracts!$P$2:$P$151,$AB824)&amp;"",IF($Z824="A",INDEX(Fixed_Assets!$K$2:$K$201,$AB824)&amp;"",IF($Z824="F",IF(INDEX(FTE_Allocation!$D$2:$D$201,$AB824)="PROJECT",IFERROR(INDEX(Projects!$D:$D,MATCH(INDEX(FTE_Allocation!$E$2:$E$201,$AB824),Projects!$A:$A,0))&amp;"","#PROJECT?"),INDEX(FTE_Allocation!$E$2:$E$201,$AB824)&amp;""),"")))</f>
        <v/>
      </c>
      <c r="F824" s="7">
        <f>IF($Z824="C",INDEX(Contracts!$Q$2:$Q$151,$AB824)&amp;"",IF($Z824="A",INDEX(Fixed_Assets!$L$2:$L$201,$AB824)&amp;"",IF($Z824="F",INDEX(Workforce!$K$2:$K$151,MATCH(INDEX(FTE_Allocation!$A$2:$A$201,$AB824),Workforce!$A$2:$A$151,0))&amp;"","")))</f>
        <v/>
      </c>
      <c r="G824" s="7">
        <f>IF($Z824="C",INDEX(Contracts!$F$2:$F$151,$AB824)&amp;" / "&amp;INDEX(Contracts!$G$2:$G$151,$AB824),IF($Z824="A",INDEX(Fixed_Assets!$E$2:$E$201,$AB824)&amp;"",IF($Z824="F","Personnel "&amp;INDEX(FTE_Allocation!$A$2:$A$201,$AB824)&amp;IF(INDEX(FTE_Allocation!$D$2:$D$201,$AB824)="PROJECT"," ("&amp;INDEX(FTE_Allocation!$E$2:$E$201,$AB824)&amp;")",""),"")))</f>
        <v/>
      </c>
      <c r="H824" s="7">
        <f>IF($Z824="C","CONTRACT",IF($Z824="A","ASSET",IF($Z824="F","WORKFORCE","")))</f>
        <v/>
      </c>
      <c r="I824" s="7">
        <f>IF($Z824="C",INDEX(Contracts!$L$2:$L$151,$AB824)&amp;"",IF($Z824="A",INDEX(Fixed_Assets!$I$2:$I$201,$AB824)&amp;"",IF($Z824="F",INDEX(Workforce!$G$2:$G$151,MATCH(INDEX(FTE_Allocation!$A$2:$A$201,$AB824),Workforce!$A$2:$A$151,0))&amp;"","")))</f>
        <v/>
      </c>
      <c r="J824" s="18">
        <f>IF($Z824="","",IF(AND(DATE($AD824,1,1)&gt;=$AE824,DATE($AD824,1,1)&lt;=$AF824),ROUND($AG824,2),0))</f>
        <v/>
      </c>
      <c r="K824" s="18">
        <f>IF($Z824="","",IF(AND(DATE($AD824,2,1)&gt;=$AE824,DATE($AD824,2,1)&lt;=$AF824),ROUND($AG824,2),0))</f>
        <v/>
      </c>
      <c r="L824" s="18">
        <f>IF($Z824="","",IF(AND(DATE($AD824,3,1)&gt;=$AE824,DATE($AD824,3,1)&lt;=$AF824),ROUND($AG824,2),0))</f>
        <v/>
      </c>
      <c r="M824" s="18">
        <f>IF($Z824="","",IF(AND(DATE($AD824,4,1)&gt;=$AE824,DATE($AD824,4,1)&lt;=$AF824),ROUND($AG824,2),0))</f>
        <v/>
      </c>
      <c r="N824" s="18">
        <f>IF($Z824="","",IF(AND(DATE($AD824,5,1)&gt;=$AE824,DATE($AD824,5,1)&lt;=$AF824),ROUND($AG824,2),0))</f>
        <v/>
      </c>
      <c r="O824" s="18">
        <f>IF($Z824="","",IF(AND(DATE($AD824,6,1)&gt;=$AE824,DATE($AD824,6,1)&lt;=$AF824),ROUND($AG824,2),0))</f>
        <v/>
      </c>
      <c r="P824" s="18">
        <f>IF($Z824="","",IF(AND(DATE($AD824,7,1)&gt;=$AE824,DATE($AD824,7,1)&lt;=$AF824),ROUND($AG824,2),0))</f>
        <v/>
      </c>
      <c r="Q824" s="18">
        <f>IF($Z824="","",IF(AND(DATE($AD824,8,1)&gt;=$AE824,DATE($AD824,8,1)&lt;=$AF824),ROUND($AG824,2),0))</f>
        <v/>
      </c>
      <c r="R824" s="18">
        <f>IF($Z824="","",IF(AND(DATE($AD824,9,1)&gt;=$AE824,DATE($AD824,9,1)&lt;=$AF824),ROUND($AG824,2),0))</f>
        <v/>
      </c>
      <c r="S824" s="18">
        <f>IF($Z824="","",IF(AND(DATE($AD824,10,1)&gt;=$AE824,DATE($AD824,10,1)&lt;=$AF824),ROUND($AG824,2),0))</f>
        <v/>
      </c>
      <c r="T824" s="18">
        <f>IF($Z824="","",IF(AND(DATE($AD824,11,1)&gt;=$AE824,DATE($AD824,11,1)&lt;=$AF824),ROUND($AG824,2),0))</f>
        <v/>
      </c>
      <c r="U824" s="18">
        <f>IF($Z824="","",IF(AND(DATE($AD824,12,1)&gt;=$AE824,DATE($AD824,12,1)&lt;=$AF824),ROUND($AG824,2),0))</f>
        <v/>
      </c>
      <c r="V824" s="7">
        <f>IF($Z824="C","Generated from "&amp;INDEX(Contracts!$A$2:$A$151,$AB824),IF($Z824="A","Generated from "&amp;INDEX(Fixed_Assets!$A$2:$A$201,$AB824),IF($Z824="F","Generated from "&amp;INDEX(FTE_Allocation!$A$2:$A$201,$AB824),"")))</f>
        <v/>
      </c>
      <c r="X824" s="19">
        <f>IF($Z824="","",SUM(J824:U824))</f>
        <v/>
      </c>
      <c r="Y824" s="20">
        <f>ROW()-1</f>
        <v/>
      </c>
      <c r="Z824" s="20">
        <f>IF($Y824&lt;=Settings!$B$4*3,"C",IF($Y824&lt;=(Settings!$B$4+Settings!$B$5)*3,"A",IF($Y824&lt;=(Settings!$B$4+Settings!$B$5+Settings!$B$6)*3,"F","")))</f>
        <v/>
      </c>
      <c r="AA824" s="20">
        <f>IF($Z824="C",$Y824,IF($Z824="A",$Y824-Settings!$B$4*3,IF($Z824="F",$Y824-(Settings!$B$4+Settings!$B$5)*3,"")))</f>
        <v/>
      </c>
      <c r="AB824" s="20">
        <f>IF($Z824="","",INT(($AA824-1)/3)+1)</f>
        <v/>
      </c>
      <c r="AC824" s="20">
        <f>IF($Z824="","",MOD($AA824-1,3)+1)</f>
        <v/>
      </c>
      <c r="AD824" s="20">
        <f>IF($Z824="","",Settings!$B$2+$AC824-1)</f>
        <v/>
      </c>
      <c r="AE824" s="21">
        <f>IF($Z824="C",DATE(YEAR(INDEX(Contracts!$J$2:$J$151,$AB824)),MONTH(INDEX(Contracts!$J$2:$J$151,$AB824)),1),IF($Z824="A",DATE(YEAR(INDEX(Fixed_Assets!$G$2:$G$201,$AB824)),MONTH(INDEX(Fixed_Assets!$G$2:$G$201,$AB824)),1),IF($Z824="F",DATE(YEAR(MAX(N(INDEX(Workforce!$I$2:$I$151,MATCH(INDEX(FTE_Allocation!$A$2:$A$201,$AB824),Workforce!$A$2:$A$151,0))),N(INDEX(FTE_Allocation!$I$2:$I$201,$AB824)))),MONTH(MAX(N(INDEX(Workforce!$I$2:$I$151,MATCH(INDEX(FTE_Allocation!$A$2:$A$201,$AB824),Workforce!$A$2:$A$151,0))),N(INDEX(FTE_Allocation!$I$2:$I$201,$AB824)))),1),"")))</f>
        <v/>
      </c>
      <c r="AF824" s="21">
        <f>IF($Z824="C",IF(INDEX(Contracts!$I$2:$I$151,$AB824)="PREPAID",EDATE(DATE(YEAR(INDEX(Contracts!$J$2:$J$151,$AB824)),MONTH(INDEX(Contracts!$J$2:$J$151,$AB824)),1),IF(INDEX(Contracts!$N$2:$N$151,$AB824)="",12,INDEX(Contracts!$N$2:$N$151,$AB824))-1),IF(INDEX(Contracts!$I$2:$I$151,$AB824)="MONTHLY",IF(INDEX(Contracts!$K$2:$K$151,$AB824)="",2958101,INDEX(Contracts!$K$2:$K$151,$AB824)),0)),IF($Z824="A",EDATE(DATE(YEAR(INDEX(Fixed_Assets!$G$2:$G$201,$AB824)),MONTH(INDEX(Fixed_Assets!$G$2:$G$201,$AB824)),1),INDEX(Fixed_Assets!$J$2:$J$201,$AB824)-1),IF($Z824="F",MIN(IF(INDEX(Workforce!$J$2:$J$151,MATCH(INDEX(FTE_Allocation!$A$2:$A$201,$AB824),Workforce!$A$2:$A$151,0))="",2958101,INDEX(Workforce!$J$2:$J$151,MATCH(INDEX(FTE_Allocation!$A$2:$A$201,$AB824),Workforce!$A$2:$A$151,0))),IF(INDEX(FTE_Allocation!$J$2:$J$201,$AB824)="",2958101,INDEX(FTE_Allocation!$J$2:$J$201,$AB824))),"")))</f>
        <v/>
      </c>
      <c r="AG824" s="19">
        <f>IF($Z824="C",IF(INDEX(Contracts!$I$2:$I$151,$AB824)="PREPAID",INDEX(Contracts!$M$2:$M$151,$AB824)/IF(INDEX(Contracts!$N$2:$N$151,$AB824)="",12,INDEX(Contracts!$N$2:$N$151,$AB824)),IF(INDEX(Contracts!$I$2:$I$151,$AB824)="MONTHLY",INDEX(Contracts!$M$2:$M$151,$AB824),0))*(1-N(INDEX(Contracts!$O$2:$O$151,$AB824))),IF($Z824="A",INDEX(Fixed_Assets!$H$2:$H$201,$AB824)/INDEX(Fixed_Assets!$J$2:$J$201,$AB824),IF($Z824="F",INDEX(Workforce!$F$2:$F$151,MATCH(INDEX(FTE_Allocation!$A$2:$A$201,$AB824),Workforce!$A$2:$A$151,0))*N(INDEX(FTE_Allocation!$F$2:$H$201,$AB824,$AC824)),"")))</f>
        <v/>
      </c>
    </row>
    <row r="825">
      <c r="A825" s="7">
        <f>IF($Z825="","",$AD825)</f>
        <v/>
      </c>
      <c r="B825" s="7">
        <f>IF($Z825="C",INDEX(Contracts!$D$2:$D$151,$AB825)&amp;"",IF($Z825="A",INDEX(Fixed_Assets!$C$2:$C$201,$AB825)&amp;"",IF($Z825="F",INDEX(Workforce!$B$2:$B$151,MATCH(INDEX(FTE_Allocation!$A$2:$A$201,$AB825),Workforce!$A$2:$A$151,0))&amp;"","")))</f>
        <v/>
      </c>
      <c r="C825" s="7">
        <f>IF($Z825="C",INDEX(Contracts!$E$2:$E$151,$AB825)&amp;"",IF($Z825="A",INDEX(Fixed_Assets!$D$2:$D$201,$AB825)&amp;"",IF($Z825="F",INDEX(FTE_Allocation!$C$2:$C$201,$AB825)&amp;"","")))</f>
        <v/>
      </c>
      <c r="D825" s="7">
        <f>IF($Z825="C",INDEX(Contracts!$B$2:$B$151,$AB825)&amp;"",IF($Z825="A",INDEX(Fixed_Assets!$B$2:$B$201,$AB825)&amp;"",IF($Z825="F",INDEX(FTE_Allocation!$B$2:$B$201,$AB825)&amp;"","")))</f>
        <v/>
      </c>
      <c r="E825" s="7">
        <f>IF($Z825="C",INDEX(Contracts!$P$2:$P$151,$AB825)&amp;"",IF($Z825="A",INDEX(Fixed_Assets!$K$2:$K$201,$AB825)&amp;"",IF($Z825="F",IF(INDEX(FTE_Allocation!$D$2:$D$201,$AB825)="PROJECT",IFERROR(INDEX(Projects!$D:$D,MATCH(INDEX(FTE_Allocation!$E$2:$E$201,$AB825),Projects!$A:$A,0))&amp;"","#PROJECT?"),INDEX(FTE_Allocation!$E$2:$E$201,$AB825)&amp;""),"")))</f>
        <v/>
      </c>
      <c r="F825" s="7">
        <f>IF($Z825="C",INDEX(Contracts!$Q$2:$Q$151,$AB825)&amp;"",IF($Z825="A",INDEX(Fixed_Assets!$L$2:$L$201,$AB825)&amp;"",IF($Z825="F",INDEX(Workforce!$K$2:$K$151,MATCH(INDEX(FTE_Allocation!$A$2:$A$201,$AB825),Workforce!$A$2:$A$151,0))&amp;"","")))</f>
        <v/>
      </c>
      <c r="G825" s="7">
        <f>IF($Z825="C",INDEX(Contracts!$F$2:$F$151,$AB825)&amp;" / "&amp;INDEX(Contracts!$G$2:$G$151,$AB825),IF($Z825="A",INDEX(Fixed_Assets!$E$2:$E$201,$AB825)&amp;"",IF($Z825="F","Personnel "&amp;INDEX(FTE_Allocation!$A$2:$A$201,$AB825)&amp;IF(INDEX(FTE_Allocation!$D$2:$D$201,$AB825)="PROJECT"," ("&amp;INDEX(FTE_Allocation!$E$2:$E$201,$AB825)&amp;")",""),"")))</f>
        <v/>
      </c>
      <c r="H825" s="7">
        <f>IF($Z825="C","CONTRACT",IF($Z825="A","ASSET",IF($Z825="F","WORKFORCE","")))</f>
        <v/>
      </c>
      <c r="I825" s="7">
        <f>IF($Z825="C",INDEX(Contracts!$L$2:$L$151,$AB825)&amp;"",IF($Z825="A",INDEX(Fixed_Assets!$I$2:$I$201,$AB825)&amp;"",IF($Z825="F",INDEX(Workforce!$G$2:$G$151,MATCH(INDEX(FTE_Allocation!$A$2:$A$201,$AB825),Workforce!$A$2:$A$151,0))&amp;"","")))</f>
        <v/>
      </c>
      <c r="J825" s="18">
        <f>IF($Z825="","",IF(AND(DATE($AD825,1,1)&gt;=$AE825,DATE($AD825,1,1)&lt;=$AF825),ROUND($AG825,2),0))</f>
        <v/>
      </c>
      <c r="K825" s="18">
        <f>IF($Z825="","",IF(AND(DATE($AD825,2,1)&gt;=$AE825,DATE($AD825,2,1)&lt;=$AF825),ROUND($AG825,2),0))</f>
        <v/>
      </c>
      <c r="L825" s="18">
        <f>IF($Z825="","",IF(AND(DATE($AD825,3,1)&gt;=$AE825,DATE($AD825,3,1)&lt;=$AF825),ROUND($AG825,2),0))</f>
        <v/>
      </c>
      <c r="M825" s="18">
        <f>IF($Z825="","",IF(AND(DATE($AD825,4,1)&gt;=$AE825,DATE($AD825,4,1)&lt;=$AF825),ROUND($AG825,2),0))</f>
        <v/>
      </c>
      <c r="N825" s="18">
        <f>IF($Z825="","",IF(AND(DATE($AD825,5,1)&gt;=$AE825,DATE($AD825,5,1)&lt;=$AF825),ROUND($AG825,2),0))</f>
        <v/>
      </c>
      <c r="O825" s="18">
        <f>IF($Z825="","",IF(AND(DATE($AD825,6,1)&gt;=$AE825,DATE($AD825,6,1)&lt;=$AF825),ROUND($AG825,2),0))</f>
        <v/>
      </c>
      <c r="P825" s="18">
        <f>IF($Z825="","",IF(AND(DATE($AD825,7,1)&gt;=$AE825,DATE($AD825,7,1)&lt;=$AF825),ROUND($AG825,2),0))</f>
        <v/>
      </c>
      <c r="Q825" s="18">
        <f>IF($Z825="","",IF(AND(DATE($AD825,8,1)&gt;=$AE825,DATE($AD825,8,1)&lt;=$AF825),ROUND($AG825,2),0))</f>
        <v/>
      </c>
      <c r="R825" s="18">
        <f>IF($Z825="","",IF(AND(DATE($AD825,9,1)&gt;=$AE825,DATE($AD825,9,1)&lt;=$AF825),ROUND($AG825,2),0))</f>
        <v/>
      </c>
      <c r="S825" s="18">
        <f>IF($Z825="","",IF(AND(DATE($AD825,10,1)&gt;=$AE825,DATE($AD825,10,1)&lt;=$AF825),ROUND($AG825,2),0))</f>
        <v/>
      </c>
      <c r="T825" s="18">
        <f>IF($Z825="","",IF(AND(DATE($AD825,11,1)&gt;=$AE825,DATE($AD825,11,1)&lt;=$AF825),ROUND($AG825,2),0))</f>
        <v/>
      </c>
      <c r="U825" s="18">
        <f>IF($Z825="","",IF(AND(DATE($AD825,12,1)&gt;=$AE825,DATE($AD825,12,1)&lt;=$AF825),ROUND($AG825,2),0))</f>
        <v/>
      </c>
      <c r="V825" s="7">
        <f>IF($Z825="C","Generated from "&amp;INDEX(Contracts!$A$2:$A$151,$AB825),IF($Z825="A","Generated from "&amp;INDEX(Fixed_Assets!$A$2:$A$201,$AB825),IF($Z825="F","Generated from "&amp;INDEX(FTE_Allocation!$A$2:$A$201,$AB825),"")))</f>
        <v/>
      </c>
      <c r="X825" s="19">
        <f>IF($Z825="","",SUM(J825:U825))</f>
        <v/>
      </c>
      <c r="Y825" s="20">
        <f>ROW()-1</f>
        <v/>
      </c>
      <c r="Z825" s="20">
        <f>IF($Y825&lt;=Settings!$B$4*3,"C",IF($Y825&lt;=(Settings!$B$4+Settings!$B$5)*3,"A",IF($Y825&lt;=(Settings!$B$4+Settings!$B$5+Settings!$B$6)*3,"F","")))</f>
        <v/>
      </c>
      <c r="AA825" s="20">
        <f>IF($Z825="C",$Y825,IF($Z825="A",$Y825-Settings!$B$4*3,IF($Z825="F",$Y825-(Settings!$B$4+Settings!$B$5)*3,"")))</f>
        <v/>
      </c>
      <c r="AB825" s="20">
        <f>IF($Z825="","",INT(($AA825-1)/3)+1)</f>
        <v/>
      </c>
      <c r="AC825" s="20">
        <f>IF($Z825="","",MOD($AA825-1,3)+1)</f>
        <v/>
      </c>
      <c r="AD825" s="20">
        <f>IF($Z825="","",Settings!$B$2+$AC825-1)</f>
        <v/>
      </c>
      <c r="AE825" s="21">
        <f>IF($Z825="C",DATE(YEAR(INDEX(Contracts!$J$2:$J$151,$AB825)),MONTH(INDEX(Contracts!$J$2:$J$151,$AB825)),1),IF($Z825="A",DATE(YEAR(INDEX(Fixed_Assets!$G$2:$G$201,$AB825)),MONTH(INDEX(Fixed_Assets!$G$2:$G$201,$AB825)),1),IF($Z825="F",DATE(YEAR(MAX(N(INDEX(Workforce!$I$2:$I$151,MATCH(INDEX(FTE_Allocation!$A$2:$A$201,$AB825),Workforce!$A$2:$A$151,0))),N(INDEX(FTE_Allocation!$I$2:$I$201,$AB825)))),MONTH(MAX(N(INDEX(Workforce!$I$2:$I$151,MATCH(INDEX(FTE_Allocation!$A$2:$A$201,$AB825),Workforce!$A$2:$A$151,0))),N(INDEX(FTE_Allocation!$I$2:$I$201,$AB825)))),1),"")))</f>
        <v/>
      </c>
      <c r="AF825" s="21">
        <f>IF($Z825="C",IF(INDEX(Contracts!$I$2:$I$151,$AB825)="PREPAID",EDATE(DATE(YEAR(INDEX(Contracts!$J$2:$J$151,$AB825)),MONTH(INDEX(Contracts!$J$2:$J$151,$AB825)),1),IF(INDEX(Contracts!$N$2:$N$151,$AB825)="",12,INDEX(Contracts!$N$2:$N$151,$AB825))-1),IF(INDEX(Contracts!$I$2:$I$151,$AB825)="MONTHLY",IF(INDEX(Contracts!$K$2:$K$151,$AB825)="",2958101,INDEX(Contracts!$K$2:$K$151,$AB825)),0)),IF($Z825="A",EDATE(DATE(YEAR(INDEX(Fixed_Assets!$G$2:$G$201,$AB825)),MONTH(INDEX(Fixed_Assets!$G$2:$G$201,$AB825)),1),INDEX(Fixed_Assets!$J$2:$J$201,$AB825)-1),IF($Z825="F",MIN(IF(INDEX(Workforce!$J$2:$J$151,MATCH(INDEX(FTE_Allocation!$A$2:$A$201,$AB825),Workforce!$A$2:$A$151,0))="",2958101,INDEX(Workforce!$J$2:$J$151,MATCH(INDEX(FTE_Allocation!$A$2:$A$201,$AB825),Workforce!$A$2:$A$151,0))),IF(INDEX(FTE_Allocation!$J$2:$J$201,$AB825)="",2958101,INDEX(FTE_Allocation!$J$2:$J$201,$AB825))),"")))</f>
        <v/>
      </c>
      <c r="AG825" s="19">
        <f>IF($Z825="C",IF(INDEX(Contracts!$I$2:$I$151,$AB825)="PREPAID",INDEX(Contracts!$M$2:$M$151,$AB825)/IF(INDEX(Contracts!$N$2:$N$151,$AB825)="",12,INDEX(Contracts!$N$2:$N$151,$AB825)),IF(INDEX(Contracts!$I$2:$I$151,$AB825)="MONTHLY",INDEX(Contracts!$M$2:$M$151,$AB825),0))*(1-N(INDEX(Contracts!$O$2:$O$151,$AB825))),IF($Z825="A",INDEX(Fixed_Assets!$H$2:$H$201,$AB825)/INDEX(Fixed_Assets!$J$2:$J$201,$AB825),IF($Z825="F",INDEX(Workforce!$F$2:$F$151,MATCH(INDEX(FTE_Allocation!$A$2:$A$201,$AB825),Workforce!$A$2:$A$151,0))*N(INDEX(FTE_Allocation!$F$2:$H$201,$AB825,$AC825)),"")))</f>
        <v/>
      </c>
    </row>
    <row r="826">
      <c r="A826" s="7">
        <f>IF($Z826="","",$AD826)</f>
        <v/>
      </c>
      <c r="B826" s="7">
        <f>IF($Z826="C",INDEX(Contracts!$D$2:$D$151,$AB826)&amp;"",IF($Z826="A",INDEX(Fixed_Assets!$C$2:$C$201,$AB826)&amp;"",IF($Z826="F",INDEX(Workforce!$B$2:$B$151,MATCH(INDEX(FTE_Allocation!$A$2:$A$201,$AB826),Workforce!$A$2:$A$151,0))&amp;"","")))</f>
        <v/>
      </c>
      <c r="C826" s="7">
        <f>IF($Z826="C",INDEX(Contracts!$E$2:$E$151,$AB826)&amp;"",IF($Z826="A",INDEX(Fixed_Assets!$D$2:$D$201,$AB826)&amp;"",IF($Z826="F",INDEX(FTE_Allocation!$C$2:$C$201,$AB826)&amp;"","")))</f>
        <v/>
      </c>
      <c r="D826" s="7">
        <f>IF($Z826="C",INDEX(Contracts!$B$2:$B$151,$AB826)&amp;"",IF($Z826="A",INDEX(Fixed_Assets!$B$2:$B$201,$AB826)&amp;"",IF($Z826="F",INDEX(FTE_Allocation!$B$2:$B$201,$AB826)&amp;"","")))</f>
        <v/>
      </c>
      <c r="E826" s="7">
        <f>IF($Z826="C",INDEX(Contracts!$P$2:$P$151,$AB826)&amp;"",IF($Z826="A",INDEX(Fixed_Assets!$K$2:$K$201,$AB826)&amp;"",IF($Z826="F",IF(INDEX(FTE_Allocation!$D$2:$D$201,$AB826)="PROJECT",IFERROR(INDEX(Projects!$D:$D,MATCH(INDEX(FTE_Allocation!$E$2:$E$201,$AB826),Projects!$A:$A,0))&amp;"","#PROJECT?"),INDEX(FTE_Allocation!$E$2:$E$201,$AB826)&amp;""),"")))</f>
        <v/>
      </c>
      <c r="F826" s="7">
        <f>IF($Z826="C",INDEX(Contracts!$Q$2:$Q$151,$AB826)&amp;"",IF($Z826="A",INDEX(Fixed_Assets!$L$2:$L$201,$AB826)&amp;"",IF($Z826="F",INDEX(Workforce!$K$2:$K$151,MATCH(INDEX(FTE_Allocation!$A$2:$A$201,$AB826),Workforce!$A$2:$A$151,0))&amp;"","")))</f>
        <v/>
      </c>
      <c r="G826" s="7">
        <f>IF($Z826="C",INDEX(Contracts!$F$2:$F$151,$AB826)&amp;" / "&amp;INDEX(Contracts!$G$2:$G$151,$AB826),IF($Z826="A",INDEX(Fixed_Assets!$E$2:$E$201,$AB826)&amp;"",IF($Z826="F","Personnel "&amp;INDEX(FTE_Allocation!$A$2:$A$201,$AB826)&amp;IF(INDEX(FTE_Allocation!$D$2:$D$201,$AB826)="PROJECT"," ("&amp;INDEX(FTE_Allocation!$E$2:$E$201,$AB826)&amp;")",""),"")))</f>
        <v/>
      </c>
      <c r="H826" s="7">
        <f>IF($Z826="C","CONTRACT",IF($Z826="A","ASSET",IF($Z826="F","WORKFORCE","")))</f>
        <v/>
      </c>
      <c r="I826" s="7">
        <f>IF($Z826="C",INDEX(Contracts!$L$2:$L$151,$AB826)&amp;"",IF($Z826="A",INDEX(Fixed_Assets!$I$2:$I$201,$AB826)&amp;"",IF($Z826="F",INDEX(Workforce!$G$2:$G$151,MATCH(INDEX(FTE_Allocation!$A$2:$A$201,$AB826),Workforce!$A$2:$A$151,0))&amp;"","")))</f>
        <v/>
      </c>
      <c r="J826" s="18">
        <f>IF($Z826="","",IF(AND(DATE($AD826,1,1)&gt;=$AE826,DATE($AD826,1,1)&lt;=$AF826),ROUND($AG826,2),0))</f>
        <v/>
      </c>
      <c r="K826" s="18">
        <f>IF($Z826="","",IF(AND(DATE($AD826,2,1)&gt;=$AE826,DATE($AD826,2,1)&lt;=$AF826),ROUND($AG826,2),0))</f>
        <v/>
      </c>
      <c r="L826" s="18">
        <f>IF($Z826="","",IF(AND(DATE($AD826,3,1)&gt;=$AE826,DATE($AD826,3,1)&lt;=$AF826),ROUND($AG826,2),0))</f>
        <v/>
      </c>
      <c r="M826" s="18">
        <f>IF($Z826="","",IF(AND(DATE($AD826,4,1)&gt;=$AE826,DATE($AD826,4,1)&lt;=$AF826),ROUND($AG826,2),0))</f>
        <v/>
      </c>
      <c r="N826" s="18">
        <f>IF($Z826="","",IF(AND(DATE($AD826,5,1)&gt;=$AE826,DATE($AD826,5,1)&lt;=$AF826),ROUND($AG826,2),0))</f>
        <v/>
      </c>
      <c r="O826" s="18">
        <f>IF($Z826="","",IF(AND(DATE($AD826,6,1)&gt;=$AE826,DATE($AD826,6,1)&lt;=$AF826),ROUND($AG826,2),0))</f>
        <v/>
      </c>
      <c r="P826" s="18">
        <f>IF($Z826="","",IF(AND(DATE($AD826,7,1)&gt;=$AE826,DATE($AD826,7,1)&lt;=$AF826),ROUND($AG826,2),0))</f>
        <v/>
      </c>
      <c r="Q826" s="18">
        <f>IF($Z826="","",IF(AND(DATE($AD826,8,1)&gt;=$AE826,DATE($AD826,8,1)&lt;=$AF826),ROUND($AG826,2),0))</f>
        <v/>
      </c>
      <c r="R826" s="18">
        <f>IF($Z826="","",IF(AND(DATE($AD826,9,1)&gt;=$AE826,DATE($AD826,9,1)&lt;=$AF826),ROUND($AG826,2),0))</f>
        <v/>
      </c>
      <c r="S826" s="18">
        <f>IF($Z826="","",IF(AND(DATE($AD826,10,1)&gt;=$AE826,DATE($AD826,10,1)&lt;=$AF826),ROUND($AG826,2),0))</f>
        <v/>
      </c>
      <c r="T826" s="18">
        <f>IF($Z826="","",IF(AND(DATE($AD826,11,1)&gt;=$AE826,DATE($AD826,11,1)&lt;=$AF826),ROUND($AG826,2),0))</f>
        <v/>
      </c>
      <c r="U826" s="18">
        <f>IF($Z826="","",IF(AND(DATE($AD826,12,1)&gt;=$AE826,DATE($AD826,12,1)&lt;=$AF826),ROUND($AG826,2),0))</f>
        <v/>
      </c>
      <c r="V826" s="7">
        <f>IF($Z826="C","Generated from "&amp;INDEX(Contracts!$A$2:$A$151,$AB826),IF($Z826="A","Generated from "&amp;INDEX(Fixed_Assets!$A$2:$A$201,$AB826),IF($Z826="F","Generated from "&amp;INDEX(FTE_Allocation!$A$2:$A$201,$AB826),"")))</f>
        <v/>
      </c>
      <c r="X826" s="19">
        <f>IF($Z826="","",SUM(J826:U826))</f>
        <v/>
      </c>
      <c r="Y826" s="20">
        <f>ROW()-1</f>
        <v/>
      </c>
      <c r="Z826" s="20">
        <f>IF($Y826&lt;=Settings!$B$4*3,"C",IF($Y826&lt;=(Settings!$B$4+Settings!$B$5)*3,"A",IF($Y826&lt;=(Settings!$B$4+Settings!$B$5+Settings!$B$6)*3,"F","")))</f>
        <v/>
      </c>
      <c r="AA826" s="20">
        <f>IF($Z826="C",$Y826,IF($Z826="A",$Y826-Settings!$B$4*3,IF($Z826="F",$Y826-(Settings!$B$4+Settings!$B$5)*3,"")))</f>
        <v/>
      </c>
      <c r="AB826" s="20">
        <f>IF($Z826="","",INT(($AA826-1)/3)+1)</f>
        <v/>
      </c>
      <c r="AC826" s="20">
        <f>IF($Z826="","",MOD($AA826-1,3)+1)</f>
        <v/>
      </c>
      <c r="AD826" s="20">
        <f>IF($Z826="","",Settings!$B$2+$AC826-1)</f>
        <v/>
      </c>
      <c r="AE826" s="21">
        <f>IF($Z826="C",DATE(YEAR(INDEX(Contracts!$J$2:$J$151,$AB826)),MONTH(INDEX(Contracts!$J$2:$J$151,$AB826)),1),IF($Z826="A",DATE(YEAR(INDEX(Fixed_Assets!$G$2:$G$201,$AB826)),MONTH(INDEX(Fixed_Assets!$G$2:$G$201,$AB826)),1),IF($Z826="F",DATE(YEAR(MAX(N(INDEX(Workforce!$I$2:$I$151,MATCH(INDEX(FTE_Allocation!$A$2:$A$201,$AB826),Workforce!$A$2:$A$151,0))),N(INDEX(FTE_Allocation!$I$2:$I$201,$AB826)))),MONTH(MAX(N(INDEX(Workforce!$I$2:$I$151,MATCH(INDEX(FTE_Allocation!$A$2:$A$201,$AB826),Workforce!$A$2:$A$151,0))),N(INDEX(FTE_Allocation!$I$2:$I$201,$AB826)))),1),"")))</f>
        <v/>
      </c>
      <c r="AF826" s="21">
        <f>IF($Z826="C",IF(INDEX(Contracts!$I$2:$I$151,$AB826)="PREPAID",EDATE(DATE(YEAR(INDEX(Contracts!$J$2:$J$151,$AB826)),MONTH(INDEX(Contracts!$J$2:$J$151,$AB826)),1),IF(INDEX(Contracts!$N$2:$N$151,$AB826)="",12,INDEX(Contracts!$N$2:$N$151,$AB826))-1),IF(INDEX(Contracts!$I$2:$I$151,$AB826)="MONTHLY",IF(INDEX(Contracts!$K$2:$K$151,$AB826)="",2958101,INDEX(Contracts!$K$2:$K$151,$AB826)),0)),IF($Z826="A",EDATE(DATE(YEAR(INDEX(Fixed_Assets!$G$2:$G$201,$AB826)),MONTH(INDEX(Fixed_Assets!$G$2:$G$201,$AB826)),1),INDEX(Fixed_Assets!$J$2:$J$201,$AB826)-1),IF($Z826="F",MIN(IF(INDEX(Workforce!$J$2:$J$151,MATCH(INDEX(FTE_Allocation!$A$2:$A$201,$AB826),Workforce!$A$2:$A$151,0))="",2958101,INDEX(Workforce!$J$2:$J$151,MATCH(INDEX(FTE_Allocation!$A$2:$A$201,$AB826),Workforce!$A$2:$A$151,0))),IF(INDEX(FTE_Allocation!$J$2:$J$201,$AB826)="",2958101,INDEX(FTE_Allocation!$J$2:$J$201,$AB826))),"")))</f>
        <v/>
      </c>
      <c r="AG826" s="19">
        <f>IF($Z826="C",IF(INDEX(Contracts!$I$2:$I$151,$AB826)="PREPAID",INDEX(Contracts!$M$2:$M$151,$AB826)/IF(INDEX(Contracts!$N$2:$N$151,$AB826)="",12,INDEX(Contracts!$N$2:$N$151,$AB826)),IF(INDEX(Contracts!$I$2:$I$151,$AB826)="MONTHLY",INDEX(Contracts!$M$2:$M$151,$AB826),0))*(1-N(INDEX(Contracts!$O$2:$O$151,$AB826))),IF($Z826="A",INDEX(Fixed_Assets!$H$2:$H$201,$AB826)/INDEX(Fixed_Assets!$J$2:$J$201,$AB826),IF($Z826="F",INDEX(Workforce!$F$2:$F$151,MATCH(INDEX(FTE_Allocation!$A$2:$A$201,$AB826),Workforce!$A$2:$A$151,0))*N(INDEX(FTE_Allocation!$F$2:$H$201,$AB826,$AC826)),"")))</f>
        <v/>
      </c>
    </row>
    <row r="827">
      <c r="A827" s="7">
        <f>IF($Z827="","",$AD827)</f>
        <v/>
      </c>
      <c r="B827" s="7">
        <f>IF($Z827="C",INDEX(Contracts!$D$2:$D$151,$AB827)&amp;"",IF($Z827="A",INDEX(Fixed_Assets!$C$2:$C$201,$AB827)&amp;"",IF($Z827="F",INDEX(Workforce!$B$2:$B$151,MATCH(INDEX(FTE_Allocation!$A$2:$A$201,$AB827),Workforce!$A$2:$A$151,0))&amp;"","")))</f>
        <v/>
      </c>
      <c r="C827" s="7">
        <f>IF($Z827="C",INDEX(Contracts!$E$2:$E$151,$AB827)&amp;"",IF($Z827="A",INDEX(Fixed_Assets!$D$2:$D$201,$AB827)&amp;"",IF($Z827="F",INDEX(FTE_Allocation!$C$2:$C$201,$AB827)&amp;"","")))</f>
        <v/>
      </c>
      <c r="D827" s="7">
        <f>IF($Z827="C",INDEX(Contracts!$B$2:$B$151,$AB827)&amp;"",IF($Z827="A",INDEX(Fixed_Assets!$B$2:$B$201,$AB827)&amp;"",IF($Z827="F",INDEX(FTE_Allocation!$B$2:$B$201,$AB827)&amp;"","")))</f>
        <v/>
      </c>
      <c r="E827" s="7">
        <f>IF($Z827="C",INDEX(Contracts!$P$2:$P$151,$AB827)&amp;"",IF($Z827="A",INDEX(Fixed_Assets!$K$2:$K$201,$AB827)&amp;"",IF($Z827="F",IF(INDEX(FTE_Allocation!$D$2:$D$201,$AB827)="PROJECT",IFERROR(INDEX(Projects!$D:$D,MATCH(INDEX(FTE_Allocation!$E$2:$E$201,$AB827),Projects!$A:$A,0))&amp;"","#PROJECT?"),INDEX(FTE_Allocation!$E$2:$E$201,$AB827)&amp;""),"")))</f>
        <v/>
      </c>
      <c r="F827" s="7">
        <f>IF($Z827="C",INDEX(Contracts!$Q$2:$Q$151,$AB827)&amp;"",IF($Z827="A",INDEX(Fixed_Assets!$L$2:$L$201,$AB827)&amp;"",IF($Z827="F",INDEX(Workforce!$K$2:$K$151,MATCH(INDEX(FTE_Allocation!$A$2:$A$201,$AB827),Workforce!$A$2:$A$151,0))&amp;"","")))</f>
        <v/>
      </c>
      <c r="G827" s="7">
        <f>IF($Z827="C",INDEX(Contracts!$F$2:$F$151,$AB827)&amp;" / "&amp;INDEX(Contracts!$G$2:$G$151,$AB827),IF($Z827="A",INDEX(Fixed_Assets!$E$2:$E$201,$AB827)&amp;"",IF($Z827="F","Personnel "&amp;INDEX(FTE_Allocation!$A$2:$A$201,$AB827)&amp;IF(INDEX(FTE_Allocation!$D$2:$D$201,$AB827)="PROJECT"," ("&amp;INDEX(FTE_Allocation!$E$2:$E$201,$AB827)&amp;")",""),"")))</f>
        <v/>
      </c>
      <c r="H827" s="7">
        <f>IF($Z827="C","CONTRACT",IF($Z827="A","ASSET",IF($Z827="F","WORKFORCE","")))</f>
        <v/>
      </c>
      <c r="I827" s="7">
        <f>IF($Z827="C",INDEX(Contracts!$L$2:$L$151,$AB827)&amp;"",IF($Z827="A",INDEX(Fixed_Assets!$I$2:$I$201,$AB827)&amp;"",IF($Z827="F",INDEX(Workforce!$G$2:$G$151,MATCH(INDEX(FTE_Allocation!$A$2:$A$201,$AB827),Workforce!$A$2:$A$151,0))&amp;"","")))</f>
        <v/>
      </c>
      <c r="J827" s="18">
        <f>IF($Z827="","",IF(AND(DATE($AD827,1,1)&gt;=$AE827,DATE($AD827,1,1)&lt;=$AF827),ROUND($AG827,2),0))</f>
        <v/>
      </c>
      <c r="K827" s="18">
        <f>IF($Z827="","",IF(AND(DATE($AD827,2,1)&gt;=$AE827,DATE($AD827,2,1)&lt;=$AF827),ROUND($AG827,2),0))</f>
        <v/>
      </c>
      <c r="L827" s="18">
        <f>IF($Z827="","",IF(AND(DATE($AD827,3,1)&gt;=$AE827,DATE($AD827,3,1)&lt;=$AF827),ROUND($AG827,2),0))</f>
        <v/>
      </c>
      <c r="M827" s="18">
        <f>IF($Z827="","",IF(AND(DATE($AD827,4,1)&gt;=$AE827,DATE($AD827,4,1)&lt;=$AF827),ROUND($AG827,2),0))</f>
        <v/>
      </c>
      <c r="N827" s="18">
        <f>IF($Z827="","",IF(AND(DATE($AD827,5,1)&gt;=$AE827,DATE($AD827,5,1)&lt;=$AF827),ROUND($AG827,2),0))</f>
        <v/>
      </c>
      <c r="O827" s="18">
        <f>IF($Z827="","",IF(AND(DATE($AD827,6,1)&gt;=$AE827,DATE($AD827,6,1)&lt;=$AF827),ROUND($AG827,2),0))</f>
        <v/>
      </c>
      <c r="P827" s="18">
        <f>IF($Z827="","",IF(AND(DATE($AD827,7,1)&gt;=$AE827,DATE($AD827,7,1)&lt;=$AF827),ROUND($AG827,2),0))</f>
        <v/>
      </c>
      <c r="Q827" s="18">
        <f>IF($Z827="","",IF(AND(DATE($AD827,8,1)&gt;=$AE827,DATE($AD827,8,1)&lt;=$AF827),ROUND($AG827,2),0))</f>
        <v/>
      </c>
      <c r="R827" s="18">
        <f>IF($Z827="","",IF(AND(DATE($AD827,9,1)&gt;=$AE827,DATE($AD827,9,1)&lt;=$AF827),ROUND($AG827,2),0))</f>
        <v/>
      </c>
      <c r="S827" s="18">
        <f>IF($Z827="","",IF(AND(DATE($AD827,10,1)&gt;=$AE827,DATE($AD827,10,1)&lt;=$AF827),ROUND($AG827,2),0))</f>
        <v/>
      </c>
      <c r="T827" s="18">
        <f>IF($Z827="","",IF(AND(DATE($AD827,11,1)&gt;=$AE827,DATE($AD827,11,1)&lt;=$AF827),ROUND($AG827,2),0))</f>
        <v/>
      </c>
      <c r="U827" s="18">
        <f>IF($Z827="","",IF(AND(DATE($AD827,12,1)&gt;=$AE827,DATE($AD827,12,1)&lt;=$AF827),ROUND($AG827,2),0))</f>
        <v/>
      </c>
      <c r="V827" s="7">
        <f>IF($Z827="C","Generated from "&amp;INDEX(Contracts!$A$2:$A$151,$AB827),IF($Z827="A","Generated from "&amp;INDEX(Fixed_Assets!$A$2:$A$201,$AB827),IF($Z827="F","Generated from "&amp;INDEX(FTE_Allocation!$A$2:$A$201,$AB827),"")))</f>
        <v/>
      </c>
      <c r="X827" s="19">
        <f>IF($Z827="","",SUM(J827:U827))</f>
        <v/>
      </c>
      <c r="Y827" s="20">
        <f>ROW()-1</f>
        <v/>
      </c>
      <c r="Z827" s="20">
        <f>IF($Y827&lt;=Settings!$B$4*3,"C",IF($Y827&lt;=(Settings!$B$4+Settings!$B$5)*3,"A",IF($Y827&lt;=(Settings!$B$4+Settings!$B$5+Settings!$B$6)*3,"F","")))</f>
        <v/>
      </c>
      <c r="AA827" s="20">
        <f>IF($Z827="C",$Y827,IF($Z827="A",$Y827-Settings!$B$4*3,IF($Z827="F",$Y827-(Settings!$B$4+Settings!$B$5)*3,"")))</f>
        <v/>
      </c>
      <c r="AB827" s="20">
        <f>IF($Z827="","",INT(($AA827-1)/3)+1)</f>
        <v/>
      </c>
      <c r="AC827" s="20">
        <f>IF($Z827="","",MOD($AA827-1,3)+1)</f>
        <v/>
      </c>
      <c r="AD827" s="20">
        <f>IF($Z827="","",Settings!$B$2+$AC827-1)</f>
        <v/>
      </c>
      <c r="AE827" s="21">
        <f>IF($Z827="C",DATE(YEAR(INDEX(Contracts!$J$2:$J$151,$AB827)),MONTH(INDEX(Contracts!$J$2:$J$151,$AB827)),1),IF($Z827="A",DATE(YEAR(INDEX(Fixed_Assets!$G$2:$G$201,$AB827)),MONTH(INDEX(Fixed_Assets!$G$2:$G$201,$AB827)),1),IF($Z827="F",DATE(YEAR(MAX(N(INDEX(Workforce!$I$2:$I$151,MATCH(INDEX(FTE_Allocation!$A$2:$A$201,$AB827),Workforce!$A$2:$A$151,0))),N(INDEX(FTE_Allocation!$I$2:$I$201,$AB827)))),MONTH(MAX(N(INDEX(Workforce!$I$2:$I$151,MATCH(INDEX(FTE_Allocation!$A$2:$A$201,$AB827),Workforce!$A$2:$A$151,0))),N(INDEX(FTE_Allocation!$I$2:$I$201,$AB827)))),1),"")))</f>
        <v/>
      </c>
      <c r="AF827" s="21">
        <f>IF($Z827="C",IF(INDEX(Contracts!$I$2:$I$151,$AB827)="PREPAID",EDATE(DATE(YEAR(INDEX(Contracts!$J$2:$J$151,$AB827)),MONTH(INDEX(Contracts!$J$2:$J$151,$AB827)),1),IF(INDEX(Contracts!$N$2:$N$151,$AB827)="",12,INDEX(Contracts!$N$2:$N$151,$AB827))-1),IF(INDEX(Contracts!$I$2:$I$151,$AB827)="MONTHLY",IF(INDEX(Contracts!$K$2:$K$151,$AB827)="",2958101,INDEX(Contracts!$K$2:$K$151,$AB827)),0)),IF($Z827="A",EDATE(DATE(YEAR(INDEX(Fixed_Assets!$G$2:$G$201,$AB827)),MONTH(INDEX(Fixed_Assets!$G$2:$G$201,$AB827)),1),INDEX(Fixed_Assets!$J$2:$J$201,$AB827)-1),IF($Z827="F",MIN(IF(INDEX(Workforce!$J$2:$J$151,MATCH(INDEX(FTE_Allocation!$A$2:$A$201,$AB827),Workforce!$A$2:$A$151,0))="",2958101,INDEX(Workforce!$J$2:$J$151,MATCH(INDEX(FTE_Allocation!$A$2:$A$201,$AB827),Workforce!$A$2:$A$151,0))),IF(INDEX(FTE_Allocation!$J$2:$J$201,$AB827)="",2958101,INDEX(FTE_Allocation!$J$2:$J$201,$AB827))),"")))</f>
        <v/>
      </c>
      <c r="AG827" s="19">
        <f>IF($Z827="C",IF(INDEX(Contracts!$I$2:$I$151,$AB827)="PREPAID",INDEX(Contracts!$M$2:$M$151,$AB827)/IF(INDEX(Contracts!$N$2:$N$151,$AB827)="",12,INDEX(Contracts!$N$2:$N$151,$AB827)),IF(INDEX(Contracts!$I$2:$I$151,$AB827)="MONTHLY",INDEX(Contracts!$M$2:$M$151,$AB827),0))*(1-N(INDEX(Contracts!$O$2:$O$151,$AB827))),IF($Z827="A",INDEX(Fixed_Assets!$H$2:$H$201,$AB827)/INDEX(Fixed_Assets!$J$2:$J$201,$AB827),IF($Z827="F",INDEX(Workforce!$F$2:$F$151,MATCH(INDEX(FTE_Allocation!$A$2:$A$201,$AB827),Workforce!$A$2:$A$151,0))*N(INDEX(FTE_Allocation!$F$2:$H$201,$AB827,$AC827)),"")))</f>
        <v/>
      </c>
    </row>
    <row r="828">
      <c r="A828" s="7">
        <f>IF($Z828="","",$AD828)</f>
        <v/>
      </c>
      <c r="B828" s="7">
        <f>IF($Z828="C",INDEX(Contracts!$D$2:$D$151,$AB828)&amp;"",IF($Z828="A",INDEX(Fixed_Assets!$C$2:$C$201,$AB828)&amp;"",IF($Z828="F",INDEX(Workforce!$B$2:$B$151,MATCH(INDEX(FTE_Allocation!$A$2:$A$201,$AB828),Workforce!$A$2:$A$151,0))&amp;"","")))</f>
        <v/>
      </c>
      <c r="C828" s="7">
        <f>IF($Z828="C",INDEX(Contracts!$E$2:$E$151,$AB828)&amp;"",IF($Z828="A",INDEX(Fixed_Assets!$D$2:$D$201,$AB828)&amp;"",IF($Z828="F",INDEX(FTE_Allocation!$C$2:$C$201,$AB828)&amp;"","")))</f>
        <v/>
      </c>
      <c r="D828" s="7">
        <f>IF($Z828="C",INDEX(Contracts!$B$2:$B$151,$AB828)&amp;"",IF($Z828="A",INDEX(Fixed_Assets!$B$2:$B$201,$AB828)&amp;"",IF($Z828="F",INDEX(FTE_Allocation!$B$2:$B$201,$AB828)&amp;"","")))</f>
        <v/>
      </c>
      <c r="E828" s="7">
        <f>IF($Z828="C",INDEX(Contracts!$P$2:$P$151,$AB828)&amp;"",IF($Z828="A",INDEX(Fixed_Assets!$K$2:$K$201,$AB828)&amp;"",IF($Z828="F",IF(INDEX(FTE_Allocation!$D$2:$D$201,$AB828)="PROJECT",IFERROR(INDEX(Projects!$D:$D,MATCH(INDEX(FTE_Allocation!$E$2:$E$201,$AB828),Projects!$A:$A,0))&amp;"","#PROJECT?"),INDEX(FTE_Allocation!$E$2:$E$201,$AB828)&amp;""),"")))</f>
        <v/>
      </c>
      <c r="F828" s="7">
        <f>IF($Z828="C",INDEX(Contracts!$Q$2:$Q$151,$AB828)&amp;"",IF($Z828="A",INDEX(Fixed_Assets!$L$2:$L$201,$AB828)&amp;"",IF($Z828="F",INDEX(Workforce!$K$2:$K$151,MATCH(INDEX(FTE_Allocation!$A$2:$A$201,$AB828),Workforce!$A$2:$A$151,0))&amp;"","")))</f>
        <v/>
      </c>
      <c r="G828" s="7">
        <f>IF($Z828="C",INDEX(Contracts!$F$2:$F$151,$AB828)&amp;" / "&amp;INDEX(Contracts!$G$2:$G$151,$AB828),IF($Z828="A",INDEX(Fixed_Assets!$E$2:$E$201,$AB828)&amp;"",IF($Z828="F","Personnel "&amp;INDEX(FTE_Allocation!$A$2:$A$201,$AB828)&amp;IF(INDEX(FTE_Allocation!$D$2:$D$201,$AB828)="PROJECT"," ("&amp;INDEX(FTE_Allocation!$E$2:$E$201,$AB828)&amp;")",""),"")))</f>
        <v/>
      </c>
      <c r="H828" s="7">
        <f>IF($Z828="C","CONTRACT",IF($Z828="A","ASSET",IF($Z828="F","WORKFORCE","")))</f>
        <v/>
      </c>
      <c r="I828" s="7">
        <f>IF($Z828="C",INDEX(Contracts!$L$2:$L$151,$AB828)&amp;"",IF($Z828="A",INDEX(Fixed_Assets!$I$2:$I$201,$AB828)&amp;"",IF($Z828="F",INDEX(Workforce!$G$2:$G$151,MATCH(INDEX(FTE_Allocation!$A$2:$A$201,$AB828),Workforce!$A$2:$A$151,0))&amp;"","")))</f>
        <v/>
      </c>
      <c r="J828" s="18">
        <f>IF($Z828="","",IF(AND(DATE($AD828,1,1)&gt;=$AE828,DATE($AD828,1,1)&lt;=$AF828),ROUND($AG828,2),0))</f>
        <v/>
      </c>
      <c r="K828" s="18">
        <f>IF($Z828="","",IF(AND(DATE($AD828,2,1)&gt;=$AE828,DATE($AD828,2,1)&lt;=$AF828),ROUND($AG828,2),0))</f>
        <v/>
      </c>
      <c r="L828" s="18">
        <f>IF($Z828="","",IF(AND(DATE($AD828,3,1)&gt;=$AE828,DATE($AD828,3,1)&lt;=$AF828),ROUND($AG828,2),0))</f>
        <v/>
      </c>
      <c r="M828" s="18">
        <f>IF($Z828="","",IF(AND(DATE($AD828,4,1)&gt;=$AE828,DATE($AD828,4,1)&lt;=$AF828),ROUND($AG828,2),0))</f>
        <v/>
      </c>
      <c r="N828" s="18">
        <f>IF($Z828="","",IF(AND(DATE($AD828,5,1)&gt;=$AE828,DATE($AD828,5,1)&lt;=$AF828),ROUND($AG828,2),0))</f>
        <v/>
      </c>
      <c r="O828" s="18">
        <f>IF($Z828="","",IF(AND(DATE($AD828,6,1)&gt;=$AE828,DATE($AD828,6,1)&lt;=$AF828),ROUND($AG828,2),0))</f>
        <v/>
      </c>
      <c r="P828" s="18">
        <f>IF($Z828="","",IF(AND(DATE($AD828,7,1)&gt;=$AE828,DATE($AD828,7,1)&lt;=$AF828),ROUND($AG828,2),0))</f>
        <v/>
      </c>
      <c r="Q828" s="18">
        <f>IF($Z828="","",IF(AND(DATE($AD828,8,1)&gt;=$AE828,DATE($AD828,8,1)&lt;=$AF828),ROUND($AG828,2),0))</f>
        <v/>
      </c>
      <c r="R828" s="18">
        <f>IF($Z828="","",IF(AND(DATE($AD828,9,1)&gt;=$AE828,DATE($AD828,9,1)&lt;=$AF828),ROUND($AG828,2),0))</f>
        <v/>
      </c>
      <c r="S828" s="18">
        <f>IF($Z828="","",IF(AND(DATE($AD828,10,1)&gt;=$AE828,DATE($AD828,10,1)&lt;=$AF828),ROUND($AG828,2),0))</f>
        <v/>
      </c>
      <c r="T828" s="18">
        <f>IF($Z828="","",IF(AND(DATE($AD828,11,1)&gt;=$AE828,DATE($AD828,11,1)&lt;=$AF828),ROUND($AG828,2),0))</f>
        <v/>
      </c>
      <c r="U828" s="18">
        <f>IF($Z828="","",IF(AND(DATE($AD828,12,1)&gt;=$AE828,DATE($AD828,12,1)&lt;=$AF828),ROUND($AG828,2),0))</f>
        <v/>
      </c>
      <c r="V828" s="7">
        <f>IF($Z828="C","Generated from "&amp;INDEX(Contracts!$A$2:$A$151,$AB828),IF($Z828="A","Generated from "&amp;INDEX(Fixed_Assets!$A$2:$A$201,$AB828),IF($Z828="F","Generated from "&amp;INDEX(FTE_Allocation!$A$2:$A$201,$AB828),"")))</f>
        <v/>
      </c>
      <c r="X828" s="19">
        <f>IF($Z828="","",SUM(J828:U828))</f>
        <v/>
      </c>
      <c r="Y828" s="20">
        <f>ROW()-1</f>
        <v/>
      </c>
      <c r="Z828" s="20">
        <f>IF($Y828&lt;=Settings!$B$4*3,"C",IF($Y828&lt;=(Settings!$B$4+Settings!$B$5)*3,"A",IF($Y828&lt;=(Settings!$B$4+Settings!$B$5+Settings!$B$6)*3,"F","")))</f>
        <v/>
      </c>
      <c r="AA828" s="20">
        <f>IF($Z828="C",$Y828,IF($Z828="A",$Y828-Settings!$B$4*3,IF($Z828="F",$Y828-(Settings!$B$4+Settings!$B$5)*3,"")))</f>
        <v/>
      </c>
      <c r="AB828" s="20">
        <f>IF($Z828="","",INT(($AA828-1)/3)+1)</f>
        <v/>
      </c>
      <c r="AC828" s="20">
        <f>IF($Z828="","",MOD($AA828-1,3)+1)</f>
        <v/>
      </c>
      <c r="AD828" s="20">
        <f>IF($Z828="","",Settings!$B$2+$AC828-1)</f>
        <v/>
      </c>
      <c r="AE828" s="21">
        <f>IF($Z828="C",DATE(YEAR(INDEX(Contracts!$J$2:$J$151,$AB828)),MONTH(INDEX(Contracts!$J$2:$J$151,$AB828)),1),IF($Z828="A",DATE(YEAR(INDEX(Fixed_Assets!$G$2:$G$201,$AB828)),MONTH(INDEX(Fixed_Assets!$G$2:$G$201,$AB828)),1),IF($Z828="F",DATE(YEAR(MAX(N(INDEX(Workforce!$I$2:$I$151,MATCH(INDEX(FTE_Allocation!$A$2:$A$201,$AB828),Workforce!$A$2:$A$151,0))),N(INDEX(FTE_Allocation!$I$2:$I$201,$AB828)))),MONTH(MAX(N(INDEX(Workforce!$I$2:$I$151,MATCH(INDEX(FTE_Allocation!$A$2:$A$201,$AB828),Workforce!$A$2:$A$151,0))),N(INDEX(FTE_Allocation!$I$2:$I$201,$AB828)))),1),"")))</f>
        <v/>
      </c>
      <c r="AF828" s="21">
        <f>IF($Z828="C",IF(INDEX(Contracts!$I$2:$I$151,$AB828)="PREPAID",EDATE(DATE(YEAR(INDEX(Contracts!$J$2:$J$151,$AB828)),MONTH(INDEX(Contracts!$J$2:$J$151,$AB828)),1),IF(INDEX(Contracts!$N$2:$N$151,$AB828)="",12,INDEX(Contracts!$N$2:$N$151,$AB828))-1),IF(INDEX(Contracts!$I$2:$I$151,$AB828)="MONTHLY",IF(INDEX(Contracts!$K$2:$K$151,$AB828)="",2958101,INDEX(Contracts!$K$2:$K$151,$AB828)),0)),IF($Z828="A",EDATE(DATE(YEAR(INDEX(Fixed_Assets!$G$2:$G$201,$AB828)),MONTH(INDEX(Fixed_Assets!$G$2:$G$201,$AB828)),1),INDEX(Fixed_Assets!$J$2:$J$201,$AB828)-1),IF($Z828="F",MIN(IF(INDEX(Workforce!$J$2:$J$151,MATCH(INDEX(FTE_Allocation!$A$2:$A$201,$AB828),Workforce!$A$2:$A$151,0))="",2958101,INDEX(Workforce!$J$2:$J$151,MATCH(INDEX(FTE_Allocation!$A$2:$A$201,$AB828),Workforce!$A$2:$A$151,0))),IF(INDEX(FTE_Allocation!$J$2:$J$201,$AB828)="",2958101,INDEX(FTE_Allocation!$J$2:$J$201,$AB828))),"")))</f>
        <v/>
      </c>
      <c r="AG828" s="19">
        <f>IF($Z828="C",IF(INDEX(Contracts!$I$2:$I$151,$AB828)="PREPAID",INDEX(Contracts!$M$2:$M$151,$AB828)/IF(INDEX(Contracts!$N$2:$N$151,$AB828)="",12,INDEX(Contracts!$N$2:$N$151,$AB828)),IF(INDEX(Contracts!$I$2:$I$151,$AB828)="MONTHLY",INDEX(Contracts!$M$2:$M$151,$AB828),0))*(1-N(INDEX(Contracts!$O$2:$O$151,$AB828))),IF($Z828="A",INDEX(Fixed_Assets!$H$2:$H$201,$AB828)/INDEX(Fixed_Assets!$J$2:$J$201,$AB828),IF($Z828="F",INDEX(Workforce!$F$2:$F$151,MATCH(INDEX(FTE_Allocation!$A$2:$A$201,$AB828),Workforce!$A$2:$A$151,0))*N(INDEX(FTE_Allocation!$F$2:$H$201,$AB828,$AC828)),"")))</f>
        <v/>
      </c>
    </row>
    <row r="829">
      <c r="A829" s="7">
        <f>IF($Z829="","",$AD829)</f>
        <v/>
      </c>
      <c r="B829" s="7">
        <f>IF($Z829="C",INDEX(Contracts!$D$2:$D$151,$AB829)&amp;"",IF($Z829="A",INDEX(Fixed_Assets!$C$2:$C$201,$AB829)&amp;"",IF($Z829="F",INDEX(Workforce!$B$2:$B$151,MATCH(INDEX(FTE_Allocation!$A$2:$A$201,$AB829),Workforce!$A$2:$A$151,0))&amp;"","")))</f>
        <v/>
      </c>
      <c r="C829" s="7">
        <f>IF($Z829="C",INDEX(Contracts!$E$2:$E$151,$AB829)&amp;"",IF($Z829="A",INDEX(Fixed_Assets!$D$2:$D$201,$AB829)&amp;"",IF($Z829="F",INDEX(FTE_Allocation!$C$2:$C$201,$AB829)&amp;"","")))</f>
        <v/>
      </c>
      <c r="D829" s="7">
        <f>IF($Z829="C",INDEX(Contracts!$B$2:$B$151,$AB829)&amp;"",IF($Z829="A",INDEX(Fixed_Assets!$B$2:$B$201,$AB829)&amp;"",IF($Z829="F",INDEX(FTE_Allocation!$B$2:$B$201,$AB829)&amp;"","")))</f>
        <v/>
      </c>
      <c r="E829" s="7">
        <f>IF($Z829="C",INDEX(Contracts!$P$2:$P$151,$AB829)&amp;"",IF($Z829="A",INDEX(Fixed_Assets!$K$2:$K$201,$AB829)&amp;"",IF($Z829="F",IF(INDEX(FTE_Allocation!$D$2:$D$201,$AB829)="PROJECT",IFERROR(INDEX(Projects!$D:$D,MATCH(INDEX(FTE_Allocation!$E$2:$E$201,$AB829),Projects!$A:$A,0))&amp;"","#PROJECT?"),INDEX(FTE_Allocation!$E$2:$E$201,$AB829)&amp;""),"")))</f>
        <v/>
      </c>
      <c r="F829" s="7">
        <f>IF($Z829="C",INDEX(Contracts!$Q$2:$Q$151,$AB829)&amp;"",IF($Z829="A",INDEX(Fixed_Assets!$L$2:$L$201,$AB829)&amp;"",IF($Z829="F",INDEX(Workforce!$K$2:$K$151,MATCH(INDEX(FTE_Allocation!$A$2:$A$201,$AB829),Workforce!$A$2:$A$151,0))&amp;"","")))</f>
        <v/>
      </c>
      <c r="G829" s="7">
        <f>IF($Z829="C",INDEX(Contracts!$F$2:$F$151,$AB829)&amp;" / "&amp;INDEX(Contracts!$G$2:$G$151,$AB829),IF($Z829="A",INDEX(Fixed_Assets!$E$2:$E$201,$AB829)&amp;"",IF($Z829="F","Personnel "&amp;INDEX(FTE_Allocation!$A$2:$A$201,$AB829)&amp;IF(INDEX(FTE_Allocation!$D$2:$D$201,$AB829)="PROJECT"," ("&amp;INDEX(FTE_Allocation!$E$2:$E$201,$AB829)&amp;")",""),"")))</f>
        <v/>
      </c>
      <c r="H829" s="7">
        <f>IF($Z829="C","CONTRACT",IF($Z829="A","ASSET",IF($Z829="F","WORKFORCE","")))</f>
        <v/>
      </c>
      <c r="I829" s="7">
        <f>IF($Z829="C",INDEX(Contracts!$L$2:$L$151,$AB829)&amp;"",IF($Z829="A",INDEX(Fixed_Assets!$I$2:$I$201,$AB829)&amp;"",IF($Z829="F",INDEX(Workforce!$G$2:$G$151,MATCH(INDEX(FTE_Allocation!$A$2:$A$201,$AB829),Workforce!$A$2:$A$151,0))&amp;"","")))</f>
        <v/>
      </c>
      <c r="J829" s="18">
        <f>IF($Z829="","",IF(AND(DATE($AD829,1,1)&gt;=$AE829,DATE($AD829,1,1)&lt;=$AF829),ROUND($AG829,2),0))</f>
        <v/>
      </c>
      <c r="K829" s="18">
        <f>IF($Z829="","",IF(AND(DATE($AD829,2,1)&gt;=$AE829,DATE($AD829,2,1)&lt;=$AF829),ROUND($AG829,2),0))</f>
        <v/>
      </c>
      <c r="L829" s="18">
        <f>IF($Z829="","",IF(AND(DATE($AD829,3,1)&gt;=$AE829,DATE($AD829,3,1)&lt;=$AF829),ROUND($AG829,2),0))</f>
        <v/>
      </c>
      <c r="M829" s="18">
        <f>IF($Z829="","",IF(AND(DATE($AD829,4,1)&gt;=$AE829,DATE($AD829,4,1)&lt;=$AF829),ROUND($AG829,2),0))</f>
        <v/>
      </c>
      <c r="N829" s="18">
        <f>IF($Z829="","",IF(AND(DATE($AD829,5,1)&gt;=$AE829,DATE($AD829,5,1)&lt;=$AF829),ROUND($AG829,2),0))</f>
        <v/>
      </c>
      <c r="O829" s="18">
        <f>IF($Z829="","",IF(AND(DATE($AD829,6,1)&gt;=$AE829,DATE($AD829,6,1)&lt;=$AF829),ROUND($AG829,2),0))</f>
        <v/>
      </c>
      <c r="P829" s="18">
        <f>IF($Z829="","",IF(AND(DATE($AD829,7,1)&gt;=$AE829,DATE($AD829,7,1)&lt;=$AF829),ROUND($AG829,2),0))</f>
        <v/>
      </c>
      <c r="Q829" s="18">
        <f>IF($Z829="","",IF(AND(DATE($AD829,8,1)&gt;=$AE829,DATE($AD829,8,1)&lt;=$AF829),ROUND($AG829,2),0))</f>
        <v/>
      </c>
      <c r="R829" s="18">
        <f>IF($Z829="","",IF(AND(DATE($AD829,9,1)&gt;=$AE829,DATE($AD829,9,1)&lt;=$AF829),ROUND($AG829,2),0))</f>
        <v/>
      </c>
      <c r="S829" s="18">
        <f>IF($Z829="","",IF(AND(DATE($AD829,10,1)&gt;=$AE829,DATE($AD829,10,1)&lt;=$AF829),ROUND($AG829,2),0))</f>
        <v/>
      </c>
      <c r="T829" s="18">
        <f>IF($Z829="","",IF(AND(DATE($AD829,11,1)&gt;=$AE829,DATE($AD829,11,1)&lt;=$AF829),ROUND($AG829,2),0))</f>
        <v/>
      </c>
      <c r="U829" s="18">
        <f>IF($Z829="","",IF(AND(DATE($AD829,12,1)&gt;=$AE829,DATE($AD829,12,1)&lt;=$AF829),ROUND($AG829,2),0))</f>
        <v/>
      </c>
      <c r="V829" s="7">
        <f>IF($Z829="C","Generated from "&amp;INDEX(Contracts!$A$2:$A$151,$AB829),IF($Z829="A","Generated from "&amp;INDEX(Fixed_Assets!$A$2:$A$201,$AB829),IF($Z829="F","Generated from "&amp;INDEX(FTE_Allocation!$A$2:$A$201,$AB829),"")))</f>
        <v/>
      </c>
      <c r="X829" s="19">
        <f>IF($Z829="","",SUM(J829:U829))</f>
        <v/>
      </c>
      <c r="Y829" s="20">
        <f>ROW()-1</f>
        <v/>
      </c>
      <c r="Z829" s="20">
        <f>IF($Y829&lt;=Settings!$B$4*3,"C",IF($Y829&lt;=(Settings!$B$4+Settings!$B$5)*3,"A",IF($Y829&lt;=(Settings!$B$4+Settings!$B$5+Settings!$B$6)*3,"F","")))</f>
        <v/>
      </c>
      <c r="AA829" s="20">
        <f>IF($Z829="C",$Y829,IF($Z829="A",$Y829-Settings!$B$4*3,IF($Z829="F",$Y829-(Settings!$B$4+Settings!$B$5)*3,"")))</f>
        <v/>
      </c>
      <c r="AB829" s="20">
        <f>IF($Z829="","",INT(($AA829-1)/3)+1)</f>
        <v/>
      </c>
      <c r="AC829" s="20">
        <f>IF($Z829="","",MOD($AA829-1,3)+1)</f>
        <v/>
      </c>
      <c r="AD829" s="20">
        <f>IF($Z829="","",Settings!$B$2+$AC829-1)</f>
        <v/>
      </c>
      <c r="AE829" s="21">
        <f>IF($Z829="C",DATE(YEAR(INDEX(Contracts!$J$2:$J$151,$AB829)),MONTH(INDEX(Contracts!$J$2:$J$151,$AB829)),1),IF($Z829="A",DATE(YEAR(INDEX(Fixed_Assets!$G$2:$G$201,$AB829)),MONTH(INDEX(Fixed_Assets!$G$2:$G$201,$AB829)),1),IF($Z829="F",DATE(YEAR(MAX(N(INDEX(Workforce!$I$2:$I$151,MATCH(INDEX(FTE_Allocation!$A$2:$A$201,$AB829),Workforce!$A$2:$A$151,0))),N(INDEX(FTE_Allocation!$I$2:$I$201,$AB829)))),MONTH(MAX(N(INDEX(Workforce!$I$2:$I$151,MATCH(INDEX(FTE_Allocation!$A$2:$A$201,$AB829),Workforce!$A$2:$A$151,0))),N(INDEX(FTE_Allocation!$I$2:$I$201,$AB829)))),1),"")))</f>
        <v/>
      </c>
      <c r="AF829" s="21">
        <f>IF($Z829="C",IF(INDEX(Contracts!$I$2:$I$151,$AB829)="PREPAID",EDATE(DATE(YEAR(INDEX(Contracts!$J$2:$J$151,$AB829)),MONTH(INDEX(Contracts!$J$2:$J$151,$AB829)),1),IF(INDEX(Contracts!$N$2:$N$151,$AB829)="",12,INDEX(Contracts!$N$2:$N$151,$AB829))-1),IF(INDEX(Contracts!$I$2:$I$151,$AB829)="MONTHLY",IF(INDEX(Contracts!$K$2:$K$151,$AB829)="",2958101,INDEX(Contracts!$K$2:$K$151,$AB829)),0)),IF($Z829="A",EDATE(DATE(YEAR(INDEX(Fixed_Assets!$G$2:$G$201,$AB829)),MONTH(INDEX(Fixed_Assets!$G$2:$G$201,$AB829)),1),INDEX(Fixed_Assets!$J$2:$J$201,$AB829)-1),IF($Z829="F",MIN(IF(INDEX(Workforce!$J$2:$J$151,MATCH(INDEX(FTE_Allocation!$A$2:$A$201,$AB829),Workforce!$A$2:$A$151,0))="",2958101,INDEX(Workforce!$J$2:$J$151,MATCH(INDEX(FTE_Allocation!$A$2:$A$201,$AB829),Workforce!$A$2:$A$151,0))),IF(INDEX(FTE_Allocation!$J$2:$J$201,$AB829)="",2958101,INDEX(FTE_Allocation!$J$2:$J$201,$AB829))),"")))</f>
        <v/>
      </c>
      <c r="AG829" s="19">
        <f>IF($Z829="C",IF(INDEX(Contracts!$I$2:$I$151,$AB829)="PREPAID",INDEX(Contracts!$M$2:$M$151,$AB829)/IF(INDEX(Contracts!$N$2:$N$151,$AB829)="",12,INDEX(Contracts!$N$2:$N$151,$AB829)),IF(INDEX(Contracts!$I$2:$I$151,$AB829)="MONTHLY",INDEX(Contracts!$M$2:$M$151,$AB829),0))*(1-N(INDEX(Contracts!$O$2:$O$151,$AB829))),IF($Z829="A",INDEX(Fixed_Assets!$H$2:$H$201,$AB829)/INDEX(Fixed_Assets!$J$2:$J$201,$AB829),IF($Z829="F",INDEX(Workforce!$F$2:$F$151,MATCH(INDEX(FTE_Allocation!$A$2:$A$201,$AB829),Workforce!$A$2:$A$151,0))*N(INDEX(FTE_Allocation!$F$2:$H$201,$AB829,$AC829)),"")))</f>
        <v/>
      </c>
    </row>
    <row r="830">
      <c r="A830" s="7">
        <f>IF($Z830="","",$AD830)</f>
        <v/>
      </c>
      <c r="B830" s="7">
        <f>IF($Z830="C",INDEX(Contracts!$D$2:$D$151,$AB830)&amp;"",IF($Z830="A",INDEX(Fixed_Assets!$C$2:$C$201,$AB830)&amp;"",IF($Z830="F",INDEX(Workforce!$B$2:$B$151,MATCH(INDEX(FTE_Allocation!$A$2:$A$201,$AB830),Workforce!$A$2:$A$151,0))&amp;"","")))</f>
        <v/>
      </c>
      <c r="C830" s="7">
        <f>IF($Z830="C",INDEX(Contracts!$E$2:$E$151,$AB830)&amp;"",IF($Z830="A",INDEX(Fixed_Assets!$D$2:$D$201,$AB830)&amp;"",IF($Z830="F",INDEX(FTE_Allocation!$C$2:$C$201,$AB830)&amp;"","")))</f>
        <v/>
      </c>
      <c r="D830" s="7">
        <f>IF($Z830="C",INDEX(Contracts!$B$2:$B$151,$AB830)&amp;"",IF($Z830="A",INDEX(Fixed_Assets!$B$2:$B$201,$AB830)&amp;"",IF($Z830="F",INDEX(FTE_Allocation!$B$2:$B$201,$AB830)&amp;"","")))</f>
        <v/>
      </c>
      <c r="E830" s="7">
        <f>IF($Z830="C",INDEX(Contracts!$P$2:$P$151,$AB830)&amp;"",IF($Z830="A",INDEX(Fixed_Assets!$K$2:$K$201,$AB830)&amp;"",IF($Z830="F",IF(INDEX(FTE_Allocation!$D$2:$D$201,$AB830)="PROJECT",IFERROR(INDEX(Projects!$D:$D,MATCH(INDEX(FTE_Allocation!$E$2:$E$201,$AB830),Projects!$A:$A,0))&amp;"","#PROJECT?"),INDEX(FTE_Allocation!$E$2:$E$201,$AB830)&amp;""),"")))</f>
        <v/>
      </c>
      <c r="F830" s="7">
        <f>IF($Z830="C",INDEX(Contracts!$Q$2:$Q$151,$AB830)&amp;"",IF($Z830="A",INDEX(Fixed_Assets!$L$2:$L$201,$AB830)&amp;"",IF($Z830="F",INDEX(Workforce!$K$2:$K$151,MATCH(INDEX(FTE_Allocation!$A$2:$A$201,$AB830),Workforce!$A$2:$A$151,0))&amp;"","")))</f>
        <v/>
      </c>
      <c r="G830" s="7">
        <f>IF($Z830="C",INDEX(Contracts!$F$2:$F$151,$AB830)&amp;" / "&amp;INDEX(Contracts!$G$2:$G$151,$AB830),IF($Z830="A",INDEX(Fixed_Assets!$E$2:$E$201,$AB830)&amp;"",IF($Z830="F","Personnel "&amp;INDEX(FTE_Allocation!$A$2:$A$201,$AB830)&amp;IF(INDEX(FTE_Allocation!$D$2:$D$201,$AB830)="PROJECT"," ("&amp;INDEX(FTE_Allocation!$E$2:$E$201,$AB830)&amp;")",""),"")))</f>
        <v/>
      </c>
      <c r="H830" s="7">
        <f>IF($Z830="C","CONTRACT",IF($Z830="A","ASSET",IF($Z830="F","WORKFORCE","")))</f>
        <v/>
      </c>
      <c r="I830" s="7">
        <f>IF($Z830="C",INDEX(Contracts!$L$2:$L$151,$AB830)&amp;"",IF($Z830="A",INDEX(Fixed_Assets!$I$2:$I$201,$AB830)&amp;"",IF($Z830="F",INDEX(Workforce!$G$2:$G$151,MATCH(INDEX(FTE_Allocation!$A$2:$A$201,$AB830),Workforce!$A$2:$A$151,0))&amp;"","")))</f>
        <v/>
      </c>
      <c r="J830" s="18">
        <f>IF($Z830="","",IF(AND(DATE($AD830,1,1)&gt;=$AE830,DATE($AD830,1,1)&lt;=$AF830),ROUND($AG830,2),0))</f>
        <v/>
      </c>
      <c r="K830" s="18">
        <f>IF($Z830="","",IF(AND(DATE($AD830,2,1)&gt;=$AE830,DATE($AD830,2,1)&lt;=$AF830),ROUND($AG830,2),0))</f>
        <v/>
      </c>
      <c r="L830" s="18">
        <f>IF($Z830="","",IF(AND(DATE($AD830,3,1)&gt;=$AE830,DATE($AD830,3,1)&lt;=$AF830),ROUND($AG830,2),0))</f>
        <v/>
      </c>
      <c r="M830" s="18">
        <f>IF($Z830="","",IF(AND(DATE($AD830,4,1)&gt;=$AE830,DATE($AD830,4,1)&lt;=$AF830),ROUND($AG830,2),0))</f>
        <v/>
      </c>
      <c r="N830" s="18">
        <f>IF($Z830="","",IF(AND(DATE($AD830,5,1)&gt;=$AE830,DATE($AD830,5,1)&lt;=$AF830),ROUND($AG830,2),0))</f>
        <v/>
      </c>
      <c r="O830" s="18">
        <f>IF($Z830="","",IF(AND(DATE($AD830,6,1)&gt;=$AE830,DATE($AD830,6,1)&lt;=$AF830),ROUND($AG830,2),0))</f>
        <v/>
      </c>
      <c r="P830" s="18">
        <f>IF($Z830="","",IF(AND(DATE($AD830,7,1)&gt;=$AE830,DATE($AD830,7,1)&lt;=$AF830),ROUND($AG830,2),0))</f>
        <v/>
      </c>
      <c r="Q830" s="18">
        <f>IF($Z830="","",IF(AND(DATE($AD830,8,1)&gt;=$AE830,DATE($AD830,8,1)&lt;=$AF830),ROUND($AG830,2),0))</f>
        <v/>
      </c>
      <c r="R830" s="18">
        <f>IF($Z830="","",IF(AND(DATE($AD830,9,1)&gt;=$AE830,DATE($AD830,9,1)&lt;=$AF830),ROUND($AG830,2),0))</f>
        <v/>
      </c>
      <c r="S830" s="18">
        <f>IF($Z830="","",IF(AND(DATE($AD830,10,1)&gt;=$AE830,DATE($AD830,10,1)&lt;=$AF830),ROUND($AG830,2),0))</f>
        <v/>
      </c>
      <c r="T830" s="18">
        <f>IF($Z830="","",IF(AND(DATE($AD830,11,1)&gt;=$AE830,DATE($AD830,11,1)&lt;=$AF830),ROUND($AG830,2),0))</f>
        <v/>
      </c>
      <c r="U830" s="18">
        <f>IF($Z830="","",IF(AND(DATE($AD830,12,1)&gt;=$AE830,DATE($AD830,12,1)&lt;=$AF830),ROUND($AG830,2),0))</f>
        <v/>
      </c>
      <c r="V830" s="7">
        <f>IF($Z830="C","Generated from "&amp;INDEX(Contracts!$A$2:$A$151,$AB830),IF($Z830="A","Generated from "&amp;INDEX(Fixed_Assets!$A$2:$A$201,$AB830),IF($Z830="F","Generated from "&amp;INDEX(FTE_Allocation!$A$2:$A$201,$AB830),"")))</f>
        <v/>
      </c>
      <c r="X830" s="19">
        <f>IF($Z830="","",SUM(J830:U830))</f>
        <v/>
      </c>
      <c r="Y830" s="20">
        <f>ROW()-1</f>
        <v/>
      </c>
      <c r="Z830" s="20">
        <f>IF($Y830&lt;=Settings!$B$4*3,"C",IF($Y830&lt;=(Settings!$B$4+Settings!$B$5)*3,"A",IF($Y830&lt;=(Settings!$B$4+Settings!$B$5+Settings!$B$6)*3,"F","")))</f>
        <v/>
      </c>
      <c r="AA830" s="20">
        <f>IF($Z830="C",$Y830,IF($Z830="A",$Y830-Settings!$B$4*3,IF($Z830="F",$Y830-(Settings!$B$4+Settings!$B$5)*3,"")))</f>
        <v/>
      </c>
      <c r="AB830" s="20">
        <f>IF($Z830="","",INT(($AA830-1)/3)+1)</f>
        <v/>
      </c>
      <c r="AC830" s="20">
        <f>IF($Z830="","",MOD($AA830-1,3)+1)</f>
        <v/>
      </c>
      <c r="AD830" s="20">
        <f>IF($Z830="","",Settings!$B$2+$AC830-1)</f>
        <v/>
      </c>
      <c r="AE830" s="21">
        <f>IF($Z830="C",DATE(YEAR(INDEX(Contracts!$J$2:$J$151,$AB830)),MONTH(INDEX(Contracts!$J$2:$J$151,$AB830)),1),IF($Z830="A",DATE(YEAR(INDEX(Fixed_Assets!$G$2:$G$201,$AB830)),MONTH(INDEX(Fixed_Assets!$G$2:$G$201,$AB830)),1),IF($Z830="F",DATE(YEAR(MAX(N(INDEX(Workforce!$I$2:$I$151,MATCH(INDEX(FTE_Allocation!$A$2:$A$201,$AB830),Workforce!$A$2:$A$151,0))),N(INDEX(FTE_Allocation!$I$2:$I$201,$AB830)))),MONTH(MAX(N(INDEX(Workforce!$I$2:$I$151,MATCH(INDEX(FTE_Allocation!$A$2:$A$201,$AB830),Workforce!$A$2:$A$151,0))),N(INDEX(FTE_Allocation!$I$2:$I$201,$AB830)))),1),"")))</f>
        <v/>
      </c>
      <c r="AF830" s="21">
        <f>IF($Z830="C",IF(INDEX(Contracts!$I$2:$I$151,$AB830)="PREPAID",EDATE(DATE(YEAR(INDEX(Contracts!$J$2:$J$151,$AB830)),MONTH(INDEX(Contracts!$J$2:$J$151,$AB830)),1),IF(INDEX(Contracts!$N$2:$N$151,$AB830)="",12,INDEX(Contracts!$N$2:$N$151,$AB830))-1),IF(INDEX(Contracts!$I$2:$I$151,$AB830)="MONTHLY",IF(INDEX(Contracts!$K$2:$K$151,$AB830)="",2958101,INDEX(Contracts!$K$2:$K$151,$AB830)),0)),IF($Z830="A",EDATE(DATE(YEAR(INDEX(Fixed_Assets!$G$2:$G$201,$AB830)),MONTH(INDEX(Fixed_Assets!$G$2:$G$201,$AB830)),1),INDEX(Fixed_Assets!$J$2:$J$201,$AB830)-1),IF($Z830="F",MIN(IF(INDEX(Workforce!$J$2:$J$151,MATCH(INDEX(FTE_Allocation!$A$2:$A$201,$AB830),Workforce!$A$2:$A$151,0))="",2958101,INDEX(Workforce!$J$2:$J$151,MATCH(INDEX(FTE_Allocation!$A$2:$A$201,$AB830),Workforce!$A$2:$A$151,0))),IF(INDEX(FTE_Allocation!$J$2:$J$201,$AB830)="",2958101,INDEX(FTE_Allocation!$J$2:$J$201,$AB830))),"")))</f>
        <v/>
      </c>
      <c r="AG830" s="19">
        <f>IF($Z830="C",IF(INDEX(Contracts!$I$2:$I$151,$AB830)="PREPAID",INDEX(Contracts!$M$2:$M$151,$AB830)/IF(INDEX(Contracts!$N$2:$N$151,$AB830)="",12,INDEX(Contracts!$N$2:$N$151,$AB830)),IF(INDEX(Contracts!$I$2:$I$151,$AB830)="MONTHLY",INDEX(Contracts!$M$2:$M$151,$AB830),0))*(1-N(INDEX(Contracts!$O$2:$O$151,$AB830))),IF($Z830="A",INDEX(Fixed_Assets!$H$2:$H$201,$AB830)/INDEX(Fixed_Assets!$J$2:$J$201,$AB830),IF($Z830="F",INDEX(Workforce!$F$2:$F$151,MATCH(INDEX(FTE_Allocation!$A$2:$A$201,$AB830),Workforce!$A$2:$A$151,0))*N(INDEX(FTE_Allocation!$F$2:$H$201,$AB830,$AC830)),"")))</f>
        <v/>
      </c>
    </row>
    <row r="831">
      <c r="A831" s="7">
        <f>IF($Z831="","",$AD831)</f>
        <v/>
      </c>
      <c r="B831" s="7">
        <f>IF($Z831="C",INDEX(Contracts!$D$2:$D$151,$AB831)&amp;"",IF($Z831="A",INDEX(Fixed_Assets!$C$2:$C$201,$AB831)&amp;"",IF($Z831="F",INDEX(Workforce!$B$2:$B$151,MATCH(INDEX(FTE_Allocation!$A$2:$A$201,$AB831),Workforce!$A$2:$A$151,0))&amp;"","")))</f>
        <v/>
      </c>
      <c r="C831" s="7">
        <f>IF($Z831="C",INDEX(Contracts!$E$2:$E$151,$AB831)&amp;"",IF($Z831="A",INDEX(Fixed_Assets!$D$2:$D$201,$AB831)&amp;"",IF($Z831="F",INDEX(FTE_Allocation!$C$2:$C$201,$AB831)&amp;"","")))</f>
        <v/>
      </c>
      <c r="D831" s="7">
        <f>IF($Z831="C",INDEX(Contracts!$B$2:$B$151,$AB831)&amp;"",IF($Z831="A",INDEX(Fixed_Assets!$B$2:$B$201,$AB831)&amp;"",IF($Z831="F",INDEX(FTE_Allocation!$B$2:$B$201,$AB831)&amp;"","")))</f>
        <v/>
      </c>
      <c r="E831" s="7">
        <f>IF($Z831="C",INDEX(Contracts!$P$2:$P$151,$AB831)&amp;"",IF($Z831="A",INDEX(Fixed_Assets!$K$2:$K$201,$AB831)&amp;"",IF($Z831="F",IF(INDEX(FTE_Allocation!$D$2:$D$201,$AB831)="PROJECT",IFERROR(INDEX(Projects!$D:$D,MATCH(INDEX(FTE_Allocation!$E$2:$E$201,$AB831),Projects!$A:$A,0))&amp;"","#PROJECT?"),INDEX(FTE_Allocation!$E$2:$E$201,$AB831)&amp;""),"")))</f>
        <v/>
      </c>
      <c r="F831" s="7">
        <f>IF($Z831="C",INDEX(Contracts!$Q$2:$Q$151,$AB831)&amp;"",IF($Z831="A",INDEX(Fixed_Assets!$L$2:$L$201,$AB831)&amp;"",IF($Z831="F",INDEX(Workforce!$K$2:$K$151,MATCH(INDEX(FTE_Allocation!$A$2:$A$201,$AB831),Workforce!$A$2:$A$151,0))&amp;"","")))</f>
        <v/>
      </c>
      <c r="G831" s="7">
        <f>IF($Z831="C",INDEX(Contracts!$F$2:$F$151,$AB831)&amp;" / "&amp;INDEX(Contracts!$G$2:$G$151,$AB831),IF($Z831="A",INDEX(Fixed_Assets!$E$2:$E$201,$AB831)&amp;"",IF($Z831="F","Personnel "&amp;INDEX(FTE_Allocation!$A$2:$A$201,$AB831)&amp;IF(INDEX(FTE_Allocation!$D$2:$D$201,$AB831)="PROJECT"," ("&amp;INDEX(FTE_Allocation!$E$2:$E$201,$AB831)&amp;")",""),"")))</f>
        <v/>
      </c>
      <c r="H831" s="7">
        <f>IF($Z831="C","CONTRACT",IF($Z831="A","ASSET",IF($Z831="F","WORKFORCE","")))</f>
        <v/>
      </c>
      <c r="I831" s="7">
        <f>IF($Z831="C",INDEX(Contracts!$L$2:$L$151,$AB831)&amp;"",IF($Z831="A",INDEX(Fixed_Assets!$I$2:$I$201,$AB831)&amp;"",IF($Z831="F",INDEX(Workforce!$G$2:$G$151,MATCH(INDEX(FTE_Allocation!$A$2:$A$201,$AB831),Workforce!$A$2:$A$151,0))&amp;"","")))</f>
        <v/>
      </c>
      <c r="J831" s="18">
        <f>IF($Z831="","",IF(AND(DATE($AD831,1,1)&gt;=$AE831,DATE($AD831,1,1)&lt;=$AF831),ROUND($AG831,2),0))</f>
        <v/>
      </c>
      <c r="K831" s="18">
        <f>IF($Z831="","",IF(AND(DATE($AD831,2,1)&gt;=$AE831,DATE($AD831,2,1)&lt;=$AF831),ROUND($AG831,2),0))</f>
        <v/>
      </c>
      <c r="L831" s="18">
        <f>IF($Z831="","",IF(AND(DATE($AD831,3,1)&gt;=$AE831,DATE($AD831,3,1)&lt;=$AF831),ROUND($AG831,2),0))</f>
        <v/>
      </c>
      <c r="M831" s="18">
        <f>IF($Z831="","",IF(AND(DATE($AD831,4,1)&gt;=$AE831,DATE($AD831,4,1)&lt;=$AF831),ROUND($AG831,2),0))</f>
        <v/>
      </c>
      <c r="N831" s="18">
        <f>IF($Z831="","",IF(AND(DATE($AD831,5,1)&gt;=$AE831,DATE($AD831,5,1)&lt;=$AF831),ROUND($AG831,2),0))</f>
        <v/>
      </c>
      <c r="O831" s="18">
        <f>IF($Z831="","",IF(AND(DATE($AD831,6,1)&gt;=$AE831,DATE($AD831,6,1)&lt;=$AF831),ROUND($AG831,2),0))</f>
        <v/>
      </c>
      <c r="P831" s="18">
        <f>IF($Z831="","",IF(AND(DATE($AD831,7,1)&gt;=$AE831,DATE($AD831,7,1)&lt;=$AF831),ROUND($AG831,2),0))</f>
        <v/>
      </c>
      <c r="Q831" s="18">
        <f>IF($Z831="","",IF(AND(DATE($AD831,8,1)&gt;=$AE831,DATE($AD831,8,1)&lt;=$AF831),ROUND($AG831,2),0))</f>
        <v/>
      </c>
      <c r="R831" s="18">
        <f>IF($Z831="","",IF(AND(DATE($AD831,9,1)&gt;=$AE831,DATE($AD831,9,1)&lt;=$AF831),ROUND($AG831,2),0))</f>
        <v/>
      </c>
      <c r="S831" s="18">
        <f>IF($Z831="","",IF(AND(DATE($AD831,10,1)&gt;=$AE831,DATE($AD831,10,1)&lt;=$AF831),ROUND($AG831,2),0))</f>
        <v/>
      </c>
      <c r="T831" s="18">
        <f>IF($Z831="","",IF(AND(DATE($AD831,11,1)&gt;=$AE831,DATE($AD831,11,1)&lt;=$AF831),ROUND($AG831,2),0))</f>
        <v/>
      </c>
      <c r="U831" s="18">
        <f>IF($Z831="","",IF(AND(DATE($AD831,12,1)&gt;=$AE831,DATE($AD831,12,1)&lt;=$AF831),ROUND($AG831,2),0))</f>
        <v/>
      </c>
      <c r="V831" s="7">
        <f>IF($Z831="C","Generated from "&amp;INDEX(Contracts!$A$2:$A$151,$AB831),IF($Z831="A","Generated from "&amp;INDEX(Fixed_Assets!$A$2:$A$201,$AB831),IF($Z831="F","Generated from "&amp;INDEX(FTE_Allocation!$A$2:$A$201,$AB831),"")))</f>
        <v/>
      </c>
      <c r="X831" s="19">
        <f>IF($Z831="","",SUM(J831:U831))</f>
        <v/>
      </c>
      <c r="Y831" s="20">
        <f>ROW()-1</f>
        <v/>
      </c>
      <c r="Z831" s="20">
        <f>IF($Y831&lt;=Settings!$B$4*3,"C",IF($Y831&lt;=(Settings!$B$4+Settings!$B$5)*3,"A",IF($Y831&lt;=(Settings!$B$4+Settings!$B$5+Settings!$B$6)*3,"F","")))</f>
        <v/>
      </c>
      <c r="AA831" s="20">
        <f>IF($Z831="C",$Y831,IF($Z831="A",$Y831-Settings!$B$4*3,IF($Z831="F",$Y831-(Settings!$B$4+Settings!$B$5)*3,"")))</f>
        <v/>
      </c>
      <c r="AB831" s="20">
        <f>IF($Z831="","",INT(($AA831-1)/3)+1)</f>
        <v/>
      </c>
      <c r="AC831" s="20">
        <f>IF($Z831="","",MOD($AA831-1,3)+1)</f>
        <v/>
      </c>
      <c r="AD831" s="20">
        <f>IF($Z831="","",Settings!$B$2+$AC831-1)</f>
        <v/>
      </c>
      <c r="AE831" s="21">
        <f>IF($Z831="C",DATE(YEAR(INDEX(Contracts!$J$2:$J$151,$AB831)),MONTH(INDEX(Contracts!$J$2:$J$151,$AB831)),1),IF($Z831="A",DATE(YEAR(INDEX(Fixed_Assets!$G$2:$G$201,$AB831)),MONTH(INDEX(Fixed_Assets!$G$2:$G$201,$AB831)),1),IF($Z831="F",DATE(YEAR(MAX(N(INDEX(Workforce!$I$2:$I$151,MATCH(INDEX(FTE_Allocation!$A$2:$A$201,$AB831),Workforce!$A$2:$A$151,0))),N(INDEX(FTE_Allocation!$I$2:$I$201,$AB831)))),MONTH(MAX(N(INDEX(Workforce!$I$2:$I$151,MATCH(INDEX(FTE_Allocation!$A$2:$A$201,$AB831),Workforce!$A$2:$A$151,0))),N(INDEX(FTE_Allocation!$I$2:$I$201,$AB831)))),1),"")))</f>
        <v/>
      </c>
      <c r="AF831" s="21">
        <f>IF($Z831="C",IF(INDEX(Contracts!$I$2:$I$151,$AB831)="PREPAID",EDATE(DATE(YEAR(INDEX(Contracts!$J$2:$J$151,$AB831)),MONTH(INDEX(Contracts!$J$2:$J$151,$AB831)),1),IF(INDEX(Contracts!$N$2:$N$151,$AB831)="",12,INDEX(Contracts!$N$2:$N$151,$AB831))-1),IF(INDEX(Contracts!$I$2:$I$151,$AB831)="MONTHLY",IF(INDEX(Contracts!$K$2:$K$151,$AB831)="",2958101,INDEX(Contracts!$K$2:$K$151,$AB831)),0)),IF($Z831="A",EDATE(DATE(YEAR(INDEX(Fixed_Assets!$G$2:$G$201,$AB831)),MONTH(INDEX(Fixed_Assets!$G$2:$G$201,$AB831)),1),INDEX(Fixed_Assets!$J$2:$J$201,$AB831)-1),IF($Z831="F",MIN(IF(INDEX(Workforce!$J$2:$J$151,MATCH(INDEX(FTE_Allocation!$A$2:$A$201,$AB831),Workforce!$A$2:$A$151,0))="",2958101,INDEX(Workforce!$J$2:$J$151,MATCH(INDEX(FTE_Allocation!$A$2:$A$201,$AB831),Workforce!$A$2:$A$151,0))),IF(INDEX(FTE_Allocation!$J$2:$J$201,$AB831)="",2958101,INDEX(FTE_Allocation!$J$2:$J$201,$AB831))),"")))</f>
        <v/>
      </c>
      <c r="AG831" s="19">
        <f>IF($Z831="C",IF(INDEX(Contracts!$I$2:$I$151,$AB831)="PREPAID",INDEX(Contracts!$M$2:$M$151,$AB831)/IF(INDEX(Contracts!$N$2:$N$151,$AB831)="",12,INDEX(Contracts!$N$2:$N$151,$AB831)),IF(INDEX(Contracts!$I$2:$I$151,$AB831)="MONTHLY",INDEX(Contracts!$M$2:$M$151,$AB831),0))*(1-N(INDEX(Contracts!$O$2:$O$151,$AB831))),IF($Z831="A",INDEX(Fixed_Assets!$H$2:$H$201,$AB831)/INDEX(Fixed_Assets!$J$2:$J$201,$AB831),IF($Z831="F",INDEX(Workforce!$F$2:$F$151,MATCH(INDEX(FTE_Allocation!$A$2:$A$201,$AB831),Workforce!$A$2:$A$151,0))*N(INDEX(FTE_Allocation!$F$2:$H$201,$AB831,$AC831)),"")))</f>
        <v/>
      </c>
    </row>
    <row r="832">
      <c r="A832" s="7">
        <f>IF($Z832="","",$AD832)</f>
        <v/>
      </c>
      <c r="B832" s="7">
        <f>IF($Z832="C",INDEX(Contracts!$D$2:$D$151,$AB832)&amp;"",IF($Z832="A",INDEX(Fixed_Assets!$C$2:$C$201,$AB832)&amp;"",IF($Z832="F",INDEX(Workforce!$B$2:$B$151,MATCH(INDEX(FTE_Allocation!$A$2:$A$201,$AB832),Workforce!$A$2:$A$151,0))&amp;"","")))</f>
        <v/>
      </c>
      <c r="C832" s="7">
        <f>IF($Z832="C",INDEX(Contracts!$E$2:$E$151,$AB832)&amp;"",IF($Z832="A",INDEX(Fixed_Assets!$D$2:$D$201,$AB832)&amp;"",IF($Z832="F",INDEX(FTE_Allocation!$C$2:$C$201,$AB832)&amp;"","")))</f>
        <v/>
      </c>
      <c r="D832" s="7">
        <f>IF($Z832="C",INDEX(Contracts!$B$2:$B$151,$AB832)&amp;"",IF($Z832="A",INDEX(Fixed_Assets!$B$2:$B$201,$AB832)&amp;"",IF($Z832="F",INDEX(FTE_Allocation!$B$2:$B$201,$AB832)&amp;"","")))</f>
        <v/>
      </c>
      <c r="E832" s="7">
        <f>IF($Z832="C",INDEX(Contracts!$P$2:$P$151,$AB832)&amp;"",IF($Z832="A",INDEX(Fixed_Assets!$K$2:$K$201,$AB832)&amp;"",IF($Z832="F",IF(INDEX(FTE_Allocation!$D$2:$D$201,$AB832)="PROJECT",IFERROR(INDEX(Projects!$D:$D,MATCH(INDEX(FTE_Allocation!$E$2:$E$201,$AB832),Projects!$A:$A,0))&amp;"","#PROJECT?"),INDEX(FTE_Allocation!$E$2:$E$201,$AB832)&amp;""),"")))</f>
        <v/>
      </c>
      <c r="F832" s="7">
        <f>IF($Z832="C",INDEX(Contracts!$Q$2:$Q$151,$AB832)&amp;"",IF($Z832="A",INDEX(Fixed_Assets!$L$2:$L$201,$AB832)&amp;"",IF($Z832="F",INDEX(Workforce!$K$2:$K$151,MATCH(INDEX(FTE_Allocation!$A$2:$A$201,$AB832),Workforce!$A$2:$A$151,0))&amp;"","")))</f>
        <v/>
      </c>
      <c r="G832" s="7">
        <f>IF($Z832="C",INDEX(Contracts!$F$2:$F$151,$AB832)&amp;" / "&amp;INDEX(Contracts!$G$2:$G$151,$AB832),IF($Z832="A",INDEX(Fixed_Assets!$E$2:$E$201,$AB832)&amp;"",IF($Z832="F","Personnel "&amp;INDEX(FTE_Allocation!$A$2:$A$201,$AB832)&amp;IF(INDEX(FTE_Allocation!$D$2:$D$201,$AB832)="PROJECT"," ("&amp;INDEX(FTE_Allocation!$E$2:$E$201,$AB832)&amp;")",""),"")))</f>
        <v/>
      </c>
      <c r="H832" s="7">
        <f>IF($Z832="C","CONTRACT",IF($Z832="A","ASSET",IF($Z832="F","WORKFORCE","")))</f>
        <v/>
      </c>
      <c r="I832" s="7">
        <f>IF($Z832="C",INDEX(Contracts!$L$2:$L$151,$AB832)&amp;"",IF($Z832="A",INDEX(Fixed_Assets!$I$2:$I$201,$AB832)&amp;"",IF($Z832="F",INDEX(Workforce!$G$2:$G$151,MATCH(INDEX(FTE_Allocation!$A$2:$A$201,$AB832),Workforce!$A$2:$A$151,0))&amp;"","")))</f>
        <v/>
      </c>
      <c r="J832" s="18">
        <f>IF($Z832="","",IF(AND(DATE($AD832,1,1)&gt;=$AE832,DATE($AD832,1,1)&lt;=$AF832),ROUND($AG832,2),0))</f>
        <v/>
      </c>
      <c r="K832" s="18">
        <f>IF($Z832="","",IF(AND(DATE($AD832,2,1)&gt;=$AE832,DATE($AD832,2,1)&lt;=$AF832),ROUND($AG832,2),0))</f>
        <v/>
      </c>
      <c r="L832" s="18">
        <f>IF($Z832="","",IF(AND(DATE($AD832,3,1)&gt;=$AE832,DATE($AD832,3,1)&lt;=$AF832),ROUND($AG832,2),0))</f>
        <v/>
      </c>
      <c r="M832" s="18">
        <f>IF($Z832="","",IF(AND(DATE($AD832,4,1)&gt;=$AE832,DATE($AD832,4,1)&lt;=$AF832),ROUND($AG832,2),0))</f>
        <v/>
      </c>
      <c r="N832" s="18">
        <f>IF($Z832="","",IF(AND(DATE($AD832,5,1)&gt;=$AE832,DATE($AD832,5,1)&lt;=$AF832),ROUND($AG832,2),0))</f>
        <v/>
      </c>
      <c r="O832" s="18">
        <f>IF($Z832="","",IF(AND(DATE($AD832,6,1)&gt;=$AE832,DATE($AD832,6,1)&lt;=$AF832),ROUND($AG832,2),0))</f>
        <v/>
      </c>
      <c r="P832" s="18">
        <f>IF($Z832="","",IF(AND(DATE($AD832,7,1)&gt;=$AE832,DATE($AD832,7,1)&lt;=$AF832),ROUND($AG832,2),0))</f>
        <v/>
      </c>
      <c r="Q832" s="18">
        <f>IF($Z832="","",IF(AND(DATE($AD832,8,1)&gt;=$AE832,DATE($AD832,8,1)&lt;=$AF832),ROUND($AG832,2),0))</f>
        <v/>
      </c>
      <c r="R832" s="18">
        <f>IF($Z832="","",IF(AND(DATE($AD832,9,1)&gt;=$AE832,DATE($AD832,9,1)&lt;=$AF832),ROUND($AG832,2),0))</f>
        <v/>
      </c>
      <c r="S832" s="18">
        <f>IF($Z832="","",IF(AND(DATE($AD832,10,1)&gt;=$AE832,DATE($AD832,10,1)&lt;=$AF832),ROUND($AG832,2),0))</f>
        <v/>
      </c>
      <c r="T832" s="18">
        <f>IF($Z832="","",IF(AND(DATE($AD832,11,1)&gt;=$AE832,DATE($AD832,11,1)&lt;=$AF832),ROUND($AG832,2),0))</f>
        <v/>
      </c>
      <c r="U832" s="18">
        <f>IF($Z832="","",IF(AND(DATE($AD832,12,1)&gt;=$AE832,DATE($AD832,12,1)&lt;=$AF832),ROUND($AG832,2),0))</f>
        <v/>
      </c>
      <c r="V832" s="7">
        <f>IF($Z832="C","Generated from "&amp;INDEX(Contracts!$A$2:$A$151,$AB832),IF($Z832="A","Generated from "&amp;INDEX(Fixed_Assets!$A$2:$A$201,$AB832),IF($Z832="F","Generated from "&amp;INDEX(FTE_Allocation!$A$2:$A$201,$AB832),"")))</f>
        <v/>
      </c>
      <c r="X832" s="19">
        <f>IF($Z832="","",SUM(J832:U832))</f>
        <v/>
      </c>
      <c r="Y832" s="20">
        <f>ROW()-1</f>
        <v/>
      </c>
      <c r="Z832" s="20">
        <f>IF($Y832&lt;=Settings!$B$4*3,"C",IF($Y832&lt;=(Settings!$B$4+Settings!$B$5)*3,"A",IF($Y832&lt;=(Settings!$B$4+Settings!$B$5+Settings!$B$6)*3,"F","")))</f>
        <v/>
      </c>
      <c r="AA832" s="20">
        <f>IF($Z832="C",$Y832,IF($Z832="A",$Y832-Settings!$B$4*3,IF($Z832="F",$Y832-(Settings!$B$4+Settings!$B$5)*3,"")))</f>
        <v/>
      </c>
      <c r="AB832" s="20">
        <f>IF($Z832="","",INT(($AA832-1)/3)+1)</f>
        <v/>
      </c>
      <c r="AC832" s="20">
        <f>IF($Z832="","",MOD($AA832-1,3)+1)</f>
        <v/>
      </c>
      <c r="AD832" s="20">
        <f>IF($Z832="","",Settings!$B$2+$AC832-1)</f>
        <v/>
      </c>
      <c r="AE832" s="21">
        <f>IF($Z832="C",DATE(YEAR(INDEX(Contracts!$J$2:$J$151,$AB832)),MONTH(INDEX(Contracts!$J$2:$J$151,$AB832)),1),IF($Z832="A",DATE(YEAR(INDEX(Fixed_Assets!$G$2:$G$201,$AB832)),MONTH(INDEX(Fixed_Assets!$G$2:$G$201,$AB832)),1),IF($Z832="F",DATE(YEAR(MAX(N(INDEX(Workforce!$I$2:$I$151,MATCH(INDEX(FTE_Allocation!$A$2:$A$201,$AB832),Workforce!$A$2:$A$151,0))),N(INDEX(FTE_Allocation!$I$2:$I$201,$AB832)))),MONTH(MAX(N(INDEX(Workforce!$I$2:$I$151,MATCH(INDEX(FTE_Allocation!$A$2:$A$201,$AB832),Workforce!$A$2:$A$151,0))),N(INDEX(FTE_Allocation!$I$2:$I$201,$AB832)))),1),"")))</f>
        <v/>
      </c>
      <c r="AF832" s="21">
        <f>IF($Z832="C",IF(INDEX(Contracts!$I$2:$I$151,$AB832)="PREPAID",EDATE(DATE(YEAR(INDEX(Contracts!$J$2:$J$151,$AB832)),MONTH(INDEX(Contracts!$J$2:$J$151,$AB832)),1),IF(INDEX(Contracts!$N$2:$N$151,$AB832)="",12,INDEX(Contracts!$N$2:$N$151,$AB832))-1),IF(INDEX(Contracts!$I$2:$I$151,$AB832)="MONTHLY",IF(INDEX(Contracts!$K$2:$K$151,$AB832)="",2958101,INDEX(Contracts!$K$2:$K$151,$AB832)),0)),IF($Z832="A",EDATE(DATE(YEAR(INDEX(Fixed_Assets!$G$2:$G$201,$AB832)),MONTH(INDEX(Fixed_Assets!$G$2:$G$201,$AB832)),1),INDEX(Fixed_Assets!$J$2:$J$201,$AB832)-1),IF($Z832="F",MIN(IF(INDEX(Workforce!$J$2:$J$151,MATCH(INDEX(FTE_Allocation!$A$2:$A$201,$AB832),Workforce!$A$2:$A$151,0))="",2958101,INDEX(Workforce!$J$2:$J$151,MATCH(INDEX(FTE_Allocation!$A$2:$A$201,$AB832),Workforce!$A$2:$A$151,0))),IF(INDEX(FTE_Allocation!$J$2:$J$201,$AB832)="",2958101,INDEX(FTE_Allocation!$J$2:$J$201,$AB832))),"")))</f>
        <v/>
      </c>
      <c r="AG832" s="19">
        <f>IF($Z832="C",IF(INDEX(Contracts!$I$2:$I$151,$AB832)="PREPAID",INDEX(Contracts!$M$2:$M$151,$AB832)/IF(INDEX(Contracts!$N$2:$N$151,$AB832)="",12,INDEX(Contracts!$N$2:$N$151,$AB832)),IF(INDEX(Contracts!$I$2:$I$151,$AB832)="MONTHLY",INDEX(Contracts!$M$2:$M$151,$AB832),0))*(1-N(INDEX(Contracts!$O$2:$O$151,$AB832))),IF($Z832="A",INDEX(Fixed_Assets!$H$2:$H$201,$AB832)/INDEX(Fixed_Assets!$J$2:$J$201,$AB832),IF($Z832="F",INDEX(Workforce!$F$2:$F$151,MATCH(INDEX(FTE_Allocation!$A$2:$A$201,$AB832),Workforce!$A$2:$A$151,0))*N(INDEX(FTE_Allocation!$F$2:$H$201,$AB832,$AC832)),"")))</f>
        <v/>
      </c>
    </row>
    <row r="833">
      <c r="A833" s="7">
        <f>IF($Z833="","",$AD833)</f>
        <v/>
      </c>
      <c r="B833" s="7">
        <f>IF($Z833="C",INDEX(Contracts!$D$2:$D$151,$AB833)&amp;"",IF($Z833="A",INDEX(Fixed_Assets!$C$2:$C$201,$AB833)&amp;"",IF($Z833="F",INDEX(Workforce!$B$2:$B$151,MATCH(INDEX(FTE_Allocation!$A$2:$A$201,$AB833),Workforce!$A$2:$A$151,0))&amp;"","")))</f>
        <v/>
      </c>
      <c r="C833" s="7">
        <f>IF($Z833="C",INDEX(Contracts!$E$2:$E$151,$AB833)&amp;"",IF($Z833="A",INDEX(Fixed_Assets!$D$2:$D$201,$AB833)&amp;"",IF($Z833="F",INDEX(FTE_Allocation!$C$2:$C$201,$AB833)&amp;"","")))</f>
        <v/>
      </c>
      <c r="D833" s="7">
        <f>IF($Z833="C",INDEX(Contracts!$B$2:$B$151,$AB833)&amp;"",IF($Z833="A",INDEX(Fixed_Assets!$B$2:$B$201,$AB833)&amp;"",IF($Z833="F",INDEX(FTE_Allocation!$B$2:$B$201,$AB833)&amp;"","")))</f>
        <v/>
      </c>
      <c r="E833" s="7">
        <f>IF($Z833="C",INDEX(Contracts!$P$2:$P$151,$AB833)&amp;"",IF($Z833="A",INDEX(Fixed_Assets!$K$2:$K$201,$AB833)&amp;"",IF($Z833="F",IF(INDEX(FTE_Allocation!$D$2:$D$201,$AB833)="PROJECT",IFERROR(INDEX(Projects!$D:$D,MATCH(INDEX(FTE_Allocation!$E$2:$E$201,$AB833),Projects!$A:$A,0))&amp;"","#PROJECT?"),INDEX(FTE_Allocation!$E$2:$E$201,$AB833)&amp;""),"")))</f>
        <v/>
      </c>
      <c r="F833" s="7">
        <f>IF($Z833="C",INDEX(Contracts!$Q$2:$Q$151,$AB833)&amp;"",IF($Z833="A",INDEX(Fixed_Assets!$L$2:$L$201,$AB833)&amp;"",IF($Z833="F",INDEX(Workforce!$K$2:$K$151,MATCH(INDEX(FTE_Allocation!$A$2:$A$201,$AB833),Workforce!$A$2:$A$151,0))&amp;"","")))</f>
        <v/>
      </c>
      <c r="G833" s="7">
        <f>IF($Z833="C",INDEX(Contracts!$F$2:$F$151,$AB833)&amp;" / "&amp;INDEX(Contracts!$G$2:$G$151,$AB833),IF($Z833="A",INDEX(Fixed_Assets!$E$2:$E$201,$AB833)&amp;"",IF($Z833="F","Personnel "&amp;INDEX(FTE_Allocation!$A$2:$A$201,$AB833)&amp;IF(INDEX(FTE_Allocation!$D$2:$D$201,$AB833)="PROJECT"," ("&amp;INDEX(FTE_Allocation!$E$2:$E$201,$AB833)&amp;")",""),"")))</f>
        <v/>
      </c>
      <c r="H833" s="7">
        <f>IF($Z833="C","CONTRACT",IF($Z833="A","ASSET",IF($Z833="F","WORKFORCE","")))</f>
        <v/>
      </c>
      <c r="I833" s="7">
        <f>IF($Z833="C",INDEX(Contracts!$L$2:$L$151,$AB833)&amp;"",IF($Z833="A",INDEX(Fixed_Assets!$I$2:$I$201,$AB833)&amp;"",IF($Z833="F",INDEX(Workforce!$G$2:$G$151,MATCH(INDEX(FTE_Allocation!$A$2:$A$201,$AB833),Workforce!$A$2:$A$151,0))&amp;"","")))</f>
        <v/>
      </c>
      <c r="J833" s="18">
        <f>IF($Z833="","",IF(AND(DATE($AD833,1,1)&gt;=$AE833,DATE($AD833,1,1)&lt;=$AF833),ROUND($AG833,2),0))</f>
        <v/>
      </c>
      <c r="K833" s="18">
        <f>IF($Z833="","",IF(AND(DATE($AD833,2,1)&gt;=$AE833,DATE($AD833,2,1)&lt;=$AF833),ROUND($AG833,2),0))</f>
        <v/>
      </c>
      <c r="L833" s="18">
        <f>IF($Z833="","",IF(AND(DATE($AD833,3,1)&gt;=$AE833,DATE($AD833,3,1)&lt;=$AF833),ROUND($AG833,2),0))</f>
        <v/>
      </c>
      <c r="M833" s="18">
        <f>IF($Z833="","",IF(AND(DATE($AD833,4,1)&gt;=$AE833,DATE($AD833,4,1)&lt;=$AF833),ROUND($AG833,2),0))</f>
        <v/>
      </c>
      <c r="N833" s="18">
        <f>IF($Z833="","",IF(AND(DATE($AD833,5,1)&gt;=$AE833,DATE($AD833,5,1)&lt;=$AF833),ROUND($AG833,2),0))</f>
        <v/>
      </c>
      <c r="O833" s="18">
        <f>IF($Z833="","",IF(AND(DATE($AD833,6,1)&gt;=$AE833,DATE($AD833,6,1)&lt;=$AF833),ROUND($AG833,2),0))</f>
        <v/>
      </c>
      <c r="P833" s="18">
        <f>IF($Z833="","",IF(AND(DATE($AD833,7,1)&gt;=$AE833,DATE($AD833,7,1)&lt;=$AF833),ROUND($AG833,2),0))</f>
        <v/>
      </c>
      <c r="Q833" s="18">
        <f>IF($Z833="","",IF(AND(DATE($AD833,8,1)&gt;=$AE833,DATE($AD833,8,1)&lt;=$AF833),ROUND($AG833,2),0))</f>
        <v/>
      </c>
      <c r="R833" s="18">
        <f>IF($Z833="","",IF(AND(DATE($AD833,9,1)&gt;=$AE833,DATE($AD833,9,1)&lt;=$AF833),ROUND($AG833,2),0))</f>
        <v/>
      </c>
      <c r="S833" s="18">
        <f>IF($Z833="","",IF(AND(DATE($AD833,10,1)&gt;=$AE833,DATE($AD833,10,1)&lt;=$AF833),ROUND($AG833,2),0))</f>
        <v/>
      </c>
      <c r="T833" s="18">
        <f>IF($Z833="","",IF(AND(DATE($AD833,11,1)&gt;=$AE833,DATE($AD833,11,1)&lt;=$AF833),ROUND($AG833,2),0))</f>
        <v/>
      </c>
      <c r="U833" s="18">
        <f>IF($Z833="","",IF(AND(DATE($AD833,12,1)&gt;=$AE833,DATE($AD833,12,1)&lt;=$AF833),ROUND($AG833,2),0))</f>
        <v/>
      </c>
      <c r="V833" s="7">
        <f>IF($Z833="C","Generated from "&amp;INDEX(Contracts!$A$2:$A$151,$AB833),IF($Z833="A","Generated from "&amp;INDEX(Fixed_Assets!$A$2:$A$201,$AB833),IF($Z833="F","Generated from "&amp;INDEX(FTE_Allocation!$A$2:$A$201,$AB833),"")))</f>
        <v/>
      </c>
      <c r="X833" s="19">
        <f>IF($Z833="","",SUM(J833:U833))</f>
        <v/>
      </c>
      <c r="Y833" s="20">
        <f>ROW()-1</f>
        <v/>
      </c>
      <c r="Z833" s="20">
        <f>IF($Y833&lt;=Settings!$B$4*3,"C",IF($Y833&lt;=(Settings!$B$4+Settings!$B$5)*3,"A",IF($Y833&lt;=(Settings!$B$4+Settings!$B$5+Settings!$B$6)*3,"F","")))</f>
        <v/>
      </c>
      <c r="AA833" s="20">
        <f>IF($Z833="C",$Y833,IF($Z833="A",$Y833-Settings!$B$4*3,IF($Z833="F",$Y833-(Settings!$B$4+Settings!$B$5)*3,"")))</f>
        <v/>
      </c>
      <c r="AB833" s="20">
        <f>IF($Z833="","",INT(($AA833-1)/3)+1)</f>
        <v/>
      </c>
      <c r="AC833" s="20">
        <f>IF($Z833="","",MOD($AA833-1,3)+1)</f>
        <v/>
      </c>
      <c r="AD833" s="20">
        <f>IF($Z833="","",Settings!$B$2+$AC833-1)</f>
        <v/>
      </c>
      <c r="AE833" s="21">
        <f>IF($Z833="C",DATE(YEAR(INDEX(Contracts!$J$2:$J$151,$AB833)),MONTH(INDEX(Contracts!$J$2:$J$151,$AB833)),1),IF($Z833="A",DATE(YEAR(INDEX(Fixed_Assets!$G$2:$G$201,$AB833)),MONTH(INDEX(Fixed_Assets!$G$2:$G$201,$AB833)),1),IF($Z833="F",DATE(YEAR(MAX(N(INDEX(Workforce!$I$2:$I$151,MATCH(INDEX(FTE_Allocation!$A$2:$A$201,$AB833),Workforce!$A$2:$A$151,0))),N(INDEX(FTE_Allocation!$I$2:$I$201,$AB833)))),MONTH(MAX(N(INDEX(Workforce!$I$2:$I$151,MATCH(INDEX(FTE_Allocation!$A$2:$A$201,$AB833),Workforce!$A$2:$A$151,0))),N(INDEX(FTE_Allocation!$I$2:$I$201,$AB833)))),1),"")))</f>
        <v/>
      </c>
      <c r="AF833" s="21">
        <f>IF($Z833="C",IF(INDEX(Contracts!$I$2:$I$151,$AB833)="PREPAID",EDATE(DATE(YEAR(INDEX(Contracts!$J$2:$J$151,$AB833)),MONTH(INDEX(Contracts!$J$2:$J$151,$AB833)),1),IF(INDEX(Contracts!$N$2:$N$151,$AB833)="",12,INDEX(Contracts!$N$2:$N$151,$AB833))-1),IF(INDEX(Contracts!$I$2:$I$151,$AB833)="MONTHLY",IF(INDEX(Contracts!$K$2:$K$151,$AB833)="",2958101,INDEX(Contracts!$K$2:$K$151,$AB833)),0)),IF($Z833="A",EDATE(DATE(YEAR(INDEX(Fixed_Assets!$G$2:$G$201,$AB833)),MONTH(INDEX(Fixed_Assets!$G$2:$G$201,$AB833)),1),INDEX(Fixed_Assets!$J$2:$J$201,$AB833)-1),IF($Z833="F",MIN(IF(INDEX(Workforce!$J$2:$J$151,MATCH(INDEX(FTE_Allocation!$A$2:$A$201,$AB833),Workforce!$A$2:$A$151,0))="",2958101,INDEX(Workforce!$J$2:$J$151,MATCH(INDEX(FTE_Allocation!$A$2:$A$201,$AB833),Workforce!$A$2:$A$151,0))),IF(INDEX(FTE_Allocation!$J$2:$J$201,$AB833)="",2958101,INDEX(FTE_Allocation!$J$2:$J$201,$AB833))),"")))</f>
        <v/>
      </c>
      <c r="AG833" s="19">
        <f>IF($Z833="C",IF(INDEX(Contracts!$I$2:$I$151,$AB833)="PREPAID",INDEX(Contracts!$M$2:$M$151,$AB833)/IF(INDEX(Contracts!$N$2:$N$151,$AB833)="",12,INDEX(Contracts!$N$2:$N$151,$AB833)),IF(INDEX(Contracts!$I$2:$I$151,$AB833)="MONTHLY",INDEX(Contracts!$M$2:$M$151,$AB833),0))*(1-N(INDEX(Contracts!$O$2:$O$151,$AB833))),IF($Z833="A",INDEX(Fixed_Assets!$H$2:$H$201,$AB833)/INDEX(Fixed_Assets!$J$2:$J$201,$AB833),IF($Z833="F",INDEX(Workforce!$F$2:$F$151,MATCH(INDEX(FTE_Allocation!$A$2:$A$201,$AB833),Workforce!$A$2:$A$151,0))*N(INDEX(FTE_Allocation!$F$2:$H$201,$AB833,$AC833)),"")))</f>
        <v/>
      </c>
    </row>
    <row r="834">
      <c r="A834" s="7">
        <f>IF($Z834="","",$AD834)</f>
        <v/>
      </c>
      <c r="B834" s="7">
        <f>IF($Z834="C",INDEX(Contracts!$D$2:$D$151,$AB834)&amp;"",IF($Z834="A",INDEX(Fixed_Assets!$C$2:$C$201,$AB834)&amp;"",IF($Z834="F",INDEX(Workforce!$B$2:$B$151,MATCH(INDEX(FTE_Allocation!$A$2:$A$201,$AB834),Workforce!$A$2:$A$151,0))&amp;"","")))</f>
        <v/>
      </c>
      <c r="C834" s="7">
        <f>IF($Z834="C",INDEX(Contracts!$E$2:$E$151,$AB834)&amp;"",IF($Z834="A",INDEX(Fixed_Assets!$D$2:$D$201,$AB834)&amp;"",IF($Z834="F",INDEX(FTE_Allocation!$C$2:$C$201,$AB834)&amp;"","")))</f>
        <v/>
      </c>
      <c r="D834" s="7">
        <f>IF($Z834="C",INDEX(Contracts!$B$2:$B$151,$AB834)&amp;"",IF($Z834="A",INDEX(Fixed_Assets!$B$2:$B$201,$AB834)&amp;"",IF($Z834="F",INDEX(FTE_Allocation!$B$2:$B$201,$AB834)&amp;"","")))</f>
        <v/>
      </c>
      <c r="E834" s="7">
        <f>IF($Z834="C",INDEX(Contracts!$P$2:$P$151,$AB834)&amp;"",IF($Z834="A",INDEX(Fixed_Assets!$K$2:$K$201,$AB834)&amp;"",IF($Z834="F",IF(INDEX(FTE_Allocation!$D$2:$D$201,$AB834)="PROJECT",IFERROR(INDEX(Projects!$D:$D,MATCH(INDEX(FTE_Allocation!$E$2:$E$201,$AB834),Projects!$A:$A,0))&amp;"","#PROJECT?"),INDEX(FTE_Allocation!$E$2:$E$201,$AB834)&amp;""),"")))</f>
        <v/>
      </c>
      <c r="F834" s="7">
        <f>IF($Z834="C",INDEX(Contracts!$Q$2:$Q$151,$AB834)&amp;"",IF($Z834="A",INDEX(Fixed_Assets!$L$2:$L$201,$AB834)&amp;"",IF($Z834="F",INDEX(Workforce!$K$2:$K$151,MATCH(INDEX(FTE_Allocation!$A$2:$A$201,$AB834),Workforce!$A$2:$A$151,0))&amp;"","")))</f>
        <v/>
      </c>
      <c r="G834" s="7">
        <f>IF($Z834="C",INDEX(Contracts!$F$2:$F$151,$AB834)&amp;" / "&amp;INDEX(Contracts!$G$2:$G$151,$AB834),IF($Z834="A",INDEX(Fixed_Assets!$E$2:$E$201,$AB834)&amp;"",IF($Z834="F","Personnel "&amp;INDEX(FTE_Allocation!$A$2:$A$201,$AB834)&amp;IF(INDEX(FTE_Allocation!$D$2:$D$201,$AB834)="PROJECT"," ("&amp;INDEX(FTE_Allocation!$E$2:$E$201,$AB834)&amp;")",""),"")))</f>
        <v/>
      </c>
      <c r="H834" s="7">
        <f>IF($Z834="C","CONTRACT",IF($Z834="A","ASSET",IF($Z834="F","WORKFORCE","")))</f>
        <v/>
      </c>
      <c r="I834" s="7">
        <f>IF($Z834="C",INDEX(Contracts!$L$2:$L$151,$AB834)&amp;"",IF($Z834="A",INDEX(Fixed_Assets!$I$2:$I$201,$AB834)&amp;"",IF($Z834="F",INDEX(Workforce!$G$2:$G$151,MATCH(INDEX(FTE_Allocation!$A$2:$A$201,$AB834),Workforce!$A$2:$A$151,0))&amp;"","")))</f>
        <v/>
      </c>
      <c r="J834" s="18">
        <f>IF($Z834="","",IF(AND(DATE($AD834,1,1)&gt;=$AE834,DATE($AD834,1,1)&lt;=$AF834),ROUND($AG834,2),0))</f>
        <v/>
      </c>
      <c r="K834" s="18">
        <f>IF($Z834="","",IF(AND(DATE($AD834,2,1)&gt;=$AE834,DATE($AD834,2,1)&lt;=$AF834),ROUND($AG834,2),0))</f>
        <v/>
      </c>
      <c r="L834" s="18">
        <f>IF($Z834="","",IF(AND(DATE($AD834,3,1)&gt;=$AE834,DATE($AD834,3,1)&lt;=$AF834),ROUND($AG834,2),0))</f>
        <v/>
      </c>
      <c r="M834" s="18">
        <f>IF($Z834="","",IF(AND(DATE($AD834,4,1)&gt;=$AE834,DATE($AD834,4,1)&lt;=$AF834),ROUND($AG834,2),0))</f>
        <v/>
      </c>
      <c r="N834" s="18">
        <f>IF($Z834="","",IF(AND(DATE($AD834,5,1)&gt;=$AE834,DATE($AD834,5,1)&lt;=$AF834),ROUND($AG834,2),0))</f>
        <v/>
      </c>
      <c r="O834" s="18">
        <f>IF($Z834="","",IF(AND(DATE($AD834,6,1)&gt;=$AE834,DATE($AD834,6,1)&lt;=$AF834),ROUND($AG834,2),0))</f>
        <v/>
      </c>
      <c r="P834" s="18">
        <f>IF($Z834="","",IF(AND(DATE($AD834,7,1)&gt;=$AE834,DATE($AD834,7,1)&lt;=$AF834),ROUND($AG834,2),0))</f>
        <v/>
      </c>
      <c r="Q834" s="18">
        <f>IF($Z834="","",IF(AND(DATE($AD834,8,1)&gt;=$AE834,DATE($AD834,8,1)&lt;=$AF834),ROUND($AG834,2),0))</f>
        <v/>
      </c>
      <c r="R834" s="18">
        <f>IF($Z834="","",IF(AND(DATE($AD834,9,1)&gt;=$AE834,DATE($AD834,9,1)&lt;=$AF834),ROUND($AG834,2),0))</f>
        <v/>
      </c>
      <c r="S834" s="18">
        <f>IF($Z834="","",IF(AND(DATE($AD834,10,1)&gt;=$AE834,DATE($AD834,10,1)&lt;=$AF834),ROUND($AG834,2),0))</f>
        <v/>
      </c>
      <c r="T834" s="18">
        <f>IF($Z834="","",IF(AND(DATE($AD834,11,1)&gt;=$AE834,DATE($AD834,11,1)&lt;=$AF834),ROUND($AG834,2),0))</f>
        <v/>
      </c>
      <c r="U834" s="18">
        <f>IF($Z834="","",IF(AND(DATE($AD834,12,1)&gt;=$AE834,DATE($AD834,12,1)&lt;=$AF834),ROUND($AG834,2),0))</f>
        <v/>
      </c>
      <c r="V834" s="7">
        <f>IF($Z834="C","Generated from "&amp;INDEX(Contracts!$A$2:$A$151,$AB834),IF($Z834="A","Generated from "&amp;INDEX(Fixed_Assets!$A$2:$A$201,$AB834),IF($Z834="F","Generated from "&amp;INDEX(FTE_Allocation!$A$2:$A$201,$AB834),"")))</f>
        <v/>
      </c>
      <c r="X834" s="19">
        <f>IF($Z834="","",SUM(J834:U834))</f>
        <v/>
      </c>
      <c r="Y834" s="20">
        <f>ROW()-1</f>
        <v/>
      </c>
      <c r="Z834" s="20">
        <f>IF($Y834&lt;=Settings!$B$4*3,"C",IF($Y834&lt;=(Settings!$B$4+Settings!$B$5)*3,"A",IF($Y834&lt;=(Settings!$B$4+Settings!$B$5+Settings!$B$6)*3,"F","")))</f>
        <v/>
      </c>
      <c r="AA834" s="20">
        <f>IF($Z834="C",$Y834,IF($Z834="A",$Y834-Settings!$B$4*3,IF($Z834="F",$Y834-(Settings!$B$4+Settings!$B$5)*3,"")))</f>
        <v/>
      </c>
      <c r="AB834" s="20">
        <f>IF($Z834="","",INT(($AA834-1)/3)+1)</f>
        <v/>
      </c>
      <c r="AC834" s="20">
        <f>IF($Z834="","",MOD($AA834-1,3)+1)</f>
        <v/>
      </c>
      <c r="AD834" s="20">
        <f>IF($Z834="","",Settings!$B$2+$AC834-1)</f>
        <v/>
      </c>
      <c r="AE834" s="21">
        <f>IF($Z834="C",DATE(YEAR(INDEX(Contracts!$J$2:$J$151,$AB834)),MONTH(INDEX(Contracts!$J$2:$J$151,$AB834)),1),IF($Z834="A",DATE(YEAR(INDEX(Fixed_Assets!$G$2:$G$201,$AB834)),MONTH(INDEX(Fixed_Assets!$G$2:$G$201,$AB834)),1),IF($Z834="F",DATE(YEAR(MAX(N(INDEX(Workforce!$I$2:$I$151,MATCH(INDEX(FTE_Allocation!$A$2:$A$201,$AB834),Workforce!$A$2:$A$151,0))),N(INDEX(FTE_Allocation!$I$2:$I$201,$AB834)))),MONTH(MAX(N(INDEX(Workforce!$I$2:$I$151,MATCH(INDEX(FTE_Allocation!$A$2:$A$201,$AB834),Workforce!$A$2:$A$151,0))),N(INDEX(FTE_Allocation!$I$2:$I$201,$AB834)))),1),"")))</f>
        <v/>
      </c>
      <c r="AF834" s="21">
        <f>IF($Z834="C",IF(INDEX(Contracts!$I$2:$I$151,$AB834)="PREPAID",EDATE(DATE(YEAR(INDEX(Contracts!$J$2:$J$151,$AB834)),MONTH(INDEX(Contracts!$J$2:$J$151,$AB834)),1),IF(INDEX(Contracts!$N$2:$N$151,$AB834)="",12,INDEX(Contracts!$N$2:$N$151,$AB834))-1),IF(INDEX(Contracts!$I$2:$I$151,$AB834)="MONTHLY",IF(INDEX(Contracts!$K$2:$K$151,$AB834)="",2958101,INDEX(Contracts!$K$2:$K$151,$AB834)),0)),IF($Z834="A",EDATE(DATE(YEAR(INDEX(Fixed_Assets!$G$2:$G$201,$AB834)),MONTH(INDEX(Fixed_Assets!$G$2:$G$201,$AB834)),1),INDEX(Fixed_Assets!$J$2:$J$201,$AB834)-1),IF($Z834="F",MIN(IF(INDEX(Workforce!$J$2:$J$151,MATCH(INDEX(FTE_Allocation!$A$2:$A$201,$AB834),Workforce!$A$2:$A$151,0))="",2958101,INDEX(Workforce!$J$2:$J$151,MATCH(INDEX(FTE_Allocation!$A$2:$A$201,$AB834),Workforce!$A$2:$A$151,0))),IF(INDEX(FTE_Allocation!$J$2:$J$201,$AB834)="",2958101,INDEX(FTE_Allocation!$J$2:$J$201,$AB834))),"")))</f>
        <v/>
      </c>
      <c r="AG834" s="19">
        <f>IF($Z834="C",IF(INDEX(Contracts!$I$2:$I$151,$AB834)="PREPAID",INDEX(Contracts!$M$2:$M$151,$AB834)/IF(INDEX(Contracts!$N$2:$N$151,$AB834)="",12,INDEX(Contracts!$N$2:$N$151,$AB834)),IF(INDEX(Contracts!$I$2:$I$151,$AB834)="MONTHLY",INDEX(Contracts!$M$2:$M$151,$AB834),0))*(1-N(INDEX(Contracts!$O$2:$O$151,$AB834))),IF($Z834="A",INDEX(Fixed_Assets!$H$2:$H$201,$AB834)/INDEX(Fixed_Assets!$J$2:$J$201,$AB834),IF($Z834="F",INDEX(Workforce!$F$2:$F$151,MATCH(INDEX(FTE_Allocation!$A$2:$A$201,$AB834),Workforce!$A$2:$A$151,0))*N(INDEX(FTE_Allocation!$F$2:$H$201,$AB834,$AC834)),"")))</f>
        <v/>
      </c>
    </row>
    <row r="835">
      <c r="A835" s="7">
        <f>IF($Z835="","",$AD835)</f>
        <v/>
      </c>
      <c r="B835" s="7">
        <f>IF($Z835="C",INDEX(Contracts!$D$2:$D$151,$AB835)&amp;"",IF($Z835="A",INDEX(Fixed_Assets!$C$2:$C$201,$AB835)&amp;"",IF($Z835="F",INDEX(Workforce!$B$2:$B$151,MATCH(INDEX(FTE_Allocation!$A$2:$A$201,$AB835),Workforce!$A$2:$A$151,0))&amp;"","")))</f>
        <v/>
      </c>
      <c r="C835" s="7">
        <f>IF($Z835="C",INDEX(Contracts!$E$2:$E$151,$AB835)&amp;"",IF($Z835="A",INDEX(Fixed_Assets!$D$2:$D$201,$AB835)&amp;"",IF($Z835="F",INDEX(FTE_Allocation!$C$2:$C$201,$AB835)&amp;"","")))</f>
        <v/>
      </c>
      <c r="D835" s="7">
        <f>IF($Z835="C",INDEX(Contracts!$B$2:$B$151,$AB835)&amp;"",IF($Z835="A",INDEX(Fixed_Assets!$B$2:$B$201,$AB835)&amp;"",IF($Z835="F",INDEX(FTE_Allocation!$B$2:$B$201,$AB835)&amp;"","")))</f>
        <v/>
      </c>
      <c r="E835" s="7">
        <f>IF($Z835="C",INDEX(Contracts!$P$2:$P$151,$AB835)&amp;"",IF($Z835="A",INDEX(Fixed_Assets!$K$2:$K$201,$AB835)&amp;"",IF($Z835="F",IF(INDEX(FTE_Allocation!$D$2:$D$201,$AB835)="PROJECT",IFERROR(INDEX(Projects!$D:$D,MATCH(INDEX(FTE_Allocation!$E$2:$E$201,$AB835),Projects!$A:$A,0))&amp;"","#PROJECT?"),INDEX(FTE_Allocation!$E$2:$E$201,$AB835)&amp;""),"")))</f>
        <v/>
      </c>
      <c r="F835" s="7">
        <f>IF($Z835="C",INDEX(Contracts!$Q$2:$Q$151,$AB835)&amp;"",IF($Z835="A",INDEX(Fixed_Assets!$L$2:$L$201,$AB835)&amp;"",IF($Z835="F",INDEX(Workforce!$K$2:$K$151,MATCH(INDEX(FTE_Allocation!$A$2:$A$201,$AB835),Workforce!$A$2:$A$151,0))&amp;"","")))</f>
        <v/>
      </c>
      <c r="G835" s="7">
        <f>IF($Z835="C",INDEX(Contracts!$F$2:$F$151,$AB835)&amp;" / "&amp;INDEX(Contracts!$G$2:$G$151,$AB835),IF($Z835="A",INDEX(Fixed_Assets!$E$2:$E$201,$AB835)&amp;"",IF($Z835="F","Personnel "&amp;INDEX(FTE_Allocation!$A$2:$A$201,$AB835)&amp;IF(INDEX(FTE_Allocation!$D$2:$D$201,$AB835)="PROJECT"," ("&amp;INDEX(FTE_Allocation!$E$2:$E$201,$AB835)&amp;")",""),"")))</f>
        <v/>
      </c>
      <c r="H835" s="7">
        <f>IF($Z835="C","CONTRACT",IF($Z835="A","ASSET",IF($Z835="F","WORKFORCE","")))</f>
        <v/>
      </c>
      <c r="I835" s="7">
        <f>IF($Z835="C",INDEX(Contracts!$L$2:$L$151,$AB835)&amp;"",IF($Z835="A",INDEX(Fixed_Assets!$I$2:$I$201,$AB835)&amp;"",IF($Z835="F",INDEX(Workforce!$G$2:$G$151,MATCH(INDEX(FTE_Allocation!$A$2:$A$201,$AB835),Workforce!$A$2:$A$151,0))&amp;"","")))</f>
        <v/>
      </c>
      <c r="J835" s="18">
        <f>IF($Z835="","",IF(AND(DATE($AD835,1,1)&gt;=$AE835,DATE($AD835,1,1)&lt;=$AF835),ROUND($AG835,2),0))</f>
        <v/>
      </c>
      <c r="K835" s="18">
        <f>IF($Z835="","",IF(AND(DATE($AD835,2,1)&gt;=$AE835,DATE($AD835,2,1)&lt;=$AF835),ROUND($AG835,2),0))</f>
        <v/>
      </c>
      <c r="L835" s="18">
        <f>IF($Z835="","",IF(AND(DATE($AD835,3,1)&gt;=$AE835,DATE($AD835,3,1)&lt;=$AF835),ROUND($AG835,2),0))</f>
        <v/>
      </c>
      <c r="M835" s="18">
        <f>IF($Z835="","",IF(AND(DATE($AD835,4,1)&gt;=$AE835,DATE($AD835,4,1)&lt;=$AF835),ROUND($AG835,2),0))</f>
        <v/>
      </c>
      <c r="N835" s="18">
        <f>IF($Z835="","",IF(AND(DATE($AD835,5,1)&gt;=$AE835,DATE($AD835,5,1)&lt;=$AF835),ROUND($AG835,2),0))</f>
        <v/>
      </c>
      <c r="O835" s="18">
        <f>IF($Z835="","",IF(AND(DATE($AD835,6,1)&gt;=$AE835,DATE($AD835,6,1)&lt;=$AF835),ROUND($AG835,2),0))</f>
        <v/>
      </c>
      <c r="P835" s="18">
        <f>IF($Z835="","",IF(AND(DATE($AD835,7,1)&gt;=$AE835,DATE($AD835,7,1)&lt;=$AF835),ROUND($AG835,2),0))</f>
        <v/>
      </c>
      <c r="Q835" s="18">
        <f>IF($Z835="","",IF(AND(DATE($AD835,8,1)&gt;=$AE835,DATE($AD835,8,1)&lt;=$AF835),ROUND($AG835,2),0))</f>
        <v/>
      </c>
      <c r="R835" s="18">
        <f>IF($Z835="","",IF(AND(DATE($AD835,9,1)&gt;=$AE835,DATE($AD835,9,1)&lt;=$AF835),ROUND($AG835,2),0))</f>
        <v/>
      </c>
      <c r="S835" s="18">
        <f>IF($Z835="","",IF(AND(DATE($AD835,10,1)&gt;=$AE835,DATE($AD835,10,1)&lt;=$AF835),ROUND($AG835,2),0))</f>
        <v/>
      </c>
      <c r="T835" s="18">
        <f>IF($Z835="","",IF(AND(DATE($AD835,11,1)&gt;=$AE835,DATE($AD835,11,1)&lt;=$AF835),ROUND($AG835,2),0))</f>
        <v/>
      </c>
      <c r="U835" s="18">
        <f>IF($Z835="","",IF(AND(DATE($AD835,12,1)&gt;=$AE835,DATE($AD835,12,1)&lt;=$AF835),ROUND($AG835,2),0))</f>
        <v/>
      </c>
      <c r="V835" s="7">
        <f>IF($Z835="C","Generated from "&amp;INDEX(Contracts!$A$2:$A$151,$AB835),IF($Z835="A","Generated from "&amp;INDEX(Fixed_Assets!$A$2:$A$201,$AB835),IF($Z835="F","Generated from "&amp;INDEX(FTE_Allocation!$A$2:$A$201,$AB835),"")))</f>
        <v/>
      </c>
      <c r="X835" s="19">
        <f>IF($Z835="","",SUM(J835:U835))</f>
        <v/>
      </c>
      <c r="Y835" s="20">
        <f>ROW()-1</f>
        <v/>
      </c>
      <c r="Z835" s="20">
        <f>IF($Y835&lt;=Settings!$B$4*3,"C",IF($Y835&lt;=(Settings!$B$4+Settings!$B$5)*3,"A",IF($Y835&lt;=(Settings!$B$4+Settings!$B$5+Settings!$B$6)*3,"F","")))</f>
        <v/>
      </c>
      <c r="AA835" s="20">
        <f>IF($Z835="C",$Y835,IF($Z835="A",$Y835-Settings!$B$4*3,IF($Z835="F",$Y835-(Settings!$B$4+Settings!$B$5)*3,"")))</f>
        <v/>
      </c>
      <c r="AB835" s="20">
        <f>IF($Z835="","",INT(($AA835-1)/3)+1)</f>
        <v/>
      </c>
      <c r="AC835" s="20">
        <f>IF($Z835="","",MOD($AA835-1,3)+1)</f>
        <v/>
      </c>
      <c r="AD835" s="20">
        <f>IF($Z835="","",Settings!$B$2+$AC835-1)</f>
        <v/>
      </c>
      <c r="AE835" s="21">
        <f>IF($Z835="C",DATE(YEAR(INDEX(Contracts!$J$2:$J$151,$AB835)),MONTH(INDEX(Contracts!$J$2:$J$151,$AB835)),1),IF($Z835="A",DATE(YEAR(INDEX(Fixed_Assets!$G$2:$G$201,$AB835)),MONTH(INDEX(Fixed_Assets!$G$2:$G$201,$AB835)),1),IF($Z835="F",DATE(YEAR(MAX(N(INDEX(Workforce!$I$2:$I$151,MATCH(INDEX(FTE_Allocation!$A$2:$A$201,$AB835),Workforce!$A$2:$A$151,0))),N(INDEX(FTE_Allocation!$I$2:$I$201,$AB835)))),MONTH(MAX(N(INDEX(Workforce!$I$2:$I$151,MATCH(INDEX(FTE_Allocation!$A$2:$A$201,$AB835),Workforce!$A$2:$A$151,0))),N(INDEX(FTE_Allocation!$I$2:$I$201,$AB835)))),1),"")))</f>
        <v/>
      </c>
      <c r="AF835" s="21">
        <f>IF($Z835="C",IF(INDEX(Contracts!$I$2:$I$151,$AB835)="PREPAID",EDATE(DATE(YEAR(INDEX(Contracts!$J$2:$J$151,$AB835)),MONTH(INDEX(Contracts!$J$2:$J$151,$AB835)),1),IF(INDEX(Contracts!$N$2:$N$151,$AB835)="",12,INDEX(Contracts!$N$2:$N$151,$AB835))-1),IF(INDEX(Contracts!$I$2:$I$151,$AB835)="MONTHLY",IF(INDEX(Contracts!$K$2:$K$151,$AB835)="",2958101,INDEX(Contracts!$K$2:$K$151,$AB835)),0)),IF($Z835="A",EDATE(DATE(YEAR(INDEX(Fixed_Assets!$G$2:$G$201,$AB835)),MONTH(INDEX(Fixed_Assets!$G$2:$G$201,$AB835)),1),INDEX(Fixed_Assets!$J$2:$J$201,$AB835)-1),IF($Z835="F",MIN(IF(INDEX(Workforce!$J$2:$J$151,MATCH(INDEX(FTE_Allocation!$A$2:$A$201,$AB835),Workforce!$A$2:$A$151,0))="",2958101,INDEX(Workforce!$J$2:$J$151,MATCH(INDEX(FTE_Allocation!$A$2:$A$201,$AB835),Workforce!$A$2:$A$151,0))),IF(INDEX(FTE_Allocation!$J$2:$J$201,$AB835)="",2958101,INDEX(FTE_Allocation!$J$2:$J$201,$AB835))),"")))</f>
        <v/>
      </c>
      <c r="AG835" s="19">
        <f>IF($Z835="C",IF(INDEX(Contracts!$I$2:$I$151,$AB835)="PREPAID",INDEX(Contracts!$M$2:$M$151,$AB835)/IF(INDEX(Contracts!$N$2:$N$151,$AB835)="",12,INDEX(Contracts!$N$2:$N$151,$AB835)),IF(INDEX(Contracts!$I$2:$I$151,$AB835)="MONTHLY",INDEX(Contracts!$M$2:$M$151,$AB835),0))*(1-N(INDEX(Contracts!$O$2:$O$151,$AB835))),IF($Z835="A",INDEX(Fixed_Assets!$H$2:$H$201,$AB835)/INDEX(Fixed_Assets!$J$2:$J$201,$AB835),IF($Z835="F",INDEX(Workforce!$F$2:$F$151,MATCH(INDEX(FTE_Allocation!$A$2:$A$201,$AB835),Workforce!$A$2:$A$151,0))*N(INDEX(FTE_Allocation!$F$2:$H$201,$AB835,$AC835)),"")))</f>
        <v/>
      </c>
    </row>
    <row r="836">
      <c r="A836" s="7">
        <f>IF($Z836="","",$AD836)</f>
        <v/>
      </c>
      <c r="B836" s="7">
        <f>IF($Z836="C",INDEX(Contracts!$D$2:$D$151,$AB836)&amp;"",IF($Z836="A",INDEX(Fixed_Assets!$C$2:$C$201,$AB836)&amp;"",IF($Z836="F",INDEX(Workforce!$B$2:$B$151,MATCH(INDEX(FTE_Allocation!$A$2:$A$201,$AB836),Workforce!$A$2:$A$151,0))&amp;"","")))</f>
        <v/>
      </c>
      <c r="C836" s="7">
        <f>IF($Z836="C",INDEX(Contracts!$E$2:$E$151,$AB836)&amp;"",IF($Z836="A",INDEX(Fixed_Assets!$D$2:$D$201,$AB836)&amp;"",IF($Z836="F",INDEX(FTE_Allocation!$C$2:$C$201,$AB836)&amp;"","")))</f>
        <v/>
      </c>
      <c r="D836" s="7">
        <f>IF($Z836="C",INDEX(Contracts!$B$2:$B$151,$AB836)&amp;"",IF($Z836="A",INDEX(Fixed_Assets!$B$2:$B$201,$AB836)&amp;"",IF($Z836="F",INDEX(FTE_Allocation!$B$2:$B$201,$AB836)&amp;"","")))</f>
        <v/>
      </c>
      <c r="E836" s="7">
        <f>IF($Z836="C",INDEX(Contracts!$P$2:$P$151,$AB836)&amp;"",IF($Z836="A",INDEX(Fixed_Assets!$K$2:$K$201,$AB836)&amp;"",IF($Z836="F",IF(INDEX(FTE_Allocation!$D$2:$D$201,$AB836)="PROJECT",IFERROR(INDEX(Projects!$D:$D,MATCH(INDEX(FTE_Allocation!$E$2:$E$201,$AB836),Projects!$A:$A,0))&amp;"","#PROJECT?"),INDEX(FTE_Allocation!$E$2:$E$201,$AB836)&amp;""),"")))</f>
        <v/>
      </c>
      <c r="F836" s="7">
        <f>IF($Z836="C",INDEX(Contracts!$Q$2:$Q$151,$AB836)&amp;"",IF($Z836="A",INDEX(Fixed_Assets!$L$2:$L$201,$AB836)&amp;"",IF($Z836="F",INDEX(Workforce!$K$2:$K$151,MATCH(INDEX(FTE_Allocation!$A$2:$A$201,$AB836),Workforce!$A$2:$A$151,0))&amp;"","")))</f>
        <v/>
      </c>
      <c r="G836" s="7">
        <f>IF($Z836="C",INDEX(Contracts!$F$2:$F$151,$AB836)&amp;" / "&amp;INDEX(Contracts!$G$2:$G$151,$AB836),IF($Z836="A",INDEX(Fixed_Assets!$E$2:$E$201,$AB836)&amp;"",IF($Z836="F","Personnel "&amp;INDEX(FTE_Allocation!$A$2:$A$201,$AB836)&amp;IF(INDEX(FTE_Allocation!$D$2:$D$201,$AB836)="PROJECT"," ("&amp;INDEX(FTE_Allocation!$E$2:$E$201,$AB836)&amp;")",""),"")))</f>
        <v/>
      </c>
      <c r="H836" s="7">
        <f>IF($Z836="C","CONTRACT",IF($Z836="A","ASSET",IF($Z836="F","WORKFORCE","")))</f>
        <v/>
      </c>
      <c r="I836" s="7">
        <f>IF($Z836="C",INDEX(Contracts!$L$2:$L$151,$AB836)&amp;"",IF($Z836="A",INDEX(Fixed_Assets!$I$2:$I$201,$AB836)&amp;"",IF($Z836="F",INDEX(Workforce!$G$2:$G$151,MATCH(INDEX(FTE_Allocation!$A$2:$A$201,$AB836),Workforce!$A$2:$A$151,0))&amp;"","")))</f>
        <v/>
      </c>
      <c r="J836" s="18">
        <f>IF($Z836="","",IF(AND(DATE($AD836,1,1)&gt;=$AE836,DATE($AD836,1,1)&lt;=$AF836),ROUND($AG836,2),0))</f>
        <v/>
      </c>
      <c r="K836" s="18">
        <f>IF($Z836="","",IF(AND(DATE($AD836,2,1)&gt;=$AE836,DATE($AD836,2,1)&lt;=$AF836),ROUND($AG836,2),0))</f>
        <v/>
      </c>
      <c r="L836" s="18">
        <f>IF($Z836="","",IF(AND(DATE($AD836,3,1)&gt;=$AE836,DATE($AD836,3,1)&lt;=$AF836),ROUND($AG836,2),0))</f>
        <v/>
      </c>
      <c r="M836" s="18">
        <f>IF($Z836="","",IF(AND(DATE($AD836,4,1)&gt;=$AE836,DATE($AD836,4,1)&lt;=$AF836),ROUND($AG836,2),0))</f>
        <v/>
      </c>
      <c r="N836" s="18">
        <f>IF($Z836="","",IF(AND(DATE($AD836,5,1)&gt;=$AE836,DATE($AD836,5,1)&lt;=$AF836),ROUND($AG836,2),0))</f>
        <v/>
      </c>
      <c r="O836" s="18">
        <f>IF($Z836="","",IF(AND(DATE($AD836,6,1)&gt;=$AE836,DATE($AD836,6,1)&lt;=$AF836),ROUND($AG836,2),0))</f>
        <v/>
      </c>
      <c r="P836" s="18">
        <f>IF($Z836="","",IF(AND(DATE($AD836,7,1)&gt;=$AE836,DATE($AD836,7,1)&lt;=$AF836),ROUND($AG836,2),0))</f>
        <v/>
      </c>
      <c r="Q836" s="18">
        <f>IF($Z836="","",IF(AND(DATE($AD836,8,1)&gt;=$AE836,DATE($AD836,8,1)&lt;=$AF836),ROUND($AG836,2),0))</f>
        <v/>
      </c>
      <c r="R836" s="18">
        <f>IF($Z836="","",IF(AND(DATE($AD836,9,1)&gt;=$AE836,DATE($AD836,9,1)&lt;=$AF836),ROUND($AG836,2),0))</f>
        <v/>
      </c>
      <c r="S836" s="18">
        <f>IF($Z836="","",IF(AND(DATE($AD836,10,1)&gt;=$AE836,DATE($AD836,10,1)&lt;=$AF836),ROUND($AG836,2),0))</f>
        <v/>
      </c>
      <c r="T836" s="18">
        <f>IF($Z836="","",IF(AND(DATE($AD836,11,1)&gt;=$AE836,DATE($AD836,11,1)&lt;=$AF836),ROUND($AG836,2),0))</f>
        <v/>
      </c>
      <c r="U836" s="18">
        <f>IF($Z836="","",IF(AND(DATE($AD836,12,1)&gt;=$AE836,DATE($AD836,12,1)&lt;=$AF836),ROUND($AG836,2),0))</f>
        <v/>
      </c>
      <c r="V836" s="7">
        <f>IF($Z836="C","Generated from "&amp;INDEX(Contracts!$A$2:$A$151,$AB836),IF($Z836="A","Generated from "&amp;INDEX(Fixed_Assets!$A$2:$A$201,$AB836),IF($Z836="F","Generated from "&amp;INDEX(FTE_Allocation!$A$2:$A$201,$AB836),"")))</f>
        <v/>
      </c>
      <c r="X836" s="19">
        <f>IF($Z836="","",SUM(J836:U836))</f>
        <v/>
      </c>
      <c r="Y836" s="20">
        <f>ROW()-1</f>
        <v/>
      </c>
      <c r="Z836" s="20">
        <f>IF($Y836&lt;=Settings!$B$4*3,"C",IF($Y836&lt;=(Settings!$B$4+Settings!$B$5)*3,"A",IF($Y836&lt;=(Settings!$B$4+Settings!$B$5+Settings!$B$6)*3,"F","")))</f>
        <v/>
      </c>
      <c r="AA836" s="20">
        <f>IF($Z836="C",$Y836,IF($Z836="A",$Y836-Settings!$B$4*3,IF($Z836="F",$Y836-(Settings!$B$4+Settings!$B$5)*3,"")))</f>
        <v/>
      </c>
      <c r="AB836" s="20">
        <f>IF($Z836="","",INT(($AA836-1)/3)+1)</f>
        <v/>
      </c>
      <c r="AC836" s="20">
        <f>IF($Z836="","",MOD($AA836-1,3)+1)</f>
        <v/>
      </c>
      <c r="AD836" s="20">
        <f>IF($Z836="","",Settings!$B$2+$AC836-1)</f>
        <v/>
      </c>
      <c r="AE836" s="21">
        <f>IF($Z836="C",DATE(YEAR(INDEX(Contracts!$J$2:$J$151,$AB836)),MONTH(INDEX(Contracts!$J$2:$J$151,$AB836)),1),IF($Z836="A",DATE(YEAR(INDEX(Fixed_Assets!$G$2:$G$201,$AB836)),MONTH(INDEX(Fixed_Assets!$G$2:$G$201,$AB836)),1),IF($Z836="F",DATE(YEAR(MAX(N(INDEX(Workforce!$I$2:$I$151,MATCH(INDEX(FTE_Allocation!$A$2:$A$201,$AB836),Workforce!$A$2:$A$151,0))),N(INDEX(FTE_Allocation!$I$2:$I$201,$AB836)))),MONTH(MAX(N(INDEX(Workforce!$I$2:$I$151,MATCH(INDEX(FTE_Allocation!$A$2:$A$201,$AB836),Workforce!$A$2:$A$151,0))),N(INDEX(FTE_Allocation!$I$2:$I$201,$AB836)))),1),"")))</f>
        <v/>
      </c>
      <c r="AF836" s="21">
        <f>IF($Z836="C",IF(INDEX(Contracts!$I$2:$I$151,$AB836)="PREPAID",EDATE(DATE(YEAR(INDEX(Contracts!$J$2:$J$151,$AB836)),MONTH(INDEX(Contracts!$J$2:$J$151,$AB836)),1),IF(INDEX(Contracts!$N$2:$N$151,$AB836)="",12,INDEX(Contracts!$N$2:$N$151,$AB836))-1),IF(INDEX(Contracts!$I$2:$I$151,$AB836)="MONTHLY",IF(INDEX(Contracts!$K$2:$K$151,$AB836)="",2958101,INDEX(Contracts!$K$2:$K$151,$AB836)),0)),IF($Z836="A",EDATE(DATE(YEAR(INDEX(Fixed_Assets!$G$2:$G$201,$AB836)),MONTH(INDEX(Fixed_Assets!$G$2:$G$201,$AB836)),1),INDEX(Fixed_Assets!$J$2:$J$201,$AB836)-1),IF($Z836="F",MIN(IF(INDEX(Workforce!$J$2:$J$151,MATCH(INDEX(FTE_Allocation!$A$2:$A$201,$AB836),Workforce!$A$2:$A$151,0))="",2958101,INDEX(Workforce!$J$2:$J$151,MATCH(INDEX(FTE_Allocation!$A$2:$A$201,$AB836),Workforce!$A$2:$A$151,0))),IF(INDEX(FTE_Allocation!$J$2:$J$201,$AB836)="",2958101,INDEX(FTE_Allocation!$J$2:$J$201,$AB836))),"")))</f>
        <v/>
      </c>
      <c r="AG836" s="19">
        <f>IF($Z836="C",IF(INDEX(Contracts!$I$2:$I$151,$AB836)="PREPAID",INDEX(Contracts!$M$2:$M$151,$AB836)/IF(INDEX(Contracts!$N$2:$N$151,$AB836)="",12,INDEX(Contracts!$N$2:$N$151,$AB836)),IF(INDEX(Contracts!$I$2:$I$151,$AB836)="MONTHLY",INDEX(Contracts!$M$2:$M$151,$AB836),0))*(1-N(INDEX(Contracts!$O$2:$O$151,$AB836))),IF($Z836="A",INDEX(Fixed_Assets!$H$2:$H$201,$AB836)/INDEX(Fixed_Assets!$J$2:$J$201,$AB836),IF($Z836="F",INDEX(Workforce!$F$2:$F$151,MATCH(INDEX(FTE_Allocation!$A$2:$A$201,$AB836),Workforce!$A$2:$A$151,0))*N(INDEX(FTE_Allocation!$F$2:$H$201,$AB836,$AC836)),"")))</f>
        <v/>
      </c>
    </row>
    <row r="837">
      <c r="A837" s="7">
        <f>IF($Z837="","",$AD837)</f>
        <v/>
      </c>
      <c r="B837" s="7">
        <f>IF($Z837="C",INDEX(Contracts!$D$2:$D$151,$AB837)&amp;"",IF($Z837="A",INDEX(Fixed_Assets!$C$2:$C$201,$AB837)&amp;"",IF($Z837="F",INDEX(Workforce!$B$2:$B$151,MATCH(INDEX(FTE_Allocation!$A$2:$A$201,$AB837),Workforce!$A$2:$A$151,0))&amp;"","")))</f>
        <v/>
      </c>
      <c r="C837" s="7">
        <f>IF($Z837="C",INDEX(Contracts!$E$2:$E$151,$AB837)&amp;"",IF($Z837="A",INDEX(Fixed_Assets!$D$2:$D$201,$AB837)&amp;"",IF($Z837="F",INDEX(FTE_Allocation!$C$2:$C$201,$AB837)&amp;"","")))</f>
        <v/>
      </c>
      <c r="D837" s="7">
        <f>IF($Z837="C",INDEX(Contracts!$B$2:$B$151,$AB837)&amp;"",IF($Z837="A",INDEX(Fixed_Assets!$B$2:$B$201,$AB837)&amp;"",IF($Z837="F",INDEX(FTE_Allocation!$B$2:$B$201,$AB837)&amp;"","")))</f>
        <v/>
      </c>
      <c r="E837" s="7">
        <f>IF($Z837="C",INDEX(Contracts!$P$2:$P$151,$AB837)&amp;"",IF($Z837="A",INDEX(Fixed_Assets!$K$2:$K$201,$AB837)&amp;"",IF($Z837="F",IF(INDEX(FTE_Allocation!$D$2:$D$201,$AB837)="PROJECT",IFERROR(INDEX(Projects!$D:$D,MATCH(INDEX(FTE_Allocation!$E$2:$E$201,$AB837),Projects!$A:$A,0))&amp;"","#PROJECT?"),INDEX(FTE_Allocation!$E$2:$E$201,$AB837)&amp;""),"")))</f>
        <v/>
      </c>
      <c r="F837" s="7">
        <f>IF($Z837="C",INDEX(Contracts!$Q$2:$Q$151,$AB837)&amp;"",IF($Z837="A",INDEX(Fixed_Assets!$L$2:$L$201,$AB837)&amp;"",IF($Z837="F",INDEX(Workforce!$K$2:$K$151,MATCH(INDEX(FTE_Allocation!$A$2:$A$201,$AB837),Workforce!$A$2:$A$151,0))&amp;"","")))</f>
        <v/>
      </c>
      <c r="G837" s="7">
        <f>IF($Z837="C",INDEX(Contracts!$F$2:$F$151,$AB837)&amp;" / "&amp;INDEX(Contracts!$G$2:$G$151,$AB837),IF($Z837="A",INDEX(Fixed_Assets!$E$2:$E$201,$AB837)&amp;"",IF($Z837="F","Personnel "&amp;INDEX(FTE_Allocation!$A$2:$A$201,$AB837)&amp;IF(INDEX(FTE_Allocation!$D$2:$D$201,$AB837)="PROJECT"," ("&amp;INDEX(FTE_Allocation!$E$2:$E$201,$AB837)&amp;")",""),"")))</f>
        <v/>
      </c>
      <c r="H837" s="7">
        <f>IF($Z837="C","CONTRACT",IF($Z837="A","ASSET",IF($Z837="F","WORKFORCE","")))</f>
        <v/>
      </c>
      <c r="I837" s="7">
        <f>IF($Z837="C",INDEX(Contracts!$L$2:$L$151,$AB837)&amp;"",IF($Z837="A",INDEX(Fixed_Assets!$I$2:$I$201,$AB837)&amp;"",IF($Z837="F",INDEX(Workforce!$G$2:$G$151,MATCH(INDEX(FTE_Allocation!$A$2:$A$201,$AB837),Workforce!$A$2:$A$151,0))&amp;"","")))</f>
        <v/>
      </c>
      <c r="J837" s="18">
        <f>IF($Z837="","",IF(AND(DATE($AD837,1,1)&gt;=$AE837,DATE($AD837,1,1)&lt;=$AF837),ROUND($AG837,2),0))</f>
        <v/>
      </c>
      <c r="K837" s="18">
        <f>IF($Z837="","",IF(AND(DATE($AD837,2,1)&gt;=$AE837,DATE($AD837,2,1)&lt;=$AF837),ROUND($AG837,2),0))</f>
        <v/>
      </c>
      <c r="L837" s="18">
        <f>IF($Z837="","",IF(AND(DATE($AD837,3,1)&gt;=$AE837,DATE($AD837,3,1)&lt;=$AF837),ROUND($AG837,2),0))</f>
        <v/>
      </c>
      <c r="M837" s="18">
        <f>IF($Z837="","",IF(AND(DATE($AD837,4,1)&gt;=$AE837,DATE($AD837,4,1)&lt;=$AF837),ROUND($AG837,2),0))</f>
        <v/>
      </c>
      <c r="N837" s="18">
        <f>IF($Z837="","",IF(AND(DATE($AD837,5,1)&gt;=$AE837,DATE($AD837,5,1)&lt;=$AF837),ROUND($AG837,2),0))</f>
        <v/>
      </c>
      <c r="O837" s="18">
        <f>IF($Z837="","",IF(AND(DATE($AD837,6,1)&gt;=$AE837,DATE($AD837,6,1)&lt;=$AF837),ROUND($AG837,2),0))</f>
        <v/>
      </c>
      <c r="P837" s="18">
        <f>IF($Z837="","",IF(AND(DATE($AD837,7,1)&gt;=$AE837,DATE($AD837,7,1)&lt;=$AF837),ROUND($AG837,2),0))</f>
        <v/>
      </c>
      <c r="Q837" s="18">
        <f>IF($Z837="","",IF(AND(DATE($AD837,8,1)&gt;=$AE837,DATE($AD837,8,1)&lt;=$AF837),ROUND($AG837,2),0))</f>
        <v/>
      </c>
      <c r="R837" s="18">
        <f>IF($Z837="","",IF(AND(DATE($AD837,9,1)&gt;=$AE837,DATE($AD837,9,1)&lt;=$AF837),ROUND($AG837,2),0))</f>
        <v/>
      </c>
      <c r="S837" s="18">
        <f>IF($Z837="","",IF(AND(DATE($AD837,10,1)&gt;=$AE837,DATE($AD837,10,1)&lt;=$AF837),ROUND($AG837,2),0))</f>
        <v/>
      </c>
      <c r="T837" s="18">
        <f>IF($Z837="","",IF(AND(DATE($AD837,11,1)&gt;=$AE837,DATE($AD837,11,1)&lt;=$AF837),ROUND($AG837,2),0))</f>
        <v/>
      </c>
      <c r="U837" s="18">
        <f>IF($Z837="","",IF(AND(DATE($AD837,12,1)&gt;=$AE837,DATE($AD837,12,1)&lt;=$AF837),ROUND($AG837,2),0))</f>
        <v/>
      </c>
      <c r="V837" s="7">
        <f>IF($Z837="C","Generated from "&amp;INDEX(Contracts!$A$2:$A$151,$AB837),IF($Z837="A","Generated from "&amp;INDEX(Fixed_Assets!$A$2:$A$201,$AB837),IF($Z837="F","Generated from "&amp;INDEX(FTE_Allocation!$A$2:$A$201,$AB837),"")))</f>
        <v/>
      </c>
      <c r="X837" s="19">
        <f>IF($Z837="","",SUM(J837:U837))</f>
        <v/>
      </c>
      <c r="Y837" s="20">
        <f>ROW()-1</f>
        <v/>
      </c>
      <c r="Z837" s="20">
        <f>IF($Y837&lt;=Settings!$B$4*3,"C",IF($Y837&lt;=(Settings!$B$4+Settings!$B$5)*3,"A",IF($Y837&lt;=(Settings!$B$4+Settings!$B$5+Settings!$B$6)*3,"F","")))</f>
        <v/>
      </c>
      <c r="AA837" s="20">
        <f>IF($Z837="C",$Y837,IF($Z837="A",$Y837-Settings!$B$4*3,IF($Z837="F",$Y837-(Settings!$B$4+Settings!$B$5)*3,"")))</f>
        <v/>
      </c>
      <c r="AB837" s="20">
        <f>IF($Z837="","",INT(($AA837-1)/3)+1)</f>
        <v/>
      </c>
      <c r="AC837" s="20">
        <f>IF($Z837="","",MOD($AA837-1,3)+1)</f>
        <v/>
      </c>
      <c r="AD837" s="20">
        <f>IF($Z837="","",Settings!$B$2+$AC837-1)</f>
        <v/>
      </c>
      <c r="AE837" s="21">
        <f>IF($Z837="C",DATE(YEAR(INDEX(Contracts!$J$2:$J$151,$AB837)),MONTH(INDEX(Contracts!$J$2:$J$151,$AB837)),1),IF($Z837="A",DATE(YEAR(INDEX(Fixed_Assets!$G$2:$G$201,$AB837)),MONTH(INDEX(Fixed_Assets!$G$2:$G$201,$AB837)),1),IF($Z837="F",DATE(YEAR(MAX(N(INDEX(Workforce!$I$2:$I$151,MATCH(INDEX(FTE_Allocation!$A$2:$A$201,$AB837),Workforce!$A$2:$A$151,0))),N(INDEX(FTE_Allocation!$I$2:$I$201,$AB837)))),MONTH(MAX(N(INDEX(Workforce!$I$2:$I$151,MATCH(INDEX(FTE_Allocation!$A$2:$A$201,$AB837),Workforce!$A$2:$A$151,0))),N(INDEX(FTE_Allocation!$I$2:$I$201,$AB837)))),1),"")))</f>
        <v/>
      </c>
      <c r="AF837" s="21">
        <f>IF($Z837="C",IF(INDEX(Contracts!$I$2:$I$151,$AB837)="PREPAID",EDATE(DATE(YEAR(INDEX(Contracts!$J$2:$J$151,$AB837)),MONTH(INDEX(Contracts!$J$2:$J$151,$AB837)),1),IF(INDEX(Contracts!$N$2:$N$151,$AB837)="",12,INDEX(Contracts!$N$2:$N$151,$AB837))-1),IF(INDEX(Contracts!$I$2:$I$151,$AB837)="MONTHLY",IF(INDEX(Contracts!$K$2:$K$151,$AB837)="",2958101,INDEX(Contracts!$K$2:$K$151,$AB837)),0)),IF($Z837="A",EDATE(DATE(YEAR(INDEX(Fixed_Assets!$G$2:$G$201,$AB837)),MONTH(INDEX(Fixed_Assets!$G$2:$G$201,$AB837)),1),INDEX(Fixed_Assets!$J$2:$J$201,$AB837)-1),IF($Z837="F",MIN(IF(INDEX(Workforce!$J$2:$J$151,MATCH(INDEX(FTE_Allocation!$A$2:$A$201,$AB837),Workforce!$A$2:$A$151,0))="",2958101,INDEX(Workforce!$J$2:$J$151,MATCH(INDEX(FTE_Allocation!$A$2:$A$201,$AB837),Workforce!$A$2:$A$151,0))),IF(INDEX(FTE_Allocation!$J$2:$J$201,$AB837)="",2958101,INDEX(FTE_Allocation!$J$2:$J$201,$AB837))),"")))</f>
        <v/>
      </c>
      <c r="AG837" s="19">
        <f>IF($Z837="C",IF(INDEX(Contracts!$I$2:$I$151,$AB837)="PREPAID",INDEX(Contracts!$M$2:$M$151,$AB837)/IF(INDEX(Contracts!$N$2:$N$151,$AB837)="",12,INDEX(Contracts!$N$2:$N$151,$AB837)),IF(INDEX(Contracts!$I$2:$I$151,$AB837)="MONTHLY",INDEX(Contracts!$M$2:$M$151,$AB837),0))*(1-N(INDEX(Contracts!$O$2:$O$151,$AB837))),IF($Z837="A",INDEX(Fixed_Assets!$H$2:$H$201,$AB837)/INDEX(Fixed_Assets!$J$2:$J$201,$AB837),IF($Z837="F",INDEX(Workforce!$F$2:$F$151,MATCH(INDEX(FTE_Allocation!$A$2:$A$201,$AB837),Workforce!$A$2:$A$151,0))*N(INDEX(FTE_Allocation!$F$2:$H$201,$AB837,$AC837)),"")))</f>
        <v/>
      </c>
    </row>
    <row r="838">
      <c r="A838" s="7">
        <f>IF($Z838="","",$AD838)</f>
        <v/>
      </c>
      <c r="B838" s="7">
        <f>IF($Z838="C",INDEX(Contracts!$D$2:$D$151,$AB838)&amp;"",IF($Z838="A",INDEX(Fixed_Assets!$C$2:$C$201,$AB838)&amp;"",IF($Z838="F",INDEX(Workforce!$B$2:$B$151,MATCH(INDEX(FTE_Allocation!$A$2:$A$201,$AB838),Workforce!$A$2:$A$151,0))&amp;"","")))</f>
        <v/>
      </c>
      <c r="C838" s="7">
        <f>IF($Z838="C",INDEX(Contracts!$E$2:$E$151,$AB838)&amp;"",IF($Z838="A",INDEX(Fixed_Assets!$D$2:$D$201,$AB838)&amp;"",IF($Z838="F",INDEX(FTE_Allocation!$C$2:$C$201,$AB838)&amp;"","")))</f>
        <v/>
      </c>
      <c r="D838" s="7">
        <f>IF($Z838="C",INDEX(Contracts!$B$2:$B$151,$AB838)&amp;"",IF($Z838="A",INDEX(Fixed_Assets!$B$2:$B$201,$AB838)&amp;"",IF($Z838="F",INDEX(FTE_Allocation!$B$2:$B$201,$AB838)&amp;"","")))</f>
        <v/>
      </c>
      <c r="E838" s="7">
        <f>IF($Z838="C",INDEX(Contracts!$P$2:$P$151,$AB838)&amp;"",IF($Z838="A",INDEX(Fixed_Assets!$K$2:$K$201,$AB838)&amp;"",IF($Z838="F",IF(INDEX(FTE_Allocation!$D$2:$D$201,$AB838)="PROJECT",IFERROR(INDEX(Projects!$D:$D,MATCH(INDEX(FTE_Allocation!$E$2:$E$201,$AB838),Projects!$A:$A,0))&amp;"","#PROJECT?"),INDEX(FTE_Allocation!$E$2:$E$201,$AB838)&amp;""),"")))</f>
        <v/>
      </c>
      <c r="F838" s="7">
        <f>IF($Z838="C",INDEX(Contracts!$Q$2:$Q$151,$AB838)&amp;"",IF($Z838="A",INDEX(Fixed_Assets!$L$2:$L$201,$AB838)&amp;"",IF($Z838="F",INDEX(Workforce!$K$2:$K$151,MATCH(INDEX(FTE_Allocation!$A$2:$A$201,$AB838),Workforce!$A$2:$A$151,0))&amp;"","")))</f>
        <v/>
      </c>
      <c r="G838" s="7">
        <f>IF($Z838="C",INDEX(Contracts!$F$2:$F$151,$AB838)&amp;" / "&amp;INDEX(Contracts!$G$2:$G$151,$AB838),IF($Z838="A",INDEX(Fixed_Assets!$E$2:$E$201,$AB838)&amp;"",IF($Z838="F","Personnel "&amp;INDEX(FTE_Allocation!$A$2:$A$201,$AB838)&amp;IF(INDEX(FTE_Allocation!$D$2:$D$201,$AB838)="PROJECT"," ("&amp;INDEX(FTE_Allocation!$E$2:$E$201,$AB838)&amp;")",""),"")))</f>
        <v/>
      </c>
      <c r="H838" s="7">
        <f>IF($Z838="C","CONTRACT",IF($Z838="A","ASSET",IF($Z838="F","WORKFORCE","")))</f>
        <v/>
      </c>
      <c r="I838" s="7">
        <f>IF($Z838="C",INDEX(Contracts!$L$2:$L$151,$AB838)&amp;"",IF($Z838="A",INDEX(Fixed_Assets!$I$2:$I$201,$AB838)&amp;"",IF($Z838="F",INDEX(Workforce!$G$2:$G$151,MATCH(INDEX(FTE_Allocation!$A$2:$A$201,$AB838),Workforce!$A$2:$A$151,0))&amp;"","")))</f>
        <v/>
      </c>
      <c r="J838" s="18">
        <f>IF($Z838="","",IF(AND(DATE($AD838,1,1)&gt;=$AE838,DATE($AD838,1,1)&lt;=$AF838),ROUND($AG838,2),0))</f>
        <v/>
      </c>
      <c r="K838" s="18">
        <f>IF($Z838="","",IF(AND(DATE($AD838,2,1)&gt;=$AE838,DATE($AD838,2,1)&lt;=$AF838),ROUND($AG838,2),0))</f>
        <v/>
      </c>
      <c r="L838" s="18">
        <f>IF($Z838="","",IF(AND(DATE($AD838,3,1)&gt;=$AE838,DATE($AD838,3,1)&lt;=$AF838),ROUND($AG838,2),0))</f>
        <v/>
      </c>
      <c r="M838" s="18">
        <f>IF($Z838="","",IF(AND(DATE($AD838,4,1)&gt;=$AE838,DATE($AD838,4,1)&lt;=$AF838),ROUND($AG838,2),0))</f>
        <v/>
      </c>
      <c r="N838" s="18">
        <f>IF($Z838="","",IF(AND(DATE($AD838,5,1)&gt;=$AE838,DATE($AD838,5,1)&lt;=$AF838),ROUND($AG838,2),0))</f>
        <v/>
      </c>
      <c r="O838" s="18">
        <f>IF($Z838="","",IF(AND(DATE($AD838,6,1)&gt;=$AE838,DATE($AD838,6,1)&lt;=$AF838),ROUND($AG838,2),0))</f>
        <v/>
      </c>
      <c r="P838" s="18">
        <f>IF($Z838="","",IF(AND(DATE($AD838,7,1)&gt;=$AE838,DATE($AD838,7,1)&lt;=$AF838),ROUND($AG838,2),0))</f>
        <v/>
      </c>
      <c r="Q838" s="18">
        <f>IF($Z838="","",IF(AND(DATE($AD838,8,1)&gt;=$AE838,DATE($AD838,8,1)&lt;=$AF838),ROUND($AG838,2),0))</f>
        <v/>
      </c>
      <c r="R838" s="18">
        <f>IF($Z838="","",IF(AND(DATE($AD838,9,1)&gt;=$AE838,DATE($AD838,9,1)&lt;=$AF838),ROUND($AG838,2),0))</f>
        <v/>
      </c>
      <c r="S838" s="18">
        <f>IF($Z838="","",IF(AND(DATE($AD838,10,1)&gt;=$AE838,DATE($AD838,10,1)&lt;=$AF838),ROUND($AG838,2),0))</f>
        <v/>
      </c>
      <c r="T838" s="18">
        <f>IF($Z838="","",IF(AND(DATE($AD838,11,1)&gt;=$AE838,DATE($AD838,11,1)&lt;=$AF838),ROUND($AG838,2),0))</f>
        <v/>
      </c>
      <c r="U838" s="18">
        <f>IF($Z838="","",IF(AND(DATE($AD838,12,1)&gt;=$AE838,DATE($AD838,12,1)&lt;=$AF838),ROUND($AG838,2),0))</f>
        <v/>
      </c>
      <c r="V838" s="7">
        <f>IF($Z838="C","Generated from "&amp;INDEX(Contracts!$A$2:$A$151,$AB838),IF($Z838="A","Generated from "&amp;INDEX(Fixed_Assets!$A$2:$A$201,$AB838),IF($Z838="F","Generated from "&amp;INDEX(FTE_Allocation!$A$2:$A$201,$AB838),"")))</f>
        <v/>
      </c>
      <c r="X838" s="19">
        <f>IF($Z838="","",SUM(J838:U838))</f>
        <v/>
      </c>
      <c r="Y838" s="20">
        <f>ROW()-1</f>
        <v/>
      </c>
      <c r="Z838" s="20">
        <f>IF($Y838&lt;=Settings!$B$4*3,"C",IF($Y838&lt;=(Settings!$B$4+Settings!$B$5)*3,"A",IF($Y838&lt;=(Settings!$B$4+Settings!$B$5+Settings!$B$6)*3,"F","")))</f>
        <v/>
      </c>
      <c r="AA838" s="20">
        <f>IF($Z838="C",$Y838,IF($Z838="A",$Y838-Settings!$B$4*3,IF($Z838="F",$Y838-(Settings!$B$4+Settings!$B$5)*3,"")))</f>
        <v/>
      </c>
      <c r="AB838" s="20">
        <f>IF($Z838="","",INT(($AA838-1)/3)+1)</f>
        <v/>
      </c>
      <c r="AC838" s="20">
        <f>IF($Z838="","",MOD($AA838-1,3)+1)</f>
        <v/>
      </c>
      <c r="AD838" s="20">
        <f>IF($Z838="","",Settings!$B$2+$AC838-1)</f>
        <v/>
      </c>
      <c r="AE838" s="21">
        <f>IF($Z838="C",DATE(YEAR(INDEX(Contracts!$J$2:$J$151,$AB838)),MONTH(INDEX(Contracts!$J$2:$J$151,$AB838)),1),IF($Z838="A",DATE(YEAR(INDEX(Fixed_Assets!$G$2:$G$201,$AB838)),MONTH(INDEX(Fixed_Assets!$G$2:$G$201,$AB838)),1),IF($Z838="F",DATE(YEAR(MAX(N(INDEX(Workforce!$I$2:$I$151,MATCH(INDEX(FTE_Allocation!$A$2:$A$201,$AB838),Workforce!$A$2:$A$151,0))),N(INDEX(FTE_Allocation!$I$2:$I$201,$AB838)))),MONTH(MAX(N(INDEX(Workforce!$I$2:$I$151,MATCH(INDEX(FTE_Allocation!$A$2:$A$201,$AB838),Workforce!$A$2:$A$151,0))),N(INDEX(FTE_Allocation!$I$2:$I$201,$AB838)))),1),"")))</f>
        <v/>
      </c>
      <c r="AF838" s="21">
        <f>IF($Z838="C",IF(INDEX(Contracts!$I$2:$I$151,$AB838)="PREPAID",EDATE(DATE(YEAR(INDEX(Contracts!$J$2:$J$151,$AB838)),MONTH(INDEX(Contracts!$J$2:$J$151,$AB838)),1),IF(INDEX(Contracts!$N$2:$N$151,$AB838)="",12,INDEX(Contracts!$N$2:$N$151,$AB838))-1),IF(INDEX(Contracts!$I$2:$I$151,$AB838)="MONTHLY",IF(INDEX(Contracts!$K$2:$K$151,$AB838)="",2958101,INDEX(Contracts!$K$2:$K$151,$AB838)),0)),IF($Z838="A",EDATE(DATE(YEAR(INDEX(Fixed_Assets!$G$2:$G$201,$AB838)),MONTH(INDEX(Fixed_Assets!$G$2:$G$201,$AB838)),1),INDEX(Fixed_Assets!$J$2:$J$201,$AB838)-1),IF($Z838="F",MIN(IF(INDEX(Workforce!$J$2:$J$151,MATCH(INDEX(FTE_Allocation!$A$2:$A$201,$AB838),Workforce!$A$2:$A$151,0))="",2958101,INDEX(Workforce!$J$2:$J$151,MATCH(INDEX(FTE_Allocation!$A$2:$A$201,$AB838),Workforce!$A$2:$A$151,0))),IF(INDEX(FTE_Allocation!$J$2:$J$201,$AB838)="",2958101,INDEX(FTE_Allocation!$J$2:$J$201,$AB838))),"")))</f>
        <v/>
      </c>
      <c r="AG838" s="19">
        <f>IF($Z838="C",IF(INDEX(Contracts!$I$2:$I$151,$AB838)="PREPAID",INDEX(Contracts!$M$2:$M$151,$AB838)/IF(INDEX(Contracts!$N$2:$N$151,$AB838)="",12,INDEX(Contracts!$N$2:$N$151,$AB838)),IF(INDEX(Contracts!$I$2:$I$151,$AB838)="MONTHLY",INDEX(Contracts!$M$2:$M$151,$AB838),0))*(1-N(INDEX(Contracts!$O$2:$O$151,$AB838))),IF($Z838="A",INDEX(Fixed_Assets!$H$2:$H$201,$AB838)/INDEX(Fixed_Assets!$J$2:$J$201,$AB838),IF($Z838="F",INDEX(Workforce!$F$2:$F$151,MATCH(INDEX(FTE_Allocation!$A$2:$A$201,$AB838),Workforce!$A$2:$A$151,0))*N(INDEX(FTE_Allocation!$F$2:$H$201,$AB838,$AC838)),"")))</f>
        <v/>
      </c>
    </row>
    <row r="839">
      <c r="A839" s="7">
        <f>IF($Z839="","",$AD839)</f>
        <v/>
      </c>
      <c r="B839" s="7">
        <f>IF($Z839="C",INDEX(Contracts!$D$2:$D$151,$AB839)&amp;"",IF($Z839="A",INDEX(Fixed_Assets!$C$2:$C$201,$AB839)&amp;"",IF($Z839="F",INDEX(Workforce!$B$2:$B$151,MATCH(INDEX(FTE_Allocation!$A$2:$A$201,$AB839),Workforce!$A$2:$A$151,0))&amp;"","")))</f>
        <v/>
      </c>
      <c r="C839" s="7">
        <f>IF($Z839="C",INDEX(Contracts!$E$2:$E$151,$AB839)&amp;"",IF($Z839="A",INDEX(Fixed_Assets!$D$2:$D$201,$AB839)&amp;"",IF($Z839="F",INDEX(FTE_Allocation!$C$2:$C$201,$AB839)&amp;"","")))</f>
        <v/>
      </c>
      <c r="D839" s="7">
        <f>IF($Z839="C",INDEX(Contracts!$B$2:$B$151,$AB839)&amp;"",IF($Z839="A",INDEX(Fixed_Assets!$B$2:$B$201,$AB839)&amp;"",IF($Z839="F",INDEX(FTE_Allocation!$B$2:$B$201,$AB839)&amp;"","")))</f>
        <v/>
      </c>
      <c r="E839" s="7">
        <f>IF($Z839="C",INDEX(Contracts!$P$2:$P$151,$AB839)&amp;"",IF($Z839="A",INDEX(Fixed_Assets!$K$2:$K$201,$AB839)&amp;"",IF($Z839="F",IF(INDEX(FTE_Allocation!$D$2:$D$201,$AB839)="PROJECT",IFERROR(INDEX(Projects!$D:$D,MATCH(INDEX(FTE_Allocation!$E$2:$E$201,$AB839),Projects!$A:$A,0))&amp;"","#PROJECT?"),INDEX(FTE_Allocation!$E$2:$E$201,$AB839)&amp;""),"")))</f>
        <v/>
      </c>
      <c r="F839" s="7">
        <f>IF($Z839="C",INDEX(Contracts!$Q$2:$Q$151,$AB839)&amp;"",IF($Z839="A",INDEX(Fixed_Assets!$L$2:$L$201,$AB839)&amp;"",IF($Z839="F",INDEX(Workforce!$K$2:$K$151,MATCH(INDEX(FTE_Allocation!$A$2:$A$201,$AB839),Workforce!$A$2:$A$151,0))&amp;"","")))</f>
        <v/>
      </c>
      <c r="G839" s="7">
        <f>IF($Z839="C",INDEX(Contracts!$F$2:$F$151,$AB839)&amp;" / "&amp;INDEX(Contracts!$G$2:$G$151,$AB839),IF($Z839="A",INDEX(Fixed_Assets!$E$2:$E$201,$AB839)&amp;"",IF($Z839="F","Personnel "&amp;INDEX(FTE_Allocation!$A$2:$A$201,$AB839)&amp;IF(INDEX(FTE_Allocation!$D$2:$D$201,$AB839)="PROJECT"," ("&amp;INDEX(FTE_Allocation!$E$2:$E$201,$AB839)&amp;")",""),"")))</f>
        <v/>
      </c>
      <c r="H839" s="7">
        <f>IF($Z839="C","CONTRACT",IF($Z839="A","ASSET",IF($Z839="F","WORKFORCE","")))</f>
        <v/>
      </c>
      <c r="I839" s="7">
        <f>IF($Z839="C",INDEX(Contracts!$L$2:$L$151,$AB839)&amp;"",IF($Z839="A",INDEX(Fixed_Assets!$I$2:$I$201,$AB839)&amp;"",IF($Z839="F",INDEX(Workforce!$G$2:$G$151,MATCH(INDEX(FTE_Allocation!$A$2:$A$201,$AB839),Workforce!$A$2:$A$151,0))&amp;"","")))</f>
        <v/>
      </c>
      <c r="J839" s="18">
        <f>IF($Z839="","",IF(AND(DATE($AD839,1,1)&gt;=$AE839,DATE($AD839,1,1)&lt;=$AF839),ROUND($AG839,2),0))</f>
        <v/>
      </c>
      <c r="K839" s="18">
        <f>IF($Z839="","",IF(AND(DATE($AD839,2,1)&gt;=$AE839,DATE($AD839,2,1)&lt;=$AF839),ROUND($AG839,2),0))</f>
        <v/>
      </c>
      <c r="L839" s="18">
        <f>IF($Z839="","",IF(AND(DATE($AD839,3,1)&gt;=$AE839,DATE($AD839,3,1)&lt;=$AF839),ROUND($AG839,2),0))</f>
        <v/>
      </c>
      <c r="M839" s="18">
        <f>IF($Z839="","",IF(AND(DATE($AD839,4,1)&gt;=$AE839,DATE($AD839,4,1)&lt;=$AF839),ROUND($AG839,2),0))</f>
        <v/>
      </c>
      <c r="N839" s="18">
        <f>IF($Z839="","",IF(AND(DATE($AD839,5,1)&gt;=$AE839,DATE($AD839,5,1)&lt;=$AF839),ROUND($AG839,2),0))</f>
        <v/>
      </c>
      <c r="O839" s="18">
        <f>IF($Z839="","",IF(AND(DATE($AD839,6,1)&gt;=$AE839,DATE($AD839,6,1)&lt;=$AF839),ROUND($AG839,2),0))</f>
        <v/>
      </c>
      <c r="P839" s="18">
        <f>IF($Z839="","",IF(AND(DATE($AD839,7,1)&gt;=$AE839,DATE($AD839,7,1)&lt;=$AF839),ROUND($AG839,2),0))</f>
        <v/>
      </c>
      <c r="Q839" s="18">
        <f>IF($Z839="","",IF(AND(DATE($AD839,8,1)&gt;=$AE839,DATE($AD839,8,1)&lt;=$AF839),ROUND($AG839,2),0))</f>
        <v/>
      </c>
      <c r="R839" s="18">
        <f>IF($Z839="","",IF(AND(DATE($AD839,9,1)&gt;=$AE839,DATE($AD839,9,1)&lt;=$AF839),ROUND($AG839,2),0))</f>
        <v/>
      </c>
      <c r="S839" s="18">
        <f>IF($Z839="","",IF(AND(DATE($AD839,10,1)&gt;=$AE839,DATE($AD839,10,1)&lt;=$AF839),ROUND($AG839,2),0))</f>
        <v/>
      </c>
      <c r="T839" s="18">
        <f>IF($Z839="","",IF(AND(DATE($AD839,11,1)&gt;=$AE839,DATE($AD839,11,1)&lt;=$AF839),ROUND($AG839,2),0))</f>
        <v/>
      </c>
      <c r="U839" s="18">
        <f>IF($Z839="","",IF(AND(DATE($AD839,12,1)&gt;=$AE839,DATE($AD839,12,1)&lt;=$AF839),ROUND($AG839,2),0))</f>
        <v/>
      </c>
      <c r="V839" s="7">
        <f>IF($Z839="C","Generated from "&amp;INDEX(Contracts!$A$2:$A$151,$AB839),IF($Z839="A","Generated from "&amp;INDEX(Fixed_Assets!$A$2:$A$201,$AB839),IF($Z839="F","Generated from "&amp;INDEX(FTE_Allocation!$A$2:$A$201,$AB839),"")))</f>
        <v/>
      </c>
      <c r="X839" s="19">
        <f>IF($Z839="","",SUM(J839:U839))</f>
        <v/>
      </c>
      <c r="Y839" s="20">
        <f>ROW()-1</f>
        <v/>
      </c>
      <c r="Z839" s="20">
        <f>IF($Y839&lt;=Settings!$B$4*3,"C",IF($Y839&lt;=(Settings!$B$4+Settings!$B$5)*3,"A",IF($Y839&lt;=(Settings!$B$4+Settings!$B$5+Settings!$B$6)*3,"F","")))</f>
        <v/>
      </c>
      <c r="AA839" s="20">
        <f>IF($Z839="C",$Y839,IF($Z839="A",$Y839-Settings!$B$4*3,IF($Z839="F",$Y839-(Settings!$B$4+Settings!$B$5)*3,"")))</f>
        <v/>
      </c>
      <c r="AB839" s="20">
        <f>IF($Z839="","",INT(($AA839-1)/3)+1)</f>
        <v/>
      </c>
      <c r="AC839" s="20">
        <f>IF($Z839="","",MOD($AA839-1,3)+1)</f>
        <v/>
      </c>
      <c r="AD839" s="20">
        <f>IF($Z839="","",Settings!$B$2+$AC839-1)</f>
        <v/>
      </c>
      <c r="AE839" s="21">
        <f>IF($Z839="C",DATE(YEAR(INDEX(Contracts!$J$2:$J$151,$AB839)),MONTH(INDEX(Contracts!$J$2:$J$151,$AB839)),1),IF($Z839="A",DATE(YEAR(INDEX(Fixed_Assets!$G$2:$G$201,$AB839)),MONTH(INDEX(Fixed_Assets!$G$2:$G$201,$AB839)),1),IF($Z839="F",DATE(YEAR(MAX(N(INDEX(Workforce!$I$2:$I$151,MATCH(INDEX(FTE_Allocation!$A$2:$A$201,$AB839),Workforce!$A$2:$A$151,0))),N(INDEX(FTE_Allocation!$I$2:$I$201,$AB839)))),MONTH(MAX(N(INDEX(Workforce!$I$2:$I$151,MATCH(INDEX(FTE_Allocation!$A$2:$A$201,$AB839),Workforce!$A$2:$A$151,0))),N(INDEX(FTE_Allocation!$I$2:$I$201,$AB839)))),1),"")))</f>
        <v/>
      </c>
      <c r="AF839" s="21">
        <f>IF($Z839="C",IF(INDEX(Contracts!$I$2:$I$151,$AB839)="PREPAID",EDATE(DATE(YEAR(INDEX(Contracts!$J$2:$J$151,$AB839)),MONTH(INDEX(Contracts!$J$2:$J$151,$AB839)),1),IF(INDEX(Contracts!$N$2:$N$151,$AB839)="",12,INDEX(Contracts!$N$2:$N$151,$AB839))-1),IF(INDEX(Contracts!$I$2:$I$151,$AB839)="MONTHLY",IF(INDEX(Contracts!$K$2:$K$151,$AB839)="",2958101,INDEX(Contracts!$K$2:$K$151,$AB839)),0)),IF($Z839="A",EDATE(DATE(YEAR(INDEX(Fixed_Assets!$G$2:$G$201,$AB839)),MONTH(INDEX(Fixed_Assets!$G$2:$G$201,$AB839)),1),INDEX(Fixed_Assets!$J$2:$J$201,$AB839)-1),IF($Z839="F",MIN(IF(INDEX(Workforce!$J$2:$J$151,MATCH(INDEX(FTE_Allocation!$A$2:$A$201,$AB839),Workforce!$A$2:$A$151,0))="",2958101,INDEX(Workforce!$J$2:$J$151,MATCH(INDEX(FTE_Allocation!$A$2:$A$201,$AB839),Workforce!$A$2:$A$151,0))),IF(INDEX(FTE_Allocation!$J$2:$J$201,$AB839)="",2958101,INDEX(FTE_Allocation!$J$2:$J$201,$AB839))),"")))</f>
        <v/>
      </c>
      <c r="AG839" s="19">
        <f>IF($Z839="C",IF(INDEX(Contracts!$I$2:$I$151,$AB839)="PREPAID",INDEX(Contracts!$M$2:$M$151,$AB839)/IF(INDEX(Contracts!$N$2:$N$151,$AB839)="",12,INDEX(Contracts!$N$2:$N$151,$AB839)),IF(INDEX(Contracts!$I$2:$I$151,$AB839)="MONTHLY",INDEX(Contracts!$M$2:$M$151,$AB839),0))*(1-N(INDEX(Contracts!$O$2:$O$151,$AB839))),IF($Z839="A",INDEX(Fixed_Assets!$H$2:$H$201,$AB839)/INDEX(Fixed_Assets!$J$2:$J$201,$AB839),IF($Z839="F",INDEX(Workforce!$F$2:$F$151,MATCH(INDEX(FTE_Allocation!$A$2:$A$201,$AB839),Workforce!$A$2:$A$151,0))*N(INDEX(FTE_Allocation!$F$2:$H$201,$AB839,$AC839)),"")))</f>
        <v/>
      </c>
    </row>
    <row r="840">
      <c r="A840" s="7">
        <f>IF($Z840="","",$AD840)</f>
        <v/>
      </c>
      <c r="B840" s="7">
        <f>IF($Z840="C",INDEX(Contracts!$D$2:$D$151,$AB840)&amp;"",IF($Z840="A",INDEX(Fixed_Assets!$C$2:$C$201,$AB840)&amp;"",IF($Z840="F",INDEX(Workforce!$B$2:$B$151,MATCH(INDEX(FTE_Allocation!$A$2:$A$201,$AB840),Workforce!$A$2:$A$151,0))&amp;"","")))</f>
        <v/>
      </c>
      <c r="C840" s="7">
        <f>IF($Z840="C",INDEX(Contracts!$E$2:$E$151,$AB840)&amp;"",IF($Z840="A",INDEX(Fixed_Assets!$D$2:$D$201,$AB840)&amp;"",IF($Z840="F",INDEX(FTE_Allocation!$C$2:$C$201,$AB840)&amp;"","")))</f>
        <v/>
      </c>
      <c r="D840" s="7">
        <f>IF($Z840="C",INDEX(Contracts!$B$2:$B$151,$AB840)&amp;"",IF($Z840="A",INDEX(Fixed_Assets!$B$2:$B$201,$AB840)&amp;"",IF($Z840="F",INDEX(FTE_Allocation!$B$2:$B$201,$AB840)&amp;"","")))</f>
        <v/>
      </c>
      <c r="E840" s="7">
        <f>IF($Z840="C",INDEX(Contracts!$P$2:$P$151,$AB840)&amp;"",IF($Z840="A",INDEX(Fixed_Assets!$K$2:$K$201,$AB840)&amp;"",IF($Z840="F",IF(INDEX(FTE_Allocation!$D$2:$D$201,$AB840)="PROJECT",IFERROR(INDEX(Projects!$D:$D,MATCH(INDEX(FTE_Allocation!$E$2:$E$201,$AB840),Projects!$A:$A,0))&amp;"","#PROJECT?"),INDEX(FTE_Allocation!$E$2:$E$201,$AB840)&amp;""),"")))</f>
        <v/>
      </c>
      <c r="F840" s="7">
        <f>IF($Z840="C",INDEX(Contracts!$Q$2:$Q$151,$AB840)&amp;"",IF($Z840="A",INDEX(Fixed_Assets!$L$2:$L$201,$AB840)&amp;"",IF($Z840="F",INDEX(Workforce!$K$2:$K$151,MATCH(INDEX(FTE_Allocation!$A$2:$A$201,$AB840),Workforce!$A$2:$A$151,0))&amp;"","")))</f>
        <v/>
      </c>
      <c r="G840" s="7">
        <f>IF($Z840="C",INDEX(Contracts!$F$2:$F$151,$AB840)&amp;" / "&amp;INDEX(Contracts!$G$2:$G$151,$AB840),IF($Z840="A",INDEX(Fixed_Assets!$E$2:$E$201,$AB840)&amp;"",IF($Z840="F","Personnel "&amp;INDEX(FTE_Allocation!$A$2:$A$201,$AB840)&amp;IF(INDEX(FTE_Allocation!$D$2:$D$201,$AB840)="PROJECT"," ("&amp;INDEX(FTE_Allocation!$E$2:$E$201,$AB840)&amp;")",""),"")))</f>
        <v/>
      </c>
      <c r="H840" s="7">
        <f>IF($Z840="C","CONTRACT",IF($Z840="A","ASSET",IF($Z840="F","WORKFORCE","")))</f>
        <v/>
      </c>
      <c r="I840" s="7">
        <f>IF($Z840="C",INDEX(Contracts!$L$2:$L$151,$AB840)&amp;"",IF($Z840="A",INDEX(Fixed_Assets!$I$2:$I$201,$AB840)&amp;"",IF($Z840="F",INDEX(Workforce!$G$2:$G$151,MATCH(INDEX(FTE_Allocation!$A$2:$A$201,$AB840),Workforce!$A$2:$A$151,0))&amp;"","")))</f>
        <v/>
      </c>
      <c r="J840" s="18">
        <f>IF($Z840="","",IF(AND(DATE($AD840,1,1)&gt;=$AE840,DATE($AD840,1,1)&lt;=$AF840),ROUND($AG840,2),0))</f>
        <v/>
      </c>
      <c r="K840" s="18">
        <f>IF($Z840="","",IF(AND(DATE($AD840,2,1)&gt;=$AE840,DATE($AD840,2,1)&lt;=$AF840),ROUND($AG840,2),0))</f>
        <v/>
      </c>
      <c r="L840" s="18">
        <f>IF($Z840="","",IF(AND(DATE($AD840,3,1)&gt;=$AE840,DATE($AD840,3,1)&lt;=$AF840),ROUND($AG840,2),0))</f>
        <v/>
      </c>
      <c r="M840" s="18">
        <f>IF($Z840="","",IF(AND(DATE($AD840,4,1)&gt;=$AE840,DATE($AD840,4,1)&lt;=$AF840),ROUND($AG840,2),0))</f>
        <v/>
      </c>
      <c r="N840" s="18">
        <f>IF($Z840="","",IF(AND(DATE($AD840,5,1)&gt;=$AE840,DATE($AD840,5,1)&lt;=$AF840),ROUND($AG840,2),0))</f>
        <v/>
      </c>
      <c r="O840" s="18">
        <f>IF($Z840="","",IF(AND(DATE($AD840,6,1)&gt;=$AE840,DATE($AD840,6,1)&lt;=$AF840),ROUND($AG840,2),0))</f>
        <v/>
      </c>
      <c r="P840" s="18">
        <f>IF($Z840="","",IF(AND(DATE($AD840,7,1)&gt;=$AE840,DATE($AD840,7,1)&lt;=$AF840),ROUND($AG840,2),0))</f>
        <v/>
      </c>
      <c r="Q840" s="18">
        <f>IF($Z840="","",IF(AND(DATE($AD840,8,1)&gt;=$AE840,DATE($AD840,8,1)&lt;=$AF840),ROUND($AG840,2),0))</f>
        <v/>
      </c>
      <c r="R840" s="18">
        <f>IF($Z840="","",IF(AND(DATE($AD840,9,1)&gt;=$AE840,DATE($AD840,9,1)&lt;=$AF840),ROUND($AG840,2),0))</f>
        <v/>
      </c>
      <c r="S840" s="18">
        <f>IF($Z840="","",IF(AND(DATE($AD840,10,1)&gt;=$AE840,DATE($AD840,10,1)&lt;=$AF840),ROUND($AG840,2),0))</f>
        <v/>
      </c>
      <c r="T840" s="18">
        <f>IF($Z840="","",IF(AND(DATE($AD840,11,1)&gt;=$AE840,DATE($AD840,11,1)&lt;=$AF840),ROUND($AG840,2),0))</f>
        <v/>
      </c>
      <c r="U840" s="18">
        <f>IF($Z840="","",IF(AND(DATE($AD840,12,1)&gt;=$AE840,DATE($AD840,12,1)&lt;=$AF840),ROUND($AG840,2),0))</f>
        <v/>
      </c>
      <c r="V840" s="7">
        <f>IF($Z840="C","Generated from "&amp;INDEX(Contracts!$A$2:$A$151,$AB840),IF($Z840="A","Generated from "&amp;INDEX(Fixed_Assets!$A$2:$A$201,$AB840),IF($Z840="F","Generated from "&amp;INDEX(FTE_Allocation!$A$2:$A$201,$AB840),"")))</f>
        <v/>
      </c>
      <c r="X840" s="19">
        <f>IF($Z840="","",SUM(J840:U840))</f>
        <v/>
      </c>
      <c r="Y840" s="20">
        <f>ROW()-1</f>
        <v/>
      </c>
      <c r="Z840" s="20">
        <f>IF($Y840&lt;=Settings!$B$4*3,"C",IF($Y840&lt;=(Settings!$B$4+Settings!$B$5)*3,"A",IF($Y840&lt;=(Settings!$B$4+Settings!$B$5+Settings!$B$6)*3,"F","")))</f>
        <v/>
      </c>
      <c r="AA840" s="20">
        <f>IF($Z840="C",$Y840,IF($Z840="A",$Y840-Settings!$B$4*3,IF($Z840="F",$Y840-(Settings!$B$4+Settings!$B$5)*3,"")))</f>
        <v/>
      </c>
      <c r="AB840" s="20">
        <f>IF($Z840="","",INT(($AA840-1)/3)+1)</f>
        <v/>
      </c>
      <c r="AC840" s="20">
        <f>IF($Z840="","",MOD($AA840-1,3)+1)</f>
        <v/>
      </c>
      <c r="AD840" s="20">
        <f>IF($Z840="","",Settings!$B$2+$AC840-1)</f>
        <v/>
      </c>
      <c r="AE840" s="21">
        <f>IF($Z840="C",DATE(YEAR(INDEX(Contracts!$J$2:$J$151,$AB840)),MONTH(INDEX(Contracts!$J$2:$J$151,$AB840)),1),IF($Z840="A",DATE(YEAR(INDEX(Fixed_Assets!$G$2:$G$201,$AB840)),MONTH(INDEX(Fixed_Assets!$G$2:$G$201,$AB840)),1),IF($Z840="F",DATE(YEAR(MAX(N(INDEX(Workforce!$I$2:$I$151,MATCH(INDEX(FTE_Allocation!$A$2:$A$201,$AB840),Workforce!$A$2:$A$151,0))),N(INDEX(FTE_Allocation!$I$2:$I$201,$AB840)))),MONTH(MAX(N(INDEX(Workforce!$I$2:$I$151,MATCH(INDEX(FTE_Allocation!$A$2:$A$201,$AB840),Workforce!$A$2:$A$151,0))),N(INDEX(FTE_Allocation!$I$2:$I$201,$AB840)))),1),"")))</f>
        <v/>
      </c>
      <c r="AF840" s="21">
        <f>IF($Z840="C",IF(INDEX(Contracts!$I$2:$I$151,$AB840)="PREPAID",EDATE(DATE(YEAR(INDEX(Contracts!$J$2:$J$151,$AB840)),MONTH(INDEX(Contracts!$J$2:$J$151,$AB840)),1),IF(INDEX(Contracts!$N$2:$N$151,$AB840)="",12,INDEX(Contracts!$N$2:$N$151,$AB840))-1),IF(INDEX(Contracts!$I$2:$I$151,$AB840)="MONTHLY",IF(INDEX(Contracts!$K$2:$K$151,$AB840)="",2958101,INDEX(Contracts!$K$2:$K$151,$AB840)),0)),IF($Z840="A",EDATE(DATE(YEAR(INDEX(Fixed_Assets!$G$2:$G$201,$AB840)),MONTH(INDEX(Fixed_Assets!$G$2:$G$201,$AB840)),1),INDEX(Fixed_Assets!$J$2:$J$201,$AB840)-1),IF($Z840="F",MIN(IF(INDEX(Workforce!$J$2:$J$151,MATCH(INDEX(FTE_Allocation!$A$2:$A$201,$AB840),Workforce!$A$2:$A$151,0))="",2958101,INDEX(Workforce!$J$2:$J$151,MATCH(INDEX(FTE_Allocation!$A$2:$A$201,$AB840),Workforce!$A$2:$A$151,0))),IF(INDEX(FTE_Allocation!$J$2:$J$201,$AB840)="",2958101,INDEX(FTE_Allocation!$J$2:$J$201,$AB840))),"")))</f>
        <v/>
      </c>
      <c r="AG840" s="19">
        <f>IF($Z840="C",IF(INDEX(Contracts!$I$2:$I$151,$AB840)="PREPAID",INDEX(Contracts!$M$2:$M$151,$AB840)/IF(INDEX(Contracts!$N$2:$N$151,$AB840)="",12,INDEX(Contracts!$N$2:$N$151,$AB840)),IF(INDEX(Contracts!$I$2:$I$151,$AB840)="MONTHLY",INDEX(Contracts!$M$2:$M$151,$AB840),0))*(1-N(INDEX(Contracts!$O$2:$O$151,$AB840))),IF($Z840="A",INDEX(Fixed_Assets!$H$2:$H$201,$AB840)/INDEX(Fixed_Assets!$J$2:$J$201,$AB840),IF($Z840="F",INDEX(Workforce!$F$2:$F$151,MATCH(INDEX(FTE_Allocation!$A$2:$A$201,$AB840),Workforce!$A$2:$A$151,0))*N(INDEX(FTE_Allocation!$F$2:$H$201,$AB840,$AC840)),"")))</f>
        <v/>
      </c>
    </row>
    <row r="841">
      <c r="A841" s="7">
        <f>IF($Z841="","",$AD841)</f>
        <v/>
      </c>
      <c r="B841" s="7">
        <f>IF($Z841="C",INDEX(Contracts!$D$2:$D$151,$AB841)&amp;"",IF($Z841="A",INDEX(Fixed_Assets!$C$2:$C$201,$AB841)&amp;"",IF($Z841="F",INDEX(Workforce!$B$2:$B$151,MATCH(INDEX(FTE_Allocation!$A$2:$A$201,$AB841),Workforce!$A$2:$A$151,0))&amp;"","")))</f>
        <v/>
      </c>
      <c r="C841" s="7">
        <f>IF($Z841="C",INDEX(Contracts!$E$2:$E$151,$AB841)&amp;"",IF($Z841="A",INDEX(Fixed_Assets!$D$2:$D$201,$AB841)&amp;"",IF($Z841="F",INDEX(FTE_Allocation!$C$2:$C$201,$AB841)&amp;"","")))</f>
        <v/>
      </c>
      <c r="D841" s="7">
        <f>IF($Z841="C",INDEX(Contracts!$B$2:$B$151,$AB841)&amp;"",IF($Z841="A",INDEX(Fixed_Assets!$B$2:$B$201,$AB841)&amp;"",IF($Z841="F",INDEX(FTE_Allocation!$B$2:$B$201,$AB841)&amp;"","")))</f>
        <v/>
      </c>
      <c r="E841" s="7">
        <f>IF($Z841="C",INDEX(Contracts!$P$2:$P$151,$AB841)&amp;"",IF($Z841="A",INDEX(Fixed_Assets!$K$2:$K$201,$AB841)&amp;"",IF($Z841="F",IF(INDEX(FTE_Allocation!$D$2:$D$201,$AB841)="PROJECT",IFERROR(INDEX(Projects!$D:$D,MATCH(INDEX(FTE_Allocation!$E$2:$E$201,$AB841),Projects!$A:$A,0))&amp;"","#PROJECT?"),INDEX(FTE_Allocation!$E$2:$E$201,$AB841)&amp;""),"")))</f>
        <v/>
      </c>
      <c r="F841" s="7">
        <f>IF($Z841="C",INDEX(Contracts!$Q$2:$Q$151,$AB841)&amp;"",IF($Z841="A",INDEX(Fixed_Assets!$L$2:$L$201,$AB841)&amp;"",IF($Z841="F",INDEX(Workforce!$K$2:$K$151,MATCH(INDEX(FTE_Allocation!$A$2:$A$201,$AB841),Workforce!$A$2:$A$151,0))&amp;"","")))</f>
        <v/>
      </c>
      <c r="G841" s="7">
        <f>IF($Z841="C",INDEX(Contracts!$F$2:$F$151,$AB841)&amp;" / "&amp;INDEX(Contracts!$G$2:$G$151,$AB841),IF($Z841="A",INDEX(Fixed_Assets!$E$2:$E$201,$AB841)&amp;"",IF($Z841="F","Personnel "&amp;INDEX(FTE_Allocation!$A$2:$A$201,$AB841)&amp;IF(INDEX(FTE_Allocation!$D$2:$D$201,$AB841)="PROJECT"," ("&amp;INDEX(FTE_Allocation!$E$2:$E$201,$AB841)&amp;")",""),"")))</f>
        <v/>
      </c>
      <c r="H841" s="7">
        <f>IF($Z841="C","CONTRACT",IF($Z841="A","ASSET",IF($Z841="F","WORKFORCE","")))</f>
        <v/>
      </c>
      <c r="I841" s="7">
        <f>IF($Z841="C",INDEX(Contracts!$L$2:$L$151,$AB841)&amp;"",IF($Z841="A",INDEX(Fixed_Assets!$I$2:$I$201,$AB841)&amp;"",IF($Z841="F",INDEX(Workforce!$G$2:$G$151,MATCH(INDEX(FTE_Allocation!$A$2:$A$201,$AB841),Workforce!$A$2:$A$151,0))&amp;"","")))</f>
        <v/>
      </c>
      <c r="J841" s="18">
        <f>IF($Z841="","",IF(AND(DATE($AD841,1,1)&gt;=$AE841,DATE($AD841,1,1)&lt;=$AF841),ROUND($AG841,2),0))</f>
        <v/>
      </c>
      <c r="K841" s="18">
        <f>IF($Z841="","",IF(AND(DATE($AD841,2,1)&gt;=$AE841,DATE($AD841,2,1)&lt;=$AF841),ROUND($AG841,2),0))</f>
        <v/>
      </c>
      <c r="L841" s="18">
        <f>IF($Z841="","",IF(AND(DATE($AD841,3,1)&gt;=$AE841,DATE($AD841,3,1)&lt;=$AF841),ROUND($AG841,2),0))</f>
        <v/>
      </c>
      <c r="M841" s="18">
        <f>IF($Z841="","",IF(AND(DATE($AD841,4,1)&gt;=$AE841,DATE($AD841,4,1)&lt;=$AF841),ROUND($AG841,2),0))</f>
        <v/>
      </c>
      <c r="N841" s="18">
        <f>IF($Z841="","",IF(AND(DATE($AD841,5,1)&gt;=$AE841,DATE($AD841,5,1)&lt;=$AF841),ROUND($AG841,2),0))</f>
        <v/>
      </c>
      <c r="O841" s="18">
        <f>IF($Z841="","",IF(AND(DATE($AD841,6,1)&gt;=$AE841,DATE($AD841,6,1)&lt;=$AF841),ROUND($AG841,2),0))</f>
        <v/>
      </c>
      <c r="P841" s="18">
        <f>IF($Z841="","",IF(AND(DATE($AD841,7,1)&gt;=$AE841,DATE($AD841,7,1)&lt;=$AF841),ROUND($AG841,2),0))</f>
        <v/>
      </c>
      <c r="Q841" s="18">
        <f>IF($Z841="","",IF(AND(DATE($AD841,8,1)&gt;=$AE841,DATE($AD841,8,1)&lt;=$AF841),ROUND($AG841,2),0))</f>
        <v/>
      </c>
      <c r="R841" s="18">
        <f>IF($Z841="","",IF(AND(DATE($AD841,9,1)&gt;=$AE841,DATE($AD841,9,1)&lt;=$AF841),ROUND($AG841,2),0))</f>
        <v/>
      </c>
      <c r="S841" s="18">
        <f>IF($Z841="","",IF(AND(DATE($AD841,10,1)&gt;=$AE841,DATE($AD841,10,1)&lt;=$AF841),ROUND($AG841,2),0))</f>
        <v/>
      </c>
      <c r="T841" s="18">
        <f>IF($Z841="","",IF(AND(DATE($AD841,11,1)&gt;=$AE841,DATE($AD841,11,1)&lt;=$AF841),ROUND($AG841,2),0))</f>
        <v/>
      </c>
      <c r="U841" s="18">
        <f>IF($Z841="","",IF(AND(DATE($AD841,12,1)&gt;=$AE841,DATE($AD841,12,1)&lt;=$AF841),ROUND($AG841,2),0))</f>
        <v/>
      </c>
      <c r="V841" s="7">
        <f>IF($Z841="C","Generated from "&amp;INDEX(Contracts!$A$2:$A$151,$AB841),IF($Z841="A","Generated from "&amp;INDEX(Fixed_Assets!$A$2:$A$201,$AB841),IF($Z841="F","Generated from "&amp;INDEX(FTE_Allocation!$A$2:$A$201,$AB841),"")))</f>
        <v/>
      </c>
      <c r="X841" s="19">
        <f>IF($Z841="","",SUM(J841:U841))</f>
        <v/>
      </c>
      <c r="Y841" s="20">
        <f>ROW()-1</f>
        <v/>
      </c>
      <c r="Z841" s="20">
        <f>IF($Y841&lt;=Settings!$B$4*3,"C",IF($Y841&lt;=(Settings!$B$4+Settings!$B$5)*3,"A",IF($Y841&lt;=(Settings!$B$4+Settings!$B$5+Settings!$B$6)*3,"F","")))</f>
        <v/>
      </c>
      <c r="AA841" s="20">
        <f>IF($Z841="C",$Y841,IF($Z841="A",$Y841-Settings!$B$4*3,IF($Z841="F",$Y841-(Settings!$B$4+Settings!$B$5)*3,"")))</f>
        <v/>
      </c>
      <c r="AB841" s="20">
        <f>IF($Z841="","",INT(($AA841-1)/3)+1)</f>
        <v/>
      </c>
      <c r="AC841" s="20">
        <f>IF($Z841="","",MOD($AA841-1,3)+1)</f>
        <v/>
      </c>
      <c r="AD841" s="20">
        <f>IF($Z841="","",Settings!$B$2+$AC841-1)</f>
        <v/>
      </c>
      <c r="AE841" s="21">
        <f>IF($Z841="C",DATE(YEAR(INDEX(Contracts!$J$2:$J$151,$AB841)),MONTH(INDEX(Contracts!$J$2:$J$151,$AB841)),1),IF($Z841="A",DATE(YEAR(INDEX(Fixed_Assets!$G$2:$G$201,$AB841)),MONTH(INDEX(Fixed_Assets!$G$2:$G$201,$AB841)),1),IF($Z841="F",DATE(YEAR(MAX(N(INDEX(Workforce!$I$2:$I$151,MATCH(INDEX(FTE_Allocation!$A$2:$A$201,$AB841),Workforce!$A$2:$A$151,0))),N(INDEX(FTE_Allocation!$I$2:$I$201,$AB841)))),MONTH(MAX(N(INDEX(Workforce!$I$2:$I$151,MATCH(INDEX(FTE_Allocation!$A$2:$A$201,$AB841),Workforce!$A$2:$A$151,0))),N(INDEX(FTE_Allocation!$I$2:$I$201,$AB841)))),1),"")))</f>
        <v/>
      </c>
      <c r="AF841" s="21">
        <f>IF($Z841="C",IF(INDEX(Contracts!$I$2:$I$151,$AB841)="PREPAID",EDATE(DATE(YEAR(INDEX(Contracts!$J$2:$J$151,$AB841)),MONTH(INDEX(Contracts!$J$2:$J$151,$AB841)),1),IF(INDEX(Contracts!$N$2:$N$151,$AB841)="",12,INDEX(Contracts!$N$2:$N$151,$AB841))-1),IF(INDEX(Contracts!$I$2:$I$151,$AB841)="MONTHLY",IF(INDEX(Contracts!$K$2:$K$151,$AB841)="",2958101,INDEX(Contracts!$K$2:$K$151,$AB841)),0)),IF($Z841="A",EDATE(DATE(YEAR(INDEX(Fixed_Assets!$G$2:$G$201,$AB841)),MONTH(INDEX(Fixed_Assets!$G$2:$G$201,$AB841)),1),INDEX(Fixed_Assets!$J$2:$J$201,$AB841)-1),IF($Z841="F",MIN(IF(INDEX(Workforce!$J$2:$J$151,MATCH(INDEX(FTE_Allocation!$A$2:$A$201,$AB841),Workforce!$A$2:$A$151,0))="",2958101,INDEX(Workforce!$J$2:$J$151,MATCH(INDEX(FTE_Allocation!$A$2:$A$201,$AB841),Workforce!$A$2:$A$151,0))),IF(INDEX(FTE_Allocation!$J$2:$J$201,$AB841)="",2958101,INDEX(FTE_Allocation!$J$2:$J$201,$AB841))),"")))</f>
        <v/>
      </c>
      <c r="AG841" s="19">
        <f>IF($Z841="C",IF(INDEX(Contracts!$I$2:$I$151,$AB841)="PREPAID",INDEX(Contracts!$M$2:$M$151,$AB841)/IF(INDEX(Contracts!$N$2:$N$151,$AB841)="",12,INDEX(Contracts!$N$2:$N$151,$AB841)),IF(INDEX(Contracts!$I$2:$I$151,$AB841)="MONTHLY",INDEX(Contracts!$M$2:$M$151,$AB841),0))*(1-N(INDEX(Contracts!$O$2:$O$151,$AB841))),IF($Z841="A",INDEX(Fixed_Assets!$H$2:$H$201,$AB841)/INDEX(Fixed_Assets!$J$2:$J$201,$AB841),IF($Z841="F",INDEX(Workforce!$F$2:$F$151,MATCH(INDEX(FTE_Allocation!$A$2:$A$201,$AB841),Workforce!$A$2:$A$151,0))*N(INDEX(FTE_Allocation!$F$2:$H$201,$AB841,$AC841)),"")))</f>
        <v/>
      </c>
    </row>
    <row r="842">
      <c r="A842" s="7">
        <f>IF($Z842="","",$AD842)</f>
        <v/>
      </c>
      <c r="B842" s="7">
        <f>IF($Z842="C",INDEX(Contracts!$D$2:$D$151,$AB842)&amp;"",IF($Z842="A",INDEX(Fixed_Assets!$C$2:$C$201,$AB842)&amp;"",IF($Z842="F",INDEX(Workforce!$B$2:$B$151,MATCH(INDEX(FTE_Allocation!$A$2:$A$201,$AB842),Workforce!$A$2:$A$151,0))&amp;"","")))</f>
        <v/>
      </c>
      <c r="C842" s="7">
        <f>IF($Z842="C",INDEX(Contracts!$E$2:$E$151,$AB842)&amp;"",IF($Z842="A",INDEX(Fixed_Assets!$D$2:$D$201,$AB842)&amp;"",IF($Z842="F",INDEX(FTE_Allocation!$C$2:$C$201,$AB842)&amp;"","")))</f>
        <v/>
      </c>
      <c r="D842" s="7">
        <f>IF($Z842="C",INDEX(Contracts!$B$2:$B$151,$AB842)&amp;"",IF($Z842="A",INDEX(Fixed_Assets!$B$2:$B$201,$AB842)&amp;"",IF($Z842="F",INDEX(FTE_Allocation!$B$2:$B$201,$AB842)&amp;"","")))</f>
        <v/>
      </c>
      <c r="E842" s="7">
        <f>IF($Z842="C",INDEX(Contracts!$P$2:$P$151,$AB842)&amp;"",IF($Z842="A",INDEX(Fixed_Assets!$K$2:$K$201,$AB842)&amp;"",IF($Z842="F",IF(INDEX(FTE_Allocation!$D$2:$D$201,$AB842)="PROJECT",IFERROR(INDEX(Projects!$D:$D,MATCH(INDEX(FTE_Allocation!$E$2:$E$201,$AB842),Projects!$A:$A,0))&amp;"","#PROJECT?"),INDEX(FTE_Allocation!$E$2:$E$201,$AB842)&amp;""),"")))</f>
        <v/>
      </c>
      <c r="F842" s="7">
        <f>IF($Z842="C",INDEX(Contracts!$Q$2:$Q$151,$AB842)&amp;"",IF($Z842="A",INDEX(Fixed_Assets!$L$2:$L$201,$AB842)&amp;"",IF($Z842="F",INDEX(Workforce!$K$2:$K$151,MATCH(INDEX(FTE_Allocation!$A$2:$A$201,$AB842),Workforce!$A$2:$A$151,0))&amp;"","")))</f>
        <v/>
      </c>
      <c r="G842" s="7">
        <f>IF($Z842="C",INDEX(Contracts!$F$2:$F$151,$AB842)&amp;" / "&amp;INDEX(Contracts!$G$2:$G$151,$AB842),IF($Z842="A",INDEX(Fixed_Assets!$E$2:$E$201,$AB842)&amp;"",IF($Z842="F","Personnel "&amp;INDEX(FTE_Allocation!$A$2:$A$201,$AB842)&amp;IF(INDEX(FTE_Allocation!$D$2:$D$201,$AB842)="PROJECT"," ("&amp;INDEX(FTE_Allocation!$E$2:$E$201,$AB842)&amp;")",""),"")))</f>
        <v/>
      </c>
      <c r="H842" s="7">
        <f>IF($Z842="C","CONTRACT",IF($Z842="A","ASSET",IF($Z842="F","WORKFORCE","")))</f>
        <v/>
      </c>
      <c r="I842" s="7">
        <f>IF($Z842="C",INDEX(Contracts!$L$2:$L$151,$AB842)&amp;"",IF($Z842="A",INDEX(Fixed_Assets!$I$2:$I$201,$AB842)&amp;"",IF($Z842="F",INDEX(Workforce!$G$2:$G$151,MATCH(INDEX(FTE_Allocation!$A$2:$A$201,$AB842),Workforce!$A$2:$A$151,0))&amp;"","")))</f>
        <v/>
      </c>
      <c r="J842" s="18">
        <f>IF($Z842="","",IF(AND(DATE($AD842,1,1)&gt;=$AE842,DATE($AD842,1,1)&lt;=$AF842),ROUND($AG842,2),0))</f>
        <v/>
      </c>
      <c r="K842" s="18">
        <f>IF($Z842="","",IF(AND(DATE($AD842,2,1)&gt;=$AE842,DATE($AD842,2,1)&lt;=$AF842),ROUND($AG842,2),0))</f>
        <v/>
      </c>
      <c r="L842" s="18">
        <f>IF($Z842="","",IF(AND(DATE($AD842,3,1)&gt;=$AE842,DATE($AD842,3,1)&lt;=$AF842),ROUND($AG842,2),0))</f>
        <v/>
      </c>
      <c r="M842" s="18">
        <f>IF($Z842="","",IF(AND(DATE($AD842,4,1)&gt;=$AE842,DATE($AD842,4,1)&lt;=$AF842),ROUND($AG842,2),0))</f>
        <v/>
      </c>
      <c r="N842" s="18">
        <f>IF($Z842="","",IF(AND(DATE($AD842,5,1)&gt;=$AE842,DATE($AD842,5,1)&lt;=$AF842),ROUND($AG842,2),0))</f>
        <v/>
      </c>
      <c r="O842" s="18">
        <f>IF($Z842="","",IF(AND(DATE($AD842,6,1)&gt;=$AE842,DATE($AD842,6,1)&lt;=$AF842),ROUND($AG842,2),0))</f>
        <v/>
      </c>
      <c r="P842" s="18">
        <f>IF($Z842="","",IF(AND(DATE($AD842,7,1)&gt;=$AE842,DATE($AD842,7,1)&lt;=$AF842),ROUND($AG842,2),0))</f>
        <v/>
      </c>
      <c r="Q842" s="18">
        <f>IF($Z842="","",IF(AND(DATE($AD842,8,1)&gt;=$AE842,DATE($AD842,8,1)&lt;=$AF842),ROUND($AG842,2),0))</f>
        <v/>
      </c>
      <c r="R842" s="18">
        <f>IF($Z842="","",IF(AND(DATE($AD842,9,1)&gt;=$AE842,DATE($AD842,9,1)&lt;=$AF842),ROUND($AG842,2),0))</f>
        <v/>
      </c>
      <c r="S842" s="18">
        <f>IF($Z842="","",IF(AND(DATE($AD842,10,1)&gt;=$AE842,DATE($AD842,10,1)&lt;=$AF842),ROUND($AG842,2),0))</f>
        <v/>
      </c>
      <c r="T842" s="18">
        <f>IF($Z842="","",IF(AND(DATE($AD842,11,1)&gt;=$AE842,DATE($AD842,11,1)&lt;=$AF842),ROUND($AG842,2),0))</f>
        <v/>
      </c>
      <c r="U842" s="18">
        <f>IF($Z842="","",IF(AND(DATE($AD842,12,1)&gt;=$AE842,DATE($AD842,12,1)&lt;=$AF842),ROUND($AG842,2),0))</f>
        <v/>
      </c>
      <c r="V842" s="7">
        <f>IF($Z842="C","Generated from "&amp;INDEX(Contracts!$A$2:$A$151,$AB842),IF($Z842="A","Generated from "&amp;INDEX(Fixed_Assets!$A$2:$A$201,$AB842),IF($Z842="F","Generated from "&amp;INDEX(FTE_Allocation!$A$2:$A$201,$AB842),"")))</f>
        <v/>
      </c>
      <c r="X842" s="19">
        <f>IF($Z842="","",SUM(J842:U842))</f>
        <v/>
      </c>
      <c r="Y842" s="20">
        <f>ROW()-1</f>
        <v/>
      </c>
      <c r="Z842" s="20">
        <f>IF($Y842&lt;=Settings!$B$4*3,"C",IF($Y842&lt;=(Settings!$B$4+Settings!$B$5)*3,"A",IF($Y842&lt;=(Settings!$B$4+Settings!$B$5+Settings!$B$6)*3,"F","")))</f>
        <v/>
      </c>
      <c r="AA842" s="20">
        <f>IF($Z842="C",$Y842,IF($Z842="A",$Y842-Settings!$B$4*3,IF($Z842="F",$Y842-(Settings!$B$4+Settings!$B$5)*3,"")))</f>
        <v/>
      </c>
      <c r="AB842" s="20">
        <f>IF($Z842="","",INT(($AA842-1)/3)+1)</f>
        <v/>
      </c>
      <c r="AC842" s="20">
        <f>IF($Z842="","",MOD($AA842-1,3)+1)</f>
        <v/>
      </c>
      <c r="AD842" s="20">
        <f>IF($Z842="","",Settings!$B$2+$AC842-1)</f>
        <v/>
      </c>
      <c r="AE842" s="21">
        <f>IF($Z842="C",DATE(YEAR(INDEX(Contracts!$J$2:$J$151,$AB842)),MONTH(INDEX(Contracts!$J$2:$J$151,$AB842)),1),IF($Z842="A",DATE(YEAR(INDEX(Fixed_Assets!$G$2:$G$201,$AB842)),MONTH(INDEX(Fixed_Assets!$G$2:$G$201,$AB842)),1),IF($Z842="F",DATE(YEAR(MAX(N(INDEX(Workforce!$I$2:$I$151,MATCH(INDEX(FTE_Allocation!$A$2:$A$201,$AB842),Workforce!$A$2:$A$151,0))),N(INDEX(FTE_Allocation!$I$2:$I$201,$AB842)))),MONTH(MAX(N(INDEX(Workforce!$I$2:$I$151,MATCH(INDEX(FTE_Allocation!$A$2:$A$201,$AB842),Workforce!$A$2:$A$151,0))),N(INDEX(FTE_Allocation!$I$2:$I$201,$AB842)))),1),"")))</f>
        <v/>
      </c>
      <c r="AF842" s="21">
        <f>IF($Z842="C",IF(INDEX(Contracts!$I$2:$I$151,$AB842)="PREPAID",EDATE(DATE(YEAR(INDEX(Contracts!$J$2:$J$151,$AB842)),MONTH(INDEX(Contracts!$J$2:$J$151,$AB842)),1),IF(INDEX(Contracts!$N$2:$N$151,$AB842)="",12,INDEX(Contracts!$N$2:$N$151,$AB842))-1),IF(INDEX(Contracts!$I$2:$I$151,$AB842)="MONTHLY",IF(INDEX(Contracts!$K$2:$K$151,$AB842)="",2958101,INDEX(Contracts!$K$2:$K$151,$AB842)),0)),IF($Z842="A",EDATE(DATE(YEAR(INDEX(Fixed_Assets!$G$2:$G$201,$AB842)),MONTH(INDEX(Fixed_Assets!$G$2:$G$201,$AB842)),1),INDEX(Fixed_Assets!$J$2:$J$201,$AB842)-1),IF($Z842="F",MIN(IF(INDEX(Workforce!$J$2:$J$151,MATCH(INDEX(FTE_Allocation!$A$2:$A$201,$AB842),Workforce!$A$2:$A$151,0))="",2958101,INDEX(Workforce!$J$2:$J$151,MATCH(INDEX(FTE_Allocation!$A$2:$A$201,$AB842),Workforce!$A$2:$A$151,0))),IF(INDEX(FTE_Allocation!$J$2:$J$201,$AB842)="",2958101,INDEX(FTE_Allocation!$J$2:$J$201,$AB842))),"")))</f>
        <v/>
      </c>
      <c r="AG842" s="19">
        <f>IF($Z842="C",IF(INDEX(Contracts!$I$2:$I$151,$AB842)="PREPAID",INDEX(Contracts!$M$2:$M$151,$AB842)/IF(INDEX(Contracts!$N$2:$N$151,$AB842)="",12,INDEX(Contracts!$N$2:$N$151,$AB842)),IF(INDEX(Contracts!$I$2:$I$151,$AB842)="MONTHLY",INDEX(Contracts!$M$2:$M$151,$AB842),0))*(1-N(INDEX(Contracts!$O$2:$O$151,$AB842))),IF($Z842="A",INDEX(Fixed_Assets!$H$2:$H$201,$AB842)/INDEX(Fixed_Assets!$J$2:$J$201,$AB842),IF($Z842="F",INDEX(Workforce!$F$2:$F$151,MATCH(INDEX(FTE_Allocation!$A$2:$A$201,$AB842),Workforce!$A$2:$A$151,0))*N(INDEX(FTE_Allocation!$F$2:$H$201,$AB842,$AC842)),"")))</f>
        <v/>
      </c>
    </row>
    <row r="843">
      <c r="A843" s="7">
        <f>IF($Z843="","",$AD843)</f>
        <v/>
      </c>
      <c r="B843" s="7">
        <f>IF($Z843="C",INDEX(Contracts!$D$2:$D$151,$AB843)&amp;"",IF($Z843="A",INDEX(Fixed_Assets!$C$2:$C$201,$AB843)&amp;"",IF($Z843="F",INDEX(Workforce!$B$2:$B$151,MATCH(INDEX(FTE_Allocation!$A$2:$A$201,$AB843),Workforce!$A$2:$A$151,0))&amp;"","")))</f>
        <v/>
      </c>
      <c r="C843" s="7">
        <f>IF($Z843="C",INDEX(Contracts!$E$2:$E$151,$AB843)&amp;"",IF($Z843="A",INDEX(Fixed_Assets!$D$2:$D$201,$AB843)&amp;"",IF($Z843="F",INDEX(FTE_Allocation!$C$2:$C$201,$AB843)&amp;"","")))</f>
        <v/>
      </c>
      <c r="D843" s="7">
        <f>IF($Z843="C",INDEX(Contracts!$B$2:$B$151,$AB843)&amp;"",IF($Z843="A",INDEX(Fixed_Assets!$B$2:$B$201,$AB843)&amp;"",IF($Z843="F",INDEX(FTE_Allocation!$B$2:$B$201,$AB843)&amp;"","")))</f>
        <v/>
      </c>
      <c r="E843" s="7">
        <f>IF($Z843="C",INDEX(Contracts!$P$2:$P$151,$AB843)&amp;"",IF($Z843="A",INDEX(Fixed_Assets!$K$2:$K$201,$AB843)&amp;"",IF($Z843="F",IF(INDEX(FTE_Allocation!$D$2:$D$201,$AB843)="PROJECT",IFERROR(INDEX(Projects!$D:$D,MATCH(INDEX(FTE_Allocation!$E$2:$E$201,$AB843),Projects!$A:$A,0))&amp;"","#PROJECT?"),INDEX(FTE_Allocation!$E$2:$E$201,$AB843)&amp;""),"")))</f>
        <v/>
      </c>
      <c r="F843" s="7">
        <f>IF($Z843="C",INDEX(Contracts!$Q$2:$Q$151,$AB843)&amp;"",IF($Z843="A",INDEX(Fixed_Assets!$L$2:$L$201,$AB843)&amp;"",IF($Z843="F",INDEX(Workforce!$K$2:$K$151,MATCH(INDEX(FTE_Allocation!$A$2:$A$201,$AB843),Workforce!$A$2:$A$151,0))&amp;"","")))</f>
        <v/>
      </c>
      <c r="G843" s="7">
        <f>IF($Z843="C",INDEX(Contracts!$F$2:$F$151,$AB843)&amp;" / "&amp;INDEX(Contracts!$G$2:$G$151,$AB843),IF($Z843="A",INDEX(Fixed_Assets!$E$2:$E$201,$AB843)&amp;"",IF($Z843="F","Personnel "&amp;INDEX(FTE_Allocation!$A$2:$A$201,$AB843)&amp;IF(INDEX(FTE_Allocation!$D$2:$D$201,$AB843)="PROJECT"," ("&amp;INDEX(FTE_Allocation!$E$2:$E$201,$AB843)&amp;")",""),"")))</f>
        <v/>
      </c>
      <c r="H843" s="7">
        <f>IF($Z843="C","CONTRACT",IF($Z843="A","ASSET",IF($Z843="F","WORKFORCE","")))</f>
        <v/>
      </c>
      <c r="I843" s="7">
        <f>IF($Z843="C",INDEX(Contracts!$L$2:$L$151,$AB843)&amp;"",IF($Z843="A",INDEX(Fixed_Assets!$I$2:$I$201,$AB843)&amp;"",IF($Z843="F",INDEX(Workforce!$G$2:$G$151,MATCH(INDEX(FTE_Allocation!$A$2:$A$201,$AB843),Workforce!$A$2:$A$151,0))&amp;"","")))</f>
        <v/>
      </c>
      <c r="J843" s="18">
        <f>IF($Z843="","",IF(AND(DATE($AD843,1,1)&gt;=$AE843,DATE($AD843,1,1)&lt;=$AF843),ROUND($AG843,2),0))</f>
        <v/>
      </c>
      <c r="K843" s="18">
        <f>IF($Z843="","",IF(AND(DATE($AD843,2,1)&gt;=$AE843,DATE($AD843,2,1)&lt;=$AF843),ROUND($AG843,2),0))</f>
        <v/>
      </c>
      <c r="L843" s="18">
        <f>IF($Z843="","",IF(AND(DATE($AD843,3,1)&gt;=$AE843,DATE($AD843,3,1)&lt;=$AF843),ROUND($AG843,2),0))</f>
        <v/>
      </c>
      <c r="M843" s="18">
        <f>IF($Z843="","",IF(AND(DATE($AD843,4,1)&gt;=$AE843,DATE($AD843,4,1)&lt;=$AF843),ROUND($AG843,2),0))</f>
        <v/>
      </c>
      <c r="N843" s="18">
        <f>IF($Z843="","",IF(AND(DATE($AD843,5,1)&gt;=$AE843,DATE($AD843,5,1)&lt;=$AF843),ROUND($AG843,2),0))</f>
        <v/>
      </c>
      <c r="O843" s="18">
        <f>IF($Z843="","",IF(AND(DATE($AD843,6,1)&gt;=$AE843,DATE($AD843,6,1)&lt;=$AF843),ROUND($AG843,2),0))</f>
        <v/>
      </c>
      <c r="P843" s="18">
        <f>IF($Z843="","",IF(AND(DATE($AD843,7,1)&gt;=$AE843,DATE($AD843,7,1)&lt;=$AF843),ROUND($AG843,2),0))</f>
        <v/>
      </c>
      <c r="Q843" s="18">
        <f>IF($Z843="","",IF(AND(DATE($AD843,8,1)&gt;=$AE843,DATE($AD843,8,1)&lt;=$AF843),ROUND($AG843,2),0))</f>
        <v/>
      </c>
      <c r="R843" s="18">
        <f>IF($Z843="","",IF(AND(DATE($AD843,9,1)&gt;=$AE843,DATE($AD843,9,1)&lt;=$AF843),ROUND($AG843,2),0))</f>
        <v/>
      </c>
      <c r="S843" s="18">
        <f>IF($Z843="","",IF(AND(DATE($AD843,10,1)&gt;=$AE843,DATE($AD843,10,1)&lt;=$AF843),ROUND($AG843,2),0))</f>
        <v/>
      </c>
      <c r="T843" s="18">
        <f>IF($Z843="","",IF(AND(DATE($AD843,11,1)&gt;=$AE843,DATE($AD843,11,1)&lt;=$AF843),ROUND($AG843,2),0))</f>
        <v/>
      </c>
      <c r="U843" s="18">
        <f>IF($Z843="","",IF(AND(DATE($AD843,12,1)&gt;=$AE843,DATE($AD843,12,1)&lt;=$AF843),ROUND($AG843,2),0))</f>
        <v/>
      </c>
      <c r="V843" s="7">
        <f>IF($Z843="C","Generated from "&amp;INDEX(Contracts!$A$2:$A$151,$AB843),IF($Z843="A","Generated from "&amp;INDEX(Fixed_Assets!$A$2:$A$201,$AB843),IF($Z843="F","Generated from "&amp;INDEX(FTE_Allocation!$A$2:$A$201,$AB843),"")))</f>
        <v/>
      </c>
      <c r="X843" s="19">
        <f>IF($Z843="","",SUM(J843:U843))</f>
        <v/>
      </c>
      <c r="Y843" s="20">
        <f>ROW()-1</f>
        <v/>
      </c>
      <c r="Z843" s="20">
        <f>IF($Y843&lt;=Settings!$B$4*3,"C",IF($Y843&lt;=(Settings!$B$4+Settings!$B$5)*3,"A",IF($Y843&lt;=(Settings!$B$4+Settings!$B$5+Settings!$B$6)*3,"F","")))</f>
        <v/>
      </c>
      <c r="AA843" s="20">
        <f>IF($Z843="C",$Y843,IF($Z843="A",$Y843-Settings!$B$4*3,IF($Z843="F",$Y843-(Settings!$B$4+Settings!$B$5)*3,"")))</f>
        <v/>
      </c>
      <c r="AB843" s="20">
        <f>IF($Z843="","",INT(($AA843-1)/3)+1)</f>
        <v/>
      </c>
      <c r="AC843" s="20">
        <f>IF($Z843="","",MOD($AA843-1,3)+1)</f>
        <v/>
      </c>
      <c r="AD843" s="20">
        <f>IF($Z843="","",Settings!$B$2+$AC843-1)</f>
        <v/>
      </c>
      <c r="AE843" s="21">
        <f>IF($Z843="C",DATE(YEAR(INDEX(Contracts!$J$2:$J$151,$AB843)),MONTH(INDEX(Contracts!$J$2:$J$151,$AB843)),1),IF($Z843="A",DATE(YEAR(INDEX(Fixed_Assets!$G$2:$G$201,$AB843)),MONTH(INDEX(Fixed_Assets!$G$2:$G$201,$AB843)),1),IF($Z843="F",DATE(YEAR(MAX(N(INDEX(Workforce!$I$2:$I$151,MATCH(INDEX(FTE_Allocation!$A$2:$A$201,$AB843),Workforce!$A$2:$A$151,0))),N(INDEX(FTE_Allocation!$I$2:$I$201,$AB843)))),MONTH(MAX(N(INDEX(Workforce!$I$2:$I$151,MATCH(INDEX(FTE_Allocation!$A$2:$A$201,$AB843),Workforce!$A$2:$A$151,0))),N(INDEX(FTE_Allocation!$I$2:$I$201,$AB843)))),1),"")))</f>
        <v/>
      </c>
      <c r="AF843" s="21">
        <f>IF($Z843="C",IF(INDEX(Contracts!$I$2:$I$151,$AB843)="PREPAID",EDATE(DATE(YEAR(INDEX(Contracts!$J$2:$J$151,$AB843)),MONTH(INDEX(Contracts!$J$2:$J$151,$AB843)),1),IF(INDEX(Contracts!$N$2:$N$151,$AB843)="",12,INDEX(Contracts!$N$2:$N$151,$AB843))-1),IF(INDEX(Contracts!$I$2:$I$151,$AB843)="MONTHLY",IF(INDEX(Contracts!$K$2:$K$151,$AB843)="",2958101,INDEX(Contracts!$K$2:$K$151,$AB843)),0)),IF($Z843="A",EDATE(DATE(YEAR(INDEX(Fixed_Assets!$G$2:$G$201,$AB843)),MONTH(INDEX(Fixed_Assets!$G$2:$G$201,$AB843)),1),INDEX(Fixed_Assets!$J$2:$J$201,$AB843)-1),IF($Z843="F",MIN(IF(INDEX(Workforce!$J$2:$J$151,MATCH(INDEX(FTE_Allocation!$A$2:$A$201,$AB843),Workforce!$A$2:$A$151,0))="",2958101,INDEX(Workforce!$J$2:$J$151,MATCH(INDEX(FTE_Allocation!$A$2:$A$201,$AB843),Workforce!$A$2:$A$151,0))),IF(INDEX(FTE_Allocation!$J$2:$J$201,$AB843)="",2958101,INDEX(FTE_Allocation!$J$2:$J$201,$AB843))),"")))</f>
        <v/>
      </c>
      <c r="AG843" s="19">
        <f>IF($Z843="C",IF(INDEX(Contracts!$I$2:$I$151,$AB843)="PREPAID",INDEX(Contracts!$M$2:$M$151,$AB843)/IF(INDEX(Contracts!$N$2:$N$151,$AB843)="",12,INDEX(Contracts!$N$2:$N$151,$AB843)),IF(INDEX(Contracts!$I$2:$I$151,$AB843)="MONTHLY",INDEX(Contracts!$M$2:$M$151,$AB843),0))*(1-N(INDEX(Contracts!$O$2:$O$151,$AB843))),IF($Z843="A",INDEX(Fixed_Assets!$H$2:$H$201,$AB843)/INDEX(Fixed_Assets!$J$2:$J$201,$AB843),IF($Z843="F",INDEX(Workforce!$F$2:$F$151,MATCH(INDEX(FTE_Allocation!$A$2:$A$201,$AB843),Workforce!$A$2:$A$151,0))*N(INDEX(FTE_Allocation!$F$2:$H$201,$AB843,$AC843)),"")))</f>
        <v/>
      </c>
    </row>
    <row r="844">
      <c r="A844" s="7">
        <f>IF($Z844="","",$AD844)</f>
        <v/>
      </c>
      <c r="B844" s="7">
        <f>IF($Z844="C",INDEX(Contracts!$D$2:$D$151,$AB844)&amp;"",IF($Z844="A",INDEX(Fixed_Assets!$C$2:$C$201,$AB844)&amp;"",IF($Z844="F",INDEX(Workforce!$B$2:$B$151,MATCH(INDEX(FTE_Allocation!$A$2:$A$201,$AB844),Workforce!$A$2:$A$151,0))&amp;"","")))</f>
        <v/>
      </c>
      <c r="C844" s="7">
        <f>IF($Z844="C",INDEX(Contracts!$E$2:$E$151,$AB844)&amp;"",IF($Z844="A",INDEX(Fixed_Assets!$D$2:$D$201,$AB844)&amp;"",IF($Z844="F",INDEX(FTE_Allocation!$C$2:$C$201,$AB844)&amp;"","")))</f>
        <v/>
      </c>
      <c r="D844" s="7">
        <f>IF($Z844="C",INDEX(Contracts!$B$2:$B$151,$AB844)&amp;"",IF($Z844="A",INDEX(Fixed_Assets!$B$2:$B$201,$AB844)&amp;"",IF($Z844="F",INDEX(FTE_Allocation!$B$2:$B$201,$AB844)&amp;"","")))</f>
        <v/>
      </c>
      <c r="E844" s="7">
        <f>IF($Z844="C",INDEX(Contracts!$P$2:$P$151,$AB844)&amp;"",IF($Z844="A",INDEX(Fixed_Assets!$K$2:$K$201,$AB844)&amp;"",IF($Z844="F",IF(INDEX(FTE_Allocation!$D$2:$D$201,$AB844)="PROJECT",IFERROR(INDEX(Projects!$D:$D,MATCH(INDEX(FTE_Allocation!$E$2:$E$201,$AB844),Projects!$A:$A,0))&amp;"","#PROJECT?"),INDEX(FTE_Allocation!$E$2:$E$201,$AB844)&amp;""),"")))</f>
        <v/>
      </c>
      <c r="F844" s="7">
        <f>IF($Z844="C",INDEX(Contracts!$Q$2:$Q$151,$AB844)&amp;"",IF($Z844="A",INDEX(Fixed_Assets!$L$2:$L$201,$AB844)&amp;"",IF($Z844="F",INDEX(Workforce!$K$2:$K$151,MATCH(INDEX(FTE_Allocation!$A$2:$A$201,$AB844),Workforce!$A$2:$A$151,0))&amp;"","")))</f>
        <v/>
      </c>
      <c r="G844" s="7">
        <f>IF($Z844="C",INDEX(Contracts!$F$2:$F$151,$AB844)&amp;" / "&amp;INDEX(Contracts!$G$2:$G$151,$AB844),IF($Z844="A",INDEX(Fixed_Assets!$E$2:$E$201,$AB844)&amp;"",IF($Z844="F","Personnel "&amp;INDEX(FTE_Allocation!$A$2:$A$201,$AB844)&amp;IF(INDEX(FTE_Allocation!$D$2:$D$201,$AB844)="PROJECT"," ("&amp;INDEX(FTE_Allocation!$E$2:$E$201,$AB844)&amp;")",""),"")))</f>
        <v/>
      </c>
      <c r="H844" s="7">
        <f>IF($Z844="C","CONTRACT",IF($Z844="A","ASSET",IF($Z844="F","WORKFORCE","")))</f>
        <v/>
      </c>
      <c r="I844" s="7">
        <f>IF($Z844="C",INDEX(Contracts!$L$2:$L$151,$AB844)&amp;"",IF($Z844="A",INDEX(Fixed_Assets!$I$2:$I$201,$AB844)&amp;"",IF($Z844="F",INDEX(Workforce!$G$2:$G$151,MATCH(INDEX(FTE_Allocation!$A$2:$A$201,$AB844),Workforce!$A$2:$A$151,0))&amp;"","")))</f>
        <v/>
      </c>
      <c r="J844" s="18">
        <f>IF($Z844="","",IF(AND(DATE($AD844,1,1)&gt;=$AE844,DATE($AD844,1,1)&lt;=$AF844),ROUND($AG844,2),0))</f>
        <v/>
      </c>
      <c r="K844" s="18">
        <f>IF($Z844="","",IF(AND(DATE($AD844,2,1)&gt;=$AE844,DATE($AD844,2,1)&lt;=$AF844),ROUND($AG844,2),0))</f>
        <v/>
      </c>
      <c r="L844" s="18">
        <f>IF($Z844="","",IF(AND(DATE($AD844,3,1)&gt;=$AE844,DATE($AD844,3,1)&lt;=$AF844),ROUND($AG844,2),0))</f>
        <v/>
      </c>
      <c r="M844" s="18">
        <f>IF($Z844="","",IF(AND(DATE($AD844,4,1)&gt;=$AE844,DATE($AD844,4,1)&lt;=$AF844),ROUND($AG844,2),0))</f>
        <v/>
      </c>
      <c r="N844" s="18">
        <f>IF($Z844="","",IF(AND(DATE($AD844,5,1)&gt;=$AE844,DATE($AD844,5,1)&lt;=$AF844),ROUND($AG844,2),0))</f>
        <v/>
      </c>
      <c r="O844" s="18">
        <f>IF($Z844="","",IF(AND(DATE($AD844,6,1)&gt;=$AE844,DATE($AD844,6,1)&lt;=$AF844),ROUND($AG844,2),0))</f>
        <v/>
      </c>
      <c r="P844" s="18">
        <f>IF($Z844="","",IF(AND(DATE($AD844,7,1)&gt;=$AE844,DATE($AD844,7,1)&lt;=$AF844),ROUND($AG844,2),0))</f>
        <v/>
      </c>
      <c r="Q844" s="18">
        <f>IF($Z844="","",IF(AND(DATE($AD844,8,1)&gt;=$AE844,DATE($AD844,8,1)&lt;=$AF844),ROUND($AG844,2),0))</f>
        <v/>
      </c>
      <c r="R844" s="18">
        <f>IF($Z844="","",IF(AND(DATE($AD844,9,1)&gt;=$AE844,DATE($AD844,9,1)&lt;=$AF844),ROUND($AG844,2),0))</f>
        <v/>
      </c>
      <c r="S844" s="18">
        <f>IF($Z844="","",IF(AND(DATE($AD844,10,1)&gt;=$AE844,DATE($AD844,10,1)&lt;=$AF844),ROUND($AG844,2),0))</f>
        <v/>
      </c>
      <c r="T844" s="18">
        <f>IF($Z844="","",IF(AND(DATE($AD844,11,1)&gt;=$AE844,DATE($AD844,11,1)&lt;=$AF844),ROUND($AG844,2),0))</f>
        <v/>
      </c>
      <c r="U844" s="18">
        <f>IF($Z844="","",IF(AND(DATE($AD844,12,1)&gt;=$AE844,DATE($AD844,12,1)&lt;=$AF844),ROUND($AG844,2),0))</f>
        <v/>
      </c>
      <c r="V844" s="7">
        <f>IF($Z844="C","Generated from "&amp;INDEX(Contracts!$A$2:$A$151,$AB844),IF($Z844="A","Generated from "&amp;INDEX(Fixed_Assets!$A$2:$A$201,$AB844),IF($Z844="F","Generated from "&amp;INDEX(FTE_Allocation!$A$2:$A$201,$AB844),"")))</f>
        <v/>
      </c>
      <c r="X844" s="19">
        <f>IF($Z844="","",SUM(J844:U844))</f>
        <v/>
      </c>
      <c r="Y844" s="20">
        <f>ROW()-1</f>
        <v/>
      </c>
      <c r="Z844" s="20">
        <f>IF($Y844&lt;=Settings!$B$4*3,"C",IF($Y844&lt;=(Settings!$B$4+Settings!$B$5)*3,"A",IF($Y844&lt;=(Settings!$B$4+Settings!$B$5+Settings!$B$6)*3,"F","")))</f>
        <v/>
      </c>
      <c r="AA844" s="20">
        <f>IF($Z844="C",$Y844,IF($Z844="A",$Y844-Settings!$B$4*3,IF($Z844="F",$Y844-(Settings!$B$4+Settings!$B$5)*3,"")))</f>
        <v/>
      </c>
      <c r="AB844" s="20">
        <f>IF($Z844="","",INT(($AA844-1)/3)+1)</f>
        <v/>
      </c>
      <c r="AC844" s="20">
        <f>IF($Z844="","",MOD($AA844-1,3)+1)</f>
        <v/>
      </c>
      <c r="AD844" s="20">
        <f>IF($Z844="","",Settings!$B$2+$AC844-1)</f>
        <v/>
      </c>
      <c r="AE844" s="21">
        <f>IF($Z844="C",DATE(YEAR(INDEX(Contracts!$J$2:$J$151,$AB844)),MONTH(INDEX(Contracts!$J$2:$J$151,$AB844)),1),IF($Z844="A",DATE(YEAR(INDEX(Fixed_Assets!$G$2:$G$201,$AB844)),MONTH(INDEX(Fixed_Assets!$G$2:$G$201,$AB844)),1),IF($Z844="F",DATE(YEAR(MAX(N(INDEX(Workforce!$I$2:$I$151,MATCH(INDEX(FTE_Allocation!$A$2:$A$201,$AB844),Workforce!$A$2:$A$151,0))),N(INDEX(FTE_Allocation!$I$2:$I$201,$AB844)))),MONTH(MAX(N(INDEX(Workforce!$I$2:$I$151,MATCH(INDEX(FTE_Allocation!$A$2:$A$201,$AB844),Workforce!$A$2:$A$151,0))),N(INDEX(FTE_Allocation!$I$2:$I$201,$AB844)))),1),"")))</f>
        <v/>
      </c>
      <c r="AF844" s="21">
        <f>IF($Z844="C",IF(INDEX(Contracts!$I$2:$I$151,$AB844)="PREPAID",EDATE(DATE(YEAR(INDEX(Contracts!$J$2:$J$151,$AB844)),MONTH(INDEX(Contracts!$J$2:$J$151,$AB844)),1),IF(INDEX(Contracts!$N$2:$N$151,$AB844)="",12,INDEX(Contracts!$N$2:$N$151,$AB844))-1),IF(INDEX(Contracts!$I$2:$I$151,$AB844)="MONTHLY",IF(INDEX(Contracts!$K$2:$K$151,$AB844)="",2958101,INDEX(Contracts!$K$2:$K$151,$AB844)),0)),IF($Z844="A",EDATE(DATE(YEAR(INDEX(Fixed_Assets!$G$2:$G$201,$AB844)),MONTH(INDEX(Fixed_Assets!$G$2:$G$201,$AB844)),1),INDEX(Fixed_Assets!$J$2:$J$201,$AB844)-1),IF($Z844="F",MIN(IF(INDEX(Workforce!$J$2:$J$151,MATCH(INDEX(FTE_Allocation!$A$2:$A$201,$AB844),Workforce!$A$2:$A$151,0))="",2958101,INDEX(Workforce!$J$2:$J$151,MATCH(INDEX(FTE_Allocation!$A$2:$A$201,$AB844),Workforce!$A$2:$A$151,0))),IF(INDEX(FTE_Allocation!$J$2:$J$201,$AB844)="",2958101,INDEX(FTE_Allocation!$J$2:$J$201,$AB844))),"")))</f>
        <v/>
      </c>
      <c r="AG844" s="19">
        <f>IF($Z844="C",IF(INDEX(Contracts!$I$2:$I$151,$AB844)="PREPAID",INDEX(Contracts!$M$2:$M$151,$AB844)/IF(INDEX(Contracts!$N$2:$N$151,$AB844)="",12,INDEX(Contracts!$N$2:$N$151,$AB844)),IF(INDEX(Contracts!$I$2:$I$151,$AB844)="MONTHLY",INDEX(Contracts!$M$2:$M$151,$AB844),0))*(1-N(INDEX(Contracts!$O$2:$O$151,$AB844))),IF($Z844="A",INDEX(Fixed_Assets!$H$2:$H$201,$AB844)/INDEX(Fixed_Assets!$J$2:$J$201,$AB844),IF($Z844="F",INDEX(Workforce!$F$2:$F$151,MATCH(INDEX(FTE_Allocation!$A$2:$A$201,$AB844),Workforce!$A$2:$A$151,0))*N(INDEX(FTE_Allocation!$F$2:$H$201,$AB844,$AC844)),"")))</f>
        <v/>
      </c>
    </row>
    <row r="845">
      <c r="A845" s="7">
        <f>IF($Z845="","",$AD845)</f>
        <v/>
      </c>
      <c r="B845" s="7">
        <f>IF($Z845="C",INDEX(Contracts!$D$2:$D$151,$AB845)&amp;"",IF($Z845="A",INDEX(Fixed_Assets!$C$2:$C$201,$AB845)&amp;"",IF($Z845="F",INDEX(Workforce!$B$2:$B$151,MATCH(INDEX(FTE_Allocation!$A$2:$A$201,$AB845),Workforce!$A$2:$A$151,0))&amp;"","")))</f>
        <v/>
      </c>
      <c r="C845" s="7">
        <f>IF($Z845="C",INDEX(Contracts!$E$2:$E$151,$AB845)&amp;"",IF($Z845="A",INDEX(Fixed_Assets!$D$2:$D$201,$AB845)&amp;"",IF($Z845="F",INDEX(FTE_Allocation!$C$2:$C$201,$AB845)&amp;"","")))</f>
        <v/>
      </c>
      <c r="D845" s="7">
        <f>IF($Z845="C",INDEX(Contracts!$B$2:$B$151,$AB845)&amp;"",IF($Z845="A",INDEX(Fixed_Assets!$B$2:$B$201,$AB845)&amp;"",IF($Z845="F",INDEX(FTE_Allocation!$B$2:$B$201,$AB845)&amp;"","")))</f>
        <v/>
      </c>
      <c r="E845" s="7">
        <f>IF($Z845="C",INDEX(Contracts!$P$2:$P$151,$AB845)&amp;"",IF($Z845="A",INDEX(Fixed_Assets!$K$2:$K$201,$AB845)&amp;"",IF($Z845="F",IF(INDEX(FTE_Allocation!$D$2:$D$201,$AB845)="PROJECT",IFERROR(INDEX(Projects!$D:$D,MATCH(INDEX(FTE_Allocation!$E$2:$E$201,$AB845),Projects!$A:$A,0))&amp;"","#PROJECT?"),INDEX(FTE_Allocation!$E$2:$E$201,$AB845)&amp;""),"")))</f>
        <v/>
      </c>
      <c r="F845" s="7">
        <f>IF($Z845="C",INDEX(Contracts!$Q$2:$Q$151,$AB845)&amp;"",IF($Z845="A",INDEX(Fixed_Assets!$L$2:$L$201,$AB845)&amp;"",IF($Z845="F",INDEX(Workforce!$K$2:$K$151,MATCH(INDEX(FTE_Allocation!$A$2:$A$201,$AB845),Workforce!$A$2:$A$151,0))&amp;"","")))</f>
        <v/>
      </c>
      <c r="G845" s="7">
        <f>IF($Z845="C",INDEX(Contracts!$F$2:$F$151,$AB845)&amp;" / "&amp;INDEX(Contracts!$G$2:$G$151,$AB845),IF($Z845="A",INDEX(Fixed_Assets!$E$2:$E$201,$AB845)&amp;"",IF($Z845="F","Personnel "&amp;INDEX(FTE_Allocation!$A$2:$A$201,$AB845)&amp;IF(INDEX(FTE_Allocation!$D$2:$D$201,$AB845)="PROJECT"," ("&amp;INDEX(FTE_Allocation!$E$2:$E$201,$AB845)&amp;")",""),"")))</f>
        <v/>
      </c>
      <c r="H845" s="7">
        <f>IF($Z845="C","CONTRACT",IF($Z845="A","ASSET",IF($Z845="F","WORKFORCE","")))</f>
        <v/>
      </c>
      <c r="I845" s="7">
        <f>IF($Z845="C",INDEX(Contracts!$L$2:$L$151,$AB845)&amp;"",IF($Z845="A",INDEX(Fixed_Assets!$I$2:$I$201,$AB845)&amp;"",IF($Z845="F",INDEX(Workforce!$G$2:$G$151,MATCH(INDEX(FTE_Allocation!$A$2:$A$201,$AB845),Workforce!$A$2:$A$151,0))&amp;"","")))</f>
        <v/>
      </c>
      <c r="J845" s="18">
        <f>IF($Z845="","",IF(AND(DATE($AD845,1,1)&gt;=$AE845,DATE($AD845,1,1)&lt;=$AF845),ROUND($AG845,2),0))</f>
        <v/>
      </c>
      <c r="K845" s="18">
        <f>IF($Z845="","",IF(AND(DATE($AD845,2,1)&gt;=$AE845,DATE($AD845,2,1)&lt;=$AF845),ROUND($AG845,2),0))</f>
        <v/>
      </c>
      <c r="L845" s="18">
        <f>IF($Z845="","",IF(AND(DATE($AD845,3,1)&gt;=$AE845,DATE($AD845,3,1)&lt;=$AF845),ROUND($AG845,2),0))</f>
        <v/>
      </c>
      <c r="M845" s="18">
        <f>IF($Z845="","",IF(AND(DATE($AD845,4,1)&gt;=$AE845,DATE($AD845,4,1)&lt;=$AF845),ROUND($AG845,2),0))</f>
        <v/>
      </c>
      <c r="N845" s="18">
        <f>IF($Z845="","",IF(AND(DATE($AD845,5,1)&gt;=$AE845,DATE($AD845,5,1)&lt;=$AF845),ROUND($AG845,2),0))</f>
        <v/>
      </c>
      <c r="O845" s="18">
        <f>IF($Z845="","",IF(AND(DATE($AD845,6,1)&gt;=$AE845,DATE($AD845,6,1)&lt;=$AF845),ROUND($AG845,2),0))</f>
        <v/>
      </c>
      <c r="P845" s="18">
        <f>IF($Z845="","",IF(AND(DATE($AD845,7,1)&gt;=$AE845,DATE($AD845,7,1)&lt;=$AF845),ROUND($AG845,2),0))</f>
        <v/>
      </c>
      <c r="Q845" s="18">
        <f>IF($Z845="","",IF(AND(DATE($AD845,8,1)&gt;=$AE845,DATE($AD845,8,1)&lt;=$AF845),ROUND($AG845,2),0))</f>
        <v/>
      </c>
      <c r="R845" s="18">
        <f>IF($Z845="","",IF(AND(DATE($AD845,9,1)&gt;=$AE845,DATE($AD845,9,1)&lt;=$AF845),ROUND($AG845,2),0))</f>
        <v/>
      </c>
      <c r="S845" s="18">
        <f>IF($Z845="","",IF(AND(DATE($AD845,10,1)&gt;=$AE845,DATE($AD845,10,1)&lt;=$AF845),ROUND($AG845,2),0))</f>
        <v/>
      </c>
      <c r="T845" s="18">
        <f>IF($Z845="","",IF(AND(DATE($AD845,11,1)&gt;=$AE845,DATE($AD845,11,1)&lt;=$AF845),ROUND($AG845,2),0))</f>
        <v/>
      </c>
      <c r="U845" s="18">
        <f>IF($Z845="","",IF(AND(DATE($AD845,12,1)&gt;=$AE845,DATE($AD845,12,1)&lt;=$AF845),ROUND($AG845,2),0))</f>
        <v/>
      </c>
      <c r="V845" s="7">
        <f>IF($Z845="C","Generated from "&amp;INDEX(Contracts!$A$2:$A$151,$AB845),IF($Z845="A","Generated from "&amp;INDEX(Fixed_Assets!$A$2:$A$201,$AB845),IF($Z845="F","Generated from "&amp;INDEX(FTE_Allocation!$A$2:$A$201,$AB845),"")))</f>
        <v/>
      </c>
      <c r="X845" s="19">
        <f>IF($Z845="","",SUM(J845:U845))</f>
        <v/>
      </c>
      <c r="Y845" s="20">
        <f>ROW()-1</f>
        <v/>
      </c>
      <c r="Z845" s="20">
        <f>IF($Y845&lt;=Settings!$B$4*3,"C",IF($Y845&lt;=(Settings!$B$4+Settings!$B$5)*3,"A",IF($Y845&lt;=(Settings!$B$4+Settings!$B$5+Settings!$B$6)*3,"F","")))</f>
        <v/>
      </c>
      <c r="AA845" s="20">
        <f>IF($Z845="C",$Y845,IF($Z845="A",$Y845-Settings!$B$4*3,IF($Z845="F",$Y845-(Settings!$B$4+Settings!$B$5)*3,"")))</f>
        <v/>
      </c>
      <c r="AB845" s="20">
        <f>IF($Z845="","",INT(($AA845-1)/3)+1)</f>
        <v/>
      </c>
      <c r="AC845" s="20">
        <f>IF($Z845="","",MOD($AA845-1,3)+1)</f>
        <v/>
      </c>
      <c r="AD845" s="20">
        <f>IF($Z845="","",Settings!$B$2+$AC845-1)</f>
        <v/>
      </c>
      <c r="AE845" s="21">
        <f>IF($Z845="C",DATE(YEAR(INDEX(Contracts!$J$2:$J$151,$AB845)),MONTH(INDEX(Contracts!$J$2:$J$151,$AB845)),1),IF($Z845="A",DATE(YEAR(INDEX(Fixed_Assets!$G$2:$G$201,$AB845)),MONTH(INDEX(Fixed_Assets!$G$2:$G$201,$AB845)),1),IF($Z845="F",DATE(YEAR(MAX(N(INDEX(Workforce!$I$2:$I$151,MATCH(INDEX(FTE_Allocation!$A$2:$A$201,$AB845),Workforce!$A$2:$A$151,0))),N(INDEX(FTE_Allocation!$I$2:$I$201,$AB845)))),MONTH(MAX(N(INDEX(Workforce!$I$2:$I$151,MATCH(INDEX(FTE_Allocation!$A$2:$A$201,$AB845),Workforce!$A$2:$A$151,0))),N(INDEX(FTE_Allocation!$I$2:$I$201,$AB845)))),1),"")))</f>
        <v/>
      </c>
      <c r="AF845" s="21">
        <f>IF($Z845="C",IF(INDEX(Contracts!$I$2:$I$151,$AB845)="PREPAID",EDATE(DATE(YEAR(INDEX(Contracts!$J$2:$J$151,$AB845)),MONTH(INDEX(Contracts!$J$2:$J$151,$AB845)),1),IF(INDEX(Contracts!$N$2:$N$151,$AB845)="",12,INDEX(Contracts!$N$2:$N$151,$AB845))-1),IF(INDEX(Contracts!$I$2:$I$151,$AB845)="MONTHLY",IF(INDEX(Contracts!$K$2:$K$151,$AB845)="",2958101,INDEX(Contracts!$K$2:$K$151,$AB845)),0)),IF($Z845="A",EDATE(DATE(YEAR(INDEX(Fixed_Assets!$G$2:$G$201,$AB845)),MONTH(INDEX(Fixed_Assets!$G$2:$G$201,$AB845)),1),INDEX(Fixed_Assets!$J$2:$J$201,$AB845)-1),IF($Z845="F",MIN(IF(INDEX(Workforce!$J$2:$J$151,MATCH(INDEX(FTE_Allocation!$A$2:$A$201,$AB845),Workforce!$A$2:$A$151,0))="",2958101,INDEX(Workforce!$J$2:$J$151,MATCH(INDEX(FTE_Allocation!$A$2:$A$201,$AB845),Workforce!$A$2:$A$151,0))),IF(INDEX(FTE_Allocation!$J$2:$J$201,$AB845)="",2958101,INDEX(FTE_Allocation!$J$2:$J$201,$AB845))),"")))</f>
        <v/>
      </c>
      <c r="AG845" s="19">
        <f>IF($Z845="C",IF(INDEX(Contracts!$I$2:$I$151,$AB845)="PREPAID",INDEX(Contracts!$M$2:$M$151,$AB845)/IF(INDEX(Contracts!$N$2:$N$151,$AB845)="",12,INDEX(Contracts!$N$2:$N$151,$AB845)),IF(INDEX(Contracts!$I$2:$I$151,$AB845)="MONTHLY",INDEX(Contracts!$M$2:$M$151,$AB845),0))*(1-N(INDEX(Contracts!$O$2:$O$151,$AB845))),IF($Z845="A",INDEX(Fixed_Assets!$H$2:$H$201,$AB845)/INDEX(Fixed_Assets!$J$2:$J$201,$AB845),IF($Z845="F",INDEX(Workforce!$F$2:$F$151,MATCH(INDEX(FTE_Allocation!$A$2:$A$201,$AB845),Workforce!$A$2:$A$151,0))*N(INDEX(FTE_Allocation!$F$2:$H$201,$AB845,$AC845)),"")))</f>
        <v/>
      </c>
    </row>
    <row r="846">
      <c r="A846" s="7">
        <f>IF($Z846="","",$AD846)</f>
        <v/>
      </c>
      <c r="B846" s="7">
        <f>IF($Z846="C",INDEX(Contracts!$D$2:$D$151,$AB846)&amp;"",IF($Z846="A",INDEX(Fixed_Assets!$C$2:$C$201,$AB846)&amp;"",IF($Z846="F",INDEX(Workforce!$B$2:$B$151,MATCH(INDEX(FTE_Allocation!$A$2:$A$201,$AB846),Workforce!$A$2:$A$151,0))&amp;"","")))</f>
        <v/>
      </c>
      <c r="C846" s="7">
        <f>IF($Z846="C",INDEX(Contracts!$E$2:$E$151,$AB846)&amp;"",IF($Z846="A",INDEX(Fixed_Assets!$D$2:$D$201,$AB846)&amp;"",IF($Z846="F",INDEX(FTE_Allocation!$C$2:$C$201,$AB846)&amp;"","")))</f>
        <v/>
      </c>
      <c r="D846" s="7">
        <f>IF($Z846="C",INDEX(Contracts!$B$2:$B$151,$AB846)&amp;"",IF($Z846="A",INDEX(Fixed_Assets!$B$2:$B$201,$AB846)&amp;"",IF($Z846="F",INDEX(FTE_Allocation!$B$2:$B$201,$AB846)&amp;"","")))</f>
        <v/>
      </c>
      <c r="E846" s="7">
        <f>IF($Z846="C",INDEX(Contracts!$P$2:$P$151,$AB846)&amp;"",IF($Z846="A",INDEX(Fixed_Assets!$K$2:$K$201,$AB846)&amp;"",IF($Z846="F",IF(INDEX(FTE_Allocation!$D$2:$D$201,$AB846)="PROJECT",IFERROR(INDEX(Projects!$D:$D,MATCH(INDEX(FTE_Allocation!$E$2:$E$201,$AB846),Projects!$A:$A,0))&amp;"","#PROJECT?"),INDEX(FTE_Allocation!$E$2:$E$201,$AB846)&amp;""),"")))</f>
        <v/>
      </c>
      <c r="F846" s="7">
        <f>IF($Z846="C",INDEX(Contracts!$Q$2:$Q$151,$AB846)&amp;"",IF($Z846="A",INDEX(Fixed_Assets!$L$2:$L$201,$AB846)&amp;"",IF($Z846="F",INDEX(Workforce!$K$2:$K$151,MATCH(INDEX(FTE_Allocation!$A$2:$A$201,$AB846),Workforce!$A$2:$A$151,0))&amp;"","")))</f>
        <v/>
      </c>
      <c r="G846" s="7">
        <f>IF($Z846="C",INDEX(Contracts!$F$2:$F$151,$AB846)&amp;" / "&amp;INDEX(Contracts!$G$2:$G$151,$AB846),IF($Z846="A",INDEX(Fixed_Assets!$E$2:$E$201,$AB846)&amp;"",IF($Z846="F","Personnel "&amp;INDEX(FTE_Allocation!$A$2:$A$201,$AB846)&amp;IF(INDEX(FTE_Allocation!$D$2:$D$201,$AB846)="PROJECT"," ("&amp;INDEX(FTE_Allocation!$E$2:$E$201,$AB846)&amp;")",""),"")))</f>
        <v/>
      </c>
      <c r="H846" s="7">
        <f>IF($Z846="C","CONTRACT",IF($Z846="A","ASSET",IF($Z846="F","WORKFORCE","")))</f>
        <v/>
      </c>
      <c r="I846" s="7">
        <f>IF($Z846="C",INDEX(Contracts!$L$2:$L$151,$AB846)&amp;"",IF($Z846="A",INDEX(Fixed_Assets!$I$2:$I$201,$AB846)&amp;"",IF($Z846="F",INDEX(Workforce!$G$2:$G$151,MATCH(INDEX(FTE_Allocation!$A$2:$A$201,$AB846),Workforce!$A$2:$A$151,0))&amp;"","")))</f>
        <v/>
      </c>
      <c r="J846" s="18">
        <f>IF($Z846="","",IF(AND(DATE($AD846,1,1)&gt;=$AE846,DATE($AD846,1,1)&lt;=$AF846),ROUND($AG846,2),0))</f>
        <v/>
      </c>
      <c r="K846" s="18">
        <f>IF($Z846="","",IF(AND(DATE($AD846,2,1)&gt;=$AE846,DATE($AD846,2,1)&lt;=$AF846),ROUND($AG846,2),0))</f>
        <v/>
      </c>
      <c r="L846" s="18">
        <f>IF($Z846="","",IF(AND(DATE($AD846,3,1)&gt;=$AE846,DATE($AD846,3,1)&lt;=$AF846),ROUND($AG846,2),0))</f>
        <v/>
      </c>
      <c r="M846" s="18">
        <f>IF($Z846="","",IF(AND(DATE($AD846,4,1)&gt;=$AE846,DATE($AD846,4,1)&lt;=$AF846),ROUND($AG846,2),0))</f>
        <v/>
      </c>
      <c r="N846" s="18">
        <f>IF($Z846="","",IF(AND(DATE($AD846,5,1)&gt;=$AE846,DATE($AD846,5,1)&lt;=$AF846),ROUND($AG846,2),0))</f>
        <v/>
      </c>
      <c r="O846" s="18">
        <f>IF($Z846="","",IF(AND(DATE($AD846,6,1)&gt;=$AE846,DATE($AD846,6,1)&lt;=$AF846),ROUND($AG846,2),0))</f>
        <v/>
      </c>
      <c r="P846" s="18">
        <f>IF($Z846="","",IF(AND(DATE($AD846,7,1)&gt;=$AE846,DATE($AD846,7,1)&lt;=$AF846),ROUND($AG846,2),0))</f>
        <v/>
      </c>
      <c r="Q846" s="18">
        <f>IF($Z846="","",IF(AND(DATE($AD846,8,1)&gt;=$AE846,DATE($AD846,8,1)&lt;=$AF846),ROUND($AG846,2),0))</f>
        <v/>
      </c>
      <c r="R846" s="18">
        <f>IF($Z846="","",IF(AND(DATE($AD846,9,1)&gt;=$AE846,DATE($AD846,9,1)&lt;=$AF846),ROUND($AG846,2),0))</f>
        <v/>
      </c>
      <c r="S846" s="18">
        <f>IF($Z846="","",IF(AND(DATE($AD846,10,1)&gt;=$AE846,DATE($AD846,10,1)&lt;=$AF846),ROUND($AG846,2),0))</f>
        <v/>
      </c>
      <c r="T846" s="18">
        <f>IF($Z846="","",IF(AND(DATE($AD846,11,1)&gt;=$AE846,DATE($AD846,11,1)&lt;=$AF846),ROUND($AG846,2),0))</f>
        <v/>
      </c>
      <c r="U846" s="18">
        <f>IF($Z846="","",IF(AND(DATE($AD846,12,1)&gt;=$AE846,DATE($AD846,12,1)&lt;=$AF846),ROUND($AG846,2),0))</f>
        <v/>
      </c>
      <c r="V846" s="7">
        <f>IF($Z846="C","Generated from "&amp;INDEX(Contracts!$A$2:$A$151,$AB846),IF($Z846="A","Generated from "&amp;INDEX(Fixed_Assets!$A$2:$A$201,$AB846),IF($Z846="F","Generated from "&amp;INDEX(FTE_Allocation!$A$2:$A$201,$AB846),"")))</f>
        <v/>
      </c>
      <c r="X846" s="19">
        <f>IF($Z846="","",SUM(J846:U846))</f>
        <v/>
      </c>
      <c r="Y846" s="20">
        <f>ROW()-1</f>
        <v/>
      </c>
      <c r="Z846" s="20">
        <f>IF($Y846&lt;=Settings!$B$4*3,"C",IF($Y846&lt;=(Settings!$B$4+Settings!$B$5)*3,"A",IF($Y846&lt;=(Settings!$B$4+Settings!$B$5+Settings!$B$6)*3,"F","")))</f>
        <v/>
      </c>
      <c r="AA846" s="20">
        <f>IF($Z846="C",$Y846,IF($Z846="A",$Y846-Settings!$B$4*3,IF($Z846="F",$Y846-(Settings!$B$4+Settings!$B$5)*3,"")))</f>
        <v/>
      </c>
      <c r="AB846" s="20">
        <f>IF($Z846="","",INT(($AA846-1)/3)+1)</f>
        <v/>
      </c>
      <c r="AC846" s="20">
        <f>IF($Z846="","",MOD($AA846-1,3)+1)</f>
        <v/>
      </c>
      <c r="AD846" s="20">
        <f>IF($Z846="","",Settings!$B$2+$AC846-1)</f>
        <v/>
      </c>
      <c r="AE846" s="21">
        <f>IF($Z846="C",DATE(YEAR(INDEX(Contracts!$J$2:$J$151,$AB846)),MONTH(INDEX(Contracts!$J$2:$J$151,$AB846)),1),IF($Z846="A",DATE(YEAR(INDEX(Fixed_Assets!$G$2:$G$201,$AB846)),MONTH(INDEX(Fixed_Assets!$G$2:$G$201,$AB846)),1),IF($Z846="F",DATE(YEAR(MAX(N(INDEX(Workforce!$I$2:$I$151,MATCH(INDEX(FTE_Allocation!$A$2:$A$201,$AB846),Workforce!$A$2:$A$151,0))),N(INDEX(FTE_Allocation!$I$2:$I$201,$AB846)))),MONTH(MAX(N(INDEX(Workforce!$I$2:$I$151,MATCH(INDEX(FTE_Allocation!$A$2:$A$201,$AB846),Workforce!$A$2:$A$151,0))),N(INDEX(FTE_Allocation!$I$2:$I$201,$AB846)))),1),"")))</f>
        <v/>
      </c>
      <c r="AF846" s="21">
        <f>IF($Z846="C",IF(INDEX(Contracts!$I$2:$I$151,$AB846)="PREPAID",EDATE(DATE(YEAR(INDEX(Contracts!$J$2:$J$151,$AB846)),MONTH(INDEX(Contracts!$J$2:$J$151,$AB846)),1),IF(INDEX(Contracts!$N$2:$N$151,$AB846)="",12,INDEX(Contracts!$N$2:$N$151,$AB846))-1),IF(INDEX(Contracts!$I$2:$I$151,$AB846)="MONTHLY",IF(INDEX(Contracts!$K$2:$K$151,$AB846)="",2958101,INDEX(Contracts!$K$2:$K$151,$AB846)),0)),IF($Z846="A",EDATE(DATE(YEAR(INDEX(Fixed_Assets!$G$2:$G$201,$AB846)),MONTH(INDEX(Fixed_Assets!$G$2:$G$201,$AB846)),1),INDEX(Fixed_Assets!$J$2:$J$201,$AB846)-1),IF($Z846="F",MIN(IF(INDEX(Workforce!$J$2:$J$151,MATCH(INDEX(FTE_Allocation!$A$2:$A$201,$AB846),Workforce!$A$2:$A$151,0))="",2958101,INDEX(Workforce!$J$2:$J$151,MATCH(INDEX(FTE_Allocation!$A$2:$A$201,$AB846),Workforce!$A$2:$A$151,0))),IF(INDEX(FTE_Allocation!$J$2:$J$201,$AB846)="",2958101,INDEX(FTE_Allocation!$J$2:$J$201,$AB846))),"")))</f>
        <v/>
      </c>
      <c r="AG846" s="19">
        <f>IF($Z846="C",IF(INDEX(Contracts!$I$2:$I$151,$AB846)="PREPAID",INDEX(Contracts!$M$2:$M$151,$AB846)/IF(INDEX(Contracts!$N$2:$N$151,$AB846)="",12,INDEX(Contracts!$N$2:$N$151,$AB846)),IF(INDEX(Contracts!$I$2:$I$151,$AB846)="MONTHLY",INDEX(Contracts!$M$2:$M$151,$AB846),0))*(1-N(INDEX(Contracts!$O$2:$O$151,$AB846))),IF($Z846="A",INDEX(Fixed_Assets!$H$2:$H$201,$AB846)/INDEX(Fixed_Assets!$J$2:$J$201,$AB846),IF($Z846="F",INDEX(Workforce!$F$2:$F$151,MATCH(INDEX(FTE_Allocation!$A$2:$A$201,$AB846),Workforce!$A$2:$A$151,0))*N(INDEX(FTE_Allocation!$F$2:$H$201,$AB846,$AC846)),"")))</f>
        <v/>
      </c>
    </row>
    <row r="847">
      <c r="A847" s="7">
        <f>IF($Z847="","",$AD847)</f>
        <v/>
      </c>
      <c r="B847" s="7">
        <f>IF($Z847="C",INDEX(Contracts!$D$2:$D$151,$AB847)&amp;"",IF($Z847="A",INDEX(Fixed_Assets!$C$2:$C$201,$AB847)&amp;"",IF($Z847="F",INDEX(Workforce!$B$2:$B$151,MATCH(INDEX(FTE_Allocation!$A$2:$A$201,$AB847),Workforce!$A$2:$A$151,0))&amp;"","")))</f>
        <v/>
      </c>
      <c r="C847" s="7">
        <f>IF($Z847="C",INDEX(Contracts!$E$2:$E$151,$AB847)&amp;"",IF($Z847="A",INDEX(Fixed_Assets!$D$2:$D$201,$AB847)&amp;"",IF($Z847="F",INDEX(FTE_Allocation!$C$2:$C$201,$AB847)&amp;"","")))</f>
        <v/>
      </c>
      <c r="D847" s="7">
        <f>IF($Z847="C",INDEX(Contracts!$B$2:$B$151,$AB847)&amp;"",IF($Z847="A",INDEX(Fixed_Assets!$B$2:$B$201,$AB847)&amp;"",IF($Z847="F",INDEX(FTE_Allocation!$B$2:$B$201,$AB847)&amp;"","")))</f>
        <v/>
      </c>
      <c r="E847" s="7">
        <f>IF($Z847="C",INDEX(Contracts!$P$2:$P$151,$AB847)&amp;"",IF($Z847="A",INDEX(Fixed_Assets!$K$2:$K$201,$AB847)&amp;"",IF($Z847="F",IF(INDEX(FTE_Allocation!$D$2:$D$201,$AB847)="PROJECT",IFERROR(INDEX(Projects!$D:$D,MATCH(INDEX(FTE_Allocation!$E$2:$E$201,$AB847),Projects!$A:$A,0))&amp;"","#PROJECT?"),INDEX(FTE_Allocation!$E$2:$E$201,$AB847)&amp;""),"")))</f>
        <v/>
      </c>
      <c r="F847" s="7">
        <f>IF($Z847="C",INDEX(Contracts!$Q$2:$Q$151,$AB847)&amp;"",IF($Z847="A",INDEX(Fixed_Assets!$L$2:$L$201,$AB847)&amp;"",IF($Z847="F",INDEX(Workforce!$K$2:$K$151,MATCH(INDEX(FTE_Allocation!$A$2:$A$201,$AB847),Workforce!$A$2:$A$151,0))&amp;"","")))</f>
        <v/>
      </c>
      <c r="G847" s="7">
        <f>IF($Z847="C",INDEX(Contracts!$F$2:$F$151,$AB847)&amp;" / "&amp;INDEX(Contracts!$G$2:$G$151,$AB847),IF($Z847="A",INDEX(Fixed_Assets!$E$2:$E$201,$AB847)&amp;"",IF($Z847="F","Personnel "&amp;INDEX(FTE_Allocation!$A$2:$A$201,$AB847)&amp;IF(INDEX(FTE_Allocation!$D$2:$D$201,$AB847)="PROJECT"," ("&amp;INDEX(FTE_Allocation!$E$2:$E$201,$AB847)&amp;")",""),"")))</f>
        <v/>
      </c>
      <c r="H847" s="7">
        <f>IF($Z847="C","CONTRACT",IF($Z847="A","ASSET",IF($Z847="F","WORKFORCE","")))</f>
        <v/>
      </c>
      <c r="I847" s="7">
        <f>IF($Z847="C",INDEX(Contracts!$L$2:$L$151,$AB847)&amp;"",IF($Z847="A",INDEX(Fixed_Assets!$I$2:$I$201,$AB847)&amp;"",IF($Z847="F",INDEX(Workforce!$G$2:$G$151,MATCH(INDEX(FTE_Allocation!$A$2:$A$201,$AB847),Workforce!$A$2:$A$151,0))&amp;"","")))</f>
        <v/>
      </c>
      <c r="J847" s="18">
        <f>IF($Z847="","",IF(AND(DATE($AD847,1,1)&gt;=$AE847,DATE($AD847,1,1)&lt;=$AF847),ROUND($AG847,2),0))</f>
        <v/>
      </c>
      <c r="K847" s="18">
        <f>IF($Z847="","",IF(AND(DATE($AD847,2,1)&gt;=$AE847,DATE($AD847,2,1)&lt;=$AF847),ROUND($AG847,2),0))</f>
        <v/>
      </c>
      <c r="L847" s="18">
        <f>IF($Z847="","",IF(AND(DATE($AD847,3,1)&gt;=$AE847,DATE($AD847,3,1)&lt;=$AF847),ROUND($AG847,2),0))</f>
        <v/>
      </c>
      <c r="M847" s="18">
        <f>IF($Z847="","",IF(AND(DATE($AD847,4,1)&gt;=$AE847,DATE($AD847,4,1)&lt;=$AF847),ROUND($AG847,2),0))</f>
        <v/>
      </c>
      <c r="N847" s="18">
        <f>IF($Z847="","",IF(AND(DATE($AD847,5,1)&gt;=$AE847,DATE($AD847,5,1)&lt;=$AF847),ROUND($AG847,2),0))</f>
        <v/>
      </c>
      <c r="O847" s="18">
        <f>IF($Z847="","",IF(AND(DATE($AD847,6,1)&gt;=$AE847,DATE($AD847,6,1)&lt;=$AF847),ROUND($AG847,2),0))</f>
        <v/>
      </c>
      <c r="P847" s="18">
        <f>IF($Z847="","",IF(AND(DATE($AD847,7,1)&gt;=$AE847,DATE($AD847,7,1)&lt;=$AF847),ROUND($AG847,2),0))</f>
        <v/>
      </c>
      <c r="Q847" s="18">
        <f>IF($Z847="","",IF(AND(DATE($AD847,8,1)&gt;=$AE847,DATE($AD847,8,1)&lt;=$AF847),ROUND($AG847,2),0))</f>
        <v/>
      </c>
      <c r="R847" s="18">
        <f>IF($Z847="","",IF(AND(DATE($AD847,9,1)&gt;=$AE847,DATE($AD847,9,1)&lt;=$AF847),ROUND($AG847,2),0))</f>
        <v/>
      </c>
      <c r="S847" s="18">
        <f>IF($Z847="","",IF(AND(DATE($AD847,10,1)&gt;=$AE847,DATE($AD847,10,1)&lt;=$AF847),ROUND($AG847,2),0))</f>
        <v/>
      </c>
      <c r="T847" s="18">
        <f>IF($Z847="","",IF(AND(DATE($AD847,11,1)&gt;=$AE847,DATE($AD847,11,1)&lt;=$AF847),ROUND($AG847,2),0))</f>
        <v/>
      </c>
      <c r="U847" s="18">
        <f>IF($Z847="","",IF(AND(DATE($AD847,12,1)&gt;=$AE847,DATE($AD847,12,1)&lt;=$AF847),ROUND($AG847,2),0))</f>
        <v/>
      </c>
      <c r="V847" s="7">
        <f>IF($Z847="C","Generated from "&amp;INDEX(Contracts!$A$2:$A$151,$AB847),IF($Z847="A","Generated from "&amp;INDEX(Fixed_Assets!$A$2:$A$201,$AB847),IF($Z847="F","Generated from "&amp;INDEX(FTE_Allocation!$A$2:$A$201,$AB847),"")))</f>
        <v/>
      </c>
      <c r="X847" s="19">
        <f>IF($Z847="","",SUM(J847:U847))</f>
        <v/>
      </c>
      <c r="Y847" s="20">
        <f>ROW()-1</f>
        <v/>
      </c>
      <c r="Z847" s="20">
        <f>IF($Y847&lt;=Settings!$B$4*3,"C",IF($Y847&lt;=(Settings!$B$4+Settings!$B$5)*3,"A",IF($Y847&lt;=(Settings!$B$4+Settings!$B$5+Settings!$B$6)*3,"F","")))</f>
        <v/>
      </c>
      <c r="AA847" s="20">
        <f>IF($Z847="C",$Y847,IF($Z847="A",$Y847-Settings!$B$4*3,IF($Z847="F",$Y847-(Settings!$B$4+Settings!$B$5)*3,"")))</f>
        <v/>
      </c>
      <c r="AB847" s="20">
        <f>IF($Z847="","",INT(($AA847-1)/3)+1)</f>
        <v/>
      </c>
      <c r="AC847" s="20">
        <f>IF($Z847="","",MOD($AA847-1,3)+1)</f>
        <v/>
      </c>
      <c r="AD847" s="20">
        <f>IF($Z847="","",Settings!$B$2+$AC847-1)</f>
        <v/>
      </c>
      <c r="AE847" s="21">
        <f>IF($Z847="C",DATE(YEAR(INDEX(Contracts!$J$2:$J$151,$AB847)),MONTH(INDEX(Contracts!$J$2:$J$151,$AB847)),1),IF($Z847="A",DATE(YEAR(INDEX(Fixed_Assets!$G$2:$G$201,$AB847)),MONTH(INDEX(Fixed_Assets!$G$2:$G$201,$AB847)),1),IF($Z847="F",DATE(YEAR(MAX(N(INDEX(Workforce!$I$2:$I$151,MATCH(INDEX(FTE_Allocation!$A$2:$A$201,$AB847),Workforce!$A$2:$A$151,0))),N(INDEX(FTE_Allocation!$I$2:$I$201,$AB847)))),MONTH(MAX(N(INDEX(Workforce!$I$2:$I$151,MATCH(INDEX(FTE_Allocation!$A$2:$A$201,$AB847),Workforce!$A$2:$A$151,0))),N(INDEX(FTE_Allocation!$I$2:$I$201,$AB847)))),1),"")))</f>
        <v/>
      </c>
      <c r="AF847" s="21">
        <f>IF($Z847="C",IF(INDEX(Contracts!$I$2:$I$151,$AB847)="PREPAID",EDATE(DATE(YEAR(INDEX(Contracts!$J$2:$J$151,$AB847)),MONTH(INDEX(Contracts!$J$2:$J$151,$AB847)),1),IF(INDEX(Contracts!$N$2:$N$151,$AB847)="",12,INDEX(Contracts!$N$2:$N$151,$AB847))-1),IF(INDEX(Contracts!$I$2:$I$151,$AB847)="MONTHLY",IF(INDEX(Contracts!$K$2:$K$151,$AB847)="",2958101,INDEX(Contracts!$K$2:$K$151,$AB847)),0)),IF($Z847="A",EDATE(DATE(YEAR(INDEX(Fixed_Assets!$G$2:$G$201,$AB847)),MONTH(INDEX(Fixed_Assets!$G$2:$G$201,$AB847)),1),INDEX(Fixed_Assets!$J$2:$J$201,$AB847)-1),IF($Z847="F",MIN(IF(INDEX(Workforce!$J$2:$J$151,MATCH(INDEX(FTE_Allocation!$A$2:$A$201,$AB847),Workforce!$A$2:$A$151,0))="",2958101,INDEX(Workforce!$J$2:$J$151,MATCH(INDEX(FTE_Allocation!$A$2:$A$201,$AB847),Workforce!$A$2:$A$151,0))),IF(INDEX(FTE_Allocation!$J$2:$J$201,$AB847)="",2958101,INDEX(FTE_Allocation!$J$2:$J$201,$AB847))),"")))</f>
        <v/>
      </c>
      <c r="AG847" s="19">
        <f>IF($Z847="C",IF(INDEX(Contracts!$I$2:$I$151,$AB847)="PREPAID",INDEX(Contracts!$M$2:$M$151,$AB847)/IF(INDEX(Contracts!$N$2:$N$151,$AB847)="",12,INDEX(Contracts!$N$2:$N$151,$AB847)),IF(INDEX(Contracts!$I$2:$I$151,$AB847)="MONTHLY",INDEX(Contracts!$M$2:$M$151,$AB847),0))*(1-N(INDEX(Contracts!$O$2:$O$151,$AB847))),IF($Z847="A",INDEX(Fixed_Assets!$H$2:$H$201,$AB847)/INDEX(Fixed_Assets!$J$2:$J$201,$AB847),IF($Z847="F",INDEX(Workforce!$F$2:$F$151,MATCH(INDEX(FTE_Allocation!$A$2:$A$201,$AB847),Workforce!$A$2:$A$151,0))*N(INDEX(FTE_Allocation!$F$2:$H$201,$AB847,$AC847)),"")))</f>
        <v/>
      </c>
    </row>
    <row r="848">
      <c r="A848" s="7">
        <f>IF($Z848="","",$AD848)</f>
        <v/>
      </c>
      <c r="B848" s="7">
        <f>IF($Z848="C",INDEX(Contracts!$D$2:$D$151,$AB848)&amp;"",IF($Z848="A",INDEX(Fixed_Assets!$C$2:$C$201,$AB848)&amp;"",IF($Z848="F",INDEX(Workforce!$B$2:$B$151,MATCH(INDEX(FTE_Allocation!$A$2:$A$201,$AB848),Workforce!$A$2:$A$151,0))&amp;"","")))</f>
        <v/>
      </c>
      <c r="C848" s="7">
        <f>IF($Z848="C",INDEX(Contracts!$E$2:$E$151,$AB848)&amp;"",IF($Z848="A",INDEX(Fixed_Assets!$D$2:$D$201,$AB848)&amp;"",IF($Z848="F",INDEX(FTE_Allocation!$C$2:$C$201,$AB848)&amp;"","")))</f>
        <v/>
      </c>
      <c r="D848" s="7">
        <f>IF($Z848="C",INDEX(Contracts!$B$2:$B$151,$AB848)&amp;"",IF($Z848="A",INDEX(Fixed_Assets!$B$2:$B$201,$AB848)&amp;"",IF($Z848="F",INDEX(FTE_Allocation!$B$2:$B$201,$AB848)&amp;"","")))</f>
        <v/>
      </c>
      <c r="E848" s="7">
        <f>IF($Z848="C",INDEX(Contracts!$P$2:$P$151,$AB848)&amp;"",IF($Z848="A",INDEX(Fixed_Assets!$K$2:$K$201,$AB848)&amp;"",IF($Z848="F",IF(INDEX(FTE_Allocation!$D$2:$D$201,$AB848)="PROJECT",IFERROR(INDEX(Projects!$D:$D,MATCH(INDEX(FTE_Allocation!$E$2:$E$201,$AB848),Projects!$A:$A,0))&amp;"","#PROJECT?"),INDEX(FTE_Allocation!$E$2:$E$201,$AB848)&amp;""),"")))</f>
        <v/>
      </c>
      <c r="F848" s="7">
        <f>IF($Z848="C",INDEX(Contracts!$Q$2:$Q$151,$AB848)&amp;"",IF($Z848="A",INDEX(Fixed_Assets!$L$2:$L$201,$AB848)&amp;"",IF($Z848="F",INDEX(Workforce!$K$2:$K$151,MATCH(INDEX(FTE_Allocation!$A$2:$A$201,$AB848),Workforce!$A$2:$A$151,0))&amp;"","")))</f>
        <v/>
      </c>
      <c r="G848" s="7">
        <f>IF($Z848="C",INDEX(Contracts!$F$2:$F$151,$AB848)&amp;" / "&amp;INDEX(Contracts!$G$2:$G$151,$AB848),IF($Z848="A",INDEX(Fixed_Assets!$E$2:$E$201,$AB848)&amp;"",IF($Z848="F","Personnel "&amp;INDEX(FTE_Allocation!$A$2:$A$201,$AB848)&amp;IF(INDEX(FTE_Allocation!$D$2:$D$201,$AB848)="PROJECT"," ("&amp;INDEX(FTE_Allocation!$E$2:$E$201,$AB848)&amp;")",""),"")))</f>
        <v/>
      </c>
      <c r="H848" s="7">
        <f>IF($Z848="C","CONTRACT",IF($Z848="A","ASSET",IF($Z848="F","WORKFORCE","")))</f>
        <v/>
      </c>
      <c r="I848" s="7">
        <f>IF($Z848="C",INDEX(Contracts!$L$2:$L$151,$AB848)&amp;"",IF($Z848="A",INDEX(Fixed_Assets!$I$2:$I$201,$AB848)&amp;"",IF($Z848="F",INDEX(Workforce!$G$2:$G$151,MATCH(INDEX(FTE_Allocation!$A$2:$A$201,$AB848),Workforce!$A$2:$A$151,0))&amp;"","")))</f>
        <v/>
      </c>
      <c r="J848" s="18">
        <f>IF($Z848="","",IF(AND(DATE($AD848,1,1)&gt;=$AE848,DATE($AD848,1,1)&lt;=$AF848),ROUND($AG848,2),0))</f>
        <v/>
      </c>
      <c r="K848" s="18">
        <f>IF($Z848="","",IF(AND(DATE($AD848,2,1)&gt;=$AE848,DATE($AD848,2,1)&lt;=$AF848),ROUND($AG848,2),0))</f>
        <v/>
      </c>
      <c r="L848" s="18">
        <f>IF($Z848="","",IF(AND(DATE($AD848,3,1)&gt;=$AE848,DATE($AD848,3,1)&lt;=$AF848),ROUND($AG848,2),0))</f>
        <v/>
      </c>
      <c r="M848" s="18">
        <f>IF($Z848="","",IF(AND(DATE($AD848,4,1)&gt;=$AE848,DATE($AD848,4,1)&lt;=$AF848),ROUND($AG848,2),0))</f>
        <v/>
      </c>
      <c r="N848" s="18">
        <f>IF($Z848="","",IF(AND(DATE($AD848,5,1)&gt;=$AE848,DATE($AD848,5,1)&lt;=$AF848),ROUND($AG848,2),0))</f>
        <v/>
      </c>
      <c r="O848" s="18">
        <f>IF($Z848="","",IF(AND(DATE($AD848,6,1)&gt;=$AE848,DATE($AD848,6,1)&lt;=$AF848),ROUND($AG848,2),0))</f>
        <v/>
      </c>
      <c r="P848" s="18">
        <f>IF($Z848="","",IF(AND(DATE($AD848,7,1)&gt;=$AE848,DATE($AD848,7,1)&lt;=$AF848),ROUND($AG848,2),0))</f>
        <v/>
      </c>
      <c r="Q848" s="18">
        <f>IF($Z848="","",IF(AND(DATE($AD848,8,1)&gt;=$AE848,DATE($AD848,8,1)&lt;=$AF848),ROUND($AG848,2),0))</f>
        <v/>
      </c>
      <c r="R848" s="18">
        <f>IF($Z848="","",IF(AND(DATE($AD848,9,1)&gt;=$AE848,DATE($AD848,9,1)&lt;=$AF848),ROUND($AG848,2),0))</f>
        <v/>
      </c>
      <c r="S848" s="18">
        <f>IF($Z848="","",IF(AND(DATE($AD848,10,1)&gt;=$AE848,DATE($AD848,10,1)&lt;=$AF848),ROUND($AG848,2),0))</f>
        <v/>
      </c>
      <c r="T848" s="18">
        <f>IF($Z848="","",IF(AND(DATE($AD848,11,1)&gt;=$AE848,DATE($AD848,11,1)&lt;=$AF848),ROUND($AG848,2),0))</f>
        <v/>
      </c>
      <c r="U848" s="18">
        <f>IF($Z848="","",IF(AND(DATE($AD848,12,1)&gt;=$AE848,DATE($AD848,12,1)&lt;=$AF848),ROUND($AG848,2),0))</f>
        <v/>
      </c>
      <c r="V848" s="7">
        <f>IF($Z848="C","Generated from "&amp;INDEX(Contracts!$A$2:$A$151,$AB848),IF($Z848="A","Generated from "&amp;INDEX(Fixed_Assets!$A$2:$A$201,$AB848),IF($Z848="F","Generated from "&amp;INDEX(FTE_Allocation!$A$2:$A$201,$AB848),"")))</f>
        <v/>
      </c>
      <c r="X848" s="19">
        <f>IF($Z848="","",SUM(J848:U848))</f>
        <v/>
      </c>
      <c r="Y848" s="20">
        <f>ROW()-1</f>
        <v/>
      </c>
      <c r="Z848" s="20">
        <f>IF($Y848&lt;=Settings!$B$4*3,"C",IF($Y848&lt;=(Settings!$B$4+Settings!$B$5)*3,"A",IF($Y848&lt;=(Settings!$B$4+Settings!$B$5+Settings!$B$6)*3,"F","")))</f>
        <v/>
      </c>
      <c r="AA848" s="20">
        <f>IF($Z848="C",$Y848,IF($Z848="A",$Y848-Settings!$B$4*3,IF($Z848="F",$Y848-(Settings!$B$4+Settings!$B$5)*3,"")))</f>
        <v/>
      </c>
      <c r="AB848" s="20">
        <f>IF($Z848="","",INT(($AA848-1)/3)+1)</f>
        <v/>
      </c>
      <c r="AC848" s="20">
        <f>IF($Z848="","",MOD($AA848-1,3)+1)</f>
        <v/>
      </c>
      <c r="AD848" s="20">
        <f>IF($Z848="","",Settings!$B$2+$AC848-1)</f>
        <v/>
      </c>
      <c r="AE848" s="21">
        <f>IF($Z848="C",DATE(YEAR(INDEX(Contracts!$J$2:$J$151,$AB848)),MONTH(INDEX(Contracts!$J$2:$J$151,$AB848)),1),IF($Z848="A",DATE(YEAR(INDEX(Fixed_Assets!$G$2:$G$201,$AB848)),MONTH(INDEX(Fixed_Assets!$G$2:$G$201,$AB848)),1),IF($Z848="F",DATE(YEAR(MAX(N(INDEX(Workforce!$I$2:$I$151,MATCH(INDEX(FTE_Allocation!$A$2:$A$201,$AB848),Workforce!$A$2:$A$151,0))),N(INDEX(FTE_Allocation!$I$2:$I$201,$AB848)))),MONTH(MAX(N(INDEX(Workforce!$I$2:$I$151,MATCH(INDEX(FTE_Allocation!$A$2:$A$201,$AB848),Workforce!$A$2:$A$151,0))),N(INDEX(FTE_Allocation!$I$2:$I$201,$AB848)))),1),"")))</f>
        <v/>
      </c>
      <c r="AF848" s="21">
        <f>IF($Z848="C",IF(INDEX(Contracts!$I$2:$I$151,$AB848)="PREPAID",EDATE(DATE(YEAR(INDEX(Contracts!$J$2:$J$151,$AB848)),MONTH(INDEX(Contracts!$J$2:$J$151,$AB848)),1),IF(INDEX(Contracts!$N$2:$N$151,$AB848)="",12,INDEX(Contracts!$N$2:$N$151,$AB848))-1),IF(INDEX(Contracts!$I$2:$I$151,$AB848)="MONTHLY",IF(INDEX(Contracts!$K$2:$K$151,$AB848)="",2958101,INDEX(Contracts!$K$2:$K$151,$AB848)),0)),IF($Z848="A",EDATE(DATE(YEAR(INDEX(Fixed_Assets!$G$2:$G$201,$AB848)),MONTH(INDEX(Fixed_Assets!$G$2:$G$201,$AB848)),1),INDEX(Fixed_Assets!$J$2:$J$201,$AB848)-1),IF($Z848="F",MIN(IF(INDEX(Workforce!$J$2:$J$151,MATCH(INDEX(FTE_Allocation!$A$2:$A$201,$AB848),Workforce!$A$2:$A$151,0))="",2958101,INDEX(Workforce!$J$2:$J$151,MATCH(INDEX(FTE_Allocation!$A$2:$A$201,$AB848),Workforce!$A$2:$A$151,0))),IF(INDEX(FTE_Allocation!$J$2:$J$201,$AB848)="",2958101,INDEX(FTE_Allocation!$J$2:$J$201,$AB848))),"")))</f>
        <v/>
      </c>
      <c r="AG848" s="19">
        <f>IF($Z848="C",IF(INDEX(Contracts!$I$2:$I$151,$AB848)="PREPAID",INDEX(Contracts!$M$2:$M$151,$AB848)/IF(INDEX(Contracts!$N$2:$N$151,$AB848)="",12,INDEX(Contracts!$N$2:$N$151,$AB848)),IF(INDEX(Contracts!$I$2:$I$151,$AB848)="MONTHLY",INDEX(Contracts!$M$2:$M$151,$AB848),0))*(1-N(INDEX(Contracts!$O$2:$O$151,$AB848))),IF($Z848="A",INDEX(Fixed_Assets!$H$2:$H$201,$AB848)/INDEX(Fixed_Assets!$J$2:$J$201,$AB848),IF($Z848="F",INDEX(Workforce!$F$2:$F$151,MATCH(INDEX(FTE_Allocation!$A$2:$A$201,$AB848),Workforce!$A$2:$A$151,0))*N(INDEX(FTE_Allocation!$F$2:$H$201,$AB848,$AC848)),"")))</f>
        <v/>
      </c>
    </row>
    <row r="849">
      <c r="A849" s="7">
        <f>IF($Z849="","",$AD849)</f>
        <v/>
      </c>
      <c r="B849" s="7">
        <f>IF($Z849="C",INDEX(Contracts!$D$2:$D$151,$AB849)&amp;"",IF($Z849="A",INDEX(Fixed_Assets!$C$2:$C$201,$AB849)&amp;"",IF($Z849="F",INDEX(Workforce!$B$2:$B$151,MATCH(INDEX(FTE_Allocation!$A$2:$A$201,$AB849),Workforce!$A$2:$A$151,0))&amp;"","")))</f>
        <v/>
      </c>
      <c r="C849" s="7">
        <f>IF($Z849="C",INDEX(Contracts!$E$2:$E$151,$AB849)&amp;"",IF($Z849="A",INDEX(Fixed_Assets!$D$2:$D$201,$AB849)&amp;"",IF($Z849="F",INDEX(FTE_Allocation!$C$2:$C$201,$AB849)&amp;"","")))</f>
        <v/>
      </c>
      <c r="D849" s="7">
        <f>IF($Z849="C",INDEX(Contracts!$B$2:$B$151,$AB849)&amp;"",IF($Z849="A",INDEX(Fixed_Assets!$B$2:$B$201,$AB849)&amp;"",IF($Z849="F",INDEX(FTE_Allocation!$B$2:$B$201,$AB849)&amp;"","")))</f>
        <v/>
      </c>
      <c r="E849" s="7">
        <f>IF($Z849="C",INDEX(Contracts!$P$2:$P$151,$AB849)&amp;"",IF($Z849="A",INDEX(Fixed_Assets!$K$2:$K$201,$AB849)&amp;"",IF($Z849="F",IF(INDEX(FTE_Allocation!$D$2:$D$201,$AB849)="PROJECT",IFERROR(INDEX(Projects!$D:$D,MATCH(INDEX(FTE_Allocation!$E$2:$E$201,$AB849),Projects!$A:$A,0))&amp;"","#PROJECT?"),INDEX(FTE_Allocation!$E$2:$E$201,$AB849)&amp;""),"")))</f>
        <v/>
      </c>
      <c r="F849" s="7">
        <f>IF($Z849="C",INDEX(Contracts!$Q$2:$Q$151,$AB849)&amp;"",IF($Z849="A",INDEX(Fixed_Assets!$L$2:$L$201,$AB849)&amp;"",IF($Z849="F",INDEX(Workforce!$K$2:$K$151,MATCH(INDEX(FTE_Allocation!$A$2:$A$201,$AB849),Workforce!$A$2:$A$151,0))&amp;"","")))</f>
        <v/>
      </c>
      <c r="G849" s="7">
        <f>IF($Z849="C",INDEX(Contracts!$F$2:$F$151,$AB849)&amp;" / "&amp;INDEX(Contracts!$G$2:$G$151,$AB849),IF($Z849="A",INDEX(Fixed_Assets!$E$2:$E$201,$AB849)&amp;"",IF($Z849="F","Personnel "&amp;INDEX(FTE_Allocation!$A$2:$A$201,$AB849)&amp;IF(INDEX(FTE_Allocation!$D$2:$D$201,$AB849)="PROJECT"," ("&amp;INDEX(FTE_Allocation!$E$2:$E$201,$AB849)&amp;")",""),"")))</f>
        <v/>
      </c>
      <c r="H849" s="7">
        <f>IF($Z849="C","CONTRACT",IF($Z849="A","ASSET",IF($Z849="F","WORKFORCE","")))</f>
        <v/>
      </c>
      <c r="I849" s="7">
        <f>IF($Z849="C",INDEX(Contracts!$L$2:$L$151,$AB849)&amp;"",IF($Z849="A",INDEX(Fixed_Assets!$I$2:$I$201,$AB849)&amp;"",IF($Z849="F",INDEX(Workforce!$G$2:$G$151,MATCH(INDEX(FTE_Allocation!$A$2:$A$201,$AB849),Workforce!$A$2:$A$151,0))&amp;"","")))</f>
        <v/>
      </c>
      <c r="J849" s="18">
        <f>IF($Z849="","",IF(AND(DATE($AD849,1,1)&gt;=$AE849,DATE($AD849,1,1)&lt;=$AF849),ROUND($AG849,2),0))</f>
        <v/>
      </c>
      <c r="K849" s="18">
        <f>IF($Z849="","",IF(AND(DATE($AD849,2,1)&gt;=$AE849,DATE($AD849,2,1)&lt;=$AF849),ROUND($AG849,2),0))</f>
        <v/>
      </c>
      <c r="L849" s="18">
        <f>IF($Z849="","",IF(AND(DATE($AD849,3,1)&gt;=$AE849,DATE($AD849,3,1)&lt;=$AF849),ROUND($AG849,2),0))</f>
        <v/>
      </c>
      <c r="M849" s="18">
        <f>IF($Z849="","",IF(AND(DATE($AD849,4,1)&gt;=$AE849,DATE($AD849,4,1)&lt;=$AF849),ROUND($AG849,2),0))</f>
        <v/>
      </c>
      <c r="N849" s="18">
        <f>IF($Z849="","",IF(AND(DATE($AD849,5,1)&gt;=$AE849,DATE($AD849,5,1)&lt;=$AF849),ROUND($AG849,2),0))</f>
        <v/>
      </c>
      <c r="O849" s="18">
        <f>IF($Z849="","",IF(AND(DATE($AD849,6,1)&gt;=$AE849,DATE($AD849,6,1)&lt;=$AF849),ROUND($AG849,2),0))</f>
        <v/>
      </c>
      <c r="P849" s="18">
        <f>IF($Z849="","",IF(AND(DATE($AD849,7,1)&gt;=$AE849,DATE($AD849,7,1)&lt;=$AF849),ROUND($AG849,2),0))</f>
        <v/>
      </c>
      <c r="Q849" s="18">
        <f>IF($Z849="","",IF(AND(DATE($AD849,8,1)&gt;=$AE849,DATE($AD849,8,1)&lt;=$AF849),ROUND($AG849,2),0))</f>
        <v/>
      </c>
      <c r="R849" s="18">
        <f>IF($Z849="","",IF(AND(DATE($AD849,9,1)&gt;=$AE849,DATE($AD849,9,1)&lt;=$AF849),ROUND($AG849,2),0))</f>
        <v/>
      </c>
      <c r="S849" s="18">
        <f>IF($Z849="","",IF(AND(DATE($AD849,10,1)&gt;=$AE849,DATE($AD849,10,1)&lt;=$AF849),ROUND($AG849,2),0))</f>
        <v/>
      </c>
      <c r="T849" s="18">
        <f>IF($Z849="","",IF(AND(DATE($AD849,11,1)&gt;=$AE849,DATE($AD849,11,1)&lt;=$AF849),ROUND($AG849,2),0))</f>
        <v/>
      </c>
      <c r="U849" s="18">
        <f>IF($Z849="","",IF(AND(DATE($AD849,12,1)&gt;=$AE849,DATE($AD849,12,1)&lt;=$AF849),ROUND($AG849,2),0))</f>
        <v/>
      </c>
      <c r="V849" s="7">
        <f>IF($Z849="C","Generated from "&amp;INDEX(Contracts!$A$2:$A$151,$AB849),IF($Z849="A","Generated from "&amp;INDEX(Fixed_Assets!$A$2:$A$201,$AB849),IF($Z849="F","Generated from "&amp;INDEX(FTE_Allocation!$A$2:$A$201,$AB849),"")))</f>
        <v/>
      </c>
      <c r="X849" s="19">
        <f>IF($Z849="","",SUM(J849:U849))</f>
        <v/>
      </c>
      <c r="Y849" s="20">
        <f>ROW()-1</f>
        <v/>
      </c>
      <c r="Z849" s="20">
        <f>IF($Y849&lt;=Settings!$B$4*3,"C",IF($Y849&lt;=(Settings!$B$4+Settings!$B$5)*3,"A",IF($Y849&lt;=(Settings!$B$4+Settings!$B$5+Settings!$B$6)*3,"F","")))</f>
        <v/>
      </c>
      <c r="AA849" s="20">
        <f>IF($Z849="C",$Y849,IF($Z849="A",$Y849-Settings!$B$4*3,IF($Z849="F",$Y849-(Settings!$B$4+Settings!$B$5)*3,"")))</f>
        <v/>
      </c>
      <c r="AB849" s="20">
        <f>IF($Z849="","",INT(($AA849-1)/3)+1)</f>
        <v/>
      </c>
      <c r="AC849" s="20">
        <f>IF($Z849="","",MOD($AA849-1,3)+1)</f>
        <v/>
      </c>
      <c r="AD849" s="20">
        <f>IF($Z849="","",Settings!$B$2+$AC849-1)</f>
        <v/>
      </c>
      <c r="AE849" s="21">
        <f>IF($Z849="C",DATE(YEAR(INDEX(Contracts!$J$2:$J$151,$AB849)),MONTH(INDEX(Contracts!$J$2:$J$151,$AB849)),1),IF($Z849="A",DATE(YEAR(INDEX(Fixed_Assets!$G$2:$G$201,$AB849)),MONTH(INDEX(Fixed_Assets!$G$2:$G$201,$AB849)),1),IF($Z849="F",DATE(YEAR(MAX(N(INDEX(Workforce!$I$2:$I$151,MATCH(INDEX(FTE_Allocation!$A$2:$A$201,$AB849),Workforce!$A$2:$A$151,0))),N(INDEX(FTE_Allocation!$I$2:$I$201,$AB849)))),MONTH(MAX(N(INDEX(Workforce!$I$2:$I$151,MATCH(INDEX(FTE_Allocation!$A$2:$A$201,$AB849),Workforce!$A$2:$A$151,0))),N(INDEX(FTE_Allocation!$I$2:$I$201,$AB849)))),1),"")))</f>
        <v/>
      </c>
      <c r="AF849" s="21">
        <f>IF($Z849="C",IF(INDEX(Contracts!$I$2:$I$151,$AB849)="PREPAID",EDATE(DATE(YEAR(INDEX(Contracts!$J$2:$J$151,$AB849)),MONTH(INDEX(Contracts!$J$2:$J$151,$AB849)),1),IF(INDEX(Contracts!$N$2:$N$151,$AB849)="",12,INDEX(Contracts!$N$2:$N$151,$AB849))-1),IF(INDEX(Contracts!$I$2:$I$151,$AB849)="MONTHLY",IF(INDEX(Contracts!$K$2:$K$151,$AB849)="",2958101,INDEX(Contracts!$K$2:$K$151,$AB849)),0)),IF($Z849="A",EDATE(DATE(YEAR(INDEX(Fixed_Assets!$G$2:$G$201,$AB849)),MONTH(INDEX(Fixed_Assets!$G$2:$G$201,$AB849)),1),INDEX(Fixed_Assets!$J$2:$J$201,$AB849)-1),IF($Z849="F",MIN(IF(INDEX(Workforce!$J$2:$J$151,MATCH(INDEX(FTE_Allocation!$A$2:$A$201,$AB849),Workforce!$A$2:$A$151,0))="",2958101,INDEX(Workforce!$J$2:$J$151,MATCH(INDEX(FTE_Allocation!$A$2:$A$201,$AB849),Workforce!$A$2:$A$151,0))),IF(INDEX(FTE_Allocation!$J$2:$J$201,$AB849)="",2958101,INDEX(FTE_Allocation!$J$2:$J$201,$AB849))),"")))</f>
        <v/>
      </c>
      <c r="AG849" s="19">
        <f>IF($Z849="C",IF(INDEX(Contracts!$I$2:$I$151,$AB849)="PREPAID",INDEX(Contracts!$M$2:$M$151,$AB849)/IF(INDEX(Contracts!$N$2:$N$151,$AB849)="",12,INDEX(Contracts!$N$2:$N$151,$AB849)),IF(INDEX(Contracts!$I$2:$I$151,$AB849)="MONTHLY",INDEX(Contracts!$M$2:$M$151,$AB849),0))*(1-N(INDEX(Contracts!$O$2:$O$151,$AB849))),IF($Z849="A",INDEX(Fixed_Assets!$H$2:$H$201,$AB849)/INDEX(Fixed_Assets!$J$2:$J$201,$AB849),IF($Z849="F",INDEX(Workforce!$F$2:$F$151,MATCH(INDEX(FTE_Allocation!$A$2:$A$201,$AB849),Workforce!$A$2:$A$151,0))*N(INDEX(FTE_Allocation!$F$2:$H$201,$AB849,$AC849)),"")))</f>
        <v/>
      </c>
    </row>
    <row r="850">
      <c r="A850" s="7">
        <f>IF($Z850="","",$AD850)</f>
        <v/>
      </c>
      <c r="B850" s="7">
        <f>IF($Z850="C",INDEX(Contracts!$D$2:$D$151,$AB850)&amp;"",IF($Z850="A",INDEX(Fixed_Assets!$C$2:$C$201,$AB850)&amp;"",IF($Z850="F",INDEX(Workforce!$B$2:$B$151,MATCH(INDEX(FTE_Allocation!$A$2:$A$201,$AB850),Workforce!$A$2:$A$151,0))&amp;"","")))</f>
        <v/>
      </c>
      <c r="C850" s="7">
        <f>IF($Z850="C",INDEX(Contracts!$E$2:$E$151,$AB850)&amp;"",IF($Z850="A",INDEX(Fixed_Assets!$D$2:$D$201,$AB850)&amp;"",IF($Z850="F",INDEX(FTE_Allocation!$C$2:$C$201,$AB850)&amp;"","")))</f>
        <v/>
      </c>
      <c r="D850" s="7">
        <f>IF($Z850="C",INDEX(Contracts!$B$2:$B$151,$AB850)&amp;"",IF($Z850="A",INDEX(Fixed_Assets!$B$2:$B$201,$AB850)&amp;"",IF($Z850="F",INDEX(FTE_Allocation!$B$2:$B$201,$AB850)&amp;"","")))</f>
        <v/>
      </c>
      <c r="E850" s="7">
        <f>IF($Z850="C",INDEX(Contracts!$P$2:$P$151,$AB850)&amp;"",IF($Z850="A",INDEX(Fixed_Assets!$K$2:$K$201,$AB850)&amp;"",IF($Z850="F",IF(INDEX(FTE_Allocation!$D$2:$D$201,$AB850)="PROJECT",IFERROR(INDEX(Projects!$D:$D,MATCH(INDEX(FTE_Allocation!$E$2:$E$201,$AB850),Projects!$A:$A,0))&amp;"","#PROJECT?"),INDEX(FTE_Allocation!$E$2:$E$201,$AB850)&amp;""),"")))</f>
        <v/>
      </c>
      <c r="F850" s="7">
        <f>IF($Z850="C",INDEX(Contracts!$Q$2:$Q$151,$AB850)&amp;"",IF($Z850="A",INDEX(Fixed_Assets!$L$2:$L$201,$AB850)&amp;"",IF($Z850="F",INDEX(Workforce!$K$2:$K$151,MATCH(INDEX(FTE_Allocation!$A$2:$A$201,$AB850),Workforce!$A$2:$A$151,0))&amp;"","")))</f>
        <v/>
      </c>
      <c r="G850" s="7">
        <f>IF($Z850="C",INDEX(Contracts!$F$2:$F$151,$AB850)&amp;" / "&amp;INDEX(Contracts!$G$2:$G$151,$AB850),IF($Z850="A",INDEX(Fixed_Assets!$E$2:$E$201,$AB850)&amp;"",IF($Z850="F","Personnel "&amp;INDEX(FTE_Allocation!$A$2:$A$201,$AB850)&amp;IF(INDEX(FTE_Allocation!$D$2:$D$201,$AB850)="PROJECT"," ("&amp;INDEX(FTE_Allocation!$E$2:$E$201,$AB850)&amp;")",""),"")))</f>
        <v/>
      </c>
      <c r="H850" s="7">
        <f>IF($Z850="C","CONTRACT",IF($Z850="A","ASSET",IF($Z850="F","WORKFORCE","")))</f>
        <v/>
      </c>
      <c r="I850" s="7">
        <f>IF($Z850="C",INDEX(Contracts!$L$2:$L$151,$AB850)&amp;"",IF($Z850="A",INDEX(Fixed_Assets!$I$2:$I$201,$AB850)&amp;"",IF($Z850="F",INDEX(Workforce!$G$2:$G$151,MATCH(INDEX(FTE_Allocation!$A$2:$A$201,$AB850),Workforce!$A$2:$A$151,0))&amp;"","")))</f>
        <v/>
      </c>
      <c r="J850" s="18">
        <f>IF($Z850="","",IF(AND(DATE($AD850,1,1)&gt;=$AE850,DATE($AD850,1,1)&lt;=$AF850),ROUND($AG850,2),0))</f>
        <v/>
      </c>
      <c r="K850" s="18">
        <f>IF($Z850="","",IF(AND(DATE($AD850,2,1)&gt;=$AE850,DATE($AD850,2,1)&lt;=$AF850),ROUND($AG850,2),0))</f>
        <v/>
      </c>
      <c r="L850" s="18">
        <f>IF($Z850="","",IF(AND(DATE($AD850,3,1)&gt;=$AE850,DATE($AD850,3,1)&lt;=$AF850),ROUND($AG850,2),0))</f>
        <v/>
      </c>
      <c r="M850" s="18">
        <f>IF($Z850="","",IF(AND(DATE($AD850,4,1)&gt;=$AE850,DATE($AD850,4,1)&lt;=$AF850),ROUND($AG850,2),0))</f>
        <v/>
      </c>
      <c r="N850" s="18">
        <f>IF($Z850="","",IF(AND(DATE($AD850,5,1)&gt;=$AE850,DATE($AD850,5,1)&lt;=$AF850),ROUND($AG850,2),0))</f>
        <v/>
      </c>
      <c r="O850" s="18">
        <f>IF($Z850="","",IF(AND(DATE($AD850,6,1)&gt;=$AE850,DATE($AD850,6,1)&lt;=$AF850),ROUND($AG850,2),0))</f>
        <v/>
      </c>
      <c r="P850" s="18">
        <f>IF($Z850="","",IF(AND(DATE($AD850,7,1)&gt;=$AE850,DATE($AD850,7,1)&lt;=$AF850),ROUND($AG850,2),0))</f>
        <v/>
      </c>
      <c r="Q850" s="18">
        <f>IF($Z850="","",IF(AND(DATE($AD850,8,1)&gt;=$AE850,DATE($AD850,8,1)&lt;=$AF850),ROUND($AG850,2),0))</f>
        <v/>
      </c>
      <c r="R850" s="18">
        <f>IF($Z850="","",IF(AND(DATE($AD850,9,1)&gt;=$AE850,DATE($AD850,9,1)&lt;=$AF850),ROUND($AG850,2),0))</f>
        <v/>
      </c>
      <c r="S850" s="18">
        <f>IF($Z850="","",IF(AND(DATE($AD850,10,1)&gt;=$AE850,DATE($AD850,10,1)&lt;=$AF850),ROUND($AG850,2),0))</f>
        <v/>
      </c>
      <c r="T850" s="18">
        <f>IF($Z850="","",IF(AND(DATE($AD850,11,1)&gt;=$AE850,DATE($AD850,11,1)&lt;=$AF850),ROUND($AG850,2),0))</f>
        <v/>
      </c>
      <c r="U850" s="18">
        <f>IF($Z850="","",IF(AND(DATE($AD850,12,1)&gt;=$AE850,DATE($AD850,12,1)&lt;=$AF850),ROUND($AG850,2),0))</f>
        <v/>
      </c>
      <c r="V850" s="7">
        <f>IF($Z850="C","Generated from "&amp;INDEX(Contracts!$A$2:$A$151,$AB850),IF($Z850="A","Generated from "&amp;INDEX(Fixed_Assets!$A$2:$A$201,$AB850),IF($Z850="F","Generated from "&amp;INDEX(FTE_Allocation!$A$2:$A$201,$AB850),"")))</f>
        <v/>
      </c>
      <c r="X850" s="19">
        <f>IF($Z850="","",SUM(J850:U850))</f>
        <v/>
      </c>
      <c r="Y850" s="20">
        <f>ROW()-1</f>
        <v/>
      </c>
      <c r="Z850" s="20">
        <f>IF($Y850&lt;=Settings!$B$4*3,"C",IF($Y850&lt;=(Settings!$B$4+Settings!$B$5)*3,"A",IF($Y850&lt;=(Settings!$B$4+Settings!$B$5+Settings!$B$6)*3,"F","")))</f>
        <v/>
      </c>
      <c r="AA850" s="20">
        <f>IF($Z850="C",$Y850,IF($Z850="A",$Y850-Settings!$B$4*3,IF($Z850="F",$Y850-(Settings!$B$4+Settings!$B$5)*3,"")))</f>
        <v/>
      </c>
      <c r="AB850" s="20">
        <f>IF($Z850="","",INT(($AA850-1)/3)+1)</f>
        <v/>
      </c>
      <c r="AC850" s="20">
        <f>IF($Z850="","",MOD($AA850-1,3)+1)</f>
        <v/>
      </c>
      <c r="AD850" s="20">
        <f>IF($Z850="","",Settings!$B$2+$AC850-1)</f>
        <v/>
      </c>
      <c r="AE850" s="21">
        <f>IF($Z850="C",DATE(YEAR(INDEX(Contracts!$J$2:$J$151,$AB850)),MONTH(INDEX(Contracts!$J$2:$J$151,$AB850)),1),IF($Z850="A",DATE(YEAR(INDEX(Fixed_Assets!$G$2:$G$201,$AB850)),MONTH(INDEX(Fixed_Assets!$G$2:$G$201,$AB850)),1),IF($Z850="F",DATE(YEAR(MAX(N(INDEX(Workforce!$I$2:$I$151,MATCH(INDEX(FTE_Allocation!$A$2:$A$201,$AB850),Workforce!$A$2:$A$151,0))),N(INDEX(FTE_Allocation!$I$2:$I$201,$AB850)))),MONTH(MAX(N(INDEX(Workforce!$I$2:$I$151,MATCH(INDEX(FTE_Allocation!$A$2:$A$201,$AB850),Workforce!$A$2:$A$151,0))),N(INDEX(FTE_Allocation!$I$2:$I$201,$AB850)))),1),"")))</f>
        <v/>
      </c>
      <c r="AF850" s="21">
        <f>IF($Z850="C",IF(INDEX(Contracts!$I$2:$I$151,$AB850)="PREPAID",EDATE(DATE(YEAR(INDEX(Contracts!$J$2:$J$151,$AB850)),MONTH(INDEX(Contracts!$J$2:$J$151,$AB850)),1),IF(INDEX(Contracts!$N$2:$N$151,$AB850)="",12,INDEX(Contracts!$N$2:$N$151,$AB850))-1),IF(INDEX(Contracts!$I$2:$I$151,$AB850)="MONTHLY",IF(INDEX(Contracts!$K$2:$K$151,$AB850)="",2958101,INDEX(Contracts!$K$2:$K$151,$AB850)),0)),IF($Z850="A",EDATE(DATE(YEAR(INDEX(Fixed_Assets!$G$2:$G$201,$AB850)),MONTH(INDEX(Fixed_Assets!$G$2:$G$201,$AB850)),1),INDEX(Fixed_Assets!$J$2:$J$201,$AB850)-1),IF($Z850="F",MIN(IF(INDEX(Workforce!$J$2:$J$151,MATCH(INDEX(FTE_Allocation!$A$2:$A$201,$AB850),Workforce!$A$2:$A$151,0))="",2958101,INDEX(Workforce!$J$2:$J$151,MATCH(INDEX(FTE_Allocation!$A$2:$A$201,$AB850),Workforce!$A$2:$A$151,0))),IF(INDEX(FTE_Allocation!$J$2:$J$201,$AB850)="",2958101,INDEX(FTE_Allocation!$J$2:$J$201,$AB850))),"")))</f>
        <v/>
      </c>
      <c r="AG850" s="19">
        <f>IF($Z850="C",IF(INDEX(Contracts!$I$2:$I$151,$AB850)="PREPAID",INDEX(Contracts!$M$2:$M$151,$AB850)/IF(INDEX(Contracts!$N$2:$N$151,$AB850)="",12,INDEX(Contracts!$N$2:$N$151,$AB850)),IF(INDEX(Contracts!$I$2:$I$151,$AB850)="MONTHLY",INDEX(Contracts!$M$2:$M$151,$AB850),0))*(1-N(INDEX(Contracts!$O$2:$O$151,$AB850))),IF($Z850="A",INDEX(Fixed_Assets!$H$2:$H$201,$AB850)/INDEX(Fixed_Assets!$J$2:$J$201,$AB850),IF($Z850="F",INDEX(Workforce!$F$2:$F$151,MATCH(INDEX(FTE_Allocation!$A$2:$A$201,$AB850),Workforce!$A$2:$A$151,0))*N(INDEX(FTE_Allocation!$F$2:$H$201,$AB850,$AC850)),"")))</f>
        <v/>
      </c>
    </row>
    <row r="851">
      <c r="A851" s="7">
        <f>IF($Z851="","",$AD851)</f>
        <v/>
      </c>
      <c r="B851" s="7">
        <f>IF($Z851="C",INDEX(Contracts!$D$2:$D$151,$AB851)&amp;"",IF($Z851="A",INDEX(Fixed_Assets!$C$2:$C$201,$AB851)&amp;"",IF($Z851="F",INDEX(Workforce!$B$2:$B$151,MATCH(INDEX(FTE_Allocation!$A$2:$A$201,$AB851),Workforce!$A$2:$A$151,0))&amp;"","")))</f>
        <v/>
      </c>
      <c r="C851" s="7">
        <f>IF($Z851="C",INDEX(Contracts!$E$2:$E$151,$AB851)&amp;"",IF($Z851="A",INDEX(Fixed_Assets!$D$2:$D$201,$AB851)&amp;"",IF($Z851="F",INDEX(FTE_Allocation!$C$2:$C$201,$AB851)&amp;"","")))</f>
        <v/>
      </c>
      <c r="D851" s="7">
        <f>IF($Z851="C",INDEX(Contracts!$B$2:$B$151,$AB851)&amp;"",IF($Z851="A",INDEX(Fixed_Assets!$B$2:$B$201,$AB851)&amp;"",IF($Z851="F",INDEX(FTE_Allocation!$B$2:$B$201,$AB851)&amp;"","")))</f>
        <v/>
      </c>
      <c r="E851" s="7">
        <f>IF($Z851="C",INDEX(Contracts!$P$2:$P$151,$AB851)&amp;"",IF($Z851="A",INDEX(Fixed_Assets!$K$2:$K$201,$AB851)&amp;"",IF($Z851="F",IF(INDEX(FTE_Allocation!$D$2:$D$201,$AB851)="PROJECT",IFERROR(INDEX(Projects!$D:$D,MATCH(INDEX(FTE_Allocation!$E$2:$E$201,$AB851),Projects!$A:$A,0))&amp;"","#PROJECT?"),INDEX(FTE_Allocation!$E$2:$E$201,$AB851)&amp;""),"")))</f>
        <v/>
      </c>
      <c r="F851" s="7">
        <f>IF($Z851="C",INDEX(Contracts!$Q$2:$Q$151,$AB851)&amp;"",IF($Z851="A",INDEX(Fixed_Assets!$L$2:$L$201,$AB851)&amp;"",IF($Z851="F",INDEX(Workforce!$K$2:$K$151,MATCH(INDEX(FTE_Allocation!$A$2:$A$201,$AB851),Workforce!$A$2:$A$151,0))&amp;"","")))</f>
        <v/>
      </c>
      <c r="G851" s="7">
        <f>IF($Z851="C",INDEX(Contracts!$F$2:$F$151,$AB851)&amp;" / "&amp;INDEX(Contracts!$G$2:$G$151,$AB851),IF($Z851="A",INDEX(Fixed_Assets!$E$2:$E$201,$AB851)&amp;"",IF($Z851="F","Personnel "&amp;INDEX(FTE_Allocation!$A$2:$A$201,$AB851)&amp;IF(INDEX(FTE_Allocation!$D$2:$D$201,$AB851)="PROJECT"," ("&amp;INDEX(FTE_Allocation!$E$2:$E$201,$AB851)&amp;")",""),"")))</f>
        <v/>
      </c>
      <c r="H851" s="7">
        <f>IF($Z851="C","CONTRACT",IF($Z851="A","ASSET",IF($Z851="F","WORKFORCE","")))</f>
        <v/>
      </c>
      <c r="I851" s="7">
        <f>IF($Z851="C",INDEX(Contracts!$L$2:$L$151,$AB851)&amp;"",IF($Z851="A",INDEX(Fixed_Assets!$I$2:$I$201,$AB851)&amp;"",IF($Z851="F",INDEX(Workforce!$G$2:$G$151,MATCH(INDEX(FTE_Allocation!$A$2:$A$201,$AB851),Workforce!$A$2:$A$151,0))&amp;"","")))</f>
        <v/>
      </c>
      <c r="J851" s="18">
        <f>IF($Z851="","",IF(AND(DATE($AD851,1,1)&gt;=$AE851,DATE($AD851,1,1)&lt;=$AF851),ROUND($AG851,2),0))</f>
        <v/>
      </c>
      <c r="K851" s="18">
        <f>IF($Z851="","",IF(AND(DATE($AD851,2,1)&gt;=$AE851,DATE($AD851,2,1)&lt;=$AF851),ROUND($AG851,2),0))</f>
        <v/>
      </c>
      <c r="L851" s="18">
        <f>IF($Z851="","",IF(AND(DATE($AD851,3,1)&gt;=$AE851,DATE($AD851,3,1)&lt;=$AF851),ROUND($AG851,2),0))</f>
        <v/>
      </c>
      <c r="M851" s="18">
        <f>IF($Z851="","",IF(AND(DATE($AD851,4,1)&gt;=$AE851,DATE($AD851,4,1)&lt;=$AF851),ROUND($AG851,2),0))</f>
        <v/>
      </c>
      <c r="N851" s="18">
        <f>IF($Z851="","",IF(AND(DATE($AD851,5,1)&gt;=$AE851,DATE($AD851,5,1)&lt;=$AF851),ROUND($AG851,2),0))</f>
        <v/>
      </c>
      <c r="O851" s="18">
        <f>IF($Z851="","",IF(AND(DATE($AD851,6,1)&gt;=$AE851,DATE($AD851,6,1)&lt;=$AF851),ROUND($AG851,2),0))</f>
        <v/>
      </c>
      <c r="P851" s="18">
        <f>IF($Z851="","",IF(AND(DATE($AD851,7,1)&gt;=$AE851,DATE($AD851,7,1)&lt;=$AF851),ROUND($AG851,2),0))</f>
        <v/>
      </c>
      <c r="Q851" s="18">
        <f>IF($Z851="","",IF(AND(DATE($AD851,8,1)&gt;=$AE851,DATE($AD851,8,1)&lt;=$AF851),ROUND($AG851,2),0))</f>
        <v/>
      </c>
      <c r="R851" s="18">
        <f>IF($Z851="","",IF(AND(DATE($AD851,9,1)&gt;=$AE851,DATE($AD851,9,1)&lt;=$AF851),ROUND($AG851,2),0))</f>
        <v/>
      </c>
      <c r="S851" s="18">
        <f>IF($Z851="","",IF(AND(DATE($AD851,10,1)&gt;=$AE851,DATE($AD851,10,1)&lt;=$AF851),ROUND($AG851,2),0))</f>
        <v/>
      </c>
      <c r="T851" s="18">
        <f>IF($Z851="","",IF(AND(DATE($AD851,11,1)&gt;=$AE851,DATE($AD851,11,1)&lt;=$AF851),ROUND($AG851,2),0))</f>
        <v/>
      </c>
      <c r="U851" s="18">
        <f>IF($Z851="","",IF(AND(DATE($AD851,12,1)&gt;=$AE851,DATE($AD851,12,1)&lt;=$AF851),ROUND($AG851,2),0))</f>
        <v/>
      </c>
      <c r="V851" s="7">
        <f>IF($Z851="C","Generated from "&amp;INDEX(Contracts!$A$2:$A$151,$AB851),IF($Z851="A","Generated from "&amp;INDEX(Fixed_Assets!$A$2:$A$201,$AB851),IF($Z851="F","Generated from "&amp;INDEX(FTE_Allocation!$A$2:$A$201,$AB851),"")))</f>
        <v/>
      </c>
      <c r="X851" s="19">
        <f>IF($Z851="","",SUM(J851:U851))</f>
        <v/>
      </c>
      <c r="Y851" s="20">
        <f>ROW()-1</f>
        <v/>
      </c>
      <c r="Z851" s="20">
        <f>IF($Y851&lt;=Settings!$B$4*3,"C",IF($Y851&lt;=(Settings!$B$4+Settings!$B$5)*3,"A",IF($Y851&lt;=(Settings!$B$4+Settings!$B$5+Settings!$B$6)*3,"F","")))</f>
        <v/>
      </c>
      <c r="AA851" s="20">
        <f>IF($Z851="C",$Y851,IF($Z851="A",$Y851-Settings!$B$4*3,IF($Z851="F",$Y851-(Settings!$B$4+Settings!$B$5)*3,"")))</f>
        <v/>
      </c>
      <c r="AB851" s="20">
        <f>IF($Z851="","",INT(($AA851-1)/3)+1)</f>
        <v/>
      </c>
      <c r="AC851" s="20">
        <f>IF($Z851="","",MOD($AA851-1,3)+1)</f>
        <v/>
      </c>
      <c r="AD851" s="20">
        <f>IF($Z851="","",Settings!$B$2+$AC851-1)</f>
        <v/>
      </c>
      <c r="AE851" s="21">
        <f>IF($Z851="C",DATE(YEAR(INDEX(Contracts!$J$2:$J$151,$AB851)),MONTH(INDEX(Contracts!$J$2:$J$151,$AB851)),1),IF($Z851="A",DATE(YEAR(INDEX(Fixed_Assets!$G$2:$G$201,$AB851)),MONTH(INDEX(Fixed_Assets!$G$2:$G$201,$AB851)),1),IF($Z851="F",DATE(YEAR(MAX(N(INDEX(Workforce!$I$2:$I$151,MATCH(INDEX(FTE_Allocation!$A$2:$A$201,$AB851),Workforce!$A$2:$A$151,0))),N(INDEX(FTE_Allocation!$I$2:$I$201,$AB851)))),MONTH(MAX(N(INDEX(Workforce!$I$2:$I$151,MATCH(INDEX(FTE_Allocation!$A$2:$A$201,$AB851),Workforce!$A$2:$A$151,0))),N(INDEX(FTE_Allocation!$I$2:$I$201,$AB851)))),1),"")))</f>
        <v/>
      </c>
      <c r="AF851" s="21">
        <f>IF($Z851="C",IF(INDEX(Contracts!$I$2:$I$151,$AB851)="PREPAID",EDATE(DATE(YEAR(INDEX(Contracts!$J$2:$J$151,$AB851)),MONTH(INDEX(Contracts!$J$2:$J$151,$AB851)),1),IF(INDEX(Contracts!$N$2:$N$151,$AB851)="",12,INDEX(Contracts!$N$2:$N$151,$AB851))-1),IF(INDEX(Contracts!$I$2:$I$151,$AB851)="MONTHLY",IF(INDEX(Contracts!$K$2:$K$151,$AB851)="",2958101,INDEX(Contracts!$K$2:$K$151,$AB851)),0)),IF($Z851="A",EDATE(DATE(YEAR(INDEX(Fixed_Assets!$G$2:$G$201,$AB851)),MONTH(INDEX(Fixed_Assets!$G$2:$G$201,$AB851)),1),INDEX(Fixed_Assets!$J$2:$J$201,$AB851)-1),IF($Z851="F",MIN(IF(INDEX(Workforce!$J$2:$J$151,MATCH(INDEX(FTE_Allocation!$A$2:$A$201,$AB851),Workforce!$A$2:$A$151,0))="",2958101,INDEX(Workforce!$J$2:$J$151,MATCH(INDEX(FTE_Allocation!$A$2:$A$201,$AB851),Workforce!$A$2:$A$151,0))),IF(INDEX(FTE_Allocation!$J$2:$J$201,$AB851)="",2958101,INDEX(FTE_Allocation!$J$2:$J$201,$AB851))),"")))</f>
        <v/>
      </c>
      <c r="AG851" s="19">
        <f>IF($Z851="C",IF(INDEX(Contracts!$I$2:$I$151,$AB851)="PREPAID",INDEX(Contracts!$M$2:$M$151,$AB851)/IF(INDEX(Contracts!$N$2:$N$151,$AB851)="",12,INDEX(Contracts!$N$2:$N$151,$AB851)),IF(INDEX(Contracts!$I$2:$I$151,$AB851)="MONTHLY",INDEX(Contracts!$M$2:$M$151,$AB851),0))*(1-N(INDEX(Contracts!$O$2:$O$151,$AB851))),IF($Z851="A",INDEX(Fixed_Assets!$H$2:$H$201,$AB851)/INDEX(Fixed_Assets!$J$2:$J$201,$AB851),IF($Z851="F",INDEX(Workforce!$F$2:$F$151,MATCH(INDEX(FTE_Allocation!$A$2:$A$201,$AB851),Workforce!$A$2:$A$151,0))*N(INDEX(FTE_Allocation!$F$2:$H$201,$AB851,$AC851)),"")))</f>
        <v/>
      </c>
    </row>
    <row r="852">
      <c r="A852" s="7">
        <f>IF($Z852="","",$AD852)</f>
        <v/>
      </c>
      <c r="B852" s="7">
        <f>IF($Z852="C",INDEX(Contracts!$D$2:$D$151,$AB852)&amp;"",IF($Z852="A",INDEX(Fixed_Assets!$C$2:$C$201,$AB852)&amp;"",IF($Z852="F",INDEX(Workforce!$B$2:$B$151,MATCH(INDEX(FTE_Allocation!$A$2:$A$201,$AB852),Workforce!$A$2:$A$151,0))&amp;"","")))</f>
        <v/>
      </c>
      <c r="C852" s="7">
        <f>IF($Z852="C",INDEX(Contracts!$E$2:$E$151,$AB852)&amp;"",IF($Z852="A",INDEX(Fixed_Assets!$D$2:$D$201,$AB852)&amp;"",IF($Z852="F",INDEX(FTE_Allocation!$C$2:$C$201,$AB852)&amp;"","")))</f>
        <v/>
      </c>
      <c r="D852" s="7">
        <f>IF($Z852="C",INDEX(Contracts!$B$2:$B$151,$AB852)&amp;"",IF($Z852="A",INDEX(Fixed_Assets!$B$2:$B$201,$AB852)&amp;"",IF($Z852="F",INDEX(FTE_Allocation!$B$2:$B$201,$AB852)&amp;"","")))</f>
        <v/>
      </c>
      <c r="E852" s="7">
        <f>IF($Z852="C",INDEX(Contracts!$P$2:$P$151,$AB852)&amp;"",IF($Z852="A",INDEX(Fixed_Assets!$K$2:$K$201,$AB852)&amp;"",IF($Z852="F",IF(INDEX(FTE_Allocation!$D$2:$D$201,$AB852)="PROJECT",IFERROR(INDEX(Projects!$D:$D,MATCH(INDEX(FTE_Allocation!$E$2:$E$201,$AB852),Projects!$A:$A,0))&amp;"","#PROJECT?"),INDEX(FTE_Allocation!$E$2:$E$201,$AB852)&amp;""),"")))</f>
        <v/>
      </c>
      <c r="F852" s="7">
        <f>IF($Z852="C",INDEX(Contracts!$Q$2:$Q$151,$AB852)&amp;"",IF($Z852="A",INDEX(Fixed_Assets!$L$2:$L$201,$AB852)&amp;"",IF($Z852="F",INDEX(Workforce!$K$2:$K$151,MATCH(INDEX(FTE_Allocation!$A$2:$A$201,$AB852),Workforce!$A$2:$A$151,0))&amp;"","")))</f>
        <v/>
      </c>
      <c r="G852" s="7">
        <f>IF($Z852="C",INDEX(Contracts!$F$2:$F$151,$AB852)&amp;" / "&amp;INDEX(Contracts!$G$2:$G$151,$AB852),IF($Z852="A",INDEX(Fixed_Assets!$E$2:$E$201,$AB852)&amp;"",IF($Z852="F","Personnel "&amp;INDEX(FTE_Allocation!$A$2:$A$201,$AB852)&amp;IF(INDEX(FTE_Allocation!$D$2:$D$201,$AB852)="PROJECT"," ("&amp;INDEX(FTE_Allocation!$E$2:$E$201,$AB852)&amp;")",""),"")))</f>
        <v/>
      </c>
      <c r="H852" s="7">
        <f>IF($Z852="C","CONTRACT",IF($Z852="A","ASSET",IF($Z852="F","WORKFORCE","")))</f>
        <v/>
      </c>
      <c r="I852" s="7">
        <f>IF($Z852="C",INDEX(Contracts!$L$2:$L$151,$AB852)&amp;"",IF($Z852="A",INDEX(Fixed_Assets!$I$2:$I$201,$AB852)&amp;"",IF($Z852="F",INDEX(Workforce!$G$2:$G$151,MATCH(INDEX(FTE_Allocation!$A$2:$A$201,$AB852),Workforce!$A$2:$A$151,0))&amp;"","")))</f>
        <v/>
      </c>
      <c r="J852" s="18">
        <f>IF($Z852="","",IF(AND(DATE($AD852,1,1)&gt;=$AE852,DATE($AD852,1,1)&lt;=$AF852),ROUND($AG852,2),0))</f>
        <v/>
      </c>
      <c r="K852" s="18">
        <f>IF($Z852="","",IF(AND(DATE($AD852,2,1)&gt;=$AE852,DATE($AD852,2,1)&lt;=$AF852),ROUND($AG852,2),0))</f>
        <v/>
      </c>
      <c r="L852" s="18">
        <f>IF($Z852="","",IF(AND(DATE($AD852,3,1)&gt;=$AE852,DATE($AD852,3,1)&lt;=$AF852),ROUND($AG852,2),0))</f>
        <v/>
      </c>
      <c r="M852" s="18">
        <f>IF($Z852="","",IF(AND(DATE($AD852,4,1)&gt;=$AE852,DATE($AD852,4,1)&lt;=$AF852),ROUND($AG852,2),0))</f>
        <v/>
      </c>
      <c r="N852" s="18">
        <f>IF($Z852="","",IF(AND(DATE($AD852,5,1)&gt;=$AE852,DATE($AD852,5,1)&lt;=$AF852),ROUND($AG852,2),0))</f>
        <v/>
      </c>
      <c r="O852" s="18">
        <f>IF($Z852="","",IF(AND(DATE($AD852,6,1)&gt;=$AE852,DATE($AD852,6,1)&lt;=$AF852),ROUND($AG852,2),0))</f>
        <v/>
      </c>
      <c r="P852" s="18">
        <f>IF($Z852="","",IF(AND(DATE($AD852,7,1)&gt;=$AE852,DATE($AD852,7,1)&lt;=$AF852),ROUND($AG852,2),0))</f>
        <v/>
      </c>
      <c r="Q852" s="18">
        <f>IF($Z852="","",IF(AND(DATE($AD852,8,1)&gt;=$AE852,DATE($AD852,8,1)&lt;=$AF852),ROUND($AG852,2),0))</f>
        <v/>
      </c>
      <c r="R852" s="18">
        <f>IF($Z852="","",IF(AND(DATE($AD852,9,1)&gt;=$AE852,DATE($AD852,9,1)&lt;=$AF852),ROUND($AG852,2),0))</f>
        <v/>
      </c>
      <c r="S852" s="18">
        <f>IF($Z852="","",IF(AND(DATE($AD852,10,1)&gt;=$AE852,DATE($AD852,10,1)&lt;=$AF852),ROUND($AG852,2),0))</f>
        <v/>
      </c>
      <c r="T852" s="18">
        <f>IF($Z852="","",IF(AND(DATE($AD852,11,1)&gt;=$AE852,DATE($AD852,11,1)&lt;=$AF852),ROUND($AG852,2),0))</f>
        <v/>
      </c>
      <c r="U852" s="18">
        <f>IF($Z852="","",IF(AND(DATE($AD852,12,1)&gt;=$AE852,DATE($AD852,12,1)&lt;=$AF852),ROUND($AG852,2),0))</f>
        <v/>
      </c>
      <c r="V852" s="7">
        <f>IF($Z852="C","Generated from "&amp;INDEX(Contracts!$A$2:$A$151,$AB852),IF($Z852="A","Generated from "&amp;INDEX(Fixed_Assets!$A$2:$A$201,$AB852),IF($Z852="F","Generated from "&amp;INDEX(FTE_Allocation!$A$2:$A$201,$AB852),"")))</f>
        <v/>
      </c>
      <c r="X852" s="19">
        <f>IF($Z852="","",SUM(J852:U852))</f>
        <v/>
      </c>
      <c r="Y852" s="20">
        <f>ROW()-1</f>
        <v/>
      </c>
      <c r="Z852" s="20">
        <f>IF($Y852&lt;=Settings!$B$4*3,"C",IF($Y852&lt;=(Settings!$B$4+Settings!$B$5)*3,"A",IF($Y852&lt;=(Settings!$B$4+Settings!$B$5+Settings!$B$6)*3,"F","")))</f>
        <v/>
      </c>
      <c r="AA852" s="20">
        <f>IF($Z852="C",$Y852,IF($Z852="A",$Y852-Settings!$B$4*3,IF($Z852="F",$Y852-(Settings!$B$4+Settings!$B$5)*3,"")))</f>
        <v/>
      </c>
      <c r="AB852" s="20">
        <f>IF($Z852="","",INT(($AA852-1)/3)+1)</f>
        <v/>
      </c>
      <c r="AC852" s="20">
        <f>IF($Z852="","",MOD($AA852-1,3)+1)</f>
        <v/>
      </c>
      <c r="AD852" s="20">
        <f>IF($Z852="","",Settings!$B$2+$AC852-1)</f>
        <v/>
      </c>
      <c r="AE852" s="21">
        <f>IF($Z852="C",DATE(YEAR(INDEX(Contracts!$J$2:$J$151,$AB852)),MONTH(INDEX(Contracts!$J$2:$J$151,$AB852)),1),IF($Z852="A",DATE(YEAR(INDEX(Fixed_Assets!$G$2:$G$201,$AB852)),MONTH(INDEX(Fixed_Assets!$G$2:$G$201,$AB852)),1),IF($Z852="F",DATE(YEAR(MAX(N(INDEX(Workforce!$I$2:$I$151,MATCH(INDEX(FTE_Allocation!$A$2:$A$201,$AB852),Workforce!$A$2:$A$151,0))),N(INDEX(FTE_Allocation!$I$2:$I$201,$AB852)))),MONTH(MAX(N(INDEX(Workforce!$I$2:$I$151,MATCH(INDEX(FTE_Allocation!$A$2:$A$201,$AB852),Workforce!$A$2:$A$151,0))),N(INDEX(FTE_Allocation!$I$2:$I$201,$AB852)))),1),"")))</f>
        <v/>
      </c>
      <c r="AF852" s="21">
        <f>IF($Z852="C",IF(INDEX(Contracts!$I$2:$I$151,$AB852)="PREPAID",EDATE(DATE(YEAR(INDEX(Contracts!$J$2:$J$151,$AB852)),MONTH(INDEX(Contracts!$J$2:$J$151,$AB852)),1),IF(INDEX(Contracts!$N$2:$N$151,$AB852)="",12,INDEX(Contracts!$N$2:$N$151,$AB852))-1),IF(INDEX(Contracts!$I$2:$I$151,$AB852)="MONTHLY",IF(INDEX(Contracts!$K$2:$K$151,$AB852)="",2958101,INDEX(Contracts!$K$2:$K$151,$AB852)),0)),IF($Z852="A",EDATE(DATE(YEAR(INDEX(Fixed_Assets!$G$2:$G$201,$AB852)),MONTH(INDEX(Fixed_Assets!$G$2:$G$201,$AB852)),1),INDEX(Fixed_Assets!$J$2:$J$201,$AB852)-1),IF($Z852="F",MIN(IF(INDEX(Workforce!$J$2:$J$151,MATCH(INDEX(FTE_Allocation!$A$2:$A$201,$AB852),Workforce!$A$2:$A$151,0))="",2958101,INDEX(Workforce!$J$2:$J$151,MATCH(INDEX(FTE_Allocation!$A$2:$A$201,$AB852),Workforce!$A$2:$A$151,0))),IF(INDEX(FTE_Allocation!$J$2:$J$201,$AB852)="",2958101,INDEX(FTE_Allocation!$J$2:$J$201,$AB852))),"")))</f>
        <v/>
      </c>
      <c r="AG852" s="19">
        <f>IF($Z852="C",IF(INDEX(Contracts!$I$2:$I$151,$AB852)="PREPAID",INDEX(Contracts!$M$2:$M$151,$AB852)/IF(INDEX(Contracts!$N$2:$N$151,$AB852)="",12,INDEX(Contracts!$N$2:$N$151,$AB852)),IF(INDEX(Contracts!$I$2:$I$151,$AB852)="MONTHLY",INDEX(Contracts!$M$2:$M$151,$AB852),0))*(1-N(INDEX(Contracts!$O$2:$O$151,$AB852))),IF($Z852="A",INDEX(Fixed_Assets!$H$2:$H$201,$AB852)/INDEX(Fixed_Assets!$J$2:$J$201,$AB852),IF($Z852="F",INDEX(Workforce!$F$2:$F$151,MATCH(INDEX(FTE_Allocation!$A$2:$A$201,$AB852),Workforce!$A$2:$A$151,0))*N(INDEX(FTE_Allocation!$F$2:$H$201,$AB852,$AC852)),"")))</f>
        <v/>
      </c>
    </row>
    <row r="853">
      <c r="A853" s="7">
        <f>IF($Z853="","",$AD853)</f>
        <v/>
      </c>
      <c r="B853" s="7">
        <f>IF($Z853="C",INDEX(Contracts!$D$2:$D$151,$AB853)&amp;"",IF($Z853="A",INDEX(Fixed_Assets!$C$2:$C$201,$AB853)&amp;"",IF($Z853="F",INDEX(Workforce!$B$2:$B$151,MATCH(INDEX(FTE_Allocation!$A$2:$A$201,$AB853),Workforce!$A$2:$A$151,0))&amp;"","")))</f>
        <v/>
      </c>
      <c r="C853" s="7">
        <f>IF($Z853="C",INDEX(Contracts!$E$2:$E$151,$AB853)&amp;"",IF($Z853="A",INDEX(Fixed_Assets!$D$2:$D$201,$AB853)&amp;"",IF($Z853="F",INDEX(FTE_Allocation!$C$2:$C$201,$AB853)&amp;"","")))</f>
        <v/>
      </c>
      <c r="D853" s="7">
        <f>IF($Z853="C",INDEX(Contracts!$B$2:$B$151,$AB853)&amp;"",IF($Z853="A",INDEX(Fixed_Assets!$B$2:$B$201,$AB853)&amp;"",IF($Z853="F",INDEX(FTE_Allocation!$B$2:$B$201,$AB853)&amp;"","")))</f>
        <v/>
      </c>
      <c r="E853" s="7">
        <f>IF($Z853="C",INDEX(Contracts!$P$2:$P$151,$AB853)&amp;"",IF($Z853="A",INDEX(Fixed_Assets!$K$2:$K$201,$AB853)&amp;"",IF($Z853="F",IF(INDEX(FTE_Allocation!$D$2:$D$201,$AB853)="PROJECT",IFERROR(INDEX(Projects!$D:$D,MATCH(INDEX(FTE_Allocation!$E$2:$E$201,$AB853),Projects!$A:$A,0))&amp;"","#PROJECT?"),INDEX(FTE_Allocation!$E$2:$E$201,$AB853)&amp;""),"")))</f>
        <v/>
      </c>
      <c r="F853" s="7">
        <f>IF($Z853="C",INDEX(Contracts!$Q$2:$Q$151,$AB853)&amp;"",IF($Z853="A",INDEX(Fixed_Assets!$L$2:$L$201,$AB853)&amp;"",IF($Z853="F",INDEX(Workforce!$K$2:$K$151,MATCH(INDEX(FTE_Allocation!$A$2:$A$201,$AB853),Workforce!$A$2:$A$151,0))&amp;"","")))</f>
        <v/>
      </c>
      <c r="G853" s="7">
        <f>IF($Z853="C",INDEX(Contracts!$F$2:$F$151,$AB853)&amp;" / "&amp;INDEX(Contracts!$G$2:$G$151,$AB853),IF($Z853="A",INDEX(Fixed_Assets!$E$2:$E$201,$AB853)&amp;"",IF($Z853="F","Personnel "&amp;INDEX(FTE_Allocation!$A$2:$A$201,$AB853)&amp;IF(INDEX(FTE_Allocation!$D$2:$D$201,$AB853)="PROJECT"," ("&amp;INDEX(FTE_Allocation!$E$2:$E$201,$AB853)&amp;")",""),"")))</f>
        <v/>
      </c>
      <c r="H853" s="7">
        <f>IF($Z853="C","CONTRACT",IF($Z853="A","ASSET",IF($Z853="F","WORKFORCE","")))</f>
        <v/>
      </c>
      <c r="I853" s="7">
        <f>IF($Z853="C",INDEX(Contracts!$L$2:$L$151,$AB853)&amp;"",IF($Z853="A",INDEX(Fixed_Assets!$I$2:$I$201,$AB853)&amp;"",IF($Z853="F",INDEX(Workforce!$G$2:$G$151,MATCH(INDEX(FTE_Allocation!$A$2:$A$201,$AB853),Workforce!$A$2:$A$151,0))&amp;"","")))</f>
        <v/>
      </c>
      <c r="J853" s="18">
        <f>IF($Z853="","",IF(AND(DATE($AD853,1,1)&gt;=$AE853,DATE($AD853,1,1)&lt;=$AF853),ROUND($AG853,2),0))</f>
        <v/>
      </c>
      <c r="K853" s="18">
        <f>IF($Z853="","",IF(AND(DATE($AD853,2,1)&gt;=$AE853,DATE($AD853,2,1)&lt;=$AF853),ROUND($AG853,2),0))</f>
        <v/>
      </c>
      <c r="L853" s="18">
        <f>IF($Z853="","",IF(AND(DATE($AD853,3,1)&gt;=$AE853,DATE($AD853,3,1)&lt;=$AF853),ROUND($AG853,2),0))</f>
        <v/>
      </c>
      <c r="M853" s="18">
        <f>IF($Z853="","",IF(AND(DATE($AD853,4,1)&gt;=$AE853,DATE($AD853,4,1)&lt;=$AF853),ROUND($AG853,2),0))</f>
        <v/>
      </c>
      <c r="N853" s="18">
        <f>IF($Z853="","",IF(AND(DATE($AD853,5,1)&gt;=$AE853,DATE($AD853,5,1)&lt;=$AF853),ROUND($AG853,2),0))</f>
        <v/>
      </c>
      <c r="O853" s="18">
        <f>IF($Z853="","",IF(AND(DATE($AD853,6,1)&gt;=$AE853,DATE($AD853,6,1)&lt;=$AF853),ROUND($AG853,2),0))</f>
        <v/>
      </c>
      <c r="P853" s="18">
        <f>IF($Z853="","",IF(AND(DATE($AD853,7,1)&gt;=$AE853,DATE($AD853,7,1)&lt;=$AF853),ROUND($AG853,2),0))</f>
        <v/>
      </c>
      <c r="Q853" s="18">
        <f>IF($Z853="","",IF(AND(DATE($AD853,8,1)&gt;=$AE853,DATE($AD853,8,1)&lt;=$AF853),ROUND($AG853,2),0))</f>
        <v/>
      </c>
      <c r="R853" s="18">
        <f>IF($Z853="","",IF(AND(DATE($AD853,9,1)&gt;=$AE853,DATE($AD853,9,1)&lt;=$AF853),ROUND($AG853,2),0))</f>
        <v/>
      </c>
      <c r="S853" s="18">
        <f>IF($Z853="","",IF(AND(DATE($AD853,10,1)&gt;=$AE853,DATE($AD853,10,1)&lt;=$AF853),ROUND($AG853,2),0))</f>
        <v/>
      </c>
      <c r="T853" s="18">
        <f>IF($Z853="","",IF(AND(DATE($AD853,11,1)&gt;=$AE853,DATE($AD853,11,1)&lt;=$AF853),ROUND($AG853,2),0))</f>
        <v/>
      </c>
      <c r="U853" s="18">
        <f>IF($Z853="","",IF(AND(DATE($AD853,12,1)&gt;=$AE853,DATE($AD853,12,1)&lt;=$AF853),ROUND($AG853,2),0))</f>
        <v/>
      </c>
      <c r="V853" s="7">
        <f>IF($Z853="C","Generated from "&amp;INDEX(Contracts!$A$2:$A$151,$AB853),IF($Z853="A","Generated from "&amp;INDEX(Fixed_Assets!$A$2:$A$201,$AB853),IF($Z853="F","Generated from "&amp;INDEX(FTE_Allocation!$A$2:$A$201,$AB853),"")))</f>
        <v/>
      </c>
      <c r="X853" s="19">
        <f>IF($Z853="","",SUM(J853:U853))</f>
        <v/>
      </c>
      <c r="Y853" s="20">
        <f>ROW()-1</f>
        <v/>
      </c>
      <c r="Z853" s="20">
        <f>IF($Y853&lt;=Settings!$B$4*3,"C",IF($Y853&lt;=(Settings!$B$4+Settings!$B$5)*3,"A",IF($Y853&lt;=(Settings!$B$4+Settings!$B$5+Settings!$B$6)*3,"F","")))</f>
        <v/>
      </c>
      <c r="AA853" s="20">
        <f>IF($Z853="C",$Y853,IF($Z853="A",$Y853-Settings!$B$4*3,IF($Z853="F",$Y853-(Settings!$B$4+Settings!$B$5)*3,"")))</f>
        <v/>
      </c>
      <c r="AB853" s="20">
        <f>IF($Z853="","",INT(($AA853-1)/3)+1)</f>
        <v/>
      </c>
      <c r="AC853" s="20">
        <f>IF($Z853="","",MOD($AA853-1,3)+1)</f>
        <v/>
      </c>
      <c r="AD853" s="20">
        <f>IF($Z853="","",Settings!$B$2+$AC853-1)</f>
        <v/>
      </c>
      <c r="AE853" s="21">
        <f>IF($Z853="C",DATE(YEAR(INDEX(Contracts!$J$2:$J$151,$AB853)),MONTH(INDEX(Contracts!$J$2:$J$151,$AB853)),1),IF($Z853="A",DATE(YEAR(INDEX(Fixed_Assets!$G$2:$G$201,$AB853)),MONTH(INDEX(Fixed_Assets!$G$2:$G$201,$AB853)),1),IF($Z853="F",DATE(YEAR(MAX(N(INDEX(Workforce!$I$2:$I$151,MATCH(INDEX(FTE_Allocation!$A$2:$A$201,$AB853),Workforce!$A$2:$A$151,0))),N(INDEX(FTE_Allocation!$I$2:$I$201,$AB853)))),MONTH(MAX(N(INDEX(Workforce!$I$2:$I$151,MATCH(INDEX(FTE_Allocation!$A$2:$A$201,$AB853),Workforce!$A$2:$A$151,0))),N(INDEX(FTE_Allocation!$I$2:$I$201,$AB853)))),1),"")))</f>
        <v/>
      </c>
      <c r="AF853" s="21">
        <f>IF($Z853="C",IF(INDEX(Contracts!$I$2:$I$151,$AB853)="PREPAID",EDATE(DATE(YEAR(INDEX(Contracts!$J$2:$J$151,$AB853)),MONTH(INDEX(Contracts!$J$2:$J$151,$AB853)),1),IF(INDEX(Contracts!$N$2:$N$151,$AB853)="",12,INDEX(Contracts!$N$2:$N$151,$AB853))-1),IF(INDEX(Contracts!$I$2:$I$151,$AB853)="MONTHLY",IF(INDEX(Contracts!$K$2:$K$151,$AB853)="",2958101,INDEX(Contracts!$K$2:$K$151,$AB853)),0)),IF($Z853="A",EDATE(DATE(YEAR(INDEX(Fixed_Assets!$G$2:$G$201,$AB853)),MONTH(INDEX(Fixed_Assets!$G$2:$G$201,$AB853)),1),INDEX(Fixed_Assets!$J$2:$J$201,$AB853)-1),IF($Z853="F",MIN(IF(INDEX(Workforce!$J$2:$J$151,MATCH(INDEX(FTE_Allocation!$A$2:$A$201,$AB853),Workforce!$A$2:$A$151,0))="",2958101,INDEX(Workforce!$J$2:$J$151,MATCH(INDEX(FTE_Allocation!$A$2:$A$201,$AB853),Workforce!$A$2:$A$151,0))),IF(INDEX(FTE_Allocation!$J$2:$J$201,$AB853)="",2958101,INDEX(FTE_Allocation!$J$2:$J$201,$AB853))),"")))</f>
        <v/>
      </c>
      <c r="AG853" s="19">
        <f>IF($Z853="C",IF(INDEX(Contracts!$I$2:$I$151,$AB853)="PREPAID",INDEX(Contracts!$M$2:$M$151,$AB853)/IF(INDEX(Contracts!$N$2:$N$151,$AB853)="",12,INDEX(Contracts!$N$2:$N$151,$AB853)),IF(INDEX(Contracts!$I$2:$I$151,$AB853)="MONTHLY",INDEX(Contracts!$M$2:$M$151,$AB853),0))*(1-N(INDEX(Contracts!$O$2:$O$151,$AB853))),IF($Z853="A",INDEX(Fixed_Assets!$H$2:$H$201,$AB853)/INDEX(Fixed_Assets!$J$2:$J$201,$AB853),IF($Z853="F",INDEX(Workforce!$F$2:$F$151,MATCH(INDEX(FTE_Allocation!$A$2:$A$201,$AB853),Workforce!$A$2:$A$151,0))*N(INDEX(FTE_Allocation!$F$2:$H$201,$AB853,$AC853)),"")))</f>
        <v/>
      </c>
    </row>
    <row r="854">
      <c r="A854" s="7">
        <f>IF($Z854="","",$AD854)</f>
        <v/>
      </c>
      <c r="B854" s="7">
        <f>IF($Z854="C",INDEX(Contracts!$D$2:$D$151,$AB854)&amp;"",IF($Z854="A",INDEX(Fixed_Assets!$C$2:$C$201,$AB854)&amp;"",IF($Z854="F",INDEX(Workforce!$B$2:$B$151,MATCH(INDEX(FTE_Allocation!$A$2:$A$201,$AB854),Workforce!$A$2:$A$151,0))&amp;"","")))</f>
        <v/>
      </c>
      <c r="C854" s="7">
        <f>IF($Z854="C",INDEX(Contracts!$E$2:$E$151,$AB854)&amp;"",IF($Z854="A",INDEX(Fixed_Assets!$D$2:$D$201,$AB854)&amp;"",IF($Z854="F",INDEX(FTE_Allocation!$C$2:$C$201,$AB854)&amp;"","")))</f>
        <v/>
      </c>
      <c r="D854" s="7">
        <f>IF($Z854="C",INDEX(Contracts!$B$2:$B$151,$AB854)&amp;"",IF($Z854="A",INDEX(Fixed_Assets!$B$2:$B$201,$AB854)&amp;"",IF($Z854="F",INDEX(FTE_Allocation!$B$2:$B$201,$AB854)&amp;"","")))</f>
        <v/>
      </c>
      <c r="E854" s="7">
        <f>IF($Z854="C",INDEX(Contracts!$P$2:$P$151,$AB854)&amp;"",IF($Z854="A",INDEX(Fixed_Assets!$K$2:$K$201,$AB854)&amp;"",IF($Z854="F",IF(INDEX(FTE_Allocation!$D$2:$D$201,$AB854)="PROJECT",IFERROR(INDEX(Projects!$D:$D,MATCH(INDEX(FTE_Allocation!$E$2:$E$201,$AB854),Projects!$A:$A,0))&amp;"","#PROJECT?"),INDEX(FTE_Allocation!$E$2:$E$201,$AB854)&amp;""),"")))</f>
        <v/>
      </c>
      <c r="F854" s="7">
        <f>IF($Z854="C",INDEX(Contracts!$Q$2:$Q$151,$AB854)&amp;"",IF($Z854="A",INDEX(Fixed_Assets!$L$2:$L$201,$AB854)&amp;"",IF($Z854="F",INDEX(Workforce!$K$2:$K$151,MATCH(INDEX(FTE_Allocation!$A$2:$A$201,$AB854),Workforce!$A$2:$A$151,0))&amp;"","")))</f>
        <v/>
      </c>
      <c r="G854" s="7">
        <f>IF($Z854="C",INDEX(Contracts!$F$2:$F$151,$AB854)&amp;" / "&amp;INDEX(Contracts!$G$2:$G$151,$AB854),IF($Z854="A",INDEX(Fixed_Assets!$E$2:$E$201,$AB854)&amp;"",IF($Z854="F","Personnel "&amp;INDEX(FTE_Allocation!$A$2:$A$201,$AB854)&amp;IF(INDEX(FTE_Allocation!$D$2:$D$201,$AB854)="PROJECT"," ("&amp;INDEX(FTE_Allocation!$E$2:$E$201,$AB854)&amp;")",""),"")))</f>
        <v/>
      </c>
      <c r="H854" s="7">
        <f>IF($Z854="C","CONTRACT",IF($Z854="A","ASSET",IF($Z854="F","WORKFORCE","")))</f>
        <v/>
      </c>
      <c r="I854" s="7">
        <f>IF($Z854="C",INDEX(Contracts!$L$2:$L$151,$AB854)&amp;"",IF($Z854="A",INDEX(Fixed_Assets!$I$2:$I$201,$AB854)&amp;"",IF($Z854="F",INDEX(Workforce!$G$2:$G$151,MATCH(INDEX(FTE_Allocation!$A$2:$A$201,$AB854),Workforce!$A$2:$A$151,0))&amp;"","")))</f>
        <v/>
      </c>
      <c r="J854" s="18">
        <f>IF($Z854="","",IF(AND(DATE($AD854,1,1)&gt;=$AE854,DATE($AD854,1,1)&lt;=$AF854),ROUND($AG854,2),0))</f>
        <v/>
      </c>
      <c r="K854" s="18">
        <f>IF($Z854="","",IF(AND(DATE($AD854,2,1)&gt;=$AE854,DATE($AD854,2,1)&lt;=$AF854),ROUND($AG854,2),0))</f>
        <v/>
      </c>
      <c r="L854" s="18">
        <f>IF($Z854="","",IF(AND(DATE($AD854,3,1)&gt;=$AE854,DATE($AD854,3,1)&lt;=$AF854),ROUND($AG854,2),0))</f>
        <v/>
      </c>
      <c r="M854" s="18">
        <f>IF($Z854="","",IF(AND(DATE($AD854,4,1)&gt;=$AE854,DATE($AD854,4,1)&lt;=$AF854),ROUND($AG854,2),0))</f>
        <v/>
      </c>
      <c r="N854" s="18">
        <f>IF($Z854="","",IF(AND(DATE($AD854,5,1)&gt;=$AE854,DATE($AD854,5,1)&lt;=$AF854),ROUND($AG854,2),0))</f>
        <v/>
      </c>
      <c r="O854" s="18">
        <f>IF($Z854="","",IF(AND(DATE($AD854,6,1)&gt;=$AE854,DATE($AD854,6,1)&lt;=$AF854),ROUND($AG854,2),0))</f>
        <v/>
      </c>
      <c r="P854" s="18">
        <f>IF($Z854="","",IF(AND(DATE($AD854,7,1)&gt;=$AE854,DATE($AD854,7,1)&lt;=$AF854),ROUND($AG854,2),0))</f>
        <v/>
      </c>
      <c r="Q854" s="18">
        <f>IF($Z854="","",IF(AND(DATE($AD854,8,1)&gt;=$AE854,DATE($AD854,8,1)&lt;=$AF854),ROUND($AG854,2),0))</f>
        <v/>
      </c>
      <c r="R854" s="18">
        <f>IF($Z854="","",IF(AND(DATE($AD854,9,1)&gt;=$AE854,DATE($AD854,9,1)&lt;=$AF854),ROUND($AG854,2),0))</f>
        <v/>
      </c>
      <c r="S854" s="18">
        <f>IF($Z854="","",IF(AND(DATE($AD854,10,1)&gt;=$AE854,DATE($AD854,10,1)&lt;=$AF854),ROUND($AG854,2),0))</f>
        <v/>
      </c>
      <c r="T854" s="18">
        <f>IF($Z854="","",IF(AND(DATE($AD854,11,1)&gt;=$AE854,DATE($AD854,11,1)&lt;=$AF854),ROUND($AG854,2),0))</f>
        <v/>
      </c>
      <c r="U854" s="18">
        <f>IF($Z854="","",IF(AND(DATE($AD854,12,1)&gt;=$AE854,DATE($AD854,12,1)&lt;=$AF854),ROUND($AG854,2),0))</f>
        <v/>
      </c>
      <c r="V854" s="7">
        <f>IF($Z854="C","Generated from "&amp;INDEX(Contracts!$A$2:$A$151,$AB854),IF($Z854="A","Generated from "&amp;INDEX(Fixed_Assets!$A$2:$A$201,$AB854),IF($Z854="F","Generated from "&amp;INDEX(FTE_Allocation!$A$2:$A$201,$AB854),"")))</f>
        <v/>
      </c>
      <c r="X854" s="19">
        <f>IF($Z854="","",SUM(J854:U854))</f>
        <v/>
      </c>
      <c r="Y854" s="20">
        <f>ROW()-1</f>
        <v/>
      </c>
      <c r="Z854" s="20">
        <f>IF($Y854&lt;=Settings!$B$4*3,"C",IF($Y854&lt;=(Settings!$B$4+Settings!$B$5)*3,"A",IF($Y854&lt;=(Settings!$B$4+Settings!$B$5+Settings!$B$6)*3,"F","")))</f>
        <v/>
      </c>
      <c r="AA854" s="20">
        <f>IF($Z854="C",$Y854,IF($Z854="A",$Y854-Settings!$B$4*3,IF($Z854="F",$Y854-(Settings!$B$4+Settings!$B$5)*3,"")))</f>
        <v/>
      </c>
      <c r="AB854" s="20">
        <f>IF($Z854="","",INT(($AA854-1)/3)+1)</f>
        <v/>
      </c>
      <c r="AC854" s="20">
        <f>IF($Z854="","",MOD($AA854-1,3)+1)</f>
        <v/>
      </c>
      <c r="AD854" s="20">
        <f>IF($Z854="","",Settings!$B$2+$AC854-1)</f>
        <v/>
      </c>
      <c r="AE854" s="21">
        <f>IF($Z854="C",DATE(YEAR(INDEX(Contracts!$J$2:$J$151,$AB854)),MONTH(INDEX(Contracts!$J$2:$J$151,$AB854)),1),IF($Z854="A",DATE(YEAR(INDEX(Fixed_Assets!$G$2:$G$201,$AB854)),MONTH(INDEX(Fixed_Assets!$G$2:$G$201,$AB854)),1),IF($Z854="F",DATE(YEAR(MAX(N(INDEX(Workforce!$I$2:$I$151,MATCH(INDEX(FTE_Allocation!$A$2:$A$201,$AB854),Workforce!$A$2:$A$151,0))),N(INDEX(FTE_Allocation!$I$2:$I$201,$AB854)))),MONTH(MAX(N(INDEX(Workforce!$I$2:$I$151,MATCH(INDEX(FTE_Allocation!$A$2:$A$201,$AB854),Workforce!$A$2:$A$151,0))),N(INDEX(FTE_Allocation!$I$2:$I$201,$AB854)))),1),"")))</f>
        <v/>
      </c>
      <c r="AF854" s="21">
        <f>IF($Z854="C",IF(INDEX(Contracts!$I$2:$I$151,$AB854)="PREPAID",EDATE(DATE(YEAR(INDEX(Contracts!$J$2:$J$151,$AB854)),MONTH(INDEX(Contracts!$J$2:$J$151,$AB854)),1),IF(INDEX(Contracts!$N$2:$N$151,$AB854)="",12,INDEX(Contracts!$N$2:$N$151,$AB854))-1),IF(INDEX(Contracts!$I$2:$I$151,$AB854)="MONTHLY",IF(INDEX(Contracts!$K$2:$K$151,$AB854)="",2958101,INDEX(Contracts!$K$2:$K$151,$AB854)),0)),IF($Z854="A",EDATE(DATE(YEAR(INDEX(Fixed_Assets!$G$2:$G$201,$AB854)),MONTH(INDEX(Fixed_Assets!$G$2:$G$201,$AB854)),1),INDEX(Fixed_Assets!$J$2:$J$201,$AB854)-1),IF($Z854="F",MIN(IF(INDEX(Workforce!$J$2:$J$151,MATCH(INDEX(FTE_Allocation!$A$2:$A$201,$AB854),Workforce!$A$2:$A$151,0))="",2958101,INDEX(Workforce!$J$2:$J$151,MATCH(INDEX(FTE_Allocation!$A$2:$A$201,$AB854),Workforce!$A$2:$A$151,0))),IF(INDEX(FTE_Allocation!$J$2:$J$201,$AB854)="",2958101,INDEX(FTE_Allocation!$J$2:$J$201,$AB854))),"")))</f>
        <v/>
      </c>
      <c r="AG854" s="19">
        <f>IF($Z854="C",IF(INDEX(Contracts!$I$2:$I$151,$AB854)="PREPAID",INDEX(Contracts!$M$2:$M$151,$AB854)/IF(INDEX(Contracts!$N$2:$N$151,$AB854)="",12,INDEX(Contracts!$N$2:$N$151,$AB854)),IF(INDEX(Contracts!$I$2:$I$151,$AB854)="MONTHLY",INDEX(Contracts!$M$2:$M$151,$AB854),0))*(1-N(INDEX(Contracts!$O$2:$O$151,$AB854))),IF($Z854="A",INDEX(Fixed_Assets!$H$2:$H$201,$AB854)/INDEX(Fixed_Assets!$J$2:$J$201,$AB854),IF($Z854="F",INDEX(Workforce!$F$2:$F$151,MATCH(INDEX(FTE_Allocation!$A$2:$A$201,$AB854),Workforce!$A$2:$A$151,0))*N(INDEX(FTE_Allocation!$F$2:$H$201,$AB854,$AC854)),"")))</f>
        <v/>
      </c>
    </row>
    <row r="855">
      <c r="A855" s="7">
        <f>IF($Z855="","",$AD855)</f>
        <v/>
      </c>
      <c r="B855" s="7">
        <f>IF($Z855="C",INDEX(Contracts!$D$2:$D$151,$AB855)&amp;"",IF($Z855="A",INDEX(Fixed_Assets!$C$2:$C$201,$AB855)&amp;"",IF($Z855="F",INDEX(Workforce!$B$2:$B$151,MATCH(INDEX(FTE_Allocation!$A$2:$A$201,$AB855),Workforce!$A$2:$A$151,0))&amp;"","")))</f>
        <v/>
      </c>
      <c r="C855" s="7">
        <f>IF($Z855="C",INDEX(Contracts!$E$2:$E$151,$AB855)&amp;"",IF($Z855="A",INDEX(Fixed_Assets!$D$2:$D$201,$AB855)&amp;"",IF($Z855="F",INDEX(FTE_Allocation!$C$2:$C$201,$AB855)&amp;"","")))</f>
        <v/>
      </c>
      <c r="D855" s="7">
        <f>IF($Z855="C",INDEX(Contracts!$B$2:$B$151,$AB855)&amp;"",IF($Z855="A",INDEX(Fixed_Assets!$B$2:$B$201,$AB855)&amp;"",IF($Z855="F",INDEX(FTE_Allocation!$B$2:$B$201,$AB855)&amp;"","")))</f>
        <v/>
      </c>
      <c r="E855" s="7">
        <f>IF($Z855="C",INDEX(Contracts!$P$2:$P$151,$AB855)&amp;"",IF($Z855="A",INDEX(Fixed_Assets!$K$2:$K$201,$AB855)&amp;"",IF($Z855="F",IF(INDEX(FTE_Allocation!$D$2:$D$201,$AB855)="PROJECT",IFERROR(INDEX(Projects!$D:$D,MATCH(INDEX(FTE_Allocation!$E$2:$E$201,$AB855),Projects!$A:$A,0))&amp;"","#PROJECT?"),INDEX(FTE_Allocation!$E$2:$E$201,$AB855)&amp;""),"")))</f>
        <v/>
      </c>
      <c r="F855" s="7">
        <f>IF($Z855="C",INDEX(Contracts!$Q$2:$Q$151,$AB855)&amp;"",IF($Z855="A",INDEX(Fixed_Assets!$L$2:$L$201,$AB855)&amp;"",IF($Z855="F",INDEX(Workforce!$K$2:$K$151,MATCH(INDEX(FTE_Allocation!$A$2:$A$201,$AB855),Workforce!$A$2:$A$151,0))&amp;"","")))</f>
        <v/>
      </c>
      <c r="G855" s="7">
        <f>IF($Z855="C",INDEX(Contracts!$F$2:$F$151,$AB855)&amp;" / "&amp;INDEX(Contracts!$G$2:$G$151,$AB855),IF($Z855="A",INDEX(Fixed_Assets!$E$2:$E$201,$AB855)&amp;"",IF($Z855="F","Personnel "&amp;INDEX(FTE_Allocation!$A$2:$A$201,$AB855)&amp;IF(INDEX(FTE_Allocation!$D$2:$D$201,$AB855)="PROJECT"," ("&amp;INDEX(FTE_Allocation!$E$2:$E$201,$AB855)&amp;")",""),"")))</f>
        <v/>
      </c>
      <c r="H855" s="7">
        <f>IF($Z855="C","CONTRACT",IF($Z855="A","ASSET",IF($Z855="F","WORKFORCE","")))</f>
        <v/>
      </c>
      <c r="I855" s="7">
        <f>IF($Z855="C",INDEX(Contracts!$L$2:$L$151,$AB855)&amp;"",IF($Z855="A",INDEX(Fixed_Assets!$I$2:$I$201,$AB855)&amp;"",IF($Z855="F",INDEX(Workforce!$G$2:$G$151,MATCH(INDEX(FTE_Allocation!$A$2:$A$201,$AB855),Workforce!$A$2:$A$151,0))&amp;"","")))</f>
        <v/>
      </c>
      <c r="J855" s="18">
        <f>IF($Z855="","",IF(AND(DATE($AD855,1,1)&gt;=$AE855,DATE($AD855,1,1)&lt;=$AF855),ROUND($AG855,2),0))</f>
        <v/>
      </c>
      <c r="K855" s="18">
        <f>IF($Z855="","",IF(AND(DATE($AD855,2,1)&gt;=$AE855,DATE($AD855,2,1)&lt;=$AF855),ROUND($AG855,2),0))</f>
        <v/>
      </c>
      <c r="L855" s="18">
        <f>IF($Z855="","",IF(AND(DATE($AD855,3,1)&gt;=$AE855,DATE($AD855,3,1)&lt;=$AF855),ROUND($AG855,2),0))</f>
        <v/>
      </c>
      <c r="M855" s="18">
        <f>IF($Z855="","",IF(AND(DATE($AD855,4,1)&gt;=$AE855,DATE($AD855,4,1)&lt;=$AF855),ROUND($AG855,2),0))</f>
        <v/>
      </c>
      <c r="N855" s="18">
        <f>IF($Z855="","",IF(AND(DATE($AD855,5,1)&gt;=$AE855,DATE($AD855,5,1)&lt;=$AF855),ROUND($AG855,2),0))</f>
        <v/>
      </c>
      <c r="O855" s="18">
        <f>IF($Z855="","",IF(AND(DATE($AD855,6,1)&gt;=$AE855,DATE($AD855,6,1)&lt;=$AF855),ROUND($AG855,2),0))</f>
        <v/>
      </c>
      <c r="P855" s="18">
        <f>IF($Z855="","",IF(AND(DATE($AD855,7,1)&gt;=$AE855,DATE($AD855,7,1)&lt;=$AF855),ROUND($AG855,2),0))</f>
        <v/>
      </c>
      <c r="Q855" s="18">
        <f>IF($Z855="","",IF(AND(DATE($AD855,8,1)&gt;=$AE855,DATE($AD855,8,1)&lt;=$AF855),ROUND($AG855,2),0))</f>
        <v/>
      </c>
      <c r="R855" s="18">
        <f>IF($Z855="","",IF(AND(DATE($AD855,9,1)&gt;=$AE855,DATE($AD855,9,1)&lt;=$AF855),ROUND($AG855,2),0))</f>
        <v/>
      </c>
      <c r="S855" s="18">
        <f>IF($Z855="","",IF(AND(DATE($AD855,10,1)&gt;=$AE855,DATE($AD855,10,1)&lt;=$AF855),ROUND($AG855,2),0))</f>
        <v/>
      </c>
      <c r="T855" s="18">
        <f>IF($Z855="","",IF(AND(DATE($AD855,11,1)&gt;=$AE855,DATE($AD855,11,1)&lt;=$AF855),ROUND($AG855,2),0))</f>
        <v/>
      </c>
      <c r="U855" s="18">
        <f>IF($Z855="","",IF(AND(DATE($AD855,12,1)&gt;=$AE855,DATE($AD855,12,1)&lt;=$AF855),ROUND($AG855,2),0))</f>
        <v/>
      </c>
      <c r="V855" s="7">
        <f>IF($Z855="C","Generated from "&amp;INDEX(Contracts!$A$2:$A$151,$AB855),IF($Z855="A","Generated from "&amp;INDEX(Fixed_Assets!$A$2:$A$201,$AB855),IF($Z855="F","Generated from "&amp;INDEX(FTE_Allocation!$A$2:$A$201,$AB855),"")))</f>
        <v/>
      </c>
      <c r="X855" s="19">
        <f>IF($Z855="","",SUM(J855:U855))</f>
        <v/>
      </c>
      <c r="Y855" s="20">
        <f>ROW()-1</f>
        <v/>
      </c>
      <c r="Z855" s="20">
        <f>IF($Y855&lt;=Settings!$B$4*3,"C",IF($Y855&lt;=(Settings!$B$4+Settings!$B$5)*3,"A",IF($Y855&lt;=(Settings!$B$4+Settings!$B$5+Settings!$B$6)*3,"F","")))</f>
        <v/>
      </c>
      <c r="AA855" s="20">
        <f>IF($Z855="C",$Y855,IF($Z855="A",$Y855-Settings!$B$4*3,IF($Z855="F",$Y855-(Settings!$B$4+Settings!$B$5)*3,"")))</f>
        <v/>
      </c>
      <c r="AB855" s="20">
        <f>IF($Z855="","",INT(($AA855-1)/3)+1)</f>
        <v/>
      </c>
      <c r="AC855" s="20">
        <f>IF($Z855="","",MOD($AA855-1,3)+1)</f>
        <v/>
      </c>
      <c r="AD855" s="20">
        <f>IF($Z855="","",Settings!$B$2+$AC855-1)</f>
        <v/>
      </c>
      <c r="AE855" s="21">
        <f>IF($Z855="C",DATE(YEAR(INDEX(Contracts!$J$2:$J$151,$AB855)),MONTH(INDEX(Contracts!$J$2:$J$151,$AB855)),1),IF($Z855="A",DATE(YEAR(INDEX(Fixed_Assets!$G$2:$G$201,$AB855)),MONTH(INDEX(Fixed_Assets!$G$2:$G$201,$AB855)),1),IF($Z855="F",DATE(YEAR(MAX(N(INDEX(Workforce!$I$2:$I$151,MATCH(INDEX(FTE_Allocation!$A$2:$A$201,$AB855),Workforce!$A$2:$A$151,0))),N(INDEX(FTE_Allocation!$I$2:$I$201,$AB855)))),MONTH(MAX(N(INDEX(Workforce!$I$2:$I$151,MATCH(INDEX(FTE_Allocation!$A$2:$A$201,$AB855),Workforce!$A$2:$A$151,0))),N(INDEX(FTE_Allocation!$I$2:$I$201,$AB855)))),1),"")))</f>
        <v/>
      </c>
      <c r="AF855" s="21">
        <f>IF($Z855="C",IF(INDEX(Contracts!$I$2:$I$151,$AB855)="PREPAID",EDATE(DATE(YEAR(INDEX(Contracts!$J$2:$J$151,$AB855)),MONTH(INDEX(Contracts!$J$2:$J$151,$AB855)),1),IF(INDEX(Contracts!$N$2:$N$151,$AB855)="",12,INDEX(Contracts!$N$2:$N$151,$AB855))-1),IF(INDEX(Contracts!$I$2:$I$151,$AB855)="MONTHLY",IF(INDEX(Contracts!$K$2:$K$151,$AB855)="",2958101,INDEX(Contracts!$K$2:$K$151,$AB855)),0)),IF($Z855="A",EDATE(DATE(YEAR(INDEX(Fixed_Assets!$G$2:$G$201,$AB855)),MONTH(INDEX(Fixed_Assets!$G$2:$G$201,$AB855)),1),INDEX(Fixed_Assets!$J$2:$J$201,$AB855)-1),IF($Z855="F",MIN(IF(INDEX(Workforce!$J$2:$J$151,MATCH(INDEX(FTE_Allocation!$A$2:$A$201,$AB855),Workforce!$A$2:$A$151,0))="",2958101,INDEX(Workforce!$J$2:$J$151,MATCH(INDEX(FTE_Allocation!$A$2:$A$201,$AB855),Workforce!$A$2:$A$151,0))),IF(INDEX(FTE_Allocation!$J$2:$J$201,$AB855)="",2958101,INDEX(FTE_Allocation!$J$2:$J$201,$AB855))),"")))</f>
        <v/>
      </c>
      <c r="AG855" s="19">
        <f>IF($Z855="C",IF(INDEX(Contracts!$I$2:$I$151,$AB855)="PREPAID",INDEX(Contracts!$M$2:$M$151,$AB855)/IF(INDEX(Contracts!$N$2:$N$151,$AB855)="",12,INDEX(Contracts!$N$2:$N$151,$AB855)),IF(INDEX(Contracts!$I$2:$I$151,$AB855)="MONTHLY",INDEX(Contracts!$M$2:$M$151,$AB855),0))*(1-N(INDEX(Contracts!$O$2:$O$151,$AB855))),IF($Z855="A",INDEX(Fixed_Assets!$H$2:$H$201,$AB855)/INDEX(Fixed_Assets!$J$2:$J$201,$AB855),IF($Z855="F",INDEX(Workforce!$F$2:$F$151,MATCH(INDEX(FTE_Allocation!$A$2:$A$201,$AB855),Workforce!$A$2:$A$151,0))*N(INDEX(FTE_Allocation!$F$2:$H$201,$AB855,$AC855)),"")))</f>
        <v/>
      </c>
    </row>
    <row r="856">
      <c r="A856" s="7">
        <f>IF($Z856="","",$AD856)</f>
        <v/>
      </c>
      <c r="B856" s="7">
        <f>IF($Z856="C",INDEX(Contracts!$D$2:$D$151,$AB856)&amp;"",IF($Z856="A",INDEX(Fixed_Assets!$C$2:$C$201,$AB856)&amp;"",IF($Z856="F",INDEX(Workforce!$B$2:$B$151,MATCH(INDEX(FTE_Allocation!$A$2:$A$201,$AB856),Workforce!$A$2:$A$151,0))&amp;"","")))</f>
        <v/>
      </c>
      <c r="C856" s="7">
        <f>IF($Z856="C",INDEX(Contracts!$E$2:$E$151,$AB856)&amp;"",IF($Z856="A",INDEX(Fixed_Assets!$D$2:$D$201,$AB856)&amp;"",IF($Z856="F",INDEX(FTE_Allocation!$C$2:$C$201,$AB856)&amp;"","")))</f>
        <v/>
      </c>
      <c r="D856" s="7">
        <f>IF($Z856="C",INDEX(Contracts!$B$2:$B$151,$AB856)&amp;"",IF($Z856="A",INDEX(Fixed_Assets!$B$2:$B$201,$AB856)&amp;"",IF($Z856="F",INDEX(FTE_Allocation!$B$2:$B$201,$AB856)&amp;"","")))</f>
        <v/>
      </c>
      <c r="E856" s="7">
        <f>IF($Z856="C",INDEX(Contracts!$P$2:$P$151,$AB856)&amp;"",IF($Z856="A",INDEX(Fixed_Assets!$K$2:$K$201,$AB856)&amp;"",IF($Z856="F",IF(INDEX(FTE_Allocation!$D$2:$D$201,$AB856)="PROJECT",IFERROR(INDEX(Projects!$D:$D,MATCH(INDEX(FTE_Allocation!$E$2:$E$201,$AB856),Projects!$A:$A,0))&amp;"","#PROJECT?"),INDEX(FTE_Allocation!$E$2:$E$201,$AB856)&amp;""),"")))</f>
        <v/>
      </c>
      <c r="F856" s="7">
        <f>IF($Z856="C",INDEX(Contracts!$Q$2:$Q$151,$AB856)&amp;"",IF($Z856="A",INDEX(Fixed_Assets!$L$2:$L$201,$AB856)&amp;"",IF($Z856="F",INDEX(Workforce!$K$2:$K$151,MATCH(INDEX(FTE_Allocation!$A$2:$A$201,$AB856),Workforce!$A$2:$A$151,0))&amp;"","")))</f>
        <v/>
      </c>
      <c r="G856" s="7">
        <f>IF($Z856="C",INDEX(Contracts!$F$2:$F$151,$AB856)&amp;" / "&amp;INDEX(Contracts!$G$2:$G$151,$AB856),IF($Z856="A",INDEX(Fixed_Assets!$E$2:$E$201,$AB856)&amp;"",IF($Z856="F","Personnel "&amp;INDEX(FTE_Allocation!$A$2:$A$201,$AB856)&amp;IF(INDEX(FTE_Allocation!$D$2:$D$201,$AB856)="PROJECT"," ("&amp;INDEX(FTE_Allocation!$E$2:$E$201,$AB856)&amp;")",""),"")))</f>
        <v/>
      </c>
      <c r="H856" s="7">
        <f>IF($Z856="C","CONTRACT",IF($Z856="A","ASSET",IF($Z856="F","WORKFORCE","")))</f>
        <v/>
      </c>
      <c r="I856" s="7">
        <f>IF($Z856="C",INDEX(Contracts!$L$2:$L$151,$AB856)&amp;"",IF($Z856="A",INDEX(Fixed_Assets!$I$2:$I$201,$AB856)&amp;"",IF($Z856="F",INDEX(Workforce!$G$2:$G$151,MATCH(INDEX(FTE_Allocation!$A$2:$A$201,$AB856),Workforce!$A$2:$A$151,0))&amp;"","")))</f>
        <v/>
      </c>
      <c r="J856" s="18">
        <f>IF($Z856="","",IF(AND(DATE($AD856,1,1)&gt;=$AE856,DATE($AD856,1,1)&lt;=$AF856),ROUND($AG856,2),0))</f>
        <v/>
      </c>
      <c r="K856" s="18">
        <f>IF($Z856="","",IF(AND(DATE($AD856,2,1)&gt;=$AE856,DATE($AD856,2,1)&lt;=$AF856),ROUND($AG856,2),0))</f>
        <v/>
      </c>
      <c r="L856" s="18">
        <f>IF($Z856="","",IF(AND(DATE($AD856,3,1)&gt;=$AE856,DATE($AD856,3,1)&lt;=$AF856),ROUND($AG856,2),0))</f>
        <v/>
      </c>
      <c r="M856" s="18">
        <f>IF($Z856="","",IF(AND(DATE($AD856,4,1)&gt;=$AE856,DATE($AD856,4,1)&lt;=$AF856),ROUND($AG856,2),0))</f>
        <v/>
      </c>
      <c r="N856" s="18">
        <f>IF($Z856="","",IF(AND(DATE($AD856,5,1)&gt;=$AE856,DATE($AD856,5,1)&lt;=$AF856),ROUND($AG856,2),0))</f>
        <v/>
      </c>
      <c r="O856" s="18">
        <f>IF($Z856="","",IF(AND(DATE($AD856,6,1)&gt;=$AE856,DATE($AD856,6,1)&lt;=$AF856),ROUND($AG856,2),0))</f>
        <v/>
      </c>
      <c r="P856" s="18">
        <f>IF($Z856="","",IF(AND(DATE($AD856,7,1)&gt;=$AE856,DATE($AD856,7,1)&lt;=$AF856),ROUND($AG856,2),0))</f>
        <v/>
      </c>
      <c r="Q856" s="18">
        <f>IF($Z856="","",IF(AND(DATE($AD856,8,1)&gt;=$AE856,DATE($AD856,8,1)&lt;=$AF856),ROUND($AG856,2),0))</f>
        <v/>
      </c>
      <c r="R856" s="18">
        <f>IF($Z856="","",IF(AND(DATE($AD856,9,1)&gt;=$AE856,DATE($AD856,9,1)&lt;=$AF856),ROUND($AG856,2),0))</f>
        <v/>
      </c>
      <c r="S856" s="18">
        <f>IF($Z856="","",IF(AND(DATE($AD856,10,1)&gt;=$AE856,DATE($AD856,10,1)&lt;=$AF856),ROUND($AG856,2),0))</f>
        <v/>
      </c>
      <c r="T856" s="18">
        <f>IF($Z856="","",IF(AND(DATE($AD856,11,1)&gt;=$AE856,DATE($AD856,11,1)&lt;=$AF856),ROUND($AG856,2),0))</f>
        <v/>
      </c>
      <c r="U856" s="18">
        <f>IF($Z856="","",IF(AND(DATE($AD856,12,1)&gt;=$AE856,DATE($AD856,12,1)&lt;=$AF856),ROUND($AG856,2),0))</f>
        <v/>
      </c>
      <c r="V856" s="7">
        <f>IF($Z856="C","Generated from "&amp;INDEX(Contracts!$A$2:$A$151,$AB856),IF($Z856="A","Generated from "&amp;INDEX(Fixed_Assets!$A$2:$A$201,$AB856),IF($Z856="F","Generated from "&amp;INDEX(FTE_Allocation!$A$2:$A$201,$AB856),"")))</f>
        <v/>
      </c>
      <c r="X856" s="19">
        <f>IF($Z856="","",SUM(J856:U856))</f>
        <v/>
      </c>
      <c r="Y856" s="20">
        <f>ROW()-1</f>
        <v/>
      </c>
      <c r="Z856" s="20">
        <f>IF($Y856&lt;=Settings!$B$4*3,"C",IF($Y856&lt;=(Settings!$B$4+Settings!$B$5)*3,"A",IF($Y856&lt;=(Settings!$B$4+Settings!$B$5+Settings!$B$6)*3,"F","")))</f>
        <v/>
      </c>
      <c r="AA856" s="20">
        <f>IF($Z856="C",$Y856,IF($Z856="A",$Y856-Settings!$B$4*3,IF($Z856="F",$Y856-(Settings!$B$4+Settings!$B$5)*3,"")))</f>
        <v/>
      </c>
      <c r="AB856" s="20">
        <f>IF($Z856="","",INT(($AA856-1)/3)+1)</f>
        <v/>
      </c>
      <c r="AC856" s="20">
        <f>IF($Z856="","",MOD($AA856-1,3)+1)</f>
        <v/>
      </c>
      <c r="AD856" s="20">
        <f>IF($Z856="","",Settings!$B$2+$AC856-1)</f>
        <v/>
      </c>
      <c r="AE856" s="21">
        <f>IF($Z856="C",DATE(YEAR(INDEX(Contracts!$J$2:$J$151,$AB856)),MONTH(INDEX(Contracts!$J$2:$J$151,$AB856)),1),IF($Z856="A",DATE(YEAR(INDEX(Fixed_Assets!$G$2:$G$201,$AB856)),MONTH(INDEX(Fixed_Assets!$G$2:$G$201,$AB856)),1),IF($Z856="F",DATE(YEAR(MAX(N(INDEX(Workforce!$I$2:$I$151,MATCH(INDEX(FTE_Allocation!$A$2:$A$201,$AB856),Workforce!$A$2:$A$151,0))),N(INDEX(FTE_Allocation!$I$2:$I$201,$AB856)))),MONTH(MAX(N(INDEX(Workforce!$I$2:$I$151,MATCH(INDEX(FTE_Allocation!$A$2:$A$201,$AB856),Workforce!$A$2:$A$151,0))),N(INDEX(FTE_Allocation!$I$2:$I$201,$AB856)))),1),"")))</f>
        <v/>
      </c>
      <c r="AF856" s="21">
        <f>IF($Z856="C",IF(INDEX(Contracts!$I$2:$I$151,$AB856)="PREPAID",EDATE(DATE(YEAR(INDEX(Contracts!$J$2:$J$151,$AB856)),MONTH(INDEX(Contracts!$J$2:$J$151,$AB856)),1),IF(INDEX(Contracts!$N$2:$N$151,$AB856)="",12,INDEX(Contracts!$N$2:$N$151,$AB856))-1),IF(INDEX(Contracts!$I$2:$I$151,$AB856)="MONTHLY",IF(INDEX(Contracts!$K$2:$K$151,$AB856)="",2958101,INDEX(Contracts!$K$2:$K$151,$AB856)),0)),IF($Z856="A",EDATE(DATE(YEAR(INDEX(Fixed_Assets!$G$2:$G$201,$AB856)),MONTH(INDEX(Fixed_Assets!$G$2:$G$201,$AB856)),1),INDEX(Fixed_Assets!$J$2:$J$201,$AB856)-1),IF($Z856="F",MIN(IF(INDEX(Workforce!$J$2:$J$151,MATCH(INDEX(FTE_Allocation!$A$2:$A$201,$AB856),Workforce!$A$2:$A$151,0))="",2958101,INDEX(Workforce!$J$2:$J$151,MATCH(INDEX(FTE_Allocation!$A$2:$A$201,$AB856),Workforce!$A$2:$A$151,0))),IF(INDEX(FTE_Allocation!$J$2:$J$201,$AB856)="",2958101,INDEX(FTE_Allocation!$J$2:$J$201,$AB856))),"")))</f>
        <v/>
      </c>
      <c r="AG856" s="19">
        <f>IF($Z856="C",IF(INDEX(Contracts!$I$2:$I$151,$AB856)="PREPAID",INDEX(Contracts!$M$2:$M$151,$AB856)/IF(INDEX(Contracts!$N$2:$N$151,$AB856)="",12,INDEX(Contracts!$N$2:$N$151,$AB856)),IF(INDEX(Contracts!$I$2:$I$151,$AB856)="MONTHLY",INDEX(Contracts!$M$2:$M$151,$AB856),0))*(1-N(INDEX(Contracts!$O$2:$O$151,$AB856))),IF($Z856="A",INDEX(Fixed_Assets!$H$2:$H$201,$AB856)/INDEX(Fixed_Assets!$J$2:$J$201,$AB856),IF($Z856="F",INDEX(Workforce!$F$2:$F$151,MATCH(INDEX(FTE_Allocation!$A$2:$A$201,$AB856),Workforce!$A$2:$A$151,0))*N(INDEX(FTE_Allocation!$F$2:$H$201,$AB856,$AC856)),"")))</f>
        <v/>
      </c>
    </row>
    <row r="857">
      <c r="A857" s="7">
        <f>IF($Z857="","",$AD857)</f>
        <v/>
      </c>
      <c r="B857" s="7">
        <f>IF($Z857="C",INDEX(Contracts!$D$2:$D$151,$AB857)&amp;"",IF($Z857="A",INDEX(Fixed_Assets!$C$2:$C$201,$AB857)&amp;"",IF($Z857="F",INDEX(Workforce!$B$2:$B$151,MATCH(INDEX(FTE_Allocation!$A$2:$A$201,$AB857),Workforce!$A$2:$A$151,0))&amp;"","")))</f>
        <v/>
      </c>
      <c r="C857" s="7">
        <f>IF($Z857="C",INDEX(Contracts!$E$2:$E$151,$AB857)&amp;"",IF($Z857="A",INDEX(Fixed_Assets!$D$2:$D$201,$AB857)&amp;"",IF($Z857="F",INDEX(FTE_Allocation!$C$2:$C$201,$AB857)&amp;"","")))</f>
        <v/>
      </c>
      <c r="D857" s="7">
        <f>IF($Z857="C",INDEX(Contracts!$B$2:$B$151,$AB857)&amp;"",IF($Z857="A",INDEX(Fixed_Assets!$B$2:$B$201,$AB857)&amp;"",IF($Z857="F",INDEX(FTE_Allocation!$B$2:$B$201,$AB857)&amp;"","")))</f>
        <v/>
      </c>
      <c r="E857" s="7">
        <f>IF($Z857="C",INDEX(Contracts!$P$2:$P$151,$AB857)&amp;"",IF($Z857="A",INDEX(Fixed_Assets!$K$2:$K$201,$AB857)&amp;"",IF($Z857="F",IF(INDEX(FTE_Allocation!$D$2:$D$201,$AB857)="PROJECT",IFERROR(INDEX(Projects!$D:$D,MATCH(INDEX(FTE_Allocation!$E$2:$E$201,$AB857),Projects!$A:$A,0))&amp;"","#PROJECT?"),INDEX(FTE_Allocation!$E$2:$E$201,$AB857)&amp;""),"")))</f>
        <v/>
      </c>
      <c r="F857" s="7">
        <f>IF($Z857="C",INDEX(Contracts!$Q$2:$Q$151,$AB857)&amp;"",IF($Z857="A",INDEX(Fixed_Assets!$L$2:$L$201,$AB857)&amp;"",IF($Z857="F",INDEX(Workforce!$K$2:$K$151,MATCH(INDEX(FTE_Allocation!$A$2:$A$201,$AB857),Workforce!$A$2:$A$151,0))&amp;"","")))</f>
        <v/>
      </c>
      <c r="G857" s="7">
        <f>IF($Z857="C",INDEX(Contracts!$F$2:$F$151,$AB857)&amp;" / "&amp;INDEX(Contracts!$G$2:$G$151,$AB857),IF($Z857="A",INDEX(Fixed_Assets!$E$2:$E$201,$AB857)&amp;"",IF($Z857="F","Personnel "&amp;INDEX(FTE_Allocation!$A$2:$A$201,$AB857)&amp;IF(INDEX(FTE_Allocation!$D$2:$D$201,$AB857)="PROJECT"," ("&amp;INDEX(FTE_Allocation!$E$2:$E$201,$AB857)&amp;")",""),"")))</f>
        <v/>
      </c>
      <c r="H857" s="7">
        <f>IF($Z857="C","CONTRACT",IF($Z857="A","ASSET",IF($Z857="F","WORKFORCE","")))</f>
        <v/>
      </c>
      <c r="I857" s="7">
        <f>IF($Z857="C",INDEX(Contracts!$L$2:$L$151,$AB857)&amp;"",IF($Z857="A",INDEX(Fixed_Assets!$I$2:$I$201,$AB857)&amp;"",IF($Z857="F",INDEX(Workforce!$G$2:$G$151,MATCH(INDEX(FTE_Allocation!$A$2:$A$201,$AB857),Workforce!$A$2:$A$151,0))&amp;"","")))</f>
        <v/>
      </c>
      <c r="J857" s="18">
        <f>IF($Z857="","",IF(AND(DATE($AD857,1,1)&gt;=$AE857,DATE($AD857,1,1)&lt;=$AF857),ROUND($AG857,2),0))</f>
        <v/>
      </c>
      <c r="K857" s="18">
        <f>IF($Z857="","",IF(AND(DATE($AD857,2,1)&gt;=$AE857,DATE($AD857,2,1)&lt;=$AF857),ROUND($AG857,2),0))</f>
        <v/>
      </c>
      <c r="L857" s="18">
        <f>IF($Z857="","",IF(AND(DATE($AD857,3,1)&gt;=$AE857,DATE($AD857,3,1)&lt;=$AF857),ROUND($AG857,2),0))</f>
        <v/>
      </c>
      <c r="M857" s="18">
        <f>IF($Z857="","",IF(AND(DATE($AD857,4,1)&gt;=$AE857,DATE($AD857,4,1)&lt;=$AF857),ROUND($AG857,2),0))</f>
        <v/>
      </c>
      <c r="N857" s="18">
        <f>IF($Z857="","",IF(AND(DATE($AD857,5,1)&gt;=$AE857,DATE($AD857,5,1)&lt;=$AF857),ROUND($AG857,2),0))</f>
        <v/>
      </c>
      <c r="O857" s="18">
        <f>IF($Z857="","",IF(AND(DATE($AD857,6,1)&gt;=$AE857,DATE($AD857,6,1)&lt;=$AF857),ROUND($AG857,2),0))</f>
        <v/>
      </c>
      <c r="P857" s="18">
        <f>IF($Z857="","",IF(AND(DATE($AD857,7,1)&gt;=$AE857,DATE($AD857,7,1)&lt;=$AF857),ROUND($AG857,2),0))</f>
        <v/>
      </c>
      <c r="Q857" s="18">
        <f>IF($Z857="","",IF(AND(DATE($AD857,8,1)&gt;=$AE857,DATE($AD857,8,1)&lt;=$AF857),ROUND($AG857,2),0))</f>
        <v/>
      </c>
      <c r="R857" s="18">
        <f>IF($Z857="","",IF(AND(DATE($AD857,9,1)&gt;=$AE857,DATE($AD857,9,1)&lt;=$AF857),ROUND($AG857,2),0))</f>
        <v/>
      </c>
      <c r="S857" s="18">
        <f>IF($Z857="","",IF(AND(DATE($AD857,10,1)&gt;=$AE857,DATE($AD857,10,1)&lt;=$AF857),ROUND($AG857,2),0))</f>
        <v/>
      </c>
      <c r="T857" s="18">
        <f>IF($Z857="","",IF(AND(DATE($AD857,11,1)&gt;=$AE857,DATE($AD857,11,1)&lt;=$AF857),ROUND($AG857,2),0))</f>
        <v/>
      </c>
      <c r="U857" s="18">
        <f>IF($Z857="","",IF(AND(DATE($AD857,12,1)&gt;=$AE857,DATE($AD857,12,1)&lt;=$AF857),ROUND($AG857,2),0))</f>
        <v/>
      </c>
      <c r="V857" s="7">
        <f>IF($Z857="C","Generated from "&amp;INDEX(Contracts!$A$2:$A$151,$AB857),IF($Z857="A","Generated from "&amp;INDEX(Fixed_Assets!$A$2:$A$201,$AB857),IF($Z857="F","Generated from "&amp;INDEX(FTE_Allocation!$A$2:$A$201,$AB857),"")))</f>
        <v/>
      </c>
      <c r="X857" s="19">
        <f>IF($Z857="","",SUM(J857:U857))</f>
        <v/>
      </c>
      <c r="Y857" s="20">
        <f>ROW()-1</f>
        <v/>
      </c>
      <c r="Z857" s="20">
        <f>IF($Y857&lt;=Settings!$B$4*3,"C",IF($Y857&lt;=(Settings!$B$4+Settings!$B$5)*3,"A",IF($Y857&lt;=(Settings!$B$4+Settings!$B$5+Settings!$B$6)*3,"F","")))</f>
        <v/>
      </c>
      <c r="AA857" s="20">
        <f>IF($Z857="C",$Y857,IF($Z857="A",$Y857-Settings!$B$4*3,IF($Z857="F",$Y857-(Settings!$B$4+Settings!$B$5)*3,"")))</f>
        <v/>
      </c>
      <c r="AB857" s="20">
        <f>IF($Z857="","",INT(($AA857-1)/3)+1)</f>
        <v/>
      </c>
      <c r="AC857" s="20">
        <f>IF($Z857="","",MOD($AA857-1,3)+1)</f>
        <v/>
      </c>
      <c r="AD857" s="20">
        <f>IF($Z857="","",Settings!$B$2+$AC857-1)</f>
        <v/>
      </c>
      <c r="AE857" s="21">
        <f>IF($Z857="C",DATE(YEAR(INDEX(Contracts!$J$2:$J$151,$AB857)),MONTH(INDEX(Contracts!$J$2:$J$151,$AB857)),1),IF($Z857="A",DATE(YEAR(INDEX(Fixed_Assets!$G$2:$G$201,$AB857)),MONTH(INDEX(Fixed_Assets!$G$2:$G$201,$AB857)),1),IF($Z857="F",DATE(YEAR(MAX(N(INDEX(Workforce!$I$2:$I$151,MATCH(INDEX(FTE_Allocation!$A$2:$A$201,$AB857),Workforce!$A$2:$A$151,0))),N(INDEX(FTE_Allocation!$I$2:$I$201,$AB857)))),MONTH(MAX(N(INDEX(Workforce!$I$2:$I$151,MATCH(INDEX(FTE_Allocation!$A$2:$A$201,$AB857),Workforce!$A$2:$A$151,0))),N(INDEX(FTE_Allocation!$I$2:$I$201,$AB857)))),1),"")))</f>
        <v/>
      </c>
      <c r="AF857" s="21">
        <f>IF($Z857="C",IF(INDEX(Contracts!$I$2:$I$151,$AB857)="PREPAID",EDATE(DATE(YEAR(INDEX(Contracts!$J$2:$J$151,$AB857)),MONTH(INDEX(Contracts!$J$2:$J$151,$AB857)),1),IF(INDEX(Contracts!$N$2:$N$151,$AB857)="",12,INDEX(Contracts!$N$2:$N$151,$AB857))-1),IF(INDEX(Contracts!$I$2:$I$151,$AB857)="MONTHLY",IF(INDEX(Contracts!$K$2:$K$151,$AB857)="",2958101,INDEX(Contracts!$K$2:$K$151,$AB857)),0)),IF($Z857="A",EDATE(DATE(YEAR(INDEX(Fixed_Assets!$G$2:$G$201,$AB857)),MONTH(INDEX(Fixed_Assets!$G$2:$G$201,$AB857)),1),INDEX(Fixed_Assets!$J$2:$J$201,$AB857)-1),IF($Z857="F",MIN(IF(INDEX(Workforce!$J$2:$J$151,MATCH(INDEX(FTE_Allocation!$A$2:$A$201,$AB857),Workforce!$A$2:$A$151,0))="",2958101,INDEX(Workforce!$J$2:$J$151,MATCH(INDEX(FTE_Allocation!$A$2:$A$201,$AB857),Workforce!$A$2:$A$151,0))),IF(INDEX(FTE_Allocation!$J$2:$J$201,$AB857)="",2958101,INDEX(FTE_Allocation!$J$2:$J$201,$AB857))),"")))</f>
        <v/>
      </c>
      <c r="AG857" s="19">
        <f>IF($Z857="C",IF(INDEX(Contracts!$I$2:$I$151,$AB857)="PREPAID",INDEX(Contracts!$M$2:$M$151,$AB857)/IF(INDEX(Contracts!$N$2:$N$151,$AB857)="",12,INDEX(Contracts!$N$2:$N$151,$AB857)),IF(INDEX(Contracts!$I$2:$I$151,$AB857)="MONTHLY",INDEX(Contracts!$M$2:$M$151,$AB857),0))*(1-N(INDEX(Contracts!$O$2:$O$151,$AB857))),IF($Z857="A",INDEX(Fixed_Assets!$H$2:$H$201,$AB857)/INDEX(Fixed_Assets!$J$2:$J$201,$AB857),IF($Z857="F",INDEX(Workforce!$F$2:$F$151,MATCH(INDEX(FTE_Allocation!$A$2:$A$201,$AB857),Workforce!$A$2:$A$151,0))*N(INDEX(FTE_Allocation!$F$2:$H$201,$AB857,$AC857)),"")))</f>
        <v/>
      </c>
    </row>
    <row r="858">
      <c r="A858" s="7">
        <f>IF($Z858="","",$AD858)</f>
        <v/>
      </c>
      <c r="B858" s="7">
        <f>IF($Z858="C",INDEX(Contracts!$D$2:$D$151,$AB858)&amp;"",IF($Z858="A",INDEX(Fixed_Assets!$C$2:$C$201,$AB858)&amp;"",IF($Z858="F",INDEX(Workforce!$B$2:$B$151,MATCH(INDEX(FTE_Allocation!$A$2:$A$201,$AB858),Workforce!$A$2:$A$151,0))&amp;"","")))</f>
        <v/>
      </c>
      <c r="C858" s="7">
        <f>IF($Z858="C",INDEX(Contracts!$E$2:$E$151,$AB858)&amp;"",IF($Z858="A",INDEX(Fixed_Assets!$D$2:$D$201,$AB858)&amp;"",IF($Z858="F",INDEX(FTE_Allocation!$C$2:$C$201,$AB858)&amp;"","")))</f>
        <v/>
      </c>
      <c r="D858" s="7">
        <f>IF($Z858="C",INDEX(Contracts!$B$2:$B$151,$AB858)&amp;"",IF($Z858="A",INDEX(Fixed_Assets!$B$2:$B$201,$AB858)&amp;"",IF($Z858="F",INDEX(FTE_Allocation!$B$2:$B$201,$AB858)&amp;"","")))</f>
        <v/>
      </c>
      <c r="E858" s="7">
        <f>IF($Z858="C",INDEX(Contracts!$P$2:$P$151,$AB858)&amp;"",IF($Z858="A",INDEX(Fixed_Assets!$K$2:$K$201,$AB858)&amp;"",IF($Z858="F",IF(INDEX(FTE_Allocation!$D$2:$D$201,$AB858)="PROJECT",IFERROR(INDEX(Projects!$D:$D,MATCH(INDEX(FTE_Allocation!$E$2:$E$201,$AB858),Projects!$A:$A,0))&amp;"","#PROJECT?"),INDEX(FTE_Allocation!$E$2:$E$201,$AB858)&amp;""),"")))</f>
        <v/>
      </c>
      <c r="F858" s="7">
        <f>IF($Z858="C",INDEX(Contracts!$Q$2:$Q$151,$AB858)&amp;"",IF($Z858="A",INDEX(Fixed_Assets!$L$2:$L$201,$AB858)&amp;"",IF($Z858="F",INDEX(Workforce!$K$2:$K$151,MATCH(INDEX(FTE_Allocation!$A$2:$A$201,$AB858),Workforce!$A$2:$A$151,0))&amp;"","")))</f>
        <v/>
      </c>
      <c r="G858" s="7">
        <f>IF($Z858="C",INDEX(Contracts!$F$2:$F$151,$AB858)&amp;" / "&amp;INDEX(Contracts!$G$2:$G$151,$AB858),IF($Z858="A",INDEX(Fixed_Assets!$E$2:$E$201,$AB858)&amp;"",IF($Z858="F","Personnel "&amp;INDEX(FTE_Allocation!$A$2:$A$201,$AB858)&amp;IF(INDEX(FTE_Allocation!$D$2:$D$201,$AB858)="PROJECT"," ("&amp;INDEX(FTE_Allocation!$E$2:$E$201,$AB858)&amp;")",""),"")))</f>
        <v/>
      </c>
      <c r="H858" s="7">
        <f>IF($Z858="C","CONTRACT",IF($Z858="A","ASSET",IF($Z858="F","WORKFORCE","")))</f>
        <v/>
      </c>
      <c r="I858" s="7">
        <f>IF($Z858="C",INDEX(Contracts!$L$2:$L$151,$AB858)&amp;"",IF($Z858="A",INDEX(Fixed_Assets!$I$2:$I$201,$AB858)&amp;"",IF($Z858="F",INDEX(Workforce!$G$2:$G$151,MATCH(INDEX(FTE_Allocation!$A$2:$A$201,$AB858),Workforce!$A$2:$A$151,0))&amp;"","")))</f>
        <v/>
      </c>
      <c r="J858" s="18">
        <f>IF($Z858="","",IF(AND(DATE($AD858,1,1)&gt;=$AE858,DATE($AD858,1,1)&lt;=$AF858),ROUND($AG858,2),0))</f>
        <v/>
      </c>
      <c r="K858" s="18">
        <f>IF($Z858="","",IF(AND(DATE($AD858,2,1)&gt;=$AE858,DATE($AD858,2,1)&lt;=$AF858),ROUND($AG858,2),0))</f>
        <v/>
      </c>
      <c r="L858" s="18">
        <f>IF($Z858="","",IF(AND(DATE($AD858,3,1)&gt;=$AE858,DATE($AD858,3,1)&lt;=$AF858),ROUND($AG858,2),0))</f>
        <v/>
      </c>
      <c r="M858" s="18">
        <f>IF($Z858="","",IF(AND(DATE($AD858,4,1)&gt;=$AE858,DATE($AD858,4,1)&lt;=$AF858),ROUND($AG858,2),0))</f>
        <v/>
      </c>
      <c r="N858" s="18">
        <f>IF($Z858="","",IF(AND(DATE($AD858,5,1)&gt;=$AE858,DATE($AD858,5,1)&lt;=$AF858),ROUND($AG858,2),0))</f>
        <v/>
      </c>
      <c r="O858" s="18">
        <f>IF($Z858="","",IF(AND(DATE($AD858,6,1)&gt;=$AE858,DATE($AD858,6,1)&lt;=$AF858),ROUND($AG858,2),0))</f>
        <v/>
      </c>
      <c r="P858" s="18">
        <f>IF($Z858="","",IF(AND(DATE($AD858,7,1)&gt;=$AE858,DATE($AD858,7,1)&lt;=$AF858),ROUND($AG858,2),0))</f>
        <v/>
      </c>
      <c r="Q858" s="18">
        <f>IF($Z858="","",IF(AND(DATE($AD858,8,1)&gt;=$AE858,DATE($AD858,8,1)&lt;=$AF858),ROUND($AG858,2),0))</f>
        <v/>
      </c>
      <c r="R858" s="18">
        <f>IF($Z858="","",IF(AND(DATE($AD858,9,1)&gt;=$AE858,DATE($AD858,9,1)&lt;=$AF858),ROUND($AG858,2),0))</f>
        <v/>
      </c>
      <c r="S858" s="18">
        <f>IF($Z858="","",IF(AND(DATE($AD858,10,1)&gt;=$AE858,DATE($AD858,10,1)&lt;=$AF858),ROUND($AG858,2),0))</f>
        <v/>
      </c>
      <c r="T858" s="18">
        <f>IF($Z858="","",IF(AND(DATE($AD858,11,1)&gt;=$AE858,DATE($AD858,11,1)&lt;=$AF858),ROUND($AG858,2),0))</f>
        <v/>
      </c>
      <c r="U858" s="18">
        <f>IF($Z858="","",IF(AND(DATE($AD858,12,1)&gt;=$AE858,DATE($AD858,12,1)&lt;=$AF858),ROUND($AG858,2),0))</f>
        <v/>
      </c>
      <c r="V858" s="7">
        <f>IF($Z858="C","Generated from "&amp;INDEX(Contracts!$A$2:$A$151,$AB858),IF($Z858="A","Generated from "&amp;INDEX(Fixed_Assets!$A$2:$A$201,$AB858),IF($Z858="F","Generated from "&amp;INDEX(FTE_Allocation!$A$2:$A$201,$AB858),"")))</f>
        <v/>
      </c>
      <c r="X858" s="19">
        <f>IF($Z858="","",SUM(J858:U858))</f>
        <v/>
      </c>
      <c r="Y858" s="20">
        <f>ROW()-1</f>
        <v/>
      </c>
      <c r="Z858" s="20">
        <f>IF($Y858&lt;=Settings!$B$4*3,"C",IF($Y858&lt;=(Settings!$B$4+Settings!$B$5)*3,"A",IF($Y858&lt;=(Settings!$B$4+Settings!$B$5+Settings!$B$6)*3,"F","")))</f>
        <v/>
      </c>
      <c r="AA858" s="20">
        <f>IF($Z858="C",$Y858,IF($Z858="A",$Y858-Settings!$B$4*3,IF($Z858="F",$Y858-(Settings!$B$4+Settings!$B$5)*3,"")))</f>
        <v/>
      </c>
      <c r="AB858" s="20">
        <f>IF($Z858="","",INT(($AA858-1)/3)+1)</f>
        <v/>
      </c>
      <c r="AC858" s="20">
        <f>IF($Z858="","",MOD($AA858-1,3)+1)</f>
        <v/>
      </c>
      <c r="AD858" s="20">
        <f>IF($Z858="","",Settings!$B$2+$AC858-1)</f>
        <v/>
      </c>
      <c r="AE858" s="21">
        <f>IF($Z858="C",DATE(YEAR(INDEX(Contracts!$J$2:$J$151,$AB858)),MONTH(INDEX(Contracts!$J$2:$J$151,$AB858)),1),IF($Z858="A",DATE(YEAR(INDEX(Fixed_Assets!$G$2:$G$201,$AB858)),MONTH(INDEX(Fixed_Assets!$G$2:$G$201,$AB858)),1),IF($Z858="F",DATE(YEAR(MAX(N(INDEX(Workforce!$I$2:$I$151,MATCH(INDEX(FTE_Allocation!$A$2:$A$201,$AB858),Workforce!$A$2:$A$151,0))),N(INDEX(FTE_Allocation!$I$2:$I$201,$AB858)))),MONTH(MAX(N(INDEX(Workforce!$I$2:$I$151,MATCH(INDEX(FTE_Allocation!$A$2:$A$201,$AB858),Workforce!$A$2:$A$151,0))),N(INDEX(FTE_Allocation!$I$2:$I$201,$AB858)))),1),"")))</f>
        <v/>
      </c>
      <c r="AF858" s="21">
        <f>IF($Z858="C",IF(INDEX(Contracts!$I$2:$I$151,$AB858)="PREPAID",EDATE(DATE(YEAR(INDEX(Contracts!$J$2:$J$151,$AB858)),MONTH(INDEX(Contracts!$J$2:$J$151,$AB858)),1),IF(INDEX(Contracts!$N$2:$N$151,$AB858)="",12,INDEX(Contracts!$N$2:$N$151,$AB858))-1),IF(INDEX(Contracts!$I$2:$I$151,$AB858)="MONTHLY",IF(INDEX(Contracts!$K$2:$K$151,$AB858)="",2958101,INDEX(Contracts!$K$2:$K$151,$AB858)),0)),IF($Z858="A",EDATE(DATE(YEAR(INDEX(Fixed_Assets!$G$2:$G$201,$AB858)),MONTH(INDEX(Fixed_Assets!$G$2:$G$201,$AB858)),1),INDEX(Fixed_Assets!$J$2:$J$201,$AB858)-1),IF($Z858="F",MIN(IF(INDEX(Workforce!$J$2:$J$151,MATCH(INDEX(FTE_Allocation!$A$2:$A$201,$AB858),Workforce!$A$2:$A$151,0))="",2958101,INDEX(Workforce!$J$2:$J$151,MATCH(INDEX(FTE_Allocation!$A$2:$A$201,$AB858),Workforce!$A$2:$A$151,0))),IF(INDEX(FTE_Allocation!$J$2:$J$201,$AB858)="",2958101,INDEX(FTE_Allocation!$J$2:$J$201,$AB858))),"")))</f>
        <v/>
      </c>
      <c r="AG858" s="19">
        <f>IF($Z858="C",IF(INDEX(Contracts!$I$2:$I$151,$AB858)="PREPAID",INDEX(Contracts!$M$2:$M$151,$AB858)/IF(INDEX(Contracts!$N$2:$N$151,$AB858)="",12,INDEX(Contracts!$N$2:$N$151,$AB858)),IF(INDEX(Contracts!$I$2:$I$151,$AB858)="MONTHLY",INDEX(Contracts!$M$2:$M$151,$AB858),0))*(1-N(INDEX(Contracts!$O$2:$O$151,$AB858))),IF($Z858="A",INDEX(Fixed_Assets!$H$2:$H$201,$AB858)/INDEX(Fixed_Assets!$J$2:$J$201,$AB858),IF($Z858="F",INDEX(Workforce!$F$2:$F$151,MATCH(INDEX(FTE_Allocation!$A$2:$A$201,$AB858),Workforce!$A$2:$A$151,0))*N(INDEX(FTE_Allocation!$F$2:$H$201,$AB858,$AC858)),"")))</f>
        <v/>
      </c>
    </row>
    <row r="859">
      <c r="A859" s="7">
        <f>IF($Z859="","",$AD859)</f>
        <v/>
      </c>
      <c r="B859" s="7">
        <f>IF($Z859="C",INDEX(Contracts!$D$2:$D$151,$AB859)&amp;"",IF($Z859="A",INDEX(Fixed_Assets!$C$2:$C$201,$AB859)&amp;"",IF($Z859="F",INDEX(Workforce!$B$2:$B$151,MATCH(INDEX(FTE_Allocation!$A$2:$A$201,$AB859),Workforce!$A$2:$A$151,0))&amp;"","")))</f>
        <v/>
      </c>
      <c r="C859" s="7">
        <f>IF($Z859="C",INDEX(Contracts!$E$2:$E$151,$AB859)&amp;"",IF($Z859="A",INDEX(Fixed_Assets!$D$2:$D$201,$AB859)&amp;"",IF($Z859="F",INDEX(FTE_Allocation!$C$2:$C$201,$AB859)&amp;"","")))</f>
        <v/>
      </c>
      <c r="D859" s="7">
        <f>IF($Z859="C",INDEX(Contracts!$B$2:$B$151,$AB859)&amp;"",IF($Z859="A",INDEX(Fixed_Assets!$B$2:$B$201,$AB859)&amp;"",IF($Z859="F",INDEX(FTE_Allocation!$B$2:$B$201,$AB859)&amp;"","")))</f>
        <v/>
      </c>
      <c r="E859" s="7">
        <f>IF($Z859="C",INDEX(Contracts!$P$2:$P$151,$AB859)&amp;"",IF($Z859="A",INDEX(Fixed_Assets!$K$2:$K$201,$AB859)&amp;"",IF($Z859="F",IF(INDEX(FTE_Allocation!$D$2:$D$201,$AB859)="PROJECT",IFERROR(INDEX(Projects!$D:$D,MATCH(INDEX(FTE_Allocation!$E$2:$E$201,$AB859),Projects!$A:$A,0))&amp;"","#PROJECT?"),INDEX(FTE_Allocation!$E$2:$E$201,$AB859)&amp;""),"")))</f>
        <v/>
      </c>
      <c r="F859" s="7">
        <f>IF($Z859="C",INDEX(Contracts!$Q$2:$Q$151,$AB859)&amp;"",IF($Z859="A",INDEX(Fixed_Assets!$L$2:$L$201,$AB859)&amp;"",IF($Z859="F",INDEX(Workforce!$K$2:$K$151,MATCH(INDEX(FTE_Allocation!$A$2:$A$201,$AB859),Workforce!$A$2:$A$151,0))&amp;"","")))</f>
        <v/>
      </c>
      <c r="G859" s="7">
        <f>IF($Z859="C",INDEX(Contracts!$F$2:$F$151,$AB859)&amp;" / "&amp;INDEX(Contracts!$G$2:$G$151,$AB859),IF($Z859="A",INDEX(Fixed_Assets!$E$2:$E$201,$AB859)&amp;"",IF($Z859="F","Personnel "&amp;INDEX(FTE_Allocation!$A$2:$A$201,$AB859)&amp;IF(INDEX(FTE_Allocation!$D$2:$D$201,$AB859)="PROJECT"," ("&amp;INDEX(FTE_Allocation!$E$2:$E$201,$AB859)&amp;")",""),"")))</f>
        <v/>
      </c>
      <c r="H859" s="7">
        <f>IF($Z859="C","CONTRACT",IF($Z859="A","ASSET",IF($Z859="F","WORKFORCE","")))</f>
        <v/>
      </c>
      <c r="I859" s="7">
        <f>IF($Z859="C",INDEX(Contracts!$L$2:$L$151,$AB859)&amp;"",IF($Z859="A",INDEX(Fixed_Assets!$I$2:$I$201,$AB859)&amp;"",IF($Z859="F",INDEX(Workforce!$G$2:$G$151,MATCH(INDEX(FTE_Allocation!$A$2:$A$201,$AB859),Workforce!$A$2:$A$151,0))&amp;"","")))</f>
        <v/>
      </c>
      <c r="J859" s="18">
        <f>IF($Z859="","",IF(AND(DATE($AD859,1,1)&gt;=$AE859,DATE($AD859,1,1)&lt;=$AF859),ROUND($AG859,2),0))</f>
        <v/>
      </c>
      <c r="K859" s="18">
        <f>IF($Z859="","",IF(AND(DATE($AD859,2,1)&gt;=$AE859,DATE($AD859,2,1)&lt;=$AF859),ROUND($AG859,2),0))</f>
        <v/>
      </c>
      <c r="L859" s="18">
        <f>IF($Z859="","",IF(AND(DATE($AD859,3,1)&gt;=$AE859,DATE($AD859,3,1)&lt;=$AF859),ROUND($AG859,2),0))</f>
        <v/>
      </c>
      <c r="M859" s="18">
        <f>IF($Z859="","",IF(AND(DATE($AD859,4,1)&gt;=$AE859,DATE($AD859,4,1)&lt;=$AF859),ROUND($AG859,2),0))</f>
        <v/>
      </c>
      <c r="N859" s="18">
        <f>IF($Z859="","",IF(AND(DATE($AD859,5,1)&gt;=$AE859,DATE($AD859,5,1)&lt;=$AF859),ROUND($AG859,2),0))</f>
        <v/>
      </c>
      <c r="O859" s="18">
        <f>IF($Z859="","",IF(AND(DATE($AD859,6,1)&gt;=$AE859,DATE($AD859,6,1)&lt;=$AF859),ROUND($AG859,2),0))</f>
        <v/>
      </c>
      <c r="P859" s="18">
        <f>IF($Z859="","",IF(AND(DATE($AD859,7,1)&gt;=$AE859,DATE($AD859,7,1)&lt;=$AF859),ROUND($AG859,2),0))</f>
        <v/>
      </c>
      <c r="Q859" s="18">
        <f>IF($Z859="","",IF(AND(DATE($AD859,8,1)&gt;=$AE859,DATE($AD859,8,1)&lt;=$AF859),ROUND($AG859,2),0))</f>
        <v/>
      </c>
      <c r="R859" s="18">
        <f>IF($Z859="","",IF(AND(DATE($AD859,9,1)&gt;=$AE859,DATE($AD859,9,1)&lt;=$AF859),ROUND($AG859,2),0))</f>
        <v/>
      </c>
      <c r="S859" s="18">
        <f>IF($Z859="","",IF(AND(DATE($AD859,10,1)&gt;=$AE859,DATE($AD859,10,1)&lt;=$AF859),ROUND($AG859,2),0))</f>
        <v/>
      </c>
      <c r="T859" s="18">
        <f>IF($Z859="","",IF(AND(DATE($AD859,11,1)&gt;=$AE859,DATE($AD859,11,1)&lt;=$AF859),ROUND($AG859,2),0))</f>
        <v/>
      </c>
      <c r="U859" s="18">
        <f>IF($Z859="","",IF(AND(DATE($AD859,12,1)&gt;=$AE859,DATE($AD859,12,1)&lt;=$AF859),ROUND($AG859,2),0))</f>
        <v/>
      </c>
      <c r="V859" s="7">
        <f>IF($Z859="C","Generated from "&amp;INDEX(Contracts!$A$2:$A$151,$AB859),IF($Z859="A","Generated from "&amp;INDEX(Fixed_Assets!$A$2:$A$201,$AB859),IF($Z859="F","Generated from "&amp;INDEX(FTE_Allocation!$A$2:$A$201,$AB859),"")))</f>
        <v/>
      </c>
      <c r="X859" s="19">
        <f>IF($Z859="","",SUM(J859:U859))</f>
        <v/>
      </c>
      <c r="Y859" s="20">
        <f>ROW()-1</f>
        <v/>
      </c>
      <c r="Z859" s="20">
        <f>IF($Y859&lt;=Settings!$B$4*3,"C",IF($Y859&lt;=(Settings!$B$4+Settings!$B$5)*3,"A",IF($Y859&lt;=(Settings!$B$4+Settings!$B$5+Settings!$B$6)*3,"F","")))</f>
        <v/>
      </c>
      <c r="AA859" s="20">
        <f>IF($Z859="C",$Y859,IF($Z859="A",$Y859-Settings!$B$4*3,IF($Z859="F",$Y859-(Settings!$B$4+Settings!$B$5)*3,"")))</f>
        <v/>
      </c>
      <c r="AB859" s="20">
        <f>IF($Z859="","",INT(($AA859-1)/3)+1)</f>
        <v/>
      </c>
      <c r="AC859" s="20">
        <f>IF($Z859="","",MOD($AA859-1,3)+1)</f>
        <v/>
      </c>
      <c r="AD859" s="20">
        <f>IF($Z859="","",Settings!$B$2+$AC859-1)</f>
        <v/>
      </c>
      <c r="AE859" s="21">
        <f>IF($Z859="C",DATE(YEAR(INDEX(Contracts!$J$2:$J$151,$AB859)),MONTH(INDEX(Contracts!$J$2:$J$151,$AB859)),1),IF($Z859="A",DATE(YEAR(INDEX(Fixed_Assets!$G$2:$G$201,$AB859)),MONTH(INDEX(Fixed_Assets!$G$2:$G$201,$AB859)),1),IF($Z859="F",DATE(YEAR(MAX(N(INDEX(Workforce!$I$2:$I$151,MATCH(INDEX(FTE_Allocation!$A$2:$A$201,$AB859),Workforce!$A$2:$A$151,0))),N(INDEX(FTE_Allocation!$I$2:$I$201,$AB859)))),MONTH(MAX(N(INDEX(Workforce!$I$2:$I$151,MATCH(INDEX(FTE_Allocation!$A$2:$A$201,$AB859),Workforce!$A$2:$A$151,0))),N(INDEX(FTE_Allocation!$I$2:$I$201,$AB859)))),1),"")))</f>
        <v/>
      </c>
      <c r="AF859" s="21">
        <f>IF($Z859="C",IF(INDEX(Contracts!$I$2:$I$151,$AB859)="PREPAID",EDATE(DATE(YEAR(INDEX(Contracts!$J$2:$J$151,$AB859)),MONTH(INDEX(Contracts!$J$2:$J$151,$AB859)),1),IF(INDEX(Contracts!$N$2:$N$151,$AB859)="",12,INDEX(Contracts!$N$2:$N$151,$AB859))-1),IF(INDEX(Contracts!$I$2:$I$151,$AB859)="MONTHLY",IF(INDEX(Contracts!$K$2:$K$151,$AB859)="",2958101,INDEX(Contracts!$K$2:$K$151,$AB859)),0)),IF($Z859="A",EDATE(DATE(YEAR(INDEX(Fixed_Assets!$G$2:$G$201,$AB859)),MONTH(INDEX(Fixed_Assets!$G$2:$G$201,$AB859)),1),INDEX(Fixed_Assets!$J$2:$J$201,$AB859)-1),IF($Z859="F",MIN(IF(INDEX(Workforce!$J$2:$J$151,MATCH(INDEX(FTE_Allocation!$A$2:$A$201,$AB859),Workforce!$A$2:$A$151,0))="",2958101,INDEX(Workforce!$J$2:$J$151,MATCH(INDEX(FTE_Allocation!$A$2:$A$201,$AB859),Workforce!$A$2:$A$151,0))),IF(INDEX(FTE_Allocation!$J$2:$J$201,$AB859)="",2958101,INDEX(FTE_Allocation!$J$2:$J$201,$AB859))),"")))</f>
        <v/>
      </c>
      <c r="AG859" s="19">
        <f>IF($Z859="C",IF(INDEX(Contracts!$I$2:$I$151,$AB859)="PREPAID",INDEX(Contracts!$M$2:$M$151,$AB859)/IF(INDEX(Contracts!$N$2:$N$151,$AB859)="",12,INDEX(Contracts!$N$2:$N$151,$AB859)),IF(INDEX(Contracts!$I$2:$I$151,$AB859)="MONTHLY",INDEX(Contracts!$M$2:$M$151,$AB859),0))*(1-N(INDEX(Contracts!$O$2:$O$151,$AB859))),IF($Z859="A",INDEX(Fixed_Assets!$H$2:$H$201,$AB859)/INDEX(Fixed_Assets!$J$2:$J$201,$AB859),IF($Z859="F",INDEX(Workforce!$F$2:$F$151,MATCH(INDEX(FTE_Allocation!$A$2:$A$201,$AB859),Workforce!$A$2:$A$151,0))*N(INDEX(FTE_Allocation!$F$2:$H$201,$AB859,$AC859)),"")))</f>
        <v/>
      </c>
    </row>
    <row r="860">
      <c r="A860" s="7">
        <f>IF($Z860="","",$AD860)</f>
        <v/>
      </c>
      <c r="B860" s="7">
        <f>IF($Z860="C",INDEX(Contracts!$D$2:$D$151,$AB860)&amp;"",IF($Z860="A",INDEX(Fixed_Assets!$C$2:$C$201,$AB860)&amp;"",IF($Z860="F",INDEX(Workforce!$B$2:$B$151,MATCH(INDEX(FTE_Allocation!$A$2:$A$201,$AB860),Workforce!$A$2:$A$151,0))&amp;"","")))</f>
        <v/>
      </c>
      <c r="C860" s="7">
        <f>IF($Z860="C",INDEX(Contracts!$E$2:$E$151,$AB860)&amp;"",IF($Z860="A",INDEX(Fixed_Assets!$D$2:$D$201,$AB860)&amp;"",IF($Z860="F",INDEX(FTE_Allocation!$C$2:$C$201,$AB860)&amp;"","")))</f>
        <v/>
      </c>
      <c r="D860" s="7">
        <f>IF($Z860="C",INDEX(Contracts!$B$2:$B$151,$AB860)&amp;"",IF($Z860="A",INDEX(Fixed_Assets!$B$2:$B$201,$AB860)&amp;"",IF($Z860="F",INDEX(FTE_Allocation!$B$2:$B$201,$AB860)&amp;"","")))</f>
        <v/>
      </c>
      <c r="E860" s="7">
        <f>IF($Z860="C",INDEX(Contracts!$P$2:$P$151,$AB860)&amp;"",IF($Z860="A",INDEX(Fixed_Assets!$K$2:$K$201,$AB860)&amp;"",IF($Z860="F",IF(INDEX(FTE_Allocation!$D$2:$D$201,$AB860)="PROJECT",IFERROR(INDEX(Projects!$D:$D,MATCH(INDEX(FTE_Allocation!$E$2:$E$201,$AB860),Projects!$A:$A,0))&amp;"","#PROJECT?"),INDEX(FTE_Allocation!$E$2:$E$201,$AB860)&amp;""),"")))</f>
        <v/>
      </c>
      <c r="F860" s="7">
        <f>IF($Z860="C",INDEX(Contracts!$Q$2:$Q$151,$AB860)&amp;"",IF($Z860="A",INDEX(Fixed_Assets!$L$2:$L$201,$AB860)&amp;"",IF($Z860="F",INDEX(Workforce!$K$2:$K$151,MATCH(INDEX(FTE_Allocation!$A$2:$A$201,$AB860),Workforce!$A$2:$A$151,0))&amp;"","")))</f>
        <v/>
      </c>
      <c r="G860" s="7">
        <f>IF($Z860="C",INDEX(Contracts!$F$2:$F$151,$AB860)&amp;" / "&amp;INDEX(Contracts!$G$2:$G$151,$AB860),IF($Z860="A",INDEX(Fixed_Assets!$E$2:$E$201,$AB860)&amp;"",IF($Z860="F","Personnel "&amp;INDEX(FTE_Allocation!$A$2:$A$201,$AB860)&amp;IF(INDEX(FTE_Allocation!$D$2:$D$201,$AB860)="PROJECT"," ("&amp;INDEX(FTE_Allocation!$E$2:$E$201,$AB860)&amp;")",""),"")))</f>
        <v/>
      </c>
      <c r="H860" s="7">
        <f>IF($Z860="C","CONTRACT",IF($Z860="A","ASSET",IF($Z860="F","WORKFORCE","")))</f>
        <v/>
      </c>
      <c r="I860" s="7">
        <f>IF($Z860="C",INDEX(Contracts!$L$2:$L$151,$AB860)&amp;"",IF($Z860="A",INDEX(Fixed_Assets!$I$2:$I$201,$AB860)&amp;"",IF($Z860="F",INDEX(Workforce!$G$2:$G$151,MATCH(INDEX(FTE_Allocation!$A$2:$A$201,$AB860),Workforce!$A$2:$A$151,0))&amp;"","")))</f>
        <v/>
      </c>
      <c r="J860" s="18">
        <f>IF($Z860="","",IF(AND(DATE($AD860,1,1)&gt;=$AE860,DATE($AD860,1,1)&lt;=$AF860),ROUND($AG860,2),0))</f>
        <v/>
      </c>
      <c r="K860" s="18">
        <f>IF($Z860="","",IF(AND(DATE($AD860,2,1)&gt;=$AE860,DATE($AD860,2,1)&lt;=$AF860),ROUND($AG860,2),0))</f>
        <v/>
      </c>
      <c r="L860" s="18">
        <f>IF($Z860="","",IF(AND(DATE($AD860,3,1)&gt;=$AE860,DATE($AD860,3,1)&lt;=$AF860),ROUND($AG860,2),0))</f>
        <v/>
      </c>
      <c r="M860" s="18">
        <f>IF($Z860="","",IF(AND(DATE($AD860,4,1)&gt;=$AE860,DATE($AD860,4,1)&lt;=$AF860),ROUND($AG860,2),0))</f>
        <v/>
      </c>
      <c r="N860" s="18">
        <f>IF($Z860="","",IF(AND(DATE($AD860,5,1)&gt;=$AE860,DATE($AD860,5,1)&lt;=$AF860),ROUND($AG860,2),0))</f>
        <v/>
      </c>
      <c r="O860" s="18">
        <f>IF($Z860="","",IF(AND(DATE($AD860,6,1)&gt;=$AE860,DATE($AD860,6,1)&lt;=$AF860),ROUND($AG860,2),0))</f>
        <v/>
      </c>
      <c r="P860" s="18">
        <f>IF($Z860="","",IF(AND(DATE($AD860,7,1)&gt;=$AE860,DATE($AD860,7,1)&lt;=$AF860),ROUND($AG860,2),0))</f>
        <v/>
      </c>
      <c r="Q860" s="18">
        <f>IF($Z860="","",IF(AND(DATE($AD860,8,1)&gt;=$AE860,DATE($AD860,8,1)&lt;=$AF860),ROUND($AG860,2),0))</f>
        <v/>
      </c>
      <c r="R860" s="18">
        <f>IF($Z860="","",IF(AND(DATE($AD860,9,1)&gt;=$AE860,DATE($AD860,9,1)&lt;=$AF860),ROUND($AG860,2),0))</f>
        <v/>
      </c>
      <c r="S860" s="18">
        <f>IF($Z860="","",IF(AND(DATE($AD860,10,1)&gt;=$AE860,DATE($AD860,10,1)&lt;=$AF860),ROUND($AG860,2),0))</f>
        <v/>
      </c>
      <c r="T860" s="18">
        <f>IF($Z860="","",IF(AND(DATE($AD860,11,1)&gt;=$AE860,DATE($AD860,11,1)&lt;=$AF860),ROUND($AG860,2),0))</f>
        <v/>
      </c>
      <c r="U860" s="18">
        <f>IF($Z860="","",IF(AND(DATE($AD860,12,1)&gt;=$AE860,DATE($AD860,12,1)&lt;=$AF860),ROUND($AG860,2),0))</f>
        <v/>
      </c>
      <c r="V860" s="7">
        <f>IF($Z860="C","Generated from "&amp;INDEX(Contracts!$A$2:$A$151,$AB860),IF($Z860="A","Generated from "&amp;INDEX(Fixed_Assets!$A$2:$A$201,$AB860),IF($Z860="F","Generated from "&amp;INDEX(FTE_Allocation!$A$2:$A$201,$AB860),"")))</f>
        <v/>
      </c>
      <c r="X860" s="19">
        <f>IF($Z860="","",SUM(J860:U860))</f>
        <v/>
      </c>
      <c r="Y860" s="20">
        <f>ROW()-1</f>
        <v/>
      </c>
      <c r="Z860" s="20">
        <f>IF($Y860&lt;=Settings!$B$4*3,"C",IF($Y860&lt;=(Settings!$B$4+Settings!$B$5)*3,"A",IF($Y860&lt;=(Settings!$B$4+Settings!$B$5+Settings!$B$6)*3,"F","")))</f>
        <v/>
      </c>
      <c r="AA860" s="20">
        <f>IF($Z860="C",$Y860,IF($Z860="A",$Y860-Settings!$B$4*3,IF($Z860="F",$Y860-(Settings!$B$4+Settings!$B$5)*3,"")))</f>
        <v/>
      </c>
      <c r="AB860" s="20">
        <f>IF($Z860="","",INT(($AA860-1)/3)+1)</f>
        <v/>
      </c>
      <c r="AC860" s="20">
        <f>IF($Z860="","",MOD($AA860-1,3)+1)</f>
        <v/>
      </c>
      <c r="AD860" s="20">
        <f>IF($Z860="","",Settings!$B$2+$AC860-1)</f>
        <v/>
      </c>
      <c r="AE860" s="21">
        <f>IF($Z860="C",DATE(YEAR(INDEX(Contracts!$J$2:$J$151,$AB860)),MONTH(INDEX(Contracts!$J$2:$J$151,$AB860)),1),IF($Z860="A",DATE(YEAR(INDEX(Fixed_Assets!$G$2:$G$201,$AB860)),MONTH(INDEX(Fixed_Assets!$G$2:$G$201,$AB860)),1),IF($Z860="F",DATE(YEAR(MAX(N(INDEX(Workforce!$I$2:$I$151,MATCH(INDEX(FTE_Allocation!$A$2:$A$201,$AB860),Workforce!$A$2:$A$151,0))),N(INDEX(FTE_Allocation!$I$2:$I$201,$AB860)))),MONTH(MAX(N(INDEX(Workforce!$I$2:$I$151,MATCH(INDEX(FTE_Allocation!$A$2:$A$201,$AB860),Workforce!$A$2:$A$151,0))),N(INDEX(FTE_Allocation!$I$2:$I$201,$AB860)))),1),"")))</f>
        <v/>
      </c>
      <c r="AF860" s="21">
        <f>IF($Z860="C",IF(INDEX(Contracts!$I$2:$I$151,$AB860)="PREPAID",EDATE(DATE(YEAR(INDEX(Contracts!$J$2:$J$151,$AB860)),MONTH(INDEX(Contracts!$J$2:$J$151,$AB860)),1),IF(INDEX(Contracts!$N$2:$N$151,$AB860)="",12,INDEX(Contracts!$N$2:$N$151,$AB860))-1),IF(INDEX(Contracts!$I$2:$I$151,$AB860)="MONTHLY",IF(INDEX(Contracts!$K$2:$K$151,$AB860)="",2958101,INDEX(Contracts!$K$2:$K$151,$AB860)),0)),IF($Z860="A",EDATE(DATE(YEAR(INDEX(Fixed_Assets!$G$2:$G$201,$AB860)),MONTH(INDEX(Fixed_Assets!$G$2:$G$201,$AB860)),1),INDEX(Fixed_Assets!$J$2:$J$201,$AB860)-1),IF($Z860="F",MIN(IF(INDEX(Workforce!$J$2:$J$151,MATCH(INDEX(FTE_Allocation!$A$2:$A$201,$AB860),Workforce!$A$2:$A$151,0))="",2958101,INDEX(Workforce!$J$2:$J$151,MATCH(INDEX(FTE_Allocation!$A$2:$A$201,$AB860),Workforce!$A$2:$A$151,0))),IF(INDEX(FTE_Allocation!$J$2:$J$201,$AB860)="",2958101,INDEX(FTE_Allocation!$J$2:$J$201,$AB860))),"")))</f>
        <v/>
      </c>
      <c r="AG860" s="19">
        <f>IF($Z860="C",IF(INDEX(Contracts!$I$2:$I$151,$AB860)="PREPAID",INDEX(Contracts!$M$2:$M$151,$AB860)/IF(INDEX(Contracts!$N$2:$N$151,$AB860)="",12,INDEX(Contracts!$N$2:$N$151,$AB860)),IF(INDEX(Contracts!$I$2:$I$151,$AB860)="MONTHLY",INDEX(Contracts!$M$2:$M$151,$AB860),0))*(1-N(INDEX(Contracts!$O$2:$O$151,$AB860))),IF($Z860="A",INDEX(Fixed_Assets!$H$2:$H$201,$AB860)/INDEX(Fixed_Assets!$J$2:$J$201,$AB860),IF($Z860="F",INDEX(Workforce!$F$2:$F$151,MATCH(INDEX(FTE_Allocation!$A$2:$A$201,$AB860),Workforce!$A$2:$A$151,0))*N(INDEX(FTE_Allocation!$F$2:$H$201,$AB860,$AC860)),"")))</f>
        <v/>
      </c>
    </row>
    <row r="861">
      <c r="A861" s="7">
        <f>IF($Z861="","",$AD861)</f>
        <v/>
      </c>
      <c r="B861" s="7">
        <f>IF($Z861="C",INDEX(Contracts!$D$2:$D$151,$AB861)&amp;"",IF($Z861="A",INDEX(Fixed_Assets!$C$2:$C$201,$AB861)&amp;"",IF($Z861="F",INDEX(Workforce!$B$2:$B$151,MATCH(INDEX(FTE_Allocation!$A$2:$A$201,$AB861),Workforce!$A$2:$A$151,0))&amp;"","")))</f>
        <v/>
      </c>
      <c r="C861" s="7">
        <f>IF($Z861="C",INDEX(Contracts!$E$2:$E$151,$AB861)&amp;"",IF($Z861="A",INDEX(Fixed_Assets!$D$2:$D$201,$AB861)&amp;"",IF($Z861="F",INDEX(FTE_Allocation!$C$2:$C$201,$AB861)&amp;"","")))</f>
        <v/>
      </c>
      <c r="D861" s="7">
        <f>IF($Z861="C",INDEX(Contracts!$B$2:$B$151,$AB861)&amp;"",IF($Z861="A",INDEX(Fixed_Assets!$B$2:$B$201,$AB861)&amp;"",IF($Z861="F",INDEX(FTE_Allocation!$B$2:$B$201,$AB861)&amp;"","")))</f>
        <v/>
      </c>
      <c r="E861" s="7">
        <f>IF($Z861="C",INDEX(Contracts!$P$2:$P$151,$AB861)&amp;"",IF($Z861="A",INDEX(Fixed_Assets!$K$2:$K$201,$AB861)&amp;"",IF($Z861="F",IF(INDEX(FTE_Allocation!$D$2:$D$201,$AB861)="PROJECT",IFERROR(INDEX(Projects!$D:$D,MATCH(INDEX(FTE_Allocation!$E$2:$E$201,$AB861),Projects!$A:$A,0))&amp;"","#PROJECT?"),INDEX(FTE_Allocation!$E$2:$E$201,$AB861)&amp;""),"")))</f>
        <v/>
      </c>
      <c r="F861" s="7">
        <f>IF($Z861="C",INDEX(Contracts!$Q$2:$Q$151,$AB861)&amp;"",IF($Z861="A",INDEX(Fixed_Assets!$L$2:$L$201,$AB861)&amp;"",IF($Z861="F",INDEX(Workforce!$K$2:$K$151,MATCH(INDEX(FTE_Allocation!$A$2:$A$201,$AB861),Workforce!$A$2:$A$151,0))&amp;"","")))</f>
        <v/>
      </c>
      <c r="G861" s="7">
        <f>IF($Z861="C",INDEX(Contracts!$F$2:$F$151,$AB861)&amp;" / "&amp;INDEX(Contracts!$G$2:$G$151,$AB861),IF($Z861="A",INDEX(Fixed_Assets!$E$2:$E$201,$AB861)&amp;"",IF($Z861="F","Personnel "&amp;INDEX(FTE_Allocation!$A$2:$A$201,$AB861)&amp;IF(INDEX(FTE_Allocation!$D$2:$D$201,$AB861)="PROJECT"," ("&amp;INDEX(FTE_Allocation!$E$2:$E$201,$AB861)&amp;")",""),"")))</f>
        <v/>
      </c>
      <c r="H861" s="7">
        <f>IF($Z861="C","CONTRACT",IF($Z861="A","ASSET",IF($Z861="F","WORKFORCE","")))</f>
        <v/>
      </c>
      <c r="I861" s="7">
        <f>IF($Z861="C",INDEX(Contracts!$L$2:$L$151,$AB861)&amp;"",IF($Z861="A",INDEX(Fixed_Assets!$I$2:$I$201,$AB861)&amp;"",IF($Z861="F",INDEX(Workforce!$G$2:$G$151,MATCH(INDEX(FTE_Allocation!$A$2:$A$201,$AB861),Workforce!$A$2:$A$151,0))&amp;"","")))</f>
        <v/>
      </c>
      <c r="J861" s="18">
        <f>IF($Z861="","",IF(AND(DATE($AD861,1,1)&gt;=$AE861,DATE($AD861,1,1)&lt;=$AF861),ROUND($AG861,2),0))</f>
        <v/>
      </c>
      <c r="K861" s="18">
        <f>IF($Z861="","",IF(AND(DATE($AD861,2,1)&gt;=$AE861,DATE($AD861,2,1)&lt;=$AF861),ROUND($AG861,2),0))</f>
        <v/>
      </c>
      <c r="L861" s="18">
        <f>IF($Z861="","",IF(AND(DATE($AD861,3,1)&gt;=$AE861,DATE($AD861,3,1)&lt;=$AF861),ROUND($AG861,2),0))</f>
        <v/>
      </c>
      <c r="M861" s="18">
        <f>IF($Z861="","",IF(AND(DATE($AD861,4,1)&gt;=$AE861,DATE($AD861,4,1)&lt;=$AF861),ROUND($AG861,2),0))</f>
        <v/>
      </c>
      <c r="N861" s="18">
        <f>IF($Z861="","",IF(AND(DATE($AD861,5,1)&gt;=$AE861,DATE($AD861,5,1)&lt;=$AF861),ROUND($AG861,2),0))</f>
        <v/>
      </c>
      <c r="O861" s="18">
        <f>IF($Z861="","",IF(AND(DATE($AD861,6,1)&gt;=$AE861,DATE($AD861,6,1)&lt;=$AF861),ROUND($AG861,2),0))</f>
        <v/>
      </c>
      <c r="P861" s="18">
        <f>IF($Z861="","",IF(AND(DATE($AD861,7,1)&gt;=$AE861,DATE($AD861,7,1)&lt;=$AF861),ROUND($AG861,2),0))</f>
        <v/>
      </c>
      <c r="Q861" s="18">
        <f>IF($Z861="","",IF(AND(DATE($AD861,8,1)&gt;=$AE861,DATE($AD861,8,1)&lt;=$AF861),ROUND($AG861,2),0))</f>
        <v/>
      </c>
      <c r="R861" s="18">
        <f>IF($Z861="","",IF(AND(DATE($AD861,9,1)&gt;=$AE861,DATE($AD861,9,1)&lt;=$AF861),ROUND($AG861,2),0))</f>
        <v/>
      </c>
      <c r="S861" s="18">
        <f>IF($Z861="","",IF(AND(DATE($AD861,10,1)&gt;=$AE861,DATE($AD861,10,1)&lt;=$AF861),ROUND($AG861,2),0))</f>
        <v/>
      </c>
      <c r="T861" s="18">
        <f>IF($Z861="","",IF(AND(DATE($AD861,11,1)&gt;=$AE861,DATE($AD861,11,1)&lt;=$AF861),ROUND($AG861,2),0))</f>
        <v/>
      </c>
      <c r="U861" s="18">
        <f>IF($Z861="","",IF(AND(DATE($AD861,12,1)&gt;=$AE861,DATE($AD861,12,1)&lt;=$AF861),ROUND($AG861,2),0))</f>
        <v/>
      </c>
      <c r="V861" s="7">
        <f>IF($Z861="C","Generated from "&amp;INDEX(Contracts!$A$2:$A$151,$AB861),IF($Z861="A","Generated from "&amp;INDEX(Fixed_Assets!$A$2:$A$201,$AB861),IF($Z861="F","Generated from "&amp;INDEX(FTE_Allocation!$A$2:$A$201,$AB861),"")))</f>
        <v/>
      </c>
      <c r="X861" s="19">
        <f>IF($Z861="","",SUM(J861:U861))</f>
        <v/>
      </c>
      <c r="Y861" s="20">
        <f>ROW()-1</f>
        <v/>
      </c>
      <c r="Z861" s="20">
        <f>IF($Y861&lt;=Settings!$B$4*3,"C",IF($Y861&lt;=(Settings!$B$4+Settings!$B$5)*3,"A",IF($Y861&lt;=(Settings!$B$4+Settings!$B$5+Settings!$B$6)*3,"F","")))</f>
        <v/>
      </c>
      <c r="AA861" s="20">
        <f>IF($Z861="C",$Y861,IF($Z861="A",$Y861-Settings!$B$4*3,IF($Z861="F",$Y861-(Settings!$B$4+Settings!$B$5)*3,"")))</f>
        <v/>
      </c>
      <c r="AB861" s="20">
        <f>IF($Z861="","",INT(($AA861-1)/3)+1)</f>
        <v/>
      </c>
      <c r="AC861" s="20">
        <f>IF($Z861="","",MOD($AA861-1,3)+1)</f>
        <v/>
      </c>
      <c r="AD861" s="20">
        <f>IF($Z861="","",Settings!$B$2+$AC861-1)</f>
        <v/>
      </c>
      <c r="AE861" s="21">
        <f>IF($Z861="C",DATE(YEAR(INDEX(Contracts!$J$2:$J$151,$AB861)),MONTH(INDEX(Contracts!$J$2:$J$151,$AB861)),1),IF($Z861="A",DATE(YEAR(INDEX(Fixed_Assets!$G$2:$G$201,$AB861)),MONTH(INDEX(Fixed_Assets!$G$2:$G$201,$AB861)),1),IF($Z861="F",DATE(YEAR(MAX(N(INDEX(Workforce!$I$2:$I$151,MATCH(INDEX(FTE_Allocation!$A$2:$A$201,$AB861),Workforce!$A$2:$A$151,0))),N(INDEX(FTE_Allocation!$I$2:$I$201,$AB861)))),MONTH(MAX(N(INDEX(Workforce!$I$2:$I$151,MATCH(INDEX(FTE_Allocation!$A$2:$A$201,$AB861),Workforce!$A$2:$A$151,0))),N(INDEX(FTE_Allocation!$I$2:$I$201,$AB861)))),1),"")))</f>
        <v/>
      </c>
      <c r="AF861" s="21">
        <f>IF($Z861="C",IF(INDEX(Contracts!$I$2:$I$151,$AB861)="PREPAID",EDATE(DATE(YEAR(INDEX(Contracts!$J$2:$J$151,$AB861)),MONTH(INDEX(Contracts!$J$2:$J$151,$AB861)),1),IF(INDEX(Contracts!$N$2:$N$151,$AB861)="",12,INDEX(Contracts!$N$2:$N$151,$AB861))-1),IF(INDEX(Contracts!$I$2:$I$151,$AB861)="MONTHLY",IF(INDEX(Contracts!$K$2:$K$151,$AB861)="",2958101,INDEX(Contracts!$K$2:$K$151,$AB861)),0)),IF($Z861="A",EDATE(DATE(YEAR(INDEX(Fixed_Assets!$G$2:$G$201,$AB861)),MONTH(INDEX(Fixed_Assets!$G$2:$G$201,$AB861)),1),INDEX(Fixed_Assets!$J$2:$J$201,$AB861)-1),IF($Z861="F",MIN(IF(INDEX(Workforce!$J$2:$J$151,MATCH(INDEX(FTE_Allocation!$A$2:$A$201,$AB861),Workforce!$A$2:$A$151,0))="",2958101,INDEX(Workforce!$J$2:$J$151,MATCH(INDEX(FTE_Allocation!$A$2:$A$201,$AB861),Workforce!$A$2:$A$151,0))),IF(INDEX(FTE_Allocation!$J$2:$J$201,$AB861)="",2958101,INDEX(FTE_Allocation!$J$2:$J$201,$AB861))),"")))</f>
        <v/>
      </c>
      <c r="AG861" s="19">
        <f>IF($Z861="C",IF(INDEX(Contracts!$I$2:$I$151,$AB861)="PREPAID",INDEX(Contracts!$M$2:$M$151,$AB861)/IF(INDEX(Contracts!$N$2:$N$151,$AB861)="",12,INDEX(Contracts!$N$2:$N$151,$AB861)),IF(INDEX(Contracts!$I$2:$I$151,$AB861)="MONTHLY",INDEX(Contracts!$M$2:$M$151,$AB861),0))*(1-N(INDEX(Contracts!$O$2:$O$151,$AB861))),IF($Z861="A",INDEX(Fixed_Assets!$H$2:$H$201,$AB861)/INDEX(Fixed_Assets!$J$2:$J$201,$AB861),IF($Z861="F",INDEX(Workforce!$F$2:$F$151,MATCH(INDEX(FTE_Allocation!$A$2:$A$201,$AB861),Workforce!$A$2:$A$151,0))*N(INDEX(FTE_Allocation!$F$2:$H$201,$AB861,$AC861)),"")))</f>
        <v/>
      </c>
    </row>
    <row r="862">
      <c r="A862" s="7">
        <f>IF($Z862="","",$AD862)</f>
        <v/>
      </c>
      <c r="B862" s="7">
        <f>IF($Z862="C",INDEX(Contracts!$D$2:$D$151,$AB862)&amp;"",IF($Z862="A",INDEX(Fixed_Assets!$C$2:$C$201,$AB862)&amp;"",IF($Z862="F",INDEX(Workforce!$B$2:$B$151,MATCH(INDEX(FTE_Allocation!$A$2:$A$201,$AB862),Workforce!$A$2:$A$151,0))&amp;"","")))</f>
        <v/>
      </c>
      <c r="C862" s="7">
        <f>IF($Z862="C",INDEX(Contracts!$E$2:$E$151,$AB862)&amp;"",IF($Z862="A",INDEX(Fixed_Assets!$D$2:$D$201,$AB862)&amp;"",IF($Z862="F",INDEX(FTE_Allocation!$C$2:$C$201,$AB862)&amp;"","")))</f>
        <v/>
      </c>
      <c r="D862" s="7">
        <f>IF($Z862="C",INDEX(Contracts!$B$2:$B$151,$AB862)&amp;"",IF($Z862="A",INDEX(Fixed_Assets!$B$2:$B$201,$AB862)&amp;"",IF($Z862="F",INDEX(FTE_Allocation!$B$2:$B$201,$AB862)&amp;"","")))</f>
        <v/>
      </c>
      <c r="E862" s="7">
        <f>IF($Z862="C",INDEX(Contracts!$P$2:$P$151,$AB862)&amp;"",IF($Z862="A",INDEX(Fixed_Assets!$K$2:$K$201,$AB862)&amp;"",IF($Z862="F",IF(INDEX(FTE_Allocation!$D$2:$D$201,$AB862)="PROJECT",IFERROR(INDEX(Projects!$D:$D,MATCH(INDEX(FTE_Allocation!$E$2:$E$201,$AB862),Projects!$A:$A,0))&amp;"","#PROJECT?"),INDEX(FTE_Allocation!$E$2:$E$201,$AB862)&amp;""),"")))</f>
        <v/>
      </c>
      <c r="F862" s="7">
        <f>IF($Z862="C",INDEX(Contracts!$Q$2:$Q$151,$AB862)&amp;"",IF($Z862="A",INDEX(Fixed_Assets!$L$2:$L$201,$AB862)&amp;"",IF($Z862="F",INDEX(Workforce!$K$2:$K$151,MATCH(INDEX(FTE_Allocation!$A$2:$A$201,$AB862),Workforce!$A$2:$A$151,0))&amp;"","")))</f>
        <v/>
      </c>
      <c r="G862" s="7">
        <f>IF($Z862="C",INDEX(Contracts!$F$2:$F$151,$AB862)&amp;" / "&amp;INDEX(Contracts!$G$2:$G$151,$AB862),IF($Z862="A",INDEX(Fixed_Assets!$E$2:$E$201,$AB862)&amp;"",IF($Z862="F","Personnel "&amp;INDEX(FTE_Allocation!$A$2:$A$201,$AB862)&amp;IF(INDEX(FTE_Allocation!$D$2:$D$201,$AB862)="PROJECT"," ("&amp;INDEX(FTE_Allocation!$E$2:$E$201,$AB862)&amp;")",""),"")))</f>
        <v/>
      </c>
      <c r="H862" s="7">
        <f>IF($Z862="C","CONTRACT",IF($Z862="A","ASSET",IF($Z862="F","WORKFORCE","")))</f>
        <v/>
      </c>
      <c r="I862" s="7">
        <f>IF($Z862="C",INDEX(Contracts!$L$2:$L$151,$AB862)&amp;"",IF($Z862="A",INDEX(Fixed_Assets!$I$2:$I$201,$AB862)&amp;"",IF($Z862="F",INDEX(Workforce!$G$2:$G$151,MATCH(INDEX(FTE_Allocation!$A$2:$A$201,$AB862),Workforce!$A$2:$A$151,0))&amp;"","")))</f>
        <v/>
      </c>
      <c r="J862" s="18">
        <f>IF($Z862="","",IF(AND(DATE($AD862,1,1)&gt;=$AE862,DATE($AD862,1,1)&lt;=$AF862),ROUND($AG862,2),0))</f>
        <v/>
      </c>
      <c r="K862" s="18">
        <f>IF($Z862="","",IF(AND(DATE($AD862,2,1)&gt;=$AE862,DATE($AD862,2,1)&lt;=$AF862),ROUND($AG862,2),0))</f>
        <v/>
      </c>
      <c r="L862" s="18">
        <f>IF($Z862="","",IF(AND(DATE($AD862,3,1)&gt;=$AE862,DATE($AD862,3,1)&lt;=$AF862),ROUND($AG862,2),0))</f>
        <v/>
      </c>
      <c r="M862" s="18">
        <f>IF($Z862="","",IF(AND(DATE($AD862,4,1)&gt;=$AE862,DATE($AD862,4,1)&lt;=$AF862),ROUND($AG862,2),0))</f>
        <v/>
      </c>
      <c r="N862" s="18">
        <f>IF($Z862="","",IF(AND(DATE($AD862,5,1)&gt;=$AE862,DATE($AD862,5,1)&lt;=$AF862),ROUND($AG862,2),0))</f>
        <v/>
      </c>
      <c r="O862" s="18">
        <f>IF($Z862="","",IF(AND(DATE($AD862,6,1)&gt;=$AE862,DATE($AD862,6,1)&lt;=$AF862),ROUND($AG862,2),0))</f>
        <v/>
      </c>
      <c r="P862" s="18">
        <f>IF($Z862="","",IF(AND(DATE($AD862,7,1)&gt;=$AE862,DATE($AD862,7,1)&lt;=$AF862),ROUND($AG862,2),0))</f>
        <v/>
      </c>
      <c r="Q862" s="18">
        <f>IF($Z862="","",IF(AND(DATE($AD862,8,1)&gt;=$AE862,DATE($AD862,8,1)&lt;=$AF862),ROUND($AG862,2),0))</f>
        <v/>
      </c>
      <c r="R862" s="18">
        <f>IF($Z862="","",IF(AND(DATE($AD862,9,1)&gt;=$AE862,DATE($AD862,9,1)&lt;=$AF862),ROUND($AG862,2),0))</f>
        <v/>
      </c>
      <c r="S862" s="18">
        <f>IF($Z862="","",IF(AND(DATE($AD862,10,1)&gt;=$AE862,DATE($AD862,10,1)&lt;=$AF862),ROUND($AG862,2),0))</f>
        <v/>
      </c>
      <c r="T862" s="18">
        <f>IF($Z862="","",IF(AND(DATE($AD862,11,1)&gt;=$AE862,DATE($AD862,11,1)&lt;=$AF862),ROUND($AG862,2),0))</f>
        <v/>
      </c>
      <c r="U862" s="18">
        <f>IF($Z862="","",IF(AND(DATE($AD862,12,1)&gt;=$AE862,DATE($AD862,12,1)&lt;=$AF862),ROUND($AG862,2),0))</f>
        <v/>
      </c>
      <c r="V862" s="7">
        <f>IF($Z862="C","Generated from "&amp;INDEX(Contracts!$A$2:$A$151,$AB862),IF($Z862="A","Generated from "&amp;INDEX(Fixed_Assets!$A$2:$A$201,$AB862),IF($Z862="F","Generated from "&amp;INDEX(FTE_Allocation!$A$2:$A$201,$AB862),"")))</f>
        <v/>
      </c>
      <c r="X862" s="19">
        <f>IF($Z862="","",SUM(J862:U862))</f>
        <v/>
      </c>
      <c r="Y862" s="20">
        <f>ROW()-1</f>
        <v/>
      </c>
      <c r="Z862" s="20">
        <f>IF($Y862&lt;=Settings!$B$4*3,"C",IF($Y862&lt;=(Settings!$B$4+Settings!$B$5)*3,"A",IF($Y862&lt;=(Settings!$B$4+Settings!$B$5+Settings!$B$6)*3,"F","")))</f>
        <v/>
      </c>
      <c r="AA862" s="20">
        <f>IF($Z862="C",$Y862,IF($Z862="A",$Y862-Settings!$B$4*3,IF($Z862="F",$Y862-(Settings!$B$4+Settings!$B$5)*3,"")))</f>
        <v/>
      </c>
      <c r="AB862" s="20">
        <f>IF($Z862="","",INT(($AA862-1)/3)+1)</f>
        <v/>
      </c>
      <c r="AC862" s="20">
        <f>IF($Z862="","",MOD($AA862-1,3)+1)</f>
        <v/>
      </c>
      <c r="AD862" s="20">
        <f>IF($Z862="","",Settings!$B$2+$AC862-1)</f>
        <v/>
      </c>
      <c r="AE862" s="21">
        <f>IF($Z862="C",DATE(YEAR(INDEX(Contracts!$J$2:$J$151,$AB862)),MONTH(INDEX(Contracts!$J$2:$J$151,$AB862)),1),IF($Z862="A",DATE(YEAR(INDEX(Fixed_Assets!$G$2:$G$201,$AB862)),MONTH(INDEX(Fixed_Assets!$G$2:$G$201,$AB862)),1),IF($Z862="F",DATE(YEAR(MAX(N(INDEX(Workforce!$I$2:$I$151,MATCH(INDEX(FTE_Allocation!$A$2:$A$201,$AB862),Workforce!$A$2:$A$151,0))),N(INDEX(FTE_Allocation!$I$2:$I$201,$AB862)))),MONTH(MAX(N(INDEX(Workforce!$I$2:$I$151,MATCH(INDEX(FTE_Allocation!$A$2:$A$201,$AB862),Workforce!$A$2:$A$151,0))),N(INDEX(FTE_Allocation!$I$2:$I$201,$AB862)))),1),"")))</f>
        <v/>
      </c>
      <c r="AF862" s="21">
        <f>IF($Z862="C",IF(INDEX(Contracts!$I$2:$I$151,$AB862)="PREPAID",EDATE(DATE(YEAR(INDEX(Contracts!$J$2:$J$151,$AB862)),MONTH(INDEX(Contracts!$J$2:$J$151,$AB862)),1),IF(INDEX(Contracts!$N$2:$N$151,$AB862)="",12,INDEX(Contracts!$N$2:$N$151,$AB862))-1),IF(INDEX(Contracts!$I$2:$I$151,$AB862)="MONTHLY",IF(INDEX(Contracts!$K$2:$K$151,$AB862)="",2958101,INDEX(Contracts!$K$2:$K$151,$AB862)),0)),IF($Z862="A",EDATE(DATE(YEAR(INDEX(Fixed_Assets!$G$2:$G$201,$AB862)),MONTH(INDEX(Fixed_Assets!$G$2:$G$201,$AB862)),1),INDEX(Fixed_Assets!$J$2:$J$201,$AB862)-1),IF($Z862="F",MIN(IF(INDEX(Workforce!$J$2:$J$151,MATCH(INDEX(FTE_Allocation!$A$2:$A$201,$AB862),Workforce!$A$2:$A$151,0))="",2958101,INDEX(Workforce!$J$2:$J$151,MATCH(INDEX(FTE_Allocation!$A$2:$A$201,$AB862),Workforce!$A$2:$A$151,0))),IF(INDEX(FTE_Allocation!$J$2:$J$201,$AB862)="",2958101,INDEX(FTE_Allocation!$J$2:$J$201,$AB862))),"")))</f>
        <v/>
      </c>
      <c r="AG862" s="19">
        <f>IF($Z862="C",IF(INDEX(Contracts!$I$2:$I$151,$AB862)="PREPAID",INDEX(Contracts!$M$2:$M$151,$AB862)/IF(INDEX(Contracts!$N$2:$N$151,$AB862)="",12,INDEX(Contracts!$N$2:$N$151,$AB862)),IF(INDEX(Contracts!$I$2:$I$151,$AB862)="MONTHLY",INDEX(Contracts!$M$2:$M$151,$AB862),0))*(1-N(INDEX(Contracts!$O$2:$O$151,$AB862))),IF($Z862="A",INDEX(Fixed_Assets!$H$2:$H$201,$AB862)/INDEX(Fixed_Assets!$J$2:$J$201,$AB862),IF($Z862="F",INDEX(Workforce!$F$2:$F$151,MATCH(INDEX(FTE_Allocation!$A$2:$A$201,$AB862),Workforce!$A$2:$A$151,0))*N(INDEX(FTE_Allocation!$F$2:$H$201,$AB862,$AC862)),"")))</f>
        <v/>
      </c>
    </row>
    <row r="863">
      <c r="A863" s="7">
        <f>IF($Z863="","",$AD863)</f>
        <v/>
      </c>
      <c r="B863" s="7">
        <f>IF($Z863="C",INDEX(Contracts!$D$2:$D$151,$AB863)&amp;"",IF($Z863="A",INDEX(Fixed_Assets!$C$2:$C$201,$AB863)&amp;"",IF($Z863="F",INDEX(Workforce!$B$2:$B$151,MATCH(INDEX(FTE_Allocation!$A$2:$A$201,$AB863),Workforce!$A$2:$A$151,0))&amp;"","")))</f>
        <v/>
      </c>
      <c r="C863" s="7">
        <f>IF($Z863="C",INDEX(Contracts!$E$2:$E$151,$AB863)&amp;"",IF($Z863="A",INDEX(Fixed_Assets!$D$2:$D$201,$AB863)&amp;"",IF($Z863="F",INDEX(FTE_Allocation!$C$2:$C$201,$AB863)&amp;"","")))</f>
        <v/>
      </c>
      <c r="D863" s="7">
        <f>IF($Z863="C",INDEX(Contracts!$B$2:$B$151,$AB863)&amp;"",IF($Z863="A",INDEX(Fixed_Assets!$B$2:$B$201,$AB863)&amp;"",IF($Z863="F",INDEX(FTE_Allocation!$B$2:$B$201,$AB863)&amp;"","")))</f>
        <v/>
      </c>
      <c r="E863" s="7">
        <f>IF($Z863="C",INDEX(Contracts!$P$2:$P$151,$AB863)&amp;"",IF($Z863="A",INDEX(Fixed_Assets!$K$2:$K$201,$AB863)&amp;"",IF($Z863="F",IF(INDEX(FTE_Allocation!$D$2:$D$201,$AB863)="PROJECT",IFERROR(INDEX(Projects!$D:$D,MATCH(INDEX(FTE_Allocation!$E$2:$E$201,$AB863),Projects!$A:$A,0))&amp;"","#PROJECT?"),INDEX(FTE_Allocation!$E$2:$E$201,$AB863)&amp;""),"")))</f>
        <v/>
      </c>
      <c r="F863" s="7">
        <f>IF($Z863="C",INDEX(Contracts!$Q$2:$Q$151,$AB863)&amp;"",IF($Z863="A",INDEX(Fixed_Assets!$L$2:$L$201,$AB863)&amp;"",IF($Z863="F",INDEX(Workforce!$K$2:$K$151,MATCH(INDEX(FTE_Allocation!$A$2:$A$201,$AB863),Workforce!$A$2:$A$151,0))&amp;"","")))</f>
        <v/>
      </c>
      <c r="G863" s="7">
        <f>IF($Z863="C",INDEX(Contracts!$F$2:$F$151,$AB863)&amp;" / "&amp;INDEX(Contracts!$G$2:$G$151,$AB863),IF($Z863="A",INDEX(Fixed_Assets!$E$2:$E$201,$AB863)&amp;"",IF($Z863="F","Personnel "&amp;INDEX(FTE_Allocation!$A$2:$A$201,$AB863)&amp;IF(INDEX(FTE_Allocation!$D$2:$D$201,$AB863)="PROJECT"," ("&amp;INDEX(FTE_Allocation!$E$2:$E$201,$AB863)&amp;")",""),"")))</f>
        <v/>
      </c>
      <c r="H863" s="7">
        <f>IF($Z863="C","CONTRACT",IF($Z863="A","ASSET",IF($Z863="F","WORKFORCE","")))</f>
        <v/>
      </c>
      <c r="I863" s="7">
        <f>IF($Z863="C",INDEX(Contracts!$L$2:$L$151,$AB863)&amp;"",IF($Z863="A",INDEX(Fixed_Assets!$I$2:$I$201,$AB863)&amp;"",IF($Z863="F",INDEX(Workforce!$G$2:$G$151,MATCH(INDEX(FTE_Allocation!$A$2:$A$201,$AB863),Workforce!$A$2:$A$151,0))&amp;"","")))</f>
        <v/>
      </c>
      <c r="J863" s="18">
        <f>IF($Z863="","",IF(AND(DATE($AD863,1,1)&gt;=$AE863,DATE($AD863,1,1)&lt;=$AF863),ROUND($AG863,2),0))</f>
        <v/>
      </c>
      <c r="K863" s="18">
        <f>IF($Z863="","",IF(AND(DATE($AD863,2,1)&gt;=$AE863,DATE($AD863,2,1)&lt;=$AF863),ROUND($AG863,2),0))</f>
        <v/>
      </c>
      <c r="L863" s="18">
        <f>IF($Z863="","",IF(AND(DATE($AD863,3,1)&gt;=$AE863,DATE($AD863,3,1)&lt;=$AF863),ROUND($AG863,2),0))</f>
        <v/>
      </c>
      <c r="M863" s="18">
        <f>IF($Z863="","",IF(AND(DATE($AD863,4,1)&gt;=$AE863,DATE($AD863,4,1)&lt;=$AF863),ROUND($AG863,2),0))</f>
        <v/>
      </c>
      <c r="N863" s="18">
        <f>IF($Z863="","",IF(AND(DATE($AD863,5,1)&gt;=$AE863,DATE($AD863,5,1)&lt;=$AF863),ROUND($AG863,2),0))</f>
        <v/>
      </c>
      <c r="O863" s="18">
        <f>IF($Z863="","",IF(AND(DATE($AD863,6,1)&gt;=$AE863,DATE($AD863,6,1)&lt;=$AF863),ROUND($AG863,2),0))</f>
        <v/>
      </c>
      <c r="P863" s="18">
        <f>IF($Z863="","",IF(AND(DATE($AD863,7,1)&gt;=$AE863,DATE($AD863,7,1)&lt;=$AF863),ROUND($AG863,2),0))</f>
        <v/>
      </c>
      <c r="Q863" s="18">
        <f>IF($Z863="","",IF(AND(DATE($AD863,8,1)&gt;=$AE863,DATE($AD863,8,1)&lt;=$AF863),ROUND($AG863,2),0))</f>
        <v/>
      </c>
      <c r="R863" s="18">
        <f>IF($Z863="","",IF(AND(DATE($AD863,9,1)&gt;=$AE863,DATE($AD863,9,1)&lt;=$AF863),ROUND($AG863,2),0))</f>
        <v/>
      </c>
      <c r="S863" s="18">
        <f>IF($Z863="","",IF(AND(DATE($AD863,10,1)&gt;=$AE863,DATE($AD863,10,1)&lt;=$AF863),ROUND($AG863,2),0))</f>
        <v/>
      </c>
      <c r="T863" s="18">
        <f>IF($Z863="","",IF(AND(DATE($AD863,11,1)&gt;=$AE863,DATE($AD863,11,1)&lt;=$AF863),ROUND($AG863,2),0))</f>
        <v/>
      </c>
      <c r="U863" s="18">
        <f>IF($Z863="","",IF(AND(DATE($AD863,12,1)&gt;=$AE863,DATE($AD863,12,1)&lt;=$AF863),ROUND($AG863,2),0))</f>
        <v/>
      </c>
      <c r="V863" s="7">
        <f>IF($Z863="C","Generated from "&amp;INDEX(Contracts!$A$2:$A$151,$AB863),IF($Z863="A","Generated from "&amp;INDEX(Fixed_Assets!$A$2:$A$201,$AB863),IF($Z863="F","Generated from "&amp;INDEX(FTE_Allocation!$A$2:$A$201,$AB863),"")))</f>
        <v/>
      </c>
      <c r="X863" s="19">
        <f>IF($Z863="","",SUM(J863:U863))</f>
        <v/>
      </c>
      <c r="Y863" s="20">
        <f>ROW()-1</f>
        <v/>
      </c>
      <c r="Z863" s="20">
        <f>IF($Y863&lt;=Settings!$B$4*3,"C",IF($Y863&lt;=(Settings!$B$4+Settings!$B$5)*3,"A",IF($Y863&lt;=(Settings!$B$4+Settings!$B$5+Settings!$B$6)*3,"F","")))</f>
        <v/>
      </c>
      <c r="AA863" s="20">
        <f>IF($Z863="C",$Y863,IF($Z863="A",$Y863-Settings!$B$4*3,IF($Z863="F",$Y863-(Settings!$B$4+Settings!$B$5)*3,"")))</f>
        <v/>
      </c>
      <c r="AB863" s="20">
        <f>IF($Z863="","",INT(($AA863-1)/3)+1)</f>
        <v/>
      </c>
      <c r="AC863" s="20">
        <f>IF($Z863="","",MOD($AA863-1,3)+1)</f>
        <v/>
      </c>
      <c r="AD863" s="20">
        <f>IF($Z863="","",Settings!$B$2+$AC863-1)</f>
        <v/>
      </c>
      <c r="AE863" s="21">
        <f>IF($Z863="C",DATE(YEAR(INDEX(Contracts!$J$2:$J$151,$AB863)),MONTH(INDEX(Contracts!$J$2:$J$151,$AB863)),1),IF($Z863="A",DATE(YEAR(INDEX(Fixed_Assets!$G$2:$G$201,$AB863)),MONTH(INDEX(Fixed_Assets!$G$2:$G$201,$AB863)),1),IF($Z863="F",DATE(YEAR(MAX(N(INDEX(Workforce!$I$2:$I$151,MATCH(INDEX(FTE_Allocation!$A$2:$A$201,$AB863),Workforce!$A$2:$A$151,0))),N(INDEX(FTE_Allocation!$I$2:$I$201,$AB863)))),MONTH(MAX(N(INDEX(Workforce!$I$2:$I$151,MATCH(INDEX(FTE_Allocation!$A$2:$A$201,$AB863),Workforce!$A$2:$A$151,0))),N(INDEX(FTE_Allocation!$I$2:$I$201,$AB863)))),1),"")))</f>
        <v/>
      </c>
      <c r="AF863" s="21">
        <f>IF($Z863="C",IF(INDEX(Contracts!$I$2:$I$151,$AB863)="PREPAID",EDATE(DATE(YEAR(INDEX(Contracts!$J$2:$J$151,$AB863)),MONTH(INDEX(Contracts!$J$2:$J$151,$AB863)),1),IF(INDEX(Contracts!$N$2:$N$151,$AB863)="",12,INDEX(Contracts!$N$2:$N$151,$AB863))-1),IF(INDEX(Contracts!$I$2:$I$151,$AB863)="MONTHLY",IF(INDEX(Contracts!$K$2:$K$151,$AB863)="",2958101,INDEX(Contracts!$K$2:$K$151,$AB863)),0)),IF($Z863="A",EDATE(DATE(YEAR(INDEX(Fixed_Assets!$G$2:$G$201,$AB863)),MONTH(INDEX(Fixed_Assets!$G$2:$G$201,$AB863)),1),INDEX(Fixed_Assets!$J$2:$J$201,$AB863)-1),IF($Z863="F",MIN(IF(INDEX(Workforce!$J$2:$J$151,MATCH(INDEX(FTE_Allocation!$A$2:$A$201,$AB863),Workforce!$A$2:$A$151,0))="",2958101,INDEX(Workforce!$J$2:$J$151,MATCH(INDEX(FTE_Allocation!$A$2:$A$201,$AB863),Workforce!$A$2:$A$151,0))),IF(INDEX(FTE_Allocation!$J$2:$J$201,$AB863)="",2958101,INDEX(FTE_Allocation!$J$2:$J$201,$AB863))),"")))</f>
        <v/>
      </c>
      <c r="AG863" s="19">
        <f>IF($Z863="C",IF(INDEX(Contracts!$I$2:$I$151,$AB863)="PREPAID",INDEX(Contracts!$M$2:$M$151,$AB863)/IF(INDEX(Contracts!$N$2:$N$151,$AB863)="",12,INDEX(Contracts!$N$2:$N$151,$AB863)),IF(INDEX(Contracts!$I$2:$I$151,$AB863)="MONTHLY",INDEX(Contracts!$M$2:$M$151,$AB863),0))*(1-N(INDEX(Contracts!$O$2:$O$151,$AB863))),IF($Z863="A",INDEX(Fixed_Assets!$H$2:$H$201,$AB863)/INDEX(Fixed_Assets!$J$2:$J$201,$AB863),IF($Z863="F",INDEX(Workforce!$F$2:$F$151,MATCH(INDEX(FTE_Allocation!$A$2:$A$201,$AB863),Workforce!$A$2:$A$151,0))*N(INDEX(FTE_Allocation!$F$2:$H$201,$AB863,$AC863)),"")))</f>
        <v/>
      </c>
    </row>
    <row r="864">
      <c r="A864" s="7">
        <f>IF($Z864="","",$AD864)</f>
        <v/>
      </c>
      <c r="B864" s="7">
        <f>IF($Z864="C",INDEX(Contracts!$D$2:$D$151,$AB864)&amp;"",IF($Z864="A",INDEX(Fixed_Assets!$C$2:$C$201,$AB864)&amp;"",IF($Z864="F",INDEX(Workforce!$B$2:$B$151,MATCH(INDEX(FTE_Allocation!$A$2:$A$201,$AB864),Workforce!$A$2:$A$151,0))&amp;"","")))</f>
        <v/>
      </c>
      <c r="C864" s="7">
        <f>IF($Z864="C",INDEX(Contracts!$E$2:$E$151,$AB864)&amp;"",IF($Z864="A",INDEX(Fixed_Assets!$D$2:$D$201,$AB864)&amp;"",IF($Z864="F",INDEX(FTE_Allocation!$C$2:$C$201,$AB864)&amp;"","")))</f>
        <v/>
      </c>
      <c r="D864" s="7">
        <f>IF($Z864="C",INDEX(Contracts!$B$2:$B$151,$AB864)&amp;"",IF($Z864="A",INDEX(Fixed_Assets!$B$2:$B$201,$AB864)&amp;"",IF($Z864="F",INDEX(FTE_Allocation!$B$2:$B$201,$AB864)&amp;"","")))</f>
        <v/>
      </c>
      <c r="E864" s="7">
        <f>IF($Z864="C",INDEX(Contracts!$P$2:$P$151,$AB864)&amp;"",IF($Z864="A",INDEX(Fixed_Assets!$K$2:$K$201,$AB864)&amp;"",IF($Z864="F",IF(INDEX(FTE_Allocation!$D$2:$D$201,$AB864)="PROJECT",IFERROR(INDEX(Projects!$D:$D,MATCH(INDEX(FTE_Allocation!$E$2:$E$201,$AB864),Projects!$A:$A,0))&amp;"","#PROJECT?"),INDEX(FTE_Allocation!$E$2:$E$201,$AB864)&amp;""),"")))</f>
        <v/>
      </c>
      <c r="F864" s="7">
        <f>IF($Z864="C",INDEX(Contracts!$Q$2:$Q$151,$AB864)&amp;"",IF($Z864="A",INDEX(Fixed_Assets!$L$2:$L$201,$AB864)&amp;"",IF($Z864="F",INDEX(Workforce!$K$2:$K$151,MATCH(INDEX(FTE_Allocation!$A$2:$A$201,$AB864),Workforce!$A$2:$A$151,0))&amp;"","")))</f>
        <v/>
      </c>
      <c r="G864" s="7">
        <f>IF($Z864="C",INDEX(Contracts!$F$2:$F$151,$AB864)&amp;" / "&amp;INDEX(Contracts!$G$2:$G$151,$AB864),IF($Z864="A",INDEX(Fixed_Assets!$E$2:$E$201,$AB864)&amp;"",IF($Z864="F","Personnel "&amp;INDEX(FTE_Allocation!$A$2:$A$201,$AB864)&amp;IF(INDEX(FTE_Allocation!$D$2:$D$201,$AB864)="PROJECT"," ("&amp;INDEX(FTE_Allocation!$E$2:$E$201,$AB864)&amp;")",""),"")))</f>
        <v/>
      </c>
      <c r="H864" s="7">
        <f>IF($Z864="C","CONTRACT",IF($Z864="A","ASSET",IF($Z864="F","WORKFORCE","")))</f>
        <v/>
      </c>
      <c r="I864" s="7">
        <f>IF($Z864="C",INDEX(Contracts!$L$2:$L$151,$AB864)&amp;"",IF($Z864="A",INDEX(Fixed_Assets!$I$2:$I$201,$AB864)&amp;"",IF($Z864="F",INDEX(Workforce!$G$2:$G$151,MATCH(INDEX(FTE_Allocation!$A$2:$A$201,$AB864),Workforce!$A$2:$A$151,0))&amp;"","")))</f>
        <v/>
      </c>
      <c r="J864" s="18">
        <f>IF($Z864="","",IF(AND(DATE($AD864,1,1)&gt;=$AE864,DATE($AD864,1,1)&lt;=$AF864),ROUND($AG864,2),0))</f>
        <v/>
      </c>
      <c r="K864" s="18">
        <f>IF($Z864="","",IF(AND(DATE($AD864,2,1)&gt;=$AE864,DATE($AD864,2,1)&lt;=$AF864),ROUND($AG864,2),0))</f>
        <v/>
      </c>
      <c r="L864" s="18">
        <f>IF($Z864="","",IF(AND(DATE($AD864,3,1)&gt;=$AE864,DATE($AD864,3,1)&lt;=$AF864),ROUND($AG864,2),0))</f>
        <v/>
      </c>
      <c r="M864" s="18">
        <f>IF($Z864="","",IF(AND(DATE($AD864,4,1)&gt;=$AE864,DATE($AD864,4,1)&lt;=$AF864),ROUND($AG864,2),0))</f>
        <v/>
      </c>
      <c r="N864" s="18">
        <f>IF($Z864="","",IF(AND(DATE($AD864,5,1)&gt;=$AE864,DATE($AD864,5,1)&lt;=$AF864),ROUND($AG864,2),0))</f>
        <v/>
      </c>
      <c r="O864" s="18">
        <f>IF($Z864="","",IF(AND(DATE($AD864,6,1)&gt;=$AE864,DATE($AD864,6,1)&lt;=$AF864),ROUND($AG864,2),0))</f>
        <v/>
      </c>
      <c r="P864" s="18">
        <f>IF($Z864="","",IF(AND(DATE($AD864,7,1)&gt;=$AE864,DATE($AD864,7,1)&lt;=$AF864),ROUND($AG864,2),0))</f>
        <v/>
      </c>
      <c r="Q864" s="18">
        <f>IF($Z864="","",IF(AND(DATE($AD864,8,1)&gt;=$AE864,DATE($AD864,8,1)&lt;=$AF864),ROUND($AG864,2),0))</f>
        <v/>
      </c>
      <c r="R864" s="18">
        <f>IF($Z864="","",IF(AND(DATE($AD864,9,1)&gt;=$AE864,DATE($AD864,9,1)&lt;=$AF864),ROUND($AG864,2),0))</f>
        <v/>
      </c>
      <c r="S864" s="18">
        <f>IF($Z864="","",IF(AND(DATE($AD864,10,1)&gt;=$AE864,DATE($AD864,10,1)&lt;=$AF864),ROUND($AG864,2),0))</f>
        <v/>
      </c>
      <c r="T864" s="18">
        <f>IF($Z864="","",IF(AND(DATE($AD864,11,1)&gt;=$AE864,DATE($AD864,11,1)&lt;=$AF864),ROUND($AG864,2),0))</f>
        <v/>
      </c>
      <c r="U864" s="18">
        <f>IF($Z864="","",IF(AND(DATE($AD864,12,1)&gt;=$AE864,DATE($AD864,12,1)&lt;=$AF864),ROUND($AG864,2),0))</f>
        <v/>
      </c>
      <c r="V864" s="7">
        <f>IF($Z864="C","Generated from "&amp;INDEX(Contracts!$A$2:$A$151,$AB864),IF($Z864="A","Generated from "&amp;INDEX(Fixed_Assets!$A$2:$A$201,$AB864),IF($Z864="F","Generated from "&amp;INDEX(FTE_Allocation!$A$2:$A$201,$AB864),"")))</f>
        <v/>
      </c>
      <c r="X864" s="19">
        <f>IF($Z864="","",SUM(J864:U864))</f>
        <v/>
      </c>
      <c r="Y864" s="20">
        <f>ROW()-1</f>
        <v/>
      </c>
      <c r="Z864" s="20">
        <f>IF($Y864&lt;=Settings!$B$4*3,"C",IF($Y864&lt;=(Settings!$B$4+Settings!$B$5)*3,"A",IF($Y864&lt;=(Settings!$B$4+Settings!$B$5+Settings!$B$6)*3,"F","")))</f>
        <v/>
      </c>
      <c r="AA864" s="20">
        <f>IF($Z864="C",$Y864,IF($Z864="A",$Y864-Settings!$B$4*3,IF($Z864="F",$Y864-(Settings!$B$4+Settings!$B$5)*3,"")))</f>
        <v/>
      </c>
      <c r="AB864" s="20">
        <f>IF($Z864="","",INT(($AA864-1)/3)+1)</f>
        <v/>
      </c>
      <c r="AC864" s="20">
        <f>IF($Z864="","",MOD($AA864-1,3)+1)</f>
        <v/>
      </c>
      <c r="AD864" s="20">
        <f>IF($Z864="","",Settings!$B$2+$AC864-1)</f>
        <v/>
      </c>
      <c r="AE864" s="21">
        <f>IF($Z864="C",DATE(YEAR(INDEX(Contracts!$J$2:$J$151,$AB864)),MONTH(INDEX(Contracts!$J$2:$J$151,$AB864)),1),IF($Z864="A",DATE(YEAR(INDEX(Fixed_Assets!$G$2:$G$201,$AB864)),MONTH(INDEX(Fixed_Assets!$G$2:$G$201,$AB864)),1),IF($Z864="F",DATE(YEAR(MAX(N(INDEX(Workforce!$I$2:$I$151,MATCH(INDEX(FTE_Allocation!$A$2:$A$201,$AB864),Workforce!$A$2:$A$151,0))),N(INDEX(FTE_Allocation!$I$2:$I$201,$AB864)))),MONTH(MAX(N(INDEX(Workforce!$I$2:$I$151,MATCH(INDEX(FTE_Allocation!$A$2:$A$201,$AB864),Workforce!$A$2:$A$151,0))),N(INDEX(FTE_Allocation!$I$2:$I$201,$AB864)))),1),"")))</f>
        <v/>
      </c>
      <c r="AF864" s="21">
        <f>IF($Z864="C",IF(INDEX(Contracts!$I$2:$I$151,$AB864)="PREPAID",EDATE(DATE(YEAR(INDEX(Contracts!$J$2:$J$151,$AB864)),MONTH(INDEX(Contracts!$J$2:$J$151,$AB864)),1),IF(INDEX(Contracts!$N$2:$N$151,$AB864)="",12,INDEX(Contracts!$N$2:$N$151,$AB864))-1),IF(INDEX(Contracts!$I$2:$I$151,$AB864)="MONTHLY",IF(INDEX(Contracts!$K$2:$K$151,$AB864)="",2958101,INDEX(Contracts!$K$2:$K$151,$AB864)),0)),IF($Z864="A",EDATE(DATE(YEAR(INDEX(Fixed_Assets!$G$2:$G$201,$AB864)),MONTH(INDEX(Fixed_Assets!$G$2:$G$201,$AB864)),1),INDEX(Fixed_Assets!$J$2:$J$201,$AB864)-1),IF($Z864="F",MIN(IF(INDEX(Workforce!$J$2:$J$151,MATCH(INDEX(FTE_Allocation!$A$2:$A$201,$AB864),Workforce!$A$2:$A$151,0))="",2958101,INDEX(Workforce!$J$2:$J$151,MATCH(INDEX(FTE_Allocation!$A$2:$A$201,$AB864),Workforce!$A$2:$A$151,0))),IF(INDEX(FTE_Allocation!$J$2:$J$201,$AB864)="",2958101,INDEX(FTE_Allocation!$J$2:$J$201,$AB864))),"")))</f>
        <v/>
      </c>
      <c r="AG864" s="19">
        <f>IF($Z864="C",IF(INDEX(Contracts!$I$2:$I$151,$AB864)="PREPAID",INDEX(Contracts!$M$2:$M$151,$AB864)/IF(INDEX(Contracts!$N$2:$N$151,$AB864)="",12,INDEX(Contracts!$N$2:$N$151,$AB864)),IF(INDEX(Contracts!$I$2:$I$151,$AB864)="MONTHLY",INDEX(Contracts!$M$2:$M$151,$AB864),0))*(1-N(INDEX(Contracts!$O$2:$O$151,$AB864))),IF($Z864="A",INDEX(Fixed_Assets!$H$2:$H$201,$AB864)/INDEX(Fixed_Assets!$J$2:$J$201,$AB864),IF($Z864="F",INDEX(Workforce!$F$2:$F$151,MATCH(INDEX(FTE_Allocation!$A$2:$A$201,$AB864),Workforce!$A$2:$A$151,0))*N(INDEX(FTE_Allocation!$F$2:$H$201,$AB864,$AC864)),"")))</f>
        <v/>
      </c>
    </row>
    <row r="865">
      <c r="A865" s="7">
        <f>IF($Z865="","",$AD865)</f>
        <v/>
      </c>
      <c r="B865" s="7">
        <f>IF($Z865="C",INDEX(Contracts!$D$2:$D$151,$AB865)&amp;"",IF($Z865="A",INDEX(Fixed_Assets!$C$2:$C$201,$AB865)&amp;"",IF($Z865="F",INDEX(Workforce!$B$2:$B$151,MATCH(INDEX(FTE_Allocation!$A$2:$A$201,$AB865),Workforce!$A$2:$A$151,0))&amp;"","")))</f>
        <v/>
      </c>
      <c r="C865" s="7">
        <f>IF($Z865="C",INDEX(Contracts!$E$2:$E$151,$AB865)&amp;"",IF($Z865="A",INDEX(Fixed_Assets!$D$2:$D$201,$AB865)&amp;"",IF($Z865="F",INDEX(FTE_Allocation!$C$2:$C$201,$AB865)&amp;"","")))</f>
        <v/>
      </c>
      <c r="D865" s="7">
        <f>IF($Z865="C",INDEX(Contracts!$B$2:$B$151,$AB865)&amp;"",IF($Z865="A",INDEX(Fixed_Assets!$B$2:$B$201,$AB865)&amp;"",IF($Z865="F",INDEX(FTE_Allocation!$B$2:$B$201,$AB865)&amp;"","")))</f>
        <v/>
      </c>
      <c r="E865" s="7">
        <f>IF($Z865="C",INDEX(Contracts!$P$2:$P$151,$AB865)&amp;"",IF($Z865="A",INDEX(Fixed_Assets!$K$2:$K$201,$AB865)&amp;"",IF($Z865="F",IF(INDEX(FTE_Allocation!$D$2:$D$201,$AB865)="PROJECT",IFERROR(INDEX(Projects!$D:$D,MATCH(INDEX(FTE_Allocation!$E$2:$E$201,$AB865),Projects!$A:$A,0))&amp;"","#PROJECT?"),INDEX(FTE_Allocation!$E$2:$E$201,$AB865)&amp;""),"")))</f>
        <v/>
      </c>
      <c r="F865" s="7">
        <f>IF($Z865="C",INDEX(Contracts!$Q$2:$Q$151,$AB865)&amp;"",IF($Z865="A",INDEX(Fixed_Assets!$L$2:$L$201,$AB865)&amp;"",IF($Z865="F",INDEX(Workforce!$K$2:$K$151,MATCH(INDEX(FTE_Allocation!$A$2:$A$201,$AB865),Workforce!$A$2:$A$151,0))&amp;"","")))</f>
        <v/>
      </c>
      <c r="G865" s="7">
        <f>IF($Z865="C",INDEX(Contracts!$F$2:$F$151,$AB865)&amp;" / "&amp;INDEX(Contracts!$G$2:$G$151,$AB865),IF($Z865="A",INDEX(Fixed_Assets!$E$2:$E$201,$AB865)&amp;"",IF($Z865="F","Personnel "&amp;INDEX(FTE_Allocation!$A$2:$A$201,$AB865)&amp;IF(INDEX(FTE_Allocation!$D$2:$D$201,$AB865)="PROJECT"," ("&amp;INDEX(FTE_Allocation!$E$2:$E$201,$AB865)&amp;")",""),"")))</f>
        <v/>
      </c>
      <c r="H865" s="7">
        <f>IF($Z865="C","CONTRACT",IF($Z865="A","ASSET",IF($Z865="F","WORKFORCE","")))</f>
        <v/>
      </c>
      <c r="I865" s="7">
        <f>IF($Z865="C",INDEX(Contracts!$L$2:$L$151,$AB865)&amp;"",IF($Z865="A",INDEX(Fixed_Assets!$I$2:$I$201,$AB865)&amp;"",IF($Z865="F",INDEX(Workforce!$G$2:$G$151,MATCH(INDEX(FTE_Allocation!$A$2:$A$201,$AB865),Workforce!$A$2:$A$151,0))&amp;"","")))</f>
        <v/>
      </c>
      <c r="J865" s="18">
        <f>IF($Z865="","",IF(AND(DATE($AD865,1,1)&gt;=$AE865,DATE($AD865,1,1)&lt;=$AF865),ROUND($AG865,2),0))</f>
        <v/>
      </c>
      <c r="K865" s="18">
        <f>IF($Z865="","",IF(AND(DATE($AD865,2,1)&gt;=$AE865,DATE($AD865,2,1)&lt;=$AF865),ROUND($AG865,2),0))</f>
        <v/>
      </c>
      <c r="L865" s="18">
        <f>IF($Z865="","",IF(AND(DATE($AD865,3,1)&gt;=$AE865,DATE($AD865,3,1)&lt;=$AF865),ROUND($AG865,2),0))</f>
        <v/>
      </c>
      <c r="M865" s="18">
        <f>IF($Z865="","",IF(AND(DATE($AD865,4,1)&gt;=$AE865,DATE($AD865,4,1)&lt;=$AF865),ROUND($AG865,2),0))</f>
        <v/>
      </c>
      <c r="N865" s="18">
        <f>IF($Z865="","",IF(AND(DATE($AD865,5,1)&gt;=$AE865,DATE($AD865,5,1)&lt;=$AF865),ROUND($AG865,2),0))</f>
        <v/>
      </c>
      <c r="O865" s="18">
        <f>IF($Z865="","",IF(AND(DATE($AD865,6,1)&gt;=$AE865,DATE($AD865,6,1)&lt;=$AF865),ROUND($AG865,2),0))</f>
        <v/>
      </c>
      <c r="P865" s="18">
        <f>IF($Z865="","",IF(AND(DATE($AD865,7,1)&gt;=$AE865,DATE($AD865,7,1)&lt;=$AF865),ROUND($AG865,2),0))</f>
        <v/>
      </c>
      <c r="Q865" s="18">
        <f>IF($Z865="","",IF(AND(DATE($AD865,8,1)&gt;=$AE865,DATE($AD865,8,1)&lt;=$AF865),ROUND($AG865,2),0))</f>
        <v/>
      </c>
      <c r="R865" s="18">
        <f>IF($Z865="","",IF(AND(DATE($AD865,9,1)&gt;=$AE865,DATE($AD865,9,1)&lt;=$AF865),ROUND($AG865,2),0))</f>
        <v/>
      </c>
      <c r="S865" s="18">
        <f>IF($Z865="","",IF(AND(DATE($AD865,10,1)&gt;=$AE865,DATE($AD865,10,1)&lt;=$AF865),ROUND($AG865,2),0))</f>
        <v/>
      </c>
      <c r="T865" s="18">
        <f>IF($Z865="","",IF(AND(DATE($AD865,11,1)&gt;=$AE865,DATE($AD865,11,1)&lt;=$AF865),ROUND($AG865,2),0))</f>
        <v/>
      </c>
      <c r="U865" s="18">
        <f>IF($Z865="","",IF(AND(DATE($AD865,12,1)&gt;=$AE865,DATE($AD865,12,1)&lt;=$AF865),ROUND($AG865,2),0))</f>
        <v/>
      </c>
      <c r="V865" s="7">
        <f>IF($Z865="C","Generated from "&amp;INDEX(Contracts!$A$2:$A$151,$AB865),IF($Z865="A","Generated from "&amp;INDEX(Fixed_Assets!$A$2:$A$201,$AB865),IF($Z865="F","Generated from "&amp;INDEX(FTE_Allocation!$A$2:$A$201,$AB865),"")))</f>
        <v/>
      </c>
      <c r="X865" s="19">
        <f>IF($Z865="","",SUM(J865:U865))</f>
        <v/>
      </c>
      <c r="Y865" s="20">
        <f>ROW()-1</f>
        <v/>
      </c>
      <c r="Z865" s="20">
        <f>IF($Y865&lt;=Settings!$B$4*3,"C",IF($Y865&lt;=(Settings!$B$4+Settings!$B$5)*3,"A",IF($Y865&lt;=(Settings!$B$4+Settings!$B$5+Settings!$B$6)*3,"F","")))</f>
        <v/>
      </c>
      <c r="AA865" s="20">
        <f>IF($Z865="C",$Y865,IF($Z865="A",$Y865-Settings!$B$4*3,IF($Z865="F",$Y865-(Settings!$B$4+Settings!$B$5)*3,"")))</f>
        <v/>
      </c>
      <c r="AB865" s="20">
        <f>IF($Z865="","",INT(($AA865-1)/3)+1)</f>
        <v/>
      </c>
      <c r="AC865" s="20">
        <f>IF($Z865="","",MOD($AA865-1,3)+1)</f>
        <v/>
      </c>
      <c r="AD865" s="20">
        <f>IF($Z865="","",Settings!$B$2+$AC865-1)</f>
        <v/>
      </c>
      <c r="AE865" s="21">
        <f>IF($Z865="C",DATE(YEAR(INDEX(Contracts!$J$2:$J$151,$AB865)),MONTH(INDEX(Contracts!$J$2:$J$151,$AB865)),1),IF($Z865="A",DATE(YEAR(INDEX(Fixed_Assets!$G$2:$G$201,$AB865)),MONTH(INDEX(Fixed_Assets!$G$2:$G$201,$AB865)),1),IF($Z865="F",DATE(YEAR(MAX(N(INDEX(Workforce!$I$2:$I$151,MATCH(INDEX(FTE_Allocation!$A$2:$A$201,$AB865),Workforce!$A$2:$A$151,0))),N(INDEX(FTE_Allocation!$I$2:$I$201,$AB865)))),MONTH(MAX(N(INDEX(Workforce!$I$2:$I$151,MATCH(INDEX(FTE_Allocation!$A$2:$A$201,$AB865),Workforce!$A$2:$A$151,0))),N(INDEX(FTE_Allocation!$I$2:$I$201,$AB865)))),1),"")))</f>
        <v/>
      </c>
      <c r="AF865" s="21">
        <f>IF($Z865="C",IF(INDEX(Contracts!$I$2:$I$151,$AB865)="PREPAID",EDATE(DATE(YEAR(INDEX(Contracts!$J$2:$J$151,$AB865)),MONTH(INDEX(Contracts!$J$2:$J$151,$AB865)),1),IF(INDEX(Contracts!$N$2:$N$151,$AB865)="",12,INDEX(Contracts!$N$2:$N$151,$AB865))-1),IF(INDEX(Contracts!$I$2:$I$151,$AB865)="MONTHLY",IF(INDEX(Contracts!$K$2:$K$151,$AB865)="",2958101,INDEX(Contracts!$K$2:$K$151,$AB865)),0)),IF($Z865="A",EDATE(DATE(YEAR(INDEX(Fixed_Assets!$G$2:$G$201,$AB865)),MONTH(INDEX(Fixed_Assets!$G$2:$G$201,$AB865)),1),INDEX(Fixed_Assets!$J$2:$J$201,$AB865)-1),IF($Z865="F",MIN(IF(INDEX(Workforce!$J$2:$J$151,MATCH(INDEX(FTE_Allocation!$A$2:$A$201,$AB865),Workforce!$A$2:$A$151,0))="",2958101,INDEX(Workforce!$J$2:$J$151,MATCH(INDEX(FTE_Allocation!$A$2:$A$201,$AB865),Workforce!$A$2:$A$151,0))),IF(INDEX(FTE_Allocation!$J$2:$J$201,$AB865)="",2958101,INDEX(FTE_Allocation!$J$2:$J$201,$AB865))),"")))</f>
        <v/>
      </c>
      <c r="AG865" s="19">
        <f>IF($Z865="C",IF(INDEX(Contracts!$I$2:$I$151,$AB865)="PREPAID",INDEX(Contracts!$M$2:$M$151,$AB865)/IF(INDEX(Contracts!$N$2:$N$151,$AB865)="",12,INDEX(Contracts!$N$2:$N$151,$AB865)),IF(INDEX(Contracts!$I$2:$I$151,$AB865)="MONTHLY",INDEX(Contracts!$M$2:$M$151,$AB865),0))*(1-N(INDEX(Contracts!$O$2:$O$151,$AB865))),IF($Z865="A",INDEX(Fixed_Assets!$H$2:$H$201,$AB865)/INDEX(Fixed_Assets!$J$2:$J$201,$AB865),IF($Z865="F",INDEX(Workforce!$F$2:$F$151,MATCH(INDEX(FTE_Allocation!$A$2:$A$201,$AB865),Workforce!$A$2:$A$151,0))*N(INDEX(FTE_Allocation!$F$2:$H$201,$AB865,$AC865)),"")))</f>
        <v/>
      </c>
    </row>
    <row r="866">
      <c r="A866" s="7">
        <f>IF($Z866="","",$AD866)</f>
        <v/>
      </c>
      <c r="B866" s="7">
        <f>IF($Z866="C",INDEX(Contracts!$D$2:$D$151,$AB866)&amp;"",IF($Z866="A",INDEX(Fixed_Assets!$C$2:$C$201,$AB866)&amp;"",IF($Z866="F",INDEX(Workforce!$B$2:$B$151,MATCH(INDEX(FTE_Allocation!$A$2:$A$201,$AB866),Workforce!$A$2:$A$151,0))&amp;"","")))</f>
        <v/>
      </c>
      <c r="C866" s="7">
        <f>IF($Z866="C",INDEX(Contracts!$E$2:$E$151,$AB866)&amp;"",IF($Z866="A",INDEX(Fixed_Assets!$D$2:$D$201,$AB866)&amp;"",IF($Z866="F",INDEX(FTE_Allocation!$C$2:$C$201,$AB866)&amp;"","")))</f>
        <v/>
      </c>
      <c r="D866" s="7">
        <f>IF($Z866="C",INDEX(Contracts!$B$2:$B$151,$AB866)&amp;"",IF($Z866="A",INDEX(Fixed_Assets!$B$2:$B$201,$AB866)&amp;"",IF($Z866="F",INDEX(FTE_Allocation!$B$2:$B$201,$AB866)&amp;"","")))</f>
        <v/>
      </c>
      <c r="E866" s="7">
        <f>IF($Z866="C",INDEX(Contracts!$P$2:$P$151,$AB866)&amp;"",IF($Z866="A",INDEX(Fixed_Assets!$K$2:$K$201,$AB866)&amp;"",IF($Z866="F",IF(INDEX(FTE_Allocation!$D$2:$D$201,$AB866)="PROJECT",IFERROR(INDEX(Projects!$D:$D,MATCH(INDEX(FTE_Allocation!$E$2:$E$201,$AB866),Projects!$A:$A,0))&amp;"","#PROJECT?"),INDEX(FTE_Allocation!$E$2:$E$201,$AB866)&amp;""),"")))</f>
        <v/>
      </c>
      <c r="F866" s="7">
        <f>IF($Z866="C",INDEX(Contracts!$Q$2:$Q$151,$AB866)&amp;"",IF($Z866="A",INDEX(Fixed_Assets!$L$2:$L$201,$AB866)&amp;"",IF($Z866="F",INDEX(Workforce!$K$2:$K$151,MATCH(INDEX(FTE_Allocation!$A$2:$A$201,$AB866),Workforce!$A$2:$A$151,0))&amp;"","")))</f>
        <v/>
      </c>
      <c r="G866" s="7">
        <f>IF($Z866="C",INDEX(Contracts!$F$2:$F$151,$AB866)&amp;" / "&amp;INDEX(Contracts!$G$2:$G$151,$AB866),IF($Z866="A",INDEX(Fixed_Assets!$E$2:$E$201,$AB866)&amp;"",IF($Z866="F","Personnel "&amp;INDEX(FTE_Allocation!$A$2:$A$201,$AB866)&amp;IF(INDEX(FTE_Allocation!$D$2:$D$201,$AB866)="PROJECT"," ("&amp;INDEX(FTE_Allocation!$E$2:$E$201,$AB866)&amp;")",""),"")))</f>
        <v/>
      </c>
      <c r="H866" s="7">
        <f>IF($Z866="C","CONTRACT",IF($Z866="A","ASSET",IF($Z866="F","WORKFORCE","")))</f>
        <v/>
      </c>
      <c r="I866" s="7">
        <f>IF($Z866="C",INDEX(Contracts!$L$2:$L$151,$AB866)&amp;"",IF($Z866="A",INDEX(Fixed_Assets!$I$2:$I$201,$AB866)&amp;"",IF($Z866="F",INDEX(Workforce!$G$2:$G$151,MATCH(INDEX(FTE_Allocation!$A$2:$A$201,$AB866),Workforce!$A$2:$A$151,0))&amp;"","")))</f>
        <v/>
      </c>
      <c r="J866" s="18">
        <f>IF($Z866="","",IF(AND(DATE($AD866,1,1)&gt;=$AE866,DATE($AD866,1,1)&lt;=$AF866),ROUND($AG866,2),0))</f>
        <v/>
      </c>
      <c r="K866" s="18">
        <f>IF($Z866="","",IF(AND(DATE($AD866,2,1)&gt;=$AE866,DATE($AD866,2,1)&lt;=$AF866),ROUND($AG866,2),0))</f>
        <v/>
      </c>
      <c r="L866" s="18">
        <f>IF($Z866="","",IF(AND(DATE($AD866,3,1)&gt;=$AE866,DATE($AD866,3,1)&lt;=$AF866),ROUND($AG866,2),0))</f>
        <v/>
      </c>
      <c r="M866" s="18">
        <f>IF($Z866="","",IF(AND(DATE($AD866,4,1)&gt;=$AE866,DATE($AD866,4,1)&lt;=$AF866),ROUND($AG866,2),0))</f>
        <v/>
      </c>
      <c r="N866" s="18">
        <f>IF($Z866="","",IF(AND(DATE($AD866,5,1)&gt;=$AE866,DATE($AD866,5,1)&lt;=$AF866),ROUND($AG866,2),0))</f>
        <v/>
      </c>
      <c r="O866" s="18">
        <f>IF($Z866="","",IF(AND(DATE($AD866,6,1)&gt;=$AE866,DATE($AD866,6,1)&lt;=$AF866),ROUND($AG866,2),0))</f>
        <v/>
      </c>
      <c r="P866" s="18">
        <f>IF($Z866="","",IF(AND(DATE($AD866,7,1)&gt;=$AE866,DATE($AD866,7,1)&lt;=$AF866),ROUND($AG866,2),0))</f>
        <v/>
      </c>
      <c r="Q866" s="18">
        <f>IF($Z866="","",IF(AND(DATE($AD866,8,1)&gt;=$AE866,DATE($AD866,8,1)&lt;=$AF866),ROUND($AG866,2),0))</f>
        <v/>
      </c>
      <c r="R866" s="18">
        <f>IF($Z866="","",IF(AND(DATE($AD866,9,1)&gt;=$AE866,DATE($AD866,9,1)&lt;=$AF866),ROUND($AG866,2),0))</f>
        <v/>
      </c>
      <c r="S866" s="18">
        <f>IF($Z866="","",IF(AND(DATE($AD866,10,1)&gt;=$AE866,DATE($AD866,10,1)&lt;=$AF866),ROUND($AG866,2),0))</f>
        <v/>
      </c>
      <c r="T866" s="18">
        <f>IF($Z866="","",IF(AND(DATE($AD866,11,1)&gt;=$AE866,DATE($AD866,11,1)&lt;=$AF866),ROUND($AG866,2),0))</f>
        <v/>
      </c>
      <c r="U866" s="18">
        <f>IF($Z866="","",IF(AND(DATE($AD866,12,1)&gt;=$AE866,DATE($AD866,12,1)&lt;=$AF866),ROUND($AG866,2),0))</f>
        <v/>
      </c>
      <c r="V866" s="7">
        <f>IF($Z866="C","Generated from "&amp;INDEX(Contracts!$A$2:$A$151,$AB866),IF($Z866="A","Generated from "&amp;INDEX(Fixed_Assets!$A$2:$A$201,$AB866),IF($Z866="F","Generated from "&amp;INDEX(FTE_Allocation!$A$2:$A$201,$AB866),"")))</f>
        <v/>
      </c>
      <c r="X866" s="19">
        <f>IF($Z866="","",SUM(J866:U866))</f>
        <v/>
      </c>
      <c r="Y866" s="20">
        <f>ROW()-1</f>
        <v/>
      </c>
      <c r="Z866" s="20">
        <f>IF($Y866&lt;=Settings!$B$4*3,"C",IF($Y866&lt;=(Settings!$B$4+Settings!$B$5)*3,"A",IF($Y866&lt;=(Settings!$B$4+Settings!$B$5+Settings!$B$6)*3,"F","")))</f>
        <v/>
      </c>
      <c r="AA866" s="20">
        <f>IF($Z866="C",$Y866,IF($Z866="A",$Y866-Settings!$B$4*3,IF($Z866="F",$Y866-(Settings!$B$4+Settings!$B$5)*3,"")))</f>
        <v/>
      </c>
      <c r="AB866" s="20">
        <f>IF($Z866="","",INT(($AA866-1)/3)+1)</f>
        <v/>
      </c>
      <c r="AC866" s="20">
        <f>IF($Z866="","",MOD($AA866-1,3)+1)</f>
        <v/>
      </c>
      <c r="AD866" s="20">
        <f>IF($Z866="","",Settings!$B$2+$AC866-1)</f>
        <v/>
      </c>
      <c r="AE866" s="21">
        <f>IF($Z866="C",DATE(YEAR(INDEX(Contracts!$J$2:$J$151,$AB866)),MONTH(INDEX(Contracts!$J$2:$J$151,$AB866)),1),IF($Z866="A",DATE(YEAR(INDEX(Fixed_Assets!$G$2:$G$201,$AB866)),MONTH(INDEX(Fixed_Assets!$G$2:$G$201,$AB866)),1),IF($Z866="F",DATE(YEAR(MAX(N(INDEX(Workforce!$I$2:$I$151,MATCH(INDEX(FTE_Allocation!$A$2:$A$201,$AB866),Workforce!$A$2:$A$151,0))),N(INDEX(FTE_Allocation!$I$2:$I$201,$AB866)))),MONTH(MAX(N(INDEX(Workforce!$I$2:$I$151,MATCH(INDEX(FTE_Allocation!$A$2:$A$201,$AB866),Workforce!$A$2:$A$151,0))),N(INDEX(FTE_Allocation!$I$2:$I$201,$AB866)))),1),"")))</f>
        <v/>
      </c>
      <c r="AF866" s="21">
        <f>IF($Z866="C",IF(INDEX(Contracts!$I$2:$I$151,$AB866)="PREPAID",EDATE(DATE(YEAR(INDEX(Contracts!$J$2:$J$151,$AB866)),MONTH(INDEX(Contracts!$J$2:$J$151,$AB866)),1),IF(INDEX(Contracts!$N$2:$N$151,$AB866)="",12,INDEX(Contracts!$N$2:$N$151,$AB866))-1),IF(INDEX(Contracts!$I$2:$I$151,$AB866)="MONTHLY",IF(INDEX(Contracts!$K$2:$K$151,$AB866)="",2958101,INDEX(Contracts!$K$2:$K$151,$AB866)),0)),IF($Z866="A",EDATE(DATE(YEAR(INDEX(Fixed_Assets!$G$2:$G$201,$AB866)),MONTH(INDEX(Fixed_Assets!$G$2:$G$201,$AB866)),1),INDEX(Fixed_Assets!$J$2:$J$201,$AB866)-1),IF($Z866="F",MIN(IF(INDEX(Workforce!$J$2:$J$151,MATCH(INDEX(FTE_Allocation!$A$2:$A$201,$AB866),Workforce!$A$2:$A$151,0))="",2958101,INDEX(Workforce!$J$2:$J$151,MATCH(INDEX(FTE_Allocation!$A$2:$A$201,$AB866),Workforce!$A$2:$A$151,0))),IF(INDEX(FTE_Allocation!$J$2:$J$201,$AB866)="",2958101,INDEX(FTE_Allocation!$J$2:$J$201,$AB866))),"")))</f>
        <v/>
      </c>
      <c r="AG866" s="19">
        <f>IF($Z866="C",IF(INDEX(Contracts!$I$2:$I$151,$AB866)="PREPAID",INDEX(Contracts!$M$2:$M$151,$AB866)/IF(INDEX(Contracts!$N$2:$N$151,$AB866)="",12,INDEX(Contracts!$N$2:$N$151,$AB866)),IF(INDEX(Contracts!$I$2:$I$151,$AB866)="MONTHLY",INDEX(Contracts!$M$2:$M$151,$AB866),0))*(1-N(INDEX(Contracts!$O$2:$O$151,$AB866))),IF($Z866="A",INDEX(Fixed_Assets!$H$2:$H$201,$AB866)/INDEX(Fixed_Assets!$J$2:$J$201,$AB866),IF($Z866="F",INDEX(Workforce!$F$2:$F$151,MATCH(INDEX(FTE_Allocation!$A$2:$A$201,$AB866),Workforce!$A$2:$A$151,0))*N(INDEX(FTE_Allocation!$F$2:$H$201,$AB866,$AC866)),"")))</f>
        <v/>
      </c>
    </row>
    <row r="867">
      <c r="A867" s="7">
        <f>IF($Z867="","",$AD867)</f>
        <v/>
      </c>
      <c r="B867" s="7">
        <f>IF($Z867="C",INDEX(Contracts!$D$2:$D$151,$AB867)&amp;"",IF($Z867="A",INDEX(Fixed_Assets!$C$2:$C$201,$AB867)&amp;"",IF($Z867="F",INDEX(Workforce!$B$2:$B$151,MATCH(INDEX(FTE_Allocation!$A$2:$A$201,$AB867),Workforce!$A$2:$A$151,0))&amp;"","")))</f>
        <v/>
      </c>
      <c r="C867" s="7">
        <f>IF($Z867="C",INDEX(Contracts!$E$2:$E$151,$AB867)&amp;"",IF($Z867="A",INDEX(Fixed_Assets!$D$2:$D$201,$AB867)&amp;"",IF($Z867="F",INDEX(FTE_Allocation!$C$2:$C$201,$AB867)&amp;"","")))</f>
        <v/>
      </c>
      <c r="D867" s="7">
        <f>IF($Z867="C",INDEX(Contracts!$B$2:$B$151,$AB867)&amp;"",IF($Z867="A",INDEX(Fixed_Assets!$B$2:$B$201,$AB867)&amp;"",IF($Z867="F",INDEX(FTE_Allocation!$B$2:$B$201,$AB867)&amp;"","")))</f>
        <v/>
      </c>
      <c r="E867" s="7">
        <f>IF($Z867="C",INDEX(Contracts!$P$2:$P$151,$AB867)&amp;"",IF($Z867="A",INDEX(Fixed_Assets!$K$2:$K$201,$AB867)&amp;"",IF($Z867="F",IF(INDEX(FTE_Allocation!$D$2:$D$201,$AB867)="PROJECT",IFERROR(INDEX(Projects!$D:$D,MATCH(INDEX(FTE_Allocation!$E$2:$E$201,$AB867),Projects!$A:$A,0))&amp;"","#PROJECT?"),INDEX(FTE_Allocation!$E$2:$E$201,$AB867)&amp;""),"")))</f>
        <v/>
      </c>
      <c r="F867" s="7">
        <f>IF($Z867="C",INDEX(Contracts!$Q$2:$Q$151,$AB867)&amp;"",IF($Z867="A",INDEX(Fixed_Assets!$L$2:$L$201,$AB867)&amp;"",IF($Z867="F",INDEX(Workforce!$K$2:$K$151,MATCH(INDEX(FTE_Allocation!$A$2:$A$201,$AB867),Workforce!$A$2:$A$151,0))&amp;"","")))</f>
        <v/>
      </c>
      <c r="G867" s="7">
        <f>IF($Z867="C",INDEX(Contracts!$F$2:$F$151,$AB867)&amp;" / "&amp;INDEX(Contracts!$G$2:$G$151,$AB867),IF($Z867="A",INDEX(Fixed_Assets!$E$2:$E$201,$AB867)&amp;"",IF($Z867="F","Personnel "&amp;INDEX(FTE_Allocation!$A$2:$A$201,$AB867)&amp;IF(INDEX(FTE_Allocation!$D$2:$D$201,$AB867)="PROJECT"," ("&amp;INDEX(FTE_Allocation!$E$2:$E$201,$AB867)&amp;")",""),"")))</f>
        <v/>
      </c>
      <c r="H867" s="7">
        <f>IF($Z867="C","CONTRACT",IF($Z867="A","ASSET",IF($Z867="F","WORKFORCE","")))</f>
        <v/>
      </c>
      <c r="I867" s="7">
        <f>IF($Z867="C",INDEX(Contracts!$L$2:$L$151,$AB867)&amp;"",IF($Z867="A",INDEX(Fixed_Assets!$I$2:$I$201,$AB867)&amp;"",IF($Z867="F",INDEX(Workforce!$G$2:$G$151,MATCH(INDEX(FTE_Allocation!$A$2:$A$201,$AB867),Workforce!$A$2:$A$151,0))&amp;"","")))</f>
        <v/>
      </c>
      <c r="J867" s="18">
        <f>IF($Z867="","",IF(AND(DATE($AD867,1,1)&gt;=$AE867,DATE($AD867,1,1)&lt;=$AF867),ROUND($AG867,2),0))</f>
        <v/>
      </c>
      <c r="K867" s="18">
        <f>IF($Z867="","",IF(AND(DATE($AD867,2,1)&gt;=$AE867,DATE($AD867,2,1)&lt;=$AF867),ROUND($AG867,2),0))</f>
        <v/>
      </c>
      <c r="L867" s="18">
        <f>IF($Z867="","",IF(AND(DATE($AD867,3,1)&gt;=$AE867,DATE($AD867,3,1)&lt;=$AF867),ROUND($AG867,2),0))</f>
        <v/>
      </c>
      <c r="M867" s="18">
        <f>IF($Z867="","",IF(AND(DATE($AD867,4,1)&gt;=$AE867,DATE($AD867,4,1)&lt;=$AF867),ROUND($AG867,2),0))</f>
        <v/>
      </c>
      <c r="N867" s="18">
        <f>IF($Z867="","",IF(AND(DATE($AD867,5,1)&gt;=$AE867,DATE($AD867,5,1)&lt;=$AF867),ROUND($AG867,2),0))</f>
        <v/>
      </c>
      <c r="O867" s="18">
        <f>IF($Z867="","",IF(AND(DATE($AD867,6,1)&gt;=$AE867,DATE($AD867,6,1)&lt;=$AF867),ROUND($AG867,2),0))</f>
        <v/>
      </c>
      <c r="P867" s="18">
        <f>IF($Z867="","",IF(AND(DATE($AD867,7,1)&gt;=$AE867,DATE($AD867,7,1)&lt;=$AF867),ROUND($AG867,2),0))</f>
        <v/>
      </c>
      <c r="Q867" s="18">
        <f>IF($Z867="","",IF(AND(DATE($AD867,8,1)&gt;=$AE867,DATE($AD867,8,1)&lt;=$AF867),ROUND($AG867,2),0))</f>
        <v/>
      </c>
      <c r="R867" s="18">
        <f>IF($Z867="","",IF(AND(DATE($AD867,9,1)&gt;=$AE867,DATE($AD867,9,1)&lt;=$AF867),ROUND($AG867,2),0))</f>
        <v/>
      </c>
      <c r="S867" s="18">
        <f>IF($Z867="","",IF(AND(DATE($AD867,10,1)&gt;=$AE867,DATE($AD867,10,1)&lt;=$AF867),ROUND($AG867,2),0))</f>
        <v/>
      </c>
      <c r="T867" s="18">
        <f>IF($Z867="","",IF(AND(DATE($AD867,11,1)&gt;=$AE867,DATE($AD867,11,1)&lt;=$AF867),ROUND($AG867,2),0))</f>
        <v/>
      </c>
      <c r="U867" s="18">
        <f>IF($Z867="","",IF(AND(DATE($AD867,12,1)&gt;=$AE867,DATE($AD867,12,1)&lt;=$AF867),ROUND($AG867,2),0))</f>
        <v/>
      </c>
      <c r="V867" s="7">
        <f>IF($Z867="C","Generated from "&amp;INDEX(Contracts!$A$2:$A$151,$AB867),IF($Z867="A","Generated from "&amp;INDEX(Fixed_Assets!$A$2:$A$201,$AB867),IF($Z867="F","Generated from "&amp;INDEX(FTE_Allocation!$A$2:$A$201,$AB867),"")))</f>
        <v/>
      </c>
      <c r="X867" s="19">
        <f>IF($Z867="","",SUM(J867:U867))</f>
        <v/>
      </c>
      <c r="Y867" s="20">
        <f>ROW()-1</f>
        <v/>
      </c>
      <c r="Z867" s="20">
        <f>IF($Y867&lt;=Settings!$B$4*3,"C",IF($Y867&lt;=(Settings!$B$4+Settings!$B$5)*3,"A",IF($Y867&lt;=(Settings!$B$4+Settings!$B$5+Settings!$B$6)*3,"F","")))</f>
        <v/>
      </c>
      <c r="AA867" s="20">
        <f>IF($Z867="C",$Y867,IF($Z867="A",$Y867-Settings!$B$4*3,IF($Z867="F",$Y867-(Settings!$B$4+Settings!$B$5)*3,"")))</f>
        <v/>
      </c>
      <c r="AB867" s="20">
        <f>IF($Z867="","",INT(($AA867-1)/3)+1)</f>
        <v/>
      </c>
      <c r="AC867" s="20">
        <f>IF($Z867="","",MOD($AA867-1,3)+1)</f>
        <v/>
      </c>
      <c r="AD867" s="20">
        <f>IF($Z867="","",Settings!$B$2+$AC867-1)</f>
        <v/>
      </c>
      <c r="AE867" s="21">
        <f>IF($Z867="C",DATE(YEAR(INDEX(Contracts!$J$2:$J$151,$AB867)),MONTH(INDEX(Contracts!$J$2:$J$151,$AB867)),1),IF($Z867="A",DATE(YEAR(INDEX(Fixed_Assets!$G$2:$G$201,$AB867)),MONTH(INDEX(Fixed_Assets!$G$2:$G$201,$AB867)),1),IF($Z867="F",DATE(YEAR(MAX(N(INDEX(Workforce!$I$2:$I$151,MATCH(INDEX(FTE_Allocation!$A$2:$A$201,$AB867),Workforce!$A$2:$A$151,0))),N(INDEX(FTE_Allocation!$I$2:$I$201,$AB867)))),MONTH(MAX(N(INDEX(Workforce!$I$2:$I$151,MATCH(INDEX(FTE_Allocation!$A$2:$A$201,$AB867),Workforce!$A$2:$A$151,0))),N(INDEX(FTE_Allocation!$I$2:$I$201,$AB867)))),1),"")))</f>
        <v/>
      </c>
      <c r="AF867" s="21">
        <f>IF($Z867="C",IF(INDEX(Contracts!$I$2:$I$151,$AB867)="PREPAID",EDATE(DATE(YEAR(INDEX(Contracts!$J$2:$J$151,$AB867)),MONTH(INDEX(Contracts!$J$2:$J$151,$AB867)),1),IF(INDEX(Contracts!$N$2:$N$151,$AB867)="",12,INDEX(Contracts!$N$2:$N$151,$AB867))-1),IF(INDEX(Contracts!$I$2:$I$151,$AB867)="MONTHLY",IF(INDEX(Contracts!$K$2:$K$151,$AB867)="",2958101,INDEX(Contracts!$K$2:$K$151,$AB867)),0)),IF($Z867="A",EDATE(DATE(YEAR(INDEX(Fixed_Assets!$G$2:$G$201,$AB867)),MONTH(INDEX(Fixed_Assets!$G$2:$G$201,$AB867)),1),INDEX(Fixed_Assets!$J$2:$J$201,$AB867)-1),IF($Z867="F",MIN(IF(INDEX(Workforce!$J$2:$J$151,MATCH(INDEX(FTE_Allocation!$A$2:$A$201,$AB867),Workforce!$A$2:$A$151,0))="",2958101,INDEX(Workforce!$J$2:$J$151,MATCH(INDEX(FTE_Allocation!$A$2:$A$201,$AB867),Workforce!$A$2:$A$151,0))),IF(INDEX(FTE_Allocation!$J$2:$J$201,$AB867)="",2958101,INDEX(FTE_Allocation!$J$2:$J$201,$AB867))),"")))</f>
        <v/>
      </c>
      <c r="AG867" s="19">
        <f>IF($Z867="C",IF(INDEX(Contracts!$I$2:$I$151,$AB867)="PREPAID",INDEX(Contracts!$M$2:$M$151,$AB867)/IF(INDEX(Contracts!$N$2:$N$151,$AB867)="",12,INDEX(Contracts!$N$2:$N$151,$AB867)),IF(INDEX(Contracts!$I$2:$I$151,$AB867)="MONTHLY",INDEX(Contracts!$M$2:$M$151,$AB867),0))*(1-N(INDEX(Contracts!$O$2:$O$151,$AB867))),IF($Z867="A",INDEX(Fixed_Assets!$H$2:$H$201,$AB867)/INDEX(Fixed_Assets!$J$2:$J$201,$AB867),IF($Z867="F",INDEX(Workforce!$F$2:$F$151,MATCH(INDEX(FTE_Allocation!$A$2:$A$201,$AB867),Workforce!$A$2:$A$151,0))*N(INDEX(FTE_Allocation!$F$2:$H$201,$AB867,$AC867)),"")))</f>
        <v/>
      </c>
    </row>
    <row r="868">
      <c r="A868" s="7">
        <f>IF($Z868="","",$AD868)</f>
        <v/>
      </c>
      <c r="B868" s="7">
        <f>IF($Z868="C",INDEX(Contracts!$D$2:$D$151,$AB868)&amp;"",IF($Z868="A",INDEX(Fixed_Assets!$C$2:$C$201,$AB868)&amp;"",IF($Z868="F",INDEX(Workforce!$B$2:$B$151,MATCH(INDEX(FTE_Allocation!$A$2:$A$201,$AB868),Workforce!$A$2:$A$151,0))&amp;"","")))</f>
        <v/>
      </c>
      <c r="C868" s="7">
        <f>IF($Z868="C",INDEX(Contracts!$E$2:$E$151,$AB868)&amp;"",IF($Z868="A",INDEX(Fixed_Assets!$D$2:$D$201,$AB868)&amp;"",IF($Z868="F",INDEX(FTE_Allocation!$C$2:$C$201,$AB868)&amp;"","")))</f>
        <v/>
      </c>
      <c r="D868" s="7">
        <f>IF($Z868="C",INDEX(Contracts!$B$2:$B$151,$AB868)&amp;"",IF($Z868="A",INDEX(Fixed_Assets!$B$2:$B$201,$AB868)&amp;"",IF($Z868="F",INDEX(FTE_Allocation!$B$2:$B$201,$AB868)&amp;"","")))</f>
        <v/>
      </c>
      <c r="E868" s="7">
        <f>IF($Z868="C",INDEX(Contracts!$P$2:$P$151,$AB868)&amp;"",IF($Z868="A",INDEX(Fixed_Assets!$K$2:$K$201,$AB868)&amp;"",IF($Z868="F",IF(INDEX(FTE_Allocation!$D$2:$D$201,$AB868)="PROJECT",IFERROR(INDEX(Projects!$D:$D,MATCH(INDEX(FTE_Allocation!$E$2:$E$201,$AB868),Projects!$A:$A,0))&amp;"","#PROJECT?"),INDEX(FTE_Allocation!$E$2:$E$201,$AB868)&amp;""),"")))</f>
        <v/>
      </c>
      <c r="F868" s="7">
        <f>IF($Z868="C",INDEX(Contracts!$Q$2:$Q$151,$AB868)&amp;"",IF($Z868="A",INDEX(Fixed_Assets!$L$2:$L$201,$AB868)&amp;"",IF($Z868="F",INDEX(Workforce!$K$2:$K$151,MATCH(INDEX(FTE_Allocation!$A$2:$A$201,$AB868),Workforce!$A$2:$A$151,0))&amp;"","")))</f>
        <v/>
      </c>
      <c r="G868" s="7">
        <f>IF($Z868="C",INDEX(Contracts!$F$2:$F$151,$AB868)&amp;" / "&amp;INDEX(Contracts!$G$2:$G$151,$AB868),IF($Z868="A",INDEX(Fixed_Assets!$E$2:$E$201,$AB868)&amp;"",IF($Z868="F","Personnel "&amp;INDEX(FTE_Allocation!$A$2:$A$201,$AB868)&amp;IF(INDEX(FTE_Allocation!$D$2:$D$201,$AB868)="PROJECT"," ("&amp;INDEX(FTE_Allocation!$E$2:$E$201,$AB868)&amp;")",""),"")))</f>
        <v/>
      </c>
      <c r="H868" s="7">
        <f>IF($Z868="C","CONTRACT",IF($Z868="A","ASSET",IF($Z868="F","WORKFORCE","")))</f>
        <v/>
      </c>
      <c r="I868" s="7">
        <f>IF($Z868="C",INDEX(Contracts!$L$2:$L$151,$AB868)&amp;"",IF($Z868="A",INDEX(Fixed_Assets!$I$2:$I$201,$AB868)&amp;"",IF($Z868="F",INDEX(Workforce!$G$2:$G$151,MATCH(INDEX(FTE_Allocation!$A$2:$A$201,$AB868),Workforce!$A$2:$A$151,0))&amp;"","")))</f>
        <v/>
      </c>
      <c r="J868" s="18">
        <f>IF($Z868="","",IF(AND(DATE($AD868,1,1)&gt;=$AE868,DATE($AD868,1,1)&lt;=$AF868),ROUND($AG868,2),0))</f>
        <v/>
      </c>
      <c r="K868" s="18">
        <f>IF($Z868="","",IF(AND(DATE($AD868,2,1)&gt;=$AE868,DATE($AD868,2,1)&lt;=$AF868),ROUND($AG868,2),0))</f>
        <v/>
      </c>
      <c r="L868" s="18">
        <f>IF($Z868="","",IF(AND(DATE($AD868,3,1)&gt;=$AE868,DATE($AD868,3,1)&lt;=$AF868),ROUND($AG868,2),0))</f>
        <v/>
      </c>
      <c r="M868" s="18">
        <f>IF($Z868="","",IF(AND(DATE($AD868,4,1)&gt;=$AE868,DATE($AD868,4,1)&lt;=$AF868),ROUND($AG868,2),0))</f>
        <v/>
      </c>
      <c r="N868" s="18">
        <f>IF($Z868="","",IF(AND(DATE($AD868,5,1)&gt;=$AE868,DATE($AD868,5,1)&lt;=$AF868),ROUND($AG868,2),0))</f>
        <v/>
      </c>
      <c r="O868" s="18">
        <f>IF($Z868="","",IF(AND(DATE($AD868,6,1)&gt;=$AE868,DATE($AD868,6,1)&lt;=$AF868),ROUND($AG868,2),0))</f>
        <v/>
      </c>
      <c r="P868" s="18">
        <f>IF($Z868="","",IF(AND(DATE($AD868,7,1)&gt;=$AE868,DATE($AD868,7,1)&lt;=$AF868),ROUND($AG868,2),0))</f>
        <v/>
      </c>
      <c r="Q868" s="18">
        <f>IF($Z868="","",IF(AND(DATE($AD868,8,1)&gt;=$AE868,DATE($AD868,8,1)&lt;=$AF868),ROUND($AG868,2),0))</f>
        <v/>
      </c>
      <c r="R868" s="18">
        <f>IF($Z868="","",IF(AND(DATE($AD868,9,1)&gt;=$AE868,DATE($AD868,9,1)&lt;=$AF868),ROUND($AG868,2),0))</f>
        <v/>
      </c>
      <c r="S868" s="18">
        <f>IF($Z868="","",IF(AND(DATE($AD868,10,1)&gt;=$AE868,DATE($AD868,10,1)&lt;=$AF868),ROUND($AG868,2),0))</f>
        <v/>
      </c>
      <c r="T868" s="18">
        <f>IF($Z868="","",IF(AND(DATE($AD868,11,1)&gt;=$AE868,DATE($AD868,11,1)&lt;=$AF868),ROUND($AG868,2),0))</f>
        <v/>
      </c>
      <c r="U868" s="18">
        <f>IF($Z868="","",IF(AND(DATE($AD868,12,1)&gt;=$AE868,DATE($AD868,12,1)&lt;=$AF868),ROUND($AG868,2),0))</f>
        <v/>
      </c>
      <c r="V868" s="7">
        <f>IF($Z868="C","Generated from "&amp;INDEX(Contracts!$A$2:$A$151,$AB868),IF($Z868="A","Generated from "&amp;INDEX(Fixed_Assets!$A$2:$A$201,$AB868),IF($Z868="F","Generated from "&amp;INDEX(FTE_Allocation!$A$2:$A$201,$AB868),"")))</f>
        <v/>
      </c>
      <c r="X868" s="19">
        <f>IF($Z868="","",SUM(J868:U868))</f>
        <v/>
      </c>
      <c r="Y868" s="20">
        <f>ROW()-1</f>
        <v/>
      </c>
      <c r="Z868" s="20">
        <f>IF($Y868&lt;=Settings!$B$4*3,"C",IF($Y868&lt;=(Settings!$B$4+Settings!$B$5)*3,"A",IF($Y868&lt;=(Settings!$B$4+Settings!$B$5+Settings!$B$6)*3,"F","")))</f>
        <v/>
      </c>
      <c r="AA868" s="20">
        <f>IF($Z868="C",$Y868,IF($Z868="A",$Y868-Settings!$B$4*3,IF($Z868="F",$Y868-(Settings!$B$4+Settings!$B$5)*3,"")))</f>
        <v/>
      </c>
      <c r="AB868" s="20">
        <f>IF($Z868="","",INT(($AA868-1)/3)+1)</f>
        <v/>
      </c>
      <c r="AC868" s="20">
        <f>IF($Z868="","",MOD($AA868-1,3)+1)</f>
        <v/>
      </c>
      <c r="AD868" s="20">
        <f>IF($Z868="","",Settings!$B$2+$AC868-1)</f>
        <v/>
      </c>
      <c r="AE868" s="21">
        <f>IF($Z868="C",DATE(YEAR(INDEX(Contracts!$J$2:$J$151,$AB868)),MONTH(INDEX(Contracts!$J$2:$J$151,$AB868)),1),IF($Z868="A",DATE(YEAR(INDEX(Fixed_Assets!$G$2:$G$201,$AB868)),MONTH(INDEX(Fixed_Assets!$G$2:$G$201,$AB868)),1),IF($Z868="F",DATE(YEAR(MAX(N(INDEX(Workforce!$I$2:$I$151,MATCH(INDEX(FTE_Allocation!$A$2:$A$201,$AB868),Workforce!$A$2:$A$151,0))),N(INDEX(FTE_Allocation!$I$2:$I$201,$AB868)))),MONTH(MAX(N(INDEX(Workforce!$I$2:$I$151,MATCH(INDEX(FTE_Allocation!$A$2:$A$201,$AB868),Workforce!$A$2:$A$151,0))),N(INDEX(FTE_Allocation!$I$2:$I$201,$AB868)))),1),"")))</f>
        <v/>
      </c>
      <c r="AF868" s="21">
        <f>IF($Z868="C",IF(INDEX(Contracts!$I$2:$I$151,$AB868)="PREPAID",EDATE(DATE(YEAR(INDEX(Contracts!$J$2:$J$151,$AB868)),MONTH(INDEX(Contracts!$J$2:$J$151,$AB868)),1),IF(INDEX(Contracts!$N$2:$N$151,$AB868)="",12,INDEX(Contracts!$N$2:$N$151,$AB868))-1),IF(INDEX(Contracts!$I$2:$I$151,$AB868)="MONTHLY",IF(INDEX(Contracts!$K$2:$K$151,$AB868)="",2958101,INDEX(Contracts!$K$2:$K$151,$AB868)),0)),IF($Z868="A",EDATE(DATE(YEAR(INDEX(Fixed_Assets!$G$2:$G$201,$AB868)),MONTH(INDEX(Fixed_Assets!$G$2:$G$201,$AB868)),1),INDEX(Fixed_Assets!$J$2:$J$201,$AB868)-1),IF($Z868="F",MIN(IF(INDEX(Workforce!$J$2:$J$151,MATCH(INDEX(FTE_Allocation!$A$2:$A$201,$AB868),Workforce!$A$2:$A$151,0))="",2958101,INDEX(Workforce!$J$2:$J$151,MATCH(INDEX(FTE_Allocation!$A$2:$A$201,$AB868),Workforce!$A$2:$A$151,0))),IF(INDEX(FTE_Allocation!$J$2:$J$201,$AB868)="",2958101,INDEX(FTE_Allocation!$J$2:$J$201,$AB868))),"")))</f>
        <v/>
      </c>
      <c r="AG868" s="19">
        <f>IF($Z868="C",IF(INDEX(Contracts!$I$2:$I$151,$AB868)="PREPAID",INDEX(Contracts!$M$2:$M$151,$AB868)/IF(INDEX(Contracts!$N$2:$N$151,$AB868)="",12,INDEX(Contracts!$N$2:$N$151,$AB868)),IF(INDEX(Contracts!$I$2:$I$151,$AB868)="MONTHLY",INDEX(Contracts!$M$2:$M$151,$AB868),0))*(1-N(INDEX(Contracts!$O$2:$O$151,$AB868))),IF($Z868="A",INDEX(Fixed_Assets!$H$2:$H$201,$AB868)/INDEX(Fixed_Assets!$J$2:$J$201,$AB868),IF($Z868="F",INDEX(Workforce!$F$2:$F$151,MATCH(INDEX(FTE_Allocation!$A$2:$A$201,$AB868),Workforce!$A$2:$A$151,0))*N(INDEX(FTE_Allocation!$F$2:$H$201,$AB868,$AC868)),"")))</f>
        <v/>
      </c>
    </row>
    <row r="869">
      <c r="A869" s="7">
        <f>IF($Z869="","",$AD869)</f>
        <v/>
      </c>
      <c r="B869" s="7">
        <f>IF($Z869="C",INDEX(Contracts!$D$2:$D$151,$AB869)&amp;"",IF($Z869="A",INDEX(Fixed_Assets!$C$2:$C$201,$AB869)&amp;"",IF($Z869="F",INDEX(Workforce!$B$2:$B$151,MATCH(INDEX(FTE_Allocation!$A$2:$A$201,$AB869),Workforce!$A$2:$A$151,0))&amp;"","")))</f>
        <v/>
      </c>
      <c r="C869" s="7">
        <f>IF($Z869="C",INDEX(Contracts!$E$2:$E$151,$AB869)&amp;"",IF($Z869="A",INDEX(Fixed_Assets!$D$2:$D$201,$AB869)&amp;"",IF($Z869="F",INDEX(FTE_Allocation!$C$2:$C$201,$AB869)&amp;"","")))</f>
        <v/>
      </c>
      <c r="D869" s="7">
        <f>IF($Z869="C",INDEX(Contracts!$B$2:$B$151,$AB869)&amp;"",IF($Z869="A",INDEX(Fixed_Assets!$B$2:$B$201,$AB869)&amp;"",IF($Z869="F",INDEX(FTE_Allocation!$B$2:$B$201,$AB869)&amp;"","")))</f>
        <v/>
      </c>
      <c r="E869" s="7">
        <f>IF($Z869="C",INDEX(Contracts!$P$2:$P$151,$AB869)&amp;"",IF($Z869="A",INDEX(Fixed_Assets!$K$2:$K$201,$AB869)&amp;"",IF($Z869="F",IF(INDEX(FTE_Allocation!$D$2:$D$201,$AB869)="PROJECT",IFERROR(INDEX(Projects!$D:$D,MATCH(INDEX(FTE_Allocation!$E$2:$E$201,$AB869),Projects!$A:$A,0))&amp;"","#PROJECT?"),INDEX(FTE_Allocation!$E$2:$E$201,$AB869)&amp;""),"")))</f>
        <v/>
      </c>
      <c r="F869" s="7">
        <f>IF($Z869="C",INDEX(Contracts!$Q$2:$Q$151,$AB869)&amp;"",IF($Z869="A",INDEX(Fixed_Assets!$L$2:$L$201,$AB869)&amp;"",IF($Z869="F",INDEX(Workforce!$K$2:$K$151,MATCH(INDEX(FTE_Allocation!$A$2:$A$201,$AB869),Workforce!$A$2:$A$151,0))&amp;"","")))</f>
        <v/>
      </c>
      <c r="G869" s="7">
        <f>IF($Z869="C",INDEX(Contracts!$F$2:$F$151,$AB869)&amp;" / "&amp;INDEX(Contracts!$G$2:$G$151,$AB869),IF($Z869="A",INDEX(Fixed_Assets!$E$2:$E$201,$AB869)&amp;"",IF($Z869="F","Personnel "&amp;INDEX(FTE_Allocation!$A$2:$A$201,$AB869)&amp;IF(INDEX(FTE_Allocation!$D$2:$D$201,$AB869)="PROJECT"," ("&amp;INDEX(FTE_Allocation!$E$2:$E$201,$AB869)&amp;")",""),"")))</f>
        <v/>
      </c>
      <c r="H869" s="7">
        <f>IF($Z869="C","CONTRACT",IF($Z869="A","ASSET",IF($Z869="F","WORKFORCE","")))</f>
        <v/>
      </c>
      <c r="I869" s="7">
        <f>IF($Z869="C",INDEX(Contracts!$L$2:$L$151,$AB869)&amp;"",IF($Z869="A",INDEX(Fixed_Assets!$I$2:$I$201,$AB869)&amp;"",IF($Z869="F",INDEX(Workforce!$G$2:$G$151,MATCH(INDEX(FTE_Allocation!$A$2:$A$201,$AB869),Workforce!$A$2:$A$151,0))&amp;"","")))</f>
        <v/>
      </c>
      <c r="J869" s="18">
        <f>IF($Z869="","",IF(AND(DATE($AD869,1,1)&gt;=$AE869,DATE($AD869,1,1)&lt;=$AF869),ROUND($AG869,2),0))</f>
        <v/>
      </c>
      <c r="K869" s="18">
        <f>IF($Z869="","",IF(AND(DATE($AD869,2,1)&gt;=$AE869,DATE($AD869,2,1)&lt;=$AF869),ROUND($AG869,2),0))</f>
        <v/>
      </c>
      <c r="L869" s="18">
        <f>IF($Z869="","",IF(AND(DATE($AD869,3,1)&gt;=$AE869,DATE($AD869,3,1)&lt;=$AF869),ROUND($AG869,2),0))</f>
        <v/>
      </c>
      <c r="M869" s="18">
        <f>IF($Z869="","",IF(AND(DATE($AD869,4,1)&gt;=$AE869,DATE($AD869,4,1)&lt;=$AF869),ROUND($AG869,2),0))</f>
        <v/>
      </c>
      <c r="N869" s="18">
        <f>IF($Z869="","",IF(AND(DATE($AD869,5,1)&gt;=$AE869,DATE($AD869,5,1)&lt;=$AF869),ROUND($AG869,2),0))</f>
        <v/>
      </c>
      <c r="O869" s="18">
        <f>IF($Z869="","",IF(AND(DATE($AD869,6,1)&gt;=$AE869,DATE($AD869,6,1)&lt;=$AF869),ROUND($AG869,2),0))</f>
        <v/>
      </c>
      <c r="P869" s="18">
        <f>IF($Z869="","",IF(AND(DATE($AD869,7,1)&gt;=$AE869,DATE($AD869,7,1)&lt;=$AF869),ROUND($AG869,2),0))</f>
        <v/>
      </c>
      <c r="Q869" s="18">
        <f>IF($Z869="","",IF(AND(DATE($AD869,8,1)&gt;=$AE869,DATE($AD869,8,1)&lt;=$AF869),ROUND($AG869,2),0))</f>
        <v/>
      </c>
      <c r="R869" s="18">
        <f>IF($Z869="","",IF(AND(DATE($AD869,9,1)&gt;=$AE869,DATE($AD869,9,1)&lt;=$AF869),ROUND($AG869,2),0))</f>
        <v/>
      </c>
      <c r="S869" s="18">
        <f>IF($Z869="","",IF(AND(DATE($AD869,10,1)&gt;=$AE869,DATE($AD869,10,1)&lt;=$AF869),ROUND($AG869,2),0))</f>
        <v/>
      </c>
      <c r="T869" s="18">
        <f>IF($Z869="","",IF(AND(DATE($AD869,11,1)&gt;=$AE869,DATE($AD869,11,1)&lt;=$AF869),ROUND($AG869,2),0))</f>
        <v/>
      </c>
      <c r="U869" s="18">
        <f>IF($Z869="","",IF(AND(DATE($AD869,12,1)&gt;=$AE869,DATE($AD869,12,1)&lt;=$AF869),ROUND($AG869,2),0))</f>
        <v/>
      </c>
      <c r="V869" s="7">
        <f>IF($Z869="C","Generated from "&amp;INDEX(Contracts!$A$2:$A$151,$AB869),IF($Z869="A","Generated from "&amp;INDEX(Fixed_Assets!$A$2:$A$201,$AB869),IF($Z869="F","Generated from "&amp;INDEX(FTE_Allocation!$A$2:$A$201,$AB869),"")))</f>
        <v/>
      </c>
      <c r="X869" s="19">
        <f>IF($Z869="","",SUM(J869:U869))</f>
        <v/>
      </c>
      <c r="Y869" s="20">
        <f>ROW()-1</f>
        <v/>
      </c>
      <c r="Z869" s="20">
        <f>IF($Y869&lt;=Settings!$B$4*3,"C",IF($Y869&lt;=(Settings!$B$4+Settings!$B$5)*3,"A",IF($Y869&lt;=(Settings!$B$4+Settings!$B$5+Settings!$B$6)*3,"F","")))</f>
        <v/>
      </c>
      <c r="AA869" s="20">
        <f>IF($Z869="C",$Y869,IF($Z869="A",$Y869-Settings!$B$4*3,IF($Z869="F",$Y869-(Settings!$B$4+Settings!$B$5)*3,"")))</f>
        <v/>
      </c>
      <c r="AB869" s="20">
        <f>IF($Z869="","",INT(($AA869-1)/3)+1)</f>
        <v/>
      </c>
      <c r="AC869" s="20">
        <f>IF($Z869="","",MOD($AA869-1,3)+1)</f>
        <v/>
      </c>
      <c r="AD869" s="20">
        <f>IF($Z869="","",Settings!$B$2+$AC869-1)</f>
        <v/>
      </c>
      <c r="AE869" s="21">
        <f>IF($Z869="C",DATE(YEAR(INDEX(Contracts!$J$2:$J$151,$AB869)),MONTH(INDEX(Contracts!$J$2:$J$151,$AB869)),1),IF($Z869="A",DATE(YEAR(INDEX(Fixed_Assets!$G$2:$G$201,$AB869)),MONTH(INDEX(Fixed_Assets!$G$2:$G$201,$AB869)),1),IF($Z869="F",DATE(YEAR(MAX(N(INDEX(Workforce!$I$2:$I$151,MATCH(INDEX(FTE_Allocation!$A$2:$A$201,$AB869),Workforce!$A$2:$A$151,0))),N(INDEX(FTE_Allocation!$I$2:$I$201,$AB869)))),MONTH(MAX(N(INDEX(Workforce!$I$2:$I$151,MATCH(INDEX(FTE_Allocation!$A$2:$A$201,$AB869),Workforce!$A$2:$A$151,0))),N(INDEX(FTE_Allocation!$I$2:$I$201,$AB869)))),1),"")))</f>
        <v/>
      </c>
      <c r="AF869" s="21">
        <f>IF($Z869="C",IF(INDEX(Contracts!$I$2:$I$151,$AB869)="PREPAID",EDATE(DATE(YEAR(INDEX(Contracts!$J$2:$J$151,$AB869)),MONTH(INDEX(Contracts!$J$2:$J$151,$AB869)),1),IF(INDEX(Contracts!$N$2:$N$151,$AB869)="",12,INDEX(Contracts!$N$2:$N$151,$AB869))-1),IF(INDEX(Contracts!$I$2:$I$151,$AB869)="MONTHLY",IF(INDEX(Contracts!$K$2:$K$151,$AB869)="",2958101,INDEX(Contracts!$K$2:$K$151,$AB869)),0)),IF($Z869="A",EDATE(DATE(YEAR(INDEX(Fixed_Assets!$G$2:$G$201,$AB869)),MONTH(INDEX(Fixed_Assets!$G$2:$G$201,$AB869)),1),INDEX(Fixed_Assets!$J$2:$J$201,$AB869)-1),IF($Z869="F",MIN(IF(INDEX(Workforce!$J$2:$J$151,MATCH(INDEX(FTE_Allocation!$A$2:$A$201,$AB869),Workforce!$A$2:$A$151,0))="",2958101,INDEX(Workforce!$J$2:$J$151,MATCH(INDEX(FTE_Allocation!$A$2:$A$201,$AB869),Workforce!$A$2:$A$151,0))),IF(INDEX(FTE_Allocation!$J$2:$J$201,$AB869)="",2958101,INDEX(FTE_Allocation!$J$2:$J$201,$AB869))),"")))</f>
        <v/>
      </c>
      <c r="AG869" s="19">
        <f>IF($Z869="C",IF(INDEX(Contracts!$I$2:$I$151,$AB869)="PREPAID",INDEX(Contracts!$M$2:$M$151,$AB869)/IF(INDEX(Contracts!$N$2:$N$151,$AB869)="",12,INDEX(Contracts!$N$2:$N$151,$AB869)),IF(INDEX(Contracts!$I$2:$I$151,$AB869)="MONTHLY",INDEX(Contracts!$M$2:$M$151,$AB869),0))*(1-N(INDEX(Contracts!$O$2:$O$151,$AB869))),IF($Z869="A",INDEX(Fixed_Assets!$H$2:$H$201,$AB869)/INDEX(Fixed_Assets!$J$2:$J$201,$AB869),IF($Z869="F",INDEX(Workforce!$F$2:$F$151,MATCH(INDEX(FTE_Allocation!$A$2:$A$201,$AB869),Workforce!$A$2:$A$151,0))*N(INDEX(FTE_Allocation!$F$2:$H$201,$AB869,$AC869)),"")))</f>
        <v/>
      </c>
    </row>
    <row r="870">
      <c r="A870" s="7">
        <f>IF($Z870="","",$AD870)</f>
        <v/>
      </c>
      <c r="B870" s="7">
        <f>IF($Z870="C",INDEX(Contracts!$D$2:$D$151,$AB870)&amp;"",IF($Z870="A",INDEX(Fixed_Assets!$C$2:$C$201,$AB870)&amp;"",IF($Z870="F",INDEX(Workforce!$B$2:$B$151,MATCH(INDEX(FTE_Allocation!$A$2:$A$201,$AB870),Workforce!$A$2:$A$151,0))&amp;"","")))</f>
        <v/>
      </c>
      <c r="C870" s="7">
        <f>IF($Z870="C",INDEX(Contracts!$E$2:$E$151,$AB870)&amp;"",IF($Z870="A",INDEX(Fixed_Assets!$D$2:$D$201,$AB870)&amp;"",IF($Z870="F",INDEX(FTE_Allocation!$C$2:$C$201,$AB870)&amp;"","")))</f>
        <v/>
      </c>
      <c r="D870" s="7">
        <f>IF($Z870="C",INDEX(Contracts!$B$2:$B$151,$AB870)&amp;"",IF($Z870="A",INDEX(Fixed_Assets!$B$2:$B$201,$AB870)&amp;"",IF($Z870="F",INDEX(FTE_Allocation!$B$2:$B$201,$AB870)&amp;"","")))</f>
        <v/>
      </c>
      <c r="E870" s="7">
        <f>IF($Z870="C",INDEX(Contracts!$P$2:$P$151,$AB870)&amp;"",IF($Z870="A",INDEX(Fixed_Assets!$K$2:$K$201,$AB870)&amp;"",IF($Z870="F",IF(INDEX(FTE_Allocation!$D$2:$D$201,$AB870)="PROJECT",IFERROR(INDEX(Projects!$D:$D,MATCH(INDEX(FTE_Allocation!$E$2:$E$201,$AB870),Projects!$A:$A,0))&amp;"","#PROJECT?"),INDEX(FTE_Allocation!$E$2:$E$201,$AB870)&amp;""),"")))</f>
        <v/>
      </c>
      <c r="F870" s="7">
        <f>IF($Z870="C",INDEX(Contracts!$Q$2:$Q$151,$AB870)&amp;"",IF($Z870="A",INDEX(Fixed_Assets!$L$2:$L$201,$AB870)&amp;"",IF($Z870="F",INDEX(Workforce!$K$2:$K$151,MATCH(INDEX(FTE_Allocation!$A$2:$A$201,$AB870),Workforce!$A$2:$A$151,0))&amp;"","")))</f>
        <v/>
      </c>
      <c r="G870" s="7">
        <f>IF($Z870="C",INDEX(Contracts!$F$2:$F$151,$AB870)&amp;" / "&amp;INDEX(Contracts!$G$2:$G$151,$AB870),IF($Z870="A",INDEX(Fixed_Assets!$E$2:$E$201,$AB870)&amp;"",IF($Z870="F","Personnel "&amp;INDEX(FTE_Allocation!$A$2:$A$201,$AB870)&amp;IF(INDEX(FTE_Allocation!$D$2:$D$201,$AB870)="PROJECT"," ("&amp;INDEX(FTE_Allocation!$E$2:$E$201,$AB870)&amp;")",""),"")))</f>
        <v/>
      </c>
      <c r="H870" s="7">
        <f>IF($Z870="C","CONTRACT",IF($Z870="A","ASSET",IF($Z870="F","WORKFORCE","")))</f>
        <v/>
      </c>
      <c r="I870" s="7">
        <f>IF($Z870="C",INDEX(Contracts!$L$2:$L$151,$AB870)&amp;"",IF($Z870="A",INDEX(Fixed_Assets!$I$2:$I$201,$AB870)&amp;"",IF($Z870="F",INDEX(Workforce!$G$2:$G$151,MATCH(INDEX(FTE_Allocation!$A$2:$A$201,$AB870),Workforce!$A$2:$A$151,0))&amp;"","")))</f>
        <v/>
      </c>
      <c r="J870" s="18">
        <f>IF($Z870="","",IF(AND(DATE($AD870,1,1)&gt;=$AE870,DATE($AD870,1,1)&lt;=$AF870),ROUND($AG870,2),0))</f>
        <v/>
      </c>
      <c r="K870" s="18">
        <f>IF($Z870="","",IF(AND(DATE($AD870,2,1)&gt;=$AE870,DATE($AD870,2,1)&lt;=$AF870),ROUND($AG870,2),0))</f>
        <v/>
      </c>
      <c r="L870" s="18">
        <f>IF($Z870="","",IF(AND(DATE($AD870,3,1)&gt;=$AE870,DATE($AD870,3,1)&lt;=$AF870),ROUND($AG870,2),0))</f>
        <v/>
      </c>
      <c r="M870" s="18">
        <f>IF($Z870="","",IF(AND(DATE($AD870,4,1)&gt;=$AE870,DATE($AD870,4,1)&lt;=$AF870),ROUND($AG870,2),0))</f>
        <v/>
      </c>
      <c r="N870" s="18">
        <f>IF($Z870="","",IF(AND(DATE($AD870,5,1)&gt;=$AE870,DATE($AD870,5,1)&lt;=$AF870),ROUND($AG870,2),0))</f>
        <v/>
      </c>
      <c r="O870" s="18">
        <f>IF($Z870="","",IF(AND(DATE($AD870,6,1)&gt;=$AE870,DATE($AD870,6,1)&lt;=$AF870),ROUND($AG870,2),0))</f>
        <v/>
      </c>
      <c r="P870" s="18">
        <f>IF($Z870="","",IF(AND(DATE($AD870,7,1)&gt;=$AE870,DATE($AD870,7,1)&lt;=$AF870),ROUND($AG870,2),0))</f>
        <v/>
      </c>
      <c r="Q870" s="18">
        <f>IF($Z870="","",IF(AND(DATE($AD870,8,1)&gt;=$AE870,DATE($AD870,8,1)&lt;=$AF870),ROUND($AG870,2),0))</f>
        <v/>
      </c>
      <c r="R870" s="18">
        <f>IF($Z870="","",IF(AND(DATE($AD870,9,1)&gt;=$AE870,DATE($AD870,9,1)&lt;=$AF870),ROUND($AG870,2),0))</f>
        <v/>
      </c>
      <c r="S870" s="18">
        <f>IF($Z870="","",IF(AND(DATE($AD870,10,1)&gt;=$AE870,DATE($AD870,10,1)&lt;=$AF870),ROUND($AG870,2),0))</f>
        <v/>
      </c>
      <c r="T870" s="18">
        <f>IF($Z870="","",IF(AND(DATE($AD870,11,1)&gt;=$AE870,DATE($AD870,11,1)&lt;=$AF870),ROUND($AG870,2),0))</f>
        <v/>
      </c>
      <c r="U870" s="18">
        <f>IF($Z870="","",IF(AND(DATE($AD870,12,1)&gt;=$AE870,DATE($AD870,12,1)&lt;=$AF870),ROUND($AG870,2),0))</f>
        <v/>
      </c>
      <c r="V870" s="7">
        <f>IF($Z870="C","Generated from "&amp;INDEX(Contracts!$A$2:$A$151,$AB870),IF($Z870="A","Generated from "&amp;INDEX(Fixed_Assets!$A$2:$A$201,$AB870),IF($Z870="F","Generated from "&amp;INDEX(FTE_Allocation!$A$2:$A$201,$AB870),"")))</f>
        <v/>
      </c>
      <c r="X870" s="19">
        <f>IF($Z870="","",SUM(J870:U870))</f>
        <v/>
      </c>
      <c r="Y870" s="20">
        <f>ROW()-1</f>
        <v/>
      </c>
      <c r="Z870" s="20">
        <f>IF($Y870&lt;=Settings!$B$4*3,"C",IF($Y870&lt;=(Settings!$B$4+Settings!$B$5)*3,"A",IF($Y870&lt;=(Settings!$B$4+Settings!$B$5+Settings!$B$6)*3,"F","")))</f>
        <v/>
      </c>
      <c r="AA870" s="20">
        <f>IF($Z870="C",$Y870,IF($Z870="A",$Y870-Settings!$B$4*3,IF($Z870="F",$Y870-(Settings!$B$4+Settings!$B$5)*3,"")))</f>
        <v/>
      </c>
      <c r="AB870" s="20">
        <f>IF($Z870="","",INT(($AA870-1)/3)+1)</f>
        <v/>
      </c>
      <c r="AC870" s="20">
        <f>IF($Z870="","",MOD($AA870-1,3)+1)</f>
        <v/>
      </c>
      <c r="AD870" s="20">
        <f>IF($Z870="","",Settings!$B$2+$AC870-1)</f>
        <v/>
      </c>
      <c r="AE870" s="21">
        <f>IF($Z870="C",DATE(YEAR(INDEX(Contracts!$J$2:$J$151,$AB870)),MONTH(INDEX(Contracts!$J$2:$J$151,$AB870)),1),IF($Z870="A",DATE(YEAR(INDEX(Fixed_Assets!$G$2:$G$201,$AB870)),MONTH(INDEX(Fixed_Assets!$G$2:$G$201,$AB870)),1),IF($Z870="F",DATE(YEAR(MAX(N(INDEX(Workforce!$I$2:$I$151,MATCH(INDEX(FTE_Allocation!$A$2:$A$201,$AB870),Workforce!$A$2:$A$151,0))),N(INDEX(FTE_Allocation!$I$2:$I$201,$AB870)))),MONTH(MAX(N(INDEX(Workforce!$I$2:$I$151,MATCH(INDEX(FTE_Allocation!$A$2:$A$201,$AB870),Workforce!$A$2:$A$151,0))),N(INDEX(FTE_Allocation!$I$2:$I$201,$AB870)))),1),"")))</f>
        <v/>
      </c>
      <c r="AF870" s="21">
        <f>IF($Z870="C",IF(INDEX(Contracts!$I$2:$I$151,$AB870)="PREPAID",EDATE(DATE(YEAR(INDEX(Contracts!$J$2:$J$151,$AB870)),MONTH(INDEX(Contracts!$J$2:$J$151,$AB870)),1),IF(INDEX(Contracts!$N$2:$N$151,$AB870)="",12,INDEX(Contracts!$N$2:$N$151,$AB870))-1),IF(INDEX(Contracts!$I$2:$I$151,$AB870)="MONTHLY",IF(INDEX(Contracts!$K$2:$K$151,$AB870)="",2958101,INDEX(Contracts!$K$2:$K$151,$AB870)),0)),IF($Z870="A",EDATE(DATE(YEAR(INDEX(Fixed_Assets!$G$2:$G$201,$AB870)),MONTH(INDEX(Fixed_Assets!$G$2:$G$201,$AB870)),1),INDEX(Fixed_Assets!$J$2:$J$201,$AB870)-1),IF($Z870="F",MIN(IF(INDEX(Workforce!$J$2:$J$151,MATCH(INDEX(FTE_Allocation!$A$2:$A$201,$AB870),Workforce!$A$2:$A$151,0))="",2958101,INDEX(Workforce!$J$2:$J$151,MATCH(INDEX(FTE_Allocation!$A$2:$A$201,$AB870),Workforce!$A$2:$A$151,0))),IF(INDEX(FTE_Allocation!$J$2:$J$201,$AB870)="",2958101,INDEX(FTE_Allocation!$J$2:$J$201,$AB870))),"")))</f>
        <v/>
      </c>
      <c r="AG870" s="19">
        <f>IF($Z870="C",IF(INDEX(Contracts!$I$2:$I$151,$AB870)="PREPAID",INDEX(Contracts!$M$2:$M$151,$AB870)/IF(INDEX(Contracts!$N$2:$N$151,$AB870)="",12,INDEX(Contracts!$N$2:$N$151,$AB870)),IF(INDEX(Contracts!$I$2:$I$151,$AB870)="MONTHLY",INDEX(Contracts!$M$2:$M$151,$AB870),0))*(1-N(INDEX(Contracts!$O$2:$O$151,$AB870))),IF($Z870="A",INDEX(Fixed_Assets!$H$2:$H$201,$AB870)/INDEX(Fixed_Assets!$J$2:$J$201,$AB870),IF($Z870="F",INDEX(Workforce!$F$2:$F$151,MATCH(INDEX(FTE_Allocation!$A$2:$A$201,$AB870),Workforce!$A$2:$A$151,0))*N(INDEX(FTE_Allocation!$F$2:$H$201,$AB870,$AC870)),"")))</f>
        <v/>
      </c>
    </row>
    <row r="871">
      <c r="A871" s="7">
        <f>IF($Z871="","",$AD871)</f>
        <v/>
      </c>
      <c r="B871" s="7">
        <f>IF($Z871="C",INDEX(Contracts!$D$2:$D$151,$AB871)&amp;"",IF($Z871="A",INDEX(Fixed_Assets!$C$2:$C$201,$AB871)&amp;"",IF($Z871="F",INDEX(Workforce!$B$2:$B$151,MATCH(INDEX(FTE_Allocation!$A$2:$A$201,$AB871),Workforce!$A$2:$A$151,0))&amp;"","")))</f>
        <v/>
      </c>
      <c r="C871" s="7">
        <f>IF($Z871="C",INDEX(Contracts!$E$2:$E$151,$AB871)&amp;"",IF($Z871="A",INDEX(Fixed_Assets!$D$2:$D$201,$AB871)&amp;"",IF($Z871="F",INDEX(FTE_Allocation!$C$2:$C$201,$AB871)&amp;"","")))</f>
        <v/>
      </c>
      <c r="D871" s="7">
        <f>IF($Z871="C",INDEX(Contracts!$B$2:$B$151,$AB871)&amp;"",IF($Z871="A",INDEX(Fixed_Assets!$B$2:$B$201,$AB871)&amp;"",IF($Z871="F",INDEX(FTE_Allocation!$B$2:$B$201,$AB871)&amp;"","")))</f>
        <v/>
      </c>
      <c r="E871" s="7">
        <f>IF($Z871="C",INDEX(Contracts!$P$2:$P$151,$AB871)&amp;"",IF($Z871="A",INDEX(Fixed_Assets!$K$2:$K$201,$AB871)&amp;"",IF($Z871="F",IF(INDEX(FTE_Allocation!$D$2:$D$201,$AB871)="PROJECT",IFERROR(INDEX(Projects!$D:$D,MATCH(INDEX(FTE_Allocation!$E$2:$E$201,$AB871),Projects!$A:$A,0))&amp;"","#PROJECT?"),INDEX(FTE_Allocation!$E$2:$E$201,$AB871)&amp;""),"")))</f>
        <v/>
      </c>
      <c r="F871" s="7">
        <f>IF($Z871="C",INDEX(Contracts!$Q$2:$Q$151,$AB871)&amp;"",IF($Z871="A",INDEX(Fixed_Assets!$L$2:$L$201,$AB871)&amp;"",IF($Z871="F",INDEX(Workforce!$K$2:$K$151,MATCH(INDEX(FTE_Allocation!$A$2:$A$201,$AB871),Workforce!$A$2:$A$151,0))&amp;"","")))</f>
        <v/>
      </c>
      <c r="G871" s="7">
        <f>IF($Z871="C",INDEX(Contracts!$F$2:$F$151,$AB871)&amp;" / "&amp;INDEX(Contracts!$G$2:$G$151,$AB871),IF($Z871="A",INDEX(Fixed_Assets!$E$2:$E$201,$AB871)&amp;"",IF($Z871="F","Personnel "&amp;INDEX(FTE_Allocation!$A$2:$A$201,$AB871)&amp;IF(INDEX(FTE_Allocation!$D$2:$D$201,$AB871)="PROJECT"," ("&amp;INDEX(FTE_Allocation!$E$2:$E$201,$AB871)&amp;")",""),"")))</f>
        <v/>
      </c>
      <c r="H871" s="7">
        <f>IF($Z871="C","CONTRACT",IF($Z871="A","ASSET",IF($Z871="F","WORKFORCE","")))</f>
        <v/>
      </c>
      <c r="I871" s="7">
        <f>IF($Z871="C",INDEX(Contracts!$L$2:$L$151,$AB871)&amp;"",IF($Z871="A",INDEX(Fixed_Assets!$I$2:$I$201,$AB871)&amp;"",IF($Z871="F",INDEX(Workforce!$G$2:$G$151,MATCH(INDEX(FTE_Allocation!$A$2:$A$201,$AB871),Workforce!$A$2:$A$151,0))&amp;"","")))</f>
        <v/>
      </c>
      <c r="J871" s="18">
        <f>IF($Z871="","",IF(AND(DATE($AD871,1,1)&gt;=$AE871,DATE($AD871,1,1)&lt;=$AF871),ROUND($AG871,2),0))</f>
        <v/>
      </c>
      <c r="K871" s="18">
        <f>IF($Z871="","",IF(AND(DATE($AD871,2,1)&gt;=$AE871,DATE($AD871,2,1)&lt;=$AF871),ROUND($AG871,2),0))</f>
        <v/>
      </c>
      <c r="L871" s="18">
        <f>IF($Z871="","",IF(AND(DATE($AD871,3,1)&gt;=$AE871,DATE($AD871,3,1)&lt;=$AF871),ROUND($AG871,2),0))</f>
        <v/>
      </c>
      <c r="M871" s="18">
        <f>IF($Z871="","",IF(AND(DATE($AD871,4,1)&gt;=$AE871,DATE($AD871,4,1)&lt;=$AF871),ROUND($AG871,2),0))</f>
        <v/>
      </c>
      <c r="N871" s="18">
        <f>IF($Z871="","",IF(AND(DATE($AD871,5,1)&gt;=$AE871,DATE($AD871,5,1)&lt;=$AF871),ROUND($AG871,2),0))</f>
        <v/>
      </c>
      <c r="O871" s="18">
        <f>IF($Z871="","",IF(AND(DATE($AD871,6,1)&gt;=$AE871,DATE($AD871,6,1)&lt;=$AF871),ROUND($AG871,2),0))</f>
        <v/>
      </c>
      <c r="P871" s="18">
        <f>IF($Z871="","",IF(AND(DATE($AD871,7,1)&gt;=$AE871,DATE($AD871,7,1)&lt;=$AF871),ROUND($AG871,2),0))</f>
        <v/>
      </c>
      <c r="Q871" s="18">
        <f>IF($Z871="","",IF(AND(DATE($AD871,8,1)&gt;=$AE871,DATE($AD871,8,1)&lt;=$AF871),ROUND($AG871,2),0))</f>
        <v/>
      </c>
      <c r="R871" s="18">
        <f>IF($Z871="","",IF(AND(DATE($AD871,9,1)&gt;=$AE871,DATE($AD871,9,1)&lt;=$AF871),ROUND($AG871,2),0))</f>
        <v/>
      </c>
      <c r="S871" s="18">
        <f>IF($Z871="","",IF(AND(DATE($AD871,10,1)&gt;=$AE871,DATE($AD871,10,1)&lt;=$AF871),ROUND($AG871,2),0))</f>
        <v/>
      </c>
      <c r="T871" s="18">
        <f>IF($Z871="","",IF(AND(DATE($AD871,11,1)&gt;=$AE871,DATE($AD871,11,1)&lt;=$AF871),ROUND($AG871,2),0))</f>
        <v/>
      </c>
      <c r="U871" s="18">
        <f>IF($Z871="","",IF(AND(DATE($AD871,12,1)&gt;=$AE871,DATE($AD871,12,1)&lt;=$AF871),ROUND($AG871,2),0))</f>
        <v/>
      </c>
      <c r="V871" s="7">
        <f>IF($Z871="C","Generated from "&amp;INDEX(Contracts!$A$2:$A$151,$AB871),IF($Z871="A","Generated from "&amp;INDEX(Fixed_Assets!$A$2:$A$201,$AB871),IF($Z871="F","Generated from "&amp;INDEX(FTE_Allocation!$A$2:$A$201,$AB871),"")))</f>
        <v/>
      </c>
      <c r="X871" s="19">
        <f>IF($Z871="","",SUM(J871:U871))</f>
        <v/>
      </c>
      <c r="Y871" s="20">
        <f>ROW()-1</f>
        <v/>
      </c>
      <c r="Z871" s="20">
        <f>IF($Y871&lt;=Settings!$B$4*3,"C",IF($Y871&lt;=(Settings!$B$4+Settings!$B$5)*3,"A",IF($Y871&lt;=(Settings!$B$4+Settings!$B$5+Settings!$B$6)*3,"F","")))</f>
        <v/>
      </c>
      <c r="AA871" s="20">
        <f>IF($Z871="C",$Y871,IF($Z871="A",$Y871-Settings!$B$4*3,IF($Z871="F",$Y871-(Settings!$B$4+Settings!$B$5)*3,"")))</f>
        <v/>
      </c>
      <c r="AB871" s="20">
        <f>IF($Z871="","",INT(($AA871-1)/3)+1)</f>
        <v/>
      </c>
      <c r="AC871" s="20">
        <f>IF($Z871="","",MOD($AA871-1,3)+1)</f>
        <v/>
      </c>
      <c r="AD871" s="20">
        <f>IF($Z871="","",Settings!$B$2+$AC871-1)</f>
        <v/>
      </c>
      <c r="AE871" s="21">
        <f>IF($Z871="C",DATE(YEAR(INDEX(Contracts!$J$2:$J$151,$AB871)),MONTH(INDEX(Contracts!$J$2:$J$151,$AB871)),1),IF($Z871="A",DATE(YEAR(INDEX(Fixed_Assets!$G$2:$G$201,$AB871)),MONTH(INDEX(Fixed_Assets!$G$2:$G$201,$AB871)),1),IF($Z871="F",DATE(YEAR(MAX(N(INDEX(Workforce!$I$2:$I$151,MATCH(INDEX(FTE_Allocation!$A$2:$A$201,$AB871),Workforce!$A$2:$A$151,0))),N(INDEX(FTE_Allocation!$I$2:$I$201,$AB871)))),MONTH(MAX(N(INDEX(Workforce!$I$2:$I$151,MATCH(INDEX(FTE_Allocation!$A$2:$A$201,$AB871),Workforce!$A$2:$A$151,0))),N(INDEX(FTE_Allocation!$I$2:$I$201,$AB871)))),1),"")))</f>
        <v/>
      </c>
      <c r="AF871" s="21">
        <f>IF($Z871="C",IF(INDEX(Contracts!$I$2:$I$151,$AB871)="PREPAID",EDATE(DATE(YEAR(INDEX(Contracts!$J$2:$J$151,$AB871)),MONTH(INDEX(Contracts!$J$2:$J$151,$AB871)),1),IF(INDEX(Contracts!$N$2:$N$151,$AB871)="",12,INDEX(Contracts!$N$2:$N$151,$AB871))-1),IF(INDEX(Contracts!$I$2:$I$151,$AB871)="MONTHLY",IF(INDEX(Contracts!$K$2:$K$151,$AB871)="",2958101,INDEX(Contracts!$K$2:$K$151,$AB871)),0)),IF($Z871="A",EDATE(DATE(YEAR(INDEX(Fixed_Assets!$G$2:$G$201,$AB871)),MONTH(INDEX(Fixed_Assets!$G$2:$G$201,$AB871)),1),INDEX(Fixed_Assets!$J$2:$J$201,$AB871)-1),IF($Z871="F",MIN(IF(INDEX(Workforce!$J$2:$J$151,MATCH(INDEX(FTE_Allocation!$A$2:$A$201,$AB871),Workforce!$A$2:$A$151,0))="",2958101,INDEX(Workforce!$J$2:$J$151,MATCH(INDEX(FTE_Allocation!$A$2:$A$201,$AB871),Workforce!$A$2:$A$151,0))),IF(INDEX(FTE_Allocation!$J$2:$J$201,$AB871)="",2958101,INDEX(FTE_Allocation!$J$2:$J$201,$AB871))),"")))</f>
        <v/>
      </c>
      <c r="AG871" s="19">
        <f>IF($Z871="C",IF(INDEX(Contracts!$I$2:$I$151,$AB871)="PREPAID",INDEX(Contracts!$M$2:$M$151,$AB871)/IF(INDEX(Contracts!$N$2:$N$151,$AB871)="",12,INDEX(Contracts!$N$2:$N$151,$AB871)),IF(INDEX(Contracts!$I$2:$I$151,$AB871)="MONTHLY",INDEX(Contracts!$M$2:$M$151,$AB871),0))*(1-N(INDEX(Contracts!$O$2:$O$151,$AB871))),IF($Z871="A",INDEX(Fixed_Assets!$H$2:$H$201,$AB871)/INDEX(Fixed_Assets!$J$2:$J$201,$AB871),IF($Z871="F",INDEX(Workforce!$F$2:$F$151,MATCH(INDEX(FTE_Allocation!$A$2:$A$201,$AB871),Workforce!$A$2:$A$151,0))*N(INDEX(FTE_Allocation!$F$2:$H$201,$AB871,$AC871)),"")))</f>
        <v/>
      </c>
    </row>
    <row r="872">
      <c r="A872" s="7">
        <f>IF($Z872="","",$AD872)</f>
        <v/>
      </c>
      <c r="B872" s="7">
        <f>IF($Z872="C",INDEX(Contracts!$D$2:$D$151,$AB872)&amp;"",IF($Z872="A",INDEX(Fixed_Assets!$C$2:$C$201,$AB872)&amp;"",IF($Z872="F",INDEX(Workforce!$B$2:$B$151,MATCH(INDEX(FTE_Allocation!$A$2:$A$201,$AB872),Workforce!$A$2:$A$151,0))&amp;"","")))</f>
        <v/>
      </c>
      <c r="C872" s="7">
        <f>IF($Z872="C",INDEX(Contracts!$E$2:$E$151,$AB872)&amp;"",IF($Z872="A",INDEX(Fixed_Assets!$D$2:$D$201,$AB872)&amp;"",IF($Z872="F",INDEX(FTE_Allocation!$C$2:$C$201,$AB872)&amp;"","")))</f>
        <v/>
      </c>
      <c r="D872" s="7">
        <f>IF($Z872="C",INDEX(Contracts!$B$2:$B$151,$AB872)&amp;"",IF($Z872="A",INDEX(Fixed_Assets!$B$2:$B$201,$AB872)&amp;"",IF($Z872="F",INDEX(FTE_Allocation!$B$2:$B$201,$AB872)&amp;"","")))</f>
        <v/>
      </c>
      <c r="E872" s="7">
        <f>IF($Z872="C",INDEX(Contracts!$P$2:$P$151,$AB872)&amp;"",IF($Z872="A",INDEX(Fixed_Assets!$K$2:$K$201,$AB872)&amp;"",IF($Z872="F",IF(INDEX(FTE_Allocation!$D$2:$D$201,$AB872)="PROJECT",IFERROR(INDEX(Projects!$D:$D,MATCH(INDEX(FTE_Allocation!$E$2:$E$201,$AB872),Projects!$A:$A,0))&amp;"","#PROJECT?"),INDEX(FTE_Allocation!$E$2:$E$201,$AB872)&amp;""),"")))</f>
        <v/>
      </c>
      <c r="F872" s="7">
        <f>IF($Z872="C",INDEX(Contracts!$Q$2:$Q$151,$AB872)&amp;"",IF($Z872="A",INDEX(Fixed_Assets!$L$2:$L$201,$AB872)&amp;"",IF($Z872="F",INDEX(Workforce!$K$2:$K$151,MATCH(INDEX(FTE_Allocation!$A$2:$A$201,$AB872),Workforce!$A$2:$A$151,0))&amp;"","")))</f>
        <v/>
      </c>
      <c r="G872" s="7">
        <f>IF($Z872="C",INDEX(Contracts!$F$2:$F$151,$AB872)&amp;" / "&amp;INDEX(Contracts!$G$2:$G$151,$AB872),IF($Z872="A",INDEX(Fixed_Assets!$E$2:$E$201,$AB872)&amp;"",IF($Z872="F","Personnel "&amp;INDEX(FTE_Allocation!$A$2:$A$201,$AB872)&amp;IF(INDEX(FTE_Allocation!$D$2:$D$201,$AB872)="PROJECT"," ("&amp;INDEX(FTE_Allocation!$E$2:$E$201,$AB872)&amp;")",""),"")))</f>
        <v/>
      </c>
      <c r="H872" s="7">
        <f>IF($Z872="C","CONTRACT",IF($Z872="A","ASSET",IF($Z872="F","WORKFORCE","")))</f>
        <v/>
      </c>
      <c r="I872" s="7">
        <f>IF($Z872="C",INDEX(Contracts!$L$2:$L$151,$AB872)&amp;"",IF($Z872="A",INDEX(Fixed_Assets!$I$2:$I$201,$AB872)&amp;"",IF($Z872="F",INDEX(Workforce!$G$2:$G$151,MATCH(INDEX(FTE_Allocation!$A$2:$A$201,$AB872),Workforce!$A$2:$A$151,0))&amp;"","")))</f>
        <v/>
      </c>
      <c r="J872" s="18">
        <f>IF($Z872="","",IF(AND(DATE($AD872,1,1)&gt;=$AE872,DATE($AD872,1,1)&lt;=$AF872),ROUND($AG872,2),0))</f>
        <v/>
      </c>
      <c r="K872" s="18">
        <f>IF($Z872="","",IF(AND(DATE($AD872,2,1)&gt;=$AE872,DATE($AD872,2,1)&lt;=$AF872),ROUND($AG872,2),0))</f>
        <v/>
      </c>
      <c r="L872" s="18">
        <f>IF($Z872="","",IF(AND(DATE($AD872,3,1)&gt;=$AE872,DATE($AD872,3,1)&lt;=$AF872),ROUND($AG872,2),0))</f>
        <v/>
      </c>
      <c r="M872" s="18">
        <f>IF($Z872="","",IF(AND(DATE($AD872,4,1)&gt;=$AE872,DATE($AD872,4,1)&lt;=$AF872),ROUND($AG872,2),0))</f>
        <v/>
      </c>
      <c r="N872" s="18">
        <f>IF($Z872="","",IF(AND(DATE($AD872,5,1)&gt;=$AE872,DATE($AD872,5,1)&lt;=$AF872),ROUND($AG872,2),0))</f>
        <v/>
      </c>
      <c r="O872" s="18">
        <f>IF($Z872="","",IF(AND(DATE($AD872,6,1)&gt;=$AE872,DATE($AD872,6,1)&lt;=$AF872),ROUND($AG872,2),0))</f>
        <v/>
      </c>
      <c r="P872" s="18">
        <f>IF($Z872="","",IF(AND(DATE($AD872,7,1)&gt;=$AE872,DATE($AD872,7,1)&lt;=$AF872),ROUND($AG872,2),0))</f>
        <v/>
      </c>
      <c r="Q872" s="18">
        <f>IF($Z872="","",IF(AND(DATE($AD872,8,1)&gt;=$AE872,DATE($AD872,8,1)&lt;=$AF872),ROUND($AG872,2),0))</f>
        <v/>
      </c>
      <c r="R872" s="18">
        <f>IF($Z872="","",IF(AND(DATE($AD872,9,1)&gt;=$AE872,DATE($AD872,9,1)&lt;=$AF872),ROUND($AG872,2),0))</f>
        <v/>
      </c>
      <c r="S872" s="18">
        <f>IF($Z872="","",IF(AND(DATE($AD872,10,1)&gt;=$AE872,DATE($AD872,10,1)&lt;=$AF872),ROUND($AG872,2),0))</f>
        <v/>
      </c>
      <c r="T872" s="18">
        <f>IF($Z872="","",IF(AND(DATE($AD872,11,1)&gt;=$AE872,DATE($AD872,11,1)&lt;=$AF872),ROUND($AG872,2),0))</f>
        <v/>
      </c>
      <c r="U872" s="18">
        <f>IF($Z872="","",IF(AND(DATE($AD872,12,1)&gt;=$AE872,DATE($AD872,12,1)&lt;=$AF872),ROUND($AG872,2),0))</f>
        <v/>
      </c>
      <c r="V872" s="7">
        <f>IF($Z872="C","Generated from "&amp;INDEX(Contracts!$A$2:$A$151,$AB872),IF($Z872="A","Generated from "&amp;INDEX(Fixed_Assets!$A$2:$A$201,$AB872),IF($Z872="F","Generated from "&amp;INDEX(FTE_Allocation!$A$2:$A$201,$AB872),"")))</f>
        <v/>
      </c>
      <c r="X872" s="19">
        <f>IF($Z872="","",SUM(J872:U872))</f>
        <v/>
      </c>
      <c r="Y872" s="20">
        <f>ROW()-1</f>
        <v/>
      </c>
      <c r="Z872" s="20">
        <f>IF($Y872&lt;=Settings!$B$4*3,"C",IF($Y872&lt;=(Settings!$B$4+Settings!$B$5)*3,"A",IF($Y872&lt;=(Settings!$B$4+Settings!$B$5+Settings!$B$6)*3,"F","")))</f>
        <v/>
      </c>
      <c r="AA872" s="20">
        <f>IF($Z872="C",$Y872,IF($Z872="A",$Y872-Settings!$B$4*3,IF($Z872="F",$Y872-(Settings!$B$4+Settings!$B$5)*3,"")))</f>
        <v/>
      </c>
      <c r="AB872" s="20">
        <f>IF($Z872="","",INT(($AA872-1)/3)+1)</f>
        <v/>
      </c>
      <c r="AC872" s="20">
        <f>IF($Z872="","",MOD($AA872-1,3)+1)</f>
        <v/>
      </c>
      <c r="AD872" s="20">
        <f>IF($Z872="","",Settings!$B$2+$AC872-1)</f>
        <v/>
      </c>
      <c r="AE872" s="21">
        <f>IF($Z872="C",DATE(YEAR(INDEX(Contracts!$J$2:$J$151,$AB872)),MONTH(INDEX(Contracts!$J$2:$J$151,$AB872)),1),IF($Z872="A",DATE(YEAR(INDEX(Fixed_Assets!$G$2:$G$201,$AB872)),MONTH(INDEX(Fixed_Assets!$G$2:$G$201,$AB872)),1),IF($Z872="F",DATE(YEAR(MAX(N(INDEX(Workforce!$I$2:$I$151,MATCH(INDEX(FTE_Allocation!$A$2:$A$201,$AB872),Workforce!$A$2:$A$151,0))),N(INDEX(FTE_Allocation!$I$2:$I$201,$AB872)))),MONTH(MAX(N(INDEX(Workforce!$I$2:$I$151,MATCH(INDEX(FTE_Allocation!$A$2:$A$201,$AB872),Workforce!$A$2:$A$151,0))),N(INDEX(FTE_Allocation!$I$2:$I$201,$AB872)))),1),"")))</f>
        <v/>
      </c>
      <c r="AF872" s="21">
        <f>IF($Z872="C",IF(INDEX(Contracts!$I$2:$I$151,$AB872)="PREPAID",EDATE(DATE(YEAR(INDEX(Contracts!$J$2:$J$151,$AB872)),MONTH(INDEX(Contracts!$J$2:$J$151,$AB872)),1),IF(INDEX(Contracts!$N$2:$N$151,$AB872)="",12,INDEX(Contracts!$N$2:$N$151,$AB872))-1),IF(INDEX(Contracts!$I$2:$I$151,$AB872)="MONTHLY",IF(INDEX(Contracts!$K$2:$K$151,$AB872)="",2958101,INDEX(Contracts!$K$2:$K$151,$AB872)),0)),IF($Z872="A",EDATE(DATE(YEAR(INDEX(Fixed_Assets!$G$2:$G$201,$AB872)),MONTH(INDEX(Fixed_Assets!$G$2:$G$201,$AB872)),1),INDEX(Fixed_Assets!$J$2:$J$201,$AB872)-1),IF($Z872="F",MIN(IF(INDEX(Workforce!$J$2:$J$151,MATCH(INDEX(FTE_Allocation!$A$2:$A$201,$AB872),Workforce!$A$2:$A$151,0))="",2958101,INDEX(Workforce!$J$2:$J$151,MATCH(INDEX(FTE_Allocation!$A$2:$A$201,$AB872),Workforce!$A$2:$A$151,0))),IF(INDEX(FTE_Allocation!$J$2:$J$201,$AB872)="",2958101,INDEX(FTE_Allocation!$J$2:$J$201,$AB872))),"")))</f>
        <v/>
      </c>
      <c r="AG872" s="19">
        <f>IF($Z872="C",IF(INDEX(Contracts!$I$2:$I$151,$AB872)="PREPAID",INDEX(Contracts!$M$2:$M$151,$AB872)/IF(INDEX(Contracts!$N$2:$N$151,$AB872)="",12,INDEX(Contracts!$N$2:$N$151,$AB872)),IF(INDEX(Contracts!$I$2:$I$151,$AB872)="MONTHLY",INDEX(Contracts!$M$2:$M$151,$AB872),0))*(1-N(INDEX(Contracts!$O$2:$O$151,$AB872))),IF($Z872="A",INDEX(Fixed_Assets!$H$2:$H$201,$AB872)/INDEX(Fixed_Assets!$J$2:$J$201,$AB872),IF($Z872="F",INDEX(Workforce!$F$2:$F$151,MATCH(INDEX(FTE_Allocation!$A$2:$A$201,$AB872),Workforce!$A$2:$A$151,0))*N(INDEX(FTE_Allocation!$F$2:$H$201,$AB872,$AC872)),"")))</f>
        <v/>
      </c>
    </row>
    <row r="873">
      <c r="A873" s="7">
        <f>IF($Z873="","",$AD873)</f>
        <v/>
      </c>
      <c r="B873" s="7">
        <f>IF($Z873="C",INDEX(Contracts!$D$2:$D$151,$AB873)&amp;"",IF($Z873="A",INDEX(Fixed_Assets!$C$2:$C$201,$AB873)&amp;"",IF($Z873="F",INDEX(Workforce!$B$2:$B$151,MATCH(INDEX(FTE_Allocation!$A$2:$A$201,$AB873),Workforce!$A$2:$A$151,0))&amp;"","")))</f>
        <v/>
      </c>
      <c r="C873" s="7">
        <f>IF($Z873="C",INDEX(Contracts!$E$2:$E$151,$AB873)&amp;"",IF($Z873="A",INDEX(Fixed_Assets!$D$2:$D$201,$AB873)&amp;"",IF($Z873="F",INDEX(FTE_Allocation!$C$2:$C$201,$AB873)&amp;"","")))</f>
        <v/>
      </c>
      <c r="D873" s="7">
        <f>IF($Z873="C",INDEX(Contracts!$B$2:$B$151,$AB873)&amp;"",IF($Z873="A",INDEX(Fixed_Assets!$B$2:$B$201,$AB873)&amp;"",IF($Z873="F",INDEX(FTE_Allocation!$B$2:$B$201,$AB873)&amp;"","")))</f>
        <v/>
      </c>
      <c r="E873" s="7">
        <f>IF($Z873="C",INDEX(Contracts!$P$2:$P$151,$AB873)&amp;"",IF($Z873="A",INDEX(Fixed_Assets!$K$2:$K$201,$AB873)&amp;"",IF($Z873="F",IF(INDEX(FTE_Allocation!$D$2:$D$201,$AB873)="PROJECT",IFERROR(INDEX(Projects!$D:$D,MATCH(INDEX(FTE_Allocation!$E$2:$E$201,$AB873),Projects!$A:$A,0))&amp;"","#PROJECT?"),INDEX(FTE_Allocation!$E$2:$E$201,$AB873)&amp;""),"")))</f>
        <v/>
      </c>
      <c r="F873" s="7">
        <f>IF($Z873="C",INDEX(Contracts!$Q$2:$Q$151,$AB873)&amp;"",IF($Z873="A",INDEX(Fixed_Assets!$L$2:$L$201,$AB873)&amp;"",IF($Z873="F",INDEX(Workforce!$K$2:$K$151,MATCH(INDEX(FTE_Allocation!$A$2:$A$201,$AB873),Workforce!$A$2:$A$151,0))&amp;"","")))</f>
        <v/>
      </c>
      <c r="G873" s="7">
        <f>IF($Z873="C",INDEX(Contracts!$F$2:$F$151,$AB873)&amp;" / "&amp;INDEX(Contracts!$G$2:$G$151,$AB873),IF($Z873="A",INDEX(Fixed_Assets!$E$2:$E$201,$AB873)&amp;"",IF($Z873="F","Personnel "&amp;INDEX(FTE_Allocation!$A$2:$A$201,$AB873)&amp;IF(INDEX(FTE_Allocation!$D$2:$D$201,$AB873)="PROJECT"," ("&amp;INDEX(FTE_Allocation!$E$2:$E$201,$AB873)&amp;")",""),"")))</f>
        <v/>
      </c>
      <c r="H873" s="7">
        <f>IF($Z873="C","CONTRACT",IF($Z873="A","ASSET",IF($Z873="F","WORKFORCE","")))</f>
        <v/>
      </c>
      <c r="I873" s="7">
        <f>IF($Z873="C",INDEX(Contracts!$L$2:$L$151,$AB873)&amp;"",IF($Z873="A",INDEX(Fixed_Assets!$I$2:$I$201,$AB873)&amp;"",IF($Z873="F",INDEX(Workforce!$G$2:$G$151,MATCH(INDEX(FTE_Allocation!$A$2:$A$201,$AB873),Workforce!$A$2:$A$151,0))&amp;"","")))</f>
        <v/>
      </c>
      <c r="J873" s="18">
        <f>IF($Z873="","",IF(AND(DATE($AD873,1,1)&gt;=$AE873,DATE($AD873,1,1)&lt;=$AF873),ROUND($AG873,2),0))</f>
        <v/>
      </c>
      <c r="K873" s="18">
        <f>IF($Z873="","",IF(AND(DATE($AD873,2,1)&gt;=$AE873,DATE($AD873,2,1)&lt;=$AF873),ROUND($AG873,2),0))</f>
        <v/>
      </c>
      <c r="L873" s="18">
        <f>IF($Z873="","",IF(AND(DATE($AD873,3,1)&gt;=$AE873,DATE($AD873,3,1)&lt;=$AF873),ROUND($AG873,2),0))</f>
        <v/>
      </c>
      <c r="M873" s="18">
        <f>IF($Z873="","",IF(AND(DATE($AD873,4,1)&gt;=$AE873,DATE($AD873,4,1)&lt;=$AF873),ROUND($AG873,2),0))</f>
        <v/>
      </c>
      <c r="N873" s="18">
        <f>IF($Z873="","",IF(AND(DATE($AD873,5,1)&gt;=$AE873,DATE($AD873,5,1)&lt;=$AF873),ROUND($AG873,2),0))</f>
        <v/>
      </c>
      <c r="O873" s="18">
        <f>IF($Z873="","",IF(AND(DATE($AD873,6,1)&gt;=$AE873,DATE($AD873,6,1)&lt;=$AF873),ROUND($AG873,2),0))</f>
        <v/>
      </c>
      <c r="P873" s="18">
        <f>IF($Z873="","",IF(AND(DATE($AD873,7,1)&gt;=$AE873,DATE($AD873,7,1)&lt;=$AF873),ROUND($AG873,2),0))</f>
        <v/>
      </c>
      <c r="Q873" s="18">
        <f>IF($Z873="","",IF(AND(DATE($AD873,8,1)&gt;=$AE873,DATE($AD873,8,1)&lt;=$AF873),ROUND($AG873,2),0))</f>
        <v/>
      </c>
      <c r="R873" s="18">
        <f>IF($Z873="","",IF(AND(DATE($AD873,9,1)&gt;=$AE873,DATE($AD873,9,1)&lt;=$AF873),ROUND($AG873,2),0))</f>
        <v/>
      </c>
      <c r="S873" s="18">
        <f>IF($Z873="","",IF(AND(DATE($AD873,10,1)&gt;=$AE873,DATE($AD873,10,1)&lt;=$AF873),ROUND($AG873,2),0))</f>
        <v/>
      </c>
      <c r="T873" s="18">
        <f>IF($Z873="","",IF(AND(DATE($AD873,11,1)&gt;=$AE873,DATE($AD873,11,1)&lt;=$AF873),ROUND($AG873,2),0))</f>
        <v/>
      </c>
      <c r="U873" s="18">
        <f>IF($Z873="","",IF(AND(DATE($AD873,12,1)&gt;=$AE873,DATE($AD873,12,1)&lt;=$AF873),ROUND($AG873,2),0))</f>
        <v/>
      </c>
      <c r="V873" s="7">
        <f>IF($Z873="C","Generated from "&amp;INDEX(Contracts!$A$2:$A$151,$AB873),IF($Z873="A","Generated from "&amp;INDEX(Fixed_Assets!$A$2:$A$201,$AB873),IF($Z873="F","Generated from "&amp;INDEX(FTE_Allocation!$A$2:$A$201,$AB873),"")))</f>
        <v/>
      </c>
      <c r="X873" s="19">
        <f>IF($Z873="","",SUM(J873:U873))</f>
        <v/>
      </c>
      <c r="Y873" s="20">
        <f>ROW()-1</f>
        <v/>
      </c>
      <c r="Z873" s="20">
        <f>IF($Y873&lt;=Settings!$B$4*3,"C",IF($Y873&lt;=(Settings!$B$4+Settings!$B$5)*3,"A",IF($Y873&lt;=(Settings!$B$4+Settings!$B$5+Settings!$B$6)*3,"F","")))</f>
        <v/>
      </c>
      <c r="AA873" s="20">
        <f>IF($Z873="C",$Y873,IF($Z873="A",$Y873-Settings!$B$4*3,IF($Z873="F",$Y873-(Settings!$B$4+Settings!$B$5)*3,"")))</f>
        <v/>
      </c>
      <c r="AB873" s="20">
        <f>IF($Z873="","",INT(($AA873-1)/3)+1)</f>
        <v/>
      </c>
      <c r="AC873" s="20">
        <f>IF($Z873="","",MOD($AA873-1,3)+1)</f>
        <v/>
      </c>
      <c r="AD873" s="20">
        <f>IF($Z873="","",Settings!$B$2+$AC873-1)</f>
        <v/>
      </c>
      <c r="AE873" s="21">
        <f>IF($Z873="C",DATE(YEAR(INDEX(Contracts!$J$2:$J$151,$AB873)),MONTH(INDEX(Contracts!$J$2:$J$151,$AB873)),1),IF($Z873="A",DATE(YEAR(INDEX(Fixed_Assets!$G$2:$G$201,$AB873)),MONTH(INDEX(Fixed_Assets!$G$2:$G$201,$AB873)),1),IF($Z873="F",DATE(YEAR(MAX(N(INDEX(Workforce!$I$2:$I$151,MATCH(INDEX(FTE_Allocation!$A$2:$A$201,$AB873),Workforce!$A$2:$A$151,0))),N(INDEX(FTE_Allocation!$I$2:$I$201,$AB873)))),MONTH(MAX(N(INDEX(Workforce!$I$2:$I$151,MATCH(INDEX(FTE_Allocation!$A$2:$A$201,$AB873),Workforce!$A$2:$A$151,0))),N(INDEX(FTE_Allocation!$I$2:$I$201,$AB873)))),1),"")))</f>
        <v/>
      </c>
      <c r="AF873" s="21">
        <f>IF($Z873="C",IF(INDEX(Contracts!$I$2:$I$151,$AB873)="PREPAID",EDATE(DATE(YEAR(INDEX(Contracts!$J$2:$J$151,$AB873)),MONTH(INDEX(Contracts!$J$2:$J$151,$AB873)),1),IF(INDEX(Contracts!$N$2:$N$151,$AB873)="",12,INDEX(Contracts!$N$2:$N$151,$AB873))-1),IF(INDEX(Contracts!$I$2:$I$151,$AB873)="MONTHLY",IF(INDEX(Contracts!$K$2:$K$151,$AB873)="",2958101,INDEX(Contracts!$K$2:$K$151,$AB873)),0)),IF($Z873="A",EDATE(DATE(YEAR(INDEX(Fixed_Assets!$G$2:$G$201,$AB873)),MONTH(INDEX(Fixed_Assets!$G$2:$G$201,$AB873)),1),INDEX(Fixed_Assets!$J$2:$J$201,$AB873)-1),IF($Z873="F",MIN(IF(INDEX(Workforce!$J$2:$J$151,MATCH(INDEX(FTE_Allocation!$A$2:$A$201,$AB873),Workforce!$A$2:$A$151,0))="",2958101,INDEX(Workforce!$J$2:$J$151,MATCH(INDEX(FTE_Allocation!$A$2:$A$201,$AB873),Workforce!$A$2:$A$151,0))),IF(INDEX(FTE_Allocation!$J$2:$J$201,$AB873)="",2958101,INDEX(FTE_Allocation!$J$2:$J$201,$AB873))),"")))</f>
        <v/>
      </c>
      <c r="AG873" s="19">
        <f>IF($Z873="C",IF(INDEX(Contracts!$I$2:$I$151,$AB873)="PREPAID",INDEX(Contracts!$M$2:$M$151,$AB873)/IF(INDEX(Contracts!$N$2:$N$151,$AB873)="",12,INDEX(Contracts!$N$2:$N$151,$AB873)),IF(INDEX(Contracts!$I$2:$I$151,$AB873)="MONTHLY",INDEX(Contracts!$M$2:$M$151,$AB873),0))*(1-N(INDEX(Contracts!$O$2:$O$151,$AB873))),IF($Z873="A",INDEX(Fixed_Assets!$H$2:$H$201,$AB873)/INDEX(Fixed_Assets!$J$2:$J$201,$AB873),IF($Z873="F",INDEX(Workforce!$F$2:$F$151,MATCH(INDEX(FTE_Allocation!$A$2:$A$201,$AB873),Workforce!$A$2:$A$151,0))*N(INDEX(FTE_Allocation!$F$2:$H$201,$AB873,$AC873)),"")))</f>
        <v/>
      </c>
    </row>
    <row r="874">
      <c r="A874" s="7">
        <f>IF($Z874="","",$AD874)</f>
        <v/>
      </c>
      <c r="B874" s="7">
        <f>IF($Z874="C",INDEX(Contracts!$D$2:$D$151,$AB874)&amp;"",IF($Z874="A",INDEX(Fixed_Assets!$C$2:$C$201,$AB874)&amp;"",IF($Z874="F",INDEX(Workforce!$B$2:$B$151,MATCH(INDEX(FTE_Allocation!$A$2:$A$201,$AB874),Workforce!$A$2:$A$151,0))&amp;"","")))</f>
        <v/>
      </c>
      <c r="C874" s="7">
        <f>IF($Z874="C",INDEX(Contracts!$E$2:$E$151,$AB874)&amp;"",IF($Z874="A",INDEX(Fixed_Assets!$D$2:$D$201,$AB874)&amp;"",IF($Z874="F",INDEX(FTE_Allocation!$C$2:$C$201,$AB874)&amp;"","")))</f>
        <v/>
      </c>
      <c r="D874" s="7">
        <f>IF($Z874="C",INDEX(Contracts!$B$2:$B$151,$AB874)&amp;"",IF($Z874="A",INDEX(Fixed_Assets!$B$2:$B$201,$AB874)&amp;"",IF($Z874="F",INDEX(FTE_Allocation!$B$2:$B$201,$AB874)&amp;"","")))</f>
        <v/>
      </c>
      <c r="E874" s="7">
        <f>IF($Z874="C",INDEX(Contracts!$P$2:$P$151,$AB874)&amp;"",IF($Z874="A",INDEX(Fixed_Assets!$K$2:$K$201,$AB874)&amp;"",IF($Z874="F",IF(INDEX(FTE_Allocation!$D$2:$D$201,$AB874)="PROJECT",IFERROR(INDEX(Projects!$D:$D,MATCH(INDEX(FTE_Allocation!$E$2:$E$201,$AB874),Projects!$A:$A,0))&amp;"","#PROJECT?"),INDEX(FTE_Allocation!$E$2:$E$201,$AB874)&amp;""),"")))</f>
        <v/>
      </c>
      <c r="F874" s="7">
        <f>IF($Z874="C",INDEX(Contracts!$Q$2:$Q$151,$AB874)&amp;"",IF($Z874="A",INDEX(Fixed_Assets!$L$2:$L$201,$AB874)&amp;"",IF($Z874="F",INDEX(Workforce!$K$2:$K$151,MATCH(INDEX(FTE_Allocation!$A$2:$A$201,$AB874),Workforce!$A$2:$A$151,0))&amp;"","")))</f>
        <v/>
      </c>
      <c r="G874" s="7">
        <f>IF($Z874="C",INDEX(Contracts!$F$2:$F$151,$AB874)&amp;" / "&amp;INDEX(Contracts!$G$2:$G$151,$AB874),IF($Z874="A",INDEX(Fixed_Assets!$E$2:$E$201,$AB874)&amp;"",IF($Z874="F","Personnel "&amp;INDEX(FTE_Allocation!$A$2:$A$201,$AB874)&amp;IF(INDEX(FTE_Allocation!$D$2:$D$201,$AB874)="PROJECT"," ("&amp;INDEX(FTE_Allocation!$E$2:$E$201,$AB874)&amp;")",""),"")))</f>
        <v/>
      </c>
      <c r="H874" s="7">
        <f>IF($Z874="C","CONTRACT",IF($Z874="A","ASSET",IF($Z874="F","WORKFORCE","")))</f>
        <v/>
      </c>
      <c r="I874" s="7">
        <f>IF($Z874="C",INDEX(Contracts!$L$2:$L$151,$AB874)&amp;"",IF($Z874="A",INDEX(Fixed_Assets!$I$2:$I$201,$AB874)&amp;"",IF($Z874="F",INDEX(Workforce!$G$2:$G$151,MATCH(INDEX(FTE_Allocation!$A$2:$A$201,$AB874),Workforce!$A$2:$A$151,0))&amp;"","")))</f>
        <v/>
      </c>
      <c r="J874" s="18">
        <f>IF($Z874="","",IF(AND(DATE($AD874,1,1)&gt;=$AE874,DATE($AD874,1,1)&lt;=$AF874),ROUND($AG874,2),0))</f>
        <v/>
      </c>
      <c r="K874" s="18">
        <f>IF($Z874="","",IF(AND(DATE($AD874,2,1)&gt;=$AE874,DATE($AD874,2,1)&lt;=$AF874),ROUND($AG874,2),0))</f>
        <v/>
      </c>
      <c r="L874" s="18">
        <f>IF($Z874="","",IF(AND(DATE($AD874,3,1)&gt;=$AE874,DATE($AD874,3,1)&lt;=$AF874),ROUND($AG874,2),0))</f>
        <v/>
      </c>
      <c r="M874" s="18">
        <f>IF($Z874="","",IF(AND(DATE($AD874,4,1)&gt;=$AE874,DATE($AD874,4,1)&lt;=$AF874),ROUND($AG874,2),0))</f>
        <v/>
      </c>
      <c r="N874" s="18">
        <f>IF($Z874="","",IF(AND(DATE($AD874,5,1)&gt;=$AE874,DATE($AD874,5,1)&lt;=$AF874),ROUND($AG874,2),0))</f>
        <v/>
      </c>
      <c r="O874" s="18">
        <f>IF($Z874="","",IF(AND(DATE($AD874,6,1)&gt;=$AE874,DATE($AD874,6,1)&lt;=$AF874),ROUND($AG874,2),0))</f>
        <v/>
      </c>
      <c r="P874" s="18">
        <f>IF($Z874="","",IF(AND(DATE($AD874,7,1)&gt;=$AE874,DATE($AD874,7,1)&lt;=$AF874),ROUND($AG874,2),0))</f>
        <v/>
      </c>
      <c r="Q874" s="18">
        <f>IF($Z874="","",IF(AND(DATE($AD874,8,1)&gt;=$AE874,DATE($AD874,8,1)&lt;=$AF874),ROUND($AG874,2),0))</f>
        <v/>
      </c>
      <c r="R874" s="18">
        <f>IF($Z874="","",IF(AND(DATE($AD874,9,1)&gt;=$AE874,DATE($AD874,9,1)&lt;=$AF874),ROUND($AG874,2),0))</f>
        <v/>
      </c>
      <c r="S874" s="18">
        <f>IF($Z874="","",IF(AND(DATE($AD874,10,1)&gt;=$AE874,DATE($AD874,10,1)&lt;=$AF874),ROUND($AG874,2),0))</f>
        <v/>
      </c>
      <c r="T874" s="18">
        <f>IF($Z874="","",IF(AND(DATE($AD874,11,1)&gt;=$AE874,DATE($AD874,11,1)&lt;=$AF874),ROUND($AG874,2),0))</f>
        <v/>
      </c>
      <c r="U874" s="18">
        <f>IF($Z874="","",IF(AND(DATE($AD874,12,1)&gt;=$AE874,DATE($AD874,12,1)&lt;=$AF874),ROUND($AG874,2),0))</f>
        <v/>
      </c>
      <c r="V874" s="7">
        <f>IF($Z874="C","Generated from "&amp;INDEX(Contracts!$A$2:$A$151,$AB874),IF($Z874="A","Generated from "&amp;INDEX(Fixed_Assets!$A$2:$A$201,$AB874),IF($Z874="F","Generated from "&amp;INDEX(FTE_Allocation!$A$2:$A$201,$AB874),"")))</f>
        <v/>
      </c>
      <c r="X874" s="19">
        <f>IF($Z874="","",SUM(J874:U874))</f>
        <v/>
      </c>
      <c r="Y874" s="20">
        <f>ROW()-1</f>
        <v/>
      </c>
      <c r="Z874" s="20">
        <f>IF($Y874&lt;=Settings!$B$4*3,"C",IF($Y874&lt;=(Settings!$B$4+Settings!$B$5)*3,"A",IF($Y874&lt;=(Settings!$B$4+Settings!$B$5+Settings!$B$6)*3,"F","")))</f>
        <v/>
      </c>
      <c r="AA874" s="20">
        <f>IF($Z874="C",$Y874,IF($Z874="A",$Y874-Settings!$B$4*3,IF($Z874="F",$Y874-(Settings!$B$4+Settings!$B$5)*3,"")))</f>
        <v/>
      </c>
      <c r="AB874" s="20">
        <f>IF($Z874="","",INT(($AA874-1)/3)+1)</f>
        <v/>
      </c>
      <c r="AC874" s="20">
        <f>IF($Z874="","",MOD($AA874-1,3)+1)</f>
        <v/>
      </c>
      <c r="AD874" s="20">
        <f>IF($Z874="","",Settings!$B$2+$AC874-1)</f>
        <v/>
      </c>
      <c r="AE874" s="21">
        <f>IF($Z874="C",DATE(YEAR(INDEX(Contracts!$J$2:$J$151,$AB874)),MONTH(INDEX(Contracts!$J$2:$J$151,$AB874)),1),IF($Z874="A",DATE(YEAR(INDEX(Fixed_Assets!$G$2:$G$201,$AB874)),MONTH(INDEX(Fixed_Assets!$G$2:$G$201,$AB874)),1),IF($Z874="F",DATE(YEAR(MAX(N(INDEX(Workforce!$I$2:$I$151,MATCH(INDEX(FTE_Allocation!$A$2:$A$201,$AB874),Workforce!$A$2:$A$151,0))),N(INDEX(FTE_Allocation!$I$2:$I$201,$AB874)))),MONTH(MAX(N(INDEX(Workforce!$I$2:$I$151,MATCH(INDEX(FTE_Allocation!$A$2:$A$201,$AB874),Workforce!$A$2:$A$151,0))),N(INDEX(FTE_Allocation!$I$2:$I$201,$AB874)))),1),"")))</f>
        <v/>
      </c>
      <c r="AF874" s="21">
        <f>IF($Z874="C",IF(INDEX(Contracts!$I$2:$I$151,$AB874)="PREPAID",EDATE(DATE(YEAR(INDEX(Contracts!$J$2:$J$151,$AB874)),MONTH(INDEX(Contracts!$J$2:$J$151,$AB874)),1),IF(INDEX(Contracts!$N$2:$N$151,$AB874)="",12,INDEX(Contracts!$N$2:$N$151,$AB874))-1),IF(INDEX(Contracts!$I$2:$I$151,$AB874)="MONTHLY",IF(INDEX(Contracts!$K$2:$K$151,$AB874)="",2958101,INDEX(Contracts!$K$2:$K$151,$AB874)),0)),IF($Z874="A",EDATE(DATE(YEAR(INDEX(Fixed_Assets!$G$2:$G$201,$AB874)),MONTH(INDEX(Fixed_Assets!$G$2:$G$201,$AB874)),1),INDEX(Fixed_Assets!$J$2:$J$201,$AB874)-1),IF($Z874="F",MIN(IF(INDEX(Workforce!$J$2:$J$151,MATCH(INDEX(FTE_Allocation!$A$2:$A$201,$AB874),Workforce!$A$2:$A$151,0))="",2958101,INDEX(Workforce!$J$2:$J$151,MATCH(INDEX(FTE_Allocation!$A$2:$A$201,$AB874),Workforce!$A$2:$A$151,0))),IF(INDEX(FTE_Allocation!$J$2:$J$201,$AB874)="",2958101,INDEX(FTE_Allocation!$J$2:$J$201,$AB874))),"")))</f>
        <v/>
      </c>
      <c r="AG874" s="19">
        <f>IF($Z874="C",IF(INDEX(Contracts!$I$2:$I$151,$AB874)="PREPAID",INDEX(Contracts!$M$2:$M$151,$AB874)/IF(INDEX(Contracts!$N$2:$N$151,$AB874)="",12,INDEX(Contracts!$N$2:$N$151,$AB874)),IF(INDEX(Contracts!$I$2:$I$151,$AB874)="MONTHLY",INDEX(Contracts!$M$2:$M$151,$AB874),0))*(1-N(INDEX(Contracts!$O$2:$O$151,$AB874))),IF($Z874="A",INDEX(Fixed_Assets!$H$2:$H$201,$AB874)/INDEX(Fixed_Assets!$J$2:$J$201,$AB874),IF($Z874="F",INDEX(Workforce!$F$2:$F$151,MATCH(INDEX(FTE_Allocation!$A$2:$A$201,$AB874),Workforce!$A$2:$A$151,0))*N(INDEX(FTE_Allocation!$F$2:$H$201,$AB874,$AC874)),"")))</f>
        <v/>
      </c>
    </row>
    <row r="875">
      <c r="A875" s="7">
        <f>IF($Z875="","",$AD875)</f>
        <v/>
      </c>
      <c r="B875" s="7">
        <f>IF($Z875="C",INDEX(Contracts!$D$2:$D$151,$AB875)&amp;"",IF($Z875="A",INDEX(Fixed_Assets!$C$2:$C$201,$AB875)&amp;"",IF($Z875="F",INDEX(Workforce!$B$2:$B$151,MATCH(INDEX(FTE_Allocation!$A$2:$A$201,$AB875),Workforce!$A$2:$A$151,0))&amp;"","")))</f>
        <v/>
      </c>
      <c r="C875" s="7">
        <f>IF($Z875="C",INDEX(Contracts!$E$2:$E$151,$AB875)&amp;"",IF($Z875="A",INDEX(Fixed_Assets!$D$2:$D$201,$AB875)&amp;"",IF($Z875="F",INDEX(FTE_Allocation!$C$2:$C$201,$AB875)&amp;"","")))</f>
        <v/>
      </c>
      <c r="D875" s="7">
        <f>IF($Z875="C",INDEX(Contracts!$B$2:$B$151,$AB875)&amp;"",IF($Z875="A",INDEX(Fixed_Assets!$B$2:$B$201,$AB875)&amp;"",IF($Z875="F",INDEX(FTE_Allocation!$B$2:$B$201,$AB875)&amp;"","")))</f>
        <v/>
      </c>
      <c r="E875" s="7">
        <f>IF($Z875="C",INDEX(Contracts!$P$2:$P$151,$AB875)&amp;"",IF($Z875="A",INDEX(Fixed_Assets!$K$2:$K$201,$AB875)&amp;"",IF($Z875="F",IF(INDEX(FTE_Allocation!$D$2:$D$201,$AB875)="PROJECT",IFERROR(INDEX(Projects!$D:$D,MATCH(INDEX(FTE_Allocation!$E$2:$E$201,$AB875),Projects!$A:$A,0))&amp;"","#PROJECT?"),INDEX(FTE_Allocation!$E$2:$E$201,$AB875)&amp;""),"")))</f>
        <v/>
      </c>
      <c r="F875" s="7">
        <f>IF($Z875="C",INDEX(Contracts!$Q$2:$Q$151,$AB875)&amp;"",IF($Z875="A",INDEX(Fixed_Assets!$L$2:$L$201,$AB875)&amp;"",IF($Z875="F",INDEX(Workforce!$K$2:$K$151,MATCH(INDEX(FTE_Allocation!$A$2:$A$201,$AB875),Workforce!$A$2:$A$151,0))&amp;"","")))</f>
        <v/>
      </c>
      <c r="G875" s="7">
        <f>IF($Z875="C",INDEX(Contracts!$F$2:$F$151,$AB875)&amp;" / "&amp;INDEX(Contracts!$G$2:$G$151,$AB875),IF($Z875="A",INDEX(Fixed_Assets!$E$2:$E$201,$AB875)&amp;"",IF($Z875="F","Personnel "&amp;INDEX(FTE_Allocation!$A$2:$A$201,$AB875)&amp;IF(INDEX(FTE_Allocation!$D$2:$D$201,$AB875)="PROJECT"," ("&amp;INDEX(FTE_Allocation!$E$2:$E$201,$AB875)&amp;")",""),"")))</f>
        <v/>
      </c>
      <c r="H875" s="7">
        <f>IF($Z875="C","CONTRACT",IF($Z875="A","ASSET",IF($Z875="F","WORKFORCE","")))</f>
        <v/>
      </c>
      <c r="I875" s="7">
        <f>IF($Z875="C",INDEX(Contracts!$L$2:$L$151,$AB875)&amp;"",IF($Z875="A",INDEX(Fixed_Assets!$I$2:$I$201,$AB875)&amp;"",IF($Z875="F",INDEX(Workforce!$G$2:$G$151,MATCH(INDEX(FTE_Allocation!$A$2:$A$201,$AB875),Workforce!$A$2:$A$151,0))&amp;"","")))</f>
        <v/>
      </c>
      <c r="J875" s="18">
        <f>IF($Z875="","",IF(AND(DATE($AD875,1,1)&gt;=$AE875,DATE($AD875,1,1)&lt;=$AF875),ROUND($AG875,2),0))</f>
        <v/>
      </c>
      <c r="K875" s="18">
        <f>IF($Z875="","",IF(AND(DATE($AD875,2,1)&gt;=$AE875,DATE($AD875,2,1)&lt;=$AF875),ROUND($AG875,2),0))</f>
        <v/>
      </c>
      <c r="L875" s="18">
        <f>IF($Z875="","",IF(AND(DATE($AD875,3,1)&gt;=$AE875,DATE($AD875,3,1)&lt;=$AF875),ROUND($AG875,2),0))</f>
        <v/>
      </c>
      <c r="M875" s="18">
        <f>IF($Z875="","",IF(AND(DATE($AD875,4,1)&gt;=$AE875,DATE($AD875,4,1)&lt;=$AF875),ROUND($AG875,2),0))</f>
        <v/>
      </c>
      <c r="N875" s="18">
        <f>IF($Z875="","",IF(AND(DATE($AD875,5,1)&gt;=$AE875,DATE($AD875,5,1)&lt;=$AF875),ROUND($AG875,2),0))</f>
        <v/>
      </c>
      <c r="O875" s="18">
        <f>IF($Z875="","",IF(AND(DATE($AD875,6,1)&gt;=$AE875,DATE($AD875,6,1)&lt;=$AF875),ROUND($AG875,2),0))</f>
        <v/>
      </c>
      <c r="P875" s="18">
        <f>IF($Z875="","",IF(AND(DATE($AD875,7,1)&gt;=$AE875,DATE($AD875,7,1)&lt;=$AF875),ROUND($AG875,2),0))</f>
        <v/>
      </c>
      <c r="Q875" s="18">
        <f>IF($Z875="","",IF(AND(DATE($AD875,8,1)&gt;=$AE875,DATE($AD875,8,1)&lt;=$AF875),ROUND($AG875,2),0))</f>
        <v/>
      </c>
      <c r="R875" s="18">
        <f>IF($Z875="","",IF(AND(DATE($AD875,9,1)&gt;=$AE875,DATE($AD875,9,1)&lt;=$AF875),ROUND($AG875,2),0))</f>
        <v/>
      </c>
      <c r="S875" s="18">
        <f>IF($Z875="","",IF(AND(DATE($AD875,10,1)&gt;=$AE875,DATE($AD875,10,1)&lt;=$AF875),ROUND($AG875,2),0))</f>
        <v/>
      </c>
      <c r="T875" s="18">
        <f>IF($Z875="","",IF(AND(DATE($AD875,11,1)&gt;=$AE875,DATE($AD875,11,1)&lt;=$AF875),ROUND($AG875,2),0))</f>
        <v/>
      </c>
      <c r="U875" s="18">
        <f>IF($Z875="","",IF(AND(DATE($AD875,12,1)&gt;=$AE875,DATE($AD875,12,1)&lt;=$AF875),ROUND($AG875,2),0))</f>
        <v/>
      </c>
      <c r="V875" s="7">
        <f>IF($Z875="C","Generated from "&amp;INDEX(Contracts!$A$2:$A$151,$AB875),IF($Z875="A","Generated from "&amp;INDEX(Fixed_Assets!$A$2:$A$201,$AB875),IF($Z875="F","Generated from "&amp;INDEX(FTE_Allocation!$A$2:$A$201,$AB875),"")))</f>
        <v/>
      </c>
      <c r="X875" s="19">
        <f>IF($Z875="","",SUM(J875:U875))</f>
        <v/>
      </c>
      <c r="Y875" s="20">
        <f>ROW()-1</f>
        <v/>
      </c>
      <c r="Z875" s="20">
        <f>IF($Y875&lt;=Settings!$B$4*3,"C",IF($Y875&lt;=(Settings!$B$4+Settings!$B$5)*3,"A",IF($Y875&lt;=(Settings!$B$4+Settings!$B$5+Settings!$B$6)*3,"F","")))</f>
        <v/>
      </c>
      <c r="AA875" s="20">
        <f>IF($Z875="C",$Y875,IF($Z875="A",$Y875-Settings!$B$4*3,IF($Z875="F",$Y875-(Settings!$B$4+Settings!$B$5)*3,"")))</f>
        <v/>
      </c>
      <c r="AB875" s="20">
        <f>IF($Z875="","",INT(($AA875-1)/3)+1)</f>
        <v/>
      </c>
      <c r="AC875" s="20">
        <f>IF($Z875="","",MOD($AA875-1,3)+1)</f>
        <v/>
      </c>
      <c r="AD875" s="20">
        <f>IF($Z875="","",Settings!$B$2+$AC875-1)</f>
        <v/>
      </c>
      <c r="AE875" s="21">
        <f>IF($Z875="C",DATE(YEAR(INDEX(Contracts!$J$2:$J$151,$AB875)),MONTH(INDEX(Contracts!$J$2:$J$151,$AB875)),1),IF($Z875="A",DATE(YEAR(INDEX(Fixed_Assets!$G$2:$G$201,$AB875)),MONTH(INDEX(Fixed_Assets!$G$2:$G$201,$AB875)),1),IF($Z875="F",DATE(YEAR(MAX(N(INDEX(Workforce!$I$2:$I$151,MATCH(INDEX(FTE_Allocation!$A$2:$A$201,$AB875),Workforce!$A$2:$A$151,0))),N(INDEX(FTE_Allocation!$I$2:$I$201,$AB875)))),MONTH(MAX(N(INDEX(Workforce!$I$2:$I$151,MATCH(INDEX(FTE_Allocation!$A$2:$A$201,$AB875),Workforce!$A$2:$A$151,0))),N(INDEX(FTE_Allocation!$I$2:$I$201,$AB875)))),1),"")))</f>
        <v/>
      </c>
      <c r="AF875" s="21">
        <f>IF($Z875="C",IF(INDEX(Contracts!$I$2:$I$151,$AB875)="PREPAID",EDATE(DATE(YEAR(INDEX(Contracts!$J$2:$J$151,$AB875)),MONTH(INDEX(Contracts!$J$2:$J$151,$AB875)),1),IF(INDEX(Contracts!$N$2:$N$151,$AB875)="",12,INDEX(Contracts!$N$2:$N$151,$AB875))-1),IF(INDEX(Contracts!$I$2:$I$151,$AB875)="MONTHLY",IF(INDEX(Contracts!$K$2:$K$151,$AB875)="",2958101,INDEX(Contracts!$K$2:$K$151,$AB875)),0)),IF($Z875="A",EDATE(DATE(YEAR(INDEX(Fixed_Assets!$G$2:$G$201,$AB875)),MONTH(INDEX(Fixed_Assets!$G$2:$G$201,$AB875)),1),INDEX(Fixed_Assets!$J$2:$J$201,$AB875)-1),IF($Z875="F",MIN(IF(INDEX(Workforce!$J$2:$J$151,MATCH(INDEX(FTE_Allocation!$A$2:$A$201,$AB875),Workforce!$A$2:$A$151,0))="",2958101,INDEX(Workforce!$J$2:$J$151,MATCH(INDEX(FTE_Allocation!$A$2:$A$201,$AB875),Workforce!$A$2:$A$151,0))),IF(INDEX(FTE_Allocation!$J$2:$J$201,$AB875)="",2958101,INDEX(FTE_Allocation!$J$2:$J$201,$AB875))),"")))</f>
        <v/>
      </c>
      <c r="AG875" s="19">
        <f>IF($Z875="C",IF(INDEX(Contracts!$I$2:$I$151,$AB875)="PREPAID",INDEX(Contracts!$M$2:$M$151,$AB875)/IF(INDEX(Contracts!$N$2:$N$151,$AB875)="",12,INDEX(Contracts!$N$2:$N$151,$AB875)),IF(INDEX(Contracts!$I$2:$I$151,$AB875)="MONTHLY",INDEX(Contracts!$M$2:$M$151,$AB875),0))*(1-N(INDEX(Contracts!$O$2:$O$151,$AB875))),IF($Z875="A",INDEX(Fixed_Assets!$H$2:$H$201,$AB875)/INDEX(Fixed_Assets!$J$2:$J$201,$AB875),IF($Z875="F",INDEX(Workforce!$F$2:$F$151,MATCH(INDEX(FTE_Allocation!$A$2:$A$201,$AB875),Workforce!$A$2:$A$151,0))*N(INDEX(FTE_Allocation!$F$2:$H$201,$AB875,$AC875)),"")))</f>
        <v/>
      </c>
    </row>
    <row r="876">
      <c r="A876" s="7">
        <f>IF($Z876="","",$AD876)</f>
        <v/>
      </c>
      <c r="B876" s="7">
        <f>IF($Z876="C",INDEX(Contracts!$D$2:$D$151,$AB876)&amp;"",IF($Z876="A",INDEX(Fixed_Assets!$C$2:$C$201,$AB876)&amp;"",IF($Z876="F",INDEX(Workforce!$B$2:$B$151,MATCH(INDEX(FTE_Allocation!$A$2:$A$201,$AB876),Workforce!$A$2:$A$151,0))&amp;"","")))</f>
        <v/>
      </c>
      <c r="C876" s="7">
        <f>IF($Z876="C",INDEX(Contracts!$E$2:$E$151,$AB876)&amp;"",IF($Z876="A",INDEX(Fixed_Assets!$D$2:$D$201,$AB876)&amp;"",IF($Z876="F",INDEX(FTE_Allocation!$C$2:$C$201,$AB876)&amp;"","")))</f>
        <v/>
      </c>
      <c r="D876" s="7">
        <f>IF($Z876="C",INDEX(Contracts!$B$2:$B$151,$AB876)&amp;"",IF($Z876="A",INDEX(Fixed_Assets!$B$2:$B$201,$AB876)&amp;"",IF($Z876="F",INDEX(FTE_Allocation!$B$2:$B$201,$AB876)&amp;"","")))</f>
        <v/>
      </c>
      <c r="E876" s="7">
        <f>IF($Z876="C",INDEX(Contracts!$P$2:$P$151,$AB876)&amp;"",IF($Z876="A",INDEX(Fixed_Assets!$K$2:$K$201,$AB876)&amp;"",IF($Z876="F",IF(INDEX(FTE_Allocation!$D$2:$D$201,$AB876)="PROJECT",IFERROR(INDEX(Projects!$D:$D,MATCH(INDEX(FTE_Allocation!$E$2:$E$201,$AB876),Projects!$A:$A,0))&amp;"","#PROJECT?"),INDEX(FTE_Allocation!$E$2:$E$201,$AB876)&amp;""),"")))</f>
        <v/>
      </c>
      <c r="F876" s="7">
        <f>IF($Z876="C",INDEX(Contracts!$Q$2:$Q$151,$AB876)&amp;"",IF($Z876="A",INDEX(Fixed_Assets!$L$2:$L$201,$AB876)&amp;"",IF($Z876="F",INDEX(Workforce!$K$2:$K$151,MATCH(INDEX(FTE_Allocation!$A$2:$A$201,$AB876),Workforce!$A$2:$A$151,0))&amp;"","")))</f>
        <v/>
      </c>
      <c r="G876" s="7">
        <f>IF($Z876="C",INDEX(Contracts!$F$2:$F$151,$AB876)&amp;" / "&amp;INDEX(Contracts!$G$2:$G$151,$AB876),IF($Z876="A",INDEX(Fixed_Assets!$E$2:$E$201,$AB876)&amp;"",IF($Z876="F","Personnel "&amp;INDEX(FTE_Allocation!$A$2:$A$201,$AB876)&amp;IF(INDEX(FTE_Allocation!$D$2:$D$201,$AB876)="PROJECT"," ("&amp;INDEX(FTE_Allocation!$E$2:$E$201,$AB876)&amp;")",""),"")))</f>
        <v/>
      </c>
      <c r="H876" s="7">
        <f>IF($Z876="C","CONTRACT",IF($Z876="A","ASSET",IF($Z876="F","WORKFORCE","")))</f>
        <v/>
      </c>
      <c r="I876" s="7">
        <f>IF($Z876="C",INDEX(Contracts!$L$2:$L$151,$AB876)&amp;"",IF($Z876="A",INDEX(Fixed_Assets!$I$2:$I$201,$AB876)&amp;"",IF($Z876="F",INDEX(Workforce!$G$2:$G$151,MATCH(INDEX(FTE_Allocation!$A$2:$A$201,$AB876),Workforce!$A$2:$A$151,0))&amp;"","")))</f>
        <v/>
      </c>
      <c r="J876" s="18">
        <f>IF($Z876="","",IF(AND(DATE($AD876,1,1)&gt;=$AE876,DATE($AD876,1,1)&lt;=$AF876),ROUND($AG876,2),0))</f>
        <v/>
      </c>
      <c r="K876" s="18">
        <f>IF($Z876="","",IF(AND(DATE($AD876,2,1)&gt;=$AE876,DATE($AD876,2,1)&lt;=$AF876),ROUND($AG876,2),0))</f>
        <v/>
      </c>
      <c r="L876" s="18">
        <f>IF($Z876="","",IF(AND(DATE($AD876,3,1)&gt;=$AE876,DATE($AD876,3,1)&lt;=$AF876),ROUND($AG876,2),0))</f>
        <v/>
      </c>
      <c r="M876" s="18">
        <f>IF($Z876="","",IF(AND(DATE($AD876,4,1)&gt;=$AE876,DATE($AD876,4,1)&lt;=$AF876),ROUND($AG876,2),0))</f>
        <v/>
      </c>
      <c r="N876" s="18">
        <f>IF($Z876="","",IF(AND(DATE($AD876,5,1)&gt;=$AE876,DATE($AD876,5,1)&lt;=$AF876),ROUND($AG876,2),0))</f>
        <v/>
      </c>
      <c r="O876" s="18">
        <f>IF($Z876="","",IF(AND(DATE($AD876,6,1)&gt;=$AE876,DATE($AD876,6,1)&lt;=$AF876),ROUND($AG876,2),0))</f>
        <v/>
      </c>
      <c r="P876" s="18">
        <f>IF($Z876="","",IF(AND(DATE($AD876,7,1)&gt;=$AE876,DATE($AD876,7,1)&lt;=$AF876),ROUND($AG876,2),0))</f>
        <v/>
      </c>
      <c r="Q876" s="18">
        <f>IF($Z876="","",IF(AND(DATE($AD876,8,1)&gt;=$AE876,DATE($AD876,8,1)&lt;=$AF876),ROUND($AG876,2),0))</f>
        <v/>
      </c>
      <c r="R876" s="18">
        <f>IF($Z876="","",IF(AND(DATE($AD876,9,1)&gt;=$AE876,DATE($AD876,9,1)&lt;=$AF876),ROUND($AG876,2),0))</f>
        <v/>
      </c>
      <c r="S876" s="18">
        <f>IF($Z876="","",IF(AND(DATE($AD876,10,1)&gt;=$AE876,DATE($AD876,10,1)&lt;=$AF876),ROUND($AG876,2),0))</f>
        <v/>
      </c>
      <c r="T876" s="18">
        <f>IF($Z876="","",IF(AND(DATE($AD876,11,1)&gt;=$AE876,DATE($AD876,11,1)&lt;=$AF876),ROUND($AG876,2),0))</f>
        <v/>
      </c>
      <c r="U876" s="18">
        <f>IF($Z876="","",IF(AND(DATE($AD876,12,1)&gt;=$AE876,DATE($AD876,12,1)&lt;=$AF876),ROUND($AG876,2),0))</f>
        <v/>
      </c>
      <c r="V876" s="7">
        <f>IF($Z876="C","Generated from "&amp;INDEX(Contracts!$A$2:$A$151,$AB876),IF($Z876="A","Generated from "&amp;INDEX(Fixed_Assets!$A$2:$A$201,$AB876),IF($Z876="F","Generated from "&amp;INDEX(FTE_Allocation!$A$2:$A$201,$AB876),"")))</f>
        <v/>
      </c>
      <c r="X876" s="19">
        <f>IF($Z876="","",SUM(J876:U876))</f>
        <v/>
      </c>
      <c r="Y876" s="20">
        <f>ROW()-1</f>
        <v/>
      </c>
      <c r="Z876" s="20">
        <f>IF($Y876&lt;=Settings!$B$4*3,"C",IF($Y876&lt;=(Settings!$B$4+Settings!$B$5)*3,"A",IF($Y876&lt;=(Settings!$B$4+Settings!$B$5+Settings!$B$6)*3,"F","")))</f>
        <v/>
      </c>
      <c r="AA876" s="20">
        <f>IF($Z876="C",$Y876,IF($Z876="A",$Y876-Settings!$B$4*3,IF($Z876="F",$Y876-(Settings!$B$4+Settings!$B$5)*3,"")))</f>
        <v/>
      </c>
      <c r="AB876" s="20">
        <f>IF($Z876="","",INT(($AA876-1)/3)+1)</f>
        <v/>
      </c>
      <c r="AC876" s="20">
        <f>IF($Z876="","",MOD($AA876-1,3)+1)</f>
        <v/>
      </c>
      <c r="AD876" s="20">
        <f>IF($Z876="","",Settings!$B$2+$AC876-1)</f>
        <v/>
      </c>
      <c r="AE876" s="21">
        <f>IF($Z876="C",DATE(YEAR(INDEX(Contracts!$J$2:$J$151,$AB876)),MONTH(INDEX(Contracts!$J$2:$J$151,$AB876)),1),IF($Z876="A",DATE(YEAR(INDEX(Fixed_Assets!$G$2:$G$201,$AB876)),MONTH(INDEX(Fixed_Assets!$G$2:$G$201,$AB876)),1),IF($Z876="F",DATE(YEAR(MAX(N(INDEX(Workforce!$I$2:$I$151,MATCH(INDEX(FTE_Allocation!$A$2:$A$201,$AB876),Workforce!$A$2:$A$151,0))),N(INDEX(FTE_Allocation!$I$2:$I$201,$AB876)))),MONTH(MAX(N(INDEX(Workforce!$I$2:$I$151,MATCH(INDEX(FTE_Allocation!$A$2:$A$201,$AB876),Workforce!$A$2:$A$151,0))),N(INDEX(FTE_Allocation!$I$2:$I$201,$AB876)))),1),"")))</f>
        <v/>
      </c>
      <c r="AF876" s="21">
        <f>IF($Z876="C",IF(INDEX(Contracts!$I$2:$I$151,$AB876)="PREPAID",EDATE(DATE(YEAR(INDEX(Contracts!$J$2:$J$151,$AB876)),MONTH(INDEX(Contracts!$J$2:$J$151,$AB876)),1),IF(INDEX(Contracts!$N$2:$N$151,$AB876)="",12,INDEX(Contracts!$N$2:$N$151,$AB876))-1),IF(INDEX(Contracts!$I$2:$I$151,$AB876)="MONTHLY",IF(INDEX(Contracts!$K$2:$K$151,$AB876)="",2958101,INDEX(Contracts!$K$2:$K$151,$AB876)),0)),IF($Z876="A",EDATE(DATE(YEAR(INDEX(Fixed_Assets!$G$2:$G$201,$AB876)),MONTH(INDEX(Fixed_Assets!$G$2:$G$201,$AB876)),1),INDEX(Fixed_Assets!$J$2:$J$201,$AB876)-1),IF($Z876="F",MIN(IF(INDEX(Workforce!$J$2:$J$151,MATCH(INDEX(FTE_Allocation!$A$2:$A$201,$AB876),Workforce!$A$2:$A$151,0))="",2958101,INDEX(Workforce!$J$2:$J$151,MATCH(INDEX(FTE_Allocation!$A$2:$A$201,$AB876),Workforce!$A$2:$A$151,0))),IF(INDEX(FTE_Allocation!$J$2:$J$201,$AB876)="",2958101,INDEX(FTE_Allocation!$J$2:$J$201,$AB876))),"")))</f>
        <v/>
      </c>
      <c r="AG876" s="19">
        <f>IF($Z876="C",IF(INDEX(Contracts!$I$2:$I$151,$AB876)="PREPAID",INDEX(Contracts!$M$2:$M$151,$AB876)/IF(INDEX(Contracts!$N$2:$N$151,$AB876)="",12,INDEX(Contracts!$N$2:$N$151,$AB876)),IF(INDEX(Contracts!$I$2:$I$151,$AB876)="MONTHLY",INDEX(Contracts!$M$2:$M$151,$AB876),0))*(1-N(INDEX(Contracts!$O$2:$O$151,$AB876))),IF($Z876="A",INDEX(Fixed_Assets!$H$2:$H$201,$AB876)/INDEX(Fixed_Assets!$J$2:$J$201,$AB876),IF($Z876="F",INDEX(Workforce!$F$2:$F$151,MATCH(INDEX(FTE_Allocation!$A$2:$A$201,$AB876),Workforce!$A$2:$A$151,0))*N(INDEX(FTE_Allocation!$F$2:$H$201,$AB876,$AC876)),"")))</f>
        <v/>
      </c>
    </row>
    <row r="877">
      <c r="A877" s="7">
        <f>IF($Z877="","",$AD877)</f>
        <v/>
      </c>
      <c r="B877" s="7">
        <f>IF($Z877="C",INDEX(Contracts!$D$2:$D$151,$AB877)&amp;"",IF($Z877="A",INDEX(Fixed_Assets!$C$2:$C$201,$AB877)&amp;"",IF($Z877="F",INDEX(Workforce!$B$2:$B$151,MATCH(INDEX(FTE_Allocation!$A$2:$A$201,$AB877),Workforce!$A$2:$A$151,0))&amp;"","")))</f>
        <v/>
      </c>
      <c r="C877" s="7">
        <f>IF($Z877="C",INDEX(Contracts!$E$2:$E$151,$AB877)&amp;"",IF($Z877="A",INDEX(Fixed_Assets!$D$2:$D$201,$AB877)&amp;"",IF($Z877="F",INDEX(FTE_Allocation!$C$2:$C$201,$AB877)&amp;"","")))</f>
        <v/>
      </c>
      <c r="D877" s="7">
        <f>IF($Z877="C",INDEX(Contracts!$B$2:$B$151,$AB877)&amp;"",IF($Z877="A",INDEX(Fixed_Assets!$B$2:$B$201,$AB877)&amp;"",IF($Z877="F",INDEX(FTE_Allocation!$B$2:$B$201,$AB877)&amp;"","")))</f>
        <v/>
      </c>
      <c r="E877" s="7">
        <f>IF($Z877="C",INDEX(Contracts!$P$2:$P$151,$AB877)&amp;"",IF($Z877="A",INDEX(Fixed_Assets!$K$2:$K$201,$AB877)&amp;"",IF($Z877="F",IF(INDEX(FTE_Allocation!$D$2:$D$201,$AB877)="PROJECT",IFERROR(INDEX(Projects!$D:$D,MATCH(INDEX(FTE_Allocation!$E$2:$E$201,$AB877),Projects!$A:$A,0))&amp;"","#PROJECT?"),INDEX(FTE_Allocation!$E$2:$E$201,$AB877)&amp;""),"")))</f>
        <v/>
      </c>
      <c r="F877" s="7">
        <f>IF($Z877="C",INDEX(Contracts!$Q$2:$Q$151,$AB877)&amp;"",IF($Z877="A",INDEX(Fixed_Assets!$L$2:$L$201,$AB877)&amp;"",IF($Z877="F",INDEX(Workforce!$K$2:$K$151,MATCH(INDEX(FTE_Allocation!$A$2:$A$201,$AB877),Workforce!$A$2:$A$151,0))&amp;"","")))</f>
        <v/>
      </c>
      <c r="G877" s="7">
        <f>IF($Z877="C",INDEX(Contracts!$F$2:$F$151,$AB877)&amp;" / "&amp;INDEX(Contracts!$G$2:$G$151,$AB877),IF($Z877="A",INDEX(Fixed_Assets!$E$2:$E$201,$AB877)&amp;"",IF($Z877="F","Personnel "&amp;INDEX(FTE_Allocation!$A$2:$A$201,$AB877)&amp;IF(INDEX(FTE_Allocation!$D$2:$D$201,$AB877)="PROJECT"," ("&amp;INDEX(FTE_Allocation!$E$2:$E$201,$AB877)&amp;")",""),"")))</f>
        <v/>
      </c>
      <c r="H877" s="7">
        <f>IF($Z877="C","CONTRACT",IF($Z877="A","ASSET",IF($Z877="F","WORKFORCE","")))</f>
        <v/>
      </c>
      <c r="I877" s="7">
        <f>IF($Z877="C",INDEX(Contracts!$L$2:$L$151,$AB877)&amp;"",IF($Z877="A",INDEX(Fixed_Assets!$I$2:$I$201,$AB877)&amp;"",IF($Z877="F",INDEX(Workforce!$G$2:$G$151,MATCH(INDEX(FTE_Allocation!$A$2:$A$201,$AB877),Workforce!$A$2:$A$151,0))&amp;"","")))</f>
        <v/>
      </c>
      <c r="J877" s="18">
        <f>IF($Z877="","",IF(AND(DATE($AD877,1,1)&gt;=$AE877,DATE($AD877,1,1)&lt;=$AF877),ROUND($AG877,2),0))</f>
        <v/>
      </c>
      <c r="K877" s="18">
        <f>IF($Z877="","",IF(AND(DATE($AD877,2,1)&gt;=$AE877,DATE($AD877,2,1)&lt;=$AF877),ROUND($AG877,2),0))</f>
        <v/>
      </c>
      <c r="L877" s="18">
        <f>IF($Z877="","",IF(AND(DATE($AD877,3,1)&gt;=$AE877,DATE($AD877,3,1)&lt;=$AF877),ROUND($AG877,2),0))</f>
        <v/>
      </c>
      <c r="M877" s="18">
        <f>IF($Z877="","",IF(AND(DATE($AD877,4,1)&gt;=$AE877,DATE($AD877,4,1)&lt;=$AF877),ROUND($AG877,2),0))</f>
        <v/>
      </c>
      <c r="N877" s="18">
        <f>IF($Z877="","",IF(AND(DATE($AD877,5,1)&gt;=$AE877,DATE($AD877,5,1)&lt;=$AF877),ROUND($AG877,2),0))</f>
        <v/>
      </c>
      <c r="O877" s="18">
        <f>IF($Z877="","",IF(AND(DATE($AD877,6,1)&gt;=$AE877,DATE($AD877,6,1)&lt;=$AF877),ROUND($AG877,2),0))</f>
        <v/>
      </c>
      <c r="P877" s="18">
        <f>IF($Z877="","",IF(AND(DATE($AD877,7,1)&gt;=$AE877,DATE($AD877,7,1)&lt;=$AF877),ROUND($AG877,2),0))</f>
        <v/>
      </c>
      <c r="Q877" s="18">
        <f>IF($Z877="","",IF(AND(DATE($AD877,8,1)&gt;=$AE877,DATE($AD877,8,1)&lt;=$AF877),ROUND($AG877,2),0))</f>
        <v/>
      </c>
      <c r="R877" s="18">
        <f>IF($Z877="","",IF(AND(DATE($AD877,9,1)&gt;=$AE877,DATE($AD877,9,1)&lt;=$AF877),ROUND($AG877,2),0))</f>
        <v/>
      </c>
      <c r="S877" s="18">
        <f>IF($Z877="","",IF(AND(DATE($AD877,10,1)&gt;=$AE877,DATE($AD877,10,1)&lt;=$AF877),ROUND($AG877,2),0))</f>
        <v/>
      </c>
      <c r="T877" s="18">
        <f>IF($Z877="","",IF(AND(DATE($AD877,11,1)&gt;=$AE877,DATE($AD877,11,1)&lt;=$AF877),ROUND($AG877,2),0))</f>
        <v/>
      </c>
      <c r="U877" s="18">
        <f>IF($Z877="","",IF(AND(DATE($AD877,12,1)&gt;=$AE877,DATE($AD877,12,1)&lt;=$AF877),ROUND($AG877,2),0))</f>
        <v/>
      </c>
      <c r="V877" s="7">
        <f>IF($Z877="C","Generated from "&amp;INDEX(Contracts!$A$2:$A$151,$AB877),IF($Z877="A","Generated from "&amp;INDEX(Fixed_Assets!$A$2:$A$201,$AB877),IF($Z877="F","Generated from "&amp;INDEX(FTE_Allocation!$A$2:$A$201,$AB877),"")))</f>
        <v/>
      </c>
      <c r="X877" s="19">
        <f>IF($Z877="","",SUM(J877:U877))</f>
        <v/>
      </c>
      <c r="Y877" s="20">
        <f>ROW()-1</f>
        <v/>
      </c>
      <c r="Z877" s="20">
        <f>IF($Y877&lt;=Settings!$B$4*3,"C",IF($Y877&lt;=(Settings!$B$4+Settings!$B$5)*3,"A",IF($Y877&lt;=(Settings!$B$4+Settings!$B$5+Settings!$B$6)*3,"F","")))</f>
        <v/>
      </c>
      <c r="AA877" s="20">
        <f>IF($Z877="C",$Y877,IF($Z877="A",$Y877-Settings!$B$4*3,IF($Z877="F",$Y877-(Settings!$B$4+Settings!$B$5)*3,"")))</f>
        <v/>
      </c>
      <c r="AB877" s="20">
        <f>IF($Z877="","",INT(($AA877-1)/3)+1)</f>
        <v/>
      </c>
      <c r="AC877" s="20">
        <f>IF($Z877="","",MOD($AA877-1,3)+1)</f>
        <v/>
      </c>
      <c r="AD877" s="20">
        <f>IF($Z877="","",Settings!$B$2+$AC877-1)</f>
        <v/>
      </c>
      <c r="AE877" s="21">
        <f>IF($Z877="C",DATE(YEAR(INDEX(Contracts!$J$2:$J$151,$AB877)),MONTH(INDEX(Contracts!$J$2:$J$151,$AB877)),1),IF($Z877="A",DATE(YEAR(INDEX(Fixed_Assets!$G$2:$G$201,$AB877)),MONTH(INDEX(Fixed_Assets!$G$2:$G$201,$AB877)),1),IF($Z877="F",DATE(YEAR(MAX(N(INDEX(Workforce!$I$2:$I$151,MATCH(INDEX(FTE_Allocation!$A$2:$A$201,$AB877),Workforce!$A$2:$A$151,0))),N(INDEX(FTE_Allocation!$I$2:$I$201,$AB877)))),MONTH(MAX(N(INDEX(Workforce!$I$2:$I$151,MATCH(INDEX(FTE_Allocation!$A$2:$A$201,$AB877),Workforce!$A$2:$A$151,0))),N(INDEX(FTE_Allocation!$I$2:$I$201,$AB877)))),1),"")))</f>
        <v/>
      </c>
      <c r="AF877" s="21">
        <f>IF($Z877="C",IF(INDEX(Contracts!$I$2:$I$151,$AB877)="PREPAID",EDATE(DATE(YEAR(INDEX(Contracts!$J$2:$J$151,$AB877)),MONTH(INDEX(Contracts!$J$2:$J$151,$AB877)),1),IF(INDEX(Contracts!$N$2:$N$151,$AB877)="",12,INDEX(Contracts!$N$2:$N$151,$AB877))-1),IF(INDEX(Contracts!$I$2:$I$151,$AB877)="MONTHLY",IF(INDEX(Contracts!$K$2:$K$151,$AB877)="",2958101,INDEX(Contracts!$K$2:$K$151,$AB877)),0)),IF($Z877="A",EDATE(DATE(YEAR(INDEX(Fixed_Assets!$G$2:$G$201,$AB877)),MONTH(INDEX(Fixed_Assets!$G$2:$G$201,$AB877)),1),INDEX(Fixed_Assets!$J$2:$J$201,$AB877)-1),IF($Z877="F",MIN(IF(INDEX(Workforce!$J$2:$J$151,MATCH(INDEX(FTE_Allocation!$A$2:$A$201,$AB877),Workforce!$A$2:$A$151,0))="",2958101,INDEX(Workforce!$J$2:$J$151,MATCH(INDEX(FTE_Allocation!$A$2:$A$201,$AB877),Workforce!$A$2:$A$151,0))),IF(INDEX(FTE_Allocation!$J$2:$J$201,$AB877)="",2958101,INDEX(FTE_Allocation!$J$2:$J$201,$AB877))),"")))</f>
        <v/>
      </c>
      <c r="AG877" s="19">
        <f>IF($Z877="C",IF(INDEX(Contracts!$I$2:$I$151,$AB877)="PREPAID",INDEX(Contracts!$M$2:$M$151,$AB877)/IF(INDEX(Contracts!$N$2:$N$151,$AB877)="",12,INDEX(Contracts!$N$2:$N$151,$AB877)),IF(INDEX(Contracts!$I$2:$I$151,$AB877)="MONTHLY",INDEX(Contracts!$M$2:$M$151,$AB877),0))*(1-N(INDEX(Contracts!$O$2:$O$151,$AB877))),IF($Z877="A",INDEX(Fixed_Assets!$H$2:$H$201,$AB877)/INDEX(Fixed_Assets!$J$2:$J$201,$AB877),IF($Z877="F",INDEX(Workforce!$F$2:$F$151,MATCH(INDEX(FTE_Allocation!$A$2:$A$201,$AB877),Workforce!$A$2:$A$151,0))*N(INDEX(FTE_Allocation!$F$2:$H$201,$AB877,$AC877)),"")))</f>
        <v/>
      </c>
    </row>
    <row r="878">
      <c r="A878" s="7">
        <f>IF($Z878="","",$AD878)</f>
        <v/>
      </c>
      <c r="B878" s="7">
        <f>IF($Z878="C",INDEX(Contracts!$D$2:$D$151,$AB878)&amp;"",IF($Z878="A",INDEX(Fixed_Assets!$C$2:$C$201,$AB878)&amp;"",IF($Z878="F",INDEX(Workforce!$B$2:$B$151,MATCH(INDEX(FTE_Allocation!$A$2:$A$201,$AB878),Workforce!$A$2:$A$151,0))&amp;"","")))</f>
        <v/>
      </c>
      <c r="C878" s="7">
        <f>IF($Z878="C",INDEX(Contracts!$E$2:$E$151,$AB878)&amp;"",IF($Z878="A",INDEX(Fixed_Assets!$D$2:$D$201,$AB878)&amp;"",IF($Z878="F",INDEX(FTE_Allocation!$C$2:$C$201,$AB878)&amp;"","")))</f>
        <v/>
      </c>
      <c r="D878" s="7">
        <f>IF($Z878="C",INDEX(Contracts!$B$2:$B$151,$AB878)&amp;"",IF($Z878="A",INDEX(Fixed_Assets!$B$2:$B$201,$AB878)&amp;"",IF($Z878="F",INDEX(FTE_Allocation!$B$2:$B$201,$AB878)&amp;"","")))</f>
        <v/>
      </c>
      <c r="E878" s="7">
        <f>IF($Z878="C",INDEX(Contracts!$P$2:$P$151,$AB878)&amp;"",IF($Z878="A",INDEX(Fixed_Assets!$K$2:$K$201,$AB878)&amp;"",IF($Z878="F",IF(INDEX(FTE_Allocation!$D$2:$D$201,$AB878)="PROJECT",IFERROR(INDEX(Projects!$D:$D,MATCH(INDEX(FTE_Allocation!$E$2:$E$201,$AB878),Projects!$A:$A,0))&amp;"","#PROJECT?"),INDEX(FTE_Allocation!$E$2:$E$201,$AB878)&amp;""),"")))</f>
        <v/>
      </c>
      <c r="F878" s="7">
        <f>IF($Z878="C",INDEX(Contracts!$Q$2:$Q$151,$AB878)&amp;"",IF($Z878="A",INDEX(Fixed_Assets!$L$2:$L$201,$AB878)&amp;"",IF($Z878="F",INDEX(Workforce!$K$2:$K$151,MATCH(INDEX(FTE_Allocation!$A$2:$A$201,$AB878),Workforce!$A$2:$A$151,0))&amp;"","")))</f>
        <v/>
      </c>
      <c r="G878" s="7">
        <f>IF($Z878="C",INDEX(Contracts!$F$2:$F$151,$AB878)&amp;" / "&amp;INDEX(Contracts!$G$2:$G$151,$AB878),IF($Z878="A",INDEX(Fixed_Assets!$E$2:$E$201,$AB878)&amp;"",IF($Z878="F","Personnel "&amp;INDEX(FTE_Allocation!$A$2:$A$201,$AB878)&amp;IF(INDEX(FTE_Allocation!$D$2:$D$201,$AB878)="PROJECT"," ("&amp;INDEX(FTE_Allocation!$E$2:$E$201,$AB878)&amp;")",""),"")))</f>
        <v/>
      </c>
      <c r="H878" s="7">
        <f>IF($Z878="C","CONTRACT",IF($Z878="A","ASSET",IF($Z878="F","WORKFORCE","")))</f>
        <v/>
      </c>
      <c r="I878" s="7">
        <f>IF($Z878="C",INDEX(Contracts!$L$2:$L$151,$AB878)&amp;"",IF($Z878="A",INDEX(Fixed_Assets!$I$2:$I$201,$AB878)&amp;"",IF($Z878="F",INDEX(Workforce!$G$2:$G$151,MATCH(INDEX(FTE_Allocation!$A$2:$A$201,$AB878),Workforce!$A$2:$A$151,0))&amp;"","")))</f>
        <v/>
      </c>
      <c r="J878" s="18">
        <f>IF($Z878="","",IF(AND(DATE($AD878,1,1)&gt;=$AE878,DATE($AD878,1,1)&lt;=$AF878),ROUND($AG878,2),0))</f>
        <v/>
      </c>
      <c r="K878" s="18">
        <f>IF($Z878="","",IF(AND(DATE($AD878,2,1)&gt;=$AE878,DATE($AD878,2,1)&lt;=$AF878),ROUND($AG878,2),0))</f>
        <v/>
      </c>
      <c r="L878" s="18">
        <f>IF($Z878="","",IF(AND(DATE($AD878,3,1)&gt;=$AE878,DATE($AD878,3,1)&lt;=$AF878),ROUND($AG878,2),0))</f>
        <v/>
      </c>
      <c r="M878" s="18">
        <f>IF($Z878="","",IF(AND(DATE($AD878,4,1)&gt;=$AE878,DATE($AD878,4,1)&lt;=$AF878),ROUND($AG878,2),0))</f>
        <v/>
      </c>
      <c r="N878" s="18">
        <f>IF($Z878="","",IF(AND(DATE($AD878,5,1)&gt;=$AE878,DATE($AD878,5,1)&lt;=$AF878),ROUND($AG878,2),0))</f>
        <v/>
      </c>
      <c r="O878" s="18">
        <f>IF($Z878="","",IF(AND(DATE($AD878,6,1)&gt;=$AE878,DATE($AD878,6,1)&lt;=$AF878),ROUND($AG878,2),0))</f>
        <v/>
      </c>
      <c r="P878" s="18">
        <f>IF($Z878="","",IF(AND(DATE($AD878,7,1)&gt;=$AE878,DATE($AD878,7,1)&lt;=$AF878),ROUND($AG878,2),0))</f>
        <v/>
      </c>
      <c r="Q878" s="18">
        <f>IF($Z878="","",IF(AND(DATE($AD878,8,1)&gt;=$AE878,DATE($AD878,8,1)&lt;=$AF878),ROUND($AG878,2),0))</f>
        <v/>
      </c>
      <c r="R878" s="18">
        <f>IF($Z878="","",IF(AND(DATE($AD878,9,1)&gt;=$AE878,DATE($AD878,9,1)&lt;=$AF878),ROUND($AG878,2),0))</f>
        <v/>
      </c>
      <c r="S878" s="18">
        <f>IF($Z878="","",IF(AND(DATE($AD878,10,1)&gt;=$AE878,DATE($AD878,10,1)&lt;=$AF878),ROUND($AG878,2),0))</f>
        <v/>
      </c>
      <c r="T878" s="18">
        <f>IF($Z878="","",IF(AND(DATE($AD878,11,1)&gt;=$AE878,DATE($AD878,11,1)&lt;=$AF878),ROUND($AG878,2),0))</f>
        <v/>
      </c>
      <c r="U878" s="18">
        <f>IF($Z878="","",IF(AND(DATE($AD878,12,1)&gt;=$AE878,DATE($AD878,12,1)&lt;=$AF878),ROUND($AG878,2),0))</f>
        <v/>
      </c>
      <c r="V878" s="7">
        <f>IF($Z878="C","Generated from "&amp;INDEX(Contracts!$A$2:$A$151,$AB878),IF($Z878="A","Generated from "&amp;INDEX(Fixed_Assets!$A$2:$A$201,$AB878),IF($Z878="F","Generated from "&amp;INDEX(FTE_Allocation!$A$2:$A$201,$AB878),"")))</f>
        <v/>
      </c>
      <c r="X878" s="19">
        <f>IF($Z878="","",SUM(J878:U878))</f>
        <v/>
      </c>
      <c r="Y878" s="20">
        <f>ROW()-1</f>
        <v/>
      </c>
      <c r="Z878" s="20">
        <f>IF($Y878&lt;=Settings!$B$4*3,"C",IF($Y878&lt;=(Settings!$B$4+Settings!$B$5)*3,"A",IF($Y878&lt;=(Settings!$B$4+Settings!$B$5+Settings!$B$6)*3,"F","")))</f>
        <v/>
      </c>
      <c r="AA878" s="20">
        <f>IF($Z878="C",$Y878,IF($Z878="A",$Y878-Settings!$B$4*3,IF($Z878="F",$Y878-(Settings!$B$4+Settings!$B$5)*3,"")))</f>
        <v/>
      </c>
      <c r="AB878" s="20">
        <f>IF($Z878="","",INT(($AA878-1)/3)+1)</f>
        <v/>
      </c>
      <c r="AC878" s="20">
        <f>IF($Z878="","",MOD($AA878-1,3)+1)</f>
        <v/>
      </c>
      <c r="AD878" s="20">
        <f>IF($Z878="","",Settings!$B$2+$AC878-1)</f>
        <v/>
      </c>
      <c r="AE878" s="21">
        <f>IF($Z878="C",DATE(YEAR(INDEX(Contracts!$J$2:$J$151,$AB878)),MONTH(INDEX(Contracts!$J$2:$J$151,$AB878)),1),IF($Z878="A",DATE(YEAR(INDEX(Fixed_Assets!$G$2:$G$201,$AB878)),MONTH(INDEX(Fixed_Assets!$G$2:$G$201,$AB878)),1),IF($Z878="F",DATE(YEAR(MAX(N(INDEX(Workforce!$I$2:$I$151,MATCH(INDEX(FTE_Allocation!$A$2:$A$201,$AB878),Workforce!$A$2:$A$151,0))),N(INDEX(FTE_Allocation!$I$2:$I$201,$AB878)))),MONTH(MAX(N(INDEX(Workforce!$I$2:$I$151,MATCH(INDEX(FTE_Allocation!$A$2:$A$201,$AB878),Workforce!$A$2:$A$151,0))),N(INDEX(FTE_Allocation!$I$2:$I$201,$AB878)))),1),"")))</f>
        <v/>
      </c>
      <c r="AF878" s="21">
        <f>IF($Z878="C",IF(INDEX(Contracts!$I$2:$I$151,$AB878)="PREPAID",EDATE(DATE(YEAR(INDEX(Contracts!$J$2:$J$151,$AB878)),MONTH(INDEX(Contracts!$J$2:$J$151,$AB878)),1),IF(INDEX(Contracts!$N$2:$N$151,$AB878)="",12,INDEX(Contracts!$N$2:$N$151,$AB878))-1),IF(INDEX(Contracts!$I$2:$I$151,$AB878)="MONTHLY",IF(INDEX(Contracts!$K$2:$K$151,$AB878)="",2958101,INDEX(Contracts!$K$2:$K$151,$AB878)),0)),IF($Z878="A",EDATE(DATE(YEAR(INDEX(Fixed_Assets!$G$2:$G$201,$AB878)),MONTH(INDEX(Fixed_Assets!$G$2:$G$201,$AB878)),1),INDEX(Fixed_Assets!$J$2:$J$201,$AB878)-1),IF($Z878="F",MIN(IF(INDEX(Workforce!$J$2:$J$151,MATCH(INDEX(FTE_Allocation!$A$2:$A$201,$AB878),Workforce!$A$2:$A$151,0))="",2958101,INDEX(Workforce!$J$2:$J$151,MATCH(INDEX(FTE_Allocation!$A$2:$A$201,$AB878),Workforce!$A$2:$A$151,0))),IF(INDEX(FTE_Allocation!$J$2:$J$201,$AB878)="",2958101,INDEX(FTE_Allocation!$J$2:$J$201,$AB878))),"")))</f>
        <v/>
      </c>
      <c r="AG878" s="19">
        <f>IF($Z878="C",IF(INDEX(Contracts!$I$2:$I$151,$AB878)="PREPAID",INDEX(Contracts!$M$2:$M$151,$AB878)/IF(INDEX(Contracts!$N$2:$N$151,$AB878)="",12,INDEX(Contracts!$N$2:$N$151,$AB878)),IF(INDEX(Contracts!$I$2:$I$151,$AB878)="MONTHLY",INDEX(Contracts!$M$2:$M$151,$AB878),0))*(1-N(INDEX(Contracts!$O$2:$O$151,$AB878))),IF($Z878="A",INDEX(Fixed_Assets!$H$2:$H$201,$AB878)/INDEX(Fixed_Assets!$J$2:$J$201,$AB878),IF($Z878="F",INDEX(Workforce!$F$2:$F$151,MATCH(INDEX(FTE_Allocation!$A$2:$A$201,$AB878),Workforce!$A$2:$A$151,0))*N(INDEX(FTE_Allocation!$F$2:$H$201,$AB878,$AC878)),"")))</f>
        <v/>
      </c>
    </row>
    <row r="879">
      <c r="A879" s="7">
        <f>IF($Z879="","",$AD879)</f>
        <v/>
      </c>
      <c r="B879" s="7">
        <f>IF($Z879="C",INDEX(Contracts!$D$2:$D$151,$AB879)&amp;"",IF($Z879="A",INDEX(Fixed_Assets!$C$2:$C$201,$AB879)&amp;"",IF($Z879="F",INDEX(Workforce!$B$2:$B$151,MATCH(INDEX(FTE_Allocation!$A$2:$A$201,$AB879),Workforce!$A$2:$A$151,0))&amp;"","")))</f>
        <v/>
      </c>
      <c r="C879" s="7">
        <f>IF($Z879="C",INDEX(Contracts!$E$2:$E$151,$AB879)&amp;"",IF($Z879="A",INDEX(Fixed_Assets!$D$2:$D$201,$AB879)&amp;"",IF($Z879="F",INDEX(FTE_Allocation!$C$2:$C$201,$AB879)&amp;"","")))</f>
        <v/>
      </c>
      <c r="D879" s="7">
        <f>IF($Z879="C",INDEX(Contracts!$B$2:$B$151,$AB879)&amp;"",IF($Z879="A",INDEX(Fixed_Assets!$B$2:$B$201,$AB879)&amp;"",IF($Z879="F",INDEX(FTE_Allocation!$B$2:$B$201,$AB879)&amp;"","")))</f>
        <v/>
      </c>
      <c r="E879" s="7">
        <f>IF($Z879="C",INDEX(Contracts!$P$2:$P$151,$AB879)&amp;"",IF($Z879="A",INDEX(Fixed_Assets!$K$2:$K$201,$AB879)&amp;"",IF($Z879="F",IF(INDEX(FTE_Allocation!$D$2:$D$201,$AB879)="PROJECT",IFERROR(INDEX(Projects!$D:$D,MATCH(INDEX(FTE_Allocation!$E$2:$E$201,$AB879),Projects!$A:$A,0))&amp;"","#PROJECT?"),INDEX(FTE_Allocation!$E$2:$E$201,$AB879)&amp;""),"")))</f>
        <v/>
      </c>
      <c r="F879" s="7">
        <f>IF($Z879="C",INDEX(Contracts!$Q$2:$Q$151,$AB879)&amp;"",IF($Z879="A",INDEX(Fixed_Assets!$L$2:$L$201,$AB879)&amp;"",IF($Z879="F",INDEX(Workforce!$K$2:$K$151,MATCH(INDEX(FTE_Allocation!$A$2:$A$201,$AB879),Workforce!$A$2:$A$151,0))&amp;"","")))</f>
        <v/>
      </c>
      <c r="G879" s="7">
        <f>IF($Z879="C",INDEX(Contracts!$F$2:$F$151,$AB879)&amp;" / "&amp;INDEX(Contracts!$G$2:$G$151,$AB879),IF($Z879="A",INDEX(Fixed_Assets!$E$2:$E$201,$AB879)&amp;"",IF($Z879="F","Personnel "&amp;INDEX(FTE_Allocation!$A$2:$A$201,$AB879)&amp;IF(INDEX(FTE_Allocation!$D$2:$D$201,$AB879)="PROJECT"," ("&amp;INDEX(FTE_Allocation!$E$2:$E$201,$AB879)&amp;")",""),"")))</f>
        <v/>
      </c>
      <c r="H879" s="7">
        <f>IF($Z879="C","CONTRACT",IF($Z879="A","ASSET",IF($Z879="F","WORKFORCE","")))</f>
        <v/>
      </c>
      <c r="I879" s="7">
        <f>IF($Z879="C",INDEX(Contracts!$L$2:$L$151,$AB879)&amp;"",IF($Z879="A",INDEX(Fixed_Assets!$I$2:$I$201,$AB879)&amp;"",IF($Z879="F",INDEX(Workforce!$G$2:$G$151,MATCH(INDEX(FTE_Allocation!$A$2:$A$201,$AB879),Workforce!$A$2:$A$151,0))&amp;"","")))</f>
        <v/>
      </c>
      <c r="J879" s="18">
        <f>IF($Z879="","",IF(AND(DATE($AD879,1,1)&gt;=$AE879,DATE($AD879,1,1)&lt;=$AF879),ROUND($AG879,2),0))</f>
        <v/>
      </c>
      <c r="K879" s="18">
        <f>IF($Z879="","",IF(AND(DATE($AD879,2,1)&gt;=$AE879,DATE($AD879,2,1)&lt;=$AF879),ROUND($AG879,2),0))</f>
        <v/>
      </c>
      <c r="L879" s="18">
        <f>IF($Z879="","",IF(AND(DATE($AD879,3,1)&gt;=$AE879,DATE($AD879,3,1)&lt;=$AF879),ROUND($AG879,2),0))</f>
        <v/>
      </c>
      <c r="M879" s="18">
        <f>IF($Z879="","",IF(AND(DATE($AD879,4,1)&gt;=$AE879,DATE($AD879,4,1)&lt;=$AF879),ROUND($AG879,2),0))</f>
        <v/>
      </c>
      <c r="N879" s="18">
        <f>IF($Z879="","",IF(AND(DATE($AD879,5,1)&gt;=$AE879,DATE($AD879,5,1)&lt;=$AF879),ROUND($AG879,2),0))</f>
        <v/>
      </c>
      <c r="O879" s="18">
        <f>IF($Z879="","",IF(AND(DATE($AD879,6,1)&gt;=$AE879,DATE($AD879,6,1)&lt;=$AF879),ROUND($AG879,2),0))</f>
        <v/>
      </c>
      <c r="P879" s="18">
        <f>IF($Z879="","",IF(AND(DATE($AD879,7,1)&gt;=$AE879,DATE($AD879,7,1)&lt;=$AF879),ROUND($AG879,2),0))</f>
        <v/>
      </c>
      <c r="Q879" s="18">
        <f>IF($Z879="","",IF(AND(DATE($AD879,8,1)&gt;=$AE879,DATE($AD879,8,1)&lt;=$AF879),ROUND($AG879,2),0))</f>
        <v/>
      </c>
      <c r="R879" s="18">
        <f>IF($Z879="","",IF(AND(DATE($AD879,9,1)&gt;=$AE879,DATE($AD879,9,1)&lt;=$AF879),ROUND($AG879,2),0))</f>
        <v/>
      </c>
      <c r="S879" s="18">
        <f>IF($Z879="","",IF(AND(DATE($AD879,10,1)&gt;=$AE879,DATE($AD879,10,1)&lt;=$AF879),ROUND($AG879,2),0))</f>
        <v/>
      </c>
      <c r="T879" s="18">
        <f>IF($Z879="","",IF(AND(DATE($AD879,11,1)&gt;=$AE879,DATE($AD879,11,1)&lt;=$AF879),ROUND($AG879,2),0))</f>
        <v/>
      </c>
      <c r="U879" s="18">
        <f>IF($Z879="","",IF(AND(DATE($AD879,12,1)&gt;=$AE879,DATE($AD879,12,1)&lt;=$AF879),ROUND($AG879,2),0))</f>
        <v/>
      </c>
      <c r="V879" s="7">
        <f>IF($Z879="C","Generated from "&amp;INDEX(Contracts!$A$2:$A$151,$AB879),IF($Z879="A","Generated from "&amp;INDEX(Fixed_Assets!$A$2:$A$201,$AB879),IF($Z879="F","Generated from "&amp;INDEX(FTE_Allocation!$A$2:$A$201,$AB879),"")))</f>
        <v/>
      </c>
      <c r="X879" s="19">
        <f>IF($Z879="","",SUM(J879:U879))</f>
        <v/>
      </c>
      <c r="Y879" s="20">
        <f>ROW()-1</f>
        <v/>
      </c>
      <c r="Z879" s="20">
        <f>IF($Y879&lt;=Settings!$B$4*3,"C",IF($Y879&lt;=(Settings!$B$4+Settings!$B$5)*3,"A",IF($Y879&lt;=(Settings!$B$4+Settings!$B$5+Settings!$B$6)*3,"F","")))</f>
        <v/>
      </c>
      <c r="AA879" s="20">
        <f>IF($Z879="C",$Y879,IF($Z879="A",$Y879-Settings!$B$4*3,IF($Z879="F",$Y879-(Settings!$B$4+Settings!$B$5)*3,"")))</f>
        <v/>
      </c>
      <c r="AB879" s="20">
        <f>IF($Z879="","",INT(($AA879-1)/3)+1)</f>
        <v/>
      </c>
      <c r="AC879" s="20">
        <f>IF($Z879="","",MOD($AA879-1,3)+1)</f>
        <v/>
      </c>
      <c r="AD879" s="20">
        <f>IF($Z879="","",Settings!$B$2+$AC879-1)</f>
        <v/>
      </c>
      <c r="AE879" s="21">
        <f>IF($Z879="C",DATE(YEAR(INDEX(Contracts!$J$2:$J$151,$AB879)),MONTH(INDEX(Contracts!$J$2:$J$151,$AB879)),1),IF($Z879="A",DATE(YEAR(INDEX(Fixed_Assets!$G$2:$G$201,$AB879)),MONTH(INDEX(Fixed_Assets!$G$2:$G$201,$AB879)),1),IF($Z879="F",DATE(YEAR(MAX(N(INDEX(Workforce!$I$2:$I$151,MATCH(INDEX(FTE_Allocation!$A$2:$A$201,$AB879),Workforce!$A$2:$A$151,0))),N(INDEX(FTE_Allocation!$I$2:$I$201,$AB879)))),MONTH(MAX(N(INDEX(Workforce!$I$2:$I$151,MATCH(INDEX(FTE_Allocation!$A$2:$A$201,$AB879),Workforce!$A$2:$A$151,0))),N(INDEX(FTE_Allocation!$I$2:$I$201,$AB879)))),1),"")))</f>
        <v/>
      </c>
      <c r="AF879" s="21">
        <f>IF($Z879="C",IF(INDEX(Contracts!$I$2:$I$151,$AB879)="PREPAID",EDATE(DATE(YEAR(INDEX(Contracts!$J$2:$J$151,$AB879)),MONTH(INDEX(Contracts!$J$2:$J$151,$AB879)),1),IF(INDEX(Contracts!$N$2:$N$151,$AB879)="",12,INDEX(Contracts!$N$2:$N$151,$AB879))-1),IF(INDEX(Contracts!$I$2:$I$151,$AB879)="MONTHLY",IF(INDEX(Contracts!$K$2:$K$151,$AB879)="",2958101,INDEX(Contracts!$K$2:$K$151,$AB879)),0)),IF($Z879="A",EDATE(DATE(YEAR(INDEX(Fixed_Assets!$G$2:$G$201,$AB879)),MONTH(INDEX(Fixed_Assets!$G$2:$G$201,$AB879)),1),INDEX(Fixed_Assets!$J$2:$J$201,$AB879)-1),IF($Z879="F",MIN(IF(INDEX(Workforce!$J$2:$J$151,MATCH(INDEX(FTE_Allocation!$A$2:$A$201,$AB879),Workforce!$A$2:$A$151,0))="",2958101,INDEX(Workforce!$J$2:$J$151,MATCH(INDEX(FTE_Allocation!$A$2:$A$201,$AB879),Workforce!$A$2:$A$151,0))),IF(INDEX(FTE_Allocation!$J$2:$J$201,$AB879)="",2958101,INDEX(FTE_Allocation!$J$2:$J$201,$AB879))),"")))</f>
        <v/>
      </c>
      <c r="AG879" s="19">
        <f>IF($Z879="C",IF(INDEX(Contracts!$I$2:$I$151,$AB879)="PREPAID",INDEX(Contracts!$M$2:$M$151,$AB879)/IF(INDEX(Contracts!$N$2:$N$151,$AB879)="",12,INDEX(Contracts!$N$2:$N$151,$AB879)),IF(INDEX(Contracts!$I$2:$I$151,$AB879)="MONTHLY",INDEX(Contracts!$M$2:$M$151,$AB879),0))*(1-N(INDEX(Contracts!$O$2:$O$151,$AB879))),IF($Z879="A",INDEX(Fixed_Assets!$H$2:$H$201,$AB879)/INDEX(Fixed_Assets!$J$2:$J$201,$AB879),IF($Z879="F",INDEX(Workforce!$F$2:$F$151,MATCH(INDEX(FTE_Allocation!$A$2:$A$201,$AB879),Workforce!$A$2:$A$151,0))*N(INDEX(FTE_Allocation!$F$2:$H$201,$AB879,$AC879)),"")))</f>
        <v/>
      </c>
    </row>
    <row r="880">
      <c r="A880" s="7">
        <f>IF($Z880="","",$AD880)</f>
        <v/>
      </c>
      <c r="B880" s="7">
        <f>IF($Z880="C",INDEX(Contracts!$D$2:$D$151,$AB880)&amp;"",IF($Z880="A",INDEX(Fixed_Assets!$C$2:$C$201,$AB880)&amp;"",IF($Z880="F",INDEX(Workforce!$B$2:$B$151,MATCH(INDEX(FTE_Allocation!$A$2:$A$201,$AB880),Workforce!$A$2:$A$151,0))&amp;"","")))</f>
        <v/>
      </c>
      <c r="C880" s="7">
        <f>IF($Z880="C",INDEX(Contracts!$E$2:$E$151,$AB880)&amp;"",IF($Z880="A",INDEX(Fixed_Assets!$D$2:$D$201,$AB880)&amp;"",IF($Z880="F",INDEX(FTE_Allocation!$C$2:$C$201,$AB880)&amp;"","")))</f>
        <v/>
      </c>
      <c r="D880" s="7">
        <f>IF($Z880="C",INDEX(Contracts!$B$2:$B$151,$AB880)&amp;"",IF($Z880="A",INDEX(Fixed_Assets!$B$2:$B$201,$AB880)&amp;"",IF($Z880="F",INDEX(FTE_Allocation!$B$2:$B$201,$AB880)&amp;"","")))</f>
        <v/>
      </c>
      <c r="E880" s="7">
        <f>IF($Z880="C",INDEX(Contracts!$P$2:$P$151,$AB880)&amp;"",IF($Z880="A",INDEX(Fixed_Assets!$K$2:$K$201,$AB880)&amp;"",IF($Z880="F",IF(INDEX(FTE_Allocation!$D$2:$D$201,$AB880)="PROJECT",IFERROR(INDEX(Projects!$D:$D,MATCH(INDEX(FTE_Allocation!$E$2:$E$201,$AB880),Projects!$A:$A,0))&amp;"","#PROJECT?"),INDEX(FTE_Allocation!$E$2:$E$201,$AB880)&amp;""),"")))</f>
        <v/>
      </c>
      <c r="F880" s="7">
        <f>IF($Z880="C",INDEX(Contracts!$Q$2:$Q$151,$AB880)&amp;"",IF($Z880="A",INDEX(Fixed_Assets!$L$2:$L$201,$AB880)&amp;"",IF($Z880="F",INDEX(Workforce!$K$2:$K$151,MATCH(INDEX(FTE_Allocation!$A$2:$A$201,$AB880),Workforce!$A$2:$A$151,0))&amp;"","")))</f>
        <v/>
      </c>
      <c r="G880" s="7">
        <f>IF($Z880="C",INDEX(Contracts!$F$2:$F$151,$AB880)&amp;" / "&amp;INDEX(Contracts!$G$2:$G$151,$AB880),IF($Z880="A",INDEX(Fixed_Assets!$E$2:$E$201,$AB880)&amp;"",IF($Z880="F","Personnel "&amp;INDEX(FTE_Allocation!$A$2:$A$201,$AB880)&amp;IF(INDEX(FTE_Allocation!$D$2:$D$201,$AB880)="PROJECT"," ("&amp;INDEX(FTE_Allocation!$E$2:$E$201,$AB880)&amp;")",""),"")))</f>
        <v/>
      </c>
      <c r="H880" s="7">
        <f>IF($Z880="C","CONTRACT",IF($Z880="A","ASSET",IF($Z880="F","WORKFORCE","")))</f>
        <v/>
      </c>
      <c r="I880" s="7">
        <f>IF($Z880="C",INDEX(Contracts!$L$2:$L$151,$AB880)&amp;"",IF($Z880="A",INDEX(Fixed_Assets!$I$2:$I$201,$AB880)&amp;"",IF($Z880="F",INDEX(Workforce!$G$2:$G$151,MATCH(INDEX(FTE_Allocation!$A$2:$A$201,$AB880),Workforce!$A$2:$A$151,0))&amp;"","")))</f>
        <v/>
      </c>
      <c r="J880" s="18">
        <f>IF($Z880="","",IF(AND(DATE($AD880,1,1)&gt;=$AE880,DATE($AD880,1,1)&lt;=$AF880),ROUND($AG880,2),0))</f>
        <v/>
      </c>
      <c r="K880" s="18">
        <f>IF($Z880="","",IF(AND(DATE($AD880,2,1)&gt;=$AE880,DATE($AD880,2,1)&lt;=$AF880),ROUND($AG880,2),0))</f>
        <v/>
      </c>
      <c r="L880" s="18">
        <f>IF($Z880="","",IF(AND(DATE($AD880,3,1)&gt;=$AE880,DATE($AD880,3,1)&lt;=$AF880),ROUND($AG880,2),0))</f>
        <v/>
      </c>
      <c r="M880" s="18">
        <f>IF($Z880="","",IF(AND(DATE($AD880,4,1)&gt;=$AE880,DATE($AD880,4,1)&lt;=$AF880),ROUND($AG880,2),0))</f>
        <v/>
      </c>
      <c r="N880" s="18">
        <f>IF($Z880="","",IF(AND(DATE($AD880,5,1)&gt;=$AE880,DATE($AD880,5,1)&lt;=$AF880),ROUND($AG880,2),0))</f>
        <v/>
      </c>
      <c r="O880" s="18">
        <f>IF($Z880="","",IF(AND(DATE($AD880,6,1)&gt;=$AE880,DATE($AD880,6,1)&lt;=$AF880),ROUND($AG880,2),0))</f>
        <v/>
      </c>
      <c r="P880" s="18">
        <f>IF($Z880="","",IF(AND(DATE($AD880,7,1)&gt;=$AE880,DATE($AD880,7,1)&lt;=$AF880),ROUND($AG880,2),0))</f>
        <v/>
      </c>
      <c r="Q880" s="18">
        <f>IF($Z880="","",IF(AND(DATE($AD880,8,1)&gt;=$AE880,DATE($AD880,8,1)&lt;=$AF880),ROUND($AG880,2),0))</f>
        <v/>
      </c>
      <c r="R880" s="18">
        <f>IF($Z880="","",IF(AND(DATE($AD880,9,1)&gt;=$AE880,DATE($AD880,9,1)&lt;=$AF880),ROUND($AG880,2),0))</f>
        <v/>
      </c>
      <c r="S880" s="18">
        <f>IF($Z880="","",IF(AND(DATE($AD880,10,1)&gt;=$AE880,DATE($AD880,10,1)&lt;=$AF880),ROUND($AG880,2),0))</f>
        <v/>
      </c>
      <c r="T880" s="18">
        <f>IF($Z880="","",IF(AND(DATE($AD880,11,1)&gt;=$AE880,DATE($AD880,11,1)&lt;=$AF880),ROUND($AG880,2),0))</f>
        <v/>
      </c>
      <c r="U880" s="18">
        <f>IF($Z880="","",IF(AND(DATE($AD880,12,1)&gt;=$AE880,DATE($AD880,12,1)&lt;=$AF880),ROUND($AG880,2),0))</f>
        <v/>
      </c>
      <c r="V880" s="7">
        <f>IF($Z880="C","Generated from "&amp;INDEX(Contracts!$A$2:$A$151,$AB880),IF($Z880="A","Generated from "&amp;INDEX(Fixed_Assets!$A$2:$A$201,$AB880),IF($Z880="F","Generated from "&amp;INDEX(FTE_Allocation!$A$2:$A$201,$AB880),"")))</f>
        <v/>
      </c>
      <c r="X880" s="19">
        <f>IF($Z880="","",SUM(J880:U880))</f>
        <v/>
      </c>
      <c r="Y880" s="20">
        <f>ROW()-1</f>
        <v/>
      </c>
      <c r="Z880" s="20">
        <f>IF($Y880&lt;=Settings!$B$4*3,"C",IF($Y880&lt;=(Settings!$B$4+Settings!$B$5)*3,"A",IF($Y880&lt;=(Settings!$B$4+Settings!$B$5+Settings!$B$6)*3,"F","")))</f>
        <v/>
      </c>
      <c r="AA880" s="20">
        <f>IF($Z880="C",$Y880,IF($Z880="A",$Y880-Settings!$B$4*3,IF($Z880="F",$Y880-(Settings!$B$4+Settings!$B$5)*3,"")))</f>
        <v/>
      </c>
      <c r="AB880" s="20">
        <f>IF($Z880="","",INT(($AA880-1)/3)+1)</f>
        <v/>
      </c>
      <c r="AC880" s="20">
        <f>IF($Z880="","",MOD($AA880-1,3)+1)</f>
        <v/>
      </c>
      <c r="AD880" s="20">
        <f>IF($Z880="","",Settings!$B$2+$AC880-1)</f>
        <v/>
      </c>
      <c r="AE880" s="21">
        <f>IF($Z880="C",DATE(YEAR(INDEX(Contracts!$J$2:$J$151,$AB880)),MONTH(INDEX(Contracts!$J$2:$J$151,$AB880)),1),IF($Z880="A",DATE(YEAR(INDEX(Fixed_Assets!$G$2:$G$201,$AB880)),MONTH(INDEX(Fixed_Assets!$G$2:$G$201,$AB880)),1),IF($Z880="F",DATE(YEAR(MAX(N(INDEX(Workforce!$I$2:$I$151,MATCH(INDEX(FTE_Allocation!$A$2:$A$201,$AB880),Workforce!$A$2:$A$151,0))),N(INDEX(FTE_Allocation!$I$2:$I$201,$AB880)))),MONTH(MAX(N(INDEX(Workforce!$I$2:$I$151,MATCH(INDEX(FTE_Allocation!$A$2:$A$201,$AB880),Workforce!$A$2:$A$151,0))),N(INDEX(FTE_Allocation!$I$2:$I$201,$AB880)))),1),"")))</f>
        <v/>
      </c>
      <c r="AF880" s="21">
        <f>IF($Z880="C",IF(INDEX(Contracts!$I$2:$I$151,$AB880)="PREPAID",EDATE(DATE(YEAR(INDEX(Contracts!$J$2:$J$151,$AB880)),MONTH(INDEX(Contracts!$J$2:$J$151,$AB880)),1),IF(INDEX(Contracts!$N$2:$N$151,$AB880)="",12,INDEX(Contracts!$N$2:$N$151,$AB880))-1),IF(INDEX(Contracts!$I$2:$I$151,$AB880)="MONTHLY",IF(INDEX(Contracts!$K$2:$K$151,$AB880)="",2958101,INDEX(Contracts!$K$2:$K$151,$AB880)),0)),IF($Z880="A",EDATE(DATE(YEAR(INDEX(Fixed_Assets!$G$2:$G$201,$AB880)),MONTH(INDEX(Fixed_Assets!$G$2:$G$201,$AB880)),1),INDEX(Fixed_Assets!$J$2:$J$201,$AB880)-1),IF($Z880="F",MIN(IF(INDEX(Workforce!$J$2:$J$151,MATCH(INDEX(FTE_Allocation!$A$2:$A$201,$AB880),Workforce!$A$2:$A$151,0))="",2958101,INDEX(Workforce!$J$2:$J$151,MATCH(INDEX(FTE_Allocation!$A$2:$A$201,$AB880),Workforce!$A$2:$A$151,0))),IF(INDEX(FTE_Allocation!$J$2:$J$201,$AB880)="",2958101,INDEX(FTE_Allocation!$J$2:$J$201,$AB880))),"")))</f>
        <v/>
      </c>
      <c r="AG880" s="19">
        <f>IF($Z880="C",IF(INDEX(Contracts!$I$2:$I$151,$AB880)="PREPAID",INDEX(Contracts!$M$2:$M$151,$AB880)/IF(INDEX(Contracts!$N$2:$N$151,$AB880)="",12,INDEX(Contracts!$N$2:$N$151,$AB880)),IF(INDEX(Contracts!$I$2:$I$151,$AB880)="MONTHLY",INDEX(Contracts!$M$2:$M$151,$AB880),0))*(1-N(INDEX(Contracts!$O$2:$O$151,$AB880))),IF($Z880="A",INDEX(Fixed_Assets!$H$2:$H$201,$AB880)/INDEX(Fixed_Assets!$J$2:$J$201,$AB880),IF($Z880="F",INDEX(Workforce!$F$2:$F$151,MATCH(INDEX(FTE_Allocation!$A$2:$A$201,$AB880),Workforce!$A$2:$A$151,0))*N(INDEX(FTE_Allocation!$F$2:$H$201,$AB880,$AC880)),"")))</f>
        <v/>
      </c>
    </row>
    <row r="881">
      <c r="A881" s="7">
        <f>IF($Z881="","",$AD881)</f>
        <v/>
      </c>
      <c r="B881" s="7">
        <f>IF($Z881="C",INDEX(Contracts!$D$2:$D$151,$AB881)&amp;"",IF($Z881="A",INDEX(Fixed_Assets!$C$2:$C$201,$AB881)&amp;"",IF($Z881="F",INDEX(Workforce!$B$2:$B$151,MATCH(INDEX(FTE_Allocation!$A$2:$A$201,$AB881),Workforce!$A$2:$A$151,0))&amp;"","")))</f>
        <v/>
      </c>
      <c r="C881" s="7">
        <f>IF($Z881="C",INDEX(Contracts!$E$2:$E$151,$AB881)&amp;"",IF($Z881="A",INDEX(Fixed_Assets!$D$2:$D$201,$AB881)&amp;"",IF($Z881="F",INDEX(FTE_Allocation!$C$2:$C$201,$AB881)&amp;"","")))</f>
        <v/>
      </c>
      <c r="D881" s="7">
        <f>IF($Z881="C",INDEX(Contracts!$B$2:$B$151,$AB881)&amp;"",IF($Z881="A",INDEX(Fixed_Assets!$B$2:$B$201,$AB881)&amp;"",IF($Z881="F",INDEX(FTE_Allocation!$B$2:$B$201,$AB881)&amp;"","")))</f>
        <v/>
      </c>
      <c r="E881" s="7">
        <f>IF($Z881="C",INDEX(Contracts!$P$2:$P$151,$AB881)&amp;"",IF($Z881="A",INDEX(Fixed_Assets!$K$2:$K$201,$AB881)&amp;"",IF($Z881="F",IF(INDEX(FTE_Allocation!$D$2:$D$201,$AB881)="PROJECT",IFERROR(INDEX(Projects!$D:$D,MATCH(INDEX(FTE_Allocation!$E$2:$E$201,$AB881),Projects!$A:$A,0))&amp;"","#PROJECT?"),INDEX(FTE_Allocation!$E$2:$E$201,$AB881)&amp;""),"")))</f>
        <v/>
      </c>
      <c r="F881" s="7">
        <f>IF($Z881="C",INDEX(Contracts!$Q$2:$Q$151,$AB881)&amp;"",IF($Z881="A",INDEX(Fixed_Assets!$L$2:$L$201,$AB881)&amp;"",IF($Z881="F",INDEX(Workforce!$K$2:$K$151,MATCH(INDEX(FTE_Allocation!$A$2:$A$201,$AB881),Workforce!$A$2:$A$151,0))&amp;"","")))</f>
        <v/>
      </c>
      <c r="G881" s="7">
        <f>IF($Z881="C",INDEX(Contracts!$F$2:$F$151,$AB881)&amp;" / "&amp;INDEX(Contracts!$G$2:$G$151,$AB881),IF($Z881="A",INDEX(Fixed_Assets!$E$2:$E$201,$AB881)&amp;"",IF($Z881="F","Personnel "&amp;INDEX(FTE_Allocation!$A$2:$A$201,$AB881)&amp;IF(INDEX(FTE_Allocation!$D$2:$D$201,$AB881)="PROJECT"," ("&amp;INDEX(FTE_Allocation!$E$2:$E$201,$AB881)&amp;")",""),"")))</f>
        <v/>
      </c>
      <c r="H881" s="7">
        <f>IF($Z881="C","CONTRACT",IF($Z881="A","ASSET",IF($Z881="F","WORKFORCE","")))</f>
        <v/>
      </c>
      <c r="I881" s="7">
        <f>IF($Z881="C",INDEX(Contracts!$L$2:$L$151,$AB881)&amp;"",IF($Z881="A",INDEX(Fixed_Assets!$I$2:$I$201,$AB881)&amp;"",IF($Z881="F",INDEX(Workforce!$G$2:$G$151,MATCH(INDEX(FTE_Allocation!$A$2:$A$201,$AB881),Workforce!$A$2:$A$151,0))&amp;"","")))</f>
        <v/>
      </c>
      <c r="J881" s="18">
        <f>IF($Z881="","",IF(AND(DATE($AD881,1,1)&gt;=$AE881,DATE($AD881,1,1)&lt;=$AF881),ROUND($AG881,2),0))</f>
        <v/>
      </c>
      <c r="K881" s="18">
        <f>IF($Z881="","",IF(AND(DATE($AD881,2,1)&gt;=$AE881,DATE($AD881,2,1)&lt;=$AF881),ROUND($AG881,2),0))</f>
        <v/>
      </c>
      <c r="L881" s="18">
        <f>IF($Z881="","",IF(AND(DATE($AD881,3,1)&gt;=$AE881,DATE($AD881,3,1)&lt;=$AF881),ROUND($AG881,2),0))</f>
        <v/>
      </c>
      <c r="M881" s="18">
        <f>IF($Z881="","",IF(AND(DATE($AD881,4,1)&gt;=$AE881,DATE($AD881,4,1)&lt;=$AF881),ROUND($AG881,2),0))</f>
        <v/>
      </c>
      <c r="N881" s="18">
        <f>IF($Z881="","",IF(AND(DATE($AD881,5,1)&gt;=$AE881,DATE($AD881,5,1)&lt;=$AF881),ROUND($AG881,2),0))</f>
        <v/>
      </c>
      <c r="O881" s="18">
        <f>IF($Z881="","",IF(AND(DATE($AD881,6,1)&gt;=$AE881,DATE($AD881,6,1)&lt;=$AF881),ROUND($AG881,2),0))</f>
        <v/>
      </c>
      <c r="P881" s="18">
        <f>IF($Z881="","",IF(AND(DATE($AD881,7,1)&gt;=$AE881,DATE($AD881,7,1)&lt;=$AF881),ROUND($AG881,2),0))</f>
        <v/>
      </c>
      <c r="Q881" s="18">
        <f>IF($Z881="","",IF(AND(DATE($AD881,8,1)&gt;=$AE881,DATE($AD881,8,1)&lt;=$AF881),ROUND($AG881,2),0))</f>
        <v/>
      </c>
      <c r="R881" s="18">
        <f>IF($Z881="","",IF(AND(DATE($AD881,9,1)&gt;=$AE881,DATE($AD881,9,1)&lt;=$AF881),ROUND($AG881,2),0))</f>
        <v/>
      </c>
      <c r="S881" s="18">
        <f>IF($Z881="","",IF(AND(DATE($AD881,10,1)&gt;=$AE881,DATE($AD881,10,1)&lt;=$AF881),ROUND($AG881,2),0))</f>
        <v/>
      </c>
      <c r="T881" s="18">
        <f>IF($Z881="","",IF(AND(DATE($AD881,11,1)&gt;=$AE881,DATE($AD881,11,1)&lt;=$AF881),ROUND($AG881,2),0))</f>
        <v/>
      </c>
      <c r="U881" s="18">
        <f>IF($Z881="","",IF(AND(DATE($AD881,12,1)&gt;=$AE881,DATE($AD881,12,1)&lt;=$AF881),ROUND($AG881,2),0))</f>
        <v/>
      </c>
      <c r="V881" s="7">
        <f>IF($Z881="C","Generated from "&amp;INDEX(Contracts!$A$2:$A$151,$AB881),IF($Z881="A","Generated from "&amp;INDEX(Fixed_Assets!$A$2:$A$201,$AB881),IF($Z881="F","Generated from "&amp;INDEX(FTE_Allocation!$A$2:$A$201,$AB881),"")))</f>
        <v/>
      </c>
      <c r="X881" s="19">
        <f>IF($Z881="","",SUM(J881:U881))</f>
        <v/>
      </c>
      <c r="Y881" s="20">
        <f>ROW()-1</f>
        <v/>
      </c>
      <c r="Z881" s="20">
        <f>IF($Y881&lt;=Settings!$B$4*3,"C",IF($Y881&lt;=(Settings!$B$4+Settings!$B$5)*3,"A",IF($Y881&lt;=(Settings!$B$4+Settings!$B$5+Settings!$B$6)*3,"F","")))</f>
        <v/>
      </c>
      <c r="AA881" s="20">
        <f>IF($Z881="C",$Y881,IF($Z881="A",$Y881-Settings!$B$4*3,IF($Z881="F",$Y881-(Settings!$B$4+Settings!$B$5)*3,"")))</f>
        <v/>
      </c>
      <c r="AB881" s="20">
        <f>IF($Z881="","",INT(($AA881-1)/3)+1)</f>
        <v/>
      </c>
      <c r="AC881" s="20">
        <f>IF($Z881="","",MOD($AA881-1,3)+1)</f>
        <v/>
      </c>
      <c r="AD881" s="20">
        <f>IF($Z881="","",Settings!$B$2+$AC881-1)</f>
        <v/>
      </c>
      <c r="AE881" s="21">
        <f>IF($Z881="C",DATE(YEAR(INDEX(Contracts!$J$2:$J$151,$AB881)),MONTH(INDEX(Contracts!$J$2:$J$151,$AB881)),1),IF($Z881="A",DATE(YEAR(INDEX(Fixed_Assets!$G$2:$G$201,$AB881)),MONTH(INDEX(Fixed_Assets!$G$2:$G$201,$AB881)),1),IF($Z881="F",DATE(YEAR(MAX(N(INDEX(Workforce!$I$2:$I$151,MATCH(INDEX(FTE_Allocation!$A$2:$A$201,$AB881),Workforce!$A$2:$A$151,0))),N(INDEX(FTE_Allocation!$I$2:$I$201,$AB881)))),MONTH(MAX(N(INDEX(Workforce!$I$2:$I$151,MATCH(INDEX(FTE_Allocation!$A$2:$A$201,$AB881),Workforce!$A$2:$A$151,0))),N(INDEX(FTE_Allocation!$I$2:$I$201,$AB881)))),1),"")))</f>
        <v/>
      </c>
      <c r="AF881" s="21">
        <f>IF($Z881="C",IF(INDEX(Contracts!$I$2:$I$151,$AB881)="PREPAID",EDATE(DATE(YEAR(INDEX(Contracts!$J$2:$J$151,$AB881)),MONTH(INDEX(Contracts!$J$2:$J$151,$AB881)),1),IF(INDEX(Contracts!$N$2:$N$151,$AB881)="",12,INDEX(Contracts!$N$2:$N$151,$AB881))-1),IF(INDEX(Contracts!$I$2:$I$151,$AB881)="MONTHLY",IF(INDEX(Contracts!$K$2:$K$151,$AB881)="",2958101,INDEX(Contracts!$K$2:$K$151,$AB881)),0)),IF($Z881="A",EDATE(DATE(YEAR(INDEX(Fixed_Assets!$G$2:$G$201,$AB881)),MONTH(INDEX(Fixed_Assets!$G$2:$G$201,$AB881)),1),INDEX(Fixed_Assets!$J$2:$J$201,$AB881)-1),IF($Z881="F",MIN(IF(INDEX(Workforce!$J$2:$J$151,MATCH(INDEX(FTE_Allocation!$A$2:$A$201,$AB881),Workforce!$A$2:$A$151,0))="",2958101,INDEX(Workforce!$J$2:$J$151,MATCH(INDEX(FTE_Allocation!$A$2:$A$201,$AB881),Workforce!$A$2:$A$151,0))),IF(INDEX(FTE_Allocation!$J$2:$J$201,$AB881)="",2958101,INDEX(FTE_Allocation!$J$2:$J$201,$AB881))),"")))</f>
        <v/>
      </c>
      <c r="AG881" s="19">
        <f>IF($Z881="C",IF(INDEX(Contracts!$I$2:$I$151,$AB881)="PREPAID",INDEX(Contracts!$M$2:$M$151,$AB881)/IF(INDEX(Contracts!$N$2:$N$151,$AB881)="",12,INDEX(Contracts!$N$2:$N$151,$AB881)),IF(INDEX(Contracts!$I$2:$I$151,$AB881)="MONTHLY",INDEX(Contracts!$M$2:$M$151,$AB881),0))*(1-N(INDEX(Contracts!$O$2:$O$151,$AB881))),IF($Z881="A",INDEX(Fixed_Assets!$H$2:$H$201,$AB881)/INDEX(Fixed_Assets!$J$2:$J$201,$AB881),IF($Z881="F",INDEX(Workforce!$F$2:$F$151,MATCH(INDEX(FTE_Allocation!$A$2:$A$201,$AB881),Workforce!$A$2:$A$151,0))*N(INDEX(FTE_Allocation!$F$2:$H$201,$AB881,$AC881)),"")))</f>
        <v/>
      </c>
    </row>
    <row r="882">
      <c r="A882" s="7">
        <f>IF($Z882="","",$AD882)</f>
        <v/>
      </c>
      <c r="B882" s="7">
        <f>IF($Z882="C",INDEX(Contracts!$D$2:$D$151,$AB882)&amp;"",IF($Z882="A",INDEX(Fixed_Assets!$C$2:$C$201,$AB882)&amp;"",IF($Z882="F",INDEX(Workforce!$B$2:$B$151,MATCH(INDEX(FTE_Allocation!$A$2:$A$201,$AB882),Workforce!$A$2:$A$151,0))&amp;"","")))</f>
        <v/>
      </c>
      <c r="C882" s="7">
        <f>IF($Z882="C",INDEX(Contracts!$E$2:$E$151,$AB882)&amp;"",IF($Z882="A",INDEX(Fixed_Assets!$D$2:$D$201,$AB882)&amp;"",IF($Z882="F",INDEX(FTE_Allocation!$C$2:$C$201,$AB882)&amp;"","")))</f>
        <v/>
      </c>
      <c r="D882" s="7">
        <f>IF($Z882="C",INDEX(Contracts!$B$2:$B$151,$AB882)&amp;"",IF($Z882="A",INDEX(Fixed_Assets!$B$2:$B$201,$AB882)&amp;"",IF($Z882="F",INDEX(FTE_Allocation!$B$2:$B$201,$AB882)&amp;"","")))</f>
        <v/>
      </c>
      <c r="E882" s="7">
        <f>IF($Z882="C",INDEX(Contracts!$P$2:$P$151,$AB882)&amp;"",IF($Z882="A",INDEX(Fixed_Assets!$K$2:$K$201,$AB882)&amp;"",IF($Z882="F",IF(INDEX(FTE_Allocation!$D$2:$D$201,$AB882)="PROJECT",IFERROR(INDEX(Projects!$D:$D,MATCH(INDEX(FTE_Allocation!$E$2:$E$201,$AB882),Projects!$A:$A,0))&amp;"","#PROJECT?"),INDEX(FTE_Allocation!$E$2:$E$201,$AB882)&amp;""),"")))</f>
        <v/>
      </c>
      <c r="F882" s="7">
        <f>IF($Z882="C",INDEX(Contracts!$Q$2:$Q$151,$AB882)&amp;"",IF($Z882="A",INDEX(Fixed_Assets!$L$2:$L$201,$AB882)&amp;"",IF($Z882="F",INDEX(Workforce!$K$2:$K$151,MATCH(INDEX(FTE_Allocation!$A$2:$A$201,$AB882),Workforce!$A$2:$A$151,0))&amp;"","")))</f>
        <v/>
      </c>
      <c r="G882" s="7">
        <f>IF($Z882="C",INDEX(Contracts!$F$2:$F$151,$AB882)&amp;" / "&amp;INDEX(Contracts!$G$2:$G$151,$AB882),IF($Z882="A",INDEX(Fixed_Assets!$E$2:$E$201,$AB882)&amp;"",IF($Z882="F","Personnel "&amp;INDEX(FTE_Allocation!$A$2:$A$201,$AB882)&amp;IF(INDEX(FTE_Allocation!$D$2:$D$201,$AB882)="PROJECT"," ("&amp;INDEX(FTE_Allocation!$E$2:$E$201,$AB882)&amp;")",""),"")))</f>
        <v/>
      </c>
      <c r="H882" s="7">
        <f>IF($Z882="C","CONTRACT",IF($Z882="A","ASSET",IF($Z882="F","WORKFORCE","")))</f>
        <v/>
      </c>
      <c r="I882" s="7">
        <f>IF($Z882="C",INDEX(Contracts!$L$2:$L$151,$AB882)&amp;"",IF($Z882="A",INDEX(Fixed_Assets!$I$2:$I$201,$AB882)&amp;"",IF($Z882="F",INDEX(Workforce!$G$2:$G$151,MATCH(INDEX(FTE_Allocation!$A$2:$A$201,$AB882),Workforce!$A$2:$A$151,0))&amp;"","")))</f>
        <v/>
      </c>
      <c r="J882" s="18">
        <f>IF($Z882="","",IF(AND(DATE($AD882,1,1)&gt;=$AE882,DATE($AD882,1,1)&lt;=$AF882),ROUND($AG882,2),0))</f>
        <v/>
      </c>
      <c r="K882" s="18">
        <f>IF($Z882="","",IF(AND(DATE($AD882,2,1)&gt;=$AE882,DATE($AD882,2,1)&lt;=$AF882),ROUND($AG882,2),0))</f>
        <v/>
      </c>
      <c r="L882" s="18">
        <f>IF($Z882="","",IF(AND(DATE($AD882,3,1)&gt;=$AE882,DATE($AD882,3,1)&lt;=$AF882),ROUND($AG882,2),0))</f>
        <v/>
      </c>
      <c r="M882" s="18">
        <f>IF($Z882="","",IF(AND(DATE($AD882,4,1)&gt;=$AE882,DATE($AD882,4,1)&lt;=$AF882),ROUND($AG882,2),0))</f>
        <v/>
      </c>
      <c r="N882" s="18">
        <f>IF($Z882="","",IF(AND(DATE($AD882,5,1)&gt;=$AE882,DATE($AD882,5,1)&lt;=$AF882),ROUND($AG882,2),0))</f>
        <v/>
      </c>
      <c r="O882" s="18">
        <f>IF($Z882="","",IF(AND(DATE($AD882,6,1)&gt;=$AE882,DATE($AD882,6,1)&lt;=$AF882),ROUND($AG882,2),0))</f>
        <v/>
      </c>
      <c r="P882" s="18">
        <f>IF($Z882="","",IF(AND(DATE($AD882,7,1)&gt;=$AE882,DATE($AD882,7,1)&lt;=$AF882),ROUND($AG882,2),0))</f>
        <v/>
      </c>
      <c r="Q882" s="18">
        <f>IF($Z882="","",IF(AND(DATE($AD882,8,1)&gt;=$AE882,DATE($AD882,8,1)&lt;=$AF882),ROUND($AG882,2),0))</f>
        <v/>
      </c>
      <c r="R882" s="18">
        <f>IF($Z882="","",IF(AND(DATE($AD882,9,1)&gt;=$AE882,DATE($AD882,9,1)&lt;=$AF882),ROUND($AG882,2),0))</f>
        <v/>
      </c>
      <c r="S882" s="18">
        <f>IF($Z882="","",IF(AND(DATE($AD882,10,1)&gt;=$AE882,DATE($AD882,10,1)&lt;=$AF882),ROUND($AG882,2),0))</f>
        <v/>
      </c>
      <c r="T882" s="18">
        <f>IF($Z882="","",IF(AND(DATE($AD882,11,1)&gt;=$AE882,DATE($AD882,11,1)&lt;=$AF882),ROUND($AG882,2),0))</f>
        <v/>
      </c>
      <c r="U882" s="18">
        <f>IF($Z882="","",IF(AND(DATE($AD882,12,1)&gt;=$AE882,DATE($AD882,12,1)&lt;=$AF882),ROUND($AG882,2),0))</f>
        <v/>
      </c>
      <c r="V882" s="7">
        <f>IF($Z882="C","Generated from "&amp;INDEX(Contracts!$A$2:$A$151,$AB882),IF($Z882="A","Generated from "&amp;INDEX(Fixed_Assets!$A$2:$A$201,$AB882),IF($Z882="F","Generated from "&amp;INDEX(FTE_Allocation!$A$2:$A$201,$AB882),"")))</f>
        <v/>
      </c>
      <c r="X882" s="19">
        <f>IF($Z882="","",SUM(J882:U882))</f>
        <v/>
      </c>
      <c r="Y882" s="20">
        <f>ROW()-1</f>
        <v/>
      </c>
      <c r="Z882" s="20">
        <f>IF($Y882&lt;=Settings!$B$4*3,"C",IF($Y882&lt;=(Settings!$B$4+Settings!$B$5)*3,"A",IF($Y882&lt;=(Settings!$B$4+Settings!$B$5+Settings!$B$6)*3,"F","")))</f>
        <v/>
      </c>
      <c r="AA882" s="20">
        <f>IF($Z882="C",$Y882,IF($Z882="A",$Y882-Settings!$B$4*3,IF($Z882="F",$Y882-(Settings!$B$4+Settings!$B$5)*3,"")))</f>
        <v/>
      </c>
      <c r="AB882" s="20">
        <f>IF($Z882="","",INT(($AA882-1)/3)+1)</f>
        <v/>
      </c>
      <c r="AC882" s="20">
        <f>IF($Z882="","",MOD($AA882-1,3)+1)</f>
        <v/>
      </c>
      <c r="AD882" s="20">
        <f>IF($Z882="","",Settings!$B$2+$AC882-1)</f>
        <v/>
      </c>
      <c r="AE882" s="21">
        <f>IF($Z882="C",DATE(YEAR(INDEX(Contracts!$J$2:$J$151,$AB882)),MONTH(INDEX(Contracts!$J$2:$J$151,$AB882)),1),IF($Z882="A",DATE(YEAR(INDEX(Fixed_Assets!$G$2:$G$201,$AB882)),MONTH(INDEX(Fixed_Assets!$G$2:$G$201,$AB882)),1),IF($Z882="F",DATE(YEAR(MAX(N(INDEX(Workforce!$I$2:$I$151,MATCH(INDEX(FTE_Allocation!$A$2:$A$201,$AB882),Workforce!$A$2:$A$151,0))),N(INDEX(FTE_Allocation!$I$2:$I$201,$AB882)))),MONTH(MAX(N(INDEX(Workforce!$I$2:$I$151,MATCH(INDEX(FTE_Allocation!$A$2:$A$201,$AB882),Workforce!$A$2:$A$151,0))),N(INDEX(FTE_Allocation!$I$2:$I$201,$AB882)))),1),"")))</f>
        <v/>
      </c>
      <c r="AF882" s="21">
        <f>IF($Z882="C",IF(INDEX(Contracts!$I$2:$I$151,$AB882)="PREPAID",EDATE(DATE(YEAR(INDEX(Contracts!$J$2:$J$151,$AB882)),MONTH(INDEX(Contracts!$J$2:$J$151,$AB882)),1),IF(INDEX(Contracts!$N$2:$N$151,$AB882)="",12,INDEX(Contracts!$N$2:$N$151,$AB882))-1),IF(INDEX(Contracts!$I$2:$I$151,$AB882)="MONTHLY",IF(INDEX(Contracts!$K$2:$K$151,$AB882)="",2958101,INDEX(Contracts!$K$2:$K$151,$AB882)),0)),IF($Z882="A",EDATE(DATE(YEAR(INDEX(Fixed_Assets!$G$2:$G$201,$AB882)),MONTH(INDEX(Fixed_Assets!$G$2:$G$201,$AB882)),1),INDEX(Fixed_Assets!$J$2:$J$201,$AB882)-1),IF($Z882="F",MIN(IF(INDEX(Workforce!$J$2:$J$151,MATCH(INDEX(FTE_Allocation!$A$2:$A$201,$AB882),Workforce!$A$2:$A$151,0))="",2958101,INDEX(Workforce!$J$2:$J$151,MATCH(INDEX(FTE_Allocation!$A$2:$A$201,$AB882),Workforce!$A$2:$A$151,0))),IF(INDEX(FTE_Allocation!$J$2:$J$201,$AB882)="",2958101,INDEX(FTE_Allocation!$J$2:$J$201,$AB882))),"")))</f>
        <v/>
      </c>
      <c r="AG882" s="19">
        <f>IF($Z882="C",IF(INDEX(Contracts!$I$2:$I$151,$AB882)="PREPAID",INDEX(Contracts!$M$2:$M$151,$AB882)/IF(INDEX(Contracts!$N$2:$N$151,$AB882)="",12,INDEX(Contracts!$N$2:$N$151,$AB882)),IF(INDEX(Contracts!$I$2:$I$151,$AB882)="MONTHLY",INDEX(Contracts!$M$2:$M$151,$AB882),0))*(1-N(INDEX(Contracts!$O$2:$O$151,$AB882))),IF($Z882="A",INDEX(Fixed_Assets!$H$2:$H$201,$AB882)/INDEX(Fixed_Assets!$J$2:$J$201,$AB882),IF($Z882="F",INDEX(Workforce!$F$2:$F$151,MATCH(INDEX(FTE_Allocation!$A$2:$A$201,$AB882),Workforce!$A$2:$A$151,0))*N(INDEX(FTE_Allocation!$F$2:$H$201,$AB882,$AC882)),"")))</f>
        <v/>
      </c>
    </row>
    <row r="883">
      <c r="A883" s="7">
        <f>IF($Z883="","",$AD883)</f>
        <v/>
      </c>
      <c r="B883" s="7">
        <f>IF($Z883="C",INDEX(Contracts!$D$2:$D$151,$AB883)&amp;"",IF($Z883="A",INDEX(Fixed_Assets!$C$2:$C$201,$AB883)&amp;"",IF($Z883="F",INDEX(Workforce!$B$2:$B$151,MATCH(INDEX(FTE_Allocation!$A$2:$A$201,$AB883),Workforce!$A$2:$A$151,0))&amp;"","")))</f>
        <v/>
      </c>
      <c r="C883" s="7">
        <f>IF($Z883="C",INDEX(Contracts!$E$2:$E$151,$AB883)&amp;"",IF($Z883="A",INDEX(Fixed_Assets!$D$2:$D$201,$AB883)&amp;"",IF($Z883="F",INDEX(FTE_Allocation!$C$2:$C$201,$AB883)&amp;"","")))</f>
        <v/>
      </c>
      <c r="D883" s="7">
        <f>IF($Z883="C",INDEX(Contracts!$B$2:$B$151,$AB883)&amp;"",IF($Z883="A",INDEX(Fixed_Assets!$B$2:$B$201,$AB883)&amp;"",IF($Z883="F",INDEX(FTE_Allocation!$B$2:$B$201,$AB883)&amp;"","")))</f>
        <v/>
      </c>
      <c r="E883" s="7">
        <f>IF($Z883="C",INDEX(Contracts!$P$2:$P$151,$AB883)&amp;"",IF($Z883="A",INDEX(Fixed_Assets!$K$2:$K$201,$AB883)&amp;"",IF($Z883="F",IF(INDEX(FTE_Allocation!$D$2:$D$201,$AB883)="PROJECT",IFERROR(INDEX(Projects!$D:$D,MATCH(INDEX(FTE_Allocation!$E$2:$E$201,$AB883),Projects!$A:$A,0))&amp;"","#PROJECT?"),INDEX(FTE_Allocation!$E$2:$E$201,$AB883)&amp;""),"")))</f>
        <v/>
      </c>
      <c r="F883" s="7">
        <f>IF($Z883="C",INDEX(Contracts!$Q$2:$Q$151,$AB883)&amp;"",IF($Z883="A",INDEX(Fixed_Assets!$L$2:$L$201,$AB883)&amp;"",IF($Z883="F",INDEX(Workforce!$K$2:$K$151,MATCH(INDEX(FTE_Allocation!$A$2:$A$201,$AB883),Workforce!$A$2:$A$151,0))&amp;"","")))</f>
        <v/>
      </c>
      <c r="G883" s="7">
        <f>IF($Z883="C",INDEX(Contracts!$F$2:$F$151,$AB883)&amp;" / "&amp;INDEX(Contracts!$G$2:$G$151,$AB883),IF($Z883="A",INDEX(Fixed_Assets!$E$2:$E$201,$AB883)&amp;"",IF($Z883="F","Personnel "&amp;INDEX(FTE_Allocation!$A$2:$A$201,$AB883)&amp;IF(INDEX(FTE_Allocation!$D$2:$D$201,$AB883)="PROJECT"," ("&amp;INDEX(FTE_Allocation!$E$2:$E$201,$AB883)&amp;")",""),"")))</f>
        <v/>
      </c>
      <c r="H883" s="7">
        <f>IF($Z883="C","CONTRACT",IF($Z883="A","ASSET",IF($Z883="F","WORKFORCE","")))</f>
        <v/>
      </c>
      <c r="I883" s="7">
        <f>IF($Z883="C",INDEX(Contracts!$L$2:$L$151,$AB883)&amp;"",IF($Z883="A",INDEX(Fixed_Assets!$I$2:$I$201,$AB883)&amp;"",IF($Z883="F",INDEX(Workforce!$G$2:$G$151,MATCH(INDEX(FTE_Allocation!$A$2:$A$201,$AB883),Workforce!$A$2:$A$151,0))&amp;"","")))</f>
        <v/>
      </c>
      <c r="J883" s="18">
        <f>IF($Z883="","",IF(AND(DATE($AD883,1,1)&gt;=$AE883,DATE($AD883,1,1)&lt;=$AF883),ROUND($AG883,2),0))</f>
        <v/>
      </c>
      <c r="K883" s="18">
        <f>IF($Z883="","",IF(AND(DATE($AD883,2,1)&gt;=$AE883,DATE($AD883,2,1)&lt;=$AF883),ROUND($AG883,2),0))</f>
        <v/>
      </c>
      <c r="L883" s="18">
        <f>IF($Z883="","",IF(AND(DATE($AD883,3,1)&gt;=$AE883,DATE($AD883,3,1)&lt;=$AF883),ROUND($AG883,2),0))</f>
        <v/>
      </c>
      <c r="M883" s="18">
        <f>IF($Z883="","",IF(AND(DATE($AD883,4,1)&gt;=$AE883,DATE($AD883,4,1)&lt;=$AF883),ROUND($AG883,2),0))</f>
        <v/>
      </c>
      <c r="N883" s="18">
        <f>IF($Z883="","",IF(AND(DATE($AD883,5,1)&gt;=$AE883,DATE($AD883,5,1)&lt;=$AF883),ROUND($AG883,2),0))</f>
        <v/>
      </c>
      <c r="O883" s="18">
        <f>IF($Z883="","",IF(AND(DATE($AD883,6,1)&gt;=$AE883,DATE($AD883,6,1)&lt;=$AF883),ROUND($AG883,2),0))</f>
        <v/>
      </c>
      <c r="P883" s="18">
        <f>IF($Z883="","",IF(AND(DATE($AD883,7,1)&gt;=$AE883,DATE($AD883,7,1)&lt;=$AF883),ROUND($AG883,2),0))</f>
        <v/>
      </c>
      <c r="Q883" s="18">
        <f>IF($Z883="","",IF(AND(DATE($AD883,8,1)&gt;=$AE883,DATE($AD883,8,1)&lt;=$AF883),ROUND($AG883,2),0))</f>
        <v/>
      </c>
      <c r="R883" s="18">
        <f>IF($Z883="","",IF(AND(DATE($AD883,9,1)&gt;=$AE883,DATE($AD883,9,1)&lt;=$AF883),ROUND($AG883,2),0))</f>
        <v/>
      </c>
      <c r="S883" s="18">
        <f>IF($Z883="","",IF(AND(DATE($AD883,10,1)&gt;=$AE883,DATE($AD883,10,1)&lt;=$AF883),ROUND($AG883,2),0))</f>
        <v/>
      </c>
      <c r="T883" s="18">
        <f>IF($Z883="","",IF(AND(DATE($AD883,11,1)&gt;=$AE883,DATE($AD883,11,1)&lt;=$AF883),ROUND($AG883,2),0))</f>
        <v/>
      </c>
      <c r="U883" s="18">
        <f>IF($Z883="","",IF(AND(DATE($AD883,12,1)&gt;=$AE883,DATE($AD883,12,1)&lt;=$AF883),ROUND($AG883,2),0))</f>
        <v/>
      </c>
      <c r="V883" s="7">
        <f>IF($Z883="C","Generated from "&amp;INDEX(Contracts!$A$2:$A$151,$AB883),IF($Z883="A","Generated from "&amp;INDEX(Fixed_Assets!$A$2:$A$201,$AB883),IF($Z883="F","Generated from "&amp;INDEX(FTE_Allocation!$A$2:$A$201,$AB883),"")))</f>
        <v/>
      </c>
      <c r="X883" s="19">
        <f>IF($Z883="","",SUM(J883:U883))</f>
        <v/>
      </c>
      <c r="Y883" s="20">
        <f>ROW()-1</f>
        <v/>
      </c>
      <c r="Z883" s="20">
        <f>IF($Y883&lt;=Settings!$B$4*3,"C",IF($Y883&lt;=(Settings!$B$4+Settings!$B$5)*3,"A",IF($Y883&lt;=(Settings!$B$4+Settings!$B$5+Settings!$B$6)*3,"F","")))</f>
        <v/>
      </c>
      <c r="AA883" s="20">
        <f>IF($Z883="C",$Y883,IF($Z883="A",$Y883-Settings!$B$4*3,IF($Z883="F",$Y883-(Settings!$B$4+Settings!$B$5)*3,"")))</f>
        <v/>
      </c>
      <c r="AB883" s="20">
        <f>IF($Z883="","",INT(($AA883-1)/3)+1)</f>
        <v/>
      </c>
      <c r="AC883" s="20">
        <f>IF($Z883="","",MOD($AA883-1,3)+1)</f>
        <v/>
      </c>
      <c r="AD883" s="20">
        <f>IF($Z883="","",Settings!$B$2+$AC883-1)</f>
        <v/>
      </c>
      <c r="AE883" s="21">
        <f>IF($Z883="C",DATE(YEAR(INDEX(Contracts!$J$2:$J$151,$AB883)),MONTH(INDEX(Contracts!$J$2:$J$151,$AB883)),1),IF($Z883="A",DATE(YEAR(INDEX(Fixed_Assets!$G$2:$G$201,$AB883)),MONTH(INDEX(Fixed_Assets!$G$2:$G$201,$AB883)),1),IF($Z883="F",DATE(YEAR(MAX(N(INDEX(Workforce!$I$2:$I$151,MATCH(INDEX(FTE_Allocation!$A$2:$A$201,$AB883),Workforce!$A$2:$A$151,0))),N(INDEX(FTE_Allocation!$I$2:$I$201,$AB883)))),MONTH(MAX(N(INDEX(Workforce!$I$2:$I$151,MATCH(INDEX(FTE_Allocation!$A$2:$A$201,$AB883),Workforce!$A$2:$A$151,0))),N(INDEX(FTE_Allocation!$I$2:$I$201,$AB883)))),1),"")))</f>
        <v/>
      </c>
      <c r="AF883" s="21">
        <f>IF($Z883="C",IF(INDEX(Contracts!$I$2:$I$151,$AB883)="PREPAID",EDATE(DATE(YEAR(INDEX(Contracts!$J$2:$J$151,$AB883)),MONTH(INDEX(Contracts!$J$2:$J$151,$AB883)),1),IF(INDEX(Contracts!$N$2:$N$151,$AB883)="",12,INDEX(Contracts!$N$2:$N$151,$AB883))-1),IF(INDEX(Contracts!$I$2:$I$151,$AB883)="MONTHLY",IF(INDEX(Contracts!$K$2:$K$151,$AB883)="",2958101,INDEX(Contracts!$K$2:$K$151,$AB883)),0)),IF($Z883="A",EDATE(DATE(YEAR(INDEX(Fixed_Assets!$G$2:$G$201,$AB883)),MONTH(INDEX(Fixed_Assets!$G$2:$G$201,$AB883)),1),INDEX(Fixed_Assets!$J$2:$J$201,$AB883)-1),IF($Z883="F",MIN(IF(INDEX(Workforce!$J$2:$J$151,MATCH(INDEX(FTE_Allocation!$A$2:$A$201,$AB883),Workforce!$A$2:$A$151,0))="",2958101,INDEX(Workforce!$J$2:$J$151,MATCH(INDEX(FTE_Allocation!$A$2:$A$201,$AB883),Workforce!$A$2:$A$151,0))),IF(INDEX(FTE_Allocation!$J$2:$J$201,$AB883)="",2958101,INDEX(FTE_Allocation!$J$2:$J$201,$AB883))),"")))</f>
        <v/>
      </c>
      <c r="AG883" s="19">
        <f>IF($Z883="C",IF(INDEX(Contracts!$I$2:$I$151,$AB883)="PREPAID",INDEX(Contracts!$M$2:$M$151,$AB883)/IF(INDEX(Contracts!$N$2:$N$151,$AB883)="",12,INDEX(Contracts!$N$2:$N$151,$AB883)),IF(INDEX(Contracts!$I$2:$I$151,$AB883)="MONTHLY",INDEX(Contracts!$M$2:$M$151,$AB883),0))*(1-N(INDEX(Contracts!$O$2:$O$151,$AB883))),IF($Z883="A",INDEX(Fixed_Assets!$H$2:$H$201,$AB883)/INDEX(Fixed_Assets!$J$2:$J$201,$AB883),IF($Z883="F",INDEX(Workforce!$F$2:$F$151,MATCH(INDEX(FTE_Allocation!$A$2:$A$201,$AB883),Workforce!$A$2:$A$151,0))*N(INDEX(FTE_Allocation!$F$2:$H$201,$AB883,$AC883)),"")))</f>
        <v/>
      </c>
    </row>
    <row r="884">
      <c r="A884" s="7">
        <f>IF($Z884="","",$AD884)</f>
        <v/>
      </c>
      <c r="B884" s="7">
        <f>IF($Z884="C",INDEX(Contracts!$D$2:$D$151,$AB884)&amp;"",IF($Z884="A",INDEX(Fixed_Assets!$C$2:$C$201,$AB884)&amp;"",IF($Z884="F",INDEX(Workforce!$B$2:$B$151,MATCH(INDEX(FTE_Allocation!$A$2:$A$201,$AB884),Workforce!$A$2:$A$151,0))&amp;"","")))</f>
        <v/>
      </c>
      <c r="C884" s="7">
        <f>IF($Z884="C",INDEX(Contracts!$E$2:$E$151,$AB884)&amp;"",IF($Z884="A",INDEX(Fixed_Assets!$D$2:$D$201,$AB884)&amp;"",IF($Z884="F",INDEX(FTE_Allocation!$C$2:$C$201,$AB884)&amp;"","")))</f>
        <v/>
      </c>
      <c r="D884" s="7">
        <f>IF($Z884="C",INDEX(Contracts!$B$2:$B$151,$AB884)&amp;"",IF($Z884="A",INDEX(Fixed_Assets!$B$2:$B$201,$AB884)&amp;"",IF($Z884="F",INDEX(FTE_Allocation!$B$2:$B$201,$AB884)&amp;"","")))</f>
        <v/>
      </c>
      <c r="E884" s="7">
        <f>IF($Z884="C",INDEX(Contracts!$P$2:$P$151,$AB884)&amp;"",IF($Z884="A",INDEX(Fixed_Assets!$K$2:$K$201,$AB884)&amp;"",IF($Z884="F",IF(INDEX(FTE_Allocation!$D$2:$D$201,$AB884)="PROJECT",IFERROR(INDEX(Projects!$D:$D,MATCH(INDEX(FTE_Allocation!$E$2:$E$201,$AB884),Projects!$A:$A,0))&amp;"","#PROJECT?"),INDEX(FTE_Allocation!$E$2:$E$201,$AB884)&amp;""),"")))</f>
        <v/>
      </c>
      <c r="F884" s="7">
        <f>IF($Z884="C",INDEX(Contracts!$Q$2:$Q$151,$AB884)&amp;"",IF($Z884="A",INDEX(Fixed_Assets!$L$2:$L$201,$AB884)&amp;"",IF($Z884="F",INDEX(Workforce!$K$2:$K$151,MATCH(INDEX(FTE_Allocation!$A$2:$A$201,$AB884),Workforce!$A$2:$A$151,0))&amp;"","")))</f>
        <v/>
      </c>
      <c r="G884" s="7">
        <f>IF($Z884="C",INDEX(Contracts!$F$2:$F$151,$AB884)&amp;" / "&amp;INDEX(Contracts!$G$2:$G$151,$AB884),IF($Z884="A",INDEX(Fixed_Assets!$E$2:$E$201,$AB884)&amp;"",IF($Z884="F","Personnel "&amp;INDEX(FTE_Allocation!$A$2:$A$201,$AB884)&amp;IF(INDEX(FTE_Allocation!$D$2:$D$201,$AB884)="PROJECT"," ("&amp;INDEX(FTE_Allocation!$E$2:$E$201,$AB884)&amp;")",""),"")))</f>
        <v/>
      </c>
      <c r="H884" s="7">
        <f>IF($Z884="C","CONTRACT",IF($Z884="A","ASSET",IF($Z884="F","WORKFORCE","")))</f>
        <v/>
      </c>
      <c r="I884" s="7">
        <f>IF($Z884="C",INDEX(Contracts!$L$2:$L$151,$AB884)&amp;"",IF($Z884="A",INDEX(Fixed_Assets!$I$2:$I$201,$AB884)&amp;"",IF($Z884="F",INDEX(Workforce!$G$2:$G$151,MATCH(INDEX(FTE_Allocation!$A$2:$A$201,$AB884),Workforce!$A$2:$A$151,0))&amp;"","")))</f>
        <v/>
      </c>
      <c r="J884" s="18">
        <f>IF($Z884="","",IF(AND(DATE($AD884,1,1)&gt;=$AE884,DATE($AD884,1,1)&lt;=$AF884),ROUND($AG884,2),0))</f>
        <v/>
      </c>
      <c r="K884" s="18">
        <f>IF($Z884="","",IF(AND(DATE($AD884,2,1)&gt;=$AE884,DATE($AD884,2,1)&lt;=$AF884),ROUND($AG884,2),0))</f>
        <v/>
      </c>
      <c r="L884" s="18">
        <f>IF($Z884="","",IF(AND(DATE($AD884,3,1)&gt;=$AE884,DATE($AD884,3,1)&lt;=$AF884),ROUND($AG884,2),0))</f>
        <v/>
      </c>
      <c r="M884" s="18">
        <f>IF($Z884="","",IF(AND(DATE($AD884,4,1)&gt;=$AE884,DATE($AD884,4,1)&lt;=$AF884),ROUND($AG884,2),0))</f>
        <v/>
      </c>
      <c r="N884" s="18">
        <f>IF($Z884="","",IF(AND(DATE($AD884,5,1)&gt;=$AE884,DATE($AD884,5,1)&lt;=$AF884),ROUND($AG884,2),0))</f>
        <v/>
      </c>
      <c r="O884" s="18">
        <f>IF($Z884="","",IF(AND(DATE($AD884,6,1)&gt;=$AE884,DATE($AD884,6,1)&lt;=$AF884),ROUND($AG884,2),0))</f>
        <v/>
      </c>
      <c r="P884" s="18">
        <f>IF($Z884="","",IF(AND(DATE($AD884,7,1)&gt;=$AE884,DATE($AD884,7,1)&lt;=$AF884),ROUND($AG884,2),0))</f>
        <v/>
      </c>
      <c r="Q884" s="18">
        <f>IF($Z884="","",IF(AND(DATE($AD884,8,1)&gt;=$AE884,DATE($AD884,8,1)&lt;=$AF884),ROUND($AG884,2),0))</f>
        <v/>
      </c>
      <c r="R884" s="18">
        <f>IF($Z884="","",IF(AND(DATE($AD884,9,1)&gt;=$AE884,DATE($AD884,9,1)&lt;=$AF884),ROUND($AG884,2),0))</f>
        <v/>
      </c>
      <c r="S884" s="18">
        <f>IF($Z884="","",IF(AND(DATE($AD884,10,1)&gt;=$AE884,DATE($AD884,10,1)&lt;=$AF884),ROUND($AG884,2),0))</f>
        <v/>
      </c>
      <c r="T884" s="18">
        <f>IF($Z884="","",IF(AND(DATE($AD884,11,1)&gt;=$AE884,DATE($AD884,11,1)&lt;=$AF884),ROUND($AG884,2),0))</f>
        <v/>
      </c>
      <c r="U884" s="18">
        <f>IF($Z884="","",IF(AND(DATE($AD884,12,1)&gt;=$AE884,DATE($AD884,12,1)&lt;=$AF884),ROUND($AG884,2),0))</f>
        <v/>
      </c>
      <c r="V884" s="7">
        <f>IF($Z884="C","Generated from "&amp;INDEX(Contracts!$A$2:$A$151,$AB884),IF($Z884="A","Generated from "&amp;INDEX(Fixed_Assets!$A$2:$A$201,$AB884),IF($Z884="F","Generated from "&amp;INDEX(FTE_Allocation!$A$2:$A$201,$AB884),"")))</f>
        <v/>
      </c>
      <c r="X884" s="19">
        <f>IF($Z884="","",SUM(J884:U884))</f>
        <v/>
      </c>
      <c r="Y884" s="20">
        <f>ROW()-1</f>
        <v/>
      </c>
      <c r="Z884" s="20">
        <f>IF($Y884&lt;=Settings!$B$4*3,"C",IF($Y884&lt;=(Settings!$B$4+Settings!$B$5)*3,"A",IF($Y884&lt;=(Settings!$B$4+Settings!$B$5+Settings!$B$6)*3,"F","")))</f>
        <v/>
      </c>
      <c r="AA884" s="20">
        <f>IF($Z884="C",$Y884,IF($Z884="A",$Y884-Settings!$B$4*3,IF($Z884="F",$Y884-(Settings!$B$4+Settings!$B$5)*3,"")))</f>
        <v/>
      </c>
      <c r="AB884" s="20">
        <f>IF($Z884="","",INT(($AA884-1)/3)+1)</f>
        <v/>
      </c>
      <c r="AC884" s="20">
        <f>IF($Z884="","",MOD($AA884-1,3)+1)</f>
        <v/>
      </c>
      <c r="AD884" s="20">
        <f>IF($Z884="","",Settings!$B$2+$AC884-1)</f>
        <v/>
      </c>
      <c r="AE884" s="21">
        <f>IF($Z884="C",DATE(YEAR(INDEX(Contracts!$J$2:$J$151,$AB884)),MONTH(INDEX(Contracts!$J$2:$J$151,$AB884)),1),IF($Z884="A",DATE(YEAR(INDEX(Fixed_Assets!$G$2:$G$201,$AB884)),MONTH(INDEX(Fixed_Assets!$G$2:$G$201,$AB884)),1),IF($Z884="F",DATE(YEAR(MAX(N(INDEX(Workforce!$I$2:$I$151,MATCH(INDEX(FTE_Allocation!$A$2:$A$201,$AB884),Workforce!$A$2:$A$151,0))),N(INDEX(FTE_Allocation!$I$2:$I$201,$AB884)))),MONTH(MAX(N(INDEX(Workforce!$I$2:$I$151,MATCH(INDEX(FTE_Allocation!$A$2:$A$201,$AB884),Workforce!$A$2:$A$151,0))),N(INDEX(FTE_Allocation!$I$2:$I$201,$AB884)))),1),"")))</f>
        <v/>
      </c>
      <c r="AF884" s="21">
        <f>IF($Z884="C",IF(INDEX(Contracts!$I$2:$I$151,$AB884)="PREPAID",EDATE(DATE(YEAR(INDEX(Contracts!$J$2:$J$151,$AB884)),MONTH(INDEX(Contracts!$J$2:$J$151,$AB884)),1),IF(INDEX(Contracts!$N$2:$N$151,$AB884)="",12,INDEX(Contracts!$N$2:$N$151,$AB884))-1),IF(INDEX(Contracts!$I$2:$I$151,$AB884)="MONTHLY",IF(INDEX(Contracts!$K$2:$K$151,$AB884)="",2958101,INDEX(Contracts!$K$2:$K$151,$AB884)),0)),IF($Z884="A",EDATE(DATE(YEAR(INDEX(Fixed_Assets!$G$2:$G$201,$AB884)),MONTH(INDEX(Fixed_Assets!$G$2:$G$201,$AB884)),1),INDEX(Fixed_Assets!$J$2:$J$201,$AB884)-1),IF($Z884="F",MIN(IF(INDEX(Workforce!$J$2:$J$151,MATCH(INDEX(FTE_Allocation!$A$2:$A$201,$AB884),Workforce!$A$2:$A$151,0))="",2958101,INDEX(Workforce!$J$2:$J$151,MATCH(INDEX(FTE_Allocation!$A$2:$A$201,$AB884),Workforce!$A$2:$A$151,0))),IF(INDEX(FTE_Allocation!$J$2:$J$201,$AB884)="",2958101,INDEX(FTE_Allocation!$J$2:$J$201,$AB884))),"")))</f>
        <v/>
      </c>
      <c r="AG884" s="19">
        <f>IF($Z884="C",IF(INDEX(Contracts!$I$2:$I$151,$AB884)="PREPAID",INDEX(Contracts!$M$2:$M$151,$AB884)/IF(INDEX(Contracts!$N$2:$N$151,$AB884)="",12,INDEX(Contracts!$N$2:$N$151,$AB884)),IF(INDEX(Contracts!$I$2:$I$151,$AB884)="MONTHLY",INDEX(Contracts!$M$2:$M$151,$AB884),0))*(1-N(INDEX(Contracts!$O$2:$O$151,$AB884))),IF($Z884="A",INDEX(Fixed_Assets!$H$2:$H$201,$AB884)/INDEX(Fixed_Assets!$J$2:$J$201,$AB884),IF($Z884="F",INDEX(Workforce!$F$2:$F$151,MATCH(INDEX(FTE_Allocation!$A$2:$A$201,$AB884),Workforce!$A$2:$A$151,0))*N(INDEX(FTE_Allocation!$F$2:$H$201,$AB884,$AC884)),"")))</f>
        <v/>
      </c>
    </row>
    <row r="885">
      <c r="A885" s="7">
        <f>IF($Z885="","",$AD885)</f>
        <v/>
      </c>
      <c r="B885" s="7">
        <f>IF($Z885="C",INDEX(Contracts!$D$2:$D$151,$AB885)&amp;"",IF($Z885="A",INDEX(Fixed_Assets!$C$2:$C$201,$AB885)&amp;"",IF($Z885="F",INDEX(Workforce!$B$2:$B$151,MATCH(INDEX(FTE_Allocation!$A$2:$A$201,$AB885),Workforce!$A$2:$A$151,0))&amp;"","")))</f>
        <v/>
      </c>
      <c r="C885" s="7">
        <f>IF($Z885="C",INDEX(Contracts!$E$2:$E$151,$AB885)&amp;"",IF($Z885="A",INDEX(Fixed_Assets!$D$2:$D$201,$AB885)&amp;"",IF($Z885="F",INDEX(FTE_Allocation!$C$2:$C$201,$AB885)&amp;"","")))</f>
        <v/>
      </c>
      <c r="D885" s="7">
        <f>IF($Z885="C",INDEX(Contracts!$B$2:$B$151,$AB885)&amp;"",IF($Z885="A",INDEX(Fixed_Assets!$B$2:$B$201,$AB885)&amp;"",IF($Z885="F",INDEX(FTE_Allocation!$B$2:$B$201,$AB885)&amp;"","")))</f>
        <v/>
      </c>
      <c r="E885" s="7">
        <f>IF($Z885="C",INDEX(Contracts!$P$2:$P$151,$AB885)&amp;"",IF($Z885="A",INDEX(Fixed_Assets!$K$2:$K$201,$AB885)&amp;"",IF($Z885="F",IF(INDEX(FTE_Allocation!$D$2:$D$201,$AB885)="PROJECT",IFERROR(INDEX(Projects!$D:$D,MATCH(INDEX(FTE_Allocation!$E$2:$E$201,$AB885),Projects!$A:$A,0))&amp;"","#PROJECT?"),INDEX(FTE_Allocation!$E$2:$E$201,$AB885)&amp;""),"")))</f>
        <v/>
      </c>
      <c r="F885" s="7">
        <f>IF($Z885="C",INDEX(Contracts!$Q$2:$Q$151,$AB885)&amp;"",IF($Z885="A",INDEX(Fixed_Assets!$L$2:$L$201,$AB885)&amp;"",IF($Z885="F",INDEX(Workforce!$K$2:$K$151,MATCH(INDEX(FTE_Allocation!$A$2:$A$201,$AB885),Workforce!$A$2:$A$151,0))&amp;"","")))</f>
        <v/>
      </c>
      <c r="G885" s="7">
        <f>IF($Z885="C",INDEX(Contracts!$F$2:$F$151,$AB885)&amp;" / "&amp;INDEX(Contracts!$G$2:$G$151,$AB885),IF($Z885="A",INDEX(Fixed_Assets!$E$2:$E$201,$AB885)&amp;"",IF($Z885="F","Personnel "&amp;INDEX(FTE_Allocation!$A$2:$A$201,$AB885)&amp;IF(INDEX(FTE_Allocation!$D$2:$D$201,$AB885)="PROJECT"," ("&amp;INDEX(FTE_Allocation!$E$2:$E$201,$AB885)&amp;")",""),"")))</f>
        <v/>
      </c>
      <c r="H885" s="7">
        <f>IF($Z885="C","CONTRACT",IF($Z885="A","ASSET",IF($Z885="F","WORKFORCE","")))</f>
        <v/>
      </c>
      <c r="I885" s="7">
        <f>IF($Z885="C",INDEX(Contracts!$L$2:$L$151,$AB885)&amp;"",IF($Z885="A",INDEX(Fixed_Assets!$I$2:$I$201,$AB885)&amp;"",IF($Z885="F",INDEX(Workforce!$G$2:$G$151,MATCH(INDEX(FTE_Allocation!$A$2:$A$201,$AB885),Workforce!$A$2:$A$151,0))&amp;"","")))</f>
        <v/>
      </c>
      <c r="J885" s="18">
        <f>IF($Z885="","",IF(AND(DATE($AD885,1,1)&gt;=$AE885,DATE($AD885,1,1)&lt;=$AF885),ROUND($AG885,2),0))</f>
        <v/>
      </c>
      <c r="K885" s="18">
        <f>IF($Z885="","",IF(AND(DATE($AD885,2,1)&gt;=$AE885,DATE($AD885,2,1)&lt;=$AF885),ROUND($AG885,2),0))</f>
        <v/>
      </c>
      <c r="L885" s="18">
        <f>IF($Z885="","",IF(AND(DATE($AD885,3,1)&gt;=$AE885,DATE($AD885,3,1)&lt;=$AF885),ROUND($AG885,2),0))</f>
        <v/>
      </c>
      <c r="M885" s="18">
        <f>IF($Z885="","",IF(AND(DATE($AD885,4,1)&gt;=$AE885,DATE($AD885,4,1)&lt;=$AF885),ROUND($AG885,2),0))</f>
        <v/>
      </c>
      <c r="N885" s="18">
        <f>IF($Z885="","",IF(AND(DATE($AD885,5,1)&gt;=$AE885,DATE($AD885,5,1)&lt;=$AF885),ROUND($AG885,2),0))</f>
        <v/>
      </c>
      <c r="O885" s="18">
        <f>IF($Z885="","",IF(AND(DATE($AD885,6,1)&gt;=$AE885,DATE($AD885,6,1)&lt;=$AF885),ROUND($AG885,2),0))</f>
        <v/>
      </c>
      <c r="P885" s="18">
        <f>IF($Z885="","",IF(AND(DATE($AD885,7,1)&gt;=$AE885,DATE($AD885,7,1)&lt;=$AF885),ROUND($AG885,2),0))</f>
        <v/>
      </c>
      <c r="Q885" s="18">
        <f>IF($Z885="","",IF(AND(DATE($AD885,8,1)&gt;=$AE885,DATE($AD885,8,1)&lt;=$AF885),ROUND($AG885,2),0))</f>
        <v/>
      </c>
      <c r="R885" s="18">
        <f>IF($Z885="","",IF(AND(DATE($AD885,9,1)&gt;=$AE885,DATE($AD885,9,1)&lt;=$AF885),ROUND($AG885,2),0))</f>
        <v/>
      </c>
      <c r="S885" s="18">
        <f>IF($Z885="","",IF(AND(DATE($AD885,10,1)&gt;=$AE885,DATE($AD885,10,1)&lt;=$AF885),ROUND($AG885,2),0))</f>
        <v/>
      </c>
      <c r="T885" s="18">
        <f>IF($Z885="","",IF(AND(DATE($AD885,11,1)&gt;=$AE885,DATE($AD885,11,1)&lt;=$AF885),ROUND($AG885,2),0))</f>
        <v/>
      </c>
      <c r="U885" s="18">
        <f>IF($Z885="","",IF(AND(DATE($AD885,12,1)&gt;=$AE885,DATE($AD885,12,1)&lt;=$AF885),ROUND($AG885,2),0))</f>
        <v/>
      </c>
      <c r="V885" s="7">
        <f>IF($Z885="C","Generated from "&amp;INDEX(Contracts!$A$2:$A$151,$AB885),IF($Z885="A","Generated from "&amp;INDEX(Fixed_Assets!$A$2:$A$201,$AB885),IF($Z885="F","Generated from "&amp;INDEX(FTE_Allocation!$A$2:$A$201,$AB885),"")))</f>
        <v/>
      </c>
      <c r="X885" s="19">
        <f>IF($Z885="","",SUM(J885:U885))</f>
        <v/>
      </c>
      <c r="Y885" s="20">
        <f>ROW()-1</f>
        <v/>
      </c>
      <c r="Z885" s="20">
        <f>IF($Y885&lt;=Settings!$B$4*3,"C",IF($Y885&lt;=(Settings!$B$4+Settings!$B$5)*3,"A",IF($Y885&lt;=(Settings!$B$4+Settings!$B$5+Settings!$B$6)*3,"F","")))</f>
        <v/>
      </c>
      <c r="AA885" s="20">
        <f>IF($Z885="C",$Y885,IF($Z885="A",$Y885-Settings!$B$4*3,IF($Z885="F",$Y885-(Settings!$B$4+Settings!$B$5)*3,"")))</f>
        <v/>
      </c>
      <c r="AB885" s="20">
        <f>IF($Z885="","",INT(($AA885-1)/3)+1)</f>
        <v/>
      </c>
      <c r="AC885" s="20">
        <f>IF($Z885="","",MOD($AA885-1,3)+1)</f>
        <v/>
      </c>
      <c r="AD885" s="20">
        <f>IF($Z885="","",Settings!$B$2+$AC885-1)</f>
        <v/>
      </c>
      <c r="AE885" s="21">
        <f>IF($Z885="C",DATE(YEAR(INDEX(Contracts!$J$2:$J$151,$AB885)),MONTH(INDEX(Contracts!$J$2:$J$151,$AB885)),1),IF($Z885="A",DATE(YEAR(INDEX(Fixed_Assets!$G$2:$G$201,$AB885)),MONTH(INDEX(Fixed_Assets!$G$2:$G$201,$AB885)),1),IF($Z885="F",DATE(YEAR(MAX(N(INDEX(Workforce!$I$2:$I$151,MATCH(INDEX(FTE_Allocation!$A$2:$A$201,$AB885),Workforce!$A$2:$A$151,0))),N(INDEX(FTE_Allocation!$I$2:$I$201,$AB885)))),MONTH(MAX(N(INDEX(Workforce!$I$2:$I$151,MATCH(INDEX(FTE_Allocation!$A$2:$A$201,$AB885),Workforce!$A$2:$A$151,0))),N(INDEX(FTE_Allocation!$I$2:$I$201,$AB885)))),1),"")))</f>
        <v/>
      </c>
      <c r="AF885" s="21">
        <f>IF($Z885="C",IF(INDEX(Contracts!$I$2:$I$151,$AB885)="PREPAID",EDATE(DATE(YEAR(INDEX(Contracts!$J$2:$J$151,$AB885)),MONTH(INDEX(Contracts!$J$2:$J$151,$AB885)),1),IF(INDEX(Contracts!$N$2:$N$151,$AB885)="",12,INDEX(Contracts!$N$2:$N$151,$AB885))-1),IF(INDEX(Contracts!$I$2:$I$151,$AB885)="MONTHLY",IF(INDEX(Contracts!$K$2:$K$151,$AB885)="",2958101,INDEX(Contracts!$K$2:$K$151,$AB885)),0)),IF($Z885="A",EDATE(DATE(YEAR(INDEX(Fixed_Assets!$G$2:$G$201,$AB885)),MONTH(INDEX(Fixed_Assets!$G$2:$G$201,$AB885)),1),INDEX(Fixed_Assets!$J$2:$J$201,$AB885)-1),IF($Z885="F",MIN(IF(INDEX(Workforce!$J$2:$J$151,MATCH(INDEX(FTE_Allocation!$A$2:$A$201,$AB885),Workforce!$A$2:$A$151,0))="",2958101,INDEX(Workforce!$J$2:$J$151,MATCH(INDEX(FTE_Allocation!$A$2:$A$201,$AB885),Workforce!$A$2:$A$151,0))),IF(INDEX(FTE_Allocation!$J$2:$J$201,$AB885)="",2958101,INDEX(FTE_Allocation!$J$2:$J$201,$AB885))),"")))</f>
        <v/>
      </c>
      <c r="AG885" s="19">
        <f>IF($Z885="C",IF(INDEX(Contracts!$I$2:$I$151,$AB885)="PREPAID",INDEX(Contracts!$M$2:$M$151,$AB885)/IF(INDEX(Contracts!$N$2:$N$151,$AB885)="",12,INDEX(Contracts!$N$2:$N$151,$AB885)),IF(INDEX(Contracts!$I$2:$I$151,$AB885)="MONTHLY",INDEX(Contracts!$M$2:$M$151,$AB885),0))*(1-N(INDEX(Contracts!$O$2:$O$151,$AB885))),IF($Z885="A",INDEX(Fixed_Assets!$H$2:$H$201,$AB885)/INDEX(Fixed_Assets!$J$2:$J$201,$AB885),IF($Z885="F",INDEX(Workforce!$F$2:$F$151,MATCH(INDEX(FTE_Allocation!$A$2:$A$201,$AB885),Workforce!$A$2:$A$151,0))*N(INDEX(FTE_Allocation!$F$2:$H$201,$AB885,$AC885)),"")))</f>
        <v/>
      </c>
    </row>
    <row r="886">
      <c r="A886" s="7">
        <f>IF($Z886="","",$AD886)</f>
        <v/>
      </c>
      <c r="B886" s="7">
        <f>IF($Z886="C",INDEX(Contracts!$D$2:$D$151,$AB886)&amp;"",IF($Z886="A",INDEX(Fixed_Assets!$C$2:$C$201,$AB886)&amp;"",IF($Z886="F",INDEX(Workforce!$B$2:$B$151,MATCH(INDEX(FTE_Allocation!$A$2:$A$201,$AB886),Workforce!$A$2:$A$151,0))&amp;"","")))</f>
        <v/>
      </c>
      <c r="C886" s="7">
        <f>IF($Z886="C",INDEX(Contracts!$E$2:$E$151,$AB886)&amp;"",IF($Z886="A",INDEX(Fixed_Assets!$D$2:$D$201,$AB886)&amp;"",IF($Z886="F",INDEX(FTE_Allocation!$C$2:$C$201,$AB886)&amp;"","")))</f>
        <v/>
      </c>
      <c r="D886" s="7">
        <f>IF($Z886="C",INDEX(Contracts!$B$2:$B$151,$AB886)&amp;"",IF($Z886="A",INDEX(Fixed_Assets!$B$2:$B$201,$AB886)&amp;"",IF($Z886="F",INDEX(FTE_Allocation!$B$2:$B$201,$AB886)&amp;"","")))</f>
        <v/>
      </c>
      <c r="E886" s="7">
        <f>IF($Z886="C",INDEX(Contracts!$P$2:$P$151,$AB886)&amp;"",IF($Z886="A",INDEX(Fixed_Assets!$K$2:$K$201,$AB886)&amp;"",IF($Z886="F",IF(INDEX(FTE_Allocation!$D$2:$D$201,$AB886)="PROJECT",IFERROR(INDEX(Projects!$D:$D,MATCH(INDEX(FTE_Allocation!$E$2:$E$201,$AB886),Projects!$A:$A,0))&amp;"","#PROJECT?"),INDEX(FTE_Allocation!$E$2:$E$201,$AB886)&amp;""),"")))</f>
        <v/>
      </c>
      <c r="F886" s="7">
        <f>IF($Z886="C",INDEX(Contracts!$Q$2:$Q$151,$AB886)&amp;"",IF($Z886="A",INDEX(Fixed_Assets!$L$2:$L$201,$AB886)&amp;"",IF($Z886="F",INDEX(Workforce!$K$2:$K$151,MATCH(INDEX(FTE_Allocation!$A$2:$A$201,$AB886),Workforce!$A$2:$A$151,0))&amp;"","")))</f>
        <v/>
      </c>
      <c r="G886" s="7">
        <f>IF($Z886="C",INDEX(Contracts!$F$2:$F$151,$AB886)&amp;" / "&amp;INDEX(Contracts!$G$2:$G$151,$AB886),IF($Z886="A",INDEX(Fixed_Assets!$E$2:$E$201,$AB886)&amp;"",IF($Z886="F","Personnel "&amp;INDEX(FTE_Allocation!$A$2:$A$201,$AB886)&amp;IF(INDEX(FTE_Allocation!$D$2:$D$201,$AB886)="PROJECT"," ("&amp;INDEX(FTE_Allocation!$E$2:$E$201,$AB886)&amp;")",""),"")))</f>
        <v/>
      </c>
      <c r="H886" s="7">
        <f>IF($Z886="C","CONTRACT",IF($Z886="A","ASSET",IF($Z886="F","WORKFORCE","")))</f>
        <v/>
      </c>
      <c r="I886" s="7">
        <f>IF($Z886="C",INDEX(Contracts!$L$2:$L$151,$AB886)&amp;"",IF($Z886="A",INDEX(Fixed_Assets!$I$2:$I$201,$AB886)&amp;"",IF($Z886="F",INDEX(Workforce!$G$2:$G$151,MATCH(INDEX(FTE_Allocation!$A$2:$A$201,$AB886),Workforce!$A$2:$A$151,0))&amp;"","")))</f>
        <v/>
      </c>
      <c r="J886" s="18">
        <f>IF($Z886="","",IF(AND(DATE($AD886,1,1)&gt;=$AE886,DATE($AD886,1,1)&lt;=$AF886),ROUND($AG886,2),0))</f>
        <v/>
      </c>
      <c r="K886" s="18">
        <f>IF($Z886="","",IF(AND(DATE($AD886,2,1)&gt;=$AE886,DATE($AD886,2,1)&lt;=$AF886),ROUND($AG886,2),0))</f>
        <v/>
      </c>
      <c r="L886" s="18">
        <f>IF($Z886="","",IF(AND(DATE($AD886,3,1)&gt;=$AE886,DATE($AD886,3,1)&lt;=$AF886),ROUND($AG886,2),0))</f>
        <v/>
      </c>
      <c r="M886" s="18">
        <f>IF($Z886="","",IF(AND(DATE($AD886,4,1)&gt;=$AE886,DATE($AD886,4,1)&lt;=$AF886),ROUND($AG886,2),0))</f>
        <v/>
      </c>
      <c r="N886" s="18">
        <f>IF($Z886="","",IF(AND(DATE($AD886,5,1)&gt;=$AE886,DATE($AD886,5,1)&lt;=$AF886),ROUND($AG886,2),0))</f>
        <v/>
      </c>
      <c r="O886" s="18">
        <f>IF($Z886="","",IF(AND(DATE($AD886,6,1)&gt;=$AE886,DATE($AD886,6,1)&lt;=$AF886),ROUND($AG886,2),0))</f>
        <v/>
      </c>
      <c r="P886" s="18">
        <f>IF($Z886="","",IF(AND(DATE($AD886,7,1)&gt;=$AE886,DATE($AD886,7,1)&lt;=$AF886),ROUND($AG886,2),0))</f>
        <v/>
      </c>
      <c r="Q886" s="18">
        <f>IF($Z886="","",IF(AND(DATE($AD886,8,1)&gt;=$AE886,DATE($AD886,8,1)&lt;=$AF886),ROUND($AG886,2),0))</f>
        <v/>
      </c>
      <c r="R886" s="18">
        <f>IF($Z886="","",IF(AND(DATE($AD886,9,1)&gt;=$AE886,DATE($AD886,9,1)&lt;=$AF886),ROUND($AG886,2),0))</f>
        <v/>
      </c>
      <c r="S886" s="18">
        <f>IF($Z886="","",IF(AND(DATE($AD886,10,1)&gt;=$AE886,DATE($AD886,10,1)&lt;=$AF886),ROUND($AG886,2),0))</f>
        <v/>
      </c>
      <c r="T886" s="18">
        <f>IF($Z886="","",IF(AND(DATE($AD886,11,1)&gt;=$AE886,DATE($AD886,11,1)&lt;=$AF886),ROUND($AG886,2),0))</f>
        <v/>
      </c>
      <c r="U886" s="18">
        <f>IF($Z886="","",IF(AND(DATE($AD886,12,1)&gt;=$AE886,DATE($AD886,12,1)&lt;=$AF886),ROUND($AG886,2),0))</f>
        <v/>
      </c>
      <c r="V886" s="7">
        <f>IF($Z886="C","Generated from "&amp;INDEX(Contracts!$A$2:$A$151,$AB886),IF($Z886="A","Generated from "&amp;INDEX(Fixed_Assets!$A$2:$A$201,$AB886),IF($Z886="F","Generated from "&amp;INDEX(FTE_Allocation!$A$2:$A$201,$AB886),"")))</f>
        <v/>
      </c>
      <c r="X886" s="19">
        <f>IF($Z886="","",SUM(J886:U886))</f>
        <v/>
      </c>
      <c r="Y886" s="20">
        <f>ROW()-1</f>
        <v/>
      </c>
      <c r="Z886" s="20">
        <f>IF($Y886&lt;=Settings!$B$4*3,"C",IF($Y886&lt;=(Settings!$B$4+Settings!$B$5)*3,"A",IF($Y886&lt;=(Settings!$B$4+Settings!$B$5+Settings!$B$6)*3,"F","")))</f>
        <v/>
      </c>
      <c r="AA886" s="20">
        <f>IF($Z886="C",$Y886,IF($Z886="A",$Y886-Settings!$B$4*3,IF($Z886="F",$Y886-(Settings!$B$4+Settings!$B$5)*3,"")))</f>
        <v/>
      </c>
      <c r="AB886" s="20">
        <f>IF($Z886="","",INT(($AA886-1)/3)+1)</f>
        <v/>
      </c>
      <c r="AC886" s="20">
        <f>IF($Z886="","",MOD($AA886-1,3)+1)</f>
        <v/>
      </c>
      <c r="AD886" s="20">
        <f>IF($Z886="","",Settings!$B$2+$AC886-1)</f>
        <v/>
      </c>
      <c r="AE886" s="21">
        <f>IF($Z886="C",DATE(YEAR(INDEX(Contracts!$J$2:$J$151,$AB886)),MONTH(INDEX(Contracts!$J$2:$J$151,$AB886)),1),IF($Z886="A",DATE(YEAR(INDEX(Fixed_Assets!$G$2:$G$201,$AB886)),MONTH(INDEX(Fixed_Assets!$G$2:$G$201,$AB886)),1),IF($Z886="F",DATE(YEAR(MAX(N(INDEX(Workforce!$I$2:$I$151,MATCH(INDEX(FTE_Allocation!$A$2:$A$201,$AB886),Workforce!$A$2:$A$151,0))),N(INDEX(FTE_Allocation!$I$2:$I$201,$AB886)))),MONTH(MAX(N(INDEX(Workforce!$I$2:$I$151,MATCH(INDEX(FTE_Allocation!$A$2:$A$201,$AB886),Workforce!$A$2:$A$151,0))),N(INDEX(FTE_Allocation!$I$2:$I$201,$AB886)))),1),"")))</f>
        <v/>
      </c>
      <c r="AF886" s="21">
        <f>IF($Z886="C",IF(INDEX(Contracts!$I$2:$I$151,$AB886)="PREPAID",EDATE(DATE(YEAR(INDEX(Contracts!$J$2:$J$151,$AB886)),MONTH(INDEX(Contracts!$J$2:$J$151,$AB886)),1),IF(INDEX(Contracts!$N$2:$N$151,$AB886)="",12,INDEX(Contracts!$N$2:$N$151,$AB886))-1),IF(INDEX(Contracts!$I$2:$I$151,$AB886)="MONTHLY",IF(INDEX(Contracts!$K$2:$K$151,$AB886)="",2958101,INDEX(Contracts!$K$2:$K$151,$AB886)),0)),IF($Z886="A",EDATE(DATE(YEAR(INDEX(Fixed_Assets!$G$2:$G$201,$AB886)),MONTH(INDEX(Fixed_Assets!$G$2:$G$201,$AB886)),1),INDEX(Fixed_Assets!$J$2:$J$201,$AB886)-1),IF($Z886="F",MIN(IF(INDEX(Workforce!$J$2:$J$151,MATCH(INDEX(FTE_Allocation!$A$2:$A$201,$AB886),Workforce!$A$2:$A$151,0))="",2958101,INDEX(Workforce!$J$2:$J$151,MATCH(INDEX(FTE_Allocation!$A$2:$A$201,$AB886),Workforce!$A$2:$A$151,0))),IF(INDEX(FTE_Allocation!$J$2:$J$201,$AB886)="",2958101,INDEX(FTE_Allocation!$J$2:$J$201,$AB886))),"")))</f>
        <v/>
      </c>
      <c r="AG886" s="19">
        <f>IF($Z886="C",IF(INDEX(Contracts!$I$2:$I$151,$AB886)="PREPAID",INDEX(Contracts!$M$2:$M$151,$AB886)/IF(INDEX(Contracts!$N$2:$N$151,$AB886)="",12,INDEX(Contracts!$N$2:$N$151,$AB886)),IF(INDEX(Contracts!$I$2:$I$151,$AB886)="MONTHLY",INDEX(Contracts!$M$2:$M$151,$AB886),0))*(1-N(INDEX(Contracts!$O$2:$O$151,$AB886))),IF($Z886="A",INDEX(Fixed_Assets!$H$2:$H$201,$AB886)/INDEX(Fixed_Assets!$J$2:$J$201,$AB886),IF($Z886="F",INDEX(Workforce!$F$2:$F$151,MATCH(INDEX(FTE_Allocation!$A$2:$A$201,$AB886),Workforce!$A$2:$A$151,0))*N(INDEX(FTE_Allocation!$F$2:$H$201,$AB886,$AC886)),"")))</f>
        <v/>
      </c>
    </row>
    <row r="887">
      <c r="A887" s="7">
        <f>IF($Z887="","",$AD887)</f>
        <v/>
      </c>
      <c r="B887" s="7">
        <f>IF($Z887="C",INDEX(Contracts!$D$2:$D$151,$AB887)&amp;"",IF($Z887="A",INDEX(Fixed_Assets!$C$2:$C$201,$AB887)&amp;"",IF($Z887="F",INDEX(Workforce!$B$2:$B$151,MATCH(INDEX(FTE_Allocation!$A$2:$A$201,$AB887),Workforce!$A$2:$A$151,0))&amp;"","")))</f>
        <v/>
      </c>
      <c r="C887" s="7">
        <f>IF($Z887="C",INDEX(Contracts!$E$2:$E$151,$AB887)&amp;"",IF($Z887="A",INDEX(Fixed_Assets!$D$2:$D$201,$AB887)&amp;"",IF($Z887="F",INDEX(FTE_Allocation!$C$2:$C$201,$AB887)&amp;"","")))</f>
        <v/>
      </c>
      <c r="D887" s="7">
        <f>IF($Z887="C",INDEX(Contracts!$B$2:$B$151,$AB887)&amp;"",IF($Z887="A",INDEX(Fixed_Assets!$B$2:$B$201,$AB887)&amp;"",IF($Z887="F",INDEX(FTE_Allocation!$B$2:$B$201,$AB887)&amp;"","")))</f>
        <v/>
      </c>
      <c r="E887" s="7">
        <f>IF($Z887="C",INDEX(Contracts!$P$2:$P$151,$AB887)&amp;"",IF($Z887="A",INDEX(Fixed_Assets!$K$2:$K$201,$AB887)&amp;"",IF($Z887="F",IF(INDEX(FTE_Allocation!$D$2:$D$201,$AB887)="PROJECT",IFERROR(INDEX(Projects!$D:$D,MATCH(INDEX(FTE_Allocation!$E$2:$E$201,$AB887),Projects!$A:$A,0))&amp;"","#PROJECT?"),INDEX(FTE_Allocation!$E$2:$E$201,$AB887)&amp;""),"")))</f>
        <v/>
      </c>
      <c r="F887" s="7">
        <f>IF($Z887="C",INDEX(Contracts!$Q$2:$Q$151,$AB887)&amp;"",IF($Z887="A",INDEX(Fixed_Assets!$L$2:$L$201,$AB887)&amp;"",IF($Z887="F",INDEX(Workforce!$K$2:$K$151,MATCH(INDEX(FTE_Allocation!$A$2:$A$201,$AB887),Workforce!$A$2:$A$151,0))&amp;"","")))</f>
        <v/>
      </c>
      <c r="G887" s="7">
        <f>IF($Z887="C",INDEX(Contracts!$F$2:$F$151,$AB887)&amp;" / "&amp;INDEX(Contracts!$G$2:$G$151,$AB887),IF($Z887="A",INDEX(Fixed_Assets!$E$2:$E$201,$AB887)&amp;"",IF($Z887="F","Personnel "&amp;INDEX(FTE_Allocation!$A$2:$A$201,$AB887)&amp;IF(INDEX(FTE_Allocation!$D$2:$D$201,$AB887)="PROJECT"," ("&amp;INDEX(FTE_Allocation!$E$2:$E$201,$AB887)&amp;")",""),"")))</f>
        <v/>
      </c>
      <c r="H887" s="7">
        <f>IF($Z887="C","CONTRACT",IF($Z887="A","ASSET",IF($Z887="F","WORKFORCE","")))</f>
        <v/>
      </c>
      <c r="I887" s="7">
        <f>IF($Z887="C",INDEX(Contracts!$L$2:$L$151,$AB887)&amp;"",IF($Z887="A",INDEX(Fixed_Assets!$I$2:$I$201,$AB887)&amp;"",IF($Z887="F",INDEX(Workforce!$G$2:$G$151,MATCH(INDEX(FTE_Allocation!$A$2:$A$201,$AB887),Workforce!$A$2:$A$151,0))&amp;"","")))</f>
        <v/>
      </c>
      <c r="J887" s="18">
        <f>IF($Z887="","",IF(AND(DATE($AD887,1,1)&gt;=$AE887,DATE($AD887,1,1)&lt;=$AF887),ROUND($AG887,2),0))</f>
        <v/>
      </c>
      <c r="K887" s="18">
        <f>IF($Z887="","",IF(AND(DATE($AD887,2,1)&gt;=$AE887,DATE($AD887,2,1)&lt;=$AF887),ROUND($AG887,2),0))</f>
        <v/>
      </c>
      <c r="L887" s="18">
        <f>IF($Z887="","",IF(AND(DATE($AD887,3,1)&gt;=$AE887,DATE($AD887,3,1)&lt;=$AF887),ROUND($AG887,2),0))</f>
        <v/>
      </c>
      <c r="M887" s="18">
        <f>IF($Z887="","",IF(AND(DATE($AD887,4,1)&gt;=$AE887,DATE($AD887,4,1)&lt;=$AF887),ROUND($AG887,2),0))</f>
        <v/>
      </c>
      <c r="N887" s="18">
        <f>IF($Z887="","",IF(AND(DATE($AD887,5,1)&gt;=$AE887,DATE($AD887,5,1)&lt;=$AF887),ROUND($AG887,2),0))</f>
        <v/>
      </c>
      <c r="O887" s="18">
        <f>IF($Z887="","",IF(AND(DATE($AD887,6,1)&gt;=$AE887,DATE($AD887,6,1)&lt;=$AF887),ROUND($AG887,2),0))</f>
        <v/>
      </c>
      <c r="P887" s="18">
        <f>IF($Z887="","",IF(AND(DATE($AD887,7,1)&gt;=$AE887,DATE($AD887,7,1)&lt;=$AF887),ROUND($AG887,2),0))</f>
        <v/>
      </c>
      <c r="Q887" s="18">
        <f>IF($Z887="","",IF(AND(DATE($AD887,8,1)&gt;=$AE887,DATE($AD887,8,1)&lt;=$AF887),ROUND($AG887,2),0))</f>
        <v/>
      </c>
      <c r="R887" s="18">
        <f>IF($Z887="","",IF(AND(DATE($AD887,9,1)&gt;=$AE887,DATE($AD887,9,1)&lt;=$AF887),ROUND($AG887,2),0))</f>
        <v/>
      </c>
      <c r="S887" s="18">
        <f>IF($Z887="","",IF(AND(DATE($AD887,10,1)&gt;=$AE887,DATE($AD887,10,1)&lt;=$AF887),ROUND($AG887,2),0))</f>
        <v/>
      </c>
      <c r="T887" s="18">
        <f>IF($Z887="","",IF(AND(DATE($AD887,11,1)&gt;=$AE887,DATE($AD887,11,1)&lt;=$AF887),ROUND($AG887,2),0))</f>
        <v/>
      </c>
      <c r="U887" s="18">
        <f>IF($Z887="","",IF(AND(DATE($AD887,12,1)&gt;=$AE887,DATE($AD887,12,1)&lt;=$AF887),ROUND($AG887,2),0))</f>
        <v/>
      </c>
      <c r="V887" s="7">
        <f>IF($Z887="C","Generated from "&amp;INDEX(Contracts!$A$2:$A$151,$AB887),IF($Z887="A","Generated from "&amp;INDEX(Fixed_Assets!$A$2:$A$201,$AB887),IF($Z887="F","Generated from "&amp;INDEX(FTE_Allocation!$A$2:$A$201,$AB887),"")))</f>
        <v/>
      </c>
      <c r="X887" s="19">
        <f>IF($Z887="","",SUM(J887:U887))</f>
        <v/>
      </c>
      <c r="Y887" s="20">
        <f>ROW()-1</f>
        <v/>
      </c>
      <c r="Z887" s="20">
        <f>IF($Y887&lt;=Settings!$B$4*3,"C",IF($Y887&lt;=(Settings!$B$4+Settings!$B$5)*3,"A",IF($Y887&lt;=(Settings!$B$4+Settings!$B$5+Settings!$B$6)*3,"F","")))</f>
        <v/>
      </c>
      <c r="AA887" s="20">
        <f>IF($Z887="C",$Y887,IF($Z887="A",$Y887-Settings!$B$4*3,IF($Z887="F",$Y887-(Settings!$B$4+Settings!$B$5)*3,"")))</f>
        <v/>
      </c>
      <c r="AB887" s="20">
        <f>IF($Z887="","",INT(($AA887-1)/3)+1)</f>
        <v/>
      </c>
      <c r="AC887" s="20">
        <f>IF($Z887="","",MOD($AA887-1,3)+1)</f>
        <v/>
      </c>
      <c r="AD887" s="20">
        <f>IF($Z887="","",Settings!$B$2+$AC887-1)</f>
        <v/>
      </c>
      <c r="AE887" s="21">
        <f>IF($Z887="C",DATE(YEAR(INDEX(Contracts!$J$2:$J$151,$AB887)),MONTH(INDEX(Contracts!$J$2:$J$151,$AB887)),1),IF($Z887="A",DATE(YEAR(INDEX(Fixed_Assets!$G$2:$G$201,$AB887)),MONTH(INDEX(Fixed_Assets!$G$2:$G$201,$AB887)),1),IF($Z887="F",DATE(YEAR(MAX(N(INDEX(Workforce!$I$2:$I$151,MATCH(INDEX(FTE_Allocation!$A$2:$A$201,$AB887),Workforce!$A$2:$A$151,0))),N(INDEX(FTE_Allocation!$I$2:$I$201,$AB887)))),MONTH(MAX(N(INDEX(Workforce!$I$2:$I$151,MATCH(INDEX(FTE_Allocation!$A$2:$A$201,$AB887),Workforce!$A$2:$A$151,0))),N(INDEX(FTE_Allocation!$I$2:$I$201,$AB887)))),1),"")))</f>
        <v/>
      </c>
      <c r="AF887" s="21">
        <f>IF($Z887="C",IF(INDEX(Contracts!$I$2:$I$151,$AB887)="PREPAID",EDATE(DATE(YEAR(INDEX(Contracts!$J$2:$J$151,$AB887)),MONTH(INDEX(Contracts!$J$2:$J$151,$AB887)),1),IF(INDEX(Contracts!$N$2:$N$151,$AB887)="",12,INDEX(Contracts!$N$2:$N$151,$AB887))-1),IF(INDEX(Contracts!$I$2:$I$151,$AB887)="MONTHLY",IF(INDEX(Contracts!$K$2:$K$151,$AB887)="",2958101,INDEX(Contracts!$K$2:$K$151,$AB887)),0)),IF($Z887="A",EDATE(DATE(YEAR(INDEX(Fixed_Assets!$G$2:$G$201,$AB887)),MONTH(INDEX(Fixed_Assets!$G$2:$G$201,$AB887)),1),INDEX(Fixed_Assets!$J$2:$J$201,$AB887)-1),IF($Z887="F",MIN(IF(INDEX(Workforce!$J$2:$J$151,MATCH(INDEX(FTE_Allocation!$A$2:$A$201,$AB887),Workforce!$A$2:$A$151,0))="",2958101,INDEX(Workforce!$J$2:$J$151,MATCH(INDEX(FTE_Allocation!$A$2:$A$201,$AB887),Workforce!$A$2:$A$151,0))),IF(INDEX(FTE_Allocation!$J$2:$J$201,$AB887)="",2958101,INDEX(FTE_Allocation!$J$2:$J$201,$AB887))),"")))</f>
        <v/>
      </c>
      <c r="AG887" s="19">
        <f>IF($Z887="C",IF(INDEX(Contracts!$I$2:$I$151,$AB887)="PREPAID",INDEX(Contracts!$M$2:$M$151,$AB887)/IF(INDEX(Contracts!$N$2:$N$151,$AB887)="",12,INDEX(Contracts!$N$2:$N$151,$AB887)),IF(INDEX(Contracts!$I$2:$I$151,$AB887)="MONTHLY",INDEX(Contracts!$M$2:$M$151,$AB887),0))*(1-N(INDEX(Contracts!$O$2:$O$151,$AB887))),IF($Z887="A",INDEX(Fixed_Assets!$H$2:$H$201,$AB887)/INDEX(Fixed_Assets!$J$2:$J$201,$AB887),IF($Z887="F",INDEX(Workforce!$F$2:$F$151,MATCH(INDEX(FTE_Allocation!$A$2:$A$201,$AB887),Workforce!$A$2:$A$151,0))*N(INDEX(FTE_Allocation!$F$2:$H$201,$AB887,$AC887)),"")))</f>
        <v/>
      </c>
    </row>
    <row r="888">
      <c r="A888" s="7">
        <f>IF($Z888="","",$AD888)</f>
        <v/>
      </c>
      <c r="B888" s="7">
        <f>IF($Z888="C",INDEX(Contracts!$D$2:$D$151,$AB888)&amp;"",IF($Z888="A",INDEX(Fixed_Assets!$C$2:$C$201,$AB888)&amp;"",IF($Z888="F",INDEX(Workforce!$B$2:$B$151,MATCH(INDEX(FTE_Allocation!$A$2:$A$201,$AB888),Workforce!$A$2:$A$151,0))&amp;"","")))</f>
        <v/>
      </c>
      <c r="C888" s="7">
        <f>IF($Z888="C",INDEX(Contracts!$E$2:$E$151,$AB888)&amp;"",IF($Z888="A",INDEX(Fixed_Assets!$D$2:$D$201,$AB888)&amp;"",IF($Z888="F",INDEX(FTE_Allocation!$C$2:$C$201,$AB888)&amp;"","")))</f>
        <v/>
      </c>
      <c r="D888" s="7">
        <f>IF($Z888="C",INDEX(Contracts!$B$2:$B$151,$AB888)&amp;"",IF($Z888="A",INDEX(Fixed_Assets!$B$2:$B$201,$AB888)&amp;"",IF($Z888="F",INDEX(FTE_Allocation!$B$2:$B$201,$AB888)&amp;"","")))</f>
        <v/>
      </c>
      <c r="E888" s="7">
        <f>IF($Z888="C",INDEX(Contracts!$P$2:$P$151,$AB888)&amp;"",IF($Z888="A",INDEX(Fixed_Assets!$K$2:$K$201,$AB888)&amp;"",IF($Z888="F",IF(INDEX(FTE_Allocation!$D$2:$D$201,$AB888)="PROJECT",IFERROR(INDEX(Projects!$D:$D,MATCH(INDEX(FTE_Allocation!$E$2:$E$201,$AB888),Projects!$A:$A,0))&amp;"","#PROJECT?"),INDEX(FTE_Allocation!$E$2:$E$201,$AB888)&amp;""),"")))</f>
        <v/>
      </c>
      <c r="F888" s="7">
        <f>IF($Z888="C",INDEX(Contracts!$Q$2:$Q$151,$AB888)&amp;"",IF($Z888="A",INDEX(Fixed_Assets!$L$2:$L$201,$AB888)&amp;"",IF($Z888="F",INDEX(Workforce!$K$2:$K$151,MATCH(INDEX(FTE_Allocation!$A$2:$A$201,$AB888),Workforce!$A$2:$A$151,0))&amp;"","")))</f>
        <v/>
      </c>
      <c r="G888" s="7">
        <f>IF($Z888="C",INDEX(Contracts!$F$2:$F$151,$AB888)&amp;" / "&amp;INDEX(Contracts!$G$2:$G$151,$AB888),IF($Z888="A",INDEX(Fixed_Assets!$E$2:$E$201,$AB888)&amp;"",IF($Z888="F","Personnel "&amp;INDEX(FTE_Allocation!$A$2:$A$201,$AB888)&amp;IF(INDEX(FTE_Allocation!$D$2:$D$201,$AB888)="PROJECT"," ("&amp;INDEX(FTE_Allocation!$E$2:$E$201,$AB888)&amp;")",""),"")))</f>
        <v/>
      </c>
      <c r="H888" s="7">
        <f>IF($Z888="C","CONTRACT",IF($Z888="A","ASSET",IF($Z888="F","WORKFORCE","")))</f>
        <v/>
      </c>
      <c r="I888" s="7">
        <f>IF($Z888="C",INDEX(Contracts!$L$2:$L$151,$AB888)&amp;"",IF($Z888="A",INDEX(Fixed_Assets!$I$2:$I$201,$AB888)&amp;"",IF($Z888="F",INDEX(Workforce!$G$2:$G$151,MATCH(INDEX(FTE_Allocation!$A$2:$A$201,$AB888),Workforce!$A$2:$A$151,0))&amp;"","")))</f>
        <v/>
      </c>
      <c r="J888" s="18">
        <f>IF($Z888="","",IF(AND(DATE($AD888,1,1)&gt;=$AE888,DATE($AD888,1,1)&lt;=$AF888),ROUND($AG888,2),0))</f>
        <v/>
      </c>
      <c r="K888" s="18">
        <f>IF($Z888="","",IF(AND(DATE($AD888,2,1)&gt;=$AE888,DATE($AD888,2,1)&lt;=$AF888),ROUND($AG888,2),0))</f>
        <v/>
      </c>
      <c r="L888" s="18">
        <f>IF($Z888="","",IF(AND(DATE($AD888,3,1)&gt;=$AE888,DATE($AD888,3,1)&lt;=$AF888),ROUND($AG888,2),0))</f>
        <v/>
      </c>
      <c r="M888" s="18">
        <f>IF($Z888="","",IF(AND(DATE($AD888,4,1)&gt;=$AE888,DATE($AD888,4,1)&lt;=$AF888),ROUND($AG888,2),0))</f>
        <v/>
      </c>
      <c r="N888" s="18">
        <f>IF($Z888="","",IF(AND(DATE($AD888,5,1)&gt;=$AE888,DATE($AD888,5,1)&lt;=$AF888),ROUND($AG888,2),0))</f>
        <v/>
      </c>
      <c r="O888" s="18">
        <f>IF($Z888="","",IF(AND(DATE($AD888,6,1)&gt;=$AE888,DATE($AD888,6,1)&lt;=$AF888),ROUND($AG888,2),0))</f>
        <v/>
      </c>
      <c r="P888" s="18">
        <f>IF($Z888="","",IF(AND(DATE($AD888,7,1)&gt;=$AE888,DATE($AD888,7,1)&lt;=$AF888),ROUND($AG888,2),0))</f>
        <v/>
      </c>
      <c r="Q888" s="18">
        <f>IF($Z888="","",IF(AND(DATE($AD888,8,1)&gt;=$AE888,DATE($AD888,8,1)&lt;=$AF888),ROUND($AG888,2),0))</f>
        <v/>
      </c>
      <c r="R888" s="18">
        <f>IF($Z888="","",IF(AND(DATE($AD888,9,1)&gt;=$AE888,DATE($AD888,9,1)&lt;=$AF888),ROUND($AG888,2),0))</f>
        <v/>
      </c>
      <c r="S888" s="18">
        <f>IF($Z888="","",IF(AND(DATE($AD888,10,1)&gt;=$AE888,DATE($AD888,10,1)&lt;=$AF888),ROUND($AG888,2),0))</f>
        <v/>
      </c>
      <c r="T888" s="18">
        <f>IF($Z888="","",IF(AND(DATE($AD888,11,1)&gt;=$AE888,DATE($AD888,11,1)&lt;=$AF888),ROUND($AG888,2),0))</f>
        <v/>
      </c>
      <c r="U888" s="18">
        <f>IF($Z888="","",IF(AND(DATE($AD888,12,1)&gt;=$AE888,DATE($AD888,12,1)&lt;=$AF888),ROUND($AG888,2),0))</f>
        <v/>
      </c>
      <c r="V888" s="7">
        <f>IF($Z888="C","Generated from "&amp;INDEX(Contracts!$A$2:$A$151,$AB888),IF($Z888="A","Generated from "&amp;INDEX(Fixed_Assets!$A$2:$A$201,$AB888),IF($Z888="F","Generated from "&amp;INDEX(FTE_Allocation!$A$2:$A$201,$AB888),"")))</f>
        <v/>
      </c>
      <c r="X888" s="19">
        <f>IF($Z888="","",SUM(J888:U888))</f>
        <v/>
      </c>
      <c r="Y888" s="20">
        <f>ROW()-1</f>
        <v/>
      </c>
      <c r="Z888" s="20">
        <f>IF($Y888&lt;=Settings!$B$4*3,"C",IF($Y888&lt;=(Settings!$B$4+Settings!$B$5)*3,"A",IF($Y888&lt;=(Settings!$B$4+Settings!$B$5+Settings!$B$6)*3,"F","")))</f>
        <v/>
      </c>
      <c r="AA888" s="20">
        <f>IF($Z888="C",$Y888,IF($Z888="A",$Y888-Settings!$B$4*3,IF($Z888="F",$Y888-(Settings!$B$4+Settings!$B$5)*3,"")))</f>
        <v/>
      </c>
      <c r="AB888" s="20">
        <f>IF($Z888="","",INT(($AA888-1)/3)+1)</f>
        <v/>
      </c>
      <c r="AC888" s="20">
        <f>IF($Z888="","",MOD($AA888-1,3)+1)</f>
        <v/>
      </c>
      <c r="AD888" s="20">
        <f>IF($Z888="","",Settings!$B$2+$AC888-1)</f>
        <v/>
      </c>
      <c r="AE888" s="21">
        <f>IF($Z888="C",DATE(YEAR(INDEX(Contracts!$J$2:$J$151,$AB888)),MONTH(INDEX(Contracts!$J$2:$J$151,$AB888)),1),IF($Z888="A",DATE(YEAR(INDEX(Fixed_Assets!$G$2:$G$201,$AB888)),MONTH(INDEX(Fixed_Assets!$G$2:$G$201,$AB888)),1),IF($Z888="F",DATE(YEAR(MAX(N(INDEX(Workforce!$I$2:$I$151,MATCH(INDEX(FTE_Allocation!$A$2:$A$201,$AB888),Workforce!$A$2:$A$151,0))),N(INDEX(FTE_Allocation!$I$2:$I$201,$AB888)))),MONTH(MAX(N(INDEX(Workforce!$I$2:$I$151,MATCH(INDEX(FTE_Allocation!$A$2:$A$201,$AB888),Workforce!$A$2:$A$151,0))),N(INDEX(FTE_Allocation!$I$2:$I$201,$AB888)))),1),"")))</f>
        <v/>
      </c>
      <c r="AF888" s="21">
        <f>IF($Z888="C",IF(INDEX(Contracts!$I$2:$I$151,$AB888)="PREPAID",EDATE(DATE(YEAR(INDEX(Contracts!$J$2:$J$151,$AB888)),MONTH(INDEX(Contracts!$J$2:$J$151,$AB888)),1),IF(INDEX(Contracts!$N$2:$N$151,$AB888)="",12,INDEX(Contracts!$N$2:$N$151,$AB888))-1),IF(INDEX(Contracts!$I$2:$I$151,$AB888)="MONTHLY",IF(INDEX(Contracts!$K$2:$K$151,$AB888)="",2958101,INDEX(Contracts!$K$2:$K$151,$AB888)),0)),IF($Z888="A",EDATE(DATE(YEAR(INDEX(Fixed_Assets!$G$2:$G$201,$AB888)),MONTH(INDEX(Fixed_Assets!$G$2:$G$201,$AB888)),1),INDEX(Fixed_Assets!$J$2:$J$201,$AB888)-1),IF($Z888="F",MIN(IF(INDEX(Workforce!$J$2:$J$151,MATCH(INDEX(FTE_Allocation!$A$2:$A$201,$AB888),Workforce!$A$2:$A$151,0))="",2958101,INDEX(Workforce!$J$2:$J$151,MATCH(INDEX(FTE_Allocation!$A$2:$A$201,$AB888),Workforce!$A$2:$A$151,0))),IF(INDEX(FTE_Allocation!$J$2:$J$201,$AB888)="",2958101,INDEX(FTE_Allocation!$J$2:$J$201,$AB888))),"")))</f>
        <v/>
      </c>
      <c r="AG888" s="19">
        <f>IF($Z888="C",IF(INDEX(Contracts!$I$2:$I$151,$AB888)="PREPAID",INDEX(Contracts!$M$2:$M$151,$AB888)/IF(INDEX(Contracts!$N$2:$N$151,$AB888)="",12,INDEX(Contracts!$N$2:$N$151,$AB888)),IF(INDEX(Contracts!$I$2:$I$151,$AB888)="MONTHLY",INDEX(Contracts!$M$2:$M$151,$AB888),0))*(1-N(INDEX(Contracts!$O$2:$O$151,$AB888))),IF($Z888="A",INDEX(Fixed_Assets!$H$2:$H$201,$AB888)/INDEX(Fixed_Assets!$J$2:$J$201,$AB888),IF($Z888="F",INDEX(Workforce!$F$2:$F$151,MATCH(INDEX(FTE_Allocation!$A$2:$A$201,$AB888),Workforce!$A$2:$A$151,0))*N(INDEX(FTE_Allocation!$F$2:$H$201,$AB888,$AC888)),"")))</f>
        <v/>
      </c>
    </row>
    <row r="889">
      <c r="A889" s="7">
        <f>IF($Z889="","",$AD889)</f>
        <v/>
      </c>
      <c r="B889" s="7">
        <f>IF($Z889="C",INDEX(Contracts!$D$2:$D$151,$AB889)&amp;"",IF($Z889="A",INDEX(Fixed_Assets!$C$2:$C$201,$AB889)&amp;"",IF($Z889="F",INDEX(Workforce!$B$2:$B$151,MATCH(INDEX(FTE_Allocation!$A$2:$A$201,$AB889),Workforce!$A$2:$A$151,0))&amp;"","")))</f>
        <v/>
      </c>
      <c r="C889" s="7">
        <f>IF($Z889="C",INDEX(Contracts!$E$2:$E$151,$AB889)&amp;"",IF($Z889="A",INDEX(Fixed_Assets!$D$2:$D$201,$AB889)&amp;"",IF($Z889="F",INDEX(FTE_Allocation!$C$2:$C$201,$AB889)&amp;"","")))</f>
        <v/>
      </c>
      <c r="D889" s="7">
        <f>IF($Z889="C",INDEX(Contracts!$B$2:$B$151,$AB889)&amp;"",IF($Z889="A",INDEX(Fixed_Assets!$B$2:$B$201,$AB889)&amp;"",IF($Z889="F",INDEX(FTE_Allocation!$B$2:$B$201,$AB889)&amp;"","")))</f>
        <v/>
      </c>
      <c r="E889" s="7">
        <f>IF($Z889="C",INDEX(Contracts!$P$2:$P$151,$AB889)&amp;"",IF($Z889="A",INDEX(Fixed_Assets!$K$2:$K$201,$AB889)&amp;"",IF($Z889="F",IF(INDEX(FTE_Allocation!$D$2:$D$201,$AB889)="PROJECT",IFERROR(INDEX(Projects!$D:$D,MATCH(INDEX(FTE_Allocation!$E$2:$E$201,$AB889),Projects!$A:$A,0))&amp;"","#PROJECT?"),INDEX(FTE_Allocation!$E$2:$E$201,$AB889)&amp;""),"")))</f>
        <v/>
      </c>
      <c r="F889" s="7">
        <f>IF($Z889="C",INDEX(Contracts!$Q$2:$Q$151,$AB889)&amp;"",IF($Z889="A",INDEX(Fixed_Assets!$L$2:$L$201,$AB889)&amp;"",IF($Z889="F",INDEX(Workforce!$K$2:$K$151,MATCH(INDEX(FTE_Allocation!$A$2:$A$201,$AB889),Workforce!$A$2:$A$151,0))&amp;"","")))</f>
        <v/>
      </c>
      <c r="G889" s="7">
        <f>IF($Z889="C",INDEX(Contracts!$F$2:$F$151,$AB889)&amp;" / "&amp;INDEX(Contracts!$G$2:$G$151,$AB889),IF($Z889="A",INDEX(Fixed_Assets!$E$2:$E$201,$AB889)&amp;"",IF($Z889="F","Personnel "&amp;INDEX(FTE_Allocation!$A$2:$A$201,$AB889)&amp;IF(INDEX(FTE_Allocation!$D$2:$D$201,$AB889)="PROJECT"," ("&amp;INDEX(FTE_Allocation!$E$2:$E$201,$AB889)&amp;")",""),"")))</f>
        <v/>
      </c>
      <c r="H889" s="7">
        <f>IF($Z889="C","CONTRACT",IF($Z889="A","ASSET",IF($Z889="F","WORKFORCE","")))</f>
        <v/>
      </c>
      <c r="I889" s="7">
        <f>IF($Z889="C",INDEX(Contracts!$L$2:$L$151,$AB889)&amp;"",IF($Z889="A",INDEX(Fixed_Assets!$I$2:$I$201,$AB889)&amp;"",IF($Z889="F",INDEX(Workforce!$G$2:$G$151,MATCH(INDEX(FTE_Allocation!$A$2:$A$201,$AB889),Workforce!$A$2:$A$151,0))&amp;"","")))</f>
        <v/>
      </c>
      <c r="J889" s="18">
        <f>IF($Z889="","",IF(AND(DATE($AD889,1,1)&gt;=$AE889,DATE($AD889,1,1)&lt;=$AF889),ROUND($AG889,2),0))</f>
        <v/>
      </c>
      <c r="K889" s="18">
        <f>IF($Z889="","",IF(AND(DATE($AD889,2,1)&gt;=$AE889,DATE($AD889,2,1)&lt;=$AF889),ROUND($AG889,2),0))</f>
        <v/>
      </c>
      <c r="L889" s="18">
        <f>IF($Z889="","",IF(AND(DATE($AD889,3,1)&gt;=$AE889,DATE($AD889,3,1)&lt;=$AF889),ROUND($AG889,2),0))</f>
        <v/>
      </c>
      <c r="M889" s="18">
        <f>IF($Z889="","",IF(AND(DATE($AD889,4,1)&gt;=$AE889,DATE($AD889,4,1)&lt;=$AF889),ROUND($AG889,2),0))</f>
        <v/>
      </c>
      <c r="N889" s="18">
        <f>IF($Z889="","",IF(AND(DATE($AD889,5,1)&gt;=$AE889,DATE($AD889,5,1)&lt;=$AF889),ROUND($AG889,2),0))</f>
        <v/>
      </c>
      <c r="O889" s="18">
        <f>IF($Z889="","",IF(AND(DATE($AD889,6,1)&gt;=$AE889,DATE($AD889,6,1)&lt;=$AF889),ROUND($AG889,2),0))</f>
        <v/>
      </c>
      <c r="P889" s="18">
        <f>IF($Z889="","",IF(AND(DATE($AD889,7,1)&gt;=$AE889,DATE($AD889,7,1)&lt;=$AF889),ROUND($AG889,2),0))</f>
        <v/>
      </c>
      <c r="Q889" s="18">
        <f>IF($Z889="","",IF(AND(DATE($AD889,8,1)&gt;=$AE889,DATE($AD889,8,1)&lt;=$AF889),ROUND($AG889,2),0))</f>
        <v/>
      </c>
      <c r="R889" s="18">
        <f>IF($Z889="","",IF(AND(DATE($AD889,9,1)&gt;=$AE889,DATE($AD889,9,1)&lt;=$AF889),ROUND($AG889,2),0))</f>
        <v/>
      </c>
      <c r="S889" s="18">
        <f>IF($Z889="","",IF(AND(DATE($AD889,10,1)&gt;=$AE889,DATE($AD889,10,1)&lt;=$AF889),ROUND($AG889,2),0))</f>
        <v/>
      </c>
      <c r="T889" s="18">
        <f>IF($Z889="","",IF(AND(DATE($AD889,11,1)&gt;=$AE889,DATE($AD889,11,1)&lt;=$AF889),ROUND($AG889,2),0))</f>
        <v/>
      </c>
      <c r="U889" s="18">
        <f>IF($Z889="","",IF(AND(DATE($AD889,12,1)&gt;=$AE889,DATE($AD889,12,1)&lt;=$AF889),ROUND($AG889,2),0))</f>
        <v/>
      </c>
      <c r="V889" s="7">
        <f>IF($Z889="C","Generated from "&amp;INDEX(Contracts!$A$2:$A$151,$AB889),IF($Z889="A","Generated from "&amp;INDEX(Fixed_Assets!$A$2:$A$201,$AB889),IF($Z889="F","Generated from "&amp;INDEX(FTE_Allocation!$A$2:$A$201,$AB889),"")))</f>
        <v/>
      </c>
      <c r="X889" s="19">
        <f>IF($Z889="","",SUM(J889:U889))</f>
        <v/>
      </c>
      <c r="Y889" s="20">
        <f>ROW()-1</f>
        <v/>
      </c>
      <c r="Z889" s="20">
        <f>IF($Y889&lt;=Settings!$B$4*3,"C",IF($Y889&lt;=(Settings!$B$4+Settings!$B$5)*3,"A",IF($Y889&lt;=(Settings!$B$4+Settings!$B$5+Settings!$B$6)*3,"F","")))</f>
        <v/>
      </c>
      <c r="AA889" s="20">
        <f>IF($Z889="C",$Y889,IF($Z889="A",$Y889-Settings!$B$4*3,IF($Z889="F",$Y889-(Settings!$B$4+Settings!$B$5)*3,"")))</f>
        <v/>
      </c>
      <c r="AB889" s="20">
        <f>IF($Z889="","",INT(($AA889-1)/3)+1)</f>
        <v/>
      </c>
      <c r="AC889" s="20">
        <f>IF($Z889="","",MOD($AA889-1,3)+1)</f>
        <v/>
      </c>
      <c r="AD889" s="20">
        <f>IF($Z889="","",Settings!$B$2+$AC889-1)</f>
        <v/>
      </c>
      <c r="AE889" s="21">
        <f>IF($Z889="C",DATE(YEAR(INDEX(Contracts!$J$2:$J$151,$AB889)),MONTH(INDEX(Contracts!$J$2:$J$151,$AB889)),1),IF($Z889="A",DATE(YEAR(INDEX(Fixed_Assets!$G$2:$G$201,$AB889)),MONTH(INDEX(Fixed_Assets!$G$2:$G$201,$AB889)),1),IF($Z889="F",DATE(YEAR(MAX(N(INDEX(Workforce!$I$2:$I$151,MATCH(INDEX(FTE_Allocation!$A$2:$A$201,$AB889),Workforce!$A$2:$A$151,0))),N(INDEX(FTE_Allocation!$I$2:$I$201,$AB889)))),MONTH(MAX(N(INDEX(Workforce!$I$2:$I$151,MATCH(INDEX(FTE_Allocation!$A$2:$A$201,$AB889),Workforce!$A$2:$A$151,0))),N(INDEX(FTE_Allocation!$I$2:$I$201,$AB889)))),1),"")))</f>
        <v/>
      </c>
      <c r="AF889" s="21">
        <f>IF($Z889="C",IF(INDEX(Contracts!$I$2:$I$151,$AB889)="PREPAID",EDATE(DATE(YEAR(INDEX(Contracts!$J$2:$J$151,$AB889)),MONTH(INDEX(Contracts!$J$2:$J$151,$AB889)),1),IF(INDEX(Contracts!$N$2:$N$151,$AB889)="",12,INDEX(Contracts!$N$2:$N$151,$AB889))-1),IF(INDEX(Contracts!$I$2:$I$151,$AB889)="MONTHLY",IF(INDEX(Contracts!$K$2:$K$151,$AB889)="",2958101,INDEX(Contracts!$K$2:$K$151,$AB889)),0)),IF($Z889="A",EDATE(DATE(YEAR(INDEX(Fixed_Assets!$G$2:$G$201,$AB889)),MONTH(INDEX(Fixed_Assets!$G$2:$G$201,$AB889)),1),INDEX(Fixed_Assets!$J$2:$J$201,$AB889)-1),IF($Z889="F",MIN(IF(INDEX(Workforce!$J$2:$J$151,MATCH(INDEX(FTE_Allocation!$A$2:$A$201,$AB889),Workforce!$A$2:$A$151,0))="",2958101,INDEX(Workforce!$J$2:$J$151,MATCH(INDEX(FTE_Allocation!$A$2:$A$201,$AB889),Workforce!$A$2:$A$151,0))),IF(INDEX(FTE_Allocation!$J$2:$J$201,$AB889)="",2958101,INDEX(FTE_Allocation!$J$2:$J$201,$AB889))),"")))</f>
        <v/>
      </c>
      <c r="AG889" s="19">
        <f>IF($Z889="C",IF(INDEX(Contracts!$I$2:$I$151,$AB889)="PREPAID",INDEX(Contracts!$M$2:$M$151,$AB889)/IF(INDEX(Contracts!$N$2:$N$151,$AB889)="",12,INDEX(Contracts!$N$2:$N$151,$AB889)),IF(INDEX(Contracts!$I$2:$I$151,$AB889)="MONTHLY",INDEX(Contracts!$M$2:$M$151,$AB889),0))*(1-N(INDEX(Contracts!$O$2:$O$151,$AB889))),IF($Z889="A",INDEX(Fixed_Assets!$H$2:$H$201,$AB889)/INDEX(Fixed_Assets!$J$2:$J$201,$AB889),IF($Z889="F",INDEX(Workforce!$F$2:$F$151,MATCH(INDEX(FTE_Allocation!$A$2:$A$201,$AB889),Workforce!$A$2:$A$151,0))*N(INDEX(FTE_Allocation!$F$2:$H$201,$AB889,$AC889)),"")))</f>
        <v/>
      </c>
    </row>
    <row r="890">
      <c r="A890" s="7">
        <f>IF($Z890="","",$AD890)</f>
        <v/>
      </c>
      <c r="B890" s="7">
        <f>IF($Z890="C",INDEX(Contracts!$D$2:$D$151,$AB890)&amp;"",IF($Z890="A",INDEX(Fixed_Assets!$C$2:$C$201,$AB890)&amp;"",IF($Z890="F",INDEX(Workforce!$B$2:$B$151,MATCH(INDEX(FTE_Allocation!$A$2:$A$201,$AB890),Workforce!$A$2:$A$151,0))&amp;"","")))</f>
        <v/>
      </c>
      <c r="C890" s="7">
        <f>IF($Z890="C",INDEX(Contracts!$E$2:$E$151,$AB890)&amp;"",IF($Z890="A",INDEX(Fixed_Assets!$D$2:$D$201,$AB890)&amp;"",IF($Z890="F",INDEX(FTE_Allocation!$C$2:$C$201,$AB890)&amp;"","")))</f>
        <v/>
      </c>
      <c r="D890" s="7">
        <f>IF($Z890="C",INDEX(Contracts!$B$2:$B$151,$AB890)&amp;"",IF($Z890="A",INDEX(Fixed_Assets!$B$2:$B$201,$AB890)&amp;"",IF($Z890="F",INDEX(FTE_Allocation!$B$2:$B$201,$AB890)&amp;"","")))</f>
        <v/>
      </c>
      <c r="E890" s="7">
        <f>IF($Z890="C",INDEX(Contracts!$P$2:$P$151,$AB890)&amp;"",IF($Z890="A",INDEX(Fixed_Assets!$K$2:$K$201,$AB890)&amp;"",IF($Z890="F",IF(INDEX(FTE_Allocation!$D$2:$D$201,$AB890)="PROJECT",IFERROR(INDEX(Projects!$D:$D,MATCH(INDEX(FTE_Allocation!$E$2:$E$201,$AB890),Projects!$A:$A,0))&amp;"","#PROJECT?"),INDEX(FTE_Allocation!$E$2:$E$201,$AB890)&amp;""),"")))</f>
        <v/>
      </c>
      <c r="F890" s="7">
        <f>IF($Z890="C",INDEX(Contracts!$Q$2:$Q$151,$AB890)&amp;"",IF($Z890="A",INDEX(Fixed_Assets!$L$2:$L$201,$AB890)&amp;"",IF($Z890="F",INDEX(Workforce!$K$2:$K$151,MATCH(INDEX(FTE_Allocation!$A$2:$A$201,$AB890),Workforce!$A$2:$A$151,0))&amp;"","")))</f>
        <v/>
      </c>
      <c r="G890" s="7">
        <f>IF($Z890="C",INDEX(Contracts!$F$2:$F$151,$AB890)&amp;" / "&amp;INDEX(Contracts!$G$2:$G$151,$AB890),IF($Z890="A",INDEX(Fixed_Assets!$E$2:$E$201,$AB890)&amp;"",IF($Z890="F","Personnel "&amp;INDEX(FTE_Allocation!$A$2:$A$201,$AB890)&amp;IF(INDEX(FTE_Allocation!$D$2:$D$201,$AB890)="PROJECT"," ("&amp;INDEX(FTE_Allocation!$E$2:$E$201,$AB890)&amp;")",""),"")))</f>
        <v/>
      </c>
      <c r="H890" s="7">
        <f>IF($Z890="C","CONTRACT",IF($Z890="A","ASSET",IF($Z890="F","WORKFORCE","")))</f>
        <v/>
      </c>
      <c r="I890" s="7">
        <f>IF($Z890="C",INDEX(Contracts!$L$2:$L$151,$AB890)&amp;"",IF($Z890="A",INDEX(Fixed_Assets!$I$2:$I$201,$AB890)&amp;"",IF($Z890="F",INDEX(Workforce!$G$2:$G$151,MATCH(INDEX(FTE_Allocation!$A$2:$A$201,$AB890),Workforce!$A$2:$A$151,0))&amp;"","")))</f>
        <v/>
      </c>
      <c r="J890" s="18">
        <f>IF($Z890="","",IF(AND(DATE($AD890,1,1)&gt;=$AE890,DATE($AD890,1,1)&lt;=$AF890),ROUND($AG890,2),0))</f>
        <v/>
      </c>
      <c r="K890" s="18">
        <f>IF($Z890="","",IF(AND(DATE($AD890,2,1)&gt;=$AE890,DATE($AD890,2,1)&lt;=$AF890),ROUND($AG890,2),0))</f>
        <v/>
      </c>
      <c r="L890" s="18">
        <f>IF($Z890="","",IF(AND(DATE($AD890,3,1)&gt;=$AE890,DATE($AD890,3,1)&lt;=$AF890),ROUND($AG890,2),0))</f>
        <v/>
      </c>
      <c r="M890" s="18">
        <f>IF($Z890="","",IF(AND(DATE($AD890,4,1)&gt;=$AE890,DATE($AD890,4,1)&lt;=$AF890),ROUND($AG890,2),0))</f>
        <v/>
      </c>
      <c r="N890" s="18">
        <f>IF($Z890="","",IF(AND(DATE($AD890,5,1)&gt;=$AE890,DATE($AD890,5,1)&lt;=$AF890),ROUND($AG890,2),0))</f>
        <v/>
      </c>
      <c r="O890" s="18">
        <f>IF($Z890="","",IF(AND(DATE($AD890,6,1)&gt;=$AE890,DATE($AD890,6,1)&lt;=$AF890),ROUND($AG890,2),0))</f>
        <v/>
      </c>
      <c r="P890" s="18">
        <f>IF($Z890="","",IF(AND(DATE($AD890,7,1)&gt;=$AE890,DATE($AD890,7,1)&lt;=$AF890),ROUND($AG890,2),0))</f>
        <v/>
      </c>
      <c r="Q890" s="18">
        <f>IF($Z890="","",IF(AND(DATE($AD890,8,1)&gt;=$AE890,DATE($AD890,8,1)&lt;=$AF890),ROUND($AG890,2),0))</f>
        <v/>
      </c>
      <c r="R890" s="18">
        <f>IF($Z890="","",IF(AND(DATE($AD890,9,1)&gt;=$AE890,DATE($AD890,9,1)&lt;=$AF890),ROUND($AG890,2),0))</f>
        <v/>
      </c>
      <c r="S890" s="18">
        <f>IF($Z890="","",IF(AND(DATE($AD890,10,1)&gt;=$AE890,DATE($AD890,10,1)&lt;=$AF890),ROUND($AG890,2),0))</f>
        <v/>
      </c>
      <c r="T890" s="18">
        <f>IF($Z890="","",IF(AND(DATE($AD890,11,1)&gt;=$AE890,DATE($AD890,11,1)&lt;=$AF890),ROUND($AG890,2),0))</f>
        <v/>
      </c>
      <c r="U890" s="18">
        <f>IF($Z890="","",IF(AND(DATE($AD890,12,1)&gt;=$AE890,DATE($AD890,12,1)&lt;=$AF890),ROUND($AG890,2),0))</f>
        <v/>
      </c>
      <c r="V890" s="7">
        <f>IF($Z890="C","Generated from "&amp;INDEX(Contracts!$A$2:$A$151,$AB890),IF($Z890="A","Generated from "&amp;INDEX(Fixed_Assets!$A$2:$A$201,$AB890),IF($Z890="F","Generated from "&amp;INDEX(FTE_Allocation!$A$2:$A$201,$AB890),"")))</f>
        <v/>
      </c>
      <c r="X890" s="19">
        <f>IF($Z890="","",SUM(J890:U890))</f>
        <v/>
      </c>
      <c r="Y890" s="20">
        <f>ROW()-1</f>
        <v/>
      </c>
      <c r="Z890" s="20">
        <f>IF($Y890&lt;=Settings!$B$4*3,"C",IF($Y890&lt;=(Settings!$B$4+Settings!$B$5)*3,"A",IF($Y890&lt;=(Settings!$B$4+Settings!$B$5+Settings!$B$6)*3,"F","")))</f>
        <v/>
      </c>
      <c r="AA890" s="20">
        <f>IF($Z890="C",$Y890,IF($Z890="A",$Y890-Settings!$B$4*3,IF($Z890="F",$Y890-(Settings!$B$4+Settings!$B$5)*3,"")))</f>
        <v/>
      </c>
      <c r="AB890" s="20">
        <f>IF($Z890="","",INT(($AA890-1)/3)+1)</f>
        <v/>
      </c>
      <c r="AC890" s="20">
        <f>IF($Z890="","",MOD($AA890-1,3)+1)</f>
        <v/>
      </c>
      <c r="AD890" s="20">
        <f>IF($Z890="","",Settings!$B$2+$AC890-1)</f>
        <v/>
      </c>
      <c r="AE890" s="21">
        <f>IF($Z890="C",DATE(YEAR(INDEX(Contracts!$J$2:$J$151,$AB890)),MONTH(INDEX(Contracts!$J$2:$J$151,$AB890)),1),IF($Z890="A",DATE(YEAR(INDEX(Fixed_Assets!$G$2:$G$201,$AB890)),MONTH(INDEX(Fixed_Assets!$G$2:$G$201,$AB890)),1),IF($Z890="F",DATE(YEAR(MAX(N(INDEX(Workforce!$I$2:$I$151,MATCH(INDEX(FTE_Allocation!$A$2:$A$201,$AB890),Workforce!$A$2:$A$151,0))),N(INDEX(FTE_Allocation!$I$2:$I$201,$AB890)))),MONTH(MAX(N(INDEX(Workforce!$I$2:$I$151,MATCH(INDEX(FTE_Allocation!$A$2:$A$201,$AB890),Workforce!$A$2:$A$151,0))),N(INDEX(FTE_Allocation!$I$2:$I$201,$AB890)))),1),"")))</f>
        <v/>
      </c>
      <c r="AF890" s="21">
        <f>IF($Z890="C",IF(INDEX(Contracts!$I$2:$I$151,$AB890)="PREPAID",EDATE(DATE(YEAR(INDEX(Contracts!$J$2:$J$151,$AB890)),MONTH(INDEX(Contracts!$J$2:$J$151,$AB890)),1),IF(INDEX(Contracts!$N$2:$N$151,$AB890)="",12,INDEX(Contracts!$N$2:$N$151,$AB890))-1),IF(INDEX(Contracts!$I$2:$I$151,$AB890)="MONTHLY",IF(INDEX(Contracts!$K$2:$K$151,$AB890)="",2958101,INDEX(Contracts!$K$2:$K$151,$AB890)),0)),IF($Z890="A",EDATE(DATE(YEAR(INDEX(Fixed_Assets!$G$2:$G$201,$AB890)),MONTH(INDEX(Fixed_Assets!$G$2:$G$201,$AB890)),1),INDEX(Fixed_Assets!$J$2:$J$201,$AB890)-1),IF($Z890="F",MIN(IF(INDEX(Workforce!$J$2:$J$151,MATCH(INDEX(FTE_Allocation!$A$2:$A$201,$AB890),Workforce!$A$2:$A$151,0))="",2958101,INDEX(Workforce!$J$2:$J$151,MATCH(INDEX(FTE_Allocation!$A$2:$A$201,$AB890),Workforce!$A$2:$A$151,0))),IF(INDEX(FTE_Allocation!$J$2:$J$201,$AB890)="",2958101,INDEX(FTE_Allocation!$J$2:$J$201,$AB890))),"")))</f>
        <v/>
      </c>
      <c r="AG890" s="19">
        <f>IF($Z890="C",IF(INDEX(Contracts!$I$2:$I$151,$AB890)="PREPAID",INDEX(Contracts!$M$2:$M$151,$AB890)/IF(INDEX(Contracts!$N$2:$N$151,$AB890)="",12,INDEX(Contracts!$N$2:$N$151,$AB890)),IF(INDEX(Contracts!$I$2:$I$151,$AB890)="MONTHLY",INDEX(Contracts!$M$2:$M$151,$AB890),0))*(1-N(INDEX(Contracts!$O$2:$O$151,$AB890))),IF($Z890="A",INDEX(Fixed_Assets!$H$2:$H$201,$AB890)/INDEX(Fixed_Assets!$J$2:$J$201,$AB890),IF($Z890="F",INDEX(Workforce!$F$2:$F$151,MATCH(INDEX(FTE_Allocation!$A$2:$A$201,$AB890),Workforce!$A$2:$A$151,0))*N(INDEX(FTE_Allocation!$F$2:$H$201,$AB890,$AC890)),"")))</f>
        <v/>
      </c>
    </row>
    <row r="891">
      <c r="A891" s="7">
        <f>IF($Z891="","",$AD891)</f>
        <v/>
      </c>
      <c r="B891" s="7">
        <f>IF($Z891="C",INDEX(Contracts!$D$2:$D$151,$AB891)&amp;"",IF($Z891="A",INDEX(Fixed_Assets!$C$2:$C$201,$AB891)&amp;"",IF($Z891="F",INDEX(Workforce!$B$2:$B$151,MATCH(INDEX(FTE_Allocation!$A$2:$A$201,$AB891),Workforce!$A$2:$A$151,0))&amp;"","")))</f>
        <v/>
      </c>
      <c r="C891" s="7">
        <f>IF($Z891="C",INDEX(Contracts!$E$2:$E$151,$AB891)&amp;"",IF($Z891="A",INDEX(Fixed_Assets!$D$2:$D$201,$AB891)&amp;"",IF($Z891="F",INDEX(FTE_Allocation!$C$2:$C$201,$AB891)&amp;"","")))</f>
        <v/>
      </c>
      <c r="D891" s="7">
        <f>IF($Z891="C",INDEX(Contracts!$B$2:$B$151,$AB891)&amp;"",IF($Z891="A",INDEX(Fixed_Assets!$B$2:$B$201,$AB891)&amp;"",IF($Z891="F",INDEX(FTE_Allocation!$B$2:$B$201,$AB891)&amp;"","")))</f>
        <v/>
      </c>
      <c r="E891" s="7">
        <f>IF($Z891="C",INDEX(Contracts!$P$2:$P$151,$AB891)&amp;"",IF($Z891="A",INDEX(Fixed_Assets!$K$2:$K$201,$AB891)&amp;"",IF($Z891="F",IF(INDEX(FTE_Allocation!$D$2:$D$201,$AB891)="PROJECT",IFERROR(INDEX(Projects!$D:$D,MATCH(INDEX(FTE_Allocation!$E$2:$E$201,$AB891),Projects!$A:$A,0))&amp;"","#PROJECT?"),INDEX(FTE_Allocation!$E$2:$E$201,$AB891)&amp;""),"")))</f>
        <v/>
      </c>
      <c r="F891" s="7">
        <f>IF($Z891="C",INDEX(Contracts!$Q$2:$Q$151,$AB891)&amp;"",IF($Z891="A",INDEX(Fixed_Assets!$L$2:$L$201,$AB891)&amp;"",IF($Z891="F",INDEX(Workforce!$K$2:$K$151,MATCH(INDEX(FTE_Allocation!$A$2:$A$201,$AB891),Workforce!$A$2:$A$151,0))&amp;"","")))</f>
        <v/>
      </c>
      <c r="G891" s="7">
        <f>IF($Z891="C",INDEX(Contracts!$F$2:$F$151,$AB891)&amp;" / "&amp;INDEX(Contracts!$G$2:$G$151,$AB891),IF($Z891="A",INDEX(Fixed_Assets!$E$2:$E$201,$AB891)&amp;"",IF($Z891="F","Personnel "&amp;INDEX(FTE_Allocation!$A$2:$A$201,$AB891)&amp;IF(INDEX(FTE_Allocation!$D$2:$D$201,$AB891)="PROJECT"," ("&amp;INDEX(FTE_Allocation!$E$2:$E$201,$AB891)&amp;")",""),"")))</f>
        <v/>
      </c>
      <c r="H891" s="7">
        <f>IF($Z891="C","CONTRACT",IF($Z891="A","ASSET",IF($Z891="F","WORKFORCE","")))</f>
        <v/>
      </c>
      <c r="I891" s="7">
        <f>IF($Z891="C",INDEX(Contracts!$L$2:$L$151,$AB891)&amp;"",IF($Z891="A",INDEX(Fixed_Assets!$I$2:$I$201,$AB891)&amp;"",IF($Z891="F",INDEX(Workforce!$G$2:$G$151,MATCH(INDEX(FTE_Allocation!$A$2:$A$201,$AB891),Workforce!$A$2:$A$151,0))&amp;"","")))</f>
        <v/>
      </c>
      <c r="J891" s="18">
        <f>IF($Z891="","",IF(AND(DATE($AD891,1,1)&gt;=$AE891,DATE($AD891,1,1)&lt;=$AF891),ROUND($AG891,2),0))</f>
        <v/>
      </c>
      <c r="K891" s="18">
        <f>IF($Z891="","",IF(AND(DATE($AD891,2,1)&gt;=$AE891,DATE($AD891,2,1)&lt;=$AF891),ROUND($AG891,2),0))</f>
        <v/>
      </c>
      <c r="L891" s="18">
        <f>IF($Z891="","",IF(AND(DATE($AD891,3,1)&gt;=$AE891,DATE($AD891,3,1)&lt;=$AF891),ROUND($AG891,2),0))</f>
        <v/>
      </c>
      <c r="M891" s="18">
        <f>IF($Z891="","",IF(AND(DATE($AD891,4,1)&gt;=$AE891,DATE($AD891,4,1)&lt;=$AF891),ROUND($AG891,2),0))</f>
        <v/>
      </c>
      <c r="N891" s="18">
        <f>IF($Z891="","",IF(AND(DATE($AD891,5,1)&gt;=$AE891,DATE($AD891,5,1)&lt;=$AF891),ROUND($AG891,2),0))</f>
        <v/>
      </c>
      <c r="O891" s="18">
        <f>IF($Z891="","",IF(AND(DATE($AD891,6,1)&gt;=$AE891,DATE($AD891,6,1)&lt;=$AF891),ROUND($AG891,2),0))</f>
        <v/>
      </c>
      <c r="P891" s="18">
        <f>IF($Z891="","",IF(AND(DATE($AD891,7,1)&gt;=$AE891,DATE($AD891,7,1)&lt;=$AF891),ROUND($AG891,2),0))</f>
        <v/>
      </c>
      <c r="Q891" s="18">
        <f>IF($Z891="","",IF(AND(DATE($AD891,8,1)&gt;=$AE891,DATE($AD891,8,1)&lt;=$AF891),ROUND($AG891,2),0))</f>
        <v/>
      </c>
      <c r="R891" s="18">
        <f>IF($Z891="","",IF(AND(DATE($AD891,9,1)&gt;=$AE891,DATE($AD891,9,1)&lt;=$AF891),ROUND($AG891,2),0))</f>
        <v/>
      </c>
      <c r="S891" s="18">
        <f>IF($Z891="","",IF(AND(DATE($AD891,10,1)&gt;=$AE891,DATE($AD891,10,1)&lt;=$AF891),ROUND($AG891,2),0))</f>
        <v/>
      </c>
      <c r="T891" s="18">
        <f>IF($Z891="","",IF(AND(DATE($AD891,11,1)&gt;=$AE891,DATE($AD891,11,1)&lt;=$AF891),ROUND($AG891,2),0))</f>
        <v/>
      </c>
      <c r="U891" s="18">
        <f>IF($Z891="","",IF(AND(DATE($AD891,12,1)&gt;=$AE891,DATE($AD891,12,1)&lt;=$AF891),ROUND($AG891,2),0))</f>
        <v/>
      </c>
      <c r="V891" s="7">
        <f>IF($Z891="C","Generated from "&amp;INDEX(Contracts!$A$2:$A$151,$AB891),IF($Z891="A","Generated from "&amp;INDEX(Fixed_Assets!$A$2:$A$201,$AB891),IF($Z891="F","Generated from "&amp;INDEX(FTE_Allocation!$A$2:$A$201,$AB891),"")))</f>
        <v/>
      </c>
      <c r="X891" s="19">
        <f>IF($Z891="","",SUM(J891:U891))</f>
        <v/>
      </c>
      <c r="Y891" s="20">
        <f>ROW()-1</f>
        <v/>
      </c>
      <c r="Z891" s="20">
        <f>IF($Y891&lt;=Settings!$B$4*3,"C",IF($Y891&lt;=(Settings!$B$4+Settings!$B$5)*3,"A",IF($Y891&lt;=(Settings!$B$4+Settings!$B$5+Settings!$B$6)*3,"F","")))</f>
        <v/>
      </c>
      <c r="AA891" s="20">
        <f>IF($Z891="C",$Y891,IF($Z891="A",$Y891-Settings!$B$4*3,IF($Z891="F",$Y891-(Settings!$B$4+Settings!$B$5)*3,"")))</f>
        <v/>
      </c>
      <c r="AB891" s="20">
        <f>IF($Z891="","",INT(($AA891-1)/3)+1)</f>
        <v/>
      </c>
      <c r="AC891" s="20">
        <f>IF($Z891="","",MOD($AA891-1,3)+1)</f>
        <v/>
      </c>
      <c r="AD891" s="20">
        <f>IF($Z891="","",Settings!$B$2+$AC891-1)</f>
        <v/>
      </c>
      <c r="AE891" s="21">
        <f>IF($Z891="C",DATE(YEAR(INDEX(Contracts!$J$2:$J$151,$AB891)),MONTH(INDEX(Contracts!$J$2:$J$151,$AB891)),1),IF($Z891="A",DATE(YEAR(INDEX(Fixed_Assets!$G$2:$G$201,$AB891)),MONTH(INDEX(Fixed_Assets!$G$2:$G$201,$AB891)),1),IF($Z891="F",DATE(YEAR(MAX(N(INDEX(Workforce!$I$2:$I$151,MATCH(INDEX(FTE_Allocation!$A$2:$A$201,$AB891),Workforce!$A$2:$A$151,0))),N(INDEX(FTE_Allocation!$I$2:$I$201,$AB891)))),MONTH(MAX(N(INDEX(Workforce!$I$2:$I$151,MATCH(INDEX(FTE_Allocation!$A$2:$A$201,$AB891),Workforce!$A$2:$A$151,0))),N(INDEX(FTE_Allocation!$I$2:$I$201,$AB891)))),1),"")))</f>
        <v/>
      </c>
      <c r="AF891" s="21">
        <f>IF($Z891="C",IF(INDEX(Contracts!$I$2:$I$151,$AB891)="PREPAID",EDATE(DATE(YEAR(INDEX(Contracts!$J$2:$J$151,$AB891)),MONTH(INDEX(Contracts!$J$2:$J$151,$AB891)),1),IF(INDEX(Contracts!$N$2:$N$151,$AB891)="",12,INDEX(Contracts!$N$2:$N$151,$AB891))-1),IF(INDEX(Contracts!$I$2:$I$151,$AB891)="MONTHLY",IF(INDEX(Contracts!$K$2:$K$151,$AB891)="",2958101,INDEX(Contracts!$K$2:$K$151,$AB891)),0)),IF($Z891="A",EDATE(DATE(YEAR(INDEX(Fixed_Assets!$G$2:$G$201,$AB891)),MONTH(INDEX(Fixed_Assets!$G$2:$G$201,$AB891)),1),INDEX(Fixed_Assets!$J$2:$J$201,$AB891)-1),IF($Z891="F",MIN(IF(INDEX(Workforce!$J$2:$J$151,MATCH(INDEX(FTE_Allocation!$A$2:$A$201,$AB891),Workforce!$A$2:$A$151,0))="",2958101,INDEX(Workforce!$J$2:$J$151,MATCH(INDEX(FTE_Allocation!$A$2:$A$201,$AB891),Workforce!$A$2:$A$151,0))),IF(INDEX(FTE_Allocation!$J$2:$J$201,$AB891)="",2958101,INDEX(FTE_Allocation!$J$2:$J$201,$AB891))),"")))</f>
        <v/>
      </c>
      <c r="AG891" s="19">
        <f>IF($Z891="C",IF(INDEX(Contracts!$I$2:$I$151,$AB891)="PREPAID",INDEX(Contracts!$M$2:$M$151,$AB891)/IF(INDEX(Contracts!$N$2:$N$151,$AB891)="",12,INDEX(Contracts!$N$2:$N$151,$AB891)),IF(INDEX(Contracts!$I$2:$I$151,$AB891)="MONTHLY",INDEX(Contracts!$M$2:$M$151,$AB891),0))*(1-N(INDEX(Contracts!$O$2:$O$151,$AB891))),IF($Z891="A",INDEX(Fixed_Assets!$H$2:$H$201,$AB891)/INDEX(Fixed_Assets!$J$2:$J$201,$AB891),IF($Z891="F",INDEX(Workforce!$F$2:$F$151,MATCH(INDEX(FTE_Allocation!$A$2:$A$201,$AB891),Workforce!$A$2:$A$151,0))*N(INDEX(FTE_Allocation!$F$2:$H$201,$AB891,$AC891)),"")))</f>
        <v/>
      </c>
    </row>
    <row r="892">
      <c r="A892" s="7">
        <f>IF($Z892="","",$AD892)</f>
        <v/>
      </c>
      <c r="B892" s="7">
        <f>IF($Z892="C",INDEX(Contracts!$D$2:$D$151,$AB892)&amp;"",IF($Z892="A",INDEX(Fixed_Assets!$C$2:$C$201,$AB892)&amp;"",IF($Z892="F",INDEX(Workforce!$B$2:$B$151,MATCH(INDEX(FTE_Allocation!$A$2:$A$201,$AB892),Workforce!$A$2:$A$151,0))&amp;"","")))</f>
        <v/>
      </c>
      <c r="C892" s="7">
        <f>IF($Z892="C",INDEX(Contracts!$E$2:$E$151,$AB892)&amp;"",IF($Z892="A",INDEX(Fixed_Assets!$D$2:$D$201,$AB892)&amp;"",IF($Z892="F",INDEX(FTE_Allocation!$C$2:$C$201,$AB892)&amp;"","")))</f>
        <v/>
      </c>
      <c r="D892" s="7">
        <f>IF($Z892="C",INDEX(Contracts!$B$2:$B$151,$AB892)&amp;"",IF($Z892="A",INDEX(Fixed_Assets!$B$2:$B$201,$AB892)&amp;"",IF($Z892="F",INDEX(FTE_Allocation!$B$2:$B$201,$AB892)&amp;"","")))</f>
        <v/>
      </c>
      <c r="E892" s="7">
        <f>IF($Z892="C",INDEX(Contracts!$P$2:$P$151,$AB892)&amp;"",IF($Z892="A",INDEX(Fixed_Assets!$K$2:$K$201,$AB892)&amp;"",IF($Z892="F",IF(INDEX(FTE_Allocation!$D$2:$D$201,$AB892)="PROJECT",IFERROR(INDEX(Projects!$D:$D,MATCH(INDEX(FTE_Allocation!$E$2:$E$201,$AB892),Projects!$A:$A,0))&amp;"","#PROJECT?"),INDEX(FTE_Allocation!$E$2:$E$201,$AB892)&amp;""),"")))</f>
        <v/>
      </c>
      <c r="F892" s="7">
        <f>IF($Z892="C",INDEX(Contracts!$Q$2:$Q$151,$AB892)&amp;"",IF($Z892="A",INDEX(Fixed_Assets!$L$2:$L$201,$AB892)&amp;"",IF($Z892="F",INDEX(Workforce!$K$2:$K$151,MATCH(INDEX(FTE_Allocation!$A$2:$A$201,$AB892),Workforce!$A$2:$A$151,0))&amp;"","")))</f>
        <v/>
      </c>
      <c r="G892" s="7">
        <f>IF($Z892="C",INDEX(Contracts!$F$2:$F$151,$AB892)&amp;" / "&amp;INDEX(Contracts!$G$2:$G$151,$AB892),IF($Z892="A",INDEX(Fixed_Assets!$E$2:$E$201,$AB892)&amp;"",IF($Z892="F","Personnel "&amp;INDEX(FTE_Allocation!$A$2:$A$201,$AB892)&amp;IF(INDEX(FTE_Allocation!$D$2:$D$201,$AB892)="PROJECT"," ("&amp;INDEX(FTE_Allocation!$E$2:$E$201,$AB892)&amp;")",""),"")))</f>
        <v/>
      </c>
      <c r="H892" s="7">
        <f>IF($Z892="C","CONTRACT",IF($Z892="A","ASSET",IF($Z892="F","WORKFORCE","")))</f>
        <v/>
      </c>
      <c r="I892" s="7">
        <f>IF($Z892="C",INDEX(Contracts!$L$2:$L$151,$AB892)&amp;"",IF($Z892="A",INDEX(Fixed_Assets!$I$2:$I$201,$AB892)&amp;"",IF($Z892="F",INDEX(Workforce!$G$2:$G$151,MATCH(INDEX(FTE_Allocation!$A$2:$A$201,$AB892),Workforce!$A$2:$A$151,0))&amp;"","")))</f>
        <v/>
      </c>
      <c r="J892" s="18">
        <f>IF($Z892="","",IF(AND(DATE($AD892,1,1)&gt;=$AE892,DATE($AD892,1,1)&lt;=$AF892),ROUND($AG892,2),0))</f>
        <v/>
      </c>
      <c r="K892" s="18">
        <f>IF($Z892="","",IF(AND(DATE($AD892,2,1)&gt;=$AE892,DATE($AD892,2,1)&lt;=$AF892),ROUND($AG892,2),0))</f>
        <v/>
      </c>
      <c r="L892" s="18">
        <f>IF($Z892="","",IF(AND(DATE($AD892,3,1)&gt;=$AE892,DATE($AD892,3,1)&lt;=$AF892),ROUND($AG892,2),0))</f>
        <v/>
      </c>
      <c r="M892" s="18">
        <f>IF($Z892="","",IF(AND(DATE($AD892,4,1)&gt;=$AE892,DATE($AD892,4,1)&lt;=$AF892),ROUND($AG892,2),0))</f>
        <v/>
      </c>
      <c r="N892" s="18">
        <f>IF($Z892="","",IF(AND(DATE($AD892,5,1)&gt;=$AE892,DATE($AD892,5,1)&lt;=$AF892),ROUND($AG892,2),0))</f>
        <v/>
      </c>
      <c r="O892" s="18">
        <f>IF($Z892="","",IF(AND(DATE($AD892,6,1)&gt;=$AE892,DATE($AD892,6,1)&lt;=$AF892),ROUND($AG892,2),0))</f>
        <v/>
      </c>
      <c r="P892" s="18">
        <f>IF($Z892="","",IF(AND(DATE($AD892,7,1)&gt;=$AE892,DATE($AD892,7,1)&lt;=$AF892),ROUND($AG892,2),0))</f>
        <v/>
      </c>
      <c r="Q892" s="18">
        <f>IF($Z892="","",IF(AND(DATE($AD892,8,1)&gt;=$AE892,DATE($AD892,8,1)&lt;=$AF892),ROUND($AG892,2),0))</f>
        <v/>
      </c>
      <c r="R892" s="18">
        <f>IF($Z892="","",IF(AND(DATE($AD892,9,1)&gt;=$AE892,DATE($AD892,9,1)&lt;=$AF892),ROUND($AG892,2),0))</f>
        <v/>
      </c>
      <c r="S892" s="18">
        <f>IF($Z892="","",IF(AND(DATE($AD892,10,1)&gt;=$AE892,DATE($AD892,10,1)&lt;=$AF892),ROUND($AG892,2),0))</f>
        <v/>
      </c>
      <c r="T892" s="18">
        <f>IF($Z892="","",IF(AND(DATE($AD892,11,1)&gt;=$AE892,DATE($AD892,11,1)&lt;=$AF892),ROUND($AG892,2),0))</f>
        <v/>
      </c>
      <c r="U892" s="18">
        <f>IF($Z892="","",IF(AND(DATE($AD892,12,1)&gt;=$AE892,DATE($AD892,12,1)&lt;=$AF892),ROUND($AG892,2),0))</f>
        <v/>
      </c>
      <c r="V892" s="7">
        <f>IF($Z892="C","Generated from "&amp;INDEX(Contracts!$A$2:$A$151,$AB892),IF($Z892="A","Generated from "&amp;INDEX(Fixed_Assets!$A$2:$A$201,$AB892),IF($Z892="F","Generated from "&amp;INDEX(FTE_Allocation!$A$2:$A$201,$AB892),"")))</f>
        <v/>
      </c>
      <c r="X892" s="19">
        <f>IF($Z892="","",SUM(J892:U892))</f>
        <v/>
      </c>
      <c r="Y892" s="20">
        <f>ROW()-1</f>
        <v/>
      </c>
      <c r="Z892" s="20">
        <f>IF($Y892&lt;=Settings!$B$4*3,"C",IF($Y892&lt;=(Settings!$B$4+Settings!$B$5)*3,"A",IF($Y892&lt;=(Settings!$B$4+Settings!$B$5+Settings!$B$6)*3,"F","")))</f>
        <v/>
      </c>
      <c r="AA892" s="20">
        <f>IF($Z892="C",$Y892,IF($Z892="A",$Y892-Settings!$B$4*3,IF($Z892="F",$Y892-(Settings!$B$4+Settings!$B$5)*3,"")))</f>
        <v/>
      </c>
      <c r="AB892" s="20">
        <f>IF($Z892="","",INT(($AA892-1)/3)+1)</f>
        <v/>
      </c>
      <c r="AC892" s="20">
        <f>IF($Z892="","",MOD($AA892-1,3)+1)</f>
        <v/>
      </c>
      <c r="AD892" s="20">
        <f>IF($Z892="","",Settings!$B$2+$AC892-1)</f>
        <v/>
      </c>
      <c r="AE892" s="21">
        <f>IF($Z892="C",DATE(YEAR(INDEX(Contracts!$J$2:$J$151,$AB892)),MONTH(INDEX(Contracts!$J$2:$J$151,$AB892)),1),IF($Z892="A",DATE(YEAR(INDEX(Fixed_Assets!$G$2:$G$201,$AB892)),MONTH(INDEX(Fixed_Assets!$G$2:$G$201,$AB892)),1),IF($Z892="F",DATE(YEAR(MAX(N(INDEX(Workforce!$I$2:$I$151,MATCH(INDEX(FTE_Allocation!$A$2:$A$201,$AB892),Workforce!$A$2:$A$151,0))),N(INDEX(FTE_Allocation!$I$2:$I$201,$AB892)))),MONTH(MAX(N(INDEX(Workforce!$I$2:$I$151,MATCH(INDEX(FTE_Allocation!$A$2:$A$201,$AB892),Workforce!$A$2:$A$151,0))),N(INDEX(FTE_Allocation!$I$2:$I$201,$AB892)))),1),"")))</f>
        <v/>
      </c>
      <c r="AF892" s="21">
        <f>IF($Z892="C",IF(INDEX(Contracts!$I$2:$I$151,$AB892)="PREPAID",EDATE(DATE(YEAR(INDEX(Contracts!$J$2:$J$151,$AB892)),MONTH(INDEX(Contracts!$J$2:$J$151,$AB892)),1),IF(INDEX(Contracts!$N$2:$N$151,$AB892)="",12,INDEX(Contracts!$N$2:$N$151,$AB892))-1),IF(INDEX(Contracts!$I$2:$I$151,$AB892)="MONTHLY",IF(INDEX(Contracts!$K$2:$K$151,$AB892)="",2958101,INDEX(Contracts!$K$2:$K$151,$AB892)),0)),IF($Z892="A",EDATE(DATE(YEAR(INDEX(Fixed_Assets!$G$2:$G$201,$AB892)),MONTH(INDEX(Fixed_Assets!$G$2:$G$201,$AB892)),1),INDEX(Fixed_Assets!$J$2:$J$201,$AB892)-1),IF($Z892="F",MIN(IF(INDEX(Workforce!$J$2:$J$151,MATCH(INDEX(FTE_Allocation!$A$2:$A$201,$AB892),Workforce!$A$2:$A$151,0))="",2958101,INDEX(Workforce!$J$2:$J$151,MATCH(INDEX(FTE_Allocation!$A$2:$A$201,$AB892),Workforce!$A$2:$A$151,0))),IF(INDEX(FTE_Allocation!$J$2:$J$201,$AB892)="",2958101,INDEX(FTE_Allocation!$J$2:$J$201,$AB892))),"")))</f>
        <v/>
      </c>
      <c r="AG892" s="19">
        <f>IF($Z892="C",IF(INDEX(Contracts!$I$2:$I$151,$AB892)="PREPAID",INDEX(Contracts!$M$2:$M$151,$AB892)/IF(INDEX(Contracts!$N$2:$N$151,$AB892)="",12,INDEX(Contracts!$N$2:$N$151,$AB892)),IF(INDEX(Contracts!$I$2:$I$151,$AB892)="MONTHLY",INDEX(Contracts!$M$2:$M$151,$AB892),0))*(1-N(INDEX(Contracts!$O$2:$O$151,$AB892))),IF($Z892="A",INDEX(Fixed_Assets!$H$2:$H$201,$AB892)/INDEX(Fixed_Assets!$J$2:$J$201,$AB892),IF($Z892="F",INDEX(Workforce!$F$2:$F$151,MATCH(INDEX(FTE_Allocation!$A$2:$A$201,$AB892),Workforce!$A$2:$A$151,0))*N(INDEX(FTE_Allocation!$F$2:$H$201,$AB892,$AC892)),"")))</f>
        <v/>
      </c>
    </row>
    <row r="893">
      <c r="A893" s="7">
        <f>IF($Z893="","",$AD893)</f>
        <v/>
      </c>
      <c r="B893" s="7">
        <f>IF($Z893="C",INDEX(Contracts!$D$2:$D$151,$AB893)&amp;"",IF($Z893="A",INDEX(Fixed_Assets!$C$2:$C$201,$AB893)&amp;"",IF($Z893="F",INDEX(Workforce!$B$2:$B$151,MATCH(INDEX(FTE_Allocation!$A$2:$A$201,$AB893),Workforce!$A$2:$A$151,0))&amp;"","")))</f>
        <v/>
      </c>
      <c r="C893" s="7">
        <f>IF($Z893="C",INDEX(Contracts!$E$2:$E$151,$AB893)&amp;"",IF($Z893="A",INDEX(Fixed_Assets!$D$2:$D$201,$AB893)&amp;"",IF($Z893="F",INDEX(FTE_Allocation!$C$2:$C$201,$AB893)&amp;"","")))</f>
        <v/>
      </c>
      <c r="D893" s="7">
        <f>IF($Z893="C",INDEX(Contracts!$B$2:$B$151,$AB893)&amp;"",IF($Z893="A",INDEX(Fixed_Assets!$B$2:$B$201,$AB893)&amp;"",IF($Z893="F",INDEX(FTE_Allocation!$B$2:$B$201,$AB893)&amp;"","")))</f>
        <v/>
      </c>
      <c r="E893" s="7">
        <f>IF($Z893="C",INDEX(Contracts!$P$2:$P$151,$AB893)&amp;"",IF($Z893="A",INDEX(Fixed_Assets!$K$2:$K$201,$AB893)&amp;"",IF($Z893="F",IF(INDEX(FTE_Allocation!$D$2:$D$201,$AB893)="PROJECT",IFERROR(INDEX(Projects!$D:$D,MATCH(INDEX(FTE_Allocation!$E$2:$E$201,$AB893),Projects!$A:$A,0))&amp;"","#PROJECT?"),INDEX(FTE_Allocation!$E$2:$E$201,$AB893)&amp;""),"")))</f>
        <v/>
      </c>
      <c r="F893" s="7">
        <f>IF($Z893="C",INDEX(Contracts!$Q$2:$Q$151,$AB893)&amp;"",IF($Z893="A",INDEX(Fixed_Assets!$L$2:$L$201,$AB893)&amp;"",IF($Z893="F",INDEX(Workforce!$K$2:$K$151,MATCH(INDEX(FTE_Allocation!$A$2:$A$201,$AB893),Workforce!$A$2:$A$151,0))&amp;"","")))</f>
        <v/>
      </c>
      <c r="G893" s="7">
        <f>IF($Z893="C",INDEX(Contracts!$F$2:$F$151,$AB893)&amp;" / "&amp;INDEX(Contracts!$G$2:$G$151,$AB893),IF($Z893="A",INDEX(Fixed_Assets!$E$2:$E$201,$AB893)&amp;"",IF($Z893="F","Personnel "&amp;INDEX(FTE_Allocation!$A$2:$A$201,$AB893)&amp;IF(INDEX(FTE_Allocation!$D$2:$D$201,$AB893)="PROJECT"," ("&amp;INDEX(FTE_Allocation!$E$2:$E$201,$AB893)&amp;")",""),"")))</f>
        <v/>
      </c>
      <c r="H893" s="7">
        <f>IF($Z893="C","CONTRACT",IF($Z893="A","ASSET",IF($Z893="F","WORKFORCE","")))</f>
        <v/>
      </c>
      <c r="I893" s="7">
        <f>IF($Z893="C",INDEX(Contracts!$L$2:$L$151,$AB893)&amp;"",IF($Z893="A",INDEX(Fixed_Assets!$I$2:$I$201,$AB893)&amp;"",IF($Z893="F",INDEX(Workforce!$G$2:$G$151,MATCH(INDEX(FTE_Allocation!$A$2:$A$201,$AB893),Workforce!$A$2:$A$151,0))&amp;"","")))</f>
        <v/>
      </c>
      <c r="J893" s="18">
        <f>IF($Z893="","",IF(AND(DATE($AD893,1,1)&gt;=$AE893,DATE($AD893,1,1)&lt;=$AF893),ROUND($AG893,2),0))</f>
        <v/>
      </c>
      <c r="K893" s="18">
        <f>IF($Z893="","",IF(AND(DATE($AD893,2,1)&gt;=$AE893,DATE($AD893,2,1)&lt;=$AF893),ROUND($AG893,2),0))</f>
        <v/>
      </c>
      <c r="L893" s="18">
        <f>IF($Z893="","",IF(AND(DATE($AD893,3,1)&gt;=$AE893,DATE($AD893,3,1)&lt;=$AF893),ROUND($AG893,2),0))</f>
        <v/>
      </c>
      <c r="M893" s="18">
        <f>IF($Z893="","",IF(AND(DATE($AD893,4,1)&gt;=$AE893,DATE($AD893,4,1)&lt;=$AF893),ROUND($AG893,2),0))</f>
        <v/>
      </c>
      <c r="N893" s="18">
        <f>IF($Z893="","",IF(AND(DATE($AD893,5,1)&gt;=$AE893,DATE($AD893,5,1)&lt;=$AF893),ROUND($AG893,2),0))</f>
        <v/>
      </c>
      <c r="O893" s="18">
        <f>IF($Z893="","",IF(AND(DATE($AD893,6,1)&gt;=$AE893,DATE($AD893,6,1)&lt;=$AF893),ROUND($AG893,2),0))</f>
        <v/>
      </c>
      <c r="P893" s="18">
        <f>IF($Z893="","",IF(AND(DATE($AD893,7,1)&gt;=$AE893,DATE($AD893,7,1)&lt;=$AF893),ROUND($AG893,2),0))</f>
        <v/>
      </c>
      <c r="Q893" s="18">
        <f>IF($Z893="","",IF(AND(DATE($AD893,8,1)&gt;=$AE893,DATE($AD893,8,1)&lt;=$AF893),ROUND($AG893,2),0))</f>
        <v/>
      </c>
      <c r="R893" s="18">
        <f>IF($Z893="","",IF(AND(DATE($AD893,9,1)&gt;=$AE893,DATE($AD893,9,1)&lt;=$AF893),ROUND($AG893,2),0))</f>
        <v/>
      </c>
      <c r="S893" s="18">
        <f>IF($Z893="","",IF(AND(DATE($AD893,10,1)&gt;=$AE893,DATE($AD893,10,1)&lt;=$AF893),ROUND($AG893,2),0))</f>
        <v/>
      </c>
      <c r="T893" s="18">
        <f>IF($Z893="","",IF(AND(DATE($AD893,11,1)&gt;=$AE893,DATE($AD893,11,1)&lt;=$AF893),ROUND($AG893,2),0))</f>
        <v/>
      </c>
      <c r="U893" s="18">
        <f>IF($Z893="","",IF(AND(DATE($AD893,12,1)&gt;=$AE893,DATE($AD893,12,1)&lt;=$AF893),ROUND($AG893,2),0))</f>
        <v/>
      </c>
      <c r="V893" s="7">
        <f>IF($Z893="C","Generated from "&amp;INDEX(Contracts!$A$2:$A$151,$AB893),IF($Z893="A","Generated from "&amp;INDEX(Fixed_Assets!$A$2:$A$201,$AB893),IF($Z893="F","Generated from "&amp;INDEX(FTE_Allocation!$A$2:$A$201,$AB893),"")))</f>
        <v/>
      </c>
      <c r="X893" s="19">
        <f>IF($Z893="","",SUM(J893:U893))</f>
        <v/>
      </c>
      <c r="Y893" s="20">
        <f>ROW()-1</f>
        <v/>
      </c>
      <c r="Z893" s="20">
        <f>IF($Y893&lt;=Settings!$B$4*3,"C",IF($Y893&lt;=(Settings!$B$4+Settings!$B$5)*3,"A",IF($Y893&lt;=(Settings!$B$4+Settings!$B$5+Settings!$B$6)*3,"F","")))</f>
        <v/>
      </c>
      <c r="AA893" s="20">
        <f>IF($Z893="C",$Y893,IF($Z893="A",$Y893-Settings!$B$4*3,IF($Z893="F",$Y893-(Settings!$B$4+Settings!$B$5)*3,"")))</f>
        <v/>
      </c>
      <c r="AB893" s="20">
        <f>IF($Z893="","",INT(($AA893-1)/3)+1)</f>
        <v/>
      </c>
      <c r="AC893" s="20">
        <f>IF($Z893="","",MOD($AA893-1,3)+1)</f>
        <v/>
      </c>
      <c r="AD893" s="20">
        <f>IF($Z893="","",Settings!$B$2+$AC893-1)</f>
        <v/>
      </c>
      <c r="AE893" s="21">
        <f>IF($Z893="C",DATE(YEAR(INDEX(Contracts!$J$2:$J$151,$AB893)),MONTH(INDEX(Contracts!$J$2:$J$151,$AB893)),1),IF($Z893="A",DATE(YEAR(INDEX(Fixed_Assets!$G$2:$G$201,$AB893)),MONTH(INDEX(Fixed_Assets!$G$2:$G$201,$AB893)),1),IF($Z893="F",DATE(YEAR(MAX(N(INDEX(Workforce!$I$2:$I$151,MATCH(INDEX(FTE_Allocation!$A$2:$A$201,$AB893),Workforce!$A$2:$A$151,0))),N(INDEX(FTE_Allocation!$I$2:$I$201,$AB893)))),MONTH(MAX(N(INDEX(Workforce!$I$2:$I$151,MATCH(INDEX(FTE_Allocation!$A$2:$A$201,$AB893),Workforce!$A$2:$A$151,0))),N(INDEX(FTE_Allocation!$I$2:$I$201,$AB893)))),1),"")))</f>
        <v/>
      </c>
      <c r="AF893" s="21">
        <f>IF($Z893="C",IF(INDEX(Contracts!$I$2:$I$151,$AB893)="PREPAID",EDATE(DATE(YEAR(INDEX(Contracts!$J$2:$J$151,$AB893)),MONTH(INDEX(Contracts!$J$2:$J$151,$AB893)),1),IF(INDEX(Contracts!$N$2:$N$151,$AB893)="",12,INDEX(Contracts!$N$2:$N$151,$AB893))-1),IF(INDEX(Contracts!$I$2:$I$151,$AB893)="MONTHLY",IF(INDEX(Contracts!$K$2:$K$151,$AB893)="",2958101,INDEX(Contracts!$K$2:$K$151,$AB893)),0)),IF($Z893="A",EDATE(DATE(YEAR(INDEX(Fixed_Assets!$G$2:$G$201,$AB893)),MONTH(INDEX(Fixed_Assets!$G$2:$G$201,$AB893)),1),INDEX(Fixed_Assets!$J$2:$J$201,$AB893)-1),IF($Z893="F",MIN(IF(INDEX(Workforce!$J$2:$J$151,MATCH(INDEX(FTE_Allocation!$A$2:$A$201,$AB893),Workforce!$A$2:$A$151,0))="",2958101,INDEX(Workforce!$J$2:$J$151,MATCH(INDEX(FTE_Allocation!$A$2:$A$201,$AB893),Workforce!$A$2:$A$151,0))),IF(INDEX(FTE_Allocation!$J$2:$J$201,$AB893)="",2958101,INDEX(FTE_Allocation!$J$2:$J$201,$AB893))),"")))</f>
        <v/>
      </c>
      <c r="AG893" s="19">
        <f>IF($Z893="C",IF(INDEX(Contracts!$I$2:$I$151,$AB893)="PREPAID",INDEX(Contracts!$M$2:$M$151,$AB893)/IF(INDEX(Contracts!$N$2:$N$151,$AB893)="",12,INDEX(Contracts!$N$2:$N$151,$AB893)),IF(INDEX(Contracts!$I$2:$I$151,$AB893)="MONTHLY",INDEX(Contracts!$M$2:$M$151,$AB893),0))*(1-N(INDEX(Contracts!$O$2:$O$151,$AB893))),IF($Z893="A",INDEX(Fixed_Assets!$H$2:$H$201,$AB893)/INDEX(Fixed_Assets!$J$2:$J$201,$AB893),IF($Z893="F",INDEX(Workforce!$F$2:$F$151,MATCH(INDEX(FTE_Allocation!$A$2:$A$201,$AB893),Workforce!$A$2:$A$151,0))*N(INDEX(FTE_Allocation!$F$2:$H$201,$AB893,$AC893)),"")))</f>
        <v/>
      </c>
    </row>
    <row r="894">
      <c r="A894" s="7">
        <f>IF($Z894="","",$AD894)</f>
        <v/>
      </c>
      <c r="B894" s="7">
        <f>IF($Z894="C",INDEX(Contracts!$D$2:$D$151,$AB894)&amp;"",IF($Z894="A",INDEX(Fixed_Assets!$C$2:$C$201,$AB894)&amp;"",IF($Z894="F",INDEX(Workforce!$B$2:$B$151,MATCH(INDEX(FTE_Allocation!$A$2:$A$201,$AB894),Workforce!$A$2:$A$151,0))&amp;"","")))</f>
        <v/>
      </c>
      <c r="C894" s="7">
        <f>IF($Z894="C",INDEX(Contracts!$E$2:$E$151,$AB894)&amp;"",IF($Z894="A",INDEX(Fixed_Assets!$D$2:$D$201,$AB894)&amp;"",IF($Z894="F",INDEX(FTE_Allocation!$C$2:$C$201,$AB894)&amp;"","")))</f>
        <v/>
      </c>
      <c r="D894" s="7">
        <f>IF($Z894="C",INDEX(Contracts!$B$2:$B$151,$AB894)&amp;"",IF($Z894="A",INDEX(Fixed_Assets!$B$2:$B$201,$AB894)&amp;"",IF($Z894="F",INDEX(FTE_Allocation!$B$2:$B$201,$AB894)&amp;"","")))</f>
        <v/>
      </c>
      <c r="E894" s="7">
        <f>IF($Z894="C",INDEX(Contracts!$P$2:$P$151,$AB894)&amp;"",IF($Z894="A",INDEX(Fixed_Assets!$K$2:$K$201,$AB894)&amp;"",IF($Z894="F",IF(INDEX(FTE_Allocation!$D$2:$D$201,$AB894)="PROJECT",IFERROR(INDEX(Projects!$D:$D,MATCH(INDEX(FTE_Allocation!$E$2:$E$201,$AB894),Projects!$A:$A,0))&amp;"","#PROJECT?"),INDEX(FTE_Allocation!$E$2:$E$201,$AB894)&amp;""),"")))</f>
        <v/>
      </c>
      <c r="F894" s="7">
        <f>IF($Z894="C",INDEX(Contracts!$Q$2:$Q$151,$AB894)&amp;"",IF($Z894="A",INDEX(Fixed_Assets!$L$2:$L$201,$AB894)&amp;"",IF($Z894="F",INDEX(Workforce!$K$2:$K$151,MATCH(INDEX(FTE_Allocation!$A$2:$A$201,$AB894),Workforce!$A$2:$A$151,0))&amp;"","")))</f>
        <v/>
      </c>
      <c r="G894" s="7">
        <f>IF($Z894="C",INDEX(Contracts!$F$2:$F$151,$AB894)&amp;" / "&amp;INDEX(Contracts!$G$2:$G$151,$AB894),IF($Z894="A",INDEX(Fixed_Assets!$E$2:$E$201,$AB894)&amp;"",IF($Z894="F","Personnel "&amp;INDEX(FTE_Allocation!$A$2:$A$201,$AB894)&amp;IF(INDEX(FTE_Allocation!$D$2:$D$201,$AB894)="PROJECT"," ("&amp;INDEX(FTE_Allocation!$E$2:$E$201,$AB894)&amp;")",""),"")))</f>
        <v/>
      </c>
      <c r="H894" s="7">
        <f>IF($Z894="C","CONTRACT",IF($Z894="A","ASSET",IF($Z894="F","WORKFORCE","")))</f>
        <v/>
      </c>
      <c r="I894" s="7">
        <f>IF($Z894="C",INDEX(Contracts!$L$2:$L$151,$AB894)&amp;"",IF($Z894="A",INDEX(Fixed_Assets!$I$2:$I$201,$AB894)&amp;"",IF($Z894="F",INDEX(Workforce!$G$2:$G$151,MATCH(INDEX(FTE_Allocation!$A$2:$A$201,$AB894),Workforce!$A$2:$A$151,0))&amp;"","")))</f>
        <v/>
      </c>
      <c r="J894" s="18">
        <f>IF($Z894="","",IF(AND(DATE($AD894,1,1)&gt;=$AE894,DATE($AD894,1,1)&lt;=$AF894),ROUND($AG894,2),0))</f>
        <v/>
      </c>
      <c r="K894" s="18">
        <f>IF($Z894="","",IF(AND(DATE($AD894,2,1)&gt;=$AE894,DATE($AD894,2,1)&lt;=$AF894),ROUND($AG894,2),0))</f>
        <v/>
      </c>
      <c r="L894" s="18">
        <f>IF($Z894="","",IF(AND(DATE($AD894,3,1)&gt;=$AE894,DATE($AD894,3,1)&lt;=$AF894),ROUND($AG894,2),0))</f>
        <v/>
      </c>
      <c r="M894" s="18">
        <f>IF($Z894="","",IF(AND(DATE($AD894,4,1)&gt;=$AE894,DATE($AD894,4,1)&lt;=$AF894),ROUND($AG894,2),0))</f>
        <v/>
      </c>
      <c r="N894" s="18">
        <f>IF($Z894="","",IF(AND(DATE($AD894,5,1)&gt;=$AE894,DATE($AD894,5,1)&lt;=$AF894),ROUND($AG894,2),0))</f>
        <v/>
      </c>
      <c r="O894" s="18">
        <f>IF($Z894="","",IF(AND(DATE($AD894,6,1)&gt;=$AE894,DATE($AD894,6,1)&lt;=$AF894),ROUND($AG894,2),0))</f>
        <v/>
      </c>
      <c r="P894" s="18">
        <f>IF($Z894="","",IF(AND(DATE($AD894,7,1)&gt;=$AE894,DATE($AD894,7,1)&lt;=$AF894),ROUND($AG894,2),0))</f>
        <v/>
      </c>
      <c r="Q894" s="18">
        <f>IF($Z894="","",IF(AND(DATE($AD894,8,1)&gt;=$AE894,DATE($AD894,8,1)&lt;=$AF894),ROUND($AG894,2),0))</f>
        <v/>
      </c>
      <c r="R894" s="18">
        <f>IF($Z894="","",IF(AND(DATE($AD894,9,1)&gt;=$AE894,DATE($AD894,9,1)&lt;=$AF894),ROUND($AG894,2),0))</f>
        <v/>
      </c>
      <c r="S894" s="18">
        <f>IF($Z894="","",IF(AND(DATE($AD894,10,1)&gt;=$AE894,DATE($AD894,10,1)&lt;=$AF894),ROUND($AG894,2),0))</f>
        <v/>
      </c>
      <c r="T894" s="18">
        <f>IF($Z894="","",IF(AND(DATE($AD894,11,1)&gt;=$AE894,DATE($AD894,11,1)&lt;=$AF894),ROUND($AG894,2),0))</f>
        <v/>
      </c>
      <c r="U894" s="18">
        <f>IF($Z894="","",IF(AND(DATE($AD894,12,1)&gt;=$AE894,DATE($AD894,12,1)&lt;=$AF894),ROUND($AG894,2),0))</f>
        <v/>
      </c>
      <c r="V894" s="7">
        <f>IF($Z894="C","Generated from "&amp;INDEX(Contracts!$A$2:$A$151,$AB894),IF($Z894="A","Generated from "&amp;INDEX(Fixed_Assets!$A$2:$A$201,$AB894),IF($Z894="F","Generated from "&amp;INDEX(FTE_Allocation!$A$2:$A$201,$AB894),"")))</f>
        <v/>
      </c>
      <c r="X894" s="19">
        <f>IF($Z894="","",SUM(J894:U894))</f>
        <v/>
      </c>
      <c r="Y894" s="20">
        <f>ROW()-1</f>
        <v/>
      </c>
      <c r="Z894" s="20">
        <f>IF($Y894&lt;=Settings!$B$4*3,"C",IF($Y894&lt;=(Settings!$B$4+Settings!$B$5)*3,"A",IF($Y894&lt;=(Settings!$B$4+Settings!$B$5+Settings!$B$6)*3,"F","")))</f>
        <v/>
      </c>
      <c r="AA894" s="20">
        <f>IF($Z894="C",$Y894,IF($Z894="A",$Y894-Settings!$B$4*3,IF($Z894="F",$Y894-(Settings!$B$4+Settings!$B$5)*3,"")))</f>
        <v/>
      </c>
      <c r="AB894" s="20">
        <f>IF($Z894="","",INT(($AA894-1)/3)+1)</f>
        <v/>
      </c>
      <c r="AC894" s="20">
        <f>IF($Z894="","",MOD($AA894-1,3)+1)</f>
        <v/>
      </c>
      <c r="AD894" s="20">
        <f>IF($Z894="","",Settings!$B$2+$AC894-1)</f>
        <v/>
      </c>
      <c r="AE894" s="21">
        <f>IF($Z894="C",DATE(YEAR(INDEX(Contracts!$J$2:$J$151,$AB894)),MONTH(INDEX(Contracts!$J$2:$J$151,$AB894)),1),IF($Z894="A",DATE(YEAR(INDEX(Fixed_Assets!$G$2:$G$201,$AB894)),MONTH(INDEX(Fixed_Assets!$G$2:$G$201,$AB894)),1),IF($Z894="F",DATE(YEAR(MAX(N(INDEX(Workforce!$I$2:$I$151,MATCH(INDEX(FTE_Allocation!$A$2:$A$201,$AB894),Workforce!$A$2:$A$151,0))),N(INDEX(FTE_Allocation!$I$2:$I$201,$AB894)))),MONTH(MAX(N(INDEX(Workforce!$I$2:$I$151,MATCH(INDEX(FTE_Allocation!$A$2:$A$201,$AB894),Workforce!$A$2:$A$151,0))),N(INDEX(FTE_Allocation!$I$2:$I$201,$AB894)))),1),"")))</f>
        <v/>
      </c>
      <c r="AF894" s="21">
        <f>IF($Z894="C",IF(INDEX(Contracts!$I$2:$I$151,$AB894)="PREPAID",EDATE(DATE(YEAR(INDEX(Contracts!$J$2:$J$151,$AB894)),MONTH(INDEX(Contracts!$J$2:$J$151,$AB894)),1),IF(INDEX(Contracts!$N$2:$N$151,$AB894)="",12,INDEX(Contracts!$N$2:$N$151,$AB894))-1),IF(INDEX(Contracts!$I$2:$I$151,$AB894)="MONTHLY",IF(INDEX(Contracts!$K$2:$K$151,$AB894)="",2958101,INDEX(Contracts!$K$2:$K$151,$AB894)),0)),IF($Z894="A",EDATE(DATE(YEAR(INDEX(Fixed_Assets!$G$2:$G$201,$AB894)),MONTH(INDEX(Fixed_Assets!$G$2:$G$201,$AB894)),1),INDEX(Fixed_Assets!$J$2:$J$201,$AB894)-1),IF($Z894="F",MIN(IF(INDEX(Workforce!$J$2:$J$151,MATCH(INDEX(FTE_Allocation!$A$2:$A$201,$AB894),Workforce!$A$2:$A$151,0))="",2958101,INDEX(Workforce!$J$2:$J$151,MATCH(INDEX(FTE_Allocation!$A$2:$A$201,$AB894),Workforce!$A$2:$A$151,0))),IF(INDEX(FTE_Allocation!$J$2:$J$201,$AB894)="",2958101,INDEX(FTE_Allocation!$J$2:$J$201,$AB894))),"")))</f>
        <v/>
      </c>
      <c r="AG894" s="19">
        <f>IF($Z894="C",IF(INDEX(Contracts!$I$2:$I$151,$AB894)="PREPAID",INDEX(Contracts!$M$2:$M$151,$AB894)/IF(INDEX(Contracts!$N$2:$N$151,$AB894)="",12,INDEX(Contracts!$N$2:$N$151,$AB894)),IF(INDEX(Contracts!$I$2:$I$151,$AB894)="MONTHLY",INDEX(Contracts!$M$2:$M$151,$AB894),0))*(1-N(INDEX(Contracts!$O$2:$O$151,$AB894))),IF($Z894="A",INDEX(Fixed_Assets!$H$2:$H$201,$AB894)/INDEX(Fixed_Assets!$J$2:$J$201,$AB894),IF($Z894="F",INDEX(Workforce!$F$2:$F$151,MATCH(INDEX(FTE_Allocation!$A$2:$A$201,$AB894),Workforce!$A$2:$A$151,0))*N(INDEX(FTE_Allocation!$F$2:$H$201,$AB894,$AC894)),"")))</f>
        <v/>
      </c>
    </row>
    <row r="895">
      <c r="A895" s="7">
        <f>IF($Z895="","",$AD895)</f>
        <v/>
      </c>
      <c r="B895" s="7">
        <f>IF($Z895="C",INDEX(Contracts!$D$2:$D$151,$AB895)&amp;"",IF($Z895="A",INDEX(Fixed_Assets!$C$2:$C$201,$AB895)&amp;"",IF($Z895="F",INDEX(Workforce!$B$2:$B$151,MATCH(INDEX(FTE_Allocation!$A$2:$A$201,$AB895),Workforce!$A$2:$A$151,0))&amp;"","")))</f>
        <v/>
      </c>
      <c r="C895" s="7">
        <f>IF($Z895="C",INDEX(Contracts!$E$2:$E$151,$AB895)&amp;"",IF($Z895="A",INDEX(Fixed_Assets!$D$2:$D$201,$AB895)&amp;"",IF($Z895="F",INDEX(FTE_Allocation!$C$2:$C$201,$AB895)&amp;"","")))</f>
        <v/>
      </c>
      <c r="D895" s="7">
        <f>IF($Z895="C",INDEX(Contracts!$B$2:$B$151,$AB895)&amp;"",IF($Z895="A",INDEX(Fixed_Assets!$B$2:$B$201,$AB895)&amp;"",IF($Z895="F",INDEX(FTE_Allocation!$B$2:$B$201,$AB895)&amp;"","")))</f>
        <v/>
      </c>
      <c r="E895" s="7">
        <f>IF($Z895="C",INDEX(Contracts!$P$2:$P$151,$AB895)&amp;"",IF($Z895="A",INDEX(Fixed_Assets!$K$2:$K$201,$AB895)&amp;"",IF($Z895="F",IF(INDEX(FTE_Allocation!$D$2:$D$201,$AB895)="PROJECT",IFERROR(INDEX(Projects!$D:$D,MATCH(INDEX(FTE_Allocation!$E$2:$E$201,$AB895),Projects!$A:$A,0))&amp;"","#PROJECT?"),INDEX(FTE_Allocation!$E$2:$E$201,$AB895)&amp;""),"")))</f>
        <v/>
      </c>
      <c r="F895" s="7">
        <f>IF($Z895="C",INDEX(Contracts!$Q$2:$Q$151,$AB895)&amp;"",IF($Z895="A",INDEX(Fixed_Assets!$L$2:$L$201,$AB895)&amp;"",IF($Z895="F",INDEX(Workforce!$K$2:$K$151,MATCH(INDEX(FTE_Allocation!$A$2:$A$201,$AB895),Workforce!$A$2:$A$151,0))&amp;"","")))</f>
        <v/>
      </c>
      <c r="G895" s="7">
        <f>IF($Z895="C",INDEX(Contracts!$F$2:$F$151,$AB895)&amp;" / "&amp;INDEX(Contracts!$G$2:$G$151,$AB895),IF($Z895="A",INDEX(Fixed_Assets!$E$2:$E$201,$AB895)&amp;"",IF($Z895="F","Personnel "&amp;INDEX(FTE_Allocation!$A$2:$A$201,$AB895)&amp;IF(INDEX(FTE_Allocation!$D$2:$D$201,$AB895)="PROJECT"," ("&amp;INDEX(FTE_Allocation!$E$2:$E$201,$AB895)&amp;")",""),"")))</f>
        <v/>
      </c>
      <c r="H895" s="7">
        <f>IF($Z895="C","CONTRACT",IF($Z895="A","ASSET",IF($Z895="F","WORKFORCE","")))</f>
        <v/>
      </c>
      <c r="I895" s="7">
        <f>IF($Z895="C",INDEX(Contracts!$L$2:$L$151,$AB895)&amp;"",IF($Z895="A",INDEX(Fixed_Assets!$I$2:$I$201,$AB895)&amp;"",IF($Z895="F",INDEX(Workforce!$G$2:$G$151,MATCH(INDEX(FTE_Allocation!$A$2:$A$201,$AB895),Workforce!$A$2:$A$151,0))&amp;"","")))</f>
        <v/>
      </c>
      <c r="J895" s="18">
        <f>IF($Z895="","",IF(AND(DATE($AD895,1,1)&gt;=$AE895,DATE($AD895,1,1)&lt;=$AF895),ROUND($AG895,2),0))</f>
        <v/>
      </c>
      <c r="K895" s="18">
        <f>IF($Z895="","",IF(AND(DATE($AD895,2,1)&gt;=$AE895,DATE($AD895,2,1)&lt;=$AF895),ROUND($AG895,2),0))</f>
        <v/>
      </c>
      <c r="L895" s="18">
        <f>IF($Z895="","",IF(AND(DATE($AD895,3,1)&gt;=$AE895,DATE($AD895,3,1)&lt;=$AF895),ROUND($AG895,2),0))</f>
        <v/>
      </c>
      <c r="M895" s="18">
        <f>IF($Z895="","",IF(AND(DATE($AD895,4,1)&gt;=$AE895,DATE($AD895,4,1)&lt;=$AF895),ROUND($AG895,2),0))</f>
        <v/>
      </c>
      <c r="N895" s="18">
        <f>IF($Z895="","",IF(AND(DATE($AD895,5,1)&gt;=$AE895,DATE($AD895,5,1)&lt;=$AF895),ROUND($AG895,2),0))</f>
        <v/>
      </c>
      <c r="O895" s="18">
        <f>IF($Z895="","",IF(AND(DATE($AD895,6,1)&gt;=$AE895,DATE($AD895,6,1)&lt;=$AF895),ROUND($AG895,2),0))</f>
        <v/>
      </c>
      <c r="P895" s="18">
        <f>IF($Z895="","",IF(AND(DATE($AD895,7,1)&gt;=$AE895,DATE($AD895,7,1)&lt;=$AF895),ROUND($AG895,2),0))</f>
        <v/>
      </c>
      <c r="Q895" s="18">
        <f>IF($Z895="","",IF(AND(DATE($AD895,8,1)&gt;=$AE895,DATE($AD895,8,1)&lt;=$AF895),ROUND($AG895,2),0))</f>
        <v/>
      </c>
      <c r="R895" s="18">
        <f>IF($Z895="","",IF(AND(DATE($AD895,9,1)&gt;=$AE895,DATE($AD895,9,1)&lt;=$AF895),ROUND($AG895,2),0))</f>
        <v/>
      </c>
      <c r="S895" s="18">
        <f>IF($Z895="","",IF(AND(DATE($AD895,10,1)&gt;=$AE895,DATE($AD895,10,1)&lt;=$AF895),ROUND($AG895,2),0))</f>
        <v/>
      </c>
      <c r="T895" s="18">
        <f>IF($Z895="","",IF(AND(DATE($AD895,11,1)&gt;=$AE895,DATE($AD895,11,1)&lt;=$AF895),ROUND($AG895,2),0))</f>
        <v/>
      </c>
      <c r="U895" s="18">
        <f>IF($Z895="","",IF(AND(DATE($AD895,12,1)&gt;=$AE895,DATE($AD895,12,1)&lt;=$AF895),ROUND($AG895,2),0))</f>
        <v/>
      </c>
      <c r="V895" s="7">
        <f>IF($Z895="C","Generated from "&amp;INDEX(Contracts!$A$2:$A$151,$AB895),IF($Z895="A","Generated from "&amp;INDEX(Fixed_Assets!$A$2:$A$201,$AB895),IF($Z895="F","Generated from "&amp;INDEX(FTE_Allocation!$A$2:$A$201,$AB895),"")))</f>
        <v/>
      </c>
      <c r="X895" s="19">
        <f>IF($Z895="","",SUM(J895:U895))</f>
        <v/>
      </c>
      <c r="Y895" s="20">
        <f>ROW()-1</f>
        <v/>
      </c>
      <c r="Z895" s="20">
        <f>IF($Y895&lt;=Settings!$B$4*3,"C",IF($Y895&lt;=(Settings!$B$4+Settings!$B$5)*3,"A",IF($Y895&lt;=(Settings!$B$4+Settings!$B$5+Settings!$B$6)*3,"F","")))</f>
        <v/>
      </c>
      <c r="AA895" s="20">
        <f>IF($Z895="C",$Y895,IF($Z895="A",$Y895-Settings!$B$4*3,IF($Z895="F",$Y895-(Settings!$B$4+Settings!$B$5)*3,"")))</f>
        <v/>
      </c>
      <c r="AB895" s="20">
        <f>IF($Z895="","",INT(($AA895-1)/3)+1)</f>
        <v/>
      </c>
      <c r="AC895" s="20">
        <f>IF($Z895="","",MOD($AA895-1,3)+1)</f>
        <v/>
      </c>
      <c r="AD895" s="20">
        <f>IF($Z895="","",Settings!$B$2+$AC895-1)</f>
        <v/>
      </c>
      <c r="AE895" s="21">
        <f>IF($Z895="C",DATE(YEAR(INDEX(Contracts!$J$2:$J$151,$AB895)),MONTH(INDEX(Contracts!$J$2:$J$151,$AB895)),1),IF($Z895="A",DATE(YEAR(INDEX(Fixed_Assets!$G$2:$G$201,$AB895)),MONTH(INDEX(Fixed_Assets!$G$2:$G$201,$AB895)),1),IF($Z895="F",DATE(YEAR(MAX(N(INDEX(Workforce!$I$2:$I$151,MATCH(INDEX(FTE_Allocation!$A$2:$A$201,$AB895),Workforce!$A$2:$A$151,0))),N(INDEX(FTE_Allocation!$I$2:$I$201,$AB895)))),MONTH(MAX(N(INDEX(Workforce!$I$2:$I$151,MATCH(INDEX(FTE_Allocation!$A$2:$A$201,$AB895),Workforce!$A$2:$A$151,0))),N(INDEX(FTE_Allocation!$I$2:$I$201,$AB895)))),1),"")))</f>
        <v/>
      </c>
      <c r="AF895" s="21">
        <f>IF($Z895="C",IF(INDEX(Contracts!$I$2:$I$151,$AB895)="PREPAID",EDATE(DATE(YEAR(INDEX(Contracts!$J$2:$J$151,$AB895)),MONTH(INDEX(Contracts!$J$2:$J$151,$AB895)),1),IF(INDEX(Contracts!$N$2:$N$151,$AB895)="",12,INDEX(Contracts!$N$2:$N$151,$AB895))-1),IF(INDEX(Contracts!$I$2:$I$151,$AB895)="MONTHLY",IF(INDEX(Contracts!$K$2:$K$151,$AB895)="",2958101,INDEX(Contracts!$K$2:$K$151,$AB895)),0)),IF($Z895="A",EDATE(DATE(YEAR(INDEX(Fixed_Assets!$G$2:$G$201,$AB895)),MONTH(INDEX(Fixed_Assets!$G$2:$G$201,$AB895)),1),INDEX(Fixed_Assets!$J$2:$J$201,$AB895)-1),IF($Z895="F",MIN(IF(INDEX(Workforce!$J$2:$J$151,MATCH(INDEX(FTE_Allocation!$A$2:$A$201,$AB895),Workforce!$A$2:$A$151,0))="",2958101,INDEX(Workforce!$J$2:$J$151,MATCH(INDEX(FTE_Allocation!$A$2:$A$201,$AB895),Workforce!$A$2:$A$151,0))),IF(INDEX(FTE_Allocation!$J$2:$J$201,$AB895)="",2958101,INDEX(FTE_Allocation!$J$2:$J$201,$AB895))),"")))</f>
        <v/>
      </c>
      <c r="AG895" s="19">
        <f>IF($Z895="C",IF(INDEX(Contracts!$I$2:$I$151,$AB895)="PREPAID",INDEX(Contracts!$M$2:$M$151,$AB895)/IF(INDEX(Contracts!$N$2:$N$151,$AB895)="",12,INDEX(Contracts!$N$2:$N$151,$AB895)),IF(INDEX(Contracts!$I$2:$I$151,$AB895)="MONTHLY",INDEX(Contracts!$M$2:$M$151,$AB895),0))*(1-N(INDEX(Contracts!$O$2:$O$151,$AB895))),IF($Z895="A",INDEX(Fixed_Assets!$H$2:$H$201,$AB895)/INDEX(Fixed_Assets!$J$2:$J$201,$AB895),IF($Z895="F",INDEX(Workforce!$F$2:$F$151,MATCH(INDEX(FTE_Allocation!$A$2:$A$201,$AB895),Workforce!$A$2:$A$151,0))*N(INDEX(FTE_Allocation!$F$2:$H$201,$AB895,$AC895)),"")))</f>
        <v/>
      </c>
    </row>
    <row r="896">
      <c r="A896" s="7">
        <f>IF($Z896="","",$AD896)</f>
        <v/>
      </c>
      <c r="B896" s="7">
        <f>IF($Z896="C",INDEX(Contracts!$D$2:$D$151,$AB896)&amp;"",IF($Z896="A",INDEX(Fixed_Assets!$C$2:$C$201,$AB896)&amp;"",IF($Z896="F",INDEX(Workforce!$B$2:$B$151,MATCH(INDEX(FTE_Allocation!$A$2:$A$201,$AB896),Workforce!$A$2:$A$151,0))&amp;"","")))</f>
        <v/>
      </c>
      <c r="C896" s="7">
        <f>IF($Z896="C",INDEX(Contracts!$E$2:$E$151,$AB896)&amp;"",IF($Z896="A",INDEX(Fixed_Assets!$D$2:$D$201,$AB896)&amp;"",IF($Z896="F",INDEX(FTE_Allocation!$C$2:$C$201,$AB896)&amp;"","")))</f>
        <v/>
      </c>
      <c r="D896" s="7">
        <f>IF($Z896="C",INDEX(Contracts!$B$2:$B$151,$AB896)&amp;"",IF($Z896="A",INDEX(Fixed_Assets!$B$2:$B$201,$AB896)&amp;"",IF($Z896="F",INDEX(FTE_Allocation!$B$2:$B$201,$AB896)&amp;"","")))</f>
        <v/>
      </c>
      <c r="E896" s="7">
        <f>IF($Z896="C",INDEX(Contracts!$P$2:$P$151,$AB896)&amp;"",IF($Z896="A",INDEX(Fixed_Assets!$K$2:$K$201,$AB896)&amp;"",IF($Z896="F",IF(INDEX(FTE_Allocation!$D$2:$D$201,$AB896)="PROJECT",IFERROR(INDEX(Projects!$D:$D,MATCH(INDEX(FTE_Allocation!$E$2:$E$201,$AB896),Projects!$A:$A,0))&amp;"","#PROJECT?"),INDEX(FTE_Allocation!$E$2:$E$201,$AB896)&amp;""),"")))</f>
        <v/>
      </c>
      <c r="F896" s="7">
        <f>IF($Z896="C",INDEX(Contracts!$Q$2:$Q$151,$AB896)&amp;"",IF($Z896="A",INDEX(Fixed_Assets!$L$2:$L$201,$AB896)&amp;"",IF($Z896="F",INDEX(Workforce!$K$2:$K$151,MATCH(INDEX(FTE_Allocation!$A$2:$A$201,$AB896),Workforce!$A$2:$A$151,0))&amp;"","")))</f>
        <v/>
      </c>
      <c r="G896" s="7">
        <f>IF($Z896="C",INDEX(Contracts!$F$2:$F$151,$AB896)&amp;" / "&amp;INDEX(Contracts!$G$2:$G$151,$AB896),IF($Z896="A",INDEX(Fixed_Assets!$E$2:$E$201,$AB896)&amp;"",IF($Z896="F","Personnel "&amp;INDEX(FTE_Allocation!$A$2:$A$201,$AB896)&amp;IF(INDEX(FTE_Allocation!$D$2:$D$201,$AB896)="PROJECT"," ("&amp;INDEX(FTE_Allocation!$E$2:$E$201,$AB896)&amp;")",""),"")))</f>
        <v/>
      </c>
      <c r="H896" s="7">
        <f>IF($Z896="C","CONTRACT",IF($Z896="A","ASSET",IF($Z896="F","WORKFORCE","")))</f>
        <v/>
      </c>
      <c r="I896" s="7">
        <f>IF($Z896="C",INDEX(Contracts!$L$2:$L$151,$AB896)&amp;"",IF($Z896="A",INDEX(Fixed_Assets!$I$2:$I$201,$AB896)&amp;"",IF($Z896="F",INDEX(Workforce!$G$2:$G$151,MATCH(INDEX(FTE_Allocation!$A$2:$A$201,$AB896),Workforce!$A$2:$A$151,0))&amp;"","")))</f>
        <v/>
      </c>
      <c r="J896" s="18">
        <f>IF($Z896="","",IF(AND(DATE($AD896,1,1)&gt;=$AE896,DATE($AD896,1,1)&lt;=$AF896),ROUND($AG896,2),0))</f>
        <v/>
      </c>
      <c r="K896" s="18">
        <f>IF($Z896="","",IF(AND(DATE($AD896,2,1)&gt;=$AE896,DATE($AD896,2,1)&lt;=$AF896),ROUND($AG896,2),0))</f>
        <v/>
      </c>
      <c r="L896" s="18">
        <f>IF($Z896="","",IF(AND(DATE($AD896,3,1)&gt;=$AE896,DATE($AD896,3,1)&lt;=$AF896),ROUND($AG896,2),0))</f>
        <v/>
      </c>
      <c r="M896" s="18">
        <f>IF($Z896="","",IF(AND(DATE($AD896,4,1)&gt;=$AE896,DATE($AD896,4,1)&lt;=$AF896),ROUND($AG896,2),0))</f>
        <v/>
      </c>
      <c r="N896" s="18">
        <f>IF($Z896="","",IF(AND(DATE($AD896,5,1)&gt;=$AE896,DATE($AD896,5,1)&lt;=$AF896),ROUND($AG896,2),0))</f>
        <v/>
      </c>
      <c r="O896" s="18">
        <f>IF($Z896="","",IF(AND(DATE($AD896,6,1)&gt;=$AE896,DATE($AD896,6,1)&lt;=$AF896),ROUND($AG896,2),0))</f>
        <v/>
      </c>
      <c r="P896" s="18">
        <f>IF($Z896="","",IF(AND(DATE($AD896,7,1)&gt;=$AE896,DATE($AD896,7,1)&lt;=$AF896),ROUND($AG896,2),0))</f>
        <v/>
      </c>
      <c r="Q896" s="18">
        <f>IF($Z896="","",IF(AND(DATE($AD896,8,1)&gt;=$AE896,DATE($AD896,8,1)&lt;=$AF896),ROUND($AG896,2),0))</f>
        <v/>
      </c>
      <c r="R896" s="18">
        <f>IF($Z896="","",IF(AND(DATE($AD896,9,1)&gt;=$AE896,DATE($AD896,9,1)&lt;=$AF896),ROUND($AG896,2),0))</f>
        <v/>
      </c>
      <c r="S896" s="18">
        <f>IF($Z896="","",IF(AND(DATE($AD896,10,1)&gt;=$AE896,DATE($AD896,10,1)&lt;=$AF896),ROUND($AG896,2),0))</f>
        <v/>
      </c>
      <c r="T896" s="18">
        <f>IF($Z896="","",IF(AND(DATE($AD896,11,1)&gt;=$AE896,DATE($AD896,11,1)&lt;=$AF896),ROUND($AG896,2),0))</f>
        <v/>
      </c>
      <c r="U896" s="18">
        <f>IF($Z896="","",IF(AND(DATE($AD896,12,1)&gt;=$AE896,DATE($AD896,12,1)&lt;=$AF896),ROUND($AG896,2),0))</f>
        <v/>
      </c>
      <c r="V896" s="7">
        <f>IF($Z896="C","Generated from "&amp;INDEX(Contracts!$A$2:$A$151,$AB896),IF($Z896="A","Generated from "&amp;INDEX(Fixed_Assets!$A$2:$A$201,$AB896),IF($Z896="F","Generated from "&amp;INDEX(FTE_Allocation!$A$2:$A$201,$AB896),"")))</f>
        <v/>
      </c>
      <c r="X896" s="19">
        <f>IF($Z896="","",SUM(J896:U896))</f>
        <v/>
      </c>
      <c r="Y896" s="20">
        <f>ROW()-1</f>
        <v/>
      </c>
      <c r="Z896" s="20">
        <f>IF($Y896&lt;=Settings!$B$4*3,"C",IF($Y896&lt;=(Settings!$B$4+Settings!$B$5)*3,"A",IF($Y896&lt;=(Settings!$B$4+Settings!$B$5+Settings!$B$6)*3,"F","")))</f>
        <v/>
      </c>
      <c r="AA896" s="20">
        <f>IF($Z896="C",$Y896,IF($Z896="A",$Y896-Settings!$B$4*3,IF($Z896="F",$Y896-(Settings!$B$4+Settings!$B$5)*3,"")))</f>
        <v/>
      </c>
      <c r="AB896" s="20">
        <f>IF($Z896="","",INT(($AA896-1)/3)+1)</f>
        <v/>
      </c>
      <c r="AC896" s="20">
        <f>IF($Z896="","",MOD($AA896-1,3)+1)</f>
        <v/>
      </c>
      <c r="AD896" s="20">
        <f>IF($Z896="","",Settings!$B$2+$AC896-1)</f>
        <v/>
      </c>
      <c r="AE896" s="21">
        <f>IF($Z896="C",DATE(YEAR(INDEX(Contracts!$J$2:$J$151,$AB896)),MONTH(INDEX(Contracts!$J$2:$J$151,$AB896)),1),IF($Z896="A",DATE(YEAR(INDEX(Fixed_Assets!$G$2:$G$201,$AB896)),MONTH(INDEX(Fixed_Assets!$G$2:$G$201,$AB896)),1),IF($Z896="F",DATE(YEAR(MAX(N(INDEX(Workforce!$I$2:$I$151,MATCH(INDEX(FTE_Allocation!$A$2:$A$201,$AB896),Workforce!$A$2:$A$151,0))),N(INDEX(FTE_Allocation!$I$2:$I$201,$AB896)))),MONTH(MAX(N(INDEX(Workforce!$I$2:$I$151,MATCH(INDEX(FTE_Allocation!$A$2:$A$201,$AB896),Workforce!$A$2:$A$151,0))),N(INDEX(FTE_Allocation!$I$2:$I$201,$AB896)))),1),"")))</f>
        <v/>
      </c>
      <c r="AF896" s="21">
        <f>IF($Z896="C",IF(INDEX(Contracts!$I$2:$I$151,$AB896)="PREPAID",EDATE(DATE(YEAR(INDEX(Contracts!$J$2:$J$151,$AB896)),MONTH(INDEX(Contracts!$J$2:$J$151,$AB896)),1),IF(INDEX(Contracts!$N$2:$N$151,$AB896)="",12,INDEX(Contracts!$N$2:$N$151,$AB896))-1),IF(INDEX(Contracts!$I$2:$I$151,$AB896)="MONTHLY",IF(INDEX(Contracts!$K$2:$K$151,$AB896)="",2958101,INDEX(Contracts!$K$2:$K$151,$AB896)),0)),IF($Z896="A",EDATE(DATE(YEAR(INDEX(Fixed_Assets!$G$2:$G$201,$AB896)),MONTH(INDEX(Fixed_Assets!$G$2:$G$201,$AB896)),1),INDEX(Fixed_Assets!$J$2:$J$201,$AB896)-1),IF($Z896="F",MIN(IF(INDEX(Workforce!$J$2:$J$151,MATCH(INDEX(FTE_Allocation!$A$2:$A$201,$AB896),Workforce!$A$2:$A$151,0))="",2958101,INDEX(Workforce!$J$2:$J$151,MATCH(INDEX(FTE_Allocation!$A$2:$A$201,$AB896),Workforce!$A$2:$A$151,0))),IF(INDEX(FTE_Allocation!$J$2:$J$201,$AB896)="",2958101,INDEX(FTE_Allocation!$J$2:$J$201,$AB896))),"")))</f>
        <v/>
      </c>
      <c r="AG896" s="19">
        <f>IF($Z896="C",IF(INDEX(Contracts!$I$2:$I$151,$AB896)="PREPAID",INDEX(Contracts!$M$2:$M$151,$AB896)/IF(INDEX(Contracts!$N$2:$N$151,$AB896)="",12,INDEX(Contracts!$N$2:$N$151,$AB896)),IF(INDEX(Contracts!$I$2:$I$151,$AB896)="MONTHLY",INDEX(Contracts!$M$2:$M$151,$AB896),0))*(1-N(INDEX(Contracts!$O$2:$O$151,$AB896))),IF($Z896="A",INDEX(Fixed_Assets!$H$2:$H$201,$AB896)/INDEX(Fixed_Assets!$J$2:$J$201,$AB896),IF($Z896="F",INDEX(Workforce!$F$2:$F$151,MATCH(INDEX(FTE_Allocation!$A$2:$A$201,$AB896),Workforce!$A$2:$A$151,0))*N(INDEX(FTE_Allocation!$F$2:$H$201,$AB896,$AC896)),"")))</f>
        <v/>
      </c>
    </row>
    <row r="897">
      <c r="A897" s="7">
        <f>IF($Z897="","",$AD897)</f>
        <v/>
      </c>
      <c r="B897" s="7">
        <f>IF($Z897="C",INDEX(Contracts!$D$2:$D$151,$AB897)&amp;"",IF($Z897="A",INDEX(Fixed_Assets!$C$2:$C$201,$AB897)&amp;"",IF($Z897="F",INDEX(Workforce!$B$2:$B$151,MATCH(INDEX(FTE_Allocation!$A$2:$A$201,$AB897),Workforce!$A$2:$A$151,0))&amp;"","")))</f>
        <v/>
      </c>
      <c r="C897" s="7">
        <f>IF($Z897="C",INDEX(Contracts!$E$2:$E$151,$AB897)&amp;"",IF($Z897="A",INDEX(Fixed_Assets!$D$2:$D$201,$AB897)&amp;"",IF($Z897="F",INDEX(FTE_Allocation!$C$2:$C$201,$AB897)&amp;"","")))</f>
        <v/>
      </c>
      <c r="D897" s="7">
        <f>IF($Z897="C",INDEX(Contracts!$B$2:$B$151,$AB897)&amp;"",IF($Z897="A",INDEX(Fixed_Assets!$B$2:$B$201,$AB897)&amp;"",IF($Z897="F",INDEX(FTE_Allocation!$B$2:$B$201,$AB897)&amp;"","")))</f>
        <v/>
      </c>
      <c r="E897" s="7">
        <f>IF($Z897="C",INDEX(Contracts!$P$2:$P$151,$AB897)&amp;"",IF($Z897="A",INDEX(Fixed_Assets!$K$2:$K$201,$AB897)&amp;"",IF($Z897="F",IF(INDEX(FTE_Allocation!$D$2:$D$201,$AB897)="PROJECT",IFERROR(INDEX(Projects!$D:$D,MATCH(INDEX(FTE_Allocation!$E$2:$E$201,$AB897),Projects!$A:$A,0))&amp;"","#PROJECT?"),INDEX(FTE_Allocation!$E$2:$E$201,$AB897)&amp;""),"")))</f>
        <v/>
      </c>
      <c r="F897" s="7">
        <f>IF($Z897="C",INDEX(Contracts!$Q$2:$Q$151,$AB897)&amp;"",IF($Z897="A",INDEX(Fixed_Assets!$L$2:$L$201,$AB897)&amp;"",IF($Z897="F",INDEX(Workforce!$K$2:$K$151,MATCH(INDEX(FTE_Allocation!$A$2:$A$201,$AB897),Workforce!$A$2:$A$151,0))&amp;"","")))</f>
        <v/>
      </c>
      <c r="G897" s="7">
        <f>IF($Z897="C",INDEX(Contracts!$F$2:$F$151,$AB897)&amp;" / "&amp;INDEX(Contracts!$G$2:$G$151,$AB897),IF($Z897="A",INDEX(Fixed_Assets!$E$2:$E$201,$AB897)&amp;"",IF($Z897="F","Personnel "&amp;INDEX(FTE_Allocation!$A$2:$A$201,$AB897)&amp;IF(INDEX(FTE_Allocation!$D$2:$D$201,$AB897)="PROJECT"," ("&amp;INDEX(FTE_Allocation!$E$2:$E$201,$AB897)&amp;")",""),"")))</f>
        <v/>
      </c>
      <c r="H897" s="7">
        <f>IF($Z897="C","CONTRACT",IF($Z897="A","ASSET",IF($Z897="F","WORKFORCE","")))</f>
        <v/>
      </c>
      <c r="I897" s="7">
        <f>IF($Z897="C",INDEX(Contracts!$L$2:$L$151,$AB897)&amp;"",IF($Z897="A",INDEX(Fixed_Assets!$I$2:$I$201,$AB897)&amp;"",IF($Z897="F",INDEX(Workforce!$G$2:$G$151,MATCH(INDEX(FTE_Allocation!$A$2:$A$201,$AB897),Workforce!$A$2:$A$151,0))&amp;"","")))</f>
        <v/>
      </c>
      <c r="J897" s="18">
        <f>IF($Z897="","",IF(AND(DATE($AD897,1,1)&gt;=$AE897,DATE($AD897,1,1)&lt;=$AF897),ROUND($AG897,2),0))</f>
        <v/>
      </c>
      <c r="K897" s="18">
        <f>IF($Z897="","",IF(AND(DATE($AD897,2,1)&gt;=$AE897,DATE($AD897,2,1)&lt;=$AF897),ROUND($AG897,2),0))</f>
        <v/>
      </c>
      <c r="L897" s="18">
        <f>IF($Z897="","",IF(AND(DATE($AD897,3,1)&gt;=$AE897,DATE($AD897,3,1)&lt;=$AF897),ROUND($AG897,2),0))</f>
        <v/>
      </c>
      <c r="M897" s="18">
        <f>IF($Z897="","",IF(AND(DATE($AD897,4,1)&gt;=$AE897,DATE($AD897,4,1)&lt;=$AF897),ROUND($AG897,2),0))</f>
        <v/>
      </c>
      <c r="N897" s="18">
        <f>IF($Z897="","",IF(AND(DATE($AD897,5,1)&gt;=$AE897,DATE($AD897,5,1)&lt;=$AF897),ROUND($AG897,2),0))</f>
        <v/>
      </c>
      <c r="O897" s="18">
        <f>IF($Z897="","",IF(AND(DATE($AD897,6,1)&gt;=$AE897,DATE($AD897,6,1)&lt;=$AF897),ROUND($AG897,2),0))</f>
        <v/>
      </c>
      <c r="P897" s="18">
        <f>IF($Z897="","",IF(AND(DATE($AD897,7,1)&gt;=$AE897,DATE($AD897,7,1)&lt;=$AF897),ROUND($AG897,2),0))</f>
        <v/>
      </c>
      <c r="Q897" s="18">
        <f>IF($Z897="","",IF(AND(DATE($AD897,8,1)&gt;=$AE897,DATE($AD897,8,1)&lt;=$AF897),ROUND($AG897,2),0))</f>
        <v/>
      </c>
      <c r="R897" s="18">
        <f>IF($Z897="","",IF(AND(DATE($AD897,9,1)&gt;=$AE897,DATE($AD897,9,1)&lt;=$AF897),ROUND($AG897,2),0))</f>
        <v/>
      </c>
      <c r="S897" s="18">
        <f>IF($Z897="","",IF(AND(DATE($AD897,10,1)&gt;=$AE897,DATE($AD897,10,1)&lt;=$AF897),ROUND($AG897,2),0))</f>
        <v/>
      </c>
      <c r="T897" s="18">
        <f>IF($Z897="","",IF(AND(DATE($AD897,11,1)&gt;=$AE897,DATE($AD897,11,1)&lt;=$AF897),ROUND($AG897,2),0))</f>
        <v/>
      </c>
      <c r="U897" s="18">
        <f>IF($Z897="","",IF(AND(DATE($AD897,12,1)&gt;=$AE897,DATE($AD897,12,1)&lt;=$AF897),ROUND($AG897,2),0))</f>
        <v/>
      </c>
      <c r="V897" s="7">
        <f>IF($Z897="C","Generated from "&amp;INDEX(Contracts!$A$2:$A$151,$AB897),IF($Z897="A","Generated from "&amp;INDEX(Fixed_Assets!$A$2:$A$201,$AB897),IF($Z897="F","Generated from "&amp;INDEX(FTE_Allocation!$A$2:$A$201,$AB897),"")))</f>
        <v/>
      </c>
      <c r="X897" s="19">
        <f>IF($Z897="","",SUM(J897:U897))</f>
        <v/>
      </c>
      <c r="Y897" s="20">
        <f>ROW()-1</f>
        <v/>
      </c>
      <c r="Z897" s="20">
        <f>IF($Y897&lt;=Settings!$B$4*3,"C",IF($Y897&lt;=(Settings!$B$4+Settings!$B$5)*3,"A",IF($Y897&lt;=(Settings!$B$4+Settings!$B$5+Settings!$B$6)*3,"F","")))</f>
        <v/>
      </c>
      <c r="AA897" s="20">
        <f>IF($Z897="C",$Y897,IF($Z897="A",$Y897-Settings!$B$4*3,IF($Z897="F",$Y897-(Settings!$B$4+Settings!$B$5)*3,"")))</f>
        <v/>
      </c>
      <c r="AB897" s="20">
        <f>IF($Z897="","",INT(($AA897-1)/3)+1)</f>
        <v/>
      </c>
      <c r="AC897" s="20">
        <f>IF($Z897="","",MOD($AA897-1,3)+1)</f>
        <v/>
      </c>
      <c r="AD897" s="20">
        <f>IF($Z897="","",Settings!$B$2+$AC897-1)</f>
        <v/>
      </c>
      <c r="AE897" s="21">
        <f>IF($Z897="C",DATE(YEAR(INDEX(Contracts!$J$2:$J$151,$AB897)),MONTH(INDEX(Contracts!$J$2:$J$151,$AB897)),1),IF($Z897="A",DATE(YEAR(INDEX(Fixed_Assets!$G$2:$G$201,$AB897)),MONTH(INDEX(Fixed_Assets!$G$2:$G$201,$AB897)),1),IF($Z897="F",DATE(YEAR(MAX(N(INDEX(Workforce!$I$2:$I$151,MATCH(INDEX(FTE_Allocation!$A$2:$A$201,$AB897),Workforce!$A$2:$A$151,0))),N(INDEX(FTE_Allocation!$I$2:$I$201,$AB897)))),MONTH(MAX(N(INDEX(Workforce!$I$2:$I$151,MATCH(INDEX(FTE_Allocation!$A$2:$A$201,$AB897),Workforce!$A$2:$A$151,0))),N(INDEX(FTE_Allocation!$I$2:$I$201,$AB897)))),1),"")))</f>
        <v/>
      </c>
      <c r="AF897" s="21">
        <f>IF($Z897="C",IF(INDEX(Contracts!$I$2:$I$151,$AB897)="PREPAID",EDATE(DATE(YEAR(INDEX(Contracts!$J$2:$J$151,$AB897)),MONTH(INDEX(Contracts!$J$2:$J$151,$AB897)),1),IF(INDEX(Contracts!$N$2:$N$151,$AB897)="",12,INDEX(Contracts!$N$2:$N$151,$AB897))-1),IF(INDEX(Contracts!$I$2:$I$151,$AB897)="MONTHLY",IF(INDEX(Contracts!$K$2:$K$151,$AB897)="",2958101,INDEX(Contracts!$K$2:$K$151,$AB897)),0)),IF($Z897="A",EDATE(DATE(YEAR(INDEX(Fixed_Assets!$G$2:$G$201,$AB897)),MONTH(INDEX(Fixed_Assets!$G$2:$G$201,$AB897)),1),INDEX(Fixed_Assets!$J$2:$J$201,$AB897)-1),IF($Z897="F",MIN(IF(INDEX(Workforce!$J$2:$J$151,MATCH(INDEX(FTE_Allocation!$A$2:$A$201,$AB897),Workforce!$A$2:$A$151,0))="",2958101,INDEX(Workforce!$J$2:$J$151,MATCH(INDEX(FTE_Allocation!$A$2:$A$201,$AB897),Workforce!$A$2:$A$151,0))),IF(INDEX(FTE_Allocation!$J$2:$J$201,$AB897)="",2958101,INDEX(FTE_Allocation!$J$2:$J$201,$AB897))),"")))</f>
        <v/>
      </c>
      <c r="AG897" s="19">
        <f>IF($Z897="C",IF(INDEX(Contracts!$I$2:$I$151,$AB897)="PREPAID",INDEX(Contracts!$M$2:$M$151,$AB897)/IF(INDEX(Contracts!$N$2:$N$151,$AB897)="",12,INDEX(Contracts!$N$2:$N$151,$AB897)),IF(INDEX(Contracts!$I$2:$I$151,$AB897)="MONTHLY",INDEX(Contracts!$M$2:$M$151,$AB897),0))*(1-N(INDEX(Contracts!$O$2:$O$151,$AB897))),IF($Z897="A",INDEX(Fixed_Assets!$H$2:$H$201,$AB897)/INDEX(Fixed_Assets!$J$2:$J$201,$AB897),IF($Z897="F",INDEX(Workforce!$F$2:$F$151,MATCH(INDEX(FTE_Allocation!$A$2:$A$201,$AB897),Workforce!$A$2:$A$151,0))*N(INDEX(FTE_Allocation!$F$2:$H$201,$AB897,$AC897)),"")))</f>
        <v/>
      </c>
    </row>
    <row r="898">
      <c r="A898" s="7">
        <f>IF($Z898="","",$AD898)</f>
        <v/>
      </c>
      <c r="B898" s="7">
        <f>IF($Z898="C",INDEX(Contracts!$D$2:$D$151,$AB898)&amp;"",IF($Z898="A",INDEX(Fixed_Assets!$C$2:$C$201,$AB898)&amp;"",IF($Z898="F",INDEX(Workforce!$B$2:$B$151,MATCH(INDEX(FTE_Allocation!$A$2:$A$201,$AB898),Workforce!$A$2:$A$151,0))&amp;"","")))</f>
        <v/>
      </c>
      <c r="C898" s="7">
        <f>IF($Z898="C",INDEX(Contracts!$E$2:$E$151,$AB898)&amp;"",IF($Z898="A",INDEX(Fixed_Assets!$D$2:$D$201,$AB898)&amp;"",IF($Z898="F",INDEX(FTE_Allocation!$C$2:$C$201,$AB898)&amp;"","")))</f>
        <v/>
      </c>
      <c r="D898" s="7">
        <f>IF($Z898="C",INDEX(Contracts!$B$2:$B$151,$AB898)&amp;"",IF($Z898="A",INDEX(Fixed_Assets!$B$2:$B$201,$AB898)&amp;"",IF($Z898="F",INDEX(FTE_Allocation!$B$2:$B$201,$AB898)&amp;"","")))</f>
        <v/>
      </c>
      <c r="E898" s="7">
        <f>IF($Z898="C",INDEX(Contracts!$P$2:$P$151,$AB898)&amp;"",IF($Z898="A",INDEX(Fixed_Assets!$K$2:$K$201,$AB898)&amp;"",IF($Z898="F",IF(INDEX(FTE_Allocation!$D$2:$D$201,$AB898)="PROJECT",IFERROR(INDEX(Projects!$D:$D,MATCH(INDEX(FTE_Allocation!$E$2:$E$201,$AB898),Projects!$A:$A,0))&amp;"","#PROJECT?"),INDEX(FTE_Allocation!$E$2:$E$201,$AB898)&amp;""),"")))</f>
        <v/>
      </c>
      <c r="F898" s="7">
        <f>IF($Z898="C",INDEX(Contracts!$Q$2:$Q$151,$AB898)&amp;"",IF($Z898="A",INDEX(Fixed_Assets!$L$2:$L$201,$AB898)&amp;"",IF($Z898="F",INDEX(Workforce!$K$2:$K$151,MATCH(INDEX(FTE_Allocation!$A$2:$A$201,$AB898),Workforce!$A$2:$A$151,0))&amp;"","")))</f>
        <v/>
      </c>
      <c r="G898" s="7">
        <f>IF($Z898="C",INDEX(Contracts!$F$2:$F$151,$AB898)&amp;" / "&amp;INDEX(Contracts!$G$2:$G$151,$AB898),IF($Z898="A",INDEX(Fixed_Assets!$E$2:$E$201,$AB898)&amp;"",IF($Z898="F","Personnel "&amp;INDEX(FTE_Allocation!$A$2:$A$201,$AB898)&amp;IF(INDEX(FTE_Allocation!$D$2:$D$201,$AB898)="PROJECT"," ("&amp;INDEX(FTE_Allocation!$E$2:$E$201,$AB898)&amp;")",""),"")))</f>
        <v/>
      </c>
      <c r="H898" s="7">
        <f>IF($Z898="C","CONTRACT",IF($Z898="A","ASSET",IF($Z898="F","WORKFORCE","")))</f>
        <v/>
      </c>
      <c r="I898" s="7">
        <f>IF($Z898="C",INDEX(Contracts!$L$2:$L$151,$AB898)&amp;"",IF($Z898="A",INDEX(Fixed_Assets!$I$2:$I$201,$AB898)&amp;"",IF($Z898="F",INDEX(Workforce!$G$2:$G$151,MATCH(INDEX(FTE_Allocation!$A$2:$A$201,$AB898),Workforce!$A$2:$A$151,0))&amp;"","")))</f>
        <v/>
      </c>
      <c r="J898" s="18">
        <f>IF($Z898="","",IF(AND(DATE($AD898,1,1)&gt;=$AE898,DATE($AD898,1,1)&lt;=$AF898),ROUND($AG898,2),0))</f>
        <v/>
      </c>
      <c r="K898" s="18">
        <f>IF($Z898="","",IF(AND(DATE($AD898,2,1)&gt;=$AE898,DATE($AD898,2,1)&lt;=$AF898),ROUND($AG898,2),0))</f>
        <v/>
      </c>
      <c r="L898" s="18">
        <f>IF($Z898="","",IF(AND(DATE($AD898,3,1)&gt;=$AE898,DATE($AD898,3,1)&lt;=$AF898),ROUND($AG898,2),0))</f>
        <v/>
      </c>
      <c r="M898" s="18">
        <f>IF($Z898="","",IF(AND(DATE($AD898,4,1)&gt;=$AE898,DATE($AD898,4,1)&lt;=$AF898),ROUND($AG898,2),0))</f>
        <v/>
      </c>
      <c r="N898" s="18">
        <f>IF($Z898="","",IF(AND(DATE($AD898,5,1)&gt;=$AE898,DATE($AD898,5,1)&lt;=$AF898),ROUND($AG898,2),0))</f>
        <v/>
      </c>
      <c r="O898" s="18">
        <f>IF($Z898="","",IF(AND(DATE($AD898,6,1)&gt;=$AE898,DATE($AD898,6,1)&lt;=$AF898),ROUND($AG898,2),0))</f>
        <v/>
      </c>
      <c r="P898" s="18">
        <f>IF($Z898="","",IF(AND(DATE($AD898,7,1)&gt;=$AE898,DATE($AD898,7,1)&lt;=$AF898),ROUND($AG898,2),0))</f>
        <v/>
      </c>
      <c r="Q898" s="18">
        <f>IF($Z898="","",IF(AND(DATE($AD898,8,1)&gt;=$AE898,DATE($AD898,8,1)&lt;=$AF898),ROUND($AG898,2),0))</f>
        <v/>
      </c>
      <c r="R898" s="18">
        <f>IF($Z898="","",IF(AND(DATE($AD898,9,1)&gt;=$AE898,DATE($AD898,9,1)&lt;=$AF898),ROUND($AG898,2),0))</f>
        <v/>
      </c>
      <c r="S898" s="18">
        <f>IF($Z898="","",IF(AND(DATE($AD898,10,1)&gt;=$AE898,DATE($AD898,10,1)&lt;=$AF898),ROUND($AG898,2),0))</f>
        <v/>
      </c>
      <c r="T898" s="18">
        <f>IF($Z898="","",IF(AND(DATE($AD898,11,1)&gt;=$AE898,DATE($AD898,11,1)&lt;=$AF898),ROUND($AG898,2),0))</f>
        <v/>
      </c>
      <c r="U898" s="18">
        <f>IF($Z898="","",IF(AND(DATE($AD898,12,1)&gt;=$AE898,DATE($AD898,12,1)&lt;=$AF898),ROUND($AG898,2),0))</f>
        <v/>
      </c>
      <c r="V898" s="7">
        <f>IF($Z898="C","Generated from "&amp;INDEX(Contracts!$A$2:$A$151,$AB898),IF($Z898="A","Generated from "&amp;INDEX(Fixed_Assets!$A$2:$A$201,$AB898),IF($Z898="F","Generated from "&amp;INDEX(FTE_Allocation!$A$2:$A$201,$AB898),"")))</f>
        <v/>
      </c>
      <c r="X898" s="19">
        <f>IF($Z898="","",SUM(J898:U898))</f>
        <v/>
      </c>
      <c r="Y898" s="20">
        <f>ROW()-1</f>
        <v/>
      </c>
      <c r="Z898" s="20">
        <f>IF($Y898&lt;=Settings!$B$4*3,"C",IF($Y898&lt;=(Settings!$B$4+Settings!$B$5)*3,"A",IF($Y898&lt;=(Settings!$B$4+Settings!$B$5+Settings!$B$6)*3,"F","")))</f>
        <v/>
      </c>
      <c r="AA898" s="20">
        <f>IF($Z898="C",$Y898,IF($Z898="A",$Y898-Settings!$B$4*3,IF($Z898="F",$Y898-(Settings!$B$4+Settings!$B$5)*3,"")))</f>
        <v/>
      </c>
      <c r="AB898" s="20">
        <f>IF($Z898="","",INT(($AA898-1)/3)+1)</f>
        <v/>
      </c>
      <c r="AC898" s="20">
        <f>IF($Z898="","",MOD($AA898-1,3)+1)</f>
        <v/>
      </c>
      <c r="AD898" s="20">
        <f>IF($Z898="","",Settings!$B$2+$AC898-1)</f>
        <v/>
      </c>
      <c r="AE898" s="21">
        <f>IF($Z898="C",DATE(YEAR(INDEX(Contracts!$J$2:$J$151,$AB898)),MONTH(INDEX(Contracts!$J$2:$J$151,$AB898)),1),IF($Z898="A",DATE(YEAR(INDEX(Fixed_Assets!$G$2:$G$201,$AB898)),MONTH(INDEX(Fixed_Assets!$G$2:$G$201,$AB898)),1),IF($Z898="F",DATE(YEAR(MAX(N(INDEX(Workforce!$I$2:$I$151,MATCH(INDEX(FTE_Allocation!$A$2:$A$201,$AB898),Workforce!$A$2:$A$151,0))),N(INDEX(FTE_Allocation!$I$2:$I$201,$AB898)))),MONTH(MAX(N(INDEX(Workforce!$I$2:$I$151,MATCH(INDEX(FTE_Allocation!$A$2:$A$201,$AB898),Workforce!$A$2:$A$151,0))),N(INDEX(FTE_Allocation!$I$2:$I$201,$AB898)))),1),"")))</f>
        <v/>
      </c>
      <c r="AF898" s="21">
        <f>IF($Z898="C",IF(INDEX(Contracts!$I$2:$I$151,$AB898)="PREPAID",EDATE(DATE(YEAR(INDEX(Contracts!$J$2:$J$151,$AB898)),MONTH(INDEX(Contracts!$J$2:$J$151,$AB898)),1),IF(INDEX(Contracts!$N$2:$N$151,$AB898)="",12,INDEX(Contracts!$N$2:$N$151,$AB898))-1),IF(INDEX(Contracts!$I$2:$I$151,$AB898)="MONTHLY",IF(INDEX(Contracts!$K$2:$K$151,$AB898)="",2958101,INDEX(Contracts!$K$2:$K$151,$AB898)),0)),IF($Z898="A",EDATE(DATE(YEAR(INDEX(Fixed_Assets!$G$2:$G$201,$AB898)),MONTH(INDEX(Fixed_Assets!$G$2:$G$201,$AB898)),1),INDEX(Fixed_Assets!$J$2:$J$201,$AB898)-1),IF($Z898="F",MIN(IF(INDEX(Workforce!$J$2:$J$151,MATCH(INDEX(FTE_Allocation!$A$2:$A$201,$AB898),Workforce!$A$2:$A$151,0))="",2958101,INDEX(Workforce!$J$2:$J$151,MATCH(INDEX(FTE_Allocation!$A$2:$A$201,$AB898),Workforce!$A$2:$A$151,0))),IF(INDEX(FTE_Allocation!$J$2:$J$201,$AB898)="",2958101,INDEX(FTE_Allocation!$J$2:$J$201,$AB898))),"")))</f>
        <v/>
      </c>
      <c r="AG898" s="19">
        <f>IF($Z898="C",IF(INDEX(Contracts!$I$2:$I$151,$AB898)="PREPAID",INDEX(Contracts!$M$2:$M$151,$AB898)/IF(INDEX(Contracts!$N$2:$N$151,$AB898)="",12,INDEX(Contracts!$N$2:$N$151,$AB898)),IF(INDEX(Contracts!$I$2:$I$151,$AB898)="MONTHLY",INDEX(Contracts!$M$2:$M$151,$AB898),0))*(1-N(INDEX(Contracts!$O$2:$O$151,$AB898))),IF($Z898="A",INDEX(Fixed_Assets!$H$2:$H$201,$AB898)/INDEX(Fixed_Assets!$J$2:$J$201,$AB898),IF($Z898="F",INDEX(Workforce!$F$2:$F$151,MATCH(INDEX(FTE_Allocation!$A$2:$A$201,$AB898),Workforce!$A$2:$A$151,0))*N(INDEX(FTE_Allocation!$F$2:$H$201,$AB898,$AC898)),"")))</f>
        <v/>
      </c>
    </row>
    <row r="899">
      <c r="A899" s="7">
        <f>IF($Z899="","",$AD899)</f>
        <v/>
      </c>
      <c r="B899" s="7">
        <f>IF($Z899="C",INDEX(Contracts!$D$2:$D$151,$AB899)&amp;"",IF($Z899="A",INDEX(Fixed_Assets!$C$2:$C$201,$AB899)&amp;"",IF($Z899="F",INDEX(Workforce!$B$2:$B$151,MATCH(INDEX(FTE_Allocation!$A$2:$A$201,$AB899),Workforce!$A$2:$A$151,0))&amp;"","")))</f>
        <v/>
      </c>
      <c r="C899" s="7">
        <f>IF($Z899="C",INDEX(Contracts!$E$2:$E$151,$AB899)&amp;"",IF($Z899="A",INDEX(Fixed_Assets!$D$2:$D$201,$AB899)&amp;"",IF($Z899="F",INDEX(FTE_Allocation!$C$2:$C$201,$AB899)&amp;"","")))</f>
        <v/>
      </c>
      <c r="D899" s="7">
        <f>IF($Z899="C",INDEX(Contracts!$B$2:$B$151,$AB899)&amp;"",IF($Z899="A",INDEX(Fixed_Assets!$B$2:$B$201,$AB899)&amp;"",IF($Z899="F",INDEX(FTE_Allocation!$B$2:$B$201,$AB899)&amp;"","")))</f>
        <v/>
      </c>
      <c r="E899" s="7">
        <f>IF($Z899="C",INDEX(Contracts!$P$2:$P$151,$AB899)&amp;"",IF($Z899="A",INDEX(Fixed_Assets!$K$2:$K$201,$AB899)&amp;"",IF($Z899="F",IF(INDEX(FTE_Allocation!$D$2:$D$201,$AB899)="PROJECT",IFERROR(INDEX(Projects!$D:$D,MATCH(INDEX(FTE_Allocation!$E$2:$E$201,$AB899),Projects!$A:$A,0))&amp;"","#PROJECT?"),INDEX(FTE_Allocation!$E$2:$E$201,$AB899)&amp;""),"")))</f>
        <v/>
      </c>
      <c r="F899" s="7">
        <f>IF($Z899="C",INDEX(Contracts!$Q$2:$Q$151,$AB899)&amp;"",IF($Z899="A",INDEX(Fixed_Assets!$L$2:$L$201,$AB899)&amp;"",IF($Z899="F",INDEX(Workforce!$K$2:$K$151,MATCH(INDEX(FTE_Allocation!$A$2:$A$201,$AB899),Workforce!$A$2:$A$151,0))&amp;"","")))</f>
        <v/>
      </c>
      <c r="G899" s="7">
        <f>IF($Z899="C",INDEX(Contracts!$F$2:$F$151,$AB899)&amp;" / "&amp;INDEX(Contracts!$G$2:$G$151,$AB899),IF($Z899="A",INDEX(Fixed_Assets!$E$2:$E$201,$AB899)&amp;"",IF($Z899="F","Personnel "&amp;INDEX(FTE_Allocation!$A$2:$A$201,$AB899)&amp;IF(INDEX(FTE_Allocation!$D$2:$D$201,$AB899)="PROJECT"," ("&amp;INDEX(FTE_Allocation!$E$2:$E$201,$AB899)&amp;")",""),"")))</f>
        <v/>
      </c>
      <c r="H899" s="7">
        <f>IF($Z899="C","CONTRACT",IF($Z899="A","ASSET",IF($Z899="F","WORKFORCE","")))</f>
        <v/>
      </c>
      <c r="I899" s="7">
        <f>IF($Z899="C",INDEX(Contracts!$L$2:$L$151,$AB899)&amp;"",IF($Z899="A",INDEX(Fixed_Assets!$I$2:$I$201,$AB899)&amp;"",IF($Z899="F",INDEX(Workforce!$G$2:$G$151,MATCH(INDEX(FTE_Allocation!$A$2:$A$201,$AB899),Workforce!$A$2:$A$151,0))&amp;"","")))</f>
        <v/>
      </c>
      <c r="J899" s="18">
        <f>IF($Z899="","",IF(AND(DATE($AD899,1,1)&gt;=$AE899,DATE($AD899,1,1)&lt;=$AF899),ROUND($AG899,2),0))</f>
        <v/>
      </c>
      <c r="K899" s="18">
        <f>IF($Z899="","",IF(AND(DATE($AD899,2,1)&gt;=$AE899,DATE($AD899,2,1)&lt;=$AF899),ROUND($AG899,2),0))</f>
        <v/>
      </c>
      <c r="L899" s="18">
        <f>IF($Z899="","",IF(AND(DATE($AD899,3,1)&gt;=$AE899,DATE($AD899,3,1)&lt;=$AF899),ROUND($AG899,2),0))</f>
        <v/>
      </c>
      <c r="M899" s="18">
        <f>IF($Z899="","",IF(AND(DATE($AD899,4,1)&gt;=$AE899,DATE($AD899,4,1)&lt;=$AF899),ROUND($AG899,2),0))</f>
        <v/>
      </c>
      <c r="N899" s="18">
        <f>IF($Z899="","",IF(AND(DATE($AD899,5,1)&gt;=$AE899,DATE($AD899,5,1)&lt;=$AF899),ROUND($AG899,2),0))</f>
        <v/>
      </c>
      <c r="O899" s="18">
        <f>IF($Z899="","",IF(AND(DATE($AD899,6,1)&gt;=$AE899,DATE($AD899,6,1)&lt;=$AF899),ROUND($AG899,2),0))</f>
        <v/>
      </c>
      <c r="P899" s="18">
        <f>IF($Z899="","",IF(AND(DATE($AD899,7,1)&gt;=$AE899,DATE($AD899,7,1)&lt;=$AF899),ROUND($AG899,2),0))</f>
        <v/>
      </c>
      <c r="Q899" s="18">
        <f>IF($Z899="","",IF(AND(DATE($AD899,8,1)&gt;=$AE899,DATE($AD899,8,1)&lt;=$AF899),ROUND($AG899,2),0))</f>
        <v/>
      </c>
      <c r="R899" s="18">
        <f>IF($Z899="","",IF(AND(DATE($AD899,9,1)&gt;=$AE899,DATE($AD899,9,1)&lt;=$AF899),ROUND($AG899,2),0))</f>
        <v/>
      </c>
      <c r="S899" s="18">
        <f>IF($Z899="","",IF(AND(DATE($AD899,10,1)&gt;=$AE899,DATE($AD899,10,1)&lt;=$AF899),ROUND($AG899,2),0))</f>
        <v/>
      </c>
      <c r="T899" s="18">
        <f>IF($Z899="","",IF(AND(DATE($AD899,11,1)&gt;=$AE899,DATE($AD899,11,1)&lt;=$AF899),ROUND($AG899,2),0))</f>
        <v/>
      </c>
      <c r="U899" s="18">
        <f>IF($Z899="","",IF(AND(DATE($AD899,12,1)&gt;=$AE899,DATE($AD899,12,1)&lt;=$AF899),ROUND($AG899,2),0))</f>
        <v/>
      </c>
      <c r="V899" s="7">
        <f>IF($Z899="C","Generated from "&amp;INDEX(Contracts!$A$2:$A$151,$AB899),IF($Z899="A","Generated from "&amp;INDEX(Fixed_Assets!$A$2:$A$201,$AB899),IF($Z899="F","Generated from "&amp;INDEX(FTE_Allocation!$A$2:$A$201,$AB899),"")))</f>
        <v/>
      </c>
      <c r="X899" s="19">
        <f>IF($Z899="","",SUM(J899:U899))</f>
        <v/>
      </c>
      <c r="Y899" s="20">
        <f>ROW()-1</f>
        <v/>
      </c>
      <c r="Z899" s="20">
        <f>IF($Y899&lt;=Settings!$B$4*3,"C",IF($Y899&lt;=(Settings!$B$4+Settings!$B$5)*3,"A",IF($Y899&lt;=(Settings!$B$4+Settings!$B$5+Settings!$B$6)*3,"F","")))</f>
        <v/>
      </c>
      <c r="AA899" s="20">
        <f>IF($Z899="C",$Y899,IF($Z899="A",$Y899-Settings!$B$4*3,IF($Z899="F",$Y899-(Settings!$B$4+Settings!$B$5)*3,"")))</f>
        <v/>
      </c>
      <c r="AB899" s="20">
        <f>IF($Z899="","",INT(($AA899-1)/3)+1)</f>
        <v/>
      </c>
      <c r="AC899" s="20">
        <f>IF($Z899="","",MOD($AA899-1,3)+1)</f>
        <v/>
      </c>
      <c r="AD899" s="20">
        <f>IF($Z899="","",Settings!$B$2+$AC899-1)</f>
        <v/>
      </c>
      <c r="AE899" s="21">
        <f>IF($Z899="C",DATE(YEAR(INDEX(Contracts!$J$2:$J$151,$AB899)),MONTH(INDEX(Contracts!$J$2:$J$151,$AB899)),1),IF($Z899="A",DATE(YEAR(INDEX(Fixed_Assets!$G$2:$G$201,$AB899)),MONTH(INDEX(Fixed_Assets!$G$2:$G$201,$AB899)),1),IF($Z899="F",DATE(YEAR(MAX(N(INDEX(Workforce!$I$2:$I$151,MATCH(INDEX(FTE_Allocation!$A$2:$A$201,$AB899),Workforce!$A$2:$A$151,0))),N(INDEX(FTE_Allocation!$I$2:$I$201,$AB899)))),MONTH(MAX(N(INDEX(Workforce!$I$2:$I$151,MATCH(INDEX(FTE_Allocation!$A$2:$A$201,$AB899),Workforce!$A$2:$A$151,0))),N(INDEX(FTE_Allocation!$I$2:$I$201,$AB899)))),1),"")))</f>
        <v/>
      </c>
      <c r="AF899" s="21">
        <f>IF($Z899="C",IF(INDEX(Contracts!$I$2:$I$151,$AB899)="PREPAID",EDATE(DATE(YEAR(INDEX(Contracts!$J$2:$J$151,$AB899)),MONTH(INDEX(Contracts!$J$2:$J$151,$AB899)),1),IF(INDEX(Contracts!$N$2:$N$151,$AB899)="",12,INDEX(Contracts!$N$2:$N$151,$AB899))-1),IF(INDEX(Contracts!$I$2:$I$151,$AB899)="MONTHLY",IF(INDEX(Contracts!$K$2:$K$151,$AB899)="",2958101,INDEX(Contracts!$K$2:$K$151,$AB899)),0)),IF($Z899="A",EDATE(DATE(YEAR(INDEX(Fixed_Assets!$G$2:$G$201,$AB899)),MONTH(INDEX(Fixed_Assets!$G$2:$G$201,$AB899)),1),INDEX(Fixed_Assets!$J$2:$J$201,$AB899)-1),IF($Z899="F",MIN(IF(INDEX(Workforce!$J$2:$J$151,MATCH(INDEX(FTE_Allocation!$A$2:$A$201,$AB899),Workforce!$A$2:$A$151,0))="",2958101,INDEX(Workforce!$J$2:$J$151,MATCH(INDEX(FTE_Allocation!$A$2:$A$201,$AB899),Workforce!$A$2:$A$151,0))),IF(INDEX(FTE_Allocation!$J$2:$J$201,$AB899)="",2958101,INDEX(FTE_Allocation!$J$2:$J$201,$AB899))),"")))</f>
        <v/>
      </c>
      <c r="AG899" s="19">
        <f>IF($Z899="C",IF(INDEX(Contracts!$I$2:$I$151,$AB899)="PREPAID",INDEX(Contracts!$M$2:$M$151,$AB899)/IF(INDEX(Contracts!$N$2:$N$151,$AB899)="",12,INDEX(Contracts!$N$2:$N$151,$AB899)),IF(INDEX(Contracts!$I$2:$I$151,$AB899)="MONTHLY",INDEX(Contracts!$M$2:$M$151,$AB899),0))*(1-N(INDEX(Contracts!$O$2:$O$151,$AB899))),IF($Z899="A",INDEX(Fixed_Assets!$H$2:$H$201,$AB899)/INDEX(Fixed_Assets!$J$2:$J$201,$AB899),IF($Z899="F",INDEX(Workforce!$F$2:$F$151,MATCH(INDEX(FTE_Allocation!$A$2:$A$201,$AB899),Workforce!$A$2:$A$151,0))*N(INDEX(FTE_Allocation!$F$2:$H$201,$AB899,$AC899)),"")))</f>
        <v/>
      </c>
    </row>
    <row r="900">
      <c r="A900" s="7">
        <f>IF($Z900="","",$AD900)</f>
        <v/>
      </c>
      <c r="B900" s="7">
        <f>IF($Z900="C",INDEX(Contracts!$D$2:$D$151,$AB900)&amp;"",IF($Z900="A",INDEX(Fixed_Assets!$C$2:$C$201,$AB900)&amp;"",IF($Z900="F",INDEX(Workforce!$B$2:$B$151,MATCH(INDEX(FTE_Allocation!$A$2:$A$201,$AB900),Workforce!$A$2:$A$151,0))&amp;"","")))</f>
        <v/>
      </c>
      <c r="C900" s="7">
        <f>IF($Z900="C",INDEX(Contracts!$E$2:$E$151,$AB900)&amp;"",IF($Z900="A",INDEX(Fixed_Assets!$D$2:$D$201,$AB900)&amp;"",IF($Z900="F",INDEX(FTE_Allocation!$C$2:$C$201,$AB900)&amp;"","")))</f>
        <v/>
      </c>
      <c r="D900" s="7">
        <f>IF($Z900="C",INDEX(Contracts!$B$2:$B$151,$AB900)&amp;"",IF($Z900="A",INDEX(Fixed_Assets!$B$2:$B$201,$AB900)&amp;"",IF($Z900="F",INDEX(FTE_Allocation!$B$2:$B$201,$AB900)&amp;"","")))</f>
        <v/>
      </c>
      <c r="E900" s="7">
        <f>IF($Z900="C",INDEX(Contracts!$P$2:$P$151,$AB900)&amp;"",IF($Z900="A",INDEX(Fixed_Assets!$K$2:$K$201,$AB900)&amp;"",IF($Z900="F",IF(INDEX(FTE_Allocation!$D$2:$D$201,$AB900)="PROJECT",IFERROR(INDEX(Projects!$D:$D,MATCH(INDEX(FTE_Allocation!$E$2:$E$201,$AB900),Projects!$A:$A,0))&amp;"","#PROJECT?"),INDEX(FTE_Allocation!$E$2:$E$201,$AB900)&amp;""),"")))</f>
        <v/>
      </c>
      <c r="F900" s="7">
        <f>IF($Z900="C",INDEX(Contracts!$Q$2:$Q$151,$AB900)&amp;"",IF($Z900="A",INDEX(Fixed_Assets!$L$2:$L$201,$AB900)&amp;"",IF($Z900="F",INDEX(Workforce!$K$2:$K$151,MATCH(INDEX(FTE_Allocation!$A$2:$A$201,$AB900),Workforce!$A$2:$A$151,0))&amp;"","")))</f>
        <v/>
      </c>
      <c r="G900" s="7">
        <f>IF($Z900="C",INDEX(Contracts!$F$2:$F$151,$AB900)&amp;" / "&amp;INDEX(Contracts!$G$2:$G$151,$AB900),IF($Z900="A",INDEX(Fixed_Assets!$E$2:$E$201,$AB900)&amp;"",IF($Z900="F","Personnel "&amp;INDEX(FTE_Allocation!$A$2:$A$201,$AB900)&amp;IF(INDEX(FTE_Allocation!$D$2:$D$201,$AB900)="PROJECT"," ("&amp;INDEX(FTE_Allocation!$E$2:$E$201,$AB900)&amp;")",""),"")))</f>
        <v/>
      </c>
      <c r="H900" s="7">
        <f>IF($Z900="C","CONTRACT",IF($Z900="A","ASSET",IF($Z900="F","WORKFORCE","")))</f>
        <v/>
      </c>
      <c r="I900" s="7">
        <f>IF($Z900="C",INDEX(Contracts!$L$2:$L$151,$AB900)&amp;"",IF($Z900="A",INDEX(Fixed_Assets!$I$2:$I$201,$AB900)&amp;"",IF($Z900="F",INDEX(Workforce!$G$2:$G$151,MATCH(INDEX(FTE_Allocation!$A$2:$A$201,$AB900),Workforce!$A$2:$A$151,0))&amp;"","")))</f>
        <v/>
      </c>
      <c r="J900" s="18">
        <f>IF($Z900="","",IF(AND(DATE($AD900,1,1)&gt;=$AE900,DATE($AD900,1,1)&lt;=$AF900),ROUND($AG900,2),0))</f>
        <v/>
      </c>
      <c r="K900" s="18">
        <f>IF($Z900="","",IF(AND(DATE($AD900,2,1)&gt;=$AE900,DATE($AD900,2,1)&lt;=$AF900),ROUND($AG900,2),0))</f>
        <v/>
      </c>
      <c r="L900" s="18">
        <f>IF($Z900="","",IF(AND(DATE($AD900,3,1)&gt;=$AE900,DATE($AD900,3,1)&lt;=$AF900),ROUND($AG900,2),0))</f>
        <v/>
      </c>
      <c r="M900" s="18">
        <f>IF($Z900="","",IF(AND(DATE($AD900,4,1)&gt;=$AE900,DATE($AD900,4,1)&lt;=$AF900),ROUND($AG900,2),0))</f>
        <v/>
      </c>
      <c r="N900" s="18">
        <f>IF($Z900="","",IF(AND(DATE($AD900,5,1)&gt;=$AE900,DATE($AD900,5,1)&lt;=$AF900),ROUND($AG900,2),0))</f>
        <v/>
      </c>
      <c r="O900" s="18">
        <f>IF($Z900="","",IF(AND(DATE($AD900,6,1)&gt;=$AE900,DATE($AD900,6,1)&lt;=$AF900),ROUND($AG900,2),0))</f>
        <v/>
      </c>
      <c r="P900" s="18">
        <f>IF($Z900="","",IF(AND(DATE($AD900,7,1)&gt;=$AE900,DATE($AD900,7,1)&lt;=$AF900),ROUND($AG900,2),0))</f>
        <v/>
      </c>
      <c r="Q900" s="18">
        <f>IF($Z900="","",IF(AND(DATE($AD900,8,1)&gt;=$AE900,DATE($AD900,8,1)&lt;=$AF900),ROUND($AG900,2),0))</f>
        <v/>
      </c>
      <c r="R900" s="18">
        <f>IF($Z900="","",IF(AND(DATE($AD900,9,1)&gt;=$AE900,DATE($AD900,9,1)&lt;=$AF900),ROUND($AG900,2),0))</f>
        <v/>
      </c>
      <c r="S900" s="18">
        <f>IF($Z900="","",IF(AND(DATE($AD900,10,1)&gt;=$AE900,DATE($AD900,10,1)&lt;=$AF900),ROUND($AG900,2),0))</f>
        <v/>
      </c>
      <c r="T900" s="18">
        <f>IF($Z900="","",IF(AND(DATE($AD900,11,1)&gt;=$AE900,DATE($AD900,11,1)&lt;=$AF900),ROUND($AG900,2),0))</f>
        <v/>
      </c>
      <c r="U900" s="18">
        <f>IF($Z900="","",IF(AND(DATE($AD900,12,1)&gt;=$AE900,DATE($AD900,12,1)&lt;=$AF900),ROUND($AG900,2),0))</f>
        <v/>
      </c>
      <c r="V900" s="7">
        <f>IF($Z900="C","Generated from "&amp;INDEX(Contracts!$A$2:$A$151,$AB900),IF($Z900="A","Generated from "&amp;INDEX(Fixed_Assets!$A$2:$A$201,$AB900),IF($Z900="F","Generated from "&amp;INDEX(FTE_Allocation!$A$2:$A$201,$AB900),"")))</f>
        <v/>
      </c>
      <c r="X900" s="19">
        <f>IF($Z900="","",SUM(J900:U900))</f>
        <v/>
      </c>
      <c r="Y900" s="20">
        <f>ROW()-1</f>
        <v/>
      </c>
      <c r="Z900" s="20">
        <f>IF($Y900&lt;=Settings!$B$4*3,"C",IF($Y900&lt;=(Settings!$B$4+Settings!$B$5)*3,"A",IF($Y900&lt;=(Settings!$B$4+Settings!$B$5+Settings!$B$6)*3,"F","")))</f>
        <v/>
      </c>
      <c r="AA900" s="20">
        <f>IF($Z900="C",$Y900,IF($Z900="A",$Y900-Settings!$B$4*3,IF($Z900="F",$Y900-(Settings!$B$4+Settings!$B$5)*3,"")))</f>
        <v/>
      </c>
      <c r="AB900" s="20">
        <f>IF($Z900="","",INT(($AA900-1)/3)+1)</f>
        <v/>
      </c>
      <c r="AC900" s="20">
        <f>IF($Z900="","",MOD($AA900-1,3)+1)</f>
        <v/>
      </c>
      <c r="AD900" s="20">
        <f>IF($Z900="","",Settings!$B$2+$AC900-1)</f>
        <v/>
      </c>
      <c r="AE900" s="21">
        <f>IF($Z900="C",DATE(YEAR(INDEX(Contracts!$J$2:$J$151,$AB900)),MONTH(INDEX(Contracts!$J$2:$J$151,$AB900)),1),IF($Z900="A",DATE(YEAR(INDEX(Fixed_Assets!$G$2:$G$201,$AB900)),MONTH(INDEX(Fixed_Assets!$G$2:$G$201,$AB900)),1),IF($Z900="F",DATE(YEAR(MAX(N(INDEX(Workforce!$I$2:$I$151,MATCH(INDEX(FTE_Allocation!$A$2:$A$201,$AB900),Workforce!$A$2:$A$151,0))),N(INDEX(FTE_Allocation!$I$2:$I$201,$AB900)))),MONTH(MAX(N(INDEX(Workforce!$I$2:$I$151,MATCH(INDEX(FTE_Allocation!$A$2:$A$201,$AB900),Workforce!$A$2:$A$151,0))),N(INDEX(FTE_Allocation!$I$2:$I$201,$AB900)))),1),"")))</f>
        <v/>
      </c>
      <c r="AF900" s="21">
        <f>IF($Z900="C",IF(INDEX(Contracts!$I$2:$I$151,$AB900)="PREPAID",EDATE(DATE(YEAR(INDEX(Contracts!$J$2:$J$151,$AB900)),MONTH(INDEX(Contracts!$J$2:$J$151,$AB900)),1),IF(INDEX(Contracts!$N$2:$N$151,$AB900)="",12,INDEX(Contracts!$N$2:$N$151,$AB900))-1),IF(INDEX(Contracts!$I$2:$I$151,$AB900)="MONTHLY",IF(INDEX(Contracts!$K$2:$K$151,$AB900)="",2958101,INDEX(Contracts!$K$2:$K$151,$AB900)),0)),IF($Z900="A",EDATE(DATE(YEAR(INDEX(Fixed_Assets!$G$2:$G$201,$AB900)),MONTH(INDEX(Fixed_Assets!$G$2:$G$201,$AB900)),1),INDEX(Fixed_Assets!$J$2:$J$201,$AB900)-1),IF($Z900="F",MIN(IF(INDEX(Workforce!$J$2:$J$151,MATCH(INDEX(FTE_Allocation!$A$2:$A$201,$AB900),Workforce!$A$2:$A$151,0))="",2958101,INDEX(Workforce!$J$2:$J$151,MATCH(INDEX(FTE_Allocation!$A$2:$A$201,$AB900),Workforce!$A$2:$A$151,0))),IF(INDEX(FTE_Allocation!$J$2:$J$201,$AB900)="",2958101,INDEX(FTE_Allocation!$J$2:$J$201,$AB900))),"")))</f>
        <v/>
      </c>
      <c r="AG900" s="19">
        <f>IF($Z900="C",IF(INDEX(Contracts!$I$2:$I$151,$AB900)="PREPAID",INDEX(Contracts!$M$2:$M$151,$AB900)/IF(INDEX(Contracts!$N$2:$N$151,$AB900)="",12,INDEX(Contracts!$N$2:$N$151,$AB900)),IF(INDEX(Contracts!$I$2:$I$151,$AB900)="MONTHLY",INDEX(Contracts!$M$2:$M$151,$AB900),0))*(1-N(INDEX(Contracts!$O$2:$O$151,$AB900))),IF($Z900="A",INDEX(Fixed_Assets!$H$2:$H$201,$AB900)/INDEX(Fixed_Assets!$J$2:$J$201,$AB900),IF($Z900="F",INDEX(Workforce!$F$2:$F$151,MATCH(INDEX(FTE_Allocation!$A$2:$A$201,$AB900),Workforce!$A$2:$A$151,0))*N(INDEX(FTE_Allocation!$F$2:$H$201,$AB900,$AC900)),"")))</f>
        <v/>
      </c>
    </row>
    <row r="901">
      <c r="A901" s="7">
        <f>IF($Z901="","",$AD901)</f>
        <v/>
      </c>
      <c r="B901" s="7">
        <f>IF($Z901="C",INDEX(Contracts!$D$2:$D$151,$AB901)&amp;"",IF($Z901="A",INDEX(Fixed_Assets!$C$2:$C$201,$AB901)&amp;"",IF($Z901="F",INDEX(Workforce!$B$2:$B$151,MATCH(INDEX(FTE_Allocation!$A$2:$A$201,$AB901),Workforce!$A$2:$A$151,0))&amp;"","")))</f>
        <v/>
      </c>
      <c r="C901" s="7">
        <f>IF($Z901="C",INDEX(Contracts!$E$2:$E$151,$AB901)&amp;"",IF($Z901="A",INDEX(Fixed_Assets!$D$2:$D$201,$AB901)&amp;"",IF($Z901="F",INDEX(FTE_Allocation!$C$2:$C$201,$AB901)&amp;"","")))</f>
        <v/>
      </c>
      <c r="D901" s="7">
        <f>IF($Z901="C",INDEX(Contracts!$B$2:$B$151,$AB901)&amp;"",IF($Z901="A",INDEX(Fixed_Assets!$B$2:$B$201,$AB901)&amp;"",IF($Z901="F",INDEX(FTE_Allocation!$B$2:$B$201,$AB901)&amp;"","")))</f>
        <v/>
      </c>
      <c r="E901" s="7">
        <f>IF($Z901="C",INDEX(Contracts!$P$2:$P$151,$AB901)&amp;"",IF($Z901="A",INDEX(Fixed_Assets!$K$2:$K$201,$AB901)&amp;"",IF($Z901="F",IF(INDEX(FTE_Allocation!$D$2:$D$201,$AB901)="PROJECT",IFERROR(INDEX(Projects!$D:$D,MATCH(INDEX(FTE_Allocation!$E$2:$E$201,$AB901),Projects!$A:$A,0))&amp;"","#PROJECT?"),INDEX(FTE_Allocation!$E$2:$E$201,$AB901)&amp;""),"")))</f>
        <v/>
      </c>
      <c r="F901" s="7">
        <f>IF($Z901="C",INDEX(Contracts!$Q$2:$Q$151,$AB901)&amp;"",IF($Z901="A",INDEX(Fixed_Assets!$L$2:$L$201,$AB901)&amp;"",IF($Z901="F",INDEX(Workforce!$K$2:$K$151,MATCH(INDEX(FTE_Allocation!$A$2:$A$201,$AB901),Workforce!$A$2:$A$151,0))&amp;"","")))</f>
        <v/>
      </c>
      <c r="G901" s="7">
        <f>IF($Z901="C",INDEX(Contracts!$F$2:$F$151,$AB901)&amp;" / "&amp;INDEX(Contracts!$G$2:$G$151,$AB901),IF($Z901="A",INDEX(Fixed_Assets!$E$2:$E$201,$AB901)&amp;"",IF($Z901="F","Personnel "&amp;INDEX(FTE_Allocation!$A$2:$A$201,$AB901)&amp;IF(INDEX(FTE_Allocation!$D$2:$D$201,$AB901)="PROJECT"," ("&amp;INDEX(FTE_Allocation!$E$2:$E$201,$AB901)&amp;")",""),"")))</f>
        <v/>
      </c>
      <c r="H901" s="7">
        <f>IF($Z901="C","CONTRACT",IF($Z901="A","ASSET",IF($Z901="F","WORKFORCE","")))</f>
        <v/>
      </c>
      <c r="I901" s="7">
        <f>IF($Z901="C",INDEX(Contracts!$L$2:$L$151,$AB901)&amp;"",IF($Z901="A",INDEX(Fixed_Assets!$I$2:$I$201,$AB901)&amp;"",IF($Z901="F",INDEX(Workforce!$G$2:$G$151,MATCH(INDEX(FTE_Allocation!$A$2:$A$201,$AB901),Workforce!$A$2:$A$151,0))&amp;"","")))</f>
        <v/>
      </c>
      <c r="J901" s="18">
        <f>IF($Z901="","",IF(AND(DATE($AD901,1,1)&gt;=$AE901,DATE($AD901,1,1)&lt;=$AF901),ROUND($AG901,2),0))</f>
        <v/>
      </c>
      <c r="K901" s="18">
        <f>IF($Z901="","",IF(AND(DATE($AD901,2,1)&gt;=$AE901,DATE($AD901,2,1)&lt;=$AF901),ROUND($AG901,2),0))</f>
        <v/>
      </c>
      <c r="L901" s="18">
        <f>IF($Z901="","",IF(AND(DATE($AD901,3,1)&gt;=$AE901,DATE($AD901,3,1)&lt;=$AF901),ROUND($AG901,2),0))</f>
        <v/>
      </c>
      <c r="M901" s="18">
        <f>IF($Z901="","",IF(AND(DATE($AD901,4,1)&gt;=$AE901,DATE($AD901,4,1)&lt;=$AF901),ROUND($AG901,2),0))</f>
        <v/>
      </c>
      <c r="N901" s="18">
        <f>IF($Z901="","",IF(AND(DATE($AD901,5,1)&gt;=$AE901,DATE($AD901,5,1)&lt;=$AF901),ROUND($AG901,2),0))</f>
        <v/>
      </c>
      <c r="O901" s="18">
        <f>IF($Z901="","",IF(AND(DATE($AD901,6,1)&gt;=$AE901,DATE($AD901,6,1)&lt;=$AF901),ROUND($AG901,2),0))</f>
        <v/>
      </c>
      <c r="P901" s="18">
        <f>IF($Z901="","",IF(AND(DATE($AD901,7,1)&gt;=$AE901,DATE($AD901,7,1)&lt;=$AF901),ROUND($AG901,2),0))</f>
        <v/>
      </c>
      <c r="Q901" s="18">
        <f>IF($Z901="","",IF(AND(DATE($AD901,8,1)&gt;=$AE901,DATE($AD901,8,1)&lt;=$AF901),ROUND($AG901,2),0))</f>
        <v/>
      </c>
      <c r="R901" s="18">
        <f>IF($Z901="","",IF(AND(DATE($AD901,9,1)&gt;=$AE901,DATE($AD901,9,1)&lt;=$AF901),ROUND($AG901,2),0))</f>
        <v/>
      </c>
      <c r="S901" s="18">
        <f>IF($Z901="","",IF(AND(DATE($AD901,10,1)&gt;=$AE901,DATE($AD901,10,1)&lt;=$AF901),ROUND($AG901,2),0))</f>
        <v/>
      </c>
      <c r="T901" s="18">
        <f>IF($Z901="","",IF(AND(DATE($AD901,11,1)&gt;=$AE901,DATE($AD901,11,1)&lt;=$AF901),ROUND($AG901,2),0))</f>
        <v/>
      </c>
      <c r="U901" s="18">
        <f>IF($Z901="","",IF(AND(DATE($AD901,12,1)&gt;=$AE901,DATE($AD901,12,1)&lt;=$AF901),ROUND($AG901,2),0))</f>
        <v/>
      </c>
      <c r="V901" s="7">
        <f>IF($Z901="C","Generated from "&amp;INDEX(Contracts!$A$2:$A$151,$AB901),IF($Z901="A","Generated from "&amp;INDEX(Fixed_Assets!$A$2:$A$201,$AB901),IF($Z901="F","Generated from "&amp;INDEX(FTE_Allocation!$A$2:$A$201,$AB901),"")))</f>
        <v/>
      </c>
      <c r="X901" s="19">
        <f>IF($Z901="","",SUM(J901:U901))</f>
        <v/>
      </c>
      <c r="Y901" s="20">
        <f>ROW()-1</f>
        <v/>
      </c>
      <c r="Z901" s="20">
        <f>IF($Y901&lt;=Settings!$B$4*3,"C",IF($Y901&lt;=(Settings!$B$4+Settings!$B$5)*3,"A",IF($Y901&lt;=(Settings!$B$4+Settings!$B$5+Settings!$B$6)*3,"F","")))</f>
        <v/>
      </c>
      <c r="AA901" s="20">
        <f>IF($Z901="C",$Y901,IF($Z901="A",$Y901-Settings!$B$4*3,IF($Z901="F",$Y901-(Settings!$B$4+Settings!$B$5)*3,"")))</f>
        <v/>
      </c>
      <c r="AB901" s="20">
        <f>IF($Z901="","",INT(($AA901-1)/3)+1)</f>
        <v/>
      </c>
      <c r="AC901" s="20">
        <f>IF($Z901="","",MOD($AA901-1,3)+1)</f>
        <v/>
      </c>
      <c r="AD901" s="20">
        <f>IF($Z901="","",Settings!$B$2+$AC901-1)</f>
        <v/>
      </c>
      <c r="AE901" s="21">
        <f>IF($Z901="C",DATE(YEAR(INDEX(Contracts!$J$2:$J$151,$AB901)),MONTH(INDEX(Contracts!$J$2:$J$151,$AB901)),1),IF($Z901="A",DATE(YEAR(INDEX(Fixed_Assets!$G$2:$G$201,$AB901)),MONTH(INDEX(Fixed_Assets!$G$2:$G$201,$AB901)),1),IF($Z901="F",DATE(YEAR(MAX(N(INDEX(Workforce!$I$2:$I$151,MATCH(INDEX(FTE_Allocation!$A$2:$A$201,$AB901),Workforce!$A$2:$A$151,0))),N(INDEX(FTE_Allocation!$I$2:$I$201,$AB901)))),MONTH(MAX(N(INDEX(Workforce!$I$2:$I$151,MATCH(INDEX(FTE_Allocation!$A$2:$A$201,$AB901),Workforce!$A$2:$A$151,0))),N(INDEX(FTE_Allocation!$I$2:$I$201,$AB901)))),1),"")))</f>
        <v/>
      </c>
      <c r="AF901" s="21">
        <f>IF($Z901="C",IF(INDEX(Contracts!$I$2:$I$151,$AB901)="PREPAID",EDATE(DATE(YEAR(INDEX(Contracts!$J$2:$J$151,$AB901)),MONTH(INDEX(Contracts!$J$2:$J$151,$AB901)),1),IF(INDEX(Contracts!$N$2:$N$151,$AB901)="",12,INDEX(Contracts!$N$2:$N$151,$AB901))-1),IF(INDEX(Contracts!$I$2:$I$151,$AB901)="MONTHLY",IF(INDEX(Contracts!$K$2:$K$151,$AB901)="",2958101,INDEX(Contracts!$K$2:$K$151,$AB901)),0)),IF($Z901="A",EDATE(DATE(YEAR(INDEX(Fixed_Assets!$G$2:$G$201,$AB901)),MONTH(INDEX(Fixed_Assets!$G$2:$G$201,$AB901)),1),INDEX(Fixed_Assets!$J$2:$J$201,$AB901)-1),IF($Z901="F",MIN(IF(INDEX(Workforce!$J$2:$J$151,MATCH(INDEX(FTE_Allocation!$A$2:$A$201,$AB901),Workforce!$A$2:$A$151,0))="",2958101,INDEX(Workforce!$J$2:$J$151,MATCH(INDEX(FTE_Allocation!$A$2:$A$201,$AB901),Workforce!$A$2:$A$151,0))),IF(INDEX(FTE_Allocation!$J$2:$J$201,$AB901)="",2958101,INDEX(FTE_Allocation!$J$2:$J$201,$AB901))),"")))</f>
        <v/>
      </c>
      <c r="AG901" s="19">
        <f>IF($Z901="C",IF(INDEX(Contracts!$I$2:$I$151,$AB901)="PREPAID",INDEX(Contracts!$M$2:$M$151,$AB901)/IF(INDEX(Contracts!$N$2:$N$151,$AB901)="",12,INDEX(Contracts!$N$2:$N$151,$AB901)),IF(INDEX(Contracts!$I$2:$I$151,$AB901)="MONTHLY",INDEX(Contracts!$M$2:$M$151,$AB901),0))*(1-N(INDEX(Contracts!$O$2:$O$151,$AB901))),IF($Z901="A",INDEX(Fixed_Assets!$H$2:$H$201,$AB901)/INDEX(Fixed_Assets!$J$2:$J$201,$AB901),IF($Z901="F",INDEX(Workforce!$F$2:$F$151,MATCH(INDEX(FTE_Allocation!$A$2:$A$201,$AB901),Workforce!$A$2:$A$151,0))*N(INDEX(FTE_Allocation!$F$2:$H$201,$AB901,$AC901)),"")))</f>
        <v/>
      </c>
    </row>
    <row r="902">
      <c r="A902" s="7">
        <f>IF($Z902="","",$AD902)</f>
        <v/>
      </c>
      <c r="B902" s="7">
        <f>IF($Z902="C",INDEX(Contracts!$D$2:$D$151,$AB902)&amp;"",IF($Z902="A",INDEX(Fixed_Assets!$C$2:$C$201,$AB902)&amp;"",IF($Z902="F",INDEX(Workforce!$B$2:$B$151,MATCH(INDEX(FTE_Allocation!$A$2:$A$201,$AB902),Workforce!$A$2:$A$151,0))&amp;"","")))</f>
        <v/>
      </c>
      <c r="C902" s="7">
        <f>IF($Z902="C",INDEX(Contracts!$E$2:$E$151,$AB902)&amp;"",IF($Z902="A",INDEX(Fixed_Assets!$D$2:$D$201,$AB902)&amp;"",IF($Z902="F",INDEX(FTE_Allocation!$C$2:$C$201,$AB902)&amp;"","")))</f>
        <v/>
      </c>
      <c r="D902" s="7">
        <f>IF($Z902="C",INDEX(Contracts!$B$2:$B$151,$AB902)&amp;"",IF($Z902="A",INDEX(Fixed_Assets!$B$2:$B$201,$AB902)&amp;"",IF($Z902="F",INDEX(FTE_Allocation!$B$2:$B$201,$AB902)&amp;"","")))</f>
        <v/>
      </c>
      <c r="E902" s="7">
        <f>IF($Z902="C",INDEX(Contracts!$P$2:$P$151,$AB902)&amp;"",IF($Z902="A",INDEX(Fixed_Assets!$K$2:$K$201,$AB902)&amp;"",IF($Z902="F",IF(INDEX(FTE_Allocation!$D$2:$D$201,$AB902)="PROJECT",IFERROR(INDEX(Projects!$D:$D,MATCH(INDEX(FTE_Allocation!$E$2:$E$201,$AB902),Projects!$A:$A,0))&amp;"","#PROJECT?"),INDEX(FTE_Allocation!$E$2:$E$201,$AB902)&amp;""),"")))</f>
        <v/>
      </c>
      <c r="F902" s="7">
        <f>IF($Z902="C",INDEX(Contracts!$Q$2:$Q$151,$AB902)&amp;"",IF($Z902="A",INDEX(Fixed_Assets!$L$2:$L$201,$AB902)&amp;"",IF($Z902="F",INDEX(Workforce!$K$2:$K$151,MATCH(INDEX(FTE_Allocation!$A$2:$A$201,$AB902),Workforce!$A$2:$A$151,0))&amp;"","")))</f>
        <v/>
      </c>
      <c r="G902" s="7">
        <f>IF($Z902="C",INDEX(Contracts!$F$2:$F$151,$AB902)&amp;" / "&amp;INDEX(Contracts!$G$2:$G$151,$AB902),IF($Z902="A",INDEX(Fixed_Assets!$E$2:$E$201,$AB902)&amp;"",IF($Z902="F","Personnel "&amp;INDEX(FTE_Allocation!$A$2:$A$201,$AB902)&amp;IF(INDEX(FTE_Allocation!$D$2:$D$201,$AB902)="PROJECT"," ("&amp;INDEX(FTE_Allocation!$E$2:$E$201,$AB902)&amp;")",""),"")))</f>
        <v/>
      </c>
      <c r="H902" s="7">
        <f>IF($Z902="C","CONTRACT",IF($Z902="A","ASSET",IF($Z902="F","WORKFORCE","")))</f>
        <v/>
      </c>
      <c r="I902" s="7">
        <f>IF($Z902="C",INDEX(Contracts!$L$2:$L$151,$AB902)&amp;"",IF($Z902="A",INDEX(Fixed_Assets!$I$2:$I$201,$AB902)&amp;"",IF($Z902="F",INDEX(Workforce!$G$2:$G$151,MATCH(INDEX(FTE_Allocation!$A$2:$A$201,$AB902),Workforce!$A$2:$A$151,0))&amp;"","")))</f>
        <v/>
      </c>
      <c r="J902" s="18">
        <f>IF($Z902="","",IF(AND(DATE($AD902,1,1)&gt;=$AE902,DATE($AD902,1,1)&lt;=$AF902),ROUND($AG902,2),0))</f>
        <v/>
      </c>
      <c r="K902" s="18">
        <f>IF($Z902="","",IF(AND(DATE($AD902,2,1)&gt;=$AE902,DATE($AD902,2,1)&lt;=$AF902),ROUND($AG902,2),0))</f>
        <v/>
      </c>
      <c r="L902" s="18">
        <f>IF($Z902="","",IF(AND(DATE($AD902,3,1)&gt;=$AE902,DATE($AD902,3,1)&lt;=$AF902),ROUND($AG902,2),0))</f>
        <v/>
      </c>
      <c r="M902" s="18">
        <f>IF($Z902="","",IF(AND(DATE($AD902,4,1)&gt;=$AE902,DATE($AD902,4,1)&lt;=$AF902),ROUND($AG902,2),0))</f>
        <v/>
      </c>
      <c r="N902" s="18">
        <f>IF($Z902="","",IF(AND(DATE($AD902,5,1)&gt;=$AE902,DATE($AD902,5,1)&lt;=$AF902),ROUND($AG902,2),0))</f>
        <v/>
      </c>
      <c r="O902" s="18">
        <f>IF($Z902="","",IF(AND(DATE($AD902,6,1)&gt;=$AE902,DATE($AD902,6,1)&lt;=$AF902),ROUND($AG902,2),0))</f>
        <v/>
      </c>
      <c r="P902" s="18">
        <f>IF($Z902="","",IF(AND(DATE($AD902,7,1)&gt;=$AE902,DATE($AD902,7,1)&lt;=$AF902),ROUND($AG902,2),0))</f>
        <v/>
      </c>
      <c r="Q902" s="18">
        <f>IF($Z902="","",IF(AND(DATE($AD902,8,1)&gt;=$AE902,DATE($AD902,8,1)&lt;=$AF902),ROUND($AG902,2),0))</f>
        <v/>
      </c>
      <c r="R902" s="18">
        <f>IF($Z902="","",IF(AND(DATE($AD902,9,1)&gt;=$AE902,DATE($AD902,9,1)&lt;=$AF902),ROUND($AG902,2),0))</f>
        <v/>
      </c>
      <c r="S902" s="18">
        <f>IF($Z902="","",IF(AND(DATE($AD902,10,1)&gt;=$AE902,DATE($AD902,10,1)&lt;=$AF902),ROUND($AG902,2),0))</f>
        <v/>
      </c>
      <c r="T902" s="18">
        <f>IF($Z902="","",IF(AND(DATE($AD902,11,1)&gt;=$AE902,DATE($AD902,11,1)&lt;=$AF902),ROUND($AG902,2),0))</f>
        <v/>
      </c>
      <c r="U902" s="18">
        <f>IF($Z902="","",IF(AND(DATE($AD902,12,1)&gt;=$AE902,DATE($AD902,12,1)&lt;=$AF902),ROUND($AG902,2),0))</f>
        <v/>
      </c>
      <c r="V902" s="7">
        <f>IF($Z902="C","Generated from "&amp;INDEX(Contracts!$A$2:$A$151,$AB902),IF($Z902="A","Generated from "&amp;INDEX(Fixed_Assets!$A$2:$A$201,$AB902),IF($Z902="F","Generated from "&amp;INDEX(FTE_Allocation!$A$2:$A$201,$AB902),"")))</f>
        <v/>
      </c>
      <c r="X902" s="19">
        <f>IF($Z902="","",SUM(J902:U902))</f>
        <v/>
      </c>
      <c r="Y902" s="20">
        <f>ROW()-1</f>
        <v/>
      </c>
      <c r="Z902" s="20">
        <f>IF($Y902&lt;=Settings!$B$4*3,"C",IF($Y902&lt;=(Settings!$B$4+Settings!$B$5)*3,"A",IF($Y902&lt;=(Settings!$B$4+Settings!$B$5+Settings!$B$6)*3,"F","")))</f>
        <v/>
      </c>
      <c r="AA902" s="20">
        <f>IF($Z902="C",$Y902,IF($Z902="A",$Y902-Settings!$B$4*3,IF($Z902="F",$Y902-(Settings!$B$4+Settings!$B$5)*3,"")))</f>
        <v/>
      </c>
      <c r="AB902" s="20">
        <f>IF($Z902="","",INT(($AA902-1)/3)+1)</f>
        <v/>
      </c>
      <c r="AC902" s="20">
        <f>IF($Z902="","",MOD($AA902-1,3)+1)</f>
        <v/>
      </c>
      <c r="AD902" s="20">
        <f>IF($Z902="","",Settings!$B$2+$AC902-1)</f>
        <v/>
      </c>
      <c r="AE902" s="21">
        <f>IF($Z902="C",DATE(YEAR(INDEX(Contracts!$J$2:$J$151,$AB902)),MONTH(INDEX(Contracts!$J$2:$J$151,$AB902)),1),IF($Z902="A",DATE(YEAR(INDEX(Fixed_Assets!$G$2:$G$201,$AB902)),MONTH(INDEX(Fixed_Assets!$G$2:$G$201,$AB902)),1),IF($Z902="F",DATE(YEAR(MAX(N(INDEX(Workforce!$I$2:$I$151,MATCH(INDEX(FTE_Allocation!$A$2:$A$201,$AB902),Workforce!$A$2:$A$151,0))),N(INDEX(FTE_Allocation!$I$2:$I$201,$AB902)))),MONTH(MAX(N(INDEX(Workforce!$I$2:$I$151,MATCH(INDEX(FTE_Allocation!$A$2:$A$201,$AB902),Workforce!$A$2:$A$151,0))),N(INDEX(FTE_Allocation!$I$2:$I$201,$AB902)))),1),"")))</f>
        <v/>
      </c>
      <c r="AF902" s="21">
        <f>IF($Z902="C",IF(INDEX(Contracts!$I$2:$I$151,$AB902)="PREPAID",EDATE(DATE(YEAR(INDEX(Contracts!$J$2:$J$151,$AB902)),MONTH(INDEX(Contracts!$J$2:$J$151,$AB902)),1),IF(INDEX(Contracts!$N$2:$N$151,$AB902)="",12,INDEX(Contracts!$N$2:$N$151,$AB902))-1),IF(INDEX(Contracts!$I$2:$I$151,$AB902)="MONTHLY",IF(INDEX(Contracts!$K$2:$K$151,$AB902)="",2958101,INDEX(Contracts!$K$2:$K$151,$AB902)),0)),IF($Z902="A",EDATE(DATE(YEAR(INDEX(Fixed_Assets!$G$2:$G$201,$AB902)),MONTH(INDEX(Fixed_Assets!$G$2:$G$201,$AB902)),1),INDEX(Fixed_Assets!$J$2:$J$201,$AB902)-1),IF($Z902="F",MIN(IF(INDEX(Workforce!$J$2:$J$151,MATCH(INDEX(FTE_Allocation!$A$2:$A$201,$AB902),Workforce!$A$2:$A$151,0))="",2958101,INDEX(Workforce!$J$2:$J$151,MATCH(INDEX(FTE_Allocation!$A$2:$A$201,$AB902),Workforce!$A$2:$A$151,0))),IF(INDEX(FTE_Allocation!$J$2:$J$201,$AB902)="",2958101,INDEX(FTE_Allocation!$J$2:$J$201,$AB902))),"")))</f>
        <v/>
      </c>
      <c r="AG902" s="19">
        <f>IF($Z902="C",IF(INDEX(Contracts!$I$2:$I$151,$AB902)="PREPAID",INDEX(Contracts!$M$2:$M$151,$AB902)/IF(INDEX(Contracts!$N$2:$N$151,$AB902)="",12,INDEX(Contracts!$N$2:$N$151,$AB902)),IF(INDEX(Contracts!$I$2:$I$151,$AB902)="MONTHLY",INDEX(Contracts!$M$2:$M$151,$AB902),0))*(1-N(INDEX(Contracts!$O$2:$O$151,$AB902))),IF($Z902="A",INDEX(Fixed_Assets!$H$2:$H$201,$AB902)/INDEX(Fixed_Assets!$J$2:$J$201,$AB902),IF($Z902="F",INDEX(Workforce!$F$2:$F$151,MATCH(INDEX(FTE_Allocation!$A$2:$A$201,$AB902),Workforce!$A$2:$A$151,0))*N(INDEX(FTE_Allocation!$F$2:$H$201,$AB902,$AC902)),"")))</f>
        <v/>
      </c>
    </row>
    <row r="903">
      <c r="A903" s="7">
        <f>IF($Z903="","",$AD903)</f>
        <v/>
      </c>
      <c r="B903" s="7">
        <f>IF($Z903="C",INDEX(Contracts!$D$2:$D$151,$AB903)&amp;"",IF($Z903="A",INDEX(Fixed_Assets!$C$2:$C$201,$AB903)&amp;"",IF($Z903="F",INDEX(Workforce!$B$2:$B$151,MATCH(INDEX(FTE_Allocation!$A$2:$A$201,$AB903),Workforce!$A$2:$A$151,0))&amp;"","")))</f>
        <v/>
      </c>
      <c r="C903" s="7">
        <f>IF($Z903="C",INDEX(Contracts!$E$2:$E$151,$AB903)&amp;"",IF($Z903="A",INDEX(Fixed_Assets!$D$2:$D$201,$AB903)&amp;"",IF($Z903="F",INDEX(FTE_Allocation!$C$2:$C$201,$AB903)&amp;"","")))</f>
        <v/>
      </c>
      <c r="D903" s="7">
        <f>IF($Z903="C",INDEX(Contracts!$B$2:$B$151,$AB903)&amp;"",IF($Z903="A",INDEX(Fixed_Assets!$B$2:$B$201,$AB903)&amp;"",IF($Z903="F",INDEX(FTE_Allocation!$B$2:$B$201,$AB903)&amp;"","")))</f>
        <v/>
      </c>
      <c r="E903" s="7">
        <f>IF($Z903="C",INDEX(Contracts!$P$2:$P$151,$AB903)&amp;"",IF($Z903="A",INDEX(Fixed_Assets!$K$2:$K$201,$AB903)&amp;"",IF($Z903="F",IF(INDEX(FTE_Allocation!$D$2:$D$201,$AB903)="PROJECT",IFERROR(INDEX(Projects!$D:$D,MATCH(INDEX(FTE_Allocation!$E$2:$E$201,$AB903),Projects!$A:$A,0))&amp;"","#PROJECT?"),INDEX(FTE_Allocation!$E$2:$E$201,$AB903)&amp;""),"")))</f>
        <v/>
      </c>
      <c r="F903" s="7">
        <f>IF($Z903="C",INDEX(Contracts!$Q$2:$Q$151,$AB903)&amp;"",IF($Z903="A",INDEX(Fixed_Assets!$L$2:$L$201,$AB903)&amp;"",IF($Z903="F",INDEX(Workforce!$K$2:$K$151,MATCH(INDEX(FTE_Allocation!$A$2:$A$201,$AB903),Workforce!$A$2:$A$151,0))&amp;"","")))</f>
        <v/>
      </c>
      <c r="G903" s="7">
        <f>IF($Z903="C",INDEX(Contracts!$F$2:$F$151,$AB903)&amp;" / "&amp;INDEX(Contracts!$G$2:$G$151,$AB903),IF($Z903="A",INDEX(Fixed_Assets!$E$2:$E$201,$AB903)&amp;"",IF($Z903="F","Personnel "&amp;INDEX(FTE_Allocation!$A$2:$A$201,$AB903)&amp;IF(INDEX(FTE_Allocation!$D$2:$D$201,$AB903)="PROJECT"," ("&amp;INDEX(FTE_Allocation!$E$2:$E$201,$AB903)&amp;")",""),"")))</f>
        <v/>
      </c>
      <c r="H903" s="7">
        <f>IF($Z903="C","CONTRACT",IF($Z903="A","ASSET",IF($Z903="F","WORKFORCE","")))</f>
        <v/>
      </c>
      <c r="I903" s="7">
        <f>IF($Z903="C",INDEX(Contracts!$L$2:$L$151,$AB903)&amp;"",IF($Z903="A",INDEX(Fixed_Assets!$I$2:$I$201,$AB903)&amp;"",IF($Z903="F",INDEX(Workforce!$G$2:$G$151,MATCH(INDEX(FTE_Allocation!$A$2:$A$201,$AB903),Workforce!$A$2:$A$151,0))&amp;"","")))</f>
        <v/>
      </c>
      <c r="J903" s="18">
        <f>IF($Z903="","",IF(AND(DATE($AD903,1,1)&gt;=$AE903,DATE($AD903,1,1)&lt;=$AF903),ROUND($AG903,2),0))</f>
        <v/>
      </c>
      <c r="K903" s="18">
        <f>IF($Z903="","",IF(AND(DATE($AD903,2,1)&gt;=$AE903,DATE($AD903,2,1)&lt;=$AF903),ROUND($AG903,2),0))</f>
        <v/>
      </c>
      <c r="L903" s="18">
        <f>IF($Z903="","",IF(AND(DATE($AD903,3,1)&gt;=$AE903,DATE($AD903,3,1)&lt;=$AF903),ROUND($AG903,2),0))</f>
        <v/>
      </c>
      <c r="M903" s="18">
        <f>IF($Z903="","",IF(AND(DATE($AD903,4,1)&gt;=$AE903,DATE($AD903,4,1)&lt;=$AF903),ROUND($AG903,2),0))</f>
        <v/>
      </c>
      <c r="N903" s="18">
        <f>IF($Z903="","",IF(AND(DATE($AD903,5,1)&gt;=$AE903,DATE($AD903,5,1)&lt;=$AF903),ROUND($AG903,2),0))</f>
        <v/>
      </c>
      <c r="O903" s="18">
        <f>IF($Z903="","",IF(AND(DATE($AD903,6,1)&gt;=$AE903,DATE($AD903,6,1)&lt;=$AF903),ROUND($AG903,2),0))</f>
        <v/>
      </c>
      <c r="P903" s="18">
        <f>IF($Z903="","",IF(AND(DATE($AD903,7,1)&gt;=$AE903,DATE($AD903,7,1)&lt;=$AF903),ROUND($AG903,2),0))</f>
        <v/>
      </c>
      <c r="Q903" s="18">
        <f>IF($Z903="","",IF(AND(DATE($AD903,8,1)&gt;=$AE903,DATE($AD903,8,1)&lt;=$AF903),ROUND($AG903,2),0))</f>
        <v/>
      </c>
      <c r="R903" s="18">
        <f>IF($Z903="","",IF(AND(DATE($AD903,9,1)&gt;=$AE903,DATE($AD903,9,1)&lt;=$AF903),ROUND($AG903,2),0))</f>
        <v/>
      </c>
      <c r="S903" s="18">
        <f>IF($Z903="","",IF(AND(DATE($AD903,10,1)&gt;=$AE903,DATE($AD903,10,1)&lt;=$AF903),ROUND($AG903,2),0))</f>
        <v/>
      </c>
      <c r="T903" s="18">
        <f>IF($Z903="","",IF(AND(DATE($AD903,11,1)&gt;=$AE903,DATE($AD903,11,1)&lt;=$AF903),ROUND($AG903,2),0))</f>
        <v/>
      </c>
      <c r="U903" s="18">
        <f>IF($Z903="","",IF(AND(DATE($AD903,12,1)&gt;=$AE903,DATE($AD903,12,1)&lt;=$AF903),ROUND($AG903,2),0))</f>
        <v/>
      </c>
      <c r="V903" s="7">
        <f>IF($Z903="C","Generated from "&amp;INDEX(Contracts!$A$2:$A$151,$AB903),IF($Z903="A","Generated from "&amp;INDEX(Fixed_Assets!$A$2:$A$201,$AB903),IF($Z903="F","Generated from "&amp;INDEX(FTE_Allocation!$A$2:$A$201,$AB903),"")))</f>
        <v/>
      </c>
      <c r="X903" s="19">
        <f>IF($Z903="","",SUM(J903:U903))</f>
        <v/>
      </c>
      <c r="Y903" s="20">
        <f>ROW()-1</f>
        <v/>
      </c>
      <c r="Z903" s="20">
        <f>IF($Y903&lt;=Settings!$B$4*3,"C",IF($Y903&lt;=(Settings!$B$4+Settings!$B$5)*3,"A",IF($Y903&lt;=(Settings!$B$4+Settings!$B$5+Settings!$B$6)*3,"F","")))</f>
        <v/>
      </c>
      <c r="AA903" s="20">
        <f>IF($Z903="C",$Y903,IF($Z903="A",$Y903-Settings!$B$4*3,IF($Z903="F",$Y903-(Settings!$B$4+Settings!$B$5)*3,"")))</f>
        <v/>
      </c>
      <c r="AB903" s="20">
        <f>IF($Z903="","",INT(($AA903-1)/3)+1)</f>
        <v/>
      </c>
      <c r="AC903" s="20">
        <f>IF($Z903="","",MOD($AA903-1,3)+1)</f>
        <v/>
      </c>
      <c r="AD903" s="20">
        <f>IF($Z903="","",Settings!$B$2+$AC903-1)</f>
        <v/>
      </c>
      <c r="AE903" s="21">
        <f>IF($Z903="C",DATE(YEAR(INDEX(Contracts!$J$2:$J$151,$AB903)),MONTH(INDEX(Contracts!$J$2:$J$151,$AB903)),1),IF($Z903="A",DATE(YEAR(INDEX(Fixed_Assets!$G$2:$G$201,$AB903)),MONTH(INDEX(Fixed_Assets!$G$2:$G$201,$AB903)),1),IF($Z903="F",DATE(YEAR(MAX(N(INDEX(Workforce!$I$2:$I$151,MATCH(INDEX(FTE_Allocation!$A$2:$A$201,$AB903),Workforce!$A$2:$A$151,0))),N(INDEX(FTE_Allocation!$I$2:$I$201,$AB903)))),MONTH(MAX(N(INDEX(Workforce!$I$2:$I$151,MATCH(INDEX(FTE_Allocation!$A$2:$A$201,$AB903),Workforce!$A$2:$A$151,0))),N(INDEX(FTE_Allocation!$I$2:$I$201,$AB903)))),1),"")))</f>
        <v/>
      </c>
      <c r="AF903" s="21">
        <f>IF($Z903="C",IF(INDEX(Contracts!$I$2:$I$151,$AB903)="PREPAID",EDATE(DATE(YEAR(INDEX(Contracts!$J$2:$J$151,$AB903)),MONTH(INDEX(Contracts!$J$2:$J$151,$AB903)),1),IF(INDEX(Contracts!$N$2:$N$151,$AB903)="",12,INDEX(Contracts!$N$2:$N$151,$AB903))-1),IF(INDEX(Contracts!$I$2:$I$151,$AB903)="MONTHLY",IF(INDEX(Contracts!$K$2:$K$151,$AB903)="",2958101,INDEX(Contracts!$K$2:$K$151,$AB903)),0)),IF($Z903="A",EDATE(DATE(YEAR(INDEX(Fixed_Assets!$G$2:$G$201,$AB903)),MONTH(INDEX(Fixed_Assets!$G$2:$G$201,$AB903)),1),INDEX(Fixed_Assets!$J$2:$J$201,$AB903)-1),IF($Z903="F",MIN(IF(INDEX(Workforce!$J$2:$J$151,MATCH(INDEX(FTE_Allocation!$A$2:$A$201,$AB903),Workforce!$A$2:$A$151,0))="",2958101,INDEX(Workforce!$J$2:$J$151,MATCH(INDEX(FTE_Allocation!$A$2:$A$201,$AB903),Workforce!$A$2:$A$151,0))),IF(INDEX(FTE_Allocation!$J$2:$J$201,$AB903)="",2958101,INDEX(FTE_Allocation!$J$2:$J$201,$AB903))),"")))</f>
        <v/>
      </c>
      <c r="AG903" s="19">
        <f>IF($Z903="C",IF(INDEX(Contracts!$I$2:$I$151,$AB903)="PREPAID",INDEX(Contracts!$M$2:$M$151,$AB903)/IF(INDEX(Contracts!$N$2:$N$151,$AB903)="",12,INDEX(Contracts!$N$2:$N$151,$AB903)),IF(INDEX(Contracts!$I$2:$I$151,$AB903)="MONTHLY",INDEX(Contracts!$M$2:$M$151,$AB903),0))*(1-N(INDEX(Contracts!$O$2:$O$151,$AB903))),IF($Z903="A",INDEX(Fixed_Assets!$H$2:$H$201,$AB903)/INDEX(Fixed_Assets!$J$2:$J$201,$AB903),IF($Z903="F",INDEX(Workforce!$F$2:$F$151,MATCH(INDEX(FTE_Allocation!$A$2:$A$201,$AB903),Workforce!$A$2:$A$151,0))*N(INDEX(FTE_Allocation!$F$2:$H$201,$AB903,$AC903)),"")))</f>
        <v/>
      </c>
    </row>
    <row r="904">
      <c r="A904" s="7">
        <f>IF($Z904="","",$AD904)</f>
        <v/>
      </c>
      <c r="B904" s="7">
        <f>IF($Z904="C",INDEX(Contracts!$D$2:$D$151,$AB904)&amp;"",IF($Z904="A",INDEX(Fixed_Assets!$C$2:$C$201,$AB904)&amp;"",IF($Z904="F",INDEX(Workforce!$B$2:$B$151,MATCH(INDEX(FTE_Allocation!$A$2:$A$201,$AB904),Workforce!$A$2:$A$151,0))&amp;"","")))</f>
        <v/>
      </c>
      <c r="C904" s="7">
        <f>IF($Z904="C",INDEX(Contracts!$E$2:$E$151,$AB904)&amp;"",IF($Z904="A",INDEX(Fixed_Assets!$D$2:$D$201,$AB904)&amp;"",IF($Z904="F",INDEX(FTE_Allocation!$C$2:$C$201,$AB904)&amp;"","")))</f>
        <v/>
      </c>
      <c r="D904" s="7">
        <f>IF($Z904="C",INDEX(Contracts!$B$2:$B$151,$AB904)&amp;"",IF($Z904="A",INDEX(Fixed_Assets!$B$2:$B$201,$AB904)&amp;"",IF($Z904="F",INDEX(FTE_Allocation!$B$2:$B$201,$AB904)&amp;"","")))</f>
        <v/>
      </c>
      <c r="E904" s="7">
        <f>IF($Z904="C",INDEX(Contracts!$P$2:$P$151,$AB904)&amp;"",IF($Z904="A",INDEX(Fixed_Assets!$K$2:$K$201,$AB904)&amp;"",IF($Z904="F",IF(INDEX(FTE_Allocation!$D$2:$D$201,$AB904)="PROJECT",IFERROR(INDEX(Projects!$D:$D,MATCH(INDEX(FTE_Allocation!$E$2:$E$201,$AB904),Projects!$A:$A,0))&amp;"","#PROJECT?"),INDEX(FTE_Allocation!$E$2:$E$201,$AB904)&amp;""),"")))</f>
        <v/>
      </c>
      <c r="F904" s="7">
        <f>IF($Z904="C",INDEX(Contracts!$Q$2:$Q$151,$AB904)&amp;"",IF($Z904="A",INDEX(Fixed_Assets!$L$2:$L$201,$AB904)&amp;"",IF($Z904="F",INDEX(Workforce!$K$2:$K$151,MATCH(INDEX(FTE_Allocation!$A$2:$A$201,$AB904),Workforce!$A$2:$A$151,0))&amp;"","")))</f>
        <v/>
      </c>
      <c r="G904" s="7">
        <f>IF($Z904="C",INDEX(Contracts!$F$2:$F$151,$AB904)&amp;" / "&amp;INDEX(Contracts!$G$2:$G$151,$AB904),IF($Z904="A",INDEX(Fixed_Assets!$E$2:$E$201,$AB904)&amp;"",IF($Z904="F","Personnel "&amp;INDEX(FTE_Allocation!$A$2:$A$201,$AB904)&amp;IF(INDEX(FTE_Allocation!$D$2:$D$201,$AB904)="PROJECT"," ("&amp;INDEX(FTE_Allocation!$E$2:$E$201,$AB904)&amp;")",""),"")))</f>
        <v/>
      </c>
      <c r="H904" s="7">
        <f>IF($Z904="C","CONTRACT",IF($Z904="A","ASSET",IF($Z904="F","WORKFORCE","")))</f>
        <v/>
      </c>
      <c r="I904" s="7">
        <f>IF($Z904="C",INDEX(Contracts!$L$2:$L$151,$AB904)&amp;"",IF($Z904="A",INDEX(Fixed_Assets!$I$2:$I$201,$AB904)&amp;"",IF($Z904="F",INDEX(Workforce!$G$2:$G$151,MATCH(INDEX(FTE_Allocation!$A$2:$A$201,$AB904),Workforce!$A$2:$A$151,0))&amp;"","")))</f>
        <v/>
      </c>
      <c r="J904" s="18">
        <f>IF($Z904="","",IF(AND(DATE($AD904,1,1)&gt;=$AE904,DATE($AD904,1,1)&lt;=$AF904),ROUND($AG904,2),0))</f>
        <v/>
      </c>
      <c r="K904" s="18">
        <f>IF($Z904="","",IF(AND(DATE($AD904,2,1)&gt;=$AE904,DATE($AD904,2,1)&lt;=$AF904),ROUND($AG904,2),0))</f>
        <v/>
      </c>
      <c r="L904" s="18">
        <f>IF($Z904="","",IF(AND(DATE($AD904,3,1)&gt;=$AE904,DATE($AD904,3,1)&lt;=$AF904),ROUND($AG904,2),0))</f>
        <v/>
      </c>
      <c r="M904" s="18">
        <f>IF($Z904="","",IF(AND(DATE($AD904,4,1)&gt;=$AE904,DATE($AD904,4,1)&lt;=$AF904),ROUND($AG904,2),0))</f>
        <v/>
      </c>
      <c r="N904" s="18">
        <f>IF($Z904="","",IF(AND(DATE($AD904,5,1)&gt;=$AE904,DATE($AD904,5,1)&lt;=$AF904),ROUND($AG904,2),0))</f>
        <v/>
      </c>
      <c r="O904" s="18">
        <f>IF($Z904="","",IF(AND(DATE($AD904,6,1)&gt;=$AE904,DATE($AD904,6,1)&lt;=$AF904),ROUND($AG904,2),0))</f>
        <v/>
      </c>
      <c r="P904" s="18">
        <f>IF($Z904="","",IF(AND(DATE($AD904,7,1)&gt;=$AE904,DATE($AD904,7,1)&lt;=$AF904),ROUND($AG904,2),0))</f>
        <v/>
      </c>
      <c r="Q904" s="18">
        <f>IF($Z904="","",IF(AND(DATE($AD904,8,1)&gt;=$AE904,DATE($AD904,8,1)&lt;=$AF904),ROUND($AG904,2),0))</f>
        <v/>
      </c>
      <c r="R904" s="18">
        <f>IF($Z904="","",IF(AND(DATE($AD904,9,1)&gt;=$AE904,DATE($AD904,9,1)&lt;=$AF904),ROUND($AG904,2),0))</f>
        <v/>
      </c>
      <c r="S904" s="18">
        <f>IF($Z904="","",IF(AND(DATE($AD904,10,1)&gt;=$AE904,DATE($AD904,10,1)&lt;=$AF904),ROUND($AG904,2),0))</f>
        <v/>
      </c>
      <c r="T904" s="18">
        <f>IF($Z904="","",IF(AND(DATE($AD904,11,1)&gt;=$AE904,DATE($AD904,11,1)&lt;=$AF904),ROUND($AG904,2),0))</f>
        <v/>
      </c>
      <c r="U904" s="18">
        <f>IF($Z904="","",IF(AND(DATE($AD904,12,1)&gt;=$AE904,DATE($AD904,12,1)&lt;=$AF904),ROUND($AG904,2),0))</f>
        <v/>
      </c>
      <c r="V904" s="7">
        <f>IF($Z904="C","Generated from "&amp;INDEX(Contracts!$A$2:$A$151,$AB904),IF($Z904="A","Generated from "&amp;INDEX(Fixed_Assets!$A$2:$A$201,$AB904),IF($Z904="F","Generated from "&amp;INDEX(FTE_Allocation!$A$2:$A$201,$AB904),"")))</f>
        <v/>
      </c>
      <c r="X904" s="19">
        <f>IF($Z904="","",SUM(J904:U904))</f>
        <v/>
      </c>
      <c r="Y904" s="20">
        <f>ROW()-1</f>
        <v/>
      </c>
      <c r="Z904" s="20">
        <f>IF($Y904&lt;=Settings!$B$4*3,"C",IF($Y904&lt;=(Settings!$B$4+Settings!$B$5)*3,"A",IF($Y904&lt;=(Settings!$B$4+Settings!$B$5+Settings!$B$6)*3,"F","")))</f>
        <v/>
      </c>
      <c r="AA904" s="20">
        <f>IF($Z904="C",$Y904,IF($Z904="A",$Y904-Settings!$B$4*3,IF($Z904="F",$Y904-(Settings!$B$4+Settings!$B$5)*3,"")))</f>
        <v/>
      </c>
      <c r="AB904" s="20">
        <f>IF($Z904="","",INT(($AA904-1)/3)+1)</f>
        <v/>
      </c>
      <c r="AC904" s="20">
        <f>IF($Z904="","",MOD($AA904-1,3)+1)</f>
        <v/>
      </c>
      <c r="AD904" s="20">
        <f>IF($Z904="","",Settings!$B$2+$AC904-1)</f>
        <v/>
      </c>
      <c r="AE904" s="21">
        <f>IF($Z904="C",DATE(YEAR(INDEX(Contracts!$J$2:$J$151,$AB904)),MONTH(INDEX(Contracts!$J$2:$J$151,$AB904)),1),IF($Z904="A",DATE(YEAR(INDEX(Fixed_Assets!$G$2:$G$201,$AB904)),MONTH(INDEX(Fixed_Assets!$G$2:$G$201,$AB904)),1),IF($Z904="F",DATE(YEAR(MAX(N(INDEX(Workforce!$I$2:$I$151,MATCH(INDEX(FTE_Allocation!$A$2:$A$201,$AB904),Workforce!$A$2:$A$151,0))),N(INDEX(FTE_Allocation!$I$2:$I$201,$AB904)))),MONTH(MAX(N(INDEX(Workforce!$I$2:$I$151,MATCH(INDEX(FTE_Allocation!$A$2:$A$201,$AB904),Workforce!$A$2:$A$151,0))),N(INDEX(FTE_Allocation!$I$2:$I$201,$AB904)))),1),"")))</f>
        <v/>
      </c>
      <c r="AF904" s="21">
        <f>IF($Z904="C",IF(INDEX(Contracts!$I$2:$I$151,$AB904)="PREPAID",EDATE(DATE(YEAR(INDEX(Contracts!$J$2:$J$151,$AB904)),MONTH(INDEX(Contracts!$J$2:$J$151,$AB904)),1),IF(INDEX(Contracts!$N$2:$N$151,$AB904)="",12,INDEX(Contracts!$N$2:$N$151,$AB904))-1),IF(INDEX(Contracts!$I$2:$I$151,$AB904)="MONTHLY",IF(INDEX(Contracts!$K$2:$K$151,$AB904)="",2958101,INDEX(Contracts!$K$2:$K$151,$AB904)),0)),IF($Z904="A",EDATE(DATE(YEAR(INDEX(Fixed_Assets!$G$2:$G$201,$AB904)),MONTH(INDEX(Fixed_Assets!$G$2:$G$201,$AB904)),1),INDEX(Fixed_Assets!$J$2:$J$201,$AB904)-1),IF($Z904="F",MIN(IF(INDEX(Workforce!$J$2:$J$151,MATCH(INDEX(FTE_Allocation!$A$2:$A$201,$AB904),Workforce!$A$2:$A$151,0))="",2958101,INDEX(Workforce!$J$2:$J$151,MATCH(INDEX(FTE_Allocation!$A$2:$A$201,$AB904),Workforce!$A$2:$A$151,0))),IF(INDEX(FTE_Allocation!$J$2:$J$201,$AB904)="",2958101,INDEX(FTE_Allocation!$J$2:$J$201,$AB904))),"")))</f>
        <v/>
      </c>
      <c r="AG904" s="19">
        <f>IF($Z904="C",IF(INDEX(Contracts!$I$2:$I$151,$AB904)="PREPAID",INDEX(Contracts!$M$2:$M$151,$AB904)/IF(INDEX(Contracts!$N$2:$N$151,$AB904)="",12,INDEX(Contracts!$N$2:$N$151,$AB904)),IF(INDEX(Contracts!$I$2:$I$151,$AB904)="MONTHLY",INDEX(Contracts!$M$2:$M$151,$AB904),0))*(1-N(INDEX(Contracts!$O$2:$O$151,$AB904))),IF($Z904="A",INDEX(Fixed_Assets!$H$2:$H$201,$AB904)/INDEX(Fixed_Assets!$J$2:$J$201,$AB904),IF($Z904="F",INDEX(Workforce!$F$2:$F$151,MATCH(INDEX(FTE_Allocation!$A$2:$A$201,$AB904),Workforce!$A$2:$A$151,0))*N(INDEX(FTE_Allocation!$F$2:$H$201,$AB904,$AC904)),"")))</f>
        <v/>
      </c>
    </row>
    <row r="905">
      <c r="A905" s="7">
        <f>IF($Z905="","",$AD905)</f>
        <v/>
      </c>
      <c r="B905" s="7">
        <f>IF($Z905="C",INDEX(Contracts!$D$2:$D$151,$AB905)&amp;"",IF($Z905="A",INDEX(Fixed_Assets!$C$2:$C$201,$AB905)&amp;"",IF($Z905="F",INDEX(Workforce!$B$2:$B$151,MATCH(INDEX(FTE_Allocation!$A$2:$A$201,$AB905),Workforce!$A$2:$A$151,0))&amp;"","")))</f>
        <v/>
      </c>
      <c r="C905" s="7">
        <f>IF($Z905="C",INDEX(Contracts!$E$2:$E$151,$AB905)&amp;"",IF($Z905="A",INDEX(Fixed_Assets!$D$2:$D$201,$AB905)&amp;"",IF($Z905="F",INDEX(FTE_Allocation!$C$2:$C$201,$AB905)&amp;"","")))</f>
        <v/>
      </c>
      <c r="D905" s="7">
        <f>IF($Z905="C",INDEX(Contracts!$B$2:$B$151,$AB905)&amp;"",IF($Z905="A",INDEX(Fixed_Assets!$B$2:$B$201,$AB905)&amp;"",IF($Z905="F",INDEX(FTE_Allocation!$B$2:$B$201,$AB905)&amp;"","")))</f>
        <v/>
      </c>
      <c r="E905" s="7">
        <f>IF($Z905="C",INDEX(Contracts!$P$2:$P$151,$AB905)&amp;"",IF($Z905="A",INDEX(Fixed_Assets!$K$2:$K$201,$AB905)&amp;"",IF($Z905="F",IF(INDEX(FTE_Allocation!$D$2:$D$201,$AB905)="PROJECT",IFERROR(INDEX(Projects!$D:$D,MATCH(INDEX(FTE_Allocation!$E$2:$E$201,$AB905),Projects!$A:$A,0))&amp;"","#PROJECT?"),INDEX(FTE_Allocation!$E$2:$E$201,$AB905)&amp;""),"")))</f>
        <v/>
      </c>
      <c r="F905" s="7">
        <f>IF($Z905="C",INDEX(Contracts!$Q$2:$Q$151,$AB905)&amp;"",IF($Z905="A",INDEX(Fixed_Assets!$L$2:$L$201,$AB905)&amp;"",IF($Z905="F",INDEX(Workforce!$K$2:$K$151,MATCH(INDEX(FTE_Allocation!$A$2:$A$201,$AB905),Workforce!$A$2:$A$151,0))&amp;"","")))</f>
        <v/>
      </c>
      <c r="G905" s="7">
        <f>IF($Z905="C",INDEX(Contracts!$F$2:$F$151,$AB905)&amp;" / "&amp;INDEX(Contracts!$G$2:$G$151,$AB905),IF($Z905="A",INDEX(Fixed_Assets!$E$2:$E$201,$AB905)&amp;"",IF($Z905="F","Personnel "&amp;INDEX(FTE_Allocation!$A$2:$A$201,$AB905)&amp;IF(INDEX(FTE_Allocation!$D$2:$D$201,$AB905)="PROJECT"," ("&amp;INDEX(FTE_Allocation!$E$2:$E$201,$AB905)&amp;")",""),"")))</f>
        <v/>
      </c>
      <c r="H905" s="7">
        <f>IF($Z905="C","CONTRACT",IF($Z905="A","ASSET",IF($Z905="F","WORKFORCE","")))</f>
        <v/>
      </c>
      <c r="I905" s="7">
        <f>IF($Z905="C",INDEX(Contracts!$L$2:$L$151,$AB905)&amp;"",IF($Z905="A",INDEX(Fixed_Assets!$I$2:$I$201,$AB905)&amp;"",IF($Z905="F",INDEX(Workforce!$G$2:$G$151,MATCH(INDEX(FTE_Allocation!$A$2:$A$201,$AB905),Workforce!$A$2:$A$151,0))&amp;"","")))</f>
        <v/>
      </c>
      <c r="J905" s="18">
        <f>IF($Z905="","",IF(AND(DATE($AD905,1,1)&gt;=$AE905,DATE($AD905,1,1)&lt;=$AF905),ROUND($AG905,2),0))</f>
        <v/>
      </c>
      <c r="K905" s="18">
        <f>IF($Z905="","",IF(AND(DATE($AD905,2,1)&gt;=$AE905,DATE($AD905,2,1)&lt;=$AF905),ROUND($AG905,2),0))</f>
        <v/>
      </c>
      <c r="L905" s="18">
        <f>IF($Z905="","",IF(AND(DATE($AD905,3,1)&gt;=$AE905,DATE($AD905,3,1)&lt;=$AF905),ROUND($AG905,2),0))</f>
        <v/>
      </c>
      <c r="M905" s="18">
        <f>IF($Z905="","",IF(AND(DATE($AD905,4,1)&gt;=$AE905,DATE($AD905,4,1)&lt;=$AF905),ROUND($AG905,2),0))</f>
        <v/>
      </c>
      <c r="N905" s="18">
        <f>IF($Z905="","",IF(AND(DATE($AD905,5,1)&gt;=$AE905,DATE($AD905,5,1)&lt;=$AF905),ROUND($AG905,2),0))</f>
        <v/>
      </c>
      <c r="O905" s="18">
        <f>IF($Z905="","",IF(AND(DATE($AD905,6,1)&gt;=$AE905,DATE($AD905,6,1)&lt;=$AF905),ROUND($AG905,2),0))</f>
        <v/>
      </c>
      <c r="P905" s="18">
        <f>IF($Z905="","",IF(AND(DATE($AD905,7,1)&gt;=$AE905,DATE($AD905,7,1)&lt;=$AF905),ROUND($AG905,2),0))</f>
        <v/>
      </c>
      <c r="Q905" s="18">
        <f>IF($Z905="","",IF(AND(DATE($AD905,8,1)&gt;=$AE905,DATE($AD905,8,1)&lt;=$AF905),ROUND($AG905,2),0))</f>
        <v/>
      </c>
      <c r="R905" s="18">
        <f>IF($Z905="","",IF(AND(DATE($AD905,9,1)&gt;=$AE905,DATE($AD905,9,1)&lt;=$AF905),ROUND($AG905,2),0))</f>
        <v/>
      </c>
      <c r="S905" s="18">
        <f>IF($Z905="","",IF(AND(DATE($AD905,10,1)&gt;=$AE905,DATE($AD905,10,1)&lt;=$AF905),ROUND($AG905,2),0))</f>
        <v/>
      </c>
      <c r="T905" s="18">
        <f>IF($Z905="","",IF(AND(DATE($AD905,11,1)&gt;=$AE905,DATE($AD905,11,1)&lt;=$AF905),ROUND($AG905,2),0))</f>
        <v/>
      </c>
      <c r="U905" s="18">
        <f>IF($Z905="","",IF(AND(DATE($AD905,12,1)&gt;=$AE905,DATE($AD905,12,1)&lt;=$AF905),ROUND($AG905,2),0))</f>
        <v/>
      </c>
      <c r="V905" s="7">
        <f>IF($Z905="C","Generated from "&amp;INDEX(Contracts!$A$2:$A$151,$AB905),IF($Z905="A","Generated from "&amp;INDEX(Fixed_Assets!$A$2:$A$201,$AB905),IF($Z905="F","Generated from "&amp;INDEX(FTE_Allocation!$A$2:$A$201,$AB905),"")))</f>
        <v/>
      </c>
      <c r="X905" s="19">
        <f>IF($Z905="","",SUM(J905:U905))</f>
        <v/>
      </c>
      <c r="Y905" s="20">
        <f>ROW()-1</f>
        <v/>
      </c>
      <c r="Z905" s="20">
        <f>IF($Y905&lt;=Settings!$B$4*3,"C",IF($Y905&lt;=(Settings!$B$4+Settings!$B$5)*3,"A",IF($Y905&lt;=(Settings!$B$4+Settings!$B$5+Settings!$B$6)*3,"F","")))</f>
        <v/>
      </c>
      <c r="AA905" s="20">
        <f>IF($Z905="C",$Y905,IF($Z905="A",$Y905-Settings!$B$4*3,IF($Z905="F",$Y905-(Settings!$B$4+Settings!$B$5)*3,"")))</f>
        <v/>
      </c>
      <c r="AB905" s="20">
        <f>IF($Z905="","",INT(($AA905-1)/3)+1)</f>
        <v/>
      </c>
      <c r="AC905" s="20">
        <f>IF($Z905="","",MOD($AA905-1,3)+1)</f>
        <v/>
      </c>
      <c r="AD905" s="20">
        <f>IF($Z905="","",Settings!$B$2+$AC905-1)</f>
        <v/>
      </c>
      <c r="AE905" s="21">
        <f>IF($Z905="C",DATE(YEAR(INDEX(Contracts!$J$2:$J$151,$AB905)),MONTH(INDEX(Contracts!$J$2:$J$151,$AB905)),1),IF($Z905="A",DATE(YEAR(INDEX(Fixed_Assets!$G$2:$G$201,$AB905)),MONTH(INDEX(Fixed_Assets!$G$2:$G$201,$AB905)),1),IF($Z905="F",DATE(YEAR(MAX(N(INDEX(Workforce!$I$2:$I$151,MATCH(INDEX(FTE_Allocation!$A$2:$A$201,$AB905),Workforce!$A$2:$A$151,0))),N(INDEX(FTE_Allocation!$I$2:$I$201,$AB905)))),MONTH(MAX(N(INDEX(Workforce!$I$2:$I$151,MATCH(INDEX(FTE_Allocation!$A$2:$A$201,$AB905),Workforce!$A$2:$A$151,0))),N(INDEX(FTE_Allocation!$I$2:$I$201,$AB905)))),1),"")))</f>
        <v/>
      </c>
      <c r="AF905" s="21">
        <f>IF($Z905="C",IF(INDEX(Contracts!$I$2:$I$151,$AB905)="PREPAID",EDATE(DATE(YEAR(INDEX(Contracts!$J$2:$J$151,$AB905)),MONTH(INDEX(Contracts!$J$2:$J$151,$AB905)),1),IF(INDEX(Contracts!$N$2:$N$151,$AB905)="",12,INDEX(Contracts!$N$2:$N$151,$AB905))-1),IF(INDEX(Contracts!$I$2:$I$151,$AB905)="MONTHLY",IF(INDEX(Contracts!$K$2:$K$151,$AB905)="",2958101,INDEX(Contracts!$K$2:$K$151,$AB905)),0)),IF($Z905="A",EDATE(DATE(YEAR(INDEX(Fixed_Assets!$G$2:$G$201,$AB905)),MONTH(INDEX(Fixed_Assets!$G$2:$G$201,$AB905)),1),INDEX(Fixed_Assets!$J$2:$J$201,$AB905)-1),IF($Z905="F",MIN(IF(INDEX(Workforce!$J$2:$J$151,MATCH(INDEX(FTE_Allocation!$A$2:$A$201,$AB905),Workforce!$A$2:$A$151,0))="",2958101,INDEX(Workforce!$J$2:$J$151,MATCH(INDEX(FTE_Allocation!$A$2:$A$201,$AB905),Workforce!$A$2:$A$151,0))),IF(INDEX(FTE_Allocation!$J$2:$J$201,$AB905)="",2958101,INDEX(FTE_Allocation!$J$2:$J$201,$AB905))),"")))</f>
        <v/>
      </c>
      <c r="AG905" s="19">
        <f>IF($Z905="C",IF(INDEX(Contracts!$I$2:$I$151,$AB905)="PREPAID",INDEX(Contracts!$M$2:$M$151,$AB905)/IF(INDEX(Contracts!$N$2:$N$151,$AB905)="",12,INDEX(Contracts!$N$2:$N$151,$AB905)),IF(INDEX(Contracts!$I$2:$I$151,$AB905)="MONTHLY",INDEX(Contracts!$M$2:$M$151,$AB905),0))*(1-N(INDEX(Contracts!$O$2:$O$151,$AB905))),IF($Z905="A",INDEX(Fixed_Assets!$H$2:$H$201,$AB905)/INDEX(Fixed_Assets!$J$2:$J$201,$AB905),IF($Z905="F",INDEX(Workforce!$F$2:$F$151,MATCH(INDEX(FTE_Allocation!$A$2:$A$201,$AB905),Workforce!$A$2:$A$151,0))*N(INDEX(FTE_Allocation!$F$2:$H$201,$AB905,$AC905)),"")))</f>
        <v/>
      </c>
    </row>
    <row r="906">
      <c r="A906" s="7">
        <f>IF($Z906="","",$AD906)</f>
        <v/>
      </c>
      <c r="B906" s="7">
        <f>IF($Z906="C",INDEX(Contracts!$D$2:$D$151,$AB906)&amp;"",IF($Z906="A",INDEX(Fixed_Assets!$C$2:$C$201,$AB906)&amp;"",IF($Z906="F",INDEX(Workforce!$B$2:$B$151,MATCH(INDEX(FTE_Allocation!$A$2:$A$201,$AB906),Workforce!$A$2:$A$151,0))&amp;"","")))</f>
        <v/>
      </c>
      <c r="C906" s="7">
        <f>IF($Z906="C",INDEX(Contracts!$E$2:$E$151,$AB906)&amp;"",IF($Z906="A",INDEX(Fixed_Assets!$D$2:$D$201,$AB906)&amp;"",IF($Z906="F",INDEX(FTE_Allocation!$C$2:$C$201,$AB906)&amp;"","")))</f>
        <v/>
      </c>
      <c r="D906" s="7">
        <f>IF($Z906="C",INDEX(Contracts!$B$2:$B$151,$AB906)&amp;"",IF($Z906="A",INDEX(Fixed_Assets!$B$2:$B$201,$AB906)&amp;"",IF($Z906="F",INDEX(FTE_Allocation!$B$2:$B$201,$AB906)&amp;"","")))</f>
        <v/>
      </c>
      <c r="E906" s="7">
        <f>IF($Z906="C",INDEX(Contracts!$P$2:$P$151,$AB906)&amp;"",IF($Z906="A",INDEX(Fixed_Assets!$K$2:$K$201,$AB906)&amp;"",IF($Z906="F",IF(INDEX(FTE_Allocation!$D$2:$D$201,$AB906)="PROJECT",IFERROR(INDEX(Projects!$D:$D,MATCH(INDEX(FTE_Allocation!$E$2:$E$201,$AB906),Projects!$A:$A,0))&amp;"","#PROJECT?"),INDEX(FTE_Allocation!$E$2:$E$201,$AB906)&amp;""),"")))</f>
        <v/>
      </c>
      <c r="F906" s="7">
        <f>IF($Z906="C",INDEX(Contracts!$Q$2:$Q$151,$AB906)&amp;"",IF($Z906="A",INDEX(Fixed_Assets!$L$2:$L$201,$AB906)&amp;"",IF($Z906="F",INDEX(Workforce!$K$2:$K$151,MATCH(INDEX(FTE_Allocation!$A$2:$A$201,$AB906),Workforce!$A$2:$A$151,0))&amp;"","")))</f>
        <v/>
      </c>
      <c r="G906" s="7">
        <f>IF($Z906="C",INDEX(Contracts!$F$2:$F$151,$AB906)&amp;" / "&amp;INDEX(Contracts!$G$2:$G$151,$AB906),IF($Z906="A",INDEX(Fixed_Assets!$E$2:$E$201,$AB906)&amp;"",IF($Z906="F","Personnel "&amp;INDEX(FTE_Allocation!$A$2:$A$201,$AB906)&amp;IF(INDEX(FTE_Allocation!$D$2:$D$201,$AB906)="PROJECT"," ("&amp;INDEX(FTE_Allocation!$E$2:$E$201,$AB906)&amp;")",""),"")))</f>
        <v/>
      </c>
      <c r="H906" s="7">
        <f>IF($Z906="C","CONTRACT",IF($Z906="A","ASSET",IF($Z906="F","WORKFORCE","")))</f>
        <v/>
      </c>
      <c r="I906" s="7">
        <f>IF($Z906="C",INDEX(Contracts!$L$2:$L$151,$AB906)&amp;"",IF($Z906="A",INDEX(Fixed_Assets!$I$2:$I$201,$AB906)&amp;"",IF($Z906="F",INDEX(Workforce!$G$2:$G$151,MATCH(INDEX(FTE_Allocation!$A$2:$A$201,$AB906),Workforce!$A$2:$A$151,0))&amp;"","")))</f>
        <v/>
      </c>
      <c r="J906" s="18">
        <f>IF($Z906="","",IF(AND(DATE($AD906,1,1)&gt;=$AE906,DATE($AD906,1,1)&lt;=$AF906),ROUND($AG906,2),0))</f>
        <v/>
      </c>
      <c r="K906" s="18">
        <f>IF($Z906="","",IF(AND(DATE($AD906,2,1)&gt;=$AE906,DATE($AD906,2,1)&lt;=$AF906),ROUND($AG906,2),0))</f>
        <v/>
      </c>
      <c r="L906" s="18">
        <f>IF($Z906="","",IF(AND(DATE($AD906,3,1)&gt;=$AE906,DATE($AD906,3,1)&lt;=$AF906),ROUND($AG906,2),0))</f>
        <v/>
      </c>
      <c r="M906" s="18">
        <f>IF($Z906="","",IF(AND(DATE($AD906,4,1)&gt;=$AE906,DATE($AD906,4,1)&lt;=$AF906),ROUND($AG906,2),0))</f>
        <v/>
      </c>
      <c r="N906" s="18">
        <f>IF($Z906="","",IF(AND(DATE($AD906,5,1)&gt;=$AE906,DATE($AD906,5,1)&lt;=$AF906),ROUND($AG906,2),0))</f>
        <v/>
      </c>
      <c r="O906" s="18">
        <f>IF($Z906="","",IF(AND(DATE($AD906,6,1)&gt;=$AE906,DATE($AD906,6,1)&lt;=$AF906),ROUND($AG906,2),0))</f>
        <v/>
      </c>
      <c r="P906" s="18">
        <f>IF($Z906="","",IF(AND(DATE($AD906,7,1)&gt;=$AE906,DATE($AD906,7,1)&lt;=$AF906),ROUND($AG906,2),0))</f>
        <v/>
      </c>
      <c r="Q906" s="18">
        <f>IF($Z906="","",IF(AND(DATE($AD906,8,1)&gt;=$AE906,DATE($AD906,8,1)&lt;=$AF906),ROUND($AG906,2),0))</f>
        <v/>
      </c>
      <c r="R906" s="18">
        <f>IF($Z906="","",IF(AND(DATE($AD906,9,1)&gt;=$AE906,DATE($AD906,9,1)&lt;=$AF906),ROUND($AG906,2),0))</f>
        <v/>
      </c>
      <c r="S906" s="18">
        <f>IF($Z906="","",IF(AND(DATE($AD906,10,1)&gt;=$AE906,DATE($AD906,10,1)&lt;=$AF906),ROUND($AG906,2),0))</f>
        <v/>
      </c>
      <c r="T906" s="18">
        <f>IF($Z906="","",IF(AND(DATE($AD906,11,1)&gt;=$AE906,DATE($AD906,11,1)&lt;=$AF906),ROUND($AG906,2),0))</f>
        <v/>
      </c>
      <c r="U906" s="18">
        <f>IF($Z906="","",IF(AND(DATE($AD906,12,1)&gt;=$AE906,DATE($AD906,12,1)&lt;=$AF906),ROUND($AG906,2),0))</f>
        <v/>
      </c>
      <c r="V906" s="7">
        <f>IF($Z906="C","Generated from "&amp;INDEX(Contracts!$A$2:$A$151,$AB906),IF($Z906="A","Generated from "&amp;INDEX(Fixed_Assets!$A$2:$A$201,$AB906),IF($Z906="F","Generated from "&amp;INDEX(FTE_Allocation!$A$2:$A$201,$AB906),"")))</f>
        <v/>
      </c>
      <c r="X906" s="19">
        <f>IF($Z906="","",SUM(J906:U906))</f>
        <v/>
      </c>
      <c r="Y906" s="20">
        <f>ROW()-1</f>
        <v/>
      </c>
      <c r="Z906" s="20">
        <f>IF($Y906&lt;=Settings!$B$4*3,"C",IF($Y906&lt;=(Settings!$B$4+Settings!$B$5)*3,"A",IF($Y906&lt;=(Settings!$B$4+Settings!$B$5+Settings!$B$6)*3,"F","")))</f>
        <v/>
      </c>
      <c r="AA906" s="20">
        <f>IF($Z906="C",$Y906,IF($Z906="A",$Y906-Settings!$B$4*3,IF($Z906="F",$Y906-(Settings!$B$4+Settings!$B$5)*3,"")))</f>
        <v/>
      </c>
      <c r="AB906" s="20">
        <f>IF($Z906="","",INT(($AA906-1)/3)+1)</f>
        <v/>
      </c>
      <c r="AC906" s="20">
        <f>IF($Z906="","",MOD($AA906-1,3)+1)</f>
        <v/>
      </c>
      <c r="AD906" s="20">
        <f>IF($Z906="","",Settings!$B$2+$AC906-1)</f>
        <v/>
      </c>
      <c r="AE906" s="21">
        <f>IF($Z906="C",DATE(YEAR(INDEX(Contracts!$J$2:$J$151,$AB906)),MONTH(INDEX(Contracts!$J$2:$J$151,$AB906)),1),IF($Z906="A",DATE(YEAR(INDEX(Fixed_Assets!$G$2:$G$201,$AB906)),MONTH(INDEX(Fixed_Assets!$G$2:$G$201,$AB906)),1),IF($Z906="F",DATE(YEAR(MAX(N(INDEX(Workforce!$I$2:$I$151,MATCH(INDEX(FTE_Allocation!$A$2:$A$201,$AB906),Workforce!$A$2:$A$151,0))),N(INDEX(FTE_Allocation!$I$2:$I$201,$AB906)))),MONTH(MAX(N(INDEX(Workforce!$I$2:$I$151,MATCH(INDEX(FTE_Allocation!$A$2:$A$201,$AB906),Workforce!$A$2:$A$151,0))),N(INDEX(FTE_Allocation!$I$2:$I$201,$AB906)))),1),"")))</f>
        <v/>
      </c>
      <c r="AF906" s="21">
        <f>IF($Z906="C",IF(INDEX(Contracts!$I$2:$I$151,$AB906)="PREPAID",EDATE(DATE(YEAR(INDEX(Contracts!$J$2:$J$151,$AB906)),MONTH(INDEX(Contracts!$J$2:$J$151,$AB906)),1),IF(INDEX(Contracts!$N$2:$N$151,$AB906)="",12,INDEX(Contracts!$N$2:$N$151,$AB906))-1),IF(INDEX(Contracts!$I$2:$I$151,$AB906)="MONTHLY",IF(INDEX(Contracts!$K$2:$K$151,$AB906)="",2958101,INDEX(Contracts!$K$2:$K$151,$AB906)),0)),IF($Z906="A",EDATE(DATE(YEAR(INDEX(Fixed_Assets!$G$2:$G$201,$AB906)),MONTH(INDEX(Fixed_Assets!$G$2:$G$201,$AB906)),1),INDEX(Fixed_Assets!$J$2:$J$201,$AB906)-1),IF($Z906="F",MIN(IF(INDEX(Workforce!$J$2:$J$151,MATCH(INDEX(FTE_Allocation!$A$2:$A$201,$AB906),Workforce!$A$2:$A$151,0))="",2958101,INDEX(Workforce!$J$2:$J$151,MATCH(INDEX(FTE_Allocation!$A$2:$A$201,$AB906),Workforce!$A$2:$A$151,0))),IF(INDEX(FTE_Allocation!$J$2:$J$201,$AB906)="",2958101,INDEX(FTE_Allocation!$J$2:$J$201,$AB906))),"")))</f>
        <v/>
      </c>
      <c r="AG906" s="19">
        <f>IF($Z906="C",IF(INDEX(Contracts!$I$2:$I$151,$AB906)="PREPAID",INDEX(Contracts!$M$2:$M$151,$AB906)/IF(INDEX(Contracts!$N$2:$N$151,$AB906)="",12,INDEX(Contracts!$N$2:$N$151,$AB906)),IF(INDEX(Contracts!$I$2:$I$151,$AB906)="MONTHLY",INDEX(Contracts!$M$2:$M$151,$AB906),0))*(1-N(INDEX(Contracts!$O$2:$O$151,$AB906))),IF($Z906="A",INDEX(Fixed_Assets!$H$2:$H$201,$AB906)/INDEX(Fixed_Assets!$J$2:$J$201,$AB906),IF($Z906="F",INDEX(Workforce!$F$2:$F$151,MATCH(INDEX(FTE_Allocation!$A$2:$A$201,$AB906),Workforce!$A$2:$A$151,0))*N(INDEX(FTE_Allocation!$F$2:$H$201,$AB906,$AC906)),"")))</f>
        <v/>
      </c>
    </row>
    <row r="907">
      <c r="A907" s="7">
        <f>IF($Z907="","",$AD907)</f>
        <v/>
      </c>
      <c r="B907" s="7">
        <f>IF($Z907="C",INDEX(Contracts!$D$2:$D$151,$AB907)&amp;"",IF($Z907="A",INDEX(Fixed_Assets!$C$2:$C$201,$AB907)&amp;"",IF($Z907="F",INDEX(Workforce!$B$2:$B$151,MATCH(INDEX(FTE_Allocation!$A$2:$A$201,$AB907),Workforce!$A$2:$A$151,0))&amp;"","")))</f>
        <v/>
      </c>
      <c r="C907" s="7">
        <f>IF($Z907="C",INDEX(Contracts!$E$2:$E$151,$AB907)&amp;"",IF($Z907="A",INDEX(Fixed_Assets!$D$2:$D$201,$AB907)&amp;"",IF($Z907="F",INDEX(FTE_Allocation!$C$2:$C$201,$AB907)&amp;"","")))</f>
        <v/>
      </c>
      <c r="D907" s="7">
        <f>IF($Z907="C",INDEX(Contracts!$B$2:$B$151,$AB907)&amp;"",IF($Z907="A",INDEX(Fixed_Assets!$B$2:$B$201,$AB907)&amp;"",IF($Z907="F",INDEX(FTE_Allocation!$B$2:$B$201,$AB907)&amp;"","")))</f>
        <v/>
      </c>
      <c r="E907" s="7">
        <f>IF($Z907="C",INDEX(Contracts!$P$2:$P$151,$AB907)&amp;"",IF($Z907="A",INDEX(Fixed_Assets!$K$2:$K$201,$AB907)&amp;"",IF($Z907="F",IF(INDEX(FTE_Allocation!$D$2:$D$201,$AB907)="PROJECT",IFERROR(INDEX(Projects!$D:$D,MATCH(INDEX(FTE_Allocation!$E$2:$E$201,$AB907),Projects!$A:$A,0))&amp;"","#PROJECT?"),INDEX(FTE_Allocation!$E$2:$E$201,$AB907)&amp;""),"")))</f>
        <v/>
      </c>
      <c r="F907" s="7">
        <f>IF($Z907="C",INDEX(Contracts!$Q$2:$Q$151,$AB907)&amp;"",IF($Z907="A",INDEX(Fixed_Assets!$L$2:$L$201,$AB907)&amp;"",IF($Z907="F",INDEX(Workforce!$K$2:$K$151,MATCH(INDEX(FTE_Allocation!$A$2:$A$201,$AB907),Workforce!$A$2:$A$151,0))&amp;"","")))</f>
        <v/>
      </c>
      <c r="G907" s="7">
        <f>IF($Z907="C",INDEX(Contracts!$F$2:$F$151,$AB907)&amp;" / "&amp;INDEX(Contracts!$G$2:$G$151,$AB907),IF($Z907="A",INDEX(Fixed_Assets!$E$2:$E$201,$AB907)&amp;"",IF($Z907="F","Personnel "&amp;INDEX(FTE_Allocation!$A$2:$A$201,$AB907)&amp;IF(INDEX(FTE_Allocation!$D$2:$D$201,$AB907)="PROJECT"," ("&amp;INDEX(FTE_Allocation!$E$2:$E$201,$AB907)&amp;")",""),"")))</f>
        <v/>
      </c>
      <c r="H907" s="7">
        <f>IF($Z907="C","CONTRACT",IF($Z907="A","ASSET",IF($Z907="F","WORKFORCE","")))</f>
        <v/>
      </c>
      <c r="I907" s="7">
        <f>IF($Z907="C",INDEX(Contracts!$L$2:$L$151,$AB907)&amp;"",IF($Z907="A",INDEX(Fixed_Assets!$I$2:$I$201,$AB907)&amp;"",IF($Z907="F",INDEX(Workforce!$G$2:$G$151,MATCH(INDEX(FTE_Allocation!$A$2:$A$201,$AB907),Workforce!$A$2:$A$151,0))&amp;"","")))</f>
        <v/>
      </c>
      <c r="J907" s="18">
        <f>IF($Z907="","",IF(AND(DATE($AD907,1,1)&gt;=$AE907,DATE($AD907,1,1)&lt;=$AF907),ROUND($AG907,2),0))</f>
        <v/>
      </c>
      <c r="K907" s="18">
        <f>IF($Z907="","",IF(AND(DATE($AD907,2,1)&gt;=$AE907,DATE($AD907,2,1)&lt;=$AF907),ROUND($AG907,2),0))</f>
        <v/>
      </c>
      <c r="L907" s="18">
        <f>IF($Z907="","",IF(AND(DATE($AD907,3,1)&gt;=$AE907,DATE($AD907,3,1)&lt;=$AF907),ROUND($AG907,2),0))</f>
        <v/>
      </c>
      <c r="M907" s="18">
        <f>IF($Z907="","",IF(AND(DATE($AD907,4,1)&gt;=$AE907,DATE($AD907,4,1)&lt;=$AF907),ROUND($AG907,2),0))</f>
        <v/>
      </c>
      <c r="N907" s="18">
        <f>IF($Z907="","",IF(AND(DATE($AD907,5,1)&gt;=$AE907,DATE($AD907,5,1)&lt;=$AF907),ROUND($AG907,2),0))</f>
        <v/>
      </c>
      <c r="O907" s="18">
        <f>IF($Z907="","",IF(AND(DATE($AD907,6,1)&gt;=$AE907,DATE($AD907,6,1)&lt;=$AF907),ROUND($AG907,2),0))</f>
        <v/>
      </c>
      <c r="P907" s="18">
        <f>IF($Z907="","",IF(AND(DATE($AD907,7,1)&gt;=$AE907,DATE($AD907,7,1)&lt;=$AF907),ROUND($AG907,2),0))</f>
        <v/>
      </c>
      <c r="Q907" s="18">
        <f>IF($Z907="","",IF(AND(DATE($AD907,8,1)&gt;=$AE907,DATE($AD907,8,1)&lt;=$AF907),ROUND($AG907,2),0))</f>
        <v/>
      </c>
      <c r="R907" s="18">
        <f>IF($Z907="","",IF(AND(DATE($AD907,9,1)&gt;=$AE907,DATE($AD907,9,1)&lt;=$AF907),ROUND($AG907,2),0))</f>
        <v/>
      </c>
      <c r="S907" s="18">
        <f>IF($Z907="","",IF(AND(DATE($AD907,10,1)&gt;=$AE907,DATE($AD907,10,1)&lt;=$AF907),ROUND($AG907,2),0))</f>
        <v/>
      </c>
      <c r="T907" s="18">
        <f>IF($Z907="","",IF(AND(DATE($AD907,11,1)&gt;=$AE907,DATE($AD907,11,1)&lt;=$AF907),ROUND($AG907,2),0))</f>
        <v/>
      </c>
      <c r="U907" s="18">
        <f>IF($Z907="","",IF(AND(DATE($AD907,12,1)&gt;=$AE907,DATE($AD907,12,1)&lt;=$AF907),ROUND($AG907,2),0))</f>
        <v/>
      </c>
      <c r="V907" s="7">
        <f>IF($Z907="C","Generated from "&amp;INDEX(Contracts!$A$2:$A$151,$AB907),IF($Z907="A","Generated from "&amp;INDEX(Fixed_Assets!$A$2:$A$201,$AB907),IF($Z907="F","Generated from "&amp;INDEX(FTE_Allocation!$A$2:$A$201,$AB907),"")))</f>
        <v/>
      </c>
      <c r="X907" s="19">
        <f>IF($Z907="","",SUM(J907:U907))</f>
        <v/>
      </c>
      <c r="Y907" s="20">
        <f>ROW()-1</f>
        <v/>
      </c>
      <c r="Z907" s="20">
        <f>IF($Y907&lt;=Settings!$B$4*3,"C",IF($Y907&lt;=(Settings!$B$4+Settings!$B$5)*3,"A",IF($Y907&lt;=(Settings!$B$4+Settings!$B$5+Settings!$B$6)*3,"F","")))</f>
        <v/>
      </c>
      <c r="AA907" s="20">
        <f>IF($Z907="C",$Y907,IF($Z907="A",$Y907-Settings!$B$4*3,IF($Z907="F",$Y907-(Settings!$B$4+Settings!$B$5)*3,"")))</f>
        <v/>
      </c>
      <c r="AB907" s="20">
        <f>IF($Z907="","",INT(($AA907-1)/3)+1)</f>
        <v/>
      </c>
      <c r="AC907" s="20">
        <f>IF($Z907="","",MOD($AA907-1,3)+1)</f>
        <v/>
      </c>
      <c r="AD907" s="20">
        <f>IF($Z907="","",Settings!$B$2+$AC907-1)</f>
        <v/>
      </c>
      <c r="AE907" s="21">
        <f>IF($Z907="C",DATE(YEAR(INDEX(Contracts!$J$2:$J$151,$AB907)),MONTH(INDEX(Contracts!$J$2:$J$151,$AB907)),1),IF($Z907="A",DATE(YEAR(INDEX(Fixed_Assets!$G$2:$G$201,$AB907)),MONTH(INDEX(Fixed_Assets!$G$2:$G$201,$AB907)),1),IF($Z907="F",DATE(YEAR(MAX(N(INDEX(Workforce!$I$2:$I$151,MATCH(INDEX(FTE_Allocation!$A$2:$A$201,$AB907),Workforce!$A$2:$A$151,0))),N(INDEX(FTE_Allocation!$I$2:$I$201,$AB907)))),MONTH(MAX(N(INDEX(Workforce!$I$2:$I$151,MATCH(INDEX(FTE_Allocation!$A$2:$A$201,$AB907),Workforce!$A$2:$A$151,0))),N(INDEX(FTE_Allocation!$I$2:$I$201,$AB907)))),1),"")))</f>
        <v/>
      </c>
      <c r="AF907" s="21">
        <f>IF($Z907="C",IF(INDEX(Contracts!$I$2:$I$151,$AB907)="PREPAID",EDATE(DATE(YEAR(INDEX(Contracts!$J$2:$J$151,$AB907)),MONTH(INDEX(Contracts!$J$2:$J$151,$AB907)),1),IF(INDEX(Contracts!$N$2:$N$151,$AB907)="",12,INDEX(Contracts!$N$2:$N$151,$AB907))-1),IF(INDEX(Contracts!$I$2:$I$151,$AB907)="MONTHLY",IF(INDEX(Contracts!$K$2:$K$151,$AB907)="",2958101,INDEX(Contracts!$K$2:$K$151,$AB907)),0)),IF($Z907="A",EDATE(DATE(YEAR(INDEX(Fixed_Assets!$G$2:$G$201,$AB907)),MONTH(INDEX(Fixed_Assets!$G$2:$G$201,$AB907)),1),INDEX(Fixed_Assets!$J$2:$J$201,$AB907)-1),IF($Z907="F",MIN(IF(INDEX(Workforce!$J$2:$J$151,MATCH(INDEX(FTE_Allocation!$A$2:$A$201,$AB907),Workforce!$A$2:$A$151,0))="",2958101,INDEX(Workforce!$J$2:$J$151,MATCH(INDEX(FTE_Allocation!$A$2:$A$201,$AB907),Workforce!$A$2:$A$151,0))),IF(INDEX(FTE_Allocation!$J$2:$J$201,$AB907)="",2958101,INDEX(FTE_Allocation!$J$2:$J$201,$AB907))),"")))</f>
        <v/>
      </c>
      <c r="AG907" s="19">
        <f>IF($Z907="C",IF(INDEX(Contracts!$I$2:$I$151,$AB907)="PREPAID",INDEX(Contracts!$M$2:$M$151,$AB907)/IF(INDEX(Contracts!$N$2:$N$151,$AB907)="",12,INDEX(Contracts!$N$2:$N$151,$AB907)),IF(INDEX(Contracts!$I$2:$I$151,$AB907)="MONTHLY",INDEX(Contracts!$M$2:$M$151,$AB907),0))*(1-N(INDEX(Contracts!$O$2:$O$151,$AB907))),IF($Z907="A",INDEX(Fixed_Assets!$H$2:$H$201,$AB907)/INDEX(Fixed_Assets!$J$2:$J$201,$AB907),IF($Z907="F",INDEX(Workforce!$F$2:$F$151,MATCH(INDEX(FTE_Allocation!$A$2:$A$201,$AB907),Workforce!$A$2:$A$151,0))*N(INDEX(FTE_Allocation!$F$2:$H$201,$AB907,$AC907)),"")))</f>
        <v/>
      </c>
    </row>
    <row r="908">
      <c r="A908" s="7">
        <f>IF($Z908="","",$AD908)</f>
        <v/>
      </c>
      <c r="B908" s="7">
        <f>IF($Z908="C",INDEX(Contracts!$D$2:$D$151,$AB908)&amp;"",IF($Z908="A",INDEX(Fixed_Assets!$C$2:$C$201,$AB908)&amp;"",IF($Z908="F",INDEX(Workforce!$B$2:$B$151,MATCH(INDEX(FTE_Allocation!$A$2:$A$201,$AB908),Workforce!$A$2:$A$151,0))&amp;"","")))</f>
        <v/>
      </c>
      <c r="C908" s="7">
        <f>IF($Z908="C",INDEX(Contracts!$E$2:$E$151,$AB908)&amp;"",IF($Z908="A",INDEX(Fixed_Assets!$D$2:$D$201,$AB908)&amp;"",IF($Z908="F",INDEX(FTE_Allocation!$C$2:$C$201,$AB908)&amp;"","")))</f>
        <v/>
      </c>
      <c r="D908" s="7">
        <f>IF($Z908="C",INDEX(Contracts!$B$2:$B$151,$AB908)&amp;"",IF($Z908="A",INDEX(Fixed_Assets!$B$2:$B$201,$AB908)&amp;"",IF($Z908="F",INDEX(FTE_Allocation!$B$2:$B$201,$AB908)&amp;"","")))</f>
        <v/>
      </c>
      <c r="E908" s="7">
        <f>IF($Z908="C",INDEX(Contracts!$P$2:$P$151,$AB908)&amp;"",IF($Z908="A",INDEX(Fixed_Assets!$K$2:$K$201,$AB908)&amp;"",IF($Z908="F",IF(INDEX(FTE_Allocation!$D$2:$D$201,$AB908)="PROJECT",IFERROR(INDEX(Projects!$D:$D,MATCH(INDEX(FTE_Allocation!$E$2:$E$201,$AB908),Projects!$A:$A,0))&amp;"","#PROJECT?"),INDEX(FTE_Allocation!$E$2:$E$201,$AB908)&amp;""),"")))</f>
        <v/>
      </c>
      <c r="F908" s="7">
        <f>IF($Z908="C",INDEX(Contracts!$Q$2:$Q$151,$AB908)&amp;"",IF($Z908="A",INDEX(Fixed_Assets!$L$2:$L$201,$AB908)&amp;"",IF($Z908="F",INDEX(Workforce!$K$2:$K$151,MATCH(INDEX(FTE_Allocation!$A$2:$A$201,$AB908),Workforce!$A$2:$A$151,0))&amp;"","")))</f>
        <v/>
      </c>
      <c r="G908" s="7">
        <f>IF($Z908="C",INDEX(Contracts!$F$2:$F$151,$AB908)&amp;" / "&amp;INDEX(Contracts!$G$2:$G$151,$AB908),IF($Z908="A",INDEX(Fixed_Assets!$E$2:$E$201,$AB908)&amp;"",IF($Z908="F","Personnel "&amp;INDEX(FTE_Allocation!$A$2:$A$201,$AB908)&amp;IF(INDEX(FTE_Allocation!$D$2:$D$201,$AB908)="PROJECT"," ("&amp;INDEX(FTE_Allocation!$E$2:$E$201,$AB908)&amp;")",""),"")))</f>
        <v/>
      </c>
      <c r="H908" s="7">
        <f>IF($Z908="C","CONTRACT",IF($Z908="A","ASSET",IF($Z908="F","WORKFORCE","")))</f>
        <v/>
      </c>
      <c r="I908" s="7">
        <f>IF($Z908="C",INDEX(Contracts!$L$2:$L$151,$AB908)&amp;"",IF($Z908="A",INDEX(Fixed_Assets!$I$2:$I$201,$AB908)&amp;"",IF($Z908="F",INDEX(Workforce!$G$2:$G$151,MATCH(INDEX(FTE_Allocation!$A$2:$A$201,$AB908),Workforce!$A$2:$A$151,0))&amp;"","")))</f>
        <v/>
      </c>
      <c r="J908" s="18">
        <f>IF($Z908="","",IF(AND(DATE($AD908,1,1)&gt;=$AE908,DATE($AD908,1,1)&lt;=$AF908),ROUND($AG908,2),0))</f>
        <v/>
      </c>
      <c r="K908" s="18">
        <f>IF($Z908="","",IF(AND(DATE($AD908,2,1)&gt;=$AE908,DATE($AD908,2,1)&lt;=$AF908),ROUND($AG908,2),0))</f>
        <v/>
      </c>
      <c r="L908" s="18">
        <f>IF($Z908="","",IF(AND(DATE($AD908,3,1)&gt;=$AE908,DATE($AD908,3,1)&lt;=$AF908),ROUND($AG908,2),0))</f>
        <v/>
      </c>
      <c r="M908" s="18">
        <f>IF($Z908="","",IF(AND(DATE($AD908,4,1)&gt;=$AE908,DATE($AD908,4,1)&lt;=$AF908),ROUND($AG908,2),0))</f>
        <v/>
      </c>
      <c r="N908" s="18">
        <f>IF($Z908="","",IF(AND(DATE($AD908,5,1)&gt;=$AE908,DATE($AD908,5,1)&lt;=$AF908),ROUND($AG908,2),0))</f>
        <v/>
      </c>
      <c r="O908" s="18">
        <f>IF($Z908="","",IF(AND(DATE($AD908,6,1)&gt;=$AE908,DATE($AD908,6,1)&lt;=$AF908),ROUND($AG908,2),0))</f>
        <v/>
      </c>
      <c r="P908" s="18">
        <f>IF($Z908="","",IF(AND(DATE($AD908,7,1)&gt;=$AE908,DATE($AD908,7,1)&lt;=$AF908),ROUND($AG908,2),0))</f>
        <v/>
      </c>
      <c r="Q908" s="18">
        <f>IF($Z908="","",IF(AND(DATE($AD908,8,1)&gt;=$AE908,DATE($AD908,8,1)&lt;=$AF908),ROUND($AG908,2),0))</f>
        <v/>
      </c>
      <c r="R908" s="18">
        <f>IF($Z908="","",IF(AND(DATE($AD908,9,1)&gt;=$AE908,DATE($AD908,9,1)&lt;=$AF908),ROUND($AG908,2),0))</f>
        <v/>
      </c>
      <c r="S908" s="18">
        <f>IF($Z908="","",IF(AND(DATE($AD908,10,1)&gt;=$AE908,DATE($AD908,10,1)&lt;=$AF908),ROUND($AG908,2),0))</f>
        <v/>
      </c>
      <c r="T908" s="18">
        <f>IF($Z908="","",IF(AND(DATE($AD908,11,1)&gt;=$AE908,DATE($AD908,11,1)&lt;=$AF908),ROUND($AG908,2),0))</f>
        <v/>
      </c>
      <c r="U908" s="18">
        <f>IF($Z908="","",IF(AND(DATE($AD908,12,1)&gt;=$AE908,DATE($AD908,12,1)&lt;=$AF908),ROUND($AG908,2),0))</f>
        <v/>
      </c>
      <c r="V908" s="7">
        <f>IF($Z908="C","Generated from "&amp;INDEX(Contracts!$A$2:$A$151,$AB908),IF($Z908="A","Generated from "&amp;INDEX(Fixed_Assets!$A$2:$A$201,$AB908),IF($Z908="F","Generated from "&amp;INDEX(FTE_Allocation!$A$2:$A$201,$AB908),"")))</f>
        <v/>
      </c>
      <c r="X908" s="19">
        <f>IF($Z908="","",SUM(J908:U908))</f>
        <v/>
      </c>
      <c r="Y908" s="20">
        <f>ROW()-1</f>
        <v/>
      </c>
      <c r="Z908" s="20">
        <f>IF($Y908&lt;=Settings!$B$4*3,"C",IF($Y908&lt;=(Settings!$B$4+Settings!$B$5)*3,"A",IF($Y908&lt;=(Settings!$B$4+Settings!$B$5+Settings!$B$6)*3,"F","")))</f>
        <v/>
      </c>
      <c r="AA908" s="20">
        <f>IF($Z908="C",$Y908,IF($Z908="A",$Y908-Settings!$B$4*3,IF($Z908="F",$Y908-(Settings!$B$4+Settings!$B$5)*3,"")))</f>
        <v/>
      </c>
      <c r="AB908" s="20">
        <f>IF($Z908="","",INT(($AA908-1)/3)+1)</f>
        <v/>
      </c>
      <c r="AC908" s="20">
        <f>IF($Z908="","",MOD($AA908-1,3)+1)</f>
        <v/>
      </c>
      <c r="AD908" s="20">
        <f>IF($Z908="","",Settings!$B$2+$AC908-1)</f>
        <v/>
      </c>
      <c r="AE908" s="21">
        <f>IF($Z908="C",DATE(YEAR(INDEX(Contracts!$J$2:$J$151,$AB908)),MONTH(INDEX(Contracts!$J$2:$J$151,$AB908)),1),IF($Z908="A",DATE(YEAR(INDEX(Fixed_Assets!$G$2:$G$201,$AB908)),MONTH(INDEX(Fixed_Assets!$G$2:$G$201,$AB908)),1),IF($Z908="F",DATE(YEAR(MAX(N(INDEX(Workforce!$I$2:$I$151,MATCH(INDEX(FTE_Allocation!$A$2:$A$201,$AB908),Workforce!$A$2:$A$151,0))),N(INDEX(FTE_Allocation!$I$2:$I$201,$AB908)))),MONTH(MAX(N(INDEX(Workforce!$I$2:$I$151,MATCH(INDEX(FTE_Allocation!$A$2:$A$201,$AB908),Workforce!$A$2:$A$151,0))),N(INDEX(FTE_Allocation!$I$2:$I$201,$AB908)))),1),"")))</f>
        <v/>
      </c>
      <c r="AF908" s="21">
        <f>IF($Z908="C",IF(INDEX(Contracts!$I$2:$I$151,$AB908)="PREPAID",EDATE(DATE(YEAR(INDEX(Contracts!$J$2:$J$151,$AB908)),MONTH(INDEX(Contracts!$J$2:$J$151,$AB908)),1),IF(INDEX(Contracts!$N$2:$N$151,$AB908)="",12,INDEX(Contracts!$N$2:$N$151,$AB908))-1),IF(INDEX(Contracts!$I$2:$I$151,$AB908)="MONTHLY",IF(INDEX(Contracts!$K$2:$K$151,$AB908)="",2958101,INDEX(Contracts!$K$2:$K$151,$AB908)),0)),IF($Z908="A",EDATE(DATE(YEAR(INDEX(Fixed_Assets!$G$2:$G$201,$AB908)),MONTH(INDEX(Fixed_Assets!$G$2:$G$201,$AB908)),1),INDEX(Fixed_Assets!$J$2:$J$201,$AB908)-1),IF($Z908="F",MIN(IF(INDEX(Workforce!$J$2:$J$151,MATCH(INDEX(FTE_Allocation!$A$2:$A$201,$AB908),Workforce!$A$2:$A$151,0))="",2958101,INDEX(Workforce!$J$2:$J$151,MATCH(INDEX(FTE_Allocation!$A$2:$A$201,$AB908),Workforce!$A$2:$A$151,0))),IF(INDEX(FTE_Allocation!$J$2:$J$201,$AB908)="",2958101,INDEX(FTE_Allocation!$J$2:$J$201,$AB908))),"")))</f>
        <v/>
      </c>
      <c r="AG908" s="19">
        <f>IF($Z908="C",IF(INDEX(Contracts!$I$2:$I$151,$AB908)="PREPAID",INDEX(Contracts!$M$2:$M$151,$AB908)/IF(INDEX(Contracts!$N$2:$N$151,$AB908)="",12,INDEX(Contracts!$N$2:$N$151,$AB908)),IF(INDEX(Contracts!$I$2:$I$151,$AB908)="MONTHLY",INDEX(Contracts!$M$2:$M$151,$AB908),0))*(1-N(INDEX(Contracts!$O$2:$O$151,$AB908))),IF($Z908="A",INDEX(Fixed_Assets!$H$2:$H$201,$AB908)/INDEX(Fixed_Assets!$J$2:$J$201,$AB908),IF($Z908="F",INDEX(Workforce!$F$2:$F$151,MATCH(INDEX(FTE_Allocation!$A$2:$A$201,$AB908),Workforce!$A$2:$A$151,0))*N(INDEX(FTE_Allocation!$F$2:$H$201,$AB908,$AC908)),"")))</f>
        <v/>
      </c>
    </row>
    <row r="909">
      <c r="A909" s="7">
        <f>IF($Z909="","",$AD909)</f>
        <v/>
      </c>
      <c r="B909" s="7">
        <f>IF($Z909="C",INDEX(Contracts!$D$2:$D$151,$AB909)&amp;"",IF($Z909="A",INDEX(Fixed_Assets!$C$2:$C$201,$AB909)&amp;"",IF($Z909="F",INDEX(Workforce!$B$2:$B$151,MATCH(INDEX(FTE_Allocation!$A$2:$A$201,$AB909),Workforce!$A$2:$A$151,0))&amp;"","")))</f>
        <v/>
      </c>
      <c r="C909" s="7">
        <f>IF($Z909="C",INDEX(Contracts!$E$2:$E$151,$AB909)&amp;"",IF($Z909="A",INDEX(Fixed_Assets!$D$2:$D$201,$AB909)&amp;"",IF($Z909="F",INDEX(FTE_Allocation!$C$2:$C$201,$AB909)&amp;"","")))</f>
        <v/>
      </c>
      <c r="D909" s="7">
        <f>IF($Z909="C",INDEX(Contracts!$B$2:$B$151,$AB909)&amp;"",IF($Z909="A",INDEX(Fixed_Assets!$B$2:$B$201,$AB909)&amp;"",IF($Z909="F",INDEX(FTE_Allocation!$B$2:$B$201,$AB909)&amp;"","")))</f>
        <v/>
      </c>
      <c r="E909" s="7">
        <f>IF($Z909="C",INDEX(Contracts!$P$2:$P$151,$AB909)&amp;"",IF($Z909="A",INDEX(Fixed_Assets!$K$2:$K$201,$AB909)&amp;"",IF($Z909="F",IF(INDEX(FTE_Allocation!$D$2:$D$201,$AB909)="PROJECT",IFERROR(INDEX(Projects!$D:$D,MATCH(INDEX(FTE_Allocation!$E$2:$E$201,$AB909),Projects!$A:$A,0))&amp;"","#PROJECT?"),INDEX(FTE_Allocation!$E$2:$E$201,$AB909)&amp;""),"")))</f>
        <v/>
      </c>
      <c r="F909" s="7">
        <f>IF($Z909="C",INDEX(Contracts!$Q$2:$Q$151,$AB909)&amp;"",IF($Z909="A",INDEX(Fixed_Assets!$L$2:$L$201,$AB909)&amp;"",IF($Z909="F",INDEX(Workforce!$K$2:$K$151,MATCH(INDEX(FTE_Allocation!$A$2:$A$201,$AB909),Workforce!$A$2:$A$151,0))&amp;"","")))</f>
        <v/>
      </c>
      <c r="G909" s="7">
        <f>IF($Z909="C",INDEX(Contracts!$F$2:$F$151,$AB909)&amp;" / "&amp;INDEX(Contracts!$G$2:$G$151,$AB909),IF($Z909="A",INDEX(Fixed_Assets!$E$2:$E$201,$AB909)&amp;"",IF($Z909="F","Personnel "&amp;INDEX(FTE_Allocation!$A$2:$A$201,$AB909)&amp;IF(INDEX(FTE_Allocation!$D$2:$D$201,$AB909)="PROJECT"," ("&amp;INDEX(FTE_Allocation!$E$2:$E$201,$AB909)&amp;")",""),"")))</f>
        <v/>
      </c>
      <c r="H909" s="7">
        <f>IF($Z909="C","CONTRACT",IF($Z909="A","ASSET",IF($Z909="F","WORKFORCE","")))</f>
        <v/>
      </c>
      <c r="I909" s="7">
        <f>IF($Z909="C",INDEX(Contracts!$L$2:$L$151,$AB909)&amp;"",IF($Z909="A",INDEX(Fixed_Assets!$I$2:$I$201,$AB909)&amp;"",IF($Z909="F",INDEX(Workforce!$G$2:$G$151,MATCH(INDEX(FTE_Allocation!$A$2:$A$201,$AB909),Workforce!$A$2:$A$151,0))&amp;"","")))</f>
        <v/>
      </c>
      <c r="J909" s="18">
        <f>IF($Z909="","",IF(AND(DATE($AD909,1,1)&gt;=$AE909,DATE($AD909,1,1)&lt;=$AF909),ROUND($AG909,2),0))</f>
        <v/>
      </c>
      <c r="K909" s="18">
        <f>IF($Z909="","",IF(AND(DATE($AD909,2,1)&gt;=$AE909,DATE($AD909,2,1)&lt;=$AF909),ROUND($AG909,2),0))</f>
        <v/>
      </c>
      <c r="L909" s="18">
        <f>IF($Z909="","",IF(AND(DATE($AD909,3,1)&gt;=$AE909,DATE($AD909,3,1)&lt;=$AF909),ROUND($AG909,2),0))</f>
        <v/>
      </c>
      <c r="M909" s="18">
        <f>IF($Z909="","",IF(AND(DATE($AD909,4,1)&gt;=$AE909,DATE($AD909,4,1)&lt;=$AF909),ROUND($AG909,2),0))</f>
        <v/>
      </c>
      <c r="N909" s="18">
        <f>IF($Z909="","",IF(AND(DATE($AD909,5,1)&gt;=$AE909,DATE($AD909,5,1)&lt;=$AF909),ROUND($AG909,2),0))</f>
        <v/>
      </c>
      <c r="O909" s="18">
        <f>IF($Z909="","",IF(AND(DATE($AD909,6,1)&gt;=$AE909,DATE($AD909,6,1)&lt;=$AF909),ROUND($AG909,2),0))</f>
        <v/>
      </c>
      <c r="P909" s="18">
        <f>IF($Z909="","",IF(AND(DATE($AD909,7,1)&gt;=$AE909,DATE($AD909,7,1)&lt;=$AF909),ROUND($AG909,2),0))</f>
        <v/>
      </c>
      <c r="Q909" s="18">
        <f>IF($Z909="","",IF(AND(DATE($AD909,8,1)&gt;=$AE909,DATE($AD909,8,1)&lt;=$AF909),ROUND($AG909,2),0))</f>
        <v/>
      </c>
      <c r="R909" s="18">
        <f>IF($Z909="","",IF(AND(DATE($AD909,9,1)&gt;=$AE909,DATE($AD909,9,1)&lt;=$AF909),ROUND($AG909,2),0))</f>
        <v/>
      </c>
      <c r="S909" s="18">
        <f>IF($Z909="","",IF(AND(DATE($AD909,10,1)&gt;=$AE909,DATE($AD909,10,1)&lt;=$AF909),ROUND($AG909,2),0))</f>
        <v/>
      </c>
      <c r="T909" s="18">
        <f>IF($Z909="","",IF(AND(DATE($AD909,11,1)&gt;=$AE909,DATE($AD909,11,1)&lt;=$AF909),ROUND($AG909,2),0))</f>
        <v/>
      </c>
      <c r="U909" s="18">
        <f>IF($Z909="","",IF(AND(DATE($AD909,12,1)&gt;=$AE909,DATE($AD909,12,1)&lt;=$AF909),ROUND($AG909,2),0))</f>
        <v/>
      </c>
      <c r="V909" s="7">
        <f>IF($Z909="C","Generated from "&amp;INDEX(Contracts!$A$2:$A$151,$AB909),IF($Z909="A","Generated from "&amp;INDEX(Fixed_Assets!$A$2:$A$201,$AB909),IF($Z909="F","Generated from "&amp;INDEX(FTE_Allocation!$A$2:$A$201,$AB909),"")))</f>
        <v/>
      </c>
      <c r="X909" s="19">
        <f>IF($Z909="","",SUM(J909:U909))</f>
        <v/>
      </c>
      <c r="Y909" s="20">
        <f>ROW()-1</f>
        <v/>
      </c>
      <c r="Z909" s="20">
        <f>IF($Y909&lt;=Settings!$B$4*3,"C",IF($Y909&lt;=(Settings!$B$4+Settings!$B$5)*3,"A",IF($Y909&lt;=(Settings!$B$4+Settings!$B$5+Settings!$B$6)*3,"F","")))</f>
        <v/>
      </c>
      <c r="AA909" s="20">
        <f>IF($Z909="C",$Y909,IF($Z909="A",$Y909-Settings!$B$4*3,IF($Z909="F",$Y909-(Settings!$B$4+Settings!$B$5)*3,"")))</f>
        <v/>
      </c>
      <c r="AB909" s="20">
        <f>IF($Z909="","",INT(($AA909-1)/3)+1)</f>
        <v/>
      </c>
      <c r="AC909" s="20">
        <f>IF($Z909="","",MOD($AA909-1,3)+1)</f>
        <v/>
      </c>
      <c r="AD909" s="20">
        <f>IF($Z909="","",Settings!$B$2+$AC909-1)</f>
        <v/>
      </c>
      <c r="AE909" s="21">
        <f>IF($Z909="C",DATE(YEAR(INDEX(Contracts!$J$2:$J$151,$AB909)),MONTH(INDEX(Contracts!$J$2:$J$151,$AB909)),1),IF($Z909="A",DATE(YEAR(INDEX(Fixed_Assets!$G$2:$G$201,$AB909)),MONTH(INDEX(Fixed_Assets!$G$2:$G$201,$AB909)),1),IF($Z909="F",DATE(YEAR(MAX(N(INDEX(Workforce!$I$2:$I$151,MATCH(INDEX(FTE_Allocation!$A$2:$A$201,$AB909),Workforce!$A$2:$A$151,0))),N(INDEX(FTE_Allocation!$I$2:$I$201,$AB909)))),MONTH(MAX(N(INDEX(Workforce!$I$2:$I$151,MATCH(INDEX(FTE_Allocation!$A$2:$A$201,$AB909),Workforce!$A$2:$A$151,0))),N(INDEX(FTE_Allocation!$I$2:$I$201,$AB909)))),1),"")))</f>
        <v/>
      </c>
      <c r="AF909" s="21">
        <f>IF($Z909="C",IF(INDEX(Contracts!$I$2:$I$151,$AB909)="PREPAID",EDATE(DATE(YEAR(INDEX(Contracts!$J$2:$J$151,$AB909)),MONTH(INDEX(Contracts!$J$2:$J$151,$AB909)),1),IF(INDEX(Contracts!$N$2:$N$151,$AB909)="",12,INDEX(Contracts!$N$2:$N$151,$AB909))-1),IF(INDEX(Contracts!$I$2:$I$151,$AB909)="MONTHLY",IF(INDEX(Contracts!$K$2:$K$151,$AB909)="",2958101,INDEX(Contracts!$K$2:$K$151,$AB909)),0)),IF($Z909="A",EDATE(DATE(YEAR(INDEX(Fixed_Assets!$G$2:$G$201,$AB909)),MONTH(INDEX(Fixed_Assets!$G$2:$G$201,$AB909)),1),INDEX(Fixed_Assets!$J$2:$J$201,$AB909)-1),IF($Z909="F",MIN(IF(INDEX(Workforce!$J$2:$J$151,MATCH(INDEX(FTE_Allocation!$A$2:$A$201,$AB909),Workforce!$A$2:$A$151,0))="",2958101,INDEX(Workforce!$J$2:$J$151,MATCH(INDEX(FTE_Allocation!$A$2:$A$201,$AB909),Workforce!$A$2:$A$151,0))),IF(INDEX(FTE_Allocation!$J$2:$J$201,$AB909)="",2958101,INDEX(FTE_Allocation!$J$2:$J$201,$AB909))),"")))</f>
        <v/>
      </c>
      <c r="AG909" s="19">
        <f>IF($Z909="C",IF(INDEX(Contracts!$I$2:$I$151,$AB909)="PREPAID",INDEX(Contracts!$M$2:$M$151,$AB909)/IF(INDEX(Contracts!$N$2:$N$151,$AB909)="",12,INDEX(Contracts!$N$2:$N$151,$AB909)),IF(INDEX(Contracts!$I$2:$I$151,$AB909)="MONTHLY",INDEX(Contracts!$M$2:$M$151,$AB909),0))*(1-N(INDEX(Contracts!$O$2:$O$151,$AB909))),IF($Z909="A",INDEX(Fixed_Assets!$H$2:$H$201,$AB909)/INDEX(Fixed_Assets!$J$2:$J$201,$AB909),IF($Z909="F",INDEX(Workforce!$F$2:$F$151,MATCH(INDEX(FTE_Allocation!$A$2:$A$201,$AB909),Workforce!$A$2:$A$151,0))*N(INDEX(FTE_Allocation!$F$2:$H$201,$AB909,$AC909)),"")))</f>
        <v/>
      </c>
    </row>
    <row r="910">
      <c r="A910" s="7">
        <f>IF($Z910="","",$AD910)</f>
        <v/>
      </c>
      <c r="B910" s="7">
        <f>IF($Z910="C",INDEX(Contracts!$D$2:$D$151,$AB910)&amp;"",IF($Z910="A",INDEX(Fixed_Assets!$C$2:$C$201,$AB910)&amp;"",IF($Z910="F",INDEX(Workforce!$B$2:$B$151,MATCH(INDEX(FTE_Allocation!$A$2:$A$201,$AB910),Workforce!$A$2:$A$151,0))&amp;"","")))</f>
        <v/>
      </c>
      <c r="C910" s="7">
        <f>IF($Z910="C",INDEX(Contracts!$E$2:$E$151,$AB910)&amp;"",IF($Z910="A",INDEX(Fixed_Assets!$D$2:$D$201,$AB910)&amp;"",IF($Z910="F",INDEX(FTE_Allocation!$C$2:$C$201,$AB910)&amp;"","")))</f>
        <v/>
      </c>
      <c r="D910" s="7">
        <f>IF($Z910="C",INDEX(Contracts!$B$2:$B$151,$AB910)&amp;"",IF($Z910="A",INDEX(Fixed_Assets!$B$2:$B$201,$AB910)&amp;"",IF($Z910="F",INDEX(FTE_Allocation!$B$2:$B$201,$AB910)&amp;"","")))</f>
        <v/>
      </c>
      <c r="E910" s="7">
        <f>IF($Z910="C",INDEX(Contracts!$P$2:$P$151,$AB910)&amp;"",IF($Z910="A",INDEX(Fixed_Assets!$K$2:$K$201,$AB910)&amp;"",IF($Z910="F",IF(INDEX(FTE_Allocation!$D$2:$D$201,$AB910)="PROJECT",IFERROR(INDEX(Projects!$D:$D,MATCH(INDEX(FTE_Allocation!$E$2:$E$201,$AB910),Projects!$A:$A,0))&amp;"","#PROJECT?"),INDEX(FTE_Allocation!$E$2:$E$201,$AB910)&amp;""),"")))</f>
        <v/>
      </c>
      <c r="F910" s="7">
        <f>IF($Z910="C",INDEX(Contracts!$Q$2:$Q$151,$AB910)&amp;"",IF($Z910="A",INDEX(Fixed_Assets!$L$2:$L$201,$AB910)&amp;"",IF($Z910="F",INDEX(Workforce!$K$2:$K$151,MATCH(INDEX(FTE_Allocation!$A$2:$A$201,$AB910),Workforce!$A$2:$A$151,0))&amp;"","")))</f>
        <v/>
      </c>
      <c r="G910" s="7">
        <f>IF($Z910="C",INDEX(Contracts!$F$2:$F$151,$AB910)&amp;" / "&amp;INDEX(Contracts!$G$2:$G$151,$AB910),IF($Z910="A",INDEX(Fixed_Assets!$E$2:$E$201,$AB910)&amp;"",IF($Z910="F","Personnel "&amp;INDEX(FTE_Allocation!$A$2:$A$201,$AB910)&amp;IF(INDEX(FTE_Allocation!$D$2:$D$201,$AB910)="PROJECT"," ("&amp;INDEX(FTE_Allocation!$E$2:$E$201,$AB910)&amp;")",""),"")))</f>
        <v/>
      </c>
      <c r="H910" s="7">
        <f>IF($Z910="C","CONTRACT",IF($Z910="A","ASSET",IF($Z910="F","WORKFORCE","")))</f>
        <v/>
      </c>
      <c r="I910" s="7">
        <f>IF($Z910="C",INDEX(Contracts!$L$2:$L$151,$AB910)&amp;"",IF($Z910="A",INDEX(Fixed_Assets!$I$2:$I$201,$AB910)&amp;"",IF($Z910="F",INDEX(Workforce!$G$2:$G$151,MATCH(INDEX(FTE_Allocation!$A$2:$A$201,$AB910),Workforce!$A$2:$A$151,0))&amp;"","")))</f>
        <v/>
      </c>
      <c r="J910" s="18">
        <f>IF($Z910="","",IF(AND(DATE($AD910,1,1)&gt;=$AE910,DATE($AD910,1,1)&lt;=$AF910),ROUND($AG910,2),0))</f>
        <v/>
      </c>
      <c r="K910" s="18">
        <f>IF($Z910="","",IF(AND(DATE($AD910,2,1)&gt;=$AE910,DATE($AD910,2,1)&lt;=$AF910),ROUND($AG910,2),0))</f>
        <v/>
      </c>
      <c r="L910" s="18">
        <f>IF($Z910="","",IF(AND(DATE($AD910,3,1)&gt;=$AE910,DATE($AD910,3,1)&lt;=$AF910),ROUND($AG910,2),0))</f>
        <v/>
      </c>
      <c r="M910" s="18">
        <f>IF($Z910="","",IF(AND(DATE($AD910,4,1)&gt;=$AE910,DATE($AD910,4,1)&lt;=$AF910),ROUND($AG910,2),0))</f>
        <v/>
      </c>
      <c r="N910" s="18">
        <f>IF($Z910="","",IF(AND(DATE($AD910,5,1)&gt;=$AE910,DATE($AD910,5,1)&lt;=$AF910),ROUND($AG910,2),0))</f>
        <v/>
      </c>
      <c r="O910" s="18">
        <f>IF($Z910="","",IF(AND(DATE($AD910,6,1)&gt;=$AE910,DATE($AD910,6,1)&lt;=$AF910),ROUND($AG910,2),0))</f>
        <v/>
      </c>
      <c r="P910" s="18">
        <f>IF($Z910="","",IF(AND(DATE($AD910,7,1)&gt;=$AE910,DATE($AD910,7,1)&lt;=$AF910),ROUND($AG910,2),0))</f>
        <v/>
      </c>
      <c r="Q910" s="18">
        <f>IF($Z910="","",IF(AND(DATE($AD910,8,1)&gt;=$AE910,DATE($AD910,8,1)&lt;=$AF910),ROUND($AG910,2),0))</f>
        <v/>
      </c>
      <c r="R910" s="18">
        <f>IF($Z910="","",IF(AND(DATE($AD910,9,1)&gt;=$AE910,DATE($AD910,9,1)&lt;=$AF910),ROUND($AG910,2),0))</f>
        <v/>
      </c>
      <c r="S910" s="18">
        <f>IF($Z910="","",IF(AND(DATE($AD910,10,1)&gt;=$AE910,DATE($AD910,10,1)&lt;=$AF910),ROUND($AG910,2),0))</f>
        <v/>
      </c>
      <c r="T910" s="18">
        <f>IF($Z910="","",IF(AND(DATE($AD910,11,1)&gt;=$AE910,DATE($AD910,11,1)&lt;=$AF910),ROUND($AG910,2),0))</f>
        <v/>
      </c>
      <c r="U910" s="18">
        <f>IF($Z910="","",IF(AND(DATE($AD910,12,1)&gt;=$AE910,DATE($AD910,12,1)&lt;=$AF910),ROUND($AG910,2),0))</f>
        <v/>
      </c>
      <c r="V910" s="7">
        <f>IF($Z910="C","Generated from "&amp;INDEX(Contracts!$A$2:$A$151,$AB910),IF($Z910="A","Generated from "&amp;INDEX(Fixed_Assets!$A$2:$A$201,$AB910),IF($Z910="F","Generated from "&amp;INDEX(FTE_Allocation!$A$2:$A$201,$AB910),"")))</f>
        <v/>
      </c>
      <c r="X910" s="19">
        <f>IF($Z910="","",SUM(J910:U910))</f>
        <v/>
      </c>
      <c r="Y910" s="20">
        <f>ROW()-1</f>
        <v/>
      </c>
      <c r="Z910" s="20">
        <f>IF($Y910&lt;=Settings!$B$4*3,"C",IF($Y910&lt;=(Settings!$B$4+Settings!$B$5)*3,"A",IF($Y910&lt;=(Settings!$B$4+Settings!$B$5+Settings!$B$6)*3,"F","")))</f>
        <v/>
      </c>
      <c r="AA910" s="20">
        <f>IF($Z910="C",$Y910,IF($Z910="A",$Y910-Settings!$B$4*3,IF($Z910="F",$Y910-(Settings!$B$4+Settings!$B$5)*3,"")))</f>
        <v/>
      </c>
      <c r="AB910" s="20">
        <f>IF($Z910="","",INT(($AA910-1)/3)+1)</f>
        <v/>
      </c>
      <c r="AC910" s="20">
        <f>IF($Z910="","",MOD($AA910-1,3)+1)</f>
        <v/>
      </c>
      <c r="AD910" s="20">
        <f>IF($Z910="","",Settings!$B$2+$AC910-1)</f>
        <v/>
      </c>
      <c r="AE910" s="21">
        <f>IF($Z910="C",DATE(YEAR(INDEX(Contracts!$J$2:$J$151,$AB910)),MONTH(INDEX(Contracts!$J$2:$J$151,$AB910)),1),IF($Z910="A",DATE(YEAR(INDEX(Fixed_Assets!$G$2:$G$201,$AB910)),MONTH(INDEX(Fixed_Assets!$G$2:$G$201,$AB910)),1),IF($Z910="F",DATE(YEAR(MAX(N(INDEX(Workforce!$I$2:$I$151,MATCH(INDEX(FTE_Allocation!$A$2:$A$201,$AB910),Workforce!$A$2:$A$151,0))),N(INDEX(FTE_Allocation!$I$2:$I$201,$AB910)))),MONTH(MAX(N(INDEX(Workforce!$I$2:$I$151,MATCH(INDEX(FTE_Allocation!$A$2:$A$201,$AB910),Workforce!$A$2:$A$151,0))),N(INDEX(FTE_Allocation!$I$2:$I$201,$AB910)))),1),"")))</f>
        <v/>
      </c>
      <c r="AF910" s="21">
        <f>IF($Z910="C",IF(INDEX(Contracts!$I$2:$I$151,$AB910)="PREPAID",EDATE(DATE(YEAR(INDEX(Contracts!$J$2:$J$151,$AB910)),MONTH(INDEX(Contracts!$J$2:$J$151,$AB910)),1),IF(INDEX(Contracts!$N$2:$N$151,$AB910)="",12,INDEX(Contracts!$N$2:$N$151,$AB910))-1),IF(INDEX(Contracts!$I$2:$I$151,$AB910)="MONTHLY",IF(INDEX(Contracts!$K$2:$K$151,$AB910)="",2958101,INDEX(Contracts!$K$2:$K$151,$AB910)),0)),IF($Z910="A",EDATE(DATE(YEAR(INDEX(Fixed_Assets!$G$2:$G$201,$AB910)),MONTH(INDEX(Fixed_Assets!$G$2:$G$201,$AB910)),1),INDEX(Fixed_Assets!$J$2:$J$201,$AB910)-1),IF($Z910="F",MIN(IF(INDEX(Workforce!$J$2:$J$151,MATCH(INDEX(FTE_Allocation!$A$2:$A$201,$AB910),Workforce!$A$2:$A$151,0))="",2958101,INDEX(Workforce!$J$2:$J$151,MATCH(INDEX(FTE_Allocation!$A$2:$A$201,$AB910),Workforce!$A$2:$A$151,0))),IF(INDEX(FTE_Allocation!$J$2:$J$201,$AB910)="",2958101,INDEX(FTE_Allocation!$J$2:$J$201,$AB910))),"")))</f>
        <v/>
      </c>
      <c r="AG910" s="19">
        <f>IF($Z910="C",IF(INDEX(Contracts!$I$2:$I$151,$AB910)="PREPAID",INDEX(Contracts!$M$2:$M$151,$AB910)/IF(INDEX(Contracts!$N$2:$N$151,$AB910)="",12,INDEX(Contracts!$N$2:$N$151,$AB910)),IF(INDEX(Contracts!$I$2:$I$151,$AB910)="MONTHLY",INDEX(Contracts!$M$2:$M$151,$AB910),0))*(1-N(INDEX(Contracts!$O$2:$O$151,$AB910))),IF($Z910="A",INDEX(Fixed_Assets!$H$2:$H$201,$AB910)/INDEX(Fixed_Assets!$J$2:$J$201,$AB910),IF($Z910="F",INDEX(Workforce!$F$2:$F$151,MATCH(INDEX(FTE_Allocation!$A$2:$A$201,$AB910),Workforce!$A$2:$A$151,0))*N(INDEX(FTE_Allocation!$F$2:$H$201,$AB910,$AC910)),"")))</f>
        <v/>
      </c>
    </row>
    <row r="911">
      <c r="A911" s="7">
        <f>IF($Z911="","",$AD911)</f>
        <v/>
      </c>
      <c r="B911" s="7">
        <f>IF($Z911="C",INDEX(Contracts!$D$2:$D$151,$AB911)&amp;"",IF($Z911="A",INDEX(Fixed_Assets!$C$2:$C$201,$AB911)&amp;"",IF($Z911="F",INDEX(Workforce!$B$2:$B$151,MATCH(INDEX(FTE_Allocation!$A$2:$A$201,$AB911),Workforce!$A$2:$A$151,0))&amp;"","")))</f>
        <v/>
      </c>
      <c r="C911" s="7">
        <f>IF($Z911="C",INDEX(Contracts!$E$2:$E$151,$AB911)&amp;"",IF($Z911="A",INDEX(Fixed_Assets!$D$2:$D$201,$AB911)&amp;"",IF($Z911="F",INDEX(FTE_Allocation!$C$2:$C$201,$AB911)&amp;"","")))</f>
        <v/>
      </c>
      <c r="D911" s="7">
        <f>IF($Z911="C",INDEX(Contracts!$B$2:$B$151,$AB911)&amp;"",IF($Z911="A",INDEX(Fixed_Assets!$B$2:$B$201,$AB911)&amp;"",IF($Z911="F",INDEX(FTE_Allocation!$B$2:$B$201,$AB911)&amp;"","")))</f>
        <v/>
      </c>
      <c r="E911" s="7">
        <f>IF($Z911="C",INDEX(Contracts!$P$2:$P$151,$AB911)&amp;"",IF($Z911="A",INDEX(Fixed_Assets!$K$2:$K$201,$AB911)&amp;"",IF($Z911="F",IF(INDEX(FTE_Allocation!$D$2:$D$201,$AB911)="PROJECT",IFERROR(INDEX(Projects!$D:$D,MATCH(INDEX(FTE_Allocation!$E$2:$E$201,$AB911),Projects!$A:$A,0))&amp;"","#PROJECT?"),INDEX(FTE_Allocation!$E$2:$E$201,$AB911)&amp;""),"")))</f>
        <v/>
      </c>
      <c r="F911" s="7">
        <f>IF($Z911="C",INDEX(Contracts!$Q$2:$Q$151,$AB911)&amp;"",IF($Z911="A",INDEX(Fixed_Assets!$L$2:$L$201,$AB911)&amp;"",IF($Z911="F",INDEX(Workforce!$K$2:$K$151,MATCH(INDEX(FTE_Allocation!$A$2:$A$201,$AB911),Workforce!$A$2:$A$151,0))&amp;"","")))</f>
        <v/>
      </c>
      <c r="G911" s="7">
        <f>IF($Z911="C",INDEX(Contracts!$F$2:$F$151,$AB911)&amp;" / "&amp;INDEX(Contracts!$G$2:$G$151,$AB911),IF($Z911="A",INDEX(Fixed_Assets!$E$2:$E$201,$AB911)&amp;"",IF($Z911="F","Personnel "&amp;INDEX(FTE_Allocation!$A$2:$A$201,$AB911)&amp;IF(INDEX(FTE_Allocation!$D$2:$D$201,$AB911)="PROJECT"," ("&amp;INDEX(FTE_Allocation!$E$2:$E$201,$AB911)&amp;")",""),"")))</f>
        <v/>
      </c>
      <c r="H911" s="7">
        <f>IF($Z911="C","CONTRACT",IF($Z911="A","ASSET",IF($Z911="F","WORKFORCE","")))</f>
        <v/>
      </c>
      <c r="I911" s="7">
        <f>IF($Z911="C",INDEX(Contracts!$L$2:$L$151,$AB911)&amp;"",IF($Z911="A",INDEX(Fixed_Assets!$I$2:$I$201,$AB911)&amp;"",IF($Z911="F",INDEX(Workforce!$G$2:$G$151,MATCH(INDEX(FTE_Allocation!$A$2:$A$201,$AB911),Workforce!$A$2:$A$151,0))&amp;"","")))</f>
        <v/>
      </c>
      <c r="J911" s="18">
        <f>IF($Z911="","",IF(AND(DATE($AD911,1,1)&gt;=$AE911,DATE($AD911,1,1)&lt;=$AF911),ROUND($AG911,2),0))</f>
        <v/>
      </c>
      <c r="K911" s="18">
        <f>IF($Z911="","",IF(AND(DATE($AD911,2,1)&gt;=$AE911,DATE($AD911,2,1)&lt;=$AF911),ROUND($AG911,2),0))</f>
        <v/>
      </c>
      <c r="L911" s="18">
        <f>IF($Z911="","",IF(AND(DATE($AD911,3,1)&gt;=$AE911,DATE($AD911,3,1)&lt;=$AF911),ROUND($AG911,2),0))</f>
        <v/>
      </c>
      <c r="M911" s="18">
        <f>IF($Z911="","",IF(AND(DATE($AD911,4,1)&gt;=$AE911,DATE($AD911,4,1)&lt;=$AF911),ROUND($AG911,2),0))</f>
        <v/>
      </c>
      <c r="N911" s="18">
        <f>IF($Z911="","",IF(AND(DATE($AD911,5,1)&gt;=$AE911,DATE($AD911,5,1)&lt;=$AF911),ROUND($AG911,2),0))</f>
        <v/>
      </c>
      <c r="O911" s="18">
        <f>IF($Z911="","",IF(AND(DATE($AD911,6,1)&gt;=$AE911,DATE($AD911,6,1)&lt;=$AF911),ROUND($AG911,2),0))</f>
        <v/>
      </c>
      <c r="P911" s="18">
        <f>IF($Z911="","",IF(AND(DATE($AD911,7,1)&gt;=$AE911,DATE($AD911,7,1)&lt;=$AF911),ROUND($AG911,2),0))</f>
        <v/>
      </c>
      <c r="Q911" s="18">
        <f>IF($Z911="","",IF(AND(DATE($AD911,8,1)&gt;=$AE911,DATE($AD911,8,1)&lt;=$AF911),ROUND($AG911,2),0))</f>
        <v/>
      </c>
      <c r="R911" s="18">
        <f>IF($Z911="","",IF(AND(DATE($AD911,9,1)&gt;=$AE911,DATE($AD911,9,1)&lt;=$AF911),ROUND($AG911,2),0))</f>
        <v/>
      </c>
      <c r="S911" s="18">
        <f>IF($Z911="","",IF(AND(DATE($AD911,10,1)&gt;=$AE911,DATE($AD911,10,1)&lt;=$AF911),ROUND($AG911,2),0))</f>
        <v/>
      </c>
      <c r="T911" s="18">
        <f>IF($Z911="","",IF(AND(DATE($AD911,11,1)&gt;=$AE911,DATE($AD911,11,1)&lt;=$AF911),ROUND($AG911,2),0))</f>
        <v/>
      </c>
      <c r="U911" s="18">
        <f>IF($Z911="","",IF(AND(DATE($AD911,12,1)&gt;=$AE911,DATE($AD911,12,1)&lt;=$AF911),ROUND($AG911,2),0))</f>
        <v/>
      </c>
      <c r="V911" s="7">
        <f>IF($Z911="C","Generated from "&amp;INDEX(Contracts!$A$2:$A$151,$AB911),IF($Z911="A","Generated from "&amp;INDEX(Fixed_Assets!$A$2:$A$201,$AB911),IF($Z911="F","Generated from "&amp;INDEX(FTE_Allocation!$A$2:$A$201,$AB911),"")))</f>
        <v/>
      </c>
      <c r="X911" s="19">
        <f>IF($Z911="","",SUM(J911:U911))</f>
        <v/>
      </c>
      <c r="Y911" s="20">
        <f>ROW()-1</f>
        <v/>
      </c>
      <c r="Z911" s="20">
        <f>IF($Y911&lt;=Settings!$B$4*3,"C",IF($Y911&lt;=(Settings!$B$4+Settings!$B$5)*3,"A",IF($Y911&lt;=(Settings!$B$4+Settings!$B$5+Settings!$B$6)*3,"F","")))</f>
        <v/>
      </c>
      <c r="AA911" s="20">
        <f>IF($Z911="C",$Y911,IF($Z911="A",$Y911-Settings!$B$4*3,IF($Z911="F",$Y911-(Settings!$B$4+Settings!$B$5)*3,"")))</f>
        <v/>
      </c>
      <c r="AB911" s="20">
        <f>IF($Z911="","",INT(($AA911-1)/3)+1)</f>
        <v/>
      </c>
      <c r="AC911" s="20">
        <f>IF($Z911="","",MOD($AA911-1,3)+1)</f>
        <v/>
      </c>
      <c r="AD911" s="20">
        <f>IF($Z911="","",Settings!$B$2+$AC911-1)</f>
        <v/>
      </c>
      <c r="AE911" s="21">
        <f>IF($Z911="C",DATE(YEAR(INDEX(Contracts!$J$2:$J$151,$AB911)),MONTH(INDEX(Contracts!$J$2:$J$151,$AB911)),1),IF($Z911="A",DATE(YEAR(INDEX(Fixed_Assets!$G$2:$G$201,$AB911)),MONTH(INDEX(Fixed_Assets!$G$2:$G$201,$AB911)),1),IF($Z911="F",DATE(YEAR(MAX(N(INDEX(Workforce!$I$2:$I$151,MATCH(INDEX(FTE_Allocation!$A$2:$A$201,$AB911),Workforce!$A$2:$A$151,0))),N(INDEX(FTE_Allocation!$I$2:$I$201,$AB911)))),MONTH(MAX(N(INDEX(Workforce!$I$2:$I$151,MATCH(INDEX(FTE_Allocation!$A$2:$A$201,$AB911),Workforce!$A$2:$A$151,0))),N(INDEX(FTE_Allocation!$I$2:$I$201,$AB911)))),1),"")))</f>
        <v/>
      </c>
      <c r="AF911" s="21">
        <f>IF($Z911="C",IF(INDEX(Contracts!$I$2:$I$151,$AB911)="PREPAID",EDATE(DATE(YEAR(INDEX(Contracts!$J$2:$J$151,$AB911)),MONTH(INDEX(Contracts!$J$2:$J$151,$AB911)),1),IF(INDEX(Contracts!$N$2:$N$151,$AB911)="",12,INDEX(Contracts!$N$2:$N$151,$AB911))-1),IF(INDEX(Contracts!$I$2:$I$151,$AB911)="MONTHLY",IF(INDEX(Contracts!$K$2:$K$151,$AB911)="",2958101,INDEX(Contracts!$K$2:$K$151,$AB911)),0)),IF($Z911="A",EDATE(DATE(YEAR(INDEX(Fixed_Assets!$G$2:$G$201,$AB911)),MONTH(INDEX(Fixed_Assets!$G$2:$G$201,$AB911)),1),INDEX(Fixed_Assets!$J$2:$J$201,$AB911)-1),IF($Z911="F",MIN(IF(INDEX(Workforce!$J$2:$J$151,MATCH(INDEX(FTE_Allocation!$A$2:$A$201,$AB911),Workforce!$A$2:$A$151,0))="",2958101,INDEX(Workforce!$J$2:$J$151,MATCH(INDEX(FTE_Allocation!$A$2:$A$201,$AB911),Workforce!$A$2:$A$151,0))),IF(INDEX(FTE_Allocation!$J$2:$J$201,$AB911)="",2958101,INDEX(FTE_Allocation!$J$2:$J$201,$AB911))),"")))</f>
        <v/>
      </c>
      <c r="AG911" s="19">
        <f>IF($Z911="C",IF(INDEX(Contracts!$I$2:$I$151,$AB911)="PREPAID",INDEX(Contracts!$M$2:$M$151,$AB911)/IF(INDEX(Contracts!$N$2:$N$151,$AB911)="",12,INDEX(Contracts!$N$2:$N$151,$AB911)),IF(INDEX(Contracts!$I$2:$I$151,$AB911)="MONTHLY",INDEX(Contracts!$M$2:$M$151,$AB911),0))*(1-N(INDEX(Contracts!$O$2:$O$151,$AB911))),IF($Z911="A",INDEX(Fixed_Assets!$H$2:$H$201,$AB911)/INDEX(Fixed_Assets!$J$2:$J$201,$AB911),IF($Z911="F",INDEX(Workforce!$F$2:$F$151,MATCH(INDEX(FTE_Allocation!$A$2:$A$201,$AB911),Workforce!$A$2:$A$151,0))*N(INDEX(FTE_Allocation!$F$2:$H$201,$AB911,$AC911)),"")))</f>
        <v/>
      </c>
    </row>
    <row r="912">
      <c r="A912" s="7">
        <f>IF($Z912="","",$AD912)</f>
        <v/>
      </c>
      <c r="B912" s="7">
        <f>IF($Z912="C",INDEX(Contracts!$D$2:$D$151,$AB912)&amp;"",IF($Z912="A",INDEX(Fixed_Assets!$C$2:$C$201,$AB912)&amp;"",IF($Z912="F",INDEX(Workforce!$B$2:$B$151,MATCH(INDEX(FTE_Allocation!$A$2:$A$201,$AB912),Workforce!$A$2:$A$151,0))&amp;"","")))</f>
        <v/>
      </c>
      <c r="C912" s="7">
        <f>IF($Z912="C",INDEX(Contracts!$E$2:$E$151,$AB912)&amp;"",IF($Z912="A",INDEX(Fixed_Assets!$D$2:$D$201,$AB912)&amp;"",IF($Z912="F",INDEX(FTE_Allocation!$C$2:$C$201,$AB912)&amp;"","")))</f>
        <v/>
      </c>
      <c r="D912" s="7">
        <f>IF($Z912="C",INDEX(Contracts!$B$2:$B$151,$AB912)&amp;"",IF($Z912="A",INDEX(Fixed_Assets!$B$2:$B$201,$AB912)&amp;"",IF($Z912="F",INDEX(FTE_Allocation!$B$2:$B$201,$AB912)&amp;"","")))</f>
        <v/>
      </c>
      <c r="E912" s="7">
        <f>IF($Z912="C",INDEX(Contracts!$P$2:$P$151,$AB912)&amp;"",IF($Z912="A",INDEX(Fixed_Assets!$K$2:$K$201,$AB912)&amp;"",IF($Z912="F",IF(INDEX(FTE_Allocation!$D$2:$D$201,$AB912)="PROJECT",IFERROR(INDEX(Projects!$D:$D,MATCH(INDEX(FTE_Allocation!$E$2:$E$201,$AB912),Projects!$A:$A,0))&amp;"","#PROJECT?"),INDEX(FTE_Allocation!$E$2:$E$201,$AB912)&amp;""),"")))</f>
        <v/>
      </c>
      <c r="F912" s="7">
        <f>IF($Z912="C",INDEX(Contracts!$Q$2:$Q$151,$AB912)&amp;"",IF($Z912="A",INDEX(Fixed_Assets!$L$2:$L$201,$AB912)&amp;"",IF($Z912="F",INDEX(Workforce!$K$2:$K$151,MATCH(INDEX(FTE_Allocation!$A$2:$A$201,$AB912),Workforce!$A$2:$A$151,0))&amp;"","")))</f>
        <v/>
      </c>
      <c r="G912" s="7">
        <f>IF($Z912="C",INDEX(Contracts!$F$2:$F$151,$AB912)&amp;" / "&amp;INDEX(Contracts!$G$2:$G$151,$AB912),IF($Z912="A",INDEX(Fixed_Assets!$E$2:$E$201,$AB912)&amp;"",IF($Z912="F","Personnel "&amp;INDEX(FTE_Allocation!$A$2:$A$201,$AB912)&amp;IF(INDEX(FTE_Allocation!$D$2:$D$201,$AB912)="PROJECT"," ("&amp;INDEX(FTE_Allocation!$E$2:$E$201,$AB912)&amp;")",""),"")))</f>
        <v/>
      </c>
      <c r="H912" s="7">
        <f>IF($Z912="C","CONTRACT",IF($Z912="A","ASSET",IF($Z912="F","WORKFORCE","")))</f>
        <v/>
      </c>
      <c r="I912" s="7">
        <f>IF($Z912="C",INDEX(Contracts!$L$2:$L$151,$AB912)&amp;"",IF($Z912="A",INDEX(Fixed_Assets!$I$2:$I$201,$AB912)&amp;"",IF($Z912="F",INDEX(Workforce!$G$2:$G$151,MATCH(INDEX(FTE_Allocation!$A$2:$A$201,$AB912),Workforce!$A$2:$A$151,0))&amp;"","")))</f>
        <v/>
      </c>
      <c r="J912" s="18">
        <f>IF($Z912="","",IF(AND(DATE($AD912,1,1)&gt;=$AE912,DATE($AD912,1,1)&lt;=$AF912),ROUND($AG912,2),0))</f>
        <v/>
      </c>
      <c r="K912" s="18">
        <f>IF($Z912="","",IF(AND(DATE($AD912,2,1)&gt;=$AE912,DATE($AD912,2,1)&lt;=$AF912),ROUND($AG912,2),0))</f>
        <v/>
      </c>
      <c r="L912" s="18">
        <f>IF($Z912="","",IF(AND(DATE($AD912,3,1)&gt;=$AE912,DATE($AD912,3,1)&lt;=$AF912),ROUND($AG912,2),0))</f>
        <v/>
      </c>
      <c r="M912" s="18">
        <f>IF($Z912="","",IF(AND(DATE($AD912,4,1)&gt;=$AE912,DATE($AD912,4,1)&lt;=$AF912),ROUND($AG912,2),0))</f>
        <v/>
      </c>
      <c r="N912" s="18">
        <f>IF($Z912="","",IF(AND(DATE($AD912,5,1)&gt;=$AE912,DATE($AD912,5,1)&lt;=$AF912),ROUND($AG912,2),0))</f>
        <v/>
      </c>
      <c r="O912" s="18">
        <f>IF($Z912="","",IF(AND(DATE($AD912,6,1)&gt;=$AE912,DATE($AD912,6,1)&lt;=$AF912),ROUND($AG912,2),0))</f>
        <v/>
      </c>
      <c r="P912" s="18">
        <f>IF($Z912="","",IF(AND(DATE($AD912,7,1)&gt;=$AE912,DATE($AD912,7,1)&lt;=$AF912),ROUND($AG912,2),0))</f>
        <v/>
      </c>
      <c r="Q912" s="18">
        <f>IF($Z912="","",IF(AND(DATE($AD912,8,1)&gt;=$AE912,DATE($AD912,8,1)&lt;=$AF912),ROUND($AG912,2),0))</f>
        <v/>
      </c>
      <c r="R912" s="18">
        <f>IF($Z912="","",IF(AND(DATE($AD912,9,1)&gt;=$AE912,DATE($AD912,9,1)&lt;=$AF912),ROUND($AG912,2),0))</f>
        <v/>
      </c>
      <c r="S912" s="18">
        <f>IF($Z912="","",IF(AND(DATE($AD912,10,1)&gt;=$AE912,DATE($AD912,10,1)&lt;=$AF912),ROUND($AG912,2),0))</f>
        <v/>
      </c>
      <c r="T912" s="18">
        <f>IF($Z912="","",IF(AND(DATE($AD912,11,1)&gt;=$AE912,DATE($AD912,11,1)&lt;=$AF912),ROUND($AG912,2),0))</f>
        <v/>
      </c>
      <c r="U912" s="18">
        <f>IF($Z912="","",IF(AND(DATE($AD912,12,1)&gt;=$AE912,DATE($AD912,12,1)&lt;=$AF912),ROUND($AG912,2),0))</f>
        <v/>
      </c>
      <c r="V912" s="7">
        <f>IF($Z912="C","Generated from "&amp;INDEX(Contracts!$A$2:$A$151,$AB912),IF($Z912="A","Generated from "&amp;INDEX(Fixed_Assets!$A$2:$A$201,$AB912),IF($Z912="F","Generated from "&amp;INDEX(FTE_Allocation!$A$2:$A$201,$AB912),"")))</f>
        <v/>
      </c>
      <c r="X912" s="19">
        <f>IF($Z912="","",SUM(J912:U912))</f>
        <v/>
      </c>
      <c r="Y912" s="20">
        <f>ROW()-1</f>
        <v/>
      </c>
      <c r="Z912" s="20">
        <f>IF($Y912&lt;=Settings!$B$4*3,"C",IF($Y912&lt;=(Settings!$B$4+Settings!$B$5)*3,"A",IF($Y912&lt;=(Settings!$B$4+Settings!$B$5+Settings!$B$6)*3,"F","")))</f>
        <v/>
      </c>
      <c r="AA912" s="20">
        <f>IF($Z912="C",$Y912,IF($Z912="A",$Y912-Settings!$B$4*3,IF($Z912="F",$Y912-(Settings!$B$4+Settings!$B$5)*3,"")))</f>
        <v/>
      </c>
      <c r="AB912" s="20">
        <f>IF($Z912="","",INT(($AA912-1)/3)+1)</f>
        <v/>
      </c>
      <c r="AC912" s="20">
        <f>IF($Z912="","",MOD($AA912-1,3)+1)</f>
        <v/>
      </c>
      <c r="AD912" s="20">
        <f>IF($Z912="","",Settings!$B$2+$AC912-1)</f>
        <v/>
      </c>
      <c r="AE912" s="21">
        <f>IF($Z912="C",DATE(YEAR(INDEX(Contracts!$J$2:$J$151,$AB912)),MONTH(INDEX(Contracts!$J$2:$J$151,$AB912)),1),IF($Z912="A",DATE(YEAR(INDEX(Fixed_Assets!$G$2:$G$201,$AB912)),MONTH(INDEX(Fixed_Assets!$G$2:$G$201,$AB912)),1),IF($Z912="F",DATE(YEAR(MAX(N(INDEX(Workforce!$I$2:$I$151,MATCH(INDEX(FTE_Allocation!$A$2:$A$201,$AB912),Workforce!$A$2:$A$151,0))),N(INDEX(FTE_Allocation!$I$2:$I$201,$AB912)))),MONTH(MAX(N(INDEX(Workforce!$I$2:$I$151,MATCH(INDEX(FTE_Allocation!$A$2:$A$201,$AB912),Workforce!$A$2:$A$151,0))),N(INDEX(FTE_Allocation!$I$2:$I$201,$AB912)))),1),"")))</f>
        <v/>
      </c>
      <c r="AF912" s="21">
        <f>IF($Z912="C",IF(INDEX(Contracts!$I$2:$I$151,$AB912)="PREPAID",EDATE(DATE(YEAR(INDEX(Contracts!$J$2:$J$151,$AB912)),MONTH(INDEX(Contracts!$J$2:$J$151,$AB912)),1),IF(INDEX(Contracts!$N$2:$N$151,$AB912)="",12,INDEX(Contracts!$N$2:$N$151,$AB912))-1),IF(INDEX(Contracts!$I$2:$I$151,$AB912)="MONTHLY",IF(INDEX(Contracts!$K$2:$K$151,$AB912)="",2958101,INDEX(Contracts!$K$2:$K$151,$AB912)),0)),IF($Z912="A",EDATE(DATE(YEAR(INDEX(Fixed_Assets!$G$2:$G$201,$AB912)),MONTH(INDEX(Fixed_Assets!$G$2:$G$201,$AB912)),1),INDEX(Fixed_Assets!$J$2:$J$201,$AB912)-1),IF($Z912="F",MIN(IF(INDEX(Workforce!$J$2:$J$151,MATCH(INDEX(FTE_Allocation!$A$2:$A$201,$AB912),Workforce!$A$2:$A$151,0))="",2958101,INDEX(Workforce!$J$2:$J$151,MATCH(INDEX(FTE_Allocation!$A$2:$A$201,$AB912),Workforce!$A$2:$A$151,0))),IF(INDEX(FTE_Allocation!$J$2:$J$201,$AB912)="",2958101,INDEX(FTE_Allocation!$J$2:$J$201,$AB912))),"")))</f>
        <v/>
      </c>
      <c r="AG912" s="19">
        <f>IF($Z912="C",IF(INDEX(Contracts!$I$2:$I$151,$AB912)="PREPAID",INDEX(Contracts!$M$2:$M$151,$AB912)/IF(INDEX(Contracts!$N$2:$N$151,$AB912)="",12,INDEX(Contracts!$N$2:$N$151,$AB912)),IF(INDEX(Contracts!$I$2:$I$151,$AB912)="MONTHLY",INDEX(Contracts!$M$2:$M$151,$AB912),0))*(1-N(INDEX(Contracts!$O$2:$O$151,$AB912))),IF($Z912="A",INDEX(Fixed_Assets!$H$2:$H$201,$AB912)/INDEX(Fixed_Assets!$J$2:$J$201,$AB912),IF($Z912="F",INDEX(Workforce!$F$2:$F$151,MATCH(INDEX(FTE_Allocation!$A$2:$A$201,$AB912),Workforce!$A$2:$A$151,0))*N(INDEX(FTE_Allocation!$F$2:$H$201,$AB912,$AC912)),"")))</f>
        <v/>
      </c>
    </row>
    <row r="913">
      <c r="A913" s="7">
        <f>IF($Z913="","",$AD913)</f>
        <v/>
      </c>
      <c r="B913" s="7">
        <f>IF($Z913="C",INDEX(Contracts!$D$2:$D$151,$AB913)&amp;"",IF($Z913="A",INDEX(Fixed_Assets!$C$2:$C$201,$AB913)&amp;"",IF($Z913="F",INDEX(Workforce!$B$2:$B$151,MATCH(INDEX(FTE_Allocation!$A$2:$A$201,$AB913),Workforce!$A$2:$A$151,0))&amp;"","")))</f>
        <v/>
      </c>
      <c r="C913" s="7">
        <f>IF($Z913="C",INDEX(Contracts!$E$2:$E$151,$AB913)&amp;"",IF($Z913="A",INDEX(Fixed_Assets!$D$2:$D$201,$AB913)&amp;"",IF($Z913="F",INDEX(FTE_Allocation!$C$2:$C$201,$AB913)&amp;"","")))</f>
        <v/>
      </c>
      <c r="D913" s="7">
        <f>IF($Z913="C",INDEX(Contracts!$B$2:$B$151,$AB913)&amp;"",IF($Z913="A",INDEX(Fixed_Assets!$B$2:$B$201,$AB913)&amp;"",IF($Z913="F",INDEX(FTE_Allocation!$B$2:$B$201,$AB913)&amp;"","")))</f>
        <v/>
      </c>
      <c r="E913" s="7">
        <f>IF($Z913="C",INDEX(Contracts!$P$2:$P$151,$AB913)&amp;"",IF($Z913="A",INDEX(Fixed_Assets!$K$2:$K$201,$AB913)&amp;"",IF($Z913="F",IF(INDEX(FTE_Allocation!$D$2:$D$201,$AB913)="PROJECT",IFERROR(INDEX(Projects!$D:$D,MATCH(INDEX(FTE_Allocation!$E$2:$E$201,$AB913),Projects!$A:$A,0))&amp;"","#PROJECT?"),INDEX(FTE_Allocation!$E$2:$E$201,$AB913)&amp;""),"")))</f>
        <v/>
      </c>
      <c r="F913" s="7">
        <f>IF($Z913="C",INDEX(Contracts!$Q$2:$Q$151,$AB913)&amp;"",IF($Z913="A",INDEX(Fixed_Assets!$L$2:$L$201,$AB913)&amp;"",IF($Z913="F",INDEX(Workforce!$K$2:$K$151,MATCH(INDEX(FTE_Allocation!$A$2:$A$201,$AB913),Workforce!$A$2:$A$151,0))&amp;"","")))</f>
        <v/>
      </c>
      <c r="G913" s="7">
        <f>IF($Z913="C",INDEX(Contracts!$F$2:$F$151,$AB913)&amp;" / "&amp;INDEX(Contracts!$G$2:$G$151,$AB913),IF($Z913="A",INDEX(Fixed_Assets!$E$2:$E$201,$AB913)&amp;"",IF($Z913="F","Personnel "&amp;INDEX(FTE_Allocation!$A$2:$A$201,$AB913)&amp;IF(INDEX(FTE_Allocation!$D$2:$D$201,$AB913)="PROJECT"," ("&amp;INDEX(FTE_Allocation!$E$2:$E$201,$AB913)&amp;")",""),"")))</f>
        <v/>
      </c>
      <c r="H913" s="7">
        <f>IF($Z913="C","CONTRACT",IF($Z913="A","ASSET",IF($Z913="F","WORKFORCE","")))</f>
        <v/>
      </c>
      <c r="I913" s="7">
        <f>IF($Z913="C",INDEX(Contracts!$L$2:$L$151,$AB913)&amp;"",IF($Z913="A",INDEX(Fixed_Assets!$I$2:$I$201,$AB913)&amp;"",IF($Z913="F",INDEX(Workforce!$G$2:$G$151,MATCH(INDEX(FTE_Allocation!$A$2:$A$201,$AB913),Workforce!$A$2:$A$151,0))&amp;"","")))</f>
        <v/>
      </c>
      <c r="J913" s="18">
        <f>IF($Z913="","",IF(AND(DATE($AD913,1,1)&gt;=$AE913,DATE($AD913,1,1)&lt;=$AF913),ROUND($AG913,2),0))</f>
        <v/>
      </c>
      <c r="K913" s="18">
        <f>IF($Z913="","",IF(AND(DATE($AD913,2,1)&gt;=$AE913,DATE($AD913,2,1)&lt;=$AF913),ROUND($AG913,2),0))</f>
        <v/>
      </c>
      <c r="L913" s="18">
        <f>IF($Z913="","",IF(AND(DATE($AD913,3,1)&gt;=$AE913,DATE($AD913,3,1)&lt;=$AF913),ROUND($AG913,2),0))</f>
        <v/>
      </c>
      <c r="M913" s="18">
        <f>IF($Z913="","",IF(AND(DATE($AD913,4,1)&gt;=$AE913,DATE($AD913,4,1)&lt;=$AF913),ROUND($AG913,2),0))</f>
        <v/>
      </c>
      <c r="N913" s="18">
        <f>IF($Z913="","",IF(AND(DATE($AD913,5,1)&gt;=$AE913,DATE($AD913,5,1)&lt;=$AF913),ROUND($AG913,2),0))</f>
        <v/>
      </c>
      <c r="O913" s="18">
        <f>IF($Z913="","",IF(AND(DATE($AD913,6,1)&gt;=$AE913,DATE($AD913,6,1)&lt;=$AF913),ROUND($AG913,2),0))</f>
        <v/>
      </c>
      <c r="P913" s="18">
        <f>IF($Z913="","",IF(AND(DATE($AD913,7,1)&gt;=$AE913,DATE($AD913,7,1)&lt;=$AF913),ROUND($AG913,2),0))</f>
        <v/>
      </c>
      <c r="Q913" s="18">
        <f>IF($Z913="","",IF(AND(DATE($AD913,8,1)&gt;=$AE913,DATE($AD913,8,1)&lt;=$AF913),ROUND($AG913,2),0))</f>
        <v/>
      </c>
      <c r="R913" s="18">
        <f>IF($Z913="","",IF(AND(DATE($AD913,9,1)&gt;=$AE913,DATE($AD913,9,1)&lt;=$AF913),ROUND($AG913,2),0))</f>
        <v/>
      </c>
      <c r="S913" s="18">
        <f>IF($Z913="","",IF(AND(DATE($AD913,10,1)&gt;=$AE913,DATE($AD913,10,1)&lt;=$AF913),ROUND($AG913,2),0))</f>
        <v/>
      </c>
      <c r="T913" s="18">
        <f>IF($Z913="","",IF(AND(DATE($AD913,11,1)&gt;=$AE913,DATE($AD913,11,1)&lt;=$AF913),ROUND($AG913,2),0))</f>
        <v/>
      </c>
      <c r="U913" s="18">
        <f>IF($Z913="","",IF(AND(DATE($AD913,12,1)&gt;=$AE913,DATE($AD913,12,1)&lt;=$AF913),ROUND($AG913,2),0))</f>
        <v/>
      </c>
      <c r="V913" s="7">
        <f>IF($Z913="C","Generated from "&amp;INDEX(Contracts!$A$2:$A$151,$AB913),IF($Z913="A","Generated from "&amp;INDEX(Fixed_Assets!$A$2:$A$201,$AB913),IF($Z913="F","Generated from "&amp;INDEX(FTE_Allocation!$A$2:$A$201,$AB913),"")))</f>
        <v/>
      </c>
      <c r="X913" s="19">
        <f>IF($Z913="","",SUM(J913:U913))</f>
        <v/>
      </c>
      <c r="Y913" s="20">
        <f>ROW()-1</f>
        <v/>
      </c>
      <c r="Z913" s="20">
        <f>IF($Y913&lt;=Settings!$B$4*3,"C",IF($Y913&lt;=(Settings!$B$4+Settings!$B$5)*3,"A",IF($Y913&lt;=(Settings!$B$4+Settings!$B$5+Settings!$B$6)*3,"F","")))</f>
        <v/>
      </c>
      <c r="AA913" s="20">
        <f>IF($Z913="C",$Y913,IF($Z913="A",$Y913-Settings!$B$4*3,IF($Z913="F",$Y913-(Settings!$B$4+Settings!$B$5)*3,"")))</f>
        <v/>
      </c>
      <c r="AB913" s="20">
        <f>IF($Z913="","",INT(($AA913-1)/3)+1)</f>
        <v/>
      </c>
      <c r="AC913" s="20">
        <f>IF($Z913="","",MOD($AA913-1,3)+1)</f>
        <v/>
      </c>
      <c r="AD913" s="20">
        <f>IF($Z913="","",Settings!$B$2+$AC913-1)</f>
        <v/>
      </c>
      <c r="AE913" s="21">
        <f>IF($Z913="C",DATE(YEAR(INDEX(Contracts!$J$2:$J$151,$AB913)),MONTH(INDEX(Contracts!$J$2:$J$151,$AB913)),1),IF($Z913="A",DATE(YEAR(INDEX(Fixed_Assets!$G$2:$G$201,$AB913)),MONTH(INDEX(Fixed_Assets!$G$2:$G$201,$AB913)),1),IF($Z913="F",DATE(YEAR(MAX(N(INDEX(Workforce!$I$2:$I$151,MATCH(INDEX(FTE_Allocation!$A$2:$A$201,$AB913),Workforce!$A$2:$A$151,0))),N(INDEX(FTE_Allocation!$I$2:$I$201,$AB913)))),MONTH(MAX(N(INDEX(Workforce!$I$2:$I$151,MATCH(INDEX(FTE_Allocation!$A$2:$A$201,$AB913),Workforce!$A$2:$A$151,0))),N(INDEX(FTE_Allocation!$I$2:$I$201,$AB913)))),1),"")))</f>
        <v/>
      </c>
      <c r="AF913" s="21">
        <f>IF($Z913="C",IF(INDEX(Contracts!$I$2:$I$151,$AB913)="PREPAID",EDATE(DATE(YEAR(INDEX(Contracts!$J$2:$J$151,$AB913)),MONTH(INDEX(Contracts!$J$2:$J$151,$AB913)),1),IF(INDEX(Contracts!$N$2:$N$151,$AB913)="",12,INDEX(Contracts!$N$2:$N$151,$AB913))-1),IF(INDEX(Contracts!$I$2:$I$151,$AB913)="MONTHLY",IF(INDEX(Contracts!$K$2:$K$151,$AB913)="",2958101,INDEX(Contracts!$K$2:$K$151,$AB913)),0)),IF($Z913="A",EDATE(DATE(YEAR(INDEX(Fixed_Assets!$G$2:$G$201,$AB913)),MONTH(INDEX(Fixed_Assets!$G$2:$G$201,$AB913)),1),INDEX(Fixed_Assets!$J$2:$J$201,$AB913)-1),IF($Z913="F",MIN(IF(INDEX(Workforce!$J$2:$J$151,MATCH(INDEX(FTE_Allocation!$A$2:$A$201,$AB913),Workforce!$A$2:$A$151,0))="",2958101,INDEX(Workforce!$J$2:$J$151,MATCH(INDEX(FTE_Allocation!$A$2:$A$201,$AB913),Workforce!$A$2:$A$151,0))),IF(INDEX(FTE_Allocation!$J$2:$J$201,$AB913)="",2958101,INDEX(FTE_Allocation!$J$2:$J$201,$AB913))),"")))</f>
        <v/>
      </c>
      <c r="AG913" s="19">
        <f>IF($Z913="C",IF(INDEX(Contracts!$I$2:$I$151,$AB913)="PREPAID",INDEX(Contracts!$M$2:$M$151,$AB913)/IF(INDEX(Contracts!$N$2:$N$151,$AB913)="",12,INDEX(Contracts!$N$2:$N$151,$AB913)),IF(INDEX(Contracts!$I$2:$I$151,$AB913)="MONTHLY",INDEX(Contracts!$M$2:$M$151,$AB913),0))*(1-N(INDEX(Contracts!$O$2:$O$151,$AB913))),IF($Z913="A",INDEX(Fixed_Assets!$H$2:$H$201,$AB913)/INDEX(Fixed_Assets!$J$2:$J$201,$AB913),IF($Z913="F",INDEX(Workforce!$F$2:$F$151,MATCH(INDEX(FTE_Allocation!$A$2:$A$201,$AB913),Workforce!$A$2:$A$151,0))*N(INDEX(FTE_Allocation!$F$2:$H$201,$AB913,$AC913)),"")))</f>
        <v/>
      </c>
    </row>
    <row r="914">
      <c r="A914" s="7">
        <f>IF($Z914="","",$AD914)</f>
        <v/>
      </c>
      <c r="B914" s="7">
        <f>IF($Z914="C",INDEX(Contracts!$D$2:$D$151,$AB914)&amp;"",IF($Z914="A",INDEX(Fixed_Assets!$C$2:$C$201,$AB914)&amp;"",IF($Z914="F",INDEX(Workforce!$B$2:$B$151,MATCH(INDEX(FTE_Allocation!$A$2:$A$201,$AB914),Workforce!$A$2:$A$151,0))&amp;"","")))</f>
        <v/>
      </c>
      <c r="C914" s="7">
        <f>IF($Z914="C",INDEX(Contracts!$E$2:$E$151,$AB914)&amp;"",IF($Z914="A",INDEX(Fixed_Assets!$D$2:$D$201,$AB914)&amp;"",IF($Z914="F",INDEX(FTE_Allocation!$C$2:$C$201,$AB914)&amp;"","")))</f>
        <v/>
      </c>
      <c r="D914" s="7">
        <f>IF($Z914="C",INDEX(Contracts!$B$2:$B$151,$AB914)&amp;"",IF($Z914="A",INDEX(Fixed_Assets!$B$2:$B$201,$AB914)&amp;"",IF($Z914="F",INDEX(FTE_Allocation!$B$2:$B$201,$AB914)&amp;"","")))</f>
        <v/>
      </c>
      <c r="E914" s="7">
        <f>IF($Z914="C",INDEX(Contracts!$P$2:$P$151,$AB914)&amp;"",IF($Z914="A",INDEX(Fixed_Assets!$K$2:$K$201,$AB914)&amp;"",IF($Z914="F",IF(INDEX(FTE_Allocation!$D$2:$D$201,$AB914)="PROJECT",IFERROR(INDEX(Projects!$D:$D,MATCH(INDEX(FTE_Allocation!$E$2:$E$201,$AB914),Projects!$A:$A,0))&amp;"","#PROJECT?"),INDEX(FTE_Allocation!$E$2:$E$201,$AB914)&amp;""),"")))</f>
        <v/>
      </c>
      <c r="F914" s="7">
        <f>IF($Z914="C",INDEX(Contracts!$Q$2:$Q$151,$AB914)&amp;"",IF($Z914="A",INDEX(Fixed_Assets!$L$2:$L$201,$AB914)&amp;"",IF($Z914="F",INDEX(Workforce!$K$2:$K$151,MATCH(INDEX(FTE_Allocation!$A$2:$A$201,$AB914),Workforce!$A$2:$A$151,0))&amp;"","")))</f>
        <v/>
      </c>
      <c r="G914" s="7">
        <f>IF($Z914="C",INDEX(Contracts!$F$2:$F$151,$AB914)&amp;" / "&amp;INDEX(Contracts!$G$2:$G$151,$AB914),IF($Z914="A",INDEX(Fixed_Assets!$E$2:$E$201,$AB914)&amp;"",IF($Z914="F","Personnel "&amp;INDEX(FTE_Allocation!$A$2:$A$201,$AB914)&amp;IF(INDEX(FTE_Allocation!$D$2:$D$201,$AB914)="PROJECT"," ("&amp;INDEX(FTE_Allocation!$E$2:$E$201,$AB914)&amp;")",""),"")))</f>
        <v/>
      </c>
      <c r="H914" s="7">
        <f>IF($Z914="C","CONTRACT",IF($Z914="A","ASSET",IF($Z914="F","WORKFORCE","")))</f>
        <v/>
      </c>
      <c r="I914" s="7">
        <f>IF($Z914="C",INDEX(Contracts!$L$2:$L$151,$AB914)&amp;"",IF($Z914="A",INDEX(Fixed_Assets!$I$2:$I$201,$AB914)&amp;"",IF($Z914="F",INDEX(Workforce!$G$2:$G$151,MATCH(INDEX(FTE_Allocation!$A$2:$A$201,$AB914),Workforce!$A$2:$A$151,0))&amp;"","")))</f>
        <v/>
      </c>
      <c r="J914" s="18">
        <f>IF($Z914="","",IF(AND(DATE($AD914,1,1)&gt;=$AE914,DATE($AD914,1,1)&lt;=$AF914),ROUND($AG914,2),0))</f>
        <v/>
      </c>
      <c r="K914" s="18">
        <f>IF($Z914="","",IF(AND(DATE($AD914,2,1)&gt;=$AE914,DATE($AD914,2,1)&lt;=$AF914),ROUND($AG914,2),0))</f>
        <v/>
      </c>
      <c r="L914" s="18">
        <f>IF($Z914="","",IF(AND(DATE($AD914,3,1)&gt;=$AE914,DATE($AD914,3,1)&lt;=$AF914),ROUND($AG914,2),0))</f>
        <v/>
      </c>
      <c r="M914" s="18">
        <f>IF($Z914="","",IF(AND(DATE($AD914,4,1)&gt;=$AE914,DATE($AD914,4,1)&lt;=$AF914),ROUND($AG914,2),0))</f>
        <v/>
      </c>
      <c r="N914" s="18">
        <f>IF($Z914="","",IF(AND(DATE($AD914,5,1)&gt;=$AE914,DATE($AD914,5,1)&lt;=$AF914),ROUND($AG914,2),0))</f>
        <v/>
      </c>
      <c r="O914" s="18">
        <f>IF($Z914="","",IF(AND(DATE($AD914,6,1)&gt;=$AE914,DATE($AD914,6,1)&lt;=$AF914),ROUND($AG914,2),0))</f>
        <v/>
      </c>
      <c r="P914" s="18">
        <f>IF($Z914="","",IF(AND(DATE($AD914,7,1)&gt;=$AE914,DATE($AD914,7,1)&lt;=$AF914),ROUND($AG914,2),0))</f>
        <v/>
      </c>
      <c r="Q914" s="18">
        <f>IF($Z914="","",IF(AND(DATE($AD914,8,1)&gt;=$AE914,DATE($AD914,8,1)&lt;=$AF914),ROUND($AG914,2),0))</f>
        <v/>
      </c>
      <c r="R914" s="18">
        <f>IF($Z914="","",IF(AND(DATE($AD914,9,1)&gt;=$AE914,DATE($AD914,9,1)&lt;=$AF914),ROUND($AG914,2),0))</f>
        <v/>
      </c>
      <c r="S914" s="18">
        <f>IF($Z914="","",IF(AND(DATE($AD914,10,1)&gt;=$AE914,DATE($AD914,10,1)&lt;=$AF914),ROUND($AG914,2),0))</f>
        <v/>
      </c>
      <c r="T914" s="18">
        <f>IF($Z914="","",IF(AND(DATE($AD914,11,1)&gt;=$AE914,DATE($AD914,11,1)&lt;=$AF914),ROUND($AG914,2),0))</f>
        <v/>
      </c>
      <c r="U914" s="18">
        <f>IF($Z914="","",IF(AND(DATE($AD914,12,1)&gt;=$AE914,DATE($AD914,12,1)&lt;=$AF914),ROUND($AG914,2),0))</f>
        <v/>
      </c>
      <c r="V914" s="7">
        <f>IF($Z914="C","Generated from "&amp;INDEX(Contracts!$A$2:$A$151,$AB914),IF($Z914="A","Generated from "&amp;INDEX(Fixed_Assets!$A$2:$A$201,$AB914),IF($Z914="F","Generated from "&amp;INDEX(FTE_Allocation!$A$2:$A$201,$AB914),"")))</f>
        <v/>
      </c>
      <c r="X914" s="19">
        <f>IF($Z914="","",SUM(J914:U914))</f>
        <v/>
      </c>
      <c r="Y914" s="20">
        <f>ROW()-1</f>
        <v/>
      </c>
      <c r="Z914" s="20">
        <f>IF($Y914&lt;=Settings!$B$4*3,"C",IF($Y914&lt;=(Settings!$B$4+Settings!$B$5)*3,"A",IF($Y914&lt;=(Settings!$B$4+Settings!$B$5+Settings!$B$6)*3,"F","")))</f>
        <v/>
      </c>
      <c r="AA914" s="20">
        <f>IF($Z914="C",$Y914,IF($Z914="A",$Y914-Settings!$B$4*3,IF($Z914="F",$Y914-(Settings!$B$4+Settings!$B$5)*3,"")))</f>
        <v/>
      </c>
      <c r="AB914" s="20">
        <f>IF($Z914="","",INT(($AA914-1)/3)+1)</f>
        <v/>
      </c>
      <c r="AC914" s="20">
        <f>IF($Z914="","",MOD($AA914-1,3)+1)</f>
        <v/>
      </c>
      <c r="AD914" s="20">
        <f>IF($Z914="","",Settings!$B$2+$AC914-1)</f>
        <v/>
      </c>
      <c r="AE914" s="21">
        <f>IF($Z914="C",DATE(YEAR(INDEX(Contracts!$J$2:$J$151,$AB914)),MONTH(INDEX(Contracts!$J$2:$J$151,$AB914)),1),IF($Z914="A",DATE(YEAR(INDEX(Fixed_Assets!$G$2:$G$201,$AB914)),MONTH(INDEX(Fixed_Assets!$G$2:$G$201,$AB914)),1),IF($Z914="F",DATE(YEAR(MAX(N(INDEX(Workforce!$I$2:$I$151,MATCH(INDEX(FTE_Allocation!$A$2:$A$201,$AB914),Workforce!$A$2:$A$151,0))),N(INDEX(FTE_Allocation!$I$2:$I$201,$AB914)))),MONTH(MAX(N(INDEX(Workforce!$I$2:$I$151,MATCH(INDEX(FTE_Allocation!$A$2:$A$201,$AB914),Workforce!$A$2:$A$151,0))),N(INDEX(FTE_Allocation!$I$2:$I$201,$AB914)))),1),"")))</f>
        <v/>
      </c>
      <c r="AF914" s="21">
        <f>IF($Z914="C",IF(INDEX(Contracts!$I$2:$I$151,$AB914)="PREPAID",EDATE(DATE(YEAR(INDEX(Contracts!$J$2:$J$151,$AB914)),MONTH(INDEX(Contracts!$J$2:$J$151,$AB914)),1),IF(INDEX(Contracts!$N$2:$N$151,$AB914)="",12,INDEX(Contracts!$N$2:$N$151,$AB914))-1),IF(INDEX(Contracts!$I$2:$I$151,$AB914)="MONTHLY",IF(INDEX(Contracts!$K$2:$K$151,$AB914)="",2958101,INDEX(Contracts!$K$2:$K$151,$AB914)),0)),IF($Z914="A",EDATE(DATE(YEAR(INDEX(Fixed_Assets!$G$2:$G$201,$AB914)),MONTH(INDEX(Fixed_Assets!$G$2:$G$201,$AB914)),1),INDEX(Fixed_Assets!$J$2:$J$201,$AB914)-1),IF($Z914="F",MIN(IF(INDEX(Workforce!$J$2:$J$151,MATCH(INDEX(FTE_Allocation!$A$2:$A$201,$AB914),Workforce!$A$2:$A$151,0))="",2958101,INDEX(Workforce!$J$2:$J$151,MATCH(INDEX(FTE_Allocation!$A$2:$A$201,$AB914),Workforce!$A$2:$A$151,0))),IF(INDEX(FTE_Allocation!$J$2:$J$201,$AB914)="",2958101,INDEX(FTE_Allocation!$J$2:$J$201,$AB914))),"")))</f>
        <v/>
      </c>
      <c r="AG914" s="19">
        <f>IF($Z914="C",IF(INDEX(Contracts!$I$2:$I$151,$AB914)="PREPAID",INDEX(Contracts!$M$2:$M$151,$AB914)/IF(INDEX(Contracts!$N$2:$N$151,$AB914)="",12,INDEX(Contracts!$N$2:$N$151,$AB914)),IF(INDEX(Contracts!$I$2:$I$151,$AB914)="MONTHLY",INDEX(Contracts!$M$2:$M$151,$AB914),0))*(1-N(INDEX(Contracts!$O$2:$O$151,$AB914))),IF($Z914="A",INDEX(Fixed_Assets!$H$2:$H$201,$AB914)/INDEX(Fixed_Assets!$J$2:$J$201,$AB914),IF($Z914="F",INDEX(Workforce!$F$2:$F$151,MATCH(INDEX(FTE_Allocation!$A$2:$A$201,$AB914),Workforce!$A$2:$A$151,0))*N(INDEX(FTE_Allocation!$F$2:$H$201,$AB914,$AC914)),"")))</f>
        <v/>
      </c>
    </row>
    <row r="915">
      <c r="A915" s="7">
        <f>IF($Z915="","",$AD915)</f>
        <v/>
      </c>
      <c r="B915" s="7">
        <f>IF($Z915="C",INDEX(Contracts!$D$2:$D$151,$AB915)&amp;"",IF($Z915="A",INDEX(Fixed_Assets!$C$2:$C$201,$AB915)&amp;"",IF($Z915="F",INDEX(Workforce!$B$2:$B$151,MATCH(INDEX(FTE_Allocation!$A$2:$A$201,$AB915),Workforce!$A$2:$A$151,0))&amp;"","")))</f>
        <v/>
      </c>
      <c r="C915" s="7">
        <f>IF($Z915="C",INDEX(Contracts!$E$2:$E$151,$AB915)&amp;"",IF($Z915="A",INDEX(Fixed_Assets!$D$2:$D$201,$AB915)&amp;"",IF($Z915="F",INDEX(FTE_Allocation!$C$2:$C$201,$AB915)&amp;"","")))</f>
        <v/>
      </c>
      <c r="D915" s="7">
        <f>IF($Z915="C",INDEX(Contracts!$B$2:$B$151,$AB915)&amp;"",IF($Z915="A",INDEX(Fixed_Assets!$B$2:$B$201,$AB915)&amp;"",IF($Z915="F",INDEX(FTE_Allocation!$B$2:$B$201,$AB915)&amp;"","")))</f>
        <v/>
      </c>
      <c r="E915" s="7">
        <f>IF($Z915="C",INDEX(Contracts!$P$2:$P$151,$AB915)&amp;"",IF($Z915="A",INDEX(Fixed_Assets!$K$2:$K$201,$AB915)&amp;"",IF($Z915="F",IF(INDEX(FTE_Allocation!$D$2:$D$201,$AB915)="PROJECT",IFERROR(INDEX(Projects!$D:$D,MATCH(INDEX(FTE_Allocation!$E$2:$E$201,$AB915),Projects!$A:$A,0))&amp;"","#PROJECT?"),INDEX(FTE_Allocation!$E$2:$E$201,$AB915)&amp;""),"")))</f>
        <v/>
      </c>
      <c r="F915" s="7">
        <f>IF($Z915="C",INDEX(Contracts!$Q$2:$Q$151,$AB915)&amp;"",IF($Z915="A",INDEX(Fixed_Assets!$L$2:$L$201,$AB915)&amp;"",IF($Z915="F",INDEX(Workforce!$K$2:$K$151,MATCH(INDEX(FTE_Allocation!$A$2:$A$201,$AB915),Workforce!$A$2:$A$151,0))&amp;"","")))</f>
        <v/>
      </c>
      <c r="G915" s="7">
        <f>IF($Z915="C",INDEX(Contracts!$F$2:$F$151,$AB915)&amp;" / "&amp;INDEX(Contracts!$G$2:$G$151,$AB915),IF($Z915="A",INDEX(Fixed_Assets!$E$2:$E$201,$AB915)&amp;"",IF($Z915="F","Personnel "&amp;INDEX(FTE_Allocation!$A$2:$A$201,$AB915)&amp;IF(INDEX(FTE_Allocation!$D$2:$D$201,$AB915)="PROJECT"," ("&amp;INDEX(FTE_Allocation!$E$2:$E$201,$AB915)&amp;")",""),"")))</f>
        <v/>
      </c>
      <c r="H915" s="7">
        <f>IF($Z915="C","CONTRACT",IF($Z915="A","ASSET",IF($Z915="F","WORKFORCE","")))</f>
        <v/>
      </c>
      <c r="I915" s="7">
        <f>IF($Z915="C",INDEX(Contracts!$L$2:$L$151,$AB915)&amp;"",IF($Z915="A",INDEX(Fixed_Assets!$I$2:$I$201,$AB915)&amp;"",IF($Z915="F",INDEX(Workforce!$G$2:$G$151,MATCH(INDEX(FTE_Allocation!$A$2:$A$201,$AB915),Workforce!$A$2:$A$151,0))&amp;"","")))</f>
        <v/>
      </c>
      <c r="J915" s="18">
        <f>IF($Z915="","",IF(AND(DATE($AD915,1,1)&gt;=$AE915,DATE($AD915,1,1)&lt;=$AF915),ROUND($AG915,2),0))</f>
        <v/>
      </c>
      <c r="K915" s="18">
        <f>IF($Z915="","",IF(AND(DATE($AD915,2,1)&gt;=$AE915,DATE($AD915,2,1)&lt;=$AF915),ROUND($AG915,2),0))</f>
        <v/>
      </c>
      <c r="L915" s="18">
        <f>IF($Z915="","",IF(AND(DATE($AD915,3,1)&gt;=$AE915,DATE($AD915,3,1)&lt;=$AF915),ROUND($AG915,2),0))</f>
        <v/>
      </c>
      <c r="M915" s="18">
        <f>IF($Z915="","",IF(AND(DATE($AD915,4,1)&gt;=$AE915,DATE($AD915,4,1)&lt;=$AF915),ROUND($AG915,2),0))</f>
        <v/>
      </c>
      <c r="N915" s="18">
        <f>IF($Z915="","",IF(AND(DATE($AD915,5,1)&gt;=$AE915,DATE($AD915,5,1)&lt;=$AF915),ROUND($AG915,2),0))</f>
        <v/>
      </c>
      <c r="O915" s="18">
        <f>IF($Z915="","",IF(AND(DATE($AD915,6,1)&gt;=$AE915,DATE($AD915,6,1)&lt;=$AF915),ROUND($AG915,2),0))</f>
        <v/>
      </c>
      <c r="P915" s="18">
        <f>IF($Z915="","",IF(AND(DATE($AD915,7,1)&gt;=$AE915,DATE($AD915,7,1)&lt;=$AF915),ROUND($AG915,2),0))</f>
        <v/>
      </c>
      <c r="Q915" s="18">
        <f>IF($Z915="","",IF(AND(DATE($AD915,8,1)&gt;=$AE915,DATE($AD915,8,1)&lt;=$AF915),ROUND($AG915,2),0))</f>
        <v/>
      </c>
      <c r="R915" s="18">
        <f>IF($Z915="","",IF(AND(DATE($AD915,9,1)&gt;=$AE915,DATE($AD915,9,1)&lt;=$AF915),ROUND($AG915,2),0))</f>
        <v/>
      </c>
      <c r="S915" s="18">
        <f>IF($Z915="","",IF(AND(DATE($AD915,10,1)&gt;=$AE915,DATE($AD915,10,1)&lt;=$AF915),ROUND($AG915,2),0))</f>
        <v/>
      </c>
      <c r="T915" s="18">
        <f>IF($Z915="","",IF(AND(DATE($AD915,11,1)&gt;=$AE915,DATE($AD915,11,1)&lt;=$AF915),ROUND($AG915,2),0))</f>
        <v/>
      </c>
      <c r="U915" s="18">
        <f>IF($Z915="","",IF(AND(DATE($AD915,12,1)&gt;=$AE915,DATE($AD915,12,1)&lt;=$AF915),ROUND($AG915,2),0))</f>
        <v/>
      </c>
      <c r="V915" s="7">
        <f>IF($Z915="C","Generated from "&amp;INDEX(Contracts!$A$2:$A$151,$AB915),IF($Z915="A","Generated from "&amp;INDEX(Fixed_Assets!$A$2:$A$201,$AB915),IF($Z915="F","Generated from "&amp;INDEX(FTE_Allocation!$A$2:$A$201,$AB915),"")))</f>
        <v/>
      </c>
      <c r="X915" s="19">
        <f>IF($Z915="","",SUM(J915:U915))</f>
        <v/>
      </c>
      <c r="Y915" s="20">
        <f>ROW()-1</f>
        <v/>
      </c>
      <c r="Z915" s="20">
        <f>IF($Y915&lt;=Settings!$B$4*3,"C",IF($Y915&lt;=(Settings!$B$4+Settings!$B$5)*3,"A",IF($Y915&lt;=(Settings!$B$4+Settings!$B$5+Settings!$B$6)*3,"F","")))</f>
        <v/>
      </c>
      <c r="AA915" s="20">
        <f>IF($Z915="C",$Y915,IF($Z915="A",$Y915-Settings!$B$4*3,IF($Z915="F",$Y915-(Settings!$B$4+Settings!$B$5)*3,"")))</f>
        <v/>
      </c>
      <c r="AB915" s="20">
        <f>IF($Z915="","",INT(($AA915-1)/3)+1)</f>
        <v/>
      </c>
      <c r="AC915" s="20">
        <f>IF($Z915="","",MOD($AA915-1,3)+1)</f>
        <v/>
      </c>
      <c r="AD915" s="20">
        <f>IF($Z915="","",Settings!$B$2+$AC915-1)</f>
        <v/>
      </c>
      <c r="AE915" s="21">
        <f>IF($Z915="C",DATE(YEAR(INDEX(Contracts!$J$2:$J$151,$AB915)),MONTH(INDEX(Contracts!$J$2:$J$151,$AB915)),1),IF($Z915="A",DATE(YEAR(INDEX(Fixed_Assets!$G$2:$G$201,$AB915)),MONTH(INDEX(Fixed_Assets!$G$2:$G$201,$AB915)),1),IF($Z915="F",DATE(YEAR(MAX(N(INDEX(Workforce!$I$2:$I$151,MATCH(INDEX(FTE_Allocation!$A$2:$A$201,$AB915),Workforce!$A$2:$A$151,0))),N(INDEX(FTE_Allocation!$I$2:$I$201,$AB915)))),MONTH(MAX(N(INDEX(Workforce!$I$2:$I$151,MATCH(INDEX(FTE_Allocation!$A$2:$A$201,$AB915),Workforce!$A$2:$A$151,0))),N(INDEX(FTE_Allocation!$I$2:$I$201,$AB915)))),1),"")))</f>
        <v/>
      </c>
      <c r="AF915" s="21">
        <f>IF($Z915="C",IF(INDEX(Contracts!$I$2:$I$151,$AB915)="PREPAID",EDATE(DATE(YEAR(INDEX(Contracts!$J$2:$J$151,$AB915)),MONTH(INDEX(Contracts!$J$2:$J$151,$AB915)),1),IF(INDEX(Contracts!$N$2:$N$151,$AB915)="",12,INDEX(Contracts!$N$2:$N$151,$AB915))-1),IF(INDEX(Contracts!$I$2:$I$151,$AB915)="MONTHLY",IF(INDEX(Contracts!$K$2:$K$151,$AB915)="",2958101,INDEX(Contracts!$K$2:$K$151,$AB915)),0)),IF($Z915="A",EDATE(DATE(YEAR(INDEX(Fixed_Assets!$G$2:$G$201,$AB915)),MONTH(INDEX(Fixed_Assets!$G$2:$G$201,$AB915)),1),INDEX(Fixed_Assets!$J$2:$J$201,$AB915)-1),IF($Z915="F",MIN(IF(INDEX(Workforce!$J$2:$J$151,MATCH(INDEX(FTE_Allocation!$A$2:$A$201,$AB915),Workforce!$A$2:$A$151,0))="",2958101,INDEX(Workforce!$J$2:$J$151,MATCH(INDEX(FTE_Allocation!$A$2:$A$201,$AB915),Workforce!$A$2:$A$151,0))),IF(INDEX(FTE_Allocation!$J$2:$J$201,$AB915)="",2958101,INDEX(FTE_Allocation!$J$2:$J$201,$AB915))),"")))</f>
        <v/>
      </c>
      <c r="AG915" s="19">
        <f>IF($Z915="C",IF(INDEX(Contracts!$I$2:$I$151,$AB915)="PREPAID",INDEX(Contracts!$M$2:$M$151,$AB915)/IF(INDEX(Contracts!$N$2:$N$151,$AB915)="",12,INDEX(Contracts!$N$2:$N$151,$AB915)),IF(INDEX(Contracts!$I$2:$I$151,$AB915)="MONTHLY",INDEX(Contracts!$M$2:$M$151,$AB915),0))*(1-N(INDEX(Contracts!$O$2:$O$151,$AB915))),IF($Z915="A",INDEX(Fixed_Assets!$H$2:$H$201,$AB915)/INDEX(Fixed_Assets!$J$2:$J$201,$AB915),IF($Z915="F",INDEX(Workforce!$F$2:$F$151,MATCH(INDEX(FTE_Allocation!$A$2:$A$201,$AB915),Workforce!$A$2:$A$151,0))*N(INDEX(FTE_Allocation!$F$2:$H$201,$AB915,$AC915)),"")))</f>
        <v/>
      </c>
    </row>
    <row r="916">
      <c r="A916" s="7">
        <f>IF($Z916="","",$AD916)</f>
        <v/>
      </c>
      <c r="B916" s="7">
        <f>IF($Z916="C",INDEX(Contracts!$D$2:$D$151,$AB916)&amp;"",IF($Z916="A",INDEX(Fixed_Assets!$C$2:$C$201,$AB916)&amp;"",IF($Z916="F",INDEX(Workforce!$B$2:$B$151,MATCH(INDEX(FTE_Allocation!$A$2:$A$201,$AB916),Workforce!$A$2:$A$151,0))&amp;"","")))</f>
        <v/>
      </c>
      <c r="C916" s="7">
        <f>IF($Z916="C",INDEX(Contracts!$E$2:$E$151,$AB916)&amp;"",IF($Z916="A",INDEX(Fixed_Assets!$D$2:$D$201,$AB916)&amp;"",IF($Z916="F",INDEX(FTE_Allocation!$C$2:$C$201,$AB916)&amp;"","")))</f>
        <v/>
      </c>
      <c r="D916" s="7">
        <f>IF($Z916="C",INDEX(Contracts!$B$2:$B$151,$AB916)&amp;"",IF($Z916="A",INDEX(Fixed_Assets!$B$2:$B$201,$AB916)&amp;"",IF($Z916="F",INDEX(FTE_Allocation!$B$2:$B$201,$AB916)&amp;"","")))</f>
        <v/>
      </c>
      <c r="E916" s="7">
        <f>IF($Z916="C",INDEX(Contracts!$P$2:$P$151,$AB916)&amp;"",IF($Z916="A",INDEX(Fixed_Assets!$K$2:$K$201,$AB916)&amp;"",IF($Z916="F",IF(INDEX(FTE_Allocation!$D$2:$D$201,$AB916)="PROJECT",IFERROR(INDEX(Projects!$D:$D,MATCH(INDEX(FTE_Allocation!$E$2:$E$201,$AB916),Projects!$A:$A,0))&amp;"","#PROJECT?"),INDEX(FTE_Allocation!$E$2:$E$201,$AB916)&amp;""),"")))</f>
        <v/>
      </c>
      <c r="F916" s="7">
        <f>IF($Z916="C",INDEX(Contracts!$Q$2:$Q$151,$AB916)&amp;"",IF($Z916="A",INDEX(Fixed_Assets!$L$2:$L$201,$AB916)&amp;"",IF($Z916="F",INDEX(Workforce!$K$2:$K$151,MATCH(INDEX(FTE_Allocation!$A$2:$A$201,$AB916),Workforce!$A$2:$A$151,0))&amp;"","")))</f>
        <v/>
      </c>
      <c r="G916" s="7">
        <f>IF($Z916="C",INDEX(Contracts!$F$2:$F$151,$AB916)&amp;" / "&amp;INDEX(Contracts!$G$2:$G$151,$AB916),IF($Z916="A",INDEX(Fixed_Assets!$E$2:$E$201,$AB916)&amp;"",IF($Z916="F","Personnel "&amp;INDEX(FTE_Allocation!$A$2:$A$201,$AB916)&amp;IF(INDEX(FTE_Allocation!$D$2:$D$201,$AB916)="PROJECT"," ("&amp;INDEX(FTE_Allocation!$E$2:$E$201,$AB916)&amp;")",""),"")))</f>
        <v/>
      </c>
      <c r="H916" s="7">
        <f>IF($Z916="C","CONTRACT",IF($Z916="A","ASSET",IF($Z916="F","WORKFORCE","")))</f>
        <v/>
      </c>
      <c r="I916" s="7">
        <f>IF($Z916="C",INDEX(Contracts!$L$2:$L$151,$AB916)&amp;"",IF($Z916="A",INDEX(Fixed_Assets!$I$2:$I$201,$AB916)&amp;"",IF($Z916="F",INDEX(Workforce!$G$2:$G$151,MATCH(INDEX(FTE_Allocation!$A$2:$A$201,$AB916),Workforce!$A$2:$A$151,0))&amp;"","")))</f>
        <v/>
      </c>
      <c r="J916" s="18">
        <f>IF($Z916="","",IF(AND(DATE($AD916,1,1)&gt;=$AE916,DATE($AD916,1,1)&lt;=$AF916),ROUND($AG916,2),0))</f>
        <v/>
      </c>
      <c r="K916" s="18">
        <f>IF($Z916="","",IF(AND(DATE($AD916,2,1)&gt;=$AE916,DATE($AD916,2,1)&lt;=$AF916),ROUND($AG916,2),0))</f>
        <v/>
      </c>
      <c r="L916" s="18">
        <f>IF($Z916="","",IF(AND(DATE($AD916,3,1)&gt;=$AE916,DATE($AD916,3,1)&lt;=$AF916),ROUND($AG916,2),0))</f>
        <v/>
      </c>
      <c r="M916" s="18">
        <f>IF($Z916="","",IF(AND(DATE($AD916,4,1)&gt;=$AE916,DATE($AD916,4,1)&lt;=$AF916),ROUND($AG916,2),0))</f>
        <v/>
      </c>
      <c r="N916" s="18">
        <f>IF($Z916="","",IF(AND(DATE($AD916,5,1)&gt;=$AE916,DATE($AD916,5,1)&lt;=$AF916),ROUND($AG916,2),0))</f>
        <v/>
      </c>
      <c r="O916" s="18">
        <f>IF($Z916="","",IF(AND(DATE($AD916,6,1)&gt;=$AE916,DATE($AD916,6,1)&lt;=$AF916),ROUND($AG916,2),0))</f>
        <v/>
      </c>
      <c r="P916" s="18">
        <f>IF($Z916="","",IF(AND(DATE($AD916,7,1)&gt;=$AE916,DATE($AD916,7,1)&lt;=$AF916),ROUND($AG916,2),0))</f>
        <v/>
      </c>
      <c r="Q916" s="18">
        <f>IF($Z916="","",IF(AND(DATE($AD916,8,1)&gt;=$AE916,DATE($AD916,8,1)&lt;=$AF916),ROUND($AG916,2),0))</f>
        <v/>
      </c>
      <c r="R916" s="18">
        <f>IF($Z916="","",IF(AND(DATE($AD916,9,1)&gt;=$AE916,DATE($AD916,9,1)&lt;=$AF916),ROUND($AG916,2),0))</f>
        <v/>
      </c>
      <c r="S916" s="18">
        <f>IF($Z916="","",IF(AND(DATE($AD916,10,1)&gt;=$AE916,DATE($AD916,10,1)&lt;=$AF916),ROUND($AG916,2),0))</f>
        <v/>
      </c>
      <c r="T916" s="18">
        <f>IF($Z916="","",IF(AND(DATE($AD916,11,1)&gt;=$AE916,DATE($AD916,11,1)&lt;=$AF916),ROUND($AG916,2),0))</f>
        <v/>
      </c>
      <c r="U916" s="18">
        <f>IF($Z916="","",IF(AND(DATE($AD916,12,1)&gt;=$AE916,DATE($AD916,12,1)&lt;=$AF916),ROUND($AG916,2),0))</f>
        <v/>
      </c>
      <c r="V916" s="7">
        <f>IF($Z916="C","Generated from "&amp;INDEX(Contracts!$A$2:$A$151,$AB916),IF($Z916="A","Generated from "&amp;INDEX(Fixed_Assets!$A$2:$A$201,$AB916),IF($Z916="F","Generated from "&amp;INDEX(FTE_Allocation!$A$2:$A$201,$AB916),"")))</f>
        <v/>
      </c>
      <c r="X916" s="19">
        <f>IF($Z916="","",SUM(J916:U916))</f>
        <v/>
      </c>
      <c r="Y916" s="20">
        <f>ROW()-1</f>
        <v/>
      </c>
      <c r="Z916" s="20">
        <f>IF($Y916&lt;=Settings!$B$4*3,"C",IF($Y916&lt;=(Settings!$B$4+Settings!$B$5)*3,"A",IF($Y916&lt;=(Settings!$B$4+Settings!$B$5+Settings!$B$6)*3,"F","")))</f>
        <v/>
      </c>
      <c r="AA916" s="20">
        <f>IF($Z916="C",$Y916,IF($Z916="A",$Y916-Settings!$B$4*3,IF($Z916="F",$Y916-(Settings!$B$4+Settings!$B$5)*3,"")))</f>
        <v/>
      </c>
      <c r="AB916" s="20">
        <f>IF($Z916="","",INT(($AA916-1)/3)+1)</f>
        <v/>
      </c>
      <c r="AC916" s="20">
        <f>IF($Z916="","",MOD($AA916-1,3)+1)</f>
        <v/>
      </c>
      <c r="AD916" s="20">
        <f>IF($Z916="","",Settings!$B$2+$AC916-1)</f>
        <v/>
      </c>
      <c r="AE916" s="21">
        <f>IF($Z916="C",DATE(YEAR(INDEX(Contracts!$J$2:$J$151,$AB916)),MONTH(INDEX(Contracts!$J$2:$J$151,$AB916)),1),IF($Z916="A",DATE(YEAR(INDEX(Fixed_Assets!$G$2:$G$201,$AB916)),MONTH(INDEX(Fixed_Assets!$G$2:$G$201,$AB916)),1),IF($Z916="F",DATE(YEAR(MAX(N(INDEX(Workforce!$I$2:$I$151,MATCH(INDEX(FTE_Allocation!$A$2:$A$201,$AB916),Workforce!$A$2:$A$151,0))),N(INDEX(FTE_Allocation!$I$2:$I$201,$AB916)))),MONTH(MAX(N(INDEX(Workforce!$I$2:$I$151,MATCH(INDEX(FTE_Allocation!$A$2:$A$201,$AB916),Workforce!$A$2:$A$151,0))),N(INDEX(FTE_Allocation!$I$2:$I$201,$AB916)))),1),"")))</f>
        <v/>
      </c>
      <c r="AF916" s="21">
        <f>IF($Z916="C",IF(INDEX(Contracts!$I$2:$I$151,$AB916)="PREPAID",EDATE(DATE(YEAR(INDEX(Contracts!$J$2:$J$151,$AB916)),MONTH(INDEX(Contracts!$J$2:$J$151,$AB916)),1),IF(INDEX(Contracts!$N$2:$N$151,$AB916)="",12,INDEX(Contracts!$N$2:$N$151,$AB916))-1),IF(INDEX(Contracts!$I$2:$I$151,$AB916)="MONTHLY",IF(INDEX(Contracts!$K$2:$K$151,$AB916)="",2958101,INDEX(Contracts!$K$2:$K$151,$AB916)),0)),IF($Z916="A",EDATE(DATE(YEAR(INDEX(Fixed_Assets!$G$2:$G$201,$AB916)),MONTH(INDEX(Fixed_Assets!$G$2:$G$201,$AB916)),1),INDEX(Fixed_Assets!$J$2:$J$201,$AB916)-1),IF($Z916="F",MIN(IF(INDEX(Workforce!$J$2:$J$151,MATCH(INDEX(FTE_Allocation!$A$2:$A$201,$AB916),Workforce!$A$2:$A$151,0))="",2958101,INDEX(Workforce!$J$2:$J$151,MATCH(INDEX(FTE_Allocation!$A$2:$A$201,$AB916),Workforce!$A$2:$A$151,0))),IF(INDEX(FTE_Allocation!$J$2:$J$201,$AB916)="",2958101,INDEX(FTE_Allocation!$J$2:$J$201,$AB916))),"")))</f>
        <v/>
      </c>
      <c r="AG916" s="19">
        <f>IF($Z916="C",IF(INDEX(Contracts!$I$2:$I$151,$AB916)="PREPAID",INDEX(Contracts!$M$2:$M$151,$AB916)/IF(INDEX(Contracts!$N$2:$N$151,$AB916)="",12,INDEX(Contracts!$N$2:$N$151,$AB916)),IF(INDEX(Contracts!$I$2:$I$151,$AB916)="MONTHLY",INDEX(Contracts!$M$2:$M$151,$AB916),0))*(1-N(INDEX(Contracts!$O$2:$O$151,$AB916))),IF($Z916="A",INDEX(Fixed_Assets!$H$2:$H$201,$AB916)/INDEX(Fixed_Assets!$J$2:$J$201,$AB916),IF($Z916="F",INDEX(Workforce!$F$2:$F$151,MATCH(INDEX(FTE_Allocation!$A$2:$A$201,$AB916),Workforce!$A$2:$A$151,0))*N(INDEX(FTE_Allocation!$F$2:$H$201,$AB916,$AC916)),"")))</f>
        <v/>
      </c>
    </row>
    <row r="917">
      <c r="A917" s="7">
        <f>IF($Z917="","",$AD917)</f>
        <v/>
      </c>
      <c r="B917" s="7">
        <f>IF($Z917="C",INDEX(Contracts!$D$2:$D$151,$AB917)&amp;"",IF($Z917="A",INDEX(Fixed_Assets!$C$2:$C$201,$AB917)&amp;"",IF($Z917="F",INDEX(Workforce!$B$2:$B$151,MATCH(INDEX(FTE_Allocation!$A$2:$A$201,$AB917),Workforce!$A$2:$A$151,0))&amp;"","")))</f>
        <v/>
      </c>
      <c r="C917" s="7">
        <f>IF($Z917="C",INDEX(Contracts!$E$2:$E$151,$AB917)&amp;"",IF($Z917="A",INDEX(Fixed_Assets!$D$2:$D$201,$AB917)&amp;"",IF($Z917="F",INDEX(FTE_Allocation!$C$2:$C$201,$AB917)&amp;"","")))</f>
        <v/>
      </c>
      <c r="D917" s="7">
        <f>IF($Z917="C",INDEX(Contracts!$B$2:$B$151,$AB917)&amp;"",IF($Z917="A",INDEX(Fixed_Assets!$B$2:$B$201,$AB917)&amp;"",IF($Z917="F",INDEX(FTE_Allocation!$B$2:$B$201,$AB917)&amp;"","")))</f>
        <v/>
      </c>
      <c r="E917" s="7">
        <f>IF($Z917="C",INDEX(Contracts!$P$2:$P$151,$AB917)&amp;"",IF($Z917="A",INDEX(Fixed_Assets!$K$2:$K$201,$AB917)&amp;"",IF($Z917="F",IF(INDEX(FTE_Allocation!$D$2:$D$201,$AB917)="PROJECT",IFERROR(INDEX(Projects!$D:$D,MATCH(INDEX(FTE_Allocation!$E$2:$E$201,$AB917),Projects!$A:$A,0))&amp;"","#PROJECT?"),INDEX(FTE_Allocation!$E$2:$E$201,$AB917)&amp;""),"")))</f>
        <v/>
      </c>
      <c r="F917" s="7">
        <f>IF($Z917="C",INDEX(Contracts!$Q$2:$Q$151,$AB917)&amp;"",IF($Z917="A",INDEX(Fixed_Assets!$L$2:$L$201,$AB917)&amp;"",IF($Z917="F",INDEX(Workforce!$K$2:$K$151,MATCH(INDEX(FTE_Allocation!$A$2:$A$201,$AB917),Workforce!$A$2:$A$151,0))&amp;"","")))</f>
        <v/>
      </c>
      <c r="G917" s="7">
        <f>IF($Z917="C",INDEX(Contracts!$F$2:$F$151,$AB917)&amp;" / "&amp;INDEX(Contracts!$G$2:$G$151,$AB917),IF($Z917="A",INDEX(Fixed_Assets!$E$2:$E$201,$AB917)&amp;"",IF($Z917="F","Personnel "&amp;INDEX(FTE_Allocation!$A$2:$A$201,$AB917)&amp;IF(INDEX(FTE_Allocation!$D$2:$D$201,$AB917)="PROJECT"," ("&amp;INDEX(FTE_Allocation!$E$2:$E$201,$AB917)&amp;")",""),"")))</f>
        <v/>
      </c>
      <c r="H917" s="7">
        <f>IF($Z917="C","CONTRACT",IF($Z917="A","ASSET",IF($Z917="F","WORKFORCE","")))</f>
        <v/>
      </c>
      <c r="I917" s="7">
        <f>IF($Z917="C",INDEX(Contracts!$L$2:$L$151,$AB917)&amp;"",IF($Z917="A",INDEX(Fixed_Assets!$I$2:$I$201,$AB917)&amp;"",IF($Z917="F",INDEX(Workforce!$G$2:$G$151,MATCH(INDEX(FTE_Allocation!$A$2:$A$201,$AB917),Workforce!$A$2:$A$151,0))&amp;"","")))</f>
        <v/>
      </c>
      <c r="J917" s="18">
        <f>IF($Z917="","",IF(AND(DATE($AD917,1,1)&gt;=$AE917,DATE($AD917,1,1)&lt;=$AF917),ROUND($AG917,2),0))</f>
        <v/>
      </c>
      <c r="K917" s="18">
        <f>IF($Z917="","",IF(AND(DATE($AD917,2,1)&gt;=$AE917,DATE($AD917,2,1)&lt;=$AF917),ROUND($AG917,2),0))</f>
        <v/>
      </c>
      <c r="L917" s="18">
        <f>IF($Z917="","",IF(AND(DATE($AD917,3,1)&gt;=$AE917,DATE($AD917,3,1)&lt;=$AF917),ROUND($AG917,2),0))</f>
        <v/>
      </c>
      <c r="M917" s="18">
        <f>IF($Z917="","",IF(AND(DATE($AD917,4,1)&gt;=$AE917,DATE($AD917,4,1)&lt;=$AF917),ROUND($AG917,2),0))</f>
        <v/>
      </c>
      <c r="N917" s="18">
        <f>IF($Z917="","",IF(AND(DATE($AD917,5,1)&gt;=$AE917,DATE($AD917,5,1)&lt;=$AF917),ROUND($AG917,2),0))</f>
        <v/>
      </c>
      <c r="O917" s="18">
        <f>IF($Z917="","",IF(AND(DATE($AD917,6,1)&gt;=$AE917,DATE($AD917,6,1)&lt;=$AF917),ROUND($AG917,2),0))</f>
        <v/>
      </c>
      <c r="P917" s="18">
        <f>IF($Z917="","",IF(AND(DATE($AD917,7,1)&gt;=$AE917,DATE($AD917,7,1)&lt;=$AF917),ROUND($AG917,2),0))</f>
        <v/>
      </c>
      <c r="Q917" s="18">
        <f>IF($Z917="","",IF(AND(DATE($AD917,8,1)&gt;=$AE917,DATE($AD917,8,1)&lt;=$AF917),ROUND($AG917,2),0))</f>
        <v/>
      </c>
      <c r="R917" s="18">
        <f>IF($Z917="","",IF(AND(DATE($AD917,9,1)&gt;=$AE917,DATE($AD917,9,1)&lt;=$AF917),ROUND($AG917,2),0))</f>
        <v/>
      </c>
      <c r="S917" s="18">
        <f>IF($Z917="","",IF(AND(DATE($AD917,10,1)&gt;=$AE917,DATE($AD917,10,1)&lt;=$AF917),ROUND($AG917,2),0))</f>
        <v/>
      </c>
      <c r="T917" s="18">
        <f>IF($Z917="","",IF(AND(DATE($AD917,11,1)&gt;=$AE917,DATE($AD917,11,1)&lt;=$AF917),ROUND($AG917,2),0))</f>
        <v/>
      </c>
      <c r="U917" s="18">
        <f>IF($Z917="","",IF(AND(DATE($AD917,12,1)&gt;=$AE917,DATE($AD917,12,1)&lt;=$AF917),ROUND($AG917,2),0))</f>
        <v/>
      </c>
      <c r="V917" s="7">
        <f>IF($Z917="C","Generated from "&amp;INDEX(Contracts!$A$2:$A$151,$AB917),IF($Z917="A","Generated from "&amp;INDEX(Fixed_Assets!$A$2:$A$201,$AB917),IF($Z917="F","Generated from "&amp;INDEX(FTE_Allocation!$A$2:$A$201,$AB917),"")))</f>
        <v/>
      </c>
      <c r="X917" s="19">
        <f>IF($Z917="","",SUM(J917:U917))</f>
        <v/>
      </c>
      <c r="Y917" s="20">
        <f>ROW()-1</f>
        <v/>
      </c>
      <c r="Z917" s="20">
        <f>IF($Y917&lt;=Settings!$B$4*3,"C",IF($Y917&lt;=(Settings!$B$4+Settings!$B$5)*3,"A",IF($Y917&lt;=(Settings!$B$4+Settings!$B$5+Settings!$B$6)*3,"F","")))</f>
        <v/>
      </c>
      <c r="AA917" s="20">
        <f>IF($Z917="C",$Y917,IF($Z917="A",$Y917-Settings!$B$4*3,IF($Z917="F",$Y917-(Settings!$B$4+Settings!$B$5)*3,"")))</f>
        <v/>
      </c>
      <c r="AB917" s="20">
        <f>IF($Z917="","",INT(($AA917-1)/3)+1)</f>
        <v/>
      </c>
      <c r="AC917" s="20">
        <f>IF($Z917="","",MOD($AA917-1,3)+1)</f>
        <v/>
      </c>
      <c r="AD917" s="20">
        <f>IF($Z917="","",Settings!$B$2+$AC917-1)</f>
        <v/>
      </c>
      <c r="AE917" s="21">
        <f>IF($Z917="C",DATE(YEAR(INDEX(Contracts!$J$2:$J$151,$AB917)),MONTH(INDEX(Contracts!$J$2:$J$151,$AB917)),1),IF($Z917="A",DATE(YEAR(INDEX(Fixed_Assets!$G$2:$G$201,$AB917)),MONTH(INDEX(Fixed_Assets!$G$2:$G$201,$AB917)),1),IF($Z917="F",DATE(YEAR(MAX(N(INDEX(Workforce!$I$2:$I$151,MATCH(INDEX(FTE_Allocation!$A$2:$A$201,$AB917),Workforce!$A$2:$A$151,0))),N(INDEX(FTE_Allocation!$I$2:$I$201,$AB917)))),MONTH(MAX(N(INDEX(Workforce!$I$2:$I$151,MATCH(INDEX(FTE_Allocation!$A$2:$A$201,$AB917),Workforce!$A$2:$A$151,0))),N(INDEX(FTE_Allocation!$I$2:$I$201,$AB917)))),1),"")))</f>
        <v/>
      </c>
      <c r="AF917" s="21">
        <f>IF($Z917="C",IF(INDEX(Contracts!$I$2:$I$151,$AB917)="PREPAID",EDATE(DATE(YEAR(INDEX(Contracts!$J$2:$J$151,$AB917)),MONTH(INDEX(Contracts!$J$2:$J$151,$AB917)),1),IF(INDEX(Contracts!$N$2:$N$151,$AB917)="",12,INDEX(Contracts!$N$2:$N$151,$AB917))-1),IF(INDEX(Contracts!$I$2:$I$151,$AB917)="MONTHLY",IF(INDEX(Contracts!$K$2:$K$151,$AB917)="",2958101,INDEX(Contracts!$K$2:$K$151,$AB917)),0)),IF($Z917="A",EDATE(DATE(YEAR(INDEX(Fixed_Assets!$G$2:$G$201,$AB917)),MONTH(INDEX(Fixed_Assets!$G$2:$G$201,$AB917)),1),INDEX(Fixed_Assets!$J$2:$J$201,$AB917)-1),IF($Z917="F",MIN(IF(INDEX(Workforce!$J$2:$J$151,MATCH(INDEX(FTE_Allocation!$A$2:$A$201,$AB917),Workforce!$A$2:$A$151,0))="",2958101,INDEX(Workforce!$J$2:$J$151,MATCH(INDEX(FTE_Allocation!$A$2:$A$201,$AB917),Workforce!$A$2:$A$151,0))),IF(INDEX(FTE_Allocation!$J$2:$J$201,$AB917)="",2958101,INDEX(FTE_Allocation!$J$2:$J$201,$AB917))),"")))</f>
        <v/>
      </c>
      <c r="AG917" s="19">
        <f>IF($Z917="C",IF(INDEX(Contracts!$I$2:$I$151,$AB917)="PREPAID",INDEX(Contracts!$M$2:$M$151,$AB917)/IF(INDEX(Contracts!$N$2:$N$151,$AB917)="",12,INDEX(Contracts!$N$2:$N$151,$AB917)),IF(INDEX(Contracts!$I$2:$I$151,$AB917)="MONTHLY",INDEX(Contracts!$M$2:$M$151,$AB917),0))*(1-N(INDEX(Contracts!$O$2:$O$151,$AB917))),IF($Z917="A",INDEX(Fixed_Assets!$H$2:$H$201,$AB917)/INDEX(Fixed_Assets!$J$2:$J$201,$AB917),IF($Z917="F",INDEX(Workforce!$F$2:$F$151,MATCH(INDEX(FTE_Allocation!$A$2:$A$201,$AB917),Workforce!$A$2:$A$151,0))*N(INDEX(FTE_Allocation!$F$2:$H$201,$AB917,$AC917)),"")))</f>
        <v/>
      </c>
    </row>
    <row r="918">
      <c r="A918" s="7">
        <f>IF($Z918="","",$AD918)</f>
        <v/>
      </c>
      <c r="B918" s="7">
        <f>IF($Z918="C",INDEX(Contracts!$D$2:$D$151,$AB918)&amp;"",IF($Z918="A",INDEX(Fixed_Assets!$C$2:$C$201,$AB918)&amp;"",IF($Z918="F",INDEX(Workforce!$B$2:$B$151,MATCH(INDEX(FTE_Allocation!$A$2:$A$201,$AB918),Workforce!$A$2:$A$151,0))&amp;"","")))</f>
        <v/>
      </c>
      <c r="C918" s="7">
        <f>IF($Z918="C",INDEX(Contracts!$E$2:$E$151,$AB918)&amp;"",IF($Z918="A",INDEX(Fixed_Assets!$D$2:$D$201,$AB918)&amp;"",IF($Z918="F",INDEX(FTE_Allocation!$C$2:$C$201,$AB918)&amp;"","")))</f>
        <v/>
      </c>
      <c r="D918" s="7">
        <f>IF($Z918="C",INDEX(Contracts!$B$2:$B$151,$AB918)&amp;"",IF($Z918="A",INDEX(Fixed_Assets!$B$2:$B$201,$AB918)&amp;"",IF($Z918="F",INDEX(FTE_Allocation!$B$2:$B$201,$AB918)&amp;"","")))</f>
        <v/>
      </c>
      <c r="E918" s="7">
        <f>IF($Z918="C",INDEX(Contracts!$P$2:$P$151,$AB918)&amp;"",IF($Z918="A",INDEX(Fixed_Assets!$K$2:$K$201,$AB918)&amp;"",IF($Z918="F",IF(INDEX(FTE_Allocation!$D$2:$D$201,$AB918)="PROJECT",IFERROR(INDEX(Projects!$D:$D,MATCH(INDEX(FTE_Allocation!$E$2:$E$201,$AB918),Projects!$A:$A,0))&amp;"","#PROJECT?"),INDEX(FTE_Allocation!$E$2:$E$201,$AB918)&amp;""),"")))</f>
        <v/>
      </c>
      <c r="F918" s="7">
        <f>IF($Z918="C",INDEX(Contracts!$Q$2:$Q$151,$AB918)&amp;"",IF($Z918="A",INDEX(Fixed_Assets!$L$2:$L$201,$AB918)&amp;"",IF($Z918="F",INDEX(Workforce!$K$2:$K$151,MATCH(INDEX(FTE_Allocation!$A$2:$A$201,$AB918),Workforce!$A$2:$A$151,0))&amp;"","")))</f>
        <v/>
      </c>
      <c r="G918" s="7">
        <f>IF($Z918="C",INDEX(Contracts!$F$2:$F$151,$AB918)&amp;" / "&amp;INDEX(Contracts!$G$2:$G$151,$AB918),IF($Z918="A",INDEX(Fixed_Assets!$E$2:$E$201,$AB918)&amp;"",IF($Z918="F","Personnel "&amp;INDEX(FTE_Allocation!$A$2:$A$201,$AB918)&amp;IF(INDEX(FTE_Allocation!$D$2:$D$201,$AB918)="PROJECT"," ("&amp;INDEX(FTE_Allocation!$E$2:$E$201,$AB918)&amp;")",""),"")))</f>
        <v/>
      </c>
      <c r="H918" s="7">
        <f>IF($Z918="C","CONTRACT",IF($Z918="A","ASSET",IF($Z918="F","WORKFORCE","")))</f>
        <v/>
      </c>
      <c r="I918" s="7">
        <f>IF($Z918="C",INDEX(Contracts!$L$2:$L$151,$AB918)&amp;"",IF($Z918="A",INDEX(Fixed_Assets!$I$2:$I$201,$AB918)&amp;"",IF($Z918="F",INDEX(Workforce!$G$2:$G$151,MATCH(INDEX(FTE_Allocation!$A$2:$A$201,$AB918),Workforce!$A$2:$A$151,0))&amp;"","")))</f>
        <v/>
      </c>
      <c r="J918" s="18">
        <f>IF($Z918="","",IF(AND(DATE($AD918,1,1)&gt;=$AE918,DATE($AD918,1,1)&lt;=$AF918),ROUND($AG918,2),0))</f>
        <v/>
      </c>
      <c r="K918" s="18">
        <f>IF($Z918="","",IF(AND(DATE($AD918,2,1)&gt;=$AE918,DATE($AD918,2,1)&lt;=$AF918),ROUND($AG918,2),0))</f>
        <v/>
      </c>
      <c r="L918" s="18">
        <f>IF($Z918="","",IF(AND(DATE($AD918,3,1)&gt;=$AE918,DATE($AD918,3,1)&lt;=$AF918),ROUND($AG918,2),0))</f>
        <v/>
      </c>
      <c r="M918" s="18">
        <f>IF($Z918="","",IF(AND(DATE($AD918,4,1)&gt;=$AE918,DATE($AD918,4,1)&lt;=$AF918),ROUND($AG918,2),0))</f>
        <v/>
      </c>
      <c r="N918" s="18">
        <f>IF($Z918="","",IF(AND(DATE($AD918,5,1)&gt;=$AE918,DATE($AD918,5,1)&lt;=$AF918),ROUND($AG918,2),0))</f>
        <v/>
      </c>
      <c r="O918" s="18">
        <f>IF($Z918="","",IF(AND(DATE($AD918,6,1)&gt;=$AE918,DATE($AD918,6,1)&lt;=$AF918),ROUND($AG918,2),0))</f>
        <v/>
      </c>
      <c r="P918" s="18">
        <f>IF($Z918="","",IF(AND(DATE($AD918,7,1)&gt;=$AE918,DATE($AD918,7,1)&lt;=$AF918),ROUND($AG918,2),0))</f>
        <v/>
      </c>
      <c r="Q918" s="18">
        <f>IF($Z918="","",IF(AND(DATE($AD918,8,1)&gt;=$AE918,DATE($AD918,8,1)&lt;=$AF918),ROUND($AG918,2),0))</f>
        <v/>
      </c>
      <c r="R918" s="18">
        <f>IF($Z918="","",IF(AND(DATE($AD918,9,1)&gt;=$AE918,DATE($AD918,9,1)&lt;=$AF918),ROUND($AG918,2),0))</f>
        <v/>
      </c>
      <c r="S918" s="18">
        <f>IF($Z918="","",IF(AND(DATE($AD918,10,1)&gt;=$AE918,DATE($AD918,10,1)&lt;=$AF918),ROUND($AG918,2),0))</f>
        <v/>
      </c>
      <c r="T918" s="18">
        <f>IF($Z918="","",IF(AND(DATE($AD918,11,1)&gt;=$AE918,DATE($AD918,11,1)&lt;=$AF918),ROUND($AG918,2),0))</f>
        <v/>
      </c>
      <c r="U918" s="18">
        <f>IF($Z918="","",IF(AND(DATE($AD918,12,1)&gt;=$AE918,DATE($AD918,12,1)&lt;=$AF918),ROUND($AG918,2),0))</f>
        <v/>
      </c>
      <c r="V918" s="7">
        <f>IF($Z918="C","Generated from "&amp;INDEX(Contracts!$A$2:$A$151,$AB918),IF($Z918="A","Generated from "&amp;INDEX(Fixed_Assets!$A$2:$A$201,$AB918),IF($Z918="F","Generated from "&amp;INDEX(FTE_Allocation!$A$2:$A$201,$AB918),"")))</f>
        <v/>
      </c>
      <c r="X918" s="19">
        <f>IF($Z918="","",SUM(J918:U918))</f>
        <v/>
      </c>
      <c r="Y918" s="20">
        <f>ROW()-1</f>
        <v/>
      </c>
      <c r="Z918" s="20">
        <f>IF($Y918&lt;=Settings!$B$4*3,"C",IF($Y918&lt;=(Settings!$B$4+Settings!$B$5)*3,"A",IF($Y918&lt;=(Settings!$B$4+Settings!$B$5+Settings!$B$6)*3,"F","")))</f>
        <v/>
      </c>
      <c r="AA918" s="20">
        <f>IF($Z918="C",$Y918,IF($Z918="A",$Y918-Settings!$B$4*3,IF($Z918="F",$Y918-(Settings!$B$4+Settings!$B$5)*3,"")))</f>
        <v/>
      </c>
      <c r="AB918" s="20">
        <f>IF($Z918="","",INT(($AA918-1)/3)+1)</f>
        <v/>
      </c>
      <c r="AC918" s="20">
        <f>IF($Z918="","",MOD($AA918-1,3)+1)</f>
        <v/>
      </c>
      <c r="AD918" s="20">
        <f>IF($Z918="","",Settings!$B$2+$AC918-1)</f>
        <v/>
      </c>
      <c r="AE918" s="21">
        <f>IF($Z918="C",DATE(YEAR(INDEX(Contracts!$J$2:$J$151,$AB918)),MONTH(INDEX(Contracts!$J$2:$J$151,$AB918)),1),IF($Z918="A",DATE(YEAR(INDEX(Fixed_Assets!$G$2:$G$201,$AB918)),MONTH(INDEX(Fixed_Assets!$G$2:$G$201,$AB918)),1),IF($Z918="F",DATE(YEAR(MAX(N(INDEX(Workforce!$I$2:$I$151,MATCH(INDEX(FTE_Allocation!$A$2:$A$201,$AB918),Workforce!$A$2:$A$151,0))),N(INDEX(FTE_Allocation!$I$2:$I$201,$AB918)))),MONTH(MAX(N(INDEX(Workforce!$I$2:$I$151,MATCH(INDEX(FTE_Allocation!$A$2:$A$201,$AB918),Workforce!$A$2:$A$151,0))),N(INDEX(FTE_Allocation!$I$2:$I$201,$AB918)))),1),"")))</f>
        <v/>
      </c>
      <c r="AF918" s="21">
        <f>IF($Z918="C",IF(INDEX(Contracts!$I$2:$I$151,$AB918)="PREPAID",EDATE(DATE(YEAR(INDEX(Contracts!$J$2:$J$151,$AB918)),MONTH(INDEX(Contracts!$J$2:$J$151,$AB918)),1),IF(INDEX(Contracts!$N$2:$N$151,$AB918)="",12,INDEX(Contracts!$N$2:$N$151,$AB918))-1),IF(INDEX(Contracts!$I$2:$I$151,$AB918)="MONTHLY",IF(INDEX(Contracts!$K$2:$K$151,$AB918)="",2958101,INDEX(Contracts!$K$2:$K$151,$AB918)),0)),IF($Z918="A",EDATE(DATE(YEAR(INDEX(Fixed_Assets!$G$2:$G$201,$AB918)),MONTH(INDEX(Fixed_Assets!$G$2:$G$201,$AB918)),1),INDEX(Fixed_Assets!$J$2:$J$201,$AB918)-1),IF($Z918="F",MIN(IF(INDEX(Workforce!$J$2:$J$151,MATCH(INDEX(FTE_Allocation!$A$2:$A$201,$AB918),Workforce!$A$2:$A$151,0))="",2958101,INDEX(Workforce!$J$2:$J$151,MATCH(INDEX(FTE_Allocation!$A$2:$A$201,$AB918),Workforce!$A$2:$A$151,0))),IF(INDEX(FTE_Allocation!$J$2:$J$201,$AB918)="",2958101,INDEX(FTE_Allocation!$J$2:$J$201,$AB918))),"")))</f>
        <v/>
      </c>
      <c r="AG918" s="19">
        <f>IF($Z918="C",IF(INDEX(Contracts!$I$2:$I$151,$AB918)="PREPAID",INDEX(Contracts!$M$2:$M$151,$AB918)/IF(INDEX(Contracts!$N$2:$N$151,$AB918)="",12,INDEX(Contracts!$N$2:$N$151,$AB918)),IF(INDEX(Contracts!$I$2:$I$151,$AB918)="MONTHLY",INDEX(Contracts!$M$2:$M$151,$AB918),0))*(1-N(INDEX(Contracts!$O$2:$O$151,$AB918))),IF($Z918="A",INDEX(Fixed_Assets!$H$2:$H$201,$AB918)/INDEX(Fixed_Assets!$J$2:$J$201,$AB918),IF($Z918="F",INDEX(Workforce!$F$2:$F$151,MATCH(INDEX(FTE_Allocation!$A$2:$A$201,$AB918),Workforce!$A$2:$A$151,0))*N(INDEX(FTE_Allocation!$F$2:$H$201,$AB918,$AC918)),"")))</f>
        <v/>
      </c>
    </row>
    <row r="919">
      <c r="A919" s="7">
        <f>IF($Z919="","",$AD919)</f>
        <v/>
      </c>
      <c r="B919" s="7">
        <f>IF($Z919="C",INDEX(Contracts!$D$2:$D$151,$AB919)&amp;"",IF($Z919="A",INDEX(Fixed_Assets!$C$2:$C$201,$AB919)&amp;"",IF($Z919="F",INDEX(Workforce!$B$2:$B$151,MATCH(INDEX(FTE_Allocation!$A$2:$A$201,$AB919),Workforce!$A$2:$A$151,0))&amp;"","")))</f>
        <v/>
      </c>
      <c r="C919" s="7">
        <f>IF($Z919="C",INDEX(Contracts!$E$2:$E$151,$AB919)&amp;"",IF($Z919="A",INDEX(Fixed_Assets!$D$2:$D$201,$AB919)&amp;"",IF($Z919="F",INDEX(FTE_Allocation!$C$2:$C$201,$AB919)&amp;"","")))</f>
        <v/>
      </c>
      <c r="D919" s="7">
        <f>IF($Z919="C",INDEX(Contracts!$B$2:$B$151,$AB919)&amp;"",IF($Z919="A",INDEX(Fixed_Assets!$B$2:$B$201,$AB919)&amp;"",IF($Z919="F",INDEX(FTE_Allocation!$B$2:$B$201,$AB919)&amp;"","")))</f>
        <v/>
      </c>
      <c r="E919" s="7">
        <f>IF($Z919="C",INDEX(Contracts!$P$2:$P$151,$AB919)&amp;"",IF($Z919="A",INDEX(Fixed_Assets!$K$2:$K$201,$AB919)&amp;"",IF($Z919="F",IF(INDEX(FTE_Allocation!$D$2:$D$201,$AB919)="PROJECT",IFERROR(INDEX(Projects!$D:$D,MATCH(INDEX(FTE_Allocation!$E$2:$E$201,$AB919),Projects!$A:$A,0))&amp;"","#PROJECT?"),INDEX(FTE_Allocation!$E$2:$E$201,$AB919)&amp;""),"")))</f>
        <v/>
      </c>
      <c r="F919" s="7">
        <f>IF($Z919="C",INDEX(Contracts!$Q$2:$Q$151,$AB919)&amp;"",IF($Z919="A",INDEX(Fixed_Assets!$L$2:$L$201,$AB919)&amp;"",IF($Z919="F",INDEX(Workforce!$K$2:$K$151,MATCH(INDEX(FTE_Allocation!$A$2:$A$201,$AB919),Workforce!$A$2:$A$151,0))&amp;"","")))</f>
        <v/>
      </c>
      <c r="G919" s="7">
        <f>IF($Z919="C",INDEX(Contracts!$F$2:$F$151,$AB919)&amp;" / "&amp;INDEX(Contracts!$G$2:$G$151,$AB919),IF($Z919="A",INDEX(Fixed_Assets!$E$2:$E$201,$AB919)&amp;"",IF($Z919="F","Personnel "&amp;INDEX(FTE_Allocation!$A$2:$A$201,$AB919)&amp;IF(INDEX(FTE_Allocation!$D$2:$D$201,$AB919)="PROJECT"," ("&amp;INDEX(FTE_Allocation!$E$2:$E$201,$AB919)&amp;")",""),"")))</f>
        <v/>
      </c>
      <c r="H919" s="7">
        <f>IF($Z919="C","CONTRACT",IF($Z919="A","ASSET",IF($Z919="F","WORKFORCE","")))</f>
        <v/>
      </c>
      <c r="I919" s="7">
        <f>IF($Z919="C",INDEX(Contracts!$L$2:$L$151,$AB919)&amp;"",IF($Z919="A",INDEX(Fixed_Assets!$I$2:$I$201,$AB919)&amp;"",IF($Z919="F",INDEX(Workforce!$G$2:$G$151,MATCH(INDEX(FTE_Allocation!$A$2:$A$201,$AB919),Workforce!$A$2:$A$151,0))&amp;"","")))</f>
        <v/>
      </c>
      <c r="J919" s="18">
        <f>IF($Z919="","",IF(AND(DATE($AD919,1,1)&gt;=$AE919,DATE($AD919,1,1)&lt;=$AF919),ROUND($AG919,2),0))</f>
        <v/>
      </c>
      <c r="K919" s="18">
        <f>IF($Z919="","",IF(AND(DATE($AD919,2,1)&gt;=$AE919,DATE($AD919,2,1)&lt;=$AF919),ROUND($AG919,2),0))</f>
        <v/>
      </c>
      <c r="L919" s="18">
        <f>IF($Z919="","",IF(AND(DATE($AD919,3,1)&gt;=$AE919,DATE($AD919,3,1)&lt;=$AF919),ROUND($AG919,2),0))</f>
        <v/>
      </c>
      <c r="M919" s="18">
        <f>IF($Z919="","",IF(AND(DATE($AD919,4,1)&gt;=$AE919,DATE($AD919,4,1)&lt;=$AF919),ROUND($AG919,2),0))</f>
        <v/>
      </c>
      <c r="N919" s="18">
        <f>IF($Z919="","",IF(AND(DATE($AD919,5,1)&gt;=$AE919,DATE($AD919,5,1)&lt;=$AF919),ROUND($AG919,2),0))</f>
        <v/>
      </c>
      <c r="O919" s="18">
        <f>IF($Z919="","",IF(AND(DATE($AD919,6,1)&gt;=$AE919,DATE($AD919,6,1)&lt;=$AF919),ROUND($AG919,2),0))</f>
        <v/>
      </c>
      <c r="P919" s="18">
        <f>IF($Z919="","",IF(AND(DATE($AD919,7,1)&gt;=$AE919,DATE($AD919,7,1)&lt;=$AF919),ROUND($AG919,2),0))</f>
        <v/>
      </c>
      <c r="Q919" s="18">
        <f>IF($Z919="","",IF(AND(DATE($AD919,8,1)&gt;=$AE919,DATE($AD919,8,1)&lt;=$AF919),ROUND($AG919,2),0))</f>
        <v/>
      </c>
      <c r="R919" s="18">
        <f>IF($Z919="","",IF(AND(DATE($AD919,9,1)&gt;=$AE919,DATE($AD919,9,1)&lt;=$AF919),ROUND($AG919,2),0))</f>
        <v/>
      </c>
      <c r="S919" s="18">
        <f>IF($Z919="","",IF(AND(DATE($AD919,10,1)&gt;=$AE919,DATE($AD919,10,1)&lt;=$AF919),ROUND($AG919,2),0))</f>
        <v/>
      </c>
      <c r="T919" s="18">
        <f>IF($Z919="","",IF(AND(DATE($AD919,11,1)&gt;=$AE919,DATE($AD919,11,1)&lt;=$AF919),ROUND($AG919,2),0))</f>
        <v/>
      </c>
      <c r="U919" s="18">
        <f>IF($Z919="","",IF(AND(DATE($AD919,12,1)&gt;=$AE919,DATE($AD919,12,1)&lt;=$AF919),ROUND($AG919,2),0))</f>
        <v/>
      </c>
      <c r="V919" s="7">
        <f>IF($Z919="C","Generated from "&amp;INDEX(Contracts!$A$2:$A$151,$AB919),IF($Z919="A","Generated from "&amp;INDEX(Fixed_Assets!$A$2:$A$201,$AB919),IF($Z919="F","Generated from "&amp;INDEX(FTE_Allocation!$A$2:$A$201,$AB919),"")))</f>
        <v/>
      </c>
      <c r="X919" s="19">
        <f>IF($Z919="","",SUM(J919:U919))</f>
        <v/>
      </c>
      <c r="Y919" s="20">
        <f>ROW()-1</f>
        <v/>
      </c>
      <c r="Z919" s="20">
        <f>IF($Y919&lt;=Settings!$B$4*3,"C",IF($Y919&lt;=(Settings!$B$4+Settings!$B$5)*3,"A",IF($Y919&lt;=(Settings!$B$4+Settings!$B$5+Settings!$B$6)*3,"F","")))</f>
        <v/>
      </c>
      <c r="AA919" s="20">
        <f>IF($Z919="C",$Y919,IF($Z919="A",$Y919-Settings!$B$4*3,IF($Z919="F",$Y919-(Settings!$B$4+Settings!$B$5)*3,"")))</f>
        <v/>
      </c>
      <c r="AB919" s="20">
        <f>IF($Z919="","",INT(($AA919-1)/3)+1)</f>
        <v/>
      </c>
      <c r="AC919" s="20">
        <f>IF($Z919="","",MOD($AA919-1,3)+1)</f>
        <v/>
      </c>
      <c r="AD919" s="20">
        <f>IF($Z919="","",Settings!$B$2+$AC919-1)</f>
        <v/>
      </c>
      <c r="AE919" s="21">
        <f>IF($Z919="C",DATE(YEAR(INDEX(Contracts!$J$2:$J$151,$AB919)),MONTH(INDEX(Contracts!$J$2:$J$151,$AB919)),1),IF($Z919="A",DATE(YEAR(INDEX(Fixed_Assets!$G$2:$G$201,$AB919)),MONTH(INDEX(Fixed_Assets!$G$2:$G$201,$AB919)),1),IF($Z919="F",DATE(YEAR(MAX(N(INDEX(Workforce!$I$2:$I$151,MATCH(INDEX(FTE_Allocation!$A$2:$A$201,$AB919),Workforce!$A$2:$A$151,0))),N(INDEX(FTE_Allocation!$I$2:$I$201,$AB919)))),MONTH(MAX(N(INDEX(Workforce!$I$2:$I$151,MATCH(INDEX(FTE_Allocation!$A$2:$A$201,$AB919),Workforce!$A$2:$A$151,0))),N(INDEX(FTE_Allocation!$I$2:$I$201,$AB919)))),1),"")))</f>
        <v/>
      </c>
      <c r="AF919" s="21">
        <f>IF($Z919="C",IF(INDEX(Contracts!$I$2:$I$151,$AB919)="PREPAID",EDATE(DATE(YEAR(INDEX(Contracts!$J$2:$J$151,$AB919)),MONTH(INDEX(Contracts!$J$2:$J$151,$AB919)),1),IF(INDEX(Contracts!$N$2:$N$151,$AB919)="",12,INDEX(Contracts!$N$2:$N$151,$AB919))-1),IF(INDEX(Contracts!$I$2:$I$151,$AB919)="MONTHLY",IF(INDEX(Contracts!$K$2:$K$151,$AB919)="",2958101,INDEX(Contracts!$K$2:$K$151,$AB919)),0)),IF($Z919="A",EDATE(DATE(YEAR(INDEX(Fixed_Assets!$G$2:$G$201,$AB919)),MONTH(INDEX(Fixed_Assets!$G$2:$G$201,$AB919)),1),INDEX(Fixed_Assets!$J$2:$J$201,$AB919)-1),IF($Z919="F",MIN(IF(INDEX(Workforce!$J$2:$J$151,MATCH(INDEX(FTE_Allocation!$A$2:$A$201,$AB919),Workforce!$A$2:$A$151,0))="",2958101,INDEX(Workforce!$J$2:$J$151,MATCH(INDEX(FTE_Allocation!$A$2:$A$201,$AB919),Workforce!$A$2:$A$151,0))),IF(INDEX(FTE_Allocation!$J$2:$J$201,$AB919)="",2958101,INDEX(FTE_Allocation!$J$2:$J$201,$AB919))),"")))</f>
        <v/>
      </c>
      <c r="AG919" s="19">
        <f>IF($Z919="C",IF(INDEX(Contracts!$I$2:$I$151,$AB919)="PREPAID",INDEX(Contracts!$M$2:$M$151,$AB919)/IF(INDEX(Contracts!$N$2:$N$151,$AB919)="",12,INDEX(Contracts!$N$2:$N$151,$AB919)),IF(INDEX(Contracts!$I$2:$I$151,$AB919)="MONTHLY",INDEX(Contracts!$M$2:$M$151,$AB919),0))*(1-N(INDEX(Contracts!$O$2:$O$151,$AB919))),IF($Z919="A",INDEX(Fixed_Assets!$H$2:$H$201,$AB919)/INDEX(Fixed_Assets!$J$2:$J$201,$AB919),IF($Z919="F",INDEX(Workforce!$F$2:$F$151,MATCH(INDEX(FTE_Allocation!$A$2:$A$201,$AB919),Workforce!$A$2:$A$151,0))*N(INDEX(FTE_Allocation!$F$2:$H$201,$AB919,$AC919)),"")))</f>
        <v/>
      </c>
    </row>
    <row r="920">
      <c r="A920" s="7">
        <f>IF($Z920="","",$AD920)</f>
        <v/>
      </c>
      <c r="B920" s="7">
        <f>IF($Z920="C",INDEX(Contracts!$D$2:$D$151,$AB920)&amp;"",IF($Z920="A",INDEX(Fixed_Assets!$C$2:$C$201,$AB920)&amp;"",IF($Z920="F",INDEX(Workforce!$B$2:$B$151,MATCH(INDEX(FTE_Allocation!$A$2:$A$201,$AB920),Workforce!$A$2:$A$151,0))&amp;"","")))</f>
        <v/>
      </c>
      <c r="C920" s="7">
        <f>IF($Z920="C",INDEX(Contracts!$E$2:$E$151,$AB920)&amp;"",IF($Z920="A",INDEX(Fixed_Assets!$D$2:$D$201,$AB920)&amp;"",IF($Z920="F",INDEX(FTE_Allocation!$C$2:$C$201,$AB920)&amp;"","")))</f>
        <v/>
      </c>
      <c r="D920" s="7">
        <f>IF($Z920="C",INDEX(Contracts!$B$2:$B$151,$AB920)&amp;"",IF($Z920="A",INDEX(Fixed_Assets!$B$2:$B$201,$AB920)&amp;"",IF($Z920="F",INDEX(FTE_Allocation!$B$2:$B$201,$AB920)&amp;"","")))</f>
        <v/>
      </c>
      <c r="E920" s="7">
        <f>IF($Z920="C",INDEX(Contracts!$P$2:$P$151,$AB920)&amp;"",IF($Z920="A",INDEX(Fixed_Assets!$K$2:$K$201,$AB920)&amp;"",IF($Z920="F",IF(INDEX(FTE_Allocation!$D$2:$D$201,$AB920)="PROJECT",IFERROR(INDEX(Projects!$D:$D,MATCH(INDEX(FTE_Allocation!$E$2:$E$201,$AB920),Projects!$A:$A,0))&amp;"","#PROJECT?"),INDEX(FTE_Allocation!$E$2:$E$201,$AB920)&amp;""),"")))</f>
        <v/>
      </c>
      <c r="F920" s="7">
        <f>IF($Z920="C",INDEX(Contracts!$Q$2:$Q$151,$AB920)&amp;"",IF($Z920="A",INDEX(Fixed_Assets!$L$2:$L$201,$AB920)&amp;"",IF($Z920="F",INDEX(Workforce!$K$2:$K$151,MATCH(INDEX(FTE_Allocation!$A$2:$A$201,$AB920),Workforce!$A$2:$A$151,0))&amp;"","")))</f>
        <v/>
      </c>
      <c r="G920" s="7">
        <f>IF($Z920="C",INDEX(Contracts!$F$2:$F$151,$AB920)&amp;" / "&amp;INDEX(Contracts!$G$2:$G$151,$AB920),IF($Z920="A",INDEX(Fixed_Assets!$E$2:$E$201,$AB920)&amp;"",IF($Z920="F","Personnel "&amp;INDEX(FTE_Allocation!$A$2:$A$201,$AB920)&amp;IF(INDEX(FTE_Allocation!$D$2:$D$201,$AB920)="PROJECT"," ("&amp;INDEX(FTE_Allocation!$E$2:$E$201,$AB920)&amp;")",""),"")))</f>
        <v/>
      </c>
      <c r="H920" s="7">
        <f>IF($Z920="C","CONTRACT",IF($Z920="A","ASSET",IF($Z920="F","WORKFORCE","")))</f>
        <v/>
      </c>
      <c r="I920" s="7">
        <f>IF($Z920="C",INDEX(Contracts!$L$2:$L$151,$AB920)&amp;"",IF($Z920="A",INDEX(Fixed_Assets!$I$2:$I$201,$AB920)&amp;"",IF($Z920="F",INDEX(Workforce!$G$2:$G$151,MATCH(INDEX(FTE_Allocation!$A$2:$A$201,$AB920),Workforce!$A$2:$A$151,0))&amp;"","")))</f>
        <v/>
      </c>
      <c r="J920" s="18">
        <f>IF($Z920="","",IF(AND(DATE($AD920,1,1)&gt;=$AE920,DATE($AD920,1,1)&lt;=$AF920),ROUND($AG920,2),0))</f>
        <v/>
      </c>
      <c r="K920" s="18">
        <f>IF($Z920="","",IF(AND(DATE($AD920,2,1)&gt;=$AE920,DATE($AD920,2,1)&lt;=$AF920),ROUND($AG920,2),0))</f>
        <v/>
      </c>
      <c r="L920" s="18">
        <f>IF($Z920="","",IF(AND(DATE($AD920,3,1)&gt;=$AE920,DATE($AD920,3,1)&lt;=$AF920),ROUND($AG920,2),0))</f>
        <v/>
      </c>
      <c r="M920" s="18">
        <f>IF($Z920="","",IF(AND(DATE($AD920,4,1)&gt;=$AE920,DATE($AD920,4,1)&lt;=$AF920),ROUND($AG920,2),0))</f>
        <v/>
      </c>
      <c r="N920" s="18">
        <f>IF($Z920="","",IF(AND(DATE($AD920,5,1)&gt;=$AE920,DATE($AD920,5,1)&lt;=$AF920),ROUND($AG920,2),0))</f>
        <v/>
      </c>
      <c r="O920" s="18">
        <f>IF($Z920="","",IF(AND(DATE($AD920,6,1)&gt;=$AE920,DATE($AD920,6,1)&lt;=$AF920),ROUND($AG920,2),0))</f>
        <v/>
      </c>
      <c r="P920" s="18">
        <f>IF($Z920="","",IF(AND(DATE($AD920,7,1)&gt;=$AE920,DATE($AD920,7,1)&lt;=$AF920),ROUND($AG920,2),0))</f>
        <v/>
      </c>
      <c r="Q920" s="18">
        <f>IF($Z920="","",IF(AND(DATE($AD920,8,1)&gt;=$AE920,DATE($AD920,8,1)&lt;=$AF920),ROUND($AG920,2),0))</f>
        <v/>
      </c>
      <c r="R920" s="18">
        <f>IF($Z920="","",IF(AND(DATE($AD920,9,1)&gt;=$AE920,DATE($AD920,9,1)&lt;=$AF920),ROUND($AG920,2),0))</f>
        <v/>
      </c>
      <c r="S920" s="18">
        <f>IF($Z920="","",IF(AND(DATE($AD920,10,1)&gt;=$AE920,DATE($AD920,10,1)&lt;=$AF920),ROUND($AG920,2),0))</f>
        <v/>
      </c>
      <c r="T920" s="18">
        <f>IF($Z920="","",IF(AND(DATE($AD920,11,1)&gt;=$AE920,DATE($AD920,11,1)&lt;=$AF920),ROUND($AG920,2),0))</f>
        <v/>
      </c>
      <c r="U920" s="18">
        <f>IF($Z920="","",IF(AND(DATE($AD920,12,1)&gt;=$AE920,DATE($AD920,12,1)&lt;=$AF920),ROUND($AG920,2),0))</f>
        <v/>
      </c>
      <c r="V920" s="7">
        <f>IF($Z920="C","Generated from "&amp;INDEX(Contracts!$A$2:$A$151,$AB920),IF($Z920="A","Generated from "&amp;INDEX(Fixed_Assets!$A$2:$A$201,$AB920),IF($Z920="F","Generated from "&amp;INDEX(FTE_Allocation!$A$2:$A$201,$AB920),"")))</f>
        <v/>
      </c>
      <c r="X920" s="19">
        <f>IF($Z920="","",SUM(J920:U920))</f>
        <v/>
      </c>
      <c r="Y920" s="20">
        <f>ROW()-1</f>
        <v/>
      </c>
      <c r="Z920" s="20">
        <f>IF($Y920&lt;=Settings!$B$4*3,"C",IF($Y920&lt;=(Settings!$B$4+Settings!$B$5)*3,"A",IF($Y920&lt;=(Settings!$B$4+Settings!$B$5+Settings!$B$6)*3,"F","")))</f>
        <v/>
      </c>
      <c r="AA920" s="20">
        <f>IF($Z920="C",$Y920,IF($Z920="A",$Y920-Settings!$B$4*3,IF($Z920="F",$Y920-(Settings!$B$4+Settings!$B$5)*3,"")))</f>
        <v/>
      </c>
      <c r="AB920" s="20">
        <f>IF($Z920="","",INT(($AA920-1)/3)+1)</f>
        <v/>
      </c>
      <c r="AC920" s="20">
        <f>IF($Z920="","",MOD($AA920-1,3)+1)</f>
        <v/>
      </c>
      <c r="AD920" s="20">
        <f>IF($Z920="","",Settings!$B$2+$AC920-1)</f>
        <v/>
      </c>
      <c r="AE920" s="21">
        <f>IF($Z920="C",DATE(YEAR(INDEX(Contracts!$J$2:$J$151,$AB920)),MONTH(INDEX(Contracts!$J$2:$J$151,$AB920)),1),IF($Z920="A",DATE(YEAR(INDEX(Fixed_Assets!$G$2:$G$201,$AB920)),MONTH(INDEX(Fixed_Assets!$G$2:$G$201,$AB920)),1),IF($Z920="F",DATE(YEAR(MAX(N(INDEX(Workforce!$I$2:$I$151,MATCH(INDEX(FTE_Allocation!$A$2:$A$201,$AB920),Workforce!$A$2:$A$151,0))),N(INDEX(FTE_Allocation!$I$2:$I$201,$AB920)))),MONTH(MAX(N(INDEX(Workforce!$I$2:$I$151,MATCH(INDEX(FTE_Allocation!$A$2:$A$201,$AB920),Workforce!$A$2:$A$151,0))),N(INDEX(FTE_Allocation!$I$2:$I$201,$AB920)))),1),"")))</f>
        <v/>
      </c>
      <c r="AF920" s="21">
        <f>IF($Z920="C",IF(INDEX(Contracts!$I$2:$I$151,$AB920)="PREPAID",EDATE(DATE(YEAR(INDEX(Contracts!$J$2:$J$151,$AB920)),MONTH(INDEX(Contracts!$J$2:$J$151,$AB920)),1),IF(INDEX(Contracts!$N$2:$N$151,$AB920)="",12,INDEX(Contracts!$N$2:$N$151,$AB920))-1),IF(INDEX(Contracts!$I$2:$I$151,$AB920)="MONTHLY",IF(INDEX(Contracts!$K$2:$K$151,$AB920)="",2958101,INDEX(Contracts!$K$2:$K$151,$AB920)),0)),IF($Z920="A",EDATE(DATE(YEAR(INDEX(Fixed_Assets!$G$2:$G$201,$AB920)),MONTH(INDEX(Fixed_Assets!$G$2:$G$201,$AB920)),1),INDEX(Fixed_Assets!$J$2:$J$201,$AB920)-1),IF($Z920="F",MIN(IF(INDEX(Workforce!$J$2:$J$151,MATCH(INDEX(FTE_Allocation!$A$2:$A$201,$AB920),Workforce!$A$2:$A$151,0))="",2958101,INDEX(Workforce!$J$2:$J$151,MATCH(INDEX(FTE_Allocation!$A$2:$A$201,$AB920),Workforce!$A$2:$A$151,0))),IF(INDEX(FTE_Allocation!$J$2:$J$201,$AB920)="",2958101,INDEX(FTE_Allocation!$J$2:$J$201,$AB920))),"")))</f>
        <v/>
      </c>
      <c r="AG920" s="19">
        <f>IF($Z920="C",IF(INDEX(Contracts!$I$2:$I$151,$AB920)="PREPAID",INDEX(Contracts!$M$2:$M$151,$AB920)/IF(INDEX(Contracts!$N$2:$N$151,$AB920)="",12,INDEX(Contracts!$N$2:$N$151,$AB920)),IF(INDEX(Contracts!$I$2:$I$151,$AB920)="MONTHLY",INDEX(Contracts!$M$2:$M$151,$AB920),0))*(1-N(INDEX(Contracts!$O$2:$O$151,$AB920))),IF($Z920="A",INDEX(Fixed_Assets!$H$2:$H$201,$AB920)/INDEX(Fixed_Assets!$J$2:$J$201,$AB920),IF($Z920="F",INDEX(Workforce!$F$2:$F$151,MATCH(INDEX(FTE_Allocation!$A$2:$A$201,$AB920),Workforce!$A$2:$A$151,0))*N(INDEX(FTE_Allocation!$F$2:$H$201,$AB920,$AC920)),"")))</f>
        <v/>
      </c>
    </row>
    <row r="921">
      <c r="A921" s="7">
        <f>IF($Z921="","",$AD921)</f>
        <v/>
      </c>
      <c r="B921" s="7">
        <f>IF($Z921="C",INDEX(Contracts!$D$2:$D$151,$AB921)&amp;"",IF($Z921="A",INDEX(Fixed_Assets!$C$2:$C$201,$AB921)&amp;"",IF($Z921="F",INDEX(Workforce!$B$2:$B$151,MATCH(INDEX(FTE_Allocation!$A$2:$A$201,$AB921),Workforce!$A$2:$A$151,0))&amp;"","")))</f>
        <v/>
      </c>
      <c r="C921" s="7">
        <f>IF($Z921="C",INDEX(Contracts!$E$2:$E$151,$AB921)&amp;"",IF($Z921="A",INDEX(Fixed_Assets!$D$2:$D$201,$AB921)&amp;"",IF($Z921="F",INDEX(FTE_Allocation!$C$2:$C$201,$AB921)&amp;"","")))</f>
        <v/>
      </c>
      <c r="D921" s="7">
        <f>IF($Z921="C",INDEX(Contracts!$B$2:$B$151,$AB921)&amp;"",IF($Z921="A",INDEX(Fixed_Assets!$B$2:$B$201,$AB921)&amp;"",IF($Z921="F",INDEX(FTE_Allocation!$B$2:$B$201,$AB921)&amp;"","")))</f>
        <v/>
      </c>
      <c r="E921" s="7">
        <f>IF($Z921="C",INDEX(Contracts!$P$2:$P$151,$AB921)&amp;"",IF($Z921="A",INDEX(Fixed_Assets!$K$2:$K$201,$AB921)&amp;"",IF($Z921="F",IF(INDEX(FTE_Allocation!$D$2:$D$201,$AB921)="PROJECT",IFERROR(INDEX(Projects!$D:$D,MATCH(INDEX(FTE_Allocation!$E$2:$E$201,$AB921),Projects!$A:$A,0))&amp;"","#PROJECT?"),INDEX(FTE_Allocation!$E$2:$E$201,$AB921)&amp;""),"")))</f>
        <v/>
      </c>
      <c r="F921" s="7">
        <f>IF($Z921="C",INDEX(Contracts!$Q$2:$Q$151,$AB921)&amp;"",IF($Z921="A",INDEX(Fixed_Assets!$L$2:$L$201,$AB921)&amp;"",IF($Z921="F",INDEX(Workforce!$K$2:$K$151,MATCH(INDEX(FTE_Allocation!$A$2:$A$201,$AB921),Workforce!$A$2:$A$151,0))&amp;"","")))</f>
        <v/>
      </c>
      <c r="G921" s="7">
        <f>IF($Z921="C",INDEX(Contracts!$F$2:$F$151,$AB921)&amp;" / "&amp;INDEX(Contracts!$G$2:$G$151,$AB921),IF($Z921="A",INDEX(Fixed_Assets!$E$2:$E$201,$AB921)&amp;"",IF($Z921="F","Personnel "&amp;INDEX(FTE_Allocation!$A$2:$A$201,$AB921)&amp;IF(INDEX(FTE_Allocation!$D$2:$D$201,$AB921)="PROJECT"," ("&amp;INDEX(FTE_Allocation!$E$2:$E$201,$AB921)&amp;")",""),"")))</f>
        <v/>
      </c>
      <c r="H921" s="7">
        <f>IF($Z921="C","CONTRACT",IF($Z921="A","ASSET",IF($Z921="F","WORKFORCE","")))</f>
        <v/>
      </c>
      <c r="I921" s="7">
        <f>IF($Z921="C",INDEX(Contracts!$L$2:$L$151,$AB921)&amp;"",IF($Z921="A",INDEX(Fixed_Assets!$I$2:$I$201,$AB921)&amp;"",IF($Z921="F",INDEX(Workforce!$G$2:$G$151,MATCH(INDEX(FTE_Allocation!$A$2:$A$201,$AB921),Workforce!$A$2:$A$151,0))&amp;"","")))</f>
        <v/>
      </c>
      <c r="J921" s="18">
        <f>IF($Z921="","",IF(AND(DATE($AD921,1,1)&gt;=$AE921,DATE($AD921,1,1)&lt;=$AF921),ROUND($AG921,2),0))</f>
        <v/>
      </c>
      <c r="K921" s="18">
        <f>IF($Z921="","",IF(AND(DATE($AD921,2,1)&gt;=$AE921,DATE($AD921,2,1)&lt;=$AF921),ROUND($AG921,2),0))</f>
        <v/>
      </c>
      <c r="L921" s="18">
        <f>IF($Z921="","",IF(AND(DATE($AD921,3,1)&gt;=$AE921,DATE($AD921,3,1)&lt;=$AF921),ROUND($AG921,2),0))</f>
        <v/>
      </c>
      <c r="M921" s="18">
        <f>IF($Z921="","",IF(AND(DATE($AD921,4,1)&gt;=$AE921,DATE($AD921,4,1)&lt;=$AF921),ROUND($AG921,2),0))</f>
        <v/>
      </c>
      <c r="N921" s="18">
        <f>IF($Z921="","",IF(AND(DATE($AD921,5,1)&gt;=$AE921,DATE($AD921,5,1)&lt;=$AF921),ROUND($AG921,2),0))</f>
        <v/>
      </c>
      <c r="O921" s="18">
        <f>IF($Z921="","",IF(AND(DATE($AD921,6,1)&gt;=$AE921,DATE($AD921,6,1)&lt;=$AF921),ROUND($AG921,2),0))</f>
        <v/>
      </c>
      <c r="P921" s="18">
        <f>IF($Z921="","",IF(AND(DATE($AD921,7,1)&gt;=$AE921,DATE($AD921,7,1)&lt;=$AF921),ROUND($AG921,2),0))</f>
        <v/>
      </c>
      <c r="Q921" s="18">
        <f>IF($Z921="","",IF(AND(DATE($AD921,8,1)&gt;=$AE921,DATE($AD921,8,1)&lt;=$AF921),ROUND($AG921,2),0))</f>
        <v/>
      </c>
      <c r="R921" s="18">
        <f>IF($Z921="","",IF(AND(DATE($AD921,9,1)&gt;=$AE921,DATE($AD921,9,1)&lt;=$AF921),ROUND($AG921,2),0))</f>
        <v/>
      </c>
      <c r="S921" s="18">
        <f>IF($Z921="","",IF(AND(DATE($AD921,10,1)&gt;=$AE921,DATE($AD921,10,1)&lt;=$AF921),ROUND($AG921,2),0))</f>
        <v/>
      </c>
      <c r="T921" s="18">
        <f>IF($Z921="","",IF(AND(DATE($AD921,11,1)&gt;=$AE921,DATE($AD921,11,1)&lt;=$AF921),ROUND($AG921,2),0))</f>
        <v/>
      </c>
      <c r="U921" s="18">
        <f>IF($Z921="","",IF(AND(DATE($AD921,12,1)&gt;=$AE921,DATE($AD921,12,1)&lt;=$AF921),ROUND($AG921,2),0))</f>
        <v/>
      </c>
      <c r="V921" s="7">
        <f>IF($Z921="C","Generated from "&amp;INDEX(Contracts!$A$2:$A$151,$AB921),IF($Z921="A","Generated from "&amp;INDEX(Fixed_Assets!$A$2:$A$201,$AB921),IF($Z921="F","Generated from "&amp;INDEX(FTE_Allocation!$A$2:$A$201,$AB921),"")))</f>
        <v/>
      </c>
      <c r="X921" s="19">
        <f>IF($Z921="","",SUM(J921:U921))</f>
        <v/>
      </c>
      <c r="Y921" s="20">
        <f>ROW()-1</f>
        <v/>
      </c>
      <c r="Z921" s="20">
        <f>IF($Y921&lt;=Settings!$B$4*3,"C",IF($Y921&lt;=(Settings!$B$4+Settings!$B$5)*3,"A",IF($Y921&lt;=(Settings!$B$4+Settings!$B$5+Settings!$B$6)*3,"F","")))</f>
        <v/>
      </c>
      <c r="AA921" s="20">
        <f>IF($Z921="C",$Y921,IF($Z921="A",$Y921-Settings!$B$4*3,IF($Z921="F",$Y921-(Settings!$B$4+Settings!$B$5)*3,"")))</f>
        <v/>
      </c>
      <c r="AB921" s="20">
        <f>IF($Z921="","",INT(($AA921-1)/3)+1)</f>
        <v/>
      </c>
      <c r="AC921" s="20">
        <f>IF($Z921="","",MOD($AA921-1,3)+1)</f>
        <v/>
      </c>
      <c r="AD921" s="20">
        <f>IF($Z921="","",Settings!$B$2+$AC921-1)</f>
        <v/>
      </c>
      <c r="AE921" s="21">
        <f>IF($Z921="C",DATE(YEAR(INDEX(Contracts!$J$2:$J$151,$AB921)),MONTH(INDEX(Contracts!$J$2:$J$151,$AB921)),1),IF($Z921="A",DATE(YEAR(INDEX(Fixed_Assets!$G$2:$G$201,$AB921)),MONTH(INDEX(Fixed_Assets!$G$2:$G$201,$AB921)),1),IF($Z921="F",DATE(YEAR(MAX(N(INDEX(Workforce!$I$2:$I$151,MATCH(INDEX(FTE_Allocation!$A$2:$A$201,$AB921),Workforce!$A$2:$A$151,0))),N(INDEX(FTE_Allocation!$I$2:$I$201,$AB921)))),MONTH(MAX(N(INDEX(Workforce!$I$2:$I$151,MATCH(INDEX(FTE_Allocation!$A$2:$A$201,$AB921),Workforce!$A$2:$A$151,0))),N(INDEX(FTE_Allocation!$I$2:$I$201,$AB921)))),1),"")))</f>
        <v/>
      </c>
      <c r="AF921" s="21">
        <f>IF($Z921="C",IF(INDEX(Contracts!$I$2:$I$151,$AB921)="PREPAID",EDATE(DATE(YEAR(INDEX(Contracts!$J$2:$J$151,$AB921)),MONTH(INDEX(Contracts!$J$2:$J$151,$AB921)),1),IF(INDEX(Contracts!$N$2:$N$151,$AB921)="",12,INDEX(Contracts!$N$2:$N$151,$AB921))-1),IF(INDEX(Contracts!$I$2:$I$151,$AB921)="MONTHLY",IF(INDEX(Contracts!$K$2:$K$151,$AB921)="",2958101,INDEX(Contracts!$K$2:$K$151,$AB921)),0)),IF($Z921="A",EDATE(DATE(YEAR(INDEX(Fixed_Assets!$G$2:$G$201,$AB921)),MONTH(INDEX(Fixed_Assets!$G$2:$G$201,$AB921)),1),INDEX(Fixed_Assets!$J$2:$J$201,$AB921)-1),IF($Z921="F",MIN(IF(INDEX(Workforce!$J$2:$J$151,MATCH(INDEX(FTE_Allocation!$A$2:$A$201,$AB921),Workforce!$A$2:$A$151,0))="",2958101,INDEX(Workforce!$J$2:$J$151,MATCH(INDEX(FTE_Allocation!$A$2:$A$201,$AB921),Workforce!$A$2:$A$151,0))),IF(INDEX(FTE_Allocation!$J$2:$J$201,$AB921)="",2958101,INDEX(FTE_Allocation!$J$2:$J$201,$AB921))),"")))</f>
        <v/>
      </c>
      <c r="AG921" s="19">
        <f>IF($Z921="C",IF(INDEX(Contracts!$I$2:$I$151,$AB921)="PREPAID",INDEX(Contracts!$M$2:$M$151,$AB921)/IF(INDEX(Contracts!$N$2:$N$151,$AB921)="",12,INDEX(Contracts!$N$2:$N$151,$AB921)),IF(INDEX(Contracts!$I$2:$I$151,$AB921)="MONTHLY",INDEX(Contracts!$M$2:$M$151,$AB921),0))*(1-N(INDEX(Contracts!$O$2:$O$151,$AB921))),IF($Z921="A",INDEX(Fixed_Assets!$H$2:$H$201,$AB921)/INDEX(Fixed_Assets!$J$2:$J$201,$AB921),IF($Z921="F",INDEX(Workforce!$F$2:$F$151,MATCH(INDEX(FTE_Allocation!$A$2:$A$201,$AB921),Workforce!$A$2:$A$151,0))*N(INDEX(FTE_Allocation!$F$2:$H$201,$AB921,$AC921)),"")))</f>
        <v/>
      </c>
    </row>
    <row r="922">
      <c r="A922" s="7">
        <f>IF($Z922="","",$AD922)</f>
        <v/>
      </c>
      <c r="B922" s="7">
        <f>IF($Z922="C",INDEX(Contracts!$D$2:$D$151,$AB922)&amp;"",IF($Z922="A",INDEX(Fixed_Assets!$C$2:$C$201,$AB922)&amp;"",IF($Z922="F",INDEX(Workforce!$B$2:$B$151,MATCH(INDEX(FTE_Allocation!$A$2:$A$201,$AB922),Workforce!$A$2:$A$151,0))&amp;"","")))</f>
        <v/>
      </c>
      <c r="C922" s="7">
        <f>IF($Z922="C",INDEX(Contracts!$E$2:$E$151,$AB922)&amp;"",IF($Z922="A",INDEX(Fixed_Assets!$D$2:$D$201,$AB922)&amp;"",IF($Z922="F",INDEX(FTE_Allocation!$C$2:$C$201,$AB922)&amp;"","")))</f>
        <v/>
      </c>
      <c r="D922" s="7">
        <f>IF($Z922="C",INDEX(Contracts!$B$2:$B$151,$AB922)&amp;"",IF($Z922="A",INDEX(Fixed_Assets!$B$2:$B$201,$AB922)&amp;"",IF($Z922="F",INDEX(FTE_Allocation!$B$2:$B$201,$AB922)&amp;"","")))</f>
        <v/>
      </c>
      <c r="E922" s="7">
        <f>IF($Z922="C",INDEX(Contracts!$P$2:$P$151,$AB922)&amp;"",IF($Z922="A",INDEX(Fixed_Assets!$K$2:$K$201,$AB922)&amp;"",IF($Z922="F",IF(INDEX(FTE_Allocation!$D$2:$D$201,$AB922)="PROJECT",IFERROR(INDEX(Projects!$D:$D,MATCH(INDEX(FTE_Allocation!$E$2:$E$201,$AB922),Projects!$A:$A,0))&amp;"","#PROJECT?"),INDEX(FTE_Allocation!$E$2:$E$201,$AB922)&amp;""),"")))</f>
        <v/>
      </c>
      <c r="F922" s="7">
        <f>IF($Z922="C",INDEX(Contracts!$Q$2:$Q$151,$AB922)&amp;"",IF($Z922="A",INDEX(Fixed_Assets!$L$2:$L$201,$AB922)&amp;"",IF($Z922="F",INDEX(Workforce!$K$2:$K$151,MATCH(INDEX(FTE_Allocation!$A$2:$A$201,$AB922),Workforce!$A$2:$A$151,0))&amp;"","")))</f>
        <v/>
      </c>
      <c r="G922" s="7">
        <f>IF($Z922="C",INDEX(Contracts!$F$2:$F$151,$AB922)&amp;" / "&amp;INDEX(Contracts!$G$2:$G$151,$AB922),IF($Z922="A",INDEX(Fixed_Assets!$E$2:$E$201,$AB922)&amp;"",IF($Z922="F","Personnel "&amp;INDEX(FTE_Allocation!$A$2:$A$201,$AB922)&amp;IF(INDEX(FTE_Allocation!$D$2:$D$201,$AB922)="PROJECT"," ("&amp;INDEX(FTE_Allocation!$E$2:$E$201,$AB922)&amp;")",""),"")))</f>
        <v/>
      </c>
      <c r="H922" s="7">
        <f>IF($Z922="C","CONTRACT",IF($Z922="A","ASSET",IF($Z922="F","WORKFORCE","")))</f>
        <v/>
      </c>
      <c r="I922" s="7">
        <f>IF($Z922="C",INDEX(Contracts!$L$2:$L$151,$AB922)&amp;"",IF($Z922="A",INDEX(Fixed_Assets!$I$2:$I$201,$AB922)&amp;"",IF($Z922="F",INDEX(Workforce!$G$2:$G$151,MATCH(INDEX(FTE_Allocation!$A$2:$A$201,$AB922),Workforce!$A$2:$A$151,0))&amp;"","")))</f>
        <v/>
      </c>
      <c r="J922" s="18">
        <f>IF($Z922="","",IF(AND(DATE($AD922,1,1)&gt;=$AE922,DATE($AD922,1,1)&lt;=$AF922),ROUND($AG922,2),0))</f>
        <v/>
      </c>
      <c r="K922" s="18">
        <f>IF($Z922="","",IF(AND(DATE($AD922,2,1)&gt;=$AE922,DATE($AD922,2,1)&lt;=$AF922),ROUND($AG922,2),0))</f>
        <v/>
      </c>
      <c r="L922" s="18">
        <f>IF($Z922="","",IF(AND(DATE($AD922,3,1)&gt;=$AE922,DATE($AD922,3,1)&lt;=$AF922),ROUND($AG922,2),0))</f>
        <v/>
      </c>
      <c r="M922" s="18">
        <f>IF($Z922="","",IF(AND(DATE($AD922,4,1)&gt;=$AE922,DATE($AD922,4,1)&lt;=$AF922),ROUND($AG922,2),0))</f>
        <v/>
      </c>
      <c r="N922" s="18">
        <f>IF($Z922="","",IF(AND(DATE($AD922,5,1)&gt;=$AE922,DATE($AD922,5,1)&lt;=$AF922),ROUND($AG922,2),0))</f>
        <v/>
      </c>
      <c r="O922" s="18">
        <f>IF($Z922="","",IF(AND(DATE($AD922,6,1)&gt;=$AE922,DATE($AD922,6,1)&lt;=$AF922),ROUND($AG922,2),0))</f>
        <v/>
      </c>
      <c r="P922" s="18">
        <f>IF($Z922="","",IF(AND(DATE($AD922,7,1)&gt;=$AE922,DATE($AD922,7,1)&lt;=$AF922),ROUND($AG922,2),0))</f>
        <v/>
      </c>
      <c r="Q922" s="18">
        <f>IF($Z922="","",IF(AND(DATE($AD922,8,1)&gt;=$AE922,DATE($AD922,8,1)&lt;=$AF922),ROUND($AG922,2),0))</f>
        <v/>
      </c>
      <c r="R922" s="18">
        <f>IF($Z922="","",IF(AND(DATE($AD922,9,1)&gt;=$AE922,DATE($AD922,9,1)&lt;=$AF922),ROUND($AG922,2),0))</f>
        <v/>
      </c>
      <c r="S922" s="18">
        <f>IF($Z922="","",IF(AND(DATE($AD922,10,1)&gt;=$AE922,DATE($AD922,10,1)&lt;=$AF922),ROUND($AG922,2),0))</f>
        <v/>
      </c>
      <c r="T922" s="18">
        <f>IF($Z922="","",IF(AND(DATE($AD922,11,1)&gt;=$AE922,DATE($AD922,11,1)&lt;=$AF922),ROUND($AG922,2),0))</f>
        <v/>
      </c>
      <c r="U922" s="18">
        <f>IF($Z922="","",IF(AND(DATE($AD922,12,1)&gt;=$AE922,DATE($AD922,12,1)&lt;=$AF922),ROUND($AG922,2),0))</f>
        <v/>
      </c>
      <c r="V922" s="7">
        <f>IF($Z922="C","Generated from "&amp;INDEX(Contracts!$A$2:$A$151,$AB922),IF($Z922="A","Generated from "&amp;INDEX(Fixed_Assets!$A$2:$A$201,$AB922),IF($Z922="F","Generated from "&amp;INDEX(FTE_Allocation!$A$2:$A$201,$AB922),"")))</f>
        <v/>
      </c>
      <c r="X922" s="19">
        <f>IF($Z922="","",SUM(J922:U922))</f>
        <v/>
      </c>
      <c r="Y922" s="20">
        <f>ROW()-1</f>
        <v/>
      </c>
      <c r="Z922" s="20">
        <f>IF($Y922&lt;=Settings!$B$4*3,"C",IF($Y922&lt;=(Settings!$B$4+Settings!$B$5)*3,"A",IF($Y922&lt;=(Settings!$B$4+Settings!$B$5+Settings!$B$6)*3,"F","")))</f>
        <v/>
      </c>
      <c r="AA922" s="20">
        <f>IF($Z922="C",$Y922,IF($Z922="A",$Y922-Settings!$B$4*3,IF($Z922="F",$Y922-(Settings!$B$4+Settings!$B$5)*3,"")))</f>
        <v/>
      </c>
      <c r="AB922" s="20">
        <f>IF($Z922="","",INT(($AA922-1)/3)+1)</f>
        <v/>
      </c>
      <c r="AC922" s="20">
        <f>IF($Z922="","",MOD($AA922-1,3)+1)</f>
        <v/>
      </c>
      <c r="AD922" s="20">
        <f>IF($Z922="","",Settings!$B$2+$AC922-1)</f>
        <v/>
      </c>
      <c r="AE922" s="21">
        <f>IF($Z922="C",DATE(YEAR(INDEX(Contracts!$J$2:$J$151,$AB922)),MONTH(INDEX(Contracts!$J$2:$J$151,$AB922)),1),IF($Z922="A",DATE(YEAR(INDEX(Fixed_Assets!$G$2:$G$201,$AB922)),MONTH(INDEX(Fixed_Assets!$G$2:$G$201,$AB922)),1),IF($Z922="F",DATE(YEAR(MAX(N(INDEX(Workforce!$I$2:$I$151,MATCH(INDEX(FTE_Allocation!$A$2:$A$201,$AB922),Workforce!$A$2:$A$151,0))),N(INDEX(FTE_Allocation!$I$2:$I$201,$AB922)))),MONTH(MAX(N(INDEX(Workforce!$I$2:$I$151,MATCH(INDEX(FTE_Allocation!$A$2:$A$201,$AB922),Workforce!$A$2:$A$151,0))),N(INDEX(FTE_Allocation!$I$2:$I$201,$AB922)))),1),"")))</f>
        <v/>
      </c>
      <c r="AF922" s="21">
        <f>IF($Z922="C",IF(INDEX(Contracts!$I$2:$I$151,$AB922)="PREPAID",EDATE(DATE(YEAR(INDEX(Contracts!$J$2:$J$151,$AB922)),MONTH(INDEX(Contracts!$J$2:$J$151,$AB922)),1),IF(INDEX(Contracts!$N$2:$N$151,$AB922)="",12,INDEX(Contracts!$N$2:$N$151,$AB922))-1),IF(INDEX(Contracts!$I$2:$I$151,$AB922)="MONTHLY",IF(INDEX(Contracts!$K$2:$K$151,$AB922)="",2958101,INDEX(Contracts!$K$2:$K$151,$AB922)),0)),IF($Z922="A",EDATE(DATE(YEAR(INDEX(Fixed_Assets!$G$2:$G$201,$AB922)),MONTH(INDEX(Fixed_Assets!$G$2:$G$201,$AB922)),1),INDEX(Fixed_Assets!$J$2:$J$201,$AB922)-1),IF($Z922="F",MIN(IF(INDEX(Workforce!$J$2:$J$151,MATCH(INDEX(FTE_Allocation!$A$2:$A$201,$AB922),Workforce!$A$2:$A$151,0))="",2958101,INDEX(Workforce!$J$2:$J$151,MATCH(INDEX(FTE_Allocation!$A$2:$A$201,$AB922),Workforce!$A$2:$A$151,0))),IF(INDEX(FTE_Allocation!$J$2:$J$201,$AB922)="",2958101,INDEX(FTE_Allocation!$J$2:$J$201,$AB922))),"")))</f>
        <v/>
      </c>
      <c r="AG922" s="19">
        <f>IF($Z922="C",IF(INDEX(Contracts!$I$2:$I$151,$AB922)="PREPAID",INDEX(Contracts!$M$2:$M$151,$AB922)/IF(INDEX(Contracts!$N$2:$N$151,$AB922)="",12,INDEX(Contracts!$N$2:$N$151,$AB922)),IF(INDEX(Contracts!$I$2:$I$151,$AB922)="MONTHLY",INDEX(Contracts!$M$2:$M$151,$AB922),0))*(1-N(INDEX(Contracts!$O$2:$O$151,$AB922))),IF($Z922="A",INDEX(Fixed_Assets!$H$2:$H$201,$AB922)/INDEX(Fixed_Assets!$J$2:$J$201,$AB922),IF($Z922="F",INDEX(Workforce!$F$2:$F$151,MATCH(INDEX(FTE_Allocation!$A$2:$A$201,$AB922),Workforce!$A$2:$A$151,0))*N(INDEX(FTE_Allocation!$F$2:$H$201,$AB922,$AC922)),"")))</f>
        <v/>
      </c>
    </row>
    <row r="923">
      <c r="A923" s="7">
        <f>IF($Z923="","",$AD923)</f>
        <v/>
      </c>
      <c r="B923" s="7">
        <f>IF($Z923="C",INDEX(Contracts!$D$2:$D$151,$AB923)&amp;"",IF($Z923="A",INDEX(Fixed_Assets!$C$2:$C$201,$AB923)&amp;"",IF($Z923="F",INDEX(Workforce!$B$2:$B$151,MATCH(INDEX(FTE_Allocation!$A$2:$A$201,$AB923),Workforce!$A$2:$A$151,0))&amp;"","")))</f>
        <v/>
      </c>
      <c r="C923" s="7">
        <f>IF($Z923="C",INDEX(Contracts!$E$2:$E$151,$AB923)&amp;"",IF($Z923="A",INDEX(Fixed_Assets!$D$2:$D$201,$AB923)&amp;"",IF($Z923="F",INDEX(FTE_Allocation!$C$2:$C$201,$AB923)&amp;"","")))</f>
        <v/>
      </c>
      <c r="D923" s="7">
        <f>IF($Z923="C",INDEX(Contracts!$B$2:$B$151,$AB923)&amp;"",IF($Z923="A",INDEX(Fixed_Assets!$B$2:$B$201,$AB923)&amp;"",IF($Z923="F",INDEX(FTE_Allocation!$B$2:$B$201,$AB923)&amp;"","")))</f>
        <v/>
      </c>
      <c r="E923" s="7">
        <f>IF($Z923="C",INDEX(Contracts!$P$2:$P$151,$AB923)&amp;"",IF($Z923="A",INDEX(Fixed_Assets!$K$2:$K$201,$AB923)&amp;"",IF($Z923="F",IF(INDEX(FTE_Allocation!$D$2:$D$201,$AB923)="PROJECT",IFERROR(INDEX(Projects!$D:$D,MATCH(INDEX(FTE_Allocation!$E$2:$E$201,$AB923),Projects!$A:$A,0))&amp;"","#PROJECT?"),INDEX(FTE_Allocation!$E$2:$E$201,$AB923)&amp;""),"")))</f>
        <v/>
      </c>
      <c r="F923" s="7">
        <f>IF($Z923="C",INDEX(Contracts!$Q$2:$Q$151,$AB923)&amp;"",IF($Z923="A",INDEX(Fixed_Assets!$L$2:$L$201,$AB923)&amp;"",IF($Z923="F",INDEX(Workforce!$K$2:$K$151,MATCH(INDEX(FTE_Allocation!$A$2:$A$201,$AB923),Workforce!$A$2:$A$151,0))&amp;"","")))</f>
        <v/>
      </c>
      <c r="G923" s="7">
        <f>IF($Z923="C",INDEX(Contracts!$F$2:$F$151,$AB923)&amp;" / "&amp;INDEX(Contracts!$G$2:$G$151,$AB923),IF($Z923="A",INDEX(Fixed_Assets!$E$2:$E$201,$AB923)&amp;"",IF($Z923="F","Personnel "&amp;INDEX(FTE_Allocation!$A$2:$A$201,$AB923)&amp;IF(INDEX(FTE_Allocation!$D$2:$D$201,$AB923)="PROJECT"," ("&amp;INDEX(FTE_Allocation!$E$2:$E$201,$AB923)&amp;")",""),"")))</f>
        <v/>
      </c>
      <c r="H923" s="7">
        <f>IF($Z923="C","CONTRACT",IF($Z923="A","ASSET",IF($Z923="F","WORKFORCE","")))</f>
        <v/>
      </c>
      <c r="I923" s="7">
        <f>IF($Z923="C",INDEX(Contracts!$L$2:$L$151,$AB923)&amp;"",IF($Z923="A",INDEX(Fixed_Assets!$I$2:$I$201,$AB923)&amp;"",IF($Z923="F",INDEX(Workforce!$G$2:$G$151,MATCH(INDEX(FTE_Allocation!$A$2:$A$201,$AB923),Workforce!$A$2:$A$151,0))&amp;"","")))</f>
        <v/>
      </c>
      <c r="J923" s="18">
        <f>IF($Z923="","",IF(AND(DATE($AD923,1,1)&gt;=$AE923,DATE($AD923,1,1)&lt;=$AF923),ROUND($AG923,2),0))</f>
        <v/>
      </c>
      <c r="K923" s="18">
        <f>IF($Z923="","",IF(AND(DATE($AD923,2,1)&gt;=$AE923,DATE($AD923,2,1)&lt;=$AF923),ROUND($AG923,2),0))</f>
        <v/>
      </c>
      <c r="L923" s="18">
        <f>IF($Z923="","",IF(AND(DATE($AD923,3,1)&gt;=$AE923,DATE($AD923,3,1)&lt;=$AF923),ROUND($AG923,2),0))</f>
        <v/>
      </c>
      <c r="M923" s="18">
        <f>IF($Z923="","",IF(AND(DATE($AD923,4,1)&gt;=$AE923,DATE($AD923,4,1)&lt;=$AF923),ROUND($AG923,2),0))</f>
        <v/>
      </c>
      <c r="N923" s="18">
        <f>IF($Z923="","",IF(AND(DATE($AD923,5,1)&gt;=$AE923,DATE($AD923,5,1)&lt;=$AF923),ROUND($AG923,2),0))</f>
        <v/>
      </c>
      <c r="O923" s="18">
        <f>IF($Z923="","",IF(AND(DATE($AD923,6,1)&gt;=$AE923,DATE($AD923,6,1)&lt;=$AF923),ROUND($AG923,2),0))</f>
        <v/>
      </c>
      <c r="P923" s="18">
        <f>IF($Z923="","",IF(AND(DATE($AD923,7,1)&gt;=$AE923,DATE($AD923,7,1)&lt;=$AF923),ROUND($AG923,2),0))</f>
        <v/>
      </c>
      <c r="Q923" s="18">
        <f>IF($Z923="","",IF(AND(DATE($AD923,8,1)&gt;=$AE923,DATE($AD923,8,1)&lt;=$AF923),ROUND($AG923,2),0))</f>
        <v/>
      </c>
      <c r="R923" s="18">
        <f>IF($Z923="","",IF(AND(DATE($AD923,9,1)&gt;=$AE923,DATE($AD923,9,1)&lt;=$AF923),ROUND($AG923,2),0))</f>
        <v/>
      </c>
      <c r="S923" s="18">
        <f>IF($Z923="","",IF(AND(DATE($AD923,10,1)&gt;=$AE923,DATE($AD923,10,1)&lt;=$AF923),ROUND($AG923,2),0))</f>
        <v/>
      </c>
      <c r="T923" s="18">
        <f>IF($Z923="","",IF(AND(DATE($AD923,11,1)&gt;=$AE923,DATE($AD923,11,1)&lt;=$AF923),ROUND($AG923,2),0))</f>
        <v/>
      </c>
      <c r="U923" s="18">
        <f>IF($Z923="","",IF(AND(DATE($AD923,12,1)&gt;=$AE923,DATE($AD923,12,1)&lt;=$AF923),ROUND($AG923,2),0))</f>
        <v/>
      </c>
      <c r="V923" s="7">
        <f>IF($Z923="C","Generated from "&amp;INDEX(Contracts!$A$2:$A$151,$AB923),IF($Z923="A","Generated from "&amp;INDEX(Fixed_Assets!$A$2:$A$201,$AB923),IF($Z923="F","Generated from "&amp;INDEX(FTE_Allocation!$A$2:$A$201,$AB923),"")))</f>
        <v/>
      </c>
      <c r="X923" s="19">
        <f>IF($Z923="","",SUM(J923:U923))</f>
        <v/>
      </c>
      <c r="Y923" s="20">
        <f>ROW()-1</f>
        <v/>
      </c>
      <c r="Z923" s="20">
        <f>IF($Y923&lt;=Settings!$B$4*3,"C",IF($Y923&lt;=(Settings!$B$4+Settings!$B$5)*3,"A",IF($Y923&lt;=(Settings!$B$4+Settings!$B$5+Settings!$B$6)*3,"F","")))</f>
        <v/>
      </c>
      <c r="AA923" s="20">
        <f>IF($Z923="C",$Y923,IF($Z923="A",$Y923-Settings!$B$4*3,IF($Z923="F",$Y923-(Settings!$B$4+Settings!$B$5)*3,"")))</f>
        <v/>
      </c>
      <c r="AB923" s="20">
        <f>IF($Z923="","",INT(($AA923-1)/3)+1)</f>
        <v/>
      </c>
      <c r="AC923" s="20">
        <f>IF($Z923="","",MOD($AA923-1,3)+1)</f>
        <v/>
      </c>
      <c r="AD923" s="20">
        <f>IF($Z923="","",Settings!$B$2+$AC923-1)</f>
        <v/>
      </c>
      <c r="AE923" s="21">
        <f>IF($Z923="C",DATE(YEAR(INDEX(Contracts!$J$2:$J$151,$AB923)),MONTH(INDEX(Contracts!$J$2:$J$151,$AB923)),1),IF($Z923="A",DATE(YEAR(INDEX(Fixed_Assets!$G$2:$G$201,$AB923)),MONTH(INDEX(Fixed_Assets!$G$2:$G$201,$AB923)),1),IF($Z923="F",DATE(YEAR(MAX(N(INDEX(Workforce!$I$2:$I$151,MATCH(INDEX(FTE_Allocation!$A$2:$A$201,$AB923),Workforce!$A$2:$A$151,0))),N(INDEX(FTE_Allocation!$I$2:$I$201,$AB923)))),MONTH(MAX(N(INDEX(Workforce!$I$2:$I$151,MATCH(INDEX(FTE_Allocation!$A$2:$A$201,$AB923),Workforce!$A$2:$A$151,0))),N(INDEX(FTE_Allocation!$I$2:$I$201,$AB923)))),1),"")))</f>
        <v/>
      </c>
      <c r="AF923" s="21">
        <f>IF($Z923="C",IF(INDEX(Contracts!$I$2:$I$151,$AB923)="PREPAID",EDATE(DATE(YEAR(INDEX(Contracts!$J$2:$J$151,$AB923)),MONTH(INDEX(Contracts!$J$2:$J$151,$AB923)),1),IF(INDEX(Contracts!$N$2:$N$151,$AB923)="",12,INDEX(Contracts!$N$2:$N$151,$AB923))-1),IF(INDEX(Contracts!$I$2:$I$151,$AB923)="MONTHLY",IF(INDEX(Contracts!$K$2:$K$151,$AB923)="",2958101,INDEX(Contracts!$K$2:$K$151,$AB923)),0)),IF($Z923="A",EDATE(DATE(YEAR(INDEX(Fixed_Assets!$G$2:$G$201,$AB923)),MONTH(INDEX(Fixed_Assets!$G$2:$G$201,$AB923)),1),INDEX(Fixed_Assets!$J$2:$J$201,$AB923)-1),IF($Z923="F",MIN(IF(INDEX(Workforce!$J$2:$J$151,MATCH(INDEX(FTE_Allocation!$A$2:$A$201,$AB923),Workforce!$A$2:$A$151,0))="",2958101,INDEX(Workforce!$J$2:$J$151,MATCH(INDEX(FTE_Allocation!$A$2:$A$201,$AB923),Workforce!$A$2:$A$151,0))),IF(INDEX(FTE_Allocation!$J$2:$J$201,$AB923)="",2958101,INDEX(FTE_Allocation!$J$2:$J$201,$AB923))),"")))</f>
        <v/>
      </c>
      <c r="AG923" s="19">
        <f>IF($Z923="C",IF(INDEX(Contracts!$I$2:$I$151,$AB923)="PREPAID",INDEX(Contracts!$M$2:$M$151,$AB923)/IF(INDEX(Contracts!$N$2:$N$151,$AB923)="",12,INDEX(Contracts!$N$2:$N$151,$AB923)),IF(INDEX(Contracts!$I$2:$I$151,$AB923)="MONTHLY",INDEX(Contracts!$M$2:$M$151,$AB923),0))*(1-N(INDEX(Contracts!$O$2:$O$151,$AB923))),IF($Z923="A",INDEX(Fixed_Assets!$H$2:$H$201,$AB923)/INDEX(Fixed_Assets!$J$2:$J$201,$AB923),IF($Z923="F",INDEX(Workforce!$F$2:$F$151,MATCH(INDEX(FTE_Allocation!$A$2:$A$201,$AB923),Workforce!$A$2:$A$151,0))*N(INDEX(FTE_Allocation!$F$2:$H$201,$AB923,$AC923)),"")))</f>
        <v/>
      </c>
    </row>
    <row r="924">
      <c r="A924" s="7">
        <f>IF($Z924="","",$AD924)</f>
        <v/>
      </c>
      <c r="B924" s="7">
        <f>IF($Z924="C",INDEX(Contracts!$D$2:$D$151,$AB924)&amp;"",IF($Z924="A",INDEX(Fixed_Assets!$C$2:$C$201,$AB924)&amp;"",IF($Z924="F",INDEX(Workforce!$B$2:$B$151,MATCH(INDEX(FTE_Allocation!$A$2:$A$201,$AB924),Workforce!$A$2:$A$151,0))&amp;"","")))</f>
        <v/>
      </c>
      <c r="C924" s="7">
        <f>IF($Z924="C",INDEX(Contracts!$E$2:$E$151,$AB924)&amp;"",IF($Z924="A",INDEX(Fixed_Assets!$D$2:$D$201,$AB924)&amp;"",IF($Z924="F",INDEX(FTE_Allocation!$C$2:$C$201,$AB924)&amp;"","")))</f>
        <v/>
      </c>
      <c r="D924" s="7">
        <f>IF($Z924="C",INDEX(Contracts!$B$2:$B$151,$AB924)&amp;"",IF($Z924="A",INDEX(Fixed_Assets!$B$2:$B$201,$AB924)&amp;"",IF($Z924="F",INDEX(FTE_Allocation!$B$2:$B$201,$AB924)&amp;"","")))</f>
        <v/>
      </c>
      <c r="E924" s="7">
        <f>IF($Z924="C",INDEX(Contracts!$P$2:$P$151,$AB924)&amp;"",IF($Z924="A",INDEX(Fixed_Assets!$K$2:$K$201,$AB924)&amp;"",IF($Z924="F",IF(INDEX(FTE_Allocation!$D$2:$D$201,$AB924)="PROJECT",IFERROR(INDEX(Projects!$D:$D,MATCH(INDEX(FTE_Allocation!$E$2:$E$201,$AB924),Projects!$A:$A,0))&amp;"","#PROJECT?"),INDEX(FTE_Allocation!$E$2:$E$201,$AB924)&amp;""),"")))</f>
        <v/>
      </c>
      <c r="F924" s="7">
        <f>IF($Z924="C",INDEX(Contracts!$Q$2:$Q$151,$AB924)&amp;"",IF($Z924="A",INDEX(Fixed_Assets!$L$2:$L$201,$AB924)&amp;"",IF($Z924="F",INDEX(Workforce!$K$2:$K$151,MATCH(INDEX(FTE_Allocation!$A$2:$A$201,$AB924),Workforce!$A$2:$A$151,0))&amp;"","")))</f>
        <v/>
      </c>
      <c r="G924" s="7">
        <f>IF($Z924="C",INDEX(Contracts!$F$2:$F$151,$AB924)&amp;" / "&amp;INDEX(Contracts!$G$2:$G$151,$AB924),IF($Z924="A",INDEX(Fixed_Assets!$E$2:$E$201,$AB924)&amp;"",IF($Z924="F","Personnel "&amp;INDEX(FTE_Allocation!$A$2:$A$201,$AB924)&amp;IF(INDEX(FTE_Allocation!$D$2:$D$201,$AB924)="PROJECT"," ("&amp;INDEX(FTE_Allocation!$E$2:$E$201,$AB924)&amp;")",""),"")))</f>
        <v/>
      </c>
      <c r="H924" s="7">
        <f>IF($Z924="C","CONTRACT",IF($Z924="A","ASSET",IF($Z924="F","WORKFORCE","")))</f>
        <v/>
      </c>
      <c r="I924" s="7">
        <f>IF($Z924="C",INDEX(Contracts!$L$2:$L$151,$AB924)&amp;"",IF($Z924="A",INDEX(Fixed_Assets!$I$2:$I$201,$AB924)&amp;"",IF($Z924="F",INDEX(Workforce!$G$2:$G$151,MATCH(INDEX(FTE_Allocation!$A$2:$A$201,$AB924),Workforce!$A$2:$A$151,0))&amp;"","")))</f>
        <v/>
      </c>
      <c r="J924" s="18">
        <f>IF($Z924="","",IF(AND(DATE($AD924,1,1)&gt;=$AE924,DATE($AD924,1,1)&lt;=$AF924),ROUND($AG924,2),0))</f>
        <v/>
      </c>
      <c r="K924" s="18">
        <f>IF($Z924="","",IF(AND(DATE($AD924,2,1)&gt;=$AE924,DATE($AD924,2,1)&lt;=$AF924),ROUND($AG924,2),0))</f>
        <v/>
      </c>
      <c r="L924" s="18">
        <f>IF($Z924="","",IF(AND(DATE($AD924,3,1)&gt;=$AE924,DATE($AD924,3,1)&lt;=$AF924),ROUND($AG924,2),0))</f>
        <v/>
      </c>
      <c r="M924" s="18">
        <f>IF($Z924="","",IF(AND(DATE($AD924,4,1)&gt;=$AE924,DATE($AD924,4,1)&lt;=$AF924),ROUND($AG924,2),0))</f>
        <v/>
      </c>
      <c r="N924" s="18">
        <f>IF($Z924="","",IF(AND(DATE($AD924,5,1)&gt;=$AE924,DATE($AD924,5,1)&lt;=$AF924),ROUND($AG924,2),0))</f>
        <v/>
      </c>
      <c r="O924" s="18">
        <f>IF($Z924="","",IF(AND(DATE($AD924,6,1)&gt;=$AE924,DATE($AD924,6,1)&lt;=$AF924),ROUND($AG924,2),0))</f>
        <v/>
      </c>
      <c r="P924" s="18">
        <f>IF($Z924="","",IF(AND(DATE($AD924,7,1)&gt;=$AE924,DATE($AD924,7,1)&lt;=$AF924),ROUND($AG924,2),0))</f>
        <v/>
      </c>
      <c r="Q924" s="18">
        <f>IF($Z924="","",IF(AND(DATE($AD924,8,1)&gt;=$AE924,DATE($AD924,8,1)&lt;=$AF924),ROUND($AG924,2),0))</f>
        <v/>
      </c>
      <c r="R924" s="18">
        <f>IF($Z924="","",IF(AND(DATE($AD924,9,1)&gt;=$AE924,DATE($AD924,9,1)&lt;=$AF924),ROUND($AG924,2),0))</f>
        <v/>
      </c>
      <c r="S924" s="18">
        <f>IF($Z924="","",IF(AND(DATE($AD924,10,1)&gt;=$AE924,DATE($AD924,10,1)&lt;=$AF924),ROUND($AG924,2),0))</f>
        <v/>
      </c>
      <c r="T924" s="18">
        <f>IF($Z924="","",IF(AND(DATE($AD924,11,1)&gt;=$AE924,DATE($AD924,11,1)&lt;=$AF924),ROUND($AG924,2),0))</f>
        <v/>
      </c>
      <c r="U924" s="18">
        <f>IF($Z924="","",IF(AND(DATE($AD924,12,1)&gt;=$AE924,DATE($AD924,12,1)&lt;=$AF924),ROUND($AG924,2),0))</f>
        <v/>
      </c>
      <c r="V924" s="7">
        <f>IF($Z924="C","Generated from "&amp;INDEX(Contracts!$A$2:$A$151,$AB924),IF($Z924="A","Generated from "&amp;INDEX(Fixed_Assets!$A$2:$A$201,$AB924),IF($Z924="F","Generated from "&amp;INDEX(FTE_Allocation!$A$2:$A$201,$AB924),"")))</f>
        <v/>
      </c>
      <c r="X924" s="19">
        <f>IF($Z924="","",SUM(J924:U924))</f>
        <v/>
      </c>
      <c r="Y924" s="20">
        <f>ROW()-1</f>
        <v/>
      </c>
      <c r="Z924" s="20">
        <f>IF($Y924&lt;=Settings!$B$4*3,"C",IF($Y924&lt;=(Settings!$B$4+Settings!$B$5)*3,"A",IF($Y924&lt;=(Settings!$B$4+Settings!$B$5+Settings!$B$6)*3,"F","")))</f>
        <v/>
      </c>
      <c r="AA924" s="20">
        <f>IF($Z924="C",$Y924,IF($Z924="A",$Y924-Settings!$B$4*3,IF($Z924="F",$Y924-(Settings!$B$4+Settings!$B$5)*3,"")))</f>
        <v/>
      </c>
      <c r="AB924" s="20">
        <f>IF($Z924="","",INT(($AA924-1)/3)+1)</f>
        <v/>
      </c>
      <c r="AC924" s="20">
        <f>IF($Z924="","",MOD($AA924-1,3)+1)</f>
        <v/>
      </c>
      <c r="AD924" s="20">
        <f>IF($Z924="","",Settings!$B$2+$AC924-1)</f>
        <v/>
      </c>
      <c r="AE924" s="21">
        <f>IF($Z924="C",DATE(YEAR(INDEX(Contracts!$J$2:$J$151,$AB924)),MONTH(INDEX(Contracts!$J$2:$J$151,$AB924)),1),IF($Z924="A",DATE(YEAR(INDEX(Fixed_Assets!$G$2:$G$201,$AB924)),MONTH(INDEX(Fixed_Assets!$G$2:$G$201,$AB924)),1),IF($Z924="F",DATE(YEAR(MAX(N(INDEX(Workforce!$I$2:$I$151,MATCH(INDEX(FTE_Allocation!$A$2:$A$201,$AB924),Workforce!$A$2:$A$151,0))),N(INDEX(FTE_Allocation!$I$2:$I$201,$AB924)))),MONTH(MAX(N(INDEX(Workforce!$I$2:$I$151,MATCH(INDEX(FTE_Allocation!$A$2:$A$201,$AB924),Workforce!$A$2:$A$151,0))),N(INDEX(FTE_Allocation!$I$2:$I$201,$AB924)))),1),"")))</f>
        <v/>
      </c>
      <c r="AF924" s="21">
        <f>IF($Z924="C",IF(INDEX(Contracts!$I$2:$I$151,$AB924)="PREPAID",EDATE(DATE(YEAR(INDEX(Contracts!$J$2:$J$151,$AB924)),MONTH(INDEX(Contracts!$J$2:$J$151,$AB924)),1),IF(INDEX(Contracts!$N$2:$N$151,$AB924)="",12,INDEX(Contracts!$N$2:$N$151,$AB924))-1),IF(INDEX(Contracts!$I$2:$I$151,$AB924)="MONTHLY",IF(INDEX(Contracts!$K$2:$K$151,$AB924)="",2958101,INDEX(Contracts!$K$2:$K$151,$AB924)),0)),IF($Z924="A",EDATE(DATE(YEAR(INDEX(Fixed_Assets!$G$2:$G$201,$AB924)),MONTH(INDEX(Fixed_Assets!$G$2:$G$201,$AB924)),1),INDEX(Fixed_Assets!$J$2:$J$201,$AB924)-1),IF($Z924="F",MIN(IF(INDEX(Workforce!$J$2:$J$151,MATCH(INDEX(FTE_Allocation!$A$2:$A$201,$AB924),Workforce!$A$2:$A$151,0))="",2958101,INDEX(Workforce!$J$2:$J$151,MATCH(INDEX(FTE_Allocation!$A$2:$A$201,$AB924),Workforce!$A$2:$A$151,0))),IF(INDEX(FTE_Allocation!$J$2:$J$201,$AB924)="",2958101,INDEX(FTE_Allocation!$J$2:$J$201,$AB924))),"")))</f>
        <v/>
      </c>
      <c r="AG924" s="19">
        <f>IF($Z924="C",IF(INDEX(Contracts!$I$2:$I$151,$AB924)="PREPAID",INDEX(Contracts!$M$2:$M$151,$AB924)/IF(INDEX(Contracts!$N$2:$N$151,$AB924)="",12,INDEX(Contracts!$N$2:$N$151,$AB924)),IF(INDEX(Contracts!$I$2:$I$151,$AB924)="MONTHLY",INDEX(Contracts!$M$2:$M$151,$AB924),0))*(1-N(INDEX(Contracts!$O$2:$O$151,$AB924))),IF($Z924="A",INDEX(Fixed_Assets!$H$2:$H$201,$AB924)/INDEX(Fixed_Assets!$J$2:$J$201,$AB924),IF($Z924="F",INDEX(Workforce!$F$2:$F$151,MATCH(INDEX(FTE_Allocation!$A$2:$A$201,$AB924),Workforce!$A$2:$A$151,0))*N(INDEX(FTE_Allocation!$F$2:$H$201,$AB924,$AC924)),"")))</f>
        <v/>
      </c>
    </row>
    <row r="925">
      <c r="A925" s="7">
        <f>IF($Z925="","",$AD925)</f>
        <v/>
      </c>
      <c r="B925" s="7">
        <f>IF($Z925="C",INDEX(Contracts!$D$2:$D$151,$AB925)&amp;"",IF($Z925="A",INDEX(Fixed_Assets!$C$2:$C$201,$AB925)&amp;"",IF($Z925="F",INDEX(Workforce!$B$2:$B$151,MATCH(INDEX(FTE_Allocation!$A$2:$A$201,$AB925),Workforce!$A$2:$A$151,0))&amp;"","")))</f>
        <v/>
      </c>
      <c r="C925" s="7">
        <f>IF($Z925="C",INDEX(Contracts!$E$2:$E$151,$AB925)&amp;"",IF($Z925="A",INDEX(Fixed_Assets!$D$2:$D$201,$AB925)&amp;"",IF($Z925="F",INDEX(FTE_Allocation!$C$2:$C$201,$AB925)&amp;"","")))</f>
        <v/>
      </c>
      <c r="D925" s="7">
        <f>IF($Z925="C",INDEX(Contracts!$B$2:$B$151,$AB925)&amp;"",IF($Z925="A",INDEX(Fixed_Assets!$B$2:$B$201,$AB925)&amp;"",IF($Z925="F",INDEX(FTE_Allocation!$B$2:$B$201,$AB925)&amp;"","")))</f>
        <v/>
      </c>
      <c r="E925" s="7">
        <f>IF($Z925="C",INDEX(Contracts!$P$2:$P$151,$AB925)&amp;"",IF($Z925="A",INDEX(Fixed_Assets!$K$2:$K$201,$AB925)&amp;"",IF($Z925="F",IF(INDEX(FTE_Allocation!$D$2:$D$201,$AB925)="PROJECT",IFERROR(INDEX(Projects!$D:$D,MATCH(INDEX(FTE_Allocation!$E$2:$E$201,$AB925),Projects!$A:$A,0))&amp;"","#PROJECT?"),INDEX(FTE_Allocation!$E$2:$E$201,$AB925)&amp;""),"")))</f>
        <v/>
      </c>
      <c r="F925" s="7">
        <f>IF($Z925="C",INDEX(Contracts!$Q$2:$Q$151,$AB925)&amp;"",IF($Z925="A",INDEX(Fixed_Assets!$L$2:$L$201,$AB925)&amp;"",IF($Z925="F",INDEX(Workforce!$K$2:$K$151,MATCH(INDEX(FTE_Allocation!$A$2:$A$201,$AB925),Workforce!$A$2:$A$151,0))&amp;"","")))</f>
        <v/>
      </c>
      <c r="G925" s="7">
        <f>IF($Z925="C",INDEX(Contracts!$F$2:$F$151,$AB925)&amp;" / "&amp;INDEX(Contracts!$G$2:$G$151,$AB925),IF($Z925="A",INDEX(Fixed_Assets!$E$2:$E$201,$AB925)&amp;"",IF($Z925="F","Personnel "&amp;INDEX(FTE_Allocation!$A$2:$A$201,$AB925)&amp;IF(INDEX(FTE_Allocation!$D$2:$D$201,$AB925)="PROJECT"," ("&amp;INDEX(FTE_Allocation!$E$2:$E$201,$AB925)&amp;")",""),"")))</f>
        <v/>
      </c>
      <c r="H925" s="7">
        <f>IF($Z925="C","CONTRACT",IF($Z925="A","ASSET",IF($Z925="F","WORKFORCE","")))</f>
        <v/>
      </c>
      <c r="I925" s="7">
        <f>IF($Z925="C",INDEX(Contracts!$L$2:$L$151,$AB925)&amp;"",IF($Z925="A",INDEX(Fixed_Assets!$I$2:$I$201,$AB925)&amp;"",IF($Z925="F",INDEX(Workforce!$G$2:$G$151,MATCH(INDEX(FTE_Allocation!$A$2:$A$201,$AB925),Workforce!$A$2:$A$151,0))&amp;"","")))</f>
        <v/>
      </c>
      <c r="J925" s="18">
        <f>IF($Z925="","",IF(AND(DATE($AD925,1,1)&gt;=$AE925,DATE($AD925,1,1)&lt;=$AF925),ROUND($AG925,2),0))</f>
        <v/>
      </c>
      <c r="K925" s="18">
        <f>IF($Z925="","",IF(AND(DATE($AD925,2,1)&gt;=$AE925,DATE($AD925,2,1)&lt;=$AF925),ROUND($AG925,2),0))</f>
        <v/>
      </c>
      <c r="L925" s="18">
        <f>IF($Z925="","",IF(AND(DATE($AD925,3,1)&gt;=$AE925,DATE($AD925,3,1)&lt;=$AF925),ROUND($AG925,2),0))</f>
        <v/>
      </c>
      <c r="M925" s="18">
        <f>IF($Z925="","",IF(AND(DATE($AD925,4,1)&gt;=$AE925,DATE($AD925,4,1)&lt;=$AF925),ROUND($AG925,2),0))</f>
        <v/>
      </c>
      <c r="N925" s="18">
        <f>IF($Z925="","",IF(AND(DATE($AD925,5,1)&gt;=$AE925,DATE($AD925,5,1)&lt;=$AF925),ROUND($AG925,2),0))</f>
        <v/>
      </c>
      <c r="O925" s="18">
        <f>IF($Z925="","",IF(AND(DATE($AD925,6,1)&gt;=$AE925,DATE($AD925,6,1)&lt;=$AF925),ROUND($AG925,2),0))</f>
        <v/>
      </c>
      <c r="P925" s="18">
        <f>IF($Z925="","",IF(AND(DATE($AD925,7,1)&gt;=$AE925,DATE($AD925,7,1)&lt;=$AF925),ROUND($AG925,2),0))</f>
        <v/>
      </c>
      <c r="Q925" s="18">
        <f>IF($Z925="","",IF(AND(DATE($AD925,8,1)&gt;=$AE925,DATE($AD925,8,1)&lt;=$AF925),ROUND($AG925,2),0))</f>
        <v/>
      </c>
      <c r="R925" s="18">
        <f>IF($Z925="","",IF(AND(DATE($AD925,9,1)&gt;=$AE925,DATE($AD925,9,1)&lt;=$AF925),ROUND($AG925,2),0))</f>
        <v/>
      </c>
      <c r="S925" s="18">
        <f>IF($Z925="","",IF(AND(DATE($AD925,10,1)&gt;=$AE925,DATE($AD925,10,1)&lt;=$AF925),ROUND($AG925,2),0))</f>
        <v/>
      </c>
      <c r="T925" s="18">
        <f>IF($Z925="","",IF(AND(DATE($AD925,11,1)&gt;=$AE925,DATE($AD925,11,1)&lt;=$AF925),ROUND($AG925,2),0))</f>
        <v/>
      </c>
      <c r="U925" s="18">
        <f>IF($Z925="","",IF(AND(DATE($AD925,12,1)&gt;=$AE925,DATE($AD925,12,1)&lt;=$AF925),ROUND($AG925,2),0))</f>
        <v/>
      </c>
      <c r="V925" s="7">
        <f>IF($Z925="C","Generated from "&amp;INDEX(Contracts!$A$2:$A$151,$AB925),IF($Z925="A","Generated from "&amp;INDEX(Fixed_Assets!$A$2:$A$201,$AB925),IF($Z925="F","Generated from "&amp;INDEX(FTE_Allocation!$A$2:$A$201,$AB925),"")))</f>
        <v/>
      </c>
      <c r="X925" s="19">
        <f>IF($Z925="","",SUM(J925:U925))</f>
        <v/>
      </c>
      <c r="Y925" s="20">
        <f>ROW()-1</f>
        <v/>
      </c>
      <c r="Z925" s="20">
        <f>IF($Y925&lt;=Settings!$B$4*3,"C",IF($Y925&lt;=(Settings!$B$4+Settings!$B$5)*3,"A",IF($Y925&lt;=(Settings!$B$4+Settings!$B$5+Settings!$B$6)*3,"F","")))</f>
        <v/>
      </c>
      <c r="AA925" s="20">
        <f>IF($Z925="C",$Y925,IF($Z925="A",$Y925-Settings!$B$4*3,IF($Z925="F",$Y925-(Settings!$B$4+Settings!$B$5)*3,"")))</f>
        <v/>
      </c>
      <c r="AB925" s="20">
        <f>IF($Z925="","",INT(($AA925-1)/3)+1)</f>
        <v/>
      </c>
      <c r="AC925" s="20">
        <f>IF($Z925="","",MOD($AA925-1,3)+1)</f>
        <v/>
      </c>
      <c r="AD925" s="20">
        <f>IF($Z925="","",Settings!$B$2+$AC925-1)</f>
        <v/>
      </c>
      <c r="AE925" s="21">
        <f>IF($Z925="C",DATE(YEAR(INDEX(Contracts!$J$2:$J$151,$AB925)),MONTH(INDEX(Contracts!$J$2:$J$151,$AB925)),1),IF($Z925="A",DATE(YEAR(INDEX(Fixed_Assets!$G$2:$G$201,$AB925)),MONTH(INDEX(Fixed_Assets!$G$2:$G$201,$AB925)),1),IF($Z925="F",DATE(YEAR(MAX(N(INDEX(Workforce!$I$2:$I$151,MATCH(INDEX(FTE_Allocation!$A$2:$A$201,$AB925),Workforce!$A$2:$A$151,0))),N(INDEX(FTE_Allocation!$I$2:$I$201,$AB925)))),MONTH(MAX(N(INDEX(Workforce!$I$2:$I$151,MATCH(INDEX(FTE_Allocation!$A$2:$A$201,$AB925),Workforce!$A$2:$A$151,0))),N(INDEX(FTE_Allocation!$I$2:$I$201,$AB925)))),1),"")))</f>
        <v/>
      </c>
      <c r="AF925" s="21">
        <f>IF($Z925="C",IF(INDEX(Contracts!$I$2:$I$151,$AB925)="PREPAID",EDATE(DATE(YEAR(INDEX(Contracts!$J$2:$J$151,$AB925)),MONTH(INDEX(Contracts!$J$2:$J$151,$AB925)),1),IF(INDEX(Contracts!$N$2:$N$151,$AB925)="",12,INDEX(Contracts!$N$2:$N$151,$AB925))-1),IF(INDEX(Contracts!$I$2:$I$151,$AB925)="MONTHLY",IF(INDEX(Contracts!$K$2:$K$151,$AB925)="",2958101,INDEX(Contracts!$K$2:$K$151,$AB925)),0)),IF($Z925="A",EDATE(DATE(YEAR(INDEX(Fixed_Assets!$G$2:$G$201,$AB925)),MONTH(INDEX(Fixed_Assets!$G$2:$G$201,$AB925)),1),INDEX(Fixed_Assets!$J$2:$J$201,$AB925)-1),IF($Z925="F",MIN(IF(INDEX(Workforce!$J$2:$J$151,MATCH(INDEX(FTE_Allocation!$A$2:$A$201,$AB925),Workforce!$A$2:$A$151,0))="",2958101,INDEX(Workforce!$J$2:$J$151,MATCH(INDEX(FTE_Allocation!$A$2:$A$201,$AB925),Workforce!$A$2:$A$151,0))),IF(INDEX(FTE_Allocation!$J$2:$J$201,$AB925)="",2958101,INDEX(FTE_Allocation!$J$2:$J$201,$AB925))),"")))</f>
        <v/>
      </c>
      <c r="AG925" s="19">
        <f>IF($Z925="C",IF(INDEX(Contracts!$I$2:$I$151,$AB925)="PREPAID",INDEX(Contracts!$M$2:$M$151,$AB925)/IF(INDEX(Contracts!$N$2:$N$151,$AB925)="",12,INDEX(Contracts!$N$2:$N$151,$AB925)),IF(INDEX(Contracts!$I$2:$I$151,$AB925)="MONTHLY",INDEX(Contracts!$M$2:$M$151,$AB925),0))*(1-N(INDEX(Contracts!$O$2:$O$151,$AB925))),IF($Z925="A",INDEX(Fixed_Assets!$H$2:$H$201,$AB925)/INDEX(Fixed_Assets!$J$2:$J$201,$AB925),IF($Z925="F",INDEX(Workforce!$F$2:$F$151,MATCH(INDEX(FTE_Allocation!$A$2:$A$201,$AB925),Workforce!$A$2:$A$151,0))*N(INDEX(FTE_Allocation!$F$2:$H$201,$AB925,$AC925)),"")))</f>
        <v/>
      </c>
    </row>
    <row r="926">
      <c r="A926" s="7">
        <f>IF($Z926="","",$AD926)</f>
        <v/>
      </c>
      <c r="B926" s="7">
        <f>IF($Z926="C",INDEX(Contracts!$D$2:$D$151,$AB926)&amp;"",IF($Z926="A",INDEX(Fixed_Assets!$C$2:$C$201,$AB926)&amp;"",IF($Z926="F",INDEX(Workforce!$B$2:$B$151,MATCH(INDEX(FTE_Allocation!$A$2:$A$201,$AB926),Workforce!$A$2:$A$151,0))&amp;"","")))</f>
        <v/>
      </c>
      <c r="C926" s="7">
        <f>IF($Z926="C",INDEX(Contracts!$E$2:$E$151,$AB926)&amp;"",IF($Z926="A",INDEX(Fixed_Assets!$D$2:$D$201,$AB926)&amp;"",IF($Z926="F",INDEX(FTE_Allocation!$C$2:$C$201,$AB926)&amp;"","")))</f>
        <v/>
      </c>
      <c r="D926" s="7">
        <f>IF($Z926="C",INDEX(Contracts!$B$2:$B$151,$AB926)&amp;"",IF($Z926="A",INDEX(Fixed_Assets!$B$2:$B$201,$AB926)&amp;"",IF($Z926="F",INDEX(FTE_Allocation!$B$2:$B$201,$AB926)&amp;"","")))</f>
        <v/>
      </c>
      <c r="E926" s="7">
        <f>IF($Z926="C",INDEX(Contracts!$P$2:$P$151,$AB926)&amp;"",IF($Z926="A",INDEX(Fixed_Assets!$K$2:$K$201,$AB926)&amp;"",IF($Z926="F",IF(INDEX(FTE_Allocation!$D$2:$D$201,$AB926)="PROJECT",IFERROR(INDEX(Projects!$D:$D,MATCH(INDEX(FTE_Allocation!$E$2:$E$201,$AB926),Projects!$A:$A,0))&amp;"","#PROJECT?"),INDEX(FTE_Allocation!$E$2:$E$201,$AB926)&amp;""),"")))</f>
        <v/>
      </c>
      <c r="F926" s="7">
        <f>IF($Z926="C",INDEX(Contracts!$Q$2:$Q$151,$AB926)&amp;"",IF($Z926="A",INDEX(Fixed_Assets!$L$2:$L$201,$AB926)&amp;"",IF($Z926="F",INDEX(Workforce!$K$2:$K$151,MATCH(INDEX(FTE_Allocation!$A$2:$A$201,$AB926),Workforce!$A$2:$A$151,0))&amp;"","")))</f>
        <v/>
      </c>
      <c r="G926" s="7">
        <f>IF($Z926="C",INDEX(Contracts!$F$2:$F$151,$AB926)&amp;" / "&amp;INDEX(Contracts!$G$2:$G$151,$AB926),IF($Z926="A",INDEX(Fixed_Assets!$E$2:$E$201,$AB926)&amp;"",IF($Z926="F","Personnel "&amp;INDEX(FTE_Allocation!$A$2:$A$201,$AB926)&amp;IF(INDEX(FTE_Allocation!$D$2:$D$201,$AB926)="PROJECT"," ("&amp;INDEX(FTE_Allocation!$E$2:$E$201,$AB926)&amp;")",""),"")))</f>
        <v/>
      </c>
      <c r="H926" s="7">
        <f>IF($Z926="C","CONTRACT",IF($Z926="A","ASSET",IF($Z926="F","WORKFORCE","")))</f>
        <v/>
      </c>
      <c r="I926" s="7">
        <f>IF($Z926="C",INDEX(Contracts!$L$2:$L$151,$AB926)&amp;"",IF($Z926="A",INDEX(Fixed_Assets!$I$2:$I$201,$AB926)&amp;"",IF($Z926="F",INDEX(Workforce!$G$2:$G$151,MATCH(INDEX(FTE_Allocation!$A$2:$A$201,$AB926),Workforce!$A$2:$A$151,0))&amp;"","")))</f>
        <v/>
      </c>
      <c r="J926" s="18">
        <f>IF($Z926="","",IF(AND(DATE($AD926,1,1)&gt;=$AE926,DATE($AD926,1,1)&lt;=$AF926),ROUND($AG926,2),0))</f>
        <v/>
      </c>
      <c r="K926" s="18">
        <f>IF($Z926="","",IF(AND(DATE($AD926,2,1)&gt;=$AE926,DATE($AD926,2,1)&lt;=$AF926),ROUND($AG926,2),0))</f>
        <v/>
      </c>
      <c r="L926" s="18">
        <f>IF($Z926="","",IF(AND(DATE($AD926,3,1)&gt;=$AE926,DATE($AD926,3,1)&lt;=$AF926),ROUND($AG926,2),0))</f>
        <v/>
      </c>
      <c r="M926" s="18">
        <f>IF($Z926="","",IF(AND(DATE($AD926,4,1)&gt;=$AE926,DATE($AD926,4,1)&lt;=$AF926),ROUND($AG926,2),0))</f>
        <v/>
      </c>
      <c r="N926" s="18">
        <f>IF($Z926="","",IF(AND(DATE($AD926,5,1)&gt;=$AE926,DATE($AD926,5,1)&lt;=$AF926),ROUND($AG926,2),0))</f>
        <v/>
      </c>
      <c r="O926" s="18">
        <f>IF($Z926="","",IF(AND(DATE($AD926,6,1)&gt;=$AE926,DATE($AD926,6,1)&lt;=$AF926),ROUND($AG926,2),0))</f>
        <v/>
      </c>
      <c r="P926" s="18">
        <f>IF($Z926="","",IF(AND(DATE($AD926,7,1)&gt;=$AE926,DATE($AD926,7,1)&lt;=$AF926),ROUND($AG926,2),0))</f>
        <v/>
      </c>
      <c r="Q926" s="18">
        <f>IF($Z926="","",IF(AND(DATE($AD926,8,1)&gt;=$AE926,DATE($AD926,8,1)&lt;=$AF926),ROUND($AG926,2),0))</f>
        <v/>
      </c>
      <c r="R926" s="18">
        <f>IF($Z926="","",IF(AND(DATE($AD926,9,1)&gt;=$AE926,DATE($AD926,9,1)&lt;=$AF926),ROUND($AG926,2),0))</f>
        <v/>
      </c>
      <c r="S926" s="18">
        <f>IF($Z926="","",IF(AND(DATE($AD926,10,1)&gt;=$AE926,DATE($AD926,10,1)&lt;=$AF926),ROUND($AG926,2),0))</f>
        <v/>
      </c>
      <c r="T926" s="18">
        <f>IF($Z926="","",IF(AND(DATE($AD926,11,1)&gt;=$AE926,DATE($AD926,11,1)&lt;=$AF926),ROUND($AG926,2),0))</f>
        <v/>
      </c>
      <c r="U926" s="18">
        <f>IF($Z926="","",IF(AND(DATE($AD926,12,1)&gt;=$AE926,DATE($AD926,12,1)&lt;=$AF926),ROUND($AG926,2),0))</f>
        <v/>
      </c>
      <c r="V926" s="7">
        <f>IF($Z926="C","Generated from "&amp;INDEX(Contracts!$A$2:$A$151,$AB926),IF($Z926="A","Generated from "&amp;INDEX(Fixed_Assets!$A$2:$A$201,$AB926),IF($Z926="F","Generated from "&amp;INDEX(FTE_Allocation!$A$2:$A$201,$AB926),"")))</f>
        <v/>
      </c>
      <c r="X926" s="19">
        <f>IF($Z926="","",SUM(J926:U926))</f>
        <v/>
      </c>
      <c r="Y926" s="20">
        <f>ROW()-1</f>
        <v/>
      </c>
      <c r="Z926" s="20">
        <f>IF($Y926&lt;=Settings!$B$4*3,"C",IF($Y926&lt;=(Settings!$B$4+Settings!$B$5)*3,"A",IF($Y926&lt;=(Settings!$B$4+Settings!$B$5+Settings!$B$6)*3,"F","")))</f>
        <v/>
      </c>
      <c r="AA926" s="20">
        <f>IF($Z926="C",$Y926,IF($Z926="A",$Y926-Settings!$B$4*3,IF($Z926="F",$Y926-(Settings!$B$4+Settings!$B$5)*3,"")))</f>
        <v/>
      </c>
      <c r="AB926" s="20">
        <f>IF($Z926="","",INT(($AA926-1)/3)+1)</f>
        <v/>
      </c>
      <c r="AC926" s="20">
        <f>IF($Z926="","",MOD($AA926-1,3)+1)</f>
        <v/>
      </c>
      <c r="AD926" s="20">
        <f>IF($Z926="","",Settings!$B$2+$AC926-1)</f>
        <v/>
      </c>
      <c r="AE926" s="21">
        <f>IF($Z926="C",DATE(YEAR(INDEX(Contracts!$J$2:$J$151,$AB926)),MONTH(INDEX(Contracts!$J$2:$J$151,$AB926)),1),IF($Z926="A",DATE(YEAR(INDEX(Fixed_Assets!$G$2:$G$201,$AB926)),MONTH(INDEX(Fixed_Assets!$G$2:$G$201,$AB926)),1),IF($Z926="F",DATE(YEAR(MAX(N(INDEX(Workforce!$I$2:$I$151,MATCH(INDEX(FTE_Allocation!$A$2:$A$201,$AB926),Workforce!$A$2:$A$151,0))),N(INDEX(FTE_Allocation!$I$2:$I$201,$AB926)))),MONTH(MAX(N(INDEX(Workforce!$I$2:$I$151,MATCH(INDEX(FTE_Allocation!$A$2:$A$201,$AB926),Workforce!$A$2:$A$151,0))),N(INDEX(FTE_Allocation!$I$2:$I$201,$AB926)))),1),"")))</f>
        <v/>
      </c>
      <c r="AF926" s="21">
        <f>IF($Z926="C",IF(INDEX(Contracts!$I$2:$I$151,$AB926)="PREPAID",EDATE(DATE(YEAR(INDEX(Contracts!$J$2:$J$151,$AB926)),MONTH(INDEX(Contracts!$J$2:$J$151,$AB926)),1),IF(INDEX(Contracts!$N$2:$N$151,$AB926)="",12,INDEX(Contracts!$N$2:$N$151,$AB926))-1),IF(INDEX(Contracts!$I$2:$I$151,$AB926)="MONTHLY",IF(INDEX(Contracts!$K$2:$K$151,$AB926)="",2958101,INDEX(Contracts!$K$2:$K$151,$AB926)),0)),IF($Z926="A",EDATE(DATE(YEAR(INDEX(Fixed_Assets!$G$2:$G$201,$AB926)),MONTH(INDEX(Fixed_Assets!$G$2:$G$201,$AB926)),1),INDEX(Fixed_Assets!$J$2:$J$201,$AB926)-1),IF($Z926="F",MIN(IF(INDEX(Workforce!$J$2:$J$151,MATCH(INDEX(FTE_Allocation!$A$2:$A$201,$AB926),Workforce!$A$2:$A$151,0))="",2958101,INDEX(Workforce!$J$2:$J$151,MATCH(INDEX(FTE_Allocation!$A$2:$A$201,$AB926),Workforce!$A$2:$A$151,0))),IF(INDEX(FTE_Allocation!$J$2:$J$201,$AB926)="",2958101,INDEX(FTE_Allocation!$J$2:$J$201,$AB926))),"")))</f>
        <v/>
      </c>
      <c r="AG926" s="19">
        <f>IF($Z926="C",IF(INDEX(Contracts!$I$2:$I$151,$AB926)="PREPAID",INDEX(Contracts!$M$2:$M$151,$AB926)/IF(INDEX(Contracts!$N$2:$N$151,$AB926)="",12,INDEX(Contracts!$N$2:$N$151,$AB926)),IF(INDEX(Contracts!$I$2:$I$151,$AB926)="MONTHLY",INDEX(Contracts!$M$2:$M$151,$AB926),0))*(1-N(INDEX(Contracts!$O$2:$O$151,$AB926))),IF($Z926="A",INDEX(Fixed_Assets!$H$2:$H$201,$AB926)/INDEX(Fixed_Assets!$J$2:$J$201,$AB926),IF($Z926="F",INDEX(Workforce!$F$2:$F$151,MATCH(INDEX(FTE_Allocation!$A$2:$A$201,$AB926),Workforce!$A$2:$A$151,0))*N(INDEX(FTE_Allocation!$F$2:$H$201,$AB926,$AC926)),"")))</f>
        <v/>
      </c>
    </row>
    <row r="927">
      <c r="A927" s="7">
        <f>IF($Z927="","",$AD927)</f>
        <v/>
      </c>
      <c r="B927" s="7">
        <f>IF($Z927="C",INDEX(Contracts!$D$2:$D$151,$AB927)&amp;"",IF($Z927="A",INDEX(Fixed_Assets!$C$2:$C$201,$AB927)&amp;"",IF($Z927="F",INDEX(Workforce!$B$2:$B$151,MATCH(INDEX(FTE_Allocation!$A$2:$A$201,$AB927),Workforce!$A$2:$A$151,0))&amp;"","")))</f>
        <v/>
      </c>
      <c r="C927" s="7">
        <f>IF($Z927="C",INDEX(Contracts!$E$2:$E$151,$AB927)&amp;"",IF($Z927="A",INDEX(Fixed_Assets!$D$2:$D$201,$AB927)&amp;"",IF($Z927="F",INDEX(FTE_Allocation!$C$2:$C$201,$AB927)&amp;"","")))</f>
        <v/>
      </c>
      <c r="D927" s="7">
        <f>IF($Z927="C",INDEX(Contracts!$B$2:$B$151,$AB927)&amp;"",IF($Z927="A",INDEX(Fixed_Assets!$B$2:$B$201,$AB927)&amp;"",IF($Z927="F",INDEX(FTE_Allocation!$B$2:$B$201,$AB927)&amp;"","")))</f>
        <v/>
      </c>
      <c r="E927" s="7">
        <f>IF($Z927="C",INDEX(Contracts!$P$2:$P$151,$AB927)&amp;"",IF($Z927="A",INDEX(Fixed_Assets!$K$2:$K$201,$AB927)&amp;"",IF($Z927="F",IF(INDEX(FTE_Allocation!$D$2:$D$201,$AB927)="PROJECT",IFERROR(INDEX(Projects!$D:$D,MATCH(INDEX(FTE_Allocation!$E$2:$E$201,$AB927),Projects!$A:$A,0))&amp;"","#PROJECT?"),INDEX(FTE_Allocation!$E$2:$E$201,$AB927)&amp;""),"")))</f>
        <v/>
      </c>
      <c r="F927" s="7">
        <f>IF($Z927="C",INDEX(Contracts!$Q$2:$Q$151,$AB927)&amp;"",IF($Z927="A",INDEX(Fixed_Assets!$L$2:$L$201,$AB927)&amp;"",IF($Z927="F",INDEX(Workforce!$K$2:$K$151,MATCH(INDEX(FTE_Allocation!$A$2:$A$201,$AB927),Workforce!$A$2:$A$151,0))&amp;"","")))</f>
        <v/>
      </c>
      <c r="G927" s="7">
        <f>IF($Z927="C",INDEX(Contracts!$F$2:$F$151,$AB927)&amp;" / "&amp;INDEX(Contracts!$G$2:$G$151,$AB927),IF($Z927="A",INDEX(Fixed_Assets!$E$2:$E$201,$AB927)&amp;"",IF($Z927="F","Personnel "&amp;INDEX(FTE_Allocation!$A$2:$A$201,$AB927)&amp;IF(INDEX(FTE_Allocation!$D$2:$D$201,$AB927)="PROJECT"," ("&amp;INDEX(FTE_Allocation!$E$2:$E$201,$AB927)&amp;")",""),"")))</f>
        <v/>
      </c>
      <c r="H927" s="7">
        <f>IF($Z927="C","CONTRACT",IF($Z927="A","ASSET",IF($Z927="F","WORKFORCE","")))</f>
        <v/>
      </c>
      <c r="I927" s="7">
        <f>IF($Z927="C",INDEX(Contracts!$L$2:$L$151,$AB927)&amp;"",IF($Z927="A",INDEX(Fixed_Assets!$I$2:$I$201,$AB927)&amp;"",IF($Z927="F",INDEX(Workforce!$G$2:$G$151,MATCH(INDEX(FTE_Allocation!$A$2:$A$201,$AB927),Workforce!$A$2:$A$151,0))&amp;"","")))</f>
        <v/>
      </c>
      <c r="J927" s="18">
        <f>IF($Z927="","",IF(AND(DATE($AD927,1,1)&gt;=$AE927,DATE($AD927,1,1)&lt;=$AF927),ROUND($AG927,2),0))</f>
        <v/>
      </c>
      <c r="K927" s="18">
        <f>IF($Z927="","",IF(AND(DATE($AD927,2,1)&gt;=$AE927,DATE($AD927,2,1)&lt;=$AF927),ROUND($AG927,2),0))</f>
        <v/>
      </c>
      <c r="L927" s="18">
        <f>IF($Z927="","",IF(AND(DATE($AD927,3,1)&gt;=$AE927,DATE($AD927,3,1)&lt;=$AF927),ROUND($AG927,2),0))</f>
        <v/>
      </c>
      <c r="M927" s="18">
        <f>IF($Z927="","",IF(AND(DATE($AD927,4,1)&gt;=$AE927,DATE($AD927,4,1)&lt;=$AF927),ROUND($AG927,2),0))</f>
        <v/>
      </c>
      <c r="N927" s="18">
        <f>IF($Z927="","",IF(AND(DATE($AD927,5,1)&gt;=$AE927,DATE($AD927,5,1)&lt;=$AF927),ROUND($AG927,2),0))</f>
        <v/>
      </c>
      <c r="O927" s="18">
        <f>IF($Z927="","",IF(AND(DATE($AD927,6,1)&gt;=$AE927,DATE($AD927,6,1)&lt;=$AF927),ROUND($AG927,2),0))</f>
        <v/>
      </c>
      <c r="P927" s="18">
        <f>IF($Z927="","",IF(AND(DATE($AD927,7,1)&gt;=$AE927,DATE($AD927,7,1)&lt;=$AF927),ROUND($AG927,2),0))</f>
        <v/>
      </c>
      <c r="Q927" s="18">
        <f>IF($Z927="","",IF(AND(DATE($AD927,8,1)&gt;=$AE927,DATE($AD927,8,1)&lt;=$AF927),ROUND($AG927,2),0))</f>
        <v/>
      </c>
      <c r="R927" s="18">
        <f>IF($Z927="","",IF(AND(DATE($AD927,9,1)&gt;=$AE927,DATE($AD927,9,1)&lt;=$AF927),ROUND($AG927,2),0))</f>
        <v/>
      </c>
      <c r="S927" s="18">
        <f>IF($Z927="","",IF(AND(DATE($AD927,10,1)&gt;=$AE927,DATE($AD927,10,1)&lt;=$AF927),ROUND($AG927,2),0))</f>
        <v/>
      </c>
      <c r="T927" s="18">
        <f>IF($Z927="","",IF(AND(DATE($AD927,11,1)&gt;=$AE927,DATE($AD927,11,1)&lt;=$AF927),ROUND($AG927,2),0))</f>
        <v/>
      </c>
      <c r="U927" s="18">
        <f>IF($Z927="","",IF(AND(DATE($AD927,12,1)&gt;=$AE927,DATE($AD927,12,1)&lt;=$AF927),ROUND($AG927,2),0))</f>
        <v/>
      </c>
      <c r="V927" s="7">
        <f>IF($Z927="C","Generated from "&amp;INDEX(Contracts!$A$2:$A$151,$AB927),IF($Z927="A","Generated from "&amp;INDEX(Fixed_Assets!$A$2:$A$201,$AB927),IF($Z927="F","Generated from "&amp;INDEX(FTE_Allocation!$A$2:$A$201,$AB927),"")))</f>
        <v/>
      </c>
      <c r="X927" s="19">
        <f>IF($Z927="","",SUM(J927:U927))</f>
        <v/>
      </c>
      <c r="Y927" s="20">
        <f>ROW()-1</f>
        <v/>
      </c>
      <c r="Z927" s="20">
        <f>IF($Y927&lt;=Settings!$B$4*3,"C",IF($Y927&lt;=(Settings!$B$4+Settings!$B$5)*3,"A",IF($Y927&lt;=(Settings!$B$4+Settings!$B$5+Settings!$B$6)*3,"F","")))</f>
        <v/>
      </c>
      <c r="AA927" s="20">
        <f>IF($Z927="C",$Y927,IF($Z927="A",$Y927-Settings!$B$4*3,IF($Z927="F",$Y927-(Settings!$B$4+Settings!$B$5)*3,"")))</f>
        <v/>
      </c>
      <c r="AB927" s="20">
        <f>IF($Z927="","",INT(($AA927-1)/3)+1)</f>
        <v/>
      </c>
      <c r="AC927" s="20">
        <f>IF($Z927="","",MOD($AA927-1,3)+1)</f>
        <v/>
      </c>
      <c r="AD927" s="20">
        <f>IF($Z927="","",Settings!$B$2+$AC927-1)</f>
        <v/>
      </c>
      <c r="AE927" s="21">
        <f>IF($Z927="C",DATE(YEAR(INDEX(Contracts!$J$2:$J$151,$AB927)),MONTH(INDEX(Contracts!$J$2:$J$151,$AB927)),1),IF($Z927="A",DATE(YEAR(INDEX(Fixed_Assets!$G$2:$G$201,$AB927)),MONTH(INDEX(Fixed_Assets!$G$2:$G$201,$AB927)),1),IF($Z927="F",DATE(YEAR(MAX(N(INDEX(Workforce!$I$2:$I$151,MATCH(INDEX(FTE_Allocation!$A$2:$A$201,$AB927),Workforce!$A$2:$A$151,0))),N(INDEX(FTE_Allocation!$I$2:$I$201,$AB927)))),MONTH(MAX(N(INDEX(Workforce!$I$2:$I$151,MATCH(INDEX(FTE_Allocation!$A$2:$A$201,$AB927),Workforce!$A$2:$A$151,0))),N(INDEX(FTE_Allocation!$I$2:$I$201,$AB927)))),1),"")))</f>
        <v/>
      </c>
      <c r="AF927" s="21">
        <f>IF($Z927="C",IF(INDEX(Contracts!$I$2:$I$151,$AB927)="PREPAID",EDATE(DATE(YEAR(INDEX(Contracts!$J$2:$J$151,$AB927)),MONTH(INDEX(Contracts!$J$2:$J$151,$AB927)),1),IF(INDEX(Contracts!$N$2:$N$151,$AB927)="",12,INDEX(Contracts!$N$2:$N$151,$AB927))-1),IF(INDEX(Contracts!$I$2:$I$151,$AB927)="MONTHLY",IF(INDEX(Contracts!$K$2:$K$151,$AB927)="",2958101,INDEX(Contracts!$K$2:$K$151,$AB927)),0)),IF($Z927="A",EDATE(DATE(YEAR(INDEX(Fixed_Assets!$G$2:$G$201,$AB927)),MONTH(INDEX(Fixed_Assets!$G$2:$G$201,$AB927)),1),INDEX(Fixed_Assets!$J$2:$J$201,$AB927)-1),IF($Z927="F",MIN(IF(INDEX(Workforce!$J$2:$J$151,MATCH(INDEX(FTE_Allocation!$A$2:$A$201,$AB927),Workforce!$A$2:$A$151,0))="",2958101,INDEX(Workforce!$J$2:$J$151,MATCH(INDEX(FTE_Allocation!$A$2:$A$201,$AB927),Workforce!$A$2:$A$151,0))),IF(INDEX(FTE_Allocation!$J$2:$J$201,$AB927)="",2958101,INDEX(FTE_Allocation!$J$2:$J$201,$AB927))),"")))</f>
        <v/>
      </c>
      <c r="AG927" s="19">
        <f>IF($Z927="C",IF(INDEX(Contracts!$I$2:$I$151,$AB927)="PREPAID",INDEX(Contracts!$M$2:$M$151,$AB927)/IF(INDEX(Contracts!$N$2:$N$151,$AB927)="",12,INDEX(Contracts!$N$2:$N$151,$AB927)),IF(INDEX(Contracts!$I$2:$I$151,$AB927)="MONTHLY",INDEX(Contracts!$M$2:$M$151,$AB927),0))*(1-N(INDEX(Contracts!$O$2:$O$151,$AB927))),IF($Z927="A",INDEX(Fixed_Assets!$H$2:$H$201,$AB927)/INDEX(Fixed_Assets!$J$2:$J$201,$AB927),IF($Z927="F",INDEX(Workforce!$F$2:$F$151,MATCH(INDEX(FTE_Allocation!$A$2:$A$201,$AB927),Workforce!$A$2:$A$151,0))*N(INDEX(FTE_Allocation!$F$2:$H$201,$AB927,$AC927)),"")))</f>
        <v/>
      </c>
    </row>
    <row r="928">
      <c r="A928" s="7">
        <f>IF($Z928="","",$AD928)</f>
        <v/>
      </c>
      <c r="B928" s="7">
        <f>IF($Z928="C",INDEX(Contracts!$D$2:$D$151,$AB928)&amp;"",IF($Z928="A",INDEX(Fixed_Assets!$C$2:$C$201,$AB928)&amp;"",IF($Z928="F",INDEX(Workforce!$B$2:$B$151,MATCH(INDEX(FTE_Allocation!$A$2:$A$201,$AB928),Workforce!$A$2:$A$151,0))&amp;"","")))</f>
        <v/>
      </c>
      <c r="C928" s="7">
        <f>IF($Z928="C",INDEX(Contracts!$E$2:$E$151,$AB928)&amp;"",IF($Z928="A",INDEX(Fixed_Assets!$D$2:$D$201,$AB928)&amp;"",IF($Z928="F",INDEX(FTE_Allocation!$C$2:$C$201,$AB928)&amp;"","")))</f>
        <v/>
      </c>
      <c r="D928" s="7">
        <f>IF($Z928="C",INDEX(Contracts!$B$2:$B$151,$AB928)&amp;"",IF($Z928="A",INDEX(Fixed_Assets!$B$2:$B$201,$AB928)&amp;"",IF($Z928="F",INDEX(FTE_Allocation!$B$2:$B$201,$AB928)&amp;"","")))</f>
        <v/>
      </c>
      <c r="E928" s="7">
        <f>IF($Z928="C",INDEX(Contracts!$P$2:$P$151,$AB928)&amp;"",IF($Z928="A",INDEX(Fixed_Assets!$K$2:$K$201,$AB928)&amp;"",IF($Z928="F",IF(INDEX(FTE_Allocation!$D$2:$D$201,$AB928)="PROJECT",IFERROR(INDEX(Projects!$D:$D,MATCH(INDEX(FTE_Allocation!$E$2:$E$201,$AB928),Projects!$A:$A,0))&amp;"","#PROJECT?"),INDEX(FTE_Allocation!$E$2:$E$201,$AB928)&amp;""),"")))</f>
        <v/>
      </c>
      <c r="F928" s="7">
        <f>IF($Z928="C",INDEX(Contracts!$Q$2:$Q$151,$AB928)&amp;"",IF($Z928="A",INDEX(Fixed_Assets!$L$2:$L$201,$AB928)&amp;"",IF($Z928="F",INDEX(Workforce!$K$2:$K$151,MATCH(INDEX(FTE_Allocation!$A$2:$A$201,$AB928),Workforce!$A$2:$A$151,0))&amp;"","")))</f>
        <v/>
      </c>
      <c r="G928" s="7">
        <f>IF($Z928="C",INDEX(Contracts!$F$2:$F$151,$AB928)&amp;" / "&amp;INDEX(Contracts!$G$2:$G$151,$AB928),IF($Z928="A",INDEX(Fixed_Assets!$E$2:$E$201,$AB928)&amp;"",IF($Z928="F","Personnel "&amp;INDEX(FTE_Allocation!$A$2:$A$201,$AB928)&amp;IF(INDEX(FTE_Allocation!$D$2:$D$201,$AB928)="PROJECT"," ("&amp;INDEX(FTE_Allocation!$E$2:$E$201,$AB928)&amp;")",""),"")))</f>
        <v/>
      </c>
      <c r="H928" s="7">
        <f>IF($Z928="C","CONTRACT",IF($Z928="A","ASSET",IF($Z928="F","WORKFORCE","")))</f>
        <v/>
      </c>
      <c r="I928" s="7">
        <f>IF($Z928="C",INDEX(Contracts!$L$2:$L$151,$AB928)&amp;"",IF($Z928="A",INDEX(Fixed_Assets!$I$2:$I$201,$AB928)&amp;"",IF($Z928="F",INDEX(Workforce!$G$2:$G$151,MATCH(INDEX(FTE_Allocation!$A$2:$A$201,$AB928),Workforce!$A$2:$A$151,0))&amp;"","")))</f>
        <v/>
      </c>
      <c r="J928" s="18">
        <f>IF($Z928="","",IF(AND(DATE($AD928,1,1)&gt;=$AE928,DATE($AD928,1,1)&lt;=$AF928),ROUND($AG928,2),0))</f>
        <v/>
      </c>
      <c r="K928" s="18">
        <f>IF($Z928="","",IF(AND(DATE($AD928,2,1)&gt;=$AE928,DATE($AD928,2,1)&lt;=$AF928),ROUND($AG928,2),0))</f>
        <v/>
      </c>
      <c r="L928" s="18">
        <f>IF($Z928="","",IF(AND(DATE($AD928,3,1)&gt;=$AE928,DATE($AD928,3,1)&lt;=$AF928),ROUND($AG928,2),0))</f>
        <v/>
      </c>
      <c r="M928" s="18">
        <f>IF($Z928="","",IF(AND(DATE($AD928,4,1)&gt;=$AE928,DATE($AD928,4,1)&lt;=$AF928),ROUND($AG928,2),0))</f>
        <v/>
      </c>
      <c r="N928" s="18">
        <f>IF($Z928="","",IF(AND(DATE($AD928,5,1)&gt;=$AE928,DATE($AD928,5,1)&lt;=$AF928),ROUND($AG928,2),0))</f>
        <v/>
      </c>
      <c r="O928" s="18">
        <f>IF($Z928="","",IF(AND(DATE($AD928,6,1)&gt;=$AE928,DATE($AD928,6,1)&lt;=$AF928),ROUND($AG928,2),0))</f>
        <v/>
      </c>
      <c r="P928" s="18">
        <f>IF($Z928="","",IF(AND(DATE($AD928,7,1)&gt;=$AE928,DATE($AD928,7,1)&lt;=$AF928),ROUND($AG928,2),0))</f>
        <v/>
      </c>
      <c r="Q928" s="18">
        <f>IF($Z928="","",IF(AND(DATE($AD928,8,1)&gt;=$AE928,DATE($AD928,8,1)&lt;=$AF928),ROUND($AG928,2),0))</f>
        <v/>
      </c>
      <c r="R928" s="18">
        <f>IF($Z928="","",IF(AND(DATE($AD928,9,1)&gt;=$AE928,DATE($AD928,9,1)&lt;=$AF928),ROUND($AG928,2),0))</f>
        <v/>
      </c>
      <c r="S928" s="18">
        <f>IF($Z928="","",IF(AND(DATE($AD928,10,1)&gt;=$AE928,DATE($AD928,10,1)&lt;=$AF928),ROUND($AG928,2),0))</f>
        <v/>
      </c>
      <c r="T928" s="18">
        <f>IF($Z928="","",IF(AND(DATE($AD928,11,1)&gt;=$AE928,DATE($AD928,11,1)&lt;=$AF928),ROUND($AG928,2),0))</f>
        <v/>
      </c>
      <c r="U928" s="18">
        <f>IF($Z928="","",IF(AND(DATE($AD928,12,1)&gt;=$AE928,DATE($AD928,12,1)&lt;=$AF928),ROUND($AG928,2),0))</f>
        <v/>
      </c>
      <c r="V928" s="7">
        <f>IF($Z928="C","Generated from "&amp;INDEX(Contracts!$A$2:$A$151,$AB928),IF($Z928="A","Generated from "&amp;INDEX(Fixed_Assets!$A$2:$A$201,$AB928),IF($Z928="F","Generated from "&amp;INDEX(FTE_Allocation!$A$2:$A$201,$AB928),"")))</f>
        <v/>
      </c>
      <c r="X928" s="19">
        <f>IF($Z928="","",SUM(J928:U928))</f>
        <v/>
      </c>
      <c r="Y928" s="20">
        <f>ROW()-1</f>
        <v/>
      </c>
      <c r="Z928" s="20">
        <f>IF($Y928&lt;=Settings!$B$4*3,"C",IF($Y928&lt;=(Settings!$B$4+Settings!$B$5)*3,"A",IF($Y928&lt;=(Settings!$B$4+Settings!$B$5+Settings!$B$6)*3,"F","")))</f>
        <v/>
      </c>
      <c r="AA928" s="20">
        <f>IF($Z928="C",$Y928,IF($Z928="A",$Y928-Settings!$B$4*3,IF($Z928="F",$Y928-(Settings!$B$4+Settings!$B$5)*3,"")))</f>
        <v/>
      </c>
      <c r="AB928" s="20">
        <f>IF($Z928="","",INT(($AA928-1)/3)+1)</f>
        <v/>
      </c>
      <c r="AC928" s="20">
        <f>IF($Z928="","",MOD($AA928-1,3)+1)</f>
        <v/>
      </c>
      <c r="AD928" s="20">
        <f>IF($Z928="","",Settings!$B$2+$AC928-1)</f>
        <v/>
      </c>
      <c r="AE928" s="21">
        <f>IF($Z928="C",DATE(YEAR(INDEX(Contracts!$J$2:$J$151,$AB928)),MONTH(INDEX(Contracts!$J$2:$J$151,$AB928)),1),IF($Z928="A",DATE(YEAR(INDEX(Fixed_Assets!$G$2:$G$201,$AB928)),MONTH(INDEX(Fixed_Assets!$G$2:$G$201,$AB928)),1),IF($Z928="F",DATE(YEAR(MAX(N(INDEX(Workforce!$I$2:$I$151,MATCH(INDEX(FTE_Allocation!$A$2:$A$201,$AB928),Workforce!$A$2:$A$151,0))),N(INDEX(FTE_Allocation!$I$2:$I$201,$AB928)))),MONTH(MAX(N(INDEX(Workforce!$I$2:$I$151,MATCH(INDEX(FTE_Allocation!$A$2:$A$201,$AB928),Workforce!$A$2:$A$151,0))),N(INDEX(FTE_Allocation!$I$2:$I$201,$AB928)))),1),"")))</f>
        <v/>
      </c>
      <c r="AF928" s="21">
        <f>IF($Z928="C",IF(INDEX(Contracts!$I$2:$I$151,$AB928)="PREPAID",EDATE(DATE(YEAR(INDEX(Contracts!$J$2:$J$151,$AB928)),MONTH(INDEX(Contracts!$J$2:$J$151,$AB928)),1),IF(INDEX(Contracts!$N$2:$N$151,$AB928)="",12,INDEX(Contracts!$N$2:$N$151,$AB928))-1),IF(INDEX(Contracts!$I$2:$I$151,$AB928)="MONTHLY",IF(INDEX(Contracts!$K$2:$K$151,$AB928)="",2958101,INDEX(Contracts!$K$2:$K$151,$AB928)),0)),IF($Z928="A",EDATE(DATE(YEAR(INDEX(Fixed_Assets!$G$2:$G$201,$AB928)),MONTH(INDEX(Fixed_Assets!$G$2:$G$201,$AB928)),1),INDEX(Fixed_Assets!$J$2:$J$201,$AB928)-1),IF($Z928="F",MIN(IF(INDEX(Workforce!$J$2:$J$151,MATCH(INDEX(FTE_Allocation!$A$2:$A$201,$AB928),Workforce!$A$2:$A$151,0))="",2958101,INDEX(Workforce!$J$2:$J$151,MATCH(INDEX(FTE_Allocation!$A$2:$A$201,$AB928),Workforce!$A$2:$A$151,0))),IF(INDEX(FTE_Allocation!$J$2:$J$201,$AB928)="",2958101,INDEX(FTE_Allocation!$J$2:$J$201,$AB928))),"")))</f>
        <v/>
      </c>
      <c r="AG928" s="19">
        <f>IF($Z928="C",IF(INDEX(Contracts!$I$2:$I$151,$AB928)="PREPAID",INDEX(Contracts!$M$2:$M$151,$AB928)/IF(INDEX(Contracts!$N$2:$N$151,$AB928)="",12,INDEX(Contracts!$N$2:$N$151,$AB928)),IF(INDEX(Contracts!$I$2:$I$151,$AB928)="MONTHLY",INDEX(Contracts!$M$2:$M$151,$AB928),0))*(1-N(INDEX(Contracts!$O$2:$O$151,$AB928))),IF($Z928="A",INDEX(Fixed_Assets!$H$2:$H$201,$AB928)/INDEX(Fixed_Assets!$J$2:$J$201,$AB928),IF($Z928="F",INDEX(Workforce!$F$2:$F$151,MATCH(INDEX(FTE_Allocation!$A$2:$A$201,$AB928),Workforce!$A$2:$A$151,0))*N(INDEX(FTE_Allocation!$F$2:$H$201,$AB928,$AC928)),"")))</f>
        <v/>
      </c>
    </row>
    <row r="929">
      <c r="A929" s="7">
        <f>IF($Z929="","",$AD929)</f>
        <v/>
      </c>
      <c r="B929" s="7">
        <f>IF($Z929="C",INDEX(Contracts!$D$2:$D$151,$AB929)&amp;"",IF($Z929="A",INDEX(Fixed_Assets!$C$2:$C$201,$AB929)&amp;"",IF($Z929="F",INDEX(Workforce!$B$2:$B$151,MATCH(INDEX(FTE_Allocation!$A$2:$A$201,$AB929),Workforce!$A$2:$A$151,0))&amp;"","")))</f>
        <v/>
      </c>
      <c r="C929" s="7">
        <f>IF($Z929="C",INDEX(Contracts!$E$2:$E$151,$AB929)&amp;"",IF($Z929="A",INDEX(Fixed_Assets!$D$2:$D$201,$AB929)&amp;"",IF($Z929="F",INDEX(FTE_Allocation!$C$2:$C$201,$AB929)&amp;"","")))</f>
        <v/>
      </c>
      <c r="D929" s="7">
        <f>IF($Z929="C",INDEX(Contracts!$B$2:$B$151,$AB929)&amp;"",IF($Z929="A",INDEX(Fixed_Assets!$B$2:$B$201,$AB929)&amp;"",IF($Z929="F",INDEX(FTE_Allocation!$B$2:$B$201,$AB929)&amp;"","")))</f>
        <v/>
      </c>
      <c r="E929" s="7">
        <f>IF($Z929="C",INDEX(Contracts!$P$2:$P$151,$AB929)&amp;"",IF($Z929="A",INDEX(Fixed_Assets!$K$2:$K$201,$AB929)&amp;"",IF($Z929="F",IF(INDEX(FTE_Allocation!$D$2:$D$201,$AB929)="PROJECT",IFERROR(INDEX(Projects!$D:$D,MATCH(INDEX(FTE_Allocation!$E$2:$E$201,$AB929),Projects!$A:$A,0))&amp;"","#PROJECT?"),INDEX(FTE_Allocation!$E$2:$E$201,$AB929)&amp;""),"")))</f>
        <v/>
      </c>
      <c r="F929" s="7">
        <f>IF($Z929="C",INDEX(Contracts!$Q$2:$Q$151,$AB929)&amp;"",IF($Z929="A",INDEX(Fixed_Assets!$L$2:$L$201,$AB929)&amp;"",IF($Z929="F",INDEX(Workforce!$K$2:$K$151,MATCH(INDEX(FTE_Allocation!$A$2:$A$201,$AB929),Workforce!$A$2:$A$151,0))&amp;"","")))</f>
        <v/>
      </c>
      <c r="G929" s="7">
        <f>IF($Z929="C",INDEX(Contracts!$F$2:$F$151,$AB929)&amp;" / "&amp;INDEX(Contracts!$G$2:$G$151,$AB929),IF($Z929="A",INDEX(Fixed_Assets!$E$2:$E$201,$AB929)&amp;"",IF($Z929="F","Personnel "&amp;INDEX(FTE_Allocation!$A$2:$A$201,$AB929)&amp;IF(INDEX(FTE_Allocation!$D$2:$D$201,$AB929)="PROJECT"," ("&amp;INDEX(FTE_Allocation!$E$2:$E$201,$AB929)&amp;")",""),"")))</f>
        <v/>
      </c>
      <c r="H929" s="7">
        <f>IF($Z929="C","CONTRACT",IF($Z929="A","ASSET",IF($Z929="F","WORKFORCE","")))</f>
        <v/>
      </c>
      <c r="I929" s="7">
        <f>IF($Z929="C",INDEX(Contracts!$L$2:$L$151,$AB929)&amp;"",IF($Z929="A",INDEX(Fixed_Assets!$I$2:$I$201,$AB929)&amp;"",IF($Z929="F",INDEX(Workforce!$G$2:$G$151,MATCH(INDEX(FTE_Allocation!$A$2:$A$201,$AB929),Workforce!$A$2:$A$151,0))&amp;"","")))</f>
        <v/>
      </c>
      <c r="J929" s="18">
        <f>IF($Z929="","",IF(AND(DATE($AD929,1,1)&gt;=$AE929,DATE($AD929,1,1)&lt;=$AF929),ROUND($AG929,2),0))</f>
        <v/>
      </c>
      <c r="K929" s="18">
        <f>IF($Z929="","",IF(AND(DATE($AD929,2,1)&gt;=$AE929,DATE($AD929,2,1)&lt;=$AF929),ROUND($AG929,2),0))</f>
        <v/>
      </c>
      <c r="L929" s="18">
        <f>IF($Z929="","",IF(AND(DATE($AD929,3,1)&gt;=$AE929,DATE($AD929,3,1)&lt;=$AF929),ROUND($AG929,2),0))</f>
        <v/>
      </c>
      <c r="M929" s="18">
        <f>IF($Z929="","",IF(AND(DATE($AD929,4,1)&gt;=$AE929,DATE($AD929,4,1)&lt;=$AF929),ROUND($AG929,2),0))</f>
        <v/>
      </c>
      <c r="N929" s="18">
        <f>IF($Z929="","",IF(AND(DATE($AD929,5,1)&gt;=$AE929,DATE($AD929,5,1)&lt;=$AF929),ROUND($AG929,2),0))</f>
        <v/>
      </c>
      <c r="O929" s="18">
        <f>IF($Z929="","",IF(AND(DATE($AD929,6,1)&gt;=$AE929,DATE($AD929,6,1)&lt;=$AF929),ROUND($AG929,2),0))</f>
        <v/>
      </c>
      <c r="P929" s="18">
        <f>IF($Z929="","",IF(AND(DATE($AD929,7,1)&gt;=$AE929,DATE($AD929,7,1)&lt;=$AF929),ROUND($AG929,2),0))</f>
        <v/>
      </c>
      <c r="Q929" s="18">
        <f>IF($Z929="","",IF(AND(DATE($AD929,8,1)&gt;=$AE929,DATE($AD929,8,1)&lt;=$AF929),ROUND($AG929,2),0))</f>
        <v/>
      </c>
      <c r="R929" s="18">
        <f>IF($Z929="","",IF(AND(DATE($AD929,9,1)&gt;=$AE929,DATE($AD929,9,1)&lt;=$AF929),ROUND($AG929,2),0))</f>
        <v/>
      </c>
      <c r="S929" s="18">
        <f>IF($Z929="","",IF(AND(DATE($AD929,10,1)&gt;=$AE929,DATE($AD929,10,1)&lt;=$AF929),ROUND($AG929,2),0))</f>
        <v/>
      </c>
      <c r="T929" s="18">
        <f>IF($Z929="","",IF(AND(DATE($AD929,11,1)&gt;=$AE929,DATE($AD929,11,1)&lt;=$AF929),ROUND($AG929,2),0))</f>
        <v/>
      </c>
      <c r="U929" s="18">
        <f>IF($Z929="","",IF(AND(DATE($AD929,12,1)&gt;=$AE929,DATE($AD929,12,1)&lt;=$AF929),ROUND($AG929,2),0))</f>
        <v/>
      </c>
      <c r="V929" s="7">
        <f>IF($Z929="C","Generated from "&amp;INDEX(Contracts!$A$2:$A$151,$AB929),IF($Z929="A","Generated from "&amp;INDEX(Fixed_Assets!$A$2:$A$201,$AB929),IF($Z929="F","Generated from "&amp;INDEX(FTE_Allocation!$A$2:$A$201,$AB929),"")))</f>
        <v/>
      </c>
      <c r="X929" s="19">
        <f>IF($Z929="","",SUM(J929:U929))</f>
        <v/>
      </c>
      <c r="Y929" s="20">
        <f>ROW()-1</f>
        <v/>
      </c>
      <c r="Z929" s="20">
        <f>IF($Y929&lt;=Settings!$B$4*3,"C",IF($Y929&lt;=(Settings!$B$4+Settings!$B$5)*3,"A",IF($Y929&lt;=(Settings!$B$4+Settings!$B$5+Settings!$B$6)*3,"F","")))</f>
        <v/>
      </c>
      <c r="AA929" s="20">
        <f>IF($Z929="C",$Y929,IF($Z929="A",$Y929-Settings!$B$4*3,IF($Z929="F",$Y929-(Settings!$B$4+Settings!$B$5)*3,"")))</f>
        <v/>
      </c>
      <c r="AB929" s="20">
        <f>IF($Z929="","",INT(($AA929-1)/3)+1)</f>
        <v/>
      </c>
      <c r="AC929" s="20">
        <f>IF($Z929="","",MOD($AA929-1,3)+1)</f>
        <v/>
      </c>
      <c r="AD929" s="20">
        <f>IF($Z929="","",Settings!$B$2+$AC929-1)</f>
        <v/>
      </c>
      <c r="AE929" s="21">
        <f>IF($Z929="C",DATE(YEAR(INDEX(Contracts!$J$2:$J$151,$AB929)),MONTH(INDEX(Contracts!$J$2:$J$151,$AB929)),1),IF($Z929="A",DATE(YEAR(INDEX(Fixed_Assets!$G$2:$G$201,$AB929)),MONTH(INDEX(Fixed_Assets!$G$2:$G$201,$AB929)),1),IF($Z929="F",DATE(YEAR(MAX(N(INDEX(Workforce!$I$2:$I$151,MATCH(INDEX(FTE_Allocation!$A$2:$A$201,$AB929),Workforce!$A$2:$A$151,0))),N(INDEX(FTE_Allocation!$I$2:$I$201,$AB929)))),MONTH(MAX(N(INDEX(Workforce!$I$2:$I$151,MATCH(INDEX(FTE_Allocation!$A$2:$A$201,$AB929),Workforce!$A$2:$A$151,0))),N(INDEX(FTE_Allocation!$I$2:$I$201,$AB929)))),1),"")))</f>
        <v/>
      </c>
      <c r="AF929" s="21">
        <f>IF($Z929="C",IF(INDEX(Contracts!$I$2:$I$151,$AB929)="PREPAID",EDATE(DATE(YEAR(INDEX(Contracts!$J$2:$J$151,$AB929)),MONTH(INDEX(Contracts!$J$2:$J$151,$AB929)),1),IF(INDEX(Contracts!$N$2:$N$151,$AB929)="",12,INDEX(Contracts!$N$2:$N$151,$AB929))-1),IF(INDEX(Contracts!$I$2:$I$151,$AB929)="MONTHLY",IF(INDEX(Contracts!$K$2:$K$151,$AB929)="",2958101,INDEX(Contracts!$K$2:$K$151,$AB929)),0)),IF($Z929="A",EDATE(DATE(YEAR(INDEX(Fixed_Assets!$G$2:$G$201,$AB929)),MONTH(INDEX(Fixed_Assets!$G$2:$G$201,$AB929)),1),INDEX(Fixed_Assets!$J$2:$J$201,$AB929)-1),IF($Z929="F",MIN(IF(INDEX(Workforce!$J$2:$J$151,MATCH(INDEX(FTE_Allocation!$A$2:$A$201,$AB929),Workforce!$A$2:$A$151,0))="",2958101,INDEX(Workforce!$J$2:$J$151,MATCH(INDEX(FTE_Allocation!$A$2:$A$201,$AB929),Workforce!$A$2:$A$151,0))),IF(INDEX(FTE_Allocation!$J$2:$J$201,$AB929)="",2958101,INDEX(FTE_Allocation!$J$2:$J$201,$AB929))),"")))</f>
        <v/>
      </c>
      <c r="AG929" s="19">
        <f>IF($Z929="C",IF(INDEX(Contracts!$I$2:$I$151,$AB929)="PREPAID",INDEX(Contracts!$M$2:$M$151,$AB929)/IF(INDEX(Contracts!$N$2:$N$151,$AB929)="",12,INDEX(Contracts!$N$2:$N$151,$AB929)),IF(INDEX(Contracts!$I$2:$I$151,$AB929)="MONTHLY",INDEX(Contracts!$M$2:$M$151,$AB929),0))*(1-N(INDEX(Contracts!$O$2:$O$151,$AB929))),IF($Z929="A",INDEX(Fixed_Assets!$H$2:$H$201,$AB929)/INDEX(Fixed_Assets!$J$2:$J$201,$AB929),IF($Z929="F",INDEX(Workforce!$F$2:$F$151,MATCH(INDEX(FTE_Allocation!$A$2:$A$201,$AB929),Workforce!$A$2:$A$151,0))*N(INDEX(FTE_Allocation!$F$2:$H$201,$AB929,$AC929)),"")))</f>
        <v/>
      </c>
    </row>
    <row r="930">
      <c r="A930" s="7">
        <f>IF($Z930="","",$AD930)</f>
        <v/>
      </c>
      <c r="B930" s="7">
        <f>IF($Z930="C",INDEX(Contracts!$D$2:$D$151,$AB930)&amp;"",IF($Z930="A",INDEX(Fixed_Assets!$C$2:$C$201,$AB930)&amp;"",IF($Z930="F",INDEX(Workforce!$B$2:$B$151,MATCH(INDEX(FTE_Allocation!$A$2:$A$201,$AB930),Workforce!$A$2:$A$151,0))&amp;"","")))</f>
        <v/>
      </c>
      <c r="C930" s="7">
        <f>IF($Z930="C",INDEX(Contracts!$E$2:$E$151,$AB930)&amp;"",IF($Z930="A",INDEX(Fixed_Assets!$D$2:$D$201,$AB930)&amp;"",IF($Z930="F",INDEX(FTE_Allocation!$C$2:$C$201,$AB930)&amp;"","")))</f>
        <v/>
      </c>
      <c r="D930" s="7">
        <f>IF($Z930="C",INDEX(Contracts!$B$2:$B$151,$AB930)&amp;"",IF($Z930="A",INDEX(Fixed_Assets!$B$2:$B$201,$AB930)&amp;"",IF($Z930="F",INDEX(FTE_Allocation!$B$2:$B$201,$AB930)&amp;"","")))</f>
        <v/>
      </c>
      <c r="E930" s="7">
        <f>IF($Z930="C",INDEX(Contracts!$P$2:$P$151,$AB930)&amp;"",IF($Z930="A",INDEX(Fixed_Assets!$K$2:$K$201,$AB930)&amp;"",IF($Z930="F",IF(INDEX(FTE_Allocation!$D$2:$D$201,$AB930)="PROJECT",IFERROR(INDEX(Projects!$D:$D,MATCH(INDEX(FTE_Allocation!$E$2:$E$201,$AB930),Projects!$A:$A,0))&amp;"","#PROJECT?"),INDEX(FTE_Allocation!$E$2:$E$201,$AB930)&amp;""),"")))</f>
        <v/>
      </c>
      <c r="F930" s="7">
        <f>IF($Z930="C",INDEX(Contracts!$Q$2:$Q$151,$AB930)&amp;"",IF($Z930="A",INDEX(Fixed_Assets!$L$2:$L$201,$AB930)&amp;"",IF($Z930="F",INDEX(Workforce!$K$2:$K$151,MATCH(INDEX(FTE_Allocation!$A$2:$A$201,$AB930),Workforce!$A$2:$A$151,0))&amp;"","")))</f>
        <v/>
      </c>
      <c r="G930" s="7">
        <f>IF($Z930="C",INDEX(Contracts!$F$2:$F$151,$AB930)&amp;" / "&amp;INDEX(Contracts!$G$2:$G$151,$AB930),IF($Z930="A",INDEX(Fixed_Assets!$E$2:$E$201,$AB930)&amp;"",IF($Z930="F","Personnel "&amp;INDEX(FTE_Allocation!$A$2:$A$201,$AB930)&amp;IF(INDEX(FTE_Allocation!$D$2:$D$201,$AB930)="PROJECT"," ("&amp;INDEX(FTE_Allocation!$E$2:$E$201,$AB930)&amp;")",""),"")))</f>
        <v/>
      </c>
      <c r="H930" s="7">
        <f>IF($Z930="C","CONTRACT",IF($Z930="A","ASSET",IF($Z930="F","WORKFORCE","")))</f>
        <v/>
      </c>
      <c r="I930" s="7">
        <f>IF($Z930="C",INDEX(Contracts!$L$2:$L$151,$AB930)&amp;"",IF($Z930="A",INDEX(Fixed_Assets!$I$2:$I$201,$AB930)&amp;"",IF($Z930="F",INDEX(Workforce!$G$2:$G$151,MATCH(INDEX(FTE_Allocation!$A$2:$A$201,$AB930),Workforce!$A$2:$A$151,0))&amp;"","")))</f>
        <v/>
      </c>
      <c r="J930" s="18">
        <f>IF($Z930="","",IF(AND(DATE($AD930,1,1)&gt;=$AE930,DATE($AD930,1,1)&lt;=$AF930),ROUND($AG930,2),0))</f>
        <v/>
      </c>
      <c r="K930" s="18">
        <f>IF($Z930="","",IF(AND(DATE($AD930,2,1)&gt;=$AE930,DATE($AD930,2,1)&lt;=$AF930),ROUND($AG930,2),0))</f>
        <v/>
      </c>
      <c r="L930" s="18">
        <f>IF($Z930="","",IF(AND(DATE($AD930,3,1)&gt;=$AE930,DATE($AD930,3,1)&lt;=$AF930),ROUND($AG930,2),0))</f>
        <v/>
      </c>
      <c r="M930" s="18">
        <f>IF($Z930="","",IF(AND(DATE($AD930,4,1)&gt;=$AE930,DATE($AD930,4,1)&lt;=$AF930),ROUND($AG930,2),0))</f>
        <v/>
      </c>
      <c r="N930" s="18">
        <f>IF($Z930="","",IF(AND(DATE($AD930,5,1)&gt;=$AE930,DATE($AD930,5,1)&lt;=$AF930),ROUND($AG930,2),0))</f>
        <v/>
      </c>
      <c r="O930" s="18">
        <f>IF($Z930="","",IF(AND(DATE($AD930,6,1)&gt;=$AE930,DATE($AD930,6,1)&lt;=$AF930),ROUND($AG930,2),0))</f>
        <v/>
      </c>
      <c r="P930" s="18">
        <f>IF($Z930="","",IF(AND(DATE($AD930,7,1)&gt;=$AE930,DATE($AD930,7,1)&lt;=$AF930),ROUND($AG930,2),0))</f>
        <v/>
      </c>
      <c r="Q930" s="18">
        <f>IF($Z930="","",IF(AND(DATE($AD930,8,1)&gt;=$AE930,DATE($AD930,8,1)&lt;=$AF930),ROUND($AG930,2),0))</f>
        <v/>
      </c>
      <c r="R930" s="18">
        <f>IF($Z930="","",IF(AND(DATE($AD930,9,1)&gt;=$AE930,DATE($AD930,9,1)&lt;=$AF930),ROUND($AG930,2),0))</f>
        <v/>
      </c>
      <c r="S930" s="18">
        <f>IF($Z930="","",IF(AND(DATE($AD930,10,1)&gt;=$AE930,DATE($AD930,10,1)&lt;=$AF930),ROUND($AG930,2),0))</f>
        <v/>
      </c>
      <c r="T930" s="18">
        <f>IF($Z930="","",IF(AND(DATE($AD930,11,1)&gt;=$AE930,DATE($AD930,11,1)&lt;=$AF930),ROUND($AG930,2),0))</f>
        <v/>
      </c>
      <c r="U930" s="18">
        <f>IF($Z930="","",IF(AND(DATE($AD930,12,1)&gt;=$AE930,DATE($AD930,12,1)&lt;=$AF930),ROUND($AG930,2),0))</f>
        <v/>
      </c>
      <c r="V930" s="7">
        <f>IF($Z930="C","Generated from "&amp;INDEX(Contracts!$A$2:$A$151,$AB930),IF($Z930="A","Generated from "&amp;INDEX(Fixed_Assets!$A$2:$A$201,$AB930),IF($Z930="F","Generated from "&amp;INDEX(FTE_Allocation!$A$2:$A$201,$AB930),"")))</f>
        <v/>
      </c>
      <c r="X930" s="19">
        <f>IF($Z930="","",SUM(J930:U930))</f>
        <v/>
      </c>
      <c r="Y930" s="20">
        <f>ROW()-1</f>
        <v/>
      </c>
      <c r="Z930" s="20">
        <f>IF($Y930&lt;=Settings!$B$4*3,"C",IF($Y930&lt;=(Settings!$B$4+Settings!$B$5)*3,"A",IF($Y930&lt;=(Settings!$B$4+Settings!$B$5+Settings!$B$6)*3,"F","")))</f>
        <v/>
      </c>
      <c r="AA930" s="20">
        <f>IF($Z930="C",$Y930,IF($Z930="A",$Y930-Settings!$B$4*3,IF($Z930="F",$Y930-(Settings!$B$4+Settings!$B$5)*3,"")))</f>
        <v/>
      </c>
      <c r="AB930" s="20">
        <f>IF($Z930="","",INT(($AA930-1)/3)+1)</f>
        <v/>
      </c>
      <c r="AC930" s="20">
        <f>IF($Z930="","",MOD($AA930-1,3)+1)</f>
        <v/>
      </c>
      <c r="AD930" s="20">
        <f>IF($Z930="","",Settings!$B$2+$AC930-1)</f>
        <v/>
      </c>
      <c r="AE930" s="21">
        <f>IF($Z930="C",DATE(YEAR(INDEX(Contracts!$J$2:$J$151,$AB930)),MONTH(INDEX(Contracts!$J$2:$J$151,$AB930)),1),IF($Z930="A",DATE(YEAR(INDEX(Fixed_Assets!$G$2:$G$201,$AB930)),MONTH(INDEX(Fixed_Assets!$G$2:$G$201,$AB930)),1),IF($Z930="F",DATE(YEAR(MAX(N(INDEX(Workforce!$I$2:$I$151,MATCH(INDEX(FTE_Allocation!$A$2:$A$201,$AB930),Workforce!$A$2:$A$151,0))),N(INDEX(FTE_Allocation!$I$2:$I$201,$AB930)))),MONTH(MAX(N(INDEX(Workforce!$I$2:$I$151,MATCH(INDEX(FTE_Allocation!$A$2:$A$201,$AB930),Workforce!$A$2:$A$151,0))),N(INDEX(FTE_Allocation!$I$2:$I$201,$AB930)))),1),"")))</f>
        <v/>
      </c>
      <c r="AF930" s="21">
        <f>IF($Z930="C",IF(INDEX(Contracts!$I$2:$I$151,$AB930)="PREPAID",EDATE(DATE(YEAR(INDEX(Contracts!$J$2:$J$151,$AB930)),MONTH(INDEX(Contracts!$J$2:$J$151,$AB930)),1),IF(INDEX(Contracts!$N$2:$N$151,$AB930)="",12,INDEX(Contracts!$N$2:$N$151,$AB930))-1),IF(INDEX(Contracts!$I$2:$I$151,$AB930)="MONTHLY",IF(INDEX(Contracts!$K$2:$K$151,$AB930)="",2958101,INDEX(Contracts!$K$2:$K$151,$AB930)),0)),IF($Z930="A",EDATE(DATE(YEAR(INDEX(Fixed_Assets!$G$2:$G$201,$AB930)),MONTH(INDEX(Fixed_Assets!$G$2:$G$201,$AB930)),1),INDEX(Fixed_Assets!$J$2:$J$201,$AB930)-1),IF($Z930="F",MIN(IF(INDEX(Workforce!$J$2:$J$151,MATCH(INDEX(FTE_Allocation!$A$2:$A$201,$AB930),Workforce!$A$2:$A$151,0))="",2958101,INDEX(Workforce!$J$2:$J$151,MATCH(INDEX(FTE_Allocation!$A$2:$A$201,$AB930),Workforce!$A$2:$A$151,0))),IF(INDEX(FTE_Allocation!$J$2:$J$201,$AB930)="",2958101,INDEX(FTE_Allocation!$J$2:$J$201,$AB930))),"")))</f>
        <v/>
      </c>
      <c r="AG930" s="19">
        <f>IF($Z930="C",IF(INDEX(Contracts!$I$2:$I$151,$AB930)="PREPAID",INDEX(Contracts!$M$2:$M$151,$AB930)/IF(INDEX(Contracts!$N$2:$N$151,$AB930)="",12,INDEX(Contracts!$N$2:$N$151,$AB930)),IF(INDEX(Contracts!$I$2:$I$151,$AB930)="MONTHLY",INDEX(Contracts!$M$2:$M$151,$AB930),0))*(1-N(INDEX(Contracts!$O$2:$O$151,$AB930))),IF($Z930="A",INDEX(Fixed_Assets!$H$2:$H$201,$AB930)/INDEX(Fixed_Assets!$J$2:$J$201,$AB930),IF($Z930="F",INDEX(Workforce!$F$2:$F$151,MATCH(INDEX(FTE_Allocation!$A$2:$A$201,$AB930),Workforce!$A$2:$A$151,0))*N(INDEX(FTE_Allocation!$F$2:$H$201,$AB930,$AC930)),"")))</f>
        <v/>
      </c>
    </row>
    <row r="931">
      <c r="A931" s="7">
        <f>IF($Z931="","",$AD931)</f>
        <v/>
      </c>
      <c r="B931" s="7">
        <f>IF($Z931="C",INDEX(Contracts!$D$2:$D$151,$AB931)&amp;"",IF($Z931="A",INDEX(Fixed_Assets!$C$2:$C$201,$AB931)&amp;"",IF($Z931="F",INDEX(Workforce!$B$2:$B$151,MATCH(INDEX(FTE_Allocation!$A$2:$A$201,$AB931),Workforce!$A$2:$A$151,0))&amp;"","")))</f>
        <v/>
      </c>
      <c r="C931" s="7">
        <f>IF($Z931="C",INDEX(Contracts!$E$2:$E$151,$AB931)&amp;"",IF($Z931="A",INDEX(Fixed_Assets!$D$2:$D$201,$AB931)&amp;"",IF($Z931="F",INDEX(FTE_Allocation!$C$2:$C$201,$AB931)&amp;"","")))</f>
        <v/>
      </c>
      <c r="D931" s="7">
        <f>IF($Z931="C",INDEX(Contracts!$B$2:$B$151,$AB931)&amp;"",IF($Z931="A",INDEX(Fixed_Assets!$B$2:$B$201,$AB931)&amp;"",IF($Z931="F",INDEX(FTE_Allocation!$B$2:$B$201,$AB931)&amp;"","")))</f>
        <v/>
      </c>
      <c r="E931" s="7">
        <f>IF($Z931="C",INDEX(Contracts!$P$2:$P$151,$AB931)&amp;"",IF($Z931="A",INDEX(Fixed_Assets!$K$2:$K$201,$AB931)&amp;"",IF($Z931="F",IF(INDEX(FTE_Allocation!$D$2:$D$201,$AB931)="PROJECT",IFERROR(INDEX(Projects!$D:$D,MATCH(INDEX(FTE_Allocation!$E$2:$E$201,$AB931),Projects!$A:$A,0))&amp;"","#PROJECT?"),INDEX(FTE_Allocation!$E$2:$E$201,$AB931)&amp;""),"")))</f>
        <v/>
      </c>
      <c r="F931" s="7">
        <f>IF($Z931="C",INDEX(Contracts!$Q$2:$Q$151,$AB931)&amp;"",IF($Z931="A",INDEX(Fixed_Assets!$L$2:$L$201,$AB931)&amp;"",IF($Z931="F",INDEX(Workforce!$K$2:$K$151,MATCH(INDEX(FTE_Allocation!$A$2:$A$201,$AB931),Workforce!$A$2:$A$151,0))&amp;"","")))</f>
        <v/>
      </c>
      <c r="G931" s="7">
        <f>IF($Z931="C",INDEX(Contracts!$F$2:$F$151,$AB931)&amp;" / "&amp;INDEX(Contracts!$G$2:$G$151,$AB931),IF($Z931="A",INDEX(Fixed_Assets!$E$2:$E$201,$AB931)&amp;"",IF($Z931="F","Personnel "&amp;INDEX(FTE_Allocation!$A$2:$A$201,$AB931)&amp;IF(INDEX(FTE_Allocation!$D$2:$D$201,$AB931)="PROJECT"," ("&amp;INDEX(FTE_Allocation!$E$2:$E$201,$AB931)&amp;")",""),"")))</f>
        <v/>
      </c>
      <c r="H931" s="7">
        <f>IF($Z931="C","CONTRACT",IF($Z931="A","ASSET",IF($Z931="F","WORKFORCE","")))</f>
        <v/>
      </c>
      <c r="I931" s="7">
        <f>IF($Z931="C",INDEX(Contracts!$L$2:$L$151,$AB931)&amp;"",IF($Z931="A",INDEX(Fixed_Assets!$I$2:$I$201,$AB931)&amp;"",IF($Z931="F",INDEX(Workforce!$G$2:$G$151,MATCH(INDEX(FTE_Allocation!$A$2:$A$201,$AB931),Workforce!$A$2:$A$151,0))&amp;"","")))</f>
        <v/>
      </c>
      <c r="J931" s="18">
        <f>IF($Z931="","",IF(AND(DATE($AD931,1,1)&gt;=$AE931,DATE($AD931,1,1)&lt;=$AF931),ROUND($AG931,2),0))</f>
        <v/>
      </c>
      <c r="K931" s="18">
        <f>IF($Z931="","",IF(AND(DATE($AD931,2,1)&gt;=$AE931,DATE($AD931,2,1)&lt;=$AF931),ROUND($AG931,2),0))</f>
        <v/>
      </c>
      <c r="L931" s="18">
        <f>IF($Z931="","",IF(AND(DATE($AD931,3,1)&gt;=$AE931,DATE($AD931,3,1)&lt;=$AF931),ROUND($AG931,2),0))</f>
        <v/>
      </c>
      <c r="M931" s="18">
        <f>IF($Z931="","",IF(AND(DATE($AD931,4,1)&gt;=$AE931,DATE($AD931,4,1)&lt;=$AF931),ROUND($AG931,2),0))</f>
        <v/>
      </c>
      <c r="N931" s="18">
        <f>IF($Z931="","",IF(AND(DATE($AD931,5,1)&gt;=$AE931,DATE($AD931,5,1)&lt;=$AF931),ROUND($AG931,2),0))</f>
        <v/>
      </c>
      <c r="O931" s="18">
        <f>IF($Z931="","",IF(AND(DATE($AD931,6,1)&gt;=$AE931,DATE($AD931,6,1)&lt;=$AF931),ROUND($AG931,2),0))</f>
        <v/>
      </c>
      <c r="P931" s="18">
        <f>IF($Z931="","",IF(AND(DATE($AD931,7,1)&gt;=$AE931,DATE($AD931,7,1)&lt;=$AF931),ROUND($AG931,2),0))</f>
        <v/>
      </c>
      <c r="Q931" s="18">
        <f>IF($Z931="","",IF(AND(DATE($AD931,8,1)&gt;=$AE931,DATE($AD931,8,1)&lt;=$AF931),ROUND($AG931,2),0))</f>
        <v/>
      </c>
      <c r="R931" s="18">
        <f>IF($Z931="","",IF(AND(DATE($AD931,9,1)&gt;=$AE931,DATE($AD931,9,1)&lt;=$AF931),ROUND($AG931,2),0))</f>
        <v/>
      </c>
      <c r="S931" s="18">
        <f>IF($Z931="","",IF(AND(DATE($AD931,10,1)&gt;=$AE931,DATE($AD931,10,1)&lt;=$AF931),ROUND($AG931,2),0))</f>
        <v/>
      </c>
      <c r="T931" s="18">
        <f>IF($Z931="","",IF(AND(DATE($AD931,11,1)&gt;=$AE931,DATE($AD931,11,1)&lt;=$AF931),ROUND($AG931,2),0))</f>
        <v/>
      </c>
      <c r="U931" s="18">
        <f>IF($Z931="","",IF(AND(DATE($AD931,12,1)&gt;=$AE931,DATE($AD931,12,1)&lt;=$AF931),ROUND($AG931,2),0))</f>
        <v/>
      </c>
      <c r="V931" s="7">
        <f>IF($Z931="C","Generated from "&amp;INDEX(Contracts!$A$2:$A$151,$AB931),IF($Z931="A","Generated from "&amp;INDEX(Fixed_Assets!$A$2:$A$201,$AB931),IF($Z931="F","Generated from "&amp;INDEX(FTE_Allocation!$A$2:$A$201,$AB931),"")))</f>
        <v/>
      </c>
      <c r="X931" s="19">
        <f>IF($Z931="","",SUM(J931:U931))</f>
        <v/>
      </c>
      <c r="Y931" s="20">
        <f>ROW()-1</f>
        <v/>
      </c>
      <c r="Z931" s="20">
        <f>IF($Y931&lt;=Settings!$B$4*3,"C",IF($Y931&lt;=(Settings!$B$4+Settings!$B$5)*3,"A",IF($Y931&lt;=(Settings!$B$4+Settings!$B$5+Settings!$B$6)*3,"F","")))</f>
        <v/>
      </c>
      <c r="AA931" s="20">
        <f>IF($Z931="C",$Y931,IF($Z931="A",$Y931-Settings!$B$4*3,IF($Z931="F",$Y931-(Settings!$B$4+Settings!$B$5)*3,"")))</f>
        <v/>
      </c>
      <c r="AB931" s="20">
        <f>IF($Z931="","",INT(($AA931-1)/3)+1)</f>
        <v/>
      </c>
      <c r="AC931" s="20">
        <f>IF($Z931="","",MOD($AA931-1,3)+1)</f>
        <v/>
      </c>
      <c r="AD931" s="20">
        <f>IF($Z931="","",Settings!$B$2+$AC931-1)</f>
        <v/>
      </c>
      <c r="AE931" s="21">
        <f>IF($Z931="C",DATE(YEAR(INDEX(Contracts!$J$2:$J$151,$AB931)),MONTH(INDEX(Contracts!$J$2:$J$151,$AB931)),1),IF($Z931="A",DATE(YEAR(INDEX(Fixed_Assets!$G$2:$G$201,$AB931)),MONTH(INDEX(Fixed_Assets!$G$2:$G$201,$AB931)),1),IF($Z931="F",DATE(YEAR(MAX(N(INDEX(Workforce!$I$2:$I$151,MATCH(INDEX(FTE_Allocation!$A$2:$A$201,$AB931),Workforce!$A$2:$A$151,0))),N(INDEX(FTE_Allocation!$I$2:$I$201,$AB931)))),MONTH(MAX(N(INDEX(Workforce!$I$2:$I$151,MATCH(INDEX(FTE_Allocation!$A$2:$A$201,$AB931),Workforce!$A$2:$A$151,0))),N(INDEX(FTE_Allocation!$I$2:$I$201,$AB931)))),1),"")))</f>
        <v/>
      </c>
      <c r="AF931" s="21">
        <f>IF($Z931="C",IF(INDEX(Contracts!$I$2:$I$151,$AB931)="PREPAID",EDATE(DATE(YEAR(INDEX(Contracts!$J$2:$J$151,$AB931)),MONTH(INDEX(Contracts!$J$2:$J$151,$AB931)),1),IF(INDEX(Contracts!$N$2:$N$151,$AB931)="",12,INDEX(Contracts!$N$2:$N$151,$AB931))-1),IF(INDEX(Contracts!$I$2:$I$151,$AB931)="MONTHLY",IF(INDEX(Contracts!$K$2:$K$151,$AB931)="",2958101,INDEX(Contracts!$K$2:$K$151,$AB931)),0)),IF($Z931="A",EDATE(DATE(YEAR(INDEX(Fixed_Assets!$G$2:$G$201,$AB931)),MONTH(INDEX(Fixed_Assets!$G$2:$G$201,$AB931)),1),INDEX(Fixed_Assets!$J$2:$J$201,$AB931)-1),IF($Z931="F",MIN(IF(INDEX(Workforce!$J$2:$J$151,MATCH(INDEX(FTE_Allocation!$A$2:$A$201,$AB931),Workforce!$A$2:$A$151,0))="",2958101,INDEX(Workforce!$J$2:$J$151,MATCH(INDEX(FTE_Allocation!$A$2:$A$201,$AB931),Workforce!$A$2:$A$151,0))),IF(INDEX(FTE_Allocation!$J$2:$J$201,$AB931)="",2958101,INDEX(FTE_Allocation!$J$2:$J$201,$AB931))),"")))</f>
        <v/>
      </c>
      <c r="AG931" s="19">
        <f>IF($Z931="C",IF(INDEX(Contracts!$I$2:$I$151,$AB931)="PREPAID",INDEX(Contracts!$M$2:$M$151,$AB931)/IF(INDEX(Contracts!$N$2:$N$151,$AB931)="",12,INDEX(Contracts!$N$2:$N$151,$AB931)),IF(INDEX(Contracts!$I$2:$I$151,$AB931)="MONTHLY",INDEX(Contracts!$M$2:$M$151,$AB931),0))*(1-N(INDEX(Contracts!$O$2:$O$151,$AB931))),IF($Z931="A",INDEX(Fixed_Assets!$H$2:$H$201,$AB931)/INDEX(Fixed_Assets!$J$2:$J$201,$AB931),IF($Z931="F",INDEX(Workforce!$F$2:$F$151,MATCH(INDEX(FTE_Allocation!$A$2:$A$201,$AB931),Workforce!$A$2:$A$151,0))*N(INDEX(FTE_Allocation!$F$2:$H$201,$AB931,$AC931)),"")))</f>
        <v/>
      </c>
    </row>
    <row r="932">
      <c r="A932" s="7">
        <f>IF($Z932="","",$AD932)</f>
        <v/>
      </c>
      <c r="B932" s="7">
        <f>IF($Z932="C",INDEX(Contracts!$D$2:$D$151,$AB932)&amp;"",IF($Z932="A",INDEX(Fixed_Assets!$C$2:$C$201,$AB932)&amp;"",IF($Z932="F",INDEX(Workforce!$B$2:$B$151,MATCH(INDEX(FTE_Allocation!$A$2:$A$201,$AB932),Workforce!$A$2:$A$151,0))&amp;"","")))</f>
        <v/>
      </c>
      <c r="C932" s="7">
        <f>IF($Z932="C",INDEX(Contracts!$E$2:$E$151,$AB932)&amp;"",IF($Z932="A",INDEX(Fixed_Assets!$D$2:$D$201,$AB932)&amp;"",IF($Z932="F",INDEX(FTE_Allocation!$C$2:$C$201,$AB932)&amp;"","")))</f>
        <v/>
      </c>
      <c r="D932" s="7">
        <f>IF($Z932="C",INDEX(Contracts!$B$2:$B$151,$AB932)&amp;"",IF($Z932="A",INDEX(Fixed_Assets!$B$2:$B$201,$AB932)&amp;"",IF($Z932="F",INDEX(FTE_Allocation!$B$2:$B$201,$AB932)&amp;"","")))</f>
        <v/>
      </c>
      <c r="E932" s="7">
        <f>IF($Z932="C",INDEX(Contracts!$P$2:$P$151,$AB932)&amp;"",IF($Z932="A",INDEX(Fixed_Assets!$K$2:$K$201,$AB932)&amp;"",IF($Z932="F",IF(INDEX(FTE_Allocation!$D$2:$D$201,$AB932)="PROJECT",IFERROR(INDEX(Projects!$D:$D,MATCH(INDEX(FTE_Allocation!$E$2:$E$201,$AB932),Projects!$A:$A,0))&amp;"","#PROJECT?"),INDEX(FTE_Allocation!$E$2:$E$201,$AB932)&amp;""),"")))</f>
        <v/>
      </c>
      <c r="F932" s="7">
        <f>IF($Z932="C",INDEX(Contracts!$Q$2:$Q$151,$AB932)&amp;"",IF($Z932="A",INDEX(Fixed_Assets!$L$2:$L$201,$AB932)&amp;"",IF($Z932="F",INDEX(Workforce!$K$2:$K$151,MATCH(INDEX(FTE_Allocation!$A$2:$A$201,$AB932),Workforce!$A$2:$A$151,0))&amp;"","")))</f>
        <v/>
      </c>
      <c r="G932" s="7">
        <f>IF($Z932="C",INDEX(Contracts!$F$2:$F$151,$AB932)&amp;" / "&amp;INDEX(Contracts!$G$2:$G$151,$AB932),IF($Z932="A",INDEX(Fixed_Assets!$E$2:$E$201,$AB932)&amp;"",IF($Z932="F","Personnel "&amp;INDEX(FTE_Allocation!$A$2:$A$201,$AB932)&amp;IF(INDEX(FTE_Allocation!$D$2:$D$201,$AB932)="PROJECT"," ("&amp;INDEX(FTE_Allocation!$E$2:$E$201,$AB932)&amp;")",""),"")))</f>
        <v/>
      </c>
      <c r="H932" s="7">
        <f>IF($Z932="C","CONTRACT",IF($Z932="A","ASSET",IF($Z932="F","WORKFORCE","")))</f>
        <v/>
      </c>
      <c r="I932" s="7">
        <f>IF($Z932="C",INDEX(Contracts!$L$2:$L$151,$AB932)&amp;"",IF($Z932="A",INDEX(Fixed_Assets!$I$2:$I$201,$AB932)&amp;"",IF($Z932="F",INDEX(Workforce!$G$2:$G$151,MATCH(INDEX(FTE_Allocation!$A$2:$A$201,$AB932),Workforce!$A$2:$A$151,0))&amp;"","")))</f>
        <v/>
      </c>
      <c r="J932" s="18">
        <f>IF($Z932="","",IF(AND(DATE($AD932,1,1)&gt;=$AE932,DATE($AD932,1,1)&lt;=$AF932),ROUND($AG932,2),0))</f>
        <v/>
      </c>
      <c r="K932" s="18">
        <f>IF($Z932="","",IF(AND(DATE($AD932,2,1)&gt;=$AE932,DATE($AD932,2,1)&lt;=$AF932),ROUND($AG932,2),0))</f>
        <v/>
      </c>
      <c r="L932" s="18">
        <f>IF($Z932="","",IF(AND(DATE($AD932,3,1)&gt;=$AE932,DATE($AD932,3,1)&lt;=$AF932),ROUND($AG932,2),0))</f>
        <v/>
      </c>
      <c r="M932" s="18">
        <f>IF($Z932="","",IF(AND(DATE($AD932,4,1)&gt;=$AE932,DATE($AD932,4,1)&lt;=$AF932),ROUND($AG932,2),0))</f>
        <v/>
      </c>
      <c r="N932" s="18">
        <f>IF($Z932="","",IF(AND(DATE($AD932,5,1)&gt;=$AE932,DATE($AD932,5,1)&lt;=$AF932),ROUND($AG932,2),0))</f>
        <v/>
      </c>
      <c r="O932" s="18">
        <f>IF($Z932="","",IF(AND(DATE($AD932,6,1)&gt;=$AE932,DATE($AD932,6,1)&lt;=$AF932),ROUND($AG932,2),0))</f>
        <v/>
      </c>
      <c r="P932" s="18">
        <f>IF($Z932="","",IF(AND(DATE($AD932,7,1)&gt;=$AE932,DATE($AD932,7,1)&lt;=$AF932),ROUND($AG932,2),0))</f>
        <v/>
      </c>
      <c r="Q932" s="18">
        <f>IF($Z932="","",IF(AND(DATE($AD932,8,1)&gt;=$AE932,DATE($AD932,8,1)&lt;=$AF932),ROUND($AG932,2),0))</f>
        <v/>
      </c>
      <c r="R932" s="18">
        <f>IF($Z932="","",IF(AND(DATE($AD932,9,1)&gt;=$AE932,DATE($AD932,9,1)&lt;=$AF932),ROUND($AG932,2),0))</f>
        <v/>
      </c>
      <c r="S932" s="18">
        <f>IF($Z932="","",IF(AND(DATE($AD932,10,1)&gt;=$AE932,DATE($AD932,10,1)&lt;=$AF932),ROUND($AG932,2),0))</f>
        <v/>
      </c>
      <c r="T932" s="18">
        <f>IF($Z932="","",IF(AND(DATE($AD932,11,1)&gt;=$AE932,DATE($AD932,11,1)&lt;=$AF932),ROUND($AG932,2),0))</f>
        <v/>
      </c>
      <c r="U932" s="18">
        <f>IF($Z932="","",IF(AND(DATE($AD932,12,1)&gt;=$AE932,DATE($AD932,12,1)&lt;=$AF932),ROUND($AG932,2),0))</f>
        <v/>
      </c>
      <c r="V932" s="7">
        <f>IF($Z932="C","Generated from "&amp;INDEX(Contracts!$A$2:$A$151,$AB932),IF($Z932="A","Generated from "&amp;INDEX(Fixed_Assets!$A$2:$A$201,$AB932),IF($Z932="F","Generated from "&amp;INDEX(FTE_Allocation!$A$2:$A$201,$AB932),"")))</f>
        <v/>
      </c>
      <c r="X932" s="19">
        <f>IF($Z932="","",SUM(J932:U932))</f>
        <v/>
      </c>
      <c r="Y932" s="20">
        <f>ROW()-1</f>
        <v/>
      </c>
      <c r="Z932" s="20">
        <f>IF($Y932&lt;=Settings!$B$4*3,"C",IF($Y932&lt;=(Settings!$B$4+Settings!$B$5)*3,"A",IF($Y932&lt;=(Settings!$B$4+Settings!$B$5+Settings!$B$6)*3,"F","")))</f>
        <v/>
      </c>
      <c r="AA932" s="20">
        <f>IF($Z932="C",$Y932,IF($Z932="A",$Y932-Settings!$B$4*3,IF($Z932="F",$Y932-(Settings!$B$4+Settings!$B$5)*3,"")))</f>
        <v/>
      </c>
      <c r="AB932" s="20">
        <f>IF($Z932="","",INT(($AA932-1)/3)+1)</f>
        <v/>
      </c>
      <c r="AC932" s="20">
        <f>IF($Z932="","",MOD($AA932-1,3)+1)</f>
        <v/>
      </c>
      <c r="AD932" s="20">
        <f>IF($Z932="","",Settings!$B$2+$AC932-1)</f>
        <v/>
      </c>
      <c r="AE932" s="21">
        <f>IF($Z932="C",DATE(YEAR(INDEX(Contracts!$J$2:$J$151,$AB932)),MONTH(INDEX(Contracts!$J$2:$J$151,$AB932)),1),IF($Z932="A",DATE(YEAR(INDEX(Fixed_Assets!$G$2:$G$201,$AB932)),MONTH(INDEX(Fixed_Assets!$G$2:$G$201,$AB932)),1),IF($Z932="F",DATE(YEAR(MAX(N(INDEX(Workforce!$I$2:$I$151,MATCH(INDEX(FTE_Allocation!$A$2:$A$201,$AB932),Workforce!$A$2:$A$151,0))),N(INDEX(FTE_Allocation!$I$2:$I$201,$AB932)))),MONTH(MAX(N(INDEX(Workforce!$I$2:$I$151,MATCH(INDEX(FTE_Allocation!$A$2:$A$201,$AB932),Workforce!$A$2:$A$151,0))),N(INDEX(FTE_Allocation!$I$2:$I$201,$AB932)))),1),"")))</f>
        <v/>
      </c>
      <c r="AF932" s="21">
        <f>IF($Z932="C",IF(INDEX(Contracts!$I$2:$I$151,$AB932)="PREPAID",EDATE(DATE(YEAR(INDEX(Contracts!$J$2:$J$151,$AB932)),MONTH(INDEX(Contracts!$J$2:$J$151,$AB932)),1),IF(INDEX(Contracts!$N$2:$N$151,$AB932)="",12,INDEX(Contracts!$N$2:$N$151,$AB932))-1),IF(INDEX(Contracts!$I$2:$I$151,$AB932)="MONTHLY",IF(INDEX(Contracts!$K$2:$K$151,$AB932)="",2958101,INDEX(Contracts!$K$2:$K$151,$AB932)),0)),IF($Z932="A",EDATE(DATE(YEAR(INDEX(Fixed_Assets!$G$2:$G$201,$AB932)),MONTH(INDEX(Fixed_Assets!$G$2:$G$201,$AB932)),1),INDEX(Fixed_Assets!$J$2:$J$201,$AB932)-1),IF($Z932="F",MIN(IF(INDEX(Workforce!$J$2:$J$151,MATCH(INDEX(FTE_Allocation!$A$2:$A$201,$AB932),Workforce!$A$2:$A$151,0))="",2958101,INDEX(Workforce!$J$2:$J$151,MATCH(INDEX(FTE_Allocation!$A$2:$A$201,$AB932),Workforce!$A$2:$A$151,0))),IF(INDEX(FTE_Allocation!$J$2:$J$201,$AB932)="",2958101,INDEX(FTE_Allocation!$J$2:$J$201,$AB932))),"")))</f>
        <v/>
      </c>
      <c r="AG932" s="19">
        <f>IF($Z932="C",IF(INDEX(Contracts!$I$2:$I$151,$AB932)="PREPAID",INDEX(Contracts!$M$2:$M$151,$AB932)/IF(INDEX(Contracts!$N$2:$N$151,$AB932)="",12,INDEX(Contracts!$N$2:$N$151,$AB932)),IF(INDEX(Contracts!$I$2:$I$151,$AB932)="MONTHLY",INDEX(Contracts!$M$2:$M$151,$AB932),0))*(1-N(INDEX(Contracts!$O$2:$O$151,$AB932))),IF($Z932="A",INDEX(Fixed_Assets!$H$2:$H$201,$AB932)/INDEX(Fixed_Assets!$J$2:$J$201,$AB932),IF($Z932="F",INDEX(Workforce!$F$2:$F$151,MATCH(INDEX(FTE_Allocation!$A$2:$A$201,$AB932),Workforce!$A$2:$A$151,0))*N(INDEX(FTE_Allocation!$F$2:$H$201,$AB932,$AC932)),"")))</f>
        <v/>
      </c>
    </row>
    <row r="933">
      <c r="A933" s="7">
        <f>IF($Z933="","",$AD933)</f>
        <v/>
      </c>
      <c r="B933" s="7">
        <f>IF($Z933="C",INDEX(Contracts!$D$2:$D$151,$AB933)&amp;"",IF($Z933="A",INDEX(Fixed_Assets!$C$2:$C$201,$AB933)&amp;"",IF($Z933="F",INDEX(Workforce!$B$2:$B$151,MATCH(INDEX(FTE_Allocation!$A$2:$A$201,$AB933),Workforce!$A$2:$A$151,0))&amp;"","")))</f>
        <v/>
      </c>
      <c r="C933" s="7">
        <f>IF($Z933="C",INDEX(Contracts!$E$2:$E$151,$AB933)&amp;"",IF($Z933="A",INDEX(Fixed_Assets!$D$2:$D$201,$AB933)&amp;"",IF($Z933="F",INDEX(FTE_Allocation!$C$2:$C$201,$AB933)&amp;"","")))</f>
        <v/>
      </c>
      <c r="D933" s="7">
        <f>IF($Z933="C",INDEX(Contracts!$B$2:$B$151,$AB933)&amp;"",IF($Z933="A",INDEX(Fixed_Assets!$B$2:$B$201,$AB933)&amp;"",IF($Z933="F",INDEX(FTE_Allocation!$B$2:$B$201,$AB933)&amp;"","")))</f>
        <v/>
      </c>
      <c r="E933" s="7">
        <f>IF($Z933="C",INDEX(Contracts!$P$2:$P$151,$AB933)&amp;"",IF($Z933="A",INDEX(Fixed_Assets!$K$2:$K$201,$AB933)&amp;"",IF($Z933="F",IF(INDEX(FTE_Allocation!$D$2:$D$201,$AB933)="PROJECT",IFERROR(INDEX(Projects!$D:$D,MATCH(INDEX(FTE_Allocation!$E$2:$E$201,$AB933),Projects!$A:$A,0))&amp;"","#PROJECT?"),INDEX(FTE_Allocation!$E$2:$E$201,$AB933)&amp;""),"")))</f>
        <v/>
      </c>
      <c r="F933" s="7">
        <f>IF($Z933="C",INDEX(Contracts!$Q$2:$Q$151,$AB933)&amp;"",IF($Z933="A",INDEX(Fixed_Assets!$L$2:$L$201,$AB933)&amp;"",IF($Z933="F",INDEX(Workforce!$K$2:$K$151,MATCH(INDEX(FTE_Allocation!$A$2:$A$201,$AB933),Workforce!$A$2:$A$151,0))&amp;"","")))</f>
        <v/>
      </c>
      <c r="G933" s="7">
        <f>IF($Z933="C",INDEX(Contracts!$F$2:$F$151,$AB933)&amp;" / "&amp;INDEX(Contracts!$G$2:$G$151,$AB933),IF($Z933="A",INDEX(Fixed_Assets!$E$2:$E$201,$AB933)&amp;"",IF($Z933="F","Personnel "&amp;INDEX(FTE_Allocation!$A$2:$A$201,$AB933)&amp;IF(INDEX(FTE_Allocation!$D$2:$D$201,$AB933)="PROJECT"," ("&amp;INDEX(FTE_Allocation!$E$2:$E$201,$AB933)&amp;")",""),"")))</f>
        <v/>
      </c>
      <c r="H933" s="7">
        <f>IF($Z933="C","CONTRACT",IF($Z933="A","ASSET",IF($Z933="F","WORKFORCE","")))</f>
        <v/>
      </c>
      <c r="I933" s="7">
        <f>IF($Z933="C",INDEX(Contracts!$L$2:$L$151,$AB933)&amp;"",IF($Z933="A",INDEX(Fixed_Assets!$I$2:$I$201,$AB933)&amp;"",IF($Z933="F",INDEX(Workforce!$G$2:$G$151,MATCH(INDEX(FTE_Allocation!$A$2:$A$201,$AB933),Workforce!$A$2:$A$151,0))&amp;"","")))</f>
        <v/>
      </c>
      <c r="J933" s="18">
        <f>IF($Z933="","",IF(AND(DATE($AD933,1,1)&gt;=$AE933,DATE($AD933,1,1)&lt;=$AF933),ROUND($AG933,2),0))</f>
        <v/>
      </c>
      <c r="K933" s="18">
        <f>IF($Z933="","",IF(AND(DATE($AD933,2,1)&gt;=$AE933,DATE($AD933,2,1)&lt;=$AF933),ROUND($AG933,2),0))</f>
        <v/>
      </c>
      <c r="L933" s="18">
        <f>IF($Z933="","",IF(AND(DATE($AD933,3,1)&gt;=$AE933,DATE($AD933,3,1)&lt;=$AF933),ROUND($AG933,2),0))</f>
        <v/>
      </c>
      <c r="M933" s="18">
        <f>IF($Z933="","",IF(AND(DATE($AD933,4,1)&gt;=$AE933,DATE($AD933,4,1)&lt;=$AF933),ROUND($AG933,2),0))</f>
        <v/>
      </c>
      <c r="N933" s="18">
        <f>IF($Z933="","",IF(AND(DATE($AD933,5,1)&gt;=$AE933,DATE($AD933,5,1)&lt;=$AF933),ROUND($AG933,2),0))</f>
        <v/>
      </c>
      <c r="O933" s="18">
        <f>IF($Z933="","",IF(AND(DATE($AD933,6,1)&gt;=$AE933,DATE($AD933,6,1)&lt;=$AF933),ROUND($AG933,2),0))</f>
        <v/>
      </c>
      <c r="P933" s="18">
        <f>IF($Z933="","",IF(AND(DATE($AD933,7,1)&gt;=$AE933,DATE($AD933,7,1)&lt;=$AF933),ROUND($AG933,2),0))</f>
        <v/>
      </c>
      <c r="Q933" s="18">
        <f>IF($Z933="","",IF(AND(DATE($AD933,8,1)&gt;=$AE933,DATE($AD933,8,1)&lt;=$AF933),ROUND($AG933,2),0))</f>
        <v/>
      </c>
      <c r="R933" s="18">
        <f>IF($Z933="","",IF(AND(DATE($AD933,9,1)&gt;=$AE933,DATE($AD933,9,1)&lt;=$AF933),ROUND($AG933,2),0))</f>
        <v/>
      </c>
      <c r="S933" s="18">
        <f>IF($Z933="","",IF(AND(DATE($AD933,10,1)&gt;=$AE933,DATE($AD933,10,1)&lt;=$AF933),ROUND($AG933,2),0))</f>
        <v/>
      </c>
      <c r="T933" s="18">
        <f>IF($Z933="","",IF(AND(DATE($AD933,11,1)&gt;=$AE933,DATE($AD933,11,1)&lt;=$AF933),ROUND($AG933,2),0))</f>
        <v/>
      </c>
      <c r="U933" s="18">
        <f>IF($Z933="","",IF(AND(DATE($AD933,12,1)&gt;=$AE933,DATE($AD933,12,1)&lt;=$AF933),ROUND($AG933,2),0))</f>
        <v/>
      </c>
      <c r="V933" s="7">
        <f>IF($Z933="C","Generated from "&amp;INDEX(Contracts!$A$2:$A$151,$AB933),IF($Z933="A","Generated from "&amp;INDEX(Fixed_Assets!$A$2:$A$201,$AB933),IF($Z933="F","Generated from "&amp;INDEX(FTE_Allocation!$A$2:$A$201,$AB933),"")))</f>
        <v/>
      </c>
      <c r="X933" s="19">
        <f>IF($Z933="","",SUM(J933:U933))</f>
        <v/>
      </c>
      <c r="Y933" s="20">
        <f>ROW()-1</f>
        <v/>
      </c>
      <c r="Z933" s="20">
        <f>IF($Y933&lt;=Settings!$B$4*3,"C",IF($Y933&lt;=(Settings!$B$4+Settings!$B$5)*3,"A",IF($Y933&lt;=(Settings!$B$4+Settings!$B$5+Settings!$B$6)*3,"F","")))</f>
        <v/>
      </c>
      <c r="AA933" s="20">
        <f>IF($Z933="C",$Y933,IF($Z933="A",$Y933-Settings!$B$4*3,IF($Z933="F",$Y933-(Settings!$B$4+Settings!$B$5)*3,"")))</f>
        <v/>
      </c>
      <c r="AB933" s="20">
        <f>IF($Z933="","",INT(($AA933-1)/3)+1)</f>
        <v/>
      </c>
      <c r="AC933" s="20">
        <f>IF($Z933="","",MOD($AA933-1,3)+1)</f>
        <v/>
      </c>
      <c r="AD933" s="20">
        <f>IF($Z933="","",Settings!$B$2+$AC933-1)</f>
        <v/>
      </c>
      <c r="AE933" s="21">
        <f>IF($Z933="C",DATE(YEAR(INDEX(Contracts!$J$2:$J$151,$AB933)),MONTH(INDEX(Contracts!$J$2:$J$151,$AB933)),1),IF($Z933="A",DATE(YEAR(INDEX(Fixed_Assets!$G$2:$G$201,$AB933)),MONTH(INDEX(Fixed_Assets!$G$2:$G$201,$AB933)),1),IF($Z933="F",DATE(YEAR(MAX(N(INDEX(Workforce!$I$2:$I$151,MATCH(INDEX(FTE_Allocation!$A$2:$A$201,$AB933),Workforce!$A$2:$A$151,0))),N(INDEX(FTE_Allocation!$I$2:$I$201,$AB933)))),MONTH(MAX(N(INDEX(Workforce!$I$2:$I$151,MATCH(INDEX(FTE_Allocation!$A$2:$A$201,$AB933),Workforce!$A$2:$A$151,0))),N(INDEX(FTE_Allocation!$I$2:$I$201,$AB933)))),1),"")))</f>
        <v/>
      </c>
      <c r="AF933" s="21">
        <f>IF($Z933="C",IF(INDEX(Contracts!$I$2:$I$151,$AB933)="PREPAID",EDATE(DATE(YEAR(INDEX(Contracts!$J$2:$J$151,$AB933)),MONTH(INDEX(Contracts!$J$2:$J$151,$AB933)),1),IF(INDEX(Contracts!$N$2:$N$151,$AB933)="",12,INDEX(Contracts!$N$2:$N$151,$AB933))-1),IF(INDEX(Contracts!$I$2:$I$151,$AB933)="MONTHLY",IF(INDEX(Contracts!$K$2:$K$151,$AB933)="",2958101,INDEX(Contracts!$K$2:$K$151,$AB933)),0)),IF($Z933="A",EDATE(DATE(YEAR(INDEX(Fixed_Assets!$G$2:$G$201,$AB933)),MONTH(INDEX(Fixed_Assets!$G$2:$G$201,$AB933)),1),INDEX(Fixed_Assets!$J$2:$J$201,$AB933)-1),IF($Z933="F",MIN(IF(INDEX(Workforce!$J$2:$J$151,MATCH(INDEX(FTE_Allocation!$A$2:$A$201,$AB933),Workforce!$A$2:$A$151,0))="",2958101,INDEX(Workforce!$J$2:$J$151,MATCH(INDEX(FTE_Allocation!$A$2:$A$201,$AB933),Workforce!$A$2:$A$151,0))),IF(INDEX(FTE_Allocation!$J$2:$J$201,$AB933)="",2958101,INDEX(FTE_Allocation!$J$2:$J$201,$AB933))),"")))</f>
        <v/>
      </c>
      <c r="AG933" s="19">
        <f>IF($Z933="C",IF(INDEX(Contracts!$I$2:$I$151,$AB933)="PREPAID",INDEX(Contracts!$M$2:$M$151,$AB933)/IF(INDEX(Contracts!$N$2:$N$151,$AB933)="",12,INDEX(Contracts!$N$2:$N$151,$AB933)),IF(INDEX(Contracts!$I$2:$I$151,$AB933)="MONTHLY",INDEX(Contracts!$M$2:$M$151,$AB933),0))*(1-N(INDEX(Contracts!$O$2:$O$151,$AB933))),IF($Z933="A",INDEX(Fixed_Assets!$H$2:$H$201,$AB933)/INDEX(Fixed_Assets!$J$2:$J$201,$AB933),IF($Z933="F",INDEX(Workforce!$F$2:$F$151,MATCH(INDEX(FTE_Allocation!$A$2:$A$201,$AB933),Workforce!$A$2:$A$151,0))*N(INDEX(FTE_Allocation!$F$2:$H$201,$AB933,$AC933)),"")))</f>
        <v/>
      </c>
    </row>
    <row r="934">
      <c r="A934" s="7">
        <f>IF($Z934="","",$AD934)</f>
        <v/>
      </c>
      <c r="B934" s="7">
        <f>IF($Z934="C",INDEX(Contracts!$D$2:$D$151,$AB934)&amp;"",IF($Z934="A",INDEX(Fixed_Assets!$C$2:$C$201,$AB934)&amp;"",IF($Z934="F",INDEX(Workforce!$B$2:$B$151,MATCH(INDEX(FTE_Allocation!$A$2:$A$201,$AB934),Workforce!$A$2:$A$151,0))&amp;"","")))</f>
        <v/>
      </c>
      <c r="C934" s="7">
        <f>IF($Z934="C",INDEX(Contracts!$E$2:$E$151,$AB934)&amp;"",IF($Z934="A",INDEX(Fixed_Assets!$D$2:$D$201,$AB934)&amp;"",IF($Z934="F",INDEX(FTE_Allocation!$C$2:$C$201,$AB934)&amp;"","")))</f>
        <v/>
      </c>
      <c r="D934" s="7">
        <f>IF($Z934="C",INDEX(Contracts!$B$2:$B$151,$AB934)&amp;"",IF($Z934="A",INDEX(Fixed_Assets!$B$2:$B$201,$AB934)&amp;"",IF($Z934="F",INDEX(FTE_Allocation!$B$2:$B$201,$AB934)&amp;"","")))</f>
        <v/>
      </c>
      <c r="E934" s="7">
        <f>IF($Z934="C",INDEX(Contracts!$P$2:$P$151,$AB934)&amp;"",IF($Z934="A",INDEX(Fixed_Assets!$K$2:$K$201,$AB934)&amp;"",IF($Z934="F",IF(INDEX(FTE_Allocation!$D$2:$D$201,$AB934)="PROJECT",IFERROR(INDEX(Projects!$D:$D,MATCH(INDEX(FTE_Allocation!$E$2:$E$201,$AB934),Projects!$A:$A,0))&amp;"","#PROJECT?"),INDEX(FTE_Allocation!$E$2:$E$201,$AB934)&amp;""),"")))</f>
        <v/>
      </c>
      <c r="F934" s="7">
        <f>IF($Z934="C",INDEX(Contracts!$Q$2:$Q$151,$AB934)&amp;"",IF($Z934="A",INDEX(Fixed_Assets!$L$2:$L$201,$AB934)&amp;"",IF($Z934="F",INDEX(Workforce!$K$2:$K$151,MATCH(INDEX(FTE_Allocation!$A$2:$A$201,$AB934),Workforce!$A$2:$A$151,0))&amp;"","")))</f>
        <v/>
      </c>
      <c r="G934" s="7">
        <f>IF($Z934="C",INDEX(Contracts!$F$2:$F$151,$AB934)&amp;" / "&amp;INDEX(Contracts!$G$2:$G$151,$AB934),IF($Z934="A",INDEX(Fixed_Assets!$E$2:$E$201,$AB934)&amp;"",IF($Z934="F","Personnel "&amp;INDEX(FTE_Allocation!$A$2:$A$201,$AB934)&amp;IF(INDEX(FTE_Allocation!$D$2:$D$201,$AB934)="PROJECT"," ("&amp;INDEX(FTE_Allocation!$E$2:$E$201,$AB934)&amp;")",""),"")))</f>
        <v/>
      </c>
      <c r="H934" s="7">
        <f>IF($Z934="C","CONTRACT",IF($Z934="A","ASSET",IF($Z934="F","WORKFORCE","")))</f>
        <v/>
      </c>
      <c r="I934" s="7">
        <f>IF($Z934="C",INDEX(Contracts!$L$2:$L$151,$AB934)&amp;"",IF($Z934="A",INDEX(Fixed_Assets!$I$2:$I$201,$AB934)&amp;"",IF($Z934="F",INDEX(Workforce!$G$2:$G$151,MATCH(INDEX(FTE_Allocation!$A$2:$A$201,$AB934),Workforce!$A$2:$A$151,0))&amp;"","")))</f>
        <v/>
      </c>
      <c r="J934" s="18">
        <f>IF($Z934="","",IF(AND(DATE($AD934,1,1)&gt;=$AE934,DATE($AD934,1,1)&lt;=$AF934),ROUND($AG934,2),0))</f>
        <v/>
      </c>
      <c r="K934" s="18">
        <f>IF($Z934="","",IF(AND(DATE($AD934,2,1)&gt;=$AE934,DATE($AD934,2,1)&lt;=$AF934),ROUND($AG934,2),0))</f>
        <v/>
      </c>
      <c r="L934" s="18">
        <f>IF($Z934="","",IF(AND(DATE($AD934,3,1)&gt;=$AE934,DATE($AD934,3,1)&lt;=$AF934),ROUND($AG934,2),0))</f>
        <v/>
      </c>
      <c r="M934" s="18">
        <f>IF($Z934="","",IF(AND(DATE($AD934,4,1)&gt;=$AE934,DATE($AD934,4,1)&lt;=$AF934),ROUND($AG934,2),0))</f>
        <v/>
      </c>
      <c r="N934" s="18">
        <f>IF($Z934="","",IF(AND(DATE($AD934,5,1)&gt;=$AE934,DATE($AD934,5,1)&lt;=$AF934),ROUND($AG934,2),0))</f>
        <v/>
      </c>
      <c r="O934" s="18">
        <f>IF($Z934="","",IF(AND(DATE($AD934,6,1)&gt;=$AE934,DATE($AD934,6,1)&lt;=$AF934),ROUND($AG934,2),0))</f>
        <v/>
      </c>
      <c r="P934" s="18">
        <f>IF($Z934="","",IF(AND(DATE($AD934,7,1)&gt;=$AE934,DATE($AD934,7,1)&lt;=$AF934),ROUND($AG934,2),0))</f>
        <v/>
      </c>
      <c r="Q934" s="18">
        <f>IF($Z934="","",IF(AND(DATE($AD934,8,1)&gt;=$AE934,DATE($AD934,8,1)&lt;=$AF934),ROUND($AG934,2),0))</f>
        <v/>
      </c>
      <c r="R934" s="18">
        <f>IF($Z934="","",IF(AND(DATE($AD934,9,1)&gt;=$AE934,DATE($AD934,9,1)&lt;=$AF934),ROUND($AG934,2),0))</f>
        <v/>
      </c>
      <c r="S934" s="18">
        <f>IF($Z934="","",IF(AND(DATE($AD934,10,1)&gt;=$AE934,DATE($AD934,10,1)&lt;=$AF934),ROUND($AG934,2),0))</f>
        <v/>
      </c>
      <c r="T934" s="18">
        <f>IF($Z934="","",IF(AND(DATE($AD934,11,1)&gt;=$AE934,DATE($AD934,11,1)&lt;=$AF934),ROUND($AG934,2),0))</f>
        <v/>
      </c>
      <c r="U934" s="18">
        <f>IF($Z934="","",IF(AND(DATE($AD934,12,1)&gt;=$AE934,DATE($AD934,12,1)&lt;=$AF934),ROUND($AG934,2),0))</f>
        <v/>
      </c>
      <c r="V934" s="7">
        <f>IF($Z934="C","Generated from "&amp;INDEX(Contracts!$A$2:$A$151,$AB934),IF($Z934="A","Generated from "&amp;INDEX(Fixed_Assets!$A$2:$A$201,$AB934),IF($Z934="F","Generated from "&amp;INDEX(FTE_Allocation!$A$2:$A$201,$AB934),"")))</f>
        <v/>
      </c>
      <c r="X934" s="19">
        <f>IF($Z934="","",SUM(J934:U934))</f>
        <v/>
      </c>
      <c r="Y934" s="20">
        <f>ROW()-1</f>
        <v/>
      </c>
      <c r="Z934" s="20">
        <f>IF($Y934&lt;=Settings!$B$4*3,"C",IF($Y934&lt;=(Settings!$B$4+Settings!$B$5)*3,"A",IF($Y934&lt;=(Settings!$B$4+Settings!$B$5+Settings!$B$6)*3,"F","")))</f>
        <v/>
      </c>
      <c r="AA934" s="20">
        <f>IF($Z934="C",$Y934,IF($Z934="A",$Y934-Settings!$B$4*3,IF($Z934="F",$Y934-(Settings!$B$4+Settings!$B$5)*3,"")))</f>
        <v/>
      </c>
      <c r="AB934" s="20">
        <f>IF($Z934="","",INT(($AA934-1)/3)+1)</f>
        <v/>
      </c>
      <c r="AC934" s="20">
        <f>IF($Z934="","",MOD($AA934-1,3)+1)</f>
        <v/>
      </c>
      <c r="AD934" s="20">
        <f>IF($Z934="","",Settings!$B$2+$AC934-1)</f>
        <v/>
      </c>
      <c r="AE934" s="21">
        <f>IF($Z934="C",DATE(YEAR(INDEX(Contracts!$J$2:$J$151,$AB934)),MONTH(INDEX(Contracts!$J$2:$J$151,$AB934)),1),IF($Z934="A",DATE(YEAR(INDEX(Fixed_Assets!$G$2:$G$201,$AB934)),MONTH(INDEX(Fixed_Assets!$G$2:$G$201,$AB934)),1),IF($Z934="F",DATE(YEAR(MAX(N(INDEX(Workforce!$I$2:$I$151,MATCH(INDEX(FTE_Allocation!$A$2:$A$201,$AB934),Workforce!$A$2:$A$151,0))),N(INDEX(FTE_Allocation!$I$2:$I$201,$AB934)))),MONTH(MAX(N(INDEX(Workforce!$I$2:$I$151,MATCH(INDEX(FTE_Allocation!$A$2:$A$201,$AB934),Workforce!$A$2:$A$151,0))),N(INDEX(FTE_Allocation!$I$2:$I$201,$AB934)))),1),"")))</f>
        <v/>
      </c>
      <c r="AF934" s="21">
        <f>IF($Z934="C",IF(INDEX(Contracts!$I$2:$I$151,$AB934)="PREPAID",EDATE(DATE(YEAR(INDEX(Contracts!$J$2:$J$151,$AB934)),MONTH(INDEX(Contracts!$J$2:$J$151,$AB934)),1),IF(INDEX(Contracts!$N$2:$N$151,$AB934)="",12,INDEX(Contracts!$N$2:$N$151,$AB934))-1),IF(INDEX(Contracts!$I$2:$I$151,$AB934)="MONTHLY",IF(INDEX(Contracts!$K$2:$K$151,$AB934)="",2958101,INDEX(Contracts!$K$2:$K$151,$AB934)),0)),IF($Z934="A",EDATE(DATE(YEAR(INDEX(Fixed_Assets!$G$2:$G$201,$AB934)),MONTH(INDEX(Fixed_Assets!$G$2:$G$201,$AB934)),1),INDEX(Fixed_Assets!$J$2:$J$201,$AB934)-1),IF($Z934="F",MIN(IF(INDEX(Workforce!$J$2:$J$151,MATCH(INDEX(FTE_Allocation!$A$2:$A$201,$AB934),Workforce!$A$2:$A$151,0))="",2958101,INDEX(Workforce!$J$2:$J$151,MATCH(INDEX(FTE_Allocation!$A$2:$A$201,$AB934),Workforce!$A$2:$A$151,0))),IF(INDEX(FTE_Allocation!$J$2:$J$201,$AB934)="",2958101,INDEX(FTE_Allocation!$J$2:$J$201,$AB934))),"")))</f>
        <v/>
      </c>
      <c r="AG934" s="19">
        <f>IF($Z934="C",IF(INDEX(Contracts!$I$2:$I$151,$AB934)="PREPAID",INDEX(Contracts!$M$2:$M$151,$AB934)/IF(INDEX(Contracts!$N$2:$N$151,$AB934)="",12,INDEX(Contracts!$N$2:$N$151,$AB934)),IF(INDEX(Contracts!$I$2:$I$151,$AB934)="MONTHLY",INDEX(Contracts!$M$2:$M$151,$AB934),0))*(1-N(INDEX(Contracts!$O$2:$O$151,$AB934))),IF($Z934="A",INDEX(Fixed_Assets!$H$2:$H$201,$AB934)/INDEX(Fixed_Assets!$J$2:$J$201,$AB934),IF($Z934="F",INDEX(Workforce!$F$2:$F$151,MATCH(INDEX(FTE_Allocation!$A$2:$A$201,$AB934),Workforce!$A$2:$A$151,0))*N(INDEX(FTE_Allocation!$F$2:$H$201,$AB934,$AC934)),"")))</f>
        <v/>
      </c>
    </row>
    <row r="935">
      <c r="A935" s="7">
        <f>IF($Z935="","",$AD935)</f>
        <v/>
      </c>
      <c r="B935" s="7">
        <f>IF($Z935="C",INDEX(Contracts!$D$2:$D$151,$AB935)&amp;"",IF($Z935="A",INDEX(Fixed_Assets!$C$2:$C$201,$AB935)&amp;"",IF($Z935="F",INDEX(Workforce!$B$2:$B$151,MATCH(INDEX(FTE_Allocation!$A$2:$A$201,$AB935),Workforce!$A$2:$A$151,0))&amp;"","")))</f>
        <v/>
      </c>
      <c r="C935" s="7">
        <f>IF($Z935="C",INDEX(Contracts!$E$2:$E$151,$AB935)&amp;"",IF($Z935="A",INDEX(Fixed_Assets!$D$2:$D$201,$AB935)&amp;"",IF($Z935="F",INDEX(FTE_Allocation!$C$2:$C$201,$AB935)&amp;"","")))</f>
        <v/>
      </c>
      <c r="D935" s="7">
        <f>IF($Z935="C",INDEX(Contracts!$B$2:$B$151,$AB935)&amp;"",IF($Z935="A",INDEX(Fixed_Assets!$B$2:$B$201,$AB935)&amp;"",IF($Z935="F",INDEX(FTE_Allocation!$B$2:$B$201,$AB935)&amp;"","")))</f>
        <v/>
      </c>
      <c r="E935" s="7">
        <f>IF($Z935="C",INDEX(Contracts!$P$2:$P$151,$AB935)&amp;"",IF($Z935="A",INDEX(Fixed_Assets!$K$2:$K$201,$AB935)&amp;"",IF($Z935="F",IF(INDEX(FTE_Allocation!$D$2:$D$201,$AB935)="PROJECT",IFERROR(INDEX(Projects!$D:$D,MATCH(INDEX(FTE_Allocation!$E$2:$E$201,$AB935),Projects!$A:$A,0))&amp;"","#PROJECT?"),INDEX(FTE_Allocation!$E$2:$E$201,$AB935)&amp;""),"")))</f>
        <v/>
      </c>
      <c r="F935" s="7">
        <f>IF($Z935="C",INDEX(Contracts!$Q$2:$Q$151,$AB935)&amp;"",IF($Z935="A",INDEX(Fixed_Assets!$L$2:$L$201,$AB935)&amp;"",IF($Z935="F",INDEX(Workforce!$K$2:$K$151,MATCH(INDEX(FTE_Allocation!$A$2:$A$201,$AB935),Workforce!$A$2:$A$151,0))&amp;"","")))</f>
        <v/>
      </c>
      <c r="G935" s="7">
        <f>IF($Z935="C",INDEX(Contracts!$F$2:$F$151,$AB935)&amp;" / "&amp;INDEX(Contracts!$G$2:$G$151,$AB935),IF($Z935="A",INDEX(Fixed_Assets!$E$2:$E$201,$AB935)&amp;"",IF($Z935="F","Personnel "&amp;INDEX(FTE_Allocation!$A$2:$A$201,$AB935)&amp;IF(INDEX(FTE_Allocation!$D$2:$D$201,$AB935)="PROJECT"," ("&amp;INDEX(FTE_Allocation!$E$2:$E$201,$AB935)&amp;")",""),"")))</f>
        <v/>
      </c>
      <c r="H935" s="7">
        <f>IF($Z935="C","CONTRACT",IF($Z935="A","ASSET",IF($Z935="F","WORKFORCE","")))</f>
        <v/>
      </c>
      <c r="I935" s="7">
        <f>IF($Z935="C",INDEX(Contracts!$L$2:$L$151,$AB935)&amp;"",IF($Z935="A",INDEX(Fixed_Assets!$I$2:$I$201,$AB935)&amp;"",IF($Z935="F",INDEX(Workforce!$G$2:$G$151,MATCH(INDEX(FTE_Allocation!$A$2:$A$201,$AB935),Workforce!$A$2:$A$151,0))&amp;"","")))</f>
        <v/>
      </c>
      <c r="J935" s="18">
        <f>IF($Z935="","",IF(AND(DATE($AD935,1,1)&gt;=$AE935,DATE($AD935,1,1)&lt;=$AF935),ROUND($AG935,2),0))</f>
        <v/>
      </c>
      <c r="K935" s="18">
        <f>IF($Z935="","",IF(AND(DATE($AD935,2,1)&gt;=$AE935,DATE($AD935,2,1)&lt;=$AF935),ROUND($AG935,2),0))</f>
        <v/>
      </c>
      <c r="L935" s="18">
        <f>IF($Z935="","",IF(AND(DATE($AD935,3,1)&gt;=$AE935,DATE($AD935,3,1)&lt;=$AF935),ROUND($AG935,2),0))</f>
        <v/>
      </c>
      <c r="M935" s="18">
        <f>IF($Z935="","",IF(AND(DATE($AD935,4,1)&gt;=$AE935,DATE($AD935,4,1)&lt;=$AF935),ROUND($AG935,2),0))</f>
        <v/>
      </c>
      <c r="N935" s="18">
        <f>IF($Z935="","",IF(AND(DATE($AD935,5,1)&gt;=$AE935,DATE($AD935,5,1)&lt;=$AF935),ROUND($AG935,2),0))</f>
        <v/>
      </c>
      <c r="O935" s="18">
        <f>IF($Z935="","",IF(AND(DATE($AD935,6,1)&gt;=$AE935,DATE($AD935,6,1)&lt;=$AF935),ROUND($AG935,2),0))</f>
        <v/>
      </c>
      <c r="P935" s="18">
        <f>IF($Z935="","",IF(AND(DATE($AD935,7,1)&gt;=$AE935,DATE($AD935,7,1)&lt;=$AF935),ROUND($AG935,2),0))</f>
        <v/>
      </c>
      <c r="Q935" s="18">
        <f>IF($Z935="","",IF(AND(DATE($AD935,8,1)&gt;=$AE935,DATE($AD935,8,1)&lt;=$AF935),ROUND($AG935,2),0))</f>
        <v/>
      </c>
      <c r="R935" s="18">
        <f>IF($Z935="","",IF(AND(DATE($AD935,9,1)&gt;=$AE935,DATE($AD935,9,1)&lt;=$AF935),ROUND($AG935,2),0))</f>
        <v/>
      </c>
      <c r="S935" s="18">
        <f>IF($Z935="","",IF(AND(DATE($AD935,10,1)&gt;=$AE935,DATE($AD935,10,1)&lt;=$AF935),ROUND($AG935,2),0))</f>
        <v/>
      </c>
      <c r="T935" s="18">
        <f>IF($Z935="","",IF(AND(DATE($AD935,11,1)&gt;=$AE935,DATE($AD935,11,1)&lt;=$AF935),ROUND($AG935,2),0))</f>
        <v/>
      </c>
      <c r="U935" s="18">
        <f>IF($Z935="","",IF(AND(DATE($AD935,12,1)&gt;=$AE935,DATE($AD935,12,1)&lt;=$AF935),ROUND($AG935,2),0))</f>
        <v/>
      </c>
      <c r="V935" s="7">
        <f>IF($Z935="C","Generated from "&amp;INDEX(Contracts!$A$2:$A$151,$AB935),IF($Z935="A","Generated from "&amp;INDEX(Fixed_Assets!$A$2:$A$201,$AB935),IF($Z935="F","Generated from "&amp;INDEX(FTE_Allocation!$A$2:$A$201,$AB935),"")))</f>
        <v/>
      </c>
      <c r="X935" s="19">
        <f>IF($Z935="","",SUM(J935:U935))</f>
        <v/>
      </c>
      <c r="Y935" s="20">
        <f>ROW()-1</f>
        <v/>
      </c>
      <c r="Z935" s="20">
        <f>IF($Y935&lt;=Settings!$B$4*3,"C",IF($Y935&lt;=(Settings!$B$4+Settings!$B$5)*3,"A",IF($Y935&lt;=(Settings!$B$4+Settings!$B$5+Settings!$B$6)*3,"F","")))</f>
        <v/>
      </c>
      <c r="AA935" s="20">
        <f>IF($Z935="C",$Y935,IF($Z935="A",$Y935-Settings!$B$4*3,IF($Z935="F",$Y935-(Settings!$B$4+Settings!$B$5)*3,"")))</f>
        <v/>
      </c>
      <c r="AB935" s="20">
        <f>IF($Z935="","",INT(($AA935-1)/3)+1)</f>
        <v/>
      </c>
      <c r="AC935" s="20">
        <f>IF($Z935="","",MOD($AA935-1,3)+1)</f>
        <v/>
      </c>
      <c r="AD935" s="20">
        <f>IF($Z935="","",Settings!$B$2+$AC935-1)</f>
        <v/>
      </c>
      <c r="AE935" s="21">
        <f>IF($Z935="C",DATE(YEAR(INDEX(Contracts!$J$2:$J$151,$AB935)),MONTH(INDEX(Contracts!$J$2:$J$151,$AB935)),1),IF($Z935="A",DATE(YEAR(INDEX(Fixed_Assets!$G$2:$G$201,$AB935)),MONTH(INDEX(Fixed_Assets!$G$2:$G$201,$AB935)),1),IF($Z935="F",DATE(YEAR(MAX(N(INDEX(Workforce!$I$2:$I$151,MATCH(INDEX(FTE_Allocation!$A$2:$A$201,$AB935),Workforce!$A$2:$A$151,0))),N(INDEX(FTE_Allocation!$I$2:$I$201,$AB935)))),MONTH(MAX(N(INDEX(Workforce!$I$2:$I$151,MATCH(INDEX(FTE_Allocation!$A$2:$A$201,$AB935),Workforce!$A$2:$A$151,0))),N(INDEX(FTE_Allocation!$I$2:$I$201,$AB935)))),1),"")))</f>
        <v/>
      </c>
      <c r="AF935" s="21">
        <f>IF($Z935="C",IF(INDEX(Contracts!$I$2:$I$151,$AB935)="PREPAID",EDATE(DATE(YEAR(INDEX(Contracts!$J$2:$J$151,$AB935)),MONTH(INDEX(Contracts!$J$2:$J$151,$AB935)),1),IF(INDEX(Contracts!$N$2:$N$151,$AB935)="",12,INDEX(Contracts!$N$2:$N$151,$AB935))-1),IF(INDEX(Contracts!$I$2:$I$151,$AB935)="MONTHLY",IF(INDEX(Contracts!$K$2:$K$151,$AB935)="",2958101,INDEX(Contracts!$K$2:$K$151,$AB935)),0)),IF($Z935="A",EDATE(DATE(YEAR(INDEX(Fixed_Assets!$G$2:$G$201,$AB935)),MONTH(INDEX(Fixed_Assets!$G$2:$G$201,$AB935)),1),INDEX(Fixed_Assets!$J$2:$J$201,$AB935)-1),IF($Z935="F",MIN(IF(INDEX(Workforce!$J$2:$J$151,MATCH(INDEX(FTE_Allocation!$A$2:$A$201,$AB935),Workforce!$A$2:$A$151,0))="",2958101,INDEX(Workforce!$J$2:$J$151,MATCH(INDEX(FTE_Allocation!$A$2:$A$201,$AB935),Workforce!$A$2:$A$151,0))),IF(INDEX(FTE_Allocation!$J$2:$J$201,$AB935)="",2958101,INDEX(FTE_Allocation!$J$2:$J$201,$AB935))),"")))</f>
        <v/>
      </c>
      <c r="AG935" s="19">
        <f>IF($Z935="C",IF(INDEX(Contracts!$I$2:$I$151,$AB935)="PREPAID",INDEX(Contracts!$M$2:$M$151,$AB935)/IF(INDEX(Contracts!$N$2:$N$151,$AB935)="",12,INDEX(Contracts!$N$2:$N$151,$AB935)),IF(INDEX(Contracts!$I$2:$I$151,$AB935)="MONTHLY",INDEX(Contracts!$M$2:$M$151,$AB935),0))*(1-N(INDEX(Contracts!$O$2:$O$151,$AB935))),IF($Z935="A",INDEX(Fixed_Assets!$H$2:$H$201,$AB935)/INDEX(Fixed_Assets!$J$2:$J$201,$AB935),IF($Z935="F",INDEX(Workforce!$F$2:$F$151,MATCH(INDEX(FTE_Allocation!$A$2:$A$201,$AB935),Workforce!$A$2:$A$151,0))*N(INDEX(FTE_Allocation!$F$2:$H$201,$AB935,$AC935)),"")))</f>
        <v/>
      </c>
    </row>
    <row r="936">
      <c r="A936" s="7">
        <f>IF($Z936="","",$AD936)</f>
        <v/>
      </c>
      <c r="B936" s="7">
        <f>IF($Z936="C",INDEX(Contracts!$D$2:$D$151,$AB936)&amp;"",IF($Z936="A",INDEX(Fixed_Assets!$C$2:$C$201,$AB936)&amp;"",IF($Z936="F",INDEX(Workforce!$B$2:$B$151,MATCH(INDEX(FTE_Allocation!$A$2:$A$201,$AB936),Workforce!$A$2:$A$151,0))&amp;"","")))</f>
        <v/>
      </c>
      <c r="C936" s="7">
        <f>IF($Z936="C",INDEX(Contracts!$E$2:$E$151,$AB936)&amp;"",IF($Z936="A",INDEX(Fixed_Assets!$D$2:$D$201,$AB936)&amp;"",IF($Z936="F",INDEX(FTE_Allocation!$C$2:$C$201,$AB936)&amp;"","")))</f>
        <v/>
      </c>
      <c r="D936" s="7">
        <f>IF($Z936="C",INDEX(Contracts!$B$2:$B$151,$AB936)&amp;"",IF($Z936="A",INDEX(Fixed_Assets!$B$2:$B$201,$AB936)&amp;"",IF($Z936="F",INDEX(FTE_Allocation!$B$2:$B$201,$AB936)&amp;"","")))</f>
        <v/>
      </c>
      <c r="E936" s="7">
        <f>IF($Z936="C",INDEX(Contracts!$P$2:$P$151,$AB936)&amp;"",IF($Z936="A",INDEX(Fixed_Assets!$K$2:$K$201,$AB936)&amp;"",IF($Z936="F",IF(INDEX(FTE_Allocation!$D$2:$D$201,$AB936)="PROJECT",IFERROR(INDEX(Projects!$D:$D,MATCH(INDEX(FTE_Allocation!$E$2:$E$201,$AB936),Projects!$A:$A,0))&amp;"","#PROJECT?"),INDEX(FTE_Allocation!$E$2:$E$201,$AB936)&amp;""),"")))</f>
        <v/>
      </c>
      <c r="F936" s="7">
        <f>IF($Z936="C",INDEX(Contracts!$Q$2:$Q$151,$AB936)&amp;"",IF($Z936="A",INDEX(Fixed_Assets!$L$2:$L$201,$AB936)&amp;"",IF($Z936="F",INDEX(Workforce!$K$2:$K$151,MATCH(INDEX(FTE_Allocation!$A$2:$A$201,$AB936),Workforce!$A$2:$A$151,0))&amp;"","")))</f>
        <v/>
      </c>
      <c r="G936" s="7">
        <f>IF($Z936="C",INDEX(Contracts!$F$2:$F$151,$AB936)&amp;" / "&amp;INDEX(Contracts!$G$2:$G$151,$AB936),IF($Z936="A",INDEX(Fixed_Assets!$E$2:$E$201,$AB936)&amp;"",IF($Z936="F","Personnel "&amp;INDEX(FTE_Allocation!$A$2:$A$201,$AB936)&amp;IF(INDEX(FTE_Allocation!$D$2:$D$201,$AB936)="PROJECT"," ("&amp;INDEX(FTE_Allocation!$E$2:$E$201,$AB936)&amp;")",""),"")))</f>
        <v/>
      </c>
      <c r="H936" s="7">
        <f>IF($Z936="C","CONTRACT",IF($Z936="A","ASSET",IF($Z936="F","WORKFORCE","")))</f>
        <v/>
      </c>
      <c r="I936" s="7">
        <f>IF($Z936="C",INDEX(Contracts!$L$2:$L$151,$AB936)&amp;"",IF($Z936="A",INDEX(Fixed_Assets!$I$2:$I$201,$AB936)&amp;"",IF($Z936="F",INDEX(Workforce!$G$2:$G$151,MATCH(INDEX(FTE_Allocation!$A$2:$A$201,$AB936),Workforce!$A$2:$A$151,0))&amp;"","")))</f>
        <v/>
      </c>
      <c r="J936" s="18">
        <f>IF($Z936="","",IF(AND(DATE($AD936,1,1)&gt;=$AE936,DATE($AD936,1,1)&lt;=$AF936),ROUND($AG936,2),0))</f>
        <v/>
      </c>
      <c r="K936" s="18">
        <f>IF($Z936="","",IF(AND(DATE($AD936,2,1)&gt;=$AE936,DATE($AD936,2,1)&lt;=$AF936),ROUND($AG936,2),0))</f>
        <v/>
      </c>
      <c r="L936" s="18">
        <f>IF($Z936="","",IF(AND(DATE($AD936,3,1)&gt;=$AE936,DATE($AD936,3,1)&lt;=$AF936),ROUND($AG936,2),0))</f>
        <v/>
      </c>
      <c r="M936" s="18">
        <f>IF($Z936="","",IF(AND(DATE($AD936,4,1)&gt;=$AE936,DATE($AD936,4,1)&lt;=$AF936),ROUND($AG936,2),0))</f>
        <v/>
      </c>
      <c r="N936" s="18">
        <f>IF($Z936="","",IF(AND(DATE($AD936,5,1)&gt;=$AE936,DATE($AD936,5,1)&lt;=$AF936),ROUND($AG936,2),0))</f>
        <v/>
      </c>
      <c r="O936" s="18">
        <f>IF($Z936="","",IF(AND(DATE($AD936,6,1)&gt;=$AE936,DATE($AD936,6,1)&lt;=$AF936),ROUND($AG936,2),0))</f>
        <v/>
      </c>
      <c r="P936" s="18">
        <f>IF($Z936="","",IF(AND(DATE($AD936,7,1)&gt;=$AE936,DATE($AD936,7,1)&lt;=$AF936),ROUND($AG936,2),0))</f>
        <v/>
      </c>
      <c r="Q936" s="18">
        <f>IF($Z936="","",IF(AND(DATE($AD936,8,1)&gt;=$AE936,DATE($AD936,8,1)&lt;=$AF936),ROUND($AG936,2),0))</f>
        <v/>
      </c>
      <c r="R936" s="18">
        <f>IF($Z936="","",IF(AND(DATE($AD936,9,1)&gt;=$AE936,DATE($AD936,9,1)&lt;=$AF936),ROUND($AG936,2),0))</f>
        <v/>
      </c>
      <c r="S936" s="18">
        <f>IF($Z936="","",IF(AND(DATE($AD936,10,1)&gt;=$AE936,DATE($AD936,10,1)&lt;=$AF936),ROUND($AG936,2),0))</f>
        <v/>
      </c>
      <c r="T936" s="18">
        <f>IF($Z936="","",IF(AND(DATE($AD936,11,1)&gt;=$AE936,DATE($AD936,11,1)&lt;=$AF936),ROUND($AG936,2),0))</f>
        <v/>
      </c>
      <c r="U936" s="18">
        <f>IF($Z936="","",IF(AND(DATE($AD936,12,1)&gt;=$AE936,DATE($AD936,12,1)&lt;=$AF936),ROUND($AG936,2),0))</f>
        <v/>
      </c>
      <c r="V936" s="7">
        <f>IF($Z936="C","Generated from "&amp;INDEX(Contracts!$A$2:$A$151,$AB936),IF($Z936="A","Generated from "&amp;INDEX(Fixed_Assets!$A$2:$A$201,$AB936),IF($Z936="F","Generated from "&amp;INDEX(FTE_Allocation!$A$2:$A$201,$AB936),"")))</f>
        <v/>
      </c>
      <c r="X936" s="19">
        <f>IF($Z936="","",SUM(J936:U936))</f>
        <v/>
      </c>
      <c r="Y936" s="20">
        <f>ROW()-1</f>
        <v/>
      </c>
      <c r="Z936" s="20">
        <f>IF($Y936&lt;=Settings!$B$4*3,"C",IF($Y936&lt;=(Settings!$B$4+Settings!$B$5)*3,"A",IF($Y936&lt;=(Settings!$B$4+Settings!$B$5+Settings!$B$6)*3,"F","")))</f>
        <v/>
      </c>
      <c r="AA936" s="20">
        <f>IF($Z936="C",$Y936,IF($Z936="A",$Y936-Settings!$B$4*3,IF($Z936="F",$Y936-(Settings!$B$4+Settings!$B$5)*3,"")))</f>
        <v/>
      </c>
      <c r="AB936" s="20">
        <f>IF($Z936="","",INT(($AA936-1)/3)+1)</f>
        <v/>
      </c>
      <c r="AC936" s="20">
        <f>IF($Z936="","",MOD($AA936-1,3)+1)</f>
        <v/>
      </c>
      <c r="AD936" s="20">
        <f>IF($Z936="","",Settings!$B$2+$AC936-1)</f>
        <v/>
      </c>
      <c r="AE936" s="21">
        <f>IF($Z936="C",DATE(YEAR(INDEX(Contracts!$J$2:$J$151,$AB936)),MONTH(INDEX(Contracts!$J$2:$J$151,$AB936)),1),IF($Z936="A",DATE(YEAR(INDEX(Fixed_Assets!$G$2:$G$201,$AB936)),MONTH(INDEX(Fixed_Assets!$G$2:$G$201,$AB936)),1),IF($Z936="F",DATE(YEAR(MAX(N(INDEX(Workforce!$I$2:$I$151,MATCH(INDEX(FTE_Allocation!$A$2:$A$201,$AB936),Workforce!$A$2:$A$151,0))),N(INDEX(FTE_Allocation!$I$2:$I$201,$AB936)))),MONTH(MAX(N(INDEX(Workforce!$I$2:$I$151,MATCH(INDEX(FTE_Allocation!$A$2:$A$201,$AB936),Workforce!$A$2:$A$151,0))),N(INDEX(FTE_Allocation!$I$2:$I$201,$AB936)))),1),"")))</f>
        <v/>
      </c>
      <c r="AF936" s="21">
        <f>IF($Z936="C",IF(INDEX(Contracts!$I$2:$I$151,$AB936)="PREPAID",EDATE(DATE(YEAR(INDEX(Contracts!$J$2:$J$151,$AB936)),MONTH(INDEX(Contracts!$J$2:$J$151,$AB936)),1),IF(INDEX(Contracts!$N$2:$N$151,$AB936)="",12,INDEX(Contracts!$N$2:$N$151,$AB936))-1),IF(INDEX(Contracts!$I$2:$I$151,$AB936)="MONTHLY",IF(INDEX(Contracts!$K$2:$K$151,$AB936)="",2958101,INDEX(Contracts!$K$2:$K$151,$AB936)),0)),IF($Z936="A",EDATE(DATE(YEAR(INDEX(Fixed_Assets!$G$2:$G$201,$AB936)),MONTH(INDEX(Fixed_Assets!$G$2:$G$201,$AB936)),1),INDEX(Fixed_Assets!$J$2:$J$201,$AB936)-1),IF($Z936="F",MIN(IF(INDEX(Workforce!$J$2:$J$151,MATCH(INDEX(FTE_Allocation!$A$2:$A$201,$AB936),Workforce!$A$2:$A$151,0))="",2958101,INDEX(Workforce!$J$2:$J$151,MATCH(INDEX(FTE_Allocation!$A$2:$A$201,$AB936),Workforce!$A$2:$A$151,0))),IF(INDEX(FTE_Allocation!$J$2:$J$201,$AB936)="",2958101,INDEX(FTE_Allocation!$J$2:$J$201,$AB936))),"")))</f>
        <v/>
      </c>
      <c r="AG936" s="19">
        <f>IF($Z936="C",IF(INDEX(Contracts!$I$2:$I$151,$AB936)="PREPAID",INDEX(Contracts!$M$2:$M$151,$AB936)/IF(INDEX(Contracts!$N$2:$N$151,$AB936)="",12,INDEX(Contracts!$N$2:$N$151,$AB936)),IF(INDEX(Contracts!$I$2:$I$151,$AB936)="MONTHLY",INDEX(Contracts!$M$2:$M$151,$AB936),0))*(1-N(INDEX(Contracts!$O$2:$O$151,$AB936))),IF($Z936="A",INDEX(Fixed_Assets!$H$2:$H$201,$AB936)/INDEX(Fixed_Assets!$J$2:$J$201,$AB936),IF($Z936="F",INDEX(Workforce!$F$2:$F$151,MATCH(INDEX(FTE_Allocation!$A$2:$A$201,$AB936),Workforce!$A$2:$A$151,0))*N(INDEX(FTE_Allocation!$F$2:$H$201,$AB936,$AC936)),"")))</f>
        <v/>
      </c>
    </row>
    <row r="937">
      <c r="A937" s="7">
        <f>IF($Z937="","",$AD937)</f>
        <v/>
      </c>
      <c r="B937" s="7">
        <f>IF($Z937="C",INDEX(Contracts!$D$2:$D$151,$AB937)&amp;"",IF($Z937="A",INDEX(Fixed_Assets!$C$2:$C$201,$AB937)&amp;"",IF($Z937="F",INDEX(Workforce!$B$2:$B$151,MATCH(INDEX(FTE_Allocation!$A$2:$A$201,$AB937),Workforce!$A$2:$A$151,0))&amp;"","")))</f>
        <v/>
      </c>
      <c r="C937" s="7">
        <f>IF($Z937="C",INDEX(Contracts!$E$2:$E$151,$AB937)&amp;"",IF($Z937="A",INDEX(Fixed_Assets!$D$2:$D$201,$AB937)&amp;"",IF($Z937="F",INDEX(FTE_Allocation!$C$2:$C$201,$AB937)&amp;"","")))</f>
        <v/>
      </c>
      <c r="D937" s="7">
        <f>IF($Z937="C",INDEX(Contracts!$B$2:$B$151,$AB937)&amp;"",IF($Z937="A",INDEX(Fixed_Assets!$B$2:$B$201,$AB937)&amp;"",IF($Z937="F",INDEX(FTE_Allocation!$B$2:$B$201,$AB937)&amp;"","")))</f>
        <v/>
      </c>
      <c r="E937" s="7">
        <f>IF($Z937="C",INDEX(Contracts!$P$2:$P$151,$AB937)&amp;"",IF($Z937="A",INDEX(Fixed_Assets!$K$2:$K$201,$AB937)&amp;"",IF($Z937="F",IF(INDEX(FTE_Allocation!$D$2:$D$201,$AB937)="PROJECT",IFERROR(INDEX(Projects!$D:$D,MATCH(INDEX(FTE_Allocation!$E$2:$E$201,$AB937),Projects!$A:$A,0))&amp;"","#PROJECT?"),INDEX(FTE_Allocation!$E$2:$E$201,$AB937)&amp;""),"")))</f>
        <v/>
      </c>
      <c r="F937" s="7">
        <f>IF($Z937="C",INDEX(Contracts!$Q$2:$Q$151,$AB937)&amp;"",IF($Z937="A",INDEX(Fixed_Assets!$L$2:$L$201,$AB937)&amp;"",IF($Z937="F",INDEX(Workforce!$K$2:$K$151,MATCH(INDEX(FTE_Allocation!$A$2:$A$201,$AB937),Workforce!$A$2:$A$151,0))&amp;"","")))</f>
        <v/>
      </c>
      <c r="G937" s="7">
        <f>IF($Z937="C",INDEX(Contracts!$F$2:$F$151,$AB937)&amp;" / "&amp;INDEX(Contracts!$G$2:$G$151,$AB937),IF($Z937="A",INDEX(Fixed_Assets!$E$2:$E$201,$AB937)&amp;"",IF($Z937="F","Personnel "&amp;INDEX(FTE_Allocation!$A$2:$A$201,$AB937)&amp;IF(INDEX(FTE_Allocation!$D$2:$D$201,$AB937)="PROJECT"," ("&amp;INDEX(FTE_Allocation!$E$2:$E$201,$AB937)&amp;")",""),"")))</f>
        <v/>
      </c>
      <c r="H937" s="7">
        <f>IF($Z937="C","CONTRACT",IF($Z937="A","ASSET",IF($Z937="F","WORKFORCE","")))</f>
        <v/>
      </c>
      <c r="I937" s="7">
        <f>IF($Z937="C",INDEX(Contracts!$L$2:$L$151,$AB937)&amp;"",IF($Z937="A",INDEX(Fixed_Assets!$I$2:$I$201,$AB937)&amp;"",IF($Z937="F",INDEX(Workforce!$G$2:$G$151,MATCH(INDEX(FTE_Allocation!$A$2:$A$201,$AB937),Workforce!$A$2:$A$151,0))&amp;"","")))</f>
        <v/>
      </c>
      <c r="J937" s="18">
        <f>IF($Z937="","",IF(AND(DATE($AD937,1,1)&gt;=$AE937,DATE($AD937,1,1)&lt;=$AF937),ROUND($AG937,2),0))</f>
        <v/>
      </c>
      <c r="K937" s="18">
        <f>IF($Z937="","",IF(AND(DATE($AD937,2,1)&gt;=$AE937,DATE($AD937,2,1)&lt;=$AF937),ROUND($AG937,2),0))</f>
        <v/>
      </c>
      <c r="L937" s="18">
        <f>IF($Z937="","",IF(AND(DATE($AD937,3,1)&gt;=$AE937,DATE($AD937,3,1)&lt;=$AF937),ROUND($AG937,2),0))</f>
        <v/>
      </c>
      <c r="M937" s="18">
        <f>IF($Z937="","",IF(AND(DATE($AD937,4,1)&gt;=$AE937,DATE($AD937,4,1)&lt;=$AF937),ROUND($AG937,2),0))</f>
        <v/>
      </c>
      <c r="N937" s="18">
        <f>IF($Z937="","",IF(AND(DATE($AD937,5,1)&gt;=$AE937,DATE($AD937,5,1)&lt;=$AF937),ROUND($AG937,2),0))</f>
        <v/>
      </c>
      <c r="O937" s="18">
        <f>IF($Z937="","",IF(AND(DATE($AD937,6,1)&gt;=$AE937,DATE($AD937,6,1)&lt;=$AF937),ROUND($AG937,2),0))</f>
        <v/>
      </c>
      <c r="P937" s="18">
        <f>IF($Z937="","",IF(AND(DATE($AD937,7,1)&gt;=$AE937,DATE($AD937,7,1)&lt;=$AF937),ROUND($AG937,2),0))</f>
        <v/>
      </c>
      <c r="Q937" s="18">
        <f>IF($Z937="","",IF(AND(DATE($AD937,8,1)&gt;=$AE937,DATE($AD937,8,1)&lt;=$AF937),ROUND($AG937,2),0))</f>
        <v/>
      </c>
      <c r="R937" s="18">
        <f>IF($Z937="","",IF(AND(DATE($AD937,9,1)&gt;=$AE937,DATE($AD937,9,1)&lt;=$AF937),ROUND($AG937,2),0))</f>
        <v/>
      </c>
      <c r="S937" s="18">
        <f>IF($Z937="","",IF(AND(DATE($AD937,10,1)&gt;=$AE937,DATE($AD937,10,1)&lt;=$AF937),ROUND($AG937,2),0))</f>
        <v/>
      </c>
      <c r="T937" s="18">
        <f>IF($Z937="","",IF(AND(DATE($AD937,11,1)&gt;=$AE937,DATE($AD937,11,1)&lt;=$AF937),ROUND($AG937,2),0))</f>
        <v/>
      </c>
      <c r="U937" s="18">
        <f>IF($Z937="","",IF(AND(DATE($AD937,12,1)&gt;=$AE937,DATE($AD937,12,1)&lt;=$AF937),ROUND($AG937,2),0))</f>
        <v/>
      </c>
      <c r="V937" s="7">
        <f>IF($Z937="C","Generated from "&amp;INDEX(Contracts!$A$2:$A$151,$AB937),IF($Z937="A","Generated from "&amp;INDEX(Fixed_Assets!$A$2:$A$201,$AB937),IF($Z937="F","Generated from "&amp;INDEX(FTE_Allocation!$A$2:$A$201,$AB937),"")))</f>
        <v/>
      </c>
      <c r="X937" s="19">
        <f>IF($Z937="","",SUM(J937:U937))</f>
        <v/>
      </c>
      <c r="Y937" s="20">
        <f>ROW()-1</f>
        <v/>
      </c>
      <c r="Z937" s="20">
        <f>IF($Y937&lt;=Settings!$B$4*3,"C",IF($Y937&lt;=(Settings!$B$4+Settings!$B$5)*3,"A",IF($Y937&lt;=(Settings!$B$4+Settings!$B$5+Settings!$B$6)*3,"F","")))</f>
        <v/>
      </c>
      <c r="AA937" s="20">
        <f>IF($Z937="C",$Y937,IF($Z937="A",$Y937-Settings!$B$4*3,IF($Z937="F",$Y937-(Settings!$B$4+Settings!$B$5)*3,"")))</f>
        <v/>
      </c>
      <c r="AB937" s="20">
        <f>IF($Z937="","",INT(($AA937-1)/3)+1)</f>
        <v/>
      </c>
      <c r="AC937" s="20">
        <f>IF($Z937="","",MOD($AA937-1,3)+1)</f>
        <v/>
      </c>
      <c r="AD937" s="20">
        <f>IF($Z937="","",Settings!$B$2+$AC937-1)</f>
        <v/>
      </c>
      <c r="AE937" s="21">
        <f>IF($Z937="C",DATE(YEAR(INDEX(Contracts!$J$2:$J$151,$AB937)),MONTH(INDEX(Contracts!$J$2:$J$151,$AB937)),1),IF($Z937="A",DATE(YEAR(INDEX(Fixed_Assets!$G$2:$G$201,$AB937)),MONTH(INDEX(Fixed_Assets!$G$2:$G$201,$AB937)),1),IF($Z937="F",DATE(YEAR(MAX(N(INDEX(Workforce!$I$2:$I$151,MATCH(INDEX(FTE_Allocation!$A$2:$A$201,$AB937),Workforce!$A$2:$A$151,0))),N(INDEX(FTE_Allocation!$I$2:$I$201,$AB937)))),MONTH(MAX(N(INDEX(Workforce!$I$2:$I$151,MATCH(INDEX(FTE_Allocation!$A$2:$A$201,$AB937),Workforce!$A$2:$A$151,0))),N(INDEX(FTE_Allocation!$I$2:$I$201,$AB937)))),1),"")))</f>
        <v/>
      </c>
      <c r="AF937" s="21">
        <f>IF($Z937="C",IF(INDEX(Contracts!$I$2:$I$151,$AB937)="PREPAID",EDATE(DATE(YEAR(INDEX(Contracts!$J$2:$J$151,$AB937)),MONTH(INDEX(Contracts!$J$2:$J$151,$AB937)),1),IF(INDEX(Contracts!$N$2:$N$151,$AB937)="",12,INDEX(Contracts!$N$2:$N$151,$AB937))-1),IF(INDEX(Contracts!$I$2:$I$151,$AB937)="MONTHLY",IF(INDEX(Contracts!$K$2:$K$151,$AB937)="",2958101,INDEX(Contracts!$K$2:$K$151,$AB937)),0)),IF($Z937="A",EDATE(DATE(YEAR(INDEX(Fixed_Assets!$G$2:$G$201,$AB937)),MONTH(INDEX(Fixed_Assets!$G$2:$G$201,$AB937)),1),INDEX(Fixed_Assets!$J$2:$J$201,$AB937)-1),IF($Z937="F",MIN(IF(INDEX(Workforce!$J$2:$J$151,MATCH(INDEX(FTE_Allocation!$A$2:$A$201,$AB937),Workforce!$A$2:$A$151,0))="",2958101,INDEX(Workforce!$J$2:$J$151,MATCH(INDEX(FTE_Allocation!$A$2:$A$201,$AB937),Workforce!$A$2:$A$151,0))),IF(INDEX(FTE_Allocation!$J$2:$J$201,$AB937)="",2958101,INDEX(FTE_Allocation!$J$2:$J$201,$AB937))),"")))</f>
        <v/>
      </c>
      <c r="AG937" s="19">
        <f>IF($Z937="C",IF(INDEX(Contracts!$I$2:$I$151,$AB937)="PREPAID",INDEX(Contracts!$M$2:$M$151,$AB937)/IF(INDEX(Contracts!$N$2:$N$151,$AB937)="",12,INDEX(Contracts!$N$2:$N$151,$AB937)),IF(INDEX(Contracts!$I$2:$I$151,$AB937)="MONTHLY",INDEX(Contracts!$M$2:$M$151,$AB937),0))*(1-N(INDEX(Contracts!$O$2:$O$151,$AB937))),IF($Z937="A",INDEX(Fixed_Assets!$H$2:$H$201,$AB937)/INDEX(Fixed_Assets!$J$2:$J$201,$AB937),IF($Z937="F",INDEX(Workforce!$F$2:$F$151,MATCH(INDEX(FTE_Allocation!$A$2:$A$201,$AB937),Workforce!$A$2:$A$151,0))*N(INDEX(FTE_Allocation!$F$2:$H$201,$AB937,$AC937)),"")))</f>
        <v/>
      </c>
    </row>
    <row r="938">
      <c r="A938" s="7">
        <f>IF($Z938="","",$AD938)</f>
        <v/>
      </c>
      <c r="B938" s="7">
        <f>IF($Z938="C",INDEX(Contracts!$D$2:$D$151,$AB938)&amp;"",IF($Z938="A",INDEX(Fixed_Assets!$C$2:$C$201,$AB938)&amp;"",IF($Z938="F",INDEX(Workforce!$B$2:$B$151,MATCH(INDEX(FTE_Allocation!$A$2:$A$201,$AB938),Workforce!$A$2:$A$151,0))&amp;"","")))</f>
        <v/>
      </c>
      <c r="C938" s="7">
        <f>IF($Z938="C",INDEX(Contracts!$E$2:$E$151,$AB938)&amp;"",IF($Z938="A",INDEX(Fixed_Assets!$D$2:$D$201,$AB938)&amp;"",IF($Z938="F",INDEX(FTE_Allocation!$C$2:$C$201,$AB938)&amp;"","")))</f>
        <v/>
      </c>
      <c r="D938" s="7">
        <f>IF($Z938="C",INDEX(Contracts!$B$2:$B$151,$AB938)&amp;"",IF($Z938="A",INDEX(Fixed_Assets!$B$2:$B$201,$AB938)&amp;"",IF($Z938="F",INDEX(FTE_Allocation!$B$2:$B$201,$AB938)&amp;"","")))</f>
        <v/>
      </c>
      <c r="E938" s="7">
        <f>IF($Z938="C",INDEX(Contracts!$P$2:$P$151,$AB938)&amp;"",IF($Z938="A",INDEX(Fixed_Assets!$K$2:$K$201,$AB938)&amp;"",IF($Z938="F",IF(INDEX(FTE_Allocation!$D$2:$D$201,$AB938)="PROJECT",IFERROR(INDEX(Projects!$D:$D,MATCH(INDEX(FTE_Allocation!$E$2:$E$201,$AB938),Projects!$A:$A,0))&amp;"","#PROJECT?"),INDEX(FTE_Allocation!$E$2:$E$201,$AB938)&amp;""),"")))</f>
        <v/>
      </c>
      <c r="F938" s="7">
        <f>IF($Z938="C",INDEX(Contracts!$Q$2:$Q$151,$AB938)&amp;"",IF($Z938="A",INDEX(Fixed_Assets!$L$2:$L$201,$AB938)&amp;"",IF($Z938="F",INDEX(Workforce!$K$2:$K$151,MATCH(INDEX(FTE_Allocation!$A$2:$A$201,$AB938),Workforce!$A$2:$A$151,0))&amp;"","")))</f>
        <v/>
      </c>
      <c r="G938" s="7">
        <f>IF($Z938="C",INDEX(Contracts!$F$2:$F$151,$AB938)&amp;" / "&amp;INDEX(Contracts!$G$2:$G$151,$AB938),IF($Z938="A",INDEX(Fixed_Assets!$E$2:$E$201,$AB938)&amp;"",IF($Z938="F","Personnel "&amp;INDEX(FTE_Allocation!$A$2:$A$201,$AB938)&amp;IF(INDEX(FTE_Allocation!$D$2:$D$201,$AB938)="PROJECT"," ("&amp;INDEX(FTE_Allocation!$E$2:$E$201,$AB938)&amp;")",""),"")))</f>
        <v/>
      </c>
      <c r="H938" s="7">
        <f>IF($Z938="C","CONTRACT",IF($Z938="A","ASSET",IF($Z938="F","WORKFORCE","")))</f>
        <v/>
      </c>
      <c r="I938" s="7">
        <f>IF($Z938="C",INDEX(Contracts!$L$2:$L$151,$AB938)&amp;"",IF($Z938="A",INDEX(Fixed_Assets!$I$2:$I$201,$AB938)&amp;"",IF($Z938="F",INDEX(Workforce!$G$2:$G$151,MATCH(INDEX(FTE_Allocation!$A$2:$A$201,$AB938),Workforce!$A$2:$A$151,0))&amp;"","")))</f>
        <v/>
      </c>
      <c r="J938" s="18">
        <f>IF($Z938="","",IF(AND(DATE($AD938,1,1)&gt;=$AE938,DATE($AD938,1,1)&lt;=$AF938),ROUND($AG938,2),0))</f>
        <v/>
      </c>
      <c r="K938" s="18">
        <f>IF($Z938="","",IF(AND(DATE($AD938,2,1)&gt;=$AE938,DATE($AD938,2,1)&lt;=$AF938),ROUND($AG938,2),0))</f>
        <v/>
      </c>
      <c r="L938" s="18">
        <f>IF($Z938="","",IF(AND(DATE($AD938,3,1)&gt;=$AE938,DATE($AD938,3,1)&lt;=$AF938),ROUND($AG938,2),0))</f>
        <v/>
      </c>
      <c r="M938" s="18">
        <f>IF($Z938="","",IF(AND(DATE($AD938,4,1)&gt;=$AE938,DATE($AD938,4,1)&lt;=$AF938),ROUND($AG938,2),0))</f>
        <v/>
      </c>
      <c r="N938" s="18">
        <f>IF($Z938="","",IF(AND(DATE($AD938,5,1)&gt;=$AE938,DATE($AD938,5,1)&lt;=$AF938),ROUND($AG938,2),0))</f>
        <v/>
      </c>
      <c r="O938" s="18">
        <f>IF($Z938="","",IF(AND(DATE($AD938,6,1)&gt;=$AE938,DATE($AD938,6,1)&lt;=$AF938),ROUND($AG938,2),0))</f>
        <v/>
      </c>
      <c r="P938" s="18">
        <f>IF($Z938="","",IF(AND(DATE($AD938,7,1)&gt;=$AE938,DATE($AD938,7,1)&lt;=$AF938),ROUND($AG938,2),0))</f>
        <v/>
      </c>
      <c r="Q938" s="18">
        <f>IF($Z938="","",IF(AND(DATE($AD938,8,1)&gt;=$AE938,DATE($AD938,8,1)&lt;=$AF938),ROUND($AG938,2),0))</f>
        <v/>
      </c>
      <c r="R938" s="18">
        <f>IF($Z938="","",IF(AND(DATE($AD938,9,1)&gt;=$AE938,DATE($AD938,9,1)&lt;=$AF938),ROUND($AG938,2),0))</f>
        <v/>
      </c>
      <c r="S938" s="18">
        <f>IF($Z938="","",IF(AND(DATE($AD938,10,1)&gt;=$AE938,DATE($AD938,10,1)&lt;=$AF938),ROUND($AG938,2),0))</f>
        <v/>
      </c>
      <c r="T938" s="18">
        <f>IF($Z938="","",IF(AND(DATE($AD938,11,1)&gt;=$AE938,DATE($AD938,11,1)&lt;=$AF938),ROUND($AG938,2),0))</f>
        <v/>
      </c>
      <c r="U938" s="18">
        <f>IF($Z938="","",IF(AND(DATE($AD938,12,1)&gt;=$AE938,DATE($AD938,12,1)&lt;=$AF938),ROUND($AG938,2),0))</f>
        <v/>
      </c>
      <c r="V938" s="7">
        <f>IF($Z938="C","Generated from "&amp;INDEX(Contracts!$A$2:$A$151,$AB938),IF($Z938="A","Generated from "&amp;INDEX(Fixed_Assets!$A$2:$A$201,$AB938),IF($Z938="F","Generated from "&amp;INDEX(FTE_Allocation!$A$2:$A$201,$AB938),"")))</f>
        <v/>
      </c>
      <c r="X938" s="19">
        <f>IF($Z938="","",SUM(J938:U938))</f>
        <v/>
      </c>
      <c r="Y938" s="20">
        <f>ROW()-1</f>
        <v/>
      </c>
      <c r="Z938" s="20">
        <f>IF($Y938&lt;=Settings!$B$4*3,"C",IF($Y938&lt;=(Settings!$B$4+Settings!$B$5)*3,"A",IF($Y938&lt;=(Settings!$B$4+Settings!$B$5+Settings!$B$6)*3,"F","")))</f>
        <v/>
      </c>
      <c r="AA938" s="20">
        <f>IF($Z938="C",$Y938,IF($Z938="A",$Y938-Settings!$B$4*3,IF($Z938="F",$Y938-(Settings!$B$4+Settings!$B$5)*3,"")))</f>
        <v/>
      </c>
      <c r="AB938" s="20">
        <f>IF($Z938="","",INT(($AA938-1)/3)+1)</f>
        <v/>
      </c>
      <c r="AC938" s="20">
        <f>IF($Z938="","",MOD($AA938-1,3)+1)</f>
        <v/>
      </c>
      <c r="AD938" s="20">
        <f>IF($Z938="","",Settings!$B$2+$AC938-1)</f>
        <v/>
      </c>
      <c r="AE938" s="21">
        <f>IF($Z938="C",DATE(YEAR(INDEX(Contracts!$J$2:$J$151,$AB938)),MONTH(INDEX(Contracts!$J$2:$J$151,$AB938)),1),IF($Z938="A",DATE(YEAR(INDEX(Fixed_Assets!$G$2:$G$201,$AB938)),MONTH(INDEX(Fixed_Assets!$G$2:$G$201,$AB938)),1),IF($Z938="F",DATE(YEAR(MAX(N(INDEX(Workforce!$I$2:$I$151,MATCH(INDEX(FTE_Allocation!$A$2:$A$201,$AB938),Workforce!$A$2:$A$151,0))),N(INDEX(FTE_Allocation!$I$2:$I$201,$AB938)))),MONTH(MAX(N(INDEX(Workforce!$I$2:$I$151,MATCH(INDEX(FTE_Allocation!$A$2:$A$201,$AB938),Workforce!$A$2:$A$151,0))),N(INDEX(FTE_Allocation!$I$2:$I$201,$AB938)))),1),"")))</f>
        <v/>
      </c>
      <c r="AF938" s="21">
        <f>IF($Z938="C",IF(INDEX(Contracts!$I$2:$I$151,$AB938)="PREPAID",EDATE(DATE(YEAR(INDEX(Contracts!$J$2:$J$151,$AB938)),MONTH(INDEX(Contracts!$J$2:$J$151,$AB938)),1),IF(INDEX(Contracts!$N$2:$N$151,$AB938)="",12,INDEX(Contracts!$N$2:$N$151,$AB938))-1),IF(INDEX(Contracts!$I$2:$I$151,$AB938)="MONTHLY",IF(INDEX(Contracts!$K$2:$K$151,$AB938)="",2958101,INDEX(Contracts!$K$2:$K$151,$AB938)),0)),IF($Z938="A",EDATE(DATE(YEAR(INDEX(Fixed_Assets!$G$2:$G$201,$AB938)),MONTH(INDEX(Fixed_Assets!$G$2:$G$201,$AB938)),1),INDEX(Fixed_Assets!$J$2:$J$201,$AB938)-1),IF($Z938="F",MIN(IF(INDEX(Workforce!$J$2:$J$151,MATCH(INDEX(FTE_Allocation!$A$2:$A$201,$AB938),Workforce!$A$2:$A$151,0))="",2958101,INDEX(Workforce!$J$2:$J$151,MATCH(INDEX(FTE_Allocation!$A$2:$A$201,$AB938),Workforce!$A$2:$A$151,0))),IF(INDEX(FTE_Allocation!$J$2:$J$201,$AB938)="",2958101,INDEX(FTE_Allocation!$J$2:$J$201,$AB938))),"")))</f>
        <v/>
      </c>
      <c r="AG938" s="19">
        <f>IF($Z938="C",IF(INDEX(Contracts!$I$2:$I$151,$AB938)="PREPAID",INDEX(Contracts!$M$2:$M$151,$AB938)/IF(INDEX(Contracts!$N$2:$N$151,$AB938)="",12,INDEX(Contracts!$N$2:$N$151,$AB938)),IF(INDEX(Contracts!$I$2:$I$151,$AB938)="MONTHLY",INDEX(Contracts!$M$2:$M$151,$AB938),0))*(1-N(INDEX(Contracts!$O$2:$O$151,$AB938))),IF($Z938="A",INDEX(Fixed_Assets!$H$2:$H$201,$AB938)/INDEX(Fixed_Assets!$J$2:$J$201,$AB938),IF($Z938="F",INDEX(Workforce!$F$2:$F$151,MATCH(INDEX(FTE_Allocation!$A$2:$A$201,$AB938),Workforce!$A$2:$A$151,0))*N(INDEX(FTE_Allocation!$F$2:$H$201,$AB938,$AC938)),"")))</f>
        <v/>
      </c>
    </row>
    <row r="939">
      <c r="A939" s="7">
        <f>IF($Z939="","",$AD939)</f>
        <v/>
      </c>
      <c r="B939" s="7">
        <f>IF($Z939="C",INDEX(Contracts!$D$2:$D$151,$AB939)&amp;"",IF($Z939="A",INDEX(Fixed_Assets!$C$2:$C$201,$AB939)&amp;"",IF($Z939="F",INDEX(Workforce!$B$2:$B$151,MATCH(INDEX(FTE_Allocation!$A$2:$A$201,$AB939),Workforce!$A$2:$A$151,0))&amp;"","")))</f>
        <v/>
      </c>
      <c r="C939" s="7">
        <f>IF($Z939="C",INDEX(Contracts!$E$2:$E$151,$AB939)&amp;"",IF($Z939="A",INDEX(Fixed_Assets!$D$2:$D$201,$AB939)&amp;"",IF($Z939="F",INDEX(FTE_Allocation!$C$2:$C$201,$AB939)&amp;"","")))</f>
        <v/>
      </c>
      <c r="D939" s="7">
        <f>IF($Z939="C",INDEX(Contracts!$B$2:$B$151,$AB939)&amp;"",IF($Z939="A",INDEX(Fixed_Assets!$B$2:$B$201,$AB939)&amp;"",IF($Z939="F",INDEX(FTE_Allocation!$B$2:$B$201,$AB939)&amp;"","")))</f>
        <v/>
      </c>
      <c r="E939" s="7">
        <f>IF($Z939="C",INDEX(Contracts!$P$2:$P$151,$AB939)&amp;"",IF($Z939="A",INDEX(Fixed_Assets!$K$2:$K$201,$AB939)&amp;"",IF($Z939="F",IF(INDEX(FTE_Allocation!$D$2:$D$201,$AB939)="PROJECT",IFERROR(INDEX(Projects!$D:$D,MATCH(INDEX(FTE_Allocation!$E$2:$E$201,$AB939),Projects!$A:$A,0))&amp;"","#PROJECT?"),INDEX(FTE_Allocation!$E$2:$E$201,$AB939)&amp;""),"")))</f>
        <v/>
      </c>
      <c r="F939" s="7">
        <f>IF($Z939="C",INDEX(Contracts!$Q$2:$Q$151,$AB939)&amp;"",IF($Z939="A",INDEX(Fixed_Assets!$L$2:$L$201,$AB939)&amp;"",IF($Z939="F",INDEX(Workforce!$K$2:$K$151,MATCH(INDEX(FTE_Allocation!$A$2:$A$201,$AB939),Workforce!$A$2:$A$151,0))&amp;"","")))</f>
        <v/>
      </c>
      <c r="G939" s="7">
        <f>IF($Z939="C",INDEX(Contracts!$F$2:$F$151,$AB939)&amp;" / "&amp;INDEX(Contracts!$G$2:$G$151,$AB939),IF($Z939="A",INDEX(Fixed_Assets!$E$2:$E$201,$AB939)&amp;"",IF($Z939="F","Personnel "&amp;INDEX(FTE_Allocation!$A$2:$A$201,$AB939)&amp;IF(INDEX(FTE_Allocation!$D$2:$D$201,$AB939)="PROJECT"," ("&amp;INDEX(FTE_Allocation!$E$2:$E$201,$AB939)&amp;")",""),"")))</f>
        <v/>
      </c>
      <c r="H939" s="7">
        <f>IF($Z939="C","CONTRACT",IF($Z939="A","ASSET",IF($Z939="F","WORKFORCE","")))</f>
        <v/>
      </c>
      <c r="I939" s="7">
        <f>IF($Z939="C",INDEX(Contracts!$L$2:$L$151,$AB939)&amp;"",IF($Z939="A",INDEX(Fixed_Assets!$I$2:$I$201,$AB939)&amp;"",IF($Z939="F",INDEX(Workforce!$G$2:$G$151,MATCH(INDEX(FTE_Allocation!$A$2:$A$201,$AB939),Workforce!$A$2:$A$151,0))&amp;"","")))</f>
        <v/>
      </c>
      <c r="J939" s="18">
        <f>IF($Z939="","",IF(AND(DATE($AD939,1,1)&gt;=$AE939,DATE($AD939,1,1)&lt;=$AF939),ROUND($AG939,2),0))</f>
        <v/>
      </c>
      <c r="K939" s="18">
        <f>IF($Z939="","",IF(AND(DATE($AD939,2,1)&gt;=$AE939,DATE($AD939,2,1)&lt;=$AF939),ROUND($AG939,2),0))</f>
        <v/>
      </c>
      <c r="L939" s="18">
        <f>IF($Z939="","",IF(AND(DATE($AD939,3,1)&gt;=$AE939,DATE($AD939,3,1)&lt;=$AF939),ROUND($AG939,2),0))</f>
        <v/>
      </c>
      <c r="M939" s="18">
        <f>IF($Z939="","",IF(AND(DATE($AD939,4,1)&gt;=$AE939,DATE($AD939,4,1)&lt;=$AF939),ROUND($AG939,2),0))</f>
        <v/>
      </c>
      <c r="N939" s="18">
        <f>IF($Z939="","",IF(AND(DATE($AD939,5,1)&gt;=$AE939,DATE($AD939,5,1)&lt;=$AF939),ROUND($AG939,2),0))</f>
        <v/>
      </c>
      <c r="O939" s="18">
        <f>IF($Z939="","",IF(AND(DATE($AD939,6,1)&gt;=$AE939,DATE($AD939,6,1)&lt;=$AF939),ROUND($AG939,2),0))</f>
        <v/>
      </c>
      <c r="P939" s="18">
        <f>IF($Z939="","",IF(AND(DATE($AD939,7,1)&gt;=$AE939,DATE($AD939,7,1)&lt;=$AF939),ROUND($AG939,2),0))</f>
        <v/>
      </c>
      <c r="Q939" s="18">
        <f>IF($Z939="","",IF(AND(DATE($AD939,8,1)&gt;=$AE939,DATE($AD939,8,1)&lt;=$AF939),ROUND($AG939,2),0))</f>
        <v/>
      </c>
      <c r="R939" s="18">
        <f>IF($Z939="","",IF(AND(DATE($AD939,9,1)&gt;=$AE939,DATE($AD939,9,1)&lt;=$AF939),ROUND($AG939,2),0))</f>
        <v/>
      </c>
      <c r="S939" s="18">
        <f>IF($Z939="","",IF(AND(DATE($AD939,10,1)&gt;=$AE939,DATE($AD939,10,1)&lt;=$AF939),ROUND($AG939,2),0))</f>
        <v/>
      </c>
      <c r="T939" s="18">
        <f>IF($Z939="","",IF(AND(DATE($AD939,11,1)&gt;=$AE939,DATE($AD939,11,1)&lt;=$AF939),ROUND($AG939,2),0))</f>
        <v/>
      </c>
      <c r="U939" s="18">
        <f>IF($Z939="","",IF(AND(DATE($AD939,12,1)&gt;=$AE939,DATE($AD939,12,1)&lt;=$AF939),ROUND($AG939,2),0))</f>
        <v/>
      </c>
      <c r="V939" s="7">
        <f>IF($Z939="C","Generated from "&amp;INDEX(Contracts!$A$2:$A$151,$AB939),IF($Z939="A","Generated from "&amp;INDEX(Fixed_Assets!$A$2:$A$201,$AB939),IF($Z939="F","Generated from "&amp;INDEX(FTE_Allocation!$A$2:$A$201,$AB939),"")))</f>
        <v/>
      </c>
      <c r="X939" s="19">
        <f>IF($Z939="","",SUM(J939:U939))</f>
        <v/>
      </c>
      <c r="Y939" s="20">
        <f>ROW()-1</f>
        <v/>
      </c>
      <c r="Z939" s="20">
        <f>IF($Y939&lt;=Settings!$B$4*3,"C",IF($Y939&lt;=(Settings!$B$4+Settings!$B$5)*3,"A",IF($Y939&lt;=(Settings!$B$4+Settings!$B$5+Settings!$B$6)*3,"F","")))</f>
        <v/>
      </c>
      <c r="AA939" s="20">
        <f>IF($Z939="C",$Y939,IF($Z939="A",$Y939-Settings!$B$4*3,IF($Z939="F",$Y939-(Settings!$B$4+Settings!$B$5)*3,"")))</f>
        <v/>
      </c>
      <c r="AB939" s="20">
        <f>IF($Z939="","",INT(($AA939-1)/3)+1)</f>
        <v/>
      </c>
      <c r="AC939" s="20">
        <f>IF($Z939="","",MOD($AA939-1,3)+1)</f>
        <v/>
      </c>
      <c r="AD939" s="20">
        <f>IF($Z939="","",Settings!$B$2+$AC939-1)</f>
        <v/>
      </c>
      <c r="AE939" s="21">
        <f>IF($Z939="C",DATE(YEAR(INDEX(Contracts!$J$2:$J$151,$AB939)),MONTH(INDEX(Contracts!$J$2:$J$151,$AB939)),1),IF($Z939="A",DATE(YEAR(INDEX(Fixed_Assets!$G$2:$G$201,$AB939)),MONTH(INDEX(Fixed_Assets!$G$2:$G$201,$AB939)),1),IF($Z939="F",DATE(YEAR(MAX(N(INDEX(Workforce!$I$2:$I$151,MATCH(INDEX(FTE_Allocation!$A$2:$A$201,$AB939),Workforce!$A$2:$A$151,0))),N(INDEX(FTE_Allocation!$I$2:$I$201,$AB939)))),MONTH(MAX(N(INDEX(Workforce!$I$2:$I$151,MATCH(INDEX(FTE_Allocation!$A$2:$A$201,$AB939),Workforce!$A$2:$A$151,0))),N(INDEX(FTE_Allocation!$I$2:$I$201,$AB939)))),1),"")))</f>
        <v/>
      </c>
      <c r="AF939" s="21">
        <f>IF($Z939="C",IF(INDEX(Contracts!$I$2:$I$151,$AB939)="PREPAID",EDATE(DATE(YEAR(INDEX(Contracts!$J$2:$J$151,$AB939)),MONTH(INDEX(Contracts!$J$2:$J$151,$AB939)),1),IF(INDEX(Contracts!$N$2:$N$151,$AB939)="",12,INDEX(Contracts!$N$2:$N$151,$AB939))-1),IF(INDEX(Contracts!$I$2:$I$151,$AB939)="MONTHLY",IF(INDEX(Contracts!$K$2:$K$151,$AB939)="",2958101,INDEX(Contracts!$K$2:$K$151,$AB939)),0)),IF($Z939="A",EDATE(DATE(YEAR(INDEX(Fixed_Assets!$G$2:$G$201,$AB939)),MONTH(INDEX(Fixed_Assets!$G$2:$G$201,$AB939)),1),INDEX(Fixed_Assets!$J$2:$J$201,$AB939)-1),IF($Z939="F",MIN(IF(INDEX(Workforce!$J$2:$J$151,MATCH(INDEX(FTE_Allocation!$A$2:$A$201,$AB939),Workforce!$A$2:$A$151,0))="",2958101,INDEX(Workforce!$J$2:$J$151,MATCH(INDEX(FTE_Allocation!$A$2:$A$201,$AB939),Workforce!$A$2:$A$151,0))),IF(INDEX(FTE_Allocation!$J$2:$J$201,$AB939)="",2958101,INDEX(FTE_Allocation!$J$2:$J$201,$AB939))),"")))</f>
        <v/>
      </c>
      <c r="AG939" s="19">
        <f>IF($Z939="C",IF(INDEX(Contracts!$I$2:$I$151,$AB939)="PREPAID",INDEX(Contracts!$M$2:$M$151,$AB939)/IF(INDEX(Contracts!$N$2:$N$151,$AB939)="",12,INDEX(Contracts!$N$2:$N$151,$AB939)),IF(INDEX(Contracts!$I$2:$I$151,$AB939)="MONTHLY",INDEX(Contracts!$M$2:$M$151,$AB939),0))*(1-N(INDEX(Contracts!$O$2:$O$151,$AB939))),IF($Z939="A",INDEX(Fixed_Assets!$H$2:$H$201,$AB939)/INDEX(Fixed_Assets!$J$2:$J$201,$AB939),IF($Z939="F",INDEX(Workforce!$F$2:$F$151,MATCH(INDEX(FTE_Allocation!$A$2:$A$201,$AB939),Workforce!$A$2:$A$151,0))*N(INDEX(FTE_Allocation!$F$2:$H$201,$AB939,$AC939)),"")))</f>
        <v/>
      </c>
    </row>
    <row r="940">
      <c r="A940" s="7">
        <f>IF($Z940="","",$AD940)</f>
        <v/>
      </c>
      <c r="B940" s="7">
        <f>IF($Z940="C",INDEX(Contracts!$D$2:$D$151,$AB940)&amp;"",IF($Z940="A",INDEX(Fixed_Assets!$C$2:$C$201,$AB940)&amp;"",IF($Z940="F",INDEX(Workforce!$B$2:$B$151,MATCH(INDEX(FTE_Allocation!$A$2:$A$201,$AB940),Workforce!$A$2:$A$151,0))&amp;"","")))</f>
        <v/>
      </c>
      <c r="C940" s="7">
        <f>IF($Z940="C",INDEX(Contracts!$E$2:$E$151,$AB940)&amp;"",IF($Z940="A",INDEX(Fixed_Assets!$D$2:$D$201,$AB940)&amp;"",IF($Z940="F",INDEX(FTE_Allocation!$C$2:$C$201,$AB940)&amp;"","")))</f>
        <v/>
      </c>
      <c r="D940" s="7">
        <f>IF($Z940="C",INDEX(Contracts!$B$2:$B$151,$AB940)&amp;"",IF($Z940="A",INDEX(Fixed_Assets!$B$2:$B$201,$AB940)&amp;"",IF($Z940="F",INDEX(FTE_Allocation!$B$2:$B$201,$AB940)&amp;"","")))</f>
        <v/>
      </c>
      <c r="E940" s="7">
        <f>IF($Z940="C",INDEX(Contracts!$P$2:$P$151,$AB940)&amp;"",IF($Z940="A",INDEX(Fixed_Assets!$K$2:$K$201,$AB940)&amp;"",IF($Z940="F",IF(INDEX(FTE_Allocation!$D$2:$D$201,$AB940)="PROJECT",IFERROR(INDEX(Projects!$D:$D,MATCH(INDEX(FTE_Allocation!$E$2:$E$201,$AB940),Projects!$A:$A,0))&amp;"","#PROJECT?"),INDEX(FTE_Allocation!$E$2:$E$201,$AB940)&amp;""),"")))</f>
        <v/>
      </c>
      <c r="F940" s="7">
        <f>IF($Z940="C",INDEX(Contracts!$Q$2:$Q$151,$AB940)&amp;"",IF($Z940="A",INDEX(Fixed_Assets!$L$2:$L$201,$AB940)&amp;"",IF($Z940="F",INDEX(Workforce!$K$2:$K$151,MATCH(INDEX(FTE_Allocation!$A$2:$A$201,$AB940),Workforce!$A$2:$A$151,0))&amp;"","")))</f>
        <v/>
      </c>
      <c r="G940" s="7">
        <f>IF($Z940="C",INDEX(Contracts!$F$2:$F$151,$AB940)&amp;" / "&amp;INDEX(Contracts!$G$2:$G$151,$AB940),IF($Z940="A",INDEX(Fixed_Assets!$E$2:$E$201,$AB940)&amp;"",IF($Z940="F","Personnel "&amp;INDEX(FTE_Allocation!$A$2:$A$201,$AB940)&amp;IF(INDEX(FTE_Allocation!$D$2:$D$201,$AB940)="PROJECT"," ("&amp;INDEX(FTE_Allocation!$E$2:$E$201,$AB940)&amp;")",""),"")))</f>
        <v/>
      </c>
      <c r="H940" s="7">
        <f>IF($Z940="C","CONTRACT",IF($Z940="A","ASSET",IF($Z940="F","WORKFORCE","")))</f>
        <v/>
      </c>
      <c r="I940" s="7">
        <f>IF($Z940="C",INDEX(Contracts!$L$2:$L$151,$AB940)&amp;"",IF($Z940="A",INDEX(Fixed_Assets!$I$2:$I$201,$AB940)&amp;"",IF($Z940="F",INDEX(Workforce!$G$2:$G$151,MATCH(INDEX(FTE_Allocation!$A$2:$A$201,$AB940),Workforce!$A$2:$A$151,0))&amp;"","")))</f>
        <v/>
      </c>
      <c r="J940" s="18">
        <f>IF($Z940="","",IF(AND(DATE($AD940,1,1)&gt;=$AE940,DATE($AD940,1,1)&lt;=$AF940),ROUND($AG940,2),0))</f>
        <v/>
      </c>
      <c r="K940" s="18">
        <f>IF($Z940="","",IF(AND(DATE($AD940,2,1)&gt;=$AE940,DATE($AD940,2,1)&lt;=$AF940),ROUND($AG940,2),0))</f>
        <v/>
      </c>
      <c r="L940" s="18">
        <f>IF($Z940="","",IF(AND(DATE($AD940,3,1)&gt;=$AE940,DATE($AD940,3,1)&lt;=$AF940),ROUND($AG940,2),0))</f>
        <v/>
      </c>
      <c r="M940" s="18">
        <f>IF($Z940="","",IF(AND(DATE($AD940,4,1)&gt;=$AE940,DATE($AD940,4,1)&lt;=$AF940),ROUND($AG940,2),0))</f>
        <v/>
      </c>
      <c r="N940" s="18">
        <f>IF($Z940="","",IF(AND(DATE($AD940,5,1)&gt;=$AE940,DATE($AD940,5,1)&lt;=$AF940),ROUND($AG940,2),0))</f>
        <v/>
      </c>
      <c r="O940" s="18">
        <f>IF($Z940="","",IF(AND(DATE($AD940,6,1)&gt;=$AE940,DATE($AD940,6,1)&lt;=$AF940),ROUND($AG940,2),0))</f>
        <v/>
      </c>
      <c r="P940" s="18">
        <f>IF($Z940="","",IF(AND(DATE($AD940,7,1)&gt;=$AE940,DATE($AD940,7,1)&lt;=$AF940),ROUND($AG940,2),0))</f>
        <v/>
      </c>
      <c r="Q940" s="18">
        <f>IF($Z940="","",IF(AND(DATE($AD940,8,1)&gt;=$AE940,DATE($AD940,8,1)&lt;=$AF940),ROUND($AG940,2),0))</f>
        <v/>
      </c>
      <c r="R940" s="18">
        <f>IF($Z940="","",IF(AND(DATE($AD940,9,1)&gt;=$AE940,DATE($AD940,9,1)&lt;=$AF940),ROUND($AG940,2),0))</f>
        <v/>
      </c>
      <c r="S940" s="18">
        <f>IF($Z940="","",IF(AND(DATE($AD940,10,1)&gt;=$AE940,DATE($AD940,10,1)&lt;=$AF940),ROUND($AG940,2),0))</f>
        <v/>
      </c>
      <c r="T940" s="18">
        <f>IF($Z940="","",IF(AND(DATE($AD940,11,1)&gt;=$AE940,DATE($AD940,11,1)&lt;=$AF940),ROUND($AG940,2),0))</f>
        <v/>
      </c>
      <c r="U940" s="18">
        <f>IF($Z940="","",IF(AND(DATE($AD940,12,1)&gt;=$AE940,DATE($AD940,12,1)&lt;=$AF940),ROUND($AG940,2),0))</f>
        <v/>
      </c>
      <c r="V940" s="7">
        <f>IF($Z940="C","Generated from "&amp;INDEX(Contracts!$A$2:$A$151,$AB940),IF($Z940="A","Generated from "&amp;INDEX(Fixed_Assets!$A$2:$A$201,$AB940),IF($Z940="F","Generated from "&amp;INDEX(FTE_Allocation!$A$2:$A$201,$AB940),"")))</f>
        <v/>
      </c>
      <c r="X940" s="19">
        <f>IF($Z940="","",SUM(J940:U940))</f>
        <v/>
      </c>
      <c r="Y940" s="20">
        <f>ROW()-1</f>
        <v/>
      </c>
      <c r="Z940" s="20">
        <f>IF($Y940&lt;=Settings!$B$4*3,"C",IF($Y940&lt;=(Settings!$B$4+Settings!$B$5)*3,"A",IF($Y940&lt;=(Settings!$B$4+Settings!$B$5+Settings!$B$6)*3,"F","")))</f>
        <v/>
      </c>
      <c r="AA940" s="20">
        <f>IF($Z940="C",$Y940,IF($Z940="A",$Y940-Settings!$B$4*3,IF($Z940="F",$Y940-(Settings!$B$4+Settings!$B$5)*3,"")))</f>
        <v/>
      </c>
      <c r="AB940" s="20">
        <f>IF($Z940="","",INT(($AA940-1)/3)+1)</f>
        <v/>
      </c>
      <c r="AC940" s="20">
        <f>IF($Z940="","",MOD($AA940-1,3)+1)</f>
        <v/>
      </c>
      <c r="AD940" s="20">
        <f>IF($Z940="","",Settings!$B$2+$AC940-1)</f>
        <v/>
      </c>
      <c r="AE940" s="21">
        <f>IF($Z940="C",DATE(YEAR(INDEX(Contracts!$J$2:$J$151,$AB940)),MONTH(INDEX(Contracts!$J$2:$J$151,$AB940)),1),IF($Z940="A",DATE(YEAR(INDEX(Fixed_Assets!$G$2:$G$201,$AB940)),MONTH(INDEX(Fixed_Assets!$G$2:$G$201,$AB940)),1),IF($Z940="F",DATE(YEAR(MAX(N(INDEX(Workforce!$I$2:$I$151,MATCH(INDEX(FTE_Allocation!$A$2:$A$201,$AB940),Workforce!$A$2:$A$151,0))),N(INDEX(FTE_Allocation!$I$2:$I$201,$AB940)))),MONTH(MAX(N(INDEX(Workforce!$I$2:$I$151,MATCH(INDEX(FTE_Allocation!$A$2:$A$201,$AB940),Workforce!$A$2:$A$151,0))),N(INDEX(FTE_Allocation!$I$2:$I$201,$AB940)))),1),"")))</f>
        <v/>
      </c>
      <c r="AF940" s="21">
        <f>IF($Z940="C",IF(INDEX(Contracts!$I$2:$I$151,$AB940)="PREPAID",EDATE(DATE(YEAR(INDEX(Contracts!$J$2:$J$151,$AB940)),MONTH(INDEX(Contracts!$J$2:$J$151,$AB940)),1),IF(INDEX(Contracts!$N$2:$N$151,$AB940)="",12,INDEX(Contracts!$N$2:$N$151,$AB940))-1),IF(INDEX(Contracts!$I$2:$I$151,$AB940)="MONTHLY",IF(INDEX(Contracts!$K$2:$K$151,$AB940)="",2958101,INDEX(Contracts!$K$2:$K$151,$AB940)),0)),IF($Z940="A",EDATE(DATE(YEAR(INDEX(Fixed_Assets!$G$2:$G$201,$AB940)),MONTH(INDEX(Fixed_Assets!$G$2:$G$201,$AB940)),1),INDEX(Fixed_Assets!$J$2:$J$201,$AB940)-1),IF($Z940="F",MIN(IF(INDEX(Workforce!$J$2:$J$151,MATCH(INDEX(FTE_Allocation!$A$2:$A$201,$AB940),Workforce!$A$2:$A$151,0))="",2958101,INDEX(Workforce!$J$2:$J$151,MATCH(INDEX(FTE_Allocation!$A$2:$A$201,$AB940),Workforce!$A$2:$A$151,0))),IF(INDEX(FTE_Allocation!$J$2:$J$201,$AB940)="",2958101,INDEX(FTE_Allocation!$J$2:$J$201,$AB940))),"")))</f>
        <v/>
      </c>
      <c r="AG940" s="19">
        <f>IF($Z940="C",IF(INDEX(Contracts!$I$2:$I$151,$AB940)="PREPAID",INDEX(Contracts!$M$2:$M$151,$AB940)/IF(INDEX(Contracts!$N$2:$N$151,$AB940)="",12,INDEX(Contracts!$N$2:$N$151,$AB940)),IF(INDEX(Contracts!$I$2:$I$151,$AB940)="MONTHLY",INDEX(Contracts!$M$2:$M$151,$AB940),0))*(1-N(INDEX(Contracts!$O$2:$O$151,$AB940))),IF($Z940="A",INDEX(Fixed_Assets!$H$2:$H$201,$AB940)/INDEX(Fixed_Assets!$J$2:$J$201,$AB940),IF($Z940="F",INDEX(Workforce!$F$2:$F$151,MATCH(INDEX(FTE_Allocation!$A$2:$A$201,$AB940),Workforce!$A$2:$A$151,0))*N(INDEX(FTE_Allocation!$F$2:$H$201,$AB940,$AC940)),"")))</f>
        <v/>
      </c>
    </row>
    <row r="941">
      <c r="A941" s="7">
        <f>IF($Z941="","",$AD941)</f>
        <v/>
      </c>
      <c r="B941" s="7">
        <f>IF($Z941="C",INDEX(Contracts!$D$2:$D$151,$AB941)&amp;"",IF($Z941="A",INDEX(Fixed_Assets!$C$2:$C$201,$AB941)&amp;"",IF($Z941="F",INDEX(Workforce!$B$2:$B$151,MATCH(INDEX(FTE_Allocation!$A$2:$A$201,$AB941),Workforce!$A$2:$A$151,0))&amp;"","")))</f>
        <v/>
      </c>
      <c r="C941" s="7">
        <f>IF($Z941="C",INDEX(Contracts!$E$2:$E$151,$AB941)&amp;"",IF($Z941="A",INDEX(Fixed_Assets!$D$2:$D$201,$AB941)&amp;"",IF($Z941="F",INDEX(FTE_Allocation!$C$2:$C$201,$AB941)&amp;"","")))</f>
        <v/>
      </c>
      <c r="D941" s="7">
        <f>IF($Z941="C",INDEX(Contracts!$B$2:$B$151,$AB941)&amp;"",IF($Z941="A",INDEX(Fixed_Assets!$B$2:$B$201,$AB941)&amp;"",IF($Z941="F",INDEX(FTE_Allocation!$B$2:$B$201,$AB941)&amp;"","")))</f>
        <v/>
      </c>
      <c r="E941" s="7">
        <f>IF($Z941="C",INDEX(Contracts!$P$2:$P$151,$AB941)&amp;"",IF($Z941="A",INDEX(Fixed_Assets!$K$2:$K$201,$AB941)&amp;"",IF($Z941="F",IF(INDEX(FTE_Allocation!$D$2:$D$201,$AB941)="PROJECT",IFERROR(INDEX(Projects!$D:$D,MATCH(INDEX(FTE_Allocation!$E$2:$E$201,$AB941),Projects!$A:$A,0))&amp;"","#PROJECT?"),INDEX(FTE_Allocation!$E$2:$E$201,$AB941)&amp;""),"")))</f>
        <v/>
      </c>
      <c r="F941" s="7">
        <f>IF($Z941="C",INDEX(Contracts!$Q$2:$Q$151,$AB941)&amp;"",IF($Z941="A",INDEX(Fixed_Assets!$L$2:$L$201,$AB941)&amp;"",IF($Z941="F",INDEX(Workforce!$K$2:$K$151,MATCH(INDEX(FTE_Allocation!$A$2:$A$201,$AB941),Workforce!$A$2:$A$151,0))&amp;"","")))</f>
        <v/>
      </c>
      <c r="G941" s="7">
        <f>IF($Z941="C",INDEX(Contracts!$F$2:$F$151,$AB941)&amp;" / "&amp;INDEX(Contracts!$G$2:$G$151,$AB941),IF($Z941="A",INDEX(Fixed_Assets!$E$2:$E$201,$AB941)&amp;"",IF($Z941="F","Personnel "&amp;INDEX(FTE_Allocation!$A$2:$A$201,$AB941)&amp;IF(INDEX(FTE_Allocation!$D$2:$D$201,$AB941)="PROJECT"," ("&amp;INDEX(FTE_Allocation!$E$2:$E$201,$AB941)&amp;")",""),"")))</f>
        <v/>
      </c>
      <c r="H941" s="7">
        <f>IF($Z941="C","CONTRACT",IF($Z941="A","ASSET",IF($Z941="F","WORKFORCE","")))</f>
        <v/>
      </c>
      <c r="I941" s="7">
        <f>IF($Z941="C",INDEX(Contracts!$L$2:$L$151,$AB941)&amp;"",IF($Z941="A",INDEX(Fixed_Assets!$I$2:$I$201,$AB941)&amp;"",IF($Z941="F",INDEX(Workforce!$G$2:$G$151,MATCH(INDEX(FTE_Allocation!$A$2:$A$201,$AB941),Workforce!$A$2:$A$151,0))&amp;"","")))</f>
        <v/>
      </c>
      <c r="J941" s="18">
        <f>IF($Z941="","",IF(AND(DATE($AD941,1,1)&gt;=$AE941,DATE($AD941,1,1)&lt;=$AF941),ROUND($AG941,2),0))</f>
        <v/>
      </c>
      <c r="K941" s="18">
        <f>IF($Z941="","",IF(AND(DATE($AD941,2,1)&gt;=$AE941,DATE($AD941,2,1)&lt;=$AF941),ROUND($AG941,2),0))</f>
        <v/>
      </c>
      <c r="L941" s="18">
        <f>IF($Z941="","",IF(AND(DATE($AD941,3,1)&gt;=$AE941,DATE($AD941,3,1)&lt;=$AF941),ROUND($AG941,2),0))</f>
        <v/>
      </c>
      <c r="M941" s="18">
        <f>IF($Z941="","",IF(AND(DATE($AD941,4,1)&gt;=$AE941,DATE($AD941,4,1)&lt;=$AF941),ROUND($AG941,2),0))</f>
        <v/>
      </c>
      <c r="N941" s="18">
        <f>IF($Z941="","",IF(AND(DATE($AD941,5,1)&gt;=$AE941,DATE($AD941,5,1)&lt;=$AF941),ROUND($AG941,2),0))</f>
        <v/>
      </c>
      <c r="O941" s="18">
        <f>IF($Z941="","",IF(AND(DATE($AD941,6,1)&gt;=$AE941,DATE($AD941,6,1)&lt;=$AF941),ROUND($AG941,2),0))</f>
        <v/>
      </c>
      <c r="P941" s="18">
        <f>IF($Z941="","",IF(AND(DATE($AD941,7,1)&gt;=$AE941,DATE($AD941,7,1)&lt;=$AF941),ROUND($AG941,2),0))</f>
        <v/>
      </c>
      <c r="Q941" s="18">
        <f>IF($Z941="","",IF(AND(DATE($AD941,8,1)&gt;=$AE941,DATE($AD941,8,1)&lt;=$AF941),ROUND($AG941,2),0))</f>
        <v/>
      </c>
      <c r="R941" s="18">
        <f>IF($Z941="","",IF(AND(DATE($AD941,9,1)&gt;=$AE941,DATE($AD941,9,1)&lt;=$AF941),ROUND($AG941,2),0))</f>
        <v/>
      </c>
      <c r="S941" s="18">
        <f>IF($Z941="","",IF(AND(DATE($AD941,10,1)&gt;=$AE941,DATE($AD941,10,1)&lt;=$AF941),ROUND($AG941,2),0))</f>
        <v/>
      </c>
      <c r="T941" s="18">
        <f>IF($Z941="","",IF(AND(DATE($AD941,11,1)&gt;=$AE941,DATE($AD941,11,1)&lt;=$AF941),ROUND($AG941,2),0))</f>
        <v/>
      </c>
      <c r="U941" s="18">
        <f>IF($Z941="","",IF(AND(DATE($AD941,12,1)&gt;=$AE941,DATE($AD941,12,1)&lt;=$AF941),ROUND($AG941,2),0))</f>
        <v/>
      </c>
      <c r="V941" s="7">
        <f>IF($Z941="C","Generated from "&amp;INDEX(Contracts!$A$2:$A$151,$AB941),IF($Z941="A","Generated from "&amp;INDEX(Fixed_Assets!$A$2:$A$201,$AB941),IF($Z941="F","Generated from "&amp;INDEX(FTE_Allocation!$A$2:$A$201,$AB941),"")))</f>
        <v/>
      </c>
      <c r="X941" s="19">
        <f>IF($Z941="","",SUM(J941:U941))</f>
        <v/>
      </c>
      <c r="Y941" s="20">
        <f>ROW()-1</f>
        <v/>
      </c>
      <c r="Z941" s="20">
        <f>IF($Y941&lt;=Settings!$B$4*3,"C",IF($Y941&lt;=(Settings!$B$4+Settings!$B$5)*3,"A",IF($Y941&lt;=(Settings!$B$4+Settings!$B$5+Settings!$B$6)*3,"F","")))</f>
        <v/>
      </c>
      <c r="AA941" s="20">
        <f>IF($Z941="C",$Y941,IF($Z941="A",$Y941-Settings!$B$4*3,IF($Z941="F",$Y941-(Settings!$B$4+Settings!$B$5)*3,"")))</f>
        <v/>
      </c>
      <c r="AB941" s="20">
        <f>IF($Z941="","",INT(($AA941-1)/3)+1)</f>
        <v/>
      </c>
      <c r="AC941" s="20">
        <f>IF($Z941="","",MOD($AA941-1,3)+1)</f>
        <v/>
      </c>
      <c r="AD941" s="20">
        <f>IF($Z941="","",Settings!$B$2+$AC941-1)</f>
        <v/>
      </c>
      <c r="AE941" s="21">
        <f>IF($Z941="C",DATE(YEAR(INDEX(Contracts!$J$2:$J$151,$AB941)),MONTH(INDEX(Contracts!$J$2:$J$151,$AB941)),1),IF($Z941="A",DATE(YEAR(INDEX(Fixed_Assets!$G$2:$G$201,$AB941)),MONTH(INDEX(Fixed_Assets!$G$2:$G$201,$AB941)),1),IF($Z941="F",DATE(YEAR(MAX(N(INDEX(Workforce!$I$2:$I$151,MATCH(INDEX(FTE_Allocation!$A$2:$A$201,$AB941),Workforce!$A$2:$A$151,0))),N(INDEX(FTE_Allocation!$I$2:$I$201,$AB941)))),MONTH(MAX(N(INDEX(Workforce!$I$2:$I$151,MATCH(INDEX(FTE_Allocation!$A$2:$A$201,$AB941),Workforce!$A$2:$A$151,0))),N(INDEX(FTE_Allocation!$I$2:$I$201,$AB941)))),1),"")))</f>
        <v/>
      </c>
      <c r="AF941" s="21">
        <f>IF($Z941="C",IF(INDEX(Contracts!$I$2:$I$151,$AB941)="PREPAID",EDATE(DATE(YEAR(INDEX(Contracts!$J$2:$J$151,$AB941)),MONTH(INDEX(Contracts!$J$2:$J$151,$AB941)),1),IF(INDEX(Contracts!$N$2:$N$151,$AB941)="",12,INDEX(Contracts!$N$2:$N$151,$AB941))-1),IF(INDEX(Contracts!$I$2:$I$151,$AB941)="MONTHLY",IF(INDEX(Contracts!$K$2:$K$151,$AB941)="",2958101,INDEX(Contracts!$K$2:$K$151,$AB941)),0)),IF($Z941="A",EDATE(DATE(YEAR(INDEX(Fixed_Assets!$G$2:$G$201,$AB941)),MONTH(INDEX(Fixed_Assets!$G$2:$G$201,$AB941)),1),INDEX(Fixed_Assets!$J$2:$J$201,$AB941)-1),IF($Z941="F",MIN(IF(INDEX(Workforce!$J$2:$J$151,MATCH(INDEX(FTE_Allocation!$A$2:$A$201,$AB941),Workforce!$A$2:$A$151,0))="",2958101,INDEX(Workforce!$J$2:$J$151,MATCH(INDEX(FTE_Allocation!$A$2:$A$201,$AB941),Workforce!$A$2:$A$151,0))),IF(INDEX(FTE_Allocation!$J$2:$J$201,$AB941)="",2958101,INDEX(FTE_Allocation!$J$2:$J$201,$AB941))),"")))</f>
        <v/>
      </c>
      <c r="AG941" s="19">
        <f>IF($Z941="C",IF(INDEX(Contracts!$I$2:$I$151,$AB941)="PREPAID",INDEX(Contracts!$M$2:$M$151,$AB941)/IF(INDEX(Contracts!$N$2:$N$151,$AB941)="",12,INDEX(Contracts!$N$2:$N$151,$AB941)),IF(INDEX(Contracts!$I$2:$I$151,$AB941)="MONTHLY",INDEX(Contracts!$M$2:$M$151,$AB941),0))*(1-N(INDEX(Contracts!$O$2:$O$151,$AB941))),IF($Z941="A",INDEX(Fixed_Assets!$H$2:$H$201,$AB941)/INDEX(Fixed_Assets!$J$2:$J$201,$AB941),IF($Z941="F",INDEX(Workforce!$F$2:$F$151,MATCH(INDEX(FTE_Allocation!$A$2:$A$201,$AB941),Workforce!$A$2:$A$151,0))*N(INDEX(FTE_Allocation!$F$2:$H$201,$AB941,$AC941)),"")))</f>
        <v/>
      </c>
    </row>
    <row r="942">
      <c r="A942" s="7">
        <f>IF($Z942="","",$AD942)</f>
        <v/>
      </c>
      <c r="B942" s="7">
        <f>IF($Z942="C",INDEX(Contracts!$D$2:$D$151,$AB942)&amp;"",IF($Z942="A",INDEX(Fixed_Assets!$C$2:$C$201,$AB942)&amp;"",IF($Z942="F",INDEX(Workforce!$B$2:$B$151,MATCH(INDEX(FTE_Allocation!$A$2:$A$201,$AB942),Workforce!$A$2:$A$151,0))&amp;"","")))</f>
        <v/>
      </c>
      <c r="C942" s="7">
        <f>IF($Z942="C",INDEX(Contracts!$E$2:$E$151,$AB942)&amp;"",IF($Z942="A",INDEX(Fixed_Assets!$D$2:$D$201,$AB942)&amp;"",IF($Z942="F",INDEX(FTE_Allocation!$C$2:$C$201,$AB942)&amp;"","")))</f>
        <v/>
      </c>
      <c r="D942" s="7">
        <f>IF($Z942="C",INDEX(Contracts!$B$2:$B$151,$AB942)&amp;"",IF($Z942="A",INDEX(Fixed_Assets!$B$2:$B$201,$AB942)&amp;"",IF($Z942="F",INDEX(FTE_Allocation!$B$2:$B$201,$AB942)&amp;"","")))</f>
        <v/>
      </c>
      <c r="E942" s="7">
        <f>IF($Z942="C",INDEX(Contracts!$P$2:$P$151,$AB942)&amp;"",IF($Z942="A",INDEX(Fixed_Assets!$K$2:$K$201,$AB942)&amp;"",IF($Z942="F",IF(INDEX(FTE_Allocation!$D$2:$D$201,$AB942)="PROJECT",IFERROR(INDEX(Projects!$D:$D,MATCH(INDEX(FTE_Allocation!$E$2:$E$201,$AB942),Projects!$A:$A,0))&amp;"","#PROJECT?"),INDEX(FTE_Allocation!$E$2:$E$201,$AB942)&amp;""),"")))</f>
        <v/>
      </c>
      <c r="F942" s="7">
        <f>IF($Z942="C",INDEX(Contracts!$Q$2:$Q$151,$AB942)&amp;"",IF($Z942="A",INDEX(Fixed_Assets!$L$2:$L$201,$AB942)&amp;"",IF($Z942="F",INDEX(Workforce!$K$2:$K$151,MATCH(INDEX(FTE_Allocation!$A$2:$A$201,$AB942),Workforce!$A$2:$A$151,0))&amp;"","")))</f>
        <v/>
      </c>
      <c r="G942" s="7">
        <f>IF($Z942="C",INDEX(Contracts!$F$2:$F$151,$AB942)&amp;" / "&amp;INDEX(Contracts!$G$2:$G$151,$AB942),IF($Z942="A",INDEX(Fixed_Assets!$E$2:$E$201,$AB942)&amp;"",IF($Z942="F","Personnel "&amp;INDEX(FTE_Allocation!$A$2:$A$201,$AB942)&amp;IF(INDEX(FTE_Allocation!$D$2:$D$201,$AB942)="PROJECT"," ("&amp;INDEX(FTE_Allocation!$E$2:$E$201,$AB942)&amp;")",""),"")))</f>
        <v/>
      </c>
      <c r="H942" s="7">
        <f>IF($Z942="C","CONTRACT",IF($Z942="A","ASSET",IF($Z942="F","WORKFORCE","")))</f>
        <v/>
      </c>
      <c r="I942" s="7">
        <f>IF($Z942="C",INDEX(Contracts!$L$2:$L$151,$AB942)&amp;"",IF($Z942="A",INDEX(Fixed_Assets!$I$2:$I$201,$AB942)&amp;"",IF($Z942="F",INDEX(Workforce!$G$2:$G$151,MATCH(INDEX(FTE_Allocation!$A$2:$A$201,$AB942),Workforce!$A$2:$A$151,0))&amp;"","")))</f>
        <v/>
      </c>
      <c r="J942" s="18">
        <f>IF($Z942="","",IF(AND(DATE($AD942,1,1)&gt;=$AE942,DATE($AD942,1,1)&lt;=$AF942),ROUND($AG942,2),0))</f>
        <v/>
      </c>
      <c r="K942" s="18">
        <f>IF($Z942="","",IF(AND(DATE($AD942,2,1)&gt;=$AE942,DATE($AD942,2,1)&lt;=$AF942),ROUND($AG942,2),0))</f>
        <v/>
      </c>
      <c r="L942" s="18">
        <f>IF($Z942="","",IF(AND(DATE($AD942,3,1)&gt;=$AE942,DATE($AD942,3,1)&lt;=$AF942),ROUND($AG942,2),0))</f>
        <v/>
      </c>
      <c r="M942" s="18">
        <f>IF($Z942="","",IF(AND(DATE($AD942,4,1)&gt;=$AE942,DATE($AD942,4,1)&lt;=$AF942),ROUND($AG942,2),0))</f>
        <v/>
      </c>
      <c r="N942" s="18">
        <f>IF($Z942="","",IF(AND(DATE($AD942,5,1)&gt;=$AE942,DATE($AD942,5,1)&lt;=$AF942),ROUND($AG942,2),0))</f>
        <v/>
      </c>
      <c r="O942" s="18">
        <f>IF($Z942="","",IF(AND(DATE($AD942,6,1)&gt;=$AE942,DATE($AD942,6,1)&lt;=$AF942),ROUND($AG942,2),0))</f>
        <v/>
      </c>
      <c r="P942" s="18">
        <f>IF($Z942="","",IF(AND(DATE($AD942,7,1)&gt;=$AE942,DATE($AD942,7,1)&lt;=$AF942),ROUND($AG942,2),0))</f>
        <v/>
      </c>
      <c r="Q942" s="18">
        <f>IF($Z942="","",IF(AND(DATE($AD942,8,1)&gt;=$AE942,DATE($AD942,8,1)&lt;=$AF942),ROUND($AG942,2),0))</f>
        <v/>
      </c>
      <c r="R942" s="18">
        <f>IF($Z942="","",IF(AND(DATE($AD942,9,1)&gt;=$AE942,DATE($AD942,9,1)&lt;=$AF942),ROUND($AG942,2),0))</f>
        <v/>
      </c>
      <c r="S942" s="18">
        <f>IF($Z942="","",IF(AND(DATE($AD942,10,1)&gt;=$AE942,DATE($AD942,10,1)&lt;=$AF942),ROUND($AG942,2),0))</f>
        <v/>
      </c>
      <c r="T942" s="18">
        <f>IF($Z942="","",IF(AND(DATE($AD942,11,1)&gt;=$AE942,DATE($AD942,11,1)&lt;=$AF942),ROUND($AG942,2),0))</f>
        <v/>
      </c>
      <c r="U942" s="18">
        <f>IF($Z942="","",IF(AND(DATE($AD942,12,1)&gt;=$AE942,DATE($AD942,12,1)&lt;=$AF942),ROUND($AG942,2),0))</f>
        <v/>
      </c>
      <c r="V942" s="7">
        <f>IF($Z942="C","Generated from "&amp;INDEX(Contracts!$A$2:$A$151,$AB942),IF($Z942="A","Generated from "&amp;INDEX(Fixed_Assets!$A$2:$A$201,$AB942),IF($Z942="F","Generated from "&amp;INDEX(FTE_Allocation!$A$2:$A$201,$AB942),"")))</f>
        <v/>
      </c>
      <c r="X942" s="19">
        <f>IF($Z942="","",SUM(J942:U942))</f>
        <v/>
      </c>
      <c r="Y942" s="20">
        <f>ROW()-1</f>
        <v/>
      </c>
      <c r="Z942" s="20">
        <f>IF($Y942&lt;=Settings!$B$4*3,"C",IF($Y942&lt;=(Settings!$B$4+Settings!$B$5)*3,"A",IF($Y942&lt;=(Settings!$B$4+Settings!$B$5+Settings!$B$6)*3,"F","")))</f>
        <v/>
      </c>
      <c r="AA942" s="20">
        <f>IF($Z942="C",$Y942,IF($Z942="A",$Y942-Settings!$B$4*3,IF($Z942="F",$Y942-(Settings!$B$4+Settings!$B$5)*3,"")))</f>
        <v/>
      </c>
      <c r="AB942" s="20">
        <f>IF($Z942="","",INT(($AA942-1)/3)+1)</f>
        <v/>
      </c>
      <c r="AC942" s="20">
        <f>IF($Z942="","",MOD($AA942-1,3)+1)</f>
        <v/>
      </c>
      <c r="AD942" s="20">
        <f>IF($Z942="","",Settings!$B$2+$AC942-1)</f>
        <v/>
      </c>
      <c r="AE942" s="21">
        <f>IF($Z942="C",DATE(YEAR(INDEX(Contracts!$J$2:$J$151,$AB942)),MONTH(INDEX(Contracts!$J$2:$J$151,$AB942)),1),IF($Z942="A",DATE(YEAR(INDEX(Fixed_Assets!$G$2:$G$201,$AB942)),MONTH(INDEX(Fixed_Assets!$G$2:$G$201,$AB942)),1),IF($Z942="F",DATE(YEAR(MAX(N(INDEX(Workforce!$I$2:$I$151,MATCH(INDEX(FTE_Allocation!$A$2:$A$201,$AB942),Workforce!$A$2:$A$151,0))),N(INDEX(FTE_Allocation!$I$2:$I$201,$AB942)))),MONTH(MAX(N(INDEX(Workforce!$I$2:$I$151,MATCH(INDEX(FTE_Allocation!$A$2:$A$201,$AB942),Workforce!$A$2:$A$151,0))),N(INDEX(FTE_Allocation!$I$2:$I$201,$AB942)))),1),"")))</f>
        <v/>
      </c>
      <c r="AF942" s="21">
        <f>IF($Z942="C",IF(INDEX(Contracts!$I$2:$I$151,$AB942)="PREPAID",EDATE(DATE(YEAR(INDEX(Contracts!$J$2:$J$151,$AB942)),MONTH(INDEX(Contracts!$J$2:$J$151,$AB942)),1),IF(INDEX(Contracts!$N$2:$N$151,$AB942)="",12,INDEX(Contracts!$N$2:$N$151,$AB942))-1),IF(INDEX(Contracts!$I$2:$I$151,$AB942)="MONTHLY",IF(INDEX(Contracts!$K$2:$K$151,$AB942)="",2958101,INDEX(Contracts!$K$2:$K$151,$AB942)),0)),IF($Z942="A",EDATE(DATE(YEAR(INDEX(Fixed_Assets!$G$2:$G$201,$AB942)),MONTH(INDEX(Fixed_Assets!$G$2:$G$201,$AB942)),1),INDEX(Fixed_Assets!$J$2:$J$201,$AB942)-1),IF($Z942="F",MIN(IF(INDEX(Workforce!$J$2:$J$151,MATCH(INDEX(FTE_Allocation!$A$2:$A$201,$AB942),Workforce!$A$2:$A$151,0))="",2958101,INDEX(Workforce!$J$2:$J$151,MATCH(INDEX(FTE_Allocation!$A$2:$A$201,$AB942),Workforce!$A$2:$A$151,0))),IF(INDEX(FTE_Allocation!$J$2:$J$201,$AB942)="",2958101,INDEX(FTE_Allocation!$J$2:$J$201,$AB942))),"")))</f>
        <v/>
      </c>
      <c r="AG942" s="19">
        <f>IF($Z942="C",IF(INDEX(Contracts!$I$2:$I$151,$AB942)="PREPAID",INDEX(Contracts!$M$2:$M$151,$AB942)/IF(INDEX(Contracts!$N$2:$N$151,$AB942)="",12,INDEX(Contracts!$N$2:$N$151,$AB942)),IF(INDEX(Contracts!$I$2:$I$151,$AB942)="MONTHLY",INDEX(Contracts!$M$2:$M$151,$AB942),0))*(1-N(INDEX(Contracts!$O$2:$O$151,$AB942))),IF($Z942="A",INDEX(Fixed_Assets!$H$2:$H$201,$AB942)/INDEX(Fixed_Assets!$J$2:$J$201,$AB942),IF($Z942="F",INDEX(Workforce!$F$2:$F$151,MATCH(INDEX(FTE_Allocation!$A$2:$A$201,$AB942),Workforce!$A$2:$A$151,0))*N(INDEX(FTE_Allocation!$F$2:$H$201,$AB942,$AC942)),"")))</f>
        <v/>
      </c>
    </row>
    <row r="943">
      <c r="A943" s="7">
        <f>IF($Z943="","",$AD943)</f>
        <v/>
      </c>
      <c r="B943" s="7">
        <f>IF($Z943="C",INDEX(Contracts!$D$2:$D$151,$AB943)&amp;"",IF($Z943="A",INDEX(Fixed_Assets!$C$2:$C$201,$AB943)&amp;"",IF($Z943="F",INDEX(Workforce!$B$2:$B$151,MATCH(INDEX(FTE_Allocation!$A$2:$A$201,$AB943),Workforce!$A$2:$A$151,0))&amp;"","")))</f>
        <v/>
      </c>
      <c r="C943" s="7">
        <f>IF($Z943="C",INDEX(Contracts!$E$2:$E$151,$AB943)&amp;"",IF($Z943="A",INDEX(Fixed_Assets!$D$2:$D$201,$AB943)&amp;"",IF($Z943="F",INDEX(FTE_Allocation!$C$2:$C$201,$AB943)&amp;"","")))</f>
        <v/>
      </c>
      <c r="D943" s="7">
        <f>IF($Z943="C",INDEX(Contracts!$B$2:$B$151,$AB943)&amp;"",IF($Z943="A",INDEX(Fixed_Assets!$B$2:$B$201,$AB943)&amp;"",IF($Z943="F",INDEX(FTE_Allocation!$B$2:$B$201,$AB943)&amp;"","")))</f>
        <v/>
      </c>
      <c r="E943" s="7">
        <f>IF($Z943="C",INDEX(Contracts!$P$2:$P$151,$AB943)&amp;"",IF($Z943="A",INDEX(Fixed_Assets!$K$2:$K$201,$AB943)&amp;"",IF($Z943="F",IF(INDEX(FTE_Allocation!$D$2:$D$201,$AB943)="PROJECT",IFERROR(INDEX(Projects!$D:$D,MATCH(INDEX(FTE_Allocation!$E$2:$E$201,$AB943),Projects!$A:$A,0))&amp;"","#PROJECT?"),INDEX(FTE_Allocation!$E$2:$E$201,$AB943)&amp;""),"")))</f>
        <v/>
      </c>
      <c r="F943" s="7">
        <f>IF($Z943="C",INDEX(Contracts!$Q$2:$Q$151,$AB943)&amp;"",IF($Z943="A",INDEX(Fixed_Assets!$L$2:$L$201,$AB943)&amp;"",IF($Z943="F",INDEX(Workforce!$K$2:$K$151,MATCH(INDEX(FTE_Allocation!$A$2:$A$201,$AB943),Workforce!$A$2:$A$151,0))&amp;"","")))</f>
        <v/>
      </c>
      <c r="G943" s="7">
        <f>IF($Z943="C",INDEX(Contracts!$F$2:$F$151,$AB943)&amp;" / "&amp;INDEX(Contracts!$G$2:$G$151,$AB943),IF($Z943="A",INDEX(Fixed_Assets!$E$2:$E$201,$AB943)&amp;"",IF($Z943="F","Personnel "&amp;INDEX(FTE_Allocation!$A$2:$A$201,$AB943)&amp;IF(INDEX(FTE_Allocation!$D$2:$D$201,$AB943)="PROJECT"," ("&amp;INDEX(FTE_Allocation!$E$2:$E$201,$AB943)&amp;")",""),"")))</f>
        <v/>
      </c>
      <c r="H943" s="7">
        <f>IF($Z943="C","CONTRACT",IF($Z943="A","ASSET",IF($Z943="F","WORKFORCE","")))</f>
        <v/>
      </c>
      <c r="I943" s="7">
        <f>IF($Z943="C",INDEX(Contracts!$L$2:$L$151,$AB943)&amp;"",IF($Z943="A",INDEX(Fixed_Assets!$I$2:$I$201,$AB943)&amp;"",IF($Z943="F",INDEX(Workforce!$G$2:$G$151,MATCH(INDEX(FTE_Allocation!$A$2:$A$201,$AB943),Workforce!$A$2:$A$151,0))&amp;"","")))</f>
        <v/>
      </c>
      <c r="J943" s="18">
        <f>IF($Z943="","",IF(AND(DATE($AD943,1,1)&gt;=$AE943,DATE($AD943,1,1)&lt;=$AF943),ROUND($AG943,2),0))</f>
        <v/>
      </c>
      <c r="K943" s="18">
        <f>IF($Z943="","",IF(AND(DATE($AD943,2,1)&gt;=$AE943,DATE($AD943,2,1)&lt;=$AF943),ROUND($AG943,2),0))</f>
        <v/>
      </c>
      <c r="L943" s="18">
        <f>IF($Z943="","",IF(AND(DATE($AD943,3,1)&gt;=$AE943,DATE($AD943,3,1)&lt;=$AF943),ROUND($AG943,2),0))</f>
        <v/>
      </c>
      <c r="M943" s="18">
        <f>IF($Z943="","",IF(AND(DATE($AD943,4,1)&gt;=$AE943,DATE($AD943,4,1)&lt;=$AF943),ROUND($AG943,2),0))</f>
        <v/>
      </c>
      <c r="N943" s="18">
        <f>IF($Z943="","",IF(AND(DATE($AD943,5,1)&gt;=$AE943,DATE($AD943,5,1)&lt;=$AF943),ROUND($AG943,2),0))</f>
        <v/>
      </c>
      <c r="O943" s="18">
        <f>IF($Z943="","",IF(AND(DATE($AD943,6,1)&gt;=$AE943,DATE($AD943,6,1)&lt;=$AF943),ROUND($AG943,2),0))</f>
        <v/>
      </c>
      <c r="P943" s="18">
        <f>IF($Z943="","",IF(AND(DATE($AD943,7,1)&gt;=$AE943,DATE($AD943,7,1)&lt;=$AF943),ROUND($AG943,2),0))</f>
        <v/>
      </c>
      <c r="Q943" s="18">
        <f>IF($Z943="","",IF(AND(DATE($AD943,8,1)&gt;=$AE943,DATE($AD943,8,1)&lt;=$AF943),ROUND($AG943,2),0))</f>
        <v/>
      </c>
      <c r="R943" s="18">
        <f>IF($Z943="","",IF(AND(DATE($AD943,9,1)&gt;=$AE943,DATE($AD943,9,1)&lt;=$AF943),ROUND($AG943,2),0))</f>
        <v/>
      </c>
      <c r="S943" s="18">
        <f>IF($Z943="","",IF(AND(DATE($AD943,10,1)&gt;=$AE943,DATE($AD943,10,1)&lt;=$AF943),ROUND($AG943,2),0))</f>
        <v/>
      </c>
      <c r="T943" s="18">
        <f>IF($Z943="","",IF(AND(DATE($AD943,11,1)&gt;=$AE943,DATE($AD943,11,1)&lt;=$AF943),ROUND($AG943,2),0))</f>
        <v/>
      </c>
      <c r="U943" s="18">
        <f>IF($Z943="","",IF(AND(DATE($AD943,12,1)&gt;=$AE943,DATE($AD943,12,1)&lt;=$AF943),ROUND($AG943,2),0))</f>
        <v/>
      </c>
      <c r="V943" s="7">
        <f>IF($Z943="C","Generated from "&amp;INDEX(Contracts!$A$2:$A$151,$AB943),IF($Z943="A","Generated from "&amp;INDEX(Fixed_Assets!$A$2:$A$201,$AB943),IF($Z943="F","Generated from "&amp;INDEX(FTE_Allocation!$A$2:$A$201,$AB943),"")))</f>
        <v/>
      </c>
      <c r="X943" s="19">
        <f>IF($Z943="","",SUM(J943:U943))</f>
        <v/>
      </c>
      <c r="Y943" s="20">
        <f>ROW()-1</f>
        <v/>
      </c>
      <c r="Z943" s="20">
        <f>IF($Y943&lt;=Settings!$B$4*3,"C",IF($Y943&lt;=(Settings!$B$4+Settings!$B$5)*3,"A",IF($Y943&lt;=(Settings!$B$4+Settings!$B$5+Settings!$B$6)*3,"F","")))</f>
        <v/>
      </c>
      <c r="AA943" s="20">
        <f>IF($Z943="C",$Y943,IF($Z943="A",$Y943-Settings!$B$4*3,IF($Z943="F",$Y943-(Settings!$B$4+Settings!$B$5)*3,"")))</f>
        <v/>
      </c>
      <c r="AB943" s="20">
        <f>IF($Z943="","",INT(($AA943-1)/3)+1)</f>
        <v/>
      </c>
      <c r="AC943" s="20">
        <f>IF($Z943="","",MOD($AA943-1,3)+1)</f>
        <v/>
      </c>
      <c r="AD943" s="20">
        <f>IF($Z943="","",Settings!$B$2+$AC943-1)</f>
        <v/>
      </c>
      <c r="AE943" s="21">
        <f>IF($Z943="C",DATE(YEAR(INDEX(Contracts!$J$2:$J$151,$AB943)),MONTH(INDEX(Contracts!$J$2:$J$151,$AB943)),1),IF($Z943="A",DATE(YEAR(INDEX(Fixed_Assets!$G$2:$G$201,$AB943)),MONTH(INDEX(Fixed_Assets!$G$2:$G$201,$AB943)),1),IF($Z943="F",DATE(YEAR(MAX(N(INDEX(Workforce!$I$2:$I$151,MATCH(INDEX(FTE_Allocation!$A$2:$A$201,$AB943),Workforce!$A$2:$A$151,0))),N(INDEX(FTE_Allocation!$I$2:$I$201,$AB943)))),MONTH(MAX(N(INDEX(Workforce!$I$2:$I$151,MATCH(INDEX(FTE_Allocation!$A$2:$A$201,$AB943),Workforce!$A$2:$A$151,0))),N(INDEX(FTE_Allocation!$I$2:$I$201,$AB943)))),1),"")))</f>
        <v/>
      </c>
      <c r="AF943" s="21">
        <f>IF($Z943="C",IF(INDEX(Contracts!$I$2:$I$151,$AB943)="PREPAID",EDATE(DATE(YEAR(INDEX(Contracts!$J$2:$J$151,$AB943)),MONTH(INDEX(Contracts!$J$2:$J$151,$AB943)),1),IF(INDEX(Contracts!$N$2:$N$151,$AB943)="",12,INDEX(Contracts!$N$2:$N$151,$AB943))-1),IF(INDEX(Contracts!$I$2:$I$151,$AB943)="MONTHLY",IF(INDEX(Contracts!$K$2:$K$151,$AB943)="",2958101,INDEX(Contracts!$K$2:$K$151,$AB943)),0)),IF($Z943="A",EDATE(DATE(YEAR(INDEX(Fixed_Assets!$G$2:$G$201,$AB943)),MONTH(INDEX(Fixed_Assets!$G$2:$G$201,$AB943)),1),INDEX(Fixed_Assets!$J$2:$J$201,$AB943)-1),IF($Z943="F",MIN(IF(INDEX(Workforce!$J$2:$J$151,MATCH(INDEX(FTE_Allocation!$A$2:$A$201,$AB943),Workforce!$A$2:$A$151,0))="",2958101,INDEX(Workforce!$J$2:$J$151,MATCH(INDEX(FTE_Allocation!$A$2:$A$201,$AB943),Workforce!$A$2:$A$151,0))),IF(INDEX(FTE_Allocation!$J$2:$J$201,$AB943)="",2958101,INDEX(FTE_Allocation!$J$2:$J$201,$AB943))),"")))</f>
        <v/>
      </c>
      <c r="AG943" s="19">
        <f>IF($Z943="C",IF(INDEX(Contracts!$I$2:$I$151,$AB943)="PREPAID",INDEX(Contracts!$M$2:$M$151,$AB943)/IF(INDEX(Contracts!$N$2:$N$151,$AB943)="",12,INDEX(Contracts!$N$2:$N$151,$AB943)),IF(INDEX(Contracts!$I$2:$I$151,$AB943)="MONTHLY",INDEX(Contracts!$M$2:$M$151,$AB943),0))*(1-N(INDEX(Contracts!$O$2:$O$151,$AB943))),IF($Z943="A",INDEX(Fixed_Assets!$H$2:$H$201,$AB943)/INDEX(Fixed_Assets!$J$2:$J$201,$AB943),IF($Z943="F",INDEX(Workforce!$F$2:$F$151,MATCH(INDEX(FTE_Allocation!$A$2:$A$201,$AB943),Workforce!$A$2:$A$151,0))*N(INDEX(FTE_Allocation!$F$2:$H$201,$AB943,$AC943)),"")))</f>
        <v/>
      </c>
    </row>
    <row r="944">
      <c r="A944" s="7">
        <f>IF($Z944="","",$AD944)</f>
        <v/>
      </c>
      <c r="B944" s="7">
        <f>IF($Z944="C",INDEX(Contracts!$D$2:$D$151,$AB944)&amp;"",IF($Z944="A",INDEX(Fixed_Assets!$C$2:$C$201,$AB944)&amp;"",IF($Z944="F",INDEX(Workforce!$B$2:$B$151,MATCH(INDEX(FTE_Allocation!$A$2:$A$201,$AB944),Workforce!$A$2:$A$151,0))&amp;"","")))</f>
        <v/>
      </c>
      <c r="C944" s="7">
        <f>IF($Z944="C",INDEX(Contracts!$E$2:$E$151,$AB944)&amp;"",IF($Z944="A",INDEX(Fixed_Assets!$D$2:$D$201,$AB944)&amp;"",IF($Z944="F",INDEX(FTE_Allocation!$C$2:$C$201,$AB944)&amp;"","")))</f>
        <v/>
      </c>
      <c r="D944" s="7">
        <f>IF($Z944="C",INDEX(Contracts!$B$2:$B$151,$AB944)&amp;"",IF($Z944="A",INDEX(Fixed_Assets!$B$2:$B$201,$AB944)&amp;"",IF($Z944="F",INDEX(FTE_Allocation!$B$2:$B$201,$AB944)&amp;"","")))</f>
        <v/>
      </c>
      <c r="E944" s="7">
        <f>IF($Z944="C",INDEX(Contracts!$P$2:$P$151,$AB944)&amp;"",IF($Z944="A",INDEX(Fixed_Assets!$K$2:$K$201,$AB944)&amp;"",IF($Z944="F",IF(INDEX(FTE_Allocation!$D$2:$D$201,$AB944)="PROJECT",IFERROR(INDEX(Projects!$D:$D,MATCH(INDEX(FTE_Allocation!$E$2:$E$201,$AB944),Projects!$A:$A,0))&amp;"","#PROJECT?"),INDEX(FTE_Allocation!$E$2:$E$201,$AB944)&amp;""),"")))</f>
        <v/>
      </c>
      <c r="F944" s="7">
        <f>IF($Z944="C",INDEX(Contracts!$Q$2:$Q$151,$AB944)&amp;"",IF($Z944="A",INDEX(Fixed_Assets!$L$2:$L$201,$AB944)&amp;"",IF($Z944="F",INDEX(Workforce!$K$2:$K$151,MATCH(INDEX(FTE_Allocation!$A$2:$A$201,$AB944),Workforce!$A$2:$A$151,0))&amp;"","")))</f>
        <v/>
      </c>
      <c r="G944" s="7">
        <f>IF($Z944="C",INDEX(Contracts!$F$2:$F$151,$AB944)&amp;" / "&amp;INDEX(Contracts!$G$2:$G$151,$AB944),IF($Z944="A",INDEX(Fixed_Assets!$E$2:$E$201,$AB944)&amp;"",IF($Z944="F","Personnel "&amp;INDEX(FTE_Allocation!$A$2:$A$201,$AB944)&amp;IF(INDEX(FTE_Allocation!$D$2:$D$201,$AB944)="PROJECT"," ("&amp;INDEX(FTE_Allocation!$E$2:$E$201,$AB944)&amp;")",""),"")))</f>
        <v/>
      </c>
      <c r="H944" s="7">
        <f>IF($Z944="C","CONTRACT",IF($Z944="A","ASSET",IF($Z944="F","WORKFORCE","")))</f>
        <v/>
      </c>
      <c r="I944" s="7">
        <f>IF($Z944="C",INDEX(Contracts!$L$2:$L$151,$AB944)&amp;"",IF($Z944="A",INDEX(Fixed_Assets!$I$2:$I$201,$AB944)&amp;"",IF($Z944="F",INDEX(Workforce!$G$2:$G$151,MATCH(INDEX(FTE_Allocation!$A$2:$A$201,$AB944),Workforce!$A$2:$A$151,0))&amp;"","")))</f>
        <v/>
      </c>
      <c r="J944" s="18">
        <f>IF($Z944="","",IF(AND(DATE($AD944,1,1)&gt;=$AE944,DATE($AD944,1,1)&lt;=$AF944),ROUND($AG944,2),0))</f>
        <v/>
      </c>
      <c r="K944" s="18">
        <f>IF($Z944="","",IF(AND(DATE($AD944,2,1)&gt;=$AE944,DATE($AD944,2,1)&lt;=$AF944),ROUND($AG944,2),0))</f>
        <v/>
      </c>
      <c r="L944" s="18">
        <f>IF($Z944="","",IF(AND(DATE($AD944,3,1)&gt;=$AE944,DATE($AD944,3,1)&lt;=$AF944),ROUND($AG944,2),0))</f>
        <v/>
      </c>
      <c r="M944" s="18">
        <f>IF($Z944="","",IF(AND(DATE($AD944,4,1)&gt;=$AE944,DATE($AD944,4,1)&lt;=$AF944),ROUND($AG944,2),0))</f>
        <v/>
      </c>
      <c r="N944" s="18">
        <f>IF($Z944="","",IF(AND(DATE($AD944,5,1)&gt;=$AE944,DATE($AD944,5,1)&lt;=$AF944),ROUND($AG944,2),0))</f>
        <v/>
      </c>
      <c r="O944" s="18">
        <f>IF($Z944="","",IF(AND(DATE($AD944,6,1)&gt;=$AE944,DATE($AD944,6,1)&lt;=$AF944),ROUND($AG944,2),0))</f>
        <v/>
      </c>
      <c r="P944" s="18">
        <f>IF($Z944="","",IF(AND(DATE($AD944,7,1)&gt;=$AE944,DATE($AD944,7,1)&lt;=$AF944),ROUND($AG944,2),0))</f>
        <v/>
      </c>
      <c r="Q944" s="18">
        <f>IF($Z944="","",IF(AND(DATE($AD944,8,1)&gt;=$AE944,DATE($AD944,8,1)&lt;=$AF944),ROUND($AG944,2),0))</f>
        <v/>
      </c>
      <c r="R944" s="18">
        <f>IF($Z944="","",IF(AND(DATE($AD944,9,1)&gt;=$AE944,DATE($AD944,9,1)&lt;=$AF944),ROUND($AG944,2),0))</f>
        <v/>
      </c>
      <c r="S944" s="18">
        <f>IF($Z944="","",IF(AND(DATE($AD944,10,1)&gt;=$AE944,DATE($AD944,10,1)&lt;=$AF944),ROUND($AG944,2),0))</f>
        <v/>
      </c>
      <c r="T944" s="18">
        <f>IF($Z944="","",IF(AND(DATE($AD944,11,1)&gt;=$AE944,DATE($AD944,11,1)&lt;=$AF944),ROUND($AG944,2),0))</f>
        <v/>
      </c>
      <c r="U944" s="18">
        <f>IF($Z944="","",IF(AND(DATE($AD944,12,1)&gt;=$AE944,DATE($AD944,12,1)&lt;=$AF944),ROUND($AG944,2),0))</f>
        <v/>
      </c>
      <c r="V944" s="7">
        <f>IF($Z944="C","Generated from "&amp;INDEX(Contracts!$A$2:$A$151,$AB944),IF($Z944="A","Generated from "&amp;INDEX(Fixed_Assets!$A$2:$A$201,$AB944),IF($Z944="F","Generated from "&amp;INDEX(FTE_Allocation!$A$2:$A$201,$AB944),"")))</f>
        <v/>
      </c>
      <c r="X944" s="19">
        <f>IF($Z944="","",SUM(J944:U944))</f>
        <v/>
      </c>
      <c r="Y944" s="20">
        <f>ROW()-1</f>
        <v/>
      </c>
      <c r="Z944" s="20">
        <f>IF($Y944&lt;=Settings!$B$4*3,"C",IF($Y944&lt;=(Settings!$B$4+Settings!$B$5)*3,"A",IF($Y944&lt;=(Settings!$B$4+Settings!$B$5+Settings!$B$6)*3,"F","")))</f>
        <v/>
      </c>
      <c r="AA944" s="20">
        <f>IF($Z944="C",$Y944,IF($Z944="A",$Y944-Settings!$B$4*3,IF($Z944="F",$Y944-(Settings!$B$4+Settings!$B$5)*3,"")))</f>
        <v/>
      </c>
      <c r="AB944" s="20">
        <f>IF($Z944="","",INT(($AA944-1)/3)+1)</f>
        <v/>
      </c>
      <c r="AC944" s="20">
        <f>IF($Z944="","",MOD($AA944-1,3)+1)</f>
        <v/>
      </c>
      <c r="AD944" s="20">
        <f>IF($Z944="","",Settings!$B$2+$AC944-1)</f>
        <v/>
      </c>
      <c r="AE944" s="21">
        <f>IF($Z944="C",DATE(YEAR(INDEX(Contracts!$J$2:$J$151,$AB944)),MONTH(INDEX(Contracts!$J$2:$J$151,$AB944)),1),IF($Z944="A",DATE(YEAR(INDEX(Fixed_Assets!$G$2:$G$201,$AB944)),MONTH(INDEX(Fixed_Assets!$G$2:$G$201,$AB944)),1),IF($Z944="F",DATE(YEAR(MAX(N(INDEX(Workforce!$I$2:$I$151,MATCH(INDEX(FTE_Allocation!$A$2:$A$201,$AB944),Workforce!$A$2:$A$151,0))),N(INDEX(FTE_Allocation!$I$2:$I$201,$AB944)))),MONTH(MAX(N(INDEX(Workforce!$I$2:$I$151,MATCH(INDEX(FTE_Allocation!$A$2:$A$201,$AB944),Workforce!$A$2:$A$151,0))),N(INDEX(FTE_Allocation!$I$2:$I$201,$AB944)))),1),"")))</f>
        <v/>
      </c>
      <c r="AF944" s="21">
        <f>IF($Z944="C",IF(INDEX(Contracts!$I$2:$I$151,$AB944)="PREPAID",EDATE(DATE(YEAR(INDEX(Contracts!$J$2:$J$151,$AB944)),MONTH(INDEX(Contracts!$J$2:$J$151,$AB944)),1),IF(INDEX(Contracts!$N$2:$N$151,$AB944)="",12,INDEX(Contracts!$N$2:$N$151,$AB944))-1),IF(INDEX(Contracts!$I$2:$I$151,$AB944)="MONTHLY",IF(INDEX(Contracts!$K$2:$K$151,$AB944)="",2958101,INDEX(Contracts!$K$2:$K$151,$AB944)),0)),IF($Z944="A",EDATE(DATE(YEAR(INDEX(Fixed_Assets!$G$2:$G$201,$AB944)),MONTH(INDEX(Fixed_Assets!$G$2:$G$201,$AB944)),1),INDEX(Fixed_Assets!$J$2:$J$201,$AB944)-1),IF($Z944="F",MIN(IF(INDEX(Workforce!$J$2:$J$151,MATCH(INDEX(FTE_Allocation!$A$2:$A$201,$AB944),Workforce!$A$2:$A$151,0))="",2958101,INDEX(Workforce!$J$2:$J$151,MATCH(INDEX(FTE_Allocation!$A$2:$A$201,$AB944),Workforce!$A$2:$A$151,0))),IF(INDEX(FTE_Allocation!$J$2:$J$201,$AB944)="",2958101,INDEX(FTE_Allocation!$J$2:$J$201,$AB944))),"")))</f>
        <v/>
      </c>
      <c r="AG944" s="19">
        <f>IF($Z944="C",IF(INDEX(Contracts!$I$2:$I$151,$AB944)="PREPAID",INDEX(Contracts!$M$2:$M$151,$AB944)/IF(INDEX(Contracts!$N$2:$N$151,$AB944)="",12,INDEX(Contracts!$N$2:$N$151,$AB944)),IF(INDEX(Contracts!$I$2:$I$151,$AB944)="MONTHLY",INDEX(Contracts!$M$2:$M$151,$AB944),0))*(1-N(INDEX(Contracts!$O$2:$O$151,$AB944))),IF($Z944="A",INDEX(Fixed_Assets!$H$2:$H$201,$AB944)/INDEX(Fixed_Assets!$J$2:$J$201,$AB944),IF($Z944="F",INDEX(Workforce!$F$2:$F$151,MATCH(INDEX(FTE_Allocation!$A$2:$A$201,$AB944),Workforce!$A$2:$A$151,0))*N(INDEX(FTE_Allocation!$F$2:$H$201,$AB944,$AC944)),"")))</f>
        <v/>
      </c>
    </row>
    <row r="945">
      <c r="A945" s="7">
        <f>IF($Z945="","",$AD945)</f>
        <v/>
      </c>
      <c r="B945" s="7">
        <f>IF($Z945="C",INDEX(Contracts!$D$2:$D$151,$AB945)&amp;"",IF($Z945="A",INDEX(Fixed_Assets!$C$2:$C$201,$AB945)&amp;"",IF($Z945="F",INDEX(Workforce!$B$2:$B$151,MATCH(INDEX(FTE_Allocation!$A$2:$A$201,$AB945),Workforce!$A$2:$A$151,0))&amp;"","")))</f>
        <v/>
      </c>
      <c r="C945" s="7">
        <f>IF($Z945="C",INDEX(Contracts!$E$2:$E$151,$AB945)&amp;"",IF($Z945="A",INDEX(Fixed_Assets!$D$2:$D$201,$AB945)&amp;"",IF($Z945="F",INDEX(FTE_Allocation!$C$2:$C$201,$AB945)&amp;"","")))</f>
        <v/>
      </c>
      <c r="D945" s="7">
        <f>IF($Z945="C",INDEX(Contracts!$B$2:$B$151,$AB945)&amp;"",IF($Z945="A",INDEX(Fixed_Assets!$B$2:$B$201,$AB945)&amp;"",IF($Z945="F",INDEX(FTE_Allocation!$B$2:$B$201,$AB945)&amp;"","")))</f>
        <v/>
      </c>
      <c r="E945" s="7">
        <f>IF($Z945="C",INDEX(Contracts!$P$2:$P$151,$AB945)&amp;"",IF($Z945="A",INDEX(Fixed_Assets!$K$2:$K$201,$AB945)&amp;"",IF($Z945="F",IF(INDEX(FTE_Allocation!$D$2:$D$201,$AB945)="PROJECT",IFERROR(INDEX(Projects!$D:$D,MATCH(INDEX(FTE_Allocation!$E$2:$E$201,$AB945),Projects!$A:$A,0))&amp;"","#PROJECT?"),INDEX(FTE_Allocation!$E$2:$E$201,$AB945)&amp;""),"")))</f>
        <v/>
      </c>
      <c r="F945" s="7">
        <f>IF($Z945="C",INDEX(Contracts!$Q$2:$Q$151,$AB945)&amp;"",IF($Z945="A",INDEX(Fixed_Assets!$L$2:$L$201,$AB945)&amp;"",IF($Z945="F",INDEX(Workforce!$K$2:$K$151,MATCH(INDEX(FTE_Allocation!$A$2:$A$201,$AB945),Workforce!$A$2:$A$151,0))&amp;"","")))</f>
        <v/>
      </c>
      <c r="G945" s="7">
        <f>IF($Z945="C",INDEX(Contracts!$F$2:$F$151,$AB945)&amp;" / "&amp;INDEX(Contracts!$G$2:$G$151,$AB945),IF($Z945="A",INDEX(Fixed_Assets!$E$2:$E$201,$AB945)&amp;"",IF($Z945="F","Personnel "&amp;INDEX(FTE_Allocation!$A$2:$A$201,$AB945)&amp;IF(INDEX(FTE_Allocation!$D$2:$D$201,$AB945)="PROJECT"," ("&amp;INDEX(FTE_Allocation!$E$2:$E$201,$AB945)&amp;")",""),"")))</f>
        <v/>
      </c>
      <c r="H945" s="7">
        <f>IF($Z945="C","CONTRACT",IF($Z945="A","ASSET",IF($Z945="F","WORKFORCE","")))</f>
        <v/>
      </c>
      <c r="I945" s="7">
        <f>IF($Z945="C",INDEX(Contracts!$L$2:$L$151,$AB945)&amp;"",IF($Z945="A",INDEX(Fixed_Assets!$I$2:$I$201,$AB945)&amp;"",IF($Z945="F",INDEX(Workforce!$G$2:$G$151,MATCH(INDEX(FTE_Allocation!$A$2:$A$201,$AB945),Workforce!$A$2:$A$151,0))&amp;"","")))</f>
        <v/>
      </c>
      <c r="J945" s="18">
        <f>IF($Z945="","",IF(AND(DATE($AD945,1,1)&gt;=$AE945,DATE($AD945,1,1)&lt;=$AF945),ROUND($AG945,2),0))</f>
        <v/>
      </c>
      <c r="K945" s="18">
        <f>IF($Z945="","",IF(AND(DATE($AD945,2,1)&gt;=$AE945,DATE($AD945,2,1)&lt;=$AF945),ROUND($AG945,2),0))</f>
        <v/>
      </c>
      <c r="L945" s="18">
        <f>IF($Z945="","",IF(AND(DATE($AD945,3,1)&gt;=$AE945,DATE($AD945,3,1)&lt;=$AF945),ROUND($AG945,2),0))</f>
        <v/>
      </c>
      <c r="M945" s="18">
        <f>IF($Z945="","",IF(AND(DATE($AD945,4,1)&gt;=$AE945,DATE($AD945,4,1)&lt;=$AF945),ROUND($AG945,2),0))</f>
        <v/>
      </c>
      <c r="N945" s="18">
        <f>IF($Z945="","",IF(AND(DATE($AD945,5,1)&gt;=$AE945,DATE($AD945,5,1)&lt;=$AF945),ROUND($AG945,2),0))</f>
        <v/>
      </c>
      <c r="O945" s="18">
        <f>IF($Z945="","",IF(AND(DATE($AD945,6,1)&gt;=$AE945,DATE($AD945,6,1)&lt;=$AF945),ROUND($AG945,2),0))</f>
        <v/>
      </c>
      <c r="P945" s="18">
        <f>IF($Z945="","",IF(AND(DATE($AD945,7,1)&gt;=$AE945,DATE($AD945,7,1)&lt;=$AF945),ROUND($AG945,2),0))</f>
        <v/>
      </c>
      <c r="Q945" s="18">
        <f>IF($Z945="","",IF(AND(DATE($AD945,8,1)&gt;=$AE945,DATE($AD945,8,1)&lt;=$AF945),ROUND($AG945,2),0))</f>
        <v/>
      </c>
      <c r="R945" s="18">
        <f>IF($Z945="","",IF(AND(DATE($AD945,9,1)&gt;=$AE945,DATE($AD945,9,1)&lt;=$AF945),ROUND($AG945,2),0))</f>
        <v/>
      </c>
      <c r="S945" s="18">
        <f>IF($Z945="","",IF(AND(DATE($AD945,10,1)&gt;=$AE945,DATE($AD945,10,1)&lt;=$AF945),ROUND($AG945,2),0))</f>
        <v/>
      </c>
      <c r="T945" s="18">
        <f>IF($Z945="","",IF(AND(DATE($AD945,11,1)&gt;=$AE945,DATE($AD945,11,1)&lt;=$AF945),ROUND($AG945,2),0))</f>
        <v/>
      </c>
      <c r="U945" s="18">
        <f>IF($Z945="","",IF(AND(DATE($AD945,12,1)&gt;=$AE945,DATE($AD945,12,1)&lt;=$AF945),ROUND($AG945,2),0))</f>
        <v/>
      </c>
      <c r="V945" s="7">
        <f>IF($Z945="C","Generated from "&amp;INDEX(Contracts!$A$2:$A$151,$AB945),IF($Z945="A","Generated from "&amp;INDEX(Fixed_Assets!$A$2:$A$201,$AB945),IF($Z945="F","Generated from "&amp;INDEX(FTE_Allocation!$A$2:$A$201,$AB945),"")))</f>
        <v/>
      </c>
      <c r="X945" s="19">
        <f>IF($Z945="","",SUM(J945:U945))</f>
        <v/>
      </c>
      <c r="Y945" s="20">
        <f>ROW()-1</f>
        <v/>
      </c>
      <c r="Z945" s="20">
        <f>IF($Y945&lt;=Settings!$B$4*3,"C",IF($Y945&lt;=(Settings!$B$4+Settings!$B$5)*3,"A",IF($Y945&lt;=(Settings!$B$4+Settings!$B$5+Settings!$B$6)*3,"F","")))</f>
        <v/>
      </c>
      <c r="AA945" s="20">
        <f>IF($Z945="C",$Y945,IF($Z945="A",$Y945-Settings!$B$4*3,IF($Z945="F",$Y945-(Settings!$B$4+Settings!$B$5)*3,"")))</f>
        <v/>
      </c>
      <c r="AB945" s="20">
        <f>IF($Z945="","",INT(($AA945-1)/3)+1)</f>
        <v/>
      </c>
      <c r="AC945" s="20">
        <f>IF($Z945="","",MOD($AA945-1,3)+1)</f>
        <v/>
      </c>
      <c r="AD945" s="20">
        <f>IF($Z945="","",Settings!$B$2+$AC945-1)</f>
        <v/>
      </c>
      <c r="AE945" s="21">
        <f>IF($Z945="C",DATE(YEAR(INDEX(Contracts!$J$2:$J$151,$AB945)),MONTH(INDEX(Contracts!$J$2:$J$151,$AB945)),1),IF($Z945="A",DATE(YEAR(INDEX(Fixed_Assets!$G$2:$G$201,$AB945)),MONTH(INDEX(Fixed_Assets!$G$2:$G$201,$AB945)),1),IF($Z945="F",DATE(YEAR(MAX(N(INDEX(Workforce!$I$2:$I$151,MATCH(INDEX(FTE_Allocation!$A$2:$A$201,$AB945),Workforce!$A$2:$A$151,0))),N(INDEX(FTE_Allocation!$I$2:$I$201,$AB945)))),MONTH(MAX(N(INDEX(Workforce!$I$2:$I$151,MATCH(INDEX(FTE_Allocation!$A$2:$A$201,$AB945),Workforce!$A$2:$A$151,0))),N(INDEX(FTE_Allocation!$I$2:$I$201,$AB945)))),1),"")))</f>
        <v/>
      </c>
      <c r="AF945" s="21">
        <f>IF($Z945="C",IF(INDEX(Contracts!$I$2:$I$151,$AB945)="PREPAID",EDATE(DATE(YEAR(INDEX(Contracts!$J$2:$J$151,$AB945)),MONTH(INDEX(Contracts!$J$2:$J$151,$AB945)),1),IF(INDEX(Contracts!$N$2:$N$151,$AB945)="",12,INDEX(Contracts!$N$2:$N$151,$AB945))-1),IF(INDEX(Contracts!$I$2:$I$151,$AB945)="MONTHLY",IF(INDEX(Contracts!$K$2:$K$151,$AB945)="",2958101,INDEX(Contracts!$K$2:$K$151,$AB945)),0)),IF($Z945="A",EDATE(DATE(YEAR(INDEX(Fixed_Assets!$G$2:$G$201,$AB945)),MONTH(INDEX(Fixed_Assets!$G$2:$G$201,$AB945)),1),INDEX(Fixed_Assets!$J$2:$J$201,$AB945)-1),IF($Z945="F",MIN(IF(INDEX(Workforce!$J$2:$J$151,MATCH(INDEX(FTE_Allocation!$A$2:$A$201,$AB945),Workforce!$A$2:$A$151,0))="",2958101,INDEX(Workforce!$J$2:$J$151,MATCH(INDEX(FTE_Allocation!$A$2:$A$201,$AB945),Workforce!$A$2:$A$151,0))),IF(INDEX(FTE_Allocation!$J$2:$J$201,$AB945)="",2958101,INDEX(FTE_Allocation!$J$2:$J$201,$AB945))),"")))</f>
        <v/>
      </c>
      <c r="AG945" s="19">
        <f>IF($Z945="C",IF(INDEX(Contracts!$I$2:$I$151,$AB945)="PREPAID",INDEX(Contracts!$M$2:$M$151,$AB945)/IF(INDEX(Contracts!$N$2:$N$151,$AB945)="",12,INDEX(Contracts!$N$2:$N$151,$AB945)),IF(INDEX(Contracts!$I$2:$I$151,$AB945)="MONTHLY",INDEX(Contracts!$M$2:$M$151,$AB945),0))*(1-N(INDEX(Contracts!$O$2:$O$151,$AB945))),IF($Z945="A",INDEX(Fixed_Assets!$H$2:$H$201,$AB945)/INDEX(Fixed_Assets!$J$2:$J$201,$AB945),IF($Z945="F",INDEX(Workforce!$F$2:$F$151,MATCH(INDEX(FTE_Allocation!$A$2:$A$201,$AB945),Workforce!$A$2:$A$151,0))*N(INDEX(FTE_Allocation!$F$2:$H$201,$AB945,$AC945)),"")))</f>
        <v/>
      </c>
    </row>
    <row r="946">
      <c r="A946" s="7">
        <f>IF($Z946="","",$AD946)</f>
        <v/>
      </c>
      <c r="B946" s="7">
        <f>IF($Z946="C",INDEX(Contracts!$D$2:$D$151,$AB946)&amp;"",IF($Z946="A",INDEX(Fixed_Assets!$C$2:$C$201,$AB946)&amp;"",IF($Z946="F",INDEX(Workforce!$B$2:$B$151,MATCH(INDEX(FTE_Allocation!$A$2:$A$201,$AB946),Workforce!$A$2:$A$151,0))&amp;"","")))</f>
        <v/>
      </c>
      <c r="C946" s="7">
        <f>IF($Z946="C",INDEX(Contracts!$E$2:$E$151,$AB946)&amp;"",IF($Z946="A",INDEX(Fixed_Assets!$D$2:$D$201,$AB946)&amp;"",IF($Z946="F",INDEX(FTE_Allocation!$C$2:$C$201,$AB946)&amp;"","")))</f>
        <v/>
      </c>
      <c r="D946" s="7">
        <f>IF($Z946="C",INDEX(Contracts!$B$2:$B$151,$AB946)&amp;"",IF($Z946="A",INDEX(Fixed_Assets!$B$2:$B$201,$AB946)&amp;"",IF($Z946="F",INDEX(FTE_Allocation!$B$2:$B$201,$AB946)&amp;"","")))</f>
        <v/>
      </c>
      <c r="E946" s="7">
        <f>IF($Z946="C",INDEX(Contracts!$P$2:$P$151,$AB946)&amp;"",IF($Z946="A",INDEX(Fixed_Assets!$K$2:$K$201,$AB946)&amp;"",IF($Z946="F",IF(INDEX(FTE_Allocation!$D$2:$D$201,$AB946)="PROJECT",IFERROR(INDEX(Projects!$D:$D,MATCH(INDEX(FTE_Allocation!$E$2:$E$201,$AB946),Projects!$A:$A,0))&amp;"","#PROJECT?"),INDEX(FTE_Allocation!$E$2:$E$201,$AB946)&amp;""),"")))</f>
        <v/>
      </c>
      <c r="F946" s="7">
        <f>IF($Z946="C",INDEX(Contracts!$Q$2:$Q$151,$AB946)&amp;"",IF($Z946="A",INDEX(Fixed_Assets!$L$2:$L$201,$AB946)&amp;"",IF($Z946="F",INDEX(Workforce!$K$2:$K$151,MATCH(INDEX(FTE_Allocation!$A$2:$A$201,$AB946),Workforce!$A$2:$A$151,0))&amp;"","")))</f>
        <v/>
      </c>
      <c r="G946" s="7">
        <f>IF($Z946="C",INDEX(Contracts!$F$2:$F$151,$AB946)&amp;" / "&amp;INDEX(Contracts!$G$2:$G$151,$AB946),IF($Z946="A",INDEX(Fixed_Assets!$E$2:$E$201,$AB946)&amp;"",IF($Z946="F","Personnel "&amp;INDEX(FTE_Allocation!$A$2:$A$201,$AB946)&amp;IF(INDEX(FTE_Allocation!$D$2:$D$201,$AB946)="PROJECT"," ("&amp;INDEX(FTE_Allocation!$E$2:$E$201,$AB946)&amp;")",""),"")))</f>
        <v/>
      </c>
      <c r="H946" s="7">
        <f>IF($Z946="C","CONTRACT",IF($Z946="A","ASSET",IF($Z946="F","WORKFORCE","")))</f>
        <v/>
      </c>
      <c r="I946" s="7">
        <f>IF($Z946="C",INDEX(Contracts!$L$2:$L$151,$AB946)&amp;"",IF($Z946="A",INDEX(Fixed_Assets!$I$2:$I$201,$AB946)&amp;"",IF($Z946="F",INDEX(Workforce!$G$2:$G$151,MATCH(INDEX(FTE_Allocation!$A$2:$A$201,$AB946),Workforce!$A$2:$A$151,0))&amp;"","")))</f>
        <v/>
      </c>
      <c r="J946" s="18">
        <f>IF($Z946="","",IF(AND(DATE($AD946,1,1)&gt;=$AE946,DATE($AD946,1,1)&lt;=$AF946),ROUND($AG946,2),0))</f>
        <v/>
      </c>
      <c r="K946" s="18">
        <f>IF($Z946="","",IF(AND(DATE($AD946,2,1)&gt;=$AE946,DATE($AD946,2,1)&lt;=$AF946),ROUND($AG946,2),0))</f>
        <v/>
      </c>
      <c r="L946" s="18">
        <f>IF($Z946="","",IF(AND(DATE($AD946,3,1)&gt;=$AE946,DATE($AD946,3,1)&lt;=$AF946),ROUND($AG946,2),0))</f>
        <v/>
      </c>
      <c r="M946" s="18">
        <f>IF($Z946="","",IF(AND(DATE($AD946,4,1)&gt;=$AE946,DATE($AD946,4,1)&lt;=$AF946),ROUND($AG946,2),0))</f>
        <v/>
      </c>
      <c r="N946" s="18">
        <f>IF($Z946="","",IF(AND(DATE($AD946,5,1)&gt;=$AE946,DATE($AD946,5,1)&lt;=$AF946),ROUND($AG946,2),0))</f>
        <v/>
      </c>
      <c r="O946" s="18">
        <f>IF($Z946="","",IF(AND(DATE($AD946,6,1)&gt;=$AE946,DATE($AD946,6,1)&lt;=$AF946),ROUND($AG946,2),0))</f>
        <v/>
      </c>
      <c r="P946" s="18">
        <f>IF($Z946="","",IF(AND(DATE($AD946,7,1)&gt;=$AE946,DATE($AD946,7,1)&lt;=$AF946),ROUND($AG946,2),0))</f>
        <v/>
      </c>
      <c r="Q946" s="18">
        <f>IF($Z946="","",IF(AND(DATE($AD946,8,1)&gt;=$AE946,DATE($AD946,8,1)&lt;=$AF946),ROUND($AG946,2),0))</f>
        <v/>
      </c>
      <c r="R946" s="18">
        <f>IF($Z946="","",IF(AND(DATE($AD946,9,1)&gt;=$AE946,DATE($AD946,9,1)&lt;=$AF946),ROUND($AG946,2),0))</f>
        <v/>
      </c>
      <c r="S946" s="18">
        <f>IF($Z946="","",IF(AND(DATE($AD946,10,1)&gt;=$AE946,DATE($AD946,10,1)&lt;=$AF946),ROUND($AG946,2),0))</f>
        <v/>
      </c>
      <c r="T946" s="18">
        <f>IF($Z946="","",IF(AND(DATE($AD946,11,1)&gt;=$AE946,DATE($AD946,11,1)&lt;=$AF946),ROUND($AG946,2),0))</f>
        <v/>
      </c>
      <c r="U946" s="18">
        <f>IF($Z946="","",IF(AND(DATE($AD946,12,1)&gt;=$AE946,DATE($AD946,12,1)&lt;=$AF946),ROUND($AG946,2),0))</f>
        <v/>
      </c>
      <c r="V946" s="7">
        <f>IF($Z946="C","Generated from "&amp;INDEX(Contracts!$A$2:$A$151,$AB946),IF($Z946="A","Generated from "&amp;INDEX(Fixed_Assets!$A$2:$A$201,$AB946),IF($Z946="F","Generated from "&amp;INDEX(FTE_Allocation!$A$2:$A$201,$AB946),"")))</f>
        <v/>
      </c>
      <c r="X946" s="19">
        <f>IF($Z946="","",SUM(J946:U946))</f>
        <v/>
      </c>
      <c r="Y946" s="20">
        <f>ROW()-1</f>
        <v/>
      </c>
      <c r="Z946" s="20">
        <f>IF($Y946&lt;=Settings!$B$4*3,"C",IF($Y946&lt;=(Settings!$B$4+Settings!$B$5)*3,"A",IF($Y946&lt;=(Settings!$B$4+Settings!$B$5+Settings!$B$6)*3,"F","")))</f>
        <v/>
      </c>
      <c r="AA946" s="20">
        <f>IF($Z946="C",$Y946,IF($Z946="A",$Y946-Settings!$B$4*3,IF($Z946="F",$Y946-(Settings!$B$4+Settings!$B$5)*3,"")))</f>
        <v/>
      </c>
      <c r="AB946" s="20">
        <f>IF($Z946="","",INT(($AA946-1)/3)+1)</f>
        <v/>
      </c>
      <c r="AC946" s="20">
        <f>IF($Z946="","",MOD($AA946-1,3)+1)</f>
        <v/>
      </c>
      <c r="AD946" s="20">
        <f>IF($Z946="","",Settings!$B$2+$AC946-1)</f>
        <v/>
      </c>
      <c r="AE946" s="21">
        <f>IF($Z946="C",DATE(YEAR(INDEX(Contracts!$J$2:$J$151,$AB946)),MONTH(INDEX(Contracts!$J$2:$J$151,$AB946)),1),IF($Z946="A",DATE(YEAR(INDEX(Fixed_Assets!$G$2:$G$201,$AB946)),MONTH(INDEX(Fixed_Assets!$G$2:$G$201,$AB946)),1),IF($Z946="F",DATE(YEAR(MAX(N(INDEX(Workforce!$I$2:$I$151,MATCH(INDEX(FTE_Allocation!$A$2:$A$201,$AB946),Workforce!$A$2:$A$151,0))),N(INDEX(FTE_Allocation!$I$2:$I$201,$AB946)))),MONTH(MAX(N(INDEX(Workforce!$I$2:$I$151,MATCH(INDEX(FTE_Allocation!$A$2:$A$201,$AB946),Workforce!$A$2:$A$151,0))),N(INDEX(FTE_Allocation!$I$2:$I$201,$AB946)))),1),"")))</f>
        <v/>
      </c>
      <c r="AF946" s="21">
        <f>IF($Z946="C",IF(INDEX(Contracts!$I$2:$I$151,$AB946)="PREPAID",EDATE(DATE(YEAR(INDEX(Contracts!$J$2:$J$151,$AB946)),MONTH(INDEX(Contracts!$J$2:$J$151,$AB946)),1),IF(INDEX(Contracts!$N$2:$N$151,$AB946)="",12,INDEX(Contracts!$N$2:$N$151,$AB946))-1),IF(INDEX(Contracts!$I$2:$I$151,$AB946)="MONTHLY",IF(INDEX(Contracts!$K$2:$K$151,$AB946)="",2958101,INDEX(Contracts!$K$2:$K$151,$AB946)),0)),IF($Z946="A",EDATE(DATE(YEAR(INDEX(Fixed_Assets!$G$2:$G$201,$AB946)),MONTH(INDEX(Fixed_Assets!$G$2:$G$201,$AB946)),1),INDEX(Fixed_Assets!$J$2:$J$201,$AB946)-1),IF($Z946="F",MIN(IF(INDEX(Workforce!$J$2:$J$151,MATCH(INDEX(FTE_Allocation!$A$2:$A$201,$AB946),Workforce!$A$2:$A$151,0))="",2958101,INDEX(Workforce!$J$2:$J$151,MATCH(INDEX(FTE_Allocation!$A$2:$A$201,$AB946),Workforce!$A$2:$A$151,0))),IF(INDEX(FTE_Allocation!$J$2:$J$201,$AB946)="",2958101,INDEX(FTE_Allocation!$J$2:$J$201,$AB946))),"")))</f>
        <v/>
      </c>
      <c r="AG946" s="19">
        <f>IF($Z946="C",IF(INDEX(Contracts!$I$2:$I$151,$AB946)="PREPAID",INDEX(Contracts!$M$2:$M$151,$AB946)/IF(INDEX(Contracts!$N$2:$N$151,$AB946)="",12,INDEX(Contracts!$N$2:$N$151,$AB946)),IF(INDEX(Contracts!$I$2:$I$151,$AB946)="MONTHLY",INDEX(Contracts!$M$2:$M$151,$AB946),0))*(1-N(INDEX(Contracts!$O$2:$O$151,$AB946))),IF($Z946="A",INDEX(Fixed_Assets!$H$2:$H$201,$AB946)/INDEX(Fixed_Assets!$J$2:$J$201,$AB946),IF($Z946="F",INDEX(Workforce!$F$2:$F$151,MATCH(INDEX(FTE_Allocation!$A$2:$A$201,$AB946),Workforce!$A$2:$A$151,0))*N(INDEX(FTE_Allocation!$F$2:$H$201,$AB946,$AC946)),"")))</f>
        <v/>
      </c>
    </row>
    <row r="947">
      <c r="A947" s="7">
        <f>IF($Z947="","",$AD947)</f>
        <v/>
      </c>
      <c r="B947" s="7">
        <f>IF($Z947="C",INDEX(Contracts!$D$2:$D$151,$AB947)&amp;"",IF($Z947="A",INDEX(Fixed_Assets!$C$2:$C$201,$AB947)&amp;"",IF($Z947="F",INDEX(Workforce!$B$2:$B$151,MATCH(INDEX(FTE_Allocation!$A$2:$A$201,$AB947),Workforce!$A$2:$A$151,0))&amp;"","")))</f>
        <v/>
      </c>
      <c r="C947" s="7">
        <f>IF($Z947="C",INDEX(Contracts!$E$2:$E$151,$AB947)&amp;"",IF($Z947="A",INDEX(Fixed_Assets!$D$2:$D$201,$AB947)&amp;"",IF($Z947="F",INDEX(FTE_Allocation!$C$2:$C$201,$AB947)&amp;"","")))</f>
        <v/>
      </c>
      <c r="D947" s="7">
        <f>IF($Z947="C",INDEX(Contracts!$B$2:$B$151,$AB947)&amp;"",IF($Z947="A",INDEX(Fixed_Assets!$B$2:$B$201,$AB947)&amp;"",IF($Z947="F",INDEX(FTE_Allocation!$B$2:$B$201,$AB947)&amp;"","")))</f>
        <v/>
      </c>
      <c r="E947" s="7">
        <f>IF($Z947="C",INDEX(Contracts!$P$2:$P$151,$AB947)&amp;"",IF($Z947="A",INDEX(Fixed_Assets!$K$2:$K$201,$AB947)&amp;"",IF($Z947="F",IF(INDEX(FTE_Allocation!$D$2:$D$201,$AB947)="PROJECT",IFERROR(INDEX(Projects!$D:$D,MATCH(INDEX(FTE_Allocation!$E$2:$E$201,$AB947),Projects!$A:$A,0))&amp;"","#PROJECT?"),INDEX(FTE_Allocation!$E$2:$E$201,$AB947)&amp;""),"")))</f>
        <v/>
      </c>
      <c r="F947" s="7">
        <f>IF($Z947="C",INDEX(Contracts!$Q$2:$Q$151,$AB947)&amp;"",IF($Z947="A",INDEX(Fixed_Assets!$L$2:$L$201,$AB947)&amp;"",IF($Z947="F",INDEX(Workforce!$K$2:$K$151,MATCH(INDEX(FTE_Allocation!$A$2:$A$201,$AB947),Workforce!$A$2:$A$151,0))&amp;"","")))</f>
        <v/>
      </c>
      <c r="G947" s="7">
        <f>IF($Z947="C",INDEX(Contracts!$F$2:$F$151,$AB947)&amp;" / "&amp;INDEX(Contracts!$G$2:$G$151,$AB947),IF($Z947="A",INDEX(Fixed_Assets!$E$2:$E$201,$AB947)&amp;"",IF($Z947="F","Personnel "&amp;INDEX(FTE_Allocation!$A$2:$A$201,$AB947)&amp;IF(INDEX(FTE_Allocation!$D$2:$D$201,$AB947)="PROJECT"," ("&amp;INDEX(FTE_Allocation!$E$2:$E$201,$AB947)&amp;")",""),"")))</f>
        <v/>
      </c>
      <c r="H947" s="7">
        <f>IF($Z947="C","CONTRACT",IF($Z947="A","ASSET",IF($Z947="F","WORKFORCE","")))</f>
        <v/>
      </c>
      <c r="I947" s="7">
        <f>IF($Z947="C",INDEX(Contracts!$L$2:$L$151,$AB947)&amp;"",IF($Z947="A",INDEX(Fixed_Assets!$I$2:$I$201,$AB947)&amp;"",IF($Z947="F",INDEX(Workforce!$G$2:$G$151,MATCH(INDEX(FTE_Allocation!$A$2:$A$201,$AB947),Workforce!$A$2:$A$151,0))&amp;"","")))</f>
        <v/>
      </c>
      <c r="J947" s="18">
        <f>IF($Z947="","",IF(AND(DATE($AD947,1,1)&gt;=$AE947,DATE($AD947,1,1)&lt;=$AF947),ROUND($AG947,2),0))</f>
        <v/>
      </c>
      <c r="K947" s="18">
        <f>IF($Z947="","",IF(AND(DATE($AD947,2,1)&gt;=$AE947,DATE($AD947,2,1)&lt;=$AF947),ROUND($AG947,2),0))</f>
        <v/>
      </c>
      <c r="L947" s="18">
        <f>IF($Z947="","",IF(AND(DATE($AD947,3,1)&gt;=$AE947,DATE($AD947,3,1)&lt;=$AF947),ROUND($AG947,2),0))</f>
        <v/>
      </c>
      <c r="M947" s="18">
        <f>IF($Z947="","",IF(AND(DATE($AD947,4,1)&gt;=$AE947,DATE($AD947,4,1)&lt;=$AF947),ROUND($AG947,2),0))</f>
        <v/>
      </c>
      <c r="N947" s="18">
        <f>IF($Z947="","",IF(AND(DATE($AD947,5,1)&gt;=$AE947,DATE($AD947,5,1)&lt;=$AF947),ROUND($AG947,2),0))</f>
        <v/>
      </c>
      <c r="O947" s="18">
        <f>IF($Z947="","",IF(AND(DATE($AD947,6,1)&gt;=$AE947,DATE($AD947,6,1)&lt;=$AF947),ROUND($AG947,2),0))</f>
        <v/>
      </c>
      <c r="P947" s="18">
        <f>IF($Z947="","",IF(AND(DATE($AD947,7,1)&gt;=$AE947,DATE($AD947,7,1)&lt;=$AF947),ROUND($AG947,2),0))</f>
        <v/>
      </c>
      <c r="Q947" s="18">
        <f>IF($Z947="","",IF(AND(DATE($AD947,8,1)&gt;=$AE947,DATE($AD947,8,1)&lt;=$AF947),ROUND($AG947,2),0))</f>
        <v/>
      </c>
      <c r="R947" s="18">
        <f>IF($Z947="","",IF(AND(DATE($AD947,9,1)&gt;=$AE947,DATE($AD947,9,1)&lt;=$AF947),ROUND($AG947,2),0))</f>
        <v/>
      </c>
      <c r="S947" s="18">
        <f>IF($Z947="","",IF(AND(DATE($AD947,10,1)&gt;=$AE947,DATE($AD947,10,1)&lt;=$AF947),ROUND($AG947,2),0))</f>
        <v/>
      </c>
      <c r="T947" s="18">
        <f>IF($Z947="","",IF(AND(DATE($AD947,11,1)&gt;=$AE947,DATE($AD947,11,1)&lt;=$AF947),ROUND($AG947,2),0))</f>
        <v/>
      </c>
      <c r="U947" s="18">
        <f>IF($Z947="","",IF(AND(DATE($AD947,12,1)&gt;=$AE947,DATE($AD947,12,1)&lt;=$AF947),ROUND($AG947,2),0))</f>
        <v/>
      </c>
      <c r="V947" s="7">
        <f>IF($Z947="C","Generated from "&amp;INDEX(Contracts!$A$2:$A$151,$AB947),IF($Z947="A","Generated from "&amp;INDEX(Fixed_Assets!$A$2:$A$201,$AB947),IF($Z947="F","Generated from "&amp;INDEX(FTE_Allocation!$A$2:$A$201,$AB947),"")))</f>
        <v/>
      </c>
      <c r="X947" s="19">
        <f>IF($Z947="","",SUM(J947:U947))</f>
        <v/>
      </c>
      <c r="Y947" s="20">
        <f>ROW()-1</f>
        <v/>
      </c>
      <c r="Z947" s="20">
        <f>IF($Y947&lt;=Settings!$B$4*3,"C",IF($Y947&lt;=(Settings!$B$4+Settings!$B$5)*3,"A",IF($Y947&lt;=(Settings!$B$4+Settings!$B$5+Settings!$B$6)*3,"F","")))</f>
        <v/>
      </c>
      <c r="AA947" s="20">
        <f>IF($Z947="C",$Y947,IF($Z947="A",$Y947-Settings!$B$4*3,IF($Z947="F",$Y947-(Settings!$B$4+Settings!$B$5)*3,"")))</f>
        <v/>
      </c>
      <c r="AB947" s="20">
        <f>IF($Z947="","",INT(($AA947-1)/3)+1)</f>
        <v/>
      </c>
      <c r="AC947" s="20">
        <f>IF($Z947="","",MOD($AA947-1,3)+1)</f>
        <v/>
      </c>
      <c r="AD947" s="20">
        <f>IF($Z947="","",Settings!$B$2+$AC947-1)</f>
        <v/>
      </c>
      <c r="AE947" s="21">
        <f>IF($Z947="C",DATE(YEAR(INDEX(Contracts!$J$2:$J$151,$AB947)),MONTH(INDEX(Contracts!$J$2:$J$151,$AB947)),1),IF($Z947="A",DATE(YEAR(INDEX(Fixed_Assets!$G$2:$G$201,$AB947)),MONTH(INDEX(Fixed_Assets!$G$2:$G$201,$AB947)),1),IF($Z947="F",DATE(YEAR(MAX(N(INDEX(Workforce!$I$2:$I$151,MATCH(INDEX(FTE_Allocation!$A$2:$A$201,$AB947),Workforce!$A$2:$A$151,0))),N(INDEX(FTE_Allocation!$I$2:$I$201,$AB947)))),MONTH(MAX(N(INDEX(Workforce!$I$2:$I$151,MATCH(INDEX(FTE_Allocation!$A$2:$A$201,$AB947),Workforce!$A$2:$A$151,0))),N(INDEX(FTE_Allocation!$I$2:$I$201,$AB947)))),1),"")))</f>
        <v/>
      </c>
      <c r="AF947" s="21">
        <f>IF($Z947="C",IF(INDEX(Contracts!$I$2:$I$151,$AB947)="PREPAID",EDATE(DATE(YEAR(INDEX(Contracts!$J$2:$J$151,$AB947)),MONTH(INDEX(Contracts!$J$2:$J$151,$AB947)),1),IF(INDEX(Contracts!$N$2:$N$151,$AB947)="",12,INDEX(Contracts!$N$2:$N$151,$AB947))-1),IF(INDEX(Contracts!$I$2:$I$151,$AB947)="MONTHLY",IF(INDEX(Contracts!$K$2:$K$151,$AB947)="",2958101,INDEX(Contracts!$K$2:$K$151,$AB947)),0)),IF($Z947="A",EDATE(DATE(YEAR(INDEX(Fixed_Assets!$G$2:$G$201,$AB947)),MONTH(INDEX(Fixed_Assets!$G$2:$G$201,$AB947)),1),INDEX(Fixed_Assets!$J$2:$J$201,$AB947)-1),IF($Z947="F",MIN(IF(INDEX(Workforce!$J$2:$J$151,MATCH(INDEX(FTE_Allocation!$A$2:$A$201,$AB947),Workforce!$A$2:$A$151,0))="",2958101,INDEX(Workforce!$J$2:$J$151,MATCH(INDEX(FTE_Allocation!$A$2:$A$201,$AB947),Workforce!$A$2:$A$151,0))),IF(INDEX(FTE_Allocation!$J$2:$J$201,$AB947)="",2958101,INDEX(FTE_Allocation!$J$2:$J$201,$AB947))),"")))</f>
        <v/>
      </c>
      <c r="AG947" s="19">
        <f>IF($Z947="C",IF(INDEX(Contracts!$I$2:$I$151,$AB947)="PREPAID",INDEX(Contracts!$M$2:$M$151,$AB947)/IF(INDEX(Contracts!$N$2:$N$151,$AB947)="",12,INDEX(Contracts!$N$2:$N$151,$AB947)),IF(INDEX(Contracts!$I$2:$I$151,$AB947)="MONTHLY",INDEX(Contracts!$M$2:$M$151,$AB947),0))*(1-N(INDEX(Contracts!$O$2:$O$151,$AB947))),IF($Z947="A",INDEX(Fixed_Assets!$H$2:$H$201,$AB947)/INDEX(Fixed_Assets!$J$2:$J$201,$AB947),IF($Z947="F",INDEX(Workforce!$F$2:$F$151,MATCH(INDEX(FTE_Allocation!$A$2:$A$201,$AB947),Workforce!$A$2:$A$151,0))*N(INDEX(FTE_Allocation!$F$2:$H$201,$AB947,$AC947)),"")))</f>
        <v/>
      </c>
    </row>
    <row r="948">
      <c r="A948" s="7">
        <f>IF($Z948="","",$AD948)</f>
        <v/>
      </c>
      <c r="B948" s="7">
        <f>IF($Z948="C",INDEX(Contracts!$D$2:$D$151,$AB948)&amp;"",IF($Z948="A",INDEX(Fixed_Assets!$C$2:$C$201,$AB948)&amp;"",IF($Z948="F",INDEX(Workforce!$B$2:$B$151,MATCH(INDEX(FTE_Allocation!$A$2:$A$201,$AB948),Workforce!$A$2:$A$151,0))&amp;"","")))</f>
        <v/>
      </c>
      <c r="C948" s="7">
        <f>IF($Z948="C",INDEX(Contracts!$E$2:$E$151,$AB948)&amp;"",IF($Z948="A",INDEX(Fixed_Assets!$D$2:$D$201,$AB948)&amp;"",IF($Z948="F",INDEX(FTE_Allocation!$C$2:$C$201,$AB948)&amp;"","")))</f>
        <v/>
      </c>
      <c r="D948" s="7">
        <f>IF($Z948="C",INDEX(Contracts!$B$2:$B$151,$AB948)&amp;"",IF($Z948="A",INDEX(Fixed_Assets!$B$2:$B$201,$AB948)&amp;"",IF($Z948="F",INDEX(FTE_Allocation!$B$2:$B$201,$AB948)&amp;"","")))</f>
        <v/>
      </c>
      <c r="E948" s="7">
        <f>IF($Z948="C",INDEX(Contracts!$P$2:$P$151,$AB948)&amp;"",IF($Z948="A",INDEX(Fixed_Assets!$K$2:$K$201,$AB948)&amp;"",IF($Z948="F",IF(INDEX(FTE_Allocation!$D$2:$D$201,$AB948)="PROJECT",IFERROR(INDEX(Projects!$D:$D,MATCH(INDEX(FTE_Allocation!$E$2:$E$201,$AB948),Projects!$A:$A,0))&amp;"","#PROJECT?"),INDEX(FTE_Allocation!$E$2:$E$201,$AB948)&amp;""),"")))</f>
        <v/>
      </c>
      <c r="F948" s="7">
        <f>IF($Z948="C",INDEX(Contracts!$Q$2:$Q$151,$AB948)&amp;"",IF($Z948="A",INDEX(Fixed_Assets!$L$2:$L$201,$AB948)&amp;"",IF($Z948="F",INDEX(Workforce!$K$2:$K$151,MATCH(INDEX(FTE_Allocation!$A$2:$A$201,$AB948),Workforce!$A$2:$A$151,0))&amp;"","")))</f>
        <v/>
      </c>
      <c r="G948" s="7">
        <f>IF($Z948="C",INDEX(Contracts!$F$2:$F$151,$AB948)&amp;" / "&amp;INDEX(Contracts!$G$2:$G$151,$AB948),IF($Z948="A",INDEX(Fixed_Assets!$E$2:$E$201,$AB948)&amp;"",IF($Z948="F","Personnel "&amp;INDEX(FTE_Allocation!$A$2:$A$201,$AB948)&amp;IF(INDEX(FTE_Allocation!$D$2:$D$201,$AB948)="PROJECT"," ("&amp;INDEX(FTE_Allocation!$E$2:$E$201,$AB948)&amp;")",""),"")))</f>
        <v/>
      </c>
      <c r="H948" s="7">
        <f>IF($Z948="C","CONTRACT",IF($Z948="A","ASSET",IF($Z948="F","WORKFORCE","")))</f>
        <v/>
      </c>
      <c r="I948" s="7">
        <f>IF($Z948="C",INDEX(Contracts!$L$2:$L$151,$AB948)&amp;"",IF($Z948="A",INDEX(Fixed_Assets!$I$2:$I$201,$AB948)&amp;"",IF($Z948="F",INDEX(Workforce!$G$2:$G$151,MATCH(INDEX(FTE_Allocation!$A$2:$A$201,$AB948),Workforce!$A$2:$A$151,0))&amp;"","")))</f>
        <v/>
      </c>
      <c r="J948" s="18">
        <f>IF($Z948="","",IF(AND(DATE($AD948,1,1)&gt;=$AE948,DATE($AD948,1,1)&lt;=$AF948),ROUND($AG948,2),0))</f>
        <v/>
      </c>
      <c r="K948" s="18">
        <f>IF($Z948="","",IF(AND(DATE($AD948,2,1)&gt;=$AE948,DATE($AD948,2,1)&lt;=$AF948),ROUND($AG948,2),0))</f>
        <v/>
      </c>
      <c r="L948" s="18">
        <f>IF($Z948="","",IF(AND(DATE($AD948,3,1)&gt;=$AE948,DATE($AD948,3,1)&lt;=$AF948),ROUND($AG948,2),0))</f>
        <v/>
      </c>
      <c r="M948" s="18">
        <f>IF($Z948="","",IF(AND(DATE($AD948,4,1)&gt;=$AE948,DATE($AD948,4,1)&lt;=$AF948),ROUND($AG948,2),0))</f>
        <v/>
      </c>
      <c r="N948" s="18">
        <f>IF($Z948="","",IF(AND(DATE($AD948,5,1)&gt;=$AE948,DATE($AD948,5,1)&lt;=$AF948),ROUND($AG948,2),0))</f>
        <v/>
      </c>
      <c r="O948" s="18">
        <f>IF($Z948="","",IF(AND(DATE($AD948,6,1)&gt;=$AE948,DATE($AD948,6,1)&lt;=$AF948),ROUND($AG948,2),0))</f>
        <v/>
      </c>
      <c r="P948" s="18">
        <f>IF($Z948="","",IF(AND(DATE($AD948,7,1)&gt;=$AE948,DATE($AD948,7,1)&lt;=$AF948),ROUND($AG948,2),0))</f>
        <v/>
      </c>
      <c r="Q948" s="18">
        <f>IF($Z948="","",IF(AND(DATE($AD948,8,1)&gt;=$AE948,DATE($AD948,8,1)&lt;=$AF948),ROUND($AG948,2),0))</f>
        <v/>
      </c>
      <c r="R948" s="18">
        <f>IF($Z948="","",IF(AND(DATE($AD948,9,1)&gt;=$AE948,DATE($AD948,9,1)&lt;=$AF948),ROUND($AG948,2),0))</f>
        <v/>
      </c>
      <c r="S948" s="18">
        <f>IF($Z948="","",IF(AND(DATE($AD948,10,1)&gt;=$AE948,DATE($AD948,10,1)&lt;=$AF948),ROUND($AG948,2),0))</f>
        <v/>
      </c>
      <c r="T948" s="18">
        <f>IF($Z948="","",IF(AND(DATE($AD948,11,1)&gt;=$AE948,DATE($AD948,11,1)&lt;=$AF948),ROUND($AG948,2),0))</f>
        <v/>
      </c>
      <c r="U948" s="18">
        <f>IF($Z948="","",IF(AND(DATE($AD948,12,1)&gt;=$AE948,DATE($AD948,12,1)&lt;=$AF948),ROUND($AG948,2),0))</f>
        <v/>
      </c>
      <c r="V948" s="7">
        <f>IF($Z948="C","Generated from "&amp;INDEX(Contracts!$A$2:$A$151,$AB948),IF($Z948="A","Generated from "&amp;INDEX(Fixed_Assets!$A$2:$A$201,$AB948),IF($Z948="F","Generated from "&amp;INDEX(FTE_Allocation!$A$2:$A$201,$AB948),"")))</f>
        <v/>
      </c>
      <c r="X948" s="19">
        <f>IF($Z948="","",SUM(J948:U948))</f>
        <v/>
      </c>
      <c r="Y948" s="20">
        <f>ROW()-1</f>
        <v/>
      </c>
      <c r="Z948" s="20">
        <f>IF($Y948&lt;=Settings!$B$4*3,"C",IF($Y948&lt;=(Settings!$B$4+Settings!$B$5)*3,"A",IF($Y948&lt;=(Settings!$B$4+Settings!$B$5+Settings!$B$6)*3,"F","")))</f>
        <v/>
      </c>
      <c r="AA948" s="20">
        <f>IF($Z948="C",$Y948,IF($Z948="A",$Y948-Settings!$B$4*3,IF($Z948="F",$Y948-(Settings!$B$4+Settings!$B$5)*3,"")))</f>
        <v/>
      </c>
      <c r="AB948" s="20">
        <f>IF($Z948="","",INT(($AA948-1)/3)+1)</f>
        <v/>
      </c>
      <c r="AC948" s="20">
        <f>IF($Z948="","",MOD($AA948-1,3)+1)</f>
        <v/>
      </c>
      <c r="AD948" s="20">
        <f>IF($Z948="","",Settings!$B$2+$AC948-1)</f>
        <v/>
      </c>
      <c r="AE948" s="21">
        <f>IF($Z948="C",DATE(YEAR(INDEX(Contracts!$J$2:$J$151,$AB948)),MONTH(INDEX(Contracts!$J$2:$J$151,$AB948)),1),IF($Z948="A",DATE(YEAR(INDEX(Fixed_Assets!$G$2:$G$201,$AB948)),MONTH(INDEX(Fixed_Assets!$G$2:$G$201,$AB948)),1),IF($Z948="F",DATE(YEAR(MAX(N(INDEX(Workforce!$I$2:$I$151,MATCH(INDEX(FTE_Allocation!$A$2:$A$201,$AB948),Workforce!$A$2:$A$151,0))),N(INDEX(FTE_Allocation!$I$2:$I$201,$AB948)))),MONTH(MAX(N(INDEX(Workforce!$I$2:$I$151,MATCH(INDEX(FTE_Allocation!$A$2:$A$201,$AB948),Workforce!$A$2:$A$151,0))),N(INDEX(FTE_Allocation!$I$2:$I$201,$AB948)))),1),"")))</f>
        <v/>
      </c>
      <c r="AF948" s="21">
        <f>IF($Z948="C",IF(INDEX(Contracts!$I$2:$I$151,$AB948)="PREPAID",EDATE(DATE(YEAR(INDEX(Contracts!$J$2:$J$151,$AB948)),MONTH(INDEX(Contracts!$J$2:$J$151,$AB948)),1),IF(INDEX(Contracts!$N$2:$N$151,$AB948)="",12,INDEX(Contracts!$N$2:$N$151,$AB948))-1),IF(INDEX(Contracts!$I$2:$I$151,$AB948)="MONTHLY",IF(INDEX(Contracts!$K$2:$K$151,$AB948)="",2958101,INDEX(Contracts!$K$2:$K$151,$AB948)),0)),IF($Z948="A",EDATE(DATE(YEAR(INDEX(Fixed_Assets!$G$2:$G$201,$AB948)),MONTH(INDEX(Fixed_Assets!$G$2:$G$201,$AB948)),1),INDEX(Fixed_Assets!$J$2:$J$201,$AB948)-1),IF($Z948="F",MIN(IF(INDEX(Workforce!$J$2:$J$151,MATCH(INDEX(FTE_Allocation!$A$2:$A$201,$AB948),Workforce!$A$2:$A$151,0))="",2958101,INDEX(Workforce!$J$2:$J$151,MATCH(INDEX(FTE_Allocation!$A$2:$A$201,$AB948),Workforce!$A$2:$A$151,0))),IF(INDEX(FTE_Allocation!$J$2:$J$201,$AB948)="",2958101,INDEX(FTE_Allocation!$J$2:$J$201,$AB948))),"")))</f>
        <v/>
      </c>
      <c r="AG948" s="19">
        <f>IF($Z948="C",IF(INDEX(Contracts!$I$2:$I$151,$AB948)="PREPAID",INDEX(Contracts!$M$2:$M$151,$AB948)/IF(INDEX(Contracts!$N$2:$N$151,$AB948)="",12,INDEX(Contracts!$N$2:$N$151,$AB948)),IF(INDEX(Contracts!$I$2:$I$151,$AB948)="MONTHLY",INDEX(Contracts!$M$2:$M$151,$AB948),0))*(1-N(INDEX(Contracts!$O$2:$O$151,$AB948))),IF($Z948="A",INDEX(Fixed_Assets!$H$2:$H$201,$AB948)/INDEX(Fixed_Assets!$J$2:$J$201,$AB948),IF($Z948="F",INDEX(Workforce!$F$2:$F$151,MATCH(INDEX(FTE_Allocation!$A$2:$A$201,$AB948),Workforce!$A$2:$A$151,0))*N(INDEX(FTE_Allocation!$F$2:$H$201,$AB948,$AC948)),"")))</f>
        <v/>
      </c>
    </row>
    <row r="949">
      <c r="A949" s="7">
        <f>IF($Z949="","",$AD949)</f>
        <v/>
      </c>
      <c r="B949" s="7">
        <f>IF($Z949="C",INDEX(Contracts!$D$2:$D$151,$AB949)&amp;"",IF($Z949="A",INDEX(Fixed_Assets!$C$2:$C$201,$AB949)&amp;"",IF($Z949="F",INDEX(Workforce!$B$2:$B$151,MATCH(INDEX(FTE_Allocation!$A$2:$A$201,$AB949),Workforce!$A$2:$A$151,0))&amp;"","")))</f>
        <v/>
      </c>
      <c r="C949" s="7">
        <f>IF($Z949="C",INDEX(Contracts!$E$2:$E$151,$AB949)&amp;"",IF($Z949="A",INDEX(Fixed_Assets!$D$2:$D$201,$AB949)&amp;"",IF($Z949="F",INDEX(FTE_Allocation!$C$2:$C$201,$AB949)&amp;"","")))</f>
        <v/>
      </c>
      <c r="D949" s="7">
        <f>IF($Z949="C",INDEX(Contracts!$B$2:$B$151,$AB949)&amp;"",IF($Z949="A",INDEX(Fixed_Assets!$B$2:$B$201,$AB949)&amp;"",IF($Z949="F",INDEX(FTE_Allocation!$B$2:$B$201,$AB949)&amp;"","")))</f>
        <v/>
      </c>
      <c r="E949" s="7">
        <f>IF($Z949="C",INDEX(Contracts!$P$2:$P$151,$AB949)&amp;"",IF($Z949="A",INDEX(Fixed_Assets!$K$2:$K$201,$AB949)&amp;"",IF($Z949="F",IF(INDEX(FTE_Allocation!$D$2:$D$201,$AB949)="PROJECT",IFERROR(INDEX(Projects!$D:$D,MATCH(INDEX(FTE_Allocation!$E$2:$E$201,$AB949),Projects!$A:$A,0))&amp;"","#PROJECT?"),INDEX(FTE_Allocation!$E$2:$E$201,$AB949)&amp;""),"")))</f>
        <v/>
      </c>
      <c r="F949" s="7">
        <f>IF($Z949="C",INDEX(Contracts!$Q$2:$Q$151,$AB949)&amp;"",IF($Z949="A",INDEX(Fixed_Assets!$L$2:$L$201,$AB949)&amp;"",IF($Z949="F",INDEX(Workforce!$K$2:$K$151,MATCH(INDEX(FTE_Allocation!$A$2:$A$201,$AB949),Workforce!$A$2:$A$151,0))&amp;"","")))</f>
        <v/>
      </c>
      <c r="G949" s="7">
        <f>IF($Z949="C",INDEX(Contracts!$F$2:$F$151,$AB949)&amp;" / "&amp;INDEX(Contracts!$G$2:$G$151,$AB949),IF($Z949="A",INDEX(Fixed_Assets!$E$2:$E$201,$AB949)&amp;"",IF($Z949="F","Personnel "&amp;INDEX(FTE_Allocation!$A$2:$A$201,$AB949)&amp;IF(INDEX(FTE_Allocation!$D$2:$D$201,$AB949)="PROJECT"," ("&amp;INDEX(FTE_Allocation!$E$2:$E$201,$AB949)&amp;")",""),"")))</f>
        <v/>
      </c>
      <c r="H949" s="7">
        <f>IF($Z949="C","CONTRACT",IF($Z949="A","ASSET",IF($Z949="F","WORKFORCE","")))</f>
        <v/>
      </c>
      <c r="I949" s="7">
        <f>IF($Z949="C",INDEX(Contracts!$L$2:$L$151,$AB949)&amp;"",IF($Z949="A",INDEX(Fixed_Assets!$I$2:$I$201,$AB949)&amp;"",IF($Z949="F",INDEX(Workforce!$G$2:$G$151,MATCH(INDEX(FTE_Allocation!$A$2:$A$201,$AB949),Workforce!$A$2:$A$151,0))&amp;"","")))</f>
        <v/>
      </c>
      <c r="J949" s="18">
        <f>IF($Z949="","",IF(AND(DATE($AD949,1,1)&gt;=$AE949,DATE($AD949,1,1)&lt;=$AF949),ROUND($AG949,2),0))</f>
        <v/>
      </c>
      <c r="K949" s="18">
        <f>IF($Z949="","",IF(AND(DATE($AD949,2,1)&gt;=$AE949,DATE($AD949,2,1)&lt;=$AF949),ROUND($AG949,2),0))</f>
        <v/>
      </c>
      <c r="L949" s="18">
        <f>IF($Z949="","",IF(AND(DATE($AD949,3,1)&gt;=$AE949,DATE($AD949,3,1)&lt;=$AF949),ROUND($AG949,2),0))</f>
        <v/>
      </c>
      <c r="M949" s="18">
        <f>IF($Z949="","",IF(AND(DATE($AD949,4,1)&gt;=$AE949,DATE($AD949,4,1)&lt;=$AF949),ROUND($AG949,2),0))</f>
        <v/>
      </c>
      <c r="N949" s="18">
        <f>IF($Z949="","",IF(AND(DATE($AD949,5,1)&gt;=$AE949,DATE($AD949,5,1)&lt;=$AF949),ROUND($AG949,2),0))</f>
        <v/>
      </c>
      <c r="O949" s="18">
        <f>IF($Z949="","",IF(AND(DATE($AD949,6,1)&gt;=$AE949,DATE($AD949,6,1)&lt;=$AF949),ROUND($AG949,2),0))</f>
        <v/>
      </c>
      <c r="P949" s="18">
        <f>IF($Z949="","",IF(AND(DATE($AD949,7,1)&gt;=$AE949,DATE($AD949,7,1)&lt;=$AF949),ROUND($AG949,2),0))</f>
        <v/>
      </c>
      <c r="Q949" s="18">
        <f>IF($Z949="","",IF(AND(DATE($AD949,8,1)&gt;=$AE949,DATE($AD949,8,1)&lt;=$AF949),ROUND($AG949,2),0))</f>
        <v/>
      </c>
      <c r="R949" s="18">
        <f>IF($Z949="","",IF(AND(DATE($AD949,9,1)&gt;=$AE949,DATE($AD949,9,1)&lt;=$AF949),ROUND($AG949,2),0))</f>
        <v/>
      </c>
      <c r="S949" s="18">
        <f>IF($Z949="","",IF(AND(DATE($AD949,10,1)&gt;=$AE949,DATE($AD949,10,1)&lt;=$AF949),ROUND($AG949,2),0))</f>
        <v/>
      </c>
      <c r="T949" s="18">
        <f>IF($Z949="","",IF(AND(DATE($AD949,11,1)&gt;=$AE949,DATE($AD949,11,1)&lt;=$AF949),ROUND($AG949,2),0))</f>
        <v/>
      </c>
      <c r="U949" s="18">
        <f>IF($Z949="","",IF(AND(DATE($AD949,12,1)&gt;=$AE949,DATE($AD949,12,1)&lt;=$AF949),ROUND($AG949,2),0))</f>
        <v/>
      </c>
      <c r="V949" s="7">
        <f>IF($Z949="C","Generated from "&amp;INDEX(Contracts!$A$2:$A$151,$AB949),IF($Z949="A","Generated from "&amp;INDEX(Fixed_Assets!$A$2:$A$201,$AB949),IF($Z949="F","Generated from "&amp;INDEX(FTE_Allocation!$A$2:$A$201,$AB949),"")))</f>
        <v/>
      </c>
      <c r="X949" s="19">
        <f>IF($Z949="","",SUM(J949:U949))</f>
        <v/>
      </c>
      <c r="Y949" s="20">
        <f>ROW()-1</f>
        <v/>
      </c>
      <c r="Z949" s="20">
        <f>IF($Y949&lt;=Settings!$B$4*3,"C",IF($Y949&lt;=(Settings!$B$4+Settings!$B$5)*3,"A",IF($Y949&lt;=(Settings!$B$4+Settings!$B$5+Settings!$B$6)*3,"F","")))</f>
        <v/>
      </c>
      <c r="AA949" s="20">
        <f>IF($Z949="C",$Y949,IF($Z949="A",$Y949-Settings!$B$4*3,IF($Z949="F",$Y949-(Settings!$B$4+Settings!$B$5)*3,"")))</f>
        <v/>
      </c>
      <c r="AB949" s="20">
        <f>IF($Z949="","",INT(($AA949-1)/3)+1)</f>
        <v/>
      </c>
      <c r="AC949" s="20">
        <f>IF($Z949="","",MOD($AA949-1,3)+1)</f>
        <v/>
      </c>
      <c r="AD949" s="20">
        <f>IF($Z949="","",Settings!$B$2+$AC949-1)</f>
        <v/>
      </c>
      <c r="AE949" s="21">
        <f>IF($Z949="C",DATE(YEAR(INDEX(Contracts!$J$2:$J$151,$AB949)),MONTH(INDEX(Contracts!$J$2:$J$151,$AB949)),1),IF($Z949="A",DATE(YEAR(INDEX(Fixed_Assets!$G$2:$G$201,$AB949)),MONTH(INDEX(Fixed_Assets!$G$2:$G$201,$AB949)),1),IF($Z949="F",DATE(YEAR(MAX(N(INDEX(Workforce!$I$2:$I$151,MATCH(INDEX(FTE_Allocation!$A$2:$A$201,$AB949),Workforce!$A$2:$A$151,0))),N(INDEX(FTE_Allocation!$I$2:$I$201,$AB949)))),MONTH(MAX(N(INDEX(Workforce!$I$2:$I$151,MATCH(INDEX(FTE_Allocation!$A$2:$A$201,$AB949),Workforce!$A$2:$A$151,0))),N(INDEX(FTE_Allocation!$I$2:$I$201,$AB949)))),1),"")))</f>
        <v/>
      </c>
      <c r="AF949" s="21">
        <f>IF($Z949="C",IF(INDEX(Contracts!$I$2:$I$151,$AB949)="PREPAID",EDATE(DATE(YEAR(INDEX(Contracts!$J$2:$J$151,$AB949)),MONTH(INDEX(Contracts!$J$2:$J$151,$AB949)),1),IF(INDEX(Contracts!$N$2:$N$151,$AB949)="",12,INDEX(Contracts!$N$2:$N$151,$AB949))-1),IF(INDEX(Contracts!$I$2:$I$151,$AB949)="MONTHLY",IF(INDEX(Contracts!$K$2:$K$151,$AB949)="",2958101,INDEX(Contracts!$K$2:$K$151,$AB949)),0)),IF($Z949="A",EDATE(DATE(YEAR(INDEX(Fixed_Assets!$G$2:$G$201,$AB949)),MONTH(INDEX(Fixed_Assets!$G$2:$G$201,$AB949)),1),INDEX(Fixed_Assets!$J$2:$J$201,$AB949)-1),IF($Z949="F",MIN(IF(INDEX(Workforce!$J$2:$J$151,MATCH(INDEX(FTE_Allocation!$A$2:$A$201,$AB949),Workforce!$A$2:$A$151,0))="",2958101,INDEX(Workforce!$J$2:$J$151,MATCH(INDEX(FTE_Allocation!$A$2:$A$201,$AB949),Workforce!$A$2:$A$151,0))),IF(INDEX(FTE_Allocation!$J$2:$J$201,$AB949)="",2958101,INDEX(FTE_Allocation!$J$2:$J$201,$AB949))),"")))</f>
        <v/>
      </c>
      <c r="AG949" s="19">
        <f>IF($Z949="C",IF(INDEX(Contracts!$I$2:$I$151,$AB949)="PREPAID",INDEX(Contracts!$M$2:$M$151,$AB949)/IF(INDEX(Contracts!$N$2:$N$151,$AB949)="",12,INDEX(Contracts!$N$2:$N$151,$AB949)),IF(INDEX(Contracts!$I$2:$I$151,$AB949)="MONTHLY",INDEX(Contracts!$M$2:$M$151,$AB949),0))*(1-N(INDEX(Contracts!$O$2:$O$151,$AB949))),IF($Z949="A",INDEX(Fixed_Assets!$H$2:$H$201,$AB949)/INDEX(Fixed_Assets!$J$2:$J$201,$AB949),IF($Z949="F",INDEX(Workforce!$F$2:$F$151,MATCH(INDEX(FTE_Allocation!$A$2:$A$201,$AB949),Workforce!$A$2:$A$151,0))*N(INDEX(FTE_Allocation!$F$2:$H$201,$AB949,$AC949)),"")))</f>
        <v/>
      </c>
    </row>
    <row r="950">
      <c r="A950" s="7">
        <f>IF($Z950="","",$AD950)</f>
        <v/>
      </c>
      <c r="B950" s="7">
        <f>IF($Z950="C",INDEX(Contracts!$D$2:$D$151,$AB950)&amp;"",IF($Z950="A",INDEX(Fixed_Assets!$C$2:$C$201,$AB950)&amp;"",IF($Z950="F",INDEX(Workforce!$B$2:$B$151,MATCH(INDEX(FTE_Allocation!$A$2:$A$201,$AB950),Workforce!$A$2:$A$151,0))&amp;"","")))</f>
        <v/>
      </c>
      <c r="C950" s="7">
        <f>IF($Z950="C",INDEX(Contracts!$E$2:$E$151,$AB950)&amp;"",IF($Z950="A",INDEX(Fixed_Assets!$D$2:$D$201,$AB950)&amp;"",IF($Z950="F",INDEX(FTE_Allocation!$C$2:$C$201,$AB950)&amp;"","")))</f>
        <v/>
      </c>
      <c r="D950" s="7">
        <f>IF($Z950="C",INDEX(Contracts!$B$2:$B$151,$AB950)&amp;"",IF($Z950="A",INDEX(Fixed_Assets!$B$2:$B$201,$AB950)&amp;"",IF($Z950="F",INDEX(FTE_Allocation!$B$2:$B$201,$AB950)&amp;"","")))</f>
        <v/>
      </c>
      <c r="E950" s="7">
        <f>IF($Z950="C",INDEX(Contracts!$P$2:$P$151,$AB950)&amp;"",IF($Z950="A",INDEX(Fixed_Assets!$K$2:$K$201,$AB950)&amp;"",IF($Z950="F",IF(INDEX(FTE_Allocation!$D$2:$D$201,$AB950)="PROJECT",IFERROR(INDEX(Projects!$D:$D,MATCH(INDEX(FTE_Allocation!$E$2:$E$201,$AB950),Projects!$A:$A,0))&amp;"","#PROJECT?"),INDEX(FTE_Allocation!$E$2:$E$201,$AB950)&amp;""),"")))</f>
        <v/>
      </c>
      <c r="F950" s="7">
        <f>IF($Z950="C",INDEX(Contracts!$Q$2:$Q$151,$AB950)&amp;"",IF($Z950="A",INDEX(Fixed_Assets!$L$2:$L$201,$AB950)&amp;"",IF($Z950="F",INDEX(Workforce!$K$2:$K$151,MATCH(INDEX(FTE_Allocation!$A$2:$A$201,$AB950),Workforce!$A$2:$A$151,0))&amp;"","")))</f>
        <v/>
      </c>
      <c r="G950" s="7">
        <f>IF($Z950="C",INDEX(Contracts!$F$2:$F$151,$AB950)&amp;" / "&amp;INDEX(Contracts!$G$2:$G$151,$AB950),IF($Z950="A",INDEX(Fixed_Assets!$E$2:$E$201,$AB950)&amp;"",IF($Z950="F","Personnel "&amp;INDEX(FTE_Allocation!$A$2:$A$201,$AB950)&amp;IF(INDEX(FTE_Allocation!$D$2:$D$201,$AB950)="PROJECT"," ("&amp;INDEX(FTE_Allocation!$E$2:$E$201,$AB950)&amp;")",""),"")))</f>
        <v/>
      </c>
      <c r="H950" s="7">
        <f>IF($Z950="C","CONTRACT",IF($Z950="A","ASSET",IF($Z950="F","WORKFORCE","")))</f>
        <v/>
      </c>
      <c r="I950" s="7">
        <f>IF($Z950="C",INDEX(Contracts!$L$2:$L$151,$AB950)&amp;"",IF($Z950="A",INDEX(Fixed_Assets!$I$2:$I$201,$AB950)&amp;"",IF($Z950="F",INDEX(Workforce!$G$2:$G$151,MATCH(INDEX(FTE_Allocation!$A$2:$A$201,$AB950),Workforce!$A$2:$A$151,0))&amp;"","")))</f>
        <v/>
      </c>
      <c r="J950" s="18">
        <f>IF($Z950="","",IF(AND(DATE($AD950,1,1)&gt;=$AE950,DATE($AD950,1,1)&lt;=$AF950),ROUND($AG950,2),0))</f>
        <v/>
      </c>
      <c r="K950" s="18">
        <f>IF($Z950="","",IF(AND(DATE($AD950,2,1)&gt;=$AE950,DATE($AD950,2,1)&lt;=$AF950),ROUND($AG950,2),0))</f>
        <v/>
      </c>
      <c r="L950" s="18">
        <f>IF($Z950="","",IF(AND(DATE($AD950,3,1)&gt;=$AE950,DATE($AD950,3,1)&lt;=$AF950),ROUND($AG950,2),0))</f>
        <v/>
      </c>
      <c r="M950" s="18">
        <f>IF($Z950="","",IF(AND(DATE($AD950,4,1)&gt;=$AE950,DATE($AD950,4,1)&lt;=$AF950),ROUND($AG950,2),0))</f>
        <v/>
      </c>
      <c r="N950" s="18">
        <f>IF($Z950="","",IF(AND(DATE($AD950,5,1)&gt;=$AE950,DATE($AD950,5,1)&lt;=$AF950),ROUND($AG950,2),0))</f>
        <v/>
      </c>
      <c r="O950" s="18">
        <f>IF($Z950="","",IF(AND(DATE($AD950,6,1)&gt;=$AE950,DATE($AD950,6,1)&lt;=$AF950),ROUND($AG950,2),0))</f>
        <v/>
      </c>
      <c r="P950" s="18">
        <f>IF($Z950="","",IF(AND(DATE($AD950,7,1)&gt;=$AE950,DATE($AD950,7,1)&lt;=$AF950),ROUND($AG950,2),0))</f>
        <v/>
      </c>
      <c r="Q950" s="18">
        <f>IF($Z950="","",IF(AND(DATE($AD950,8,1)&gt;=$AE950,DATE($AD950,8,1)&lt;=$AF950),ROUND($AG950,2),0))</f>
        <v/>
      </c>
      <c r="R950" s="18">
        <f>IF($Z950="","",IF(AND(DATE($AD950,9,1)&gt;=$AE950,DATE($AD950,9,1)&lt;=$AF950),ROUND($AG950,2),0))</f>
        <v/>
      </c>
      <c r="S950" s="18">
        <f>IF($Z950="","",IF(AND(DATE($AD950,10,1)&gt;=$AE950,DATE($AD950,10,1)&lt;=$AF950),ROUND($AG950,2),0))</f>
        <v/>
      </c>
      <c r="T950" s="18">
        <f>IF($Z950="","",IF(AND(DATE($AD950,11,1)&gt;=$AE950,DATE($AD950,11,1)&lt;=$AF950),ROUND($AG950,2),0))</f>
        <v/>
      </c>
      <c r="U950" s="18">
        <f>IF($Z950="","",IF(AND(DATE($AD950,12,1)&gt;=$AE950,DATE($AD950,12,1)&lt;=$AF950),ROUND($AG950,2),0))</f>
        <v/>
      </c>
      <c r="V950" s="7">
        <f>IF($Z950="C","Generated from "&amp;INDEX(Contracts!$A$2:$A$151,$AB950),IF($Z950="A","Generated from "&amp;INDEX(Fixed_Assets!$A$2:$A$201,$AB950),IF($Z950="F","Generated from "&amp;INDEX(FTE_Allocation!$A$2:$A$201,$AB950),"")))</f>
        <v/>
      </c>
      <c r="X950" s="19">
        <f>IF($Z950="","",SUM(J950:U950))</f>
        <v/>
      </c>
      <c r="Y950" s="20">
        <f>ROW()-1</f>
        <v/>
      </c>
      <c r="Z950" s="20">
        <f>IF($Y950&lt;=Settings!$B$4*3,"C",IF($Y950&lt;=(Settings!$B$4+Settings!$B$5)*3,"A",IF($Y950&lt;=(Settings!$B$4+Settings!$B$5+Settings!$B$6)*3,"F","")))</f>
        <v/>
      </c>
      <c r="AA950" s="20">
        <f>IF($Z950="C",$Y950,IF($Z950="A",$Y950-Settings!$B$4*3,IF($Z950="F",$Y950-(Settings!$B$4+Settings!$B$5)*3,"")))</f>
        <v/>
      </c>
      <c r="AB950" s="20">
        <f>IF($Z950="","",INT(($AA950-1)/3)+1)</f>
        <v/>
      </c>
      <c r="AC950" s="20">
        <f>IF($Z950="","",MOD($AA950-1,3)+1)</f>
        <v/>
      </c>
      <c r="AD950" s="20">
        <f>IF($Z950="","",Settings!$B$2+$AC950-1)</f>
        <v/>
      </c>
      <c r="AE950" s="21">
        <f>IF($Z950="C",DATE(YEAR(INDEX(Contracts!$J$2:$J$151,$AB950)),MONTH(INDEX(Contracts!$J$2:$J$151,$AB950)),1),IF($Z950="A",DATE(YEAR(INDEX(Fixed_Assets!$G$2:$G$201,$AB950)),MONTH(INDEX(Fixed_Assets!$G$2:$G$201,$AB950)),1),IF($Z950="F",DATE(YEAR(MAX(N(INDEX(Workforce!$I$2:$I$151,MATCH(INDEX(FTE_Allocation!$A$2:$A$201,$AB950),Workforce!$A$2:$A$151,0))),N(INDEX(FTE_Allocation!$I$2:$I$201,$AB950)))),MONTH(MAX(N(INDEX(Workforce!$I$2:$I$151,MATCH(INDEX(FTE_Allocation!$A$2:$A$201,$AB950),Workforce!$A$2:$A$151,0))),N(INDEX(FTE_Allocation!$I$2:$I$201,$AB950)))),1),"")))</f>
        <v/>
      </c>
      <c r="AF950" s="21">
        <f>IF($Z950="C",IF(INDEX(Contracts!$I$2:$I$151,$AB950)="PREPAID",EDATE(DATE(YEAR(INDEX(Contracts!$J$2:$J$151,$AB950)),MONTH(INDEX(Contracts!$J$2:$J$151,$AB950)),1),IF(INDEX(Contracts!$N$2:$N$151,$AB950)="",12,INDEX(Contracts!$N$2:$N$151,$AB950))-1),IF(INDEX(Contracts!$I$2:$I$151,$AB950)="MONTHLY",IF(INDEX(Contracts!$K$2:$K$151,$AB950)="",2958101,INDEX(Contracts!$K$2:$K$151,$AB950)),0)),IF($Z950="A",EDATE(DATE(YEAR(INDEX(Fixed_Assets!$G$2:$G$201,$AB950)),MONTH(INDEX(Fixed_Assets!$G$2:$G$201,$AB950)),1),INDEX(Fixed_Assets!$J$2:$J$201,$AB950)-1),IF($Z950="F",MIN(IF(INDEX(Workforce!$J$2:$J$151,MATCH(INDEX(FTE_Allocation!$A$2:$A$201,$AB950),Workforce!$A$2:$A$151,0))="",2958101,INDEX(Workforce!$J$2:$J$151,MATCH(INDEX(FTE_Allocation!$A$2:$A$201,$AB950),Workforce!$A$2:$A$151,0))),IF(INDEX(FTE_Allocation!$J$2:$J$201,$AB950)="",2958101,INDEX(FTE_Allocation!$J$2:$J$201,$AB950))),"")))</f>
        <v/>
      </c>
      <c r="AG950" s="19">
        <f>IF($Z950="C",IF(INDEX(Contracts!$I$2:$I$151,$AB950)="PREPAID",INDEX(Contracts!$M$2:$M$151,$AB950)/IF(INDEX(Contracts!$N$2:$N$151,$AB950)="",12,INDEX(Contracts!$N$2:$N$151,$AB950)),IF(INDEX(Contracts!$I$2:$I$151,$AB950)="MONTHLY",INDEX(Contracts!$M$2:$M$151,$AB950),0))*(1-N(INDEX(Contracts!$O$2:$O$151,$AB950))),IF($Z950="A",INDEX(Fixed_Assets!$H$2:$H$201,$AB950)/INDEX(Fixed_Assets!$J$2:$J$201,$AB950),IF($Z950="F",INDEX(Workforce!$F$2:$F$151,MATCH(INDEX(FTE_Allocation!$A$2:$A$201,$AB950),Workforce!$A$2:$A$151,0))*N(INDEX(FTE_Allocation!$F$2:$H$201,$AB950,$AC950)),"")))</f>
        <v/>
      </c>
    </row>
    <row r="951">
      <c r="A951" s="7">
        <f>IF($Z951="","",$AD951)</f>
        <v/>
      </c>
      <c r="B951" s="7">
        <f>IF($Z951="C",INDEX(Contracts!$D$2:$D$151,$AB951)&amp;"",IF($Z951="A",INDEX(Fixed_Assets!$C$2:$C$201,$AB951)&amp;"",IF($Z951="F",INDEX(Workforce!$B$2:$B$151,MATCH(INDEX(FTE_Allocation!$A$2:$A$201,$AB951),Workforce!$A$2:$A$151,0))&amp;"","")))</f>
        <v/>
      </c>
      <c r="C951" s="7">
        <f>IF($Z951="C",INDEX(Contracts!$E$2:$E$151,$AB951)&amp;"",IF($Z951="A",INDEX(Fixed_Assets!$D$2:$D$201,$AB951)&amp;"",IF($Z951="F",INDEX(FTE_Allocation!$C$2:$C$201,$AB951)&amp;"","")))</f>
        <v/>
      </c>
      <c r="D951" s="7">
        <f>IF($Z951="C",INDEX(Contracts!$B$2:$B$151,$AB951)&amp;"",IF($Z951="A",INDEX(Fixed_Assets!$B$2:$B$201,$AB951)&amp;"",IF($Z951="F",INDEX(FTE_Allocation!$B$2:$B$201,$AB951)&amp;"","")))</f>
        <v/>
      </c>
      <c r="E951" s="7">
        <f>IF($Z951="C",INDEX(Contracts!$P$2:$P$151,$AB951)&amp;"",IF($Z951="A",INDEX(Fixed_Assets!$K$2:$K$201,$AB951)&amp;"",IF($Z951="F",IF(INDEX(FTE_Allocation!$D$2:$D$201,$AB951)="PROJECT",IFERROR(INDEX(Projects!$D:$D,MATCH(INDEX(FTE_Allocation!$E$2:$E$201,$AB951),Projects!$A:$A,0))&amp;"","#PROJECT?"),INDEX(FTE_Allocation!$E$2:$E$201,$AB951)&amp;""),"")))</f>
        <v/>
      </c>
      <c r="F951" s="7">
        <f>IF($Z951="C",INDEX(Contracts!$Q$2:$Q$151,$AB951)&amp;"",IF($Z951="A",INDEX(Fixed_Assets!$L$2:$L$201,$AB951)&amp;"",IF($Z951="F",INDEX(Workforce!$K$2:$K$151,MATCH(INDEX(FTE_Allocation!$A$2:$A$201,$AB951),Workforce!$A$2:$A$151,0))&amp;"","")))</f>
        <v/>
      </c>
      <c r="G951" s="7">
        <f>IF($Z951="C",INDEX(Contracts!$F$2:$F$151,$AB951)&amp;" / "&amp;INDEX(Contracts!$G$2:$G$151,$AB951),IF($Z951="A",INDEX(Fixed_Assets!$E$2:$E$201,$AB951)&amp;"",IF($Z951="F","Personnel "&amp;INDEX(FTE_Allocation!$A$2:$A$201,$AB951)&amp;IF(INDEX(FTE_Allocation!$D$2:$D$201,$AB951)="PROJECT"," ("&amp;INDEX(FTE_Allocation!$E$2:$E$201,$AB951)&amp;")",""),"")))</f>
        <v/>
      </c>
      <c r="H951" s="7">
        <f>IF($Z951="C","CONTRACT",IF($Z951="A","ASSET",IF($Z951="F","WORKFORCE","")))</f>
        <v/>
      </c>
      <c r="I951" s="7">
        <f>IF($Z951="C",INDEX(Contracts!$L$2:$L$151,$AB951)&amp;"",IF($Z951="A",INDEX(Fixed_Assets!$I$2:$I$201,$AB951)&amp;"",IF($Z951="F",INDEX(Workforce!$G$2:$G$151,MATCH(INDEX(FTE_Allocation!$A$2:$A$201,$AB951),Workforce!$A$2:$A$151,0))&amp;"","")))</f>
        <v/>
      </c>
      <c r="J951" s="18">
        <f>IF($Z951="","",IF(AND(DATE($AD951,1,1)&gt;=$AE951,DATE($AD951,1,1)&lt;=$AF951),ROUND($AG951,2),0))</f>
        <v/>
      </c>
      <c r="K951" s="18">
        <f>IF($Z951="","",IF(AND(DATE($AD951,2,1)&gt;=$AE951,DATE($AD951,2,1)&lt;=$AF951),ROUND($AG951,2),0))</f>
        <v/>
      </c>
      <c r="L951" s="18">
        <f>IF($Z951="","",IF(AND(DATE($AD951,3,1)&gt;=$AE951,DATE($AD951,3,1)&lt;=$AF951),ROUND($AG951,2),0))</f>
        <v/>
      </c>
      <c r="M951" s="18">
        <f>IF($Z951="","",IF(AND(DATE($AD951,4,1)&gt;=$AE951,DATE($AD951,4,1)&lt;=$AF951),ROUND($AG951,2),0))</f>
        <v/>
      </c>
      <c r="N951" s="18">
        <f>IF($Z951="","",IF(AND(DATE($AD951,5,1)&gt;=$AE951,DATE($AD951,5,1)&lt;=$AF951),ROUND($AG951,2),0))</f>
        <v/>
      </c>
      <c r="O951" s="18">
        <f>IF($Z951="","",IF(AND(DATE($AD951,6,1)&gt;=$AE951,DATE($AD951,6,1)&lt;=$AF951),ROUND($AG951,2),0))</f>
        <v/>
      </c>
      <c r="P951" s="18">
        <f>IF($Z951="","",IF(AND(DATE($AD951,7,1)&gt;=$AE951,DATE($AD951,7,1)&lt;=$AF951),ROUND($AG951,2),0))</f>
        <v/>
      </c>
      <c r="Q951" s="18">
        <f>IF($Z951="","",IF(AND(DATE($AD951,8,1)&gt;=$AE951,DATE($AD951,8,1)&lt;=$AF951),ROUND($AG951,2),0))</f>
        <v/>
      </c>
      <c r="R951" s="18">
        <f>IF($Z951="","",IF(AND(DATE($AD951,9,1)&gt;=$AE951,DATE($AD951,9,1)&lt;=$AF951),ROUND($AG951,2),0))</f>
        <v/>
      </c>
      <c r="S951" s="18">
        <f>IF($Z951="","",IF(AND(DATE($AD951,10,1)&gt;=$AE951,DATE($AD951,10,1)&lt;=$AF951),ROUND($AG951,2),0))</f>
        <v/>
      </c>
      <c r="T951" s="18">
        <f>IF($Z951="","",IF(AND(DATE($AD951,11,1)&gt;=$AE951,DATE($AD951,11,1)&lt;=$AF951),ROUND($AG951,2),0))</f>
        <v/>
      </c>
      <c r="U951" s="18">
        <f>IF($Z951="","",IF(AND(DATE($AD951,12,1)&gt;=$AE951,DATE($AD951,12,1)&lt;=$AF951),ROUND($AG951,2),0))</f>
        <v/>
      </c>
      <c r="V951" s="7">
        <f>IF($Z951="C","Generated from "&amp;INDEX(Contracts!$A$2:$A$151,$AB951),IF($Z951="A","Generated from "&amp;INDEX(Fixed_Assets!$A$2:$A$201,$AB951),IF($Z951="F","Generated from "&amp;INDEX(FTE_Allocation!$A$2:$A$201,$AB951),"")))</f>
        <v/>
      </c>
      <c r="X951" s="19">
        <f>IF($Z951="","",SUM(J951:U951))</f>
        <v/>
      </c>
      <c r="Y951" s="20">
        <f>ROW()-1</f>
        <v/>
      </c>
      <c r="Z951" s="20">
        <f>IF($Y951&lt;=Settings!$B$4*3,"C",IF($Y951&lt;=(Settings!$B$4+Settings!$B$5)*3,"A",IF($Y951&lt;=(Settings!$B$4+Settings!$B$5+Settings!$B$6)*3,"F","")))</f>
        <v/>
      </c>
      <c r="AA951" s="20">
        <f>IF($Z951="C",$Y951,IF($Z951="A",$Y951-Settings!$B$4*3,IF($Z951="F",$Y951-(Settings!$B$4+Settings!$B$5)*3,"")))</f>
        <v/>
      </c>
      <c r="AB951" s="20">
        <f>IF($Z951="","",INT(($AA951-1)/3)+1)</f>
        <v/>
      </c>
      <c r="AC951" s="20">
        <f>IF($Z951="","",MOD($AA951-1,3)+1)</f>
        <v/>
      </c>
      <c r="AD951" s="20">
        <f>IF($Z951="","",Settings!$B$2+$AC951-1)</f>
        <v/>
      </c>
      <c r="AE951" s="21">
        <f>IF($Z951="C",DATE(YEAR(INDEX(Contracts!$J$2:$J$151,$AB951)),MONTH(INDEX(Contracts!$J$2:$J$151,$AB951)),1),IF($Z951="A",DATE(YEAR(INDEX(Fixed_Assets!$G$2:$G$201,$AB951)),MONTH(INDEX(Fixed_Assets!$G$2:$G$201,$AB951)),1),IF($Z951="F",DATE(YEAR(MAX(N(INDEX(Workforce!$I$2:$I$151,MATCH(INDEX(FTE_Allocation!$A$2:$A$201,$AB951),Workforce!$A$2:$A$151,0))),N(INDEX(FTE_Allocation!$I$2:$I$201,$AB951)))),MONTH(MAX(N(INDEX(Workforce!$I$2:$I$151,MATCH(INDEX(FTE_Allocation!$A$2:$A$201,$AB951),Workforce!$A$2:$A$151,0))),N(INDEX(FTE_Allocation!$I$2:$I$201,$AB951)))),1),"")))</f>
        <v/>
      </c>
      <c r="AF951" s="21">
        <f>IF($Z951="C",IF(INDEX(Contracts!$I$2:$I$151,$AB951)="PREPAID",EDATE(DATE(YEAR(INDEX(Contracts!$J$2:$J$151,$AB951)),MONTH(INDEX(Contracts!$J$2:$J$151,$AB951)),1),IF(INDEX(Contracts!$N$2:$N$151,$AB951)="",12,INDEX(Contracts!$N$2:$N$151,$AB951))-1),IF(INDEX(Contracts!$I$2:$I$151,$AB951)="MONTHLY",IF(INDEX(Contracts!$K$2:$K$151,$AB951)="",2958101,INDEX(Contracts!$K$2:$K$151,$AB951)),0)),IF($Z951="A",EDATE(DATE(YEAR(INDEX(Fixed_Assets!$G$2:$G$201,$AB951)),MONTH(INDEX(Fixed_Assets!$G$2:$G$201,$AB951)),1),INDEX(Fixed_Assets!$J$2:$J$201,$AB951)-1),IF($Z951="F",MIN(IF(INDEX(Workforce!$J$2:$J$151,MATCH(INDEX(FTE_Allocation!$A$2:$A$201,$AB951),Workforce!$A$2:$A$151,0))="",2958101,INDEX(Workforce!$J$2:$J$151,MATCH(INDEX(FTE_Allocation!$A$2:$A$201,$AB951),Workforce!$A$2:$A$151,0))),IF(INDEX(FTE_Allocation!$J$2:$J$201,$AB951)="",2958101,INDEX(FTE_Allocation!$J$2:$J$201,$AB951))),"")))</f>
        <v/>
      </c>
      <c r="AG951" s="19">
        <f>IF($Z951="C",IF(INDEX(Contracts!$I$2:$I$151,$AB951)="PREPAID",INDEX(Contracts!$M$2:$M$151,$AB951)/IF(INDEX(Contracts!$N$2:$N$151,$AB951)="",12,INDEX(Contracts!$N$2:$N$151,$AB951)),IF(INDEX(Contracts!$I$2:$I$151,$AB951)="MONTHLY",INDEX(Contracts!$M$2:$M$151,$AB951),0))*(1-N(INDEX(Contracts!$O$2:$O$151,$AB951))),IF($Z951="A",INDEX(Fixed_Assets!$H$2:$H$201,$AB951)/INDEX(Fixed_Assets!$J$2:$J$201,$AB951),IF($Z951="F",INDEX(Workforce!$F$2:$F$151,MATCH(INDEX(FTE_Allocation!$A$2:$A$201,$AB951),Workforce!$A$2:$A$151,0))*N(INDEX(FTE_Allocation!$F$2:$H$201,$AB951,$AC951)),"")))</f>
        <v/>
      </c>
    </row>
    <row r="952">
      <c r="A952" s="7">
        <f>IF($Z952="","",$AD952)</f>
        <v/>
      </c>
      <c r="B952" s="7">
        <f>IF($Z952="C",INDEX(Contracts!$D$2:$D$151,$AB952)&amp;"",IF($Z952="A",INDEX(Fixed_Assets!$C$2:$C$201,$AB952)&amp;"",IF($Z952="F",INDEX(Workforce!$B$2:$B$151,MATCH(INDEX(FTE_Allocation!$A$2:$A$201,$AB952),Workforce!$A$2:$A$151,0))&amp;"","")))</f>
        <v/>
      </c>
      <c r="C952" s="7">
        <f>IF($Z952="C",INDEX(Contracts!$E$2:$E$151,$AB952)&amp;"",IF($Z952="A",INDEX(Fixed_Assets!$D$2:$D$201,$AB952)&amp;"",IF($Z952="F",INDEX(FTE_Allocation!$C$2:$C$201,$AB952)&amp;"","")))</f>
        <v/>
      </c>
      <c r="D952" s="7">
        <f>IF($Z952="C",INDEX(Contracts!$B$2:$B$151,$AB952)&amp;"",IF($Z952="A",INDEX(Fixed_Assets!$B$2:$B$201,$AB952)&amp;"",IF($Z952="F",INDEX(FTE_Allocation!$B$2:$B$201,$AB952)&amp;"","")))</f>
        <v/>
      </c>
      <c r="E952" s="7">
        <f>IF($Z952="C",INDEX(Contracts!$P$2:$P$151,$AB952)&amp;"",IF($Z952="A",INDEX(Fixed_Assets!$K$2:$K$201,$AB952)&amp;"",IF($Z952="F",IF(INDEX(FTE_Allocation!$D$2:$D$201,$AB952)="PROJECT",IFERROR(INDEX(Projects!$D:$D,MATCH(INDEX(FTE_Allocation!$E$2:$E$201,$AB952),Projects!$A:$A,0))&amp;"","#PROJECT?"),INDEX(FTE_Allocation!$E$2:$E$201,$AB952)&amp;""),"")))</f>
        <v/>
      </c>
      <c r="F952" s="7">
        <f>IF($Z952="C",INDEX(Contracts!$Q$2:$Q$151,$AB952)&amp;"",IF($Z952="A",INDEX(Fixed_Assets!$L$2:$L$201,$AB952)&amp;"",IF($Z952="F",INDEX(Workforce!$K$2:$K$151,MATCH(INDEX(FTE_Allocation!$A$2:$A$201,$AB952),Workforce!$A$2:$A$151,0))&amp;"","")))</f>
        <v/>
      </c>
      <c r="G952" s="7">
        <f>IF($Z952="C",INDEX(Contracts!$F$2:$F$151,$AB952)&amp;" / "&amp;INDEX(Contracts!$G$2:$G$151,$AB952),IF($Z952="A",INDEX(Fixed_Assets!$E$2:$E$201,$AB952)&amp;"",IF($Z952="F","Personnel "&amp;INDEX(FTE_Allocation!$A$2:$A$201,$AB952)&amp;IF(INDEX(FTE_Allocation!$D$2:$D$201,$AB952)="PROJECT"," ("&amp;INDEX(FTE_Allocation!$E$2:$E$201,$AB952)&amp;")",""),"")))</f>
        <v/>
      </c>
      <c r="H952" s="7">
        <f>IF($Z952="C","CONTRACT",IF($Z952="A","ASSET",IF($Z952="F","WORKFORCE","")))</f>
        <v/>
      </c>
      <c r="I952" s="7">
        <f>IF($Z952="C",INDEX(Contracts!$L$2:$L$151,$AB952)&amp;"",IF($Z952="A",INDEX(Fixed_Assets!$I$2:$I$201,$AB952)&amp;"",IF($Z952="F",INDEX(Workforce!$G$2:$G$151,MATCH(INDEX(FTE_Allocation!$A$2:$A$201,$AB952),Workforce!$A$2:$A$151,0))&amp;"","")))</f>
        <v/>
      </c>
      <c r="J952" s="18">
        <f>IF($Z952="","",IF(AND(DATE($AD952,1,1)&gt;=$AE952,DATE($AD952,1,1)&lt;=$AF952),ROUND($AG952,2),0))</f>
        <v/>
      </c>
      <c r="K952" s="18">
        <f>IF($Z952="","",IF(AND(DATE($AD952,2,1)&gt;=$AE952,DATE($AD952,2,1)&lt;=$AF952),ROUND($AG952,2),0))</f>
        <v/>
      </c>
      <c r="L952" s="18">
        <f>IF($Z952="","",IF(AND(DATE($AD952,3,1)&gt;=$AE952,DATE($AD952,3,1)&lt;=$AF952),ROUND($AG952,2),0))</f>
        <v/>
      </c>
      <c r="M952" s="18">
        <f>IF($Z952="","",IF(AND(DATE($AD952,4,1)&gt;=$AE952,DATE($AD952,4,1)&lt;=$AF952),ROUND($AG952,2),0))</f>
        <v/>
      </c>
      <c r="N952" s="18">
        <f>IF($Z952="","",IF(AND(DATE($AD952,5,1)&gt;=$AE952,DATE($AD952,5,1)&lt;=$AF952),ROUND($AG952,2),0))</f>
        <v/>
      </c>
      <c r="O952" s="18">
        <f>IF($Z952="","",IF(AND(DATE($AD952,6,1)&gt;=$AE952,DATE($AD952,6,1)&lt;=$AF952),ROUND($AG952,2),0))</f>
        <v/>
      </c>
      <c r="P952" s="18">
        <f>IF($Z952="","",IF(AND(DATE($AD952,7,1)&gt;=$AE952,DATE($AD952,7,1)&lt;=$AF952),ROUND($AG952,2),0))</f>
        <v/>
      </c>
      <c r="Q952" s="18">
        <f>IF($Z952="","",IF(AND(DATE($AD952,8,1)&gt;=$AE952,DATE($AD952,8,1)&lt;=$AF952),ROUND($AG952,2),0))</f>
        <v/>
      </c>
      <c r="R952" s="18">
        <f>IF($Z952="","",IF(AND(DATE($AD952,9,1)&gt;=$AE952,DATE($AD952,9,1)&lt;=$AF952),ROUND($AG952,2),0))</f>
        <v/>
      </c>
      <c r="S952" s="18">
        <f>IF($Z952="","",IF(AND(DATE($AD952,10,1)&gt;=$AE952,DATE($AD952,10,1)&lt;=$AF952),ROUND($AG952,2),0))</f>
        <v/>
      </c>
      <c r="T952" s="18">
        <f>IF($Z952="","",IF(AND(DATE($AD952,11,1)&gt;=$AE952,DATE($AD952,11,1)&lt;=$AF952),ROUND($AG952,2),0))</f>
        <v/>
      </c>
      <c r="U952" s="18">
        <f>IF($Z952="","",IF(AND(DATE($AD952,12,1)&gt;=$AE952,DATE($AD952,12,1)&lt;=$AF952),ROUND($AG952,2),0))</f>
        <v/>
      </c>
      <c r="V952" s="7">
        <f>IF($Z952="C","Generated from "&amp;INDEX(Contracts!$A$2:$A$151,$AB952),IF($Z952="A","Generated from "&amp;INDEX(Fixed_Assets!$A$2:$A$201,$AB952),IF($Z952="F","Generated from "&amp;INDEX(FTE_Allocation!$A$2:$A$201,$AB952),"")))</f>
        <v/>
      </c>
      <c r="X952" s="19">
        <f>IF($Z952="","",SUM(J952:U952))</f>
        <v/>
      </c>
      <c r="Y952" s="20">
        <f>ROW()-1</f>
        <v/>
      </c>
      <c r="Z952" s="20">
        <f>IF($Y952&lt;=Settings!$B$4*3,"C",IF($Y952&lt;=(Settings!$B$4+Settings!$B$5)*3,"A",IF($Y952&lt;=(Settings!$B$4+Settings!$B$5+Settings!$B$6)*3,"F","")))</f>
        <v/>
      </c>
      <c r="AA952" s="20">
        <f>IF($Z952="C",$Y952,IF($Z952="A",$Y952-Settings!$B$4*3,IF($Z952="F",$Y952-(Settings!$B$4+Settings!$B$5)*3,"")))</f>
        <v/>
      </c>
      <c r="AB952" s="20">
        <f>IF($Z952="","",INT(($AA952-1)/3)+1)</f>
        <v/>
      </c>
      <c r="AC952" s="20">
        <f>IF($Z952="","",MOD($AA952-1,3)+1)</f>
        <v/>
      </c>
      <c r="AD952" s="20">
        <f>IF($Z952="","",Settings!$B$2+$AC952-1)</f>
        <v/>
      </c>
      <c r="AE952" s="21">
        <f>IF($Z952="C",DATE(YEAR(INDEX(Contracts!$J$2:$J$151,$AB952)),MONTH(INDEX(Contracts!$J$2:$J$151,$AB952)),1),IF($Z952="A",DATE(YEAR(INDEX(Fixed_Assets!$G$2:$G$201,$AB952)),MONTH(INDEX(Fixed_Assets!$G$2:$G$201,$AB952)),1),IF($Z952="F",DATE(YEAR(MAX(N(INDEX(Workforce!$I$2:$I$151,MATCH(INDEX(FTE_Allocation!$A$2:$A$201,$AB952),Workforce!$A$2:$A$151,0))),N(INDEX(FTE_Allocation!$I$2:$I$201,$AB952)))),MONTH(MAX(N(INDEX(Workforce!$I$2:$I$151,MATCH(INDEX(FTE_Allocation!$A$2:$A$201,$AB952),Workforce!$A$2:$A$151,0))),N(INDEX(FTE_Allocation!$I$2:$I$201,$AB952)))),1),"")))</f>
        <v/>
      </c>
      <c r="AF952" s="21">
        <f>IF($Z952="C",IF(INDEX(Contracts!$I$2:$I$151,$AB952)="PREPAID",EDATE(DATE(YEAR(INDEX(Contracts!$J$2:$J$151,$AB952)),MONTH(INDEX(Contracts!$J$2:$J$151,$AB952)),1),IF(INDEX(Contracts!$N$2:$N$151,$AB952)="",12,INDEX(Contracts!$N$2:$N$151,$AB952))-1),IF(INDEX(Contracts!$I$2:$I$151,$AB952)="MONTHLY",IF(INDEX(Contracts!$K$2:$K$151,$AB952)="",2958101,INDEX(Contracts!$K$2:$K$151,$AB952)),0)),IF($Z952="A",EDATE(DATE(YEAR(INDEX(Fixed_Assets!$G$2:$G$201,$AB952)),MONTH(INDEX(Fixed_Assets!$G$2:$G$201,$AB952)),1),INDEX(Fixed_Assets!$J$2:$J$201,$AB952)-1),IF($Z952="F",MIN(IF(INDEX(Workforce!$J$2:$J$151,MATCH(INDEX(FTE_Allocation!$A$2:$A$201,$AB952),Workforce!$A$2:$A$151,0))="",2958101,INDEX(Workforce!$J$2:$J$151,MATCH(INDEX(FTE_Allocation!$A$2:$A$201,$AB952),Workforce!$A$2:$A$151,0))),IF(INDEX(FTE_Allocation!$J$2:$J$201,$AB952)="",2958101,INDEX(FTE_Allocation!$J$2:$J$201,$AB952))),"")))</f>
        <v/>
      </c>
      <c r="AG952" s="19">
        <f>IF($Z952="C",IF(INDEX(Contracts!$I$2:$I$151,$AB952)="PREPAID",INDEX(Contracts!$M$2:$M$151,$AB952)/IF(INDEX(Contracts!$N$2:$N$151,$AB952)="",12,INDEX(Contracts!$N$2:$N$151,$AB952)),IF(INDEX(Contracts!$I$2:$I$151,$AB952)="MONTHLY",INDEX(Contracts!$M$2:$M$151,$AB952),0))*(1-N(INDEX(Contracts!$O$2:$O$151,$AB952))),IF($Z952="A",INDEX(Fixed_Assets!$H$2:$H$201,$AB952)/INDEX(Fixed_Assets!$J$2:$J$201,$AB952),IF($Z952="F",INDEX(Workforce!$F$2:$F$151,MATCH(INDEX(FTE_Allocation!$A$2:$A$201,$AB952),Workforce!$A$2:$A$151,0))*N(INDEX(FTE_Allocation!$F$2:$H$201,$AB952,$AC952)),"")))</f>
        <v/>
      </c>
    </row>
    <row r="953">
      <c r="A953" s="7">
        <f>IF($Z953="","",$AD953)</f>
        <v/>
      </c>
      <c r="B953" s="7">
        <f>IF($Z953="C",INDEX(Contracts!$D$2:$D$151,$AB953)&amp;"",IF($Z953="A",INDEX(Fixed_Assets!$C$2:$C$201,$AB953)&amp;"",IF($Z953="F",INDEX(Workforce!$B$2:$B$151,MATCH(INDEX(FTE_Allocation!$A$2:$A$201,$AB953),Workforce!$A$2:$A$151,0))&amp;"","")))</f>
        <v/>
      </c>
      <c r="C953" s="7">
        <f>IF($Z953="C",INDEX(Contracts!$E$2:$E$151,$AB953)&amp;"",IF($Z953="A",INDEX(Fixed_Assets!$D$2:$D$201,$AB953)&amp;"",IF($Z953="F",INDEX(FTE_Allocation!$C$2:$C$201,$AB953)&amp;"","")))</f>
        <v/>
      </c>
      <c r="D953" s="7">
        <f>IF($Z953="C",INDEX(Contracts!$B$2:$B$151,$AB953)&amp;"",IF($Z953="A",INDEX(Fixed_Assets!$B$2:$B$201,$AB953)&amp;"",IF($Z953="F",INDEX(FTE_Allocation!$B$2:$B$201,$AB953)&amp;"","")))</f>
        <v/>
      </c>
      <c r="E953" s="7">
        <f>IF($Z953="C",INDEX(Contracts!$P$2:$P$151,$AB953)&amp;"",IF($Z953="A",INDEX(Fixed_Assets!$K$2:$K$201,$AB953)&amp;"",IF($Z953="F",IF(INDEX(FTE_Allocation!$D$2:$D$201,$AB953)="PROJECT",IFERROR(INDEX(Projects!$D:$D,MATCH(INDEX(FTE_Allocation!$E$2:$E$201,$AB953),Projects!$A:$A,0))&amp;"","#PROJECT?"),INDEX(FTE_Allocation!$E$2:$E$201,$AB953)&amp;""),"")))</f>
        <v/>
      </c>
      <c r="F953" s="7">
        <f>IF($Z953="C",INDEX(Contracts!$Q$2:$Q$151,$AB953)&amp;"",IF($Z953="A",INDEX(Fixed_Assets!$L$2:$L$201,$AB953)&amp;"",IF($Z953="F",INDEX(Workforce!$K$2:$K$151,MATCH(INDEX(FTE_Allocation!$A$2:$A$201,$AB953),Workforce!$A$2:$A$151,0))&amp;"","")))</f>
        <v/>
      </c>
      <c r="G953" s="7">
        <f>IF($Z953="C",INDEX(Contracts!$F$2:$F$151,$AB953)&amp;" / "&amp;INDEX(Contracts!$G$2:$G$151,$AB953),IF($Z953="A",INDEX(Fixed_Assets!$E$2:$E$201,$AB953)&amp;"",IF($Z953="F","Personnel "&amp;INDEX(FTE_Allocation!$A$2:$A$201,$AB953)&amp;IF(INDEX(FTE_Allocation!$D$2:$D$201,$AB953)="PROJECT"," ("&amp;INDEX(FTE_Allocation!$E$2:$E$201,$AB953)&amp;")",""),"")))</f>
        <v/>
      </c>
      <c r="H953" s="7">
        <f>IF($Z953="C","CONTRACT",IF($Z953="A","ASSET",IF($Z953="F","WORKFORCE","")))</f>
        <v/>
      </c>
      <c r="I953" s="7">
        <f>IF($Z953="C",INDEX(Contracts!$L$2:$L$151,$AB953)&amp;"",IF($Z953="A",INDEX(Fixed_Assets!$I$2:$I$201,$AB953)&amp;"",IF($Z953="F",INDEX(Workforce!$G$2:$G$151,MATCH(INDEX(FTE_Allocation!$A$2:$A$201,$AB953),Workforce!$A$2:$A$151,0))&amp;"","")))</f>
        <v/>
      </c>
      <c r="J953" s="18">
        <f>IF($Z953="","",IF(AND(DATE($AD953,1,1)&gt;=$AE953,DATE($AD953,1,1)&lt;=$AF953),ROUND($AG953,2),0))</f>
        <v/>
      </c>
      <c r="K953" s="18">
        <f>IF($Z953="","",IF(AND(DATE($AD953,2,1)&gt;=$AE953,DATE($AD953,2,1)&lt;=$AF953),ROUND($AG953,2),0))</f>
        <v/>
      </c>
      <c r="L953" s="18">
        <f>IF($Z953="","",IF(AND(DATE($AD953,3,1)&gt;=$AE953,DATE($AD953,3,1)&lt;=$AF953),ROUND($AG953,2),0))</f>
        <v/>
      </c>
      <c r="M953" s="18">
        <f>IF($Z953="","",IF(AND(DATE($AD953,4,1)&gt;=$AE953,DATE($AD953,4,1)&lt;=$AF953),ROUND($AG953,2),0))</f>
        <v/>
      </c>
      <c r="N953" s="18">
        <f>IF($Z953="","",IF(AND(DATE($AD953,5,1)&gt;=$AE953,DATE($AD953,5,1)&lt;=$AF953),ROUND($AG953,2),0))</f>
        <v/>
      </c>
      <c r="O953" s="18">
        <f>IF($Z953="","",IF(AND(DATE($AD953,6,1)&gt;=$AE953,DATE($AD953,6,1)&lt;=$AF953),ROUND($AG953,2),0))</f>
        <v/>
      </c>
      <c r="P953" s="18">
        <f>IF($Z953="","",IF(AND(DATE($AD953,7,1)&gt;=$AE953,DATE($AD953,7,1)&lt;=$AF953),ROUND($AG953,2),0))</f>
        <v/>
      </c>
      <c r="Q953" s="18">
        <f>IF($Z953="","",IF(AND(DATE($AD953,8,1)&gt;=$AE953,DATE($AD953,8,1)&lt;=$AF953),ROUND($AG953,2),0))</f>
        <v/>
      </c>
      <c r="R953" s="18">
        <f>IF($Z953="","",IF(AND(DATE($AD953,9,1)&gt;=$AE953,DATE($AD953,9,1)&lt;=$AF953),ROUND($AG953,2),0))</f>
        <v/>
      </c>
      <c r="S953" s="18">
        <f>IF($Z953="","",IF(AND(DATE($AD953,10,1)&gt;=$AE953,DATE($AD953,10,1)&lt;=$AF953),ROUND($AG953,2),0))</f>
        <v/>
      </c>
      <c r="T953" s="18">
        <f>IF($Z953="","",IF(AND(DATE($AD953,11,1)&gt;=$AE953,DATE($AD953,11,1)&lt;=$AF953),ROUND($AG953,2),0))</f>
        <v/>
      </c>
      <c r="U953" s="18">
        <f>IF($Z953="","",IF(AND(DATE($AD953,12,1)&gt;=$AE953,DATE($AD953,12,1)&lt;=$AF953),ROUND($AG953,2),0))</f>
        <v/>
      </c>
      <c r="V953" s="7">
        <f>IF($Z953="C","Generated from "&amp;INDEX(Contracts!$A$2:$A$151,$AB953),IF($Z953="A","Generated from "&amp;INDEX(Fixed_Assets!$A$2:$A$201,$AB953),IF($Z953="F","Generated from "&amp;INDEX(FTE_Allocation!$A$2:$A$201,$AB953),"")))</f>
        <v/>
      </c>
      <c r="X953" s="19">
        <f>IF($Z953="","",SUM(J953:U953))</f>
        <v/>
      </c>
      <c r="Y953" s="20">
        <f>ROW()-1</f>
        <v/>
      </c>
      <c r="Z953" s="20">
        <f>IF($Y953&lt;=Settings!$B$4*3,"C",IF($Y953&lt;=(Settings!$B$4+Settings!$B$5)*3,"A",IF($Y953&lt;=(Settings!$B$4+Settings!$B$5+Settings!$B$6)*3,"F","")))</f>
        <v/>
      </c>
      <c r="AA953" s="20">
        <f>IF($Z953="C",$Y953,IF($Z953="A",$Y953-Settings!$B$4*3,IF($Z953="F",$Y953-(Settings!$B$4+Settings!$B$5)*3,"")))</f>
        <v/>
      </c>
      <c r="AB953" s="20">
        <f>IF($Z953="","",INT(($AA953-1)/3)+1)</f>
        <v/>
      </c>
      <c r="AC953" s="20">
        <f>IF($Z953="","",MOD($AA953-1,3)+1)</f>
        <v/>
      </c>
      <c r="AD953" s="20">
        <f>IF($Z953="","",Settings!$B$2+$AC953-1)</f>
        <v/>
      </c>
      <c r="AE953" s="21">
        <f>IF($Z953="C",DATE(YEAR(INDEX(Contracts!$J$2:$J$151,$AB953)),MONTH(INDEX(Contracts!$J$2:$J$151,$AB953)),1),IF($Z953="A",DATE(YEAR(INDEX(Fixed_Assets!$G$2:$G$201,$AB953)),MONTH(INDEX(Fixed_Assets!$G$2:$G$201,$AB953)),1),IF($Z953="F",DATE(YEAR(MAX(N(INDEX(Workforce!$I$2:$I$151,MATCH(INDEX(FTE_Allocation!$A$2:$A$201,$AB953),Workforce!$A$2:$A$151,0))),N(INDEX(FTE_Allocation!$I$2:$I$201,$AB953)))),MONTH(MAX(N(INDEX(Workforce!$I$2:$I$151,MATCH(INDEX(FTE_Allocation!$A$2:$A$201,$AB953),Workforce!$A$2:$A$151,0))),N(INDEX(FTE_Allocation!$I$2:$I$201,$AB953)))),1),"")))</f>
        <v/>
      </c>
      <c r="AF953" s="21">
        <f>IF($Z953="C",IF(INDEX(Contracts!$I$2:$I$151,$AB953)="PREPAID",EDATE(DATE(YEAR(INDEX(Contracts!$J$2:$J$151,$AB953)),MONTH(INDEX(Contracts!$J$2:$J$151,$AB953)),1),IF(INDEX(Contracts!$N$2:$N$151,$AB953)="",12,INDEX(Contracts!$N$2:$N$151,$AB953))-1),IF(INDEX(Contracts!$I$2:$I$151,$AB953)="MONTHLY",IF(INDEX(Contracts!$K$2:$K$151,$AB953)="",2958101,INDEX(Contracts!$K$2:$K$151,$AB953)),0)),IF($Z953="A",EDATE(DATE(YEAR(INDEX(Fixed_Assets!$G$2:$G$201,$AB953)),MONTH(INDEX(Fixed_Assets!$G$2:$G$201,$AB953)),1),INDEX(Fixed_Assets!$J$2:$J$201,$AB953)-1),IF($Z953="F",MIN(IF(INDEX(Workforce!$J$2:$J$151,MATCH(INDEX(FTE_Allocation!$A$2:$A$201,$AB953),Workforce!$A$2:$A$151,0))="",2958101,INDEX(Workforce!$J$2:$J$151,MATCH(INDEX(FTE_Allocation!$A$2:$A$201,$AB953),Workforce!$A$2:$A$151,0))),IF(INDEX(FTE_Allocation!$J$2:$J$201,$AB953)="",2958101,INDEX(FTE_Allocation!$J$2:$J$201,$AB953))),"")))</f>
        <v/>
      </c>
      <c r="AG953" s="19">
        <f>IF($Z953="C",IF(INDEX(Contracts!$I$2:$I$151,$AB953)="PREPAID",INDEX(Contracts!$M$2:$M$151,$AB953)/IF(INDEX(Contracts!$N$2:$N$151,$AB953)="",12,INDEX(Contracts!$N$2:$N$151,$AB953)),IF(INDEX(Contracts!$I$2:$I$151,$AB953)="MONTHLY",INDEX(Contracts!$M$2:$M$151,$AB953),0))*(1-N(INDEX(Contracts!$O$2:$O$151,$AB953))),IF($Z953="A",INDEX(Fixed_Assets!$H$2:$H$201,$AB953)/INDEX(Fixed_Assets!$J$2:$J$201,$AB953),IF($Z953="F",INDEX(Workforce!$F$2:$F$151,MATCH(INDEX(FTE_Allocation!$A$2:$A$201,$AB953),Workforce!$A$2:$A$151,0))*N(INDEX(FTE_Allocation!$F$2:$H$201,$AB953,$AC953)),"")))</f>
        <v/>
      </c>
    </row>
    <row r="954">
      <c r="A954" s="7">
        <f>IF($Z954="","",$AD954)</f>
        <v/>
      </c>
      <c r="B954" s="7">
        <f>IF($Z954="C",INDEX(Contracts!$D$2:$D$151,$AB954)&amp;"",IF($Z954="A",INDEX(Fixed_Assets!$C$2:$C$201,$AB954)&amp;"",IF($Z954="F",INDEX(Workforce!$B$2:$B$151,MATCH(INDEX(FTE_Allocation!$A$2:$A$201,$AB954),Workforce!$A$2:$A$151,0))&amp;"","")))</f>
        <v/>
      </c>
      <c r="C954" s="7">
        <f>IF($Z954="C",INDEX(Contracts!$E$2:$E$151,$AB954)&amp;"",IF($Z954="A",INDEX(Fixed_Assets!$D$2:$D$201,$AB954)&amp;"",IF($Z954="F",INDEX(FTE_Allocation!$C$2:$C$201,$AB954)&amp;"","")))</f>
        <v/>
      </c>
      <c r="D954" s="7">
        <f>IF($Z954="C",INDEX(Contracts!$B$2:$B$151,$AB954)&amp;"",IF($Z954="A",INDEX(Fixed_Assets!$B$2:$B$201,$AB954)&amp;"",IF($Z954="F",INDEX(FTE_Allocation!$B$2:$B$201,$AB954)&amp;"","")))</f>
        <v/>
      </c>
      <c r="E954" s="7">
        <f>IF($Z954="C",INDEX(Contracts!$P$2:$P$151,$AB954)&amp;"",IF($Z954="A",INDEX(Fixed_Assets!$K$2:$K$201,$AB954)&amp;"",IF($Z954="F",IF(INDEX(FTE_Allocation!$D$2:$D$201,$AB954)="PROJECT",IFERROR(INDEX(Projects!$D:$D,MATCH(INDEX(FTE_Allocation!$E$2:$E$201,$AB954),Projects!$A:$A,0))&amp;"","#PROJECT?"),INDEX(FTE_Allocation!$E$2:$E$201,$AB954)&amp;""),"")))</f>
        <v/>
      </c>
      <c r="F954" s="7">
        <f>IF($Z954="C",INDEX(Contracts!$Q$2:$Q$151,$AB954)&amp;"",IF($Z954="A",INDEX(Fixed_Assets!$L$2:$L$201,$AB954)&amp;"",IF($Z954="F",INDEX(Workforce!$K$2:$K$151,MATCH(INDEX(FTE_Allocation!$A$2:$A$201,$AB954),Workforce!$A$2:$A$151,0))&amp;"","")))</f>
        <v/>
      </c>
      <c r="G954" s="7">
        <f>IF($Z954="C",INDEX(Contracts!$F$2:$F$151,$AB954)&amp;" / "&amp;INDEX(Contracts!$G$2:$G$151,$AB954),IF($Z954="A",INDEX(Fixed_Assets!$E$2:$E$201,$AB954)&amp;"",IF($Z954="F","Personnel "&amp;INDEX(FTE_Allocation!$A$2:$A$201,$AB954)&amp;IF(INDEX(FTE_Allocation!$D$2:$D$201,$AB954)="PROJECT"," ("&amp;INDEX(FTE_Allocation!$E$2:$E$201,$AB954)&amp;")",""),"")))</f>
        <v/>
      </c>
      <c r="H954" s="7">
        <f>IF($Z954="C","CONTRACT",IF($Z954="A","ASSET",IF($Z954="F","WORKFORCE","")))</f>
        <v/>
      </c>
      <c r="I954" s="7">
        <f>IF($Z954="C",INDEX(Contracts!$L$2:$L$151,$AB954)&amp;"",IF($Z954="A",INDEX(Fixed_Assets!$I$2:$I$201,$AB954)&amp;"",IF($Z954="F",INDEX(Workforce!$G$2:$G$151,MATCH(INDEX(FTE_Allocation!$A$2:$A$201,$AB954),Workforce!$A$2:$A$151,0))&amp;"","")))</f>
        <v/>
      </c>
      <c r="J954" s="18">
        <f>IF($Z954="","",IF(AND(DATE($AD954,1,1)&gt;=$AE954,DATE($AD954,1,1)&lt;=$AF954),ROUND($AG954,2),0))</f>
        <v/>
      </c>
      <c r="K954" s="18">
        <f>IF($Z954="","",IF(AND(DATE($AD954,2,1)&gt;=$AE954,DATE($AD954,2,1)&lt;=$AF954),ROUND($AG954,2),0))</f>
        <v/>
      </c>
      <c r="L954" s="18">
        <f>IF($Z954="","",IF(AND(DATE($AD954,3,1)&gt;=$AE954,DATE($AD954,3,1)&lt;=$AF954),ROUND($AG954,2),0))</f>
        <v/>
      </c>
      <c r="M954" s="18">
        <f>IF($Z954="","",IF(AND(DATE($AD954,4,1)&gt;=$AE954,DATE($AD954,4,1)&lt;=$AF954),ROUND($AG954,2),0))</f>
        <v/>
      </c>
      <c r="N954" s="18">
        <f>IF($Z954="","",IF(AND(DATE($AD954,5,1)&gt;=$AE954,DATE($AD954,5,1)&lt;=$AF954),ROUND($AG954,2),0))</f>
        <v/>
      </c>
      <c r="O954" s="18">
        <f>IF($Z954="","",IF(AND(DATE($AD954,6,1)&gt;=$AE954,DATE($AD954,6,1)&lt;=$AF954),ROUND($AG954,2),0))</f>
        <v/>
      </c>
      <c r="P954" s="18">
        <f>IF($Z954="","",IF(AND(DATE($AD954,7,1)&gt;=$AE954,DATE($AD954,7,1)&lt;=$AF954),ROUND($AG954,2),0))</f>
        <v/>
      </c>
      <c r="Q954" s="18">
        <f>IF($Z954="","",IF(AND(DATE($AD954,8,1)&gt;=$AE954,DATE($AD954,8,1)&lt;=$AF954),ROUND($AG954,2),0))</f>
        <v/>
      </c>
      <c r="R954" s="18">
        <f>IF($Z954="","",IF(AND(DATE($AD954,9,1)&gt;=$AE954,DATE($AD954,9,1)&lt;=$AF954),ROUND($AG954,2),0))</f>
        <v/>
      </c>
      <c r="S954" s="18">
        <f>IF($Z954="","",IF(AND(DATE($AD954,10,1)&gt;=$AE954,DATE($AD954,10,1)&lt;=$AF954),ROUND($AG954,2),0))</f>
        <v/>
      </c>
      <c r="T954" s="18">
        <f>IF($Z954="","",IF(AND(DATE($AD954,11,1)&gt;=$AE954,DATE($AD954,11,1)&lt;=$AF954),ROUND($AG954,2),0))</f>
        <v/>
      </c>
      <c r="U954" s="18">
        <f>IF($Z954="","",IF(AND(DATE($AD954,12,1)&gt;=$AE954,DATE($AD954,12,1)&lt;=$AF954),ROUND($AG954,2),0))</f>
        <v/>
      </c>
      <c r="V954" s="7">
        <f>IF($Z954="C","Generated from "&amp;INDEX(Contracts!$A$2:$A$151,$AB954),IF($Z954="A","Generated from "&amp;INDEX(Fixed_Assets!$A$2:$A$201,$AB954),IF($Z954="F","Generated from "&amp;INDEX(FTE_Allocation!$A$2:$A$201,$AB954),"")))</f>
        <v/>
      </c>
      <c r="X954" s="19">
        <f>IF($Z954="","",SUM(J954:U954))</f>
        <v/>
      </c>
      <c r="Y954" s="20">
        <f>ROW()-1</f>
        <v/>
      </c>
      <c r="Z954" s="20">
        <f>IF($Y954&lt;=Settings!$B$4*3,"C",IF($Y954&lt;=(Settings!$B$4+Settings!$B$5)*3,"A",IF($Y954&lt;=(Settings!$B$4+Settings!$B$5+Settings!$B$6)*3,"F","")))</f>
        <v/>
      </c>
      <c r="AA954" s="20">
        <f>IF($Z954="C",$Y954,IF($Z954="A",$Y954-Settings!$B$4*3,IF($Z954="F",$Y954-(Settings!$B$4+Settings!$B$5)*3,"")))</f>
        <v/>
      </c>
      <c r="AB954" s="20">
        <f>IF($Z954="","",INT(($AA954-1)/3)+1)</f>
        <v/>
      </c>
      <c r="AC954" s="20">
        <f>IF($Z954="","",MOD($AA954-1,3)+1)</f>
        <v/>
      </c>
      <c r="AD954" s="20">
        <f>IF($Z954="","",Settings!$B$2+$AC954-1)</f>
        <v/>
      </c>
      <c r="AE954" s="21">
        <f>IF($Z954="C",DATE(YEAR(INDEX(Contracts!$J$2:$J$151,$AB954)),MONTH(INDEX(Contracts!$J$2:$J$151,$AB954)),1),IF($Z954="A",DATE(YEAR(INDEX(Fixed_Assets!$G$2:$G$201,$AB954)),MONTH(INDEX(Fixed_Assets!$G$2:$G$201,$AB954)),1),IF($Z954="F",DATE(YEAR(MAX(N(INDEX(Workforce!$I$2:$I$151,MATCH(INDEX(FTE_Allocation!$A$2:$A$201,$AB954),Workforce!$A$2:$A$151,0))),N(INDEX(FTE_Allocation!$I$2:$I$201,$AB954)))),MONTH(MAX(N(INDEX(Workforce!$I$2:$I$151,MATCH(INDEX(FTE_Allocation!$A$2:$A$201,$AB954),Workforce!$A$2:$A$151,0))),N(INDEX(FTE_Allocation!$I$2:$I$201,$AB954)))),1),"")))</f>
        <v/>
      </c>
      <c r="AF954" s="21">
        <f>IF($Z954="C",IF(INDEX(Contracts!$I$2:$I$151,$AB954)="PREPAID",EDATE(DATE(YEAR(INDEX(Contracts!$J$2:$J$151,$AB954)),MONTH(INDEX(Contracts!$J$2:$J$151,$AB954)),1),IF(INDEX(Contracts!$N$2:$N$151,$AB954)="",12,INDEX(Contracts!$N$2:$N$151,$AB954))-1),IF(INDEX(Contracts!$I$2:$I$151,$AB954)="MONTHLY",IF(INDEX(Contracts!$K$2:$K$151,$AB954)="",2958101,INDEX(Contracts!$K$2:$K$151,$AB954)),0)),IF($Z954="A",EDATE(DATE(YEAR(INDEX(Fixed_Assets!$G$2:$G$201,$AB954)),MONTH(INDEX(Fixed_Assets!$G$2:$G$201,$AB954)),1),INDEX(Fixed_Assets!$J$2:$J$201,$AB954)-1),IF($Z954="F",MIN(IF(INDEX(Workforce!$J$2:$J$151,MATCH(INDEX(FTE_Allocation!$A$2:$A$201,$AB954),Workforce!$A$2:$A$151,0))="",2958101,INDEX(Workforce!$J$2:$J$151,MATCH(INDEX(FTE_Allocation!$A$2:$A$201,$AB954),Workforce!$A$2:$A$151,0))),IF(INDEX(FTE_Allocation!$J$2:$J$201,$AB954)="",2958101,INDEX(FTE_Allocation!$J$2:$J$201,$AB954))),"")))</f>
        <v/>
      </c>
      <c r="AG954" s="19">
        <f>IF($Z954="C",IF(INDEX(Contracts!$I$2:$I$151,$AB954)="PREPAID",INDEX(Contracts!$M$2:$M$151,$AB954)/IF(INDEX(Contracts!$N$2:$N$151,$AB954)="",12,INDEX(Contracts!$N$2:$N$151,$AB954)),IF(INDEX(Contracts!$I$2:$I$151,$AB954)="MONTHLY",INDEX(Contracts!$M$2:$M$151,$AB954),0))*(1-N(INDEX(Contracts!$O$2:$O$151,$AB954))),IF($Z954="A",INDEX(Fixed_Assets!$H$2:$H$201,$AB954)/INDEX(Fixed_Assets!$J$2:$J$201,$AB954),IF($Z954="F",INDEX(Workforce!$F$2:$F$151,MATCH(INDEX(FTE_Allocation!$A$2:$A$201,$AB954),Workforce!$A$2:$A$151,0))*N(INDEX(FTE_Allocation!$F$2:$H$201,$AB954,$AC954)),"")))</f>
        <v/>
      </c>
    </row>
    <row r="955">
      <c r="A955" s="7">
        <f>IF($Z955="","",$AD955)</f>
        <v/>
      </c>
      <c r="B955" s="7">
        <f>IF($Z955="C",INDEX(Contracts!$D$2:$D$151,$AB955)&amp;"",IF($Z955="A",INDEX(Fixed_Assets!$C$2:$C$201,$AB955)&amp;"",IF($Z955="F",INDEX(Workforce!$B$2:$B$151,MATCH(INDEX(FTE_Allocation!$A$2:$A$201,$AB955),Workforce!$A$2:$A$151,0))&amp;"","")))</f>
        <v/>
      </c>
      <c r="C955" s="7">
        <f>IF($Z955="C",INDEX(Contracts!$E$2:$E$151,$AB955)&amp;"",IF($Z955="A",INDEX(Fixed_Assets!$D$2:$D$201,$AB955)&amp;"",IF($Z955="F",INDEX(FTE_Allocation!$C$2:$C$201,$AB955)&amp;"","")))</f>
        <v/>
      </c>
      <c r="D955" s="7">
        <f>IF($Z955="C",INDEX(Contracts!$B$2:$B$151,$AB955)&amp;"",IF($Z955="A",INDEX(Fixed_Assets!$B$2:$B$201,$AB955)&amp;"",IF($Z955="F",INDEX(FTE_Allocation!$B$2:$B$201,$AB955)&amp;"","")))</f>
        <v/>
      </c>
      <c r="E955" s="7">
        <f>IF($Z955="C",INDEX(Contracts!$P$2:$P$151,$AB955)&amp;"",IF($Z955="A",INDEX(Fixed_Assets!$K$2:$K$201,$AB955)&amp;"",IF($Z955="F",IF(INDEX(FTE_Allocation!$D$2:$D$201,$AB955)="PROJECT",IFERROR(INDEX(Projects!$D:$D,MATCH(INDEX(FTE_Allocation!$E$2:$E$201,$AB955),Projects!$A:$A,0))&amp;"","#PROJECT?"),INDEX(FTE_Allocation!$E$2:$E$201,$AB955)&amp;""),"")))</f>
        <v/>
      </c>
      <c r="F955" s="7">
        <f>IF($Z955="C",INDEX(Contracts!$Q$2:$Q$151,$AB955)&amp;"",IF($Z955="A",INDEX(Fixed_Assets!$L$2:$L$201,$AB955)&amp;"",IF($Z955="F",INDEX(Workforce!$K$2:$K$151,MATCH(INDEX(FTE_Allocation!$A$2:$A$201,$AB955),Workforce!$A$2:$A$151,0))&amp;"","")))</f>
        <v/>
      </c>
      <c r="G955" s="7">
        <f>IF($Z955="C",INDEX(Contracts!$F$2:$F$151,$AB955)&amp;" / "&amp;INDEX(Contracts!$G$2:$G$151,$AB955),IF($Z955="A",INDEX(Fixed_Assets!$E$2:$E$201,$AB955)&amp;"",IF($Z955="F","Personnel "&amp;INDEX(FTE_Allocation!$A$2:$A$201,$AB955)&amp;IF(INDEX(FTE_Allocation!$D$2:$D$201,$AB955)="PROJECT"," ("&amp;INDEX(FTE_Allocation!$E$2:$E$201,$AB955)&amp;")",""),"")))</f>
        <v/>
      </c>
      <c r="H955" s="7">
        <f>IF($Z955="C","CONTRACT",IF($Z955="A","ASSET",IF($Z955="F","WORKFORCE","")))</f>
        <v/>
      </c>
      <c r="I955" s="7">
        <f>IF($Z955="C",INDEX(Contracts!$L$2:$L$151,$AB955)&amp;"",IF($Z955="A",INDEX(Fixed_Assets!$I$2:$I$201,$AB955)&amp;"",IF($Z955="F",INDEX(Workforce!$G$2:$G$151,MATCH(INDEX(FTE_Allocation!$A$2:$A$201,$AB955),Workforce!$A$2:$A$151,0))&amp;"","")))</f>
        <v/>
      </c>
      <c r="J955" s="18">
        <f>IF($Z955="","",IF(AND(DATE($AD955,1,1)&gt;=$AE955,DATE($AD955,1,1)&lt;=$AF955),ROUND($AG955,2),0))</f>
        <v/>
      </c>
      <c r="K955" s="18">
        <f>IF($Z955="","",IF(AND(DATE($AD955,2,1)&gt;=$AE955,DATE($AD955,2,1)&lt;=$AF955),ROUND($AG955,2),0))</f>
        <v/>
      </c>
      <c r="L955" s="18">
        <f>IF($Z955="","",IF(AND(DATE($AD955,3,1)&gt;=$AE955,DATE($AD955,3,1)&lt;=$AF955),ROUND($AG955,2),0))</f>
        <v/>
      </c>
      <c r="M955" s="18">
        <f>IF($Z955="","",IF(AND(DATE($AD955,4,1)&gt;=$AE955,DATE($AD955,4,1)&lt;=$AF955),ROUND($AG955,2),0))</f>
        <v/>
      </c>
      <c r="N955" s="18">
        <f>IF($Z955="","",IF(AND(DATE($AD955,5,1)&gt;=$AE955,DATE($AD955,5,1)&lt;=$AF955),ROUND($AG955,2),0))</f>
        <v/>
      </c>
      <c r="O955" s="18">
        <f>IF($Z955="","",IF(AND(DATE($AD955,6,1)&gt;=$AE955,DATE($AD955,6,1)&lt;=$AF955),ROUND($AG955,2),0))</f>
        <v/>
      </c>
      <c r="P955" s="18">
        <f>IF($Z955="","",IF(AND(DATE($AD955,7,1)&gt;=$AE955,DATE($AD955,7,1)&lt;=$AF955),ROUND($AG955,2),0))</f>
        <v/>
      </c>
      <c r="Q955" s="18">
        <f>IF($Z955="","",IF(AND(DATE($AD955,8,1)&gt;=$AE955,DATE($AD955,8,1)&lt;=$AF955),ROUND($AG955,2),0))</f>
        <v/>
      </c>
      <c r="R955" s="18">
        <f>IF($Z955="","",IF(AND(DATE($AD955,9,1)&gt;=$AE955,DATE($AD955,9,1)&lt;=$AF955),ROUND($AG955,2),0))</f>
        <v/>
      </c>
      <c r="S955" s="18">
        <f>IF($Z955="","",IF(AND(DATE($AD955,10,1)&gt;=$AE955,DATE($AD955,10,1)&lt;=$AF955),ROUND($AG955,2),0))</f>
        <v/>
      </c>
      <c r="T955" s="18">
        <f>IF($Z955="","",IF(AND(DATE($AD955,11,1)&gt;=$AE955,DATE($AD955,11,1)&lt;=$AF955),ROUND($AG955,2),0))</f>
        <v/>
      </c>
      <c r="U955" s="18">
        <f>IF($Z955="","",IF(AND(DATE($AD955,12,1)&gt;=$AE955,DATE($AD955,12,1)&lt;=$AF955),ROUND($AG955,2),0))</f>
        <v/>
      </c>
      <c r="V955" s="7">
        <f>IF($Z955="C","Generated from "&amp;INDEX(Contracts!$A$2:$A$151,$AB955),IF($Z955="A","Generated from "&amp;INDEX(Fixed_Assets!$A$2:$A$201,$AB955),IF($Z955="F","Generated from "&amp;INDEX(FTE_Allocation!$A$2:$A$201,$AB955),"")))</f>
        <v/>
      </c>
      <c r="X955" s="19">
        <f>IF($Z955="","",SUM(J955:U955))</f>
        <v/>
      </c>
      <c r="Y955" s="20">
        <f>ROW()-1</f>
        <v/>
      </c>
      <c r="Z955" s="20">
        <f>IF($Y955&lt;=Settings!$B$4*3,"C",IF($Y955&lt;=(Settings!$B$4+Settings!$B$5)*3,"A",IF($Y955&lt;=(Settings!$B$4+Settings!$B$5+Settings!$B$6)*3,"F","")))</f>
        <v/>
      </c>
      <c r="AA955" s="20">
        <f>IF($Z955="C",$Y955,IF($Z955="A",$Y955-Settings!$B$4*3,IF($Z955="F",$Y955-(Settings!$B$4+Settings!$B$5)*3,"")))</f>
        <v/>
      </c>
      <c r="AB955" s="20">
        <f>IF($Z955="","",INT(($AA955-1)/3)+1)</f>
        <v/>
      </c>
      <c r="AC955" s="20">
        <f>IF($Z955="","",MOD($AA955-1,3)+1)</f>
        <v/>
      </c>
      <c r="AD955" s="20">
        <f>IF($Z955="","",Settings!$B$2+$AC955-1)</f>
        <v/>
      </c>
      <c r="AE955" s="21">
        <f>IF($Z955="C",DATE(YEAR(INDEX(Contracts!$J$2:$J$151,$AB955)),MONTH(INDEX(Contracts!$J$2:$J$151,$AB955)),1),IF($Z955="A",DATE(YEAR(INDEX(Fixed_Assets!$G$2:$G$201,$AB955)),MONTH(INDEX(Fixed_Assets!$G$2:$G$201,$AB955)),1),IF($Z955="F",DATE(YEAR(MAX(N(INDEX(Workforce!$I$2:$I$151,MATCH(INDEX(FTE_Allocation!$A$2:$A$201,$AB955),Workforce!$A$2:$A$151,0))),N(INDEX(FTE_Allocation!$I$2:$I$201,$AB955)))),MONTH(MAX(N(INDEX(Workforce!$I$2:$I$151,MATCH(INDEX(FTE_Allocation!$A$2:$A$201,$AB955),Workforce!$A$2:$A$151,0))),N(INDEX(FTE_Allocation!$I$2:$I$201,$AB955)))),1),"")))</f>
        <v/>
      </c>
      <c r="AF955" s="21">
        <f>IF($Z955="C",IF(INDEX(Contracts!$I$2:$I$151,$AB955)="PREPAID",EDATE(DATE(YEAR(INDEX(Contracts!$J$2:$J$151,$AB955)),MONTH(INDEX(Contracts!$J$2:$J$151,$AB955)),1),IF(INDEX(Contracts!$N$2:$N$151,$AB955)="",12,INDEX(Contracts!$N$2:$N$151,$AB955))-1),IF(INDEX(Contracts!$I$2:$I$151,$AB955)="MONTHLY",IF(INDEX(Contracts!$K$2:$K$151,$AB955)="",2958101,INDEX(Contracts!$K$2:$K$151,$AB955)),0)),IF($Z955="A",EDATE(DATE(YEAR(INDEX(Fixed_Assets!$G$2:$G$201,$AB955)),MONTH(INDEX(Fixed_Assets!$G$2:$G$201,$AB955)),1),INDEX(Fixed_Assets!$J$2:$J$201,$AB955)-1),IF($Z955="F",MIN(IF(INDEX(Workforce!$J$2:$J$151,MATCH(INDEX(FTE_Allocation!$A$2:$A$201,$AB955),Workforce!$A$2:$A$151,0))="",2958101,INDEX(Workforce!$J$2:$J$151,MATCH(INDEX(FTE_Allocation!$A$2:$A$201,$AB955),Workforce!$A$2:$A$151,0))),IF(INDEX(FTE_Allocation!$J$2:$J$201,$AB955)="",2958101,INDEX(FTE_Allocation!$J$2:$J$201,$AB955))),"")))</f>
        <v/>
      </c>
      <c r="AG955" s="19">
        <f>IF($Z955="C",IF(INDEX(Contracts!$I$2:$I$151,$AB955)="PREPAID",INDEX(Contracts!$M$2:$M$151,$AB955)/IF(INDEX(Contracts!$N$2:$N$151,$AB955)="",12,INDEX(Contracts!$N$2:$N$151,$AB955)),IF(INDEX(Contracts!$I$2:$I$151,$AB955)="MONTHLY",INDEX(Contracts!$M$2:$M$151,$AB955),0))*(1-N(INDEX(Contracts!$O$2:$O$151,$AB955))),IF($Z955="A",INDEX(Fixed_Assets!$H$2:$H$201,$AB955)/INDEX(Fixed_Assets!$J$2:$J$201,$AB955),IF($Z955="F",INDEX(Workforce!$F$2:$F$151,MATCH(INDEX(FTE_Allocation!$A$2:$A$201,$AB955),Workforce!$A$2:$A$151,0))*N(INDEX(FTE_Allocation!$F$2:$H$201,$AB955,$AC955)),"")))</f>
        <v/>
      </c>
    </row>
    <row r="956">
      <c r="A956" s="7">
        <f>IF($Z956="","",$AD956)</f>
        <v/>
      </c>
      <c r="B956" s="7">
        <f>IF($Z956="C",INDEX(Contracts!$D$2:$D$151,$AB956)&amp;"",IF($Z956="A",INDEX(Fixed_Assets!$C$2:$C$201,$AB956)&amp;"",IF($Z956="F",INDEX(Workforce!$B$2:$B$151,MATCH(INDEX(FTE_Allocation!$A$2:$A$201,$AB956),Workforce!$A$2:$A$151,0))&amp;"","")))</f>
        <v/>
      </c>
      <c r="C956" s="7">
        <f>IF($Z956="C",INDEX(Contracts!$E$2:$E$151,$AB956)&amp;"",IF($Z956="A",INDEX(Fixed_Assets!$D$2:$D$201,$AB956)&amp;"",IF($Z956="F",INDEX(FTE_Allocation!$C$2:$C$201,$AB956)&amp;"","")))</f>
        <v/>
      </c>
      <c r="D956" s="7">
        <f>IF($Z956="C",INDEX(Contracts!$B$2:$B$151,$AB956)&amp;"",IF($Z956="A",INDEX(Fixed_Assets!$B$2:$B$201,$AB956)&amp;"",IF($Z956="F",INDEX(FTE_Allocation!$B$2:$B$201,$AB956)&amp;"","")))</f>
        <v/>
      </c>
      <c r="E956" s="7">
        <f>IF($Z956="C",INDEX(Contracts!$P$2:$P$151,$AB956)&amp;"",IF($Z956="A",INDEX(Fixed_Assets!$K$2:$K$201,$AB956)&amp;"",IF($Z956="F",IF(INDEX(FTE_Allocation!$D$2:$D$201,$AB956)="PROJECT",IFERROR(INDEX(Projects!$D:$D,MATCH(INDEX(FTE_Allocation!$E$2:$E$201,$AB956),Projects!$A:$A,0))&amp;"","#PROJECT?"),INDEX(FTE_Allocation!$E$2:$E$201,$AB956)&amp;""),"")))</f>
        <v/>
      </c>
      <c r="F956" s="7">
        <f>IF($Z956="C",INDEX(Contracts!$Q$2:$Q$151,$AB956)&amp;"",IF($Z956="A",INDEX(Fixed_Assets!$L$2:$L$201,$AB956)&amp;"",IF($Z956="F",INDEX(Workforce!$K$2:$K$151,MATCH(INDEX(FTE_Allocation!$A$2:$A$201,$AB956),Workforce!$A$2:$A$151,0))&amp;"","")))</f>
        <v/>
      </c>
      <c r="G956" s="7">
        <f>IF($Z956="C",INDEX(Contracts!$F$2:$F$151,$AB956)&amp;" / "&amp;INDEX(Contracts!$G$2:$G$151,$AB956),IF($Z956="A",INDEX(Fixed_Assets!$E$2:$E$201,$AB956)&amp;"",IF($Z956="F","Personnel "&amp;INDEX(FTE_Allocation!$A$2:$A$201,$AB956)&amp;IF(INDEX(FTE_Allocation!$D$2:$D$201,$AB956)="PROJECT"," ("&amp;INDEX(FTE_Allocation!$E$2:$E$201,$AB956)&amp;")",""),"")))</f>
        <v/>
      </c>
      <c r="H956" s="7">
        <f>IF($Z956="C","CONTRACT",IF($Z956="A","ASSET",IF($Z956="F","WORKFORCE","")))</f>
        <v/>
      </c>
      <c r="I956" s="7">
        <f>IF($Z956="C",INDEX(Contracts!$L$2:$L$151,$AB956)&amp;"",IF($Z956="A",INDEX(Fixed_Assets!$I$2:$I$201,$AB956)&amp;"",IF($Z956="F",INDEX(Workforce!$G$2:$G$151,MATCH(INDEX(FTE_Allocation!$A$2:$A$201,$AB956),Workforce!$A$2:$A$151,0))&amp;"","")))</f>
        <v/>
      </c>
      <c r="J956" s="18">
        <f>IF($Z956="","",IF(AND(DATE($AD956,1,1)&gt;=$AE956,DATE($AD956,1,1)&lt;=$AF956),ROUND($AG956,2),0))</f>
        <v/>
      </c>
      <c r="K956" s="18">
        <f>IF($Z956="","",IF(AND(DATE($AD956,2,1)&gt;=$AE956,DATE($AD956,2,1)&lt;=$AF956),ROUND($AG956,2),0))</f>
        <v/>
      </c>
      <c r="L956" s="18">
        <f>IF($Z956="","",IF(AND(DATE($AD956,3,1)&gt;=$AE956,DATE($AD956,3,1)&lt;=$AF956),ROUND($AG956,2),0))</f>
        <v/>
      </c>
      <c r="M956" s="18">
        <f>IF($Z956="","",IF(AND(DATE($AD956,4,1)&gt;=$AE956,DATE($AD956,4,1)&lt;=$AF956),ROUND($AG956,2),0))</f>
        <v/>
      </c>
      <c r="N956" s="18">
        <f>IF($Z956="","",IF(AND(DATE($AD956,5,1)&gt;=$AE956,DATE($AD956,5,1)&lt;=$AF956),ROUND($AG956,2),0))</f>
        <v/>
      </c>
      <c r="O956" s="18">
        <f>IF($Z956="","",IF(AND(DATE($AD956,6,1)&gt;=$AE956,DATE($AD956,6,1)&lt;=$AF956),ROUND($AG956,2),0))</f>
        <v/>
      </c>
      <c r="P956" s="18">
        <f>IF($Z956="","",IF(AND(DATE($AD956,7,1)&gt;=$AE956,DATE($AD956,7,1)&lt;=$AF956),ROUND($AG956,2),0))</f>
        <v/>
      </c>
      <c r="Q956" s="18">
        <f>IF($Z956="","",IF(AND(DATE($AD956,8,1)&gt;=$AE956,DATE($AD956,8,1)&lt;=$AF956),ROUND($AG956,2),0))</f>
        <v/>
      </c>
      <c r="R956" s="18">
        <f>IF($Z956="","",IF(AND(DATE($AD956,9,1)&gt;=$AE956,DATE($AD956,9,1)&lt;=$AF956),ROUND($AG956,2),0))</f>
        <v/>
      </c>
      <c r="S956" s="18">
        <f>IF($Z956="","",IF(AND(DATE($AD956,10,1)&gt;=$AE956,DATE($AD956,10,1)&lt;=$AF956),ROUND($AG956,2),0))</f>
        <v/>
      </c>
      <c r="T956" s="18">
        <f>IF($Z956="","",IF(AND(DATE($AD956,11,1)&gt;=$AE956,DATE($AD956,11,1)&lt;=$AF956),ROUND($AG956,2),0))</f>
        <v/>
      </c>
      <c r="U956" s="18">
        <f>IF($Z956="","",IF(AND(DATE($AD956,12,1)&gt;=$AE956,DATE($AD956,12,1)&lt;=$AF956),ROUND($AG956,2),0))</f>
        <v/>
      </c>
      <c r="V956" s="7">
        <f>IF($Z956="C","Generated from "&amp;INDEX(Contracts!$A$2:$A$151,$AB956),IF($Z956="A","Generated from "&amp;INDEX(Fixed_Assets!$A$2:$A$201,$AB956),IF($Z956="F","Generated from "&amp;INDEX(FTE_Allocation!$A$2:$A$201,$AB956),"")))</f>
        <v/>
      </c>
      <c r="X956" s="19">
        <f>IF($Z956="","",SUM(J956:U956))</f>
        <v/>
      </c>
      <c r="Y956" s="20">
        <f>ROW()-1</f>
        <v/>
      </c>
      <c r="Z956" s="20">
        <f>IF($Y956&lt;=Settings!$B$4*3,"C",IF($Y956&lt;=(Settings!$B$4+Settings!$B$5)*3,"A",IF($Y956&lt;=(Settings!$B$4+Settings!$B$5+Settings!$B$6)*3,"F","")))</f>
        <v/>
      </c>
      <c r="AA956" s="20">
        <f>IF($Z956="C",$Y956,IF($Z956="A",$Y956-Settings!$B$4*3,IF($Z956="F",$Y956-(Settings!$B$4+Settings!$B$5)*3,"")))</f>
        <v/>
      </c>
      <c r="AB956" s="20">
        <f>IF($Z956="","",INT(($AA956-1)/3)+1)</f>
        <v/>
      </c>
      <c r="AC956" s="20">
        <f>IF($Z956="","",MOD($AA956-1,3)+1)</f>
        <v/>
      </c>
      <c r="AD956" s="20">
        <f>IF($Z956="","",Settings!$B$2+$AC956-1)</f>
        <v/>
      </c>
      <c r="AE956" s="21">
        <f>IF($Z956="C",DATE(YEAR(INDEX(Contracts!$J$2:$J$151,$AB956)),MONTH(INDEX(Contracts!$J$2:$J$151,$AB956)),1),IF($Z956="A",DATE(YEAR(INDEX(Fixed_Assets!$G$2:$G$201,$AB956)),MONTH(INDEX(Fixed_Assets!$G$2:$G$201,$AB956)),1),IF($Z956="F",DATE(YEAR(MAX(N(INDEX(Workforce!$I$2:$I$151,MATCH(INDEX(FTE_Allocation!$A$2:$A$201,$AB956),Workforce!$A$2:$A$151,0))),N(INDEX(FTE_Allocation!$I$2:$I$201,$AB956)))),MONTH(MAX(N(INDEX(Workforce!$I$2:$I$151,MATCH(INDEX(FTE_Allocation!$A$2:$A$201,$AB956),Workforce!$A$2:$A$151,0))),N(INDEX(FTE_Allocation!$I$2:$I$201,$AB956)))),1),"")))</f>
        <v/>
      </c>
      <c r="AF956" s="21">
        <f>IF($Z956="C",IF(INDEX(Contracts!$I$2:$I$151,$AB956)="PREPAID",EDATE(DATE(YEAR(INDEX(Contracts!$J$2:$J$151,$AB956)),MONTH(INDEX(Contracts!$J$2:$J$151,$AB956)),1),IF(INDEX(Contracts!$N$2:$N$151,$AB956)="",12,INDEX(Contracts!$N$2:$N$151,$AB956))-1),IF(INDEX(Contracts!$I$2:$I$151,$AB956)="MONTHLY",IF(INDEX(Contracts!$K$2:$K$151,$AB956)="",2958101,INDEX(Contracts!$K$2:$K$151,$AB956)),0)),IF($Z956="A",EDATE(DATE(YEAR(INDEX(Fixed_Assets!$G$2:$G$201,$AB956)),MONTH(INDEX(Fixed_Assets!$G$2:$G$201,$AB956)),1),INDEX(Fixed_Assets!$J$2:$J$201,$AB956)-1),IF($Z956="F",MIN(IF(INDEX(Workforce!$J$2:$J$151,MATCH(INDEX(FTE_Allocation!$A$2:$A$201,$AB956),Workforce!$A$2:$A$151,0))="",2958101,INDEX(Workforce!$J$2:$J$151,MATCH(INDEX(FTE_Allocation!$A$2:$A$201,$AB956),Workforce!$A$2:$A$151,0))),IF(INDEX(FTE_Allocation!$J$2:$J$201,$AB956)="",2958101,INDEX(FTE_Allocation!$J$2:$J$201,$AB956))),"")))</f>
        <v/>
      </c>
      <c r="AG956" s="19">
        <f>IF($Z956="C",IF(INDEX(Contracts!$I$2:$I$151,$AB956)="PREPAID",INDEX(Contracts!$M$2:$M$151,$AB956)/IF(INDEX(Contracts!$N$2:$N$151,$AB956)="",12,INDEX(Contracts!$N$2:$N$151,$AB956)),IF(INDEX(Contracts!$I$2:$I$151,$AB956)="MONTHLY",INDEX(Contracts!$M$2:$M$151,$AB956),0))*(1-N(INDEX(Contracts!$O$2:$O$151,$AB956))),IF($Z956="A",INDEX(Fixed_Assets!$H$2:$H$201,$AB956)/INDEX(Fixed_Assets!$J$2:$J$201,$AB956),IF($Z956="F",INDEX(Workforce!$F$2:$F$151,MATCH(INDEX(FTE_Allocation!$A$2:$A$201,$AB956),Workforce!$A$2:$A$151,0))*N(INDEX(FTE_Allocation!$F$2:$H$201,$AB956,$AC956)),"")))</f>
        <v/>
      </c>
    </row>
    <row r="957">
      <c r="A957" s="7">
        <f>IF($Z957="","",$AD957)</f>
        <v/>
      </c>
      <c r="B957" s="7">
        <f>IF($Z957="C",INDEX(Contracts!$D$2:$D$151,$AB957)&amp;"",IF($Z957="A",INDEX(Fixed_Assets!$C$2:$C$201,$AB957)&amp;"",IF($Z957="F",INDEX(Workforce!$B$2:$B$151,MATCH(INDEX(FTE_Allocation!$A$2:$A$201,$AB957),Workforce!$A$2:$A$151,0))&amp;"","")))</f>
        <v/>
      </c>
      <c r="C957" s="7">
        <f>IF($Z957="C",INDEX(Contracts!$E$2:$E$151,$AB957)&amp;"",IF($Z957="A",INDEX(Fixed_Assets!$D$2:$D$201,$AB957)&amp;"",IF($Z957="F",INDEX(FTE_Allocation!$C$2:$C$201,$AB957)&amp;"","")))</f>
        <v/>
      </c>
      <c r="D957" s="7">
        <f>IF($Z957="C",INDEX(Contracts!$B$2:$B$151,$AB957)&amp;"",IF($Z957="A",INDEX(Fixed_Assets!$B$2:$B$201,$AB957)&amp;"",IF($Z957="F",INDEX(FTE_Allocation!$B$2:$B$201,$AB957)&amp;"","")))</f>
        <v/>
      </c>
      <c r="E957" s="7">
        <f>IF($Z957="C",INDEX(Contracts!$P$2:$P$151,$AB957)&amp;"",IF($Z957="A",INDEX(Fixed_Assets!$K$2:$K$201,$AB957)&amp;"",IF($Z957="F",IF(INDEX(FTE_Allocation!$D$2:$D$201,$AB957)="PROJECT",IFERROR(INDEX(Projects!$D:$D,MATCH(INDEX(FTE_Allocation!$E$2:$E$201,$AB957),Projects!$A:$A,0))&amp;"","#PROJECT?"),INDEX(FTE_Allocation!$E$2:$E$201,$AB957)&amp;""),"")))</f>
        <v/>
      </c>
      <c r="F957" s="7">
        <f>IF($Z957="C",INDEX(Contracts!$Q$2:$Q$151,$AB957)&amp;"",IF($Z957="A",INDEX(Fixed_Assets!$L$2:$L$201,$AB957)&amp;"",IF($Z957="F",INDEX(Workforce!$K$2:$K$151,MATCH(INDEX(FTE_Allocation!$A$2:$A$201,$AB957),Workforce!$A$2:$A$151,0))&amp;"","")))</f>
        <v/>
      </c>
      <c r="G957" s="7">
        <f>IF($Z957="C",INDEX(Contracts!$F$2:$F$151,$AB957)&amp;" / "&amp;INDEX(Contracts!$G$2:$G$151,$AB957),IF($Z957="A",INDEX(Fixed_Assets!$E$2:$E$201,$AB957)&amp;"",IF($Z957="F","Personnel "&amp;INDEX(FTE_Allocation!$A$2:$A$201,$AB957)&amp;IF(INDEX(FTE_Allocation!$D$2:$D$201,$AB957)="PROJECT"," ("&amp;INDEX(FTE_Allocation!$E$2:$E$201,$AB957)&amp;")",""),"")))</f>
        <v/>
      </c>
      <c r="H957" s="7">
        <f>IF($Z957="C","CONTRACT",IF($Z957="A","ASSET",IF($Z957="F","WORKFORCE","")))</f>
        <v/>
      </c>
      <c r="I957" s="7">
        <f>IF($Z957="C",INDEX(Contracts!$L$2:$L$151,$AB957)&amp;"",IF($Z957="A",INDEX(Fixed_Assets!$I$2:$I$201,$AB957)&amp;"",IF($Z957="F",INDEX(Workforce!$G$2:$G$151,MATCH(INDEX(FTE_Allocation!$A$2:$A$201,$AB957),Workforce!$A$2:$A$151,0))&amp;"","")))</f>
        <v/>
      </c>
      <c r="J957" s="18">
        <f>IF($Z957="","",IF(AND(DATE($AD957,1,1)&gt;=$AE957,DATE($AD957,1,1)&lt;=$AF957),ROUND($AG957,2),0))</f>
        <v/>
      </c>
      <c r="K957" s="18">
        <f>IF($Z957="","",IF(AND(DATE($AD957,2,1)&gt;=$AE957,DATE($AD957,2,1)&lt;=$AF957),ROUND($AG957,2),0))</f>
        <v/>
      </c>
      <c r="L957" s="18">
        <f>IF($Z957="","",IF(AND(DATE($AD957,3,1)&gt;=$AE957,DATE($AD957,3,1)&lt;=$AF957),ROUND($AG957,2),0))</f>
        <v/>
      </c>
      <c r="M957" s="18">
        <f>IF($Z957="","",IF(AND(DATE($AD957,4,1)&gt;=$AE957,DATE($AD957,4,1)&lt;=$AF957),ROUND($AG957,2),0))</f>
        <v/>
      </c>
      <c r="N957" s="18">
        <f>IF($Z957="","",IF(AND(DATE($AD957,5,1)&gt;=$AE957,DATE($AD957,5,1)&lt;=$AF957),ROUND($AG957,2),0))</f>
        <v/>
      </c>
      <c r="O957" s="18">
        <f>IF($Z957="","",IF(AND(DATE($AD957,6,1)&gt;=$AE957,DATE($AD957,6,1)&lt;=$AF957),ROUND($AG957,2),0))</f>
        <v/>
      </c>
      <c r="P957" s="18">
        <f>IF($Z957="","",IF(AND(DATE($AD957,7,1)&gt;=$AE957,DATE($AD957,7,1)&lt;=$AF957),ROUND($AG957,2),0))</f>
        <v/>
      </c>
      <c r="Q957" s="18">
        <f>IF($Z957="","",IF(AND(DATE($AD957,8,1)&gt;=$AE957,DATE($AD957,8,1)&lt;=$AF957),ROUND($AG957,2),0))</f>
        <v/>
      </c>
      <c r="R957" s="18">
        <f>IF($Z957="","",IF(AND(DATE($AD957,9,1)&gt;=$AE957,DATE($AD957,9,1)&lt;=$AF957),ROUND($AG957,2),0))</f>
        <v/>
      </c>
      <c r="S957" s="18">
        <f>IF($Z957="","",IF(AND(DATE($AD957,10,1)&gt;=$AE957,DATE($AD957,10,1)&lt;=$AF957),ROUND($AG957,2),0))</f>
        <v/>
      </c>
      <c r="T957" s="18">
        <f>IF($Z957="","",IF(AND(DATE($AD957,11,1)&gt;=$AE957,DATE($AD957,11,1)&lt;=$AF957),ROUND($AG957,2),0))</f>
        <v/>
      </c>
      <c r="U957" s="18">
        <f>IF($Z957="","",IF(AND(DATE($AD957,12,1)&gt;=$AE957,DATE($AD957,12,1)&lt;=$AF957),ROUND($AG957,2),0))</f>
        <v/>
      </c>
      <c r="V957" s="7">
        <f>IF($Z957="C","Generated from "&amp;INDEX(Contracts!$A$2:$A$151,$AB957),IF($Z957="A","Generated from "&amp;INDEX(Fixed_Assets!$A$2:$A$201,$AB957),IF($Z957="F","Generated from "&amp;INDEX(FTE_Allocation!$A$2:$A$201,$AB957),"")))</f>
        <v/>
      </c>
      <c r="X957" s="19">
        <f>IF($Z957="","",SUM(J957:U957))</f>
        <v/>
      </c>
      <c r="Y957" s="20">
        <f>ROW()-1</f>
        <v/>
      </c>
      <c r="Z957" s="20">
        <f>IF($Y957&lt;=Settings!$B$4*3,"C",IF($Y957&lt;=(Settings!$B$4+Settings!$B$5)*3,"A",IF($Y957&lt;=(Settings!$B$4+Settings!$B$5+Settings!$B$6)*3,"F","")))</f>
        <v/>
      </c>
      <c r="AA957" s="20">
        <f>IF($Z957="C",$Y957,IF($Z957="A",$Y957-Settings!$B$4*3,IF($Z957="F",$Y957-(Settings!$B$4+Settings!$B$5)*3,"")))</f>
        <v/>
      </c>
      <c r="AB957" s="20">
        <f>IF($Z957="","",INT(($AA957-1)/3)+1)</f>
        <v/>
      </c>
      <c r="AC957" s="20">
        <f>IF($Z957="","",MOD($AA957-1,3)+1)</f>
        <v/>
      </c>
      <c r="AD957" s="20">
        <f>IF($Z957="","",Settings!$B$2+$AC957-1)</f>
        <v/>
      </c>
      <c r="AE957" s="21">
        <f>IF($Z957="C",DATE(YEAR(INDEX(Contracts!$J$2:$J$151,$AB957)),MONTH(INDEX(Contracts!$J$2:$J$151,$AB957)),1),IF($Z957="A",DATE(YEAR(INDEX(Fixed_Assets!$G$2:$G$201,$AB957)),MONTH(INDEX(Fixed_Assets!$G$2:$G$201,$AB957)),1),IF($Z957="F",DATE(YEAR(MAX(N(INDEX(Workforce!$I$2:$I$151,MATCH(INDEX(FTE_Allocation!$A$2:$A$201,$AB957),Workforce!$A$2:$A$151,0))),N(INDEX(FTE_Allocation!$I$2:$I$201,$AB957)))),MONTH(MAX(N(INDEX(Workforce!$I$2:$I$151,MATCH(INDEX(FTE_Allocation!$A$2:$A$201,$AB957),Workforce!$A$2:$A$151,0))),N(INDEX(FTE_Allocation!$I$2:$I$201,$AB957)))),1),"")))</f>
        <v/>
      </c>
      <c r="AF957" s="21">
        <f>IF($Z957="C",IF(INDEX(Contracts!$I$2:$I$151,$AB957)="PREPAID",EDATE(DATE(YEAR(INDEX(Contracts!$J$2:$J$151,$AB957)),MONTH(INDEX(Contracts!$J$2:$J$151,$AB957)),1),IF(INDEX(Contracts!$N$2:$N$151,$AB957)="",12,INDEX(Contracts!$N$2:$N$151,$AB957))-1),IF(INDEX(Contracts!$I$2:$I$151,$AB957)="MONTHLY",IF(INDEX(Contracts!$K$2:$K$151,$AB957)="",2958101,INDEX(Contracts!$K$2:$K$151,$AB957)),0)),IF($Z957="A",EDATE(DATE(YEAR(INDEX(Fixed_Assets!$G$2:$G$201,$AB957)),MONTH(INDEX(Fixed_Assets!$G$2:$G$201,$AB957)),1),INDEX(Fixed_Assets!$J$2:$J$201,$AB957)-1),IF($Z957="F",MIN(IF(INDEX(Workforce!$J$2:$J$151,MATCH(INDEX(FTE_Allocation!$A$2:$A$201,$AB957),Workforce!$A$2:$A$151,0))="",2958101,INDEX(Workforce!$J$2:$J$151,MATCH(INDEX(FTE_Allocation!$A$2:$A$201,$AB957),Workforce!$A$2:$A$151,0))),IF(INDEX(FTE_Allocation!$J$2:$J$201,$AB957)="",2958101,INDEX(FTE_Allocation!$J$2:$J$201,$AB957))),"")))</f>
        <v/>
      </c>
      <c r="AG957" s="19">
        <f>IF($Z957="C",IF(INDEX(Contracts!$I$2:$I$151,$AB957)="PREPAID",INDEX(Contracts!$M$2:$M$151,$AB957)/IF(INDEX(Contracts!$N$2:$N$151,$AB957)="",12,INDEX(Contracts!$N$2:$N$151,$AB957)),IF(INDEX(Contracts!$I$2:$I$151,$AB957)="MONTHLY",INDEX(Contracts!$M$2:$M$151,$AB957),0))*(1-N(INDEX(Contracts!$O$2:$O$151,$AB957))),IF($Z957="A",INDEX(Fixed_Assets!$H$2:$H$201,$AB957)/INDEX(Fixed_Assets!$J$2:$J$201,$AB957),IF($Z957="F",INDEX(Workforce!$F$2:$F$151,MATCH(INDEX(FTE_Allocation!$A$2:$A$201,$AB957),Workforce!$A$2:$A$151,0))*N(INDEX(FTE_Allocation!$F$2:$H$201,$AB957,$AC957)),"")))</f>
        <v/>
      </c>
    </row>
    <row r="958">
      <c r="A958" s="7">
        <f>IF($Z958="","",$AD958)</f>
        <v/>
      </c>
      <c r="B958" s="7">
        <f>IF($Z958="C",INDEX(Contracts!$D$2:$D$151,$AB958)&amp;"",IF($Z958="A",INDEX(Fixed_Assets!$C$2:$C$201,$AB958)&amp;"",IF($Z958="F",INDEX(Workforce!$B$2:$B$151,MATCH(INDEX(FTE_Allocation!$A$2:$A$201,$AB958),Workforce!$A$2:$A$151,0))&amp;"","")))</f>
        <v/>
      </c>
      <c r="C958" s="7">
        <f>IF($Z958="C",INDEX(Contracts!$E$2:$E$151,$AB958)&amp;"",IF($Z958="A",INDEX(Fixed_Assets!$D$2:$D$201,$AB958)&amp;"",IF($Z958="F",INDEX(FTE_Allocation!$C$2:$C$201,$AB958)&amp;"","")))</f>
        <v/>
      </c>
      <c r="D958" s="7">
        <f>IF($Z958="C",INDEX(Contracts!$B$2:$B$151,$AB958)&amp;"",IF($Z958="A",INDEX(Fixed_Assets!$B$2:$B$201,$AB958)&amp;"",IF($Z958="F",INDEX(FTE_Allocation!$B$2:$B$201,$AB958)&amp;"","")))</f>
        <v/>
      </c>
      <c r="E958" s="7">
        <f>IF($Z958="C",INDEX(Contracts!$P$2:$P$151,$AB958)&amp;"",IF($Z958="A",INDEX(Fixed_Assets!$K$2:$K$201,$AB958)&amp;"",IF($Z958="F",IF(INDEX(FTE_Allocation!$D$2:$D$201,$AB958)="PROJECT",IFERROR(INDEX(Projects!$D:$D,MATCH(INDEX(FTE_Allocation!$E$2:$E$201,$AB958),Projects!$A:$A,0))&amp;"","#PROJECT?"),INDEX(FTE_Allocation!$E$2:$E$201,$AB958)&amp;""),"")))</f>
        <v/>
      </c>
      <c r="F958" s="7">
        <f>IF($Z958="C",INDEX(Contracts!$Q$2:$Q$151,$AB958)&amp;"",IF($Z958="A",INDEX(Fixed_Assets!$L$2:$L$201,$AB958)&amp;"",IF($Z958="F",INDEX(Workforce!$K$2:$K$151,MATCH(INDEX(FTE_Allocation!$A$2:$A$201,$AB958),Workforce!$A$2:$A$151,0))&amp;"","")))</f>
        <v/>
      </c>
      <c r="G958" s="7">
        <f>IF($Z958="C",INDEX(Contracts!$F$2:$F$151,$AB958)&amp;" / "&amp;INDEX(Contracts!$G$2:$G$151,$AB958),IF($Z958="A",INDEX(Fixed_Assets!$E$2:$E$201,$AB958)&amp;"",IF($Z958="F","Personnel "&amp;INDEX(FTE_Allocation!$A$2:$A$201,$AB958)&amp;IF(INDEX(FTE_Allocation!$D$2:$D$201,$AB958)="PROJECT"," ("&amp;INDEX(FTE_Allocation!$E$2:$E$201,$AB958)&amp;")",""),"")))</f>
        <v/>
      </c>
      <c r="H958" s="7">
        <f>IF($Z958="C","CONTRACT",IF($Z958="A","ASSET",IF($Z958="F","WORKFORCE","")))</f>
        <v/>
      </c>
      <c r="I958" s="7">
        <f>IF($Z958="C",INDEX(Contracts!$L$2:$L$151,$AB958)&amp;"",IF($Z958="A",INDEX(Fixed_Assets!$I$2:$I$201,$AB958)&amp;"",IF($Z958="F",INDEX(Workforce!$G$2:$G$151,MATCH(INDEX(FTE_Allocation!$A$2:$A$201,$AB958),Workforce!$A$2:$A$151,0))&amp;"","")))</f>
        <v/>
      </c>
      <c r="J958" s="18">
        <f>IF($Z958="","",IF(AND(DATE($AD958,1,1)&gt;=$AE958,DATE($AD958,1,1)&lt;=$AF958),ROUND($AG958,2),0))</f>
        <v/>
      </c>
      <c r="K958" s="18">
        <f>IF($Z958="","",IF(AND(DATE($AD958,2,1)&gt;=$AE958,DATE($AD958,2,1)&lt;=$AF958),ROUND($AG958,2),0))</f>
        <v/>
      </c>
      <c r="L958" s="18">
        <f>IF($Z958="","",IF(AND(DATE($AD958,3,1)&gt;=$AE958,DATE($AD958,3,1)&lt;=$AF958),ROUND($AG958,2),0))</f>
        <v/>
      </c>
      <c r="M958" s="18">
        <f>IF($Z958="","",IF(AND(DATE($AD958,4,1)&gt;=$AE958,DATE($AD958,4,1)&lt;=$AF958),ROUND($AG958,2),0))</f>
        <v/>
      </c>
      <c r="N958" s="18">
        <f>IF($Z958="","",IF(AND(DATE($AD958,5,1)&gt;=$AE958,DATE($AD958,5,1)&lt;=$AF958),ROUND($AG958,2),0))</f>
        <v/>
      </c>
      <c r="O958" s="18">
        <f>IF($Z958="","",IF(AND(DATE($AD958,6,1)&gt;=$AE958,DATE($AD958,6,1)&lt;=$AF958),ROUND($AG958,2),0))</f>
        <v/>
      </c>
      <c r="P958" s="18">
        <f>IF($Z958="","",IF(AND(DATE($AD958,7,1)&gt;=$AE958,DATE($AD958,7,1)&lt;=$AF958),ROUND($AG958,2),0))</f>
        <v/>
      </c>
      <c r="Q958" s="18">
        <f>IF($Z958="","",IF(AND(DATE($AD958,8,1)&gt;=$AE958,DATE($AD958,8,1)&lt;=$AF958),ROUND($AG958,2),0))</f>
        <v/>
      </c>
      <c r="R958" s="18">
        <f>IF($Z958="","",IF(AND(DATE($AD958,9,1)&gt;=$AE958,DATE($AD958,9,1)&lt;=$AF958),ROUND($AG958,2),0))</f>
        <v/>
      </c>
      <c r="S958" s="18">
        <f>IF($Z958="","",IF(AND(DATE($AD958,10,1)&gt;=$AE958,DATE($AD958,10,1)&lt;=$AF958),ROUND($AG958,2),0))</f>
        <v/>
      </c>
      <c r="T958" s="18">
        <f>IF($Z958="","",IF(AND(DATE($AD958,11,1)&gt;=$AE958,DATE($AD958,11,1)&lt;=$AF958),ROUND($AG958,2),0))</f>
        <v/>
      </c>
      <c r="U958" s="18">
        <f>IF($Z958="","",IF(AND(DATE($AD958,12,1)&gt;=$AE958,DATE($AD958,12,1)&lt;=$AF958),ROUND($AG958,2),0))</f>
        <v/>
      </c>
      <c r="V958" s="7">
        <f>IF($Z958="C","Generated from "&amp;INDEX(Contracts!$A$2:$A$151,$AB958),IF($Z958="A","Generated from "&amp;INDEX(Fixed_Assets!$A$2:$A$201,$AB958),IF($Z958="F","Generated from "&amp;INDEX(FTE_Allocation!$A$2:$A$201,$AB958),"")))</f>
        <v/>
      </c>
      <c r="X958" s="19">
        <f>IF($Z958="","",SUM(J958:U958))</f>
        <v/>
      </c>
      <c r="Y958" s="20">
        <f>ROW()-1</f>
        <v/>
      </c>
      <c r="Z958" s="20">
        <f>IF($Y958&lt;=Settings!$B$4*3,"C",IF($Y958&lt;=(Settings!$B$4+Settings!$B$5)*3,"A",IF($Y958&lt;=(Settings!$B$4+Settings!$B$5+Settings!$B$6)*3,"F","")))</f>
        <v/>
      </c>
      <c r="AA958" s="20">
        <f>IF($Z958="C",$Y958,IF($Z958="A",$Y958-Settings!$B$4*3,IF($Z958="F",$Y958-(Settings!$B$4+Settings!$B$5)*3,"")))</f>
        <v/>
      </c>
      <c r="AB958" s="20">
        <f>IF($Z958="","",INT(($AA958-1)/3)+1)</f>
        <v/>
      </c>
      <c r="AC958" s="20">
        <f>IF($Z958="","",MOD($AA958-1,3)+1)</f>
        <v/>
      </c>
      <c r="AD958" s="20">
        <f>IF($Z958="","",Settings!$B$2+$AC958-1)</f>
        <v/>
      </c>
      <c r="AE958" s="21">
        <f>IF($Z958="C",DATE(YEAR(INDEX(Contracts!$J$2:$J$151,$AB958)),MONTH(INDEX(Contracts!$J$2:$J$151,$AB958)),1),IF($Z958="A",DATE(YEAR(INDEX(Fixed_Assets!$G$2:$G$201,$AB958)),MONTH(INDEX(Fixed_Assets!$G$2:$G$201,$AB958)),1),IF($Z958="F",DATE(YEAR(MAX(N(INDEX(Workforce!$I$2:$I$151,MATCH(INDEX(FTE_Allocation!$A$2:$A$201,$AB958),Workforce!$A$2:$A$151,0))),N(INDEX(FTE_Allocation!$I$2:$I$201,$AB958)))),MONTH(MAX(N(INDEX(Workforce!$I$2:$I$151,MATCH(INDEX(FTE_Allocation!$A$2:$A$201,$AB958),Workforce!$A$2:$A$151,0))),N(INDEX(FTE_Allocation!$I$2:$I$201,$AB958)))),1),"")))</f>
        <v/>
      </c>
      <c r="AF958" s="21">
        <f>IF($Z958="C",IF(INDEX(Contracts!$I$2:$I$151,$AB958)="PREPAID",EDATE(DATE(YEAR(INDEX(Contracts!$J$2:$J$151,$AB958)),MONTH(INDEX(Contracts!$J$2:$J$151,$AB958)),1),IF(INDEX(Contracts!$N$2:$N$151,$AB958)="",12,INDEX(Contracts!$N$2:$N$151,$AB958))-1),IF(INDEX(Contracts!$I$2:$I$151,$AB958)="MONTHLY",IF(INDEX(Contracts!$K$2:$K$151,$AB958)="",2958101,INDEX(Contracts!$K$2:$K$151,$AB958)),0)),IF($Z958="A",EDATE(DATE(YEAR(INDEX(Fixed_Assets!$G$2:$G$201,$AB958)),MONTH(INDEX(Fixed_Assets!$G$2:$G$201,$AB958)),1),INDEX(Fixed_Assets!$J$2:$J$201,$AB958)-1),IF($Z958="F",MIN(IF(INDEX(Workforce!$J$2:$J$151,MATCH(INDEX(FTE_Allocation!$A$2:$A$201,$AB958),Workforce!$A$2:$A$151,0))="",2958101,INDEX(Workforce!$J$2:$J$151,MATCH(INDEX(FTE_Allocation!$A$2:$A$201,$AB958),Workforce!$A$2:$A$151,0))),IF(INDEX(FTE_Allocation!$J$2:$J$201,$AB958)="",2958101,INDEX(FTE_Allocation!$J$2:$J$201,$AB958))),"")))</f>
        <v/>
      </c>
      <c r="AG958" s="19">
        <f>IF($Z958="C",IF(INDEX(Contracts!$I$2:$I$151,$AB958)="PREPAID",INDEX(Contracts!$M$2:$M$151,$AB958)/IF(INDEX(Contracts!$N$2:$N$151,$AB958)="",12,INDEX(Contracts!$N$2:$N$151,$AB958)),IF(INDEX(Contracts!$I$2:$I$151,$AB958)="MONTHLY",INDEX(Contracts!$M$2:$M$151,$AB958),0))*(1-N(INDEX(Contracts!$O$2:$O$151,$AB958))),IF($Z958="A",INDEX(Fixed_Assets!$H$2:$H$201,$AB958)/INDEX(Fixed_Assets!$J$2:$J$201,$AB958),IF($Z958="F",INDEX(Workforce!$F$2:$F$151,MATCH(INDEX(FTE_Allocation!$A$2:$A$201,$AB958),Workforce!$A$2:$A$151,0))*N(INDEX(FTE_Allocation!$F$2:$H$201,$AB958,$AC958)),"")))</f>
        <v/>
      </c>
    </row>
    <row r="959">
      <c r="A959" s="7">
        <f>IF($Z959="","",$AD959)</f>
        <v/>
      </c>
      <c r="B959" s="7">
        <f>IF($Z959="C",INDEX(Contracts!$D$2:$D$151,$AB959)&amp;"",IF($Z959="A",INDEX(Fixed_Assets!$C$2:$C$201,$AB959)&amp;"",IF($Z959="F",INDEX(Workforce!$B$2:$B$151,MATCH(INDEX(FTE_Allocation!$A$2:$A$201,$AB959),Workforce!$A$2:$A$151,0))&amp;"","")))</f>
        <v/>
      </c>
      <c r="C959" s="7">
        <f>IF($Z959="C",INDEX(Contracts!$E$2:$E$151,$AB959)&amp;"",IF($Z959="A",INDEX(Fixed_Assets!$D$2:$D$201,$AB959)&amp;"",IF($Z959="F",INDEX(FTE_Allocation!$C$2:$C$201,$AB959)&amp;"","")))</f>
        <v/>
      </c>
      <c r="D959" s="7">
        <f>IF($Z959="C",INDEX(Contracts!$B$2:$B$151,$AB959)&amp;"",IF($Z959="A",INDEX(Fixed_Assets!$B$2:$B$201,$AB959)&amp;"",IF($Z959="F",INDEX(FTE_Allocation!$B$2:$B$201,$AB959)&amp;"","")))</f>
        <v/>
      </c>
      <c r="E959" s="7">
        <f>IF($Z959="C",INDEX(Contracts!$P$2:$P$151,$AB959)&amp;"",IF($Z959="A",INDEX(Fixed_Assets!$K$2:$K$201,$AB959)&amp;"",IF($Z959="F",IF(INDEX(FTE_Allocation!$D$2:$D$201,$AB959)="PROJECT",IFERROR(INDEX(Projects!$D:$D,MATCH(INDEX(FTE_Allocation!$E$2:$E$201,$AB959),Projects!$A:$A,0))&amp;"","#PROJECT?"),INDEX(FTE_Allocation!$E$2:$E$201,$AB959)&amp;""),"")))</f>
        <v/>
      </c>
      <c r="F959" s="7">
        <f>IF($Z959="C",INDEX(Contracts!$Q$2:$Q$151,$AB959)&amp;"",IF($Z959="A",INDEX(Fixed_Assets!$L$2:$L$201,$AB959)&amp;"",IF($Z959="F",INDEX(Workforce!$K$2:$K$151,MATCH(INDEX(FTE_Allocation!$A$2:$A$201,$AB959),Workforce!$A$2:$A$151,0))&amp;"","")))</f>
        <v/>
      </c>
      <c r="G959" s="7">
        <f>IF($Z959="C",INDEX(Contracts!$F$2:$F$151,$AB959)&amp;" / "&amp;INDEX(Contracts!$G$2:$G$151,$AB959),IF($Z959="A",INDEX(Fixed_Assets!$E$2:$E$201,$AB959)&amp;"",IF($Z959="F","Personnel "&amp;INDEX(FTE_Allocation!$A$2:$A$201,$AB959)&amp;IF(INDEX(FTE_Allocation!$D$2:$D$201,$AB959)="PROJECT"," ("&amp;INDEX(FTE_Allocation!$E$2:$E$201,$AB959)&amp;")",""),"")))</f>
        <v/>
      </c>
      <c r="H959" s="7">
        <f>IF($Z959="C","CONTRACT",IF($Z959="A","ASSET",IF($Z959="F","WORKFORCE","")))</f>
        <v/>
      </c>
      <c r="I959" s="7">
        <f>IF($Z959="C",INDEX(Contracts!$L$2:$L$151,$AB959)&amp;"",IF($Z959="A",INDEX(Fixed_Assets!$I$2:$I$201,$AB959)&amp;"",IF($Z959="F",INDEX(Workforce!$G$2:$G$151,MATCH(INDEX(FTE_Allocation!$A$2:$A$201,$AB959),Workforce!$A$2:$A$151,0))&amp;"","")))</f>
        <v/>
      </c>
      <c r="J959" s="18">
        <f>IF($Z959="","",IF(AND(DATE($AD959,1,1)&gt;=$AE959,DATE($AD959,1,1)&lt;=$AF959),ROUND($AG959,2),0))</f>
        <v/>
      </c>
      <c r="K959" s="18">
        <f>IF($Z959="","",IF(AND(DATE($AD959,2,1)&gt;=$AE959,DATE($AD959,2,1)&lt;=$AF959),ROUND($AG959,2),0))</f>
        <v/>
      </c>
      <c r="L959" s="18">
        <f>IF($Z959="","",IF(AND(DATE($AD959,3,1)&gt;=$AE959,DATE($AD959,3,1)&lt;=$AF959),ROUND($AG959,2),0))</f>
        <v/>
      </c>
      <c r="M959" s="18">
        <f>IF($Z959="","",IF(AND(DATE($AD959,4,1)&gt;=$AE959,DATE($AD959,4,1)&lt;=$AF959),ROUND($AG959,2),0))</f>
        <v/>
      </c>
      <c r="N959" s="18">
        <f>IF($Z959="","",IF(AND(DATE($AD959,5,1)&gt;=$AE959,DATE($AD959,5,1)&lt;=$AF959),ROUND($AG959,2),0))</f>
        <v/>
      </c>
      <c r="O959" s="18">
        <f>IF($Z959="","",IF(AND(DATE($AD959,6,1)&gt;=$AE959,DATE($AD959,6,1)&lt;=$AF959),ROUND($AG959,2),0))</f>
        <v/>
      </c>
      <c r="P959" s="18">
        <f>IF($Z959="","",IF(AND(DATE($AD959,7,1)&gt;=$AE959,DATE($AD959,7,1)&lt;=$AF959),ROUND($AG959,2),0))</f>
        <v/>
      </c>
      <c r="Q959" s="18">
        <f>IF($Z959="","",IF(AND(DATE($AD959,8,1)&gt;=$AE959,DATE($AD959,8,1)&lt;=$AF959),ROUND($AG959,2),0))</f>
        <v/>
      </c>
      <c r="R959" s="18">
        <f>IF($Z959="","",IF(AND(DATE($AD959,9,1)&gt;=$AE959,DATE($AD959,9,1)&lt;=$AF959),ROUND($AG959,2),0))</f>
        <v/>
      </c>
      <c r="S959" s="18">
        <f>IF($Z959="","",IF(AND(DATE($AD959,10,1)&gt;=$AE959,DATE($AD959,10,1)&lt;=$AF959),ROUND($AG959,2),0))</f>
        <v/>
      </c>
      <c r="T959" s="18">
        <f>IF($Z959="","",IF(AND(DATE($AD959,11,1)&gt;=$AE959,DATE($AD959,11,1)&lt;=$AF959),ROUND($AG959,2),0))</f>
        <v/>
      </c>
      <c r="U959" s="18">
        <f>IF($Z959="","",IF(AND(DATE($AD959,12,1)&gt;=$AE959,DATE($AD959,12,1)&lt;=$AF959),ROUND($AG959,2),0))</f>
        <v/>
      </c>
      <c r="V959" s="7">
        <f>IF($Z959="C","Generated from "&amp;INDEX(Contracts!$A$2:$A$151,$AB959),IF($Z959="A","Generated from "&amp;INDEX(Fixed_Assets!$A$2:$A$201,$AB959),IF($Z959="F","Generated from "&amp;INDEX(FTE_Allocation!$A$2:$A$201,$AB959),"")))</f>
        <v/>
      </c>
      <c r="X959" s="19">
        <f>IF($Z959="","",SUM(J959:U959))</f>
        <v/>
      </c>
      <c r="Y959" s="20">
        <f>ROW()-1</f>
        <v/>
      </c>
      <c r="Z959" s="20">
        <f>IF($Y959&lt;=Settings!$B$4*3,"C",IF($Y959&lt;=(Settings!$B$4+Settings!$B$5)*3,"A",IF($Y959&lt;=(Settings!$B$4+Settings!$B$5+Settings!$B$6)*3,"F","")))</f>
        <v/>
      </c>
      <c r="AA959" s="20">
        <f>IF($Z959="C",$Y959,IF($Z959="A",$Y959-Settings!$B$4*3,IF($Z959="F",$Y959-(Settings!$B$4+Settings!$B$5)*3,"")))</f>
        <v/>
      </c>
      <c r="AB959" s="20">
        <f>IF($Z959="","",INT(($AA959-1)/3)+1)</f>
        <v/>
      </c>
      <c r="AC959" s="20">
        <f>IF($Z959="","",MOD($AA959-1,3)+1)</f>
        <v/>
      </c>
      <c r="AD959" s="20">
        <f>IF($Z959="","",Settings!$B$2+$AC959-1)</f>
        <v/>
      </c>
      <c r="AE959" s="21">
        <f>IF($Z959="C",DATE(YEAR(INDEX(Contracts!$J$2:$J$151,$AB959)),MONTH(INDEX(Contracts!$J$2:$J$151,$AB959)),1),IF($Z959="A",DATE(YEAR(INDEX(Fixed_Assets!$G$2:$G$201,$AB959)),MONTH(INDEX(Fixed_Assets!$G$2:$G$201,$AB959)),1),IF($Z959="F",DATE(YEAR(MAX(N(INDEX(Workforce!$I$2:$I$151,MATCH(INDEX(FTE_Allocation!$A$2:$A$201,$AB959),Workforce!$A$2:$A$151,0))),N(INDEX(FTE_Allocation!$I$2:$I$201,$AB959)))),MONTH(MAX(N(INDEX(Workforce!$I$2:$I$151,MATCH(INDEX(FTE_Allocation!$A$2:$A$201,$AB959),Workforce!$A$2:$A$151,0))),N(INDEX(FTE_Allocation!$I$2:$I$201,$AB959)))),1),"")))</f>
        <v/>
      </c>
      <c r="AF959" s="21">
        <f>IF($Z959="C",IF(INDEX(Contracts!$I$2:$I$151,$AB959)="PREPAID",EDATE(DATE(YEAR(INDEX(Contracts!$J$2:$J$151,$AB959)),MONTH(INDEX(Contracts!$J$2:$J$151,$AB959)),1),IF(INDEX(Contracts!$N$2:$N$151,$AB959)="",12,INDEX(Contracts!$N$2:$N$151,$AB959))-1),IF(INDEX(Contracts!$I$2:$I$151,$AB959)="MONTHLY",IF(INDEX(Contracts!$K$2:$K$151,$AB959)="",2958101,INDEX(Contracts!$K$2:$K$151,$AB959)),0)),IF($Z959="A",EDATE(DATE(YEAR(INDEX(Fixed_Assets!$G$2:$G$201,$AB959)),MONTH(INDEX(Fixed_Assets!$G$2:$G$201,$AB959)),1),INDEX(Fixed_Assets!$J$2:$J$201,$AB959)-1),IF($Z959="F",MIN(IF(INDEX(Workforce!$J$2:$J$151,MATCH(INDEX(FTE_Allocation!$A$2:$A$201,$AB959),Workforce!$A$2:$A$151,0))="",2958101,INDEX(Workforce!$J$2:$J$151,MATCH(INDEX(FTE_Allocation!$A$2:$A$201,$AB959),Workforce!$A$2:$A$151,0))),IF(INDEX(FTE_Allocation!$J$2:$J$201,$AB959)="",2958101,INDEX(FTE_Allocation!$J$2:$J$201,$AB959))),"")))</f>
        <v/>
      </c>
      <c r="AG959" s="19">
        <f>IF($Z959="C",IF(INDEX(Contracts!$I$2:$I$151,$AB959)="PREPAID",INDEX(Contracts!$M$2:$M$151,$AB959)/IF(INDEX(Contracts!$N$2:$N$151,$AB959)="",12,INDEX(Contracts!$N$2:$N$151,$AB959)),IF(INDEX(Contracts!$I$2:$I$151,$AB959)="MONTHLY",INDEX(Contracts!$M$2:$M$151,$AB959),0))*(1-N(INDEX(Contracts!$O$2:$O$151,$AB959))),IF($Z959="A",INDEX(Fixed_Assets!$H$2:$H$201,$AB959)/INDEX(Fixed_Assets!$J$2:$J$201,$AB959),IF($Z959="F",INDEX(Workforce!$F$2:$F$151,MATCH(INDEX(FTE_Allocation!$A$2:$A$201,$AB959),Workforce!$A$2:$A$151,0))*N(INDEX(FTE_Allocation!$F$2:$H$201,$AB959,$AC959)),"")))</f>
        <v/>
      </c>
    </row>
    <row r="960">
      <c r="A960" s="7">
        <f>IF($Z960="","",$AD960)</f>
        <v/>
      </c>
      <c r="B960" s="7">
        <f>IF($Z960="C",INDEX(Contracts!$D$2:$D$151,$AB960)&amp;"",IF($Z960="A",INDEX(Fixed_Assets!$C$2:$C$201,$AB960)&amp;"",IF($Z960="F",INDEX(Workforce!$B$2:$B$151,MATCH(INDEX(FTE_Allocation!$A$2:$A$201,$AB960),Workforce!$A$2:$A$151,0))&amp;"","")))</f>
        <v/>
      </c>
      <c r="C960" s="7">
        <f>IF($Z960="C",INDEX(Contracts!$E$2:$E$151,$AB960)&amp;"",IF($Z960="A",INDEX(Fixed_Assets!$D$2:$D$201,$AB960)&amp;"",IF($Z960="F",INDEX(FTE_Allocation!$C$2:$C$201,$AB960)&amp;"","")))</f>
        <v/>
      </c>
      <c r="D960" s="7">
        <f>IF($Z960="C",INDEX(Contracts!$B$2:$B$151,$AB960)&amp;"",IF($Z960="A",INDEX(Fixed_Assets!$B$2:$B$201,$AB960)&amp;"",IF($Z960="F",INDEX(FTE_Allocation!$B$2:$B$201,$AB960)&amp;"","")))</f>
        <v/>
      </c>
      <c r="E960" s="7">
        <f>IF($Z960="C",INDEX(Contracts!$P$2:$P$151,$AB960)&amp;"",IF($Z960="A",INDEX(Fixed_Assets!$K$2:$K$201,$AB960)&amp;"",IF($Z960="F",IF(INDEX(FTE_Allocation!$D$2:$D$201,$AB960)="PROJECT",IFERROR(INDEX(Projects!$D:$D,MATCH(INDEX(FTE_Allocation!$E$2:$E$201,$AB960),Projects!$A:$A,0))&amp;"","#PROJECT?"),INDEX(FTE_Allocation!$E$2:$E$201,$AB960)&amp;""),"")))</f>
        <v/>
      </c>
      <c r="F960" s="7">
        <f>IF($Z960="C",INDEX(Contracts!$Q$2:$Q$151,$AB960)&amp;"",IF($Z960="A",INDEX(Fixed_Assets!$L$2:$L$201,$AB960)&amp;"",IF($Z960="F",INDEX(Workforce!$K$2:$K$151,MATCH(INDEX(FTE_Allocation!$A$2:$A$201,$AB960),Workforce!$A$2:$A$151,0))&amp;"","")))</f>
        <v/>
      </c>
      <c r="G960" s="7">
        <f>IF($Z960="C",INDEX(Contracts!$F$2:$F$151,$AB960)&amp;" / "&amp;INDEX(Contracts!$G$2:$G$151,$AB960),IF($Z960="A",INDEX(Fixed_Assets!$E$2:$E$201,$AB960)&amp;"",IF($Z960="F","Personnel "&amp;INDEX(FTE_Allocation!$A$2:$A$201,$AB960)&amp;IF(INDEX(FTE_Allocation!$D$2:$D$201,$AB960)="PROJECT"," ("&amp;INDEX(FTE_Allocation!$E$2:$E$201,$AB960)&amp;")",""),"")))</f>
        <v/>
      </c>
      <c r="H960" s="7">
        <f>IF($Z960="C","CONTRACT",IF($Z960="A","ASSET",IF($Z960="F","WORKFORCE","")))</f>
        <v/>
      </c>
      <c r="I960" s="7">
        <f>IF($Z960="C",INDEX(Contracts!$L$2:$L$151,$AB960)&amp;"",IF($Z960="A",INDEX(Fixed_Assets!$I$2:$I$201,$AB960)&amp;"",IF($Z960="F",INDEX(Workforce!$G$2:$G$151,MATCH(INDEX(FTE_Allocation!$A$2:$A$201,$AB960),Workforce!$A$2:$A$151,0))&amp;"","")))</f>
        <v/>
      </c>
      <c r="J960" s="18">
        <f>IF($Z960="","",IF(AND(DATE($AD960,1,1)&gt;=$AE960,DATE($AD960,1,1)&lt;=$AF960),ROUND($AG960,2),0))</f>
        <v/>
      </c>
      <c r="K960" s="18">
        <f>IF($Z960="","",IF(AND(DATE($AD960,2,1)&gt;=$AE960,DATE($AD960,2,1)&lt;=$AF960),ROUND($AG960,2),0))</f>
        <v/>
      </c>
      <c r="L960" s="18">
        <f>IF($Z960="","",IF(AND(DATE($AD960,3,1)&gt;=$AE960,DATE($AD960,3,1)&lt;=$AF960),ROUND($AG960,2),0))</f>
        <v/>
      </c>
      <c r="M960" s="18">
        <f>IF($Z960="","",IF(AND(DATE($AD960,4,1)&gt;=$AE960,DATE($AD960,4,1)&lt;=$AF960),ROUND($AG960,2),0))</f>
        <v/>
      </c>
      <c r="N960" s="18">
        <f>IF($Z960="","",IF(AND(DATE($AD960,5,1)&gt;=$AE960,DATE($AD960,5,1)&lt;=$AF960),ROUND($AG960,2),0))</f>
        <v/>
      </c>
      <c r="O960" s="18">
        <f>IF($Z960="","",IF(AND(DATE($AD960,6,1)&gt;=$AE960,DATE($AD960,6,1)&lt;=$AF960),ROUND($AG960,2),0))</f>
        <v/>
      </c>
      <c r="P960" s="18">
        <f>IF($Z960="","",IF(AND(DATE($AD960,7,1)&gt;=$AE960,DATE($AD960,7,1)&lt;=$AF960),ROUND($AG960,2),0))</f>
        <v/>
      </c>
      <c r="Q960" s="18">
        <f>IF($Z960="","",IF(AND(DATE($AD960,8,1)&gt;=$AE960,DATE($AD960,8,1)&lt;=$AF960),ROUND($AG960,2),0))</f>
        <v/>
      </c>
      <c r="R960" s="18">
        <f>IF($Z960="","",IF(AND(DATE($AD960,9,1)&gt;=$AE960,DATE($AD960,9,1)&lt;=$AF960),ROUND($AG960,2),0))</f>
        <v/>
      </c>
      <c r="S960" s="18">
        <f>IF($Z960="","",IF(AND(DATE($AD960,10,1)&gt;=$AE960,DATE($AD960,10,1)&lt;=$AF960),ROUND($AG960,2),0))</f>
        <v/>
      </c>
      <c r="T960" s="18">
        <f>IF($Z960="","",IF(AND(DATE($AD960,11,1)&gt;=$AE960,DATE($AD960,11,1)&lt;=$AF960),ROUND($AG960,2),0))</f>
        <v/>
      </c>
      <c r="U960" s="18">
        <f>IF($Z960="","",IF(AND(DATE($AD960,12,1)&gt;=$AE960,DATE($AD960,12,1)&lt;=$AF960),ROUND($AG960,2),0))</f>
        <v/>
      </c>
      <c r="V960" s="7">
        <f>IF($Z960="C","Generated from "&amp;INDEX(Contracts!$A$2:$A$151,$AB960),IF($Z960="A","Generated from "&amp;INDEX(Fixed_Assets!$A$2:$A$201,$AB960),IF($Z960="F","Generated from "&amp;INDEX(FTE_Allocation!$A$2:$A$201,$AB960),"")))</f>
        <v/>
      </c>
      <c r="X960" s="19">
        <f>IF($Z960="","",SUM(J960:U960))</f>
        <v/>
      </c>
      <c r="Y960" s="20">
        <f>ROW()-1</f>
        <v/>
      </c>
      <c r="Z960" s="20">
        <f>IF($Y960&lt;=Settings!$B$4*3,"C",IF($Y960&lt;=(Settings!$B$4+Settings!$B$5)*3,"A",IF($Y960&lt;=(Settings!$B$4+Settings!$B$5+Settings!$B$6)*3,"F","")))</f>
        <v/>
      </c>
      <c r="AA960" s="20">
        <f>IF($Z960="C",$Y960,IF($Z960="A",$Y960-Settings!$B$4*3,IF($Z960="F",$Y960-(Settings!$B$4+Settings!$B$5)*3,"")))</f>
        <v/>
      </c>
      <c r="AB960" s="20">
        <f>IF($Z960="","",INT(($AA960-1)/3)+1)</f>
        <v/>
      </c>
      <c r="AC960" s="20">
        <f>IF($Z960="","",MOD($AA960-1,3)+1)</f>
        <v/>
      </c>
      <c r="AD960" s="20">
        <f>IF($Z960="","",Settings!$B$2+$AC960-1)</f>
        <v/>
      </c>
      <c r="AE960" s="21">
        <f>IF($Z960="C",DATE(YEAR(INDEX(Contracts!$J$2:$J$151,$AB960)),MONTH(INDEX(Contracts!$J$2:$J$151,$AB960)),1),IF($Z960="A",DATE(YEAR(INDEX(Fixed_Assets!$G$2:$G$201,$AB960)),MONTH(INDEX(Fixed_Assets!$G$2:$G$201,$AB960)),1),IF($Z960="F",DATE(YEAR(MAX(N(INDEX(Workforce!$I$2:$I$151,MATCH(INDEX(FTE_Allocation!$A$2:$A$201,$AB960),Workforce!$A$2:$A$151,0))),N(INDEX(FTE_Allocation!$I$2:$I$201,$AB960)))),MONTH(MAX(N(INDEX(Workforce!$I$2:$I$151,MATCH(INDEX(FTE_Allocation!$A$2:$A$201,$AB960),Workforce!$A$2:$A$151,0))),N(INDEX(FTE_Allocation!$I$2:$I$201,$AB960)))),1),"")))</f>
        <v/>
      </c>
      <c r="AF960" s="21">
        <f>IF($Z960="C",IF(INDEX(Contracts!$I$2:$I$151,$AB960)="PREPAID",EDATE(DATE(YEAR(INDEX(Contracts!$J$2:$J$151,$AB960)),MONTH(INDEX(Contracts!$J$2:$J$151,$AB960)),1),IF(INDEX(Contracts!$N$2:$N$151,$AB960)="",12,INDEX(Contracts!$N$2:$N$151,$AB960))-1),IF(INDEX(Contracts!$I$2:$I$151,$AB960)="MONTHLY",IF(INDEX(Contracts!$K$2:$K$151,$AB960)="",2958101,INDEX(Contracts!$K$2:$K$151,$AB960)),0)),IF($Z960="A",EDATE(DATE(YEAR(INDEX(Fixed_Assets!$G$2:$G$201,$AB960)),MONTH(INDEX(Fixed_Assets!$G$2:$G$201,$AB960)),1),INDEX(Fixed_Assets!$J$2:$J$201,$AB960)-1),IF($Z960="F",MIN(IF(INDEX(Workforce!$J$2:$J$151,MATCH(INDEX(FTE_Allocation!$A$2:$A$201,$AB960),Workforce!$A$2:$A$151,0))="",2958101,INDEX(Workforce!$J$2:$J$151,MATCH(INDEX(FTE_Allocation!$A$2:$A$201,$AB960),Workforce!$A$2:$A$151,0))),IF(INDEX(FTE_Allocation!$J$2:$J$201,$AB960)="",2958101,INDEX(FTE_Allocation!$J$2:$J$201,$AB960))),"")))</f>
        <v/>
      </c>
      <c r="AG960" s="19">
        <f>IF($Z960="C",IF(INDEX(Contracts!$I$2:$I$151,$AB960)="PREPAID",INDEX(Contracts!$M$2:$M$151,$AB960)/IF(INDEX(Contracts!$N$2:$N$151,$AB960)="",12,INDEX(Contracts!$N$2:$N$151,$AB960)),IF(INDEX(Contracts!$I$2:$I$151,$AB960)="MONTHLY",INDEX(Contracts!$M$2:$M$151,$AB960),0))*(1-N(INDEX(Contracts!$O$2:$O$151,$AB960))),IF($Z960="A",INDEX(Fixed_Assets!$H$2:$H$201,$AB960)/INDEX(Fixed_Assets!$J$2:$J$201,$AB960),IF($Z960="F",INDEX(Workforce!$F$2:$F$151,MATCH(INDEX(FTE_Allocation!$A$2:$A$201,$AB960),Workforce!$A$2:$A$151,0))*N(INDEX(FTE_Allocation!$F$2:$H$201,$AB960,$AC960)),"")))</f>
        <v/>
      </c>
    </row>
    <row r="961">
      <c r="A961" s="7">
        <f>IF($Z961="","",$AD961)</f>
        <v/>
      </c>
      <c r="B961" s="7">
        <f>IF($Z961="C",INDEX(Contracts!$D$2:$D$151,$AB961)&amp;"",IF($Z961="A",INDEX(Fixed_Assets!$C$2:$C$201,$AB961)&amp;"",IF($Z961="F",INDEX(Workforce!$B$2:$B$151,MATCH(INDEX(FTE_Allocation!$A$2:$A$201,$AB961),Workforce!$A$2:$A$151,0))&amp;"","")))</f>
        <v/>
      </c>
      <c r="C961" s="7">
        <f>IF($Z961="C",INDEX(Contracts!$E$2:$E$151,$AB961)&amp;"",IF($Z961="A",INDEX(Fixed_Assets!$D$2:$D$201,$AB961)&amp;"",IF($Z961="F",INDEX(FTE_Allocation!$C$2:$C$201,$AB961)&amp;"","")))</f>
        <v/>
      </c>
      <c r="D961" s="7">
        <f>IF($Z961="C",INDEX(Contracts!$B$2:$B$151,$AB961)&amp;"",IF($Z961="A",INDEX(Fixed_Assets!$B$2:$B$201,$AB961)&amp;"",IF($Z961="F",INDEX(FTE_Allocation!$B$2:$B$201,$AB961)&amp;"","")))</f>
        <v/>
      </c>
      <c r="E961" s="7">
        <f>IF($Z961="C",INDEX(Contracts!$P$2:$P$151,$AB961)&amp;"",IF($Z961="A",INDEX(Fixed_Assets!$K$2:$K$201,$AB961)&amp;"",IF($Z961="F",IF(INDEX(FTE_Allocation!$D$2:$D$201,$AB961)="PROJECT",IFERROR(INDEX(Projects!$D:$D,MATCH(INDEX(FTE_Allocation!$E$2:$E$201,$AB961),Projects!$A:$A,0))&amp;"","#PROJECT?"),INDEX(FTE_Allocation!$E$2:$E$201,$AB961)&amp;""),"")))</f>
        <v/>
      </c>
      <c r="F961" s="7">
        <f>IF($Z961="C",INDEX(Contracts!$Q$2:$Q$151,$AB961)&amp;"",IF($Z961="A",INDEX(Fixed_Assets!$L$2:$L$201,$AB961)&amp;"",IF($Z961="F",INDEX(Workforce!$K$2:$K$151,MATCH(INDEX(FTE_Allocation!$A$2:$A$201,$AB961),Workforce!$A$2:$A$151,0))&amp;"","")))</f>
        <v/>
      </c>
      <c r="G961" s="7">
        <f>IF($Z961="C",INDEX(Contracts!$F$2:$F$151,$AB961)&amp;" / "&amp;INDEX(Contracts!$G$2:$G$151,$AB961),IF($Z961="A",INDEX(Fixed_Assets!$E$2:$E$201,$AB961)&amp;"",IF($Z961="F","Personnel "&amp;INDEX(FTE_Allocation!$A$2:$A$201,$AB961)&amp;IF(INDEX(FTE_Allocation!$D$2:$D$201,$AB961)="PROJECT"," ("&amp;INDEX(FTE_Allocation!$E$2:$E$201,$AB961)&amp;")",""),"")))</f>
        <v/>
      </c>
      <c r="H961" s="7">
        <f>IF($Z961="C","CONTRACT",IF($Z961="A","ASSET",IF($Z961="F","WORKFORCE","")))</f>
        <v/>
      </c>
      <c r="I961" s="7">
        <f>IF($Z961="C",INDEX(Contracts!$L$2:$L$151,$AB961)&amp;"",IF($Z961="A",INDEX(Fixed_Assets!$I$2:$I$201,$AB961)&amp;"",IF($Z961="F",INDEX(Workforce!$G$2:$G$151,MATCH(INDEX(FTE_Allocation!$A$2:$A$201,$AB961),Workforce!$A$2:$A$151,0))&amp;"","")))</f>
        <v/>
      </c>
      <c r="J961" s="18">
        <f>IF($Z961="","",IF(AND(DATE($AD961,1,1)&gt;=$AE961,DATE($AD961,1,1)&lt;=$AF961),ROUND($AG961,2),0))</f>
        <v/>
      </c>
      <c r="K961" s="18">
        <f>IF($Z961="","",IF(AND(DATE($AD961,2,1)&gt;=$AE961,DATE($AD961,2,1)&lt;=$AF961),ROUND($AG961,2),0))</f>
        <v/>
      </c>
      <c r="L961" s="18">
        <f>IF($Z961="","",IF(AND(DATE($AD961,3,1)&gt;=$AE961,DATE($AD961,3,1)&lt;=$AF961),ROUND($AG961,2),0))</f>
        <v/>
      </c>
      <c r="M961" s="18">
        <f>IF($Z961="","",IF(AND(DATE($AD961,4,1)&gt;=$AE961,DATE($AD961,4,1)&lt;=$AF961),ROUND($AG961,2),0))</f>
        <v/>
      </c>
      <c r="N961" s="18">
        <f>IF($Z961="","",IF(AND(DATE($AD961,5,1)&gt;=$AE961,DATE($AD961,5,1)&lt;=$AF961),ROUND($AG961,2),0))</f>
        <v/>
      </c>
      <c r="O961" s="18">
        <f>IF($Z961="","",IF(AND(DATE($AD961,6,1)&gt;=$AE961,DATE($AD961,6,1)&lt;=$AF961),ROUND($AG961,2),0))</f>
        <v/>
      </c>
      <c r="P961" s="18">
        <f>IF($Z961="","",IF(AND(DATE($AD961,7,1)&gt;=$AE961,DATE($AD961,7,1)&lt;=$AF961),ROUND($AG961,2),0))</f>
        <v/>
      </c>
      <c r="Q961" s="18">
        <f>IF($Z961="","",IF(AND(DATE($AD961,8,1)&gt;=$AE961,DATE($AD961,8,1)&lt;=$AF961),ROUND($AG961,2),0))</f>
        <v/>
      </c>
      <c r="R961" s="18">
        <f>IF($Z961="","",IF(AND(DATE($AD961,9,1)&gt;=$AE961,DATE($AD961,9,1)&lt;=$AF961),ROUND($AG961,2),0))</f>
        <v/>
      </c>
      <c r="S961" s="18">
        <f>IF($Z961="","",IF(AND(DATE($AD961,10,1)&gt;=$AE961,DATE($AD961,10,1)&lt;=$AF961),ROUND($AG961,2),0))</f>
        <v/>
      </c>
      <c r="T961" s="18">
        <f>IF($Z961="","",IF(AND(DATE($AD961,11,1)&gt;=$AE961,DATE($AD961,11,1)&lt;=$AF961),ROUND($AG961,2),0))</f>
        <v/>
      </c>
      <c r="U961" s="18">
        <f>IF($Z961="","",IF(AND(DATE($AD961,12,1)&gt;=$AE961,DATE($AD961,12,1)&lt;=$AF961),ROUND($AG961,2),0))</f>
        <v/>
      </c>
      <c r="V961" s="7">
        <f>IF($Z961="C","Generated from "&amp;INDEX(Contracts!$A$2:$A$151,$AB961),IF($Z961="A","Generated from "&amp;INDEX(Fixed_Assets!$A$2:$A$201,$AB961),IF($Z961="F","Generated from "&amp;INDEX(FTE_Allocation!$A$2:$A$201,$AB961),"")))</f>
        <v/>
      </c>
      <c r="X961" s="19">
        <f>IF($Z961="","",SUM(J961:U961))</f>
        <v/>
      </c>
      <c r="Y961" s="20">
        <f>ROW()-1</f>
        <v/>
      </c>
      <c r="Z961" s="20">
        <f>IF($Y961&lt;=Settings!$B$4*3,"C",IF($Y961&lt;=(Settings!$B$4+Settings!$B$5)*3,"A",IF($Y961&lt;=(Settings!$B$4+Settings!$B$5+Settings!$B$6)*3,"F","")))</f>
        <v/>
      </c>
      <c r="AA961" s="20">
        <f>IF($Z961="C",$Y961,IF($Z961="A",$Y961-Settings!$B$4*3,IF($Z961="F",$Y961-(Settings!$B$4+Settings!$B$5)*3,"")))</f>
        <v/>
      </c>
      <c r="AB961" s="20">
        <f>IF($Z961="","",INT(($AA961-1)/3)+1)</f>
        <v/>
      </c>
      <c r="AC961" s="20">
        <f>IF($Z961="","",MOD($AA961-1,3)+1)</f>
        <v/>
      </c>
      <c r="AD961" s="20">
        <f>IF($Z961="","",Settings!$B$2+$AC961-1)</f>
        <v/>
      </c>
      <c r="AE961" s="21">
        <f>IF($Z961="C",DATE(YEAR(INDEX(Contracts!$J$2:$J$151,$AB961)),MONTH(INDEX(Contracts!$J$2:$J$151,$AB961)),1),IF($Z961="A",DATE(YEAR(INDEX(Fixed_Assets!$G$2:$G$201,$AB961)),MONTH(INDEX(Fixed_Assets!$G$2:$G$201,$AB961)),1),IF($Z961="F",DATE(YEAR(MAX(N(INDEX(Workforce!$I$2:$I$151,MATCH(INDEX(FTE_Allocation!$A$2:$A$201,$AB961),Workforce!$A$2:$A$151,0))),N(INDEX(FTE_Allocation!$I$2:$I$201,$AB961)))),MONTH(MAX(N(INDEX(Workforce!$I$2:$I$151,MATCH(INDEX(FTE_Allocation!$A$2:$A$201,$AB961),Workforce!$A$2:$A$151,0))),N(INDEX(FTE_Allocation!$I$2:$I$201,$AB961)))),1),"")))</f>
        <v/>
      </c>
      <c r="AF961" s="21">
        <f>IF($Z961="C",IF(INDEX(Contracts!$I$2:$I$151,$AB961)="PREPAID",EDATE(DATE(YEAR(INDEX(Contracts!$J$2:$J$151,$AB961)),MONTH(INDEX(Contracts!$J$2:$J$151,$AB961)),1),IF(INDEX(Contracts!$N$2:$N$151,$AB961)="",12,INDEX(Contracts!$N$2:$N$151,$AB961))-1),IF(INDEX(Contracts!$I$2:$I$151,$AB961)="MONTHLY",IF(INDEX(Contracts!$K$2:$K$151,$AB961)="",2958101,INDEX(Contracts!$K$2:$K$151,$AB961)),0)),IF($Z961="A",EDATE(DATE(YEAR(INDEX(Fixed_Assets!$G$2:$G$201,$AB961)),MONTH(INDEX(Fixed_Assets!$G$2:$G$201,$AB961)),1),INDEX(Fixed_Assets!$J$2:$J$201,$AB961)-1),IF($Z961="F",MIN(IF(INDEX(Workforce!$J$2:$J$151,MATCH(INDEX(FTE_Allocation!$A$2:$A$201,$AB961),Workforce!$A$2:$A$151,0))="",2958101,INDEX(Workforce!$J$2:$J$151,MATCH(INDEX(FTE_Allocation!$A$2:$A$201,$AB961),Workforce!$A$2:$A$151,0))),IF(INDEX(FTE_Allocation!$J$2:$J$201,$AB961)="",2958101,INDEX(FTE_Allocation!$J$2:$J$201,$AB961))),"")))</f>
        <v/>
      </c>
      <c r="AG961" s="19">
        <f>IF($Z961="C",IF(INDEX(Contracts!$I$2:$I$151,$AB961)="PREPAID",INDEX(Contracts!$M$2:$M$151,$AB961)/IF(INDEX(Contracts!$N$2:$N$151,$AB961)="",12,INDEX(Contracts!$N$2:$N$151,$AB961)),IF(INDEX(Contracts!$I$2:$I$151,$AB961)="MONTHLY",INDEX(Contracts!$M$2:$M$151,$AB961),0))*(1-N(INDEX(Contracts!$O$2:$O$151,$AB961))),IF($Z961="A",INDEX(Fixed_Assets!$H$2:$H$201,$AB961)/INDEX(Fixed_Assets!$J$2:$J$201,$AB961),IF($Z961="F",INDEX(Workforce!$F$2:$F$151,MATCH(INDEX(FTE_Allocation!$A$2:$A$201,$AB961),Workforce!$A$2:$A$151,0))*N(INDEX(FTE_Allocation!$F$2:$H$201,$AB961,$AC961)),"")))</f>
        <v/>
      </c>
    </row>
    <row r="962">
      <c r="A962" s="7">
        <f>IF($Z962="","",$AD962)</f>
        <v/>
      </c>
      <c r="B962" s="7">
        <f>IF($Z962="C",INDEX(Contracts!$D$2:$D$151,$AB962)&amp;"",IF($Z962="A",INDEX(Fixed_Assets!$C$2:$C$201,$AB962)&amp;"",IF($Z962="F",INDEX(Workforce!$B$2:$B$151,MATCH(INDEX(FTE_Allocation!$A$2:$A$201,$AB962),Workforce!$A$2:$A$151,0))&amp;"","")))</f>
        <v/>
      </c>
      <c r="C962" s="7">
        <f>IF($Z962="C",INDEX(Contracts!$E$2:$E$151,$AB962)&amp;"",IF($Z962="A",INDEX(Fixed_Assets!$D$2:$D$201,$AB962)&amp;"",IF($Z962="F",INDEX(FTE_Allocation!$C$2:$C$201,$AB962)&amp;"","")))</f>
        <v/>
      </c>
      <c r="D962" s="7">
        <f>IF($Z962="C",INDEX(Contracts!$B$2:$B$151,$AB962)&amp;"",IF($Z962="A",INDEX(Fixed_Assets!$B$2:$B$201,$AB962)&amp;"",IF($Z962="F",INDEX(FTE_Allocation!$B$2:$B$201,$AB962)&amp;"","")))</f>
        <v/>
      </c>
      <c r="E962" s="7">
        <f>IF($Z962="C",INDEX(Contracts!$P$2:$P$151,$AB962)&amp;"",IF($Z962="A",INDEX(Fixed_Assets!$K$2:$K$201,$AB962)&amp;"",IF($Z962="F",IF(INDEX(FTE_Allocation!$D$2:$D$201,$AB962)="PROJECT",IFERROR(INDEX(Projects!$D:$D,MATCH(INDEX(FTE_Allocation!$E$2:$E$201,$AB962),Projects!$A:$A,0))&amp;"","#PROJECT?"),INDEX(FTE_Allocation!$E$2:$E$201,$AB962)&amp;""),"")))</f>
        <v/>
      </c>
      <c r="F962" s="7">
        <f>IF($Z962="C",INDEX(Contracts!$Q$2:$Q$151,$AB962)&amp;"",IF($Z962="A",INDEX(Fixed_Assets!$L$2:$L$201,$AB962)&amp;"",IF($Z962="F",INDEX(Workforce!$K$2:$K$151,MATCH(INDEX(FTE_Allocation!$A$2:$A$201,$AB962),Workforce!$A$2:$A$151,0))&amp;"","")))</f>
        <v/>
      </c>
      <c r="G962" s="7">
        <f>IF($Z962="C",INDEX(Contracts!$F$2:$F$151,$AB962)&amp;" / "&amp;INDEX(Contracts!$G$2:$G$151,$AB962),IF($Z962="A",INDEX(Fixed_Assets!$E$2:$E$201,$AB962)&amp;"",IF($Z962="F","Personnel "&amp;INDEX(FTE_Allocation!$A$2:$A$201,$AB962)&amp;IF(INDEX(FTE_Allocation!$D$2:$D$201,$AB962)="PROJECT"," ("&amp;INDEX(FTE_Allocation!$E$2:$E$201,$AB962)&amp;")",""),"")))</f>
        <v/>
      </c>
      <c r="H962" s="7">
        <f>IF($Z962="C","CONTRACT",IF($Z962="A","ASSET",IF($Z962="F","WORKFORCE","")))</f>
        <v/>
      </c>
      <c r="I962" s="7">
        <f>IF($Z962="C",INDEX(Contracts!$L$2:$L$151,$AB962)&amp;"",IF($Z962="A",INDEX(Fixed_Assets!$I$2:$I$201,$AB962)&amp;"",IF($Z962="F",INDEX(Workforce!$G$2:$G$151,MATCH(INDEX(FTE_Allocation!$A$2:$A$201,$AB962),Workforce!$A$2:$A$151,0))&amp;"","")))</f>
        <v/>
      </c>
      <c r="J962" s="18">
        <f>IF($Z962="","",IF(AND(DATE($AD962,1,1)&gt;=$AE962,DATE($AD962,1,1)&lt;=$AF962),ROUND($AG962,2),0))</f>
        <v/>
      </c>
      <c r="K962" s="18">
        <f>IF($Z962="","",IF(AND(DATE($AD962,2,1)&gt;=$AE962,DATE($AD962,2,1)&lt;=$AF962),ROUND($AG962,2),0))</f>
        <v/>
      </c>
      <c r="L962" s="18">
        <f>IF($Z962="","",IF(AND(DATE($AD962,3,1)&gt;=$AE962,DATE($AD962,3,1)&lt;=$AF962),ROUND($AG962,2),0))</f>
        <v/>
      </c>
      <c r="M962" s="18">
        <f>IF($Z962="","",IF(AND(DATE($AD962,4,1)&gt;=$AE962,DATE($AD962,4,1)&lt;=$AF962),ROUND($AG962,2),0))</f>
        <v/>
      </c>
      <c r="N962" s="18">
        <f>IF($Z962="","",IF(AND(DATE($AD962,5,1)&gt;=$AE962,DATE($AD962,5,1)&lt;=$AF962),ROUND($AG962,2),0))</f>
        <v/>
      </c>
      <c r="O962" s="18">
        <f>IF($Z962="","",IF(AND(DATE($AD962,6,1)&gt;=$AE962,DATE($AD962,6,1)&lt;=$AF962),ROUND($AG962,2),0))</f>
        <v/>
      </c>
      <c r="P962" s="18">
        <f>IF($Z962="","",IF(AND(DATE($AD962,7,1)&gt;=$AE962,DATE($AD962,7,1)&lt;=$AF962),ROUND($AG962,2),0))</f>
        <v/>
      </c>
      <c r="Q962" s="18">
        <f>IF($Z962="","",IF(AND(DATE($AD962,8,1)&gt;=$AE962,DATE($AD962,8,1)&lt;=$AF962),ROUND($AG962,2),0))</f>
        <v/>
      </c>
      <c r="R962" s="18">
        <f>IF($Z962="","",IF(AND(DATE($AD962,9,1)&gt;=$AE962,DATE($AD962,9,1)&lt;=$AF962),ROUND($AG962,2),0))</f>
        <v/>
      </c>
      <c r="S962" s="18">
        <f>IF($Z962="","",IF(AND(DATE($AD962,10,1)&gt;=$AE962,DATE($AD962,10,1)&lt;=$AF962),ROUND($AG962,2),0))</f>
        <v/>
      </c>
      <c r="T962" s="18">
        <f>IF($Z962="","",IF(AND(DATE($AD962,11,1)&gt;=$AE962,DATE($AD962,11,1)&lt;=$AF962),ROUND($AG962,2),0))</f>
        <v/>
      </c>
      <c r="U962" s="18">
        <f>IF($Z962="","",IF(AND(DATE($AD962,12,1)&gt;=$AE962,DATE($AD962,12,1)&lt;=$AF962),ROUND($AG962,2),0))</f>
        <v/>
      </c>
      <c r="V962" s="7">
        <f>IF($Z962="C","Generated from "&amp;INDEX(Contracts!$A$2:$A$151,$AB962),IF($Z962="A","Generated from "&amp;INDEX(Fixed_Assets!$A$2:$A$201,$AB962),IF($Z962="F","Generated from "&amp;INDEX(FTE_Allocation!$A$2:$A$201,$AB962),"")))</f>
        <v/>
      </c>
      <c r="X962" s="19">
        <f>IF($Z962="","",SUM(J962:U962))</f>
        <v/>
      </c>
      <c r="Y962" s="20">
        <f>ROW()-1</f>
        <v/>
      </c>
      <c r="Z962" s="20">
        <f>IF($Y962&lt;=Settings!$B$4*3,"C",IF($Y962&lt;=(Settings!$B$4+Settings!$B$5)*3,"A",IF($Y962&lt;=(Settings!$B$4+Settings!$B$5+Settings!$B$6)*3,"F","")))</f>
        <v/>
      </c>
      <c r="AA962" s="20">
        <f>IF($Z962="C",$Y962,IF($Z962="A",$Y962-Settings!$B$4*3,IF($Z962="F",$Y962-(Settings!$B$4+Settings!$B$5)*3,"")))</f>
        <v/>
      </c>
      <c r="AB962" s="20">
        <f>IF($Z962="","",INT(($AA962-1)/3)+1)</f>
        <v/>
      </c>
      <c r="AC962" s="20">
        <f>IF($Z962="","",MOD($AA962-1,3)+1)</f>
        <v/>
      </c>
      <c r="AD962" s="20">
        <f>IF($Z962="","",Settings!$B$2+$AC962-1)</f>
        <v/>
      </c>
      <c r="AE962" s="21">
        <f>IF($Z962="C",DATE(YEAR(INDEX(Contracts!$J$2:$J$151,$AB962)),MONTH(INDEX(Contracts!$J$2:$J$151,$AB962)),1),IF($Z962="A",DATE(YEAR(INDEX(Fixed_Assets!$G$2:$G$201,$AB962)),MONTH(INDEX(Fixed_Assets!$G$2:$G$201,$AB962)),1),IF($Z962="F",DATE(YEAR(MAX(N(INDEX(Workforce!$I$2:$I$151,MATCH(INDEX(FTE_Allocation!$A$2:$A$201,$AB962),Workforce!$A$2:$A$151,0))),N(INDEX(FTE_Allocation!$I$2:$I$201,$AB962)))),MONTH(MAX(N(INDEX(Workforce!$I$2:$I$151,MATCH(INDEX(FTE_Allocation!$A$2:$A$201,$AB962),Workforce!$A$2:$A$151,0))),N(INDEX(FTE_Allocation!$I$2:$I$201,$AB962)))),1),"")))</f>
        <v/>
      </c>
      <c r="AF962" s="21">
        <f>IF($Z962="C",IF(INDEX(Contracts!$I$2:$I$151,$AB962)="PREPAID",EDATE(DATE(YEAR(INDEX(Contracts!$J$2:$J$151,$AB962)),MONTH(INDEX(Contracts!$J$2:$J$151,$AB962)),1),IF(INDEX(Contracts!$N$2:$N$151,$AB962)="",12,INDEX(Contracts!$N$2:$N$151,$AB962))-1),IF(INDEX(Contracts!$I$2:$I$151,$AB962)="MONTHLY",IF(INDEX(Contracts!$K$2:$K$151,$AB962)="",2958101,INDEX(Contracts!$K$2:$K$151,$AB962)),0)),IF($Z962="A",EDATE(DATE(YEAR(INDEX(Fixed_Assets!$G$2:$G$201,$AB962)),MONTH(INDEX(Fixed_Assets!$G$2:$G$201,$AB962)),1),INDEX(Fixed_Assets!$J$2:$J$201,$AB962)-1),IF($Z962="F",MIN(IF(INDEX(Workforce!$J$2:$J$151,MATCH(INDEX(FTE_Allocation!$A$2:$A$201,$AB962),Workforce!$A$2:$A$151,0))="",2958101,INDEX(Workforce!$J$2:$J$151,MATCH(INDEX(FTE_Allocation!$A$2:$A$201,$AB962),Workforce!$A$2:$A$151,0))),IF(INDEX(FTE_Allocation!$J$2:$J$201,$AB962)="",2958101,INDEX(FTE_Allocation!$J$2:$J$201,$AB962))),"")))</f>
        <v/>
      </c>
      <c r="AG962" s="19">
        <f>IF($Z962="C",IF(INDEX(Contracts!$I$2:$I$151,$AB962)="PREPAID",INDEX(Contracts!$M$2:$M$151,$AB962)/IF(INDEX(Contracts!$N$2:$N$151,$AB962)="",12,INDEX(Contracts!$N$2:$N$151,$AB962)),IF(INDEX(Contracts!$I$2:$I$151,$AB962)="MONTHLY",INDEX(Contracts!$M$2:$M$151,$AB962),0))*(1-N(INDEX(Contracts!$O$2:$O$151,$AB962))),IF($Z962="A",INDEX(Fixed_Assets!$H$2:$H$201,$AB962)/INDEX(Fixed_Assets!$J$2:$J$201,$AB962),IF($Z962="F",INDEX(Workforce!$F$2:$F$151,MATCH(INDEX(FTE_Allocation!$A$2:$A$201,$AB962),Workforce!$A$2:$A$151,0))*N(INDEX(FTE_Allocation!$F$2:$H$201,$AB962,$AC962)),"")))</f>
        <v/>
      </c>
    </row>
    <row r="963">
      <c r="A963" s="7">
        <f>IF($Z963="","",$AD963)</f>
        <v/>
      </c>
      <c r="B963" s="7">
        <f>IF($Z963="C",INDEX(Contracts!$D$2:$D$151,$AB963)&amp;"",IF($Z963="A",INDEX(Fixed_Assets!$C$2:$C$201,$AB963)&amp;"",IF($Z963="F",INDEX(Workforce!$B$2:$B$151,MATCH(INDEX(FTE_Allocation!$A$2:$A$201,$AB963),Workforce!$A$2:$A$151,0))&amp;"","")))</f>
        <v/>
      </c>
      <c r="C963" s="7">
        <f>IF($Z963="C",INDEX(Contracts!$E$2:$E$151,$AB963)&amp;"",IF($Z963="A",INDEX(Fixed_Assets!$D$2:$D$201,$AB963)&amp;"",IF($Z963="F",INDEX(FTE_Allocation!$C$2:$C$201,$AB963)&amp;"","")))</f>
        <v/>
      </c>
      <c r="D963" s="7">
        <f>IF($Z963="C",INDEX(Contracts!$B$2:$B$151,$AB963)&amp;"",IF($Z963="A",INDEX(Fixed_Assets!$B$2:$B$201,$AB963)&amp;"",IF($Z963="F",INDEX(FTE_Allocation!$B$2:$B$201,$AB963)&amp;"","")))</f>
        <v/>
      </c>
      <c r="E963" s="7">
        <f>IF($Z963="C",INDEX(Contracts!$P$2:$P$151,$AB963)&amp;"",IF($Z963="A",INDEX(Fixed_Assets!$K$2:$K$201,$AB963)&amp;"",IF($Z963="F",IF(INDEX(FTE_Allocation!$D$2:$D$201,$AB963)="PROJECT",IFERROR(INDEX(Projects!$D:$D,MATCH(INDEX(FTE_Allocation!$E$2:$E$201,$AB963),Projects!$A:$A,0))&amp;"","#PROJECT?"),INDEX(FTE_Allocation!$E$2:$E$201,$AB963)&amp;""),"")))</f>
        <v/>
      </c>
      <c r="F963" s="7">
        <f>IF($Z963="C",INDEX(Contracts!$Q$2:$Q$151,$AB963)&amp;"",IF($Z963="A",INDEX(Fixed_Assets!$L$2:$L$201,$AB963)&amp;"",IF($Z963="F",INDEX(Workforce!$K$2:$K$151,MATCH(INDEX(FTE_Allocation!$A$2:$A$201,$AB963),Workforce!$A$2:$A$151,0))&amp;"","")))</f>
        <v/>
      </c>
      <c r="G963" s="7">
        <f>IF($Z963="C",INDEX(Contracts!$F$2:$F$151,$AB963)&amp;" / "&amp;INDEX(Contracts!$G$2:$G$151,$AB963),IF($Z963="A",INDEX(Fixed_Assets!$E$2:$E$201,$AB963)&amp;"",IF($Z963="F","Personnel "&amp;INDEX(FTE_Allocation!$A$2:$A$201,$AB963)&amp;IF(INDEX(FTE_Allocation!$D$2:$D$201,$AB963)="PROJECT"," ("&amp;INDEX(FTE_Allocation!$E$2:$E$201,$AB963)&amp;")",""),"")))</f>
        <v/>
      </c>
      <c r="H963" s="7">
        <f>IF($Z963="C","CONTRACT",IF($Z963="A","ASSET",IF($Z963="F","WORKFORCE","")))</f>
        <v/>
      </c>
      <c r="I963" s="7">
        <f>IF($Z963="C",INDEX(Contracts!$L$2:$L$151,$AB963)&amp;"",IF($Z963="A",INDEX(Fixed_Assets!$I$2:$I$201,$AB963)&amp;"",IF($Z963="F",INDEX(Workforce!$G$2:$G$151,MATCH(INDEX(FTE_Allocation!$A$2:$A$201,$AB963),Workforce!$A$2:$A$151,0))&amp;"","")))</f>
        <v/>
      </c>
      <c r="J963" s="18">
        <f>IF($Z963="","",IF(AND(DATE($AD963,1,1)&gt;=$AE963,DATE($AD963,1,1)&lt;=$AF963),ROUND($AG963,2),0))</f>
        <v/>
      </c>
      <c r="K963" s="18">
        <f>IF($Z963="","",IF(AND(DATE($AD963,2,1)&gt;=$AE963,DATE($AD963,2,1)&lt;=$AF963),ROUND($AG963,2),0))</f>
        <v/>
      </c>
      <c r="L963" s="18">
        <f>IF($Z963="","",IF(AND(DATE($AD963,3,1)&gt;=$AE963,DATE($AD963,3,1)&lt;=$AF963),ROUND($AG963,2),0))</f>
        <v/>
      </c>
      <c r="M963" s="18">
        <f>IF($Z963="","",IF(AND(DATE($AD963,4,1)&gt;=$AE963,DATE($AD963,4,1)&lt;=$AF963),ROUND($AG963,2),0))</f>
        <v/>
      </c>
      <c r="N963" s="18">
        <f>IF($Z963="","",IF(AND(DATE($AD963,5,1)&gt;=$AE963,DATE($AD963,5,1)&lt;=$AF963),ROUND($AG963,2),0))</f>
        <v/>
      </c>
      <c r="O963" s="18">
        <f>IF($Z963="","",IF(AND(DATE($AD963,6,1)&gt;=$AE963,DATE($AD963,6,1)&lt;=$AF963),ROUND($AG963,2),0))</f>
        <v/>
      </c>
      <c r="P963" s="18">
        <f>IF($Z963="","",IF(AND(DATE($AD963,7,1)&gt;=$AE963,DATE($AD963,7,1)&lt;=$AF963),ROUND($AG963,2),0))</f>
        <v/>
      </c>
      <c r="Q963" s="18">
        <f>IF($Z963="","",IF(AND(DATE($AD963,8,1)&gt;=$AE963,DATE($AD963,8,1)&lt;=$AF963),ROUND($AG963,2),0))</f>
        <v/>
      </c>
      <c r="R963" s="18">
        <f>IF($Z963="","",IF(AND(DATE($AD963,9,1)&gt;=$AE963,DATE($AD963,9,1)&lt;=$AF963),ROUND($AG963,2),0))</f>
        <v/>
      </c>
      <c r="S963" s="18">
        <f>IF($Z963="","",IF(AND(DATE($AD963,10,1)&gt;=$AE963,DATE($AD963,10,1)&lt;=$AF963),ROUND($AG963,2),0))</f>
        <v/>
      </c>
      <c r="T963" s="18">
        <f>IF($Z963="","",IF(AND(DATE($AD963,11,1)&gt;=$AE963,DATE($AD963,11,1)&lt;=$AF963),ROUND($AG963,2),0))</f>
        <v/>
      </c>
      <c r="U963" s="18">
        <f>IF($Z963="","",IF(AND(DATE($AD963,12,1)&gt;=$AE963,DATE($AD963,12,1)&lt;=$AF963),ROUND($AG963,2),0))</f>
        <v/>
      </c>
      <c r="V963" s="7">
        <f>IF($Z963="C","Generated from "&amp;INDEX(Contracts!$A$2:$A$151,$AB963),IF($Z963="A","Generated from "&amp;INDEX(Fixed_Assets!$A$2:$A$201,$AB963),IF($Z963="F","Generated from "&amp;INDEX(FTE_Allocation!$A$2:$A$201,$AB963),"")))</f>
        <v/>
      </c>
      <c r="X963" s="19">
        <f>IF($Z963="","",SUM(J963:U963))</f>
        <v/>
      </c>
      <c r="Y963" s="20">
        <f>ROW()-1</f>
        <v/>
      </c>
      <c r="Z963" s="20">
        <f>IF($Y963&lt;=Settings!$B$4*3,"C",IF($Y963&lt;=(Settings!$B$4+Settings!$B$5)*3,"A",IF($Y963&lt;=(Settings!$B$4+Settings!$B$5+Settings!$B$6)*3,"F","")))</f>
        <v/>
      </c>
      <c r="AA963" s="20">
        <f>IF($Z963="C",$Y963,IF($Z963="A",$Y963-Settings!$B$4*3,IF($Z963="F",$Y963-(Settings!$B$4+Settings!$B$5)*3,"")))</f>
        <v/>
      </c>
      <c r="AB963" s="20">
        <f>IF($Z963="","",INT(($AA963-1)/3)+1)</f>
        <v/>
      </c>
      <c r="AC963" s="20">
        <f>IF($Z963="","",MOD($AA963-1,3)+1)</f>
        <v/>
      </c>
      <c r="AD963" s="20">
        <f>IF($Z963="","",Settings!$B$2+$AC963-1)</f>
        <v/>
      </c>
      <c r="AE963" s="21">
        <f>IF($Z963="C",DATE(YEAR(INDEX(Contracts!$J$2:$J$151,$AB963)),MONTH(INDEX(Contracts!$J$2:$J$151,$AB963)),1),IF($Z963="A",DATE(YEAR(INDEX(Fixed_Assets!$G$2:$G$201,$AB963)),MONTH(INDEX(Fixed_Assets!$G$2:$G$201,$AB963)),1),IF($Z963="F",DATE(YEAR(MAX(N(INDEX(Workforce!$I$2:$I$151,MATCH(INDEX(FTE_Allocation!$A$2:$A$201,$AB963),Workforce!$A$2:$A$151,0))),N(INDEX(FTE_Allocation!$I$2:$I$201,$AB963)))),MONTH(MAX(N(INDEX(Workforce!$I$2:$I$151,MATCH(INDEX(FTE_Allocation!$A$2:$A$201,$AB963),Workforce!$A$2:$A$151,0))),N(INDEX(FTE_Allocation!$I$2:$I$201,$AB963)))),1),"")))</f>
        <v/>
      </c>
      <c r="AF963" s="21">
        <f>IF($Z963="C",IF(INDEX(Contracts!$I$2:$I$151,$AB963)="PREPAID",EDATE(DATE(YEAR(INDEX(Contracts!$J$2:$J$151,$AB963)),MONTH(INDEX(Contracts!$J$2:$J$151,$AB963)),1),IF(INDEX(Contracts!$N$2:$N$151,$AB963)="",12,INDEX(Contracts!$N$2:$N$151,$AB963))-1),IF(INDEX(Contracts!$I$2:$I$151,$AB963)="MONTHLY",IF(INDEX(Contracts!$K$2:$K$151,$AB963)="",2958101,INDEX(Contracts!$K$2:$K$151,$AB963)),0)),IF($Z963="A",EDATE(DATE(YEAR(INDEX(Fixed_Assets!$G$2:$G$201,$AB963)),MONTH(INDEX(Fixed_Assets!$G$2:$G$201,$AB963)),1),INDEX(Fixed_Assets!$J$2:$J$201,$AB963)-1),IF($Z963="F",MIN(IF(INDEX(Workforce!$J$2:$J$151,MATCH(INDEX(FTE_Allocation!$A$2:$A$201,$AB963),Workforce!$A$2:$A$151,0))="",2958101,INDEX(Workforce!$J$2:$J$151,MATCH(INDEX(FTE_Allocation!$A$2:$A$201,$AB963),Workforce!$A$2:$A$151,0))),IF(INDEX(FTE_Allocation!$J$2:$J$201,$AB963)="",2958101,INDEX(FTE_Allocation!$J$2:$J$201,$AB963))),"")))</f>
        <v/>
      </c>
      <c r="AG963" s="19">
        <f>IF($Z963="C",IF(INDEX(Contracts!$I$2:$I$151,$AB963)="PREPAID",INDEX(Contracts!$M$2:$M$151,$AB963)/IF(INDEX(Contracts!$N$2:$N$151,$AB963)="",12,INDEX(Contracts!$N$2:$N$151,$AB963)),IF(INDEX(Contracts!$I$2:$I$151,$AB963)="MONTHLY",INDEX(Contracts!$M$2:$M$151,$AB963),0))*(1-N(INDEX(Contracts!$O$2:$O$151,$AB963))),IF($Z963="A",INDEX(Fixed_Assets!$H$2:$H$201,$AB963)/INDEX(Fixed_Assets!$J$2:$J$201,$AB963),IF($Z963="F",INDEX(Workforce!$F$2:$F$151,MATCH(INDEX(FTE_Allocation!$A$2:$A$201,$AB963),Workforce!$A$2:$A$151,0))*N(INDEX(FTE_Allocation!$F$2:$H$201,$AB963,$AC963)),"")))</f>
        <v/>
      </c>
    </row>
    <row r="964">
      <c r="A964" s="7">
        <f>IF($Z964="","",$AD964)</f>
        <v/>
      </c>
      <c r="B964" s="7">
        <f>IF($Z964="C",INDEX(Contracts!$D$2:$D$151,$AB964)&amp;"",IF($Z964="A",INDEX(Fixed_Assets!$C$2:$C$201,$AB964)&amp;"",IF($Z964="F",INDEX(Workforce!$B$2:$B$151,MATCH(INDEX(FTE_Allocation!$A$2:$A$201,$AB964),Workforce!$A$2:$A$151,0))&amp;"","")))</f>
        <v/>
      </c>
      <c r="C964" s="7">
        <f>IF($Z964="C",INDEX(Contracts!$E$2:$E$151,$AB964)&amp;"",IF($Z964="A",INDEX(Fixed_Assets!$D$2:$D$201,$AB964)&amp;"",IF($Z964="F",INDEX(FTE_Allocation!$C$2:$C$201,$AB964)&amp;"","")))</f>
        <v/>
      </c>
      <c r="D964" s="7">
        <f>IF($Z964="C",INDEX(Contracts!$B$2:$B$151,$AB964)&amp;"",IF($Z964="A",INDEX(Fixed_Assets!$B$2:$B$201,$AB964)&amp;"",IF($Z964="F",INDEX(FTE_Allocation!$B$2:$B$201,$AB964)&amp;"","")))</f>
        <v/>
      </c>
      <c r="E964" s="7">
        <f>IF($Z964="C",INDEX(Contracts!$P$2:$P$151,$AB964)&amp;"",IF($Z964="A",INDEX(Fixed_Assets!$K$2:$K$201,$AB964)&amp;"",IF($Z964="F",IF(INDEX(FTE_Allocation!$D$2:$D$201,$AB964)="PROJECT",IFERROR(INDEX(Projects!$D:$D,MATCH(INDEX(FTE_Allocation!$E$2:$E$201,$AB964),Projects!$A:$A,0))&amp;"","#PROJECT?"),INDEX(FTE_Allocation!$E$2:$E$201,$AB964)&amp;""),"")))</f>
        <v/>
      </c>
      <c r="F964" s="7">
        <f>IF($Z964="C",INDEX(Contracts!$Q$2:$Q$151,$AB964)&amp;"",IF($Z964="A",INDEX(Fixed_Assets!$L$2:$L$201,$AB964)&amp;"",IF($Z964="F",INDEX(Workforce!$K$2:$K$151,MATCH(INDEX(FTE_Allocation!$A$2:$A$201,$AB964),Workforce!$A$2:$A$151,0))&amp;"","")))</f>
        <v/>
      </c>
      <c r="G964" s="7">
        <f>IF($Z964="C",INDEX(Contracts!$F$2:$F$151,$AB964)&amp;" / "&amp;INDEX(Contracts!$G$2:$G$151,$AB964),IF($Z964="A",INDEX(Fixed_Assets!$E$2:$E$201,$AB964)&amp;"",IF($Z964="F","Personnel "&amp;INDEX(FTE_Allocation!$A$2:$A$201,$AB964)&amp;IF(INDEX(FTE_Allocation!$D$2:$D$201,$AB964)="PROJECT"," ("&amp;INDEX(FTE_Allocation!$E$2:$E$201,$AB964)&amp;")",""),"")))</f>
        <v/>
      </c>
      <c r="H964" s="7">
        <f>IF($Z964="C","CONTRACT",IF($Z964="A","ASSET",IF($Z964="F","WORKFORCE","")))</f>
        <v/>
      </c>
      <c r="I964" s="7">
        <f>IF($Z964="C",INDEX(Contracts!$L$2:$L$151,$AB964)&amp;"",IF($Z964="A",INDEX(Fixed_Assets!$I$2:$I$201,$AB964)&amp;"",IF($Z964="F",INDEX(Workforce!$G$2:$G$151,MATCH(INDEX(FTE_Allocation!$A$2:$A$201,$AB964),Workforce!$A$2:$A$151,0))&amp;"","")))</f>
        <v/>
      </c>
      <c r="J964" s="18">
        <f>IF($Z964="","",IF(AND(DATE($AD964,1,1)&gt;=$AE964,DATE($AD964,1,1)&lt;=$AF964),ROUND($AG964,2),0))</f>
        <v/>
      </c>
      <c r="K964" s="18">
        <f>IF($Z964="","",IF(AND(DATE($AD964,2,1)&gt;=$AE964,DATE($AD964,2,1)&lt;=$AF964),ROUND($AG964,2),0))</f>
        <v/>
      </c>
      <c r="L964" s="18">
        <f>IF($Z964="","",IF(AND(DATE($AD964,3,1)&gt;=$AE964,DATE($AD964,3,1)&lt;=$AF964),ROUND($AG964,2),0))</f>
        <v/>
      </c>
      <c r="M964" s="18">
        <f>IF($Z964="","",IF(AND(DATE($AD964,4,1)&gt;=$AE964,DATE($AD964,4,1)&lt;=$AF964),ROUND($AG964,2),0))</f>
        <v/>
      </c>
      <c r="N964" s="18">
        <f>IF($Z964="","",IF(AND(DATE($AD964,5,1)&gt;=$AE964,DATE($AD964,5,1)&lt;=$AF964),ROUND($AG964,2),0))</f>
        <v/>
      </c>
      <c r="O964" s="18">
        <f>IF($Z964="","",IF(AND(DATE($AD964,6,1)&gt;=$AE964,DATE($AD964,6,1)&lt;=$AF964),ROUND($AG964,2),0))</f>
        <v/>
      </c>
      <c r="P964" s="18">
        <f>IF($Z964="","",IF(AND(DATE($AD964,7,1)&gt;=$AE964,DATE($AD964,7,1)&lt;=$AF964),ROUND($AG964,2),0))</f>
        <v/>
      </c>
      <c r="Q964" s="18">
        <f>IF($Z964="","",IF(AND(DATE($AD964,8,1)&gt;=$AE964,DATE($AD964,8,1)&lt;=$AF964),ROUND($AG964,2),0))</f>
        <v/>
      </c>
      <c r="R964" s="18">
        <f>IF($Z964="","",IF(AND(DATE($AD964,9,1)&gt;=$AE964,DATE($AD964,9,1)&lt;=$AF964),ROUND($AG964,2),0))</f>
        <v/>
      </c>
      <c r="S964" s="18">
        <f>IF($Z964="","",IF(AND(DATE($AD964,10,1)&gt;=$AE964,DATE($AD964,10,1)&lt;=$AF964),ROUND($AG964,2),0))</f>
        <v/>
      </c>
      <c r="T964" s="18">
        <f>IF($Z964="","",IF(AND(DATE($AD964,11,1)&gt;=$AE964,DATE($AD964,11,1)&lt;=$AF964),ROUND($AG964,2),0))</f>
        <v/>
      </c>
      <c r="U964" s="18">
        <f>IF($Z964="","",IF(AND(DATE($AD964,12,1)&gt;=$AE964,DATE($AD964,12,1)&lt;=$AF964),ROUND($AG964,2),0))</f>
        <v/>
      </c>
      <c r="V964" s="7">
        <f>IF($Z964="C","Generated from "&amp;INDEX(Contracts!$A$2:$A$151,$AB964),IF($Z964="A","Generated from "&amp;INDEX(Fixed_Assets!$A$2:$A$201,$AB964),IF($Z964="F","Generated from "&amp;INDEX(FTE_Allocation!$A$2:$A$201,$AB964),"")))</f>
        <v/>
      </c>
      <c r="X964" s="19">
        <f>IF($Z964="","",SUM(J964:U964))</f>
        <v/>
      </c>
      <c r="Y964" s="20">
        <f>ROW()-1</f>
        <v/>
      </c>
      <c r="Z964" s="20">
        <f>IF($Y964&lt;=Settings!$B$4*3,"C",IF($Y964&lt;=(Settings!$B$4+Settings!$B$5)*3,"A",IF($Y964&lt;=(Settings!$B$4+Settings!$B$5+Settings!$B$6)*3,"F","")))</f>
        <v/>
      </c>
      <c r="AA964" s="20">
        <f>IF($Z964="C",$Y964,IF($Z964="A",$Y964-Settings!$B$4*3,IF($Z964="F",$Y964-(Settings!$B$4+Settings!$B$5)*3,"")))</f>
        <v/>
      </c>
      <c r="AB964" s="20">
        <f>IF($Z964="","",INT(($AA964-1)/3)+1)</f>
        <v/>
      </c>
      <c r="AC964" s="20">
        <f>IF($Z964="","",MOD($AA964-1,3)+1)</f>
        <v/>
      </c>
      <c r="AD964" s="20">
        <f>IF($Z964="","",Settings!$B$2+$AC964-1)</f>
        <v/>
      </c>
      <c r="AE964" s="21">
        <f>IF($Z964="C",DATE(YEAR(INDEX(Contracts!$J$2:$J$151,$AB964)),MONTH(INDEX(Contracts!$J$2:$J$151,$AB964)),1),IF($Z964="A",DATE(YEAR(INDEX(Fixed_Assets!$G$2:$G$201,$AB964)),MONTH(INDEX(Fixed_Assets!$G$2:$G$201,$AB964)),1),IF($Z964="F",DATE(YEAR(MAX(N(INDEX(Workforce!$I$2:$I$151,MATCH(INDEX(FTE_Allocation!$A$2:$A$201,$AB964),Workforce!$A$2:$A$151,0))),N(INDEX(FTE_Allocation!$I$2:$I$201,$AB964)))),MONTH(MAX(N(INDEX(Workforce!$I$2:$I$151,MATCH(INDEX(FTE_Allocation!$A$2:$A$201,$AB964),Workforce!$A$2:$A$151,0))),N(INDEX(FTE_Allocation!$I$2:$I$201,$AB964)))),1),"")))</f>
        <v/>
      </c>
      <c r="AF964" s="21">
        <f>IF($Z964="C",IF(INDEX(Contracts!$I$2:$I$151,$AB964)="PREPAID",EDATE(DATE(YEAR(INDEX(Contracts!$J$2:$J$151,$AB964)),MONTH(INDEX(Contracts!$J$2:$J$151,$AB964)),1),IF(INDEX(Contracts!$N$2:$N$151,$AB964)="",12,INDEX(Contracts!$N$2:$N$151,$AB964))-1),IF(INDEX(Contracts!$I$2:$I$151,$AB964)="MONTHLY",IF(INDEX(Contracts!$K$2:$K$151,$AB964)="",2958101,INDEX(Contracts!$K$2:$K$151,$AB964)),0)),IF($Z964="A",EDATE(DATE(YEAR(INDEX(Fixed_Assets!$G$2:$G$201,$AB964)),MONTH(INDEX(Fixed_Assets!$G$2:$G$201,$AB964)),1),INDEX(Fixed_Assets!$J$2:$J$201,$AB964)-1),IF($Z964="F",MIN(IF(INDEX(Workforce!$J$2:$J$151,MATCH(INDEX(FTE_Allocation!$A$2:$A$201,$AB964),Workforce!$A$2:$A$151,0))="",2958101,INDEX(Workforce!$J$2:$J$151,MATCH(INDEX(FTE_Allocation!$A$2:$A$201,$AB964),Workforce!$A$2:$A$151,0))),IF(INDEX(FTE_Allocation!$J$2:$J$201,$AB964)="",2958101,INDEX(FTE_Allocation!$J$2:$J$201,$AB964))),"")))</f>
        <v/>
      </c>
      <c r="AG964" s="19">
        <f>IF($Z964="C",IF(INDEX(Contracts!$I$2:$I$151,$AB964)="PREPAID",INDEX(Contracts!$M$2:$M$151,$AB964)/IF(INDEX(Contracts!$N$2:$N$151,$AB964)="",12,INDEX(Contracts!$N$2:$N$151,$AB964)),IF(INDEX(Contracts!$I$2:$I$151,$AB964)="MONTHLY",INDEX(Contracts!$M$2:$M$151,$AB964),0))*(1-N(INDEX(Contracts!$O$2:$O$151,$AB964))),IF($Z964="A",INDEX(Fixed_Assets!$H$2:$H$201,$AB964)/INDEX(Fixed_Assets!$J$2:$J$201,$AB964),IF($Z964="F",INDEX(Workforce!$F$2:$F$151,MATCH(INDEX(FTE_Allocation!$A$2:$A$201,$AB964),Workforce!$A$2:$A$151,0))*N(INDEX(FTE_Allocation!$F$2:$H$201,$AB964,$AC964)),"")))</f>
        <v/>
      </c>
    </row>
    <row r="965">
      <c r="A965" s="7">
        <f>IF($Z965="","",$AD965)</f>
        <v/>
      </c>
      <c r="B965" s="7">
        <f>IF($Z965="C",INDEX(Contracts!$D$2:$D$151,$AB965)&amp;"",IF($Z965="A",INDEX(Fixed_Assets!$C$2:$C$201,$AB965)&amp;"",IF($Z965="F",INDEX(Workforce!$B$2:$B$151,MATCH(INDEX(FTE_Allocation!$A$2:$A$201,$AB965),Workforce!$A$2:$A$151,0))&amp;"","")))</f>
        <v/>
      </c>
      <c r="C965" s="7">
        <f>IF($Z965="C",INDEX(Contracts!$E$2:$E$151,$AB965)&amp;"",IF($Z965="A",INDEX(Fixed_Assets!$D$2:$D$201,$AB965)&amp;"",IF($Z965="F",INDEX(FTE_Allocation!$C$2:$C$201,$AB965)&amp;"","")))</f>
        <v/>
      </c>
      <c r="D965" s="7">
        <f>IF($Z965="C",INDEX(Contracts!$B$2:$B$151,$AB965)&amp;"",IF($Z965="A",INDEX(Fixed_Assets!$B$2:$B$201,$AB965)&amp;"",IF($Z965="F",INDEX(FTE_Allocation!$B$2:$B$201,$AB965)&amp;"","")))</f>
        <v/>
      </c>
      <c r="E965" s="7">
        <f>IF($Z965="C",INDEX(Contracts!$P$2:$P$151,$AB965)&amp;"",IF($Z965="A",INDEX(Fixed_Assets!$K$2:$K$201,$AB965)&amp;"",IF($Z965="F",IF(INDEX(FTE_Allocation!$D$2:$D$201,$AB965)="PROJECT",IFERROR(INDEX(Projects!$D:$D,MATCH(INDEX(FTE_Allocation!$E$2:$E$201,$AB965),Projects!$A:$A,0))&amp;"","#PROJECT?"),INDEX(FTE_Allocation!$E$2:$E$201,$AB965)&amp;""),"")))</f>
        <v/>
      </c>
      <c r="F965" s="7">
        <f>IF($Z965="C",INDEX(Contracts!$Q$2:$Q$151,$AB965)&amp;"",IF($Z965="A",INDEX(Fixed_Assets!$L$2:$L$201,$AB965)&amp;"",IF($Z965="F",INDEX(Workforce!$K$2:$K$151,MATCH(INDEX(FTE_Allocation!$A$2:$A$201,$AB965),Workforce!$A$2:$A$151,0))&amp;"","")))</f>
        <v/>
      </c>
      <c r="G965" s="7">
        <f>IF($Z965="C",INDEX(Contracts!$F$2:$F$151,$AB965)&amp;" / "&amp;INDEX(Contracts!$G$2:$G$151,$AB965),IF($Z965="A",INDEX(Fixed_Assets!$E$2:$E$201,$AB965)&amp;"",IF($Z965="F","Personnel "&amp;INDEX(FTE_Allocation!$A$2:$A$201,$AB965)&amp;IF(INDEX(FTE_Allocation!$D$2:$D$201,$AB965)="PROJECT"," ("&amp;INDEX(FTE_Allocation!$E$2:$E$201,$AB965)&amp;")",""),"")))</f>
        <v/>
      </c>
      <c r="H965" s="7">
        <f>IF($Z965="C","CONTRACT",IF($Z965="A","ASSET",IF($Z965="F","WORKFORCE","")))</f>
        <v/>
      </c>
      <c r="I965" s="7">
        <f>IF($Z965="C",INDEX(Contracts!$L$2:$L$151,$AB965)&amp;"",IF($Z965="A",INDEX(Fixed_Assets!$I$2:$I$201,$AB965)&amp;"",IF($Z965="F",INDEX(Workforce!$G$2:$G$151,MATCH(INDEX(FTE_Allocation!$A$2:$A$201,$AB965),Workforce!$A$2:$A$151,0))&amp;"","")))</f>
        <v/>
      </c>
      <c r="J965" s="18">
        <f>IF($Z965="","",IF(AND(DATE($AD965,1,1)&gt;=$AE965,DATE($AD965,1,1)&lt;=$AF965),ROUND($AG965,2),0))</f>
        <v/>
      </c>
      <c r="K965" s="18">
        <f>IF($Z965="","",IF(AND(DATE($AD965,2,1)&gt;=$AE965,DATE($AD965,2,1)&lt;=$AF965),ROUND($AG965,2),0))</f>
        <v/>
      </c>
      <c r="L965" s="18">
        <f>IF($Z965="","",IF(AND(DATE($AD965,3,1)&gt;=$AE965,DATE($AD965,3,1)&lt;=$AF965),ROUND($AG965,2),0))</f>
        <v/>
      </c>
      <c r="M965" s="18">
        <f>IF($Z965="","",IF(AND(DATE($AD965,4,1)&gt;=$AE965,DATE($AD965,4,1)&lt;=$AF965),ROUND($AG965,2),0))</f>
        <v/>
      </c>
      <c r="N965" s="18">
        <f>IF($Z965="","",IF(AND(DATE($AD965,5,1)&gt;=$AE965,DATE($AD965,5,1)&lt;=$AF965),ROUND($AG965,2),0))</f>
        <v/>
      </c>
      <c r="O965" s="18">
        <f>IF($Z965="","",IF(AND(DATE($AD965,6,1)&gt;=$AE965,DATE($AD965,6,1)&lt;=$AF965),ROUND($AG965,2),0))</f>
        <v/>
      </c>
      <c r="P965" s="18">
        <f>IF($Z965="","",IF(AND(DATE($AD965,7,1)&gt;=$AE965,DATE($AD965,7,1)&lt;=$AF965),ROUND($AG965,2),0))</f>
        <v/>
      </c>
      <c r="Q965" s="18">
        <f>IF($Z965="","",IF(AND(DATE($AD965,8,1)&gt;=$AE965,DATE($AD965,8,1)&lt;=$AF965),ROUND($AG965,2),0))</f>
        <v/>
      </c>
      <c r="R965" s="18">
        <f>IF($Z965="","",IF(AND(DATE($AD965,9,1)&gt;=$AE965,DATE($AD965,9,1)&lt;=$AF965),ROUND($AG965,2),0))</f>
        <v/>
      </c>
      <c r="S965" s="18">
        <f>IF($Z965="","",IF(AND(DATE($AD965,10,1)&gt;=$AE965,DATE($AD965,10,1)&lt;=$AF965),ROUND($AG965,2),0))</f>
        <v/>
      </c>
      <c r="T965" s="18">
        <f>IF($Z965="","",IF(AND(DATE($AD965,11,1)&gt;=$AE965,DATE($AD965,11,1)&lt;=$AF965),ROUND($AG965,2),0))</f>
        <v/>
      </c>
      <c r="U965" s="18">
        <f>IF($Z965="","",IF(AND(DATE($AD965,12,1)&gt;=$AE965,DATE($AD965,12,1)&lt;=$AF965),ROUND($AG965,2),0))</f>
        <v/>
      </c>
      <c r="V965" s="7">
        <f>IF($Z965="C","Generated from "&amp;INDEX(Contracts!$A$2:$A$151,$AB965),IF($Z965="A","Generated from "&amp;INDEX(Fixed_Assets!$A$2:$A$201,$AB965),IF($Z965="F","Generated from "&amp;INDEX(FTE_Allocation!$A$2:$A$201,$AB965),"")))</f>
        <v/>
      </c>
      <c r="X965" s="19">
        <f>IF($Z965="","",SUM(J965:U965))</f>
        <v/>
      </c>
      <c r="Y965" s="20">
        <f>ROW()-1</f>
        <v/>
      </c>
      <c r="Z965" s="20">
        <f>IF($Y965&lt;=Settings!$B$4*3,"C",IF($Y965&lt;=(Settings!$B$4+Settings!$B$5)*3,"A",IF($Y965&lt;=(Settings!$B$4+Settings!$B$5+Settings!$B$6)*3,"F","")))</f>
        <v/>
      </c>
      <c r="AA965" s="20">
        <f>IF($Z965="C",$Y965,IF($Z965="A",$Y965-Settings!$B$4*3,IF($Z965="F",$Y965-(Settings!$B$4+Settings!$B$5)*3,"")))</f>
        <v/>
      </c>
      <c r="AB965" s="20">
        <f>IF($Z965="","",INT(($AA965-1)/3)+1)</f>
        <v/>
      </c>
      <c r="AC965" s="20">
        <f>IF($Z965="","",MOD($AA965-1,3)+1)</f>
        <v/>
      </c>
      <c r="AD965" s="20">
        <f>IF($Z965="","",Settings!$B$2+$AC965-1)</f>
        <v/>
      </c>
      <c r="AE965" s="21">
        <f>IF($Z965="C",DATE(YEAR(INDEX(Contracts!$J$2:$J$151,$AB965)),MONTH(INDEX(Contracts!$J$2:$J$151,$AB965)),1),IF($Z965="A",DATE(YEAR(INDEX(Fixed_Assets!$G$2:$G$201,$AB965)),MONTH(INDEX(Fixed_Assets!$G$2:$G$201,$AB965)),1),IF($Z965="F",DATE(YEAR(MAX(N(INDEX(Workforce!$I$2:$I$151,MATCH(INDEX(FTE_Allocation!$A$2:$A$201,$AB965),Workforce!$A$2:$A$151,0))),N(INDEX(FTE_Allocation!$I$2:$I$201,$AB965)))),MONTH(MAX(N(INDEX(Workforce!$I$2:$I$151,MATCH(INDEX(FTE_Allocation!$A$2:$A$201,$AB965),Workforce!$A$2:$A$151,0))),N(INDEX(FTE_Allocation!$I$2:$I$201,$AB965)))),1),"")))</f>
        <v/>
      </c>
      <c r="AF965" s="21">
        <f>IF($Z965="C",IF(INDEX(Contracts!$I$2:$I$151,$AB965)="PREPAID",EDATE(DATE(YEAR(INDEX(Contracts!$J$2:$J$151,$AB965)),MONTH(INDEX(Contracts!$J$2:$J$151,$AB965)),1),IF(INDEX(Contracts!$N$2:$N$151,$AB965)="",12,INDEX(Contracts!$N$2:$N$151,$AB965))-1),IF(INDEX(Contracts!$I$2:$I$151,$AB965)="MONTHLY",IF(INDEX(Contracts!$K$2:$K$151,$AB965)="",2958101,INDEX(Contracts!$K$2:$K$151,$AB965)),0)),IF($Z965="A",EDATE(DATE(YEAR(INDEX(Fixed_Assets!$G$2:$G$201,$AB965)),MONTH(INDEX(Fixed_Assets!$G$2:$G$201,$AB965)),1),INDEX(Fixed_Assets!$J$2:$J$201,$AB965)-1),IF($Z965="F",MIN(IF(INDEX(Workforce!$J$2:$J$151,MATCH(INDEX(FTE_Allocation!$A$2:$A$201,$AB965),Workforce!$A$2:$A$151,0))="",2958101,INDEX(Workforce!$J$2:$J$151,MATCH(INDEX(FTE_Allocation!$A$2:$A$201,$AB965),Workforce!$A$2:$A$151,0))),IF(INDEX(FTE_Allocation!$J$2:$J$201,$AB965)="",2958101,INDEX(FTE_Allocation!$J$2:$J$201,$AB965))),"")))</f>
        <v/>
      </c>
      <c r="AG965" s="19">
        <f>IF($Z965="C",IF(INDEX(Contracts!$I$2:$I$151,$AB965)="PREPAID",INDEX(Contracts!$M$2:$M$151,$AB965)/IF(INDEX(Contracts!$N$2:$N$151,$AB965)="",12,INDEX(Contracts!$N$2:$N$151,$AB965)),IF(INDEX(Contracts!$I$2:$I$151,$AB965)="MONTHLY",INDEX(Contracts!$M$2:$M$151,$AB965),0))*(1-N(INDEX(Contracts!$O$2:$O$151,$AB965))),IF($Z965="A",INDEX(Fixed_Assets!$H$2:$H$201,$AB965)/INDEX(Fixed_Assets!$J$2:$J$201,$AB965),IF($Z965="F",INDEX(Workforce!$F$2:$F$151,MATCH(INDEX(FTE_Allocation!$A$2:$A$201,$AB965),Workforce!$A$2:$A$151,0))*N(INDEX(FTE_Allocation!$F$2:$H$201,$AB965,$AC965)),"")))</f>
        <v/>
      </c>
    </row>
    <row r="966">
      <c r="A966" s="7">
        <f>IF($Z966="","",$AD966)</f>
        <v/>
      </c>
      <c r="B966" s="7">
        <f>IF($Z966="C",INDEX(Contracts!$D$2:$D$151,$AB966)&amp;"",IF($Z966="A",INDEX(Fixed_Assets!$C$2:$C$201,$AB966)&amp;"",IF($Z966="F",INDEX(Workforce!$B$2:$B$151,MATCH(INDEX(FTE_Allocation!$A$2:$A$201,$AB966),Workforce!$A$2:$A$151,0))&amp;"","")))</f>
        <v/>
      </c>
      <c r="C966" s="7">
        <f>IF($Z966="C",INDEX(Contracts!$E$2:$E$151,$AB966)&amp;"",IF($Z966="A",INDEX(Fixed_Assets!$D$2:$D$201,$AB966)&amp;"",IF($Z966="F",INDEX(FTE_Allocation!$C$2:$C$201,$AB966)&amp;"","")))</f>
        <v/>
      </c>
      <c r="D966" s="7">
        <f>IF($Z966="C",INDEX(Contracts!$B$2:$B$151,$AB966)&amp;"",IF($Z966="A",INDEX(Fixed_Assets!$B$2:$B$201,$AB966)&amp;"",IF($Z966="F",INDEX(FTE_Allocation!$B$2:$B$201,$AB966)&amp;"","")))</f>
        <v/>
      </c>
      <c r="E966" s="7">
        <f>IF($Z966="C",INDEX(Contracts!$P$2:$P$151,$AB966)&amp;"",IF($Z966="A",INDEX(Fixed_Assets!$K$2:$K$201,$AB966)&amp;"",IF($Z966="F",IF(INDEX(FTE_Allocation!$D$2:$D$201,$AB966)="PROJECT",IFERROR(INDEX(Projects!$D:$D,MATCH(INDEX(FTE_Allocation!$E$2:$E$201,$AB966),Projects!$A:$A,0))&amp;"","#PROJECT?"),INDEX(FTE_Allocation!$E$2:$E$201,$AB966)&amp;""),"")))</f>
        <v/>
      </c>
      <c r="F966" s="7">
        <f>IF($Z966="C",INDEX(Contracts!$Q$2:$Q$151,$AB966)&amp;"",IF($Z966="A",INDEX(Fixed_Assets!$L$2:$L$201,$AB966)&amp;"",IF($Z966="F",INDEX(Workforce!$K$2:$K$151,MATCH(INDEX(FTE_Allocation!$A$2:$A$201,$AB966),Workforce!$A$2:$A$151,0))&amp;"","")))</f>
        <v/>
      </c>
      <c r="G966" s="7">
        <f>IF($Z966="C",INDEX(Contracts!$F$2:$F$151,$AB966)&amp;" / "&amp;INDEX(Contracts!$G$2:$G$151,$AB966),IF($Z966="A",INDEX(Fixed_Assets!$E$2:$E$201,$AB966)&amp;"",IF($Z966="F","Personnel "&amp;INDEX(FTE_Allocation!$A$2:$A$201,$AB966)&amp;IF(INDEX(FTE_Allocation!$D$2:$D$201,$AB966)="PROJECT"," ("&amp;INDEX(FTE_Allocation!$E$2:$E$201,$AB966)&amp;")",""),"")))</f>
        <v/>
      </c>
      <c r="H966" s="7">
        <f>IF($Z966="C","CONTRACT",IF($Z966="A","ASSET",IF($Z966="F","WORKFORCE","")))</f>
        <v/>
      </c>
      <c r="I966" s="7">
        <f>IF($Z966="C",INDEX(Contracts!$L$2:$L$151,$AB966)&amp;"",IF($Z966="A",INDEX(Fixed_Assets!$I$2:$I$201,$AB966)&amp;"",IF($Z966="F",INDEX(Workforce!$G$2:$G$151,MATCH(INDEX(FTE_Allocation!$A$2:$A$201,$AB966),Workforce!$A$2:$A$151,0))&amp;"","")))</f>
        <v/>
      </c>
      <c r="J966" s="18">
        <f>IF($Z966="","",IF(AND(DATE($AD966,1,1)&gt;=$AE966,DATE($AD966,1,1)&lt;=$AF966),ROUND($AG966,2),0))</f>
        <v/>
      </c>
      <c r="K966" s="18">
        <f>IF($Z966="","",IF(AND(DATE($AD966,2,1)&gt;=$AE966,DATE($AD966,2,1)&lt;=$AF966),ROUND($AG966,2),0))</f>
        <v/>
      </c>
      <c r="L966" s="18">
        <f>IF($Z966="","",IF(AND(DATE($AD966,3,1)&gt;=$AE966,DATE($AD966,3,1)&lt;=$AF966),ROUND($AG966,2),0))</f>
        <v/>
      </c>
      <c r="M966" s="18">
        <f>IF($Z966="","",IF(AND(DATE($AD966,4,1)&gt;=$AE966,DATE($AD966,4,1)&lt;=$AF966),ROUND($AG966,2),0))</f>
        <v/>
      </c>
      <c r="N966" s="18">
        <f>IF($Z966="","",IF(AND(DATE($AD966,5,1)&gt;=$AE966,DATE($AD966,5,1)&lt;=$AF966),ROUND($AG966,2),0))</f>
        <v/>
      </c>
      <c r="O966" s="18">
        <f>IF($Z966="","",IF(AND(DATE($AD966,6,1)&gt;=$AE966,DATE($AD966,6,1)&lt;=$AF966),ROUND($AG966,2),0))</f>
        <v/>
      </c>
      <c r="P966" s="18">
        <f>IF($Z966="","",IF(AND(DATE($AD966,7,1)&gt;=$AE966,DATE($AD966,7,1)&lt;=$AF966),ROUND($AG966,2),0))</f>
        <v/>
      </c>
      <c r="Q966" s="18">
        <f>IF($Z966="","",IF(AND(DATE($AD966,8,1)&gt;=$AE966,DATE($AD966,8,1)&lt;=$AF966),ROUND($AG966,2),0))</f>
        <v/>
      </c>
      <c r="R966" s="18">
        <f>IF($Z966="","",IF(AND(DATE($AD966,9,1)&gt;=$AE966,DATE($AD966,9,1)&lt;=$AF966),ROUND($AG966,2),0))</f>
        <v/>
      </c>
      <c r="S966" s="18">
        <f>IF($Z966="","",IF(AND(DATE($AD966,10,1)&gt;=$AE966,DATE($AD966,10,1)&lt;=$AF966),ROUND($AG966,2),0))</f>
        <v/>
      </c>
      <c r="T966" s="18">
        <f>IF($Z966="","",IF(AND(DATE($AD966,11,1)&gt;=$AE966,DATE($AD966,11,1)&lt;=$AF966),ROUND($AG966,2),0))</f>
        <v/>
      </c>
      <c r="U966" s="18">
        <f>IF($Z966="","",IF(AND(DATE($AD966,12,1)&gt;=$AE966,DATE($AD966,12,1)&lt;=$AF966),ROUND($AG966,2),0))</f>
        <v/>
      </c>
      <c r="V966" s="7">
        <f>IF($Z966="C","Generated from "&amp;INDEX(Contracts!$A$2:$A$151,$AB966),IF($Z966="A","Generated from "&amp;INDEX(Fixed_Assets!$A$2:$A$201,$AB966),IF($Z966="F","Generated from "&amp;INDEX(FTE_Allocation!$A$2:$A$201,$AB966),"")))</f>
        <v/>
      </c>
      <c r="X966" s="19">
        <f>IF($Z966="","",SUM(J966:U966))</f>
        <v/>
      </c>
      <c r="Y966" s="20">
        <f>ROW()-1</f>
        <v/>
      </c>
      <c r="Z966" s="20">
        <f>IF($Y966&lt;=Settings!$B$4*3,"C",IF($Y966&lt;=(Settings!$B$4+Settings!$B$5)*3,"A",IF($Y966&lt;=(Settings!$B$4+Settings!$B$5+Settings!$B$6)*3,"F","")))</f>
        <v/>
      </c>
      <c r="AA966" s="20">
        <f>IF($Z966="C",$Y966,IF($Z966="A",$Y966-Settings!$B$4*3,IF($Z966="F",$Y966-(Settings!$B$4+Settings!$B$5)*3,"")))</f>
        <v/>
      </c>
      <c r="AB966" s="20">
        <f>IF($Z966="","",INT(($AA966-1)/3)+1)</f>
        <v/>
      </c>
      <c r="AC966" s="20">
        <f>IF($Z966="","",MOD($AA966-1,3)+1)</f>
        <v/>
      </c>
      <c r="AD966" s="20">
        <f>IF($Z966="","",Settings!$B$2+$AC966-1)</f>
        <v/>
      </c>
      <c r="AE966" s="21">
        <f>IF($Z966="C",DATE(YEAR(INDEX(Contracts!$J$2:$J$151,$AB966)),MONTH(INDEX(Contracts!$J$2:$J$151,$AB966)),1),IF($Z966="A",DATE(YEAR(INDEX(Fixed_Assets!$G$2:$G$201,$AB966)),MONTH(INDEX(Fixed_Assets!$G$2:$G$201,$AB966)),1),IF($Z966="F",DATE(YEAR(MAX(N(INDEX(Workforce!$I$2:$I$151,MATCH(INDEX(FTE_Allocation!$A$2:$A$201,$AB966),Workforce!$A$2:$A$151,0))),N(INDEX(FTE_Allocation!$I$2:$I$201,$AB966)))),MONTH(MAX(N(INDEX(Workforce!$I$2:$I$151,MATCH(INDEX(FTE_Allocation!$A$2:$A$201,$AB966),Workforce!$A$2:$A$151,0))),N(INDEX(FTE_Allocation!$I$2:$I$201,$AB966)))),1),"")))</f>
        <v/>
      </c>
      <c r="AF966" s="21">
        <f>IF($Z966="C",IF(INDEX(Contracts!$I$2:$I$151,$AB966)="PREPAID",EDATE(DATE(YEAR(INDEX(Contracts!$J$2:$J$151,$AB966)),MONTH(INDEX(Contracts!$J$2:$J$151,$AB966)),1),IF(INDEX(Contracts!$N$2:$N$151,$AB966)="",12,INDEX(Contracts!$N$2:$N$151,$AB966))-1),IF(INDEX(Contracts!$I$2:$I$151,$AB966)="MONTHLY",IF(INDEX(Contracts!$K$2:$K$151,$AB966)="",2958101,INDEX(Contracts!$K$2:$K$151,$AB966)),0)),IF($Z966="A",EDATE(DATE(YEAR(INDEX(Fixed_Assets!$G$2:$G$201,$AB966)),MONTH(INDEX(Fixed_Assets!$G$2:$G$201,$AB966)),1),INDEX(Fixed_Assets!$J$2:$J$201,$AB966)-1),IF($Z966="F",MIN(IF(INDEX(Workforce!$J$2:$J$151,MATCH(INDEX(FTE_Allocation!$A$2:$A$201,$AB966),Workforce!$A$2:$A$151,0))="",2958101,INDEX(Workforce!$J$2:$J$151,MATCH(INDEX(FTE_Allocation!$A$2:$A$201,$AB966),Workforce!$A$2:$A$151,0))),IF(INDEX(FTE_Allocation!$J$2:$J$201,$AB966)="",2958101,INDEX(FTE_Allocation!$J$2:$J$201,$AB966))),"")))</f>
        <v/>
      </c>
      <c r="AG966" s="19">
        <f>IF($Z966="C",IF(INDEX(Contracts!$I$2:$I$151,$AB966)="PREPAID",INDEX(Contracts!$M$2:$M$151,$AB966)/IF(INDEX(Contracts!$N$2:$N$151,$AB966)="",12,INDEX(Contracts!$N$2:$N$151,$AB966)),IF(INDEX(Contracts!$I$2:$I$151,$AB966)="MONTHLY",INDEX(Contracts!$M$2:$M$151,$AB966),0))*(1-N(INDEX(Contracts!$O$2:$O$151,$AB966))),IF($Z966="A",INDEX(Fixed_Assets!$H$2:$H$201,$AB966)/INDEX(Fixed_Assets!$J$2:$J$201,$AB966),IF($Z966="F",INDEX(Workforce!$F$2:$F$151,MATCH(INDEX(FTE_Allocation!$A$2:$A$201,$AB966),Workforce!$A$2:$A$151,0))*N(INDEX(FTE_Allocation!$F$2:$H$201,$AB966,$AC966)),"")))</f>
        <v/>
      </c>
    </row>
    <row r="967">
      <c r="A967" s="7">
        <f>IF($Z967="","",$AD967)</f>
        <v/>
      </c>
      <c r="B967" s="7">
        <f>IF($Z967="C",INDEX(Contracts!$D$2:$D$151,$AB967)&amp;"",IF($Z967="A",INDEX(Fixed_Assets!$C$2:$C$201,$AB967)&amp;"",IF($Z967="F",INDEX(Workforce!$B$2:$B$151,MATCH(INDEX(FTE_Allocation!$A$2:$A$201,$AB967),Workforce!$A$2:$A$151,0))&amp;"","")))</f>
        <v/>
      </c>
      <c r="C967" s="7">
        <f>IF($Z967="C",INDEX(Contracts!$E$2:$E$151,$AB967)&amp;"",IF($Z967="A",INDEX(Fixed_Assets!$D$2:$D$201,$AB967)&amp;"",IF($Z967="F",INDEX(FTE_Allocation!$C$2:$C$201,$AB967)&amp;"","")))</f>
        <v/>
      </c>
      <c r="D967" s="7">
        <f>IF($Z967="C",INDEX(Contracts!$B$2:$B$151,$AB967)&amp;"",IF($Z967="A",INDEX(Fixed_Assets!$B$2:$B$201,$AB967)&amp;"",IF($Z967="F",INDEX(FTE_Allocation!$B$2:$B$201,$AB967)&amp;"","")))</f>
        <v/>
      </c>
      <c r="E967" s="7">
        <f>IF($Z967="C",INDEX(Contracts!$P$2:$P$151,$AB967)&amp;"",IF($Z967="A",INDEX(Fixed_Assets!$K$2:$K$201,$AB967)&amp;"",IF($Z967="F",IF(INDEX(FTE_Allocation!$D$2:$D$201,$AB967)="PROJECT",IFERROR(INDEX(Projects!$D:$D,MATCH(INDEX(FTE_Allocation!$E$2:$E$201,$AB967),Projects!$A:$A,0))&amp;"","#PROJECT?"),INDEX(FTE_Allocation!$E$2:$E$201,$AB967)&amp;""),"")))</f>
        <v/>
      </c>
      <c r="F967" s="7">
        <f>IF($Z967="C",INDEX(Contracts!$Q$2:$Q$151,$AB967)&amp;"",IF($Z967="A",INDEX(Fixed_Assets!$L$2:$L$201,$AB967)&amp;"",IF($Z967="F",INDEX(Workforce!$K$2:$K$151,MATCH(INDEX(FTE_Allocation!$A$2:$A$201,$AB967),Workforce!$A$2:$A$151,0))&amp;"","")))</f>
        <v/>
      </c>
      <c r="G967" s="7">
        <f>IF($Z967="C",INDEX(Contracts!$F$2:$F$151,$AB967)&amp;" / "&amp;INDEX(Contracts!$G$2:$G$151,$AB967),IF($Z967="A",INDEX(Fixed_Assets!$E$2:$E$201,$AB967)&amp;"",IF($Z967="F","Personnel "&amp;INDEX(FTE_Allocation!$A$2:$A$201,$AB967)&amp;IF(INDEX(FTE_Allocation!$D$2:$D$201,$AB967)="PROJECT"," ("&amp;INDEX(FTE_Allocation!$E$2:$E$201,$AB967)&amp;")",""),"")))</f>
        <v/>
      </c>
      <c r="H967" s="7">
        <f>IF($Z967="C","CONTRACT",IF($Z967="A","ASSET",IF($Z967="F","WORKFORCE","")))</f>
        <v/>
      </c>
      <c r="I967" s="7">
        <f>IF($Z967="C",INDEX(Contracts!$L$2:$L$151,$AB967)&amp;"",IF($Z967="A",INDEX(Fixed_Assets!$I$2:$I$201,$AB967)&amp;"",IF($Z967="F",INDEX(Workforce!$G$2:$G$151,MATCH(INDEX(FTE_Allocation!$A$2:$A$201,$AB967),Workforce!$A$2:$A$151,0))&amp;"","")))</f>
        <v/>
      </c>
      <c r="J967" s="18">
        <f>IF($Z967="","",IF(AND(DATE($AD967,1,1)&gt;=$AE967,DATE($AD967,1,1)&lt;=$AF967),ROUND($AG967,2),0))</f>
        <v/>
      </c>
      <c r="K967" s="18">
        <f>IF($Z967="","",IF(AND(DATE($AD967,2,1)&gt;=$AE967,DATE($AD967,2,1)&lt;=$AF967),ROUND($AG967,2),0))</f>
        <v/>
      </c>
      <c r="L967" s="18">
        <f>IF($Z967="","",IF(AND(DATE($AD967,3,1)&gt;=$AE967,DATE($AD967,3,1)&lt;=$AF967),ROUND($AG967,2),0))</f>
        <v/>
      </c>
      <c r="M967" s="18">
        <f>IF($Z967="","",IF(AND(DATE($AD967,4,1)&gt;=$AE967,DATE($AD967,4,1)&lt;=$AF967),ROUND($AG967,2),0))</f>
        <v/>
      </c>
      <c r="N967" s="18">
        <f>IF($Z967="","",IF(AND(DATE($AD967,5,1)&gt;=$AE967,DATE($AD967,5,1)&lt;=$AF967),ROUND($AG967,2),0))</f>
        <v/>
      </c>
      <c r="O967" s="18">
        <f>IF($Z967="","",IF(AND(DATE($AD967,6,1)&gt;=$AE967,DATE($AD967,6,1)&lt;=$AF967),ROUND($AG967,2),0))</f>
        <v/>
      </c>
      <c r="P967" s="18">
        <f>IF($Z967="","",IF(AND(DATE($AD967,7,1)&gt;=$AE967,DATE($AD967,7,1)&lt;=$AF967),ROUND($AG967,2),0))</f>
        <v/>
      </c>
      <c r="Q967" s="18">
        <f>IF($Z967="","",IF(AND(DATE($AD967,8,1)&gt;=$AE967,DATE($AD967,8,1)&lt;=$AF967),ROUND($AG967,2),0))</f>
        <v/>
      </c>
      <c r="R967" s="18">
        <f>IF($Z967="","",IF(AND(DATE($AD967,9,1)&gt;=$AE967,DATE($AD967,9,1)&lt;=$AF967),ROUND($AG967,2),0))</f>
        <v/>
      </c>
      <c r="S967" s="18">
        <f>IF($Z967="","",IF(AND(DATE($AD967,10,1)&gt;=$AE967,DATE($AD967,10,1)&lt;=$AF967),ROUND($AG967,2),0))</f>
        <v/>
      </c>
      <c r="T967" s="18">
        <f>IF($Z967="","",IF(AND(DATE($AD967,11,1)&gt;=$AE967,DATE($AD967,11,1)&lt;=$AF967),ROUND($AG967,2),0))</f>
        <v/>
      </c>
      <c r="U967" s="18">
        <f>IF($Z967="","",IF(AND(DATE($AD967,12,1)&gt;=$AE967,DATE($AD967,12,1)&lt;=$AF967),ROUND($AG967,2),0))</f>
        <v/>
      </c>
      <c r="V967" s="7">
        <f>IF($Z967="C","Generated from "&amp;INDEX(Contracts!$A$2:$A$151,$AB967),IF($Z967="A","Generated from "&amp;INDEX(Fixed_Assets!$A$2:$A$201,$AB967),IF($Z967="F","Generated from "&amp;INDEX(FTE_Allocation!$A$2:$A$201,$AB967),"")))</f>
        <v/>
      </c>
      <c r="X967" s="19">
        <f>IF($Z967="","",SUM(J967:U967))</f>
        <v/>
      </c>
      <c r="Y967" s="20">
        <f>ROW()-1</f>
        <v/>
      </c>
      <c r="Z967" s="20">
        <f>IF($Y967&lt;=Settings!$B$4*3,"C",IF($Y967&lt;=(Settings!$B$4+Settings!$B$5)*3,"A",IF($Y967&lt;=(Settings!$B$4+Settings!$B$5+Settings!$B$6)*3,"F","")))</f>
        <v/>
      </c>
      <c r="AA967" s="20">
        <f>IF($Z967="C",$Y967,IF($Z967="A",$Y967-Settings!$B$4*3,IF($Z967="F",$Y967-(Settings!$B$4+Settings!$B$5)*3,"")))</f>
        <v/>
      </c>
      <c r="AB967" s="20">
        <f>IF($Z967="","",INT(($AA967-1)/3)+1)</f>
        <v/>
      </c>
      <c r="AC967" s="20">
        <f>IF($Z967="","",MOD($AA967-1,3)+1)</f>
        <v/>
      </c>
      <c r="AD967" s="20">
        <f>IF($Z967="","",Settings!$B$2+$AC967-1)</f>
        <v/>
      </c>
      <c r="AE967" s="21">
        <f>IF($Z967="C",DATE(YEAR(INDEX(Contracts!$J$2:$J$151,$AB967)),MONTH(INDEX(Contracts!$J$2:$J$151,$AB967)),1),IF($Z967="A",DATE(YEAR(INDEX(Fixed_Assets!$G$2:$G$201,$AB967)),MONTH(INDEX(Fixed_Assets!$G$2:$G$201,$AB967)),1),IF($Z967="F",DATE(YEAR(MAX(N(INDEX(Workforce!$I$2:$I$151,MATCH(INDEX(FTE_Allocation!$A$2:$A$201,$AB967),Workforce!$A$2:$A$151,0))),N(INDEX(FTE_Allocation!$I$2:$I$201,$AB967)))),MONTH(MAX(N(INDEX(Workforce!$I$2:$I$151,MATCH(INDEX(FTE_Allocation!$A$2:$A$201,$AB967),Workforce!$A$2:$A$151,0))),N(INDEX(FTE_Allocation!$I$2:$I$201,$AB967)))),1),"")))</f>
        <v/>
      </c>
      <c r="AF967" s="21">
        <f>IF($Z967="C",IF(INDEX(Contracts!$I$2:$I$151,$AB967)="PREPAID",EDATE(DATE(YEAR(INDEX(Contracts!$J$2:$J$151,$AB967)),MONTH(INDEX(Contracts!$J$2:$J$151,$AB967)),1),IF(INDEX(Contracts!$N$2:$N$151,$AB967)="",12,INDEX(Contracts!$N$2:$N$151,$AB967))-1),IF(INDEX(Contracts!$I$2:$I$151,$AB967)="MONTHLY",IF(INDEX(Contracts!$K$2:$K$151,$AB967)="",2958101,INDEX(Contracts!$K$2:$K$151,$AB967)),0)),IF($Z967="A",EDATE(DATE(YEAR(INDEX(Fixed_Assets!$G$2:$G$201,$AB967)),MONTH(INDEX(Fixed_Assets!$G$2:$G$201,$AB967)),1),INDEX(Fixed_Assets!$J$2:$J$201,$AB967)-1),IF($Z967="F",MIN(IF(INDEX(Workforce!$J$2:$J$151,MATCH(INDEX(FTE_Allocation!$A$2:$A$201,$AB967),Workforce!$A$2:$A$151,0))="",2958101,INDEX(Workforce!$J$2:$J$151,MATCH(INDEX(FTE_Allocation!$A$2:$A$201,$AB967),Workforce!$A$2:$A$151,0))),IF(INDEX(FTE_Allocation!$J$2:$J$201,$AB967)="",2958101,INDEX(FTE_Allocation!$J$2:$J$201,$AB967))),"")))</f>
        <v/>
      </c>
      <c r="AG967" s="19">
        <f>IF($Z967="C",IF(INDEX(Contracts!$I$2:$I$151,$AB967)="PREPAID",INDEX(Contracts!$M$2:$M$151,$AB967)/IF(INDEX(Contracts!$N$2:$N$151,$AB967)="",12,INDEX(Contracts!$N$2:$N$151,$AB967)),IF(INDEX(Contracts!$I$2:$I$151,$AB967)="MONTHLY",INDEX(Contracts!$M$2:$M$151,$AB967),0))*(1-N(INDEX(Contracts!$O$2:$O$151,$AB967))),IF($Z967="A",INDEX(Fixed_Assets!$H$2:$H$201,$AB967)/INDEX(Fixed_Assets!$J$2:$J$201,$AB967),IF($Z967="F",INDEX(Workforce!$F$2:$F$151,MATCH(INDEX(FTE_Allocation!$A$2:$A$201,$AB967),Workforce!$A$2:$A$151,0))*N(INDEX(FTE_Allocation!$F$2:$H$201,$AB967,$AC967)),"")))</f>
        <v/>
      </c>
    </row>
    <row r="968">
      <c r="A968" s="7">
        <f>IF($Z968="","",$AD968)</f>
        <v/>
      </c>
      <c r="B968" s="7">
        <f>IF($Z968="C",INDEX(Contracts!$D$2:$D$151,$AB968)&amp;"",IF($Z968="A",INDEX(Fixed_Assets!$C$2:$C$201,$AB968)&amp;"",IF($Z968="F",INDEX(Workforce!$B$2:$B$151,MATCH(INDEX(FTE_Allocation!$A$2:$A$201,$AB968),Workforce!$A$2:$A$151,0))&amp;"","")))</f>
        <v/>
      </c>
      <c r="C968" s="7">
        <f>IF($Z968="C",INDEX(Contracts!$E$2:$E$151,$AB968)&amp;"",IF($Z968="A",INDEX(Fixed_Assets!$D$2:$D$201,$AB968)&amp;"",IF($Z968="F",INDEX(FTE_Allocation!$C$2:$C$201,$AB968)&amp;"","")))</f>
        <v/>
      </c>
      <c r="D968" s="7">
        <f>IF($Z968="C",INDEX(Contracts!$B$2:$B$151,$AB968)&amp;"",IF($Z968="A",INDEX(Fixed_Assets!$B$2:$B$201,$AB968)&amp;"",IF($Z968="F",INDEX(FTE_Allocation!$B$2:$B$201,$AB968)&amp;"","")))</f>
        <v/>
      </c>
      <c r="E968" s="7">
        <f>IF($Z968="C",INDEX(Contracts!$P$2:$P$151,$AB968)&amp;"",IF($Z968="A",INDEX(Fixed_Assets!$K$2:$K$201,$AB968)&amp;"",IF($Z968="F",IF(INDEX(FTE_Allocation!$D$2:$D$201,$AB968)="PROJECT",IFERROR(INDEX(Projects!$D:$D,MATCH(INDEX(FTE_Allocation!$E$2:$E$201,$AB968),Projects!$A:$A,0))&amp;"","#PROJECT?"),INDEX(FTE_Allocation!$E$2:$E$201,$AB968)&amp;""),"")))</f>
        <v/>
      </c>
      <c r="F968" s="7">
        <f>IF($Z968="C",INDEX(Contracts!$Q$2:$Q$151,$AB968)&amp;"",IF($Z968="A",INDEX(Fixed_Assets!$L$2:$L$201,$AB968)&amp;"",IF($Z968="F",INDEX(Workforce!$K$2:$K$151,MATCH(INDEX(FTE_Allocation!$A$2:$A$201,$AB968),Workforce!$A$2:$A$151,0))&amp;"","")))</f>
        <v/>
      </c>
      <c r="G968" s="7">
        <f>IF($Z968="C",INDEX(Contracts!$F$2:$F$151,$AB968)&amp;" / "&amp;INDEX(Contracts!$G$2:$G$151,$AB968),IF($Z968="A",INDEX(Fixed_Assets!$E$2:$E$201,$AB968)&amp;"",IF($Z968="F","Personnel "&amp;INDEX(FTE_Allocation!$A$2:$A$201,$AB968)&amp;IF(INDEX(FTE_Allocation!$D$2:$D$201,$AB968)="PROJECT"," ("&amp;INDEX(FTE_Allocation!$E$2:$E$201,$AB968)&amp;")",""),"")))</f>
        <v/>
      </c>
      <c r="H968" s="7">
        <f>IF($Z968="C","CONTRACT",IF($Z968="A","ASSET",IF($Z968="F","WORKFORCE","")))</f>
        <v/>
      </c>
      <c r="I968" s="7">
        <f>IF($Z968="C",INDEX(Contracts!$L$2:$L$151,$AB968)&amp;"",IF($Z968="A",INDEX(Fixed_Assets!$I$2:$I$201,$AB968)&amp;"",IF($Z968="F",INDEX(Workforce!$G$2:$G$151,MATCH(INDEX(FTE_Allocation!$A$2:$A$201,$AB968),Workforce!$A$2:$A$151,0))&amp;"","")))</f>
        <v/>
      </c>
      <c r="J968" s="18">
        <f>IF($Z968="","",IF(AND(DATE($AD968,1,1)&gt;=$AE968,DATE($AD968,1,1)&lt;=$AF968),ROUND($AG968,2),0))</f>
        <v/>
      </c>
      <c r="K968" s="18">
        <f>IF($Z968="","",IF(AND(DATE($AD968,2,1)&gt;=$AE968,DATE($AD968,2,1)&lt;=$AF968),ROUND($AG968,2),0))</f>
        <v/>
      </c>
      <c r="L968" s="18">
        <f>IF($Z968="","",IF(AND(DATE($AD968,3,1)&gt;=$AE968,DATE($AD968,3,1)&lt;=$AF968),ROUND($AG968,2),0))</f>
        <v/>
      </c>
      <c r="M968" s="18">
        <f>IF($Z968="","",IF(AND(DATE($AD968,4,1)&gt;=$AE968,DATE($AD968,4,1)&lt;=$AF968),ROUND($AG968,2),0))</f>
        <v/>
      </c>
      <c r="N968" s="18">
        <f>IF($Z968="","",IF(AND(DATE($AD968,5,1)&gt;=$AE968,DATE($AD968,5,1)&lt;=$AF968),ROUND($AG968,2),0))</f>
        <v/>
      </c>
      <c r="O968" s="18">
        <f>IF($Z968="","",IF(AND(DATE($AD968,6,1)&gt;=$AE968,DATE($AD968,6,1)&lt;=$AF968),ROUND($AG968,2),0))</f>
        <v/>
      </c>
      <c r="P968" s="18">
        <f>IF($Z968="","",IF(AND(DATE($AD968,7,1)&gt;=$AE968,DATE($AD968,7,1)&lt;=$AF968),ROUND($AG968,2),0))</f>
        <v/>
      </c>
      <c r="Q968" s="18">
        <f>IF($Z968="","",IF(AND(DATE($AD968,8,1)&gt;=$AE968,DATE($AD968,8,1)&lt;=$AF968),ROUND($AG968,2),0))</f>
        <v/>
      </c>
      <c r="R968" s="18">
        <f>IF($Z968="","",IF(AND(DATE($AD968,9,1)&gt;=$AE968,DATE($AD968,9,1)&lt;=$AF968),ROUND($AG968,2),0))</f>
        <v/>
      </c>
      <c r="S968" s="18">
        <f>IF($Z968="","",IF(AND(DATE($AD968,10,1)&gt;=$AE968,DATE($AD968,10,1)&lt;=$AF968),ROUND($AG968,2),0))</f>
        <v/>
      </c>
      <c r="T968" s="18">
        <f>IF($Z968="","",IF(AND(DATE($AD968,11,1)&gt;=$AE968,DATE($AD968,11,1)&lt;=$AF968),ROUND($AG968,2),0))</f>
        <v/>
      </c>
      <c r="U968" s="18">
        <f>IF($Z968="","",IF(AND(DATE($AD968,12,1)&gt;=$AE968,DATE($AD968,12,1)&lt;=$AF968),ROUND($AG968,2),0))</f>
        <v/>
      </c>
      <c r="V968" s="7">
        <f>IF($Z968="C","Generated from "&amp;INDEX(Contracts!$A$2:$A$151,$AB968),IF($Z968="A","Generated from "&amp;INDEX(Fixed_Assets!$A$2:$A$201,$AB968),IF($Z968="F","Generated from "&amp;INDEX(FTE_Allocation!$A$2:$A$201,$AB968),"")))</f>
        <v/>
      </c>
      <c r="X968" s="19">
        <f>IF($Z968="","",SUM(J968:U968))</f>
        <v/>
      </c>
      <c r="Y968" s="20">
        <f>ROW()-1</f>
        <v/>
      </c>
      <c r="Z968" s="20">
        <f>IF($Y968&lt;=Settings!$B$4*3,"C",IF($Y968&lt;=(Settings!$B$4+Settings!$B$5)*3,"A",IF($Y968&lt;=(Settings!$B$4+Settings!$B$5+Settings!$B$6)*3,"F","")))</f>
        <v/>
      </c>
      <c r="AA968" s="20">
        <f>IF($Z968="C",$Y968,IF($Z968="A",$Y968-Settings!$B$4*3,IF($Z968="F",$Y968-(Settings!$B$4+Settings!$B$5)*3,"")))</f>
        <v/>
      </c>
      <c r="AB968" s="20">
        <f>IF($Z968="","",INT(($AA968-1)/3)+1)</f>
        <v/>
      </c>
      <c r="AC968" s="20">
        <f>IF($Z968="","",MOD($AA968-1,3)+1)</f>
        <v/>
      </c>
      <c r="AD968" s="20">
        <f>IF($Z968="","",Settings!$B$2+$AC968-1)</f>
        <v/>
      </c>
      <c r="AE968" s="21">
        <f>IF($Z968="C",DATE(YEAR(INDEX(Contracts!$J$2:$J$151,$AB968)),MONTH(INDEX(Contracts!$J$2:$J$151,$AB968)),1),IF($Z968="A",DATE(YEAR(INDEX(Fixed_Assets!$G$2:$G$201,$AB968)),MONTH(INDEX(Fixed_Assets!$G$2:$G$201,$AB968)),1),IF($Z968="F",DATE(YEAR(MAX(N(INDEX(Workforce!$I$2:$I$151,MATCH(INDEX(FTE_Allocation!$A$2:$A$201,$AB968),Workforce!$A$2:$A$151,0))),N(INDEX(FTE_Allocation!$I$2:$I$201,$AB968)))),MONTH(MAX(N(INDEX(Workforce!$I$2:$I$151,MATCH(INDEX(FTE_Allocation!$A$2:$A$201,$AB968),Workforce!$A$2:$A$151,0))),N(INDEX(FTE_Allocation!$I$2:$I$201,$AB968)))),1),"")))</f>
        <v/>
      </c>
      <c r="AF968" s="21">
        <f>IF($Z968="C",IF(INDEX(Contracts!$I$2:$I$151,$AB968)="PREPAID",EDATE(DATE(YEAR(INDEX(Contracts!$J$2:$J$151,$AB968)),MONTH(INDEX(Contracts!$J$2:$J$151,$AB968)),1),IF(INDEX(Contracts!$N$2:$N$151,$AB968)="",12,INDEX(Contracts!$N$2:$N$151,$AB968))-1),IF(INDEX(Contracts!$I$2:$I$151,$AB968)="MONTHLY",IF(INDEX(Contracts!$K$2:$K$151,$AB968)="",2958101,INDEX(Contracts!$K$2:$K$151,$AB968)),0)),IF($Z968="A",EDATE(DATE(YEAR(INDEX(Fixed_Assets!$G$2:$G$201,$AB968)),MONTH(INDEX(Fixed_Assets!$G$2:$G$201,$AB968)),1),INDEX(Fixed_Assets!$J$2:$J$201,$AB968)-1),IF($Z968="F",MIN(IF(INDEX(Workforce!$J$2:$J$151,MATCH(INDEX(FTE_Allocation!$A$2:$A$201,$AB968),Workforce!$A$2:$A$151,0))="",2958101,INDEX(Workforce!$J$2:$J$151,MATCH(INDEX(FTE_Allocation!$A$2:$A$201,$AB968),Workforce!$A$2:$A$151,0))),IF(INDEX(FTE_Allocation!$J$2:$J$201,$AB968)="",2958101,INDEX(FTE_Allocation!$J$2:$J$201,$AB968))),"")))</f>
        <v/>
      </c>
      <c r="AG968" s="19">
        <f>IF($Z968="C",IF(INDEX(Contracts!$I$2:$I$151,$AB968)="PREPAID",INDEX(Contracts!$M$2:$M$151,$AB968)/IF(INDEX(Contracts!$N$2:$N$151,$AB968)="",12,INDEX(Contracts!$N$2:$N$151,$AB968)),IF(INDEX(Contracts!$I$2:$I$151,$AB968)="MONTHLY",INDEX(Contracts!$M$2:$M$151,$AB968),0))*(1-N(INDEX(Contracts!$O$2:$O$151,$AB968))),IF($Z968="A",INDEX(Fixed_Assets!$H$2:$H$201,$AB968)/INDEX(Fixed_Assets!$J$2:$J$201,$AB968),IF($Z968="F",INDEX(Workforce!$F$2:$F$151,MATCH(INDEX(FTE_Allocation!$A$2:$A$201,$AB968),Workforce!$A$2:$A$151,0))*N(INDEX(FTE_Allocation!$F$2:$H$201,$AB968,$AC968)),"")))</f>
        <v/>
      </c>
    </row>
    <row r="969">
      <c r="A969" s="7">
        <f>IF($Z969="","",$AD969)</f>
        <v/>
      </c>
      <c r="B969" s="7">
        <f>IF($Z969="C",INDEX(Contracts!$D$2:$D$151,$AB969)&amp;"",IF($Z969="A",INDEX(Fixed_Assets!$C$2:$C$201,$AB969)&amp;"",IF($Z969="F",INDEX(Workforce!$B$2:$B$151,MATCH(INDEX(FTE_Allocation!$A$2:$A$201,$AB969),Workforce!$A$2:$A$151,0))&amp;"","")))</f>
        <v/>
      </c>
      <c r="C969" s="7">
        <f>IF($Z969="C",INDEX(Contracts!$E$2:$E$151,$AB969)&amp;"",IF($Z969="A",INDEX(Fixed_Assets!$D$2:$D$201,$AB969)&amp;"",IF($Z969="F",INDEX(FTE_Allocation!$C$2:$C$201,$AB969)&amp;"","")))</f>
        <v/>
      </c>
      <c r="D969" s="7">
        <f>IF($Z969="C",INDEX(Contracts!$B$2:$B$151,$AB969)&amp;"",IF($Z969="A",INDEX(Fixed_Assets!$B$2:$B$201,$AB969)&amp;"",IF($Z969="F",INDEX(FTE_Allocation!$B$2:$B$201,$AB969)&amp;"","")))</f>
        <v/>
      </c>
      <c r="E969" s="7">
        <f>IF($Z969="C",INDEX(Contracts!$P$2:$P$151,$AB969)&amp;"",IF($Z969="A",INDEX(Fixed_Assets!$K$2:$K$201,$AB969)&amp;"",IF($Z969="F",IF(INDEX(FTE_Allocation!$D$2:$D$201,$AB969)="PROJECT",IFERROR(INDEX(Projects!$D:$D,MATCH(INDEX(FTE_Allocation!$E$2:$E$201,$AB969),Projects!$A:$A,0))&amp;"","#PROJECT?"),INDEX(FTE_Allocation!$E$2:$E$201,$AB969)&amp;""),"")))</f>
        <v/>
      </c>
      <c r="F969" s="7">
        <f>IF($Z969="C",INDEX(Contracts!$Q$2:$Q$151,$AB969)&amp;"",IF($Z969="A",INDEX(Fixed_Assets!$L$2:$L$201,$AB969)&amp;"",IF($Z969="F",INDEX(Workforce!$K$2:$K$151,MATCH(INDEX(FTE_Allocation!$A$2:$A$201,$AB969),Workforce!$A$2:$A$151,0))&amp;"","")))</f>
        <v/>
      </c>
      <c r="G969" s="7">
        <f>IF($Z969="C",INDEX(Contracts!$F$2:$F$151,$AB969)&amp;" / "&amp;INDEX(Contracts!$G$2:$G$151,$AB969),IF($Z969="A",INDEX(Fixed_Assets!$E$2:$E$201,$AB969)&amp;"",IF($Z969="F","Personnel "&amp;INDEX(FTE_Allocation!$A$2:$A$201,$AB969)&amp;IF(INDEX(FTE_Allocation!$D$2:$D$201,$AB969)="PROJECT"," ("&amp;INDEX(FTE_Allocation!$E$2:$E$201,$AB969)&amp;")",""),"")))</f>
        <v/>
      </c>
      <c r="H969" s="7">
        <f>IF($Z969="C","CONTRACT",IF($Z969="A","ASSET",IF($Z969="F","WORKFORCE","")))</f>
        <v/>
      </c>
      <c r="I969" s="7">
        <f>IF($Z969="C",INDEX(Contracts!$L$2:$L$151,$AB969)&amp;"",IF($Z969="A",INDEX(Fixed_Assets!$I$2:$I$201,$AB969)&amp;"",IF($Z969="F",INDEX(Workforce!$G$2:$G$151,MATCH(INDEX(FTE_Allocation!$A$2:$A$201,$AB969),Workforce!$A$2:$A$151,0))&amp;"","")))</f>
        <v/>
      </c>
      <c r="J969" s="18">
        <f>IF($Z969="","",IF(AND(DATE($AD969,1,1)&gt;=$AE969,DATE($AD969,1,1)&lt;=$AF969),ROUND($AG969,2),0))</f>
        <v/>
      </c>
      <c r="K969" s="18">
        <f>IF($Z969="","",IF(AND(DATE($AD969,2,1)&gt;=$AE969,DATE($AD969,2,1)&lt;=$AF969),ROUND($AG969,2),0))</f>
        <v/>
      </c>
      <c r="L969" s="18">
        <f>IF($Z969="","",IF(AND(DATE($AD969,3,1)&gt;=$AE969,DATE($AD969,3,1)&lt;=$AF969),ROUND($AG969,2),0))</f>
        <v/>
      </c>
      <c r="M969" s="18">
        <f>IF($Z969="","",IF(AND(DATE($AD969,4,1)&gt;=$AE969,DATE($AD969,4,1)&lt;=$AF969),ROUND($AG969,2),0))</f>
        <v/>
      </c>
      <c r="N969" s="18">
        <f>IF($Z969="","",IF(AND(DATE($AD969,5,1)&gt;=$AE969,DATE($AD969,5,1)&lt;=$AF969),ROUND($AG969,2),0))</f>
        <v/>
      </c>
      <c r="O969" s="18">
        <f>IF($Z969="","",IF(AND(DATE($AD969,6,1)&gt;=$AE969,DATE($AD969,6,1)&lt;=$AF969),ROUND($AG969,2),0))</f>
        <v/>
      </c>
      <c r="P969" s="18">
        <f>IF($Z969="","",IF(AND(DATE($AD969,7,1)&gt;=$AE969,DATE($AD969,7,1)&lt;=$AF969),ROUND($AG969,2),0))</f>
        <v/>
      </c>
      <c r="Q969" s="18">
        <f>IF($Z969="","",IF(AND(DATE($AD969,8,1)&gt;=$AE969,DATE($AD969,8,1)&lt;=$AF969),ROUND($AG969,2),0))</f>
        <v/>
      </c>
      <c r="R969" s="18">
        <f>IF($Z969="","",IF(AND(DATE($AD969,9,1)&gt;=$AE969,DATE($AD969,9,1)&lt;=$AF969),ROUND($AG969,2),0))</f>
        <v/>
      </c>
      <c r="S969" s="18">
        <f>IF($Z969="","",IF(AND(DATE($AD969,10,1)&gt;=$AE969,DATE($AD969,10,1)&lt;=$AF969),ROUND($AG969,2),0))</f>
        <v/>
      </c>
      <c r="T969" s="18">
        <f>IF($Z969="","",IF(AND(DATE($AD969,11,1)&gt;=$AE969,DATE($AD969,11,1)&lt;=$AF969),ROUND($AG969,2),0))</f>
        <v/>
      </c>
      <c r="U969" s="18">
        <f>IF($Z969="","",IF(AND(DATE($AD969,12,1)&gt;=$AE969,DATE($AD969,12,1)&lt;=$AF969),ROUND($AG969,2),0))</f>
        <v/>
      </c>
      <c r="V969" s="7">
        <f>IF($Z969="C","Generated from "&amp;INDEX(Contracts!$A$2:$A$151,$AB969),IF($Z969="A","Generated from "&amp;INDEX(Fixed_Assets!$A$2:$A$201,$AB969),IF($Z969="F","Generated from "&amp;INDEX(FTE_Allocation!$A$2:$A$201,$AB969),"")))</f>
        <v/>
      </c>
      <c r="X969" s="19">
        <f>IF($Z969="","",SUM(J969:U969))</f>
        <v/>
      </c>
      <c r="Y969" s="20">
        <f>ROW()-1</f>
        <v/>
      </c>
      <c r="Z969" s="20">
        <f>IF($Y969&lt;=Settings!$B$4*3,"C",IF($Y969&lt;=(Settings!$B$4+Settings!$B$5)*3,"A",IF($Y969&lt;=(Settings!$B$4+Settings!$B$5+Settings!$B$6)*3,"F","")))</f>
        <v/>
      </c>
      <c r="AA969" s="20">
        <f>IF($Z969="C",$Y969,IF($Z969="A",$Y969-Settings!$B$4*3,IF($Z969="F",$Y969-(Settings!$B$4+Settings!$B$5)*3,"")))</f>
        <v/>
      </c>
      <c r="AB969" s="20">
        <f>IF($Z969="","",INT(($AA969-1)/3)+1)</f>
        <v/>
      </c>
      <c r="AC969" s="20">
        <f>IF($Z969="","",MOD($AA969-1,3)+1)</f>
        <v/>
      </c>
      <c r="AD969" s="20">
        <f>IF($Z969="","",Settings!$B$2+$AC969-1)</f>
        <v/>
      </c>
      <c r="AE969" s="21">
        <f>IF($Z969="C",DATE(YEAR(INDEX(Contracts!$J$2:$J$151,$AB969)),MONTH(INDEX(Contracts!$J$2:$J$151,$AB969)),1),IF($Z969="A",DATE(YEAR(INDEX(Fixed_Assets!$G$2:$G$201,$AB969)),MONTH(INDEX(Fixed_Assets!$G$2:$G$201,$AB969)),1),IF($Z969="F",DATE(YEAR(MAX(N(INDEX(Workforce!$I$2:$I$151,MATCH(INDEX(FTE_Allocation!$A$2:$A$201,$AB969),Workforce!$A$2:$A$151,0))),N(INDEX(FTE_Allocation!$I$2:$I$201,$AB969)))),MONTH(MAX(N(INDEX(Workforce!$I$2:$I$151,MATCH(INDEX(FTE_Allocation!$A$2:$A$201,$AB969),Workforce!$A$2:$A$151,0))),N(INDEX(FTE_Allocation!$I$2:$I$201,$AB969)))),1),"")))</f>
        <v/>
      </c>
      <c r="AF969" s="21">
        <f>IF($Z969="C",IF(INDEX(Contracts!$I$2:$I$151,$AB969)="PREPAID",EDATE(DATE(YEAR(INDEX(Contracts!$J$2:$J$151,$AB969)),MONTH(INDEX(Contracts!$J$2:$J$151,$AB969)),1),IF(INDEX(Contracts!$N$2:$N$151,$AB969)="",12,INDEX(Contracts!$N$2:$N$151,$AB969))-1),IF(INDEX(Contracts!$I$2:$I$151,$AB969)="MONTHLY",IF(INDEX(Contracts!$K$2:$K$151,$AB969)="",2958101,INDEX(Contracts!$K$2:$K$151,$AB969)),0)),IF($Z969="A",EDATE(DATE(YEAR(INDEX(Fixed_Assets!$G$2:$G$201,$AB969)),MONTH(INDEX(Fixed_Assets!$G$2:$G$201,$AB969)),1),INDEX(Fixed_Assets!$J$2:$J$201,$AB969)-1),IF($Z969="F",MIN(IF(INDEX(Workforce!$J$2:$J$151,MATCH(INDEX(FTE_Allocation!$A$2:$A$201,$AB969),Workforce!$A$2:$A$151,0))="",2958101,INDEX(Workforce!$J$2:$J$151,MATCH(INDEX(FTE_Allocation!$A$2:$A$201,$AB969),Workforce!$A$2:$A$151,0))),IF(INDEX(FTE_Allocation!$J$2:$J$201,$AB969)="",2958101,INDEX(FTE_Allocation!$J$2:$J$201,$AB969))),"")))</f>
        <v/>
      </c>
      <c r="AG969" s="19">
        <f>IF($Z969="C",IF(INDEX(Contracts!$I$2:$I$151,$AB969)="PREPAID",INDEX(Contracts!$M$2:$M$151,$AB969)/IF(INDEX(Contracts!$N$2:$N$151,$AB969)="",12,INDEX(Contracts!$N$2:$N$151,$AB969)),IF(INDEX(Contracts!$I$2:$I$151,$AB969)="MONTHLY",INDEX(Contracts!$M$2:$M$151,$AB969),0))*(1-N(INDEX(Contracts!$O$2:$O$151,$AB969))),IF($Z969="A",INDEX(Fixed_Assets!$H$2:$H$201,$AB969)/INDEX(Fixed_Assets!$J$2:$J$201,$AB969),IF($Z969="F",INDEX(Workforce!$F$2:$F$151,MATCH(INDEX(FTE_Allocation!$A$2:$A$201,$AB969),Workforce!$A$2:$A$151,0))*N(INDEX(FTE_Allocation!$F$2:$H$201,$AB969,$AC969)),"")))</f>
        <v/>
      </c>
    </row>
    <row r="970">
      <c r="A970" s="7">
        <f>IF($Z970="","",$AD970)</f>
        <v/>
      </c>
      <c r="B970" s="7">
        <f>IF($Z970="C",INDEX(Contracts!$D$2:$D$151,$AB970)&amp;"",IF($Z970="A",INDEX(Fixed_Assets!$C$2:$C$201,$AB970)&amp;"",IF($Z970="F",INDEX(Workforce!$B$2:$B$151,MATCH(INDEX(FTE_Allocation!$A$2:$A$201,$AB970),Workforce!$A$2:$A$151,0))&amp;"","")))</f>
        <v/>
      </c>
      <c r="C970" s="7">
        <f>IF($Z970="C",INDEX(Contracts!$E$2:$E$151,$AB970)&amp;"",IF($Z970="A",INDEX(Fixed_Assets!$D$2:$D$201,$AB970)&amp;"",IF($Z970="F",INDEX(FTE_Allocation!$C$2:$C$201,$AB970)&amp;"","")))</f>
        <v/>
      </c>
      <c r="D970" s="7">
        <f>IF($Z970="C",INDEX(Contracts!$B$2:$B$151,$AB970)&amp;"",IF($Z970="A",INDEX(Fixed_Assets!$B$2:$B$201,$AB970)&amp;"",IF($Z970="F",INDEX(FTE_Allocation!$B$2:$B$201,$AB970)&amp;"","")))</f>
        <v/>
      </c>
      <c r="E970" s="7">
        <f>IF($Z970="C",INDEX(Contracts!$P$2:$P$151,$AB970)&amp;"",IF($Z970="A",INDEX(Fixed_Assets!$K$2:$K$201,$AB970)&amp;"",IF($Z970="F",IF(INDEX(FTE_Allocation!$D$2:$D$201,$AB970)="PROJECT",IFERROR(INDEX(Projects!$D:$D,MATCH(INDEX(FTE_Allocation!$E$2:$E$201,$AB970),Projects!$A:$A,0))&amp;"","#PROJECT?"),INDEX(FTE_Allocation!$E$2:$E$201,$AB970)&amp;""),"")))</f>
        <v/>
      </c>
      <c r="F970" s="7">
        <f>IF($Z970="C",INDEX(Contracts!$Q$2:$Q$151,$AB970)&amp;"",IF($Z970="A",INDEX(Fixed_Assets!$L$2:$L$201,$AB970)&amp;"",IF($Z970="F",INDEX(Workforce!$K$2:$K$151,MATCH(INDEX(FTE_Allocation!$A$2:$A$201,$AB970),Workforce!$A$2:$A$151,0))&amp;"","")))</f>
        <v/>
      </c>
      <c r="G970" s="7">
        <f>IF($Z970="C",INDEX(Contracts!$F$2:$F$151,$AB970)&amp;" / "&amp;INDEX(Contracts!$G$2:$G$151,$AB970),IF($Z970="A",INDEX(Fixed_Assets!$E$2:$E$201,$AB970)&amp;"",IF($Z970="F","Personnel "&amp;INDEX(FTE_Allocation!$A$2:$A$201,$AB970)&amp;IF(INDEX(FTE_Allocation!$D$2:$D$201,$AB970)="PROJECT"," ("&amp;INDEX(FTE_Allocation!$E$2:$E$201,$AB970)&amp;")",""),"")))</f>
        <v/>
      </c>
      <c r="H970" s="7">
        <f>IF($Z970="C","CONTRACT",IF($Z970="A","ASSET",IF($Z970="F","WORKFORCE","")))</f>
        <v/>
      </c>
      <c r="I970" s="7">
        <f>IF($Z970="C",INDEX(Contracts!$L$2:$L$151,$AB970)&amp;"",IF($Z970="A",INDEX(Fixed_Assets!$I$2:$I$201,$AB970)&amp;"",IF($Z970="F",INDEX(Workforce!$G$2:$G$151,MATCH(INDEX(FTE_Allocation!$A$2:$A$201,$AB970),Workforce!$A$2:$A$151,0))&amp;"","")))</f>
        <v/>
      </c>
      <c r="J970" s="18">
        <f>IF($Z970="","",IF(AND(DATE($AD970,1,1)&gt;=$AE970,DATE($AD970,1,1)&lt;=$AF970),ROUND($AG970,2),0))</f>
        <v/>
      </c>
      <c r="K970" s="18">
        <f>IF($Z970="","",IF(AND(DATE($AD970,2,1)&gt;=$AE970,DATE($AD970,2,1)&lt;=$AF970),ROUND($AG970,2),0))</f>
        <v/>
      </c>
      <c r="L970" s="18">
        <f>IF($Z970="","",IF(AND(DATE($AD970,3,1)&gt;=$AE970,DATE($AD970,3,1)&lt;=$AF970),ROUND($AG970,2),0))</f>
        <v/>
      </c>
      <c r="M970" s="18">
        <f>IF($Z970="","",IF(AND(DATE($AD970,4,1)&gt;=$AE970,DATE($AD970,4,1)&lt;=$AF970),ROUND($AG970,2),0))</f>
        <v/>
      </c>
      <c r="N970" s="18">
        <f>IF($Z970="","",IF(AND(DATE($AD970,5,1)&gt;=$AE970,DATE($AD970,5,1)&lt;=$AF970),ROUND($AG970,2),0))</f>
        <v/>
      </c>
      <c r="O970" s="18">
        <f>IF($Z970="","",IF(AND(DATE($AD970,6,1)&gt;=$AE970,DATE($AD970,6,1)&lt;=$AF970),ROUND($AG970,2),0))</f>
        <v/>
      </c>
      <c r="P970" s="18">
        <f>IF($Z970="","",IF(AND(DATE($AD970,7,1)&gt;=$AE970,DATE($AD970,7,1)&lt;=$AF970),ROUND($AG970,2),0))</f>
        <v/>
      </c>
      <c r="Q970" s="18">
        <f>IF($Z970="","",IF(AND(DATE($AD970,8,1)&gt;=$AE970,DATE($AD970,8,1)&lt;=$AF970),ROUND($AG970,2),0))</f>
        <v/>
      </c>
      <c r="R970" s="18">
        <f>IF($Z970="","",IF(AND(DATE($AD970,9,1)&gt;=$AE970,DATE($AD970,9,1)&lt;=$AF970),ROUND($AG970,2),0))</f>
        <v/>
      </c>
      <c r="S970" s="18">
        <f>IF($Z970="","",IF(AND(DATE($AD970,10,1)&gt;=$AE970,DATE($AD970,10,1)&lt;=$AF970),ROUND($AG970,2),0))</f>
        <v/>
      </c>
      <c r="T970" s="18">
        <f>IF($Z970="","",IF(AND(DATE($AD970,11,1)&gt;=$AE970,DATE($AD970,11,1)&lt;=$AF970),ROUND($AG970,2),0))</f>
        <v/>
      </c>
      <c r="U970" s="18">
        <f>IF($Z970="","",IF(AND(DATE($AD970,12,1)&gt;=$AE970,DATE($AD970,12,1)&lt;=$AF970),ROUND($AG970,2),0))</f>
        <v/>
      </c>
      <c r="V970" s="7">
        <f>IF($Z970="C","Generated from "&amp;INDEX(Contracts!$A$2:$A$151,$AB970),IF($Z970="A","Generated from "&amp;INDEX(Fixed_Assets!$A$2:$A$201,$AB970),IF($Z970="F","Generated from "&amp;INDEX(FTE_Allocation!$A$2:$A$201,$AB970),"")))</f>
        <v/>
      </c>
      <c r="X970" s="19">
        <f>IF($Z970="","",SUM(J970:U970))</f>
        <v/>
      </c>
      <c r="Y970" s="20">
        <f>ROW()-1</f>
        <v/>
      </c>
      <c r="Z970" s="20">
        <f>IF($Y970&lt;=Settings!$B$4*3,"C",IF($Y970&lt;=(Settings!$B$4+Settings!$B$5)*3,"A",IF($Y970&lt;=(Settings!$B$4+Settings!$B$5+Settings!$B$6)*3,"F","")))</f>
        <v/>
      </c>
      <c r="AA970" s="20">
        <f>IF($Z970="C",$Y970,IF($Z970="A",$Y970-Settings!$B$4*3,IF($Z970="F",$Y970-(Settings!$B$4+Settings!$B$5)*3,"")))</f>
        <v/>
      </c>
      <c r="AB970" s="20">
        <f>IF($Z970="","",INT(($AA970-1)/3)+1)</f>
        <v/>
      </c>
      <c r="AC970" s="20">
        <f>IF($Z970="","",MOD($AA970-1,3)+1)</f>
        <v/>
      </c>
      <c r="AD970" s="20">
        <f>IF($Z970="","",Settings!$B$2+$AC970-1)</f>
        <v/>
      </c>
      <c r="AE970" s="21">
        <f>IF($Z970="C",DATE(YEAR(INDEX(Contracts!$J$2:$J$151,$AB970)),MONTH(INDEX(Contracts!$J$2:$J$151,$AB970)),1),IF($Z970="A",DATE(YEAR(INDEX(Fixed_Assets!$G$2:$G$201,$AB970)),MONTH(INDEX(Fixed_Assets!$G$2:$G$201,$AB970)),1),IF($Z970="F",DATE(YEAR(MAX(N(INDEX(Workforce!$I$2:$I$151,MATCH(INDEX(FTE_Allocation!$A$2:$A$201,$AB970),Workforce!$A$2:$A$151,0))),N(INDEX(FTE_Allocation!$I$2:$I$201,$AB970)))),MONTH(MAX(N(INDEX(Workforce!$I$2:$I$151,MATCH(INDEX(FTE_Allocation!$A$2:$A$201,$AB970),Workforce!$A$2:$A$151,0))),N(INDEX(FTE_Allocation!$I$2:$I$201,$AB970)))),1),"")))</f>
        <v/>
      </c>
      <c r="AF970" s="21">
        <f>IF($Z970="C",IF(INDEX(Contracts!$I$2:$I$151,$AB970)="PREPAID",EDATE(DATE(YEAR(INDEX(Contracts!$J$2:$J$151,$AB970)),MONTH(INDEX(Contracts!$J$2:$J$151,$AB970)),1),IF(INDEX(Contracts!$N$2:$N$151,$AB970)="",12,INDEX(Contracts!$N$2:$N$151,$AB970))-1),IF(INDEX(Contracts!$I$2:$I$151,$AB970)="MONTHLY",IF(INDEX(Contracts!$K$2:$K$151,$AB970)="",2958101,INDEX(Contracts!$K$2:$K$151,$AB970)),0)),IF($Z970="A",EDATE(DATE(YEAR(INDEX(Fixed_Assets!$G$2:$G$201,$AB970)),MONTH(INDEX(Fixed_Assets!$G$2:$G$201,$AB970)),1),INDEX(Fixed_Assets!$J$2:$J$201,$AB970)-1),IF($Z970="F",MIN(IF(INDEX(Workforce!$J$2:$J$151,MATCH(INDEX(FTE_Allocation!$A$2:$A$201,$AB970),Workforce!$A$2:$A$151,0))="",2958101,INDEX(Workforce!$J$2:$J$151,MATCH(INDEX(FTE_Allocation!$A$2:$A$201,$AB970),Workforce!$A$2:$A$151,0))),IF(INDEX(FTE_Allocation!$J$2:$J$201,$AB970)="",2958101,INDEX(FTE_Allocation!$J$2:$J$201,$AB970))),"")))</f>
        <v/>
      </c>
      <c r="AG970" s="19">
        <f>IF($Z970="C",IF(INDEX(Contracts!$I$2:$I$151,$AB970)="PREPAID",INDEX(Contracts!$M$2:$M$151,$AB970)/IF(INDEX(Contracts!$N$2:$N$151,$AB970)="",12,INDEX(Contracts!$N$2:$N$151,$AB970)),IF(INDEX(Contracts!$I$2:$I$151,$AB970)="MONTHLY",INDEX(Contracts!$M$2:$M$151,$AB970),0))*(1-N(INDEX(Contracts!$O$2:$O$151,$AB970))),IF($Z970="A",INDEX(Fixed_Assets!$H$2:$H$201,$AB970)/INDEX(Fixed_Assets!$J$2:$J$201,$AB970),IF($Z970="F",INDEX(Workforce!$F$2:$F$151,MATCH(INDEX(FTE_Allocation!$A$2:$A$201,$AB970),Workforce!$A$2:$A$151,0))*N(INDEX(FTE_Allocation!$F$2:$H$201,$AB970,$AC970)),"")))</f>
        <v/>
      </c>
    </row>
    <row r="971">
      <c r="A971" s="7">
        <f>IF($Z971="","",$AD971)</f>
        <v/>
      </c>
      <c r="B971" s="7">
        <f>IF($Z971="C",INDEX(Contracts!$D$2:$D$151,$AB971)&amp;"",IF($Z971="A",INDEX(Fixed_Assets!$C$2:$C$201,$AB971)&amp;"",IF($Z971="F",INDEX(Workforce!$B$2:$B$151,MATCH(INDEX(FTE_Allocation!$A$2:$A$201,$AB971),Workforce!$A$2:$A$151,0))&amp;"","")))</f>
        <v/>
      </c>
      <c r="C971" s="7">
        <f>IF($Z971="C",INDEX(Contracts!$E$2:$E$151,$AB971)&amp;"",IF($Z971="A",INDEX(Fixed_Assets!$D$2:$D$201,$AB971)&amp;"",IF($Z971="F",INDEX(FTE_Allocation!$C$2:$C$201,$AB971)&amp;"","")))</f>
        <v/>
      </c>
      <c r="D971" s="7">
        <f>IF($Z971="C",INDEX(Contracts!$B$2:$B$151,$AB971)&amp;"",IF($Z971="A",INDEX(Fixed_Assets!$B$2:$B$201,$AB971)&amp;"",IF($Z971="F",INDEX(FTE_Allocation!$B$2:$B$201,$AB971)&amp;"","")))</f>
        <v/>
      </c>
      <c r="E971" s="7">
        <f>IF($Z971="C",INDEX(Contracts!$P$2:$P$151,$AB971)&amp;"",IF($Z971="A",INDEX(Fixed_Assets!$K$2:$K$201,$AB971)&amp;"",IF($Z971="F",IF(INDEX(FTE_Allocation!$D$2:$D$201,$AB971)="PROJECT",IFERROR(INDEX(Projects!$D:$D,MATCH(INDEX(FTE_Allocation!$E$2:$E$201,$AB971),Projects!$A:$A,0))&amp;"","#PROJECT?"),INDEX(FTE_Allocation!$E$2:$E$201,$AB971)&amp;""),"")))</f>
        <v/>
      </c>
      <c r="F971" s="7">
        <f>IF($Z971="C",INDEX(Contracts!$Q$2:$Q$151,$AB971)&amp;"",IF($Z971="A",INDEX(Fixed_Assets!$L$2:$L$201,$AB971)&amp;"",IF($Z971="F",INDEX(Workforce!$K$2:$K$151,MATCH(INDEX(FTE_Allocation!$A$2:$A$201,$AB971),Workforce!$A$2:$A$151,0))&amp;"","")))</f>
        <v/>
      </c>
      <c r="G971" s="7">
        <f>IF($Z971="C",INDEX(Contracts!$F$2:$F$151,$AB971)&amp;" / "&amp;INDEX(Contracts!$G$2:$G$151,$AB971),IF($Z971="A",INDEX(Fixed_Assets!$E$2:$E$201,$AB971)&amp;"",IF($Z971="F","Personnel "&amp;INDEX(FTE_Allocation!$A$2:$A$201,$AB971)&amp;IF(INDEX(FTE_Allocation!$D$2:$D$201,$AB971)="PROJECT"," ("&amp;INDEX(FTE_Allocation!$E$2:$E$201,$AB971)&amp;")",""),"")))</f>
        <v/>
      </c>
      <c r="H971" s="7">
        <f>IF($Z971="C","CONTRACT",IF($Z971="A","ASSET",IF($Z971="F","WORKFORCE","")))</f>
        <v/>
      </c>
      <c r="I971" s="7">
        <f>IF($Z971="C",INDEX(Contracts!$L$2:$L$151,$AB971)&amp;"",IF($Z971="A",INDEX(Fixed_Assets!$I$2:$I$201,$AB971)&amp;"",IF($Z971="F",INDEX(Workforce!$G$2:$G$151,MATCH(INDEX(FTE_Allocation!$A$2:$A$201,$AB971),Workforce!$A$2:$A$151,0))&amp;"","")))</f>
        <v/>
      </c>
      <c r="J971" s="18">
        <f>IF($Z971="","",IF(AND(DATE($AD971,1,1)&gt;=$AE971,DATE($AD971,1,1)&lt;=$AF971),ROUND($AG971,2),0))</f>
        <v/>
      </c>
      <c r="K971" s="18">
        <f>IF($Z971="","",IF(AND(DATE($AD971,2,1)&gt;=$AE971,DATE($AD971,2,1)&lt;=$AF971),ROUND($AG971,2),0))</f>
        <v/>
      </c>
      <c r="L971" s="18">
        <f>IF($Z971="","",IF(AND(DATE($AD971,3,1)&gt;=$AE971,DATE($AD971,3,1)&lt;=$AF971),ROUND($AG971,2),0))</f>
        <v/>
      </c>
      <c r="M971" s="18">
        <f>IF($Z971="","",IF(AND(DATE($AD971,4,1)&gt;=$AE971,DATE($AD971,4,1)&lt;=$AF971),ROUND($AG971,2),0))</f>
        <v/>
      </c>
      <c r="N971" s="18">
        <f>IF($Z971="","",IF(AND(DATE($AD971,5,1)&gt;=$AE971,DATE($AD971,5,1)&lt;=$AF971),ROUND($AG971,2),0))</f>
        <v/>
      </c>
      <c r="O971" s="18">
        <f>IF($Z971="","",IF(AND(DATE($AD971,6,1)&gt;=$AE971,DATE($AD971,6,1)&lt;=$AF971),ROUND($AG971,2),0))</f>
        <v/>
      </c>
      <c r="P971" s="18">
        <f>IF($Z971="","",IF(AND(DATE($AD971,7,1)&gt;=$AE971,DATE($AD971,7,1)&lt;=$AF971),ROUND($AG971,2),0))</f>
        <v/>
      </c>
      <c r="Q971" s="18">
        <f>IF($Z971="","",IF(AND(DATE($AD971,8,1)&gt;=$AE971,DATE($AD971,8,1)&lt;=$AF971),ROUND($AG971,2),0))</f>
        <v/>
      </c>
      <c r="R971" s="18">
        <f>IF($Z971="","",IF(AND(DATE($AD971,9,1)&gt;=$AE971,DATE($AD971,9,1)&lt;=$AF971),ROUND($AG971,2),0))</f>
        <v/>
      </c>
      <c r="S971" s="18">
        <f>IF($Z971="","",IF(AND(DATE($AD971,10,1)&gt;=$AE971,DATE($AD971,10,1)&lt;=$AF971),ROUND($AG971,2),0))</f>
        <v/>
      </c>
      <c r="T971" s="18">
        <f>IF($Z971="","",IF(AND(DATE($AD971,11,1)&gt;=$AE971,DATE($AD971,11,1)&lt;=$AF971),ROUND($AG971,2),0))</f>
        <v/>
      </c>
      <c r="U971" s="18">
        <f>IF($Z971="","",IF(AND(DATE($AD971,12,1)&gt;=$AE971,DATE($AD971,12,1)&lt;=$AF971),ROUND($AG971,2),0))</f>
        <v/>
      </c>
      <c r="V971" s="7">
        <f>IF($Z971="C","Generated from "&amp;INDEX(Contracts!$A$2:$A$151,$AB971),IF($Z971="A","Generated from "&amp;INDEX(Fixed_Assets!$A$2:$A$201,$AB971),IF($Z971="F","Generated from "&amp;INDEX(FTE_Allocation!$A$2:$A$201,$AB971),"")))</f>
        <v/>
      </c>
      <c r="X971" s="19">
        <f>IF($Z971="","",SUM(J971:U971))</f>
        <v/>
      </c>
      <c r="Y971" s="20">
        <f>ROW()-1</f>
        <v/>
      </c>
      <c r="Z971" s="20">
        <f>IF($Y971&lt;=Settings!$B$4*3,"C",IF($Y971&lt;=(Settings!$B$4+Settings!$B$5)*3,"A",IF($Y971&lt;=(Settings!$B$4+Settings!$B$5+Settings!$B$6)*3,"F","")))</f>
        <v/>
      </c>
      <c r="AA971" s="20">
        <f>IF($Z971="C",$Y971,IF($Z971="A",$Y971-Settings!$B$4*3,IF($Z971="F",$Y971-(Settings!$B$4+Settings!$B$5)*3,"")))</f>
        <v/>
      </c>
      <c r="AB971" s="20">
        <f>IF($Z971="","",INT(($AA971-1)/3)+1)</f>
        <v/>
      </c>
      <c r="AC971" s="20">
        <f>IF($Z971="","",MOD($AA971-1,3)+1)</f>
        <v/>
      </c>
      <c r="AD971" s="20">
        <f>IF($Z971="","",Settings!$B$2+$AC971-1)</f>
        <v/>
      </c>
      <c r="AE971" s="21">
        <f>IF($Z971="C",DATE(YEAR(INDEX(Contracts!$J$2:$J$151,$AB971)),MONTH(INDEX(Contracts!$J$2:$J$151,$AB971)),1),IF($Z971="A",DATE(YEAR(INDEX(Fixed_Assets!$G$2:$G$201,$AB971)),MONTH(INDEX(Fixed_Assets!$G$2:$G$201,$AB971)),1),IF($Z971="F",DATE(YEAR(MAX(N(INDEX(Workforce!$I$2:$I$151,MATCH(INDEX(FTE_Allocation!$A$2:$A$201,$AB971),Workforce!$A$2:$A$151,0))),N(INDEX(FTE_Allocation!$I$2:$I$201,$AB971)))),MONTH(MAX(N(INDEX(Workforce!$I$2:$I$151,MATCH(INDEX(FTE_Allocation!$A$2:$A$201,$AB971),Workforce!$A$2:$A$151,0))),N(INDEX(FTE_Allocation!$I$2:$I$201,$AB971)))),1),"")))</f>
        <v/>
      </c>
      <c r="AF971" s="21">
        <f>IF($Z971="C",IF(INDEX(Contracts!$I$2:$I$151,$AB971)="PREPAID",EDATE(DATE(YEAR(INDEX(Contracts!$J$2:$J$151,$AB971)),MONTH(INDEX(Contracts!$J$2:$J$151,$AB971)),1),IF(INDEX(Contracts!$N$2:$N$151,$AB971)="",12,INDEX(Contracts!$N$2:$N$151,$AB971))-1),IF(INDEX(Contracts!$I$2:$I$151,$AB971)="MONTHLY",IF(INDEX(Contracts!$K$2:$K$151,$AB971)="",2958101,INDEX(Contracts!$K$2:$K$151,$AB971)),0)),IF($Z971="A",EDATE(DATE(YEAR(INDEX(Fixed_Assets!$G$2:$G$201,$AB971)),MONTH(INDEX(Fixed_Assets!$G$2:$G$201,$AB971)),1),INDEX(Fixed_Assets!$J$2:$J$201,$AB971)-1),IF($Z971="F",MIN(IF(INDEX(Workforce!$J$2:$J$151,MATCH(INDEX(FTE_Allocation!$A$2:$A$201,$AB971),Workforce!$A$2:$A$151,0))="",2958101,INDEX(Workforce!$J$2:$J$151,MATCH(INDEX(FTE_Allocation!$A$2:$A$201,$AB971),Workforce!$A$2:$A$151,0))),IF(INDEX(FTE_Allocation!$J$2:$J$201,$AB971)="",2958101,INDEX(FTE_Allocation!$J$2:$J$201,$AB971))),"")))</f>
        <v/>
      </c>
      <c r="AG971" s="19">
        <f>IF($Z971="C",IF(INDEX(Contracts!$I$2:$I$151,$AB971)="PREPAID",INDEX(Contracts!$M$2:$M$151,$AB971)/IF(INDEX(Contracts!$N$2:$N$151,$AB971)="",12,INDEX(Contracts!$N$2:$N$151,$AB971)),IF(INDEX(Contracts!$I$2:$I$151,$AB971)="MONTHLY",INDEX(Contracts!$M$2:$M$151,$AB971),0))*(1-N(INDEX(Contracts!$O$2:$O$151,$AB971))),IF($Z971="A",INDEX(Fixed_Assets!$H$2:$H$201,$AB971)/INDEX(Fixed_Assets!$J$2:$J$201,$AB971),IF($Z971="F",INDEX(Workforce!$F$2:$F$151,MATCH(INDEX(FTE_Allocation!$A$2:$A$201,$AB971),Workforce!$A$2:$A$151,0))*N(INDEX(FTE_Allocation!$F$2:$H$201,$AB971,$AC971)),"")))</f>
        <v/>
      </c>
    </row>
    <row r="972">
      <c r="A972" s="7">
        <f>IF($Z972="","",$AD972)</f>
        <v/>
      </c>
      <c r="B972" s="7">
        <f>IF($Z972="C",INDEX(Contracts!$D$2:$D$151,$AB972)&amp;"",IF($Z972="A",INDEX(Fixed_Assets!$C$2:$C$201,$AB972)&amp;"",IF($Z972="F",INDEX(Workforce!$B$2:$B$151,MATCH(INDEX(FTE_Allocation!$A$2:$A$201,$AB972),Workforce!$A$2:$A$151,0))&amp;"","")))</f>
        <v/>
      </c>
      <c r="C972" s="7">
        <f>IF($Z972="C",INDEX(Contracts!$E$2:$E$151,$AB972)&amp;"",IF($Z972="A",INDEX(Fixed_Assets!$D$2:$D$201,$AB972)&amp;"",IF($Z972="F",INDEX(FTE_Allocation!$C$2:$C$201,$AB972)&amp;"","")))</f>
        <v/>
      </c>
      <c r="D972" s="7">
        <f>IF($Z972="C",INDEX(Contracts!$B$2:$B$151,$AB972)&amp;"",IF($Z972="A",INDEX(Fixed_Assets!$B$2:$B$201,$AB972)&amp;"",IF($Z972="F",INDEX(FTE_Allocation!$B$2:$B$201,$AB972)&amp;"","")))</f>
        <v/>
      </c>
      <c r="E972" s="7">
        <f>IF($Z972="C",INDEX(Contracts!$P$2:$P$151,$AB972)&amp;"",IF($Z972="A",INDEX(Fixed_Assets!$K$2:$K$201,$AB972)&amp;"",IF($Z972="F",IF(INDEX(FTE_Allocation!$D$2:$D$201,$AB972)="PROJECT",IFERROR(INDEX(Projects!$D:$D,MATCH(INDEX(FTE_Allocation!$E$2:$E$201,$AB972),Projects!$A:$A,0))&amp;"","#PROJECT?"),INDEX(FTE_Allocation!$E$2:$E$201,$AB972)&amp;""),"")))</f>
        <v/>
      </c>
      <c r="F972" s="7">
        <f>IF($Z972="C",INDEX(Contracts!$Q$2:$Q$151,$AB972)&amp;"",IF($Z972="A",INDEX(Fixed_Assets!$L$2:$L$201,$AB972)&amp;"",IF($Z972="F",INDEX(Workforce!$K$2:$K$151,MATCH(INDEX(FTE_Allocation!$A$2:$A$201,$AB972),Workforce!$A$2:$A$151,0))&amp;"","")))</f>
        <v/>
      </c>
      <c r="G972" s="7">
        <f>IF($Z972="C",INDEX(Contracts!$F$2:$F$151,$AB972)&amp;" / "&amp;INDEX(Contracts!$G$2:$G$151,$AB972),IF($Z972="A",INDEX(Fixed_Assets!$E$2:$E$201,$AB972)&amp;"",IF($Z972="F","Personnel "&amp;INDEX(FTE_Allocation!$A$2:$A$201,$AB972)&amp;IF(INDEX(FTE_Allocation!$D$2:$D$201,$AB972)="PROJECT"," ("&amp;INDEX(FTE_Allocation!$E$2:$E$201,$AB972)&amp;")",""),"")))</f>
        <v/>
      </c>
      <c r="H972" s="7">
        <f>IF($Z972="C","CONTRACT",IF($Z972="A","ASSET",IF($Z972="F","WORKFORCE","")))</f>
        <v/>
      </c>
      <c r="I972" s="7">
        <f>IF($Z972="C",INDEX(Contracts!$L$2:$L$151,$AB972)&amp;"",IF($Z972="A",INDEX(Fixed_Assets!$I$2:$I$201,$AB972)&amp;"",IF($Z972="F",INDEX(Workforce!$G$2:$G$151,MATCH(INDEX(FTE_Allocation!$A$2:$A$201,$AB972),Workforce!$A$2:$A$151,0))&amp;"","")))</f>
        <v/>
      </c>
      <c r="J972" s="18">
        <f>IF($Z972="","",IF(AND(DATE($AD972,1,1)&gt;=$AE972,DATE($AD972,1,1)&lt;=$AF972),ROUND($AG972,2),0))</f>
        <v/>
      </c>
      <c r="K972" s="18">
        <f>IF($Z972="","",IF(AND(DATE($AD972,2,1)&gt;=$AE972,DATE($AD972,2,1)&lt;=$AF972),ROUND($AG972,2),0))</f>
        <v/>
      </c>
      <c r="L972" s="18">
        <f>IF($Z972="","",IF(AND(DATE($AD972,3,1)&gt;=$AE972,DATE($AD972,3,1)&lt;=$AF972),ROUND($AG972,2),0))</f>
        <v/>
      </c>
      <c r="M972" s="18">
        <f>IF($Z972="","",IF(AND(DATE($AD972,4,1)&gt;=$AE972,DATE($AD972,4,1)&lt;=$AF972),ROUND($AG972,2),0))</f>
        <v/>
      </c>
      <c r="N972" s="18">
        <f>IF($Z972="","",IF(AND(DATE($AD972,5,1)&gt;=$AE972,DATE($AD972,5,1)&lt;=$AF972),ROUND($AG972,2),0))</f>
        <v/>
      </c>
      <c r="O972" s="18">
        <f>IF($Z972="","",IF(AND(DATE($AD972,6,1)&gt;=$AE972,DATE($AD972,6,1)&lt;=$AF972),ROUND($AG972,2),0))</f>
        <v/>
      </c>
      <c r="P972" s="18">
        <f>IF($Z972="","",IF(AND(DATE($AD972,7,1)&gt;=$AE972,DATE($AD972,7,1)&lt;=$AF972),ROUND($AG972,2),0))</f>
        <v/>
      </c>
      <c r="Q972" s="18">
        <f>IF($Z972="","",IF(AND(DATE($AD972,8,1)&gt;=$AE972,DATE($AD972,8,1)&lt;=$AF972),ROUND($AG972,2),0))</f>
        <v/>
      </c>
      <c r="R972" s="18">
        <f>IF($Z972="","",IF(AND(DATE($AD972,9,1)&gt;=$AE972,DATE($AD972,9,1)&lt;=$AF972),ROUND($AG972,2),0))</f>
        <v/>
      </c>
      <c r="S972" s="18">
        <f>IF($Z972="","",IF(AND(DATE($AD972,10,1)&gt;=$AE972,DATE($AD972,10,1)&lt;=$AF972),ROUND($AG972,2),0))</f>
        <v/>
      </c>
      <c r="T972" s="18">
        <f>IF($Z972="","",IF(AND(DATE($AD972,11,1)&gt;=$AE972,DATE($AD972,11,1)&lt;=$AF972),ROUND($AG972,2),0))</f>
        <v/>
      </c>
      <c r="U972" s="18">
        <f>IF($Z972="","",IF(AND(DATE($AD972,12,1)&gt;=$AE972,DATE($AD972,12,1)&lt;=$AF972),ROUND($AG972,2),0))</f>
        <v/>
      </c>
      <c r="V972" s="7">
        <f>IF($Z972="C","Generated from "&amp;INDEX(Contracts!$A$2:$A$151,$AB972),IF($Z972="A","Generated from "&amp;INDEX(Fixed_Assets!$A$2:$A$201,$AB972),IF($Z972="F","Generated from "&amp;INDEX(FTE_Allocation!$A$2:$A$201,$AB972),"")))</f>
        <v/>
      </c>
      <c r="X972" s="19">
        <f>IF($Z972="","",SUM(J972:U972))</f>
        <v/>
      </c>
      <c r="Y972" s="20">
        <f>ROW()-1</f>
        <v/>
      </c>
      <c r="Z972" s="20">
        <f>IF($Y972&lt;=Settings!$B$4*3,"C",IF($Y972&lt;=(Settings!$B$4+Settings!$B$5)*3,"A",IF($Y972&lt;=(Settings!$B$4+Settings!$B$5+Settings!$B$6)*3,"F","")))</f>
        <v/>
      </c>
      <c r="AA972" s="20">
        <f>IF($Z972="C",$Y972,IF($Z972="A",$Y972-Settings!$B$4*3,IF($Z972="F",$Y972-(Settings!$B$4+Settings!$B$5)*3,"")))</f>
        <v/>
      </c>
      <c r="AB972" s="20">
        <f>IF($Z972="","",INT(($AA972-1)/3)+1)</f>
        <v/>
      </c>
      <c r="AC972" s="20">
        <f>IF($Z972="","",MOD($AA972-1,3)+1)</f>
        <v/>
      </c>
      <c r="AD972" s="20">
        <f>IF($Z972="","",Settings!$B$2+$AC972-1)</f>
        <v/>
      </c>
      <c r="AE972" s="21">
        <f>IF($Z972="C",DATE(YEAR(INDEX(Contracts!$J$2:$J$151,$AB972)),MONTH(INDEX(Contracts!$J$2:$J$151,$AB972)),1),IF($Z972="A",DATE(YEAR(INDEX(Fixed_Assets!$G$2:$G$201,$AB972)),MONTH(INDEX(Fixed_Assets!$G$2:$G$201,$AB972)),1),IF($Z972="F",DATE(YEAR(MAX(N(INDEX(Workforce!$I$2:$I$151,MATCH(INDEX(FTE_Allocation!$A$2:$A$201,$AB972),Workforce!$A$2:$A$151,0))),N(INDEX(FTE_Allocation!$I$2:$I$201,$AB972)))),MONTH(MAX(N(INDEX(Workforce!$I$2:$I$151,MATCH(INDEX(FTE_Allocation!$A$2:$A$201,$AB972),Workforce!$A$2:$A$151,0))),N(INDEX(FTE_Allocation!$I$2:$I$201,$AB972)))),1),"")))</f>
        <v/>
      </c>
      <c r="AF972" s="21">
        <f>IF($Z972="C",IF(INDEX(Contracts!$I$2:$I$151,$AB972)="PREPAID",EDATE(DATE(YEAR(INDEX(Contracts!$J$2:$J$151,$AB972)),MONTH(INDEX(Contracts!$J$2:$J$151,$AB972)),1),IF(INDEX(Contracts!$N$2:$N$151,$AB972)="",12,INDEX(Contracts!$N$2:$N$151,$AB972))-1),IF(INDEX(Contracts!$I$2:$I$151,$AB972)="MONTHLY",IF(INDEX(Contracts!$K$2:$K$151,$AB972)="",2958101,INDEX(Contracts!$K$2:$K$151,$AB972)),0)),IF($Z972="A",EDATE(DATE(YEAR(INDEX(Fixed_Assets!$G$2:$G$201,$AB972)),MONTH(INDEX(Fixed_Assets!$G$2:$G$201,$AB972)),1),INDEX(Fixed_Assets!$J$2:$J$201,$AB972)-1),IF($Z972="F",MIN(IF(INDEX(Workforce!$J$2:$J$151,MATCH(INDEX(FTE_Allocation!$A$2:$A$201,$AB972),Workforce!$A$2:$A$151,0))="",2958101,INDEX(Workforce!$J$2:$J$151,MATCH(INDEX(FTE_Allocation!$A$2:$A$201,$AB972),Workforce!$A$2:$A$151,0))),IF(INDEX(FTE_Allocation!$J$2:$J$201,$AB972)="",2958101,INDEX(FTE_Allocation!$J$2:$J$201,$AB972))),"")))</f>
        <v/>
      </c>
      <c r="AG972" s="19">
        <f>IF($Z972="C",IF(INDEX(Contracts!$I$2:$I$151,$AB972)="PREPAID",INDEX(Contracts!$M$2:$M$151,$AB972)/IF(INDEX(Contracts!$N$2:$N$151,$AB972)="",12,INDEX(Contracts!$N$2:$N$151,$AB972)),IF(INDEX(Contracts!$I$2:$I$151,$AB972)="MONTHLY",INDEX(Contracts!$M$2:$M$151,$AB972),0))*(1-N(INDEX(Contracts!$O$2:$O$151,$AB972))),IF($Z972="A",INDEX(Fixed_Assets!$H$2:$H$201,$AB972)/INDEX(Fixed_Assets!$J$2:$J$201,$AB972),IF($Z972="F",INDEX(Workforce!$F$2:$F$151,MATCH(INDEX(FTE_Allocation!$A$2:$A$201,$AB972),Workforce!$A$2:$A$151,0))*N(INDEX(FTE_Allocation!$F$2:$H$201,$AB972,$AC972)),"")))</f>
        <v/>
      </c>
    </row>
    <row r="973">
      <c r="A973" s="7">
        <f>IF($Z973="","",$AD973)</f>
        <v/>
      </c>
      <c r="B973" s="7">
        <f>IF($Z973="C",INDEX(Contracts!$D$2:$D$151,$AB973)&amp;"",IF($Z973="A",INDEX(Fixed_Assets!$C$2:$C$201,$AB973)&amp;"",IF($Z973="F",INDEX(Workforce!$B$2:$B$151,MATCH(INDEX(FTE_Allocation!$A$2:$A$201,$AB973),Workforce!$A$2:$A$151,0))&amp;"","")))</f>
        <v/>
      </c>
      <c r="C973" s="7">
        <f>IF($Z973="C",INDEX(Contracts!$E$2:$E$151,$AB973)&amp;"",IF($Z973="A",INDEX(Fixed_Assets!$D$2:$D$201,$AB973)&amp;"",IF($Z973="F",INDEX(FTE_Allocation!$C$2:$C$201,$AB973)&amp;"","")))</f>
        <v/>
      </c>
      <c r="D973" s="7">
        <f>IF($Z973="C",INDEX(Contracts!$B$2:$B$151,$AB973)&amp;"",IF($Z973="A",INDEX(Fixed_Assets!$B$2:$B$201,$AB973)&amp;"",IF($Z973="F",INDEX(FTE_Allocation!$B$2:$B$201,$AB973)&amp;"","")))</f>
        <v/>
      </c>
      <c r="E973" s="7">
        <f>IF($Z973="C",INDEX(Contracts!$P$2:$P$151,$AB973)&amp;"",IF($Z973="A",INDEX(Fixed_Assets!$K$2:$K$201,$AB973)&amp;"",IF($Z973="F",IF(INDEX(FTE_Allocation!$D$2:$D$201,$AB973)="PROJECT",IFERROR(INDEX(Projects!$D:$D,MATCH(INDEX(FTE_Allocation!$E$2:$E$201,$AB973),Projects!$A:$A,0))&amp;"","#PROJECT?"),INDEX(FTE_Allocation!$E$2:$E$201,$AB973)&amp;""),"")))</f>
        <v/>
      </c>
      <c r="F973" s="7">
        <f>IF($Z973="C",INDEX(Contracts!$Q$2:$Q$151,$AB973)&amp;"",IF($Z973="A",INDEX(Fixed_Assets!$L$2:$L$201,$AB973)&amp;"",IF($Z973="F",INDEX(Workforce!$K$2:$K$151,MATCH(INDEX(FTE_Allocation!$A$2:$A$201,$AB973),Workforce!$A$2:$A$151,0))&amp;"","")))</f>
        <v/>
      </c>
      <c r="G973" s="7">
        <f>IF($Z973="C",INDEX(Contracts!$F$2:$F$151,$AB973)&amp;" / "&amp;INDEX(Contracts!$G$2:$G$151,$AB973),IF($Z973="A",INDEX(Fixed_Assets!$E$2:$E$201,$AB973)&amp;"",IF($Z973="F","Personnel "&amp;INDEX(FTE_Allocation!$A$2:$A$201,$AB973)&amp;IF(INDEX(FTE_Allocation!$D$2:$D$201,$AB973)="PROJECT"," ("&amp;INDEX(FTE_Allocation!$E$2:$E$201,$AB973)&amp;")",""),"")))</f>
        <v/>
      </c>
      <c r="H973" s="7">
        <f>IF($Z973="C","CONTRACT",IF($Z973="A","ASSET",IF($Z973="F","WORKFORCE","")))</f>
        <v/>
      </c>
      <c r="I973" s="7">
        <f>IF($Z973="C",INDEX(Contracts!$L$2:$L$151,$AB973)&amp;"",IF($Z973="A",INDEX(Fixed_Assets!$I$2:$I$201,$AB973)&amp;"",IF($Z973="F",INDEX(Workforce!$G$2:$G$151,MATCH(INDEX(FTE_Allocation!$A$2:$A$201,$AB973),Workforce!$A$2:$A$151,0))&amp;"","")))</f>
        <v/>
      </c>
      <c r="J973" s="18">
        <f>IF($Z973="","",IF(AND(DATE($AD973,1,1)&gt;=$AE973,DATE($AD973,1,1)&lt;=$AF973),ROUND($AG973,2),0))</f>
        <v/>
      </c>
      <c r="K973" s="18">
        <f>IF($Z973="","",IF(AND(DATE($AD973,2,1)&gt;=$AE973,DATE($AD973,2,1)&lt;=$AF973),ROUND($AG973,2),0))</f>
        <v/>
      </c>
      <c r="L973" s="18">
        <f>IF($Z973="","",IF(AND(DATE($AD973,3,1)&gt;=$AE973,DATE($AD973,3,1)&lt;=$AF973),ROUND($AG973,2),0))</f>
        <v/>
      </c>
      <c r="M973" s="18">
        <f>IF($Z973="","",IF(AND(DATE($AD973,4,1)&gt;=$AE973,DATE($AD973,4,1)&lt;=$AF973),ROUND($AG973,2),0))</f>
        <v/>
      </c>
      <c r="N973" s="18">
        <f>IF($Z973="","",IF(AND(DATE($AD973,5,1)&gt;=$AE973,DATE($AD973,5,1)&lt;=$AF973),ROUND($AG973,2),0))</f>
        <v/>
      </c>
      <c r="O973" s="18">
        <f>IF($Z973="","",IF(AND(DATE($AD973,6,1)&gt;=$AE973,DATE($AD973,6,1)&lt;=$AF973),ROUND($AG973,2),0))</f>
        <v/>
      </c>
      <c r="P973" s="18">
        <f>IF($Z973="","",IF(AND(DATE($AD973,7,1)&gt;=$AE973,DATE($AD973,7,1)&lt;=$AF973),ROUND($AG973,2),0))</f>
        <v/>
      </c>
      <c r="Q973" s="18">
        <f>IF($Z973="","",IF(AND(DATE($AD973,8,1)&gt;=$AE973,DATE($AD973,8,1)&lt;=$AF973),ROUND($AG973,2),0))</f>
        <v/>
      </c>
      <c r="R973" s="18">
        <f>IF($Z973="","",IF(AND(DATE($AD973,9,1)&gt;=$AE973,DATE($AD973,9,1)&lt;=$AF973),ROUND($AG973,2),0))</f>
        <v/>
      </c>
      <c r="S973" s="18">
        <f>IF($Z973="","",IF(AND(DATE($AD973,10,1)&gt;=$AE973,DATE($AD973,10,1)&lt;=$AF973),ROUND($AG973,2),0))</f>
        <v/>
      </c>
      <c r="T973" s="18">
        <f>IF($Z973="","",IF(AND(DATE($AD973,11,1)&gt;=$AE973,DATE($AD973,11,1)&lt;=$AF973),ROUND($AG973,2),0))</f>
        <v/>
      </c>
      <c r="U973" s="18">
        <f>IF($Z973="","",IF(AND(DATE($AD973,12,1)&gt;=$AE973,DATE($AD973,12,1)&lt;=$AF973),ROUND($AG973,2),0))</f>
        <v/>
      </c>
      <c r="V973" s="7">
        <f>IF($Z973="C","Generated from "&amp;INDEX(Contracts!$A$2:$A$151,$AB973),IF($Z973="A","Generated from "&amp;INDEX(Fixed_Assets!$A$2:$A$201,$AB973),IF($Z973="F","Generated from "&amp;INDEX(FTE_Allocation!$A$2:$A$201,$AB973),"")))</f>
        <v/>
      </c>
      <c r="X973" s="19">
        <f>IF($Z973="","",SUM(J973:U973))</f>
        <v/>
      </c>
      <c r="Y973" s="20">
        <f>ROW()-1</f>
        <v/>
      </c>
      <c r="Z973" s="20">
        <f>IF($Y973&lt;=Settings!$B$4*3,"C",IF($Y973&lt;=(Settings!$B$4+Settings!$B$5)*3,"A",IF($Y973&lt;=(Settings!$B$4+Settings!$B$5+Settings!$B$6)*3,"F","")))</f>
        <v/>
      </c>
      <c r="AA973" s="20">
        <f>IF($Z973="C",$Y973,IF($Z973="A",$Y973-Settings!$B$4*3,IF($Z973="F",$Y973-(Settings!$B$4+Settings!$B$5)*3,"")))</f>
        <v/>
      </c>
      <c r="AB973" s="20">
        <f>IF($Z973="","",INT(($AA973-1)/3)+1)</f>
        <v/>
      </c>
      <c r="AC973" s="20">
        <f>IF($Z973="","",MOD($AA973-1,3)+1)</f>
        <v/>
      </c>
      <c r="AD973" s="20">
        <f>IF($Z973="","",Settings!$B$2+$AC973-1)</f>
        <v/>
      </c>
      <c r="AE973" s="21">
        <f>IF($Z973="C",DATE(YEAR(INDEX(Contracts!$J$2:$J$151,$AB973)),MONTH(INDEX(Contracts!$J$2:$J$151,$AB973)),1),IF($Z973="A",DATE(YEAR(INDEX(Fixed_Assets!$G$2:$G$201,$AB973)),MONTH(INDEX(Fixed_Assets!$G$2:$G$201,$AB973)),1),IF($Z973="F",DATE(YEAR(MAX(N(INDEX(Workforce!$I$2:$I$151,MATCH(INDEX(FTE_Allocation!$A$2:$A$201,$AB973),Workforce!$A$2:$A$151,0))),N(INDEX(FTE_Allocation!$I$2:$I$201,$AB973)))),MONTH(MAX(N(INDEX(Workforce!$I$2:$I$151,MATCH(INDEX(FTE_Allocation!$A$2:$A$201,$AB973),Workforce!$A$2:$A$151,0))),N(INDEX(FTE_Allocation!$I$2:$I$201,$AB973)))),1),"")))</f>
        <v/>
      </c>
      <c r="AF973" s="21">
        <f>IF($Z973="C",IF(INDEX(Contracts!$I$2:$I$151,$AB973)="PREPAID",EDATE(DATE(YEAR(INDEX(Contracts!$J$2:$J$151,$AB973)),MONTH(INDEX(Contracts!$J$2:$J$151,$AB973)),1),IF(INDEX(Contracts!$N$2:$N$151,$AB973)="",12,INDEX(Contracts!$N$2:$N$151,$AB973))-1),IF(INDEX(Contracts!$I$2:$I$151,$AB973)="MONTHLY",IF(INDEX(Contracts!$K$2:$K$151,$AB973)="",2958101,INDEX(Contracts!$K$2:$K$151,$AB973)),0)),IF($Z973="A",EDATE(DATE(YEAR(INDEX(Fixed_Assets!$G$2:$G$201,$AB973)),MONTH(INDEX(Fixed_Assets!$G$2:$G$201,$AB973)),1),INDEX(Fixed_Assets!$J$2:$J$201,$AB973)-1),IF($Z973="F",MIN(IF(INDEX(Workforce!$J$2:$J$151,MATCH(INDEX(FTE_Allocation!$A$2:$A$201,$AB973),Workforce!$A$2:$A$151,0))="",2958101,INDEX(Workforce!$J$2:$J$151,MATCH(INDEX(FTE_Allocation!$A$2:$A$201,$AB973),Workforce!$A$2:$A$151,0))),IF(INDEX(FTE_Allocation!$J$2:$J$201,$AB973)="",2958101,INDEX(FTE_Allocation!$J$2:$J$201,$AB973))),"")))</f>
        <v/>
      </c>
      <c r="AG973" s="19">
        <f>IF($Z973="C",IF(INDEX(Contracts!$I$2:$I$151,$AB973)="PREPAID",INDEX(Contracts!$M$2:$M$151,$AB973)/IF(INDEX(Contracts!$N$2:$N$151,$AB973)="",12,INDEX(Contracts!$N$2:$N$151,$AB973)),IF(INDEX(Contracts!$I$2:$I$151,$AB973)="MONTHLY",INDEX(Contracts!$M$2:$M$151,$AB973),0))*(1-N(INDEX(Contracts!$O$2:$O$151,$AB973))),IF($Z973="A",INDEX(Fixed_Assets!$H$2:$H$201,$AB973)/INDEX(Fixed_Assets!$J$2:$J$201,$AB973),IF($Z973="F",INDEX(Workforce!$F$2:$F$151,MATCH(INDEX(FTE_Allocation!$A$2:$A$201,$AB973),Workforce!$A$2:$A$151,0))*N(INDEX(FTE_Allocation!$F$2:$H$201,$AB973,$AC973)),"")))</f>
        <v/>
      </c>
    </row>
    <row r="974">
      <c r="A974" s="7">
        <f>IF($Z974="","",$AD974)</f>
        <v/>
      </c>
      <c r="B974" s="7">
        <f>IF($Z974="C",INDEX(Contracts!$D$2:$D$151,$AB974)&amp;"",IF($Z974="A",INDEX(Fixed_Assets!$C$2:$C$201,$AB974)&amp;"",IF($Z974="F",INDEX(Workforce!$B$2:$B$151,MATCH(INDEX(FTE_Allocation!$A$2:$A$201,$AB974),Workforce!$A$2:$A$151,0))&amp;"","")))</f>
        <v/>
      </c>
      <c r="C974" s="7">
        <f>IF($Z974="C",INDEX(Contracts!$E$2:$E$151,$AB974)&amp;"",IF($Z974="A",INDEX(Fixed_Assets!$D$2:$D$201,$AB974)&amp;"",IF($Z974="F",INDEX(FTE_Allocation!$C$2:$C$201,$AB974)&amp;"","")))</f>
        <v/>
      </c>
      <c r="D974" s="7">
        <f>IF($Z974="C",INDEX(Contracts!$B$2:$B$151,$AB974)&amp;"",IF($Z974="A",INDEX(Fixed_Assets!$B$2:$B$201,$AB974)&amp;"",IF($Z974="F",INDEX(FTE_Allocation!$B$2:$B$201,$AB974)&amp;"","")))</f>
        <v/>
      </c>
      <c r="E974" s="7">
        <f>IF($Z974="C",INDEX(Contracts!$P$2:$P$151,$AB974)&amp;"",IF($Z974="A",INDEX(Fixed_Assets!$K$2:$K$201,$AB974)&amp;"",IF($Z974="F",IF(INDEX(FTE_Allocation!$D$2:$D$201,$AB974)="PROJECT",IFERROR(INDEX(Projects!$D:$D,MATCH(INDEX(FTE_Allocation!$E$2:$E$201,$AB974),Projects!$A:$A,0))&amp;"","#PROJECT?"),INDEX(FTE_Allocation!$E$2:$E$201,$AB974)&amp;""),"")))</f>
        <v/>
      </c>
      <c r="F974" s="7">
        <f>IF($Z974="C",INDEX(Contracts!$Q$2:$Q$151,$AB974)&amp;"",IF($Z974="A",INDEX(Fixed_Assets!$L$2:$L$201,$AB974)&amp;"",IF($Z974="F",INDEX(Workforce!$K$2:$K$151,MATCH(INDEX(FTE_Allocation!$A$2:$A$201,$AB974),Workforce!$A$2:$A$151,0))&amp;"","")))</f>
        <v/>
      </c>
      <c r="G974" s="7">
        <f>IF($Z974="C",INDEX(Contracts!$F$2:$F$151,$AB974)&amp;" / "&amp;INDEX(Contracts!$G$2:$G$151,$AB974),IF($Z974="A",INDEX(Fixed_Assets!$E$2:$E$201,$AB974)&amp;"",IF($Z974="F","Personnel "&amp;INDEX(FTE_Allocation!$A$2:$A$201,$AB974)&amp;IF(INDEX(FTE_Allocation!$D$2:$D$201,$AB974)="PROJECT"," ("&amp;INDEX(FTE_Allocation!$E$2:$E$201,$AB974)&amp;")",""),"")))</f>
        <v/>
      </c>
      <c r="H974" s="7">
        <f>IF($Z974="C","CONTRACT",IF($Z974="A","ASSET",IF($Z974="F","WORKFORCE","")))</f>
        <v/>
      </c>
      <c r="I974" s="7">
        <f>IF($Z974="C",INDEX(Contracts!$L$2:$L$151,$AB974)&amp;"",IF($Z974="A",INDEX(Fixed_Assets!$I$2:$I$201,$AB974)&amp;"",IF($Z974="F",INDEX(Workforce!$G$2:$G$151,MATCH(INDEX(FTE_Allocation!$A$2:$A$201,$AB974),Workforce!$A$2:$A$151,0))&amp;"","")))</f>
        <v/>
      </c>
      <c r="J974" s="18">
        <f>IF($Z974="","",IF(AND(DATE($AD974,1,1)&gt;=$AE974,DATE($AD974,1,1)&lt;=$AF974),ROUND($AG974,2),0))</f>
        <v/>
      </c>
      <c r="K974" s="18">
        <f>IF($Z974="","",IF(AND(DATE($AD974,2,1)&gt;=$AE974,DATE($AD974,2,1)&lt;=$AF974),ROUND($AG974,2),0))</f>
        <v/>
      </c>
      <c r="L974" s="18">
        <f>IF($Z974="","",IF(AND(DATE($AD974,3,1)&gt;=$AE974,DATE($AD974,3,1)&lt;=$AF974),ROUND($AG974,2),0))</f>
        <v/>
      </c>
      <c r="M974" s="18">
        <f>IF($Z974="","",IF(AND(DATE($AD974,4,1)&gt;=$AE974,DATE($AD974,4,1)&lt;=$AF974),ROUND($AG974,2),0))</f>
        <v/>
      </c>
      <c r="N974" s="18">
        <f>IF($Z974="","",IF(AND(DATE($AD974,5,1)&gt;=$AE974,DATE($AD974,5,1)&lt;=$AF974),ROUND($AG974,2),0))</f>
        <v/>
      </c>
      <c r="O974" s="18">
        <f>IF($Z974="","",IF(AND(DATE($AD974,6,1)&gt;=$AE974,DATE($AD974,6,1)&lt;=$AF974),ROUND($AG974,2),0))</f>
        <v/>
      </c>
      <c r="P974" s="18">
        <f>IF($Z974="","",IF(AND(DATE($AD974,7,1)&gt;=$AE974,DATE($AD974,7,1)&lt;=$AF974),ROUND($AG974,2),0))</f>
        <v/>
      </c>
      <c r="Q974" s="18">
        <f>IF($Z974="","",IF(AND(DATE($AD974,8,1)&gt;=$AE974,DATE($AD974,8,1)&lt;=$AF974),ROUND($AG974,2),0))</f>
        <v/>
      </c>
      <c r="R974" s="18">
        <f>IF($Z974="","",IF(AND(DATE($AD974,9,1)&gt;=$AE974,DATE($AD974,9,1)&lt;=$AF974),ROUND($AG974,2),0))</f>
        <v/>
      </c>
      <c r="S974" s="18">
        <f>IF($Z974="","",IF(AND(DATE($AD974,10,1)&gt;=$AE974,DATE($AD974,10,1)&lt;=$AF974),ROUND($AG974,2),0))</f>
        <v/>
      </c>
      <c r="T974" s="18">
        <f>IF($Z974="","",IF(AND(DATE($AD974,11,1)&gt;=$AE974,DATE($AD974,11,1)&lt;=$AF974),ROUND($AG974,2),0))</f>
        <v/>
      </c>
      <c r="U974" s="18">
        <f>IF($Z974="","",IF(AND(DATE($AD974,12,1)&gt;=$AE974,DATE($AD974,12,1)&lt;=$AF974),ROUND($AG974,2),0))</f>
        <v/>
      </c>
      <c r="V974" s="7">
        <f>IF($Z974="C","Generated from "&amp;INDEX(Contracts!$A$2:$A$151,$AB974),IF($Z974="A","Generated from "&amp;INDEX(Fixed_Assets!$A$2:$A$201,$AB974),IF($Z974="F","Generated from "&amp;INDEX(FTE_Allocation!$A$2:$A$201,$AB974),"")))</f>
        <v/>
      </c>
      <c r="X974" s="19">
        <f>IF($Z974="","",SUM(J974:U974))</f>
        <v/>
      </c>
      <c r="Y974" s="20">
        <f>ROW()-1</f>
        <v/>
      </c>
      <c r="Z974" s="20">
        <f>IF($Y974&lt;=Settings!$B$4*3,"C",IF($Y974&lt;=(Settings!$B$4+Settings!$B$5)*3,"A",IF($Y974&lt;=(Settings!$B$4+Settings!$B$5+Settings!$B$6)*3,"F","")))</f>
        <v/>
      </c>
      <c r="AA974" s="20">
        <f>IF($Z974="C",$Y974,IF($Z974="A",$Y974-Settings!$B$4*3,IF($Z974="F",$Y974-(Settings!$B$4+Settings!$B$5)*3,"")))</f>
        <v/>
      </c>
      <c r="AB974" s="20">
        <f>IF($Z974="","",INT(($AA974-1)/3)+1)</f>
        <v/>
      </c>
      <c r="AC974" s="20">
        <f>IF($Z974="","",MOD($AA974-1,3)+1)</f>
        <v/>
      </c>
      <c r="AD974" s="20">
        <f>IF($Z974="","",Settings!$B$2+$AC974-1)</f>
        <v/>
      </c>
      <c r="AE974" s="21">
        <f>IF($Z974="C",DATE(YEAR(INDEX(Contracts!$J$2:$J$151,$AB974)),MONTH(INDEX(Contracts!$J$2:$J$151,$AB974)),1),IF($Z974="A",DATE(YEAR(INDEX(Fixed_Assets!$G$2:$G$201,$AB974)),MONTH(INDEX(Fixed_Assets!$G$2:$G$201,$AB974)),1),IF($Z974="F",DATE(YEAR(MAX(N(INDEX(Workforce!$I$2:$I$151,MATCH(INDEX(FTE_Allocation!$A$2:$A$201,$AB974),Workforce!$A$2:$A$151,0))),N(INDEX(FTE_Allocation!$I$2:$I$201,$AB974)))),MONTH(MAX(N(INDEX(Workforce!$I$2:$I$151,MATCH(INDEX(FTE_Allocation!$A$2:$A$201,$AB974),Workforce!$A$2:$A$151,0))),N(INDEX(FTE_Allocation!$I$2:$I$201,$AB974)))),1),"")))</f>
        <v/>
      </c>
      <c r="AF974" s="21">
        <f>IF($Z974="C",IF(INDEX(Contracts!$I$2:$I$151,$AB974)="PREPAID",EDATE(DATE(YEAR(INDEX(Contracts!$J$2:$J$151,$AB974)),MONTH(INDEX(Contracts!$J$2:$J$151,$AB974)),1),IF(INDEX(Contracts!$N$2:$N$151,$AB974)="",12,INDEX(Contracts!$N$2:$N$151,$AB974))-1),IF(INDEX(Contracts!$I$2:$I$151,$AB974)="MONTHLY",IF(INDEX(Contracts!$K$2:$K$151,$AB974)="",2958101,INDEX(Contracts!$K$2:$K$151,$AB974)),0)),IF($Z974="A",EDATE(DATE(YEAR(INDEX(Fixed_Assets!$G$2:$G$201,$AB974)),MONTH(INDEX(Fixed_Assets!$G$2:$G$201,$AB974)),1),INDEX(Fixed_Assets!$J$2:$J$201,$AB974)-1),IF($Z974="F",MIN(IF(INDEX(Workforce!$J$2:$J$151,MATCH(INDEX(FTE_Allocation!$A$2:$A$201,$AB974),Workforce!$A$2:$A$151,0))="",2958101,INDEX(Workforce!$J$2:$J$151,MATCH(INDEX(FTE_Allocation!$A$2:$A$201,$AB974),Workforce!$A$2:$A$151,0))),IF(INDEX(FTE_Allocation!$J$2:$J$201,$AB974)="",2958101,INDEX(FTE_Allocation!$J$2:$J$201,$AB974))),"")))</f>
        <v/>
      </c>
      <c r="AG974" s="19">
        <f>IF($Z974="C",IF(INDEX(Contracts!$I$2:$I$151,$AB974)="PREPAID",INDEX(Contracts!$M$2:$M$151,$AB974)/IF(INDEX(Contracts!$N$2:$N$151,$AB974)="",12,INDEX(Contracts!$N$2:$N$151,$AB974)),IF(INDEX(Contracts!$I$2:$I$151,$AB974)="MONTHLY",INDEX(Contracts!$M$2:$M$151,$AB974),0))*(1-N(INDEX(Contracts!$O$2:$O$151,$AB974))),IF($Z974="A",INDEX(Fixed_Assets!$H$2:$H$201,$AB974)/INDEX(Fixed_Assets!$J$2:$J$201,$AB974),IF($Z974="F",INDEX(Workforce!$F$2:$F$151,MATCH(INDEX(FTE_Allocation!$A$2:$A$201,$AB974),Workforce!$A$2:$A$151,0))*N(INDEX(FTE_Allocation!$F$2:$H$201,$AB974,$AC974)),"")))</f>
        <v/>
      </c>
    </row>
    <row r="975">
      <c r="A975" s="7">
        <f>IF($Z975="","",$AD975)</f>
        <v/>
      </c>
      <c r="B975" s="7">
        <f>IF($Z975="C",INDEX(Contracts!$D$2:$D$151,$AB975)&amp;"",IF($Z975="A",INDEX(Fixed_Assets!$C$2:$C$201,$AB975)&amp;"",IF($Z975="F",INDEX(Workforce!$B$2:$B$151,MATCH(INDEX(FTE_Allocation!$A$2:$A$201,$AB975),Workforce!$A$2:$A$151,0))&amp;"","")))</f>
        <v/>
      </c>
      <c r="C975" s="7">
        <f>IF($Z975="C",INDEX(Contracts!$E$2:$E$151,$AB975)&amp;"",IF($Z975="A",INDEX(Fixed_Assets!$D$2:$D$201,$AB975)&amp;"",IF($Z975="F",INDEX(FTE_Allocation!$C$2:$C$201,$AB975)&amp;"","")))</f>
        <v/>
      </c>
      <c r="D975" s="7">
        <f>IF($Z975="C",INDEX(Contracts!$B$2:$B$151,$AB975)&amp;"",IF($Z975="A",INDEX(Fixed_Assets!$B$2:$B$201,$AB975)&amp;"",IF($Z975="F",INDEX(FTE_Allocation!$B$2:$B$201,$AB975)&amp;"","")))</f>
        <v/>
      </c>
      <c r="E975" s="7">
        <f>IF($Z975="C",INDEX(Contracts!$P$2:$P$151,$AB975)&amp;"",IF($Z975="A",INDEX(Fixed_Assets!$K$2:$K$201,$AB975)&amp;"",IF($Z975="F",IF(INDEX(FTE_Allocation!$D$2:$D$201,$AB975)="PROJECT",IFERROR(INDEX(Projects!$D:$D,MATCH(INDEX(FTE_Allocation!$E$2:$E$201,$AB975),Projects!$A:$A,0))&amp;"","#PROJECT?"),INDEX(FTE_Allocation!$E$2:$E$201,$AB975)&amp;""),"")))</f>
        <v/>
      </c>
      <c r="F975" s="7">
        <f>IF($Z975="C",INDEX(Contracts!$Q$2:$Q$151,$AB975)&amp;"",IF($Z975="A",INDEX(Fixed_Assets!$L$2:$L$201,$AB975)&amp;"",IF($Z975="F",INDEX(Workforce!$K$2:$K$151,MATCH(INDEX(FTE_Allocation!$A$2:$A$201,$AB975),Workforce!$A$2:$A$151,0))&amp;"","")))</f>
        <v/>
      </c>
      <c r="G975" s="7">
        <f>IF($Z975="C",INDEX(Contracts!$F$2:$F$151,$AB975)&amp;" / "&amp;INDEX(Contracts!$G$2:$G$151,$AB975),IF($Z975="A",INDEX(Fixed_Assets!$E$2:$E$201,$AB975)&amp;"",IF($Z975="F","Personnel "&amp;INDEX(FTE_Allocation!$A$2:$A$201,$AB975)&amp;IF(INDEX(FTE_Allocation!$D$2:$D$201,$AB975)="PROJECT"," ("&amp;INDEX(FTE_Allocation!$E$2:$E$201,$AB975)&amp;")",""),"")))</f>
        <v/>
      </c>
      <c r="H975" s="7">
        <f>IF($Z975="C","CONTRACT",IF($Z975="A","ASSET",IF($Z975="F","WORKFORCE","")))</f>
        <v/>
      </c>
      <c r="I975" s="7">
        <f>IF($Z975="C",INDEX(Contracts!$L$2:$L$151,$AB975)&amp;"",IF($Z975="A",INDEX(Fixed_Assets!$I$2:$I$201,$AB975)&amp;"",IF($Z975="F",INDEX(Workforce!$G$2:$G$151,MATCH(INDEX(FTE_Allocation!$A$2:$A$201,$AB975),Workforce!$A$2:$A$151,0))&amp;"","")))</f>
        <v/>
      </c>
      <c r="J975" s="18">
        <f>IF($Z975="","",IF(AND(DATE($AD975,1,1)&gt;=$AE975,DATE($AD975,1,1)&lt;=$AF975),ROUND($AG975,2),0))</f>
        <v/>
      </c>
      <c r="K975" s="18">
        <f>IF($Z975="","",IF(AND(DATE($AD975,2,1)&gt;=$AE975,DATE($AD975,2,1)&lt;=$AF975),ROUND($AG975,2),0))</f>
        <v/>
      </c>
      <c r="L975" s="18">
        <f>IF($Z975="","",IF(AND(DATE($AD975,3,1)&gt;=$AE975,DATE($AD975,3,1)&lt;=$AF975),ROUND($AG975,2),0))</f>
        <v/>
      </c>
      <c r="M975" s="18">
        <f>IF($Z975="","",IF(AND(DATE($AD975,4,1)&gt;=$AE975,DATE($AD975,4,1)&lt;=$AF975),ROUND($AG975,2),0))</f>
        <v/>
      </c>
      <c r="N975" s="18">
        <f>IF($Z975="","",IF(AND(DATE($AD975,5,1)&gt;=$AE975,DATE($AD975,5,1)&lt;=$AF975),ROUND($AG975,2),0))</f>
        <v/>
      </c>
      <c r="O975" s="18">
        <f>IF($Z975="","",IF(AND(DATE($AD975,6,1)&gt;=$AE975,DATE($AD975,6,1)&lt;=$AF975),ROUND($AG975,2),0))</f>
        <v/>
      </c>
      <c r="P975" s="18">
        <f>IF($Z975="","",IF(AND(DATE($AD975,7,1)&gt;=$AE975,DATE($AD975,7,1)&lt;=$AF975),ROUND($AG975,2),0))</f>
        <v/>
      </c>
      <c r="Q975" s="18">
        <f>IF($Z975="","",IF(AND(DATE($AD975,8,1)&gt;=$AE975,DATE($AD975,8,1)&lt;=$AF975),ROUND($AG975,2),0))</f>
        <v/>
      </c>
      <c r="R975" s="18">
        <f>IF($Z975="","",IF(AND(DATE($AD975,9,1)&gt;=$AE975,DATE($AD975,9,1)&lt;=$AF975),ROUND($AG975,2),0))</f>
        <v/>
      </c>
      <c r="S975" s="18">
        <f>IF($Z975="","",IF(AND(DATE($AD975,10,1)&gt;=$AE975,DATE($AD975,10,1)&lt;=$AF975),ROUND($AG975,2),0))</f>
        <v/>
      </c>
      <c r="T975" s="18">
        <f>IF($Z975="","",IF(AND(DATE($AD975,11,1)&gt;=$AE975,DATE($AD975,11,1)&lt;=$AF975),ROUND($AG975,2),0))</f>
        <v/>
      </c>
      <c r="U975" s="18">
        <f>IF($Z975="","",IF(AND(DATE($AD975,12,1)&gt;=$AE975,DATE($AD975,12,1)&lt;=$AF975),ROUND($AG975,2),0))</f>
        <v/>
      </c>
      <c r="V975" s="7">
        <f>IF($Z975="C","Generated from "&amp;INDEX(Contracts!$A$2:$A$151,$AB975),IF($Z975="A","Generated from "&amp;INDEX(Fixed_Assets!$A$2:$A$201,$AB975),IF($Z975="F","Generated from "&amp;INDEX(FTE_Allocation!$A$2:$A$201,$AB975),"")))</f>
        <v/>
      </c>
      <c r="X975" s="19">
        <f>IF($Z975="","",SUM(J975:U975))</f>
        <v/>
      </c>
      <c r="Y975" s="20">
        <f>ROW()-1</f>
        <v/>
      </c>
      <c r="Z975" s="20">
        <f>IF($Y975&lt;=Settings!$B$4*3,"C",IF($Y975&lt;=(Settings!$B$4+Settings!$B$5)*3,"A",IF($Y975&lt;=(Settings!$B$4+Settings!$B$5+Settings!$B$6)*3,"F","")))</f>
        <v/>
      </c>
      <c r="AA975" s="20">
        <f>IF($Z975="C",$Y975,IF($Z975="A",$Y975-Settings!$B$4*3,IF($Z975="F",$Y975-(Settings!$B$4+Settings!$B$5)*3,"")))</f>
        <v/>
      </c>
      <c r="AB975" s="20">
        <f>IF($Z975="","",INT(($AA975-1)/3)+1)</f>
        <v/>
      </c>
      <c r="AC975" s="20">
        <f>IF($Z975="","",MOD($AA975-1,3)+1)</f>
        <v/>
      </c>
      <c r="AD975" s="20">
        <f>IF($Z975="","",Settings!$B$2+$AC975-1)</f>
        <v/>
      </c>
      <c r="AE975" s="21">
        <f>IF($Z975="C",DATE(YEAR(INDEX(Contracts!$J$2:$J$151,$AB975)),MONTH(INDEX(Contracts!$J$2:$J$151,$AB975)),1),IF($Z975="A",DATE(YEAR(INDEX(Fixed_Assets!$G$2:$G$201,$AB975)),MONTH(INDEX(Fixed_Assets!$G$2:$G$201,$AB975)),1),IF($Z975="F",DATE(YEAR(MAX(N(INDEX(Workforce!$I$2:$I$151,MATCH(INDEX(FTE_Allocation!$A$2:$A$201,$AB975),Workforce!$A$2:$A$151,0))),N(INDEX(FTE_Allocation!$I$2:$I$201,$AB975)))),MONTH(MAX(N(INDEX(Workforce!$I$2:$I$151,MATCH(INDEX(FTE_Allocation!$A$2:$A$201,$AB975),Workforce!$A$2:$A$151,0))),N(INDEX(FTE_Allocation!$I$2:$I$201,$AB975)))),1),"")))</f>
        <v/>
      </c>
      <c r="AF975" s="21">
        <f>IF($Z975="C",IF(INDEX(Contracts!$I$2:$I$151,$AB975)="PREPAID",EDATE(DATE(YEAR(INDEX(Contracts!$J$2:$J$151,$AB975)),MONTH(INDEX(Contracts!$J$2:$J$151,$AB975)),1),IF(INDEX(Contracts!$N$2:$N$151,$AB975)="",12,INDEX(Contracts!$N$2:$N$151,$AB975))-1),IF(INDEX(Contracts!$I$2:$I$151,$AB975)="MONTHLY",IF(INDEX(Contracts!$K$2:$K$151,$AB975)="",2958101,INDEX(Contracts!$K$2:$K$151,$AB975)),0)),IF($Z975="A",EDATE(DATE(YEAR(INDEX(Fixed_Assets!$G$2:$G$201,$AB975)),MONTH(INDEX(Fixed_Assets!$G$2:$G$201,$AB975)),1),INDEX(Fixed_Assets!$J$2:$J$201,$AB975)-1),IF($Z975="F",MIN(IF(INDEX(Workforce!$J$2:$J$151,MATCH(INDEX(FTE_Allocation!$A$2:$A$201,$AB975),Workforce!$A$2:$A$151,0))="",2958101,INDEX(Workforce!$J$2:$J$151,MATCH(INDEX(FTE_Allocation!$A$2:$A$201,$AB975),Workforce!$A$2:$A$151,0))),IF(INDEX(FTE_Allocation!$J$2:$J$201,$AB975)="",2958101,INDEX(FTE_Allocation!$J$2:$J$201,$AB975))),"")))</f>
        <v/>
      </c>
      <c r="AG975" s="19">
        <f>IF($Z975="C",IF(INDEX(Contracts!$I$2:$I$151,$AB975)="PREPAID",INDEX(Contracts!$M$2:$M$151,$AB975)/IF(INDEX(Contracts!$N$2:$N$151,$AB975)="",12,INDEX(Contracts!$N$2:$N$151,$AB975)),IF(INDEX(Contracts!$I$2:$I$151,$AB975)="MONTHLY",INDEX(Contracts!$M$2:$M$151,$AB975),0))*(1-N(INDEX(Contracts!$O$2:$O$151,$AB975))),IF($Z975="A",INDEX(Fixed_Assets!$H$2:$H$201,$AB975)/INDEX(Fixed_Assets!$J$2:$J$201,$AB975),IF($Z975="F",INDEX(Workforce!$F$2:$F$151,MATCH(INDEX(FTE_Allocation!$A$2:$A$201,$AB975),Workforce!$A$2:$A$151,0))*N(INDEX(FTE_Allocation!$F$2:$H$201,$AB975,$AC975)),"")))</f>
        <v/>
      </c>
    </row>
    <row r="976">
      <c r="A976" s="7">
        <f>IF($Z976="","",$AD976)</f>
        <v/>
      </c>
      <c r="B976" s="7">
        <f>IF($Z976="C",INDEX(Contracts!$D$2:$D$151,$AB976)&amp;"",IF($Z976="A",INDEX(Fixed_Assets!$C$2:$C$201,$AB976)&amp;"",IF($Z976="F",INDEX(Workforce!$B$2:$B$151,MATCH(INDEX(FTE_Allocation!$A$2:$A$201,$AB976),Workforce!$A$2:$A$151,0))&amp;"","")))</f>
        <v/>
      </c>
      <c r="C976" s="7">
        <f>IF($Z976="C",INDEX(Contracts!$E$2:$E$151,$AB976)&amp;"",IF($Z976="A",INDEX(Fixed_Assets!$D$2:$D$201,$AB976)&amp;"",IF($Z976="F",INDEX(FTE_Allocation!$C$2:$C$201,$AB976)&amp;"","")))</f>
        <v/>
      </c>
      <c r="D976" s="7">
        <f>IF($Z976="C",INDEX(Contracts!$B$2:$B$151,$AB976)&amp;"",IF($Z976="A",INDEX(Fixed_Assets!$B$2:$B$201,$AB976)&amp;"",IF($Z976="F",INDEX(FTE_Allocation!$B$2:$B$201,$AB976)&amp;"","")))</f>
        <v/>
      </c>
      <c r="E976" s="7">
        <f>IF($Z976="C",INDEX(Contracts!$P$2:$P$151,$AB976)&amp;"",IF($Z976="A",INDEX(Fixed_Assets!$K$2:$K$201,$AB976)&amp;"",IF($Z976="F",IF(INDEX(FTE_Allocation!$D$2:$D$201,$AB976)="PROJECT",IFERROR(INDEX(Projects!$D:$D,MATCH(INDEX(FTE_Allocation!$E$2:$E$201,$AB976),Projects!$A:$A,0))&amp;"","#PROJECT?"),INDEX(FTE_Allocation!$E$2:$E$201,$AB976)&amp;""),"")))</f>
        <v/>
      </c>
      <c r="F976" s="7">
        <f>IF($Z976="C",INDEX(Contracts!$Q$2:$Q$151,$AB976)&amp;"",IF($Z976="A",INDEX(Fixed_Assets!$L$2:$L$201,$AB976)&amp;"",IF($Z976="F",INDEX(Workforce!$K$2:$K$151,MATCH(INDEX(FTE_Allocation!$A$2:$A$201,$AB976),Workforce!$A$2:$A$151,0))&amp;"","")))</f>
        <v/>
      </c>
      <c r="G976" s="7">
        <f>IF($Z976="C",INDEX(Contracts!$F$2:$F$151,$AB976)&amp;" / "&amp;INDEX(Contracts!$G$2:$G$151,$AB976),IF($Z976="A",INDEX(Fixed_Assets!$E$2:$E$201,$AB976)&amp;"",IF($Z976="F","Personnel "&amp;INDEX(FTE_Allocation!$A$2:$A$201,$AB976)&amp;IF(INDEX(FTE_Allocation!$D$2:$D$201,$AB976)="PROJECT"," ("&amp;INDEX(FTE_Allocation!$E$2:$E$201,$AB976)&amp;")",""),"")))</f>
        <v/>
      </c>
      <c r="H976" s="7">
        <f>IF($Z976="C","CONTRACT",IF($Z976="A","ASSET",IF($Z976="F","WORKFORCE","")))</f>
        <v/>
      </c>
      <c r="I976" s="7">
        <f>IF($Z976="C",INDEX(Contracts!$L$2:$L$151,$AB976)&amp;"",IF($Z976="A",INDEX(Fixed_Assets!$I$2:$I$201,$AB976)&amp;"",IF($Z976="F",INDEX(Workforce!$G$2:$G$151,MATCH(INDEX(FTE_Allocation!$A$2:$A$201,$AB976),Workforce!$A$2:$A$151,0))&amp;"","")))</f>
        <v/>
      </c>
      <c r="J976" s="18">
        <f>IF($Z976="","",IF(AND(DATE($AD976,1,1)&gt;=$AE976,DATE($AD976,1,1)&lt;=$AF976),ROUND($AG976,2),0))</f>
        <v/>
      </c>
      <c r="K976" s="18">
        <f>IF($Z976="","",IF(AND(DATE($AD976,2,1)&gt;=$AE976,DATE($AD976,2,1)&lt;=$AF976),ROUND($AG976,2),0))</f>
        <v/>
      </c>
      <c r="L976" s="18">
        <f>IF($Z976="","",IF(AND(DATE($AD976,3,1)&gt;=$AE976,DATE($AD976,3,1)&lt;=$AF976),ROUND($AG976,2),0))</f>
        <v/>
      </c>
      <c r="M976" s="18">
        <f>IF($Z976="","",IF(AND(DATE($AD976,4,1)&gt;=$AE976,DATE($AD976,4,1)&lt;=$AF976),ROUND($AG976,2),0))</f>
        <v/>
      </c>
      <c r="N976" s="18">
        <f>IF($Z976="","",IF(AND(DATE($AD976,5,1)&gt;=$AE976,DATE($AD976,5,1)&lt;=$AF976),ROUND($AG976,2),0))</f>
        <v/>
      </c>
      <c r="O976" s="18">
        <f>IF($Z976="","",IF(AND(DATE($AD976,6,1)&gt;=$AE976,DATE($AD976,6,1)&lt;=$AF976),ROUND($AG976,2),0))</f>
        <v/>
      </c>
      <c r="P976" s="18">
        <f>IF($Z976="","",IF(AND(DATE($AD976,7,1)&gt;=$AE976,DATE($AD976,7,1)&lt;=$AF976),ROUND($AG976,2),0))</f>
        <v/>
      </c>
      <c r="Q976" s="18">
        <f>IF($Z976="","",IF(AND(DATE($AD976,8,1)&gt;=$AE976,DATE($AD976,8,1)&lt;=$AF976),ROUND($AG976,2),0))</f>
        <v/>
      </c>
      <c r="R976" s="18">
        <f>IF($Z976="","",IF(AND(DATE($AD976,9,1)&gt;=$AE976,DATE($AD976,9,1)&lt;=$AF976),ROUND($AG976,2),0))</f>
        <v/>
      </c>
      <c r="S976" s="18">
        <f>IF($Z976="","",IF(AND(DATE($AD976,10,1)&gt;=$AE976,DATE($AD976,10,1)&lt;=$AF976),ROUND($AG976,2),0))</f>
        <v/>
      </c>
      <c r="T976" s="18">
        <f>IF($Z976="","",IF(AND(DATE($AD976,11,1)&gt;=$AE976,DATE($AD976,11,1)&lt;=$AF976),ROUND($AG976,2),0))</f>
        <v/>
      </c>
      <c r="U976" s="18">
        <f>IF($Z976="","",IF(AND(DATE($AD976,12,1)&gt;=$AE976,DATE($AD976,12,1)&lt;=$AF976),ROUND($AG976,2),0))</f>
        <v/>
      </c>
      <c r="V976" s="7">
        <f>IF($Z976="C","Generated from "&amp;INDEX(Contracts!$A$2:$A$151,$AB976),IF($Z976="A","Generated from "&amp;INDEX(Fixed_Assets!$A$2:$A$201,$AB976),IF($Z976="F","Generated from "&amp;INDEX(FTE_Allocation!$A$2:$A$201,$AB976),"")))</f>
        <v/>
      </c>
      <c r="X976" s="19">
        <f>IF($Z976="","",SUM(J976:U976))</f>
        <v/>
      </c>
      <c r="Y976" s="20">
        <f>ROW()-1</f>
        <v/>
      </c>
      <c r="Z976" s="20">
        <f>IF($Y976&lt;=Settings!$B$4*3,"C",IF($Y976&lt;=(Settings!$B$4+Settings!$B$5)*3,"A",IF($Y976&lt;=(Settings!$B$4+Settings!$B$5+Settings!$B$6)*3,"F","")))</f>
        <v/>
      </c>
      <c r="AA976" s="20">
        <f>IF($Z976="C",$Y976,IF($Z976="A",$Y976-Settings!$B$4*3,IF($Z976="F",$Y976-(Settings!$B$4+Settings!$B$5)*3,"")))</f>
        <v/>
      </c>
      <c r="AB976" s="20">
        <f>IF($Z976="","",INT(($AA976-1)/3)+1)</f>
        <v/>
      </c>
      <c r="AC976" s="20">
        <f>IF($Z976="","",MOD($AA976-1,3)+1)</f>
        <v/>
      </c>
      <c r="AD976" s="20">
        <f>IF($Z976="","",Settings!$B$2+$AC976-1)</f>
        <v/>
      </c>
      <c r="AE976" s="21">
        <f>IF($Z976="C",DATE(YEAR(INDEX(Contracts!$J$2:$J$151,$AB976)),MONTH(INDEX(Contracts!$J$2:$J$151,$AB976)),1),IF($Z976="A",DATE(YEAR(INDEX(Fixed_Assets!$G$2:$G$201,$AB976)),MONTH(INDEX(Fixed_Assets!$G$2:$G$201,$AB976)),1),IF($Z976="F",DATE(YEAR(MAX(N(INDEX(Workforce!$I$2:$I$151,MATCH(INDEX(FTE_Allocation!$A$2:$A$201,$AB976),Workforce!$A$2:$A$151,0))),N(INDEX(FTE_Allocation!$I$2:$I$201,$AB976)))),MONTH(MAX(N(INDEX(Workforce!$I$2:$I$151,MATCH(INDEX(FTE_Allocation!$A$2:$A$201,$AB976),Workforce!$A$2:$A$151,0))),N(INDEX(FTE_Allocation!$I$2:$I$201,$AB976)))),1),"")))</f>
        <v/>
      </c>
      <c r="AF976" s="21">
        <f>IF($Z976="C",IF(INDEX(Contracts!$I$2:$I$151,$AB976)="PREPAID",EDATE(DATE(YEAR(INDEX(Contracts!$J$2:$J$151,$AB976)),MONTH(INDEX(Contracts!$J$2:$J$151,$AB976)),1),IF(INDEX(Contracts!$N$2:$N$151,$AB976)="",12,INDEX(Contracts!$N$2:$N$151,$AB976))-1),IF(INDEX(Contracts!$I$2:$I$151,$AB976)="MONTHLY",IF(INDEX(Contracts!$K$2:$K$151,$AB976)="",2958101,INDEX(Contracts!$K$2:$K$151,$AB976)),0)),IF($Z976="A",EDATE(DATE(YEAR(INDEX(Fixed_Assets!$G$2:$G$201,$AB976)),MONTH(INDEX(Fixed_Assets!$G$2:$G$201,$AB976)),1),INDEX(Fixed_Assets!$J$2:$J$201,$AB976)-1),IF($Z976="F",MIN(IF(INDEX(Workforce!$J$2:$J$151,MATCH(INDEX(FTE_Allocation!$A$2:$A$201,$AB976),Workforce!$A$2:$A$151,0))="",2958101,INDEX(Workforce!$J$2:$J$151,MATCH(INDEX(FTE_Allocation!$A$2:$A$201,$AB976),Workforce!$A$2:$A$151,0))),IF(INDEX(FTE_Allocation!$J$2:$J$201,$AB976)="",2958101,INDEX(FTE_Allocation!$J$2:$J$201,$AB976))),"")))</f>
        <v/>
      </c>
      <c r="AG976" s="19">
        <f>IF($Z976="C",IF(INDEX(Contracts!$I$2:$I$151,$AB976)="PREPAID",INDEX(Contracts!$M$2:$M$151,$AB976)/IF(INDEX(Contracts!$N$2:$N$151,$AB976)="",12,INDEX(Contracts!$N$2:$N$151,$AB976)),IF(INDEX(Contracts!$I$2:$I$151,$AB976)="MONTHLY",INDEX(Contracts!$M$2:$M$151,$AB976),0))*(1-N(INDEX(Contracts!$O$2:$O$151,$AB976))),IF($Z976="A",INDEX(Fixed_Assets!$H$2:$H$201,$AB976)/INDEX(Fixed_Assets!$J$2:$J$201,$AB976),IF($Z976="F",INDEX(Workforce!$F$2:$F$151,MATCH(INDEX(FTE_Allocation!$A$2:$A$201,$AB976),Workforce!$A$2:$A$151,0))*N(INDEX(FTE_Allocation!$F$2:$H$201,$AB976,$AC976)),"")))</f>
        <v/>
      </c>
    </row>
    <row r="977">
      <c r="A977" s="7">
        <f>IF($Z977="","",$AD977)</f>
        <v/>
      </c>
      <c r="B977" s="7">
        <f>IF($Z977="C",INDEX(Contracts!$D$2:$D$151,$AB977)&amp;"",IF($Z977="A",INDEX(Fixed_Assets!$C$2:$C$201,$AB977)&amp;"",IF($Z977="F",INDEX(Workforce!$B$2:$B$151,MATCH(INDEX(FTE_Allocation!$A$2:$A$201,$AB977),Workforce!$A$2:$A$151,0))&amp;"","")))</f>
        <v/>
      </c>
      <c r="C977" s="7">
        <f>IF($Z977="C",INDEX(Contracts!$E$2:$E$151,$AB977)&amp;"",IF($Z977="A",INDEX(Fixed_Assets!$D$2:$D$201,$AB977)&amp;"",IF($Z977="F",INDEX(FTE_Allocation!$C$2:$C$201,$AB977)&amp;"","")))</f>
        <v/>
      </c>
      <c r="D977" s="7">
        <f>IF($Z977="C",INDEX(Contracts!$B$2:$B$151,$AB977)&amp;"",IF($Z977="A",INDEX(Fixed_Assets!$B$2:$B$201,$AB977)&amp;"",IF($Z977="F",INDEX(FTE_Allocation!$B$2:$B$201,$AB977)&amp;"","")))</f>
        <v/>
      </c>
      <c r="E977" s="7">
        <f>IF($Z977="C",INDEX(Contracts!$P$2:$P$151,$AB977)&amp;"",IF($Z977="A",INDEX(Fixed_Assets!$K$2:$K$201,$AB977)&amp;"",IF($Z977="F",IF(INDEX(FTE_Allocation!$D$2:$D$201,$AB977)="PROJECT",IFERROR(INDEX(Projects!$D:$D,MATCH(INDEX(FTE_Allocation!$E$2:$E$201,$AB977),Projects!$A:$A,0))&amp;"","#PROJECT?"),INDEX(FTE_Allocation!$E$2:$E$201,$AB977)&amp;""),"")))</f>
        <v/>
      </c>
      <c r="F977" s="7">
        <f>IF($Z977="C",INDEX(Contracts!$Q$2:$Q$151,$AB977)&amp;"",IF($Z977="A",INDEX(Fixed_Assets!$L$2:$L$201,$AB977)&amp;"",IF($Z977="F",INDEX(Workforce!$K$2:$K$151,MATCH(INDEX(FTE_Allocation!$A$2:$A$201,$AB977),Workforce!$A$2:$A$151,0))&amp;"","")))</f>
        <v/>
      </c>
      <c r="G977" s="7">
        <f>IF($Z977="C",INDEX(Contracts!$F$2:$F$151,$AB977)&amp;" / "&amp;INDEX(Contracts!$G$2:$G$151,$AB977),IF($Z977="A",INDEX(Fixed_Assets!$E$2:$E$201,$AB977)&amp;"",IF($Z977="F","Personnel "&amp;INDEX(FTE_Allocation!$A$2:$A$201,$AB977)&amp;IF(INDEX(FTE_Allocation!$D$2:$D$201,$AB977)="PROJECT"," ("&amp;INDEX(FTE_Allocation!$E$2:$E$201,$AB977)&amp;")",""),"")))</f>
        <v/>
      </c>
      <c r="H977" s="7">
        <f>IF($Z977="C","CONTRACT",IF($Z977="A","ASSET",IF($Z977="F","WORKFORCE","")))</f>
        <v/>
      </c>
      <c r="I977" s="7">
        <f>IF($Z977="C",INDEX(Contracts!$L$2:$L$151,$AB977)&amp;"",IF($Z977="A",INDEX(Fixed_Assets!$I$2:$I$201,$AB977)&amp;"",IF($Z977="F",INDEX(Workforce!$G$2:$G$151,MATCH(INDEX(FTE_Allocation!$A$2:$A$201,$AB977),Workforce!$A$2:$A$151,0))&amp;"","")))</f>
        <v/>
      </c>
      <c r="J977" s="18">
        <f>IF($Z977="","",IF(AND(DATE($AD977,1,1)&gt;=$AE977,DATE($AD977,1,1)&lt;=$AF977),ROUND($AG977,2),0))</f>
        <v/>
      </c>
      <c r="K977" s="18">
        <f>IF($Z977="","",IF(AND(DATE($AD977,2,1)&gt;=$AE977,DATE($AD977,2,1)&lt;=$AF977),ROUND($AG977,2),0))</f>
        <v/>
      </c>
      <c r="L977" s="18">
        <f>IF($Z977="","",IF(AND(DATE($AD977,3,1)&gt;=$AE977,DATE($AD977,3,1)&lt;=$AF977),ROUND($AG977,2),0))</f>
        <v/>
      </c>
      <c r="M977" s="18">
        <f>IF($Z977="","",IF(AND(DATE($AD977,4,1)&gt;=$AE977,DATE($AD977,4,1)&lt;=$AF977),ROUND($AG977,2),0))</f>
        <v/>
      </c>
      <c r="N977" s="18">
        <f>IF($Z977="","",IF(AND(DATE($AD977,5,1)&gt;=$AE977,DATE($AD977,5,1)&lt;=$AF977),ROUND($AG977,2),0))</f>
        <v/>
      </c>
      <c r="O977" s="18">
        <f>IF($Z977="","",IF(AND(DATE($AD977,6,1)&gt;=$AE977,DATE($AD977,6,1)&lt;=$AF977),ROUND($AG977,2),0))</f>
        <v/>
      </c>
      <c r="P977" s="18">
        <f>IF($Z977="","",IF(AND(DATE($AD977,7,1)&gt;=$AE977,DATE($AD977,7,1)&lt;=$AF977),ROUND($AG977,2),0))</f>
        <v/>
      </c>
      <c r="Q977" s="18">
        <f>IF($Z977="","",IF(AND(DATE($AD977,8,1)&gt;=$AE977,DATE($AD977,8,1)&lt;=$AF977),ROUND($AG977,2),0))</f>
        <v/>
      </c>
      <c r="R977" s="18">
        <f>IF($Z977="","",IF(AND(DATE($AD977,9,1)&gt;=$AE977,DATE($AD977,9,1)&lt;=$AF977),ROUND($AG977,2),0))</f>
        <v/>
      </c>
      <c r="S977" s="18">
        <f>IF($Z977="","",IF(AND(DATE($AD977,10,1)&gt;=$AE977,DATE($AD977,10,1)&lt;=$AF977),ROUND($AG977,2),0))</f>
        <v/>
      </c>
      <c r="T977" s="18">
        <f>IF($Z977="","",IF(AND(DATE($AD977,11,1)&gt;=$AE977,DATE($AD977,11,1)&lt;=$AF977),ROUND($AG977,2),0))</f>
        <v/>
      </c>
      <c r="U977" s="18">
        <f>IF($Z977="","",IF(AND(DATE($AD977,12,1)&gt;=$AE977,DATE($AD977,12,1)&lt;=$AF977),ROUND($AG977,2),0))</f>
        <v/>
      </c>
      <c r="V977" s="7">
        <f>IF($Z977="C","Generated from "&amp;INDEX(Contracts!$A$2:$A$151,$AB977),IF($Z977="A","Generated from "&amp;INDEX(Fixed_Assets!$A$2:$A$201,$AB977),IF($Z977="F","Generated from "&amp;INDEX(FTE_Allocation!$A$2:$A$201,$AB977),"")))</f>
        <v/>
      </c>
      <c r="X977" s="19">
        <f>IF($Z977="","",SUM(J977:U977))</f>
        <v/>
      </c>
      <c r="Y977" s="20">
        <f>ROW()-1</f>
        <v/>
      </c>
      <c r="Z977" s="20">
        <f>IF($Y977&lt;=Settings!$B$4*3,"C",IF($Y977&lt;=(Settings!$B$4+Settings!$B$5)*3,"A",IF($Y977&lt;=(Settings!$B$4+Settings!$B$5+Settings!$B$6)*3,"F","")))</f>
        <v/>
      </c>
      <c r="AA977" s="20">
        <f>IF($Z977="C",$Y977,IF($Z977="A",$Y977-Settings!$B$4*3,IF($Z977="F",$Y977-(Settings!$B$4+Settings!$B$5)*3,"")))</f>
        <v/>
      </c>
      <c r="AB977" s="20">
        <f>IF($Z977="","",INT(($AA977-1)/3)+1)</f>
        <v/>
      </c>
      <c r="AC977" s="20">
        <f>IF($Z977="","",MOD($AA977-1,3)+1)</f>
        <v/>
      </c>
      <c r="AD977" s="20">
        <f>IF($Z977="","",Settings!$B$2+$AC977-1)</f>
        <v/>
      </c>
      <c r="AE977" s="21">
        <f>IF($Z977="C",DATE(YEAR(INDEX(Contracts!$J$2:$J$151,$AB977)),MONTH(INDEX(Contracts!$J$2:$J$151,$AB977)),1),IF($Z977="A",DATE(YEAR(INDEX(Fixed_Assets!$G$2:$G$201,$AB977)),MONTH(INDEX(Fixed_Assets!$G$2:$G$201,$AB977)),1),IF($Z977="F",DATE(YEAR(MAX(N(INDEX(Workforce!$I$2:$I$151,MATCH(INDEX(FTE_Allocation!$A$2:$A$201,$AB977),Workforce!$A$2:$A$151,0))),N(INDEX(FTE_Allocation!$I$2:$I$201,$AB977)))),MONTH(MAX(N(INDEX(Workforce!$I$2:$I$151,MATCH(INDEX(FTE_Allocation!$A$2:$A$201,$AB977),Workforce!$A$2:$A$151,0))),N(INDEX(FTE_Allocation!$I$2:$I$201,$AB977)))),1),"")))</f>
        <v/>
      </c>
      <c r="AF977" s="21">
        <f>IF($Z977="C",IF(INDEX(Contracts!$I$2:$I$151,$AB977)="PREPAID",EDATE(DATE(YEAR(INDEX(Contracts!$J$2:$J$151,$AB977)),MONTH(INDEX(Contracts!$J$2:$J$151,$AB977)),1),IF(INDEX(Contracts!$N$2:$N$151,$AB977)="",12,INDEX(Contracts!$N$2:$N$151,$AB977))-1),IF(INDEX(Contracts!$I$2:$I$151,$AB977)="MONTHLY",IF(INDEX(Contracts!$K$2:$K$151,$AB977)="",2958101,INDEX(Contracts!$K$2:$K$151,$AB977)),0)),IF($Z977="A",EDATE(DATE(YEAR(INDEX(Fixed_Assets!$G$2:$G$201,$AB977)),MONTH(INDEX(Fixed_Assets!$G$2:$G$201,$AB977)),1),INDEX(Fixed_Assets!$J$2:$J$201,$AB977)-1),IF($Z977="F",MIN(IF(INDEX(Workforce!$J$2:$J$151,MATCH(INDEX(FTE_Allocation!$A$2:$A$201,$AB977),Workforce!$A$2:$A$151,0))="",2958101,INDEX(Workforce!$J$2:$J$151,MATCH(INDEX(FTE_Allocation!$A$2:$A$201,$AB977),Workforce!$A$2:$A$151,0))),IF(INDEX(FTE_Allocation!$J$2:$J$201,$AB977)="",2958101,INDEX(FTE_Allocation!$J$2:$J$201,$AB977))),"")))</f>
        <v/>
      </c>
      <c r="AG977" s="19">
        <f>IF($Z977="C",IF(INDEX(Contracts!$I$2:$I$151,$AB977)="PREPAID",INDEX(Contracts!$M$2:$M$151,$AB977)/IF(INDEX(Contracts!$N$2:$N$151,$AB977)="",12,INDEX(Contracts!$N$2:$N$151,$AB977)),IF(INDEX(Contracts!$I$2:$I$151,$AB977)="MONTHLY",INDEX(Contracts!$M$2:$M$151,$AB977),0))*(1-N(INDEX(Contracts!$O$2:$O$151,$AB977))),IF($Z977="A",INDEX(Fixed_Assets!$H$2:$H$201,$AB977)/INDEX(Fixed_Assets!$J$2:$J$201,$AB977),IF($Z977="F",INDEX(Workforce!$F$2:$F$151,MATCH(INDEX(FTE_Allocation!$A$2:$A$201,$AB977),Workforce!$A$2:$A$151,0))*N(INDEX(FTE_Allocation!$F$2:$H$201,$AB977,$AC977)),"")))</f>
        <v/>
      </c>
    </row>
    <row r="978">
      <c r="A978" s="7">
        <f>IF($Z978="","",$AD978)</f>
        <v/>
      </c>
      <c r="B978" s="7">
        <f>IF($Z978="C",INDEX(Contracts!$D$2:$D$151,$AB978)&amp;"",IF($Z978="A",INDEX(Fixed_Assets!$C$2:$C$201,$AB978)&amp;"",IF($Z978="F",INDEX(Workforce!$B$2:$B$151,MATCH(INDEX(FTE_Allocation!$A$2:$A$201,$AB978),Workforce!$A$2:$A$151,0))&amp;"","")))</f>
        <v/>
      </c>
      <c r="C978" s="7">
        <f>IF($Z978="C",INDEX(Contracts!$E$2:$E$151,$AB978)&amp;"",IF($Z978="A",INDEX(Fixed_Assets!$D$2:$D$201,$AB978)&amp;"",IF($Z978="F",INDEX(FTE_Allocation!$C$2:$C$201,$AB978)&amp;"","")))</f>
        <v/>
      </c>
      <c r="D978" s="7">
        <f>IF($Z978="C",INDEX(Contracts!$B$2:$B$151,$AB978)&amp;"",IF($Z978="A",INDEX(Fixed_Assets!$B$2:$B$201,$AB978)&amp;"",IF($Z978="F",INDEX(FTE_Allocation!$B$2:$B$201,$AB978)&amp;"","")))</f>
        <v/>
      </c>
      <c r="E978" s="7">
        <f>IF($Z978="C",INDEX(Contracts!$P$2:$P$151,$AB978)&amp;"",IF($Z978="A",INDEX(Fixed_Assets!$K$2:$K$201,$AB978)&amp;"",IF($Z978="F",IF(INDEX(FTE_Allocation!$D$2:$D$201,$AB978)="PROJECT",IFERROR(INDEX(Projects!$D:$D,MATCH(INDEX(FTE_Allocation!$E$2:$E$201,$AB978),Projects!$A:$A,0))&amp;"","#PROJECT?"),INDEX(FTE_Allocation!$E$2:$E$201,$AB978)&amp;""),"")))</f>
        <v/>
      </c>
      <c r="F978" s="7">
        <f>IF($Z978="C",INDEX(Contracts!$Q$2:$Q$151,$AB978)&amp;"",IF($Z978="A",INDEX(Fixed_Assets!$L$2:$L$201,$AB978)&amp;"",IF($Z978="F",INDEX(Workforce!$K$2:$K$151,MATCH(INDEX(FTE_Allocation!$A$2:$A$201,$AB978),Workforce!$A$2:$A$151,0))&amp;"","")))</f>
        <v/>
      </c>
      <c r="G978" s="7">
        <f>IF($Z978="C",INDEX(Contracts!$F$2:$F$151,$AB978)&amp;" / "&amp;INDEX(Contracts!$G$2:$G$151,$AB978),IF($Z978="A",INDEX(Fixed_Assets!$E$2:$E$201,$AB978)&amp;"",IF($Z978="F","Personnel "&amp;INDEX(FTE_Allocation!$A$2:$A$201,$AB978)&amp;IF(INDEX(FTE_Allocation!$D$2:$D$201,$AB978)="PROJECT"," ("&amp;INDEX(FTE_Allocation!$E$2:$E$201,$AB978)&amp;")",""),"")))</f>
        <v/>
      </c>
      <c r="H978" s="7">
        <f>IF($Z978="C","CONTRACT",IF($Z978="A","ASSET",IF($Z978="F","WORKFORCE","")))</f>
        <v/>
      </c>
      <c r="I978" s="7">
        <f>IF($Z978="C",INDEX(Contracts!$L$2:$L$151,$AB978)&amp;"",IF($Z978="A",INDEX(Fixed_Assets!$I$2:$I$201,$AB978)&amp;"",IF($Z978="F",INDEX(Workforce!$G$2:$G$151,MATCH(INDEX(FTE_Allocation!$A$2:$A$201,$AB978),Workforce!$A$2:$A$151,0))&amp;"","")))</f>
        <v/>
      </c>
      <c r="J978" s="18">
        <f>IF($Z978="","",IF(AND(DATE($AD978,1,1)&gt;=$AE978,DATE($AD978,1,1)&lt;=$AF978),ROUND($AG978,2),0))</f>
        <v/>
      </c>
      <c r="K978" s="18">
        <f>IF($Z978="","",IF(AND(DATE($AD978,2,1)&gt;=$AE978,DATE($AD978,2,1)&lt;=$AF978),ROUND($AG978,2),0))</f>
        <v/>
      </c>
      <c r="L978" s="18">
        <f>IF($Z978="","",IF(AND(DATE($AD978,3,1)&gt;=$AE978,DATE($AD978,3,1)&lt;=$AF978),ROUND($AG978,2),0))</f>
        <v/>
      </c>
      <c r="M978" s="18">
        <f>IF($Z978="","",IF(AND(DATE($AD978,4,1)&gt;=$AE978,DATE($AD978,4,1)&lt;=$AF978),ROUND($AG978,2),0))</f>
        <v/>
      </c>
      <c r="N978" s="18">
        <f>IF($Z978="","",IF(AND(DATE($AD978,5,1)&gt;=$AE978,DATE($AD978,5,1)&lt;=$AF978),ROUND($AG978,2),0))</f>
        <v/>
      </c>
      <c r="O978" s="18">
        <f>IF($Z978="","",IF(AND(DATE($AD978,6,1)&gt;=$AE978,DATE($AD978,6,1)&lt;=$AF978),ROUND($AG978,2),0))</f>
        <v/>
      </c>
      <c r="P978" s="18">
        <f>IF($Z978="","",IF(AND(DATE($AD978,7,1)&gt;=$AE978,DATE($AD978,7,1)&lt;=$AF978),ROUND($AG978,2),0))</f>
        <v/>
      </c>
      <c r="Q978" s="18">
        <f>IF($Z978="","",IF(AND(DATE($AD978,8,1)&gt;=$AE978,DATE($AD978,8,1)&lt;=$AF978),ROUND($AG978,2),0))</f>
        <v/>
      </c>
      <c r="R978" s="18">
        <f>IF($Z978="","",IF(AND(DATE($AD978,9,1)&gt;=$AE978,DATE($AD978,9,1)&lt;=$AF978),ROUND($AG978,2),0))</f>
        <v/>
      </c>
      <c r="S978" s="18">
        <f>IF($Z978="","",IF(AND(DATE($AD978,10,1)&gt;=$AE978,DATE($AD978,10,1)&lt;=$AF978),ROUND($AG978,2),0))</f>
        <v/>
      </c>
      <c r="T978" s="18">
        <f>IF($Z978="","",IF(AND(DATE($AD978,11,1)&gt;=$AE978,DATE($AD978,11,1)&lt;=$AF978),ROUND($AG978,2),0))</f>
        <v/>
      </c>
      <c r="U978" s="18">
        <f>IF($Z978="","",IF(AND(DATE($AD978,12,1)&gt;=$AE978,DATE($AD978,12,1)&lt;=$AF978),ROUND($AG978,2),0))</f>
        <v/>
      </c>
      <c r="V978" s="7">
        <f>IF($Z978="C","Generated from "&amp;INDEX(Contracts!$A$2:$A$151,$AB978),IF($Z978="A","Generated from "&amp;INDEX(Fixed_Assets!$A$2:$A$201,$AB978),IF($Z978="F","Generated from "&amp;INDEX(FTE_Allocation!$A$2:$A$201,$AB978),"")))</f>
        <v/>
      </c>
      <c r="X978" s="19">
        <f>IF($Z978="","",SUM(J978:U978))</f>
        <v/>
      </c>
      <c r="Y978" s="20">
        <f>ROW()-1</f>
        <v/>
      </c>
      <c r="Z978" s="20">
        <f>IF($Y978&lt;=Settings!$B$4*3,"C",IF($Y978&lt;=(Settings!$B$4+Settings!$B$5)*3,"A",IF($Y978&lt;=(Settings!$B$4+Settings!$B$5+Settings!$B$6)*3,"F","")))</f>
        <v/>
      </c>
      <c r="AA978" s="20">
        <f>IF($Z978="C",$Y978,IF($Z978="A",$Y978-Settings!$B$4*3,IF($Z978="F",$Y978-(Settings!$B$4+Settings!$B$5)*3,"")))</f>
        <v/>
      </c>
      <c r="AB978" s="20">
        <f>IF($Z978="","",INT(($AA978-1)/3)+1)</f>
        <v/>
      </c>
      <c r="AC978" s="20">
        <f>IF($Z978="","",MOD($AA978-1,3)+1)</f>
        <v/>
      </c>
      <c r="AD978" s="20">
        <f>IF($Z978="","",Settings!$B$2+$AC978-1)</f>
        <v/>
      </c>
      <c r="AE978" s="21">
        <f>IF($Z978="C",DATE(YEAR(INDEX(Contracts!$J$2:$J$151,$AB978)),MONTH(INDEX(Contracts!$J$2:$J$151,$AB978)),1),IF($Z978="A",DATE(YEAR(INDEX(Fixed_Assets!$G$2:$G$201,$AB978)),MONTH(INDEX(Fixed_Assets!$G$2:$G$201,$AB978)),1),IF($Z978="F",DATE(YEAR(MAX(N(INDEX(Workforce!$I$2:$I$151,MATCH(INDEX(FTE_Allocation!$A$2:$A$201,$AB978),Workforce!$A$2:$A$151,0))),N(INDEX(FTE_Allocation!$I$2:$I$201,$AB978)))),MONTH(MAX(N(INDEX(Workforce!$I$2:$I$151,MATCH(INDEX(FTE_Allocation!$A$2:$A$201,$AB978),Workforce!$A$2:$A$151,0))),N(INDEX(FTE_Allocation!$I$2:$I$201,$AB978)))),1),"")))</f>
        <v/>
      </c>
      <c r="AF978" s="21">
        <f>IF($Z978="C",IF(INDEX(Contracts!$I$2:$I$151,$AB978)="PREPAID",EDATE(DATE(YEAR(INDEX(Contracts!$J$2:$J$151,$AB978)),MONTH(INDEX(Contracts!$J$2:$J$151,$AB978)),1),IF(INDEX(Contracts!$N$2:$N$151,$AB978)="",12,INDEX(Contracts!$N$2:$N$151,$AB978))-1),IF(INDEX(Contracts!$I$2:$I$151,$AB978)="MONTHLY",IF(INDEX(Contracts!$K$2:$K$151,$AB978)="",2958101,INDEX(Contracts!$K$2:$K$151,$AB978)),0)),IF($Z978="A",EDATE(DATE(YEAR(INDEX(Fixed_Assets!$G$2:$G$201,$AB978)),MONTH(INDEX(Fixed_Assets!$G$2:$G$201,$AB978)),1),INDEX(Fixed_Assets!$J$2:$J$201,$AB978)-1),IF($Z978="F",MIN(IF(INDEX(Workforce!$J$2:$J$151,MATCH(INDEX(FTE_Allocation!$A$2:$A$201,$AB978),Workforce!$A$2:$A$151,0))="",2958101,INDEX(Workforce!$J$2:$J$151,MATCH(INDEX(FTE_Allocation!$A$2:$A$201,$AB978),Workforce!$A$2:$A$151,0))),IF(INDEX(FTE_Allocation!$J$2:$J$201,$AB978)="",2958101,INDEX(FTE_Allocation!$J$2:$J$201,$AB978))),"")))</f>
        <v/>
      </c>
      <c r="AG978" s="19">
        <f>IF($Z978="C",IF(INDEX(Contracts!$I$2:$I$151,$AB978)="PREPAID",INDEX(Contracts!$M$2:$M$151,$AB978)/IF(INDEX(Contracts!$N$2:$N$151,$AB978)="",12,INDEX(Contracts!$N$2:$N$151,$AB978)),IF(INDEX(Contracts!$I$2:$I$151,$AB978)="MONTHLY",INDEX(Contracts!$M$2:$M$151,$AB978),0))*(1-N(INDEX(Contracts!$O$2:$O$151,$AB978))),IF($Z978="A",INDEX(Fixed_Assets!$H$2:$H$201,$AB978)/INDEX(Fixed_Assets!$J$2:$J$201,$AB978),IF($Z978="F",INDEX(Workforce!$F$2:$F$151,MATCH(INDEX(FTE_Allocation!$A$2:$A$201,$AB978),Workforce!$A$2:$A$151,0))*N(INDEX(FTE_Allocation!$F$2:$H$201,$AB978,$AC978)),"")))</f>
        <v/>
      </c>
    </row>
    <row r="979">
      <c r="A979" s="7">
        <f>IF($Z979="","",$AD979)</f>
        <v/>
      </c>
      <c r="B979" s="7">
        <f>IF($Z979="C",INDEX(Contracts!$D$2:$D$151,$AB979)&amp;"",IF($Z979="A",INDEX(Fixed_Assets!$C$2:$C$201,$AB979)&amp;"",IF($Z979="F",INDEX(Workforce!$B$2:$B$151,MATCH(INDEX(FTE_Allocation!$A$2:$A$201,$AB979),Workforce!$A$2:$A$151,0))&amp;"","")))</f>
        <v/>
      </c>
      <c r="C979" s="7">
        <f>IF($Z979="C",INDEX(Contracts!$E$2:$E$151,$AB979)&amp;"",IF($Z979="A",INDEX(Fixed_Assets!$D$2:$D$201,$AB979)&amp;"",IF($Z979="F",INDEX(FTE_Allocation!$C$2:$C$201,$AB979)&amp;"","")))</f>
        <v/>
      </c>
      <c r="D979" s="7">
        <f>IF($Z979="C",INDEX(Contracts!$B$2:$B$151,$AB979)&amp;"",IF($Z979="A",INDEX(Fixed_Assets!$B$2:$B$201,$AB979)&amp;"",IF($Z979="F",INDEX(FTE_Allocation!$B$2:$B$201,$AB979)&amp;"","")))</f>
        <v/>
      </c>
      <c r="E979" s="7">
        <f>IF($Z979="C",INDEX(Contracts!$P$2:$P$151,$AB979)&amp;"",IF($Z979="A",INDEX(Fixed_Assets!$K$2:$K$201,$AB979)&amp;"",IF($Z979="F",IF(INDEX(FTE_Allocation!$D$2:$D$201,$AB979)="PROJECT",IFERROR(INDEX(Projects!$D:$D,MATCH(INDEX(FTE_Allocation!$E$2:$E$201,$AB979),Projects!$A:$A,0))&amp;"","#PROJECT?"),INDEX(FTE_Allocation!$E$2:$E$201,$AB979)&amp;""),"")))</f>
        <v/>
      </c>
      <c r="F979" s="7">
        <f>IF($Z979="C",INDEX(Contracts!$Q$2:$Q$151,$AB979)&amp;"",IF($Z979="A",INDEX(Fixed_Assets!$L$2:$L$201,$AB979)&amp;"",IF($Z979="F",INDEX(Workforce!$K$2:$K$151,MATCH(INDEX(FTE_Allocation!$A$2:$A$201,$AB979),Workforce!$A$2:$A$151,0))&amp;"","")))</f>
        <v/>
      </c>
      <c r="G979" s="7">
        <f>IF($Z979="C",INDEX(Contracts!$F$2:$F$151,$AB979)&amp;" / "&amp;INDEX(Contracts!$G$2:$G$151,$AB979),IF($Z979="A",INDEX(Fixed_Assets!$E$2:$E$201,$AB979)&amp;"",IF($Z979="F","Personnel "&amp;INDEX(FTE_Allocation!$A$2:$A$201,$AB979)&amp;IF(INDEX(FTE_Allocation!$D$2:$D$201,$AB979)="PROJECT"," ("&amp;INDEX(FTE_Allocation!$E$2:$E$201,$AB979)&amp;")",""),"")))</f>
        <v/>
      </c>
      <c r="H979" s="7">
        <f>IF($Z979="C","CONTRACT",IF($Z979="A","ASSET",IF($Z979="F","WORKFORCE","")))</f>
        <v/>
      </c>
      <c r="I979" s="7">
        <f>IF($Z979="C",INDEX(Contracts!$L$2:$L$151,$AB979)&amp;"",IF($Z979="A",INDEX(Fixed_Assets!$I$2:$I$201,$AB979)&amp;"",IF($Z979="F",INDEX(Workforce!$G$2:$G$151,MATCH(INDEX(FTE_Allocation!$A$2:$A$201,$AB979),Workforce!$A$2:$A$151,0))&amp;"","")))</f>
        <v/>
      </c>
      <c r="J979" s="18">
        <f>IF($Z979="","",IF(AND(DATE($AD979,1,1)&gt;=$AE979,DATE($AD979,1,1)&lt;=$AF979),ROUND($AG979,2),0))</f>
        <v/>
      </c>
      <c r="K979" s="18">
        <f>IF($Z979="","",IF(AND(DATE($AD979,2,1)&gt;=$AE979,DATE($AD979,2,1)&lt;=$AF979),ROUND($AG979,2),0))</f>
        <v/>
      </c>
      <c r="L979" s="18">
        <f>IF($Z979="","",IF(AND(DATE($AD979,3,1)&gt;=$AE979,DATE($AD979,3,1)&lt;=$AF979),ROUND($AG979,2),0))</f>
        <v/>
      </c>
      <c r="M979" s="18">
        <f>IF($Z979="","",IF(AND(DATE($AD979,4,1)&gt;=$AE979,DATE($AD979,4,1)&lt;=$AF979),ROUND($AG979,2),0))</f>
        <v/>
      </c>
      <c r="N979" s="18">
        <f>IF($Z979="","",IF(AND(DATE($AD979,5,1)&gt;=$AE979,DATE($AD979,5,1)&lt;=$AF979),ROUND($AG979,2),0))</f>
        <v/>
      </c>
      <c r="O979" s="18">
        <f>IF($Z979="","",IF(AND(DATE($AD979,6,1)&gt;=$AE979,DATE($AD979,6,1)&lt;=$AF979),ROUND($AG979,2),0))</f>
        <v/>
      </c>
      <c r="P979" s="18">
        <f>IF($Z979="","",IF(AND(DATE($AD979,7,1)&gt;=$AE979,DATE($AD979,7,1)&lt;=$AF979),ROUND($AG979,2),0))</f>
        <v/>
      </c>
      <c r="Q979" s="18">
        <f>IF($Z979="","",IF(AND(DATE($AD979,8,1)&gt;=$AE979,DATE($AD979,8,1)&lt;=$AF979),ROUND($AG979,2),0))</f>
        <v/>
      </c>
      <c r="R979" s="18">
        <f>IF($Z979="","",IF(AND(DATE($AD979,9,1)&gt;=$AE979,DATE($AD979,9,1)&lt;=$AF979),ROUND($AG979,2),0))</f>
        <v/>
      </c>
      <c r="S979" s="18">
        <f>IF($Z979="","",IF(AND(DATE($AD979,10,1)&gt;=$AE979,DATE($AD979,10,1)&lt;=$AF979),ROUND($AG979,2),0))</f>
        <v/>
      </c>
      <c r="T979" s="18">
        <f>IF($Z979="","",IF(AND(DATE($AD979,11,1)&gt;=$AE979,DATE($AD979,11,1)&lt;=$AF979),ROUND($AG979,2),0))</f>
        <v/>
      </c>
      <c r="U979" s="18">
        <f>IF($Z979="","",IF(AND(DATE($AD979,12,1)&gt;=$AE979,DATE($AD979,12,1)&lt;=$AF979),ROUND($AG979,2),0))</f>
        <v/>
      </c>
      <c r="V979" s="7">
        <f>IF($Z979="C","Generated from "&amp;INDEX(Contracts!$A$2:$A$151,$AB979),IF($Z979="A","Generated from "&amp;INDEX(Fixed_Assets!$A$2:$A$201,$AB979),IF($Z979="F","Generated from "&amp;INDEX(FTE_Allocation!$A$2:$A$201,$AB979),"")))</f>
        <v/>
      </c>
      <c r="X979" s="19">
        <f>IF($Z979="","",SUM(J979:U979))</f>
        <v/>
      </c>
      <c r="Y979" s="20">
        <f>ROW()-1</f>
        <v/>
      </c>
      <c r="Z979" s="20">
        <f>IF($Y979&lt;=Settings!$B$4*3,"C",IF($Y979&lt;=(Settings!$B$4+Settings!$B$5)*3,"A",IF($Y979&lt;=(Settings!$B$4+Settings!$B$5+Settings!$B$6)*3,"F","")))</f>
        <v/>
      </c>
      <c r="AA979" s="20">
        <f>IF($Z979="C",$Y979,IF($Z979="A",$Y979-Settings!$B$4*3,IF($Z979="F",$Y979-(Settings!$B$4+Settings!$B$5)*3,"")))</f>
        <v/>
      </c>
      <c r="AB979" s="20">
        <f>IF($Z979="","",INT(($AA979-1)/3)+1)</f>
        <v/>
      </c>
      <c r="AC979" s="20">
        <f>IF($Z979="","",MOD($AA979-1,3)+1)</f>
        <v/>
      </c>
      <c r="AD979" s="20">
        <f>IF($Z979="","",Settings!$B$2+$AC979-1)</f>
        <v/>
      </c>
      <c r="AE979" s="21">
        <f>IF($Z979="C",DATE(YEAR(INDEX(Contracts!$J$2:$J$151,$AB979)),MONTH(INDEX(Contracts!$J$2:$J$151,$AB979)),1),IF($Z979="A",DATE(YEAR(INDEX(Fixed_Assets!$G$2:$G$201,$AB979)),MONTH(INDEX(Fixed_Assets!$G$2:$G$201,$AB979)),1),IF($Z979="F",DATE(YEAR(MAX(N(INDEX(Workforce!$I$2:$I$151,MATCH(INDEX(FTE_Allocation!$A$2:$A$201,$AB979),Workforce!$A$2:$A$151,0))),N(INDEX(FTE_Allocation!$I$2:$I$201,$AB979)))),MONTH(MAX(N(INDEX(Workforce!$I$2:$I$151,MATCH(INDEX(FTE_Allocation!$A$2:$A$201,$AB979),Workforce!$A$2:$A$151,0))),N(INDEX(FTE_Allocation!$I$2:$I$201,$AB979)))),1),"")))</f>
        <v/>
      </c>
      <c r="AF979" s="21">
        <f>IF($Z979="C",IF(INDEX(Contracts!$I$2:$I$151,$AB979)="PREPAID",EDATE(DATE(YEAR(INDEX(Contracts!$J$2:$J$151,$AB979)),MONTH(INDEX(Contracts!$J$2:$J$151,$AB979)),1),IF(INDEX(Contracts!$N$2:$N$151,$AB979)="",12,INDEX(Contracts!$N$2:$N$151,$AB979))-1),IF(INDEX(Contracts!$I$2:$I$151,$AB979)="MONTHLY",IF(INDEX(Contracts!$K$2:$K$151,$AB979)="",2958101,INDEX(Contracts!$K$2:$K$151,$AB979)),0)),IF($Z979="A",EDATE(DATE(YEAR(INDEX(Fixed_Assets!$G$2:$G$201,$AB979)),MONTH(INDEX(Fixed_Assets!$G$2:$G$201,$AB979)),1),INDEX(Fixed_Assets!$J$2:$J$201,$AB979)-1),IF($Z979="F",MIN(IF(INDEX(Workforce!$J$2:$J$151,MATCH(INDEX(FTE_Allocation!$A$2:$A$201,$AB979),Workforce!$A$2:$A$151,0))="",2958101,INDEX(Workforce!$J$2:$J$151,MATCH(INDEX(FTE_Allocation!$A$2:$A$201,$AB979),Workforce!$A$2:$A$151,0))),IF(INDEX(FTE_Allocation!$J$2:$J$201,$AB979)="",2958101,INDEX(FTE_Allocation!$J$2:$J$201,$AB979))),"")))</f>
        <v/>
      </c>
      <c r="AG979" s="19">
        <f>IF($Z979="C",IF(INDEX(Contracts!$I$2:$I$151,$AB979)="PREPAID",INDEX(Contracts!$M$2:$M$151,$AB979)/IF(INDEX(Contracts!$N$2:$N$151,$AB979)="",12,INDEX(Contracts!$N$2:$N$151,$AB979)),IF(INDEX(Contracts!$I$2:$I$151,$AB979)="MONTHLY",INDEX(Contracts!$M$2:$M$151,$AB979),0))*(1-N(INDEX(Contracts!$O$2:$O$151,$AB979))),IF($Z979="A",INDEX(Fixed_Assets!$H$2:$H$201,$AB979)/INDEX(Fixed_Assets!$J$2:$J$201,$AB979),IF($Z979="F",INDEX(Workforce!$F$2:$F$151,MATCH(INDEX(FTE_Allocation!$A$2:$A$201,$AB979),Workforce!$A$2:$A$151,0))*N(INDEX(FTE_Allocation!$F$2:$H$201,$AB979,$AC979)),"")))</f>
        <v/>
      </c>
    </row>
    <row r="980">
      <c r="A980" s="7">
        <f>IF($Z980="","",$AD980)</f>
        <v/>
      </c>
      <c r="B980" s="7">
        <f>IF($Z980="C",INDEX(Contracts!$D$2:$D$151,$AB980)&amp;"",IF($Z980="A",INDEX(Fixed_Assets!$C$2:$C$201,$AB980)&amp;"",IF($Z980="F",INDEX(Workforce!$B$2:$B$151,MATCH(INDEX(FTE_Allocation!$A$2:$A$201,$AB980),Workforce!$A$2:$A$151,0))&amp;"","")))</f>
        <v/>
      </c>
      <c r="C980" s="7">
        <f>IF($Z980="C",INDEX(Contracts!$E$2:$E$151,$AB980)&amp;"",IF($Z980="A",INDEX(Fixed_Assets!$D$2:$D$201,$AB980)&amp;"",IF($Z980="F",INDEX(FTE_Allocation!$C$2:$C$201,$AB980)&amp;"","")))</f>
        <v/>
      </c>
      <c r="D980" s="7">
        <f>IF($Z980="C",INDEX(Contracts!$B$2:$B$151,$AB980)&amp;"",IF($Z980="A",INDEX(Fixed_Assets!$B$2:$B$201,$AB980)&amp;"",IF($Z980="F",INDEX(FTE_Allocation!$B$2:$B$201,$AB980)&amp;"","")))</f>
        <v/>
      </c>
      <c r="E980" s="7">
        <f>IF($Z980="C",INDEX(Contracts!$P$2:$P$151,$AB980)&amp;"",IF($Z980="A",INDEX(Fixed_Assets!$K$2:$K$201,$AB980)&amp;"",IF($Z980="F",IF(INDEX(FTE_Allocation!$D$2:$D$201,$AB980)="PROJECT",IFERROR(INDEX(Projects!$D:$D,MATCH(INDEX(FTE_Allocation!$E$2:$E$201,$AB980),Projects!$A:$A,0))&amp;"","#PROJECT?"),INDEX(FTE_Allocation!$E$2:$E$201,$AB980)&amp;""),"")))</f>
        <v/>
      </c>
      <c r="F980" s="7">
        <f>IF($Z980="C",INDEX(Contracts!$Q$2:$Q$151,$AB980)&amp;"",IF($Z980="A",INDEX(Fixed_Assets!$L$2:$L$201,$AB980)&amp;"",IF($Z980="F",INDEX(Workforce!$K$2:$K$151,MATCH(INDEX(FTE_Allocation!$A$2:$A$201,$AB980),Workforce!$A$2:$A$151,0))&amp;"","")))</f>
        <v/>
      </c>
      <c r="G980" s="7">
        <f>IF($Z980="C",INDEX(Contracts!$F$2:$F$151,$AB980)&amp;" / "&amp;INDEX(Contracts!$G$2:$G$151,$AB980),IF($Z980="A",INDEX(Fixed_Assets!$E$2:$E$201,$AB980)&amp;"",IF($Z980="F","Personnel "&amp;INDEX(FTE_Allocation!$A$2:$A$201,$AB980)&amp;IF(INDEX(FTE_Allocation!$D$2:$D$201,$AB980)="PROJECT"," ("&amp;INDEX(FTE_Allocation!$E$2:$E$201,$AB980)&amp;")",""),"")))</f>
        <v/>
      </c>
      <c r="H980" s="7">
        <f>IF($Z980="C","CONTRACT",IF($Z980="A","ASSET",IF($Z980="F","WORKFORCE","")))</f>
        <v/>
      </c>
      <c r="I980" s="7">
        <f>IF($Z980="C",INDEX(Contracts!$L$2:$L$151,$AB980)&amp;"",IF($Z980="A",INDEX(Fixed_Assets!$I$2:$I$201,$AB980)&amp;"",IF($Z980="F",INDEX(Workforce!$G$2:$G$151,MATCH(INDEX(FTE_Allocation!$A$2:$A$201,$AB980),Workforce!$A$2:$A$151,0))&amp;"","")))</f>
        <v/>
      </c>
      <c r="J980" s="18">
        <f>IF($Z980="","",IF(AND(DATE($AD980,1,1)&gt;=$AE980,DATE($AD980,1,1)&lt;=$AF980),ROUND($AG980,2),0))</f>
        <v/>
      </c>
      <c r="K980" s="18">
        <f>IF($Z980="","",IF(AND(DATE($AD980,2,1)&gt;=$AE980,DATE($AD980,2,1)&lt;=$AF980),ROUND($AG980,2),0))</f>
        <v/>
      </c>
      <c r="L980" s="18">
        <f>IF($Z980="","",IF(AND(DATE($AD980,3,1)&gt;=$AE980,DATE($AD980,3,1)&lt;=$AF980),ROUND($AG980,2),0))</f>
        <v/>
      </c>
      <c r="M980" s="18">
        <f>IF($Z980="","",IF(AND(DATE($AD980,4,1)&gt;=$AE980,DATE($AD980,4,1)&lt;=$AF980),ROUND($AG980,2),0))</f>
        <v/>
      </c>
      <c r="N980" s="18">
        <f>IF($Z980="","",IF(AND(DATE($AD980,5,1)&gt;=$AE980,DATE($AD980,5,1)&lt;=$AF980),ROUND($AG980,2),0))</f>
        <v/>
      </c>
      <c r="O980" s="18">
        <f>IF($Z980="","",IF(AND(DATE($AD980,6,1)&gt;=$AE980,DATE($AD980,6,1)&lt;=$AF980),ROUND($AG980,2),0))</f>
        <v/>
      </c>
      <c r="P980" s="18">
        <f>IF($Z980="","",IF(AND(DATE($AD980,7,1)&gt;=$AE980,DATE($AD980,7,1)&lt;=$AF980),ROUND($AG980,2),0))</f>
        <v/>
      </c>
      <c r="Q980" s="18">
        <f>IF($Z980="","",IF(AND(DATE($AD980,8,1)&gt;=$AE980,DATE($AD980,8,1)&lt;=$AF980),ROUND($AG980,2),0))</f>
        <v/>
      </c>
      <c r="R980" s="18">
        <f>IF($Z980="","",IF(AND(DATE($AD980,9,1)&gt;=$AE980,DATE($AD980,9,1)&lt;=$AF980),ROUND($AG980,2),0))</f>
        <v/>
      </c>
      <c r="S980" s="18">
        <f>IF($Z980="","",IF(AND(DATE($AD980,10,1)&gt;=$AE980,DATE($AD980,10,1)&lt;=$AF980),ROUND($AG980,2),0))</f>
        <v/>
      </c>
      <c r="T980" s="18">
        <f>IF($Z980="","",IF(AND(DATE($AD980,11,1)&gt;=$AE980,DATE($AD980,11,1)&lt;=$AF980),ROUND($AG980,2),0))</f>
        <v/>
      </c>
      <c r="U980" s="18">
        <f>IF($Z980="","",IF(AND(DATE($AD980,12,1)&gt;=$AE980,DATE($AD980,12,1)&lt;=$AF980),ROUND($AG980,2),0))</f>
        <v/>
      </c>
      <c r="V980" s="7">
        <f>IF($Z980="C","Generated from "&amp;INDEX(Contracts!$A$2:$A$151,$AB980),IF($Z980="A","Generated from "&amp;INDEX(Fixed_Assets!$A$2:$A$201,$AB980),IF($Z980="F","Generated from "&amp;INDEX(FTE_Allocation!$A$2:$A$201,$AB980),"")))</f>
        <v/>
      </c>
      <c r="X980" s="19">
        <f>IF($Z980="","",SUM(J980:U980))</f>
        <v/>
      </c>
      <c r="Y980" s="20">
        <f>ROW()-1</f>
        <v/>
      </c>
      <c r="Z980" s="20">
        <f>IF($Y980&lt;=Settings!$B$4*3,"C",IF($Y980&lt;=(Settings!$B$4+Settings!$B$5)*3,"A",IF($Y980&lt;=(Settings!$B$4+Settings!$B$5+Settings!$B$6)*3,"F","")))</f>
        <v/>
      </c>
      <c r="AA980" s="20">
        <f>IF($Z980="C",$Y980,IF($Z980="A",$Y980-Settings!$B$4*3,IF($Z980="F",$Y980-(Settings!$B$4+Settings!$B$5)*3,"")))</f>
        <v/>
      </c>
      <c r="AB980" s="20">
        <f>IF($Z980="","",INT(($AA980-1)/3)+1)</f>
        <v/>
      </c>
      <c r="AC980" s="20">
        <f>IF($Z980="","",MOD($AA980-1,3)+1)</f>
        <v/>
      </c>
      <c r="AD980" s="20">
        <f>IF($Z980="","",Settings!$B$2+$AC980-1)</f>
        <v/>
      </c>
      <c r="AE980" s="21">
        <f>IF($Z980="C",DATE(YEAR(INDEX(Contracts!$J$2:$J$151,$AB980)),MONTH(INDEX(Contracts!$J$2:$J$151,$AB980)),1),IF($Z980="A",DATE(YEAR(INDEX(Fixed_Assets!$G$2:$G$201,$AB980)),MONTH(INDEX(Fixed_Assets!$G$2:$G$201,$AB980)),1),IF($Z980="F",DATE(YEAR(MAX(N(INDEX(Workforce!$I$2:$I$151,MATCH(INDEX(FTE_Allocation!$A$2:$A$201,$AB980),Workforce!$A$2:$A$151,0))),N(INDEX(FTE_Allocation!$I$2:$I$201,$AB980)))),MONTH(MAX(N(INDEX(Workforce!$I$2:$I$151,MATCH(INDEX(FTE_Allocation!$A$2:$A$201,$AB980),Workforce!$A$2:$A$151,0))),N(INDEX(FTE_Allocation!$I$2:$I$201,$AB980)))),1),"")))</f>
        <v/>
      </c>
      <c r="AF980" s="21">
        <f>IF($Z980="C",IF(INDEX(Contracts!$I$2:$I$151,$AB980)="PREPAID",EDATE(DATE(YEAR(INDEX(Contracts!$J$2:$J$151,$AB980)),MONTH(INDEX(Contracts!$J$2:$J$151,$AB980)),1),IF(INDEX(Contracts!$N$2:$N$151,$AB980)="",12,INDEX(Contracts!$N$2:$N$151,$AB980))-1),IF(INDEX(Contracts!$I$2:$I$151,$AB980)="MONTHLY",IF(INDEX(Contracts!$K$2:$K$151,$AB980)="",2958101,INDEX(Contracts!$K$2:$K$151,$AB980)),0)),IF($Z980="A",EDATE(DATE(YEAR(INDEX(Fixed_Assets!$G$2:$G$201,$AB980)),MONTH(INDEX(Fixed_Assets!$G$2:$G$201,$AB980)),1),INDEX(Fixed_Assets!$J$2:$J$201,$AB980)-1),IF($Z980="F",MIN(IF(INDEX(Workforce!$J$2:$J$151,MATCH(INDEX(FTE_Allocation!$A$2:$A$201,$AB980),Workforce!$A$2:$A$151,0))="",2958101,INDEX(Workforce!$J$2:$J$151,MATCH(INDEX(FTE_Allocation!$A$2:$A$201,$AB980),Workforce!$A$2:$A$151,0))),IF(INDEX(FTE_Allocation!$J$2:$J$201,$AB980)="",2958101,INDEX(FTE_Allocation!$J$2:$J$201,$AB980))),"")))</f>
        <v/>
      </c>
      <c r="AG980" s="19">
        <f>IF($Z980="C",IF(INDEX(Contracts!$I$2:$I$151,$AB980)="PREPAID",INDEX(Contracts!$M$2:$M$151,$AB980)/IF(INDEX(Contracts!$N$2:$N$151,$AB980)="",12,INDEX(Contracts!$N$2:$N$151,$AB980)),IF(INDEX(Contracts!$I$2:$I$151,$AB980)="MONTHLY",INDEX(Contracts!$M$2:$M$151,$AB980),0))*(1-N(INDEX(Contracts!$O$2:$O$151,$AB980))),IF($Z980="A",INDEX(Fixed_Assets!$H$2:$H$201,$AB980)/INDEX(Fixed_Assets!$J$2:$J$201,$AB980),IF($Z980="F",INDEX(Workforce!$F$2:$F$151,MATCH(INDEX(FTE_Allocation!$A$2:$A$201,$AB980),Workforce!$A$2:$A$151,0))*N(INDEX(FTE_Allocation!$F$2:$H$201,$AB980,$AC980)),"")))</f>
        <v/>
      </c>
    </row>
    <row r="981">
      <c r="A981" s="7">
        <f>IF($Z981="","",$AD981)</f>
        <v/>
      </c>
      <c r="B981" s="7">
        <f>IF($Z981="C",INDEX(Contracts!$D$2:$D$151,$AB981)&amp;"",IF($Z981="A",INDEX(Fixed_Assets!$C$2:$C$201,$AB981)&amp;"",IF($Z981="F",INDEX(Workforce!$B$2:$B$151,MATCH(INDEX(FTE_Allocation!$A$2:$A$201,$AB981),Workforce!$A$2:$A$151,0))&amp;"","")))</f>
        <v/>
      </c>
      <c r="C981" s="7">
        <f>IF($Z981="C",INDEX(Contracts!$E$2:$E$151,$AB981)&amp;"",IF($Z981="A",INDEX(Fixed_Assets!$D$2:$D$201,$AB981)&amp;"",IF($Z981="F",INDEX(FTE_Allocation!$C$2:$C$201,$AB981)&amp;"","")))</f>
        <v/>
      </c>
      <c r="D981" s="7">
        <f>IF($Z981="C",INDEX(Contracts!$B$2:$B$151,$AB981)&amp;"",IF($Z981="A",INDEX(Fixed_Assets!$B$2:$B$201,$AB981)&amp;"",IF($Z981="F",INDEX(FTE_Allocation!$B$2:$B$201,$AB981)&amp;"","")))</f>
        <v/>
      </c>
      <c r="E981" s="7">
        <f>IF($Z981="C",INDEX(Contracts!$P$2:$P$151,$AB981)&amp;"",IF($Z981="A",INDEX(Fixed_Assets!$K$2:$K$201,$AB981)&amp;"",IF($Z981="F",IF(INDEX(FTE_Allocation!$D$2:$D$201,$AB981)="PROJECT",IFERROR(INDEX(Projects!$D:$D,MATCH(INDEX(FTE_Allocation!$E$2:$E$201,$AB981),Projects!$A:$A,0))&amp;"","#PROJECT?"),INDEX(FTE_Allocation!$E$2:$E$201,$AB981)&amp;""),"")))</f>
        <v/>
      </c>
      <c r="F981" s="7">
        <f>IF($Z981="C",INDEX(Contracts!$Q$2:$Q$151,$AB981)&amp;"",IF($Z981="A",INDEX(Fixed_Assets!$L$2:$L$201,$AB981)&amp;"",IF($Z981="F",INDEX(Workforce!$K$2:$K$151,MATCH(INDEX(FTE_Allocation!$A$2:$A$201,$AB981),Workforce!$A$2:$A$151,0))&amp;"","")))</f>
        <v/>
      </c>
      <c r="G981" s="7">
        <f>IF($Z981="C",INDEX(Contracts!$F$2:$F$151,$AB981)&amp;" / "&amp;INDEX(Contracts!$G$2:$G$151,$AB981),IF($Z981="A",INDEX(Fixed_Assets!$E$2:$E$201,$AB981)&amp;"",IF($Z981="F","Personnel "&amp;INDEX(FTE_Allocation!$A$2:$A$201,$AB981)&amp;IF(INDEX(FTE_Allocation!$D$2:$D$201,$AB981)="PROJECT"," ("&amp;INDEX(FTE_Allocation!$E$2:$E$201,$AB981)&amp;")",""),"")))</f>
        <v/>
      </c>
      <c r="H981" s="7">
        <f>IF($Z981="C","CONTRACT",IF($Z981="A","ASSET",IF($Z981="F","WORKFORCE","")))</f>
        <v/>
      </c>
      <c r="I981" s="7">
        <f>IF($Z981="C",INDEX(Contracts!$L$2:$L$151,$AB981)&amp;"",IF($Z981="A",INDEX(Fixed_Assets!$I$2:$I$201,$AB981)&amp;"",IF($Z981="F",INDEX(Workforce!$G$2:$G$151,MATCH(INDEX(FTE_Allocation!$A$2:$A$201,$AB981),Workforce!$A$2:$A$151,0))&amp;"","")))</f>
        <v/>
      </c>
      <c r="J981" s="18">
        <f>IF($Z981="","",IF(AND(DATE($AD981,1,1)&gt;=$AE981,DATE($AD981,1,1)&lt;=$AF981),ROUND($AG981,2),0))</f>
        <v/>
      </c>
      <c r="K981" s="18">
        <f>IF($Z981="","",IF(AND(DATE($AD981,2,1)&gt;=$AE981,DATE($AD981,2,1)&lt;=$AF981),ROUND($AG981,2),0))</f>
        <v/>
      </c>
      <c r="L981" s="18">
        <f>IF($Z981="","",IF(AND(DATE($AD981,3,1)&gt;=$AE981,DATE($AD981,3,1)&lt;=$AF981),ROUND($AG981,2),0))</f>
        <v/>
      </c>
      <c r="M981" s="18">
        <f>IF($Z981="","",IF(AND(DATE($AD981,4,1)&gt;=$AE981,DATE($AD981,4,1)&lt;=$AF981),ROUND($AG981,2),0))</f>
        <v/>
      </c>
      <c r="N981" s="18">
        <f>IF($Z981="","",IF(AND(DATE($AD981,5,1)&gt;=$AE981,DATE($AD981,5,1)&lt;=$AF981),ROUND($AG981,2),0))</f>
        <v/>
      </c>
      <c r="O981" s="18">
        <f>IF($Z981="","",IF(AND(DATE($AD981,6,1)&gt;=$AE981,DATE($AD981,6,1)&lt;=$AF981),ROUND($AG981,2),0))</f>
        <v/>
      </c>
      <c r="P981" s="18">
        <f>IF($Z981="","",IF(AND(DATE($AD981,7,1)&gt;=$AE981,DATE($AD981,7,1)&lt;=$AF981),ROUND($AG981,2),0))</f>
        <v/>
      </c>
      <c r="Q981" s="18">
        <f>IF($Z981="","",IF(AND(DATE($AD981,8,1)&gt;=$AE981,DATE($AD981,8,1)&lt;=$AF981),ROUND($AG981,2),0))</f>
        <v/>
      </c>
      <c r="R981" s="18">
        <f>IF($Z981="","",IF(AND(DATE($AD981,9,1)&gt;=$AE981,DATE($AD981,9,1)&lt;=$AF981),ROUND($AG981,2),0))</f>
        <v/>
      </c>
      <c r="S981" s="18">
        <f>IF($Z981="","",IF(AND(DATE($AD981,10,1)&gt;=$AE981,DATE($AD981,10,1)&lt;=$AF981),ROUND($AG981,2),0))</f>
        <v/>
      </c>
      <c r="T981" s="18">
        <f>IF($Z981="","",IF(AND(DATE($AD981,11,1)&gt;=$AE981,DATE($AD981,11,1)&lt;=$AF981),ROUND($AG981,2),0))</f>
        <v/>
      </c>
      <c r="U981" s="18">
        <f>IF($Z981="","",IF(AND(DATE($AD981,12,1)&gt;=$AE981,DATE($AD981,12,1)&lt;=$AF981),ROUND($AG981,2),0))</f>
        <v/>
      </c>
      <c r="V981" s="7">
        <f>IF($Z981="C","Generated from "&amp;INDEX(Contracts!$A$2:$A$151,$AB981),IF($Z981="A","Generated from "&amp;INDEX(Fixed_Assets!$A$2:$A$201,$AB981),IF($Z981="F","Generated from "&amp;INDEX(FTE_Allocation!$A$2:$A$201,$AB981),"")))</f>
        <v/>
      </c>
      <c r="X981" s="19">
        <f>IF($Z981="","",SUM(J981:U981))</f>
        <v/>
      </c>
      <c r="Y981" s="20">
        <f>ROW()-1</f>
        <v/>
      </c>
      <c r="Z981" s="20">
        <f>IF($Y981&lt;=Settings!$B$4*3,"C",IF($Y981&lt;=(Settings!$B$4+Settings!$B$5)*3,"A",IF($Y981&lt;=(Settings!$B$4+Settings!$B$5+Settings!$B$6)*3,"F","")))</f>
        <v/>
      </c>
      <c r="AA981" s="20">
        <f>IF($Z981="C",$Y981,IF($Z981="A",$Y981-Settings!$B$4*3,IF($Z981="F",$Y981-(Settings!$B$4+Settings!$B$5)*3,"")))</f>
        <v/>
      </c>
      <c r="AB981" s="20">
        <f>IF($Z981="","",INT(($AA981-1)/3)+1)</f>
        <v/>
      </c>
      <c r="AC981" s="20">
        <f>IF($Z981="","",MOD($AA981-1,3)+1)</f>
        <v/>
      </c>
      <c r="AD981" s="20">
        <f>IF($Z981="","",Settings!$B$2+$AC981-1)</f>
        <v/>
      </c>
      <c r="AE981" s="21">
        <f>IF($Z981="C",DATE(YEAR(INDEX(Contracts!$J$2:$J$151,$AB981)),MONTH(INDEX(Contracts!$J$2:$J$151,$AB981)),1),IF($Z981="A",DATE(YEAR(INDEX(Fixed_Assets!$G$2:$G$201,$AB981)),MONTH(INDEX(Fixed_Assets!$G$2:$G$201,$AB981)),1),IF($Z981="F",DATE(YEAR(MAX(N(INDEX(Workforce!$I$2:$I$151,MATCH(INDEX(FTE_Allocation!$A$2:$A$201,$AB981),Workforce!$A$2:$A$151,0))),N(INDEX(FTE_Allocation!$I$2:$I$201,$AB981)))),MONTH(MAX(N(INDEX(Workforce!$I$2:$I$151,MATCH(INDEX(FTE_Allocation!$A$2:$A$201,$AB981),Workforce!$A$2:$A$151,0))),N(INDEX(FTE_Allocation!$I$2:$I$201,$AB981)))),1),"")))</f>
        <v/>
      </c>
      <c r="AF981" s="21">
        <f>IF($Z981="C",IF(INDEX(Contracts!$I$2:$I$151,$AB981)="PREPAID",EDATE(DATE(YEAR(INDEX(Contracts!$J$2:$J$151,$AB981)),MONTH(INDEX(Contracts!$J$2:$J$151,$AB981)),1),IF(INDEX(Contracts!$N$2:$N$151,$AB981)="",12,INDEX(Contracts!$N$2:$N$151,$AB981))-1),IF(INDEX(Contracts!$I$2:$I$151,$AB981)="MONTHLY",IF(INDEX(Contracts!$K$2:$K$151,$AB981)="",2958101,INDEX(Contracts!$K$2:$K$151,$AB981)),0)),IF($Z981="A",EDATE(DATE(YEAR(INDEX(Fixed_Assets!$G$2:$G$201,$AB981)),MONTH(INDEX(Fixed_Assets!$G$2:$G$201,$AB981)),1),INDEX(Fixed_Assets!$J$2:$J$201,$AB981)-1),IF($Z981="F",MIN(IF(INDEX(Workforce!$J$2:$J$151,MATCH(INDEX(FTE_Allocation!$A$2:$A$201,$AB981),Workforce!$A$2:$A$151,0))="",2958101,INDEX(Workforce!$J$2:$J$151,MATCH(INDEX(FTE_Allocation!$A$2:$A$201,$AB981),Workforce!$A$2:$A$151,0))),IF(INDEX(FTE_Allocation!$J$2:$J$201,$AB981)="",2958101,INDEX(FTE_Allocation!$J$2:$J$201,$AB981))),"")))</f>
        <v/>
      </c>
      <c r="AG981" s="19">
        <f>IF($Z981="C",IF(INDEX(Contracts!$I$2:$I$151,$AB981)="PREPAID",INDEX(Contracts!$M$2:$M$151,$AB981)/IF(INDEX(Contracts!$N$2:$N$151,$AB981)="",12,INDEX(Contracts!$N$2:$N$151,$AB981)),IF(INDEX(Contracts!$I$2:$I$151,$AB981)="MONTHLY",INDEX(Contracts!$M$2:$M$151,$AB981),0))*(1-N(INDEX(Contracts!$O$2:$O$151,$AB981))),IF($Z981="A",INDEX(Fixed_Assets!$H$2:$H$201,$AB981)/INDEX(Fixed_Assets!$J$2:$J$201,$AB981),IF($Z981="F",INDEX(Workforce!$F$2:$F$151,MATCH(INDEX(FTE_Allocation!$A$2:$A$201,$AB981),Workforce!$A$2:$A$151,0))*N(INDEX(FTE_Allocation!$F$2:$H$201,$AB981,$AC981)),"")))</f>
        <v/>
      </c>
    </row>
    <row r="982">
      <c r="A982" s="7">
        <f>IF($Z982="","",$AD982)</f>
        <v/>
      </c>
      <c r="B982" s="7">
        <f>IF($Z982="C",INDEX(Contracts!$D$2:$D$151,$AB982)&amp;"",IF($Z982="A",INDEX(Fixed_Assets!$C$2:$C$201,$AB982)&amp;"",IF($Z982="F",INDEX(Workforce!$B$2:$B$151,MATCH(INDEX(FTE_Allocation!$A$2:$A$201,$AB982),Workforce!$A$2:$A$151,0))&amp;"","")))</f>
        <v/>
      </c>
      <c r="C982" s="7">
        <f>IF($Z982="C",INDEX(Contracts!$E$2:$E$151,$AB982)&amp;"",IF($Z982="A",INDEX(Fixed_Assets!$D$2:$D$201,$AB982)&amp;"",IF($Z982="F",INDEX(FTE_Allocation!$C$2:$C$201,$AB982)&amp;"","")))</f>
        <v/>
      </c>
      <c r="D982" s="7">
        <f>IF($Z982="C",INDEX(Contracts!$B$2:$B$151,$AB982)&amp;"",IF($Z982="A",INDEX(Fixed_Assets!$B$2:$B$201,$AB982)&amp;"",IF($Z982="F",INDEX(FTE_Allocation!$B$2:$B$201,$AB982)&amp;"","")))</f>
        <v/>
      </c>
      <c r="E982" s="7">
        <f>IF($Z982="C",INDEX(Contracts!$P$2:$P$151,$AB982)&amp;"",IF($Z982="A",INDEX(Fixed_Assets!$K$2:$K$201,$AB982)&amp;"",IF($Z982="F",IF(INDEX(FTE_Allocation!$D$2:$D$201,$AB982)="PROJECT",IFERROR(INDEX(Projects!$D:$D,MATCH(INDEX(FTE_Allocation!$E$2:$E$201,$AB982),Projects!$A:$A,0))&amp;"","#PROJECT?"),INDEX(FTE_Allocation!$E$2:$E$201,$AB982)&amp;""),"")))</f>
        <v/>
      </c>
      <c r="F982" s="7">
        <f>IF($Z982="C",INDEX(Contracts!$Q$2:$Q$151,$AB982)&amp;"",IF($Z982="A",INDEX(Fixed_Assets!$L$2:$L$201,$AB982)&amp;"",IF($Z982="F",INDEX(Workforce!$K$2:$K$151,MATCH(INDEX(FTE_Allocation!$A$2:$A$201,$AB982),Workforce!$A$2:$A$151,0))&amp;"","")))</f>
        <v/>
      </c>
      <c r="G982" s="7">
        <f>IF($Z982="C",INDEX(Contracts!$F$2:$F$151,$AB982)&amp;" / "&amp;INDEX(Contracts!$G$2:$G$151,$AB982),IF($Z982="A",INDEX(Fixed_Assets!$E$2:$E$201,$AB982)&amp;"",IF($Z982="F","Personnel "&amp;INDEX(FTE_Allocation!$A$2:$A$201,$AB982)&amp;IF(INDEX(FTE_Allocation!$D$2:$D$201,$AB982)="PROJECT"," ("&amp;INDEX(FTE_Allocation!$E$2:$E$201,$AB982)&amp;")",""),"")))</f>
        <v/>
      </c>
      <c r="H982" s="7">
        <f>IF($Z982="C","CONTRACT",IF($Z982="A","ASSET",IF($Z982="F","WORKFORCE","")))</f>
        <v/>
      </c>
      <c r="I982" s="7">
        <f>IF($Z982="C",INDEX(Contracts!$L$2:$L$151,$AB982)&amp;"",IF($Z982="A",INDEX(Fixed_Assets!$I$2:$I$201,$AB982)&amp;"",IF($Z982="F",INDEX(Workforce!$G$2:$G$151,MATCH(INDEX(FTE_Allocation!$A$2:$A$201,$AB982),Workforce!$A$2:$A$151,0))&amp;"","")))</f>
        <v/>
      </c>
      <c r="J982" s="18">
        <f>IF($Z982="","",IF(AND(DATE($AD982,1,1)&gt;=$AE982,DATE($AD982,1,1)&lt;=$AF982),ROUND($AG982,2),0))</f>
        <v/>
      </c>
      <c r="K982" s="18">
        <f>IF($Z982="","",IF(AND(DATE($AD982,2,1)&gt;=$AE982,DATE($AD982,2,1)&lt;=$AF982),ROUND($AG982,2),0))</f>
        <v/>
      </c>
      <c r="L982" s="18">
        <f>IF($Z982="","",IF(AND(DATE($AD982,3,1)&gt;=$AE982,DATE($AD982,3,1)&lt;=$AF982),ROUND($AG982,2),0))</f>
        <v/>
      </c>
      <c r="M982" s="18">
        <f>IF($Z982="","",IF(AND(DATE($AD982,4,1)&gt;=$AE982,DATE($AD982,4,1)&lt;=$AF982),ROUND($AG982,2),0))</f>
        <v/>
      </c>
      <c r="N982" s="18">
        <f>IF($Z982="","",IF(AND(DATE($AD982,5,1)&gt;=$AE982,DATE($AD982,5,1)&lt;=$AF982),ROUND($AG982,2),0))</f>
        <v/>
      </c>
      <c r="O982" s="18">
        <f>IF($Z982="","",IF(AND(DATE($AD982,6,1)&gt;=$AE982,DATE($AD982,6,1)&lt;=$AF982),ROUND($AG982,2),0))</f>
        <v/>
      </c>
      <c r="P982" s="18">
        <f>IF($Z982="","",IF(AND(DATE($AD982,7,1)&gt;=$AE982,DATE($AD982,7,1)&lt;=$AF982),ROUND($AG982,2),0))</f>
        <v/>
      </c>
      <c r="Q982" s="18">
        <f>IF($Z982="","",IF(AND(DATE($AD982,8,1)&gt;=$AE982,DATE($AD982,8,1)&lt;=$AF982),ROUND($AG982,2),0))</f>
        <v/>
      </c>
      <c r="R982" s="18">
        <f>IF($Z982="","",IF(AND(DATE($AD982,9,1)&gt;=$AE982,DATE($AD982,9,1)&lt;=$AF982),ROUND($AG982,2),0))</f>
        <v/>
      </c>
      <c r="S982" s="18">
        <f>IF($Z982="","",IF(AND(DATE($AD982,10,1)&gt;=$AE982,DATE($AD982,10,1)&lt;=$AF982),ROUND($AG982,2),0))</f>
        <v/>
      </c>
      <c r="T982" s="18">
        <f>IF($Z982="","",IF(AND(DATE($AD982,11,1)&gt;=$AE982,DATE($AD982,11,1)&lt;=$AF982),ROUND($AG982,2),0))</f>
        <v/>
      </c>
      <c r="U982" s="18">
        <f>IF($Z982="","",IF(AND(DATE($AD982,12,1)&gt;=$AE982,DATE($AD982,12,1)&lt;=$AF982),ROUND($AG982,2),0))</f>
        <v/>
      </c>
      <c r="V982" s="7">
        <f>IF($Z982="C","Generated from "&amp;INDEX(Contracts!$A$2:$A$151,$AB982),IF($Z982="A","Generated from "&amp;INDEX(Fixed_Assets!$A$2:$A$201,$AB982),IF($Z982="F","Generated from "&amp;INDEX(FTE_Allocation!$A$2:$A$201,$AB982),"")))</f>
        <v/>
      </c>
      <c r="X982" s="19">
        <f>IF($Z982="","",SUM(J982:U982))</f>
        <v/>
      </c>
      <c r="Y982" s="20">
        <f>ROW()-1</f>
        <v/>
      </c>
      <c r="Z982" s="20">
        <f>IF($Y982&lt;=Settings!$B$4*3,"C",IF($Y982&lt;=(Settings!$B$4+Settings!$B$5)*3,"A",IF($Y982&lt;=(Settings!$B$4+Settings!$B$5+Settings!$B$6)*3,"F","")))</f>
        <v/>
      </c>
      <c r="AA982" s="20">
        <f>IF($Z982="C",$Y982,IF($Z982="A",$Y982-Settings!$B$4*3,IF($Z982="F",$Y982-(Settings!$B$4+Settings!$B$5)*3,"")))</f>
        <v/>
      </c>
      <c r="AB982" s="20">
        <f>IF($Z982="","",INT(($AA982-1)/3)+1)</f>
        <v/>
      </c>
      <c r="AC982" s="20">
        <f>IF($Z982="","",MOD($AA982-1,3)+1)</f>
        <v/>
      </c>
      <c r="AD982" s="20">
        <f>IF($Z982="","",Settings!$B$2+$AC982-1)</f>
        <v/>
      </c>
      <c r="AE982" s="21">
        <f>IF($Z982="C",DATE(YEAR(INDEX(Contracts!$J$2:$J$151,$AB982)),MONTH(INDEX(Contracts!$J$2:$J$151,$AB982)),1),IF($Z982="A",DATE(YEAR(INDEX(Fixed_Assets!$G$2:$G$201,$AB982)),MONTH(INDEX(Fixed_Assets!$G$2:$G$201,$AB982)),1),IF($Z982="F",DATE(YEAR(MAX(N(INDEX(Workforce!$I$2:$I$151,MATCH(INDEX(FTE_Allocation!$A$2:$A$201,$AB982),Workforce!$A$2:$A$151,0))),N(INDEX(FTE_Allocation!$I$2:$I$201,$AB982)))),MONTH(MAX(N(INDEX(Workforce!$I$2:$I$151,MATCH(INDEX(FTE_Allocation!$A$2:$A$201,$AB982),Workforce!$A$2:$A$151,0))),N(INDEX(FTE_Allocation!$I$2:$I$201,$AB982)))),1),"")))</f>
        <v/>
      </c>
      <c r="AF982" s="21">
        <f>IF($Z982="C",IF(INDEX(Contracts!$I$2:$I$151,$AB982)="PREPAID",EDATE(DATE(YEAR(INDEX(Contracts!$J$2:$J$151,$AB982)),MONTH(INDEX(Contracts!$J$2:$J$151,$AB982)),1),IF(INDEX(Contracts!$N$2:$N$151,$AB982)="",12,INDEX(Contracts!$N$2:$N$151,$AB982))-1),IF(INDEX(Contracts!$I$2:$I$151,$AB982)="MONTHLY",IF(INDEX(Contracts!$K$2:$K$151,$AB982)="",2958101,INDEX(Contracts!$K$2:$K$151,$AB982)),0)),IF($Z982="A",EDATE(DATE(YEAR(INDEX(Fixed_Assets!$G$2:$G$201,$AB982)),MONTH(INDEX(Fixed_Assets!$G$2:$G$201,$AB982)),1),INDEX(Fixed_Assets!$J$2:$J$201,$AB982)-1),IF($Z982="F",MIN(IF(INDEX(Workforce!$J$2:$J$151,MATCH(INDEX(FTE_Allocation!$A$2:$A$201,$AB982),Workforce!$A$2:$A$151,0))="",2958101,INDEX(Workforce!$J$2:$J$151,MATCH(INDEX(FTE_Allocation!$A$2:$A$201,$AB982),Workforce!$A$2:$A$151,0))),IF(INDEX(FTE_Allocation!$J$2:$J$201,$AB982)="",2958101,INDEX(FTE_Allocation!$J$2:$J$201,$AB982))),"")))</f>
        <v/>
      </c>
      <c r="AG982" s="19">
        <f>IF($Z982="C",IF(INDEX(Contracts!$I$2:$I$151,$AB982)="PREPAID",INDEX(Contracts!$M$2:$M$151,$AB982)/IF(INDEX(Contracts!$N$2:$N$151,$AB982)="",12,INDEX(Contracts!$N$2:$N$151,$AB982)),IF(INDEX(Contracts!$I$2:$I$151,$AB982)="MONTHLY",INDEX(Contracts!$M$2:$M$151,$AB982),0))*(1-N(INDEX(Contracts!$O$2:$O$151,$AB982))),IF($Z982="A",INDEX(Fixed_Assets!$H$2:$H$201,$AB982)/INDEX(Fixed_Assets!$J$2:$J$201,$AB982),IF($Z982="F",INDEX(Workforce!$F$2:$F$151,MATCH(INDEX(FTE_Allocation!$A$2:$A$201,$AB982),Workforce!$A$2:$A$151,0))*N(INDEX(FTE_Allocation!$F$2:$H$201,$AB982,$AC982)),"")))</f>
        <v/>
      </c>
    </row>
    <row r="983">
      <c r="A983" s="7">
        <f>IF($Z983="","",$AD983)</f>
        <v/>
      </c>
      <c r="B983" s="7">
        <f>IF($Z983="C",INDEX(Contracts!$D$2:$D$151,$AB983)&amp;"",IF($Z983="A",INDEX(Fixed_Assets!$C$2:$C$201,$AB983)&amp;"",IF($Z983="F",INDEX(Workforce!$B$2:$B$151,MATCH(INDEX(FTE_Allocation!$A$2:$A$201,$AB983),Workforce!$A$2:$A$151,0))&amp;"","")))</f>
        <v/>
      </c>
      <c r="C983" s="7">
        <f>IF($Z983="C",INDEX(Contracts!$E$2:$E$151,$AB983)&amp;"",IF($Z983="A",INDEX(Fixed_Assets!$D$2:$D$201,$AB983)&amp;"",IF($Z983="F",INDEX(FTE_Allocation!$C$2:$C$201,$AB983)&amp;"","")))</f>
        <v/>
      </c>
      <c r="D983" s="7">
        <f>IF($Z983="C",INDEX(Contracts!$B$2:$B$151,$AB983)&amp;"",IF($Z983="A",INDEX(Fixed_Assets!$B$2:$B$201,$AB983)&amp;"",IF($Z983="F",INDEX(FTE_Allocation!$B$2:$B$201,$AB983)&amp;"","")))</f>
        <v/>
      </c>
      <c r="E983" s="7">
        <f>IF($Z983="C",INDEX(Contracts!$P$2:$P$151,$AB983)&amp;"",IF($Z983="A",INDEX(Fixed_Assets!$K$2:$K$201,$AB983)&amp;"",IF($Z983="F",IF(INDEX(FTE_Allocation!$D$2:$D$201,$AB983)="PROJECT",IFERROR(INDEX(Projects!$D:$D,MATCH(INDEX(FTE_Allocation!$E$2:$E$201,$AB983),Projects!$A:$A,0))&amp;"","#PROJECT?"),INDEX(FTE_Allocation!$E$2:$E$201,$AB983)&amp;""),"")))</f>
        <v/>
      </c>
      <c r="F983" s="7">
        <f>IF($Z983="C",INDEX(Contracts!$Q$2:$Q$151,$AB983)&amp;"",IF($Z983="A",INDEX(Fixed_Assets!$L$2:$L$201,$AB983)&amp;"",IF($Z983="F",INDEX(Workforce!$K$2:$K$151,MATCH(INDEX(FTE_Allocation!$A$2:$A$201,$AB983),Workforce!$A$2:$A$151,0))&amp;"","")))</f>
        <v/>
      </c>
      <c r="G983" s="7">
        <f>IF($Z983="C",INDEX(Contracts!$F$2:$F$151,$AB983)&amp;" / "&amp;INDEX(Contracts!$G$2:$G$151,$AB983),IF($Z983="A",INDEX(Fixed_Assets!$E$2:$E$201,$AB983)&amp;"",IF($Z983="F","Personnel "&amp;INDEX(FTE_Allocation!$A$2:$A$201,$AB983)&amp;IF(INDEX(FTE_Allocation!$D$2:$D$201,$AB983)="PROJECT"," ("&amp;INDEX(FTE_Allocation!$E$2:$E$201,$AB983)&amp;")",""),"")))</f>
        <v/>
      </c>
      <c r="H983" s="7">
        <f>IF($Z983="C","CONTRACT",IF($Z983="A","ASSET",IF($Z983="F","WORKFORCE","")))</f>
        <v/>
      </c>
      <c r="I983" s="7">
        <f>IF($Z983="C",INDEX(Contracts!$L$2:$L$151,$AB983)&amp;"",IF($Z983="A",INDEX(Fixed_Assets!$I$2:$I$201,$AB983)&amp;"",IF($Z983="F",INDEX(Workforce!$G$2:$G$151,MATCH(INDEX(FTE_Allocation!$A$2:$A$201,$AB983),Workforce!$A$2:$A$151,0))&amp;"","")))</f>
        <v/>
      </c>
      <c r="J983" s="18">
        <f>IF($Z983="","",IF(AND(DATE($AD983,1,1)&gt;=$AE983,DATE($AD983,1,1)&lt;=$AF983),ROUND($AG983,2),0))</f>
        <v/>
      </c>
      <c r="K983" s="18">
        <f>IF($Z983="","",IF(AND(DATE($AD983,2,1)&gt;=$AE983,DATE($AD983,2,1)&lt;=$AF983),ROUND($AG983,2),0))</f>
        <v/>
      </c>
      <c r="L983" s="18">
        <f>IF($Z983="","",IF(AND(DATE($AD983,3,1)&gt;=$AE983,DATE($AD983,3,1)&lt;=$AF983),ROUND($AG983,2),0))</f>
        <v/>
      </c>
      <c r="M983" s="18">
        <f>IF($Z983="","",IF(AND(DATE($AD983,4,1)&gt;=$AE983,DATE($AD983,4,1)&lt;=$AF983),ROUND($AG983,2),0))</f>
        <v/>
      </c>
      <c r="N983" s="18">
        <f>IF($Z983="","",IF(AND(DATE($AD983,5,1)&gt;=$AE983,DATE($AD983,5,1)&lt;=$AF983),ROUND($AG983,2),0))</f>
        <v/>
      </c>
      <c r="O983" s="18">
        <f>IF($Z983="","",IF(AND(DATE($AD983,6,1)&gt;=$AE983,DATE($AD983,6,1)&lt;=$AF983),ROUND($AG983,2),0))</f>
        <v/>
      </c>
      <c r="P983" s="18">
        <f>IF($Z983="","",IF(AND(DATE($AD983,7,1)&gt;=$AE983,DATE($AD983,7,1)&lt;=$AF983),ROUND($AG983,2),0))</f>
        <v/>
      </c>
      <c r="Q983" s="18">
        <f>IF($Z983="","",IF(AND(DATE($AD983,8,1)&gt;=$AE983,DATE($AD983,8,1)&lt;=$AF983),ROUND($AG983,2),0))</f>
        <v/>
      </c>
      <c r="R983" s="18">
        <f>IF($Z983="","",IF(AND(DATE($AD983,9,1)&gt;=$AE983,DATE($AD983,9,1)&lt;=$AF983),ROUND($AG983,2),0))</f>
        <v/>
      </c>
      <c r="S983" s="18">
        <f>IF($Z983="","",IF(AND(DATE($AD983,10,1)&gt;=$AE983,DATE($AD983,10,1)&lt;=$AF983),ROUND($AG983,2),0))</f>
        <v/>
      </c>
      <c r="T983" s="18">
        <f>IF($Z983="","",IF(AND(DATE($AD983,11,1)&gt;=$AE983,DATE($AD983,11,1)&lt;=$AF983),ROUND($AG983,2),0))</f>
        <v/>
      </c>
      <c r="U983" s="18">
        <f>IF($Z983="","",IF(AND(DATE($AD983,12,1)&gt;=$AE983,DATE($AD983,12,1)&lt;=$AF983),ROUND($AG983,2),0))</f>
        <v/>
      </c>
      <c r="V983" s="7">
        <f>IF($Z983="C","Generated from "&amp;INDEX(Contracts!$A$2:$A$151,$AB983),IF($Z983="A","Generated from "&amp;INDEX(Fixed_Assets!$A$2:$A$201,$AB983),IF($Z983="F","Generated from "&amp;INDEX(FTE_Allocation!$A$2:$A$201,$AB983),"")))</f>
        <v/>
      </c>
      <c r="X983" s="19">
        <f>IF($Z983="","",SUM(J983:U983))</f>
        <v/>
      </c>
      <c r="Y983" s="20">
        <f>ROW()-1</f>
        <v/>
      </c>
      <c r="Z983" s="20">
        <f>IF($Y983&lt;=Settings!$B$4*3,"C",IF($Y983&lt;=(Settings!$B$4+Settings!$B$5)*3,"A",IF($Y983&lt;=(Settings!$B$4+Settings!$B$5+Settings!$B$6)*3,"F","")))</f>
        <v/>
      </c>
      <c r="AA983" s="20">
        <f>IF($Z983="C",$Y983,IF($Z983="A",$Y983-Settings!$B$4*3,IF($Z983="F",$Y983-(Settings!$B$4+Settings!$B$5)*3,"")))</f>
        <v/>
      </c>
      <c r="AB983" s="20">
        <f>IF($Z983="","",INT(($AA983-1)/3)+1)</f>
        <v/>
      </c>
      <c r="AC983" s="20">
        <f>IF($Z983="","",MOD($AA983-1,3)+1)</f>
        <v/>
      </c>
      <c r="AD983" s="20">
        <f>IF($Z983="","",Settings!$B$2+$AC983-1)</f>
        <v/>
      </c>
      <c r="AE983" s="21">
        <f>IF($Z983="C",DATE(YEAR(INDEX(Contracts!$J$2:$J$151,$AB983)),MONTH(INDEX(Contracts!$J$2:$J$151,$AB983)),1),IF($Z983="A",DATE(YEAR(INDEX(Fixed_Assets!$G$2:$G$201,$AB983)),MONTH(INDEX(Fixed_Assets!$G$2:$G$201,$AB983)),1),IF($Z983="F",DATE(YEAR(MAX(N(INDEX(Workforce!$I$2:$I$151,MATCH(INDEX(FTE_Allocation!$A$2:$A$201,$AB983),Workforce!$A$2:$A$151,0))),N(INDEX(FTE_Allocation!$I$2:$I$201,$AB983)))),MONTH(MAX(N(INDEX(Workforce!$I$2:$I$151,MATCH(INDEX(FTE_Allocation!$A$2:$A$201,$AB983),Workforce!$A$2:$A$151,0))),N(INDEX(FTE_Allocation!$I$2:$I$201,$AB983)))),1),"")))</f>
        <v/>
      </c>
      <c r="AF983" s="21">
        <f>IF($Z983="C",IF(INDEX(Contracts!$I$2:$I$151,$AB983)="PREPAID",EDATE(DATE(YEAR(INDEX(Contracts!$J$2:$J$151,$AB983)),MONTH(INDEX(Contracts!$J$2:$J$151,$AB983)),1),IF(INDEX(Contracts!$N$2:$N$151,$AB983)="",12,INDEX(Contracts!$N$2:$N$151,$AB983))-1),IF(INDEX(Contracts!$I$2:$I$151,$AB983)="MONTHLY",IF(INDEX(Contracts!$K$2:$K$151,$AB983)="",2958101,INDEX(Contracts!$K$2:$K$151,$AB983)),0)),IF($Z983="A",EDATE(DATE(YEAR(INDEX(Fixed_Assets!$G$2:$G$201,$AB983)),MONTH(INDEX(Fixed_Assets!$G$2:$G$201,$AB983)),1),INDEX(Fixed_Assets!$J$2:$J$201,$AB983)-1),IF($Z983="F",MIN(IF(INDEX(Workforce!$J$2:$J$151,MATCH(INDEX(FTE_Allocation!$A$2:$A$201,$AB983),Workforce!$A$2:$A$151,0))="",2958101,INDEX(Workforce!$J$2:$J$151,MATCH(INDEX(FTE_Allocation!$A$2:$A$201,$AB983),Workforce!$A$2:$A$151,0))),IF(INDEX(FTE_Allocation!$J$2:$J$201,$AB983)="",2958101,INDEX(FTE_Allocation!$J$2:$J$201,$AB983))),"")))</f>
        <v/>
      </c>
      <c r="AG983" s="19">
        <f>IF($Z983="C",IF(INDEX(Contracts!$I$2:$I$151,$AB983)="PREPAID",INDEX(Contracts!$M$2:$M$151,$AB983)/IF(INDEX(Contracts!$N$2:$N$151,$AB983)="",12,INDEX(Contracts!$N$2:$N$151,$AB983)),IF(INDEX(Contracts!$I$2:$I$151,$AB983)="MONTHLY",INDEX(Contracts!$M$2:$M$151,$AB983),0))*(1-N(INDEX(Contracts!$O$2:$O$151,$AB983))),IF($Z983="A",INDEX(Fixed_Assets!$H$2:$H$201,$AB983)/INDEX(Fixed_Assets!$J$2:$J$201,$AB983),IF($Z983="F",INDEX(Workforce!$F$2:$F$151,MATCH(INDEX(FTE_Allocation!$A$2:$A$201,$AB983),Workforce!$A$2:$A$151,0))*N(INDEX(FTE_Allocation!$F$2:$H$201,$AB983,$AC983)),"")))</f>
        <v/>
      </c>
    </row>
    <row r="984">
      <c r="A984" s="7">
        <f>IF($Z984="","",$AD984)</f>
        <v/>
      </c>
      <c r="B984" s="7">
        <f>IF($Z984="C",INDEX(Contracts!$D$2:$D$151,$AB984)&amp;"",IF($Z984="A",INDEX(Fixed_Assets!$C$2:$C$201,$AB984)&amp;"",IF($Z984="F",INDEX(Workforce!$B$2:$B$151,MATCH(INDEX(FTE_Allocation!$A$2:$A$201,$AB984),Workforce!$A$2:$A$151,0))&amp;"","")))</f>
        <v/>
      </c>
      <c r="C984" s="7">
        <f>IF($Z984="C",INDEX(Contracts!$E$2:$E$151,$AB984)&amp;"",IF($Z984="A",INDEX(Fixed_Assets!$D$2:$D$201,$AB984)&amp;"",IF($Z984="F",INDEX(FTE_Allocation!$C$2:$C$201,$AB984)&amp;"","")))</f>
        <v/>
      </c>
      <c r="D984" s="7">
        <f>IF($Z984="C",INDEX(Contracts!$B$2:$B$151,$AB984)&amp;"",IF($Z984="A",INDEX(Fixed_Assets!$B$2:$B$201,$AB984)&amp;"",IF($Z984="F",INDEX(FTE_Allocation!$B$2:$B$201,$AB984)&amp;"","")))</f>
        <v/>
      </c>
      <c r="E984" s="7">
        <f>IF($Z984="C",INDEX(Contracts!$P$2:$P$151,$AB984)&amp;"",IF($Z984="A",INDEX(Fixed_Assets!$K$2:$K$201,$AB984)&amp;"",IF($Z984="F",IF(INDEX(FTE_Allocation!$D$2:$D$201,$AB984)="PROJECT",IFERROR(INDEX(Projects!$D:$D,MATCH(INDEX(FTE_Allocation!$E$2:$E$201,$AB984),Projects!$A:$A,0))&amp;"","#PROJECT?"),INDEX(FTE_Allocation!$E$2:$E$201,$AB984)&amp;""),"")))</f>
        <v/>
      </c>
      <c r="F984" s="7">
        <f>IF($Z984="C",INDEX(Contracts!$Q$2:$Q$151,$AB984)&amp;"",IF($Z984="A",INDEX(Fixed_Assets!$L$2:$L$201,$AB984)&amp;"",IF($Z984="F",INDEX(Workforce!$K$2:$K$151,MATCH(INDEX(FTE_Allocation!$A$2:$A$201,$AB984),Workforce!$A$2:$A$151,0))&amp;"","")))</f>
        <v/>
      </c>
      <c r="G984" s="7">
        <f>IF($Z984="C",INDEX(Contracts!$F$2:$F$151,$AB984)&amp;" / "&amp;INDEX(Contracts!$G$2:$G$151,$AB984),IF($Z984="A",INDEX(Fixed_Assets!$E$2:$E$201,$AB984)&amp;"",IF($Z984="F","Personnel "&amp;INDEX(FTE_Allocation!$A$2:$A$201,$AB984)&amp;IF(INDEX(FTE_Allocation!$D$2:$D$201,$AB984)="PROJECT"," ("&amp;INDEX(FTE_Allocation!$E$2:$E$201,$AB984)&amp;")",""),"")))</f>
        <v/>
      </c>
      <c r="H984" s="7">
        <f>IF($Z984="C","CONTRACT",IF($Z984="A","ASSET",IF($Z984="F","WORKFORCE","")))</f>
        <v/>
      </c>
      <c r="I984" s="7">
        <f>IF($Z984="C",INDEX(Contracts!$L$2:$L$151,$AB984)&amp;"",IF($Z984="A",INDEX(Fixed_Assets!$I$2:$I$201,$AB984)&amp;"",IF($Z984="F",INDEX(Workforce!$G$2:$G$151,MATCH(INDEX(FTE_Allocation!$A$2:$A$201,$AB984),Workforce!$A$2:$A$151,0))&amp;"","")))</f>
        <v/>
      </c>
      <c r="J984" s="18">
        <f>IF($Z984="","",IF(AND(DATE($AD984,1,1)&gt;=$AE984,DATE($AD984,1,1)&lt;=$AF984),ROUND($AG984,2),0))</f>
        <v/>
      </c>
      <c r="K984" s="18">
        <f>IF($Z984="","",IF(AND(DATE($AD984,2,1)&gt;=$AE984,DATE($AD984,2,1)&lt;=$AF984),ROUND($AG984,2),0))</f>
        <v/>
      </c>
      <c r="L984" s="18">
        <f>IF($Z984="","",IF(AND(DATE($AD984,3,1)&gt;=$AE984,DATE($AD984,3,1)&lt;=$AF984),ROUND($AG984,2),0))</f>
        <v/>
      </c>
      <c r="M984" s="18">
        <f>IF($Z984="","",IF(AND(DATE($AD984,4,1)&gt;=$AE984,DATE($AD984,4,1)&lt;=$AF984),ROUND($AG984,2),0))</f>
        <v/>
      </c>
      <c r="N984" s="18">
        <f>IF($Z984="","",IF(AND(DATE($AD984,5,1)&gt;=$AE984,DATE($AD984,5,1)&lt;=$AF984),ROUND($AG984,2),0))</f>
        <v/>
      </c>
      <c r="O984" s="18">
        <f>IF($Z984="","",IF(AND(DATE($AD984,6,1)&gt;=$AE984,DATE($AD984,6,1)&lt;=$AF984),ROUND($AG984,2),0))</f>
        <v/>
      </c>
      <c r="P984" s="18">
        <f>IF($Z984="","",IF(AND(DATE($AD984,7,1)&gt;=$AE984,DATE($AD984,7,1)&lt;=$AF984),ROUND($AG984,2),0))</f>
        <v/>
      </c>
      <c r="Q984" s="18">
        <f>IF($Z984="","",IF(AND(DATE($AD984,8,1)&gt;=$AE984,DATE($AD984,8,1)&lt;=$AF984),ROUND($AG984,2),0))</f>
        <v/>
      </c>
      <c r="R984" s="18">
        <f>IF($Z984="","",IF(AND(DATE($AD984,9,1)&gt;=$AE984,DATE($AD984,9,1)&lt;=$AF984),ROUND($AG984,2),0))</f>
        <v/>
      </c>
      <c r="S984" s="18">
        <f>IF($Z984="","",IF(AND(DATE($AD984,10,1)&gt;=$AE984,DATE($AD984,10,1)&lt;=$AF984),ROUND($AG984,2),0))</f>
        <v/>
      </c>
      <c r="T984" s="18">
        <f>IF($Z984="","",IF(AND(DATE($AD984,11,1)&gt;=$AE984,DATE($AD984,11,1)&lt;=$AF984),ROUND($AG984,2),0))</f>
        <v/>
      </c>
      <c r="U984" s="18">
        <f>IF($Z984="","",IF(AND(DATE($AD984,12,1)&gt;=$AE984,DATE($AD984,12,1)&lt;=$AF984),ROUND($AG984,2),0))</f>
        <v/>
      </c>
      <c r="V984" s="7">
        <f>IF($Z984="C","Generated from "&amp;INDEX(Contracts!$A$2:$A$151,$AB984),IF($Z984="A","Generated from "&amp;INDEX(Fixed_Assets!$A$2:$A$201,$AB984),IF($Z984="F","Generated from "&amp;INDEX(FTE_Allocation!$A$2:$A$201,$AB984),"")))</f>
        <v/>
      </c>
      <c r="X984" s="19">
        <f>IF($Z984="","",SUM(J984:U984))</f>
        <v/>
      </c>
      <c r="Y984" s="20">
        <f>ROW()-1</f>
        <v/>
      </c>
      <c r="Z984" s="20">
        <f>IF($Y984&lt;=Settings!$B$4*3,"C",IF($Y984&lt;=(Settings!$B$4+Settings!$B$5)*3,"A",IF($Y984&lt;=(Settings!$B$4+Settings!$B$5+Settings!$B$6)*3,"F","")))</f>
        <v/>
      </c>
      <c r="AA984" s="20">
        <f>IF($Z984="C",$Y984,IF($Z984="A",$Y984-Settings!$B$4*3,IF($Z984="F",$Y984-(Settings!$B$4+Settings!$B$5)*3,"")))</f>
        <v/>
      </c>
      <c r="AB984" s="20">
        <f>IF($Z984="","",INT(($AA984-1)/3)+1)</f>
        <v/>
      </c>
      <c r="AC984" s="20">
        <f>IF($Z984="","",MOD($AA984-1,3)+1)</f>
        <v/>
      </c>
      <c r="AD984" s="20">
        <f>IF($Z984="","",Settings!$B$2+$AC984-1)</f>
        <v/>
      </c>
      <c r="AE984" s="21">
        <f>IF($Z984="C",DATE(YEAR(INDEX(Contracts!$J$2:$J$151,$AB984)),MONTH(INDEX(Contracts!$J$2:$J$151,$AB984)),1),IF($Z984="A",DATE(YEAR(INDEX(Fixed_Assets!$G$2:$G$201,$AB984)),MONTH(INDEX(Fixed_Assets!$G$2:$G$201,$AB984)),1),IF($Z984="F",DATE(YEAR(MAX(N(INDEX(Workforce!$I$2:$I$151,MATCH(INDEX(FTE_Allocation!$A$2:$A$201,$AB984),Workforce!$A$2:$A$151,0))),N(INDEX(FTE_Allocation!$I$2:$I$201,$AB984)))),MONTH(MAX(N(INDEX(Workforce!$I$2:$I$151,MATCH(INDEX(FTE_Allocation!$A$2:$A$201,$AB984),Workforce!$A$2:$A$151,0))),N(INDEX(FTE_Allocation!$I$2:$I$201,$AB984)))),1),"")))</f>
        <v/>
      </c>
      <c r="AF984" s="21">
        <f>IF($Z984="C",IF(INDEX(Contracts!$I$2:$I$151,$AB984)="PREPAID",EDATE(DATE(YEAR(INDEX(Contracts!$J$2:$J$151,$AB984)),MONTH(INDEX(Contracts!$J$2:$J$151,$AB984)),1),IF(INDEX(Contracts!$N$2:$N$151,$AB984)="",12,INDEX(Contracts!$N$2:$N$151,$AB984))-1),IF(INDEX(Contracts!$I$2:$I$151,$AB984)="MONTHLY",IF(INDEX(Contracts!$K$2:$K$151,$AB984)="",2958101,INDEX(Contracts!$K$2:$K$151,$AB984)),0)),IF($Z984="A",EDATE(DATE(YEAR(INDEX(Fixed_Assets!$G$2:$G$201,$AB984)),MONTH(INDEX(Fixed_Assets!$G$2:$G$201,$AB984)),1),INDEX(Fixed_Assets!$J$2:$J$201,$AB984)-1),IF($Z984="F",MIN(IF(INDEX(Workforce!$J$2:$J$151,MATCH(INDEX(FTE_Allocation!$A$2:$A$201,$AB984),Workforce!$A$2:$A$151,0))="",2958101,INDEX(Workforce!$J$2:$J$151,MATCH(INDEX(FTE_Allocation!$A$2:$A$201,$AB984),Workforce!$A$2:$A$151,0))),IF(INDEX(FTE_Allocation!$J$2:$J$201,$AB984)="",2958101,INDEX(FTE_Allocation!$J$2:$J$201,$AB984))),"")))</f>
        <v/>
      </c>
      <c r="AG984" s="19">
        <f>IF($Z984="C",IF(INDEX(Contracts!$I$2:$I$151,$AB984)="PREPAID",INDEX(Contracts!$M$2:$M$151,$AB984)/IF(INDEX(Contracts!$N$2:$N$151,$AB984)="",12,INDEX(Contracts!$N$2:$N$151,$AB984)),IF(INDEX(Contracts!$I$2:$I$151,$AB984)="MONTHLY",INDEX(Contracts!$M$2:$M$151,$AB984),0))*(1-N(INDEX(Contracts!$O$2:$O$151,$AB984))),IF($Z984="A",INDEX(Fixed_Assets!$H$2:$H$201,$AB984)/INDEX(Fixed_Assets!$J$2:$J$201,$AB984),IF($Z984="F",INDEX(Workforce!$F$2:$F$151,MATCH(INDEX(FTE_Allocation!$A$2:$A$201,$AB984),Workforce!$A$2:$A$151,0))*N(INDEX(FTE_Allocation!$F$2:$H$201,$AB984,$AC984)),"")))</f>
        <v/>
      </c>
    </row>
    <row r="985">
      <c r="A985" s="7">
        <f>IF($Z985="","",$AD985)</f>
        <v/>
      </c>
      <c r="B985" s="7">
        <f>IF($Z985="C",INDEX(Contracts!$D$2:$D$151,$AB985)&amp;"",IF($Z985="A",INDEX(Fixed_Assets!$C$2:$C$201,$AB985)&amp;"",IF($Z985="F",INDEX(Workforce!$B$2:$B$151,MATCH(INDEX(FTE_Allocation!$A$2:$A$201,$AB985),Workforce!$A$2:$A$151,0))&amp;"","")))</f>
        <v/>
      </c>
      <c r="C985" s="7">
        <f>IF($Z985="C",INDEX(Contracts!$E$2:$E$151,$AB985)&amp;"",IF($Z985="A",INDEX(Fixed_Assets!$D$2:$D$201,$AB985)&amp;"",IF($Z985="F",INDEX(FTE_Allocation!$C$2:$C$201,$AB985)&amp;"","")))</f>
        <v/>
      </c>
      <c r="D985" s="7">
        <f>IF($Z985="C",INDEX(Contracts!$B$2:$B$151,$AB985)&amp;"",IF($Z985="A",INDEX(Fixed_Assets!$B$2:$B$201,$AB985)&amp;"",IF($Z985="F",INDEX(FTE_Allocation!$B$2:$B$201,$AB985)&amp;"","")))</f>
        <v/>
      </c>
      <c r="E985" s="7">
        <f>IF($Z985="C",INDEX(Contracts!$P$2:$P$151,$AB985)&amp;"",IF($Z985="A",INDEX(Fixed_Assets!$K$2:$K$201,$AB985)&amp;"",IF($Z985="F",IF(INDEX(FTE_Allocation!$D$2:$D$201,$AB985)="PROJECT",IFERROR(INDEX(Projects!$D:$D,MATCH(INDEX(FTE_Allocation!$E$2:$E$201,$AB985),Projects!$A:$A,0))&amp;"","#PROJECT?"),INDEX(FTE_Allocation!$E$2:$E$201,$AB985)&amp;""),"")))</f>
        <v/>
      </c>
      <c r="F985" s="7">
        <f>IF($Z985="C",INDEX(Contracts!$Q$2:$Q$151,$AB985)&amp;"",IF($Z985="A",INDEX(Fixed_Assets!$L$2:$L$201,$AB985)&amp;"",IF($Z985="F",INDEX(Workforce!$K$2:$K$151,MATCH(INDEX(FTE_Allocation!$A$2:$A$201,$AB985),Workforce!$A$2:$A$151,0))&amp;"","")))</f>
        <v/>
      </c>
      <c r="G985" s="7">
        <f>IF($Z985="C",INDEX(Contracts!$F$2:$F$151,$AB985)&amp;" / "&amp;INDEX(Contracts!$G$2:$G$151,$AB985),IF($Z985="A",INDEX(Fixed_Assets!$E$2:$E$201,$AB985)&amp;"",IF($Z985="F","Personnel "&amp;INDEX(FTE_Allocation!$A$2:$A$201,$AB985)&amp;IF(INDEX(FTE_Allocation!$D$2:$D$201,$AB985)="PROJECT"," ("&amp;INDEX(FTE_Allocation!$E$2:$E$201,$AB985)&amp;")",""),"")))</f>
        <v/>
      </c>
      <c r="H985" s="7">
        <f>IF($Z985="C","CONTRACT",IF($Z985="A","ASSET",IF($Z985="F","WORKFORCE","")))</f>
        <v/>
      </c>
      <c r="I985" s="7">
        <f>IF($Z985="C",INDEX(Contracts!$L$2:$L$151,$AB985)&amp;"",IF($Z985="A",INDEX(Fixed_Assets!$I$2:$I$201,$AB985)&amp;"",IF($Z985="F",INDEX(Workforce!$G$2:$G$151,MATCH(INDEX(FTE_Allocation!$A$2:$A$201,$AB985),Workforce!$A$2:$A$151,0))&amp;"","")))</f>
        <v/>
      </c>
      <c r="J985" s="18">
        <f>IF($Z985="","",IF(AND(DATE($AD985,1,1)&gt;=$AE985,DATE($AD985,1,1)&lt;=$AF985),ROUND($AG985,2),0))</f>
        <v/>
      </c>
      <c r="K985" s="18">
        <f>IF($Z985="","",IF(AND(DATE($AD985,2,1)&gt;=$AE985,DATE($AD985,2,1)&lt;=$AF985),ROUND($AG985,2),0))</f>
        <v/>
      </c>
      <c r="L985" s="18">
        <f>IF($Z985="","",IF(AND(DATE($AD985,3,1)&gt;=$AE985,DATE($AD985,3,1)&lt;=$AF985),ROUND($AG985,2),0))</f>
        <v/>
      </c>
      <c r="M985" s="18">
        <f>IF($Z985="","",IF(AND(DATE($AD985,4,1)&gt;=$AE985,DATE($AD985,4,1)&lt;=$AF985),ROUND($AG985,2),0))</f>
        <v/>
      </c>
      <c r="N985" s="18">
        <f>IF($Z985="","",IF(AND(DATE($AD985,5,1)&gt;=$AE985,DATE($AD985,5,1)&lt;=$AF985),ROUND($AG985,2),0))</f>
        <v/>
      </c>
      <c r="O985" s="18">
        <f>IF($Z985="","",IF(AND(DATE($AD985,6,1)&gt;=$AE985,DATE($AD985,6,1)&lt;=$AF985),ROUND($AG985,2),0))</f>
        <v/>
      </c>
      <c r="P985" s="18">
        <f>IF($Z985="","",IF(AND(DATE($AD985,7,1)&gt;=$AE985,DATE($AD985,7,1)&lt;=$AF985),ROUND($AG985,2),0))</f>
        <v/>
      </c>
      <c r="Q985" s="18">
        <f>IF($Z985="","",IF(AND(DATE($AD985,8,1)&gt;=$AE985,DATE($AD985,8,1)&lt;=$AF985),ROUND($AG985,2),0))</f>
        <v/>
      </c>
      <c r="R985" s="18">
        <f>IF($Z985="","",IF(AND(DATE($AD985,9,1)&gt;=$AE985,DATE($AD985,9,1)&lt;=$AF985),ROUND($AG985,2),0))</f>
        <v/>
      </c>
      <c r="S985" s="18">
        <f>IF($Z985="","",IF(AND(DATE($AD985,10,1)&gt;=$AE985,DATE($AD985,10,1)&lt;=$AF985),ROUND($AG985,2),0))</f>
        <v/>
      </c>
      <c r="T985" s="18">
        <f>IF($Z985="","",IF(AND(DATE($AD985,11,1)&gt;=$AE985,DATE($AD985,11,1)&lt;=$AF985),ROUND($AG985,2),0))</f>
        <v/>
      </c>
      <c r="U985" s="18">
        <f>IF($Z985="","",IF(AND(DATE($AD985,12,1)&gt;=$AE985,DATE($AD985,12,1)&lt;=$AF985),ROUND($AG985,2),0))</f>
        <v/>
      </c>
      <c r="V985" s="7">
        <f>IF($Z985="C","Generated from "&amp;INDEX(Contracts!$A$2:$A$151,$AB985),IF($Z985="A","Generated from "&amp;INDEX(Fixed_Assets!$A$2:$A$201,$AB985),IF($Z985="F","Generated from "&amp;INDEX(FTE_Allocation!$A$2:$A$201,$AB985),"")))</f>
        <v/>
      </c>
      <c r="X985" s="19">
        <f>IF($Z985="","",SUM(J985:U985))</f>
        <v/>
      </c>
      <c r="Y985" s="20">
        <f>ROW()-1</f>
        <v/>
      </c>
      <c r="Z985" s="20">
        <f>IF($Y985&lt;=Settings!$B$4*3,"C",IF($Y985&lt;=(Settings!$B$4+Settings!$B$5)*3,"A",IF($Y985&lt;=(Settings!$B$4+Settings!$B$5+Settings!$B$6)*3,"F","")))</f>
        <v/>
      </c>
      <c r="AA985" s="20">
        <f>IF($Z985="C",$Y985,IF($Z985="A",$Y985-Settings!$B$4*3,IF($Z985="F",$Y985-(Settings!$B$4+Settings!$B$5)*3,"")))</f>
        <v/>
      </c>
      <c r="AB985" s="20">
        <f>IF($Z985="","",INT(($AA985-1)/3)+1)</f>
        <v/>
      </c>
      <c r="AC985" s="20">
        <f>IF($Z985="","",MOD($AA985-1,3)+1)</f>
        <v/>
      </c>
      <c r="AD985" s="20">
        <f>IF($Z985="","",Settings!$B$2+$AC985-1)</f>
        <v/>
      </c>
      <c r="AE985" s="21">
        <f>IF($Z985="C",DATE(YEAR(INDEX(Contracts!$J$2:$J$151,$AB985)),MONTH(INDEX(Contracts!$J$2:$J$151,$AB985)),1),IF($Z985="A",DATE(YEAR(INDEX(Fixed_Assets!$G$2:$G$201,$AB985)),MONTH(INDEX(Fixed_Assets!$G$2:$G$201,$AB985)),1),IF($Z985="F",DATE(YEAR(MAX(N(INDEX(Workforce!$I$2:$I$151,MATCH(INDEX(FTE_Allocation!$A$2:$A$201,$AB985),Workforce!$A$2:$A$151,0))),N(INDEX(FTE_Allocation!$I$2:$I$201,$AB985)))),MONTH(MAX(N(INDEX(Workforce!$I$2:$I$151,MATCH(INDEX(FTE_Allocation!$A$2:$A$201,$AB985),Workforce!$A$2:$A$151,0))),N(INDEX(FTE_Allocation!$I$2:$I$201,$AB985)))),1),"")))</f>
        <v/>
      </c>
      <c r="AF985" s="21">
        <f>IF($Z985="C",IF(INDEX(Contracts!$I$2:$I$151,$AB985)="PREPAID",EDATE(DATE(YEAR(INDEX(Contracts!$J$2:$J$151,$AB985)),MONTH(INDEX(Contracts!$J$2:$J$151,$AB985)),1),IF(INDEX(Contracts!$N$2:$N$151,$AB985)="",12,INDEX(Contracts!$N$2:$N$151,$AB985))-1),IF(INDEX(Contracts!$I$2:$I$151,$AB985)="MONTHLY",IF(INDEX(Contracts!$K$2:$K$151,$AB985)="",2958101,INDEX(Contracts!$K$2:$K$151,$AB985)),0)),IF($Z985="A",EDATE(DATE(YEAR(INDEX(Fixed_Assets!$G$2:$G$201,$AB985)),MONTH(INDEX(Fixed_Assets!$G$2:$G$201,$AB985)),1),INDEX(Fixed_Assets!$J$2:$J$201,$AB985)-1),IF($Z985="F",MIN(IF(INDEX(Workforce!$J$2:$J$151,MATCH(INDEX(FTE_Allocation!$A$2:$A$201,$AB985),Workforce!$A$2:$A$151,0))="",2958101,INDEX(Workforce!$J$2:$J$151,MATCH(INDEX(FTE_Allocation!$A$2:$A$201,$AB985),Workforce!$A$2:$A$151,0))),IF(INDEX(FTE_Allocation!$J$2:$J$201,$AB985)="",2958101,INDEX(FTE_Allocation!$J$2:$J$201,$AB985))),"")))</f>
        <v/>
      </c>
      <c r="AG985" s="19">
        <f>IF($Z985="C",IF(INDEX(Contracts!$I$2:$I$151,$AB985)="PREPAID",INDEX(Contracts!$M$2:$M$151,$AB985)/IF(INDEX(Contracts!$N$2:$N$151,$AB985)="",12,INDEX(Contracts!$N$2:$N$151,$AB985)),IF(INDEX(Contracts!$I$2:$I$151,$AB985)="MONTHLY",INDEX(Contracts!$M$2:$M$151,$AB985),0))*(1-N(INDEX(Contracts!$O$2:$O$151,$AB985))),IF($Z985="A",INDEX(Fixed_Assets!$H$2:$H$201,$AB985)/INDEX(Fixed_Assets!$J$2:$J$201,$AB985),IF($Z985="F",INDEX(Workforce!$F$2:$F$151,MATCH(INDEX(FTE_Allocation!$A$2:$A$201,$AB985),Workforce!$A$2:$A$151,0))*N(INDEX(FTE_Allocation!$F$2:$H$201,$AB985,$AC985)),"")))</f>
        <v/>
      </c>
    </row>
    <row r="986">
      <c r="A986" s="7">
        <f>IF($Z986="","",$AD986)</f>
        <v/>
      </c>
      <c r="B986" s="7">
        <f>IF($Z986="C",INDEX(Contracts!$D$2:$D$151,$AB986)&amp;"",IF($Z986="A",INDEX(Fixed_Assets!$C$2:$C$201,$AB986)&amp;"",IF($Z986="F",INDEX(Workforce!$B$2:$B$151,MATCH(INDEX(FTE_Allocation!$A$2:$A$201,$AB986),Workforce!$A$2:$A$151,0))&amp;"","")))</f>
        <v/>
      </c>
      <c r="C986" s="7">
        <f>IF($Z986="C",INDEX(Contracts!$E$2:$E$151,$AB986)&amp;"",IF($Z986="A",INDEX(Fixed_Assets!$D$2:$D$201,$AB986)&amp;"",IF($Z986="F",INDEX(FTE_Allocation!$C$2:$C$201,$AB986)&amp;"","")))</f>
        <v/>
      </c>
      <c r="D986" s="7">
        <f>IF($Z986="C",INDEX(Contracts!$B$2:$B$151,$AB986)&amp;"",IF($Z986="A",INDEX(Fixed_Assets!$B$2:$B$201,$AB986)&amp;"",IF($Z986="F",INDEX(FTE_Allocation!$B$2:$B$201,$AB986)&amp;"","")))</f>
        <v/>
      </c>
      <c r="E986" s="7">
        <f>IF($Z986="C",INDEX(Contracts!$P$2:$P$151,$AB986)&amp;"",IF($Z986="A",INDEX(Fixed_Assets!$K$2:$K$201,$AB986)&amp;"",IF($Z986="F",IF(INDEX(FTE_Allocation!$D$2:$D$201,$AB986)="PROJECT",IFERROR(INDEX(Projects!$D:$D,MATCH(INDEX(FTE_Allocation!$E$2:$E$201,$AB986),Projects!$A:$A,0))&amp;"","#PROJECT?"),INDEX(FTE_Allocation!$E$2:$E$201,$AB986)&amp;""),"")))</f>
        <v/>
      </c>
      <c r="F986" s="7">
        <f>IF($Z986="C",INDEX(Contracts!$Q$2:$Q$151,$AB986)&amp;"",IF($Z986="A",INDEX(Fixed_Assets!$L$2:$L$201,$AB986)&amp;"",IF($Z986="F",INDEX(Workforce!$K$2:$K$151,MATCH(INDEX(FTE_Allocation!$A$2:$A$201,$AB986),Workforce!$A$2:$A$151,0))&amp;"","")))</f>
        <v/>
      </c>
      <c r="G986" s="7">
        <f>IF($Z986="C",INDEX(Contracts!$F$2:$F$151,$AB986)&amp;" / "&amp;INDEX(Contracts!$G$2:$G$151,$AB986),IF($Z986="A",INDEX(Fixed_Assets!$E$2:$E$201,$AB986)&amp;"",IF($Z986="F","Personnel "&amp;INDEX(FTE_Allocation!$A$2:$A$201,$AB986)&amp;IF(INDEX(FTE_Allocation!$D$2:$D$201,$AB986)="PROJECT"," ("&amp;INDEX(FTE_Allocation!$E$2:$E$201,$AB986)&amp;")",""),"")))</f>
        <v/>
      </c>
      <c r="H986" s="7">
        <f>IF($Z986="C","CONTRACT",IF($Z986="A","ASSET",IF($Z986="F","WORKFORCE","")))</f>
        <v/>
      </c>
      <c r="I986" s="7">
        <f>IF($Z986="C",INDEX(Contracts!$L$2:$L$151,$AB986)&amp;"",IF($Z986="A",INDEX(Fixed_Assets!$I$2:$I$201,$AB986)&amp;"",IF($Z986="F",INDEX(Workforce!$G$2:$G$151,MATCH(INDEX(FTE_Allocation!$A$2:$A$201,$AB986),Workforce!$A$2:$A$151,0))&amp;"","")))</f>
        <v/>
      </c>
      <c r="J986" s="18">
        <f>IF($Z986="","",IF(AND(DATE($AD986,1,1)&gt;=$AE986,DATE($AD986,1,1)&lt;=$AF986),ROUND($AG986,2),0))</f>
        <v/>
      </c>
      <c r="K986" s="18">
        <f>IF($Z986="","",IF(AND(DATE($AD986,2,1)&gt;=$AE986,DATE($AD986,2,1)&lt;=$AF986),ROUND($AG986,2),0))</f>
        <v/>
      </c>
      <c r="L986" s="18">
        <f>IF($Z986="","",IF(AND(DATE($AD986,3,1)&gt;=$AE986,DATE($AD986,3,1)&lt;=$AF986),ROUND($AG986,2),0))</f>
        <v/>
      </c>
      <c r="M986" s="18">
        <f>IF($Z986="","",IF(AND(DATE($AD986,4,1)&gt;=$AE986,DATE($AD986,4,1)&lt;=$AF986),ROUND($AG986,2),0))</f>
        <v/>
      </c>
      <c r="N986" s="18">
        <f>IF($Z986="","",IF(AND(DATE($AD986,5,1)&gt;=$AE986,DATE($AD986,5,1)&lt;=$AF986),ROUND($AG986,2),0))</f>
        <v/>
      </c>
      <c r="O986" s="18">
        <f>IF($Z986="","",IF(AND(DATE($AD986,6,1)&gt;=$AE986,DATE($AD986,6,1)&lt;=$AF986),ROUND($AG986,2),0))</f>
        <v/>
      </c>
      <c r="P986" s="18">
        <f>IF($Z986="","",IF(AND(DATE($AD986,7,1)&gt;=$AE986,DATE($AD986,7,1)&lt;=$AF986),ROUND($AG986,2),0))</f>
        <v/>
      </c>
      <c r="Q986" s="18">
        <f>IF($Z986="","",IF(AND(DATE($AD986,8,1)&gt;=$AE986,DATE($AD986,8,1)&lt;=$AF986),ROUND($AG986,2),0))</f>
        <v/>
      </c>
      <c r="R986" s="18">
        <f>IF($Z986="","",IF(AND(DATE($AD986,9,1)&gt;=$AE986,DATE($AD986,9,1)&lt;=$AF986),ROUND($AG986,2),0))</f>
        <v/>
      </c>
      <c r="S986" s="18">
        <f>IF($Z986="","",IF(AND(DATE($AD986,10,1)&gt;=$AE986,DATE($AD986,10,1)&lt;=$AF986),ROUND($AG986,2),0))</f>
        <v/>
      </c>
      <c r="T986" s="18">
        <f>IF($Z986="","",IF(AND(DATE($AD986,11,1)&gt;=$AE986,DATE($AD986,11,1)&lt;=$AF986),ROUND($AG986,2),0))</f>
        <v/>
      </c>
      <c r="U986" s="18">
        <f>IF($Z986="","",IF(AND(DATE($AD986,12,1)&gt;=$AE986,DATE($AD986,12,1)&lt;=$AF986),ROUND($AG986,2),0))</f>
        <v/>
      </c>
      <c r="V986" s="7">
        <f>IF($Z986="C","Generated from "&amp;INDEX(Contracts!$A$2:$A$151,$AB986),IF($Z986="A","Generated from "&amp;INDEX(Fixed_Assets!$A$2:$A$201,$AB986),IF($Z986="F","Generated from "&amp;INDEX(FTE_Allocation!$A$2:$A$201,$AB986),"")))</f>
        <v/>
      </c>
      <c r="X986" s="19">
        <f>IF($Z986="","",SUM(J986:U986))</f>
        <v/>
      </c>
      <c r="Y986" s="20">
        <f>ROW()-1</f>
        <v/>
      </c>
      <c r="Z986" s="20">
        <f>IF($Y986&lt;=Settings!$B$4*3,"C",IF($Y986&lt;=(Settings!$B$4+Settings!$B$5)*3,"A",IF($Y986&lt;=(Settings!$B$4+Settings!$B$5+Settings!$B$6)*3,"F","")))</f>
        <v/>
      </c>
      <c r="AA986" s="20">
        <f>IF($Z986="C",$Y986,IF($Z986="A",$Y986-Settings!$B$4*3,IF($Z986="F",$Y986-(Settings!$B$4+Settings!$B$5)*3,"")))</f>
        <v/>
      </c>
      <c r="AB986" s="20">
        <f>IF($Z986="","",INT(($AA986-1)/3)+1)</f>
        <v/>
      </c>
      <c r="AC986" s="20">
        <f>IF($Z986="","",MOD($AA986-1,3)+1)</f>
        <v/>
      </c>
      <c r="AD986" s="20">
        <f>IF($Z986="","",Settings!$B$2+$AC986-1)</f>
        <v/>
      </c>
      <c r="AE986" s="21">
        <f>IF($Z986="C",DATE(YEAR(INDEX(Contracts!$J$2:$J$151,$AB986)),MONTH(INDEX(Contracts!$J$2:$J$151,$AB986)),1),IF($Z986="A",DATE(YEAR(INDEX(Fixed_Assets!$G$2:$G$201,$AB986)),MONTH(INDEX(Fixed_Assets!$G$2:$G$201,$AB986)),1),IF($Z986="F",DATE(YEAR(MAX(N(INDEX(Workforce!$I$2:$I$151,MATCH(INDEX(FTE_Allocation!$A$2:$A$201,$AB986),Workforce!$A$2:$A$151,0))),N(INDEX(FTE_Allocation!$I$2:$I$201,$AB986)))),MONTH(MAX(N(INDEX(Workforce!$I$2:$I$151,MATCH(INDEX(FTE_Allocation!$A$2:$A$201,$AB986),Workforce!$A$2:$A$151,0))),N(INDEX(FTE_Allocation!$I$2:$I$201,$AB986)))),1),"")))</f>
        <v/>
      </c>
      <c r="AF986" s="21">
        <f>IF($Z986="C",IF(INDEX(Contracts!$I$2:$I$151,$AB986)="PREPAID",EDATE(DATE(YEAR(INDEX(Contracts!$J$2:$J$151,$AB986)),MONTH(INDEX(Contracts!$J$2:$J$151,$AB986)),1),IF(INDEX(Contracts!$N$2:$N$151,$AB986)="",12,INDEX(Contracts!$N$2:$N$151,$AB986))-1),IF(INDEX(Contracts!$I$2:$I$151,$AB986)="MONTHLY",IF(INDEX(Contracts!$K$2:$K$151,$AB986)="",2958101,INDEX(Contracts!$K$2:$K$151,$AB986)),0)),IF($Z986="A",EDATE(DATE(YEAR(INDEX(Fixed_Assets!$G$2:$G$201,$AB986)),MONTH(INDEX(Fixed_Assets!$G$2:$G$201,$AB986)),1),INDEX(Fixed_Assets!$J$2:$J$201,$AB986)-1),IF($Z986="F",MIN(IF(INDEX(Workforce!$J$2:$J$151,MATCH(INDEX(FTE_Allocation!$A$2:$A$201,$AB986),Workforce!$A$2:$A$151,0))="",2958101,INDEX(Workforce!$J$2:$J$151,MATCH(INDEX(FTE_Allocation!$A$2:$A$201,$AB986),Workforce!$A$2:$A$151,0))),IF(INDEX(FTE_Allocation!$J$2:$J$201,$AB986)="",2958101,INDEX(FTE_Allocation!$J$2:$J$201,$AB986))),"")))</f>
        <v/>
      </c>
      <c r="AG986" s="19">
        <f>IF($Z986="C",IF(INDEX(Contracts!$I$2:$I$151,$AB986)="PREPAID",INDEX(Contracts!$M$2:$M$151,$AB986)/IF(INDEX(Contracts!$N$2:$N$151,$AB986)="",12,INDEX(Contracts!$N$2:$N$151,$AB986)),IF(INDEX(Contracts!$I$2:$I$151,$AB986)="MONTHLY",INDEX(Contracts!$M$2:$M$151,$AB986),0))*(1-N(INDEX(Contracts!$O$2:$O$151,$AB986))),IF($Z986="A",INDEX(Fixed_Assets!$H$2:$H$201,$AB986)/INDEX(Fixed_Assets!$J$2:$J$201,$AB986),IF($Z986="F",INDEX(Workforce!$F$2:$F$151,MATCH(INDEX(FTE_Allocation!$A$2:$A$201,$AB986),Workforce!$A$2:$A$151,0))*N(INDEX(FTE_Allocation!$F$2:$H$201,$AB986,$AC986)),"")))</f>
        <v/>
      </c>
    </row>
    <row r="987">
      <c r="A987" s="7">
        <f>IF($Z987="","",$AD987)</f>
        <v/>
      </c>
      <c r="B987" s="7">
        <f>IF($Z987="C",INDEX(Contracts!$D$2:$D$151,$AB987)&amp;"",IF($Z987="A",INDEX(Fixed_Assets!$C$2:$C$201,$AB987)&amp;"",IF($Z987="F",INDEX(Workforce!$B$2:$B$151,MATCH(INDEX(FTE_Allocation!$A$2:$A$201,$AB987),Workforce!$A$2:$A$151,0))&amp;"","")))</f>
        <v/>
      </c>
      <c r="C987" s="7">
        <f>IF($Z987="C",INDEX(Contracts!$E$2:$E$151,$AB987)&amp;"",IF($Z987="A",INDEX(Fixed_Assets!$D$2:$D$201,$AB987)&amp;"",IF($Z987="F",INDEX(FTE_Allocation!$C$2:$C$201,$AB987)&amp;"","")))</f>
        <v/>
      </c>
      <c r="D987" s="7">
        <f>IF($Z987="C",INDEX(Contracts!$B$2:$B$151,$AB987)&amp;"",IF($Z987="A",INDEX(Fixed_Assets!$B$2:$B$201,$AB987)&amp;"",IF($Z987="F",INDEX(FTE_Allocation!$B$2:$B$201,$AB987)&amp;"","")))</f>
        <v/>
      </c>
      <c r="E987" s="7">
        <f>IF($Z987="C",INDEX(Contracts!$P$2:$P$151,$AB987)&amp;"",IF($Z987="A",INDEX(Fixed_Assets!$K$2:$K$201,$AB987)&amp;"",IF($Z987="F",IF(INDEX(FTE_Allocation!$D$2:$D$201,$AB987)="PROJECT",IFERROR(INDEX(Projects!$D:$D,MATCH(INDEX(FTE_Allocation!$E$2:$E$201,$AB987),Projects!$A:$A,0))&amp;"","#PROJECT?"),INDEX(FTE_Allocation!$E$2:$E$201,$AB987)&amp;""),"")))</f>
        <v/>
      </c>
      <c r="F987" s="7">
        <f>IF($Z987="C",INDEX(Contracts!$Q$2:$Q$151,$AB987)&amp;"",IF($Z987="A",INDEX(Fixed_Assets!$L$2:$L$201,$AB987)&amp;"",IF($Z987="F",INDEX(Workforce!$K$2:$K$151,MATCH(INDEX(FTE_Allocation!$A$2:$A$201,$AB987),Workforce!$A$2:$A$151,0))&amp;"","")))</f>
        <v/>
      </c>
      <c r="G987" s="7">
        <f>IF($Z987="C",INDEX(Contracts!$F$2:$F$151,$AB987)&amp;" / "&amp;INDEX(Contracts!$G$2:$G$151,$AB987),IF($Z987="A",INDEX(Fixed_Assets!$E$2:$E$201,$AB987)&amp;"",IF($Z987="F","Personnel "&amp;INDEX(FTE_Allocation!$A$2:$A$201,$AB987)&amp;IF(INDEX(FTE_Allocation!$D$2:$D$201,$AB987)="PROJECT"," ("&amp;INDEX(FTE_Allocation!$E$2:$E$201,$AB987)&amp;")",""),"")))</f>
        <v/>
      </c>
      <c r="H987" s="7">
        <f>IF($Z987="C","CONTRACT",IF($Z987="A","ASSET",IF($Z987="F","WORKFORCE","")))</f>
        <v/>
      </c>
      <c r="I987" s="7">
        <f>IF($Z987="C",INDEX(Contracts!$L$2:$L$151,$AB987)&amp;"",IF($Z987="A",INDEX(Fixed_Assets!$I$2:$I$201,$AB987)&amp;"",IF($Z987="F",INDEX(Workforce!$G$2:$G$151,MATCH(INDEX(FTE_Allocation!$A$2:$A$201,$AB987),Workforce!$A$2:$A$151,0))&amp;"","")))</f>
        <v/>
      </c>
      <c r="J987" s="18">
        <f>IF($Z987="","",IF(AND(DATE($AD987,1,1)&gt;=$AE987,DATE($AD987,1,1)&lt;=$AF987),ROUND($AG987,2),0))</f>
        <v/>
      </c>
      <c r="K987" s="18">
        <f>IF($Z987="","",IF(AND(DATE($AD987,2,1)&gt;=$AE987,DATE($AD987,2,1)&lt;=$AF987),ROUND($AG987,2),0))</f>
        <v/>
      </c>
      <c r="L987" s="18">
        <f>IF($Z987="","",IF(AND(DATE($AD987,3,1)&gt;=$AE987,DATE($AD987,3,1)&lt;=$AF987),ROUND($AG987,2),0))</f>
        <v/>
      </c>
      <c r="M987" s="18">
        <f>IF($Z987="","",IF(AND(DATE($AD987,4,1)&gt;=$AE987,DATE($AD987,4,1)&lt;=$AF987),ROUND($AG987,2),0))</f>
        <v/>
      </c>
      <c r="N987" s="18">
        <f>IF($Z987="","",IF(AND(DATE($AD987,5,1)&gt;=$AE987,DATE($AD987,5,1)&lt;=$AF987),ROUND($AG987,2),0))</f>
        <v/>
      </c>
      <c r="O987" s="18">
        <f>IF($Z987="","",IF(AND(DATE($AD987,6,1)&gt;=$AE987,DATE($AD987,6,1)&lt;=$AF987),ROUND($AG987,2),0))</f>
        <v/>
      </c>
      <c r="P987" s="18">
        <f>IF($Z987="","",IF(AND(DATE($AD987,7,1)&gt;=$AE987,DATE($AD987,7,1)&lt;=$AF987),ROUND($AG987,2),0))</f>
        <v/>
      </c>
      <c r="Q987" s="18">
        <f>IF($Z987="","",IF(AND(DATE($AD987,8,1)&gt;=$AE987,DATE($AD987,8,1)&lt;=$AF987),ROUND($AG987,2),0))</f>
        <v/>
      </c>
      <c r="R987" s="18">
        <f>IF($Z987="","",IF(AND(DATE($AD987,9,1)&gt;=$AE987,DATE($AD987,9,1)&lt;=$AF987),ROUND($AG987,2),0))</f>
        <v/>
      </c>
      <c r="S987" s="18">
        <f>IF($Z987="","",IF(AND(DATE($AD987,10,1)&gt;=$AE987,DATE($AD987,10,1)&lt;=$AF987),ROUND($AG987,2),0))</f>
        <v/>
      </c>
      <c r="T987" s="18">
        <f>IF($Z987="","",IF(AND(DATE($AD987,11,1)&gt;=$AE987,DATE($AD987,11,1)&lt;=$AF987),ROUND($AG987,2),0))</f>
        <v/>
      </c>
      <c r="U987" s="18">
        <f>IF($Z987="","",IF(AND(DATE($AD987,12,1)&gt;=$AE987,DATE($AD987,12,1)&lt;=$AF987),ROUND($AG987,2),0))</f>
        <v/>
      </c>
      <c r="V987" s="7">
        <f>IF($Z987="C","Generated from "&amp;INDEX(Contracts!$A$2:$A$151,$AB987),IF($Z987="A","Generated from "&amp;INDEX(Fixed_Assets!$A$2:$A$201,$AB987),IF($Z987="F","Generated from "&amp;INDEX(FTE_Allocation!$A$2:$A$201,$AB987),"")))</f>
        <v/>
      </c>
      <c r="X987" s="19">
        <f>IF($Z987="","",SUM(J987:U987))</f>
        <v/>
      </c>
      <c r="Y987" s="20">
        <f>ROW()-1</f>
        <v/>
      </c>
      <c r="Z987" s="20">
        <f>IF($Y987&lt;=Settings!$B$4*3,"C",IF($Y987&lt;=(Settings!$B$4+Settings!$B$5)*3,"A",IF($Y987&lt;=(Settings!$B$4+Settings!$B$5+Settings!$B$6)*3,"F","")))</f>
        <v/>
      </c>
      <c r="AA987" s="20">
        <f>IF($Z987="C",$Y987,IF($Z987="A",$Y987-Settings!$B$4*3,IF($Z987="F",$Y987-(Settings!$B$4+Settings!$B$5)*3,"")))</f>
        <v/>
      </c>
      <c r="AB987" s="20">
        <f>IF($Z987="","",INT(($AA987-1)/3)+1)</f>
        <v/>
      </c>
      <c r="AC987" s="20">
        <f>IF($Z987="","",MOD($AA987-1,3)+1)</f>
        <v/>
      </c>
      <c r="AD987" s="20">
        <f>IF($Z987="","",Settings!$B$2+$AC987-1)</f>
        <v/>
      </c>
      <c r="AE987" s="21">
        <f>IF($Z987="C",DATE(YEAR(INDEX(Contracts!$J$2:$J$151,$AB987)),MONTH(INDEX(Contracts!$J$2:$J$151,$AB987)),1),IF($Z987="A",DATE(YEAR(INDEX(Fixed_Assets!$G$2:$G$201,$AB987)),MONTH(INDEX(Fixed_Assets!$G$2:$G$201,$AB987)),1),IF($Z987="F",DATE(YEAR(MAX(N(INDEX(Workforce!$I$2:$I$151,MATCH(INDEX(FTE_Allocation!$A$2:$A$201,$AB987),Workforce!$A$2:$A$151,0))),N(INDEX(FTE_Allocation!$I$2:$I$201,$AB987)))),MONTH(MAX(N(INDEX(Workforce!$I$2:$I$151,MATCH(INDEX(FTE_Allocation!$A$2:$A$201,$AB987),Workforce!$A$2:$A$151,0))),N(INDEX(FTE_Allocation!$I$2:$I$201,$AB987)))),1),"")))</f>
        <v/>
      </c>
      <c r="AF987" s="21">
        <f>IF($Z987="C",IF(INDEX(Contracts!$I$2:$I$151,$AB987)="PREPAID",EDATE(DATE(YEAR(INDEX(Contracts!$J$2:$J$151,$AB987)),MONTH(INDEX(Contracts!$J$2:$J$151,$AB987)),1),IF(INDEX(Contracts!$N$2:$N$151,$AB987)="",12,INDEX(Contracts!$N$2:$N$151,$AB987))-1),IF(INDEX(Contracts!$I$2:$I$151,$AB987)="MONTHLY",IF(INDEX(Contracts!$K$2:$K$151,$AB987)="",2958101,INDEX(Contracts!$K$2:$K$151,$AB987)),0)),IF($Z987="A",EDATE(DATE(YEAR(INDEX(Fixed_Assets!$G$2:$G$201,$AB987)),MONTH(INDEX(Fixed_Assets!$G$2:$G$201,$AB987)),1),INDEX(Fixed_Assets!$J$2:$J$201,$AB987)-1),IF($Z987="F",MIN(IF(INDEX(Workforce!$J$2:$J$151,MATCH(INDEX(FTE_Allocation!$A$2:$A$201,$AB987),Workforce!$A$2:$A$151,0))="",2958101,INDEX(Workforce!$J$2:$J$151,MATCH(INDEX(FTE_Allocation!$A$2:$A$201,$AB987),Workforce!$A$2:$A$151,0))),IF(INDEX(FTE_Allocation!$J$2:$J$201,$AB987)="",2958101,INDEX(FTE_Allocation!$J$2:$J$201,$AB987))),"")))</f>
        <v/>
      </c>
      <c r="AG987" s="19">
        <f>IF($Z987="C",IF(INDEX(Contracts!$I$2:$I$151,$AB987)="PREPAID",INDEX(Contracts!$M$2:$M$151,$AB987)/IF(INDEX(Contracts!$N$2:$N$151,$AB987)="",12,INDEX(Contracts!$N$2:$N$151,$AB987)),IF(INDEX(Contracts!$I$2:$I$151,$AB987)="MONTHLY",INDEX(Contracts!$M$2:$M$151,$AB987),0))*(1-N(INDEX(Contracts!$O$2:$O$151,$AB987))),IF($Z987="A",INDEX(Fixed_Assets!$H$2:$H$201,$AB987)/INDEX(Fixed_Assets!$J$2:$J$201,$AB987),IF($Z987="F",INDEX(Workforce!$F$2:$F$151,MATCH(INDEX(FTE_Allocation!$A$2:$A$201,$AB987),Workforce!$A$2:$A$151,0))*N(INDEX(FTE_Allocation!$F$2:$H$201,$AB987,$AC987)),"")))</f>
        <v/>
      </c>
    </row>
    <row r="988">
      <c r="A988" s="7">
        <f>IF($Z988="","",$AD988)</f>
        <v/>
      </c>
      <c r="B988" s="7">
        <f>IF($Z988="C",INDEX(Contracts!$D$2:$D$151,$AB988)&amp;"",IF($Z988="A",INDEX(Fixed_Assets!$C$2:$C$201,$AB988)&amp;"",IF($Z988="F",INDEX(Workforce!$B$2:$B$151,MATCH(INDEX(FTE_Allocation!$A$2:$A$201,$AB988),Workforce!$A$2:$A$151,0))&amp;"","")))</f>
        <v/>
      </c>
      <c r="C988" s="7">
        <f>IF($Z988="C",INDEX(Contracts!$E$2:$E$151,$AB988)&amp;"",IF($Z988="A",INDEX(Fixed_Assets!$D$2:$D$201,$AB988)&amp;"",IF($Z988="F",INDEX(FTE_Allocation!$C$2:$C$201,$AB988)&amp;"","")))</f>
        <v/>
      </c>
      <c r="D988" s="7">
        <f>IF($Z988="C",INDEX(Contracts!$B$2:$B$151,$AB988)&amp;"",IF($Z988="A",INDEX(Fixed_Assets!$B$2:$B$201,$AB988)&amp;"",IF($Z988="F",INDEX(FTE_Allocation!$B$2:$B$201,$AB988)&amp;"","")))</f>
        <v/>
      </c>
      <c r="E988" s="7">
        <f>IF($Z988="C",INDEX(Contracts!$P$2:$P$151,$AB988)&amp;"",IF($Z988="A",INDEX(Fixed_Assets!$K$2:$K$201,$AB988)&amp;"",IF($Z988="F",IF(INDEX(FTE_Allocation!$D$2:$D$201,$AB988)="PROJECT",IFERROR(INDEX(Projects!$D:$D,MATCH(INDEX(FTE_Allocation!$E$2:$E$201,$AB988),Projects!$A:$A,0))&amp;"","#PROJECT?"),INDEX(FTE_Allocation!$E$2:$E$201,$AB988)&amp;""),"")))</f>
        <v/>
      </c>
      <c r="F988" s="7">
        <f>IF($Z988="C",INDEX(Contracts!$Q$2:$Q$151,$AB988)&amp;"",IF($Z988="A",INDEX(Fixed_Assets!$L$2:$L$201,$AB988)&amp;"",IF($Z988="F",INDEX(Workforce!$K$2:$K$151,MATCH(INDEX(FTE_Allocation!$A$2:$A$201,$AB988),Workforce!$A$2:$A$151,0))&amp;"","")))</f>
        <v/>
      </c>
      <c r="G988" s="7">
        <f>IF($Z988="C",INDEX(Contracts!$F$2:$F$151,$AB988)&amp;" / "&amp;INDEX(Contracts!$G$2:$G$151,$AB988),IF($Z988="A",INDEX(Fixed_Assets!$E$2:$E$201,$AB988)&amp;"",IF($Z988="F","Personnel "&amp;INDEX(FTE_Allocation!$A$2:$A$201,$AB988)&amp;IF(INDEX(FTE_Allocation!$D$2:$D$201,$AB988)="PROJECT"," ("&amp;INDEX(FTE_Allocation!$E$2:$E$201,$AB988)&amp;")",""),"")))</f>
        <v/>
      </c>
      <c r="H988" s="7">
        <f>IF($Z988="C","CONTRACT",IF($Z988="A","ASSET",IF($Z988="F","WORKFORCE","")))</f>
        <v/>
      </c>
      <c r="I988" s="7">
        <f>IF($Z988="C",INDEX(Contracts!$L$2:$L$151,$AB988)&amp;"",IF($Z988="A",INDEX(Fixed_Assets!$I$2:$I$201,$AB988)&amp;"",IF($Z988="F",INDEX(Workforce!$G$2:$G$151,MATCH(INDEX(FTE_Allocation!$A$2:$A$201,$AB988),Workforce!$A$2:$A$151,0))&amp;"","")))</f>
        <v/>
      </c>
      <c r="J988" s="18">
        <f>IF($Z988="","",IF(AND(DATE($AD988,1,1)&gt;=$AE988,DATE($AD988,1,1)&lt;=$AF988),ROUND($AG988,2),0))</f>
        <v/>
      </c>
      <c r="K988" s="18">
        <f>IF($Z988="","",IF(AND(DATE($AD988,2,1)&gt;=$AE988,DATE($AD988,2,1)&lt;=$AF988),ROUND($AG988,2),0))</f>
        <v/>
      </c>
      <c r="L988" s="18">
        <f>IF($Z988="","",IF(AND(DATE($AD988,3,1)&gt;=$AE988,DATE($AD988,3,1)&lt;=$AF988),ROUND($AG988,2),0))</f>
        <v/>
      </c>
      <c r="M988" s="18">
        <f>IF($Z988="","",IF(AND(DATE($AD988,4,1)&gt;=$AE988,DATE($AD988,4,1)&lt;=$AF988),ROUND($AG988,2),0))</f>
        <v/>
      </c>
      <c r="N988" s="18">
        <f>IF($Z988="","",IF(AND(DATE($AD988,5,1)&gt;=$AE988,DATE($AD988,5,1)&lt;=$AF988),ROUND($AG988,2),0))</f>
        <v/>
      </c>
      <c r="O988" s="18">
        <f>IF($Z988="","",IF(AND(DATE($AD988,6,1)&gt;=$AE988,DATE($AD988,6,1)&lt;=$AF988),ROUND($AG988,2),0))</f>
        <v/>
      </c>
      <c r="P988" s="18">
        <f>IF($Z988="","",IF(AND(DATE($AD988,7,1)&gt;=$AE988,DATE($AD988,7,1)&lt;=$AF988),ROUND($AG988,2),0))</f>
        <v/>
      </c>
      <c r="Q988" s="18">
        <f>IF($Z988="","",IF(AND(DATE($AD988,8,1)&gt;=$AE988,DATE($AD988,8,1)&lt;=$AF988),ROUND($AG988,2),0))</f>
        <v/>
      </c>
      <c r="R988" s="18">
        <f>IF($Z988="","",IF(AND(DATE($AD988,9,1)&gt;=$AE988,DATE($AD988,9,1)&lt;=$AF988),ROUND($AG988,2),0))</f>
        <v/>
      </c>
      <c r="S988" s="18">
        <f>IF($Z988="","",IF(AND(DATE($AD988,10,1)&gt;=$AE988,DATE($AD988,10,1)&lt;=$AF988),ROUND($AG988,2),0))</f>
        <v/>
      </c>
      <c r="T988" s="18">
        <f>IF($Z988="","",IF(AND(DATE($AD988,11,1)&gt;=$AE988,DATE($AD988,11,1)&lt;=$AF988),ROUND($AG988,2),0))</f>
        <v/>
      </c>
      <c r="U988" s="18">
        <f>IF($Z988="","",IF(AND(DATE($AD988,12,1)&gt;=$AE988,DATE($AD988,12,1)&lt;=$AF988),ROUND($AG988,2),0))</f>
        <v/>
      </c>
      <c r="V988" s="7">
        <f>IF($Z988="C","Generated from "&amp;INDEX(Contracts!$A$2:$A$151,$AB988),IF($Z988="A","Generated from "&amp;INDEX(Fixed_Assets!$A$2:$A$201,$AB988),IF($Z988="F","Generated from "&amp;INDEX(FTE_Allocation!$A$2:$A$201,$AB988),"")))</f>
        <v/>
      </c>
      <c r="X988" s="19">
        <f>IF($Z988="","",SUM(J988:U988))</f>
        <v/>
      </c>
      <c r="Y988" s="20">
        <f>ROW()-1</f>
        <v/>
      </c>
      <c r="Z988" s="20">
        <f>IF($Y988&lt;=Settings!$B$4*3,"C",IF($Y988&lt;=(Settings!$B$4+Settings!$B$5)*3,"A",IF($Y988&lt;=(Settings!$B$4+Settings!$B$5+Settings!$B$6)*3,"F","")))</f>
        <v/>
      </c>
      <c r="AA988" s="20">
        <f>IF($Z988="C",$Y988,IF($Z988="A",$Y988-Settings!$B$4*3,IF($Z988="F",$Y988-(Settings!$B$4+Settings!$B$5)*3,"")))</f>
        <v/>
      </c>
      <c r="AB988" s="20">
        <f>IF($Z988="","",INT(($AA988-1)/3)+1)</f>
        <v/>
      </c>
      <c r="AC988" s="20">
        <f>IF($Z988="","",MOD($AA988-1,3)+1)</f>
        <v/>
      </c>
      <c r="AD988" s="20">
        <f>IF($Z988="","",Settings!$B$2+$AC988-1)</f>
        <v/>
      </c>
      <c r="AE988" s="21">
        <f>IF($Z988="C",DATE(YEAR(INDEX(Contracts!$J$2:$J$151,$AB988)),MONTH(INDEX(Contracts!$J$2:$J$151,$AB988)),1),IF($Z988="A",DATE(YEAR(INDEX(Fixed_Assets!$G$2:$G$201,$AB988)),MONTH(INDEX(Fixed_Assets!$G$2:$G$201,$AB988)),1),IF($Z988="F",DATE(YEAR(MAX(N(INDEX(Workforce!$I$2:$I$151,MATCH(INDEX(FTE_Allocation!$A$2:$A$201,$AB988),Workforce!$A$2:$A$151,0))),N(INDEX(FTE_Allocation!$I$2:$I$201,$AB988)))),MONTH(MAX(N(INDEX(Workforce!$I$2:$I$151,MATCH(INDEX(FTE_Allocation!$A$2:$A$201,$AB988),Workforce!$A$2:$A$151,0))),N(INDEX(FTE_Allocation!$I$2:$I$201,$AB988)))),1),"")))</f>
        <v/>
      </c>
      <c r="AF988" s="21">
        <f>IF($Z988="C",IF(INDEX(Contracts!$I$2:$I$151,$AB988)="PREPAID",EDATE(DATE(YEAR(INDEX(Contracts!$J$2:$J$151,$AB988)),MONTH(INDEX(Contracts!$J$2:$J$151,$AB988)),1),IF(INDEX(Contracts!$N$2:$N$151,$AB988)="",12,INDEX(Contracts!$N$2:$N$151,$AB988))-1),IF(INDEX(Contracts!$I$2:$I$151,$AB988)="MONTHLY",IF(INDEX(Contracts!$K$2:$K$151,$AB988)="",2958101,INDEX(Contracts!$K$2:$K$151,$AB988)),0)),IF($Z988="A",EDATE(DATE(YEAR(INDEX(Fixed_Assets!$G$2:$G$201,$AB988)),MONTH(INDEX(Fixed_Assets!$G$2:$G$201,$AB988)),1),INDEX(Fixed_Assets!$J$2:$J$201,$AB988)-1),IF($Z988="F",MIN(IF(INDEX(Workforce!$J$2:$J$151,MATCH(INDEX(FTE_Allocation!$A$2:$A$201,$AB988),Workforce!$A$2:$A$151,0))="",2958101,INDEX(Workforce!$J$2:$J$151,MATCH(INDEX(FTE_Allocation!$A$2:$A$201,$AB988),Workforce!$A$2:$A$151,0))),IF(INDEX(FTE_Allocation!$J$2:$J$201,$AB988)="",2958101,INDEX(FTE_Allocation!$J$2:$J$201,$AB988))),"")))</f>
        <v/>
      </c>
      <c r="AG988" s="19">
        <f>IF($Z988="C",IF(INDEX(Contracts!$I$2:$I$151,$AB988)="PREPAID",INDEX(Contracts!$M$2:$M$151,$AB988)/IF(INDEX(Contracts!$N$2:$N$151,$AB988)="",12,INDEX(Contracts!$N$2:$N$151,$AB988)),IF(INDEX(Contracts!$I$2:$I$151,$AB988)="MONTHLY",INDEX(Contracts!$M$2:$M$151,$AB988),0))*(1-N(INDEX(Contracts!$O$2:$O$151,$AB988))),IF($Z988="A",INDEX(Fixed_Assets!$H$2:$H$201,$AB988)/INDEX(Fixed_Assets!$J$2:$J$201,$AB988),IF($Z988="F",INDEX(Workforce!$F$2:$F$151,MATCH(INDEX(FTE_Allocation!$A$2:$A$201,$AB988),Workforce!$A$2:$A$151,0))*N(INDEX(FTE_Allocation!$F$2:$H$201,$AB988,$AC988)),"")))</f>
        <v/>
      </c>
    </row>
    <row r="989">
      <c r="A989" s="7">
        <f>IF($Z989="","",$AD989)</f>
        <v/>
      </c>
      <c r="B989" s="7">
        <f>IF($Z989="C",INDEX(Contracts!$D$2:$D$151,$AB989)&amp;"",IF($Z989="A",INDEX(Fixed_Assets!$C$2:$C$201,$AB989)&amp;"",IF($Z989="F",INDEX(Workforce!$B$2:$B$151,MATCH(INDEX(FTE_Allocation!$A$2:$A$201,$AB989),Workforce!$A$2:$A$151,0))&amp;"","")))</f>
        <v/>
      </c>
      <c r="C989" s="7">
        <f>IF($Z989="C",INDEX(Contracts!$E$2:$E$151,$AB989)&amp;"",IF($Z989="A",INDEX(Fixed_Assets!$D$2:$D$201,$AB989)&amp;"",IF($Z989="F",INDEX(FTE_Allocation!$C$2:$C$201,$AB989)&amp;"","")))</f>
        <v/>
      </c>
      <c r="D989" s="7">
        <f>IF($Z989="C",INDEX(Contracts!$B$2:$B$151,$AB989)&amp;"",IF($Z989="A",INDEX(Fixed_Assets!$B$2:$B$201,$AB989)&amp;"",IF($Z989="F",INDEX(FTE_Allocation!$B$2:$B$201,$AB989)&amp;"","")))</f>
        <v/>
      </c>
      <c r="E989" s="7">
        <f>IF($Z989="C",INDEX(Contracts!$P$2:$P$151,$AB989)&amp;"",IF($Z989="A",INDEX(Fixed_Assets!$K$2:$K$201,$AB989)&amp;"",IF($Z989="F",IF(INDEX(FTE_Allocation!$D$2:$D$201,$AB989)="PROJECT",IFERROR(INDEX(Projects!$D:$D,MATCH(INDEX(FTE_Allocation!$E$2:$E$201,$AB989),Projects!$A:$A,0))&amp;"","#PROJECT?"),INDEX(FTE_Allocation!$E$2:$E$201,$AB989)&amp;""),"")))</f>
        <v/>
      </c>
      <c r="F989" s="7">
        <f>IF($Z989="C",INDEX(Contracts!$Q$2:$Q$151,$AB989)&amp;"",IF($Z989="A",INDEX(Fixed_Assets!$L$2:$L$201,$AB989)&amp;"",IF($Z989="F",INDEX(Workforce!$K$2:$K$151,MATCH(INDEX(FTE_Allocation!$A$2:$A$201,$AB989),Workforce!$A$2:$A$151,0))&amp;"","")))</f>
        <v/>
      </c>
      <c r="G989" s="7">
        <f>IF($Z989="C",INDEX(Contracts!$F$2:$F$151,$AB989)&amp;" / "&amp;INDEX(Contracts!$G$2:$G$151,$AB989),IF($Z989="A",INDEX(Fixed_Assets!$E$2:$E$201,$AB989)&amp;"",IF($Z989="F","Personnel "&amp;INDEX(FTE_Allocation!$A$2:$A$201,$AB989)&amp;IF(INDEX(FTE_Allocation!$D$2:$D$201,$AB989)="PROJECT"," ("&amp;INDEX(FTE_Allocation!$E$2:$E$201,$AB989)&amp;")",""),"")))</f>
        <v/>
      </c>
      <c r="H989" s="7">
        <f>IF($Z989="C","CONTRACT",IF($Z989="A","ASSET",IF($Z989="F","WORKFORCE","")))</f>
        <v/>
      </c>
      <c r="I989" s="7">
        <f>IF($Z989="C",INDEX(Contracts!$L$2:$L$151,$AB989)&amp;"",IF($Z989="A",INDEX(Fixed_Assets!$I$2:$I$201,$AB989)&amp;"",IF($Z989="F",INDEX(Workforce!$G$2:$G$151,MATCH(INDEX(FTE_Allocation!$A$2:$A$201,$AB989),Workforce!$A$2:$A$151,0))&amp;"","")))</f>
        <v/>
      </c>
      <c r="J989" s="18">
        <f>IF($Z989="","",IF(AND(DATE($AD989,1,1)&gt;=$AE989,DATE($AD989,1,1)&lt;=$AF989),ROUND($AG989,2),0))</f>
        <v/>
      </c>
      <c r="K989" s="18">
        <f>IF($Z989="","",IF(AND(DATE($AD989,2,1)&gt;=$AE989,DATE($AD989,2,1)&lt;=$AF989),ROUND($AG989,2),0))</f>
        <v/>
      </c>
      <c r="L989" s="18">
        <f>IF($Z989="","",IF(AND(DATE($AD989,3,1)&gt;=$AE989,DATE($AD989,3,1)&lt;=$AF989),ROUND($AG989,2),0))</f>
        <v/>
      </c>
      <c r="M989" s="18">
        <f>IF($Z989="","",IF(AND(DATE($AD989,4,1)&gt;=$AE989,DATE($AD989,4,1)&lt;=$AF989),ROUND($AG989,2),0))</f>
        <v/>
      </c>
      <c r="N989" s="18">
        <f>IF($Z989="","",IF(AND(DATE($AD989,5,1)&gt;=$AE989,DATE($AD989,5,1)&lt;=$AF989),ROUND($AG989,2),0))</f>
        <v/>
      </c>
      <c r="O989" s="18">
        <f>IF($Z989="","",IF(AND(DATE($AD989,6,1)&gt;=$AE989,DATE($AD989,6,1)&lt;=$AF989),ROUND($AG989,2),0))</f>
        <v/>
      </c>
      <c r="P989" s="18">
        <f>IF($Z989="","",IF(AND(DATE($AD989,7,1)&gt;=$AE989,DATE($AD989,7,1)&lt;=$AF989),ROUND($AG989,2),0))</f>
        <v/>
      </c>
      <c r="Q989" s="18">
        <f>IF($Z989="","",IF(AND(DATE($AD989,8,1)&gt;=$AE989,DATE($AD989,8,1)&lt;=$AF989),ROUND($AG989,2),0))</f>
        <v/>
      </c>
      <c r="R989" s="18">
        <f>IF($Z989="","",IF(AND(DATE($AD989,9,1)&gt;=$AE989,DATE($AD989,9,1)&lt;=$AF989),ROUND($AG989,2),0))</f>
        <v/>
      </c>
      <c r="S989" s="18">
        <f>IF($Z989="","",IF(AND(DATE($AD989,10,1)&gt;=$AE989,DATE($AD989,10,1)&lt;=$AF989),ROUND($AG989,2),0))</f>
        <v/>
      </c>
      <c r="T989" s="18">
        <f>IF($Z989="","",IF(AND(DATE($AD989,11,1)&gt;=$AE989,DATE($AD989,11,1)&lt;=$AF989),ROUND($AG989,2),0))</f>
        <v/>
      </c>
      <c r="U989" s="18">
        <f>IF($Z989="","",IF(AND(DATE($AD989,12,1)&gt;=$AE989,DATE($AD989,12,1)&lt;=$AF989),ROUND($AG989,2),0))</f>
        <v/>
      </c>
      <c r="V989" s="7">
        <f>IF($Z989="C","Generated from "&amp;INDEX(Contracts!$A$2:$A$151,$AB989),IF($Z989="A","Generated from "&amp;INDEX(Fixed_Assets!$A$2:$A$201,$AB989),IF($Z989="F","Generated from "&amp;INDEX(FTE_Allocation!$A$2:$A$201,$AB989),"")))</f>
        <v/>
      </c>
      <c r="X989" s="19">
        <f>IF($Z989="","",SUM(J989:U989))</f>
        <v/>
      </c>
      <c r="Y989" s="20">
        <f>ROW()-1</f>
        <v/>
      </c>
      <c r="Z989" s="20">
        <f>IF($Y989&lt;=Settings!$B$4*3,"C",IF($Y989&lt;=(Settings!$B$4+Settings!$B$5)*3,"A",IF($Y989&lt;=(Settings!$B$4+Settings!$B$5+Settings!$B$6)*3,"F","")))</f>
        <v/>
      </c>
      <c r="AA989" s="20">
        <f>IF($Z989="C",$Y989,IF($Z989="A",$Y989-Settings!$B$4*3,IF($Z989="F",$Y989-(Settings!$B$4+Settings!$B$5)*3,"")))</f>
        <v/>
      </c>
      <c r="AB989" s="20">
        <f>IF($Z989="","",INT(($AA989-1)/3)+1)</f>
        <v/>
      </c>
      <c r="AC989" s="20">
        <f>IF($Z989="","",MOD($AA989-1,3)+1)</f>
        <v/>
      </c>
      <c r="AD989" s="20">
        <f>IF($Z989="","",Settings!$B$2+$AC989-1)</f>
        <v/>
      </c>
      <c r="AE989" s="21">
        <f>IF($Z989="C",DATE(YEAR(INDEX(Contracts!$J$2:$J$151,$AB989)),MONTH(INDEX(Contracts!$J$2:$J$151,$AB989)),1),IF($Z989="A",DATE(YEAR(INDEX(Fixed_Assets!$G$2:$G$201,$AB989)),MONTH(INDEX(Fixed_Assets!$G$2:$G$201,$AB989)),1),IF($Z989="F",DATE(YEAR(MAX(N(INDEX(Workforce!$I$2:$I$151,MATCH(INDEX(FTE_Allocation!$A$2:$A$201,$AB989),Workforce!$A$2:$A$151,0))),N(INDEX(FTE_Allocation!$I$2:$I$201,$AB989)))),MONTH(MAX(N(INDEX(Workforce!$I$2:$I$151,MATCH(INDEX(FTE_Allocation!$A$2:$A$201,$AB989),Workforce!$A$2:$A$151,0))),N(INDEX(FTE_Allocation!$I$2:$I$201,$AB989)))),1),"")))</f>
        <v/>
      </c>
      <c r="AF989" s="21">
        <f>IF($Z989="C",IF(INDEX(Contracts!$I$2:$I$151,$AB989)="PREPAID",EDATE(DATE(YEAR(INDEX(Contracts!$J$2:$J$151,$AB989)),MONTH(INDEX(Contracts!$J$2:$J$151,$AB989)),1),IF(INDEX(Contracts!$N$2:$N$151,$AB989)="",12,INDEX(Contracts!$N$2:$N$151,$AB989))-1),IF(INDEX(Contracts!$I$2:$I$151,$AB989)="MONTHLY",IF(INDEX(Contracts!$K$2:$K$151,$AB989)="",2958101,INDEX(Contracts!$K$2:$K$151,$AB989)),0)),IF($Z989="A",EDATE(DATE(YEAR(INDEX(Fixed_Assets!$G$2:$G$201,$AB989)),MONTH(INDEX(Fixed_Assets!$G$2:$G$201,$AB989)),1),INDEX(Fixed_Assets!$J$2:$J$201,$AB989)-1),IF($Z989="F",MIN(IF(INDEX(Workforce!$J$2:$J$151,MATCH(INDEX(FTE_Allocation!$A$2:$A$201,$AB989),Workforce!$A$2:$A$151,0))="",2958101,INDEX(Workforce!$J$2:$J$151,MATCH(INDEX(FTE_Allocation!$A$2:$A$201,$AB989),Workforce!$A$2:$A$151,0))),IF(INDEX(FTE_Allocation!$J$2:$J$201,$AB989)="",2958101,INDEX(FTE_Allocation!$J$2:$J$201,$AB989))),"")))</f>
        <v/>
      </c>
      <c r="AG989" s="19">
        <f>IF($Z989="C",IF(INDEX(Contracts!$I$2:$I$151,$AB989)="PREPAID",INDEX(Contracts!$M$2:$M$151,$AB989)/IF(INDEX(Contracts!$N$2:$N$151,$AB989)="",12,INDEX(Contracts!$N$2:$N$151,$AB989)),IF(INDEX(Contracts!$I$2:$I$151,$AB989)="MONTHLY",INDEX(Contracts!$M$2:$M$151,$AB989),0))*(1-N(INDEX(Contracts!$O$2:$O$151,$AB989))),IF($Z989="A",INDEX(Fixed_Assets!$H$2:$H$201,$AB989)/INDEX(Fixed_Assets!$J$2:$J$201,$AB989),IF($Z989="F",INDEX(Workforce!$F$2:$F$151,MATCH(INDEX(FTE_Allocation!$A$2:$A$201,$AB989),Workforce!$A$2:$A$151,0))*N(INDEX(FTE_Allocation!$F$2:$H$201,$AB989,$AC989)),"")))</f>
        <v/>
      </c>
    </row>
    <row r="990">
      <c r="A990" s="7">
        <f>IF($Z990="","",$AD990)</f>
        <v/>
      </c>
      <c r="B990" s="7">
        <f>IF($Z990="C",INDEX(Contracts!$D$2:$D$151,$AB990)&amp;"",IF($Z990="A",INDEX(Fixed_Assets!$C$2:$C$201,$AB990)&amp;"",IF($Z990="F",INDEX(Workforce!$B$2:$B$151,MATCH(INDEX(FTE_Allocation!$A$2:$A$201,$AB990),Workforce!$A$2:$A$151,0))&amp;"","")))</f>
        <v/>
      </c>
      <c r="C990" s="7">
        <f>IF($Z990="C",INDEX(Contracts!$E$2:$E$151,$AB990)&amp;"",IF($Z990="A",INDEX(Fixed_Assets!$D$2:$D$201,$AB990)&amp;"",IF($Z990="F",INDEX(FTE_Allocation!$C$2:$C$201,$AB990)&amp;"","")))</f>
        <v/>
      </c>
      <c r="D990" s="7">
        <f>IF($Z990="C",INDEX(Contracts!$B$2:$B$151,$AB990)&amp;"",IF($Z990="A",INDEX(Fixed_Assets!$B$2:$B$201,$AB990)&amp;"",IF($Z990="F",INDEX(FTE_Allocation!$B$2:$B$201,$AB990)&amp;"","")))</f>
        <v/>
      </c>
      <c r="E990" s="7">
        <f>IF($Z990="C",INDEX(Contracts!$P$2:$P$151,$AB990)&amp;"",IF($Z990="A",INDEX(Fixed_Assets!$K$2:$K$201,$AB990)&amp;"",IF($Z990="F",IF(INDEX(FTE_Allocation!$D$2:$D$201,$AB990)="PROJECT",IFERROR(INDEX(Projects!$D:$D,MATCH(INDEX(FTE_Allocation!$E$2:$E$201,$AB990),Projects!$A:$A,0))&amp;"","#PROJECT?"),INDEX(FTE_Allocation!$E$2:$E$201,$AB990)&amp;""),"")))</f>
        <v/>
      </c>
      <c r="F990" s="7">
        <f>IF($Z990="C",INDEX(Contracts!$Q$2:$Q$151,$AB990)&amp;"",IF($Z990="A",INDEX(Fixed_Assets!$L$2:$L$201,$AB990)&amp;"",IF($Z990="F",INDEX(Workforce!$K$2:$K$151,MATCH(INDEX(FTE_Allocation!$A$2:$A$201,$AB990),Workforce!$A$2:$A$151,0))&amp;"","")))</f>
        <v/>
      </c>
      <c r="G990" s="7">
        <f>IF($Z990="C",INDEX(Contracts!$F$2:$F$151,$AB990)&amp;" / "&amp;INDEX(Contracts!$G$2:$G$151,$AB990),IF($Z990="A",INDEX(Fixed_Assets!$E$2:$E$201,$AB990)&amp;"",IF($Z990="F","Personnel "&amp;INDEX(FTE_Allocation!$A$2:$A$201,$AB990)&amp;IF(INDEX(FTE_Allocation!$D$2:$D$201,$AB990)="PROJECT"," ("&amp;INDEX(FTE_Allocation!$E$2:$E$201,$AB990)&amp;")",""),"")))</f>
        <v/>
      </c>
      <c r="H990" s="7">
        <f>IF($Z990="C","CONTRACT",IF($Z990="A","ASSET",IF($Z990="F","WORKFORCE","")))</f>
        <v/>
      </c>
      <c r="I990" s="7">
        <f>IF($Z990="C",INDEX(Contracts!$L$2:$L$151,$AB990)&amp;"",IF($Z990="A",INDEX(Fixed_Assets!$I$2:$I$201,$AB990)&amp;"",IF($Z990="F",INDEX(Workforce!$G$2:$G$151,MATCH(INDEX(FTE_Allocation!$A$2:$A$201,$AB990),Workforce!$A$2:$A$151,0))&amp;"","")))</f>
        <v/>
      </c>
      <c r="J990" s="18">
        <f>IF($Z990="","",IF(AND(DATE($AD990,1,1)&gt;=$AE990,DATE($AD990,1,1)&lt;=$AF990),ROUND($AG990,2),0))</f>
        <v/>
      </c>
      <c r="K990" s="18">
        <f>IF($Z990="","",IF(AND(DATE($AD990,2,1)&gt;=$AE990,DATE($AD990,2,1)&lt;=$AF990),ROUND($AG990,2),0))</f>
        <v/>
      </c>
      <c r="L990" s="18">
        <f>IF($Z990="","",IF(AND(DATE($AD990,3,1)&gt;=$AE990,DATE($AD990,3,1)&lt;=$AF990),ROUND($AG990,2),0))</f>
        <v/>
      </c>
      <c r="M990" s="18">
        <f>IF($Z990="","",IF(AND(DATE($AD990,4,1)&gt;=$AE990,DATE($AD990,4,1)&lt;=$AF990),ROUND($AG990,2),0))</f>
        <v/>
      </c>
      <c r="N990" s="18">
        <f>IF($Z990="","",IF(AND(DATE($AD990,5,1)&gt;=$AE990,DATE($AD990,5,1)&lt;=$AF990),ROUND($AG990,2),0))</f>
        <v/>
      </c>
      <c r="O990" s="18">
        <f>IF($Z990="","",IF(AND(DATE($AD990,6,1)&gt;=$AE990,DATE($AD990,6,1)&lt;=$AF990),ROUND($AG990,2),0))</f>
        <v/>
      </c>
      <c r="P990" s="18">
        <f>IF($Z990="","",IF(AND(DATE($AD990,7,1)&gt;=$AE990,DATE($AD990,7,1)&lt;=$AF990),ROUND($AG990,2),0))</f>
        <v/>
      </c>
      <c r="Q990" s="18">
        <f>IF($Z990="","",IF(AND(DATE($AD990,8,1)&gt;=$AE990,DATE($AD990,8,1)&lt;=$AF990),ROUND($AG990,2),0))</f>
        <v/>
      </c>
      <c r="R990" s="18">
        <f>IF($Z990="","",IF(AND(DATE($AD990,9,1)&gt;=$AE990,DATE($AD990,9,1)&lt;=$AF990),ROUND($AG990,2),0))</f>
        <v/>
      </c>
      <c r="S990" s="18">
        <f>IF($Z990="","",IF(AND(DATE($AD990,10,1)&gt;=$AE990,DATE($AD990,10,1)&lt;=$AF990),ROUND($AG990,2),0))</f>
        <v/>
      </c>
      <c r="T990" s="18">
        <f>IF($Z990="","",IF(AND(DATE($AD990,11,1)&gt;=$AE990,DATE($AD990,11,1)&lt;=$AF990),ROUND($AG990,2),0))</f>
        <v/>
      </c>
      <c r="U990" s="18">
        <f>IF($Z990="","",IF(AND(DATE($AD990,12,1)&gt;=$AE990,DATE($AD990,12,1)&lt;=$AF990),ROUND($AG990,2),0))</f>
        <v/>
      </c>
      <c r="V990" s="7">
        <f>IF($Z990="C","Generated from "&amp;INDEX(Contracts!$A$2:$A$151,$AB990),IF($Z990="A","Generated from "&amp;INDEX(Fixed_Assets!$A$2:$A$201,$AB990),IF($Z990="F","Generated from "&amp;INDEX(FTE_Allocation!$A$2:$A$201,$AB990),"")))</f>
        <v/>
      </c>
      <c r="X990" s="19">
        <f>IF($Z990="","",SUM(J990:U990))</f>
        <v/>
      </c>
      <c r="Y990" s="20">
        <f>ROW()-1</f>
        <v/>
      </c>
      <c r="Z990" s="20">
        <f>IF($Y990&lt;=Settings!$B$4*3,"C",IF($Y990&lt;=(Settings!$B$4+Settings!$B$5)*3,"A",IF($Y990&lt;=(Settings!$B$4+Settings!$B$5+Settings!$B$6)*3,"F","")))</f>
        <v/>
      </c>
      <c r="AA990" s="20">
        <f>IF($Z990="C",$Y990,IF($Z990="A",$Y990-Settings!$B$4*3,IF($Z990="F",$Y990-(Settings!$B$4+Settings!$B$5)*3,"")))</f>
        <v/>
      </c>
      <c r="AB990" s="20">
        <f>IF($Z990="","",INT(($AA990-1)/3)+1)</f>
        <v/>
      </c>
      <c r="AC990" s="20">
        <f>IF($Z990="","",MOD($AA990-1,3)+1)</f>
        <v/>
      </c>
      <c r="AD990" s="20">
        <f>IF($Z990="","",Settings!$B$2+$AC990-1)</f>
        <v/>
      </c>
      <c r="AE990" s="21">
        <f>IF($Z990="C",DATE(YEAR(INDEX(Contracts!$J$2:$J$151,$AB990)),MONTH(INDEX(Contracts!$J$2:$J$151,$AB990)),1),IF($Z990="A",DATE(YEAR(INDEX(Fixed_Assets!$G$2:$G$201,$AB990)),MONTH(INDEX(Fixed_Assets!$G$2:$G$201,$AB990)),1),IF($Z990="F",DATE(YEAR(MAX(N(INDEX(Workforce!$I$2:$I$151,MATCH(INDEX(FTE_Allocation!$A$2:$A$201,$AB990),Workforce!$A$2:$A$151,0))),N(INDEX(FTE_Allocation!$I$2:$I$201,$AB990)))),MONTH(MAX(N(INDEX(Workforce!$I$2:$I$151,MATCH(INDEX(FTE_Allocation!$A$2:$A$201,$AB990),Workforce!$A$2:$A$151,0))),N(INDEX(FTE_Allocation!$I$2:$I$201,$AB990)))),1),"")))</f>
        <v/>
      </c>
      <c r="AF990" s="21">
        <f>IF($Z990="C",IF(INDEX(Contracts!$I$2:$I$151,$AB990)="PREPAID",EDATE(DATE(YEAR(INDEX(Contracts!$J$2:$J$151,$AB990)),MONTH(INDEX(Contracts!$J$2:$J$151,$AB990)),1),IF(INDEX(Contracts!$N$2:$N$151,$AB990)="",12,INDEX(Contracts!$N$2:$N$151,$AB990))-1),IF(INDEX(Contracts!$I$2:$I$151,$AB990)="MONTHLY",IF(INDEX(Contracts!$K$2:$K$151,$AB990)="",2958101,INDEX(Contracts!$K$2:$K$151,$AB990)),0)),IF($Z990="A",EDATE(DATE(YEAR(INDEX(Fixed_Assets!$G$2:$G$201,$AB990)),MONTH(INDEX(Fixed_Assets!$G$2:$G$201,$AB990)),1),INDEX(Fixed_Assets!$J$2:$J$201,$AB990)-1),IF($Z990="F",MIN(IF(INDEX(Workforce!$J$2:$J$151,MATCH(INDEX(FTE_Allocation!$A$2:$A$201,$AB990),Workforce!$A$2:$A$151,0))="",2958101,INDEX(Workforce!$J$2:$J$151,MATCH(INDEX(FTE_Allocation!$A$2:$A$201,$AB990),Workforce!$A$2:$A$151,0))),IF(INDEX(FTE_Allocation!$J$2:$J$201,$AB990)="",2958101,INDEX(FTE_Allocation!$J$2:$J$201,$AB990))),"")))</f>
        <v/>
      </c>
      <c r="AG990" s="19">
        <f>IF($Z990="C",IF(INDEX(Contracts!$I$2:$I$151,$AB990)="PREPAID",INDEX(Contracts!$M$2:$M$151,$AB990)/IF(INDEX(Contracts!$N$2:$N$151,$AB990)="",12,INDEX(Contracts!$N$2:$N$151,$AB990)),IF(INDEX(Contracts!$I$2:$I$151,$AB990)="MONTHLY",INDEX(Contracts!$M$2:$M$151,$AB990),0))*(1-N(INDEX(Contracts!$O$2:$O$151,$AB990))),IF($Z990="A",INDEX(Fixed_Assets!$H$2:$H$201,$AB990)/INDEX(Fixed_Assets!$J$2:$J$201,$AB990),IF($Z990="F",INDEX(Workforce!$F$2:$F$151,MATCH(INDEX(FTE_Allocation!$A$2:$A$201,$AB990),Workforce!$A$2:$A$151,0))*N(INDEX(FTE_Allocation!$F$2:$H$201,$AB990,$AC990)),"")))</f>
        <v/>
      </c>
    </row>
    <row r="991">
      <c r="A991" s="7">
        <f>IF($Z991="","",$AD991)</f>
        <v/>
      </c>
      <c r="B991" s="7">
        <f>IF($Z991="C",INDEX(Contracts!$D$2:$D$151,$AB991)&amp;"",IF($Z991="A",INDEX(Fixed_Assets!$C$2:$C$201,$AB991)&amp;"",IF($Z991="F",INDEX(Workforce!$B$2:$B$151,MATCH(INDEX(FTE_Allocation!$A$2:$A$201,$AB991),Workforce!$A$2:$A$151,0))&amp;"","")))</f>
        <v/>
      </c>
      <c r="C991" s="7">
        <f>IF($Z991="C",INDEX(Contracts!$E$2:$E$151,$AB991)&amp;"",IF($Z991="A",INDEX(Fixed_Assets!$D$2:$D$201,$AB991)&amp;"",IF($Z991="F",INDEX(FTE_Allocation!$C$2:$C$201,$AB991)&amp;"","")))</f>
        <v/>
      </c>
      <c r="D991" s="7">
        <f>IF($Z991="C",INDEX(Contracts!$B$2:$B$151,$AB991)&amp;"",IF($Z991="A",INDEX(Fixed_Assets!$B$2:$B$201,$AB991)&amp;"",IF($Z991="F",INDEX(FTE_Allocation!$B$2:$B$201,$AB991)&amp;"","")))</f>
        <v/>
      </c>
      <c r="E991" s="7">
        <f>IF($Z991="C",INDEX(Contracts!$P$2:$P$151,$AB991)&amp;"",IF($Z991="A",INDEX(Fixed_Assets!$K$2:$K$201,$AB991)&amp;"",IF($Z991="F",IF(INDEX(FTE_Allocation!$D$2:$D$201,$AB991)="PROJECT",IFERROR(INDEX(Projects!$D:$D,MATCH(INDEX(FTE_Allocation!$E$2:$E$201,$AB991),Projects!$A:$A,0))&amp;"","#PROJECT?"),INDEX(FTE_Allocation!$E$2:$E$201,$AB991)&amp;""),"")))</f>
        <v/>
      </c>
      <c r="F991" s="7">
        <f>IF($Z991="C",INDEX(Contracts!$Q$2:$Q$151,$AB991)&amp;"",IF($Z991="A",INDEX(Fixed_Assets!$L$2:$L$201,$AB991)&amp;"",IF($Z991="F",INDEX(Workforce!$K$2:$K$151,MATCH(INDEX(FTE_Allocation!$A$2:$A$201,$AB991),Workforce!$A$2:$A$151,0))&amp;"","")))</f>
        <v/>
      </c>
      <c r="G991" s="7">
        <f>IF($Z991="C",INDEX(Contracts!$F$2:$F$151,$AB991)&amp;" / "&amp;INDEX(Contracts!$G$2:$G$151,$AB991),IF($Z991="A",INDEX(Fixed_Assets!$E$2:$E$201,$AB991)&amp;"",IF($Z991="F","Personnel "&amp;INDEX(FTE_Allocation!$A$2:$A$201,$AB991)&amp;IF(INDEX(FTE_Allocation!$D$2:$D$201,$AB991)="PROJECT"," ("&amp;INDEX(FTE_Allocation!$E$2:$E$201,$AB991)&amp;")",""),"")))</f>
        <v/>
      </c>
      <c r="H991" s="7">
        <f>IF($Z991="C","CONTRACT",IF($Z991="A","ASSET",IF($Z991="F","WORKFORCE","")))</f>
        <v/>
      </c>
      <c r="I991" s="7">
        <f>IF($Z991="C",INDEX(Contracts!$L$2:$L$151,$AB991)&amp;"",IF($Z991="A",INDEX(Fixed_Assets!$I$2:$I$201,$AB991)&amp;"",IF($Z991="F",INDEX(Workforce!$G$2:$G$151,MATCH(INDEX(FTE_Allocation!$A$2:$A$201,$AB991),Workforce!$A$2:$A$151,0))&amp;"","")))</f>
        <v/>
      </c>
      <c r="J991" s="18">
        <f>IF($Z991="","",IF(AND(DATE($AD991,1,1)&gt;=$AE991,DATE($AD991,1,1)&lt;=$AF991),ROUND($AG991,2),0))</f>
        <v/>
      </c>
      <c r="K991" s="18">
        <f>IF($Z991="","",IF(AND(DATE($AD991,2,1)&gt;=$AE991,DATE($AD991,2,1)&lt;=$AF991),ROUND($AG991,2),0))</f>
        <v/>
      </c>
      <c r="L991" s="18">
        <f>IF($Z991="","",IF(AND(DATE($AD991,3,1)&gt;=$AE991,DATE($AD991,3,1)&lt;=$AF991),ROUND($AG991,2),0))</f>
        <v/>
      </c>
      <c r="M991" s="18">
        <f>IF($Z991="","",IF(AND(DATE($AD991,4,1)&gt;=$AE991,DATE($AD991,4,1)&lt;=$AF991),ROUND($AG991,2),0))</f>
        <v/>
      </c>
      <c r="N991" s="18">
        <f>IF($Z991="","",IF(AND(DATE($AD991,5,1)&gt;=$AE991,DATE($AD991,5,1)&lt;=$AF991),ROUND($AG991,2),0))</f>
        <v/>
      </c>
      <c r="O991" s="18">
        <f>IF($Z991="","",IF(AND(DATE($AD991,6,1)&gt;=$AE991,DATE($AD991,6,1)&lt;=$AF991),ROUND($AG991,2),0))</f>
        <v/>
      </c>
      <c r="P991" s="18">
        <f>IF($Z991="","",IF(AND(DATE($AD991,7,1)&gt;=$AE991,DATE($AD991,7,1)&lt;=$AF991),ROUND($AG991,2),0))</f>
        <v/>
      </c>
      <c r="Q991" s="18">
        <f>IF($Z991="","",IF(AND(DATE($AD991,8,1)&gt;=$AE991,DATE($AD991,8,1)&lt;=$AF991),ROUND($AG991,2),0))</f>
        <v/>
      </c>
      <c r="R991" s="18">
        <f>IF($Z991="","",IF(AND(DATE($AD991,9,1)&gt;=$AE991,DATE($AD991,9,1)&lt;=$AF991),ROUND($AG991,2),0))</f>
        <v/>
      </c>
      <c r="S991" s="18">
        <f>IF($Z991="","",IF(AND(DATE($AD991,10,1)&gt;=$AE991,DATE($AD991,10,1)&lt;=$AF991),ROUND($AG991,2),0))</f>
        <v/>
      </c>
      <c r="T991" s="18">
        <f>IF($Z991="","",IF(AND(DATE($AD991,11,1)&gt;=$AE991,DATE($AD991,11,1)&lt;=$AF991),ROUND($AG991,2),0))</f>
        <v/>
      </c>
      <c r="U991" s="18">
        <f>IF($Z991="","",IF(AND(DATE($AD991,12,1)&gt;=$AE991,DATE($AD991,12,1)&lt;=$AF991),ROUND($AG991,2),0))</f>
        <v/>
      </c>
      <c r="V991" s="7">
        <f>IF($Z991="C","Generated from "&amp;INDEX(Contracts!$A$2:$A$151,$AB991),IF($Z991="A","Generated from "&amp;INDEX(Fixed_Assets!$A$2:$A$201,$AB991),IF($Z991="F","Generated from "&amp;INDEX(FTE_Allocation!$A$2:$A$201,$AB991),"")))</f>
        <v/>
      </c>
      <c r="X991" s="19">
        <f>IF($Z991="","",SUM(J991:U991))</f>
        <v/>
      </c>
      <c r="Y991" s="20">
        <f>ROW()-1</f>
        <v/>
      </c>
      <c r="Z991" s="20">
        <f>IF($Y991&lt;=Settings!$B$4*3,"C",IF($Y991&lt;=(Settings!$B$4+Settings!$B$5)*3,"A",IF($Y991&lt;=(Settings!$B$4+Settings!$B$5+Settings!$B$6)*3,"F","")))</f>
        <v/>
      </c>
      <c r="AA991" s="20">
        <f>IF($Z991="C",$Y991,IF($Z991="A",$Y991-Settings!$B$4*3,IF($Z991="F",$Y991-(Settings!$B$4+Settings!$B$5)*3,"")))</f>
        <v/>
      </c>
      <c r="AB991" s="20">
        <f>IF($Z991="","",INT(($AA991-1)/3)+1)</f>
        <v/>
      </c>
      <c r="AC991" s="20">
        <f>IF($Z991="","",MOD($AA991-1,3)+1)</f>
        <v/>
      </c>
      <c r="AD991" s="20">
        <f>IF($Z991="","",Settings!$B$2+$AC991-1)</f>
        <v/>
      </c>
      <c r="AE991" s="21">
        <f>IF($Z991="C",DATE(YEAR(INDEX(Contracts!$J$2:$J$151,$AB991)),MONTH(INDEX(Contracts!$J$2:$J$151,$AB991)),1),IF($Z991="A",DATE(YEAR(INDEX(Fixed_Assets!$G$2:$G$201,$AB991)),MONTH(INDEX(Fixed_Assets!$G$2:$G$201,$AB991)),1),IF($Z991="F",DATE(YEAR(MAX(N(INDEX(Workforce!$I$2:$I$151,MATCH(INDEX(FTE_Allocation!$A$2:$A$201,$AB991),Workforce!$A$2:$A$151,0))),N(INDEX(FTE_Allocation!$I$2:$I$201,$AB991)))),MONTH(MAX(N(INDEX(Workforce!$I$2:$I$151,MATCH(INDEX(FTE_Allocation!$A$2:$A$201,$AB991),Workforce!$A$2:$A$151,0))),N(INDEX(FTE_Allocation!$I$2:$I$201,$AB991)))),1),"")))</f>
        <v/>
      </c>
      <c r="AF991" s="21">
        <f>IF($Z991="C",IF(INDEX(Contracts!$I$2:$I$151,$AB991)="PREPAID",EDATE(DATE(YEAR(INDEX(Contracts!$J$2:$J$151,$AB991)),MONTH(INDEX(Contracts!$J$2:$J$151,$AB991)),1),IF(INDEX(Contracts!$N$2:$N$151,$AB991)="",12,INDEX(Contracts!$N$2:$N$151,$AB991))-1),IF(INDEX(Contracts!$I$2:$I$151,$AB991)="MONTHLY",IF(INDEX(Contracts!$K$2:$K$151,$AB991)="",2958101,INDEX(Contracts!$K$2:$K$151,$AB991)),0)),IF($Z991="A",EDATE(DATE(YEAR(INDEX(Fixed_Assets!$G$2:$G$201,$AB991)),MONTH(INDEX(Fixed_Assets!$G$2:$G$201,$AB991)),1),INDEX(Fixed_Assets!$J$2:$J$201,$AB991)-1),IF($Z991="F",MIN(IF(INDEX(Workforce!$J$2:$J$151,MATCH(INDEX(FTE_Allocation!$A$2:$A$201,$AB991),Workforce!$A$2:$A$151,0))="",2958101,INDEX(Workforce!$J$2:$J$151,MATCH(INDEX(FTE_Allocation!$A$2:$A$201,$AB991),Workforce!$A$2:$A$151,0))),IF(INDEX(FTE_Allocation!$J$2:$J$201,$AB991)="",2958101,INDEX(FTE_Allocation!$J$2:$J$201,$AB991))),"")))</f>
        <v/>
      </c>
      <c r="AG991" s="19">
        <f>IF($Z991="C",IF(INDEX(Contracts!$I$2:$I$151,$AB991)="PREPAID",INDEX(Contracts!$M$2:$M$151,$AB991)/IF(INDEX(Contracts!$N$2:$N$151,$AB991)="",12,INDEX(Contracts!$N$2:$N$151,$AB991)),IF(INDEX(Contracts!$I$2:$I$151,$AB991)="MONTHLY",INDEX(Contracts!$M$2:$M$151,$AB991),0))*(1-N(INDEX(Contracts!$O$2:$O$151,$AB991))),IF($Z991="A",INDEX(Fixed_Assets!$H$2:$H$201,$AB991)/INDEX(Fixed_Assets!$J$2:$J$201,$AB991),IF($Z991="F",INDEX(Workforce!$F$2:$F$151,MATCH(INDEX(FTE_Allocation!$A$2:$A$201,$AB991),Workforce!$A$2:$A$151,0))*N(INDEX(FTE_Allocation!$F$2:$H$201,$AB991,$AC991)),"")))</f>
        <v/>
      </c>
    </row>
    <row r="992">
      <c r="A992" s="7">
        <f>IF($Z992="","",$AD992)</f>
        <v/>
      </c>
      <c r="B992" s="7">
        <f>IF($Z992="C",INDEX(Contracts!$D$2:$D$151,$AB992)&amp;"",IF($Z992="A",INDEX(Fixed_Assets!$C$2:$C$201,$AB992)&amp;"",IF($Z992="F",INDEX(Workforce!$B$2:$B$151,MATCH(INDEX(FTE_Allocation!$A$2:$A$201,$AB992),Workforce!$A$2:$A$151,0))&amp;"","")))</f>
        <v/>
      </c>
      <c r="C992" s="7">
        <f>IF($Z992="C",INDEX(Contracts!$E$2:$E$151,$AB992)&amp;"",IF($Z992="A",INDEX(Fixed_Assets!$D$2:$D$201,$AB992)&amp;"",IF($Z992="F",INDEX(FTE_Allocation!$C$2:$C$201,$AB992)&amp;"","")))</f>
        <v/>
      </c>
      <c r="D992" s="7">
        <f>IF($Z992="C",INDEX(Contracts!$B$2:$B$151,$AB992)&amp;"",IF($Z992="A",INDEX(Fixed_Assets!$B$2:$B$201,$AB992)&amp;"",IF($Z992="F",INDEX(FTE_Allocation!$B$2:$B$201,$AB992)&amp;"","")))</f>
        <v/>
      </c>
      <c r="E992" s="7">
        <f>IF($Z992="C",INDEX(Contracts!$P$2:$P$151,$AB992)&amp;"",IF($Z992="A",INDEX(Fixed_Assets!$K$2:$K$201,$AB992)&amp;"",IF($Z992="F",IF(INDEX(FTE_Allocation!$D$2:$D$201,$AB992)="PROJECT",IFERROR(INDEX(Projects!$D:$D,MATCH(INDEX(FTE_Allocation!$E$2:$E$201,$AB992),Projects!$A:$A,0))&amp;"","#PROJECT?"),INDEX(FTE_Allocation!$E$2:$E$201,$AB992)&amp;""),"")))</f>
        <v/>
      </c>
      <c r="F992" s="7">
        <f>IF($Z992="C",INDEX(Contracts!$Q$2:$Q$151,$AB992)&amp;"",IF($Z992="A",INDEX(Fixed_Assets!$L$2:$L$201,$AB992)&amp;"",IF($Z992="F",INDEX(Workforce!$K$2:$K$151,MATCH(INDEX(FTE_Allocation!$A$2:$A$201,$AB992),Workforce!$A$2:$A$151,0))&amp;"","")))</f>
        <v/>
      </c>
      <c r="G992" s="7">
        <f>IF($Z992="C",INDEX(Contracts!$F$2:$F$151,$AB992)&amp;" / "&amp;INDEX(Contracts!$G$2:$G$151,$AB992),IF($Z992="A",INDEX(Fixed_Assets!$E$2:$E$201,$AB992)&amp;"",IF($Z992="F","Personnel "&amp;INDEX(FTE_Allocation!$A$2:$A$201,$AB992)&amp;IF(INDEX(FTE_Allocation!$D$2:$D$201,$AB992)="PROJECT"," ("&amp;INDEX(FTE_Allocation!$E$2:$E$201,$AB992)&amp;")",""),"")))</f>
        <v/>
      </c>
      <c r="H992" s="7">
        <f>IF($Z992="C","CONTRACT",IF($Z992="A","ASSET",IF($Z992="F","WORKFORCE","")))</f>
        <v/>
      </c>
      <c r="I992" s="7">
        <f>IF($Z992="C",INDEX(Contracts!$L$2:$L$151,$AB992)&amp;"",IF($Z992="A",INDEX(Fixed_Assets!$I$2:$I$201,$AB992)&amp;"",IF($Z992="F",INDEX(Workforce!$G$2:$G$151,MATCH(INDEX(FTE_Allocation!$A$2:$A$201,$AB992),Workforce!$A$2:$A$151,0))&amp;"","")))</f>
        <v/>
      </c>
      <c r="J992" s="18">
        <f>IF($Z992="","",IF(AND(DATE($AD992,1,1)&gt;=$AE992,DATE($AD992,1,1)&lt;=$AF992),ROUND($AG992,2),0))</f>
        <v/>
      </c>
      <c r="K992" s="18">
        <f>IF($Z992="","",IF(AND(DATE($AD992,2,1)&gt;=$AE992,DATE($AD992,2,1)&lt;=$AF992),ROUND($AG992,2),0))</f>
        <v/>
      </c>
      <c r="L992" s="18">
        <f>IF($Z992="","",IF(AND(DATE($AD992,3,1)&gt;=$AE992,DATE($AD992,3,1)&lt;=$AF992),ROUND($AG992,2),0))</f>
        <v/>
      </c>
      <c r="M992" s="18">
        <f>IF($Z992="","",IF(AND(DATE($AD992,4,1)&gt;=$AE992,DATE($AD992,4,1)&lt;=$AF992),ROUND($AG992,2),0))</f>
        <v/>
      </c>
      <c r="N992" s="18">
        <f>IF($Z992="","",IF(AND(DATE($AD992,5,1)&gt;=$AE992,DATE($AD992,5,1)&lt;=$AF992),ROUND($AG992,2),0))</f>
        <v/>
      </c>
      <c r="O992" s="18">
        <f>IF($Z992="","",IF(AND(DATE($AD992,6,1)&gt;=$AE992,DATE($AD992,6,1)&lt;=$AF992),ROUND($AG992,2),0))</f>
        <v/>
      </c>
      <c r="P992" s="18">
        <f>IF($Z992="","",IF(AND(DATE($AD992,7,1)&gt;=$AE992,DATE($AD992,7,1)&lt;=$AF992),ROUND($AG992,2),0))</f>
        <v/>
      </c>
      <c r="Q992" s="18">
        <f>IF($Z992="","",IF(AND(DATE($AD992,8,1)&gt;=$AE992,DATE($AD992,8,1)&lt;=$AF992),ROUND($AG992,2),0))</f>
        <v/>
      </c>
      <c r="R992" s="18">
        <f>IF($Z992="","",IF(AND(DATE($AD992,9,1)&gt;=$AE992,DATE($AD992,9,1)&lt;=$AF992),ROUND($AG992,2),0))</f>
        <v/>
      </c>
      <c r="S992" s="18">
        <f>IF($Z992="","",IF(AND(DATE($AD992,10,1)&gt;=$AE992,DATE($AD992,10,1)&lt;=$AF992),ROUND($AG992,2),0))</f>
        <v/>
      </c>
      <c r="T992" s="18">
        <f>IF($Z992="","",IF(AND(DATE($AD992,11,1)&gt;=$AE992,DATE($AD992,11,1)&lt;=$AF992),ROUND($AG992,2),0))</f>
        <v/>
      </c>
      <c r="U992" s="18">
        <f>IF($Z992="","",IF(AND(DATE($AD992,12,1)&gt;=$AE992,DATE($AD992,12,1)&lt;=$AF992),ROUND($AG992,2),0))</f>
        <v/>
      </c>
      <c r="V992" s="7">
        <f>IF($Z992="C","Generated from "&amp;INDEX(Contracts!$A$2:$A$151,$AB992),IF($Z992="A","Generated from "&amp;INDEX(Fixed_Assets!$A$2:$A$201,$AB992),IF($Z992="F","Generated from "&amp;INDEX(FTE_Allocation!$A$2:$A$201,$AB992),"")))</f>
        <v/>
      </c>
      <c r="X992" s="19">
        <f>IF($Z992="","",SUM(J992:U992))</f>
        <v/>
      </c>
      <c r="Y992" s="20">
        <f>ROW()-1</f>
        <v/>
      </c>
      <c r="Z992" s="20">
        <f>IF($Y992&lt;=Settings!$B$4*3,"C",IF($Y992&lt;=(Settings!$B$4+Settings!$B$5)*3,"A",IF($Y992&lt;=(Settings!$B$4+Settings!$B$5+Settings!$B$6)*3,"F","")))</f>
        <v/>
      </c>
      <c r="AA992" s="20">
        <f>IF($Z992="C",$Y992,IF($Z992="A",$Y992-Settings!$B$4*3,IF($Z992="F",$Y992-(Settings!$B$4+Settings!$B$5)*3,"")))</f>
        <v/>
      </c>
      <c r="AB992" s="20">
        <f>IF($Z992="","",INT(($AA992-1)/3)+1)</f>
        <v/>
      </c>
      <c r="AC992" s="20">
        <f>IF($Z992="","",MOD($AA992-1,3)+1)</f>
        <v/>
      </c>
      <c r="AD992" s="20">
        <f>IF($Z992="","",Settings!$B$2+$AC992-1)</f>
        <v/>
      </c>
      <c r="AE992" s="21">
        <f>IF($Z992="C",DATE(YEAR(INDEX(Contracts!$J$2:$J$151,$AB992)),MONTH(INDEX(Contracts!$J$2:$J$151,$AB992)),1),IF($Z992="A",DATE(YEAR(INDEX(Fixed_Assets!$G$2:$G$201,$AB992)),MONTH(INDEX(Fixed_Assets!$G$2:$G$201,$AB992)),1),IF($Z992="F",DATE(YEAR(MAX(N(INDEX(Workforce!$I$2:$I$151,MATCH(INDEX(FTE_Allocation!$A$2:$A$201,$AB992),Workforce!$A$2:$A$151,0))),N(INDEX(FTE_Allocation!$I$2:$I$201,$AB992)))),MONTH(MAX(N(INDEX(Workforce!$I$2:$I$151,MATCH(INDEX(FTE_Allocation!$A$2:$A$201,$AB992),Workforce!$A$2:$A$151,0))),N(INDEX(FTE_Allocation!$I$2:$I$201,$AB992)))),1),"")))</f>
        <v/>
      </c>
      <c r="AF992" s="21">
        <f>IF($Z992="C",IF(INDEX(Contracts!$I$2:$I$151,$AB992)="PREPAID",EDATE(DATE(YEAR(INDEX(Contracts!$J$2:$J$151,$AB992)),MONTH(INDEX(Contracts!$J$2:$J$151,$AB992)),1),IF(INDEX(Contracts!$N$2:$N$151,$AB992)="",12,INDEX(Contracts!$N$2:$N$151,$AB992))-1),IF(INDEX(Contracts!$I$2:$I$151,$AB992)="MONTHLY",IF(INDEX(Contracts!$K$2:$K$151,$AB992)="",2958101,INDEX(Contracts!$K$2:$K$151,$AB992)),0)),IF($Z992="A",EDATE(DATE(YEAR(INDEX(Fixed_Assets!$G$2:$G$201,$AB992)),MONTH(INDEX(Fixed_Assets!$G$2:$G$201,$AB992)),1),INDEX(Fixed_Assets!$J$2:$J$201,$AB992)-1),IF($Z992="F",MIN(IF(INDEX(Workforce!$J$2:$J$151,MATCH(INDEX(FTE_Allocation!$A$2:$A$201,$AB992),Workforce!$A$2:$A$151,0))="",2958101,INDEX(Workforce!$J$2:$J$151,MATCH(INDEX(FTE_Allocation!$A$2:$A$201,$AB992),Workforce!$A$2:$A$151,0))),IF(INDEX(FTE_Allocation!$J$2:$J$201,$AB992)="",2958101,INDEX(FTE_Allocation!$J$2:$J$201,$AB992))),"")))</f>
        <v/>
      </c>
      <c r="AG992" s="19">
        <f>IF($Z992="C",IF(INDEX(Contracts!$I$2:$I$151,$AB992)="PREPAID",INDEX(Contracts!$M$2:$M$151,$AB992)/IF(INDEX(Contracts!$N$2:$N$151,$AB992)="",12,INDEX(Contracts!$N$2:$N$151,$AB992)),IF(INDEX(Contracts!$I$2:$I$151,$AB992)="MONTHLY",INDEX(Contracts!$M$2:$M$151,$AB992),0))*(1-N(INDEX(Contracts!$O$2:$O$151,$AB992))),IF($Z992="A",INDEX(Fixed_Assets!$H$2:$H$201,$AB992)/INDEX(Fixed_Assets!$J$2:$J$201,$AB992),IF($Z992="F",INDEX(Workforce!$F$2:$F$151,MATCH(INDEX(FTE_Allocation!$A$2:$A$201,$AB992),Workforce!$A$2:$A$151,0))*N(INDEX(FTE_Allocation!$F$2:$H$201,$AB992,$AC992)),"")))</f>
        <v/>
      </c>
    </row>
    <row r="993">
      <c r="A993" s="7">
        <f>IF($Z993="","",$AD993)</f>
        <v/>
      </c>
      <c r="B993" s="7">
        <f>IF($Z993="C",INDEX(Contracts!$D$2:$D$151,$AB993)&amp;"",IF($Z993="A",INDEX(Fixed_Assets!$C$2:$C$201,$AB993)&amp;"",IF($Z993="F",INDEX(Workforce!$B$2:$B$151,MATCH(INDEX(FTE_Allocation!$A$2:$A$201,$AB993),Workforce!$A$2:$A$151,0))&amp;"","")))</f>
        <v/>
      </c>
      <c r="C993" s="7">
        <f>IF($Z993="C",INDEX(Contracts!$E$2:$E$151,$AB993)&amp;"",IF($Z993="A",INDEX(Fixed_Assets!$D$2:$D$201,$AB993)&amp;"",IF($Z993="F",INDEX(FTE_Allocation!$C$2:$C$201,$AB993)&amp;"","")))</f>
        <v/>
      </c>
      <c r="D993" s="7">
        <f>IF($Z993="C",INDEX(Contracts!$B$2:$B$151,$AB993)&amp;"",IF($Z993="A",INDEX(Fixed_Assets!$B$2:$B$201,$AB993)&amp;"",IF($Z993="F",INDEX(FTE_Allocation!$B$2:$B$201,$AB993)&amp;"","")))</f>
        <v/>
      </c>
      <c r="E993" s="7">
        <f>IF($Z993="C",INDEX(Contracts!$P$2:$P$151,$AB993)&amp;"",IF($Z993="A",INDEX(Fixed_Assets!$K$2:$K$201,$AB993)&amp;"",IF($Z993="F",IF(INDEX(FTE_Allocation!$D$2:$D$201,$AB993)="PROJECT",IFERROR(INDEX(Projects!$D:$D,MATCH(INDEX(FTE_Allocation!$E$2:$E$201,$AB993),Projects!$A:$A,0))&amp;"","#PROJECT?"),INDEX(FTE_Allocation!$E$2:$E$201,$AB993)&amp;""),"")))</f>
        <v/>
      </c>
      <c r="F993" s="7">
        <f>IF($Z993="C",INDEX(Contracts!$Q$2:$Q$151,$AB993)&amp;"",IF($Z993="A",INDEX(Fixed_Assets!$L$2:$L$201,$AB993)&amp;"",IF($Z993="F",INDEX(Workforce!$K$2:$K$151,MATCH(INDEX(FTE_Allocation!$A$2:$A$201,$AB993),Workforce!$A$2:$A$151,0))&amp;"","")))</f>
        <v/>
      </c>
      <c r="G993" s="7">
        <f>IF($Z993="C",INDEX(Contracts!$F$2:$F$151,$AB993)&amp;" / "&amp;INDEX(Contracts!$G$2:$G$151,$AB993),IF($Z993="A",INDEX(Fixed_Assets!$E$2:$E$201,$AB993)&amp;"",IF($Z993="F","Personnel "&amp;INDEX(FTE_Allocation!$A$2:$A$201,$AB993)&amp;IF(INDEX(FTE_Allocation!$D$2:$D$201,$AB993)="PROJECT"," ("&amp;INDEX(FTE_Allocation!$E$2:$E$201,$AB993)&amp;")",""),"")))</f>
        <v/>
      </c>
      <c r="H993" s="7">
        <f>IF($Z993="C","CONTRACT",IF($Z993="A","ASSET",IF($Z993="F","WORKFORCE","")))</f>
        <v/>
      </c>
      <c r="I993" s="7">
        <f>IF($Z993="C",INDEX(Contracts!$L$2:$L$151,$AB993)&amp;"",IF($Z993="A",INDEX(Fixed_Assets!$I$2:$I$201,$AB993)&amp;"",IF($Z993="F",INDEX(Workforce!$G$2:$G$151,MATCH(INDEX(FTE_Allocation!$A$2:$A$201,$AB993),Workforce!$A$2:$A$151,0))&amp;"","")))</f>
        <v/>
      </c>
      <c r="J993" s="18">
        <f>IF($Z993="","",IF(AND(DATE($AD993,1,1)&gt;=$AE993,DATE($AD993,1,1)&lt;=$AF993),ROUND($AG993,2),0))</f>
        <v/>
      </c>
      <c r="K993" s="18">
        <f>IF($Z993="","",IF(AND(DATE($AD993,2,1)&gt;=$AE993,DATE($AD993,2,1)&lt;=$AF993),ROUND($AG993,2),0))</f>
        <v/>
      </c>
      <c r="L993" s="18">
        <f>IF($Z993="","",IF(AND(DATE($AD993,3,1)&gt;=$AE993,DATE($AD993,3,1)&lt;=$AF993),ROUND($AG993,2),0))</f>
        <v/>
      </c>
      <c r="M993" s="18">
        <f>IF($Z993="","",IF(AND(DATE($AD993,4,1)&gt;=$AE993,DATE($AD993,4,1)&lt;=$AF993),ROUND($AG993,2),0))</f>
        <v/>
      </c>
      <c r="N993" s="18">
        <f>IF($Z993="","",IF(AND(DATE($AD993,5,1)&gt;=$AE993,DATE($AD993,5,1)&lt;=$AF993),ROUND($AG993,2),0))</f>
        <v/>
      </c>
      <c r="O993" s="18">
        <f>IF($Z993="","",IF(AND(DATE($AD993,6,1)&gt;=$AE993,DATE($AD993,6,1)&lt;=$AF993),ROUND($AG993,2),0))</f>
        <v/>
      </c>
      <c r="P993" s="18">
        <f>IF($Z993="","",IF(AND(DATE($AD993,7,1)&gt;=$AE993,DATE($AD993,7,1)&lt;=$AF993),ROUND($AG993,2),0))</f>
        <v/>
      </c>
      <c r="Q993" s="18">
        <f>IF($Z993="","",IF(AND(DATE($AD993,8,1)&gt;=$AE993,DATE($AD993,8,1)&lt;=$AF993),ROUND($AG993,2),0))</f>
        <v/>
      </c>
      <c r="R993" s="18">
        <f>IF($Z993="","",IF(AND(DATE($AD993,9,1)&gt;=$AE993,DATE($AD993,9,1)&lt;=$AF993),ROUND($AG993,2),0))</f>
        <v/>
      </c>
      <c r="S993" s="18">
        <f>IF($Z993="","",IF(AND(DATE($AD993,10,1)&gt;=$AE993,DATE($AD993,10,1)&lt;=$AF993),ROUND($AG993,2),0))</f>
        <v/>
      </c>
      <c r="T993" s="18">
        <f>IF($Z993="","",IF(AND(DATE($AD993,11,1)&gt;=$AE993,DATE($AD993,11,1)&lt;=$AF993),ROUND($AG993,2),0))</f>
        <v/>
      </c>
      <c r="U993" s="18">
        <f>IF($Z993="","",IF(AND(DATE($AD993,12,1)&gt;=$AE993,DATE($AD993,12,1)&lt;=$AF993),ROUND($AG993,2),0))</f>
        <v/>
      </c>
      <c r="V993" s="7">
        <f>IF($Z993="C","Generated from "&amp;INDEX(Contracts!$A$2:$A$151,$AB993),IF($Z993="A","Generated from "&amp;INDEX(Fixed_Assets!$A$2:$A$201,$AB993),IF($Z993="F","Generated from "&amp;INDEX(FTE_Allocation!$A$2:$A$201,$AB993),"")))</f>
        <v/>
      </c>
      <c r="X993" s="19">
        <f>IF($Z993="","",SUM(J993:U993))</f>
        <v/>
      </c>
      <c r="Y993" s="20">
        <f>ROW()-1</f>
        <v/>
      </c>
      <c r="Z993" s="20">
        <f>IF($Y993&lt;=Settings!$B$4*3,"C",IF($Y993&lt;=(Settings!$B$4+Settings!$B$5)*3,"A",IF($Y993&lt;=(Settings!$B$4+Settings!$B$5+Settings!$B$6)*3,"F","")))</f>
        <v/>
      </c>
      <c r="AA993" s="20">
        <f>IF($Z993="C",$Y993,IF($Z993="A",$Y993-Settings!$B$4*3,IF($Z993="F",$Y993-(Settings!$B$4+Settings!$B$5)*3,"")))</f>
        <v/>
      </c>
      <c r="AB993" s="20">
        <f>IF($Z993="","",INT(($AA993-1)/3)+1)</f>
        <v/>
      </c>
      <c r="AC993" s="20">
        <f>IF($Z993="","",MOD($AA993-1,3)+1)</f>
        <v/>
      </c>
      <c r="AD993" s="20">
        <f>IF($Z993="","",Settings!$B$2+$AC993-1)</f>
        <v/>
      </c>
      <c r="AE993" s="21">
        <f>IF($Z993="C",DATE(YEAR(INDEX(Contracts!$J$2:$J$151,$AB993)),MONTH(INDEX(Contracts!$J$2:$J$151,$AB993)),1),IF($Z993="A",DATE(YEAR(INDEX(Fixed_Assets!$G$2:$G$201,$AB993)),MONTH(INDEX(Fixed_Assets!$G$2:$G$201,$AB993)),1),IF($Z993="F",DATE(YEAR(MAX(N(INDEX(Workforce!$I$2:$I$151,MATCH(INDEX(FTE_Allocation!$A$2:$A$201,$AB993),Workforce!$A$2:$A$151,0))),N(INDEX(FTE_Allocation!$I$2:$I$201,$AB993)))),MONTH(MAX(N(INDEX(Workforce!$I$2:$I$151,MATCH(INDEX(FTE_Allocation!$A$2:$A$201,$AB993),Workforce!$A$2:$A$151,0))),N(INDEX(FTE_Allocation!$I$2:$I$201,$AB993)))),1),"")))</f>
        <v/>
      </c>
      <c r="AF993" s="21">
        <f>IF($Z993="C",IF(INDEX(Contracts!$I$2:$I$151,$AB993)="PREPAID",EDATE(DATE(YEAR(INDEX(Contracts!$J$2:$J$151,$AB993)),MONTH(INDEX(Contracts!$J$2:$J$151,$AB993)),1),IF(INDEX(Contracts!$N$2:$N$151,$AB993)="",12,INDEX(Contracts!$N$2:$N$151,$AB993))-1),IF(INDEX(Contracts!$I$2:$I$151,$AB993)="MONTHLY",IF(INDEX(Contracts!$K$2:$K$151,$AB993)="",2958101,INDEX(Contracts!$K$2:$K$151,$AB993)),0)),IF($Z993="A",EDATE(DATE(YEAR(INDEX(Fixed_Assets!$G$2:$G$201,$AB993)),MONTH(INDEX(Fixed_Assets!$G$2:$G$201,$AB993)),1),INDEX(Fixed_Assets!$J$2:$J$201,$AB993)-1),IF($Z993="F",MIN(IF(INDEX(Workforce!$J$2:$J$151,MATCH(INDEX(FTE_Allocation!$A$2:$A$201,$AB993),Workforce!$A$2:$A$151,0))="",2958101,INDEX(Workforce!$J$2:$J$151,MATCH(INDEX(FTE_Allocation!$A$2:$A$201,$AB993),Workforce!$A$2:$A$151,0))),IF(INDEX(FTE_Allocation!$J$2:$J$201,$AB993)="",2958101,INDEX(FTE_Allocation!$J$2:$J$201,$AB993))),"")))</f>
        <v/>
      </c>
      <c r="AG993" s="19">
        <f>IF($Z993="C",IF(INDEX(Contracts!$I$2:$I$151,$AB993)="PREPAID",INDEX(Contracts!$M$2:$M$151,$AB993)/IF(INDEX(Contracts!$N$2:$N$151,$AB993)="",12,INDEX(Contracts!$N$2:$N$151,$AB993)),IF(INDEX(Contracts!$I$2:$I$151,$AB993)="MONTHLY",INDEX(Contracts!$M$2:$M$151,$AB993),0))*(1-N(INDEX(Contracts!$O$2:$O$151,$AB993))),IF($Z993="A",INDEX(Fixed_Assets!$H$2:$H$201,$AB993)/INDEX(Fixed_Assets!$J$2:$J$201,$AB993),IF($Z993="F",INDEX(Workforce!$F$2:$F$151,MATCH(INDEX(FTE_Allocation!$A$2:$A$201,$AB993),Workforce!$A$2:$A$151,0))*N(INDEX(FTE_Allocation!$F$2:$H$201,$AB993,$AC993)),"")))</f>
        <v/>
      </c>
    </row>
    <row r="994">
      <c r="A994" s="7">
        <f>IF($Z994="","",$AD994)</f>
        <v/>
      </c>
      <c r="B994" s="7">
        <f>IF($Z994="C",INDEX(Contracts!$D$2:$D$151,$AB994)&amp;"",IF($Z994="A",INDEX(Fixed_Assets!$C$2:$C$201,$AB994)&amp;"",IF($Z994="F",INDEX(Workforce!$B$2:$B$151,MATCH(INDEX(FTE_Allocation!$A$2:$A$201,$AB994),Workforce!$A$2:$A$151,0))&amp;"","")))</f>
        <v/>
      </c>
      <c r="C994" s="7">
        <f>IF($Z994="C",INDEX(Contracts!$E$2:$E$151,$AB994)&amp;"",IF($Z994="A",INDEX(Fixed_Assets!$D$2:$D$201,$AB994)&amp;"",IF($Z994="F",INDEX(FTE_Allocation!$C$2:$C$201,$AB994)&amp;"","")))</f>
        <v/>
      </c>
      <c r="D994" s="7">
        <f>IF($Z994="C",INDEX(Contracts!$B$2:$B$151,$AB994)&amp;"",IF($Z994="A",INDEX(Fixed_Assets!$B$2:$B$201,$AB994)&amp;"",IF($Z994="F",INDEX(FTE_Allocation!$B$2:$B$201,$AB994)&amp;"","")))</f>
        <v/>
      </c>
      <c r="E994" s="7">
        <f>IF($Z994="C",INDEX(Contracts!$P$2:$P$151,$AB994)&amp;"",IF($Z994="A",INDEX(Fixed_Assets!$K$2:$K$201,$AB994)&amp;"",IF($Z994="F",IF(INDEX(FTE_Allocation!$D$2:$D$201,$AB994)="PROJECT",IFERROR(INDEX(Projects!$D:$D,MATCH(INDEX(FTE_Allocation!$E$2:$E$201,$AB994),Projects!$A:$A,0))&amp;"","#PROJECT?"),INDEX(FTE_Allocation!$E$2:$E$201,$AB994)&amp;""),"")))</f>
        <v/>
      </c>
      <c r="F994" s="7">
        <f>IF($Z994="C",INDEX(Contracts!$Q$2:$Q$151,$AB994)&amp;"",IF($Z994="A",INDEX(Fixed_Assets!$L$2:$L$201,$AB994)&amp;"",IF($Z994="F",INDEX(Workforce!$K$2:$K$151,MATCH(INDEX(FTE_Allocation!$A$2:$A$201,$AB994),Workforce!$A$2:$A$151,0))&amp;"","")))</f>
        <v/>
      </c>
      <c r="G994" s="7">
        <f>IF($Z994="C",INDEX(Contracts!$F$2:$F$151,$AB994)&amp;" / "&amp;INDEX(Contracts!$G$2:$G$151,$AB994),IF($Z994="A",INDEX(Fixed_Assets!$E$2:$E$201,$AB994)&amp;"",IF($Z994="F","Personnel "&amp;INDEX(FTE_Allocation!$A$2:$A$201,$AB994)&amp;IF(INDEX(FTE_Allocation!$D$2:$D$201,$AB994)="PROJECT"," ("&amp;INDEX(FTE_Allocation!$E$2:$E$201,$AB994)&amp;")",""),"")))</f>
        <v/>
      </c>
      <c r="H994" s="7">
        <f>IF($Z994="C","CONTRACT",IF($Z994="A","ASSET",IF($Z994="F","WORKFORCE","")))</f>
        <v/>
      </c>
      <c r="I994" s="7">
        <f>IF($Z994="C",INDEX(Contracts!$L$2:$L$151,$AB994)&amp;"",IF($Z994="A",INDEX(Fixed_Assets!$I$2:$I$201,$AB994)&amp;"",IF($Z994="F",INDEX(Workforce!$G$2:$G$151,MATCH(INDEX(FTE_Allocation!$A$2:$A$201,$AB994),Workforce!$A$2:$A$151,0))&amp;"","")))</f>
        <v/>
      </c>
      <c r="J994" s="18">
        <f>IF($Z994="","",IF(AND(DATE($AD994,1,1)&gt;=$AE994,DATE($AD994,1,1)&lt;=$AF994),ROUND($AG994,2),0))</f>
        <v/>
      </c>
      <c r="K994" s="18">
        <f>IF($Z994="","",IF(AND(DATE($AD994,2,1)&gt;=$AE994,DATE($AD994,2,1)&lt;=$AF994),ROUND($AG994,2),0))</f>
        <v/>
      </c>
      <c r="L994" s="18">
        <f>IF($Z994="","",IF(AND(DATE($AD994,3,1)&gt;=$AE994,DATE($AD994,3,1)&lt;=$AF994),ROUND($AG994,2),0))</f>
        <v/>
      </c>
      <c r="M994" s="18">
        <f>IF($Z994="","",IF(AND(DATE($AD994,4,1)&gt;=$AE994,DATE($AD994,4,1)&lt;=$AF994),ROUND($AG994,2),0))</f>
        <v/>
      </c>
      <c r="N994" s="18">
        <f>IF($Z994="","",IF(AND(DATE($AD994,5,1)&gt;=$AE994,DATE($AD994,5,1)&lt;=$AF994),ROUND($AG994,2),0))</f>
        <v/>
      </c>
      <c r="O994" s="18">
        <f>IF($Z994="","",IF(AND(DATE($AD994,6,1)&gt;=$AE994,DATE($AD994,6,1)&lt;=$AF994),ROUND($AG994,2),0))</f>
        <v/>
      </c>
      <c r="P994" s="18">
        <f>IF($Z994="","",IF(AND(DATE($AD994,7,1)&gt;=$AE994,DATE($AD994,7,1)&lt;=$AF994),ROUND($AG994,2),0))</f>
        <v/>
      </c>
      <c r="Q994" s="18">
        <f>IF($Z994="","",IF(AND(DATE($AD994,8,1)&gt;=$AE994,DATE($AD994,8,1)&lt;=$AF994),ROUND($AG994,2),0))</f>
        <v/>
      </c>
      <c r="R994" s="18">
        <f>IF($Z994="","",IF(AND(DATE($AD994,9,1)&gt;=$AE994,DATE($AD994,9,1)&lt;=$AF994),ROUND($AG994,2),0))</f>
        <v/>
      </c>
      <c r="S994" s="18">
        <f>IF($Z994="","",IF(AND(DATE($AD994,10,1)&gt;=$AE994,DATE($AD994,10,1)&lt;=$AF994),ROUND($AG994,2),0))</f>
        <v/>
      </c>
      <c r="T994" s="18">
        <f>IF($Z994="","",IF(AND(DATE($AD994,11,1)&gt;=$AE994,DATE($AD994,11,1)&lt;=$AF994),ROUND($AG994,2),0))</f>
        <v/>
      </c>
      <c r="U994" s="18">
        <f>IF($Z994="","",IF(AND(DATE($AD994,12,1)&gt;=$AE994,DATE($AD994,12,1)&lt;=$AF994),ROUND($AG994,2),0))</f>
        <v/>
      </c>
      <c r="V994" s="7">
        <f>IF($Z994="C","Generated from "&amp;INDEX(Contracts!$A$2:$A$151,$AB994),IF($Z994="A","Generated from "&amp;INDEX(Fixed_Assets!$A$2:$A$201,$AB994),IF($Z994="F","Generated from "&amp;INDEX(FTE_Allocation!$A$2:$A$201,$AB994),"")))</f>
        <v/>
      </c>
      <c r="X994" s="19">
        <f>IF($Z994="","",SUM(J994:U994))</f>
        <v/>
      </c>
      <c r="Y994" s="20">
        <f>ROW()-1</f>
        <v/>
      </c>
      <c r="Z994" s="20">
        <f>IF($Y994&lt;=Settings!$B$4*3,"C",IF($Y994&lt;=(Settings!$B$4+Settings!$B$5)*3,"A",IF($Y994&lt;=(Settings!$B$4+Settings!$B$5+Settings!$B$6)*3,"F","")))</f>
        <v/>
      </c>
      <c r="AA994" s="20">
        <f>IF($Z994="C",$Y994,IF($Z994="A",$Y994-Settings!$B$4*3,IF($Z994="F",$Y994-(Settings!$B$4+Settings!$B$5)*3,"")))</f>
        <v/>
      </c>
      <c r="AB994" s="20">
        <f>IF($Z994="","",INT(($AA994-1)/3)+1)</f>
        <v/>
      </c>
      <c r="AC994" s="20">
        <f>IF($Z994="","",MOD($AA994-1,3)+1)</f>
        <v/>
      </c>
      <c r="AD994" s="20">
        <f>IF($Z994="","",Settings!$B$2+$AC994-1)</f>
        <v/>
      </c>
      <c r="AE994" s="21">
        <f>IF($Z994="C",DATE(YEAR(INDEX(Contracts!$J$2:$J$151,$AB994)),MONTH(INDEX(Contracts!$J$2:$J$151,$AB994)),1),IF($Z994="A",DATE(YEAR(INDEX(Fixed_Assets!$G$2:$G$201,$AB994)),MONTH(INDEX(Fixed_Assets!$G$2:$G$201,$AB994)),1),IF($Z994="F",DATE(YEAR(MAX(N(INDEX(Workforce!$I$2:$I$151,MATCH(INDEX(FTE_Allocation!$A$2:$A$201,$AB994),Workforce!$A$2:$A$151,0))),N(INDEX(FTE_Allocation!$I$2:$I$201,$AB994)))),MONTH(MAX(N(INDEX(Workforce!$I$2:$I$151,MATCH(INDEX(FTE_Allocation!$A$2:$A$201,$AB994),Workforce!$A$2:$A$151,0))),N(INDEX(FTE_Allocation!$I$2:$I$201,$AB994)))),1),"")))</f>
        <v/>
      </c>
      <c r="AF994" s="21">
        <f>IF($Z994="C",IF(INDEX(Contracts!$I$2:$I$151,$AB994)="PREPAID",EDATE(DATE(YEAR(INDEX(Contracts!$J$2:$J$151,$AB994)),MONTH(INDEX(Contracts!$J$2:$J$151,$AB994)),1),IF(INDEX(Contracts!$N$2:$N$151,$AB994)="",12,INDEX(Contracts!$N$2:$N$151,$AB994))-1),IF(INDEX(Contracts!$I$2:$I$151,$AB994)="MONTHLY",IF(INDEX(Contracts!$K$2:$K$151,$AB994)="",2958101,INDEX(Contracts!$K$2:$K$151,$AB994)),0)),IF($Z994="A",EDATE(DATE(YEAR(INDEX(Fixed_Assets!$G$2:$G$201,$AB994)),MONTH(INDEX(Fixed_Assets!$G$2:$G$201,$AB994)),1),INDEX(Fixed_Assets!$J$2:$J$201,$AB994)-1),IF($Z994="F",MIN(IF(INDEX(Workforce!$J$2:$J$151,MATCH(INDEX(FTE_Allocation!$A$2:$A$201,$AB994),Workforce!$A$2:$A$151,0))="",2958101,INDEX(Workforce!$J$2:$J$151,MATCH(INDEX(FTE_Allocation!$A$2:$A$201,$AB994),Workforce!$A$2:$A$151,0))),IF(INDEX(FTE_Allocation!$J$2:$J$201,$AB994)="",2958101,INDEX(FTE_Allocation!$J$2:$J$201,$AB994))),"")))</f>
        <v/>
      </c>
      <c r="AG994" s="19">
        <f>IF($Z994="C",IF(INDEX(Contracts!$I$2:$I$151,$AB994)="PREPAID",INDEX(Contracts!$M$2:$M$151,$AB994)/IF(INDEX(Contracts!$N$2:$N$151,$AB994)="",12,INDEX(Contracts!$N$2:$N$151,$AB994)),IF(INDEX(Contracts!$I$2:$I$151,$AB994)="MONTHLY",INDEX(Contracts!$M$2:$M$151,$AB994),0))*(1-N(INDEX(Contracts!$O$2:$O$151,$AB994))),IF($Z994="A",INDEX(Fixed_Assets!$H$2:$H$201,$AB994)/INDEX(Fixed_Assets!$J$2:$J$201,$AB994),IF($Z994="F",INDEX(Workforce!$F$2:$F$151,MATCH(INDEX(FTE_Allocation!$A$2:$A$201,$AB994),Workforce!$A$2:$A$151,0))*N(INDEX(FTE_Allocation!$F$2:$H$201,$AB994,$AC994)),"")))</f>
        <v/>
      </c>
    </row>
    <row r="995">
      <c r="A995" s="7">
        <f>IF($Z995="","",$AD995)</f>
        <v/>
      </c>
      <c r="B995" s="7">
        <f>IF($Z995="C",INDEX(Contracts!$D$2:$D$151,$AB995)&amp;"",IF($Z995="A",INDEX(Fixed_Assets!$C$2:$C$201,$AB995)&amp;"",IF($Z995="F",INDEX(Workforce!$B$2:$B$151,MATCH(INDEX(FTE_Allocation!$A$2:$A$201,$AB995),Workforce!$A$2:$A$151,0))&amp;"","")))</f>
        <v/>
      </c>
      <c r="C995" s="7">
        <f>IF($Z995="C",INDEX(Contracts!$E$2:$E$151,$AB995)&amp;"",IF($Z995="A",INDEX(Fixed_Assets!$D$2:$D$201,$AB995)&amp;"",IF($Z995="F",INDEX(FTE_Allocation!$C$2:$C$201,$AB995)&amp;"","")))</f>
        <v/>
      </c>
      <c r="D995" s="7">
        <f>IF($Z995="C",INDEX(Contracts!$B$2:$B$151,$AB995)&amp;"",IF($Z995="A",INDEX(Fixed_Assets!$B$2:$B$201,$AB995)&amp;"",IF($Z995="F",INDEX(FTE_Allocation!$B$2:$B$201,$AB995)&amp;"","")))</f>
        <v/>
      </c>
      <c r="E995" s="7">
        <f>IF($Z995="C",INDEX(Contracts!$P$2:$P$151,$AB995)&amp;"",IF($Z995="A",INDEX(Fixed_Assets!$K$2:$K$201,$AB995)&amp;"",IF($Z995="F",IF(INDEX(FTE_Allocation!$D$2:$D$201,$AB995)="PROJECT",IFERROR(INDEX(Projects!$D:$D,MATCH(INDEX(FTE_Allocation!$E$2:$E$201,$AB995),Projects!$A:$A,0))&amp;"","#PROJECT?"),INDEX(FTE_Allocation!$E$2:$E$201,$AB995)&amp;""),"")))</f>
        <v/>
      </c>
      <c r="F995" s="7">
        <f>IF($Z995="C",INDEX(Contracts!$Q$2:$Q$151,$AB995)&amp;"",IF($Z995="A",INDEX(Fixed_Assets!$L$2:$L$201,$AB995)&amp;"",IF($Z995="F",INDEX(Workforce!$K$2:$K$151,MATCH(INDEX(FTE_Allocation!$A$2:$A$201,$AB995),Workforce!$A$2:$A$151,0))&amp;"","")))</f>
        <v/>
      </c>
      <c r="G995" s="7">
        <f>IF($Z995="C",INDEX(Contracts!$F$2:$F$151,$AB995)&amp;" / "&amp;INDEX(Contracts!$G$2:$G$151,$AB995),IF($Z995="A",INDEX(Fixed_Assets!$E$2:$E$201,$AB995)&amp;"",IF($Z995="F","Personnel "&amp;INDEX(FTE_Allocation!$A$2:$A$201,$AB995)&amp;IF(INDEX(FTE_Allocation!$D$2:$D$201,$AB995)="PROJECT"," ("&amp;INDEX(FTE_Allocation!$E$2:$E$201,$AB995)&amp;")",""),"")))</f>
        <v/>
      </c>
      <c r="H995" s="7">
        <f>IF($Z995="C","CONTRACT",IF($Z995="A","ASSET",IF($Z995="F","WORKFORCE","")))</f>
        <v/>
      </c>
      <c r="I995" s="7">
        <f>IF($Z995="C",INDEX(Contracts!$L$2:$L$151,$AB995)&amp;"",IF($Z995="A",INDEX(Fixed_Assets!$I$2:$I$201,$AB995)&amp;"",IF($Z995="F",INDEX(Workforce!$G$2:$G$151,MATCH(INDEX(FTE_Allocation!$A$2:$A$201,$AB995),Workforce!$A$2:$A$151,0))&amp;"","")))</f>
        <v/>
      </c>
      <c r="J995" s="18">
        <f>IF($Z995="","",IF(AND(DATE($AD995,1,1)&gt;=$AE995,DATE($AD995,1,1)&lt;=$AF995),ROUND($AG995,2),0))</f>
        <v/>
      </c>
      <c r="K995" s="18">
        <f>IF($Z995="","",IF(AND(DATE($AD995,2,1)&gt;=$AE995,DATE($AD995,2,1)&lt;=$AF995),ROUND($AG995,2),0))</f>
        <v/>
      </c>
      <c r="L995" s="18">
        <f>IF($Z995="","",IF(AND(DATE($AD995,3,1)&gt;=$AE995,DATE($AD995,3,1)&lt;=$AF995),ROUND($AG995,2),0))</f>
        <v/>
      </c>
      <c r="M995" s="18">
        <f>IF($Z995="","",IF(AND(DATE($AD995,4,1)&gt;=$AE995,DATE($AD995,4,1)&lt;=$AF995),ROUND($AG995,2),0))</f>
        <v/>
      </c>
      <c r="N995" s="18">
        <f>IF($Z995="","",IF(AND(DATE($AD995,5,1)&gt;=$AE995,DATE($AD995,5,1)&lt;=$AF995),ROUND($AG995,2),0))</f>
        <v/>
      </c>
      <c r="O995" s="18">
        <f>IF($Z995="","",IF(AND(DATE($AD995,6,1)&gt;=$AE995,DATE($AD995,6,1)&lt;=$AF995),ROUND($AG995,2),0))</f>
        <v/>
      </c>
      <c r="P995" s="18">
        <f>IF($Z995="","",IF(AND(DATE($AD995,7,1)&gt;=$AE995,DATE($AD995,7,1)&lt;=$AF995),ROUND($AG995,2),0))</f>
        <v/>
      </c>
      <c r="Q995" s="18">
        <f>IF($Z995="","",IF(AND(DATE($AD995,8,1)&gt;=$AE995,DATE($AD995,8,1)&lt;=$AF995),ROUND($AG995,2),0))</f>
        <v/>
      </c>
      <c r="R995" s="18">
        <f>IF($Z995="","",IF(AND(DATE($AD995,9,1)&gt;=$AE995,DATE($AD995,9,1)&lt;=$AF995),ROUND($AG995,2),0))</f>
        <v/>
      </c>
      <c r="S995" s="18">
        <f>IF($Z995="","",IF(AND(DATE($AD995,10,1)&gt;=$AE995,DATE($AD995,10,1)&lt;=$AF995),ROUND($AG995,2),0))</f>
        <v/>
      </c>
      <c r="T995" s="18">
        <f>IF($Z995="","",IF(AND(DATE($AD995,11,1)&gt;=$AE995,DATE($AD995,11,1)&lt;=$AF995),ROUND($AG995,2),0))</f>
        <v/>
      </c>
      <c r="U995" s="18">
        <f>IF($Z995="","",IF(AND(DATE($AD995,12,1)&gt;=$AE995,DATE($AD995,12,1)&lt;=$AF995),ROUND($AG995,2),0))</f>
        <v/>
      </c>
      <c r="V995" s="7">
        <f>IF($Z995="C","Generated from "&amp;INDEX(Contracts!$A$2:$A$151,$AB995),IF($Z995="A","Generated from "&amp;INDEX(Fixed_Assets!$A$2:$A$201,$AB995),IF($Z995="F","Generated from "&amp;INDEX(FTE_Allocation!$A$2:$A$201,$AB995),"")))</f>
        <v/>
      </c>
      <c r="X995" s="19">
        <f>IF($Z995="","",SUM(J995:U995))</f>
        <v/>
      </c>
      <c r="Y995" s="20">
        <f>ROW()-1</f>
        <v/>
      </c>
      <c r="Z995" s="20">
        <f>IF($Y995&lt;=Settings!$B$4*3,"C",IF($Y995&lt;=(Settings!$B$4+Settings!$B$5)*3,"A",IF($Y995&lt;=(Settings!$B$4+Settings!$B$5+Settings!$B$6)*3,"F","")))</f>
        <v/>
      </c>
      <c r="AA995" s="20">
        <f>IF($Z995="C",$Y995,IF($Z995="A",$Y995-Settings!$B$4*3,IF($Z995="F",$Y995-(Settings!$B$4+Settings!$B$5)*3,"")))</f>
        <v/>
      </c>
      <c r="AB995" s="20">
        <f>IF($Z995="","",INT(($AA995-1)/3)+1)</f>
        <v/>
      </c>
      <c r="AC995" s="20">
        <f>IF($Z995="","",MOD($AA995-1,3)+1)</f>
        <v/>
      </c>
      <c r="AD995" s="20">
        <f>IF($Z995="","",Settings!$B$2+$AC995-1)</f>
        <v/>
      </c>
      <c r="AE995" s="21">
        <f>IF($Z995="C",DATE(YEAR(INDEX(Contracts!$J$2:$J$151,$AB995)),MONTH(INDEX(Contracts!$J$2:$J$151,$AB995)),1),IF($Z995="A",DATE(YEAR(INDEX(Fixed_Assets!$G$2:$G$201,$AB995)),MONTH(INDEX(Fixed_Assets!$G$2:$G$201,$AB995)),1),IF($Z995="F",DATE(YEAR(MAX(N(INDEX(Workforce!$I$2:$I$151,MATCH(INDEX(FTE_Allocation!$A$2:$A$201,$AB995),Workforce!$A$2:$A$151,0))),N(INDEX(FTE_Allocation!$I$2:$I$201,$AB995)))),MONTH(MAX(N(INDEX(Workforce!$I$2:$I$151,MATCH(INDEX(FTE_Allocation!$A$2:$A$201,$AB995),Workforce!$A$2:$A$151,0))),N(INDEX(FTE_Allocation!$I$2:$I$201,$AB995)))),1),"")))</f>
        <v/>
      </c>
      <c r="AF995" s="21">
        <f>IF($Z995="C",IF(INDEX(Contracts!$I$2:$I$151,$AB995)="PREPAID",EDATE(DATE(YEAR(INDEX(Contracts!$J$2:$J$151,$AB995)),MONTH(INDEX(Contracts!$J$2:$J$151,$AB995)),1),IF(INDEX(Contracts!$N$2:$N$151,$AB995)="",12,INDEX(Contracts!$N$2:$N$151,$AB995))-1),IF(INDEX(Contracts!$I$2:$I$151,$AB995)="MONTHLY",IF(INDEX(Contracts!$K$2:$K$151,$AB995)="",2958101,INDEX(Contracts!$K$2:$K$151,$AB995)),0)),IF($Z995="A",EDATE(DATE(YEAR(INDEX(Fixed_Assets!$G$2:$G$201,$AB995)),MONTH(INDEX(Fixed_Assets!$G$2:$G$201,$AB995)),1),INDEX(Fixed_Assets!$J$2:$J$201,$AB995)-1),IF($Z995="F",MIN(IF(INDEX(Workforce!$J$2:$J$151,MATCH(INDEX(FTE_Allocation!$A$2:$A$201,$AB995),Workforce!$A$2:$A$151,0))="",2958101,INDEX(Workforce!$J$2:$J$151,MATCH(INDEX(FTE_Allocation!$A$2:$A$201,$AB995),Workforce!$A$2:$A$151,0))),IF(INDEX(FTE_Allocation!$J$2:$J$201,$AB995)="",2958101,INDEX(FTE_Allocation!$J$2:$J$201,$AB995))),"")))</f>
        <v/>
      </c>
      <c r="AG995" s="19">
        <f>IF($Z995="C",IF(INDEX(Contracts!$I$2:$I$151,$AB995)="PREPAID",INDEX(Contracts!$M$2:$M$151,$AB995)/IF(INDEX(Contracts!$N$2:$N$151,$AB995)="",12,INDEX(Contracts!$N$2:$N$151,$AB995)),IF(INDEX(Contracts!$I$2:$I$151,$AB995)="MONTHLY",INDEX(Contracts!$M$2:$M$151,$AB995),0))*(1-N(INDEX(Contracts!$O$2:$O$151,$AB995))),IF($Z995="A",INDEX(Fixed_Assets!$H$2:$H$201,$AB995)/INDEX(Fixed_Assets!$J$2:$J$201,$AB995),IF($Z995="F",INDEX(Workforce!$F$2:$F$151,MATCH(INDEX(FTE_Allocation!$A$2:$A$201,$AB995),Workforce!$A$2:$A$151,0))*N(INDEX(FTE_Allocation!$F$2:$H$201,$AB995,$AC995)),"")))</f>
        <v/>
      </c>
    </row>
    <row r="996">
      <c r="A996" s="7">
        <f>IF($Z996="","",$AD996)</f>
        <v/>
      </c>
      <c r="B996" s="7">
        <f>IF($Z996="C",INDEX(Contracts!$D$2:$D$151,$AB996)&amp;"",IF($Z996="A",INDEX(Fixed_Assets!$C$2:$C$201,$AB996)&amp;"",IF($Z996="F",INDEX(Workforce!$B$2:$B$151,MATCH(INDEX(FTE_Allocation!$A$2:$A$201,$AB996),Workforce!$A$2:$A$151,0))&amp;"","")))</f>
        <v/>
      </c>
      <c r="C996" s="7">
        <f>IF($Z996="C",INDEX(Contracts!$E$2:$E$151,$AB996)&amp;"",IF($Z996="A",INDEX(Fixed_Assets!$D$2:$D$201,$AB996)&amp;"",IF($Z996="F",INDEX(FTE_Allocation!$C$2:$C$201,$AB996)&amp;"","")))</f>
        <v/>
      </c>
      <c r="D996" s="7">
        <f>IF($Z996="C",INDEX(Contracts!$B$2:$B$151,$AB996)&amp;"",IF($Z996="A",INDEX(Fixed_Assets!$B$2:$B$201,$AB996)&amp;"",IF($Z996="F",INDEX(FTE_Allocation!$B$2:$B$201,$AB996)&amp;"","")))</f>
        <v/>
      </c>
      <c r="E996" s="7">
        <f>IF($Z996="C",INDEX(Contracts!$P$2:$P$151,$AB996)&amp;"",IF($Z996="A",INDEX(Fixed_Assets!$K$2:$K$201,$AB996)&amp;"",IF($Z996="F",IF(INDEX(FTE_Allocation!$D$2:$D$201,$AB996)="PROJECT",IFERROR(INDEX(Projects!$D:$D,MATCH(INDEX(FTE_Allocation!$E$2:$E$201,$AB996),Projects!$A:$A,0))&amp;"","#PROJECT?"),INDEX(FTE_Allocation!$E$2:$E$201,$AB996)&amp;""),"")))</f>
        <v/>
      </c>
      <c r="F996" s="7">
        <f>IF($Z996="C",INDEX(Contracts!$Q$2:$Q$151,$AB996)&amp;"",IF($Z996="A",INDEX(Fixed_Assets!$L$2:$L$201,$AB996)&amp;"",IF($Z996="F",INDEX(Workforce!$K$2:$K$151,MATCH(INDEX(FTE_Allocation!$A$2:$A$201,$AB996),Workforce!$A$2:$A$151,0))&amp;"","")))</f>
        <v/>
      </c>
      <c r="G996" s="7">
        <f>IF($Z996="C",INDEX(Contracts!$F$2:$F$151,$AB996)&amp;" / "&amp;INDEX(Contracts!$G$2:$G$151,$AB996),IF($Z996="A",INDEX(Fixed_Assets!$E$2:$E$201,$AB996)&amp;"",IF($Z996="F","Personnel "&amp;INDEX(FTE_Allocation!$A$2:$A$201,$AB996)&amp;IF(INDEX(FTE_Allocation!$D$2:$D$201,$AB996)="PROJECT"," ("&amp;INDEX(FTE_Allocation!$E$2:$E$201,$AB996)&amp;")",""),"")))</f>
        <v/>
      </c>
      <c r="H996" s="7">
        <f>IF($Z996="C","CONTRACT",IF($Z996="A","ASSET",IF($Z996="F","WORKFORCE","")))</f>
        <v/>
      </c>
      <c r="I996" s="7">
        <f>IF($Z996="C",INDEX(Contracts!$L$2:$L$151,$AB996)&amp;"",IF($Z996="A",INDEX(Fixed_Assets!$I$2:$I$201,$AB996)&amp;"",IF($Z996="F",INDEX(Workforce!$G$2:$G$151,MATCH(INDEX(FTE_Allocation!$A$2:$A$201,$AB996),Workforce!$A$2:$A$151,0))&amp;"","")))</f>
        <v/>
      </c>
      <c r="J996" s="18">
        <f>IF($Z996="","",IF(AND(DATE($AD996,1,1)&gt;=$AE996,DATE($AD996,1,1)&lt;=$AF996),ROUND($AG996,2),0))</f>
        <v/>
      </c>
      <c r="K996" s="18">
        <f>IF($Z996="","",IF(AND(DATE($AD996,2,1)&gt;=$AE996,DATE($AD996,2,1)&lt;=$AF996),ROUND($AG996,2),0))</f>
        <v/>
      </c>
      <c r="L996" s="18">
        <f>IF($Z996="","",IF(AND(DATE($AD996,3,1)&gt;=$AE996,DATE($AD996,3,1)&lt;=$AF996),ROUND($AG996,2),0))</f>
        <v/>
      </c>
      <c r="M996" s="18">
        <f>IF($Z996="","",IF(AND(DATE($AD996,4,1)&gt;=$AE996,DATE($AD996,4,1)&lt;=$AF996),ROUND($AG996,2),0))</f>
        <v/>
      </c>
      <c r="N996" s="18">
        <f>IF($Z996="","",IF(AND(DATE($AD996,5,1)&gt;=$AE996,DATE($AD996,5,1)&lt;=$AF996),ROUND($AG996,2),0))</f>
        <v/>
      </c>
      <c r="O996" s="18">
        <f>IF($Z996="","",IF(AND(DATE($AD996,6,1)&gt;=$AE996,DATE($AD996,6,1)&lt;=$AF996),ROUND($AG996,2),0))</f>
        <v/>
      </c>
      <c r="P996" s="18">
        <f>IF($Z996="","",IF(AND(DATE($AD996,7,1)&gt;=$AE996,DATE($AD996,7,1)&lt;=$AF996),ROUND($AG996,2),0))</f>
        <v/>
      </c>
      <c r="Q996" s="18">
        <f>IF($Z996="","",IF(AND(DATE($AD996,8,1)&gt;=$AE996,DATE($AD996,8,1)&lt;=$AF996),ROUND($AG996,2),0))</f>
        <v/>
      </c>
      <c r="R996" s="18">
        <f>IF($Z996="","",IF(AND(DATE($AD996,9,1)&gt;=$AE996,DATE($AD996,9,1)&lt;=$AF996),ROUND($AG996,2),0))</f>
        <v/>
      </c>
      <c r="S996" s="18">
        <f>IF($Z996="","",IF(AND(DATE($AD996,10,1)&gt;=$AE996,DATE($AD996,10,1)&lt;=$AF996),ROUND($AG996,2),0))</f>
        <v/>
      </c>
      <c r="T996" s="18">
        <f>IF($Z996="","",IF(AND(DATE($AD996,11,1)&gt;=$AE996,DATE($AD996,11,1)&lt;=$AF996),ROUND($AG996,2),0))</f>
        <v/>
      </c>
      <c r="U996" s="18">
        <f>IF($Z996="","",IF(AND(DATE($AD996,12,1)&gt;=$AE996,DATE($AD996,12,1)&lt;=$AF996),ROUND($AG996,2),0))</f>
        <v/>
      </c>
      <c r="V996" s="7">
        <f>IF($Z996="C","Generated from "&amp;INDEX(Contracts!$A$2:$A$151,$AB996),IF($Z996="A","Generated from "&amp;INDEX(Fixed_Assets!$A$2:$A$201,$AB996),IF($Z996="F","Generated from "&amp;INDEX(FTE_Allocation!$A$2:$A$201,$AB996),"")))</f>
        <v/>
      </c>
      <c r="X996" s="19">
        <f>IF($Z996="","",SUM(J996:U996))</f>
        <v/>
      </c>
      <c r="Y996" s="20">
        <f>ROW()-1</f>
        <v/>
      </c>
      <c r="Z996" s="20">
        <f>IF($Y996&lt;=Settings!$B$4*3,"C",IF($Y996&lt;=(Settings!$B$4+Settings!$B$5)*3,"A",IF($Y996&lt;=(Settings!$B$4+Settings!$B$5+Settings!$B$6)*3,"F","")))</f>
        <v/>
      </c>
      <c r="AA996" s="20">
        <f>IF($Z996="C",$Y996,IF($Z996="A",$Y996-Settings!$B$4*3,IF($Z996="F",$Y996-(Settings!$B$4+Settings!$B$5)*3,"")))</f>
        <v/>
      </c>
      <c r="AB996" s="20">
        <f>IF($Z996="","",INT(($AA996-1)/3)+1)</f>
        <v/>
      </c>
      <c r="AC996" s="20">
        <f>IF($Z996="","",MOD($AA996-1,3)+1)</f>
        <v/>
      </c>
      <c r="AD996" s="20">
        <f>IF($Z996="","",Settings!$B$2+$AC996-1)</f>
        <v/>
      </c>
      <c r="AE996" s="21">
        <f>IF($Z996="C",DATE(YEAR(INDEX(Contracts!$J$2:$J$151,$AB996)),MONTH(INDEX(Contracts!$J$2:$J$151,$AB996)),1),IF($Z996="A",DATE(YEAR(INDEX(Fixed_Assets!$G$2:$G$201,$AB996)),MONTH(INDEX(Fixed_Assets!$G$2:$G$201,$AB996)),1),IF($Z996="F",DATE(YEAR(MAX(N(INDEX(Workforce!$I$2:$I$151,MATCH(INDEX(FTE_Allocation!$A$2:$A$201,$AB996),Workforce!$A$2:$A$151,0))),N(INDEX(FTE_Allocation!$I$2:$I$201,$AB996)))),MONTH(MAX(N(INDEX(Workforce!$I$2:$I$151,MATCH(INDEX(FTE_Allocation!$A$2:$A$201,$AB996),Workforce!$A$2:$A$151,0))),N(INDEX(FTE_Allocation!$I$2:$I$201,$AB996)))),1),"")))</f>
        <v/>
      </c>
      <c r="AF996" s="21">
        <f>IF($Z996="C",IF(INDEX(Contracts!$I$2:$I$151,$AB996)="PREPAID",EDATE(DATE(YEAR(INDEX(Contracts!$J$2:$J$151,$AB996)),MONTH(INDEX(Contracts!$J$2:$J$151,$AB996)),1),IF(INDEX(Contracts!$N$2:$N$151,$AB996)="",12,INDEX(Contracts!$N$2:$N$151,$AB996))-1),IF(INDEX(Contracts!$I$2:$I$151,$AB996)="MONTHLY",IF(INDEX(Contracts!$K$2:$K$151,$AB996)="",2958101,INDEX(Contracts!$K$2:$K$151,$AB996)),0)),IF($Z996="A",EDATE(DATE(YEAR(INDEX(Fixed_Assets!$G$2:$G$201,$AB996)),MONTH(INDEX(Fixed_Assets!$G$2:$G$201,$AB996)),1),INDEX(Fixed_Assets!$J$2:$J$201,$AB996)-1),IF($Z996="F",MIN(IF(INDEX(Workforce!$J$2:$J$151,MATCH(INDEX(FTE_Allocation!$A$2:$A$201,$AB996),Workforce!$A$2:$A$151,0))="",2958101,INDEX(Workforce!$J$2:$J$151,MATCH(INDEX(FTE_Allocation!$A$2:$A$201,$AB996),Workforce!$A$2:$A$151,0))),IF(INDEX(FTE_Allocation!$J$2:$J$201,$AB996)="",2958101,INDEX(FTE_Allocation!$J$2:$J$201,$AB996))),"")))</f>
        <v/>
      </c>
      <c r="AG996" s="19">
        <f>IF($Z996="C",IF(INDEX(Contracts!$I$2:$I$151,$AB996)="PREPAID",INDEX(Contracts!$M$2:$M$151,$AB996)/IF(INDEX(Contracts!$N$2:$N$151,$AB996)="",12,INDEX(Contracts!$N$2:$N$151,$AB996)),IF(INDEX(Contracts!$I$2:$I$151,$AB996)="MONTHLY",INDEX(Contracts!$M$2:$M$151,$AB996),0))*(1-N(INDEX(Contracts!$O$2:$O$151,$AB996))),IF($Z996="A",INDEX(Fixed_Assets!$H$2:$H$201,$AB996)/INDEX(Fixed_Assets!$J$2:$J$201,$AB996),IF($Z996="F",INDEX(Workforce!$F$2:$F$151,MATCH(INDEX(FTE_Allocation!$A$2:$A$201,$AB996),Workforce!$A$2:$A$151,0))*N(INDEX(FTE_Allocation!$F$2:$H$201,$AB996,$AC996)),"")))</f>
        <v/>
      </c>
    </row>
    <row r="997">
      <c r="A997" s="7">
        <f>IF($Z997="","",$AD997)</f>
        <v/>
      </c>
      <c r="B997" s="7">
        <f>IF($Z997="C",INDEX(Contracts!$D$2:$D$151,$AB997)&amp;"",IF($Z997="A",INDEX(Fixed_Assets!$C$2:$C$201,$AB997)&amp;"",IF($Z997="F",INDEX(Workforce!$B$2:$B$151,MATCH(INDEX(FTE_Allocation!$A$2:$A$201,$AB997),Workforce!$A$2:$A$151,0))&amp;"","")))</f>
        <v/>
      </c>
      <c r="C997" s="7">
        <f>IF($Z997="C",INDEX(Contracts!$E$2:$E$151,$AB997)&amp;"",IF($Z997="A",INDEX(Fixed_Assets!$D$2:$D$201,$AB997)&amp;"",IF($Z997="F",INDEX(FTE_Allocation!$C$2:$C$201,$AB997)&amp;"","")))</f>
        <v/>
      </c>
      <c r="D997" s="7">
        <f>IF($Z997="C",INDEX(Contracts!$B$2:$B$151,$AB997)&amp;"",IF($Z997="A",INDEX(Fixed_Assets!$B$2:$B$201,$AB997)&amp;"",IF($Z997="F",INDEX(FTE_Allocation!$B$2:$B$201,$AB997)&amp;"","")))</f>
        <v/>
      </c>
      <c r="E997" s="7">
        <f>IF($Z997="C",INDEX(Contracts!$P$2:$P$151,$AB997)&amp;"",IF($Z997="A",INDEX(Fixed_Assets!$K$2:$K$201,$AB997)&amp;"",IF($Z997="F",IF(INDEX(FTE_Allocation!$D$2:$D$201,$AB997)="PROJECT",IFERROR(INDEX(Projects!$D:$D,MATCH(INDEX(FTE_Allocation!$E$2:$E$201,$AB997),Projects!$A:$A,0))&amp;"","#PROJECT?"),INDEX(FTE_Allocation!$E$2:$E$201,$AB997)&amp;""),"")))</f>
        <v/>
      </c>
      <c r="F997" s="7">
        <f>IF($Z997="C",INDEX(Contracts!$Q$2:$Q$151,$AB997)&amp;"",IF($Z997="A",INDEX(Fixed_Assets!$L$2:$L$201,$AB997)&amp;"",IF($Z997="F",INDEX(Workforce!$K$2:$K$151,MATCH(INDEX(FTE_Allocation!$A$2:$A$201,$AB997),Workforce!$A$2:$A$151,0))&amp;"","")))</f>
        <v/>
      </c>
      <c r="G997" s="7">
        <f>IF($Z997="C",INDEX(Contracts!$F$2:$F$151,$AB997)&amp;" / "&amp;INDEX(Contracts!$G$2:$G$151,$AB997),IF($Z997="A",INDEX(Fixed_Assets!$E$2:$E$201,$AB997)&amp;"",IF($Z997="F","Personnel "&amp;INDEX(FTE_Allocation!$A$2:$A$201,$AB997)&amp;IF(INDEX(FTE_Allocation!$D$2:$D$201,$AB997)="PROJECT"," ("&amp;INDEX(FTE_Allocation!$E$2:$E$201,$AB997)&amp;")",""),"")))</f>
        <v/>
      </c>
      <c r="H997" s="7">
        <f>IF($Z997="C","CONTRACT",IF($Z997="A","ASSET",IF($Z997="F","WORKFORCE","")))</f>
        <v/>
      </c>
      <c r="I997" s="7">
        <f>IF($Z997="C",INDEX(Contracts!$L$2:$L$151,$AB997)&amp;"",IF($Z997="A",INDEX(Fixed_Assets!$I$2:$I$201,$AB997)&amp;"",IF($Z997="F",INDEX(Workforce!$G$2:$G$151,MATCH(INDEX(FTE_Allocation!$A$2:$A$201,$AB997),Workforce!$A$2:$A$151,0))&amp;"","")))</f>
        <v/>
      </c>
      <c r="J997" s="18">
        <f>IF($Z997="","",IF(AND(DATE($AD997,1,1)&gt;=$AE997,DATE($AD997,1,1)&lt;=$AF997),ROUND($AG997,2),0))</f>
        <v/>
      </c>
      <c r="K997" s="18">
        <f>IF($Z997="","",IF(AND(DATE($AD997,2,1)&gt;=$AE997,DATE($AD997,2,1)&lt;=$AF997),ROUND($AG997,2),0))</f>
        <v/>
      </c>
      <c r="L997" s="18">
        <f>IF($Z997="","",IF(AND(DATE($AD997,3,1)&gt;=$AE997,DATE($AD997,3,1)&lt;=$AF997),ROUND($AG997,2),0))</f>
        <v/>
      </c>
      <c r="M997" s="18">
        <f>IF($Z997="","",IF(AND(DATE($AD997,4,1)&gt;=$AE997,DATE($AD997,4,1)&lt;=$AF997),ROUND($AG997,2),0))</f>
        <v/>
      </c>
      <c r="N997" s="18">
        <f>IF($Z997="","",IF(AND(DATE($AD997,5,1)&gt;=$AE997,DATE($AD997,5,1)&lt;=$AF997),ROUND($AG997,2),0))</f>
        <v/>
      </c>
      <c r="O997" s="18">
        <f>IF($Z997="","",IF(AND(DATE($AD997,6,1)&gt;=$AE997,DATE($AD997,6,1)&lt;=$AF997),ROUND($AG997,2),0))</f>
        <v/>
      </c>
      <c r="P997" s="18">
        <f>IF($Z997="","",IF(AND(DATE($AD997,7,1)&gt;=$AE997,DATE($AD997,7,1)&lt;=$AF997),ROUND($AG997,2),0))</f>
        <v/>
      </c>
      <c r="Q997" s="18">
        <f>IF($Z997="","",IF(AND(DATE($AD997,8,1)&gt;=$AE997,DATE($AD997,8,1)&lt;=$AF997),ROUND($AG997,2),0))</f>
        <v/>
      </c>
      <c r="R997" s="18">
        <f>IF($Z997="","",IF(AND(DATE($AD997,9,1)&gt;=$AE997,DATE($AD997,9,1)&lt;=$AF997),ROUND($AG997,2),0))</f>
        <v/>
      </c>
      <c r="S997" s="18">
        <f>IF($Z997="","",IF(AND(DATE($AD997,10,1)&gt;=$AE997,DATE($AD997,10,1)&lt;=$AF997),ROUND($AG997,2),0))</f>
        <v/>
      </c>
      <c r="T997" s="18">
        <f>IF($Z997="","",IF(AND(DATE($AD997,11,1)&gt;=$AE997,DATE($AD997,11,1)&lt;=$AF997),ROUND($AG997,2),0))</f>
        <v/>
      </c>
      <c r="U997" s="18">
        <f>IF($Z997="","",IF(AND(DATE($AD997,12,1)&gt;=$AE997,DATE($AD997,12,1)&lt;=$AF997),ROUND($AG997,2),0))</f>
        <v/>
      </c>
      <c r="V997" s="7">
        <f>IF($Z997="C","Generated from "&amp;INDEX(Contracts!$A$2:$A$151,$AB997),IF($Z997="A","Generated from "&amp;INDEX(Fixed_Assets!$A$2:$A$201,$AB997),IF($Z997="F","Generated from "&amp;INDEX(FTE_Allocation!$A$2:$A$201,$AB997),"")))</f>
        <v/>
      </c>
      <c r="X997" s="19">
        <f>IF($Z997="","",SUM(J997:U997))</f>
        <v/>
      </c>
      <c r="Y997" s="20">
        <f>ROW()-1</f>
        <v/>
      </c>
      <c r="Z997" s="20">
        <f>IF($Y997&lt;=Settings!$B$4*3,"C",IF($Y997&lt;=(Settings!$B$4+Settings!$B$5)*3,"A",IF($Y997&lt;=(Settings!$B$4+Settings!$B$5+Settings!$B$6)*3,"F","")))</f>
        <v/>
      </c>
      <c r="AA997" s="20">
        <f>IF($Z997="C",$Y997,IF($Z997="A",$Y997-Settings!$B$4*3,IF($Z997="F",$Y997-(Settings!$B$4+Settings!$B$5)*3,"")))</f>
        <v/>
      </c>
      <c r="AB997" s="20">
        <f>IF($Z997="","",INT(($AA997-1)/3)+1)</f>
        <v/>
      </c>
      <c r="AC997" s="20">
        <f>IF($Z997="","",MOD($AA997-1,3)+1)</f>
        <v/>
      </c>
      <c r="AD997" s="20">
        <f>IF($Z997="","",Settings!$B$2+$AC997-1)</f>
        <v/>
      </c>
      <c r="AE997" s="21">
        <f>IF($Z997="C",DATE(YEAR(INDEX(Contracts!$J$2:$J$151,$AB997)),MONTH(INDEX(Contracts!$J$2:$J$151,$AB997)),1),IF($Z997="A",DATE(YEAR(INDEX(Fixed_Assets!$G$2:$G$201,$AB997)),MONTH(INDEX(Fixed_Assets!$G$2:$G$201,$AB997)),1),IF($Z997="F",DATE(YEAR(MAX(N(INDEX(Workforce!$I$2:$I$151,MATCH(INDEX(FTE_Allocation!$A$2:$A$201,$AB997),Workforce!$A$2:$A$151,0))),N(INDEX(FTE_Allocation!$I$2:$I$201,$AB997)))),MONTH(MAX(N(INDEX(Workforce!$I$2:$I$151,MATCH(INDEX(FTE_Allocation!$A$2:$A$201,$AB997),Workforce!$A$2:$A$151,0))),N(INDEX(FTE_Allocation!$I$2:$I$201,$AB997)))),1),"")))</f>
        <v/>
      </c>
      <c r="AF997" s="21">
        <f>IF($Z997="C",IF(INDEX(Contracts!$I$2:$I$151,$AB997)="PREPAID",EDATE(DATE(YEAR(INDEX(Contracts!$J$2:$J$151,$AB997)),MONTH(INDEX(Contracts!$J$2:$J$151,$AB997)),1),IF(INDEX(Contracts!$N$2:$N$151,$AB997)="",12,INDEX(Contracts!$N$2:$N$151,$AB997))-1),IF(INDEX(Contracts!$I$2:$I$151,$AB997)="MONTHLY",IF(INDEX(Contracts!$K$2:$K$151,$AB997)="",2958101,INDEX(Contracts!$K$2:$K$151,$AB997)),0)),IF($Z997="A",EDATE(DATE(YEAR(INDEX(Fixed_Assets!$G$2:$G$201,$AB997)),MONTH(INDEX(Fixed_Assets!$G$2:$G$201,$AB997)),1),INDEX(Fixed_Assets!$J$2:$J$201,$AB997)-1),IF($Z997="F",MIN(IF(INDEX(Workforce!$J$2:$J$151,MATCH(INDEX(FTE_Allocation!$A$2:$A$201,$AB997),Workforce!$A$2:$A$151,0))="",2958101,INDEX(Workforce!$J$2:$J$151,MATCH(INDEX(FTE_Allocation!$A$2:$A$201,$AB997),Workforce!$A$2:$A$151,0))),IF(INDEX(FTE_Allocation!$J$2:$J$201,$AB997)="",2958101,INDEX(FTE_Allocation!$J$2:$J$201,$AB997))),"")))</f>
        <v/>
      </c>
      <c r="AG997" s="19">
        <f>IF($Z997="C",IF(INDEX(Contracts!$I$2:$I$151,$AB997)="PREPAID",INDEX(Contracts!$M$2:$M$151,$AB997)/IF(INDEX(Contracts!$N$2:$N$151,$AB997)="",12,INDEX(Contracts!$N$2:$N$151,$AB997)),IF(INDEX(Contracts!$I$2:$I$151,$AB997)="MONTHLY",INDEX(Contracts!$M$2:$M$151,$AB997),0))*(1-N(INDEX(Contracts!$O$2:$O$151,$AB997))),IF($Z997="A",INDEX(Fixed_Assets!$H$2:$H$201,$AB997)/INDEX(Fixed_Assets!$J$2:$J$201,$AB997),IF($Z997="F",INDEX(Workforce!$F$2:$F$151,MATCH(INDEX(FTE_Allocation!$A$2:$A$201,$AB997),Workforce!$A$2:$A$151,0))*N(INDEX(FTE_Allocation!$F$2:$H$201,$AB997,$AC997)),"")))</f>
        <v/>
      </c>
    </row>
    <row r="998">
      <c r="A998" s="7">
        <f>IF($Z998="","",$AD998)</f>
        <v/>
      </c>
      <c r="B998" s="7">
        <f>IF($Z998="C",INDEX(Contracts!$D$2:$D$151,$AB998)&amp;"",IF($Z998="A",INDEX(Fixed_Assets!$C$2:$C$201,$AB998)&amp;"",IF($Z998="F",INDEX(Workforce!$B$2:$B$151,MATCH(INDEX(FTE_Allocation!$A$2:$A$201,$AB998),Workforce!$A$2:$A$151,0))&amp;"","")))</f>
        <v/>
      </c>
      <c r="C998" s="7">
        <f>IF($Z998="C",INDEX(Contracts!$E$2:$E$151,$AB998)&amp;"",IF($Z998="A",INDEX(Fixed_Assets!$D$2:$D$201,$AB998)&amp;"",IF($Z998="F",INDEX(FTE_Allocation!$C$2:$C$201,$AB998)&amp;"","")))</f>
        <v/>
      </c>
      <c r="D998" s="7">
        <f>IF($Z998="C",INDEX(Contracts!$B$2:$B$151,$AB998)&amp;"",IF($Z998="A",INDEX(Fixed_Assets!$B$2:$B$201,$AB998)&amp;"",IF($Z998="F",INDEX(FTE_Allocation!$B$2:$B$201,$AB998)&amp;"","")))</f>
        <v/>
      </c>
      <c r="E998" s="7">
        <f>IF($Z998="C",INDEX(Contracts!$P$2:$P$151,$AB998)&amp;"",IF($Z998="A",INDEX(Fixed_Assets!$K$2:$K$201,$AB998)&amp;"",IF($Z998="F",IF(INDEX(FTE_Allocation!$D$2:$D$201,$AB998)="PROJECT",IFERROR(INDEX(Projects!$D:$D,MATCH(INDEX(FTE_Allocation!$E$2:$E$201,$AB998),Projects!$A:$A,0))&amp;"","#PROJECT?"),INDEX(FTE_Allocation!$E$2:$E$201,$AB998)&amp;""),"")))</f>
        <v/>
      </c>
      <c r="F998" s="7">
        <f>IF($Z998="C",INDEX(Contracts!$Q$2:$Q$151,$AB998)&amp;"",IF($Z998="A",INDEX(Fixed_Assets!$L$2:$L$201,$AB998)&amp;"",IF($Z998="F",INDEX(Workforce!$K$2:$K$151,MATCH(INDEX(FTE_Allocation!$A$2:$A$201,$AB998),Workforce!$A$2:$A$151,0))&amp;"","")))</f>
        <v/>
      </c>
      <c r="G998" s="7">
        <f>IF($Z998="C",INDEX(Contracts!$F$2:$F$151,$AB998)&amp;" / "&amp;INDEX(Contracts!$G$2:$G$151,$AB998),IF($Z998="A",INDEX(Fixed_Assets!$E$2:$E$201,$AB998)&amp;"",IF($Z998="F","Personnel "&amp;INDEX(FTE_Allocation!$A$2:$A$201,$AB998)&amp;IF(INDEX(FTE_Allocation!$D$2:$D$201,$AB998)="PROJECT"," ("&amp;INDEX(FTE_Allocation!$E$2:$E$201,$AB998)&amp;")",""),"")))</f>
        <v/>
      </c>
      <c r="H998" s="7">
        <f>IF($Z998="C","CONTRACT",IF($Z998="A","ASSET",IF($Z998="F","WORKFORCE","")))</f>
        <v/>
      </c>
      <c r="I998" s="7">
        <f>IF($Z998="C",INDEX(Contracts!$L$2:$L$151,$AB998)&amp;"",IF($Z998="A",INDEX(Fixed_Assets!$I$2:$I$201,$AB998)&amp;"",IF($Z998="F",INDEX(Workforce!$G$2:$G$151,MATCH(INDEX(FTE_Allocation!$A$2:$A$201,$AB998),Workforce!$A$2:$A$151,0))&amp;"","")))</f>
        <v/>
      </c>
      <c r="J998" s="18">
        <f>IF($Z998="","",IF(AND(DATE($AD998,1,1)&gt;=$AE998,DATE($AD998,1,1)&lt;=$AF998),ROUND($AG998,2),0))</f>
        <v/>
      </c>
      <c r="K998" s="18">
        <f>IF($Z998="","",IF(AND(DATE($AD998,2,1)&gt;=$AE998,DATE($AD998,2,1)&lt;=$AF998),ROUND($AG998,2),0))</f>
        <v/>
      </c>
      <c r="L998" s="18">
        <f>IF($Z998="","",IF(AND(DATE($AD998,3,1)&gt;=$AE998,DATE($AD998,3,1)&lt;=$AF998),ROUND($AG998,2),0))</f>
        <v/>
      </c>
      <c r="M998" s="18">
        <f>IF($Z998="","",IF(AND(DATE($AD998,4,1)&gt;=$AE998,DATE($AD998,4,1)&lt;=$AF998),ROUND($AG998,2),0))</f>
        <v/>
      </c>
      <c r="N998" s="18">
        <f>IF($Z998="","",IF(AND(DATE($AD998,5,1)&gt;=$AE998,DATE($AD998,5,1)&lt;=$AF998),ROUND($AG998,2),0))</f>
        <v/>
      </c>
      <c r="O998" s="18">
        <f>IF($Z998="","",IF(AND(DATE($AD998,6,1)&gt;=$AE998,DATE($AD998,6,1)&lt;=$AF998),ROUND($AG998,2),0))</f>
        <v/>
      </c>
      <c r="P998" s="18">
        <f>IF($Z998="","",IF(AND(DATE($AD998,7,1)&gt;=$AE998,DATE($AD998,7,1)&lt;=$AF998),ROUND($AG998,2),0))</f>
        <v/>
      </c>
      <c r="Q998" s="18">
        <f>IF($Z998="","",IF(AND(DATE($AD998,8,1)&gt;=$AE998,DATE($AD998,8,1)&lt;=$AF998),ROUND($AG998,2),0))</f>
        <v/>
      </c>
      <c r="R998" s="18">
        <f>IF($Z998="","",IF(AND(DATE($AD998,9,1)&gt;=$AE998,DATE($AD998,9,1)&lt;=$AF998),ROUND($AG998,2),0))</f>
        <v/>
      </c>
      <c r="S998" s="18">
        <f>IF($Z998="","",IF(AND(DATE($AD998,10,1)&gt;=$AE998,DATE($AD998,10,1)&lt;=$AF998),ROUND($AG998,2),0))</f>
        <v/>
      </c>
      <c r="T998" s="18">
        <f>IF($Z998="","",IF(AND(DATE($AD998,11,1)&gt;=$AE998,DATE($AD998,11,1)&lt;=$AF998),ROUND($AG998,2),0))</f>
        <v/>
      </c>
      <c r="U998" s="18">
        <f>IF($Z998="","",IF(AND(DATE($AD998,12,1)&gt;=$AE998,DATE($AD998,12,1)&lt;=$AF998),ROUND($AG998,2),0))</f>
        <v/>
      </c>
      <c r="V998" s="7">
        <f>IF($Z998="C","Generated from "&amp;INDEX(Contracts!$A$2:$A$151,$AB998),IF($Z998="A","Generated from "&amp;INDEX(Fixed_Assets!$A$2:$A$201,$AB998),IF($Z998="F","Generated from "&amp;INDEX(FTE_Allocation!$A$2:$A$201,$AB998),"")))</f>
        <v/>
      </c>
      <c r="X998" s="19">
        <f>IF($Z998="","",SUM(J998:U998))</f>
        <v/>
      </c>
      <c r="Y998" s="20">
        <f>ROW()-1</f>
        <v/>
      </c>
      <c r="Z998" s="20">
        <f>IF($Y998&lt;=Settings!$B$4*3,"C",IF($Y998&lt;=(Settings!$B$4+Settings!$B$5)*3,"A",IF($Y998&lt;=(Settings!$B$4+Settings!$B$5+Settings!$B$6)*3,"F","")))</f>
        <v/>
      </c>
      <c r="AA998" s="20">
        <f>IF($Z998="C",$Y998,IF($Z998="A",$Y998-Settings!$B$4*3,IF($Z998="F",$Y998-(Settings!$B$4+Settings!$B$5)*3,"")))</f>
        <v/>
      </c>
      <c r="AB998" s="20">
        <f>IF($Z998="","",INT(($AA998-1)/3)+1)</f>
        <v/>
      </c>
      <c r="AC998" s="20">
        <f>IF($Z998="","",MOD($AA998-1,3)+1)</f>
        <v/>
      </c>
      <c r="AD998" s="20">
        <f>IF($Z998="","",Settings!$B$2+$AC998-1)</f>
        <v/>
      </c>
      <c r="AE998" s="21">
        <f>IF($Z998="C",DATE(YEAR(INDEX(Contracts!$J$2:$J$151,$AB998)),MONTH(INDEX(Contracts!$J$2:$J$151,$AB998)),1),IF($Z998="A",DATE(YEAR(INDEX(Fixed_Assets!$G$2:$G$201,$AB998)),MONTH(INDEX(Fixed_Assets!$G$2:$G$201,$AB998)),1),IF($Z998="F",DATE(YEAR(MAX(N(INDEX(Workforce!$I$2:$I$151,MATCH(INDEX(FTE_Allocation!$A$2:$A$201,$AB998),Workforce!$A$2:$A$151,0))),N(INDEX(FTE_Allocation!$I$2:$I$201,$AB998)))),MONTH(MAX(N(INDEX(Workforce!$I$2:$I$151,MATCH(INDEX(FTE_Allocation!$A$2:$A$201,$AB998),Workforce!$A$2:$A$151,0))),N(INDEX(FTE_Allocation!$I$2:$I$201,$AB998)))),1),"")))</f>
        <v/>
      </c>
      <c r="AF998" s="21">
        <f>IF($Z998="C",IF(INDEX(Contracts!$I$2:$I$151,$AB998)="PREPAID",EDATE(DATE(YEAR(INDEX(Contracts!$J$2:$J$151,$AB998)),MONTH(INDEX(Contracts!$J$2:$J$151,$AB998)),1),IF(INDEX(Contracts!$N$2:$N$151,$AB998)="",12,INDEX(Contracts!$N$2:$N$151,$AB998))-1),IF(INDEX(Contracts!$I$2:$I$151,$AB998)="MONTHLY",IF(INDEX(Contracts!$K$2:$K$151,$AB998)="",2958101,INDEX(Contracts!$K$2:$K$151,$AB998)),0)),IF($Z998="A",EDATE(DATE(YEAR(INDEX(Fixed_Assets!$G$2:$G$201,$AB998)),MONTH(INDEX(Fixed_Assets!$G$2:$G$201,$AB998)),1),INDEX(Fixed_Assets!$J$2:$J$201,$AB998)-1),IF($Z998="F",MIN(IF(INDEX(Workforce!$J$2:$J$151,MATCH(INDEX(FTE_Allocation!$A$2:$A$201,$AB998),Workforce!$A$2:$A$151,0))="",2958101,INDEX(Workforce!$J$2:$J$151,MATCH(INDEX(FTE_Allocation!$A$2:$A$201,$AB998),Workforce!$A$2:$A$151,0))),IF(INDEX(FTE_Allocation!$J$2:$J$201,$AB998)="",2958101,INDEX(FTE_Allocation!$J$2:$J$201,$AB998))),"")))</f>
        <v/>
      </c>
      <c r="AG998" s="19">
        <f>IF($Z998="C",IF(INDEX(Contracts!$I$2:$I$151,$AB998)="PREPAID",INDEX(Contracts!$M$2:$M$151,$AB998)/IF(INDEX(Contracts!$N$2:$N$151,$AB998)="",12,INDEX(Contracts!$N$2:$N$151,$AB998)),IF(INDEX(Contracts!$I$2:$I$151,$AB998)="MONTHLY",INDEX(Contracts!$M$2:$M$151,$AB998),0))*(1-N(INDEX(Contracts!$O$2:$O$151,$AB998))),IF($Z998="A",INDEX(Fixed_Assets!$H$2:$H$201,$AB998)/INDEX(Fixed_Assets!$J$2:$J$201,$AB998),IF($Z998="F",INDEX(Workforce!$F$2:$F$151,MATCH(INDEX(FTE_Allocation!$A$2:$A$201,$AB998),Workforce!$A$2:$A$151,0))*N(INDEX(FTE_Allocation!$F$2:$H$201,$AB998,$AC998)),"")))</f>
        <v/>
      </c>
    </row>
    <row r="999">
      <c r="A999" s="7">
        <f>IF($Z999="","",$AD999)</f>
        <v/>
      </c>
      <c r="B999" s="7">
        <f>IF($Z999="C",INDEX(Contracts!$D$2:$D$151,$AB999)&amp;"",IF($Z999="A",INDEX(Fixed_Assets!$C$2:$C$201,$AB999)&amp;"",IF($Z999="F",INDEX(Workforce!$B$2:$B$151,MATCH(INDEX(FTE_Allocation!$A$2:$A$201,$AB999),Workforce!$A$2:$A$151,0))&amp;"","")))</f>
        <v/>
      </c>
      <c r="C999" s="7">
        <f>IF($Z999="C",INDEX(Contracts!$E$2:$E$151,$AB999)&amp;"",IF($Z999="A",INDEX(Fixed_Assets!$D$2:$D$201,$AB999)&amp;"",IF($Z999="F",INDEX(FTE_Allocation!$C$2:$C$201,$AB999)&amp;"","")))</f>
        <v/>
      </c>
      <c r="D999" s="7">
        <f>IF($Z999="C",INDEX(Contracts!$B$2:$B$151,$AB999)&amp;"",IF($Z999="A",INDEX(Fixed_Assets!$B$2:$B$201,$AB999)&amp;"",IF($Z999="F",INDEX(FTE_Allocation!$B$2:$B$201,$AB999)&amp;"","")))</f>
        <v/>
      </c>
      <c r="E999" s="7">
        <f>IF($Z999="C",INDEX(Contracts!$P$2:$P$151,$AB999)&amp;"",IF($Z999="A",INDEX(Fixed_Assets!$K$2:$K$201,$AB999)&amp;"",IF($Z999="F",IF(INDEX(FTE_Allocation!$D$2:$D$201,$AB999)="PROJECT",IFERROR(INDEX(Projects!$D:$D,MATCH(INDEX(FTE_Allocation!$E$2:$E$201,$AB999),Projects!$A:$A,0))&amp;"","#PROJECT?"),INDEX(FTE_Allocation!$E$2:$E$201,$AB999)&amp;""),"")))</f>
        <v/>
      </c>
      <c r="F999" s="7">
        <f>IF($Z999="C",INDEX(Contracts!$Q$2:$Q$151,$AB999)&amp;"",IF($Z999="A",INDEX(Fixed_Assets!$L$2:$L$201,$AB999)&amp;"",IF($Z999="F",INDEX(Workforce!$K$2:$K$151,MATCH(INDEX(FTE_Allocation!$A$2:$A$201,$AB999),Workforce!$A$2:$A$151,0))&amp;"","")))</f>
        <v/>
      </c>
      <c r="G999" s="7">
        <f>IF($Z999="C",INDEX(Contracts!$F$2:$F$151,$AB999)&amp;" / "&amp;INDEX(Contracts!$G$2:$G$151,$AB999),IF($Z999="A",INDEX(Fixed_Assets!$E$2:$E$201,$AB999)&amp;"",IF($Z999="F","Personnel "&amp;INDEX(FTE_Allocation!$A$2:$A$201,$AB999)&amp;IF(INDEX(FTE_Allocation!$D$2:$D$201,$AB999)="PROJECT"," ("&amp;INDEX(FTE_Allocation!$E$2:$E$201,$AB999)&amp;")",""),"")))</f>
        <v/>
      </c>
      <c r="H999" s="7">
        <f>IF($Z999="C","CONTRACT",IF($Z999="A","ASSET",IF($Z999="F","WORKFORCE","")))</f>
        <v/>
      </c>
      <c r="I999" s="7">
        <f>IF($Z999="C",INDEX(Contracts!$L$2:$L$151,$AB999)&amp;"",IF($Z999="A",INDEX(Fixed_Assets!$I$2:$I$201,$AB999)&amp;"",IF($Z999="F",INDEX(Workforce!$G$2:$G$151,MATCH(INDEX(FTE_Allocation!$A$2:$A$201,$AB999),Workforce!$A$2:$A$151,0))&amp;"","")))</f>
        <v/>
      </c>
      <c r="J999" s="18">
        <f>IF($Z999="","",IF(AND(DATE($AD999,1,1)&gt;=$AE999,DATE($AD999,1,1)&lt;=$AF999),ROUND($AG999,2),0))</f>
        <v/>
      </c>
      <c r="K999" s="18">
        <f>IF($Z999="","",IF(AND(DATE($AD999,2,1)&gt;=$AE999,DATE($AD999,2,1)&lt;=$AF999),ROUND($AG999,2),0))</f>
        <v/>
      </c>
      <c r="L999" s="18">
        <f>IF($Z999="","",IF(AND(DATE($AD999,3,1)&gt;=$AE999,DATE($AD999,3,1)&lt;=$AF999),ROUND($AG999,2),0))</f>
        <v/>
      </c>
      <c r="M999" s="18">
        <f>IF($Z999="","",IF(AND(DATE($AD999,4,1)&gt;=$AE999,DATE($AD999,4,1)&lt;=$AF999),ROUND($AG999,2),0))</f>
        <v/>
      </c>
      <c r="N999" s="18">
        <f>IF($Z999="","",IF(AND(DATE($AD999,5,1)&gt;=$AE999,DATE($AD999,5,1)&lt;=$AF999),ROUND($AG999,2),0))</f>
        <v/>
      </c>
      <c r="O999" s="18">
        <f>IF($Z999="","",IF(AND(DATE($AD999,6,1)&gt;=$AE999,DATE($AD999,6,1)&lt;=$AF999),ROUND($AG999,2),0))</f>
        <v/>
      </c>
      <c r="P999" s="18">
        <f>IF($Z999="","",IF(AND(DATE($AD999,7,1)&gt;=$AE999,DATE($AD999,7,1)&lt;=$AF999),ROUND($AG999,2),0))</f>
        <v/>
      </c>
      <c r="Q999" s="18">
        <f>IF($Z999="","",IF(AND(DATE($AD999,8,1)&gt;=$AE999,DATE($AD999,8,1)&lt;=$AF999),ROUND($AG999,2),0))</f>
        <v/>
      </c>
      <c r="R999" s="18">
        <f>IF($Z999="","",IF(AND(DATE($AD999,9,1)&gt;=$AE999,DATE($AD999,9,1)&lt;=$AF999),ROUND($AG999,2),0))</f>
        <v/>
      </c>
      <c r="S999" s="18">
        <f>IF($Z999="","",IF(AND(DATE($AD999,10,1)&gt;=$AE999,DATE($AD999,10,1)&lt;=$AF999),ROUND($AG999,2),0))</f>
        <v/>
      </c>
      <c r="T999" s="18">
        <f>IF($Z999="","",IF(AND(DATE($AD999,11,1)&gt;=$AE999,DATE($AD999,11,1)&lt;=$AF999),ROUND($AG999,2),0))</f>
        <v/>
      </c>
      <c r="U999" s="18">
        <f>IF($Z999="","",IF(AND(DATE($AD999,12,1)&gt;=$AE999,DATE($AD999,12,1)&lt;=$AF999),ROUND($AG999,2),0))</f>
        <v/>
      </c>
      <c r="V999" s="7">
        <f>IF($Z999="C","Generated from "&amp;INDEX(Contracts!$A$2:$A$151,$AB999),IF($Z999="A","Generated from "&amp;INDEX(Fixed_Assets!$A$2:$A$201,$AB999),IF($Z999="F","Generated from "&amp;INDEX(FTE_Allocation!$A$2:$A$201,$AB999),"")))</f>
        <v/>
      </c>
      <c r="X999" s="19">
        <f>IF($Z999="","",SUM(J999:U999))</f>
        <v/>
      </c>
      <c r="Y999" s="20">
        <f>ROW()-1</f>
        <v/>
      </c>
      <c r="Z999" s="20">
        <f>IF($Y999&lt;=Settings!$B$4*3,"C",IF($Y999&lt;=(Settings!$B$4+Settings!$B$5)*3,"A",IF($Y999&lt;=(Settings!$B$4+Settings!$B$5+Settings!$B$6)*3,"F","")))</f>
        <v/>
      </c>
      <c r="AA999" s="20">
        <f>IF($Z999="C",$Y999,IF($Z999="A",$Y999-Settings!$B$4*3,IF($Z999="F",$Y999-(Settings!$B$4+Settings!$B$5)*3,"")))</f>
        <v/>
      </c>
      <c r="AB999" s="20">
        <f>IF($Z999="","",INT(($AA999-1)/3)+1)</f>
        <v/>
      </c>
      <c r="AC999" s="20">
        <f>IF($Z999="","",MOD($AA999-1,3)+1)</f>
        <v/>
      </c>
      <c r="AD999" s="20">
        <f>IF($Z999="","",Settings!$B$2+$AC999-1)</f>
        <v/>
      </c>
      <c r="AE999" s="21">
        <f>IF($Z999="C",DATE(YEAR(INDEX(Contracts!$J$2:$J$151,$AB999)),MONTH(INDEX(Contracts!$J$2:$J$151,$AB999)),1),IF($Z999="A",DATE(YEAR(INDEX(Fixed_Assets!$G$2:$G$201,$AB999)),MONTH(INDEX(Fixed_Assets!$G$2:$G$201,$AB999)),1),IF($Z999="F",DATE(YEAR(MAX(N(INDEX(Workforce!$I$2:$I$151,MATCH(INDEX(FTE_Allocation!$A$2:$A$201,$AB999),Workforce!$A$2:$A$151,0))),N(INDEX(FTE_Allocation!$I$2:$I$201,$AB999)))),MONTH(MAX(N(INDEX(Workforce!$I$2:$I$151,MATCH(INDEX(FTE_Allocation!$A$2:$A$201,$AB999),Workforce!$A$2:$A$151,0))),N(INDEX(FTE_Allocation!$I$2:$I$201,$AB999)))),1),"")))</f>
        <v/>
      </c>
      <c r="AF999" s="21">
        <f>IF($Z999="C",IF(INDEX(Contracts!$I$2:$I$151,$AB999)="PREPAID",EDATE(DATE(YEAR(INDEX(Contracts!$J$2:$J$151,$AB999)),MONTH(INDEX(Contracts!$J$2:$J$151,$AB999)),1),IF(INDEX(Contracts!$N$2:$N$151,$AB999)="",12,INDEX(Contracts!$N$2:$N$151,$AB999))-1),IF(INDEX(Contracts!$I$2:$I$151,$AB999)="MONTHLY",IF(INDEX(Contracts!$K$2:$K$151,$AB999)="",2958101,INDEX(Contracts!$K$2:$K$151,$AB999)),0)),IF($Z999="A",EDATE(DATE(YEAR(INDEX(Fixed_Assets!$G$2:$G$201,$AB999)),MONTH(INDEX(Fixed_Assets!$G$2:$G$201,$AB999)),1),INDEX(Fixed_Assets!$J$2:$J$201,$AB999)-1),IF($Z999="F",MIN(IF(INDEX(Workforce!$J$2:$J$151,MATCH(INDEX(FTE_Allocation!$A$2:$A$201,$AB999),Workforce!$A$2:$A$151,0))="",2958101,INDEX(Workforce!$J$2:$J$151,MATCH(INDEX(FTE_Allocation!$A$2:$A$201,$AB999),Workforce!$A$2:$A$151,0))),IF(INDEX(FTE_Allocation!$J$2:$J$201,$AB999)="",2958101,INDEX(FTE_Allocation!$J$2:$J$201,$AB999))),"")))</f>
        <v/>
      </c>
      <c r="AG999" s="19">
        <f>IF($Z999="C",IF(INDEX(Contracts!$I$2:$I$151,$AB999)="PREPAID",INDEX(Contracts!$M$2:$M$151,$AB999)/IF(INDEX(Contracts!$N$2:$N$151,$AB999)="",12,INDEX(Contracts!$N$2:$N$151,$AB999)),IF(INDEX(Contracts!$I$2:$I$151,$AB999)="MONTHLY",INDEX(Contracts!$M$2:$M$151,$AB999),0))*(1-N(INDEX(Contracts!$O$2:$O$151,$AB999))),IF($Z999="A",INDEX(Fixed_Assets!$H$2:$H$201,$AB999)/INDEX(Fixed_Assets!$J$2:$J$201,$AB999),IF($Z999="F",INDEX(Workforce!$F$2:$F$151,MATCH(INDEX(FTE_Allocation!$A$2:$A$201,$AB999),Workforce!$A$2:$A$151,0))*N(INDEX(FTE_Allocation!$F$2:$H$201,$AB999,$AC999)),"")))</f>
        <v/>
      </c>
    </row>
    <row r="1000">
      <c r="A1000" s="7">
        <f>IF($Z1000="","",$AD1000)</f>
        <v/>
      </c>
      <c r="B1000" s="7">
        <f>IF($Z1000="C",INDEX(Contracts!$D$2:$D$151,$AB1000)&amp;"",IF($Z1000="A",INDEX(Fixed_Assets!$C$2:$C$201,$AB1000)&amp;"",IF($Z1000="F",INDEX(Workforce!$B$2:$B$151,MATCH(INDEX(FTE_Allocation!$A$2:$A$201,$AB1000),Workforce!$A$2:$A$151,0))&amp;"","")))</f>
        <v/>
      </c>
      <c r="C1000" s="7">
        <f>IF($Z1000="C",INDEX(Contracts!$E$2:$E$151,$AB1000)&amp;"",IF($Z1000="A",INDEX(Fixed_Assets!$D$2:$D$201,$AB1000)&amp;"",IF($Z1000="F",INDEX(FTE_Allocation!$C$2:$C$201,$AB1000)&amp;"","")))</f>
        <v/>
      </c>
      <c r="D1000" s="7">
        <f>IF($Z1000="C",INDEX(Contracts!$B$2:$B$151,$AB1000)&amp;"",IF($Z1000="A",INDEX(Fixed_Assets!$B$2:$B$201,$AB1000)&amp;"",IF($Z1000="F",INDEX(FTE_Allocation!$B$2:$B$201,$AB1000)&amp;"","")))</f>
        <v/>
      </c>
      <c r="E1000" s="7">
        <f>IF($Z1000="C",INDEX(Contracts!$P$2:$P$151,$AB1000)&amp;"",IF($Z1000="A",INDEX(Fixed_Assets!$K$2:$K$201,$AB1000)&amp;"",IF($Z1000="F",IF(INDEX(FTE_Allocation!$D$2:$D$201,$AB1000)="PROJECT",IFERROR(INDEX(Projects!$D:$D,MATCH(INDEX(FTE_Allocation!$E$2:$E$201,$AB1000),Projects!$A:$A,0))&amp;"","#PROJECT?"),INDEX(FTE_Allocation!$E$2:$E$201,$AB1000)&amp;""),"")))</f>
        <v/>
      </c>
      <c r="F1000" s="7">
        <f>IF($Z1000="C",INDEX(Contracts!$Q$2:$Q$151,$AB1000)&amp;"",IF($Z1000="A",INDEX(Fixed_Assets!$L$2:$L$201,$AB1000)&amp;"",IF($Z1000="F",INDEX(Workforce!$K$2:$K$151,MATCH(INDEX(FTE_Allocation!$A$2:$A$201,$AB1000),Workforce!$A$2:$A$151,0))&amp;"","")))</f>
        <v/>
      </c>
      <c r="G1000" s="7">
        <f>IF($Z1000="C",INDEX(Contracts!$F$2:$F$151,$AB1000)&amp;" / "&amp;INDEX(Contracts!$G$2:$G$151,$AB1000),IF($Z1000="A",INDEX(Fixed_Assets!$E$2:$E$201,$AB1000)&amp;"",IF($Z1000="F","Personnel "&amp;INDEX(FTE_Allocation!$A$2:$A$201,$AB1000)&amp;IF(INDEX(FTE_Allocation!$D$2:$D$201,$AB1000)="PROJECT"," ("&amp;INDEX(FTE_Allocation!$E$2:$E$201,$AB1000)&amp;")",""),"")))</f>
        <v/>
      </c>
      <c r="H1000" s="7">
        <f>IF($Z1000="C","CONTRACT",IF($Z1000="A","ASSET",IF($Z1000="F","WORKFORCE","")))</f>
        <v/>
      </c>
      <c r="I1000" s="7">
        <f>IF($Z1000="C",INDEX(Contracts!$L$2:$L$151,$AB1000)&amp;"",IF($Z1000="A",INDEX(Fixed_Assets!$I$2:$I$201,$AB1000)&amp;"",IF($Z1000="F",INDEX(Workforce!$G$2:$G$151,MATCH(INDEX(FTE_Allocation!$A$2:$A$201,$AB1000),Workforce!$A$2:$A$151,0))&amp;"","")))</f>
        <v/>
      </c>
      <c r="J1000" s="18">
        <f>IF($Z1000="","",IF(AND(DATE($AD1000,1,1)&gt;=$AE1000,DATE($AD1000,1,1)&lt;=$AF1000),ROUND($AG1000,2),0))</f>
        <v/>
      </c>
      <c r="K1000" s="18">
        <f>IF($Z1000="","",IF(AND(DATE($AD1000,2,1)&gt;=$AE1000,DATE($AD1000,2,1)&lt;=$AF1000),ROUND($AG1000,2),0))</f>
        <v/>
      </c>
      <c r="L1000" s="18">
        <f>IF($Z1000="","",IF(AND(DATE($AD1000,3,1)&gt;=$AE1000,DATE($AD1000,3,1)&lt;=$AF1000),ROUND($AG1000,2),0))</f>
        <v/>
      </c>
      <c r="M1000" s="18">
        <f>IF($Z1000="","",IF(AND(DATE($AD1000,4,1)&gt;=$AE1000,DATE($AD1000,4,1)&lt;=$AF1000),ROUND($AG1000,2),0))</f>
        <v/>
      </c>
      <c r="N1000" s="18">
        <f>IF($Z1000="","",IF(AND(DATE($AD1000,5,1)&gt;=$AE1000,DATE($AD1000,5,1)&lt;=$AF1000),ROUND($AG1000,2),0))</f>
        <v/>
      </c>
      <c r="O1000" s="18">
        <f>IF($Z1000="","",IF(AND(DATE($AD1000,6,1)&gt;=$AE1000,DATE($AD1000,6,1)&lt;=$AF1000),ROUND($AG1000,2),0))</f>
        <v/>
      </c>
      <c r="P1000" s="18">
        <f>IF($Z1000="","",IF(AND(DATE($AD1000,7,1)&gt;=$AE1000,DATE($AD1000,7,1)&lt;=$AF1000),ROUND($AG1000,2),0))</f>
        <v/>
      </c>
      <c r="Q1000" s="18">
        <f>IF($Z1000="","",IF(AND(DATE($AD1000,8,1)&gt;=$AE1000,DATE($AD1000,8,1)&lt;=$AF1000),ROUND($AG1000,2),0))</f>
        <v/>
      </c>
      <c r="R1000" s="18">
        <f>IF($Z1000="","",IF(AND(DATE($AD1000,9,1)&gt;=$AE1000,DATE($AD1000,9,1)&lt;=$AF1000),ROUND($AG1000,2),0))</f>
        <v/>
      </c>
      <c r="S1000" s="18">
        <f>IF($Z1000="","",IF(AND(DATE($AD1000,10,1)&gt;=$AE1000,DATE($AD1000,10,1)&lt;=$AF1000),ROUND($AG1000,2),0))</f>
        <v/>
      </c>
      <c r="T1000" s="18">
        <f>IF($Z1000="","",IF(AND(DATE($AD1000,11,1)&gt;=$AE1000,DATE($AD1000,11,1)&lt;=$AF1000),ROUND($AG1000,2),0))</f>
        <v/>
      </c>
      <c r="U1000" s="18">
        <f>IF($Z1000="","",IF(AND(DATE($AD1000,12,1)&gt;=$AE1000,DATE($AD1000,12,1)&lt;=$AF1000),ROUND($AG1000,2),0))</f>
        <v/>
      </c>
      <c r="V1000" s="7">
        <f>IF($Z1000="C","Generated from "&amp;INDEX(Contracts!$A$2:$A$151,$AB1000),IF($Z1000="A","Generated from "&amp;INDEX(Fixed_Assets!$A$2:$A$201,$AB1000),IF($Z1000="F","Generated from "&amp;INDEX(FTE_Allocation!$A$2:$A$201,$AB1000),"")))</f>
        <v/>
      </c>
      <c r="X1000" s="19">
        <f>IF($Z1000="","",SUM(J1000:U1000))</f>
        <v/>
      </c>
      <c r="Y1000" s="20">
        <f>ROW()-1</f>
        <v/>
      </c>
      <c r="Z1000" s="20">
        <f>IF($Y1000&lt;=Settings!$B$4*3,"C",IF($Y1000&lt;=(Settings!$B$4+Settings!$B$5)*3,"A",IF($Y1000&lt;=(Settings!$B$4+Settings!$B$5+Settings!$B$6)*3,"F","")))</f>
        <v/>
      </c>
      <c r="AA1000" s="20">
        <f>IF($Z1000="C",$Y1000,IF($Z1000="A",$Y1000-Settings!$B$4*3,IF($Z1000="F",$Y1000-(Settings!$B$4+Settings!$B$5)*3,"")))</f>
        <v/>
      </c>
      <c r="AB1000" s="20">
        <f>IF($Z1000="","",INT(($AA1000-1)/3)+1)</f>
        <v/>
      </c>
      <c r="AC1000" s="20">
        <f>IF($Z1000="","",MOD($AA1000-1,3)+1)</f>
        <v/>
      </c>
      <c r="AD1000" s="20">
        <f>IF($Z1000="","",Settings!$B$2+$AC1000-1)</f>
        <v/>
      </c>
      <c r="AE1000" s="21">
        <f>IF($Z1000="C",DATE(YEAR(INDEX(Contracts!$J$2:$J$151,$AB1000)),MONTH(INDEX(Contracts!$J$2:$J$151,$AB1000)),1),IF($Z1000="A",DATE(YEAR(INDEX(Fixed_Assets!$G$2:$G$201,$AB1000)),MONTH(INDEX(Fixed_Assets!$G$2:$G$201,$AB1000)),1),IF($Z1000="F",DATE(YEAR(MAX(N(INDEX(Workforce!$I$2:$I$151,MATCH(INDEX(FTE_Allocation!$A$2:$A$201,$AB1000),Workforce!$A$2:$A$151,0))),N(INDEX(FTE_Allocation!$I$2:$I$201,$AB1000)))),MONTH(MAX(N(INDEX(Workforce!$I$2:$I$151,MATCH(INDEX(FTE_Allocation!$A$2:$A$201,$AB1000),Workforce!$A$2:$A$151,0))),N(INDEX(FTE_Allocation!$I$2:$I$201,$AB1000)))),1),"")))</f>
        <v/>
      </c>
      <c r="AF1000" s="21">
        <f>IF($Z1000="C",IF(INDEX(Contracts!$I$2:$I$151,$AB1000)="PREPAID",EDATE(DATE(YEAR(INDEX(Contracts!$J$2:$J$151,$AB1000)),MONTH(INDEX(Contracts!$J$2:$J$151,$AB1000)),1),IF(INDEX(Contracts!$N$2:$N$151,$AB1000)="",12,INDEX(Contracts!$N$2:$N$151,$AB1000))-1),IF(INDEX(Contracts!$I$2:$I$151,$AB1000)="MONTHLY",IF(INDEX(Contracts!$K$2:$K$151,$AB1000)="",2958101,INDEX(Contracts!$K$2:$K$151,$AB1000)),0)),IF($Z1000="A",EDATE(DATE(YEAR(INDEX(Fixed_Assets!$G$2:$G$201,$AB1000)),MONTH(INDEX(Fixed_Assets!$G$2:$G$201,$AB1000)),1),INDEX(Fixed_Assets!$J$2:$J$201,$AB1000)-1),IF($Z1000="F",MIN(IF(INDEX(Workforce!$J$2:$J$151,MATCH(INDEX(FTE_Allocation!$A$2:$A$201,$AB1000),Workforce!$A$2:$A$151,0))="",2958101,INDEX(Workforce!$J$2:$J$151,MATCH(INDEX(FTE_Allocation!$A$2:$A$201,$AB1000),Workforce!$A$2:$A$151,0))),IF(INDEX(FTE_Allocation!$J$2:$J$201,$AB1000)="",2958101,INDEX(FTE_Allocation!$J$2:$J$201,$AB1000))),"")))</f>
        <v/>
      </c>
      <c r="AG1000" s="19">
        <f>IF($Z1000="C",IF(INDEX(Contracts!$I$2:$I$151,$AB1000)="PREPAID",INDEX(Contracts!$M$2:$M$151,$AB1000)/IF(INDEX(Contracts!$N$2:$N$151,$AB1000)="",12,INDEX(Contracts!$N$2:$N$151,$AB1000)),IF(INDEX(Contracts!$I$2:$I$151,$AB1000)="MONTHLY",INDEX(Contracts!$M$2:$M$151,$AB1000),0))*(1-N(INDEX(Contracts!$O$2:$O$151,$AB1000))),IF($Z1000="A",INDEX(Fixed_Assets!$H$2:$H$201,$AB1000)/INDEX(Fixed_Assets!$J$2:$J$201,$AB1000),IF($Z1000="F",INDEX(Workforce!$F$2:$F$151,MATCH(INDEX(FTE_Allocation!$A$2:$A$201,$AB1000),Workforce!$A$2:$A$151,0))*N(INDEX(FTE_Allocation!$F$2:$H$201,$AB1000,$AC1000)),"")))</f>
        <v/>
      </c>
    </row>
    <row r="1001">
      <c r="A1001" s="7">
        <f>IF($Z1001="","",$AD1001)</f>
        <v/>
      </c>
      <c r="B1001" s="7">
        <f>IF($Z1001="C",INDEX(Contracts!$D$2:$D$151,$AB1001)&amp;"",IF($Z1001="A",INDEX(Fixed_Assets!$C$2:$C$201,$AB1001)&amp;"",IF($Z1001="F",INDEX(Workforce!$B$2:$B$151,MATCH(INDEX(FTE_Allocation!$A$2:$A$201,$AB1001),Workforce!$A$2:$A$151,0))&amp;"","")))</f>
        <v/>
      </c>
      <c r="C1001" s="7">
        <f>IF($Z1001="C",INDEX(Contracts!$E$2:$E$151,$AB1001)&amp;"",IF($Z1001="A",INDEX(Fixed_Assets!$D$2:$D$201,$AB1001)&amp;"",IF($Z1001="F",INDEX(FTE_Allocation!$C$2:$C$201,$AB1001)&amp;"","")))</f>
        <v/>
      </c>
      <c r="D1001" s="7">
        <f>IF($Z1001="C",INDEX(Contracts!$B$2:$B$151,$AB1001)&amp;"",IF($Z1001="A",INDEX(Fixed_Assets!$B$2:$B$201,$AB1001)&amp;"",IF($Z1001="F",INDEX(FTE_Allocation!$B$2:$B$201,$AB1001)&amp;"","")))</f>
        <v/>
      </c>
      <c r="E1001" s="7">
        <f>IF($Z1001="C",INDEX(Contracts!$P$2:$P$151,$AB1001)&amp;"",IF($Z1001="A",INDEX(Fixed_Assets!$K$2:$K$201,$AB1001)&amp;"",IF($Z1001="F",IF(INDEX(FTE_Allocation!$D$2:$D$201,$AB1001)="PROJECT",IFERROR(INDEX(Projects!$D:$D,MATCH(INDEX(FTE_Allocation!$E$2:$E$201,$AB1001),Projects!$A:$A,0))&amp;"","#PROJECT?"),INDEX(FTE_Allocation!$E$2:$E$201,$AB1001)&amp;""),"")))</f>
        <v/>
      </c>
      <c r="F1001" s="7">
        <f>IF($Z1001="C",INDEX(Contracts!$Q$2:$Q$151,$AB1001)&amp;"",IF($Z1001="A",INDEX(Fixed_Assets!$L$2:$L$201,$AB1001)&amp;"",IF($Z1001="F",INDEX(Workforce!$K$2:$K$151,MATCH(INDEX(FTE_Allocation!$A$2:$A$201,$AB1001),Workforce!$A$2:$A$151,0))&amp;"","")))</f>
        <v/>
      </c>
      <c r="G1001" s="7">
        <f>IF($Z1001="C",INDEX(Contracts!$F$2:$F$151,$AB1001)&amp;" / "&amp;INDEX(Contracts!$G$2:$G$151,$AB1001),IF($Z1001="A",INDEX(Fixed_Assets!$E$2:$E$201,$AB1001)&amp;"",IF($Z1001="F","Personnel "&amp;INDEX(FTE_Allocation!$A$2:$A$201,$AB1001)&amp;IF(INDEX(FTE_Allocation!$D$2:$D$201,$AB1001)="PROJECT"," ("&amp;INDEX(FTE_Allocation!$E$2:$E$201,$AB1001)&amp;")",""),"")))</f>
        <v/>
      </c>
      <c r="H1001" s="7">
        <f>IF($Z1001="C","CONTRACT",IF($Z1001="A","ASSET",IF($Z1001="F","WORKFORCE","")))</f>
        <v/>
      </c>
      <c r="I1001" s="7">
        <f>IF($Z1001="C",INDEX(Contracts!$L$2:$L$151,$AB1001)&amp;"",IF($Z1001="A",INDEX(Fixed_Assets!$I$2:$I$201,$AB1001)&amp;"",IF($Z1001="F",INDEX(Workforce!$G$2:$G$151,MATCH(INDEX(FTE_Allocation!$A$2:$A$201,$AB1001),Workforce!$A$2:$A$151,0))&amp;"","")))</f>
        <v/>
      </c>
      <c r="J1001" s="18">
        <f>IF($Z1001="","",IF(AND(DATE($AD1001,1,1)&gt;=$AE1001,DATE($AD1001,1,1)&lt;=$AF1001),ROUND($AG1001,2),0))</f>
        <v/>
      </c>
      <c r="K1001" s="18">
        <f>IF($Z1001="","",IF(AND(DATE($AD1001,2,1)&gt;=$AE1001,DATE($AD1001,2,1)&lt;=$AF1001),ROUND($AG1001,2),0))</f>
        <v/>
      </c>
      <c r="L1001" s="18">
        <f>IF($Z1001="","",IF(AND(DATE($AD1001,3,1)&gt;=$AE1001,DATE($AD1001,3,1)&lt;=$AF1001),ROUND($AG1001,2),0))</f>
        <v/>
      </c>
      <c r="M1001" s="18">
        <f>IF($Z1001="","",IF(AND(DATE($AD1001,4,1)&gt;=$AE1001,DATE($AD1001,4,1)&lt;=$AF1001),ROUND($AG1001,2),0))</f>
        <v/>
      </c>
      <c r="N1001" s="18">
        <f>IF($Z1001="","",IF(AND(DATE($AD1001,5,1)&gt;=$AE1001,DATE($AD1001,5,1)&lt;=$AF1001),ROUND($AG1001,2),0))</f>
        <v/>
      </c>
      <c r="O1001" s="18">
        <f>IF($Z1001="","",IF(AND(DATE($AD1001,6,1)&gt;=$AE1001,DATE($AD1001,6,1)&lt;=$AF1001),ROUND($AG1001,2),0))</f>
        <v/>
      </c>
      <c r="P1001" s="18">
        <f>IF($Z1001="","",IF(AND(DATE($AD1001,7,1)&gt;=$AE1001,DATE($AD1001,7,1)&lt;=$AF1001),ROUND($AG1001,2),0))</f>
        <v/>
      </c>
      <c r="Q1001" s="18">
        <f>IF($Z1001="","",IF(AND(DATE($AD1001,8,1)&gt;=$AE1001,DATE($AD1001,8,1)&lt;=$AF1001),ROUND($AG1001,2),0))</f>
        <v/>
      </c>
      <c r="R1001" s="18">
        <f>IF($Z1001="","",IF(AND(DATE($AD1001,9,1)&gt;=$AE1001,DATE($AD1001,9,1)&lt;=$AF1001),ROUND($AG1001,2),0))</f>
        <v/>
      </c>
      <c r="S1001" s="18">
        <f>IF($Z1001="","",IF(AND(DATE($AD1001,10,1)&gt;=$AE1001,DATE($AD1001,10,1)&lt;=$AF1001),ROUND($AG1001,2),0))</f>
        <v/>
      </c>
      <c r="T1001" s="18">
        <f>IF($Z1001="","",IF(AND(DATE($AD1001,11,1)&gt;=$AE1001,DATE($AD1001,11,1)&lt;=$AF1001),ROUND($AG1001,2),0))</f>
        <v/>
      </c>
      <c r="U1001" s="18">
        <f>IF($Z1001="","",IF(AND(DATE($AD1001,12,1)&gt;=$AE1001,DATE($AD1001,12,1)&lt;=$AF1001),ROUND($AG1001,2),0))</f>
        <v/>
      </c>
      <c r="V1001" s="7">
        <f>IF($Z1001="C","Generated from "&amp;INDEX(Contracts!$A$2:$A$151,$AB1001),IF($Z1001="A","Generated from "&amp;INDEX(Fixed_Assets!$A$2:$A$201,$AB1001),IF($Z1001="F","Generated from "&amp;INDEX(FTE_Allocation!$A$2:$A$201,$AB1001),"")))</f>
        <v/>
      </c>
      <c r="X1001" s="19">
        <f>IF($Z1001="","",SUM(J1001:U1001))</f>
        <v/>
      </c>
      <c r="Y1001" s="20">
        <f>ROW()-1</f>
        <v/>
      </c>
      <c r="Z1001" s="20">
        <f>IF($Y1001&lt;=Settings!$B$4*3,"C",IF($Y1001&lt;=(Settings!$B$4+Settings!$B$5)*3,"A",IF($Y1001&lt;=(Settings!$B$4+Settings!$B$5+Settings!$B$6)*3,"F","")))</f>
        <v/>
      </c>
      <c r="AA1001" s="20">
        <f>IF($Z1001="C",$Y1001,IF($Z1001="A",$Y1001-Settings!$B$4*3,IF($Z1001="F",$Y1001-(Settings!$B$4+Settings!$B$5)*3,"")))</f>
        <v/>
      </c>
      <c r="AB1001" s="20">
        <f>IF($Z1001="","",INT(($AA1001-1)/3)+1)</f>
        <v/>
      </c>
      <c r="AC1001" s="20">
        <f>IF($Z1001="","",MOD($AA1001-1,3)+1)</f>
        <v/>
      </c>
      <c r="AD1001" s="20">
        <f>IF($Z1001="","",Settings!$B$2+$AC1001-1)</f>
        <v/>
      </c>
      <c r="AE1001" s="21">
        <f>IF($Z1001="C",DATE(YEAR(INDEX(Contracts!$J$2:$J$151,$AB1001)),MONTH(INDEX(Contracts!$J$2:$J$151,$AB1001)),1),IF($Z1001="A",DATE(YEAR(INDEX(Fixed_Assets!$G$2:$G$201,$AB1001)),MONTH(INDEX(Fixed_Assets!$G$2:$G$201,$AB1001)),1),IF($Z1001="F",DATE(YEAR(MAX(N(INDEX(Workforce!$I$2:$I$151,MATCH(INDEX(FTE_Allocation!$A$2:$A$201,$AB1001),Workforce!$A$2:$A$151,0))),N(INDEX(FTE_Allocation!$I$2:$I$201,$AB1001)))),MONTH(MAX(N(INDEX(Workforce!$I$2:$I$151,MATCH(INDEX(FTE_Allocation!$A$2:$A$201,$AB1001),Workforce!$A$2:$A$151,0))),N(INDEX(FTE_Allocation!$I$2:$I$201,$AB1001)))),1),"")))</f>
        <v/>
      </c>
      <c r="AF1001" s="21">
        <f>IF($Z1001="C",IF(INDEX(Contracts!$I$2:$I$151,$AB1001)="PREPAID",EDATE(DATE(YEAR(INDEX(Contracts!$J$2:$J$151,$AB1001)),MONTH(INDEX(Contracts!$J$2:$J$151,$AB1001)),1),IF(INDEX(Contracts!$N$2:$N$151,$AB1001)="",12,INDEX(Contracts!$N$2:$N$151,$AB1001))-1),IF(INDEX(Contracts!$I$2:$I$151,$AB1001)="MONTHLY",IF(INDEX(Contracts!$K$2:$K$151,$AB1001)="",2958101,INDEX(Contracts!$K$2:$K$151,$AB1001)),0)),IF($Z1001="A",EDATE(DATE(YEAR(INDEX(Fixed_Assets!$G$2:$G$201,$AB1001)),MONTH(INDEX(Fixed_Assets!$G$2:$G$201,$AB1001)),1),INDEX(Fixed_Assets!$J$2:$J$201,$AB1001)-1),IF($Z1001="F",MIN(IF(INDEX(Workforce!$J$2:$J$151,MATCH(INDEX(FTE_Allocation!$A$2:$A$201,$AB1001),Workforce!$A$2:$A$151,0))="",2958101,INDEX(Workforce!$J$2:$J$151,MATCH(INDEX(FTE_Allocation!$A$2:$A$201,$AB1001),Workforce!$A$2:$A$151,0))),IF(INDEX(FTE_Allocation!$J$2:$J$201,$AB1001)="",2958101,INDEX(FTE_Allocation!$J$2:$J$201,$AB1001))),"")))</f>
        <v/>
      </c>
      <c r="AG1001" s="19">
        <f>IF($Z1001="C",IF(INDEX(Contracts!$I$2:$I$151,$AB1001)="PREPAID",INDEX(Contracts!$M$2:$M$151,$AB1001)/IF(INDEX(Contracts!$N$2:$N$151,$AB1001)="",12,INDEX(Contracts!$N$2:$N$151,$AB1001)),IF(INDEX(Contracts!$I$2:$I$151,$AB1001)="MONTHLY",INDEX(Contracts!$M$2:$M$151,$AB1001),0))*(1-N(INDEX(Contracts!$O$2:$O$151,$AB1001))),IF($Z1001="A",INDEX(Fixed_Assets!$H$2:$H$201,$AB1001)/INDEX(Fixed_Assets!$J$2:$J$201,$AB1001),IF($Z1001="F",INDEX(Workforce!$F$2:$F$151,MATCH(INDEX(FTE_Allocation!$A$2:$A$201,$AB1001),Workforce!$A$2:$A$151,0))*N(INDEX(FTE_Allocation!$F$2:$H$201,$AB1001,$AC1001)),"")))</f>
        <v/>
      </c>
    </row>
    <row r="1002">
      <c r="A1002" s="7">
        <f>IF($Z1002="","",$AD1002)</f>
        <v/>
      </c>
      <c r="B1002" s="7">
        <f>IF($Z1002="C",INDEX(Contracts!$D$2:$D$151,$AB1002)&amp;"",IF($Z1002="A",INDEX(Fixed_Assets!$C$2:$C$201,$AB1002)&amp;"",IF($Z1002="F",INDEX(Workforce!$B$2:$B$151,MATCH(INDEX(FTE_Allocation!$A$2:$A$201,$AB1002),Workforce!$A$2:$A$151,0))&amp;"","")))</f>
        <v/>
      </c>
      <c r="C1002" s="7">
        <f>IF($Z1002="C",INDEX(Contracts!$E$2:$E$151,$AB1002)&amp;"",IF($Z1002="A",INDEX(Fixed_Assets!$D$2:$D$201,$AB1002)&amp;"",IF($Z1002="F",INDEX(FTE_Allocation!$C$2:$C$201,$AB1002)&amp;"","")))</f>
        <v/>
      </c>
      <c r="D1002" s="7">
        <f>IF($Z1002="C",INDEX(Contracts!$B$2:$B$151,$AB1002)&amp;"",IF($Z1002="A",INDEX(Fixed_Assets!$B$2:$B$201,$AB1002)&amp;"",IF($Z1002="F",INDEX(FTE_Allocation!$B$2:$B$201,$AB1002)&amp;"","")))</f>
        <v/>
      </c>
      <c r="E1002" s="7">
        <f>IF($Z1002="C",INDEX(Contracts!$P$2:$P$151,$AB1002)&amp;"",IF($Z1002="A",INDEX(Fixed_Assets!$K$2:$K$201,$AB1002)&amp;"",IF($Z1002="F",IF(INDEX(FTE_Allocation!$D$2:$D$201,$AB1002)="PROJECT",IFERROR(INDEX(Projects!$D:$D,MATCH(INDEX(FTE_Allocation!$E$2:$E$201,$AB1002),Projects!$A:$A,0))&amp;"","#PROJECT?"),INDEX(FTE_Allocation!$E$2:$E$201,$AB1002)&amp;""),"")))</f>
        <v/>
      </c>
      <c r="F1002" s="7">
        <f>IF($Z1002="C",INDEX(Contracts!$Q$2:$Q$151,$AB1002)&amp;"",IF($Z1002="A",INDEX(Fixed_Assets!$L$2:$L$201,$AB1002)&amp;"",IF($Z1002="F",INDEX(Workforce!$K$2:$K$151,MATCH(INDEX(FTE_Allocation!$A$2:$A$201,$AB1002),Workforce!$A$2:$A$151,0))&amp;"","")))</f>
        <v/>
      </c>
      <c r="G1002" s="7">
        <f>IF($Z1002="C",INDEX(Contracts!$F$2:$F$151,$AB1002)&amp;" / "&amp;INDEX(Contracts!$G$2:$G$151,$AB1002),IF($Z1002="A",INDEX(Fixed_Assets!$E$2:$E$201,$AB1002)&amp;"",IF($Z1002="F","Personnel "&amp;INDEX(FTE_Allocation!$A$2:$A$201,$AB1002)&amp;IF(INDEX(FTE_Allocation!$D$2:$D$201,$AB1002)="PROJECT"," ("&amp;INDEX(FTE_Allocation!$E$2:$E$201,$AB1002)&amp;")",""),"")))</f>
        <v/>
      </c>
      <c r="H1002" s="7">
        <f>IF($Z1002="C","CONTRACT",IF($Z1002="A","ASSET",IF($Z1002="F","WORKFORCE","")))</f>
        <v/>
      </c>
      <c r="I1002" s="7">
        <f>IF($Z1002="C",INDEX(Contracts!$L$2:$L$151,$AB1002)&amp;"",IF($Z1002="A",INDEX(Fixed_Assets!$I$2:$I$201,$AB1002)&amp;"",IF($Z1002="F",INDEX(Workforce!$G$2:$G$151,MATCH(INDEX(FTE_Allocation!$A$2:$A$201,$AB1002),Workforce!$A$2:$A$151,0))&amp;"","")))</f>
        <v/>
      </c>
      <c r="J1002" s="18">
        <f>IF($Z1002="","",IF(AND(DATE($AD1002,1,1)&gt;=$AE1002,DATE($AD1002,1,1)&lt;=$AF1002),ROUND($AG1002,2),0))</f>
        <v/>
      </c>
      <c r="K1002" s="18">
        <f>IF($Z1002="","",IF(AND(DATE($AD1002,2,1)&gt;=$AE1002,DATE($AD1002,2,1)&lt;=$AF1002),ROUND($AG1002,2),0))</f>
        <v/>
      </c>
      <c r="L1002" s="18">
        <f>IF($Z1002="","",IF(AND(DATE($AD1002,3,1)&gt;=$AE1002,DATE($AD1002,3,1)&lt;=$AF1002),ROUND($AG1002,2),0))</f>
        <v/>
      </c>
      <c r="M1002" s="18">
        <f>IF($Z1002="","",IF(AND(DATE($AD1002,4,1)&gt;=$AE1002,DATE($AD1002,4,1)&lt;=$AF1002),ROUND($AG1002,2),0))</f>
        <v/>
      </c>
      <c r="N1002" s="18">
        <f>IF($Z1002="","",IF(AND(DATE($AD1002,5,1)&gt;=$AE1002,DATE($AD1002,5,1)&lt;=$AF1002),ROUND($AG1002,2),0))</f>
        <v/>
      </c>
      <c r="O1002" s="18">
        <f>IF($Z1002="","",IF(AND(DATE($AD1002,6,1)&gt;=$AE1002,DATE($AD1002,6,1)&lt;=$AF1002),ROUND($AG1002,2),0))</f>
        <v/>
      </c>
      <c r="P1002" s="18">
        <f>IF($Z1002="","",IF(AND(DATE($AD1002,7,1)&gt;=$AE1002,DATE($AD1002,7,1)&lt;=$AF1002),ROUND($AG1002,2),0))</f>
        <v/>
      </c>
      <c r="Q1002" s="18">
        <f>IF($Z1002="","",IF(AND(DATE($AD1002,8,1)&gt;=$AE1002,DATE($AD1002,8,1)&lt;=$AF1002),ROUND($AG1002,2),0))</f>
        <v/>
      </c>
      <c r="R1002" s="18">
        <f>IF($Z1002="","",IF(AND(DATE($AD1002,9,1)&gt;=$AE1002,DATE($AD1002,9,1)&lt;=$AF1002),ROUND($AG1002,2),0))</f>
        <v/>
      </c>
      <c r="S1002" s="18">
        <f>IF($Z1002="","",IF(AND(DATE($AD1002,10,1)&gt;=$AE1002,DATE($AD1002,10,1)&lt;=$AF1002),ROUND($AG1002,2),0))</f>
        <v/>
      </c>
      <c r="T1002" s="18">
        <f>IF($Z1002="","",IF(AND(DATE($AD1002,11,1)&gt;=$AE1002,DATE($AD1002,11,1)&lt;=$AF1002),ROUND($AG1002,2),0))</f>
        <v/>
      </c>
      <c r="U1002" s="18">
        <f>IF($Z1002="","",IF(AND(DATE($AD1002,12,1)&gt;=$AE1002,DATE($AD1002,12,1)&lt;=$AF1002),ROUND($AG1002,2),0))</f>
        <v/>
      </c>
      <c r="V1002" s="7">
        <f>IF($Z1002="C","Generated from "&amp;INDEX(Contracts!$A$2:$A$151,$AB1002),IF($Z1002="A","Generated from "&amp;INDEX(Fixed_Assets!$A$2:$A$201,$AB1002),IF($Z1002="F","Generated from "&amp;INDEX(FTE_Allocation!$A$2:$A$201,$AB1002),"")))</f>
        <v/>
      </c>
      <c r="X1002" s="19">
        <f>IF($Z1002="","",SUM(J1002:U1002))</f>
        <v/>
      </c>
      <c r="Y1002" s="20">
        <f>ROW()-1</f>
        <v/>
      </c>
      <c r="Z1002" s="20">
        <f>IF($Y1002&lt;=Settings!$B$4*3,"C",IF($Y1002&lt;=(Settings!$B$4+Settings!$B$5)*3,"A",IF($Y1002&lt;=(Settings!$B$4+Settings!$B$5+Settings!$B$6)*3,"F","")))</f>
        <v/>
      </c>
      <c r="AA1002" s="20">
        <f>IF($Z1002="C",$Y1002,IF($Z1002="A",$Y1002-Settings!$B$4*3,IF($Z1002="F",$Y1002-(Settings!$B$4+Settings!$B$5)*3,"")))</f>
        <v/>
      </c>
      <c r="AB1002" s="20">
        <f>IF($Z1002="","",INT(($AA1002-1)/3)+1)</f>
        <v/>
      </c>
      <c r="AC1002" s="20">
        <f>IF($Z1002="","",MOD($AA1002-1,3)+1)</f>
        <v/>
      </c>
      <c r="AD1002" s="20">
        <f>IF($Z1002="","",Settings!$B$2+$AC1002-1)</f>
        <v/>
      </c>
      <c r="AE1002" s="21">
        <f>IF($Z1002="C",DATE(YEAR(INDEX(Contracts!$J$2:$J$151,$AB1002)),MONTH(INDEX(Contracts!$J$2:$J$151,$AB1002)),1),IF($Z1002="A",DATE(YEAR(INDEX(Fixed_Assets!$G$2:$G$201,$AB1002)),MONTH(INDEX(Fixed_Assets!$G$2:$G$201,$AB1002)),1),IF($Z1002="F",DATE(YEAR(MAX(N(INDEX(Workforce!$I$2:$I$151,MATCH(INDEX(FTE_Allocation!$A$2:$A$201,$AB1002),Workforce!$A$2:$A$151,0))),N(INDEX(FTE_Allocation!$I$2:$I$201,$AB1002)))),MONTH(MAX(N(INDEX(Workforce!$I$2:$I$151,MATCH(INDEX(FTE_Allocation!$A$2:$A$201,$AB1002),Workforce!$A$2:$A$151,0))),N(INDEX(FTE_Allocation!$I$2:$I$201,$AB1002)))),1),"")))</f>
        <v/>
      </c>
      <c r="AF1002" s="21">
        <f>IF($Z1002="C",IF(INDEX(Contracts!$I$2:$I$151,$AB1002)="PREPAID",EDATE(DATE(YEAR(INDEX(Contracts!$J$2:$J$151,$AB1002)),MONTH(INDEX(Contracts!$J$2:$J$151,$AB1002)),1),IF(INDEX(Contracts!$N$2:$N$151,$AB1002)="",12,INDEX(Contracts!$N$2:$N$151,$AB1002))-1),IF(INDEX(Contracts!$I$2:$I$151,$AB1002)="MONTHLY",IF(INDEX(Contracts!$K$2:$K$151,$AB1002)="",2958101,INDEX(Contracts!$K$2:$K$151,$AB1002)),0)),IF($Z1002="A",EDATE(DATE(YEAR(INDEX(Fixed_Assets!$G$2:$G$201,$AB1002)),MONTH(INDEX(Fixed_Assets!$G$2:$G$201,$AB1002)),1),INDEX(Fixed_Assets!$J$2:$J$201,$AB1002)-1),IF($Z1002="F",MIN(IF(INDEX(Workforce!$J$2:$J$151,MATCH(INDEX(FTE_Allocation!$A$2:$A$201,$AB1002),Workforce!$A$2:$A$151,0))="",2958101,INDEX(Workforce!$J$2:$J$151,MATCH(INDEX(FTE_Allocation!$A$2:$A$201,$AB1002),Workforce!$A$2:$A$151,0))),IF(INDEX(FTE_Allocation!$J$2:$J$201,$AB1002)="",2958101,INDEX(FTE_Allocation!$J$2:$J$201,$AB1002))),"")))</f>
        <v/>
      </c>
      <c r="AG1002" s="19">
        <f>IF($Z1002="C",IF(INDEX(Contracts!$I$2:$I$151,$AB1002)="PREPAID",INDEX(Contracts!$M$2:$M$151,$AB1002)/IF(INDEX(Contracts!$N$2:$N$151,$AB1002)="",12,INDEX(Contracts!$N$2:$N$151,$AB1002)),IF(INDEX(Contracts!$I$2:$I$151,$AB1002)="MONTHLY",INDEX(Contracts!$M$2:$M$151,$AB1002),0))*(1-N(INDEX(Contracts!$O$2:$O$151,$AB1002))),IF($Z1002="A",INDEX(Fixed_Assets!$H$2:$H$201,$AB1002)/INDEX(Fixed_Assets!$J$2:$J$201,$AB1002),IF($Z1002="F",INDEX(Workforce!$F$2:$F$151,MATCH(INDEX(FTE_Allocation!$A$2:$A$201,$AB1002),Workforce!$A$2:$A$151,0))*N(INDEX(FTE_Allocation!$F$2:$H$201,$AB1002,$AC1002)),"")))</f>
        <v/>
      </c>
    </row>
    <row r="1003">
      <c r="A1003" s="7">
        <f>IF($Z1003="","",$AD1003)</f>
        <v/>
      </c>
      <c r="B1003" s="7">
        <f>IF($Z1003="C",INDEX(Contracts!$D$2:$D$151,$AB1003)&amp;"",IF($Z1003="A",INDEX(Fixed_Assets!$C$2:$C$201,$AB1003)&amp;"",IF($Z1003="F",INDEX(Workforce!$B$2:$B$151,MATCH(INDEX(FTE_Allocation!$A$2:$A$201,$AB1003),Workforce!$A$2:$A$151,0))&amp;"","")))</f>
        <v/>
      </c>
      <c r="C1003" s="7">
        <f>IF($Z1003="C",INDEX(Contracts!$E$2:$E$151,$AB1003)&amp;"",IF($Z1003="A",INDEX(Fixed_Assets!$D$2:$D$201,$AB1003)&amp;"",IF($Z1003="F",INDEX(FTE_Allocation!$C$2:$C$201,$AB1003)&amp;"","")))</f>
        <v/>
      </c>
      <c r="D1003" s="7">
        <f>IF($Z1003="C",INDEX(Contracts!$B$2:$B$151,$AB1003)&amp;"",IF($Z1003="A",INDEX(Fixed_Assets!$B$2:$B$201,$AB1003)&amp;"",IF($Z1003="F",INDEX(FTE_Allocation!$B$2:$B$201,$AB1003)&amp;"","")))</f>
        <v/>
      </c>
      <c r="E1003" s="7">
        <f>IF($Z1003="C",INDEX(Contracts!$P$2:$P$151,$AB1003)&amp;"",IF($Z1003="A",INDEX(Fixed_Assets!$K$2:$K$201,$AB1003)&amp;"",IF($Z1003="F",IF(INDEX(FTE_Allocation!$D$2:$D$201,$AB1003)="PROJECT",IFERROR(INDEX(Projects!$D:$D,MATCH(INDEX(FTE_Allocation!$E$2:$E$201,$AB1003),Projects!$A:$A,0))&amp;"","#PROJECT?"),INDEX(FTE_Allocation!$E$2:$E$201,$AB1003)&amp;""),"")))</f>
        <v/>
      </c>
      <c r="F1003" s="7">
        <f>IF($Z1003="C",INDEX(Contracts!$Q$2:$Q$151,$AB1003)&amp;"",IF($Z1003="A",INDEX(Fixed_Assets!$L$2:$L$201,$AB1003)&amp;"",IF($Z1003="F",INDEX(Workforce!$K$2:$K$151,MATCH(INDEX(FTE_Allocation!$A$2:$A$201,$AB1003),Workforce!$A$2:$A$151,0))&amp;"","")))</f>
        <v/>
      </c>
      <c r="G1003" s="7">
        <f>IF($Z1003="C",INDEX(Contracts!$F$2:$F$151,$AB1003)&amp;" / "&amp;INDEX(Contracts!$G$2:$G$151,$AB1003),IF($Z1003="A",INDEX(Fixed_Assets!$E$2:$E$201,$AB1003)&amp;"",IF($Z1003="F","Personnel "&amp;INDEX(FTE_Allocation!$A$2:$A$201,$AB1003)&amp;IF(INDEX(FTE_Allocation!$D$2:$D$201,$AB1003)="PROJECT"," ("&amp;INDEX(FTE_Allocation!$E$2:$E$201,$AB1003)&amp;")",""),"")))</f>
        <v/>
      </c>
      <c r="H1003" s="7">
        <f>IF($Z1003="C","CONTRACT",IF($Z1003="A","ASSET",IF($Z1003="F","WORKFORCE","")))</f>
        <v/>
      </c>
      <c r="I1003" s="7">
        <f>IF($Z1003="C",INDEX(Contracts!$L$2:$L$151,$AB1003)&amp;"",IF($Z1003="A",INDEX(Fixed_Assets!$I$2:$I$201,$AB1003)&amp;"",IF($Z1003="F",INDEX(Workforce!$G$2:$G$151,MATCH(INDEX(FTE_Allocation!$A$2:$A$201,$AB1003),Workforce!$A$2:$A$151,0))&amp;"","")))</f>
        <v/>
      </c>
      <c r="J1003" s="18">
        <f>IF($Z1003="","",IF(AND(DATE($AD1003,1,1)&gt;=$AE1003,DATE($AD1003,1,1)&lt;=$AF1003),ROUND($AG1003,2),0))</f>
        <v/>
      </c>
      <c r="K1003" s="18">
        <f>IF($Z1003="","",IF(AND(DATE($AD1003,2,1)&gt;=$AE1003,DATE($AD1003,2,1)&lt;=$AF1003),ROUND($AG1003,2),0))</f>
        <v/>
      </c>
      <c r="L1003" s="18">
        <f>IF($Z1003="","",IF(AND(DATE($AD1003,3,1)&gt;=$AE1003,DATE($AD1003,3,1)&lt;=$AF1003),ROUND($AG1003,2),0))</f>
        <v/>
      </c>
      <c r="M1003" s="18">
        <f>IF($Z1003="","",IF(AND(DATE($AD1003,4,1)&gt;=$AE1003,DATE($AD1003,4,1)&lt;=$AF1003),ROUND($AG1003,2),0))</f>
        <v/>
      </c>
      <c r="N1003" s="18">
        <f>IF($Z1003="","",IF(AND(DATE($AD1003,5,1)&gt;=$AE1003,DATE($AD1003,5,1)&lt;=$AF1003),ROUND($AG1003,2),0))</f>
        <v/>
      </c>
      <c r="O1003" s="18">
        <f>IF($Z1003="","",IF(AND(DATE($AD1003,6,1)&gt;=$AE1003,DATE($AD1003,6,1)&lt;=$AF1003),ROUND($AG1003,2),0))</f>
        <v/>
      </c>
      <c r="P1003" s="18">
        <f>IF($Z1003="","",IF(AND(DATE($AD1003,7,1)&gt;=$AE1003,DATE($AD1003,7,1)&lt;=$AF1003),ROUND($AG1003,2),0))</f>
        <v/>
      </c>
      <c r="Q1003" s="18">
        <f>IF($Z1003="","",IF(AND(DATE($AD1003,8,1)&gt;=$AE1003,DATE($AD1003,8,1)&lt;=$AF1003),ROUND($AG1003,2),0))</f>
        <v/>
      </c>
      <c r="R1003" s="18">
        <f>IF($Z1003="","",IF(AND(DATE($AD1003,9,1)&gt;=$AE1003,DATE($AD1003,9,1)&lt;=$AF1003),ROUND($AG1003,2),0))</f>
        <v/>
      </c>
      <c r="S1003" s="18">
        <f>IF($Z1003="","",IF(AND(DATE($AD1003,10,1)&gt;=$AE1003,DATE($AD1003,10,1)&lt;=$AF1003),ROUND($AG1003,2),0))</f>
        <v/>
      </c>
      <c r="T1003" s="18">
        <f>IF($Z1003="","",IF(AND(DATE($AD1003,11,1)&gt;=$AE1003,DATE($AD1003,11,1)&lt;=$AF1003),ROUND($AG1003,2),0))</f>
        <v/>
      </c>
      <c r="U1003" s="18">
        <f>IF($Z1003="","",IF(AND(DATE($AD1003,12,1)&gt;=$AE1003,DATE($AD1003,12,1)&lt;=$AF1003),ROUND($AG1003,2),0))</f>
        <v/>
      </c>
      <c r="V1003" s="7">
        <f>IF($Z1003="C","Generated from "&amp;INDEX(Contracts!$A$2:$A$151,$AB1003),IF($Z1003="A","Generated from "&amp;INDEX(Fixed_Assets!$A$2:$A$201,$AB1003),IF($Z1003="F","Generated from "&amp;INDEX(FTE_Allocation!$A$2:$A$201,$AB1003),"")))</f>
        <v/>
      </c>
      <c r="X1003" s="19">
        <f>IF($Z1003="","",SUM(J1003:U1003))</f>
        <v/>
      </c>
      <c r="Y1003" s="20">
        <f>ROW()-1</f>
        <v/>
      </c>
      <c r="Z1003" s="20">
        <f>IF($Y1003&lt;=Settings!$B$4*3,"C",IF($Y1003&lt;=(Settings!$B$4+Settings!$B$5)*3,"A",IF($Y1003&lt;=(Settings!$B$4+Settings!$B$5+Settings!$B$6)*3,"F","")))</f>
        <v/>
      </c>
      <c r="AA1003" s="20">
        <f>IF($Z1003="C",$Y1003,IF($Z1003="A",$Y1003-Settings!$B$4*3,IF($Z1003="F",$Y1003-(Settings!$B$4+Settings!$B$5)*3,"")))</f>
        <v/>
      </c>
      <c r="AB1003" s="20">
        <f>IF($Z1003="","",INT(($AA1003-1)/3)+1)</f>
        <v/>
      </c>
      <c r="AC1003" s="20">
        <f>IF($Z1003="","",MOD($AA1003-1,3)+1)</f>
        <v/>
      </c>
      <c r="AD1003" s="20">
        <f>IF($Z1003="","",Settings!$B$2+$AC1003-1)</f>
        <v/>
      </c>
      <c r="AE1003" s="21">
        <f>IF($Z1003="C",DATE(YEAR(INDEX(Contracts!$J$2:$J$151,$AB1003)),MONTH(INDEX(Contracts!$J$2:$J$151,$AB1003)),1),IF($Z1003="A",DATE(YEAR(INDEX(Fixed_Assets!$G$2:$G$201,$AB1003)),MONTH(INDEX(Fixed_Assets!$G$2:$G$201,$AB1003)),1),IF($Z1003="F",DATE(YEAR(MAX(N(INDEX(Workforce!$I$2:$I$151,MATCH(INDEX(FTE_Allocation!$A$2:$A$201,$AB1003),Workforce!$A$2:$A$151,0))),N(INDEX(FTE_Allocation!$I$2:$I$201,$AB1003)))),MONTH(MAX(N(INDEX(Workforce!$I$2:$I$151,MATCH(INDEX(FTE_Allocation!$A$2:$A$201,$AB1003),Workforce!$A$2:$A$151,0))),N(INDEX(FTE_Allocation!$I$2:$I$201,$AB1003)))),1),"")))</f>
        <v/>
      </c>
      <c r="AF1003" s="21">
        <f>IF($Z1003="C",IF(INDEX(Contracts!$I$2:$I$151,$AB1003)="PREPAID",EDATE(DATE(YEAR(INDEX(Contracts!$J$2:$J$151,$AB1003)),MONTH(INDEX(Contracts!$J$2:$J$151,$AB1003)),1),IF(INDEX(Contracts!$N$2:$N$151,$AB1003)="",12,INDEX(Contracts!$N$2:$N$151,$AB1003))-1),IF(INDEX(Contracts!$I$2:$I$151,$AB1003)="MONTHLY",IF(INDEX(Contracts!$K$2:$K$151,$AB1003)="",2958101,INDEX(Contracts!$K$2:$K$151,$AB1003)),0)),IF($Z1003="A",EDATE(DATE(YEAR(INDEX(Fixed_Assets!$G$2:$G$201,$AB1003)),MONTH(INDEX(Fixed_Assets!$G$2:$G$201,$AB1003)),1),INDEX(Fixed_Assets!$J$2:$J$201,$AB1003)-1),IF($Z1003="F",MIN(IF(INDEX(Workforce!$J$2:$J$151,MATCH(INDEX(FTE_Allocation!$A$2:$A$201,$AB1003),Workforce!$A$2:$A$151,0))="",2958101,INDEX(Workforce!$J$2:$J$151,MATCH(INDEX(FTE_Allocation!$A$2:$A$201,$AB1003),Workforce!$A$2:$A$151,0))),IF(INDEX(FTE_Allocation!$J$2:$J$201,$AB1003)="",2958101,INDEX(FTE_Allocation!$J$2:$J$201,$AB1003))),"")))</f>
        <v/>
      </c>
      <c r="AG1003" s="19">
        <f>IF($Z1003="C",IF(INDEX(Contracts!$I$2:$I$151,$AB1003)="PREPAID",INDEX(Contracts!$M$2:$M$151,$AB1003)/IF(INDEX(Contracts!$N$2:$N$151,$AB1003)="",12,INDEX(Contracts!$N$2:$N$151,$AB1003)),IF(INDEX(Contracts!$I$2:$I$151,$AB1003)="MONTHLY",INDEX(Contracts!$M$2:$M$151,$AB1003),0))*(1-N(INDEX(Contracts!$O$2:$O$151,$AB1003))),IF($Z1003="A",INDEX(Fixed_Assets!$H$2:$H$201,$AB1003)/INDEX(Fixed_Assets!$J$2:$J$201,$AB1003),IF($Z1003="F",INDEX(Workforce!$F$2:$F$151,MATCH(INDEX(FTE_Allocation!$A$2:$A$201,$AB1003),Workforce!$A$2:$A$151,0))*N(INDEX(FTE_Allocation!$F$2:$H$201,$AB1003,$AC1003)),"")))</f>
        <v/>
      </c>
    </row>
    <row r="1004">
      <c r="A1004" s="7">
        <f>IF($Z1004="","",$AD1004)</f>
        <v/>
      </c>
      <c r="B1004" s="7">
        <f>IF($Z1004="C",INDEX(Contracts!$D$2:$D$151,$AB1004)&amp;"",IF($Z1004="A",INDEX(Fixed_Assets!$C$2:$C$201,$AB1004)&amp;"",IF($Z1004="F",INDEX(Workforce!$B$2:$B$151,MATCH(INDEX(FTE_Allocation!$A$2:$A$201,$AB1004),Workforce!$A$2:$A$151,0))&amp;"","")))</f>
        <v/>
      </c>
      <c r="C1004" s="7">
        <f>IF($Z1004="C",INDEX(Contracts!$E$2:$E$151,$AB1004)&amp;"",IF($Z1004="A",INDEX(Fixed_Assets!$D$2:$D$201,$AB1004)&amp;"",IF($Z1004="F",INDEX(FTE_Allocation!$C$2:$C$201,$AB1004)&amp;"","")))</f>
        <v/>
      </c>
      <c r="D1004" s="7">
        <f>IF($Z1004="C",INDEX(Contracts!$B$2:$B$151,$AB1004)&amp;"",IF($Z1004="A",INDEX(Fixed_Assets!$B$2:$B$201,$AB1004)&amp;"",IF($Z1004="F",INDEX(FTE_Allocation!$B$2:$B$201,$AB1004)&amp;"","")))</f>
        <v/>
      </c>
      <c r="E1004" s="7">
        <f>IF($Z1004="C",INDEX(Contracts!$P$2:$P$151,$AB1004)&amp;"",IF($Z1004="A",INDEX(Fixed_Assets!$K$2:$K$201,$AB1004)&amp;"",IF($Z1004="F",IF(INDEX(FTE_Allocation!$D$2:$D$201,$AB1004)="PROJECT",IFERROR(INDEX(Projects!$D:$D,MATCH(INDEX(FTE_Allocation!$E$2:$E$201,$AB1004),Projects!$A:$A,0))&amp;"","#PROJECT?"),INDEX(FTE_Allocation!$E$2:$E$201,$AB1004)&amp;""),"")))</f>
        <v/>
      </c>
      <c r="F1004" s="7">
        <f>IF($Z1004="C",INDEX(Contracts!$Q$2:$Q$151,$AB1004)&amp;"",IF($Z1004="A",INDEX(Fixed_Assets!$L$2:$L$201,$AB1004)&amp;"",IF($Z1004="F",INDEX(Workforce!$K$2:$K$151,MATCH(INDEX(FTE_Allocation!$A$2:$A$201,$AB1004),Workforce!$A$2:$A$151,0))&amp;"","")))</f>
        <v/>
      </c>
      <c r="G1004" s="7">
        <f>IF($Z1004="C",INDEX(Contracts!$F$2:$F$151,$AB1004)&amp;" / "&amp;INDEX(Contracts!$G$2:$G$151,$AB1004),IF($Z1004="A",INDEX(Fixed_Assets!$E$2:$E$201,$AB1004)&amp;"",IF($Z1004="F","Personnel "&amp;INDEX(FTE_Allocation!$A$2:$A$201,$AB1004)&amp;IF(INDEX(FTE_Allocation!$D$2:$D$201,$AB1004)="PROJECT"," ("&amp;INDEX(FTE_Allocation!$E$2:$E$201,$AB1004)&amp;")",""),"")))</f>
        <v/>
      </c>
      <c r="H1004" s="7">
        <f>IF($Z1004="C","CONTRACT",IF($Z1004="A","ASSET",IF($Z1004="F","WORKFORCE","")))</f>
        <v/>
      </c>
      <c r="I1004" s="7">
        <f>IF($Z1004="C",INDEX(Contracts!$L$2:$L$151,$AB1004)&amp;"",IF($Z1004="A",INDEX(Fixed_Assets!$I$2:$I$201,$AB1004)&amp;"",IF($Z1004="F",INDEX(Workforce!$G$2:$G$151,MATCH(INDEX(FTE_Allocation!$A$2:$A$201,$AB1004),Workforce!$A$2:$A$151,0))&amp;"","")))</f>
        <v/>
      </c>
      <c r="J1004" s="18">
        <f>IF($Z1004="","",IF(AND(DATE($AD1004,1,1)&gt;=$AE1004,DATE($AD1004,1,1)&lt;=$AF1004),ROUND($AG1004,2),0))</f>
        <v/>
      </c>
      <c r="K1004" s="18">
        <f>IF($Z1004="","",IF(AND(DATE($AD1004,2,1)&gt;=$AE1004,DATE($AD1004,2,1)&lt;=$AF1004),ROUND($AG1004,2),0))</f>
        <v/>
      </c>
      <c r="L1004" s="18">
        <f>IF($Z1004="","",IF(AND(DATE($AD1004,3,1)&gt;=$AE1004,DATE($AD1004,3,1)&lt;=$AF1004),ROUND($AG1004,2),0))</f>
        <v/>
      </c>
      <c r="M1004" s="18">
        <f>IF($Z1004="","",IF(AND(DATE($AD1004,4,1)&gt;=$AE1004,DATE($AD1004,4,1)&lt;=$AF1004),ROUND($AG1004,2),0))</f>
        <v/>
      </c>
      <c r="N1004" s="18">
        <f>IF($Z1004="","",IF(AND(DATE($AD1004,5,1)&gt;=$AE1004,DATE($AD1004,5,1)&lt;=$AF1004),ROUND($AG1004,2),0))</f>
        <v/>
      </c>
      <c r="O1004" s="18">
        <f>IF($Z1004="","",IF(AND(DATE($AD1004,6,1)&gt;=$AE1004,DATE($AD1004,6,1)&lt;=$AF1004),ROUND($AG1004,2),0))</f>
        <v/>
      </c>
      <c r="P1004" s="18">
        <f>IF($Z1004="","",IF(AND(DATE($AD1004,7,1)&gt;=$AE1004,DATE($AD1004,7,1)&lt;=$AF1004),ROUND($AG1004,2),0))</f>
        <v/>
      </c>
      <c r="Q1004" s="18">
        <f>IF($Z1004="","",IF(AND(DATE($AD1004,8,1)&gt;=$AE1004,DATE($AD1004,8,1)&lt;=$AF1004),ROUND($AG1004,2),0))</f>
        <v/>
      </c>
      <c r="R1004" s="18">
        <f>IF($Z1004="","",IF(AND(DATE($AD1004,9,1)&gt;=$AE1004,DATE($AD1004,9,1)&lt;=$AF1004),ROUND($AG1004,2),0))</f>
        <v/>
      </c>
      <c r="S1004" s="18">
        <f>IF($Z1004="","",IF(AND(DATE($AD1004,10,1)&gt;=$AE1004,DATE($AD1004,10,1)&lt;=$AF1004),ROUND($AG1004,2),0))</f>
        <v/>
      </c>
      <c r="T1004" s="18">
        <f>IF($Z1004="","",IF(AND(DATE($AD1004,11,1)&gt;=$AE1004,DATE($AD1004,11,1)&lt;=$AF1004),ROUND($AG1004,2),0))</f>
        <v/>
      </c>
      <c r="U1004" s="18">
        <f>IF($Z1004="","",IF(AND(DATE($AD1004,12,1)&gt;=$AE1004,DATE($AD1004,12,1)&lt;=$AF1004),ROUND($AG1004,2),0))</f>
        <v/>
      </c>
      <c r="V1004" s="7">
        <f>IF($Z1004="C","Generated from "&amp;INDEX(Contracts!$A$2:$A$151,$AB1004),IF($Z1004="A","Generated from "&amp;INDEX(Fixed_Assets!$A$2:$A$201,$AB1004),IF($Z1004="F","Generated from "&amp;INDEX(FTE_Allocation!$A$2:$A$201,$AB1004),"")))</f>
        <v/>
      </c>
      <c r="X1004" s="19">
        <f>IF($Z1004="","",SUM(J1004:U1004))</f>
        <v/>
      </c>
      <c r="Y1004" s="20">
        <f>ROW()-1</f>
        <v/>
      </c>
      <c r="Z1004" s="20">
        <f>IF($Y1004&lt;=Settings!$B$4*3,"C",IF($Y1004&lt;=(Settings!$B$4+Settings!$B$5)*3,"A",IF($Y1004&lt;=(Settings!$B$4+Settings!$B$5+Settings!$B$6)*3,"F","")))</f>
        <v/>
      </c>
      <c r="AA1004" s="20">
        <f>IF($Z1004="C",$Y1004,IF($Z1004="A",$Y1004-Settings!$B$4*3,IF($Z1004="F",$Y1004-(Settings!$B$4+Settings!$B$5)*3,"")))</f>
        <v/>
      </c>
      <c r="AB1004" s="20">
        <f>IF($Z1004="","",INT(($AA1004-1)/3)+1)</f>
        <v/>
      </c>
      <c r="AC1004" s="20">
        <f>IF($Z1004="","",MOD($AA1004-1,3)+1)</f>
        <v/>
      </c>
      <c r="AD1004" s="20">
        <f>IF($Z1004="","",Settings!$B$2+$AC1004-1)</f>
        <v/>
      </c>
      <c r="AE1004" s="21">
        <f>IF($Z1004="C",DATE(YEAR(INDEX(Contracts!$J$2:$J$151,$AB1004)),MONTH(INDEX(Contracts!$J$2:$J$151,$AB1004)),1),IF($Z1004="A",DATE(YEAR(INDEX(Fixed_Assets!$G$2:$G$201,$AB1004)),MONTH(INDEX(Fixed_Assets!$G$2:$G$201,$AB1004)),1),IF($Z1004="F",DATE(YEAR(MAX(N(INDEX(Workforce!$I$2:$I$151,MATCH(INDEX(FTE_Allocation!$A$2:$A$201,$AB1004),Workforce!$A$2:$A$151,0))),N(INDEX(FTE_Allocation!$I$2:$I$201,$AB1004)))),MONTH(MAX(N(INDEX(Workforce!$I$2:$I$151,MATCH(INDEX(FTE_Allocation!$A$2:$A$201,$AB1004),Workforce!$A$2:$A$151,0))),N(INDEX(FTE_Allocation!$I$2:$I$201,$AB1004)))),1),"")))</f>
        <v/>
      </c>
      <c r="AF1004" s="21">
        <f>IF($Z1004="C",IF(INDEX(Contracts!$I$2:$I$151,$AB1004)="PREPAID",EDATE(DATE(YEAR(INDEX(Contracts!$J$2:$J$151,$AB1004)),MONTH(INDEX(Contracts!$J$2:$J$151,$AB1004)),1),IF(INDEX(Contracts!$N$2:$N$151,$AB1004)="",12,INDEX(Contracts!$N$2:$N$151,$AB1004))-1),IF(INDEX(Contracts!$I$2:$I$151,$AB1004)="MONTHLY",IF(INDEX(Contracts!$K$2:$K$151,$AB1004)="",2958101,INDEX(Contracts!$K$2:$K$151,$AB1004)),0)),IF($Z1004="A",EDATE(DATE(YEAR(INDEX(Fixed_Assets!$G$2:$G$201,$AB1004)),MONTH(INDEX(Fixed_Assets!$G$2:$G$201,$AB1004)),1),INDEX(Fixed_Assets!$J$2:$J$201,$AB1004)-1),IF($Z1004="F",MIN(IF(INDEX(Workforce!$J$2:$J$151,MATCH(INDEX(FTE_Allocation!$A$2:$A$201,$AB1004),Workforce!$A$2:$A$151,0))="",2958101,INDEX(Workforce!$J$2:$J$151,MATCH(INDEX(FTE_Allocation!$A$2:$A$201,$AB1004),Workforce!$A$2:$A$151,0))),IF(INDEX(FTE_Allocation!$J$2:$J$201,$AB1004)="",2958101,INDEX(FTE_Allocation!$J$2:$J$201,$AB1004))),"")))</f>
        <v/>
      </c>
      <c r="AG1004" s="19">
        <f>IF($Z1004="C",IF(INDEX(Contracts!$I$2:$I$151,$AB1004)="PREPAID",INDEX(Contracts!$M$2:$M$151,$AB1004)/IF(INDEX(Contracts!$N$2:$N$151,$AB1004)="",12,INDEX(Contracts!$N$2:$N$151,$AB1004)),IF(INDEX(Contracts!$I$2:$I$151,$AB1004)="MONTHLY",INDEX(Contracts!$M$2:$M$151,$AB1004),0))*(1-N(INDEX(Contracts!$O$2:$O$151,$AB1004))),IF($Z1004="A",INDEX(Fixed_Assets!$H$2:$H$201,$AB1004)/INDEX(Fixed_Assets!$J$2:$J$201,$AB1004),IF($Z1004="F",INDEX(Workforce!$F$2:$F$151,MATCH(INDEX(FTE_Allocation!$A$2:$A$201,$AB1004),Workforce!$A$2:$A$151,0))*N(INDEX(FTE_Allocation!$F$2:$H$201,$AB1004,$AC1004)),"")))</f>
        <v/>
      </c>
    </row>
    <row r="1005">
      <c r="A1005" s="7">
        <f>IF($Z1005="","",$AD1005)</f>
        <v/>
      </c>
      <c r="B1005" s="7">
        <f>IF($Z1005="C",INDEX(Contracts!$D$2:$D$151,$AB1005)&amp;"",IF($Z1005="A",INDEX(Fixed_Assets!$C$2:$C$201,$AB1005)&amp;"",IF($Z1005="F",INDEX(Workforce!$B$2:$B$151,MATCH(INDEX(FTE_Allocation!$A$2:$A$201,$AB1005),Workforce!$A$2:$A$151,0))&amp;"","")))</f>
        <v/>
      </c>
      <c r="C1005" s="7">
        <f>IF($Z1005="C",INDEX(Contracts!$E$2:$E$151,$AB1005)&amp;"",IF($Z1005="A",INDEX(Fixed_Assets!$D$2:$D$201,$AB1005)&amp;"",IF($Z1005="F",INDEX(FTE_Allocation!$C$2:$C$201,$AB1005)&amp;"","")))</f>
        <v/>
      </c>
      <c r="D1005" s="7">
        <f>IF($Z1005="C",INDEX(Contracts!$B$2:$B$151,$AB1005)&amp;"",IF($Z1005="A",INDEX(Fixed_Assets!$B$2:$B$201,$AB1005)&amp;"",IF($Z1005="F",INDEX(FTE_Allocation!$B$2:$B$201,$AB1005)&amp;"","")))</f>
        <v/>
      </c>
      <c r="E1005" s="7">
        <f>IF($Z1005="C",INDEX(Contracts!$P$2:$P$151,$AB1005)&amp;"",IF($Z1005="A",INDEX(Fixed_Assets!$K$2:$K$201,$AB1005)&amp;"",IF($Z1005="F",IF(INDEX(FTE_Allocation!$D$2:$D$201,$AB1005)="PROJECT",IFERROR(INDEX(Projects!$D:$D,MATCH(INDEX(FTE_Allocation!$E$2:$E$201,$AB1005),Projects!$A:$A,0))&amp;"","#PROJECT?"),INDEX(FTE_Allocation!$E$2:$E$201,$AB1005)&amp;""),"")))</f>
        <v/>
      </c>
      <c r="F1005" s="7">
        <f>IF($Z1005="C",INDEX(Contracts!$Q$2:$Q$151,$AB1005)&amp;"",IF($Z1005="A",INDEX(Fixed_Assets!$L$2:$L$201,$AB1005)&amp;"",IF($Z1005="F",INDEX(Workforce!$K$2:$K$151,MATCH(INDEX(FTE_Allocation!$A$2:$A$201,$AB1005),Workforce!$A$2:$A$151,0))&amp;"","")))</f>
        <v/>
      </c>
      <c r="G1005" s="7">
        <f>IF($Z1005="C",INDEX(Contracts!$F$2:$F$151,$AB1005)&amp;" / "&amp;INDEX(Contracts!$G$2:$G$151,$AB1005),IF($Z1005="A",INDEX(Fixed_Assets!$E$2:$E$201,$AB1005)&amp;"",IF($Z1005="F","Personnel "&amp;INDEX(FTE_Allocation!$A$2:$A$201,$AB1005)&amp;IF(INDEX(FTE_Allocation!$D$2:$D$201,$AB1005)="PROJECT"," ("&amp;INDEX(FTE_Allocation!$E$2:$E$201,$AB1005)&amp;")",""),"")))</f>
        <v/>
      </c>
      <c r="H1005" s="7">
        <f>IF($Z1005="C","CONTRACT",IF($Z1005="A","ASSET",IF($Z1005="F","WORKFORCE","")))</f>
        <v/>
      </c>
      <c r="I1005" s="7">
        <f>IF($Z1005="C",INDEX(Contracts!$L$2:$L$151,$AB1005)&amp;"",IF($Z1005="A",INDEX(Fixed_Assets!$I$2:$I$201,$AB1005)&amp;"",IF($Z1005="F",INDEX(Workforce!$G$2:$G$151,MATCH(INDEX(FTE_Allocation!$A$2:$A$201,$AB1005),Workforce!$A$2:$A$151,0))&amp;"","")))</f>
        <v/>
      </c>
      <c r="J1005" s="18">
        <f>IF($Z1005="","",IF(AND(DATE($AD1005,1,1)&gt;=$AE1005,DATE($AD1005,1,1)&lt;=$AF1005),ROUND($AG1005,2),0))</f>
        <v/>
      </c>
      <c r="K1005" s="18">
        <f>IF($Z1005="","",IF(AND(DATE($AD1005,2,1)&gt;=$AE1005,DATE($AD1005,2,1)&lt;=$AF1005),ROUND($AG1005,2),0))</f>
        <v/>
      </c>
      <c r="L1005" s="18">
        <f>IF($Z1005="","",IF(AND(DATE($AD1005,3,1)&gt;=$AE1005,DATE($AD1005,3,1)&lt;=$AF1005),ROUND($AG1005,2),0))</f>
        <v/>
      </c>
      <c r="M1005" s="18">
        <f>IF($Z1005="","",IF(AND(DATE($AD1005,4,1)&gt;=$AE1005,DATE($AD1005,4,1)&lt;=$AF1005),ROUND($AG1005,2),0))</f>
        <v/>
      </c>
      <c r="N1005" s="18">
        <f>IF($Z1005="","",IF(AND(DATE($AD1005,5,1)&gt;=$AE1005,DATE($AD1005,5,1)&lt;=$AF1005),ROUND($AG1005,2),0))</f>
        <v/>
      </c>
      <c r="O1005" s="18">
        <f>IF($Z1005="","",IF(AND(DATE($AD1005,6,1)&gt;=$AE1005,DATE($AD1005,6,1)&lt;=$AF1005),ROUND($AG1005,2),0))</f>
        <v/>
      </c>
      <c r="P1005" s="18">
        <f>IF($Z1005="","",IF(AND(DATE($AD1005,7,1)&gt;=$AE1005,DATE($AD1005,7,1)&lt;=$AF1005),ROUND($AG1005,2),0))</f>
        <v/>
      </c>
      <c r="Q1005" s="18">
        <f>IF($Z1005="","",IF(AND(DATE($AD1005,8,1)&gt;=$AE1005,DATE($AD1005,8,1)&lt;=$AF1005),ROUND($AG1005,2),0))</f>
        <v/>
      </c>
      <c r="R1005" s="18">
        <f>IF($Z1005="","",IF(AND(DATE($AD1005,9,1)&gt;=$AE1005,DATE($AD1005,9,1)&lt;=$AF1005),ROUND($AG1005,2),0))</f>
        <v/>
      </c>
      <c r="S1005" s="18">
        <f>IF($Z1005="","",IF(AND(DATE($AD1005,10,1)&gt;=$AE1005,DATE($AD1005,10,1)&lt;=$AF1005),ROUND($AG1005,2),0))</f>
        <v/>
      </c>
      <c r="T1005" s="18">
        <f>IF($Z1005="","",IF(AND(DATE($AD1005,11,1)&gt;=$AE1005,DATE($AD1005,11,1)&lt;=$AF1005),ROUND($AG1005,2),0))</f>
        <v/>
      </c>
      <c r="U1005" s="18">
        <f>IF($Z1005="","",IF(AND(DATE($AD1005,12,1)&gt;=$AE1005,DATE($AD1005,12,1)&lt;=$AF1005),ROUND($AG1005,2),0))</f>
        <v/>
      </c>
      <c r="V1005" s="7">
        <f>IF($Z1005="C","Generated from "&amp;INDEX(Contracts!$A$2:$A$151,$AB1005),IF($Z1005="A","Generated from "&amp;INDEX(Fixed_Assets!$A$2:$A$201,$AB1005),IF($Z1005="F","Generated from "&amp;INDEX(FTE_Allocation!$A$2:$A$201,$AB1005),"")))</f>
        <v/>
      </c>
      <c r="X1005" s="19">
        <f>IF($Z1005="","",SUM(J1005:U1005))</f>
        <v/>
      </c>
      <c r="Y1005" s="20">
        <f>ROW()-1</f>
        <v/>
      </c>
      <c r="Z1005" s="20">
        <f>IF($Y1005&lt;=Settings!$B$4*3,"C",IF($Y1005&lt;=(Settings!$B$4+Settings!$B$5)*3,"A",IF($Y1005&lt;=(Settings!$B$4+Settings!$B$5+Settings!$B$6)*3,"F","")))</f>
        <v/>
      </c>
      <c r="AA1005" s="20">
        <f>IF($Z1005="C",$Y1005,IF($Z1005="A",$Y1005-Settings!$B$4*3,IF($Z1005="F",$Y1005-(Settings!$B$4+Settings!$B$5)*3,"")))</f>
        <v/>
      </c>
      <c r="AB1005" s="20">
        <f>IF($Z1005="","",INT(($AA1005-1)/3)+1)</f>
        <v/>
      </c>
      <c r="AC1005" s="20">
        <f>IF($Z1005="","",MOD($AA1005-1,3)+1)</f>
        <v/>
      </c>
      <c r="AD1005" s="20">
        <f>IF($Z1005="","",Settings!$B$2+$AC1005-1)</f>
        <v/>
      </c>
      <c r="AE1005" s="21">
        <f>IF($Z1005="C",DATE(YEAR(INDEX(Contracts!$J$2:$J$151,$AB1005)),MONTH(INDEX(Contracts!$J$2:$J$151,$AB1005)),1),IF($Z1005="A",DATE(YEAR(INDEX(Fixed_Assets!$G$2:$G$201,$AB1005)),MONTH(INDEX(Fixed_Assets!$G$2:$G$201,$AB1005)),1),IF($Z1005="F",DATE(YEAR(MAX(N(INDEX(Workforce!$I$2:$I$151,MATCH(INDEX(FTE_Allocation!$A$2:$A$201,$AB1005),Workforce!$A$2:$A$151,0))),N(INDEX(FTE_Allocation!$I$2:$I$201,$AB1005)))),MONTH(MAX(N(INDEX(Workforce!$I$2:$I$151,MATCH(INDEX(FTE_Allocation!$A$2:$A$201,$AB1005),Workforce!$A$2:$A$151,0))),N(INDEX(FTE_Allocation!$I$2:$I$201,$AB1005)))),1),"")))</f>
        <v/>
      </c>
      <c r="AF1005" s="21">
        <f>IF($Z1005="C",IF(INDEX(Contracts!$I$2:$I$151,$AB1005)="PREPAID",EDATE(DATE(YEAR(INDEX(Contracts!$J$2:$J$151,$AB1005)),MONTH(INDEX(Contracts!$J$2:$J$151,$AB1005)),1),IF(INDEX(Contracts!$N$2:$N$151,$AB1005)="",12,INDEX(Contracts!$N$2:$N$151,$AB1005))-1),IF(INDEX(Contracts!$I$2:$I$151,$AB1005)="MONTHLY",IF(INDEX(Contracts!$K$2:$K$151,$AB1005)="",2958101,INDEX(Contracts!$K$2:$K$151,$AB1005)),0)),IF($Z1005="A",EDATE(DATE(YEAR(INDEX(Fixed_Assets!$G$2:$G$201,$AB1005)),MONTH(INDEX(Fixed_Assets!$G$2:$G$201,$AB1005)),1),INDEX(Fixed_Assets!$J$2:$J$201,$AB1005)-1),IF($Z1005="F",MIN(IF(INDEX(Workforce!$J$2:$J$151,MATCH(INDEX(FTE_Allocation!$A$2:$A$201,$AB1005),Workforce!$A$2:$A$151,0))="",2958101,INDEX(Workforce!$J$2:$J$151,MATCH(INDEX(FTE_Allocation!$A$2:$A$201,$AB1005),Workforce!$A$2:$A$151,0))),IF(INDEX(FTE_Allocation!$J$2:$J$201,$AB1005)="",2958101,INDEX(FTE_Allocation!$J$2:$J$201,$AB1005))),"")))</f>
        <v/>
      </c>
      <c r="AG1005" s="19">
        <f>IF($Z1005="C",IF(INDEX(Contracts!$I$2:$I$151,$AB1005)="PREPAID",INDEX(Contracts!$M$2:$M$151,$AB1005)/IF(INDEX(Contracts!$N$2:$N$151,$AB1005)="",12,INDEX(Contracts!$N$2:$N$151,$AB1005)),IF(INDEX(Contracts!$I$2:$I$151,$AB1005)="MONTHLY",INDEX(Contracts!$M$2:$M$151,$AB1005),0))*(1-N(INDEX(Contracts!$O$2:$O$151,$AB1005))),IF($Z1005="A",INDEX(Fixed_Assets!$H$2:$H$201,$AB1005)/INDEX(Fixed_Assets!$J$2:$J$201,$AB1005),IF($Z1005="F",INDEX(Workforce!$F$2:$F$151,MATCH(INDEX(FTE_Allocation!$A$2:$A$201,$AB1005),Workforce!$A$2:$A$151,0))*N(INDEX(FTE_Allocation!$F$2:$H$201,$AB1005,$AC1005)),"")))</f>
        <v/>
      </c>
    </row>
    <row r="1006">
      <c r="A1006" s="7">
        <f>IF($Z1006="","",$AD1006)</f>
        <v/>
      </c>
      <c r="B1006" s="7">
        <f>IF($Z1006="C",INDEX(Contracts!$D$2:$D$151,$AB1006)&amp;"",IF($Z1006="A",INDEX(Fixed_Assets!$C$2:$C$201,$AB1006)&amp;"",IF($Z1006="F",INDEX(Workforce!$B$2:$B$151,MATCH(INDEX(FTE_Allocation!$A$2:$A$201,$AB1006),Workforce!$A$2:$A$151,0))&amp;"","")))</f>
        <v/>
      </c>
      <c r="C1006" s="7">
        <f>IF($Z1006="C",INDEX(Contracts!$E$2:$E$151,$AB1006)&amp;"",IF($Z1006="A",INDEX(Fixed_Assets!$D$2:$D$201,$AB1006)&amp;"",IF($Z1006="F",INDEX(FTE_Allocation!$C$2:$C$201,$AB1006)&amp;"","")))</f>
        <v/>
      </c>
      <c r="D1006" s="7">
        <f>IF($Z1006="C",INDEX(Contracts!$B$2:$B$151,$AB1006)&amp;"",IF($Z1006="A",INDEX(Fixed_Assets!$B$2:$B$201,$AB1006)&amp;"",IF($Z1006="F",INDEX(FTE_Allocation!$B$2:$B$201,$AB1006)&amp;"","")))</f>
        <v/>
      </c>
      <c r="E1006" s="7">
        <f>IF($Z1006="C",INDEX(Contracts!$P$2:$P$151,$AB1006)&amp;"",IF($Z1006="A",INDEX(Fixed_Assets!$K$2:$K$201,$AB1006)&amp;"",IF($Z1006="F",IF(INDEX(FTE_Allocation!$D$2:$D$201,$AB1006)="PROJECT",IFERROR(INDEX(Projects!$D:$D,MATCH(INDEX(FTE_Allocation!$E$2:$E$201,$AB1006),Projects!$A:$A,0))&amp;"","#PROJECT?"),INDEX(FTE_Allocation!$E$2:$E$201,$AB1006)&amp;""),"")))</f>
        <v/>
      </c>
      <c r="F1006" s="7">
        <f>IF($Z1006="C",INDEX(Contracts!$Q$2:$Q$151,$AB1006)&amp;"",IF($Z1006="A",INDEX(Fixed_Assets!$L$2:$L$201,$AB1006)&amp;"",IF($Z1006="F",INDEX(Workforce!$K$2:$K$151,MATCH(INDEX(FTE_Allocation!$A$2:$A$201,$AB1006),Workforce!$A$2:$A$151,0))&amp;"","")))</f>
        <v/>
      </c>
      <c r="G1006" s="7">
        <f>IF($Z1006="C",INDEX(Contracts!$F$2:$F$151,$AB1006)&amp;" / "&amp;INDEX(Contracts!$G$2:$G$151,$AB1006),IF($Z1006="A",INDEX(Fixed_Assets!$E$2:$E$201,$AB1006)&amp;"",IF($Z1006="F","Personnel "&amp;INDEX(FTE_Allocation!$A$2:$A$201,$AB1006)&amp;IF(INDEX(FTE_Allocation!$D$2:$D$201,$AB1006)="PROJECT"," ("&amp;INDEX(FTE_Allocation!$E$2:$E$201,$AB1006)&amp;")",""),"")))</f>
        <v/>
      </c>
      <c r="H1006" s="7">
        <f>IF($Z1006="C","CONTRACT",IF($Z1006="A","ASSET",IF($Z1006="F","WORKFORCE","")))</f>
        <v/>
      </c>
      <c r="I1006" s="7">
        <f>IF($Z1006="C",INDEX(Contracts!$L$2:$L$151,$AB1006)&amp;"",IF($Z1006="A",INDEX(Fixed_Assets!$I$2:$I$201,$AB1006)&amp;"",IF($Z1006="F",INDEX(Workforce!$G$2:$G$151,MATCH(INDEX(FTE_Allocation!$A$2:$A$201,$AB1006),Workforce!$A$2:$A$151,0))&amp;"","")))</f>
        <v/>
      </c>
      <c r="J1006" s="18">
        <f>IF($Z1006="","",IF(AND(DATE($AD1006,1,1)&gt;=$AE1006,DATE($AD1006,1,1)&lt;=$AF1006),ROUND($AG1006,2),0))</f>
        <v/>
      </c>
      <c r="K1006" s="18">
        <f>IF($Z1006="","",IF(AND(DATE($AD1006,2,1)&gt;=$AE1006,DATE($AD1006,2,1)&lt;=$AF1006),ROUND($AG1006,2),0))</f>
        <v/>
      </c>
      <c r="L1006" s="18">
        <f>IF($Z1006="","",IF(AND(DATE($AD1006,3,1)&gt;=$AE1006,DATE($AD1006,3,1)&lt;=$AF1006),ROUND($AG1006,2),0))</f>
        <v/>
      </c>
      <c r="M1006" s="18">
        <f>IF($Z1006="","",IF(AND(DATE($AD1006,4,1)&gt;=$AE1006,DATE($AD1006,4,1)&lt;=$AF1006),ROUND($AG1006,2),0))</f>
        <v/>
      </c>
      <c r="N1006" s="18">
        <f>IF($Z1006="","",IF(AND(DATE($AD1006,5,1)&gt;=$AE1006,DATE($AD1006,5,1)&lt;=$AF1006),ROUND($AG1006,2),0))</f>
        <v/>
      </c>
      <c r="O1006" s="18">
        <f>IF($Z1006="","",IF(AND(DATE($AD1006,6,1)&gt;=$AE1006,DATE($AD1006,6,1)&lt;=$AF1006),ROUND($AG1006,2),0))</f>
        <v/>
      </c>
      <c r="P1006" s="18">
        <f>IF($Z1006="","",IF(AND(DATE($AD1006,7,1)&gt;=$AE1006,DATE($AD1006,7,1)&lt;=$AF1006),ROUND($AG1006,2),0))</f>
        <v/>
      </c>
      <c r="Q1006" s="18">
        <f>IF($Z1006="","",IF(AND(DATE($AD1006,8,1)&gt;=$AE1006,DATE($AD1006,8,1)&lt;=$AF1006),ROUND($AG1006,2),0))</f>
        <v/>
      </c>
      <c r="R1006" s="18">
        <f>IF($Z1006="","",IF(AND(DATE($AD1006,9,1)&gt;=$AE1006,DATE($AD1006,9,1)&lt;=$AF1006),ROUND($AG1006,2),0))</f>
        <v/>
      </c>
      <c r="S1006" s="18">
        <f>IF($Z1006="","",IF(AND(DATE($AD1006,10,1)&gt;=$AE1006,DATE($AD1006,10,1)&lt;=$AF1006),ROUND($AG1006,2),0))</f>
        <v/>
      </c>
      <c r="T1006" s="18">
        <f>IF($Z1006="","",IF(AND(DATE($AD1006,11,1)&gt;=$AE1006,DATE($AD1006,11,1)&lt;=$AF1006),ROUND($AG1006,2),0))</f>
        <v/>
      </c>
      <c r="U1006" s="18">
        <f>IF($Z1006="","",IF(AND(DATE($AD1006,12,1)&gt;=$AE1006,DATE($AD1006,12,1)&lt;=$AF1006),ROUND($AG1006,2),0))</f>
        <v/>
      </c>
      <c r="V1006" s="7">
        <f>IF($Z1006="C","Generated from "&amp;INDEX(Contracts!$A$2:$A$151,$AB1006),IF($Z1006="A","Generated from "&amp;INDEX(Fixed_Assets!$A$2:$A$201,$AB1006),IF($Z1006="F","Generated from "&amp;INDEX(FTE_Allocation!$A$2:$A$201,$AB1006),"")))</f>
        <v/>
      </c>
      <c r="X1006" s="19">
        <f>IF($Z1006="","",SUM(J1006:U1006))</f>
        <v/>
      </c>
      <c r="Y1006" s="20">
        <f>ROW()-1</f>
        <v/>
      </c>
      <c r="Z1006" s="20">
        <f>IF($Y1006&lt;=Settings!$B$4*3,"C",IF($Y1006&lt;=(Settings!$B$4+Settings!$B$5)*3,"A",IF($Y1006&lt;=(Settings!$B$4+Settings!$B$5+Settings!$B$6)*3,"F","")))</f>
        <v/>
      </c>
      <c r="AA1006" s="20">
        <f>IF($Z1006="C",$Y1006,IF($Z1006="A",$Y1006-Settings!$B$4*3,IF($Z1006="F",$Y1006-(Settings!$B$4+Settings!$B$5)*3,"")))</f>
        <v/>
      </c>
      <c r="AB1006" s="20">
        <f>IF($Z1006="","",INT(($AA1006-1)/3)+1)</f>
        <v/>
      </c>
      <c r="AC1006" s="20">
        <f>IF($Z1006="","",MOD($AA1006-1,3)+1)</f>
        <v/>
      </c>
      <c r="AD1006" s="20">
        <f>IF($Z1006="","",Settings!$B$2+$AC1006-1)</f>
        <v/>
      </c>
      <c r="AE1006" s="21">
        <f>IF($Z1006="C",DATE(YEAR(INDEX(Contracts!$J$2:$J$151,$AB1006)),MONTH(INDEX(Contracts!$J$2:$J$151,$AB1006)),1),IF($Z1006="A",DATE(YEAR(INDEX(Fixed_Assets!$G$2:$G$201,$AB1006)),MONTH(INDEX(Fixed_Assets!$G$2:$G$201,$AB1006)),1),IF($Z1006="F",DATE(YEAR(MAX(N(INDEX(Workforce!$I$2:$I$151,MATCH(INDEX(FTE_Allocation!$A$2:$A$201,$AB1006),Workforce!$A$2:$A$151,0))),N(INDEX(FTE_Allocation!$I$2:$I$201,$AB1006)))),MONTH(MAX(N(INDEX(Workforce!$I$2:$I$151,MATCH(INDEX(FTE_Allocation!$A$2:$A$201,$AB1006),Workforce!$A$2:$A$151,0))),N(INDEX(FTE_Allocation!$I$2:$I$201,$AB1006)))),1),"")))</f>
        <v/>
      </c>
      <c r="AF1006" s="21">
        <f>IF($Z1006="C",IF(INDEX(Contracts!$I$2:$I$151,$AB1006)="PREPAID",EDATE(DATE(YEAR(INDEX(Contracts!$J$2:$J$151,$AB1006)),MONTH(INDEX(Contracts!$J$2:$J$151,$AB1006)),1),IF(INDEX(Contracts!$N$2:$N$151,$AB1006)="",12,INDEX(Contracts!$N$2:$N$151,$AB1006))-1),IF(INDEX(Contracts!$I$2:$I$151,$AB1006)="MONTHLY",IF(INDEX(Contracts!$K$2:$K$151,$AB1006)="",2958101,INDEX(Contracts!$K$2:$K$151,$AB1006)),0)),IF($Z1006="A",EDATE(DATE(YEAR(INDEX(Fixed_Assets!$G$2:$G$201,$AB1006)),MONTH(INDEX(Fixed_Assets!$G$2:$G$201,$AB1006)),1),INDEX(Fixed_Assets!$J$2:$J$201,$AB1006)-1),IF($Z1006="F",MIN(IF(INDEX(Workforce!$J$2:$J$151,MATCH(INDEX(FTE_Allocation!$A$2:$A$201,$AB1006),Workforce!$A$2:$A$151,0))="",2958101,INDEX(Workforce!$J$2:$J$151,MATCH(INDEX(FTE_Allocation!$A$2:$A$201,$AB1006),Workforce!$A$2:$A$151,0))),IF(INDEX(FTE_Allocation!$J$2:$J$201,$AB1006)="",2958101,INDEX(FTE_Allocation!$J$2:$J$201,$AB1006))),"")))</f>
        <v/>
      </c>
      <c r="AG1006" s="19">
        <f>IF($Z1006="C",IF(INDEX(Contracts!$I$2:$I$151,$AB1006)="PREPAID",INDEX(Contracts!$M$2:$M$151,$AB1006)/IF(INDEX(Contracts!$N$2:$N$151,$AB1006)="",12,INDEX(Contracts!$N$2:$N$151,$AB1006)),IF(INDEX(Contracts!$I$2:$I$151,$AB1006)="MONTHLY",INDEX(Contracts!$M$2:$M$151,$AB1006),0))*(1-N(INDEX(Contracts!$O$2:$O$151,$AB1006))),IF($Z1006="A",INDEX(Fixed_Assets!$H$2:$H$201,$AB1006)/INDEX(Fixed_Assets!$J$2:$J$201,$AB1006),IF($Z1006="F",INDEX(Workforce!$F$2:$F$151,MATCH(INDEX(FTE_Allocation!$A$2:$A$201,$AB1006),Workforce!$A$2:$A$151,0))*N(INDEX(FTE_Allocation!$F$2:$H$201,$AB1006,$AC1006)),"")))</f>
        <v/>
      </c>
    </row>
    <row r="1007">
      <c r="A1007" s="7">
        <f>IF($Z1007="","",$AD1007)</f>
        <v/>
      </c>
      <c r="B1007" s="7">
        <f>IF($Z1007="C",INDEX(Contracts!$D$2:$D$151,$AB1007)&amp;"",IF($Z1007="A",INDEX(Fixed_Assets!$C$2:$C$201,$AB1007)&amp;"",IF($Z1007="F",INDEX(Workforce!$B$2:$B$151,MATCH(INDEX(FTE_Allocation!$A$2:$A$201,$AB1007),Workforce!$A$2:$A$151,0))&amp;"","")))</f>
        <v/>
      </c>
      <c r="C1007" s="7">
        <f>IF($Z1007="C",INDEX(Contracts!$E$2:$E$151,$AB1007)&amp;"",IF($Z1007="A",INDEX(Fixed_Assets!$D$2:$D$201,$AB1007)&amp;"",IF($Z1007="F",INDEX(FTE_Allocation!$C$2:$C$201,$AB1007)&amp;"","")))</f>
        <v/>
      </c>
      <c r="D1007" s="7">
        <f>IF($Z1007="C",INDEX(Contracts!$B$2:$B$151,$AB1007)&amp;"",IF($Z1007="A",INDEX(Fixed_Assets!$B$2:$B$201,$AB1007)&amp;"",IF($Z1007="F",INDEX(FTE_Allocation!$B$2:$B$201,$AB1007)&amp;"","")))</f>
        <v/>
      </c>
      <c r="E1007" s="7">
        <f>IF($Z1007="C",INDEX(Contracts!$P$2:$P$151,$AB1007)&amp;"",IF($Z1007="A",INDEX(Fixed_Assets!$K$2:$K$201,$AB1007)&amp;"",IF($Z1007="F",IF(INDEX(FTE_Allocation!$D$2:$D$201,$AB1007)="PROJECT",IFERROR(INDEX(Projects!$D:$D,MATCH(INDEX(FTE_Allocation!$E$2:$E$201,$AB1007),Projects!$A:$A,0))&amp;"","#PROJECT?"),INDEX(FTE_Allocation!$E$2:$E$201,$AB1007)&amp;""),"")))</f>
        <v/>
      </c>
      <c r="F1007" s="7">
        <f>IF($Z1007="C",INDEX(Contracts!$Q$2:$Q$151,$AB1007)&amp;"",IF($Z1007="A",INDEX(Fixed_Assets!$L$2:$L$201,$AB1007)&amp;"",IF($Z1007="F",INDEX(Workforce!$K$2:$K$151,MATCH(INDEX(FTE_Allocation!$A$2:$A$201,$AB1007),Workforce!$A$2:$A$151,0))&amp;"","")))</f>
        <v/>
      </c>
      <c r="G1007" s="7">
        <f>IF($Z1007="C",INDEX(Contracts!$F$2:$F$151,$AB1007)&amp;" / "&amp;INDEX(Contracts!$G$2:$G$151,$AB1007),IF($Z1007="A",INDEX(Fixed_Assets!$E$2:$E$201,$AB1007)&amp;"",IF($Z1007="F","Personnel "&amp;INDEX(FTE_Allocation!$A$2:$A$201,$AB1007)&amp;IF(INDEX(FTE_Allocation!$D$2:$D$201,$AB1007)="PROJECT"," ("&amp;INDEX(FTE_Allocation!$E$2:$E$201,$AB1007)&amp;")",""),"")))</f>
        <v/>
      </c>
      <c r="H1007" s="7">
        <f>IF($Z1007="C","CONTRACT",IF($Z1007="A","ASSET",IF($Z1007="F","WORKFORCE","")))</f>
        <v/>
      </c>
      <c r="I1007" s="7">
        <f>IF($Z1007="C",INDEX(Contracts!$L$2:$L$151,$AB1007)&amp;"",IF($Z1007="A",INDEX(Fixed_Assets!$I$2:$I$201,$AB1007)&amp;"",IF($Z1007="F",INDEX(Workforce!$G$2:$G$151,MATCH(INDEX(FTE_Allocation!$A$2:$A$201,$AB1007),Workforce!$A$2:$A$151,0))&amp;"","")))</f>
        <v/>
      </c>
      <c r="J1007" s="18">
        <f>IF($Z1007="","",IF(AND(DATE($AD1007,1,1)&gt;=$AE1007,DATE($AD1007,1,1)&lt;=$AF1007),ROUND($AG1007,2),0))</f>
        <v/>
      </c>
      <c r="K1007" s="18">
        <f>IF($Z1007="","",IF(AND(DATE($AD1007,2,1)&gt;=$AE1007,DATE($AD1007,2,1)&lt;=$AF1007),ROUND($AG1007,2),0))</f>
        <v/>
      </c>
      <c r="L1007" s="18">
        <f>IF($Z1007="","",IF(AND(DATE($AD1007,3,1)&gt;=$AE1007,DATE($AD1007,3,1)&lt;=$AF1007),ROUND($AG1007,2),0))</f>
        <v/>
      </c>
      <c r="M1007" s="18">
        <f>IF($Z1007="","",IF(AND(DATE($AD1007,4,1)&gt;=$AE1007,DATE($AD1007,4,1)&lt;=$AF1007),ROUND($AG1007,2),0))</f>
        <v/>
      </c>
      <c r="N1007" s="18">
        <f>IF($Z1007="","",IF(AND(DATE($AD1007,5,1)&gt;=$AE1007,DATE($AD1007,5,1)&lt;=$AF1007),ROUND($AG1007,2),0))</f>
        <v/>
      </c>
      <c r="O1007" s="18">
        <f>IF($Z1007="","",IF(AND(DATE($AD1007,6,1)&gt;=$AE1007,DATE($AD1007,6,1)&lt;=$AF1007),ROUND($AG1007,2),0))</f>
        <v/>
      </c>
      <c r="P1007" s="18">
        <f>IF($Z1007="","",IF(AND(DATE($AD1007,7,1)&gt;=$AE1007,DATE($AD1007,7,1)&lt;=$AF1007),ROUND($AG1007,2),0))</f>
        <v/>
      </c>
      <c r="Q1007" s="18">
        <f>IF($Z1007="","",IF(AND(DATE($AD1007,8,1)&gt;=$AE1007,DATE($AD1007,8,1)&lt;=$AF1007),ROUND($AG1007,2),0))</f>
        <v/>
      </c>
      <c r="R1007" s="18">
        <f>IF($Z1007="","",IF(AND(DATE($AD1007,9,1)&gt;=$AE1007,DATE($AD1007,9,1)&lt;=$AF1007),ROUND($AG1007,2),0))</f>
        <v/>
      </c>
      <c r="S1007" s="18">
        <f>IF($Z1007="","",IF(AND(DATE($AD1007,10,1)&gt;=$AE1007,DATE($AD1007,10,1)&lt;=$AF1007),ROUND($AG1007,2),0))</f>
        <v/>
      </c>
      <c r="T1007" s="18">
        <f>IF($Z1007="","",IF(AND(DATE($AD1007,11,1)&gt;=$AE1007,DATE($AD1007,11,1)&lt;=$AF1007),ROUND($AG1007,2),0))</f>
        <v/>
      </c>
      <c r="U1007" s="18">
        <f>IF($Z1007="","",IF(AND(DATE($AD1007,12,1)&gt;=$AE1007,DATE($AD1007,12,1)&lt;=$AF1007),ROUND($AG1007,2),0))</f>
        <v/>
      </c>
      <c r="V1007" s="7">
        <f>IF($Z1007="C","Generated from "&amp;INDEX(Contracts!$A$2:$A$151,$AB1007),IF($Z1007="A","Generated from "&amp;INDEX(Fixed_Assets!$A$2:$A$201,$AB1007),IF($Z1007="F","Generated from "&amp;INDEX(FTE_Allocation!$A$2:$A$201,$AB1007),"")))</f>
        <v/>
      </c>
      <c r="X1007" s="19">
        <f>IF($Z1007="","",SUM(J1007:U1007))</f>
        <v/>
      </c>
      <c r="Y1007" s="20">
        <f>ROW()-1</f>
        <v/>
      </c>
      <c r="Z1007" s="20">
        <f>IF($Y1007&lt;=Settings!$B$4*3,"C",IF($Y1007&lt;=(Settings!$B$4+Settings!$B$5)*3,"A",IF($Y1007&lt;=(Settings!$B$4+Settings!$B$5+Settings!$B$6)*3,"F","")))</f>
        <v/>
      </c>
      <c r="AA1007" s="20">
        <f>IF($Z1007="C",$Y1007,IF($Z1007="A",$Y1007-Settings!$B$4*3,IF($Z1007="F",$Y1007-(Settings!$B$4+Settings!$B$5)*3,"")))</f>
        <v/>
      </c>
      <c r="AB1007" s="20">
        <f>IF($Z1007="","",INT(($AA1007-1)/3)+1)</f>
        <v/>
      </c>
      <c r="AC1007" s="20">
        <f>IF($Z1007="","",MOD($AA1007-1,3)+1)</f>
        <v/>
      </c>
      <c r="AD1007" s="20">
        <f>IF($Z1007="","",Settings!$B$2+$AC1007-1)</f>
        <v/>
      </c>
      <c r="AE1007" s="21">
        <f>IF($Z1007="C",DATE(YEAR(INDEX(Contracts!$J$2:$J$151,$AB1007)),MONTH(INDEX(Contracts!$J$2:$J$151,$AB1007)),1),IF($Z1007="A",DATE(YEAR(INDEX(Fixed_Assets!$G$2:$G$201,$AB1007)),MONTH(INDEX(Fixed_Assets!$G$2:$G$201,$AB1007)),1),IF($Z1007="F",DATE(YEAR(MAX(N(INDEX(Workforce!$I$2:$I$151,MATCH(INDEX(FTE_Allocation!$A$2:$A$201,$AB1007),Workforce!$A$2:$A$151,0))),N(INDEX(FTE_Allocation!$I$2:$I$201,$AB1007)))),MONTH(MAX(N(INDEX(Workforce!$I$2:$I$151,MATCH(INDEX(FTE_Allocation!$A$2:$A$201,$AB1007),Workforce!$A$2:$A$151,0))),N(INDEX(FTE_Allocation!$I$2:$I$201,$AB1007)))),1),"")))</f>
        <v/>
      </c>
      <c r="AF1007" s="21">
        <f>IF($Z1007="C",IF(INDEX(Contracts!$I$2:$I$151,$AB1007)="PREPAID",EDATE(DATE(YEAR(INDEX(Contracts!$J$2:$J$151,$AB1007)),MONTH(INDEX(Contracts!$J$2:$J$151,$AB1007)),1),IF(INDEX(Contracts!$N$2:$N$151,$AB1007)="",12,INDEX(Contracts!$N$2:$N$151,$AB1007))-1),IF(INDEX(Contracts!$I$2:$I$151,$AB1007)="MONTHLY",IF(INDEX(Contracts!$K$2:$K$151,$AB1007)="",2958101,INDEX(Contracts!$K$2:$K$151,$AB1007)),0)),IF($Z1007="A",EDATE(DATE(YEAR(INDEX(Fixed_Assets!$G$2:$G$201,$AB1007)),MONTH(INDEX(Fixed_Assets!$G$2:$G$201,$AB1007)),1),INDEX(Fixed_Assets!$J$2:$J$201,$AB1007)-1),IF($Z1007="F",MIN(IF(INDEX(Workforce!$J$2:$J$151,MATCH(INDEX(FTE_Allocation!$A$2:$A$201,$AB1007),Workforce!$A$2:$A$151,0))="",2958101,INDEX(Workforce!$J$2:$J$151,MATCH(INDEX(FTE_Allocation!$A$2:$A$201,$AB1007),Workforce!$A$2:$A$151,0))),IF(INDEX(FTE_Allocation!$J$2:$J$201,$AB1007)="",2958101,INDEX(FTE_Allocation!$J$2:$J$201,$AB1007))),"")))</f>
        <v/>
      </c>
      <c r="AG1007" s="19">
        <f>IF($Z1007="C",IF(INDEX(Contracts!$I$2:$I$151,$AB1007)="PREPAID",INDEX(Contracts!$M$2:$M$151,$AB1007)/IF(INDEX(Contracts!$N$2:$N$151,$AB1007)="",12,INDEX(Contracts!$N$2:$N$151,$AB1007)),IF(INDEX(Contracts!$I$2:$I$151,$AB1007)="MONTHLY",INDEX(Contracts!$M$2:$M$151,$AB1007),0))*(1-N(INDEX(Contracts!$O$2:$O$151,$AB1007))),IF($Z1007="A",INDEX(Fixed_Assets!$H$2:$H$201,$AB1007)/INDEX(Fixed_Assets!$J$2:$J$201,$AB1007),IF($Z1007="F",INDEX(Workforce!$F$2:$F$151,MATCH(INDEX(FTE_Allocation!$A$2:$A$201,$AB1007),Workforce!$A$2:$A$151,0))*N(INDEX(FTE_Allocation!$F$2:$H$201,$AB1007,$AC1007)),"")))</f>
        <v/>
      </c>
    </row>
    <row r="1008">
      <c r="A1008" s="7">
        <f>IF($Z1008="","",$AD1008)</f>
        <v/>
      </c>
      <c r="B1008" s="7">
        <f>IF($Z1008="C",INDEX(Contracts!$D$2:$D$151,$AB1008)&amp;"",IF($Z1008="A",INDEX(Fixed_Assets!$C$2:$C$201,$AB1008)&amp;"",IF($Z1008="F",INDEX(Workforce!$B$2:$B$151,MATCH(INDEX(FTE_Allocation!$A$2:$A$201,$AB1008),Workforce!$A$2:$A$151,0))&amp;"","")))</f>
        <v/>
      </c>
      <c r="C1008" s="7">
        <f>IF($Z1008="C",INDEX(Contracts!$E$2:$E$151,$AB1008)&amp;"",IF($Z1008="A",INDEX(Fixed_Assets!$D$2:$D$201,$AB1008)&amp;"",IF($Z1008="F",INDEX(FTE_Allocation!$C$2:$C$201,$AB1008)&amp;"","")))</f>
        <v/>
      </c>
      <c r="D1008" s="7">
        <f>IF($Z1008="C",INDEX(Contracts!$B$2:$B$151,$AB1008)&amp;"",IF($Z1008="A",INDEX(Fixed_Assets!$B$2:$B$201,$AB1008)&amp;"",IF($Z1008="F",INDEX(FTE_Allocation!$B$2:$B$201,$AB1008)&amp;"","")))</f>
        <v/>
      </c>
      <c r="E1008" s="7">
        <f>IF($Z1008="C",INDEX(Contracts!$P$2:$P$151,$AB1008)&amp;"",IF($Z1008="A",INDEX(Fixed_Assets!$K$2:$K$201,$AB1008)&amp;"",IF($Z1008="F",IF(INDEX(FTE_Allocation!$D$2:$D$201,$AB1008)="PROJECT",IFERROR(INDEX(Projects!$D:$D,MATCH(INDEX(FTE_Allocation!$E$2:$E$201,$AB1008),Projects!$A:$A,0))&amp;"","#PROJECT?"),INDEX(FTE_Allocation!$E$2:$E$201,$AB1008)&amp;""),"")))</f>
        <v/>
      </c>
      <c r="F1008" s="7">
        <f>IF($Z1008="C",INDEX(Contracts!$Q$2:$Q$151,$AB1008)&amp;"",IF($Z1008="A",INDEX(Fixed_Assets!$L$2:$L$201,$AB1008)&amp;"",IF($Z1008="F",INDEX(Workforce!$K$2:$K$151,MATCH(INDEX(FTE_Allocation!$A$2:$A$201,$AB1008),Workforce!$A$2:$A$151,0))&amp;"","")))</f>
        <v/>
      </c>
      <c r="G1008" s="7">
        <f>IF($Z1008="C",INDEX(Contracts!$F$2:$F$151,$AB1008)&amp;" / "&amp;INDEX(Contracts!$G$2:$G$151,$AB1008),IF($Z1008="A",INDEX(Fixed_Assets!$E$2:$E$201,$AB1008)&amp;"",IF($Z1008="F","Personnel "&amp;INDEX(FTE_Allocation!$A$2:$A$201,$AB1008)&amp;IF(INDEX(FTE_Allocation!$D$2:$D$201,$AB1008)="PROJECT"," ("&amp;INDEX(FTE_Allocation!$E$2:$E$201,$AB1008)&amp;")",""),"")))</f>
        <v/>
      </c>
      <c r="H1008" s="7">
        <f>IF($Z1008="C","CONTRACT",IF($Z1008="A","ASSET",IF($Z1008="F","WORKFORCE","")))</f>
        <v/>
      </c>
      <c r="I1008" s="7">
        <f>IF($Z1008="C",INDEX(Contracts!$L$2:$L$151,$AB1008)&amp;"",IF($Z1008="A",INDEX(Fixed_Assets!$I$2:$I$201,$AB1008)&amp;"",IF($Z1008="F",INDEX(Workforce!$G$2:$G$151,MATCH(INDEX(FTE_Allocation!$A$2:$A$201,$AB1008),Workforce!$A$2:$A$151,0))&amp;"","")))</f>
        <v/>
      </c>
      <c r="J1008" s="18">
        <f>IF($Z1008="","",IF(AND(DATE($AD1008,1,1)&gt;=$AE1008,DATE($AD1008,1,1)&lt;=$AF1008),ROUND($AG1008,2),0))</f>
        <v/>
      </c>
      <c r="K1008" s="18">
        <f>IF($Z1008="","",IF(AND(DATE($AD1008,2,1)&gt;=$AE1008,DATE($AD1008,2,1)&lt;=$AF1008),ROUND($AG1008,2),0))</f>
        <v/>
      </c>
      <c r="L1008" s="18">
        <f>IF($Z1008="","",IF(AND(DATE($AD1008,3,1)&gt;=$AE1008,DATE($AD1008,3,1)&lt;=$AF1008),ROUND($AG1008,2),0))</f>
        <v/>
      </c>
      <c r="M1008" s="18">
        <f>IF($Z1008="","",IF(AND(DATE($AD1008,4,1)&gt;=$AE1008,DATE($AD1008,4,1)&lt;=$AF1008),ROUND($AG1008,2),0))</f>
        <v/>
      </c>
      <c r="N1008" s="18">
        <f>IF($Z1008="","",IF(AND(DATE($AD1008,5,1)&gt;=$AE1008,DATE($AD1008,5,1)&lt;=$AF1008),ROUND($AG1008,2),0))</f>
        <v/>
      </c>
      <c r="O1008" s="18">
        <f>IF($Z1008="","",IF(AND(DATE($AD1008,6,1)&gt;=$AE1008,DATE($AD1008,6,1)&lt;=$AF1008),ROUND($AG1008,2),0))</f>
        <v/>
      </c>
      <c r="P1008" s="18">
        <f>IF($Z1008="","",IF(AND(DATE($AD1008,7,1)&gt;=$AE1008,DATE($AD1008,7,1)&lt;=$AF1008),ROUND($AG1008,2),0))</f>
        <v/>
      </c>
      <c r="Q1008" s="18">
        <f>IF($Z1008="","",IF(AND(DATE($AD1008,8,1)&gt;=$AE1008,DATE($AD1008,8,1)&lt;=$AF1008),ROUND($AG1008,2),0))</f>
        <v/>
      </c>
      <c r="R1008" s="18">
        <f>IF($Z1008="","",IF(AND(DATE($AD1008,9,1)&gt;=$AE1008,DATE($AD1008,9,1)&lt;=$AF1008),ROUND($AG1008,2),0))</f>
        <v/>
      </c>
      <c r="S1008" s="18">
        <f>IF($Z1008="","",IF(AND(DATE($AD1008,10,1)&gt;=$AE1008,DATE($AD1008,10,1)&lt;=$AF1008),ROUND($AG1008,2),0))</f>
        <v/>
      </c>
      <c r="T1008" s="18">
        <f>IF($Z1008="","",IF(AND(DATE($AD1008,11,1)&gt;=$AE1008,DATE($AD1008,11,1)&lt;=$AF1008),ROUND($AG1008,2),0))</f>
        <v/>
      </c>
      <c r="U1008" s="18">
        <f>IF($Z1008="","",IF(AND(DATE($AD1008,12,1)&gt;=$AE1008,DATE($AD1008,12,1)&lt;=$AF1008),ROUND($AG1008,2),0))</f>
        <v/>
      </c>
      <c r="V1008" s="7">
        <f>IF($Z1008="C","Generated from "&amp;INDEX(Contracts!$A$2:$A$151,$AB1008),IF($Z1008="A","Generated from "&amp;INDEX(Fixed_Assets!$A$2:$A$201,$AB1008),IF($Z1008="F","Generated from "&amp;INDEX(FTE_Allocation!$A$2:$A$201,$AB1008),"")))</f>
        <v/>
      </c>
      <c r="X1008" s="19">
        <f>IF($Z1008="","",SUM(J1008:U1008))</f>
        <v/>
      </c>
      <c r="Y1008" s="20">
        <f>ROW()-1</f>
        <v/>
      </c>
      <c r="Z1008" s="20">
        <f>IF($Y1008&lt;=Settings!$B$4*3,"C",IF($Y1008&lt;=(Settings!$B$4+Settings!$B$5)*3,"A",IF($Y1008&lt;=(Settings!$B$4+Settings!$B$5+Settings!$B$6)*3,"F","")))</f>
        <v/>
      </c>
      <c r="AA1008" s="20">
        <f>IF($Z1008="C",$Y1008,IF($Z1008="A",$Y1008-Settings!$B$4*3,IF($Z1008="F",$Y1008-(Settings!$B$4+Settings!$B$5)*3,"")))</f>
        <v/>
      </c>
      <c r="AB1008" s="20">
        <f>IF($Z1008="","",INT(($AA1008-1)/3)+1)</f>
        <v/>
      </c>
      <c r="AC1008" s="20">
        <f>IF($Z1008="","",MOD($AA1008-1,3)+1)</f>
        <v/>
      </c>
      <c r="AD1008" s="20">
        <f>IF($Z1008="","",Settings!$B$2+$AC1008-1)</f>
        <v/>
      </c>
      <c r="AE1008" s="21">
        <f>IF($Z1008="C",DATE(YEAR(INDEX(Contracts!$J$2:$J$151,$AB1008)),MONTH(INDEX(Contracts!$J$2:$J$151,$AB1008)),1),IF($Z1008="A",DATE(YEAR(INDEX(Fixed_Assets!$G$2:$G$201,$AB1008)),MONTH(INDEX(Fixed_Assets!$G$2:$G$201,$AB1008)),1),IF($Z1008="F",DATE(YEAR(MAX(N(INDEX(Workforce!$I$2:$I$151,MATCH(INDEX(FTE_Allocation!$A$2:$A$201,$AB1008),Workforce!$A$2:$A$151,0))),N(INDEX(FTE_Allocation!$I$2:$I$201,$AB1008)))),MONTH(MAX(N(INDEX(Workforce!$I$2:$I$151,MATCH(INDEX(FTE_Allocation!$A$2:$A$201,$AB1008),Workforce!$A$2:$A$151,0))),N(INDEX(FTE_Allocation!$I$2:$I$201,$AB1008)))),1),"")))</f>
        <v/>
      </c>
      <c r="AF1008" s="21">
        <f>IF($Z1008="C",IF(INDEX(Contracts!$I$2:$I$151,$AB1008)="PREPAID",EDATE(DATE(YEAR(INDEX(Contracts!$J$2:$J$151,$AB1008)),MONTH(INDEX(Contracts!$J$2:$J$151,$AB1008)),1),IF(INDEX(Contracts!$N$2:$N$151,$AB1008)="",12,INDEX(Contracts!$N$2:$N$151,$AB1008))-1),IF(INDEX(Contracts!$I$2:$I$151,$AB1008)="MONTHLY",IF(INDEX(Contracts!$K$2:$K$151,$AB1008)="",2958101,INDEX(Contracts!$K$2:$K$151,$AB1008)),0)),IF($Z1008="A",EDATE(DATE(YEAR(INDEX(Fixed_Assets!$G$2:$G$201,$AB1008)),MONTH(INDEX(Fixed_Assets!$G$2:$G$201,$AB1008)),1),INDEX(Fixed_Assets!$J$2:$J$201,$AB1008)-1),IF($Z1008="F",MIN(IF(INDEX(Workforce!$J$2:$J$151,MATCH(INDEX(FTE_Allocation!$A$2:$A$201,$AB1008),Workforce!$A$2:$A$151,0))="",2958101,INDEX(Workforce!$J$2:$J$151,MATCH(INDEX(FTE_Allocation!$A$2:$A$201,$AB1008),Workforce!$A$2:$A$151,0))),IF(INDEX(FTE_Allocation!$J$2:$J$201,$AB1008)="",2958101,INDEX(FTE_Allocation!$J$2:$J$201,$AB1008))),"")))</f>
        <v/>
      </c>
      <c r="AG1008" s="19">
        <f>IF($Z1008="C",IF(INDEX(Contracts!$I$2:$I$151,$AB1008)="PREPAID",INDEX(Contracts!$M$2:$M$151,$AB1008)/IF(INDEX(Contracts!$N$2:$N$151,$AB1008)="",12,INDEX(Contracts!$N$2:$N$151,$AB1008)),IF(INDEX(Contracts!$I$2:$I$151,$AB1008)="MONTHLY",INDEX(Contracts!$M$2:$M$151,$AB1008),0))*(1-N(INDEX(Contracts!$O$2:$O$151,$AB1008))),IF($Z1008="A",INDEX(Fixed_Assets!$H$2:$H$201,$AB1008)/INDEX(Fixed_Assets!$J$2:$J$201,$AB1008),IF($Z1008="F",INDEX(Workforce!$F$2:$F$151,MATCH(INDEX(FTE_Allocation!$A$2:$A$201,$AB1008),Workforce!$A$2:$A$151,0))*N(INDEX(FTE_Allocation!$F$2:$H$201,$AB1008,$AC1008)),"")))</f>
        <v/>
      </c>
    </row>
    <row r="1009">
      <c r="A1009" s="7">
        <f>IF($Z1009="","",$AD1009)</f>
        <v/>
      </c>
      <c r="B1009" s="7">
        <f>IF($Z1009="C",INDEX(Contracts!$D$2:$D$151,$AB1009)&amp;"",IF($Z1009="A",INDEX(Fixed_Assets!$C$2:$C$201,$AB1009)&amp;"",IF($Z1009="F",INDEX(Workforce!$B$2:$B$151,MATCH(INDEX(FTE_Allocation!$A$2:$A$201,$AB1009),Workforce!$A$2:$A$151,0))&amp;"","")))</f>
        <v/>
      </c>
      <c r="C1009" s="7">
        <f>IF($Z1009="C",INDEX(Contracts!$E$2:$E$151,$AB1009)&amp;"",IF($Z1009="A",INDEX(Fixed_Assets!$D$2:$D$201,$AB1009)&amp;"",IF($Z1009="F",INDEX(FTE_Allocation!$C$2:$C$201,$AB1009)&amp;"","")))</f>
        <v/>
      </c>
      <c r="D1009" s="7">
        <f>IF($Z1009="C",INDEX(Contracts!$B$2:$B$151,$AB1009)&amp;"",IF($Z1009="A",INDEX(Fixed_Assets!$B$2:$B$201,$AB1009)&amp;"",IF($Z1009="F",INDEX(FTE_Allocation!$B$2:$B$201,$AB1009)&amp;"","")))</f>
        <v/>
      </c>
      <c r="E1009" s="7">
        <f>IF($Z1009="C",INDEX(Contracts!$P$2:$P$151,$AB1009)&amp;"",IF($Z1009="A",INDEX(Fixed_Assets!$K$2:$K$201,$AB1009)&amp;"",IF($Z1009="F",IF(INDEX(FTE_Allocation!$D$2:$D$201,$AB1009)="PROJECT",IFERROR(INDEX(Projects!$D:$D,MATCH(INDEX(FTE_Allocation!$E$2:$E$201,$AB1009),Projects!$A:$A,0))&amp;"","#PROJECT?"),INDEX(FTE_Allocation!$E$2:$E$201,$AB1009)&amp;""),"")))</f>
        <v/>
      </c>
      <c r="F1009" s="7">
        <f>IF($Z1009="C",INDEX(Contracts!$Q$2:$Q$151,$AB1009)&amp;"",IF($Z1009="A",INDEX(Fixed_Assets!$L$2:$L$201,$AB1009)&amp;"",IF($Z1009="F",INDEX(Workforce!$K$2:$K$151,MATCH(INDEX(FTE_Allocation!$A$2:$A$201,$AB1009),Workforce!$A$2:$A$151,0))&amp;"","")))</f>
        <v/>
      </c>
      <c r="G1009" s="7">
        <f>IF($Z1009="C",INDEX(Contracts!$F$2:$F$151,$AB1009)&amp;" / "&amp;INDEX(Contracts!$G$2:$G$151,$AB1009),IF($Z1009="A",INDEX(Fixed_Assets!$E$2:$E$201,$AB1009)&amp;"",IF($Z1009="F","Personnel "&amp;INDEX(FTE_Allocation!$A$2:$A$201,$AB1009)&amp;IF(INDEX(FTE_Allocation!$D$2:$D$201,$AB1009)="PROJECT"," ("&amp;INDEX(FTE_Allocation!$E$2:$E$201,$AB1009)&amp;")",""),"")))</f>
        <v/>
      </c>
      <c r="H1009" s="7">
        <f>IF($Z1009="C","CONTRACT",IF($Z1009="A","ASSET",IF($Z1009="F","WORKFORCE","")))</f>
        <v/>
      </c>
      <c r="I1009" s="7">
        <f>IF($Z1009="C",INDEX(Contracts!$L$2:$L$151,$AB1009)&amp;"",IF($Z1009="A",INDEX(Fixed_Assets!$I$2:$I$201,$AB1009)&amp;"",IF($Z1009="F",INDEX(Workforce!$G$2:$G$151,MATCH(INDEX(FTE_Allocation!$A$2:$A$201,$AB1009),Workforce!$A$2:$A$151,0))&amp;"","")))</f>
        <v/>
      </c>
      <c r="J1009" s="18">
        <f>IF($Z1009="","",IF(AND(DATE($AD1009,1,1)&gt;=$AE1009,DATE($AD1009,1,1)&lt;=$AF1009),ROUND($AG1009,2),0))</f>
        <v/>
      </c>
      <c r="K1009" s="18">
        <f>IF($Z1009="","",IF(AND(DATE($AD1009,2,1)&gt;=$AE1009,DATE($AD1009,2,1)&lt;=$AF1009),ROUND($AG1009,2),0))</f>
        <v/>
      </c>
      <c r="L1009" s="18">
        <f>IF($Z1009="","",IF(AND(DATE($AD1009,3,1)&gt;=$AE1009,DATE($AD1009,3,1)&lt;=$AF1009),ROUND($AG1009,2),0))</f>
        <v/>
      </c>
      <c r="M1009" s="18">
        <f>IF($Z1009="","",IF(AND(DATE($AD1009,4,1)&gt;=$AE1009,DATE($AD1009,4,1)&lt;=$AF1009),ROUND($AG1009,2),0))</f>
        <v/>
      </c>
      <c r="N1009" s="18">
        <f>IF($Z1009="","",IF(AND(DATE($AD1009,5,1)&gt;=$AE1009,DATE($AD1009,5,1)&lt;=$AF1009),ROUND($AG1009,2),0))</f>
        <v/>
      </c>
      <c r="O1009" s="18">
        <f>IF($Z1009="","",IF(AND(DATE($AD1009,6,1)&gt;=$AE1009,DATE($AD1009,6,1)&lt;=$AF1009),ROUND($AG1009,2),0))</f>
        <v/>
      </c>
      <c r="P1009" s="18">
        <f>IF($Z1009="","",IF(AND(DATE($AD1009,7,1)&gt;=$AE1009,DATE($AD1009,7,1)&lt;=$AF1009),ROUND($AG1009,2),0))</f>
        <v/>
      </c>
      <c r="Q1009" s="18">
        <f>IF($Z1009="","",IF(AND(DATE($AD1009,8,1)&gt;=$AE1009,DATE($AD1009,8,1)&lt;=$AF1009),ROUND($AG1009,2),0))</f>
        <v/>
      </c>
      <c r="R1009" s="18">
        <f>IF($Z1009="","",IF(AND(DATE($AD1009,9,1)&gt;=$AE1009,DATE($AD1009,9,1)&lt;=$AF1009),ROUND($AG1009,2),0))</f>
        <v/>
      </c>
      <c r="S1009" s="18">
        <f>IF($Z1009="","",IF(AND(DATE($AD1009,10,1)&gt;=$AE1009,DATE($AD1009,10,1)&lt;=$AF1009),ROUND($AG1009,2),0))</f>
        <v/>
      </c>
      <c r="T1009" s="18">
        <f>IF($Z1009="","",IF(AND(DATE($AD1009,11,1)&gt;=$AE1009,DATE($AD1009,11,1)&lt;=$AF1009),ROUND($AG1009,2),0))</f>
        <v/>
      </c>
      <c r="U1009" s="18">
        <f>IF($Z1009="","",IF(AND(DATE($AD1009,12,1)&gt;=$AE1009,DATE($AD1009,12,1)&lt;=$AF1009),ROUND($AG1009,2),0))</f>
        <v/>
      </c>
      <c r="V1009" s="7">
        <f>IF($Z1009="C","Generated from "&amp;INDEX(Contracts!$A$2:$A$151,$AB1009),IF($Z1009="A","Generated from "&amp;INDEX(Fixed_Assets!$A$2:$A$201,$AB1009),IF($Z1009="F","Generated from "&amp;INDEX(FTE_Allocation!$A$2:$A$201,$AB1009),"")))</f>
        <v/>
      </c>
      <c r="X1009" s="19">
        <f>IF($Z1009="","",SUM(J1009:U1009))</f>
        <v/>
      </c>
      <c r="Y1009" s="20">
        <f>ROW()-1</f>
        <v/>
      </c>
      <c r="Z1009" s="20">
        <f>IF($Y1009&lt;=Settings!$B$4*3,"C",IF($Y1009&lt;=(Settings!$B$4+Settings!$B$5)*3,"A",IF($Y1009&lt;=(Settings!$B$4+Settings!$B$5+Settings!$B$6)*3,"F","")))</f>
        <v/>
      </c>
      <c r="AA1009" s="20">
        <f>IF($Z1009="C",$Y1009,IF($Z1009="A",$Y1009-Settings!$B$4*3,IF($Z1009="F",$Y1009-(Settings!$B$4+Settings!$B$5)*3,"")))</f>
        <v/>
      </c>
      <c r="AB1009" s="20">
        <f>IF($Z1009="","",INT(($AA1009-1)/3)+1)</f>
        <v/>
      </c>
      <c r="AC1009" s="20">
        <f>IF($Z1009="","",MOD($AA1009-1,3)+1)</f>
        <v/>
      </c>
      <c r="AD1009" s="20">
        <f>IF($Z1009="","",Settings!$B$2+$AC1009-1)</f>
        <v/>
      </c>
      <c r="AE1009" s="21">
        <f>IF($Z1009="C",DATE(YEAR(INDEX(Contracts!$J$2:$J$151,$AB1009)),MONTH(INDEX(Contracts!$J$2:$J$151,$AB1009)),1),IF($Z1009="A",DATE(YEAR(INDEX(Fixed_Assets!$G$2:$G$201,$AB1009)),MONTH(INDEX(Fixed_Assets!$G$2:$G$201,$AB1009)),1),IF($Z1009="F",DATE(YEAR(MAX(N(INDEX(Workforce!$I$2:$I$151,MATCH(INDEX(FTE_Allocation!$A$2:$A$201,$AB1009),Workforce!$A$2:$A$151,0))),N(INDEX(FTE_Allocation!$I$2:$I$201,$AB1009)))),MONTH(MAX(N(INDEX(Workforce!$I$2:$I$151,MATCH(INDEX(FTE_Allocation!$A$2:$A$201,$AB1009),Workforce!$A$2:$A$151,0))),N(INDEX(FTE_Allocation!$I$2:$I$201,$AB1009)))),1),"")))</f>
        <v/>
      </c>
      <c r="AF1009" s="21">
        <f>IF($Z1009="C",IF(INDEX(Contracts!$I$2:$I$151,$AB1009)="PREPAID",EDATE(DATE(YEAR(INDEX(Contracts!$J$2:$J$151,$AB1009)),MONTH(INDEX(Contracts!$J$2:$J$151,$AB1009)),1),IF(INDEX(Contracts!$N$2:$N$151,$AB1009)="",12,INDEX(Contracts!$N$2:$N$151,$AB1009))-1),IF(INDEX(Contracts!$I$2:$I$151,$AB1009)="MONTHLY",IF(INDEX(Contracts!$K$2:$K$151,$AB1009)="",2958101,INDEX(Contracts!$K$2:$K$151,$AB1009)),0)),IF($Z1009="A",EDATE(DATE(YEAR(INDEX(Fixed_Assets!$G$2:$G$201,$AB1009)),MONTH(INDEX(Fixed_Assets!$G$2:$G$201,$AB1009)),1),INDEX(Fixed_Assets!$J$2:$J$201,$AB1009)-1),IF($Z1009="F",MIN(IF(INDEX(Workforce!$J$2:$J$151,MATCH(INDEX(FTE_Allocation!$A$2:$A$201,$AB1009),Workforce!$A$2:$A$151,0))="",2958101,INDEX(Workforce!$J$2:$J$151,MATCH(INDEX(FTE_Allocation!$A$2:$A$201,$AB1009),Workforce!$A$2:$A$151,0))),IF(INDEX(FTE_Allocation!$J$2:$J$201,$AB1009)="",2958101,INDEX(FTE_Allocation!$J$2:$J$201,$AB1009))),"")))</f>
        <v/>
      </c>
      <c r="AG1009" s="19">
        <f>IF($Z1009="C",IF(INDEX(Contracts!$I$2:$I$151,$AB1009)="PREPAID",INDEX(Contracts!$M$2:$M$151,$AB1009)/IF(INDEX(Contracts!$N$2:$N$151,$AB1009)="",12,INDEX(Contracts!$N$2:$N$151,$AB1009)),IF(INDEX(Contracts!$I$2:$I$151,$AB1009)="MONTHLY",INDEX(Contracts!$M$2:$M$151,$AB1009),0))*(1-N(INDEX(Contracts!$O$2:$O$151,$AB1009))),IF($Z1009="A",INDEX(Fixed_Assets!$H$2:$H$201,$AB1009)/INDEX(Fixed_Assets!$J$2:$J$201,$AB1009),IF($Z1009="F",INDEX(Workforce!$F$2:$F$151,MATCH(INDEX(FTE_Allocation!$A$2:$A$201,$AB1009),Workforce!$A$2:$A$151,0))*N(INDEX(FTE_Allocation!$F$2:$H$201,$AB1009,$AC1009)),"")))</f>
        <v/>
      </c>
    </row>
    <row r="1010">
      <c r="A1010" s="7">
        <f>IF($Z1010="","",$AD1010)</f>
        <v/>
      </c>
      <c r="B1010" s="7">
        <f>IF($Z1010="C",INDEX(Contracts!$D$2:$D$151,$AB1010)&amp;"",IF($Z1010="A",INDEX(Fixed_Assets!$C$2:$C$201,$AB1010)&amp;"",IF($Z1010="F",INDEX(Workforce!$B$2:$B$151,MATCH(INDEX(FTE_Allocation!$A$2:$A$201,$AB1010),Workforce!$A$2:$A$151,0))&amp;"","")))</f>
        <v/>
      </c>
      <c r="C1010" s="7">
        <f>IF($Z1010="C",INDEX(Contracts!$E$2:$E$151,$AB1010)&amp;"",IF($Z1010="A",INDEX(Fixed_Assets!$D$2:$D$201,$AB1010)&amp;"",IF($Z1010="F",INDEX(FTE_Allocation!$C$2:$C$201,$AB1010)&amp;"","")))</f>
        <v/>
      </c>
      <c r="D1010" s="7">
        <f>IF($Z1010="C",INDEX(Contracts!$B$2:$B$151,$AB1010)&amp;"",IF($Z1010="A",INDEX(Fixed_Assets!$B$2:$B$201,$AB1010)&amp;"",IF($Z1010="F",INDEX(FTE_Allocation!$B$2:$B$201,$AB1010)&amp;"","")))</f>
        <v/>
      </c>
      <c r="E1010" s="7">
        <f>IF($Z1010="C",INDEX(Contracts!$P$2:$P$151,$AB1010)&amp;"",IF($Z1010="A",INDEX(Fixed_Assets!$K$2:$K$201,$AB1010)&amp;"",IF($Z1010="F",IF(INDEX(FTE_Allocation!$D$2:$D$201,$AB1010)="PROJECT",IFERROR(INDEX(Projects!$D:$D,MATCH(INDEX(FTE_Allocation!$E$2:$E$201,$AB1010),Projects!$A:$A,0))&amp;"","#PROJECT?"),INDEX(FTE_Allocation!$E$2:$E$201,$AB1010)&amp;""),"")))</f>
        <v/>
      </c>
      <c r="F1010" s="7">
        <f>IF($Z1010="C",INDEX(Contracts!$Q$2:$Q$151,$AB1010)&amp;"",IF($Z1010="A",INDEX(Fixed_Assets!$L$2:$L$201,$AB1010)&amp;"",IF($Z1010="F",INDEX(Workforce!$K$2:$K$151,MATCH(INDEX(FTE_Allocation!$A$2:$A$201,$AB1010),Workforce!$A$2:$A$151,0))&amp;"","")))</f>
        <v/>
      </c>
      <c r="G1010" s="7">
        <f>IF($Z1010="C",INDEX(Contracts!$F$2:$F$151,$AB1010)&amp;" / "&amp;INDEX(Contracts!$G$2:$G$151,$AB1010),IF($Z1010="A",INDEX(Fixed_Assets!$E$2:$E$201,$AB1010)&amp;"",IF($Z1010="F","Personnel "&amp;INDEX(FTE_Allocation!$A$2:$A$201,$AB1010)&amp;IF(INDEX(FTE_Allocation!$D$2:$D$201,$AB1010)="PROJECT"," ("&amp;INDEX(FTE_Allocation!$E$2:$E$201,$AB1010)&amp;")",""),"")))</f>
        <v/>
      </c>
      <c r="H1010" s="7">
        <f>IF($Z1010="C","CONTRACT",IF($Z1010="A","ASSET",IF($Z1010="F","WORKFORCE","")))</f>
        <v/>
      </c>
      <c r="I1010" s="7">
        <f>IF($Z1010="C",INDEX(Contracts!$L$2:$L$151,$AB1010)&amp;"",IF($Z1010="A",INDEX(Fixed_Assets!$I$2:$I$201,$AB1010)&amp;"",IF($Z1010="F",INDEX(Workforce!$G$2:$G$151,MATCH(INDEX(FTE_Allocation!$A$2:$A$201,$AB1010),Workforce!$A$2:$A$151,0))&amp;"","")))</f>
        <v/>
      </c>
      <c r="J1010" s="18">
        <f>IF($Z1010="","",IF(AND(DATE($AD1010,1,1)&gt;=$AE1010,DATE($AD1010,1,1)&lt;=$AF1010),ROUND($AG1010,2),0))</f>
        <v/>
      </c>
      <c r="K1010" s="18">
        <f>IF($Z1010="","",IF(AND(DATE($AD1010,2,1)&gt;=$AE1010,DATE($AD1010,2,1)&lt;=$AF1010),ROUND($AG1010,2),0))</f>
        <v/>
      </c>
      <c r="L1010" s="18">
        <f>IF($Z1010="","",IF(AND(DATE($AD1010,3,1)&gt;=$AE1010,DATE($AD1010,3,1)&lt;=$AF1010),ROUND($AG1010,2),0))</f>
        <v/>
      </c>
      <c r="M1010" s="18">
        <f>IF($Z1010="","",IF(AND(DATE($AD1010,4,1)&gt;=$AE1010,DATE($AD1010,4,1)&lt;=$AF1010),ROUND($AG1010,2),0))</f>
        <v/>
      </c>
      <c r="N1010" s="18">
        <f>IF($Z1010="","",IF(AND(DATE($AD1010,5,1)&gt;=$AE1010,DATE($AD1010,5,1)&lt;=$AF1010),ROUND($AG1010,2),0))</f>
        <v/>
      </c>
      <c r="O1010" s="18">
        <f>IF($Z1010="","",IF(AND(DATE($AD1010,6,1)&gt;=$AE1010,DATE($AD1010,6,1)&lt;=$AF1010),ROUND($AG1010,2),0))</f>
        <v/>
      </c>
      <c r="P1010" s="18">
        <f>IF($Z1010="","",IF(AND(DATE($AD1010,7,1)&gt;=$AE1010,DATE($AD1010,7,1)&lt;=$AF1010),ROUND($AG1010,2),0))</f>
        <v/>
      </c>
      <c r="Q1010" s="18">
        <f>IF($Z1010="","",IF(AND(DATE($AD1010,8,1)&gt;=$AE1010,DATE($AD1010,8,1)&lt;=$AF1010),ROUND($AG1010,2),0))</f>
        <v/>
      </c>
      <c r="R1010" s="18">
        <f>IF($Z1010="","",IF(AND(DATE($AD1010,9,1)&gt;=$AE1010,DATE($AD1010,9,1)&lt;=$AF1010),ROUND($AG1010,2),0))</f>
        <v/>
      </c>
      <c r="S1010" s="18">
        <f>IF($Z1010="","",IF(AND(DATE($AD1010,10,1)&gt;=$AE1010,DATE($AD1010,10,1)&lt;=$AF1010),ROUND($AG1010,2),0))</f>
        <v/>
      </c>
      <c r="T1010" s="18">
        <f>IF($Z1010="","",IF(AND(DATE($AD1010,11,1)&gt;=$AE1010,DATE($AD1010,11,1)&lt;=$AF1010),ROUND($AG1010,2),0))</f>
        <v/>
      </c>
      <c r="U1010" s="18">
        <f>IF($Z1010="","",IF(AND(DATE($AD1010,12,1)&gt;=$AE1010,DATE($AD1010,12,1)&lt;=$AF1010),ROUND($AG1010,2),0))</f>
        <v/>
      </c>
      <c r="V1010" s="7">
        <f>IF($Z1010="C","Generated from "&amp;INDEX(Contracts!$A$2:$A$151,$AB1010),IF($Z1010="A","Generated from "&amp;INDEX(Fixed_Assets!$A$2:$A$201,$AB1010),IF($Z1010="F","Generated from "&amp;INDEX(FTE_Allocation!$A$2:$A$201,$AB1010),"")))</f>
        <v/>
      </c>
      <c r="X1010" s="19">
        <f>IF($Z1010="","",SUM(J1010:U1010))</f>
        <v/>
      </c>
      <c r="Y1010" s="20">
        <f>ROW()-1</f>
        <v/>
      </c>
      <c r="Z1010" s="20">
        <f>IF($Y1010&lt;=Settings!$B$4*3,"C",IF($Y1010&lt;=(Settings!$B$4+Settings!$B$5)*3,"A",IF($Y1010&lt;=(Settings!$B$4+Settings!$B$5+Settings!$B$6)*3,"F","")))</f>
        <v/>
      </c>
      <c r="AA1010" s="20">
        <f>IF($Z1010="C",$Y1010,IF($Z1010="A",$Y1010-Settings!$B$4*3,IF($Z1010="F",$Y1010-(Settings!$B$4+Settings!$B$5)*3,"")))</f>
        <v/>
      </c>
      <c r="AB1010" s="20">
        <f>IF($Z1010="","",INT(($AA1010-1)/3)+1)</f>
        <v/>
      </c>
      <c r="AC1010" s="20">
        <f>IF($Z1010="","",MOD($AA1010-1,3)+1)</f>
        <v/>
      </c>
      <c r="AD1010" s="20">
        <f>IF($Z1010="","",Settings!$B$2+$AC1010-1)</f>
        <v/>
      </c>
      <c r="AE1010" s="21">
        <f>IF($Z1010="C",DATE(YEAR(INDEX(Contracts!$J$2:$J$151,$AB1010)),MONTH(INDEX(Contracts!$J$2:$J$151,$AB1010)),1),IF($Z1010="A",DATE(YEAR(INDEX(Fixed_Assets!$G$2:$G$201,$AB1010)),MONTH(INDEX(Fixed_Assets!$G$2:$G$201,$AB1010)),1),IF($Z1010="F",DATE(YEAR(MAX(N(INDEX(Workforce!$I$2:$I$151,MATCH(INDEX(FTE_Allocation!$A$2:$A$201,$AB1010),Workforce!$A$2:$A$151,0))),N(INDEX(FTE_Allocation!$I$2:$I$201,$AB1010)))),MONTH(MAX(N(INDEX(Workforce!$I$2:$I$151,MATCH(INDEX(FTE_Allocation!$A$2:$A$201,$AB1010),Workforce!$A$2:$A$151,0))),N(INDEX(FTE_Allocation!$I$2:$I$201,$AB1010)))),1),"")))</f>
        <v/>
      </c>
      <c r="AF1010" s="21">
        <f>IF($Z1010="C",IF(INDEX(Contracts!$I$2:$I$151,$AB1010)="PREPAID",EDATE(DATE(YEAR(INDEX(Contracts!$J$2:$J$151,$AB1010)),MONTH(INDEX(Contracts!$J$2:$J$151,$AB1010)),1),IF(INDEX(Contracts!$N$2:$N$151,$AB1010)="",12,INDEX(Contracts!$N$2:$N$151,$AB1010))-1),IF(INDEX(Contracts!$I$2:$I$151,$AB1010)="MONTHLY",IF(INDEX(Contracts!$K$2:$K$151,$AB1010)="",2958101,INDEX(Contracts!$K$2:$K$151,$AB1010)),0)),IF($Z1010="A",EDATE(DATE(YEAR(INDEX(Fixed_Assets!$G$2:$G$201,$AB1010)),MONTH(INDEX(Fixed_Assets!$G$2:$G$201,$AB1010)),1),INDEX(Fixed_Assets!$J$2:$J$201,$AB1010)-1),IF($Z1010="F",MIN(IF(INDEX(Workforce!$J$2:$J$151,MATCH(INDEX(FTE_Allocation!$A$2:$A$201,$AB1010),Workforce!$A$2:$A$151,0))="",2958101,INDEX(Workforce!$J$2:$J$151,MATCH(INDEX(FTE_Allocation!$A$2:$A$201,$AB1010),Workforce!$A$2:$A$151,0))),IF(INDEX(FTE_Allocation!$J$2:$J$201,$AB1010)="",2958101,INDEX(FTE_Allocation!$J$2:$J$201,$AB1010))),"")))</f>
        <v/>
      </c>
      <c r="AG1010" s="19">
        <f>IF($Z1010="C",IF(INDEX(Contracts!$I$2:$I$151,$AB1010)="PREPAID",INDEX(Contracts!$M$2:$M$151,$AB1010)/IF(INDEX(Contracts!$N$2:$N$151,$AB1010)="",12,INDEX(Contracts!$N$2:$N$151,$AB1010)),IF(INDEX(Contracts!$I$2:$I$151,$AB1010)="MONTHLY",INDEX(Contracts!$M$2:$M$151,$AB1010),0))*(1-N(INDEX(Contracts!$O$2:$O$151,$AB1010))),IF($Z1010="A",INDEX(Fixed_Assets!$H$2:$H$201,$AB1010)/INDEX(Fixed_Assets!$J$2:$J$201,$AB1010),IF($Z1010="F",INDEX(Workforce!$F$2:$F$151,MATCH(INDEX(FTE_Allocation!$A$2:$A$201,$AB1010),Workforce!$A$2:$A$151,0))*N(INDEX(FTE_Allocation!$F$2:$H$201,$AB1010,$AC1010)),"")))</f>
        <v/>
      </c>
    </row>
    <row r="1011">
      <c r="A1011" s="7">
        <f>IF($Z1011="","",$AD1011)</f>
        <v/>
      </c>
      <c r="B1011" s="7">
        <f>IF($Z1011="C",INDEX(Contracts!$D$2:$D$151,$AB1011)&amp;"",IF($Z1011="A",INDEX(Fixed_Assets!$C$2:$C$201,$AB1011)&amp;"",IF($Z1011="F",INDEX(Workforce!$B$2:$B$151,MATCH(INDEX(FTE_Allocation!$A$2:$A$201,$AB1011),Workforce!$A$2:$A$151,0))&amp;"","")))</f>
        <v/>
      </c>
      <c r="C1011" s="7">
        <f>IF($Z1011="C",INDEX(Contracts!$E$2:$E$151,$AB1011)&amp;"",IF($Z1011="A",INDEX(Fixed_Assets!$D$2:$D$201,$AB1011)&amp;"",IF($Z1011="F",INDEX(FTE_Allocation!$C$2:$C$201,$AB1011)&amp;"","")))</f>
        <v/>
      </c>
      <c r="D1011" s="7">
        <f>IF($Z1011="C",INDEX(Contracts!$B$2:$B$151,$AB1011)&amp;"",IF($Z1011="A",INDEX(Fixed_Assets!$B$2:$B$201,$AB1011)&amp;"",IF($Z1011="F",INDEX(FTE_Allocation!$B$2:$B$201,$AB1011)&amp;"","")))</f>
        <v/>
      </c>
      <c r="E1011" s="7">
        <f>IF($Z1011="C",INDEX(Contracts!$P$2:$P$151,$AB1011)&amp;"",IF($Z1011="A",INDEX(Fixed_Assets!$K$2:$K$201,$AB1011)&amp;"",IF($Z1011="F",IF(INDEX(FTE_Allocation!$D$2:$D$201,$AB1011)="PROJECT",IFERROR(INDEX(Projects!$D:$D,MATCH(INDEX(FTE_Allocation!$E$2:$E$201,$AB1011),Projects!$A:$A,0))&amp;"","#PROJECT?"),INDEX(FTE_Allocation!$E$2:$E$201,$AB1011)&amp;""),"")))</f>
        <v/>
      </c>
      <c r="F1011" s="7">
        <f>IF($Z1011="C",INDEX(Contracts!$Q$2:$Q$151,$AB1011)&amp;"",IF($Z1011="A",INDEX(Fixed_Assets!$L$2:$L$201,$AB1011)&amp;"",IF($Z1011="F",INDEX(Workforce!$K$2:$K$151,MATCH(INDEX(FTE_Allocation!$A$2:$A$201,$AB1011),Workforce!$A$2:$A$151,0))&amp;"","")))</f>
        <v/>
      </c>
      <c r="G1011" s="7">
        <f>IF($Z1011="C",INDEX(Contracts!$F$2:$F$151,$AB1011)&amp;" / "&amp;INDEX(Contracts!$G$2:$G$151,$AB1011),IF($Z1011="A",INDEX(Fixed_Assets!$E$2:$E$201,$AB1011)&amp;"",IF($Z1011="F","Personnel "&amp;INDEX(FTE_Allocation!$A$2:$A$201,$AB1011)&amp;IF(INDEX(FTE_Allocation!$D$2:$D$201,$AB1011)="PROJECT"," ("&amp;INDEX(FTE_Allocation!$E$2:$E$201,$AB1011)&amp;")",""),"")))</f>
        <v/>
      </c>
      <c r="H1011" s="7">
        <f>IF($Z1011="C","CONTRACT",IF($Z1011="A","ASSET",IF($Z1011="F","WORKFORCE","")))</f>
        <v/>
      </c>
      <c r="I1011" s="7">
        <f>IF($Z1011="C",INDEX(Contracts!$L$2:$L$151,$AB1011)&amp;"",IF($Z1011="A",INDEX(Fixed_Assets!$I$2:$I$201,$AB1011)&amp;"",IF($Z1011="F",INDEX(Workforce!$G$2:$G$151,MATCH(INDEX(FTE_Allocation!$A$2:$A$201,$AB1011),Workforce!$A$2:$A$151,0))&amp;"","")))</f>
        <v/>
      </c>
      <c r="J1011" s="18">
        <f>IF($Z1011="","",IF(AND(DATE($AD1011,1,1)&gt;=$AE1011,DATE($AD1011,1,1)&lt;=$AF1011),ROUND($AG1011,2),0))</f>
        <v/>
      </c>
      <c r="K1011" s="18">
        <f>IF($Z1011="","",IF(AND(DATE($AD1011,2,1)&gt;=$AE1011,DATE($AD1011,2,1)&lt;=$AF1011),ROUND($AG1011,2),0))</f>
        <v/>
      </c>
      <c r="L1011" s="18">
        <f>IF($Z1011="","",IF(AND(DATE($AD1011,3,1)&gt;=$AE1011,DATE($AD1011,3,1)&lt;=$AF1011),ROUND($AG1011,2),0))</f>
        <v/>
      </c>
      <c r="M1011" s="18">
        <f>IF($Z1011="","",IF(AND(DATE($AD1011,4,1)&gt;=$AE1011,DATE($AD1011,4,1)&lt;=$AF1011),ROUND($AG1011,2),0))</f>
        <v/>
      </c>
      <c r="N1011" s="18">
        <f>IF($Z1011="","",IF(AND(DATE($AD1011,5,1)&gt;=$AE1011,DATE($AD1011,5,1)&lt;=$AF1011),ROUND($AG1011,2),0))</f>
        <v/>
      </c>
      <c r="O1011" s="18">
        <f>IF($Z1011="","",IF(AND(DATE($AD1011,6,1)&gt;=$AE1011,DATE($AD1011,6,1)&lt;=$AF1011),ROUND($AG1011,2),0))</f>
        <v/>
      </c>
      <c r="P1011" s="18">
        <f>IF($Z1011="","",IF(AND(DATE($AD1011,7,1)&gt;=$AE1011,DATE($AD1011,7,1)&lt;=$AF1011),ROUND($AG1011,2),0))</f>
        <v/>
      </c>
      <c r="Q1011" s="18">
        <f>IF($Z1011="","",IF(AND(DATE($AD1011,8,1)&gt;=$AE1011,DATE($AD1011,8,1)&lt;=$AF1011),ROUND($AG1011,2),0))</f>
        <v/>
      </c>
      <c r="R1011" s="18">
        <f>IF($Z1011="","",IF(AND(DATE($AD1011,9,1)&gt;=$AE1011,DATE($AD1011,9,1)&lt;=$AF1011),ROUND($AG1011,2),0))</f>
        <v/>
      </c>
      <c r="S1011" s="18">
        <f>IF($Z1011="","",IF(AND(DATE($AD1011,10,1)&gt;=$AE1011,DATE($AD1011,10,1)&lt;=$AF1011),ROUND($AG1011,2),0))</f>
        <v/>
      </c>
      <c r="T1011" s="18">
        <f>IF($Z1011="","",IF(AND(DATE($AD1011,11,1)&gt;=$AE1011,DATE($AD1011,11,1)&lt;=$AF1011),ROUND($AG1011,2),0))</f>
        <v/>
      </c>
      <c r="U1011" s="18">
        <f>IF($Z1011="","",IF(AND(DATE($AD1011,12,1)&gt;=$AE1011,DATE($AD1011,12,1)&lt;=$AF1011),ROUND($AG1011,2),0))</f>
        <v/>
      </c>
      <c r="V1011" s="7">
        <f>IF($Z1011="C","Generated from "&amp;INDEX(Contracts!$A$2:$A$151,$AB1011),IF($Z1011="A","Generated from "&amp;INDEX(Fixed_Assets!$A$2:$A$201,$AB1011),IF($Z1011="F","Generated from "&amp;INDEX(FTE_Allocation!$A$2:$A$201,$AB1011),"")))</f>
        <v/>
      </c>
      <c r="X1011" s="19">
        <f>IF($Z1011="","",SUM(J1011:U1011))</f>
        <v/>
      </c>
      <c r="Y1011" s="20">
        <f>ROW()-1</f>
        <v/>
      </c>
      <c r="Z1011" s="20">
        <f>IF($Y1011&lt;=Settings!$B$4*3,"C",IF($Y1011&lt;=(Settings!$B$4+Settings!$B$5)*3,"A",IF($Y1011&lt;=(Settings!$B$4+Settings!$B$5+Settings!$B$6)*3,"F","")))</f>
        <v/>
      </c>
      <c r="AA1011" s="20">
        <f>IF($Z1011="C",$Y1011,IF($Z1011="A",$Y1011-Settings!$B$4*3,IF($Z1011="F",$Y1011-(Settings!$B$4+Settings!$B$5)*3,"")))</f>
        <v/>
      </c>
      <c r="AB1011" s="20">
        <f>IF($Z1011="","",INT(($AA1011-1)/3)+1)</f>
        <v/>
      </c>
      <c r="AC1011" s="20">
        <f>IF($Z1011="","",MOD($AA1011-1,3)+1)</f>
        <v/>
      </c>
      <c r="AD1011" s="20">
        <f>IF($Z1011="","",Settings!$B$2+$AC1011-1)</f>
        <v/>
      </c>
      <c r="AE1011" s="21">
        <f>IF($Z1011="C",DATE(YEAR(INDEX(Contracts!$J$2:$J$151,$AB1011)),MONTH(INDEX(Contracts!$J$2:$J$151,$AB1011)),1),IF($Z1011="A",DATE(YEAR(INDEX(Fixed_Assets!$G$2:$G$201,$AB1011)),MONTH(INDEX(Fixed_Assets!$G$2:$G$201,$AB1011)),1),IF($Z1011="F",DATE(YEAR(MAX(N(INDEX(Workforce!$I$2:$I$151,MATCH(INDEX(FTE_Allocation!$A$2:$A$201,$AB1011),Workforce!$A$2:$A$151,0))),N(INDEX(FTE_Allocation!$I$2:$I$201,$AB1011)))),MONTH(MAX(N(INDEX(Workforce!$I$2:$I$151,MATCH(INDEX(FTE_Allocation!$A$2:$A$201,$AB1011),Workforce!$A$2:$A$151,0))),N(INDEX(FTE_Allocation!$I$2:$I$201,$AB1011)))),1),"")))</f>
        <v/>
      </c>
      <c r="AF1011" s="21">
        <f>IF($Z1011="C",IF(INDEX(Contracts!$I$2:$I$151,$AB1011)="PREPAID",EDATE(DATE(YEAR(INDEX(Contracts!$J$2:$J$151,$AB1011)),MONTH(INDEX(Contracts!$J$2:$J$151,$AB1011)),1),IF(INDEX(Contracts!$N$2:$N$151,$AB1011)="",12,INDEX(Contracts!$N$2:$N$151,$AB1011))-1),IF(INDEX(Contracts!$I$2:$I$151,$AB1011)="MONTHLY",IF(INDEX(Contracts!$K$2:$K$151,$AB1011)="",2958101,INDEX(Contracts!$K$2:$K$151,$AB1011)),0)),IF($Z1011="A",EDATE(DATE(YEAR(INDEX(Fixed_Assets!$G$2:$G$201,$AB1011)),MONTH(INDEX(Fixed_Assets!$G$2:$G$201,$AB1011)),1),INDEX(Fixed_Assets!$J$2:$J$201,$AB1011)-1),IF($Z1011="F",MIN(IF(INDEX(Workforce!$J$2:$J$151,MATCH(INDEX(FTE_Allocation!$A$2:$A$201,$AB1011),Workforce!$A$2:$A$151,0))="",2958101,INDEX(Workforce!$J$2:$J$151,MATCH(INDEX(FTE_Allocation!$A$2:$A$201,$AB1011),Workforce!$A$2:$A$151,0))),IF(INDEX(FTE_Allocation!$J$2:$J$201,$AB1011)="",2958101,INDEX(FTE_Allocation!$J$2:$J$201,$AB1011))),"")))</f>
        <v/>
      </c>
      <c r="AG1011" s="19">
        <f>IF($Z1011="C",IF(INDEX(Contracts!$I$2:$I$151,$AB1011)="PREPAID",INDEX(Contracts!$M$2:$M$151,$AB1011)/IF(INDEX(Contracts!$N$2:$N$151,$AB1011)="",12,INDEX(Contracts!$N$2:$N$151,$AB1011)),IF(INDEX(Contracts!$I$2:$I$151,$AB1011)="MONTHLY",INDEX(Contracts!$M$2:$M$151,$AB1011),0))*(1-N(INDEX(Contracts!$O$2:$O$151,$AB1011))),IF($Z1011="A",INDEX(Fixed_Assets!$H$2:$H$201,$AB1011)/INDEX(Fixed_Assets!$J$2:$J$201,$AB1011),IF($Z1011="F",INDEX(Workforce!$F$2:$F$151,MATCH(INDEX(FTE_Allocation!$A$2:$A$201,$AB1011),Workforce!$A$2:$A$151,0))*N(INDEX(FTE_Allocation!$F$2:$H$201,$AB1011,$AC1011)),"")))</f>
        <v/>
      </c>
    </row>
    <row r="1012">
      <c r="A1012" s="7">
        <f>IF($Z1012="","",$AD1012)</f>
        <v/>
      </c>
      <c r="B1012" s="7">
        <f>IF($Z1012="C",INDEX(Contracts!$D$2:$D$151,$AB1012)&amp;"",IF($Z1012="A",INDEX(Fixed_Assets!$C$2:$C$201,$AB1012)&amp;"",IF($Z1012="F",INDEX(Workforce!$B$2:$B$151,MATCH(INDEX(FTE_Allocation!$A$2:$A$201,$AB1012),Workforce!$A$2:$A$151,0))&amp;"","")))</f>
        <v/>
      </c>
      <c r="C1012" s="7">
        <f>IF($Z1012="C",INDEX(Contracts!$E$2:$E$151,$AB1012)&amp;"",IF($Z1012="A",INDEX(Fixed_Assets!$D$2:$D$201,$AB1012)&amp;"",IF($Z1012="F",INDEX(FTE_Allocation!$C$2:$C$201,$AB1012)&amp;"","")))</f>
        <v/>
      </c>
      <c r="D1012" s="7">
        <f>IF($Z1012="C",INDEX(Contracts!$B$2:$B$151,$AB1012)&amp;"",IF($Z1012="A",INDEX(Fixed_Assets!$B$2:$B$201,$AB1012)&amp;"",IF($Z1012="F",INDEX(FTE_Allocation!$B$2:$B$201,$AB1012)&amp;"","")))</f>
        <v/>
      </c>
      <c r="E1012" s="7">
        <f>IF($Z1012="C",INDEX(Contracts!$P$2:$P$151,$AB1012)&amp;"",IF($Z1012="A",INDEX(Fixed_Assets!$K$2:$K$201,$AB1012)&amp;"",IF($Z1012="F",IF(INDEX(FTE_Allocation!$D$2:$D$201,$AB1012)="PROJECT",IFERROR(INDEX(Projects!$D:$D,MATCH(INDEX(FTE_Allocation!$E$2:$E$201,$AB1012),Projects!$A:$A,0))&amp;"","#PROJECT?"),INDEX(FTE_Allocation!$E$2:$E$201,$AB1012)&amp;""),"")))</f>
        <v/>
      </c>
      <c r="F1012" s="7">
        <f>IF($Z1012="C",INDEX(Contracts!$Q$2:$Q$151,$AB1012)&amp;"",IF($Z1012="A",INDEX(Fixed_Assets!$L$2:$L$201,$AB1012)&amp;"",IF($Z1012="F",INDEX(Workforce!$K$2:$K$151,MATCH(INDEX(FTE_Allocation!$A$2:$A$201,$AB1012),Workforce!$A$2:$A$151,0))&amp;"","")))</f>
        <v/>
      </c>
      <c r="G1012" s="7">
        <f>IF($Z1012="C",INDEX(Contracts!$F$2:$F$151,$AB1012)&amp;" / "&amp;INDEX(Contracts!$G$2:$G$151,$AB1012),IF($Z1012="A",INDEX(Fixed_Assets!$E$2:$E$201,$AB1012)&amp;"",IF($Z1012="F","Personnel "&amp;INDEX(FTE_Allocation!$A$2:$A$201,$AB1012)&amp;IF(INDEX(FTE_Allocation!$D$2:$D$201,$AB1012)="PROJECT"," ("&amp;INDEX(FTE_Allocation!$E$2:$E$201,$AB1012)&amp;")",""),"")))</f>
        <v/>
      </c>
      <c r="H1012" s="7">
        <f>IF($Z1012="C","CONTRACT",IF($Z1012="A","ASSET",IF($Z1012="F","WORKFORCE","")))</f>
        <v/>
      </c>
      <c r="I1012" s="7">
        <f>IF($Z1012="C",INDEX(Contracts!$L$2:$L$151,$AB1012)&amp;"",IF($Z1012="A",INDEX(Fixed_Assets!$I$2:$I$201,$AB1012)&amp;"",IF($Z1012="F",INDEX(Workforce!$G$2:$G$151,MATCH(INDEX(FTE_Allocation!$A$2:$A$201,$AB1012),Workforce!$A$2:$A$151,0))&amp;"","")))</f>
        <v/>
      </c>
      <c r="J1012" s="18">
        <f>IF($Z1012="","",IF(AND(DATE($AD1012,1,1)&gt;=$AE1012,DATE($AD1012,1,1)&lt;=$AF1012),ROUND($AG1012,2),0))</f>
        <v/>
      </c>
      <c r="K1012" s="18">
        <f>IF($Z1012="","",IF(AND(DATE($AD1012,2,1)&gt;=$AE1012,DATE($AD1012,2,1)&lt;=$AF1012),ROUND($AG1012,2),0))</f>
        <v/>
      </c>
      <c r="L1012" s="18">
        <f>IF($Z1012="","",IF(AND(DATE($AD1012,3,1)&gt;=$AE1012,DATE($AD1012,3,1)&lt;=$AF1012),ROUND($AG1012,2),0))</f>
        <v/>
      </c>
      <c r="M1012" s="18">
        <f>IF($Z1012="","",IF(AND(DATE($AD1012,4,1)&gt;=$AE1012,DATE($AD1012,4,1)&lt;=$AF1012),ROUND($AG1012,2),0))</f>
        <v/>
      </c>
      <c r="N1012" s="18">
        <f>IF($Z1012="","",IF(AND(DATE($AD1012,5,1)&gt;=$AE1012,DATE($AD1012,5,1)&lt;=$AF1012),ROUND($AG1012,2),0))</f>
        <v/>
      </c>
      <c r="O1012" s="18">
        <f>IF($Z1012="","",IF(AND(DATE($AD1012,6,1)&gt;=$AE1012,DATE($AD1012,6,1)&lt;=$AF1012),ROUND($AG1012,2),0))</f>
        <v/>
      </c>
      <c r="P1012" s="18">
        <f>IF($Z1012="","",IF(AND(DATE($AD1012,7,1)&gt;=$AE1012,DATE($AD1012,7,1)&lt;=$AF1012),ROUND($AG1012,2),0))</f>
        <v/>
      </c>
      <c r="Q1012" s="18">
        <f>IF($Z1012="","",IF(AND(DATE($AD1012,8,1)&gt;=$AE1012,DATE($AD1012,8,1)&lt;=$AF1012),ROUND($AG1012,2),0))</f>
        <v/>
      </c>
      <c r="R1012" s="18">
        <f>IF($Z1012="","",IF(AND(DATE($AD1012,9,1)&gt;=$AE1012,DATE($AD1012,9,1)&lt;=$AF1012),ROUND($AG1012,2),0))</f>
        <v/>
      </c>
      <c r="S1012" s="18">
        <f>IF($Z1012="","",IF(AND(DATE($AD1012,10,1)&gt;=$AE1012,DATE($AD1012,10,1)&lt;=$AF1012),ROUND($AG1012,2),0))</f>
        <v/>
      </c>
      <c r="T1012" s="18">
        <f>IF($Z1012="","",IF(AND(DATE($AD1012,11,1)&gt;=$AE1012,DATE($AD1012,11,1)&lt;=$AF1012),ROUND($AG1012,2),0))</f>
        <v/>
      </c>
      <c r="U1012" s="18">
        <f>IF($Z1012="","",IF(AND(DATE($AD1012,12,1)&gt;=$AE1012,DATE($AD1012,12,1)&lt;=$AF1012),ROUND($AG1012,2),0))</f>
        <v/>
      </c>
      <c r="V1012" s="7">
        <f>IF($Z1012="C","Generated from "&amp;INDEX(Contracts!$A$2:$A$151,$AB1012),IF($Z1012="A","Generated from "&amp;INDEX(Fixed_Assets!$A$2:$A$201,$AB1012),IF($Z1012="F","Generated from "&amp;INDEX(FTE_Allocation!$A$2:$A$201,$AB1012),"")))</f>
        <v/>
      </c>
      <c r="X1012" s="19">
        <f>IF($Z1012="","",SUM(J1012:U1012))</f>
        <v/>
      </c>
      <c r="Y1012" s="20">
        <f>ROW()-1</f>
        <v/>
      </c>
      <c r="Z1012" s="20">
        <f>IF($Y1012&lt;=Settings!$B$4*3,"C",IF($Y1012&lt;=(Settings!$B$4+Settings!$B$5)*3,"A",IF($Y1012&lt;=(Settings!$B$4+Settings!$B$5+Settings!$B$6)*3,"F","")))</f>
        <v/>
      </c>
      <c r="AA1012" s="20">
        <f>IF($Z1012="C",$Y1012,IF($Z1012="A",$Y1012-Settings!$B$4*3,IF($Z1012="F",$Y1012-(Settings!$B$4+Settings!$B$5)*3,"")))</f>
        <v/>
      </c>
      <c r="AB1012" s="20">
        <f>IF($Z1012="","",INT(($AA1012-1)/3)+1)</f>
        <v/>
      </c>
      <c r="AC1012" s="20">
        <f>IF($Z1012="","",MOD($AA1012-1,3)+1)</f>
        <v/>
      </c>
      <c r="AD1012" s="20">
        <f>IF($Z1012="","",Settings!$B$2+$AC1012-1)</f>
        <v/>
      </c>
      <c r="AE1012" s="21">
        <f>IF($Z1012="C",DATE(YEAR(INDEX(Contracts!$J$2:$J$151,$AB1012)),MONTH(INDEX(Contracts!$J$2:$J$151,$AB1012)),1),IF($Z1012="A",DATE(YEAR(INDEX(Fixed_Assets!$G$2:$G$201,$AB1012)),MONTH(INDEX(Fixed_Assets!$G$2:$G$201,$AB1012)),1),IF($Z1012="F",DATE(YEAR(MAX(N(INDEX(Workforce!$I$2:$I$151,MATCH(INDEX(FTE_Allocation!$A$2:$A$201,$AB1012),Workforce!$A$2:$A$151,0))),N(INDEX(FTE_Allocation!$I$2:$I$201,$AB1012)))),MONTH(MAX(N(INDEX(Workforce!$I$2:$I$151,MATCH(INDEX(FTE_Allocation!$A$2:$A$201,$AB1012),Workforce!$A$2:$A$151,0))),N(INDEX(FTE_Allocation!$I$2:$I$201,$AB1012)))),1),"")))</f>
        <v/>
      </c>
      <c r="AF1012" s="21">
        <f>IF($Z1012="C",IF(INDEX(Contracts!$I$2:$I$151,$AB1012)="PREPAID",EDATE(DATE(YEAR(INDEX(Contracts!$J$2:$J$151,$AB1012)),MONTH(INDEX(Contracts!$J$2:$J$151,$AB1012)),1),IF(INDEX(Contracts!$N$2:$N$151,$AB1012)="",12,INDEX(Contracts!$N$2:$N$151,$AB1012))-1),IF(INDEX(Contracts!$I$2:$I$151,$AB1012)="MONTHLY",IF(INDEX(Contracts!$K$2:$K$151,$AB1012)="",2958101,INDEX(Contracts!$K$2:$K$151,$AB1012)),0)),IF($Z1012="A",EDATE(DATE(YEAR(INDEX(Fixed_Assets!$G$2:$G$201,$AB1012)),MONTH(INDEX(Fixed_Assets!$G$2:$G$201,$AB1012)),1),INDEX(Fixed_Assets!$J$2:$J$201,$AB1012)-1),IF($Z1012="F",MIN(IF(INDEX(Workforce!$J$2:$J$151,MATCH(INDEX(FTE_Allocation!$A$2:$A$201,$AB1012),Workforce!$A$2:$A$151,0))="",2958101,INDEX(Workforce!$J$2:$J$151,MATCH(INDEX(FTE_Allocation!$A$2:$A$201,$AB1012),Workforce!$A$2:$A$151,0))),IF(INDEX(FTE_Allocation!$J$2:$J$201,$AB1012)="",2958101,INDEX(FTE_Allocation!$J$2:$J$201,$AB1012))),"")))</f>
        <v/>
      </c>
      <c r="AG1012" s="19">
        <f>IF($Z1012="C",IF(INDEX(Contracts!$I$2:$I$151,$AB1012)="PREPAID",INDEX(Contracts!$M$2:$M$151,$AB1012)/IF(INDEX(Contracts!$N$2:$N$151,$AB1012)="",12,INDEX(Contracts!$N$2:$N$151,$AB1012)),IF(INDEX(Contracts!$I$2:$I$151,$AB1012)="MONTHLY",INDEX(Contracts!$M$2:$M$151,$AB1012),0))*(1-N(INDEX(Contracts!$O$2:$O$151,$AB1012))),IF($Z1012="A",INDEX(Fixed_Assets!$H$2:$H$201,$AB1012)/INDEX(Fixed_Assets!$J$2:$J$201,$AB1012),IF($Z1012="F",INDEX(Workforce!$F$2:$F$151,MATCH(INDEX(FTE_Allocation!$A$2:$A$201,$AB1012),Workforce!$A$2:$A$151,0))*N(INDEX(FTE_Allocation!$F$2:$H$201,$AB1012,$AC1012)),"")))</f>
        <v/>
      </c>
    </row>
    <row r="1013">
      <c r="A1013" s="7">
        <f>IF($Z1013="","",$AD1013)</f>
        <v/>
      </c>
      <c r="B1013" s="7">
        <f>IF($Z1013="C",INDEX(Contracts!$D$2:$D$151,$AB1013)&amp;"",IF($Z1013="A",INDEX(Fixed_Assets!$C$2:$C$201,$AB1013)&amp;"",IF($Z1013="F",INDEX(Workforce!$B$2:$B$151,MATCH(INDEX(FTE_Allocation!$A$2:$A$201,$AB1013),Workforce!$A$2:$A$151,0))&amp;"","")))</f>
        <v/>
      </c>
      <c r="C1013" s="7">
        <f>IF($Z1013="C",INDEX(Contracts!$E$2:$E$151,$AB1013)&amp;"",IF($Z1013="A",INDEX(Fixed_Assets!$D$2:$D$201,$AB1013)&amp;"",IF($Z1013="F",INDEX(FTE_Allocation!$C$2:$C$201,$AB1013)&amp;"","")))</f>
        <v/>
      </c>
      <c r="D1013" s="7">
        <f>IF($Z1013="C",INDEX(Contracts!$B$2:$B$151,$AB1013)&amp;"",IF($Z1013="A",INDEX(Fixed_Assets!$B$2:$B$201,$AB1013)&amp;"",IF($Z1013="F",INDEX(FTE_Allocation!$B$2:$B$201,$AB1013)&amp;"","")))</f>
        <v/>
      </c>
      <c r="E1013" s="7">
        <f>IF($Z1013="C",INDEX(Contracts!$P$2:$P$151,$AB1013)&amp;"",IF($Z1013="A",INDEX(Fixed_Assets!$K$2:$K$201,$AB1013)&amp;"",IF($Z1013="F",IF(INDEX(FTE_Allocation!$D$2:$D$201,$AB1013)="PROJECT",IFERROR(INDEX(Projects!$D:$D,MATCH(INDEX(FTE_Allocation!$E$2:$E$201,$AB1013),Projects!$A:$A,0))&amp;"","#PROJECT?"),INDEX(FTE_Allocation!$E$2:$E$201,$AB1013)&amp;""),"")))</f>
        <v/>
      </c>
      <c r="F1013" s="7">
        <f>IF($Z1013="C",INDEX(Contracts!$Q$2:$Q$151,$AB1013)&amp;"",IF($Z1013="A",INDEX(Fixed_Assets!$L$2:$L$201,$AB1013)&amp;"",IF($Z1013="F",INDEX(Workforce!$K$2:$K$151,MATCH(INDEX(FTE_Allocation!$A$2:$A$201,$AB1013),Workforce!$A$2:$A$151,0))&amp;"","")))</f>
        <v/>
      </c>
      <c r="G1013" s="7">
        <f>IF($Z1013="C",INDEX(Contracts!$F$2:$F$151,$AB1013)&amp;" / "&amp;INDEX(Contracts!$G$2:$G$151,$AB1013),IF($Z1013="A",INDEX(Fixed_Assets!$E$2:$E$201,$AB1013)&amp;"",IF($Z1013="F","Personnel "&amp;INDEX(FTE_Allocation!$A$2:$A$201,$AB1013)&amp;IF(INDEX(FTE_Allocation!$D$2:$D$201,$AB1013)="PROJECT"," ("&amp;INDEX(FTE_Allocation!$E$2:$E$201,$AB1013)&amp;")",""),"")))</f>
        <v/>
      </c>
      <c r="H1013" s="7">
        <f>IF($Z1013="C","CONTRACT",IF($Z1013="A","ASSET",IF($Z1013="F","WORKFORCE","")))</f>
        <v/>
      </c>
      <c r="I1013" s="7">
        <f>IF($Z1013="C",INDEX(Contracts!$L$2:$L$151,$AB1013)&amp;"",IF($Z1013="A",INDEX(Fixed_Assets!$I$2:$I$201,$AB1013)&amp;"",IF($Z1013="F",INDEX(Workforce!$G$2:$G$151,MATCH(INDEX(FTE_Allocation!$A$2:$A$201,$AB1013),Workforce!$A$2:$A$151,0))&amp;"","")))</f>
        <v/>
      </c>
      <c r="J1013" s="18">
        <f>IF($Z1013="","",IF(AND(DATE($AD1013,1,1)&gt;=$AE1013,DATE($AD1013,1,1)&lt;=$AF1013),ROUND($AG1013,2),0))</f>
        <v/>
      </c>
      <c r="K1013" s="18">
        <f>IF($Z1013="","",IF(AND(DATE($AD1013,2,1)&gt;=$AE1013,DATE($AD1013,2,1)&lt;=$AF1013),ROUND($AG1013,2),0))</f>
        <v/>
      </c>
      <c r="L1013" s="18">
        <f>IF($Z1013="","",IF(AND(DATE($AD1013,3,1)&gt;=$AE1013,DATE($AD1013,3,1)&lt;=$AF1013),ROUND($AG1013,2),0))</f>
        <v/>
      </c>
      <c r="M1013" s="18">
        <f>IF($Z1013="","",IF(AND(DATE($AD1013,4,1)&gt;=$AE1013,DATE($AD1013,4,1)&lt;=$AF1013),ROUND($AG1013,2),0))</f>
        <v/>
      </c>
      <c r="N1013" s="18">
        <f>IF($Z1013="","",IF(AND(DATE($AD1013,5,1)&gt;=$AE1013,DATE($AD1013,5,1)&lt;=$AF1013),ROUND($AG1013,2),0))</f>
        <v/>
      </c>
      <c r="O1013" s="18">
        <f>IF($Z1013="","",IF(AND(DATE($AD1013,6,1)&gt;=$AE1013,DATE($AD1013,6,1)&lt;=$AF1013),ROUND($AG1013,2),0))</f>
        <v/>
      </c>
      <c r="P1013" s="18">
        <f>IF($Z1013="","",IF(AND(DATE($AD1013,7,1)&gt;=$AE1013,DATE($AD1013,7,1)&lt;=$AF1013),ROUND($AG1013,2),0))</f>
        <v/>
      </c>
      <c r="Q1013" s="18">
        <f>IF($Z1013="","",IF(AND(DATE($AD1013,8,1)&gt;=$AE1013,DATE($AD1013,8,1)&lt;=$AF1013),ROUND($AG1013,2),0))</f>
        <v/>
      </c>
      <c r="R1013" s="18">
        <f>IF($Z1013="","",IF(AND(DATE($AD1013,9,1)&gt;=$AE1013,DATE($AD1013,9,1)&lt;=$AF1013),ROUND($AG1013,2),0))</f>
        <v/>
      </c>
      <c r="S1013" s="18">
        <f>IF($Z1013="","",IF(AND(DATE($AD1013,10,1)&gt;=$AE1013,DATE($AD1013,10,1)&lt;=$AF1013),ROUND($AG1013,2),0))</f>
        <v/>
      </c>
      <c r="T1013" s="18">
        <f>IF($Z1013="","",IF(AND(DATE($AD1013,11,1)&gt;=$AE1013,DATE($AD1013,11,1)&lt;=$AF1013),ROUND($AG1013,2),0))</f>
        <v/>
      </c>
      <c r="U1013" s="18">
        <f>IF($Z1013="","",IF(AND(DATE($AD1013,12,1)&gt;=$AE1013,DATE($AD1013,12,1)&lt;=$AF1013),ROUND($AG1013,2),0))</f>
        <v/>
      </c>
      <c r="V1013" s="7">
        <f>IF($Z1013="C","Generated from "&amp;INDEX(Contracts!$A$2:$A$151,$AB1013),IF($Z1013="A","Generated from "&amp;INDEX(Fixed_Assets!$A$2:$A$201,$AB1013),IF($Z1013="F","Generated from "&amp;INDEX(FTE_Allocation!$A$2:$A$201,$AB1013),"")))</f>
        <v/>
      </c>
      <c r="X1013" s="19">
        <f>IF($Z1013="","",SUM(J1013:U1013))</f>
        <v/>
      </c>
      <c r="Y1013" s="20">
        <f>ROW()-1</f>
        <v/>
      </c>
      <c r="Z1013" s="20">
        <f>IF($Y1013&lt;=Settings!$B$4*3,"C",IF($Y1013&lt;=(Settings!$B$4+Settings!$B$5)*3,"A",IF($Y1013&lt;=(Settings!$B$4+Settings!$B$5+Settings!$B$6)*3,"F","")))</f>
        <v/>
      </c>
      <c r="AA1013" s="20">
        <f>IF($Z1013="C",$Y1013,IF($Z1013="A",$Y1013-Settings!$B$4*3,IF($Z1013="F",$Y1013-(Settings!$B$4+Settings!$B$5)*3,"")))</f>
        <v/>
      </c>
      <c r="AB1013" s="20">
        <f>IF($Z1013="","",INT(($AA1013-1)/3)+1)</f>
        <v/>
      </c>
      <c r="AC1013" s="20">
        <f>IF($Z1013="","",MOD($AA1013-1,3)+1)</f>
        <v/>
      </c>
      <c r="AD1013" s="20">
        <f>IF($Z1013="","",Settings!$B$2+$AC1013-1)</f>
        <v/>
      </c>
      <c r="AE1013" s="21">
        <f>IF($Z1013="C",DATE(YEAR(INDEX(Contracts!$J$2:$J$151,$AB1013)),MONTH(INDEX(Contracts!$J$2:$J$151,$AB1013)),1),IF($Z1013="A",DATE(YEAR(INDEX(Fixed_Assets!$G$2:$G$201,$AB1013)),MONTH(INDEX(Fixed_Assets!$G$2:$G$201,$AB1013)),1),IF($Z1013="F",DATE(YEAR(MAX(N(INDEX(Workforce!$I$2:$I$151,MATCH(INDEX(FTE_Allocation!$A$2:$A$201,$AB1013),Workforce!$A$2:$A$151,0))),N(INDEX(FTE_Allocation!$I$2:$I$201,$AB1013)))),MONTH(MAX(N(INDEX(Workforce!$I$2:$I$151,MATCH(INDEX(FTE_Allocation!$A$2:$A$201,$AB1013),Workforce!$A$2:$A$151,0))),N(INDEX(FTE_Allocation!$I$2:$I$201,$AB1013)))),1),"")))</f>
        <v/>
      </c>
      <c r="AF1013" s="21">
        <f>IF($Z1013="C",IF(INDEX(Contracts!$I$2:$I$151,$AB1013)="PREPAID",EDATE(DATE(YEAR(INDEX(Contracts!$J$2:$J$151,$AB1013)),MONTH(INDEX(Contracts!$J$2:$J$151,$AB1013)),1),IF(INDEX(Contracts!$N$2:$N$151,$AB1013)="",12,INDEX(Contracts!$N$2:$N$151,$AB1013))-1),IF(INDEX(Contracts!$I$2:$I$151,$AB1013)="MONTHLY",IF(INDEX(Contracts!$K$2:$K$151,$AB1013)="",2958101,INDEX(Contracts!$K$2:$K$151,$AB1013)),0)),IF($Z1013="A",EDATE(DATE(YEAR(INDEX(Fixed_Assets!$G$2:$G$201,$AB1013)),MONTH(INDEX(Fixed_Assets!$G$2:$G$201,$AB1013)),1),INDEX(Fixed_Assets!$J$2:$J$201,$AB1013)-1),IF($Z1013="F",MIN(IF(INDEX(Workforce!$J$2:$J$151,MATCH(INDEX(FTE_Allocation!$A$2:$A$201,$AB1013),Workforce!$A$2:$A$151,0))="",2958101,INDEX(Workforce!$J$2:$J$151,MATCH(INDEX(FTE_Allocation!$A$2:$A$201,$AB1013),Workforce!$A$2:$A$151,0))),IF(INDEX(FTE_Allocation!$J$2:$J$201,$AB1013)="",2958101,INDEX(FTE_Allocation!$J$2:$J$201,$AB1013))),"")))</f>
        <v/>
      </c>
      <c r="AG1013" s="19">
        <f>IF($Z1013="C",IF(INDEX(Contracts!$I$2:$I$151,$AB1013)="PREPAID",INDEX(Contracts!$M$2:$M$151,$AB1013)/IF(INDEX(Contracts!$N$2:$N$151,$AB1013)="",12,INDEX(Contracts!$N$2:$N$151,$AB1013)),IF(INDEX(Contracts!$I$2:$I$151,$AB1013)="MONTHLY",INDEX(Contracts!$M$2:$M$151,$AB1013),0))*(1-N(INDEX(Contracts!$O$2:$O$151,$AB1013))),IF($Z1013="A",INDEX(Fixed_Assets!$H$2:$H$201,$AB1013)/INDEX(Fixed_Assets!$J$2:$J$201,$AB1013),IF($Z1013="F",INDEX(Workforce!$F$2:$F$151,MATCH(INDEX(FTE_Allocation!$A$2:$A$201,$AB1013),Workforce!$A$2:$A$151,0))*N(INDEX(FTE_Allocation!$F$2:$H$201,$AB1013,$AC1013)),"")))</f>
        <v/>
      </c>
    </row>
    <row r="1014">
      <c r="A1014" s="7">
        <f>IF($Z1014="","",$AD1014)</f>
        <v/>
      </c>
      <c r="B1014" s="7">
        <f>IF($Z1014="C",INDEX(Contracts!$D$2:$D$151,$AB1014)&amp;"",IF($Z1014="A",INDEX(Fixed_Assets!$C$2:$C$201,$AB1014)&amp;"",IF($Z1014="F",INDEX(Workforce!$B$2:$B$151,MATCH(INDEX(FTE_Allocation!$A$2:$A$201,$AB1014),Workforce!$A$2:$A$151,0))&amp;"","")))</f>
        <v/>
      </c>
      <c r="C1014" s="7">
        <f>IF($Z1014="C",INDEX(Contracts!$E$2:$E$151,$AB1014)&amp;"",IF($Z1014="A",INDEX(Fixed_Assets!$D$2:$D$201,$AB1014)&amp;"",IF($Z1014="F",INDEX(FTE_Allocation!$C$2:$C$201,$AB1014)&amp;"","")))</f>
        <v/>
      </c>
      <c r="D1014" s="7">
        <f>IF($Z1014="C",INDEX(Contracts!$B$2:$B$151,$AB1014)&amp;"",IF($Z1014="A",INDEX(Fixed_Assets!$B$2:$B$201,$AB1014)&amp;"",IF($Z1014="F",INDEX(FTE_Allocation!$B$2:$B$201,$AB1014)&amp;"","")))</f>
        <v/>
      </c>
      <c r="E1014" s="7">
        <f>IF($Z1014="C",INDEX(Contracts!$P$2:$P$151,$AB1014)&amp;"",IF($Z1014="A",INDEX(Fixed_Assets!$K$2:$K$201,$AB1014)&amp;"",IF($Z1014="F",IF(INDEX(FTE_Allocation!$D$2:$D$201,$AB1014)="PROJECT",IFERROR(INDEX(Projects!$D:$D,MATCH(INDEX(FTE_Allocation!$E$2:$E$201,$AB1014),Projects!$A:$A,0))&amp;"","#PROJECT?"),INDEX(FTE_Allocation!$E$2:$E$201,$AB1014)&amp;""),"")))</f>
        <v/>
      </c>
      <c r="F1014" s="7">
        <f>IF($Z1014="C",INDEX(Contracts!$Q$2:$Q$151,$AB1014)&amp;"",IF($Z1014="A",INDEX(Fixed_Assets!$L$2:$L$201,$AB1014)&amp;"",IF($Z1014="F",INDEX(Workforce!$K$2:$K$151,MATCH(INDEX(FTE_Allocation!$A$2:$A$201,$AB1014),Workforce!$A$2:$A$151,0))&amp;"","")))</f>
        <v/>
      </c>
      <c r="G1014" s="7">
        <f>IF($Z1014="C",INDEX(Contracts!$F$2:$F$151,$AB1014)&amp;" / "&amp;INDEX(Contracts!$G$2:$G$151,$AB1014),IF($Z1014="A",INDEX(Fixed_Assets!$E$2:$E$201,$AB1014)&amp;"",IF($Z1014="F","Personnel "&amp;INDEX(FTE_Allocation!$A$2:$A$201,$AB1014)&amp;IF(INDEX(FTE_Allocation!$D$2:$D$201,$AB1014)="PROJECT"," ("&amp;INDEX(FTE_Allocation!$E$2:$E$201,$AB1014)&amp;")",""),"")))</f>
        <v/>
      </c>
      <c r="H1014" s="7">
        <f>IF($Z1014="C","CONTRACT",IF($Z1014="A","ASSET",IF($Z1014="F","WORKFORCE","")))</f>
        <v/>
      </c>
      <c r="I1014" s="7">
        <f>IF($Z1014="C",INDEX(Contracts!$L$2:$L$151,$AB1014)&amp;"",IF($Z1014="A",INDEX(Fixed_Assets!$I$2:$I$201,$AB1014)&amp;"",IF($Z1014="F",INDEX(Workforce!$G$2:$G$151,MATCH(INDEX(FTE_Allocation!$A$2:$A$201,$AB1014),Workforce!$A$2:$A$151,0))&amp;"","")))</f>
        <v/>
      </c>
      <c r="J1014" s="18">
        <f>IF($Z1014="","",IF(AND(DATE($AD1014,1,1)&gt;=$AE1014,DATE($AD1014,1,1)&lt;=$AF1014),ROUND($AG1014,2),0))</f>
        <v/>
      </c>
      <c r="K1014" s="18">
        <f>IF($Z1014="","",IF(AND(DATE($AD1014,2,1)&gt;=$AE1014,DATE($AD1014,2,1)&lt;=$AF1014),ROUND($AG1014,2),0))</f>
        <v/>
      </c>
      <c r="L1014" s="18">
        <f>IF($Z1014="","",IF(AND(DATE($AD1014,3,1)&gt;=$AE1014,DATE($AD1014,3,1)&lt;=$AF1014),ROUND($AG1014,2),0))</f>
        <v/>
      </c>
      <c r="M1014" s="18">
        <f>IF($Z1014="","",IF(AND(DATE($AD1014,4,1)&gt;=$AE1014,DATE($AD1014,4,1)&lt;=$AF1014),ROUND($AG1014,2),0))</f>
        <v/>
      </c>
      <c r="N1014" s="18">
        <f>IF($Z1014="","",IF(AND(DATE($AD1014,5,1)&gt;=$AE1014,DATE($AD1014,5,1)&lt;=$AF1014),ROUND($AG1014,2),0))</f>
        <v/>
      </c>
      <c r="O1014" s="18">
        <f>IF($Z1014="","",IF(AND(DATE($AD1014,6,1)&gt;=$AE1014,DATE($AD1014,6,1)&lt;=$AF1014),ROUND($AG1014,2),0))</f>
        <v/>
      </c>
      <c r="P1014" s="18">
        <f>IF($Z1014="","",IF(AND(DATE($AD1014,7,1)&gt;=$AE1014,DATE($AD1014,7,1)&lt;=$AF1014),ROUND($AG1014,2),0))</f>
        <v/>
      </c>
      <c r="Q1014" s="18">
        <f>IF($Z1014="","",IF(AND(DATE($AD1014,8,1)&gt;=$AE1014,DATE($AD1014,8,1)&lt;=$AF1014),ROUND($AG1014,2),0))</f>
        <v/>
      </c>
      <c r="R1014" s="18">
        <f>IF($Z1014="","",IF(AND(DATE($AD1014,9,1)&gt;=$AE1014,DATE($AD1014,9,1)&lt;=$AF1014),ROUND($AG1014,2),0))</f>
        <v/>
      </c>
      <c r="S1014" s="18">
        <f>IF($Z1014="","",IF(AND(DATE($AD1014,10,1)&gt;=$AE1014,DATE($AD1014,10,1)&lt;=$AF1014),ROUND($AG1014,2),0))</f>
        <v/>
      </c>
      <c r="T1014" s="18">
        <f>IF($Z1014="","",IF(AND(DATE($AD1014,11,1)&gt;=$AE1014,DATE($AD1014,11,1)&lt;=$AF1014),ROUND($AG1014,2),0))</f>
        <v/>
      </c>
      <c r="U1014" s="18">
        <f>IF($Z1014="","",IF(AND(DATE($AD1014,12,1)&gt;=$AE1014,DATE($AD1014,12,1)&lt;=$AF1014),ROUND($AG1014,2),0))</f>
        <v/>
      </c>
      <c r="V1014" s="7">
        <f>IF($Z1014="C","Generated from "&amp;INDEX(Contracts!$A$2:$A$151,$AB1014),IF($Z1014="A","Generated from "&amp;INDEX(Fixed_Assets!$A$2:$A$201,$AB1014),IF($Z1014="F","Generated from "&amp;INDEX(FTE_Allocation!$A$2:$A$201,$AB1014),"")))</f>
        <v/>
      </c>
      <c r="X1014" s="19">
        <f>IF($Z1014="","",SUM(J1014:U1014))</f>
        <v/>
      </c>
      <c r="Y1014" s="20">
        <f>ROW()-1</f>
        <v/>
      </c>
      <c r="Z1014" s="20">
        <f>IF($Y1014&lt;=Settings!$B$4*3,"C",IF($Y1014&lt;=(Settings!$B$4+Settings!$B$5)*3,"A",IF($Y1014&lt;=(Settings!$B$4+Settings!$B$5+Settings!$B$6)*3,"F","")))</f>
        <v/>
      </c>
      <c r="AA1014" s="20">
        <f>IF($Z1014="C",$Y1014,IF($Z1014="A",$Y1014-Settings!$B$4*3,IF($Z1014="F",$Y1014-(Settings!$B$4+Settings!$B$5)*3,"")))</f>
        <v/>
      </c>
      <c r="AB1014" s="20">
        <f>IF($Z1014="","",INT(($AA1014-1)/3)+1)</f>
        <v/>
      </c>
      <c r="AC1014" s="20">
        <f>IF($Z1014="","",MOD($AA1014-1,3)+1)</f>
        <v/>
      </c>
      <c r="AD1014" s="20">
        <f>IF($Z1014="","",Settings!$B$2+$AC1014-1)</f>
        <v/>
      </c>
      <c r="AE1014" s="21">
        <f>IF($Z1014="C",DATE(YEAR(INDEX(Contracts!$J$2:$J$151,$AB1014)),MONTH(INDEX(Contracts!$J$2:$J$151,$AB1014)),1),IF($Z1014="A",DATE(YEAR(INDEX(Fixed_Assets!$G$2:$G$201,$AB1014)),MONTH(INDEX(Fixed_Assets!$G$2:$G$201,$AB1014)),1),IF($Z1014="F",DATE(YEAR(MAX(N(INDEX(Workforce!$I$2:$I$151,MATCH(INDEX(FTE_Allocation!$A$2:$A$201,$AB1014),Workforce!$A$2:$A$151,0))),N(INDEX(FTE_Allocation!$I$2:$I$201,$AB1014)))),MONTH(MAX(N(INDEX(Workforce!$I$2:$I$151,MATCH(INDEX(FTE_Allocation!$A$2:$A$201,$AB1014),Workforce!$A$2:$A$151,0))),N(INDEX(FTE_Allocation!$I$2:$I$201,$AB1014)))),1),"")))</f>
        <v/>
      </c>
      <c r="AF1014" s="21">
        <f>IF($Z1014="C",IF(INDEX(Contracts!$I$2:$I$151,$AB1014)="PREPAID",EDATE(DATE(YEAR(INDEX(Contracts!$J$2:$J$151,$AB1014)),MONTH(INDEX(Contracts!$J$2:$J$151,$AB1014)),1),IF(INDEX(Contracts!$N$2:$N$151,$AB1014)="",12,INDEX(Contracts!$N$2:$N$151,$AB1014))-1),IF(INDEX(Contracts!$I$2:$I$151,$AB1014)="MONTHLY",IF(INDEX(Contracts!$K$2:$K$151,$AB1014)="",2958101,INDEX(Contracts!$K$2:$K$151,$AB1014)),0)),IF($Z1014="A",EDATE(DATE(YEAR(INDEX(Fixed_Assets!$G$2:$G$201,$AB1014)),MONTH(INDEX(Fixed_Assets!$G$2:$G$201,$AB1014)),1),INDEX(Fixed_Assets!$J$2:$J$201,$AB1014)-1),IF($Z1014="F",MIN(IF(INDEX(Workforce!$J$2:$J$151,MATCH(INDEX(FTE_Allocation!$A$2:$A$201,$AB1014),Workforce!$A$2:$A$151,0))="",2958101,INDEX(Workforce!$J$2:$J$151,MATCH(INDEX(FTE_Allocation!$A$2:$A$201,$AB1014),Workforce!$A$2:$A$151,0))),IF(INDEX(FTE_Allocation!$J$2:$J$201,$AB1014)="",2958101,INDEX(FTE_Allocation!$J$2:$J$201,$AB1014))),"")))</f>
        <v/>
      </c>
      <c r="AG1014" s="19">
        <f>IF($Z1014="C",IF(INDEX(Contracts!$I$2:$I$151,$AB1014)="PREPAID",INDEX(Contracts!$M$2:$M$151,$AB1014)/IF(INDEX(Contracts!$N$2:$N$151,$AB1014)="",12,INDEX(Contracts!$N$2:$N$151,$AB1014)),IF(INDEX(Contracts!$I$2:$I$151,$AB1014)="MONTHLY",INDEX(Contracts!$M$2:$M$151,$AB1014),0))*(1-N(INDEX(Contracts!$O$2:$O$151,$AB1014))),IF($Z1014="A",INDEX(Fixed_Assets!$H$2:$H$201,$AB1014)/INDEX(Fixed_Assets!$J$2:$J$201,$AB1014),IF($Z1014="F",INDEX(Workforce!$F$2:$F$151,MATCH(INDEX(FTE_Allocation!$A$2:$A$201,$AB1014),Workforce!$A$2:$A$151,0))*N(INDEX(FTE_Allocation!$F$2:$H$201,$AB1014,$AC1014)),"")))</f>
        <v/>
      </c>
    </row>
    <row r="1015">
      <c r="A1015" s="7">
        <f>IF($Z1015="","",$AD1015)</f>
        <v/>
      </c>
      <c r="B1015" s="7">
        <f>IF($Z1015="C",INDEX(Contracts!$D$2:$D$151,$AB1015)&amp;"",IF($Z1015="A",INDEX(Fixed_Assets!$C$2:$C$201,$AB1015)&amp;"",IF($Z1015="F",INDEX(Workforce!$B$2:$B$151,MATCH(INDEX(FTE_Allocation!$A$2:$A$201,$AB1015),Workforce!$A$2:$A$151,0))&amp;"","")))</f>
        <v/>
      </c>
      <c r="C1015" s="7">
        <f>IF($Z1015="C",INDEX(Contracts!$E$2:$E$151,$AB1015)&amp;"",IF($Z1015="A",INDEX(Fixed_Assets!$D$2:$D$201,$AB1015)&amp;"",IF($Z1015="F",INDEX(FTE_Allocation!$C$2:$C$201,$AB1015)&amp;"","")))</f>
        <v/>
      </c>
      <c r="D1015" s="7">
        <f>IF($Z1015="C",INDEX(Contracts!$B$2:$B$151,$AB1015)&amp;"",IF($Z1015="A",INDEX(Fixed_Assets!$B$2:$B$201,$AB1015)&amp;"",IF($Z1015="F",INDEX(FTE_Allocation!$B$2:$B$201,$AB1015)&amp;"","")))</f>
        <v/>
      </c>
      <c r="E1015" s="7">
        <f>IF($Z1015="C",INDEX(Contracts!$P$2:$P$151,$AB1015)&amp;"",IF($Z1015="A",INDEX(Fixed_Assets!$K$2:$K$201,$AB1015)&amp;"",IF($Z1015="F",IF(INDEX(FTE_Allocation!$D$2:$D$201,$AB1015)="PROJECT",IFERROR(INDEX(Projects!$D:$D,MATCH(INDEX(FTE_Allocation!$E$2:$E$201,$AB1015),Projects!$A:$A,0))&amp;"","#PROJECT?"),INDEX(FTE_Allocation!$E$2:$E$201,$AB1015)&amp;""),"")))</f>
        <v/>
      </c>
      <c r="F1015" s="7">
        <f>IF($Z1015="C",INDEX(Contracts!$Q$2:$Q$151,$AB1015)&amp;"",IF($Z1015="A",INDEX(Fixed_Assets!$L$2:$L$201,$AB1015)&amp;"",IF($Z1015="F",INDEX(Workforce!$K$2:$K$151,MATCH(INDEX(FTE_Allocation!$A$2:$A$201,$AB1015),Workforce!$A$2:$A$151,0))&amp;"","")))</f>
        <v/>
      </c>
      <c r="G1015" s="7">
        <f>IF($Z1015="C",INDEX(Contracts!$F$2:$F$151,$AB1015)&amp;" / "&amp;INDEX(Contracts!$G$2:$G$151,$AB1015),IF($Z1015="A",INDEX(Fixed_Assets!$E$2:$E$201,$AB1015)&amp;"",IF($Z1015="F","Personnel "&amp;INDEX(FTE_Allocation!$A$2:$A$201,$AB1015)&amp;IF(INDEX(FTE_Allocation!$D$2:$D$201,$AB1015)="PROJECT"," ("&amp;INDEX(FTE_Allocation!$E$2:$E$201,$AB1015)&amp;")",""),"")))</f>
        <v/>
      </c>
      <c r="H1015" s="7">
        <f>IF($Z1015="C","CONTRACT",IF($Z1015="A","ASSET",IF($Z1015="F","WORKFORCE","")))</f>
        <v/>
      </c>
      <c r="I1015" s="7">
        <f>IF($Z1015="C",INDEX(Contracts!$L$2:$L$151,$AB1015)&amp;"",IF($Z1015="A",INDEX(Fixed_Assets!$I$2:$I$201,$AB1015)&amp;"",IF($Z1015="F",INDEX(Workforce!$G$2:$G$151,MATCH(INDEX(FTE_Allocation!$A$2:$A$201,$AB1015),Workforce!$A$2:$A$151,0))&amp;"","")))</f>
        <v/>
      </c>
      <c r="J1015" s="18">
        <f>IF($Z1015="","",IF(AND(DATE($AD1015,1,1)&gt;=$AE1015,DATE($AD1015,1,1)&lt;=$AF1015),ROUND($AG1015,2),0))</f>
        <v/>
      </c>
      <c r="K1015" s="18">
        <f>IF($Z1015="","",IF(AND(DATE($AD1015,2,1)&gt;=$AE1015,DATE($AD1015,2,1)&lt;=$AF1015),ROUND($AG1015,2),0))</f>
        <v/>
      </c>
      <c r="L1015" s="18">
        <f>IF($Z1015="","",IF(AND(DATE($AD1015,3,1)&gt;=$AE1015,DATE($AD1015,3,1)&lt;=$AF1015),ROUND($AG1015,2),0))</f>
        <v/>
      </c>
      <c r="M1015" s="18">
        <f>IF($Z1015="","",IF(AND(DATE($AD1015,4,1)&gt;=$AE1015,DATE($AD1015,4,1)&lt;=$AF1015),ROUND($AG1015,2),0))</f>
        <v/>
      </c>
      <c r="N1015" s="18">
        <f>IF($Z1015="","",IF(AND(DATE($AD1015,5,1)&gt;=$AE1015,DATE($AD1015,5,1)&lt;=$AF1015),ROUND($AG1015,2),0))</f>
        <v/>
      </c>
      <c r="O1015" s="18">
        <f>IF($Z1015="","",IF(AND(DATE($AD1015,6,1)&gt;=$AE1015,DATE($AD1015,6,1)&lt;=$AF1015),ROUND($AG1015,2),0))</f>
        <v/>
      </c>
      <c r="P1015" s="18">
        <f>IF($Z1015="","",IF(AND(DATE($AD1015,7,1)&gt;=$AE1015,DATE($AD1015,7,1)&lt;=$AF1015),ROUND($AG1015,2),0))</f>
        <v/>
      </c>
      <c r="Q1015" s="18">
        <f>IF($Z1015="","",IF(AND(DATE($AD1015,8,1)&gt;=$AE1015,DATE($AD1015,8,1)&lt;=$AF1015),ROUND($AG1015,2),0))</f>
        <v/>
      </c>
      <c r="R1015" s="18">
        <f>IF($Z1015="","",IF(AND(DATE($AD1015,9,1)&gt;=$AE1015,DATE($AD1015,9,1)&lt;=$AF1015),ROUND($AG1015,2),0))</f>
        <v/>
      </c>
      <c r="S1015" s="18">
        <f>IF($Z1015="","",IF(AND(DATE($AD1015,10,1)&gt;=$AE1015,DATE($AD1015,10,1)&lt;=$AF1015),ROUND($AG1015,2),0))</f>
        <v/>
      </c>
      <c r="T1015" s="18">
        <f>IF($Z1015="","",IF(AND(DATE($AD1015,11,1)&gt;=$AE1015,DATE($AD1015,11,1)&lt;=$AF1015),ROUND($AG1015,2),0))</f>
        <v/>
      </c>
      <c r="U1015" s="18">
        <f>IF($Z1015="","",IF(AND(DATE($AD1015,12,1)&gt;=$AE1015,DATE($AD1015,12,1)&lt;=$AF1015),ROUND($AG1015,2),0))</f>
        <v/>
      </c>
      <c r="V1015" s="7">
        <f>IF($Z1015="C","Generated from "&amp;INDEX(Contracts!$A$2:$A$151,$AB1015),IF($Z1015="A","Generated from "&amp;INDEX(Fixed_Assets!$A$2:$A$201,$AB1015),IF($Z1015="F","Generated from "&amp;INDEX(FTE_Allocation!$A$2:$A$201,$AB1015),"")))</f>
        <v/>
      </c>
      <c r="X1015" s="19">
        <f>IF($Z1015="","",SUM(J1015:U1015))</f>
        <v/>
      </c>
      <c r="Y1015" s="20">
        <f>ROW()-1</f>
        <v/>
      </c>
      <c r="Z1015" s="20">
        <f>IF($Y1015&lt;=Settings!$B$4*3,"C",IF($Y1015&lt;=(Settings!$B$4+Settings!$B$5)*3,"A",IF($Y1015&lt;=(Settings!$B$4+Settings!$B$5+Settings!$B$6)*3,"F","")))</f>
        <v/>
      </c>
      <c r="AA1015" s="20">
        <f>IF($Z1015="C",$Y1015,IF($Z1015="A",$Y1015-Settings!$B$4*3,IF($Z1015="F",$Y1015-(Settings!$B$4+Settings!$B$5)*3,"")))</f>
        <v/>
      </c>
      <c r="AB1015" s="20">
        <f>IF($Z1015="","",INT(($AA1015-1)/3)+1)</f>
        <v/>
      </c>
      <c r="AC1015" s="20">
        <f>IF($Z1015="","",MOD($AA1015-1,3)+1)</f>
        <v/>
      </c>
      <c r="AD1015" s="20">
        <f>IF($Z1015="","",Settings!$B$2+$AC1015-1)</f>
        <v/>
      </c>
      <c r="AE1015" s="21">
        <f>IF($Z1015="C",DATE(YEAR(INDEX(Contracts!$J$2:$J$151,$AB1015)),MONTH(INDEX(Contracts!$J$2:$J$151,$AB1015)),1),IF($Z1015="A",DATE(YEAR(INDEX(Fixed_Assets!$G$2:$G$201,$AB1015)),MONTH(INDEX(Fixed_Assets!$G$2:$G$201,$AB1015)),1),IF($Z1015="F",DATE(YEAR(MAX(N(INDEX(Workforce!$I$2:$I$151,MATCH(INDEX(FTE_Allocation!$A$2:$A$201,$AB1015),Workforce!$A$2:$A$151,0))),N(INDEX(FTE_Allocation!$I$2:$I$201,$AB1015)))),MONTH(MAX(N(INDEX(Workforce!$I$2:$I$151,MATCH(INDEX(FTE_Allocation!$A$2:$A$201,$AB1015),Workforce!$A$2:$A$151,0))),N(INDEX(FTE_Allocation!$I$2:$I$201,$AB1015)))),1),"")))</f>
        <v/>
      </c>
      <c r="AF1015" s="21">
        <f>IF($Z1015="C",IF(INDEX(Contracts!$I$2:$I$151,$AB1015)="PREPAID",EDATE(DATE(YEAR(INDEX(Contracts!$J$2:$J$151,$AB1015)),MONTH(INDEX(Contracts!$J$2:$J$151,$AB1015)),1),IF(INDEX(Contracts!$N$2:$N$151,$AB1015)="",12,INDEX(Contracts!$N$2:$N$151,$AB1015))-1),IF(INDEX(Contracts!$I$2:$I$151,$AB1015)="MONTHLY",IF(INDEX(Contracts!$K$2:$K$151,$AB1015)="",2958101,INDEX(Contracts!$K$2:$K$151,$AB1015)),0)),IF($Z1015="A",EDATE(DATE(YEAR(INDEX(Fixed_Assets!$G$2:$G$201,$AB1015)),MONTH(INDEX(Fixed_Assets!$G$2:$G$201,$AB1015)),1),INDEX(Fixed_Assets!$J$2:$J$201,$AB1015)-1),IF($Z1015="F",MIN(IF(INDEX(Workforce!$J$2:$J$151,MATCH(INDEX(FTE_Allocation!$A$2:$A$201,$AB1015),Workforce!$A$2:$A$151,0))="",2958101,INDEX(Workforce!$J$2:$J$151,MATCH(INDEX(FTE_Allocation!$A$2:$A$201,$AB1015),Workforce!$A$2:$A$151,0))),IF(INDEX(FTE_Allocation!$J$2:$J$201,$AB1015)="",2958101,INDEX(FTE_Allocation!$J$2:$J$201,$AB1015))),"")))</f>
        <v/>
      </c>
      <c r="AG1015" s="19">
        <f>IF($Z1015="C",IF(INDEX(Contracts!$I$2:$I$151,$AB1015)="PREPAID",INDEX(Contracts!$M$2:$M$151,$AB1015)/IF(INDEX(Contracts!$N$2:$N$151,$AB1015)="",12,INDEX(Contracts!$N$2:$N$151,$AB1015)),IF(INDEX(Contracts!$I$2:$I$151,$AB1015)="MONTHLY",INDEX(Contracts!$M$2:$M$151,$AB1015),0))*(1-N(INDEX(Contracts!$O$2:$O$151,$AB1015))),IF($Z1015="A",INDEX(Fixed_Assets!$H$2:$H$201,$AB1015)/INDEX(Fixed_Assets!$J$2:$J$201,$AB1015),IF($Z1015="F",INDEX(Workforce!$F$2:$F$151,MATCH(INDEX(FTE_Allocation!$A$2:$A$201,$AB1015),Workforce!$A$2:$A$151,0))*N(INDEX(FTE_Allocation!$F$2:$H$201,$AB1015,$AC1015)),"")))</f>
        <v/>
      </c>
    </row>
    <row r="1016">
      <c r="A1016" s="7">
        <f>IF($Z1016="","",$AD1016)</f>
        <v/>
      </c>
      <c r="B1016" s="7">
        <f>IF($Z1016="C",INDEX(Contracts!$D$2:$D$151,$AB1016)&amp;"",IF($Z1016="A",INDEX(Fixed_Assets!$C$2:$C$201,$AB1016)&amp;"",IF($Z1016="F",INDEX(Workforce!$B$2:$B$151,MATCH(INDEX(FTE_Allocation!$A$2:$A$201,$AB1016),Workforce!$A$2:$A$151,0))&amp;"","")))</f>
        <v/>
      </c>
      <c r="C1016" s="7">
        <f>IF($Z1016="C",INDEX(Contracts!$E$2:$E$151,$AB1016)&amp;"",IF($Z1016="A",INDEX(Fixed_Assets!$D$2:$D$201,$AB1016)&amp;"",IF($Z1016="F",INDEX(FTE_Allocation!$C$2:$C$201,$AB1016)&amp;"","")))</f>
        <v/>
      </c>
      <c r="D1016" s="7">
        <f>IF($Z1016="C",INDEX(Contracts!$B$2:$B$151,$AB1016)&amp;"",IF($Z1016="A",INDEX(Fixed_Assets!$B$2:$B$201,$AB1016)&amp;"",IF($Z1016="F",INDEX(FTE_Allocation!$B$2:$B$201,$AB1016)&amp;"","")))</f>
        <v/>
      </c>
      <c r="E1016" s="7">
        <f>IF($Z1016="C",INDEX(Contracts!$P$2:$P$151,$AB1016)&amp;"",IF($Z1016="A",INDEX(Fixed_Assets!$K$2:$K$201,$AB1016)&amp;"",IF($Z1016="F",IF(INDEX(FTE_Allocation!$D$2:$D$201,$AB1016)="PROJECT",IFERROR(INDEX(Projects!$D:$D,MATCH(INDEX(FTE_Allocation!$E$2:$E$201,$AB1016),Projects!$A:$A,0))&amp;"","#PROJECT?"),INDEX(FTE_Allocation!$E$2:$E$201,$AB1016)&amp;""),"")))</f>
        <v/>
      </c>
      <c r="F1016" s="7">
        <f>IF($Z1016="C",INDEX(Contracts!$Q$2:$Q$151,$AB1016)&amp;"",IF($Z1016="A",INDEX(Fixed_Assets!$L$2:$L$201,$AB1016)&amp;"",IF($Z1016="F",INDEX(Workforce!$K$2:$K$151,MATCH(INDEX(FTE_Allocation!$A$2:$A$201,$AB1016),Workforce!$A$2:$A$151,0))&amp;"","")))</f>
        <v/>
      </c>
      <c r="G1016" s="7">
        <f>IF($Z1016="C",INDEX(Contracts!$F$2:$F$151,$AB1016)&amp;" / "&amp;INDEX(Contracts!$G$2:$G$151,$AB1016),IF($Z1016="A",INDEX(Fixed_Assets!$E$2:$E$201,$AB1016)&amp;"",IF($Z1016="F","Personnel "&amp;INDEX(FTE_Allocation!$A$2:$A$201,$AB1016)&amp;IF(INDEX(FTE_Allocation!$D$2:$D$201,$AB1016)="PROJECT"," ("&amp;INDEX(FTE_Allocation!$E$2:$E$201,$AB1016)&amp;")",""),"")))</f>
        <v/>
      </c>
      <c r="H1016" s="7">
        <f>IF($Z1016="C","CONTRACT",IF($Z1016="A","ASSET",IF($Z1016="F","WORKFORCE","")))</f>
        <v/>
      </c>
      <c r="I1016" s="7">
        <f>IF($Z1016="C",INDEX(Contracts!$L$2:$L$151,$AB1016)&amp;"",IF($Z1016="A",INDEX(Fixed_Assets!$I$2:$I$201,$AB1016)&amp;"",IF($Z1016="F",INDEX(Workforce!$G$2:$G$151,MATCH(INDEX(FTE_Allocation!$A$2:$A$201,$AB1016),Workforce!$A$2:$A$151,0))&amp;"","")))</f>
        <v/>
      </c>
      <c r="J1016" s="18">
        <f>IF($Z1016="","",IF(AND(DATE($AD1016,1,1)&gt;=$AE1016,DATE($AD1016,1,1)&lt;=$AF1016),ROUND($AG1016,2),0))</f>
        <v/>
      </c>
      <c r="K1016" s="18">
        <f>IF($Z1016="","",IF(AND(DATE($AD1016,2,1)&gt;=$AE1016,DATE($AD1016,2,1)&lt;=$AF1016),ROUND($AG1016,2),0))</f>
        <v/>
      </c>
      <c r="L1016" s="18">
        <f>IF($Z1016="","",IF(AND(DATE($AD1016,3,1)&gt;=$AE1016,DATE($AD1016,3,1)&lt;=$AF1016),ROUND($AG1016,2),0))</f>
        <v/>
      </c>
      <c r="M1016" s="18">
        <f>IF($Z1016="","",IF(AND(DATE($AD1016,4,1)&gt;=$AE1016,DATE($AD1016,4,1)&lt;=$AF1016),ROUND($AG1016,2),0))</f>
        <v/>
      </c>
      <c r="N1016" s="18">
        <f>IF($Z1016="","",IF(AND(DATE($AD1016,5,1)&gt;=$AE1016,DATE($AD1016,5,1)&lt;=$AF1016),ROUND($AG1016,2),0))</f>
        <v/>
      </c>
      <c r="O1016" s="18">
        <f>IF($Z1016="","",IF(AND(DATE($AD1016,6,1)&gt;=$AE1016,DATE($AD1016,6,1)&lt;=$AF1016),ROUND($AG1016,2),0))</f>
        <v/>
      </c>
      <c r="P1016" s="18">
        <f>IF($Z1016="","",IF(AND(DATE($AD1016,7,1)&gt;=$AE1016,DATE($AD1016,7,1)&lt;=$AF1016),ROUND($AG1016,2),0))</f>
        <v/>
      </c>
      <c r="Q1016" s="18">
        <f>IF($Z1016="","",IF(AND(DATE($AD1016,8,1)&gt;=$AE1016,DATE($AD1016,8,1)&lt;=$AF1016),ROUND($AG1016,2),0))</f>
        <v/>
      </c>
      <c r="R1016" s="18">
        <f>IF($Z1016="","",IF(AND(DATE($AD1016,9,1)&gt;=$AE1016,DATE($AD1016,9,1)&lt;=$AF1016),ROUND($AG1016,2),0))</f>
        <v/>
      </c>
      <c r="S1016" s="18">
        <f>IF($Z1016="","",IF(AND(DATE($AD1016,10,1)&gt;=$AE1016,DATE($AD1016,10,1)&lt;=$AF1016),ROUND($AG1016,2),0))</f>
        <v/>
      </c>
      <c r="T1016" s="18">
        <f>IF($Z1016="","",IF(AND(DATE($AD1016,11,1)&gt;=$AE1016,DATE($AD1016,11,1)&lt;=$AF1016),ROUND($AG1016,2),0))</f>
        <v/>
      </c>
      <c r="U1016" s="18">
        <f>IF($Z1016="","",IF(AND(DATE($AD1016,12,1)&gt;=$AE1016,DATE($AD1016,12,1)&lt;=$AF1016),ROUND($AG1016,2),0))</f>
        <v/>
      </c>
      <c r="V1016" s="7">
        <f>IF($Z1016="C","Generated from "&amp;INDEX(Contracts!$A$2:$A$151,$AB1016),IF($Z1016="A","Generated from "&amp;INDEX(Fixed_Assets!$A$2:$A$201,$AB1016),IF($Z1016="F","Generated from "&amp;INDEX(FTE_Allocation!$A$2:$A$201,$AB1016),"")))</f>
        <v/>
      </c>
      <c r="X1016" s="19">
        <f>IF($Z1016="","",SUM(J1016:U1016))</f>
        <v/>
      </c>
      <c r="Y1016" s="20">
        <f>ROW()-1</f>
        <v/>
      </c>
      <c r="Z1016" s="20">
        <f>IF($Y1016&lt;=Settings!$B$4*3,"C",IF($Y1016&lt;=(Settings!$B$4+Settings!$B$5)*3,"A",IF($Y1016&lt;=(Settings!$B$4+Settings!$B$5+Settings!$B$6)*3,"F","")))</f>
        <v/>
      </c>
      <c r="AA1016" s="20">
        <f>IF($Z1016="C",$Y1016,IF($Z1016="A",$Y1016-Settings!$B$4*3,IF($Z1016="F",$Y1016-(Settings!$B$4+Settings!$B$5)*3,"")))</f>
        <v/>
      </c>
      <c r="AB1016" s="20">
        <f>IF($Z1016="","",INT(($AA1016-1)/3)+1)</f>
        <v/>
      </c>
      <c r="AC1016" s="20">
        <f>IF($Z1016="","",MOD($AA1016-1,3)+1)</f>
        <v/>
      </c>
      <c r="AD1016" s="20">
        <f>IF($Z1016="","",Settings!$B$2+$AC1016-1)</f>
        <v/>
      </c>
      <c r="AE1016" s="21">
        <f>IF($Z1016="C",DATE(YEAR(INDEX(Contracts!$J$2:$J$151,$AB1016)),MONTH(INDEX(Contracts!$J$2:$J$151,$AB1016)),1),IF($Z1016="A",DATE(YEAR(INDEX(Fixed_Assets!$G$2:$G$201,$AB1016)),MONTH(INDEX(Fixed_Assets!$G$2:$G$201,$AB1016)),1),IF($Z1016="F",DATE(YEAR(MAX(N(INDEX(Workforce!$I$2:$I$151,MATCH(INDEX(FTE_Allocation!$A$2:$A$201,$AB1016),Workforce!$A$2:$A$151,0))),N(INDEX(FTE_Allocation!$I$2:$I$201,$AB1016)))),MONTH(MAX(N(INDEX(Workforce!$I$2:$I$151,MATCH(INDEX(FTE_Allocation!$A$2:$A$201,$AB1016),Workforce!$A$2:$A$151,0))),N(INDEX(FTE_Allocation!$I$2:$I$201,$AB1016)))),1),"")))</f>
        <v/>
      </c>
      <c r="AF1016" s="21">
        <f>IF($Z1016="C",IF(INDEX(Contracts!$I$2:$I$151,$AB1016)="PREPAID",EDATE(DATE(YEAR(INDEX(Contracts!$J$2:$J$151,$AB1016)),MONTH(INDEX(Contracts!$J$2:$J$151,$AB1016)),1),IF(INDEX(Contracts!$N$2:$N$151,$AB1016)="",12,INDEX(Contracts!$N$2:$N$151,$AB1016))-1),IF(INDEX(Contracts!$I$2:$I$151,$AB1016)="MONTHLY",IF(INDEX(Contracts!$K$2:$K$151,$AB1016)="",2958101,INDEX(Contracts!$K$2:$K$151,$AB1016)),0)),IF($Z1016="A",EDATE(DATE(YEAR(INDEX(Fixed_Assets!$G$2:$G$201,$AB1016)),MONTH(INDEX(Fixed_Assets!$G$2:$G$201,$AB1016)),1),INDEX(Fixed_Assets!$J$2:$J$201,$AB1016)-1),IF($Z1016="F",MIN(IF(INDEX(Workforce!$J$2:$J$151,MATCH(INDEX(FTE_Allocation!$A$2:$A$201,$AB1016),Workforce!$A$2:$A$151,0))="",2958101,INDEX(Workforce!$J$2:$J$151,MATCH(INDEX(FTE_Allocation!$A$2:$A$201,$AB1016),Workforce!$A$2:$A$151,0))),IF(INDEX(FTE_Allocation!$J$2:$J$201,$AB1016)="",2958101,INDEX(FTE_Allocation!$J$2:$J$201,$AB1016))),"")))</f>
        <v/>
      </c>
      <c r="AG1016" s="19">
        <f>IF($Z1016="C",IF(INDEX(Contracts!$I$2:$I$151,$AB1016)="PREPAID",INDEX(Contracts!$M$2:$M$151,$AB1016)/IF(INDEX(Contracts!$N$2:$N$151,$AB1016)="",12,INDEX(Contracts!$N$2:$N$151,$AB1016)),IF(INDEX(Contracts!$I$2:$I$151,$AB1016)="MONTHLY",INDEX(Contracts!$M$2:$M$151,$AB1016),0))*(1-N(INDEX(Contracts!$O$2:$O$151,$AB1016))),IF($Z1016="A",INDEX(Fixed_Assets!$H$2:$H$201,$AB1016)/INDEX(Fixed_Assets!$J$2:$J$201,$AB1016),IF($Z1016="F",INDEX(Workforce!$F$2:$F$151,MATCH(INDEX(FTE_Allocation!$A$2:$A$201,$AB1016),Workforce!$A$2:$A$151,0))*N(INDEX(FTE_Allocation!$F$2:$H$201,$AB1016,$AC1016)),"")))</f>
        <v/>
      </c>
    </row>
    <row r="1017">
      <c r="A1017" s="7">
        <f>IF($Z1017="","",$AD1017)</f>
        <v/>
      </c>
      <c r="B1017" s="7">
        <f>IF($Z1017="C",INDEX(Contracts!$D$2:$D$151,$AB1017)&amp;"",IF($Z1017="A",INDEX(Fixed_Assets!$C$2:$C$201,$AB1017)&amp;"",IF($Z1017="F",INDEX(Workforce!$B$2:$B$151,MATCH(INDEX(FTE_Allocation!$A$2:$A$201,$AB1017),Workforce!$A$2:$A$151,0))&amp;"","")))</f>
        <v/>
      </c>
      <c r="C1017" s="7">
        <f>IF($Z1017="C",INDEX(Contracts!$E$2:$E$151,$AB1017)&amp;"",IF($Z1017="A",INDEX(Fixed_Assets!$D$2:$D$201,$AB1017)&amp;"",IF($Z1017="F",INDEX(FTE_Allocation!$C$2:$C$201,$AB1017)&amp;"","")))</f>
        <v/>
      </c>
      <c r="D1017" s="7">
        <f>IF($Z1017="C",INDEX(Contracts!$B$2:$B$151,$AB1017)&amp;"",IF($Z1017="A",INDEX(Fixed_Assets!$B$2:$B$201,$AB1017)&amp;"",IF($Z1017="F",INDEX(FTE_Allocation!$B$2:$B$201,$AB1017)&amp;"","")))</f>
        <v/>
      </c>
      <c r="E1017" s="7">
        <f>IF($Z1017="C",INDEX(Contracts!$P$2:$P$151,$AB1017)&amp;"",IF($Z1017="A",INDEX(Fixed_Assets!$K$2:$K$201,$AB1017)&amp;"",IF($Z1017="F",IF(INDEX(FTE_Allocation!$D$2:$D$201,$AB1017)="PROJECT",IFERROR(INDEX(Projects!$D:$D,MATCH(INDEX(FTE_Allocation!$E$2:$E$201,$AB1017),Projects!$A:$A,0))&amp;"","#PROJECT?"),INDEX(FTE_Allocation!$E$2:$E$201,$AB1017)&amp;""),"")))</f>
        <v/>
      </c>
      <c r="F1017" s="7">
        <f>IF($Z1017="C",INDEX(Contracts!$Q$2:$Q$151,$AB1017)&amp;"",IF($Z1017="A",INDEX(Fixed_Assets!$L$2:$L$201,$AB1017)&amp;"",IF($Z1017="F",INDEX(Workforce!$K$2:$K$151,MATCH(INDEX(FTE_Allocation!$A$2:$A$201,$AB1017),Workforce!$A$2:$A$151,0))&amp;"","")))</f>
        <v/>
      </c>
      <c r="G1017" s="7">
        <f>IF($Z1017="C",INDEX(Contracts!$F$2:$F$151,$AB1017)&amp;" / "&amp;INDEX(Contracts!$G$2:$G$151,$AB1017),IF($Z1017="A",INDEX(Fixed_Assets!$E$2:$E$201,$AB1017)&amp;"",IF($Z1017="F","Personnel "&amp;INDEX(FTE_Allocation!$A$2:$A$201,$AB1017)&amp;IF(INDEX(FTE_Allocation!$D$2:$D$201,$AB1017)="PROJECT"," ("&amp;INDEX(FTE_Allocation!$E$2:$E$201,$AB1017)&amp;")",""),"")))</f>
        <v/>
      </c>
      <c r="H1017" s="7">
        <f>IF($Z1017="C","CONTRACT",IF($Z1017="A","ASSET",IF($Z1017="F","WORKFORCE","")))</f>
        <v/>
      </c>
      <c r="I1017" s="7">
        <f>IF($Z1017="C",INDEX(Contracts!$L$2:$L$151,$AB1017)&amp;"",IF($Z1017="A",INDEX(Fixed_Assets!$I$2:$I$201,$AB1017)&amp;"",IF($Z1017="F",INDEX(Workforce!$G$2:$G$151,MATCH(INDEX(FTE_Allocation!$A$2:$A$201,$AB1017),Workforce!$A$2:$A$151,0))&amp;"","")))</f>
        <v/>
      </c>
      <c r="J1017" s="18">
        <f>IF($Z1017="","",IF(AND(DATE($AD1017,1,1)&gt;=$AE1017,DATE($AD1017,1,1)&lt;=$AF1017),ROUND($AG1017,2),0))</f>
        <v/>
      </c>
      <c r="K1017" s="18">
        <f>IF($Z1017="","",IF(AND(DATE($AD1017,2,1)&gt;=$AE1017,DATE($AD1017,2,1)&lt;=$AF1017),ROUND($AG1017,2),0))</f>
        <v/>
      </c>
      <c r="L1017" s="18">
        <f>IF($Z1017="","",IF(AND(DATE($AD1017,3,1)&gt;=$AE1017,DATE($AD1017,3,1)&lt;=$AF1017),ROUND($AG1017,2),0))</f>
        <v/>
      </c>
      <c r="M1017" s="18">
        <f>IF($Z1017="","",IF(AND(DATE($AD1017,4,1)&gt;=$AE1017,DATE($AD1017,4,1)&lt;=$AF1017),ROUND($AG1017,2),0))</f>
        <v/>
      </c>
      <c r="N1017" s="18">
        <f>IF($Z1017="","",IF(AND(DATE($AD1017,5,1)&gt;=$AE1017,DATE($AD1017,5,1)&lt;=$AF1017),ROUND($AG1017,2),0))</f>
        <v/>
      </c>
      <c r="O1017" s="18">
        <f>IF($Z1017="","",IF(AND(DATE($AD1017,6,1)&gt;=$AE1017,DATE($AD1017,6,1)&lt;=$AF1017),ROUND($AG1017,2),0))</f>
        <v/>
      </c>
      <c r="P1017" s="18">
        <f>IF($Z1017="","",IF(AND(DATE($AD1017,7,1)&gt;=$AE1017,DATE($AD1017,7,1)&lt;=$AF1017),ROUND($AG1017,2),0))</f>
        <v/>
      </c>
      <c r="Q1017" s="18">
        <f>IF($Z1017="","",IF(AND(DATE($AD1017,8,1)&gt;=$AE1017,DATE($AD1017,8,1)&lt;=$AF1017),ROUND($AG1017,2),0))</f>
        <v/>
      </c>
      <c r="R1017" s="18">
        <f>IF($Z1017="","",IF(AND(DATE($AD1017,9,1)&gt;=$AE1017,DATE($AD1017,9,1)&lt;=$AF1017),ROUND($AG1017,2),0))</f>
        <v/>
      </c>
      <c r="S1017" s="18">
        <f>IF($Z1017="","",IF(AND(DATE($AD1017,10,1)&gt;=$AE1017,DATE($AD1017,10,1)&lt;=$AF1017),ROUND($AG1017,2),0))</f>
        <v/>
      </c>
      <c r="T1017" s="18">
        <f>IF($Z1017="","",IF(AND(DATE($AD1017,11,1)&gt;=$AE1017,DATE($AD1017,11,1)&lt;=$AF1017),ROUND($AG1017,2),0))</f>
        <v/>
      </c>
      <c r="U1017" s="18">
        <f>IF($Z1017="","",IF(AND(DATE($AD1017,12,1)&gt;=$AE1017,DATE($AD1017,12,1)&lt;=$AF1017),ROUND($AG1017,2),0))</f>
        <v/>
      </c>
      <c r="V1017" s="7">
        <f>IF($Z1017="C","Generated from "&amp;INDEX(Contracts!$A$2:$A$151,$AB1017),IF($Z1017="A","Generated from "&amp;INDEX(Fixed_Assets!$A$2:$A$201,$AB1017),IF($Z1017="F","Generated from "&amp;INDEX(FTE_Allocation!$A$2:$A$201,$AB1017),"")))</f>
        <v/>
      </c>
      <c r="X1017" s="19">
        <f>IF($Z1017="","",SUM(J1017:U1017))</f>
        <v/>
      </c>
      <c r="Y1017" s="20">
        <f>ROW()-1</f>
        <v/>
      </c>
      <c r="Z1017" s="20">
        <f>IF($Y1017&lt;=Settings!$B$4*3,"C",IF($Y1017&lt;=(Settings!$B$4+Settings!$B$5)*3,"A",IF($Y1017&lt;=(Settings!$B$4+Settings!$B$5+Settings!$B$6)*3,"F","")))</f>
        <v/>
      </c>
      <c r="AA1017" s="20">
        <f>IF($Z1017="C",$Y1017,IF($Z1017="A",$Y1017-Settings!$B$4*3,IF($Z1017="F",$Y1017-(Settings!$B$4+Settings!$B$5)*3,"")))</f>
        <v/>
      </c>
      <c r="AB1017" s="20">
        <f>IF($Z1017="","",INT(($AA1017-1)/3)+1)</f>
        <v/>
      </c>
      <c r="AC1017" s="20">
        <f>IF($Z1017="","",MOD($AA1017-1,3)+1)</f>
        <v/>
      </c>
      <c r="AD1017" s="20">
        <f>IF($Z1017="","",Settings!$B$2+$AC1017-1)</f>
        <v/>
      </c>
      <c r="AE1017" s="21">
        <f>IF($Z1017="C",DATE(YEAR(INDEX(Contracts!$J$2:$J$151,$AB1017)),MONTH(INDEX(Contracts!$J$2:$J$151,$AB1017)),1),IF($Z1017="A",DATE(YEAR(INDEX(Fixed_Assets!$G$2:$G$201,$AB1017)),MONTH(INDEX(Fixed_Assets!$G$2:$G$201,$AB1017)),1),IF($Z1017="F",DATE(YEAR(MAX(N(INDEX(Workforce!$I$2:$I$151,MATCH(INDEX(FTE_Allocation!$A$2:$A$201,$AB1017),Workforce!$A$2:$A$151,0))),N(INDEX(FTE_Allocation!$I$2:$I$201,$AB1017)))),MONTH(MAX(N(INDEX(Workforce!$I$2:$I$151,MATCH(INDEX(FTE_Allocation!$A$2:$A$201,$AB1017),Workforce!$A$2:$A$151,0))),N(INDEX(FTE_Allocation!$I$2:$I$201,$AB1017)))),1),"")))</f>
        <v/>
      </c>
      <c r="AF1017" s="21">
        <f>IF($Z1017="C",IF(INDEX(Contracts!$I$2:$I$151,$AB1017)="PREPAID",EDATE(DATE(YEAR(INDEX(Contracts!$J$2:$J$151,$AB1017)),MONTH(INDEX(Contracts!$J$2:$J$151,$AB1017)),1),IF(INDEX(Contracts!$N$2:$N$151,$AB1017)="",12,INDEX(Contracts!$N$2:$N$151,$AB1017))-1),IF(INDEX(Contracts!$I$2:$I$151,$AB1017)="MONTHLY",IF(INDEX(Contracts!$K$2:$K$151,$AB1017)="",2958101,INDEX(Contracts!$K$2:$K$151,$AB1017)),0)),IF($Z1017="A",EDATE(DATE(YEAR(INDEX(Fixed_Assets!$G$2:$G$201,$AB1017)),MONTH(INDEX(Fixed_Assets!$G$2:$G$201,$AB1017)),1),INDEX(Fixed_Assets!$J$2:$J$201,$AB1017)-1),IF($Z1017="F",MIN(IF(INDEX(Workforce!$J$2:$J$151,MATCH(INDEX(FTE_Allocation!$A$2:$A$201,$AB1017),Workforce!$A$2:$A$151,0))="",2958101,INDEX(Workforce!$J$2:$J$151,MATCH(INDEX(FTE_Allocation!$A$2:$A$201,$AB1017),Workforce!$A$2:$A$151,0))),IF(INDEX(FTE_Allocation!$J$2:$J$201,$AB1017)="",2958101,INDEX(FTE_Allocation!$J$2:$J$201,$AB1017))),"")))</f>
        <v/>
      </c>
      <c r="AG1017" s="19">
        <f>IF($Z1017="C",IF(INDEX(Contracts!$I$2:$I$151,$AB1017)="PREPAID",INDEX(Contracts!$M$2:$M$151,$AB1017)/IF(INDEX(Contracts!$N$2:$N$151,$AB1017)="",12,INDEX(Contracts!$N$2:$N$151,$AB1017)),IF(INDEX(Contracts!$I$2:$I$151,$AB1017)="MONTHLY",INDEX(Contracts!$M$2:$M$151,$AB1017),0))*(1-N(INDEX(Contracts!$O$2:$O$151,$AB1017))),IF($Z1017="A",INDEX(Fixed_Assets!$H$2:$H$201,$AB1017)/INDEX(Fixed_Assets!$J$2:$J$201,$AB1017),IF($Z1017="F",INDEX(Workforce!$F$2:$F$151,MATCH(INDEX(FTE_Allocation!$A$2:$A$201,$AB1017),Workforce!$A$2:$A$151,0))*N(INDEX(FTE_Allocation!$F$2:$H$201,$AB1017,$AC1017)),"")))</f>
        <v/>
      </c>
    </row>
    <row r="1018">
      <c r="A1018" s="7">
        <f>IF($Z1018="","",$AD1018)</f>
        <v/>
      </c>
      <c r="B1018" s="7">
        <f>IF($Z1018="C",INDEX(Contracts!$D$2:$D$151,$AB1018)&amp;"",IF($Z1018="A",INDEX(Fixed_Assets!$C$2:$C$201,$AB1018)&amp;"",IF($Z1018="F",INDEX(Workforce!$B$2:$B$151,MATCH(INDEX(FTE_Allocation!$A$2:$A$201,$AB1018),Workforce!$A$2:$A$151,0))&amp;"","")))</f>
        <v/>
      </c>
      <c r="C1018" s="7">
        <f>IF($Z1018="C",INDEX(Contracts!$E$2:$E$151,$AB1018)&amp;"",IF($Z1018="A",INDEX(Fixed_Assets!$D$2:$D$201,$AB1018)&amp;"",IF($Z1018="F",INDEX(FTE_Allocation!$C$2:$C$201,$AB1018)&amp;"","")))</f>
        <v/>
      </c>
      <c r="D1018" s="7">
        <f>IF($Z1018="C",INDEX(Contracts!$B$2:$B$151,$AB1018)&amp;"",IF($Z1018="A",INDEX(Fixed_Assets!$B$2:$B$201,$AB1018)&amp;"",IF($Z1018="F",INDEX(FTE_Allocation!$B$2:$B$201,$AB1018)&amp;"","")))</f>
        <v/>
      </c>
      <c r="E1018" s="7">
        <f>IF($Z1018="C",INDEX(Contracts!$P$2:$P$151,$AB1018)&amp;"",IF($Z1018="A",INDEX(Fixed_Assets!$K$2:$K$201,$AB1018)&amp;"",IF($Z1018="F",IF(INDEX(FTE_Allocation!$D$2:$D$201,$AB1018)="PROJECT",IFERROR(INDEX(Projects!$D:$D,MATCH(INDEX(FTE_Allocation!$E$2:$E$201,$AB1018),Projects!$A:$A,0))&amp;"","#PROJECT?"),INDEX(FTE_Allocation!$E$2:$E$201,$AB1018)&amp;""),"")))</f>
        <v/>
      </c>
      <c r="F1018" s="7">
        <f>IF($Z1018="C",INDEX(Contracts!$Q$2:$Q$151,$AB1018)&amp;"",IF($Z1018="A",INDEX(Fixed_Assets!$L$2:$L$201,$AB1018)&amp;"",IF($Z1018="F",INDEX(Workforce!$K$2:$K$151,MATCH(INDEX(FTE_Allocation!$A$2:$A$201,$AB1018),Workforce!$A$2:$A$151,0))&amp;"","")))</f>
        <v/>
      </c>
      <c r="G1018" s="7">
        <f>IF($Z1018="C",INDEX(Contracts!$F$2:$F$151,$AB1018)&amp;" / "&amp;INDEX(Contracts!$G$2:$G$151,$AB1018),IF($Z1018="A",INDEX(Fixed_Assets!$E$2:$E$201,$AB1018)&amp;"",IF($Z1018="F","Personnel "&amp;INDEX(FTE_Allocation!$A$2:$A$201,$AB1018)&amp;IF(INDEX(FTE_Allocation!$D$2:$D$201,$AB1018)="PROJECT"," ("&amp;INDEX(FTE_Allocation!$E$2:$E$201,$AB1018)&amp;")",""),"")))</f>
        <v/>
      </c>
      <c r="H1018" s="7">
        <f>IF($Z1018="C","CONTRACT",IF($Z1018="A","ASSET",IF($Z1018="F","WORKFORCE","")))</f>
        <v/>
      </c>
      <c r="I1018" s="7">
        <f>IF($Z1018="C",INDEX(Contracts!$L$2:$L$151,$AB1018)&amp;"",IF($Z1018="A",INDEX(Fixed_Assets!$I$2:$I$201,$AB1018)&amp;"",IF($Z1018="F",INDEX(Workforce!$G$2:$G$151,MATCH(INDEX(FTE_Allocation!$A$2:$A$201,$AB1018),Workforce!$A$2:$A$151,0))&amp;"","")))</f>
        <v/>
      </c>
      <c r="J1018" s="18">
        <f>IF($Z1018="","",IF(AND(DATE($AD1018,1,1)&gt;=$AE1018,DATE($AD1018,1,1)&lt;=$AF1018),ROUND($AG1018,2),0))</f>
        <v/>
      </c>
      <c r="K1018" s="18">
        <f>IF($Z1018="","",IF(AND(DATE($AD1018,2,1)&gt;=$AE1018,DATE($AD1018,2,1)&lt;=$AF1018),ROUND($AG1018,2),0))</f>
        <v/>
      </c>
      <c r="L1018" s="18">
        <f>IF($Z1018="","",IF(AND(DATE($AD1018,3,1)&gt;=$AE1018,DATE($AD1018,3,1)&lt;=$AF1018),ROUND($AG1018,2),0))</f>
        <v/>
      </c>
      <c r="M1018" s="18">
        <f>IF($Z1018="","",IF(AND(DATE($AD1018,4,1)&gt;=$AE1018,DATE($AD1018,4,1)&lt;=$AF1018),ROUND($AG1018,2),0))</f>
        <v/>
      </c>
      <c r="N1018" s="18">
        <f>IF($Z1018="","",IF(AND(DATE($AD1018,5,1)&gt;=$AE1018,DATE($AD1018,5,1)&lt;=$AF1018),ROUND($AG1018,2),0))</f>
        <v/>
      </c>
      <c r="O1018" s="18">
        <f>IF($Z1018="","",IF(AND(DATE($AD1018,6,1)&gt;=$AE1018,DATE($AD1018,6,1)&lt;=$AF1018),ROUND($AG1018,2),0))</f>
        <v/>
      </c>
      <c r="P1018" s="18">
        <f>IF($Z1018="","",IF(AND(DATE($AD1018,7,1)&gt;=$AE1018,DATE($AD1018,7,1)&lt;=$AF1018),ROUND($AG1018,2),0))</f>
        <v/>
      </c>
      <c r="Q1018" s="18">
        <f>IF($Z1018="","",IF(AND(DATE($AD1018,8,1)&gt;=$AE1018,DATE($AD1018,8,1)&lt;=$AF1018),ROUND($AG1018,2),0))</f>
        <v/>
      </c>
      <c r="R1018" s="18">
        <f>IF($Z1018="","",IF(AND(DATE($AD1018,9,1)&gt;=$AE1018,DATE($AD1018,9,1)&lt;=$AF1018),ROUND($AG1018,2),0))</f>
        <v/>
      </c>
      <c r="S1018" s="18">
        <f>IF($Z1018="","",IF(AND(DATE($AD1018,10,1)&gt;=$AE1018,DATE($AD1018,10,1)&lt;=$AF1018),ROUND($AG1018,2),0))</f>
        <v/>
      </c>
      <c r="T1018" s="18">
        <f>IF($Z1018="","",IF(AND(DATE($AD1018,11,1)&gt;=$AE1018,DATE($AD1018,11,1)&lt;=$AF1018),ROUND($AG1018,2),0))</f>
        <v/>
      </c>
      <c r="U1018" s="18">
        <f>IF($Z1018="","",IF(AND(DATE($AD1018,12,1)&gt;=$AE1018,DATE($AD1018,12,1)&lt;=$AF1018),ROUND($AG1018,2),0))</f>
        <v/>
      </c>
      <c r="V1018" s="7">
        <f>IF($Z1018="C","Generated from "&amp;INDEX(Contracts!$A$2:$A$151,$AB1018),IF($Z1018="A","Generated from "&amp;INDEX(Fixed_Assets!$A$2:$A$201,$AB1018),IF($Z1018="F","Generated from "&amp;INDEX(FTE_Allocation!$A$2:$A$201,$AB1018),"")))</f>
        <v/>
      </c>
      <c r="X1018" s="19">
        <f>IF($Z1018="","",SUM(J1018:U1018))</f>
        <v/>
      </c>
      <c r="Y1018" s="20">
        <f>ROW()-1</f>
        <v/>
      </c>
      <c r="Z1018" s="20">
        <f>IF($Y1018&lt;=Settings!$B$4*3,"C",IF($Y1018&lt;=(Settings!$B$4+Settings!$B$5)*3,"A",IF($Y1018&lt;=(Settings!$B$4+Settings!$B$5+Settings!$B$6)*3,"F","")))</f>
        <v/>
      </c>
      <c r="AA1018" s="20">
        <f>IF($Z1018="C",$Y1018,IF($Z1018="A",$Y1018-Settings!$B$4*3,IF($Z1018="F",$Y1018-(Settings!$B$4+Settings!$B$5)*3,"")))</f>
        <v/>
      </c>
      <c r="AB1018" s="20">
        <f>IF($Z1018="","",INT(($AA1018-1)/3)+1)</f>
        <v/>
      </c>
      <c r="AC1018" s="20">
        <f>IF($Z1018="","",MOD($AA1018-1,3)+1)</f>
        <v/>
      </c>
      <c r="AD1018" s="20">
        <f>IF($Z1018="","",Settings!$B$2+$AC1018-1)</f>
        <v/>
      </c>
      <c r="AE1018" s="21">
        <f>IF($Z1018="C",DATE(YEAR(INDEX(Contracts!$J$2:$J$151,$AB1018)),MONTH(INDEX(Contracts!$J$2:$J$151,$AB1018)),1),IF($Z1018="A",DATE(YEAR(INDEX(Fixed_Assets!$G$2:$G$201,$AB1018)),MONTH(INDEX(Fixed_Assets!$G$2:$G$201,$AB1018)),1),IF($Z1018="F",DATE(YEAR(MAX(N(INDEX(Workforce!$I$2:$I$151,MATCH(INDEX(FTE_Allocation!$A$2:$A$201,$AB1018),Workforce!$A$2:$A$151,0))),N(INDEX(FTE_Allocation!$I$2:$I$201,$AB1018)))),MONTH(MAX(N(INDEX(Workforce!$I$2:$I$151,MATCH(INDEX(FTE_Allocation!$A$2:$A$201,$AB1018),Workforce!$A$2:$A$151,0))),N(INDEX(FTE_Allocation!$I$2:$I$201,$AB1018)))),1),"")))</f>
        <v/>
      </c>
      <c r="AF1018" s="21">
        <f>IF($Z1018="C",IF(INDEX(Contracts!$I$2:$I$151,$AB1018)="PREPAID",EDATE(DATE(YEAR(INDEX(Contracts!$J$2:$J$151,$AB1018)),MONTH(INDEX(Contracts!$J$2:$J$151,$AB1018)),1),IF(INDEX(Contracts!$N$2:$N$151,$AB1018)="",12,INDEX(Contracts!$N$2:$N$151,$AB1018))-1),IF(INDEX(Contracts!$I$2:$I$151,$AB1018)="MONTHLY",IF(INDEX(Contracts!$K$2:$K$151,$AB1018)="",2958101,INDEX(Contracts!$K$2:$K$151,$AB1018)),0)),IF($Z1018="A",EDATE(DATE(YEAR(INDEX(Fixed_Assets!$G$2:$G$201,$AB1018)),MONTH(INDEX(Fixed_Assets!$G$2:$G$201,$AB1018)),1),INDEX(Fixed_Assets!$J$2:$J$201,$AB1018)-1),IF($Z1018="F",MIN(IF(INDEX(Workforce!$J$2:$J$151,MATCH(INDEX(FTE_Allocation!$A$2:$A$201,$AB1018),Workforce!$A$2:$A$151,0))="",2958101,INDEX(Workforce!$J$2:$J$151,MATCH(INDEX(FTE_Allocation!$A$2:$A$201,$AB1018),Workforce!$A$2:$A$151,0))),IF(INDEX(FTE_Allocation!$J$2:$J$201,$AB1018)="",2958101,INDEX(FTE_Allocation!$J$2:$J$201,$AB1018))),"")))</f>
        <v/>
      </c>
      <c r="AG1018" s="19">
        <f>IF($Z1018="C",IF(INDEX(Contracts!$I$2:$I$151,$AB1018)="PREPAID",INDEX(Contracts!$M$2:$M$151,$AB1018)/IF(INDEX(Contracts!$N$2:$N$151,$AB1018)="",12,INDEX(Contracts!$N$2:$N$151,$AB1018)),IF(INDEX(Contracts!$I$2:$I$151,$AB1018)="MONTHLY",INDEX(Contracts!$M$2:$M$151,$AB1018),0))*(1-N(INDEX(Contracts!$O$2:$O$151,$AB1018))),IF($Z1018="A",INDEX(Fixed_Assets!$H$2:$H$201,$AB1018)/INDEX(Fixed_Assets!$J$2:$J$201,$AB1018),IF($Z1018="F",INDEX(Workforce!$F$2:$F$151,MATCH(INDEX(FTE_Allocation!$A$2:$A$201,$AB1018),Workforce!$A$2:$A$151,0))*N(INDEX(FTE_Allocation!$F$2:$H$201,$AB1018,$AC1018)),"")))</f>
        <v/>
      </c>
    </row>
    <row r="1019">
      <c r="A1019" s="7">
        <f>IF($Z1019="","",$AD1019)</f>
        <v/>
      </c>
      <c r="B1019" s="7">
        <f>IF($Z1019="C",INDEX(Contracts!$D$2:$D$151,$AB1019)&amp;"",IF($Z1019="A",INDEX(Fixed_Assets!$C$2:$C$201,$AB1019)&amp;"",IF($Z1019="F",INDEX(Workforce!$B$2:$B$151,MATCH(INDEX(FTE_Allocation!$A$2:$A$201,$AB1019),Workforce!$A$2:$A$151,0))&amp;"","")))</f>
        <v/>
      </c>
      <c r="C1019" s="7">
        <f>IF($Z1019="C",INDEX(Contracts!$E$2:$E$151,$AB1019)&amp;"",IF($Z1019="A",INDEX(Fixed_Assets!$D$2:$D$201,$AB1019)&amp;"",IF($Z1019="F",INDEX(FTE_Allocation!$C$2:$C$201,$AB1019)&amp;"","")))</f>
        <v/>
      </c>
      <c r="D1019" s="7">
        <f>IF($Z1019="C",INDEX(Contracts!$B$2:$B$151,$AB1019)&amp;"",IF($Z1019="A",INDEX(Fixed_Assets!$B$2:$B$201,$AB1019)&amp;"",IF($Z1019="F",INDEX(FTE_Allocation!$B$2:$B$201,$AB1019)&amp;"","")))</f>
        <v/>
      </c>
      <c r="E1019" s="7">
        <f>IF($Z1019="C",INDEX(Contracts!$P$2:$P$151,$AB1019)&amp;"",IF($Z1019="A",INDEX(Fixed_Assets!$K$2:$K$201,$AB1019)&amp;"",IF($Z1019="F",IF(INDEX(FTE_Allocation!$D$2:$D$201,$AB1019)="PROJECT",IFERROR(INDEX(Projects!$D:$D,MATCH(INDEX(FTE_Allocation!$E$2:$E$201,$AB1019),Projects!$A:$A,0))&amp;"","#PROJECT?"),INDEX(FTE_Allocation!$E$2:$E$201,$AB1019)&amp;""),"")))</f>
        <v/>
      </c>
      <c r="F1019" s="7">
        <f>IF($Z1019="C",INDEX(Contracts!$Q$2:$Q$151,$AB1019)&amp;"",IF($Z1019="A",INDEX(Fixed_Assets!$L$2:$L$201,$AB1019)&amp;"",IF($Z1019="F",INDEX(Workforce!$K$2:$K$151,MATCH(INDEX(FTE_Allocation!$A$2:$A$201,$AB1019),Workforce!$A$2:$A$151,0))&amp;"","")))</f>
        <v/>
      </c>
      <c r="G1019" s="7">
        <f>IF($Z1019="C",INDEX(Contracts!$F$2:$F$151,$AB1019)&amp;" / "&amp;INDEX(Contracts!$G$2:$G$151,$AB1019),IF($Z1019="A",INDEX(Fixed_Assets!$E$2:$E$201,$AB1019)&amp;"",IF($Z1019="F","Personnel "&amp;INDEX(FTE_Allocation!$A$2:$A$201,$AB1019)&amp;IF(INDEX(FTE_Allocation!$D$2:$D$201,$AB1019)="PROJECT"," ("&amp;INDEX(FTE_Allocation!$E$2:$E$201,$AB1019)&amp;")",""),"")))</f>
        <v/>
      </c>
      <c r="H1019" s="7">
        <f>IF($Z1019="C","CONTRACT",IF($Z1019="A","ASSET",IF($Z1019="F","WORKFORCE","")))</f>
        <v/>
      </c>
      <c r="I1019" s="7">
        <f>IF($Z1019="C",INDEX(Contracts!$L$2:$L$151,$AB1019)&amp;"",IF($Z1019="A",INDEX(Fixed_Assets!$I$2:$I$201,$AB1019)&amp;"",IF($Z1019="F",INDEX(Workforce!$G$2:$G$151,MATCH(INDEX(FTE_Allocation!$A$2:$A$201,$AB1019),Workforce!$A$2:$A$151,0))&amp;"","")))</f>
        <v/>
      </c>
      <c r="J1019" s="18">
        <f>IF($Z1019="","",IF(AND(DATE($AD1019,1,1)&gt;=$AE1019,DATE($AD1019,1,1)&lt;=$AF1019),ROUND($AG1019,2),0))</f>
        <v/>
      </c>
      <c r="K1019" s="18">
        <f>IF($Z1019="","",IF(AND(DATE($AD1019,2,1)&gt;=$AE1019,DATE($AD1019,2,1)&lt;=$AF1019),ROUND($AG1019,2),0))</f>
        <v/>
      </c>
      <c r="L1019" s="18">
        <f>IF($Z1019="","",IF(AND(DATE($AD1019,3,1)&gt;=$AE1019,DATE($AD1019,3,1)&lt;=$AF1019),ROUND($AG1019,2),0))</f>
        <v/>
      </c>
      <c r="M1019" s="18">
        <f>IF($Z1019="","",IF(AND(DATE($AD1019,4,1)&gt;=$AE1019,DATE($AD1019,4,1)&lt;=$AF1019),ROUND($AG1019,2),0))</f>
        <v/>
      </c>
      <c r="N1019" s="18">
        <f>IF($Z1019="","",IF(AND(DATE($AD1019,5,1)&gt;=$AE1019,DATE($AD1019,5,1)&lt;=$AF1019),ROUND($AG1019,2),0))</f>
        <v/>
      </c>
      <c r="O1019" s="18">
        <f>IF($Z1019="","",IF(AND(DATE($AD1019,6,1)&gt;=$AE1019,DATE($AD1019,6,1)&lt;=$AF1019),ROUND($AG1019,2),0))</f>
        <v/>
      </c>
      <c r="P1019" s="18">
        <f>IF($Z1019="","",IF(AND(DATE($AD1019,7,1)&gt;=$AE1019,DATE($AD1019,7,1)&lt;=$AF1019),ROUND($AG1019,2),0))</f>
        <v/>
      </c>
      <c r="Q1019" s="18">
        <f>IF($Z1019="","",IF(AND(DATE($AD1019,8,1)&gt;=$AE1019,DATE($AD1019,8,1)&lt;=$AF1019),ROUND($AG1019,2),0))</f>
        <v/>
      </c>
      <c r="R1019" s="18">
        <f>IF($Z1019="","",IF(AND(DATE($AD1019,9,1)&gt;=$AE1019,DATE($AD1019,9,1)&lt;=$AF1019),ROUND($AG1019,2),0))</f>
        <v/>
      </c>
      <c r="S1019" s="18">
        <f>IF($Z1019="","",IF(AND(DATE($AD1019,10,1)&gt;=$AE1019,DATE($AD1019,10,1)&lt;=$AF1019),ROUND($AG1019,2),0))</f>
        <v/>
      </c>
      <c r="T1019" s="18">
        <f>IF($Z1019="","",IF(AND(DATE($AD1019,11,1)&gt;=$AE1019,DATE($AD1019,11,1)&lt;=$AF1019),ROUND($AG1019,2),0))</f>
        <v/>
      </c>
      <c r="U1019" s="18">
        <f>IF($Z1019="","",IF(AND(DATE($AD1019,12,1)&gt;=$AE1019,DATE($AD1019,12,1)&lt;=$AF1019),ROUND($AG1019,2),0))</f>
        <v/>
      </c>
      <c r="V1019" s="7">
        <f>IF($Z1019="C","Generated from "&amp;INDEX(Contracts!$A$2:$A$151,$AB1019),IF($Z1019="A","Generated from "&amp;INDEX(Fixed_Assets!$A$2:$A$201,$AB1019),IF($Z1019="F","Generated from "&amp;INDEX(FTE_Allocation!$A$2:$A$201,$AB1019),"")))</f>
        <v/>
      </c>
      <c r="X1019" s="19">
        <f>IF($Z1019="","",SUM(J1019:U1019))</f>
        <v/>
      </c>
      <c r="Y1019" s="20">
        <f>ROW()-1</f>
        <v/>
      </c>
      <c r="Z1019" s="20">
        <f>IF($Y1019&lt;=Settings!$B$4*3,"C",IF($Y1019&lt;=(Settings!$B$4+Settings!$B$5)*3,"A",IF($Y1019&lt;=(Settings!$B$4+Settings!$B$5+Settings!$B$6)*3,"F","")))</f>
        <v/>
      </c>
      <c r="AA1019" s="20">
        <f>IF($Z1019="C",$Y1019,IF($Z1019="A",$Y1019-Settings!$B$4*3,IF($Z1019="F",$Y1019-(Settings!$B$4+Settings!$B$5)*3,"")))</f>
        <v/>
      </c>
      <c r="AB1019" s="20">
        <f>IF($Z1019="","",INT(($AA1019-1)/3)+1)</f>
        <v/>
      </c>
      <c r="AC1019" s="20">
        <f>IF($Z1019="","",MOD($AA1019-1,3)+1)</f>
        <v/>
      </c>
      <c r="AD1019" s="20">
        <f>IF($Z1019="","",Settings!$B$2+$AC1019-1)</f>
        <v/>
      </c>
      <c r="AE1019" s="21">
        <f>IF($Z1019="C",DATE(YEAR(INDEX(Contracts!$J$2:$J$151,$AB1019)),MONTH(INDEX(Contracts!$J$2:$J$151,$AB1019)),1),IF($Z1019="A",DATE(YEAR(INDEX(Fixed_Assets!$G$2:$G$201,$AB1019)),MONTH(INDEX(Fixed_Assets!$G$2:$G$201,$AB1019)),1),IF($Z1019="F",DATE(YEAR(MAX(N(INDEX(Workforce!$I$2:$I$151,MATCH(INDEX(FTE_Allocation!$A$2:$A$201,$AB1019),Workforce!$A$2:$A$151,0))),N(INDEX(FTE_Allocation!$I$2:$I$201,$AB1019)))),MONTH(MAX(N(INDEX(Workforce!$I$2:$I$151,MATCH(INDEX(FTE_Allocation!$A$2:$A$201,$AB1019),Workforce!$A$2:$A$151,0))),N(INDEX(FTE_Allocation!$I$2:$I$201,$AB1019)))),1),"")))</f>
        <v/>
      </c>
      <c r="AF1019" s="21">
        <f>IF($Z1019="C",IF(INDEX(Contracts!$I$2:$I$151,$AB1019)="PREPAID",EDATE(DATE(YEAR(INDEX(Contracts!$J$2:$J$151,$AB1019)),MONTH(INDEX(Contracts!$J$2:$J$151,$AB1019)),1),IF(INDEX(Contracts!$N$2:$N$151,$AB1019)="",12,INDEX(Contracts!$N$2:$N$151,$AB1019))-1),IF(INDEX(Contracts!$I$2:$I$151,$AB1019)="MONTHLY",IF(INDEX(Contracts!$K$2:$K$151,$AB1019)="",2958101,INDEX(Contracts!$K$2:$K$151,$AB1019)),0)),IF($Z1019="A",EDATE(DATE(YEAR(INDEX(Fixed_Assets!$G$2:$G$201,$AB1019)),MONTH(INDEX(Fixed_Assets!$G$2:$G$201,$AB1019)),1),INDEX(Fixed_Assets!$J$2:$J$201,$AB1019)-1),IF($Z1019="F",MIN(IF(INDEX(Workforce!$J$2:$J$151,MATCH(INDEX(FTE_Allocation!$A$2:$A$201,$AB1019),Workforce!$A$2:$A$151,0))="",2958101,INDEX(Workforce!$J$2:$J$151,MATCH(INDEX(FTE_Allocation!$A$2:$A$201,$AB1019),Workforce!$A$2:$A$151,0))),IF(INDEX(FTE_Allocation!$J$2:$J$201,$AB1019)="",2958101,INDEX(FTE_Allocation!$J$2:$J$201,$AB1019))),"")))</f>
        <v/>
      </c>
      <c r="AG1019" s="19">
        <f>IF($Z1019="C",IF(INDEX(Contracts!$I$2:$I$151,$AB1019)="PREPAID",INDEX(Contracts!$M$2:$M$151,$AB1019)/IF(INDEX(Contracts!$N$2:$N$151,$AB1019)="",12,INDEX(Contracts!$N$2:$N$151,$AB1019)),IF(INDEX(Contracts!$I$2:$I$151,$AB1019)="MONTHLY",INDEX(Contracts!$M$2:$M$151,$AB1019),0))*(1-N(INDEX(Contracts!$O$2:$O$151,$AB1019))),IF($Z1019="A",INDEX(Fixed_Assets!$H$2:$H$201,$AB1019)/INDEX(Fixed_Assets!$J$2:$J$201,$AB1019),IF($Z1019="F",INDEX(Workforce!$F$2:$F$151,MATCH(INDEX(FTE_Allocation!$A$2:$A$201,$AB1019),Workforce!$A$2:$A$151,0))*N(INDEX(FTE_Allocation!$F$2:$H$201,$AB1019,$AC1019)),"")))</f>
        <v/>
      </c>
    </row>
    <row r="1020">
      <c r="A1020" s="7">
        <f>IF($Z1020="","",$AD1020)</f>
        <v/>
      </c>
      <c r="B1020" s="7">
        <f>IF($Z1020="C",INDEX(Contracts!$D$2:$D$151,$AB1020)&amp;"",IF($Z1020="A",INDEX(Fixed_Assets!$C$2:$C$201,$AB1020)&amp;"",IF($Z1020="F",INDEX(Workforce!$B$2:$B$151,MATCH(INDEX(FTE_Allocation!$A$2:$A$201,$AB1020),Workforce!$A$2:$A$151,0))&amp;"","")))</f>
        <v/>
      </c>
      <c r="C1020" s="7">
        <f>IF($Z1020="C",INDEX(Contracts!$E$2:$E$151,$AB1020)&amp;"",IF($Z1020="A",INDEX(Fixed_Assets!$D$2:$D$201,$AB1020)&amp;"",IF($Z1020="F",INDEX(FTE_Allocation!$C$2:$C$201,$AB1020)&amp;"","")))</f>
        <v/>
      </c>
      <c r="D1020" s="7">
        <f>IF($Z1020="C",INDEX(Contracts!$B$2:$B$151,$AB1020)&amp;"",IF($Z1020="A",INDEX(Fixed_Assets!$B$2:$B$201,$AB1020)&amp;"",IF($Z1020="F",INDEX(FTE_Allocation!$B$2:$B$201,$AB1020)&amp;"","")))</f>
        <v/>
      </c>
      <c r="E1020" s="7">
        <f>IF($Z1020="C",INDEX(Contracts!$P$2:$P$151,$AB1020)&amp;"",IF($Z1020="A",INDEX(Fixed_Assets!$K$2:$K$201,$AB1020)&amp;"",IF($Z1020="F",IF(INDEX(FTE_Allocation!$D$2:$D$201,$AB1020)="PROJECT",IFERROR(INDEX(Projects!$D:$D,MATCH(INDEX(FTE_Allocation!$E$2:$E$201,$AB1020),Projects!$A:$A,0))&amp;"","#PROJECT?"),INDEX(FTE_Allocation!$E$2:$E$201,$AB1020)&amp;""),"")))</f>
        <v/>
      </c>
      <c r="F1020" s="7">
        <f>IF($Z1020="C",INDEX(Contracts!$Q$2:$Q$151,$AB1020)&amp;"",IF($Z1020="A",INDEX(Fixed_Assets!$L$2:$L$201,$AB1020)&amp;"",IF($Z1020="F",INDEX(Workforce!$K$2:$K$151,MATCH(INDEX(FTE_Allocation!$A$2:$A$201,$AB1020),Workforce!$A$2:$A$151,0))&amp;"","")))</f>
        <v/>
      </c>
      <c r="G1020" s="7">
        <f>IF($Z1020="C",INDEX(Contracts!$F$2:$F$151,$AB1020)&amp;" / "&amp;INDEX(Contracts!$G$2:$G$151,$AB1020),IF($Z1020="A",INDEX(Fixed_Assets!$E$2:$E$201,$AB1020)&amp;"",IF($Z1020="F","Personnel "&amp;INDEX(FTE_Allocation!$A$2:$A$201,$AB1020)&amp;IF(INDEX(FTE_Allocation!$D$2:$D$201,$AB1020)="PROJECT"," ("&amp;INDEX(FTE_Allocation!$E$2:$E$201,$AB1020)&amp;")",""),"")))</f>
        <v/>
      </c>
      <c r="H1020" s="7">
        <f>IF($Z1020="C","CONTRACT",IF($Z1020="A","ASSET",IF($Z1020="F","WORKFORCE","")))</f>
        <v/>
      </c>
      <c r="I1020" s="7">
        <f>IF($Z1020="C",INDEX(Contracts!$L$2:$L$151,$AB1020)&amp;"",IF($Z1020="A",INDEX(Fixed_Assets!$I$2:$I$201,$AB1020)&amp;"",IF($Z1020="F",INDEX(Workforce!$G$2:$G$151,MATCH(INDEX(FTE_Allocation!$A$2:$A$201,$AB1020),Workforce!$A$2:$A$151,0))&amp;"","")))</f>
        <v/>
      </c>
      <c r="J1020" s="18">
        <f>IF($Z1020="","",IF(AND(DATE($AD1020,1,1)&gt;=$AE1020,DATE($AD1020,1,1)&lt;=$AF1020),ROUND($AG1020,2),0))</f>
        <v/>
      </c>
      <c r="K1020" s="18">
        <f>IF($Z1020="","",IF(AND(DATE($AD1020,2,1)&gt;=$AE1020,DATE($AD1020,2,1)&lt;=$AF1020),ROUND($AG1020,2),0))</f>
        <v/>
      </c>
      <c r="L1020" s="18">
        <f>IF($Z1020="","",IF(AND(DATE($AD1020,3,1)&gt;=$AE1020,DATE($AD1020,3,1)&lt;=$AF1020),ROUND($AG1020,2),0))</f>
        <v/>
      </c>
      <c r="M1020" s="18">
        <f>IF($Z1020="","",IF(AND(DATE($AD1020,4,1)&gt;=$AE1020,DATE($AD1020,4,1)&lt;=$AF1020),ROUND($AG1020,2),0))</f>
        <v/>
      </c>
      <c r="N1020" s="18">
        <f>IF($Z1020="","",IF(AND(DATE($AD1020,5,1)&gt;=$AE1020,DATE($AD1020,5,1)&lt;=$AF1020),ROUND($AG1020,2),0))</f>
        <v/>
      </c>
      <c r="O1020" s="18">
        <f>IF($Z1020="","",IF(AND(DATE($AD1020,6,1)&gt;=$AE1020,DATE($AD1020,6,1)&lt;=$AF1020),ROUND($AG1020,2),0))</f>
        <v/>
      </c>
      <c r="P1020" s="18">
        <f>IF($Z1020="","",IF(AND(DATE($AD1020,7,1)&gt;=$AE1020,DATE($AD1020,7,1)&lt;=$AF1020),ROUND($AG1020,2),0))</f>
        <v/>
      </c>
      <c r="Q1020" s="18">
        <f>IF($Z1020="","",IF(AND(DATE($AD1020,8,1)&gt;=$AE1020,DATE($AD1020,8,1)&lt;=$AF1020),ROUND($AG1020,2),0))</f>
        <v/>
      </c>
      <c r="R1020" s="18">
        <f>IF($Z1020="","",IF(AND(DATE($AD1020,9,1)&gt;=$AE1020,DATE($AD1020,9,1)&lt;=$AF1020),ROUND($AG1020,2),0))</f>
        <v/>
      </c>
      <c r="S1020" s="18">
        <f>IF($Z1020="","",IF(AND(DATE($AD1020,10,1)&gt;=$AE1020,DATE($AD1020,10,1)&lt;=$AF1020),ROUND($AG1020,2),0))</f>
        <v/>
      </c>
      <c r="T1020" s="18">
        <f>IF($Z1020="","",IF(AND(DATE($AD1020,11,1)&gt;=$AE1020,DATE($AD1020,11,1)&lt;=$AF1020),ROUND($AG1020,2),0))</f>
        <v/>
      </c>
      <c r="U1020" s="18">
        <f>IF($Z1020="","",IF(AND(DATE($AD1020,12,1)&gt;=$AE1020,DATE($AD1020,12,1)&lt;=$AF1020),ROUND($AG1020,2),0))</f>
        <v/>
      </c>
      <c r="V1020" s="7">
        <f>IF($Z1020="C","Generated from "&amp;INDEX(Contracts!$A$2:$A$151,$AB1020),IF($Z1020="A","Generated from "&amp;INDEX(Fixed_Assets!$A$2:$A$201,$AB1020),IF($Z1020="F","Generated from "&amp;INDEX(FTE_Allocation!$A$2:$A$201,$AB1020),"")))</f>
        <v/>
      </c>
      <c r="X1020" s="19">
        <f>IF($Z1020="","",SUM(J1020:U1020))</f>
        <v/>
      </c>
      <c r="Y1020" s="20">
        <f>ROW()-1</f>
        <v/>
      </c>
      <c r="Z1020" s="20">
        <f>IF($Y1020&lt;=Settings!$B$4*3,"C",IF($Y1020&lt;=(Settings!$B$4+Settings!$B$5)*3,"A",IF($Y1020&lt;=(Settings!$B$4+Settings!$B$5+Settings!$B$6)*3,"F","")))</f>
        <v/>
      </c>
      <c r="AA1020" s="20">
        <f>IF($Z1020="C",$Y1020,IF($Z1020="A",$Y1020-Settings!$B$4*3,IF($Z1020="F",$Y1020-(Settings!$B$4+Settings!$B$5)*3,"")))</f>
        <v/>
      </c>
      <c r="AB1020" s="20">
        <f>IF($Z1020="","",INT(($AA1020-1)/3)+1)</f>
        <v/>
      </c>
      <c r="AC1020" s="20">
        <f>IF($Z1020="","",MOD($AA1020-1,3)+1)</f>
        <v/>
      </c>
      <c r="AD1020" s="20">
        <f>IF($Z1020="","",Settings!$B$2+$AC1020-1)</f>
        <v/>
      </c>
      <c r="AE1020" s="21">
        <f>IF($Z1020="C",DATE(YEAR(INDEX(Contracts!$J$2:$J$151,$AB1020)),MONTH(INDEX(Contracts!$J$2:$J$151,$AB1020)),1),IF($Z1020="A",DATE(YEAR(INDEX(Fixed_Assets!$G$2:$G$201,$AB1020)),MONTH(INDEX(Fixed_Assets!$G$2:$G$201,$AB1020)),1),IF($Z1020="F",DATE(YEAR(MAX(N(INDEX(Workforce!$I$2:$I$151,MATCH(INDEX(FTE_Allocation!$A$2:$A$201,$AB1020),Workforce!$A$2:$A$151,0))),N(INDEX(FTE_Allocation!$I$2:$I$201,$AB1020)))),MONTH(MAX(N(INDEX(Workforce!$I$2:$I$151,MATCH(INDEX(FTE_Allocation!$A$2:$A$201,$AB1020),Workforce!$A$2:$A$151,0))),N(INDEX(FTE_Allocation!$I$2:$I$201,$AB1020)))),1),"")))</f>
        <v/>
      </c>
      <c r="AF1020" s="21">
        <f>IF($Z1020="C",IF(INDEX(Contracts!$I$2:$I$151,$AB1020)="PREPAID",EDATE(DATE(YEAR(INDEX(Contracts!$J$2:$J$151,$AB1020)),MONTH(INDEX(Contracts!$J$2:$J$151,$AB1020)),1),IF(INDEX(Contracts!$N$2:$N$151,$AB1020)="",12,INDEX(Contracts!$N$2:$N$151,$AB1020))-1),IF(INDEX(Contracts!$I$2:$I$151,$AB1020)="MONTHLY",IF(INDEX(Contracts!$K$2:$K$151,$AB1020)="",2958101,INDEX(Contracts!$K$2:$K$151,$AB1020)),0)),IF($Z1020="A",EDATE(DATE(YEAR(INDEX(Fixed_Assets!$G$2:$G$201,$AB1020)),MONTH(INDEX(Fixed_Assets!$G$2:$G$201,$AB1020)),1),INDEX(Fixed_Assets!$J$2:$J$201,$AB1020)-1),IF($Z1020="F",MIN(IF(INDEX(Workforce!$J$2:$J$151,MATCH(INDEX(FTE_Allocation!$A$2:$A$201,$AB1020),Workforce!$A$2:$A$151,0))="",2958101,INDEX(Workforce!$J$2:$J$151,MATCH(INDEX(FTE_Allocation!$A$2:$A$201,$AB1020),Workforce!$A$2:$A$151,0))),IF(INDEX(FTE_Allocation!$J$2:$J$201,$AB1020)="",2958101,INDEX(FTE_Allocation!$J$2:$J$201,$AB1020))),"")))</f>
        <v/>
      </c>
      <c r="AG1020" s="19">
        <f>IF($Z1020="C",IF(INDEX(Contracts!$I$2:$I$151,$AB1020)="PREPAID",INDEX(Contracts!$M$2:$M$151,$AB1020)/IF(INDEX(Contracts!$N$2:$N$151,$AB1020)="",12,INDEX(Contracts!$N$2:$N$151,$AB1020)),IF(INDEX(Contracts!$I$2:$I$151,$AB1020)="MONTHLY",INDEX(Contracts!$M$2:$M$151,$AB1020),0))*(1-N(INDEX(Contracts!$O$2:$O$151,$AB1020))),IF($Z1020="A",INDEX(Fixed_Assets!$H$2:$H$201,$AB1020)/INDEX(Fixed_Assets!$J$2:$J$201,$AB1020),IF($Z1020="F",INDEX(Workforce!$F$2:$F$151,MATCH(INDEX(FTE_Allocation!$A$2:$A$201,$AB1020),Workforce!$A$2:$A$151,0))*N(INDEX(FTE_Allocation!$F$2:$H$201,$AB1020,$AC1020)),"")))</f>
        <v/>
      </c>
    </row>
    <row r="1021">
      <c r="A1021" s="7">
        <f>IF($Z1021="","",$AD1021)</f>
        <v/>
      </c>
      <c r="B1021" s="7">
        <f>IF($Z1021="C",INDEX(Contracts!$D$2:$D$151,$AB1021)&amp;"",IF($Z1021="A",INDEX(Fixed_Assets!$C$2:$C$201,$AB1021)&amp;"",IF($Z1021="F",INDEX(Workforce!$B$2:$B$151,MATCH(INDEX(FTE_Allocation!$A$2:$A$201,$AB1021),Workforce!$A$2:$A$151,0))&amp;"","")))</f>
        <v/>
      </c>
      <c r="C1021" s="7">
        <f>IF($Z1021="C",INDEX(Contracts!$E$2:$E$151,$AB1021)&amp;"",IF($Z1021="A",INDEX(Fixed_Assets!$D$2:$D$201,$AB1021)&amp;"",IF($Z1021="F",INDEX(FTE_Allocation!$C$2:$C$201,$AB1021)&amp;"","")))</f>
        <v/>
      </c>
      <c r="D1021" s="7">
        <f>IF($Z1021="C",INDEX(Contracts!$B$2:$B$151,$AB1021)&amp;"",IF($Z1021="A",INDEX(Fixed_Assets!$B$2:$B$201,$AB1021)&amp;"",IF($Z1021="F",INDEX(FTE_Allocation!$B$2:$B$201,$AB1021)&amp;"","")))</f>
        <v/>
      </c>
      <c r="E1021" s="7">
        <f>IF($Z1021="C",INDEX(Contracts!$P$2:$P$151,$AB1021)&amp;"",IF($Z1021="A",INDEX(Fixed_Assets!$K$2:$K$201,$AB1021)&amp;"",IF($Z1021="F",IF(INDEX(FTE_Allocation!$D$2:$D$201,$AB1021)="PROJECT",IFERROR(INDEX(Projects!$D:$D,MATCH(INDEX(FTE_Allocation!$E$2:$E$201,$AB1021),Projects!$A:$A,0))&amp;"","#PROJECT?"),INDEX(FTE_Allocation!$E$2:$E$201,$AB1021)&amp;""),"")))</f>
        <v/>
      </c>
      <c r="F1021" s="7">
        <f>IF($Z1021="C",INDEX(Contracts!$Q$2:$Q$151,$AB1021)&amp;"",IF($Z1021="A",INDEX(Fixed_Assets!$L$2:$L$201,$AB1021)&amp;"",IF($Z1021="F",INDEX(Workforce!$K$2:$K$151,MATCH(INDEX(FTE_Allocation!$A$2:$A$201,$AB1021),Workforce!$A$2:$A$151,0))&amp;"","")))</f>
        <v/>
      </c>
      <c r="G1021" s="7">
        <f>IF($Z1021="C",INDEX(Contracts!$F$2:$F$151,$AB1021)&amp;" / "&amp;INDEX(Contracts!$G$2:$G$151,$AB1021),IF($Z1021="A",INDEX(Fixed_Assets!$E$2:$E$201,$AB1021)&amp;"",IF($Z1021="F","Personnel "&amp;INDEX(FTE_Allocation!$A$2:$A$201,$AB1021)&amp;IF(INDEX(FTE_Allocation!$D$2:$D$201,$AB1021)="PROJECT"," ("&amp;INDEX(FTE_Allocation!$E$2:$E$201,$AB1021)&amp;")",""),"")))</f>
        <v/>
      </c>
      <c r="H1021" s="7">
        <f>IF($Z1021="C","CONTRACT",IF($Z1021="A","ASSET",IF($Z1021="F","WORKFORCE","")))</f>
        <v/>
      </c>
      <c r="I1021" s="7">
        <f>IF($Z1021="C",INDEX(Contracts!$L$2:$L$151,$AB1021)&amp;"",IF($Z1021="A",INDEX(Fixed_Assets!$I$2:$I$201,$AB1021)&amp;"",IF($Z1021="F",INDEX(Workforce!$G$2:$G$151,MATCH(INDEX(FTE_Allocation!$A$2:$A$201,$AB1021),Workforce!$A$2:$A$151,0))&amp;"","")))</f>
        <v/>
      </c>
      <c r="J1021" s="18">
        <f>IF($Z1021="","",IF(AND(DATE($AD1021,1,1)&gt;=$AE1021,DATE($AD1021,1,1)&lt;=$AF1021),ROUND($AG1021,2),0))</f>
        <v/>
      </c>
      <c r="K1021" s="18">
        <f>IF($Z1021="","",IF(AND(DATE($AD1021,2,1)&gt;=$AE1021,DATE($AD1021,2,1)&lt;=$AF1021),ROUND($AG1021,2),0))</f>
        <v/>
      </c>
      <c r="L1021" s="18">
        <f>IF($Z1021="","",IF(AND(DATE($AD1021,3,1)&gt;=$AE1021,DATE($AD1021,3,1)&lt;=$AF1021),ROUND($AG1021,2),0))</f>
        <v/>
      </c>
      <c r="M1021" s="18">
        <f>IF($Z1021="","",IF(AND(DATE($AD1021,4,1)&gt;=$AE1021,DATE($AD1021,4,1)&lt;=$AF1021),ROUND($AG1021,2),0))</f>
        <v/>
      </c>
      <c r="N1021" s="18">
        <f>IF($Z1021="","",IF(AND(DATE($AD1021,5,1)&gt;=$AE1021,DATE($AD1021,5,1)&lt;=$AF1021),ROUND($AG1021,2),0))</f>
        <v/>
      </c>
      <c r="O1021" s="18">
        <f>IF($Z1021="","",IF(AND(DATE($AD1021,6,1)&gt;=$AE1021,DATE($AD1021,6,1)&lt;=$AF1021),ROUND($AG1021,2),0))</f>
        <v/>
      </c>
      <c r="P1021" s="18">
        <f>IF($Z1021="","",IF(AND(DATE($AD1021,7,1)&gt;=$AE1021,DATE($AD1021,7,1)&lt;=$AF1021),ROUND($AG1021,2),0))</f>
        <v/>
      </c>
      <c r="Q1021" s="18">
        <f>IF($Z1021="","",IF(AND(DATE($AD1021,8,1)&gt;=$AE1021,DATE($AD1021,8,1)&lt;=$AF1021),ROUND($AG1021,2),0))</f>
        <v/>
      </c>
      <c r="R1021" s="18">
        <f>IF($Z1021="","",IF(AND(DATE($AD1021,9,1)&gt;=$AE1021,DATE($AD1021,9,1)&lt;=$AF1021),ROUND($AG1021,2),0))</f>
        <v/>
      </c>
      <c r="S1021" s="18">
        <f>IF($Z1021="","",IF(AND(DATE($AD1021,10,1)&gt;=$AE1021,DATE($AD1021,10,1)&lt;=$AF1021),ROUND($AG1021,2),0))</f>
        <v/>
      </c>
      <c r="T1021" s="18">
        <f>IF($Z1021="","",IF(AND(DATE($AD1021,11,1)&gt;=$AE1021,DATE($AD1021,11,1)&lt;=$AF1021),ROUND($AG1021,2),0))</f>
        <v/>
      </c>
      <c r="U1021" s="18">
        <f>IF($Z1021="","",IF(AND(DATE($AD1021,12,1)&gt;=$AE1021,DATE($AD1021,12,1)&lt;=$AF1021),ROUND($AG1021,2),0))</f>
        <v/>
      </c>
      <c r="V1021" s="7">
        <f>IF($Z1021="C","Generated from "&amp;INDEX(Contracts!$A$2:$A$151,$AB1021),IF($Z1021="A","Generated from "&amp;INDEX(Fixed_Assets!$A$2:$A$201,$AB1021),IF($Z1021="F","Generated from "&amp;INDEX(FTE_Allocation!$A$2:$A$201,$AB1021),"")))</f>
        <v/>
      </c>
      <c r="X1021" s="19">
        <f>IF($Z1021="","",SUM(J1021:U1021))</f>
        <v/>
      </c>
      <c r="Y1021" s="20">
        <f>ROW()-1</f>
        <v/>
      </c>
      <c r="Z1021" s="20">
        <f>IF($Y1021&lt;=Settings!$B$4*3,"C",IF($Y1021&lt;=(Settings!$B$4+Settings!$B$5)*3,"A",IF($Y1021&lt;=(Settings!$B$4+Settings!$B$5+Settings!$B$6)*3,"F","")))</f>
        <v/>
      </c>
      <c r="AA1021" s="20">
        <f>IF($Z1021="C",$Y1021,IF($Z1021="A",$Y1021-Settings!$B$4*3,IF($Z1021="F",$Y1021-(Settings!$B$4+Settings!$B$5)*3,"")))</f>
        <v/>
      </c>
      <c r="AB1021" s="20">
        <f>IF($Z1021="","",INT(($AA1021-1)/3)+1)</f>
        <v/>
      </c>
      <c r="AC1021" s="20">
        <f>IF($Z1021="","",MOD($AA1021-1,3)+1)</f>
        <v/>
      </c>
      <c r="AD1021" s="20">
        <f>IF($Z1021="","",Settings!$B$2+$AC1021-1)</f>
        <v/>
      </c>
      <c r="AE1021" s="21">
        <f>IF($Z1021="C",DATE(YEAR(INDEX(Contracts!$J$2:$J$151,$AB1021)),MONTH(INDEX(Contracts!$J$2:$J$151,$AB1021)),1),IF($Z1021="A",DATE(YEAR(INDEX(Fixed_Assets!$G$2:$G$201,$AB1021)),MONTH(INDEX(Fixed_Assets!$G$2:$G$201,$AB1021)),1),IF($Z1021="F",DATE(YEAR(MAX(N(INDEX(Workforce!$I$2:$I$151,MATCH(INDEX(FTE_Allocation!$A$2:$A$201,$AB1021),Workforce!$A$2:$A$151,0))),N(INDEX(FTE_Allocation!$I$2:$I$201,$AB1021)))),MONTH(MAX(N(INDEX(Workforce!$I$2:$I$151,MATCH(INDEX(FTE_Allocation!$A$2:$A$201,$AB1021),Workforce!$A$2:$A$151,0))),N(INDEX(FTE_Allocation!$I$2:$I$201,$AB1021)))),1),"")))</f>
        <v/>
      </c>
      <c r="AF1021" s="21">
        <f>IF($Z1021="C",IF(INDEX(Contracts!$I$2:$I$151,$AB1021)="PREPAID",EDATE(DATE(YEAR(INDEX(Contracts!$J$2:$J$151,$AB1021)),MONTH(INDEX(Contracts!$J$2:$J$151,$AB1021)),1),IF(INDEX(Contracts!$N$2:$N$151,$AB1021)="",12,INDEX(Contracts!$N$2:$N$151,$AB1021))-1),IF(INDEX(Contracts!$I$2:$I$151,$AB1021)="MONTHLY",IF(INDEX(Contracts!$K$2:$K$151,$AB1021)="",2958101,INDEX(Contracts!$K$2:$K$151,$AB1021)),0)),IF($Z1021="A",EDATE(DATE(YEAR(INDEX(Fixed_Assets!$G$2:$G$201,$AB1021)),MONTH(INDEX(Fixed_Assets!$G$2:$G$201,$AB1021)),1),INDEX(Fixed_Assets!$J$2:$J$201,$AB1021)-1),IF($Z1021="F",MIN(IF(INDEX(Workforce!$J$2:$J$151,MATCH(INDEX(FTE_Allocation!$A$2:$A$201,$AB1021),Workforce!$A$2:$A$151,0))="",2958101,INDEX(Workforce!$J$2:$J$151,MATCH(INDEX(FTE_Allocation!$A$2:$A$201,$AB1021),Workforce!$A$2:$A$151,0))),IF(INDEX(FTE_Allocation!$J$2:$J$201,$AB1021)="",2958101,INDEX(FTE_Allocation!$J$2:$J$201,$AB1021))),"")))</f>
        <v/>
      </c>
      <c r="AG1021" s="19">
        <f>IF($Z1021="C",IF(INDEX(Contracts!$I$2:$I$151,$AB1021)="PREPAID",INDEX(Contracts!$M$2:$M$151,$AB1021)/IF(INDEX(Contracts!$N$2:$N$151,$AB1021)="",12,INDEX(Contracts!$N$2:$N$151,$AB1021)),IF(INDEX(Contracts!$I$2:$I$151,$AB1021)="MONTHLY",INDEX(Contracts!$M$2:$M$151,$AB1021),0))*(1-N(INDEX(Contracts!$O$2:$O$151,$AB1021))),IF($Z1021="A",INDEX(Fixed_Assets!$H$2:$H$201,$AB1021)/INDEX(Fixed_Assets!$J$2:$J$201,$AB1021),IF($Z1021="F",INDEX(Workforce!$F$2:$F$151,MATCH(INDEX(FTE_Allocation!$A$2:$A$201,$AB1021),Workforce!$A$2:$A$151,0))*N(INDEX(FTE_Allocation!$F$2:$H$201,$AB1021,$AC1021)),"")))</f>
        <v/>
      </c>
    </row>
    <row r="1022">
      <c r="A1022" s="7">
        <f>IF($Z1022="","",$AD1022)</f>
        <v/>
      </c>
      <c r="B1022" s="7">
        <f>IF($Z1022="C",INDEX(Contracts!$D$2:$D$151,$AB1022)&amp;"",IF($Z1022="A",INDEX(Fixed_Assets!$C$2:$C$201,$AB1022)&amp;"",IF($Z1022="F",INDEX(Workforce!$B$2:$B$151,MATCH(INDEX(FTE_Allocation!$A$2:$A$201,$AB1022),Workforce!$A$2:$A$151,0))&amp;"","")))</f>
        <v/>
      </c>
      <c r="C1022" s="7">
        <f>IF($Z1022="C",INDEX(Contracts!$E$2:$E$151,$AB1022)&amp;"",IF($Z1022="A",INDEX(Fixed_Assets!$D$2:$D$201,$AB1022)&amp;"",IF($Z1022="F",INDEX(FTE_Allocation!$C$2:$C$201,$AB1022)&amp;"","")))</f>
        <v/>
      </c>
      <c r="D1022" s="7">
        <f>IF($Z1022="C",INDEX(Contracts!$B$2:$B$151,$AB1022)&amp;"",IF($Z1022="A",INDEX(Fixed_Assets!$B$2:$B$201,$AB1022)&amp;"",IF($Z1022="F",INDEX(FTE_Allocation!$B$2:$B$201,$AB1022)&amp;"","")))</f>
        <v/>
      </c>
      <c r="E1022" s="7">
        <f>IF($Z1022="C",INDEX(Contracts!$P$2:$P$151,$AB1022)&amp;"",IF($Z1022="A",INDEX(Fixed_Assets!$K$2:$K$201,$AB1022)&amp;"",IF($Z1022="F",IF(INDEX(FTE_Allocation!$D$2:$D$201,$AB1022)="PROJECT",IFERROR(INDEX(Projects!$D:$D,MATCH(INDEX(FTE_Allocation!$E$2:$E$201,$AB1022),Projects!$A:$A,0))&amp;"","#PROJECT?"),INDEX(FTE_Allocation!$E$2:$E$201,$AB1022)&amp;""),"")))</f>
        <v/>
      </c>
      <c r="F1022" s="7">
        <f>IF($Z1022="C",INDEX(Contracts!$Q$2:$Q$151,$AB1022)&amp;"",IF($Z1022="A",INDEX(Fixed_Assets!$L$2:$L$201,$AB1022)&amp;"",IF($Z1022="F",INDEX(Workforce!$K$2:$K$151,MATCH(INDEX(FTE_Allocation!$A$2:$A$201,$AB1022),Workforce!$A$2:$A$151,0))&amp;"","")))</f>
        <v/>
      </c>
      <c r="G1022" s="7">
        <f>IF($Z1022="C",INDEX(Contracts!$F$2:$F$151,$AB1022)&amp;" / "&amp;INDEX(Contracts!$G$2:$G$151,$AB1022),IF($Z1022="A",INDEX(Fixed_Assets!$E$2:$E$201,$AB1022)&amp;"",IF($Z1022="F","Personnel "&amp;INDEX(FTE_Allocation!$A$2:$A$201,$AB1022)&amp;IF(INDEX(FTE_Allocation!$D$2:$D$201,$AB1022)="PROJECT"," ("&amp;INDEX(FTE_Allocation!$E$2:$E$201,$AB1022)&amp;")",""),"")))</f>
        <v/>
      </c>
      <c r="H1022" s="7">
        <f>IF($Z1022="C","CONTRACT",IF($Z1022="A","ASSET",IF($Z1022="F","WORKFORCE","")))</f>
        <v/>
      </c>
      <c r="I1022" s="7">
        <f>IF($Z1022="C",INDEX(Contracts!$L$2:$L$151,$AB1022)&amp;"",IF($Z1022="A",INDEX(Fixed_Assets!$I$2:$I$201,$AB1022)&amp;"",IF($Z1022="F",INDEX(Workforce!$G$2:$G$151,MATCH(INDEX(FTE_Allocation!$A$2:$A$201,$AB1022),Workforce!$A$2:$A$151,0))&amp;"","")))</f>
        <v/>
      </c>
      <c r="J1022" s="18">
        <f>IF($Z1022="","",IF(AND(DATE($AD1022,1,1)&gt;=$AE1022,DATE($AD1022,1,1)&lt;=$AF1022),ROUND($AG1022,2),0))</f>
        <v/>
      </c>
      <c r="K1022" s="18">
        <f>IF($Z1022="","",IF(AND(DATE($AD1022,2,1)&gt;=$AE1022,DATE($AD1022,2,1)&lt;=$AF1022),ROUND($AG1022,2),0))</f>
        <v/>
      </c>
      <c r="L1022" s="18">
        <f>IF($Z1022="","",IF(AND(DATE($AD1022,3,1)&gt;=$AE1022,DATE($AD1022,3,1)&lt;=$AF1022),ROUND($AG1022,2),0))</f>
        <v/>
      </c>
      <c r="M1022" s="18">
        <f>IF($Z1022="","",IF(AND(DATE($AD1022,4,1)&gt;=$AE1022,DATE($AD1022,4,1)&lt;=$AF1022),ROUND($AG1022,2),0))</f>
        <v/>
      </c>
      <c r="N1022" s="18">
        <f>IF($Z1022="","",IF(AND(DATE($AD1022,5,1)&gt;=$AE1022,DATE($AD1022,5,1)&lt;=$AF1022),ROUND($AG1022,2),0))</f>
        <v/>
      </c>
      <c r="O1022" s="18">
        <f>IF($Z1022="","",IF(AND(DATE($AD1022,6,1)&gt;=$AE1022,DATE($AD1022,6,1)&lt;=$AF1022),ROUND($AG1022,2),0))</f>
        <v/>
      </c>
      <c r="P1022" s="18">
        <f>IF($Z1022="","",IF(AND(DATE($AD1022,7,1)&gt;=$AE1022,DATE($AD1022,7,1)&lt;=$AF1022),ROUND($AG1022,2),0))</f>
        <v/>
      </c>
      <c r="Q1022" s="18">
        <f>IF($Z1022="","",IF(AND(DATE($AD1022,8,1)&gt;=$AE1022,DATE($AD1022,8,1)&lt;=$AF1022),ROUND($AG1022,2),0))</f>
        <v/>
      </c>
      <c r="R1022" s="18">
        <f>IF($Z1022="","",IF(AND(DATE($AD1022,9,1)&gt;=$AE1022,DATE($AD1022,9,1)&lt;=$AF1022),ROUND($AG1022,2),0))</f>
        <v/>
      </c>
      <c r="S1022" s="18">
        <f>IF($Z1022="","",IF(AND(DATE($AD1022,10,1)&gt;=$AE1022,DATE($AD1022,10,1)&lt;=$AF1022),ROUND($AG1022,2),0))</f>
        <v/>
      </c>
      <c r="T1022" s="18">
        <f>IF($Z1022="","",IF(AND(DATE($AD1022,11,1)&gt;=$AE1022,DATE($AD1022,11,1)&lt;=$AF1022),ROUND($AG1022,2),0))</f>
        <v/>
      </c>
      <c r="U1022" s="18">
        <f>IF($Z1022="","",IF(AND(DATE($AD1022,12,1)&gt;=$AE1022,DATE($AD1022,12,1)&lt;=$AF1022),ROUND($AG1022,2),0))</f>
        <v/>
      </c>
      <c r="V1022" s="7">
        <f>IF($Z1022="C","Generated from "&amp;INDEX(Contracts!$A$2:$A$151,$AB1022),IF($Z1022="A","Generated from "&amp;INDEX(Fixed_Assets!$A$2:$A$201,$AB1022),IF($Z1022="F","Generated from "&amp;INDEX(FTE_Allocation!$A$2:$A$201,$AB1022),"")))</f>
        <v/>
      </c>
      <c r="X1022" s="19">
        <f>IF($Z1022="","",SUM(J1022:U1022))</f>
        <v/>
      </c>
      <c r="Y1022" s="20">
        <f>ROW()-1</f>
        <v/>
      </c>
      <c r="Z1022" s="20">
        <f>IF($Y1022&lt;=Settings!$B$4*3,"C",IF($Y1022&lt;=(Settings!$B$4+Settings!$B$5)*3,"A",IF($Y1022&lt;=(Settings!$B$4+Settings!$B$5+Settings!$B$6)*3,"F","")))</f>
        <v/>
      </c>
      <c r="AA1022" s="20">
        <f>IF($Z1022="C",$Y1022,IF($Z1022="A",$Y1022-Settings!$B$4*3,IF($Z1022="F",$Y1022-(Settings!$B$4+Settings!$B$5)*3,"")))</f>
        <v/>
      </c>
      <c r="AB1022" s="20">
        <f>IF($Z1022="","",INT(($AA1022-1)/3)+1)</f>
        <v/>
      </c>
      <c r="AC1022" s="20">
        <f>IF($Z1022="","",MOD($AA1022-1,3)+1)</f>
        <v/>
      </c>
      <c r="AD1022" s="20">
        <f>IF($Z1022="","",Settings!$B$2+$AC1022-1)</f>
        <v/>
      </c>
      <c r="AE1022" s="21">
        <f>IF($Z1022="C",DATE(YEAR(INDEX(Contracts!$J$2:$J$151,$AB1022)),MONTH(INDEX(Contracts!$J$2:$J$151,$AB1022)),1),IF($Z1022="A",DATE(YEAR(INDEX(Fixed_Assets!$G$2:$G$201,$AB1022)),MONTH(INDEX(Fixed_Assets!$G$2:$G$201,$AB1022)),1),IF($Z1022="F",DATE(YEAR(MAX(N(INDEX(Workforce!$I$2:$I$151,MATCH(INDEX(FTE_Allocation!$A$2:$A$201,$AB1022),Workforce!$A$2:$A$151,0))),N(INDEX(FTE_Allocation!$I$2:$I$201,$AB1022)))),MONTH(MAX(N(INDEX(Workforce!$I$2:$I$151,MATCH(INDEX(FTE_Allocation!$A$2:$A$201,$AB1022),Workforce!$A$2:$A$151,0))),N(INDEX(FTE_Allocation!$I$2:$I$201,$AB1022)))),1),"")))</f>
        <v/>
      </c>
      <c r="AF1022" s="21">
        <f>IF($Z1022="C",IF(INDEX(Contracts!$I$2:$I$151,$AB1022)="PREPAID",EDATE(DATE(YEAR(INDEX(Contracts!$J$2:$J$151,$AB1022)),MONTH(INDEX(Contracts!$J$2:$J$151,$AB1022)),1),IF(INDEX(Contracts!$N$2:$N$151,$AB1022)="",12,INDEX(Contracts!$N$2:$N$151,$AB1022))-1),IF(INDEX(Contracts!$I$2:$I$151,$AB1022)="MONTHLY",IF(INDEX(Contracts!$K$2:$K$151,$AB1022)="",2958101,INDEX(Contracts!$K$2:$K$151,$AB1022)),0)),IF($Z1022="A",EDATE(DATE(YEAR(INDEX(Fixed_Assets!$G$2:$G$201,$AB1022)),MONTH(INDEX(Fixed_Assets!$G$2:$G$201,$AB1022)),1),INDEX(Fixed_Assets!$J$2:$J$201,$AB1022)-1),IF($Z1022="F",MIN(IF(INDEX(Workforce!$J$2:$J$151,MATCH(INDEX(FTE_Allocation!$A$2:$A$201,$AB1022),Workforce!$A$2:$A$151,0))="",2958101,INDEX(Workforce!$J$2:$J$151,MATCH(INDEX(FTE_Allocation!$A$2:$A$201,$AB1022),Workforce!$A$2:$A$151,0))),IF(INDEX(FTE_Allocation!$J$2:$J$201,$AB1022)="",2958101,INDEX(FTE_Allocation!$J$2:$J$201,$AB1022))),"")))</f>
        <v/>
      </c>
      <c r="AG1022" s="19">
        <f>IF($Z1022="C",IF(INDEX(Contracts!$I$2:$I$151,$AB1022)="PREPAID",INDEX(Contracts!$M$2:$M$151,$AB1022)/IF(INDEX(Contracts!$N$2:$N$151,$AB1022)="",12,INDEX(Contracts!$N$2:$N$151,$AB1022)),IF(INDEX(Contracts!$I$2:$I$151,$AB1022)="MONTHLY",INDEX(Contracts!$M$2:$M$151,$AB1022),0))*(1-N(INDEX(Contracts!$O$2:$O$151,$AB1022))),IF($Z1022="A",INDEX(Fixed_Assets!$H$2:$H$201,$AB1022)/INDEX(Fixed_Assets!$J$2:$J$201,$AB1022),IF($Z1022="F",INDEX(Workforce!$F$2:$F$151,MATCH(INDEX(FTE_Allocation!$A$2:$A$201,$AB1022),Workforce!$A$2:$A$151,0))*N(INDEX(FTE_Allocation!$F$2:$H$201,$AB1022,$AC1022)),"")))</f>
        <v/>
      </c>
    </row>
    <row r="1023">
      <c r="A1023" s="7">
        <f>IF($Z1023="","",$AD1023)</f>
        <v/>
      </c>
      <c r="B1023" s="7">
        <f>IF($Z1023="C",INDEX(Contracts!$D$2:$D$151,$AB1023)&amp;"",IF($Z1023="A",INDEX(Fixed_Assets!$C$2:$C$201,$AB1023)&amp;"",IF($Z1023="F",INDEX(Workforce!$B$2:$B$151,MATCH(INDEX(FTE_Allocation!$A$2:$A$201,$AB1023),Workforce!$A$2:$A$151,0))&amp;"","")))</f>
        <v/>
      </c>
      <c r="C1023" s="7">
        <f>IF($Z1023="C",INDEX(Contracts!$E$2:$E$151,$AB1023)&amp;"",IF($Z1023="A",INDEX(Fixed_Assets!$D$2:$D$201,$AB1023)&amp;"",IF($Z1023="F",INDEX(FTE_Allocation!$C$2:$C$201,$AB1023)&amp;"","")))</f>
        <v/>
      </c>
      <c r="D1023" s="7">
        <f>IF($Z1023="C",INDEX(Contracts!$B$2:$B$151,$AB1023)&amp;"",IF($Z1023="A",INDEX(Fixed_Assets!$B$2:$B$201,$AB1023)&amp;"",IF($Z1023="F",INDEX(FTE_Allocation!$B$2:$B$201,$AB1023)&amp;"","")))</f>
        <v/>
      </c>
      <c r="E1023" s="7">
        <f>IF($Z1023="C",INDEX(Contracts!$P$2:$P$151,$AB1023)&amp;"",IF($Z1023="A",INDEX(Fixed_Assets!$K$2:$K$201,$AB1023)&amp;"",IF($Z1023="F",IF(INDEX(FTE_Allocation!$D$2:$D$201,$AB1023)="PROJECT",IFERROR(INDEX(Projects!$D:$D,MATCH(INDEX(FTE_Allocation!$E$2:$E$201,$AB1023),Projects!$A:$A,0))&amp;"","#PROJECT?"),INDEX(FTE_Allocation!$E$2:$E$201,$AB1023)&amp;""),"")))</f>
        <v/>
      </c>
      <c r="F1023" s="7">
        <f>IF($Z1023="C",INDEX(Contracts!$Q$2:$Q$151,$AB1023)&amp;"",IF($Z1023="A",INDEX(Fixed_Assets!$L$2:$L$201,$AB1023)&amp;"",IF($Z1023="F",INDEX(Workforce!$K$2:$K$151,MATCH(INDEX(FTE_Allocation!$A$2:$A$201,$AB1023),Workforce!$A$2:$A$151,0))&amp;"","")))</f>
        <v/>
      </c>
      <c r="G1023" s="7">
        <f>IF($Z1023="C",INDEX(Contracts!$F$2:$F$151,$AB1023)&amp;" / "&amp;INDEX(Contracts!$G$2:$G$151,$AB1023),IF($Z1023="A",INDEX(Fixed_Assets!$E$2:$E$201,$AB1023)&amp;"",IF($Z1023="F","Personnel "&amp;INDEX(FTE_Allocation!$A$2:$A$201,$AB1023)&amp;IF(INDEX(FTE_Allocation!$D$2:$D$201,$AB1023)="PROJECT"," ("&amp;INDEX(FTE_Allocation!$E$2:$E$201,$AB1023)&amp;")",""),"")))</f>
        <v/>
      </c>
      <c r="H1023" s="7">
        <f>IF($Z1023="C","CONTRACT",IF($Z1023="A","ASSET",IF($Z1023="F","WORKFORCE","")))</f>
        <v/>
      </c>
      <c r="I1023" s="7">
        <f>IF($Z1023="C",INDEX(Contracts!$L$2:$L$151,$AB1023)&amp;"",IF($Z1023="A",INDEX(Fixed_Assets!$I$2:$I$201,$AB1023)&amp;"",IF($Z1023="F",INDEX(Workforce!$G$2:$G$151,MATCH(INDEX(FTE_Allocation!$A$2:$A$201,$AB1023),Workforce!$A$2:$A$151,0))&amp;"","")))</f>
        <v/>
      </c>
      <c r="J1023" s="18">
        <f>IF($Z1023="","",IF(AND(DATE($AD1023,1,1)&gt;=$AE1023,DATE($AD1023,1,1)&lt;=$AF1023),ROUND($AG1023,2),0))</f>
        <v/>
      </c>
      <c r="K1023" s="18">
        <f>IF($Z1023="","",IF(AND(DATE($AD1023,2,1)&gt;=$AE1023,DATE($AD1023,2,1)&lt;=$AF1023),ROUND($AG1023,2),0))</f>
        <v/>
      </c>
      <c r="L1023" s="18">
        <f>IF($Z1023="","",IF(AND(DATE($AD1023,3,1)&gt;=$AE1023,DATE($AD1023,3,1)&lt;=$AF1023),ROUND($AG1023,2),0))</f>
        <v/>
      </c>
      <c r="M1023" s="18">
        <f>IF($Z1023="","",IF(AND(DATE($AD1023,4,1)&gt;=$AE1023,DATE($AD1023,4,1)&lt;=$AF1023),ROUND($AG1023,2),0))</f>
        <v/>
      </c>
      <c r="N1023" s="18">
        <f>IF($Z1023="","",IF(AND(DATE($AD1023,5,1)&gt;=$AE1023,DATE($AD1023,5,1)&lt;=$AF1023),ROUND($AG1023,2),0))</f>
        <v/>
      </c>
      <c r="O1023" s="18">
        <f>IF($Z1023="","",IF(AND(DATE($AD1023,6,1)&gt;=$AE1023,DATE($AD1023,6,1)&lt;=$AF1023),ROUND($AG1023,2),0))</f>
        <v/>
      </c>
      <c r="P1023" s="18">
        <f>IF($Z1023="","",IF(AND(DATE($AD1023,7,1)&gt;=$AE1023,DATE($AD1023,7,1)&lt;=$AF1023),ROUND($AG1023,2),0))</f>
        <v/>
      </c>
      <c r="Q1023" s="18">
        <f>IF($Z1023="","",IF(AND(DATE($AD1023,8,1)&gt;=$AE1023,DATE($AD1023,8,1)&lt;=$AF1023),ROUND($AG1023,2),0))</f>
        <v/>
      </c>
      <c r="R1023" s="18">
        <f>IF($Z1023="","",IF(AND(DATE($AD1023,9,1)&gt;=$AE1023,DATE($AD1023,9,1)&lt;=$AF1023),ROUND($AG1023,2),0))</f>
        <v/>
      </c>
      <c r="S1023" s="18">
        <f>IF($Z1023="","",IF(AND(DATE($AD1023,10,1)&gt;=$AE1023,DATE($AD1023,10,1)&lt;=$AF1023),ROUND($AG1023,2),0))</f>
        <v/>
      </c>
      <c r="T1023" s="18">
        <f>IF($Z1023="","",IF(AND(DATE($AD1023,11,1)&gt;=$AE1023,DATE($AD1023,11,1)&lt;=$AF1023),ROUND($AG1023,2),0))</f>
        <v/>
      </c>
      <c r="U1023" s="18">
        <f>IF($Z1023="","",IF(AND(DATE($AD1023,12,1)&gt;=$AE1023,DATE($AD1023,12,1)&lt;=$AF1023),ROUND($AG1023,2),0))</f>
        <v/>
      </c>
      <c r="V1023" s="7">
        <f>IF($Z1023="C","Generated from "&amp;INDEX(Contracts!$A$2:$A$151,$AB1023),IF($Z1023="A","Generated from "&amp;INDEX(Fixed_Assets!$A$2:$A$201,$AB1023),IF($Z1023="F","Generated from "&amp;INDEX(FTE_Allocation!$A$2:$A$201,$AB1023),"")))</f>
        <v/>
      </c>
      <c r="X1023" s="19">
        <f>IF($Z1023="","",SUM(J1023:U1023))</f>
        <v/>
      </c>
      <c r="Y1023" s="20">
        <f>ROW()-1</f>
        <v/>
      </c>
      <c r="Z1023" s="20">
        <f>IF($Y1023&lt;=Settings!$B$4*3,"C",IF($Y1023&lt;=(Settings!$B$4+Settings!$B$5)*3,"A",IF($Y1023&lt;=(Settings!$B$4+Settings!$B$5+Settings!$B$6)*3,"F","")))</f>
        <v/>
      </c>
      <c r="AA1023" s="20">
        <f>IF($Z1023="C",$Y1023,IF($Z1023="A",$Y1023-Settings!$B$4*3,IF($Z1023="F",$Y1023-(Settings!$B$4+Settings!$B$5)*3,"")))</f>
        <v/>
      </c>
      <c r="AB1023" s="20">
        <f>IF($Z1023="","",INT(($AA1023-1)/3)+1)</f>
        <v/>
      </c>
      <c r="AC1023" s="20">
        <f>IF($Z1023="","",MOD($AA1023-1,3)+1)</f>
        <v/>
      </c>
      <c r="AD1023" s="20">
        <f>IF($Z1023="","",Settings!$B$2+$AC1023-1)</f>
        <v/>
      </c>
      <c r="AE1023" s="21">
        <f>IF($Z1023="C",DATE(YEAR(INDEX(Contracts!$J$2:$J$151,$AB1023)),MONTH(INDEX(Contracts!$J$2:$J$151,$AB1023)),1),IF($Z1023="A",DATE(YEAR(INDEX(Fixed_Assets!$G$2:$G$201,$AB1023)),MONTH(INDEX(Fixed_Assets!$G$2:$G$201,$AB1023)),1),IF($Z1023="F",DATE(YEAR(MAX(N(INDEX(Workforce!$I$2:$I$151,MATCH(INDEX(FTE_Allocation!$A$2:$A$201,$AB1023),Workforce!$A$2:$A$151,0))),N(INDEX(FTE_Allocation!$I$2:$I$201,$AB1023)))),MONTH(MAX(N(INDEX(Workforce!$I$2:$I$151,MATCH(INDEX(FTE_Allocation!$A$2:$A$201,$AB1023),Workforce!$A$2:$A$151,0))),N(INDEX(FTE_Allocation!$I$2:$I$201,$AB1023)))),1),"")))</f>
        <v/>
      </c>
      <c r="AF1023" s="21">
        <f>IF($Z1023="C",IF(INDEX(Contracts!$I$2:$I$151,$AB1023)="PREPAID",EDATE(DATE(YEAR(INDEX(Contracts!$J$2:$J$151,$AB1023)),MONTH(INDEX(Contracts!$J$2:$J$151,$AB1023)),1),IF(INDEX(Contracts!$N$2:$N$151,$AB1023)="",12,INDEX(Contracts!$N$2:$N$151,$AB1023))-1),IF(INDEX(Contracts!$I$2:$I$151,$AB1023)="MONTHLY",IF(INDEX(Contracts!$K$2:$K$151,$AB1023)="",2958101,INDEX(Contracts!$K$2:$K$151,$AB1023)),0)),IF($Z1023="A",EDATE(DATE(YEAR(INDEX(Fixed_Assets!$G$2:$G$201,$AB1023)),MONTH(INDEX(Fixed_Assets!$G$2:$G$201,$AB1023)),1),INDEX(Fixed_Assets!$J$2:$J$201,$AB1023)-1),IF($Z1023="F",MIN(IF(INDEX(Workforce!$J$2:$J$151,MATCH(INDEX(FTE_Allocation!$A$2:$A$201,$AB1023),Workforce!$A$2:$A$151,0))="",2958101,INDEX(Workforce!$J$2:$J$151,MATCH(INDEX(FTE_Allocation!$A$2:$A$201,$AB1023),Workforce!$A$2:$A$151,0))),IF(INDEX(FTE_Allocation!$J$2:$J$201,$AB1023)="",2958101,INDEX(FTE_Allocation!$J$2:$J$201,$AB1023))),"")))</f>
        <v/>
      </c>
      <c r="AG1023" s="19">
        <f>IF($Z1023="C",IF(INDEX(Contracts!$I$2:$I$151,$AB1023)="PREPAID",INDEX(Contracts!$M$2:$M$151,$AB1023)/IF(INDEX(Contracts!$N$2:$N$151,$AB1023)="",12,INDEX(Contracts!$N$2:$N$151,$AB1023)),IF(INDEX(Contracts!$I$2:$I$151,$AB1023)="MONTHLY",INDEX(Contracts!$M$2:$M$151,$AB1023),0))*(1-N(INDEX(Contracts!$O$2:$O$151,$AB1023))),IF($Z1023="A",INDEX(Fixed_Assets!$H$2:$H$201,$AB1023)/INDEX(Fixed_Assets!$J$2:$J$201,$AB1023),IF($Z1023="F",INDEX(Workforce!$F$2:$F$151,MATCH(INDEX(FTE_Allocation!$A$2:$A$201,$AB1023),Workforce!$A$2:$A$151,0))*N(INDEX(FTE_Allocation!$F$2:$H$201,$AB1023,$AC1023)),"")))</f>
        <v/>
      </c>
    </row>
    <row r="1024">
      <c r="A1024" s="7">
        <f>IF($Z1024="","",$AD1024)</f>
        <v/>
      </c>
      <c r="B1024" s="7">
        <f>IF($Z1024="C",INDEX(Contracts!$D$2:$D$151,$AB1024)&amp;"",IF($Z1024="A",INDEX(Fixed_Assets!$C$2:$C$201,$AB1024)&amp;"",IF($Z1024="F",INDEX(Workforce!$B$2:$B$151,MATCH(INDEX(FTE_Allocation!$A$2:$A$201,$AB1024),Workforce!$A$2:$A$151,0))&amp;"","")))</f>
        <v/>
      </c>
      <c r="C1024" s="7">
        <f>IF($Z1024="C",INDEX(Contracts!$E$2:$E$151,$AB1024)&amp;"",IF($Z1024="A",INDEX(Fixed_Assets!$D$2:$D$201,$AB1024)&amp;"",IF($Z1024="F",INDEX(FTE_Allocation!$C$2:$C$201,$AB1024)&amp;"","")))</f>
        <v/>
      </c>
      <c r="D1024" s="7">
        <f>IF($Z1024="C",INDEX(Contracts!$B$2:$B$151,$AB1024)&amp;"",IF($Z1024="A",INDEX(Fixed_Assets!$B$2:$B$201,$AB1024)&amp;"",IF($Z1024="F",INDEX(FTE_Allocation!$B$2:$B$201,$AB1024)&amp;"","")))</f>
        <v/>
      </c>
      <c r="E1024" s="7">
        <f>IF($Z1024="C",INDEX(Contracts!$P$2:$P$151,$AB1024)&amp;"",IF($Z1024="A",INDEX(Fixed_Assets!$K$2:$K$201,$AB1024)&amp;"",IF($Z1024="F",IF(INDEX(FTE_Allocation!$D$2:$D$201,$AB1024)="PROJECT",IFERROR(INDEX(Projects!$D:$D,MATCH(INDEX(FTE_Allocation!$E$2:$E$201,$AB1024),Projects!$A:$A,0))&amp;"","#PROJECT?"),INDEX(FTE_Allocation!$E$2:$E$201,$AB1024)&amp;""),"")))</f>
        <v/>
      </c>
      <c r="F1024" s="7">
        <f>IF($Z1024="C",INDEX(Contracts!$Q$2:$Q$151,$AB1024)&amp;"",IF($Z1024="A",INDEX(Fixed_Assets!$L$2:$L$201,$AB1024)&amp;"",IF($Z1024="F",INDEX(Workforce!$K$2:$K$151,MATCH(INDEX(FTE_Allocation!$A$2:$A$201,$AB1024),Workforce!$A$2:$A$151,0))&amp;"","")))</f>
        <v/>
      </c>
      <c r="G1024" s="7">
        <f>IF($Z1024="C",INDEX(Contracts!$F$2:$F$151,$AB1024)&amp;" / "&amp;INDEX(Contracts!$G$2:$G$151,$AB1024),IF($Z1024="A",INDEX(Fixed_Assets!$E$2:$E$201,$AB1024)&amp;"",IF($Z1024="F","Personnel "&amp;INDEX(FTE_Allocation!$A$2:$A$201,$AB1024)&amp;IF(INDEX(FTE_Allocation!$D$2:$D$201,$AB1024)="PROJECT"," ("&amp;INDEX(FTE_Allocation!$E$2:$E$201,$AB1024)&amp;")",""),"")))</f>
        <v/>
      </c>
      <c r="H1024" s="7">
        <f>IF($Z1024="C","CONTRACT",IF($Z1024="A","ASSET",IF($Z1024="F","WORKFORCE","")))</f>
        <v/>
      </c>
      <c r="I1024" s="7">
        <f>IF($Z1024="C",INDEX(Contracts!$L$2:$L$151,$AB1024)&amp;"",IF($Z1024="A",INDEX(Fixed_Assets!$I$2:$I$201,$AB1024)&amp;"",IF($Z1024="F",INDEX(Workforce!$G$2:$G$151,MATCH(INDEX(FTE_Allocation!$A$2:$A$201,$AB1024),Workforce!$A$2:$A$151,0))&amp;"","")))</f>
        <v/>
      </c>
      <c r="J1024" s="18">
        <f>IF($Z1024="","",IF(AND(DATE($AD1024,1,1)&gt;=$AE1024,DATE($AD1024,1,1)&lt;=$AF1024),ROUND($AG1024,2),0))</f>
        <v/>
      </c>
      <c r="K1024" s="18">
        <f>IF($Z1024="","",IF(AND(DATE($AD1024,2,1)&gt;=$AE1024,DATE($AD1024,2,1)&lt;=$AF1024),ROUND($AG1024,2),0))</f>
        <v/>
      </c>
      <c r="L1024" s="18">
        <f>IF($Z1024="","",IF(AND(DATE($AD1024,3,1)&gt;=$AE1024,DATE($AD1024,3,1)&lt;=$AF1024),ROUND($AG1024,2),0))</f>
        <v/>
      </c>
      <c r="M1024" s="18">
        <f>IF($Z1024="","",IF(AND(DATE($AD1024,4,1)&gt;=$AE1024,DATE($AD1024,4,1)&lt;=$AF1024),ROUND($AG1024,2),0))</f>
        <v/>
      </c>
      <c r="N1024" s="18">
        <f>IF($Z1024="","",IF(AND(DATE($AD1024,5,1)&gt;=$AE1024,DATE($AD1024,5,1)&lt;=$AF1024),ROUND($AG1024,2),0))</f>
        <v/>
      </c>
      <c r="O1024" s="18">
        <f>IF($Z1024="","",IF(AND(DATE($AD1024,6,1)&gt;=$AE1024,DATE($AD1024,6,1)&lt;=$AF1024),ROUND($AG1024,2),0))</f>
        <v/>
      </c>
      <c r="P1024" s="18">
        <f>IF($Z1024="","",IF(AND(DATE($AD1024,7,1)&gt;=$AE1024,DATE($AD1024,7,1)&lt;=$AF1024),ROUND($AG1024,2),0))</f>
        <v/>
      </c>
      <c r="Q1024" s="18">
        <f>IF($Z1024="","",IF(AND(DATE($AD1024,8,1)&gt;=$AE1024,DATE($AD1024,8,1)&lt;=$AF1024),ROUND($AG1024,2),0))</f>
        <v/>
      </c>
      <c r="R1024" s="18">
        <f>IF($Z1024="","",IF(AND(DATE($AD1024,9,1)&gt;=$AE1024,DATE($AD1024,9,1)&lt;=$AF1024),ROUND($AG1024,2),0))</f>
        <v/>
      </c>
      <c r="S1024" s="18">
        <f>IF($Z1024="","",IF(AND(DATE($AD1024,10,1)&gt;=$AE1024,DATE($AD1024,10,1)&lt;=$AF1024),ROUND($AG1024,2),0))</f>
        <v/>
      </c>
      <c r="T1024" s="18">
        <f>IF($Z1024="","",IF(AND(DATE($AD1024,11,1)&gt;=$AE1024,DATE($AD1024,11,1)&lt;=$AF1024),ROUND($AG1024,2),0))</f>
        <v/>
      </c>
      <c r="U1024" s="18">
        <f>IF($Z1024="","",IF(AND(DATE($AD1024,12,1)&gt;=$AE1024,DATE($AD1024,12,1)&lt;=$AF1024),ROUND($AG1024,2),0))</f>
        <v/>
      </c>
      <c r="V1024" s="7">
        <f>IF($Z1024="C","Generated from "&amp;INDEX(Contracts!$A$2:$A$151,$AB1024),IF($Z1024="A","Generated from "&amp;INDEX(Fixed_Assets!$A$2:$A$201,$AB1024),IF($Z1024="F","Generated from "&amp;INDEX(FTE_Allocation!$A$2:$A$201,$AB1024),"")))</f>
        <v/>
      </c>
      <c r="X1024" s="19">
        <f>IF($Z1024="","",SUM(J1024:U1024))</f>
        <v/>
      </c>
      <c r="Y1024" s="20">
        <f>ROW()-1</f>
        <v/>
      </c>
      <c r="Z1024" s="20">
        <f>IF($Y1024&lt;=Settings!$B$4*3,"C",IF($Y1024&lt;=(Settings!$B$4+Settings!$B$5)*3,"A",IF($Y1024&lt;=(Settings!$B$4+Settings!$B$5+Settings!$B$6)*3,"F","")))</f>
        <v/>
      </c>
      <c r="AA1024" s="20">
        <f>IF($Z1024="C",$Y1024,IF($Z1024="A",$Y1024-Settings!$B$4*3,IF($Z1024="F",$Y1024-(Settings!$B$4+Settings!$B$5)*3,"")))</f>
        <v/>
      </c>
      <c r="AB1024" s="20">
        <f>IF($Z1024="","",INT(($AA1024-1)/3)+1)</f>
        <v/>
      </c>
      <c r="AC1024" s="20">
        <f>IF($Z1024="","",MOD($AA1024-1,3)+1)</f>
        <v/>
      </c>
      <c r="AD1024" s="20">
        <f>IF($Z1024="","",Settings!$B$2+$AC1024-1)</f>
        <v/>
      </c>
      <c r="AE1024" s="21">
        <f>IF($Z1024="C",DATE(YEAR(INDEX(Contracts!$J$2:$J$151,$AB1024)),MONTH(INDEX(Contracts!$J$2:$J$151,$AB1024)),1),IF($Z1024="A",DATE(YEAR(INDEX(Fixed_Assets!$G$2:$G$201,$AB1024)),MONTH(INDEX(Fixed_Assets!$G$2:$G$201,$AB1024)),1),IF($Z1024="F",DATE(YEAR(MAX(N(INDEX(Workforce!$I$2:$I$151,MATCH(INDEX(FTE_Allocation!$A$2:$A$201,$AB1024),Workforce!$A$2:$A$151,0))),N(INDEX(FTE_Allocation!$I$2:$I$201,$AB1024)))),MONTH(MAX(N(INDEX(Workforce!$I$2:$I$151,MATCH(INDEX(FTE_Allocation!$A$2:$A$201,$AB1024),Workforce!$A$2:$A$151,0))),N(INDEX(FTE_Allocation!$I$2:$I$201,$AB1024)))),1),"")))</f>
        <v/>
      </c>
      <c r="AF1024" s="21">
        <f>IF($Z1024="C",IF(INDEX(Contracts!$I$2:$I$151,$AB1024)="PREPAID",EDATE(DATE(YEAR(INDEX(Contracts!$J$2:$J$151,$AB1024)),MONTH(INDEX(Contracts!$J$2:$J$151,$AB1024)),1),IF(INDEX(Contracts!$N$2:$N$151,$AB1024)="",12,INDEX(Contracts!$N$2:$N$151,$AB1024))-1),IF(INDEX(Contracts!$I$2:$I$151,$AB1024)="MONTHLY",IF(INDEX(Contracts!$K$2:$K$151,$AB1024)="",2958101,INDEX(Contracts!$K$2:$K$151,$AB1024)),0)),IF($Z1024="A",EDATE(DATE(YEAR(INDEX(Fixed_Assets!$G$2:$G$201,$AB1024)),MONTH(INDEX(Fixed_Assets!$G$2:$G$201,$AB1024)),1),INDEX(Fixed_Assets!$J$2:$J$201,$AB1024)-1),IF($Z1024="F",MIN(IF(INDEX(Workforce!$J$2:$J$151,MATCH(INDEX(FTE_Allocation!$A$2:$A$201,$AB1024),Workforce!$A$2:$A$151,0))="",2958101,INDEX(Workforce!$J$2:$J$151,MATCH(INDEX(FTE_Allocation!$A$2:$A$201,$AB1024),Workforce!$A$2:$A$151,0))),IF(INDEX(FTE_Allocation!$J$2:$J$201,$AB1024)="",2958101,INDEX(FTE_Allocation!$J$2:$J$201,$AB1024))),"")))</f>
        <v/>
      </c>
      <c r="AG1024" s="19">
        <f>IF($Z1024="C",IF(INDEX(Contracts!$I$2:$I$151,$AB1024)="PREPAID",INDEX(Contracts!$M$2:$M$151,$AB1024)/IF(INDEX(Contracts!$N$2:$N$151,$AB1024)="",12,INDEX(Contracts!$N$2:$N$151,$AB1024)),IF(INDEX(Contracts!$I$2:$I$151,$AB1024)="MONTHLY",INDEX(Contracts!$M$2:$M$151,$AB1024),0))*(1-N(INDEX(Contracts!$O$2:$O$151,$AB1024))),IF($Z1024="A",INDEX(Fixed_Assets!$H$2:$H$201,$AB1024)/INDEX(Fixed_Assets!$J$2:$J$201,$AB1024),IF($Z1024="F",INDEX(Workforce!$F$2:$F$151,MATCH(INDEX(FTE_Allocation!$A$2:$A$201,$AB1024),Workforce!$A$2:$A$151,0))*N(INDEX(FTE_Allocation!$F$2:$H$201,$AB1024,$AC1024)),"")))</f>
        <v/>
      </c>
    </row>
    <row r="1025">
      <c r="A1025" s="7">
        <f>IF($Z1025="","",$AD1025)</f>
        <v/>
      </c>
      <c r="B1025" s="7">
        <f>IF($Z1025="C",INDEX(Contracts!$D$2:$D$151,$AB1025)&amp;"",IF($Z1025="A",INDEX(Fixed_Assets!$C$2:$C$201,$AB1025)&amp;"",IF($Z1025="F",INDEX(Workforce!$B$2:$B$151,MATCH(INDEX(FTE_Allocation!$A$2:$A$201,$AB1025),Workforce!$A$2:$A$151,0))&amp;"","")))</f>
        <v/>
      </c>
      <c r="C1025" s="7">
        <f>IF($Z1025="C",INDEX(Contracts!$E$2:$E$151,$AB1025)&amp;"",IF($Z1025="A",INDEX(Fixed_Assets!$D$2:$D$201,$AB1025)&amp;"",IF($Z1025="F",INDEX(FTE_Allocation!$C$2:$C$201,$AB1025)&amp;"","")))</f>
        <v/>
      </c>
      <c r="D1025" s="7">
        <f>IF($Z1025="C",INDEX(Contracts!$B$2:$B$151,$AB1025)&amp;"",IF($Z1025="A",INDEX(Fixed_Assets!$B$2:$B$201,$AB1025)&amp;"",IF($Z1025="F",INDEX(FTE_Allocation!$B$2:$B$201,$AB1025)&amp;"","")))</f>
        <v/>
      </c>
      <c r="E1025" s="7">
        <f>IF($Z1025="C",INDEX(Contracts!$P$2:$P$151,$AB1025)&amp;"",IF($Z1025="A",INDEX(Fixed_Assets!$K$2:$K$201,$AB1025)&amp;"",IF($Z1025="F",IF(INDEX(FTE_Allocation!$D$2:$D$201,$AB1025)="PROJECT",IFERROR(INDEX(Projects!$D:$D,MATCH(INDEX(FTE_Allocation!$E$2:$E$201,$AB1025),Projects!$A:$A,0))&amp;"","#PROJECT?"),INDEX(FTE_Allocation!$E$2:$E$201,$AB1025)&amp;""),"")))</f>
        <v/>
      </c>
      <c r="F1025" s="7">
        <f>IF($Z1025="C",INDEX(Contracts!$Q$2:$Q$151,$AB1025)&amp;"",IF($Z1025="A",INDEX(Fixed_Assets!$L$2:$L$201,$AB1025)&amp;"",IF($Z1025="F",INDEX(Workforce!$K$2:$K$151,MATCH(INDEX(FTE_Allocation!$A$2:$A$201,$AB1025),Workforce!$A$2:$A$151,0))&amp;"","")))</f>
        <v/>
      </c>
      <c r="G1025" s="7">
        <f>IF($Z1025="C",INDEX(Contracts!$F$2:$F$151,$AB1025)&amp;" / "&amp;INDEX(Contracts!$G$2:$G$151,$AB1025),IF($Z1025="A",INDEX(Fixed_Assets!$E$2:$E$201,$AB1025)&amp;"",IF($Z1025="F","Personnel "&amp;INDEX(FTE_Allocation!$A$2:$A$201,$AB1025)&amp;IF(INDEX(FTE_Allocation!$D$2:$D$201,$AB1025)="PROJECT"," ("&amp;INDEX(FTE_Allocation!$E$2:$E$201,$AB1025)&amp;")",""),"")))</f>
        <v/>
      </c>
      <c r="H1025" s="7">
        <f>IF($Z1025="C","CONTRACT",IF($Z1025="A","ASSET",IF($Z1025="F","WORKFORCE","")))</f>
        <v/>
      </c>
      <c r="I1025" s="7">
        <f>IF($Z1025="C",INDEX(Contracts!$L$2:$L$151,$AB1025)&amp;"",IF($Z1025="A",INDEX(Fixed_Assets!$I$2:$I$201,$AB1025)&amp;"",IF($Z1025="F",INDEX(Workforce!$G$2:$G$151,MATCH(INDEX(FTE_Allocation!$A$2:$A$201,$AB1025),Workforce!$A$2:$A$151,0))&amp;"","")))</f>
        <v/>
      </c>
      <c r="J1025" s="18">
        <f>IF($Z1025="","",IF(AND(DATE($AD1025,1,1)&gt;=$AE1025,DATE($AD1025,1,1)&lt;=$AF1025),ROUND($AG1025,2),0))</f>
        <v/>
      </c>
      <c r="K1025" s="18">
        <f>IF($Z1025="","",IF(AND(DATE($AD1025,2,1)&gt;=$AE1025,DATE($AD1025,2,1)&lt;=$AF1025),ROUND($AG1025,2),0))</f>
        <v/>
      </c>
      <c r="L1025" s="18">
        <f>IF($Z1025="","",IF(AND(DATE($AD1025,3,1)&gt;=$AE1025,DATE($AD1025,3,1)&lt;=$AF1025),ROUND($AG1025,2),0))</f>
        <v/>
      </c>
      <c r="M1025" s="18">
        <f>IF($Z1025="","",IF(AND(DATE($AD1025,4,1)&gt;=$AE1025,DATE($AD1025,4,1)&lt;=$AF1025),ROUND($AG1025,2),0))</f>
        <v/>
      </c>
      <c r="N1025" s="18">
        <f>IF($Z1025="","",IF(AND(DATE($AD1025,5,1)&gt;=$AE1025,DATE($AD1025,5,1)&lt;=$AF1025),ROUND($AG1025,2),0))</f>
        <v/>
      </c>
      <c r="O1025" s="18">
        <f>IF($Z1025="","",IF(AND(DATE($AD1025,6,1)&gt;=$AE1025,DATE($AD1025,6,1)&lt;=$AF1025),ROUND($AG1025,2),0))</f>
        <v/>
      </c>
      <c r="P1025" s="18">
        <f>IF($Z1025="","",IF(AND(DATE($AD1025,7,1)&gt;=$AE1025,DATE($AD1025,7,1)&lt;=$AF1025),ROUND($AG1025,2),0))</f>
        <v/>
      </c>
      <c r="Q1025" s="18">
        <f>IF($Z1025="","",IF(AND(DATE($AD1025,8,1)&gt;=$AE1025,DATE($AD1025,8,1)&lt;=$AF1025),ROUND($AG1025,2),0))</f>
        <v/>
      </c>
      <c r="R1025" s="18">
        <f>IF($Z1025="","",IF(AND(DATE($AD1025,9,1)&gt;=$AE1025,DATE($AD1025,9,1)&lt;=$AF1025),ROUND($AG1025,2),0))</f>
        <v/>
      </c>
      <c r="S1025" s="18">
        <f>IF($Z1025="","",IF(AND(DATE($AD1025,10,1)&gt;=$AE1025,DATE($AD1025,10,1)&lt;=$AF1025),ROUND($AG1025,2),0))</f>
        <v/>
      </c>
      <c r="T1025" s="18">
        <f>IF($Z1025="","",IF(AND(DATE($AD1025,11,1)&gt;=$AE1025,DATE($AD1025,11,1)&lt;=$AF1025),ROUND($AG1025,2),0))</f>
        <v/>
      </c>
      <c r="U1025" s="18">
        <f>IF($Z1025="","",IF(AND(DATE($AD1025,12,1)&gt;=$AE1025,DATE($AD1025,12,1)&lt;=$AF1025),ROUND($AG1025,2),0))</f>
        <v/>
      </c>
      <c r="V1025" s="7">
        <f>IF($Z1025="C","Generated from "&amp;INDEX(Contracts!$A$2:$A$151,$AB1025),IF($Z1025="A","Generated from "&amp;INDEX(Fixed_Assets!$A$2:$A$201,$AB1025),IF($Z1025="F","Generated from "&amp;INDEX(FTE_Allocation!$A$2:$A$201,$AB1025),"")))</f>
        <v/>
      </c>
      <c r="X1025" s="19">
        <f>IF($Z1025="","",SUM(J1025:U1025))</f>
        <v/>
      </c>
      <c r="Y1025" s="20">
        <f>ROW()-1</f>
        <v/>
      </c>
      <c r="Z1025" s="20">
        <f>IF($Y1025&lt;=Settings!$B$4*3,"C",IF($Y1025&lt;=(Settings!$B$4+Settings!$B$5)*3,"A",IF($Y1025&lt;=(Settings!$B$4+Settings!$B$5+Settings!$B$6)*3,"F","")))</f>
        <v/>
      </c>
      <c r="AA1025" s="20">
        <f>IF($Z1025="C",$Y1025,IF($Z1025="A",$Y1025-Settings!$B$4*3,IF($Z1025="F",$Y1025-(Settings!$B$4+Settings!$B$5)*3,"")))</f>
        <v/>
      </c>
      <c r="AB1025" s="20">
        <f>IF($Z1025="","",INT(($AA1025-1)/3)+1)</f>
        <v/>
      </c>
      <c r="AC1025" s="20">
        <f>IF($Z1025="","",MOD($AA1025-1,3)+1)</f>
        <v/>
      </c>
      <c r="AD1025" s="20">
        <f>IF($Z1025="","",Settings!$B$2+$AC1025-1)</f>
        <v/>
      </c>
      <c r="AE1025" s="21">
        <f>IF($Z1025="C",DATE(YEAR(INDEX(Contracts!$J$2:$J$151,$AB1025)),MONTH(INDEX(Contracts!$J$2:$J$151,$AB1025)),1),IF($Z1025="A",DATE(YEAR(INDEX(Fixed_Assets!$G$2:$G$201,$AB1025)),MONTH(INDEX(Fixed_Assets!$G$2:$G$201,$AB1025)),1),IF($Z1025="F",DATE(YEAR(MAX(N(INDEX(Workforce!$I$2:$I$151,MATCH(INDEX(FTE_Allocation!$A$2:$A$201,$AB1025),Workforce!$A$2:$A$151,0))),N(INDEX(FTE_Allocation!$I$2:$I$201,$AB1025)))),MONTH(MAX(N(INDEX(Workforce!$I$2:$I$151,MATCH(INDEX(FTE_Allocation!$A$2:$A$201,$AB1025),Workforce!$A$2:$A$151,0))),N(INDEX(FTE_Allocation!$I$2:$I$201,$AB1025)))),1),"")))</f>
        <v/>
      </c>
      <c r="AF1025" s="21">
        <f>IF($Z1025="C",IF(INDEX(Contracts!$I$2:$I$151,$AB1025)="PREPAID",EDATE(DATE(YEAR(INDEX(Contracts!$J$2:$J$151,$AB1025)),MONTH(INDEX(Contracts!$J$2:$J$151,$AB1025)),1),IF(INDEX(Contracts!$N$2:$N$151,$AB1025)="",12,INDEX(Contracts!$N$2:$N$151,$AB1025))-1),IF(INDEX(Contracts!$I$2:$I$151,$AB1025)="MONTHLY",IF(INDEX(Contracts!$K$2:$K$151,$AB1025)="",2958101,INDEX(Contracts!$K$2:$K$151,$AB1025)),0)),IF($Z1025="A",EDATE(DATE(YEAR(INDEX(Fixed_Assets!$G$2:$G$201,$AB1025)),MONTH(INDEX(Fixed_Assets!$G$2:$G$201,$AB1025)),1),INDEX(Fixed_Assets!$J$2:$J$201,$AB1025)-1),IF($Z1025="F",MIN(IF(INDEX(Workforce!$J$2:$J$151,MATCH(INDEX(FTE_Allocation!$A$2:$A$201,$AB1025),Workforce!$A$2:$A$151,0))="",2958101,INDEX(Workforce!$J$2:$J$151,MATCH(INDEX(FTE_Allocation!$A$2:$A$201,$AB1025),Workforce!$A$2:$A$151,0))),IF(INDEX(FTE_Allocation!$J$2:$J$201,$AB1025)="",2958101,INDEX(FTE_Allocation!$J$2:$J$201,$AB1025))),"")))</f>
        <v/>
      </c>
      <c r="AG1025" s="19">
        <f>IF($Z1025="C",IF(INDEX(Contracts!$I$2:$I$151,$AB1025)="PREPAID",INDEX(Contracts!$M$2:$M$151,$AB1025)/IF(INDEX(Contracts!$N$2:$N$151,$AB1025)="",12,INDEX(Contracts!$N$2:$N$151,$AB1025)),IF(INDEX(Contracts!$I$2:$I$151,$AB1025)="MONTHLY",INDEX(Contracts!$M$2:$M$151,$AB1025),0))*(1-N(INDEX(Contracts!$O$2:$O$151,$AB1025))),IF($Z1025="A",INDEX(Fixed_Assets!$H$2:$H$201,$AB1025)/INDEX(Fixed_Assets!$J$2:$J$201,$AB1025),IF($Z1025="F",INDEX(Workforce!$F$2:$F$151,MATCH(INDEX(FTE_Allocation!$A$2:$A$201,$AB1025),Workforce!$A$2:$A$151,0))*N(INDEX(FTE_Allocation!$F$2:$H$201,$AB1025,$AC1025)),"")))</f>
        <v/>
      </c>
    </row>
    <row r="1026">
      <c r="A1026" s="7">
        <f>IF($Z1026="","",$AD1026)</f>
        <v/>
      </c>
      <c r="B1026" s="7">
        <f>IF($Z1026="C",INDEX(Contracts!$D$2:$D$151,$AB1026)&amp;"",IF($Z1026="A",INDEX(Fixed_Assets!$C$2:$C$201,$AB1026)&amp;"",IF($Z1026="F",INDEX(Workforce!$B$2:$B$151,MATCH(INDEX(FTE_Allocation!$A$2:$A$201,$AB1026),Workforce!$A$2:$A$151,0))&amp;"","")))</f>
        <v/>
      </c>
      <c r="C1026" s="7">
        <f>IF($Z1026="C",INDEX(Contracts!$E$2:$E$151,$AB1026)&amp;"",IF($Z1026="A",INDEX(Fixed_Assets!$D$2:$D$201,$AB1026)&amp;"",IF($Z1026="F",INDEX(FTE_Allocation!$C$2:$C$201,$AB1026)&amp;"","")))</f>
        <v/>
      </c>
      <c r="D1026" s="7">
        <f>IF($Z1026="C",INDEX(Contracts!$B$2:$B$151,$AB1026)&amp;"",IF($Z1026="A",INDEX(Fixed_Assets!$B$2:$B$201,$AB1026)&amp;"",IF($Z1026="F",INDEX(FTE_Allocation!$B$2:$B$201,$AB1026)&amp;"","")))</f>
        <v/>
      </c>
      <c r="E1026" s="7">
        <f>IF($Z1026="C",INDEX(Contracts!$P$2:$P$151,$AB1026)&amp;"",IF($Z1026="A",INDEX(Fixed_Assets!$K$2:$K$201,$AB1026)&amp;"",IF($Z1026="F",IF(INDEX(FTE_Allocation!$D$2:$D$201,$AB1026)="PROJECT",IFERROR(INDEX(Projects!$D:$D,MATCH(INDEX(FTE_Allocation!$E$2:$E$201,$AB1026),Projects!$A:$A,0))&amp;"","#PROJECT?"),INDEX(FTE_Allocation!$E$2:$E$201,$AB1026)&amp;""),"")))</f>
        <v/>
      </c>
      <c r="F1026" s="7">
        <f>IF($Z1026="C",INDEX(Contracts!$Q$2:$Q$151,$AB1026)&amp;"",IF($Z1026="A",INDEX(Fixed_Assets!$L$2:$L$201,$AB1026)&amp;"",IF($Z1026="F",INDEX(Workforce!$K$2:$K$151,MATCH(INDEX(FTE_Allocation!$A$2:$A$201,$AB1026),Workforce!$A$2:$A$151,0))&amp;"","")))</f>
        <v/>
      </c>
      <c r="G1026" s="7">
        <f>IF($Z1026="C",INDEX(Contracts!$F$2:$F$151,$AB1026)&amp;" / "&amp;INDEX(Contracts!$G$2:$G$151,$AB1026),IF($Z1026="A",INDEX(Fixed_Assets!$E$2:$E$201,$AB1026)&amp;"",IF($Z1026="F","Personnel "&amp;INDEX(FTE_Allocation!$A$2:$A$201,$AB1026)&amp;IF(INDEX(FTE_Allocation!$D$2:$D$201,$AB1026)="PROJECT"," ("&amp;INDEX(FTE_Allocation!$E$2:$E$201,$AB1026)&amp;")",""),"")))</f>
        <v/>
      </c>
      <c r="H1026" s="7">
        <f>IF($Z1026="C","CONTRACT",IF($Z1026="A","ASSET",IF($Z1026="F","WORKFORCE","")))</f>
        <v/>
      </c>
      <c r="I1026" s="7">
        <f>IF($Z1026="C",INDEX(Contracts!$L$2:$L$151,$AB1026)&amp;"",IF($Z1026="A",INDEX(Fixed_Assets!$I$2:$I$201,$AB1026)&amp;"",IF($Z1026="F",INDEX(Workforce!$G$2:$G$151,MATCH(INDEX(FTE_Allocation!$A$2:$A$201,$AB1026),Workforce!$A$2:$A$151,0))&amp;"","")))</f>
        <v/>
      </c>
      <c r="J1026" s="18">
        <f>IF($Z1026="","",IF(AND(DATE($AD1026,1,1)&gt;=$AE1026,DATE($AD1026,1,1)&lt;=$AF1026),ROUND($AG1026,2),0))</f>
        <v/>
      </c>
      <c r="K1026" s="18">
        <f>IF($Z1026="","",IF(AND(DATE($AD1026,2,1)&gt;=$AE1026,DATE($AD1026,2,1)&lt;=$AF1026),ROUND($AG1026,2),0))</f>
        <v/>
      </c>
      <c r="L1026" s="18">
        <f>IF($Z1026="","",IF(AND(DATE($AD1026,3,1)&gt;=$AE1026,DATE($AD1026,3,1)&lt;=$AF1026),ROUND($AG1026,2),0))</f>
        <v/>
      </c>
      <c r="M1026" s="18">
        <f>IF($Z1026="","",IF(AND(DATE($AD1026,4,1)&gt;=$AE1026,DATE($AD1026,4,1)&lt;=$AF1026),ROUND($AG1026,2),0))</f>
        <v/>
      </c>
      <c r="N1026" s="18">
        <f>IF($Z1026="","",IF(AND(DATE($AD1026,5,1)&gt;=$AE1026,DATE($AD1026,5,1)&lt;=$AF1026),ROUND($AG1026,2),0))</f>
        <v/>
      </c>
      <c r="O1026" s="18">
        <f>IF($Z1026="","",IF(AND(DATE($AD1026,6,1)&gt;=$AE1026,DATE($AD1026,6,1)&lt;=$AF1026),ROUND($AG1026,2),0))</f>
        <v/>
      </c>
      <c r="P1026" s="18">
        <f>IF($Z1026="","",IF(AND(DATE($AD1026,7,1)&gt;=$AE1026,DATE($AD1026,7,1)&lt;=$AF1026),ROUND($AG1026,2),0))</f>
        <v/>
      </c>
      <c r="Q1026" s="18">
        <f>IF($Z1026="","",IF(AND(DATE($AD1026,8,1)&gt;=$AE1026,DATE($AD1026,8,1)&lt;=$AF1026),ROUND($AG1026,2),0))</f>
        <v/>
      </c>
      <c r="R1026" s="18">
        <f>IF($Z1026="","",IF(AND(DATE($AD1026,9,1)&gt;=$AE1026,DATE($AD1026,9,1)&lt;=$AF1026),ROUND($AG1026,2),0))</f>
        <v/>
      </c>
      <c r="S1026" s="18">
        <f>IF($Z1026="","",IF(AND(DATE($AD1026,10,1)&gt;=$AE1026,DATE($AD1026,10,1)&lt;=$AF1026),ROUND($AG1026,2),0))</f>
        <v/>
      </c>
      <c r="T1026" s="18">
        <f>IF($Z1026="","",IF(AND(DATE($AD1026,11,1)&gt;=$AE1026,DATE($AD1026,11,1)&lt;=$AF1026),ROUND($AG1026,2),0))</f>
        <v/>
      </c>
      <c r="U1026" s="18">
        <f>IF($Z1026="","",IF(AND(DATE($AD1026,12,1)&gt;=$AE1026,DATE($AD1026,12,1)&lt;=$AF1026),ROUND($AG1026,2),0))</f>
        <v/>
      </c>
      <c r="V1026" s="7">
        <f>IF($Z1026="C","Generated from "&amp;INDEX(Contracts!$A$2:$A$151,$AB1026),IF($Z1026="A","Generated from "&amp;INDEX(Fixed_Assets!$A$2:$A$201,$AB1026),IF($Z1026="F","Generated from "&amp;INDEX(FTE_Allocation!$A$2:$A$201,$AB1026),"")))</f>
        <v/>
      </c>
      <c r="X1026" s="19">
        <f>IF($Z1026="","",SUM(J1026:U1026))</f>
        <v/>
      </c>
      <c r="Y1026" s="20">
        <f>ROW()-1</f>
        <v/>
      </c>
      <c r="Z1026" s="20">
        <f>IF($Y1026&lt;=Settings!$B$4*3,"C",IF($Y1026&lt;=(Settings!$B$4+Settings!$B$5)*3,"A",IF($Y1026&lt;=(Settings!$B$4+Settings!$B$5+Settings!$B$6)*3,"F","")))</f>
        <v/>
      </c>
      <c r="AA1026" s="20">
        <f>IF($Z1026="C",$Y1026,IF($Z1026="A",$Y1026-Settings!$B$4*3,IF($Z1026="F",$Y1026-(Settings!$B$4+Settings!$B$5)*3,"")))</f>
        <v/>
      </c>
      <c r="AB1026" s="20">
        <f>IF($Z1026="","",INT(($AA1026-1)/3)+1)</f>
        <v/>
      </c>
      <c r="AC1026" s="20">
        <f>IF($Z1026="","",MOD($AA1026-1,3)+1)</f>
        <v/>
      </c>
      <c r="AD1026" s="20">
        <f>IF($Z1026="","",Settings!$B$2+$AC1026-1)</f>
        <v/>
      </c>
      <c r="AE1026" s="21">
        <f>IF($Z1026="C",DATE(YEAR(INDEX(Contracts!$J$2:$J$151,$AB1026)),MONTH(INDEX(Contracts!$J$2:$J$151,$AB1026)),1),IF($Z1026="A",DATE(YEAR(INDEX(Fixed_Assets!$G$2:$G$201,$AB1026)),MONTH(INDEX(Fixed_Assets!$G$2:$G$201,$AB1026)),1),IF($Z1026="F",DATE(YEAR(MAX(N(INDEX(Workforce!$I$2:$I$151,MATCH(INDEX(FTE_Allocation!$A$2:$A$201,$AB1026),Workforce!$A$2:$A$151,0))),N(INDEX(FTE_Allocation!$I$2:$I$201,$AB1026)))),MONTH(MAX(N(INDEX(Workforce!$I$2:$I$151,MATCH(INDEX(FTE_Allocation!$A$2:$A$201,$AB1026),Workforce!$A$2:$A$151,0))),N(INDEX(FTE_Allocation!$I$2:$I$201,$AB1026)))),1),"")))</f>
        <v/>
      </c>
      <c r="AF1026" s="21">
        <f>IF($Z1026="C",IF(INDEX(Contracts!$I$2:$I$151,$AB1026)="PREPAID",EDATE(DATE(YEAR(INDEX(Contracts!$J$2:$J$151,$AB1026)),MONTH(INDEX(Contracts!$J$2:$J$151,$AB1026)),1),IF(INDEX(Contracts!$N$2:$N$151,$AB1026)="",12,INDEX(Contracts!$N$2:$N$151,$AB1026))-1),IF(INDEX(Contracts!$I$2:$I$151,$AB1026)="MONTHLY",IF(INDEX(Contracts!$K$2:$K$151,$AB1026)="",2958101,INDEX(Contracts!$K$2:$K$151,$AB1026)),0)),IF($Z1026="A",EDATE(DATE(YEAR(INDEX(Fixed_Assets!$G$2:$G$201,$AB1026)),MONTH(INDEX(Fixed_Assets!$G$2:$G$201,$AB1026)),1),INDEX(Fixed_Assets!$J$2:$J$201,$AB1026)-1),IF($Z1026="F",MIN(IF(INDEX(Workforce!$J$2:$J$151,MATCH(INDEX(FTE_Allocation!$A$2:$A$201,$AB1026),Workforce!$A$2:$A$151,0))="",2958101,INDEX(Workforce!$J$2:$J$151,MATCH(INDEX(FTE_Allocation!$A$2:$A$201,$AB1026),Workforce!$A$2:$A$151,0))),IF(INDEX(FTE_Allocation!$J$2:$J$201,$AB1026)="",2958101,INDEX(FTE_Allocation!$J$2:$J$201,$AB1026))),"")))</f>
        <v/>
      </c>
      <c r="AG1026" s="19">
        <f>IF($Z1026="C",IF(INDEX(Contracts!$I$2:$I$151,$AB1026)="PREPAID",INDEX(Contracts!$M$2:$M$151,$AB1026)/IF(INDEX(Contracts!$N$2:$N$151,$AB1026)="",12,INDEX(Contracts!$N$2:$N$151,$AB1026)),IF(INDEX(Contracts!$I$2:$I$151,$AB1026)="MONTHLY",INDEX(Contracts!$M$2:$M$151,$AB1026),0))*(1-N(INDEX(Contracts!$O$2:$O$151,$AB1026))),IF($Z1026="A",INDEX(Fixed_Assets!$H$2:$H$201,$AB1026)/INDEX(Fixed_Assets!$J$2:$J$201,$AB1026),IF($Z1026="F",INDEX(Workforce!$F$2:$F$151,MATCH(INDEX(FTE_Allocation!$A$2:$A$201,$AB1026),Workforce!$A$2:$A$151,0))*N(INDEX(FTE_Allocation!$F$2:$H$201,$AB1026,$AC1026)),"")))</f>
        <v/>
      </c>
    </row>
    <row r="1027">
      <c r="A1027" s="7">
        <f>IF($Z1027="","",$AD1027)</f>
        <v/>
      </c>
      <c r="B1027" s="7">
        <f>IF($Z1027="C",INDEX(Contracts!$D$2:$D$151,$AB1027)&amp;"",IF($Z1027="A",INDEX(Fixed_Assets!$C$2:$C$201,$AB1027)&amp;"",IF($Z1027="F",INDEX(Workforce!$B$2:$B$151,MATCH(INDEX(FTE_Allocation!$A$2:$A$201,$AB1027),Workforce!$A$2:$A$151,0))&amp;"","")))</f>
        <v/>
      </c>
      <c r="C1027" s="7">
        <f>IF($Z1027="C",INDEX(Contracts!$E$2:$E$151,$AB1027)&amp;"",IF($Z1027="A",INDEX(Fixed_Assets!$D$2:$D$201,$AB1027)&amp;"",IF($Z1027="F",INDEX(FTE_Allocation!$C$2:$C$201,$AB1027)&amp;"","")))</f>
        <v/>
      </c>
      <c r="D1027" s="7">
        <f>IF($Z1027="C",INDEX(Contracts!$B$2:$B$151,$AB1027)&amp;"",IF($Z1027="A",INDEX(Fixed_Assets!$B$2:$B$201,$AB1027)&amp;"",IF($Z1027="F",INDEX(FTE_Allocation!$B$2:$B$201,$AB1027)&amp;"","")))</f>
        <v/>
      </c>
      <c r="E1027" s="7">
        <f>IF($Z1027="C",INDEX(Contracts!$P$2:$P$151,$AB1027)&amp;"",IF($Z1027="A",INDEX(Fixed_Assets!$K$2:$K$201,$AB1027)&amp;"",IF($Z1027="F",IF(INDEX(FTE_Allocation!$D$2:$D$201,$AB1027)="PROJECT",IFERROR(INDEX(Projects!$D:$D,MATCH(INDEX(FTE_Allocation!$E$2:$E$201,$AB1027),Projects!$A:$A,0))&amp;"","#PROJECT?"),INDEX(FTE_Allocation!$E$2:$E$201,$AB1027)&amp;""),"")))</f>
        <v/>
      </c>
      <c r="F1027" s="7">
        <f>IF($Z1027="C",INDEX(Contracts!$Q$2:$Q$151,$AB1027)&amp;"",IF($Z1027="A",INDEX(Fixed_Assets!$L$2:$L$201,$AB1027)&amp;"",IF($Z1027="F",INDEX(Workforce!$K$2:$K$151,MATCH(INDEX(FTE_Allocation!$A$2:$A$201,$AB1027),Workforce!$A$2:$A$151,0))&amp;"","")))</f>
        <v/>
      </c>
      <c r="G1027" s="7">
        <f>IF($Z1027="C",INDEX(Contracts!$F$2:$F$151,$AB1027)&amp;" / "&amp;INDEX(Contracts!$G$2:$G$151,$AB1027),IF($Z1027="A",INDEX(Fixed_Assets!$E$2:$E$201,$AB1027)&amp;"",IF($Z1027="F","Personnel "&amp;INDEX(FTE_Allocation!$A$2:$A$201,$AB1027)&amp;IF(INDEX(FTE_Allocation!$D$2:$D$201,$AB1027)="PROJECT"," ("&amp;INDEX(FTE_Allocation!$E$2:$E$201,$AB1027)&amp;")",""),"")))</f>
        <v/>
      </c>
      <c r="H1027" s="7">
        <f>IF($Z1027="C","CONTRACT",IF($Z1027="A","ASSET",IF($Z1027="F","WORKFORCE","")))</f>
        <v/>
      </c>
      <c r="I1027" s="7">
        <f>IF($Z1027="C",INDEX(Contracts!$L$2:$L$151,$AB1027)&amp;"",IF($Z1027="A",INDEX(Fixed_Assets!$I$2:$I$201,$AB1027)&amp;"",IF($Z1027="F",INDEX(Workforce!$G$2:$G$151,MATCH(INDEX(FTE_Allocation!$A$2:$A$201,$AB1027),Workforce!$A$2:$A$151,0))&amp;"","")))</f>
        <v/>
      </c>
      <c r="J1027" s="18">
        <f>IF($Z1027="","",IF(AND(DATE($AD1027,1,1)&gt;=$AE1027,DATE($AD1027,1,1)&lt;=$AF1027),ROUND($AG1027,2),0))</f>
        <v/>
      </c>
      <c r="K1027" s="18">
        <f>IF($Z1027="","",IF(AND(DATE($AD1027,2,1)&gt;=$AE1027,DATE($AD1027,2,1)&lt;=$AF1027),ROUND($AG1027,2),0))</f>
        <v/>
      </c>
      <c r="L1027" s="18">
        <f>IF($Z1027="","",IF(AND(DATE($AD1027,3,1)&gt;=$AE1027,DATE($AD1027,3,1)&lt;=$AF1027),ROUND($AG1027,2),0))</f>
        <v/>
      </c>
      <c r="M1027" s="18">
        <f>IF($Z1027="","",IF(AND(DATE($AD1027,4,1)&gt;=$AE1027,DATE($AD1027,4,1)&lt;=$AF1027),ROUND($AG1027,2),0))</f>
        <v/>
      </c>
      <c r="N1027" s="18">
        <f>IF($Z1027="","",IF(AND(DATE($AD1027,5,1)&gt;=$AE1027,DATE($AD1027,5,1)&lt;=$AF1027),ROUND($AG1027,2),0))</f>
        <v/>
      </c>
      <c r="O1027" s="18">
        <f>IF($Z1027="","",IF(AND(DATE($AD1027,6,1)&gt;=$AE1027,DATE($AD1027,6,1)&lt;=$AF1027),ROUND($AG1027,2),0))</f>
        <v/>
      </c>
      <c r="P1027" s="18">
        <f>IF($Z1027="","",IF(AND(DATE($AD1027,7,1)&gt;=$AE1027,DATE($AD1027,7,1)&lt;=$AF1027),ROUND($AG1027,2),0))</f>
        <v/>
      </c>
      <c r="Q1027" s="18">
        <f>IF($Z1027="","",IF(AND(DATE($AD1027,8,1)&gt;=$AE1027,DATE($AD1027,8,1)&lt;=$AF1027),ROUND($AG1027,2),0))</f>
        <v/>
      </c>
      <c r="R1027" s="18">
        <f>IF($Z1027="","",IF(AND(DATE($AD1027,9,1)&gt;=$AE1027,DATE($AD1027,9,1)&lt;=$AF1027),ROUND($AG1027,2),0))</f>
        <v/>
      </c>
      <c r="S1027" s="18">
        <f>IF($Z1027="","",IF(AND(DATE($AD1027,10,1)&gt;=$AE1027,DATE($AD1027,10,1)&lt;=$AF1027),ROUND($AG1027,2),0))</f>
        <v/>
      </c>
      <c r="T1027" s="18">
        <f>IF($Z1027="","",IF(AND(DATE($AD1027,11,1)&gt;=$AE1027,DATE($AD1027,11,1)&lt;=$AF1027),ROUND($AG1027,2),0))</f>
        <v/>
      </c>
      <c r="U1027" s="18">
        <f>IF($Z1027="","",IF(AND(DATE($AD1027,12,1)&gt;=$AE1027,DATE($AD1027,12,1)&lt;=$AF1027),ROUND($AG1027,2),0))</f>
        <v/>
      </c>
      <c r="V1027" s="7">
        <f>IF($Z1027="C","Generated from "&amp;INDEX(Contracts!$A$2:$A$151,$AB1027),IF($Z1027="A","Generated from "&amp;INDEX(Fixed_Assets!$A$2:$A$201,$AB1027),IF($Z1027="F","Generated from "&amp;INDEX(FTE_Allocation!$A$2:$A$201,$AB1027),"")))</f>
        <v/>
      </c>
      <c r="X1027" s="19">
        <f>IF($Z1027="","",SUM(J1027:U1027))</f>
        <v/>
      </c>
      <c r="Y1027" s="20">
        <f>ROW()-1</f>
        <v/>
      </c>
      <c r="Z1027" s="20">
        <f>IF($Y1027&lt;=Settings!$B$4*3,"C",IF($Y1027&lt;=(Settings!$B$4+Settings!$B$5)*3,"A",IF($Y1027&lt;=(Settings!$B$4+Settings!$B$5+Settings!$B$6)*3,"F","")))</f>
        <v/>
      </c>
      <c r="AA1027" s="20">
        <f>IF($Z1027="C",$Y1027,IF($Z1027="A",$Y1027-Settings!$B$4*3,IF($Z1027="F",$Y1027-(Settings!$B$4+Settings!$B$5)*3,"")))</f>
        <v/>
      </c>
      <c r="AB1027" s="20">
        <f>IF($Z1027="","",INT(($AA1027-1)/3)+1)</f>
        <v/>
      </c>
      <c r="AC1027" s="20">
        <f>IF($Z1027="","",MOD($AA1027-1,3)+1)</f>
        <v/>
      </c>
      <c r="AD1027" s="20">
        <f>IF($Z1027="","",Settings!$B$2+$AC1027-1)</f>
        <v/>
      </c>
      <c r="AE1027" s="21">
        <f>IF($Z1027="C",DATE(YEAR(INDEX(Contracts!$J$2:$J$151,$AB1027)),MONTH(INDEX(Contracts!$J$2:$J$151,$AB1027)),1),IF($Z1027="A",DATE(YEAR(INDEX(Fixed_Assets!$G$2:$G$201,$AB1027)),MONTH(INDEX(Fixed_Assets!$G$2:$G$201,$AB1027)),1),IF($Z1027="F",DATE(YEAR(MAX(N(INDEX(Workforce!$I$2:$I$151,MATCH(INDEX(FTE_Allocation!$A$2:$A$201,$AB1027),Workforce!$A$2:$A$151,0))),N(INDEX(FTE_Allocation!$I$2:$I$201,$AB1027)))),MONTH(MAX(N(INDEX(Workforce!$I$2:$I$151,MATCH(INDEX(FTE_Allocation!$A$2:$A$201,$AB1027),Workforce!$A$2:$A$151,0))),N(INDEX(FTE_Allocation!$I$2:$I$201,$AB1027)))),1),"")))</f>
        <v/>
      </c>
      <c r="AF1027" s="21">
        <f>IF($Z1027="C",IF(INDEX(Contracts!$I$2:$I$151,$AB1027)="PREPAID",EDATE(DATE(YEAR(INDEX(Contracts!$J$2:$J$151,$AB1027)),MONTH(INDEX(Contracts!$J$2:$J$151,$AB1027)),1),IF(INDEX(Contracts!$N$2:$N$151,$AB1027)="",12,INDEX(Contracts!$N$2:$N$151,$AB1027))-1),IF(INDEX(Contracts!$I$2:$I$151,$AB1027)="MONTHLY",IF(INDEX(Contracts!$K$2:$K$151,$AB1027)="",2958101,INDEX(Contracts!$K$2:$K$151,$AB1027)),0)),IF($Z1027="A",EDATE(DATE(YEAR(INDEX(Fixed_Assets!$G$2:$G$201,$AB1027)),MONTH(INDEX(Fixed_Assets!$G$2:$G$201,$AB1027)),1),INDEX(Fixed_Assets!$J$2:$J$201,$AB1027)-1),IF($Z1027="F",MIN(IF(INDEX(Workforce!$J$2:$J$151,MATCH(INDEX(FTE_Allocation!$A$2:$A$201,$AB1027),Workforce!$A$2:$A$151,0))="",2958101,INDEX(Workforce!$J$2:$J$151,MATCH(INDEX(FTE_Allocation!$A$2:$A$201,$AB1027),Workforce!$A$2:$A$151,0))),IF(INDEX(FTE_Allocation!$J$2:$J$201,$AB1027)="",2958101,INDEX(FTE_Allocation!$J$2:$J$201,$AB1027))),"")))</f>
        <v/>
      </c>
      <c r="AG1027" s="19">
        <f>IF($Z1027="C",IF(INDEX(Contracts!$I$2:$I$151,$AB1027)="PREPAID",INDEX(Contracts!$M$2:$M$151,$AB1027)/IF(INDEX(Contracts!$N$2:$N$151,$AB1027)="",12,INDEX(Contracts!$N$2:$N$151,$AB1027)),IF(INDEX(Contracts!$I$2:$I$151,$AB1027)="MONTHLY",INDEX(Contracts!$M$2:$M$151,$AB1027),0))*(1-N(INDEX(Contracts!$O$2:$O$151,$AB1027))),IF($Z1027="A",INDEX(Fixed_Assets!$H$2:$H$201,$AB1027)/INDEX(Fixed_Assets!$J$2:$J$201,$AB1027),IF($Z1027="F",INDEX(Workforce!$F$2:$F$151,MATCH(INDEX(FTE_Allocation!$A$2:$A$201,$AB1027),Workforce!$A$2:$A$151,0))*N(INDEX(FTE_Allocation!$F$2:$H$201,$AB1027,$AC1027)),"")))</f>
        <v/>
      </c>
    </row>
    <row r="1028">
      <c r="A1028" s="7">
        <f>IF($Z1028="","",$AD1028)</f>
        <v/>
      </c>
      <c r="B1028" s="7">
        <f>IF($Z1028="C",INDEX(Contracts!$D$2:$D$151,$AB1028)&amp;"",IF($Z1028="A",INDEX(Fixed_Assets!$C$2:$C$201,$AB1028)&amp;"",IF($Z1028="F",INDEX(Workforce!$B$2:$B$151,MATCH(INDEX(FTE_Allocation!$A$2:$A$201,$AB1028),Workforce!$A$2:$A$151,0))&amp;"","")))</f>
        <v/>
      </c>
      <c r="C1028" s="7">
        <f>IF($Z1028="C",INDEX(Contracts!$E$2:$E$151,$AB1028)&amp;"",IF($Z1028="A",INDEX(Fixed_Assets!$D$2:$D$201,$AB1028)&amp;"",IF($Z1028="F",INDEX(FTE_Allocation!$C$2:$C$201,$AB1028)&amp;"","")))</f>
        <v/>
      </c>
      <c r="D1028" s="7">
        <f>IF($Z1028="C",INDEX(Contracts!$B$2:$B$151,$AB1028)&amp;"",IF($Z1028="A",INDEX(Fixed_Assets!$B$2:$B$201,$AB1028)&amp;"",IF($Z1028="F",INDEX(FTE_Allocation!$B$2:$B$201,$AB1028)&amp;"","")))</f>
        <v/>
      </c>
      <c r="E1028" s="7">
        <f>IF($Z1028="C",INDEX(Contracts!$P$2:$P$151,$AB1028)&amp;"",IF($Z1028="A",INDEX(Fixed_Assets!$K$2:$K$201,$AB1028)&amp;"",IF($Z1028="F",IF(INDEX(FTE_Allocation!$D$2:$D$201,$AB1028)="PROJECT",IFERROR(INDEX(Projects!$D:$D,MATCH(INDEX(FTE_Allocation!$E$2:$E$201,$AB1028),Projects!$A:$A,0))&amp;"","#PROJECT?"),INDEX(FTE_Allocation!$E$2:$E$201,$AB1028)&amp;""),"")))</f>
        <v/>
      </c>
      <c r="F1028" s="7">
        <f>IF($Z1028="C",INDEX(Contracts!$Q$2:$Q$151,$AB1028)&amp;"",IF($Z1028="A",INDEX(Fixed_Assets!$L$2:$L$201,$AB1028)&amp;"",IF($Z1028="F",INDEX(Workforce!$K$2:$K$151,MATCH(INDEX(FTE_Allocation!$A$2:$A$201,$AB1028),Workforce!$A$2:$A$151,0))&amp;"","")))</f>
        <v/>
      </c>
      <c r="G1028" s="7">
        <f>IF($Z1028="C",INDEX(Contracts!$F$2:$F$151,$AB1028)&amp;" / "&amp;INDEX(Contracts!$G$2:$G$151,$AB1028),IF($Z1028="A",INDEX(Fixed_Assets!$E$2:$E$201,$AB1028)&amp;"",IF($Z1028="F","Personnel "&amp;INDEX(FTE_Allocation!$A$2:$A$201,$AB1028)&amp;IF(INDEX(FTE_Allocation!$D$2:$D$201,$AB1028)="PROJECT"," ("&amp;INDEX(FTE_Allocation!$E$2:$E$201,$AB1028)&amp;")",""),"")))</f>
        <v/>
      </c>
      <c r="H1028" s="7">
        <f>IF($Z1028="C","CONTRACT",IF($Z1028="A","ASSET",IF($Z1028="F","WORKFORCE","")))</f>
        <v/>
      </c>
      <c r="I1028" s="7">
        <f>IF($Z1028="C",INDEX(Contracts!$L$2:$L$151,$AB1028)&amp;"",IF($Z1028="A",INDEX(Fixed_Assets!$I$2:$I$201,$AB1028)&amp;"",IF($Z1028="F",INDEX(Workforce!$G$2:$G$151,MATCH(INDEX(FTE_Allocation!$A$2:$A$201,$AB1028),Workforce!$A$2:$A$151,0))&amp;"","")))</f>
        <v/>
      </c>
      <c r="J1028" s="18">
        <f>IF($Z1028="","",IF(AND(DATE($AD1028,1,1)&gt;=$AE1028,DATE($AD1028,1,1)&lt;=$AF1028),ROUND($AG1028,2),0))</f>
        <v/>
      </c>
      <c r="K1028" s="18">
        <f>IF($Z1028="","",IF(AND(DATE($AD1028,2,1)&gt;=$AE1028,DATE($AD1028,2,1)&lt;=$AF1028),ROUND($AG1028,2),0))</f>
        <v/>
      </c>
      <c r="L1028" s="18">
        <f>IF($Z1028="","",IF(AND(DATE($AD1028,3,1)&gt;=$AE1028,DATE($AD1028,3,1)&lt;=$AF1028),ROUND($AG1028,2),0))</f>
        <v/>
      </c>
      <c r="M1028" s="18">
        <f>IF($Z1028="","",IF(AND(DATE($AD1028,4,1)&gt;=$AE1028,DATE($AD1028,4,1)&lt;=$AF1028),ROUND($AG1028,2),0))</f>
        <v/>
      </c>
      <c r="N1028" s="18">
        <f>IF($Z1028="","",IF(AND(DATE($AD1028,5,1)&gt;=$AE1028,DATE($AD1028,5,1)&lt;=$AF1028),ROUND($AG1028,2),0))</f>
        <v/>
      </c>
      <c r="O1028" s="18">
        <f>IF($Z1028="","",IF(AND(DATE($AD1028,6,1)&gt;=$AE1028,DATE($AD1028,6,1)&lt;=$AF1028),ROUND($AG1028,2),0))</f>
        <v/>
      </c>
      <c r="P1028" s="18">
        <f>IF($Z1028="","",IF(AND(DATE($AD1028,7,1)&gt;=$AE1028,DATE($AD1028,7,1)&lt;=$AF1028),ROUND($AG1028,2),0))</f>
        <v/>
      </c>
      <c r="Q1028" s="18">
        <f>IF($Z1028="","",IF(AND(DATE($AD1028,8,1)&gt;=$AE1028,DATE($AD1028,8,1)&lt;=$AF1028),ROUND($AG1028,2),0))</f>
        <v/>
      </c>
      <c r="R1028" s="18">
        <f>IF($Z1028="","",IF(AND(DATE($AD1028,9,1)&gt;=$AE1028,DATE($AD1028,9,1)&lt;=$AF1028),ROUND($AG1028,2),0))</f>
        <v/>
      </c>
      <c r="S1028" s="18">
        <f>IF($Z1028="","",IF(AND(DATE($AD1028,10,1)&gt;=$AE1028,DATE($AD1028,10,1)&lt;=$AF1028),ROUND($AG1028,2),0))</f>
        <v/>
      </c>
      <c r="T1028" s="18">
        <f>IF($Z1028="","",IF(AND(DATE($AD1028,11,1)&gt;=$AE1028,DATE($AD1028,11,1)&lt;=$AF1028),ROUND($AG1028,2),0))</f>
        <v/>
      </c>
      <c r="U1028" s="18">
        <f>IF($Z1028="","",IF(AND(DATE($AD1028,12,1)&gt;=$AE1028,DATE($AD1028,12,1)&lt;=$AF1028),ROUND($AG1028,2),0))</f>
        <v/>
      </c>
      <c r="V1028" s="7">
        <f>IF($Z1028="C","Generated from "&amp;INDEX(Contracts!$A$2:$A$151,$AB1028),IF($Z1028="A","Generated from "&amp;INDEX(Fixed_Assets!$A$2:$A$201,$AB1028),IF($Z1028="F","Generated from "&amp;INDEX(FTE_Allocation!$A$2:$A$201,$AB1028),"")))</f>
        <v/>
      </c>
      <c r="X1028" s="19">
        <f>IF($Z1028="","",SUM(J1028:U1028))</f>
        <v/>
      </c>
      <c r="Y1028" s="20">
        <f>ROW()-1</f>
        <v/>
      </c>
      <c r="Z1028" s="20">
        <f>IF($Y1028&lt;=Settings!$B$4*3,"C",IF($Y1028&lt;=(Settings!$B$4+Settings!$B$5)*3,"A",IF($Y1028&lt;=(Settings!$B$4+Settings!$B$5+Settings!$B$6)*3,"F","")))</f>
        <v/>
      </c>
      <c r="AA1028" s="20">
        <f>IF($Z1028="C",$Y1028,IF($Z1028="A",$Y1028-Settings!$B$4*3,IF($Z1028="F",$Y1028-(Settings!$B$4+Settings!$B$5)*3,"")))</f>
        <v/>
      </c>
      <c r="AB1028" s="20">
        <f>IF($Z1028="","",INT(($AA1028-1)/3)+1)</f>
        <v/>
      </c>
      <c r="AC1028" s="20">
        <f>IF($Z1028="","",MOD($AA1028-1,3)+1)</f>
        <v/>
      </c>
      <c r="AD1028" s="20">
        <f>IF($Z1028="","",Settings!$B$2+$AC1028-1)</f>
        <v/>
      </c>
      <c r="AE1028" s="21">
        <f>IF($Z1028="C",DATE(YEAR(INDEX(Contracts!$J$2:$J$151,$AB1028)),MONTH(INDEX(Contracts!$J$2:$J$151,$AB1028)),1),IF($Z1028="A",DATE(YEAR(INDEX(Fixed_Assets!$G$2:$G$201,$AB1028)),MONTH(INDEX(Fixed_Assets!$G$2:$G$201,$AB1028)),1),IF($Z1028="F",DATE(YEAR(MAX(N(INDEX(Workforce!$I$2:$I$151,MATCH(INDEX(FTE_Allocation!$A$2:$A$201,$AB1028),Workforce!$A$2:$A$151,0))),N(INDEX(FTE_Allocation!$I$2:$I$201,$AB1028)))),MONTH(MAX(N(INDEX(Workforce!$I$2:$I$151,MATCH(INDEX(FTE_Allocation!$A$2:$A$201,$AB1028),Workforce!$A$2:$A$151,0))),N(INDEX(FTE_Allocation!$I$2:$I$201,$AB1028)))),1),"")))</f>
        <v/>
      </c>
      <c r="AF1028" s="21">
        <f>IF($Z1028="C",IF(INDEX(Contracts!$I$2:$I$151,$AB1028)="PREPAID",EDATE(DATE(YEAR(INDEX(Contracts!$J$2:$J$151,$AB1028)),MONTH(INDEX(Contracts!$J$2:$J$151,$AB1028)),1),IF(INDEX(Contracts!$N$2:$N$151,$AB1028)="",12,INDEX(Contracts!$N$2:$N$151,$AB1028))-1),IF(INDEX(Contracts!$I$2:$I$151,$AB1028)="MONTHLY",IF(INDEX(Contracts!$K$2:$K$151,$AB1028)="",2958101,INDEX(Contracts!$K$2:$K$151,$AB1028)),0)),IF($Z1028="A",EDATE(DATE(YEAR(INDEX(Fixed_Assets!$G$2:$G$201,$AB1028)),MONTH(INDEX(Fixed_Assets!$G$2:$G$201,$AB1028)),1),INDEX(Fixed_Assets!$J$2:$J$201,$AB1028)-1),IF($Z1028="F",MIN(IF(INDEX(Workforce!$J$2:$J$151,MATCH(INDEX(FTE_Allocation!$A$2:$A$201,$AB1028),Workforce!$A$2:$A$151,0))="",2958101,INDEX(Workforce!$J$2:$J$151,MATCH(INDEX(FTE_Allocation!$A$2:$A$201,$AB1028),Workforce!$A$2:$A$151,0))),IF(INDEX(FTE_Allocation!$J$2:$J$201,$AB1028)="",2958101,INDEX(FTE_Allocation!$J$2:$J$201,$AB1028))),"")))</f>
        <v/>
      </c>
      <c r="AG1028" s="19">
        <f>IF($Z1028="C",IF(INDEX(Contracts!$I$2:$I$151,$AB1028)="PREPAID",INDEX(Contracts!$M$2:$M$151,$AB1028)/IF(INDEX(Contracts!$N$2:$N$151,$AB1028)="",12,INDEX(Contracts!$N$2:$N$151,$AB1028)),IF(INDEX(Contracts!$I$2:$I$151,$AB1028)="MONTHLY",INDEX(Contracts!$M$2:$M$151,$AB1028),0))*(1-N(INDEX(Contracts!$O$2:$O$151,$AB1028))),IF($Z1028="A",INDEX(Fixed_Assets!$H$2:$H$201,$AB1028)/INDEX(Fixed_Assets!$J$2:$J$201,$AB1028),IF($Z1028="F",INDEX(Workforce!$F$2:$F$151,MATCH(INDEX(FTE_Allocation!$A$2:$A$201,$AB1028),Workforce!$A$2:$A$151,0))*N(INDEX(FTE_Allocation!$F$2:$H$201,$AB1028,$AC1028)),"")))</f>
        <v/>
      </c>
    </row>
    <row r="1029">
      <c r="A1029" s="7">
        <f>IF($Z1029="","",$AD1029)</f>
        <v/>
      </c>
      <c r="B1029" s="7">
        <f>IF($Z1029="C",INDEX(Contracts!$D$2:$D$151,$AB1029)&amp;"",IF($Z1029="A",INDEX(Fixed_Assets!$C$2:$C$201,$AB1029)&amp;"",IF($Z1029="F",INDEX(Workforce!$B$2:$B$151,MATCH(INDEX(FTE_Allocation!$A$2:$A$201,$AB1029),Workforce!$A$2:$A$151,0))&amp;"","")))</f>
        <v/>
      </c>
      <c r="C1029" s="7">
        <f>IF($Z1029="C",INDEX(Contracts!$E$2:$E$151,$AB1029)&amp;"",IF($Z1029="A",INDEX(Fixed_Assets!$D$2:$D$201,$AB1029)&amp;"",IF($Z1029="F",INDEX(FTE_Allocation!$C$2:$C$201,$AB1029)&amp;"","")))</f>
        <v/>
      </c>
      <c r="D1029" s="7">
        <f>IF($Z1029="C",INDEX(Contracts!$B$2:$B$151,$AB1029)&amp;"",IF($Z1029="A",INDEX(Fixed_Assets!$B$2:$B$201,$AB1029)&amp;"",IF($Z1029="F",INDEX(FTE_Allocation!$B$2:$B$201,$AB1029)&amp;"","")))</f>
        <v/>
      </c>
      <c r="E1029" s="7">
        <f>IF($Z1029="C",INDEX(Contracts!$P$2:$P$151,$AB1029)&amp;"",IF($Z1029="A",INDEX(Fixed_Assets!$K$2:$K$201,$AB1029)&amp;"",IF($Z1029="F",IF(INDEX(FTE_Allocation!$D$2:$D$201,$AB1029)="PROJECT",IFERROR(INDEX(Projects!$D:$D,MATCH(INDEX(FTE_Allocation!$E$2:$E$201,$AB1029),Projects!$A:$A,0))&amp;"","#PROJECT?"),INDEX(FTE_Allocation!$E$2:$E$201,$AB1029)&amp;""),"")))</f>
        <v/>
      </c>
      <c r="F1029" s="7">
        <f>IF($Z1029="C",INDEX(Contracts!$Q$2:$Q$151,$AB1029)&amp;"",IF($Z1029="A",INDEX(Fixed_Assets!$L$2:$L$201,$AB1029)&amp;"",IF($Z1029="F",INDEX(Workforce!$K$2:$K$151,MATCH(INDEX(FTE_Allocation!$A$2:$A$201,$AB1029),Workforce!$A$2:$A$151,0))&amp;"","")))</f>
        <v/>
      </c>
      <c r="G1029" s="7">
        <f>IF($Z1029="C",INDEX(Contracts!$F$2:$F$151,$AB1029)&amp;" / "&amp;INDEX(Contracts!$G$2:$G$151,$AB1029),IF($Z1029="A",INDEX(Fixed_Assets!$E$2:$E$201,$AB1029)&amp;"",IF($Z1029="F","Personnel "&amp;INDEX(FTE_Allocation!$A$2:$A$201,$AB1029)&amp;IF(INDEX(FTE_Allocation!$D$2:$D$201,$AB1029)="PROJECT"," ("&amp;INDEX(FTE_Allocation!$E$2:$E$201,$AB1029)&amp;")",""),"")))</f>
        <v/>
      </c>
      <c r="H1029" s="7">
        <f>IF($Z1029="C","CONTRACT",IF($Z1029="A","ASSET",IF($Z1029="F","WORKFORCE","")))</f>
        <v/>
      </c>
      <c r="I1029" s="7">
        <f>IF($Z1029="C",INDEX(Contracts!$L$2:$L$151,$AB1029)&amp;"",IF($Z1029="A",INDEX(Fixed_Assets!$I$2:$I$201,$AB1029)&amp;"",IF($Z1029="F",INDEX(Workforce!$G$2:$G$151,MATCH(INDEX(FTE_Allocation!$A$2:$A$201,$AB1029),Workforce!$A$2:$A$151,0))&amp;"","")))</f>
        <v/>
      </c>
      <c r="J1029" s="18">
        <f>IF($Z1029="","",IF(AND(DATE($AD1029,1,1)&gt;=$AE1029,DATE($AD1029,1,1)&lt;=$AF1029),ROUND($AG1029,2),0))</f>
        <v/>
      </c>
      <c r="K1029" s="18">
        <f>IF($Z1029="","",IF(AND(DATE($AD1029,2,1)&gt;=$AE1029,DATE($AD1029,2,1)&lt;=$AF1029),ROUND($AG1029,2),0))</f>
        <v/>
      </c>
      <c r="L1029" s="18">
        <f>IF($Z1029="","",IF(AND(DATE($AD1029,3,1)&gt;=$AE1029,DATE($AD1029,3,1)&lt;=$AF1029),ROUND($AG1029,2),0))</f>
        <v/>
      </c>
      <c r="M1029" s="18">
        <f>IF($Z1029="","",IF(AND(DATE($AD1029,4,1)&gt;=$AE1029,DATE($AD1029,4,1)&lt;=$AF1029),ROUND($AG1029,2),0))</f>
        <v/>
      </c>
      <c r="N1029" s="18">
        <f>IF($Z1029="","",IF(AND(DATE($AD1029,5,1)&gt;=$AE1029,DATE($AD1029,5,1)&lt;=$AF1029),ROUND($AG1029,2),0))</f>
        <v/>
      </c>
      <c r="O1029" s="18">
        <f>IF($Z1029="","",IF(AND(DATE($AD1029,6,1)&gt;=$AE1029,DATE($AD1029,6,1)&lt;=$AF1029),ROUND($AG1029,2),0))</f>
        <v/>
      </c>
      <c r="P1029" s="18">
        <f>IF($Z1029="","",IF(AND(DATE($AD1029,7,1)&gt;=$AE1029,DATE($AD1029,7,1)&lt;=$AF1029),ROUND($AG1029,2),0))</f>
        <v/>
      </c>
      <c r="Q1029" s="18">
        <f>IF($Z1029="","",IF(AND(DATE($AD1029,8,1)&gt;=$AE1029,DATE($AD1029,8,1)&lt;=$AF1029),ROUND($AG1029,2),0))</f>
        <v/>
      </c>
      <c r="R1029" s="18">
        <f>IF($Z1029="","",IF(AND(DATE($AD1029,9,1)&gt;=$AE1029,DATE($AD1029,9,1)&lt;=$AF1029),ROUND($AG1029,2),0))</f>
        <v/>
      </c>
      <c r="S1029" s="18">
        <f>IF($Z1029="","",IF(AND(DATE($AD1029,10,1)&gt;=$AE1029,DATE($AD1029,10,1)&lt;=$AF1029),ROUND($AG1029,2),0))</f>
        <v/>
      </c>
      <c r="T1029" s="18">
        <f>IF($Z1029="","",IF(AND(DATE($AD1029,11,1)&gt;=$AE1029,DATE($AD1029,11,1)&lt;=$AF1029),ROUND($AG1029,2),0))</f>
        <v/>
      </c>
      <c r="U1029" s="18">
        <f>IF($Z1029="","",IF(AND(DATE($AD1029,12,1)&gt;=$AE1029,DATE($AD1029,12,1)&lt;=$AF1029),ROUND($AG1029,2),0))</f>
        <v/>
      </c>
      <c r="V1029" s="7">
        <f>IF($Z1029="C","Generated from "&amp;INDEX(Contracts!$A$2:$A$151,$AB1029),IF($Z1029="A","Generated from "&amp;INDEX(Fixed_Assets!$A$2:$A$201,$AB1029),IF($Z1029="F","Generated from "&amp;INDEX(FTE_Allocation!$A$2:$A$201,$AB1029),"")))</f>
        <v/>
      </c>
      <c r="X1029" s="19">
        <f>IF($Z1029="","",SUM(J1029:U1029))</f>
        <v/>
      </c>
      <c r="Y1029" s="20">
        <f>ROW()-1</f>
        <v/>
      </c>
      <c r="Z1029" s="20">
        <f>IF($Y1029&lt;=Settings!$B$4*3,"C",IF($Y1029&lt;=(Settings!$B$4+Settings!$B$5)*3,"A",IF($Y1029&lt;=(Settings!$B$4+Settings!$B$5+Settings!$B$6)*3,"F","")))</f>
        <v/>
      </c>
      <c r="AA1029" s="20">
        <f>IF($Z1029="C",$Y1029,IF($Z1029="A",$Y1029-Settings!$B$4*3,IF($Z1029="F",$Y1029-(Settings!$B$4+Settings!$B$5)*3,"")))</f>
        <v/>
      </c>
      <c r="AB1029" s="20">
        <f>IF($Z1029="","",INT(($AA1029-1)/3)+1)</f>
        <v/>
      </c>
      <c r="AC1029" s="20">
        <f>IF($Z1029="","",MOD($AA1029-1,3)+1)</f>
        <v/>
      </c>
      <c r="AD1029" s="20">
        <f>IF($Z1029="","",Settings!$B$2+$AC1029-1)</f>
        <v/>
      </c>
      <c r="AE1029" s="21">
        <f>IF($Z1029="C",DATE(YEAR(INDEX(Contracts!$J$2:$J$151,$AB1029)),MONTH(INDEX(Contracts!$J$2:$J$151,$AB1029)),1),IF($Z1029="A",DATE(YEAR(INDEX(Fixed_Assets!$G$2:$G$201,$AB1029)),MONTH(INDEX(Fixed_Assets!$G$2:$G$201,$AB1029)),1),IF($Z1029="F",DATE(YEAR(MAX(N(INDEX(Workforce!$I$2:$I$151,MATCH(INDEX(FTE_Allocation!$A$2:$A$201,$AB1029),Workforce!$A$2:$A$151,0))),N(INDEX(FTE_Allocation!$I$2:$I$201,$AB1029)))),MONTH(MAX(N(INDEX(Workforce!$I$2:$I$151,MATCH(INDEX(FTE_Allocation!$A$2:$A$201,$AB1029),Workforce!$A$2:$A$151,0))),N(INDEX(FTE_Allocation!$I$2:$I$201,$AB1029)))),1),"")))</f>
        <v/>
      </c>
      <c r="AF1029" s="21">
        <f>IF($Z1029="C",IF(INDEX(Contracts!$I$2:$I$151,$AB1029)="PREPAID",EDATE(DATE(YEAR(INDEX(Contracts!$J$2:$J$151,$AB1029)),MONTH(INDEX(Contracts!$J$2:$J$151,$AB1029)),1),IF(INDEX(Contracts!$N$2:$N$151,$AB1029)="",12,INDEX(Contracts!$N$2:$N$151,$AB1029))-1),IF(INDEX(Contracts!$I$2:$I$151,$AB1029)="MONTHLY",IF(INDEX(Contracts!$K$2:$K$151,$AB1029)="",2958101,INDEX(Contracts!$K$2:$K$151,$AB1029)),0)),IF($Z1029="A",EDATE(DATE(YEAR(INDEX(Fixed_Assets!$G$2:$G$201,$AB1029)),MONTH(INDEX(Fixed_Assets!$G$2:$G$201,$AB1029)),1),INDEX(Fixed_Assets!$J$2:$J$201,$AB1029)-1),IF($Z1029="F",MIN(IF(INDEX(Workforce!$J$2:$J$151,MATCH(INDEX(FTE_Allocation!$A$2:$A$201,$AB1029),Workforce!$A$2:$A$151,0))="",2958101,INDEX(Workforce!$J$2:$J$151,MATCH(INDEX(FTE_Allocation!$A$2:$A$201,$AB1029),Workforce!$A$2:$A$151,0))),IF(INDEX(FTE_Allocation!$J$2:$J$201,$AB1029)="",2958101,INDEX(FTE_Allocation!$J$2:$J$201,$AB1029))),"")))</f>
        <v/>
      </c>
      <c r="AG1029" s="19">
        <f>IF($Z1029="C",IF(INDEX(Contracts!$I$2:$I$151,$AB1029)="PREPAID",INDEX(Contracts!$M$2:$M$151,$AB1029)/IF(INDEX(Contracts!$N$2:$N$151,$AB1029)="",12,INDEX(Contracts!$N$2:$N$151,$AB1029)),IF(INDEX(Contracts!$I$2:$I$151,$AB1029)="MONTHLY",INDEX(Contracts!$M$2:$M$151,$AB1029),0))*(1-N(INDEX(Contracts!$O$2:$O$151,$AB1029))),IF($Z1029="A",INDEX(Fixed_Assets!$H$2:$H$201,$AB1029)/INDEX(Fixed_Assets!$J$2:$J$201,$AB1029),IF($Z1029="F",INDEX(Workforce!$F$2:$F$151,MATCH(INDEX(FTE_Allocation!$A$2:$A$201,$AB1029),Workforce!$A$2:$A$151,0))*N(INDEX(FTE_Allocation!$F$2:$H$201,$AB1029,$AC1029)),"")))</f>
        <v/>
      </c>
    </row>
    <row r="1030">
      <c r="A1030" s="7">
        <f>IF($Z1030="","",$AD1030)</f>
        <v/>
      </c>
      <c r="B1030" s="7">
        <f>IF($Z1030="C",INDEX(Contracts!$D$2:$D$151,$AB1030)&amp;"",IF($Z1030="A",INDEX(Fixed_Assets!$C$2:$C$201,$AB1030)&amp;"",IF($Z1030="F",INDEX(Workforce!$B$2:$B$151,MATCH(INDEX(FTE_Allocation!$A$2:$A$201,$AB1030),Workforce!$A$2:$A$151,0))&amp;"","")))</f>
        <v/>
      </c>
      <c r="C1030" s="7">
        <f>IF($Z1030="C",INDEX(Contracts!$E$2:$E$151,$AB1030)&amp;"",IF($Z1030="A",INDEX(Fixed_Assets!$D$2:$D$201,$AB1030)&amp;"",IF($Z1030="F",INDEX(FTE_Allocation!$C$2:$C$201,$AB1030)&amp;"","")))</f>
        <v/>
      </c>
      <c r="D1030" s="7">
        <f>IF($Z1030="C",INDEX(Contracts!$B$2:$B$151,$AB1030)&amp;"",IF($Z1030="A",INDEX(Fixed_Assets!$B$2:$B$201,$AB1030)&amp;"",IF($Z1030="F",INDEX(FTE_Allocation!$B$2:$B$201,$AB1030)&amp;"","")))</f>
        <v/>
      </c>
      <c r="E1030" s="7">
        <f>IF($Z1030="C",INDEX(Contracts!$P$2:$P$151,$AB1030)&amp;"",IF($Z1030="A",INDEX(Fixed_Assets!$K$2:$K$201,$AB1030)&amp;"",IF($Z1030="F",IF(INDEX(FTE_Allocation!$D$2:$D$201,$AB1030)="PROJECT",IFERROR(INDEX(Projects!$D:$D,MATCH(INDEX(FTE_Allocation!$E$2:$E$201,$AB1030),Projects!$A:$A,0))&amp;"","#PROJECT?"),INDEX(FTE_Allocation!$E$2:$E$201,$AB1030)&amp;""),"")))</f>
        <v/>
      </c>
      <c r="F1030" s="7">
        <f>IF($Z1030="C",INDEX(Contracts!$Q$2:$Q$151,$AB1030)&amp;"",IF($Z1030="A",INDEX(Fixed_Assets!$L$2:$L$201,$AB1030)&amp;"",IF($Z1030="F",INDEX(Workforce!$K$2:$K$151,MATCH(INDEX(FTE_Allocation!$A$2:$A$201,$AB1030),Workforce!$A$2:$A$151,0))&amp;"","")))</f>
        <v/>
      </c>
      <c r="G1030" s="7">
        <f>IF($Z1030="C",INDEX(Contracts!$F$2:$F$151,$AB1030)&amp;" / "&amp;INDEX(Contracts!$G$2:$G$151,$AB1030),IF($Z1030="A",INDEX(Fixed_Assets!$E$2:$E$201,$AB1030)&amp;"",IF($Z1030="F","Personnel "&amp;INDEX(FTE_Allocation!$A$2:$A$201,$AB1030)&amp;IF(INDEX(FTE_Allocation!$D$2:$D$201,$AB1030)="PROJECT"," ("&amp;INDEX(FTE_Allocation!$E$2:$E$201,$AB1030)&amp;")",""),"")))</f>
        <v/>
      </c>
      <c r="H1030" s="7">
        <f>IF($Z1030="C","CONTRACT",IF($Z1030="A","ASSET",IF($Z1030="F","WORKFORCE","")))</f>
        <v/>
      </c>
      <c r="I1030" s="7">
        <f>IF($Z1030="C",INDEX(Contracts!$L$2:$L$151,$AB1030)&amp;"",IF($Z1030="A",INDEX(Fixed_Assets!$I$2:$I$201,$AB1030)&amp;"",IF($Z1030="F",INDEX(Workforce!$G$2:$G$151,MATCH(INDEX(FTE_Allocation!$A$2:$A$201,$AB1030),Workforce!$A$2:$A$151,0))&amp;"","")))</f>
        <v/>
      </c>
      <c r="J1030" s="18">
        <f>IF($Z1030="","",IF(AND(DATE($AD1030,1,1)&gt;=$AE1030,DATE($AD1030,1,1)&lt;=$AF1030),ROUND($AG1030,2),0))</f>
        <v/>
      </c>
      <c r="K1030" s="18">
        <f>IF($Z1030="","",IF(AND(DATE($AD1030,2,1)&gt;=$AE1030,DATE($AD1030,2,1)&lt;=$AF1030),ROUND($AG1030,2),0))</f>
        <v/>
      </c>
      <c r="L1030" s="18">
        <f>IF($Z1030="","",IF(AND(DATE($AD1030,3,1)&gt;=$AE1030,DATE($AD1030,3,1)&lt;=$AF1030),ROUND($AG1030,2),0))</f>
        <v/>
      </c>
      <c r="M1030" s="18">
        <f>IF($Z1030="","",IF(AND(DATE($AD1030,4,1)&gt;=$AE1030,DATE($AD1030,4,1)&lt;=$AF1030),ROUND($AG1030,2),0))</f>
        <v/>
      </c>
      <c r="N1030" s="18">
        <f>IF($Z1030="","",IF(AND(DATE($AD1030,5,1)&gt;=$AE1030,DATE($AD1030,5,1)&lt;=$AF1030),ROUND($AG1030,2),0))</f>
        <v/>
      </c>
      <c r="O1030" s="18">
        <f>IF($Z1030="","",IF(AND(DATE($AD1030,6,1)&gt;=$AE1030,DATE($AD1030,6,1)&lt;=$AF1030),ROUND($AG1030,2),0))</f>
        <v/>
      </c>
      <c r="P1030" s="18">
        <f>IF($Z1030="","",IF(AND(DATE($AD1030,7,1)&gt;=$AE1030,DATE($AD1030,7,1)&lt;=$AF1030),ROUND($AG1030,2),0))</f>
        <v/>
      </c>
      <c r="Q1030" s="18">
        <f>IF($Z1030="","",IF(AND(DATE($AD1030,8,1)&gt;=$AE1030,DATE($AD1030,8,1)&lt;=$AF1030),ROUND($AG1030,2),0))</f>
        <v/>
      </c>
      <c r="R1030" s="18">
        <f>IF($Z1030="","",IF(AND(DATE($AD1030,9,1)&gt;=$AE1030,DATE($AD1030,9,1)&lt;=$AF1030),ROUND($AG1030,2),0))</f>
        <v/>
      </c>
      <c r="S1030" s="18">
        <f>IF($Z1030="","",IF(AND(DATE($AD1030,10,1)&gt;=$AE1030,DATE($AD1030,10,1)&lt;=$AF1030),ROUND($AG1030,2),0))</f>
        <v/>
      </c>
      <c r="T1030" s="18">
        <f>IF($Z1030="","",IF(AND(DATE($AD1030,11,1)&gt;=$AE1030,DATE($AD1030,11,1)&lt;=$AF1030),ROUND($AG1030,2),0))</f>
        <v/>
      </c>
      <c r="U1030" s="18">
        <f>IF($Z1030="","",IF(AND(DATE($AD1030,12,1)&gt;=$AE1030,DATE($AD1030,12,1)&lt;=$AF1030),ROUND($AG1030,2),0))</f>
        <v/>
      </c>
      <c r="V1030" s="7">
        <f>IF($Z1030="C","Generated from "&amp;INDEX(Contracts!$A$2:$A$151,$AB1030),IF($Z1030="A","Generated from "&amp;INDEX(Fixed_Assets!$A$2:$A$201,$AB1030),IF($Z1030="F","Generated from "&amp;INDEX(FTE_Allocation!$A$2:$A$201,$AB1030),"")))</f>
        <v/>
      </c>
      <c r="X1030" s="19">
        <f>IF($Z1030="","",SUM(J1030:U1030))</f>
        <v/>
      </c>
      <c r="Y1030" s="20">
        <f>ROW()-1</f>
        <v/>
      </c>
      <c r="Z1030" s="20">
        <f>IF($Y1030&lt;=Settings!$B$4*3,"C",IF($Y1030&lt;=(Settings!$B$4+Settings!$B$5)*3,"A",IF($Y1030&lt;=(Settings!$B$4+Settings!$B$5+Settings!$B$6)*3,"F","")))</f>
        <v/>
      </c>
      <c r="AA1030" s="20">
        <f>IF($Z1030="C",$Y1030,IF($Z1030="A",$Y1030-Settings!$B$4*3,IF($Z1030="F",$Y1030-(Settings!$B$4+Settings!$B$5)*3,"")))</f>
        <v/>
      </c>
      <c r="AB1030" s="20">
        <f>IF($Z1030="","",INT(($AA1030-1)/3)+1)</f>
        <v/>
      </c>
      <c r="AC1030" s="20">
        <f>IF($Z1030="","",MOD($AA1030-1,3)+1)</f>
        <v/>
      </c>
      <c r="AD1030" s="20">
        <f>IF($Z1030="","",Settings!$B$2+$AC1030-1)</f>
        <v/>
      </c>
      <c r="AE1030" s="21">
        <f>IF($Z1030="C",DATE(YEAR(INDEX(Contracts!$J$2:$J$151,$AB1030)),MONTH(INDEX(Contracts!$J$2:$J$151,$AB1030)),1),IF($Z1030="A",DATE(YEAR(INDEX(Fixed_Assets!$G$2:$G$201,$AB1030)),MONTH(INDEX(Fixed_Assets!$G$2:$G$201,$AB1030)),1),IF($Z1030="F",DATE(YEAR(MAX(N(INDEX(Workforce!$I$2:$I$151,MATCH(INDEX(FTE_Allocation!$A$2:$A$201,$AB1030),Workforce!$A$2:$A$151,0))),N(INDEX(FTE_Allocation!$I$2:$I$201,$AB1030)))),MONTH(MAX(N(INDEX(Workforce!$I$2:$I$151,MATCH(INDEX(FTE_Allocation!$A$2:$A$201,$AB1030),Workforce!$A$2:$A$151,0))),N(INDEX(FTE_Allocation!$I$2:$I$201,$AB1030)))),1),"")))</f>
        <v/>
      </c>
      <c r="AF1030" s="21">
        <f>IF($Z1030="C",IF(INDEX(Contracts!$I$2:$I$151,$AB1030)="PREPAID",EDATE(DATE(YEAR(INDEX(Contracts!$J$2:$J$151,$AB1030)),MONTH(INDEX(Contracts!$J$2:$J$151,$AB1030)),1),IF(INDEX(Contracts!$N$2:$N$151,$AB1030)="",12,INDEX(Contracts!$N$2:$N$151,$AB1030))-1),IF(INDEX(Contracts!$I$2:$I$151,$AB1030)="MONTHLY",IF(INDEX(Contracts!$K$2:$K$151,$AB1030)="",2958101,INDEX(Contracts!$K$2:$K$151,$AB1030)),0)),IF($Z1030="A",EDATE(DATE(YEAR(INDEX(Fixed_Assets!$G$2:$G$201,$AB1030)),MONTH(INDEX(Fixed_Assets!$G$2:$G$201,$AB1030)),1),INDEX(Fixed_Assets!$J$2:$J$201,$AB1030)-1),IF($Z1030="F",MIN(IF(INDEX(Workforce!$J$2:$J$151,MATCH(INDEX(FTE_Allocation!$A$2:$A$201,$AB1030),Workforce!$A$2:$A$151,0))="",2958101,INDEX(Workforce!$J$2:$J$151,MATCH(INDEX(FTE_Allocation!$A$2:$A$201,$AB1030),Workforce!$A$2:$A$151,0))),IF(INDEX(FTE_Allocation!$J$2:$J$201,$AB1030)="",2958101,INDEX(FTE_Allocation!$J$2:$J$201,$AB1030))),"")))</f>
        <v/>
      </c>
      <c r="AG1030" s="19">
        <f>IF($Z1030="C",IF(INDEX(Contracts!$I$2:$I$151,$AB1030)="PREPAID",INDEX(Contracts!$M$2:$M$151,$AB1030)/IF(INDEX(Contracts!$N$2:$N$151,$AB1030)="",12,INDEX(Contracts!$N$2:$N$151,$AB1030)),IF(INDEX(Contracts!$I$2:$I$151,$AB1030)="MONTHLY",INDEX(Contracts!$M$2:$M$151,$AB1030),0))*(1-N(INDEX(Contracts!$O$2:$O$151,$AB1030))),IF($Z1030="A",INDEX(Fixed_Assets!$H$2:$H$201,$AB1030)/INDEX(Fixed_Assets!$J$2:$J$201,$AB1030),IF($Z1030="F",INDEX(Workforce!$F$2:$F$151,MATCH(INDEX(FTE_Allocation!$A$2:$A$201,$AB1030),Workforce!$A$2:$A$151,0))*N(INDEX(FTE_Allocation!$F$2:$H$201,$AB1030,$AC1030)),"")))</f>
        <v/>
      </c>
    </row>
    <row r="1031">
      <c r="A1031" s="7">
        <f>IF($Z1031="","",$AD1031)</f>
        <v/>
      </c>
      <c r="B1031" s="7">
        <f>IF($Z1031="C",INDEX(Contracts!$D$2:$D$151,$AB1031)&amp;"",IF($Z1031="A",INDEX(Fixed_Assets!$C$2:$C$201,$AB1031)&amp;"",IF($Z1031="F",INDEX(Workforce!$B$2:$B$151,MATCH(INDEX(FTE_Allocation!$A$2:$A$201,$AB1031),Workforce!$A$2:$A$151,0))&amp;"","")))</f>
        <v/>
      </c>
      <c r="C1031" s="7">
        <f>IF($Z1031="C",INDEX(Contracts!$E$2:$E$151,$AB1031)&amp;"",IF($Z1031="A",INDEX(Fixed_Assets!$D$2:$D$201,$AB1031)&amp;"",IF($Z1031="F",INDEX(FTE_Allocation!$C$2:$C$201,$AB1031)&amp;"","")))</f>
        <v/>
      </c>
      <c r="D1031" s="7">
        <f>IF($Z1031="C",INDEX(Contracts!$B$2:$B$151,$AB1031)&amp;"",IF($Z1031="A",INDEX(Fixed_Assets!$B$2:$B$201,$AB1031)&amp;"",IF($Z1031="F",INDEX(FTE_Allocation!$B$2:$B$201,$AB1031)&amp;"","")))</f>
        <v/>
      </c>
      <c r="E1031" s="7">
        <f>IF($Z1031="C",INDEX(Contracts!$P$2:$P$151,$AB1031)&amp;"",IF($Z1031="A",INDEX(Fixed_Assets!$K$2:$K$201,$AB1031)&amp;"",IF($Z1031="F",IF(INDEX(FTE_Allocation!$D$2:$D$201,$AB1031)="PROJECT",IFERROR(INDEX(Projects!$D:$D,MATCH(INDEX(FTE_Allocation!$E$2:$E$201,$AB1031),Projects!$A:$A,0))&amp;"","#PROJECT?"),INDEX(FTE_Allocation!$E$2:$E$201,$AB1031)&amp;""),"")))</f>
        <v/>
      </c>
      <c r="F1031" s="7">
        <f>IF($Z1031="C",INDEX(Contracts!$Q$2:$Q$151,$AB1031)&amp;"",IF($Z1031="A",INDEX(Fixed_Assets!$L$2:$L$201,$AB1031)&amp;"",IF($Z1031="F",INDEX(Workforce!$K$2:$K$151,MATCH(INDEX(FTE_Allocation!$A$2:$A$201,$AB1031),Workforce!$A$2:$A$151,0))&amp;"","")))</f>
        <v/>
      </c>
      <c r="G1031" s="7">
        <f>IF($Z1031="C",INDEX(Contracts!$F$2:$F$151,$AB1031)&amp;" / "&amp;INDEX(Contracts!$G$2:$G$151,$AB1031),IF($Z1031="A",INDEX(Fixed_Assets!$E$2:$E$201,$AB1031)&amp;"",IF($Z1031="F","Personnel "&amp;INDEX(FTE_Allocation!$A$2:$A$201,$AB1031)&amp;IF(INDEX(FTE_Allocation!$D$2:$D$201,$AB1031)="PROJECT"," ("&amp;INDEX(FTE_Allocation!$E$2:$E$201,$AB1031)&amp;")",""),"")))</f>
        <v/>
      </c>
      <c r="H1031" s="7">
        <f>IF($Z1031="C","CONTRACT",IF($Z1031="A","ASSET",IF($Z1031="F","WORKFORCE","")))</f>
        <v/>
      </c>
      <c r="I1031" s="7">
        <f>IF($Z1031="C",INDEX(Contracts!$L$2:$L$151,$AB1031)&amp;"",IF($Z1031="A",INDEX(Fixed_Assets!$I$2:$I$201,$AB1031)&amp;"",IF($Z1031="F",INDEX(Workforce!$G$2:$G$151,MATCH(INDEX(FTE_Allocation!$A$2:$A$201,$AB1031),Workforce!$A$2:$A$151,0))&amp;"","")))</f>
        <v/>
      </c>
      <c r="J1031" s="18">
        <f>IF($Z1031="","",IF(AND(DATE($AD1031,1,1)&gt;=$AE1031,DATE($AD1031,1,1)&lt;=$AF1031),ROUND($AG1031,2),0))</f>
        <v/>
      </c>
      <c r="K1031" s="18">
        <f>IF($Z1031="","",IF(AND(DATE($AD1031,2,1)&gt;=$AE1031,DATE($AD1031,2,1)&lt;=$AF1031),ROUND($AG1031,2),0))</f>
        <v/>
      </c>
      <c r="L1031" s="18">
        <f>IF($Z1031="","",IF(AND(DATE($AD1031,3,1)&gt;=$AE1031,DATE($AD1031,3,1)&lt;=$AF1031),ROUND($AG1031,2),0))</f>
        <v/>
      </c>
      <c r="M1031" s="18">
        <f>IF($Z1031="","",IF(AND(DATE($AD1031,4,1)&gt;=$AE1031,DATE($AD1031,4,1)&lt;=$AF1031),ROUND($AG1031,2),0))</f>
        <v/>
      </c>
      <c r="N1031" s="18">
        <f>IF($Z1031="","",IF(AND(DATE($AD1031,5,1)&gt;=$AE1031,DATE($AD1031,5,1)&lt;=$AF1031),ROUND($AG1031,2),0))</f>
        <v/>
      </c>
      <c r="O1031" s="18">
        <f>IF($Z1031="","",IF(AND(DATE($AD1031,6,1)&gt;=$AE1031,DATE($AD1031,6,1)&lt;=$AF1031),ROUND($AG1031,2),0))</f>
        <v/>
      </c>
      <c r="P1031" s="18">
        <f>IF($Z1031="","",IF(AND(DATE($AD1031,7,1)&gt;=$AE1031,DATE($AD1031,7,1)&lt;=$AF1031),ROUND($AG1031,2),0))</f>
        <v/>
      </c>
      <c r="Q1031" s="18">
        <f>IF($Z1031="","",IF(AND(DATE($AD1031,8,1)&gt;=$AE1031,DATE($AD1031,8,1)&lt;=$AF1031),ROUND($AG1031,2),0))</f>
        <v/>
      </c>
      <c r="R1031" s="18">
        <f>IF($Z1031="","",IF(AND(DATE($AD1031,9,1)&gt;=$AE1031,DATE($AD1031,9,1)&lt;=$AF1031),ROUND($AG1031,2),0))</f>
        <v/>
      </c>
      <c r="S1031" s="18">
        <f>IF($Z1031="","",IF(AND(DATE($AD1031,10,1)&gt;=$AE1031,DATE($AD1031,10,1)&lt;=$AF1031),ROUND($AG1031,2),0))</f>
        <v/>
      </c>
      <c r="T1031" s="18">
        <f>IF($Z1031="","",IF(AND(DATE($AD1031,11,1)&gt;=$AE1031,DATE($AD1031,11,1)&lt;=$AF1031),ROUND($AG1031,2),0))</f>
        <v/>
      </c>
      <c r="U1031" s="18">
        <f>IF($Z1031="","",IF(AND(DATE($AD1031,12,1)&gt;=$AE1031,DATE($AD1031,12,1)&lt;=$AF1031),ROUND($AG1031,2),0))</f>
        <v/>
      </c>
      <c r="V1031" s="7">
        <f>IF($Z1031="C","Generated from "&amp;INDEX(Contracts!$A$2:$A$151,$AB1031),IF($Z1031="A","Generated from "&amp;INDEX(Fixed_Assets!$A$2:$A$201,$AB1031),IF($Z1031="F","Generated from "&amp;INDEX(FTE_Allocation!$A$2:$A$201,$AB1031),"")))</f>
        <v/>
      </c>
      <c r="X1031" s="19">
        <f>IF($Z1031="","",SUM(J1031:U1031))</f>
        <v/>
      </c>
      <c r="Y1031" s="20">
        <f>ROW()-1</f>
        <v/>
      </c>
      <c r="Z1031" s="20">
        <f>IF($Y1031&lt;=Settings!$B$4*3,"C",IF($Y1031&lt;=(Settings!$B$4+Settings!$B$5)*3,"A",IF($Y1031&lt;=(Settings!$B$4+Settings!$B$5+Settings!$B$6)*3,"F","")))</f>
        <v/>
      </c>
      <c r="AA1031" s="20">
        <f>IF($Z1031="C",$Y1031,IF($Z1031="A",$Y1031-Settings!$B$4*3,IF($Z1031="F",$Y1031-(Settings!$B$4+Settings!$B$5)*3,"")))</f>
        <v/>
      </c>
      <c r="AB1031" s="20">
        <f>IF($Z1031="","",INT(($AA1031-1)/3)+1)</f>
        <v/>
      </c>
      <c r="AC1031" s="20">
        <f>IF($Z1031="","",MOD($AA1031-1,3)+1)</f>
        <v/>
      </c>
      <c r="AD1031" s="20">
        <f>IF($Z1031="","",Settings!$B$2+$AC1031-1)</f>
        <v/>
      </c>
      <c r="AE1031" s="21">
        <f>IF($Z1031="C",DATE(YEAR(INDEX(Contracts!$J$2:$J$151,$AB1031)),MONTH(INDEX(Contracts!$J$2:$J$151,$AB1031)),1),IF($Z1031="A",DATE(YEAR(INDEX(Fixed_Assets!$G$2:$G$201,$AB1031)),MONTH(INDEX(Fixed_Assets!$G$2:$G$201,$AB1031)),1),IF($Z1031="F",DATE(YEAR(MAX(N(INDEX(Workforce!$I$2:$I$151,MATCH(INDEX(FTE_Allocation!$A$2:$A$201,$AB1031),Workforce!$A$2:$A$151,0))),N(INDEX(FTE_Allocation!$I$2:$I$201,$AB1031)))),MONTH(MAX(N(INDEX(Workforce!$I$2:$I$151,MATCH(INDEX(FTE_Allocation!$A$2:$A$201,$AB1031),Workforce!$A$2:$A$151,0))),N(INDEX(FTE_Allocation!$I$2:$I$201,$AB1031)))),1),"")))</f>
        <v/>
      </c>
      <c r="AF1031" s="21">
        <f>IF($Z1031="C",IF(INDEX(Contracts!$I$2:$I$151,$AB1031)="PREPAID",EDATE(DATE(YEAR(INDEX(Contracts!$J$2:$J$151,$AB1031)),MONTH(INDEX(Contracts!$J$2:$J$151,$AB1031)),1),IF(INDEX(Contracts!$N$2:$N$151,$AB1031)="",12,INDEX(Contracts!$N$2:$N$151,$AB1031))-1),IF(INDEX(Contracts!$I$2:$I$151,$AB1031)="MONTHLY",IF(INDEX(Contracts!$K$2:$K$151,$AB1031)="",2958101,INDEX(Contracts!$K$2:$K$151,$AB1031)),0)),IF($Z1031="A",EDATE(DATE(YEAR(INDEX(Fixed_Assets!$G$2:$G$201,$AB1031)),MONTH(INDEX(Fixed_Assets!$G$2:$G$201,$AB1031)),1),INDEX(Fixed_Assets!$J$2:$J$201,$AB1031)-1),IF($Z1031="F",MIN(IF(INDEX(Workforce!$J$2:$J$151,MATCH(INDEX(FTE_Allocation!$A$2:$A$201,$AB1031),Workforce!$A$2:$A$151,0))="",2958101,INDEX(Workforce!$J$2:$J$151,MATCH(INDEX(FTE_Allocation!$A$2:$A$201,$AB1031),Workforce!$A$2:$A$151,0))),IF(INDEX(FTE_Allocation!$J$2:$J$201,$AB1031)="",2958101,INDEX(FTE_Allocation!$J$2:$J$201,$AB1031))),"")))</f>
        <v/>
      </c>
      <c r="AG1031" s="19">
        <f>IF($Z1031="C",IF(INDEX(Contracts!$I$2:$I$151,$AB1031)="PREPAID",INDEX(Contracts!$M$2:$M$151,$AB1031)/IF(INDEX(Contracts!$N$2:$N$151,$AB1031)="",12,INDEX(Contracts!$N$2:$N$151,$AB1031)),IF(INDEX(Contracts!$I$2:$I$151,$AB1031)="MONTHLY",INDEX(Contracts!$M$2:$M$151,$AB1031),0))*(1-N(INDEX(Contracts!$O$2:$O$151,$AB1031))),IF($Z1031="A",INDEX(Fixed_Assets!$H$2:$H$201,$AB1031)/INDEX(Fixed_Assets!$J$2:$J$201,$AB1031),IF($Z1031="F",INDEX(Workforce!$F$2:$F$151,MATCH(INDEX(FTE_Allocation!$A$2:$A$201,$AB1031),Workforce!$A$2:$A$151,0))*N(INDEX(FTE_Allocation!$F$2:$H$201,$AB1031,$AC1031)),"")))</f>
        <v/>
      </c>
    </row>
    <row r="1032">
      <c r="A1032" s="7">
        <f>IF($Z1032="","",$AD1032)</f>
        <v/>
      </c>
      <c r="B1032" s="7">
        <f>IF($Z1032="C",INDEX(Contracts!$D$2:$D$151,$AB1032)&amp;"",IF($Z1032="A",INDEX(Fixed_Assets!$C$2:$C$201,$AB1032)&amp;"",IF($Z1032="F",INDEX(Workforce!$B$2:$B$151,MATCH(INDEX(FTE_Allocation!$A$2:$A$201,$AB1032),Workforce!$A$2:$A$151,0))&amp;"","")))</f>
        <v/>
      </c>
      <c r="C1032" s="7">
        <f>IF($Z1032="C",INDEX(Contracts!$E$2:$E$151,$AB1032)&amp;"",IF($Z1032="A",INDEX(Fixed_Assets!$D$2:$D$201,$AB1032)&amp;"",IF($Z1032="F",INDEX(FTE_Allocation!$C$2:$C$201,$AB1032)&amp;"","")))</f>
        <v/>
      </c>
      <c r="D1032" s="7">
        <f>IF($Z1032="C",INDEX(Contracts!$B$2:$B$151,$AB1032)&amp;"",IF($Z1032="A",INDEX(Fixed_Assets!$B$2:$B$201,$AB1032)&amp;"",IF($Z1032="F",INDEX(FTE_Allocation!$B$2:$B$201,$AB1032)&amp;"","")))</f>
        <v/>
      </c>
      <c r="E1032" s="7">
        <f>IF($Z1032="C",INDEX(Contracts!$P$2:$P$151,$AB1032)&amp;"",IF($Z1032="A",INDEX(Fixed_Assets!$K$2:$K$201,$AB1032)&amp;"",IF($Z1032="F",IF(INDEX(FTE_Allocation!$D$2:$D$201,$AB1032)="PROJECT",IFERROR(INDEX(Projects!$D:$D,MATCH(INDEX(FTE_Allocation!$E$2:$E$201,$AB1032),Projects!$A:$A,0))&amp;"","#PROJECT?"),INDEX(FTE_Allocation!$E$2:$E$201,$AB1032)&amp;""),"")))</f>
        <v/>
      </c>
      <c r="F1032" s="7">
        <f>IF($Z1032="C",INDEX(Contracts!$Q$2:$Q$151,$AB1032)&amp;"",IF($Z1032="A",INDEX(Fixed_Assets!$L$2:$L$201,$AB1032)&amp;"",IF($Z1032="F",INDEX(Workforce!$K$2:$K$151,MATCH(INDEX(FTE_Allocation!$A$2:$A$201,$AB1032),Workforce!$A$2:$A$151,0))&amp;"","")))</f>
        <v/>
      </c>
      <c r="G1032" s="7">
        <f>IF($Z1032="C",INDEX(Contracts!$F$2:$F$151,$AB1032)&amp;" / "&amp;INDEX(Contracts!$G$2:$G$151,$AB1032),IF($Z1032="A",INDEX(Fixed_Assets!$E$2:$E$201,$AB1032)&amp;"",IF($Z1032="F","Personnel "&amp;INDEX(FTE_Allocation!$A$2:$A$201,$AB1032)&amp;IF(INDEX(FTE_Allocation!$D$2:$D$201,$AB1032)="PROJECT"," ("&amp;INDEX(FTE_Allocation!$E$2:$E$201,$AB1032)&amp;")",""),"")))</f>
        <v/>
      </c>
      <c r="H1032" s="7">
        <f>IF($Z1032="C","CONTRACT",IF($Z1032="A","ASSET",IF($Z1032="F","WORKFORCE","")))</f>
        <v/>
      </c>
      <c r="I1032" s="7">
        <f>IF($Z1032="C",INDEX(Contracts!$L$2:$L$151,$AB1032)&amp;"",IF($Z1032="A",INDEX(Fixed_Assets!$I$2:$I$201,$AB1032)&amp;"",IF($Z1032="F",INDEX(Workforce!$G$2:$G$151,MATCH(INDEX(FTE_Allocation!$A$2:$A$201,$AB1032),Workforce!$A$2:$A$151,0))&amp;"","")))</f>
        <v/>
      </c>
      <c r="J1032" s="18">
        <f>IF($Z1032="","",IF(AND(DATE($AD1032,1,1)&gt;=$AE1032,DATE($AD1032,1,1)&lt;=$AF1032),ROUND($AG1032,2),0))</f>
        <v/>
      </c>
      <c r="K1032" s="18">
        <f>IF($Z1032="","",IF(AND(DATE($AD1032,2,1)&gt;=$AE1032,DATE($AD1032,2,1)&lt;=$AF1032),ROUND($AG1032,2),0))</f>
        <v/>
      </c>
      <c r="L1032" s="18">
        <f>IF($Z1032="","",IF(AND(DATE($AD1032,3,1)&gt;=$AE1032,DATE($AD1032,3,1)&lt;=$AF1032),ROUND($AG1032,2),0))</f>
        <v/>
      </c>
      <c r="M1032" s="18">
        <f>IF($Z1032="","",IF(AND(DATE($AD1032,4,1)&gt;=$AE1032,DATE($AD1032,4,1)&lt;=$AF1032),ROUND($AG1032,2),0))</f>
        <v/>
      </c>
      <c r="N1032" s="18">
        <f>IF($Z1032="","",IF(AND(DATE($AD1032,5,1)&gt;=$AE1032,DATE($AD1032,5,1)&lt;=$AF1032),ROUND($AG1032,2),0))</f>
        <v/>
      </c>
      <c r="O1032" s="18">
        <f>IF($Z1032="","",IF(AND(DATE($AD1032,6,1)&gt;=$AE1032,DATE($AD1032,6,1)&lt;=$AF1032),ROUND($AG1032,2),0))</f>
        <v/>
      </c>
      <c r="P1032" s="18">
        <f>IF($Z1032="","",IF(AND(DATE($AD1032,7,1)&gt;=$AE1032,DATE($AD1032,7,1)&lt;=$AF1032),ROUND($AG1032,2),0))</f>
        <v/>
      </c>
      <c r="Q1032" s="18">
        <f>IF($Z1032="","",IF(AND(DATE($AD1032,8,1)&gt;=$AE1032,DATE($AD1032,8,1)&lt;=$AF1032),ROUND($AG1032,2),0))</f>
        <v/>
      </c>
      <c r="R1032" s="18">
        <f>IF($Z1032="","",IF(AND(DATE($AD1032,9,1)&gt;=$AE1032,DATE($AD1032,9,1)&lt;=$AF1032),ROUND($AG1032,2),0))</f>
        <v/>
      </c>
      <c r="S1032" s="18">
        <f>IF($Z1032="","",IF(AND(DATE($AD1032,10,1)&gt;=$AE1032,DATE($AD1032,10,1)&lt;=$AF1032),ROUND($AG1032,2),0))</f>
        <v/>
      </c>
      <c r="T1032" s="18">
        <f>IF($Z1032="","",IF(AND(DATE($AD1032,11,1)&gt;=$AE1032,DATE($AD1032,11,1)&lt;=$AF1032),ROUND($AG1032,2),0))</f>
        <v/>
      </c>
      <c r="U1032" s="18">
        <f>IF($Z1032="","",IF(AND(DATE($AD1032,12,1)&gt;=$AE1032,DATE($AD1032,12,1)&lt;=$AF1032),ROUND($AG1032,2),0))</f>
        <v/>
      </c>
      <c r="V1032" s="7">
        <f>IF($Z1032="C","Generated from "&amp;INDEX(Contracts!$A$2:$A$151,$AB1032),IF($Z1032="A","Generated from "&amp;INDEX(Fixed_Assets!$A$2:$A$201,$AB1032),IF($Z1032="F","Generated from "&amp;INDEX(FTE_Allocation!$A$2:$A$201,$AB1032),"")))</f>
        <v/>
      </c>
      <c r="X1032" s="19">
        <f>IF($Z1032="","",SUM(J1032:U1032))</f>
        <v/>
      </c>
      <c r="Y1032" s="20">
        <f>ROW()-1</f>
        <v/>
      </c>
      <c r="Z1032" s="20">
        <f>IF($Y1032&lt;=Settings!$B$4*3,"C",IF($Y1032&lt;=(Settings!$B$4+Settings!$B$5)*3,"A",IF($Y1032&lt;=(Settings!$B$4+Settings!$B$5+Settings!$B$6)*3,"F","")))</f>
        <v/>
      </c>
      <c r="AA1032" s="20">
        <f>IF($Z1032="C",$Y1032,IF($Z1032="A",$Y1032-Settings!$B$4*3,IF($Z1032="F",$Y1032-(Settings!$B$4+Settings!$B$5)*3,"")))</f>
        <v/>
      </c>
      <c r="AB1032" s="20">
        <f>IF($Z1032="","",INT(($AA1032-1)/3)+1)</f>
        <v/>
      </c>
      <c r="AC1032" s="20">
        <f>IF($Z1032="","",MOD($AA1032-1,3)+1)</f>
        <v/>
      </c>
      <c r="AD1032" s="20">
        <f>IF($Z1032="","",Settings!$B$2+$AC1032-1)</f>
        <v/>
      </c>
      <c r="AE1032" s="21">
        <f>IF($Z1032="C",DATE(YEAR(INDEX(Contracts!$J$2:$J$151,$AB1032)),MONTH(INDEX(Contracts!$J$2:$J$151,$AB1032)),1),IF($Z1032="A",DATE(YEAR(INDEX(Fixed_Assets!$G$2:$G$201,$AB1032)),MONTH(INDEX(Fixed_Assets!$G$2:$G$201,$AB1032)),1),IF($Z1032="F",DATE(YEAR(MAX(N(INDEX(Workforce!$I$2:$I$151,MATCH(INDEX(FTE_Allocation!$A$2:$A$201,$AB1032),Workforce!$A$2:$A$151,0))),N(INDEX(FTE_Allocation!$I$2:$I$201,$AB1032)))),MONTH(MAX(N(INDEX(Workforce!$I$2:$I$151,MATCH(INDEX(FTE_Allocation!$A$2:$A$201,$AB1032),Workforce!$A$2:$A$151,0))),N(INDEX(FTE_Allocation!$I$2:$I$201,$AB1032)))),1),"")))</f>
        <v/>
      </c>
      <c r="AF1032" s="21">
        <f>IF($Z1032="C",IF(INDEX(Contracts!$I$2:$I$151,$AB1032)="PREPAID",EDATE(DATE(YEAR(INDEX(Contracts!$J$2:$J$151,$AB1032)),MONTH(INDEX(Contracts!$J$2:$J$151,$AB1032)),1),IF(INDEX(Contracts!$N$2:$N$151,$AB1032)="",12,INDEX(Contracts!$N$2:$N$151,$AB1032))-1),IF(INDEX(Contracts!$I$2:$I$151,$AB1032)="MONTHLY",IF(INDEX(Contracts!$K$2:$K$151,$AB1032)="",2958101,INDEX(Contracts!$K$2:$K$151,$AB1032)),0)),IF($Z1032="A",EDATE(DATE(YEAR(INDEX(Fixed_Assets!$G$2:$G$201,$AB1032)),MONTH(INDEX(Fixed_Assets!$G$2:$G$201,$AB1032)),1),INDEX(Fixed_Assets!$J$2:$J$201,$AB1032)-1),IF($Z1032="F",MIN(IF(INDEX(Workforce!$J$2:$J$151,MATCH(INDEX(FTE_Allocation!$A$2:$A$201,$AB1032),Workforce!$A$2:$A$151,0))="",2958101,INDEX(Workforce!$J$2:$J$151,MATCH(INDEX(FTE_Allocation!$A$2:$A$201,$AB1032),Workforce!$A$2:$A$151,0))),IF(INDEX(FTE_Allocation!$J$2:$J$201,$AB1032)="",2958101,INDEX(FTE_Allocation!$J$2:$J$201,$AB1032))),"")))</f>
        <v/>
      </c>
      <c r="AG1032" s="19">
        <f>IF($Z1032="C",IF(INDEX(Contracts!$I$2:$I$151,$AB1032)="PREPAID",INDEX(Contracts!$M$2:$M$151,$AB1032)/IF(INDEX(Contracts!$N$2:$N$151,$AB1032)="",12,INDEX(Contracts!$N$2:$N$151,$AB1032)),IF(INDEX(Contracts!$I$2:$I$151,$AB1032)="MONTHLY",INDEX(Contracts!$M$2:$M$151,$AB1032),0))*(1-N(INDEX(Contracts!$O$2:$O$151,$AB1032))),IF($Z1032="A",INDEX(Fixed_Assets!$H$2:$H$201,$AB1032)/INDEX(Fixed_Assets!$J$2:$J$201,$AB1032),IF($Z1032="F",INDEX(Workforce!$F$2:$F$151,MATCH(INDEX(FTE_Allocation!$A$2:$A$201,$AB1032),Workforce!$A$2:$A$151,0))*N(INDEX(FTE_Allocation!$F$2:$H$201,$AB1032,$AC1032)),"")))</f>
        <v/>
      </c>
    </row>
    <row r="1033">
      <c r="A1033" s="7">
        <f>IF($Z1033="","",$AD1033)</f>
        <v/>
      </c>
      <c r="B1033" s="7">
        <f>IF($Z1033="C",INDEX(Contracts!$D$2:$D$151,$AB1033)&amp;"",IF($Z1033="A",INDEX(Fixed_Assets!$C$2:$C$201,$AB1033)&amp;"",IF($Z1033="F",INDEX(Workforce!$B$2:$B$151,MATCH(INDEX(FTE_Allocation!$A$2:$A$201,$AB1033),Workforce!$A$2:$A$151,0))&amp;"","")))</f>
        <v/>
      </c>
      <c r="C1033" s="7">
        <f>IF($Z1033="C",INDEX(Contracts!$E$2:$E$151,$AB1033)&amp;"",IF($Z1033="A",INDEX(Fixed_Assets!$D$2:$D$201,$AB1033)&amp;"",IF($Z1033="F",INDEX(FTE_Allocation!$C$2:$C$201,$AB1033)&amp;"","")))</f>
        <v/>
      </c>
      <c r="D1033" s="7">
        <f>IF($Z1033="C",INDEX(Contracts!$B$2:$B$151,$AB1033)&amp;"",IF($Z1033="A",INDEX(Fixed_Assets!$B$2:$B$201,$AB1033)&amp;"",IF($Z1033="F",INDEX(FTE_Allocation!$B$2:$B$201,$AB1033)&amp;"","")))</f>
        <v/>
      </c>
      <c r="E1033" s="7">
        <f>IF($Z1033="C",INDEX(Contracts!$P$2:$P$151,$AB1033)&amp;"",IF($Z1033="A",INDEX(Fixed_Assets!$K$2:$K$201,$AB1033)&amp;"",IF($Z1033="F",IF(INDEX(FTE_Allocation!$D$2:$D$201,$AB1033)="PROJECT",IFERROR(INDEX(Projects!$D:$D,MATCH(INDEX(FTE_Allocation!$E$2:$E$201,$AB1033),Projects!$A:$A,0))&amp;"","#PROJECT?"),INDEX(FTE_Allocation!$E$2:$E$201,$AB1033)&amp;""),"")))</f>
        <v/>
      </c>
      <c r="F1033" s="7">
        <f>IF($Z1033="C",INDEX(Contracts!$Q$2:$Q$151,$AB1033)&amp;"",IF($Z1033="A",INDEX(Fixed_Assets!$L$2:$L$201,$AB1033)&amp;"",IF($Z1033="F",INDEX(Workforce!$K$2:$K$151,MATCH(INDEX(FTE_Allocation!$A$2:$A$201,$AB1033),Workforce!$A$2:$A$151,0))&amp;"","")))</f>
        <v/>
      </c>
      <c r="G1033" s="7">
        <f>IF($Z1033="C",INDEX(Contracts!$F$2:$F$151,$AB1033)&amp;" / "&amp;INDEX(Contracts!$G$2:$G$151,$AB1033),IF($Z1033="A",INDEX(Fixed_Assets!$E$2:$E$201,$AB1033)&amp;"",IF($Z1033="F","Personnel "&amp;INDEX(FTE_Allocation!$A$2:$A$201,$AB1033)&amp;IF(INDEX(FTE_Allocation!$D$2:$D$201,$AB1033)="PROJECT"," ("&amp;INDEX(FTE_Allocation!$E$2:$E$201,$AB1033)&amp;")",""),"")))</f>
        <v/>
      </c>
      <c r="H1033" s="7">
        <f>IF($Z1033="C","CONTRACT",IF($Z1033="A","ASSET",IF($Z1033="F","WORKFORCE","")))</f>
        <v/>
      </c>
      <c r="I1033" s="7">
        <f>IF($Z1033="C",INDEX(Contracts!$L$2:$L$151,$AB1033)&amp;"",IF($Z1033="A",INDEX(Fixed_Assets!$I$2:$I$201,$AB1033)&amp;"",IF($Z1033="F",INDEX(Workforce!$G$2:$G$151,MATCH(INDEX(FTE_Allocation!$A$2:$A$201,$AB1033),Workforce!$A$2:$A$151,0))&amp;"","")))</f>
        <v/>
      </c>
      <c r="J1033" s="18">
        <f>IF($Z1033="","",IF(AND(DATE($AD1033,1,1)&gt;=$AE1033,DATE($AD1033,1,1)&lt;=$AF1033),ROUND($AG1033,2),0))</f>
        <v/>
      </c>
      <c r="K1033" s="18">
        <f>IF($Z1033="","",IF(AND(DATE($AD1033,2,1)&gt;=$AE1033,DATE($AD1033,2,1)&lt;=$AF1033),ROUND($AG1033,2),0))</f>
        <v/>
      </c>
      <c r="L1033" s="18">
        <f>IF($Z1033="","",IF(AND(DATE($AD1033,3,1)&gt;=$AE1033,DATE($AD1033,3,1)&lt;=$AF1033),ROUND($AG1033,2),0))</f>
        <v/>
      </c>
      <c r="M1033" s="18">
        <f>IF($Z1033="","",IF(AND(DATE($AD1033,4,1)&gt;=$AE1033,DATE($AD1033,4,1)&lt;=$AF1033),ROUND($AG1033,2),0))</f>
        <v/>
      </c>
      <c r="N1033" s="18">
        <f>IF($Z1033="","",IF(AND(DATE($AD1033,5,1)&gt;=$AE1033,DATE($AD1033,5,1)&lt;=$AF1033),ROUND($AG1033,2),0))</f>
        <v/>
      </c>
      <c r="O1033" s="18">
        <f>IF($Z1033="","",IF(AND(DATE($AD1033,6,1)&gt;=$AE1033,DATE($AD1033,6,1)&lt;=$AF1033),ROUND($AG1033,2),0))</f>
        <v/>
      </c>
      <c r="P1033" s="18">
        <f>IF($Z1033="","",IF(AND(DATE($AD1033,7,1)&gt;=$AE1033,DATE($AD1033,7,1)&lt;=$AF1033),ROUND($AG1033,2),0))</f>
        <v/>
      </c>
      <c r="Q1033" s="18">
        <f>IF($Z1033="","",IF(AND(DATE($AD1033,8,1)&gt;=$AE1033,DATE($AD1033,8,1)&lt;=$AF1033),ROUND($AG1033,2),0))</f>
        <v/>
      </c>
      <c r="R1033" s="18">
        <f>IF($Z1033="","",IF(AND(DATE($AD1033,9,1)&gt;=$AE1033,DATE($AD1033,9,1)&lt;=$AF1033),ROUND($AG1033,2),0))</f>
        <v/>
      </c>
      <c r="S1033" s="18">
        <f>IF($Z1033="","",IF(AND(DATE($AD1033,10,1)&gt;=$AE1033,DATE($AD1033,10,1)&lt;=$AF1033),ROUND($AG1033,2),0))</f>
        <v/>
      </c>
      <c r="T1033" s="18">
        <f>IF($Z1033="","",IF(AND(DATE($AD1033,11,1)&gt;=$AE1033,DATE($AD1033,11,1)&lt;=$AF1033),ROUND($AG1033,2),0))</f>
        <v/>
      </c>
      <c r="U1033" s="18">
        <f>IF($Z1033="","",IF(AND(DATE($AD1033,12,1)&gt;=$AE1033,DATE($AD1033,12,1)&lt;=$AF1033),ROUND($AG1033,2),0))</f>
        <v/>
      </c>
      <c r="V1033" s="7">
        <f>IF($Z1033="C","Generated from "&amp;INDEX(Contracts!$A$2:$A$151,$AB1033),IF($Z1033="A","Generated from "&amp;INDEX(Fixed_Assets!$A$2:$A$201,$AB1033),IF($Z1033="F","Generated from "&amp;INDEX(FTE_Allocation!$A$2:$A$201,$AB1033),"")))</f>
        <v/>
      </c>
      <c r="X1033" s="19">
        <f>IF($Z1033="","",SUM(J1033:U1033))</f>
        <v/>
      </c>
      <c r="Y1033" s="20">
        <f>ROW()-1</f>
        <v/>
      </c>
      <c r="Z1033" s="20">
        <f>IF($Y1033&lt;=Settings!$B$4*3,"C",IF($Y1033&lt;=(Settings!$B$4+Settings!$B$5)*3,"A",IF($Y1033&lt;=(Settings!$B$4+Settings!$B$5+Settings!$B$6)*3,"F","")))</f>
        <v/>
      </c>
      <c r="AA1033" s="20">
        <f>IF($Z1033="C",$Y1033,IF($Z1033="A",$Y1033-Settings!$B$4*3,IF($Z1033="F",$Y1033-(Settings!$B$4+Settings!$B$5)*3,"")))</f>
        <v/>
      </c>
      <c r="AB1033" s="20">
        <f>IF($Z1033="","",INT(($AA1033-1)/3)+1)</f>
        <v/>
      </c>
      <c r="AC1033" s="20">
        <f>IF($Z1033="","",MOD($AA1033-1,3)+1)</f>
        <v/>
      </c>
      <c r="AD1033" s="20">
        <f>IF($Z1033="","",Settings!$B$2+$AC1033-1)</f>
        <v/>
      </c>
      <c r="AE1033" s="21">
        <f>IF($Z1033="C",DATE(YEAR(INDEX(Contracts!$J$2:$J$151,$AB1033)),MONTH(INDEX(Contracts!$J$2:$J$151,$AB1033)),1),IF($Z1033="A",DATE(YEAR(INDEX(Fixed_Assets!$G$2:$G$201,$AB1033)),MONTH(INDEX(Fixed_Assets!$G$2:$G$201,$AB1033)),1),IF($Z1033="F",DATE(YEAR(MAX(N(INDEX(Workforce!$I$2:$I$151,MATCH(INDEX(FTE_Allocation!$A$2:$A$201,$AB1033),Workforce!$A$2:$A$151,0))),N(INDEX(FTE_Allocation!$I$2:$I$201,$AB1033)))),MONTH(MAX(N(INDEX(Workforce!$I$2:$I$151,MATCH(INDEX(FTE_Allocation!$A$2:$A$201,$AB1033),Workforce!$A$2:$A$151,0))),N(INDEX(FTE_Allocation!$I$2:$I$201,$AB1033)))),1),"")))</f>
        <v/>
      </c>
      <c r="AF1033" s="21">
        <f>IF($Z1033="C",IF(INDEX(Contracts!$I$2:$I$151,$AB1033)="PREPAID",EDATE(DATE(YEAR(INDEX(Contracts!$J$2:$J$151,$AB1033)),MONTH(INDEX(Contracts!$J$2:$J$151,$AB1033)),1),IF(INDEX(Contracts!$N$2:$N$151,$AB1033)="",12,INDEX(Contracts!$N$2:$N$151,$AB1033))-1),IF(INDEX(Contracts!$I$2:$I$151,$AB1033)="MONTHLY",IF(INDEX(Contracts!$K$2:$K$151,$AB1033)="",2958101,INDEX(Contracts!$K$2:$K$151,$AB1033)),0)),IF($Z1033="A",EDATE(DATE(YEAR(INDEX(Fixed_Assets!$G$2:$G$201,$AB1033)),MONTH(INDEX(Fixed_Assets!$G$2:$G$201,$AB1033)),1),INDEX(Fixed_Assets!$J$2:$J$201,$AB1033)-1),IF($Z1033="F",MIN(IF(INDEX(Workforce!$J$2:$J$151,MATCH(INDEX(FTE_Allocation!$A$2:$A$201,$AB1033),Workforce!$A$2:$A$151,0))="",2958101,INDEX(Workforce!$J$2:$J$151,MATCH(INDEX(FTE_Allocation!$A$2:$A$201,$AB1033),Workforce!$A$2:$A$151,0))),IF(INDEX(FTE_Allocation!$J$2:$J$201,$AB1033)="",2958101,INDEX(FTE_Allocation!$J$2:$J$201,$AB1033))),"")))</f>
        <v/>
      </c>
      <c r="AG1033" s="19">
        <f>IF($Z1033="C",IF(INDEX(Contracts!$I$2:$I$151,$AB1033)="PREPAID",INDEX(Contracts!$M$2:$M$151,$AB1033)/IF(INDEX(Contracts!$N$2:$N$151,$AB1033)="",12,INDEX(Contracts!$N$2:$N$151,$AB1033)),IF(INDEX(Contracts!$I$2:$I$151,$AB1033)="MONTHLY",INDEX(Contracts!$M$2:$M$151,$AB1033),0))*(1-N(INDEX(Contracts!$O$2:$O$151,$AB1033))),IF($Z1033="A",INDEX(Fixed_Assets!$H$2:$H$201,$AB1033)/INDEX(Fixed_Assets!$J$2:$J$201,$AB1033),IF($Z1033="F",INDEX(Workforce!$F$2:$F$151,MATCH(INDEX(FTE_Allocation!$A$2:$A$201,$AB1033),Workforce!$A$2:$A$151,0))*N(INDEX(FTE_Allocation!$F$2:$H$201,$AB1033,$AC1033)),"")))</f>
        <v/>
      </c>
    </row>
    <row r="1034">
      <c r="A1034" s="7">
        <f>IF($Z1034="","",$AD1034)</f>
        <v/>
      </c>
      <c r="B1034" s="7">
        <f>IF($Z1034="C",INDEX(Contracts!$D$2:$D$151,$AB1034)&amp;"",IF($Z1034="A",INDEX(Fixed_Assets!$C$2:$C$201,$AB1034)&amp;"",IF($Z1034="F",INDEX(Workforce!$B$2:$B$151,MATCH(INDEX(FTE_Allocation!$A$2:$A$201,$AB1034),Workforce!$A$2:$A$151,0))&amp;"","")))</f>
        <v/>
      </c>
      <c r="C1034" s="7">
        <f>IF($Z1034="C",INDEX(Contracts!$E$2:$E$151,$AB1034)&amp;"",IF($Z1034="A",INDEX(Fixed_Assets!$D$2:$D$201,$AB1034)&amp;"",IF($Z1034="F",INDEX(FTE_Allocation!$C$2:$C$201,$AB1034)&amp;"","")))</f>
        <v/>
      </c>
      <c r="D1034" s="7">
        <f>IF($Z1034="C",INDEX(Contracts!$B$2:$B$151,$AB1034)&amp;"",IF($Z1034="A",INDEX(Fixed_Assets!$B$2:$B$201,$AB1034)&amp;"",IF($Z1034="F",INDEX(FTE_Allocation!$B$2:$B$201,$AB1034)&amp;"","")))</f>
        <v/>
      </c>
      <c r="E1034" s="7">
        <f>IF($Z1034="C",INDEX(Contracts!$P$2:$P$151,$AB1034)&amp;"",IF($Z1034="A",INDEX(Fixed_Assets!$K$2:$K$201,$AB1034)&amp;"",IF($Z1034="F",IF(INDEX(FTE_Allocation!$D$2:$D$201,$AB1034)="PROJECT",IFERROR(INDEX(Projects!$D:$D,MATCH(INDEX(FTE_Allocation!$E$2:$E$201,$AB1034),Projects!$A:$A,0))&amp;"","#PROJECT?"),INDEX(FTE_Allocation!$E$2:$E$201,$AB1034)&amp;""),"")))</f>
        <v/>
      </c>
      <c r="F1034" s="7">
        <f>IF($Z1034="C",INDEX(Contracts!$Q$2:$Q$151,$AB1034)&amp;"",IF($Z1034="A",INDEX(Fixed_Assets!$L$2:$L$201,$AB1034)&amp;"",IF($Z1034="F",INDEX(Workforce!$K$2:$K$151,MATCH(INDEX(FTE_Allocation!$A$2:$A$201,$AB1034),Workforce!$A$2:$A$151,0))&amp;"","")))</f>
        <v/>
      </c>
      <c r="G1034" s="7">
        <f>IF($Z1034="C",INDEX(Contracts!$F$2:$F$151,$AB1034)&amp;" / "&amp;INDEX(Contracts!$G$2:$G$151,$AB1034),IF($Z1034="A",INDEX(Fixed_Assets!$E$2:$E$201,$AB1034)&amp;"",IF($Z1034="F","Personnel "&amp;INDEX(FTE_Allocation!$A$2:$A$201,$AB1034)&amp;IF(INDEX(FTE_Allocation!$D$2:$D$201,$AB1034)="PROJECT"," ("&amp;INDEX(FTE_Allocation!$E$2:$E$201,$AB1034)&amp;")",""),"")))</f>
        <v/>
      </c>
      <c r="H1034" s="7">
        <f>IF($Z1034="C","CONTRACT",IF($Z1034="A","ASSET",IF($Z1034="F","WORKFORCE","")))</f>
        <v/>
      </c>
      <c r="I1034" s="7">
        <f>IF($Z1034="C",INDEX(Contracts!$L$2:$L$151,$AB1034)&amp;"",IF($Z1034="A",INDEX(Fixed_Assets!$I$2:$I$201,$AB1034)&amp;"",IF($Z1034="F",INDEX(Workforce!$G$2:$G$151,MATCH(INDEX(FTE_Allocation!$A$2:$A$201,$AB1034),Workforce!$A$2:$A$151,0))&amp;"","")))</f>
        <v/>
      </c>
      <c r="J1034" s="18">
        <f>IF($Z1034="","",IF(AND(DATE($AD1034,1,1)&gt;=$AE1034,DATE($AD1034,1,1)&lt;=$AF1034),ROUND($AG1034,2),0))</f>
        <v/>
      </c>
      <c r="K1034" s="18">
        <f>IF($Z1034="","",IF(AND(DATE($AD1034,2,1)&gt;=$AE1034,DATE($AD1034,2,1)&lt;=$AF1034),ROUND($AG1034,2),0))</f>
        <v/>
      </c>
      <c r="L1034" s="18">
        <f>IF($Z1034="","",IF(AND(DATE($AD1034,3,1)&gt;=$AE1034,DATE($AD1034,3,1)&lt;=$AF1034),ROUND($AG1034,2),0))</f>
        <v/>
      </c>
      <c r="M1034" s="18">
        <f>IF($Z1034="","",IF(AND(DATE($AD1034,4,1)&gt;=$AE1034,DATE($AD1034,4,1)&lt;=$AF1034),ROUND($AG1034,2),0))</f>
        <v/>
      </c>
      <c r="N1034" s="18">
        <f>IF($Z1034="","",IF(AND(DATE($AD1034,5,1)&gt;=$AE1034,DATE($AD1034,5,1)&lt;=$AF1034),ROUND($AG1034,2),0))</f>
        <v/>
      </c>
      <c r="O1034" s="18">
        <f>IF($Z1034="","",IF(AND(DATE($AD1034,6,1)&gt;=$AE1034,DATE($AD1034,6,1)&lt;=$AF1034),ROUND($AG1034,2),0))</f>
        <v/>
      </c>
      <c r="P1034" s="18">
        <f>IF($Z1034="","",IF(AND(DATE($AD1034,7,1)&gt;=$AE1034,DATE($AD1034,7,1)&lt;=$AF1034),ROUND($AG1034,2),0))</f>
        <v/>
      </c>
      <c r="Q1034" s="18">
        <f>IF($Z1034="","",IF(AND(DATE($AD1034,8,1)&gt;=$AE1034,DATE($AD1034,8,1)&lt;=$AF1034),ROUND($AG1034,2),0))</f>
        <v/>
      </c>
      <c r="R1034" s="18">
        <f>IF($Z1034="","",IF(AND(DATE($AD1034,9,1)&gt;=$AE1034,DATE($AD1034,9,1)&lt;=$AF1034),ROUND($AG1034,2),0))</f>
        <v/>
      </c>
      <c r="S1034" s="18">
        <f>IF($Z1034="","",IF(AND(DATE($AD1034,10,1)&gt;=$AE1034,DATE($AD1034,10,1)&lt;=$AF1034),ROUND($AG1034,2),0))</f>
        <v/>
      </c>
      <c r="T1034" s="18">
        <f>IF($Z1034="","",IF(AND(DATE($AD1034,11,1)&gt;=$AE1034,DATE($AD1034,11,1)&lt;=$AF1034),ROUND($AG1034,2),0))</f>
        <v/>
      </c>
      <c r="U1034" s="18">
        <f>IF($Z1034="","",IF(AND(DATE($AD1034,12,1)&gt;=$AE1034,DATE($AD1034,12,1)&lt;=$AF1034),ROUND($AG1034,2),0))</f>
        <v/>
      </c>
      <c r="V1034" s="7">
        <f>IF($Z1034="C","Generated from "&amp;INDEX(Contracts!$A$2:$A$151,$AB1034),IF($Z1034="A","Generated from "&amp;INDEX(Fixed_Assets!$A$2:$A$201,$AB1034),IF($Z1034="F","Generated from "&amp;INDEX(FTE_Allocation!$A$2:$A$201,$AB1034),"")))</f>
        <v/>
      </c>
      <c r="X1034" s="19">
        <f>IF($Z1034="","",SUM(J1034:U1034))</f>
        <v/>
      </c>
      <c r="Y1034" s="20">
        <f>ROW()-1</f>
        <v/>
      </c>
      <c r="Z1034" s="20">
        <f>IF($Y1034&lt;=Settings!$B$4*3,"C",IF($Y1034&lt;=(Settings!$B$4+Settings!$B$5)*3,"A",IF($Y1034&lt;=(Settings!$B$4+Settings!$B$5+Settings!$B$6)*3,"F","")))</f>
        <v/>
      </c>
      <c r="AA1034" s="20">
        <f>IF($Z1034="C",$Y1034,IF($Z1034="A",$Y1034-Settings!$B$4*3,IF($Z1034="F",$Y1034-(Settings!$B$4+Settings!$B$5)*3,"")))</f>
        <v/>
      </c>
      <c r="AB1034" s="20">
        <f>IF($Z1034="","",INT(($AA1034-1)/3)+1)</f>
        <v/>
      </c>
      <c r="AC1034" s="20">
        <f>IF($Z1034="","",MOD($AA1034-1,3)+1)</f>
        <v/>
      </c>
      <c r="AD1034" s="20">
        <f>IF($Z1034="","",Settings!$B$2+$AC1034-1)</f>
        <v/>
      </c>
      <c r="AE1034" s="21">
        <f>IF($Z1034="C",DATE(YEAR(INDEX(Contracts!$J$2:$J$151,$AB1034)),MONTH(INDEX(Contracts!$J$2:$J$151,$AB1034)),1),IF($Z1034="A",DATE(YEAR(INDEX(Fixed_Assets!$G$2:$G$201,$AB1034)),MONTH(INDEX(Fixed_Assets!$G$2:$G$201,$AB1034)),1),IF($Z1034="F",DATE(YEAR(MAX(N(INDEX(Workforce!$I$2:$I$151,MATCH(INDEX(FTE_Allocation!$A$2:$A$201,$AB1034),Workforce!$A$2:$A$151,0))),N(INDEX(FTE_Allocation!$I$2:$I$201,$AB1034)))),MONTH(MAX(N(INDEX(Workforce!$I$2:$I$151,MATCH(INDEX(FTE_Allocation!$A$2:$A$201,$AB1034),Workforce!$A$2:$A$151,0))),N(INDEX(FTE_Allocation!$I$2:$I$201,$AB1034)))),1),"")))</f>
        <v/>
      </c>
      <c r="AF1034" s="21">
        <f>IF($Z1034="C",IF(INDEX(Contracts!$I$2:$I$151,$AB1034)="PREPAID",EDATE(DATE(YEAR(INDEX(Contracts!$J$2:$J$151,$AB1034)),MONTH(INDEX(Contracts!$J$2:$J$151,$AB1034)),1),IF(INDEX(Contracts!$N$2:$N$151,$AB1034)="",12,INDEX(Contracts!$N$2:$N$151,$AB1034))-1),IF(INDEX(Contracts!$I$2:$I$151,$AB1034)="MONTHLY",IF(INDEX(Contracts!$K$2:$K$151,$AB1034)="",2958101,INDEX(Contracts!$K$2:$K$151,$AB1034)),0)),IF($Z1034="A",EDATE(DATE(YEAR(INDEX(Fixed_Assets!$G$2:$G$201,$AB1034)),MONTH(INDEX(Fixed_Assets!$G$2:$G$201,$AB1034)),1),INDEX(Fixed_Assets!$J$2:$J$201,$AB1034)-1),IF($Z1034="F",MIN(IF(INDEX(Workforce!$J$2:$J$151,MATCH(INDEX(FTE_Allocation!$A$2:$A$201,$AB1034),Workforce!$A$2:$A$151,0))="",2958101,INDEX(Workforce!$J$2:$J$151,MATCH(INDEX(FTE_Allocation!$A$2:$A$201,$AB1034),Workforce!$A$2:$A$151,0))),IF(INDEX(FTE_Allocation!$J$2:$J$201,$AB1034)="",2958101,INDEX(FTE_Allocation!$J$2:$J$201,$AB1034))),"")))</f>
        <v/>
      </c>
      <c r="AG1034" s="19">
        <f>IF($Z1034="C",IF(INDEX(Contracts!$I$2:$I$151,$AB1034)="PREPAID",INDEX(Contracts!$M$2:$M$151,$AB1034)/IF(INDEX(Contracts!$N$2:$N$151,$AB1034)="",12,INDEX(Contracts!$N$2:$N$151,$AB1034)),IF(INDEX(Contracts!$I$2:$I$151,$AB1034)="MONTHLY",INDEX(Contracts!$M$2:$M$151,$AB1034),0))*(1-N(INDEX(Contracts!$O$2:$O$151,$AB1034))),IF($Z1034="A",INDEX(Fixed_Assets!$H$2:$H$201,$AB1034)/INDEX(Fixed_Assets!$J$2:$J$201,$AB1034),IF($Z1034="F",INDEX(Workforce!$F$2:$F$151,MATCH(INDEX(FTE_Allocation!$A$2:$A$201,$AB1034),Workforce!$A$2:$A$151,0))*N(INDEX(FTE_Allocation!$F$2:$H$201,$AB1034,$AC1034)),"")))</f>
        <v/>
      </c>
    </row>
    <row r="1035">
      <c r="A1035" s="7">
        <f>IF($Z1035="","",$AD1035)</f>
        <v/>
      </c>
      <c r="B1035" s="7">
        <f>IF($Z1035="C",INDEX(Contracts!$D$2:$D$151,$AB1035)&amp;"",IF($Z1035="A",INDEX(Fixed_Assets!$C$2:$C$201,$AB1035)&amp;"",IF($Z1035="F",INDEX(Workforce!$B$2:$B$151,MATCH(INDEX(FTE_Allocation!$A$2:$A$201,$AB1035),Workforce!$A$2:$A$151,0))&amp;"","")))</f>
        <v/>
      </c>
      <c r="C1035" s="7">
        <f>IF($Z1035="C",INDEX(Contracts!$E$2:$E$151,$AB1035)&amp;"",IF($Z1035="A",INDEX(Fixed_Assets!$D$2:$D$201,$AB1035)&amp;"",IF($Z1035="F",INDEX(FTE_Allocation!$C$2:$C$201,$AB1035)&amp;"","")))</f>
        <v/>
      </c>
      <c r="D1035" s="7">
        <f>IF($Z1035="C",INDEX(Contracts!$B$2:$B$151,$AB1035)&amp;"",IF($Z1035="A",INDEX(Fixed_Assets!$B$2:$B$201,$AB1035)&amp;"",IF($Z1035="F",INDEX(FTE_Allocation!$B$2:$B$201,$AB1035)&amp;"","")))</f>
        <v/>
      </c>
      <c r="E1035" s="7">
        <f>IF($Z1035="C",INDEX(Contracts!$P$2:$P$151,$AB1035)&amp;"",IF($Z1035="A",INDEX(Fixed_Assets!$K$2:$K$201,$AB1035)&amp;"",IF($Z1035="F",IF(INDEX(FTE_Allocation!$D$2:$D$201,$AB1035)="PROJECT",IFERROR(INDEX(Projects!$D:$D,MATCH(INDEX(FTE_Allocation!$E$2:$E$201,$AB1035),Projects!$A:$A,0))&amp;"","#PROJECT?"),INDEX(FTE_Allocation!$E$2:$E$201,$AB1035)&amp;""),"")))</f>
        <v/>
      </c>
      <c r="F1035" s="7">
        <f>IF($Z1035="C",INDEX(Contracts!$Q$2:$Q$151,$AB1035)&amp;"",IF($Z1035="A",INDEX(Fixed_Assets!$L$2:$L$201,$AB1035)&amp;"",IF($Z1035="F",INDEX(Workforce!$K$2:$K$151,MATCH(INDEX(FTE_Allocation!$A$2:$A$201,$AB1035),Workforce!$A$2:$A$151,0))&amp;"","")))</f>
        <v/>
      </c>
      <c r="G1035" s="7">
        <f>IF($Z1035="C",INDEX(Contracts!$F$2:$F$151,$AB1035)&amp;" / "&amp;INDEX(Contracts!$G$2:$G$151,$AB1035),IF($Z1035="A",INDEX(Fixed_Assets!$E$2:$E$201,$AB1035)&amp;"",IF($Z1035="F","Personnel "&amp;INDEX(FTE_Allocation!$A$2:$A$201,$AB1035)&amp;IF(INDEX(FTE_Allocation!$D$2:$D$201,$AB1035)="PROJECT"," ("&amp;INDEX(FTE_Allocation!$E$2:$E$201,$AB1035)&amp;")",""),"")))</f>
        <v/>
      </c>
      <c r="H1035" s="7">
        <f>IF($Z1035="C","CONTRACT",IF($Z1035="A","ASSET",IF($Z1035="F","WORKFORCE","")))</f>
        <v/>
      </c>
      <c r="I1035" s="7">
        <f>IF($Z1035="C",INDEX(Contracts!$L$2:$L$151,$AB1035)&amp;"",IF($Z1035="A",INDEX(Fixed_Assets!$I$2:$I$201,$AB1035)&amp;"",IF($Z1035="F",INDEX(Workforce!$G$2:$G$151,MATCH(INDEX(FTE_Allocation!$A$2:$A$201,$AB1035),Workforce!$A$2:$A$151,0))&amp;"","")))</f>
        <v/>
      </c>
      <c r="J1035" s="18">
        <f>IF($Z1035="","",IF(AND(DATE($AD1035,1,1)&gt;=$AE1035,DATE($AD1035,1,1)&lt;=$AF1035),ROUND($AG1035,2),0))</f>
        <v/>
      </c>
      <c r="K1035" s="18">
        <f>IF($Z1035="","",IF(AND(DATE($AD1035,2,1)&gt;=$AE1035,DATE($AD1035,2,1)&lt;=$AF1035),ROUND($AG1035,2),0))</f>
        <v/>
      </c>
      <c r="L1035" s="18">
        <f>IF($Z1035="","",IF(AND(DATE($AD1035,3,1)&gt;=$AE1035,DATE($AD1035,3,1)&lt;=$AF1035),ROUND($AG1035,2),0))</f>
        <v/>
      </c>
      <c r="M1035" s="18">
        <f>IF($Z1035="","",IF(AND(DATE($AD1035,4,1)&gt;=$AE1035,DATE($AD1035,4,1)&lt;=$AF1035),ROUND($AG1035,2),0))</f>
        <v/>
      </c>
      <c r="N1035" s="18">
        <f>IF($Z1035="","",IF(AND(DATE($AD1035,5,1)&gt;=$AE1035,DATE($AD1035,5,1)&lt;=$AF1035),ROUND($AG1035,2),0))</f>
        <v/>
      </c>
      <c r="O1035" s="18">
        <f>IF($Z1035="","",IF(AND(DATE($AD1035,6,1)&gt;=$AE1035,DATE($AD1035,6,1)&lt;=$AF1035),ROUND($AG1035,2),0))</f>
        <v/>
      </c>
      <c r="P1035" s="18">
        <f>IF($Z1035="","",IF(AND(DATE($AD1035,7,1)&gt;=$AE1035,DATE($AD1035,7,1)&lt;=$AF1035),ROUND($AG1035,2),0))</f>
        <v/>
      </c>
      <c r="Q1035" s="18">
        <f>IF($Z1035="","",IF(AND(DATE($AD1035,8,1)&gt;=$AE1035,DATE($AD1035,8,1)&lt;=$AF1035),ROUND($AG1035,2),0))</f>
        <v/>
      </c>
      <c r="R1035" s="18">
        <f>IF($Z1035="","",IF(AND(DATE($AD1035,9,1)&gt;=$AE1035,DATE($AD1035,9,1)&lt;=$AF1035),ROUND($AG1035,2),0))</f>
        <v/>
      </c>
      <c r="S1035" s="18">
        <f>IF($Z1035="","",IF(AND(DATE($AD1035,10,1)&gt;=$AE1035,DATE($AD1035,10,1)&lt;=$AF1035),ROUND($AG1035,2),0))</f>
        <v/>
      </c>
      <c r="T1035" s="18">
        <f>IF($Z1035="","",IF(AND(DATE($AD1035,11,1)&gt;=$AE1035,DATE($AD1035,11,1)&lt;=$AF1035),ROUND($AG1035,2),0))</f>
        <v/>
      </c>
      <c r="U1035" s="18">
        <f>IF($Z1035="","",IF(AND(DATE($AD1035,12,1)&gt;=$AE1035,DATE($AD1035,12,1)&lt;=$AF1035),ROUND($AG1035,2),0))</f>
        <v/>
      </c>
      <c r="V1035" s="7">
        <f>IF($Z1035="C","Generated from "&amp;INDEX(Contracts!$A$2:$A$151,$AB1035),IF($Z1035="A","Generated from "&amp;INDEX(Fixed_Assets!$A$2:$A$201,$AB1035),IF($Z1035="F","Generated from "&amp;INDEX(FTE_Allocation!$A$2:$A$201,$AB1035),"")))</f>
        <v/>
      </c>
      <c r="X1035" s="19">
        <f>IF($Z1035="","",SUM(J1035:U1035))</f>
        <v/>
      </c>
      <c r="Y1035" s="20">
        <f>ROW()-1</f>
        <v/>
      </c>
      <c r="Z1035" s="20">
        <f>IF($Y1035&lt;=Settings!$B$4*3,"C",IF($Y1035&lt;=(Settings!$B$4+Settings!$B$5)*3,"A",IF($Y1035&lt;=(Settings!$B$4+Settings!$B$5+Settings!$B$6)*3,"F","")))</f>
        <v/>
      </c>
      <c r="AA1035" s="20">
        <f>IF($Z1035="C",$Y1035,IF($Z1035="A",$Y1035-Settings!$B$4*3,IF($Z1035="F",$Y1035-(Settings!$B$4+Settings!$B$5)*3,"")))</f>
        <v/>
      </c>
      <c r="AB1035" s="20">
        <f>IF($Z1035="","",INT(($AA1035-1)/3)+1)</f>
        <v/>
      </c>
      <c r="AC1035" s="20">
        <f>IF($Z1035="","",MOD($AA1035-1,3)+1)</f>
        <v/>
      </c>
      <c r="AD1035" s="20">
        <f>IF($Z1035="","",Settings!$B$2+$AC1035-1)</f>
        <v/>
      </c>
      <c r="AE1035" s="21">
        <f>IF($Z1035="C",DATE(YEAR(INDEX(Contracts!$J$2:$J$151,$AB1035)),MONTH(INDEX(Contracts!$J$2:$J$151,$AB1035)),1),IF($Z1035="A",DATE(YEAR(INDEX(Fixed_Assets!$G$2:$G$201,$AB1035)),MONTH(INDEX(Fixed_Assets!$G$2:$G$201,$AB1035)),1),IF($Z1035="F",DATE(YEAR(MAX(N(INDEX(Workforce!$I$2:$I$151,MATCH(INDEX(FTE_Allocation!$A$2:$A$201,$AB1035),Workforce!$A$2:$A$151,0))),N(INDEX(FTE_Allocation!$I$2:$I$201,$AB1035)))),MONTH(MAX(N(INDEX(Workforce!$I$2:$I$151,MATCH(INDEX(FTE_Allocation!$A$2:$A$201,$AB1035),Workforce!$A$2:$A$151,0))),N(INDEX(FTE_Allocation!$I$2:$I$201,$AB1035)))),1),"")))</f>
        <v/>
      </c>
      <c r="AF1035" s="21">
        <f>IF($Z1035="C",IF(INDEX(Contracts!$I$2:$I$151,$AB1035)="PREPAID",EDATE(DATE(YEAR(INDEX(Contracts!$J$2:$J$151,$AB1035)),MONTH(INDEX(Contracts!$J$2:$J$151,$AB1035)),1),IF(INDEX(Contracts!$N$2:$N$151,$AB1035)="",12,INDEX(Contracts!$N$2:$N$151,$AB1035))-1),IF(INDEX(Contracts!$I$2:$I$151,$AB1035)="MONTHLY",IF(INDEX(Contracts!$K$2:$K$151,$AB1035)="",2958101,INDEX(Contracts!$K$2:$K$151,$AB1035)),0)),IF($Z1035="A",EDATE(DATE(YEAR(INDEX(Fixed_Assets!$G$2:$G$201,$AB1035)),MONTH(INDEX(Fixed_Assets!$G$2:$G$201,$AB1035)),1),INDEX(Fixed_Assets!$J$2:$J$201,$AB1035)-1),IF($Z1035="F",MIN(IF(INDEX(Workforce!$J$2:$J$151,MATCH(INDEX(FTE_Allocation!$A$2:$A$201,$AB1035),Workforce!$A$2:$A$151,0))="",2958101,INDEX(Workforce!$J$2:$J$151,MATCH(INDEX(FTE_Allocation!$A$2:$A$201,$AB1035),Workforce!$A$2:$A$151,0))),IF(INDEX(FTE_Allocation!$J$2:$J$201,$AB1035)="",2958101,INDEX(FTE_Allocation!$J$2:$J$201,$AB1035))),"")))</f>
        <v/>
      </c>
      <c r="AG1035" s="19">
        <f>IF($Z1035="C",IF(INDEX(Contracts!$I$2:$I$151,$AB1035)="PREPAID",INDEX(Contracts!$M$2:$M$151,$AB1035)/IF(INDEX(Contracts!$N$2:$N$151,$AB1035)="",12,INDEX(Contracts!$N$2:$N$151,$AB1035)),IF(INDEX(Contracts!$I$2:$I$151,$AB1035)="MONTHLY",INDEX(Contracts!$M$2:$M$151,$AB1035),0))*(1-N(INDEX(Contracts!$O$2:$O$151,$AB1035))),IF($Z1035="A",INDEX(Fixed_Assets!$H$2:$H$201,$AB1035)/INDEX(Fixed_Assets!$J$2:$J$201,$AB1035),IF($Z1035="F",INDEX(Workforce!$F$2:$F$151,MATCH(INDEX(FTE_Allocation!$A$2:$A$201,$AB1035),Workforce!$A$2:$A$151,0))*N(INDEX(FTE_Allocation!$F$2:$H$201,$AB1035,$AC1035)),"")))</f>
        <v/>
      </c>
    </row>
    <row r="1036">
      <c r="A1036" s="7">
        <f>IF($Z1036="","",$AD1036)</f>
        <v/>
      </c>
      <c r="B1036" s="7">
        <f>IF($Z1036="C",INDEX(Contracts!$D$2:$D$151,$AB1036)&amp;"",IF($Z1036="A",INDEX(Fixed_Assets!$C$2:$C$201,$AB1036)&amp;"",IF($Z1036="F",INDEX(Workforce!$B$2:$B$151,MATCH(INDEX(FTE_Allocation!$A$2:$A$201,$AB1036),Workforce!$A$2:$A$151,0))&amp;"","")))</f>
        <v/>
      </c>
      <c r="C1036" s="7">
        <f>IF($Z1036="C",INDEX(Contracts!$E$2:$E$151,$AB1036)&amp;"",IF($Z1036="A",INDEX(Fixed_Assets!$D$2:$D$201,$AB1036)&amp;"",IF($Z1036="F",INDEX(FTE_Allocation!$C$2:$C$201,$AB1036)&amp;"","")))</f>
        <v/>
      </c>
      <c r="D1036" s="7">
        <f>IF($Z1036="C",INDEX(Contracts!$B$2:$B$151,$AB1036)&amp;"",IF($Z1036="A",INDEX(Fixed_Assets!$B$2:$B$201,$AB1036)&amp;"",IF($Z1036="F",INDEX(FTE_Allocation!$B$2:$B$201,$AB1036)&amp;"","")))</f>
        <v/>
      </c>
      <c r="E1036" s="7">
        <f>IF($Z1036="C",INDEX(Contracts!$P$2:$P$151,$AB1036)&amp;"",IF($Z1036="A",INDEX(Fixed_Assets!$K$2:$K$201,$AB1036)&amp;"",IF($Z1036="F",IF(INDEX(FTE_Allocation!$D$2:$D$201,$AB1036)="PROJECT",IFERROR(INDEX(Projects!$D:$D,MATCH(INDEX(FTE_Allocation!$E$2:$E$201,$AB1036),Projects!$A:$A,0))&amp;"","#PROJECT?"),INDEX(FTE_Allocation!$E$2:$E$201,$AB1036)&amp;""),"")))</f>
        <v/>
      </c>
      <c r="F1036" s="7">
        <f>IF($Z1036="C",INDEX(Contracts!$Q$2:$Q$151,$AB1036)&amp;"",IF($Z1036="A",INDEX(Fixed_Assets!$L$2:$L$201,$AB1036)&amp;"",IF($Z1036="F",INDEX(Workforce!$K$2:$K$151,MATCH(INDEX(FTE_Allocation!$A$2:$A$201,$AB1036),Workforce!$A$2:$A$151,0))&amp;"","")))</f>
        <v/>
      </c>
      <c r="G1036" s="7">
        <f>IF($Z1036="C",INDEX(Contracts!$F$2:$F$151,$AB1036)&amp;" / "&amp;INDEX(Contracts!$G$2:$G$151,$AB1036),IF($Z1036="A",INDEX(Fixed_Assets!$E$2:$E$201,$AB1036)&amp;"",IF($Z1036="F","Personnel "&amp;INDEX(FTE_Allocation!$A$2:$A$201,$AB1036)&amp;IF(INDEX(FTE_Allocation!$D$2:$D$201,$AB1036)="PROJECT"," ("&amp;INDEX(FTE_Allocation!$E$2:$E$201,$AB1036)&amp;")",""),"")))</f>
        <v/>
      </c>
      <c r="H1036" s="7">
        <f>IF($Z1036="C","CONTRACT",IF($Z1036="A","ASSET",IF($Z1036="F","WORKFORCE","")))</f>
        <v/>
      </c>
      <c r="I1036" s="7">
        <f>IF($Z1036="C",INDEX(Contracts!$L$2:$L$151,$AB1036)&amp;"",IF($Z1036="A",INDEX(Fixed_Assets!$I$2:$I$201,$AB1036)&amp;"",IF($Z1036="F",INDEX(Workforce!$G$2:$G$151,MATCH(INDEX(FTE_Allocation!$A$2:$A$201,$AB1036),Workforce!$A$2:$A$151,0))&amp;"","")))</f>
        <v/>
      </c>
      <c r="J1036" s="18">
        <f>IF($Z1036="","",IF(AND(DATE($AD1036,1,1)&gt;=$AE1036,DATE($AD1036,1,1)&lt;=$AF1036),ROUND($AG1036,2),0))</f>
        <v/>
      </c>
      <c r="K1036" s="18">
        <f>IF($Z1036="","",IF(AND(DATE($AD1036,2,1)&gt;=$AE1036,DATE($AD1036,2,1)&lt;=$AF1036),ROUND($AG1036,2),0))</f>
        <v/>
      </c>
      <c r="L1036" s="18">
        <f>IF($Z1036="","",IF(AND(DATE($AD1036,3,1)&gt;=$AE1036,DATE($AD1036,3,1)&lt;=$AF1036),ROUND($AG1036,2),0))</f>
        <v/>
      </c>
      <c r="M1036" s="18">
        <f>IF($Z1036="","",IF(AND(DATE($AD1036,4,1)&gt;=$AE1036,DATE($AD1036,4,1)&lt;=$AF1036),ROUND($AG1036,2),0))</f>
        <v/>
      </c>
      <c r="N1036" s="18">
        <f>IF($Z1036="","",IF(AND(DATE($AD1036,5,1)&gt;=$AE1036,DATE($AD1036,5,1)&lt;=$AF1036),ROUND($AG1036,2),0))</f>
        <v/>
      </c>
      <c r="O1036" s="18">
        <f>IF($Z1036="","",IF(AND(DATE($AD1036,6,1)&gt;=$AE1036,DATE($AD1036,6,1)&lt;=$AF1036),ROUND($AG1036,2),0))</f>
        <v/>
      </c>
      <c r="P1036" s="18">
        <f>IF($Z1036="","",IF(AND(DATE($AD1036,7,1)&gt;=$AE1036,DATE($AD1036,7,1)&lt;=$AF1036),ROUND($AG1036,2),0))</f>
        <v/>
      </c>
      <c r="Q1036" s="18">
        <f>IF($Z1036="","",IF(AND(DATE($AD1036,8,1)&gt;=$AE1036,DATE($AD1036,8,1)&lt;=$AF1036),ROUND($AG1036,2),0))</f>
        <v/>
      </c>
      <c r="R1036" s="18">
        <f>IF($Z1036="","",IF(AND(DATE($AD1036,9,1)&gt;=$AE1036,DATE($AD1036,9,1)&lt;=$AF1036),ROUND($AG1036,2),0))</f>
        <v/>
      </c>
      <c r="S1036" s="18">
        <f>IF($Z1036="","",IF(AND(DATE($AD1036,10,1)&gt;=$AE1036,DATE($AD1036,10,1)&lt;=$AF1036),ROUND($AG1036,2),0))</f>
        <v/>
      </c>
      <c r="T1036" s="18">
        <f>IF($Z1036="","",IF(AND(DATE($AD1036,11,1)&gt;=$AE1036,DATE($AD1036,11,1)&lt;=$AF1036),ROUND($AG1036,2),0))</f>
        <v/>
      </c>
      <c r="U1036" s="18">
        <f>IF($Z1036="","",IF(AND(DATE($AD1036,12,1)&gt;=$AE1036,DATE($AD1036,12,1)&lt;=$AF1036),ROUND($AG1036,2),0))</f>
        <v/>
      </c>
      <c r="V1036" s="7">
        <f>IF($Z1036="C","Generated from "&amp;INDEX(Contracts!$A$2:$A$151,$AB1036),IF($Z1036="A","Generated from "&amp;INDEX(Fixed_Assets!$A$2:$A$201,$AB1036),IF($Z1036="F","Generated from "&amp;INDEX(FTE_Allocation!$A$2:$A$201,$AB1036),"")))</f>
        <v/>
      </c>
      <c r="X1036" s="19">
        <f>IF($Z1036="","",SUM(J1036:U1036))</f>
        <v/>
      </c>
      <c r="Y1036" s="20">
        <f>ROW()-1</f>
        <v/>
      </c>
      <c r="Z1036" s="20">
        <f>IF($Y1036&lt;=Settings!$B$4*3,"C",IF($Y1036&lt;=(Settings!$B$4+Settings!$B$5)*3,"A",IF($Y1036&lt;=(Settings!$B$4+Settings!$B$5+Settings!$B$6)*3,"F","")))</f>
        <v/>
      </c>
      <c r="AA1036" s="20">
        <f>IF($Z1036="C",$Y1036,IF($Z1036="A",$Y1036-Settings!$B$4*3,IF($Z1036="F",$Y1036-(Settings!$B$4+Settings!$B$5)*3,"")))</f>
        <v/>
      </c>
      <c r="AB1036" s="20">
        <f>IF($Z1036="","",INT(($AA1036-1)/3)+1)</f>
        <v/>
      </c>
      <c r="AC1036" s="20">
        <f>IF($Z1036="","",MOD($AA1036-1,3)+1)</f>
        <v/>
      </c>
      <c r="AD1036" s="20">
        <f>IF($Z1036="","",Settings!$B$2+$AC1036-1)</f>
        <v/>
      </c>
      <c r="AE1036" s="21">
        <f>IF($Z1036="C",DATE(YEAR(INDEX(Contracts!$J$2:$J$151,$AB1036)),MONTH(INDEX(Contracts!$J$2:$J$151,$AB1036)),1),IF($Z1036="A",DATE(YEAR(INDEX(Fixed_Assets!$G$2:$G$201,$AB1036)),MONTH(INDEX(Fixed_Assets!$G$2:$G$201,$AB1036)),1),IF($Z1036="F",DATE(YEAR(MAX(N(INDEX(Workforce!$I$2:$I$151,MATCH(INDEX(FTE_Allocation!$A$2:$A$201,$AB1036),Workforce!$A$2:$A$151,0))),N(INDEX(FTE_Allocation!$I$2:$I$201,$AB1036)))),MONTH(MAX(N(INDEX(Workforce!$I$2:$I$151,MATCH(INDEX(FTE_Allocation!$A$2:$A$201,$AB1036),Workforce!$A$2:$A$151,0))),N(INDEX(FTE_Allocation!$I$2:$I$201,$AB1036)))),1),"")))</f>
        <v/>
      </c>
      <c r="AF1036" s="21">
        <f>IF($Z1036="C",IF(INDEX(Contracts!$I$2:$I$151,$AB1036)="PREPAID",EDATE(DATE(YEAR(INDEX(Contracts!$J$2:$J$151,$AB1036)),MONTH(INDEX(Contracts!$J$2:$J$151,$AB1036)),1),IF(INDEX(Contracts!$N$2:$N$151,$AB1036)="",12,INDEX(Contracts!$N$2:$N$151,$AB1036))-1),IF(INDEX(Contracts!$I$2:$I$151,$AB1036)="MONTHLY",IF(INDEX(Contracts!$K$2:$K$151,$AB1036)="",2958101,INDEX(Contracts!$K$2:$K$151,$AB1036)),0)),IF($Z1036="A",EDATE(DATE(YEAR(INDEX(Fixed_Assets!$G$2:$G$201,$AB1036)),MONTH(INDEX(Fixed_Assets!$G$2:$G$201,$AB1036)),1),INDEX(Fixed_Assets!$J$2:$J$201,$AB1036)-1),IF($Z1036="F",MIN(IF(INDEX(Workforce!$J$2:$J$151,MATCH(INDEX(FTE_Allocation!$A$2:$A$201,$AB1036),Workforce!$A$2:$A$151,0))="",2958101,INDEX(Workforce!$J$2:$J$151,MATCH(INDEX(FTE_Allocation!$A$2:$A$201,$AB1036),Workforce!$A$2:$A$151,0))),IF(INDEX(FTE_Allocation!$J$2:$J$201,$AB1036)="",2958101,INDEX(FTE_Allocation!$J$2:$J$201,$AB1036))),"")))</f>
        <v/>
      </c>
      <c r="AG1036" s="19">
        <f>IF($Z1036="C",IF(INDEX(Contracts!$I$2:$I$151,$AB1036)="PREPAID",INDEX(Contracts!$M$2:$M$151,$AB1036)/IF(INDEX(Contracts!$N$2:$N$151,$AB1036)="",12,INDEX(Contracts!$N$2:$N$151,$AB1036)),IF(INDEX(Contracts!$I$2:$I$151,$AB1036)="MONTHLY",INDEX(Contracts!$M$2:$M$151,$AB1036),0))*(1-N(INDEX(Contracts!$O$2:$O$151,$AB1036))),IF($Z1036="A",INDEX(Fixed_Assets!$H$2:$H$201,$AB1036)/INDEX(Fixed_Assets!$J$2:$J$201,$AB1036),IF($Z1036="F",INDEX(Workforce!$F$2:$F$151,MATCH(INDEX(FTE_Allocation!$A$2:$A$201,$AB1036),Workforce!$A$2:$A$151,0))*N(INDEX(FTE_Allocation!$F$2:$H$201,$AB1036,$AC1036)),"")))</f>
        <v/>
      </c>
    </row>
    <row r="1037">
      <c r="A1037" s="7">
        <f>IF($Z1037="","",$AD1037)</f>
        <v/>
      </c>
      <c r="B1037" s="7">
        <f>IF($Z1037="C",INDEX(Contracts!$D$2:$D$151,$AB1037)&amp;"",IF($Z1037="A",INDEX(Fixed_Assets!$C$2:$C$201,$AB1037)&amp;"",IF($Z1037="F",INDEX(Workforce!$B$2:$B$151,MATCH(INDEX(FTE_Allocation!$A$2:$A$201,$AB1037),Workforce!$A$2:$A$151,0))&amp;"","")))</f>
        <v/>
      </c>
      <c r="C1037" s="7">
        <f>IF($Z1037="C",INDEX(Contracts!$E$2:$E$151,$AB1037)&amp;"",IF($Z1037="A",INDEX(Fixed_Assets!$D$2:$D$201,$AB1037)&amp;"",IF($Z1037="F",INDEX(FTE_Allocation!$C$2:$C$201,$AB1037)&amp;"","")))</f>
        <v/>
      </c>
      <c r="D1037" s="7">
        <f>IF($Z1037="C",INDEX(Contracts!$B$2:$B$151,$AB1037)&amp;"",IF($Z1037="A",INDEX(Fixed_Assets!$B$2:$B$201,$AB1037)&amp;"",IF($Z1037="F",INDEX(FTE_Allocation!$B$2:$B$201,$AB1037)&amp;"","")))</f>
        <v/>
      </c>
      <c r="E1037" s="7">
        <f>IF($Z1037="C",INDEX(Contracts!$P$2:$P$151,$AB1037)&amp;"",IF($Z1037="A",INDEX(Fixed_Assets!$K$2:$K$201,$AB1037)&amp;"",IF($Z1037="F",IF(INDEX(FTE_Allocation!$D$2:$D$201,$AB1037)="PROJECT",IFERROR(INDEX(Projects!$D:$D,MATCH(INDEX(FTE_Allocation!$E$2:$E$201,$AB1037),Projects!$A:$A,0))&amp;"","#PROJECT?"),INDEX(FTE_Allocation!$E$2:$E$201,$AB1037)&amp;""),"")))</f>
        <v/>
      </c>
      <c r="F1037" s="7">
        <f>IF($Z1037="C",INDEX(Contracts!$Q$2:$Q$151,$AB1037)&amp;"",IF($Z1037="A",INDEX(Fixed_Assets!$L$2:$L$201,$AB1037)&amp;"",IF($Z1037="F",INDEX(Workforce!$K$2:$K$151,MATCH(INDEX(FTE_Allocation!$A$2:$A$201,$AB1037),Workforce!$A$2:$A$151,0))&amp;"","")))</f>
        <v/>
      </c>
      <c r="G1037" s="7">
        <f>IF($Z1037="C",INDEX(Contracts!$F$2:$F$151,$AB1037)&amp;" / "&amp;INDEX(Contracts!$G$2:$G$151,$AB1037),IF($Z1037="A",INDEX(Fixed_Assets!$E$2:$E$201,$AB1037)&amp;"",IF($Z1037="F","Personnel "&amp;INDEX(FTE_Allocation!$A$2:$A$201,$AB1037)&amp;IF(INDEX(FTE_Allocation!$D$2:$D$201,$AB1037)="PROJECT"," ("&amp;INDEX(FTE_Allocation!$E$2:$E$201,$AB1037)&amp;")",""),"")))</f>
        <v/>
      </c>
      <c r="H1037" s="7">
        <f>IF($Z1037="C","CONTRACT",IF($Z1037="A","ASSET",IF($Z1037="F","WORKFORCE","")))</f>
        <v/>
      </c>
      <c r="I1037" s="7">
        <f>IF($Z1037="C",INDEX(Contracts!$L$2:$L$151,$AB1037)&amp;"",IF($Z1037="A",INDEX(Fixed_Assets!$I$2:$I$201,$AB1037)&amp;"",IF($Z1037="F",INDEX(Workforce!$G$2:$G$151,MATCH(INDEX(FTE_Allocation!$A$2:$A$201,$AB1037),Workforce!$A$2:$A$151,0))&amp;"","")))</f>
        <v/>
      </c>
      <c r="J1037" s="18">
        <f>IF($Z1037="","",IF(AND(DATE($AD1037,1,1)&gt;=$AE1037,DATE($AD1037,1,1)&lt;=$AF1037),ROUND($AG1037,2),0))</f>
        <v/>
      </c>
      <c r="K1037" s="18">
        <f>IF($Z1037="","",IF(AND(DATE($AD1037,2,1)&gt;=$AE1037,DATE($AD1037,2,1)&lt;=$AF1037),ROUND($AG1037,2),0))</f>
        <v/>
      </c>
      <c r="L1037" s="18">
        <f>IF($Z1037="","",IF(AND(DATE($AD1037,3,1)&gt;=$AE1037,DATE($AD1037,3,1)&lt;=$AF1037),ROUND($AG1037,2),0))</f>
        <v/>
      </c>
      <c r="M1037" s="18">
        <f>IF($Z1037="","",IF(AND(DATE($AD1037,4,1)&gt;=$AE1037,DATE($AD1037,4,1)&lt;=$AF1037),ROUND($AG1037,2),0))</f>
        <v/>
      </c>
      <c r="N1037" s="18">
        <f>IF($Z1037="","",IF(AND(DATE($AD1037,5,1)&gt;=$AE1037,DATE($AD1037,5,1)&lt;=$AF1037),ROUND($AG1037,2),0))</f>
        <v/>
      </c>
      <c r="O1037" s="18">
        <f>IF($Z1037="","",IF(AND(DATE($AD1037,6,1)&gt;=$AE1037,DATE($AD1037,6,1)&lt;=$AF1037),ROUND($AG1037,2),0))</f>
        <v/>
      </c>
      <c r="P1037" s="18">
        <f>IF($Z1037="","",IF(AND(DATE($AD1037,7,1)&gt;=$AE1037,DATE($AD1037,7,1)&lt;=$AF1037),ROUND($AG1037,2),0))</f>
        <v/>
      </c>
      <c r="Q1037" s="18">
        <f>IF($Z1037="","",IF(AND(DATE($AD1037,8,1)&gt;=$AE1037,DATE($AD1037,8,1)&lt;=$AF1037),ROUND($AG1037,2),0))</f>
        <v/>
      </c>
      <c r="R1037" s="18">
        <f>IF($Z1037="","",IF(AND(DATE($AD1037,9,1)&gt;=$AE1037,DATE($AD1037,9,1)&lt;=$AF1037),ROUND($AG1037,2),0))</f>
        <v/>
      </c>
      <c r="S1037" s="18">
        <f>IF($Z1037="","",IF(AND(DATE($AD1037,10,1)&gt;=$AE1037,DATE($AD1037,10,1)&lt;=$AF1037),ROUND($AG1037,2),0))</f>
        <v/>
      </c>
      <c r="T1037" s="18">
        <f>IF($Z1037="","",IF(AND(DATE($AD1037,11,1)&gt;=$AE1037,DATE($AD1037,11,1)&lt;=$AF1037),ROUND($AG1037,2),0))</f>
        <v/>
      </c>
      <c r="U1037" s="18">
        <f>IF($Z1037="","",IF(AND(DATE($AD1037,12,1)&gt;=$AE1037,DATE($AD1037,12,1)&lt;=$AF1037),ROUND($AG1037,2),0))</f>
        <v/>
      </c>
      <c r="V1037" s="7">
        <f>IF($Z1037="C","Generated from "&amp;INDEX(Contracts!$A$2:$A$151,$AB1037),IF($Z1037="A","Generated from "&amp;INDEX(Fixed_Assets!$A$2:$A$201,$AB1037),IF($Z1037="F","Generated from "&amp;INDEX(FTE_Allocation!$A$2:$A$201,$AB1037),"")))</f>
        <v/>
      </c>
      <c r="X1037" s="19">
        <f>IF($Z1037="","",SUM(J1037:U1037))</f>
        <v/>
      </c>
      <c r="Y1037" s="20">
        <f>ROW()-1</f>
        <v/>
      </c>
      <c r="Z1037" s="20">
        <f>IF($Y1037&lt;=Settings!$B$4*3,"C",IF($Y1037&lt;=(Settings!$B$4+Settings!$B$5)*3,"A",IF($Y1037&lt;=(Settings!$B$4+Settings!$B$5+Settings!$B$6)*3,"F","")))</f>
        <v/>
      </c>
      <c r="AA1037" s="20">
        <f>IF($Z1037="C",$Y1037,IF($Z1037="A",$Y1037-Settings!$B$4*3,IF($Z1037="F",$Y1037-(Settings!$B$4+Settings!$B$5)*3,"")))</f>
        <v/>
      </c>
      <c r="AB1037" s="20">
        <f>IF($Z1037="","",INT(($AA1037-1)/3)+1)</f>
        <v/>
      </c>
      <c r="AC1037" s="20">
        <f>IF($Z1037="","",MOD($AA1037-1,3)+1)</f>
        <v/>
      </c>
      <c r="AD1037" s="20">
        <f>IF($Z1037="","",Settings!$B$2+$AC1037-1)</f>
        <v/>
      </c>
      <c r="AE1037" s="21">
        <f>IF($Z1037="C",DATE(YEAR(INDEX(Contracts!$J$2:$J$151,$AB1037)),MONTH(INDEX(Contracts!$J$2:$J$151,$AB1037)),1),IF($Z1037="A",DATE(YEAR(INDEX(Fixed_Assets!$G$2:$G$201,$AB1037)),MONTH(INDEX(Fixed_Assets!$G$2:$G$201,$AB1037)),1),IF($Z1037="F",DATE(YEAR(MAX(N(INDEX(Workforce!$I$2:$I$151,MATCH(INDEX(FTE_Allocation!$A$2:$A$201,$AB1037),Workforce!$A$2:$A$151,0))),N(INDEX(FTE_Allocation!$I$2:$I$201,$AB1037)))),MONTH(MAX(N(INDEX(Workforce!$I$2:$I$151,MATCH(INDEX(FTE_Allocation!$A$2:$A$201,$AB1037),Workforce!$A$2:$A$151,0))),N(INDEX(FTE_Allocation!$I$2:$I$201,$AB1037)))),1),"")))</f>
        <v/>
      </c>
      <c r="AF1037" s="21">
        <f>IF($Z1037="C",IF(INDEX(Contracts!$I$2:$I$151,$AB1037)="PREPAID",EDATE(DATE(YEAR(INDEX(Contracts!$J$2:$J$151,$AB1037)),MONTH(INDEX(Contracts!$J$2:$J$151,$AB1037)),1),IF(INDEX(Contracts!$N$2:$N$151,$AB1037)="",12,INDEX(Contracts!$N$2:$N$151,$AB1037))-1),IF(INDEX(Contracts!$I$2:$I$151,$AB1037)="MONTHLY",IF(INDEX(Contracts!$K$2:$K$151,$AB1037)="",2958101,INDEX(Contracts!$K$2:$K$151,$AB1037)),0)),IF($Z1037="A",EDATE(DATE(YEAR(INDEX(Fixed_Assets!$G$2:$G$201,$AB1037)),MONTH(INDEX(Fixed_Assets!$G$2:$G$201,$AB1037)),1),INDEX(Fixed_Assets!$J$2:$J$201,$AB1037)-1),IF($Z1037="F",MIN(IF(INDEX(Workforce!$J$2:$J$151,MATCH(INDEX(FTE_Allocation!$A$2:$A$201,$AB1037),Workforce!$A$2:$A$151,0))="",2958101,INDEX(Workforce!$J$2:$J$151,MATCH(INDEX(FTE_Allocation!$A$2:$A$201,$AB1037),Workforce!$A$2:$A$151,0))),IF(INDEX(FTE_Allocation!$J$2:$J$201,$AB1037)="",2958101,INDEX(FTE_Allocation!$J$2:$J$201,$AB1037))),"")))</f>
        <v/>
      </c>
      <c r="AG1037" s="19">
        <f>IF($Z1037="C",IF(INDEX(Contracts!$I$2:$I$151,$AB1037)="PREPAID",INDEX(Contracts!$M$2:$M$151,$AB1037)/IF(INDEX(Contracts!$N$2:$N$151,$AB1037)="",12,INDEX(Contracts!$N$2:$N$151,$AB1037)),IF(INDEX(Contracts!$I$2:$I$151,$AB1037)="MONTHLY",INDEX(Contracts!$M$2:$M$151,$AB1037),0))*(1-N(INDEX(Contracts!$O$2:$O$151,$AB1037))),IF($Z1037="A",INDEX(Fixed_Assets!$H$2:$H$201,$AB1037)/INDEX(Fixed_Assets!$J$2:$J$201,$AB1037),IF($Z1037="F",INDEX(Workforce!$F$2:$F$151,MATCH(INDEX(FTE_Allocation!$A$2:$A$201,$AB1037),Workforce!$A$2:$A$151,0))*N(INDEX(FTE_Allocation!$F$2:$H$201,$AB1037,$AC1037)),"")))</f>
        <v/>
      </c>
    </row>
    <row r="1038">
      <c r="A1038" s="7">
        <f>IF($Z1038="","",$AD1038)</f>
        <v/>
      </c>
      <c r="B1038" s="7">
        <f>IF($Z1038="C",INDEX(Contracts!$D$2:$D$151,$AB1038)&amp;"",IF($Z1038="A",INDEX(Fixed_Assets!$C$2:$C$201,$AB1038)&amp;"",IF($Z1038="F",INDEX(Workforce!$B$2:$B$151,MATCH(INDEX(FTE_Allocation!$A$2:$A$201,$AB1038),Workforce!$A$2:$A$151,0))&amp;"","")))</f>
        <v/>
      </c>
      <c r="C1038" s="7">
        <f>IF($Z1038="C",INDEX(Contracts!$E$2:$E$151,$AB1038)&amp;"",IF($Z1038="A",INDEX(Fixed_Assets!$D$2:$D$201,$AB1038)&amp;"",IF($Z1038="F",INDEX(FTE_Allocation!$C$2:$C$201,$AB1038)&amp;"","")))</f>
        <v/>
      </c>
      <c r="D1038" s="7">
        <f>IF($Z1038="C",INDEX(Contracts!$B$2:$B$151,$AB1038)&amp;"",IF($Z1038="A",INDEX(Fixed_Assets!$B$2:$B$201,$AB1038)&amp;"",IF($Z1038="F",INDEX(FTE_Allocation!$B$2:$B$201,$AB1038)&amp;"","")))</f>
        <v/>
      </c>
      <c r="E1038" s="7">
        <f>IF($Z1038="C",INDEX(Contracts!$P$2:$P$151,$AB1038)&amp;"",IF($Z1038="A",INDEX(Fixed_Assets!$K$2:$K$201,$AB1038)&amp;"",IF($Z1038="F",IF(INDEX(FTE_Allocation!$D$2:$D$201,$AB1038)="PROJECT",IFERROR(INDEX(Projects!$D:$D,MATCH(INDEX(FTE_Allocation!$E$2:$E$201,$AB1038),Projects!$A:$A,0))&amp;"","#PROJECT?"),INDEX(FTE_Allocation!$E$2:$E$201,$AB1038)&amp;""),"")))</f>
        <v/>
      </c>
      <c r="F1038" s="7">
        <f>IF($Z1038="C",INDEX(Contracts!$Q$2:$Q$151,$AB1038)&amp;"",IF($Z1038="A",INDEX(Fixed_Assets!$L$2:$L$201,$AB1038)&amp;"",IF($Z1038="F",INDEX(Workforce!$K$2:$K$151,MATCH(INDEX(FTE_Allocation!$A$2:$A$201,$AB1038),Workforce!$A$2:$A$151,0))&amp;"","")))</f>
        <v/>
      </c>
      <c r="G1038" s="7">
        <f>IF($Z1038="C",INDEX(Contracts!$F$2:$F$151,$AB1038)&amp;" / "&amp;INDEX(Contracts!$G$2:$G$151,$AB1038),IF($Z1038="A",INDEX(Fixed_Assets!$E$2:$E$201,$AB1038)&amp;"",IF($Z1038="F","Personnel "&amp;INDEX(FTE_Allocation!$A$2:$A$201,$AB1038)&amp;IF(INDEX(FTE_Allocation!$D$2:$D$201,$AB1038)="PROJECT"," ("&amp;INDEX(FTE_Allocation!$E$2:$E$201,$AB1038)&amp;")",""),"")))</f>
        <v/>
      </c>
      <c r="H1038" s="7">
        <f>IF($Z1038="C","CONTRACT",IF($Z1038="A","ASSET",IF($Z1038="F","WORKFORCE","")))</f>
        <v/>
      </c>
      <c r="I1038" s="7">
        <f>IF($Z1038="C",INDEX(Contracts!$L$2:$L$151,$AB1038)&amp;"",IF($Z1038="A",INDEX(Fixed_Assets!$I$2:$I$201,$AB1038)&amp;"",IF($Z1038="F",INDEX(Workforce!$G$2:$G$151,MATCH(INDEX(FTE_Allocation!$A$2:$A$201,$AB1038),Workforce!$A$2:$A$151,0))&amp;"","")))</f>
        <v/>
      </c>
      <c r="J1038" s="18">
        <f>IF($Z1038="","",IF(AND(DATE($AD1038,1,1)&gt;=$AE1038,DATE($AD1038,1,1)&lt;=$AF1038),ROUND($AG1038,2),0))</f>
        <v/>
      </c>
      <c r="K1038" s="18">
        <f>IF($Z1038="","",IF(AND(DATE($AD1038,2,1)&gt;=$AE1038,DATE($AD1038,2,1)&lt;=$AF1038),ROUND($AG1038,2),0))</f>
        <v/>
      </c>
      <c r="L1038" s="18">
        <f>IF($Z1038="","",IF(AND(DATE($AD1038,3,1)&gt;=$AE1038,DATE($AD1038,3,1)&lt;=$AF1038),ROUND($AG1038,2),0))</f>
        <v/>
      </c>
      <c r="M1038" s="18">
        <f>IF($Z1038="","",IF(AND(DATE($AD1038,4,1)&gt;=$AE1038,DATE($AD1038,4,1)&lt;=$AF1038),ROUND($AG1038,2),0))</f>
        <v/>
      </c>
      <c r="N1038" s="18">
        <f>IF($Z1038="","",IF(AND(DATE($AD1038,5,1)&gt;=$AE1038,DATE($AD1038,5,1)&lt;=$AF1038),ROUND($AG1038,2),0))</f>
        <v/>
      </c>
      <c r="O1038" s="18">
        <f>IF($Z1038="","",IF(AND(DATE($AD1038,6,1)&gt;=$AE1038,DATE($AD1038,6,1)&lt;=$AF1038),ROUND($AG1038,2),0))</f>
        <v/>
      </c>
      <c r="P1038" s="18">
        <f>IF($Z1038="","",IF(AND(DATE($AD1038,7,1)&gt;=$AE1038,DATE($AD1038,7,1)&lt;=$AF1038),ROUND($AG1038,2),0))</f>
        <v/>
      </c>
      <c r="Q1038" s="18">
        <f>IF($Z1038="","",IF(AND(DATE($AD1038,8,1)&gt;=$AE1038,DATE($AD1038,8,1)&lt;=$AF1038),ROUND($AG1038,2),0))</f>
        <v/>
      </c>
      <c r="R1038" s="18">
        <f>IF($Z1038="","",IF(AND(DATE($AD1038,9,1)&gt;=$AE1038,DATE($AD1038,9,1)&lt;=$AF1038),ROUND($AG1038,2),0))</f>
        <v/>
      </c>
      <c r="S1038" s="18">
        <f>IF($Z1038="","",IF(AND(DATE($AD1038,10,1)&gt;=$AE1038,DATE($AD1038,10,1)&lt;=$AF1038),ROUND($AG1038,2),0))</f>
        <v/>
      </c>
      <c r="T1038" s="18">
        <f>IF($Z1038="","",IF(AND(DATE($AD1038,11,1)&gt;=$AE1038,DATE($AD1038,11,1)&lt;=$AF1038),ROUND($AG1038,2),0))</f>
        <v/>
      </c>
      <c r="U1038" s="18">
        <f>IF($Z1038="","",IF(AND(DATE($AD1038,12,1)&gt;=$AE1038,DATE($AD1038,12,1)&lt;=$AF1038),ROUND($AG1038,2),0))</f>
        <v/>
      </c>
      <c r="V1038" s="7">
        <f>IF($Z1038="C","Generated from "&amp;INDEX(Contracts!$A$2:$A$151,$AB1038),IF($Z1038="A","Generated from "&amp;INDEX(Fixed_Assets!$A$2:$A$201,$AB1038),IF($Z1038="F","Generated from "&amp;INDEX(FTE_Allocation!$A$2:$A$201,$AB1038),"")))</f>
        <v/>
      </c>
      <c r="X1038" s="19">
        <f>IF($Z1038="","",SUM(J1038:U1038))</f>
        <v/>
      </c>
      <c r="Y1038" s="20">
        <f>ROW()-1</f>
        <v/>
      </c>
      <c r="Z1038" s="20">
        <f>IF($Y1038&lt;=Settings!$B$4*3,"C",IF($Y1038&lt;=(Settings!$B$4+Settings!$B$5)*3,"A",IF($Y1038&lt;=(Settings!$B$4+Settings!$B$5+Settings!$B$6)*3,"F","")))</f>
        <v/>
      </c>
      <c r="AA1038" s="20">
        <f>IF($Z1038="C",$Y1038,IF($Z1038="A",$Y1038-Settings!$B$4*3,IF($Z1038="F",$Y1038-(Settings!$B$4+Settings!$B$5)*3,"")))</f>
        <v/>
      </c>
      <c r="AB1038" s="20">
        <f>IF($Z1038="","",INT(($AA1038-1)/3)+1)</f>
        <v/>
      </c>
      <c r="AC1038" s="20">
        <f>IF($Z1038="","",MOD($AA1038-1,3)+1)</f>
        <v/>
      </c>
      <c r="AD1038" s="20">
        <f>IF($Z1038="","",Settings!$B$2+$AC1038-1)</f>
        <v/>
      </c>
      <c r="AE1038" s="21">
        <f>IF($Z1038="C",DATE(YEAR(INDEX(Contracts!$J$2:$J$151,$AB1038)),MONTH(INDEX(Contracts!$J$2:$J$151,$AB1038)),1),IF($Z1038="A",DATE(YEAR(INDEX(Fixed_Assets!$G$2:$G$201,$AB1038)),MONTH(INDEX(Fixed_Assets!$G$2:$G$201,$AB1038)),1),IF($Z1038="F",DATE(YEAR(MAX(N(INDEX(Workforce!$I$2:$I$151,MATCH(INDEX(FTE_Allocation!$A$2:$A$201,$AB1038),Workforce!$A$2:$A$151,0))),N(INDEX(FTE_Allocation!$I$2:$I$201,$AB1038)))),MONTH(MAX(N(INDEX(Workforce!$I$2:$I$151,MATCH(INDEX(FTE_Allocation!$A$2:$A$201,$AB1038),Workforce!$A$2:$A$151,0))),N(INDEX(FTE_Allocation!$I$2:$I$201,$AB1038)))),1),"")))</f>
        <v/>
      </c>
      <c r="AF1038" s="21">
        <f>IF($Z1038="C",IF(INDEX(Contracts!$I$2:$I$151,$AB1038)="PREPAID",EDATE(DATE(YEAR(INDEX(Contracts!$J$2:$J$151,$AB1038)),MONTH(INDEX(Contracts!$J$2:$J$151,$AB1038)),1),IF(INDEX(Contracts!$N$2:$N$151,$AB1038)="",12,INDEX(Contracts!$N$2:$N$151,$AB1038))-1),IF(INDEX(Contracts!$I$2:$I$151,$AB1038)="MONTHLY",IF(INDEX(Contracts!$K$2:$K$151,$AB1038)="",2958101,INDEX(Contracts!$K$2:$K$151,$AB1038)),0)),IF($Z1038="A",EDATE(DATE(YEAR(INDEX(Fixed_Assets!$G$2:$G$201,$AB1038)),MONTH(INDEX(Fixed_Assets!$G$2:$G$201,$AB1038)),1),INDEX(Fixed_Assets!$J$2:$J$201,$AB1038)-1),IF($Z1038="F",MIN(IF(INDEX(Workforce!$J$2:$J$151,MATCH(INDEX(FTE_Allocation!$A$2:$A$201,$AB1038),Workforce!$A$2:$A$151,0))="",2958101,INDEX(Workforce!$J$2:$J$151,MATCH(INDEX(FTE_Allocation!$A$2:$A$201,$AB1038),Workforce!$A$2:$A$151,0))),IF(INDEX(FTE_Allocation!$J$2:$J$201,$AB1038)="",2958101,INDEX(FTE_Allocation!$J$2:$J$201,$AB1038))),"")))</f>
        <v/>
      </c>
      <c r="AG1038" s="19">
        <f>IF($Z1038="C",IF(INDEX(Contracts!$I$2:$I$151,$AB1038)="PREPAID",INDEX(Contracts!$M$2:$M$151,$AB1038)/IF(INDEX(Contracts!$N$2:$N$151,$AB1038)="",12,INDEX(Contracts!$N$2:$N$151,$AB1038)),IF(INDEX(Contracts!$I$2:$I$151,$AB1038)="MONTHLY",INDEX(Contracts!$M$2:$M$151,$AB1038),0))*(1-N(INDEX(Contracts!$O$2:$O$151,$AB1038))),IF($Z1038="A",INDEX(Fixed_Assets!$H$2:$H$201,$AB1038)/INDEX(Fixed_Assets!$J$2:$J$201,$AB1038),IF($Z1038="F",INDEX(Workforce!$F$2:$F$151,MATCH(INDEX(FTE_Allocation!$A$2:$A$201,$AB1038),Workforce!$A$2:$A$151,0))*N(INDEX(FTE_Allocation!$F$2:$H$201,$AB1038,$AC1038)),"")))</f>
        <v/>
      </c>
    </row>
    <row r="1039">
      <c r="A1039" s="7">
        <f>IF($Z1039="","",$AD1039)</f>
        <v/>
      </c>
      <c r="B1039" s="7">
        <f>IF($Z1039="C",INDEX(Contracts!$D$2:$D$151,$AB1039)&amp;"",IF($Z1039="A",INDEX(Fixed_Assets!$C$2:$C$201,$AB1039)&amp;"",IF($Z1039="F",INDEX(Workforce!$B$2:$B$151,MATCH(INDEX(FTE_Allocation!$A$2:$A$201,$AB1039),Workforce!$A$2:$A$151,0))&amp;"","")))</f>
        <v/>
      </c>
      <c r="C1039" s="7">
        <f>IF($Z1039="C",INDEX(Contracts!$E$2:$E$151,$AB1039)&amp;"",IF($Z1039="A",INDEX(Fixed_Assets!$D$2:$D$201,$AB1039)&amp;"",IF($Z1039="F",INDEX(FTE_Allocation!$C$2:$C$201,$AB1039)&amp;"","")))</f>
        <v/>
      </c>
      <c r="D1039" s="7">
        <f>IF($Z1039="C",INDEX(Contracts!$B$2:$B$151,$AB1039)&amp;"",IF($Z1039="A",INDEX(Fixed_Assets!$B$2:$B$201,$AB1039)&amp;"",IF($Z1039="F",INDEX(FTE_Allocation!$B$2:$B$201,$AB1039)&amp;"","")))</f>
        <v/>
      </c>
      <c r="E1039" s="7">
        <f>IF($Z1039="C",INDEX(Contracts!$P$2:$P$151,$AB1039)&amp;"",IF($Z1039="A",INDEX(Fixed_Assets!$K$2:$K$201,$AB1039)&amp;"",IF($Z1039="F",IF(INDEX(FTE_Allocation!$D$2:$D$201,$AB1039)="PROJECT",IFERROR(INDEX(Projects!$D:$D,MATCH(INDEX(FTE_Allocation!$E$2:$E$201,$AB1039),Projects!$A:$A,0))&amp;"","#PROJECT?"),INDEX(FTE_Allocation!$E$2:$E$201,$AB1039)&amp;""),"")))</f>
        <v/>
      </c>
      <c r="F1039" s="7">
        <f>IF($Z1039="C",INDEX(Contracts!$Q$2:$Q$151,$AB1039)&amp;"",IF($Z1039="A",INDEX(Fixed_Assets!$L$2:$L$201,$AB1039)&amp;"",IF($Z1039="F",INDEX(Workforce!$K$2:$K$151,MATCH(INDEX(FTE_Allocation!$A$2:$A$201,$AB1039),Workforce!$A$2:$A$151,0))&amp;"","")))</f>
        <v/>
      </c>
      <c r="G1039" s="7">
        <f>IF($Z1039="C",INDEX(Contracts!$F$2:$F$151,$AB1039)&amp;" / "&amp;INDEX(Contracts!$G$2:$G$151,$AB1039),IF($Z1039="A",INDEX(Fixed_Assets!$E$2:$E$201,$AB1039)&amp;"",IF($Z1039="F","Personnel "&amp;INDEX(FTE_Allocation!$A$2:$A$201,$AB1039)&amp;IF(INDEX(FTE_Allocation!$D$2:$D$201,$AB1039)="PROJECT"," ("&amp;INDEX(FTE_Allocation!$E$2:$E$201,$AB1039)&amp;")",""),"")))</f>
        <v/>
      </c>
      <c r="H1039" s="7">
        <f>IF($Z1039="C","CONTRACT",IF($Z1039="A","ASSET",IF($Z1039="F","WORKFORCE","")))</f>
        <v/>
      </c>
      <c r="I1039" s="7">
        <f>IF($Z1039="C",INDEX(Contracts!$L$2:$L$151,$AB1039)&amp;"",IF($Z1039="A",INDEX(Fixed_Assets!$I$2:$I$201,$AB1039)&amp;"",IF($Z1039="F",INDEX(Workforce!$G$2:$G$151,MATCH(INDEX(FTE_Allocation!$A$2:$A$201,$AB1039),Workforce!$A$2:$A$151,0))&amp;"","")))</f>
        <v/>
      </c>
      <c r="J1039" s="18">
        <f>IF($Z1039="","",IF(AND(DATE($AD1039,1,1)&gt;=$AE1039,DATE($AD1039,1,1)&lt;=$AF1039),ROUND($AG1039,2),0))</f>
        <v/>
      </c>
      <c r="K1039" s="18">
        <f>IF($Z1039="","",IF(AND(DATE($AD1039,2,1)&gt;=$AE1039,DATE($AD1039,2,1)&lt;=$AF1039),ROUND($AG1039,2),0))</f>
        <v/>
      </c>
      <c r="L1039" s="18">
        <f>IF($Z1039="","",IF(AND(DATE($AD1039,3,1)&gt;=$AE1039,DATE($AD1039,3,1)&lt;=$AF1039),ROUND($AG1039,2),0))</f>
        <v/>
      </c>
      <c r="M1039" s="18">
        <f>IF($Z1039="","",IF(AND(DATE($AD1039,4,1)&gt;=$AE1039,DATE($AD1039,4,1)&lt;=$AF1039),ROUND($AG1039,2),0))</f>
        <v/>
      </c>
      <c r="N1039" s="18">
        <f>IF($Z1039="","",IF(AND(DATE($AD1039,5,1)&gt;=$AE1039,DATE($AD1039,5,1)&lt;=$AF1039),ROUND($AG1039,2),0))</f>
        <v/>
      </c>
      <c r="O1039" s="18">
        <f>IF($Z1039="","",IF(AND(DATE($AD1039,6,1)&gt;=$AE1039,DATE($AD1039,6,1)&lt;=$AF1039),ROUND($AG1039,2),0))</f>
        <v/>
      </c>
      <c r="P1039" s="18">
        <f>IF($Z1039="","",IF(AND(DATE($AD1039,7,1)&gt;=$AE1039,DATE($AD1039,7,1)&lt;=$AF1039),ROUND($AG1039,2),0))</f>
        <v/>
      </c>
      <c r="Q1039" s="18">
        <f>IF($Z1039="","",IF(AND(DATE($AD1039,8,1)&gt;=$AE1039,DATE($AD1039,8,1)&lt;=$AF1039),ROUND($AG1039,2),0))</f>
        <v/>
      </c>
      <c r="R1039" s="18">
        <f>IF($Z1039="","",IF(AND(DATE($AD1039,9,1)&gt;=$AE1039,DATE($AD1039,9,1)&lt;=$AF1039),ROUND($AG1039,2),0))</f>
        <v/>
      </c>
      <c r="S1039" s="18">
        <f>IF($Z1039="","",IF(AND(DATE($AD1039,10,1)&gt;=$AE1039,DATE($AD1039,10,1)&lt;=$AF1039),ROUND($AG1039,2),0))</f>
        <v/>
      </c>
      <c r="T1039" s="18">
        <f>IF($Z1039="","",IF(AND(DATE($AD1039,11,1)&gt;=$AE1039,DATE($AD1039,11,1)&lt;=$AF1039),ROUND($AG1039,2),0))</f>
        <v/>
      </c>
      <c r="U1039" s="18">
        <f>IF($Z1039="","",IF(AND(DATE($AD1039,12,1)&gt;=$AE1039,DATE($AD1039,12,1)&lt;=$AF1039),ROUND($AG1039,2),0))</f>
        <v/>
      </c>
      <c r="V1039" s="7">
        <f>IF($Z1039="C","Generated from "&amp;INDEX(Contracts!$A$2:$A$151,$AB1039),IF($Z1039="A","Generated from "&amp;INDEX(Fixed_Assets!$A$2:$A$201,$AB1039),IF($Z1039="F","Generated from "&amp;INDEX(FTE_Allocation!$A$2:$A$201,$AB1039),"")))</f>
        <v/>
      </c>
      <c r="X1039" s="19">
        <f>IF($Z1039="","",SUM(J1039:U1039))</f>
        <v/>
      </c>
      <c r="Y1039" s="20">
        <f>ROW()-1</f>
        <v/>
      </c>
      <c r="Z1039" s="20">
        <f>IF($Y1039&lt;=Settings!$B$4*3,"C",IF($Y1039&lt;=(Settings!$B$4+Settings!$B$5)*3,"A",IF($Y1039&lt;=(Settings!$B$4+Settings!$B$5+Settings!$B$6)*3,"F","")))</f>
        <v/>
      </c>
      <c r="AA1039" s="20">
        <f>IF($Z1039="C",$Y1039,IF($Z1039="A",$Y1039-Settings!$B$4*3,IF($Z1039="F",$Y1039-(Settings!$B$4+Settings!$B$5)*3,"")))</f>
        <v/>
      </c>
      <c r="AB1039" s="20">
        <f>IF($Z1039="","",INT(($AA1039-1)/3)+1)</f>
        <v/>
      </c>
      <c r="AC1039" s="20">
        <f>IF($Z1039="","",MOD($AA1039-1,3)+1)</f>
        <v/>
      </c>
      <c r="AD1039" s="20">
        <f>IF($Z1039="","",Settings!$B$2+$AC1039-1)</f>
        <v/>
      </c>
      <c r="AE1039" s="21">
        <f>IF($Z1039="C",DATE(YEAR(INDEX(Contracts!$J$2:$J$151,$AB1039)),MONTH(INDEX(Contracts!$J$2:$J$151,$AB1039)),1),IF($Z1039="A",DATE(YEAR(INDEX(Fixed_Assets!$G$2:$G$201,$AB1039)),MONTH(INDEX(Fixed_Assets!$G$2:$G$201,$AB1039)),1),IF($Z1039="F",DATE(YEAR(MAX(N(INDEX(Workforce!$I$2:$I$151,MATCH(INDEX(FTE_Allocation!$A$2:$A$201,$AB1039),Workforce!$A$2:$A$151,0))),N(INDEX(FTE_Allocation!$I$2:$I$201,$AB1039)))),MONTH(MAX(N(INDEX(Workforce!$I$2:$I$151,MATCH(INDEX(FTE_Allocation!$A$2:$A$201,$AB1039),Workforce!$A$2:$A$151,0))),N(INDEX(FTE_Allocation!$I$2:$I$201,$AB1039)))),1),"")))</f>
        <v/>
      </c>
      <c r="AF1039" s="21">
        <f>IF($Z1039="C",IF(INDEX(Contracts!$I$2:$I$151,$AB1039)="PREPAID",EDATE(DATE(YEAR(INDEX(Contracts!$J$2:$J$151,$AB1039)),MONTH(INDEX(Contracts!$J$2:$J$151,$AB1039)),1),IF(INDEX(Contracts!$N$2:$N$151,$AB1039)="",12,INDEX(Contracts!$N$2:$N$151,$AB1039))-1),IF(INDEX(Contracts!$I$2:$I$151,$AB1039)="MONTHLY",IF(INDEX(Contracts!$K$2:$K$151,$AB1039)="",2958101,INDEX(Contracts!$K$2:$K$151,$AB1039)),0)),IF($Z1039="A",EDATE(DATE(YEAR(INDEX(Fixed_Assets!$G$2:$G$201,$AB1039)),MONTH(INDEX(Fixed_Assets!$G$2:$G$201,$AB1039)),1),INDEX(Fixed_Assets!$J$2:$J$201,$AB1039)-1),IF($Z1039="F",MIN(IF(INDEX(Workforce!$J$2:$J$151,MATCH(INDEX(FTE_Allocation!$A$2:$A$201,$AB1039),Workforce!$A$2:$A$151,0))="",2958101,INDEX(Workforce!$J$2:$J$151,MATCH(INDEX(FTE_Allocation!$A$2:$A$201,$AB1039),Workforce!$A$2:$A$151,0))),IF(INDEX(FTE_Allocation!$J$2:$J$201,$AB1039)="",2958101,INDEX(FTE_Allocation!$J$2:$J$201,$AB1039))),"")))</f>
        <v/>
      </c>
      <c r="AG1039" s="19">
        <f>IF($Z1039="C",IF(INDEX(Contracts!$I$2:$I$151,$AB1039)="PREPAID",INDEX(Contracts!$M$2:$M$151,$AB1039)/IF(INDEX(Contracts!$N$2:$N$151,$AB1039)="",12,INDEX(Contracts!$N$2:$N$151,$AB1039)),IF(INDEX(Contracts!$I$2:$I$151,$AB1039)="MONTHLY",INDEX(Contracts!$M$2:$M$151,$AB1039),0))*(1-N(INDEX(Contracts!$O$2:$O$151,$AB1039))),IF($Z1039="A",INDEX(Fixed_Assets!$H$2:$H$201,$AB1039)/INDEX(Fixed_Assets!$J$2:$J$201,$AB1039),IF($Z1039="F",INDEX(Workforce!$F$2:$F$151,MATCH(INDEX(FTE_Allocation!$A$2:$A$201,$AB1039),Workforce!$A$2:$A$151,0))*N(INDEX(FTE_Allocation!$F$2:$H$201,$AB1039,$AC1039)),"")))</f>
        <v/>
      </c>
    </row>
    <row r="1040">
      <c r="A1040" s="7">
        <f>IF($Z1040="","",$AD1040)</f>
        <v/>
      </c>
      <c r="B1040" s="7">
        <f>IF($Z1040="C",INDEX(Contracts!$D$2:$D$151,$AB1040)&amp;"",IF($Z1040="A",INDEX(Fixed_Assets!$C$2:$C$201,$AB1040)&amp;"",IF($Z1040="F",INDEX(Workforce!$B$2:$B$151,MATCH(INDEX(FTE_Allocation!$A$2:$A$201,$AB1040),Workforce!$A$2:$A$151,0))&amp;"","")))</f>
        <v/>
      </c>
      <c r="C1040" s="7">
        <f>IF($Z1040="C",INDEX(Contracts!$E$2:$E$151,$AB1040)&amp;"",IF($Z1040="A",INDEX(Fixed_Assets!$D$2:$D$201,$AB1040)&amp;"",IF($Z1040="F",INDEX(FTE_Allocation!$C$2:$C$201,$AB1040)&amp;"","")))</f>
        <v/>
      </c>
      <c r="D1040" s="7">
        <f>IF($Z1040="C",INDEX(Contracts!$B$2:$B$151,$AB1040)&amp;"",IF($Z1040="A",INDEX(Fixed_Assets!$B$2:$B$201,$AB1040)&amp;"",IF($Z1040="F",INDEX(FTE_Allocation!$B$2:$B$201,$AB1040)&amp;"","")))</f>
        <v/>
      </c>
      <c r="E1040" s="7">
        <f>IF($Z1040="C",INDEX(Contracts!$P$2:$P$151,$AB1040)&amp;"",IF($Z1040="A",INDEX(Fixed_Assets!$K$2:$K$201,$AB1040)&amp;"",IF($Z1040="F",IF(INDEX(FTE_Allocation!$D$2:$D$201,$AB1040)="PROJECT",IFERROR(INDEX(Projects!$D:$D,MATCH(INDEX(FTE_Allocation!$E$2:$E$201,$AB1040),Projects!$A:$A,0))&amp;"","#PROJECT?"),INDEX(FTE_Allocation!$E$2:$E$201,$AB1040)&amp;""),"")))</f>
        <v/>
      </c>
      <c r="F1040" s="7">
        <f>IF($Z1040="C",INDEX(Contracts!$Q$2:$Q$151,$AB1040)&amp;"",IF($Z1040="A",INDEX(Fixed_Assets!$L$2:$L$201,$AB1040)&amp;"",IF($Z1040="F",INDEX(Workforce!$K$2:$K$151,MATCH(INDEX(FTE_Allocation!$A$2:$A$201,$AB1040),Workforce!$A$2:$A$151,0))&amp;"","")))</f>
        <v/>
      </c>
      <c r="G1040" s="7">
        <f>IF($Z1040="C",INDEX(Contracts!$F$2:$F$151,$AB1040)&amp;" / "&amp;INDEX(Contracts!$G$2:$G$151,$AB1040),IF($Z1040="A",INDEX(Fixed_Assets!$E$2:$E$201,$AB1040)&amp;"",IF($Z1040="F","Personnel "&amp;INDEX(FTE_Allocation!$A$2:$A$201,$AB1040)&amp;IF(INDEX(FTE_Allocation!$D$2:$D$201,$AB1040)="PROJECT"," ("&amp;INDEX(FTE_Allocation!$E$2:$E$201,$AB1040)&amp;")",""),"")))</f>
        <v/>
      </c>
      <c r="H1040" s="7">
        <f>IF($Z1040="C","CONTRACT",IF($Z1040="A","ASSET",IF($Z1040="F","WORKFORCE","")))</f>
        <v/>
      </c>
      <c r="I1040" s="7">
        <f>IF($Z1040="C",INDEX(Contracts!$L$2:$L$151,$AB1040)&amp;"",IF($Z1040="A",INDEX(Fixed_Assets!$I$2:$I$201,$AB1040)&amp;"",IF($Z1040="F",INDEX(Workforce!$G$2:$G$151,MATCH(INDEX(FTE_Allocation!$A$2:$A$201,$AB1040),Workforce!$A$2:$A$151,0))&amp;"","")))</f>
        <v/>
      </c>
      <c r="J1040" s="18">
        <f>IF($Z1040="","",IF(AND(DATE($AD1040,1,1)&gt;=$AE1040,DATE($AD1040,1,1)&lt;=$AF1040),ROUND($AG1040,2),0))</f>
        <v/>
      </c>
      <c r="K1040" s="18">
        <f>IF($Z1040="","",IF(AND(DATE($AD1040,2,1)&gt;=$AE1040,DATE($AD1040,2,1)&lt;=$AF1040),ROUND($AG1040,2),0))</f>
        <v/>
      </c>
      <c r="L1040" s="18">
        <f>IF($Z1040="","",IF(AND(DATE($AD1040,3,1)&gt;=$AE1040,DATE($AD1040,3,1)&lt;=$AF1040),ROUND($AG1040,2),0))</f>
        <v/>
      </c>
      <c r="M1040" s="18">
        <f>IF($Z1040="","",IF(AND(DATE($AD1040,4,1)&gt;=$AE1040,DATE($AD1040,4,1)&lt;=$AF1040),ROUND($AG1040,2),0))</f>
        <v/>
      </c>
      <c r="N1040" s="18">
        <f>IF($Z1040="","",IF(AND(DATE($AD1040,5,1)&gt;=$AE1040,DATE($AD1040,5,1)&lt;=$AF1040),ROUND($AG1040,2),0))</f>
        <v/>
      </c>
      <c r="O1040" s="18">
        <f>IF($Z1040="","",IF(AND(DATE($AD1040,6,1)&gt;=$AE1040,DATE($AD1040,6,1)&lt;=$AF1040),ROUND($AG1040,2),0))</f>
        <v/>
      </c>
      <c r="P1040" s="18">
        <f>IF($Z1040="","",IF(AND(DATE($AD1040,7,1)&gt;=$AE1040,DATE($AD1040,7,1)&lt;=$AF1040),ROUND($AG1040,2),0))</f>
        <v/>
      </c>
      <c r="Q1040" s="18">
        <f>IF($Z1040="","",IF(AND(DATE($AD1040,8,1)&gt;=$AE1040,DATE($AD1040,8,1)&lt;=$AF1040),ROUND($AG1040,2),0))</f>
        <v/>
      </c>
      <c r="R1040" s="18">
        <f>IF($Z1040="","",IF(AND(DATE($AD1040,9,1)&gt;=$AE1040,DATE($AD1040,9,1)&lt;=$AF1040),ROUND($AG1040,2),0))</f>
        <v/>
      </c>
      <c r="S1040" s="18">
        <f>IF($Z1040="","",IF(AND(DATE($AD1040,10,1)&gt;=$AE1040,DATE($AD1040,10,1)&lt;=$AF1040),ROUND($AG1040,2),0))</f>
        <v/>
      </c>
      <c r="T1040" s="18">
        <f>IF($Z1040="","",IF(AND(DATE($AD1040,11,1)&gt;=$AE1040,DATE($AD1040,11,1)&lt;=$AF1040),ROUND($AG1040,2),0))</f>
        <v/>
      </c>
      <c r="U1040" s="18">
        <f>IF($Z1040="","",IF(AND(DATE($AD1040,12,1)&gt;=$AE1040,DATE($AD1040,12,1)&lt;=$AF1040),ROUND($AG1040,2),0))</f>
        <v/>
      </c>
      <c r="V1040" s="7">
        <f>IF($Z1040="C","Generated from "&amp;INDEX(Contracts!$A$2:$A$151,$AB1040),IF($Z1040="A","Generated from "&amp;INDEX(Fixed_Assets!$A$2:$A$201,$AB1040),IF($Z1040="F","Generated from "&amp;INDEX(FTE_Allocation!$A$2:$A$201,$AB1040),"")))</f>
        <v/>
      </c>
      <c r="X1040" s="19">
        <f>IF($Z1040="","",SUM(J1040:U1040))</f>
        <v/>
      </c>
      <c r="Y1040" s="20">
        <f>ROW()-1</f>
        <v/>
      </c>
      <c r="Z1040" s="20">
        <f>IF($Y1040&lt;=Settings!$B$4*3,"C",IF($Y1040&lt;=(Settings!$B$4+Settings!$B$5)*3,"A",IF($Y1040&lt;=(Settings!$B$4+Settings!$B$5+Settings!$B$6)*3,"F","")))</f>
        <v/>
      </c>
      <c r="AA1040" s="20">
        <f>IF($Z1040="C",$Y1040,IF($Z1040="A",$Y1040-Settings!$B$4*3,IF($Z1040="F",$Y1040-(Settings!$B$4+Settings!$B$5)*3,"")))</f>
        <v/>
      </c>
      <c r="AB1040" s="20">
        <f>IF($Z1040="","",INT(($AA1040-1)/3)+1)</f>
        <v/>
      </c>
      <c r="AC1040" s="20">
        <f>IF($Z1040="","",MOD($AA1040-1,3)+1)</f>
        <v/>
      </c>
      <c r="AD1040" s="20">
        <f>IF($Z1040="","",Settings!$B$2+$AC1040-1)</f>
        <v/>
      </c>
      <c r="AE1040" s="21">
        <f>IF($Z1040="C",DATE(YEAR(INDEX(Contracts!$J$2:$J$151,$AB1040)),MONTH(INDEX(Contracts!$J$2:$J$151,$AB1040)),1),IF($Z1040="A",DATE(YEAR(INDEX(Fixed_Assets!$G$2:$G$201,$AB1040)),MONTH(INDEX(Fixed_Assets!$G$2:$G$201,$AB1040)),1),IF($Z1040="F",DATE(YEAR(MAX(N(INDEX(Workforce!$I$2:$I$151,MATCH(INDEX(FTE_Allocation!$A$2:$A$201,$AB1040),Workforce!$A$2:$A$151,0))),N(INDEX(FTE_Allocation!$I$2:$I$201,$AB1040)))),MONTH(MAX(N(INDEX(Workforce!$I$2:$I$151,MATCH(INDEX(FTE_Allocation!$A$2:$A$201,$AB1040),Workforce!$A$2:$A$151,0))),N(INDEX(FTE_Allocation!$I$2:$I$201,$AB1040)))),1),"")))</f>
        <v/>
      </c>
      <c r="AF1040" s="21">
        <f>IF($Z1040="C",IF(INDEX(Contracts!$I$2:$I$151,$AB1040)="PREPAID",EDATE(DATE(YEAR(INDEX(Contracts!$J$2:$J$151,$AB1040)),MONTH(INDEX(Contracts!$J$2:$J$151,$AB1040)),1),IF(INDEX(Contracts!$N$2:$N$151,$AB1040)="",12,INDEX(Contracts!$N$2:$N$151,$AB1040))-1),IF(INDEX(Contracts!$I$2:$I$151,$AB1040)="MONTHLY",IF(INDEX(Contracts!$K$2:$K$151,$AB1040)="",2958101,INDEX(Contracts!$K$2:$K$151,$AB1040)),0)),IF($Z1040="A",EDATE(DATE(YEAR(INDEX(Fixed_Assets!$G$2:$G$201,$AB1040)),MONTH(INDEX(Fixed_Assets!$G$2:$G$201,$AB1040)),1),INDEX(Fixed_Assets!$J$2:$J$201,$AB1040)-1),IF($Z1040="F",MIN(IF(INDEX(Workforce!$J$2:$J$151,MATCH(INDEX(FTE_Allocation!$A$2:$A$201,$AB1040),Workforce!$A$2:$A$151,0))="",2958101,INDEX(Workforce!$J$2:$J$151,MATCH(INDEX(FTE_Allocation!$A$2:$A$201,$AB1040),Workforce!$A$2:$A$151,0))),IF(INDEX(FTE_Allocation!$J$2:$J$201,$AB1040)="",2958101,INDEX(FTE_Allocation!$J$2:$J$201,$AB1040))),"")))</f>
        <v/>
      </c>
      <c r="AG1040" s="19">
        <f>IF($Z1040="C",IF(INDEX(Contracts!$I$2:$I$151,$AB1040)="PREPAID",INDEX(Contracts!$M$2:$M$151,$AB1040)/IF(INDEX(Contracts!$N$2:$N$151,$AB1040)="",12,INDEX(Contracts!$N$2:$N$151,$AB1040)),IF(INDEX(Contracts!$I$2:$I$151,$AB1040)="MONTHLY",INDEX(Contracts!$M$2:$M$151,$AB1040),0))*(1-N(INDEX(Contracts!$O$2:$O$151,$AB1040))),IF($Z1040="A",INDEX(Fixed_Assets!$H$2:$H$201,$AB1040)/INDEX(Fixed_Assets!$J$2:$J$201,$AB1040),IF($Z1040="F",INDEX(Workforce!$F$2:$F$151,MATCH(INDEX(FTE_Allocation!$A$2:$A$201,$AB1040),Workforce!$A$2:$A$151,0))*N(INDEX(FTE_Allocation!$F$2:$H$201,$AB1040,$AC1040)),"")))</f>
        <v/>
      </c>
    </row>
    <row r="1041">
      <c r="A1041" s="7">
        <f>IF($Z1041="","",$AD1041)</f>
        <v/>
      </c>
      <c r="B1041" s="7">
        <f>IF($Z1041="C",INDEX(Contracts!$D$2:$D$151,$AB1041)&amp;"",IF($Z1041="A",INDEX(Fixed_Assets!$C$2:$C$201,$AB1041)&amp;"",IF($Z1041="F",INDEX(Workforce!$B$2:$B$151,MATCH(INDEX(FTE_Allocation!$A$2:$A$201,$AB1041),Workforce!$A$2:$A$151,0))&amp;"","")))</f>
        <v/>
      </c>
      <c r="C1041" s="7">
        <f>IF($Z1041="C",INDEX(Contracts!$E$2:$E$151,$AB1041)&amp;"",IF($Z1041="A",INDEX(Fixed_Assets!$D$2:$D$201,$AB1041)&amp;"",IF($Z1041="F",INDEX(FTE_Allocation!$C$2:$C$201,$AB1041)&amp;"","")))</f>
        <v/>
      </c>
      <c r="D1041" s="7">
        <f>IF($Z1041="C",INDEX(Contracts!$B$2:$B$151,$AB1041)&amp;"",IF($Z1041="A",INDEX(Fixed_Assets!$B$2:$B$201,$AB1041)&amp;"",IF($Z1041="F",INDEX(FTE_Allocation!$B$2:$B$201,$AB1041)&amp;"","")))</f>
        <v/>
      </c>
      <c r="E1041" s="7">
        <f>IF($Z1041="C",INDEX(Contracts!$P$2:$P$151,$AB1041)&amp;"",IF($Z1041="A",INDEX(Fixed_Assets!$K$2:$K$201,$AB1041)&amp;"",IF($Z1041="F",IF(INDEX(FTE_Allocation!$D$2:$D$201,$AB1041)="PROJECT",IFERROR(INDEX(Projects!$D:$D,MATCH(INDEX(FTE_Allocation!$E$2:$E$201,$AB1041),Projects!$A:$A,0))&amp;"","#PROJECT?"),INDEX(FTE_Allocation!$E$2:$E$201,$AB1041)&amp;""),"")))</f>
        <v/>
      </c>
      <c r="F1041" s="7">
        <f>IF($Z1041="C",INDEX(Contracts!$Q$2:$Q$151,$AB1041)&amp;"",IF($Z1041="A",INDEX(Fixed_Assets!$L$2:$L$201,$AB1041)&amp;"",IF($Z1041="F",INDEX(Workforce!$K$2:$K$151,MATCH(INDEX(FTE_Allocation!$A$2:$A$201,$AB1041),Workforce!$A$2:$A$151,0))&amp;"","")))</f>
        <v/>
      </c>
      <c r="G1041" s="7">
        <f>IF($Z1041="C",INDEX(Contracts!$F$2:$F$151,$AB1041)&amp;" / "&amp;INDEX(Contracts!$G$2:$G$151,$AB1041),IF($Z1041="A",INDEX(Fixed_Assets!$E$2:$E$201,$AB1041)&amp;"",IF($Z1041="F","Personnel "&amp;INDEX(FTE_Allocation!$A$2:$A$201,$AB1041)&amp;IF(INDEX(FTE_Allocation!$D$2:$D$201,$AB1041)="PROJECT"," ("&amp;INDEX(FTE_Allocation!$E$2:$E$201,$AB1041)&amp;")",""),"")))</f>
        <v/>
      </c>
      <c r="H1041" s="7">
        <f>IF($Z1041="C","CONTRACT",IF($Z1041="A","ASSET",IF($Z1041="F","WORKFORCE","")))</f>
        <v/>
      </c>
      <c r="I1041" s="7">
        <f>IF($Z1041="C",INDEX(Contracts!$L$2:$L$151,$AB1041)&amp;"",IF($Z1041="A",INDEX(Fixed_Assets!$I$2:$I$201,$AB1041)&amp;"",IF($Z1041="F",INDEX(Workforce!$G$2:$G$151,MATCH(INDEX(FTE_Allocation!$A$2:$A$201,$AB1041),Workforce!$A$2:$A$151,0))&amp;"","")))</f>
        <v/>
      </c>
      <c r="J1041" s="18">
        <f>IF($Z1041="","",IF(AND(DATE($AD1041,1,1)&gt;=$AE1041,DATE($AD1041,1,1)&lt;=$AF1041),ROUND($AG1041,2),0))</f>
        <v/>
      </c>
      <c r="K1041" s="18">
        <f>IF($Z1041="","",IF(AND(DATE($AD1041,2,1)&gt;=$AE1041,DATE($AD1041,2,1)&lt;=$AF1041),ROUND($AG1041,2),0))</f>
        <v/>
      </c>
      <c r="L1041" s="18">
        <f>IF($Z1041="","",IF(AND(DATE($AD1041,3,1)&gt;=$AE1041,DATE($AD1041,3,1)&lt;=$AF1041),ROUND($AG1041,2),0))</f>
        <v/>
      </c>
      <c r="M1041" s="18">
        <f>IF($Z1041="","",IF(AND(DATE($AD1041,4,1)&gt;=$AE1041,DATE($AD1041,4,1)&lt;=$AF1041),ROUND($AG1041,2),0))</f>
        <v/>
      </c>
      <c r="N1041" s="18">
        <f>IF($Z1041="","",IF(AND(DATE($AD1041,5,1)&gt;=$AE1041,DATE($AD1041,5,1)&lt;=$AF1041),ROUND($AG1041,2),0))</f>
        <v/>
      </c>
      <c r="O1041" s="18">
        <f>IF($Z1041="","",IF(AND(DATE($AD1041,6,1)&gt;=$AE1041,DATE($AD1041,6,1)&lt;=$AF1041),ROUND($AG1041,2),0))</f>
        <v/>
      </c>
      <c r="P1041" s="18">
        <f>IF($Z1041="","",IF(AND(DATE($AD1041,7,1)&gt;=$AE1041,DATE($AD1041,7,1)&lt;=$AF1041),ROUND($AG1041,2),0))</f>
        <v/>
      </c>
      <c r="Q1041" s="18">
        <f>IF($Z1041="","",IF(AND(DATE($AD1041,8,1)&gt;=$AE1041,DATE($AD1041,8,1)&lt;=$AF1041),ROUND($AG1041,2),0))</f>
        <v/>
      </c>
      <c r="R1041" s="18">
        <f>IF($Z1041="","",IF(AND(DATE($AD1041,9,1)&gt;=$AE1041,DATE($AD1041,9,1)&lt;=$AF1041),ROUND($AG1041,2),0))</f>
        <v/>
      </c>
      <c r="S1041" s="18">
        <f>IF($Z1041="","",IF(AND(DATE($AD1041,10,1)&gt;=$AE1041,DATE($AD1041,10,1)&lt;=$AF1041),ROUND($AG1041,2),0))</f>
        <v/>
      </c>
      <c r="T1041" s="18">
        <f>IF($Z1041="","",IF(AND(DATE($AD1041,11,1)&gt;=$AE1041,DATE($AD1041,11,1)&lt;=$AF1041),ROUND($AG1041,2),0))</f>
        <v/>
      </c>
      <c r="U1041" s="18">
        <f>IF($Z1041="","",IF(AND(DATE($AD1041,12,1)&gt;=$AE1041,DATE($AD1041,12,1)&lt;=$AF1041),ROUND($AG1041,2),0))</f>
        <v/>
      </c>
      <c r="V1041" s="7">
        <f>IF($Z1041="C","Generated from "&amp;INDEX(Contracts!$A$2:$A$151,$AB1041),IF($Z1041="A","Generated from "&amp;INDEX(Fixed_Assets!$A$2:$A$201,$AB1041),IF($Z1041="F","Generated from "&amp;INDEX(FTE_Allocation!$A$2:$A$201,$AB1041),"")))</f>
        <v/>
      </c>
      <c r="X1041" s="19">
        <f>IF($Z1041="","",SUM(J1041:U1041))</f>
        <v/>
      </c>
      <c r="Y1041" s="20">
        <f>ROW()-1</f>
        <v/>
      </c>
      <c r="Z1041" s="20">
        <f>IF($Y1041&lt;=Settings!$B$4*3,"C",IF($Y1041&lt;=(Settings!$B$4+Settings!$B$5)*3,"A",IF($Y1041&lt;=(Settings!$B$4+Settings!$B$5+Settings!$B$6)*3,"F","")))</f>
        <v/>
      </c>
      <c r="AA1041" s="20">
        <f>IF($Z1041="C",$Y1041,IF($Z1041="A",$Y1041-Settings!$B$4*3,IF($Z1041="F",$Y1041-(Settings!$B$4+Settings!$B$5)*3,"")))</f>
        <v/>
      </c>
      <c r="AB1041" s="20">
        <f>IF($Z1041="","",INT(($AA1041-1)/3)+1)</f>
        <v/>
      </c>
      <c r="AC1041" s="20">
        <f>IF($Z1041="","",MOD($AA1041-1,3)+1)</f>
        <v/>
      </c>
      <c r="AD1041" s="20">
        <f>IF($Z1041="","",Settings!$B$2+$AC1041-1)</f>
        <v/>
      </c>
      <c r="AE1041" s="21">
        <f>IF($Z1041="C",DATE(YEAR(INDEX(Contracts!$J$2:$J$151,$AB1041)),MONTH(INDEX(Contracts!$J$2:$J$151,$AB1041)),1),IF($Z1041="A",DATE(YEAR(INDEX(Fixed_Assets!$G$2:$G$201,$AB1041)),MONTH(INDEX(Fixed_Assets!$G$2:$G$201,$AB1041)),1),IF($Z1041="F",DATE(YEAR(MAX(N(INDEX(Workforce!$I$2:$I$151,MATCH(INDEX(FTE_Allocation!$A$2:$A$201,$AB1041),Workforce!$A$2:$A$151,0))),N(INDEX(FTE_Allocation!$I$2:$I$201,$AB1041)))),MONTH(MAX(N(INDEX(Workforce!$I$2:$I$151,MATCH(INDEX(FTE_Allocation!$A$2:$A$201,$AB1041),Workforce!$A$2:$A$151,0))),N(INDEX(FTE_Allocation!$I$2:$I$201,$AB1041)))),1),"")))</f>
        <v/>
      </c>
      <c r="AF1041" s="21">
        <f>IF($Z1041="C",IF(INDEX(Contracts!$I$2:$I$151,$AB1041)="PREPAID",EDATE(DATE(YEAR(INDEX(Contracts!$J$2:$J$151,$AB1041)),MONTH(INDEX(Contracts!$J$2:$J$151,$AB1041)),1),IF(INDEX(Contracts!$N$2:$N$151,$AB1041)="",12,INDEX(Contracts!$N$2:$N$151,$AB1041))-1),IF(INDEX(Contracts!$I$2:$I$151,$AB1041)="MONTHLY",IF(INDEX(Contracts!$K$2:$K$151,$AB1041)="",2958101,INDEX(Contracts!$K$2:$K$151,$AB1041)),0)),IF($Z1041="A",EDATE(DATE(YEAR(INDEX(Fixed_Assets!$G$2:$G$201,$AB1041)),MONTH(INDEX(Fixed_Assets!$G$2:$G$201,$AB1041)),1),INDEX(Fixed_Assets!$J$2:$J$201,$AB1041)-1),IF($Z1041="F",MIN(IF(INDEX(Workforce!$J$2:$J$151,MATCH(INDEX(FTE_Allocation!$A$2:$A$201,$AB1041),Workforce!$A$2:$A$151,0))="",2958101,INDEX(Workforce!$J$2:$J$151,MATCH(INDEX(FTE_Allocation!$A$2:$A$201,$AB1041),Workforce!$A$2:$A$151,0))),IF(INDEX(FTE_Allocation!$J$2:$J$201,$AB1041)="",2958101,INDEX(FTE_Allocation!$J$2:$J$201,$AB1041))),"")))</f>
        <v/>
      </c>
      <c r="AG1041" s="19">
        <f>IF($Z1041="C",IF(INDEX(Contracts!$I$2:$I$151,$AB1041)="PREPAID",INDEX(Contracts!$M$2:$M$151,$AB1041)/IF(INDEX(Contracts!$N$2:$N$151,$AB1041)="",12,INDEX(Contracts!$N$2:$N$151,$AB1041)),IF(INDEX(Contracts!$I$2:$I$151,$AB1041)="MONTHLY",INDEX(Contracts!$M$2:$M$151,$AB1041),0))*(1-N(INDEX(Contracts!$O$2:$O$151,$AB1041))),IF($Z1041="A",INDEX(Fixed_Assets!$H$2:$H$201,$AB1041)/INDEX(Fixed_Assets!$J$2:$J$201,$AB1041),IF($Z1041="F",INDEX(Workforce!$F$2:$F$151,MATCH(INDEX(FTE_Allocation!$A$2:$A$201,$AB1041),Workforce!$A$2:$A$151,0))*N(INDEX(FTE_Allocation!$F$2:$H$201,$AB1041,$AC1041)),"")))</f>
        <v/>
      </c>
    </row>
    <row r="1042">
      <c r="A1042" s="7">
        <f>IF($Z1042="","",$AD1042)</f>
        <v/>
      </c>
      <c r="B1042" s="7">
        <f>IF($Z1042="C",INDEX(Contracts!$D$2:$D$151,$AB1042)&amp;"",IF($Z1042="A",INDEX(Fixed_Assets!$C$2:$C$201,$AB1042)&amp;"",IF($Z1042="F",INDEX(Workforce!$B$2:$B$151,MATCH(INDEX(FTE_Allocation!$A$2:$A$201,$AB1042),Workforce!$A$2:$A$151,0))&amp;"","")))</f>
        <v/>
      </c>
      <c r="C1042" s="7">
        <f>IF($Z1042="C",INDEX(Contracts!$E$2:$E$151,$AB1042)&amp;"",IF($Z1042="A",INDEX(Fixed_Assets!$D$2:$D$201,$AB1042)&amp;"",IF($Z1042="F",INDEX(FTE_Allocation!$C$2:$C$201,$AB1042)&amp;"","")))</f>
        <v/>
      </c>
      <c r="D1042" s="7">
        <f>IF($Z1042="C",INDEX(Contracts!$B$2:$B$151,$AB1042)&amp;"",IF($Z1042="A",INDEX(Fixed_Assets!$B$2:$B$201,$AB1042)&amp;"",IF($Z1042="F",INDEX(FTE_Allocation!$B$2:$B$201,$AB1042)&amp;"","")))</f>
        <v/>
      </c>
      <c r="E1042" s="7">
        <f>IF($Z1042="C",INDEX(Contracts!$P$2:$P$151,$AB1042)&amp;"",IF($Z1042="A",INDEX(Fixed_Assets!$K$2:$K$201,$AB1042)&amp;"",IF($Z1042="F",IF(INDEX(FTE_Allocation!$D$2:$D$201,$AB1042)="PROJECT",IFERROR(INDEX(Projects!$D:$D,MATCH(INDEX(FTE_Allocation!$E$2:$E$201,$AB1042),Projects!$A:$A,0))&amp;"","#PROJECT?"),INDEX(FTE_Allocation!$E$2:$E$201,$AB1042)&amp;""),"")))</f>
        <v/>
      </c>
      <c r="F1042" s="7">
        <f>IF($Z1042="C",INDEX(Contracts!$Q$2:$Q$151,$AB1042)&amp;"",IF($Z1042="A",INDEX(Fixed_Assets!$L$2:$L$201,$AB1042)&amp;"",IF($Z1042="F",INDEX(Workforce!$K$2:$K$151,MATCH(INDEX(FTE_Allocation!$A$2:$A$201,$AB1042),Workforce!$A$2:$A$151,0))&amp;"","")))</f>
        <v/>
      </c>
      <c r="G1042" s="7">
        <f>IF($Z1042="C",INDEX(Contracts!$F$2:$F$151,$AB1042)&amp;" / "&amp;INDEX(Contracts!$G$2:$G$151,$AB1042),IF($Z1042="A",INDEX(Fixed_Assets!$E$2:$E$201,$AB1042)&amp;"",IF($Z1042="F","Personnel "&amp;INDEX(FTE_Allocation!$A$2:$A$201,$AB1042)&amp;IF(INDEX(FTE_Allocation!$D$2:$D$201,$AB1042)="PROJECT"," ("&amp;INDEX(FTE_Allocation!$E$2:$E$201,$AB1042)&amp;")",""),"")))</f>
        <v/>
      </c>
      <c r="H1042" s="7">
        <f>IF($Z1042="C","CONTRACT",IF($Z1042="A","ASSET",IF($Z1042="F","WORKFORCE","")))</f>
        <v/>
      </c>
      <c r="I1042" s="7">
        <f>IF($Z1042="C",INDEX(Contracts!$L$2:$L$151,$AB1042)&amp;"",IF($Z1042="A",INDEX(Fixed_Assets!$I$2:$I$201,$AB1042)&amp;"",IF($Z1042="F",INDEX(Workforce!$G$2:$G$151,MATCH(INDEX(FTE_Allocation!$A$2:$A$201,$AB1042),Workforce!$A$2:$A$151,0))&amp;"","")))</f>
        <v/>
      </c>
      <c r="J1042" s="18">
        <f>IF($Z1042="","",IF(AND(DATE($AD1042,1,1)&gt;=$AE1042,DATE($AD1042,1,1)&lt;=$AF1042),ROUND($AG1042,2),0))</f>
        <v/>
      </c>
      <c r="K1042" s="18">
        <f>IF($Z1042="","",IF(AND(DATE($AD1042,2,1)&gt;=$AE1042,DATE($AD1042,2,1)&lt;=$AF1042),ROUND($AG1042,2),0))</f>
        <v/>
      </c>
      <c r="L1042" s="18">
        <f>IF($Z1042="","",IF(AND(DATE($AD1042,3,1)&gt;=$AE1042,DATE($AD1042,3,1)&lt;=$AF1042),ROUND($AG1042,2),0))</f>
        <v/>
      </c>
      <c r="M1042" s="18">
        <f>IF($Z1042="","",IF(AND(DATE($AD1042,4,1)&gt;=$AE1042,DATE($AD1042,4,1)&lt;=$AF1042),ROUND($AG1042,2),0))</f>
        <v/>
      </c>
      <c r="N1042" s="18">
        <f>IF($Z1042="","",IF(AND(DATE($AD1042,5,1)&gt;=$AE1042,DATE($AD1042,5,1)&lt;=$AF1042),ROUND($AG1042,2),0))</f>
        <v/>
      </c>
      <c r="O1042" s="18">
        <f>IF($Z1042="","",IF(AND(DATE($AD1042,6,1)&gt;=$AE1042,DATE($AD1042,6,1)&lt;=$AF1042),ROUND($AG1042,2),0))</f>
        <v/>
      </c>
      <c r="P1042" s="18">
        <f>IF($Z1042="","",IF(AND(DATE($AD1042,7,1)&gt;=$AE1042,DATE($AD1042,7,1)&lt;=$AF1042),ROUND($AG1042,2),0))</f>
        <v/>
      </c>
      <c r="Q1042" s="18">
        <f>IF($Z1042="","",IF(AND(DATE($AD1042,8,1)&gt;=$AE1042,DATE($AD1042,8,1)&lt;=$AF1042),ROUND($AG1042,2),0))</f>
        <v/>
      </c>
      <c r="R1042" s="18">
        <f>IF($Z1042="","",IF(AND(DATE($AD1042,9,1)&gt;=$AE1042,DATE($AD1042,9,1)&lt;=$AF1042),ROUND($AG1042,2),0))</f>
        <v/>
      </c>
      <c r="S1042" s="18">
        <f>IF($Z1042="","",IF(AND(DATE($AD1042,10,1)&gt;=$AE1042,DATE($AD1042,10,1)&lt;=$AF1042),ROUND($AG1042,2),0))</f>
        <v/>
      </c>
      <c r="T1042" s="18">
        <f>IF($Z1042="","",IF(AND(DATE($AD1042,11,1)&gt;=$AE1042,DATE($AD1042,11,1)&lt;=$AF1042),ROUND($AG1042,2),0))</f>
        <v/>
      </c>
      <c r="U1042" s="18">
        <f>IF($Z1042="","",IF(AND(DATE($AD1042,12,1)&gt;=$AE1042,DATE($AD1042,12,1)&lt;=$AF1042),ROUND($AG1042,2),0))</f>
        <v/>
      </c>
      <c r="V1042" s="7">
        <f>IF($Z1042="C","Generated from "&amp;INDEX(Contracts!$A$2:$A$151,$AB1042),IF($Z1042="A","Generated from "&amp;INDEX(Fixed_Assets!$A$2:$A$201,$AB1042),IF($Z1042="F","Generated from "&amp;INDEX(FTE_Allocation!$A$2:$A$201,$AB1042),"")))</f>
        <v/>
      </c>
      <c r="X1042" s="19">
        <f>IF($Z1042="","",SUM(J1042:U1042))</f>
        <v/>
      </c>
      <c r="Y1042" s="20">
        <f>ROW()-1</f>
        <v/>
      </c>
      <c r="Z1042" s="20">
        <f>IF($Y1042&lt;=Settings!$B$4*3,"C",IF($Y1042&lt;=(Settings!$B$4+Settings!$B$5)*3,"A",IF($Y1042&lt;=(Settings!$B$4+Settings!$B$5+Settings!$B$6)*3,"F","")))</f>
        <v/>
      </c>
      <c r="AA1042" s="20">
        <f>IF($Z1042="C",$Y1042,IF($Z1042="A",$Y1042-Settings!$B$4*3,IF($Z1042="F",$Y1042-(Settings!$B$4+Settings!$B$5)*3,"")))</f>
        <v/>
      </c>
      <c r="AB1042" s="20">
        <f>IF($Z1042="","",INT(($AA1042-1)/3)+1)</f>
        <v/>
      </c>
      <c r="AC1042" s="20">
        <f>IF($Z1042="","",MOD($AA1042-1,3)+1)</f>
        <v/>
      </c>
      <c r="AD1042" s="20">
        <f>IF($Z1042="","",Settings!$B$2+$AC1042-1)</f>
        <v/>
      </c>
      <c r="AE1042" s="21">
        <f>IF($Z1042="C",DATE(YEAR(INDEX(Contracts!$J$2:$J$151,$AB1042)),MONTH(INDEX(Contracts!$J$2:$J$151,$AB1042)),1),IF($Z1042="A",DATE(YEAR(INDEX(Fixed_Assets!$G$2:$G$201,$AB1042)),MONTH(INDEX(Fixed_Assets!$G$2:$G$201,$AB1042)),1),IF($Z1042="F",DATE(YEAR(MAX(N(INDEX(Workforce!$I$2:$I$151,MATCH(INDEX(FTE_Allocation!$A$2:$A$201,$AB1042),Workforce!$A$2:$A$151,0))),N(INDEX(FTE_Allocation!$I$2:$I$201,$AB1042)))),MONTH(MAX(N(INDEX(Workforce!$I$2:$I$151,MATCH(INDEX(FTE_Allocation!$A$2:$A$201,$AB1042),Workforce!$A$2:$A$151,0))),N(INDEX(FTE_Allocation!$I$2:$I$201,$AB1042)))),1),"")))</f>
        <v/>
      </c>
      <c r="AF1042" s="21">
        <f>IF($Z1042="C",IF(INDEX(Contracts!$I$2:$I$151,$AB1042)="PREPAID",EDATE(DATE(YEAR(INDEX(Contracts!$J$2:$J$151,$AB1042)),MONTH(INDEX(Contracts!$J$2:$J$151,$AB1042)),1),IF(INDEX(Contracts!$N$2:$N$151,$AB1042)="",12,INDEX(Contracts!$N$2:$N$151,$AB1042))-1),IF(INDEX(Contracts!$I$2:$I$151,$AB1042)="MONTHLY",IF(INDEX(Contracts!$K$2:$K$151,$AB1042)="",2958101,INDEX(Contracts!$K$2:$K$151,$AB1042)),0)),IF($Z1042="A",EDATE(DATE(YEAR(INDEX(Fixed_Assets!$G$2:$G$201,$AB1042)),MONTH(INDEX(Fixed_Assets!$G$2:$G$201,$AB1042)),1),INDEX(Fixed_Assets!$J$2:$J$201,$AB1042)-1),IF($Z1042="F",MIN(IF(INDEX(Workforce!$J$2:$J$151,MATCH(INDEX(FTE_Allocation!$A$2:$A$201,$AB1042),Workforce!$A$2:$A$151,0))="",2958101,INDEX(Workforce!$J$2:$J$151,MATCH(INDEX(FTE_Allocation!$A$2:$A$201,$AB1042),Workforce!$A$2:$A$151,0))),IF(INDEX(FTE_Allocation!$J$2:$J$201,$AB1042)="",2958101,INDEX(FTE_Allocation!$J$2:$J$201,$AB1042))),"")))</f>
        <v/>
      </c>
      <c r="AG1042" s="19">
        <f>IF($Z1042="C",IF(INDEX(Contracts!$I$2:$I$151,$AB1042)="PREPAID",INDEX(Contracts!$M$2:$M$151,$AB1042)/IF(INDEX(Contracts!$N$2:$N$151,$AB1042)="",12,INDEX(Contracts!$N$2:$N$151,$AB1042)),IF(INDEX(Contracts!$I$2:$I$151,$AB1042)="MONTHLY",INDEX(Contracts!$M$2:$M$151,$AB1042),0))*(1-N(INDEX(Contracts!$O$2:$O$151,$AB1042))),IF($Z1042="A",INDEX(Fixed_Assets!$H$2:$H$201,$AB1042)/INDEX(Fixed_Assets!$J$2:$J$201,$AB1042),IF($Z1042="F",INDEX(Workforce!$F$2:$F$151,MATCH(INDEX(FTE_Allocation!$A$2:$A$201,$AB1042),Workforce!$A$2:$A$151,0))*N(INDEX(FTE_Allocation!$F$2:$H$201,$AB1042,$AC1042)),"")))</f>
        <v/>
      </c>
    </row>
    <row r="1043">
      <c r="A1043" s="7">
        <f>IF($Z1043="","",$AD1043)</f>
        <v/>
      </c>
      <c r="B1043" s="7">
        <f>IF($Z1043="C",INDEX(Contracts!$D$2:$D$151,$AB1043)&amp;"",IF($Z1043="A",INDEX(Fixed_Assets!$C$2:$C$201,$AB1043)&amp;"",IF($Z1043="F",INDEX(Workforce!$B$2:$B$151,MATCH(INDEX(FTE_Allocation!$A$2:$A$201,$AB1043),Workforce!$A$2:$A$151,0))&amp;"","")))</f>
        <v/>
      </c>
      <c r="C1043" s="7">
        <f>IF($Z1043="C",INDEX(Contracts!$E$2:$E$151,$AB1043)&amp;"",IF($Z1043="A",INDEX(Fixed_Assets!$D$2:$D$201,$AB1043)&amp;"",IF($Z1043="F",INDEX(FTE_Allocation!$C$2:$C$201,$AB1043)&amp;"","")))</f>
        <v/>
      </c>
      <c r="D1043" s="7">
        <f>IF($Z1043="C",INDEX(Contracts!$B$2:$B$151,$AB1043)&amp;"",IF($Z1043="A",INDEX(Fixed_Assets!$B$2:$B$201,$AB1043)&amp;"",IF($Z1043="F",INDEX(FTE_Allocation!$B$2:$B$201,$AB1043)&amp;"","")))</f>
        <v/>
      </c>
      <c r="E1043" s="7">
        <f>IF($Z1043="C",INDEX(Contracts!$P$2:$P$151,$AB1043)&amp;"",IF($Z1043="A",INDEX(Fixed_Assets!$K$2:$K$201,$AB1043)&amp;"",IF($Z1043="F",IF(INDEX(FTE_Allocation!$D$2:$D$201,$AB1043)="PROJECT",IFERROR(INDEX(Projects!$D:$D,MATCH(INDEX(FTE_Allocation!$E$2:$E$201,$AB1043),Projects!$A:$A,0))&amp;"","#PROJECT?"),INDEX(FTE_Allocation!$E$2:$E$201,$AB1043)&amp;""),"")))</f>
        <v/>
      </c>
      <c r="F1043" s="7">
        <f>IF($Z1043="C",INDEX(Contracts!$Q$2:$Q$151,$AB1043)&amp;"",IF($Z1043="A",INDEX(Fixed_Assets!$L$2:$L$201,$AB1043)&amp;"",IF($Z1043="F",INDEX(Workforce!$K$2:$K$151,MATCH(INDEX(FTE_Allocation!$A$2:$A$201,$AB1043),Workforce!$A$2:$A$151,0))&amp;"","")))</f>
        <v/>
      </c>
      <c r="G1043" s="7">
        <f>IF($Z1043="C",INDEX(Contracts!$F$2:$F$151,$AB1043)&amp;" / "&amp;INDEX(Contracts!$G$2:$G$151,$AB1043),IF($Z1043="A",INDEX(Fixed_Assets!$E$2:$E$201,$AB1043)&amp;"",IF($Z1043="F","Personnel "&amp;INDEX(FTE_Allocation!$A$2:$A$201,$AB1043)&amp;IF(INDEX(FTE_Allocation!$D$2:$D$201,$AB1043)="PROJECT"," ("&amp;INDEX(FTE_Allocation!$E$2:$E$201,$AB1043)&amp;")",""),"")))</f>
        <v/>
      </c>
      <c r="H1043" s="7">
        <f>IF($Z1043="C","CONTRACT",IF($Z1043="A","ASSET",IF($Z1043="F","WORKFORCE","")))</f>
        <v/>
      </c>
      <c r="I1043" s="7">
        <f>IF($Z1043="C",INDEX(Contracts!$L$2:$L$151,$AB1043)&amp;"",IF($Z1043="A",INDEX(Fixed_Assets!$I$2:$I$201,$AB1043)&amp;"",IF($Z1043="F",INDEX(Workforce!$G$2:$G$151,MATCH(INDEX(FTE_Allocation!$A$2:$A$201,$AB1043),Workforce!$A$2:$A$151,0))&amp;"","")))</f>
        <v/>
      </c>
      <c r="J1043" s="18">
        <f>IF($Z1043="","",IF(AND(DATE($AD1043,1,1)&gt;=$AE1043,DATE($AD1043,1,1)&lt;=$AF1043),ROUND($AG1043,2),0))</f>
        <v/>
      </c>
      <c r="K1043" s="18">
        <f>IF($Z1043="","",IF(AND(DATE($AD1043,2,1)&gt;=$AE1043,DATE($AD1043,2,1)&lt;=$AF1043),ROUND($AG1043,2),0))</f>
        <v/>
      </c>
      <c r="L1043" s="18">
        <f>IF($Z1043="","",IF(AND(DATE($AD1043,3,1)&gt;=$AE1043,DATE($AD1043,3,1)&lt;=$AF1043),ROUND($AG1043,2),0))</f>
        <v/>
      </c>
      <c r="M1043" s="18">
        <f>IF($Z1043="","",IF(AND(DATE($AD1043,4,1)&gt;=$AE1043,DATE($AD1043,4,1)&lt;=$AF1043),ROUND($AG1043,2),0))</f>
        <v/>
      </c>
      <c r="N1043" s="18">
        <f>IF($Z1043="","",IF(AND(DATE($AD1043,5,1)&gt;=$AE1043,DATE($AD1043,5,1)&lt;=$AF1043),ROUND($AG1043,2),0))</f>
        <v/>
      </c>
      <c r="O1043" s="18">
        <f>IF($Z1043="","",IF(AND(DATE($AD1043,6,1)&gt;=$AE1043,DATE($AD1043,6,1)&lt;=$AF1043),ROUND($AG1043,2),0))</f>
        <v/>
      </c>
      <c r="P1043" s="18">
        <f>IF($Z1043="","",IF(AND(DATE($AD1043,7,1)&gt;=$AE1043,DATE($AD1043,7,1)&lt;=$AF1043),ROUND($AG1043,2),0))</f>
        <v/>
      </c>
      <c r="Q1043" s="18">
        <f>IF($Z1043="","",IF(AND(DATE($AD1043,8,1)&gt;=$AE1043,DATE($AD1043,8,1)&lt;=$AF1043),ROUND($AG1043,2),0))</f>
        <v/>
      </c>
      <c r="R1043" s="18">
        <f>IF($Z1043="","",IF(AND(DATE($AD1043,9,1)&gt;=$AE1043,DATE($AD1043,9,1)&lt;=$AF1043),ROUND($AG1043,2),0))</f>
        <v/>
      </c>
      <c r="S1043" s="18">
        <f>IF($Z1043="","",IF(AND(DATE($AD1043,10,1)&gt;=$AE1043,DATE($AD1043,10,1)&lt;=$AF1043),ROUND($AG1043,2),0))</f>
        <v/>
      </c>
      <c r="T1043" s="18">
        <f>IF($Z1043="","",IF(AND(DATE($AD1043,11,1)&gt;=$AE1043,DATE($AD1043,11,1)&lt;=$AF1043),ROUND($AG1043,2),0))</f>
        <v/>
      </c>
      <c r="U1043" s="18">
        <f>IF($Z1043="","",IF(AND(DATE($AD1043,12,1)&gt;=$AE1043,DATE($AD1043,12,1)&lt;=$AF1043),ROUND($AG1043,2),0))</f>
        <v/>
      </c>
      <c r="V1043" s="7">
        <f>IF($Z1043="C","Generated from "&amp;INDEX(Contracts!$A$2:$A$151,$AB1043),IF($Z1043="A","Generated from "&amp;INDEX(Fixed_Assets!$A$2:$A$201,$AB1043),IF($Z1043="F","Generated from "&amp;INDEX(FTE_Allocation!$A$2:$A$201,$AB1043),"")))</f>
        <v/>
      </c>
      <c r="X1043" s="19">
        <f>IF($Z1043="","",SUM(J1043:U1043))</f>
        <v/>
      </c>
      <c r="Y1043" s="20">
        <f>ROW()-1</f>
        <v/>
      </c>
      <c r="Z1043" s="20">
        <f>IF($Y1043&lt;=Settings!$B$4*3,"C",IF($Y1043&lt;=(Settings!$B$4+Settings!$B$5)*3,"A",IF($Y1043&lt;=(Settings!$B$4+Settings!$B$5+Settings!$B$6)*3,"F","")))</f>
        <v/>
      </c>
      <c r="AA1043" s="20">
        <f>IF($Z1043="C",$Y1043,IF($Z1043="A",$Y1043-Settings!$B$4*3,IF($Z1043="F",$Y1043-(Settings!$B$4+Settings!$B$5)*3,"")))</f>
        <v/>
      </c>
      <c r="AB1043" s="20">
        <f>IF($Z1043="","",INT(($AA1043-1)/3)+1)</f>
        <v/>
      </c>
      <c r="AC1043" s="20">
        <f>IF($Z1043="","",MOD($AA1043-1,3)+1)</f>
        <v/>
      </c>
      <c r="AD1043" s="20">
        <f>IF($Z1043="","",Settings!$B$2+$AC1043-1)</f>
        <v/>
      </c>
      <c r="AE1043" s="21">
        <f>IF($Z1043="C",DATE(YEAR(INDEX(Contracts!$J$2:$J$151,$AB1043)),MONTH(INDEX(Contracts!$J$2:$J$151,$AB1043)),1),IF($Z1043="A",DATE(YEAR(INDEX(Fixed_Assets!$G$2:$G$201,$AB1043)),MONTH(INDEX(Fixed_Assets!$G$2:$G$201,$AB1043)),1),IF($Z1043="F",DATE(YEAR(MAX(N(INDEX(Workforce!$I$2:$I$151,MATCH(INDEX(FTE_Allocation!$A$2:$A$201,$AB1043),Workforce!$A$2:$A$151,0))),N(INDEX(FTE_Allocation!$I$2:$I$201,$AB1043)))),MONTH(MAX(N(INDEX(Workforce!$I$2:$I$151,MATCH(INDEX(FTE_Allocation!$A$2:$A$201,$AB1043),Workforce!$A$2:$A$151,0))),N(INDEX(FTE_Allocation!$I$2:$I$201,$AB1043)))),1),"")))</f>
        <v/>
      </c>
      <c r="AF1043" s="21">
        <f>IF($Z1043="C",IF(INDEX(Contracts!$I$2:$I$151,$AB1043)="PREPAID",EDATE(DATE(YEAR(INDEX(Contracts!$J$2:$J$151,$AB1043)),MONTH(INDEX(Contracts!$J$2:$J$151,$AB1043)),1),IF(INDEX(Contracts!$N$2:$N$151,$AB1043)="",12,INDEX(Contracts!$N$2:$N$151,$AB1043))-1),IF(INDEX(Contracts!$I$2:$I$151,$AB1043)="MONTHLY",IF(INDEX(Contracts!$K$2:$K$151,$AB1043)="",2958101,INDEX(Contracts!$K$2:$K$151,$AB1043)),0)),IF($Z1043="A",EDATE(DATE(YEAR(INDEX(Fixed_Assets!$G$2:$G$201,$AB1043)),MONTH(INDEX(Fixed_Assets!$G$2:$G$201,$AB1043)),1),INDEX(Fixed_Assets!$J$2:$J$201,$AB1043)-1),IF($Z1043="F",MIN(IF(INDEX(Workforce!$J$2:$J$151,MATCH(INDEX(FTE_Allocation!$A$2:$A$201,$AB1043),Workforce!$A$2:$A$151,0))="",2958101,INDEX(Workforce!$J$2:$J$151,MATCH(INDEX(FTE_Allocation!$A$2:$A$201,$AB1043),Workforce!$A$2:$A$151,0))),IF(INDEX(FTE_Allocation!$J$2:$J$201,$AB1043)="",2958101,INDEX(FTE_Allocation!$J$2:$J$201,$AB1043))),"")))</f>
        <v/>
      </c>
      <c r="AG1043" s="19">
        <f>IF($Z1043="C",IF(INDEX(Contracts!$I$2:$I$151,$AB1043)="PREPAID",INDEX(Contracts!$M$2:$M$151,$AB1043)/IF(INDEX(Contracts!$N$2:$N$151,$AB1043)="",12,INDEX(Contracts!$N$2:$N$151,$AB1043)),IF(INDEX(Contracts!$I$2:$I$151,$AB1043)="MONTHLY",INDEX(Contracts!$M$2:$M$151,$AB1043),0))*(1-N(INDEX(Contracts!$O$2:$O$151,$AB1043))),IF($Z1043="A",INDEX(Fixed_Assets!$H$2:$H$201,$AB1043)/INDEX(Fixed_Assets!$J$2:$J$201,$AB1043),IF($Z1043="F",INDEX(Workforce!$F$2:$F$151,MATCH(INDEX(FTE_Allocation!$A$2:$A$201,$AB1043),Workforce!$A$2:$A$151,0))*N(INDEX(FTE_Allocation!$F$2:$H$201,$AB1043,$AC1043)),"")))</f>
        <v/>
      </c>
    </row>
    <row r="1044">
      <c r="A1044" s="7">
        <f>IF($Z1044="","",$AD1044)</f>
        <v/>
      </c>
      <c r="B1044" s="7">
        <f>IF($Z1044="C",INDEX(Contracts!$D$2:$D$151,$AB1044)&amp;"",IF($Z1044="A",INDEX(Fixed_Assets!$C$2:$C$201,$AB1044)&amp;"",IF($Z1044="F",INDEX(Workforce!$B$2:$B$151,MATCH(INDEX(FTE_Allocation!$A$2:$A$201,$AB1044),Workforce!$A$2:$A$151,0))&amp;"","")))</f>
        <v/>
      </c>
      <c r="C1044" s="7">
        <f>IF($Z1044="C",INDEX(Contracts!$E$2:$E$151,$AB1044)&amp;"",IF($Z1044="A",INDEX(Fixed_Assets!$D$2:$D$201,$AB1044)&amp;"",IF($Z1044="F",INDEX(FTE_Allocation!$C$2:$C$201,$AB1044)&amp;"","")))</f>
        <v/>
      </c>
      <c r="D1044" s="7">
        <f>IF($Z1044="C",INDEX(Contracts!$B$2:$B$151,$AB1044)&amp;"",IF($Z1044="A",INDEX(Fixed_Assets!$B$2:$B$201,$AB1044)&amp;"",IF($Z1044="F",INDEX(FTE_Allocation!$B$2:$B$201,$AB1044)&amp;"","")))</f>
        <v/>
      </c>
      <c r="E1044" s="7">
        <f>IF($Z1044="C",INDEX(Contracts!$P$2:$P$151,$AB1044)&amp;"",IF($Z1044="A",INDEX(Fixed_Assets!$K$2:$K$201,$AB1044)&amp;"",IF($Z1044="F",IF(INDEX(FTE_Allocation!$D$2:$D$201,$AB1044)="PROJECT",IFERROR(INDEX(Projects!$D:$D,MATCH(INDEX(FTE_Allocation!$E$2:$E$201,$AB1044),Projects!$A:$A,0))&amp;"","#PROJECT?"),INDEX(FTE_Allocation!$E$2:$E$201,$AB1044)&amp;""),"")))</f>
        <v/>
      </c>
      <c r="F1044" s="7">
        <f>IF($Z1044="C",INDEX(Contracts!$Q$2:$Q$151,$AB1044)&amp;"",IF($Z1044="A",INDEX(Fixed_Assets!$L$2:$L$201,$AB1044)&amp;"",IF($Z1044="F",INDEX(Workforce!$K$2:$K$151,MATCH(INDEX(FTE_Allocation!$A$2:$A$201,$AB1044),Workforce!$A$2:$A$151,0))&amp;"","")))</f>
        <v/>
      </c>
      <c r="G1044" s="7">
        <f>IF($Z1044="C",INDEX(Contracts!$F$2:$F$151,$AB1044)&amp;" / "&amp;INDEX(Contracts!$G$2:$G$151,$AB1044),IF($Z1044="A",INDEX(Fixed_Assets!$E$2:$E$201,$AB1044)&amp;"",IF($Z1044="F","Personnel "&amp;INDEX(FTE_Allocation!$A$2:$A$201,$AB1044)&amp;IF(INDEX(FTE_Allocation!$D$2:$D$201,$AB1044)="PROJECT"," ("&amp;INDEX(FTE_Allocation!$E$2:$E$201,$AB1044)&amp;")",""),"")))</f>
        <v/>
      </c>
      <c r="H1044" s="7">
        <f>IF($Z1044="C","CONTRACT",IF($Z1044="A","ASSET",IF($Z1044="F","WORKFORCE","")))</f>
        <v/>
      </c>
      <c r="I1044" s="7">
        <f>IF($Z1044="C",INDEX(Contracts!$L$2:$L$151,$AB1044)&amp;"",IF($Z1044="A",INDEX(Fixed_Assets!$I$2:$I$201,$AB1044)&amp;"",IF($Z1044="F",INDEX(Workforce!$G$2:$G$151,MATCH(INDEX(FTE_Allocation!$A$2:$A$201,$AB1044),Workforce!$A$2:$A$151,0))&amp;"","")))</f>
        <v/>
      </c>
      <c r="J1044" s="18">
        <f>IF($Z1044="","",IF(AND(DATE($AD1044,1,1)&gt;=$AE1044,DATE($AD1044,1,1)&lt;=$AF1044),ROUND($AG1044,2),0))</f>
        <v/>
      </c>
      <c r="K1044" s="18">
        <f>IF($Z1044="","",IF(AND(DATE($AD1044,2,1)&gt;=$AE1044,DATE($AD1044,2,1)&lt;=$AF1044),ROUND($AG1044,2),0))</f>
        <v/>
      </c>
      <c r="L1044" s="18">
        <f>IF($Z1044="","",IF(AND(DATE($AD1044,3,1)&gt;=$AE1044,DATE($AD1044,3,1)&lt;=$AF1044),ROUND($AG1044,2),0))</f>
        <v/>
      </c>
      <c r="M1044" s="18">
        <f>IF($Z1044="","",IF(AND(DATE($AD1044,4,1)&gt;=$AE1044,DATE($AD1044,4,1)&lt;=$AF1044),ROUND($AG1044,2),0))</f>
        <v/>
      </c>
      <c r="N1044" s="18">
        <f>IF($Z1044="","",IF(AND(DATE($AD1044,5,1)&gt;=$AE1044,DATE($AD1044,5,1)&lt;=$AF1044),ROUND($AG1044,2),0))</f>
        <v/>
      </c>
      <c r="O1044" s="18">
        <f>IF($Z1044="","",IF(AND(DATE($AD1044,6,1)&gt;=$AE1044,DATE($AD1044,6,1)&lt;=$AF1044),ROUND($AG1044,2),0))</f>
        <v/>
      </c>
      <c r="P1044" s="18">
        <f>IF($Z1044="","",IF(AND(DATE($AD1044,7,1)&gt;=$AE1044,DATE($AD1044,7,1)&lt;=$AF1044),ROUND($AG1044,2),0))</f>
        <v/>
      </c>
      <c r="Q1044" s="18">
        <f>IF($Z1044="","",IF(AND(DATE($AD1044,8,1)&gt;=$AE1044,DATE($AD1044,8,1)&lt;=$AF1044),ROUND($AG1044,2),0))</f>
        <v/>
      </c>
      <c r="R1044" s="18">
        <f>IF($Z1044="","",IF(AND(DATE($AD1044,9,1)&gt;=$AE1044,DATE($AD1044,9,1)&lt;=$AF1044),ROUND($AG1044,2),0))</f>
        <v/>
      </c>
      <c r="S1044" s="18">
        <f>IF($Z1044="","",IF(AND(DATE($AD1044,10,1)&gt;=$AE1044,DATE($AD1044,10,1)&lt;=$AF1044),ROUND($AG1044,2),0))</f>
        <v/>
      </c>
      <c r="T1044" s="18">
        <f>IF($Z1044="","",IF(AND(DATE($AD1044,11,1)&gt;=$AE1044,DATE($AD1044,11,1)&lt;=$AF1044),ROUND($AG1044,2),0))</f>
        <v/>
      </c>
      <c r="U1044" s="18">
        <f>IF($Z1044="","",IF(AND(DATE($AD1044,12,1)&gt;=$AE1044,DATE($AD1044,12,1)&lt;=$AF1044),ROUND($AG1044,2),0))</f>
        <v/>
      </c>
      <c r="V1044" s="7">
        <f>IF($Z1044="C","Generated from "&amp;INDEX(Contracts!$A$2:$A$151,$AB1044),IF($Z1044="A","Generated from "&amp;INDEX(Fixed_Assets!$A$2:$A$201,$AB1044),IF($Z1044="F","Generated from "&amp;INDEX(FTE_Allocation!$A$2:$A$201,$AB1044),"")))</f>
        <v/>
      </c>
      <c r="X1044" s="19">
        <f>IF($Z1044="","",SUM(J1044:U1044))</f>
        <v/>
      </c>
      <c r="Y1044" s="20">
        <f>ROW()-1</f>
        <v/>
      </c>
      <c r="Z1044" s="20">
        <f>IF($Y1044&lt;=Settings!$B$4*3,"C",IF($Y1044&lt;=(Settings!$B$4+Settings!$B$5)*3,"A",IF($Y1044&lt;=(Settings!$B$4+Settings!$B$5+Settings!$B$6)*3,"F","")))</f>
        <v/>
      </c>
      <c r="AA1044" s="20">
        <f>IF($Z1044="C",$Y1044,IF($Z1044="A",$Y1044-Settings!$B$4*3,IF($Z1044="F",$Y1044-(Settings!$B$4+Settings!$B$5)*3,"")))</f>
        <v/>
      </c>
      <c r="AB1044" s="20">
        <f>IF($Z1044="","",INT(($AA1044-1)/3)+1)</f>
        <v/>
      </c>
      <c r="AC1044" s="20">
        <f>IF($Z1044="","",MOD($AA1044-1,3)+1)</f>
        <v/>
      </c>
      <c r="AD1044" s="20">
        <f>IF($Z1044="","",Settings!$B$2+$AC1044-1)</f>
        <v/>
      </c>
      <c r="AE1044" s="21">
        <f>IF($Z1044="C",DATE(YEAR(INDEX(Contracts!$J$2:$J$151,$AB1044)),MONTH(INDEX(Contracts!$J$2:$J$151,$AB1044)),1),IF($Z1044="A",DATE(YEAR(INDEX(Fixed_Assets!$G$2:$G$201,$AB1044)),MONTH(INDEX(Fixed_Assets!$G$2:$G$201,$AB1044)),1),IF($Z1044="F",DATE(YEAR(MAX(N(INDEX(Workforce!$I$2:$I$151,MATCH(INDEX(FTE_Allocation!$A$2:$A$201,$AB1044),Workforce!$A$2:$A$151,0))),N(INDEX(FTE_Allocation!$I$2:$I$201,$AB1044)))),MONTH(MAX(N(INDEX(Workforce!$I$2:$I$151,MATCH(INDEX(FTE_Allocation!$A$2:$A$201,$AB1044),Workforce!$A$2:$A$151,0))),N(INDEX(FTE_Allocation!$I$2:$I$201,$AB1044)))),1),"")))</f>
        <v/>
      </c>
      <c r="AF1044" s="21">
        <f>IF($Z1044="C",IF(INDEX(Contracts!$I$2:$I$151,$AB1044)="PREPAID",EDATE(DATE(YEAR(INDEX(Contracts!$J$2:$J$151,$AB1044)),MONTH(INDEX(Contracts!$J$2:$J$151,$AB1044)),1),IF(INDEX(Contracts!$N$2:$N$151,$AB1044)="",12,INDEX(Contracts!$N$2:$N$151,$AB1044))-1),IF(INDEX(Contracts!$I$2:$I$151,$AB1044)="MONTHLY",IF(INDEX(Contracts!$K$2:$K$151,$AB1044)="",2958101,INDEX(Contracts!$K$2:$K$151,$AB1044)),0)),IF($Z1044="A",EDATE(DATE(YEAR(INDEX(Fixed_Assets!$G$2:$G$201,$AB1044)),MONTH(INDEX(Fixed_Assets!$G$2:$G$201,$AB1044)),1),INDEX(Fixed_Assets!$J$2:$J$201,$AB1044)-1),IF($Z1044="F",MIN(IF(INDEX(Workforce!$J$2:$J$151,MATCH(INDEX(FTE_Allocation!$A$2:$A$201,$AB1044),Workforce!$A$2:$A$151,0))="",2958101,INDEX(Workforce!$J$2:$J$151,MATCH(INDEX(FTE_Allocation!$A$2:$A$201,$AB1044),Workforce!$A$2:$A$151,0))),IF(INDEX(FTE_Allocation!$J$2:$J$201,$AB1044)="",2958101,INDEX(FTE_Allocation!$J$2:$J$201,$AB1044))),"")))</f>
        <v/>
      </c>
      <c r="AG1044" s="19">
        <f>IF($Z1044="C",IF(INDEX(Contracts!$I$2:$I$151,$AB1044)="PREPAID",INDEX(Contracts!$M$2:$M$151,$AB1044)/IF(INDEX(Contracts!$N$2:$N$151,$AB1044)="",12,INDEX(Contracts!$N$2:$N$151,$AB1044)),IF(INDEX(Contracts!$I$2:$I$151,$AB1044)="MONTHLY",INDEX(Contracts!$M$2:$M$151,$AB1044),0))*(1-N(INDEX(Contracts!$O$2:$O$151,$AB1044))),IF($Z1044="A",INDEX(Fixed_Assets!$H$2:$H$201,$AB1044)/INDEX(Fixed_Assets!$J$2:$J$201,$AB1044),IF($Z1044="F",INDEX(Workforce!$F$2:$F$151,MATCH(INDEX(FTE_Allocation!$A$2:$A$201,$AB1044),Workforce!$A$2:$A$151,0))*N(INDEX(FTE_Allocation!$F$2:$H$201,$AB1044,$AC1044)),"")))</f>
        <v/>
      </c>
    </row>
    <row r="1045">
      <c r="A1045" s="7">
        <f>IF($Z1045="","",$AD1045)</f>
        <v/>
      </c>
      <c r="B1045" s="7">
        <f>IF($Z1045="C",INDEX(Contracts!$D$2:$D$151,$AB1045)&amp;"",IF($Z1045="A",INDEX(Fixed_Assets!$C$2:$C$201,$AB1045)&amp;"",IF($Z1045="F",INDEX(Workforce!$B$2:$B$151,MATCH(INDEX(FTE_Allocation!$A$2:$A$201,$AB1045),Workforce!$A$2:$A$151,0))&amp;"","")))</f>
        <v/>
      </c>
      <c r="C1045" s="7">
        <f>IF($Z1045="C",INDEX(Contracts!$E$2:$E$151,$AB1045)&amp;"",IF($Z1045="A",INDEX(Fixed_Assets!$D$2:$D$201,$AB1045)&amp;"",IF($Z1045="F",INDEX(FTE_Allocation!$C$2:$C$201,$AB1045)&amp;"","")))</f>
        <v/>
      </c>
      <c r="D1045" s="7">
        <f>IF($Z1045="C",INDEX(Contracts!$B$2:$B$151,$AB1045)&amp;"",IF($Z1045="A",INDEX(Fixed_Assets!$B$2:$B$201,$AB1045)&amp;"",IF($Z1045="F",INDEX(FTE_Allocation!$B$2:$B$201,$AB1045)&amp;"","")))</f>
        <v/>
      </c>
      <c r="E1045" s="7">
        <f>IF($Z1045="C",INDEX(Contracts!$P$2:$P$151,$AB1045)&amp;"",IF($Z1045="A",INDEX(Fixed_Assets!$K$2:$K$201,$AB1045)&amp;"",IF($Z1045="F",IF(INDEX(FTE_Allocation!$D$2:$D$201,$AB1045)="PROJECT",IFERROR(INDEX(Projects!$D:$D,MATCH(INDEX(FTE_Allocation!$E$2:$E$201,$AB1045),Projects!$A:$A,0))&amp;"","#PROJECT?"),INDEX(FTE_Allocation!$E$2:$E$201,$AB1045)&amp;""),"")))</f>
        <v/>
      </c>
      <c r="F1045" s="7">
        <f>IF($Z1045="C",INDEX(Contracts!$Q$2:$Q$151,$AB1045)&amp;"",IF($Z1045="A",INDEX(Fixed_Assets!$L$2:$L$201,$AB1045)&amp;"",IF($Z1045="F",INDEX(Workforce!$K$2:$K$151,MATCH(INDEX(FTE_Allocation!$A$2:$A$201,$AB1045),Workforce!$A$2:$A$151,0))&amp;"","")))</f>
        <v/>
      </c>
      <c r="G1045" s="7">
        <f>IF($Z1045="C",INDEX(Contracts!$F$2:$F$151,$AB1045)&amp;" / "&amp;INDEX(Contracts!$G$2:$G$151,$AB1045),IF($Z1045="A",INDEX(Fixed_Assets!$E$2:$E$201,$AB1045)&amp;"",IF($Z1045="F","Personnel "&amp;INDEX(FTE_Allocation!$A$2:$A$201,$AB1045)&amp;IF(INDEX(FTE_Allocation!$D$2:$D$201,$AB1045)="PROJECT"," ("&amp;INDEX(FTE_Allocation!$E$2:$E$201,$AB1045)&amp;")",""),"")))</f>
        <v/>
      </c>
      <c r="H1045" s="7">
        <f>IF($Z1045="C","CONTRACT",IF($Z1045="A","ASSET",IF($Z1045="F","WORKFORCE","")))</f>
        <v/>
      </c>
      <c r="I1045" s="7">
        <f>IF($Z1045="C",INDEX(Contracts!$L$2:$L$151,$AB1045)&amp;"",IF($Z1045="A",INDEX(Fixed_Assets!$I$2:$I$201,$AB1045)&amp;"",IF($Z1045="F",INDEX(Workforce!$G$2:$G$151,MATCH(INDEX(FTE_Allocation!$A$2:$A$201,$AB1045),Workforce!$A$2:$A$151,0))&amp;"","")))</f>
        <v/>
      </c>
      <c r="J1045" s="18">
        <f>IF($Z1045="","",IF(AND(DATE($AD1045,1,1)&gt;=$AE1045,DATE($AD1045,1,1)&lt;=$AF1045),ROUND($AG1045,2),0))</f>
        <v/>
      </c>
      <c r="K1045" s="18">
        <f>IF($Z1045="","",IF(AND(DATE($AD1045,2,1)&gt;=$AE1045,DATE($AD1045,2,1)&lt;=$AF1045),ROUND($AG1045,2),0))</f>
        <v/>
      </c>
      <c r="L1045" s="18">
        <f>IF($Z1045="","",IF(AND(DATE($AD1045,3,1)&gt;=$AE1045,DATE($AD1045,3,1)&lt;=$AF1045),ROUND($AG1045,2),0))</f>
        <v/>
      </c>
      <c r="M1045" s="18">
        <f>IF($Z1045="","",IF(AND(DATE($AD1045,4,1)&gt;=$AE1045,DATE($AD1045,4,1)&lt;=$AF1045),ROUND($AG1045,2),0))</f>
        <v/>
      </c>
      <c r="N1045" s="18">
        <f>IF($Z1045="","",IF(AND(DATE($AD1045,5,1)&gt;=$AE1045,DATE($AD1045,5,1)&lt;=$AF1045),ROUND($AG1045,2),0))</f>
        <v/>
      </c>
      <c r="O1045" s="18">
        <f>IF($Z1045="","",IF(AND(DATE($AD1045,6,1)&gt;=$AE1045,DATE($AD1045,6,1)&lt;=$AF1045),ROUND($AG1045,2),0))</f>
        <v/>
      </c>
      <c r="P1045" s="18">
        <f>IF($Z1045="","",IF(AND(DATE($AD1045,7,1)&gt;=$AE1045,DATE($AD1045,7,1)&lt;=$AF1045),ROUND($AG1045,2),0))</f>
        <v/>
      </c>
      <c r="Q1045" s="18">
        <f>IF($Z1045="","",IF(AND(DATE($AD1045,8,1)&gt;=$AE1045,DATE($AD1045,8,1)&lt;=$AF1045),ROUND($AG1045,2),0))</f>
        <v/>
      </c>
      <c r="R1045" s="18">
        <f>IF($Z1045="","",IF(AND(DATE($AD1045,9,1)&gt;=$AE1045,DATE($AD1045,9,1)&lt;=$AF1045),ROUND($AG1045,2),0))</f>
        <v/>
      </c>
      <c r="S1045" s="18">
        <f>IF($Z1045="","",IF(AND(DATE($AD1045,10,1)&gt;=$AE1045,DATE($AD1045,10,1)&lt;=$AF1045),ROUND($AG1045,2),0))</f>
        <v/>
      </c>
      <c r="T1045" s="18">
        <f>IF($Z1045="","",IF(AND(DATE($AD1045,11,1)&gt;=$AE1045,DATE($AD1045,11,1)&lt;=$AF1045),ROUND($AG1045,2),0))</f>
        <v/>
      </c>
      <c r="U1045" s="18">
        <f>IF($Z1045="","",IF(AND(DATE($AD1045,12,1)&gt;=$AE1045,DATE($AD1045,12,1)&lt;=$AF1045),ROUND($AG1045,2),0))</f>
        <v/>
      </c>
      <c r="V1045" s="7">
        <f>IF($Z1045="C","Generated from "&amp;INDEX(Contracts!$A$2:$A$151,$AB1045),IF($Z1045="A","Generated from "&amp;INDEX(Fixed_Assets!$A$2:$A$201,$AB1045),IF($Z1045="F","Generated from "&amp;INDEX(FTE_Allocation!$A$2:$A$201,$AB1045),"")))</f>
        <v/>
      </c>
      <c r="X1045" s="19">
        <f>IF($Z1045="","",SUM(J1045:U1045))</f>
        <v/>
      </c>
      <c r="Y1045" s="20">
        <f>ROW()-1</f>
        <v/>
      </c>
      <c r="Z1045" s="20">
        <f>IF($Y1045&lt;=Settings!$B$4*3,"C",IF($Y1045&lt;=(Settings!$B$4+Settings!$B$5)*3,"A",IF($Y1045&lt;=(Settings!$B$4+Settings!$B$5+Settings!$B$6)*3,"F","")))</f>
        <v/>
      </c>
      <c r="AA1045" s="20">
        <f>IF($Z1045="C",$Y1045,IF($Z1045="A",$Y1045-Settings!$B$4*3,IF($Z1045="F",$Y1045-(Settings!$B$4+Settings!$B$5)*3,"")))</f>
        <v/>
      </c>
      <c r="AB1045" s="20">
        <f>IF($Z1045="","",INT(($AA1045-1)/3)+1)</f>
        <v/>
      </c>
      <c r="AC1045" s="20">
        <f>IF($Z1045="","",MOD($AA1045-1,3)+1)</f>
        <v/>
      </c>
      <c r="AD1045" s="20">
        <f>IF($Z1045="","",Settings!$B$2+$AC1045-1)</f>
        <v/>
      </c>
      <c r="AE1045" s="21">
        <f>IF($Z1045="C",DATE(YEAR(INDEX(Contracts!$J$2:$J$151,$AB1045)),MONTH(INDEX(Contracts!$J$2:$J$151,$AB1045)),1),IF($Z1045="A",DATE(YEAR(INDEX(Fixed_Assets!$G$2:$G$201,$AB1045)),MONTH(INDEX(Fixed_Assets!$G$2:$G$201,$AB1045)),1),IF($Z1045="F",DATE(YEAR(MAX(N(INDEX(Workforce!$I$2:$I$151,MATCH(INDEX(FTE_Allocation!$A$2:$A$201,$AB1045),Workforce!$A$2:$A$151,0))),N(INDEX(FTE_Allocation!$I$2:$I$201,$AB1045)))),MONTH(MAX(N(INDEX(Workforce!$I$2:$I$151,MATCH(INDEX(FTE_Allocation!$A$2:$A$201,$AB1045),Workforce!$A$2:$A$151,0))),N(INDEX(FTE_Allocation!$I$2:$I$201,$AB1045)))),1),"")))</f>
        <v/>
      </c>
      <c r="AF1045" s="21">
        <f>IF($Z1045="C",IF(INDEX(Contracts!$I$2:$I$151,$AB1045)="PREPAID",EDATE(DATE(YEAR(INDEX(Contracts!$J$2:$J$151,$AB1045)),MONTH(INDEX(Contracts!$J$2:$J$151,$AB1045)),1),IF(INDEX(Contracts!$N$2:$N$151,$AB1045)="",12,INDEX(Contracts!$N$2:$N$151,$AB1045))-1),IF(INDEX(Contracts!$I$2:$I$151,$AB1045)="MONTHLY",IF(INDEX(Contracts!$K$2:$K$151,$AB1045)="",2958101,INDEX(Contracts!$K$2:$K$151,$AB1045)),0)),IF($Z1045="A",EDATE(DATE(YEAR(INDEX(Fixed_Assets!$G$2:$G$201,$AB1045)),MONTH(INDEX(Fixed_Assets!$G$2:$G$201,$AB1045)),1),INDEX(Fixed_Assets!$J$2:$J$201,$AB1045)-1),IF($Z1045="F",MIN(IF(INDEX(Workforce!$J$2:$J$151,MATCH(INDEX(FTE_Allocation!$A$2:$A$201,$AB1045),Workforce!$A$2:$A$151,0))="",2958101,INDEX(Workforce!$J$2:$J$151,MATCH(INDEX(FTE_Allocation!$A$2:$A$201,$AB1045),Workforce!$A$2:$A$151,0))),IF(INDEX(FTE_Allocation!$J$2:$J$201,$AB1045)="",2958101,INDEX(FTE_Allocation!$J$2:$J$201,$AB1045))),"")))</f>
        <v/>
      </c>
      <c r="AG1045" s="19">
        <f>IF($Z1045="C",IF(INDEX(Contracts!$I$2:$I$151,$AB1045)="PREPAID",INDEX(Contracts!$M$2:$M$151,$AB1045)/IF(INDEX(Contracts!$N$2:$N$151,$AB1045)="",12,INDEX(Contracts!$N$2:$N$151,$AB1045)),IF(INDEX(Contracts!$I$2:$I$151,$AB1045)="MONTHLY",INDEX(Contracts!$M$2:$M$151,$AB1045),0))*(1-N(INDEX(Contracts!$O$2:$O$151,$AB1045))),IF($Z1045="A",INDEX(Fixed_Assets!$H$2:$H$201,$AB1045)/INDEX(Fixed_Assets!$J$2:$J$201,$AB1045),IF($Z1045="F",INDEX(Workforce!$F$2:$F$151,MATCH(INDEX(FTE_Allocation!$A$2:$A$201,$AB1045),Workforce!$A$2:$A$151,0))*N(INDEX(FTE_Allocation!$F$2:$H$201,$AB1045,$AC1045)),"")))</f>
        <v/>
      </c>
    </row>
    <row r="1046">
      <c r="A1046" s="7">
        <f>IF($Z1046="","",$AD1046)</f>
        <v/>
      </c>
      <c r="B1046" s="7">
        <f>IF($Z1046="C",INDEX(Contracts!$D$2:$D$151,$AB1046)&amp;"",IF($Z1046="A",INDEX(Fixed_Assets!$C$2:$C$201,$AB1046)&amp;"",IF($Z1046="F",INDEX(Workforce!$B$2:$B$151,MATCH(INDEX(FTE_Allocation!$A$2:$A$201,$AB1046),Workforce!$A$2:$A$151,0))&amp;"","")))</f>
        <v/>
      </c>
      <c r="C1046" s="7">
        <f>IF($Z1046="C",INDEX(Contracts!$E$2:$E$151,$AB1046)&amp;"",IF($Z1046="A",INDEX(Fixed_Assets!$D$2:$D$201,$AB1046)&amp;"",IF($Z1046="F",INDEX(FTE_Allocation!$C$2:$C$201,$AB1046)&amp;"","")))</f>
        <v/>
      </c>
      <c r="D1046" s="7">
        <f>IF($Z1046="C",INDEX(Contracts!$B$2:$B$151,$AB1046)&amp;"",IF($Z1046="A",INDEX(Fixed_Assets!$B$2:$B$201,$AB1046)&amp;"",IF($Z1046="F",INDEX(FTE_Allocation!$B$2:$B$201,$AB1046)&amp;"","")))</f>
        <v/>
      </c>
      <c r="E1046" s="7">
        <f>IF($Z1046="C",INDEX(Contracts!$P$2:$P$151,$AB1046)&amp;"",IF($Z1046="A",INDEX(Fixed_Assets!$K$2:$K$201,$AB1046)&amp;"",IF($Z1046="F",IF(INDEX(FTE_Allocation!$D$2:$D$201,$AB1046)="PROJECT",IFERROR(INDEX(Projects!$D:$D,MATCH(INDEX(FTE_Allocation!$E$2:$E$201,$AB1046),Projects!$A:$A,0))&amp;"","#PROJECT?"),INDEX(FTE_Allocation!$E$2:$E$201,$AB1046)&amp;""),"")))</f>
        <v/>
      </c>
      <c r="F1046" s="7">
        <f>IF($Z1046="C",INDEX(Contracts!$Q$2:$Q$151,$AB1046)&amp;"",IF($Z1046="A",INDEX(Fixed_Assets!$L$2:$L$201,$AB1046)&amp;"",IF($Z1046="F",INDEX(Workforce!$K$2:$K$151,MATCH(INDEX(FTE_Allocation!$A$2:$A$201,$AB1046),Workforce!$A$2:$A$151,0))&amp;"","")))</f>
        <v/>
      </c>
      <c r="G1046" s="7">
        <f>IF($Z1046="C",INDEX(Contracts!$F$2:$F$151,$AB1046)&amp;" / "&amp;INDEX(Contracts!$G$2:$G$151,$AB1046),IF($Z1046="A",INDEX(Fixed_Assets!$E$2:$E$201,$AB1046)&amp;"",IF($Z1046="F","Personnel "&amp;INDEX(FTE_Allocation!$A$2:$A$201,$AB1046)&amp;IF(INDEX(FTE_Allocation!$D$2:$D$201,$AB1046)="PROJECT"," ("&amp;INDEX(FTE_Allocation!$E$2:$E$201,$AB1046)&amp;")",""),"")))</f>
        <v/>
      </c>
      <c r="H1046" s="7">
        <f>IF($Z1046="C","CONTRACT",IF($Z1046="A","ASSET",IF($Z1046="F","WORKFORCE","")))</f>
        <v/>
      </c>
      <c r="I1046" s="7">
        <f>IF($Z1046="C",INDEX(Contracts!$L$2:$L$151,$AB1046)&amp;"",IF($Z1046="A",INDEX(Fixed_Assets!$I$2:$I$201,$AB1046)&amp;"",IF($Z1046="F",INDEX(Workforce!$G$2:$G$151,MATCH(INDEX(FTE_Allocation!$A$2:$A$201,$AB1046),Workforce!$A$2:$A$151,0))&amp;"","")))</f>
        <v/>
      </c>
      <c r="J1046" s="18">
        <f>IF($Z1046="","",IF(AND(DATE($AD1046,1,1)&gt;=$AE1046,DATE($AD1046,1,1)&lt;=$AF1046),ROUND($AG1046,2),0))</f>
        <v/>
      </c>
      <c r="K1046" s="18">
        <f>IF($Z1046="","",IF(AND(DATE($AD1046,2,1)&gt;=$AE1046,DATE($AD1046,2,1)&lt;=$AF1046),ROUND($AG1046,2),0))</f>
        <v/>
      </c>
      <c r="L1046" s="18">
        <f>IF($Z1046="","",IF(AND(DATE($AD1046,3,1)&gt;=$AE1046,DATE($AD1046,3,1)&lt;=$AF1046),ROUND($AG1046,2),0))</f>
        <v/>
      </c>
      <c r="M1046" s="18">
        <f>IF($Z1046="","",IF(AND(DATE($AD1046,4,1)&gt;=$AE1046,DATE($AD1046,4,1)&lt;=$AF1046),ROUND($AG1046,2),0))</f>
        <v/>
      </c>
      <c r="N1046" s="18">
        <f>IF($Z1046="","",IF(AND(DATE($AD1046,5,1)&gt;=$AE1046,DATE($AD1046,5,1)&lt;=$AF1046),ROUND($AG1046,2),0))</f>
        <v/>
      </c>
      <c r="O1046" s="18">
        <f>IF($Z1046="","",IF(AND(DATE($AD1046,6,1)&gt;=$AE1046,DATE($AD1046,6,1)&lt;=$AF1046),ROUND($AG1046,2),0))</f>
        <v/>
      </c>
      <c r="P1046" s="18">
        <f>IF($Z1046="","",IF(AND(DATE($AD1046,7,1)&gt;=$AE1046,DATE($AD1046,7,1)&lt;=$AF1046),ROUND($AG1046,2),0))</f>
        <v/>
      </c>
      <c r="Q1046" s="18">
        <f>IF($Z1046="","",IF(AND(DATE($AD1046,8,1)&gt;=$AE1046,DATE($AD1046,8,1)&lt;=$AF1046),ROUND($AG1046,2),0))</f>
        <v/>
      </c>
      <c r="R1046" s="18">
        <f>IF($Z1046="","",IF(AND(DATE($AD1046,9,1)&gt;=$AE1046,DATE($AD1046,9,1)&lt;=$AF1046),ROUND($AG1046,2),0))</f>
        <v/>
      </c>
      <c r="S1046" s="18">
        <f>IF($Z1046="","",IF(AND(DATE($AD1046,10,1)&gt;=$AE1046,DATE($AD1046,10,1)&lt;=$AF1046),ROUND($AG1046,2),0))</f>
        <v/>
      </c>
      <c r="T1046" s="18">
        <f>IF($Z1046="","",IF(AND(DATE($AD1046,11,1)&gt;=$AE1046,DATE($AD1046,11,1)&lt;=$AF1046),ROUND($AG1046,2),0))</f>
        <v/>
      </c>
      <c r="U1046" s="18">
        <f>IF($Z1046="","",IF(AND(DATE($AD1046,12,1)&gt;=$AE1046,DATE($AD1046,12,1)&lt;=$AF1046),ROUND($AG1046,2),0))</f>
        <v/>
      </c>
      <c r="V1046" s="7">
        <f>IF($Z1046="C","Generated from "&amp;INDEX(Contracts!$A$2:$A$151,$AB1046),IF($Z1046="A","Generated from "&amp;INDEX(Fixed_Assets!$A$2:$A$201,$AB1046),IF($Z1046="F","Generated from "&amp;INDEX(FTE_Allocation!$A$2:$A$201,$AB1046),"")))</f>
        <v/>
      </c>
      <c r="X1046" s="19">
        <f>IF($Z1046="","",SUM(J1046:U1046))</f>
        <v/>
      </c>
      <c r="Y1046" s="20">
        <f>ROW()-1</f>
        <v/>
      </c>
      <c r="Z1046" s="20">
        <f>IF($Y1046&lt;=Settings!$B$4*3,"C",IF($Y1046&lt;=(Settings!$B$4+Settings!$B$5)*3,"A",IF($Y1046&lt;=(Settings!$B$4+Settings!$B$5+Settings!$B$6)*3,"F","")))</f>
        <v/>
      </c>
      <c r="AA1046" s="20">
        <f>IF($Z1046="C",$Y1046,IF($Z1046="A",$Y1046-Settings!$B$4*3,IF($Z1046="F",$Y1046-(Settings!$B$4+Settings!$B$5)*3,"")))</f>
        <v/>
      </c>
      <c r="AB1046" s="20">
        <f>IF($Z1046="","",INT(($AA1046-1)/3)+1)</f>
        <v/>
      </c>
      <c r="AC1046" s="20">
        <f>IF($Z1046="","",MOD($AA1046-1,3)+1)</f>
        <v/>
      </c>
      <c r="AD1046" s="20">
        <f>IF($Z1046="","",Settings!$B$2+$AC1046-1)</f>
        <v/>
      </c>
      <c r="AE1046" s="21">
        <f>IF($Z1046="C",DATE(YEAR(INDEX(Contracts!$J$2:$J$151,$AB1046)),MONTH(INDEX(Contracts!$J$2:$J$151,$AB1046)),1),IF($Z1046="A",DATE(YEAR(INDEX(Fixed_Assets!$G$2:$G$201,$AB1046)),MONTH(INDEX(Fixed_Assets!$G$2:$G$201,$AB1046)),1),IF($Z1046="F",DATE(YEAR(MAX(N(INDEX(Workforce!$I$2:$I$151,MATCH(INDEX(FTE_Allocation!$A$2:$A$201,$AB1046),Workforce!$A$2:$A$151,0))),N(INDEX(FTE_Allocation!$I$2:$I$201,$AB1046)))),MONTH(MAX(N(INDEX(Workforce!$I$2:$I$151,MATCH(INDEX(FTE_Allocation!$A$2:$A$201,$AB1046),Workforce!$A$2:$A$151,0))),N(INDEX(FTE_Allocation!$I$2:$I$201,$AB1046)))),1),"")))</f>
        <v/>
      </c>
      <c r="AF1046" s="21">
        <f>IF($Z1046="C",IF(INDEX(Contracts!$I$2:$I$151,$AB1046)="PREPAID",EDATE(DATE(YEAR(INDEX(Contracts!$J$2:$J$151,$AB1046)),MONTH(INDEX(Contracts!$J$2:$J$151,$AB1046)),1),IF(INDEX(Contracts!$N$2:$N$151,$AB1046)="",12,INDEX(Contracts!$N$2:$N$151,$AB1046))-1),IF(INDEX(Contracts!$I$2:$I$151,$AB1046)="MONTHLY",IF(INDEX(Contracts!$K$2:$K$151,$AB1046)="",2958101,INDEX(Contracts!$K$2:$K$151,$AB1046)),0)),IF($Z1046="A",EDATE(DATE(YEAR(INDEX(Fixed_Assets!$G$2:$G$201,$AB1046)),MONTH(INDEX(Fixed_Assets!$G$2:$G$201,$AB1046)),1),INDEX(Fixed_Assets!$J$2:$J$201,$AB1046)-1),IF($Z1046="F",MIN(IF(INDEX(Workforce!$J$2:$J$151,MATCH(INDEX(FTE_Allocation!$A$2:$A$201,$AB1046),Workforce!$A$2:$A$151,0))="",2958101,INDEX(Workforce!$J$2:$J$151,MATCH(INDEX(FTE_Allocation!$A$2:$A$201,$AB1046),Workforce!$A$2:$A$151,0))),IF(INDEX(FTE_Allocation!$J$2:$J$201,$AB1046)="",2958101,INDEX(FTE_Allocation!$J$2:$J$201,$AB1046))),"")))</f>
        <v/>
      </c>
      <c r="AG1046" s="19">
        <f>IF($Z1046="C",IF(INDEX(Contracts!$I$2:$I$151,$AB1046)="PREPAID",INDEX(Contracts!$M$2:$M$151,$AB1046)/IF(INDEX(Contracts!$N$2:$N$151,$AB1046)="",12,INDEX(Contracts!$N$2:$N$151,$AB1046)),IF(INDEX(Contracts!$I$2:$I$151,$AB1046)="MONTHLY",INDEX(Contracts!$M$2:$M$151,$AB1046),0))*(1-N(INDEX(Contracts!$O$2:$O$151,$AB1046))),IF($Z1046="A",INDEX(Fixed_Assets!$H$2:$H$201,$AB1046)/INDEX(Fixed_Assets!$J$2:$J$201,$AB1046),IF($Z1046="F",INDEX(Workforce!$F$2:$F$151,MATCH(INDEX(FTE_Allocation!$A$2:$A$201,$AB1046),Workforce!$A$2:$A$151,0))*N(INDEX(FTE_Allocation!$F$2:$H$201,$AB1046,$AC1046)),"")))</f>
        <v/>
      </c>
    </row>
    <row r="1047">
      <c r="A1047" s="7">
        <f>IF($Z1047="","",$AD1047)</f>
        <v/>
      </c>
      <c r="B1047" s="7">
        <f>IF($Z1047="C",INDEX(Contracts!$D$2:$D$151,$AB1047)&amp;"",IF($Z1047="A",INDEX(Fixed_Assets!$C$2:$C$201,$AB1047)&amp;"",IF($Z1047="F",INDEX(Workforce!$B$2:$B$151,MATCH(INDEX(FTE_Allocation!$A$2:$A$201,$AB1047),Workforce!$A$2:$A$151,0))&amp;"","")))</f>
        <v/>
      </c>
      <c r="C1047" s="7">
        <f>IF($Z1047="C",INDEX(Contracts!$E$2:$E$151,$AB1047)&amp;"",IF($Z1047="A",INDEX(Fixed_Assets!$D$2:$D$201,$AB1047)&amp;"",IF($Z1047="F",INDEX(FTE_Allocation!$C$2:$C$201,$AB1047)&amp;"","")))</f>
        <v/>
      </c>
      <c r="D1047" s="7">
        <f>IF($Z1047="C",INDEX(Contracts!$B$2:$B$151,$AB1047)&amp;"",IF($Z1047="A",INDEX(Fixed_Assets!$B$2:$B$201,$AB1047)&amp;"",IF($Z1047="F",INDEX(FTE_Allocation!$B$2:$B$201,$AB1047)&amp;"","")))</f>
        <v/>
      </c>
      <c r="E1047" s="7">
        <f>IF($Z1047="C",INDEX(Contracts!$P$2:$P$151,$AB1047)&amp;"",IF($Z1047="A",INDEX(Fixed_Assets!$K$2:$K$201,$AB1047)&amp;"",IF($Z1047="F",IF(INDEX(FTE_Allocation!$D$2:$D$201,$AB1047)="PROJECT",IFERROR(INDEX(Projects!$D:$D,MATCH(INDEX(FTE_Allocation!$E$2:$E$201,$AB1047),Projects!$A:$A,0))&amp;"","#PROJECT?"),INDEX(FTE_Allocation!$E$2:$E$201,$AB1047)&amp;""),"")))</f>
        <v/>
      </c>
      <c r="F1047" s="7">
        <f>IF($Z1047="C",INDEX(Contracts!$Q$2:$Q$151,$AB1047)&amp;"",IF($Z1047="A",INDEX(Fixed_Assets!$L$2:$L$201,$AB1047)&amp;"",IF($Z1047="F",INDEX(Workforce!$K$2:$K$151,MATCH(INDEX(FTE_Allocation!$A$2:$A$201,$AB1047),Workforce!$A$2:$A$151,0))&amp;"","")))</f>
        <v/>
      </c>
      <c r="G1047" s="7">
        <f>IF($Z1047="C",INDEX(Contracts!$F$2:$F$151,$AB1047)&amp;" / "&amp;INDEX(Contracts!$G$2:$G$151,$AB1047),IF($Z1047="A",INDEX(Fixed_Assets!$E$2:$E$201,$AB1047)&amp;"",IF($Z1047="F","Personnel "&amp;INDEX(FTE_Allocation!$A$2:$A$201,$AB1047)&amp;IF(INDEX(FTE_Allocation!$D$2:$D$201,$AB1047)="PROJECT"," ("&amp;INDEX(FTE_Allocation!$E$2:$E$201,$AB1047)&amp;")",""),"")))</f>
        <v/>
      </c>
      <c r="H1047" s="7">
        <f>IF($Z1047="C","CONTRACT",IF($Z1047="A","ASSET",IF($Z1047="F","WORKFORCE","")))</f>
        <v/>
      </c>
      <c r="I1047" s="7">
        <f>IF($Z1047="C",INDEX(Contracts!$L$2:$L$151,$AB1047)&amp;"",IF($Z1047="A",INDEX(Fixed_Assets!$I$2:$I$201,$AB1047)&amp;"",IF($Z1047="F",INDEX(Workforce!$G$2:$G$151,MATCH(INDEX(FTE_Allocation!$A$2:$A$201,$AB1047),Workforce!$A$2:$A$151,0))&amp;"","")))</f>
        <v/>
      </c>
      <c r="J1047" s="18">
        <f>IF($Z1047="","",IF(AND(DATE($AD1047,1,1)&gt;=$AE1047,DATE($AD1047,1,1)&lt;=$AF1047),ROUND($AG1047,2),0))</f>
        <v/>
      </c>
      <c r="K1047" s="18">
        <f>IF($Z1047="","",IF(AND(DATE($AD1047,2,1)&gt;=$AE1047,DATE($AD1047,2,1)&lt;=$AF1047),ROUND($AG1047,2),0))</f>
        <v/>
      </c>
      <c r="L1047" s="18">
        <f>IF($Z1047="","",IF(AND(DATE($AD1047,3,1)&gt;=$AE1047,DATE($AD1047,3,1)&lt;=$AF1047),ROUND($AG1047,2),0))</f>
        <v/>
      </c>
      <c r="M1047" s="18">
        <f>IF($Z1047="","",IF(AND(DATE($AD1047,4,1)&gt;=$AE1047,DATE($AD1047,4,1)&lt;=$AF1047),ROUND($AG1047,2),0))</f>
        <v/>
      </c>
      <c r="N1047" s="18">
        <f>IF($Z1047="","",IF(AND(DATE($AD1047,5,1)&gt;=$AE1047,DATE($AD1047,5,1)&lt;=$AF1047),ROUND($AG1047,2),0))</f>
        <v/>
      </c>
      <c r="O1047" s="18">
        <f>IF($Z1047="","",IF(AND(DATE($AD1047,6,1)&gt;=$AE1047,DATE($AD1047,6,1)&lt;=$AF1047),ROUND($AG1047,2),0))</f>
        <v/>
      </c>
      <c r="P1047" s="18">
        <f>IF($Z1047="","",IF(AND(DATE($AD1047,7,1)&gt;=$AE1047,DATE($AD1047,7,1)&lt;=$AF1047),ROUND($AG1047,2),0))</f>
        <v/>
      </c>
      <c r="Q1047" s="18">
        <f>IF($Z1047="","",IF(AND(DATE($AD1047,8,1)&gt;=$AE1047,DATE($AD1047,8,1)&lt;=$AF1047),ROUND($AG1047,2),0))</f>
        <v/>
      </c>
      <c r="R1047" s="18">
        <f>IF($Z1047="","",IF(AND(DATE($AD1047,9,1)&gt;=$AE1047,DATE($AD1047,9,1)&lt;=$AF1047),ROUND($AG1047,2),0))</f>
        <v/>
      </c>
      <c r="S1047" s="18">
        <f>IF($Z1047="","",IF(AND(DATE($AD1047,10,1)&gt;=$AE1047,DATE($AD1047,10,1)&lt;=$AF1047),ROUND($AG1047,2),0))</f>
        <v/>
      </c>
      <c r="T1047" s="18">
        <f>IF($Z1047="","",IF(AND(DATE($AD1047,11,1)&gt;=$AE1047,DATE($AD1047,11,1)&lt;=$AF1047),ROUND($AG1047,2),0))</f>
        <v/>
      </c>
      <c r="U1047" s="18">
        <f>IF($Z1047="","",IF(AND(DATE($AD1047,12,1)&gt;=$AE1047,DATE($AD1047,12,1)&lt;=$AF1047),ROUND($AG1047,2),0))</f>
        <v/>
      </c>
      <c r="V1047" s="7">
        <f>IF($Z1047="C","Generated from "&amp;INDEX(Contracts!$A$2:$A$151,$AB1047),IF($Z1047="A","Generated from "&amp;INDEX(Fixed_Assets!$A$2:$A$201,$AB1047),IF($Z1047="F","Generated from "&amp;INDEX(FTE_Allocation!$A$2:$A$201,$AB1047),"")))</f>
        <v/>
      </c>
      <c r="X1047" s="19">
        <f>IF($Z1047="","",SUM(J1047:U1047))</f>
        <v/>
      </c>
      <c r="Y1047" s="20">
        <f>ROW()-1</f>
        <v/>
      </c>
      <c r="Z1047" s="20">
        <f>IF($Y1047&lt;=Settings!$B$4*3,"C",IF($Y1047&lt;=(Settings!$B$4+Settings!$B$5)*3,"A",IF($Y1047&lt;=(Settings!$B$4+Settings!$B$5+Settings!$B$6)*3,"F","")))</f>
        <v/>
      </c>
      <c r="AA1047" s="20">
        <f>IF($Z1047="C",$Y1047,IF($Z1047="A",$Y1047-Settings!$B$4*3,IF($Z1047="F",$Y1047-(Settings!$B$4+Settings!$B$5)*3,"")))</f>
        <v/>
      </c>
      <c r="AB1047" s="20">
        <f>IF($Z1047="","",INT(($AA1047-1)/3)+1)</f>
        <v/>
      </c>
      <c r="AC1047" s="20">
        <f>IF($Z1047="","",MOD($AA1047-1,3)+1)</f>
        <v/>
      </c>
      <c r="AD1047" s="20">
        <f>IF($Z1047="","",Settings!$B$2+$AC1047-1)</f>
        <v/>
      </c>
      <c r="AE1047" s="21">
        <f>IF($Z1047="C",DATE(YEAR(INDEX(Contracts!$J$2:$J$151,$AB1047)),MONTH(INDEX(Contracts!$J$2:$J$151,$AB1047)),1),IF($Z1047="A",DATE(YEAR(INDEX(Fixed_Assets!$G$2:$G$201,$AB1047)),MONTH(INDEX(Fixed_Assets!$G$2:$G$201,$AB1047)),1),IF($Z1047="F",DATE(YEAR(MAX(N(INDEX(Workforce!$I$2:$I$151,MATCH(INDEX(FTE_Allocation!$A$2:$A$201,$AB1047),Workforce!$A$2:$A$151,0))),N(INDEX(FTE_Allocation!$I$2:$I$201,$AB1047)))),MONTH(MAX(N(INDEX(Workforce!$I$2:$I$151,MATCH(INDEX(FTE_Allocation!$A$2:$A$201,$AB1047),Workforce!$A$2:$A$151,0))),N(INDEX(FTE_Allocation!$I$2:$I$201,$AB1047)))),1),"")))</f>
        <v/>
      </c>
      <c r="AF1047" s="21">
        <f>IF($Z1047="C",IF(INDEX(Contracts!$I$2:$I$151,$AB1047)="PREPAID",EDATE(DATE(YEAR(INDEX(Contracts!$J$2:$J$151,$AB1047)),MONTH(INDEX(Contracts!$J$2:$J$151,$AB1047)),1),IF(INDEX(Contracts!$N$2:$N$151,$AB1047)="",12,INDEX(Contracts!$N$2:$N$151,$AB1047))-1),IF(INDEX(Contracts!$I$2:$I$151,$AB1047)="MONTHLY",IF(INDEX(Contracts!$K$2:$K$151,$AB1047)="",2958101,INDEX(Contracts!$K$2:$K$151,$AB1047)),0)),IF($Z1047="A",EDATE(DATE(YEAR(INDEX(Fixed_Assets!$G$2:$G$201,$AB1047)),MONTH(INDEX(Fixed_Assets!$G$2:$G$201,$AB1047)),1),INDEX(Fixed_Assets!$J$2:$J$201,$AB1047)-1),IF($Z1047="F",MIN(IF(INDEX(Workforce!$J$2:$J$151,MATCH(INDEX(FTE_Allocation!$A$2:$A$201,$AB1047),Workforce!$A$2:$A$151,0))="",2958101,INDEX(Workforce!$J$2:$J$151,MATCH(INDEX(FTE_Allocation!$A$2:$A$201,$AB1047),Workforce!$A$2:$A$151,0))),IF(INDEX(FTE_Allocation!$J$2:$J$201,$AB1047)="",2958101,INDEX(FTE_Allocation!$J$2:$J$201,$AB1047))),"")))</f>
        <v/>
      </c>
      <c r="AG1047" s="19">
        <f>IF($Z1047="C",IF(INDEX(Contracts!$I$2:$I$151,$AB1047)="PREPAID",INDEX(Contracts!$M$2:$M$151,$AB1047)/IF(INDEX(Contracts!$N$2:$N$151,$AB1047)="",12,INDEX(Contracts!$N$2:$N$151,$AB1047)),IF(INDEX(Contracts!$I$2:$I$151,$AB1047)="MONTHLY",INDEX(Contracts!$M$2:$M$151,$AB1047),0))*(1-N(INDEX(Contracts!$O$2:$O$151,$AB1047))),IF($Z1047="A",INDEX(Fixed_Assets!$H$2:$H$201,$AB1047)/INDEX(Fixed_Assets!$J$2:$J$201,$AB1047),IF($Z1047="F",INDEX(Workforce!$F$2:$F$151,MATCH(INDEX(FTE_Allocation!$A$2:$A$201,$AB1047),Workforce!$A$2:$A$151,0))*N(INDEX(FTE_Allocation!$F$2:$H$201,$AB1047,$AC1047)),"")))</f>
        <v/>
      </c>
    </row>
    <row r="1048">
      <c r="A1048" s="7">
        <f>IF($Z1048="","",$AD1048)</f>
        <v/>
      </c>
      <c r="B1048" s="7">
        <f>IF($Z1048="C",INDEX(Contracts!$D$2:$D$151,$AB1048)&amp;"",IF($Z1048="A",INDEX(Fixed_Assets!$C$2:$C$201,$AB1048)&amp;"",IF($Z1048="F",INDEX(Workforce!$B$2:$B$151,MATCH(INDEX(FTE_Allocation!$A$2:$A$201,$AB1048),Workforce!$A$2:$A$151,0))&amp;"","")))</f>
        <v/>
      </c>
      <c r="C1048" s="7">
        <f>IF($Z1048="C",INDEX(Contracts!$E$2:$E$151,$AB1048)&amp;"",IF($Z1048="A",INDEX(Fixed_Assets!$D$2:$D$201,$AB1048)&amp;"",IF($Z1048="F",INDEX(FTE_Allocation!$C$2:$C$201,$AB1048)&amp;"","")))</f>
        <v/>
      </c>
      <c r="D1048" s="7">
        <f>IF($Z1048="C",INDEX(Contracts!$B$2:$B$151,$AB1048)&amp;"",IF($Z1048="A",INDEX(Fixed_Assets!$B$2:$B$201,$AB1048)&amp;"",IF($Z1048="F",INDEX(FTE_Allocation!$B$2:$B$201,$AB1048)&amp;"","")))</f>
        <v/>
      </c>
      <c r="E1048" s="7">
        <f>IF($Z1048="C",INDEX(Contracts!$P$2:$P$151,$AB1048)&amp;"",IF($Z1048="A",INDEX(Fixed_Assets!$K$2:$K$201,$AB1048)&amp;"",IF($Z1048="F",IF(INDEX(FTE_Allocation!$D$2:$D$201,$AB1048)="PROJECT",IFERROR(INDEX(Projects!$D:$D,MATCH(INDEX(FTE_Allocation!$E$2:$E$201,$AB1048),Projects!$A:$A,0))&amp;"","#PROJECT?"),INDEX(FTE_Allocation!$E$2:$E$201,$AB1048)&amp;""),"")))</f>
        <v/>
      </c>
      <c r="F1048" s="7">
        <f>IF($Z1048="C",INDEX(Contracts!$Q$2:$Q$151,$AB1048)&amp;"",IF($Z1048="A",INDEX(Fixed_Assets!$L$2:$L$201,$AB1048)&amp;"",IF($Z1048="F",INDEX(Workforce!$K$2:$K$151,MATCH(INDEX(FTE_Allocation!$A$2:$A$201,$AB1048),Workforce!$A$2:$A$151,0))&amp;"","")))</f>
        <v/>
      </c>
      <c r="G1048" s="7">
        <f>IF($Z1048="C",INDEX(Contracts!$F$2:$F$151,$AB1048)&amp;" / "&amp;INDEX(Contracts!$G$2:$G$151,$AB1048),IF($Z1048="A",INDEX(Fixed_Assets!$E$2:$E$201,$AB1048)&amp;"",IF($Z1048="F","Personnel "&amp;INDEX(FTE_Allocation!$A$2:$A$201,$AB1048)&amp;IF(INDEX(FTE_Allocation!$D$2:$D$201,$AB1048)="PROJECT"," ("&amp;INDEX(FTE_Allocation!$E$2:$E$201,$AB1048)&amp;")",""),"")))</f>
        <v/>
      </c>
      <c r="H1048" s="7">
        <f>IF($Z1048="C","CONTRACT",IF($Z1048="A","ASSET",IF($Z1048="F","WORKFORCE","")))</f>
        <v/>
      </c>
      <c r="I1048" s="7">
        <f>IF($Z1048="C",INDEX(Contracts!$L$2:$L$151,$AB1048)&amp;"",IF($Z1048="A",INDEX(Fixed_Assets!$I$2:$I$201,$AB1048)&amp;"",IF($Z1048="F",INDEX(Workforce!$G$2:$G$151,MATCH(INDEX(FTE_Allocation!$A$2:$A$201,$AB1048),Workforce!$A$2:$A$151,0))&amp;"","")))</f>
        <v/>
      </c>
      <c r="J1048" s="18">
        <f>IF($Z1048="","",IF(AND(DATE($AD1048,1,1)&gt;=$AE1048,DATE($AD1048,1,1)&lt;=$AF1048),ROUND($AG1048,2),0))</f>
        <v/>
      </c>
      <c r="K1048" s="18">
        <f>IF($Z1048="","",IF(AND(DATE($AD1048,2,1)&gt;=$AE1048,DATE($AD1048,2,1)&lt;=$AF1048),ROUND($AG1048,2),0))</f>
        <v/>
      </c>
      <c r="L1048" s="18">
        <f>IF($Z1048="","",IF(AND(DATE($AD1048,3,1)&gt;=$AE1048,DATE($AD1048,3,1)&lt;=$AF1048),ROUND($AG1048,2),0))</f>
        <v/>
      </c>
      <c r="M1048" s="18">
        <f>IF($Z1048="","",IF(AND(DATE($AD1048,4,1)&gt;=$AE1048,DATE($AD1048,4,1)&lt;=$AF1048),ROUND($AG1048,2),0))</f>
        <v/>
      </c>
      <c r="N1048" s="18">
        <f>IF($Z1048="","",IF(AND(DATE($AD1048,5,1)&gt;=$AE1048,DATE($AD1048,5,1)&lt;=$AF1048),ROUND($AG1048,2),0))</f>
        <v/>
      </c>
      <c r="O1048" s="18">
        <f>IF($Z1048="","",IF(AND(DATE($AD1048,6,1)&gt;=$AE1048,DATE($AD1048,6,1)&lt;=$AF1048),ROUND($AG1048,2),0))</f>
        <v/>
      </c>
      <c r="P1048" s="18">
        <f>IF($Z1048="","",IF(AND(DATE($AD1048,7,1)&gt;=$AE1048,DATE($AD1048,7,1)&lt;=$AF1048),ROUND($AG1048,2),0))</f>
        <v/>
      </c>
      <c r="Q1048" s="18">
        <f>IF($Z1048="","",IF(AND(DATE($AD1048,8,1)&gt;=$AE1048,DATE($AD1048,8,1)&lt;=$AF1048),ROUND($AG1048,2),0))</f>
        <v/>
      </c>
      <c r="R1048" s="18">
        <f>IF($Z1048="","",IF(AND(DATE($AD1048,9,1)&gt;=$AE1048,DATE($AD1048,9,1)&lt;=$AF1048),ROUND($AG1048,2),0))</f>
        <v/>
      </c>
      <c r="S1048" s="18">
        <f>IF($Z1048="","",IF(AND(DATE($AD1048,10,1)&gt;=$AE1048,DATE($AD1048,10,1)&lt;=$AF1048),ROUND($AG1048,2),0))</f>
        <v/>
      </c>
      <c r="T1048" s="18">
        <f>IF($Z1048="","",IF(AND(DATE($AD1048,11,1)&gt;=$AE1048,DATE($AD1048,11,1)&lt;=$AF1048),ROUND($AG1048,2),0))</f>
        <v/>
      </c>
      <c r="U1048" s="18">
        <f>IF($Z1048="","",IF(AND(DATE($AD1048,12,1)&gt;=$AE1048,DATE($AD1048,12,1)&lt;=$AF1048),ROUND($AG1048,2),0))</f>
        <v/>
      </c>
      <c r="V1048" s="7">
        <f>IF($Z1048="C","Generated from "&amp;INDEX(Contracts!$A$2:$A$151,$AB1048),IF($Z1048="A","Generated from "&amp;INDEX(Fixed_Assets!$A$2:$A$201,$AB1048),IF($Z1048="F","Generated from "&amp;INDEX(FTE_Allocation!$A$2:$A$201,$AB1048),"")))</f>
        <v/>
      </c>
      <c r="X1048" s="19">
        <f>IF($Z1048="","",SUM(J1048:U1048))</f>
        <v/>
      </c>
      <c r="Y1048" s="20">
        <f>ROW()-1</f>
        <v/>
      </c>
      <c r="Z1048" s="20">
        <f>IF($Y1048&lt;=Settings!$B$4*3,"C",IF($Y1048&lt;=(Settings!$B$4+Settings!$B$5)*3,"A",IF($Y1048&lt;=(Settings!$B$4+Settings!$B$5+Settings!$B$6)*3,"F","")))</f>
        <v/>
      </c>
      <c r="AA1048" s="20">
        <f>IF($Z1048="C",$Y1048,IF($Z1048="A",$Y1048-Settings!$B$4*3,IF($Z1048="F",$Y1048-(Settings!$B$4+Settings!$B$5)*3,"")))</f>
        <v/>
      </c>
      <c r="AB1048" s="20">
        <f>IF($Z1048="","",INT(($AA1048-1)/3)+1)</f>
        <v/>
      </c>
      <c r="AC1048" s="20">
        <f>IF($Z1048="","",MOD($AA1048-1,3)+1)</f>
        <v/>
      </c>
      <c r="AD1048" s="20">
        <f>IF($Z1048="","",Settings!$B$2+$AC1048-1)</f>
        <v/>
      </c>
      <c r="AE1048" s="21">
        <f>IF($Z1048="C",DATE(YEAR(INDEX(Contracts!$J$2:$J$151,$AB1048)),MONTH(INDEX(Contracts!$J$2:$J$151,$AB1048)),1),IF($Z1048="A",DATE(YEAR(INDEX(Fixed_Assets!$G$2:$G$201,$AB1048)),MONTH(INDEX(Fixed_Assets!$G$2:$G$201,$AB1048)),1),IF($Z1048="F",DATE(YEAR(MAX(N(INDEX(Workforce!$I$2:$I$151,MATCH(INDEX(FTE_Allocation!$A$2:$A$201,$AB1048),Workforce!$A$2:$A$151,0))),N(INDEX(FTE_Allocation!$I$2:$I$201,$AB1048)))),MONTH(MAX(N(INDEX(Workforce!$I$2:$I$151,MATCH(INDEX(FTE_Allocation!$A$2:$A$201,$AB1048),Workforce!$A$2:$A$151,0))),N(INDEX(FTE_Allocation!$I$2:$I$201,$AB1048)))),1),"")))</f>
        <v/>
      </c>
      <c r="AF1048" s="21">
        <f>IF($Z1048="C",IF(INDEX(Contracts!$I$2:$I$151,$AB1048)="PREPAID",EDATE(DATE(YEAR(INDEX(Contracts!$J$2:$J$151,$AB1048)),MONTH(INDEX(Contracts!$J$2:$J$151,$AB1048)),1),IF(INDEX(Contracts!$N$2:$N$151,$AB1048)="",12,INDEX(Contracts!$N$2:$N$151,$AB1048))-1),IF(INDEX(Contracts!$I$2:$I$151,$AB1048)="MONTHLY",IF(INDEX(Contracts!$K$2:$K$151,$AB1048)="",2958101,INDEX(Contracts!$K$2:$K$151,$AB1048)),0)),IF($Z1048="A",EDATE(DATE(YEAR(INDEX(Fixed_Assets!$G$2:$G$201,$AB1048)),MONTH(INDEX(Fixed_Assets!$G$2:$G$201,$AB1048)),1),INDEX(Fixed_Assets!$J$2:$J$201,$AB1048)-1),IF($Z1048="F",MIN(IF(INDEX(Workforce!$J$2:$J$151,MATCH(INDEX(FTE_Allocation!$A$2:$A$201,$AB1048),Workforce!$A$2:$A$151,0))="",2958101,INDEX(Workforce!$J$2:$J$151,MATCH(INDEX(FTE_Allocation!$A$2:$A$201,$AB1048),Workforce!$A$2:$A$151,0))),IF(INDEX(FTE_Allocation!$J$2:$J$201,$AB1048)="",2958101,INDEX(FTE_Allocation!$J$2:$J$201,$AB1048))),"")))</f>
        <v/>
      </c>
      <c r="AG1048" s="19">
        <f>IF($Z1048="C",IF(INDEX(Contracts!$I$2:$I$151,$AB1048)="PREPAID",INDEX(Contracts!$M$2:$M$151,$AB1048)/IF(INDEX(Contracts!$N$2:$N$151,$AB1048)="",12,INDEX(Contracts!$N$2:$N$151,$AB1048)),IF(INDEX(Contracts!$I$2:$I$151,$AB1048)="MONTHLY",INDEX(Contracts!$M$2:$M$151,$AB1048),0))*(1-N(INDEX(Contracts!$O$2:$O$151,$AB1048))),IF($Z1048="A",INDEX(Fixed_Assets!$H$2:$H$201,$AB1048)/INDEX(Fixed_Assets!$J$2:$J$201,$AB1048),IF($Z1048="F",INDEX(Workforce!$F$2:$F$151,MATCH(INDEX(FTE_Allocation!$A$2:$A$201,$AB1048),Workforce!$A$2:$A$151,0))*N(INDEX(FTE_Allocation!$F$2:$H$201,$AB1048,$AC1048)),"")))</f>
        <v/>
      </c>
    </row>
    <row r="1049">
      <c r="A1049" s="7">
        <f>IF($Z1049="","",$AD1049)</f>
        <v/>
      </c>
      <c r="B1049" s="7">
        <f>IF($Z1049="C",INDEX(Contracts!$D$2:$D$151,$AB1049)&amp;"",IF($Z1049="A",INDEX(Fixed_Assets!$C$2:$C$201,$AB1049)&amp;"",IF($Z1049="F",INDEX(Workforce!$B$2:$B$151,MATCH(INDEX(FTE_Allocation!$A$2:$A$201,$AB1049),Workforce!$A$2:$A$151,0))&amp;"","")))</f>
        <v/>
      </c>
      <c r="C1049" s="7">
        <f>IF($Z1049="C",INDEX(Contracts!$E$2:$E$151,$AB1049)&amp;"",IF($Z1049="A",INDEX(Fixed_Assets!$D$2:$D$201,$AB1049)&amp;"",IF($Z1049="F",INDEX(FTE_Allocation!$C$2:$C$201,$AB1049)&amp;"","")))</f>
        <v/>
      </c>
      <c r="D1049" s="7">
        <f>IF($Z1049="C",INDEX(Contracts!$B$2:$B$151,$AB1049)&amp;"",IF($Z1049="A",INDEX(Fixed_Assets!$B$2:$B$201,$AB1049)&amp;"",IF($Z1049="F",INDEX(FTE_Allocation!$B$2:$B$201,$AB1049)&amp;"","")))</f>
        <v/>
      </c>
      <c r="E1049" s="7">
        <f>IF($Z1049="C",INDEX(Contracts!$P$2:$P$151,$AB1049)&amp;"",IF($Z1049="A",INDEX(Fixed_Assets!$K$2:$K$201,$AB1049)&amp;"",IF($Z1049="F",IF(INDEX(FTE_Allocation!$D$2:$D$201,$AB1049)="PROJECT",IFERROR(INDEX(Projects!$D:$D,MATCH(INDEX(FTE_Allocation!$E$2:$E$201,$AB1049),Projects!$A:$A,0))&amp;"","#PROJECT?"),INDEX(FTE_Allocation!$E$2:$E$201,$AB1049)&amp;""),"")))</f>
        <v/>
      </c>
      <c r="F1049" s="7">
        <f>IF($Z1049="C",INDEX(Contracts!$Q$2:$Q$151,$AB1049)&amp;"",IF($Z1049="A",INDEX(Fixed_Assets!$L$2:$L$201,$AB1049)&amp;"",IF($Z1049="F",INDEX(Workforce!$K$2:$K$151,MATCH(INDEX(FTE_Allocation!$A$2:$A$201,$AB1049),Workforce!$A$2:$A$151,0))&amp;"","")))</f>
        <v/>
      </c>
      <c r="G1049" s="7">
        <f>IF($Z1049="C",INDEX(Contracts!$F$2:$F$151,$AB1049)&amp;" / "&amp;INDEX(Contracts!$G$2:$G$151,$AB1049),IF($Z1049="A",INDEX(Fixed_Assets!$E$2:$E$201,$AB1049)&amp;"",IF($Z1049="F","Personnel "&amp;INDEX(FTE_Allocation!$A$2:$A$201,$AB1049)&amp;IF(INDEX(FTE_Allocation!$D$2:$D$201,$AB1049)="PROJECT"," ("&amp;INDEX(FTE_Allocation!$E$2:$E$201,$AB1049)&amp;")",""),"")))</f>
        <v/>
      </c>
      <c r="H1049" s="7">
        <f>IF($Z1049="C","CONTRACT",IF($Z1049="A","ASSET",IF($Z1049="F","WORKFORCE","")))</f>
        <v/>
      </c>
      <c r="I1049" s="7">
        <f>IF($Z1049="C",INDEX(Contracts!$L$2:$L$151,$AB1049)&amp;"",IF($Z1049="A",INDEX(Fixed_Assets!$I$2:$I$201,$AB1049)&amp;"",IF($Z1049="F",INDEX(Workforce!$G$2:$G$151,MATCH(INDEX(FTE_Allocation!$A$2:$A$201,$AB1049),Workforce!$A$2:$A$151,0))&amp;"","")))</f>
        <v/>
      </c>
      <c r="J1049" s="18">
        <f>IF($Z1049="","",IF(AND(DATE($AD1049,1,1)&gt;=$AE1049,DATE($AD1049,1,1)&lt;=$AF1049),ROUND($AG1049,2),0))</f>
        <v/>
      </c>
      <c r="K1049" s="18">
        <f>IF($Z1049="","",IF(AND(DATE($AD1049,2,1)&gt;=$AE1049,DATE($AD1049,2,1)&lt;=$AF1049),ROUND($AG1049,2),0))</f>
        <v/>
      </c>
      <c r="L1049" s="18">
        <f>IF($Z1049="","",IF(AND(DATE($AD1049,3,1)&gt;=$AE1049,DATE($AD1049,3,1)&lt;=$AF1049),ROUND($AG1049,2),0))</f>
        <v/>
      </c>
      <c r="M1049" s="18">
        <f>IF($Z1049="","",IF(AND(DATE($AD1049,4,1)&gt;=$AE1049,DATE($AD1049,4,1)&lt;=$AF1049),ROUND($AG1049,2),0))</f>
        <v/>
      </c>
      <c r="N1049" s="18">
        <f>IF($Z1049="","",IF(AND(DATE($AD1049,5,1)&gt;=$AE1049,DATE($AD1049,5,1)&lt;=$AF1049),ROUND($AG1049,2),0))</f>
        <v/>
      </c>
      <c r="O1049" s="18">
        <f>IF($Z1049="","",IF(AND(DATE($AD1049,6,1)&gt;=$AE1049,DATE($AD1049,6,1)&lt;=$AF1049),ROUND($AG1049,2),0))</f>
        <v/>
      </c>
      <c r="P1049" s="18">
        <f>IF($Z1049="","",IF(AND(DATE($AD1049,7,1)&gt;=$AE1049,DATE($AD1049,7,1)&lt;=$AF1049),ROUND($AG1049,2),0))</f>
        <v/>
      </c>
      <c r="Q1049" s="18">
        <f>IF($Z1049="","",IF(AND(DATE($AD1049,8,1)&gt;=$AE1049,DATE($AD1049,8,1)&lt;=$AF1049),ROUND($AG1049,2),0))</f>
        <v/>
      </c>
      <c r="R1049" s="18">
        <f>IF($Z1049="","",IF(AND(DATE($AD1049,9,1)&gt;=$AE1049,DATE($AD1049,9,1)&lt;=$AF1049),ROUND($AG1049,2),0))</f>
        <v/>
      </c>
      <c r="S1049" s="18">
        <f>IF($Z1049="","",IF(AND(DATE($AD1049,10,1)&gt;=$AE1049,DATE($AD1049,10,1)&lt;=$AF1049),ROUND($AG1049,2),0))</f>
        <v/>
      </c>
      <c r="T1049" s="18">
        <f>IF($Z1049="","",IF(AND(DATE($AD1049,11,1)&gt;=$AE1049,DATE($AD1049,11,1)&lt;=$AF1049),ROUND($AG1049,2),0))</f>
        <v/>
      </c>
      <c r="U1049" s="18">
        <f>IF($Z1049="","",IF(AND(DATE($AD1049,12,1)&gt;=$AE1049,DATE($AD1049,12,1)&lt;=$AF1049),ROUND($AG1049,2),0))</f>
        <v/>
      </c>
      <c r="V1049" s="7">
        <f>IF($Z1049="C","Generated from "&amp;INDEX(Contracts!$A$2:$A$151,$AB1049),IF($Z1049="A","Generated from "&amp;INDEX(Fixed_Assets!$A$2:$A$201,$AB1049),IF($Z1049="F","Generated from "&amp;INDEX(FTE_Allocation!$A$2:$A$201,$AB1049),"")))</f>
        <v/>
      </c>
      <c r="X1049" s="19">
        <f>IF($Z1049="","",SUM(J1049:U1049))</f>
        <v/>
      </c>
      <c r="Y1049" s="20">
        <f>ROW()-1</f>
        <v/>
      </c>
      <c r="Z1049" s="20">
        <f>IF($Y1049&lt;=Settings!$B$4*3,"C",IF($Y1049&lt;=(Settings!$B$4+Settings!$B$5)*3,"A",IF($Y1049&lt;=(Settings!$B$4+Settings!$B$5+Settings!$B$6)*3,"F","")))</f>
        <v/>
      </c>
      <c r="AA1049" s="20">
        <f>IF($Z1049="C",$Y1049,IF($Z1049="A",$Y1049-Settings!$B$4*3,IF($Z1049="F",$Y1049-(Settings!$B$4+Settings!$B$5)*3,"")))</f>
        <v/>
      </c>
      <c r="AB1049" s="20">
        <f>IF($Z1049="","",INT(($AA1049-1)/3)+1)</f>
        <v/>
      </c>
      <c r="AC1049" s="20">
        <f>IF($Z1049="","",MOD($AA1049-1,3)+1)</f>
        <v/>
      </c>
      <c r="AD1049" s="20">
        <f>IF($Z1049="","",Settings!$B$2+$AC1049-1)</f>
        <v/>
      </c>
      <c r="AE1049" s="21">
        <f>IF($Z1049="C",DATE(YEAR(INDEX(Contracts!$J$2:$J$151,$AB1049)),MONTH(INDEX(Contracts!$J$2:$J$151,$AB1049)),1),IF($Z1049="A",DATE(YEAR(INDEX(Fixed_Assets!$G$2:$G$201,$AB1049)),MONTH(INDEX(Fixed_Assets!$G$2:$G$201,$AB1049)),1),IF($Z1049="F",DATE(YEAR(MAX(N(INDEX(Workforce!$I$2:$I$151,MATCH(INDEX(FTE_Allocation!$A$2:$A$201,$AB1049),Workforce!$A$2:$A$151,0))),N(INDEX(FTE_Allocation!$I$2:$I$201,$AB1049)))),MONTH(MAX(N(INDEX(Workforce!$I$2:$I$151,MATCH(INDEX(FTE_Allocation!$A$2:$A$201,$AB1049),Workforce!$A$2:$A$151,0))),N(INDEX(FTE_Allocation!$I$2:$I$201,$AB1049)))),1),"")))</f>
        <v/>
      </c>
      <c r="AF1049" s="21">
        <f>IF($Z1049="C",IF(INDEX(Contracts!$I$2:$I$151,$AB1049)="PREPAID",EDATE(DATE(YEAR(INDEX(Contracts!$J$2:$J$151,$AB1049)),MONTH(INDEX(Contracts!$J$2:$J$151,$AB1049)),1),IF(INDEX(Contracts!$N$2:$N$151,$AB1049)="",12,INDEX(Contracts!$N$2:$N$151,$AB1049))-1),IF(INDEX(Contracts!$I$2:$I$151,$AB1049)="MONTHLY",IF(INDEX(Contracts!$K$2:$K$151,$AB1049)="",2958101,INDEX(Contracts!$K$2:$K$151,$AB1049)),0)),IF($Z1049="A",EDATE(DATE(YEAR(INDEX(Fixed_Assets!$G$2:$G$201,$AB1049)),MONTH(INDEX(Fixed_Assets!$G$2:$G$201,$AB1049)),1),INDEX(Fixed_Assets!$J$2:$J$201,$AB1049)-1),IF($Z1049="F",MIN(IF(INDEX(Workforce!$J$2:$J$151,MATCH(INDEX(FTE_Allocation!$A$2:$A$201,$AB1049),Workforce!$A$2:$A$151,0))="",2958101,INDEX(Workforce!$J$2:$J$151,MATCH(INDEX(FTE_Allocation!$A$2:$A$201,$AB1049),Workforce!$A$2:$A$151,0))),IF(INDEX(FTE_Allocation!$J$2:$J$201,$AB1049)="",2958101,INDEX(FTE_Allocation!$J$2:$J$201,$AB1049))),"")))</f>
        <v/>
      </c>
      <c r="AG1049" s="19">
        <f>IF($Z1049="C",IF(INDEX(Contracts!$I$2:$I$151,$AB1049)="PREPAID",INDEX(Contracts!$M$2:$M$151,$AB1049)/IF(INDEX(Contracts!$N$2:$N$151,$AB1049)="",12,INDEX(Contracts!$N$2:$N$151,$AB1049)),IF(INDEX(Contracts!$I$2:$I$151,$AB1049)="MONTHLY",INDEX(Contracts!$M$2:$M$151,$AB1049),0))*(1-N(INDEX(Contracts!$O$2:$O$151,$AB1049))),IF($Z1049="A",INDEX(Fixed_Assets!$H$2:$H$201,$AB1049)/INDEX(Fixed_Assets!$J$2:$J$201,$AB1049),IF($Z1049="F",INDEX(Workforce!$F$2:$F$151,MATCH(INDEX(FTE_Allocation!$A$2:$A$201,$AB1049),Workforce!$A$2:$A$151,0))*N(INDEX(FTE_Allocation!$F$2:$H$201,$AB1049,$AC1049)),"")))</f>
        <v/>
      </c>
    </row>
    <row r="1050">
      <c r="A1050" s="7">
        <f>IF($Z1050="","",$AD1050)</f>
        <v/>
      </c>
      <c r="B1050" s="7">
        <f>IF($Z1050="C",INDEX(Contracts!$D$2:$D$151,$AB1050)&amp;"",IF($Z1050="A",INDEX(Fixed_Assets!$C$2:$C$201,$AB1050)&amp;"",IF($Z1050="F",INDEX(Workforce!$B$2:$B$151,MATCH(INDEX(FTE_Allocation!$A$2:$A$201,$AB1050),Workforce!$A$2:$A$151,0))&amp;"","")))</f>
        <v/>
      </c>
      <c r="C1050" s="7">
        <f>IF($Z1050="C",INDEX(Contracts!$E$2:$E$151,$AB1050)&amp;"",IF($Z1050="A",INDEX(Fixed_Assets!$D$2:$D$201,$AB1050)&amp;"",IF($Z1050="F",INDEX(FTE_Allocation!$C$2:$C$201,$AB1050)&amp;"","")))</f>
        <v/>
      </c>
      <c r="D1050" s="7">
        <f>IF($Z1050="C",INDEX(Contracts!$B$2:$B$151,$AB1050)&amp;"",IF($Z1050="A",INDEX(Fixed_Assets!$B$2:$B$201,$AB1050)&amp;"",IF($Z1050="F",INDEX(FTE_Allocation!$B$2:$B$201,$AB1050)&amp;"","")))</f>
        <v/>
      </c>
      <c r="E1050" s="7">
        <f>IF($Z1050="C",INDEX(Contracts!$P$2:$P$151,$AB1050)&amp;"",IF($Z1050="A",INDEX(Fixed_Assets!$K$2:$K$201,$AB1050)&amp;"",IF($Z1050="F",IF(INDEX(FTE_Allocation!$D$2:$D$201,$AB1050)="PROJECT",IFERROR(INDEX(Projects!$D:$D,MATCH(INDEX(FTE_Allocation!$E$2:$E$201,$AB1050),Projects!$A:$A,0))&amp;"","#PROJECT?"),INDEX(FTE_Allocation!$E$2:$E$201,$AB1050)&amp;""),"")))</f>
        <v/>
      </c>
      <c r="F1050" s="7">
        <f>IF($Z1050="C",INDEX(Contracts!$Q$2:$Q$151,$AB1050)&amp;"",IF($Z1050="A",INDEX(Fixed_Assets!$L$2:$L$201,$AB1050)&amp;"",IF($Z1050="F",INDEX(Workforce!$K$2:$K$151,MATCH(INDEX(FTE_Allocation!$A$2:$A$201,$AB1050),Workforce!$A$2:$A$151,0))&amp;"","")))</f>
        <v/>
      </c>
      <c r="G1050" s="7">
        <f>IF($Z1050="C",INDEX(Contracts!$F$2:$F$151,$AB1050)&amp;" / "&amp;INDEX(Contracts!$G$2:$G$151,$AB1050),IF($Z1050="A",INDEX(Fixed_Assets!$E$2:$E$201,$AB1050)&amp;"",IF($Z1050="F","Personnel "&amp;INDEX(FTE_Allocation!$A$2:$A$201,$AB1050)&amp;IF(INDEX(FTE_Allocation!$D$2:$D$201,$AB1050)="PROJECT"," ("&amp;INDEX(FTE_Allocation!$E$2:$E$201,$AB1050)&amp;")",""),"")))</f>
        <v/>
      </c>
      <c r="H1050" s="7">
        <f>IF($Z1050="C","CONTRACT",IF($Z1050="A","ASSET",IF($Z1050="F","WORKFORCE","")))</f>
        <v/>
      </c>
      <c r="I1050" s="7">
        <f>IF($Z1050="C",INDEX(Contracts!$L$2:$L$151,$AB1050)&amp;"",IF($Z1050="A",INDEX(Fixed_Assets!$I$2:$I$201,$AB1050)&amp;"",IF($Z1050="F",INDEX(Workforce!$G$2:$G$151,MATCH(INDEX(FTE_Allocation!$A$2:$A$201,$AB1050),Workforce!$A$2:$A$151,0))&amp;"","")))</f>
        <v/>
      </c>
      <c r="J1050" s="18">
        <f>IF($Z1050="","",IF(AND(DATE($AD1050,1,1)&gt;=$AE1050,DATE($AD1050,1,1)&lt;=$AF1050),ROUND($AG1050,2),0))</f>
        <v/>
      </c>
      <c r="K1050" s="18">
        <f>IF($Z1050="","",IF(AND(DATE($AD1050,2,1)&gt;=$AE1050,DATE($AD1050,2,1)&lt;=$AF1050),ROUND($AG1050,2),0))</f>
        <v/>
      </c>
      <c r="L1050" s="18">
        <f>IF($Z1050="","",IF(AND(DATE($AD1050,3,1)&gt;=$AE1050,DATE($AD1050,3,1)&lt;=$AF1050),ROUND($AG1050,2),0))</f>
        <v/>
      </c>
      <c r="M1050" s="18">
        <f>IF($Z1050="","",IF(AND(DATE($AD1050,4,1)&gt;=$AE1050,DATE($AD1050,4,1)&lt;=$AF1050),ROUND($AG1050,2),0))</f>
        <v/>
      </c>
      <c r="N1050" s="18">
        <f>IF($Z1050="","",IF(AND(DATE($AD1050,5,1)&gt;=$AE1050,DATE($AD1050,5,1)&lt;=$AF1050),ROUND($AG1050,2),0))</f>
        <v/>
      </c>
      <c r="O1050" s="18">
        <f>IF($Z1050="","",IF(AND(DATE($AD1050,6,1)&gt;=$AE1050,DATE($AD1050,6,1)&lt;=$AF1050),ROUND($AG1050,2),0))</f>
        <v/>
      </c>
      <c r="P1050" s="18">
        <f>IF($Z1050="","",IF(AND(DATE($AD1050,7,1)&gt;=$AE1050,DATE($AD1050,7,1)&lt;=$AF1050),ROUND($AG1050,2),0))</f>
        <v/>
      </c>
      <c r="Q1050" s="18">
        <f>IF($Z1050="","",IF(AND(DATE($AD1050,8,1)&gt;=$AE1050,DATE($AD1050,8,1)&lt;=$AF1050),ROUND($AG1050,2),0))</f>
        <v/>
      </c>
      <c r="R1050" s="18">
        <f>IF($Z1050="","",IF(AND(DATE($AD1050,9,1)&gt;=$AE1050,DATE($AD1050,9,1)&lt;=$AF1050),ROUND($AG1050,2),0))</f>
        <v/>
      </c>
      <c r="S1050" s="18">
        <f>IF($Z1050="","",IF(AND(DATE($AD1050,10,1)&gt;=$AE1050,DATE($AD1050,10,1)&lt;=$AF1050),ROUND($AG1050,2),0))</f>
        <v/>
      </c>
      <c r="T1050" s="18">
        <f>IF($Z1050="","",IF(AND(DATE($AD1050,11,1)&gt;=$AE1050,DATE($AD1050,11,1)&lt;=$AF1050),ROUND($AG1050,2),0))</f>
        <v/>
      </c>
      <c r="U1050" s="18">
        <f>IF($Z1050="","",IF(AND(DATE($AD1050,12,1)&gt;=$AE1050,DATE($AD1050,12,1)&lt;=$AF1050),ROUND($AG1050,2),0))</f>
        <v/>
      </c>
      <c r="V1050" s="7">
        <f>IF($Z1050="C","Generated from "&amp;INDEX(Contracts!$A$2:$A$151,$AB1050),IF($Z1050="A","Generated from "&amp;INDEX(Fixed_Assets!$A$2:$A$201,$AB1050),IF($Z1050="F","Generated from "&amp;INDEX(FTE_Allocation!$A$2:$A$201,$AB1050),"")))</f>
        <v/>
      </c>
      <c r="X1050" s="19">
        <f>IF($Z1050="","",SUM(J1050:U1050))</f>
        <v/>
      </c>
      <c r="Y1050" s="20">
        <f>ROW()-1</f>
        <v/>
      </c>
      <c r="Z1050" s="20">
        <f>IF($Y1050&lt;=Settings!$B$4*3,"C",IF($Y1050&lt;=(Settings!$B$4+Settings!$B$5)*3,"A",IF($Y1050&lt;=(Settings!$B$4+Settings!$B$5+Settings!$B$6)*3,"F","")))</f>
        <v/>
      </c>
      <c r="AA1050" s="20">
        <f>IF($Z1050="C",$Y1050,IF($Z1050="A",$Y1050-Settings!$B$4*3,IF($Z1050="F",$Y1050-(Settings!$B$4+Settings!$B$5)*3,"")))</f>
        <v/>
      </c>
      <c r="AB1050" s="20">
        <f>IF($Z1050="","",INT(($AA1050-1)/3)+1)</f>
        <v/>
      </c>
      <c r="AC1050" s="20">
        <f>IF($Z1050="","",MOD($AA1050-1,3)+1)</f>
        <v/>
      </c>
      <c r="AD1050" s="20">
        <f>IF($Z1050="","",Settings!$B$2+$AC1050-1)</f>
        <v/>
      </c>
      <c r="AE1050" s="21">
        <f>IF($Z1050="C",DATE(YEAR(INDEX(Contracts!$J$2:$J$151,$AB1050)),MONTH(INDEX(Contracts!$J$2:$J$151,$AB1050)),1),IF($Z1050="A",DATE(YEAR(INDEX(Fixed_Assets!$G$2:$G$201,$AB1050)),MONTH(INDEX(Fixed_Assets!$G$2:$G$201,$AB1050)),1),IF($Z1050="F",DATE(YEAR(MAX(N(INDEX(Workforce!$I$2:$I$151,MATCH(INDEX(FTE_Allocation!$A$2:$A$201,$AB1050),Workforce!$A$2:$A$151,0))),N(INDEX(FTE_Allocation!$I$2:$I$201,$AB1050)))),MONTH(MAX(N(INDEX(Workforce!$I$2:$I$151,MATCH(INDEX(FTE_Allocation!$A$2:$A$201,$AB1050),Workforce!$A$2:$A$151,0))),N(INDEX(FTE_Allocation!$I$2:$I$201,$AB1050)))),1),"")))</f>
        <v/>
      </c>
      <c r="AF1050" s="21">
        <f>IF($Z1050="C",IF(INDEX(Contracts!$I$2:$I$151,$AB1050)="PREPAID",EDATE(DATE(YEAR(INDEX(Contracts!$J$2:$J$151,$AB1050)),MONTH(INDEX(Contracts!$J$2:$J$151,$AB1050)),1),IF(INDEX(Contracts!$N$2:$N$151,$AB1050)="",12,INDEX(Contracts!$N$2:$N$151,$AB1050))-1),IF(INDEX(Contracts!$I$2:$I$151,$AB1050)="MONTHLY",IF(INDEX(Contracts!$K$2:$K$151,$AB1050)="",2958101,INDEX(Contracts!$K$2:$K$151,$AB1050)),0)),IF($Z1050="A",EDATE(DATE(YEAR(INDEX(Fixed_Assets!$G$2:$G$201,$AB1050)),MONTH(INDEX(Fixed_Assets!$G$2:$G$201,$AB1050)),1),INDEX(Fixed_Assets!$J$2:$J$201,$AB1050)-1),IF($Z1050="F",MIN(IF(INDEX(Workforce!$J$2:$J$151,MATCH(INDEX(FTE_Allocation!$A$2:$A$201,$AB1050),Workforce!$A$2:$A$151,0))="",2958101,INDEX(Workforce!$J$2:$J$151,MATCH(INDEX(FTE_Allocation!$A$2:$A$201,$AB1050),Workforce!$A$2:$A$151,0))),IF(INDEX(FTE_Allocation!$J$2:$J$201,$AB1050)="",2958101,INDEX(FTE_Allocation!$J$2:$J$201,$AB1050))),"")))</f>
        <v/>
      </c>
      <c r="AG1050" s="19">
        <f>IF($Z1050="C",IF(INDEX(Contracts!$I$2:$I$151,$AB1050)="PREPAID",INDEX(Contracts!$M$2:$M$151,$AB1050)/IF(INDEX(Contracts!$N$2:$N$151,$AB1050)="",12,INDEX(Contracts!$N$2:$N$151,$AB1050)),IF(INDEX(Contracts!$I$2:$I$151,$AB1050)="MONTHLY",INDEX(Contracts!$M$2:$M$151,$AB1050),0))*(1-N(INDEX(Contracts!$O$2:$O$151,$AB1050))),IF($Z1050="A",INDEX(Fixed_Assets!$H$2:$H$201,$AB1050)/INDEX(Fixed_Assets!$J$2:$J$201,$AB1050),IF($Z1050="F",INDEX(Workforce!$F$2:$F$151,MATCH(INDEX(FTE_Allocation!$A$2:$A$201,$AB1050),Workforce!$A$2:$A$151,0))*N(INDEX(FTE_Allocation!$F$2:$H$201,$AB1050,$AC1050)),"")))</f>
        <v/>
      </c>
    </row>
    <row r="1051">
      <c r="A1051" s="7">
        <f>IF($Z1051="","",$AD1051)</f>
        <v/>
      </c>
      <c r="B1051" s="7">
        <f>IF($Z1051="C",INDEX(Contracts!$D$2:$D$151,$AB1051)&amp;"",IF($Z1051="A",INDEX(Fixed_Assets!$C$2:$C$201,$AB1051)&amp;"",IF($Z1051="F",INDEX(Workforce!$B$2:$B$151,MATCH(INDEX(FTE_Allocation!$A$2:$A$201,$AB1051),Workforce!$A$2:$A$151,0))&amp;"","")))</f>
        <v/>
      </c>
      <c r="C1051" s="7">
        <f>IF($Z1051="C",INDEX(Contracts!$E$2:$E$151,$AB1051)&amp;"",IF($Z1051="A",INDEX(Fixed_Assets!$D$2:$D$201,$AB1051)&amp;"",IF($Z1051="F",INDEX(FTE_Allocation!$C$2:$C$201,$AB1051)&amp;"","")))</f>
        <v/>
      </c>
      <c r="D1051" s="7">
        <f>IF($Z1051="C",INDEX(Contracts!$B$2:$B$151,$AB1051)&amp;"",IF($Z1051="A",INDEX(Fixed_Assets!$B$2:$B$201,$AB1051)&amp;"",IF($Z1051="F",INDEX(FTE_Allocation!$B$2:$B$201,$AB1051)&amp;"","")))</f>
        <v/>
      </c>
      <c r="E1051" s="7">
        <f>IF($Z1051="C",INDEX(Contracts!$P$2:$P$151,$AB1051)&amp;"",IF($Z1051="A",INDEX(Fixed_Assets!$K$2:$K$201,$AB1051)&amp;"",IF($Z1051="F",IF(INDEX(FTE_Allocation!$D$2:$D$201,$AB1051)="PROJECT",IFERROR(INDEX(Projects!$D:$D,MATCH(INDEX(FTE_Allocation!$E$2:$E$201,$AB1051),Projects!$A:$A,0))&amp;"","#PROJECT?"),INDEX(FTE_Allocation!$E$2:$E$201,$AB1051)&amp;""),"")))</f>
        <v/>
      </c>
      <c r="F1051" s="7">
        <f>IF($Z1051="C",INDEX(Contracts!$Q$2:$Q$151,$AB1051)&amp;"",IF($Z1051="A",INDEX(Fixed_Assets!$L$2:$L$201,$AB1051)&amp;"",IF($Z1051="F",INDEX(Workforce!$K$2:$K$151,MATCH(INDEX(FTE_Allocation!$A$2:$A$201,$AB1051),Workforce!$A$2:$A$151,0))&amp;"","")))</f>
        <v/>
      </c>
      <c r="G1051" s="7">
        <f>IF($Z1051="C",INDEX(Contracts!$F$2:$F$151,$AB1051)&amp;" / "&amp;INDEX(Contracts!$G$2:$G$151,$AB1051),IF($Z1051="A",INDEX(Fixed_Assets!$E$2:$E$201,$AB1051)&amp;"",IF($Z1051="F","Personnel "&amp;INDEX(FTE_Allocation!$A$2:$A$201,$AB1051)&amp;IF(INDEX(FTE_Allocation!$D$2:$D$201,$AB1051)="PROJECT"," ("&amp;INDEX(FTE_Allocation!$E$2:$E$201,$AB1051)&amp;")",""),"")))</f>
        <v/>
      </c>
      <c r="H1051" s="7">
        <f>IF($Z1051="C","CONTRACT",IF($Z1051="A","ASSET",IF($Z1051="F","WORKFORCE","")))</f>
        <v/>
      </c>
      <c r="I1051" s="7">
        <f>IF($Z1051="C",INDEX(Contracts!$L$2:$L$151,$AB1051)&amp;"",IF($Z1051="A",INDEX(Fixed_Assets!$I$2:$I$201,$AB1051)&amp;"",IF($Z1051="F",INDEX(Workforce!$G$2:$G$151,MATCH(INDEX(FTE_Allocation!$A$2:$A$201,$AB1051),Workforce!$A$2:$A$151,0))&amp;"","")))</f>
        <v/>
      </c>
      <c r="J1051" s="18">
        <f>IF($Z1051="","",IF(AND(DATE($AD1051,1,1)&gt;=$AE1051,DATE($AD1051,1,1)&lt;=$AF1051),ROUND($AG1051,2),0))</f>
        <v/>
      </c>
      <c r="K1051" s="18">
        <f>IF($Z1051="","",IF(AND(DATE($AD1051,2,1)&gt;=$AE1051,DATE($AD1051,2,1)&lt;=$AF1051),ROUND($AG1051,2),0))</f>
        <v/>
      </c>
      <c r="L1051" s="18">
        <f>IF($Z1051="","",IF(AND(DATE($AD1051,3,1)&gt;=$AE1051,DATE($AD1051,3,1)&lt;=$AF1051),ROUND($AG1051,2),0))</f>
        <v/>
      </c>
      <c r="M1051" s="18">
        <f>IF($Z1051="","",IF(AND(DATE($AD1051,4,1)&gt;=$AE1051,DATE($AD1051,4,1)&lt;=$AF1051),ROUND($AG1051,2),0))</f>
        <v/>
      </c>
      <c r="N1051" s="18">
        <f>IF($Z1051="","",IF(AND(DATE($AD1051,5,1)&gt;=$AE1051,DATE($AD1051,5,1)&lt;=$AF1051),ROUND($AG1051,2),0))</f>
        <v/>
      </c>
      <c r="O1051" s="18">
        <f>IF($Z1051="","",IF(AND(DATE($AD1051,6,1)&gt;=$AE1051,DATE($AD1051,6,1)&lt;=$AF1051),ROUND($AG1051,2),0))</f>
        <v/>
      </c>
      <c r="P1051" s="18">
        <f>IF($Z1051="","",IF(AND(DATE($AD1051,7,1)&gt;=$AE1051,DATE($AD1051,7,1)&lt;=$AF1051),ROUND($AG1051,2),0))</f>
        <v/>
      </c>
      <c r="Q1051" s="18">
        <f>IF($Z1051="","",IF(AND(DATE($AD1051,8,1)&gt;=$AE1051,DATE($AD1051,8,1)&lt;=$AF1051),ROUND($AG1051,2),0))</f>
        <v/>
      </c>
      <c r="R1051" s="18">
        <f>IF($Z1051="","",IF(AND(DATE($AD1051,9,1)&gt;=$AE1051,DATE($AD1051,9,1)&lt;=$AF1051),ROUND($AG1051,2),0))</f>
        <v/>
      </c>
      <c r="S1051" s="18">
        <f>IF($Z1051="","",IF(AND(DATE($AD1051,10,1)&gt;=$AE1051,DATE($AD1051,10,1)&lt;=$AF1051),ROUND($AG1051,2),0))</f>
        <v/>
      </c>
      <c r="T1051" s="18">
        <f>IF($Z1051="","",IF(AND(DATE($AD1051,11,1)&gt;=$AE1051,DATE($AD1051,11,1)&lt;=$AF1051),ROUND($AG1051,2),0))</f>
        <v/>
      </c>
      <c r="U1051" s="18">
        <f>IF($Z1051="","",IF(AND(DATE($AD1051,12,1)&gt;=$AE1051,DATE($AD1051,12,1)&lt;=$AF1051),ROUND($AG1051,2),0))</f>
        <v/>
      </c>
      <c r="V1051" s="7">
        <f>IF($Z1051="C","Generated from "&amp;INDEX(Contracts!$A$2:$A$151,$AB1051),IF($Z1051="A","Generated from "&amp;INDEX(Fixed_Assets!$A$2:$A$201,$AB1051),IF($Z1051="F","Generated from "&amp;INDEX(FTE_Allocation!$A$2:$A$201,$AB1051),"")))</f>
        <v/>
      </c>
      <c r="X1051" s="19">
        <f>IF($Z1051="","",SUM(J1051:U1051))</f>
        <v/>
      </c>
      <c r="Y1051" s="20">
        <f>ROW()-1</f>
        <v/>
      </c>
      <c r="Z1051" s="20">
        <f>IF($Y1051&lt;=Settings!$B$4*3,"C",IF($Y1051&lt;=(Settings!$B$4+Settings!$B$5)*3,"A",IF($Y1051&lt;=(Settings!$B$4+Settings!$B$5+Settings!$B$6)*3,"F","")))</f>
        <v/>
      </c>
      <c r="AA1051" s="20">
        <f>IF($Z1051="C",$Y1051,IF($Z1051="A",$Y1051-Settings!$B$4*3,IF($Z1051="F",$Y1051-(Settings!$B$4+Settings!$B$5)*3,"")))</f>
        <v/>
      </c>
      <c r="AB1051" s="20">
        <f>IF($Z1051="","",INT(($AA1051-1)/3)+1)</f>
        <v/>
      </c>
      <c r="AC1051" s="20">
        <f>IF($Z1051="","",MOD($AA1051-1,3)+1)</f>
        <v/>
      </c>
      <c r="AD1051" s="20">
        <f>IF($Z1051="","",Settings!$B$2+$AC1051-1)</f>
        <v/>
      </c>
      <c r="AE1051" s="21">
        <f>IF($Z1051="C",DATE(YEAR(INDEX(Contracts!$J$2:$J$151,$AB1051)),MONTH(INDEX(Contracts!$J$2:$J$151,$AB1051)),1),IF($Z1051="A",DATE(YEAR(INDEX(Fixed_Assets!$G$2:$G$201,$AB1051)),MONTH(INDEX(Fixed_Assets!$G$2:$G$201,$AB1051)),1),IF($Z1051="F",DATE(YEAR(MAX(N(INDEX(Workforce!$I$2:$I$151,MATCH(INDEX(FTE_Allocation!$A$2:$A$201,$AB1051),Workforce!$A$2:$A$151,0))),N(INDEX(FTE_Allocation!$I$2:$I$201,$AB1051)))),MONTH(MAX(N(INDEX(Workforce!$I$2:$I$151,MATCH(INDEX(FTE_Allocation!$A$2:$A$201,$AB1051),Workforce!$A$2:$A$151,0))),N(INDEX(FTE_Allocation!$I$2:$I$201,$AB1051)))),1),"")))</f>
        <v/>
      </c>
      <c r="AF1051" s="21">
        <f>IF($Z1051="C",IF(INDEX(Contracts!$I$2:$I$151,$AB1051)="PREPAID",EDATE(DATE(YEAR(INDEX(Contracts!$J$2:$J$151,$AB1051)),MONTH(INDEX(Contracts!$J$2:$J$151,$AB1051)),1),IF(INDEX(Contracts!$N$2:$N$151,$AB1051)="",12,INDEX(Contracts!$N$2:$N$151,$AB1051))-1),IF(INDEX(Contracts!$I$2:$I$151,$AB1051)="MONTHLY",IF(INDEX(Contracts!$K$2:$K$151,$AB1051)="",2958101,INDEX(Contracts!$K$2:$K$151,$AB1051)),0)),IF($Z1051="A",EDATE(DATE(YEAR(INDEX(Fixed_Assets!$G$2:$G$201,$AB1051)),MONTH(INDEX(Fixed_Assets!$G$2:$G$201,$AB1051)),1),INDEX(Fixed_Assets!$J$2:$J$201,$AB1051)-1),IF($Z1051="F",MIN(IF(INDEX(Workforce!$J$2:$J$151,MATCH(INDEX(FTE_Allocation!$A$2:$A$201,$AB1051),Workforce!$A$2:$A$151,0))="",2958101,INDEX(Workforce!$J$2:$J$151,MATCH(INDEX(FTE_Allocation!$A$2:$A$201,$AB1051),Workforce!$A$2:$A$151,0))),IF(INDEX(FTE_Allocation!$J$2:$J$201,$AB1051)="",2958101,INDEX(FTE_Allocation!$J$2:$J$201,$AB1051))),"")))</f>
        <v/>
      </c>
      <c r="AG1051" s="19">
        <f>IF($Z1051="C",IF(INDEX(Contracts!$I$2:$I$151,$AB1051)="PREPAID",INDEX(Contracts!$M$2:$M$151,$AB1051)/IF(INDEX(Contracts!$N$2:$N$151,$AB1051)="",12,INDEX(Contracts!$N$2:$N$151,$AB1051)),IF(INDEX(Contracts!$I$2:$I$151,$AB1051)="MONTHLY",INDEX(Contracts!$M$2:$M$151,$AB1051),0))*(1-N(INDEX(Contracts!$O$2:$O$151,$AB1051))),IF($Z1051="A",INDEX(Fixed_Assets!$H$2:$H$201,$AB1051)/INDEX(Fixed_Assets!$J$2:$J$201,$AB1051),IF($Z1051="F",INDEX(Workforce!$F$2:$F$151,MATCH(INDEX(FTE_Allocation!$A$2:$A$201,$AB1051),Workforce!$A$2:$A$151,0))*N(INDEX(FTE_Allocation!$F$2:$H$201,$AB1051,$AC1051)),"")))</f>
        <v/>
      </c>
    </row>
    <row r="1052">
      <c r="A1052" s="7">
        <f>IF($Z1052="","",$AD1052)</f>
        <v/>
      </c>
      <c r="B1052" s="7">
        <f>IF($Z1052="C",INDEX(Contracts!$D$2:$D$151,$AB1052)&amp;"",IF($Z1052="A",INDEX(Fixed_Assets!$C$2:$C$201,$AB1052)&amp;"",IF($Z1052="F",INDEX(Workforce!$B$2:$B$151,MATCH(INDEX(FTE_Allocation!$A$2:$A$201,$AB1052),Workforce!$A$2:$A$151,0))&amp;"","")))</f>
        <v/>
      </c>
      <c r="C1052" s="7">
        <f>IF($Z1052="C",INDEX(Contracts!$E$2:$E$151,$AB1052)&amp;"",IF($Z1052="A",INDEX(Fixed_Assets!$D$2:$D$201,$AB1052)&amp;"",IF($Z1052="F",INDEX(FTE_Allocation!$C$2:$C$201,$AB1052)&amp;"","")))</f>
        <v/>
      </c>
      <c r="D1052" s="7">
        <f>IF($Z1052="C",INDEX(Contracts!$B$2:$B$151,$AB1052)&amp;"",IF($Z1052="A",INDEX(Fixed_Assets!$B$2:$B$201,$AB1052)&amp;"",IF($Z1052="F",INDEX(FTE_Allocation!$B$2:$B$201,$AB1052)&amp;"","")))</f>
        <v/>
      </c>
      <c r="E1052" s="7">
        <f>IF($Z1052="C",INDEX(Contracts!$P$2:$P$151,$AB1052)&amp;"",IF($Z1052="A",INDEX(Fixed_Assets!$K$2:$K$201,$AB1052)&amp;"",IF($Z1052="F",IF(INDEX(FTE_Allocation!$D$2:$D$201,$AB1052)="PROJECT",IFERROR(INDEX(Projects!$D:$D,MATCH(INDEX(FTE_Allocation!$E$2:$E$201,$AB1052),Projects!$A:$A,0))&amp;"","#PROJECT?"),INDEX(FTE_Allocation!$E$2:$E$201,$AB1052)&amp;""),"")))</f>
        <v/>
      </c>
      <c r="F1052" s="7">
        <f>IF($Z1052="C",INDEX(Contracts!$Q$2:$Q$151,$AB1052)&amp;"",IF($Z1052="A",INDEX(Fixed_Assets!$L$2:$L$201,$AB1052)&amp;"",IF($Z1052="F",INDEX(Workforce!$K$2:$K$151,MATCH(INDEX(FTE_Allocation!$A$2:$A$201,$AB1052),Workforce!$A$2:$A$151,0))&amp;"","")))</f>
        <v/>
      </c>
      <c r="G1052" s="7">
        <f>IF($Z1052="C",INDEX(Contracts!$F$2:$F$151,$AB1052)&amp;" / "&amp;INDEX(Contracts!$G$2:$G$151,$AB1052),IF($Z1052="A",INDEX(Fixed_Assets!$E$2:$E$201,$AB1052)&amp;"",IF($Z1052="F","Personnel "&amp;INDEX(FTE_Allocation!$A$2:$A$201,$AB1052)&amp;IF(INDEX(FTE_Allocation!$D$2:$D$201,$AB1052)="PROJECT"," ("&amp;INDEX(FTE_Allocation!$E$2:$E$201,$AB1052)&amp;")",""),"")))</f>
        <v/>
      </c>
      <c r="H1052" s="7">
        <f>IF($Z1052="C","CONTRACT",IF($Z1052="A","ASSET",IF($Z1052="F","WORKFORCE","")))</f>
        <v/>
      </c>
      <c r="I1052" s="7">
        <f>IF($Z1052="C",INDEX(Contracts!$L$2:$L$151,$AB1052)&amp;"",IF($Z1052="A",INDEX(Fixed_Assets!$I$2:$I$201,$AB1052)&amp;"",IF($Z1052="F",INDEX(Workforce!$G$2:$G$151,MATCH(INDEX(FTE_Allocation!$A$2:$A$201,$AB1052),Workforce!$A$2:$A$151,0))&amp;"","")))</f>
        <v/>
      </c>
      <c r="J1052" s="18">
        <f>IF($Z1052="","",IF(AND(DATE($AD1052,1,1)&gt;=$AE1052,DATE($AD1052,1,1)&lt;=$AF1052),ROUND($AG1052,2),0))</f>
        <v/>
      </c>
      <c r="K1052" s="18">
        <f>IF($Z1052="","",IF(AND(DATE($AD1052,2,1)&gt;=$AE1052,DATE($AD1052,2,1)&lt;=$AF1052),ROUND($AG1052,2),0))</f>
        <v/>
      </c>
      <c r="L1052" s="18">
        <f>IF($Z1052="","",IF(AND(DATE($AD1052,3,1)&gt;=$AE1052,DATE($AD1052,3,1)&lt;=$AF1052),ROUND($AG1052,2),0))</f>
        <v/>
      </c>
      <c r="M1052" s="18">
        <f>IF($Z1052="","",IF(AND(DATE($AD1052,4,1)&gt;=$AE1052,DATE($AD1052,4,1)&lt;=$AF1052),ROUND($AG1052,2),0))</f>
        <v/>
      </c>
      <c r="N1052" s="18">
        <f>IF($Z1052="","",IF(AND(DATE($AD1052,5,1)&gt;=$AE1052,DATE($AD1052,5,1)&lt;=$AF1052),ROUND($AG1052,2),0))</f>
        <v/>
      </c>
      <c r="O1052" s="18">
        <f>IF($Z1052="","",IF(AND(DATE($AD1052,6,1)&gt;=$AE1052,DATE($AD1052,6,1)&lt;=$AF1052),ROUND($AG1052,2),0))</f>
        <v/>
      </c>
      <c r="P1052" s="18">
        <f>IF($Z1052="","",IF(AND(DATE($AD1052,7,1)&gt;=$AE1052,DATE($AD1052,7,1)&lt;=$AF1052),ROUND($AG1052,2),0))</f>
        <v/>
      </c>
      <c r="Q1052" s="18">
        <f>IF($Z1052="","",IF(AND(DATE($AD1052,8,1)&gt;=$AE1052,DATE($AD1052,8,1)&lt;=$AF1052),ROUND($AG1052,2),0))</f>
        <v/>
      </c>
      <c r="R1052" s="18">
        <f>IF($Z1052="","",IF(AND(DATE($AD1052,9,1)&gt;=$AE1052,DATE($AD1052,9,1)&lt;=$AF1052),ROUND($AG1052,2),0))</f>
        <v/>
      </c>
      <c r="S1052" s="18">
        <f>IF($Z1052="","",IF(AND(DATE($AD1052,10,1)&gt;=$AE1052,DATE($AD1052,10,1)&lt;=$AF1052),ROUND($AG1052,2),0))</f>
        <v/>
      </c>
      <c r="T1052" s="18">
        <f>IF($Z1052="","",IF(AND(DATE($AD1052,11,1)&gt;=$AE1052,DATE($AD1052,11,1)&lt;=$AF1052),ROUND($AG1052,2),0))</f>
        <v/>
      </c>
      <c r="U1052" s="18">
        <f>IF($Z1052="","",IF(AND(DATE($AD1052,12,1)&gt;=$AE1052,DATE($AD1052,12,1)&lt;=$AF1052),ROUND($AG1052,2),0))</f>
        <v/>
      </c>
      <c r="V1052" s="7">
        <f>IF($Z1052="C","Generated from "&amp;INDEX(Contracts!$A$2:$A$151,$AB1052),IF($Z1052="A","Generated from "&amp;INDEX(Fixed_Assets!$A$2:$A$201,$AB1052),IF($Z1052="F","Generated from "&amp;INDEX(FTE_Allocation!$A$2:$A$201,$AB1052),"")))</f>
        <v/>
      </c>
      <c r="X1052" s="19">
        <f>IF($Z1052="","",SUM(J1052:U1052))</f>
        <v/>
      </c>
      <c r="Y1052" s="20">
        <f>ROW()-1</f>
        <v/>
      </c>
      <c r="Z1052" s="20">
        <f>IF($Y1052&lt;=Settings!$B$4*3,"C",IF($Y1052&lt;=(Settings!$B$4+Settings!$B$5)*3,"A",IF($Y1052&lt;=(Settings!$B$4+Settings!$B$5+Settings!$B$6)*3,"F","")))</f>
        <v/>
      </c>
      <c r="AA1052" s="20">
        <f>IF($Z1052="C",$Y1052,IF($Z1052="A",$Y1052-Settings!$B$4*3,IF($Z1052="F",$Y1052-(Settings!$B$4+Settings!$B$5)*3,"")))</f>
        <v/>
      </c>
      <c r="AB1052" s="20">
        <f>IF($Z1052="","",INT(($AA1052-1)/3)+1)</f>
        <v/>
      </c>
      <c r="AC1052" s="20">
        <f>IF($Z1052="","",MOD($AA1052-1,3)+1)</f>
        <v/>
      </c>
      <c r="AD1052" s="20">
        <f>IF($Z1052="","",Settings!$B$2+$AC1052-1)</f>
        <v/>
      </c>
      <c r="AE1052" s="21">
        <f>IF($Z1052="C",DATE(YEAR(INDEX(Contracts!$J$2:$J$151,$AB1052)),MONTH(INDEX(Contracts!$J$2:$J$151,$AB1052)),1),IF($Z1052="A",DATE(YEAR(INDEX(Fixed_Assets!$G$2:$G$201,$AB1052)),MONTH(INDEX(Fixed_Assets!$G$2:$G$201,$AB1052)),1),IF($Z1052="F",DATE(YEAR(MAX(N(INDEX(Workforce!$I$2:$I$151,MATCH(INDEX(FTE_Allocation!$A$2:$A$201,$AB1052),Workforce!$A$2:$A$151,0))),N(INDEX(FTE_Allocation!$I$2:$I$201,$AB1052)))),MONTH(MAX(N(INDEX(Workforce!$I$2:$I$151,MATCH(INDEX(FTE_Allocation!$A$2:$A$201,$AB1052),Workforce!$A$2:$A$151,0))),N(INDEX(FTE_Allocation!$I$2:$I$201,$AB1052)))),1),"")))</f>
        <v/>
      </c>
      <c r="AF1052" s="21">
        <f>IF($Z1052="C",IF(INDEX(Contracts!$I$2:$I$151,$AB1052)="PREPAID",EDATE(DATE(YEAR(INDEX(Contracts!$J$2:$J$151,$AB1052)),MONTH(INDEX(Contracts!$J$2:$J$151,$AB1052)),1),IF(INDEX(Contracts!$N$2:$N$151,$AB1052)="",12,INDEX(Contracts!$N$2:$N$151,$AB1052))-1),IF(INDEX(Contracts!$I$2:$I$151,$AB1052)="MONTHLY",IF(INDEX(Contracts!$K$2:$K$151,$AB1052)="",2958101,INDEX(Contracts!$K$2:$K$151,$AB1052)),0)),IF($Z1052="A",EDATE(DATE(YEAR(INDEX(Fixed_Assets!$G$2:$G$201,$AB1052)),MONTH(INDEX(Fixed_Assets!$G$2:$G$201,$AB1052)),1),INDEX(Fixed_Assets!$J$2:$J$201,$AB1052)-1),IF($Z1052="F",MIN(IF(INDEX(Workforce!$J$2:$J$151,MATCH(INDEX(FTE_Allocation!$A$2:$A$201,$AB1052),Workforce!$A$2:$A$151,0))="",2958101,INDEX(Workforce!$J$2:$J$151,MATCH(INDEX(FTE_Allocation!$A$2:$A$201,$AB1052),Workforce!$A$2:$A$151,0))),IF(INDEX(FTE_Allocation!$J$2:$J$201,$AB1052)="",2958101,INDEX(FTE_Allocation!$J$2:$J$201,$AB1052))),"")))</f>
        <v/>
      </c>
      <c r="AG1052" s="19">
        <f>IF($Z1052="C",IF(INDEX(Contracts!$I$2:$I$151,$AB1052)="PREPAID",INDEX(Contracts!$M$2:$M$151,$AB1052)/IF(INDEX(Contracts!$N$2:$N$151,$AB1052)="",12,INDEX(Contracts!$N$2:$N$151,$AB1052)),IF(INDEX(Contracts!$I$2:$I$151,$AB1052)="MONTHLY",INDEX(Contracts!$M$2:$M$151,$AB1052),0))*(1-N(INDEX(Contracts!$O$2:$O$151,$AB1052))),IF($Z1052="A",INDEX(Fixed_Assets!$H$2:$H$201,$AB1052)/INDEX(Fixed_Assets!$J$2:$J$201,$AB1052),IF($Z1052="F",INDEX(Workforce!$F$2:$F$151,MATCH(INDEX(FTE_Allocation!$A$2:$A$201,$AB1052),Workforce!$A$2:$A$151,0))*N(INDEX(FTE_Allocation!$F$2:$H$201,$AB1052,$AC1052)),"")))</f>
        <v/>
      </c>
    </row>
    <row r="1053">
      <c r="A1053" s="7">
        <f>IF($Z1053="","",$AD1053)</f>
        <v/>
      </c>
      <c r="B1053" s="7">
        <f>IF($Z1053="C",INDEX(Contracts!$D$2:$D$151,$AB1053)&amp;"",IF($Z1053="A",INDEX(Fixed_Assets!$C$2:$C$201,$AB1053)&amp;"",IF($Z1053="F",INDEX(Workforce!$B$2:$B$151,MATCH(INDEX(FTE_Allocation!$A$2:$A$201,$AB1053),Workforce!$A$2:$A$151,0))&amp;"","")))</f>
        <v/>
      </c>
      <c r="C1053" s="7">
        <f>IF($Z1053="C",INDEX(Contracts!$E$2:$E$151,$AB1053)&amp;"",IF($Z1053="A",INDEX(Fixed_Assets!$D$2:$D$201,$AB1053)&amp;"",IF($Z1053="F",INDEX(FTE_Allocation!$C$2:$C$201,$AB1053)&amp;"","")))</f>
        <v/>
      </c>
      <c r="D1053" s="7">
        <f>IF($Z1053="C",INDEX(Contracts!$B$2:$B$151,$AB1053)&amp;"",IF($Z1053="A",INDEX(Fixed_Assets!$B$2:$B$201,$AB1053)&amp;"",IF($Z1053="F",INDEX(FTE_Allocation!$B$2:$B$201,$AB1053)&amp;"","")))</f>
        <v/>
      </c>
      <c r="E1053" s="7">
        <f>IF($Z1053="C",INDEX(Contracts!$P$2:$P$151,$AB1053)&amp;"",IF($Z1053="A",INDEX(Fixed_Assets!$K$2:$K$201,$AB1053)&amp;"",IF($Z1053="F",IF(INDEX(FTE_Allocation!$D$2:$D$201,$AB1053)="PROJECT",IFERROR(INDEX(Projects!$D:$D,MATCH(INDEX(FTE_Allocation!$E$2:$E$201,$AB1053),Projects!$A:$A,0))&amp;"","#PROJECT?"),INDEX(FTE_Allocation!$E$2:$E$201,$AB1053)&amp;""),"")))</f>
        <v/>
      </c>
      <c r="F1053" s="7">
        <f>IF($Z1053="C",INDEX(Contracts!$Q$2:$Q$151,$AB1053)&amp;"",IF($Z1053="A",INDEX(Fixed_Assets!$L$2:$L$201,$AB1053)&amp;"",IF($Z1053="F",INDEX(Workforce!$K$2:$K$151,MATCH(INDEX(FTE_Allocation!$A$2:$A$201,$AB1053),Workforce!$A$2:$A$151,0))&amp;"","")))</f>
        <v/>
      </c>
      <c r="G1053" s="7">
        <f>IF($Z1053="C",INDEX(Contracts!$F$2:$F$151,$AB1053)&amp;" / "&amp;INDEX(Contracts!$G$2:$G$151,$AB1053),IF($Z1053="A",INDEX(Fixed_Assets!$E$2:$E$201,$AB1053)&amp;"",IF($Z1053="F","Personnel "&amp;INDEX(FTE_Allocation!$A$2:$A$201,$AB1053)&amp;IF(INDEX(FTE_Allocation!$D$2:$D$201,$AB1053)="PROJECT"," ("&amp;INDEX(FTE_Allocation!$E$2:$E$201,$AB1053)&amp;")",""),"")))</f>
        <v/>
      </c>
      <c r="H1053" s="7">
        <f>IF($Z1053="C","CONTRACT",IF($Z1053="A","ASSET",IF($Z1053="F","WORKFORCE","")))</f>
        <v/>
      </c>
      <c r="I1053" s="7">
        <f>IF($Z1053="C",INDEX(Contracts!$L$2:$L$151,$AB1053)&amp;"",IF($Z1053="A",INDEX(Fixed_Assets!$I$2:$I$201,$AB1053)&amp;"",IF($Z1053="F",INDEX(Workforce!$G$2:$G$151,MATCH(INDEX(FTE_Allocation!$A$2:$A$201,$AB1053),Workforce!$A$2:$A$151,0))&amp;"","")))</f>
        <v/>
      </c>
      <c r="J1053" s="18">
        <f>IF($Z1053="","",IF(AND(DATE($AD1053,1,1)&gt;=$AE1053,DATE($AD1053,1,1)&lt;=$AF1053),ROUND($AG1053,2),0))</f>
        <v/>
      </c>
      <c r="K1053" s="18">
        <f>IF($Z1053="","",IF(AND(DATE($AD1053,2,1)&gt;=$AE1053,DATE($AD1053,2,1)&lt;=$AF1053),ROUND($AG1053,2),0))</f>
        <v/>
      </c>
      <c r="L1053" s="18">
        <f>IF($Z1053="","",IF(AND(DATE($AD1053,3,1)&gt;=$AE1053,DATE($AD1053,3,1)&lt;=$AF1053),ROUND($AG1053,2),0))</f>
        <v/>
      </c>
      <c r="M1053" s="18">
        <f>IF($Z1053="","",IF(AND(DATE($AD1053,4,1)&gt;=$AE1053,DATE($AD1053,4,1)&lt;=$AF1053),ROUND($AG1053,2),0))</f>
        <v/>
      </c>
      <c r="N1053" s="18">
        <f>IF($Z1053="","",IF(AND(DATE($AD1053,5,1)&gt;=$AE1053,DATE($AD1053,5,1)&lt;=$AF1053),ROUND($AG1053,2),0))</f>
        <v/>
      </c>
      <c r="O1053" s="18">
        <f>IF($Z1053="","",IF(AND(DATE($AD1053,6,1)&gt;=$AE1053,DATE($AD1053,6,1)&lt;=$AF1053),ROUND($AG1053,2),0))</f>
        <v/>
      </c>
      <c r="P1053" s="18">
        <f>IF($Z1053="","",IF(AND(DATE($AD1053,7,1)&gt;=$AE1053,DATE($AD1053,7,1)&lt;=$AF1053),ROUND($AG1053,2),0))</f>
        <v/>
      </c>
      <c r="Q1053" s="18">
        <f>IF($Z1053="","",IF(AND(DATE($AD1053,8,1)&gt;=$AE1053,DATE($AD1053,8,1)&lt;=$AF1053),ROUND($AG1053,2),0))</f>
        <v/>
      </c>
      <c r="R1053" s="18">
        <f>IF($Z1053="","",IF(AND(DATE($AD1053,9,1)&gt;=$AE1053,DATE($AD1053,9,1)&lt;=$AF1053),ROUND($AG1053,2),0))</f>
        <v/>
      </c>
      <c r="S1053" s="18">
        <f>IF($Z1053="","",IF(AND(DATE($AD1053,10,1)&gt;=$AE1053,DATE($AD1053,10,1)&lt;=$AF1053),ROUND($AG1053,2),0))</f>
        <v/>
      </c>
      <c r="T1053" s="18">
        <f>IF($Z1053="","",IF(AND(DATE($AD1053,11,1)&gt;=$AE1053,DATE($AD1053,11,1)&lt;=$AF1053),ROUND($AG1053,2),0))</f>
        <v/>
      </c>
      <c r="U1053" s="18">
        <f>IF($Z1053="","",IF(AND(DATE($AD1053,12,1)&gt;=$AE1053,DATE($AD1053,12,1)&lt;=$AF1053),ROUND($AG1053,2),0))</f>
        <v/>
      </c>
      <c r="V1053" s="7">
        <f>IF($Z1053="C","Generated from "&amp;INDEX(Contracts!$A$2:$A$151,$AB1053),IF($Z1053="A","Generated from "&amp;INDEX(Fixed_Assets!$A$2:$A$201,$AB1053),IF($Z1053="F","Generated from "&amp;INDEX(FTE_Allocation!$A$2:$A$201,$AB1053),"")))</f>
        <v/>
      </c>
      <c r="X1053" s="19">
        <f>IF($Z1053="","",SUM(J1053:U1053))</f>
        <v/>
      </c>
      <c r="Y1053" s="20">
        <f>ROW()-1</f>
        <v/>
      </c>
      <c r="Z1053" s="20">
        <f>IF($Y1053&lt;=Settings!$B$4*3,"C",IF($Y1053&lt;=(Settings!$B$4+Settings!$B$5)*3,"A",IF($Y1053&lt;=(Settings!$B$4+Settings!$B$5+Settings!$B$6)*3,"F","")))</f>
        <v/>
      </c>
      <c r="AA1053" s="20">
        <f>IF($Z1053="C",$Y1053,IF($Z1053="A",$Y1053-Settings!$B$4*3,IF($Z1053="F",$Y1053-(Settings!$B$4+Settings!$B$5)*3,"")))</f>
        <v/>
      </c>
      <c r="AB1053" s="20">
        <f>IF($Z1053="","",INT(($AA1053-1)/3)+1)</f>
        <v/>
      </c>
      <c r="AC1053" s="20">
        <f>IF($Z1053="","",MOD($AA1053-1,3)+1)</f>
        <v/>
      </c>
      <c r="AD1053" s="20">
        <f>IF($Z1053="","",Settings!$B$2+$AC1053-1)</f>
        <v/>
      </c>
      <c r="AE1053" s="21">
        <f>IF($Z1053="C",DATE(YEAR(INDEX(Contracts!$J$2:$J$151,$AB1053)),MONTH(INDEX(Contracts!$J$2:$J$151,$AB1053)),1),IF($Z1053="A",DATE(YEAR(INDEX(Fixed_Assets!$G$2:$G$201,$AB1053)),MONTH(INDEX(Fixed_Assets!$G$2:$G$201,$AB1053)),1),IF($Z1053="F",DATE(YEAR(MAX(N(INDEX(Workforce!$I$2:$I$151,MATCH(INDEX(FTE_Allocation!$A$2:$A$201,$AB1053),Workforce!$A$2:$A$151,0))),N(INDEX(FTE_Allocation!$I$2:$I$201,$AB1053)))),MONTH(MAX(N(INDEX(Workforce!$I$2:$I$151,MATCH(INDEX(FTE_Allocation!$A$2:$A$201,$AB1053),Workforce!$A$2:$A$151,0))),N(INDEX(FTE_Allocation!$I$2:$I$201,$AB1053)))),1),"")))</f>
        <v/>
      </c>
      <c r="AF1053" s="21">
        <f>IF($Z1053="C",IF(INDEX(Contracts!$I$2:$I$151,$AB1053)="PREPAID",EDATE(DATE(YEAR(INDEX(Contracts!$J$2:$J$151,$AB1053)),MONTH(INDEX(Contracts!$J$2:$J$151,$AB1053)),1),IF(INDEX(Contracts!$N$2:$N$151,$AB1053)="",12,INDEX(Contracts!$N$2:$N$151,$AB1053))-1),IF(INDEX(Contracts!$I$2:$I$151,$AB1053)="MONTHLY",IF(INDEX(Contracts!$K$2:$K$151,$AB1053)="",2958101,INDEX(Contracts!$K$2:$K$151,$AB1053)),0)),IF($Z1053="A",EDATE(DATE(YEAR(INDEX(Fixed_Assets!$G$2:$G$201,$AB1053)),MONTH(INDEX(Fixed_Assets!$G$2:$G$201,$AB1053)),1),INDEX(Fixed_Assets!$J$2:$J$201,$AB1053)-1),IF($Z1053="F",MIN(IF(INDEX(Workforce!$J$2:$J$151,MATCH(INDEX(FTE_Allocation!$A$2:$A$201,$AB1053),Workforce!$A$2:$A$151,0))="",2958101,INDEX(Workforce!$J$2:$J$151,MATCH(INDEX(FTE_Allocation!$A$2:$A$201,$AB1053),Workforce!$A$2:$A$151,0))),IF(INDEX(FTE_Allocation!$J$2:$J$201,$AB1053)="",2958101,INDEX(FTE_Allocation!$J$2:$J$201,$AB1053))),"")))</f>
        <v/>
      </c>
      <c r="AG1053" s="19">
        <f>IF($Z1053="C",IF(INDEX(Contracts!$I$2:$I$151,$AB1053)="PREPAID",INDEX(Contracts!$M$2:$M$151,$AB1053)/IF(INDEX(Contracts!$N$2:$N$151,$AB1053)="",12,INDEX(Contracts!$N$2:$N$151,$AB1053)),IF(INDEX(Contracts!$I$2:$I$151,$AB1053)="MONTHLY",INDEX(Contracts!$M$2:$M$151,$AB1053),0))*(1-N(INDEX(Contracts!$O$2:$O$151,$AB1053))),IF($Z1053="A",INDEX(Fixed_Assets!$H$2:$H$201,$AB1053)/INDEX(Fixed_Assets!$J$2:$J$201,$AB1053),IF($Z1053="F",INDEX(Workforce!$F$2:$F$151,MATCH(INDEX(FTE_Allocation!$A$2:$A$201,$AB1053),Workforce!$A$2:$A$151,0))*N(INDEX(FTE_Allocation!$F$2:$H$201,$AB1053,$AC1053)),"")))</f>
        <v/>
      </c>
    </row>
    <row r="1054">
      <c r="A1054" s="7">
        <f>IF($Z1054="","",$AD1054)</f>
        <v/>
      </c>
      <c r="B1054" s="7">
        <f>IF($Z1054="C",INDEX(Contracts!$D$2:$D$151,$AB1054)&amp;"",IF($Z1054="A",INDEX(Fixed_Assets!$C$2:$C$201,$AB1054)&amp;"",IF($Z1054="F",INDEX(Workforce!$B$2:$B$151,MATCH(INDEX(FTE_Allocation!$A$2:$A$201,$AB1054),Workforce!$A$2:$A$151,0))&amp;"","")))</f>
        <v/>
      </c>
      <c r="C1054" s="7">
        <f>IF($Z1054="C",INDEX(Contracts!$E$2:$E$151,$AB1054)&amp;"",IF($Z1054="A",INDEX(Fixed_Assets!$D$2:$D$201,$AB1054)&amp;"",IF($Z1054="F",INDEX(FTE_Allocation!$C$2:$C$201,$AB1054)&amp;"","")))</f>
        <v/>
      </c>
      <c r="D1054" s="7">
        <f>IF($Z1054="C",INDEX(Contracts!$B$2:$B$151,$AB1054)&amp;"",IF($Z1054="A",INDEX(Fixed_Assets!$B$2:$B$201,$AB1054)&amp;"",IF($Z1054="F",INDEX(FTE_Allocation!$B$2:$B$201,$AB1054)&amp;"","")))</f>
        <v/>
      </c>
      <c r="E1054" s="7">
        <f>IF($Z1054="C",INDEX(Contracts!$P$2:$P$151,$AB1054)&amp;"",IF($Z1054="A",INDEX(Fixed_Assets!$K$2:$K$201,$AB1054)&amp;"",IF($Z1054="F",IF(INDEX(FTE_Allocation!$D$2:$D$201,$AB1054)="PROJECT",IFERROR(INDEX(Projects!$D:$D,MATCH(INDEX(FTE_Allocation!$E$2:$E$201,$AB1054),Projects!$A:$A,0))&amp;"","#PROJECT?"),INDEX(FTE_Allocation!$E$2:$E$201,$AB1054)&amp;""),"")))</f>
        <v/>
      </c>
      <c r="F1054" s="7">
        <f>IF($Z1054="C",INDEX(Contracts!$Q$2:$Q$151,$AB1054)&amp;"",IF($Z1054="A",INDEX(Fixed_Assets!$L$2:$L$201,$AB1054)&amp;"",IF($Z1054="F",INDEX(Workforce!$K$2:$K$151,MATCH(INDEX(FTE_Allocation!$A$2:$A$201,$AB1054),Workforce!$A$2:$A$151,0))&amp;"","")))</f>
        <v/>
      </c>
      <c r="G1054" s="7">
        <f>IF($Z1054="C",INDEX(Contracts!$F$2:$F$151,$AB1054)&amp;" / "&amp;INDEX(Contracts!$G$2:$G$151,$AB1054),IF($Z1054="A",INDEX(Fixed_Assets!$E$2:$E$201,$AB1054)&amp;"",IF($Z1054="F","Personnel "&amp;INDEX(FTE_Allocation!$A$2:$A$201,$AB1054)&amp;IF(INDEX(FTE_Allocation!$D$2:$D$201,$AB1054)="PROJECT"," ("&amp;INDEX(FTE_Allocation!$E$2:$E$201,$AB1054)&amp;")",""),"")))</f>
        <v/>
      </c>
      <c r="H1054" s="7">
        <f>IF($Z1054="C","CONTRACT",IF($Z1054="A","ASSET",IF($Z1054="F","WORKFORCE","")))</f>
        <v/>
      </c>
      <c r="I1054" s="7">
        <f>IF($Z1054="C",INDEX(Contracts!$L$2:$L$151,$AB1054)&amp;"",IF($Z1054="A",INDEX(Fixed_Assets!$I$2:$I$201,$AB1054)&amp;"",IF($Z1054="F",INDEX(Workforce!$G$2:$G$151,MATCH(INDEX(FTE_Allocation!$A$2:$A$201,$AB1054),Workforce!$A$2:$A$151,0))&amp;"","")))</f>
        <v/>
      </c>
      <c r="J1054" s="18">
        <f>IF($Z1054="","",IF(AND(DATE($AD1054,1,1)&gt;=$AE1054,DATE($AD1054,1,1)&lt;=$AF1054),ROUND($AG1054,2),0))</f>
        <v/>
      </c>
      <c r="K1054" s="18">
        <f>IF($Z1054="","",IF(AND(DATE($AD1054,2,1)&gt;=$AE1054,DATE($AD1054,2,1)&lt;=$AF1054),ROUND($AG1054,2),0))</f>
        <v/>
      </c>
      <c r="L1054" s="18">
        <f>IF($Z1054="","",IF(AND(DATE($AD1054,3,1)&gt;=$AE1054,DATE($AD1054,3,1)&lt;=$AF1054),ROUND($AG1054,2),0))</f>
        <v/>
      </c>
      <c r="M1054" s="18">
        <f>IF($Z1054="","",IF(AND(DATE($AD1054,4,1)&gt;=$AE1054,DATE($AD1054,4,1)&lt;=$AF1054),ROUND($AG1054,2),0))</f>
        <v/>
      </c>
      <c r="N1054" s="18">
        <f>IF($Z1054="","",IF(AND(DATE($AD1054,5,1)&gt;=$AE1054,DATE($AD1054,5,1)&lt;=$AF1054),ROUND($AG1054,2),0))</f>
        <v/>
      </c>
      <c r="O1054" s="18">
        <f>IF($Z1054="","",IF(AND(DATE($AD1054,6,1)&gt;=$AE1054,DATE($AD1054,6,1)&lt;=$AF1054),ROUND($AG1054,2),0))</f>
        <v/>
      </c>
      <c r="P1054" s="18">
        <f>IF($Z1054="","",IF(AND(DATE($AD1054,7,1)&gt;=$AE1054,DATE($AD1054,7,1)&lt;=$AF1054),ROUND($AG1054,2),0))</f>
        <v/>
      </c>
      <c r="Q1054" s="18">
        <f>IF($Z1054="","",IF(AND(DATE($AD1054,8,1)&gt;=$AE1054,DATE($AD1054,8,1)&lt;=$AF1054),ROUND($AG1054,2),0))</f>
        <v/>
      </c>
      <c r="R1054" s="18">
        <f>IF($Z1054="","",IF(AND(DATE($AD1054,9,1)&gt;=$AE1054,DATE($AD1054,9,1)&lt;=$AF1054),ROUND($AG1054,2),0))</f>
        <v/>
      </c>
      <c r="S1054" s="18">
        <f>IF($Z1054="","",IF(AND(DATE($AD1054,10,1)&gt;=$AE1054,DATE($AD1054,10,1)&lt;=$AF1054),ROUND($AG1054,2),0))</f>
        <v/>
      </c>
      <c r="T1054" s="18">
        <f>IF($Z1054="","",IF(AND(DATE($AD1054,11,1)&gt;=$AE1054,DATE($AD1054,11,1)&lt;=$AF1054),ROUND($AG1054,2),0))</f>
        <v/>
      </c>
      <c r="U1054" s="18">
        <f>IF($Z1054="","",IF(AND(DATE($AD1054,12,1)&gt;=$AE1054,DATE($AD1054,12,1)&lt;=$AF1054),ROUND($AG1054,2),0))</f>
        <v/>
      </c>
      <c r="V1054" s="7">
        <f>IF($Z1054="C","Generated from "&amp;INDEX(Contracts!$A$2:$A$151,$AB1054),IF($Z1054="A","Generated from "&amp;INDEX(Fixed_Assets!$A$2:$A$201,$AB1054),IF($Z1054="F","Generated from "&amp;INDEX(FTE_Allocation!$A$2:$A$201,$AB1054),"")))</f>
        <v/>
      </c>
      <c r="X1054" s="19">
        <f>IF($Z1054="","",SUM(J1054:U1054))</f>
        <v/>
      </c>
      <c r="Y1054" s="20">
        <f>ROW()-1</f>
        <v/>
      </c>
      <c r="Z1054" s="20">
        <f>IF($Y1054&lt;=Settings!$B$4*3,"C",IF($Y1054&lt;=(Settings!$B$4+Settings!$B$5)*3,"A",IF($Y1054&lt;=(Settings!$B$4+Settings!$B$5+Settings!$B$6)*3,"F","")))</f>
        <v/>
      </c>
      <c r="AA1054" s="20">
        <f>IF($Z1054="C",$Y1054,IF($Z1054="A",$Y1054-Settings!$B$4*3,IF($Z1054="F",$Y1054-(Settings!$B$4+Settings!$B$5)*3,"")))</f>
        <v/>
      </c>
      <c r="AB1054" s="20">
        <f>IF($Z1054="","",INT(($AA1054-1)/3)+1)</f>
        <v/>
      </c>
      <c r="AC1054" s="20">
        <f>IF($Z1054="","",MOD($AA1054-1,3)+1)</f>
        <v/>
      </c>
      <c r="AD1054" s="20">
        <f>IF($Z1054="","",Settings!$B$2+$AC1054-1)</f>
        <v/>
      </c>
      <c r="AE1054" s="21">
        <f>IF($Z1054="C",DATE(YEAR(INDEX(Contracts!$J$2:$J$151,$AB1054)),MONTH(INDEX(Contracts!$J$2:$J$151,$AB1054)),1),IF($Z1054="A",DATE(YEAR(INDEX(Fixed_Assets!$G$2:$G$201,$AB1054)),MONTH(INDEX(Fixed_Assets!$G$2:$G$201,$AB1054)),1),IF($Z1054="F",DATE(YEAR(MAX(N(INDEX(Workforce!$I$2:$I$151,MATCH(INDEX(FTE_Allocation!$A$2:$A$201,$AB1054),Workforce!$A$2:$A$151,0))),N(INDEX(FTE_Allocation!$I$2:$I$201,$AB1054)))),MONTH(MAX(N(INDEX(Workforce!$I$2:$I$151,MATCH(INDEX(FTE_Allocation!$A$2:$A$201,$AB1054),Workforce!$A$2:$A$151,0))),N(INDEX(FTE_Allocation!$I$2:$I$201,$AB1054)))),1),"")))</f>
        <v/>
      </c>
      <c r="AF1054" s="21">
        <f>IF($Z1054="C",IF(INDEX(Contracts!$I$2:$I$151,$AB1054)="PREPAID",EDATE(DATE(YEAR(INDEX(Contracts!$J$2:$J$151,$AB1054)),MONTH(INDEX(Contracts!$J$2:$J$151,$AB1054)),1),IF(INDEX(Contracts!$N$2:$N$151,$AB1054)="",12,INDEX(Contracts!$N$2:$N$151,$AB1054))-1),IF(INDEX(Contracts!$I$2:$I$151,$AB1054)="MONTHLY",IF(INDEX(Contracts!$K$2:$K$151,$AB1054)="",2958101,INDEX(Contracts!$K$2:$K$151,$AB1054)),0)),IF($Z1054="A",EDATE(DATE(YEAR(INDEX(Fixed_Assets!$G$2:$G$201,$AB1054)),MONTH(INDEX(Fixed_Assets!$G$2:$G$201,$AB1054)),1),INDEX(Fixed_Assets!$J$2:$J$201,$AB1054)-1),IF($Z1054="F",MIN(IF(INDEX(Workforce!$J$2:$J$151,MATCH(INDEX(FTE_Allocation!$A$2:$A$201,$AB1054),Workforce!$A$2:$A$151,0))="",2958101,INDEX(Workforce!$J$2:$J$151,MATCH(INDEX(FTE_Allocation!$A$2:$A$201,$AB1054),Workforce!$A$2:$A$151,0))),IF(INDEX(FTE_Allocation!$J$2:$J$201,$AB1054)="",2958101,INDEX(FTE_Allocation!$J$2:$J$201,$AB1054))),"")))</f>
        <v/>
      </c>
      <c r="AG1054" s="19">
        <f>IF($Z1054="C",IF(INDEX(Contracts!$I$2:$I$151,$AB1054)="PREPAID",INDEX(Contracts!$M$2:$M$151,$AB1054)/IF(INDEX(Contracts!$N$2:$N$151,$AB1054)="",12,INDEX(Contracts!$N$2:$N$151,$AB1054)),IF(INDEX(Contracts!$I$2:$I$151,$AB1054)="MONTHLY",INDEX(Contracts!$M$2:$M$151,$AB1054),0))*(1-N(INDEX(Contracts!$O$2:$O$151,$AB1054))),IF($Z1054="A",INDEX(Fixed_Assets!$H$2:$H$201,$AB1054)/INDEX(Fixed_Assets!$J$2:$J$201,$AB1054),IF($Z1054="F",INDEX(Workforce!$F$2:$F$151,MATCH(INDEX(FTE_Allocation!$A$2:$A$201,$AB1054),Workforce!$A$2:$A$151,0))*N(INDEX(FTE_Allocation!$F$2:$H$201,$AB1054,$AC1054)),"")))</f>
        <v/>
      </c>
    </row>
    <row r="1055">
      <c r="A1055" s="7">
        <f>IF($Z1055="","",$AD1055)</f>
        <v/>
      </c>
      <c r="B1055" s="7">
        <f>IF($Z1055="C",INDEX(Contracts!$D$2:$D$151,$AB1055)&amp;"",IF($Z1055="A",INDEX(Fixed_Assets!$C$2:$C$201,$AB1055)&amp;"",IF($Z1055="F",INDEX(Workforce!$B$2:$B$151,MATCH(INDEX(FTE_Allocation!$A$2:$A$201,$AB1055),Workforce!$A$2:$A$151,0))&amp;"","")))</f>
        <v/>
      </c>
      <c r="C1055" s="7">
        <f>IF($Z1055="C",INDEX(Contracts!$E$2:$E$151,$AB1055)&amp;"",IF($Z1055="A",INDEX(Fixed_Assets!$D$2:$D$201,$AB1055)&amp;"",IF($Z1055="F",INDEX(FTE_Allocation!$C$2:$C$201,$AB1055)&amp;"","")))</f>
        <v/>
      </c>
      <c r="D1055" s="7">
        <f>IF($Z1055="C",INDEX(Contracts!$B$2:$B$151,$AB1055)&amp;"",IF($Z1055="A",INDEX(Fixed_Assets!$B$2:$B$201,$AB1055)&amp;"",IF($Z1055="F",INDEX(FTE_Allocation!$B$2:$B$201,$AB1055)&amp;"","")))</f>
        <v/>
      </c>
      <c r="E1055" s="7">
        <f>IF($Z1055="C",INDEX(Contracts!$P$2:$P$151,$AB1055)&amp;"",IF($Z1055="A",INDEX(Fixed_Assets!$K$2:$K$201,$AB1055)&amp;"",IF($Z1055="F",IF(INDEX(FTE_Allocation!$D$2:$D$201,$AB1055)="PROJECT",IFERROR(INDEX(Projects!$D:$D,MATCH(INDEX(FTE_Allocation!$E$2:$E$201,$AB1055),Projects!$A:$A,0))&amp;"","#PROJECT?"),INDEX(FTE_Allocation!$E$2:$E$201,$AB1055)&amp;""),"")))</f>
        <v/>
      </c>
      <c r="F1055" s="7">
        <f>IF($Z1055="C",INDEX(Contracts!$Q$2:$Q$151,$AB1055)&amp;"",IF($Z1055="A",INDEX(Fixed_Assets!$L$2:$L$201,$AB1055)&amp;"",IF($Z1055="F",INDEX(Workforce!$K$2:$K$151,MATCH(INDEX(FTE_Allocation!$A$2:$A$201,$AB1055),Workforce!$A$2:$A$151,0))&amp;"","")))</f>
        <v/>
      </c>
      <c r="G1055" s="7">
        <f>IF($Z1055="C",INDEX(Contracts!$F$2:$F$151,$AB1055)&amp;" / "&amp;INDEX(Contracts!$G$2:$G$151,$AB1055),IF($Z1055="A",INDEX(Fixed_Assets!$E$2:$E$201,$AB1055)&amp;"",IF($Z1055="F","Personnel "&amp;INDEX(FTE_Allocation!$A$2:$A$201,$AB1055)&amp;IF(INDEX(FTE_Allocation!$D$2:$D$201,$AB1055)="PROJECT"," ("&amp;INDEX(FTE_Allocation!$E$2:$E$201,$AB1055)&amp;")",""),"")))</f>
        <v/>
      </c>
      <c r="H1055" s="7">
        <f>IF($Z1055="C","CONTRACT",IF($Z1055="A","ASSET",IF($Z1055="F","WORKFORCE","")))</f>
        <v/>
      </c>
      <c r="I1055" s="7">
        <f>IF($Z1055="C",INDEX(Contracts!$L$2:$L$151,$AB1055)&amp;"",IF($Z1055="A",INDEX(Fixed_Assets!$I$2:$I$201,$AB1055)&amp;"",IF($Z1055="F",INDEX(Workforce!$G$2:$G$151,MATCH(INDEX(FTE_Allocation!$A$2:$A$201,$AB1055),Workforce!$A$2:$A$151,0))&amp;"","")))</f>
        <v/>
      </c>
      <c r="J1055" s="18">
        <f>IF($Z1055="","",IF(AND(DATE($AD1055,1,1)&gt;=$AE1055,DATE($AD1055,1,1)&lt;=$AF1055),ROUND($AG1055,2),0))</f>
        <v/>
      </c>
      <c r="K1055" s="18">
        <f>IF($Z1055="","",IF(AND(DATE($AD1055,2,1)&gt;=$AE1055,DATE($AD1055,2,1)&lt;=$AF1055),ROUND($AG1055,2),0))</f>
        <v/>
      </c>
      <c r="L1055" s="18">
        <f>IF($Z1055="","",IF(AND(DATE($AD1055,3,1)&gt;=$AE1055,DATE($AD1055,3,1)&lt;=$AF1055),ROUND($AG1055,2),0))</f>
        <v/>
      </c>
      <c r="M1055" s="18">
        <f>IF($Z1055="","",IF(AND(DATE($AD1055,4,1)&gt;=$AE1055,DATE($AD1055,4,1)&lt;=$AF1055),ROUND($AG1055,2),0))</f>
        <v/>
      </c>
      <c r="N1055" s="18">
        <f>IF($Z1055="","",IF(AND(DATE($AD1055,5,1)&gt;=$AE1055,DATE($AD1055,5,1)&lt;=$AF1055),ROUND($AG1055,2),0))</f>
        <v/>
      </c>
      <c r="O1055" s="18">
        <f>IF($Z1055="","",IF(AND(DATE($AD1055,6,1)&gt;=$AE1055,DATE($AD1055,6,1)&lt;=$AF1055),ROUND($AG1055,2),0))</f>
        <v/>
      </c>
      <c r="P1055" s="18">
        <f>IF($Z1055="","",IF(AND(DATE($AD1055,7,1)&gt;=$AE1055,DATE($AD1055,7,1)&lt;=$AF1055),ROUND($AG1055,2),0))</f>
        <v/>
      </c>
      <c r="Q1055" s="18">
        <f>IF($Z1055="","",IF(AND(DATE($AD1055,8,1)&gt;=$AE1055,DATE($AD1055,8,1)&lt;=$AF1055),ROUND($AG1055,2),0))</f>
        <v/>
      </c>
      <c r="R1055" s="18">
        <f>IF($Z1055="","",IF(AND(DATE($AD1055,9,1)&gt;=$AE1055,DATE($AD1055,9,1)&lt;=$AF1055),ROUND($AG1055,2),0))</f>
        <v/>
      </c>
      <c r="S1055" s="18">
        <f>IF($Z1055="","",IF(AND(DATE($AD1055,10,1)&gt;=$AE1055,DATE($AD1055,10,1)&lt;=$AF1055),ROUND($AG1055,2),0))</f>
        <v/>
      </c>
      <c r="T1055" s="18">
        <f>IF($Z1055="","",IF(AND(DATE($AD1055,11,1)&gt;=$AE1055,DATE($AD1055,11,1)&lt;=$AF1055),ROUND($AG1055,2),0))</f>
        <v/>
      </c>
      <c r="U1055" s="18">
        <f>IF($Z1055="","",IF(AND(DATE($AD1055,12,1)&gt;=$AE1055,DATE($AD1055,12,1)&lt;=$AF1055),ROUND($AG1055,2),0))</f>
        <v/>
      </c>
      <c r="V1055" s="7">
        <f>IF($Z1055="C","Generated from "&amp;INDEX(Contracts!$A$2:$A$151,$AB1055),IF($Z1055="A","Generated from "&amp;INDEX(Fixed_Assets!$A$2:$A$201,$AB1055),IF($Z1055="F","Generated from "&amp;INDEX(FTE_Allocation!$A$2:$A$201,$AB1055),"")))</f>
        <v/>
      </c>
      <c r="X1055" s="19">
        <f>IF($Z1055="","",SUM(J1055:U1055))</f>
        <v/>
      </c>
      <c r="Y1055" s="20">
        <f>ROW()-1</f>
        <v/>
      </c>
      <c r="Z1055" s="20">
        <f>IF($Y1055&lt;=Settings!$B$4*3,"C",IF($Y1055&lt;=(Settings!$B$4+Settings!$B$5)*3,"A",IF($Y1055&lt;=(Settings!$B$4+Settings!$B$5+Settings!$B$6)*3,"F","")))</f>
        <v/>
      </c>
      <c r="AA1055" s="20">
        <f>IF($Z1055="C",$Y1055,IF($Z1055="A",$Y1055-Settings!$B$4*3,IF($Z1055="F",$Y1055-(Settings!$B$4+Settings!$B$5)*3,"")))</f>
        <v/>
      </c>
      <c r="AB1055" s="20">
        <f>IF($Z1055="","",INT(($AA1055-1)/3)+1)</f>
        <v/>
      </c>
      <c r="AC1055" s="20">
        <f>IF($Z1055="","",MOD($AA1055-1,3)+1)</f>
        <v/>
      </c>
      <c r="AD1055" s="20">
        <f>IF($Z1055="","",Settings!$B$2+$AC1055-1)</f>
        <v/>
      </c>
      <c r="AE1055" s="21">
        <f>IF($Z1055="C",DATE(YEAR(INDEX(Contracts!$J$2:$J$151,$AB1055)),MONTH(INDEX(Contracts!$J$2:$J$151,$AB1055)),1),IF($Z1055="A",DATE(YEAR(INDEX(Fixed_Assets!$G$2:$G$201,$AB1055)),MONTH(INDEX(Fixed_Assets!$G$2:$G$201,$AB1055)),1),IF($Z1055="F",DATE(YEAR(MAX(N(INDEX(Workforce!$I$2:$I$151,MATCH(INDEX(FTE_Allocation!$A$2:$A$201,$AB1055),Workforce!$A$2:$A$151,0))),N(INDEX(FTE_Allocation!$I$2:$I$201,$AB1055)))),MONTH(MAX(N(INDEX(Workforce!$I$2:$I$151,MATCH(INDEX(FTE_Allocation!$A$2:$A$201,$AB1055),Workforce!$A$2:$A$151,0))),N(INDEX(FTE_Allocation!$I$2:$I$201,$AB1055)))),1),"")))</f>
        <v/>
      </c>
      <c r="AF1055" s="21">
        <f>IF($Z1055="C",IF(INDEX(Contracts!$I$2:$I$151,$AB1055)="PREPAID",EDATE(DATE(YEAR(INDEX(Contracts!$J$2:$J$151,$AB1055)),MONTH(INDEX(Contracts!$J$2:$J$151,$AB1055)),1),IF(INDEX(Contracts!$N$2:$N$151,$AB1055)="",12,INDEX(Contracts!$N$2:$N$151,$AB1055))-1),IF(INDEX(Contracts!$I$2:$I$151,$AB1055)="MONTHLY",IF(INDEX(Contracts!$K$2:$K$151,$AB1055)="",2958101,INDEX(Contracts!$K$2:$K$151,$AB1055)),0)),IF($Z1055="A",EDATE(DATE(YEAR(INDEX(Fixed_Assets!$G$2:$G$201,$AB1055)),MONTH(INDEX(Fixed_Assets!$G$2:$G$201,$AB1055)),1),INDEX(Fixed_Assets!$J$2:$J$201,$AB1055)-1),IF($Z1055="F",MIN(IF(INDEX(Workforce!$J$2:$J$151,MATCH(INDEX(FTE_Allocation!$A$2:$A$201,$AB1055),Workforce!$A$2:$A$151,0))="",2958101,INDEX(Workforce!$J$2:$J$151,MATCH(INDEX(FTE_Allocation!$A$2:$A$201,$AB1055),Workforce!$A$2:$A$151,0))),IF(INDEX(FTE_Allocation!$J$2:$J$201,$AB1055)="",2958101,INDEX(FTE_Allocation!$J$2:$J$201,$AB1055))),"")))</f>
        <v/>
      </c>
      <c r="AG1055" s="19">
        <f>IF($Z1055="C",IF(INDEX(Contracts!$I$2:$I$151,$AB1055)="PREPAID",INDEX(Contracts!$M$2:$M$151,$AB1055)/IF(INDEX(Contracts!$N$2:$N$151,$AB1055)="",12,INDEX(Contracts!$N$2:$N$151,$AB1055)),IF(INDEX(Contracts!$I$2:$I$151,$AB1055)="MONTHLY",INDEX(Contracts!$M$2:$M$151,$AB1055),0))*(1-N(INDEX(Contracts!$O$2:$O$151,$AB1055))),IF($Z1055="A",INDEX(Fixed_Assets!$H$2:$H$201,$AB1055)/INDEX(Fixed_Assets!$J$2:$J$201,$AB1055),IF($Z1055="F",INDEX(Workforce!$F$2:$F$151,MATCH(INDEX(FTE_Allocation!$A$2:$A$201,$AB1055),Workforce!$A$2:$A$151,0))*N(INDEX(FTE_Allocation!$F$2:$H$201,$AB1055,$AC1055)),"")))</f>
        <v/>
      </c>
    </row>
    <row r="1056">
      <c r="A1056" s="7">
        <f>IF($Z1056="","",$AD1056)</f>
        <v/>
      </c>
      <c r="B1056" s="7">
        <f>IF($Z1056="C",INDEX(Contracts!$D$2:$D$151,$AB1056)&amp;"",IF($Z1056="A",INDEX(Fixed_Assets!$C$2:$C$201,$AB1056)&amp;"",IF($Z1056="F",INDEX(Workforce!$B$2:$B$151,MATCH(INDEX(FTE_Allocation!$A$2:$A$201,$AB1056),Workforce!$A$2:$A$151,0))&amp;"","")))</f>
        <v/>
      </c>
      <c r="C1056" s="7">
        <f>IF($Z1056="C",INDEX(Contracts!$E$2:$E$151,$AB1056)&amp;"",IF($Z1056="A",INDEX(Fixed_Assets!$D$2:$D$201,$AB1056)&amp;"",IF($Z1056="F",INDEX(FTE_Allocation!$C$2:$C$201,$AB1056)&amp;"","")))</f>
        <v/>
      </c>
      <c r="D1056" s="7">
        <f>IF($Z1056="C",INDEX(Contracts!$B$2:$B$151,$AB1056)&amp;"",IF($Z1056="A",INDEX(Fixed_Assets!$B$2:$B$201,$AB1056)&amp;"",IF($Z1056="F",INDEX(FTE_Allocation!$B$2:$B$201,$AB1056)&amp;"","")))</f>
        <v/>
      </c>
      <c r="E1056" s="7">
        <f>IF($Z1056="C",INDEX(Contracts!$P$2:$P$151,$AB1056)&amp;"",IF($Z1056="A",INDEX(Fixed_Assets!$K$2:$K$201,$AB1056)&amp;"",IF($Z1056="F",IF(INDEX(FTE_Allocation!$D$2:$D$201,$AB1056)="PROJECT",IFERROR(INDEX(Projects!$D:$D,MATCH(INDEX(FTE_Allocation!$E$2:$E$201,$AB1056),Projects!$A:$A,0))&amp;"","#PROJECT?"),INDEX(FTE_Allocation!$E$2:$E$201,$AB1056)&amp;""),"")))</f>
        <v/>
      </c>
      <c r="F1056" s="7">
        <f>IF($Z1056="C",INDEX(Contracts!$Q$2:$Q$151,$AB1056)&amp;"",IF($Z1056="A",INDEX(Fixed_Assets!$L$2:$L$201,$AB1056)&amp;"",IF($Z1056="F",INDEX(Workforce!$K$2:$K$151,MATCH(INDEX(FTE_Allocation!$A$2:$A$201,$AB1056),Workforce!$A$2:$A$151,0))&amp;"","")))</f>
        <v/>
      </c>
      <c r="G1056" s="7">
        <f>IF($Z1056="C",INDEX(Contracts!$F$2:$F$151,$AB1056)&amp;" / "&amp;INDEX(Contracts!$G$2:$G$151,$AB1056),IF($Z1056="A",INDEX(Fixed_Assets!$E$2:$E$201,$AB1056)&amp;"",IF($Z1056="F","Personnel "&amp;INDEX(FTE_Allocation!$A$2:$A$201,$AB1056)&amp;IF(INDEX(FTE_Allocation!$D$2:$D$201,$AB1056)="PROJECT"," ("&amp;INDEX(FTE_Allocation!$E$2:$E$201,$AB1056)&amp;")",""),"")))</f>
        <v/>
      </c>
      <c r="H1056" s="7">
        <f>IF($Z1056="C","CONTRACT",IF($Z1056="A","ASSET",IF($Z1056="F","WORKFORCE","")))</f>
        <v/>
      </c>
      <c r="I1056" s="7">
        <f>IF($Z1056="C",INDEX(Contracts!$L$2:$L$151,$AB1056)&amp;"",IF($Z1056="A",INDEX(Fixed_Assets!$I$2:$I$201,$AB1056)&amp;"",IF($Z1056="F",INDEX(Workforce!$G$2:$G$151,MATCH(INDEX(FTE_Allocation!$A$2:$A$201,$AB1056),Workforce!$A$2:$A$151,0))&amp;"","")))</f>
        <v/>
      </c>
      <c r="J1056" s="18">
        <f>IF($Z1056="","",IF(AND(DATE($AD1056,1,1)&gt;=$AE1056,DATE($AD1056,1,1)&lt;=$AF1056),ROUND($AG1056,2),0))</f>
        <v/>
      </c>
      <c r="K1056" s="18">
        <f>IF($Z1056="","",IF(AND(DATE($AD1056,2,1)&gt;=$AE1056,DATE($AD1056,2,1)&lt;=$AF1056),ROUND($AG1056,2),0))</f>
        <v/>
      </c>
      <c r="L1056" s="18">
        <f>IF($Z1056="","",IF(AND(DATE($AD1056,3,1)&gt;=$AE1056,DATE($AD1056,3,1)&lt;=$AF1056),ROUND($AG1056,2),0))</f>
        <v/>
      </c>
      <c r="M1056" s="18">
        <f>IF($Z1056="","",IF(AND(DATE($AD1056,4,1)&gt;=$AE1056,DATE($AD1056,4,1)&lt;=$AF1056),ROUND($AG1056,2),0))</f>
        <v/>
      </c>
      <c r="N1056" s="18">
        <f>IF($Z1056="","",IF(AND(DATE($AD1056,5,1)&gt;=$AE1056,DATE($AD1056,5,1)&lt;=$AF1056),ROUND($AG1056,2),0))</f>
        <v/>
      </c>
      <c r="O1056" s="18">
        <f>IF($Z1056="","",IF(AND(DATE($AD1056,6,1)&gt;=$AE1056,DATE($AD1056,6,1)&lt;=$AF1056),ROUND($AG1056,2),0))</f>
        <v/>
      </c>
      <c r="P1056" s="18">
        <f>IF($Z1056="","",IF(AND(DATE($AD1056,7,1)&gt;=$AE1056,DATE($AD1056,7,1)&lt;=$AF1056),ROUND($AG1056,2),0))</f>
        <v/>
      </c>
      <c r="Q1056" s="18">
        <f>IF($Z1056="","",IF(AND(DATE($AD1056,8,1)&gt;=$AE1056,DATE($AD1056,8,1)&lt;=$AF1056),ROUND($AG1056,2),0))</f>
        <v/>
      </c>
      <c r="R1056" s="18">
        <f>IF($Z1056="","",IF(AND(DATE($AD1056,9,1)&gt;=$AE1056,DATE($AD1056,9,1)&lt;=$AF1056),ROUND($AG1056,2),0))</f>
        <v/>
      </c>
      <c r="S1056" s="18">
        <f>IF($Z1056="","",IF(AND(DATE($AD1056,10,1)&gt;=$AE1056,DATE($AD1056,10,1)&lt;=$AF1056),ROUND($AG1056,2),0))</f>
        <v/>
      </c>
      <c r="T1056" s="18">
        <f>IF($Z1056="","",IF(AND(DATE($AD1056,11,1)&gt;=$AE1056,DATE($AD1056,11,1)&lt;=$AF1056),ROUND($AG1056,2),0))</f>
        <v/>
      </c>
      <c r="U1056" s="18">
        <f>IF($Z1056="","",IF(AND(DATE($AD1056,12,1)&gt;=$AE1056,DATE($AD1056,12,1)&lt;=$AF1056),ROUND($AG1056,2),0))</f>
        <v/>
      </c>
      <c r="V1056" s="7">
        <f>IF($Z1056="C","Generated from "&amp;INDEX(Contracts!$A$2:$A$151,$AB1056),IF($Z1056="A","Generated from "&amp;INDEX(Fixed_Assets!$A$2:$A$201,$AB1056),IF($Z1056="F","Generated from "&amp;INDEX(FTE_Allocation!$A$2:$A$201,$AB1056),"")))</f>
        <v/>
      </c>
      <c r="X1056" s="19">
        <f>IF($Z1056="","",SUM(J1056:U1056))</f>
        <v/>
      </c>
      <c r="Y1056" s="20">
        <f>ROW()-1</f>
        <v/>
      </c>
      <c r="Z1056" s="20">
        <f>IF($Y1056&lt;=Settings!$B$4*3,"C",IF($Y1056&lt;=(Settings!$B$4+Settings!$B$5)*3,"A",IF($Y1056&lt;=(Settings!$B$4+Settings!$B$5+Settings!$B$6)*3,"F","")))</f>
        <v/>
      </c>
      <c r="AA1056" s="20">
        <f>IF($Z1056="C",$Y1056,IF($Z1056="A",$Y1056-Settings!$B$4*3,IF($Z1056="F",$Y1056-(Settings!$B$4+Settings!$B$5)*3,"")))</f>
        <v/>
      </c>
      <c r="AB1056" s="20">
        <f>IF($Z1056="","",INT(($AA1056-1)/3)+1)</f>
        <v/>
      </c>
      <c r="AC1056" s="20">
        <f>IF($Z1056="","",MOD($AA1056-1,3)+1)</f>
        <v/>
      </c>
      <c r="AD1056" s="20">
        <f>IF($Z1056="","",Settings!$B$2+$AC1056-1)</f>
        <v/>
      </c>
      <c r="AE1056" s="21">
        <f>IF($Z1056="C",DATE(YEAR(INDEX(Contracts!$J$2:$J$151,$AB1056)),MONTH(INDEX(Contracts!$J$2:$J$151,$AB1056)),1),IF($Z1056="A",DATE(YEAR(INDEX(Fixed_Assets!$G$2:$G$201,$AB1056)),MONTH(INDEX(Fixed_Assets!$G$2:$G$201,$AB1056)),1),IF($Z1056="F",DATE(YEAR(MAX(N(INDEX(Workforce!$I$2:$I$151,MATCH(INDEX(FTE_Allocation!$A$2:$A$201,$AB1056),Workforce!$A$2:$A$151,0))),N(INDEX(FTE_Allocation!$I$2:$I$201,$AB1056)))),MONTH(MAX(N(INDEX(Workforce!$I$2:$I$151,MATCH(INDEX(FTE_Allocation!$A$2:$A$201,$AB1056),Workforce!$A$2:$A$151,0))),N(INDEX(FTE_Allocation!$I$2:$I$201,$AB1056)))),1),"")))</f>
        <v/>
      </c>
      <c r="AF1056" s="21">
        <f>IF($Z1056="C",IF(INDEX(Contracts!$I$2:$I$151,$AB1056)="PREPAID",EDATE(DATE(YEAR(INDEX(Contracts!$J$2:$J$151,$AB1056)),MONTH(INDEX(Contracts!$J$2:$J$151,$AB1056)),1),IF(INDEX(Contracts!$N$2:$N$151,$AB1056)="",12,INDEX(Contracts!$N$2:$N$151,$AB1056))-1),IF(INDEX(Contracts!$I$2:$I$151,$AB1056)="MONTHLY",IF(INDEX(Contracts!$K$2:$K$151,$AB1056)="",2958101,INDEX(Contracts!$K$2:$K$151,$AB1056)),0)),IF($Z1056="A",EDATE(DATE(YEAR(INDEX(Fixed_Assets!$G$2:$G$201,$AB1056)),MONTH(INDEX(Fixed_Assets!$G$2:$G$201,$AB1056)),1),INDEX(Fixed_Assets!$J$2:$J$201,$AB1056)-1),IF($Z1056="F",MIN(IF(INDEX(Workforce!$J$2:$J$151,MATCH(INDEX(FTE_Allocation!$A$2:$A$201,$AB1056),Workforce!$A$2:$A$151,0))="",2958101,INDEX(Workforce!$J$2:$J$151,MATCH(INDEX(FTE_Allocation!$A$2:$A$201,$AB1056),Workforce!$A$2:$A$151,0))),IF(INDEX(FTE_Allocation!$J$2:$J$201,$AB1056)="",2958101,INDEX(FTE_Allocation!$J$2:$J$201,$AB1056))),"")))</f>
        <v/>
      </c>
      <c r="AG1056" s="19">
        <f>IF($Z1056="C",IF(INDEX(Contracts!$I$2:$I$151,$AB1056)="PREPAID",INDEX(Contracts!$M$2:$M$151,$AB1056)/IF(INDEX(Contracts!$N$2:$N$151,$AB1056)="",12,INDEX(Contracts!$N$2:$N$151,$AB1056)),IF(INDEX(Contracts!$I$2:$I$151,$AB1056)="MONTHLY",INDEX(Contracts!$M$2:$M$151,$AB1056),0))*(1-N(INDEX(Contracts!$O$2:$O$151,$AB1056))),IF($Z1056="A",INDEX(Fixed_Assets!$H$2:$H$201,$AB1056)/INDEX(Fixed_Assets!$J$2:$J$201,$AB1056),IF($Z1056="F",INDEX(Workforce!$F$2:$F$151,MATCH(INDEX(FTE_Allocation!$A$2:$A$201,$AB1056),Workforce!$A$2:$A$151,0))*N(INDEX(FTE_Allocation!$F$2:$H$201,$AB1056,$AC1056)),"")))</f>
        <v/>
      </c>
    </row>
    <row r="1057">
      <c r="A1057" s="7">
        <f>IF($Z1057="","",$AD1057)</f>
        <v/>
      </c>
      <c r="B1057" s="7">
        <f>IF($Z1057="C",INDEX(Contracts!$D$2:$D$151,$AB1057)&amp;"",IF($Z1057="A",INDEX(Fixed_Assets!$C$2:$C$201,$AB1057)&amp;"",IF($Z1057="F",INDEX(Workforce!$B$2:$B$151,MATCH(INDEX(FTE_Allocation!$A$2:$A$201,$AB1057),Workforce!$A$2:$A$151,0))&amp;"","")))</f>
        <v/>
      </c>
      <c r="C1057" s="7">
        <f>IF($Z1057="C",INDEX(Contracts!$E$2:$E$151,$AB1057)&amp;"",IF($Z1057="A",INDEX(Fixed_Assets!$D$2:$D$201,$AB1057)&amp;"",IF($Z1057="F",INDEX(FTE_Allocation!$C$2:$C$201,$AB1057)&amp;"","")))</f>
        <v/>
      </c>
      <c r="D1057" s="7">
        <f>IF($Z1057="C",INDEX(Contracts!$B$2:$B$151,$AB1057)&amp;"",IF($Z1057="A",INDEX(Fixed_Assets!$B$2:$B$201,$AB1057)&amp;"",IF($Z1057="F",INDEX(FTE_Allocation!$B$2:$B$201,$AB1057)&amp;"","")))</f>
        <v/>
      </c>
      <c r="E1057" s="7">
        <f>IF($Z1057="C",INDEX(Contracts!$P$2:$P$151,$AB1057)&amp;"",IF($Z1057="A",INDEX(Fixed_Assets!$K$2:$K$201,$AB1057)&amp;"",IF($Z1057="F",IF(INDEX(FTE_Allocation!$D$2:$D$201,$AB1057)="PROJECT",IFERROR(INDEX(Projects!$D:$D,MATCH(INDEX(FTE_Allocation!$E$2:$E$201,$AB1057),Projects!$A:$A,0))&amp;"","#PROJECT?"),INDEX(FTE_Allocation!$E$2:$E$201,$AB1057)&amp;""),"")))</f>
        <v/>
      </c>
      <c r="F1057" s="7">
        <f>IF($Z1057="C",INDEX(Contracts!$Q$2:$Q$151,$AB1057)&amp;"",IF($Z1057="A",INDEX(Fixed_Assets!$L$2:$L$201,$AB1057)&amp;"",IF($Z1057="F",INDEX(Workforce!$K$2:$K$151,MATCH(INDEX(FTE_Allocation!$A$2:$A$201,$AB1057),Workforce!$A$2:$A$151,0))&amp;"","")))</f>
        <v/>
      </c>
      <c r="G1057" s="7">
        <f>IF($Z1057="C",INDEX(Contracts!$F$2:$F$151,$AB1057)&amp;" / "&amp;INDEX(Contracts!$G$2:$G$151,$AB1057),IF($Z1057="A",INDEX(Fixed_Assets!$E$2:$E$201,$AB1057)&amp;"",IF($Z1057="F","Personnel "&amp;INDEX(FTE_Allocation!$A$2:$A$201,$AB1057)&amp;IF(INDEX(FTE_Allocation!$D$2:$D$201,$AB1057)="PROJECT"," ("&amp;INDEX(FTE_Allocation!$E$2:$E$201,$AB1057)&amp;")",""),"")))</f>
        <v/>
      </c>
      <c r="H1057" s="7">
        <f>IF($Z1057="C","CONTRACT",IF($Z1057="A","ASSET",IF($Z1057="F","WORKFORCE","")))</f>
        <v/>
      </c>
      <c r="I1057" s="7">
        <f>IF($Z1057="C",INDEX(Contracts!$L$2:$L$151,$AB1057)&amp;"",IF($Z1057="A",INDEX(Fixed_Assets!$I$2:$I$201,$AB1057)&amp;"",IF($Z1057="F",INDEX(Workforce!$G$2:$G$151,MATCH(INDEX(FTE_Allocation!$A$2:$A$201,$AB1057),Workforce!$A$2:$A$151,0))&amp;"","")))</f>
        <v/>
      </c>
      <c r="J1057" s="18">
        <f>IF($Z1057="","",IF(AND(DATE($AD1057,1,1)&gt;=$AE1057,DATE($AD1057,1,1)&lt;=$AF1057),ROUND($AG1057,2),0))</f>
        <v/>
      </c>
      <c r="K1057" s="18">
        <f>IF($Z1057="","",IF(AND(DATE($AD1057,2,1)&gt;=$AE1057,DATE($AD1057,2,1)&lt;=$AF1057),ROUND($AG1057,2),0))</f>
        <v/>
      </c>
      <c r="L1057" s="18">
        <f>IF($Z1057="","",IF(AND(DATE($AD1057,3,1)&gt;=$AE1057,DATE($AD1057,3,1)&lt;=$AF1057),ROUND($AG1057,2),0))</f>
        <v/>
      </c>
      <c r="M1057" s="18">
        <f>IF($Z1057="","",IF(AND(DATE($AD1057,4,1)&gt;=$AE1057,DATE($AD1057,4,1)&lt;=$AF1057),ROUND($AG1057,2),0))</f>
        <v/>
      </c>
      <c r="N1057" s="18">
        <f>IF($Z1057="","",IF(AND(DATE($AD1057,5,1)&gt;=$AE1057,DATE($AD1057,5,1)&lt;=$AF1057),ROUND($AG1057,2),0))</f>
        <v/>
      </c>
      <c r="O1057" s="18">
        <f>IF($Z1057="","",IF(AND(DATE($AD1057,6,1)&gt;=$AE1057,DATE($AD1057,6,1)&lt;=$AF1057),ROUND($AG1057,2),0))</f>
        <v/>
      </c>
      <c r="P1057" s="18">
        <f>IF($Z1057="","",IF(AND(DATE($AD1057,7,1)&gt;=$AE1057,DATE($AD1057,7,1)&lt;=$AF1057),ROUND($AG1057,2),0))</f>
        <v/>
      </c>
      <c r="Q1057" s="18">
        <f>IF($Z1057="","",IF(AND(DATE($AD1057,8,1)&gt;=$AE1057,DATE($AD1057,8,1)&lt;=$AF1057),ROUND($AG1057,2),0))</f>
        <v/>
      </c>
      <c r="R1057" s="18">
        <f>IF($Z1057="","",IF(AND(DATE($AD1057,9,1)&gt;=$AE1057,DATE($AD1057,9,1)&lt;=$AF1057),ROUND($AG1057,2),0))</f>
        <v/>
      </c>
      <c r="S1057" s="18">
        <f>IF($Z1057="","",IF(AND(DATE($AD1057,10,1)&gt;=$AE1057,DATE($AD1057,10,1)&lt;=$AF1057),ROUND($AG1057,2),0))</f>
        <v/>
      </c>
      <c r="T1057" s="18">
        <f>IF($Z1057="","",IF(AND(DATE($AD1057,11,1)&gt;=$AE1057,DATE($AD1057,11,1)&lt;=$AF1057),ROUND($AG1057,2),0))</f>
        <v/>
      </c>
      <c r="U1057" s="18">
        <f>IF($Z1057="","",IF(AND(DATE($AD1057,12,1)&gt;=$AE1057,DATE($AD1057,12,1)&lt;=$AF1057),ROUND($AG1057,2),0))</f>
        <v/>
      </c>
      <c r="V1057" s="7">
        <f>IF($Z1057="C","Generated from "&amp;INDEX(Contracts!$A$2:$A$151,$AB1057),IF($Z1057="A","Generated from "&amp;INDEX(Fixed_Assets!$A$2:$A$201,$AB1057),IF($Z1057="F","Generated from "&amp;INDEX(FTE_Allocation!$A$2:$A$201,$AB1057),"")))</f>
        <v/>
      </c>
      <c r="X1057" s="19">
        <f>IF($Z1057="","",SUM(J1057:U1057))</f>
        <v/>
      </c>
      <c r="Y1057" s="20">
        <f>ROW()-1</f>
        <v/>
      </c>
      <c r="Z1057" s="20">
        <f>IF($Y1057&lt;=Settings!$B$4*3,"C",IF($Y1057&lt;=(Settings!$B$4+Settings!$B$5)*3,"A",IF($Y1057&lt;=(Settings!$B$4+Settings!$B$5+Settings!$B$6)*3,"F","")))</f>
        <v/>
      </c>
      <c r="AA1057" s="20">
        <f>IF($Z1057="C",$Y1057,IF($Z1057="A",$Y1057-Settings!$B$4*3,IF($Z1057="F",$Y1057-(Settings!$B$4+Settings!$B$5)*3,"")))</f>
        <v/>
      </c>
      <c r="AB1057" s="20">
        <f>IF($Z1057="","",INT(($AA1057-1)/3)+1)</f>
        <v/>
      </c>
      <c r="AC1057" s="20">
        <f>IF($Z1057="","",MOD($AA1057-1,3)+1)</f>
        <v/>
      </c>
      <c r="AD1057" s="20">
        <f>IF($Z1057="","",Settings!$B$2+$AC1057-1)</f>
        <v/>
      </c>
      <c r="AE1057" s="21">
        <f>IF($Z1057="C",DATE(YEAR(INDEX(Contracts!$J$2:$J$151,$AB1057)),MONTH(INDEX(Contracts!$J$2:$J$151,$AB1057)),1),IF($Z1057="A",DATE(YEAR(INDEX(Fixed_Assets!$G$2:$G$201,$AB1057)),MONTH(INDEX(Fixed_Assets!$G$2:$G$201,$AB1057)),1),IF($Z1057="F",DATE(YEAR(MAX(N(INDEX(Workforce!$I$2:$I$151,MATCH(INDEX(FTE_Allocation!$A$2:$A$201,$AB1057),Workforce!$A$2:$A$151,0))),N(INDEX(FTE_Allocation!$I$2:$I$201,$AB1057)))),MONTH(MAX(N(INDEX(Workforce!$I$2:$I$151,MATCH(INDEX(FTE_Allocation!$A$2:$A$201,$AB1057),Workforce!$A$2:$A$151,0))),N(INDEX(FTE_Allocation!$I$2:$I$201,$AB1057)))),1),"")))</f>
        <v/>
      </c>
      <c r="AF1057" s="21">
        <f>IF($Z1057="C",IF(INDEX(Contracts!$I$2:$I$151,$AB1057)="PREPAID",EDATE(DATE(YEAR(INDEX(Contracts!$J$2:$J$151,$AB1057)),MONTH(INDEX(Contracts!$J$2:$J$151,$AB1057)),1),IF(INDEX(Contracts!$N$2:$N$151,$AB1057)="",12,INDEX(Contracts!$N$2:$N$151,$AB1057))-1),IF(INDEX(Contracts!$I$2:$I$151,$AB1057)="MONTHLY",IF(INDEX(Contracts!$K$2:$K$151,$AB1057)="",2958101,INDEX(Contracts!$K$2:$K$151,$AB1057)),0)),IF($Z1057="A",EDATE(DATE(YEAR(INDEX(Fixed_Assets!$G$2:$G$201,$AB1057)),MONTH(INDEX(Fixed_Assets!$G$2:$G$201,$AB1057)),1),INDEX(Fixed_Assets!$J$2:$J$201,$AB1057)-1),IF($Z1057="F",MIN(IF(INDEX(Workforce!$J$2:$J$151,MATCH(INDEX(FTE_Allocation!$A$2:$A$201,$AB1057),Workforce!$A$2:$A$151,0))="",2958101,INDEX(Workforce!$J$2:$J$151,MATCH(INDEX(FTE_Allocation!$A$2:$A$201,$AB1057),Workforce!$A$2:$A$151,0))),IF(INDEX(FTE_Allocation!$J$2:$J$201,$AB1057)="",2958101,INDEX(FTE_Allocation!$J$2:$J$201,$AB1057))),"")))</f>
        <v/>
      </c>
      <c r="AG1057" s="19">
        <f>IF($Z1057="C",IF(INDEX(Contracts!$I$2:$I$151,$AB1057)="PREPAID",INDEX(Contracts!$M$2:$M$151,$AB1057)/IF(INDEX(Contracts!$N$2:$N$151,$AB1057)="",12,INDEX(Contracts!$N$2:$N$151,$AB1057)),IF(INDEX(Contracts!$I$2:$I$151,$AB1057)="MONTHLY",INDEX(Contracts!$M$2:$M$151,$AB1057),0))*(1-N(INDEX(Contracts!$O$2:$O$151,$AB1057))),IF($Z1057="A",INDEX(Fixed_Assets!$H$2:$H$201,$AB1057)/INDEX(Fixed_Assets!$J$2:$J$201,$AB1057),IF($Z1057="F",INDEX(Workforce!$F$2:$F$151,MATCH(INDEX(FTE_Allocation!$A$2:$A$201,$AB1057),Workforce!$A$2:$A$151,0))*N(INDEX(FTE_Allocation!$F$2:$H$201,$AB1057,$AC1057)),"")))</f>
        <v/>
      </c>
    </row>
    <row r="1058">
      <c r="A1058" s="7">
        <f>IF($Z1058="","",$AD1058)</f>
        <v/>
      </c>
      <c r="B1058" s="7">
        <f>IF($Z1058="C",INDEX(Contracts!$D$2:$D$151,$AB1058)&amp;"",IF($Z1058="A",INDEX(Fixed_Assets!$C$2:$C$201,$AB1058)&amp;"",IF($Z1058="F",INDEX(Workforce!$B$2:$B$151,MATCH(INDEX(FTE_Allocation!$A$2:$A$201,$AB1058),Workforce!$A$2:$A$151,0))&amp;"","")))</f>
        <v/>
      </c>
      <c r="C1058" s="7">
        <f>IF($Z1058="C",INDEX(Contracts!$E$2:$E$151,$AB1058)&amp;"",IF($Z1058="A",INDEX(Fixed_Assets!$D$2:$D$201,$AB1058)&amp;"",IF($Z1058="F",INDEX(FTE_Allocation!$C$2:$C$201,$AB1058)&amp;"","")))</f>
        <v/>
      </c>
      <c r="D1058" s="7">
        <f>IF($Z1058="C",INDEX(Contracts!$B$2:$B$151,$AB1058)&amp;"",IF($Z1058="A",INDEX(Fixed_Assets!$B$2:$B$201,$AB1058)&amp;"",IF($Z1058="F",INDEX(FTE_Allocation!$B$2:$B$201,$AB1058)&amp;"","")))</f>
        <v/>
      </c>
      <c r="E1058" s="7">
        <f>IF($Z1058="C",INDEX(Contracts!$P$2:$P$151,$AB1058)&amp;"",IF($Z1058="A",INDEX(Fixed_Assets!$K$2:$K$201,$AB1058)&amp;"",IF($Z1058="F",IF(INDEX(FTE_Allocation!$D$2:$D$201,$AB1058)="PROJECT",IFERROR(INDEX(Projects!$D:$D,MATCH(INDEX(FTE_Allocation!$E$2:$E$201,$AB1058),Projects!$A:$A,0))&amp;"","#PROJECT?"),INDEX(FTE_Allocation!$E$2:$E$201,$AB1058)&amp;""),"")))</f>
        <v/>
      </c>
      <c r="F1058" s="7">
        <f>IF($Z1058="C",INDEX(Contracts!$Q$2:$Q$151,$AB1058)&amp;"",IF($Z1058="A",INDEX(Fixed_Assets!$L$2:$L$201,$AB1058)&amp;"",IF($Z1058="F",INDEX(Workforce!$K$2:$K$151,MATCH(INDEX(FTE_Allocation!$A$2:$A$201,$AB1058),Workforce!$A$2:$A$151,0))&amp;"","")))</f>
        <v/>
      </c>
      <c r="G1058" s="7">
        <f>IF($Z1058="C",INDEX(Contracts!$F$2:$F$151,$AB1058)&amp;" / "&amp;INDEX(Contracts!$G$2:$G$151,$AB1058),IF($Z1058="A",INDEX(Fixed_Assets!$E$2:$E$201,$AB1058)&amp;"",IF($Z1058="F","Personnel "&amp;INDEX(FTE_Allocation!$A$2:$A$201,$AB1058)&amp;IF(INDEX(FTE_Allocation!$D$2:$D$201,$AB1058)="PROJECT"," ("&amp;INDEX(FTE_Allocation!$E$2:$E$201,$AB1058)&amp;")",""),"")))</f>
        <v/>
      </c>
      <c r="H1058" s="7">
        <f>IF($Z1058="C","CONTRACT",IF($Z1058="A","ASSET",IF($Z1058="F","WORKFORCE","")))</f>
        <v/>
      </c>
      <c r="I1058" s="7">
        <f>IF($Z1058="C",INDEX(Contracts!$L$2:$L$151,$AB1058)&amp;"",IF($Z1058="A",INDEX(Fixed_Assets!$I$2:$I$201,$AB1058)&amp;"",IF($Z1058="F",INDEX(Workforce!$G$2:$G$151,MATCH(INDEX(FTE_Allocation!$A$2:$A$201,$AB1058),Workforce!$A$2:$A$151,0))&amp;"","")))</f>
        <v/>
      </c>
      <c r="J1058" s="18">
        <f>IF($Z1058="","",IF(AND(DATE($AD1058,1,1)&gt;=$AE1058,DATE($AD1058,1,1)&lt;=$AF1058),ROUND($AG1058,2),0))</f>
        <v/>
      </c>
      <c r="K1058" s="18">
        <f>IF($Z1058="","",IF(AND(DATE($AD1058,2,1)&gt;=$AE1058,DATE($AD1058,2,1)&lt;=$AF1058),ROUND($AG1058,2),0))</f>
        <v/>
      </c>
      <c r="L1058" s="18">
        <f>IF($Z1058="","",IF(AND(DATE($AD1058,3,1)&gt;=$AE1058,DATE($AD1058,3,1)&lt;=$AF1058),ROUND($AG1058,2),0))</f>
        <v/>
      </c>
      <c r="M1058" s="18">
        <f>IF($Z1058="","",IF(AND(DATE($AD1058,4,1)&gt;=$AE1058,DATE($AD1058,4,1)&lt;=$AF1058),ROUND($AG1058,2),0))</f>
        <v/>
      </c>
      <c r="N1058" s="18">
        <f>IF($Z1058="","",IF(AND(DATE($AD1058,5,1)&gt;=$AE1058,DATE($AD1058,5,1)&lt;=$AF1058),ROUND($AG1058,2),0))</f>
        <v/>
      </c>
      <c r="O1058" s="18">
        <f>IF($Z1058="","",IF(AND(DATE($AD1058,6,1)&gt;=$AE1058,DATE($AD1058,6,1)&lt;=$AF1058),ROUND($AG1058,2),0))</f>
        <v/>
      </c>
      <c r="P1058" s="18">
        <f>IF($Z1058="","",IF(AND(DATE($AD1058,7,1)&gt;=$AE1058,DATE($AD1058,7,1)&lt;=$AF1058),ROUND($AG1058,2),0))</f>
        <v/>
      </c>
      <c r="Q1058" s="18">
        <f>IF($Z1058="","",IF(AND(DATE($AD1058,8,1)&gt;=$AE1058,DATE($AD1058,8,1)&lt;=$AF1058),ROUND($AG1058,2),0))</f>
        <v/>
      </c>
      <c r="R1058" s="18">
        <f>IF($Z1058="","",IF(AND(DATE($AD1058,9,1)&gt;=$AE1058,DATE($AD1058,9,1)&lt;=$AF1058),ROUND($AG1058,2),0))</f>
        <v/>
      </c>
      <c r="S1058" s="18">
        <f>IF($Z1058="","",IF(AND(DATE($AD1058,10,1)&gt;=$AE1058,DATE($AD1058,10,1)&lt;=$AF1058),ROUND($AG1058,2),0))</f>
        <v/>
      </c>
      <c r="T1058" s="18">
        <f>IF($Z1058="","",IF(AND(DATE($AD1058,11,1)&gt;=$AE1058,DATE($AD1058,11,1)&lt;=$AF1058),ROUND($AG1058,2),0))</f>
        <v/>
      </c>
      <c r="U1058" s="18">
        <f>IF($Z1058="","",IF(AND(DATE($AD1058,12,1)&gt;=$AE1058,DATE($AD1058,12,1)&lt;=$AF1058),ROUND($AG1058,2),0))</f>
        <v/>
      </c>
      <c r="V1058" s="7">
        <f>IF($Z1058="C","Generated from "&amp;INDEX(Contracts!$A$2:$A$151,$AB1058),IF($Z1058="A","Generated from "&amp;INDEX(Fixed_Assets!$A$2:$A$201,$AB1058),IF($Z1058="F","Generated from "&amp;INDEX(FTE_Allocation!$A$2:$A$201,$AB1058),"")))</f>
        <v/>
      </c>
      <c r="X1058" s="19">
        <f>IF($Z1058="","",SUM(J1058:U1058))</f>
        <v/>
      </c>
      <c r="Y1058" s="20">
        <f>ROW()-1</f>
        <v/>
      </c>
      <c r="Z1058" s="20">
        <f>IF($Y1058&lt;=Settings!$B$4*3,"C",IF($Y1058&lt;=(Settings!$B$4+Settings!$B$5)*3,"A",IF($Y1058&lt;=(Settings!$B$4+Settings!$B$5+Settings!$B$6)*3,"F","")))</f>
        <v/>
      </c>
      <c r="AA1058" s="20">
        <f>IF($Z1058="C",$Y1058,IF($Z1058="A",$Y1058-Settings!$B$4*3,IF($Z1058="F",$Y1058-(Settings!$B$4+Settings!$B$5)*3,"")))</f>
        <v/>
      </c>
      <c r="AB1058" s="20">
        <f>IF($Z1058="","",INT(($AA1058-1)/3)+1)</f>
        <v/>
      </c>
      <c r="AC1058" s="20">
        <f>IF($Z1058="","",MOD($AA1058-1,3)+1)</f>
        <v/>
      </c>
      <c r="AD1058" s="20">
        <f>IF($Z1058="","",Settings!$B$2+$AC1058-1)</f>
        <v/>
      </c>
      <c r="AE1058" s="21">
        <f>IF($Z1058="C",DATE(YEAR(INDEX(Contracts!$J$2:$J$151,$AB1058)),MONTH(INDEX(Contracts!$J$2:$J$151,$AB1058)),1),IF($Z1058="A",DATE(YEAR(INDEX(Fixed_Assets!$G$2:$G$201,$AB1058)),MONTH(INDEX(Fixed_Assets!$G$2:$G$201,$AB1058)),1),IF($Z1058="F",DATE(YEAR(MAX(N(INDEX(Workforce!$I$2:$I$151,MATCH(INDEX(FTE_Allocation!$A$2:$A$201,$AB1058),Workforce!$A$2:$A$151,0))),N(INDEX(FTE_Allocation!$I$2:$I$201,$AB1058)))),MONTH(MAX(N(INDEX(Workforce!$I$2:$I$151,MATCH(INDEX(FTE_Allocation!$A$2:$A$201,$AB1058),Workforce!$A$2:$A$151,0))),N(INDEX(FTE_Allocation!$I$2:$I$201,$AB1058)))),1),"")))</f>
        <v/>
      </c>
      <c r="AF1058" s="21">
        <f>IF($Z1058="C",IF(INDEX(Contracts!$I$2:$I$151,$AB1058)="PREPAID",EDATE(DATE(YEAR(INDEX(Contracts!$J$2:$J$151,$AB1058)),MONTH(INDEX(Contracts!$J$2:$J$151,$AB1058)),1),IF(INDEX(Contracts!$N$2:$N$151,$AB1058)="",12,INDEX(Contracts!$N$2:$N$151,$AB1058))-1),IF(INDEX(Contracts!$I$2:$I$151,$AB1058)="MONTHLY",IF(INDEX(Contracts!$K$2:$K$151,$AB1058)="",2958101,INDEX(Contracts!$K$2:$K$151,$AB1058)),0)),IF($Z1058="A",EDATE(DATE(YEAR(INDEX(Fixed_Assets!$G$2:$G$201,$AB1058)),MONTH(INDEX(Fixed_Assets!$G$2:$G$201,$AB1058)),1),INDEX(Fixed_Assets!$J$2:$J$201,$AB1058)-1),IF($Z1058="F",MIN(IF(INDEX(Workforce!$J$2:$J$151,MATCH(INDEX(FTE_Allocation!$A$2:$A$201,$AB1058),Workforce!$A$2:$A$151,0))="",2958101,INDEX(Workforce!$J$2:$J$151,MATCH(INDEX(FTE_Allocation!$A$2:$A$201,$AB1058),Workforce!$A$2:$A$151,0))),IF(INDEX(FTE_Allocation!$J$2:$J$201,$AB1058)="",2958101,INDEX(FTE_Allocation!$J$2:$J$201,$AB1058))),"")))</f>
        <v/>
      </c>
      <c r="AG1058" s="19">
        <f>IF($Z1058="C",IF(INDEX(Contracts!$I$2:$I$151,$AB1058)="PREPAID",INDEX(Contracts!$M$2:$M$151,$AB1058)/IF(INDEX(Contracts!$N$2:$N$151,$AB1058)="",12,INDEX(Contracts!$N$2:$N$151,$AB1058)),IF(INDEX(Contracts!$I$2:$I$151,$AB1058)="MONTHLY",INDEX(Contracts!$M$2:$M$151,$AB1058),0))*(1-N(INDEX(Contracts!$O$2:$O$151,$AB1058))),IF($Z1058="A",INDEX(Fixed_Assets!$H$2:$H$201,$AB1058)/INDEX(Fixed_Assets!$J$2:$J$201,$AB1058),IF($Z1058="F",INDEX(Workforce!$F$2:$F$151,MATCH(INDEX(FTE_Allocation!$A$2:$A$201,$AB1058),Workforce!$A$2:$A$151,0))*N(INDEX(FTE_Allocation!$F$2:$H$201,$AB1058,$AC1058)),"")))</f>
        <v/>
      </c>
    </row>
    <row r="1059">
      <c r="A1059" s="7">
        <f>IF($Z1059="","",$AD1059)</f>
        <v/>
      </c>
      <c r="B1059" s="7">
        <f>IF($Z1059="C",INDEX(Contracts!$D$2:$D$151,$AB1059)&amp;"",IF($Z1059="A",INDEX(Fixed_Assets!$C$2:$C$201,$AB1059)&amp;"",IF($Z1059="F",INDEX(Workforce!$B$2:$B$151,MATCH(INDEX(FTE_Allocation!$A$2:$A$201,$AB1059),Workforce!$A$2:$A$151,0))&amp;"","")))</f>
        <v/>
      </c>
      <c r="C1059" s="7">
        <f>IF($Z1059="C",INDEX(Contracts!$E$2:$E$151,$AB1059)&amp;"",IF($Z1059="A",INDEX(Fixed_Assets!$D$2:$D$201,$AB1059)&amp;"",IF($Z1059="F",INDEX(FTE_Allocation!$C$2:$C$201,$AB1059)&amp;"","")))</f>
        <v/>
      </c>
      <c r="D1059" s="7">
        <f>IF($Z1059="C",INDEX(Contracts!$B$2:$B$151,$AB1059)&amp;"",IF($Z1059="A",INDEX(Fixed_Assets!$B$2:$B$201,$AB1059)&amp;"",IF($Z1059="F",INDEX(FTE_Allocation!$B$2:$B$201,$AB1059)&amp;"","")))</f>
        <v/>
      </c>
      <c r="E1059" s="7">
        <f>IF($Z1059="C",INDEX(Contracts!$P$2:$P$151,$AB1059)&amp;"",IF($Z1059="A",INDEX(Fixed_Assets!$K$2:$K$201,$AB1059)&amp;"",IF($Z1059="F",IF(INDEX(FTE_Allocation!$D$2:$D$201,$AB1059)="PROJECT",IFERROR(INDEX(Projects!$D:$D,MATCH(INDEX(FTE_Allocation!$E$2:$E$201,$AB1059),Projects!$A:$A,0))&amp;"","#PROJECT?"),INDEX(FTE_Allocation!$E$2:$E$201,$AB1059)&amp;""),"")))</f>
        <v/>
      </c>
      <c r="F1059" s="7">
        <f>IF($Z1059="C",INDEX(Contracts!$Q$2:$Q$151,$AB1059)&amp;"",IF($Z1059="A",INDEX(Fixed_Assets!$L$2:$L$201,$AB1059)&amp;"",IF($Z1059="F",INDEX(Workforce!$K$2:$K$151,MATCH(INDEX(FTE_Allocation!$A$2:$A$201,$AB1059),Workforce!$A$2:$A$151,0))&amp;"","")))</f>
        <v/>
      </c>
      <c r="G1059" s="7">
        <f>IF($Z1059="C",INDEX(Contracts!$F$2:$F$151,$AB1059)&amp;" / "&amp;INDEX(Contracts!$G$2:$G$151,$AB1059),IF($Z1059="A",INDEX(Fixed_Assets!$E$2:$E$201,$AB1059)&amp;"",IF($Z1059="F","Personnel "&amp;INDEX(FTE_Allocation!$A$2:$A$201,$AB1059)&amp;IF(INDEX(FTE_Allocation!$D$2:$D$201,$AB1059)="PROJECT"," ("&amp;INDEX(FTE_Allocation!$E$2:$E$201,$AB1059)&amp;")",""),"")))</f>
        <v/>
      </c>
      <c r="H1059" s="7">
        <f>IF($Z1059="C","CONTRACT",IF($Z1059="A","ASSET",IF($Z1059="F","WORKFORCE","")))</f>
        <v/>
      </c>
      <c r="I1059" s="7">
        <f>IF($Z1059="C",INDEX(Contracts!$L$2:$L$151,$AB1059)&amp;"",IF($Z1059="A",INDEX(Fixed_Assets!$I$2:$I$201,$AB1059)&amp;"",IF($Z1059="F",INDEX(Workforce!$G$2:$G$151,MATCH(INDEX(FTE_Allocation!$A$2:$A$201,$AB1059),Workforce!$A$2:$A$151,0))&amp;"","")))</f>
        <v/>
      </c>
      <c r="J1059" s="18">
        <f>IF($Z1059="","",IF(AND(DATE($AD1059,1,1)&gt;=$AE1059,DATE($AD1059,1,1)&lt;=$AF1059),ROUND($AG1059,2),0))</f>
        <v/>
      </c>
      <c r="K1059" s="18">
        <f>IF($Z1059="","",IF(AND(DATE($AD1059,2,1)&gt;=$AE1059,DATE($AD1059,2,1)&lt;=$AF1059),ROUND($AG1059,2),0))</f>
        <v/>
      </c>
      <c r="L1059" s="18">
        <f>IF($Z1059="","",IF(AND(DATE($AD1059,3,1)&gt;=$AE1059,DATE($AD1059,3,1)&lt;=$AF1059),ROUND($AG1059,2),0))</f>
        <v/>
      </c>
      <c r="M1059" s="18">
        <f>IF($Z1059="","",IF(AND(DATE($AD1059,4,1)&gt;=$AE1059,DATE($AD1059,4,1)&lt;=$AF1059),ROUND($AG1059,2),0))</f>
        <v/>
      </c>
      <c r="N1059" s="18">
        <f>IF($Z1059="","",IF(AND(DATE($AD1059,5,1)&gt;=$AE1059,DATE($AD1059,5,1)&lt;=$AF1059),ROUND($AG1059,2),0))</f>
        <v/>
      </c>
      <c r="O1059" s="18">
        <f>IF($Z1059="","",IF(AND(DATE($AD1059,6,1)&gt;=$AE1059,DATE($AD1059,6,1)&lt;=$AF1059),ROUND($AG1059,2),0))</f>
        <v/>
      </c>
      <c r="P1059" s="18">
        <f>IF($Z1059="","",IF(AND(DATE($AD1059,7,1)&gt;=$AE1059,DATE($AD1059,7,1)&lt;=$AF1059),ROUND($AG1059,2),0))</f>
        <v/>
      </c>
      <c r="Q1059" s="18">
        <f>IF($Z1059="","",IF(AND(DATE($AD1059,8,1)&gt;=$AE1059,DATE($AD1059,8,1)&lt;=$AF1059),ROUND($AG1059,2),0))</f>
        <v/>
      </c>
      <c r="R1059" s="18">
        <f>IF($Z1059="","",IF(AND(DATE($AD1059,9,1)&gt;=$AE1059,DATE($AD1059,9,1)&lt;=$AF1059),ROUND($AG1059,2),0))</f>
        <v/>
      </c>
      <c r="S1059" s="18">
        <f>IF($Z1059="","",IF(AND(DATE($AD1059,10,1)&gt;=$AE1059,DATE($AD1059,10,1)&lt;=$AF1059),ROUND($AG1059,2),0))</f>
        <v/>
      </c>
      <c r="T1059" s="18">
        <f>IF($Z1059="","",IF(AND(DATE($AD1059,11,1)&gt;=$AE1059,DATE($AD1059,11,1)&lt;=$AF1059),ROUND($AG1059,2),0))</f>
        <v/>
      </c>
      <c r="U1059" s="18">
        <f>IF($Z1059="","",IF(AND(DATE($AD1059,12,1)&gt;=$AE1059,DATE($AD1059,12,1)&lt;=$AF1059),ROUND($AG1059,2),0))</f>
        <v/>
      </c>
      <c r="V1059" s="7">
        <f>IF($Z1059="C","Generated from "&amp;INDEX(Contracts!$A$2:$A$151,$AB1059),IF($Z1059="A","Generated from "&amp;INDEX(Fixed_Assets!$A$2:$A$201,$AB1059),IF($Z1059="F","Generated from "&amp;INDEX(FTE_Allocation!$A$2:$A$201,$AB1059),"")))</f>
        <v/>
      </c>
      <c r="X1059" s="19">
        <f>IF($Z1059="","",SUM(J1059:U1059))</f>
        <v/>
      </c>
      <c r="Y1059" s="20">
        <f>ROW()-1</f>
        <v/>
      </c>
      <c r="Z1059" s="20">
        <f>IF($Y1059&lt;=Settings!$B$4*3,"C",IF($Y1059&lt;=(Settings!$B$4+Settings!$B$5)*3,"A",IF($Y1059&lt;=(Settings!$B$4+Settings!$B$5+Settings!$B$6)*3,"F","")))</f>
        <v/>
      </c>
      <c r="AA1059" s="20">
        <f>IF($Z1059="C",$Y1059,IF($Z1059="A",$Y1059-Settings!$B$4*3,IF($Z1059="F",$Y1059-(Settings!$B$4+Settings!$B$5)*3,"")))</f>
        <v/>
      </c>
      <c r="AB1059" s="20">
        <f>IF($Z1059="","",INT(($AA1059-1)/3)+1)</f>
        <v/>
      </c>
      <c r="AC1059" s="20">
        <f>IF($Z1059="","",MOD($AA1059-1,3)+1)</f>
        <v/>
      </c>
      <c r="AD1059" s="20">
        <f>IF($Z1059="","",Settings!$B$2+$AC1059-1)</f>
        <v/>
      </c>
      <c r="AE1059" s="21">
        <f>IF($Z1059="C",DATE(YEAR(INDEX(Contracts!$J$2:$J$151,$AB1059)),MONTH(INDEX(Contracts!$J$2:$J$151,$AB1059)),1),IF($Z1059="A",DATE(YEAR(INDEX(Fixed_Assets!$G$2:$G$201,$AB1059)),MONTH(INDEX(Fixed_Assets!$G$2:$G$201,$AB1059)),1),IF($Z1059="F",DATE(YEAR(MAX(N(INDEX(Workforce!$I$2:$I$151,MATCH(INDEX(FTE_Allocation!$A$2:$A$201,$AB1059),Workforce!$A$2:$A$151,0))),N(INDEX(FTE_Allocation!$I$2:$I$201,$AB1059)))),MONTH(MAX(N(INDEX(Workforce!$I$2:$I$151,MATCH(INDEX(FTE_Allocation!$A$2:$A$201,$AB1059),Workforce!$A$2:$A$151,0))),N(INDEX(FTE_Allocation!$I$2:$I$201,$AB1059)))),1),"")))</f>
        <v/>
      </c>
      <c r="AF1059" s="21">
        <f>IF($Z1059="C",IF(INDEX(Contracts!$I$2:$I$151,$AB1059)="PREPAID",EDATE(DATE(YEAR(INDEX(Contracts!$J$2:$J$151,$AB1059)),MONTH(INDEX(Contracts!$J$2:$J$151,$AB1059)),1),IF(INDEX(Contracts!$N$2:$N$151,$AB1059)="",12,INDEX(Contracts!$N$2:$N$151,$AB1059))-1),IF(INDEX(Contracts!$I$2:$I$151,$AB1059)="MONTHLY",IF(INDEX(Contracts!$K$2:$K$151,$AB1059)="",2958101,INDEX(Contracts!$K$2:$K$151,$AB1059)),0)),IF($Z1059="A",EDATE(DATE(YEAR(INDEX(Fixed_Assets!$G$2:$G$201,$AB1059)),MONTH(INDEX(Fixed_Assets!$G$2:$G$201,$AB1059)),1),INDEX(Fixed_Assets!$J$2:$J$201,$AB1059)-1),IF($Z1059="F",MIN(IF(INDEX(Workforce!$J$2:$J$151,MATCH(INDEX(FTE_Allocation!$A$2:$A$201,$AB1059),Workforce!$A$2:$A$151,0))="",2958101,INDEX(Workforce!$J$2:$J$151,MATCH(INDEX(FTE_Allocation!$A$2:$A$201,$AB1059),Workforce!$A$2:$A$151,0))),IF(INDEX(FTE_Allocation!$J$2:$J$201,$AB1059)="",2958101,INDEX(FTE_Allocation!$J$2:$J$201,$AB1059))),"")))</f>
        <v/>
      </c>
      <c r="AG1059" s="19">
        <f>IF($Z1059="C",IF(INDEX(Contracts!$I$2:$I$151,$AB1059)="PREPAID",INDEX(Contracts!$M$2:$M$151,$AB1059)/IF(INDEX(Contracts!$N$2:$N$151,$AB1059)="",12,INDEX(Contracts!$N$2:$N$151,$AB1059)),IF(INDEX(Contracts!$I$2:$I$151,$AB1059)="MONTHLY",INDEX(Contracts!$M$2:$M$151,$AB1059),0))*(1-N(INDEX(Contracts!$O$2:$O$151,$AB1059))),IF($Z1059="A",INDEX(Fixed_Assets!$H$2:$H$201,$AB1059)/INDEX(Fixed_Assets!$J$2:$J$201,$AB1059),IF($Z1059="F",INDEX(Workforce!$F$2:$F$151,MATCH(INDEX(FTE_Allocation!$A$2:$A$201,$AB1059),Workforce!$A$2:$A$151,0))*N(INDEX(FTE_Allocation!$F$2:$H$201,$AB1059,$AC1059)),"")))</f>
        <v/>
      </c>
    </row>
    <row r="1060">
      <c r="A1060" s="7">
        <f>IF($Z1060="","",$AD1060)</f>
        <v/>
      </c>
      <c r="B1060" s="7">
        <f>IF($Z1060="C",INDEX(Contracts!$D$2:$D$151,$AB1060)&amp;"",IF($Z1060="A",INDEX(Fixed_Assets!$C$2:$C$201,$AB1060)&amp;"",IF($Z1060="F",INDEX(Workforce!$B$2:$B$151,MATCH(INDEX(FTE_Allocation!$A$2:$A$201,$AB1060),Workforce!$A$2:$A$151,0))&amp;"","")))</f>
        <v/>
      </c>
      <c r="C1060" s="7">
        <f>IF($Z1060="C",INDEX(Contracts!$E$2:$E$151,$AB1060)&amp;"",IF($Z1060="A",INDEX(Fixed_Assets!$D$2:$D$201,$AB1060)&amp;"",IF($Z1060="F",INDEX(FTE_Allocation!$C$2:$C$201,$AB1060)&amp;"","")))</f>
        <v/>
      </c>
      <c r="D1060" s="7">
        <f>IF($Z1060="C",INDEX(Contracts!$B$2:$B$151,$AB1060)&amp;"",IF($Z1060="A",INDEX(Fixed_Assets!$B$2:$B$201,$AB1060)&amp;"",IF($Z1060="F",INDEX(FTE_Allocation!$B$2:$B$201,$AB1060)&amp;"","")))</f>
        <v/>
      </c>
      <c r="E1060" s="7">
        <f>IF($Z1060="C",INDEX(Contracts!$P$2:$P$151,$AB1060)&amp;"",IF($Z1060="A",INDEX(Fixed_Assets!$K$2:$K$201,$AB1060)&amp;"",IF($Z1060="F",IF(INDEX(FTE_Allocation!$D$2:$D$201,$AB1060)="PROJECT",IFERROR(INDEX(Projects!$D:$D,MATCH(INDEX(FTE_Allocation!$E$2:$E$201,$AB1060),Projects!$A:$A,0))&amp;"","#PROJECT?"),INDEX(FTE_Allocation!$E$2:$E$201,$AB1060)&amp;""),"")))</f>
        <v/>
      </c>
      <c r="F1060" s="7">
        <f>IF($Z1060="C",INDEX(Contracts!$Q$2:$Q$151,$AB1060)&amp;"",IF($Z1060="A",INDEX(Fixed_Assets!$L$2:$L$201,$AB1060)&amp;"",IF($Z1060="F",INDEX(Workforce!$K$2:$K$151,MATCH(INDEX(FTE_Allocation!$A$2:$A$201,$AB1060),Workforce!$A$2:$A$151,0))&amp;"","")))</f>
        <v/>
      </c>
      <c r="G1060" s="7">
        <f>IF($Z1060="C",INDEX(Contracts!$F$2:$F$151,$AB1060)&amp;" / "&amp;INDEX(Contracts!$G$2:$G$151,$AB1060),IF($Z1060="A",INDEX(Fixed_Assets!$E$2:$E$201,$AB1060)&amp;"",IF($Z1060="F","Personnel "&amp;INDEX(FTE_Allocation!$A$2:$A$201,$AB1060)&amp;IF(INDEX(FTE_Allocation!$D$2:$D$201,$AB1060)="PROJECT"," ("&amp;INDEX(FTE_Allocation!$E$2:$E$201,$AB1060)&amp;")",""),"")))</f>
        <v/>
      </c>
      <c r="H1060" s="7">
        <f>IF($Z1060="C","CONTRACT",IF($Z1060="A","ASSET",IF($Z1060="F","WORKFORCE","")))</f>
        <v/>
      </c>
      <c r="I1060" s="7">
        <f>IF($Z1060="C",INDEX(Contracts!$L$2:$L$151,$AB1060)&amp;"",IF($Z1060="A",INDEX(Fixed_Assets!$I$2:$I$201,$AB1060)&amp;"",IF($Z1060="F",INDEX(Workforce!$G$2:$G$151,MATCH(INDEX(FTE_Allocation!$A$2:$A$201,$AB1060),Workforce!$A$2:$A$151,0))&amp;"","")))</f>
        <v/>
      </c>
      <c r="J1060" s="18">
        <f>IF($Z1060="","",IF(AND(DATE($AD1060,1,1)&gt;=$AE1060,DATE($AD1060,1,1)&lt;=$AF1060),ROUND($AG1060,2),0))</f>
        <v/>
      </c>
      <c r="K1060" s="18">
        <f>IF($Z1060="","",IF(AND(DATE($AD1060,2,1)&gt;=$AE1060,DATE($AD1060,2,1)&lt;=$AF1060),ROUND($AG1060,2),0))</f>
        <v/>
      </c>
      <c r="L1060" s="18">
        <f>IF($Z1060="","",IF(AND(DATE($AD1060,3,1)&gt;=$AE1060,DATE($AD1060,3,1)&lt;=$AF1060),ROUND($AG1060,2),0))</f>
        <v/>
      </c>
      <c r="M1060" s="18">
        <f>IF($Z1060="","",IF(AND(DATE($AD1060,4,1)&gt;=$AE1060,DATE($AD1060,4,1)&lt;=$AF1060),ROUND($AG1060,2),0))</f>
        <v/>
      </c>
      <c r="N1060" s="18">
        <f>IF($Z1060="","",IF(AND(DATE($AD1060,5,1)&gt;=$AE1060,DATE($AD1060,5,1)&lt;=$AF1060),ROUND($AG1060,2),0))</f>
        <v/>
      </c>
      <c r="O1060" s="18">
        <f>IF($Z1060="","",IF(AND(DATE($AD1060,6,1)&gt;=$AE1060,DATE($AD1060,6,1)&lt;=$AF1060),ROUND($AG1060,2),0))</f>
        <v/>
      </c>
      <c r="P1060" s="18">
        <f>IF($Z1060="","",IF(AND(DATE($AD1060,7,1)&gt;=$AE1060,DATE($AD1060,7,1)&lt;=$AF1060),ROUND($AG1060,2),0))</f>
        <v/>
      </c>
      <c r="Q1060" s="18">
        <f>IF($Z1060="","",IF(AND(DATE($AD1060,8,1)&gt;=$AE1060,DATE($AD1060,8,1)&lt;=$AF1060),ROUND($AG1060,2),0))</f>
        <v/>
      </c>
      <c r="R1060" s="18">
        <f>IF($Z1060="","",IF(AND(DATE($AD1060,9,1)&gt;=$AE1060,DATE($AD1060,9,1)&lt;=$AF1060),ROUND($AG1060,2),0))</f>
        <v/>
      </c>
      <c r="S1060" s="18">
        <f>IF($Z1060="","",IF(AND(DATE($AD1060,10,1)&gt;=$AE1060,DATE($AD1060,10,1)&lt;=$AF1060),ROUND($AG1060,2),0))</f>
        <v/>
      </c>
      <c r="T1060" s="18">
        <f>IF($Z1060="","",IF(AND(DATE($AD1060,11,1)&gt;=$AE1060,DATE($AD1060,11,1)&lt;=$AF1060),ROUND($AG1060,2),0))</f>
        <v/>
      </c>
      <c r="U1060" s="18">
        <f>IF($Z1060="","",IF(AND(DATE($AD1060,12,1)&gt;=$AE1060,DATE($AD1060,12,1)&lt;=$AF1060),ROUND($AG1060,2),0))</f>
        <v/>
      </c>
      <c r="V1060" s="7">
        <f>IF($Z1060="C","Generated from "&amp;INDEX(Contracts!$A$2:$A$151,$AB1060),IF($Z1060="A","Generated from "&amp;INDEX(Fixed_Assets!$A$2:$A$201,$AB1060),IF($Z1060="F","Generated from "&amp;INDEX(FTE_Allocation!$A$2:$A$201,$AB1060),"")))</f>
        <v/>
      </c>
      <c r="X1060" s="19">
        <f>IF($Z1060="","",SUM(J1060:U1060))</f>
        <v/>
      </c>
      <c r="Y1060" s="20">
        <f>ROW()-1</f>
        <v/>
      </c>
      <c r="Z1060" s="20">
        <f>IF($Y1060&lt;=Settings!$B$4*3,"C",IF($Y1060&lt;=(Settings!$B$4+Settings!$B$5)*3,"A",IF($Y1060&lt;=(Settings!$B$4+Settings!$B$5+Settings!$B$6)*3,"F","")))</f>
        <v/>
      </c>
      <c r="AA1060" s="20">
        <f>IF($Z1060="C",$Y1060,IF($Z1060="A",$Y1060-Settings!$B$4*3,IF($Z1060="F",$Y1060-(Settings!$B$4+Settings!$B$5)*3,"")))</f>
        <v/>
      </c>
      <c r="AB1060" s="20">
        <f>IF($Z1060="","",INT(($AA1060-1)/3)+1)</f>
        <v/>
      </c>
      <c r="AC1060" s="20">
        <f>IF($Z1060="","",MOD($AA1060-1,3)+1)</f>
        <v/>
      </c>
      <c r="AD1060" s="20">
        <f>IF($Z1060="","",Settings!$B$2+$AC1060-1)</f>
        <v/>
      </c>
      <c r="AE1060" s="21">
        <f>IF($Z1060="C",DATE(YEAR(INDEX(Contracts!$J$2:$J$151,$AB1060)),MONTH(INDEX(Contracts!$J$2:$J$151,$AB1060)),1),IF($Z1060="A",DATE(YEAR(INDEX(Fixed_Assets!$G$2:$G$201,$AB1060)),MONTH(INDEX(Fixed_Assets!$G$2:$G$201,$AB1060)),1),IF($Z1060="F",DATE(YEAR(MAX(N(INDEX(Workforce!$I$2:$I$151,MATCH(INDEX(FTE_Allocation!$A$2:$A$201,$AB1060),Workforce!$A$2:$A$151,0))),N(INDEX(FTE_Allocation!$I$2:$I$201,$AB1060)))),MONTH(MAX(N(INDEX(Workforce!$I$2:$I$151,MATCH(INDEX(FTE_Allocation!$A$2:$A$201,$AB1060),Workforce!$A$2:$A$151,0))),N(INDEX(FTE_Allocation!$I$2:$I$201,$AB1060)))),1),"")))</f>
        <v/>
      </c>
      <c r="AF1060" s="21">
        <f>IF($Z1060="C",IF(INDEX(Contracts!$I$2:$I$151,$AB1060)="PREPAID",EDATE(DATE(YEAR(INDEX(Contracts!$J$2:$J$151,$AB1060)),MONTH(INDEX(Contracts!$J$2:$J$151,$AB1060)),1),IF(INDEX(Contracts!$N$2:$N$151,$AB1060)="",12,INDEX(Contracts!$N$2:$N$151,$AB1060))-1),IF(INDEX(Contracts!$I$2:$I$151,$AB1060)="MONTHLY",IF(INDEX(Contracts!$K$2:$K$151,$AB1060)="",2958101,INDEX(Contracts!$K$2:$K$151,$AB1060)),0)),IF($Z1060="A",EDATE(DATE(YEAR(INDEX(Fixed_Assets!$G$2:$G$201,$AB1060)),MONTH(INDEX(Fixed_Assets!$G$2:$G$201,$AB1060)),1),INDEX(Fixed_Assets!$J$2:$J$201,$AB1060)-1),IF($Z1060="F",MIN(IF(INDEX(Workforce!$J$2:$J$151,MATCH(INDEX(FTE_Allocation!$A$2:$A$201,$AB1060),Workforce!$A$2:$A$151,0))="",2958101,INDEX(Workforce!$J$2:$J$151,MATCH(INDEX(FTE_Allocation!$A$2:$A$201,$AB1060),Workforce!$A$2:$A$151,0))),IF(INDEX(FTE_Allocation!$J$2:$J$201,$AB1060)="",2958101,INDEX(FTE_Allocation!$J$2:$J$201,$AB1060))),"")))</f>
        <v/>
      </c>
      <c r="AG1060" s="19">
        <f>IF($Z1060="C",IF(INDEX(Contracts!$I$2:$I$151,$AB1060)="PREPAID",INDEX(Contracts!$M$2:$M$151,$AB1060)/IF(INDEX(Contracts!$N$2:$N$151,$AB1060)="",12,INDEX(Contracts!$N$2:$N$151,$AB1060)),IF(INDEX(Contracts!$I$2:$I$151,$AB1060)="MONTHLY",INDEX(Contracts!$M$2:$M$151,$AB1060),0))*(1-N(INDEX(Contracts!$O$2:$O$151,$AB1060))),IF($Z1060="A",INDEX(Fixed_Assets!$H$2:$H$201,$AB1060)/INDEX(Fixed_Assets!$J$2:$J$201,$AB1060),IF($Z1060="F",INDEX(Workforce!$F$2:$F$151,MATCH(INDEX(FTE_Allocation!$A$2:$A$201,$AB1060),Workforce!$A$2:$A$151,0))*N(INDEX(FTE_Allocation!$F$2:$H$201,$AB1060,$AC1060)),"")))</f>
        <v/>
      </c>
    </row>
    <row r="1061">
      <c r="A1061" s="7">
        <f>IF($Z1061="","",$AD1061)</f>
        <v/>
      </c>
      <c r="B1061" s="7">
        <f>IF($Z1061="C",INDEX(Contracts!$D$2:$D$151,$AB1061)&amp;"",IF($Z1061="A",INDEX(Fixed_Assets!$C$2:$C$201,$AB1061)&amp;"",IF($Z1061="F",INDEX(Workforce!$B$2:$B$151,MATCH(INDEX(FTE_Allocation!$A$2:$A$201,$AB1061),Workforce!$A$2:$A$151,0))&amp;"","")))</f>
        <v/>
      </c>
      <c r="C1061" s="7">
        <f>IF($Z1061="C",INDEX(Contracts!$E$2:$E$151,$AB1061)&amp;"",IF($Z1061="A",INDEX(Fixed_Assets!$D$2:$D$201,$AB1061)&amp;"",IF($Z1061="F",INDEX(FTE_Allocation!$C$2:$C$201,$AB1061)&amp;"","")))</f>
        <v/>
      </c>
      <c r="D1061" s="7">
        <f>IF($Z1061="C",INDEX(Contracts!$B$2:$B$151,$AB1061)&amp;"",IF($Z1061="A",INDEX(Fixed_Assets!$B$2:$B$201,$AB1061)&amp;"",IF($Z1061="F",INDEX(FTE_Allocation!$B$2:$B$201,$AB1061)&amp;"","")))</f>
        <v/>
      </c>
      <c r="E1061" s="7">
        <f>IF($Z1061="C",INDEX(Contracts!$P$2:$P$151,$AB1061)&amp;"",IF($Z1061="A",INDEX(Fixed_Assets!$K$2:$K$201,$AB1061)&amp;"",IF($Z1061="F",IF(INDEX(FTE_Allocation!$D$2:$D$201,$AB1061)="PROJECT",IFERROR(INDEX(Projects!$D:$D,MATCH(INDEX(FTE_Allocation!$E$2:$E$201,$AB1061),Projects!$A:$A,0))&amp;"","#PROJECT?"),INDEX(FTE_Allocation!$E$2:$E$201,$AB1061)&amp;""),"")))</f>
        <v/>
      </c>
      <c r="F1061" s="7">
        <f>IF($Z1061="C",INDEX(Contracts!$Q$2:$Q$151,$AB1061)&amp;"",IF($Z1061="A",INDEX(Fixed_Assets!$L$2:$L$201,$AB1061)&amp;"",IF($Z1061="F",INDEX(Workforce!$K$2:$K$151,MATCH(INDEX(FTE_Allocation!$A$2:$A$201,$AB1061),Workforce!$A$2:$A$151,0))&amp;"","")))</f>
        <v/>
      </c>
      <c r="G1061" s="7">
        <f>IF($Z1061="C",INDEX(Contracts!$F$2:$F$151,$AB1061)&amp;" / "&amp;INDEX(Contracts!$G$2:$G$151,$AB1061),IF($Z1061="A",INDEX(Fixed_Assets!$E$2:$E$201,$AB1061)&amp;"",IF($Z1061="F","Personnel "&amp;INDEX(FTE_Allocation!$A$2:$A$201,$AB1061)&amp;IF(INDEX(FTE_Allocation!$D$2:$D$201,$AB1061)="PROJECT"," ("&amp;INDEX(FTE_Allocation!$E$2:$E$201,$AB1061)&amp;")",""),"")))</f>
        <v/>
      </c>
      <c r="H1061" s="7">
        <f>IF($Z1061="C","CONTRACT",IF($Z1061="A","ASSET",IF($Z1061="F","WORKFORCE","")))</f>
        <v/>
      </c>
      <c r="I1061" s="7">
        <f>IF($Z1061="C",INDEX(Contracts!$L$2:$L$151,$AB1061)&amp;"",IF($Z1061="A",INDEX(Fixed_Assets!$I$2:$I$201,$AB1061)&amp;"",IF($Z1061="F",INDEX(Workforce!$G$2:$G$151,MATCH(INDEX(FTE_Allocation!$A$2:$A$201,$AB1061),Workforce!$A$2:$A$151,0))&amp;"","")))</f>
        <v/>
      </c>
      <c r="J1061" s="18">
        <f>IF($Z1061="","",IF(AND(DATE($AD1061,1,1)&gt;=$AE1061,DATE($AD1061,1,1)&lt;=$AF1061),ROUND($AG1061,2),0))</f>
        <v/>
      </c>
      <c r="K1061" s="18">
        <f>IF($Z1061="","",IF(AND(DATE($AD1061,2,1)&gt;=$AE1061,DATE($AD1061,2,1)&lt;=$AF1061),ROUND($AG1061,2),0))</f>
        <v/>
      </c>
      <c r="L1061" s="18">
        <f>IF($Z1061="","",IF(AND(DATE($AD1061,3,1)&gt;=$AE1061,DATE($AD1061,3,1)&lt;=$AF1061),ROUND($AG1061,2),0))</f>
        <v/>
      </c>
      <c r="M1061" s="18">
        <f>IF($Z1061="","",IF(AND(DATE($AD1061,4,1)&gt;=$AE1061,DATE($AD1061,4,1)&lt;=$AF1061),ROUND($AG1061,2),0))</f>
        <v/>
      </c>
      <c r="N1061" s="18">
        <f>IF($Z1061="","",IF(AND(DATE($AD1061,5,1)&gt;=$AE1061,DATE($AD1061,5,1)&lt;=$AF1061),ROUND($AG1061,2),0))</f>
        <v/>
      </c>
      <c r="O1061" s="18">
        <f>IF($Z1061="","",IF(AND(DATE($AD1061,6,1)&gt;=$AE1061,DATE($AD1061,6,1)&lt;=$AF1061),ROUND($AG1061,2),0))</f>
        <v/>
      </c>
      <c r="P1061" s="18">
        <f>IF($Z1061="","",IF(AND(DATE($AD1061,7,1)&gt;=$AE1061,DATE($AD1061,7,1)&lt;=$AF1061),ROUND($AG1061,2),0))</f>
        <v/>
      </c>
      <c r="Q1061" s="18">
        <f>IF($Z1061="","",IF(AND(DATE($AD1061,8,1)&gt;=$AE1061,DATE($AD1061,8,1)&lt;=$AF1061),ROUND($AG1061,2),0))</f>
        <v/>
      </c>
      <c r="R1061" s="18">
        <f>IF($Z1061="","",IF(AND(DATE($AD1061,9,1)&gt;=$AE1061,DATE($AD1061,9,1)&lt;=$AF1061),ROUND($AG1061,2),0))</f>
        <v/>
      </c>
      <c r="S1061" s="18">
        <f>IF($Z1061="","",IF(AND(DATE($AD1061,10,1)&gt;=$AE1061,DATE($AD1061,10,1)&lt;=$AF1061),ROUND($AG1061,2),0))</f>
        <v/>
      </c>
      <c r="T1061" s="18">
        <f>IF($Z1061="","",IF(AND(DATE($AD1061,11,1)&gt;=$AE1061,DATE($AD1061,11,1)&lt;=$AF1061),ROUND($AG1061,2),0))</f>
        <v/>
      </c>
      <c r="U1061" s="18">
        <f>IF($Z1061="","",IF(AND(DATE($AD1061,12,1)&gt;=$AE1061,DATE($AD1061,12,1)&lt;=$AF1061),ROUND($AG1061,2),0))</f>
        <v/>
      </c>
      <c r="V1061" s="7">
        <f>IF($Z1061="C","Generated from "&amp;INDEX(Contracts!$A$2:$A$151,$AB1061),IF($Z1061="A","Generated from "&amp;INDEX(Fixed_Assets!$A$2:$A$201,$AB1061),IF($Z1061="F","Generated from "&amp;INDEX(FTE_Allocation!$A$2:$A$201,$AB1061),"")))</f>
        <v/>
      </c>
      <c r="X1061" s="19">
        <f>IF($Z1061="","",SUM(J1061:U1061))</f>
        <v/>
      </c>
      <c r="Y1061" s="20">
        <f>ROW()-1</f>
        <v/>
      </c>
      <c r="Z1061" s="20">
        <f>IF($Y1061&lt;=Settings!$B$4*3,"C",IF($Y1061&lt;=(Settings!$B$4+Settings!$B$5)*3,"A",IF($Y1061&lt;=(Settings!$B$4+Settings!$B$5+Settings!$B$6)*3,"F","")))</f>
        <v/>
      </c>
      <c r="AA1061" s="20">
        <f>IF($Z1061="C",$Y1061,IF($Z1061="A",$Y1061-Settings!$B$4*3,IF($Z1061="F",$Y1061-(Settings!$B$4+Settings!$B$5)*3,"")))</f>
        <v/>
      </c>
      <c r="AB1061" s="20">
        <f>IF($Z1061="","",INT(($AA1061-1)/3)+1)</f>
        <v/>
      </c>
      <c r="AC1061" s="20">
        <f>IF($Z1061="","",MOD($AA1061-1,3)+1)</f>
        <v/>
      </c>
      <c r="AD1061" s="20">
        <f>IF($Z1061="","",Settings!$B$2+$AC1061-1)</f>
        <v/>
      </c>
      <c r="AE1061" s="21">
        <f>IF($Z1061="C",DATE(YEAR(INDEX(Contracts!$J$2:$J$151,$AB1061)),MONTH(INDEX(Contracts!$J$2:$J$151,$AB1061)),1),IF($Z1061="A",DATE(YEAR(INDEX(Fixed_Assets!$G$2:$G$201,$AB1061)),MONTH(INDEX(Fixed_Assets!$G$2:$G$201,$AB1061)),1),IF($Z1061="F",DATE(YEAR(MAX(N(INDEX(Workforce!$I$2:$I$151,MATCH(INDEX(FTE_Allocation!$A$2:$A$201,$AB1061),Workforce!$A$2:$A$151,0))),N(INDEX(FTE_Allocation!$I$2:$I$201,$AB1061)))),MONTH(MAX(N(INDEX(Workforce!$I$2:$I$151,MATCH(INDEX(FTE_Allocation!$A$2:$A$201,$AB1061),Workforce!$A$2:$A$151,0))),N(INDEX(FTE_Allocation!$I$2:$I$201,$AB1061)))),1),"")))</f>
        <v/>
      </c>
      <c r="AF1061" s="21">
        <f>IF($Z1061="C",IF(INDEX(Contracts!$I$2:$I$151,$AB1061)="PREPAID",EDATE(DATE(YEAR(INDEX(Contracts!$J$2:$J$151,$AB1061)),MONTH(INDEX(Contracts!$J$2:$J$151,$AB1061)),1),IF(INDEX(Contracts!$N$2:$N$151,$AB1061)="",12,INDEX(Contracts!$N$2:$N$151,$AB1061))-1),IF(INDEX(Contracts!$I$2:$I$151,$AB1061)="MONTHLY",IF(INDEX(Contracts!$K$2:$K$151,$AB1061)="",2958101,INDEX(Contracts!$K$2:$K$151,$AB1061)),0)),IF($Z1061="A",EDATE(DATE(YEAR(INDEX(Fixed_Assets!$G$2:$G$201,$AB1061)),MONTH(INDEX(Fixed_Assets!$G$2:$G$201,$AB1061)),1),INDEX(Fixed_Assets!$J$2:$J$201,$AB1061)-1),IF($Z1061="F",MIN(IF(INDEX(Workforce!$J$2:$J$151,MATCH(INDEX(FTE_Allocation!$A$2:$A$201,$AB1061),Workforce!$A$2:$A$151,0))="",2958101,INDEX(Workforce!$J$2:$J$151,MATCH(INDEX(FTE_Allocation!$A$2:$A$201,$AB1061),Workforce!$A$2:$A$151,0))),IF(INDEX(FTE_Allocation!$J$2:$J$201,$AB1061)="",2958101,INDEX(FTE_Allocation!$J$2:$J$201,$AB1061))),"")))</f>
        <v/>
      </c>
      <c r="AG1061" s="19">
        <f>IF($Z1061="C",IF(INDEX(Contracts!$I$2:$I$151,$AB1061)="PREPAID",INDEX(Contracts!$M$2:$M$151,$AB1061)/IF(INDEX(Contracts!$N$2:$N$151,$AB1061)="",12,INDEX(Contracts!$N$2:$N$151,$AB1061)),IF(INDEX(Contracts!$I$2:$I$151,$AB1061)="MONTHLY",INDEX(Contracts!$M$2:$M$151,$AB1061),0))*(1-N(INDEX(Contracts!$O$2:$O$151,$AB1061))),IF($Z1061="A",INDEX(Fixed_Assets!$H$2:$H$201,$AB1061)/INDEX(Fixed_Assets!$J$2:$J$201,$AB1061),IF($Z1061="F",INDEX(Workforce!$F$2:$F$151,MATCH(INDEX(FTE_Allocation!$A$2:$A$201,$AB1061),Workforce!$A$2:$A$151,0))*N(INDEX(FTE_Allocation!$F$2:$H$201,$AB1061,$AC1061)),"")))</f>
        <v/>
      </c>
    </row>
    <row r="1062">
      <c r="A1062" s="7">
        <f>IF($Z1062="","",$AD1062)</f>
        <v/>
      </c>
      <c r="B1062" s="7">
        <f>IF($Z1062="C",INDEX(Contracts!$D$2:$D$151,$AB1062)&amp;"",IF($Z1062="A",INDEX(Fixed_Assets!$C$2:$C$201,$AB1062)&amp;"",IF($Z1062="F",INDEX(Workforce!$B$2:$B$151,MATCH(INDEX(FTE_Allocation!$A$2:$A$201,$AB1062),Workforce!$A$2:$A$151,0))&amp;"","")))</f>
        <v/>
      </c>
      <c r="C1062" s="7">
        <f>IF($Z1062="C",INDEX(Contracts!$E$2:$E$151,$AB1062)&amp;"",IF($Z1062="A",INDEX(Fixed_Assets!$D$2:$D$201,$AB1062)&amp;"",IF($Z1062="F",INDEX(FTE_Allocation!$C$2:$C$201,$AB1062)&amp;"","")))</f>
        <v/>
      </c>
      <c r="D1062" s="7">
        <f>IF($Z1062="C",INDEX(Contracts!$B$2:$B$151,$AB1062)&amp;"",IF($Z1062="A",INDEX(Fixed_Assets!$B$2:$B$201,$AB1062)&amp;"",IF($Z1062="F",INDEX(FTE_Allocation!$B$2:$B$201,$AB1062)&amp;"","")))</f>
        <v/>
      </c>
      <c r="E1062" s="7">
        <f>IF($Z1062="C",INDEX(Contracts!$P$2:$P$151,$AB1062)&amp;"",IF($Z1062="A",INDEX(Fixed_Assets!$K$2:$K$201,$AB1062)&amp;"",IF($Z1062="F",IF(INDEX(FTE_Allocation!$D$2:$D$201,$AB1062)="PROJECT",IFERROR(INDEX(Projects!$D:$D,MATCH(INDEX(FTE_Allocation!$E$2:$E$201,$AB1062),Projects!$A:$A,0))&amp;"","#PROJECT?"),INDEX(FTE_Allocation!$E$2:$E$201,$AB1062)&amp;""),"")))</f>
        <v/>
      </c>
      <c r="F1062" s="7">
        <f>IF($Z1062="C",INDEX(Contracts!$Q$2:$Q$151,$AB1062)&amp;"",IF($Z1062="A",INDEX(Fixed_Assets!$L$2:$L$201,$AB1062)&amp;"",IF($Z1062="F",INDEX(Workforce!$K$2:$K$151,MATCH(INDEX(FTE_Allocation!$A$2:$A$201,$AB1062),Workforce!$A$2:$A$151,0))&amp;"","")))</f>
        <v/>
      </c>
      <c r="G1062" s="7">
        <f>IF($Z1062="C",INDEX(Contracts!$F$2:$F$151,$AB1062)&amp;" / "&amp;INDEX(Contracts!$G$2:$G$151,$AB1062),IF($Z1062="A",INDEX(Fixed_Assets!$E$2:$E$201,$AB1062)&amp;"",IF($Z1062="F","Personnel "&amp;INDEX(FTE_Allocation!$A$2:$A$201,$AB1062)&amp;IF(INDEX(FTE_Allocation!$D$2:$D$201,$AB1062)="PROJECT"," ("&amp;INDEX(FTE_Allocation!$E$2:$E$201,$AB1062)&amp;")",""),"")))</f>
        <v/>
      </c>
      <c r="H1062" s="7">
        <f>IF($Z1062="C","CONTRACT",IF($Z1062="A","ASSET",IF($Z1062="F","WORKFORCE","")))</f>
        <v/>
      </c>
      <c r="I1062" s="7">
        <f>IF($Z1062="C",INDEX(Contracts!$L$2:$L$151,$AB1062)&amp;"",IF($Z1062="A",INDEX(Fixed_Assets!$I$2:$I$201,$AB1062)&amp;"",IF($Z1062="F",INDEX(Workforce!$G$2:$G$151,MATCH(INDEX(FTE_Allocation!$A$2:$A$201,$AB1062),Workforce!$A$2:$A$151,0))&amp;"","")))</f>
        <v/>
      </c>
      <c r="J1062" s="18">
        <f>IF($Z1062="","",IF(AND(DATE($AD1062,1,1)&gt;=$AE1062,DATE($AD1062,1,1)&lt;=$AF1062),ROUND($AG1062,2),0))</f>
        <v/>
      </c>
      <c r="K1062" s="18">
        <f>IF($Z1062="","",IF(AND(DATE($AD1062,2,1)&gt;=$AE1062,DATE($AD1062,2,1)&lt;=$AF1062),ROUND($AG1062,2),0))</f>
        <v/>
      </c>
      <c r="L1062" s="18">
        <f>IF($Z1062="","",IF(AND(DATE($AD1062,3,1)&gt;=$AE1062,DATE($AD1062,3,1)&lt;=$AF1062),ROUND($AG1062,2),0))</f>
        <v/>
      </c>
      <c r="M1062" s="18">
        <f>IF($Z1062="","",IF(AND(DATE($AD1062,4,1)&gt;=$AE1062,DATE($AD1062,4,1)&lt;=$AF1062),ROUND($AG1062,2),0))</f>
        <v/>
      </c>
      <c r="N1062" s="18">
        <f>IF($Z1062="","",IF(AND(DATE($AD1062,5,1)&gt;=$AE1062,DATE($AD1062,5,1)&lt;=$AF1062),ROUND($AG1062,2),0))</f>
        <v/>
      </c>
      <c r="O1062" s="18">
        <f>IF($Z1062="","",IF(AND(DATE($AD1062,6,1)&gt;=$AE1062,DATE($AD1062,6,1)&lt;=$AF1062),ROUND($AG1062,2),0))</f>
        <v/>
      </c>
      <c r="P1062" s="18">
        <f>IF($Z1062="","",IF(AND(DATE($AD1062,7,1)&gt;=$AE1062,DATE($AD1062,7,1)&lt;=$AF1062),ROUND($AG1062,2),0))</f>
        <v/>
      </c>
      <c r="Q1062" s="18">
        <f>IF($Z1062="","",IF(AND(DATE($AD1062,8,1)&gt;=$AE1062,DATE($AD1062,8,1)&lt;=$AF1062),ROUND($AG1062,2),0))</f>
        <v/>
      </c>
      <c r="R1062" s="18">
        <f>IF($Z1062="","",IF(AND(DATE($AD1062,9,1)&gt;=$AE1062,DATE($AD1062,9,1)&lt;=$AF1062),ROUND($AG1062,2),0))</f>
        <v/>
      </c>
      <c r="S1062" s="18">
        <f>IF($Z1062="","",IF(AND(DATE($AD1062,10,1)&gt;=$AE1062,DATE($AD1062,10,1)&lt;=$AF1062),ROUND($AG1062,2),0))</f>
        <v/>
      </c>
      <c r="T1062" s="18">
        <f>IF($Z1062="","",IF(AND(DATE($AD1062,11,1)&gt;=$AE1062,DATE($AD1062,11,1)&lt;=$AF1062),ROUND($AG1062,2),0))</f>
        <v/>
      </c>
      <c r="U1062" s="18">
        <f>IF($Z1062="","",IF(AND(DATE($AD1062,12,1)&gt;=$AE1062,DATE($AD1062,12,1)&lt;=$AF1062),ROUND($AG1062,2),0))</f>
        <v/>
      </c>
      <c r="V1062" s="7">
        <f>IF($Z1062="C","Generated from "&amp;INDEX(Contracts!$A$2:$A$151,$AB1062),IF($Z1062="A","Generated from "&amp;INDEX(Fixed_Assets!$A$2:$A$201,$AB1062),IF($Z1062="F","Generated from "&amp;INDEX(FTE_Allocation!$A$2:$A$201,$AB1062),"")))</f>
        <v/>
      </c>
      <c r="X1062" s="19">
        <f>IF($Z1062="","",SUM(J1062:U1062))</f>
        <v/>
      </c>
      <c r="Y1062" s="20">
        <f>ROW()-1</f>
        <v/>
      </c>
      <c r="Z1062" s="20">
        <f>IF($Y1062&lt;=Settings!$B$4*3,"C",IF($Y1062&lt;=(Settings!$B$4+Settings!$B$5)*3,"A",IF($Y1062&lt;=(Settings!$B$4+Settings!$B$5+Settings!$B$6)*3,"F","")))</f>
        <v/>
      </c>
      <c r="AA1062" s="20">
        <f>IF($Z1062="C",$Y1062,IF($Z1062="A",$Y1062-Settings!$B$4*3,IF($Z1062="F",$Y1062-(Settings!$B$4+Settings!$B$5)*3,"")))</f>
        <v/>
      </c>
      <c r="AB1062" s="20">
        <f>IF($Z1062="","",INT(($AA1062-1)/3)+1)</f>
        <v/>
      </c>
      <c r="AC1062" s="20">
        <f>IF($Z1062="","",MOD($AA1062-1,3)+1)</f>
        <v/>
      </c>
      <c r="AD1062" s="20">
        <f>IF($Z1062="","",Settings!$B$2+$AC1062-1)</f>
        <v/>
      </c>
      <c r="AE1062" s="21">
        <f>IF($Z1062="C",DATE(YEAR(INDEX(Contracts!$J$2:$J$151,$AB1062)),MONTH(INDEX(Contracts!$J$2:$J$151,$AB1062)),1),IF($Z1062="A",DATE(YEAR(INDEX(Fixed_Assets!$G$2:$G$201,$AB1062)),MONTH(INDEX(Fixed_Assets!$G$2:$G$201,$AB1062)),1),IF($Z1062="F",DATE(YEAR(MAX(N(INDEX(Workforce!$I$2:$I$151,MATCH(INDEX(FTE_Allocation!$A$2:$A$201,$AB1062),Workforce!$A$2:$A$151,0))),N(INDEX(FTE_Allocation!$I$2:$I$201,$AB1062)))),MONTH(MAX(N(INDEX(Workforce!$I$2:$I$151,MATCH(INDEX(FTE_Allocation!$A$2:$A$201,$AB1062),Workforce!$A$2:$A$151,0))),N(INDEX(FTE_Allocation!$I$2:$I$201,$AB1062)))),1),"")))</f>
        <v/>
      </c>
      <c r="AF1062" s="21">
        <f>IF($Z1062="C",IF(INDEX(Contracts!$I$2:$I$151,$AB1062)="PREPAID",EDATE(DATE(YEAR(INDEX(Contracts!$J$2:$J$151,$AB1062)),MONTH(INDEX(Contracts!$J$2:$J$151,$AB1062)),1),IF(INDEX(Contracts!$N$2:$N$151,$AB1062)="",12,INDEX(Contracts!$N$2:$N$151,$AB1062))-1),IF(INDEX(Contracts!$I$2:$I$151,$AB1062)="MONTHLY",IF(INDEX(Contracts!$K$2:$K$151,$AB1062)="",2958101,INDEX(Contracts!$K$2:$K$151,$AB1062)),0)),IF($Z1062="A",EDATE(DATE(YEAR(INDEX(Fixed_Assets!$G$2:$G$201,$AB1062)),MONTH(INDEX(Fixed_Assets!$G$2:$G$201,$AB1062)),1),INDEX(Fixed_Assets!$J$2:$J$201,$AB1062)-1),IF($Z1062="F",MIN(IF(INDEX(Workforce!$J$2:$J$151,MATCH(INDEX(FTE_Allocation!$A$2:$A$201,$AB1062),Workforce!$A$2:$A$151,0))="",2958101,INDEX(Workforce!$J$2:$J$151,MATCH(INDEX(FTE_Allocation!$A$2:$A$201,$AB1062),Workforce!$A$2:$A$151,0))),IF(INDEX(FTE_Allocation!$J$2:$J$201,$AB1062)="",2958101,INDEX(FTE_Allocation!$J$2:$J$201,$AB1062))),"")))</f>
        <v/>
      </c>
      <c r="AG1062" s="19">
        <f>IF($Z1062="C",IF(INDEX(Contracts!$I$2:$I$151,$AB1062)="PREPAID",INDEX(Contracts!$M$2:$M$151,$AB1062)/IF(INDEX(Contracts!$N$2:$N$151,$AB1062)="",12,INDEX(Contracts!$N$2:$N$151,$AB1062)),IF(INDEX(Contracts!$I$2:$I$151,$AB1062)="MONTHLY",INDEX(Contracts!$M$2:$M$151,$AB1062),0))*(1-N(INDEX(Contracts!$O$2:$O$151,$AB1062))),IF($Z1062="A",INDEX(Fixed_Assets!$H$2:$H$201,$AB1062)/INDEX(Fixed_Assets!$J$2:$J$201,$AB1062),IF($Z1062="F",INDEX(Workforce!$F$2:$F$151,MATCH(INDEX(FTE_Allocation!$A$2:$A$201,$AB1062),Workforce!$A$2:$A$151,0))*N(INDEX(FTE_Allocation!$F$2:$H$201,$AB1062,$AC1062)),"")))</f>
        <v/>
      </c>
    </row>
    <row r="1063">
      <c r="A1063" s="7">
        <f>IF($Z1063="","",$AD1063)</f>
        <v/>
      </c>
      <c r="B1063" s="7">
        <f>IF($Z1063="C",INDEX(Contracts!$D$2:$D$151,$AB1063)&amp;"",IF($Z1063="A",INDEX(Fixed_Assets!$C$2:$C$201,$AB1063)&amp;"",IF($Z1063="F",INDEX(Workforce!$B$2:$B$151,MATCH(INDEX(FTE_Allocation!$A$2:$A$201,$AB1063),Workforce!$A$2:$A$151,0))&amp;"","")))</f>
        <v/>
      </c>
      <c r="C1063" s="7">
        <f>IF($Z1063="C",INDEX(Contracts!$E$2:$E$151,$AB1063)&amp;"",IF($Z1063="A",INDEX(Fixed_Assets!$D$2:$D$201,$AB1063)&amp;"",IF($Z1063="F",INDEX(FTE_Allocation!$C$2:$C$201,$AB1063)&amp;"","")))</f>
        <v/>
      </c>
      <c r="D1063" s="7">
        <f>IF($Z1063="C",INDEX(Contracts!$B$2:$B$151,$AB1063)&amp;"",IF($Z1063="A",INDEX(Fixed_Assets!$B$2:$B$201,$AB1063)&amp;"",IF($Z1063="F",INDEX(FTE_Allocation!$B$2:$B$201,$AB1063)&amp;"","")))</f>
        <v/>
      </c>
      <c r="E1063" s="7">
        <f>IF($Z1063="C",INDEX(Contracts!$P$2:$P$151,$AB1063)&amp;"",IF($Z1063="A",INDEX(Fixed_Assets!$K$2:$K$201,$AB1063)&amp;"",IF($Z1063="F",IF(INDEX(FTE_Allocation!$D$2:$D$201,$AB1063)="PROJECT",IFERROR(INDEX(Projects!$D:$D,MATCH(INDEX(FTE_Allocation!$E$2:$E$201,$AB1063),Projects!$A:$A,0))&amp;"","#PROJECT?"),INDEX(FTE_Allocation!$E$2:$E$201,$AB1063)&amp;""),"")))</f>
        <v/>
      </c>
      <c r="F1063" s="7">
        <f>IF($Z1063="C",INDEX(Contracts!$Q$2:$Q$151,$AB1063)&amp;"",IF($Z1063="A",INDEX(Fixed_Assets!$L$2:$L$201,$AB1063)&amp;"",IF($Z1063="F",INDEX(Workforce!$K$2:$K$151,MATCH(INDEX(FTE_Allocation!$A$2:$A$201,$AB1063),Workforce!$A$2:$A$151,0))&amp;"","")))</f>
        <v/>
      </c>
      <c r="G1063" s="7">
        <f>IF($Z1063="C",INDEX(Contracts!$F$2:$F$151,$AB1063)&amp;" / "&amp;INDEX(Contracts!$G$2:$G$151,$AB1063),IF($Z1063="A",INDEX(Fixed_Assets!$E$2:$E$201,$AB1063)&amp;"",IF($Z1063="F","Personnel "&amp;INDEX(FTE_Allocation!$A$2:$A$201,$AB1063)&amp;IF(INDEX(FTE_Allocation!$D$2:$D$201,$AB1063)="PROJECT"," ("&amp;INDEX(FTE_Allocation!$E$2:$E$201,$AB1063)&amp;")",""),"")))</f>
        <v/>
      </c>
      <c r="H1063" s="7">
        <f>IF($Z1063="C","CONTRACT",IF($Z1063="A","ASSET",IF($Z1063="F","WORKFORCE","")))</f>
        <v/>
      </c>
      <c r="I1063" s="7">
        <f>IF($Z1063="C",INDEX(Contracts!$L$2:$L$151,$AB1063)&amp;"",IF($Z1063="A",INDEX(Fixed_Assets!$I$2:$I$201,$AB1063)&amp;"",IF($Z1063="F",INDEX(Workforce!$G$2:$G$151,MATCH(INDEX(FTE_Allocation!$A$2:$A$201,$AB1063),Workforce!$A$2:$A$151,0))&amp;"","")))</f>
        <v/>
      </c>
      <c r="J1063" s="18">
        <f>IF($Z1063="","",IF(AND(DATE($AD1063,1,1)&gt;=$AE1063,DATE($AD1063,1,1)&lt;=$AF1063),ROUND($AG1063,2),0))</f>
        <v/>
      </c>
      <c r="K1063" s="18">
        <f>IF($Z1063="","",IF(AND(DATE($AD1063,2,1)&gt;=$AE1063,DATE($AD1063,2,1)&lt;=$AF1063),ROUND($AG1063,2),0))</f>
        <v/>
      </c>
      <c r="L1063" s="18">
        <f>IF($Z1063="","",IF(AND(DATE($AD1063,3,1)&gt;=$AE1063,DATE($AD1063,3,1)&lt;=$AF1063),ROUND($AG1063,2),0))</f>
        <v/>
      </c>
      <c r="M1063" s="18">
        <f>IF($Z1063="","",IF(AND(DATE($AD1063,4,1)&gt;=$AE1063,DATE($AD1063,4,1)&lt;=$AF1063),ROUND($AG1063,2),0))</f>
        <v/>
      </c>
      <c r="N1063" s="18">
        <f>IF($Z1063="","",IF(AND(DATE($AD1063,5,1)&gt;=$AE1063,DATE($AD1063,5,1)&lt;=$AF1063),ROUND($AG1063,2),0))</f>
        <v/>
      </c>
      <c r="O1063" s="18">
        <f>IF($Z1063="","",IF(AND(DATE($AD1063,6,1)&gt;=$AE1063,DATE($AD1063,6,1)&lt;=$AF1063),ROUND($AG1063,2),0))</f>
        <v/>
      </c>
      <c r="P1063" s="18">
        <f>IF($Z1063="","",IF(AND(DATE($AD1063,7,1)&gt;=$AE1063,DATE($AD1063,7,1)&lt;=$AF1063),ROUND($AG1063,2),0))</f>
        <v/>
      </c>
      <c r="Q1063" s="18">
        <f>IF($Z1063="","",IF(AND(DATE($AD1063,8,1)&gt;=$AE1063,DATE($AD1063,8,1)&lt;=$AF1063),ROUND($AG1063,2),0))</f>
        <v/>
      </c>
      <c r="R1063" s="18">
        <f>IF($Z1063="","",IF(AND(DATE($AD1063,9,1)&gt;=$AE1063,DATE($AD1063,9,1)&lt;=$AF1063),ROUND($AG1063,2),0))</f>
        <v/>
      </c>
      <c r="S1063" s="18">
        <f>IF($Z1063="","",IF(AND(DATE($AD1063,10,1)&gt;=$AE1063,DATE($AD1063,10,1)&lt;=$AF1063),ROUND($AG1063,2),0))</f>
        <v/>
      </c>
      <c r="T1063" s="18">
        <f>IF($Z1063="","",IF(AND(DATE($AD1063,11,1)&gt;=$AE1063,DATE($AD1063,11,1)&lt;=$AF1063),ROUND($AG1063,2),0))</f>
        <v/>
      </c>
      <c r="U1063" s="18">
        <f>IF($Z1063="","",IF(AND(DATE($AD1063,12,1)&gt;=$AE1063,DATE($AD1063,12,1)&lt;=$AF1063),ROUND($AG1063,2),0))</f>
        <v/>
      </c>
      <c r="V1063" s="7">
        <f>IF($Z1063="C","Generated from "&amp;INDEX(Contracts!$A$2:$A$151,$AB1063),IF($Z1063="A","Generated from "&amp;INDEX(Fixed_Assets!$A$2:$A$201,$AB1063),IF($Z1063="F","Generated from "&amp;INDEX(FTE_Allocation!$A$2:$A$201,$AB1063),"")))</f>
        <v/>
      </c>
      <c r="X1063" s="19">
        <f>IF($Z1063="","",SUM(J1063:U1063))</f>
        <v/>
      </c>
      <c r="Y1063" s="20">
        <f>ROW()-1</f>
        <v/>
      </c>
      <c r="Z1063" s="20">
        <f>IF($Y1063&lt;=Settings!$B$4*3,"C",IF($Y1063&lt;=(Settings!$B$4+Settings!$B$5)*3,"A",IF($Y1063&lt;=(Settings!$B$4+Settings!$B$5+Settings!$B$6)*3,"F","")))</f>
        <v/>
      </c>
      <c r="AA1063" s="20">
        <f>IF($Z1063="C",$Y1063,IF($Z1063="A",$Y1063-Settings!$B$4*3,IF($Z1063="F",$Y1063-(Settings!$B$4+Settings!$B$5)*3,"")))</f>
        <v/>
      </c>
      <c r="AB1063" s="20">
        <f>IF($Z1063="","",INT(($AA1063-1)/3)+1)</f>
        <v/>
      </c>
      <c r="AC1063" s="20">
        <f>IF($Z1063="","",MOD($AA1063-1,3)+1)</f>
        <v/>
      </c>
      <c r="AD1063" s="20">
        <f>IF($Z1063="","",Settings!$B$2+$AC1063-1)</f>
        <v/>
      </c>
      <c r="AE1063" s="21">
        <f>IF($Z1063="C",DATE(YEAR(INDEX(Contracts!$J$2:$J$151,$AB1063)),MONTH(INDEX(Contracts!$J$2:$J$151,$AB1063)),1),IF($Z1063="A",DATE(YEAR(INDEX(Fixed_Assets!$G$2:$G$201,$AB1063)),MONTH(INDEX(Fixed_Assets!$G$2:$G$201,$AB1063)),1),IF($Z1063="F",DATE(YEAR(MAX(N(INDEX(Workforce!$I$2:$I$151,MATCH(INDEX(FTE_Allocation!$A$2:$A$201,$AB1063),Workforce!$A$2:$A$151,0))),N(INDEX(FTE_Allocation!$I$2:$I$201,$AB1063)))),MONTH(MAX(N(INDEX(Workforce!$I$2:$I$151,MATCH(INDEX(FTE_Allocation!$A$2:$A$201,$AB1063),Workforce!$A$2:$A$151,0))),N(INDEX(FTE_Allocation!$I$2:$I$201,$AB1063)))),1),"")))</f>
        <v/>
      </c>
      <c r="AF1063" s="21">
        <f>IF($Z1063="C",IF(INDEX(Contracts!$I$2:$I$151,$AB1063)="PREPAID",EDATE(DATE(YEAR(INDEX(Contracts!$J$2:$J$151,$AB1063)),MONTH(INDEX(Contracts!$J$2:$J$151,$AB1063)),1),IF(INDEX(Contracts!$N$2:$N$151,$AB1063)="",12,INDEX(Contracts!$N$2:$N$151,$AB1063))-1),IF(INDEX(Contracts!$I$2:$I$151,$AB1063)="MONTHLY",IF(INDEX(Contracts!$K$2:$K$151,$AB1063)="",2958101,INDEX(Contracts!$K$2:$K$151,$AB1063)),0)),IF($Z1063="A",EDATE(DATE(YEAR(INDEX(Fixed_Assets!$G$2:$G$201,$AB1063)),MONTH(INDEX(Fixed_Assets!$G$2:$G$201,$AB1063)),1),INDEX(Fixed_Assets!$J$2:$J$201,$AB1063)-1),IF($Z1063="F",MIN(IF(INDEX(Workforce!$J$2:$J$151,MATCH(INDEX(FTE_Allocation!$A$2:$A$201,$AB1063),Workforce!$A$2:$A$151,0))="",2958101,INDEX(Workforce!$J$2:$J$151,MATCH(INDEX(FTE_Allocation!$A$2:$A$201,$AB1063),Workforce!$A$2:$A$151,0))),IF(INDEX(FTE_Allocation!$J$2:$J$201,$AB1063)="",2958101,INDEX(FTE_Allocation!$J$2:$J$201,$AB1063))),"")))</f>
        <v/>
      </c>
      <c r="AG1063" s="19">
        <f>IF($Z1063="C",IF(INDEX(Contracts!$I$2:$I$151,$AB1063)="PREPAID",INDEX(Contracts!$M$2:$M$151,$AB1063)/IF(INDEX(Contracts!$N$2:$N$151,$AB1063)="",12,INDEX(Contracts!$N$2:$N$151,$AB1063)),IF(INDEX(Contracts!$I$2:$I$151,$AB1063)="MONTHLY",INDEX(Contracts!$M$2:$M$151,$AB1063),0))*(1-N(INDEX(Contracts!$O$2:$O$151,$AB1063))),IF($Z1063="A",INDEX(Fixed_Assets!$H$2:$H$201,$AB1063)/INDEX(Fixed_Assets!$J$2:$J$201,$AB1063),IF($Z1063="F",INDEX(Workforce!$F$2:$F$151,MATCH(INDEX(FTE_Allocation!$A$2:$A$201,$AB1063),Workforce!$A$2:$A$151,0))*N(INDEX(FTE_Allocation!$F$2:$H$201,$AB1063,$AC1063)),"")))</f>
        <v/>
      </c>
    </row>
    <row r="1064">
      <c r="A1064" s="7">
        <f>IF($Z1064="","",$AD1064)</f>
        <v/>
      </c>
      <c r="B1064" s="7">
        <f>IF($Z1064="C",INDEX(Contracts!$D$2:$D$151,$AB1064)&amp;"",IF($Z1064="A",INDEX(Fixed_Assets!$C$2:$C$201,$AB1064)&amp;"",IF($Z1064="F",INDEX(Workforce!$B$2:$B$151,MATCH(INDEX(FTE_Allocation!$A$2:$A$201,$AB1064),Workforce!$A$2:$A$151,0))&amp;"","")))</f>
        <v/>
      </c>
      <c r="C1064" s="7">
        <f>IF($Z1064="C",INDEX(Contracts!$E$2:$E$151,$AB1064)&amp;"",IF($Z1064="A",INDEX(Fixed_Assets!$D$2:$D$201,$AB1064)&amp;"",IF($Z1064="F",INDEX(FTE_Allocation!$C$2:$C$201,$AB1064)&amp;"","")))</f>
        <v/>
      </c>
      <c r="D1064" s="7">
        <f>IF($Z1064="C",INDEX(Contracts!$B$2:$B$151,$AB1064)&amp;"",IF($Z1064="A",INDEX(Fixed_Assets!$B$2:$B$201,$AB1064)&amp;"",IF($Z1064="F",INDEX(FTE_Allocation!$B$2:$B$201,$AB1064)&amp;"","")))</f>
        <v/>
      </c>
      <c r="E1064" s="7">
        <f>IF($Z1064="C",INDEX(Contracts!$P$2:$P$151,$AB1064)&amp;"",IF($Z1064="A",INDEX(Fixed_Assets!$K$2:$K$201,$AB1064)&amp;"",IF($Z1064="F",IF(INDEX(FTE_Allocation!$D$2:$D$201,$AB1064)="PROJECT",IFERROR(INDEX(Projects!$D:$D,MATCH(INDEX(FTE_Allocation!$E$2:$E$201,$AB1064),Projects!$A:$A,0))&amp;"","#PROJECT?"),INDEX(FTE_Allocation!$E$2:$E$201,$AB1064)&amp;""),"")))</f>
        <v/>
      </c>
      <c r="F1064" s="7">
        <f>IF($Z1064="C",INDEX(Contracts!$Q$2:$Q$151,$AB1064)&amp;"",IF($Z1064="A",INDEX(Fixed_Assets!$L$2:$L$201,$AB1064)&amp;"",IF($Z1064="F",INDEX(Workforce!$K$2:$K$151,MATCH(INDEX(FTE_Allocation!$A$2:$A$201,$AB1064),Workforce!$A$2:$A$151,0))&amp;"","")))</f>
        <v/>
      </c>
      <c r="G1064" s="7">
        <f>IF($Z1064="C",INDEX(Contracts!$F$2:$F$151,$AB1064)&amp;" / "&amp;INDEX(Contracts!$G$2:$G$151,$AB1064),IF($Z1064="A",INDEX(Fixed_Assets!$E$2:$E$201,$AB1064)&amp;"",IF($Z1064="F","Personnel "&amp;INDEX(FTE_Allocation!$A$2:$A$201,$AB1064)&amp;IF(INDEX(FTE_Allocation!$D$2:$D$201,$AB1064)="PROJECT"," ("&amp;INDEX(FTE_Allocation!$E$2:$E$201,$AB1064)&amp;")",""),"")))</f>
        <v/>
      </c>
      <c r="H1064" s="7">
        <f>IF($Z1064="C","CONTRACT",IF($Z1064="A","ASSET",IF($Z1064="F","WORKFORCE","")))</f>
        <v/>
      </c>
      <c r="I1064" s="7">
        <f>IF($Z1064="C",INDEX(Contracts!$L$2:$L$151,$AB1064)&amp;"",IF($Z1064="A",INDEX(Fixed_Assets!$I$2:$I$201,$AB1064)&amp;"",IF($Z1064="F",INDEX(Workforce!$G$2:$G$151,MATCH(INDEX(FTE_Allocation!$A$2:$A$201,$AB1064),Workforce!$A$2:$A$151,0))&amp;"","")))</f>
        <v/>
      </c>
      <c r="J1064" s="18">
        <f>IF($Z1064="","",IF(AND(DATE($AD1064,1,1)&gt;=$AE1064,DATE($AD1064,1,1)&lt;=$AF1064),ROUND($AG1064,2),0))</f>
        <v/>
      </c>
      <c r="K1064" s="18">
        <f>IF($Z1064="","",IF(AND(DATE($AD1064,2,1)&gt;=$AE1064,DATE($AD1064,2,1)&lt;=$AF1064),ROUND($AG1064,2),0))</f>
        <v/>
      </c>
      <c r="L1064" s="18">
        <f>IF($Z1064="","",IF(AND(DATE($AD1064,3,1)&gt;=$AE1064,DATE($AD1064,3,1)&lt;=$AF1064),ROUND($AG1064,2),0))</f>
        <v/>
      </c>
      <c r="M1064" s="18">
        <f>IF($Z1064="","",IF(AND(DATE($AD1064,4,1)&gt;=$AE1064,DATE($AD1064,4,1)&lt;=$AF1064),ROUND($AG1064,2),0))</f>
        <v/>
      </c>
      <c r="N1064" s="18">
        <f>IF($Z1064="","",IF(AND(DATE($AD1064,5,1)&gt;=$AE1064,DATE($AD1064,5,1)&lt;=$AF1064),ROUND($AG1064,2),0))</f>
        <v/>
      </c>
      <c r="O1064" s="18">
        <f>IF($Z1064="","",IF(AND(DATE($AD1064,6,1)&gt;=$AE1064,DATE($AD1064,6,1)&lt;=$AF1064),ROUND($AG1064,2),0))</f>
        <v/>
      </c>
      <c r="P1064" s="18">
        <f>IF($Z1064="","",IF(AND(DATE($AD1064,7,1)&gt;=$AE1064,DATE($AD1064,7,1)&lt;=$AF1064),ROUND($AG1064,2),0))</f>
        <v/>
      </c>
      <c r="Q1064" s="18">
        <f>IF($Z1064="","",IF(AND(DATE($AD1064,8,1)&gt;=$AE1064,DATE($AD1064,8,1)&lt;=$AF1064),ROUND($AG1064,2),0))</f>
        <v/>
      </c>
      <c r="R1064" s="18">
        <f>IF($Z1064="","",IF(AND(DATE($AD1064,9,1)&gt;=$AE1064,DATE($AD1064,9,1)&lt;=$AF1064),ROUND($AG1064,2),0))</f>
        <v/>
      </c>
      <c r="S1064" s="18">
        <f>IF($Z1064="","",IF(AND(DATE($AD1064,10,1)&gt;=$AE1064,DATE($AD1064,10,1)&lt;=$AF1064),ROUND($AG1064,2),0))</f>
        <v/>
      </c>
      <c r="T1064" s="18">
        <f>IF($Z1064="","",IF(AND(DATE($AD1064,11,1)&gt;=$AE1064,DATE($AD1064,11,1)&lt;=$AF1064),ROUND($AG1064,2),0))</f>
        <v/>
      </c>
      <c r="U1064" s="18">
        <f>IF($Z1064="","",IF(AND(DATE($AD1064,12,1)&gt;=$AE1064,DATE($AD1064,12,1)&lt;=$AF1064),ROUND($AG1064,2),0))</f>
        <v/>
      </c>
      <c r="V1064" s="7">
        <f>IF($Z1064="C","Generated from "&amp;INDEX(Contracts!$A$2:$A$151,$AB1064),IF($Z1064="A","Generated from "&amp;INDEX(Fixed_Assets!$A$2:$A$201,$AB1064),IF($Z1064="F","Generated from "&amp;INDEX(FTE_Allocation!$A$2:$A$201,$AB1064),"")))</f>
        <v/>
      </c>
      <c r="X1064" s="19">
        <f>IF($Z1064="","",SUM(J1064:U1064))</f>
        <v/>
      </c>
      <c r="Y1064" s="20">
        <f>ROW()-1</f>
        <v/>
      </c>
      <c r="Z1064" s="20">
        <f>IF($Y1064&lt;=Settings!$B$4*3,"C",IF($Y1064&lt;=(Settings!$B$4+Settings!$B$5)*3,"A",IF($Y1064&lt;=(Settings!$B$4+Settings!$B$5+Settings!$B$6)*3,"F","")))</f>
        <v/>
      </c>
      <c r="AA1064" s="20">
        <f>IF($Z1064="C",$Y1064,IF($Z1064="A",$Y1064-Settings!$B$4*3,IF($Z1064="F",$Y1064-(Settings!$B$4+Settings!$B$5)*3,"")))</f>
        <v/>
      </c>
      <c r="AB1064" s="20">
        <f>IF($Z1064="","",INT(($AA1064-1)/3)+1)</f>
        <v/>
      </c>
      <c r="AC1064" s="20">
        <f>IF($Z1064="","",MOD($AA1064-1,3)+1)</f>
        <v/>
      </c>
      <c r="AD1064" s="20">
        <f>IF($Z1064="","",Settings!$B$2+$AC1064-1)</f>
        <v/>
      </c>
      <c r="AE1064" s="21">
        <f>IF($Z1064="C",DATE(YEAR(INDEX(Contracts!$J$2:$J$151,$AB1064)),MONTH(INDEX(Contracts!$J$2:$J$151,$AB1064)),1),IF($Z1064="A",DATE(YEAR(INDEX(Fixed_Assets!$G$2:$G$201,$AB1064)),MONTH(INDEX(Fixed_Assets!$G$2:$G$201,$AB1064)),1),IF($Z1064="F",DATE(YEAR(MAX(N(INDEX(Workforce!$I$2:$I$151,MATCH(INDEX(FTE_Allocation!$A$2:$A$201,$AB1064),Workforce!$A$2:$A$151,0))),N(INDEX(FTE_Allocation!$I$2:$I$201,$AB1064)))),MONTH(MAX(N(INDEX(Workforce!$I$2:$I$151,MATCH(INDEX(FTE_Allocation!$A$2:$A$201,$AB1064),Workforce!$A$2:$A$151,0))),N(INDEX(FTE_Allocation!$I$2:$I$201,$AB1064)))),1),"")))</f>
        <v/>
      </c>
      <c r="AF1064" s="21">
        <f>IF($Z1064="C",IF(INDEX(Contracts!$I$2:$I$151,$AB1064)="PREPAID",EDATE(DATE(YEAR(INDEX(Contracts!$J$2:$J$151,$AB1064)),MONTH(INDEX(Contracts!$J$2:$J$151,$AB1064)),1),IF(INDEX(Contracts!$N$2:$N$151,$AB1064)="",12,INDEX(Contracts!$N$2:$N$151,$AB1064))-1),IF(INDEX(Contracts!$I$2:$I$151,$AB1064)="MONTHLY",IF(INDEX(Contracts!$K$2:$K$151,$AB1064)="",2958101,INDEX(Contracts!$K$2:$K$151,$AB1064)),0)),IF($Z1064="A",EDATE(DATE(YEAR(INDEX(Fixed_Assets!$G$2:$G$201,$AB1064)),MONTH(INDEX(Fixed_Assets!$G$2:$G$201,$AB1064)),1),INDEX(Fixed_Assets!$J$2:$J$201,$AB1064)-1),IF($Z1064="F",MIN(IF(INDEX(Workforce!$J$2:$J$151,MATCH(INDEX(FTE_Allocation!$A$2:$A$201,$AB1064),Workforce!$A$2:$A$151,0))="",2958101,INDEX(Workforce!$J$2:$J$151,MATCH(INDEX(FTE_Allocation!$A$2:$A$201,$AB1064),Workforce!$A$2:$A$151,0))),IF(INDEX(FTE_Allocation!$J$2:$J$201,$AB1064)="",2958101,INDEX(FTE_Allocation!$J$2:$J$201,$AB1064))),"")))</f>
        <v/>
      </c>
      <c r="AG1064" s="19">
        <f>IF($Z1064="C",IF(INDEX(Contracts!$I$2:$I$151,$AB1064)="PREPAID",INDEX(Contracts!$M$2:$M$151,$AB1064)/IF(INDEX(Contracts!$N$2:$N$151,$AB1064)="",12,INDEX(Contracts!$N$2:$N$151,$AB1064)),IF(INDEX(Contracts!$I$2:$I$151,$AB1064)="MONTHLY",INDEX(Contracts!$M$2:$M$151,$AB1064),0))*(1-N(INDEX(Contracts!$O$2:$O$151,$AB1064))),IF($Z1064="A",INDEX(Fixed_Assets!$H$2:$H$201,$AB1064)/INDEX(Fixed_Assets!$J$2:$J$201,$AB1064),IF($Z1064="F",INDEX(Workforce!$F$2:$F$151,MATCH(INDEX(FTE_Allocation!$A$2:$A$201,$AB1064),Workforce!$A$2:$A$151,0))*N(INDEX(FTE_Allocation!$F$2:$H$201,$AB1064,$AC1064)),"")))</f>
        <v/>
      </c>
    </row>
    <row r="1065">
      <c r="A1065" s="7">
        <f>IF($Z1065="","",$AD1065)</f>
        <v/>
      </c>
      <c r="B1065" s="7">
        <f>IF($Z1065="C",INDEX(Contracts!$D$2:$D$151,$AB1065)&amp;"",IF($Z1065="A",INDEX(Fixed_Assets!$C$2:$C$201,$AB1065)&amp;"",IF($Z1065="F",INDEX(Workforce!$B$2:$B$151,MATCH(INDEX(FTE_Allocation!$A$2:$A$201,$AB1065),Workforce!$A$2:$A$151,0))&amp;"","")))</f>
        <v/>
      </c>
      <c r="C1065" s="7">
        <f>IF($Z1065="C",INDEX(Contracts!$E$2:$E$151,$AB1065)&amp;"",IF($Z1065="A",INDEX(Fixed_Assets!$D$2:$D$201,$AB1065)&amp;"",IF($Z1065="F",INDEX(FTE_Allocation!$C$2:$C$201,$AB1065)&amp;"","")))</f>
        <v/>
      </c>
      <c r="D1065" s="7">
        <f>IF($Z1065="C",INDEX(Contracts!$B$2:$B$151,$AB1065)&amp;"",IF($Z1065="A",INDEX(Fixed_Assets!$B$2:$B$201,$AB1065)&amp;"",IF($Z1065="F",INDEX(FTE_Allocation!$B$2:$B$201,$AB1065)&amp;"","")))</f>
        <v/>
      </c>
      <c r="E1065" s="7">
        <f>IF($Z1065="C",INDEX(Contracts!$P$2:$P$151,$AB1065)&amp;"",IF($Z1065="A",INDEX(Fixed_Assets!$K$2:$K$201,$AB1065)&amp;"",IF($Z1065="F",IF(INDEX(FTE_Allocation!$D$2:$D$201,$AB1065)="PROJECT",IFERROR(INDEX(Projects!$D:$D,MATCH(INDEX(FTE_Allocation!$E$2:$E$201,$AB1065),Projects!$A:$A,0))&amp;"","#PROJECT?"),INDEX(FTE_Allocation!$E$2:$E$201,$AB1065)&amp;""),"")))</f>
        <v/>
      </c>
      <c r="F1065" s="7">
        <f>IF($Z1065="C",INDEX(Contracts!$Q$2:$Q$151,$AB1065)&amp;"",IF($Z1065="A",INDEX(Fixed_Assets!$L$2:$L$201,$AB1065)&amp;"",IF($Z1065="F",INDEX(Workforce!$K$2:$K$151,MATCH(INDEX(FTE_Allocation!$A$2:$A$201,$AB1065),Workforce!$A$2:$A$151,0))&amp;"","")))</f>
        <v/>
      </c>
      <c r="G1065" s="7">
        <f>IF($Z1065="C",INDEX(Contracts!$F$2:$F$151,$AB1065)&amp;" / "&amp;INDEX(Contracts!$G$2:$G$151,$AB1065),IF($Z1065="A",INDEX(Fixed_Assets!$E$2:$E$201,$AB1065)&amp;"",IF($Z1065="F","Personnel "&amp;INDEX(FTE_Allocation!$A$2:$A$201,$AB1065)&amp;IF(INDEX(FTE_Allocation!$D$2:$D$201,$AB1065)="PROJECT"," ("&amp;INDEX(FTE_Allocation!$E$2:$E$201,$AB1065)&amp;")",""),"")))</f>
        <v/>
      </c>
      <c r="H1065" s="7">
        <f>IF($Z1065="C","CONTRACT",IF($Z1065="A","ASSET",IF($Z1065="F","WORKFORCE","")))</f>
        <v/>
      </c>
      <c r="I1065" s="7">
        <f>IF($Z1065="C",INDEX(Contracts!$L$2:$L$151,$AB1065)&amp;"",IF($Z1065="A",INDEX(Fixed_Assets!$I$2:$I$201,$AB1065)&amp;"",IF($Z1065="F",INDEX(Workforce!$G$2:$G$151,MATCH(INDEX(FTE_Allocation!$A$2:$A$201,$AB1065),Workforce!$A$2:$A$151,0))&amp;"","")))</f>
        <v/>
      </c>
      <c r="J1065" s="18">
        <f>IF($Z1065="","",IF(AND(DATE($AD1065,1,1)&gt;=$AE1065,DATE($AD1065,1,1)&lt;=$AF1065),ROUND($AG1065,2),0))</f>
        <v/>
      </c>
      <c r="K1065" s="18">
        <f>IF($Z1065="","",IF(AND(DATE($AD1065,2,1)&gt;=$AE1065,DATE($AD1065,2,1)&lt;=$AF1065),ROUND($AG1065,2),0))</f>
        <v/>
      </c>
      <c r="L1065" s="18">
        <f>IF($Z1065="","",IF(AND(DATE($AD1065,3,1)&gt;=$AE1065,DATE($AD1065,3,1)&lt;=$AF1065),ROUND($AG1065,2),0))</f>
        <v/>
      </c>
      <c r="M1065" s="18">
        <f>IF($Z1065="","",IF(AND(DATE($AD1065,4,1)&gt;=$AE1065,DATE($AD1065,4,1)&lt;=$AF1065),ROUND($AG1065,2),0))</f>
        <v/>
      </c>
      <c r="N1065" s="18">
        <f>IF($Z1065="","",IF(AND(DATE($AD1065,5,1)&gt;=$AE1065,DATE($AD1065,5,1)&lt;=$AF1065),ROUND($AG1065,2),0))</f>
        <v/>
      </c>
      <c r="O1065" s="18">
        <f>IF($Z1065="","",IF(AND(DATE($AD1065,6,1)&gt;=$AE1065,DATE($AD1065,6,1)&lt;=$AF1065),ROUND($AG1065,2),0))</f>
        <v/>
      </c>
      <c r="P1065" s="18">
        <f>IF($Z1065="","",IF(AND(DATE($AD1065,7,1)&gt;=$AE1065,DATE($AD1065,7,1)&lt;=$AF1065),ROUND($AG1065,2),0))</f>
        <v/>
      </c>
      <c r="Q1065" s="18">
        <f>IF($Z1065="","",IF(AND(DATE($AD1065,8,1)&gt;=$AE1065,DATE($AD1065,8,1)&lt;=$AF1065),ROUND($AG1065,2),0))</f>
        <v/>
      </c>
      <c r="R1065" s="18">
        <f>IF($Z1065="","",IF(AND(DATE($AD1065,9,1)&gt;=$AE1065,DATE($AD1065,9,1)&lt;=$AF1065),ROUND($AG1065,2),0))</f>
        <v/>
      </c>
      <c r="S1065" s="18">
        <f>IF($Z1065="","",IF(AND(DATE($AD1065,10,1)&gt;=$AE1065,DATE($AD1065,10,1)&lt;=$AF1065),ROUND($AG1065,2),0))</f>
        <v/>
      </c>
      <c r="T1065" s="18">
        <f>IF($Z1065="","",IF(AND(DATE($AD1065,11,1)&gt;=$AE1065,DATE($AD1065,11,1)&lt;=$AF1065),ROUND($AG1065,2),0))</f>
        <v/>
      </c>
      <c r="U1065" s="18">
        <f>IF($Z1065="","",IF(AND(DATE($AD1065,12,1)&gt;=$AE1065,DATE($AD1065,12,1)&lt;=$AF1065),ROUND($AG1065,2),0))</f>
        <v/>
      </c>
      <c r="V1065" s="7">
        <f>IF($Z1065="C","Generated from "&amp;INDEX(Contracts!$A$2:$A$151,$AB1065),IF($Z1065="A","Generated from "&amp;INDEX(Fixed_Assets!$A$2:$A$201,$AB1065),IF($Z1065="F","Generated from "&amp;INDEX(FTE_Allocation!$A$2:$A$201,$AB1065),"")))</f>
        <v/>
      </c>
      <c r="X1065" s="19">
        <f>IF($Z1065="","",SUM(J1065:U1065))</f>
        <v/>
      </c>
      <c r="Y1065" s="20">
        <f>ROW()-1</f>
        <v/>
      </c>
      <c r="Z1065" s="20">
        <f>IF($Y1065&lt;=Settings!$B$4*3,"C",IF($Y1065&lt;=(Settings!$B$4+Settings!$B$5)*3,"A",IF($Y1065&lt;=(Settings!$B$4+Settings!$B$5+Settings!$B$6)*3,"F","")))</f>
        <v/>
      </c>
      <c r="AA1065" s="20">
        <f>IF($Z1065="C",$Y1065,IF($Z1065="A",$Y1065-Settings!$B$4*3,IF($Z1065="F",$Y1065-(Settings!$B$4+Settings!$B$5)*3,"")))</f>
        <v/>
      </c>
      <c r="AB1065" s="20">
        <f>IF($Z1065="","",INT(($AA1065-1)/3)+1)</f>
        <v/>
      </c>
      <c r="AC1065" s="20">
        <f>IF($Z1065="","",MOD($AA1065-1,3)+1)</f>
        <v/>
      </c>
      <c r="AD1065" s="20">
        <f>IF($Z1065="","",Settings!$B$2+$AC1065-1)</f>
        <v/>
      </c>
      <c r="AE1065" s="21">
        <f>IF($Z1065="C",DATE(YEAR(INDEX(Contracts!$J$2:$J$151,$AB1065)),MONTH(INDEX(Contracts!$J$2:$J$151,$AB1065)),1),IF($Z1065="A",DATE(YEAR(INDEX(Fixed_Assets!$G$2:$G$201,$AB1065)),MONTH(INDEX(Fixed_Assets!$G$2:$G$201,$AB1065)),1),IF($Z1065="F",DATE(YEAR(MAX(N(INDEX(Workforce!$I$2:$I$151,MATCH(INDEX(FTE_Allocation!$A$2:$A$201,$AB1065),Workforce!$A$2:$A$151,0))),N(INDEX(FTE_Allocation!$I$2:$I$201,$AB1065)))),MONTH(MAX(N(INDEX(Workforce!$I$2:$I$151,MATCH(INDEX(FTE_Allocation!$A$2:$A$201,$AB1065),Workforce!$A$2:$A$151,0))),N(INDEX(FTE_Allocation!$I$2:$I$201,$AB1065)))),1),"")))</f>
        <v/>
      </c>
      <c r="AF1065" s="21">
        <f>IF($Z1065="C",IF(INDEX(Contracts!$I$2:$I$151,$AB1065)="PREPAID",EDATE(DATE(YEAR(INDEX(Contracts!$J$2:$J$151,$AB1065)),MONTH(INDEX(Contracts!$J$2:$J$151,$AB1065)),1),IF(INDEX(Contracts!$N$2:$N$151,$AB1065)="",12,INDEX(Contracts!$N$2:$N$151,$AB1065))-1),IF(INDEX(Contracts!$I$2:$I$151,$AB1065)="MONTHLY",IF(INDEX(Contracts!$K$2:$K$151,$AB1065)="",2958101,INDEX(Contracts!$K$2:$K$151,$AB1065)),0)),IF($Z1065="A",EDATE(DATE(YEAR(INDEX(Fixed_Assets!$G$2:$G$201,$AB1065)),MONTH(INDEX(Fixed_Assets!$G$2:$G$201,$AB1065)),1),INDEX(Fixed_Assets!$J$2:$J$201,$AB1065)-1),IF($Z1065="F",MIN(IF(INDEX(Workforce!$J$2:$J$151,MATCH(INDEX(FTE_Allocation!$A$2:$A$201,$AB1065),Workforce!$A$2:$A$151,0))="",2958101,INDEX(Workforce!$J$2:$J$151,MATCH(INDEX(FTE_Allocation!$A$2:$A$201,$AB1065),Workforce!$A$2:$A$151,0))),IF(INDEX(FTE_Allocation!$J$2:$J$201,$AB1065)="",2958101,INDEX(FTE_Allocation!$J$2:$J$201,$AB1065))),"")))</f>
        <v/>
      </c>
      <c r="AG1065" s="19">
        <f>IF($Z1065="C",IF(INDEX(Contracts!$I$2:$I$151,$AB1065)="PREPAID",INDEX(Contracts!$M$2:$M$151,$AB1065)/IF(INDEX(Contracts!$N$2:$N$151,$AB1065)="",12,INDEX(Contracts!$N$2:$N$151,$AB1065)),IF(INDEX(Contracts!$I$2:$I$151,$AB1065)="MONTHLY",INDEX(Contracts!$M$2:$M$151,$AB1065),0))*(1-N(INDEX(Contracts!$O$2:$O$151,$AB1065))),IF($Z1065="A",INDEX(Fixed_Assets!$H$2:$H$201,$AB1065)/INDEX(Fixed_Assets!$J$2:$J$201,$AB1065),IF($Z1065="F",INDEX(Workforce!$F$2:$F$151,MATCH(INDEX(FTE_Allocation!$A$2:$A$201,$AB1065),Workforce!$A$2:$A$151,0))*N(INDEX(FTE_Allocation!$F$2:$H$201,$AB1065,$AC1065)),"")))</f>
        <v/>
      </c>
    </row>
    <row r="1066">
      <c r="A1066" s="7">
        <f>IF($Z1066="","",$AD1066)</f>
        <v/>
      </c>
      <c r="B1066" s="7">
        <f>IF($Z1066="C",INDEX(Contracts!$D$2:$D$151,$AB1066)&amp;"",IF($Z1066="A",INDEX(Fixed_Assets!$C$2:$C$201,$AB1066)&amp;"",IF($Z1066="F",INDEX(Workforce!$B$2:$B$151,MATCH(INDEX(FTE_Allocation!$A$2:$A$201,$AB1066),Workforce!$A$2:$A$151,0))&amp;"","")))</f>
        <v/>
      </c>
      <c r="C1066" s="7">
        <f>IF($Z1066="C",INDEX(Contracts!$E$2:$E$151,$AB1066)&amp;"",IF($Z1066="A",INDEX(Fixed_Assets!$D$2:$D$201,$AB1066)&amp;"",IF($Z1066="F",INDEX(FTE_Allocation!$C$2:$C$201,$AB1066)&amp;"","")))</f>
        <v/>
      </c>
      <c r="D1066" s="7">
        <f>IF($Z1066="C",INDEX(Contracts!$B$2:$B$151,$AB1066)&amp;"",IF($Z1066="A",INDEX(Fixed_Assets!$B$2:$B$201,$AB1066)&amp;"",IF($Z1066="F",INDEX(FTE_Allocation!$B$2:$B$201,$AB1066)&amp;"","")))</f>
        <v/>
      </c>
      <c r="E1066" s="7">
        <f>IF($Z1066="C",INDEX(Contracts!$P$2:$P$151,$AB1066)&amp;"",IF($Z1066="A",INDEX(Fixed_Assets!$K$2:$K$201,$AB1066)&amp;"",IF($Z1066="F",IF(INDEX(FTE_Allocation!$D$2:$D$201,$AB1066)="PROJECT",IFERROR(INDEX(Projects!$D:$D,MATCH(INDEX(FTE_Allocation!$E$2:$E$201,$AB1066),Projects!$A:$A,0))&amp;"","#PROJECT?"),INDEX(FTE_Allocation!$E$2:$E$201,$AB1066)&amp;""),"")))</f>
        <v/>
      </c>
      <c r="F1066" s="7">
        <f>IF($Z1066="C",INDEX(Contracts!$Q$2:$Q$151,$AB1066)&amp;"",IF($Z1066="A",INDEX(Fixed_Assets!$L$2:$L$201,$AB1066)&amp;"",IF($Z1066="F",INDEX(Workforce!$K$2:$K$151,MATCH(INDEX(FTE_Allocation!$A$2:$A$201,$AB1066),Workforce!$A$2:$A$151,0))&amp;"","")))</f>
        <v/>
      </c>
      <c r="G1066" s="7">
        <f>IF($Z1066="C",INDEX(Contracts!$F$2:$F$151,$AB1066)&amp;" / "&amp;INDEX(Contracts!$G$2:$G$151,$AB1066),IF($Z1066="A",INDEX(Fixed_Assets!$E$2:$E$201,$AB1066)&amp;"",IF($Z1066="F","Personnel "&amp;INDEX(FTE_Allocation!$A$2:$A$201,$AB1066)&amp;IF(INDEX(FTE_Allocation!$D$2:$D$201,$AB1066)="PROJECT"," ("&amp;INDEX(FTE_Allocation!$E$2:$E$201,$AB1066)&amp;")",""),"")))</f>
        <v/>
      </c>
      <c r="H1066" s="7">
        <f>IF($Z1066="C","CONTRACT",IF($Z1066="A","ASSET",IF($Z1066="F","WORKFORCE","")))</f>
        <v/>
      </c>
      <c r="I1066" s="7">
        <f>IF($Z1066="C",INDEX(Contracts!$L$2:$L$151,$AB1066)&amp;"",IF($Z1066="A",INDEX(Fixed_Assets!$I$2:$I$201,$AB1066)&amp;"",IF($Z1066="F",INDEX(Workforce!$G$2:$G$151,MATCH(INDEX(FTE_Allocation!$A$2:$A$201,$AB1066),Workforce!$A$2:$A$151,0))&amp;"","")))</f>
        <v/>
      </c>
      <c r="J1066" s="18">
        <f>IF($Z1066="","",IF(AND(DATE($AD1066,1,1)&gt;=$AE1066,DATE($AD1066,1,1)&lt;=$AF1066),ROUND($AG1066,2),0))</f>
        <v/>
      </c>
      <c r="K1066" s="18">
        <f>IF($Z1066="","",IF(AND(DATE($AD1066,2,1)&gt;=$AE1066,DATE($AD1066,2,1)&lt;=$AF1066),ROUND($AG1066,2),0))</f>
        <v/>
      </c>
      <c r="L1066" s="18">
        <f>IF($Z1066="","",IF(AND(DATE($AD1066,3,1)&gt;=$AE1066,DATE($AD1066,3,1)&lt;=$AF1066),ROUND($AG1066,2),0))</f>
        <v/>
      </c>
      <c r="M1066" s="18">
        <f>IF($Z1066="","",IF(AND(DATE($AD1066,4,1)&gt;=$AE1066,DATE($AD1066,4,1)&lt;=$AF1066),ROUND($AG1066,2),0))</f>
        <v/>
      </c>
      <c r="N1066" s="18">
        <f>IF($Z1066="","",IF(AND(DATE($AD1066,5,1)&gt;=$AE1066,DATE($AD1066,5,1)&lt;=$AF1066),ROUND($AG1066,2),0))</f>
        <v/>
      </c>
      <c r="O1066" s="18">
        <f>IF($Z1066="","",IF(AND(DATE($AD1066,6,1)&gt;=$AE1066,DATE($AD1066,6,1)&lt;=$AF1066),ROUND($AG1066,2),0))</f>
        <v/>
      </c>
      <c r="P1066" s="18">
        <f>IF($Z1066="","",IF(AND(DATE($AD1066,7,1)&gt;=$AE1066,DATE($AD1066,7,1)&lt;=$AF1066),ROUND($AG1066,2),0))</f>
        <v/>
      </c>
      <c r="Q1066" s="18">
        <f>IF($Z1066="","",IF(AND(DATE($AD1066,8,1)&gt;=$AE1066,DATE($AD1066,8,1)&lt;=$AF1066),ROUND($AG1066,2),0))</f>
        <v/>
      </c>
      <c r="R1066" s="18">
        <f>IF($Z1066="","",IF(AND(DATE($AD1066,9,1)&gt;=$AE1066,DATE($AD1066,9,1)&lt;=$AF1066),ROUND($AG1066,2),0))</f>
        <v/>
      </c>
      <c r="S1066" s="18">
        <f>IF($Z1066="","",IF(AND(DATE($AD1066,10,1)&gt;=$AE1066,DATE($AD1066,10,1)&lt;=$AF1066),ROUND($AG1066,2),0))</f>
        <v/>
      </c>
      <c r="T1066" s="18">
        <f>IF($Z1066="","",IF(AND(DATE($AD1066,11,1)&gt;=$AE1066,DATE($AD1066,11,1)&lt;=$AF1066),ROUND($AG1066,2),0))</f>
        <v/>
      </c>
      <c r="U1066" s="18">
        <f>IF($Z1066="","",IF(AND(DATE($AD1066,12,1)&gt;=$AE1066,DATE($AD1066,12,1)&lt;=$AF1066),ROUND($AG1066,2),0))</f>
        <v/>
      </c>
      <c r="V1066" s="7">
        <f>IF($Z1066="C","Generated from "&amp;INDEX(Contracts!$A$2:$A$151,$AB1066),IF($Z1066="A","Generated from "&amp;INDEX(Fixed_Assets!$A$2:$A$201,$AB1066),IF($Z1066="F","Generated from "&amp;INDEX(FTE_Allocation!$A$2:$A$201,$AB1066),"")))</f>
        <v/>
      </c>
      <c r="X1066" s="19">
        <f>IF($Z1066="","",SUM(J1066:U1066))</f>
        <v/>
      </c>
      <c r="Y1066" s="20">
        <f>ROW()-1</f>
        <v/>
      </c>
      <c r="Z1066" s="20">
        <f>IF($Y1066&lt;=Settings!$B$4*3,"C",IF($Y1066&lt;=(Settings!$B$4+Settings!$B$5)*3,"A",IF($Y1066&lt;=(Settings!$B$4+Settings!$B$5+Settings!$B$6)*3,"F","")))</f>
        <v/>
      </c>
      <c r="AA1066" s="20">
        <f>IF($Z1066="C",$Y1066,IF($Z1066="A",$Y1066-Settings!$B$4*3,IF($Z1066="F",$Y1066-(Settings!$B$4+Settings!$B$5)*3,"")))</f>
        <v/>
      </c>
      <c r="AB1066" s="20">
        <f>IF($Z1066="","",INT(($AA1066-1)/3)+1)</f>
        <v/>
      </c>
      <c r="AC1066" s="20">
        <f>IF($Z1066="","",MOD($AA1066-1,3)+1)</f>
        <v/>
      </c>
      <c r="AD1066" s="20">
        <f>IF($Z1066="","",Settings!$B$2+$AC1066-1)</f>
        <v/>
      </c>
      <c r="AE1066" s="21">
        <f>IF($Z1066="C",DATE(YEAR(INDEX(Contracts!$J$2:$J$151,$AB1066)),MONTH(INDEX(Contracts!$J$2:$J$151,$AB1066)),1),IF($Z1066="A",DATE(YEAR(INDEX(Fixed_Assets!$G$2:$G$201,$AB1066)),MONTH(INDEX(Fixed_Assets!$G$2:$G$201,$AB1066)),1),IF($Z1066="F",DATE(YEAR(MAX(N(INDEX(Workforce!$I$2:$I$151,MATCH(INDEX(FTE_Allocation!$A$2:$A$201,$AB1066),Workforce!$A$2:$A$151,0))),N(INDEX(FTE_Allocation!$I$2:$I$201,$AB1066)))),MONTH(MAX(N(INDEX(Workforce!$I$2:$I$151,MATCH(INDEX(FTE_Allocation!$A$2:$A$201,$AB1066),Workforce!$A$2:$A$151,0))),N(INDEX(FTE_Allocation!$I$2:$I$201,$AB1066)))),1),"")))</f>
        <v/>
      </c>
      <c r="AF1066" s="21">
        <f>IF($Z1066="C",IF(INDEX(Contracts!$I$2:$I$151,$AB1066)="PREPAID",EDATE(DATE(YEAR(INDEX(Contracts!$J$2:$J$151,$AB1066)),MONTH(INDEX(Contracts!$J$2:$J$151,$AB1066)),1),IF(INDEX(Contracts!$N$2:$N$151,$AB1066)="",12,INDEX(Contracts!$N$2:$N$151,$AB1066))-1),IF(INDEX(Contracts!$I$2:$I$151,$AB1066)="MONTHLY",IF(INDEX(Contracts!$K$2:$K$151,$AB1066)="",2958101,INDEX(Contracts!$K$2:$K$151,$AB1066)),0)),IF($Z1066="A",EDATE(DATE(YEAR(INDEX(Fixed_Assets!$G$2:$G$201,$AB1066)),MONTH(INDEX(Fixed_Assets!$G$2:$G$201,$AB1066)),1),INDEX(Fixed_Assets!$J$2:$J$201,$AB1066)-1),IF($Z1066="F",MIN(IF(INDEX(Workforce!$J$2:$J$151,MATCH(INDEX(FTE_Allocation!$A$2:$A$201,$AB1066),Workforce!$A$2:$A$151,0))="",2958101,INDEX(Workforce!$J$2:$J$151,MATCH(INDEX(FTE_Allocation!$A$2:$A$201,$AB1066),Workforce!$A$2:$A$151,0))),IF(INDEX(FTE_Allocation!$J$2:$J$201,$AB1066)="",2958101,INDEX(FTE_Allocation!$J$2:$J$201,$AB1066))),"")))</f>
        <v/>
      </c>
      <c r="AG1066" s="19">
        <f>IF($Z1066="C",IF(INDEX(Contracts!$I$2:$I$151,$AB1066)="PREPAID",INDEX(Contracts!$M$2:$M$151,$AB1066)/IF(INDEX(Contracts!$N$2:$N$151,$AB1066)="",12,INDEX(Contracts!$N$2:$N$151,$AB1066)),IF(INDEX(Contracts!$I$2:$I$151,$AB1066)="MONTHLY",INDEX(Contracts!$M$2:$M$151,$AB1066),0))*(1-N(INDEX(Contracts!$O$2:$O$151,$AB1066))),IF($Z1066="A",INDEX(Fixed_Assets!$H$2:$H$201,$AB1066)/INDEX(Fixed_Assets!$J$2:$J$201,$AB1066),IF($Z1066="F",INDEX(Workforce!$F$2:$F$151,MATCH(INDEX(FTE_Allocation!$A$2:$A$201,$AB1066),Workforce!$A$2:$A$151,0))*N(INDEX(FTE_Allocation!$F$2:$H$201,$AB1066,$AC1066)),"")))</f>
        <v/>
      </c>
    </row>
    <row r="1067">
      <c r="A1067" s="7">
        <f>IF($Z1067="","",$AD1067)</f>
        <v/>
      </c>
      <c r="B1067" s="7">
        <f>IF($Z1067="C",INDEX(Contracts!$D$2:$D$151,$AB1067)&amp;"",IF($Z1067="A",INDEX(Fixed_Assets!$C$2:$C$201,$AB1067)&amp;"",IF($Z1067="F",INDEX(Workforce!$B$2:$B$151,MATCH(INDEX(FTE_Allocation!$A$2:$A$201,$AB1067),Workforce!$A$2:$A$151,0))&amp;"","")))</f>
        <v/>
      </c>
      <c r="C1067" s="7">
        <f>IF($Z1067="C",INDEX(Contracts!$E$2:$E$151,$AB1067)&amp;"",IF($Z1067="A",INDEX(Fixed_Assets!$D$2:$D$201,$AB1067)&amp;"",IF($Z1067="F",INDEX(FTE_Allocation!$C$2:$C$201,$AB1067)&amp;"","")))</f>
        <v/>
      </c>
      <c r="D1067" s="7">
        <f>IF($Z1067="C",INDEX(Contracts!$B$2:$B$151,$AB1067)&amp;"",IF($Z1067="A",INDEX(Fixed_Assets!$B$2:$B$201,$AB1067)&amp;"",IF($Z1067="F",INDEX(FTE_Allocation!$B$2:$B$201,$AB1067)&amp;"","")))</f>
        <v/>
      </c>
      <c r="E1067" s="7">
        <f>IF($Z1067="C",INDEX(Contracts!$P$2:$P$151,$AB1067)&amp;"",IF($Z1067="A",INDEX(Fixed_Assets!$K$2:$K$201,$AB1067)&amp;"",IF($Z1067="F",IF(INDEX(FTE_Allocation!$D$2:$D$201,$AB1067)="PROJECT",IFERROR(INDEX(Projects!$D:$D,MATCH(INDEX(FTE_Allocation!$E$2:$E$201,$AB1067),Projects!$A:$A,0))&amp;"","#PROJECT?"),INDEX(FTE_Allocation!$E$2:$E$201,$AB1067)&amp;""),"")))</f>
        <v/>
      </c>
      <c r="F1067" s="7">
        <f>IF($Z1067="C",INDEX(Contracts!$Q$2:$Q$151,$AB1067)&amp;"",IF($Z1067="A",INDEX(Fixed_Assets!$L$2:$L$201,$AB1067)&amp;"",IF($Z1067="F",INDEX(Workforce!$K$2:$K$151,MATCH(INDEX(FTE_Allocation!$A$2:$A$201,$AB1067),Workforce!$A$2:$A$151,0))&amp;"","")))</f>
        <v/>
      </c>
      <c r="G1067" s="7">
        <f>IF($Z1067="C",INDEX(Contracts!$F$2:$F$151,$AB1067)&amp;" / "&amp;INDEX(Contracts!$G$2:$G$151,$AB1067),IF($Z1067="A",INDEX(Fixed_Assets!$E$2:$E$201,$AB1067)&amp;"",IF($Z1067="F","Personnel "&amp;INDEX(FTE_Allocation!$A$2:$A$201,$AB1067)&amp;IF(INDEX(FTE_Allocation!$D$2:$D$201,$AB1067)="PROJECT"," ("&amp;INDEX(FTE_Allocation!$E$2:$E$201,$AB1067)&amp;")",""),"")))</f>
        <v/>
      </c>
      <c r="H1067" s="7">
        <f>IF($Z1067="C","CONTRACT",IF($Z1067="A","ASSET",IF($Z1067="F","WORKFORCE","")))</f>
        <v/>
      </c>
      <c r="I1067" s="7">
        <f>IF($Z1067="C",INDEX(Contracts!$L$2:$L$151,$AB1067)&amp;"",IF($Z1067="A",INDEX(Fixed_Assets!$I$2:$I$201,$AB1067)&amp;"",IF($Z1067="F",INDEX(Workforce!$G$2:$G$151,MATCH(INDEX(FTE_Allocation!$A$2:$A$201,$AB1067),Workforce!$A$2:$A$151,0))&amp;"","")))</f>
        <v/>
      </c>
      <c r="J1067" s="18">
        <f>IF($Z1067="","",IF(AND(DATE($AD1067,1,1)&gt;=$AE1067,DATE($AD1067,1,1)&lt;=$AF1067),ROUND($AG1067,2),0))</f>
        <v/>
      </c>
      <c r="K1067" s="18">
        <f>IF($Z1067="","",IF(AND(DATE($AD1067,2,1)&gt;=$AE1067,DATE($AD1067,2,1)&lt;=$AF1067),ROUND($AG1067,2),0))</f>
        <v/>
      </c>
      <c r="L1067" s="18">
        <f>IF($Z1067="","",IF(AND(DATE($AD1067,3,1)&gt;=$AE1067,DATE($AD1067,3,1)&lt;=$AF1067),ROUND($AG1067,2),0))</f>
        <v/>
      </c>
      <c r="M1067" s="18">
        <f>IF($Z1067="","",IF(AND(DATE($AD1067,4,1)&gt;=$AE1067,DATE($AD1067,4,1)&lt;=$AF1067),ROUND($AG1067,2),0))</f>
        <v/>
      </c>
      <c r="N1067" s="18">
        <f>IF($Z1067="","",IF(AND(DATE($AD1067,5,1)&gt;=$AE1067,DATE($AD1067,5,1)&lt;=$AF1067),ROUND($AG1067,2),0))</f>
        <v/>
      </c>
      <c r="O1067" s="18">
        <f>IF($Z1067="","",IF(AND(DATE($AD1067,6,1)&gt;=$AE1067,DATE($AD1067,6,1)&lt;=$AF1067),ROUND($AG1067,2),0))</f>
        <v/>
      </c>
      <c r="P1067" s="18">
        <f>IF($Z1067="","",IF(AND(DATE($AD1067,7,1)&gt;=$AE1067,DATE($AD1067,7,1)&lt;=$AF1067),ROUND($AG1067,2),0))</f>
        <v/>
      </c>
      <c r="Q1067" s="18">
        <f>IF($Z1067="","",IF(AND(DATE($AD1067,8,1)&gt;=$AE1067,DATE($AD1067,8,1)&lt;=$AF1067),ROUND($AG1067,2),0))</f>
        <v/>
      </c>
      <c r="R1067" s="18">
        <f>IF($Z1067="","",IF(AND(DATE($AD1067,9,1)&gt;=$AE1067,DATE($AD1067,9,1)&lt;=$AF1067),ROUND($AG1067,2),0))</f>
        <v/>
      </c>
      <c r="S1067" s="18">
        <f>IF($Z1067="","",IF(AND(DATE($AD1067,10,1)&gt;=$AE1067,DATE($AD1067,10,1)&lt;=$AF1067),ROUND($AG1067,2),0))</f>
        <v/>
      </c>
      <c r="T1067" s="18">
        <f>IF($Z1067="","",IF(AND(DATE($AD1067,11,1)&gt;=$AE1067,DATE($AD1067,11,1)&lt;=$AF1067),ROUND($AG1067,2),0))</f>
        <v/>
      </c>
      <c r="U1067" s="18">
        <f>IF($Z1067="","",IF(AND(DATE($AD1067,12,1)&gt;=$AE1067,DATE($AD1067,12,1)&lt;=$AF1067),ROUND($AG1067,2),0))</f>
        <v/>
      </c>
      <c r="V1067" s="7">
        <f>IF($Z1067="C","Generated from "&amp;INDEX(Contracts!$A$2:$A$151,$AB1067),IF($Z1067="A","Generated from "&amp;INDEX(Fixed_Assets!$A$2:$A$201,$AB1067),IF($Z1067="F","Generated from "&amp;INDEX(FTE_Allocation!$A$2:$A$201,$AB1067),"")))</f>
        <v/>
      </c>
      <c r="X1067" s="19">
        <f>IF($Z1067="","",SUM(J1067:U1067))</f>
        <v/>
      </c>
      <c r="Y1067" s="20">
        <f>ROW()-1</f>
        <v/>
      </c>
      <c r="Z1067" s="20">
        <f>IF($Y1067&lt;=Settings!$B$4*3,"C",IF($Y1067&lt;=(Settings!$B$4+Settings!$B$5)*3,"A",IF($Y1067&lt;=(Settings!$B$4+Settings!$B$5+Settings!$B$6)*3,"F","")))</f>
        <v/>
      </c>
      <c r="AA1067" s="20">
        <f>IF($Z1067="C",$Y1067,IF($Z1067="A",$Y1067-Settings!$B$4*3,IF($Z1067="F",$Y1067-(Settings!$B$4+Settings!$B$5)*3,"")))</f>
        <v/>
      </c>
      <c r="AB1067" s="20">
        <f>IF($Z1067="","",INT(($AA1067-1)/3)+1)</f>
        <v/>
      </c>
      <c r="AC1067" s="20">
        <f>IF($Z1067="","",MOD($AA1067-1,3)+1)</f>
        <v/>
      </c>
      <c r="AD1067" s="20">
        <f>IF($Z1067="","",Settings!$B$2+$AC1067-1)</f>
        <v/>
      </c>
      <c r="AE1067" s="21">
        <f>IF($Z1067="C",DATE(YEAR(INDEX(Contracts!$J$2:$J$151,$AB1067)),MONTH(INDEX(Contracts!$J$2:$J$151,$AB1067)),1),IF($Z1067="A",DATE(YEAR(INDEX(Fixed_Assets!$G$2:$G$201,$AB1067)),MONTH(INDEX(Fixed_Assets!$G$2:$G$201,$AB1067)),1),IF($Z1067="F",DATE(YEAR(MAX(N(INDEX(Workforce!$I$2:$I$151,MATCH(INDEX(FTE_Allocation!$A$2:$A$201,$AB1067),Workforce!$A$2:$A$151,0))),N(INDEX(FTE_Allocation!$I$2:$I$201,$AB1067)))),MONTH(MAX(N(INDEX(Workforce!$I$2:$I$151,MATCH(INDEX(FTE_Allocation!$A$2:$A$201,$AB1067),Workforce!$A$2:$A$151,0))),N(INDEX(FTE_Allocation!$I$2:$I$201,$AB1067)))),1),"")))</f>
        <v/>
      </c>
      <c r="AF1067" s="21">
        <f>IF($Z1067="C",IF(INDEX(Contracts!$I$2:$I$151,$AB1067)="PREPAID",EDATE(DATE(YEAR(INDEX(Contracts!$J$2:$J$151,$AB1067)),MONTH(INDEX(Contracts!$J$2:$J$151,$AB1067)),1),IF(INDEX(Contracts!$N$2:$N$151,$AB1067)="",12,INDEX(Contracts!$N$2:$N$151,$AB1067))-1),IF(INDEX(Contracts!$I$2:$I$151,$AB1067)="MONTHLY",IF(INDEX(Contracts!$K$2:$K$151,$AB1067)="",2958101,INDEX(Contracts!$K$2:$K$151,$AB1067)),0)),IF($Z1067="A",EDATE(DATE(YEAR(INDEX(Fixed_Assets!$G$2:$G$201,$AB1067)),MONTH(INDEX(Fixed_Assets!$G$2:$G$201,$AB1067)),1),INDEX(Fixed_Assets!$J$2:$J$201,$AB1067)-1),IF($Z1067="F",MIN(IF(INDEX(Workforce!$J$2:$J$151,MATCH(INDEX(FTE_Allocation!$A$2:$A$201,$AB1067),Workforce!$A$2:$A$151,0))="",2958101,INDEX(Workforce!$J$2:$J$151,MATCH(INDEX(FTE_Allocation!$A$2:$A$201,$AB1067),Workforce!$A$2:$A$151,0))),IF(INDEX(FTE_Allocation!$J$2:$J$201,$AB1067)="",2958101,INDEX(FTE_Allocation!$J$2:$J$201,$AB1067))),"")))</f>
        <v/>
      </c>
      <c r="AG1067" s="19">
        <f>IF($Z1067="C",IF(INDEX(Contracts!$I$2:$I$151,$AB1067)="PREPAID",INDEX(Contracts!$M$2:$M$151,$AB1067)/IF(INDEX(Contracts!$N$2:$N$151,$AB1067)="",12,INDEX(Contracts!$N$2:$N$151,$AB1067)),IF(INDEX(Contracts!$I$2:$I$151,$AB1067)="MONTHLY",INDEX(Contracts!$M$2:$M$151,$AB1067),0))*(1-N(INDEX(Contracts!$O$2:$O$151,$AB1067))),IF($Z1067="A",INDEX(Fixed_Assets!$H$2:$H$201,$AB1067)/INDEX(Fixed_Assets!$J$2:$J$201,$AB1067),IF($Z1067="F",INDEX(Workforce!$F$2:$F$151,MATCH(INDEX(FTE_Allocation!$A$2:$A$201,$AB1067),Workforce!$A$2:$A$151,0))*N(INDEX(FTE_Allocation!$F$2:$H$201,$AB1067,$AC1067)),"")))</f>
        <v/>
      </c>
    </row>
    <row r="1068">
      <c r="A1068" s="7">
        <f>IF($Z1068="","",$AD1068)</f>
        <v/>
      </c>
      <c r="B1068" s="7">
        <f>IF($Z1068="C",INDEX(Contracts!$D$2:$D$151,$AB1068)&amp;"",IF($Z1068="A",INDEX(Fixed_Assets!$C$2:$C$201,$AB1068)&amp;"",IF($Z1068="F",INDEX(Workforce!$B$2:$B$151,MATCH(INDEX(FTE_Allocation!$A$2:$A$201,$AB1068),Workforce!$A$2:$A$151,0))&amp;"","")))</f>
        <v/>
      </c>
      <c r="C1068" s="7">
        <f>IF($Z1068="C",INDEX(Contracts!$E$2:$E$151,$AB1068)&amp;"",IF($Z1068="A",INDEX(Fixed_Assets!$D$2:$D$201,$AB1068)&amp;"",IF($Z1068="F",INDEX(FTE_Allocation!$C$2:$C$201,$AB1068)&amp;"","")))</f>
        <v/>
      </c>
      <c r="D1068" s="7">
        <f>IF($Z1068="C",INDEX(Contracts!$B$2:$B$151,$AB1068)&amp;"",IF($Z1068="A",INDEX(Fixed_Assets!$B$2:$B$201,$AB1068)&amp;"",IF($Z1068="F",INDEX(FTE_Allocation!$B$2:$B$201,$AB1068)&amp;"","")))</f>
        <v/>
      </c>
      <c r="E1068" s="7">
        <f>IF($Z1068="C",INDEX(Contracts!$P$2:$P$151,$AB1068)&amp;"",IF($Z1068="A",INDEX(Fixed_Assets!$K$2:$K$201,$AB1068)&amp;"",IF($Z1068="F",IF(INDEX(FTE_Allocation!$D$2:$D$201,$AB1068)="PROJECT",IFERROR(INDEX(Projects!$D:$D,MATCH(INDEX(FTE_Allocation!$E$2:$E$201,$AB1068),Projects!$A:$A,0))&amp;"","#PROJECT?"),INDEX(FTE_Allocation!$E$2:$E$201,$AB1068)&amp;""),"")))</f>
        <v/>
      </c>
      <c r="F1068" s="7">
        <f>IF($Z1068="C",INDEX(Contracts!$Q$2:$Q$151,$AB1068)&amp;"",IF($Z1068="A",INDEX(Fixed_Assets!$L$2:$L$201,$AB1068)&amp;"",IF($Z1068="F",INDEX(Workforce!$K$2:$K$151,MATCH(INDEX(FTE_Allocation!$A$2:$A$201,$AB1068),Workforce!$A$2:$A$151,0))&amp;"","")))</f>
        <v/>
      </c>
      <c r="G1068" s="7">
        <f>IF($Z1068="C",INDEX(Contracts!$F$2:$F$151,$AB1068)&amp;" / "&amp;INDEX(Contracts!$G$2:$G$151,$AB1068),IF($Z1068="A",INDEX(Fixed_Assets!$E$2:$E$201,$AB1068)&amp;"",IF($Z1068="F","Personnel "&amp;INDEX(FTE_Allocation!$A$2:$A$201,$AB1068)&amp;IF(INDEX(FTE_Allocation!$D$2:$D$201,$AB1068)="PROJECT"," ("&amp;INDEX(FTE_Allocation!$E$2:$E$201,$AB1068)&amp;")",""),"")))</f>
        <v/>
      </c>
      <c r="H1068" s="7">
        <f>IF($Z1068="C","CONTRACT",IF($Z1068="A","ASSET",IF($Z1068="F","WORKFORCE","")))</f>
        <v/>
      </c>
      <c r="I1068" s="7">
        <f>IF($Z1068="C",INDEX(Contracts!$L$2:$L$151,$AB1068)&amp;"",IF($Z1068="A",INDEX(Fixed_Assets!$I$2:$I$201,$AB1068)&amp;"",IF($Z1068="F",INDEX(Workforce!$G$2:$G$151,MATCH(INDEX(FTE_Allocation!$A$2:$A$201,$AB1068),Workforce!$A$2:$A$151,0))&amp;"","")))</f>
        <v/>
      </c>
      <c r="J1068" s="18">
        <f>IF($Z1068="","",IF(AND(DATE($AD1068,1,1)&gt;=$AE1068,DATE($AD1068,1,1)&lt;=$AF1068),ROUND($AG1068,2),0))</f>
        <v/>
      </c>
      <c r="K1068" s="18">
        <f>IF($Z1068="","",IF(AND(DATE($AD1068,2,1)&gt;=$AE1068,DATE($AD1068,2,1)&lt;=$AF1068),ROUND($AG1068,2),0))</f>
        <v/>
      </c>
      <c r="L1068" s="18">
        <f>IF($Z1068="","",IF(AND(DATE($AD1068,3,1)&gt;=$AE1068,DATE($AD1068,3,1)&lt;=$AF1068),ROUND($AG1068,2),0))</f>
        <v/>
      </c>
      <c r="M1068" s="18">
        <f>IF($Z1068="","",IF(AND(DATE($AD1068,4,1)&gt;=$AE1068,DATE($AD1068,4,1)&lt;=$AF1068),ROUND($AG1068,2),0))</f>
        <v/>
      </c>
      <c r="N1068" s="18">
        <f>IF($Z1068="","",IF(AND(DATE($AD1068,5,1)&gt;=$AE1068,DATE($AD1068,5,1)&lt;=$AF1068),ROUND($AG1068,2),0))</f>
        <v/>
      </c>
      <c r="O1068" s="18">
        <f>IF($Z1068="","",IF(AND(DATE($AD1068,6,1)&gt;=$AE1068,DATE($AD1068,6,1)&lt;=$AF1068),ROUND($AG1068,2),0))</f>
        <v/>
      </c>
      <c r="P1068" s="18">
        <f>IF($Z1068="","",IF(AND(DATE($AD1068,7,1)&gt;=$AE1068,DATE($AD1068,7,1)&lt;=$AF1068),ROUND($AG1068,2),0))</f>
        <v/>
      </c>
      <c r="Q1068" s="18">
        <f>IF($Z1068="","",IF(AND(DATE($AD1068,8,1)&gt;=$AE1068,DATE($AD1068,8,1)&lt;=$AF1068),ROUND($AG1068,2),0))</f>
        <v/>
      </c>
      <c r="R1068" s="18">
        <f>IF($Z1068="","",IF(AND(DATE($AD1068,9,1)&gt;=$AE1068,DATE($AD1068,9,1)&lt;=$AF1068),ROUND($AG1068,2),0))</f>
        <v/>
      </c>
      <c r="S1068" s="18">
        <f>IF($Z1068="","",IF(AND(DATE($AD1068,10,1)&gt;=$AE1068,DATE($AD1068,10,1)&lt;=$AF1068),ROUND($AG1068,2),0))</f>
        <v/>
      </c>
      <c r="T1068" s="18">
        <f>IF($Z1068="","",IF(AND(DATE($AD1068,11,1)&gt;=$AE1068,DATE($AD1068,11,1)&lt;=$AF1068),ROUND($AG1068,2),0))</f>
        <v/>
      </c>
      <c r="U1068" s="18">
        <f>IF($Z1068="","",IF(AND(DATE($AD1068,12,1)&gt;=$AE1068,DATE($AD1068,12,1)&lt;=$AF1068),ROUND($AG1068,2),0))</f>
        <v/>
      </c>
      <c r="V1068" s="7">
        <f>IF($Z1068="C","Generated from "&amp;INDEX(Contracts!$A$2:$A$151,$AB1068),IF($Z1068="A","Generated from "&amp;INDEX(Fixed_Assets!$A$2:$A$201,$AB1068),IF($Z1068="F","Generated from "&amp;INDEX(FTE_Allocation!$A$2:$A$201,$AB1068),"")))</f>
        <v/>
      </c>
      <c r="X1068" s="19">
        <f>IF($Z1068="","",SUM(J1068:U1068))</f>
        <v/>
      </c>
      <c r="Y1068" s="20">
        <f>ROW()-1</f>
        <v/>
      </c>
      <c r="Z1068" s="20">
        <f>IF($Y1068&lt;=Settings!$B$4*3,"C",IF($Y1068&lt;=(Settings!$B$4+Settings!$B$5)*3,"A",IF($Y1068&lt;=(Settings!$B$4+Settings!$B$5+Settings!$B$6)*3,"F","")))</f>
        <v/>
      </c>
      <c r="AA1068" s="20">
        <f>IF($Z1068="C",$Y1068,IF($Z1068="A",$Y1068-Settings!$B$4*3,IF($Z1068="F",$Y1068-(Settings!$B$4+Settings!$B$5)*3,"")))</f>
        <v/>
      </c>
      <c r="AB1068" s="20">
        <f>IF($Z1068="","",INT(($AA1068-1)/3)+1)</f>
        <v/>
      </c>
      <c r="AC1068" s="20">
        <f>IF($Z1068="","",MOD($AA1068-1,3)+1)</f>
        <v/>
      </c>
      <c r="AD1068" s="20">
        <f>IF($Z1068="","",Settings!$B$2+$AC1068-1)</f>
        <v/>
      </c>
      <c r="AE1068" s="21">
        <f>IF($Z1068="C",DATE(YEAR(INDEX(Contracts!$J$2:$J$151,$AB1068)),MONTH(INDEX(Contracts!$J$2:$J$151,$AB1068)),1),IF($Z1068="A",DATE(YEAR(INDEX(Fixed_Assets!$G$2:$G$201,$AB1068)),MONTH(INDEX(Fixed_Assets!$G$2:$G$201,$AB1068)),1),IF($Z1068="F",DATE(YEAR(MAX(N(INDEX(Workforce!$I$2:$I$151,MATCH(INDEX(FTE_Allocation!$A$2:$A$201,$AB1068),Workforce!$A$2:$A$151,0))),N(INDEX(FTE_Allocation!$I$2:$I$201,$AB1068)))),MONTH(MAX(N(INDEX(Workforce!$I$2:$I$151,MATCH(INDEX(FTE_Allocation!$A$2:$A$201,$AB1068),Workforce!$A$2:$A$151,0))),N(INDEX(FTE_Allocation!$I$2:$I$201,$AB1068)))),1),"")))</f>
        <v/>
      </c>
      <c r="AF1068" s="21">
        <f>IF($Z1068="C",IF(INDEX(Contracts!$I$2:$I$151,$AB1068)="PREPAID",EDATE(DATE(YEAR(INDEX(Contracts!$J$2:$J$151,$AB1068)),MONTH(INDEX(Contracts!$J$2:$J$151,$AB1068)),1),IF(INDEX(Contracts!$N$2:$N$151,$AB1068)="",12,INDEX(Contracts!$N$2:$N$151,$AB1068))-1),IF(INDEX(Contracts!$I$2:$I$151,$AB1068)="MONTHLY",IF(INDEX(Contracts!$K$2:$K$151,$AB1068)="",2958101,INDEX(Contracts!$K$2:$K$151,$AB1068)),0)),IF($Z1068="A",EDATE(DATE(YEAR(INDEX(Fixed_Assets!$G$2:$G$201,$AB1068)),MONTH(INDEX(Fixed_Assets!$G$2:$G$201,$AB1068)),1),INDEX(Fixed_Assets!$J$2:$J$201,$AB1068)-1),IF($Z1068="F",MIN(IF(INDEX(Workforce!$J$2:$J$151,MATCH(INDEX(FTE_Allocation!$A$2:$A$201,$AB1068),Workforce!$A$2:$A$151,0))="",2958101,INDEX(Workforce!$J$2:$J$151,MATCH(INDEX(FTE_Allocation!$A$2:$A$201,$AB1068),Workforce!$A$2:$A$151,0))),IF(INDEX(FTE_Allocation!$J$2:$J$201,$AB1068)="",2958101,INDEX(FTE_Allocation!$J$2:$J$201,$AB1068))),"")))</f>
        <v/>
      </c>
      <c r="AG1068" s="19">
        <f>IF($Z1068="C",IF(INDEX(Contracts!$I$2:$I$151,$AB1068)="PREPAID",INDEX(Contracts!$M$2:$M$151,$AB1068)/IF(INDEX(Contracts!$N$2:$N$151,$AB1068)="",12,INDEX(Contracts!$N$2:$N$151,$AB1068)),IF(INDEX(Contracts!$I$2:$I$151,$AB1068)="MONTHLY",INDEX(Contracts!$M$2:$M$151,$AB1068),0))*(1-N(INDEX(Contracts!$O$2:$O$151,$AB1068))),IF($Z1068="A",INDEX(Fixed_Assets!$H$2:$H$201,$AB1068)/INDEX(Fixed_Assets!$J$2:$J$201,$AB1068),IF($Z1068="F",INDEX(Workforce!$F$2:$F$151,MATCH(INDEX(FTE_Allocation!$A$2:$A$201,$AB1068),Workforce!$A$2:$A$151,0))*N(INDEX(FTE_Allocation!$F$2:$H$201,$AB1068,$AC1068)),"")))</f>
        <v/>
      </c>
    </row>
    <row r="1069">
      <c r="A1069" s="7">
        <f>IF($Z1069="","",$AD1069)</f>
        <v/>
      </c>
      <c r="B1069" s="7">
        <f>IF($Z1069="C",INDEX(Contracts!$D$2:$D$151,$AB1069)&amp;"",IF($Z1069="A",INDEX(Fixed_Assets!$C$2:$C$201,$AB1069)&amp;"",IF($Z1069="F",INDEX(Workforce!$B$2:$B$151,MATCH(INDEX(FTE_Allocation!$A$2:$A$201,$AB1069),Workforce!$A$2:$A$151,0))&amp;"","")))</f>
        <v/>
      </c>
      <c r="C1069" s="7">
        <f>IF($Z1069="C",INDEX(Contracts!$E$2:$E$151,$AB1069)&amp;"",IF($Z1069="A",INDEX(Fixed_Assets!$D$2:$D$201,$AB1069)&amp;"",IF($Z1069="F",INDEX(FTE_Allocation!$C$2:$C$201,$AB1069)&amp;"","")))</f>
        <v/>
      </c>
      <c r="D1069" s="7">
        <f>IF($Z1069="C",INDEX(Contracts!$B$2:$B$151,$AB1069)&amp;"",IF($Z1069="A",INDEX(Fixed_Assets!$B$2:$B$201,$AB1069)&amp;"",IF($Z1069="F",INDEX(FTE_Allocation!$B$2:$B$201,$AB1069)&amp;"","")))</f>
        <v/>
      </c>
      <c r="E1069" s="7">
        <f>IF($Z1069="C",INDEX(Contracts!$P$2:$P$151,$AB1069)&amp;"",IF($Z1069="A",INDEX(Fixed_Assets!$K$2:$K$201,$AB1069)&amp;"",IF($Z1069="F",IF(INDEX(FTE_Allocation!$D$2:$D$201,$AB1069)="PROJECT",IFERROR(INDEX(Projects!$D:$D,MATCH(INDEX(FTE_Allocation!$E$2:$E$201,$AB1069),Projects!$A:$A,0))&amp;"","#PROJECT?"),INDEX(FTE_Allocation!$E$2:$E$201,$AB1069)&amp;""),"")))</f>
        <v/>
      </c>
      <c r="F1069" s="7">
        <f>IF($Z1069="C",INDEX(Contracts!$Q$2:$Q$151,$AB1069)&amp;"",IF($Z1069="A",INDEX(Fixed_Assets!$L$2:$L$201,$AB1069)&amp;"",IF($Z1069="F",INDEX(Workforce!$K$2:$K$151,MATCH(INDEX(FTE_Allocation!$A$2:$A$201,$AB1069),Workforce!$A$2:$A$151,0))&amp;"","")))</f>
        <v/>
      </c>
      <c r="G1069" s="7">
        <f>IF($Z1069="C",INDEX(Contracts!$F$2:$F$151,$AB1069)&amp;" / "&amp;INDEX(Contracts!$G$2:$G$151,$AB1069),IF($Z1069="A",INDEX(Fixed_Assets!$E$2:$E$201,$AB1069)&amp;"",IF($Z1069="F","Personnel "&amp;INDEX(FTE_Allocation!$A$2:$A$201,$AB1069)&amp;IF(INDEX(FTE_Allocation!$D$2:$D$201,$AB1069)="PROJECT"," ("&amp;INDEX(FTE_Allocation!$E$2:$E$201,$AB1069)&amp;")",""),"")))</f>
        <v/>
      </c>
      <c r="H1069" s="7">
        <f>IF($Z1069="C","CONTRACT",IF($Z1069="A","ASSET",IF($Z1069="F","WORKFORCE","")))</f>
        <v/>
      </c>
      <c r="I1069" s="7">
        <f>IF($Z1069="C",INDEX(Contracts!$L$2:$L$151,$AB1069)&amp;"",IF($Z1069="A",INDEX(Fixed_Assets!$I$2:$I$201,$AB1069)&amp;"",IF($Z1069="F",INDEX(Workforce!$G$2:$G$151,MATCH(INDEX(FTE_Allocation!$A$2:$A$201,$AB1069),Workforce!$A$2:$A$151,0))&amp;"","")))</f>
        <v/>
      </c>
      <c r="J1069" s="18">
        <f>IF($Z1069="","",IF(AND(DATE($AD1069,1,1)&gt;=$AE1069,DATE($AD1069,1,1)&lt;=$AF1069),ROUND($AG1069,2),0))</f>
        <v/>
      </c>
      <c r="K1069" s="18">
        <f>IF($Z1069="","",IF(AND(DATE($AD1069,2,1)&gt;=$AE1069,DATE($AD1069,2,1)&lt;=$AF1069),ROUND($AG1069,2),0))</f>
        <v/>
      </c>
      <c r="L1069" s="18">
        <f>IF($Z1069="","",IF(AND(DATE($AD1069,3,1)&gt;=$AE1069,DATE($AD1069,3,1)&lt;=$AF1069),ROUND($AG1069,2),0))</f>
        <v/>
      </c>
      <c r="M1069" s="18">
        <f>IF($Z1069="","",IF(AND(DATE($AD1069,4,1)&gt;=$AE1069,DATE($AD1069,4,1)&lt;=$AF1069),ROUND($AG1069,2),0))</f>
        <v/>
      </c>
      <c r="N1069" s="18">
        <f>IF($Z1069="","",IF(AND(DATE($AD1069,5,1)&gt;=$AE1069,DATE($AD1069,5,1)&lt;=$AF1069),ROUND($AG1069,2),0))</f>
        <v/>
      </c>
      <c r="O1069" s="18">
        <f>IF($Z1069="","",IF(AND(DATE($AD1069,6,1)&gt;=$AE1069,DATE($AD1069,6,1)&lt;=$AF1069),ROUND($AG1069,2),0))</f>
        <v/>
      </c>
      <c r="P1069" s="18">
        <f>IF($Z1069="","",IF(AND(DATE($AD1069,7,1)&gt;=$AE1069,DATE($AD1069,7,1)&lt;=$AF1069),ROUND($AG1069,2),0))</f>
        <v/>
      </c>
      <c r="Q1069" s="18">
        <f>IF($Z1069="","",IF(AND(DATE($AD1069,8,1)&gt;=$AE1069,DATE($AD1069,8,1)&lt;=$AF1069),ROUND($AG1069,2),0))</f>
        <v/>
      </c>
      <c r="R1069" s="18">
        <f>IF($Z1069="","",IF(AND(DATE($AD1069,9,1)&gt;=$AE1069,DATE($AD1069,9,1)&lt;=$AF1069),ROUND($AG1069,2),0))</f>
        <v/>
      </c>
      <c r="S1069" s="18">
        <f>IF($Z1069="","",IF(AND(DATE($AD1069,10,1)&gt;=$AE1069,DATE($AD1069,10,1)&lt;=$AF1069),ROUND($AG1069,2),0))</f>
        <v/>
      </c>
      <c r="T1069" s="18">
        <f>IF($Z1069="","",IF(AND(DATE($AD1069,11,1)&gt;=$AE1069,DATE($AD1069,11,1)&lt;=$AF1069),ROUND($AG1069,2),0))</f>
        <v/>
      </c>
      <c r="U1069" s="18">
        <f>IF($Z1069="","",IF(AND(DATE($AD1069,12,1)&gt;=$AE1069,DATE($AD1069,12,1)&lt;=$AF1069),ROUND($AG1069,2),0))</f>
        <v/>
      </c>
      <c r="V1069" s="7">
        <f>IF($Z1069="C","Generated from "&amp;INDEX(Contracts!$A$2:$A$151,$AB1069),IF($Z1069="A","Generated from "&amp;INDEX(Fixed_Assets!$A$2:$A$201,$AB1069),IF($Z1069="F","Generated from "&amp;INDEX(FTE_Allocation!$A$2:$A$201,$AB1069),"")))</f>
        <v/>
      </c>
      <c r="X1069" s="19">
        <f>IF($Z1069="","",SUM(J1069:U1069))</f>
        <v/>
      </c>
      <c r="Y1069" s="20">
        <f>ROW()-1</f>
        <v/>
      </c>
      <c r="Z1069" s="20">
        <f>IF($Y1069&lt;=Settings!$B$4*3,"C",IF($Y1069&lt;=(Settings!$B$4+Settings!$B$5)*3,"A",IF($Y1069&lt;=(Settings!$B$4+Settings!$B$5+Settings!$B$6)*3,"F","")))</f>
        <v/>
      </c>
      <c r="AA1069" s="20">
        <f>IF($Z1069="C",$Y1069,IF($Z1069="A",$Y1069-Settings!$B$4*3,IF($Z1069="F",$Y1069-(Settings!$B$4+Settings!$B$5)*3,"")))</f>
        <v/>
      </c>
      <c r="AB1069" s="20">
        <f>IF($Z1069="","",INT(($AA1069-1)/3)+1)</f>
        <v/>
      </c>
      <c r="AC1069" s="20">
        <f>IF($Z1069="","",MOD($AA1069-1,3)+1)</f>
        <v/>
      </c>
      <c r="AD1069" s="20">
        <f>IF($Z1069="","",Settings!$B$2+$AC1069-1)</f>
        <v/>
      </c>
      <c r="AE1069" s="21">
        <f>IF($Z1069="C",DATE(YEAR(INDEX(Contracts!$J$2:$J$151,$AB1069)),MONTH(INDEX(Contracts!$J$2:$J$151,$AB1069)),1),IF($Z1069="A",DATE(YEAR(INDEX(Fixed_Assets!$G$2:$G$201,$AB1069)),MONTH(INDEX(Fixed_Assets!$G$2:$G$201,$AB1069)),1),IF($Z1069="F",DATE(YEAR(MAX(N(INDEX(Workforce!$I$2:$I$151,MATCH(INDEX(FTE_Allocation!$A$2:$A$201,$AB1069),Workforce!$A$2:$A$151,0))),N(INDEX(FTE_Allocation!$I$2:$I$201,$AB1069)))),MONTH(MAX(N(INDEX(Workforce!$I$2:$I$151,MATCH(INDEX(FTE_Allocation!$A$2:$A$201,$AB1069),Workforce!$A$2:$A$151,0))),N(INDEX(FTE_Allocation!$I$2:$I$201,$AB1069)))),1),"")))</f>
        <v/>
      </c>
      <c r="AF1069" s="21">
        <f>IF($Z1069="C",IF(INDEX(Contracts!$I$2:$I$151,$AB1069)="PREPAID",EDATE(DATE(YEAR(INDEX(Contracts!$J$2:$J$151,$AB1069)),MONTH(INDEX(Contracts!$J$2:$J$151,$AB1069)),1),IF(INDEX(Contracts!$N$2:$N$151,$AB1069)="",12,INDEX(Contracts!$N$2:$N$151,$AB1069))-1),IF(INDEX(Contracts!$I$2:$I$151,$AB1069)="MONTHLY",IF(INDEX(Contracts!$K$2:$K$151,$AB1069)="",2958101,INDEX(Contracts!$K$2:$K$151,$AB1069)),0)),IF($Z1069="A",EDATE(DATE(YEAR(INDEX(Fixed_Assets!$G$2:$G$201,$AB1069)),MONTH(INDEX(Fixed_Assets!$G$2:$G$201,$AB1069)),1),INDEX(Fixed_Assets!$J$2:$J$201,$AB1069)-1),IF($Z1069="F",MIN(IF(INDEX(Workforce!$J$2:$J$151,MATCH(INDEX(FTE_Allocation!$A$2:$A$201,$AB1069),Workforce!$A$2:$A$151,0))="",2958101,INDEX(Workforce!$J$2:$J$151,MATCH(INDEX(FTE_Allocation!$A$2:$A$201,$AB1069),Workforce!$A$2:$A$151,0))),IF(INDEX(FTE_Allocation!$J$2:$J$201,$AB1069)="",2958101,INDEX(FTE_Allocation!$J$2:$J$201,$AB1069))),"")))</f>
        <v/>
      </c>
      <c r="AG1069" s="19">
        <f>IF($Z1069="C",IF(INDEX(Contracts!$I$2:$I$151,$AB1069)="PREPAID",INDEX(Contracts!$M$2:$M$151,$AB1069)/IF(INDEX(Contracts!$N$2:$N$151,$AB1069)="",12,INDEX(Contracts!$N$2:$N$151,$AB1069)),IF(INDEX(Contracts!$I$2:$I$151,$AB1069)="MONTHLY",INDEX(Contracts!$M$2:$M$151,$AB1069),0))*(1-N(INDEX(Contracts!$O$2:$O$151,$AB1069))),IF($Z1069="A",INDEX(Fixed_Assets!$H$2:$H$201,$AB1069)/INDEX(Fixed_Assets!$J$2:$J$201,$AB1069),IF($Z1069="F",INDEX(Workforce!$F$2:$F$151,MATCH(INDEX(FTE_Allocation!$A$2:$A$201,$AB1069),Workforce!$A$2:$A$151,0))*N(INDEX(FTE_Allocation!$F$2:$H$201,$AB1069,$AC1069)),"")))</f>
        <v/>
      </c>
    </row>
    <row r="1070">
      <c r="A1070" s="7">
        <f>IF($Z1070="","",$AD1070)</f>
        <v/>
      </c>
      <c r="B1070" s="7">
        <f>IF($Z1070="C",INDEX(Contracts!$D$2:$D$151,$AB1070)&amp;"",IF($Z1070="A",INDEX(Fixed_Assets!$C$2:$C$201,$AB1070)&amp;"",IF($Z1070="F",INDEX(Workforce!$B$2:$B$151,MATCH(INDEX(FTE_Allocation!$A$2:$A$201,$AB1070),Workforce!$A$2:$A$151,0))&amp;"","")))</f>
        <v/>
      </c>
      <c r="C1070" s="7">
        <f>IF($Z1070="C",INDEX(Contracts!$E$2:$E$151,$AB1070)&amp;"",IF($Z1070="A",INDEX(Fixed_Assets!$D$2:$D$201,$AB1070)&amp;"",IF($Z1070="F",INDEX(FTE_Allocation!$C$2:$C$201,$AB1070)&amp;"","")))</f>
        <v/>
      </c>
      <c r="D1070" s="7">
        <f>IF($Z1070="C",INDEX(Contracts!$B$2:$B$151,$AB1070)&amp;"",IF($Z1070="A",INDEX(Fixed_Assets!$B$2:$B$201,$AB1070)&amp;"",IF($Z1070="F",INDEX(FTE_Allocation!$B$2:$B$201,$AB1070)&amp;"","")))</f>
        <v/>
      </c>
      <c r="E1070" s="7">
        <f>IF($Z1070="C",INDEX(Contracts!$P$2:$P$151,$AB1070)&amp;"",IF($Z1070="A",INDEX(Fixed_Assets!$K$2:$K$201,$AB1070)&amp;"",IF($Z1070="F",IF(INDEX(FTE_Allocation!$D$2:$D$201,$AB1070)="PROJECT",IFERROR(INDEX(Projects!$D:$D,MATCH(INDEX(FTE_Allocation!$E$2:$E$201,$AB1070),Projects!$A:$A,0))&amp;"","#PROJECT?"),INDEX(FTE_Allocation!$E$2:$E$201,$AB1070)&amp;""),"")))</f>
        <v/>
      </c>
      <c r="F1070" s="7">
        <f>IF($Z1070="C",INDEX(Contracts!$Q$2:$Q$151,$AB1070)&amp;"",IF($Z1070="A",INDEX(Fixed_Assets!$L$2:$L$201,$AB1070)&amp;"",IF($Z1070="F",INDEX(Workforce!$K$2:$K$151,MATCH(INDEX(FTE_Allocation!$A$2:$A$201,$AB1070),Workforce!$A$2:$A$151,0))&amp;"","")))</f>
        <v/>
      </c>
      <c r="G1070" s="7">
        <f>IF($Z1070="C",INDEX(Contracts!$F$2:$F$151,$AB1070)&amp;" / "&amp;INDEX(Contracts!$G$2:$G$151,$AB1070),IF($Z1070="A",INDEX(Fixed_Assets!$E$2:$E$201,$AB1070)&amp;"",IF($Z1070="F","Personnel "&amp;INDEX(FTE_Allocation!$A$2:$A$201,$AB1070)&amp;IF(INDEX(FTE_Allocation!$D$2:$D$201,$AB1070)="PROJECT"," ("&amp;INDEX(FTE_Allocation!$E$2:$E$201,$AB1070)&amp;")",""),"")))</f>
        <v/>
      </c>
      <c r="H1070" s="7">
        <f>IF($Z1070="C","CONTRACT",IF($Z1070="A","ASSET",IF($Z1070="F","WORKFORCE","")))</f>
        <v/>
      </c>
      <c r="I1070" s="7">
        <f>IF($Z1070="C",INDEX(Contracts!$L$2:$L$151,$AB1070)&amp;"",IF($Z1070="A",INDEX(Fixed_Assets!$I$2:$I$201,$AB1070)&amp;"",IF($Z1070="F",INDEX(Workforce!$G$2:$G$151,MATCH(INDEX(FTE_Allocation!$A$2:$A$201,$AB1070),Workforce!$A$2:$A$151,0))&amp;"","")))</f>
        <v/>
      </c>
      <c r="J1070" s="18">
        <f>IF($Z1070="","",IF(AND(DATE($AD1070,1,1)&gt;=$AE1070,DATE($AD1070,1,1)&lt;=$AF1070),ROUND($AG1070,2),0))</f>
        <v/>
      </c>
      <c r="K1070" s="18">
        <f>IF($Z1070="","",IF(AND(DATE($AD1070,2,1)&gt;=$AE1070,DATE($AD1070,2,1)&lt;=$AF1070),ROUND($AG1070,2),0))</f>
        <v/>
      </c>
      <c r="L1070" s="18">
        <f>IF($Z1070="","",IF(AND(DATE($AD1070,3,1)&gt;=$AE1070,DATE($AD1070,3,1)&lt;=$AF1070),ROUND($AG1070,2),0))</f>
        <v/>
      </c>
      <c r="M1070" s="18">
        <f>IF($Z1070="","",IF(AND(DATE($AD1070,4,1)&gt;=$AE1070,DATE($AD1070,4,1)&lt;=$AF1070),ROUND($AG1070,2),0))</f>
        <v/>
      </c>
      <c r="N1070" s="18">
        <f>IF($Z1070="","",IF(AND(DATE($AD1070,5,1)&gt;=$AE1070,DATE($AD1070,5,1)&lt;=$AF1070),ROUND($AG1070,2),0))</f>
        <v/>
      </c>
      <c r="O1070" s="18">
        <f>IF($Z1070="","",IF(AND(DATE($AD1070,6,1)&gt;=$AE1070,DATE($AD1070,6,1)&lt;=$AF1070),ROUND($AG1070,2),0))</f>
        <v/>
      </c>
      <c r="P1070" s="18">
        <f>IF($Z1070="","",IF(AND(DATE($AD1070,7,1)&gt;=$AE1070,DATE($AD1070,7,1)&lt;=$AF1070),ROUND($AG1070,2),0))</f>
        <v/>
      </c>
      <c r="Q1070" s="18">
        <f>IF($Z1070="","",IF(AND(DATE($AD1070,8,1)&gt;=$AE1070,DATE($AD1070,8,1)&lt;=$AF1070),ROUND($AG1070,2),0))</f>
        <v/>
      </c>
      <c r="R1070" s="18">
        <f>IF($Z1070="","",IF(AND(DATE($AD1070,9,1)&gt;=$AE1070,DATE($AD1070,9,1)&lt;=$AF1070),ROUND($AG1070,2),0))</f>
        <v/>
      </c>
      <c r="S1070" s="18">
        <f>IF($Z1070="","",IF(AND(DATE($AD1070,10,1)&gt;=$AE1070,DATE($AD1070,10,1)&lt;=$AF1070),ROUND($AG1070,2),0))</f>
        <v/>
      </c>
      <c r="T1070" s="18">
        <f>IF($Z1070="","",IF(AND(DATE($AD1070,11,1)&gt;=$AE1070,DATE($AD1070,11,1)&lt;=$AF1070),ROUND($AG1070,2),0))</f>
        <v/>
      </c>
      <c r="U1070" s="18">
        <f>IF($Z1070="","",IF(AND(DATE($AD1070,12,1)&gt;=$AE1070,DATE($AD1070,12,1)&lt;=$AF1070),ROUND($AG1070,2),0))</f>
        <v/>
      </c>
      <c r="V1070" s="7">
        <f>IF($Z1070="C","Generated from "&amp;INDEX(Contracts!$A$2:$A$151,$AB1070),IF($Z1070="A","Generated from "&amp;INDEX(Fixed_Assets!$A$2:$A$201,$AB1070),IF($Z1070="F","Generated from "&amp;INDEX(FTE_Allocation!$A$2:$A$201,$AB1070),"")))</f>
        <v/>
      </c>
      <c r="X1070" s="19">
        <f>IF($Z1070="","",SUM(J1070:U1070))</f>
        <v/>
      </c>
      <c r="Y1070" s="20">
        <f>ROW()-1</f>
        <v/>
      </c>
      <c r="Z1070" s="20">
        <f>IF($Y1070&lt;=Settings!$B$4*3,"C",IF($Y1070&lt;=(Settings!$B$4+Settings!$B$5)*3,"A",IF($Y1070&lt;=(Settings!$B$4+Settings!$B$5+Settings!$B$6)*3,"F","")))</f>
        <v/>
      </c>
      <c r="AA1070" s="20">
        <f>IF($Z1070="C",$Y1070,IF($Z1070="A",$Y1070-Settings!$B$4*3,IF($Z1070="F",$Y1070-(Settings!$B$4+Settings!$B$5)*3,"")))</f>
        <v/>
      </c>
      <c r="AB1070" s="20">
        <f>IF($Z1070="","",INT(($AA1070-1)/3)+1)</f>
        <v/>
      </c>
      <c r="AC1070" s="20">
        <f>IF($Z1070="","",MOD($AA1070-1,3)+1)</f>
        <v/>
      </c>
      <c r="AD1070" s="20">
        <f>IF($Z1070="","",Settings!$B$2+$AC1070-1)</f>
        <v/>
      </c>
      <c r="AE1070" s="21">
        <f>IF($Z1070="C",DATE(YEAR(INDEX(Contracts!$J$2:$J$151,$AB1070)),MONTH(INDEX(Contracts!$J$2:$J$151,$AB1070)),1),IF($Z1070="A",DATE(YEAR(INDEX(Fixed_Assets!$G$2:$G$201,$AB1070)),MONTH(INDEX(Fixed_Assets!$G$2:$G$201,$AB1070)),1),IF($Z1070="F",DATE(YEAR(MAX(N(INDEX(Workforce!$I$2:$I$151,MATCH(INDEX(FTE_Allocation!$A$2:$A$201,$AB1070),Workforce!$A$2:$A$151,0))),N(INDEX(FTE_Allocation!$I$2:$I$201,$AB1070)))),MONTH(MAX(N(INDEX(Workforce!$I$2:$I$151,MATCH(INDEX(FTE_Allocation!$A$2:$A$201,$AB1070),Workforce!$A$2:$A$151,0))),N(INDEX(FTE_Allocation!$I$2:$I$201,$AB1070)))),1),"")))</f>
        <v/>
      </c>
      <c r="AF1070" s="21">
        <f>IF($Z1070="C",IF(INDEX(Contracts!$I$2:$I$151,$AB1070)="PREPAID",EDATE(DATE(YEAR(INDEX(Contracts!$J$2:$J$151,$AB1070)),MONTH(INDEX(Contracts!$J$2:$J$151,$AB1070)),1),IF(INDEX(Contracts!$N$2:$N$151,$AB1070)="",12,INDEX(Contracts!$N$2:$N$151,$AB1070))-1),IF(INDEX(Contracts!$I$2:$I$151,$AB1070)="MONTHLY",IF(INDEX(Contracts!$K$2:$K$151,$AB1070)="",2958101,INDEX(Contracts!$K$2:$K$151,$AB1070)),0)),IF($Z1070="A",EDATE(DATE(YEAR(INDEX(Fixed_Assets!$G$2:$G$201,$AB1070)),MONTH(INDEX(Fixed_Assets!$G$2:$G$201,$AB1070)),1),INDEX(Fixed_Assets!$J$2:$J$201,$AB1070)-1),IF($Z1070="F",MIN(IF(INDEX(Workforce!$J$2:$J$151,MATCH(INDEX(FTE_Allocation!$A$2:$A$201,$AB1070),Workforce!$A$2:$A$151,0))="",2958101,INDEX(Workforce!$J$2:$J$151,MATCH(INDEX(FTE_Allocation!$A$2:$A$201,$AB1070),Workforce!$A$2:$A$151,0))),IF(INDEX(FTE_Allocation!$J$2:$J$201,$AB1070)="",2958101,INDEX(FTE_Allocation!$J$2:$J$201,$AB1070))),"")))</f>
        <v/>
      </c>
      <c r="AG1070" s="19">
        <f>IF($Z1070="C",IF(INDEX(Contracts!$I$2:$I$151,$AB1070)="PREPAID",INDEX(Contracts!$M$2:$M$151,$AB1070)/IF(INDEX(Contracts!$N$2:$N$151,$AB1070)="",12,INDEX(Contracts!$N$2:$N$151,$AB1070)),IF(INDEX(Contracts!$I$2:$I$151,$AB1070)="MONTHLY",INDEX(Contracts!$M$2:$M$151,$AB1070),0))*(1-N(INDEX(Contracts!$O$2:$O$151,$AB1070))),IF($Z1070="A",INDEX(Fixed_Assets!$H$2:$H$201,$AB1070)/INDEX(Fixed_Assets!$J$2:$J$201,$AB1070),IF($Z1070="F",INDEX(Workforce!$F$2:$F$151,MATCH(INDEX(FTE_Allocation!$A$2:$A$201,$AB1070),Workforce!$A$2:$A$151,0))*N(INDEX(FTE_Allocation!$F$2:$H$201,$AB1070,$AC1070)),"")))</f>
        <v/>
      </c>
    </row>
    <row r="1071">
      <c r="A1071" s="7">
        <f>IF($Z1071="","",$AD1071)</f>
        <v/>
      </c>
      <c r="B1071" s="7">
        <f>IF($Z1071="C",INDEX(Contracts!$D$2:$D$151,$AB1071)&amp;"",IF($Z1071="A",INDEX(Fixed_Assets!$C$2:$C$201,$AB1071)&amp;"",IF($Z1071="F",INDEX(Workforce!$B$2:$B$151,MATCH(INDEX(FTE_Allocation!$A$2:$A$201,$AB1071),Workforce!$A$2:$A$151,0))&amp;"","")))</f>
        <v/>
      </c>
      <c r="C1071" s="7">
        <f>IF($Z1071="C",INDEX(Contracts!$E$2:$E$151,$AB1071)&amp;"",IF($Z1071="A",INDEX(Fixed_Assets!$D$2:$D$201,$AB1071)&amp;"",IF($Z1071="F",INDEX(FTE_Allocation!$C$2:$C$201,$AB1071)&amp;"","")))</f>
        <v/>
      </c>
      <c r="D1071" s="7">
        <f>IF($Z1071="C",INDEX(Contracts!$B$2:$B$151,$AB1071)&amp;"",IF($Z1071="A",INDEX(Fixed_Assets!$B$2:$B$201,$AB1071)&amp;"",IF($Z1071="F",INDEX(FTE_Allocation!$B$2:$B$201,$AB1071)&amp;"","")))</f>
        <v/>
      </c>
      <c r="E1071" s="7">
        <f>IF($Z1071="C",INDEX(Contracts!$P$2:$P$151,$AB1071)&amp;"",IF($Z1071="A",INDEX(Fixed_Assets!$K$2:$K$201,$AB1071)&amp;"",IF($Z1071="F",IF(INDEX(FTE_Allocation!$D$2:$D$201,$AB1071)="PROJECT",IFERROR(INDEX(Projects!$D:$D,MATCH(INDEX(FTE_Allocation!$E$2:$E$201,$AB1071),Projects!$A:$A,0))&amp;"","#PROJECT?"),INDEX(FTE_Allocation!$E$2:$E$201,$AB1071)&amp;""),"")))</f>
        <v/>
      </c>
      <c r="F1071" s="7">
        <f>IF($Z1071="C",INDEX(Contracts!$Q$2:$Q$151,$AB1071)&amp;"",IF($Z1071="A",INDEX(Fixed_Assets!$L$2:$L$201,$AB1071)&amp;"",IF($Z1071="F",INDEX(Workforce!$K$2:$K$151,MATCH(INDEX(FTE_Allocation!$A$2:$A$201,$AB1071),Workforce!$A$2:$A$151,0))&amp;"","")))</f>
        <v/>
      </c>
      <c r="G1071" s="7">
        <f>IF($Z1071="C",INDEX(Contracts!$F$2:$F$151,$AB1071)&amp;" / "&amp;INDEX(Contracts!$G$2:$G$151,$AB1071),IF($Z1071="A",INDEX(Fixed_Assets!$E$2:$E$201,$AB1071)&amp;"",IF($Z1071="F","Personnel "&amp;INDEX(FTE_Allocation!$A$2:$A$201,$AB1071)&amp;IF(INDEX(FTE_Allocation!$D$2:$D$201,$AB1071)="PROJECT"," ("&amp;INDEX(FTE_Allocation!$E$2:$E$201,$AB1071)&amp;")",""),"")))</f>
        <v/>
      </c>
      <c r="H1071" s="7">
        <f>IF($Z1071="C","CONTRACT",IF($Z1071="A","ASSET",IF($Z1071="F","WORKFORCE","")))</f>
        <v/>
      </c>
      <c r="I1071" s="7">
        <f>IF($Z1071="C",INDEX(Contracts!$L$2:$L$151,$AB1071)&amp;"",IF($Z1071="A",INDEX(Fixed_Assets!$I$2:$I$201,$AB1071)&amp;"",IF($Z1071="F",INDEX(Workforce!$G$2:$G$151,MATCH(INDEX(FTE_Allocation!$A$2:$A$201,$AB1071),Workforce!$A$2:$A$151,0))&amp;"","")))</f>
        <v/>
      </c>
      <c r="J1071" s="18">
        <f>IF($Z1071="","",IF(AND(DATE($AD1071,1,1)&gt;=$AE1071,DATE($AD1071,1,1)&lt;=$AF1071),ROUND($AG1071,2),0))</f>
        <v/>
      </c>
      <c r="K1071" s="18">
        <f>IF($Z1071="","",IF(AND(DATE($AD1071,2,1)&gt;=$AE1071,DATE($AD1071,2,1)&lt;=$AF1071),ROUND($AG1071,2),0))</f>
        <v/>
      </c>
      <c r="L1071" s="18">
        <f>IF($Z1071="","",IF(AND(DATE($AD1071,3,1)&gt;=$AE1071,DATE($AD1071,3,1)&lt;=$AF1071),ROUND($AG1071,2),0))</f>
        <v/>
      </c>
      <c r="M1071" s="18">
        <f>IF($Z1071="","",IF(AND(DATE($AD1071,4,1)&gt;=$AE1071,DATE($AD1071,4,1)&lt;=$AF1071),ROUND($AG1071,2),0))</f>
        <v/>
      </c>
      <c r="N1071" s="18">
        <f>IF($Z1071="","",IF(AND(DATE($AD1071,5,1)&gt;=$AE1071,DATE($AD1071,5,1)&lt;=$AF1071),ROUND($AG1071,2),0))</f>
        <v/>
      </c>
      <c r="O1071" s="18">
        <f>IF($Z1071="","",IF(AND(DATE($AD1071,6,1)&gt;=$AE1071,DATE($AD1071,6,1)&lt;=$AF1071),ROUND($AG1071,2),0))</f>
        <v/>
      </c>
      <c r="P1071" s="18">
        <f>IF($Z1071="","",IF(AND(DATE($AD1071,7,1)&gt;=$AE1071,DATE($AD1071,7,1)&lt;=$AF1071),ROUND($AG1071,2),0))</f>
        <v/>
      </c>
      <c r="Q1071" s="18">
        <f>IF($Z1071="","",IF(AND(DATE($AD1071,8,1)&gt;=$AE1071,DATE($AD1071,8,1)&lt;=$AF1071),ROUND($AG1071,2),0))</f>
        <v/>
      </c>
      <c r="R1071" s="18">
        <f>IF($Z1071="","",IF(AND(DATE($AD1071,9,1)&gt;=$AE1071,DATE($AD1071,9,1)&lt;=$AF1071),ROUND($AG1071,2),0))</f>
        <v/>
      </c>
      <c r="S1071" s="18">
        <f>IF($Z1071="","",IF(AND(DATE($AD1071,10,1)&gt;=$AE1071,DATE($AD1071,10,1)&lt;=$AF1071),ROUND($AG1071,2),0))</f>
        <v/>
      </c>
      <c r="T1071" s="18">
        <f>IF($Z1071="","",IF(AND(DATE($AD1071,11,1)&gt;=$AE1071,DATE($AD1071,11,1)&lt;=$AF1071),ROUND($AG1071,2),0))</f>
        <v/>
      </c>
      <c r="U1071" s="18">
        <f>IF($Z1071="","",IF(AND(DATE($AD1071,12,1)&gt;=$AE1071,DATE($AD1071,12,1)&lt;=$AF1071),ROUND($AG1071,2),0))</f>
        <v/>
      </c>
      <c r="V1071" s="7">
        <f>IF($Z1071="C","Generated from "&amp;INDEX(Contracts!$A$2:$A$151,$AB1071),IF($Z1071="A","Generated from "&amp;INDEX(Fixed_Assets!$A$2:$A$201,$AB1071),IF($Z1071="F","Generated from "&amp;INDEX(FTE_Allocation!$A$2:$A$201,$AB1071),"")))</f>
        <v/>
      </c>
      <c r="X1071" s="19">
        <f>IF($Z1071="","",SUM(J1071:U1071))</f>
        <v/>
      </c>
      <c r="Y1071" s="20">
        <f>ROW()-1</f>
        <v/>
      </c>
      <c r="Z1071" s="20">
        <f>IF($Y1071&lt;=Settings!$B$4*3,"C",IF($Y1071&lt;=(Settings!$B$4+Settings!$B$5)*3,"A",IF($Y1071&lt;=(Settings!$B$4+Settings!$B$5+Settings!$B$6)*3,"F","")))</f>
        <v/>
      </c>
      <c r="AA1071" s="20">
        <f>IF($Z1071="C",$Y1071,IF($Z1071="A",$Y1071-Settings!$B$4*3,IF($Z1071="F",$Y1071-(Settings!$B$4+Settings!$B$5)*3,"")))</f>
        <v/>
      </c>
      <c r="AB1071" s="20">
        <f>IF($Z1071="","",INT(($AA1071-1)/3)+1)</f>
        <v/>
      </c>
      <c r="AC1071" s="20">
        <f>IF($Z1071="","",MOD($AA1071-1,3)+1)</f>
        <v/>
      </c>
      <c r="AD1071" s="20">
        <f>IF($Z1071="","",Settings!$B$2+$AC1071-1)</f>
        <v/>
      </c>
      <c r="AE1071" s="21">
        <f>IF($Z1071="C",DATE(YEAR(INDEX(Contracts!$J$2:$J$151,$AB1071)),MONTH(INDEX(Contracts!$J$2:$J$151,$AB1071)),1),IF($Z1071="A",DATE(YEAR(INDEX(Fixed_Assets!$G$2:$G$201,$AB1071)),MONTH(INDEX(Fixed_Assets!$G$2:$G$201,$AB1071)),1),IF($Z1071="F",DATE(YEAR(MAX(N(INDEX(Workforce!$I$2:$I$151,MATCH(INDEX(FTE_Allocation!$A$2:$A$201,$AB1071),Workforce!$A$2:$A$151,0))),N(INDEX(FTE_Allocation!$I$2:$I$201,$AB1071)))),MONTH(MAX(N(INDEX(Workforce!$I$2:$I$151,MATCH(INDEX(FTE_Allocation!$A$2:$A$201,$AB1071),Workforce!$A$2:$A$151,0))),N(INDEX(FTE_Allocation!$I$2:$I$201,$AB1071)))),1),"")))</f>
        <v/>
      </c>
      <c r="AF1071" s="21">
        <f>IF($Z1071="C",IF(INDEX(Contracts!$I$2:$I$151,$AB1071)="PREPAID",EDATE(DATE(YEAR(INDEX(Contracts!$J$2:$J$151,$AB1071)),MONTH(INDEX(Contracts!$J$2:$J$151,$AB1071)),1),IF(INDEX(Contracts!$N$2:$N$151,$AB1071)="",12,INDEX(Contracts!$N$2:$N$151,$AB1071))-1),IF(INDEX(Contracts!$I$2:$I$151,$AB1071)="MONTHLY",IF(INDEX(Contracts!$K$2:$K$151,$AB1071)="",2958101,INDEX(Contracts!$K$2:$K$151,$AB1071)),0)),IF($Z1071="A",EDATE(DATE(YEAR(INDEX(Fixed_Assets!$G$2:$G$201,$AB1071)),MONTH(INDEX(Fixed_Assets!$G$2:$G$201,$AB1071)),1),INDEX(Fixed_Assets!$J$2:$J$201,$AB1071)-1),IF($Z1071="F",MIN(IF(INDEX(Workforce!$J$2:$J$151,MATCH(INDEX(FTE_Allocation!$A$2:$A$201,$AB1071),Workforce!$A$2:$A$151,0))="",2958101,INDEX(Workforce!$J$2:$J$151,MATCH(INDEX(FTE_Allocation!$A$2:$A$201,$AB1071),Workforce!$A$2:$A$151,0))),IF(INDEX(FTE_Allocation!$J$2:$J$201,$AB1071)="",2958101,INDEX(FTE_Allocation!$J$2:$J$201,$AB1071))),"")))</f>
        <v/>
      </c>
      <c r="AG1071" s="19">
        <f>IF($Z1071="C",IF(INDEX(Contracts!$I$2:$I$151,$AB1071)="PREPAID",INDEX(Contracts!$M$2:$M$151,$AB1071)/IF(INDEX(Contracts!$N$2:$N$151,$AB1071)="",12,INDEX(Contracts!$N$2:$N$151,$AB1071)),IF(INDEX(Contracts!$I$2:$I$151,$AB1071)="MONTHLY",INDEX(Contracts!$M$2:$M$151,$AB1071),0))*(1-N(INDEX(Contracts!$O$2:$O$151,$AB1071))),IF($Z1071="A",INDEX(Fixed_Assets!$H$2:$H$201,$AB1071)/INDEX(Fixed_Assets!$J$2:$J$201,$AB1071),IF($Z1071="F",INDEX(Workforce!$F$2:$F$151,MATCH(INDEX(FTE_Allocation!$A$2:$A$201,$AB1071),Workforce!$A$2:$A$151,0))*N(INDEX(FTE_Allocation!$F$2:$H$201,$AB1071,$AC1071)),"")))</f>
        <v/>
      </c>
    </row>
    <row r="1072">
      <c r="A1072" s="7">
        <f>IF($Z1072="","",$AD1072)</f>
        <v/>
      </c>
      <c r="B1072" s="7">
        <f>IF($Z1072="C",INDEX(Contracts!$D$2:$D$151,$AB1072)&amp;"",IF($Z1072="A",INDEX(Fixed_Assets!$C$2:$C$201,$AB1072)&amp;"",IF($Z1072="F",INDEX(Workforce!$B$2:$B$151,MATCH(INDEX(FTE_Allocation!$A$2:$A$201,$AB1072),Workforce!$A$2:$A$151,0))&amp;"","")))</f>
        <v/>
      </c>
      <c r="C1072" s="7">
        <f>IF($Z1072="C",INDEX(Contracts!$E$2:$E$151,$AB1072)&amp;"",IF($Z1072="A",INDEX(Fixed_Assets!$D$2:$D$201,$AB1072)&amp;"",IF($Z1072="F",INDEX(FTE_Allocation!$C$2:$C$201,$AB1072)&amp;"","")))</f>
        <v/>
      </c>
      <c r="D1072" s="7">
        <f>IF($Z1072="C",INDEX(Contracts!$B$2:$B$151,$AB1072)&amp;"",IF($Z1072="A",INDEX(Fixed_Assets!$B$2:$B$201,$AB1072)&amp;"",IF($Z1072="F",INDEX(FTE_Allocation!$B$2:$B$201,$AB1072)&amp;"","")))</f>
        <v/>
      </c>
      <c r="E1072" s="7">
        <f>IF($Z1072="C",INDEX(Contracts!$P$2:$P$151,$AB1072)&amp;"",IF($Z1072="A",INDEX(Fixed_Assets!$K$2:$K$201,$AB1072)&amp;"",IF($Z1072="F",IF(INDEX(FTE_Allocation!$D$2:$D$201,$AB1072)="PROJECT",IFERROR(INDEX(Projects!$D:$D,MATCH(INDEX(FTE_Allocation!$E$2:$E$201,$AB1072),Projects!$A:$A,0))&amp;"","#PROJECT?"),INDEX(FTE_Allocation!$E$2:$E$201,$AB1072)&amp;""),"")))</f>
        <v/>
      </c>
      <c r="F1072" s="7">
        <f>IF($Z1072="C",INDEX(Contracts!$Q$2:$Q$151,$AB1072)&amp;"",IF($Z1072="A",INDEX(Fixed_Assets!$L$2:$L$201,$AB1072)&amp;"",IF($Z1072="F",INDEX(Workforce!$K$2:$K$151,MATCH(INDEX(FTE_Allocation!$A$2:$A$201,$AB1072),Workforce!$A$2:$A$151,0))&amp;"","")))</f>
        <v/>
      </c>
      <c r="G1072" s="7">
        <f>IF($Z1072="C",INDEX(Contracts!$F$2:$F$151,$AB1072)&amp;" / "&amp;INDEX(Contracts!$G$2:$G$151,$AB1072),IF($Z1072="A",INDEX(Fixed_Assets!$E$2:$E$201,$AB1072)&amp;"",IF($Z1072="F","Personnel "&amp;INDEX(FTE_Allocation!$A$2:$A$201,$AB1072)&amp;IF(INDEX(FTE_Allocation!$D$2:$D$201,$AB1072)="PROJECT"," ("&amp;INDEX(FTE_Allocation!$E$2:$E$201,$AB1072)&amp;")",""),"")))</f>
        <v/>
      </c>
      <c r="H1072" s="7">
        <f>IF($Z1072="C","CONTRACT",IF($Z1072="A","ASSET",IF($Z1072="F","WORKFORCE","")))</f>
        <v/>
      </c>
      <c r="I1072" s="7">
        <f>IF($Z1072="C",INDEX(Contracts!$L$2:$L$151,$AB1072)&amp;"",IF($Z1072="A",INDEX(Fixed_Assets!$I$2:$I$201,$AB1072)&amp;"",IF($Z1072="F",INDEX(Workforce!$G$2:$G$151,MATCH(INDEX(FTE_Allocation!$A$2:$A$201,$AB1072),Workforce!$A$2:$A$151,0))&amp;"","")))</f>
        <v/>
      </c>
      <c r="J1072" s="18">
        <f>IF($Z1072="","",IF(AND(DATE($AD1072,1,1)&gt;=$AE1072,DATE($AD1072,1,1)&lt;=$AF1072),ROUND($AG1072,2),0))</f>
        <v/>
      </c>
      <c r="K1072" s="18">
        <f>IF($Z1072="","",IF(AND(DATE($AD1072,2,1)&gt;=$AE1072,DATE($AD1072,2,1)&lt;=$AF1072),ROUND($AG1072,2),0))</f>
        <v/>
      </c>
      <c r="L1072" s="18">
        <f>IF($Z1072="","",IF(AND(DATE($AD1072,3,1)&gt;=$AE1072,DATE($AD1072,3,1)&lt;=$AF1072),ROUND($AG1072,2),0))</f>
        <v/>
      </c>
      <c r="M1072" s="18">
        <f>IF($Z1072="","",IF(AND(DATE($AD1072,4,1)&gt;=$AE1072,DATE($AD1072,4,1)&lt;=$AF1072),ROUND($AG1072,2),0))</f>
        <v/>
      </c>
      <c r="N1072" s="18">
        <f>IF($Z1072="","",IF(AND(DATE($AD1072,5,1)&gt;=$AE1072,DATE($AD1072,5,1)&lt;=$AF1072),ROUND($AG1072,2),0))</f>
        <v/>
      </c>
      <c r="O1072" s="18">
        <f>IF($Z1072="","",IF(AND(DATE($AD1072,6,1)&gt;=$AE1072,DATE($AD1072,6,1)&lt;=$AF1072),ROUND($AG1072,2),0))</f>
        <v/>
      </c>
      <c r="P1072" s="18">
        <f>IF($Z1072="","",IF(AND(DATE($AD1072,7,1)&gt;=$AE1072,DATE($AD1072,7,1)&lt;=$AF1072),ROUND($AG1072,2),0))</f>
        <v/>
      </c>
      <c r="Q1072" s="18">
        <f>IF($Z1072="","",IF(AND(DATE($AD1072,8,1)&gt;=$AE1072,DATE($AD1072,8,1)&lt;=$AF1072),ROUND($AG1072,2),0))</f>
        <v/>
      </c>
      <c r="R1072" s="18">
        <f>IF($Z1072="","",IF(AND(DATE($AD1072,9,1)&gt;=$AE1072,DATE($AD1072,9,1)&lt;=$AF1072),ROUND($AG1072,2),0))</f>
        <v/>
      </c>
      <c r="S1072" s="18">
        <f>IF($Z1072="","",IF(AND(DATE($AD1072,10,1)&gt;=$AE1072,DATE($AD1072,10,1)&lt;=$AF1072),ROUND($AG1072,2),0))</f>
        <v/>
      </c>
      <c r="T1072" s="18">
        <f>IF($Z1072="","",IF(AND(DATE($AD1072,11,1)&gt;=$AE1072,DATE($AD1072,11,1)&lt;=$AF1072),ROUND($AG1072,2),0))</f>
        <v/>
      </c>
      <c r="U1072" s="18">
        <f>IF($Z1072="","",IF(AND(DATE($AD1072,12,1)&gt;=$AE1072,DATE($AD1072,12,1)&lt;=$AF1072),ROUND($AG1072,2),0))</f>
        <v/>
      </c>
      <c r="V1072" s="7">
        <f>IF($Z1072="C","Generated from "&amp;INDEX(Contracts!$A$2:$A$151,$AB1072),IF($Z1072="A","Generated from "&amp;INDEX(Fixed_Assets!$A$2:$A$201,$AB1072),IF($Z1072="F","Generated from "&amp;INDEX(FTE_Allocation!$A$2:$A$201,$AB1072),"")))</f>
        <v/>
      </c>
      <c r="X1072" s="19">
        <f>IF($Z1072="","",SUM(J1072:U1072))</f>
        <v/>
      </c>
      <c r="Y1072" s="20">
        <f>ROW()-1</f>
        <v/>
      </c>
      <c r="Z1072" s="20">
        <f>IF($Y1072&lt;=Settings!$B$4*3,"C",IF($Y1072&lt;=(Settings!$B$4+Settings!$B$5)*3,"A",IF($Y1072&lt;=(Settings!$B$4+Settings!$B$5+Settings!$B$6)*3,"F","")))</f>
        <v/>
      </c>
      <c r="AA1072" s="20">
        <f>IF($Z1072="C",$Y1072,IF($Z1072="A",$Y1072-Settings!$B$4*3,IF($Z1072="F",$Y1072-(Settings!$B$4+Settings!$B$5)*3,"")))</f>
        <v/>
      </c>
      <c r="AB1072" s="20">
        <f>IF($Z1072="","",INT(($AA1072-1)/3)+1)</f>
        <v/>
      </c>
      <c r="AC1072" s="20">
        <f>IF($Z1072="","",MOD($AA1072-1,3)+1)</f>
        <v/>
      </c>
      <c r="AD1072" s="20">
        <f>IF($Z1072="","",Settings!$B$2+$AC1072-1)</f>
        <v/>
      </c>
      <c r="AE1072" s="21">
        <f>IF($Z1072="C",DATE(YEAR(INDEX(Contracts!$J$2:$J$151,$AB1072)),MONTH(INDEX(Contracts!$J$2:$J$151,$AB1072)),1),IF($Z1072="A",DATE(YEAR(INDEX(Fixed_Assets!$G$2:$G$201,$AB1072)),MONTH(INDEX(Fixed_Assets!$G$2:$G$201,$AB1072)),1),IF($Z1072="F",DATE(YEAR(MAX(N(INDEX(Workforce!$I$2:$I$151,MATCH(INDEX(FTE_Allocation!$A$2:$A$201,$AB1072),Workforce!$A$2:$A$151,0))),N(INDEX(FTE_Allocation!$I$2:$I$201,$AB1072)))),MONTH(MAX(N(INDEX(Workforce!$I$2:$I$151,MATCH(INDEX(FTE_Allocation!$A$2:$A$201,$AB1072),Workforce!$A$2:$A$151,0))),N(INDEX(FTE_Allocation!$I$2:$I$201,$AB1072)))),1),"")))</f>
        <v/>
      </c>
      <c r="AF1072" s="21">
        <f>IF($Z1072="C",IF(INDEX(Contracts!$I$2:$I$151,$AB1072)="PREPAID",EDATE(DATE(YEAR(INDEX(Contracts!$J$2:$J$151,$AB1072)),MONTH(INDEX(Contracts!$J$2:$J$151,$AB1072)),1),IF(INDEX(Contracts!$N$2:$N$151,$AB1072)="",12,INDEX(Contracts!$N$2:$N$151,$AB1072))-1),IF(INDEX(Contracts!$I$2:$I$151,$AB1072)="MONTHLY",IF(INDEX(Contracts!$K$2:$K$151,$AB1072)="",2958101,INDEX(Contracts!$K$2:$K$151,$AB1072)),0)),IF($Z1072="A",EDATE(DATE(YEAR(INDEX(Fixed_Assets!$G$2:$G$201,$AB1072)),MONTH(INDEX(Fixed_Assets!$G$2:$G$201,$AB1072)),1),INDEX(Fixed_Assets!$J$2:$J$201,$AB1072)-1),IF($Z1072="F",MIN(IF(INDEX(Workforce!$J$2:$J$151,MATCH(INDEX(FTE_Allocation!$A$2:$A$201,$AB1072),Workforce!$A$2:$A$151,0))="",2958101,INDEX(Workforce!$J$2:$J$151,MATCH(INDEX(FTE_Allocation!$A$2:$A$201,$AB1072),Workforce!$A$2:$A$151,0))),IF(INDEX(FTE_Allocation!$J$2:$J$201,$AB1072)="",2958101,INDEX(FTE_Allocation!$J$2:$J$201,$AB1072))),"")))</f>
        <v/>
      </c>
      <c r="AG1072" s="19">
        <f>IF($Z1072="C",IF(INDEX(Contracts!$I$2:$I$151,$AB1072)="PREPAID",INDEX(Contracts!$M$2:$M$151,$AB1072)/IF(INDEX(Contracts!$N$2:$N$151,$AB1072)="",12,INDEX(Contracts!$N$2:$N$151,$AB1072)),IF(INDEX(Contracts!$I$2:$I$151,$AB1072)="MONTHLY",INDEX(Contracts!$M$2:$M$151,$AB1072),0))*(1-N(INDEX(Contracts!$O$2:$O$151,$AB1072))),IF($Z1072="A",INDEX(Fixed_Assets!$H$2:$H$201,$AB1072)/INDEX(Fixed_Assets!$J$2:$J$201,$AB1072),IF($Z1072="F",INDEX(Workforce!$F$2:$F$151,MATCH(INDEX(FTE_Allocation!$A$2:$A$201,$AB1072),Workforce!$A$2:$A$151,0))*N(INDEX(FTE_Allocation!$F$2:$H$201,$AB1072,$AC1072)),"")))</f>
        <v/>
      </c>
    </row>
    <row r="1073">
      <c r="A1073" s="7">
        <f>IF($Z1073="","",$AD1073)</f>
        <v/>
      </c>
      <c r="B1073" s="7">
        <f>IF($Z1073="C",INDEX(Contracts!$D$2:$D$151,$AB1073)&amp;"",IF($Z1073="A",INDEX(Fixed_Assets!$C$2:$C$201,$AB1073)&amp;"",IF($Z1073="F",INDEX(Workforce!$B$2:$B$151,MATCH(INDEX(FTE_Allocation!$A$2:$A$201,$AB1073),Workforce!$A$2:$A$151,0))&amp;"","")))</f>
        <v/>
      </c>
      <c r="C1073" s="7">
        <f>IF($Z1073="C",INDEX(Contracts!$E$2:$E$151,$AB1073)&amp;"",IF($Z1073="A",INDEX(Fixed_Assets!$D$2:$D$201,$AB1073)&amp;"",IF($Z1073="F",INDEX(FTE_Allocation!$C$2:$C$201,$AB1073)&amp;"","")))</f>
        <v/>
      </c>
      <c r="D1073" s="7">
        <f>IF($Z1073="C",INDEX(Contracts!$B$2:$B$151,$AB1073)&amp;"",IF($Z1073="A",INDEX(Fixed_Assets!$B$2:$B$201,$AB1073)&amp;"",IF($Z1073="F",INDEX(FTE_Allocation!$B$2:$B$201,$AB1073)&amp;"","")))</f>
        <v/>
      </c>
      <c r="E1073" s="7">
        <f>IF($Z1073="C",INDEX(Contracts!$P$2:$P$151,$AB1073)&amp;"",IF($Z1073="A",INDEX(Fixed_Assets!$K$2:$K$201,$AB1073)&amp;"",IF($Z1073="F",IF(INDEX(FTE_Allocation!$D$2:$D$201,$AB1073)="PROJECT",IFERROR(INDEX(Projects!$D:$D,MATCH(INDEX(FTE_Allocation!$E$2:$E$201,$AB1073),Projects!$A:$A,0))&amp;"","#PROJECT?"),INDEX(FTE_Allocation!$E$2:$E$201,$AB1073)&amp;""),"")))</f>
        <v/>
      </c>
      <c r="F1073" s="7">
        <f>IF($Z1073="C",INDEX(Contracts!$Q$2:$Q$151,$AB1073)&amp;"",IF($Z1073="A",INDEX(Fixed_Assets!$L$2:$L$201,$AB1073)&amp;"",IF($Z1073="F",INDEX(Workforce!$K$2:$K$151,MATCH(INDEX(FTE_Allocation!$A$2:$A$201,$AB1073),Workforce!$A$2:$A$151,0))&amp;"","")))</f>
        <v/>
      </c>
      <c r="G1073" s="7">
        <f>IF($Z1073="C",INDEX(Contracts!$F$2:$F$151,$AB1073)&amp;" / "&amp;INDEX(Contracts!$G$2:$G$151,$AB1073),IF($Z1073="A",INDEX(Fixed_Assets!$E$2:$E$201,$AB1073)&amp;"",IF($Z1073="F","Personnel "&amp;INDEX(FTE_Allocation!$A$2:$A$201,$AB1073)&amp;IF(INDEX(FTE_Allocation!$D$2:$D$201,$AB1073)="PROJECT"," ("&amp;INDEX(FTE_Allocation!$E$2:$E$201,$AB1073)&amp;")",""),"")))</f>
        <v/>
      </c>
      <c r="H1073" s="7">
        <f>IF($Z1073="C","CONTRACT",IF($Z1073="A","ASSET",IF($Z1073="F","WORKFORCE","")))</f>
        <v/>
      </c>
      <c r="I1073" s="7">
        <f>IF($Z1073="C",INDEX(Contracts!$L$2:$L$151,$AB1073)&amp;"",IF($Z1073="A",INDEX(Fixed_Assets!$I$2:$I$201,$AB1073)&amp;"",IF($Z1073="F",INDEX(Workforce!$G$2:$G$151,MATCH(INDEX(FTE_Allocation!$A$2:$A$201,$AB1073),Workforce!$A$2:$A$151,0))&amp;"","")))</f>
        <v/>
      </c>
      <c r="J1073" s="18">
        <f>IF($Z1073="","",IF(AND(DATE($AD1073,1,1)&gt;=$AE1073,DATE($AD1073,1,1)&lt;=$AF1073),ROUND($AG1073,2),0))</f>
        <v/>
      </c>
      <c r="K1073" s="18">
        <f>IF($Z1073="","",IF(AND(DATE($AD1073,2,1)&gt;=$AE1073,DATE($AD1073,2,1)&lt;=$AF1073),ROUND($AG1073,2),0))</f>
        <v/>
      </c>
      <c r="L1073" s="18">
        <f>IF($Z1073="","",IF(AND(DATE($AD1073,3,1)&gt;=$AE1073,DATE($AD1073,3,1)&lt;=$AF1073),ROUND($AG1073,2),0))</f>
        <v/>
      </c>
      <c r="M1073" s="18">
        <f>IF($Z1073="","",IF(AND(DATE($AD1073,4,1)&gt;=$AE1073,DATE($AD1073,4,1)&lt;=$AF1073),ROUND($AG1073,2),0))</f>
        <v/>
      </c>
      <c r="N1073" s="18">
        <f>IF($Z1073="","",IF(AND(DATE($AD1073,5,1)&gt;=$AE1073,DATE($AD1073,5,1)&lt;=$AF1073),ROUND($AG1073,2),0))</f>
        <v/>
      </c>
      <c r="O1073" s="18">
        <f>IF($Z1073="","",IF(AND(DATE($AD1073,6,1)&gt;=$AE1073,DATE($AD1073,6,1)&lt;=$AF1073),ROUND($AG1073,2),0))</f>
        <v/>
      </c>
      <c r="P1073" s="18">
        <f>IF($Z1073="","",IF(AND(DATE($AD1073,7,1)&gt;=$AE1073,DATE($AD1073,7,1)&lt;=$AF1073),ROUND($AG1073,2),0))</f>
        <v/>
      </c>
      <c r="Q1073" s="18">
        <f>IF($Z1073="","",IF(AND(DATE($AD1073,8,1)&gt;=$AE1073,DATE($AD1073,8,1)&lt;=$AF1073),ROUND($AG1073,2),0))</f>
        <v/>
      </c>
      <c r="R1073" s="18">
        <f>IF($Z1073="","",IF(AND(DATE($AD1073,9,1)&gt;=$AE1073,DATE($AD1073,9,1)&lt;=$AF1073),ROUND($AG1073,2),0))</f>
        <v/>
      </c>
      <c r="S1073" s="18">
        <f>IF($Z1073="","",IF(AND(DATE($AD1073,10,1)&gt;=$AE1073,DATE($AD1073,10,1)&lt;=$AF1073),ROUND($AG1073,2),0))</f>
        <v/>
      </c>
      <c r="T1073" s="18">
        <f>IF($Z1073="","",IF(AND(DATE($AD1073,11,1)&gt;=$AE1073,DATE($AD1073,11,1)&lt;=$AF1073),ROUND($AG1073,2),0))</f>
        <v/>
      </c>
      <c r="U1073" s="18">
        <f>IF($Z1073="","",IF(AND(DATE($AD1073,12,1)&gt;=$AE1073,DATE($AD1073,12,1)&lt;=$AF1073),ROUND($AG1073,2),0))</f>
        <v/>
      </c>
      <c r="V1073" s="7">
        <f>IF($Z1073="C","Generated from "&amp;INDEX(Contracts!$A$2:$A$151,$AB1073),IF($Z1073="A","Generated from "&amp;INDEX(Fixed_Assets!$A$2:$A$201,$AB1073),IF($Z1073="F","Generated from "&amp;INDEX(FTE_Allocation!$A$2:$A$201,$AB1073),"")))</f>
        <v/>
      </c>
      <c r="X1073" s="19">
        <f>IF($Z1073="","",SUM(J1073:U1073))</f>
        <v/>
      </c>
      <c r="Y1073" s="20">
        <f>ROW()-1</f>
        <v/>
      </c>
      <c r="Z1073" s="20">
        <f>IF($Y1073&lt;=Settings!$B$4*3,"C",IF($Y1073&lt;=(Settings!$B$4+Settings!$B$5)*3,"A",IF($Y1073&lt;=(Settings!$B$4+Settings!$B$5+Settings!$B$6)*3,"F","")))</f>
        <v/>
      </c>
      <c r="AA1073" s="20">
        <f>IF($Z1073="C",$Y1073,IF($Z1073="A",$Y1073-Settings!$B$4*3,IF($Z1073="F",$Y1073-(Settings!$B$4+Settings!$B$5)*3,"")))</f>
        <v/>
      </c>
      <c r="AB1073" s="20">
        <f>IF($Z1073="","",INT(($AA1073-1)/3)+1)</f>
        <v/>
      </c>
      <c r="AC1073" s="20">
        <f>IF($Z1073="","",MOD($AA1073-1,3)+1)</f>
        <v/>
      </c>
      <c r="AD1073" s="20">
        <f>IF($Z1073="","",Settings!$B$2+$AC1073-1)</f>
        <v/>
      </c>
      <c r="AE1073" s="21">
        <f>IF($Z1073="C",DATE(YEAR(INDEX(Contracts!$J$2:$J$151,$AB1073)),MONTH(INDEX(Contracts!$J$2:$J$151,$AB1073)),1),IF($Z1073="A",DATE(YEAR(INDEX(Fixed_Assets!$G$2:$G$201,$AB1073)),MONTH(INDEX(Fixed_Assets!$G$2:$G$201,$AB1073)),1),IF($Z1073="F",DATE(YEAR(MAX(N(INDEX(Workforce!$I$2:$I$151,MATCH(INDEX(FTE_Allocation!$A$2:$A$201,$AB1073),Workforce!$A$2:$A$151,0))),N(INDEX(FTE_Allocation!$I$2:$I$201,$AB1073)))),MONTH(MAX(N(INDEX(Workforce!$I$2:$I$151,MATCH(INDEX(FTE_Allocation!$A$2:$A$201,$AB1073),Workforce!$A$2:$A$151,0))),N(INDEX(FTE_Allocation!$I$2:$I$201,$AB1073)))),1),"")))</f>
        <v/>
      </c>
      <c r="AF1073" s="21">
        <f>IF($Z1073="C",IF(INDEX(Contracts!$I$2:$I$151,$AB1073)="PREPAID",EDATE(DATE(YEAR(INDEX(Contracts!$J$2:$J$151,$AB1073)),MONTH(INDEX(Contracts!$J$2:$J$151,$AB1073)),1),IF(INDEX(Contracts!$N$2:$N$151,$AB1073)="",12,INDEX(Contracts!$N$2:$N$151,$AB1073))-1),IF(INDEX(Contracts!$I$2:$I$151,$AB1073)="MONTHLY",IF(INDEX(Contracts!$K$2:$K$151,$AB1073)="",2958101,INDEX(Contracts!$K$2:$K$151,$AB1073)),0)),IF($Z1073="A",EDATE(DATE(YEAR(INDEX(Fixed_Assets!$G$2:$G$201,$AB1073)),MONTH(INDEX(Fixed_Assets!$G$2:$G$201,$AB1073)),1),INDEX(Fixed_Assets!$J$2:$J$201,$AB1073)-1),IF($Z1073="F",MIN(IF(INDEX(Workforce!$J$2:$J$151,MATCH(INDEX(FTE_Allocation!$A$2:$A$201,$AB1073),Workforce!$A$2:$A$151,0))="",2958101,INDEX(Workforce!$J$2:$J$151,MATCH(INDEX(FTE_Allocation!$A$2:$A$201,$AB1073),Workforce!$A$2:$A$151,0))),IF(INDEX(FTE_Allocation!$J$2:$J$201,$AB1073)="",2958101,INDEX(FTE_Allocation!$J$2:$J$201,$AB1073))),"")))</f>
        <v/>
      </c>
      <c r="AG1073" s="19">
        <f>IF($Z1073="C",IF(INDEX(Contracts!$I$2:$I$151,$AB1073)="PREPAID",INDEX(Contracts!$M$2:$M$151,$AB1073)/IF(INDEX(Contracts!$N$2:$N$151,$AB1073)="",12,INDEX(Contracts!$N$2:$N$151,$AB1073)),IF(INDEX(Contracts!$I$2:$I$151,$AB1073)="MONTHLY",INDEX(Contracts!$M$2:$M$151,$AB1073),0))*(1-N(INDEX(Contracts!$O$2:$O$151,$AB1073))),IF($Z1073="A",INDEX(Fixed_Assets!$H$2:$H$201,$AB1073)/INDEX(Fixed_Assets!$J$2:$J$201,$AB1073),IF($Z1073="F",INDEX(Workforce!$F$2:$F$151,MATCH(INDEX(FTE_Allocation!$A$2:$A$201,$AB1073),Workforce!$A$2:$A$151,0))*N(INDEX(FTE_Allocation!$F$2:$H$201,$AB1073,$AC1073)),"")))</f>
        <v/>
      </c>
    </row>
    <row r="1074">
      <c r="A1074" s="7">
        <f>IF($Z1074="","",$AD1074)</f>
        <v/>
      </c>
      <c r="B1074" s="7">
        <f>IF($Z1074="C",INDEX(Contracts!$D$2:$D$151,$AB1074)&amp;"",IF($Z1074="A",INDEX(Fixed_Assets!$C$2:$C$201,$AB1074)&amp;"",IF($Z1074="F",INDEX(Workforce!$B$2:$B$151,MATCH(INDEX(FTE_Allocation!$A$2:$A$201,$AB1074),Workforce!$A$2:$A$151,0))&amp;"","")))</f>
        <v/>
      </c>
      <c r="C1074" s="7">
        <f>IF($Z1074="C",INDEX(Contracts!$E$2:$E$151,$AB1074)&amp;"",IF($Z1074="A",INDEX(Fixed_Assets!$D$2:$D$201,$AB1074)&amp;"",IF($Z1074="F",INDEX(FTE_Allocation!$C$2:$C$201,$AB1074)&amp;"","")))</f>
        <v/>
      </c>
      <c r="D1074" s="7">
        <f>IF($Z1074="C",INDEX(Contracts!$B$2:$B$151,$AB1074)&amp;"",IF($Z1074="A",INDEX(Fixed_Assets!$B$2:$B$201,$AB1074)&amp;"",IF($Z1074="F",INDEX(FTE_Allocation!$B$2:$B$201,$AB1074)&amp;"","")))</f>
        <v/>
      </c>
      <c r="E1074" s="7">
        <f>IF($Z1074="C",INDEX(Contracts!$P$2:$P$151,$AB1074)&amp;"",IF($Z1074="A",INDEX(Fixed_Assets!$K$2:$K$201,$AB1074)&amp;"",IF($Z1074="F",IF(INDEX(FTE_Allocation!$D$2:$D$201,$AB1074)="PROJECT",IFERROR(INDEX(Projects!$D:$D,MATCH(INDEX(FTE_Allocation!$E$2:$E$201,$AB1074),Projects!$A:$A,0))&amp;"","#PROJECT?"),INDEX(FTE_Allocation!$E$2:$E$201,$AB1074)&amp;""),"")))</f>
        <v/>
      </c>
      <c r="F1074" s="7">
        <f>IF($Z1074="C",INDEX(Contracts!$Q$2:$Q$151,$AB1074)&amp;"",IF($Z1074="A",INDEX(Fixed_Assets!$L$2:$L$201,$AB1074)&amp;"",IF($Z1074="F",INDEX(Workforce!$K$2:$K$151,MATCH(INDEX(FTE_Allocation!$A$2:$A$201,$AB1074),Workforce!$A$2:$A$151,0))&amp;"","")))</f>
        <v/>
      </c>
      <c r="G1074" s="7">
        <f>IF($Z1074="C",INDEX(Contracts!$F$2:$F$151,$AB1074)&amp;" / "&amp;INDEX(Contracts!$G$2:$G$151,$AB1074),IF($Z1074="A",INDEX(Fixed_Assets!$E$2:$E$201,$AB1074)&amp;"",IF($Z1074="F","Personnel "&amp;INDEX(FTE_Allocation!$A$2:$A$201,$AB1074)&amp;IF(INDEX(FTE_Allocation!$D$2:$D$201,$AB1074)="PROJECT"," ("&amp;INDEX(FTE_Allocation!$E$2:$E$201,$AB1074)&amp;")",""),"")))</f>
        <v/>
      </c>
      <c r="H1074" s="7">
        <f>IF($Z1074="C","CONTRACT",IF($Z1074="A","ASSET",IF($Z1074="F","WORKFORCE","")))</f>
        <v/>
      </c>
      <c r="I1074" s="7">
        <f>IF($Z1074="C",INDEX(Contracts!$L$2:$L$151,$AB1074)&amp;"",IF($Z1074="A",INDEX(Fixed_Assets!$I$2:$I$201,$AB1074)&amp;"",IF($Z1074="F",INDEX(Workforce!$G$2:$G$151,MATCH(INDEX(FTE_Allocation!$A$2:$A$201,$AB1074),Workforce!$A$2:$A$151,0))&amp;"","")))</f>
        <v/>
      </c>
      <c r="J1074" s="18">
        <f>IF($Z1074="","",IF(AND(DATE($AD1074,1,1)&gt;=$AE1074,DATE($AD1074,1,1)&lt;=$AF1074),ROUND($AG1074,2),0))</f>
        <v/>
      </c>
      <c r="K1074" s="18">
        <f>IF($Z1074="","",IF(AND(DATE($AD1074,2,1)&gt;=$AE1074,DATE($AD1074,2,1)&lt;=$AF1074),ROUND($AG1074,2),0))</f>
        <v/>
      </c>
      <c r="L1074" s="18">
        <f>IF($Z1074="","",IF(AND(DATE($AD1074,3,1)&gt;=$AE1074,DATE($AD1074,3,1)&lt;=$AF1074),ROUND($AG1074,2),0))</f>
        <v/>
      </c>
      <c r="M1074" s="18">
        <f>IF($Z1074="","",IF(AND(DATE($AD1074,4,1)&gt;=$AE1074,DATE($AD1074,4,1)&lt;=$AF1074),ROUND($AG1074,2),0))</f>
        <v/>
      </c>
      <c r="N1074" s="18">
        <f>IF($Z1074="","",IF(AND(DATE($AD1074,5,1)&gt;=$AE1074,DATE($AD1074,5,1)&lt;=$AF1074),ROUND($AG1074,2),0))</f>
        <v/>
      </c>
      <c r="O1074" s="18">
        <f>IF($Z1074="","",IF(AND(DATE($AD1074,6,1)&gt;=$AE1074,DATE($AD1074,6,1)&lt;=$AF1074),ROUND($AG1074,2),0))</f>
        <v/>
      </c>
      <c r="P1074" s="18">
        <f>IF($Z1074="","",IF(AND(DATE($AD1074,7,1)&gt;=$AE1074,DATE($AD1074,7,1)&lt;=$AF1074),ROUND($AG1074,2),0))</f>
        <v/>
      </c>
      <c r="Q1074" s="18">
        <f>IF($Z1074="","",IF(AND(DATE($AD1074,8,1)&gt;=$AE1074,DATE($AD1074,8,1)&lt;=$AF1074),ROUND($AG1074,2),0))</f>
        <v/>
      </c>
      <c r="R1074" s="18">
        <f>IF($Z1074="","",IF(AND(DATE($AD1074,9,1)&gt;=$AE1074,DATE($AD1074,9,1)&lt;=$AF1074),ROUND($AG1074,2),0))</f>
        <v/>
      </c>
      <c r="S1074" s="18">
        <f>IF($Z1074="","",IF(AND(DATE($AD1074,10,1)&gt;=$AE1074,DATE($AD1074,10,1)&lt;=$AF1074),ROUND($AG1074,2),0))</f>
        <v/>
      </c>
      <c r="T1074" s="18">
        <f>IF($Z1074="","",IF(AND(DATE($AD1074,11,1)&gt;=$AE1074,DATE($AD1074,11,1)&lt;=$AF1074),ROUND($AG1074,2),0))</f>
        <v/>
      </c>
      <c r="U1074" s="18">
        <f>IF($Z1074="","",IF(AND(DATE($AD1074,12,1)&gt;=$AE1074,DATE($AD1074,12,1)&lt;=$AF1074),ROUND($AG1074,2),0))</f>
        <v/>
      </c>
      <c r="V1074" s="7">
        <f>IF($Z1074="C","Generated from "&amp;INDEX(Contracts!$A$2:$A$151,$AB1074),IF($Z1074="A","Generated from "&amp;INDEX(Fixed_Assets!$A$2:$A$201,$AB1074),IF($Z1074="F","Generated from "&amp;INDEX(FTE_Allocation!$A$2:$A$201,$AB1074),"")))</f>
        <v/>
      </c>
      <c r="X1074" s="19">
        <f>IF($Z1074="","",SUM(J1074:U1074))</f>
        <v/>
      </c>
      <c r="Y1074" s="20">
        <f>ROW()-1</f>
        <v/>
      </c>
      <c r="Z1074" s="20">
        <f>IF($Y1074&lt;=Settings!$B$4*3,"C",IF($Y1074&lt;=(Settings!$B$4+Settings!$B$5)*3,"A",IF($Y1074&lt;=(Settings!$B$4+Settings!$B$5+Settings!$B$6)*3,"F","")))</f>
        <v/>
      </c>
      <c r="AA1074" s="20">
        <f>IF($Z1074="C",$Y1074,IF($Z1074="A",$Y1074-Settings!$B$4*3,IF($Z1074="F",$Y1074-(Settings!$B$4+Settings!$B$5)*3,"")))</f>
        <v/>
      </c>
      <c r="AB1074" s="20">
        <f>IF($Z1074="","",INT(($AA1074-1)/3)+1)</f>
        <v/>
      </c>
      <c r="AC1074" s="20">
        <f>IF($Z1074="","",MOD($AA1074-1,3)+1)</f>
        <v/>
      </c>
      <c r="AD1074" s="20">
        <f>IF($Z1074="","",Settings!$B$2+$AC1074-1)</f>
        <v/>
      </c>
      <c r="AE1074" s="21">
        <f>IF($Z1074="C",DATE(YEAR(INDEX(Contracts!$J$2:$J$151,$AB1074)),MONTH(INDEX(Contracts!$J$2:$J$151,$AB1074)),1),IF($Z1074="A",DATE(YEAR(INDEX(Fixed_Assets!$G$2:$G$201,$AB1074)),MONTH(INDEX(Fixed_Assets!$G$2:$G$201,$AB1074)),1),IF($Z1074="F",DATE(YEAR(MAX(N(INDEX(Workforce!$I$2:$I$151,MATCH(INDEX(FTE_Allocation!$A$2:$A$201,$AB1074),Workforce!$A$2:$A$151,0))),N(INDEX(FTE_Allocation!$I$2:$I$201,$AB1074)))),MONTH(MAX(N(INDEX(Workforce!$I$2:$I$151,MATCH(INDEX(FTE_Allocation!$A$2:$A$201,$AB1074),Workforce!$A$2:$A$151,0))),N(INDEX(FTE_Allocation!$I$2:$I$201,$AB1074)))),1),"")))</f>
        <v/>
      </c>
      <c r="AF1074" s="21">
        <f>IF($Z1074="C",IF(INDEX(Contracts!$I$2:$I$151,$AB1074)="PREPAID",EDATE(DATE(YEAR(INDEX(Contracts!$J$2:$J$151,$AB1074)),MONTH(INDEX(Contracts!$J$2:$J$151,$AB1074)),1),IF(INDEX(Contracts!$N$2:$N$151,$AB1074)="",12,INDEX(Contracts!$N$2:$N$151,$AB1074))-1),IF(INDEX(Contracts!$I$2:$I$151,$AB1074)="MONTHLY",IF(INDEX(Contracts!$K$2:$K$151,$AB1074)="",2958101,INDEX(Contracts!$K$2:$K$151,$AB1074)),0)),IF($Z1074="A",EDATE(DATE(YEAR(INDEX(Fixed_Assets!$G$2:$G$201,$AB1074)),MONTH(INDEX(Fixed_Assets!$G$2:$G$201,$AB1074)),1),INDEX(Fixed_Assets!$J$2:$J$201,$AB1074)-1),IF($Z1074="F",MIN(IF(INDEX(Workforce!$J$2:$J$151,MATCH(INDEX(FTE_Allocation!$A$2:$A$201,$AB1074),Workforce!$A$2:$A$151,0))="",2958101,INDEX(Workforce!$J$2:$J$151,MATCH(INDEX(FTE_Allocation!$A$2:$A$201,$AB1074),Workforce!$A$2:$A$151,0))),IF(INDEX(FTE_Allocation!$J$2:$J$201,$AB1074)="",2958101,INDEX(FTE_Allocation!$J$2:$J$201,$AB1074))),"")))</f>
        <v/>
      </c>
      <c r="AG1074" s="19">
        <f>IF($Z1074="C",IF(INDEX(Contracts!$I$2:$I$151,$AB1074)="PREPAID",INDEX(Contracts!$M$2:$M$151,$AB1074)/IF(INDEX(Contracts!$N$2:$N$151,$AB1074)="",12,INDEX(Contracts!$N$2:$N$151,$AB1074)),IF(INDEX(Contracts!$I$2:$I$151,$AB1074)="MONTHLY",INDEX(Contracts!$M$2:$M$151,$AB1074),0))*(1-N(INDEX(Contracts!$O$2:$O$151,$AB1074))),IF($Z1074="A",INDEX(Fixed_Assets!$H$2:$H$201,$AB1074)/INDEX(Fixed_Assets!$J$2:$J$201,$AB1074),IF($Z1074="F",INDEX(Workforce!$F$2:$F$151,MATCH(INDEX(FTE_Allocation!$A$2:$A$201,$AB1074),Workforce!$A$2:$A$151,0))*N(INDEX(FTE_Allocation!$F$2:$H$201,$AB1074,$AC1074)),"")))</f>
        <v/>
      </c>
    </row>
    <row r="1075">
      <c r="A1075" s="7">
        <f>IF($Z1075="","",$AD1075)</f>
        <v/>
      </c>
      <c r="B1075" s="7">
        <f>IF($Z1075="C",INDEX(Contracts!$D$2:$D$151,$AB1075)&amp;"",IF($Z1075="A",INDEX(Fixed_Assets!$C$2:$C$201,$AB1075)&amp;"",IF($Z1075="F",INDEX(Workforce!$B$2:$B$151,MATCH(INDEX(FTE_Allocation!$A$2:$A$201,$AB1075),Workforce!$A$2:$A$151,0))&amp;"","")))</f>
        <v/>
      </c>
      <c r="C1075" s="7">
        <f>IF($Z1075="C",INDEX(Contracts!$E$2:$E$151,$AB1075)&amp;"",IF($Z1075="A",INDEX(Fixed_Assets!$D$2:$D$201,$AB1075)&amp;"",IF($Z1075="F",INDEX(FTE_Allocation!$C$2:$C$201,$AB1075)&amp;"","")))</f>
        <v/>
      </c>
      <c r="D1075" s="7">
        <f>IF($Z1075="C",INDEX(Contracts!$B$2:$B$151,$AB1075)&amp;"",IF($Z1075="A",INDEX(Fixed_Assets!$B$2:$B$201,$AB1075)&amp;"",IF($Z1075="F",INDEX(FTE_Allocation!$B$2:$B$201,$AB1075)&amp;"","")))</f>
        <v/>
      </c>
      <c r="E1075" s="7">
        <f>IF($Z1075="C",INDEX(Contracts!$P$2:$P$151,$AB1075)&amp;"",IF($Z1075="A",INDEX(Fixed_Assets!$K$2:$K$201,$AB1075)&amp;"",IF($Z1075="F",IF(INDEX(FTE_Allocation!$D$2:$D$201,$AB1075)="PROJECT",IFERROR(INDEX(Projects!$D:$D,MATCH(INDEX(FTE_Allocation!$E$2:$E$201,$AB1075),Projects!$A:$A,0))&amp;"","#PROJECT?"),INDEX(FTE_Allocation!$E$2:$E$201,$AB1075)&amp;""),"")))</f>
        <v/>
      </c>
      <c r="F1075" s="7">
        <f>IF($Z1075="C",INDEX(Contracts!$Q$2:$Q$151,$AB1075)&amp;"",IF($Z1075="A",INDEX(Fixed_Assets!$L$2:$L$201,$AB1075)&amp;"",IF($Z1075="F",INDEX(Workforce!$K$2:$K$151,MATCH(INDEX(FTE_Allocation!$A$2:$A$201,$AB1075),Workforce!$A$2:$A$151,0))&amp;"","")))</f>
        <v/>
      </c>
      <c r="G1075" s="7">
        <f>IF($Z1075="C",INDEX(Contracts!$F$2:$F$151,$AB1075)&amp;" / "&amp;INDEX(Contracts!$G$2:$G$151,$AB1075),IF($Z1075="A",INDEX(Fixed_Assets!$E$2:$E$201,$AB1075)&amp;"",IF($Z1075="F","Personnel "&amp;INDEX(FTE_Allocation!$A$2:$A$201,$AB1075)&amp;IF(INDEX(FTE_Allocation!$D$2:$D$201,$AB1075)="PROJECT"," ("&amp;INDEX(FTE_Allocation!$E$2:$E$201,$AB1075)&amp;")",""),"")))</f>
        <v/>
      </c>
      <c r="H1075" s="7">
        <f>IF($Z1075="C","CONTRACT",IF($Z1075="A","ASSET",IF($Z1075="F","WORKFORCE","")))</f>
        <v/>
      </c>
      <c r="I1075" s="7">
        <f>IF($Z1075="C",INDEX(Contracts!$L$2:$L$151,$AB1075)&amp;"",IF($Z1075="A",INDEX(Fixed_Assets!$I$2:$I$201,$AB1075)&amp;"",IF($Z1075="F",INDEX(Workforce!$G$2:$G$151,MATCH(INDEX(FTE_Allocation!$A$2:$A$201,$AB1075),Workforce!$A$2:$A$151,0))&amp;"","")))</f>
        <v/>
      </c>
      <c r="J1075" s="18">
        <f>IF($Z1075="","",IF(AND(DATE($AD1075,1,1)&gt;=$AE1075,DATE($AD1075,1,1)&lt;=$AF1075),ROUND($AG1075,2),0))</f>
        <v/>
      </c>
      <c r="K1075" s="18">
        <f>IF($Z1075="","",IF(AND(DATE($AD1075,2,1)&gt;=$AE1075,DATE($AD1075,2,1)&lt;=$AF1075),ROUND($AG1075,2),0))</f>
        <v/>
      </c>
      <c r="L1075" s="18">
        <f>IF($Z1075="","",IF(AND(DATE($AD1075,3,1)&gt;=$AE1075,DATE($AD1075,3,1)&lt;=$AF1075),ROUND($AG1075,2),0))</f>
        <v/>
      </c>
      <c r="M1075" s="18">
        <f>IF($Z1075="","",IF(AND(DATE($AD1075,4,1)&gt;=$AE1075,DATE($AD1075,4,1)&lt;=$AF1075),ROUND($AG1075,2),0))</f>
        <v/>
      </c>
      <c r="N1075" s="18">
        <f>IF($Z1075="","",IF(AND(DATE($AD1075,5,1)&gt;=$AE1075,DATE($AD1075,5,1)&lt;=$AF1075),ROUND($AG1075,2),0))</f>
        <v/>
      </c>
      <c r="O1075" s="18">
        <f>IF($Z1075="","",IF(AND(DATE($AD1075,6,1)&gt;=$AE1075,DATE($AD1075,6,1)&lt;=$AF1075),ROUND($AG1075,2),0))</f>
        <v/>
      </c>
      <c r="P1075" s="18">
        <f>IF($Z1075="","",IF(AND(DATE($AD1075,7,1)&gt;=$AE1075,DATE($AD1075,7,1)&lt;=$AF1075),ROUND($AG1075,2),0))</f>
        <v/>
      </c>
      <c r="Q1075" s="18">
        <f>IF($Z1075="","",IF(AND(DATE($AD1075,8,1)&gt;=$AE1075,DATE($AD1075,8,1)&lt;=$AF1075),ROUND($AG1075,2),0))</f>
        <v/>
      </c>
      <c r="R1075" s="18">
        <f>IF($Z1075="","",IF(AND(DATE($AD1075,9,1)&gt;=$AE1075,DATE($AD1075,9,1)&lt;=$AF1075),ROUND($AG1075,2),0))</f>
        <v/>
      </c>
      <c r="S1075" s="18">
        <f>IF($Z1075="","",IF(AND(DATE($AD1075,10,1)&gt;=$AE1075,DATE($AD1075,10,1)&lt;=$AF1075),ROUND($AG1075,2),0))</f>
        <v/>
      </c>
      <c r="T1075" s="18">
        <f>IF($Z1075="","",IF(AND(DATE($AD1075,11,1)&gt;=$AE1075,DATE($AD1075,11,1)&lt;=$AF1075),ROUND($AG1075,2),0))</f>
        <v/>
      </c>
      <c r="U1075" s="18">
        <f>IF($Z1075="","",IF(AND(DATE($AD1075,12,1)&gt;=$AE1075,DATE($AD1075,12,1)&lt;=$AF1075),ROUND($AG1075,2),0))</f>
        <v/>
      </c>
      <c r="V1075" s="7">
        <f>IF($Z1075="C","Generated from "&amp;INDEX(Contracts!$A$2:$A$151,$AB1075),IF($Z1075="A","Generated from "&amp;INDEX(Fixed_Assets!$A$2:$A$201,$AB1075),IF($Z1075="F","Generated from "&amp;INDEX(FTE_Allocation!$A$2:$A$201,$AB1075),"")))</f>
        <v/>
      </c>
      <c r="X1075" s="19">
        <f>IF($Z1075="","",SUM(J1075:U1075))</f>
        <v/>
      </c>
      <c r="Y1075" s="20">
        <f>ROW()-1</f>
        <v/>
      </c>
      <c r="Z1075" s="20">
        <f>IF($Y1075&lt;=Settings!$B$4*3,"C",IF($Y1075&lt;=(Settings!$B$4+Settings!$B$5)*3,"A",IF($Y1075&lt;=(Settings!$B$4+Settings!$B$5+Settings!$B$6)*3,"F","")))</f>
        <v/>
      </c>
      <c r="AA1075" s="20">
        <f>IF($Z1075="C",$Y1075,IF($Z1075="A",$Y1075-Settings!$B$4*3,IF($Z1075="F",$Y1075-(Settings!$B$4+Settings!$B$5)*3,"")))</f>
        <v/>
      </c>
      <c r="AB1075" s="20">
        <f>IF($Z1075="","",INT(($AA1075-1)/3)+1)</f>
        <v/>
      </c>
      <c r="AC1075" s="20">
        <f>IF($Z1075="","",MOD($AA1075-1,3)+1)</f>
        <v/>
      </c>
      <c r="AD1075" s="20">
        <f>IF($Z1075="","",Settings!$B$2+$AC1075-1)</f>
        <v/>
      </c>
      <c r="AE1075" s="21">
        <f>IF($Z1075="C",DATE(YEAR(INDEX(Contracts!$J$2:$J$151,$AB1075)),MONTH(INDEX(Contracts!$J$2:$J$151,$AB1075)),1),IF($Z1075="A",DATE(YEAR(INDEX(Fixed_Assets!$G$2:$G$201,$AB1075)),MONTH(INDEX(Fixed_Assets!$G$2:$G$201,$AB1075)),1),IF($Z1075="F",DATE(YEAR(MAX(N(INDEX(Workforce!$I$2:$I$151,MATCH(INDEX(FTE_Allocation!$A$2:$A$201,$AB1075),Workforce!$A$2:$A$151,0))),N(INDEX(FTE_Allocation!$I$2:$I$201,$AB1075)))),MONTH(MAX(N(INDEX(Workforce!$I$2:$I$151,MATCH(INDEX(FTE_Allocation!$A$2:$A$201,$AB1075),Workforce!$A$2:$A$151,0))),N(INDEX(FTE_Allocation!$I$2:$I$201,$AB1075)))),1),"")))</f>
        <v/>
      </c>
      <c r="AF1075" s="21">
        <f>IF($Z1075="C",IF(INDEX(Contracts!$I$2:$I$151,$AB1075)="PREPAID",EDATE(DATE(YEAR(INDEX(Contracts!$J$2:$J$151,$AB1075)),MONTH(INDEX(Contracts!$J$2:$J$151,$AB1075)),1),IF(INDEX(Contracts!$N$2:$N$151,$AB1075)="",12,INDEX(Contracts!$N$2:$N$151,$AB1075))-1),IF(INDEX(Contracts!$I$2:$I$151,$AB1075)="MONTHLY",IF(INDEX(Contracts!$K$2:$K$151,$AB1075)="",2958101,INDEX(Contracts!$K$2:$K$151,$AB1075)),0)),IF($Z1075="A",EDATE(DATE(YEAR(INDEX(Fixed_Assets!$G$2:$G$201,$AB1075)),MONTH(INDEX(Fixed_Assets!$G$2:$G$201,$AB1075)),1),INDEX(Fixed_Assets!$J$2:$J$201,$AB1075)-1),IF($Z1075="F",MIN(IF(INDEX(Workforce!$J$2:$J$151,MATCH(INDEX(FTE_Allocation!$A$2:$A$201,$AB1075),Workforce!$A$2:$A$151,0))="",2958101,INDEX(Workforce!$J$2:$J$151,MATCH(INDEX(FTE_Allocation!$A$2:$A$201,$AB1075),Workforce!$A$2:$A$151,0))),IF(INDEX(FTE_Allocation!$J$2:$J$201,$AB1075)="",2958101,INDEX(FTE_Allocation!$J$2:$J$201,$AB1075))),"")))</f>
        <v/>
      </c>
      <c r="AG1075" s="19">
        <f>IF($Z1075="C",IF(INDEX(Contracts!$I$2:$I$151,$AB1075)="PREPAID",INDEX(Contracts!$M$2:$M$151,$AB1075)/IF(INDEX(Contracts!$N$2:$N$151,$AB1075)="",12,INDEX(Contracts!$N$2:$N$151,$AB1075)),IF(INDEX(Contracts!$I$2:$I$151,$AB1075)="MONTHLY",INDEX(Contracts!$M$2:$M$151,$AB1075),0))*(1-N(INDEX(Contracts!$O$2:$O$151,$AB1075))),IF($Z1075="A",INDEX(Fixed_Assets!$H$2:$H$201,$AB1075)/INDEX(Fixed_Assets!$J$2:$J$201,$AB1075),IF($Z1075="F",INDEX(Workforce!$F$2:$F$151,MATCH(INDEX(FTE_Allocation!$A$2:$A$201,$AB1075),Workforce!$A$2:$A$151,0))*N(INDEX(FTE_Allocation!$F$2:$H$201,$AB1075,$AC1075)),"")))</f>
        <v/>
      </c>
    </row>
    <row r="1076">
      <c r="A1076" s="7">
        <f>IF($Z1076="","",$AD1076)</f>
        <v/>
      </c>
      <c r="B1076" s="7">
        <f>IF($Z1076="C",INDEX(Contracts!$D$2:$D$151,$AB1076)&amp;"",IF($Z1076="A",INDEX(Fixed_Assets!$C$2:$C$201,$AB1076)&amp;"",IF($Z1076="F",INDEX(Workforce!$B$2:$B$151,MATCH(INDEX(FTE_Allocation!$A$2:$A$201,$AB1076),Workforce!$A$2:$A$151,0))&amp;"","")))</f>
        <v/>
      </c>
      <c r="C1076" s="7">
        <f>IF($Z1076="C",INDEX(Contracts!$E$2:$E$151,$AB1076)&amp;"",IF($Z1076="A",INDEX(Fixed_Assets!$D$2:$D$201,$AB1076)&amp;"",IF($Z1076="F",INDEX(FTE_Allocation!$C$2:$C$201,$AB1076)&amp;"","")))</f>
        <v/>
      </c>
      <c r="D1076" s="7">
        <f>IF($Z1076="C",INDEX(Contracts!$B$2:$B$151,$AB1076)&amp;"",IF($Z1076="A",INDEX(Fixed_Assets!$B$2:$B$201,$AB1076)&amp;"",IF($Z1076="F",INDEX(FTE_Allocation!$B$2:$B$201,$AB1076)&amp;"","")))</f>
        <v/>
      </c>
      <c r="E1076" s="7">
        <f>IF($Z1076="C",INDEX(Contracts!$P$2:$P$151,$AB1076)&amp;"",IF($Z1076="A",INDEX(Fixed_Assets!$K$2:$K$201,$AB1076)&amp;"",IF($Z1076="F",IF(INDEX(FTE_Allocation!$D$2:$D$201,$AB1076)="PROJECT",IFERROR(INDEX(Projects!$D:$D,MATCH(INDEX(FTE_Allocation!$E$2:$E$201,$AB1076),Projects!$A:$A,0))&amp;"","#PROJECT?"),INDEX(FTE_Allocation!$E$2:$E$201,$AB1076)&amp;""),"")))</f>
        <v/>
      </c>
      <c r="F1076" s="7">
        <f>IF($Z1076="C",INDEX(Contracts!$Q$2:$Q$151,$AB1076)&amp;"",IF($Z1076="A",INDEX(Fixed_Assets!$L$2:$L$201,$AB1076)&amp;"",IF($Z1076="F",INDEX(Workforce!$K$2:$K$151,MATCH(INDEX(FTE_Allocation!$A$2:$A$201,$AB1076),Workforce!$A$2:$A$151,0))&amp;"","")))</f>
        <v/>
      </c>
      <c r="G1076" s="7">
        <f>IF($Z1076="C",INDEX(Contracts!$F$2:$F$151,$AB1076)&amp;" / "&amp;INDEX(Contracts!$G$2:$G$151,$AB1076),IF($Z1076="A",INDEX(Fixed_Assets!$E$2:$E$201,$AB1076)&amp;"",IF($Z1076="F","Personnel "&amp;INDEX(FTE_Allocation!$A$2:$A$201,$AB1076)&amp;IF(INDEX(FTE_Allocation!$D$2:$D$201,$AB1076)="PROJECT"," ("&amp;INDEX(FTE_Allocation!$E$2:$E$201,$AB1076)&amp;")",""),"")))</f>
        <v/>
      </c>
      <c r="H1076" s="7">
        <f>IF($Z1076="C","CONTRACT",IF($Z1076="A","ASSET",IF($Z1076="F","WORKFORCE","")))</f>
        <v/>
      </c>
      <c r="I1076" s="7">
        <f>IF($Z1076="C",INDEX(Contracts!$L$2:$L$151,$AB1076)&amp;"",IF($Z1076="A",INDEX(Fixed_Assets!$I$2:$I$201,$AB1076)&amp;"",IF($Z1076="F",INDEX(Workforce!$G$2:$G$151,MATCH(INDEX(FTE_Allocation!$A$2:$A$201,$AB1076),Workforce!$A$2:$A$151,0))&amp;"","")))</f>
        <v/>
      </c>
      <c r="J1076" s="18">
        <f>IF($Z1076="","",IF(AND(DATE($AD1076,1,1)&gt;=$AE1076,DATE($AD1076,1,1)&lt;=$AF1076),ROUND($AG1076,2),0))</f>
        <v/>
      </c>
      <c r="K1076" s="18">
        <f>IF($Z1076="","",IF(AND(DATE($AD1076,2,1)&gt;=$AE1076,DATE($AD1076,2,1)&lt;=$AF1076),ROUND($AG1076,2),0))</f>
        <v/>
      </c>
      <c r="L1076" s="18">
        <f>IF($Z1076="","",IF(AND(DATE($AD1076,3,1)&gt;=$AE1076,DATE($AD1076,3,1)&lt;=$AF1076),ROUND($AG1076,2),0))</f>
        <v/>
      </c>
      <c r="M1076" s="18">
        <f>IF($Z1076="","",IF(AND(DATE($AD1076,4,1)&gt;=$AE1076,DATE($AD1076,4,1)&lt;=$AF1076),ROUND($AG1076,2),0))</f>
        <v/>
      </c>
      <c r="N1076" s="18">
        <f>IF($Z1076="","",IF(AND(DATE($AD1076,5,1)&gt;=$AE1076,DATE($AD1076,5,1)&lt;=$AF1076),ROUND($AG1076,2),0))</f>
        <v/>
      </c>
      <c r="O1076" s="18">
        <f>IF($Z1076="","",IF(AND(DATE($AD1076,6,1)&gt;=$AE1076,DATE($AD1076,6,1)&lt;=$AF1076),ROUND($AG1076,2),0))</f>
        <v/>
      </c>
      <c r="P1076" s="18">
        <f>IF($Z1076="","",IF(AND(DATE($AD1076,7,1)&gt;=$AE1076,DATE($AD1076,7,1)&lt;=$AF1076),ROUND($AG1076,2),0))</f>
        <v/>
      </c>
      <c r="Q1076" s="18">
        <f>IF($Z1076="","",IF(AND(DATE($AD1076,8,1)&gt;=$AE1076,DATE($AD1076,8,1)&lt;=$AF1076),ROUND($AG1076,2),0))</f>
        <v/>
      </c>
      <c r="R1076" s="18">
        <f>IF($Z1076="","",IF(AND(DATE($AD1076,9,1)&gt;=$AE1076,DATE($AD1076,9,1)&lt;=$AF1076),ROUND($AG1076,2),0))</f>
        <v/>
      </c>
      <c r="S1076" s="18">
        <f>IF($Z1076="","",IF(AND(DATE($AD1076,10,1)&gt;=$AE1076,DATE($AD1076,10,1)&lt;=$AF1076),ROUND($AG1076,2),0))</f>
        <v/>
      </c>
      <c r="T1076" s="18">
        <f>IF($Z1076="","",IF(AND(DATE($AD1076,11,1)&gt;=$AE1076,DATE($AD1076,11,1)&lt;=$AF1076),ROUND($AG1076,2),0))</f>
        <v/>
      </c>
      <c r="U1076" s="18">
        <f>IF($Z1076="","",IF(AND(DATE($AD1076,12,1)&gt;=$AE1076,DATE($AD1076,12,1)&lt;=$AF1076),ROUND($AG1076,2),0))</f>
        <v/>
      </c>
      <c r="V1076" s="7">
        <f>IF($Z1076="C","Generated from "&amp;INDEX(Contracts!$A$2:$A$151,$AB1076),IF($Z1076="A","Generated from "&amp;INDEX(Fixed_Assets!$A$2:$A$201,$AB1076),IF($Z1076="F","Generated from "&amp;INDEX(FTE_Allocation!$A$2:$A$201,$AB1076),"")))</f>
        <v/>
      </c>
      <c r="X1076" s="19">
        <f>IF($Z1076="","",SUM(J1076:U1076))</f>
        <v/>
      </c>
      <c r="Y1076" s="20">
        <f>ROW()-1</f>
        <v/>
      </c>
      <c r="Z1076" s="20">
        <f>IF($Y1076&lt;=Settings!$B$4*3,"C",IF($Y1076&lt;=(Settings!$B$4+Settings!$B$5)*3,"A",IF($Y1076&lt;=(Settings!$B$4+Settings!$B$5+Settings!$B$6)*3,"F","")))</f>
        <v/>
      </c>
      <c r="AA1076" s="20">
        <f>IF($Z1076="C",$Y1076,IF($Z1076="A",$Y1076-Settings!$B$4*3,IF($Z1076="F",$Y1076-(Settings!$B$4+Settings!$B$5)*3,"")))</f>
        <v/>
      </c>
      <c r="AB1076" s="20">
        <f>IF($Z1076="","",INT(($AA1076-1)/3)+1)</f>
        <v/>
      </c>
      <c r="AC1076" s="20">
        <f>IF($Z1076="","",MOD($AA1076-1,3)+1)</f>
        <v/>
      </c>
      <c r="AD1076" s="20">
        <f>IF($Z1076="","",Settings!$B$2+$AC1076-1)</f>
        <v/>
      </c>
      <c r="AE1076" s="21">
        <f>IF($Z1076="C",DATE(YEAR(INDEX(Contracts!$J$2:$J$151,$AB1076)),MONTH(INDEX(Contracts!$J$2:$J$151,$AB1076)),1),IF($Z1076="A",DATE(YEAR(INDEX(Fixed_Assets!$G$2:$G$201,$AB1076)),MONTH(INDEX(Fixed_Assets!$G$2:$G$201,$AB1076)),1),IF($Z1076="F",DATE(YEAR(MAX(N(INDEX(Workforce!$I$2:$I$151,MATCH(INDEX(FTE_Allocation!$A$2:$A$201,$AB1076),Workforce!$A$2:$A$151,0))),N(INDEX(FTE_Allocation!$I$2:$I$201,$AB1076)))),MONTH(MAX(N(INDEX(Workforce!$I$2:$I$151,MATCH(INDEX(FTE_Allocation!$A$2:$A$201,$AB1076),Workforce!$A$2:$A$151,0))),N(INDEX(FTE_Allocation!$I$2:$I$201,$AB1076)))),1),"")))</f>
        <v/>
      </c>
      <c r="AF1076" s="21">
        <f>IF($Z1076="C",IF(INDEX(Contracts!$I$2:$I$151,$AB1076)="PREPAID",EDATE(DATE(YEAR(INDEX(Contracts!$J$2:$J$151,$AB1076)),MONTH(INDEX(Contracts!$J$2:$J$151,$AB1076)),1),IF(INDEX(Contracts!$N$2:$N$151,$AB1076)="",12,INDEX(Contracts!$N$2:$N$151,$AB1076))-1),IF(INDEX(Contracts!$I$2:$I$151,$AB1076)="MONTHLY",IF(INDEX(Contracts!$K$2:$K$151,$AB1076)="",2958101,INDEX(Contracts!$K$2:$K$151,$AB1076)),0)),IF($Z1076="A",EDATE(DATE(YEAR(INDEX(Fixed_Assets!$G$2:$G$201,$AB1076)),MONTH(INDEX(Fixed_Assets!$G$2:$G$201,$AB1076)),1),INDEX(Fixed_Assets!$J$2:$J$201,$AB1076)-1),IF($Z1076="F",MIN(IF(INDEX(Workforce!$J$2:$J$151,MATCH(INDEX(FTE_Allocation!$A$2:$A$201,$AB1076),Workforce!$A$2:$A$151,0))="",2958101,INDEX(Workforce!$J$2:$J$151,MATCH(INDEX(FTE_Allocation!$A$2:$A$201,$AB1076),Workforce!$A$2:$A$151,0))),IF(INDEX(FTE_Allocation!$J$2:$J$201,$AB1076)="",2958101,INDEX(FTE_Allocation!$J$2:$J$201,$AB1076))),"")))</f>
        <v/>
      </c>
      <c r="AG1076" s="19">
        <f>IF($Z1076="C",IF(INDEX(Contracts!$I$2:$I$151,$AB1076)="PREPAID",INDEX(Contracts!$M$2:$M$151,$AB1076)/IF(INDEX(Contracts!$N$2:$N$151,$AB1076)="",12,INDEX(Contracts!$N$2:$N$151,$AB1076)),IF(INDEX(Contracts!$I$2:$I$151,$AB1076)="MONTHLY",INDEX(Contracts!$M$2:$M$151,$AB1076),0))*(1-N(INDEX(Contracts!$O$2:$O$151,$AB1076))),IF($Z1076="A",INDEX(Fixed_Assets!$H$2:$H$201,$AB1076)/INDEX(Fixed_Assets!$J$2:$J$201,$AB1076),IF($Z1076="F",INDEX(Workforce!$F$2:$F$151,MATCH(INDEX(FTE_Allocation!$A$2:$A$201,$AB1076),Workforce!$A$2:$A$151,0))*N(INDEX(FTE_Allocation!$F$2:$H$201,$AB1076,$AC1076)),"")))</f>
        <v/>
      </c>
    </row>
    <row r="1077">
      <c r="A1077" s="7">
        <f>IF($Z1077="","",$AD1077)</f>
        <v/>
      </c>
      <c r="B1077" s="7">
        <f>IF($Z1077="C",INDEX(Contracts!$D$2:$D$151,$AB1077)&amp;"",IF($Z1077="A",INDEX(Fixed_Assets!$C$2:$C$201,$AB1077)&amp;"",IF($Z1077="F",INDEX(Workforce!$B$2:$B$151,MATCH(INDEX(FTE_Allocation!$A$2:$A$201,$AB1077),Workforce!$A$2:$A$151,0))&amp;"","")))</f>
        <v/>
      </c>
      <c r="C1077" s="7">
        <f>IF($Z1077="C",INDEX(Contracts!$E$2:$E$151,$AB1077)&amp;"",IF($Z1077="A",INDEX(Fixed_Assets!$D$2:$D$201,$AB1077)&amp;"",IF($Z1077="F",INDEX(FTE_Allocation!$C$2:$C$201,$AB1077)&amp;"","")))</f>
        <v/>
      </c>
      <c r="D1077" s="7">
        <f>IF($Z1077="C",INDEX(Contracts!$B$2:$B$151,$AB1077)&amp;"",IF($Z1077="A",INDEX(Fixed_Assets!$B$2:$B$201,$AB1077)&amp;"",IF($Z1077="F",INDEX(FTE_Allocation!$B$2:$B$201,$AB1077)&amp;"","")))</f>
        <v/>
      </c>
      <c r="E1077" s="7">
        <f>IF($Z1077="C",INDEX(Contracts!$P$2:$P$151,$AB1077)&amp;"",IF($Z1077="A",INDEX(Fixed_Assets!$K$2:$K$201,$AB1077)&amp;"",IF($Z1077="F",IF(INDEX(FTE_Allocation!$D$2:$D$201,$AB1077)="PROJECT",IFERROR(INDEX(Projects!$D:$D,MATCH(INDEX(FTE_Allocation!$E$2:$E$201,$AB1077),Projects!$A:$A,0))&amp;"","#PROJECT?"),INDEX(FTE_Allocation!$E$2:$E$201,$AB1077)&amp;""),"")))</f>
        <v/>
      </c>
      <c r="F1077" s="7">
        <f>IF($Z1077="C",INDEX(Contracts!$Q$2:$Q$151,$AB1077)&amp;"",IF($Z1077="A",INDEX(Fixed_Assets!$L$2:$L$201,$AB1077)&amp;"",IF($Z1077="F",INDEX(Workforce!$K$2:$K$151,MATCH(INDEX(FTE_Allocation!$A$2:$A$201,$AB1077),Workforce!$A$2:$A$151,0))&amp;"","")))</f>
        <v/>
      </c>
      <c r="G1077" s="7">
        <f>IF($Z1077="C",INDEX(Contracts!$F$2:$F$151,$AB1077)&amp;" / "&amp;INDEX(Contracts!$G$2:$G$151,$AB1077),IF($Z1077="A",INDEX(Fixed_Assets!$E$2:$E$201,$AB1077)&amp;"",IF($Z1077="F","Personnel "&amp;INDEX(FTE_Allocation!$A$2:$A$201,$AB1077)&amp;IF(INDEX(FTE_Allocation!$D$2:$D$201,$AB1077)="PROJECT"," ("&amp;INDEX(FTE_Allocation!$E$2:$E$201,$AB1077)&amp;")",""),"")))</f>
        <v/>
      </c>
      <c r="H1077" s="7">
        <f>IF($Z1077="C","CONTRACT",IF($Z1077="A","ASSET",IF($Z1077="F","WORKFORCE","")))</f>
        <v/>
      </c>
      <c r="I1077" s="7">
        <f>IF($Z1077="C",INDEX(Contracts!$L$2:$L$151,$AB1077)&amp;"",IF($Z1077="A",INDEX(Fixed_Assets!$I$2:$I$201,$AB1077)&amp;"",IF($Z1077="F",INDEX(Workforce!$G$2:$G$151,MATCH(INDEX(FTE_Allocation!$A$2:$A$201,$AB1077),Workforce!$A$2:$A$151,0))&amp;"","")))</f>
        <v/>
      </c>
      <c r="J1077" s="18">
        <f>IF($Z1077="","",IF(AND(DATE($AD1077,1,1)&gt;=$AE1077,DATE($AD1077,1,1)&lt;=$AF1077),ROUND($AG1077,2),0))</f>
        <v/>
      </c>
      <c r="K1077" s="18">
        <f>IF($Z1077="","",IF(AND(DATE($AD1077,2,1)&gt;=$AE1077,DATE($AD1077,2,1)&lt;=$AF1077),ROUND($AG1077,2),0))</f>
        <v/>
      </c>
      <c r="L1077" s="18">
        <f>IF($Z1077="","",IF(AND(DATE($AD1077,3,1)&gt;=$AE1077,DATE($AD1077,3,1)&lt;=$AF1077),ROUND($AG1077,2),0))</f>
        <v/>
      </c>
      <c r="M1077" s="18">
        <f>IF($Z1077="","",IF(AND(DATE($AD1077,4,1)&gt;=$AE1077,DATE($AD1077,4,1)&lt;=$AF1077),ROUND($AG1077,2),0))</f>
        <v/>
      </c>
      <c r="N1077" s="18">
        <f>IF($Z1077="","",IF(AND(DATE($AD1077,5,1)&gt;=$AE1077,DATE($AD1077,5,1)&lt;=$AF1077),ROUND($AG1077,2),0))</f>
        <v/>
      </c>
      <c r="O1077" s="18">
        <f>IF($Z1077="","",IF(AND(DATE($AD1077,6,1)&gt;=$AE1077,DATE($AD1077,6,1)&lt;=$AF1077),ROUND($AG1077,2),0))</f>
        <v/>
      </c>
      <c r="P1077" s="18">
        <f>IF($Z1077="","",IF(AND(DATE($AD1077,7,1)&gt;=$AE1077,DATE($AD1077,7,1)&lt;=$AF1077),ROUND($AG1077,2),0))</f>
        <v/>
      </c>
      <c r="Q1077" s="18">
        <f>IF($Z1077="","",IF(AND(DATE($AD1077,8,1)&gt;=$AE1077,DATE($AD1077,8,1)&lt;=$AF1077),ROUND($AG1077,2),0))</f>
        <v/>
      </c>
      <c r="R1077" s="18">
        <f>IF($Z1077="","",IF(AND(DATE($AD1077,9,1)&gt;=$AE1077,DATE($AD1077,9,1)&lt;=$AF1077),ROUND($AG1077,2),0))</f>
        <v/>
      </c>
      <c r="S1077" s="18">
        <f>IF($Z1077="","",IF(AND(DATE($AD1077,10,1)&gt;=$AE1077,DATE($AD1077,10,1)&lt;=$AF1077),ROUND($AG1077,2),0))</f>
        <v/>
      </c>
      <c r="T1077" s="18">
        <f>IF($Z1077="","",IF(AND(DATE($AD1077,11,1)&gt;=$AE1077,DATE($AD1077,11,1)&lt;=$AF1077),ROUND($AG1077,2),0))</f>
        <v/>
      </c>
      <c r="U1077" s="18">
        <f>IF($Z1077="","",IF(AND(DATE($AD1077,12,1)&gt;=$AE1077,DATE($AD1077,12,1)&lt;=$AF1077),ROUND($AG1077,2),0))</f>
        <v/>
      </c>
      <c r="V1077" s="7">
        <f>IF($Z1077="C","Generated from "&amp;INDEX(Contracts!$A$2:$A$151,$AB1077),IF($Z1077="A","Generated from "&amp;INDEX(Fixed_Assets!$A$2:$A$201,$AB1077),IF($Z1077="F","Generated from "&amp;INDEX(FTE_Allocation!$A$2:$A$201,$AB1077),"")))</f>
        <v/>
      </c>
      <c r="X1077" s="19">
        <f>IF($Z1077="","",SUM(J1077:U1077))</f>
        <v/>
      </c>
      <c r="Y1077" s="20">
        <f>ROW()-1</f>
        <v/>
      </c>
      <c r="Z1077" s="20">
        <f>IF($Y1077&lt;=Settings!$B$4*3,"C",IF($Y1077&lt;=(Settings!$B$4+Settings!$B$5)*3,"A",IF($Y1077&lt;=(Settings!$B$4+Settings!$B$5+Settings!$B$6)*3,"F","")))</f>
        <v/>
      </c>
      <c r="AA1077" s="20">
        <f>IF($Z1077="C",$Y1077,IF($Z1077="A",$Y1077-Settings!$B$4*3,IF($Z1077="F",$Y1077-(Settings!$B$4+Settings!$B$5)*3,"")))</f>
        <v/>
      </c>
      <c r="AB1077" s="20">
        <f>IF($Z1077="","",INT(($AA1077-1)/3)+1)</f>
        <v/>
      </c>
      <c r="AC1077" s="20">
        <f>IF($Z1077="","",MOD($AA1077-1,3)+1)</f>
        <v/>
      </c>
      <c r="AD1077" s="20">
        <f>IF($Z1077="","",Settings!$B$2+$AC1077-1)</f>
        <v/>
      </c>
      <c r="AE1077" s="21">
        <f>IF($Z1077="C",DATE(YEAR(INDEX(Contracts!$J$2:$J$151,$AB1077)),MONTH(INDEX(Contracts!$J$2:$J$151,$AB1077)),1),IF($Z1077="A",DATE(YEAR(INDEX(Fixed_Assets!$G$2:$G$201,$AB1077)),MONTH(INDEX(Fixed_Assets!$G$2:$G$201,$AB1077)),1),IF($Z1077="F",DATE(YEAR(MAX(N(INDEX(Workforce!$I$2:$I$151,MATCH(INDEX(FTE_Allocation!$A$2:$A$201,$AB1077),Workforce!$A$2:$A$151,0))),N(INDEX(FTE_Allocation!$I$2:$I$201,$AB1077)))),MONTH(MAX(N(INDEX(Workforce!$I$2:$I$151,MATCH(INDEX(FTE_Allocation!$A$2:$A$201,$AB1077),Workforce!$A$2:$A$151,0))),N(INDEX(FTE_Allocation!$I$2:$I$201,$AB1077)))),1),"")))</f>
        <v/>
      </c>
      <c r="AF1077" s="21">
        <f>IF($Z1077="C",IF(INDEX(Contracts!$I$2:$I$151,$AB1077)="PREPAID",EDATE(DATE(YEAR(INDEX(Contracts!$J$2:$J$151,$AB1077)),MONTH(INDEX(Contracts!$J$2:$J$151,$AB1077)),1),IF(INDEX(Contracts!$N$2:$N$151,$AB1077)="",12,INDEX(Contracts!$N$2:$N$151,$AB1077))-1),IF(INDEX(Contracts!$I$2:$I$151,$AB1077)="MONTHLY",IF(INDEX(Contracts!$K$2:$K$151,$AB1077)="",2958101,INDEX(Contracts!$K$2:$K$151,$AB1077)),0)),IF($Z1077="A",EDATE(DATE(YEAR(INDEX(Fixed_Assets!$G$2:$G$201,$AB1077)),MONTH(INDEX(Fixed_Assets!$G$2:$G$201,$AB1077)),1),INDEX(Fixed_Assets!$J$2:$J$201,$AB1077)-1),IF($Z1077="F",MIN(IF(INDEX(Workforce!$J$2:$J$151,MATCH(INDEX(FTE_Allocation!$A$2:$A$201,$AB1077),Workforce!$A$2:$A$151,0))="",2958101,INDEX(Workforce!$J$2:$J$151,MATCH(INDEX(FTE_Allocation!$A$2:$A$201,$AB1077),Workforce!$A$2:$A$151,0))),IF(INDEX(FTE_Allocation!$J$2:$J$201,$AB1077)="",2958101,INDEX(FTE_Allocation!$J$2:$J$201,$AB1077))),"")))</f>
        <v/>
      </c>
      <c r="AG1077" s="19">
        <f>IF($Z1077="C",IF(INDEX(Contracts!$I$2:$I$151,$AB1077)="PREPAID",INDEX(Contracts!$M$2:$M$151,$AB1077)/IF(INDEX(Contracts!$N$2:$N$151,$AB1077)="",12,INDEX(Contracts!$N$2:$N$151,$AB1077)),IF(INDEX(Contracts!$I$2:$I$151,$AB1077)="MONTHLY",INDEX(Contracts!$M$2:$M$151,$AB1077),0))*(1-N(INDEX(Contracts!$O$2:$O$151,$AB1077))),IF($Z1077="A",INDEX(Fixed_Assets!$H$2:$H$201,$AB1077)/INDEX(Fixed_Assets!$J$2:$J$201,$AB1077),IF($Z1077="F",INDEX(Workforce!$F$2:$F$151,MATCH(INDEX(FTE_Allocation!$A$2:$A$201,$AB1077),Workforce!$A$2:$A$151,0))*N(INDEX(FTE_Allocation!$F$2:$H$201,$AB1077,$AC1077)),"")))</f>
        <v/>
      </c>
    </row>
    <row r="1078">
      <c r="A1078" s="7">
        <f>IF($Z1078="","",$AD1078)</f>
        <v/>
      </c>
      <c r="B1078" s="7">
        <f>IF($Z1078="C",INDEX(Contracts!$D$2:$D$151,$AB1078)&amp;"",IF($Z1078="A",INDEX(Fixed_Assets!$C$2:$C$201,$AB1078)&amp;"",IF($Z1078="F",INDEX(Workforce!$B$2:$B$151,MATCH(INDEX(FTE_Allocation!$A$2:$A$201,$AB1078),Workforce!$A$2:$A$151,0))&amp;"","")))</f>
        <v/>
      </c>
      <c r="C1078" s="7">
        <f>IF($Z1078="C",INDEX(Contracts!$E$2:$E$151,$AB1078)&amp;"",IF($Z1078="A",INDEX(Fixed_Assets!$D$2:$D$201,$AB1078)&amp;"",IF($Z1078="F",INDEX(FTE_Allocation!$C$2:$C$201,$AB1078)&amp;"","")))</f>
        <v/>
      </c>
      <c r="D1078" s="7">
        <f>IF($Z1078="C",INDEX(Contracts!$B$2:$B$151,$AB1078)&amp;"",IF($Z1078="A",INDEX(Fixed_Assets!$B$2:$B$201,$AB1078)&amp;"",IF($Z1078="F",INDEX(FTE_Allocation!$B$2:$B$201,$AB1078)&amp;"","")))</f>
        <v/>
      </c>
      <c r="E1078" s="7">
        <f>IF($Z1078="C",INDEX(Contracts!$P$2:$P$151,$AB1078)&amp;"",IF($Z1078="A",INDEX(Fixed_Assets!$K$2:$K$201,$AB1078)&amp;"",IF($Z1078="F",IF(INDEX(FTE_Allocation!$D$2:$D$201,$AB1078)="PROJECT",IFERROR(INDEX(Projects!$D:$D,MATCH(INDEX(FTE_Allocation!$E$2:$E$201,$AB1078),Projects!$A:$A,0))&amp;"","#PROJECT?"),INDEX(FTE_Allocation!$E$2:$E$201,$AB1078)&amp;""),"")))</f>
        <v/>
      </c>
      <c r="F1078" s="7">
        <f>IF($Z1078="C",INDEX(Contracts!$Q$2:$Q$151,$AB1078)&amp;"",IF($Z1078="A",INDEX(Fixed_Assets!$L$2:$L$201,$AB1078)&amp;"",IF($Z1078="F",INDEX(Workforce!$K$2:$K$151,MATCH(INDEX(FTE_Allocation!$A$2:$A$201,$AB1078),Workforce!$A$2:$A$151,0))&amp;"","")))</f>
        <v/>
      </c>
      <c r="G1078" s="7">
        <f>IF($Z1078="C",INDEX(Contracts!$F$2:$F$151,$AB1078)&amp;" / "&amp;INDEX(Contracts!$G$2:$G$151,$AB1078),IF($Z1078="A",INDEX(Fixed_Assets!$E$2:$E$201,$AB1078)&amp;"",IF($Z1078="F","Personnel "&amp;INDEX(FTE_Allocation!$A$2:$A$201,$AB1078)&amp;IF(INDEX(FTE_Allocation!$D$2:$D$201,$AB1078)="PROJECT"," ("&amp;INDEX(FTE_Allocation!$E$2:$E$201,$AB1078)&amp;")",""),"")))</f>
        <v/>
      </c>
      <c r="H1078" s="7">
        <f>IF($Z1078="C","CONTRACT",IF($Z1078="A","ASSET",IF($Z1078="F","WORKFORCE","")))</f>
        <v/>
      </c>
      <c r="I1078" s="7">
        <f>IF($Z1078="C",INDEX(Contracts!$L$2:$L$151,$AB1078)&amp;"",IF($Z1078="A",INDEX(Fixed_Assets!$I$2:$I$201,$AB1078)&amp;"",IF($Z1078="F",INDEX(Workforce!$G$2:$G$151,MATCH(INDEX(FTE_Allocation!$A$2:$A$201,$AB1078),Workforce!$A$2:$A$151,0))&amp;"","")))</f>
        <v/>
      </c>
      <c r="J1078" s="18">
        <f>IF($Z1078="","",IF(AND(DATE($AD1078,1,1)&gt;=$AE1078,DATE($AD1078,1,1)&lt;=$AF1078),ROUND($AG1078,2),0))</f>
        <v/>
      </c>
      <c r="K1078" s="18">
        <f>IF($Z1078="","",IF(AND(DATE($AD1078,2,1)&gt;=$AE1078,DATE($AD1078,2,1)&lt;=$AF1078),ROUND($AG1078,2),0))</f>
        <v/>
      </c>
      <c r="L1078" s="18">
        <f>IF($Z1078="","",IF(AND(DATE($AD1078,3,1)&gt;=$AE1078,DATE($AD1078,3,1)&lt;=$AF1078),ROUND($AG1078,2),0))</f>
        <v/>
      </c>
      <c r="M1078" s="18">
        <f>IF($Z1078="","",IF(AND(DATE($AD1078,4,1)&gt;=$AE1078,DATE($AD1078,4,1)&lt;=$AF1078),ROUND($AG1078,2),0))</f>
        <v/>
      </c>
      <c r="N1078" s="18">
        <f>IF($Z1078="","",IF(AND(DATE($AD1078,5,1)&gt;=$AE1078,DATE($AD1078,5,1)&lt;=$AF1078),ROUND($AG1078,2),0))</f>
        <v/>
      </c>
      <c r="O1078" s="18">
        <f>IF($Z1078="","",IF(AND(DATE($AD1078,6,1)&gt;=$AE1078,DATE($AD1078,6,1)&lt;=$AF1078),ROUND($AG1078,2),0))</f>
        <v/>
      </c>
      <c r="P1078" s="18">
        <f>IF($Z1078="","",IF(AND(DATE($AD1078,7,1)&gt;=$AE1078,DATE($AD1078,7,1)&lt;=$AF1078),ROUND($AG1078,2),0))</f>
        <v/>
      </c>
      <c r="Q1078" s="18">
        <f>IF($Z1078="","",IF(AND(DATE($AD1078,8,1)&gt;=$AE1078,DATE($AD1078,8,1)&lt;=$AF1078),ROUND($AG1078,2),0))</f>
        <v/>
      </c>
      <c r="R1078" s="18">
        <f>IF($Z1078="","",IF(AND(DATE($AD1078,9,1)&gt;=$AE1078,DATE($AD1078,9,1)&lt;=$AF1078),ROUND($AG1078,2),0))</f>
        <v/>
      </c>
      <c r="S1078" s="18">
        <f>IF($Z1078="","",IF(AND(DATE($AD1078,10,1)&gt;=$AE1078,DATE($AD1078,10,1)&lt;=$AF1078),ROUND($AG1078,2),0))</f>
        <v/>
      </c>
      <c r="T1078" s="18">
        <f>IF($Z1078="","",IF(AND(DATE($AD1078,11,1)&gt;=$AE1078,DATE($AD1078,11,1)&lt;=$AF1078),ROUND($AG1078,2),0))</f>
        <v/>
      </c>
      <c r="U1078" s="18">
        <f>IF($Z1078="","",IF(AND(DATE($AD1078,12,1)&gt;=$AE1078,DATE($AD1078,12,1)&lt;=$AF1078),ROUND($AG1078,2),0))</f>
        <v/>
      </c>
      <c r="V1078" s="7">
        <f>IF($Z1078="C","Generated from "&amp;INDEX(Contracts!$A$2:$A$151,$AB1078),IF($Z1078="A","Generated from "&amp;INDEX(Fixed_Assets!$A$2:$A$201,$AB1078),IF($Z1078="F","Generated from "&amp;INDEX(FTE_Allocation!$A$2:$A$201,$AB1078),"")))</f>
        <v/>
      </c>
      <c r="X1078" s="19">
        <f>IF($Z1078="","",SUM(J1078:U1078))</f>
        <v/>
      </c>
      <c r="Y1078" s="20">
        <f>ROW()-1</f>
        <v/>
      </c>
      <c r="Z1078" s="20">
        <f>IF($Y1078&lt;=Settings!$B$4*3,"C",IF($Y1078&lt;=(Settings!$B$4+Settings!$B$5)*3,"A",IF($Y1078&lt;=(Settings!$B$4+Settings!$B$5+Settings!$B$6)*3,"F","")))</f>
        <v/>
      </c>
      <c r="AA1078" s="20">
        <f>IF($Z1078="C",$Y1078,IF($Z1078="A",$Y1078-Settings!$B$4*3,IF($Z1078="F",$Y1078-(Settings!$B$4+Settings!$B$5)*3,"")))</f>
        <v/>
      </c>
      <c r="AB1078" s="20">
        <f>IF($Z1078="","",INT(($AA1078-1)/3)+1)</f>
        <v/>
      </c>
      <c r="AC1078" s="20">
        <f>IF($Z1078="","",MOD($AA1078-1,3)+1)</f>
        <v/>
      </c>
      <c r="AD1078" s="20">
        <f>IF($Z1078="","",Settings!$B$2+$AC1078-1)</f>
        <v/>
      </c>
      <c r="AE1078" s="21">
        <f>IF($Z1078="C",DATE(YEAR(INDEX(Contracts!$J$2:$J$151,$AB1078)),MONTH(INDEX(Contracts!$J$2:$J$151,$AB1078)),1),IF($Z1078="A",DATE(YEAR(INDEX(Fixed_Assets!$G$2:$G$201,$AB1078)),MONTH(INDEX(Fixed_Assets!$G$2:$G$201,$AB1078)),1),IF($Z1078="F",DATE(YEAR(MAX(N(INDEX(Workforce!$I$2:$I$151,MATCH(INDEX(FTE_Allocation!$A$2:$A$201,$AB1078),Workforce!$A$2:$A$151,0))),N(INDEX(FTE_Allocation!$I$2:$I$201,$AB1078)))),MONTH(MAX(N(INDEX(Workforce!$I$2:$I$151,MATCH(INDEX(FTE_Allocation!$A$2:$A$201,$AB1078),Workforce!$A$2:$A$151,0))),N(INDEX(FTE_Allocation!$I$2:$I$201,$AB1078)))),1),"")))</f>
        <v/>
      </c>
      <c r="AF1078" s="21">
        <f>IF($Z1078="C",IF(INDEX(Contracts!$I$2:$I$151,$AB1078)="PREPAID",EDATE(DATE(YEAR(INDEX(Contracts!$J$2:$J$151,$AB1078)),MONTH(INDEX(Contracts!$J$2:$J$151,$AB1078)),1),IF(INDEX(Contracts!$N$2:$N$151,$AB1078)="",12,INDEX(Contracts!$N$2:$N$151,$AB1078))-1),IF(INDEX(Contracts!$I$2:$I$151,$AB1078)="MONTHLY",IF(INDEX(Contracts!$K$2:$K$151,$AB1078)="",2958101,INDEX(Contracts!$K$2:$K$151,$AB1078)),0)),IF($Z1078="A",EDATE(DATE(YEAR(INDEX(Fixed_Assets!$G$2:$G$201,$AB1078)),MONTH(INDEX(Fixed_Assets!$G$2:$G$201,$AB1078)),1),INDEX(Fixed_Assets!$J$2:$J$201,$AB1078)-1),IF($Z1078="F",MIN(IF(INDEX(Workforce!$J$2:$J$151,MATCH(INDEX(FTE_Allocation!$A$2:$A$201,$AB1078),Workforce!$A$2:$A$151,0))="",2958101,INDEX(Workforce!$J$2:$J$151,MATCH(INDEX(FTE_Allocation!$A$2:$A$201,$AB1078),Workforce!$A$2:$A$151,0))),IF(INDEX(FTE_Allocation!$J$2:$J$201,$AB1078)="",2958101,INDEX(FTE_Allocation!$J$2:$J$201,$AB1078))),"")))</f>
        <v/>
      </c>
      <c r="AG1078" s="19">
        <f>IF($Z1078="C",IF(INDEX(Contracts!$I$2:$I$151,$AB1078)="PREPAID",INDEX(Contracts!$M$2:$M$151,$AB1078)/IF(INDEX(Contracts!$N$2:$N$151,$AB1078)="",12,INDEX(Contracts!$N$2:$N$151,$AB1078)),IF(INDEX(Contracts!$I$2:$I$151,$AB1078)="MONTHLY",INDEX(Contracts!$M$2:$M$151,$AB1078),0))*(1-N(INDEX(Contracts!$O$2:$O$151,$AB1078))),IF($Z1078="A",INDEX(Fixed_Assets!$H$2:$H$201,$AB1078)/INDEX(Fixed_Assets!$J$2:$J$201,$AB1078),IF($Z1078="F",INDEX(Workforce!$F$2:$F$151,MATCH(INDEX(FTE_Allocation!$A$2:$A$201,$AB1078),Workforce!$A$2:$A$151,0))*N(INDEX(FTE_Allocation!$F$2:$H$201,$AB1078,$AC1078)),"")))</f>
        <v/>
      </c>
    </row>
    <row r="1079">
      <c r="A1079" s="7">
        <f>IF($Z1079="","",$AD1079)</f>
        <v/>
      </c>
      <c r="B1079" s="7">
        <f>IF($Z1079="C",INDEX(Contracts!$D$2:$D$151,$AB1079)&amp;"",IF($Z1079="A",INDEX(Fixed_Assets!$C$2:$C$201,$AB1079)&amp;"",IF($Z1079="F",INDEX(Workforce!$B$2:$B$151,MATCH(INDEX(FTE_Allocation!$A$2:$A$201,$AB1079),Workforce!$A$2:$A$151,0))&amp;"","")))</f>
        <v/>
      </c>
      <c r="C1079" s="7">
        <f>IF($Z1079="C",INDEX(Contracts!$E$2:$E$151,$AB1079)&amp;"",IF($Z1079="A",INDEX(Fixed_Assets!$D$2:$D$201,$AB1079)&amp;"",IF($Z1079="F",INDEX(FTE_Allocation!$C$2:$C$201,$AB1079)&amp;"","")))</f>
        <v/>
      </c>
      <c r="D1079" s="7">
        <f>IF($Z1079="C",INDEX(Contracts!$B$2:$B$151,$AB1079)&amp;"",IF($Z1079="A",INDEX(Fixed_Assets!$B$2:$B$201,$AB1079)&amp;"",IF($Z1079="F",INDEX(FTE_Allocation!$B$2:$B$201,$AB1079)&amp;"","")))</f>
        <v/>
      </c>
      <c r="E1079" s="7">
        <f>IF($Z1079="C",INDEX(Contracts!$P$2:$P$151,$AB1079)&amp;"",IF($Z1079="A",INDEX(Fixed_Assets!$K$2:$K$201,$AB1079)&amp;"",IF($Z1079="F",IF(INDEX(FTE_Allocation!$D$2:$D$201,$AB1079)="PROJECT",IFERROR(INDEX(Projects!$D:$D,MATCH(INDEX(FTE_Allocation!$E$2:$E$201,$AB1079),Projects!$A:$A,0))&amp;"","#PROJECT?"),INDEX(FTE_Allocation!$E$2:$E$201,$AB1079)&amp;""),"")))</f>
        <v/>
      </c>
      <c r="F1079" s="7">
        <f>IF($Z1079="C",INDEX(Contracts!$Q$2:$Q$151,$AB1079)&amp;"",IF($Z1079="A",INDEX(Fixed_Assets!$L$2:$L$201,$AB1079)&amp;"",IF($Z1079="F",INDEX(Workforce!$K$2:$K$151,MATCH(INDEX(FTE_Allocation!$A$2:$A$201,$AB1079),Workforce!$A$2:$A$151,0))&amp;"","")))</f>
        <v/>
      </c>
      <c r="G1079" s="7">
        <f>IF($Z1079="C",INDEX(Contracts!$F$2:$F$151,$AB1079)&amp;" / "&amp;INDEX(Contracts!$G$2:$G$151,$AB1079),IF($Z1079="A",INDEX(Fixed_Assets!$E$2:$E$201,$AB1079)&amp;"",IF($Z1079="F","Personnel "&amp;INDEX(FTE_Allocation!$A$2:$A$201,$AB1079)&amp;IF(INDEX(FTE_Allocation!$D$2:$D$201,$AB1079)="PROJECT"," ("&amp;INDEX(FTE_Allocation!$E$2:$E$201,$AB1079)&amp;")",""),"")))</f>
        <v/>
      </c>
      <c r="H1079" s="7">
        <f>IF($Z1079="C","CONTRACT",IF($Z1079="A","ASSET",IF($Z1079="F","WORKFORCE","")))</f>
        <v/>
      </c>
      <c r="I1079" s="7">
        <f>IF($Z1079="C",INDEX(Contracts!$L$2:$L$151,$AB1079)&amp;"",IF($Z1079="A",INDEX(Fixed_Assets!$I$2:$I$201,$AB1079)&amp;"",IF($Z1079="F",INDEX(Workforce!$G$2:$G$151,MATCH(INDEX(FTE_Allocation!$A$2:$A$201,$AB1079),Workforce!$A$2:$A$151,0))&amp;"","")))</f>
        <v/>
      </c>
      <c r="J1079" s="18">
        <f>IF($Z1079="","",IF(AND(DATE($AD1079,1,1)&gt;=$AE1079,DATE($AD1079,1,1)&lt;=$AF1079),ROUND($AG1079,2),0))</f>
        <v/>
      </c>
      <c r="K1079" s="18">
        <f>IF($Z1079="","",IF(AND(DATE($AD1079,2,1)&gt;=$AE1079,DATE($AD1079,2,1)&lt;=$AF1079),ROUND($AG1079,2),0))</f>
        <v/>
      </c>
      <c r="L1079" s="18">
        <f>IF($Z1079="","",IF(AND(DATE($AD1079,3,1)&gt;=$AE1079,DATE($AD1079,3,1)&lt;=$AF1079),ROUND($AG1079,2),0))</f>
        <v/>
      </c>
      <c r="M1079" s="18">
        <f>IF($Z1079="","",IF(AND(DATE($AD1079,4,1)&gt;=$AE1079,DATE($AD1079,4,1)&lt;=$AF1079),ROUND($AG1079,2),0))</f>
        <v/>
      </c>
      <c r="N1079" s="18">
        <f>IF($Z1079="","",IF(AND(DATE($AD1079,5,1)&gt;=$AE1079,DATE($AD1079,5,1)&lt;=$AF1079),ROUND($AG1079,2),0))</f>
        <v/>
      </c>
      <c r="O1079" s="18">
        <f>IF($Z1079="","",IF(AND(DATE($AD1079,6,1)&gt;=$AE1079,DATE($AD1079,6,1)&lt;=$AF1079),ROUND($AG1079,2),0))</f>
        <v/>
      </c>
      <c r="P1079" s="18">
        <f>IF($Z1079="","",IF(AND(DATE($AD1079,7,1)&gt;=$AE1079,DATE($AD1079,7,1)&lt;=$AF1079),ROUND($AG1079,2),0))</f>
        <v/>
      </c>
      <c r="Q1079" s="18">
        <f>IF($Z1079="","",IF(AND(DATE($AD1079,8,1)&gt;=$AE1079,DATE($AD1079,8,1)&lt;=$AF1079),ROUND($AG1079,2),0))</f>
        <v/>
      </c>
      <c r="R1079" s="18">
        <f>IF($Z1079="","",IF(AND(DATE($AD1079,9,1)&gt;=$AE1079,DATE($AD1079,9,1)&lt;=$AF1079),ROUND($AG1079,2),0))</f>
        <v/>
      </c>
      <c r="S1079" s="18">
        <f>IF($Z1079="","",IF(AND(DATE($AD1079,10,1)&gt;=$AE1079,DATE($AD1079,10,1)&lt;=$AF1079),ROUND($AG1079,2),0))</f>
        <v/>
      </c>
      <c r="T1079" s="18">
        <f>IF($Z1079="","",IF(AND(DATE($AD1079,11,1)&gt;=$AE1079,DATE($AD1079,11,1)&lt;=$AF1079),ROUND($AG1079,2),0))</f>
        <v/>
      </c>
      <c r="U1079" s="18">
        <f>IF($Z1079="","",IF(AND(DATE($AD1079,12,1)&gt;=$AE1079,DATE($AD1079,12,1)&lt;=$AF1079),ROUND($AG1079,2),0))</f>
        <v/>
      </c>
      <c r="V1079" s="7">
        <f>IF($Z1079="C","Generated from "&amp;INDEX(Contracts!$A$2:$A$151,$AB1079),IF($Z1079="A","Generated from "&amp;INDEX(Fixed_Assets!$A$2:$A$201,$AB1079),IF($Z1079="F","Generated from "&amp;INDEX(FTE_Allocation!$A$2:$A$201,$AB1079),"")))</f>
        <v/>
      </c>
      <c r="X1079" s="19">
        <f>IF($Z1079="","",SUM(J1079:U1079))</f>
        <v/>
      </c>
      <c r="Y1079" s="20">
        <f>ROW()-1</f>
        <v/>
      </c>
      <c r="Z1079" s="20">
        <f>IF($Y1079&lt;=Settings!$B$4*3,"C",IF($Y1079&lt;=(Settings!$B$4+Settings!$B$5)*3,"A",IF($Y1079&lt;=(Settings!$B$4+Settings!$B$5+Settings!$B$6)*3,"F","")))</f>
        <v/>
      </c>
      <c r="AA1079" s="20">
        <f>IF($Z1079="C",$Y1079,IF($Z1079="A",$Y1079-Settings!$B$4*3,IF($Z1079="F",$Y1079-(Settings!$B$4+Settings!$B$5)*3,"")))</f>
        <v/>
      </c>
      <c r="AB1079" s="20">
        <f>IF($Z1079="","",INT(($AA1079-1)/3)+1)</f>
        <v/>
      </c>
      <c r="AC1079" s="20">
        <f>IF($Z1079="","",MOD($AA1079-1,3)+1)</f>
        <v/>
      </c>
      <c r="AD1079" s="20">
        <f>IF($Z1079="","",Settings!$B$2+$AC1079-1)</f>
        <v/>
      </c>
      <c r="AE1079" s="21">
        <f>IF($Z1079="C",DATE(YEAR(INDEX(Contracts!$J$2:$J$151,$AB1079)),MONTH(INDEX(Contracts!$J$2:$J$151,$AB1079)),1),IF($Z1079="A",DATE(YEAR(INDEX(Fixed_Assets!$G$2:$G$201,$AB1079)),MONTH(INDEX(Fixed_Assets!$G$2:$G$201,$AB1079)),1),IF($Z1079="F",DATE(YEAR(MAX(N(INDEX(Workforce!$I$2:$I$151,MATCH(INDEX(FTE_Allocation!$A$2:$A$201,$AB1079),Workforce!$A$2:$A$151,0))),N(INDEX(FTE_Allocation!$I$2:$I$201,$AB1079)))),MONTH(MAX(N(INDEX(Workforce!$I$2:$I$151,MATCH(INDEX(FTE_Allocation!$A$2:$A$201,$AB1079),Workforce!$A$2:$A$151,0))),N(INDEX(FTE_Allocation!$I$2:$I$201,$AB1079)))),1),"")))</f>
        <v/>
      </c>
      <c r="AF1079" s="21">
        <f>IF($Z1079="C",IF(INDEX(Contracts!$I$2:$I$151,$AB1079)="PREPAID",EDATE(DATE(YEAR(INDEX(Contracts!$J$2:$J$151,$AB1079)),MONTH(INDEX(Contracts!$J$2:$J$151,$AB1079)),1),IF(INDEX(Contracts!$N$2:$N$151,$AB1079)="",12,INDEX(Contracts!$N$2:$N$151,$AB1079))-1),IF(INDEX(Contracts!$I$2:$I$151,$AB1079)="MONTHLY",IF(INDEX(Contracts!$K$2:$K$151,$AB1079)="",2958101,INDEX(Contracts!$K$2:$K$151,$AB1079)),0)),IF($Z1079="A",EDATE(DATE(YEAR(INDEX(Fixed_Assets!$G$2:$G$201,$AB1079)),MONTH(INDEX(Fixed_Assets!$G$2:$G$201,$AB1079)),1),INDEX(Fixed_Assets!$J$2:$J$201,$AB1079)-1),IF($Z1079="F",MIN(IF(INDEX(Workforce!$J$2:$J$151,MATCH(INDEX(FTE_Allocation!$A$2:$A$201,$AB1079),Workforce!$A$2:$A$151,0))="",2958101,INDEX(Workforce!$J$2:$J$151,MATCH(INDEX(FTE_Allocation!$A$2:$A$201,$AB1079),Workforce!$A$2:$A$151,0))),IF(INDEX(FTE_Allocation!$J$2:$J$201,$AB1079)="",2958101,INDEX(FTE_Allocation!$J$2:$J$201,$AB1079))),"")))</f>
        <v/>
      </c>
      <c r="AG1079" s="19">
        <f>IF($Z1079="C",IF(INDEX(Contracts!$I$2:$I$151,$AB1079)="PREPAID",INDEX(Contracts!$M$2:$M$151,$AB1079)/IF(INDEX(Contracts!$N$2:$N$151,$AB1079)="",12,INDEX(Contracts!$N$2:$N$151,$AB1079)),IF(INDEX(Contracts!$I$2:$I$151,$AB1079)="MONTHLY",INDEX(Contracts!$M$2:$M$151,$AB1079),0))*(1-N(INDEX(Contracts!$O$2:$O$151,$AB1079))),IF($Z1079="A",INDEX(Fixed_Assets!$H$2:$H$201,$AB1079)/INDEX(Fixed_Assets!$J$2:$J$201,$AB1079),IF($Z1079="F",INDEX(Workforce!$F$2:$F$151,MATCH(INDEX(FTE_Allocation!$A$2:$A$201,$AB1079),Workforce!$A$2:$A$151,0))*N(INDEX(FTE_Allocation!$F$2:$H$201,$AB1079,$AC1079)),"")))</f>
        <v/>
      </c>
    </row>
    <row r="1080">
      <c r="A1080" s="7">
        <f>IF($Z1080="","",$AD1080)</f>
        <v/>
      </c>
      <c r="B1080" s="7">
        <f>IF($Z1080="C",INDEX(Contracts!$D$2:$D$151,$AB1080)&amp;"",IF($Z1080="A",INDEX(Fixed_Assets!$C$2:$C$201,$AB1080)&amp;"",IF($Z1080="F",INDEX(Workforce!$B$2:$B$151,MATCH(INDEX(FTE_Allocation!$A$2:$A$201,$AB1080),Workforce!$A$2:$A$151,0))&amp;"","")))</f>
        <v/>
      </c>
      <c r="C1080" s="7">
        <f>IF($Z1080="C",INDEX(Contracts!$E$2:$E$151,$AB1080)&amp;"",IF($Z1080="A",INDEX(Fixed_Assets!$D$2:$D$201,$AB1080)&amp;"",IF($Z1080="F",INDEX(FTE_Allocation!$C$2:$C$201,$AB1080)&amp;"","")))</f>
        <v/>
      </c>
      <c r="D1080" s="7">
        <f>IF($Z1080="C",INDEX(Contracts!$B$2:$B$151,$AB1080)&amp;"",IF($Z1080="A",INDEX(Fixed_Assets!$B$2:$B$201,$AB1080)&amp;"",IF($Z1080="F",INDEX(FTE_Allocation!$B$2:$B$201,$AB1080)&amp;"","")))</f>
        <v/>
      </c>
      <c r="E1080" s="7">
        <f>IF($Z1080="C",INDEX(Contracts!$P$2:$P$151,$AB1080)&amp;"",IF($Z1080="A",INDEX(Fixed_Assets!$K$2:$K$201,$AB1080)&amp;"",IF($Z1080="F",IF(INDEX(FTE_Allocation!$D$2:$D$201,$AB1080)="PROJECT",IFERROR(INDEX(Projects!$D:$D,MATCH(INDEX(FTE_Allocation!$E$2:$E$201,$AB1080),Projects!$A:$A,0))&amp;"","#PROJECT?"),INDEX(FTE_Allocation!$E$2:$E$201,$AB1080)&amp;""),"")))</f>
        <v/>
      </c>
      <c r="F1080" s="7">
        <f>IF($Z1080="C",INDEX(Contracts!$Q$2:$Q$151,$AB1080)&amp;"",IF($Z1080="A",INDEX(Fixed_Assets!$L$2:$L$201,$AB1080)&amp;"",IF($Z1080="F",INDEX(Workforce!$K$2:$K$151,MATCH(INDEX(FTE_Allocation!$A$2:$A$201,$AB1080),Workforce!$A$2:$A$151,0))&amp;"","")))</f>
        <v/>
      </c>
      <c r="G1080" s="7">
        <f>IF($Z1080="C",INDEX(Contracts!$F$2:$F$151,$AB1080)&amp;" / "&amp;INDEX(Contracts!$G$2:$G$151,$AB1080),IF($Z1080="A",INDEX(Fixed_Assets!$E$2:$E$201,$AB1080)&amp;"",IF($Z1080="F","Personnel "&amp;INDEX(FTE_Allocation!$A$2:$A$201,$AB1080)&amp;IF(INDEX(FTE_Allocation!$D$2:$D$201,$AB1080)="PROJECT"," ("&amp;INDEX(FTE_Allocation!$E$2:$E$201,$AB1080)&amp;")",""),"")))</f>
        <v/>
      </c>
      <c r="H1080" s="7">
        <f>IF($Z1080="C","CONTRACT",IF($Z1080="A","ASSET",IF($Z1080="F","WORKFORCE","")))</f>
        <v/>
      </c>
      <c r="I1080" s="7">
        <f>IF($Z1080="C",INDEX(Contracts!$L$2:$L$151,$AB1080)&amp;"",IF($Z1080="A",INDEX(Fixed_Assets!$I$2:$I$201,$AB1080)&amp;"",IF($Z1080="F",INDEX(Workforce!$G$2:$G$151,MATCH(INDEX(FTE_Allocation!$A$2:$A$201,$AB1080),Workforce!$A$2:$A$151,0))&amp;"","")))</f>
        <v/>
      </c>
      <c r="J1080" s="18">
        <f>IF($Z1080="","",IF(AND(DATE($AD1080,1,1)&gt;=$AE1080,DATE($AD1080,1,1)&lt;=$AF1080),ROUND($AG1080,2),0))</f>
        <v/>
      </c>
      <c r="K1080" s="18">
        <f>IF($Z1080="","",IF(AND(DATE($AD1080,2,1)&gt;=$AE1080,DATE($AD1080,2,1)&lt;=$AF1080),ROUND($AG1080,2),0))</f>
        <v/>
      </c>
      <c r="L1080" s="18">
        <f>IF($Z1080="","",IF(AND(DATE($AD1080,3,1)&gt;=$AE1080,DATE($AD1080,3,1)&lt;=$AF1080),ROUND($AG1080,2),0))</f>
        <v/>
      </c>
      <c r="M1080" s="18">
        <f>IF($Z1080="","",IF(AND(DATE($AD1080,4,1)&gt;=$AE1080,DATE($AD1080,4,1)&lt;=$AF1080),ROUND($AG1080,2),0))</f>
        <v/>
      </c>
      <c r="N1080" s="18">
        <f>IF($Z1080="","",IF(AND(DATE($AD1080,5,1)&gt;=$AE1080,DATE($AD1080,5,1)&lt;=$AF1080),ROUND($AG1080,2),0))</f>
        <v/>
      </c>
      <c r="O1080" s="18">
        <f>IF($Z1080="","",IF(AND(DATE($AD1080,6,1)&gt;=$AE1080,DATE($AD1080,6,1)&lt;=$AF1080),ROUND($AG1080,2),0))</f>
        <v/>
      </c>
      <c r="P1080" s="18">
        <f>IF($Z1080="","",IF(AND(DATE($AD1080,7,1)&gt;=$AE1080,DATE($AD1080,7,1)&lt;=$AF1080),ROUND($AG1080,2),0))</f>
        <v/>
      </c>
      <c r="Q1080" s="18">
        <f>IF($Z1080="","",IF(AND(DATE($AD1080,8,1)&gt;=$AE1080,DATE($AD1080,8,1)&lt;=$AF1080),ROUND($AG1080,2),0))</f>
        <v/>
      </c>
      <c r="R1080" s="18">
        <f>IF($Z1080="","",IF(AND(DATE($AD1080,9,1)&gt;=$AE1080,DATE($AD1080,9,1)&lt;=$AF1080),ROUND($AG1080,2),0))</f>
        <v/>
      </c>
      <c r="S1080" s="18">
        <f>IF($Z1080="","",IF(AND(DATE($AD1080,10,1)&gt;=$AE1080,DATE($AD1080,10,1)&lt;=$AF1080),ROUND($AG1080,2),0))</f>
        <v/>
      </c>
      <c r="T1080" s="18">
        <f>IF($Z1080="","",IF(AND(DATE($AD1080,11,1)&gt;=$AE1080,DATE($AD1080,11,1)&lt;=$AF1080),ROUND($AG1080,2),0))</f>
        <v/>
      </c>
      <c r="U1080" s="18">
        <f>IF($Z1080="","",IF(AND(DATE($AD1080,12,1)&gt;=$AE1080,DATE($AD1080,12,1)&lt;=$AF1080),ROUND($AG1080,2),0))</f>
        <v/>
      </c>
      <c r="V1080" s="7">
        <f>IF($Z1080="C","Generated from "&amp;INDEX(Contracts!$A$2:$A$151,$AB1080),IF($Z1080="A","Generated from "&amp;INDEX(Fixed_Assets!$A$2:$A$201,$AB1080),IF($Z1080="F","Generated from "&amp;INDEX(FTE_Allocation!$A$2:$A$201,$AB1080),"")))</f>
        <v/>
      </c>
      <c r="X1080" s="19">
        <f>IF($Z1080="","",SUM(J1080:U1080))</f>
        <v/>
      </c>
      <c r="Y1080" s="20">
        <f>ROW()-1</f>
        <v/>
      </c>
      <c r="Z1080" s="20">
        <f>IF($Y1080&lt;=Settings!$B$4*3,"C",IF($Y1080&lt;=(Settings!$B$4+Settings!$B$5)*3,"A",IF($Y1080&lt;=(Settings!$B$4+Settings!$B$5+Settings!$B$6)*3,"F","")))</f>
        <v/>
      </c>
      <c r="AA1080" s="20">
        <f>IF($Z1080="C",$Y1080,IF($Z1080="A",$Y1080-Settings!$B$4*3,IF($Z1080="F",$Y1080-(Settings!$B$4+Settings!$B$5)*3,"")))</f>
        <v/>
      </c>
      <c r="AB1080" s="20">
        <f>IF($Z1080="","",INT(($AA1080-1)/3)+1)</f>
        <v/>
      </c>
      <c r="AC1080" s="20">
        <f>IF($Z1080="","",MOD($AA1080-1,3)+1)</f>
        <v/>
      </c>
      <c r="AD1080" s="20">
        <f>IF($Z1080="","",Settings!$B$2+$AC1080-1)</f>
        <v/>
      </c>
      <c r="AE1080" s="21">
        <f>IF($Z1080="C",DATE(YEAR(INDEX(Contracts!$J$2:$J$151,$AB1080)),MONTH(INDEX(Contracts!$J$2:$J$151,$AB1080)),1),IF($Z1080="A",DATE(YEAR(INDEX(Fixed_Assets!$G$2:$G$201,$AB1080)),MONTH(INDEX(Fixed_Assets!$G$2:$G$201,$AB1080)),1),IF($Z1080="F",DATE(YEAR(MAX(N(INDEX(Workforce!$I$2:$I$151,MATCH(INDEX(FTE_Allocation!$A$2:$A$201,$AB1080),Workforce!$A$2:$A$151,0))),N(INDEX(FTE_Allocation!$I$2:$I$201,$AB1080)))),MONTH(MAX(N(INDEX(Workforce!$I$2:$I$151,MATCH(INDEX(FTE_Allocation!$A$2:$A$201,$AB1080),Workforce!$A$2:$A$151,0))),N(INDEX(FTE_Allocation!$I$2:$I$201,$AB1080)))),1),"")))</f>
        <v/>
      </c>
      <c r="AF1080" s="21">
        <f>IF($Z1080="C",IF(INDEX(Contracts!$I$2:$I$151,$AB1080)="PREPAID",EDATE(DATE(YEAR(INDEX(Contracts!$J$2:$J$151,$AB1080)),MONTH(INDEX(Contracts!$J$2:$J$151,$AB1080)),1),IF(INDEX(Contracts!$N$2:$N$151,$AB1080)="",12,INDEX(Contracts!$N$2:$N$151,$AB1080))-1),IF(INDEX(Contracts!$I$2:$I$151,$AB1080)="MONTHLY",IF(INDEX(Contracts!$K$2:$K$151,$AB1080)="",2958101,INDEX(Contracts!$K$2:$K$151,$AB1080)),0)),IF($Z1080="A",EDATE(DATE(YEAR(INDEX(Fixed_Assets!$G$2:$G$201,$AB1080)),MONTH(INDEX(Fixed_Assets!$G$2:$G$201,$AB1080)),1),INDEX(Fixed_Assets!$J$2:$J$201,$AB1080)-1),IF($Z1080="F",MIN(IF(INDEX(Workforce!$J$2:$J$151,MATCH(INDEX(FTE_Allocation!$A$2:$A$201,$AB1080),Workforce!$A$2:$A$151,0))="",2958101,INDEX(Workforce!$J$2:$J$151,MATCH(INDEX(FTE_Allocation!$A$2:$A$201,$AB1080),Workforce!$A$2:$A$151,0))),IF(INDEX(FTE_Allocation!$J$2:$J$201,$AB1080)="",2958101,INDEX(FTE_Allocation!$J$2:$J$201,$AB1080))),"")))</f>
        <v/>
      </c>
      <c r="AG1080" s="19">
        <f>IF($Z1080="C",IF(INDEX(Contracts!$I$2:$I$151,$AB1080)="PREPAID",INDEX(Contracts!$M$2:$M$151,$AB1080)/IF(INDEX(Contracts!$N$2:$N$151,$AB1080)="",12,INDEX(Contracts!$N$2:$N$151,$AB1080)),IF(INDEX(Contracts!$I$2:$I$151,$AB1080)="MONTHLY",INDEX(Contracts!$M$2:$M$151,$AB1080),0))*(1-N(INDEX(Contracts!$O$2:$O$151,$AB1080))),IF($Z1080="A",INDEX(Fixed_Assets!$H$2:$H$201,$AB1080)/INDEX(Fixed_Assets!$J$2:$J$201,$AB1080),IF($Z1080="F",INDEX(Workforce!$F$2:$F$151,MATCH(INDEX(FTE_Allocation!$A$2:$A$201,$AB1080),Workforce!$A$2:$A$151,0))*N(INDEX(FTE_Allocation!$F$2:$H$201,$AB1080,$AC1080)),"")))</f>
        <v/>
      </c>
    </row>
    <row r="1081">
      <c r="A1081" s="7">
        <f>IF($Z1081="","",$AD1081)</f>
        <v/>
      </c>
      <c r="B1081" s="7">
        <f>IF($Z1081="C",INDEX(Contracts!$D$2:$D$151,$AB1081)&amp;"",IF($Z1081="A",INDEX(Fixed_Assets!$C$2:$C$201,$AB1081)&amp;"",IF($Z1081="F",INDEX(Workforce!$B$2:$B$151,MATCH(INDEX(FTE_Allocation!$A$2:$A$201,$AB1081),Workforce!$A$2:$A$151,0))&amp;"","")))</f>
        <v/>
      </c>
      <c r="C1081" s="7">
        <f>IF($Z1081="C",INDEX(Contracts!$E$2:$E$151,$AB1081)&amp;"",IF($Z1081="A",INDEX(Fixed_Assets!$D$2:$D$201,$AB1081)&amp;"",IF($Z1081="F",INDEX(FTE_Allocation!$C$2:$C$201,$AB1081)&amp;"","")))</f>
        <v/>
      </c>
      <c r="D1081" s="7">
        <f>IF($Z1081="C",INDEX(Contracts!$B$2:$B$151,$AB1081)&amp;"",IF($Z1081="A",INDEX(Fixed_Assets!$B$2:$B$201,$AB1081)&amp;"",IF($Z1081="F",INDEX(FTE_Allocation!$B$2:$B$201,$AB1081)&amp;"","")))</f>
        <v/>
      </c>
      <c r="E1081" s="7">
        <f>IF($Z1081="C",INDEX(Contracts!$P$2:$P$151,$AB1081)&amp;"",IF($Z1081="A",INDEX(Fixed_Assets!$K$2:$K$201,$AB1081)&amp;"",IF($Z1081="F",IF(INDEX(FTE_Allocation!$D$2:$D$201,$AB1081)="PROJECT",IFERROR(INDEX(Projects!$D:$D,MATCH(INDEX(FTE_Allocation!$E$2:$E$201,$AB1081),Projects!$A:$A,0))&amp;"","#PROJECT?"),INDEX(FTE_Allocation!$E$2:$E$201,$AB1081)&amp;""),"")))</f>
        <v/>
      </c>
      <c r="F1081" s="7">
        <f>IF($Z1081="C",INDEX(Contracts!$Q$2:$Q$151,$AB1081)&amp;"",IF($Z1081="A",INDEX(Fixed_Assets!$L$2:$L$201,$AB1081)&amp;"",IF($Z1081="F",INDEX(Workforce!$K$2:$K$151,MATCH(INDEX(FTE_Allocation!$A$2:$A$201,$AB1081),Workforce!$A$2:$A$151,0))&amp;"","")))</f>
        <v/>
      </c>
      <c r="G1081" s="7">
        <f>IF($Z1081="C",INDEX(Contracts!$F$2:$F$151,$AB1081)&amp;" / "&amp;INDEX(Contracts!$G$2:$G$151,$AB1081),IF($Z1081="A",INDEX(Fixed_Assets!$E$2:$E$201,$AB1081)&amp;"",IF($Z1081="F","Personnel "&amp;INDEX(FTE_Allocation!$A$2:$A$201,$AB1081)&amp;IF(INDEX(FTE_Allocation!$D$2:$D$201,$AB1081)="PROJECT"," ("&amp;INDEX(FTE_Allocation!$E$2:$E$201,$AB1081)&amp;")",""),"")))</f>
        <v/>
      </c>
      <c r="H1081" s="7">
        <f>IF($Z1081="C","CONTRACT",IF($Z1081="A","ASSET",IF($Z1081="F","WORKFORCE","")))</f>
        <v/>
      </c>
      <c r="I1081" s="7">
        <f>IF($Z1081="C",INDEX(Contracts!$L$2:$L$151,$AB1081)&amp;"",IF($Z1081="A",INDEX(Fixed_Assets!$I$2:$I$201,$AB1081)&amp;"",IF($Z1081="F",INDEX(Workforce!$G$2:$G$151,MATCH(INDEX(FTE_Allocation!$A$2:$A$201,$AB1081),Workforce!$A$2:$A$151,0))&amp;"","")))</f>
        <v/>
      </c>
      <c r="J1081" s="18">
        <f>IF($Z1081="","",IF(AND(DATE($AD1081,1,1)&gt;=$AE1081,DATE($AD1081,1,1)&lt;=$AF1081),ROUND($AG1081,2),0))</f>
        <v/>
      </c>
      <c r="K1081" s="18">
        <f>IF($Z1081="","",IF(AND(DATE($AD1081,2,1)&gt;=$AE1081,DATE($AD1081,2,1)&lt;=$AF1081),ROUND($AG1081,2),0))</f>
        <v/>
      </c>
      <c r="L1081" s="18">
        <f>IF($Z1081="","",IF(AND(DATE($AD1081,3,1)&gt;=$AE1081,DATE($AD1081,3,1)&lt;=$AF1081),ROUND($AG1081,2),0))</f>
        <v/>
      </c>
      <c r="M1081" s="18">
        <f>IF($Z1081="","",IF(AND(DATE($AD1081,4,1)&gt;=$AE1081,DATE($AD1081,4,1)&lt;=$AF1081),ROUND($AG1081,2),0))</f>
        <v/>
      </c>
      <c r="N1081" s="18">
        <f>IF($Z1081="","",IF(AND(DATE($AD1081,5,1)&gt;=$AE1081,DATE($AD1081,5,1)&lt;=$AF1081),ROUND($AG1081,2),0))</f>
        <v/>
      </c>
      <c r="O1081" s="18">
        <f>IF($Z1081="","",IF(AND(DATE($AD1081,6,1)&gt;=$AE1081,DATE($AD1081,6,1)&lt;=$AF1081),ROUND($AG1081,2),0))</f>
        <v/>
      </c>
      <c r="P1081" s="18">
        <f>IF($Z1081="","",IF(AND(DATE($AD1081,7,1)&gt;=$AE1081,DATE($AD1081,7,1)&lt;=$AF1081),ROUND($AG1081,2),0))</f>
        <v/>
      </c>
      <c r="Q1081" s="18">
        <f>IF($Z1081="","",IF(AND(DATE($AD1081,8,1)&gt;=$AE1081,DATE($AD1081,8,1)&lt;=$AF1081),ROUND($AG1081,2),0))</f>
        <v/>
      </c>
      <c r="R1081" s="18">
        <f>IF($Z1081="","",IF(AND(DATE($AD1081,9,1)&gt;=$AE1081,DATE($AD1081,9,1)&lt;=$AF1081),ROUND($AG1081,2),0))</f>
        <v/>
      </c>
      <c r="S1081" s="18">
        <f>IF($Z1081="","",IF(AND(DATE($AD1081,10,1)&gt;=$AE1081,DATE($AD1081,10,1)&lt;=$AF1081),ROUND($AG1081,2),0))</f>
        <v/>
      </c>
      <c r="T1081" s="18">
        <f>IF($Z1081="","",IF(AND(DATE($AD1081,11,1)&gt;=$AE1081,DATE($AD1081,11,1)&lt;=$AF1081),ROUND($AG1081,2),0))</f>
        <v/>
      </c>
      <c r="U1081" s="18">
        <f>IF($Z1081="","",IF(AND(DATE($AD1081,12,1)&gt;=$AE1081,DATE($AD1081,12,1)&lt;=$AF1081),ROUND($AG1081,2),0))</f>
        <v/>
      </c>
      <c r="V1081" s="7">
        <f>IF($Z1081="C","Generated from "&amp;INDEX(Contracts!$A$2:$A$151,$AB1081),IF($Z1081="A","Generated from "&amp;INDEX(Fixed_Assets!$A$2:$A$201,$AB1081),IF($Z1081="F","Generated from "&amp;INDEX(FTE_Allocation!$A$2:$A$201,$AB1081),"")))</f>
        <v/>
      </c>
      <c r="X1081" s="19">
        <f>IF($Z1081="","",SUM(J1081:U1081))</f>
        <v/>
      </c>
      <c r="Y1081" s="20">
        <f>ROW()-1</f>
        <v/>
      </c>
      <c r="Z1081" s="20">
        <f>IF($Y1081&lt;=Settings!$B$4*3,"C",IF($Y1081&lt;=(Settings!$B$4+Settings!$B$5)*3,"A",IF($Y1081&lt;=(Settings!$B$4+Settings!$B$5+Settings!$B$6)*3,"F","")))</f>
        <v/>
      </c>
      <c r="AA1081" s="20">
        <f>IF($Z1081="C",$Y1081,IF($Z1081="A",$Y1081-Settings!$B$4*3,IF($Z1081="F",$Y1081-(Settings!$B$4+Settings!$B$5)*3,"")))</f>
        <v/>
      </c>
      <c r="AB1081" s="20">
        <f>IF($Z1081="","",INT(($AA1081-1)/3)+1)</f>
        <v/>
      </c>
      <c r="AC1081" s="20">
        <f>IF($Z1081="","",MOD($AA1081-1,3)+1)</f>
        <v/>
      </c>
      <c r="AD1081" s="20">
        <f>IF($Z1081="","",Settings!$B$2+$AC1081-1)</f>
        <v/>
      </c>
      <c r="AE1081" s="21">
        <f>IF($Z1081="C",DATE(YEAR(INDEX(Contracts!$J$2:$J$151,$AB1081)),MONTH(INDEX(Contracts!$J$2:$J$151,$AB1081)),1),IF($Z1081="A",DATE(YEAR(INDEX(Fixed_Assets!$G$2:$G$201,$AB1081)),MONTH(INDEX(Fixed_Assets!$G$2:$G$201,$AB1081)),1),IF($Z1081="F",DATE(YEAR(MAX(N(INDEX(Workforce!$I$2:$I$151,MATCH(INDEX(FTE_Allocation!$A$2:$A$201,$AB1081),Workforce!$A$2:$A$151,0))),N(INDEX(FTE_Allocation!$I$2:$I$201,$AB1081)))),MONTH(MAX(N(INDEX(Workforce!$I$2:$I$151,MATCH(INDEX(FTE_Allocation!$A$2:$A$201,$AB1081),Workforce!$A$2:$A$151,0))),N(INDEX(FTE_Allocation!$I$2:$I$201,$AB1081)))),1),"")))</f>
        <v/>
      </c>
      <c r="AF1081" s="21">
        <f>IF($Z1081="C",IF(INDEX(Contracts!$I$2:$I$151,$AB1081)="PREPAID",EDATE(DATE(YEAR(INDEX(Contracts!$J$2:$J$151,$AB1081)),MONTH(INDEX(Contracts!$J$2:$J$151,$AB1081)),1),IF(INDEX(Contracts!$N$2:$N$151,$AB1081)="",12,INDEX(Contracts!$N$2:$N$151,$AB1081))-1),IF(INDEX(Contracts!$I$2:$I$151,$AB1081)="MONTHLY",IF(INDEX(Contracts!$K$2:$K$151,$AB1081)="",2958101,INDEX(Contracts!$K$2:$K$151,$AB1081)),0)),IF($Z1081="A",EDATE(DATE(YEAR(INDEX(Fixed_Assets!$G$2:$G$201,$AB1081)),MONTH(INDEX(Fixed_Assets!$G$2:$G$201,$AB1081)),1),INDEX(Fixed_Assets!$J$2:$J$201,$AB1081)-1),IF($Z1081="F",MIN(IF(INDEX(Workforce!$J$2:$J$151,MATCH(INDEX(FTE_Allocation!$A$2:$A$201,$AB1081),Workforce!$A$2:$A$151,0))="",2958101,INDEX(Workforce!$J$2:$J$151,MATCH(INDEX(FTE_Allocation!$A$2:$A$201,$AB1081),Workforce!$A$2:$A$151,0))),IF(INDEX(FTE_Allocation!$J$2:$J$201,$AB1081)="",2958101,INDEX(FTE_Allocation!$J$2:$J$201,$AB1081))),"")))</f>
        <v/>
      </c>
      <c r="AG1081" s="19">
        <f>IF($Z1081="C",IF(INDEX(Contracts!$I$2:$I$151,$AB1081)="PREPAID",INDEX(Contracts!$M$2:$M$151,$AB1081)/IF(INDEX(Contracts!$N$2:$N$151,$AB1081)="",12,INDEX(Contracts!$N$2:$N$151,$AB1081)),IF(INDEX(Contracts!$I$2:$I$151,$AB1081)="MONTHLY",INDEX(Contracts!$M$2:$M$151,$AB1081),0))*(1-N(INDEX(Contracts!$O$2:$O$151,$AB1081))),IF($Z1081="A",INDEX(Fixed_Assets!$H$2:$H$201,$AB1081)/INDEX(Fixed_Assets!$J$2:$J$201,$AB1081),IF($Z1081="F",INDEX(Workforce!$F$2:$F$151,MATCH(INDEX(FTE_Allocation!$A$2:$A$201,$AB1081),Workforce!$A$2:$A$151,0))*N(INDEX(FTE_Allocation!$F$2:$H$201,$AB1081,$AC1081)),"")))</f>
        <v/>
      </c>
    </row>
    <row r="1082">
      <c r="A1082" s="7">
        <f>IF($Z1082="","",$AD1082)</f>
        <v/>
      </c>
      <c r="B1082" s="7">
        <f>IF($Z1082="C",INDEX(Contracts!$D$2:$D$151,$AB1082)&amp;"",IF($Z1082="A",INDEX(Fixed_Assets!$C$2:$C$201,$AB1082)&amp;"",IF($Z1082="F",INDEX(Workforce!$B$2:$B$151,MATCH(INDEX(FTE_Allocation!$A$2:$A$201,$AB1082),Workforce!$A$2:$A$151,0))&amp;"","")))</f>
        <v/>
      </c>
      <c r="C1082" s="7">
        <f>IF($Z1082="C",INDEX(Contracts!$E$2:$E$151,$AB1082)&amp;"",IF($Z1082="A",INDEX(Fixed_Assets!$D$2:$D$201,$AB1082)&amp;"",IF($Z1082="F",INDEX(FTE_Allocation!$C$2:$C$201,$AB1082)&amp;"","")))</f>
        <v/>
      </c>
      <c r="D1082" s="7">
        <f>IF($Z1082="C",INDEX(Contracts!$B$2:$B$151,$AB1082)&amp;"",IF($Z1082="A",INDEX(Fixed_Assets!$B$2:$B$201,$AB1082)&amp;"",IF($Z1082="F",INDEX(FTE_Allocation!$B$2:$B$201,$AB1082)&amp;"","")))</f>
        <v/>
      </c>
      <c r="E1082" s="7">
        <f>IF($Z1082="C",INDEX(Contracts!$P$2:$P$151,$AB1082)&amp;"",IF($Z1082="A",INDEX(Fixed_Assets!$K$2:$K$201,$AB1082)&amp;"",IF($Z1082="F",IF(INDEX(FTE_Allocation!$D$2:$D$201,$AB1082)="PROJECT",IFERROR(INDEX(Projects!$D:$D,MATCH(INDEX(FTE_Allocation!$E$2:$E$201,$AB1082),Projects!$A:$A,0))&amp;"","#PROJECT?"),INDEX(FTE_Allocation!$E$2:$E$201,$AB1082)&amp;""),"")))</f>
        <v/>
      </c>
      <c r="F1082" s="7">
        <f>IF($Z1082="C",INDEX(Contracts!$Q$2:$Q$151,$AB1082)&amp;"",IF($Z1082="A",INDEX(Fixed_Assets!$L$2:$L$201,$AB1082)&amp;"",IF($Z1082="F",INDEX(Workforce!$K$2:$K$151,MATCH(INDEX(FTE_Allocation!$A$2:$A$201,$AB1082),Workforce!$A$2:$A$151,0))&amp;"","")))</f>
        <v/>
      </c>
      <c r="G1082" s="7">
        <f>IF($Z1082="C",INDEX(Contracts!$F$2:$F$151,$AB1082)&amp;" / "&amp;INDEX(Contracts!$G$2:$G$151,$AB1082),IF($Z1082="A",INDEX(Fixed_Assets!$E$2:$E$201,$AB1082)&amp;"",IF($Z1082="F","Personnel "&amp;INDEX(FTE_Allocation!$A$2:$A$201,$AB1082)&amp;IF(INDEX(FTE_Allocation!$D$2:$D$201,$AB1082)="PROJECT"," ("&amp;INDEX(FTE_Allocation!$E$2:$E$201,$AB1082)&amp;")",""),"")))</f>
        <v/>
      </c>
      <c r="H1082" s="7">
        <f>IF($Z1082="C","CONTRACT",IF($Z1082="A","ASSET",IF($Z1082="F","WORKFORCE","")))</f>
        <v/>
      </c>
      <c r="I1082" s="7">
        <f>IF($Z1082="C",INDEX(Contracts!$L$2:$L$151,$AB1082)&amp;"",IF($Z1082="A",INDEX(Fixed_Assets!$I$2:$I$201,$AB1082)&amp;"",IF($Z1082="F",INDEX(Workforce!$G$2:$G$151,MATCH(INDEX(FTE_Allocation!$A$2:$A$201,$AB1082),Workforce!$A$2:$A$151,0))&amp;"","")))</f>
        <v/>
      </c>
      <c r="J1082" s="18">
        <f>IF($Z1082="","",IF(AND(DATE($AD1082,1,1)&gt;=$AE1082,DATE($AD1082,1,1)&lt;=$AF1082),ROUND($AG1082,2),0))</f>
        <v/>
      </c>
      <c r="K1082" s="18">
        <f>IF($Z1082="","",IF(AND(DATE($AD1082,2,1)&gt;=$AE1082,DATE($AD1082,2,1)&lt;=$AF1082),ROUND($AG1082,2),0))</f>
        <v/>
      </c>
      <c r="L1082" s="18">
        <f>IF($Z1082="","",IF(AND(DATE($AD1082,3,1)&gt;=$AE1082,DATE($AD1082,3,1)&lt;=$AF1082),ROUND($AG1082,2),0))</f>
        <v/>
      </c>
      <c r="M1082" s="18">
        <f>IF($Z1082="","",IF(AND(DATE($AD1082,4,1)&gt;=$AE1082,DATE($AD1082,4,1)&lt;=$AF1082),ROUND($AG1082,2),0))</f>
        <v/>
      </c>
      <c r="N1082" s="18">
        <f>IF($Z1082="","",IF(AND(DATE($AD1082,5,1)&gt;=$AE1082,DATE($AD1082,5,1)&lt;=$AF1082),ROUND($AG1082,2),0))</f>
        <v/>
      </c>
      <c r="O1082" s="18">
        <f>IF($Z1082="","",IF(AND(DATE($AD1082,6,1)&gt;=$AE1082,DATE($AD1082,6,1)&lt;=$AF1082),ROUND($AG1082,2),0))</f>
        <v/>
      </c>
      <c r="P1082" s="18">
        <f>IF($Z1082="","",IF(AND(DATE($AD1082,7,1)&gt;=$AE1082,DATE($AD1082,7,1)&lt;=$AF1082),ROUND($AG1082,2),0))</f>
        <v/>
      </c>
      <c r="Q1082" s="18">
        <f>IF($Z1082="","",IF(AND(DATE($AD1082,8,1)&gt;=$AE1082,DATE($AD1082,8,1)&lt;=$AF1082),ROUND($AG1082,2),0))</f>
        <v/>
      </c>
      <c r="R1082" s="18">
        <f>IF($Z1082="","",IF(AND(DATE($AD1082,9,1)&gt;=$AE1082,DATE($AD1082,9,1)&lt;=$AF1082),ROUND($AG1082,2),0))</f>
        <v/>
      </c>
      <c r="S1082" s="18">
        <f>IF($Z1082="","",IF(AND(DATE($AD1082,10,1)&gt;=$AE1082,DATE($AD1082,10,1)&lt;=$AF1082),ROUND($AG1082,2),0))</f>
        <v/>
      </c>
      <c r="T1082" s="18">
        <f>IF($Z1082="","",IF(AND(DATE($AD1082,11,1)&gt;=$AE1082,DATE($AD1082,11,1)&lt;=$AF1082),ROUND($AG1082,2),0))</f>
        <v/>
      </c>
      <c r="U1082" s="18">
        <f>IF($Z1082="","",IF(AND(DATE($AD1082,12,1)&gt;=$AE1082,DATE($AD1082,12,1)&lt;=$AF1082),ROUND($AG1082,2),0))</f>
        <v/>
      </c>
      <c r="V1082" s="7">
        <f>IF($Z1082="C","Generated from "&amp;INDEX(Contracts!$A$2:$A$151,$AB1082),IF($Z1082="A","Generated from "&amp;INDEX(Fixed_Assets!$A$2:$A$201,$AB1082),IF($Z1082="F","Generated from "&amp;INDEX(FTE_Allocation!$A$2:$A$201,$AB1082),"")))</f>
        <v/>
      </c>
      <c r="X1082" s="19">
        <f>IF($Z1082="","",SUM(J1082:U1082))</f>
        <v/>
      </c>
      <c r="Y1082" s="20">
        <f>ROW()-1</f>
        <v/>
      </c>
      <c r="Z1082" s="20">
        <f>IF($Y1082&lt;=Settings!$B$4*3,"C",IF($Y1082&lt;=(Settings!$B$4+Settings!$B$5)*3,"A",IF($Y1082&lt;=(Settings!$B$4+Settings!$B$5+Settings!$B$6)*3,"F","")))</f>
        <v/>
      </c>
      <c r="AA1082" s="20">
        <f>IF($Z1082="C",$Y1082,IF($Z1082="A",$Y1082-Settings!$B$4*3,IF($Z1082="F",$Y1082-(Settings!$B$4+Settings!$B$5)*3,"")))</f>
        <v/>
      </c>
      <c r="AB1082" s="20">
        <f>IF($Z1082="","",INT(($AA1082-1)/3)+1)</f>
        <v/>
      </c>
      <c r="AC1082" s="20">
        <f>IF($Z1082="","",MOD($AA1082-1,3)+1)</f>
        <v/>
      </c>
      <c r="AD1082" s="20">
        <f>IF($Z1082="","",Settings!$B$2+$AC1082-1)</f>
        <v/>
      </c>
      <c r="AE1082" s="21">
        <f>IF($Z1082="C",DATE(YEAR(INDEX(Contracts!$J$2:$J$151,$AB1082)),MONTH(INDEX(Contracts!$J$2:$J$151,$AB1082)),1),IF($Z1082="A",DATE(YEAR(INDEX(Fixed_Assets!$G$2:$G$201,$AB1082)),MONTH(INDEX(Fixed_Assets!$G$2:$G$201,$AB1082)),1),IF($Z1082="F",DATE(YEAR(MAX(N(INDEX(Workforce!$I$2:$I$151,MATCH(INDEX(FTE_Allocation!$A$2:$A$201,$AB1082),Workforce!$A$2:$A$151,0))),N(INDEX(FTE_Allocation!$I$2:$I$201,$AB1082)))),MONTH(MAX(N(INDEX(Workforce!$I$2:$I$151,MATCH(INDEX(FTE_Allocation!$A$2:$A$201,$AB1082),Workforce!$A$2:$A$151,0))),N(INDEX(FTE_Allocation!$I$2:$I$201,$AB1082)))),1),"")))</f>
        <v/>
      </c>
      <c r="AF1082" s="21">
        <f>IF($Z1082="C",IF(INDEX(Contracts!$I$2:$I$151,$AB1082)="PREPAID",EDATE(DATE(YEAR(INDEX(Contracts!$J$2:$J$151,$AB1082)),MONTH(INDEX(Contracts!$J$2:$J$151,$AB1082)),1),IF(INDEX(Contracts!$N$2:$N$151,$AB1082)="",12,INDEX(Contracts!$N$2:$N$151,$AB1082))-1),IF(INDEX(Contracts!$I$2:$I$151,$AB1082)="MONTHLY",IF(INDEX(Contracts!$K$2:$K$151,$AB1082)="",2958101,INDEX(Contracts!$K$2:$K$151,$AB1082)),0)),IF($Z1082="A",EDATE(DATE(YEAR(INDEX(Fixed_Assets!$G$2:$G$201,$AB1082)),MONTH(INDEX(Fixed_Assets!$G$2:$G$201,$AB1082)),1),INDEX(Fixed_Assets!$J$2:$J$201,$AB1082)-1),IF($Z1082="F",MIN(IF(INDEX(Workforce!$J$2:$J$151,MATCH(INDEX(FTE_Allocation!$A$2:$A$201,$AB1082),Workforce!$A$2:$A$151,0))="",2958101,INDEX(Workforce!$J$2:$J$151,MATCH(INDEX(FTE_Allocation!$A$2:$A$201,$AB1082),Workforce!$A$2:$A$151,0))),IF(INDEX(FTE_Allocation!$J$2:$J$201,$AB1082)="",2958101,INDEX(FTE_Allocation!$J$2:$J$201,$AB1082))),"")))</f>
        <v/>
      </c>
      <c r="AG1082" s="19">
        <f>IF($Z1082="C",IF(INDEX(Contracts!$I$2:$I$151,$AB1082)="PREPAID",INDEX(Contracts!$M$2:$M$151,$AB1082)/IF(INDEX(Contracts!$N$2:$N$151,$AB1082)="",12,INDEX(Contracts!$N$2:$N$151,$AB1082)),IF(INDEX(Contracts!$I$2:$I$151,$AB1082)="MONTHLY",INDEX(Contracts!$M$2:$M$151,$AB1082),0))*(1-N(INDEX(Contracts!$O$2:$O$151,$AB1082))),IF($Z1082="A",INDEX(Fixed_Assets!$H$2:$H$201,$AB1082)/INDEX(Fixed_Assets!$J$2:$J$201,$AB1082),IF($Z1082="F",INDEX(Workforce!$F$2:$F$151,MATCH(INDEX(FTE_Allocation!$A$2:$A$201,$AB1082),Workforce!$A$2:$A$151,0))*N(INDEX(FTE_Allocation!$F$2:$H$201,$AB1082,$AC1082)),"")))</f>
        <v/>
      </c>
    </row>
    <row r="1083">
      <c r="A1083" s="7">
        <f>IF($Z1083="","",$AD1083)</f>
        <v/>
      </c>
      <c r="B1083" s="7">
        <f>IF($Z1083="C",INDEX(Contracts!$D$2:$D$151,$AB1083)&amp;"",IF($Z1083="A",INDEX(Fixed_Assets!$C$2:$C$201,$AB1083)&amp;"",IF($Z1083="F",INDEX(Workforce!$B$2:$B$151,MATCH(INDEX(FTE_Allocation!$A$2:$A$201,$AB1083),Workforce!$A$2:$A$151,0))&amp;"","")))</f>
        <v/>
      </c>
      <c r="C1083" s="7">
        <f>IF($Z1083="C",INDEX(Contracts!$E$2:$E$151,$AB1083)&amp;"",IF($Z1083="A",INDEX(Fixed_Assets!$D$2:$D$201,$AB1083)&amp;"",IF($Z1083="F",INDEX(FTE_Allocation!$C$2:$C$201,$AB1083)&amp;"","")))</f>
        <v/>
      </c>
      <c r="D1083" s="7">
        <f>IF($Z1083="C",INDEX(Contracts!$B$2:$B$151,$AB1083)&amp;"",IF($Z1083="A",INDEX(Fixed_Assets!$B$2:$B$201,$AB1083)&amp;"",IF($Z1083="F",INDEX(FTE_Allocation!$B$2:$B$201,$AB1083)&amp;"","")))</f>
        <v/>
      </c>
      <c r="E1083" s="7">
        <f>IF($Z1083="C",INDEX(Contracts!$P$2:$P$151,$AB1083)&amp;"",IF($Z1083="A",INDEX(Fixed_Assets!$K$2:$K$201,$AB1083)&amp;"",IF($Z1083="F",IF(INDEX(FTE_Allocation!$D$2:$D$201,$AB1083)="PROJECT",IFERROR(INDEX(Projects!$D:$D,MATCH(INDEX(FTE_Allocation!$E$2:$E$201,$AB1083),Projects!$A:$A,0))&amp;"","#PROJECT?"),INDEX(FTE_Allocation!$E$2:$E$201,$AB1083)&amp;""),"")))</f>
        <v/>
      </c>
      <c r="F1083" s="7">
        <f>IF($Z1083="C",INDEX(Contracts!$Q$2:$Q$151,$AB1083)&amp;"",IF($Z1083="A",INDEX(Fixed_Assets!$L$2:$L$201,$AB1083)&amp;"",IF($Z1083="F",INDEX(Workforce!$K$2:$K$151,MATCH(INDEX(FTE_Allocation!$A$2:$A$201,$AB1083),Workforce!$A$2:$A$151,0))&amp;"","")))</f>
        <v/>
      </c>
      <c r="G1083" s="7">
        <f>IF($Z1083="C",INDEX(Contracts!$F$2:$F$151,$AB1083)&amp;" / "&amp;INDEX(Contracts!$G$2:$G$151,$AB1083),IF($Z1083="A",INDEX(Fixed_Assets!$E$2:$E$201,$AB1083)&amp;"",IF($Z1083="F","Personnel "&amp;INDEX(FTE_Allocation!$A$2:$A$201,$AB1083)&amp;IF(INDEX(FTE_Allocation!$D$2:$D$201,$AB1083)="PROJECT"," ("&amp;INDEX(FTE_Allocation!$E$2:$E$201,$AB1083)&amp;")",""),"")))</f>
        <v/>
      </c>
      <c r="H1083" s="7">
        <f>IF($Z1083="C","CONTRACT",IF($Z1083="A","ASSET",IF($Z1083="F","WORKFORCE","")))</f>
        <v/>
      </c>
      <c r="I1083" s="7">
        <f>IF($Z1083="C",INDEX(Contracts!$L$2:$L$151,$AB1083)&amp;"",IF($Z1083="A",INDEX(Fixed_Assets!$I$2:$I$201,$AB1083)&amp;"",IF($Z1083="F",INDEX(Workforce!$G$2:$G$151,MATCH(INDEX(FTE_Allocation!$A$2:$A$201,$AB1083),Workforce!$A$2:$A$151,0))&amp;"","")))</f>
        <v/>
      </c>
      <c r="J1083" s="18">
        <f>IF($Z1083="","",IF(AND(DATE($AD1083,1,1)&gt;=$AE1083,DATE($AD1083,1,1)&lt;=$AF1083),ROUND($AG1083,2),0))</f>
        <v/>
      </c>
      <c r="K1083" s="18">
        <f>IF($Z1083="","",IF(AND(DATE($AD1083,2,1)&gt;=$AE1083,DATE($AD1083,2,1)&lt;=$AF1083),ROUND($AG1083,2),0))</f>
        <v/>
      </c>
      <c r="L1083" s="18">
        <f>IF($Z1083="","",IF(AND(DATE($AD1083,3,1)&gt;=$AE1083,DATE($AD1083,3,1)&lt;=$AF1083),ROUND($AG1083,2),0))</f>
        <v/>
      </c>
      <c r="M1083" s="18">
        <f>IF($Z1083="","",IF(AND(DATE($AD1083,4,1)&gt;=$AE1083,DATE($AD1083,4,1)&lt;=$AF1083),ROUND($AG1083,2),0))</f>
        <v/>
      </c>
      <c r="N1083" s="18">
        <f>IF($Z1083="","",IF(AND(DATE($AD1083,5,1)&gt;=$AE1083,DATE($AD1083,5,1)&lt;=$AF1083),ROUND($AG1083,2),0))</f>
        <v/>
      </c>
      <c r="O1083" s="18">
        <f>IF($Z1083="","",IF(AND(DATE($AD1083,6,1)&gt;=$AE1083,DATE($AD1083,6,1)&lt;=$AF1083),ROUND($AG1083,2),0))</f>
        <v/>
      </c>
      <c r="P1083" s="18">
        <f>IF($Z1083="","",IF(AND(DATE($AD1083,7,1)&gt;=$AE1083,DATE($AD1083,7,1)&lt;=$AF1083),ROUND($AG1083,2),0))</f>
        <v/>
      </c>
      <c r="Q1083" s="18">
        <f>IF($Z1083="","",IF(AND(DATE($AD1083,8,1)&gt;=$AE1083,DATE($AD1083,8,1)&lt;=$AF1083),ROUND($AG1083,2),0))</f>
        <v/>
      </c>
      <c r="R1083" s="18">
        <f>IF($Z1083="","",IF(AND(DATE($AD1083,9,1)&gt;=$AE1083,DATE($AD1083,9,1)&lt;=$AF1083),ROUND($AG1083,2),0))</f>
        <v/>
      </c>
      <c r="S1083" s="18">
        <f>IF($Z1083="","",IF(AND(DATE($AD1083,10,1)&gt;=$AE1083,DATE($AD1083,10,1)&lt;=$AF1083),ROUND($AG1083,2),0))</f>
        <v/>
      </c>
      <c r="T1083" s="18">
        <f>IF($Z1083="","",IF(AND(DATE($AD1083,11,1)&gt;=$AE1083,DATE($AD1083,11,1)&lt;=$AF1083),ROUND($AG1083,2),0))</f>
        <v/>
      </c>
      <c r="U1083" s="18">
        <f>IF($Z1083="","",IF(AND(DATE($AD1083,12,1)&gt;=$AE1083,DATE($AD1083,12,1)&lt;=$AF1083),ROUND($AG1083,2),0))</f>
        <v/>
      </c>
      <c r="V1083" s="7">
        <f>IF($Z1083="C","Generated from "&amp;INDEX(Contracts!$A$2:$A$151,$AB1083),IF($Z1083="A","Generated from "&amp;INDEX(Fixed_Assets!$A$2:$A$201,$AB1083),IF($Z1083="F","Generated from "&amp;INDEX(FTE_Allocation!$A$2:$A$201,$AB1083),"")))</f>
        <v/>
      </c>
      <c r="X1083" s="19">
        <f>IF($Z1083="","",SUM(J1083:U1083))</f>
        <v/>
      </c>
      <c r="Y1083" s="20">
        <f>ROW()-1</f>
        <v/>
      </c>
      <c r="Z1083" s="20">
        <f>IF($Y1083&lt;=Settings!$B$4*3,"C",IF($Y1083&lt;=(Settings!$B$4+Settings!$B$5)*3,"A",IF($Y1083&lt;=(Settings!$B$4+Settings!$B$5+Settings!$B$6)*3,"F","")))</f>
        <v/>
      </c>
      <c r="AA1083" s="20">
        <f>IF($Z1083="C",$Y1083,IF($Z1083="A",$Y1083-Settings!$B$4*3,IF($Z1083="F",$Y1083-(Settings!$B$4+Settings!$B$5)*3,"")))</f>
        <v/>
      </c>
      <c r="AB1083" s="20">
        <f>IF($Z1083="","",INT(($AA1083-1)/3)+1)</f>
        <v/>
      </c>
      <c r="AC1083" s="20">
        <f>IF($Z1083="","",MOD($AA1083-1,3)+1)</f>
        <v/>
      </c>
      <c r="AD1083" s="20">
        <f>IF($Z1083="","",Settings!$B$2+$AC1083-1)</f>
        <v/>
      </c>
      <c r="AE1083" s="21">
        <f>IF($Z1083="C",DATE(YEAR(INDEX(Contracts!$J$2:$J$151,$AB1083)),MONTH(INDEX(Contracts!$J$2:$J$151,$AB1083)),1),IF($Z1083="A",DATE(YEAR(INDEX(Fixed_Assets!$G$2:$G$201,$AB1083)),MONTH(INDEX(Fixed_Assets!$G$2:$G$201,$AB1083)),1),IF($Z1083="F",DATE(YEAR(MAX(N(INDEX(Workforce!$I$2:$I$151,MATCH(INDEX(FTE_Allocation!$A$2:$A$201,$AB1083),Workforce!$A$2:$A$151,0))),N(INDEX(FTE_Allocation!$I$2:$I$201,$AB1083)))),MONTH(MAX(N(INDEX(Workforce!$I$2:$I$151,MATCH(INDEX(FTE_Allocation!$A$2:$A$201,$AB1083),Workforce!$A$2:$A$151,0))),N(INDEX(FTE_Allocation!$I$2:$I$201,$AB1083)))),1),"")))</f>
        <v/>
      </c>
      <c r="AF1083" s="21">
        <f>IF($Z1083="C",IF(INDEX(Contracts!$I$2:$I$151,$AB1083)="PREPAID",EDATE(DATE(YEAR(INDEX(Contracts!$J$2:$J$151,$AB1083)),MONTH(INDEX(Contracts!$J$2:$J$151,$AB1083)),1),IF(INDEX(Contracts!$N$2:$N$151,$AB1083)="",12,INDEX(Contracts!$N$2:$N$151,$AB1083))-1),IF(INDEX(Contracts!$I$2:$I$151,$AB1083)="MONTHLY",IF(INDEX(Contracts!$K$2:$K$151,$AB1083)="",2958101,INDEX(Contracts!$K$2:$K$151,$AB1083)),0)),IF($Z1083="A",EDATE(DATE(YEAR(INDEX(Fixed_Assets!$G$2:$G$201,$AB1083)),MONTH(INDEX(Fixed_Assets!$G$2:$G$201,$AB1083)),1),INDEX(Fixed_Assets!$J$2:$J$201,$AB1083)-1),IF($Z1083="F",MIN(IF(INDEX(Workforce!$J$2:$J$151,MATCH(INDEX(FTE_Allocation!$A$2:$A$201,$AB1083),Workforce!$A$2:$A$151,0))="",2958101,INDEX(Workforce!$J$2:$J$151,MATCH(INDEX(FTE_Allocation!$A$2:$A$201,$AB1083),Workforce!$A$2:$A$151,0))),IF(INDEX(FTE_Allocation!$J$2:$J$201,$AB1083)="",2958101,INDEX(FTE_Allocation!$J$2:$J$201,$AB1083))),"")))</f>
        <v/>
      </c>
      <c r="AG1083" s="19">
        <f>IF($Z1083="C",IF(INDEX(Contracts!$I$2:$I$151,$AB1083)="PREPAID",INDEX(Contracts!$M$2:$M$151,$AB1083)/IF(INDEX(Contracts!$N$2:$N$151,$AB1083)="",12,INDEX(Contracts!$N$2:$N$151,$AB1083)),IF(INDEX(Contracts!$I$2:$I$151,$AB1083)="MONTHLY",INDEX(Contracts!$M$2:$M$151,$AB1083),0))*(1-N(INDEX(Contracts!$O$2:$O$151,$AB1083))),IF($Z1083="A",INDEX(Fixed_Assets!$H$2:$H$201,$AB1083)/INDEX(Fixed_Assets!$J$2:$J$201,$AB1083),IF($Z1083="F",INDEX(Workforce!$F$2:$F$151,MATCH(INDEX(FTE_Allocation!$A$2:$A$201,$AB1083),Workforce!$A$2:$A$151,0))*N(INDEX(FTE_Allocation!$F$2:$H$201,$AB1083,$AC1083)),"")))</f>
        <v/>
      </c>
    </row>
    <row r="1084">
      <c r="A1084" s="7">
        <f>IF($Z1084="","",$AD1084)</f>
        <v/>
      </c>
      <c r="B1084" s="7">
        <f>IF($Z1084="C",INDEX(Contracts!$D$2:$D$151,$AB1084)&amp;"",IF($Z1084="A",INDEX(Fixed_Assets!$C$2:$C$201,$AB1084)&amp;"",IF($Z1084="F",INDEX(Workforce!$B$2:$B$151,MATCH(INDEX(FTE_Allocation!$A$2:$A$201,$AB1084),Workforce!$A$2:$A$151,0))&amp;"","")))</f>
        <v/>
      </c>
      <c r="C1084" s="7">
        <f>IF($Z1084="C",INDEX(Contracts!$E$2:$E$151,$AB1084)&amp;"",IF($Z1084="A",INDEX(Fixed_Assets!$D$2:$D$201,$AB1084)&amp;"",IF($Z1084="F",INDEX(FTE_Allocation!$C$2:$C$201,$AB1084)&amp;"","")))</f>
        <v/>
      </c>
      <c r="D1084" s="7">
        <f>IF($Z1084="C",INDEX(Contracts!$B$2:$B$151,$AB1084)&amp;"",IF($Z1084="A",INDEX(Fixed_Assets!$B$2:$B$201,$AB1084)&amp;"",IF($Z1084="F",INDEX(FTE_Allocation!$B$2:$B$201,$AB1084)&amp;"","")))</f>
        <v/>
      </c>
      <c r="E1084" s="7">
        <f>IF($Z1084="C",INDEX(Contracts!$P$2:$P$151,$AB1084)&amp;"",IF($Z1084="A",INDEX(Fixed_Assets!$K$2:$K$201,$AB1084)&amp;"",IF($Z1084="F",IF(INDEX(FTE_Allocation!$D$2:$D$201,$AB1084)="PROJECT",IFERROR(INDEX(Projects!$D:$D,MATCH(INDEX(FTE_Allocation!$E$2:$E$201,$AB1084),Projects!$A:$A,0))&amp;"","#PROJECT?"),INDEX(FTE_Allocation!$E$2:$E$201,$AB1084)&amp;""),"")))</f>
        <v/>
      </c>
      <c r="F1084" s="7">
        <f>IF($Z1084="C",INDEX(Contracts!$Q$2:$Q$151,$AB1084)&amp;"",IF($Z1084="A",INDEX(Fixed_Assets!$L$2:$L$201,$AB1084)&amp;"",IF($Z1084="F",INDEX(Workforce!$K$2:$K$151,MATCH(INDEX(FTE_Allocation!$A$2:$A$201,$AB1084),Workforce!$A$2:$A$151,0))&amp;"","")))</f>
        <v/>
      </c>
      <c r="G1084" s="7">
        <f>IF($Z1084="C",INDEX(Contracts!$F$2:$F$151,$AB1084)&amp;" / "&amp;INDEX(Contracts!$G$2:$G$151,$AB1084),IF($Z1084="A",INDEX(Fixed_Assets!$E$2:$E$201,$AB1084)&amp;"",IF($Z1084="F","Personnel "&amp;INDEX(FTE_Allocation!$A$2:$A$201,$AB1084)&amp;IF(INDEX(FTE_Allocation!$D$2:$D$201,$AB1084)="PROJECT"," ("&amp;INDEX(FTE_Allocation!$E$2:$E$201,$AB1084)&amp;")",""),"")))</f>
        <v/>
      </c>
      <c r="H1084" s="7">
        <f>IF($Z1084="C","CONTRACT",IF($Z1084="A","ASSET",IF($Z1084="F","WORKFORCE","")))</f>
        <v/>
      </c>
      <c r="I1084" s="7">
        <f>IF($Z1084="C",INDEX(Contracts!$L$2:$L$151,$AB1084)&amp;"",IF($Z1084="A",INDEX(Fixed_Assets!$I$2:$I$201,$AB1084)&amp;"",IF($Z1084="F",INDEX(Workforce!$G$2:$G$151,MATCH(INDEX(FTE_Allocation!$A$2:$A$201,$AB1084),Workforce!$A$2:$A$151,0))&amp;"","")))</f>
        <v/>
      </c>
      <c r="J1084" s="18">
        <f>IF($Z1084="","",IF(AND(DATE($AD1084,1,1)&gt;=$AE1084,DATE($AD1084,1,1)&lt;=$AF1084),ROUND($AG1084,2),0))</f>
        <v/>
      </c>
      <c r="K1084" s="18">
        <f>IF($Z1084="","",IF(AND(DATE($AD1084,2,1)&gt;=$AE1084,DATE($AD1084,2,1)&lt;=$AF1084),ROUND($AG1084,2),0))</f>
        <v/>
      </c>
      <c r="L1084" s="18">
        <f>IF($Z1084="","",IF(AND(DATE($AD1084,3,1)&gt;=$AE1084,DATE($AD1084,3,1)&lt;=$AF1084),ROUND($AG1084,2),0))</f>
        <v/>
      </c>
      <c r="M1084" s="18">
        <f>IF($Z1084="","",IF(AND(DATE($AD1084,4,1)&gt;=$AE1084,DATE($AD1084,4,1)&lt;=$AF1084),ROUND($AG1084,2),0))</f>
        <v/>
      </c>
      <c r="N1084" s="18">
        <f>IF($Z1084="","",IF(AND(DATE($AD1084,5,1)&gt;=$AE1084,DATE($AD1084,5,1)&lt;=$AF1084),ROUND($AG1084,2),0))</f>
        <v/>
      </c>
      <c r="O1084" s="18">
        <f>IF($Z1084="","",IF(AND(DATE($AD1084,6,1)&gt;=$AE1084,DATE($AD1084,6,1)&lt;=$AF1084),ROUND($AG1084,2),0))</f>
        <v/>
      </c>
      <c r="P1084" s="18">
        <f>IF($Z1084="","",IF(AND(DATE($AD1084,7,1)&gt;=$AE1084,DATE($AD1084,7,1)&lt;=$AF1084),ROUND($AG1084,2),0))</f>
        <v/>
      </c>
      <c r="Q1084" s="18">
        <f>IF($Z1084="","",IF(AND(DATE($AD1084,8,1)&gt;=$AE1084,DATE($AD1084,8,1)&lt;=$AF1084),ROUND($AG1084,2),0))</f>
        <v/>
      </c>
      <c r="R1084" s="18">
        <f>IF($Z1084="","",IF(AND(DATE($AD1084,9,1)&gt;=$AE1084,DATE($AD1084,9,1)&lt;=$AF1084),ROUND($AG1084,2),0))</f>
        <v/>
      </c>
      <c r="S1084" s="18">
        <f>IF($Z1084="","",IF(AND(DATE($AD1084,10,1)&gt;=$AE1084,DATE($AD1084,10,1)&lt;=$AF1084),ROUND($AG1084,2),0))</f>
        <v/>
      </c>
      <c r="T1084" s="18">
        <f>IF($Z1084="","",IF(AND(DATE($AD1084,11,1)&gt;=$AE1084,DATE($AD1084,11,1)&lt;=$AF1084),ROUND($AG1084,2),0))</f>
        <v/>
      </c>
      <c r="U1084" s="18">
        <f>IF($Z1084="","",IF(AND(DATE($AD1084,12,1)&gt;=$AE1084,DATE($AD1084,12,1)&lt;=$AF1084),ROUND($AG1084,2),0))</f>
        <v/>
      </c>
      <c r="V1084" s="7">
        <f>IF($Z1084="C","Generated from "&amp;INDEX(Contracts!$A$2:$A$151,$AB1084),IF($Z1084="A","Generated from "&amp;INDEX(Fixed_Assets!$A$2:$A$201,$AB1084),IF($Z1084="F","Generated from "&amp;INDEX(FTE_Allocation!$A$2:$A$201,$AB1084),"")))</f>
        <v/>
      </c>
      <c r="X1084" s="19">
        <f>IF($Z1084="","",SUM(J1084:U1084))</f>
        <v/>
      </c>
      <c r="Y1084" s="20">
        <f>ROW()-1</f>
        <v/>
      </c>
      <c r="Z1084" s="20">
        <f>IF($Y1084&lt;=Settings!$B$4*3,"C",IF($Y1084&lt;=(Settings!$B$4+Settings!$B$5)*3,"A",IF($Y1084&lt;=(Settings!$B$4+Settings!$B$5+Settings!$B$6)*3,"F","")))</f>
        <v/>
      </c>
      <c r="AA1084" s="20">
        <f>IF($Z1084="C",$Y1084,IF($Z1084="A",$Y1084-Settings!$B$4*3,IF($Z1084="F",$Y1084-(Settings!$B$4+Settings!$B$5)*3,"")))</f>
        <v/>
      </c>
      <c r="AB1084" s="20">
        <f>IF($Z1084="","",INT(($AA1084-1)/3)+1)</f>
        <v/>
      </c>
      <c r="AC1084" s="20">
        <f>IF($Z1084="","",MOD($AA1084-1,3)+1)</f>
        <v/>
      </c>
      <c r="AD1084" s="20">
        <f>IF($Z1084="","",Settings!$B$2+$AC1084-1)</f>
        <v/>
      </c>
      <c r="AE1084" s="21">
        <f>IF($Z1084="C",DATE(YEAR(INDEX(Contracts!$J$2:$J$151,$AB1084)),MONTH(INDEX(Contracts!$J$2:$J$151,$AB1084)),1),IF($Z1084="A",DATE(YEAR(INDEX(Fixed_Assets!$G$2:$G$201,$AB1084)),MONTH(INDEX(Fixed_Assets!$G$2:$G$201,$AB1084)),1),IF($Z1084="F",DATE(YEAR(MAX(N(INDEX(Workforce!$I$2:$I$151,MATCH(INDEX(FTE_Allocation!$A$2:$A$201,$AB1084),Workforce!$A$2:$A$151,0))),N(INDEX(FTE_Allocation!$I$2:$I$201,$AB1084)))),MONTH(MAX(N(INDEX(Workforce!$I$2:$I$151,MATCH(INDEX(FTE_Allocation!$A$2:$A$201,$AB1084),Workforce!$A$2:$A$151,0))),N(INDEX(FTE_Allocation!$I$2:$I$201,$AB1084)))),1),"")))</f>
        <v/>
      </c>
      <c r="AF1084" s="21">
        <f>IF($Z1084="C",IF(INDEX(Contracts!$I$2:$I$151,$AB1084)="PREPAID",EDATE(DATE(YEAR(INDEX(Contracts!$J$2:$J$151,$AB1084)),MONTH(INDEX(Contracts!$J$2:$J$151,$AB1084)),1),IF(INDEX(Contracts!$N$2:$N$151,$AB1084)="",12,INDEX(Contracts!$N$2:$N$151,$AB1084))-1),IF(INDEX(Contracts!$I$2:$I$151,$AB1084)="MONTHLY",IF(INDEX(Contracts!$K$2:$K$151,$AB1084)="",2958101,INDEX(Contracts!$K$2:$K$151,$AB1084)),0)),IF($Z1084="A",EDATE(DATE(YEAR(INDEX(Fixed_Assets!$G$2:$G$201,$AB1084)),MONTH(INDEX(Fixed_Assets!$G$2:$G$201,$AB1084)),1),INDEX(Fixed_Assets!$J$2:$J$201,$AB1084)-1),IF($Z1084="F",MIN(IF(INDEX(Workforce!$J$2:$J$151,MATCH(INDEX(FTE_Allocation!$A$2:$A$201,$AB1084),Workforce!$A$2:$A$151,0))="",2958101,INDEX(Workforce!$J$2:$J$151,MATCH(INDEX(FTE_Allocation!$A$2:$A$201,$AB1084),Workforce!$A$2:$A$151,0))),IF(INDEX(FTE_Allocation!$J$2:$J$201,$AB1084)="",2958101,INDEX(FTE_Allocation!$J$2:$J$201,$AB1084))),"")))</f>
        <v/>
      </c>
      <c r="AG1084" s="19">
        <f>IF($Z1084="C",IF(INDEX(Contracts!$I$2:$I$151,$AB1084)="PREPAID",INDEX(Contracts!$M$2:$M$151,$AB1084)/IF(INDEX(Contracts!$N$2:$N$151,$AB1084)="",12,INDEX(Contracts!$N$2:$N$151,$AB1084)),IF(INDEX(Contracts!$I$2:$I$151,$AB1084)="MONTHLY",INDEX(Contracts!$M$2:$M$151,$AB1084),0))*(1-N(INDEX(Contracts!$O$2:$O$151,$AB1084))),IF($Z1084="A",INDEX(Fixed_Assets!$H$2:$H$201,$AB1084)/INDEX(Fixed_Assets!$J$2:$J$201,$AB1084),IF($Z1084="F",INDEX(Workforce!$F$2:$F$151,MATCH(INDEX(FTE_Allocation!$A$2:$A$201,$AB1084),Workforce!$A$2:$A$151,0))*N(INDEX(FTE_Allocation!$F$2:$H$201,$AB1084,$AC1084)),"")))</f>
        <v/>
      </c>
    </row>
    <row r="1085">
      <c r="A1085" s="7">
        <f>IF($Z1085="","",$AD1085)</f>
        <v/>
      </c>
      <c r="B1085" s="7">
        <f>IF($Z1085="C",INDEX(Contracts!$D$2:$D$151,$AB1085)&amp;"",IF($Z1085="A",INDEX(Fixed_Assets!$C$2:$C$201,$AB1085)&amp;"",IF($Z1085="F",INDEX(Workforce!$B$2:$B$151,MATCH(INDEX(FTE_Allocation!$A$2:$A$201,$AB1085),Workforce!$A$2:$A$151,0))&amp;"","")))</f>
        <v/>
      </c>
      <c r="C1085" s="7">
        <f>IF($Z1085="C",INDEX(Contracts!$E$2:$E$151,$AB1085)&amp;"",IF($Z1085="A",INDEX(Fixed_Assets!$D$2:$D$201,$AB1085)&amp;"",IF($Z1085="F",INDEX(FTE_Allocation!$C$2:$C$201,$AB1085)&amp;"","")))</f>
        <v/>
      </c>
      <c r="D1085" s="7">
        <f>IF($Z1085="C",INDEX(Contracts!$B$2:$B$151,$AB1085)&amp;"",IF($Z1085="A",INDEX(Fixed_Assets!$B$2:$B$201,$AB1085)&amp;"",IF($Z1085="F",INDEX(FTE_Allocation!$B$2:$B$201,$AB1085)&amp;"","")))</f>
        <v/>
      </c>
      <c r="E1085" s="7">
        <f>IF($Z1085="C",INDEX(Contracts!$P$2:$P$151,$AB1085)&amp;"",IF($Z1085="A",INDEX(Fixed_Assets!$K$2:$K$201,$AB1085)&amp;"",IF($Z1085="F",IF(INDEX(FTE_Allocation!$D$2:$D$201,$AB1085)="PROJECT",IFERROR(INDEX(Projects!$D:$D,MATCH(INDEX(FTE_Allocation!$E$2:$E$201,$AB1085),Projects!$A:$A,0))&amp;"","#PROJECT?"),INDEX(FTE_Allocation!$E$2:$E$201,$AB1085)&amp;""),"")))</f>
        <v/>
      </c>
      <c r="F1085" s="7">
        <f>IF($Z1085="C",INDEX(Contracts!$Q$2:$Q$151,$AB1085)&amp;"",IF($Z1085="A",INDEX(Fixed_Assets!$L$2:$L$201,$AB1085)&amp;"",IF($Z1085="F",INDEX(Workforce!$K$2:$K$151,MATCH(INDEX(FTE_Allocation!$A$2:$A$201,$AB1085),Workforce!$A$2:$A$151,0))&amp;"","")))</f>
        <v/>
      </c>
      <c r="G1085" s="7">
        <f>IF($Z1085="C",INDEX(Contracts!$F$2:$F$151,$AB1085)&amp;" / "&amp;INDEX(Contracts!$G$2:$G$151,$AB1085),IF($Z1085="A",INDEX(Fixed_Assets!$E$2:$E$201,$AB1085)&amp;"",IF($Z1085="F","Personnel "&amp;INDEX(FTE_Allocation!$A$2:$A$201,$AB1085)&amp;IF(INDEX(FTE_Allocation!$D$2:$D$201,$AB1085)="PROJECT"," ("&amp;INDEX(FTE_Allocation!$E$2:$E$201,$AB1085)&amp;")",""),"")))</f>
        <v/>
      </c>
      <c r="H1085" s="7">
        <f>IF($Z1085="C","CONTRACT",IF($Z1085="A","ASSET",IF($Z1085="F","WORKFORCE","")))</f>
        <v/>
      </c>
      <c r="I1085" s="7">
        <f>IF($Z1085="C",INDEX(Contracts!$L$2:$L$151,$AB1085)&amp;"",IF($Z1085="A",INDEX(Fixed_Assets!$I$2:$I$201,$AB1085)&amp;"",IF($Z1085="F",INDEX(Workforce!$G$2:$G$151,MATCH(INDEX(FTE_Allocation!$A$2:$A$201,$AB1085),Workforce!$A$2:$A$151,0))&amp;"","")))</f>
        <v/>
      </c>
      <c r="J1085" s="18">
        <f>IF($Z1085="","",IF(AND(DATE($AD1085,1,1)&gt;=$AE1085,DATE($AD1085,1,1)&lt;=$AF1085),ROUND($AG1085,2),0))</f>
        <v/>
      </c>
      <c r="K1085" s="18">
        <f>IF($Z1085="","",IF(AND(DATE($AD1085,2,1)&gt;=$AE1085,DATE($AD1085,2,1)&lt;=$AF1085),ROUND($AG1085,2),0))</f>
        <v/>
      </c>
      <c r="L1085" s="18">
        <f>IF($Z1085="","",IF(AND(DATE($AD1085,3,1)&gt;=$AE1085,DATE($AD1085,3,1)&lt;=$AF1085),ROUND($AG1085,2),0))</f>
        <v/>
      </c>
      <c r="M1085" s="18">
        <f>IF($Z1085="","",IF(AND(DATE($AD1085,4,1)&gt;=$AE1085,DATE($AD1085,4,1)&lt;=$AF1085),ROUND($AG1085,2),0))</f>
        <v/>
      </c>
      <c r="N1085" s="18">
        <f>IF($Z1085="","",IF(AND(DATE($AD1085,5,1)&gt;=$AE1085,DATE($AD1085,5,1)&lt;=$AF1085),ROUND($AG1085,2),0))</f>
        <v/>
      </c>
      <c r="O1085" s="18">
        <f>IF($Z1085="","",IF(AND(DATE($AD1085,6,1)&gt;=$AE1085,DATE($AD1085,6,1)&lt;=$AF1085),ROUND($AG1085,2),0))</f>
        <v/>
      </c>
      <c r="P1085" s="18">
        <f>IF($Z1085="","",IF(AND(DATE($AD1085,7,1)&gt;=$AE1085,DATE($AD1085,7,1)&lt;=$AF1085),ROUND($AG1085,2),0))</f>
        <v/>
      </c>
      <c r="Q1085" s="18">
        <f>IF($Z1085="","",IF(AND(DATE($AD1085,8,1)&gt;=$AE1085,DATE($AD1085,8,1)&lt;=$AF1085),ROUND($AG1085,2),0))</f>
        <v/>
      </c>
      <c r="R1085" s="18">
        <f>IF($Z1085="","",IF(AND(DATE($AD1085,9,1)&gt;=$AE1085,DATE($AD1085,9,1)&lt;=$AF1085),ROUND($AG1085,2),0))</f>
        <v/>
      </c>
      <c r="S1085" s="18">
        <f>IF($Z1085="","",IF(AND(DATE($AD1085,10,1)&gt;=$AE1085,DATE($AD1085,10,1)&lt;=$AF1085),ROUND($AG1085,2),0))</f>
        <v/>
      </c>
      <c r="T1085" s="18">
        <f>IF($Z1085="","",IF(AND(DATE($AD1085,11,1)&gt;=$AE1085,DATE($AD1085,11,1)&lt;=$AF1085),ROUND($AG1085,2),0))</f>
        <v/>
      </c>
      <c r="U1085" s="18">
        <f>IF($Z1085="","",IF(AND(DATE($AD1085,12,1)&gt;=$AE1085,DATE($AD1085,12,1)&lt;=$AF1085),ROUND($AG1085,2),0))</f>
        <v/>
      </c>
      <c r="V1085" s="7">
        <f>IF($Z1085="C","Generated from "&amp;INDEX(Contracts!$A$2:$A$151,$AB1085),IF($Z1085="A","Generated from "&amp;INDEX(Fixed_Assets!$A$2:$A$201,$AB1085),IF($Z1085="F","Generated from "&amp;INDEX(FTE_Allocation!$A$2:$A$201,$AB1085),"")))</f>
        <v/>
      </c>
      <c r="X1085" s="19">
        <f>IF($Z1085="","",SUM(J1085:U1085))</f>
        <v/>
      </c>
      <c r="Y1085" s="20">
        <f>ROW()-1</f>
        <v/>
      </c>
      <c r="Z1085" s="20">
        <f>IF($Y1085&lt;=Settings!$B$4*3,"C",IF($Y1085&lt;=(Settings!$B$4+Settings!$B$5)*3,"A",IF($Y1085&lt;=(Settings!$B$4+Settings!$B$5+Settings!$B$6)*3,"F","")))</f>
        <v/>
      </c>
      <c r="AA1085" s="20">
        <f>IF($Z1085="C",$Y1085,IF($Z1085="A",$Y1085-Settings!$B$4*3,IF($Z1085="F",$Y1085-(Settings!$B$4+Settings!$B$5)*3,"")))</f>
        <v/>
      </c>
      <c r="AB1085" s="20">
        <f>IF($Z1085="","",INT(($AA1085-1)/3)+1)</f>
        <v/>
      </c>
      <c r="AC1085" s="20">
        <f>IF($Z1085="","",MOD($AA1085-1,3)+1)</f>
        <v/>
      </c>
      <c r="AD1085" s="20">
        <f>IF($Z1085="","",Settings!$B$2+$AC1085-1)</f>
        <v/>
      </c>
      <c r="AE1085" s="21">
        <f>IF($Z1085="C",DATE(YEAR(INDEX(Contracts!$J$2:$J$151,$AB1085)),MONTH(INDEX(Contracts!$J$2:$J$151,$AB1085)),1),IF($Z1085="A",DATE(YEAR(INDEX(Fixed_Assets!$G$2:$G$201,$AB1085)),MONTH(INDEX(Fixed_Assets!$G$2:$G$201,$AB1085)),1),IF($Z1085="F",DATE(YEAR(MAX(N(INDEX(Workforce!$I$2:$I$151,MATCH(INDEX(FTE_Allocation!$A$2:$A$201,$AB1085),Workforce!$A$2:$A$151,0))),N(INDEX(FTE_Allocation!$I$2:$I$201,$AB1085)))),MONTH(MAX(N(INDEX(Workforce!$I$2:$I$151,MATCH(INDEX(FTE_Allocation!$A$2:$A$201,$AB1085),Workforce!$A$2:$A$151,0))),N(INDEX(FTE_Allocation!$I$2:$I$201,$AB1085)))),1),"")))</f>
        <v/>
      </c>
      <c r="AF1085" s="21">
        <f>IF($Z1085="C",IF(INDEX(Contracts!$I$2:$I$151,$AB1085)="PREPAID",EDATE(DATE(YEAR(INDEX(Contracts!$J$2:$J$151,$AB1085)),MONTH(INDEX(Contracts!$J$2:$J$151,$AB1085)),1),IF(INDEX(Contracts!$N$2:$N$151,$AB1085)="",12,INDEX(Contracts!$N$2:$N$151,$AB1085))-1),IF(INDEX(Contracts!$I$2:$I$151,$AB1085)="MONTHLY",IF(INDEX(Contracts!$K$2:$K$151,$AB1085)="",2958101,INDEX(Contracts!$K$2:$K$151,$AB1085)),0)),IF($Z1085="A",EDATE(DATE(YEAR(INDEX(Fixed_Assets!$G$2:$G$201,$AB1085)),MONTH(INDEX(Fixed_Assets!$G$2:$G$201,$AB1085)),1),INDEX(Fixed_Assets!$J$2:$J$201,$AB1085)-1),IF($Z1085="F",MIN(IF(INDEX(Workforce!$J$2:$J$151,MATCH(INDEX(FTE_Allocation!$A$2:$A$201,$AB1085),Workforce!$A$2:$A$151,0))="",2958101,INDEX(Workforce!$J$2:$J$151,MATCH(INDEX(FTE_Allocation!$A$2:$A$201,$AB1085),Workforce!$A$2:$A$151,0))),IF(INDEX(FTE_Allocation!$J$2:$J$201,$AB1085)="",2958101,INDEX(FTE_Allocation!$J$2:$J$201,$AB1085))),"")))</f>
        <v/>
      </c>
      <c r="AG1085" s="19">
        <f>IF($Z1085="C",IF(INDEX(Contracts!$I$2:$I$151,$AB1085)="PREPAID",INDEX(Contracts!$M$2:$M$151,$AB1085)/IF(INDEX(Contracts!$N$2:$N$151,$AB1085)="",12,INDEX(Contracts!$N$2:$N$151,$AB1085)),IF(INDEX(Contracts!$I$2:$I$151,$AB1085)="MONTHLY",INDEX(Contracts!$M$2:$M$151,$AB1085),0))*(1-N(INDEX(Contracts!$O$2:$O$151,$AB1085))),IF($Z1085="A",INDEX(Fixed_Assets!$H$2:$H$201,$AB1085)/INDEX(Fixed_Assets!$J$2:$J$201,$AB1085),IF($Z1085="F",INDEX(Workforce!$F$2:$F$151,MATCH(INDEX(FTE_Allocation!$A$2:$A$201,$AB1085),Workforce!$A$2:$A$151,0))*N(INDEX(FTE_Allocation!$F$2:$H$201,$AB1085,$AC1085)),"")))</f>
        <v/>
      </c>
    </row>
    <row r="1086">
      <c r="A1086" s="7">
        <f>IF($Z1086="","",$AD1086)</f>
        <v/>
      </c>
      <c r="B1086" s="7">
        <f>IF($Z1086="C",INDEX(Contracts!$D$2:$D$151,$AB1086)&amp;"",IF($Z1086="A",INDEX(Fixed_Assets!$C$2:$C$201,$AB1086)&amp;"",IF($Z1086="F",INDEX(Workforce!$B$2:$B$151,MATCH(INDEX(FTE_Allocation!$A$2:$A$201,$AB1086),Workforce!$A$2:$A$151,0))&amp;"","")))</f>
        <v/>
      </c>
      <c r="C1086" s="7">
        <f>IF($Z1086="C",INDEX(Contracts!$E$2:$E$151,$AB1086)&amp;"",IF($Z1086="A",INDEX(Fixed_Assets!$D$2:$D$201,$AB1086)&amp;"",IF($Z1086="F",INDEX(FTE_Allocation!$C$2:$C$201,$AB1086)&amp;"","")))</f>
        <v/>
      </c>
      <c r="D1086" s="7">
        <f>IF($Z1086="C",INDEX(Contracts!$B$2:$B$151,$AB1086)&amp;"",IF($Z1086="A",INDEX(Fixed_Assets!$B$2:$B$201,$AB1086)&amp;"",IF($Z1086="F",INDEX(FTE_Allocation!$B$2:$B$201,$AB1086)&amp;"","")))</f>
        <v/>
      </c>
      <c r="E1086" s="7">
        <f>IF($Z1086="C",INDEX(Contracts!$P$2:$P$151,$AB1086)&amp;"",IF($Z1086="A",INDEX(Fixed_Assets!$K$2:$K$201,$AB1086)&amp;"",IF($Z1086="F",IF(INDEX(FTE_Allocation!$D$2:$D$201,$AB1086)="PROJECT",IFERROR(INDEX(Projects!$D:$D,MATCH(INDEX(FTE_Allocation!$E$2:$E$201,$AB1086),Projects!$A:$A,0))&amp;"","#PROJECT?"),INDEX(FTE_Allocation!$E$2:$E$201,$AB1086)&amp;""),"")))</f>
        <v/>
      </c>
      <c r="F1086" s="7">
        <f>IF($Z1086="C",INDEX(Contracts!$Q$2:$Q$151,$AB1086)&amp;"",IF($Z1086="A",INDEX(Fixed_Assets!$L$2:$L$201,$AB1086)&amp;"",IF($Z1086="F",INDEX(Workforce!$K$2:$K$151,MATCH(INDEX(FTE_Allocation!$A$2:$A$201,$AB1086),Workforce!$A$2:$A$151,0))&amp;"","")))</f>
        <v/>
      </c>
      <c r="G1086" s="7">
        <f>IF($Z1086="C",INDEX(Contracts!$F$2:$F$151,$AB1086)&amp;" / "&amp;INDEX(Contracts!$G$2:$G$151,$AB1086),IF($Z1086="A",INDEX(Fixed_Assets!$E$2:$E$201,$AB1086)&amp;"",IF($Z1086="F","Personnel "&amp;INDEX(FTE_Allocation!$A$2:$A$201,$AB1086)&amp;IF(INDEX(FTE_Allocation!$D$2:$D$201,$AB1086)="PROJECT"," ("&amp;INDEX(FTE_Allocation!$E$2:$E$201,$AB1086)&amp;")",""),"")))</f>
        <v/>
      </c>
      <c r="H1086" s="7">
        <f>IF($Z1086="C","CONTRACT",IF($Z1086="A","ASSET",IF($Z1086="F","WORKFORCE","")))</f>
        <v/>
      </c>
      <c r="I1086" s="7">
        <f>IF($Z1086="C",INDEX(Contracts!$L$2:$L$151,$AB1086)&amp;"",IF($Z1086="A",INDEX(Fixed_Assets!$I$2:$I$201,$AB1086)&amp;"",IF($Z1086="F",INDEX(Workforce!$G$2:$G$151,MATCH(INDEX(FTE_Allocation!$A$2:$A$201,$AB1086),Workforce!$A$2:$A$151,0))&amp;"","")))</f>
        <v/>
      </c>
      <c r="J1086" s="18">
        <f>IF($Z1086="","",IF(AND(DATE($AD1086,1,1)&gt;=$AE1086,DATE($AD1086,1,1)&lt;=$AF1086),ROUND($AG1086,2),0))</f>
        <v/>
      </c>
      <c r="K1086" s="18">
        <f>IF($Z1086="","",IF(AND(DATE($AD1086,2,1)&gt;=$AE1086,DATE($AD1086,2,1)&lt;=$AF1086),ROUND($AG1086,2),0))</f>
        <v/>
      </c>
      <c r="L1086" s="18">
        <f>IF($Z1086="","",IF(AND(DATE($AD1086,3,1)&gt;=$AE1086,DATE($AD1086,3,1)&lt;=$AF1086),ROUND($AG1086,2),0))</f>
        <v/>
      </c>
      <c r="M1086" s="18">
        <f>IF($Z1086="","",IF(AND(DATE($AD1086,4,1)&gt;=$AE1086,DATE($AD1086,4,1)&lt;=$AF1086),ROUND($AG1086,2),0))</f>
        <v/>
      </c>
      <c r="N1086" s="18">
        <f>IF($Z1086="","",IF(AND(DATE($AD1086,5,1)&gt;=$AE1086,DATE($AD1086,5,1)&lt;=$AF1086),ROUND($AG1086,2),0))</f>
        <v/>
      </c>
      <c r="O1086" s="18">
        <f>IF($Z1086="","",IF(AND(DATE($AD1086,6,1)&gt;=$AE1086,DATE($AD1086,6,1)&lt;=$AF1086),ROUND($AG1086,2),0))</f>
        <v/>
      </c>
      <c r="P1086" s="18">
        <f>IF($Z1086="","",IF(AND(DATE($AD1086,7,1)&gt;=$AE1086,DATE($AD1086,7,1)&lt;=$AF1086),ROUND($AG1086,2),0))</f>
        <v/>
      </c>
      <c r="Q1086" s="18">
        <f>IF($Z1086="","",IF(AND(DATE($AD1086,8,1)&gt;=$AE1086,DATE($AD1086,8,1)&lt;=$AF1086),ROUND($AG1086,2),0))</f>
        <v/>
      </c>
      <c r="R1086" s="18">
        <f>IF($Z1086="","",IF(AND(DATE($AD1086,9,1)&gt;=$AE1086,DATE($AD1086,9,1)&lt;=$AF1086),ROUND($AG1086,2),0))</f>
        <v/>
      </c>
      <c r="S1086" s="18">
        <f>IF($Z1086="","",IF(AND(DATE($AD1086,10,1)&gt;=$AE1086,DATE($AD1086,10,1)&lt;=$AF1086),ROUND($AG1086,2),0))</f>
        <v/>
      </c>
      <c r="T1086" s="18">
        <f>IF($Z1086="","",IF(AND(DATE($AD1086,11,1)&gt;=$AE1086,DATE($AD1086,11,1)&lt;=$AF1086),ROUND($AG1086,2),0))</f>
        <v/>
      </c>
      <c r="U1086" s="18">
        <f>IF($Z1086="","",IF(AND(DATE($AD1086,12,1)&gt;=$AE1086,DATE($AD1086,12,1)&lt;=$AF1086),ROUND($AG1086,2),0))</f>
        <v/>
      </c>
      <c r="V1086" s="7">
        <f>IF($Z1086="C","Generated from "&amp;INDEX(Contracts!$A$2:$A$151,$AB1086),IF($Z1086="A","Generated from "&amp;INDEX(Fixed_Assets!$A$2:$A$201,$AB1086),IF($Z1086="F","Generated from "&amp;INDEX(FTE_Allocation!$A$2:$A$201,$AB1086),"")))</f>
        <v/>
      </c>
      <c r="X1086" s="19">
        <f>IF($Z1086="","",SUM(J1086:U1086))</f>
        <v/>
      </c>
      <c r="Y1086" s="20">
        <f>ROW()-1</f>
        <v/>
      </c>
      <c r="Z1086" s="20">
        <f>IF($Y1086&lt;=Settings!$B$4*3,"C",IF($Y1086&lt;=(Settings!$B$4+Settings!$B$5)*3,"A",IF($Y1086&lt;=(Settings!$B$4+Settings!$B$5+Settings!$B$6)*3,"F","")))</f>
        <v/>
      </c>
      <c r="AA1086" s="20">
        <f>IF($Z1086="C",$Y1086,IF($Z1086="A",$Y1086-Settings!$B$4*3,IF($Z1086="F",$Y1086-(Settings!$B$4+Settings!$B$5)*3,"")))</f>
        <v/>
      </c>
      <c r="AB1086" s="20">
        <f>IF($Z1086="","",INT(($AA1086-1)/3)+1)</f>
        <v/>
      </c>
      <c r="AC1086" s="20">
        <f>IF($Z1086="","",MOD($AA1086-1,3)+1)</f>
        <v/>
      </c>
      <c r="AD1086" s="20">
        <f>IF($Z1086="","",Settings!$B$2+$AC1086-1)</f>
        <v/>
      </c>
      <c r="AE1086" s="21">
        <f>IF($Z1086="C",DATE(YEAR(INDEX(Contracts!$J$2:$J$151,$AB1086)),MONTH(INDEX(Contracts!$J$2:$J$151,$AB1086)),1),IF($Z1086="A",DATE(YEAR(INDEX(Fixed_Assets!$G$2:$G$201,$AB1086)),MONTH(INDEX(Fixed_Assets!$G$2:$G$201,$AB1086)),1),IF($Z1086="F",DATE(YEAR(MAX(N(INDEX(Workforce!$I$2:$I$151,MATCH(INDEX(FTE_Allocation!$A$2:$A$201,$AB1086),Workforce!$A$2:$A$151,0))),N(INDEX(FTE_Allocation!$I$2:$I$201,$AB1086)))),MONTH(MAX(N(INDEX(Workforce!$I$2:$I$151,MATCH(INDEX(FTE_Allocation!$A$2:$A$201,$AB1086),Workforce!$A$2:$A$151,0))),N(INDEX(FTE_Allocation!$I$2:$I$201,$AB1086)))),1),"")))</f>
        <v/>
      </c>
      <c r="AF1086" s="21">
        <f>IF($Z1086="C",IF(INDEX(Contracts!$I$2:$I$151,$AB1086)="PREPAID",EDATE(DATE(YEAR(INDEX(Contracts!$J$2:$J$151,$AB1086)),MONTH(INDEX(Contracts!$J$2:$J$151,$AB1086)),1),IF(INDEX(Contracts!$N$2:$N$151,$AB1086)="",12,INDEX(Contracts!$N$2:$N$151,$AB1086))-1),IF(INDEX(Contracts!$I$2:$I$151,$AB1086)="MONTHLY",IF(INDEX(Contracts!$K$2:$K$151,$AB1086)="",2958101,INDEX(Contracts!$K$2:$K$151,$AB1086)),0)),IF($Z1086="A",EDATE(DATE(YEAR(INDEX(Fixed_Assets!$G$2:$G$201,$AB1086)),MONTH(INDEX(Fixed_Assets!$G$2:$G$201,$AB1086)),1),INDEX(Fixed_Assets!$J$2:$J$201,$AB1086)-1),IF($Z1086="F",MIN(IF(INDEX(Workforce!$J$2:$J$151,MATCH(INDEX(FTE_Allocation!$A$2:$A$201,$AB1086),Workforce!$A$2:$A$151,0))="",2958101,INDEX(Workforce!$J$2:$J$151,MATCH(INDEX(FTE_Allocation!$A$2:$A$201,$AB1086),Workforce!$A$2:$A$151,0))),IF(INDEX(FTE_Allocation!$J$2:$J$201,$AB1086)="",2958101,INDEX(FTE_Allocation!$J$2:$J$201,$AB1086))),"")))</f>
        <v/>
      </c>
      <c r="AG1086" s="19">
        <f>IF($Z1086="C",IF(INDEX(Contracts!$I$2:$I$151,$AB1086)="PREPAID",INDEX(Contracts!$M$2:$M$151,$AB1086)/IF(INDEX(Contracts!$N$2:$N$151,$AB1086)="",12,INDEX(Contracts!$N$2:$N$151,$AB1086)),IF(INDEX(Contracts!$I$2:$I$151,$AB1086)="MONTHLY",INDEX(Contracts!$M$2:$M$151,$AB1086),0))*(1-N(INDEX(Contracts!$O$2:$O$151,$AB1086))),IF($Z1086="A",INDEX(Fixed_Assets!$H$2:$H$201,$AB1086)/INDEX(Fixed_Assets!$J$2:$J$201,$AB1086),IF($Z1086="F",INDEX(Workforce!$F$2:$F$151,MATCH(INDEX(FTE_Allocation!$A$2:$A$201,$AB1086),Workforce!$A$2:$A$151,0))*N(INDEX(FTE_Allocation!$F$2:$H$201,$AB1086,$AC1086)),"")))</f>
        <v/>
      </c>
    </row>
    <row r="1087">
      <c r="A1087" s="7">
        <f>IF($Z1087="","",$AD1087)</f>
        <v/>
      </c>
      <c r="B1087" s="7">
        <f>IF($Z1087="C",INDEX(Contracts!$D$2:$D$151,$AB1087)&amp;"",IF($Z1087="A",INDEX(Fixed_Assets!$C$2:$C$201,$AB1087)&amp;"",IF($Z1087="F",INDEX(Workforce!$B$2:$B$151,MATCH(INDEX(FTE_Allocation!$A$2:$A$201,$AB1087),Workforce!$A$2:$A$151,0))&amp;"","")))</f>
        <v/>
      </c>
      <c r="C1087" s="7">
        <f>IF($Z1087="C",INDEX(Contracts!$E$2:$E$151,$AB1087)&amp;"",IF($Z1087="A",INDEX(Fixed_Assets!$D$2:$D$201,$AB1087)&amp;"",IF($Z1087="F",INDEX(FTE_Allocation!$C$2:$C$201,$AB1087)&amp;"","")))</f>
        <v/>
      </c>
      <c r="D1087" s="7">
        <f>IF($Z1087="C",INDEX(Contracts!$B$2:$B$151,$AB1087)&amp;"",IF($Z1087="A",INDEX(Fixed_Assets!$B$2:$B$201,$AB1087)&amp;"",IF($Z1087="F",INDEX(FTE_Allocation!$B$2:$B$201,$AB1087)&amp;"","")))</f>
        <v/>
      </c>
      <c r="E1087" s="7">
        <f>IF($Z1087="C",INDEX(Contracts!$P$2:$P$151,$AB1087)&amp;"",IF($Z1087="A",INDEX(Fixed_Assets!$K$2:$K$201,$AB1087)&amp;"",IF($Z1087="F",IF(INDEX(FTE_Allocation!$D$2:$D$201,$AB1087)="PROJECT",IFERROR(INDEX(Projects!$D:$D,MATCH(INDEX(FTE_Allocation!$E$2:$E$201,$AB1087),Projects!$A:$A,0))&amp;"","#PROJECT?"),INDEX(FTE_Allocation!$E$2:$E$201,$AB1087)&amp;""),"")))</f>
        <v/>
      </c>
      <c r="F1087" s="7">
        <f>IF($Z1087="C",INDEX(Contracts!$Q$2:$Q$151,$AB1087)&amp;"",IF($Z1087="A",INDEX(Fixed_Assets!$L$2:$L$201,$AB1087)&amp;"",IF($Z1087="F",INDEX(Workforce!$K$2:$K$151,MATCH(INDEX(FTE_Allocation!$A$2:$A$201,$AB1087),Workforce!$A$2:$A$151,0))&amp;"","")))</f>
        <v/>
      </c>
      <c r="G1087" s="7">
        <f>IF($Z1087="C",INDEX(Contracts!$F$2:$F$151,$AB1087)&amp;" / "&amp;INDEX(Contracts!$G$2:$G$151,$AB1087),IF($Z1087="A",INDEX(Fixed_Assets!$E$2:$E$201,$AB1087)&amp;"",IF($Z1087="F","Personnel "&amp;INDEX(FTE_Allocation!$A$2:$A$201,$AB1087)&amp;IF(INDEX(FTE_Allocation!$D$2:$D$201,$AB1087)="PROJECT"," ("&amp;INDEX(FTE_Allocation!$E$2:$E$201,$AB1087)&amp;")",""),"")))</f>
        <v/>
      </c>
      <c r="H1087" s="7">
        <f>IF($Z1087="C","CONTRACT",IF($Z1087="A","ASSET",IF($Z1087="F","WORKFORCE","")))</f>
        <v/>
      </c>
      <c r="I1087" s="7">
        <f>IF($Z1087="C",INDEX(Contracts!$L$2:$L$151,$AB1087)&amp;"",IF($Z1087="A",INDEX(Fixed_Assets!$I$2:$I$201,$AB1087)&amp;"",IF($Z1087="F",INDEX(Workforce!$G$2:$G$151,MATCH(INDEX(FTE_Allocation!$A$2:$A$201,$AB1087),Workforce!$A$2:$A$151,0))&amp;"","")))</f>
        <v/>
      </c>
      <c r="J1087" s="18">
        <f>IF($Z1087="","",IF(AND(DATE($AD1087,1,1)&gt;=$AE1087,DATE($AD1087,1,1)&lt;=$AF1087),ROUND($AG1087,2),0))</f>
        <v/>
      </c>
      <c r="K1087" s="18">
        <f>IF($Z1087="","",IF(AND(DATE($AD1087,2,1)&gt;=$AE1087,DATE($AD1087,2,1)&lt;=$AF1087),ROUND($AG1087,2),0))</f>
        <v/>
      </c>
      <c r="L1087" s="18">
        <f>IF($Z1087="","",IF(AND(DATE($AD1087,3,1)&gt;=$AE1087,DATE($AD1087,3,1)&lt;=$AF1087),ROUND($AG1087,2),0))</f>
        <v/>
      </c>
      <c r="M1087" s="18">
        <f>IF($Z1087="","",IF(AND(DATE($AD1087,4,1)&gt;=$AE1087,DATE($AD1087,4,1)&lt;=$AF1087),ROUND($AG1087,2),0))</f>
        <v/>
      </c>
      <c r="N1087" s="18">
        <f>IF($Z1087="","",IF(AND(DATE($AD1087,5,1)&gt;=$AE1087,DATE($AD1087,5,1)&lt;=$AF1087),ROUND($AG1087,2),0))</f>
        <v/>
      </c>
      <c r="O1087" s="18">
        <f>IF($Z1087="","",IF(AND(DATE($AD1087,6,1)&gt;=$AE1087,DATE($AD1087,6,1)&lt;=$AF1087),ROUND($AG1087,2),0))</f>
        <v/>
      </c>
      <c r="P1087" s="18">
        <f>IF($Z1087="","",IF(AND(DATE($AD1087,7,1)&gt;=$AE1087,DATE($AD1087,7,1)&lt;=$AF1087),ROUND($AG1087,2),0))</f>
        <v/>
      </c>
      <c r="Q1087" s="18">
        <f>IF($Z1087="","",IF(AND(DATE($AD1087,8,1)&gt;=$AE1087,DATE($AD1087,8,1)&lt;=$AF1087),ROUND($AG1087,2),0))</f>
        <v/>
      </c>
      <c r="R1087" s="18">
        <f>IF($Z1087="","",IF(AND(DATE($AD1087,9,1)&gt;=$AE1087,DATE($AD1087,9,1)&lt;=$AF1087),ROUND($AG1087,2),0))</f>
        <v/>
      </c>
      <c r="S1087" s="18">
        <f>IF($Z1087="","",IF(AND(DATE($AD1087,10,1)&gt;=$AE1087,DATE($AD1087,10,1)&lt;=$AF1087),ROUND($AG1087,2),0))</f>
        <v/>
      </c>
      <c r="T1087" s="18">
        <f>IF($Z1087="","",IF(AND(DATE($AD1087,11,1)&gt;=$AE1087,DATE($AD1087,11,1)&lt;=$AF1087),ROUND($AG1087,2),0))</f>
        <v/>
      </c>
      <c r="U1087" s="18">
        <f>IF($Z1087="","",IF(AND(DATE($AD1087,12,1)&gt;=$AE1087,DATE($AD1087,12,1)&lt;=$AF1087),ROUND($AG1087,2),0))</f>
        <v/>
      </c>
      <c r="V1087" s="7">
        <f>IF($Z1087="C","Generated from "&amp;INDEX(Contracts!$A$2:$A$151,$AB1087),IF($Z1087="A","Generated from "&amp;INDEX(Fixed_Assets!$A$2:$A$201,$AB1087),IF($Z1087="F","Generated from "&amp;INDEX(FTE_Allocation!$A$2:$A$201,$AB1087),"")))</f>
        <v/>
      </c>
      <c r="X1087" s="19">
        <f>IF($Z1087="","",SUM(J1087:U1087))</f>
        <v/>
      </c>
      <c r="Y1087" s="20">
        <f>ROW()-1</f>
        <v/>
      </c>
      <c r="Z1087" s="20">
        <f>IF($Y1087&lt;=Settings!$B$4*3,"C",IF($Y1087&lt;=(Settings!$B$4+Settings!$B$5)*3,"A",IF($Y1087&lt;=(Settings!$B$4+Settings!$B$5+Settings!$B$6)*3,"F","")))</f>
        <v/>
      </c>
      <c r="AA1087" s="20">
        <f>IF($Z1087="C",$Y1087,IF($Z1087="A",$Y1087-Settings!$B$4*3,IF($Z1087="F",$Y1087-(Settings!$B$4+Settings!$B$5)*3,"")))</f>
        <v/>
      </c>
      <c r="AB1087" s="20">
        <f>IF($Z1087="","",INT(($AA1087-1)/3)+1)</f>
        <v/>
      </c>
      <c r="AC1087" s="20">
        <f>IF($Z1087="","",MOD($AA1087-1,3)+1)</f>
        <v/>
      </c>
      <c r="AD1087" s="20">
        <f>IF($Z1087="","",Settings!$B$2+$AC1087-1)</f>
        <v/>
      </c>
      <c r="AE1087" s="21">
        <f>IF($Z1087="C",DATE(YEAR(INDEX(Contracts!$J$2:$J$151,$AB1087)),MONTH(INDEX(Contracts!$J$2:$J$151,$AB1087)),1),IF($Z1087="A",DATE(YEAR(INDEX(Fixed_Assets!$G$2:$G$201,$AB1087)),MONTH(INDEX(Fixed_Assets!$G$2:$G$201,$AB1087)),1),IF($Z1087="F",DATE(YEAR(MAX(N(INDEX(Workforce!$I$2:$I$151,MATCH(INDEX(FTE_Allocation!$A$2:$A$201,$AB1087),Workforce!$A$2:$A$151,0))),N(INDEX(FTE_Allocation!$I$2:$I$201,$AB1087)))),MONTH(MAX(N(INDEX(Workforce!$I$2:$I$151,MATCH(INDEX(FTE_Allocation!$A$2:$A$201,$AB1087),Workforce!$A$2:$A$151,0))),N(INDEX(FTE_Allocation!$I$2:$I$201,$AB1087)))),1),"")))</f>
        <v/>
      </c>
      <c r="AF1087" s="21">
        <f>IF($Z1087="C",IF(INDEX(Contracts!$I$2:$I$151,$AB1087)="PREPAID",EDATE(DATE(YEAR(INDEX(Contracts!$J$2:$J$151,$AB1087)),MONTH(INDEX(Contracts!$J$2:$J$151,$AB1087)),1),IF(INDEX(Contracts!$N$2:$N$151,$AB1087)="",12,INDEX(Contracts!$N$2:$N$151,$AB1087))-1),IF(INDEX(Contracts!$I$2:$I$151,$AB1087)="MONTHLY",IF(INDEX(Contracts!$K$2:$K$151,$AB1087)="",2958101,INDEX(Contracts!$K$2:$K$151,$AB1087)),0)),IF($Z1087="A",EDATE(DATE(YEAR(INDEX(Fixed_Assets!$G$2:$G$201,$AB1087)),MONTH(INDEX(Fixed_Assets!$G$2:$G$201,$AB1087)),1),INDEX(Fixed_Assets!$J$2:$J$201,$AB1087)-1),IF($Z1087="F",MIN(IF(INDEX(Workforce!$J$2:$J$151,MATCH(INDEX(FTE_Allocation!$A$2:$A$201,$AB1087),Workforce!$A$2:$A$151,0))="",2958101,INDEX(Workforce!$J$2:$J$151,MATCH(INDEX(FTE_Allocation!$A$2:$A$201,$AB1087),Workforce!$A$2:$A$151,0))),IF(INDEX(FTE_Allocation!$J$2:$J$201,$AB1087)="",2958101,INDEX(FTE_Allocation!$J$2:$J$201,$AB1087))),"")))</f>
        <v/>
      </c>
      <c r="AG1087" s="19">
        <f>IF($Z1087="C",IF(INDEX(Contracts!$I$2:$I$151,$AB1087)="PREPAID",INDEX(Contracts!$M$2:$M$151,$AB1087)/IF(INDEX(Contracts!$N$2:$N$151,$AB1087)="",12,INDEX(Contracts!$N$2:$N$151,$AB1087)),IF(INDEX(Contracts!$I$2:$I$151,$AB1087)="MONTHLY",INDEX(Contracts!$M$2:$M$151,$AB1087),0))*(1-N(INDEX(Contracts!$O$2:$O$151,$AB1087))),IF($Z1087="A",INDEX(Fixed_Assets!$H$2:$H$201,$AB1087)/INDEX(Fixed_Assets!$J$2:$J$201,$AB1087),IF($Z1087="F",INDEX(Workforce!$F$2:$F$151,MATCH(INDEX(FTE_Allocation!$A$2:$A$201,$AB1087),Workforce!$A$2:$A$151,0))*N(INDEX(FTE_Allocation!$F$2:$H$201,$AB1087,$AC1087)),"")))</f>
        <v/>
      </c>
    </row>
    <row r="1088">
      <c r="A1088" s="7">
        <f>IF($Z1088="","",$AD1088)</f>
        <v/>
      </c>
      <c r="B1088" s="7">
        <f>IF($Z1088="C",INDEX(Contracts!$D$2:$D$151,$AB1088)&amp;"",IF($Z1088="A",INDEX(Fixed_Assets!$C$2:$C$201,$AB1088)&amp;"",IF($Z1088="F",INDEX(Workforce!$B$2:$B$151,MATCH(INDEX(FTE_Allocation!$A$2:$A$201,$AB1088),Workforce!$A$2:$A$151,0))&amp;"","")))</f>
        <v/>
      </c>
      <c r="C1088" s="7">
        <f>IF($Z1088="C",INDEX(Contracts!$E$2:$E$151,$AB1088)&amp;"",IF($Z1088="A",INDEX(Fixed_Assets!$D$2:$D$201,$AB1088)&amp;"",IF($Z1088="F",INDEX(FTE_Allocation!$C$2:$C$201,$AB1088)&amp;"","")))</f>
        <v/>
      </c>
      <c r="D1088" s="7">
        <f>IF($Z1088="C",INDEX(Contracts!$B$2:$B$151,$AB1088)&amp;"",IF($Z1088="A",INDEX(Fixed_Assets!$B$2:$B$201,$AB1088)&amp;"",IF($Z1088="F",INDEX(FTE_Allocation!$B$2:$B$201,$AB1088)&amp;"","")))</f>
        <v/>
      </c>
      <c r="E1088" s="7">
        <f>IF($Z1088="C",INDEX(Contracts!$P$2:$P$151,$AB1088)&amp;"",IF($Z1088="A",INDEX(Fixed_Assets!$K$2:$K$201,$AB1088)&amp;"",IF($Z1088="F",IF(INDEX(FTE_Allocation!$D$2:$D$201,$AB1088)="PROJECT",IFERROR(INDEX(Projects!$D:$D,MATCH(INDEX(FTE_Allocation!$E$2:$E$201,$AB1088),Projects!$A:$A,0))&amp;"","#PROJECT?"),INDEX(FTE_Allocation!$E$2:$E$201,$AB1088)&amp;""),"")))</f>
        <v/>
      </c>
      <c r="F1088" s="7">
        <f>IF($Z1088="C",INDEX(Contracts!$Q$2:$Q$151,$AB1088)&amp;"",IF($Z1088="A",INDEX(Fixed_Assets!$L$2:$L$201,$AB1088)&amp;"",IF($Z1088="F",INDEX(Workforce!$K$2:$K$151,MATCH(INDEX(FTE_Allocation!$A$2:$A$201,$AB1088),Workforce!$A$2:$A$151,0))&amp;"","")))</f>
        <v/>
      </c>
      <c r="G1088" s="7">
        <f>IF($Z1088="C",INDEX(Contracts!$F$2:$F$151,$AB1088)&amp;" / "&amp;INDEX(Contracts!$G$2:$G$151,$AB1088),IF($Z1088="A",INDEX(Fixed_Assets!$E$2:$E$201,$AB1088)&amp;"",IF($Z1088="F","Personnel "&amp;INDEX(FTE_Allocation!$A$2:$A$201,$AB1088)&amp;IF(INDEX(FTE_Allocation!$D$2:$D$201,$AB1088)="PROJECT"," ("&amp;INDEX(FTE_Allocation!$E$2:$E$201,$AB1088)&amp;")",""),"")))</f>
        <v/>
      </c>
      <c r="H1088" s="7">
        <f>IF($Z1088="C","CONTRACT",IF($Z1088="A","ASSET",IF($Z1088="F","WORKFORCE","")))</f>
        <v/>
      </c>
      <c r="I1088" s="7">
        <f>IF($Z1088="C",INDEX(Contracts!$L$2:$L$151,$AB1088)&amp;"",IF($Z1088="A",INDEX(Fixed_Assets!$I$2:$I$201,$AB1088)&amp;"",IF($Z1088="F",INDEX(Workforce!$G$2:$G$151,MATCH(INDEX(FTE_Allocation!$A$2:$A$201,$AB1088),Workforce!$A$2:$A$151,0))&amp;"","")))</f>
        <v/>
      </c>
      <c r="J1088" s="18">
        <f>IF($Z1088="","",IF(AND(DATE($AD1088,1,1)&gt;=$AE1088,DATE($AD1088,1,1)&lt;=$AF1088),ROUND($AG1088,2),0))</f>
        <v/>
      </c>
      <c r="K1088" s="18">
        <f>IF($Z1088="","",IF(AND(DATE($AD1088,2,1)&gt;=$AE1088,DATE($AD1088,2,1)&lt;=$AF1088),ROUND($AG1088,2),0))</f>
        <v/>
      </c>
      <c r="L1088" s="18">
        <f>IF($Z1088="","",IF(AND(DATE($AD1088,3,1)&gt;=$AE1088,DATE($AD1088,3,1)&lt;=$AF1088),ROUND($AG1088,2),0))</f>
        <v/>
      </c>
      <c r="M1088" s="18">
        <f>IF($Z1088="","",IF(AND(DATE($AD1088,4,1)&gt;=$AE1088,DATE($AD1088,4,1)&lt;=$AF1088),ROUND($AG1088,2),0))</f>
        <v/>
      </c>
      <c r="N1088" s="18">
        <f>IF($Z1088="","",IF(AND(DATE($AD1088,5,1)&gt;=$AE1088,DATE($AD1088,5,1)&lt;=$AF1088),ROUND($AG1088,2),0))</f>
        <v/>
      </c>
      <c r="O1088" s="18">
        <f>IF($Z1088="","",IF(AND(DATE($AD1088,6,1)&gt;=$AE1088,DATE($AD1088,6,1)&lt;=$AF1088),ROUND($AG1088,2),0))</f>
        <v/>
      </c>
      <c r="P1088" s="18">
        <f>IF($Z1088="","",IF(AND(DATE($AD1088,7,1)&gt;=$AE1088,DATE($AD1088,7,1)&lt;=$AF1088),ROUND($AG1088,2),0))</f>
        <v/>
      </c>
      <c r="Q1088" s="18">
        <f>IF($Z1088="","",IF(AND(DATE($AD1088,8,1)&gt;=$AE1088,DATE($AD1088,8,1)&lt;=$AF1088),ROUND($AG1088,2),0))</f>
        <v/>
      </c>
      <c r="R1088" s="18">
        <f>IF($Z1088="","",IF(AND(DATE($AD1088,9,1)&gt;=$AE1088,DATE($AD1088,9,1)&lt;=$AF1088),ROUND($AG1088,2),0))</f>
        <v/>
      </c>
      <c r="S1088" s="18">
        <f>IF($Z1088="","",IF(AND(DATE($AD1088,10,1)&gt;=$AE1088,DATE($AD1088,10,1)&lt;=$AF1088),ROUND($AG1088,2),0))</f>
        <v/>
      </c>
      <c r="T1088" s="18">
        <f>IF($Z1088="","",IF(AND(DATE($AD1088,11,1)&gt;=$AE1088,DATE($AD1088,11,1)&lt;=$AF1088),ROUND($AG1088,2),0))</f>
        <v/>
      </c>
      <c r="U1088" s="18">
        <f>IF($Z1088="","",IF(AND(DATE($AD1088,12,1)&gt;=$AE1088,DATE($AD1088,12,1)&lt;=$AF1088),ROUND($AG1088,2),0))</f>
        <v/>
      </c>
      <c r="V1088" s="7">
        <f>IF($Z1088="C","Generated from "&amp;INDEX(Contracts!$A$2:$A$151,$AB1088),IF($Z1088="A","Generated from "&amp;INDEX(Fixed_Assets!$A$2:$A$201,$AB1088),IF($Z1088="F","Generated from "&amp;INDEX(FTE_Allocation!$A$2:$A$201,$AB1088),"")))</f>
        <v/>
      </c>
      <c r="X1088" s="19">
        <f>IF($Z1088="","",SUM(J1088:U1088))</f>
        <v/>
      </c>
      <c r="Y1088" s="20">
        <f>ROW()-1</f>
        <v/>
      </c>
      <c r="Z1088" s="20">
        <f>IF($Y1088&lt;=Settings!$B$4*3,"C",IF($Y1088&lt;=(Settings!$B$4+Settings!$B$5)*3,"A",IF($Y1088&lt;=(Settings!$B$4+Settings!$B$5+Settings!$B$6)*3,"F","")))</f>
        <v/>
      </c>
      <c r="AA1088" s="20">
        <f>IF($Z1088="C",$Y1088,IF($Z1088="A",$Y1088-Settings!$B$4*3,IF($Z1088="F",$Y1088-(Settings!$B$4+Settings!$B$5)*3,"")))</f>
        <v/>
      </c>
      <c r="AB1088" s="20">
        <f>IF($Z1088="","",INT(($AA1088-1)/3)+1)</f>
        <v/>
      </c>
      <c r="AC1088" s="20">
        <f>IF($Z1088="","",MOD($AA1088-1,3)+1)</f>
        <v/>
      </c>
      <c r="AD1088" s="20">
        <f>IF($Z1088="","",Settings!$B$2+$AC1088-1)</f>
        <v/>
      </c>
      <c r="AE1088" s="21">
        <f>IF($Z1088="C",DATE(YEAR(INDEX(Contracts!$J$2:$J$151,$AB1088)),MONTH(INDEX(Contracts!$J$2:$J$151,$AB1088)),1),IF($Z1088="A",DATE(YEAR(INDEX(Fixed_Assets!$G$2:$G$201,$AB1088)),MONTH(INDEX(Fixed_Assets!$G$2:$G$201,$AB1088)),1),IF($Z1088="F",DATE(YEAR(MAX(N(INDEX(Workforce!$I$2:$I$151,MATCH(INDEX(FTE_Allocation!$A$2:$A$201,$AB1088),Workforce!$A$2:$A$151,0))),N(INDEX(FTE_Allocation!$I$2:$I$201,$AB1088)))),MONTH(MAX(N(INDEX(Workforce!$I$2:$I$151,MATCH(INDEX(FTE_Allocation!$A$2:$A$201,$AB1088),Workforce!$A$2:$A$151,0))),N(INDEX(FTE_Allocation!$I$2:$I$201,$AB1088)))),1),"")))</f>
        <v/>
      </c>
      <c r="AF1088" s="21">
        <f>IF($Z1088="C",IF(INDEX(Contracts!$I$2:$I$151,$AB1088)="PREPAID",EDATE(DATE(YEAR(INDEX(Contracts!$J$2:$J$151,$AB1088)),MONTH(INDEX(Contracts!$J$2:$J$151,$AB1088)),1),IF(INDEX(Contracts!$N$2:$N$151,$AB1088)="",12,INDEX(Contracts!$N$2:$N$151,$AB1088))-1),IF(INDEX(Contracts!$I$2:$I$151,$AB1088)="MONTHLY",IF(INDEX(Contracts!$K$2:$K$151,$AB1088)="",2958101,INDEX(Contracts!$K$2:$K$151,$AB1088)),0)),IF($Z1088="A",EDATE(DATE(YEAR(INDEX(Fixed_Assets!$G$2:$G$201,$AB1088)),MONTH(INDEX(Fixed_Assets!$G$2:$G$201,$AB1088)),1),INDEX(Fixed_Assets!$J$2:$J$201,$AB1088)-1),IF($Z1088="F",MIN(IF(INDEX(Workforce!$J$2:$J$151,MATCH(INDEX(FTE_Allocation!$A$2:$A$201,$AB1088),Workforce!$A$2:$A$151,0))="",2958101,INDEX(Workforce!$J$2:$J$151,MATCH(INDEX(FTE_Allocation!$A$2:$A$201,$AB1088),Workforce!$A$2:$A$151,0))),IF(INDEX(FTE_Allocation!$J$2:$J$201,$AB1088)="",2958101,INDEX(FTE_Allocation!$J$2:$J$201,$AB1088))),"")))</f>
        <v/>
      </c>
      <c r="AG1088" s="19">
        <f>IF($Z1088="C",IF(INDEX(Contracts!$I$2:$I$151,$AB1088)="PREPAID",INDEX(Contracts!$M$2:$M$151,$AB1088)/IF(INDEX(Contracts!$N$2:$N$151,$AB1088)="",12,INDEX(Contracts!$N$2:$N$151,$AB1088)),IF(INDEX(Contracts!$I$2:$I$151,$AB1088)="MONTHLY",INDEX(Contracts!$M$2:$M$151,$AB1088),0))*(1-N(INDEX(Contracts!$O$2:$O$151,$AB1088))),IF($Z1088="A",INDEX(Fixed_Assets!$H$2:$H$201,$AB1088)/INDEX(Fixed_Assets!$J$2:$J$201,$AB1088),IF($Z1088="F",INDEX(Workforce!$F$2:$F$151,MATCH(INDEX(FTE_Allocation!$A$2:$A$201,$AB1088),Workforce!$A$2:$A$151,0))*N(INDEX(FTE_Allocation!$F$2:$H$201,$AB1088,$AC1088)),"")))</f>
        <v/>
      </c>
    </row>
    <row r="1089">
      <c r="A1089" s="7">
        <f>IF($Z1089="","",$AD1089)</f>
        <v/>
      </c>
      <c r="B1089" s="7">
        <f>IF($Z1089="C",INDEX(Contracts!$D$2:$D$151,$AB1089)&amp;"",IF($Z1089="A",INDEX(Fixed_Assets!$C$2:$C$201,$AB1089)&amp;"",IF($Z1089="F",INDEX(Workforce!$B$2:$B$151,MATCH(INDEX(FTE_Allocation!$A$2:$A$201,$AB1089),Workforce!$A$2:$A$151,0))&amp;"","")))</f>
        <v/>
      </c>
      <c r="C1089" s="7">
        <f>IF($Z1089="C",INDEX(Contracts!$E$2:$E$151,$AB1089)&amp;"",IF($Z1089="A",INDEX(Fixed_Assets!$D$2:$D$201,$AB1089)&amp;"",IF($Z1089="F",INDEX(FTE_Allocation!$C$2:$C$201,$AB1089)&amp;"","")))</f>
        <v/>
      </c>
      <c r="D1089" s="7">
        <f>IF($Z1089="C",INDEX(Contracts!$B$2:$B$151,$AB1089)&amp;"",IF($Z1089="A",INDEX(Fixed_Assets!$B$2:$B$201,$AB1089)&amp;"",IF($Z1089="F",INDEX(FTE_Allocation!$B$2:$B$201,$AB1089)&amp;"","")))</f>
        <v/>
      </c>
      <c r="E1089" s="7">
        <f>IF($Z1089="C",INDEX(Contracts!$P$2:$P$151,$AB1089)&amp;"",IF($Z1089="A",INDEX(Fixed_Assets!$K$2:$K$201,$AB1089)&amp;"",IF($Z1089="F",IF(INDEX(FTE_Allocation!$D$2:$D$201,$AB1089)="PROJECT",IFERROR(INDEX(Projects!$D:$D,MATCH(INDEX(FTE_Allocation!$E$2:$E$201,$AB1089),Projects!$A:$A,0))&amp;"","#PROJECT?"),INDEX(FTE_Allocation!$E$2:$E$201,$AB1089)&amp;""),"")))</f>
        <v/>
      </c>
      <c r="F1089" s="7">
        <f>IF($Z1089="C",INDEX(Contracts!$Q$2:$Q$151,$AB1089)&amp;"",IF($Z1089="A",INDEX(Fixed_Assets!$L$2:$L$201,$AB1089)&amp;"",IF($Z1089="F",INDEX(Workforce!$K$2:$K$151,MATCH(INDEX(FTE_Allocation!$A$2:$A$201,$AB1089),Workforce!$A$2:$A$151,0))&amp;"","")))</f>
        <v/>
      </c>
      <c r="G1089" s="7">
        <f>IF($Z1089="C",INDEX(Contracts!$F$2:$F$151,$AB1089)&amp;" / "&amp;INDEX(Contracts!$G$2:$G$151,$AB1089),IF($Z1089="A",INDEX(Fixed_Assets!$E$2:$E$201,$AB1089)&amp;"",IF($Z1089="F","Personnel "&amp;INDEX(FTE_Allocation!$A$2:$A$201,$AB1089)&amp;IF(INDEX(FTE_Allocation!$D$2:$D$201,$AB1089)="PROJECT"," ("&amp;INDEX(FTE_Allocation!$E$2:$E$201,$AB1089)&amp;")",""),"")))</f>
        <v/>
      </c>
      <c r="H1089" s="7">
        <f>IF($Z1089="C","CONTRACT",IF($Z1089="A","ASSET",IF($Z1089="F","WORKFORCE","")))</f>
        <v/>
      </c>
      <c r="I1089" s="7">
        <f>IF($Z1089="C",INDEX(Contracts!$L$2:$L$151,$AB1089)&amp;"",IF($Z1089="A",INDEX(Fixed_Assets!$I$2:$I$201,$AB1089)&amp;"",IF($Z1089="F",INDEX(Workforce!$G$2:$G$151,MATCH(INDEX(FTE_Allocation!$A$2:$A$201,$AB1089),Workforce!$A$2:$A$151,0))&amp;"","")))</f>
        <v/>
      </c>
      <c r="J1089" s="18">
        <f>IF($Z1089="","",IF(AND(DATE($AD1089,1,1)&gt;=$AE1089,DATE($AD1089,1,1)&lt;=$AF1089),ROUND($AG1089,2),0))</f>
        <v/>
      </c>
      <c r="K1089" s="18">
        <f>IF($Z1089="","",IF(AND(DATE($AD1089,2,1)&gt;=$AE1089,DATE($AD1089,2,1)&lt;=$AF1089),ROUND($AG1089,2),0))</f>
        <v/>
      </c>
      <c r="L1089" s="18">
        <f>IF($Z1089="","",IF(AND(DATE($AD1089,3,1)&gt;=$AE1089,DATE($AD1089,3,1)&lt;=$AF1089),ROUND($AG1089,2),0))</f>
        <v/>
      </c>
      <c r="M1089" s="18">
        <f>IF($Z1089="","",IF(AND(DATE($AD1089,4,1)&gt;=$AE1089,DATE($AD1089,4,1)&lt;=$AF1089),ROUND($AG1089,2),0))</f>
        <v/>
      </c>
      <c r="N1089" s="18">
        <f>IF($Z1089="","",IF(AND(DATE($AD1089,5,1)&gt;=$AE1089,DATE($AD1089,5,1)&lt;=$AF1089),ROUND($AG1089,2),0))</f>
        <v/>
      </c>
      <c r="O1089" s="18">
        <f>IF($Z1089="","",IF(AND(DATE($AD1089,6,1)&gt;=$AE1089,DATE($AD1089,6,1)&lt;=$AF1089),ROUND($AG1089,2),0))</f>
        <v/>
      </c>
      <c r="P1089" s="18">
        <f>IF($Z1089="","",IF(AND(DATE($AD1089,7,1)&gt;=$AE1089,DATE($AD1089,7,1)&lt;=$AF1089),ROUND($AG1089,2),0))</f>
        <v/>
      </c>
      <c r="Q1089" s="18">
        <f>IF($Z1089="","",IF(AND(DATE($AD1089,8,1)&gt;=$AE1089,DATE($AD1089,8,1)&lt;=$AF1089),ROUND($AG1089,2),0))</f>
        <v/>
      </c>
      <c r="R1089" s="18">
        <f>IF($Z1089="","",IF(AND(DATE($AD1089,9,1)&gt;=$AE1089,DATE($AD1089,9,1)&lt;=$AF1089),ROUND($AG1089,2),0))</f>
        <v/>
      </c>
      <c r="S1089" s="18">
        <f>IF($Z1089="","",IF(AND(DATE($AD1089,10,1)&gt;=$AE1089,DATE($AD1089,10,1)&lt;=$AF1089),ROUND($AG1089,2),0))</f>
        <v/>
      </c>
      <c r="T1089" s="18">
        <f>IF($Z1089="","",IF(AND(DATE($AD1089,11,1)&gt;=$AE1089,DATE($AD1089,11,1)&lt;=$AF1089),ROUND($AG1089,2),0))</f>
        <v/>
      </c>
      <c r="U1089" s="18">
        <f>IF($Z1089="","",IF(AND(DATE($AD1089,12,1)&gt;=$AE1089,DATE($AD1089,12,1)&lt;=$AF1089),ROUND($AG1089,2),0))</f>
        <v/>
      </c>
      <c r="V1089" s="7">
        <f>IF($Z1089="C","Generated from "&amp;INDEX(Contracts!$A$2:$A$151,$AB1089),IF($Z1089="A","Generated from "&amp;INDEX(Fixed_Assets!$A$2:$A$201,$AB1089),IF($Z1089="F","Generated from "&amp;INDEX(FTE_Allocation!$A$2:$A$201,$AB1089),"")))</f>
        <v/>
      </c>
      <c r="X1089" s="19">
        <f>IF($Z1089="","",SUM(J1089:U1089))</f>
        <v/>
      </c>
      <c r="Y1089" s="20">
        <f>ROW()-1</f>
        <v/>
      </c>
      <c r="Z1089" s="20">
        <f>IF($Y1089&lt;=Settings!$B$4*3,"C",IF($Y1089&lt;=(Settings!$B$4+Settings!$B$5)*3,"A",IF($Y1089&lt;=(Settings!$B$4+Settings!$B$5+Settings!$B$6)*3,"F","")))</f>
        <v/>
      </c>
      <c r="AA1089" s="20">
        <f>IF($Z1089="C",$Y1089,IF($Z1089="A",$Y1089-Settings!$B$4*3,IF($Z1089="F",$Y1089-(Settings!$B$4+Settings!$B$5)*3,"")))</f>
        <v/>
      </c>
      <c r="AB1089" s="20">
        <f>IF($Z1089="","",INT(($AA1089-1)/3)+1)</f>
        <v/>
      </c>
      <c r="AC1089" s="20">
        <f>IF($Z1089="","",MOD($AA1089-1,3)+1)</f>
        <v/>
      </c>
      <c r="AD1089" s="20">
        <f>IF($Z1089="","",Settings!$B$2+$AC1089-1)</f>
        <v/>
      </c>
      <c r="AE1089" s="21">
        <f>IF($Z1089="C",DATE(YEAR(INDEX(Contracts!$J$2:$J$151,$AB1089)),MONTH(INDEX(Contracts!$J$2:$J$151,$AB1089)),1),IF($Z1089="A",DATE(YEAR(INDEX(Fixed_Assets!$G$2:$G$201,$AB1089)),MONTH(INDEX(Fixed_Assets!$G$2:$G$201,$AB1089)),1),IF($Z1089="F",DATE(YEAR(MAX(N(INDEX(Workforce!$I$2:$I$151,MATCH(INDEX(FTE_Allocation!$A$2:$A$201,$AB1089),Workforce!$A$2:$A$151,0))),N(INDEX(FTE_Allocation!$I$2:$I$201,$AB1089)))),MONTH(MAX(N(INDEX(Workforce!$I$2:$I$151,MATCH(INDEX(FTE_Allocation!$A$2:$A$201,$AB1089),Workforce!$A$2:$A$151,0))),N(INDEX(FTE_Allocation!$I$2:$I$201,$AB1089)))),1),"")))</f>
        <v/>
      </c>
      <c r="AF1089" s="21">
        <f>IF($Z1089="C",IF(INDEX(Contracts!$I$2:$I$151,$AB1089)="PREPAID",EDATE(DATE(YEAR(INDEX(Contracts!$J$2:$J$151,$AB1089)),MONTH(INDEX(Contracts!$J$2:$J$151,$AB1089)),1),IF(INDEX(Contracts!$N$2:$N$151,$AB1089)="",12,INDEX(Contracts!$N$2:$N$151,$AB1089))-1),IF(INDEX(Contracts!$I$2:$I$151,$AB1089)="MONTHLY",IF(INDEX(Contracts!$K$2:$K$151,$AB1089)="",2958101,INDEX(Contracts!$K$2:$K$151,$AB1089)),0)),IF($Z1089="A",EDATE(DATE(YEAR(INDEX(Fixed_Assets!$G$2:$G$201,$AB1089)),MONTH(INDEX(Fixed_Assets!$G$2:$G$201,$AB1089)),1),INDEX(Fixed_Assets!$J$2:$J$201,$AB1089)-1),IF($Z1089="F",MIN(IF(INDEX(Workforce!$J$2:$J$151,MATCH(INDEX(FTE_Allocation!$A$2:$A$201,$AB1089),Workforce!$A$2:$A$151,0))="",2958101,INDEX(Workforce!$J$2:$J$151,MATCH(INDEX(FTE_Allocation!$A$2:$A$201,$AB1089),Workforce!$A$2:$A$151,0))),IF(INDEX(FTE_Allocation!$J$2:$J$201,$AB1089)="",2958101,INDEX(FTE_Allocation!$J$2:$J$201,$AB1089))),"")))</f>
        <v/>
      </c>
      <c r="AG1089" s="19">
        <f>IF($Z1089="C",IF(INDEX(Contracts!$I$2:$I$151,$AB1089)="PREPAID",INDEX(Contracts!$M$2:$M$151,$AB1089)/IF(INDEX(Contracts!$N$2:$N$151,$AB1089)="",12,INDEX(Contracts!$N$2:$N$151,$AB1089)),IF(INDEX(Contracts!$I$2:$I$151,$AB1089)="MONTHLY",INDEX(Contracts!$M$2:$M$151,$AB1089),0))*(1-N(INDEX(Contracts!$O$2:$O$151,$AB1089))),IF($Z1089="A",INDEX(Fixed_Assets!$H$2:$H$201,$AB1089)/INDEX(Fixed_Assets!$J$2:$J$201,$AB1089),IF($Z1089="F",INDEX(Workforce!$F$2:$F$151,MATCH(INDEX(FTE_Allocation!$A$2:$A$201,$AB1089),Workforce!$A$2:$A$151,0))*N(INDEX(FTE_Allocation!$F$2:$H$201,$AB1089,$AC1089)),"")))</f>
        <v/>
      </c>
    </row>
    <row r="1090">
      <c r="A1090" s="7">
        <f>IF($Z1090="","",$AD1090)</f>
        <v/>
      </c>
      <c r="B1090" s="7">
        <f>IF($Z1090="C",INDEX(Contracts!$D$2:$D$151,$AB1090)&amp;"",IF($Z1090="A",INDEX(Fixed_Assets!$C$2:$C$201,$AB1090)&amp;"",IF($Z1090="F",INDEX(Workforce!$B$2:$B$151,MATCH(INDEX(FTE_Allocation!$A$2:$A$201,$AB1090),Workforce!$A$2:$A$151,0))&amp;"","")))</f>
        <v/>
      </c>
      <c r="C1090" s="7">
        <f>IF($Z1090="C",INDEX(Contracts!$E$2:$E$151,$AB1090)&amp;"",IF($Z1090="A",INDEX(Fixed_Assets!$D$2:$D$201,$AB1090)&amp;"",IF($Z1090="F",INDEX(FTE_Allocation!$C$2:$C$201,$AB1090)&amp;"","")))</f>
        <v/>
      </c>
      <c r="D1090" s="7">
        <f>IF($Z1090="C",INDEX(Contracts!$B$2:$B$151,$AB1090)&amp;"",IF($Z1090="A",INDEX(Fixed_Assets!$B$2:$B$201,$AB1090)&amp;"",IF($Z1090="F",INDEX(FTE_Allocation!$B$2:$B$201,$AB1090)&amp;"","")))</f>
        <v/>
      </c>
      <c r="E1090" s="7">
        <f>IF($Z1090="C",INDEX(Contracts!$P$2:$P$151,$AB1090)&amp;"",IF($Z1090="A",INDEX(Fixed_Assets!$K$2:$K$201,$AB1090)&amp;"",IF($Z1090="F",IF(INDEX(FTE_Allocation!$D$2:$D$201,$AB1090)="PROJECT",IFERROR(INDEX(Projects!$D:$D,MATCH(INDEX(FTE_Allocation!$E$2:$E$201,$AB1090),Projects!$A:$A,0))&amp;"","#PROJECT?"),INDEX(FTE_Allocation!$E$2:$E$201,$AB1090)&amp;""),"")))</f>
        <v/>
      </c>
      <c r="F1090" s="7">
        <f>IF($Z1090="C",INDEX(Contracts!$Q$2:$Q$151,$AB1090)&amp;"",IF($Z1090="A",INDEX(Fixed_Assets!$L$2:$L$201,$AB1090)&amp;"",IF($Z1090="F",INDEX(Workforce!$K$2:$K$151,MATCH(INDEX(FTE_Allocation!$A$2:$A$201,$AB1090),Workforce!$A$2:$A$151,0))&amp;"","")))</f>
        <v/>
      </c>
      <c r="G1090" s="7">
        <f>IF($Z1090="C",INDEX(Contracts!$F$2:$F$151,$AB1090)&amp;" / "&amp;INDEX(Contracts!$G$2:$G$151,$AB1090),IF($Z1090="A",INDEX(Fixed_Assets!$E$2:$E$201,$AB1090)&amp;"",IF($Z1090="F","Personnel "&amp;INDEX(FTE_Allocation!$A$2:$A$201,$AB1090)&amp;IF(INDEX(FTE_Allocation!$D$2:$D$201,$AB1090)="PROJECT"," ("&amp;INDEX(FTE_Allocation!$E$2:$E$201,$AB1090)&amp;")",""),"")))</f>
        <v/>
      </c>
      <c r="H1090" s="7">
        <f>IF($Z1090="C","CONTRACT",IF($Z1090="A","ASSET",IF($Z1090="F","WORKFORCE","")))</f>
        <v/>
      </c>
      <c r="I1090" s="7">
        <f>IF($Z1090="C",INDEX(Contracts!$L$2:$L$151,$AB1090)&amp;"",IF($Z1090="A",INDEX(Fixed_Assets!$I$2:$I$201,$AB1090)&amp;"",IF($Z1090="F",INDEX(Workforce!$G$2:$G$151,MATCH(INDEX(FTE_Allocation!$A$2:$A$201,$AB1090),Workforce!$A$2:$A$151,0))&amp;"","")))</f>
        <v/>
      </c>
      <c r="J1090" s="18">
        <f>IF($Z1090="","",IF(AND(DATE($AD1090,1,1)&gt;=$AE1090,DATE($AD1090,1,1)&lt;=$AF1090),ROUND($AG1090,2),0))</f>
        <v/>
      </c>
      <c r="K1090" s="18">
        <f>IF($Z1090="","",IF(AND(DATE($AD1090,2,1)&gt;=$AE1090,DATE($AD1090,2,1)&lt;=$AF1090),ROUND($AG1090,2),0))</f>
        <v/>
      </c>
      <c r="L1090" s="18">
        <f>IF($Z1090="","",IF(AND(DATE($AD1090,3,1)&gt;=$AE1090,DATE($AD1090,3,1)&lt;=$AF1090),ROUND($AG1090,2),0))</f>
        <v/>
      </c>
      <c r="M1090" s="18">
        <f>IF($Z1090="","",IF(AND(DATE($AD1090,4,1)&gt;=$AE1090,DATE($AD1090,4,1)&lt;=$AF1090),ROUND($AG1090,2),0))</f>
        <v/>
      </c>
      <c r="N1090" s="18">
        <f>IF($Z1090="","",IF(AND(DATE($AD1090,5,1)&gt;=$AE1090,DATE($AD1090,5,1)&lt;=$AF1090),ROUND($AG1090,2),0))</f>
        <v/>
      </c>
      <c r="O1090" s="18">
        <f>IF($Z1090="","",IF(AND(DATE($AD1090,6,1)&gt;=$AE1090,DATE($AD1090,6,1)&lt;=$AF1090),ROUND($AG1090,2),0))</f>
        <v/>
      </c>
      <c r="P1090" s="18">
        <f>IF($Z1090="","",IF(AND(DATE($AD1090,7,1)&gt;=$AE1090,DATE($AD1090,7,1)&lt;=$AF1090),ROUND($AG1090,2),0))</f>
        <v/>
      </c>
      <c r="Q1090" s="18">
        <f>IF($Z1090="","",IF(AND(DATE($AD1090,8,1)&gt;=$AE1090,DATE($AD1090,8,1)&lt;=$AF1090),ROUND($AG1090,2),0))</f>
        <v/>
      </c>
      <c r="R1090" s="18">
        <f>IF($Z1090="","",IF(AND(DATE($AD1090,9,1)&gt;=$AE1090,DATE($AD1090,9,1)&lt;=$AF1090),ROUND($AG1090,2),0))</f>
        <v/>
      </c>
      <c r="S1090" s="18">
        <f>IF($Z1090="","",IF(AND(DATE($AD1090,10,1)&gt;=$AE1090,DATE($AD1090,10,1)&lt;=$AF1090),ROUND($AG1090,2),0))</f>
        <v/>
      </c>
      <c r="T1090" s="18">
        <f>IF($Z1090="","",IF(AND(DATE($AD1090,11,1)&gt;=$AE1090,DATE($AD1090,11,1)&lt;=$AF1090),ROUND($AG1090,2),0))</f>
        <v/>
      </c>
      <c r="U1090" s="18">
        <f>IF($Z1090="","",IF(AND(DATE($AD1090,12,1)&gt;=$AE1090,DATE($AD1090,12,1)&lt;=$AF1090),ROUND($AG1090,2),0))</f>
        <v/>
      </c>
      <c r="V1090" s="7">
        <f>IF($Z1090="C","Generated from "&amp;INDEX(Contracts!$A$2:$A$151,$AB1090),IF($Z1090="A","Generated from "&amp;INDEX(Fixed_Assets!$A$2:$A$201,$AB1090),IF($Z1090="F","Generated from "&amp;INDEX(FTE_Allocation!$A$2:$A$201,$AB1090),"")))</f>
        <v/>
      </c>
      <c r="X1090" s="19">
        <f>IF($Z1090="","",SUM(J1090:U1090))</f>
        <v/>
      </c>
      <c r="Y1090" s="20">
        <f>ROW()-1</f>
        <v/>
      </c>
      <c r="Z1090" s="20">
        <f>IF($Y1090&lt;=Settings!$B$4*3,"C",IF($Y1090&lt;=(Settings!$B$4+Settings!$B$5)*3,"A",IF($Y1090&lt;=(Settings!$B$4+Settings!$B$5+Settings!$B$6)*3,"F","")))</f>
        <v/>
      </c>
      <c r="AA1090" s="20">
        <f>IF($Z1090="C",$Y1090,IF($Z1090="A",$Y1090-Settings!$B$4*3,IF($Z1090="F",$Y1090-(Settings!$B$4+Settings!$B$5)*3,"")))</f>
        <v/>
      </c>
      <c r="AB1090" s="20">
        <f>IF($Z1090="","",INT(($AA1090-1)/3)+1)</f>
        <v/>
      </c>
      <c r="AC1090" s="20">
        <f>IF($Z1090="","",MOD($AA1090-1,3)+1)</f>
        <v/>
      </c>
      <c r="AD1090" s="20">
        <f>IF($Z1090="","",Settings!$B$2+$AC1090-1)</f>
        <v/>
      </c>
      <c r="AE1090" s="21">
        <f>IF($Z1090="C",DATE(YEAR(INDEX(Contracts!$J$2:$J$151,$AB1090)),MONTH(INDEX(Contracts!$J$2:$J$151,$AB1090)),1),IF($Z1090="A",DATE(YEAR(INDEX(Fixed_Assets!$G$2:$G$201,$AB1090)),MONTH(INDEX(Fixed_Assets!$G$2:$G$201,$AB1090)),1),IF($Z1090="F",DATE(YEAR(MAX(N(INDEX(Workforce!$I$2:$I$151,MATCH(INDEX(FTE_Allocation!$A$2:$A$201,$AB1090),Workforce!$A$2:$A$151,0))),N(INDEX(FTE_Allocation!$I$2:$I$201,$AB1090)))),MONTH(MAX(N(INDEX(Workforce!$I$2:$I$151,MATCH(INDEX(FTE_Allocation!$A$2:$A$201,$AB1090),Workforce!$A$2:$A$151,0))),N(INDEX(FTE_Allocation!$I$2:$I$201,$AB1090)))),1),"")))</f>
        <v/>
      </c>
      <c r="AF1090" s="21">
        <f>IF($Z1090="C",IF(INDEX(Contracts!$I$2:$I$151,$AB1090)="PREPAID",EDATE(DATE(YEAR(INDEX(Contracts!$J$2:$J$151,$AB1090)),MONTH(INDEX(Contracts!$J$2:$J$151,$AB1090)),1),IF(INDEX(Contracts!$N$2:$N$151,$AB1090)="",12,INDEX(Contracts!$N$2:$N$151,$AB1090))-1),IF(INDEX(Contracts!$I$2:$I$151,$AB1090)="MONTHLY",IF(INDEX(Contracts!$K$2:$K$151,$AB1090)="",2958101,INDEX(Contracts!$K$2:$K$151,$AB1090)),0)),IF($Z1090="A",EDATE(DATE(YEAR(INDEX(Fixed_Assets!$G$2:$G$201,$AB1090)),MONTH(INDEX(Fixed_Assets!$G$2:$G$201,$AB1090)),1),INDEX(Fixed_Assets!$J$2:$J$201,$AB1090)-1),IF($Z1090="F",MIN(IF(INDEX(Workforce!$J$2:$J$151,MATCH(INDEX(FTE_Allocation!$A$2:$A$201,$AB1090),Workforce!$A$2:$A$151,0))="",2958101,INDEX(Workforce!$J$2:$J$151,MATCH(INDEX(FTE_Allocation!$A$2:$A$201,$AB1090),Workforce!$A$2:$A$151,0))),IF(INDEX(FTE_Allocation!$J$2:$J$201,$AB1090)="",2958101,INDEX(FTE_Allocation!$J$2:$J$201,$AB1090))),"")))</f>
        <v/>
      </c>
      <c r="AG1090" s="19">
        <f>IF($Z1090="C",IF(INDEX(Contracts!$I$2:$I$151,$AB1090)="PREPAID",INDEX(Contracts!$M$2:$M$151,$AB1090)/IF(INDEX(Contracts!$N$2:$N$151,$AB1090)="",12,INDEX(Contracts!$N$2:$N$151,$AB1090)),IF(INDEX(Contracts!$I$2:$I$151,$AB1090)="MONTHLY",INDEX(Contracts!$M$2:$M$151,$AB1090),0))*(1-N(INDEX(Contracts!$O$2:$O$151,$AB1090))),IF($Z1090="A",INDEX(Fixed_Assets!$H$2:$H$201,$AB1090)/INDEX(Fixed_Assets!$J$2:$J$201,$AB1090),IF($Z1090="F",INDEX(Workforce!$F$2:$F$151,MATCH(INDEX(FTE_Allocation!$A$2:$A$201,$AB1090),Workforce!$A$2:$A$151,0))*N(INDEX(FTE_Allocation!$F$2:$H$201,$AB1090,$AC1090)),"")))</f>
        <v/>
      </c>
    </row>
    <row r="1091">
      <c r="A1091" s="7">
        <f>IF($Z1091="","",$AD1091)</f>
        <v/>
      </c>
      <c r="B1091" s="7">
        <f>IF($Z1091="C",INDEX(Contracts!$D$2:$D$151,$AB1091)&amp;"",IF($Z1091="A",INDEX(Fixed_Assets!$C$2:$C$201,$AB1091)&amp;"",IF($Z1091="F",INDEX(Workforce!$B$2:$B$151,MATCH(INDEX(FTE_Allocation!$A$2:$A$201,$AB1091),Workforce!$A$2:$A$151,0))&amp;"","")))</f>
        <v/>
      </c>
      <c r="C1091" s="7">
        <f>IF($Z1091="C",INDEX(Contracts!$E$2:$E$151,$AB1091)&amp;"",IF($Z1091="A",INDEX(Fixed_Assets!$D$2:$D$201,$AB1091)&amp;"",IF($Z1091="F",INDEX(FTE_Allocation!$C$2:$C$201,$AB1091)&amp;"","")))</f>
        <v/>
      </c>
      <c r="D1091" s="7">
        <f>IF($Z1091="C",INDEX(Contracts!$B$2:$B$151,$AB1091)&amp;"",IF($Z1091="A",INDEX(Fixed_Assets!$B$2:$B$201,$AB1091)&amp;"",IF($Z1091="F",INDEX(FTE_Allocation!$B$2:$B$201,$AB1091)&amp;"","")))</f>
        <v/>
      </c>
      <c r="E1091" s="7">
        <f>IF($Z1091="C",INDEX(Contracts!$P$2:$P$151,$AB1091)&amp;"",IF($Z1091="A",INDEX(Fixed_Assets!$K$2:$K$201,$AB1091)&amp;"",IF($Z1091="F",IF(INDEX(FTE_Allocation!$D$2:$D$201,$AB1091)="PROJECT",IFERROR(INDEX(Projects!$D:$D,MATCH(INDEX(FTE_Allocation!$E$2:$E$201,$AB1091),Projects!$A:$A,0))&amp;"","#PROJECT?"),INDEX(FTE_Allocation!$E$2:$E$201,$AB1091)&amp;""),"")))</f>
        <v/>
      </c>
      <c r="F1091" s="7">
        <f>IF($Z1091="C",INDEX(Contracts!$Q$2:$Q$151,$AB1091)&amp;"",IF($Z1091="A",INDEX(Fixed_Assets!$L$2:$L$201,$AB1091)&amp;"",IF($Z1091="F",INDEX(Workforce!$K$2:$K$151,MATCH(INDEX(FTE_Allocation!$A$2:$A$201,$AB1091),Workforce!$A$2:$A$151,0))&amp;"","")))</f>
        <v/>
      </c>
      <c r="G1091" s="7">
        <f>IF($Z1091="C",INDEX(Contracts!$F$2:$F$151,$AB1091)&amp;" / "&amp;INDEX(Contracts!$G$2:$G$151,$AB1091),IF($Z1091="A",INDEX(Fixed_Assets!$E$2:$E$201,$AB1091)&amp;"",IF($Z1091="F","Personnel "&amp;INDEX(FTE_Allocation!$A$2:$A$201,$AB1091)&amp;IF(INDEX(FTE_Allocation!$D$2:$D$201,$AB1091)="PROJECT"," ("&amp;INDEX(FTE_Allocation!$E$2:$E$201,$AB1091)&amp;")",""),"")))</f>
        <v/>
      </c>
      <c r="H1091" s="7">
        <f>IF($Z1091="C","CONTRACT",IF($Z1091="A","ASSET",IF($Z1091="F","WORKFORCE","")))</f>
        <v/>
      </c>
      <c r="I1091" s="7">
        <f>IF($Z1091="C",INDEX(Contracts!$L$2:$L$151,$AB1091)&amp;"",IF($Z1091="A",INDEX(Fixed_Assets!$I$2:$I$201,$AB1091)&amp;"",IF($Z1091="F",INDEX(Workforce!$G$2:$G$151,MATCH(INDEX(FTE_Allocation!$A$2:$A$201,$AB1091),Workforce!$A$2:$A$151,0))&amp;"","")))</f>
        <v/>
      </c>
      <c r="J1091" s="18">
        <f>IF($Z1091="","",IF(AND(DATE($AD1091,1,1)&gt;=$AE1091,DATE($AD1091,1,1)&lt;=$AF1091),ROUND($AG1091,2),0))</f>
        <v/>
      </c>
      <c r="K1091" s="18">
        <f>IF($Z1091="","",IF(AND(DATE($AD1091,2,1)&gt;=$AE1091,DATE($AD1091,2,1)&lt;=$AF1091),ROUND($AG1091,2),0))</f>
        <v/>
      </c>
      <c r="L1091" s="18">
        <f>IF($Z1091="","",IF(AND(DATE($AD1091,3,1)&gt;=$AE1091,DATE($AD1091,3,1)&lt;=$AF1091),ROUND($AG1091,2),0))</f>
        <v/>
      </c>
      <c r="M1091" s="18">
        <f>IF($Z1091="","",IF(AND(DATE($AD1091,4,1)&gt;=$AE1091,DATE($AD1091,4,1)&lt;=$AF1091),ROUND($AG1091,2),0))</f>
        <v/>
      </c>
      <c r="N1091" s="18">
        <f>IF($Z1091="","",IF(AND(DATE($AD1091,5,1)&gt;=$AE1091,DATE($AD1091,5,1)&lt;=$AF1091),ROUND($AG1091,2),0))</f>
        <v/>
      </c>
      <c r="O1091" s="18">
        <f>IF($Z1091="","",IF(AND(DATE($AD1091,6,1)&gt;=$AE1091,DATE($AD1091,6,1)&lt;=$AF1091),ROUND($AG1091,2),0))</f>
        <v/>
      </c>
      <c r="P1091" s="18">
        <f>IF($Z1091="","",IF(AND(DATE($AD1091,7,1)&gt;=$AE1091,DATE($AD1091,7,1)&lt;=$AF1091),ROUND($AG1091,2),0))</f>
        <v/>
      </c>
      <c r="Q1091" s="18">
        <f>IF($Z1091="","",IF(AND(DATE($AD1091,8,1)&gt;=$AE1091,DATE($AD1091,8,1)&lt;=$AF1091),ROUND($AG1091,2),0))</f>
        <v/>
      </c>
      <c r="R1091" s="18">
        <f>IF($Z1091="","",IF(AND(DATE($AD1091,9,1)&gt;=$AE1091,DATE($AD1091,9,1)&lt;=$AF1091),ROUND($AG1091,2),0))</f>
        <v/>
      </c>
      <c r="S1091" s="18">
        <f>IF($Z1091="","",IF(AND(DATE($AD1091,10,1)&gt;=$AE1091,DATE($AD1091,10,1)&lt;=$AF1091),ROUND($AG1091,2),0))</f>
        <v/>
      </c>
      <c r="T1091" s="18">
        <f>IF($Z1091="","",IF(AND(DATE($AD1091,11,1)&gt;=$AE1091,DATE($AD1091,11,1)&lt;=$AF1091),ROUND($AG1091,2),0))</f>
        <v/>
      </c>
      <c r="U1091" s="18">
        <f>IF($Z1091="","",IF(AND(DATE($AD1091,12,1)&gt;=$AE1091,DATE($AD1091,12,1)&lt;=$AF1091),ROUND($AG1091,2),0))</f>
        <v/>
      </c>
      <c r="V1091" s="7">
        <f>IF($Z1091="C","Generated from "&amp;INDEX(Contracts!$A$2:$A$151,$AB1091),IF($Z1091="A","Generated from "&amp;INDEX(Fixed_Assets!$A$2:$A$201,$AB1091),IF($Z1091="F","Generated from "&amp;INDEX(FTE_Allocation!$A$2:$A$201,$AB1091),"")))</f>
        <v/>
      </c>
      <c r="X1091" s="19">
        <f>IF($Z1091="","",SUM(J1091:U1091))</f>
        <v/>
      </c>
      <c r="Y1091" s="20">
        <f>ROW()-1</f>
        <v/>
      </c>
      <c r="Z1091" s="20">
        <f>IF($Y1091&lt;=Settings!$B$4*3,"C",IF($Y1091&lt;=(Settings!$B$4+Settings!$B$5)*3,"A",IF($Y1091&lt;=(Settings!$B$4+Settings!$B$5+Settings!$B$6)*3,"F","")))</f>
        <v/>
      </c>
      <c r="AA1091" s="20">
        <f>IF($Z1091="C",$Y1091,IF($Z1091="A",$Y1091-Settings!$B$4*3,IF($Z1091="F",$Y1091-(Settings!$B$4+Settings!$B$5)*3,"")))</f>
        <v/>
      </c>
      <c r="AB1091" s="20">
        <f>IF($Z1091="","",INT(($AA1091-1)/3)+1)</f>
        <v/>
      </c>
      <c r="AC1091" s="20">
        <f>IF($Z1091="","",MOD($AA1091-1,3)+1)</f>
        <v/>
      </c>
      <c r="AD1091" s="20">
        <f>IF($Z1091="","",Settings!$B$2+$AC1091-1)</f>
        <v/>
      </c>
      <c r="AE1091" s="21">
        <f>IF($Z1091="C",DATE(YEAR(INDEX(Contracts!$J$2:$J$151,$AB1091)),MONTH(INDEX(Contracts!$J$2:$J$151,$AB1091)),1),IF($Z1091="A",DATE(YEAR(INDEX(Fixed_Assets!$G$2:$G$201,$AB1091)),MONTH(INDEX(Fixed_Assets!$G$2:$G$201,$AB1091)),1),IF($Z1091="F",DATE(YEAR(MAX(N(INDEX(Workforce!$I$2:$I$151,MATCH(INDEX(FTE_Allocation!$A$2:$A$201,$AB1091),Workforce!$A$2:$A$151,0))),N(INDEX(FTE_Allocation!$I$2:$I$201,$AB1091)))),MONTH(MAX(N(INDEX(Workforce!$I$2:$I$151,MATCH(INDEX(FTE_Allocation!$A$2:$A$201,$AB1091),Workforce!$A$2:$A$151,0))),N(INDEX(FTE_Allocation!$I$2:$I$201,$AB1091)))),1),"")))</f>
        <v/>
      </c>
      <c r="AF1091" s="21">
        <f>IF($Z1091="C",IF(INDEX(Contracts!$I$2:$I$151,$AB1091)="PREPAID",EDATE(DATE(YEAR(INDEX(Contracts!$J$2:$J$151,$AB1091)),MONTH(INDEX(Contracts!$J$2:$J$151,$AB1091)),1),IF(INDEX(Contracts!$N$2:$N$151,$AB1091)="",12,INDEX(Contracts!$N$2:$N$151,$AB1091))-1),IF(INDEX(Contracts!$I$2:$I$151,$AB1091)="MONTHLY",IF(INDEX(Contracts!$K$2:$K$151,$AB1091)="",2958101,INDEX(Contracts!$K$2:$K$151,$AB1091)),0)),IF($Z1091="A",EDATE(DATE(YEAR(INDEX(Fixed_Assets!$G$2:$G$201,$AB1091)),MONTH(INDEX(Fixed_Assets!$G$2:$G$201,$AB1091)),1),INDEX(Fixed_Assets!$J$2:$J$201,$AB1091)-1),IF($Z1091="F",MIN(IF(INDEX(Workforce!$J$2:$J$151,MATCH(INDEX(FTE_Allocation!$A$2:$A$201,$AB1091),Workforce!$A$2:$A$151,0))="",2958101,INDEX(Workforce!$J$2:$J$151,MATCH(INDEX(FTE_Allocation!$A$2:$A$201,$AB1091),Workforce!$A$2:$A$151,0))),IF(INDEX(FTE_Allocation!$J$2:$J$201,$AB1091)="",2958101,INDEX(FTE_Allocation!$J$2:$J$201,$AB1091))),"")))</f>
        <v/>
      </c>
      <c r="AG1091" s="19">
        <f>IF($Z1091="C",IF(INDEX(Contracts!$I$2:$I$151,$AB1091)="PREPAID",INDEX(Contracts!$M$2:$M$151,$AB1091)/IF(INDEX(Contracts!$N$2:$N$151,$AB1091)="",12,INDEX(Contracts!$N$2:$N$151,$AB1091)),IF(INDEX(Contracts!$I$2:$I$151,$AB1091)="MONTHLY",INDEX(Contracts!$M$2:$M$151,$AB1091),0))*(1-N(INDEX(Contracts!$O$2:$O$151,$AB1091))),IF($Z1091="A",INDEX(Fixed_Assets!$H$2:$H$201,$AB1091)/INDEX(Fixed_Assets!$J$2:$J$201,$AB1091),IF($Z1091="F",INDEX(Workforce!$F$2:$F$151,MATCH(INDEX(FTE_Allocation!$A$2:$A$201,$AB1091),Workforce!$A$2:$A$151,0))*N(INDEX(FTE_Allocation!$F$2:$H$201,$AB1091,$AC1091)),"")))</f>
        <v/>
      </c>
    </row>
    <row r="1092">
      <c r="A1092" s="7">
        <f>IF($Z1092="","",$AD1092)</f>
        <v/>
      </c>
      <c r="B1092" s="7">
        <f>IF($Z1092="C",INDEX(Contracts!$D$2:$D$151,$AB1092)&amp;"",IF($Z1092="A",INDEX(Fixed_Assets!$C$2:$C$201,$AB1092)&amp;"",IF($Z1092="F",INDEX(Workforce!$B$2:$B$151,MATCH(INDEX(FTE_Allocation!$A$2:$A$201,$AB1092),Workforce!$A$2:$A$151,0))&amp;"","")))</f>
        <v/>
      </c>
      <c r="C1092" s="7">
        <f>IF($Z1092="C",INDEX(Contracts!$E$2:$E$151,$AB1092)&amp;"",IF($Z1092="A",INDEX(Fixed_Assets!$D$2:$D$201,$AB1092)&amp;"",IF($Z1092="F",INDEX(FTE_Allocation!$C$2:$C$201,$AB1092)&amp;"","")))</f>
        <v/>
      </c>
      <c r="D1092" s="7">
        <f>IF($Z1092="C",INDEX(Contracts!$B$2:$B$151,$AB1092)&amp;"",IF($Z1092="A",INDEX(Fixed_Assets!$B$2:$B$201,$AB1092)&amp;"",IF($Z1092="F",INDEX(FTE_Allocation!$B$2:$B$201,$AB1092)&amp;"","")))</f>
        <v/>
      </c>
      <c r="E1092" s="7">
        <f>IF($Z1092="C",INDEX(Contracts!$P$2:$P$151,$AB1092)&amp;"",IF($Z1092="A",INDEX(Fixed_Assets!$K$2:$K$201,$AB1092)&amp;"",IF($Z1092="F",IF(INDEX(FTE_Allocation!$D$2:$D$201,$AB1092)="PROJECT",IFERROR(INDEX(Projects!$D:$D,MATCH(INDEX(FTE_Allocation!$E$2:$E$201,$AB1092),Projects!$A:$A,0))&amp;"","#PROJECT?"),INDEX(FTE_Allocation!$E$2:$E$201,$AB1092)&amp;""),"")))</f>
        <v/>
      </c>
      <c r="F1092" s="7">
        <f>IF($Z1092="C",INDEX(Contracts!$Q$2:$Q$151,$AB1092)&amp;"",IF($Z1092="A",INDEX(Fixed_Assets!$L$2:$L$201,$AB1092)&amp;"",IF($Z1092="F",INDEX(Workforce!$K$2:$K$151,MATCH(INDEX(FTE_Allocation!$A$2:$A$201,$AB1092),Workforce!$A$2:$A$151,0))&amp;"","")))</f>
        <v/>
      </c>
      <c r="G1092" s="7">
        <f>IF($Z1092="C",INDEX(Contracts!$F$2:$F$151,$AB1092)&amp;" / "&amp;INDEX(Contracts!$G$2:$G$151,$AB1092),IF($Z1092="A",INDEX(Fixed_Assets!$E$2:$E$201,$AB1092)&amp;"",IF($Z1092="F","Personnel "&amp;INDEX(FTE_Allocation!$A$2:$A$201,$AB1092)&amp;IF(INDEX(FTE_Allocation!$D$2:$D$201,$AB1092)="PROJECT"," ("&amp;INDEX(FTE_Allocation!$E$2:$E$201,$AB1092)&amp;")",""),"")))</f>
        <v/>
      </c>
      <c r="H1092" s="7">
        <f>IF($Z1092="C","CONTRACT",IF($Z1092="A","ASSET",IF($Z1092="F","WORKFORCE","")))</f>
        <v/>
      </c>
      <c r="I1092" s="7">
        <f>IF($Z1092="C",INDEX(Contracts!$L$2:$L$151,$AB1092)&amp;"",IF($Z1092="A",INDEX(Fixed_Assets!$I$2:$I$201,$AB1092)&amp;"",IF($Z1092="F",INDEX(Workforce!$G$2:$G$151,MATCH(INDEX(FTE_Allocation!$A$2:$A$201,$AB1092),Workforce!$A$2:$A$151,0))&amp;"","")))</f>
        <v/>
      </c>
      <c r="J1092" s="18">
        <f>IF($Z1092="","",IF(AND(DATE($AD1092,1,1)&gt;=$AE1092,DATE($AD1092,1,1)&lt;=$AF1092),ROUND($AG1092,2),0))</f>
        <v/>
      </c>
      <c r="K1092" s="18">
        <f>IF($Z1092="","",IF(AND(DATE($AD1092,2,1)&gt;=$AE1092,DATE($AD1092,2,1)&lt;=$AF1092),ROUND($AG1092,2),0))</f>
        <v/>
      </c>
      <c r="L1092" s="18">
        <f>IF($Z1092="","",IF(AND(DATE($AD1092,3,1)&gt;=$AE1092,DATE($AD1092,3,1)&lt;=$AF1092),ROUND($AG1092,2),0))</f>
        <v/>
      </c>
      <c r="M1092" s="18">
        <f>IF($Z1092="","",IF(AND(DATE($AD1092,4,1)&gt;=$AE1092,DATE($AD1092,4,1)&lt;=$AF1092),ROUND($AG1092,2),0))</f>
        <v/>
      </c>
      <c r="N1092" s="18">
        <f>IF($Z1092="","",IF(AND(DATE($AD1092,5,1)&gt;=$AE1092,DATE($AD1092,5,1)&lt;=$AF1092),ROUND($AG1092,2),0))</f>
        <v/>
      </c>
      <c r="O1092" s="18">
        <f>IF($Z1092="","",IF(AND(DATE($AD1092,6,1)&gt;=$AE1092,DATE($AD1092,6,1)&lt;=$AF1092),ROUND($AG1092,2),0))</f>
        <v/>
      </c>
      <c r="P1092" s="18">
        <f>IF($Z1092="","",IF(AND(DATE($AD1092,7,1)&gt;=$AE1092,DATE($AD1092,7,1)&lt;=$AF1092),ROUND($AG1092,2),0))</f>
        <v/>
      </c>
      <c r="Q1092" s="18">
        <f>IF($Z1092="","",IF(AND(DATE($AD1092,8,1)&gt;=$AE1092,DATE($AD1092,8,1)&lt;=$AF1092),ROUND($AG1092,2),0))</f>
        <v/>
      </c>
      <c r="R1092" s="18">
        <f>IF($Z1092="","",IF(AND(DATE($AD1092,9,1)&gt;=$AE1092,DATE($AD1092,9,1)&lt;=$AF1092),ROUND($AG1092,2),0))</f>
        <v/>
      </c>
      <c r="S1092" s="18">
        <f>IF($Z1092="","",IF(AND(DATE($AD1092,10,1)&gt;=$AE1092,DATE($AD1092,10,1)&lt;=$AF1092),ROUND($AG1092,2),0))</f>
        <v/>
      </c>
      <c r="T1092" s="18">
        <f>IF($Z1092="","",IF(AND(DATE($AD1092,11,1)&gt;=$AE1092,DATE($AD1092,11,1)&lt;=$AF1092),ROUND($AG1092,2),0))</f>
        <v/>
      </c>
      <c r="U1092" s="18">
        <f>IF($Z1092="","",IF(AND(DATE($AD1092,12,1)&gt;=$AE1092,DATE($AD1092,12,1)&lt;=$AF1092),ROUND($AG1092,2),0))</f>
        <v/>
      </c>
      <c r="V1092" s="7">
        <f>IF($Z1092="C","Generated from "&amp;INDEX(Contracts!$A$2:$A$151,$AB1092),IF($Z1092="A","Generated from "&amp;INDEX(Fixed_Assets!$A$2:$A$201,$AB1092),IF($Z1092="F","Generated from "&amp;INDEX(FTE_Allocation!$A$2:$A$201,$AB1092),"")))</f>
        <v/>
      </c>
      <c r="X1092" s="19">
        <f>IF($Z1092="","",SUM(J1092:U1092))</f>
        <v/>
      </c>
      <c r="Y1092" s="20">
        <f>ROW()-1</f>
        <v/>
      </c>
      <c r="Z1092" s="20">
        <f>IF($Y1092&lt;=Settings!$B$4*3,"C",IF($Y1092&lt;=(Settings!$B$4+Settings!$B$5)*3,"A",IF($Y1092&lt;=(Settings!$B$4+Settings!$B$5+Settings!$B$6)*3,"F","")))</f>
        <v/>
      </c>
      <c r="AA1092" s="20">
        <f>IF($Z1092="C",$Y1092,IF($Z1092="A",$Y1092-Settings!$B$4*3,IF($Z1092="F",$Y1092-(Settings!$B$4+Settings!$B$5)*3,"")))</f>
        <v/>
      </c>
      <c r="AB1092" s="20">
        <f>IF($Z1092="","",INT(($AA1092-1)/3)+1)</f>
        <v/>
      </c>
      <c r="AC1092" s="20">
        <f>IF($Z1092="","",MOD($AA1092-1,3)+1)</f>
        <v/>
      </c>
      <c r="AD1092" s="20">
        <f>IF($Z1092="","",Settings!$B$2+$AC1092-1)</f>
        <v/>
      </c>
      <c r="AE1092" s="21">
        <f>IF($Z1092="C",DATE(YEAR(INDEX(Contracts!$J$2:$J$151,$AB1092)),MONTH(INDEX(Contracts!$J$2:$J$151,$AB1092)),1),IF($Z1092="A",DATE(YEAR(INDEX(Fixed_Assets!$G$2:$G$201,$AB1092)),MONTH(INDEX(Fixed_Assets!$G$2:$G$201,$AB1092)),1),IF($Z1092="F",DATE(YEAR(MAX(N(INDEX(Workforce!$I$2:$I$151,MATCH(INDEX(FTE_Allocation!$A$2:$A$201,$AB1092),Workforce!$A$2:$A$151,0))),N(INDEX(FTE_Allocation!$I$2:$I$201,$AB1092)))),MONTH(MAX(N(INDEX(Workforce!$I$2:$I$151,MATCH(INDEX(FTE_Allocation!$A$2:$A$201,$AB1092),Workforce!$A$2:$A$151,0))),N(INDEX(FTE_Allocation!$I$2:$I$201,$AB1092)))),1),"")))</f>
        <v/>
      </c>
      <c r="AF1092" s="21">
        <f>IF($Z1092="C",IF(INDEX(Contracts!$I$2:$I$151,$AB1092)="PREPAID",EDATE(DATE(YEAR(INDEX(Contracts!$J$2:$J$151,$AB1092)),MONTH(INDEX(Contracts!$J$2:$J$151,$AB1092)),1),IF(INDEX(Contracts!$N$2:$N$151,$AB1092)="",12,INDEX(Contracts!$N$2:$N$151,$AB1092))-1),IF(INDEX(Contracts!$I$2:$I$151,$AB1092)="MONTHLY",IF(INDEX(Contracts!$K$2:$K$151,$AB1092)="",2958101,INDEX(Contracts!$K$2:$K$151,$AB1092)),0)),IF($Z1092="A",EDATE(DATE(YEAR(INDEX(Fixed_Assets!$G$2:$G$201,$AB1092)),MONTH(INDEX(Fixed_Assets!$G$2:$G$201,$AB1092)),1),INDEX(Fixed_Assets!$J$2:$J$201,$AB1092)-1),IF($Z1092="F",MIN(IF(INDEX(Workforce!$J$2:$J$151,MATCH(INDEX(FTE_Allocation!$A$2:$A$201,$AB1092),Workforce!$A$2:$A$151,0))="",2958101,INDEX(Workforce!$J$2:$J$151,MATCH(INDEX(FTE_Allocation!$A$2:$A$201,$AB1092),Workforce!$A$2:$A$151,0))),IF(INDEX(FTE_Allocation!$J$2:$J$201,$AB1092)="",2958101,INDEX(FTE_Allocation!$J$2:$J$201,$AB1092))),"")))</f>
        <v/>
      </c>
      <c r="AG1092" s="19">
        <f>IF($Z1092="C",IF(INDEX(Contracts!$I$2:$I$151,$AB1092)="PREPAID",INDEX(Contracts!$M$2:$M$151,$AB1092)/IF(INDEX(Contracts!$N$2:$N$151,$AB1092)="",12,INDEX(Contracts!$N$2:$N$151,$AB1092)),IF(INDEX(Contracts!$I$2:$I$151,$AB1092)="MONTHLY",INDEX(Contracts!$M$2:$M$151,$AB1092),0))*(1-N(INDEX(Contracts!$O$2:$O$151,$AB1092))),IF($Z1092="A",INDEX(Fixed_Assets!$H$2:$H$201,$AB1092)/INDEX(Fixed_Assets!$J$2:$J$201,$AB1092),IF($Z1092="F",INDEX(Workforce!$F$2:$F$151,MATCH(INDEX(FTE_Allocation!$A$2:$A$201,$AB1092),Workforce!$A$2:$A$151,0))*N(INDEX(FTE_Allocation!$F$2:$H$201,$AB1092,$AC1092)),"")))</f>
        <v/>
      </c>
    </row>
    <row r="1093">
      <c r="A1093" s="7">
        <f>IF($Z1093="","",$AD1093)</f>
        <v/>
      </c>
      <c r="B1093" s="7">
        <f>IF($Z1093="C",INDEX(Contracts!$D$2:$D$151,$AB1093)&amp;"",IF($Z1093="A",INDEX(Fixed_Assets!$C$2:$C$201,$AB1093)&amp;"",IF($Z1093="F",INDEX(Workforce!$B$2:$B$151,MATCH(INDEX(FTE_Allocation!$A$2:$A$201,$AB1093),Workforce!$A$2:$A$151,0))&amp;"","")))</f>
        <v/>
      </c>
      <c r="C1093" s="7">
        <f>IF($Z1093="C",INDEX(Contracts!$E$2:$E$151,$AB1093)&amp;"",IF($Z1093="A",INDEX(Fixed_Assets!$D$2:$D$201,$AB1093)&amp;"",IF($Z1093="F",INDEX(FTE_Allocation!$C$2:$C$201,$AB1093)&amp;"","")))</f>
        <v/>
      </c>
      <c r="D1093" s="7">
        <f>IF($Z1093="C",INDEX(Contracts!$B$2:$B$151,$AB1093)&amp;"",IF($Z1093="A",INDEX(Fixed_Assets!$B$2:$B$201,$AB1093)&amp;"",IF($Z1093="F",INDEX(FTE_Allocation!$B$2:$B$201,$AB1093)&amp;"","")))</f>
        <v/>
      </c>
      <c r="E1093" s="7">
        <f>IF($Z1093="C",INDEX(Contracts!$P$2:$P$151,$AB1093)&amp;"",IF($Z1093="A",INDEX(Fixed_Assets!$K$2:$K$201,$AB1093)&amp;"",IF($Z1093="F",IF(INDEX(FTE_Allocation!$D$2:$D$201,$AB1093)="PROJECT",IFERROR(INDEX(Projects!$D:$D,MATCH(INDEX(FTE_Allocation!$E$2:$E$201,$AB1093),Projects!$A:$A,0))&amp;"","#PROJECT?"),INDEX(FTE_Allocation!$E$2:$E$201,$AB1093)&amp;""),"")))</f>
        <v/>
      </c>
      <c r="F1093" s="7">
        <f>IF($Z1093="C",INDEX(Contracts!$Q$2:$Q$151,$AB1093)&amp;"",IF($Z1093="A",INDEX(Fixed_Assets!$L$2:$L$201,$AB1093)&amp;"",IF($Z1093="F",INDEX(Workforce!$K$2:$K$151,MATCH(INDEX(FTE_Allocation!$A$2:$A$201,$AB1093),Workforce!$A$2:$A$151,0))&amp;"","")))</f>
        <v/>
      </c>
      <c r="G1093" s="7">
        <f>IF($Z1093="C",INDEX(Contracts!$F$2:$F$151,$AB1093)&amp;" / "&amp;INDEX(Contracts!$G$2:$G$151,$AB1093),IF($Z1093="A",INDEX(Fixed_Assets!$E$2:$E$201,$AB1093)&amp;"",IF($Z1093="F","Personnel "&amp;INDEX(FTE_Allocation!$A$2:$A$201,$AB1093)&amp;IF(INDEX(FTE_Allocation!$D$2:$D$201,$AB1093)="PROJECT"," ("&amp;INDEX(FTE_Allocation!$E$2:$E$201,$AB1093)&amp;")",""),"")))</f>
        <v/>
      </c>
      <c r="H1093" s="7">
        <f>IF($Z1093="C","CONTRACT",IF($Z1093="A","ASSET",IF($Z1093="F","WORKFORCE","")))</f>
        <v/>
      </c>
      <c r="I1093" s="7">
        <f>IF($Z1093="C",INDEX(Contracts!$L$2:$L$151,$AB1093)&amp;"",IF($Z1093="A",INDEX(Fixed_Assets!$I$2:$I$201,$AB1093)&amp;"",IF($Z1093="F",INDEX(Workforce!$G$2:$G$151,MATCH(INDEX(FTE_Allocation!$A$2:$A$201,$AB1093),Workforce!$A$2:$A$151,0))&amp;"","")))</f>
        <v/>
      </c>
      <c r="J1093" s="18">
        <f>IF($Z1093="","",IF(AND(DATE($AD1093,1,1)&gt;=$AE1093,DATE($AD1093,1,1)&lt;=$AF1093),ROUND($AG1093,2),0))</f>
        <v/>
      </c>
      <c r="K1093" s="18">
        <f>IF($Z1093="","",IF(AND(DATE($AD1093,2,1)&gt;=$AE1093,DATE($AD1093,2,1)&lt;=$AF1093),ROUND($AG1093,2),0))</f>
        <v/>
      </c>
      <c r="L1093" s="18">
        <f>IF($Z1093="","",IF(AND(DATE($AD1093,3,1)&gt;=$AE1093,DATE($AD1093,3,1)&lt;=$AF1093),ROUND($AG1093,2),0))</f>
        <v/>
      </c>
      <c r="M1093" s="18">
        <f>IF($Z1093="","",IF(AND(DATE($AD1093,4,1)&gt;=$AE1093,DATE($AD1093,4,1)&lt;=$AF1093),ROUND($AG1093,2),0))</f>
        <v/>
      </c>
      <c r="N1093" s="18">
        <f>IF($Z1093="","",IF(AND(DATE($AD1093,5,1)&gt;=$AE1093,DATE($AD1093,5,1)&lt;=$AF1093),ROUND($AG1093,2),0))</f>
        <v/>
      </c>
      <c r="O1093" s="18">
        <f>IF($Z1093="","",IF(AND(DATE($AD1093,6,1)&gt;=$AE1093,DATE($AD1093,6,1)&lt;=$AF1093),ROUND($AG1093,2),0))</f>
        <v/>
      </c>
      <c r="P1093" s="18">
        <f>IF($Z1093="","",IF(AND(DATE($AD1093,7,1)&gt;=$AE1093,DATE($AD1093,7,1)&lt;=$AF1093),ROUND($AG1093,2),0))</f>
        <v/>
      </c>
      <c r="Q1093" s="18">
        <f>IF($Z1093="","",IF(AND(DATE($AD1093,8,1)&gt;=$AE1093,DATE($AD1093,8,1)&lt;=$AF1093),ROUND($AG1093,2),0))</f>
        <v/>
      </c>
      <c r="R1093" s="18">
        <f>IF($Z1093="","",IF(AND(DATE($AD1093,9,1)&gt;=$AE1093,DATE($AD1093,9,1)&lt;=$AF1093),ROUND($AG1093,2),0))</f>
        <v/>
      </c>
      <c r="S1093" s="18">
        <f>IF($Z1093="","",IF(AND(DATE($AD1093,10,1)&gt;=$AE1093,DATE($AD1093,10,1)&lt;=$AF1093),ROUND($AG1093,2),0))</f>
        <v/>
      </c>
      <c r="T1093" s="18">
        <f>IF($Z1093="","",IF(AND(DATE($AD1093,11,1)&gt;=$AE1093,DATE($AD1093,11,1)&lt;=$AF1093),ROUND($AG1093,2),0))</f>
        <v/>
      </c>
      <c r="U1093" s="18">
        <f>IF($Z1093="","",IF(AND(DATE($AD1093,12,1)&gt;=$AE1093,DATE($AD1093,12,1)&lt;=$AF1093),ROUND($AG1093,2),0))</f>
        <v/>
      </c>
      <c r="V1093" s="7">
        <f>IF($Z1093="C","Generated from "&amp;INDEX(Contracts!$A$2:$A$151,$AB1093),IF($Z1093="A","Generated from "&amp;INDEX(Fixed_Assets!$A$2:$A$201,$AB1093),IF($Z1093="F","Generated from "&amp;INDEX(FTE_Allocation!$A$2:$A$201,$AB1093),"")))</f>
        <v/>
      </c>
      <c r="X1093" s="19">
        <f>IF($Z1093="","",SUM(J1093:U1093))</f>
        <v/>
      </c>
      <c r="Y1093" s="20">
        <f>ROW()-1</f>
        <v/>
      </c>
      <c r="Z1093" s="20">
        <f>IF($Y1093&lt;=Settings!$B$4*3,"C",IF($Y1093&lt;=(Settings!$B$4+Settings!$B$5)*3,"A",IF($Y1093&lt;=(Settings!$B$4+Settings!$B$5+Settings!$B$6)*3,"F","")))</f>
        <v/>
      </c>
      <c r="AA1093" s="20">
        <f>IF($Z1093="C",$Y1093,IF($Z1093="A",$Y1093-Settings!$B$4*3,IF($Z1093="F",$Y1093-(Settings!$B$4+Settings!$B$5)*3,"")))</f>
        <v/>
      </c>
      <c r="AB1093" s="20">
        <f>IF($Z1093="","",INT(($AA1093-1)/3)+1)</f>
        <v/>
      </c>
      <c r="AC1093" s="20">
        <f>IF($Z1093="","",MOD($AA1093-1,3)+1)</f>
        <v/>
      </c>
      <c r="AD1093" s="20">
        <f>IF($Z1093="","",Settings!$B$2+$AC1093-1)</f>
        <v/>
      </c>
      <c r="AE1093" s="21">
        <f>IF($Z1093="C",DATE(YEAR(INDEX(Contracts!$J$2:$J$151,$AB1093)),MONTH(INDEX(Contracts!$J$2:$J$151,$AB1093)),1),IF($Z1093="A",DATE(YEAR(INDEX(Fixed_Assets!$G$2:$G$201,$AB1093)),MONTH(INDEX(Fixed_Assets!$G$2:$G$201,$AB1093)),1),IF($Z1093="F",DATE(YEAR(MAX(N(INDEX(Workforce!$I$2:$I$151,MATCH(INDEX(FTE_Allocation!$A$2:$A$201,$AB1093),Workforce!$A$2:$A$151,0))),N(INDEX(FTE_Allocation!$I$2:$I$201,$AB1093)))),MONTH(MAX(N(INDEX(Workforce!$I$2:$I$151,MATCH(INDEX(FTE_Allocation!$A$2:$A$201,$AB1093),Workforce!$A$2:$A$151,0))),N(INDEX(FTE_Allocation!$I$2:$I$201,$AB1093)))),1),"")))</f>
        <v/>
      </c>
      <c r="AF1093" s="21">
        <f>IF($Z1093="C",IF(INDEX(Contracts!$I$2:$I$151,$AB1093)="PREPAID",EDATE(DATE(YEAR(INDEX(Contracts!$J$2:$J$151,$AB1093)),MONTH(INDEX(Contracts!$J$2:$J$151,$AB1093)),1),IF(INDEX(Contracts!$N$2:$N$151,$AB1093)="",12,INDEX(Contracts!$N$2:$N$151,$AB1093))-1),IF(INDEX(Contracts!$I$2:$I$151,$AB1093)="MONTHLY",IF(INDEX(Contracts!$K$2:$K$151,$AB1093)="",2958101,INDEX(Contracts!$K$2:$K$151,$AB1093)),0)),IF($Z1093="A",EDATE(DATE(YEAR(INDEX(Fixed_Assets!$G$2:$G$201,$AB1093)),MONTH(INDEX(Fixed_Assets!$G$2:$G$201,$AB1093)),1),INDEX(Fixed_Assets!$J$2:$J$201,$AB1093)-1),IF($Z1093="F",MIN(IF(INDEX(Workforce!$J$2:$J$151,MATCH(INDEX(FTE_Allocation!$A$2:$A$201,$AB1093),Workforce!$A$2:$A$151,0))="",2958101,INDEX(Workforce!$J$2:$J$151,MATCH(INDEX(FTE_Allocation!$A$2:$A$201,$AB1093),Workforce!$A$2:$A$151,0))),IF(INDEX(FTE_Allocation!$J$2:$J$201,$AB1093)="",2958101,INDEX(FTE_Allocation!$J$2:$J$201,$AB1093))),"")))</f>
        <v/>
      </c>
      <c r="AG1093" s="19">
        <f>IF($Z1093="C",IF(INDEX(Contracts!$I$2:$I$151,$AB1093)="PREPAID",INDEX(Contracts!$M$2:$M$151,$AB1093)/IF(INDEX(Contracts!$N$2:$N$151,$AB1093)="",12,INDEX(Contracts!$N$2:$N$151,$AB1093)),IF(INDEX(Contracts!$I$2:$I$151,$AB1093)="MONTHLY",INDEX(Contracts!$M$2:$M$151,$AB1093),0))*(1-N(INDEX(Contracts!$O$2:$O$151,$AB1093))),IF($Z1093="A",INDEX(Fixed_Assets!$H$2:$H$201,$AB1093)/INDEX(Fixed_Assets!$J$2:$J$201,$AB1093),IF($Z1093="F",INDEX(Workforce!$F$2:$F$151,MATCH(INDEX(FTE_Allocation!$A$2:$A$201,$AB1093),Workforce!$A$2:$A$151,0))*N(INDEX(FTE_Allocation!$F$2:$H$201,$AB1093,$AC1093)),"")))</f>
        <v/>
      </c>
    </row>
    <row r="1094">
      <c r="A1094" s="7">
        <f>IF($Z1094="","",$AD1094)</f>
        <v/>
      </c>
      <c r="B1094" s="7">
        <f>IF($Z1094="C",INDEX(Contracts!$D$2:$D$151,$AB1094)&amp;"",IF($Z1094="A",INDEX(Fixed_Assets!$C$2:$C$201,$AB1094)&amp;"",IF($Z1094="F",INDEX(Workforce!$B$2:$B$151,MATCH(INDEX(FTE_Allocation!$A$2:$A$201,$AB1094),Workforce!$A$2:$A$151,0))&amp;"","")))</f>
        <v/>
      </c>
      <c r="C1094" s="7">
        <f>IF($Z1094="C",INDEX(Contracts!$E$2:$E$151,$AB1094)&amp;"",IF($Z1094="A",INDEX(Fixed_Assets!$D$2:$D$201,$AB1094)&amp;"",IF($Z1094="F",INDEX(FTE_Allocation!$C$2:$C$201,$AB1094)&amp;"","")))</f>
        <v/>
      </c>
      <c r="D1094" s="7">
        <f>IF($Z1094="C",INDEX(Contracts!$B$2:$B$151,$AB1094)&amp;"",IF($Z1094="A",INDEX(Fixed_Assets!$B$2:$B$201,$AB1094)&amp;"",IF($Z1094="F",INDEX(FTE_Allocation!$B$2:$B$201,$AB1094)&amp;"","")))</f>
        <v/>
      </c>
      <c r="E1094" s="7">
        <f>IF($Z1094="C",INDEX(Contracts!$P$2:$P$151,$AB1094)&amp;"",IF($Z1094="A",INDEX(Fixed_Assets!$K$2:$K$201,$AB1094)&amp;"",IF($Z1094="F",IF(INDEX(FTE_Allocation!$D$2:$D$201,$AB1094)="PROJECT",IFERROR(INDEX(Projects!$D:$D,MATCH(INDEX(FTE_Allocation!$E$2:$E$201,$AB1094),Projects!$A:$A,0))&amp;"","#PROJECT?"),INDEX(FTE_Allocation!$E$2:$E$201,$AB1094)&amp;""),"")))</f>
        <v/>
      </c>
      <c r="F1094" s="7">
        <f>IF($Z1094="C",INDEX(Contracts!$Q$2:$Q$151,$AB1094)&amp;"",IF($Z1094="A",INDEX(Fixed_Assets!$L$2:$L$201,$AB1094)&amp;"",IF($Z1094="F",INDEX(Workforce!$K$2:$K$151,MATCH(INDEX(FTE_Allocation!$A$2:$A$201,$AB1094),Workforce!$A$2:$A$151,0))&amp;"","")))</f>
        <v/>
      </c>
      <c r="G1094" s="7">
        <f>IF($Z1094="C",INDEX(Contracts!$F$2:$F$151,$AB1094)&amp;" / "&amp;INDEX(Contracts!$G$2:$G$151,$AB1094),IF($Z1094="A",INDEX(Fixed_Assets!$E$2:$E$201,$AB1094)&amp;"",IF($Z1094="F","Personnel "&amp;INDEX(FTE_Allocation!$A$2:$A$201,$AB1094)&amp;IF(INDEX(FTE_Allocation!$D$2:$D$201,$AB1094)="PROJECT"," ("&amp;INDEX(FTE_Allocation!$E$2:$E$201,$AB1094)&amp;")",""),"")))</f>
        <v/>
      </c>
      <c r="H1094" s="7">
        <f>IF($Z1094="C","CONTRACT",IF($Z1094="A","ASSET",IF($Z1094="F","WORKFORCE","")))</f>
        <v/>
      </c>
      <c r="I1094" s="7">
        <f>IF($Z1094="C",INDEX(Contracts!$L$2:$L$151,$AB1094)&amp;"",IF($Z1094="A",INDEX(Fixed_Assets!$I$2:$I$201,$AB1094)&amp;"",IF($Z1094="F",INDEX(Workforce!$G$2:$G$151,MATCH(INDEX(FTE_Allocation!$A$2:$A$201,$AB1094),Workforce!$A$2:$A$151,0))&amp;"","")))</f>
        <v/>
      </c>
      <c r="J1094" s="18">
        <f>IF($Z1094="","",IF(AND(DATE($AD1094,1,1)&gt;=$AE1094,DATE($AD1094,1,1)&lt;=$AF1094),ROUND($AG1094,2),0))</f>
        <v/>
      </c>
      <c r="K1094" s="18">
        <f>IF($Z1094="","",IF(AND(DATE($AD1094,2,1)&gt;=$AE1094,DATE($AD1094,2,1)&lt;=$AF1094),ROUND($AG1094,2),0))</f>
        <v/>
      </c>
      <c r="L1094" s="18">
        <f>IF($Z1094="","",IF(AND(DATE($AD1094,3,1)&gt;=$AE1094,DATE($AD1094,3,1)&lt;=$AF1094),ROUND($AG1094,2),0))</f>
        <v/>
      </c>
      <c r="M1094" s="18">
        <f>IF($Z1094="","",IF(AND(DATE($AD1094,4,1)&gt;=$AE1094,DATE($AD1094,4,1)&lt;=$AF1094),ROUND($AG1094,2),0))</f>
        <v/>
      </c>
      <c r="N1094" s="18">
        <f>IF($Z1094="","",IF(AND(DATE($AD1094,5,1)&gt;=$AE1094,DATE($AD1094,5,1)&lt;=$AF1094),ROUND($AG1094,2),0))</f>
        <v/>
      </c>
      <c r="O1094" s="18">
        <f>IF($Z1094="","",IF(AND(DATE($AD1094,6,1)&gt;=$AE1094,DATE($AD1094,6,1)&lt;=$AF1094),ROUND($AG1094,2),0))</f>
        <v/>
      </c>
      <c r="P1094" s="18">
        <f>IF($Z1094="","",IF(AND(DATE($AD1094,7,1)&gt;=$AE1094,DATE($AD1094,7,1)&lt;=$AF1094),ROUND($AG1094,2),0))</f>
        <v/>
      </c>
      <c r="Q1094" s="18">
        <f>IF($Z1094="","",IF(AND(DATE($AD1094,8,1)&gt;=$AE1094,DATE($AD1094,8,1)&lt;=$AF1094),ROUND($AG1094,2),0))</f>
        <v/>
      </c>
      <c r="R1094" s="18">
        <f>IF($Z1094="","",IF(AND(DATE($AD1094,9,1)&gt;=$AE1094,DATE($AD1094,9,1)&lt;=$AF1094),ROUND($AG1094,2),0))</f>
        <v/>
      </c>
      <c r="S1094" s="18">
        <f>IF($Z1094="","",IF(AND(DATE($AD1094,10,1)&gt;=$AE1094,DATE($AD1094,10,1)&lt;=$AF1094),ROUND($AG1094,2),0))</f>
        <v/>
      </c>
      <c r="T1094" s="18">
        <f>IF($Z1094="","",IF(AND(DATE($AD1094,11,1)&gt;=$AE1094,DATE($AD1094,11,1)&lt;=$AF1094),ROUND($AG1094,2),0))</f>
        <v/>
      </c>
      <c r="U1094" s="18">
        <f>IF($Z1094="","",IF(AND(DATE($AD1094,12,1)&gt;=$AE1094,DATE($AD1094,12,1)&lt;=$AF1094),ROUND($AG1094,2),0))</f>
        <v/>
      </c>
      <c r="V1094" s="7">
        <f>IF($Z1094="C","Generated from "&amp;INDEX(Contracts!$A$2:$A$151,$AB1094),IF($Z1094="A","Generated from "&amp;INDEX(Fixed_Assets!$A$2:$A$201,$AB1094),IF($Z1094="F","Generated from "&amp;INDEX(FTE_Allocation!$A$2:$A$201,$AB1094),"")))</f>
        <v/>
      </c>
      <c r="X1094" s="19">
        <f>IF($Z1094="","",SUM(J1094:U1094))</f>
        <v/>
      </c>
      <c r="Y1094" s="20">
        <f>ROW()-1</f>
        <v/>
      </c>
      <c r="Z1094" s="20">
        <f>IF($Y1094&lt;=Settings!$B$4*3,"C",IF($Y1094&lt;=(Settings!$B$4+Settings!$B$5)*3,"A",IF($Y1094&lt;=(Settings!$B$4+Settings!$B$5+Settings!$B$6)*3,"F","")))</f>
        <v/>
      </c>
      <c r="AA1094" s="20">
        <f>IF($Z1094="C",$Y1094,IF($Z1094="A",$Y1094-Settings!$B$4*3,IF($Z1094="F",$Y1094-(Settings!$B$4+Settings!$B$5)*3,"")))</f>
        <v/>
      </c>
      <c r="AB1094" s="20">
        <f>IF($Z1094="","",INT(($AA1094-1)/3)+1)</f>
        <v/>
      </c>
      <c r="AC1094" s="20">
        <f>IF($Z1094="","",MOD($AA1094-1,3)+1)</f>
        <v/>
      </c>
      <c r="AD1094" s="20">
        <f>IF($Z1094="","",Settings!$B$2+$AC1094-1)</f>
        <v/>
      </c>
      <c r="AE1094" s="21">
        <f>IF($Z1094="C",DATE(YEAR(INDEX(Contracts!$J$2:$J$151,$AB1094)),MONTH(INDEX(Contracts!$J$2:$J$151,$AB1094)),1),IF($Z1094="A",DATE(YEAR(INDEX(Fixed_Assets!$G$2:$G$201,$AB1094)),MONTH(INDEX(Fixed_Assets!$G$2:$G$201,$AB1094)),1),IF($Z1094="F",DATE(YEAR(MAX(N(INDEX(Workforce!$I$2:$I$151,MATCH(INDEX(FTE_Allocation!$A$2:$A$201,$AB1094),Workforce!$A$2:$A$151,0))),N(INDEX(FTE_Allocation!$I$2:$I$201,$AB1094)))),MONTH(MAX(N(INDEX(Workforce!$I$2:$I$151,MATCH(INDEX(FTE_Allocation!$A$2:$A$201,$AB1094),Workforce!$A$2:$A$151,0))),N(INDEX(FTE_Allocation!$I$2:$I$201,$AB1094)))),1),"")))</f>
        <v/>
      </c>
      <c r="AF1094" s="21">
        <f>IF($Z1094="C",IF(INDEX(Contracts!$I$2:$I$151,$AB1094)="PREPAID",EDATE(DATE(YEAR(INDEX(Contracts!$J$2:$J$151,$AB1094)),MONTH(INDEX(Contracts!$J$2:$J$151,$AB1094)),1),IF(INDEX(Contracts!$N$2:$N$151,$AB1094)="",12,INDEX(Contracts!$N$2:$N$151,$AB1094))-1),IF(INDEX(Contracts!$I$2:$I$151,$AB1094)="MONTHLY",IF(INDEX(Contracts!$K$2:$K$151,$AB1094)="",2958101,INDEX(Contracts!$K$2:$K$151,$AB1094)),0)),IF($Z1094="A",EDATE(DATE(YEAR(INDEX(Fixed_Assets!$G$2:$G$201,$AB1094)),MONTH(INDEX(Fixed_Assets!$G$2:$G$201,$AB1094)),1),INDEX(Fixed_Assets!$J$2:$J$201,$AB1094)-1),IF($Z1094="F",MIN(IF(INDEX(Workforce!$J$2:$J$151,MATCH(INDEX(FTE_Allocation!$A$2:$A$201,$AB1094),Workforce!$A$2:$A$151,0))="",2958101,INDEX(Workforce!$J$2:$J$151,MATCH(INDEX(FTE_Allocation!$A$2:$A$201,$AB1094),Workforce!$A$2:$A$151,0))),IF(INDEX(FTE_Allocation!$J$2:$J$201,$AB1094)="",2958101,INDEX(FTE_Allocation!$J$2:$J$201,$AB1094))),"")))</f>
        <v/>
      </c>
      <c r="AG1094" s="19">
        <f>IF($Z1094="C",IF(INDEX(Contracts!$I$2:$I$151,$AB1094)="PREPAID",INDEX(Contracts!$M$2:$M$151,$AB1094)/IF(INDEX(Contracts!$N$2:$N$151,$AB1094)="",12,INDEX(Contracts!$N$2:$N$151,$AB1094)),IF(INDEX(Contracts!$I$2:$I$151,$AB1094)="MONTHLY",INDEX(Contracts!$M$2:$M$151,$AB1094),0))*(1-N(INDEX(Contracts!$O$2:$O$151,$AB1094))),IF($Z1094="A",INDEX(Fixed_Assets!$H$2:$H$201,$AB1094)/INDEX(Fixed_Assets!$J$2:$J$201,$AB1094),IF($Z1094="F",INDEX(Workforce!$F$2:$F$151,MATCH(INDEX(FTE_Allocation!$A$2:$A$201,$AB1094),Workforce!$A$2:$A$151,0))*N(INDEX(FTE_Allocation!$F$2:$H$201,$AB1094,$AC1094)),"")))</f>
        <v/>
      </c>
    </row>
    <row r="1095">
      <c r="A1095" s="7">
        <f>IF($Z1095="","",$AD1095)</f>
        <v/>
      </c>
      <c r="B1095" s="7">
        <f>IF($Z1095="C",INDEX(Contracts!$D$2:$D$151,$AB1095)&amp;"",IF($Z1095="A",INDEX(Fixed_Assets!$C$2:$C$201,$AB1095)&amp;"",IF($Z1095="F",INDEX(Workforce!$B$2:$B$151,MATCH(INDEX(FTE_Allocation!$A$2:$A$201,$AB1095),Workforce!$A$2:$A$151,0))&amp;"","")))</f>
        <v/>
      </c>
      <c r="C1095" s="7">
        <f>IF($Z1095="C",INDEX(Contracts!$E$2:$E$151,$AB1095)&amp;"",IF($Z1095="A",INDEX(Fixed_Assets!$D$2:$D$201,$AB1095)&amp;"",IF($Z1095="F",INDEX(FTE_Allocation!$C$2:$C$201,$AB1095)&amp;"","")))</f>
        <v/>
      </c>
      <c r="D1095" s="7">
        <f>IF($Z1095="C",INDEX(Contracts!$B$2:$B$151,$AB1095)&amp;"",IF($Z1095="A",INDEX(Fixed_Assets!$B$2:$B$201,$AB1095)&amp;"",IF($Z1095="F",INDEX(FTE_Allocation!$B$2:$B$201,$AB1095)&amp;"","")))</f>
        <v/>
      </c>
      <c r="E1095" s="7">
        <f>IF($Z1095="C",INDEX(Contracts!$P$2:$P$151,$AB1095)&amp;"",IF($Z1095="A",INDEX(Fixed_Assets!$K$2:$K$201,$AB1095)&amp;"",IF($Z1095="F",IF(INDEX(FTE_Allocation!$D$2:$D$201,$AB1095)="PROJECT",IFERROR(INDEX(Projects!$D:$D,MATCH(INDEX(FTE_Allocation!$E$2:$E$201,$AB1095),Projects!$A:$A,0))&amp;"","#PROJECT?"),INDEX(FTE_Allocation!$E$2:$E$201,$AB1095)&amp;""),"")))</f>
        <v/>
      </c>
      <c r="F1095" s="7">
        <f>IF($Z1095="C",INDEX(Contracts!$Q$2:$Q$151,$AB1095)&amp;"",IF($Z1095="A",INDEX(Fixed_Assets!$L$2:$L$201,$AB1095)&amp;"",IF($Z1095="F",INDEX(Workforce!$K$2:$K$151,MATCH(INDEX(FTE_Allocation!$A$2:$A$201,$AB1095),Workforce!$A$2:$A$151,0))&amp;"","")))</f>
        <v/>
      </c>
      <c r="G1095" s="7">
        <f>IF($Z1095="C",INDEX(Contracts!$F$2:$F$151,$AB1095)&amp;" / "&amp;INDEX(Contracts!$G$2:$G$151,$AB1095),IF($Z1095="A",INDEX(Fixed_Assets!$E$2:$E$201,$AB1095)&amp;"",IF($Z1095="F","Personnel "&amp;INDEX(FTE_Allocation!$A$2:$A$201,$AB1095)&amp;IF(INDEX(FTE_Allocation!$D$2:$D$201,$AB1095)="PROJECT"," ("&amp;INDEX(FTE_Allocation!$E$2:$E$201,$AB1095)&amp;")",""),"")))</f>
        <v/>
      </c>
      <c r="H1095" s="7">
        <f>IF($Z1095="C","CONTRACT",IF($Z1095="A","ASSET",IF($Z1095="F","WORKFORCE","")))</f>
        <v/>
      </c>
      <c r="I1095" s="7">
        <f>IF($Z1095="C",INDEX(Contracts!$L$2:$L$151,$AB1095)&amp;"",IF($Z1095="A",INDEX(Fixed_Assets!$I$2:$I$201,$AB1095)&amp;"",IF($Z1095="F",INDEX(Workforce!$G$2:$G$151,MATCH(INDEX(FTE_Allocation!$A$2:$A$201,$AB1095),Workforce!$A$2:$A$151,0))&amp;"","")))</f>
        <v/>
      </c>
      <c r="J1095" s="18">
        <f>IF($Z1095="","",IF(AND(DATE($AD1095,1,1)&gt;=$AE1095,DATE($AD1095,1,1)&lt;=$AF1095),ROUND($AG1095,2),0))</f>
        <v/>
      </c>
      <c r="K1095" s="18">
        <f>IF($Z1095="","",IF(AND(DATE($AD1095,2,1)&gt;=$AE1095,DATE($AD1095,2,1)&lt;=$AF1095),ROUND($AG1095,2),0))</f>
        <v/>
      </c>
      <c r="L1095" s="18">
        <f>IF($Z1095="","",IF(AND(DATE($AD1095,3,1)&gt;=$AE1095,DATE($AD1095,3,1)&lt;=$AF1095),ROUND($AG1095,2),0))</f>
        <v/>
      </c>
      <c r="M1095" s="18">
        <f>IF($Z1095="","",IF(AND(DATE($AD1095,4,1)&gt;=$AE1095,DATE($AD1095,4,1)&lt;=$AF1095),ROUND($AG1095,2),0))</f>
        <v/>
      </c>
      <c r="N1095" s="18">
        <f>IF($Z1095="","",IF(AND(DATE($AD1095,5,1)&gt;=$AE1095,DATE($AD1095,5,1)&lt;=$AF1095),ROUND($AG1095,2),0))</f>
        <v/>
      </c>
      <c r="O1095" s="18">
        <f>IF($Z1095="","",IF(AND(DATE($AD1095,6,1)&gt;=$AE1095,DATE($AD1095,6,1)&lt;=$AF1095),ROUND($AG1095,2),0))</f>
        <v/>
      </c>
      <c r="P1095" s="18">
        <f>IF($Z1095="","",IF(AND(DATE($AD1095,7,1)&gt;=$AE1095,DATE($AD1095,7,1)&lt;=$AF1095),ROUND($AG1095,2),0))</f>
        <v/>
      </c>
      <c r="Q1095" s="18">
        <f>IF($Z1095="","",IF(AND(DATE($AD1095,8,1)&gt;=$AE1095,DATE($AD1095,8,1)&lt;=$AF1095),ROUND($AG1095,2),0))</f>
        <v/>
      </c>
      <c r="R1095" s="18">
        <f>IF($Z1095="","",IF(AND(DATE($AD1095,9,1)&gt;=$AE1095,DATE($AD1095,9,1)&lt;=$AF1095),ROUND($AG1095,2),0))</f>
        <v/>
      </c>
      <c r="S1095" s="18">
        <f>IF($Z1095="","",IF(AND(DATE($AD1095,10,1)&gt;=$AE1095,DATE($AD1095,10,1)&lt;=$AF1095),ROUND($AG1095,2),0))</f>
        <v/>
      </c>
      <c r="T1095" s="18">
        <f>IF($Z1095="","",IF(AND(DATE($AD1095,11,1)&gt;=$AE1095,DATE($AD1095,11,1)&lt;=$AF1095),ROUND($AG1095,2),0))</f>
        <v/>
      </c>
      <c r="U1095" s="18">
        <f>IF($Z1095="","",IF(AND(DATE($AD1095,12,1)&gt;=$AE1095,DATE($AD1095,12,1)&lt;=$AF1095),ROUND($AG1095,2),0))</f>
        <v/>
      </c>
      <c r="V1095" s="7">
        <f>IF($Z1095="C","Generated from "&amp;INDEX(Contracts!$A$2:$A$151,$AB1095),IF($Z1095="A","Generated from "&amp;INDEX(Fixed_Assets!$A$2:$A$201,$AB1095),IF($Z1095="F","Generated from "&amp;INDEX(FTE_Allocation!$A$2:$A$201,$AB1095),"")))</f>
        <v/>
      </c>
      <c r="X1095" s="19">
        <f>IF($Z1095="","",SUM(J1095:U1095))</f>
        <v/>
      </c>
      <c r="Y1095" s="20">
        <f>ROW()-1</f>
        <v/>
      </c>
      <c r="Z1095" s="20">
        <f>IF($Y1095&lt;=Settings!$B$4*3,"C",IF($Y1095&lt;=(Settings!$B$4+Settings!$B$5)*3,"A",IF($Y1095&lt;=(Settings!$B$4+Settings!$B$5+Settings!$B$6)*3,"F","")))</f>
        <v/>
      </c>
      <c r="AA1095" s="20">
        <f>IF($Z1095="C",$Y1095,IF($Z1095="A",$Y1095-Settings!$B$4*3,IF($Z1095="F",$Y1095-(Settings!$B$4+Settings!$B$5)*3,"")))</f>
        <v/>
      </c>
      <c r="AB1095" s="20">
        <f>IF($Z1095="","",INT(($AA1095-1)/3)+1)</f>
        <v/>
      </c>
      <c r="AC1095" s="20">
        <f>IF($Z1095="","",MOD($AA1095-1,3)+1)</f>
        <v/>
      </c>
      <c r="AD1095" s="20">
        <f>IF($Z1095="","",Settings!$B$2+$AC1095-1)</f>
        <v/>
      </c>
      <c r="AE1095" s="21">
        <f>IF($Z1095="C",DATE(YEAR(INDEX(Contracts!$J$2:$J$151,$AB1095)),MONTH(INDEX(Contracts!$J$2:$J$151,$AB1095)),1),IF($Z1095="A",DATE(YEAR(INDEX(Fixed_Assets!$G$2:$G$201,$AB1095)),MONTH(INDEX(Fixed_Assets!$G$2:$G$201,$AB1095)),1),IF($Z1095="F",DATE(YEAR(MAX(N(INDEX(Workforce!$I$2:$I$151,MATCH(INDEX(FTE_Allocation!$A$2:$A$201,$AB1095),Workforce!$A$2:$A$151,0))),N(INDEX(FTE_Allocation!$I$2:$I$201,$AB1095)))),MONTH(MAX(N(INDEX(Workforce!$I$2:$I$151,MATCH(INDEX(FTE_Allocation!$A$2:$A$201,$AB1095),Workforce!$A$2:$A$151,0))),N(INDEX(FTE_Allocation!$I$2:$I$201,$AB1095)))),1),"")))</f>
        <v/>
      </c>
      <c r="AF1095" s="21">
        <f>IF($Z1095="C",IF(INDEX(Contracts!$I$2:$I$151,$AB1095)="PREPAID",EDATE(DATE(YEAR(INDEX(Contracts!$J$2:$J$151,$AB1095)),MONTH(INDEX(Contracts!$J$2:$J$151,$AB1095)),1),IF(INDEX(Contracts!$N$2:$N$151,$AB1095)="",12,INDEX(Contracts!$N$2:$N$151,$AB1095))-1),IF(INDEX(Contracts!$I$2:$I$151,$AB1095)="MONTHLY",IF(INDEX(Contracts!$K$2:$K$151,$AB1095)="",2958101,INDEX(Contracts!$K$2:$K$151,$AB1095)),0)),IF($Z1095="A",EDATE(DATE(YEAR(INDEX(Fixed_Assets!$G$2:$G$201,$AB1095)),MONTH(INDEX(Fixed_Assets!$G$2:$G$201,$AB1095)),1),INDEX(Fixed_Assets!$J$2:$J$201,$AB1095)-1),IF($Z1095="F",MIN(IF(INDEX(Workforce!$J$2:$J$151,MATCH(INDEX(FTE_Allocation!$A$2:$A$201,$AB1095),Workforce!$A$2:$A$151,0))="",2958101,INDEX(Workforce!$J$2:$J$151,MATCH(INDEX(FTE_Allocation!$A$2:$A$201,$AB1095),Workforce!$A$2:$A$151,0))),IF(INDEX(FTE_Allocation!$J$2:$J$201,$AB1095)="",2958101,INDEX(FTE_Allocation!$J$2:$J$201,$AB1095))),"")))</f>
        <v/>
      </c>
      <c r="AG1095" s="19">
        <f>IF($Z1095="C",IF(INDEX(Contracts!$I$2:$I$151,$AB1095)="PREPAID",INDEX(Contracts!$M$2:$M$151,$AB1095)/IF(INDEX(Contracts!$N$2:$N$151,$AB1095)="",12,INDEX(Contracts!$N$2:$N$151,$AB1095)),IF(INDEX(Contracts!$I$2:$I$151,$AB1095)="MONTHLY",INDEX(Contracts!$M$2:$M$151,$AB1095),0))*(1-N(INDEX(Contracts!$O$2:$O$151,$AB1095))),IF($Z1095="A",INDEX(Fixed_Assets!$H$2:$H$201,$AB1095)/INDEX(Fixed_Assets!$J$2:$J$201,$AB1095),IF($Z1095="F",INDEX(Workforce!$F$2:$F$151,MATCH(INDEX(FTE_Allocation!$A$2:$A$201,$AB1095),Workforce!$A$2:$A$151,0))*N(INDEX(FTE_Allocation!$F$2:$H$201,$AB1095,$AC1095)),"")))</f>
        <v/>
      </c>
    </row>
    <row r="1096">
      <c r="A1096" s="7">
        <f>IF($Z1096="","",$AD1096)</f>
        <v/>
      </c>
      <c r="B1096" s="7">
        <f>IF($Z1096="C",INDEX(Contracts!$D$2:$D$151,$AB1096)&amp;"",IF($Z1096="A",INDEX(Fixed_Assets!$C$2:$C$201,$AB1096)&amp;"",IF($Z1096="F",INDEX(Workforce!$B$2:$B$151,MATCH(INDEX(FTE_Allocation!$A$2:$A$201,$AB1096),Workforce!$A$2:$A$151,0))&amp;"","")))</f>
        <v/>
      </c>
      <c r="C1096" s="7">
        <f>IF($Z1096="C",INDEX(Contracts!$E$2:$E$151,$AB1096)&amp;"",IF($Z1096="A",INDEX(Fixed_Assets!$D$2:$D$201,$AB1096)&amp;"",IF($Z1096="F",INDEX(FTE_Allocation!$C$2:$C$201,$AB1096)&amp;"","")))</f>
        <v/>
      </c>
      <c r="D1096" s="7">
        <f>IF($Z1096="C",INDEX(Contracts!$B$2:$B$151,$AB1096)&amp;"",IF($Z1096="A",INDEX(Fixed_Assets!$B$2:$B$201,$AB1096)&amp;"",IF($Z1096="F",INDEX(FTE_Allocation!$B$2:$B$201,$AB1096)&amp;"","")))</f>
        <v/>
      </c>
      <c r="E1096" s="7">
        <f>IF($Z1096="C",INDEX(Contracts!$P$2:$P$151,$AB1096)&amp;"",IF($Z1096="A",INDEX(Fixed_Assets!$K$2:$K$201,$AB1096)&amp;"",IF($Z1096="F",IF(INDEX(FTE_Allocation!$D$2:$D$201,$AB1096)="PROJECT",IFERROR(INDEX(Projects!$D:$D,MATCH(INDEX(FTE_Allocation!$E$2:$E$201,$AB1096),Projects!$A:$A,0))&amp;"","#PROJECT?"),INDEX(FTE_Allocation!$E$2:$E$201,$AB1096)&amp;""),"")))</f>
        <v/>
      </c>
      <c r="F1096" s="7">
        <f>IF($Z1096="C",INDEX(Contracts!$Q$2:$Q$151,$AB1096)&amp;"",IF($Z1096="A",INDEX(Fixed_Assets!$L$2:$L$201,$AB1096)&amp;"",IF($Z1096="F",INDEX(Workforce!$K$2:$K$151,MATCH(INDEX(FTE_Allocation!$A$2:$A$201,$AB1096),Workforce!$A$2:$A$151,0))&amp;"","")))</f>
        <v/>
      </c>
      <c r="G1096" s="7">
        <f>IF($Z1096="C",INDEX(Contracts!$F$2:$F$151,$AB1096)&amp;" / "&amp;INDEX(Contracts!$G$2:$G$151,$AB1096),IF($Z1096="A",INDEX(Fixed_Assets!$E$2:$E$201,$AB1096)&amp;"",IF($Z1096="F","Personnel "&amp;INDEX(FTE_Allocation!$A$2:$A$201,$AB1096)&amp;IF(INDEX(FTE_Allocation!$D$2:$D$201,$AB1096)="PROJECT"," ("&amp;INDEX(FTE_Allocation!$E$2:$E$201,$AB1096)&amp;")",""),"")))</f>
        <v/>
      </c>
      <c r="H1096" s="7">
        <f>IF($Z1096="C","CONTRACT",IF($Z1096="A","ASSET",IF($Z1096="F","WORKFORCE","")))</f>
        <v/>
      </c>
      <c r="I1096" s="7">
        <f>IF($Z1096="C",INDEX(Contracts!$L$2:$L$151,$AB1096)&amp;"",IF($Z1096="A",INDEX(Fixed_Assets!$I$2:$I$201,$AB1096)&amp;"",IF($Z1096="F",INDEX(Workforce!$G$2:$G$151,MATCH(INDEX(FTE_Allocation!$A$2:$A$201,$AB1096),Workforce!$A$2:$A$151,0))&amp;"","")))</f>
        <v/>
      </c>
      <c r="J1096" s="18">
        <f>IF($Z1096="","",IF(AND(DATE($AD1096,1,1)&gt;=$AE1096,DATE($AD1096,1,1)&lt;=$AF1096),ROUND($AG1096,2),0))</f>
        <v/>
      </c>
      <c r="K1096" s="18">
        <f>IF($Z1096="","",IF(AND(DATE($AD1096,2,1)&gt;=$AE1096,DATE($AD1096,2,1)&lt;=$AF1096),ROUND($AG1096,2),0))</f>
        <v/>
      </c>
      <c r="L1096" s="18">
        <f>IF($Z1096="","",IF(AND(DATE($AD1096,3,1)&gt;=$AE1096,DATE($AD1096,3,1)&lt;=$AF1096),ROUND($AG1096,2),0))</f>
        <v/>
      </c>
      <c r="M1096" s="18">
        <f>IF($Z1096="","",IF(AND(DATE($AD1096,4,1)&gt;=$AE1096,DATE($AD1096,4,1)&lt;=$AF1096),ROUND($AG1096,2),0))</f>
        <v/>
      </c>
      <c r="N1096" s="18">
        <f>IF($Z1096="","",IF(AND(DATE($AD1096,5,1)&gt;=$AE1096,DATE($AD1096,5,1)&lt;=$AF1096),ROUND($AG1096,2),0))</f>
        <v/>
      </c>
      <c r="O1096" s="18">
        <f>IF($Z1096="","",IF(AND(DATE($AD1096,6,1)&gt;=$AE1096,DATE($AD1096,6,1)&lt;=$AF1096),ROUND($AG1096,2),0))</f>
        <v/>
      </c>
      <c r="P1096" s="18">
        <f>IF($Z1096="","",IF(AND(DATE($AD1096,7,1)&gt;=$AE1096,DATE($AD1096,7,1)&lt;=$AF1096),ROUND($AG1096,2),0))</f>
        <v/>
      </c>
      <c r="Q1096" s="18">
        <f>IF($Z1096="","",IF(AND(DATE($AD1096,8,1)&gt;=$AE1096,DATE($AD1096,8,1)&lt;=$AF1096),ROUND($AG1096,2),0))</f>
        <v/>
      </c>
      <c r="R1096" s="18">
        <f>IF($Z1096="","",IF(AND(DATE($AD1096,9,1)&gt;=$AE1096,DATE($AD1096,9,1)&lt;=$AF1096),ROUND($AG1096,2),0))</f>
        <v/>
      </c>
      <c r="S1096" s="18">
        <f>IF($Z1096="","",IF(AND(DATE($AD1096,10,1)&gt;=$AE1096,DATE($AD1096,10,1)&lt;=$AF1096),ROUND($AG1096,2),0))</f>
        <v/>
      </c>
      <c r="T1096" s="18">
        <f>IF($Z1096="","",IF(AND(DATE($AD1096,11,1)&gt;=$AE1096,DATE($AD1096,11,1)&lt;=$AF1096),ROUND($AG1096,2),0))</f>
        <v/>
      </c>
      <c r="U1096" s="18">
        <f>IF($Z1096="","",IF(AND(DATE($AD1096,12,1)&gt;=$AE1096,DATE($AD1096,12,1)&lt;=$AF1096),ROUND($AG1096,2),0))</f>
        <v/>
      </c>
      <c r="V1096" s="7">
        <f>IF($Z1096="C","Generated from "&amp;INDEX(Contracts!$A$2:$A$151,$AB1096),IF($Z1096="A","Generated from "&amp;INDEX(Fixed_Assets!$A$2:$A$201,$AB1096),IF($Z1096="F","Generated from "&amp;INDEX(FTE_Allocation!$A$2:$A$201,$AB1096),"")))</f>
        <v/>
      </c>
      <c r="X1096" s="19">
        <f>IF($Z1096="","",SUM(J1096:U1096))</f>
        <v/>
      </c>
      <c r="Y1096" s="20">
        <f>ROW()-1</f>
        <v/>
      </c>
      <c r="Z1096" s="20">
        <f>IF($Y1096&lt;=Settings!$B$4*3,"C",IF($Y1096&lt;=(Settings!$B$4+Settings!$B$5)*3,"A",IF($Y1096&lt;=(Settings!$B$4+Settings!$B$5+Settings!$B$6)*3,"F","")))</f>
        <v/>
      </c>
      <c r="AA1096" s="20">
        <f>IF($Z1096="C",$Y1096,IF($Z1096="A",$Y1096-Settings!$B$4*3,IF($Z1096="F",$Y1096-(Settings!$B$4+Settings!$B$5)*3,"")))</f>
        <v/>
      </c>
      <c r="AB1096" s="20">
        <f>IF($Z1096="","",INT(($AA1096-1)/3)+1)</f>
        <v/>
      </c>
      <c r="AC1096" s="20">
        <f>IF($Z1096="","",MOD($AA1096-1,3)+1)</f>
        <v/>
      </c>
      <c r="AD1096" s="20">
        <f>IF($Z1096="","",Settings!$B$2+$AC1096-1)</f>
        <v/>
      </c>
      <c r="AE1096" s="21">
        <f>IF($Z1096="C",DATE(YEAR(INDEX(Contracts!$J$2:$J$151,$AB1096)),MONTH(INDEX(Contracts!$J$2:$J$151,$AB1096)),1),IF($Z1096="A",DATE(YEAR(INDEX(Fixed_Assets!$G$2:$G$201,$AB1096)),MONTH(INDEX(Fixed_Assets!$G$2:$G$201,$AB1096)),1),IF($Z1096="F",DATE(YEAR(MAX(N(INDEX(Workforce!$I$2:$I$151,MATCH(INDEX(FTE_Allocation!$A$2:$A$201,$AB1096),Workforce!$A$2:$A$151,0))),N(INDEX(FTE_Allocation!$I$2:$I$201,$AB1096)))),MONTH(MAX(N(INDEX(Workforce!$I$2:$I$151,MATCH(INDEX(FTE_Allocation!$A$2:$A$201,$AB1096),Workforce!$A$2:$A$151,0))),N(INDEX(FTE_Allocation!$I$2:$I$201,$AB1096)))),1),"")))</f>
        <v/>
      </c>
      <c r="AF1096" s="21">
        <f>IF($Z1096="C",IF(INDEX(Contracts!$I$2:$I$151,$AB1096)="PREPAID",EDATE(DATE(YEAR(INDEX(Contracts!$J$2:$J$151,$AB1096)),MONTH(INDEX(Contracts!$J$2:$J$151,$AB1096)),1),IF(INDEX(Contracts!$N$2:$N$151,$AB1096)="",12,INDEX(Contracts!$N$2:$N$151,$AB1096))-1),IF(INDEX(Contracts!$I$2:$I$151,$AB1096)="MONTHLY",IF(INDEX(Contracts!$K$2:$K$151,$AB1096)="",2958101,INDEX(Contracts!$K$2:$K$151,$AB1096)),0)),IF($Z1096="A",EDATE(DATE(YEAR(INDEX(Fixed_Assets!$G$2:$G$201,$AB1096)),MONTH(INDEX(Fixed_Assets!$G$2:$G$201,$AB1096)),1),INDEX(Fixed_Assets!$J$2:$J$201,$AB1096)-1),IF($Z1096="F",MIN(IF(INDEX(Workforce!$J$2:$J$151,MATCH(INDEX(FTE_Allocation!$A$2:$A$201,$AB1096),Workforce!$A$2:$A$151,0))="",2958101,INDEX(Workforce!$J$2:$J$151,MATCH(INDEX(FTE_Allocation!$A$2:$A$201,$AB1096),Workforce!$A$2:$A$151,0))),IF(INDEX(FTE_Allocation!$J$2:$J$201,$AB1096)="",2958101,INDEX(FTE_Allocation!$J$2:$J$201,$AB1096))),"")))</f>
        <v/>
      </c>
      <c r="AG1096" s="19">
        <f>IF($Z1096="C",IF(INDEX(Contracts!$I$2:$I$151,$AB1096)="PREPAID",INDEX(Contracts!$M$2:$M$151,$AB1096)/IF(INDEX(Contracts!$N$2:$N$151,$AB1096)="",12,INDEX(Contracts!$N$2:$N$151,$AB1096)),IF(INDEX(Contracts!$I$2:$I$151,$AB1096)="MONTHLY",INDEX(Contracts!$M$2:$M$151,$AB1096),0))*(1-N(INDEX(Contracts!$O$2:$O$151,$AB1096))),IF($Z1096="A",INDEX(Fixed_Assets!$H$2:$H$201,$AB1096)/INDEX(Fixed_Assets!$J$2:$J$201,$AB1096),IF($Z1096="F",INDEX(Workforce!$F$2:$F$151,MATCH(INDEX(FTE_Allocation!$A$2:$A$201,$AB1096),Workforce!$A$2:$A$151,0))*N(INDEX(FTE_Allocation!$F$2:$H$201,$AB1096,$AC1096)),"")))</f>
        <v/>
      </c>
    </row>
    <row r="1097">
      <c r="A1097" s="7">
        <f>IF($Z1097="","",$AD1097)</f>
        <v/>
      </c>
      <c r="B1097" s="7">
        <f>IF($Z1097="C",INDEX(Contracts!$D$2:$D$151,$AB1097)&amp;"",IF($Z1097="A",INDEX(Fixed_Assets!$C$2:$C$201,$AB1097)&amp;"",IF($Z1097="F",INDEX(Workforce!$B$2:$B$151,MATCH(INDEX(FTE_Allocation!$A$2:$A$201,$AB1097),Workforce!$A$2:$A$151,0))&amp;"","")))</f>
        <v/>
      </c>
      <c r="C1097" s="7">
        <f>IF($Z1097="C",INDEX(Contracts!$E$2:$E$151,$AB1097)&amp;"",IF($Z1097="A",INDEX(Fixed_Assets!$D$2:$D$201,$AB1097)&amp;"",IF($Z1097="F",INDEX(FTE_Allocation!$C$2:$C$201,$AB1097)&amp;"","")))</f>
        <v/>
      </c>
      <c r="D1097" s="7">
        <f>IF($Z1097="C",INDEX(Contracts!$B$2:$B$151,$AB1097)&amp;"",IF($Z1097="A",INDEX(Fixed_Assets!$B$2:$B$201,$AB1097)&amp;"",IF($Z1097="F",INDEX(FTE_Allocation!$B$2:$B$201,$AB1097)&amp;"","")))</f>
        <v/>
      </c>
      <c r="E1097" s="7">
        <f>IF($Z1097="C",INDEX(Contracts!$P$2:$P$151,$AB1097)&amp;"",IF($Z1097="A",INDEX(Fixed_Assets!$K$2:$K$201,$AB1097)&amp;"",IF($Z1097="F",IF(INDEX(FTE_Allocation!$D$2:$D$201,$AB1097)="PROJECT",IFERROR(INDEX(Projects!$D:$D,MATCH(INDEX(FTE_Allocation!$E$2:$E$201,$AB1097),Projects!$A:$A,0))&amp;"","#PROJECT?"),INDEX(FTE_Allocation!$E$2:$E$201,$AB1097)&amp;""),"")))</f>
        <v/>
      </c>
      <c r="F1097" s="7">
        <f>IF($Z1097="C",INDEX(Contracts!$Q$2:$Q$151,$AB1097)&amp;"",IF($Z1097="A",INDEX(Fixed_Assets!$L$2:$L$201,$AB1097)&amp;"",IF($Z1097="F",INDEX(Workforce!$K$2:$K$151,MATCH(INDEX(FTE_Allocation!$A$2:$A$201,$AB1097),Workforce!$A$2:$A$151,0))&amp;"","")))</f>
        <v/>
      </c>
      <c r="G1097" s="7">
        <f>IF($Z1097="C",INDEX(Contracts!$F$2:$F$151,$AB1097)&amp;" / "&amp;INDEX(Contracts!$G$2:$G$151,$AB1097),IF($Z1097="A",INDEX(Fixed_Assets!$E$2:$E$201,$AB1097)&amp;"",IF($Z1097="F","Personnel "&amp;INDEX(FTE_Allocation!$A$2:$A$201,$AB1097)&amp;IF(INDEX(FTE_Allocation!$D$2:$D$201,$AB1097)="PROJECT"," ("&amp;INDEX(FTE_Allocation!$E$2:$E$201,$AB1097)&amp;")",""),"")))</f>
        <v/>
      </c>
      <c r="H1097" s="7">
        <f>IF($Z1097="C","CONTRACT",IF($Z1097="A","ASSET",IF($Z1097="F","WORKFORCE","")))</f>
        <v/>
      </c>
      <c r="I1097" s="7">
        <f>IF($Z1097="C",INDEX(Contracts!$L$2:$L$151,$AB1097)&amp;"",IF($Z1097="A",INDEX(Fixed_Assets!$I$2:$I$201,$AB1097)&amp;"",IF($Z1097="F",INDEX(Workforce!$G$2:$G$151,MATCH(INDEX(FTE_Allocation!$A$2:$A$201,$AB1097),Workforce!$A$2:$A$151,0))&amp;"","")))</f>
        <v/>
      </c>
      <c r="J1097" s="18">
        <f>IF($Z1097="","",IF(AND(DATE($AD1097,1,1)&gt;=$AE1097,DATE($AD1097,1,1)&lt;=$AF1097),ROUND($AG1097,2),0))</f>
        <v/>
      </c>
      <c r="K1097" s="18">
        <f>IF($Z1097="","",IF(AND(DATE($AD1097,2,1)&gt;=$AE1097,DATE($AD1097,2,1)&lt;=$AF1097),ROUND($AG1097,2),0))</f>
        <v/>
      </c>
      <c r="L1097" s="18">
        <f>IF($Z1097="","",IF(AND(DATE($AD1097,3,1)&gt;=$AE1097,DATE($AD1097,3,1)&lt;=$AF1097),ROUND($AG1097,2),0))</f>
        <v/>
      </c>
      <c r="M1097" s="18">
        <f>IF($Z1097="","",IF(AND(DATE($AD1097,4,1)&gt;=$AE1097,DATE($AD1097,4,1)&lt;=$AF1097),ROUND($AG1097,2),0))</f>
        <v/>
      </c>
      <c r="N1097" s="18">
        <f>IF($Z1097="","",IF(AND(DATE($AD1097,5,1)&gt;=$AE1097,DATE($AD1097,5,1)&lt;=$AF1097),ROUND($AG1097,2),0))</f>
        <v/>
      </c>
      <c r="O1097" s="18">
        <f>IF($Z1097="","",IF(AND(DATE($AD1097,6,1)&gt;=$AE1097,DATE($AD1097,6,1)&lt;=$AF1097),ROUND($AG1097,2),0))</f>
        <v/>
      </c>
      <c r="P1097" s="18">
        <f>IF($Z1097="","",IF(AND(DATE($AD1097,7,1)&gt;=$AE1097,DATE($AD1097,7,1)&lt;=$AF1097),ROUND($AG1097,2),0))</f>
        <v/>
      </c>
      <c r="Q1097" s="18">
        <f>IF($Z1097="","",IF(AND(DATE($AD1097,8,1)&gt;=$AE1097,DATE($AD1097,8,1)&lt;=$AF1097),ROUND($AG1097,2),0))</f>
        <v/>
      </c>
      <c r="R1097" s="18">
        <f>IF($Z1097="","",IF(AND(DATE($AD1097,9,1)&gt;=$AE1097,DATE($AD1097,9,1)&lt;=$AF1097),ROUND($AG1097,2),0))</f>
        <v/>
      </c>
      <c r="S1097" s="18">
        <f>IF($Z1097="","",IF(AND(DATE($AD1097,10,1)&gt;=$AE1097,DATE($AD1097,10,1)&lt;=$AF1097),ROUND($AG1097,2),0))</f>
        <v/>
      </c>
      <c r="T1097" s="18">
        <f>IF($Z1097="","",IF(AND(DATE($AD1097,11,1)&gt;=$AE1097,DATE($AD1097,11,1)&lt;=$AF1097),ROUND($AG1097,2),0))</f>
        <v/>
      </c>
      <c r="U1097" s="18">
        <f>IF($Z1097="","",IF(AND(DATE($AD1097,12,1)&gt;=$AE1097,DATE($AD1097,12,1)&lt;=$AF1097),ROUND($AG1097,2),0))</f>
        <v/>
      </c>
      <c r="V1097" s="7">
        <f>IF($Z1097="C","Generated from "&amp;INDEX(Contracts!$A$2:$A$151,$AB1097),IF($Z1097="A","Generated from "&amp;INDEX(Fixed_Assets!$A$2:$A$201,$AB1097),IF($Z1097="F","Generated from "&amp;INDEX(FTE_Allocation!$A$2:$A$201,$AB1097),"")))</f>
        <v/>
      </c>
      <c r="X1097" s="19">
        <f>IF($Z1097="","",SUM(J1097:U1097))</f>
        <v/>
      </c>
      <c r="Y1097" s="20">
        <f>ROW()-1</f>
        <v/>
      </c>
      <c r="Z1097" s="20">
        <f>IF($Y1097&lt;=Settings!$B$4*3,"C",IF($Y1097&lt;=(Settings!$B$4+Settings!$B$5)*3,"A",IF($Y1097&lt;=(Settings!$B$4+Settings!$B$5+Settings!$B$6)*3,"F","")))</f>
        <v/>
      </c>
      <c r="AA1097" s="20">
        <f>IF($Z1097="C",$Y1097,IF($Z1097="A",$Y1097-Settings!$B$4*3,IF($Z1097="F",$Y1097-(Settings!$B$4+Settings!$B$5)*3,"")))</f>
        <v/>
      </c>
      <c r="AB1097" s="20">
        <f>IF($Z1097="","",INT(($AA1097-1)/3)+1)</f>
        <v/>
      </c>
      <c r="AC1097" s="20">
        <f>IF($Z1097="","",MOD($AA1097-1,3)+1)</f>
        <v/>
      </c>
      <c r="AD1097" s="20">
        <f>IF($Z1097="","",Settings!$B$2+$AC1097-1)</f>
        <v/>
      </c>
      <c r="AE1097" s="21">
        <f>IF($Z1097="C",DATE(YEAR(INDEX(Contracts!$J$2:$J$151,$AB1097)),MONTH(INDEX(Contracts!$J$2:$J$151,$AB1097)),1),IF($Z1097="A",DATE(YEAR(INDEX(Fixed_Assets!$G$2:$G$201,$AB1097)),MONTH(INDEX(Fixed_Assets!$G$2:$G$201,$AB1097)),1),IF($Z1097="F",DATE(YEAR(MAX(N(INDEX(Workforce!$I$2:$I$151,MATCH(INDEX(FTE_Allocation!$A$2:$A$201,$AB1097),Workforce!$A$2:$A$151,0))),N(INDEX(FTE_Allocation!$I$2:$I$201,$AB1097)))),MONTH(MAX(N(INDEX(Workforce!$I$2:$I$151,MATCH(INDEX(FTE_Allocation!$A$2:$A$201,$AB1097),Workforce!$A$2:$A$151,0))),N(INDEX(FTE_Allocation!$I$2:$I$201,$AB1097)))),1),"")))</f>
        <v/>
      </c>
      <c r="AF1097" s="21">
        <f>IF($Z1097="C",IF(INDEX(Contracts!$I$2:$I$151,$AB1097)="PREPAID",EDATE(DATE(YEAR(INDEX(Contracts!$J$2:$J$151,$AB1097)),MONTH(INDEX(Contracts!$J$2:$J$151,$AB1097)),1),IF(INDEX(Contracts!$N$2:$N$151,$AB1097)="",12,INDEX(Contracts!$N$2:$N$151,$AB1097))-1),IF(INDEX(Contracts!$I$2:$I$151,$AB1097)="MONTHLY",IF(INDEX(Contracts!$K$2:$K$151,$AB1097)="",2958101,INDEX(Contracts!$K$2:$K$151,$AB1097)),0)),IF($Z1097="A",EDATE(DATE(YEAR(INDEX(Fixed_Assets!$G$2:$G$201,$AB1097)),MONTH(INDEX(Fixed_Assets!$G$2:$G$201,$AB1097)),1),INDEX(Fixed_Assets!$J$2:$J$201,$AB1097)-1),IF($Z1097="F",MIN(IF(INDEX(Workforce!$J$2:$J$151,MATCH(INDEX(FTE_Allocation!$A$2:$A$201,$AB1097),Workforce!$A$2:$A$151,0))="",2958101,INDEX(Workforce!$J$2:$J$151,MATCH(INDEX(FTE_Allocation!$A$2:$A$201,$AB1097),Workforce!$A$2:$A$151,0))),IF(INDEX(FTE_Allocation!$J$2:$J$201,$AB1097)="",2958101,INDEX(FTE_Allocation!$J$2:$J$201,$AB1097))),"")))</f>
        <v/>
      </c>
      <c r="AG1097" s="19">
        <f>IF($Z1097="C",IF(INDEX(Contracts!$I$2:$I$151,$AB1097)="PREPAID",INDEX(Contracts!$M$2:$M$151,$AB1097)/IF(INDEX(Contracts!$N$2:$N$151,$AB1097)="",12,INDEX(Contracts!$N$2:$N$151,$AB1097)),IF(INDEX(Contracts!$I$2:$I$151,$AB1097)="MONTHLY",INDEX(Contracts!$M$2:$M$151,$AB1097),0))*(1-N(INDEX(Contracts!$O$2:$O$151,$AB1097))),IF($Z1097="A",INDEX(Fixed_Assets!$H$2:$H$201,$AB1097)/INDEX(Fixed_Assets!$J$2:$J$201,$AB1097),IF($Z1097="F",INDEX(Workforce!$F$2:$F$151,MATCH(INDEX(FTE_Allocation!$A$2:$A$201,$AB1097),Workforce!$A$2:$A$151,0))*N(INDEX(FTE_Allocation!$F$2:$H$201,$AB1097,$AC1097)),"")))</f>
        <v/>
      </c>
    </row>
    <row r="1098">
      <c r="A1098" s="7">
        <f>IF($Z1098="","",$AD1098)</f>
        <v/>
      </c>
      <c r="B1098" s="7">
        <f>IF($Z1098="C",INDEX(Contracts!$D$2:$D$151,$AB1098)&amp;"",IF($Z1098="A",INDEX(Fixed_Assets!$C$2:$C$201,$AB1098)&amp;"",IF($Z1098="F",INDEX(Workforce!$B$2:$B$151,MATCH(INDEX(FTE_Allocation!$A$2:$A$201,$AB1098),Workforce!$A$2:$A$151,0))&amp;"","")))</f>
        <v/>
      </c>
      <c r="C1098" s="7">
        <f>IF($Z1098="C",INDEX(Contracts!$E$2:$E$151,$AB1098)&amp;"",IF($Z1098="A",INDEX(Fixed_Assets!$D$2:$D$201,$AB1098)&amp;"",IF($Z1098="F",INDEX(FTE_Allocation!$C$2:$C$201,$AB1098)&amp;"","")))</f>
        <v/>
      </c>
      <c r="D1098" s="7">
        <f>IF($Z1098="C",INDEX(Contracts!$B$2:$B$151,$AB1098)&amp;"",IF($Z1098="A",INDEX(Fixed_Assets!$B$2:$B$201,$AB1098)&amp;"",IF($Z1098="F",INDEX(FTE_Allocation!$B$2:$B$201,$AB1098)&amp;"","")))</f>
        <v/>
      </c>
      <c r="E1098" s="7">
        <f>IF($Z1098="C",INDEX(Contracts!$P$2:$P$151,$AB1098)&amp;"",IF($Z1098="A",INDEX(Fixed_Assets!$K$2:$K$201,$AB1098)&amp;"",IF($Z1098="F",IF(INDEX(FTE_Allocation!$D$2:$D$201,$AB1098)="PROJECT",IFERROR(INDEX(Projects!$D:$D,MATCH(INDEX(FTE_Allocation!$E$2:$E$201,$AB1098),Projects!$A:$A,0))&amp;"","#PROJECT?"),INDEX(FTE_Allocation!$E$2:$E$201,$AB1098)&amp;""),"")))</f>
        <v/>
      </c>
      <c r="F1098" s="7">
        <f>IF($Z1098="C",INDEX(Contracts!$Q$2:$Q$151,$AB1098)&amp;"",IF($Z1098="A",INDEX(Fixed_Assets!$L$2:$L$201,$AB1098)&amp;"",IF($Z1098="F",INDEX(Workforce!$K$2:$K$151,MATCH(INDEX(FTE_Allocation!$A$2:$A$201,$AB1098),Workforce!$A$2:$A$151,0))&amp;"","")))</f>
        <v/>
      </c>
      <c r="G1098" s="7">
        <f>IF($Z1098="C",INDEX(Contracts!$F$2:$F$151,$AB1098)&amp;" / "&amp;INDEX(Contracts!$G$2:$G$151,$AB1098),IF($Z1098="A",INDEX(Fixed_Assets!$E$2:$E$201,$AB1098)&amp;"",IF($Z1098="F","Personnel "&amp;INDEX(FTE_Allocation!$A$2:$A$201,$AB1098)&amp;IF(INDEX(FTE_Allocation!$D$2:$D$201,$AB1098)="PROJECT"," ("&amp;INDEX(FTE_Allocation!$E$2:$E$201,$AB1098)&amp;")",""),"")))</f>
        <v/>
      </c>
      <c r="H1098" s="7">
        <f>IF($Z1098="C","CONTRACT",IF($Z1098="A","ASSET",IF($Z1098="F","WORKFORCE","")))</f>
        <v/>
      </c>
      <c r="I1098" s="7">
        <f>IF($Z1098="C",INDEX(Contracts!$L$2:$L$151,$AB1098)&amp;"",IF($Z1098="A",INDEX(Fixed_Assets!$I$2:$I$201,$AB1098)&amp;"",IF($Z1098="F",INDEX(Workforce!$G$2:$G$151,MATCH(INDEX(FTE_Allocation!$A$2:$A$201,$AB1098),Workforce!$A$2:$A$151,0))&amp;"","")))</f>
        <v/>
      </c>
      <c r="J1098" s="18">
        <f>IF($Z1098="","",IF(AND(DATE($AD1098,1,1)&gt;=$AE1098,DATE($AD1098,1,1)&lt;=$AF1098),ROUND($AG1098,2),0))</f>
        <v/>
      </c>
      <c r="K1098" s="18">
        <f>IF($Z1098="","",IF(AND(DATE($AD1098,2,1)&gt;=$AE1098,DATE($AD1098,2,1)&lt;=$AF1098),ROUND($AG1098,2),0))</f>
        <v/>
      </c>
      <c r="L1098" s="18">
        <f>IF($Z1098="","",IF(AND(DATE($AD1098,3,1)&gt;=$AE1098,DATE($AD1098,3,1)&lt;=$AF1098),ROUND($AG1098,2),0))</f>
        <v/>
      </c>
      <c r="M1098" s="18">
        <f>IF($Z1098="","",IF(AND(DATE($AD1098,4,1)&gt;=$AE1098,DATE($AD1098,4,1)&lt;=$AF1098),ROUND($AG1098,2),0))</f>
        <v/>
      </c>
      <c r="N1098" s="18">
        <f>IF($Z1098="","",IF(AND(DATE($AD1098,5,1)&gt;=$AE1098,DATE($AD1098,5,1)&lt;=$AF1098),ROUND($AG1098,2),0))</f>
        <v/>
      </c>
      <c r="O1098" s="18">
        <f>IF($Z1098="","",IF(AND(DATE($AD1098,6,1)&gt;=$AE1098,DATE($AD1098,6,1)&lt;=$AF1098),ROUND($AG1098,2),0))</f>
        <v/>
      </c>
      <c r="P1098" s="18">
        <f>IF($Z1098="","",IF(AND(DATE($AD1098,7,1)&gt;=$AE1098,DATE($AD1098,7,1)&lt;=$AF1098),ROUND($AG1098,2),0))</f>
        <v/>
      </c>
      <c r="Q1098" s="18">
        <f>IF($Z1098="","",IF(AND(DATE($AD1098,8,1)&gt;=$AE1098,DATE($AD1098,8,1)&lt;=$AF1098),ROUND($AG1098,2),0))</f>
        <v/>
      </c>
      <c r="R1098" s="18">
        <f>IF($Z1098="","",IF(AND(DATE($AD1098,9,1)&gt;=$AE1098,DATE($AD1098,9,1)&lt;=$AF1098),ROUND($AG1098,2),0))</f>
        <v/>
      </c>
      <c r="S1098" s="18">
        <f>IF($Z1098="","",IF(AND(DATE($AD1098,10,1)&gt;=$AE1098,DATE($AD1098,10,1)&lt;=$AF1098),ROUND($AG1098,2),0))</f>
        <v/>
      </c>
      <c r="T1098" s="18">
        <f>IF($Z1098="","",IF(AND(DATE($AD1098,11,1)&gt;=$AE1098,DATE($AD1098,11,1)&lt;=$AF1098),ROUND($AG1098,2),0))</f>
        <v/>
      </c>
      <c r="U1098" s="18">
        <f>IF($Z1098="","",IF(AND(DATE($AD1098,12,1)&gt;=$AE1098,DATE($AD1098,12,1)&lt;=$AF1098),ROUND($AG1098,2),0))</f>
        <v/>
      </c>
      <c r="V1098" s="7">
        <f>IF($Z1098="C","Generated from "&amp;INDEX(Contracts!$A$2:$A$151,$AB1098),IF($Z1098="A","Generated from "&amp;INDEX(Fixed_Assets!$A$2:$A$201,$AB1098),IF($Z1098="F","Generated from "&amp;INDEX(FTE_Allocation!$A$2:$A$201,$AB1098),"")))</f>
        <v/>
      </c>
      <c r="X1098" s="19">
        <f>IF($Z1098="","",SUM(J1098:U1098))</f>
        <v/>
      </c>
      <c r="Y1098" s="20">
        <f>ROW()-1</f>
        <v/>
      </c>
      <c r="Z1098" s="20">
        <f>IF($Y1098&lt;=Settings!$B$4*3,"C",IF($Y1098&lt;=(Settings!$B$4+Settings!$B$5)*3,"A",IF($Y1098&lt;=(Settings!$B$4+Settings!$B$5+Settings!$B$6)*3,"F","")))</f>
        <v/>
      </c>
      <c r="AA1098" s="20">
        <f>IF($Z1098="C",$Y1098,IF($Z1098="A",$Y1098-Settings!$B$4*3,IF($Z1098="F",$Y1098-(Settings!$B$4+Settings!$B$5)*3,"")))</f>
        <v/>
      </c>
      <c r="AB1098" s="20">
        <f>IF($Z1098="","",INT(($AA1098-1)/3)+1)</f>
        <v/>
      </c>
      <c r="AC1098" s="20">
        <f>IF($Z1098="","",MOD($AA1098-1,3)+1)</f>
        <v/>
      </c>
      <c r="AD1098" s="20">
        <f>IF($Z1098="","",Settings!$B$2+$AC1098-1)</f>
        <v/>
      </c>
      <c r="AE1098" s="21">
        <f>IF($Z1098="C",DATE(YEAR(INDEX(Contracts!$J$2:$J$151,$AB1098)),MONTH(INDEX(Contracts!$J$2:$J$151,$AB1098)),1),IF($Z1098="A",DATE(YEAR(INDEX(Fixed_Assets!$G$2:$G$201,$AB1098)),MONTH(INDEX(Fixed_Assets!$G$2:$G$201,$AB1098)),1),IF($Z1098="F",DATE(YEAR(MAX(N(INDEX(Workforce!$I$2:$I$151,MATCH(INDEX(FTE_Allocation!$A$2:$A$201,$AB1098),Workforce!$A$2:$A$151,0))),N(INDEX(FTE_Allocation!$I$2:$I$201,$AB1098)))),MONTH(MAX(N(INDEX(Workforce!$I$2:$I$151,MATCH(INDEX(FTE_Allocation!$A$2:$A$201,$AB1098),Workforce!$A$2:$A$151,0))),N(INDEX(FTE_Allocation!$I$2:$I$201,$AB1098)))),1),"")))</f>
        <v/>
      </c>
      <c r="AF1098" s="21">
        <f>IF($Z1098="C",IF(INDEX(Contracts!$I$2:$I$151,$AB1098)="PREPAID",EDATE(DATE(YEAR(INDEX(Contracts!$J$2:$J$151,$AB1098)),MONTH(INDEX(Contracts!$J$2:$J$151,$AB1098)),1),IF(INDEX(Contracts!$N$2:$N$151,$AB1098)="",12,INDEX(Contracts!$N$2:$N$151,$AB1098))-1),IF(INDEX(Contracts!$I$2:$I$151,$AB1098)="MONTHLY",IF(INDEX(Contracts!$K$2:$K$151,$AB1098)="",2958101,INDEX(Contracts!$K$2:$K$151,$AB1098)),0)),IF($Z1098="A",EDATE(DATE(YEAR(INDEX(Fixed_Assets!$G$2:$G$201,$AB1098)),MONTH(INDEX(Fixed_Assets!$G$2:$G$201,$AB1098)),1),INDEX(Fixed_Assets!$J$2:$J$201,$AB1098)-1),IF($Z1098="F",MIN(IF(INDEX(Workforce!$J$2:$J$151,MATCH(INDEX(FTE_Allocation!$A$2:$A$201,$AB1098),Workforce!$A$2:$A$151,0))="",2958101,INDEX(Workforce!$J$2:$J$151,MATCH(INDEX(FTE_Allocation!$A$2:$A$201,$AB1098),Workforce!$A$2:$A$151,0))),IF(INDEX(FTE_Allocation!$J$2:$J$201,$AB1098)="",2958101,INDEX(FTE_Allocation!$J$2:$J$201,$AB1098))),"")))</f>
        <v/>
      </c>
      <c r="AG1098" s="19">
        <f>IF($Z1098="C",IF(INDEX(Contracts!$I$2:$I$151,$AB1098)="PREPAID",INDEX(Contracts!$M$2:$M$151,$AB1098)/IF(INDEX(Contracts!$N$2:$N$151,$AB1098)="",12,INDEX(Contracts!$N$2:$N$151,$AB1098)),IF(INDEX(Contracts!$I$2:$I$151,$AB1098)="MONTHLY",INDEX(Contracts!$M$2:$M$151,$AB1098),0))*(1-N(INDEX(Contracts!$O$2:$O$151,$AB1098))),IF($Z1098="A",INDEX(Fixed_Assets!$H$2:$H$201,$AB1098)/INDEX(Fixed_Assets!$J$2:$J$201,$AB1098),IF($Z1098="F",INDEX(Workforce!$F$2:$F$151,MATCH(INDEX(FTE_Allocation!$A$2:$A$201,$AB1098),Workforce!$A$2:$A$151,0))*N(INDEX(FTE_Allocation!$F$2:$H$201,$AB1098,$AC1098)),"")))</f>
        <v/>
      </c>
    </row>
    <row r="1099">
      <c r="A1099" s="7">
        <f>IF($Z1099="","",$AD1099)</f>
        <v/>
      </c>
      <c r="B1099" s="7">
        <f>IF($Z1099="C",INDEX(Contracts!$D$2:$D$151,$AB1099)&amp;"",IF($Z1099="A",INDEX(Fixed_Assets!$C$2:$C$201,$AB1099)&amp;"",IF($Z1099="F",INDEX(Workforce!$B$2:$B$151,MATCH(INDEX(FTE_Allocation!$A$2:$A$201,$AB1099),Workforce!$A$2:$A$151,0))&amp;"","")))</f>
        <v/>
      </c>
      <c r="C1099" s="7">
        <f>IF($Z1099="C",INDEX(Contracts!$E$2:$E$151,$AB1099)&amp;"",IF($Z1099="A",INDEX(Fixed_Assets!$D$2:$D$201,$AB1099)&amp;"",IF($Z1099="F",INDEX(FTE_Allocation!$C$2:$C$201,$AB1099)&amp;"","")))</f>
        <v/>
      </c>
      <c r="D1099" s="7">
        <f>IF($Z1099="C",INDEX(Contracts!$B$2:$B$151,$AB1099)&amp;"",IF($Z1099="A",INDEX(Fixed_Assets!$B$2:$B$201,$AB1099)&amp;"",IF($Z1099="F",INDEX(FTE_Allocation!$B$2:$B$201,$AB1099)&amp;"","")))</f>
        <v/>
      </c>
      <c r="E1099" s="7">
        <f>IF($Z1099="C",INDEX(Contracts!$P$2:$P$151,$AB1099)&amp;"",IF($Z1099="A",INDEX(Fixed_Assets!$K$2:$K$201,$AB1099)&amp;"",IF($Z1099="F",IF(INDEX(FTE_Allocation!$D$2:$D$201,$AB1099)="PROJECT",IFERROR(INDEX(Projects!$D:$D,MATCH(INDEX(FTE_Allocation!$E$2:$E$201,$AB1099),Projects!$A:$A,0))&amp;"","#PROJECT?"),INDEX(FTE_Allocation!$E$2:$E$201,$AB1099)&amp;""),"")))</f>
        <v/>
      </c>
      <c r="F1099" s="7">
        <f>IF($Z1099="C",INDEX(Contracts!$Q$2:$Q$151,$AB1099)&amp;"",IF($Z1099="A",INDEX(Fixed_Assets!$L$2:$L$201,$AB1099)&amp;"",IF($Z1099="F",INDEX(Workforce!$K$2:$K$151,MATCH(INDEX(FTE_Allocation!$A$2:$A$201,$AB1099),Workforce!$A$2:$A$151,0))&amp;"","")))</f>
        <v/>
      </c>
      <c r="G1099" s="7">
        <f>IF($Z1099="C",INDEX(Contracts!$F$2:$F$151,$AB1099)&amp;" / "&amp;INDEX(Contracts!$G$2:$G$151,$AB1099),IF($Z1099="A",INDEX(Fixed_Assets!$E$2:$E$201,$AB1099)&amp;"",IF($Z1099="F","Personnel "&amp;INDEX(FTE_Allocation!$A$2:$A$201,$AB1099)&amp;IF(INDEX(FTE_Allocation!$D$2:$D$201,$AB1099)="PROJECT"," ("&amp;INDEX(FTE_Allocation!$E$2:$E$201,$AB1099)&amp;")",""),"")))</f>
        <v/>
      </c>
      <c r="H1099" s="7">
        <f>IF($Z1099="C","CONTRACT",IF($Z1099="A","ASSET",IF($Z1099="F","WORKFORCE","")))</f>
        <v/>
      </c>
      <c r="I1099" s="7">
        <f>IF($Z1099="C",INDEX(Contracts!$L$2:$L$151,$AB1099)&amp;"",IF($Z1099="A",INDEX(Fixed_Assets!$I$2:$I$201,$AB1099)&amp;"",IF($Z1099="F",INDEX(Workforce!$G$2:$G$151,MATCH(INDEX(FTE_Allocation!$A$2:$A$201,$AB1099),Workforce!$A$2:$A$151,0))&amp;"","")))</f>
        <v/>
      </c>
      <c r="J1099" s="18">
        <f>IF($Z1099="","",IF(AND(DATE($AD1099,1,1)&gt;=$AE1099,DATE($AD1099,1,1)&lt;=$AF1099),ROUND($AG1099,2),0))</f>
        <v/>
      </c>
      <c r="K1099" s="18">
        <f>IF($Z1099="","",IF(AND(DATE($AD1099,2,1)&gt;=$AE1099,DATE($AD1099,2,1)&lt;=$AF1099),ROUND($AG1099,2),0))</f>
        <v/>
      </c>
      <c r="L1099" s="18">
        <f>IF($Z1099="","",IF(AND(DATE($AD1099,3,1)&gt;=$AE1099,DATE($AD1099,3,1)&lt;=$AF1099),ROUND($AG1099,2),0))</f>
        <v/>
      </c>
      <c r="M1099" s="18">
        <f>IF($Z1099="","",IF(AND(DATE($AD1099,4,1)&gt;=$AE1099,DATE($AD1099,4,1)&lt;=$AF1099),ROUND($AG1099,2),0))</f>
        <v/>
      </c>
      <c r="N1099" s="18">
        <f>IF($Z1099="","",IF(AND(DATE($AD1099,5,1)&gt;=$AE1099,DATE($AD1099,5,1)&lt;=$AF1099),ROUND($AG1099,2),0))</f>
        <v/>
      </c>
      <c r="O1099" s="18">
        <f>IF($Z1099="","",IF(AND(DATE($AD1099,6,1)&gt;=$AE1099,DATE($AD1099,6,1)&lt;=$AF1099),ROUND($AG1099,2),0))</f>
        <v/>
      </c>
      <c r="P1099" s="18">
        <f>IF($Z1099="","",IF(AND(DATE($AD1099,7,1)&gt;=$AE1099,DATE($AD1099,7,1)&lt;=$AF1099),ROUND($AG1099,2),0))</f>
        <v/>
      </c>
      <c r="Q1099" s="18">
        <f>IF($Z1099="","",IF(AND(DATE($AD1099,8,1)&gt;=$AE1099,DATE($AD1099,8,1)&lt;=$AF1099),ROUND($AG1099,2),0))</f>
        <v/>
      </c>
      <c r="R1099" s="18">
        <f>IF($Z1099="","",IF(AND(DATE($AD1099,9,1)&gt;=$AE1099,DATE($AD1099,9,1)&lt;=$AF1099),ROUND($AG1099,2),0))</f>
        <v/>
      </c>
      <c r="S1099" s="18">
        <f>IF($Z1099="","",IF(AND(DATE($AD1099,10,1)&gt;=$AE1099,DATE($AD1099,10,1)&lt;=$AF1099),ROUND($AG1099,2),0))</f>
        <v/>
      </c>
      <c r="T1099" s="18">
        <f>IF($Z1099="","",IF(AND(DATE($AD1099,11,1)&gt;=$AE1099,DATE($AD1099,11,1)&lt;=$AF1099),ROUND($AG1099,2),0))</f>
        <v/>
      </c>
      <c r="U1099" s="18">
        <f>IF($Z1099="","",IF(AND(DATE($AD1099,12,1)&gt;=$AE1099,DATE($AD1099,12,1)&lt;=$AF1099),ROUND($AG1099,2),0))</f>
        <v/>
      </c>
      <c r="V1099" s="7">
        <f>IF($Z1099="C","Generated from "&amp;INDEX(Contracts!$A$2:$A$151,$AB1099),IF($Z1099="A","Generated from "&amp;INDEX(Fixed_Assets!$A$2:$A$201,$AB1099),IF($Z1099="F","Generated from "&amp;INDEX(FTE_Allocation!$A$2:$A$201,$AB1099),"")))</f>
        <v/>
      </c>
      <c r="X1099" s="19">
        <f>IF($Z1099="","",SUM(J1099:U1099))</f>
        <v/>
      </c>
      <c r="Y1099" s="20">
        <f>ROW()-1</f>
        <v/>
      </c>
      <c r="Z1099" s="20">
        <f>IF($Y1099&lt;=Settings!$B$4*3,"C",IF($Y1099&lt;=(Settings!$B$4+Settings!$B$5)*3,"A",IF($Y1099&lt;=(Settings!$B$4+Settings!$B$5+Settings!$B$6)*3,"F","")))</f>
        <v/>
      </c>
      <c r="AA1099" s="20">
        <f>IF($Z1099="C",$Y1099,IF($Z1099="A",$Y1099-Settings!$B$4*3,IF($Z1099="F",$Y1099-(Settings!$B$4+Settings!$B$5)*3,"")))</f>
        <v/>
      </c>
      <c r="AB1099" s="20">
        <f>IF($Z1099="","",INT(($AA1099-1)/3)+1)</f>
        <v/>
      </c>
      <c r="AC1099" s="20">
        <f>IF($Z1099="","",MOD($AA1099-1,3)+1)</f>
        <v/>
      </c>
      <c r="AD1099" s="20">
        <f>IF($Z1099="","",Settings!$B$2+$AC1099-1)</f>
        <v/>
      </c>
      <c r="AE1099" s="21">
        <f>IF($Z1099="C",DATE(YEAR(INDEX(Contracts!$J$2:$J$151,$AB1099)),MONTH(INDEX(Contracts!$J$2:$J$151,$AB1099)),1),IF($Z1099="A",DATE(YEAR(INDEX(Fixed_Assets!$G$2:$G$201,$AB1099)),MONTH(INDEX(Fixed_Assets!$G$2:$G$201,$AB1099)),1),IF($Z1099="F",DATE(YEAR(MAX(N(INDEX(Workforce!$I$2:$I$151,MATCH(INDEX(FTE_Allocation!$A$2:$A$201,$AB1099),Workforce!$A$2:$A$151,0))),N(INDEX(FTE_Allocation!$I$2:$I$201,$AB1099)))),MONTH(MAX(N(INDEX(Workforce!$I$2:$I$151,MATCH(INDEX(FTE_Allocation!$A$2:$A$201,$AB1099),Workforce!$A$2:$A$151,0))),N(INDEX(FTE_Allocation!$I$2:$I$201,$AB1099)))),1),"")))</f>
        <v/>
      </c>
      <c r="AF1099" s="21">
        <f>IF($Z1099="C",IF(INDEX(Contracts!$I$2:$I$151,$AB1099)="PREPAID",EDATE(DATE(YEAR(INDEX(Contracts!$J$2:$J$151,$AB1099)),MONTH(INDEX(Contracts!$J$2:$J$151,$AB1099)),1),IF(INDEX(Contracts!$N$2:$N$151,$AB1099)="",12,INDEX(Contracts!$N$2:$N$151,$AB1099))-1),IF(INDEX(Contracts!$I$2:$I$151,$AB1099)="MONTHLY",IF(INDEX(Contracts!$K$2:$K$151,$AB1099)="",2958101,INDEX(Contracts!$K$2:$K$151,$AB1099)),0)),IF($Z1099="A",EDATE(DATE(YEAR(INDEX(Fixed_Assets!$G$2:$G$201,$AB1099)),MONTH(INDEX(Fixed_Assets!$G$2:$G$201,$AB1099)),1),INDEX(Fixed_Assets!$J$2:$J$201,$AB1099)-1),IF($Z1099="F",MIN(IF(INDEX(Workforce!$J$2:$J$151,MATCH(INDEX(FTE_Allocation!$A$2:$A$201,$AB1099),Workforce!$A$2:$A$151,0))="",2958101,INDEX(Workforce!$J$2:$J$151,MATCH(INDEX(FTE_Allocation!$A$2:$A$201,$AB1099),Workforce!$A$2:$A$151,0))),IF(INDEX(FTE_Allocation!$J$2:$J$201,$AB1099)="",2958101,INDEX(FTE_Allocation!$J$2:$J$201,$AB1099))),"")))</f>
        <v/>
      </c>
      <c r="AG1099" s="19">
        <f>IF($Z1099="C",IF(INDEX(Contracts!$I$2:$I$151,$AB1099)="PREPAID",INDEX(Contracts!$M$2:$M$151,$AB1099)/IF(INDEX(Contracts!$N$2:$N$151,$AB1099)="",12,INDEX(Contracts!$N$2:$N$151,$AB1099)),IF(INDEX(Contracts!$I$2:$I$151,$AB1099)="MONTHLY",INDEX(Contracts!$M$2:$M$151,$AB1099),0))*(1-N(INDEX(Contracts!$O$2:$O$151,$AB1099))),IF($Z1099="A",INDEX(Fixed_Assets!$H$2:$H$201,$AB1099)/INDEX(Fixed_Assets!$J$2:$J$201,$AB1099),IF($Z1099="F",INDEX(Workforce!$F$2:$F$151,MATCH(INDEX(FTE_Allocation!$A$2:$A$201,$AB1099),Workforce!$A$2:$A$151,0))*N(INDEX(FTE_Allocation!$F$2:$H$201,$AB1099,$AC1099)),"")))</f>
        <v/>
      </c>
    </row>
    <row r="1100">
      <c r="A1100" s="7">
        <f>IF($Z1100="","",$AD1100)</f>
        <v/>
      </c>
      <c r="B1100" s="7">
        <f>IF($Z1100="C",INDEX(Contracts!$D$2:$D$151,$AB1100)&amp;"",IF($Z1100="A",INDEX(Fixed_Assets!$C$2:$C$201,$AB1100)&amp;"",IF($Z1100="F",INDEX(Workforce!$B$2:$B$151,MATCH(INDEX(FTE_Allocation!$A$2:$A$201,$AB1100),Workforce!$A$2:$A$151,0))&amp;"","")))</f>
        <v/>
      </c>
      <c r="C1100" s="7">
        <f>IF($Z1100="C",INDEX(Contracts!$E$2:$E$151,$AB1100)&amp;"",IF($Z1100="A",INDEX(Fixed_Assets!$D$2:$D$201,$AB1100)&amp;"",IF($Z1100="F",INDEX(FTE_Allocation!$C$2:$C$201,$AB1100)&amp;"","")))</f>
        <v/>
      </c>
      <c r="D1100" s="7">
        <f>IF($Z1100="C",INDEX(Contracts!$B$2:$B$151,$AB1100)&amp;"",IF($Z1100="A",INDEX(Fixed_Assets!$B$2:$B$201,$AB1100)&amp;"",IF($Z1100="F",INDEX(FTE_Allocation!$B$2:$B$201,$AB1100)&amp;"","")))</f>
        <v/>
      </c>
      <c r="E1100" s="7">
        <f>IF($Z1100="C",INDEX(Contracts!$P$2:$P$151,$AB1100)&amp;"",IF($Z1100="A",INDEX(Fixed_Assets!$K$2:$K$201,$AB1100)&amp;"",IF($Z1100="F",IF(INDEX(FTE_Allocation!$D$2:$D$201,$AB1100)="PROJECT",IFERROR(INDEX(Projects!$D:$D,MATCH(INDEX(FTE_Allocation!$E$2:$E$201,$AB1100),Projects!$A:$A,0))&amp;"","#PROJECT?"),INDEX(FTE_Allocation!$E$2:$E$201,$AB1100)&amp;""),"")))</f>
        <v/>
      </c>
      <c r="F1100" s="7">
        <f>IF($Z1100="C",INDEX(Contracts!$Q$2:$Q$151,$AB1100)&amp;"",IF($Z1100="A",INDEX(Fixed_Assets!$L$2:$L$201,$AB1100)&amp;"",IF($Z1100="F",INDEX(Workforce!$K$2:$K$151,MATCH(INDEX(FTE_Allocation!$A$2:$A$201,$AB1100),Workforce!$A$2:$A$151,0))&amp;"","")))</f>
        <v/>
      </c>
      <c r="G1100" s="7">
        <f>IF($Z1100="C",INDEX(Contracts!$F$2:$F$151,$AB1100)&amp;" / "&amp;INDEX(Contracts!$G$2:$G$151,$AB1100),IF($Z1100="A",INDEX(Fixed_Assets!$E$2:$E$201,$AB1100)&amp;"",IF($Z1100="F","Personnel "&amp;INDEX(FTE_Allocation!$A$2:$A$201,$AB1100)&amp;IF(INDEX(FTE_Allocation!$D$2:$D$201,$AB1100)="PROJECT"," ("&amp;INDEX(FTE_Allocation!$E$2:$E$201,$AB1100)&amp;")",""),"")))</f>
        <v/>
      </c>
      <c r="H1100" s="7">
        <f>IF($Z1100="C","CONTRACT",IF($Z1100="A","ASSET",IF($Z1100="F","WORKFORCE","")))</f>
        <v/>
      </c>
      <c r="I1100" s="7">
        <f>IF($Z1100="C",INDEX(Contracts!$L$2:$L$151,$AB1100)&amp;"",IF($Z1100="A",INDEX(Fixed_Assets!$I$2:$I$201,$AB1100)&amp;"",IF($Z1100="F",INDEX(Workforce!$G$2:$G$151,MATCH(INDEX(FTE_Allocation!$A$2:$A$201,$AB1100),Workforce!$A$2:$A$151,0))&amp;"","")))</f>
        <v/>
      </c>
      <c r="J1100" s="18">
        <f>IF($Z1100="","",IF(AND(DATE($AD1100,1,1)&gt;=$AE1100,DATE($AD1100,1,1)&lt;=$AF1100),ROUND($AG1100,2),0))</f>
        <v/>
      </c>
      <c r="K1100" s="18">
        <f>IF($Z1100="","",IF(AND(DATE($AD1100,2,1)&gt;=$AE1100,DATE($AD1100,2,1)&lt;=$AF1100),ROUND($AG1100,2),0))</f>
        <v/>
      </c>
      <c r="L1100" s="18">
        <f>IF($Z1100="","",IF(AND(DATE($AD1100,3,1)&gt;=$AE1100,DATE($AD1100,3,1)&lt;=$AF1100),ROUND($AG1100,2),0))</f>
        <v/>
      </c>
      <c r="M1100" s="18">
        <f>IF($Z1100="","",IF(AND(DATE($AD1100,4,1)&gt;=$AE1100,DATE($AD1100,4,1)&lt;=$AF1100),ROUND($AG1100,2),0))</f>
        <v/>
      </c>
      <c r="N1100" s="18">
        <f>IF($Z1100="","",IF(AND(DATE($AD1100,5,1)&gt;=$AE1100,DATE($AD1100,5,1)&lt;=$AF1100),ROUND($AG1100,2),0))</f>
        <v/>
      </c>
      <c r="O1100" s="18">
        <f>IF($Z1100="","",IF(AND(DATE($AD1100,6,1)&gt;=$AE1100,DATE($AD1100,6,1)&lt;=$AF1100),ROUND($AG1100,2),0))</f>
        <v/>
      </c>
      <c r="P1100" s="18">
        <f>IF($Z1100="","",IF(AND(DATE($AD1100,7,1)&gt;=$AE1100,DATE($AD1100,7,1)&lt;=$AF1100),ROUND($AG1100,2),0))</f>
        <v/>
      </c>
      <c r="Q1100" s="18">
        <f>IF($Z1100="","",IF(AND(DATE($AD1100,8,1)&gt;=$AE1100,DATE($AD1100,8,1)&lt;=$AF1100),ROUND($AG1100,2),0))</f>
        <v/>
      </c>
      <c r="R1100" s="18">
        <f>IF($Z1100="","",IF(AND(DATE($AD1100,9,1)&gt;=$AE1100,DATE($AD1100,9,1)&lt;=$AF1100),ROUND($AG1100,2),0))</f>
        <v/>
      </c>
      <c r="S1100" s="18">
        <f>IF($Z1100="","",IF(AND(DATE($AD1100,10,1)&gt;=$AE1100,DATE($AD1100,10,1)&lt;=$AF1100),ROUND($AG1100,2),0))</f>
        <v/>
      </c>
      <c r="T1100" s="18">
        <f>IF($Z1100="","",IF(AND(DATE($AD1100,11,1)&gt;=$AE1100,DATE($AD1100,11,1)&lt;=$AF1100),ROUND($AG1100,2),0))</f>
        <v/>
      </c>
      <c r="U1100" s="18">
        <f>IF($Z1100="","",IF(AND(DATE($AD1100,12,1)&gt;=$AE1100,DATE($AD1100,12,1)&lt;=$AF1100),ROUND($AG1100,2),0))</f>
        <v/>
      </c>
      <c r="V1100" s="7">
        <f>IF($Z1100="C","Generated from "&amp;INDEX(Contracts!$A$2:$A$151,$AB1100),IF($Z1100="A","Generated from "&amp;INDEX(Fixed_Assets!$A$2:$A$201,$AB1100),IF($Z1100="F","Generated from "&amp;INDEX(FTE_Allocation!$A$2:$A$201,$AB1100),"")))</f>
        <v/>
      </c>
      <c r="X1100" s="19">
        <f>IF($Z1100="","",SUM(J1100:U1100))</f>
        <v/>
      </c>
      <c r="Y1100" s="20">
        <f>ROW()-1</f>
        <v/>
      </c>
      <c r="Z1100" s="20">
        <f>IF($Y1100&lt;=Settings!$B$4*3,"C",IF($Y1100&lt;=(Settings!$B$4+Settings!$B$5)*3,"A",IF($Y1100&lt;=(Settings!$B$4+Settings!$B$5+Settings!$B$6)*3,"F","")))</f>
        <v/>
      </c>
      <c r="AA1100" s="20">
        <f>IF($Z1100="C",$Y1100,IF($Z1100="A",$Y1100-Settings!$B$4*3,IF($Z1100="F",$Y1100-(Settings!$B$4+Settings!$B$5)*3,"")))</f>
        <v/>
      </c>
      <c r="AB1100" s="20">
        <f>IF($Z1100="","",INT(($AA1100-1)/3)+1)</f>
        <v/>
      </c>
      <c r="AC1100" s="20">
        <f>IF($Z1100="","",MOD($AA1100-1,3)+1)</f>
        <v/>
      </c>
      <c r="AD1100" s="20">
        <f>IF($Z1100="","",Settings!$B$2+$AC1100-1)</f>
        <v/>
      </c>
      <c r="AE1100" s="21">
        <f>IF($Z1100="C",DATE(YEAR(INDEX(Contracts!$J$2:$J$151,$AB1100)),MONTH(INDEX(Contracts!$J$2:$J$151,$AB1100)),1),IF($Z1100="A",DATE(YEAR(INDEX(Fixed_Assets!$G$2:$G$201,$AB1100)),MONTH(INDEX(Fixed_Assets!$G$2:$G$201,$AB1100)),1),IF($Z1100="F",DATE(YEAR(MAX(N(INDEX(Workforce!$I$2:$I$151,MATCH(INDEX(FTE_Allocation!$A$2:$A$201,$AB1100),Workforce!$A$2:$A$151,0))),N(INDEX(FTE_Allocation!$I$2:$I$201,$AB1100)))),MONTH(MAX(N(INDEX(Workforce!$I$2:$I$151,MATCH(INDEX(FTE_Allocation!$A$2:$A$201,$AB1100),Workforce!$A$2:$A$151,0))),N(INDEX(FTE_Allocation!$I$2:$I$201,$AB1100)))),1),"")))</f>
        <v/>
      </c>
      <c r="AF1100" s="21">
        <f>IF($Z1100="C",IF(INDEX(Contracts!$I$2:$I$151,$AB1100)="PREPAID",EDATE(DATE(YEAR(INDEX(Contracts!$J$2:$J$151,$AB1100)),MONTH(INDEX(Contracts!$J$2:$J$151,$AB1100)),1),IF(INDEX(Contracts!$N$2:$N$151,$AB1100)="",12,INDEX(Contracts!$N$2:$N$151,$AB1100))-1),IF(INDEX(Contracts!$I$2:$I$151,$AB1100)="MONTHLY",IF(INDEX(Contracts!$K$2:$K$151,$AB1100)="",2958101,INDEX(Contracts!$K$2:$K$151,$AB1100)),0)),IF($Z1100="A",EDATE(DATE(YEAR(INDEX(Fixed_Assets!$G$2:$G$201,$AB1100)),MONTH(INDEX(Fixed_Assets!$G$2:$G$201,$AB1100)),1),INDEX(Fixed_Assets!$J$2:$J$201,$AB1100)-1),IF($Z1100="F",MIN(IF(INDEX(Workforce!$J$2:$J$151,MATCH(INDEX(FTE_Allocation!$A$2:$A$201,$AB1100),Workforce!$A$2:$A$151,0))="",2958101,INDEX(Workforce!$J$2:$J$151,MATCH(INDEX(FTE_Allocation!$A$2:$A$201,$AB1100),Workforce!$A$2:$A$151,0))),IF(INDEX(FTE_Allocation!$J$2:$J$201,$AB1100)="",2958101,INDEX(FTE_Allocation!$J$2:$J$201,$AB1100))),"")))</f>
        <v/>
      </c>
      <c r="AG1100" s="19">
        <f>IF($Z1100="C",IF(INDEX(Contracts!$I$2:$I$151,$AB1100)="PREPAID",INDEX(Contracts!$M$2:$M$151,$AB1100)/IF(INDEX(Contracts!$N$2:$N$151,$AB1100)="",12,INDEX(Contracts!$N$2:$N$151,$AB1100)),IF(INDEX(Contracts!$I$2:$I$151,$AB1100)="MONTHLY",INDEX(Contracts!$M$2:$M$151,$AB1100),0))*(1-N(INDEX(Contracts!$O$2:$O$151,$AB1100))),IF($Z1100="A",INDEX(Fixed_Assets!$H$2:$H$201,$AB1100)/INDEX(Fixed_Assets!$J$2:$J$201,$AB1100),IF($Z1100="F",INDEX(Workforce!$F$2:$F$151,MATCH(INDEX(FTE_Allocation!$A$2:$A$201,$AB1100),Workforce!$A$2:$A$151,0))*N(INDEX(FTE_Allocation!$F$2:$H$201,$AB1100,$AC1100)),"")))</f>
        <v/>
      </c>
    </row>
    <row r="1101">
      <c r="A1101" s="7">
        <f>IF($Z1101="","",$AD1101)</f>
        <v/>
      </c>
      <c r="B1101" s="7">
        <f>IF($Z1101="C",INDEX(Contracts!$D$2:$D$151,$AB1101)&amp;"",IF($Z1101="A",INDEX(Fixed_Assets!$C$2:$C$201,$AB1101)&amp;"",IF($Z1101="F",INDEX(Workforce!$B$2:$B$151,MATCH(INDEX(FTE_Allocation!$A$2:$A$201,$AB1101),Workforce!$A$2:$A$151,0))&amp;"","")))</f>
        <v/>
      </c>
      <c r="C1101" s="7">
        <f>IF($Z1101="C",INDEX(Contracts!$E$2:$E$151,$AB1101)&amp;"",IF($Z1101="A",INDEX(Fixed_Assets!$D$2:$D$201,$AB1101)&amp;"",IF($Z1101="F",INDEX(FTE_Allocation!$C$2:$C$201,$AB1101)&amp;"","")))</f>
        <v/>
      </c>
      <c r="D1101" s="7">
        <f>IF($Z1101="C",INDEX(Contracts!$B$2:$B$151,$AB1101)&amp;"",IF($Z1101="A",INDEX(Fixed_Assets!$B$2:$B$201,$AB1101)&amp;"",IF($Z1101="F",INDEX(FTE_Allocation!$B$2:$B$201,$AB1101)&amp;"","")))</f>
        <v/>
      </c>
      <c r="E1101" s="7">
        <f>IF($Z1101="C",INDEX(Contracts!$P$2:$P$151,$AB1101)&amp;"",IF($Z1101="A",INDEX(Fixed_Assets!$K$2:$K$201,$AB1101)&amp;"",IF($Z1101="F",IF(INDEX(FTE_Allocation!$D$2:$D$201,$AB1101)="PROJECT",IFERROR(INDEX(Projects!$D:$D,MATCH(INDEX(FTE_Allocation!$E$2:$E$201,$AB1101),Projects!$A:$A,0))&amp;"","#PROJECT?"),INDEX(FTE_Allocation!$E$2:$E$201,$AB1101)&amp;""),"")))</f>
        <v/>
      </c>
      <c r="F1101" s="7">
        <f>IF($Z1101="C",INDEX(Contracts!$Q$2:$Q$151,$AB1101)&amp;"",IF($Z1101="A",INDEX(Fixed_Assets!$L$2:$L$201,$AB1101)&amp;"",IF($Z1101="F",INDEX(Workforce!$K$2:$K$151,MATCH(INDEX(FTE_Allocation!$A$2:$A$201,$AB1101),Workforce!$A$2:$A$151,0))&amp;"","")))</f>
        <v/>
      </c>
      <c r="G1101" s="7">
        <f>IF($Z1101="C",INDEX(Contracts!$F$2:$F$151,$AB1101)&amp;" / "&amp;INDEX(Contracts!$G$2:$G$151,$AB1101),IF($Z1101="A",INDEX(Fixed_Assets!$E$2:$E$201,$AB1101)&amp;"",IF($Z1101="F","Personnel "&amp;INDEX(FTE_Allocation!$A$2:$A$201,$AB1101)&amp;IF(INDEX(FTE_Allocation!$D$2:$D$201,$AB1101)="PROJECT"," ("&amp;INDEX(FTE_Allocation!$E$2:$E$201,$AB1101)&amp;")",""),"")))</f>
        <v/>
      </c>
      <c r="H1101" s="7">
        <f>IF($Z1101="C","CONTRACT",IF($Z1101="A","ASSET",IF($Z1101="F","WORKFORCE","")))</f>
        <v/>
      </c>
      <c r="I1101" s="7">
        <f>IF($Z1101="C",INDEX(Contracts!$L$2:$L$151,$AB1101)&amp;"",IF($Z1101="A",INDEX(Fixed_Assets!$I$2:$I$201,$AB1101)&amp;"",IF($Z1101="F",INDEX(Workforce!$G$2:$G$151,MATCH(INDEX(FTE_Allocation!$A$2:$A$201,$AB1101),Workforce!$A$2:$A$151,0))&amp;"","")))</f>
        <v/>
      </c>
      <c r="J1101" s="18">
        <f>IF($Z1101="","",IF(AND(DATE($AD1101,1,1)&gt;=$AE1101,DATE($AD1101,1,1)&lt;=$AF1101),ROUND($AG1101,2),0))</f>
        <v/>
      </c>
      <c r="K1101" s="18">
        <f>IF($Z1101="","",IF(AND(DATE($AD1101,2,1)&gt;=$AE1101,DATE($AD1101,2,1)&lt;=$AF1101),ROUND($AG1101,2),0))</f>
        <v/>
      </c>
      <c r="L1101" s="18">
        <f>IF($Z1101="","",IF(AND(DATE($AD1101,3,1)&gt;=$AE1101,DATE($AD1101,3,1)&lt;=$AF1101),ROUND($AG1101,2),0))</f>
        <v/>
      </c>
      <c r="M1101" s="18">
        <f>IF($Z1101="","",IF(AND(DATE($AD1101,4,1)&gt;=$AE1101,DATE($AD1101,4,1)&lt;=$AF1101),ROUND($AG1101,2),0))</f>
        <v/>
      </c>
      <c r="N1101" s="18">
        <f>IF($Z1101="","",IF(AND(DATE($AD1101,5,1)&gt;=$AE1101,DATE($AD1101,5,1)&lt;=$AF1101),ROUND($AG1101,2),0))</f>
        <v/>
      </c>
      <c r="O1101" s="18">
        <f>IF($Z1101="","",IF(AND(DATE($AD1101,6,1)&gt;=$AE1101,DATE($AD1101,6,1)&lt;=$AF1101),ROUND($AG1101,2),0))</f>
        <v/>
      </c>
      <c r="P1101" s="18">
        <f>IF($Z1101="","",IF(AND(DATE($AD1101,7,1)&gt;=$AE1101,DATE($AD1101,7,1)&lt;=$AF1101),ROUND($AG1101,2),0))</f>
        <v/>
      </c>
      <c r="Q1101" s="18">
        <f>IF($Z1101="","",IF(AND(DATE($AD1101,8,1)&gt;=$AE1101,DATE($AD1101,8,1)&lt;=$AF1101),ROUND($AG1101,2),0))</f>
        <v/>
      </c>
      <c r="R1101" s="18">
        <f>IF($Z1101="","",IF(AND(DATE($AD1101,9,1)&gt;=$AE1101,DATE($AD1101,9,1)&lt;=$AF1101),ROUND($AG1101,2),0))</f>
        <v/>
      </c>
      <c r="S1101" s="18">
        <f>IF($Z1101="","",IF(AND(DATE($AD1101,10,1)&gt;=$AE1101,DATE($AD1101,10,1)&lt;=$AF1101),ROUND($AG1101,2),0))</f>
        <v/>
      </c>
      <c r="T1101" s="18">
        <f>IF($Z1101="","",IF(AND(DATE($AD1101,11,1)&gt;=$AE1101,DATE($AD1101,11,1)&lt;=$AF1101),ROUND($AG1101,2),0))</f>
        <v/>
      </c>
      <c r="U1101" s="18">
        <f>IF($Z1101="","",IF(AND(DATE($AD1101,12,1)&gt;=$AE1101,DATE($AD1101,12,1)&lt;=$AF1101),ROUND($AG1101,2),0))</f>
        <v/>
      </c>
      <c r="V1101" s="7">
        <f>IF($Z1101="C","Generated from "&amp;INDEX(Contracts!$A$2:$A$151,$AB1101),IF($Z1101="A","Generated from "&amp;INDEX(Fixed_Assets!$A$2:$A$201,$AB1101),IF($Z1101="F","Generated from "&amp;INDEX(FTE_Allocation!$A$2:$A$201,$AB1101),"")))</f>
        <v/>
      </c>
      <c r="X1101" s="19">
        <f>IF($Z1101="","",SUM(J1101:U1101))</f>
        <v/>
      </c>
      <c r="Y1101" s="20">
        <f>ROW()-1</f>
        <v/>
      </c>
      <c r="Z1101" s="20">
        <f>IF($Y1101&lt;=Settings!$B$4*3,"C",IF($Y1101&lt;=(Settings!$B$4+Settings!$B$5)*3,"A",IF($Y1101&lt;=(Settings!$B$4+Settings!$B$5+Settings!$B$6)*3,"F","")))</f>
        <v/>
      </c>
      <c r="AA1101" s="20">
        <f>IF($Z1101="C",$Y1101,IF($Z1101="A",$Y1101-Settings!$B$4*3,IF($Z1101="F",$Y1101-(Settings!$B$4+Settings!$B$5)*3,"")))</f>
        <v/>
      </c>
      <c r="AB1101" s="20">
        <f>IF($Z1101="","",INT(($AA1101-1)/3)+1)</f>
        <v/>
      </c>
      <c r="AC1101" s="20">
        <f>IF($Z1101="","",MOD($AA1101-1,3)+1)</f>
        <v/>
      </c>
      <c r="AD1101" s="20">
        <f>IF($Z1101="","",Settings!$B$2+$AC1101-1)</f>
        <v/>
      </c>
      <c r="AE1101" s="21">
        <f>IF($Z1101="C",DATE(YEAR(INDEX(Contracts!$J$2:$J$151,$AB1101)),MONTH(INDEX(Contracts!$J$2:$J$151,$AB1101)),1),IF($Z1101="A",DATE(YEAR(INDEX(Fixed_Assets!$G$2:$G$201,$AB1101)),MONTH(INDEX(Fixed_Assets!$G$2:$G$201,$AB1101)),1),IF($Z1101="F",DATE(YEAR(MAX(N(INDEX(Workforce!$I$2:$I$151,MATCH(INDEX(FTE_Allocation!$A$2:$A$201,$AB1101),Workforce!$A$2:$A$151,0))),N(INDEX(FTE_Allocation!$I$2:$I$201,$AB1101)))),MONTH(MAX(N(INDEX(Workforce!$I$2:$I$151,MATCH(INDEX(FTE_Allocation!$A$2:$A$201,$AB1101),Workforce!$A$2:$A$151,0))),N(INDEX(FTE_Allocation!$I$2:$I$201,$AB1101)))),1),"")))</f>
        <v/>
      </c>
      <c r="AF1101" s="21">
        <f>IF($Z1101="C",IF(INDEX(Contracts!$I$2:$I$151,$AB1101)="PREPAID",EDATE(DATE(YEAR(INDEX(Contracts!$J$2:$J$151,$AB1101)),MONTH(INDEX(Contracts!$J$2:$J$151,$AB1101)),1),IF(INDEX(Contracts!$N$2:$N$151,$AB1101)="",12,INDEX(Contracts!$N$2:$N$151,$AB1101))-1),IF(INDEX(Contracts!$I$2:$I$151,$AB1101)="MONTHLY",IF(INDEX(Contracts!$K$2:$K$151,$AB1101)="",2958101,INDEX(Contracts!$K$2:$K$151,$AB1101)),0)),IF($Z1101="A",EDATE(DATE(YEAR(INDEX(Fixed_Assets!$G$2:$G$201,$AB1101)),MONTH(INDEX(Fixed_Assets!$G$2:$G$201,$AB1101)),1),INDEX(Fixed_Assets!$J$2:$J$201,$AB1101)-1),IF($Z1101="F",MIN(IF(INDEX(Workforce!$J$2:$J$151,MATCH(INDEX(FTE_Allocation!$A$2:$A$201,$AB1101),Workforce!$A$2:$A$151,0))="",2958101,INDEX(Workforce!$J$2:$J$151,MATCH(INDEX(FTE_Allocation!$A$2:$A$201,$AB1101),Workforce!$A$2:$A$151,0))),IF(INDEX(FTE_Allocation!$J$2:$J$201,$AB1101)="",2958101,INDEX(FTE_Allocation!$J$2:$J$201,$AB1101))),"")))</f>
        <v/>
      </c>
      <c r="AG1101" s="19">
        <f>IF($Z1101="C",IF(INDEX(Contracts!$I$2:$I$151,$AB1101)="PREPAID",INDEX(Contracts!$M$2:$M$151,$AB1101)/IF(INDEX(Contracts!$N$2:$N$151,$AB1101)="",12,INDEX(Contracts!$N$2:$N$151,$AB1101)),IF(INDEX(Contracts!$I$2:$I$151,$AB1101)="MONTHLY",INDEX(Contracts!$M$2:$M$151,$AB1101),0))*(1-N(INDEX(Contracts!$O$2:$O$151,$AB1101))),IF($Z1101="A",INDEX(Fixed_Assets!$H$2:$H$201,$AB1101)/INDEX(Fixed_Assets!$J$2:$J$201,$AB1101),IF($Z1101="F",INDEX(Workforce!$F$2:$F$151,MATCH(INDEX(FTE_Allocation!$A$2:$A$201,$AB1101),Workforce!$A$2:$A$151,0))*N(INDEX(FTE_Allocation!$F$2:$H$201,$AB1101,$AC1101)),"")))</f>
        <v/>
      </c>
    </row>
    <row r="1102">
      <c r="A1102" s="7">
        <f>IF($Z1102="","",$AD1102)</f>
        <v/>
      </c>
      <c r="B1102" s="7">
        <f>IF($Z1102="C",INDEX(Contracts!$D$2:$D$151,$AB1102)&amp;"",IF($Z1102="A",INDEX(Fixed_Assets!$C$2:$C$201,$AB1102)&amp;"",IF($Z1102="F",INDEX(Workforce!$B$2:$B$151,MATCH(INDEX(FTE_Allocation!$A$2:$A$201,$AB1102),Workforce!$A$2:$A$151,0))&amp;"","")))</f>
        <v/>
      </c>
      <c r="C1102" s="7">
        <f>IF($Z1102="C",INDEX(Contracts!$E$2:$E$151,$AB1102)&amp;"",IF($Z1102="A",INDEX(Fixed_Assets!$D$2:$D$201,$AB1102)&amp;"",IF($Z1102="F",INDEX(FTE_Allocation!$C$2:$C$201,$AB1102)&amp;"","")))</f>
        <v/>
      </c>
      <c r="D1102" s="7">
        <f>IF($Z1102="C",INDEX(Contracts!$B$2:$B$151,$AB1102)&amp;"",IF($Z1102="A",INDEX(Fixed_Assets!$B$2:$B$201,$AB1102)&amp;"",IF($Z1102="F",INDEX(FTE_Allocation!$B$2:$B$201,$AB1102)&amp;"","")))</f>
        <v/>
      </c>
      <c r="E1102" s="7">
        <f>IF($Z1102="C",INDEX(Contracts!$P$2:$P$151,$AB1102)&amp;"",IF($Z1102="A",INDEX(Fixed_Assets!$K$2:$K$201,$AB1102)&amp;"",IF($Z1102="F",IF(INDEX(FTE_Allocation!$D$2:$D$201,$AB1102)="PROJECT",IFERROR(INDEX(Projects!$D:$D,MATCH(INDEX(FTE_Allocation!$E$2:$E$201,$AB1102),Projects!$A:$A,0))&amp;"","#PROJECT?"),INDEX(FTE_Allocation!$E$2:$E$201,$AB1102)&amp;""),"")))</f>
        <v/>
      </c>
      <c r="F1102" s="7">
        <f>IF($Z1102="C",INDEX(Contracts!$Q$2:$Q$151,$AB1102)&amp;"",IF($Z1102="A",INDEX(Fixed_Assets!$L$2:$L$201,$AB1102)&amp;"",IF($Z1102="F",INDEX(Workforce!$K$2:$K$151,MATCH(INDEX(FTE_Allocation!$A$2:$A$201,$AB1102),Workforce!$A$2:$A$151,0))&amp;"","")))</f>
        <v/>
      </c>
      <c r="G1102" s="7">
        <f>IF($Z1102="C",INDEX(Contracts!$F$2:$F$151,$AB1102)&amp;" / "&amp;INDEX(Contracts!$G$2:$G$151,$AB1102),IF($Z1102="A",INDEX(Fixed_Assets!$E$2:$E$201,$AB1102)&amp;"",IF($Z1102="F","Personnel "&amp;INDEX(FTE_Allocation!$A$2:$A$201,$AB1102)&amp;IF(INDEX(FTE_Allocation!$D$2:$D$201,$AB1102)="PROJECT"," ("&amp;INDEX(FTE_Allocation!$E$2:$E$201,$AB1102)&amp;")",""),"")))</f>
        <v/>
      </c>
      <c r="H1102" s="7">
        <f>IF($Z1102="C","CONTRACT",IF($Z1102="A","ASSET",IF($Z1102="F","WORKFORCE","")))</f>
        <v/>
      </c>
      <c r="I1102" s="7">
        <f>IF($Z1102="C",INDEX(Contracts!$L$2:$L$151,$AB1102)&amp;"",IF($Z1102="A",INDEX(Fixed_Assets!$I$2:$I$201,$AB1102)&amp;"",IF($Z1102="F",INDEX(Workforce!$G$2:$G$151,MATCH(INDEX(FTE_Allocation!$A$2:$A$201,$AB1102),Workforce!$A$2:$A$151,0))&amp;"","")))</f>
        <v/>
      </c>
      <c r="J1102" s="18">
        <f>IF($Z1102="","",IF(AND(DATE($AD1102,1,1)&gt;=$AE1102,DATE($AD1102,1,1)&lt;=$AF1102),ROUND($AG1102,2),0))</f>
        <v/>
      </c>
      <c r="K1102" s="18">
        <f>IF($Z1102="","",IF(AND(DATE($AD1102,2,1)&gt;=$AE1102,DATE($AD1102,2,1)&lt;=$AF1102),ROUND($AG1102,2),0))</f>
        <v/>
      </c>
      <c r="L1102" s="18">
        <f>IF($Z1102="","",IF(AND(DATE($AD1102,3,1)&gt;=$AE1102,DATE($AD1102,3,1)&lt;=$AF1102),ROUND($AG1102,2),0))</f>
        <v/>
      </c>
      <c r="M1102" s="18">
        <f>IF($Z1102="","",IF(AND(DATE($AD1102,4,1)&gt;=$AE1102,DATE($AD1102,4,1)&lt;=$AF1102),ROUND($AG1102,2),0))</f>
        <v/>
      </c>
      <c r="N1102" s="18">
        <f>IF($Z1102="","",IF(AND(DATE($AD1102,5,1)&gt;=$AE1102,DATE($AD1102,5,1)&lt;=$AF1102),ROUND($AG1102,2),0))</f>
        <v/>
      </c>
      <c r="O1102" s="18">
        <f>IF($Z1102="","",IF(AND(DATE($AD1102,6,1)&gt;=$AE1102,DATE($AD1102,6,1)&lt;=$AF1102),ROUND($AG1102,2),0))</f>
        <v/>
      </c>
      <c r="P1102" s="18">
        <f>IF($Z1102="","",IF(AND(DATE($AD1102,7,1)&gt;=$AE1102,DATE($AD1102,7,1)&lt;=$AF1102),ROUND($AG1102,2),0))</f>
        <v/>
      </c>
      <c r="Q1102" s="18">
        <f>IF($Z1102="","",IF(AND(DATE($AD1102,8,1)&gt;=$AE1102,DATE($AD1102,8,1)&lt;=$AF1102),ROUND($AG1102,2),0))</f>
        <v/>
      </c>
      <c r="R1102" s="18">
        <f>IF($Z1102="","",IF(AND(DATE($AD1102,9,1)&gt;=$AE1102,DATE($AD1102,9,1)&lt;=$AF1102),ROUND($AG1102,2),0))</f>
        <v/>
      </c>
      <c r="S1102" s="18">
        <f>IF($Z1102="","",IF(AND(DATE($AD1102,10,1)&gt;=$AE1102,DATE($AD1102,10,1)&lt;=$AF1102),ROUND($AG1102,2),0))</f>
        <v/>
      </c>
      <c r="T1102" s="18">
        <f>IF($Z1102="","",IF(AND(DATE($AD1102,11,1)&gt;=$AE1102,DATE($AD1102,11,1)&lt;=$AF1102),ROUND($AG1102,2),0))</f>
        <v/>
      </c>
      <c r="U1102" s="18">
        <f>IF($Z1102="","",IF(AND(DATE($AD1102,12,1)&gt;=$AE1102,DATE($AD1102,12,1)&lt;=$AF1102),ROUND($AG1102,2),0))</f>
        <v/>
      </c>
      <c r="V1102" s="7">
        <f>IF($Z1102="C","Generated from "&amp;INDEX(Contracts!$A$2:$A$151,$AB1102),IF($Z1102="A","Generated from "&amp;INDEX(Fixed_Assets!$A$2:$A$201,$AB1102),IF($Z1102="F","Generated from "&amp;INDEX(FTE_Allocation!$A$2:$A$201,$AB1102),"")))</f>
        <v/>
      </c>
      <c r="X1102" s="19">
        <f>IF($Z1102="","",SUM(J1102:U1102))</f>
        <v/>
      </c>
      <c r="Y1102" s="20">
        <f>ROW()-1</f>
        <v/>
      </c>
      <c r="Z1102" s="20">
        <f>IF($Y1102&lt;=Settings!$B$4*3,"C",IF($Y1102&lt;=(Settings!$B$4+Settings!$B$5)*3,"A",IF($Y1102&lt;=(Settings!$B$4+Settings!$B$5+Settings!$B$6)*3,"F","")))</f>
        <v/>
      </c>
      <c r="AA1102" s="20">
        <f>IF($Z1102="C",$Y1102,IF($Z1102="A",$Y1102-Settings!$B$4*3,IF($Z1102="F",$Y1102-(Settings!$B$4+Settings!$B$5)*3,"")))</f>
        <v/>
      </c>
      <c r="AB1102" s="20">
        <f>IF($Z1102="","",INT(($AA1102-1)/3)+1)</f>
        <v/>
      </c>
      <c r="AC1102" s="20">
        <f>IF($Z1102="","",MOD($AA1102-1,3)+1)</f>
        <v/>
      </c>
      <c r="AD1102" s="20">
        <f>IF($Z1102="","",Settings!$B$2+$AC1102-1)</f>
        <v/>
      </c>
      <c r="AE1102" s="21">
        <f>IF($Z1102="C",DATE(YEAR(INDEX(Contracts!$J$2:$J$151,$AB1102)),MONTH(INDEX(Contracts!$J$2:$J$151,$AB1102)),1),IF($Z1102="A",DATE(YEAR(INDEX(Fixed_Assets!$G$2:$G$201,$AB1102)),MONTH(INDEX(Fixed_Assets!$G$2:$G$201,$AB1102)),1),IF($Z1102="F",DATE(YEAR(MAX(N(INDEX(Workforce!$I$2:$I$151,MATCH(INDEX(FTE_Allocation!$A$2:$A$201,$AB1102),Workforce!$A$2:$A$151,0))),N(INDEX(FTE_Allocation!$I$2:$I$201,$AB1102)))),MONTH(MAX(N(INDEX(Workforce!$I$2:$I$151,MATCH(INDEX(FTE_Allocation!$A$2:$A$201,$AB1102),Workforce!$A$2:$A$151,0))),N(INDEX(FTE_Allocation!$I$2:$I$201,$AB1102)))),1),"")))</f>
        <v/>
      </c>
      <c r="AF1102" s="21">
        <f>IF($Z1102="C",IF(INDEX(Contracts!$I$2:$I$151,$AB1102)="PREPAID",EDATE(DATE(YEAR(INDEX(Contracts!$J$2:$J$151,$AB1102)),MONTH(INDEX(Contracts!$J$2:$J$151,$AB1102)),1),IF(INDEX(Contracts!$N$2:$N$151,$AB1102)="",12,INDEX(Contracts!$N$2:$N$151,$AB1102))-1),IF(INDEX(Contracts!$I$2:$I$151,$AB1102)="MONTHLY",IF(INDEX(Contracts!$K$2:$K$151,$AB1102)="",2958101,INDEX(Contracts!$K$2:$K$151,$AB1102)),0)),IF($Z1102="A",EDATE(DATE(YEAR(INDEX(Fixed_Assets!$G$2:$G$201,$AB1102)),MONTH(INDEX(Fixed_Assets!$G$2:$G$201,$AB1102)),1),INDEX(Fixed_Assets!$J$2:$J$201,$AB1102)-1),IF($Z1102="F",MIN(IF(INDEX(Workforce!$J$2:$J$151,MATCH(INDEX(FTE_Allocation!$A$2:$A$201,$AB1102),Workforce!$A$2:$A$151,0))="",2958101,INDEX(Workforce!$J$2:$J$151,MATCH(INDEX(FTE_Allocation!$A$2:$A$201,$AB1102),Workforce!$A$2:$A$151,0))),IF(INDEX(FTE_Allocation!$J$2:$J$201,$AB1102)="",2958101,INDEX(FTE_Allocation!$J$2:$J$201,$AB1102))),"")))</f>
        <v/>
      </c>
      <c r="AG1102" s="19">
        <f>IF($Z1102="C",IF(INDEX(Contracts!$I$2:$I$151,$AB1102)="PREPAID",INDEX(Contracts!$M$2:$M$151,$AB1102)/IF(INDEX(Contracts!$N$2:$N$151,$AB1102)="",12,INDEX(Contracts!$N$2:$N$151,$AB1102)),IF(INDEX(Contracts!$I$2:$I$151,$AB1102)="MONTHLY",INDEX(Contracts!$M$2:$M$151,$AB1102),0))*(1-N(INDEX(Contracts!$O$2:$O$151,$AB1102))),IF($Z1102="A",INDEX(Fixed_Assets!$H$2:$H$201,$AB1102)/INDEX(Fixed_Assets!$J$2:$J$201,$AB1102),IF($Z1102="F",INDEX(Workforce!$F$2:$F$151,MATCH(INDEX(FTE_Allocation!$A$2:$A$201,$AB1102),Workforce!$A$2:$A$151,0))*N(INDEX(FTE_Allocation!$F$2:$H$201,$AB1102,$AC1102)),"")))</f>
        <v/>
      </c>
    </row>
    <row r="1103">
      <c r="A1103" s="7">
        <f>IF($Z1103="","",$AD1103)</f>
        <v/>
      </c>
      <c r="B1103" s="7">
        <f>IF($Z1103="C",INDEX(Contracts!$D$2:$D$151,$AB1103)&amp;"",IF($Z1103="A",INDEX(Fixed_Assets!$C$2:$C$201,$AB1103)&amp;"",IF($Z1103="F",INDEX(Workforce!$B$2:$B$151,MATCH(INDEX(FTE_Allocation!$A$2:$A$201,$AB1103),Workforce!$A$2:$A$151,0))&amp;"","")))</f>
        <v/>
      </c>
      <c r="C1103" s="7">
        <f>IF($Z1103="C",INDEX(Contracts!$E$2:$E$151,$AB1103)&amp;"",IF($Z1103="A",INDEX(Fixed_Assets!$D$2:$D$201,$AB1103)&amp;"",IF($Z1103="F",INDEX(FTE_Allocation!$C$2:$C$201,$AB1103)&amp;"","")))</f>
        <v/>
      </c>
      <c r="D1103" s="7">
        <f>IF($Z1103="C",INDEX(Contracts!$B$2:$B$151,$AB1103)&amp;"",IF($Z1103="A",INDEX(Fixed_Assets!$B$2:$B$201,$AB1103)&amp;"",IF($Z1103="F",INDEX(FTE_Allocation!$B$2:$B$201,$AB1103)&amp;"","")))</f>
        <v/>
      </c>
      <c r="E1103" s="7">
        <f>IF($Z1103="C",INDEX(Contracts!$P$2:$P$151,$AB1103)&amp;"",IF($Z1103="A",INDEX(Fixed_Assets!$K$2:$K$201,$AB1103)&amp;"",IF($Z1103="F",IF(INDEX(FTE_Allocation!$D$2:$D$201,$AB1103)="PROJECT",IFERROR(INDEX(Projects!$D:$D,MATCH(INDEX(FTE_Allocation!$E$2:$E$201,$AB1103),Projects!$A:$A,0))&amp;"","#PROJECT?"),INDEX(FTE_Allocation!$E$2:$E$201,$AB1103)&amp;""),"")))</f>
        <v/>
      </c>
      <c r="F1103" s="7">
        <f>IF($Z1103="C",INDEX(Contracts!$Q$2:$Q$151,$AB1103)&amp;"",IF($Z1103="A",INDEX(Fixed_Assets!$L$2:$L$201,$AB1103)&amp;"",IF($Z1103="F",INDEX(Workforce!$K$2:$K$151,MATCH(INDEX(FTE_Allocation!$A$2:$A$201,$AB1103),Workforce!$A$2:$A$151,0))&amp;"","")))</f>
        <v/>
      </c>
      <c r="G1103" s="7">
        <f>IF($Z1103="C",INDEX(Contracts!$F$2:$F$151,$AB1103)&amp;" / "&amp;INDEX(Contracts!$G$2:$G$151,$AB1103),IF($Z1103="A",INDEX(Fixed_Assets!$E$2:$E$201,$AB1103)&amp;"",IF($Z1103="F","Personnel "&amp;INDEX(FTE_Allocation!$A$2:$A$201,$AB1103)&amp;IF(INDEX(FTE_Allocation!$D$2:$D$201,$AB1103)="PROJECT"," ("&amp;INDEX(FTE_Allocation!$E$2:$E$201,$AB1103)&amp;")",""),"")))</f>
        <v/>
      </c>
      <c r="H1103" s="7">
        <f>IF($Z1103="C","CONTRACT",IF($Z1103="A","ASSET",IF($Z1103="F","WORKFORCE","")))</f>
        <v/>
      </c>
      <c r="I1103" s="7">
        <f>IF($Z1103="C",INDEX(Contracts!$L$2:$L$151,$AB1103)&amp;"",IF($Z1103="A",INDEX(Fixed_Assets!$I$2:$I$201,$AB1103)&amp;"",IF($Z1103="F",INDEX(Workforce!$G$2:$G$151,MATCH(INDEX(FTE_Allocation!$A$2:$A$201,$AB1103),Workforce!$A$2:$A$151,0))&amp;"","")))</f>
        <v/>
      </c>
      <c r="J1103" s="18">
        <f>IF($Z1103="","",IF(AND(DATE($AD1103,1,1)&gt;=$AE1103,DATE($AD1103,1,1)&lt;=$AF1103),ROUND($AG1103,2),0))</f>
        <v/>
      </c>
      <c r="K1103" s="18">
        <f>IF($Z1103="","",IF(AND(DATE($AD1103,2,1)&gt;=$AE1103,DATE($AD1103,2,1)&lt;=$AF1103),ROUND($AG1103,2),0))</f>
        <v/>
      </c>
      <c r="L1103" s="18">
        <f>IF($Z1103="","",IF(AND(DATE($AD1103,3,1)&gt;=$AE1103,DATE($AD1103,3,1)&lt;=$AF1103),ROUND($AG1103,2),0))</f>
        <v/>
      </c>
      <c r="M1103" s="18">
        <f>IF($Z1103="","",IF(AND(DATE($AD1103,4,1)&gt;=$AE1103,DATE($AD1103,4,1)&lt;=$AF1103),ROUND($AG1103,2),0))</f>
        <v/>
      </c>
      <c r="N1103" s="18">
        <f>IF($Z1103="","",IF(AND(DATE($AD1103,5,1)&gt;=$AE1103,DATE($AD1103,5,1)&lt;=$AF1103),ROUND($AG1103,2),0))</f>
        <v/>
      </c>
      <c r="O1103" s="18">
        <f>IF($Z1103="","",IF(AND(DATE($AD1103,6,1)&gt;=$AE1103,DATE($AD1103,6,1)&lt;=$AF1103),ROUND($AG1103,2),0))</f>
        <v/>
      </c>
      <c r="P1103" s="18">
        <f>IF($Z1103="","",IF(AND(DATE($AD1103,7,1)&gt;=$AE1103,DATE($AD1103,7,1)&lt;=$AF1103),ROUND($AG1103,2),0))</f>
        <v/>
      </c>
      <c r="Q1103" s="18">
        <f>IF($Z1103="","",IF(AND(DATE($AD1103,8,1)&gt;=$AE1103,DATE($AD1103,8,1)&lt;=$AF1103),ROUND($AG1103,2),0))</f>
        <v/>
      </c>
      <c r="R1103" s="18">
        <f>IF($Z1103="","",IF(AND(DATE($AD1103,9,1)&gt;=$AE1103,DATE($AD1103,9,1)&lt;=$AF1103),ROUND($AG1103,2),0))</f>
        <v/>
      </c>
      <c r="S1103" s="18">
        <f>IF($Z1103="","",IF(AND(DATE($AD1103,10,1)&gt;=$AE1103,DATE($AD1103,10,1)&lt;=$AF1103),ROUND($AG1103,2),0))</f>
        <v/>
      </c>
      <c r="T1103" s="18">
        <f>IF($Z1103="","",IF(AND(DATE($AD1103,11,1)&gt;=$AE1103,DATE($AD1103,11,1)&lt;=$AF1103),ROUND($AG1103,2),0))</f>
        <v/>
      </c>
      <c r="U1103" s="18">
        <f>IF($Z1103="","",IF(AND(DATE($AD1103,12,1)&gt;=$AE1103,DATE($AD1103,12,1)&lt;=$AF1103),ROUND($AG1103,2),0))</f>
        <v/>
      </c>
      <c r="V1103" s="7">
        <f>IF($Z1103="C","Generated from "&amp;INDEX(Contracts!$A$2:$A$151,$AB1103),IF($Z1103="A","Generated from "&amp;INDEX(Fixed_Assets!$A$2:$A$201,$AB1103),IF($Z1103="F","Generated from "&amp;INDEX(FTE_Allocation!$A$2:$A$201,$AB1103),"")))</f>
        <v/>
      </c>
      <c r="X1103" s="19">
        <f>IF($Z1103="","",SUM(J1103:U1103))</f>
        <v/>
      </c>
      <c r="Y1103" s="20">
        <f>ROW()-1</f>
        <v/>
      </c>
      <c r="Z1103" s="20">
        <f>IF($Y1103&lt;=Settings!$B$4*3,"C",IF($Y1103&lt;=(Settings!$B$4+Settings!$B$5)*3,"A",IF($Y1103&lt;=(Settings!$B$4+Settings!$B$5+Settings!$B$6)*3,"F","")))</f>
        <v/>
      </c>
      <c r="AA1103" s="20">
        <f>IF($Z1103="C",$Y1103,IF($Z1103="A",$Y1103-Settings!$B$4*3,IF($Z1103="F",$Y1103-(Settings!$B$4+Settings!$B$5)*3,"")))</f>
        <v/>
      </c>
      <c r="AB1103" s="20">
        <f>IF($Z1103="","",INT(($AA1103-1)/3)+1)</f>
        <v/>
      </c>
      <c r="AC1103" s="20">
        <f>IF($Z1103="","",MOD($AA1103-1,3)+1)</f>
        <v/>
      </c>
      <c r="AD1103" s="20">
        <f>IF($Z1103="","",Settings!$B$2+$AC1103-1)</f>
        <v/>
      </c>
      <c r="AE1103" s="21">
        <f>IF($Z1103="C",DATE(YEAR(INDEX(Contracts!$J$2:$J$151,$AB1103)),MONTH(INDEX(Contracts!$J$2:$J$151,$AB1103)),1),IF($Z1103="A",DATE(YEAR(INDEX(Fixed_Assets!$G$2:$G$201,$AB1103)),MONTH(INDEX(Fixed_Assets!$G$2:$G$201,$AB1103)),1),IF($Z1103="F",DATE(YEAR(MAX(N(INDEX(Workforce!$I$2:$I$151,MATCH(INDEX(FTE_Allocation!$A$2:$A$201,$AB1103),Workforce!$A$2:$A$151,0))),N(INDEX(FTE_Allocation!$I$2:$I$201,$AB1103)))),MONTH(MAX(N(INDEX(Workforce!$I$2:$I$151,MATCH(INDEX(FTE_Allocation!$A$2:$A$201,$AB1103),Workforce!$A$2:$A$151,0))),N(INDEX(FTE_Allocation!$I$2:$I$201,$AB1103)))),1),"")))</f>
        <v/>
      </c>
      <c r="AF1103" s="21">
        <f>IF($Z1103="C",IF(INDEX(Contracts!$I$2:$I$151,$AB1103)="PREPAID",EDATE(DATE(YEAR(INDEX(Contracts!$J$2:$J$151,$AB1103)),MONTH(INDEX(Contracts!$J$2:$J$151,$AB1103)),1),IF(INDEX(Contracts!$N$2:$N$151,$AB1103)="",12,INDEX(Contracts!$N$2:$N$151,$AB1103))-1),IF(INDEX(Contracts!$I$2:$I$151,$AB1103)="MONTHLY",IF(INDEX(Contracts!$K$2:$K$151,$AB1103)="",2958101,INDEX(Contracts!$K$2:$K$151,$AB1103)),0)),IF($Z1103="A",EDATE(DATE(YEAR(INDEX(Fixed_Assets!$G$2:$G$201,$AB1103)),MONTH(INDEX(Fixed_Assets!$G$2:$G$201,$AB1103)),1),INDEX(Fixed_Assets!$J$2:$J$201,$AB1103)-1),IF($Z1103="F",MIN(IF(INDEX(Workforce!$J$2:$J$151,MATCH(INDEX(FTE_Allocation!$A$2:$A$201,$AB1103),Workforce!$A$2:$A$151,0))="",2958101,INDEX(Workforce!$J$2:$J$151,MATCH(INDEX(FTE_Allocation!$A$2:$A$201,$AB1103),Workforce!$A$2:$A$151,0))),IF(INDEX(FTE_Allocation!$J$2:$J$201,$AB1103)="",2958101,INDEX(FTE_Allocation!$J$2:$J$201,$AB1103))),"")))</f>
        <v/>
      </c>
      <c r="AG1103" s="19">
        <f>IF($Z1103="C",IF(INDEX(Contracts!$I$2:$I$151,$AB1103)="PREPAID",INDEX(Contracts!$M$2:$M$151,$AB1103)/IF(INDEX(Contracts!$N$2:$N$151,$AB1103)="",12,INDEX(Contracts!$N$2:$N$151,$AB1103)),IF(INDEX(Contracts!$I$2:$I$151,$AB1103)="MONTHLY",INDEX(Contracts!$M$2:$M$151,$AB1103),0))*(1-N(INDEX(Contracts!$O$2:$O$151,$AB1103))),IF($Z1103="A",INDEX(Fixed_Assets!$H$2:$H$201,$AB1103)/INDEX(Fixed_Assets!$J$2:$J$201,$AB1103),IF($Z1103="F",INDEX(Workforce!$F$2:$F$151,MATCH(INDEX(FTE_Allocation!$A$2:$A$201,$AB1103),Workforce!$A$2:$A$151,0))*N(INDEX(FTE_Allocation!$F$2:$H$201,$AB1103,$AC1103)),"")))</f>
        <v/>
      </c>
    </row>
    <row r="1104">
      <c r="A1104" s="7">
        <f>IF($Z1104="","",$AD1104)</f>
        <v/>
      </c>
      <c r="B1104" s="7">
        <f>IF($Z1104="C",INDEX(Contracts!$D$2:$D$151,$AB1104)&amp;"",IF($Z1104="A",INDEX(Fixed_Assets!$C$2:$C$201,$AB1104)&amp;"",IF($Z1104="F",INDEX(Workforce!$B$2:$B$151,MATCH(INDEX(FTE_Allocation!$A$2:$A$201,$AB1104),Workforce!$A$2:$A$151,0))&amp;"","")))</f>
        <v/>
      </c>
      <c r="C1104" s="7">
        <f>IF($Z1104="C",INDEX(Contracts!$E$2:$E$151,$AB1104)&amp;"",IF($Z1104="A",INDEX(Fixed_Assets!$D$2:$D$201,$AB1104)&amp;"",IF($Z1104="F",INDEX(FTE_Allocation!$C$2:$C$201,$AB1104)&amp;"","")))</f>
        <v/>
      </c>
      <c r="D1104" s="7">
        <f>IF($Z1104="C",INDEX(Contracts!$B$2:$B$151,$AB1104)&amp;"",IF($Z1104="A",INDEX(Fixed_Assets!$B$2:$B$201,$AB1104)&amp;"",IF($Z1104="F",INDEX(FTE_Allocation!$B$2:$B$201,$AB1104)&amp;"","")))</f>
        <v/>
      </c>
      <c r="E1104" s="7">
        <f>IF($Z1104="C",INDEX(Contracts!$P$2:$P$151,$AB1104)&amp;"",IF($Z1104="A",INDEX(Fixed_Assets!$K$2:$K$201,$AB1104)&amp;"",IF($Z1104="F",IF(INDEX(FTE_Allocation!$D$2:$D$201,$AB1104)="PROJECT",IFERROR(INDEX(Projects!$D:$D,MATCH(INDEX(FTE_Allocation!$E$2:$E$201,$AB1104),Projects!$A:$A,0))&amp;"","#PROJECT?"),INDEX(FTE_Allocation!$E$2:$E$201,$AB1104)&amp;""),"")))</f>
        <v/>
      </c>
      <c r="F1104" s="7">
        <f>IF($Z1104="C",INDEX(Contracts!$Q$2:$Q$151,$AB1104)&amp;"",IF($Z1104="A",INDEX(Fixed_Assets!$L$2:$L$201,$AB1104)&amp;"",IF($Z1104="F",INDEX(Workforce!$K$2:$K$151,MATCH(INDEX(FTE_Allocation!$A$2:$A$201,$AB1104),Workforce!$A$2:$A$151,0))&amp;"","")))</f>
        <v/>
      </c>
      <c r="G1104" s="7">
        <f>IF($Z1104="C",INDEX(Contracts!$F$2:$F$151,$AB1104)&amp;" / "&amp;INDEX(Contracts!$G$2:$G$151,$AB1104),IF($Z1104="A",INDEX(Fixed_Assets!$E$2:$E$201,$AB1104)&amp;"",IF($Z1104="F","Personnel "&amp;INDEX(FTE_Allocation!$A$2:$A$201,$AB1104)&amp;IF(INDEX(FTE_Allocation!$D$2:$D$201,$AB1104)="PROJECT"," ("&amp;INDEX(FTE_Allocation!$E$2:$E$201,$AB1104)&amp;")",""),"")))</f>
        <v/>
      </c>
      <c r="H1104" s="7">
        <f>IF($Z1104="C","CONTRACT",IF($Z1104="A","ASSET",IF($Z1104="F","WORKFORCE","")))</f>
        <v/>
      </c>
      <c r="I1104" s="7">
        <f>IF($Z1104="C",INDEX(Contracts!$L$2:$L$151,$AB1104)&amp;"",IF($Z1104="A",INDEX(Fixed_Assets!$I$2:$I$201,$AB1104)&amp;"",IF($Z1104="F",INDEX(Workforce!$G$2:$G$151,MATCH(INDEX(FTE_Allocation!$A$2:$A$201,$AB1104),Workforce!$A$2:$A$151,0))&amp;"","")))</f>
        <v/>
      </c>
      <c r="J1104" s="18">
        <f>IF($Z1104="","",IF(AND(DATE($AD1104,1,1)&gt;=$AE1104,DATE($AD1104,1,1)&lt;=$AF1104),ROUND($AG1104,2),0))</f>
        <v/>
      </c>
      <c r="K1104" s="18">
        <f>IF($Z1104="","",IF(AND(DATE($AD1104,2,1)&gt;=$AE1104,DATE($AD1104,2,1)&lt;=$AF1104),ROUND($AG1104,2),0))</f>
        <v/>
      </c>
      <c r="L1104" s="18">
        <f>IF($Z1104="","",IF(AND(DATE($AD1104,3,1)&gt;=$AE1104,DATE($AD1104,3,1)&lt;=$AF1104),ROUND($AG1104,2),0))</f>
        <v/>
      </c>
      <c r="M1104" s="18">
        <f>IF($Z1104="","",IF(AND(DATE($AD1104,4,1)&gt;=$AE1104,DATE($AD1104,4,1)&lt;=$AF1104),ROUND($AG1104,2),0))</f>
        <v/>
      </c>
      <c r="N1104" s="18">
        <f>IF($Z1104="","",IF(AND(DATE($AD1104,5,1)&gt;=$AE1104,DATE($AD1104,5,1)&lt;=$AF1104),ROUND($AG1104,2),0))</f>
        <v/>
      </c>
      <c r="O1104" s="18">
        <f>IF($Z1104="","",IF(AND(DATE($AD1104,6,1)&gt;=$AE1104,DATE($AD1104,6,1)&lt;=$AF1104),ROUND($AG1104,2),0))</f>
        <v/>
      </c>
      <c r="P1104" s="18">
        <f>IF($Z1104="","",IF(AND(DATE($AD1104,7,1)&gt;=$AE1104,DATE($AD1104,7,1)&lt;=$AF1104),ROUND($AG1104,2),0))</f>
        <v/>
      </c>
      <c r="Q1104" s="18">
        <f>IF($Z1104="","",IF(AND(DATE($AD1104,8,1)&gt;=$AE1104,DATE($AD1104,8,1)&lt;=$AF1104),ROUND($AG1104,2),0))</f>
        <v/>
      </c>
      <c r="R1104" s="18">
        <f>IF($Z1104="","",IF(AND(DATE($AD1104,9,1)&gt;=$AE1104,DATE($AD1104,9,1)&lt;=$AF1104),ROUND($AG1104,2),0))</f>
        <v/>
      </c>
      <c r="S1104" s="18">
        <f>IF($Z1104="","",IF(AND(DATE($AD1104,10,1)&gt;=$AE1104,DATE($AD1104,10,1)&lt;=$AF1104),ROUND($AG1104,2),0))</f>
        <v/>
      </c>
      <c r="T1104" s="18">
        <f>IF($Z1104="","",IF(AND(DATE($AD1104,11,1)&gt;=$AE1104,DATE($AD1104,11,1)&lt;=$AF1104),ROUND($AG1104,2),0))</f>
        <v/>
      </c>
      <c r="U1104" s="18">
        <f>IF($Z1104="","",IF(AND(DATE($AD1104,12,1)&gt;=$AE1104,DATE($AD1104,12,1)&lt;=$AF1104),ROUND($AG1104,2),0))</f>
        <v/>
      </c>
      <c r="V1104" s="7">
        <f>IF($Z1104="C","Generated from "&amp;INDEX(Contracts!$A$2:$A$151,$AB1104),IF($Z1104="A","Generated from "&amp;INDEX(Fixed_Assets!$A$2:$A$201,$AB1104),IF($Z1104="F","Generated from "&amp;INDEX(FTE_Allocation!$A$2:$A$201,$AB1104),"")))</f>
        <v/>
      </c>
      <c r="X1104" s="19">
        <f>IF($Z1104="","",SUM(J1104:U1104))</f>
        <v/>
      </c>
      <c r="Y1104" s="20">
        <f>ROW()-1</f>
        <v/>
      </c>
      <c r="Z1104" s="20">
        <f>IF($Y1104&lt;=Settings!$B$4*3,"C",IF($Y1104&lt;=(Settings!$B$4+Settings!$B$5)*3,"A",IF($Y1104&lt;=(Settings!$B$4+Settings!$B$5+Settings!$B$6)*3,"F","")))</f>
        <v/>
      </c>
      <c r="AA1104" s="20">
        <f>IF($Z1104="C",$Y1104,IF($Z1104="A",$Y1104-Settings!$B$4*3,IF($Z1104="F",$Y1104-(Settings!$B$4+Settings!$B$5)*3,"")))</f>
        <v/>
      </c>
      <c r="AB1104" s="20">
        <f>IF($Z1104="","",INT(($AA1104-1)/3)+1)</f>
        <v/>
      </c>
      <c r="AC1104" s="20">
        <f>IF($Z1104="","",MOD($AA1104-1,3)+1)</f>
        <v/>
      </c>
      <c r="AD1104" s="20">
        <f>IF($Z1104="","",Settings!$B$2+$AC1104-1)</f>
        <v/>
      </c>
      <c r="AE1104" s="21">
        <f>IF($Z1104="C",DATE(YEAR(INDEX(Contracts!$J$2:$J$151,$AB1104)),MONTH(INDEX(Contracts!$J$2:$J$151,$AB1104)),1),IF($Z1104="A",DATE(YEAR(INDEX(Fixed_Assets!$G$2:$G$201,$AB1104)),MONTH(INDEX(Fixed_Assets!$G$2:$G$201,$AB1104)),1),IF($Z1104="F",DATE(YEAR(MAX(N(INDEX(Workforce!$I$2:$I$151,MATCH(INDEX(FTE_Allocation!$A$2:$A$201,$AB1104),Workforce!$A$2:$A$151,0))),N(INDEX(FTE_Allocation!$I$2:$I$201,$AB1104)))),MONTH(MAX(N(INDEX(Workforce!$I$2:$I$151,MATCH(INDEX(FTE_Allocation!$A$2:$A$201,$AB1104),Workforce!$A$2:$A$151,0))),N(INDEX(FTE_Allocation!$I$2:$I$201,$AB1104)))),1),"")))</f>
        <v/>
      </c>
      <c r="AF1104" s="21">
        <f>IF($Z1104="C",IF(INDEX(Contracts!$I$2:$I$151,$AB1104)="PREPAID",EDATE(DATE(YEAR(INDEX(Contracts!$J$2:$J$151,$AB1104)),MONTH(INDEX(Contracts!$J$2:$J$151,$AB1104)),1),IF(INDEX(Contracts!$N$2:$N$151,$AB1104)="",12,INDEX(Contracts!$N$2:$N$151,$AB1104))-1),IF(INDEX(Contracts!$I$2:$I$151,$AB1104)="MONTHLY",IF(INDEX(Contracts!$K$2:$K$151,$AB1104)="",2958101,INDEX(Contracts!$K$2:$K$151,$AB1104)),0)),IF($Z1104="A",EDATE(DATE(YEAR(INDEX(Fixed_Assets!$G$2:$G$201,$AB1104)),MONTH(INDEX(Fixed_Assets!$G$2:$G$201,$AB1104)),1),INDEX(Fixed_Assets!$J$2:$J$201,$AB1104)-1),IF($Z1104="F",MIN(IF(INDEX(Workforce!$J$2:$J$151,MATCH(INDEX(FTE_Allocation!$A$2:$A$201,$AB1104),Workforce!$A$2:$A$151,0))="",2958101,INDEX(Workforce!$J$2:$J$151,MATCH(INDEX(FTE_Allocation!$A$2:$A$201,$AB1104),Workforce!$A$2:$A$151,0))),IF(INDEX(FTE_Allocation!$J$2:$J$201,$AB1104)="",2958101,INDEX(FTE_Allocation!$J$2:$J$201,$AB1104))),"")))</f>
        <v/>
      </c>
      <c r="AG1104" s="19">
        <f>IF($Z1104="C",IF(INDEX(Contracts!$I$2:$I$151,$AB1104)="PREPAID",INDEX(Contracts!$M$2:$M$151,$AB1104)/IF(INDEX(Contracts!$N$2:$N$151,$AB1104)="",12,INDEX(Contracts!$N$2:$N$151,$AB1104)),IF(INDEX(Contracts!$I$2:$I$151,$AB1104)="MONTHLY",INDEX(Contracts!$M$2:$M$151,$AB1104),0))*(1-N(INDEX(Contracts!$O$2:$O$151,$AB1104))),IF($Z1104="A",INDEX(Fixed_Assets!$H$2:$H$201,$AB1104)/INDEX(Fixed_Assets!$J$2:$J$201,$AB1104),IF($Z1104="F",INDEX(Workforce!$F$2:$F$151,MATCH(INDEX(FTE_Allocation!$A$2:$A$201,$AB1104),Workforce!$A$2:$A$151,0))*N(INDEX(FTE_Allocation!$F$2:$H$201,$AB1104,$AC1104)),"")))</f>
        <v/>
      </c>
    </row>
    <row r="1105">
      <c r="A1105" s="7">
        <f>IF($Z1105="","",$AD1105)</f>
        <v/>
      </c>
      <c r="B1105" s="7">
        <f>IF($Z1105="C",INDEX(Contracts!$D$2:$D$151,$AB1105)&amp;"",IF($Z1105="A",INDEX(Fixed_Assets!$C$2:$C$201,$AB1105)&amp;"",IF($Z1105="F",INDEX(Workforce!$B$2:$B$151,MATCH(INDEX(FTE_Allocation!$A$2:$A$201,$AB1105),Workforce!$A$2:$A$151,0))&amp;"","")))</f>
        <v/>
      </c>
      <c r="C1105" s="7">
        <f>IF($Z1105="C",INDEX(Contracts!$E$2:$E$151,$AB1105)&amp;"",IF($Z1105="A",INDEX(Fixed_Assets!$D$2:$D$201,$AB1105)&amp;"",IF($Z1105="F",INDEX(FTE_Allocation!$C$2:$C$201,$AB1105)&amp;"","")))</f>
        <v/>
      </c>
      <c r="D1105" s="7">
        <f>IF($Z1105="C",INDEX(Contracts!$B$2:$B$151,$AB1105)&amp;"",IF($Z1105="A",INDEX(Fixed_Assets!$B$2:$B$201,$AB1105)&amp;"",IF($Z1105="F",INDEX(FTE_Allocation!$B$2:$B$201,$AB1105)&amp;"","")))</f>
        <v/>
      </c>
      <c r="E1105" s="7">
        <f>IF($Z1105="C",INDEX(Contracts!$P$2:$P$151,$AB1105)&amp;"",IF($Z1105="A",INDEX(Fixed_Assets!$K$2:$K$201,$AB1105)&amp;"",IF($Z1105="F",IF(INDEX(FTE_Allocation!$D$2:$D$201,$AB1105)="PROJECT",IFERROR(INDEX(Projects!$D:$D,MATCH(INDEX(FTE_Allocation!$E$2:$E$201,$AB1105),Projects!$A:$A,0))&amp;"","#PROJECT?"),INDEX(FTE_Allocation!$E$2:$E$201,$AB1105)&amp;""),"")))</f>
        <v/>
      </c>
      <c r="F1105" s="7">
        <f>IF($Z1105="C",INDEX(Contracts!$Q$2:$Q$151,$AB1105)&amp;"",IF($Z1105="A",INDEX(Fixed_Assets!$L$2:$L$201,$AB1105)&amp;"",IF($Z1105="F",INDEX(Workforce!$K$2:$K$151,MATCH(INDEX(FTE_Allocation!$A$2:$A$201,$AB1105),Workforce!$A$2:$A$151,0))&amp;"","")))</f>
        <v/>
      </c>
      <c r="G1105" s="7">
        <f>IF($Z1105="C",INDEX(Contracts!$F$2:$F$151,$AB1105)&amp;" / "&amp;INDEX(Contracts!$G$2:$G$151,$AB1105),IF($Z1105="A",INDEX(Fixed_Assets!$E$2:$E$201,$AB1105)&amp;"",IF($Z1105="F","Personnel "&amp;INDEX(FTE_Allocation!$A$2:$A$201,$AB1105)&amp;IF(INDEX(FTE_Allocation!$D$2:$D$201,$AB1105)="PROJECT"," ("&amp;INDEX(FTE_Allocation!$E$2:$E$201,$AB1105)&amp;")",""),"")))</f>
        <v/>
      </c>
      <c r="H1105" s="7">
        <f>IF($Z1105="C","CONTRACT",IF($Z1105="A","ASSET",IF($Z1105="F","WORKFORCE","")))</f>
        <v/>
      </c>
      <c r="I1105" s="7">
        <f>IF($Z1105="C",INDEX(Contracts!$L$2:$L$151,$AB1105)&amp;"",IF($Z1105="A",INDEX(Fixed_Assets!$I$2:$I$201,$AB1105)&amp;"",IF($Z1105="F",INDEX(Workforce!$G$2:$G$151,MATCH(INDEX(FTE_Allocation!$A$2:$A$201,$AB1105),Workforce!$A$2:$A$151,0))&amp;"","")))</f>
        <v/>
      </c>
      <c r="J1105" s="18">
        <f>IF($Z1105="","",IF(AND(DATE($AD1105,1,1)&gt;=$AE1105,DATE($AD1105,1,1)&lt;=$AF1105),ROUND($AG1105,2),0))</f>
        <v/>
      </c>
      <c r="K1105" s="18">
        <f>IF($Z1105="","",IF(AND(DATE($AD1105,2,1)&gt;=$AE1105,DATE($AD1105,2,1)&lt;=$AF1105),ROUND($AG1105,2),0))</f>
        <v/>
      </c>
      <c r="L1105" s="18">
        <f>IF($Z1105="","",IF(AND(DATE($AD1105,3,1)&gt;=$AE1105,DATE($AD1105,3,1)&lt;=$AF1105),ROUND($AG1105,2),0))</f>
        <v/>
      </c>
      <c r="M1105" s="18">
        <f>IF($Z1105="","",IF(AND(DATE($AD1105,4,1)&gt;=$AE1105,DATE($AD1105,4,1)&lt;=$AF1105),ROUND($AG1105,2),0))</f>
        <v/>
      </c>
      <c r="N1105" s="18">
        <f>IF($Z1105="","",IF(AND(DATE($AD1105,5,1)&gt;=$AE1105,DATE($AD1105,5,1)&lt;=$AF1105),ROUND($AG1105,2),0))</f>
        <v/>
      </c>
      <c r="O1105" s="18">
        <f>IF($Z1105="","",IF(AND(DATE($AD1105,6,1)&gt;=$AE1105,DATE($AD1105,6,1)&lt;=$AF1105),ROUND($AG1105,2),0))</f>
        <v/>
      </c>
      <c r="P1105" s="18">
        <f>IF($Z1105="","",IF(AND(DATE($AD1105,7,1)&gt;=$AE1105,DATE($AD1105,7,1)&lt;=$AF1105),ROUND($AG1105,2),0))</f>
        <v/>
      </c>
      <c r="Q1105" s="18">
        <f>IF($Z1105="","",IF(AND(DATE($AD1105,8,1)&gt;=$AE1105,DATE($AD1105,8,1)&lt;=$AF1105),ROUND($AG1105,2),0))</f>
        <v/>
      </c>
      <c r="R1105" s="18">
        <f>IF($Z1105="","",IF(AND(DATE($AD1105,9,1)&gt;=$AE1105,DATE($AD1105,9,1)&lt;=$AF1105),ROUND($AG1105,2),0))</f>
        <v/>
      </c>
      <c r="S1105" s="18">
        <f>IF($Z1105="","",IF(AND(DATE($AD1105,10,1)&gt;=$AE1105,DATE($AD1105,10,1)&lt;=$AF1105),ROUND($AG1105,2),0))</f>
        <v/>
      </c>
      <c r="T1105" s="18">
        <f>IF($Z1105="","",IF(AND(DATE($AD1105,11,1)&gt;=$AE1105,DATE($AD1105,11,1)&lt;=$AF1105),ROUND($AG1105,2),0))</f>
        <v/>
      </c>
      <c r="U1105" s="18">
        <f>IF($Z1105="","",IF(AND(DATE($AD1105,12,1)&gt;=$AE1105,DATE($AD1105,12,1)&lt;=$AF1105),ROUND($AG1105,2),0))</f>
        <v/>
      </c>
      <c r="V1105" s="7">
        <f>IF($Z1105="C","Generated from "&amp;INDEX(Contracts!$A$2:$A$151,$AB1105),IF($Z1105="A","Generated from "&amp;INDEX(Fixed_Assets!$A$2:$A$201,$AB1105),IF($Z1105="F","Generated from "&amp;INDEX(FTE_Allocation!$A$2:$A$201,$AB1105),"")))</f>
        <v/>
      </c>
      <c r="X1105" s="19">
        <f>IF($Z1105="","",SUM(J1105:U1105))</f>
        <v/>
      </c>
      <c r="Y1105" s="20">
        <f>ROW()-1</f>
        <v/>
      </c>
      <c r="Z1105" s="20">
        <f>IF($Y1105&lt;=Settings!$B$4*3,"C",IF($Y1105&lt;=(Settings!$B$4+Settings!$B$5)*3,"A",IF($Y1105&lt;=(Settings!$B$4+Settings!$B$5+Settings!$B$6)*3,"F","")))</f>
        <v/>
      </c>
      <c r="AA1105" s="20">
        <f>IF($Z1105="C",$Y1105,IF($Z1105="A",$Y1105-Settings!$B$4*3,IF($Z1105="F",$Y1105-(Settings!$B$4+Settings!$B$5)*3,"")))</f>
        <v/>
      </c>
      <c r="AB1105" s="20">
        <f>IF($Z1105="","",INT(($AA1105-1)/3)+1)</f>
        <v/>
      </c>
      <c r="AC1105" s="20">
        <f>IF($Z1105="","",MOD($AA1105-1,3)+1)</f>
        <v/>
      </c>
      <c r="AD1105" s="20">
        <f>IF($Z1105="","",Settings!$B$2+$AC1105-1)</f>
        <v/>
      </c>
      <c r="AE1105" s="21">
        <f>IF($Z1105="C",DATE(YEAR(INDEX(Contracts!$J$2:$J$151,$AB1105)),MONTH(INDEX(Contracts!$J$2:$J$151,$AB1105)),1),IF($Z1105="A",DATE(YEAR(INDEX(Fixed_Assets!$G$2:$G$201,$AB1105)),MONTH(INDEX(Fixed_Assets!$G$2:$G$201,$AB1105)),1),IF($Z1105="F",DATE(YEAR(MAX(N(INDEX(Workforce!$I$2:$I$151,MATCH(INDEX(FTE_Allocation!$A$2:$A$201,$AB1105),Workforce!$A$2:$A$151,0))),N(INDEX(FTE_Allocation!$I$2:$I$201,$AB1105)))),MONTH(MAX(N(INDEX(Workforce!$I$2:$I$151,MATCH(INDEX(FTE_Allocation!$A$2:$A$201,$AB1105),Workforce!$A$2:$A$151,0))),N(INDEX(FTE_Allocation!$I$2:$I$201,$AB1105)))),1),"")))</f>
        <v/>
      </c>
      <c r="AF1105" s="21">
        <f>IF($Z1105="C",IF(INDEX(Contracts!$I$2:$I$151,$AB1105)="PREPAID",EDATE(DATE(YEAR(INDEX(Contracts!$J$2:$J$151,$AB1105)),MONTH(INDEX(Contracts!$J$2:$J$151,$AB1105)),1),IF(INDEX(Contracts!$N$2:$N$151,$AB1105)="",12,INDEX(Contracts!$N$2:$N$151,$AB1105))-1),IF(INDEX(Contracts!$I$2:$I$151,$AB1105)="MONTHLY",IF(INDEX(Contracts!$K$2:$K$151,$AB1105)="",2958101,INDEX(Contracts!$K$2:$K$151,$AB1105)),0)),IF($Z1105="A",EDATE(DATE(YEAR(INDEX(Fixed_Assets!$G$2:$G$201,$AB1105)),MONTH(INDEX(Fixed_Assets!$G$2:$G$201,$AB1105)),1),INDEX(Fixed_Assets!$J$2:$J$201,$AB1105)-1),IF($Z1105="F",MIN(IF(INDEX(Workforce!$J$2:$J$151,MATCH(INDEX(FTE_Allocation!$A$2:$A$201,$AB1105),Workforce!$A$2:$A$151,0))="",2958101,INDEX(Workforce!$J$2:$J$151,MATCH(INDEX(FTE_Allocation!$A$2:$A$201,$AB1105),Workforce!$A$2:$A$151,0))),IF(INDEX(FTE_Allocation!$J$2:$J$201,$AB1105)="",2958101,INDEX(FTE_Allocation!$J$2:$J$201,$AB1105))),"")))</f>
        <v/>
      </c>
      <c r="AG1105" s="19">
        <f>IF($Z1105="C",IF(INDEX(Contracts!$I$2:$I$151,$AB1105)="PREPAID",INDEX(Contracts!$M$2:$M$151,$AB1105)/IF(INDEX(Contracts!$N$2:$N$151,$AB1105)="",12,INDEX(Contracts!$N$2:$N$151,$AB1105)),IF(INDEX(Contracts!$I$2:$I$151,$AB1105)="MONTHLY",INDEX(Contracts!$M$2:$M$151,$AB1105),0))*(1-N(INDEX(Contracts!$O$2:$O$151,$AB1105))),IF($Z1105="A",INDEX(Fixed_Assets!$H$2:$H$201,$AB1105)/INDEX(Fixed_Assets!$J$2:$J$201,$AB1105),IF($Z1105="F",INDEX(Workforce!$F$2:$F$151,MATCH(INDEX(FTE_Allocation!$A$2:$A$201,$AB1105),Workforce!$A$2:$A$151,0))*N(INDEX(FTE_Allocation!$F$2:$H$201,$AB1105,$AC1105)),"")))</f>
        <v/>
      </c>
    </row>
    <row r="1106">
      <c r="A1106" s="7">
        <f>IF($Z1106="","",$AD1106)</f>
        <v/>
      </c>
      <c r="B1106" s="7">
        <f>IF($Z1106="C",INDEX(Contracts!$D$2:$D$151,$AB1106)&amp;"",IF($Z1106="A",INDEX(Fixed_Assets!$C$2:$C$201,$AB1106)&amp;"",IF($Z1106="F",INDEX(Workforce!$B$2:$B$151,MATCH(INDEX(FTE_Allocation!$A$2:$A$201,$AB1106),Workforce!$A$2:$A$151,0))&amp;"","")))</f>
        <v/>
      </c>
      <c r="C1106" s="7">
        <f>IF($Z1106="C",INDEX(Contracts!$E$2:$E$151,$AB1106)&amp;"",IF($Z1106="A",INDEX(Fixed_Assets!$D$2:$D$201,$AB1106)&amp;"",IF($Z1106="F",INDEX(FTE_Allocation!$C$2:$C$201,$AB1106)&amp;"","")))</f>
        <v/>
      </c>
      <c r="D1106" s="7">
        <f>IF($Z1106="C",INDEX(Contracts!$B$2:$B$151,$AB1106)&amp;"",IF($Z1106="A",INDEX(Fixed_Assets!$B$2:$B$201,$AB1106)&amp;"",IF($Z1106="F",INDEX(FTE_Allocation!$B$2:$B$201,$AB1106)&amp;"","")))</f>
        <v/>
      </c>
      <c r="E1106" s="7">
        <f>IF($Z1106="C",INDEX(Contracts!$P$2:$P$151,$AB1106)&amp;"",IF($Z1106="A",INDEX(Fixed_Assets!$K$2:$K$201,$AB1106)&amp;"",IF($Z1106="F",IF(INDEX(FTE_Allocation!$D$2:$D$201,$AB1106)="PROJECT",IFERROR(INDEX(Projects!$D:$D,MATCH(INDEX(FTE_Allocation!$E$2:$E$201,$AB1106),Projects!$A:$A,0))&amp;"","#PROJECT?"),INDEX(FTE_Allocation!$E$2:$E$201,$AB1106)&amp;""),"")))</f>
        <v/>
      </c>
      <c r="F1106" s="7">
        <f>IF($Z1106="C",INDEX(Contracts!$Q$2:$Q$151,$AB1106)&amp;"",IF($Z1106="A",INDEX(Fixed_Assets!$L$2:$L$201,$AB1106)&amp;"",IF($Z1106="F",INDEX(Workforce!$K$2:$K$151,MATCH(INDEX(FTE_Allocation!$A$2:$A$201,$AB1106),Workforce!$A$2:$A$151,0))&amp;"","")))</f>
        <v/>
      </c>
      <c r="G1106" s="7">
        <f>IF($Z1106="C",INDEX(Contracts!$F$2:$F$151,$AB1106)&amp;" / "&amp;INDEX(Contracts!$G$2:$G$151,$AB1106),IF($Z1106="A",INDEX(Fixed_Assets!$E$2:$E$201,$AB1106)&amp;"",IF($Z1106="F","Personnel "&amp;INDEX(FTE_Allocation!$A$2:$A$201,$AB1106)&amp;IF(INDEX(FTE_Allocation!$D$2:$D$201,$AB1106)="PROJECT"," ("&amp;INDEX(FTE_Allocation!$E$2:$E$201,$AB1106)&amp;")",""),"")))</f>
        <v/>
      </c>
      <c r="H1106" s="7">
        <f>IF($Z1106="C","CONTRACT",IF($Z1106="A","ASSET",IF($Z1106="F","WORKFORCE","")))</f>
        <v/>
      </c>
      <c r="I1106" s="7">
        <f>IF($Z1106="C",INDEX(Contracts!$L$2:$L$151,$AB1106)&amp;"",IF($Z1106="A",INDEX(Fixed_Assets!$I$2:$I$201,$AB1106)&amp;"",IF($Z1106="F",INDEX(Workforce!$G$2:$G$151,MATCH(INDEX(FTE_Allocation!$A$2:$A$201,$AB1106),Workforce!$A$2:$A$151,0))&amp;"","")))</f>
        <v/>
      </c>
      <c r="J1106" s="18">
        <f>IF($Z1106="","",IF(AND(DATE($AD1106,1,1)&gt;=$AE1106,DATE($AD1106,1,1)&lt;=$AF1106),ROUND($AG1106,2),0))</f>
        <v/>
      </c>
      <c r="K1106" s="18">
        <f>IF($Z1106="","",IF(AND(DATE($AD1106,2,1)&gt;=$AE1106,DATE($AD1106,2,1)&lt;=$AF1106),ROUND($AG1106,2),0))</f>
        <v/>
      </c>
      <c r="L1106" s="18">
        <f>IF($Z1106="","",IF(AND(DATE($AD1106,3,1)&gt;=$AE1106,DATE($AD1106,3,1)&lt;=$AF1106),ROUND($AG1106,2),0))</f>
        <v/>
      </c>
      <c r="M1106" s="18">
        <f>IF($Z1106="","",IF(AND(DATE($AD1106,4,1)&gt;=$AE1106,DATE($AD1106,4,1)&lt;=$AF1106),ROUND($AG1106,2),0))</f>
        <v/>
      </c>
      <c r="N1106" s="18">
        <f>IF($Z1106="","",IF(AND(DATE($AD1106,5,1)&gt;=$AE1106,DATE($AD1106,5,1)&lt;=$AF1106),ROUND($AG1106,2),0))</f>
        <v/>
      </c>
      <c r="O1106" s="18">
        <f>IF($Z1106="","",IF(AND(DATE($AD1106,6,1)&gt;=$AE1106,DATE($AD1106,6,1)&lt;=$AF1106),ROUND($AG1106,2),0))</f>
        <v/>
      </c>
      <c r="P1106" s="18">
        <f>IF($Z1106="","",IF(AND(DATE($AD1106,7,1)&gt;=$AE1106,DATE($AD1106,7,1)&lt;=$AF1106),ROUND($AG1106,2),0))</f>
        <v/>
      </c>
      <c r="Q1106" s="18">
        <f>IF($Z1106="","",IF(AND(DATE($AD1106,8,1)&gt;=$AE1106,DATE($AD1106,8,1)&lt;=$AF1106),ROUND($AG1106,2),0))</f>
        <v/>
      </c>
      <c r="R1106" s="18">
        <f>IF($Z1106="","",IF(AND(DATE($AD1106,9,1)&gt;=$AE1106,DATE($AD1106,9,1)&lt;=$AF1106),ROUND($AG1106,2),0))</f>
        <v/>
      </c>
      <c r="S1106" s="18">
        <f>IF($Z1106="","",IF(AND(DATE($AD1106,10,1)&gt;=$AE1106,DATE($AD1106,10,1)&lt;=$AF1106),ROUND($AG1106,2),0))</f>
        <v/>
      </c>
      <c r="T1106" s="18">
        <f>IF($Z1106="","",IF(AND(DATE($AD1106,11,1)&gt;=$AE1106,DATE($AD1106,11,1)&lt;=$AF1106),ROUND($AG1106,2),0))</f>
        <v/>
      </c>
      <c r="U1106" s="18">
        <f>IF($Z1106="","",IF(AND(DATE($AD1106,12,1)&gt;=$AE1106,DATE($AD1106,12,1)&lt;=$AF1106),ROUND($AG1106,2),0))</f>
        <v/>
      </c>
      <c r="V1106" s="7">
        <f>IF($Z1106="C","Generated from "&amp;INDEX(Contracts!$A$2:$A$151,$AB1106),IF($Z1106="A","Generated from "&amp;INDEX(Fixed_Assets!$A$2:$A$201,$AB1106),IF($Z1106="F","Generated from "&amp;INDEX(FTE_Allocation!$A$2:$A$201,$AB1106),"")))</f>
        <v/>
      </c>
      <c r="X1106" s="19">
        <f>IF($Z1106="","",SUM(J1106:U1106))</f>
        <v/>
      </c>
      <c r="Y1106" s="20">
        <f>ROW()-1</f>
        <v/>
      </c>
      <c r="Z1106" s="20">
        <f>IF($Y1106&lt;=Settings!$B$4*3,"C",IF($Y1106&lt;=(Settings!$B$4+Settings!$B$5)*3,"A",IF($Y1106&lt;=(Settings!$B$4+Settings!$B$5+Settings!$B$6)*3,"F","")))</f>
        <v/>
      </c>
      <c r="AA1106" s="20">
        <f>IF($Z1106="C",$Y1106,IF($Z1106="A",$Y1106-Settings!$B$4*3,IF($Z1106="F",$Y1106-(Settings!$B$4+Settings!$B$5)*3,"")))</f>
        <v/>
      </c>
      <c r="AB1106" s="20">
        <f>IF($Z1106="","",INT(($AA1106-1)/3)+1)</f>
        <v/>
      </c>
      <c r="AC1106" s="20">
        <f>IF($Z1106="","",MOD($AA1106-1,3)+1)</f>
        <v/>
      </c>
      <c r="AD1106" s="20">
        <f>IF($Z1106="","",Settings!$B$2+$AC1106-1)</f>
        <v/>
      </c>
      <c r="AE1106" s="21">
        <f>IF($Z1106="C",DATE(YEAR(INDEX(Contracts!$J$2:$J$151,$AB1106)),MONTH(INDEX(Contracts!$J$2:$J$151,$AB1106)),1),IF($Z1106="A",DATE(YEAR(INDEX(Fixed_Assets!$G$2:$G$201,$AB1106)),MONTH(INDEX(Fixed_Assets!$G$2:$G$201,$AB1106)),1),IF($Z1106="F",DATE(YEAR(MAX(N(INDEX(Workforce!$I$2:$I$151,MATCH(INDEX(FTE_Allocation!$A$2:$A$201,$AB1106),Workforce!$A$2:$A$151,0))),N(INDEX(FTE_Allocation!$I$2:$I$201,$AB1106)))),MONTH(MAX(N(INDEX(Workforce!$I$2:$I$151,MATCH(INDEX(FTE_Allocation!$A$2:$A$201,$AB1106),Workforce!$A$2:$A$151,0))),N(INDEX(FTE_Allocation!$I$2:$I$201,$AB1106)))),1),"")))</f>
        <v/>
      </c>
      <c r="AF1106" s="21">
        <f>IF($Z1106="C",IF(INDEX(Contracts!$I$2:$I$151,$AB1106)="PREPAID",EDATE(DATE(YEAR(INDEX(Contracts!$J$2:$J$151,$AB1106)),MONTH(INDEX(Contracts!$J$2:$J$151,$AB1106)),1),IF(INDEX(Contracts!$N$2:$N$151,$AB1106)="",12,INDEX(Contracts!$N$2:$N$151,$AB1106))-1),IF(INDEX(Contracts!$I$2:$I$151,$AB1106)="MONTHLY",IF(INDEX(Contracts!$K$2:$K$151,$AB1106)="",2958101,INDEX(Contracts!$K$2:$K$151,$AB1106)),0)),IF($Z1106="A",EDATE(DATE(YEAR(INDEX(Fixed_Assets!$G$2:$G$201,$AB1106)),MONTH(INDEX(Fixed_Assets!$G$2:$G$201,$AB1106)),1),INDEX(Fixed_Assets!$J$2:$J$201,$AB1106)-1),IF($Z1106="F",MIN(IF(INDEX(Workforce!$J$2:$J$151,MATCH(INDEX(FTE_Allocation!$A$2:$A$201,$AB1106),Workforce!$A$2:$A$151,0))="",2958101,INDEX(Workforce!$J$2:$J$151,MATCH(INDEX(FTE_Allocation!$A$2:$A$201,$AB1106),Workforce!$A$2:$A$151,0))),IF(INDEX(FTE_Allocation!$J$2:$J$201,$AB1106)="",2958101,INDEX(FTE_Allocation!$J$2:$J$201,$AB1106))),"")))</f>
        <v/>
      </c>
      <c r="AG1106" s="19">
        <f>IF($Z1106="C",IF(INDEX(Contracts!$I$2:$I$151,$AB1106)="PREPAID",INDEX(Contracts!$M$2:$M$151,$AB1106)/IF(INDEX(Contracts!$N$2:$N$151,$AB1106)="",12,INDEX(Contracts!$N$2:$N$151,$AB1106)),IF(INDEX(Contracts!$I$2:$I$151,$AB1106)="MONTHLY",INDEX(Contracts!$M$2:$M$151,$AB1106),0))*(1-N(INDEX(Contracts!$O$2:$O$151,$AB1106))),IF($Z1106="A",INDEX(Fixed_Assets!$H$2:$H$201,$AB1106)/INDEX(Fixed_Assets!$J$2:$J$201,$AB1106),IF($Z1106="F",INDEX(Workforce!$F$2:$F$151,MATCH(INDEX(FTE_Allocation!$A$2:$A$201,$AB1106),Workforce!$A$2:$A$151,0))*N(INDEX(FTE_Allocation!$F$2:$H$201,$AB1106,$AC1106)),"")))</f>
        <v/>
      </c>
    </row>
    <row r="1107">
      <c r="A1107" s="7">
        <f>IF($Z1107="","",$AD1107)</f>
        <v/>
      </c>
      <c r="B1107" s="7">
        <f>IF($Z1107="C",INDEX(Contracts!$D$2:$D$151,$AB1107)&amp;"",IF($Z1107="A",INDEX(Fixed_Assets!$C$2:$C$201,$AB1107)&amp;"",IF($Z1107="F",INDEX(Workforce!$B$2:$B$151,MATCH(INDEX(FTE_Allocation!$A$2:$A$201,$AB1107),Workforce!$A$2:$A$151,0))&amp;"","")))</f>
        <v/>
      </c>
      <c r="C1107" s="7">
        <f>IF($Z1107="C",INDEX(Contracts!$E$2:$E$151,$AB1107)&amp;"",IF($Z1107="A",INDEX(Fixed_Assets!$D$2:$D$201,$AB1107)&amp;"",IF($Z1107="F",INDEX(FTE_Allocation!$C$2:$C$201,$AB1107)&amp;"","")))</f>
        <v/>
      </c>
      <c r="D1107" s="7">
        <f>IF($Z1107="C",INDEX(Contracts!$B$2:$B$151,$AB1107)&amp;"",IF($Z1107="A",INDEX(Fixed_Assets!$B$2:$B$201,$AB1107)&amp;"",IF($Z1107="F",INDEX(FTE_Allocation!$B$2:$B$201,$AB1107)&amp;"","")))</f>
        <v/>
      </c>
      <c r="E1107" s="7">
        <f>IF($Z1107="C",INDEX(Contracts!$P$2:$P$151,$AB1107)&amp;"",IF($Z1107="A",INDEX(Fixed_Assets!$K$2:$K$201,$AB1107)&amp;"",IF($Z1107="F",IF(INDEX(FTE_Allocation!$D$2:$D$201,$AB1107)="PROJECT",IFERROR(INDEX(Projects!$D:$D,MATCH(INDEX(FTE_Allocation!$E$2:$E$201,$AB1107),Projects!$A:$A,0))&amp;"","#PROJECT?"),INDEX(FTE_Allocation!$E$2:$E$201,$AB1107)&amp;""),"")))</f>
        <v/>
      </c>
      <c r="F1107" s="7">
        <f>IF($Z1107="C",INDEX(Contracts!$Q$2:$Q$151,$AB1107)&amp;"",IF($Z1107="A",INDEX(Fixed_Assets!$L$2:$L$201,$AB1107)&amp;"",IF($Z1107="F",INDEX(Workforce!$K$2:$K$151,MATCH(INDEX(FTE_Allocation!$A$2:$A$201,$AB1107),Workforce!$A$2:$A$151,0))&amp;"","")))</f>
        <v/>
      </c>
      <c r="G1107" s="7">
        <f>IF($Z1107="C",INDEX(Contracts!$F$2:$F$151,$AB1107)&amp;" / "&amp;INDEX(Contracts!$G$2:$G$151,$AB1107),IF($Z1107="A",INDEX(Fixed_Assets!$E$2:$E$201,$AB1107)&amp;"",IF($Z1107="F","Personnel "&amp;INDEX(FTE_Allocation!$A$2:$A$201,$AB1107)&amp;IF(INDEX(FTE_Allocation!$D$2:$D$201,$AB1107)="PROJECT"," ("&amp;INDEX(FTE_Allocation!$E$2:$E$201,$AB1107)&amp;")",""),"")))</f>
        <v/>
      </c>
      <c r="H1107" s="7">
        <f>IF($Z1107="C","CONTRACT",IF($Z1107="A","ASSET",IF($Z1107="F","WORKFORCE","")))</f>
        <v/>
      </c>
      <c r="I1107" s="7">
        <f>IF($Z1107="C",INDEX(Contracts!$L$2:$L$151,$AB1107)&amp;"",IF($Z1107="A",INDEX(Fixed_Assets!$I$2:$I$201,$AB1107)&amp;"",IF($Z1107="F",INDEX(Workforce!$G$2:$G$151,MATCH(INDEX(FTE_Allocation!$A$2:$A$201,$AB1107),Workforce!$A$2:$A$151,0))&amp;"","")))</f>
        <v/>
      </c>
      <c r="J1107" s="18">
        <f>IF($Z1107="","",IF(AND(DATE($AD1107,1,1)&gt;=$AE1107,DATE($AD1107,1,1)&lt;=$AF1107),ROUND($AG1107,2),0))</f>
        <v/>
      </c>
      <c r="K1107" s="18">
        <f>IF($Z1107="","",IF(AND(DATE($AD1107,2,1)&gt;=$AE1107,DATE($AD1107,2,1)&lt;=$AF1107),ROUND($AG1107,2),0))</f>
        <v/>
      </c>
      <c r="L1107" s="18">
        <f>IF($Z1107="","",IF(AND(DATE($AD1107,3,1)&gt;=$AE1107,DATE($AD1107,3,1)&lt;=$AF1107),ROUND($AG1107,2),0))</f>
        <v/>
      </c>
      <c r="M1107" s="18">
        <f>IF($Z1107="","",IF(AND(DATE($AD1107,4,1)&gt;=$AE1107,DATE($AD1107,4,1)&lt;=$AF1107),ROUND($AG1107,2),0))</f>
        <v/>
      </c>
      <c r="N1107" s="18">
        <f>IF($Z1107="","",IF(AND(DATE($AD1107,5,1)&gt;=$AE1107,DATE($AD1107,5,1)&lt;=$AF1107),ROUND($AG1107,2),0))</f>
        <v/>
      </c>
      <c r="O1107" s="18">
        <f>IF($Z1107="","",IF(AND(DATE($AD1107,6,1)&gt;=$AE1107,DATE($AD1107,6,1)&lt;=$AF1107),ROUND($AG1107,2),0))</f>
        <v/>
      </c>
      <c r="P1107" s="18">
        <f>IF($Z1107="","",IF(AND(DATE($AD1107,7,1)&gt;=$AE1107,DATE($AD1107,7,1)&lt;=$AF1107),ROUND($AG1107,2),0))</f>
        <v/>
      </c>
      <c r="Q1107" s="18">
        <f>IF($Z1107="","",IF(AND(DATE($AD1107,8,1)&gt;=$AE1107,DATE($AD1107,8,1)&lt;=$AF1107),ROUND($AG1107,2),0))</f>
        <v/>
      </c>
      <c r="R1107" s="18">
        <f>IF($Z1107="","",IF(AND(DATE($AD1107,9,1)&gt;=$AE1107,DATE($AD1107,9,1)&lt;=$AF1107),ROUND($AG1107,2),0))</f>
        <v/>
      </c>
      <c r="S1107" s="18">
        <f>IF($Z1107="","",IF(AND(DATE($AD1107,10,1)&gt;=$AE1107,DATE($AD1107,10,1)&lt;=$AF1107),ROUND($AG1107,2),0))</f>
        <v/>
      </c>
      <c r="T1107" s="18">
        <f>IF($Z1107="","",IF(AND(DATE($AD1107,11,1)&gt;=$AE1107,DATE($AD1107,11,1)&lt;=$AF1107),ROUND($AG1107,2),0))</f>
        <v/>
      </c>
      <c r="U1107" s="18">
        <f>IF($Z1107="","",IF(AND(DATE($AD1107,12,1)&gt;=$AE1107,DATE($AD1107,12,1)&lt;=$AF1107),ROUND($AG1107,2),0))</f>
        <v/>
      </c>
      <c r="V1107" s="7">
        <f>IF($Z1107="C","Generated from "&amp;INDEX(Contracts!$A$2:$A$151,$AB1107),IF($Z1107="A","Generated from "&amp;INDEX(Fixed_Assets!$A$2:$A$201,$AB1107),IF($Z1107="F","Generated from "&amp;INDEX(FTE_Allocation!$A$2:$A$201,$AB1107),"")))</f>
        <v/>
      </c>
      <c r="X1107" s="19">
        <f>IF($Z1107="","",SUM(J1107:U1107))</f>
        <v/>
      </c>
      <c r="Y1107" s="20">
        <f>ROW()-1</f>
        <v/>
      </c>
      <c r="Z1107" s="20">
        <f>IF($Y1107&lt;=Settings!$B$4*3,"C",IF($Y1107&lt;=(Settings!$B$4+Settings!$B$5)*3,"A",IF($Y1107&lt;=(Settings!$B$4+Settings!$B$5+Settings!$B$6)*3,"F","")))</f>
        <v/>
      </c>
      <c r="AA1107" s="20">
        <f>IF($Z1107="C",$Y1107,IF($Z1107="A",$Y1107-Settings!$B$4*3,IF($Z1107="F",$Y1107-(Settings!$B$4+Settings!$B$5)*3,"")))</f>
        <v/>
      </c>
      <c r="AB1107" s="20">
        <f>IF($Z1107="","",INT(($AA1107-1)/3)+1)</f>
        <v/>
      </c>
      <c r="AC1107" s="20">
        <f>IF($Z1107="","",MOD($AA1107-1,3)+1)</f>
        <v/>
      </c>
      <c r="AD1107" s="20">
        <f>IF($Z1107="","",Settings!$B$2+$AC1107-1)</f>
        <v/>
      </c>
      <c r="AE1107" s="21">
        <f>IF($Z1107="C",DATE(YEAR(INDEX(Contracts!$J$2:$J$151,$AB1107)),MONTH(INDEX(Contracts!$J$2:$J$151,$AB1107)),1),IF($Z1107="A",DATE(YEAR(INDEX(Fixed_Assets!$G$2:$G$201,$AB1107)),MONTH(INDEX(Fixed_Assets!$G$2:$G$201,$AB1107)),1),IF($Z1107="F",DATE(YEAR(MAX(N(INDEX(Workforce!$I$2:$I$151,MATCH(INDEX(FTE_Allocation!$A$2:$A$201,$AB1107),Workforce!$A$2:$A$151,0))),N(INDEX(FTE_Allocation!$I$2:$I$201,$AB1107)))),MONTH(MAX(N(INDEX(Workforce!$I$2:$I$151,MATCH(INDEX(FTE_Allocation!$A$2:$A$201,$AB1107),Workforce!$A$2:$A$151,0))),N(INDEX(FTE_Allocation!$I$2:$I$201,$AB1107)))),1),"")))</f>
        <v/>
      </c>
      <c r="AF1107" s="21">
        <f>IF($Z1107="C",IF(INDEX(Contracts!$I$2:$I$151,$AB1107)="PREPAID",EDATE(DATE(YEAR(INDEX(Contracts!$J$2:$J$151,$AB1107)),MONTH(INDEX(Contracts!$J$2:$J$151,$AB1107)),1),IF(INDEX(Contracts!$N$2:$N$151,$AB1107)="",12,INDEX(Contracts!$N$2:$N$151,$AB1107))-1),IF(INDEX(Contracts!$I$2:$I$151,$AB1107)="MONTHLY",IF(INDEX(Contracts!$K$2:$K$151,$AB1107)="",2958101,INDEX(Contracts!$K$2:$K$151,$AB1107)),0)),IF($Z1107="A",EDATE(DATE(YEAR(INDEX(Fixed_Assets!$G$2:$G$201,$AB1107)),MONTH(INDEX(Fixed_Assets!$G$2:$G$201,$AB1107)),1),INDEX(Fixed_Assets!$J$2:$J$201,$AB1107)-1),IF($Z1107="F",MIN(IF(INDEX(Workforce!$J$2:$J$151,MATCH(INDEX(FTE_Allocation!$A$2:$A$201,$AB1107),Workforce!$A$2:$A$151,0))="",2958101,INDEX(Workforce!$J$2:$J$151,MATCH(INDEX(FTE_Allocation!$A$2:$A$201,$AB1107),Workforce!$A$2:$A$151,0))),IF(INDEX(FTE_Allocation!$J$2:$J$201,$AB1107)="",2958101,INDEX(FTE_Allocation!$J$2:$J$201,$AB1107))),"")))</f>
        <v/>
      </c>
      <c r="AG1107" s="19">
        <f>IF($Z1107="C",IF(INDEX(Contracts!$I$2:$I$151,$AB1107)="PREPAID",INDEX(Contracts!$M$2:$M$151,$AB1107)/IF(INDEX(Contracts!$N$2:$N$151,$AB1107)="",12,INDEX(Contracts!$N$2:$N$151,$AB1107)),IF(INDEX(Contracts!$I$2:$I$151,$AB1107)="MONTHLY",INDEX(Contracts!$M$2:$M$151,$AB1107),0))*(1-N(INDEX(Contracts!$O$2:$O$151,$AB1107))),IF($Z1107="A",INDEX(Fixed_Assets!$H$2:$H$201,$AB1107)/INDEX(Fixed_Assets!$J$2:$J$201,$AB1107),IF($Z1107="F",INDEX(Workforce!$F$2:$F$151,MATCH(INDEX(FTE_Allocation!$A$2:$A$201,$AB1107),Workforce!$A$2:$A$151,0))*N(INDEX(FTE_Allocation!$F$2:$H$201,$AB1107,$AC1107)),"")))</f>
        <v/>
      </c>
    </row>
    <row r="1108">
      <c r="A1108" s="7">
        <f>IF($Z1108="","",$AD1108)</f>
        <v/>
      </c>
      <c r="B1108" s="7">
        <f>IF($Z1108="C",INDEX(Contracts!$D$2:$D$151,$AB1108)&amp;"",IF($Z1108="A",INDEX(Fixed_Assets!$C$2:$C$201,$AB1108)&amp;"",IF($Z1108="F",INDEX(Workforce!$B$2:$B$151,MATCH(INDEX(FTE_Allocation!$A$2:$A$201,$AB1108),Workforce!$A$2:$A$151,0))&amp;"","")))</f>
        <v/>
      </c>
      <c r="C1108" s="7">
        <f>IF($Z1108="C",INDEX(Contracts!$E$2:$E$151,$AB1108)&amp;"",IF($Z1108="A",INDEX(Fixed_Assets!$D$2:$D$201,$AB1108)&amp;"",IF($Z1108="F",INDEX(FTE_Allocation!$C$2:$C$201,$AB1108)&amp;"","")))</f>
        <v/>
      </c>
      <c r="D1108" s="7">
        <f>IF($Z1108="C",INDEX(Contracts!$B$2:$B$151,$AB1108)&amp;"",IF($Z1108="A",INDEX(Fixed_Assets!$B$2:$B$201,$AB1108)&amp;"",IF($Z1108="F",INDEX(FTE_Allocation!$B$2:$B$201,$AB1108)&amp;"","")))</f>
        <v/>
      </c>
      <c r="E1108" s="7">
        <f>IF($Z1108="C",INDEX(Contracts!$P$2:$P$151,$AB1108)&amp;"",IF($Z1108="A",INDEX(Fixed_Assets!$K$2:$K$201,$AB1108)&amp;"",IF($Z1108="F",IF(INDEX(FTE_Allocation!$D$2:$D$201,$AB1108)="PROJECT",IFERROR(INDEX(Projects!$D:$D,MATCH(INDEX(FTE_Allocation!$E$2:$E$201,$AB1108),Projects!$A:$A,0))&amp;"","#PROJECT?"),INDEX(FTE_Allocation!$E$2:$E$201,$AB1108)&amp;""),"")))</f>
        <v/>
      </c>
      <c r="F1108" s="7">
        <f>IF($Z1108="C",INDEX(Contracts!$Q$2:$Q$151,$AB1108)&amp;"",IF($Z1108="A",INDEX(Fixed_Assets!$L$2:$L$201,$AB1108)&amp;"",IF($Z1108="F",INDEX(Workforce!$K$2:$K$151,MATCH(INDEX(FTE_Allocation!$A$2:$A$201,$AB1108),Workforce!$A$2:$A$151,0))&amp;"","")))</f>
        <v/>
      </c>
      <c r="G1108" s="7">
        <f>IF($Z1108="C",INDEX(Contracts!$F$2:$F$151,$AB1108)&amp;" / "&amp;INDEX(Contracts!$G$2:$G$151,$AB1108),IF($Z1108="A",INDEX(Fixed_Assets!$E$2:$E$201,$AB1108)&amp;"",IF($Z1108="F","Personnel "&amp;INDEX(FTE_Allocation!$A$2:$A$201,$AB1108)&amp;IF(INDEX(FTE_Allocation!$D$2:$D$201,$AB1108)="PROJECT"," ("&amp;INDEX(FTE_Allocation!$E$2:$E$201,$AB1108)&amp;")",""),"")))</f>
        <v/>
      </c>
      <c r="H1108" s="7">
        <f>IF($Z1108="C","CONTRACT",IF($Z1108="A","ASSET",IF($Z1108="F","WORKFORCE","")))</f>
        <v/>
      </c>
      <c r="I1108" s="7">
        <f>IF($Z1108="C",INDEX(Contracts!$L$2:$L$151,$AB1108)&amp;"",IF($Z1108="A",INDEX(Fixed_Assets!$I$2:$I$201,$AB1108)&amp;"",IF($Z1108="F",INDEX(Workforce!$G$2:$G$151,MATCH(INDEX(FTE_Allocation!$A$2:$A$201,$AB1108),Workforce!$A$2:$A$151,0))&amp;"","")))</f>
        <v/>
      </c>
      <c r="J1108" s="18">
        <f>IF($Z1108="","",IF(AND(DATE($AD1108,1,1)&gt;=$AE1108,DATE($AD1108,1,1)&lt;=$AF1108),ROUND($AG1108,2),0))</f>
        <v/>
      </c>
      <c r="K1108" s="18">
        <f>IF($Z1108="","",IF(AND(DATE($AD1108,2,1)&gt;=$AE1108,DATE($AD1108,2,1)&lt;=$AF1108),ROUND($AG1108,2),0))</f>
        <v/>
      </c>
      <c r="L1108" s="18">
        <f>IF($Z1108="","",IF(AND(DATE($AD1108,3,1)&gt;=$AE1108,DATE($AD1108,3,1)&lt;=$AF1108),ROUND($AG1108,2),0))</f>
        <v/>
      </c>
      <c r="M1108" s="18">
        <f>IF($Z1108="","",IF(AND(DATE($AD1108,4,1)&gt;=$AE1108,DATE($AD1108,4,1)&lt;=$AF1108),ROUND($AG1108,2),0))</f>
        <v/>
      </c>
      <c r="N1108" s="18">
        <f>IF($Z1108="","",IF(AND(DATE($AD1108,5,1)&gt;=$AE1108,DATE($AD1108,5,1)&lt;=$AF1108),ROUND($AG1108,2),0))</f>
        <v/>
      </c>
      <c r="O1108" s="18">
        <f>IF($Z1108="","",IF(AND(DATE($AD1108,6,1)&gt;=$AE1108,DATE($AD1108,6,1)&lt;=$AF1108),ROUND($AG1108,2),0))</f>
        <v/>
      </c>
      <c r="P1108" s="18">
        <f>IF($Z1108="","",IF(AND(DATE($AD1108,7,1)&gt;=$AE1108,DATE($AD1108,7,1)&lt;=$AF1108),ROUND($AG1108,2),0))</f>
        <v/>
      </c>
      <c r="Q1108" s="18">
        <f>IF($Z1108="","",IF(AND(DATE($AD1108,8,1)&gt;=$AE1108,DATE($AD1108,8,1)&lt;=$AF1108),ROUND($AG1108,2),0))</f>
        <v/>
      </c>
      <c r="R1108" s="18">
        <f>IF($Z1108="","",IF(AND(DATE($AD1108,9,1)&gt;=$AE1108,DATE($AD1108,9,1)&lt;=$AF1108),ROUND($AG1108,2),0))</f>
        <v/>
      </c>
      <c r="S1108" s="18">
        <f>IF($Z1108="","",IF(AND(DATE($AD1108,10,1)&gt;=$AE1108,DATE($AD1108,10,1)&lt;=$AF1108),ROUND($AG1108,2),0))</f>
        <v/>
      </c>
      <c r="T1108" s="18">
        <f>IF($Z1108="","",IF(AND(DATE($AD1108,11,1)&gt;=$AE1108,DATE($AD1108,11,1)&lt;=$AF1108),ROUND($AG1108,2),0))</f>
        <v/>
      </c>
      <c r="U1108" s="18">
        <f>IF($Z1108="","",IF(AND(DATE($AD1108,12,1)&gt;=$AE1108,DATE($AD1108,12,1)&lt;=$AF1108),ROUND($AG1108,2),0))</f>
        <v/>
      </c>
      <c r="V1108" s="7">
        <f>IF($Z1108="C","Generated from "&amp;INDEX(Contracts!$A$2:$A$151,$AB1108),IF($Z1108="A","Generated from "&amp;INDEX(Fixed_Assets!$A$2:$A$201,$AB1108),IF($Z1108="F","Generated from "&amp;INDEX(FTE_Allocation!$A$2:$A$201,$AB1108),"")))</f>
        <v/>
      </c>
      <c r="X1108" s="19">
        <f>IF($Z1108="","",SUM(J1108:U1108))</f>
        <v/>
      </c>
      <c r="Y1108" s="20">
        <f>ROW()-1</f>
        <v/>
      </c>
      <c r="Z1108" s="20">
        <f>IF($Y1108&lt;=Settings!$B$4*3,"C",IF($Y1108&lt;=(Settings!$B$4+Settings!$B$5)*3,"A",IF($Y1108&lt;=(Settings!$B$4+Settings!$B$5+Settings!$B$6)*3,"F","")))</f>
        <v/>
      </c>
      <c r="AA1108" s="20">
        <f>IF($Z1108="C",$Y1108,IF($Z1108="A",$Y1108-Settings!$B$4*3,IF($Z1108="F",$Y1108-(Settings!$B$4+Settings!$B$5)*3,"")))</f>
        <v/>
      </c>
      <c r="AB1108" s="20">
        <f>IF($Z1108="","",INT(($AA1108-1)/3)+1)</f>
        <v/>
      </c>
      <c r="AC1108" s="20">
        <f>IF($Z1108="","",MOD($AA1108-1,3)+1)</f>
        <v/>
      </c>
      <c r="AD1108" s="20">
        <f>IF($Z1108="","",Settings!$B$2+$AC1108-1)</f>
        <v/>
      </c>
      <c r="AE1108" s="21">
        <f>IF($Z1108="C",DATE(YEAR(INDEX(Contracts!$J$2:$J$151,$AB1108)),MONTH(INDEX(Contracts!$J$2:$J$151,$AB1108)),1),IF($Z1108="A",DATE(YEAR(INDEX(Fixed_Assets!$G$2:$G$201,$AB1108)),MONTH(INDEX(Fixed_Assets!$G$2:$G$201,$AB1108)),1),IF($Z1108="F",DATE(YEAR(MAX(N(INDEX(Workforce!$I$2:$I$151,MATCH(INDEX(FTE_Allocation!$A$2:$A$201,$AB1108),Workforce!$A$2:$A$151,0))),N(INDEX(FTE_Allocation!$I$2:$I$201,$AB1108)))),MONTH(MAX(N(INDEX(Workforce!$I$2:$I$151,MATCH(INDEX(FTE_Allocation!$A$2:$A$201,$AB1108),Workforce!$A$2:$A$151,0))),N(INDEX(FTE_Allocation!$I$2:$I$201,$AB1108)))),1),"")))</f>
        <v/>
      </c>
      <c r="AF1108" s="21">
        <f>IF($Z1108="C",IF(INDEX(Contracts!$I$2:$I$151,$AB1108)="PREPAID",EDATE(DATE(YEAR(INDEX(Contracts!$J$2:$J$151,$AB1108)),MONTH(INDEX(Contracts!$J$2:$J$151,$AB1108)),1),IF(INDEX(Contracts!$N$2:$N$151,$AB1108)="",12,INDEX(Contracts!$N$2:$N$151,$AB1108))-1),IF(INDEX(Contracts!$I$2:$I$151,$AB1108)="MONTHLY",IF(INDEX(Contracts!$K$2:$K$151,$AB1108)="",2958101,INDEX(Contracts!$K$2:$K$151,$AB1108)),0)),IF($Z1108="A",EDATE(DATE(YEAR(INDEX(Fixed_Assets!$G$2:$G$201,$AB1108)),MONTH(INDEX(Fixed_Assets!$G$2:$G$201,$AB1108)),1),INDEX(Fixed_Assets!$J$2:$J$201,$AB1108)-1),IF($Z1108="F",MIN(IF(INDEX(Workforce!$J$2:$J$151,MATCH(INDEX(FTE_Allocation!$A$2:$A$201,$AB1108),Workforce!$A$2:$A$151,0))="",2958101,INDEX(Workforce!$J$2:$J$151,MATCH(INDEX(FTE_Allocation!$A$2:$A$201,$AB1108),Workforce!$A$2:$A$151,0))),IF(INDEX(FTE_Allocation!$J$2:$J$201,$AB1108)="",2958101,INDEX(FTE_Allocation!$J$2:$J$201,$AB1108))),"")))</f>
        <v/>
      </c>
      <c r="AG1108" s="19">
        <f>IF($Z1108="C",IF(INDEX(Contracts!$I$2:$I$151,$AB1108)="PREPAID",INDEX(Contracts!$M$2:$M$151,$AB1108)/IF(INDEX(Contracts!$N$2:$N$151,$AB1108)="",12,INDEX(Contracts!$N$2:$N$151,$AB1108)),IF(INDEX(Contracts!$I$2:$I$151,$AB1108)="MONTHLY",INDEX(Contracts!$M$2:$M$151,$AB1108),0))*(1-N(INDEX(Contracts!$O$2:$O$151,$AB1108))),IF($Z1108="A",INDEX(Fixed_Assets!$H$2:$H$201,$AB1108)/INDEX(Fixed_Assets!$J$2:$J$201,$AB1108),IF($Z1108="F",INDEX(Workforce!$F$2:$F$151,MATCH(INDEX(FTE_Allocation!$A$2:$A$201,$AB1108),Workforce!$A$2:$A$151,0))*N(INDEX(FTE_Allocation!$F$2:$H$201,$AB1108,$AC1108)),"")))</f>
        <v/>
      </c>
    </row>
    <row r="1109">
      <c r="A1109" s="7">
        <f>IF($Z1109="","",$AD1109)</f>
        <v/>
      </c>
      <c r="B1109" s="7">
        <f>IF($Z1109="C",INDEX(Contracts!$D$2:$D$151,$AB1109)&amp;"",IF($Z1109="A",INDEX(Fixed_Assets!$C$2:$C$201,$AB1109)&amp;"",IF($Z1109="F",INDEX(Workforce!$B$2:$B$151,MATCH(INDEX(FTE_Allocation!$A$2:$A$201,$AB1109),Workforce!$A$2:$A$151,0))&amp;"","")))</f>
        <v/>
      </c>
      <c r="C1109" s="7">
        <f>IF($Z1109="C",INDEX(Contracts!$E$2:$E$151,$AB1109)&amp;"",IF($Z1109="A",INDEX(Fixed_Assets!$D$2:$D$201,$AB1109)&amp;"",IF($Z1109="F",INDEX(FTE_Allocation!$C$2:$C$201,$AB1109)&amp;"","")))</f>
        <v/>
      </c>
      <c r="D1109" s="7">
        <f>IF($Z1109="C",INDEX(Contracts!$B$2:$B$151,$AB1109)&amp;"",IF($Z1109="A",INDEX(Fixed_Assets!$B$2:$B$201,$AB1109)&amp;"",IF($Z1109="F",INDEX(FTE_Allocation!$B$2:$B$201,$AB1109)&amp;"","")))</f>
        <v/>
      </c>
      <c r="E1109" s="7">
        <f>IF($Z1109="C",INDEX(Contracts!$P$2:$P$151,$AB1109)&amp;"",IF($Z1109="A",INDEX(Fixed_Assets!$K$2:$K$201,$AB1109)&amp;"",IF($Z1109="F",IF(INDEX(FTE_Allocation!$D$2:$D$201,$AB1109)="PROJECT",IFERROR(INDEX(Projects!$D:$D,MATCH(INDEX(FTE_Allocation!$E$2:$E$201,$AB1109),Projects!$A:$A,0))&amp;"","#PROJECT?"),INDEX(FTE_Allocation!$E$2:$E$201,$AB1109)&amp;""),"")))</f>
        <v/>
      </c>
      <c r="F1109" s="7">
        <f>IF($Z1109="C",INDEX(Contracts!$Q$2:$Q$151,$AB1109)&amp;"",IF($Z1109="A",INDEX(Fixed_Assets!$L$2:$L$201,$AB1109)&amp;"",IF($Z1109="F",INDEX(Workforce!$K$2:$K$151,MATCH(INDEX(FTE_Allocation!$A$2:$A$201,$AB1109),Workforce!$A$2:$A$151,0))&amp;"","")))</f>
        <v/>
      </c>
      <c r="G1109" s="7">
        <f>IF($Z1109="C",INDEX(Contracts!$F$2:$F$151,$AB1109)&amp;" / "&amp;INDEX(Contracts!$G$2:$G$151,$AB1109),IF($Z1109="A",INDEX(Fixed_Assets!$E$2:$E$201,$AB1109)&amp;"",IF($Z1109="F","Personnel "&amp;INDEX(FTE_Allocation!$A$2:$A$201,$AB1109)&amp;IF(INDEX(FTE_Allocation!$D$2:$D$201,$AB1109)="PROJECT"," ("&amp;INDEX(FTE_Allocation!$E$2:$E$201,$AB1109)&amp;")",""),"")))</f>
        <v/>
      </c>
      <c r="H1109" s="7">
        <f>IF($Z1109="C","CONTRACT",IF($Z1109="A","ASSET",IF($Z1109="F","WORKFORCE","")))</f>
        <v/>
      </c>
      <c r="I1109" s="7">
        <f>IF($Z1109="C",INDEX(Contracts!$L$2:$L$151,$AB1109)&amp;"",IF($Z1109="A",INDEX(Fixed_Assets!$I$2:$I$201,$AB1109)&amp;"",IF($Z1109="F",INDEX(Workforce!$G$2:$G$151,MATCH(INDEX(FTE_Allocation!$A$2:$A$201,$AB1109),Workforce!$A$2:$A$151,0))&amp;"","")))</f>
        <v/>
      </c>
      <c r="J1109" s="18">
        <f>IF($Z1109="","",IF(AND(DATE($AD1109,1,1)&gt;=$AE1109,DATE($AD1109,1,1)&lt;=$AF1109),ROUND($AG1109,2),0))</f>
        <v/>
      </c>
      <c r="K1109" s="18">
        <f>IF($Z1109="","",IF(AND(DATE($AD1109,2,1)&gt;=$AE1109,DATE($AD1109,2,1)&lt;=$AF1109),ROUND($AG1109,2),0))</f>
        <v/>
      </c>
      <c r="L1109" s="18">
        <f>IF($Z1109="","",IF(AND(DATE($AD1109,3,1)&gt;=$AE1109,DATE($AD1109,3,1)&lt;=$AF1109),ROUND($AG1109,2),0))</f>
        <v/>
      </c>
      <c r="M1109" s="18">
        <f>IF($Z1109="","",IF(AND(DATE($AD1109,4,1)&gt;=$AE1109,DATE($AD1109,4,1)&lt;=$AF1109),ROUND($AG1109,2),0))</f>
        <v/>
      </c>
      <c r="N1109" s="18">
        <f>IF($Z1109="","",IF(AND(DATE($AD1109,5,1)&gt;=$AE1109,DATE($AD1109,5,1)&lt;=$AF1109),ROUND($AG1109,2),0))</f>
        <v/>
      </c>
      <c r="O1109" s="18">
        <f>IF($Z1109="","",IF(AND(DATE($AD1109,6,1)&gt;=$AE1109,DATE($AD1109,6,1)&lt;=$AF1109),ROUND($AG1109,2),0))</f>
        <v/>
      </c>
      <c r="P1109" s="18">
        <f>IF($Z1109="","",IF(AND(DATE($AD1109,7,1)&gt;=$AE1109,DATE($AD1109,7,1)&lt;=$AF1109),ROUND($AG1109,2),0))</f>
        <v/>
      </c>
      <c r="Q1109" s="18">
        <f>IF($Z1109="","",IF(AND(DATE($AD1109,8,1)&gt;=$AE1109,DATE($AD1109,8,1)&lt;=$AF1109),ROUND($AG1109,2),0))</f>
        <v/>
      </c>
      <c r="R1109" s="18">
        <f>IF($Z1109="","",IF(AND(DATE($AD1109,9,1)&gt;=$AE1109,DATE($AD1109,9,1)&lt;=$AF1109),ROUND($AG1109,2),0))</f>
        <v/>
      </c>
      <c r="S1109" s="18">
        <f>IF($Z1109="","",IF(AND(DATE($AD1109,10,1)&gt;=$AE1109,DATE($AD1109,10,1)&lt;=$AF1109),ROUND($AG1109,2),0))</f>
        <v/>
      </c>
      <c r="T1109" s="18">
        <f>IF($Z1109="","",IF(AND(DATE($AD1109,11,1)&gt;=$AE1109,DATE($AD1109,11,1)&lt;=$AF1109),ROUND($AG1109,2),0))</f>
        <v/>
      </c>
      <c r="U1109" s="18">
        <f>IF($Z1109="","",IF(AND(DATE($AD1109,12,1)&gt;=$AE1109,DATE($AD1109,12,1)&lt;=$AF1109),ROUND($AG1109,2),0))</f>
        <v/>
      </c>
      <c r="V1109" s="7">
        <f>IF($Z1109="C","Generated from "&amp;INDEX(Contracts!$A$2:$A$151,$AB1109),IF($Z1109="A","Generated from "&amp;INDEX(Fixed_Assets!$A$2:$A$201,$AB1109),IF($Z1109="F","Generated from "&amp;INDEX(FTE_Allocation!$A$2:$A$201,$AB1109),"")))</f>
        <v/>
      </c>
      <c r="X1109" s="19">
        <f>IF($Z1109="","",SUM(J1109:U1109))</f>
        <v/>
      </c>
      <c r="Y1109" s="20">
        <f>ROW()-1</f>
        <v/>
      </c>
      <c r="Z1109" s="20">
        <f>IF($Y1109&lt;=Settings!$B$4*3,"C",IF($Y1109&lt;=(Settings!$B$4+Settings!$B$5)*3,"A",IF($Y1109&lt;=(Settings!$B$4+Settings!$B$5+Settings!$B$6)*3,"F","")))</f>
        <v/>
      </c>
      <c r="AA1109" s="20">
        <f>IF($Z1109="C",$Y1109,IF($Z1109="A",$Y1109-Settings!$B$4*3,IF($Z1109="F",$Y1109-(Settings!$B$4+Settings!$B$5)*3,"")))</f>
        <v/>
      </c>
      <c r="AB1109" s="20">
        <f>IF($Z1109="","",INT(($AA1109-1)/3)+1)</f>
        <v/>
      </c>
      <c r="AC1109" s="20">
        <f>IF($Z1109="","",MOD($AA1109-1,3)+1)</f>
        <v/>
      </c>
      <c r="AD1109" s="20">
        <f>IF($Z1109="","",Settings!$B$2+$AC1109-1)</f>
        <v/>
      </c>
      <c r="AE1109" s="21">
        <f>IF($Z1109="C",DATE(YEAR(INDEX(Contracts!$J$2:$J$151,$AB1109)),MONTH(INDEX(Contracts!$J$2:$J$151,$AB1109)),1),IF($Z1109="A",DATE(YEAR(INDEX(Fixed_Assets!$G$2:$G$201,$AB1109)),MONTH(INDEX(Fixed_Assets!$G$2:$G$201,$AB1109)),1),IF($Z1109="F",DATE(YEAR(MAX(N(INDEX(Workforce!$I$2:$I$151,MATCH(INDEX(FTE_Allocation!$A$2:$A$201,$AB1109),Workforce!$A$2:$A$151,0))),N(INDEX(FTE_Allocation!$I$2:$I$201,$AB1109)))),MONTH(MAX(N(INDEX(Workforce!$I$2:$I$151,MATCH(INDEX(FTE_Allocation!$A$2:$A$201,$AB1109),Workforce!$A$2:$A$151,0))),N(INDEX(FTE_Allocation!$I$2:$I$201,$AB1109)))),1),"")))</f>
        <v/>
      </c>
      <c r="AF1109" s="21">
        <f>IF($Z1109="C",IF(INDEX(Contracts!$I$2:$I$151,$AB1109)="PREPAID",EDATE(DATE(YEAR(INDEX(Contracts!$J$2:$J$151,$AB1109)),MONTH(INDEX(Contracts!$J$2:$J$151,$AB1109)),1),IF(INDEX(Contracts!$N$2:$N$151,$AB1109)="",12,INDEX(Contracts!$N$2:$N$151,$AB1109))-1),IF(INDEX(Contracts!$I$2:$I$151,$AB1109)="MONTHLY",IF(INDEX(Contracts!$K$2:$K$151,$AB1109)="",2958101,INDEX(Contracts!$K$2:$K$151,$AB1109)),0)),IF($Z1109="A",EDATE(DATE(YEAR(INDEX(Fixed_Assets!$G$2:$G$201,$AB1109)),MONTH(INDEX(Fixed_Assets!$G$2:$G$201,$AB1109)),1),INDEX(Fixed_Assets!$J$2:$J$201,$AB1109)-1),IF($Z1109="F",MIN(IF(INDEX(Workforce!$J$2:$J$151,MATCH(INDEX(FTE_Allocation!$A$2:$A$201,$AB1109),Workforce!$A$2:$A$151,0))="",2958101,INDEX(Workforce!$J$2:$J$151,MATCH(INDEX(FTE_Allocation!$A$2:$A$201,$AB1109),Workforce!$A$2:$A$151,0))),IF(INDEX(FTE_Allocation!$J$2:$J$201,$AB1109)="",2958101,INDEX(FTE_Allocation!$J$2:$J$201,$AB1109))),"")))</f>
        <v/>
      </c>
      <c r="AG1109" s="19">
        <f>IF($Z1109="C",IF(INDEX(Contracts!$I$2:$I$151,$AB1109)="PREPAID",INDEX(Contracts!$M$2:$M$151,$AB1109)/IF(INDEX(Contracts!$N$2:$N$151,$AB1109)="",12,INDEX(Contracts!$N$2:$N$151,$AB1109)),IF(INDEX(Contracts!$I$2:$I$151,$AB1109)="MONTHLY",INDEX(Contracts!$M$2:$M$151,$AB1109),0))*(1-N(INDEX(Contracts!$O$2:$O$151,$AB1109))),IF($Z1109="A",INDEX(Fixed_Assets!$H$2:$H$201,$AB1109)/INDEX(Fixed_Assets!$J$2:$J$201,$AB1109),IF($Z1109="F",INDEX(Workforce!$F$2:$F$151,MATCH(INDEX(FTE_Allocation!$A$2:$A$201,$AB1109),Workforce!$A$2:$A$151,0))*N(INDEX(FTE_Allocation!$F$2:$H$201,$AB1109,$AC1109)),"")))</f>
        <v/>
      </c>
    </row>
    <row r="1110">
      <c r="A1110" s="7">
        <f>IF($Z1110="","",$AD1110)</f>
        <v/>
      </c>
      <c r="B1110" s="7">
        <f>IF($Z1110="C",INDEX(Contracts!$D$2:$D$151,$AB1110)&amp;"",IF($Z1110="A",INDEX(Fixed_Assets!$C$2:$C$201,$AB1110)&amp;"",IF($Z1110="F",INDEX(Workforce!$B$2:$B$151,MATCH(INDEX(FTE_Allocation!$A$2:$A$201,$AB1110),Workforce!$A$2:$A$151,0))&amp;"","")))</f>
        <v/>
      </c>
      <c r="C1110" s="7">
        <f>IF($Z1110="C",INDEX(Contracts!$E$2:$E$151,$AB1110)&amp;"",IF($Z1110="A",INDEX(Fixed_Assets!$D$2:$D$201,$AB1110)&amp;"",IF($Z1110="F",INDEX(FTE_Allocation!$C$2:$C$201,$AB1110)&amp;"","")))</f>
        <v/>
      </c>
      <c r="D1110" s="7">
        <f>IF($Z1110="C",INDEX(Contracts!$B$2:$B$151,$AB1110)&amp;"",IF($Z1110="A",INDEX(Fixed_Assets!$B$2:$B$201,$AB1110)&amp;"",IF($Z1110="F",INDEX(FTE_Allocation!$B$2:$B$201,$AB1110)&amp;"","")))</f>
        <v/>
      </c>
      <c r="E1110" s="7">
        <f>IF($Z1110="C",INDEX(Contracts!$P$2:$P$151,$AB1110)&amp;"",IF($Z1110="A",INDEX(Fixed_Assets!$K$2:$K$201,$AB1110)&amp;"",IF($Z1110="F",IF(INDEX(FTE_Allocation!$D$2:$D$201,$AB1110)="PROJECT",IFERROR(INDEX(Projects!$D:$D,MATCH(INDEX(FTE_Allocation!$E$2:$E$201,$AB1110),Projects!$A:$A,0))&amp;"","#PROJECT?"),INDEX(FTE_Allocation!$E$2:$E$201,$AB1110)&amp;""),"")))</f>
        <v/>
      </c>
      <c r="F1110" s="7">
        <f>IF($Z1110="C",INDEX(Contracts!$Q$2:$Q$151,$AB1110)&amp;"",IF($Z1110="A",INDEX(Fixed_Assets!$L$2:$L$201,$AB1110)&amp;"",IF($Z1110="F",INDEX(Workforce!$K$2:$K$151,MATCH(INDEX(FTE_Allocation!$A$2:$A$201,$AB1110),Workforce!$A$2:$A$151,0))&amp;"","")))</f>
        <v/>
      </c>
      <c r="G1110" s="7">
        <f>IF($Z1110="C",INDEX(Contracts!$F$2:$F$151,$AB1110)&amp;" / "&amp;INDEX(Contracts!$G$2:$G$151,$AB1110),IF($Z1110="A",INDEX(Fixed_Assets!$E$2:$E$201,$AB1110)&amp;"",IF($Z1110="F","Personnel "&amp;INDEX(FTE_Allocation!$A$2:$A$201,$AB1110)&amp;IF(INDEX(FTE_Allocation!$D$2:$D$201,$AB1110)="PROJECT"," ("&amp;INDEX(FTE_Allocation!$E$2:$E$201,$AB1110)&amp;")",""),"")))</f>
        <v/>
      </c>
      <c r="H1110" s="7">
        <f>IF($Z1110="C","CONTRACT",IF($Z1110="A","ASSET",IF($Z1110="F","WORKFORCE","")))</f>
        <v/>
      </c>
      <c r="I1110" s="7">
        <f>IF($Z1110="C",INDEX(Contracts!$L$2:$L$151,$AB1110)&amp;"",IF($Z1110="A",INDEX(Fixed_Assets!$I$2:$I$201,$AB1110)&amp;"",IF($Z1110="F",INDEX(Workforce!$G$2:$G$151,MATCH(INDEX(FTE_Allocation!$A$2:$A$201,$AB1110),Workforce!$A$2:$A$151,0))&amp;"","")))</f>
        <v/>
      </c>
      <c r="J1110" s="18">
        <f>IF($Z1110="","",IF(AND(DATE($AD1110,1,1)&gt;=$AE1110,DATE($AD1110,1,1)&lt;=$AF1110),ROUND($AG1110,2),0))</f>
        <v/>
      </c>
      <c r="K1110" s="18">
        <f>IF($Z1110="","",IF(AND(DATE($AD1110,2,1)&gt;=$AE1110,DATE($AD1110,2,1)&lt;=$AF1110),ROUND($AG1110,2),0))</f>
        <v/>
      </c>
      <c r="L1110" s="18">
        <f>IF($Z1110="","",IF(AND(DATE($AD1110,3,1)&gt;=$AE1110,DATE($AD1110,3,1)&lt;=$AF1110),ROUND($AG1110,2),0))</f>
        <v/>
      </c>
      <c r="M1110" s="18">
        <f>IF($Z1110="","",IF(AND(DATE($AD1110,4,1)&gt;=$AE1110,DATE($AD1110,4,1)&lt;=$AF1110),ROUND($AG1110,2),0))</f>
        <v/>
      </c>
      <c r="N1110" s="18">
        <f>IF($Z1110="","",IF(AND(DATE($AD1110,5,1)&gt;=$AE1110,DATE($AD1110,5,1)&lt;=$AF1110),ROUND($AG1110,2),0))</f>
        <v/>
      </c>
      <c r="O1110" s="18">
        <f>IF($Z1110="","",IF(AND(DATE($AD1110,6,1)&gt;=$AE1110,DATE($AD1110,6,1)&lt;=$AF1110),ROUND($AG1110,2),0))</f>
        <v/>
      </c>
      <c r="P1110" s="18">
        <f>IF($Z1110="","",IF(AND(DATE($AD1110,7,1)&gt;=$AE1110,DATE($AD1110,7,1)&lt;=$AF1110),ROUND($AG1110,2),0))</f>
        <v/>
      </c>
      <c r="Q1110" s="18">
        <f>IF($Z1110="","",IF(AND(DATE($AD1110,8,1)&gt;=$AE1110,DATE($AD1110,8,1)&lt;=$AF1110),ROUND($AG1110,2),0))</f>
        <v/>
      </c>
      <c r="R1110" s="18">
        <f>IF($Z1110="","",IF(AND(DATE($AD1110,9,1)&gt;=$AE1110,DATE($AD1110,9,1)&lt;=$AF1110),ROUND($AG1110,2),0))</f>
        <v/>
      </c>
      <c r="S1110" s="18">
        <f>IF($Z1110="","",IF(AND(DATE($AD1110,10,1)&gt;=$AE1110,DATE($AD1110,10,1)&lt;=$AF1110),ROUND($AG1110,2),0))</f>
        <v/>
      </c>
      <c r="T1110" s="18">
        <f>IF($Z1110="","",IF(AND(DATE($AD1110,11,1)&gt;=$AE1110,DATE($AD1110,11,1)&lt;=$AF1110),ROUND($AG1110,2),0))</f>
        <v/>
      </c>
      <c r="U1110" s="18">
        <f>IF($Z1110="","",IF(AND(DATE($AD1110,12,1)&gt;=$AE1110,DATE($AD1110,12,1)&lt;=$AF1110),ROUND($AG1110,2),0))</f>
        <v/>
      </c>
      <c r="V1110" s="7">
        <f>IF($Z1110="C","Generated from "&amp;INDEX(Contracts!$A$2:$A$151,$AB1110),IF($Z1110="A","Generated from "&amp;INDEX(Fixed_Assets!$A$2:$A$201,$AB1110),IF($Z1110="F","Generated from "&amp;INDEX(FTE_Allocation!$A$2:$A$201,$AB1110),"")))</f>
        <v/>
      </c>
      <c r="X1110" s="19">
        <f>IF($Z1110="","",SUM(J1110:U1110))</f>
        <v/>
      </c>
      <c r="Y1110" s="20">
        <f>ROW()-1</f>
        <v/>
      </c>
      <c r="Z1110" s="20">
        <f>IF($Y1110&lt;=Settings!$B$4*3,"C",IF($Y1110&lt;=(Settings!$B$4+Settings!$B$5)*3,"A",IF($Y1110&lt;=(Settings!$B$4+Settings!$B$5+Settings!$B$6)*3,"F","")))</f>
        <v/>
      </c>
      <c r="AA1110" s="20">
        <f>IF($Z1110="C",$Y1110,IF($Z1110="A",$Y1110-Settings!$B$4*3,IF($Z1110="F",$Y1110-(Settings!$B$4+Settings!$B$5)*3,"")))</f>
        <v/>
      </c>
      <c r="AB1110" s="20">
        <f>IF($Z1110="","",INT(($AA1110-1)/3)+1)</f>
        <v/>
      </c>
      <c r="AC1110" s="20">
        <f>IF($Z1110="","",MOD($AA1110-1,3)+1)</f>
        <v/>
      </c>
      <c r="AD1110" s="20">
        <f>IF($Z1110="","",Settings!$B$2+$AC1110-1)</f>
        <v/>
      </c>
      <c r="AE1110" s="21">
        <f>IF($Z1110="C",DATE(YEAR(INDEX(Contracts!$J$2:$J$151,$AB1110)),MONTH(INDEX(Contracts!$J$2:$J$151,$AB1110)),1),IF($Z1110="A",DATE(YEAR(INDEX(Fixed_Assets!$G$2:$G$201,$AB1110)),MONTH(INDEX(Fixed_Assets!$G$2:$G$201,$AB1110)),1),IF($Z1110="F",DATE(YEAR(MAX(N(INDEX(Workforce!$I$2:$I$151,MATCH(INDEX(FTE_Allocation!$A$2:$A$201,$AB1110),Workforce!$A$2:$A$151,0))),N(INDEX(FTE_Allocation!$I$2:$I$201,$AB1110)))),MONTH(MAX(N(INDEX(Workforce!$I$2:$I$151,MATCH(INDEX(FTE_Allocation!$A$2:$A$201,$AB1110),Workforce!$A$2:$A$151,0))),N(INDEX(FTE_Allocation!$I$2:$I$201,$AB1110)))),1),"")))</f>
        <v/>
      </c>
      <c r="AF1110" s="21">
        <f>IF($Z1110="C",IF(INDEX(Contracts!$I$2:$I$151,$AB1110)="PREPAID",EDATE(DATE(YEAR(INDEX(Contracts!$J$2:$J$151,$AB1110)),MONTH(INDEX(Contracts!$J$2:$J$151,$AB1110)),1),IF(INDEX(Contracts!$N$2:$N$151,$AB1110)="",12,INDEX(Contracts!$N$2:$N$151,$AB1110))-1),IF(INDEX(Contracts!$I$2:$I$151,$AB1110)="MONTHLY",IF(INDEX(Contracts!$K$2:$K$151,$AB1110)="",2958101,INDEX(Contracts!$K$2:$K$151,$AB1110)),0)),IF($Z1110="A",EDATE(DATE(YEAR(INDEX(Fixed_Assets!$G$2:$G$201,$AB1110)),MONTH(INDEX(Fixed_Assets!$G$2:$G$201,$AB1110)),1),INDEX(Fixed_Assets!$J$2:$J$201,$AB1110)-1),IF($Z1110="F",MIN(IF(INDEX(Workforce!$J$2:$J$151,MATCH(INDEX(FTE_Allocation!$A$2:$A$201,$AB1110),Workforce!$A$2:$A$151,0))="",2958101,INDEX(Workforce!$J$2:$J$151,MATCH(INDEX(FTE_Allocation!$A$2:$A$201,$AB1110),Workforce!$A$2:$A$151,0))),IF(INDEX(FTE_Allocation!$J$2:$J$201,$AB1110)="",2958101,INDEX(FTE_Allocation!$J$2:$J$201,$AB1110))),"")))</f>
        <v/>
      </c>
      <c r="AG1110" s="19">
        <f>IF($Z1110="C",IF(INDEX(Contracts!$I$2:$I$151,$AB1110)="PREPAID",INDEX(Contracts!$M$2:$M$151,$AB1110)/IF(INDEX(Contracts!$N$2:$N$151,$AB1110)="",12,INDEX(Contracts!$N$2:$N$151,$AB1110)),IF(INDEX(Contracts!$I$2:$I$151,$AB1110)="MONTHLY",INDEX(Contracts!$M$2:$M$151,$AB1110),0))*(1-N(INDEX(Contracts!$O$2:$O$151,$AB1110))),IF($Z1110="A",INDEX(Fixed_Assets!$H$2:$H$201,$AB1110)/INDEX(Fixed_Assets!$J$2:$J$201,$AB1110),IF($Z1110="F",INDEX(Workforce!$F$2:$F$151,MATCH(INDEX(FTE_Allocation!$A$2:$A$201,$AB1110),Workforce!$A$2:$A$151,0))*N(INDEX(FTE_Allocation!$F$2:$H$201,$AB1110,$AC1110)),"")))</f>
        <v/>
      </c>
    </row>
    <row r="1111">
      <c r="A1111" s="7">
        <f>IF($Z1111="","",$AD1111)</f>
        <v/>
      </c>
      <c r="B1111" s="7">
        <f>IF($Z1111="C",INDEX(Contracts!$D$2:$D$151,$AB1111)&amp;"",IF($Z1111="A",INDEX(Fixed_Assets!$C$2:$C$201,$AB1111)&amp;"",IF($Z1111="F",INDEX(Workforce!$B$2:$B$151,MATCH(INDEX(FTE_Allocation!$A$2:$A$201,$AB1111),Workforce!$A$2:$A$151,0))&amp;"","")))</f>
        <v/>
      </c>
      <c r="C1111" s="7">
        <f>IF($Z1111="C",INDEX(Contracts!$E$2:$E$151,$AB1111)&amp;"",IF($Z1111="A",INDEX(Fixed_Assets!$D$2:$D$201,$AB1111)&amp;"",IF($Z1111="F",INDEX(FTE_Allocation!$C$2:$C$201,$AB1111)&amp;"","")))</f>
        <v/>
      </c>
      <c r="D1111" s="7">
        <f>IF($Z1111="C",INDEX(Contracts!$B$2:$B$151,$AB1111)&amp;"",IF($Z1111="A",INDEX(Fixed_Assets!$B$2:$B$201,$AB1111)&amp;"",IF($Z1111="F",INDEX(FTE_Allocation!$B$2:$B$201,$AB1111)&amp;"","")))</f>
        <v/>
      </c>
      <c r="E1111" s="7">
        <f>IF($Z1111="C",INDEX(Contracts!$P$2:$P$151,$AB1111)&amp;"",IF($Z1111="A",INDEX(Fixed_Assets!$K$2:$K$201,$AB1111)&amp;"",IF($Z1111="F",IF(INDEX(FTE_Allocation!$D$2:$D$201,$AB1111)="PROJECT",IFERROR(INDEX(Projects!$D:$D,MATCH(INDEX(FTE_Allocation!$E$2:$E$201,$AB1111),Projects!$A:$A,0))&amp;"","#PROJECT?"),INDEX(FTE_Allocation!$E$2:$E$201,$AB1111)&amp;""),"")))</f>
        <v/>
      </c>
      <c r="F1111" s="7">
        <f>IF($Z1111="C",INDEX(Contracts!$Q$2:$Q$151,$AB1111)&amp;"",IF($Z1111="A",INDEX(Fixed_Assets!$L$2:$L$201,$AB1111)&amp;"",IF($Z1111="F",INDEX(Workforce!$K$2:$K$151,MATCH(INDEX(FTE_Allocation!$A$2:$A$201,$AB1111),Workforce!$A$2:$A$151,0))&amp;"","")))</f>
        <v/>
      </c>
      <c r="G1111" s="7">
        <f>IF($Z1111="C",INDEX(Contracts!$F$2:$F$151,$AB1111)&amp;" / "&amp;INDEX(Contracts!$G$2:$G$151,$AB1111),IF($Z1111="A",INDEX(Fixed_Assets!$E$2:$E$201,$AB1111)&amp;"",IF($Z1111="F","Personnel "&amp;INDEX(FTE_Allocation!$A$2:$A$201,$AB1111)&amp;IF(INDEX(FTE_Allocation!$D$2:$D$201,$AB1111)="PROJECT"," ("&amp;INDEX(FTE_Allocation!$E$2:$E$201,$AB1111)&amp;")",""),"")))</f>
        <v/>
      </c>
      <c r="H1111" s="7">
        <f>IF($Z1111="C","CONTRACT",IF($Z1111="A","ASSET",IF($Z1111="F","WORKFORCE","")))</f>
        <v/>
      </c>
      <c r="I1111" s="7">
        <f>IF($Z1111="C",INDEX(Contracts!$L$2:$L$151,$AB1111)&amp;"",IF($Z1111="A",INDEX(Fixed_Assets!$I$2:$I$201,$AB1111)&amp;"",IF($Z1111="F",INDEX(Workforce!$G$2:$G$151,MATCH(INDEX(FTE_Allocation!$A$2:$A$201,$AB1111),Workforce!$A$2:$A$151,0))&amp;"","")))</f>
        <v/>
      </c>
      <c r="J1111" s="18">
        <f>IF($Z1111="","",IF(AND(DATE($AD1111,1,1)&gt;=$AE1111,DATE($AD1111,1,1)&lt;=$AF1111),ROUND($AG1111,2),0))</f>
        <v/>
      </c>
      <c r="K1111" s="18">
        <f>IF($Z1111="","",IF(AND(DATE($AD1111,2,1)&gt;=$AE1111,DATE($AD1111,2,1)&lt;=$AF1111),ROUND($AG1111,2),0))</f>
        <v/>
      </c>
      <c r="L1111" s="18">
        <f>IF($Z1111="","",IF(AND(DATE($AD1111,3,1)&gt;=$AE1111,DATE($AD1111,3,1)&lt;=$AF1111),ROUND($AG1111,2),0))</f>
        <v/>
      </c>
      <c r="M1111" s="18">
        <f>IF($Z1111="","",IF(AND(DATE($AD1111,4,1)&gt;=$AE1111,DATE($AD1111,4,1)&lt;=$AF1111),ROUND($AG1111,2),0))</f>
        <v/>
      </c>
      <c r="N1111" s="18">
        <f>IF($Z1111="","",IF(AND(DATE($AD1111,5,1)&gt;=$AE1111,DATE($AD1111,5,1)&lt;=$AF1111),ROUND($AG1111,2),0))</f>
        <v/>
      </c>
      <c r="O1111" s="18">
        <f>IF($Z1111="","",IF(AND(DATE($AD1111,6,1)&gt;=$AE1111,DATE($AD1111,6,1)&lt;=$AF1111),ROUND($AG1111,2),0))</f>
        <v/>
      </c>
      <c r="P1111" s="18">
        <f>IF($Z1111="","",IF(AND(DATE($AD1111,7,1)&gt;=$AE1111,DATE($AD1111,7,1)&lt;=$AF1111),ROUND($AG1111,2),0))</f>
        <v/>
      </c>
      <c r="Q1111" s="18">
        <f>IF($Z1111="","",IF(AND(DATE($AD1111,8,1)&gt;=$AE1111,DATE($AD1111,8,1)&lt;=$AF1111),ROUND($AG1111,2),0))</f>
        <v/>
      </c>
      <c r="R1111" s="18">
        <f>IF($Z1111="","",IF(AND(DATE($AD1111,9,1)&gt;=$AE1111,DATE($AD1111,9,1)&lt;=$AF1111),ROUND($AG1111,2),0))</f>
        <v/>
      </c>
      <c r="S1111" s="18">
        <f>IF($Z1111="","",IF(AND(DATE($AD1111,10,1)&gt;=$AE1111,DATE($AD1111,10,1)&lt;=$AF1111),ROUND($AG1111,2),0))</f>
        <v/>
      </c>
      <c r="T1111" s="18">
        <f>IF($Z1111="","",IF(AND(DATE($AD1111,11,1)&gt;=$AE1111,DATE($AD1111,11,1)&lt;=$AF1111),ROUND($AG1111,2),0))</f>
        <v/>
      </c>
      <c r="U1111" s="18">
        <f>IF($Z1111="","",IF(AND(DATE($AD1111,12,1)&gt;=$AE1111,DATE($AD1111,12,1)&lt;=$AF1111),ROUND($AG1111,2),0))</f>
        <v/>
      </c>
      <c r="V1111" s="7">
        <f>IF($Z1111="C","Generated from "&amp;INDEX(Contracts!$A$2:$A$151,$AB1111),IF($Z1111="A","Generated from "&amp;INDEX(Fixed_Assets!$A$2:$A$201,$AB1111),IF($Z1111="F","Generated from "&amp;INDEX(FTE_Allocation!$A$2:$A$201,$AB1111),"")))</f>
        <v/>
      </c>
      <c r="X1111" s="19">
        <f>IF($Z1111="","",SUM(J1111:U1111))</f>
        <v/>
      </c>
      <c r="Y1111" s="20">
        <f>ROW()-1</f>
        <v/>
      </c>
      <c r="Z1111" s="20">
        <f>IF($Y1111&lt;=Settings!$B$4*3,"C",IF($Y1111&lt;=(Settings!$B$4+Settings!$B$5)*3,"A",IF($Y1111&lt;=(Settings!$B$4+Settings!$B$5+Settings!$B$6)*3,"F","")))</f>
        <v/>
      </c>
      <c r="AA1111" s="20">
        <f>IF($Z1111="C",$Y1111,IF($Z1111="A",$Y1111-Settings!$B$4*3,IF($Z1111="F",$Y1111-(Settings!$B$4+Settings!$B$5)*3,"")))</f>
        <v/>
      </c>
      <c r="AB1111" s="20">
        <f>IF($Z1111="","",INT(($AA1111-1)/3)+1)</f>
        <v/>
      </c>
      <c r="AC1111" s="20">
        <f>IF($Z1111="","",MOD($AA1111-1,3)+1)</f>
        <v/>
      </c>
      <c r="AD1111" s="20">
        <f>IF($Z1111="","",Settings!$B$2+$AC1111-1)</f>
        <v/>
      </c>
      <c r="AE1111" s="21">
        <f>IF($Z1111="C",DATE(YEAR(INDEX(Contracts!$J$2:$J$151,$AB1111)),MONTH(INDEX(Contracts!$J$2:$J$151,$AB1111)),1),IF($Z1111="A",DATE(YEAR(INDEX(Fixed_Assets!$G$2:$G$201,$AB1111)),MONTH(INDEX(Fixed_Assets!$G$2:$G$201,$AB1111)),1),IF($Z1111="F",DATE(YEAR(MAX(N(INDEX(Workforce!$I$2:$I$151,MATCH(INDEX(FTE_Allocation!$A$2:$A$201,$AB1111),Workforce!$A$2:$A$151,0))),N(INDEX(FTE_Allocation!$I$2:$I$201,$AB1111)))),MONTH(MAX(N(INDEX(Workforce!$I$2:$I$151,MATCH(INDEX(FTE_Allocation!$A$2:$A$201,$AB1111),Workforce!$A$2:$A$151,0))),N(INDEX(FTE_Allocation!$I$2:$I$201,$AB1111)))),1),"")))</f>
        <v/>
      </c>
      <c r="AF1111" s="21">
        <f>IF($Z1111="C",IF(INDEX(Contracts!$I$2:$I$151,$AB1111)="PREPAID",EDATE(DATE(YEAR(INDEX(Contracts!$J$2:$J$151,$AB1111)),MONTH(INDEX(Contracts!$J$2:$J$151,$AB1111)),1),IF(INDEX(Contracts!$N$2:$N$151,$AB1111)="",12,INDEX(Contracts!$N$2:$N$151,$AB1111))-1),IF(INDEX(Contracts!$I$2:$I$151,$AB1111)="MONTHLY",IF(INDEX(Contracts!$K$2:$K$151,$AB1111)="",2958101,INDEX(Contracts!$K$2:$K$151,$AB1111)),0)),IF($Z1111="A",EDATE(DATE(YEAR(INDEX(Fixed_Assets!$G$2:$G$201,$AB1111)),MONTH(INDEX(Fixed_Assets!$G$2:$G$201,$AB1111)),1),INDEX(Fixed_Assets!$J$2:$J$201,$AB1111)-1),IF($Z1111="F",MIN(IF(INDEX(Workforce!$J$2:$J$151,MATCH(INDEX(FTE_Allocation!$A$2:$A$201,$AB1111),Workforce!$A$2:$A$151,0))="",2958101,INDEX(Workforce!$J$2:$J$151,MATCH(INDEX(FTE_Allocation!$A$2:$A$201,$AB1111),Workforce!$A$2:$A$151,0))),IF(INDEX(FTE_Allocation!$J$2:$J$201,$AB1111)="",2958101,INDEX(FTE_Allocation!$J$2:$J$201,$AB1111))),"")))</f>
        <v/>
      </c>
      <c r="AG1111" s="19">
        <f>IF($Z1111="C",IF(INDEX(Contracts!$I$2:$I$151,$AB1111)="PREPAID",INDEX(Contracts!$M$2:$M$151,$AB1111)/IF(INDEX(Contracts!$N$2:$N$151,$AB1111)="",12,INDEX(Contracts!$N$2:$N$151,$AB1111)),IF(INDEX(Contracts!$I$2:$I$151,$AB1111)="MONTHLY",INDEX(Contracts!$M$2:$M$151,$AB1111),0))*(1-N(INDEX(Contracts!$O$2:$O$151,$AB1111))),IF($Z1111="A",INDEX(Fixed_Assets!$H$2:$H$201,$AB1111)/INDEX(Fixed_Assets!$J$2:$J$201,$AB1111),IF($Z1111="F",INDEX(Workforce!$F$2:$F$151,MATCH(INDEX(FTE_Allocation!$A$2:$A$201,$AB1111),Workforce!$A$2:$A$151,0))*N(INDEX(FTE_Allocation!$F$2:$H$201,$AB1111,$AC1111)),"")))</f>
        <v/>
      </c>
    </row>
    <row r="1112">
      <c r="A1112" s="7">
        <f>IF($Z1112="","",$AD1112)</f>
        <v/>
      </c>
      <c r="B1112" s="7">
        <f>IF($Z1112="C",INDEX(Contracts!$D$2:$D$151,$AB1112)&amp;"",IF($Z1112="A",INDEX(Fixed_Assets!$C$2:$C$201,$AB1112)&amp;"",IF($Z1112="F",INDEX(Workforce!$B$2:$B$151,MATCH(INDEX(FTE_Allocation!$A$2:$A$201,$AB1112),Workforce!$A$2:$A$151,0))&amp;"","")))</f>
        <v/>
      </c>
      <c r="C1112" s="7">
        <f>IF($Z1112="C",INDEX(Contracts!$E$2:$E$151,$AB1112)&amp;"",IF($Z1112="A",INDEX(Fixed_Assets!$D$2:$D$201,$AB1112)&amp;"",IF($Z1112="F",INDEX(FTE_Allocation!$C$2:$C$201,$AB1112)&amp;"","")))</f>
        <v/>
      </c>
      <c r="D1112" s="7">
        <f>IF($Z1112="C",INDEX(Contracts!$B$2:$B$151,$AB1112)&amp;"",IF($Z1112="A",INDEX(Fixed_Assets!$B$2:$B$201,$AB1112)&amp;"",IF($Z1112="F",INDEX(FTE_Allocation!$B$2:$B$201,$AB1112)&amp;"","")))</f>
        <v/>
      </c>
      <c r="E1112" s="7">
        <f>IF($Z1112="C",INDEX(Contracts!$P$2:$P$151,$AB1112)&amp;"",IF($Z1112="A",INDEX(Fixed_Assets!$K$2:$K$201,$AB1112)&amp;"",IF($Z1112="F",IF(INDEX(FTE_Allocation!$D$2:$D$201,$AB1112)="PROJECT",IFERROR(INDEX(Projects!$D:$D,MATCH(INDEX(FTE_Allocation!$E$2:$E$201,$AB1112),Projects!$A:$A,0))&amp;"","#PROJECT?"),INDEX(FTE_Allocation!$E$2:$E$201,$AB1112)&amp;""),"")))</f>
        <v/>
      </c>
      <c r="F1112" s="7">
        <f>IF($Z1112="C",INDEX(Contracts!$Q$2:$Q$151,$AB1112)&amp;"",IF($Z1112="A",INDEX(Fixed_Assets!$L$2:$L$201,$AB1112)&amp;"",IF($Z1112="F",INDEX(Workforce!$K$2:$K$151,MATCH(INDEX(FTE_Allocation!$A$2:$A$201,$AB1112),Workforce!$A$2:$A$151,0))&amp;"","")))</f>
        <v/>
      </c>
      <c r="G1112" s="7">
        <f>IF($Z1112="C",INDEX(Contracts!$F$2:$F$151,$AB1112)&amp;" / "&amp;INDEX(Contracts!$G$2:$G$151,$AB1112),IF($Z1112="A",INDEX(Fixed_Assets!$E$2:$E$201,$AB1112)&amp;"",IF($Z1112="F","Personnel "&amp;INDEX(FTE_Allocation!$A$2:$A$201,$AB1112)&amp;IF(INDEX(FTE_Allocation!$D$2:$D$201,$AB1112)="PROJECT"," ("&amp;INDEX(FTE_Allocation!$E$2:$E$201,$AB1112)&amp;")",""),"")))</f>
        <v/>
      </c>
      <c r="H1112" s="7">
        <f>IF($Z1112="C","CONTRACT",IF($Z1112="A","ASSET",IF($Z1112="F","WORKFORCE","")))</f>
        <v/>
      </c>
      <c r="I1112" s="7">
        <f>IF($Z1112="C",INDEX(Contracts!$L$2:$L$151,$AB1112)&amp;"",IF($Z1112="A",INDEX(Fixed_Assets!$I$2:$I$201,$AB1112)&amp;"",IF($Z1112="F",INDEX(Workforce!$G$2:$G$151,MATCH(INDEX(FTE_Allocation!$A$2:$A$201,$AB1112),Workforce!$A$2:$A$151,0))&amp;"","")))</f>
        <v/>
      </c>
      <c r="J1112" s="18">
        <f>IF($Z1112="","",IF(AND(DATE($AD1112,1,1)&gt;=$AE1112,DATE($AD1112,1,1)&lt;=$AF1112),ROUND($AG1112,2),0))</f>
        <v/>
      </c>
      <c r="K1112" s="18">
        <f>IF($Z1112="","",IF(AND(DATE($AD1112,2,1)&gt;=$AE1112,DATE($AD1112,2,1)&lt;=$AF1112),ROUND($AG1112,2),0))</f>
        <v/>
      </c>
      <c r="L1112" s="18">
        <f>IF($Z1112="","",IF(AND(DATE($AD1112,3,1)&gt;=$AE1112,DATE($AD1112,3,1)&lt;=$AF1112),ROUND($AG1112,2),0))</f>
        <v/>
      </c>
      <c r="M1112" s="18">
        <f>IF($Z1112="","",IF(AND(DATE($AD1112,4,1)&gt;=$AE1112,DATE($AD1112,4,1)&lt;=$AF1112),ROUND($AG1112,2),0))</f>
        <v/>
      </c>
      <c r="N1112" s="18">
        <f>IF($Z1112="","",IF(AND(DATE($AD1112,5,1)&gt;=$AE1112,DATE($AD1112,5,1)&lt;=$AF1112),ROUND($AG1112,2),0))</f>
        <v/>
      </c>
      <c r="O1112" s="18">
        <f>IF($Z1112="","",IF(AND(DATE($AD1112,6,1)&gt;=$AE1112,DATE($AD1112,6,1)&lt;=$AF1112),ROUND($AG1112,2),0))</f>
        <v/>
      </c>
      <c r="P1112" s="18">
        <f>IF($Z1112="","",IF(AND(DATE($AD1112,7,1)&gt;=$AE1112,DATE($AD1112,7,1)&lt;=$AF1112),ROUND($AG1112,2),0))</f>
        <v/>
      </c>
      <c r="Q1112" s="18">
        <f>IF($Z1112="","",IF(AND(DATE($AD1112,8,1)&gt;=$AE1112,DATE($AD1112,8,1)&lt;=$AF1112),ROUND($AG1112,2),0))</f>
        <v/>
      </c>
      <c r="R1112" s="18">
        <f>IF($Z1112="","",IF(AND(DATE($AD1112,9,1)&gt;=$AE1112,DATE($AD1112,9,1)&lt;=$AF1112),ROUND($AG1112,2),0))</f>
        <v/>
      </c>
      <c r="S1112" s="18">
        <f>IF($Z1112="","",IF(AND(DATE($AD1112,10,1)&gt;=$AE1112,DATE($AD1112,10,1)&lt;=$AF1112),ROUND($AG1112,2),0))</f>
        <v/>
      </c>
      <c r="T1112" s="18">
        <f>IF($Z1112="","",IF(AND(DATE($AD1112,11,1)&gt;=$AE1112,DATE($AD1112,11,1)&lt;=$AF1112),ROUND($AG1112,2),0))</f>
        <v/>
      </c>
      <c r="U1112" s="18">
        <f>IF($Z1112="","",IF(AND(DATE($AD1112,12,1)&gt;=$AE1112,DATE($AD1112,12,1)&lt;=$AF1112),ROUND($AG1112,2),0))</f>
        <v/>
      </c>
      <c r="V1112" s="7">
        <f>IF($Z1112="C","Generated from "&amp;INDEX(Contracts!$A$2:$A$151,$AB1112),IF($Z1112="A","Generated from "&amp;INDEX(Fixed_Assets!$A$2:$A$201,$AB1112),IF($Z1112="F","Generated from "&amp;INDEX(FTE_Allocation!$A$2:$A$201,$AB1112),"")))</f>
        <v/>
      </c>
      <c r="X1112" s="19">
        <f>IF($Z1112="","",SUM(J1112:U1112))</f>
        <v/>
      </c>
      <c r="Y1112" s="20">
        <f>ROW()-1</f>
        <v/>
      </c>
      <c r="Z1112" s="20">
        <f>IF($Y1112&lt;=Settings!$B$4*3,"C",IF($Y1112&lt;=(Settings!$B$4+Settings!$B$5)*3,"A",IF($Y1112&lt;=(Settings!$B$4+Settings!$B$5+Settings!$B$6)*3,"F","")))</f>
        <v/>
      </c>
      <c r="AA1112" s="20">
        <f>IF($Z1112="C",$Y1112,IF($Z1112="A",$Y1112-Settings!$B$4*3,IF($Z1112="F",$Y1112-(Settings!$B$4+Settings!$B$5)*3,"")))</f>
        <v/>
      </c>
      <c r="AB1112" s="20">
        <f>IF($Z1112="","",INT(($AA1112-1)/3)+1)</f>
        <v/>
      </c>
      <c r="AC1112" s="20">
        <f>IF($Z1112="","",MOD($AA1112-1,3)+1)</f>
        <v/>
      </c>
      <c r="AD1112" s="20">
        <f>IF($Z1112="","",Settings!$B$2+$AC1112-1)</f>
        <v/>
      </c>
      <c r="AE1112" s="21">
        <f>IF($Z1112="C",DATE(YEAR(INDEX(Contracts!$J$2:$J$151,$AB1112)),MONTH(INDEX(Contracts!$J$2:$J$151,$AB1112)),1),IF($Z1112="A",DATE(YEAR(INDEX(Fixed_Assets!$G$2:$G$201,$AB1112)),MONTH(INDEX(Fixed_Assets!$G$2:$G$201,$AB1112)),1),IF($Z1112="F",DATE(YEAR(MAX(N(INDEX(Workforce!$I$2:$I$151,MATCH(INDEX(FTE_Allocation!$A$2:$A$201,$AB1112),Workforce!$A$2:$A$151,0))),N(INDEX(FTE_Allocation!$I$2:$I$201,$AB1112)))),MONTH(MAX(N(INDEX(Workforce!$I$2:$I$151,MATCH(INDEX(FTE_Allocation!$A$2:$A$201,$AB1112),Workforce!$A$2:$A$151,0))),N(INDEX(FTE_Allocation!$I$2:$I$201,$AB1112)))),1),"")))</f>
        <v/>
      </c>
      <c r="AF1112" s="21">
        <f>IF($Z1112="C",IF(INDEX(Contracts!$I$2:$I$151,$AB1112)="PREPAID",EDATE(DATE(YEAR(INDEX(Contracts!$J$2:$J$151,$AB1112)),MONTH(INDEX(Contracts!$J$2:$J$151,$AB1112)),1),IF(INDEX(Contracts!$N$2:$N$151,$AB1112)="",12,INDEX(Contracts!$N$2:$N$151,$AB1112))-1),IF(INDEX(Contracts!$I$2:$I$151,$AB1112)="MONTHLY",IF(INDEX(Contracts!$K$2:$K$151,$AB1112)="",2958101,INDEX(Contracts!$K$2:$K$151,$AB1112)),0)),IF($Z1112="A",EDATE(DATE(YEAR(INDEX(Fixed_Assets!$G$2:$G$201,$AB1112)),MONTH(INDEX(Fixed_Assets!$G$2:$G$201,$AB1112)),1),INDEX(Fixed_Assets!$J$2:$J$201,$AB1112)-1),IF($Z1112="F",MIN(IF(INDEX(Workforce!$J$2:$J$151,MATCH(INDEX(FTE_Allocation!$A$2:$A$201,$AB1112),Workforce!$A$2:$A$151,0))="",2958101,INDEX(Workforce!$J$2:$J$151,MATCH(INDEX(FTE_Allocation!$A$2:$A$201,$AB1112),Workforce!$A$2:$A$151,0))),IF(INDEX(FTE_Allocation!$J$2:$J$201,$AB1112)="",2958101,INDEX(FTE_Allocation!$J$2:$J$201,$AB1112))),"")))</f>
        <v/>
      </c>
      <c r="AG1112" s="19">
        <f>IF($Z1112="C",IF(INDEX(Contracts!$I$2:$I$151,$AB1112)="PREPAID",INDEX(Contracts!$M$2:$M$151,$AB1112)/IF(INDEX(Contracts!$N$2:$N$151,$AB1112)="",12,INDEX(Contracts!$N$2:$N$151,$AB1112)),IF(INDEX(Contracts!$I$2:$I$151,$AB1112)="MONTHLY",INDEX(Contracts!$M$2:$M$151,$AB1112),0))*(1-N(INDEX(Contracts!$O$2:$O$151,$AB1112))),IF($Z1112="A",INDEX(Fixed_Assets!$H$2:$H$201,$AB1112)/INDEX(Fixed_Assets!$J$2:$J$201,$AB1112),IF($Z1112="F",INDEX(Workforce!$F$2:$F$151,MATCH(INDEX(FTE_Allocation!$A$2:$A$201,$AB1112),Workforce!$A$2:$A$151,0))*N(INDEX(FTE_Allocation!$F$2:$H$201,$AB1112,$AC1112)),"")))</f>
        <v/>
      </c>
    </row>
    <row r="1113">
      <c r="A1113" s="7">
        <f>IF($Z1113="","",$AD1113)</f>
        <v/>
      </c>
      <c r="B1113" s="7">
        <f>IF($Z1113="C",INDEX(Contracts!$D$2:$D$151,$AB1113)&amp;"",IF($Z1113="A",INDEX(Fixed_Assets!$C$2:$C$201,$AB1113)&amp;"",IF($Z1113="F",INDEX(Workforce!$B$2:$B$151,MATCH(INDEX(FTE_Allocation!$A$2:$A$201,$AB1113),Workforce!$A$2:$A$151,0))&amp;"","")))</f>
        <v/>
      </c>
      <c r="C1113" s="7">
        <f>IF($Z1113="C",INDEX(Contracts!$E$2:$E$151,$AB1113)&amp;"",IF($Z1113="A",INDEX(Fixed_Assets!$D$2:$D$201,$AB1113)&amp;"",IF($Z1113="F",INDEX(FTE_Allocation!$C$2:$C$201,$AB1113)&amp;"","")))</f>
        <v/>
      </c>
      <c r="D1113" s="7">
        <f>IF($Z1113="C",INDEX(Contracts!$B$2:$B$151,$AB1113)&amp;"",IF($Z1113="A",INDEX(Fixed_Assets!$B$2:$B$201,$AB1113)&amp;"",IF($Z1113="F",INDEX(FTE_Allocation!$B$2:$B$201,$AB1113)&amp;"","")))</f>
        <v/>
      </c>
      <c r="E1113" s="7">
        <f>IF($Z1113="C",INDEX(Contracts!$P$2:$P$151,$AB1113)&amp;"",IF($Z1113="A",INDEX(Fixed_Assets!$K$2:$K$201,$AB1113)&amp;"",IF($Z1113="F",IF(INDEX(FTE_Allocation!$D$2:$D$201,$AB1113)="PROJECT",IFERROR(INDEX(Projects!$D:$D,MATCH(INDEX(FTE_Allocation!$E$2:$E$201,$AB1113),Projects!$A:$A,0))&amp;"","#PROJECT?"),INDEX(FTE_Allocation!$E$2:$E$201,$AB1113)&amp;""),"")))</f>
        <v/>
      </c>
      <c r="F1113" s="7">
        <f>IF($Z1113="C",INDEX(Contracts!$Q$2:$Q$151,$AB1113)&amp;"",IF($Z1113="A",INDEX(Fixed_Assets!$L$2:$L$201,$AB1113)&amp;"",IF($Z1113="F",INDEX(Workforce!$K$2:$K$151,MATCH(INDEX(FTE_Allocation!$A$2:$A$201,$AB1113),Workforce!$A$2:$A$151,0))&amp;"","")))</f>
        <v/>
      </c>
      <c r="G1113" s="7">
        <f>IF($Z1113="C",INDEX(Contracts!$F$2:$F$151,$AB1113)&amp;" / "&amp;INDEX(Contracts!$G$2:$G$151,$AB1113),IF($Z1113="A",INDEX(Fixed_Assets!$E$2:$E$201,$AB1113)&amp;"",IF($Z1113="F","Personnel "&amp;INDEX(FTE_Allocation!$A$2:$A$201,$AB1113)&amp;IF(INDEX(FTE_Allocation!$D$2:$D$201,$AB1113)="PROJECT"," ("&amp;INDEX(FTE_Allocation!$E$2:$E$201,$AB1113)&amp;")",""),"")))</f>
        <v/>
      </c>
      <c r="H1113" s="7">
        <f>IF($Z1113="C","CONTRACT",IF($Z1113="A","ASSET",IF($Z1113="F","WORKFORCE","")))</f>
        <v/>
      </c>
      <c r="I1113" s="7">
        <f>IF($Z1113="C",INDEX(Contracts!$L$2:$L$151,$AB1113)&amp;"",IF($Z1113="A",INDEX(Fixed_Assets!$I$2:$I$201,$AB1113)&amp;"",IF($Z1113="F",INDEX(Workforce!$G$2:$G$151,MATCH(INDEX(FTE_Allocation!$A$2:$A$201,$AB1113),Workforce!$A$2:$A$151,0))&amp;"","")))</f>
        <v/>
      </c>
      <c r="J1113" s="18">
        <f>IF($Z1113="","",IF(AND(DATE($AD1113,1,1)&gt;=$AE1113,DATE($AD1113,1,1)&lt;=$AF1113),ROUND($AG1113,2),0))</f>
        <v/>
      </c>
      <c r="K1113" s="18">
        <f>IF($Z1113="","",IF(AND(DATE($AD1113,2,1)&gt;=$AE1113,DATE($AD1113,2,1)&lt;=$AF1113),ROUND($AG1113,2),0))</f>
        <v/>
      </c>
      <c r="L1113" s="18">
        <f>IF($Z1113="","",IF(AND(DATE($AD1113,3,1)&gt;=$AE1113,DATE($AD1113,3,1)&lt;=$AF1113),ROUND($AG1113,2),0))</f>
        <v/>
      </c>
      <c r="M1113" s="18">
        <f>IF($Z1113="","",IF(AND(DATE($AD1113,4,1)&gt;=$AE1113,DATE($AD1113,4,1)&lt;=$AF1113),ROUND($AG1113,2),0))</f>
        <v/>
      </c>
      <c r="N1113" s="18">
        <f>IF($Z1113="","",IF(AND(DATE($AD1113,5,1)&gt;=$AE1113,DATE($AD1113,5,1)&lt;=$AF1113),ROUND($AG1113,2),0))</f>
        <v/>
      </c>
      <c r="O1113" s="18">
        <f>IF($Z1113="","",IF(AND(DATE($AD1113,6,1)&gt;=$AE1113,DATE($AD1113,6,1)&lt;=$AF1113),ROUND($AG1113,2),0))</f>
        <v/>
      </c>
      <c r="P1113" s="18">
        <f>IF($Z1113="","",IF(AND(DATE($AD1113,7,1)&gt;=$AE1113,DATE($AD1113,7,1)&lt;=$AF1113),ROUND($AG1113,2),0))</f>
        <v/>
      </c>
      <c r="Q1113" s="18">
        <f>IF($Z1113="","",IF(AND(DATE($AD1113,8,1)&gt;=$AE1113,DATE($AD1113,8,1)&lt;=$AF1113),ROUND($AG1113,2),0))</f>
        <v/>
      </c>
      <c r="R1113" s="18">
        <f>IF($Z1113="","",IF(AND(DATE($AD1113,9,1)&gt;=$AE1113,DATE($AD1113,9,1)&lt;=$AF1113),ROUND($AG1113,2),0))</f>
        <v/>
      </c>
      <c r="S1113" s="18">
        <f>IF($Z1113="","",IF(AND(DATE($AD1113,10,1)&gt;=$AE1113,DATE($AD1113,10,1)&lt;=$AF1113),ROUND($AG1113,2),0))</f>
        <v/>
      </c>
      <c r="T1113" s="18">
        <f>IF($Z1113="","",IF(AND(DATE($AD1113,11,1)&gt;=$AE1113,DATE($AD1113,11,1)&lt;=$AF1113),ROUND($AG1113,2),0))</f>
        <v/>
      </c>
      <c r="U1113" s="18">
        <f>IF($Z1113="","",IF(AND(DATE($AD1113,12,1)&gt;=$AE1113,DATE($AD1113,12,1)&lt;=$AF1113),ROUND($AG1113,2),0))</f>
        <v/>
      </c>
      <c r="V1113" s="7">
        <f>IF($Z1113="C","Generated from "&amp;INDEX(Contracts!$A$2:$A$151,$AB1113),IF($Z1113="A","Generated from "&amp;INDEX(Fixed_Assets!$A$2:$A$201,$AB1113),IF($Z1113="F","Generated from "&amp;INDEX(FTE_Allocation!$A$2:$A$201,$AB1113),"")))</f>
        <v/>
      </c>
      <c r="X1113" s="19">
        <f>IF($Z1113="","",SUM(J1113:U1113))</f>
        <v/>
      </c>
      <c r="Y1113" s="20">
        <f>ROW()-1</f>
        <v/>
      </c>
      <c r="Z1113" s="20">
        <f>IF($Y1113&lt;=Settings!$B$4*3,"C",IF($Y1113&lt;=(Settings!$B$4+Settings!$B$5)*3,"A",IF($Y1113&lt;=(Settings!$B$4+Settings!$B$5+Settings!$B$6)*3,"F","")))</f>
        <v/>
      </c>
      <c r="AA1113" s="20">
        <f>IF($Z1113="C",$Y1113,IF($Z1113="A",$Y1113-Settings!$B$4*3,IF($Z1113="F",$Y1113-(Settings!$B$4+Settings!$B$5)*3,"")))</f>
        <v/>
      </c>
      <c r="AB1113" s="20">
        <f>IF($Z1113="","",INT(($AA1113-1)/3)+1)</f>
        <v/>
      </c>
      <c r="AC1113" s="20">
        <f>IF($Z1113="","",MOD($AA1113-1,3)+1)</f>
        <v/>
      </c>
      <c r="AD1113" s="20">
        <f>IF($Z1113="","",Settings!$B$2+$AC1113-1)</f>
        <v/>
      </c>
      <c r="AE1113" s="21">
        <f>IF($Z1113="C",DATE(YEAR(INDEX(Contracts!$J$2:$J$151,$AB1113)),MONTH(INDEX(Contracts!$J$2:$J$151,$AB1113)),1),IF($Z1113="A",DATE(YEAR(INDEX(Fixed_Assets!$G$2:$G$201,$AB1113)),MONTH(INDEX(Fixed_Assets!$G$2:$G$201,$AB1113)),1),IF($Z1113="F",DATE(YEAR(MAX(N(INDEX(Workforce!$I$2:$I$151,MATCH(INDEX(FTE_Allocation!$A$2:$A$201,$AB1113),Workforce!$A$2:$A$151,0))),N(INDEX(FTE_Allocation!$I$2:$I$201,$AB1113)))),MONTH(MAX(N(INDEX(Workforce!$I$2:$I$151,MATCH(INDEX(FTE_Allocation!$A$2:$A$201,$AB1113),Workforce!$A$2:$A$151,0))),N(INDEX(FTE_Allocation!$I$2:$I$201,$AB1113)))),1),"")))</f>
        <v/>
      </c>
      <c r="AF1113" s="21">
        <f>IF($Z1113="C",IF(INDEX(Contracts!$I$2:$I$151,$AB1113)="PREPAID",EDATE(DATE(YEAR(INDEX(Contracts!$J$2:$J$151,$AB1113)),MONTH(INDEX(Contracts!$J$2:$J$151,$AB1113)),1),IF(INDEX(Contracts!$N$2:$N$151,$AB1113)="",12,INDEX(Contracts!$N$2:$N$151,$AB1113))-1),IF(INDEX(Contracts!$I$2:$I$151,$AB1113)="MONTHLY",IF(INDEX(Contracts!$K$2:$K$151,$AB1113)="",2958101,INDEX(Contracts!$K$2:$K$151,$AB1113)),0)),IF($Z1113="A",EDATE(DATE(YEAR(INDEX(Fixed_Assets!$G$2:$G$201,$AB1113)),MONTH(INDEX(Fixed_Assets!$G$2:$G$201,$AB1113)),1),INDEX(Fixed_Assets!$J$2:$J$201,$AB1113)-1),IF($Z1113="F",MIN(IF(INDEX(Workforce!$J$2:$J$151,MATCH(INDEX(FTE_Allocation!$A$2:$A$201,$AB1113),Workforce!$A$2:$A$151,0))="",2958101,INDEX(Workforce!$J$2:$J$151,MATCH(INDEX(FTE_Allocation!$A$2:$A$201,$AB1113),Workforce!$A$2:$A$151,0))),IF(INDEX(FTE_Allocation!$J$2:$J$201,$AB1113)="",2958101,INDEX(FTE_Allocation!$J$2:$J$201,$AB1113))),"")))</f>
        <v/>
      </c>
      <c r="AG1113" s="19">
        <f>IF($Z1113="C",IF(INDEX(Contracts!$I$2:$I$151,$AB1113)="PREPAID",INDEX(Contracts!$M$2:$M$151,$AB1113)/IF(INDEX(Contracts!$N$2:$N$151,$AB1113)="",12,INDEX(Contracts!$N$2:$N$151,$AB1113)),IF(INDEX(Contracts!$I$2:$I$151,$AB1113)="MONTHLY",INDEX(Contracts!$M$2:$M$151,$AB1113),0))*(1-N(INDEX(Contracts!$O$2:$O$151,$AB1113))),IF($Z1113="A",INDEX(Fixed_Assets!$H$2:$H$201,$AB1113)/INDEX(Fixed_Assets!$J$2:$J$201,$AB1113),IF($Z1113="F",INDEX(Workforce!$F$2:$F$151,MATCH(INDEX(FTE_Allocation!$A$2:$A$201,$AB1113),Workforce!$A$2:$A$151,0))*N(INDEX(FTE_Allocation!$F$2:$H$201,$AB1113,$AC1113)),"")))</f>
        <v/>
      </c>
    </row>
    <row r="1114">
      <c r="A1114" s="7">
        <f>IF($Z1114="","",$AD1114)</f>
        <v/>
      </c>
      <c r="B1114" s="7">
        <f>IF($Z1114="C",INDEX(Contracts!$D$2:$D$151,$AB1114)&amp;"",IF($Z1114="A",INDEX(Fixed_Assets!$C$2:$C$201,$AB1114)&amp;"",IF($Z1114="F",INDEX(Workforce!$B$2:$B$151,MATCH(INDEX(FTE_Allocation!$A$2:$A$201,$AB1114),Workforce!$A$2:$A$151,0))&amp;"","")))</f>
        <v/>
      </c>
      <c r="C1114" s="7">
        <f>IF($Z1114="C",INDEX(Contracts!$E$2:$E$151,$AB1114)&amp;"",IF($Z1114="A",INDEX(Fixed_Assets!$D$2:$D$201,$AB1114)&amp;"",IF($Z1114="F",INDEX(FTE_Allocation!$C$2:$C$201,$AB1114)&amp;"","")))</f>
        <v/>
      </c>
      <c r="D1114" s="7">
        <f>IF($Z1114="C",INDEX(Contracts!$B$2:$B$151,$AB1114)&amp;"",IF($Z1114="A",INDEX(Fixed_Assets!$B$2:$B$201,$AB1114)&amp;"",IF($Z1114="F",INDEX(FTE_Allocation!$B$2:$B$201,$AB1114)&amp;"","")))</f>
        <v/>
      </c>
      <c r="E1114" s="7">
        <f>IF($Z1114="C",INDEX(Contracts!$P$2:$P$151,$AB1114)&amp;"",IF($Z1114="A",INDEX(Fixed_Assets!$K$2:$K$201,$AB1114)&amp;"",IF($Z1114="F",IF(INDEX(FTE_Allocation!$D$2:$D$201,$AB1114)="PROJECT",IFERROR(INDEX(Projects!$D:$D,MATCH(INDEX(FTE_Allocation!$E$2:$E$201,$AB1114),Projects!$A:$A,0))&amp;"","#PROJECT?"),INDEX(FTE_Allocation!$E$2:$E$201,$AB1114)&amp;""),"")))</f>
        <v/>
      </c>
      <c r="F1114" s="7">
        <f>IF($Z1114="C",INDEX(Contracts!$Q$2:$Q$151,$AB1114)&amp;"",IF($Z1114="A",INDEX(Fixed_Assets!$L$2:$L$201,$AB1114)&amp;"",IF($Z1114="F",INDEX(Workforce!$K$2:$K$151,MATCH(INDEX(FTE_Allocation!$A$2:$A$201,$AB1114),Workforce!$A$2:$A$151,0))&amp;"","")))</f>
        <v/>
      </c>
      <c r="G1114" s="7">
        <f>IF($Z1114="C",INDEX(Contracts!$F$2:$F$151,$AB1114)&amp;" / "&amp;INDEX(Contracts!$G$2:$G$151,$AB1114),IF($Z1114="A",INDEX(Fixed_Assets!$E$2:$E$201,$AB1114)&amp;"",IF($Z1114="F","Personnel "&amp;INDEX(FTE_Allocation!$A$2:$A$201,$AB1114)&amp;IF(INDEX(FTE_Allocation!$D$2:$D$201,$AB1114)="PROJECT"," ("&amp;INDEX(FTE_Allocation!$E$2:$E$201,$AB1114)&amp;")",""),"")))</f>
        <v/>
      </c>
      <c r="H1114" s="7">
        <f>IF($Z1114="C","CONTRACT",IF($Z1114="A","ASSET",IF($Z1114="F","WORKFORCE","")))</f>
        <v/>
      </c>
      <c r="I1114" s="7">
        <f>IF($Z1114="C",INDEX(Contracts!$L$2:$L$151,$AB1114)&amp;"",IF($Z1114="A",INDEX(Fixed_Assets!$I$2:$I$201,$AB1114)&amp;"",IF($Z1114="F",INDEX(Workforce!$G$2:$G$151,MATCH(INDEX(FTE_Allocation!$A$2:$A$201,$AB1114),Workforce!$A$2:$A$151,0))&amp;"","")))</f>
        <v/>
      </c>
      <c r="J1114" s="18">
        <f>IF($Z1114="","",IF(AND(DATE($AD1114,1,1)&gt;=$AE1114,DATE($AD1114,1,1)&lt;=$AF1114),ROUND($AG1114,2),0))</f>
        <v/>
      </c>
      <c r="K1114" s="18">
        <f>IF($Z1114="","",IF(AND(DATE($AD1114,2,1)&gt;=$AE1114,DATE($AD1114,2,1)&lt;=$AF1114),ROUND($AG1114,2),0))</f>
        <v/>
      </c>
      <c r="L1114" s="18">
        <f>IF($Z1114="","",IF(AND(DATE($AD1114,3,1)&gt;=$AE1114,DATE($AD1114,3,1)&lt;=$AF1114),ROUND($AG1114,2),0))</f>
        <v/>
      </c>
      <c r="M1114" s="18">
        <f>IF($Z1114="","",IF(AND(DATE($AD1114,4,1)&gt;=$AE1114,DATE($AD1114,4,1)&lt;=$AF1114),ROUND($AG1114,2),0))</f>
        <v/>
      </c>
      <c r="N1114" s="18">
        <f>IF($Z1114="","",IF(AND(DATE($AD1114,5,1)&gt;=$AE1114,DATE($AD1114,5,1)&lt;=$AF1114),ROUND($AG1114,2),0))</f>
        <v/>
      </c>
      <c r="O1114" s="18">
        <f>IF($Z1114="","",IF(AND(DATE($AD1114,6,1)&gt;=$AE1114,DATE($AD1114,6,1)&lt;=$AF1114),ROUND($AG1114,2),0))</f>
        <v/>
      </c>
      <c r="P1114" s="18">
        <f>IF($Z1114="","",IF(AND(DATE($AD1114,7,1)&gt;=$AE1114,DATE($AD1114,7,1)&lt;=$AF1114),ROUND($AG1114,2),0))</f>
        <v/>
      </c>
      <c r="Q1114" s="18">
        <f>IF($Z1114="","",IF(AND(DATE($AD1114,8,1)&gt;=$AE1114,DATE($AD1114,8,1)&lt;=$AF1114),ROUND($AG1114,2),0))</f>
        <v/>
      </c>
      <c r="R1114" s="18">
        <f>IF($Z1114="","",IF(AND(DATE($AD1114,9,1)&gt;=$AE1114,DATE($AD1114,9,1)&lt;=$AF1114),ROUND($AG1114,2),0))</f>
        <v/>
      </c>
      <c r="S1114" s="18">
        <f>IF($Z1114="","",IF(AND(DATE($AD1114,10,1)&gt;=$AE1114,DATE($AD1114,10,1)&lt;=$AF1114),ROUND($AG1114,2),0))</f>
        <v/>
      </c>
      <c r="T1114" s="18">
        <f>IF($Z1114="","",IF(AND(DATE($AD1114,11,1)&gt;=$AE1114,DATE($AD1114,11,1)&lt;=$AF1114),ROUND($AG1114,2),0))</f>
        <v/>
      </c>
      <c r="U1114" s="18">
        <f>IF($Z1114="","",IF(AND(DATE($AD1114,12,1)&gt;=$AE1114,DATE($AD1114,12,1)&lt;=$AF1114),ROUND($AG1114,2),0))</f>
        <v/>
      </c>
      <c r="V1114" s="7">
        <f>IF($Z1114="C","Generated from "&amp;INDEX(Contracts!$A$2:$A$151,$AB1114),IF($Z1114="A","Generated from "&amp;INDEX(Fixed_Assets!$A$2:$A$201,$AB1114),IF($Z1114="F","Generated from "&amp;INDEX(FTE_Allocation!$A$2:$A$201,$AB1114),"")))</f>
        <v/>
      </c>
      <c r="X1114" s="19">
        <f>IF($Z1114="","",SUM(J1114:U1114))</f>
        <v/>
      </c>
      <c r="Y1114" s="20">
        <f>ROW()-1</f>
        <v/>
      </c>
      <c r="Z1114" s="20">
        <f>IF($Y1114&lt;=Settings!$B$4*3,"C",IF($Y1114&lt;=(Settings!$B$4+Settings!$B$5)*3,"A",IF($Y1114&lt;=(Settings!$B$4+Settings!$B$5+Settings!$B$6)*3,"F","")))</f>
        <v/>
      </c>
      <c r="AA1114" s="20">
        <f>IF($Z1114="C",$Y1114,IF($Z1114="A",$Y1114-Settings!$B$4*3,IF($Z1114="F",$Y1114-(Settings!$B$4+Settings!$B$5)*3,"")))</f>
        <v/>
      </c>
      <c r="AB1114" s="20">
        <f>IF($Z1114="","",INT(($AA1114-1)/3)+1)</f>
        <v/>
      </c>
      <c r="AC1114" s="20">
        <f>IF($Z1114="","",MOD($AA1114-1,3)+1)</f>
        <v/>
      </c>
      <c r="AD1114" s="20">
        <f>IF($Z1114="","",Settings!$B$2+$AC1114-1)</f>
        <v/>
      </c>
      <c r="AE1114" s="21">
        <f>IF($Z1114="C",DATE(YEAR(INDEX(Contracts!$J$2:$J$151,$AB1114)),MONTH(INDEX(Contracts!$J$2:$J$151,$AB1114)),1),IF($Z1114="A",DATE(YEAR(INDEX(Fixed_Assets!$G$2:$G$201,$AB1114)),MONTH(INDEX(Fixed_Assets!$G$2:$G$201,$AB1114)),1),IF($Z1114="F",DATE(YEAR(MAX(N(INDEX(Workforce!$I$2:$I$151,MATCH(INDEX(FTE_Allocation!$A$2:$A$201,$AB1114),Workforce!$A$2:$A$151,0))),N(INDEX(FTE_Allocation!$I$2:$I$201,$AB1114)))),MONTH(MAX(N(INDEX(Workforce!$I$2:$I$151,MATCH(INDEX(FTE_Allocation!$A$2:$A$201,$AB1114),Workforce!$A$2:$A$151,0))),N(INDEX(FTE_Allocation!$I$2:$I$201,$AB1114)))),1),"")))</f>
        <v/>
      </c>
      <c r="AF1114" s="21">
        <f>IF($Z1114="C",IF(INDEX(Contracts!$I$2:$I$151,$AB1114)="PREPAID",EDATE(DATE(YEAR(INDEX(Contracts!$J$2:$J$151,$AB1114)),MONTH(INDEX(Contracts!$J$2:$J$151,$AB1114)),1),IF(INDEX(Contracts!$N$2:$N$151,$AB1114)="",12,INDEX(Contracts!$N$2:$N$151,$AB1114))-1),IF(INDEX(Contracts!$I$2:$I$151,$AB1114)="MONTHLY",IF(INDEX(Contracts!$K$2:$K$151,$AB1114)="",2958101,INDEX(Contracts!$K$2:$K$151,$AB1114)),0)),IF($Z1114="A",EDATE(DATE(YEAR(INDEX(Fixed_Assets!$G$2:$G$201,$AB1114)),MONTH(INDEX(Fixed_Assets!$G$2:$G$201,$AB1114)),1),INDEX(Fixed_Assets!$J$2:$J$201,$AB1114)-1),IF($Z1114="F",MIN(IF(INDEX(Workforce!$J$2:$J$151,MATCH(INDEX(FTE_Allocation!$A$2:$A$201,$AB1114),Workforce!$A$2:$A$151,0))="",2958101,INDEX(Workforce!$J$2:$J$151,MATCH(INDEX(FTE_Allocation!$A$2:$A$201,$AB1114),Workforce!$A$2:$A$151,0))),IF(INDEX(FTE_Allocation!$J$2:$J$201,$AB1114)="",2958101,INDEX(FTE_Allocation!$J$2:$J$201,$AB1114))),"")))</f>
        <v/>
      </c>
      <c r="AG1114" s="19">
        <f>IF($Z1114="C",IF(INDEX(Contracts!$I$2:$I$151,$AB1114)="PREPAID",INDEX(Contracts!$M$2:$M$151,$AB1114)/IF(INDEX(Contracts!$N$2:$N$151,$AB1114)="",12,INDEX(Contracts!$N$2:$N$151,$AB1114)),IF(INDEX(Contracts!$I$2:$I$151,$AB1114)="MONTHLY",INDEX(Contracts!$M$2:$M$151,$AB1114),0))*(1-N(INDEX(Contracts!$O$2:$O$151,$AB1114))),IF($Z1114="A",INDEX(Fixed_Assets!$H$2:$H$201,$AB1114)/INDEX(Fixed_Assets!$J$2:$J$201,$AB1114),IF($Z1114="F",INDEX(Workforce!$F$2:$F$151,MATCH(INDEX(FTE_Allocation!$A$2:$A$201,$AB1114),Workforce!$A$2:$A$151,0))*N(INDEX(FTE_Allocation!$F$2:$H$201,$AB1114,$AC1114)),"")))</f>
        <v/>
      </c>
    </row>
    <row r="1115">
      <c r="A1115" s="7">
        <f>IF($Z1115="","",$AD1115)</f>
        <v/>
      </c>
      <c r="B1115" s="7">
        <f>IF($Z1115="C",INDEX(Contracts!$D$2:$D$151,$AB1115)&amp;"",IF($Z1115="A",INDEX(Fixed_Assets!$C$2:$C$201,$AB1115)&amp;"",IF($Z1115="F",INDEX(Workforce!$B$2:$B$151,MATCH(INDEX(FTE_Allocation!$A$2:$A$201,$AB1115),Workforce!$A$2:$A$151,0))&amp;"","")))</f>
        <v/>
      </c>
      <c r="C1115" s="7">
        <f>IF($Z1115="C",INDEX(Contracts!$E$2:$E$151,$AB1115)&amp;"",IF($Z1115="A",INDEX(Fixed_Assets!$D$2:$D$201,$AB1115)&amp;"",IF($Z1115="F",INDEX(FTE_Allocation!$C$2:$C$201,$AB1115)&amp;"","")))</f>
        <v/>
      </c>
      <c r="D1115" s="7">
        <f>IF($Z1115="C",INDEX(Contracts!$B$2:$B$151,$AB1115)&amp;"",IF($Z1115="A",INDEX(Fixed_Assets!$B$2:$B$201,$AB1115)&amp;"",IF($Z1115="F",INDEX(FTE_Allocation!$B$2:$B$201,$AB1115)&amp;"","")))</f>
        <v/>
      </c>
      <c r="E1115" s="7">
        <f>IF($Z1115="C",INDEX(Contracts!$P$2:$P$151,$AB1115)&amp;"",IF($Z1115="A",INDEX(Fixed_Assets!$K$2:$K$201,$AB1115)&amp;"",IF($Z1115="F",IF(INDEX(FTE_Allocation!$D$2:$D$201,$AB1115)="PROJECT",IFERROR(INDEX(Projects!$D:$D,MATCH(INDEX(FTE_Allocation!$E$2:$E$201,$AB1115),Projects!$A:$A,0))&amp;"","#PROJECT?"),INDEX(FTE_Allocation!$E$2:$E$201,$AB1115)&amp;""),"")))</f>
        <v/>
      </c>
      <c r="F1115" s="7">
        <f>IF($Z1115="C",INDEX(Contracts!$Q$2:$Q$151,$AB1115)&amp;"",IF($Z1115="A",INDEX(Fixed_Assets!$L$2:$L$201,$AB1115)&amp;"",IF($Z1115="F",INDEX(Workforce!$K$2:$K$151,MATCH(INDEX(FTE_Allocation!$A$2:$A$201,$AB1115),Workforce!$A$2:$A$151,0))&amp;"","")))</f>
        <v/>
      </c>
      <c r="G1115" s="7">
        <f>IF($Z1115="C",INDEX(Contracts!$F$2:$F$151,$AB1115)&amp;" / "&amp;INDEX(Contracts!$G$2:$G$151,$AB1115),IF($Z1115="A",INDEX(Fixed_Assets!$E$2:$E$201,$AB1115)&amp;"",IF($Z1115="F","Personnel "&amp;INDEX(FTE_Allocation!$A$2:$A$201,$AB1115)&amp;IF(INDEX(FTE_Allocation!$D$2:$D$201,$AB1115)="PROJECT"," ("&amp;INDEX(FTE_Allocation!$E$2:$E$201,$AB1115)&amp;")",""),"")))</f>
        <v/>
      </c>
      <c r="H1115" s="7">
        <f>IF($Z1115="C","CONTRACT",IF($Z1115="A","ASSET",IF($Z1115="F","WORKFORCE","")))</f>
        <v/>
      </c>
      <c r="I1115" s="7">
        <f>IF($Z1115="C",INDEX(Contracts!$L$2:$L$151,$AB1115)&amp;"",IF($Z1115="A",INDEX(Fixed_Assets!$I$2:$I$201,$AB1115)&amp;"",IF($Z1115="F",INDEX(Workforce!$G$2:$G$151,MATCH(INDEX(FTE_Allocation!$A$2:$A$201,$AB1115),Workforce!$A$2:$A$151,0))&amp;"","")))</f>
        <v/>
      </c>
      <c r="J1115" s="18">
        <f>IF($Z1115="","",IF(AND(DATE($AD1115,1,1)&gt;=$AE1115,DATE($AD1115,1,1)&lt;=$AF1115),ROUND($AG1115,2),0))</f>
        <v/>
      </c>
      <c r="K1115" s="18">
        <f>IF($Z1115="","",IF(AND(DATE($AD1115,2,1)&gt;=$AE1115,DATE($AD1115,2,1)&lt;=$AF1115),ROUND($AG1115,2),0))</f>
        <v/>
      </c>
      <c r="L1115" s="18">
        <f>IF($Z1115="","",IF(AND(DATE($AD1115,3,1)&gt;=$AE1115,DATE($AD1115,3,1)&lt;=$AF1115),ROUND($AG1115,2),0))</f>
        <v/>
      </c>
      <c r="M1115" s="18">
        <f>IF($Z1115="","",IF(AND(DATE($AD1115,4,1)&gt;=$AE1115,DATE($AD1115,4,1)&lt;=$AF1115),ROUND($AG1115,2),0))</f>
        <v/>
      </c>
      <c r="N1115" s="18">
        <f>IF($Z1115="","",IF(AND(DATE($AD1115,5,1)&gt;=$AE1115,DATE($AD1115,5,1)&lt;=$AF1115),ROUND($AG1115,2),0))</f>
        <v/>
      </c>
      <c r="O1115" s="18">
        <f>IF($Z1115="","",IF(AND(DATE($AD1115,6,1)&gt;=$AE1115,DATE($AD1115,6,1)&lt;=$AF1115),ROUND($AG1115,2),0))</f>
        <v/>
      </c>
      <c r="P1115" s="18">
        <f>IF($Z1115="","",IF(AND(DATE($AD1115,7,1)&gt;=$AE1115,DATE($AD1115,7,1)&lt;=$AF1115),ROUND($AG1115,2),0))</f>
        <v/>
      </c>
      <c r="Q1115" s="18">
        <f>IF($Z1115="","",IF(AND(DATE($AD1115,8,1)&gt;=$AE1115,DATE($AD1115,8,1)&lt;=$AF1115),ROUND($AG1115,2),0))</f>
        <v/>
      </c>
      <c r="R1115" s="18">
        <f>IF($Z1115="","",IF(AND(DATE($AD1115,9,1)&gt;=$AE1115,DATE($AD1115,9,1)&lt;=$AF1115),ROUND($AG1115,2),0))</f>
        <v/>
      </c>
      <c r="S1115" s="18">
        <f>IF($Z1115="","",IF(AND(DATE($AD1115,10,1)&gt;=$AE1115,DATE($AD1115,10,1)&lt;=$AF1115),ROUND($AG1115,2),0))</f>
        <v/>
      </c>
      <c r="T1115" s="18">
        <f>IF($Z1115="","",IF(AND(DATE($AD1115,11,1)&gt;=$AE1115,DATE($AD1115,11,1)&lt;=$AF1115),ROUND($AG1115,2),0))</f>
        <v/>
      </c>
      <c r="U1115" s="18">
        <f>IF($Z1115="","",IF(AND(DATE($AD1115,12,1)&gt;=$AE1115,DATE($AD1115,12,1)&lt;=$AF1115),ROUND($AG1115,2),0))</f>
        <v/>
      </c>
      <c r="V1115" s="7">
        <f>IF($Z1115="C","Generated from "&amp;INDEX(Contracts!$A$2:$A$151,$AB1115),IF($Z1115="A","Generated from "&amp;INDEX(Fixed_Assets!$A$2:$A$201,$AB1115),IF($Z1115="F","Generated from "&amp;INDEX(FTE_Allocation!$A$2:$A$201,$AB1115),"")))</f>
        <v/>
      </c>
      <c r="X1115" s="19">
        <f>IF($Z1115="","",SUM(J1115:U1115))</f>
        <v/>
      </c>
      <c r="Y1115" s="20">
        <f>ROW()-1</f>
        <v/>
      </c>
      <c r="Z1115" s="20">
        <f>IF($Y1115&lt;=Settings!$B$4*3,"C",IF($Y1115&lt;=(Settings!$B$4+Settings!$B$5)*3,"A",IF($Y1115&lt;=(Settings!$B$4+Settings!$B$5+Settings!$B$6)*3,"F","")))</f>
        <v/>
      </c>
      <c r="AA1115" s="20">
        <f>IF($Z1115="C",$Y1115,IF($Z1115="A",$Y1115-Settings!$B$4*3,IF($Z1115="F",$Y1115-(Settings!$B$4+Settings!$B$5)*3,"")))</f>
        <v/>
      </c>
      <c r="AB1115" s="20">
        <f>IF($Z1115="","",INT(($AA1115-1)/3)+1)</f>
        <v/>
      </c>
      <c r="AC1115" s="20">
        <f>IF($Z1115="","",MOD($AA1115-1,3)+1)</f>
        <v/>
      </c>
      <c r="AD1115" s="20">
        <f>IF($Z1115="","",Settings!$B$2+$AC1115-1)</f>
        <v/>
      </c>
      <c r="AE1115" s="21">
        <f>IF($Z1115="C",DATE(YEAR(INDEX(Contracts!$J$2:$J$151,$AB1115)),MONTH(INDEX(Contracts!$J$2:$J$151,$AB1115)),1),IF($Z1115="A",DATE(YEAR(INDEX(Fixed_Assets!$G$2:$G$201,$AB1115)),MONTH(INDEX(Fixed_Assets!$G$2:$G$201,$AB1115)),1),IF($Z1115="F",DATE(YEAR(MAX(N(INDEX(Workforce!$I$2:$I$151,MATCH(INDEX(FTE_Allocation!$A$2:$A$201,$AB1115),Workforce!$A$2:$A$151,0))),N(INDEX(FTE_Allocation!$I$2:$I$201,$AB1115)))),MONTH(MAX(N(INDEX(Workforce!$I$2:$I$151,MATCH(INDEX(FTE_Allocation!$A$2:$A$201,$AB1115),Workforce!$A$2:$A$151,0))),N(INDEX(FTE_Allocation!$I$2:$I$201,$AB1115)))),1),"")))</f>
        <v/>
      </c>
      <c r="AF1115" s="21">
        <f>IF($Z1115="C",IF(INDEX(Contracts!$I$2:$I$151,$AB1115)="PREPAID",EDATE(DATE(YEAR(INDEX(Contracts!$J$2:$J$151,$AB1115)),MONTH(INDEX(Contracts!$J$2:$J$151,$AB1115)),1),IF(INDEX(Contracts!$N$2:$N$151,$AB1115)="",12,INDEX(Contracts!$N$2:$N$151,$AB1115))-1),IF(INDEX(Contracts!$I$2:$I$151,$AB1115)="MONTHLY",IF(INDEX(Contracts!$K$2:$K$151,$AB1115)="",2958101,INDEX(Contracts!$K$2:$K$151,$AB1115)),0)),IF($Z1115="A",EDATE(DATE(YEAR(INDEX(Fixed_Assets!$G$2:$G$201,$AB1115)),MONTH(INDEX(Fixed_Assets!$G$2:$G$201,$AB1115)),1),INDEX(Fixed_Assets!$J$2:$J$201,$AB1115)-1),IF($Z1115="F",MIN(IF(INDEX(Workforce!$J$2:$J$151,MATCH(INDEX(FTE_Allocation!$A$2:$A$201,$AB1115),Workforce!$A$2:$A$151,0))="",2958101,INDEX(Workforce!$J$2:$J$151,MATCH(INDEX(FTE_Allocation!$A$2:$A$201,$AB1115),Workforce!$A$2:$A$151,0))),IF(INDEX(FTE_Allocation!$J$2:$J$201,$AB1115)="",2958101,INDEX(FTE_Allocation!$J$2:$J$201,$AB1115))),"")))</f>
        <v/>
      </c>
      <c r="AG1115" s="19">
        <f>IF($Z1115="C",IF(INDEX(Contracts!$I$2:$I$151,$AB1115)="PREPAID",INDEX(Contracts!$M$2:$M$151,$AB1115)/IF(INDEX(Contracts!$N$2:$N$151,$AB1115)="",12,INDEX(Contracts!$N$2:$N$151,$AB1115)),IF(INDEX(Contracts!$I$2:$I$151,$AB1115)="MONTHLY",INDEX(Contracts!$M$2:$M$151,$AB1115),0))*(1-N(INDEX(Contracts!$O$2:$O$151,$AB1115))),IF($Z1115="A",INDEX(Fixed_Assets!$H$2:$H$201,$AB1115)/INDEX(Fixed_Assets!$J$2:$J$201,$AB1115),IF($Z1115="F",INDEX(Workforce!$F$2:$F$151,MATCH(INDEX(FTE_Allocation!$A$2:$A$201,$AB1115),Workforce!$A$2:$A$151,0))*N(INDEX(FTE_Allocation!$F$2:$H$201,$AB1115,$AC1115)),"")))</f>
        <v/>
      </c>
    </row>
    <row r="1116">
      <c r="A1116" s="7">
        <f>IF($Z1116="","",$AD1116)</f>
        <v/>
      </c>
      <c r="B1116" s="7">
        <f>IF($Z1116="C",INDEX(Contracts!$D$2:$D$151,$AB1116)&amp;"",IF($Z1116="A",INDEX(Fixed_Assets!$C$2:$C$201,$AB1116)&amp;"",IF($Z1116="F",INDEX(Workforce!$B$2:$B$151,MATCH(INDEX(FTE_Allocation!$A$2:$A$201,$AB1116),Workforce!$A$2:$A$151,0))&amp;"","")))</f>
        <v/>
      </c>
      <c r="C1116" s="7">
        <f>IF($Z1116="C",INDEX(Contracts!$E$2:$E$151,$AB1116)&amp;"",IF($Z1116="A",INDEX(Fixed_Assets!$D$2:$D$201,$AB1116)&amp;"",IF($Z1116="F",INDEX(FTE_Allocation!$C$2:$C$201,$AB1116)&amp;"","")))</f>
        <v/>
      </c>
      <c r="D1116" s="7">
        <f>IF($Z1116="C",INDEX(Contracts!$B$2:$B$151,$AB1116)&amp;"",IF($Z1116="A",INDEX(Fixed_Assets!$B$2:$B$201,$AB1116)&amp;"",IF($Z1116="F",INDEX(FTE_Allocation!$B$2:$B$201,$AB1116)&amp;"","")))</f>
        <v/>
      </c>
      <c r="E1116" s="7">
        <f>IF($Z1116="C",INDEX(Contracts!$P$2:$P$151,$AB1116)&amp;"",IF($Z1116="A",INDEX(Fixed_Assets!$K$2:$K$201,$AB1116)&amp;"",IF($Z1116="F",IF(INDEX(FTE_Allocation!$D$2:$D$201,$AB1116)="PROJECT",IFERROR(INDEX(Projects!$D:$D,MATCH(INDEX(FTE_Allocation!$E$2:$E$201,$AB1116),Projects!$A:$A,0))&amp;"","#PROJECT?"),INDEX(FTE_Allocation!$E$2:$E$201,$AB1116)&amp;""),"")))</f>
        <v/>
      </c>
      <c r="F1116" s="7">
        <f>IF($Z1116="C",INDEX(Contracts!$Q$2:$Q$151,$AB1116)&amp;"",IF($Z1116="A",INDEX(Fixed_Assets!$L$2:$L$201,$AB1116)&amp;"",IF($Z1116="F",INDEX(Workforce!$K$2:$K$151,MATCH(INDEX(FTE_Allocation!$A$2:$A$201,$AB1116),Workforce!$A$2:$A$151,0))&amp;"","")))</f>
        <v/>
      </c>
      <c r="G1116" s="7">
        <f>IF($Z1116="C",INDEX(Contracts!$F$2:$F$151,$AB1116)&amp;" / "&amp;INDEX(Contracts!$G$2:$G$151,$AB1116),IF($Z1116="A",INDEX(Fixed_Assets!$E$2:$E$201,$AB1116)&amp;"",IF($Z1116="F","Personnel "&amp;INDEX(FTE_Allocation!$A$2:$A$201,$AB1116)&amp;IF(INDEX(FTE_Allocation!$D$2:$D$201,$AB1116)="PROJECT"," ("&amp;INDEX(FTE_Allocation!$E$2:$E$201,$AB1116)&amp;")",""),"")))</f>
        <v/>
      </c>
      <c r="H1116" s="7">
        <f>IF($Z1116="C","CONTRACT",IF($Z1116="A","ASSET",IF($Z1116="F","WORKFORCE","")))</f>
        <v/>
      </c>
      <c r="I1116" s="7">
        <f>IF($Z1116="C",INDEX(Contracts!$L$2:$L$151,$AB1116)&amp;"",IF($Z1116="A",INDEX(Fixed_Assets!$I$2:$I$201,$AB1116)&amp;"",IF($Z1116="F",INDEX(Workforce!$G$2:$G$151,MATCH(INDEX(FTE_Allocation!$A$2:$A$201,$AB1116),Workforce!$A$2:$A$151,0))&amp;"","")))</f>
        <v/>
      </c>
      <c r="J1116" s="18">
        <f>IF($Z1116="","",IF(AND(DATE($AD1116,1,1)&gt;=$AE1116,DATE($AD1116,1,1)&lt;=$AF1116),ROUND($AG1116,2),0))</f>
        <v/>
      </c>
      <c r="K1116" s="18">
        <f>IF($Z1116="","",IF(AND(DATE($AD1116,2,1)&gt;=$AE1116,DATE($AD1116,2,1)&lt;=$AF1116),ROUND($AG1116,2),0))</f>
        <v/>
      </c>
      <c r="L1116" s="18">
        <f>IF($Z1116="","",IF(AND(DATE($AD1116,3,1)&gt;=$AE1116,DATE($AD1116,3,1)&lt;=$AF1116),ROUND($AG1116,2),0))</f>
        <v/>
      </c>
      <c r="M1116" s="18">
        <f>IF($Z1116="","",IF(AND(DATE($AD1116,4,1)&gt;=$AE1116,DATE($AD1116,4,1)&lt;=$AF1116),ROUND($AG1116,2),0))</f>
        <v/>
      </c>
      <c r="N1116" s="18">
        <f>IF($Z1116="","",IF(AND(DATE($AD1116,5,1)&gt;=$AE1116,DATE($AD1116,5,1)&lt;=$AF1116),ROUND($AG1116,2),0))</f>
        <v/>
      </c>
      <c r="O1116" s="18">
        <f>IF($Z1116="","",IF(AND(DATE($AD1116,6,1)&gt;=$AE1116,DATE($AD1116,6,1)&lt;=$AF1116),ROUND($AG1116,2),0))</f>
        <v/>
      </c>
      <c r="P1116" s="18">
        <f>IF($Z1116="","",IF(AND(DATE($AD1116,7,1)&gt;=$AE1116,DATE($AD1116,7,1)&lt;=$AF1116),ROUND($AG1116,2),0))</f>
        <v/>
      </c>
      <c r="Q1116" s="18">
        <f>IF($Z1116="","",IF(AND(DATE($AD1116,8,1)&gt;=$AE1116,DATE($AD1116,8,1)&lt;=$AF1116),ROUND($AG1116,2),0))</f>
        <v/>
      </c>
      <c r="R1116" s="18">
        <f>IF($Z1116="","",IF(AND(DATE($AD1116,9,1)&gt;=$AE1116,DATE($AD1116,9,1)&lt;=$AF1116),ROUND($AG1116,2),0))</f>
        <v/>
      </c>
      <c r="S1116" s="18">
        <f>IF($Z1116="","",IF(AND(DATE($AD1116,10,1)&gt;=$AE1116,DATE($AD1116,10,1)&lt;=$AF1116),ROUND($AG1116,2),0))</f>
        <v/>
      </c>
      <c r="T1116" s="18">
        <f>IF($Z1116="","",IF(AND(DATE($AD1116,11,1)&gt;=$AE1116,DATE($AD1116,11,1)&lt;=$AF1116),ROUND($AG1116,2),0))</f>
        <v/>
      </c>
      <c r="U1116" s="18">
        <f>IF($Z1116="","",IF(AND(DATE($AD1116,12,1)&gt;=$AE1116,DATE($AD1116,12,1)&lt;=$AF1116),ROUND($AG1116,2),0))</f>
        <v/>
      </c>
      <c r="V1116" s="7">
        <f>IF($Z1116="C","Generated from "&amp;INDEX(Contracts!$A$2:$A$151,$AB1116),IF($Z1116="A","Generated from "&amp;INDEX(Fixed_Assets!$A$2:$A$201,$AB1116),IF($Z1116="F","Generated from "&amp;INDEX(FTE_Allocation!$A$2:$A$201,$AB1116),"")))</f>
        <v/>
      </c>
      <c r="X1116" s="19">
        <f>IF($Z1116="","",SUM(J1116:U1116))</f>
        <v/>
      </c>
      <c r="Y1116" s="20">
        <f>ROW()-1</f>
        <v/>
      </c>
      <c r="Z1116" s="20">
        <f>IF($Y1116&lt;=Settings!$B$4*3,"C",IF($Y1116&lt;=(Settings!$B$4+Settings!$B$5)*3,"A",IF($Y1116&lt;=(Settings!$B$4+Settings!$B$5+Settings!$B$6)*3,"F","")))</f>
        <v/>
      </c>
      <c r="AA1116" s="20">
        <f>IF($Z1116="C",$Y1116,IF($Z1116="A",$Y1116-Settings!$B$4*3,IF($Z1116="F",$Y1116-(Settings!$B$4+Settings!$B$5)*3,"")))</f>
        <v/>
      </c>
      <c r="AB1116" s="20">
        <f>IF($Z1116="","",INT(($AA1116-1)/3)+1)</f>
        <v/>
      </c>
      <c r="AC1116" s="20">
        <f>IF($Z1116="","",MOD($AA1116-1,3)+1)</f>
        <v/>
      </c>
      <c r="AD1116" s="20">
        <f>IF($Z1116="","",Settings!$B$2+$AC1116-1)</f>
        <v/>
      </c>
      <c r="AE1116" s="21">
        <f>IF($Z1116="C",DATE(YEAR(INDEX(Contracts!$J$2:$J$151,$AB1116)),MONTH(INDEX(Contracts!$J$2:$J$151,$AB1116)),1),IF($Z1116="A",DATE(YEAR(INDEX(Fixed_Assets!$G$2:$G$201,$AB1116)),MONTH(INDEX(Fixed_Assets!$G$2:$G$201,$AB1116)),1),IF($Z1116="F",DATE(YEAR(MAX(N(INDEX(Workforce!$I$2:$I$151,MATCH(INDEX(FTE_Allocation!$A$2:$A$201,$AB1116),Workforce!$A$2:$A$151,0))),N(INDEX(FTE_Allocation!$I$2:$I$201,$AB1116)))),MONTH(MAX(N(INDEX(Workforce!$I$2:$I$151,MATCH(INDEX(FTE_Allocation!$A$2:$A$201,$AB1116),Workforce!$A$2:$A$151,0))),N(INDEX(FTE_Allocation!$I$2:$I$201,$AB1116)))),1),"")))</f>
        <v/>
      </c>
      <c r="AF1116" s="21">
        <f>IF($Z1116="C",IF(INDEX(Contracts!$I$2:$I$151,$AB1116)="PREPAID",EDATE(DATE(YEAR(INDEX(Contracts!$J$2:$J$151,$AB1116)),MONTH(INDEX(Contracts!$J$2:$J$151,$AB1116)),1),IF(INDEX(Contracts!$N$2:$N$151,$AB1116)="",12,INDEX(Contracts!$N$2:$N$151,$AB1116))-1),IF(INDEX(Contracts!$I$2:$I$151,$AB1116)="MONTHLY",IF(INDEX(Contracts!$K$2:$K$151,$AB1116)="",2958101,INDEX(Contracts!$K$2:$K$151,$AB1116)),0)),IF($Z1116="A",EDATE(DATE(YEAR(INDEX(Fixed_Assets!$G$2:$G$201,$AB1116)),MONTH(INDEX(Fixed_Assets!$G$2:$G$201,$AB1116)),1),INDEX(Fixed_Assets!$J$2:$J$201,$AB1116)-1),IF($Z1116="F",MIN(IF(INDEX(Workforce!$J$2:$J$151,MATCH(INDEX(FTE_Allocation!$A$2:$A$201,$AB1116),Workforce!$A$2:$A$151,0))="",2958101,INDEX(Workforce!$J$2:$J$151,MATCH(INDEX(FTE_Allocation!$A$2:$A$201,$AB1116),Workforce!$A$2:$A$151,0))),IF(INDEX(FTE_Allocation!$J$2:$J$201,$AB1116)="",2958101,INDEX(FTE_Allocation!$J$2:$J$201,$AB1116))),"")))</f>
        <v/>
      </c>
      <c r="AG1116" s="19">
        <f>IF($Z1116="C",IF(INDEX(Contracts!$I$2:$I$151,$AB1116)="PREPAID",INDEX(Contracts!$M$2:$M$151,$AB1116)/IF(INDEX(Contracts!$N$2:$N$151,$AB1116)="",12,INDEX(Contracts!$N$2:$N$151,$AB1116)),IF(INDEX(Contracts!$I$2:$I$151,$AB1116)="MONTHLY",INDEX(Contracts!$M$2:$M$151,$AB1116),0))*(1-N(INDEX(Contracts!$O$2:$O$151,$AB1116))),IF($Z1116="A",INDEX(Fixed_Assets!$H$2:$H$201,$AB1116)/INDEX(Fixed_Assets!$J$2:$J$201,$AB1116),IF($Z1116="F",INDEX(Workforce!$F$2:$F$151,MATCH(INDEX(FTE_Allocation!$A$2:$A$201,$AB1116),Workforce!$A$2:$A$151,0))*N(INDEX(FTE_Allocation!$F$2:$H$201,$AB1116,$AC1116)),"")))</f>
        <v/>
      </c>
    </row>
    <row r="1117">
      <c r="A1117" s="7">
        <f>IF($Z1117="","",$AD1117)</f>
        <v/>
      </c>
      <c r="B1117" s="7">
        <f>IF($Z1117="C",INDEX(Contracts!$D$2:$D$151,$AB1117)&amp;"",IF($Z1117="A",INDEX(Fixed_Assets!$C$2:$C$201,$AB1117)&amp;"",IF($Z1117="F",INDEX(Workforce!$B$2:$B$151,MATCH(INDEX(FTE_Allocation!$A$2:$A$201,$AB1117),Workforce!$A$2:$A$151,0))&amp;"","")))</f>
        <v/>
      </c>
      <c r="C1117" s="7">
        <f>IF($Z1117="C",INDEX(Contracts!$E$2:$E$151,$AB1117)&amp;"",IF($Z1117="A",INDEX(Fixed_Assets!$D$2:$D$201,$AB1117)&amp;"",IF($Z1117="F",INDEX(FTE_Allocation!$C$2:$C$201,$AB1117)&amp;"","")))</f>
        <v/>
      </c>
      <c r="D1117" s="7">
        <f>IF($Z1117="C",INDEX(Contracts!$B$2:$B$151,$AB1117)&amp;"",IF($Z1117="A",INDEX(Fixed_Assets!$B$2:$B$201,$AB1117)&amp;"",IF($Z1117="F",INDEX(FTE_Allocation!$B$2:$B$201,$AB1117)&amp;"","")))</f>
        <v/>
      </c>
      <c r="E1117" s="7">
        <f>IF($Z1117="C",INDEX(Contracts!$P$2:$P$151,$AB1117)&amp;"",IF($Z1117="A",INDEX(Fixed_Assets!$K$2:$K$201,$AB1117)&amp;"",IF($Z1117="F",IF(INDEX(FTE_Allocation!$D$2:$D$201,$AB1117)="PROJECT",IFERROR(INDEX(Projects!$D:$D,MATCH(INDEX(FTE_Allocation!$E$2:$E$201,$AB1117),Projects!$A:$A,0))&amp;"","#PROJECT?"),INDEX(FTE_Allocation!$E$2:$E$201,$AB1117)&amp;""),"")))</f>
        <v/>
      </c>
      <c r="F1117" s="7">
        <f>IF($Z1117="C",INDEX(Contracts!$Q$2:$Q$151,$AB1117)&amp;"",IF($Z1117="A",INDEX(Fixed_Assets!$L$2:$L$201,$AB1117)&amp;"",IF($Z1117="F",INDEX(Workforce!$K$2:$K$151,MATCH(INDEX(FTE_Allocation!$A$2:$A$201,$AB1117),Workforce!$A$2:$A$151,0))&amp;"","")))</f>
        <v/>
      </c>
      <c r="G1117" s="7">
        <f>IF($Z1117="C",INDEX(Contracts!$F$2:$F$151,$AB1117)&amp;" / "&amp;INDEX(Contracts!$G$2:$G$151,$AB1117),IF($Z1117="A",INDEX(Fixed_Assets!$E$2:$E$201,$AB1117)&amp;"",IF($Z1117="F","Personnel "&amp;INDEX(FTE_Allocation!$A$2:$A$201,$AB1117)&amp;IF(INDEX(FTE_Allocation!$D$2:$D$201,$AB1117)="PROJECT"," ("&amp;INDEX(FTE_Allocation!$E$2:$E$201,$AB1117)&amp;")",""),"")))</f>
        <v/>
      </c>
      <c r="H1117" s="7">
        <f>IF($Z1117="C","CONTRACT",IF($Z1117="A","ASSET",IF($Z1117="F","WORKFORCE","")))</f>
        <v/>
      </c>
      <c r="I1117" s="7">
        <f>IF($Z1117="C",INDEX(Contracts!$L$2:$L$151,$AB1117)&amp;"",IF($Z1117="A",INDEX(Fixed_Assets!$I$2:$I$201,$AB1117)&amp;"",IF($Z1117="F",INDEX(Workforce!$G$2:$G$151,MATCH(INDEX(FTE_Allocation!$A$2:$A$201,$AB1117),Workforce!$A$2:$A$151,0))&amp;"","")))</f>
        <v/>
      </c>
      <c r="J1117" s="18">
        <f>IF($Z1117="","",IF(AND(DATE($AD1117,1,1)&gt;=$AE1117,DATE($AD1117,1,1)&lt;=$AF1117),ROUND($AG1117,2),0))</f>
        <v/>
      </c>
      <c r="K1117" s="18">
        <f>IF($Z1117="","",IF(AND(DATE($AD1117,2,1)&gt;=$AE1117,DATE($AD1117,2,1)&lt;=$AF1117),ROUND($AG1117,2),0))</f>
        <v/>
      </c>
      <c r="L1117" s="18">
        <f>IF($Z1117="","",IF(AND(DATE($AD1117,3,1)&gt;=$AE1117,DATE($AD1117,3,1)&lt;=$AF1117),ROUND($AG1117,2),0))</f>
        <v/>
      </c>
      <c r="M1117" s="18">
        <f>IF($Z1117="","",IF(AND(DATE($AD1117,4,1)&gt;=$AE1117,DATE($AD1117,4,1)&lt;=$AF1117),ROUND($AG1117,2),0))</f>
        <v/>
      </c>
      <c r="N1117" s="18">
        <f>IF($Z1117="","",IF(AND(DATE($AD1117,5,1)&gt;=$AE1117,DATE($AD1117,5,1)&lt;=$AF1117),ROUND($AG1117,2),0))</f>
        <v/>
      </c>
      <c r="O1117" s="18">
        <f>IF($Z1117="","",IF(AND(DATE($AD1117,6,1)&gt;=$AE1117,DATE($AD1117,6,1)&lt;=$AF1117),ROUND($AG1117,2),0))</f>
        <v/>
      </c>
      <c r="P1117" s="18">
        <f>IF($Z1117="","",IF(AND(DATE($AD1117,7,1)&gt;=$AE1117,DATE($AD1117,7,1)&lt;=$AF1117),ROUND($AG1117,2),0))</f>
        <v/>
      </c>
      <c r="Q1117" s="18">
        <f>IF($Z1117="","",IF(AND(DATE($AD1117,8,1)&gt;=$AE1117,DATE($AD1117,8,1)&lt;=$AF1117),ROUND($AG1117,2),0))</f>
        <v/>
      </c>
      <c r="R1117" s="18">
        <f>IF($Z1117="","",IF(AND(DATE($AD1117,9,1)&gt;=$AE1117,DATE($AD1117,9,1)&lt;=$AF1117),ROUND($AG1117,2),0))</f>
        <v/>
      </c>
      <c r="S1117" s="18">
        <f>IF($Z1117="","",IF(AND(DATE($AD1117,10,1)&gt;=$AE1117,DATE($AD1117,10,1)&lt;=$AF1117),ROUND($AG1117,2),0))</f>
        <v/>
      </c>
      <c r="T1117" s="18">
        <f>IF($Z1117="","",IF(AND(DATE($AD1117,11,1)&gt;=$AE1117,DATE($AD1117,11,1)&lt;=$AF1117),ROUND($AG1117,2),0))</f>
        <v/>
      </c>
      <c r="U1117" s="18">
        <f>IF($Z1117="","",IF(AND(DATE($AD1117,12,1)&gt;=$AE1117,DATE($AD1117,12,1)&lt;=$AF1117),ROUND($AG1117,2),0))</f>
        <v/>
      </c>
      <c r="V1117" s="7">
        <f>IF($Z1117="C","Generated from "&amp;INDEX(Contracts!$A$2:$A$151,$AB1117),IF($Z1117="A","Generated from "&amp;INDEX(Fixed_Assets!$A$2:$A$201,$AB1117),IF($Z1117="F","Generated from "&amp;INDEX(FTE_Allocation!$A$2:$A$201,$AB1117),"")))</f>
        <v/>
      </c>
      <c r="X1117" s="19">
        <f>IF($Z1117="","",SUM(J1117:U1117))</f>
        <v/>
      </c>
      <c r="Y1117" s="20">
        <f>ROW()-1</f>
        <v/>
      </c>
      <c r="Z1117" s="20">
        <f>IF($Y1117&lt;=Settings!$B$4*3,"C",IF($Y1117&lt;=(Settings!$B$4+Settings!$B$5)*3,"A",IF($Y1117&lt;=(Settings!$B$4+Settings!$B$5+Settings!$B$6)*3,"F","")))</f>
        <v/>
      </c>
      <c r="AA1117" s="20">
        <f>IF($Z1117="C",$Y1117,IF($Z1117="A",$Y1117-Settings!$B$4*3,IF($Z1117="F",$Y1117-(Settings!$B$4+Settings!$B$5)*3,"")))</f>
        <v/>
      </c>
      <c r="AB1117" s="20">
        <f>IF($Z1117="","",INT(($AA1117-1)/3)+1)</f>
        <v/>
      </c>
      <c r="AC1117" s="20">
        <f>IF($Z1117="","",MOD($AA1117-1,3)+1)</f>
        <v/>
      </c>
      <c r="AD1117" s="20">
        <f>IF($Z1117="","",Settings!$B$2+$AC1117-1)</f>
        <v/>
      </c>
      <c r="AE1117" s="21">
        <f>IF($Z1117="C",DATE(YEAR(INDEX(Contracts!$J$2:$J$151,$AB1117)),MONTH(INDEX(Contracts!$J$2:$J$151,$AB1117)),1),IF($Z1117="A",DATE(YEAR(INDEX(Fixed_Assets!$G$2:$G$201,$AB1117)),MONTH(INDEX(Fixed_Assets!$G$2:$G$201,$AB1117)),1),IF($Z1117="F",DATE(YEAR(MAX(N(INDEX(Workforce!$I$2:$I$151,MATCH(INDEX(FTE_Allocation!$A$2:$A$201,$AB1117),Workforce!$A$2:$A$151,0))),N(INDEX(FTE_Allocation!$I$2:$I$201,$AB1117)))),MONTH(MAX(N(INDEX(Workforce!$I$2:$I$151,MATCH(INDEX(FTE_Allocation!$A$2:$A$201,$AB1117),Workforce!$A$2:$A$151,0))),N(INDEX(FTE_Allocation!$I$2:$I$201,$AB1117)))),1),"")))</f>
        <v/>
      </c>
      <c r="AF1117" s="21">
        <f>IF($Z1117="C",IF(INDEX(Contracts!$I$2:$I$151,$AB1117)="PREPAID",EDATE(DATE(YEAR(INDEX(Contracts!$J$2:$J$151,$AB1117)),MONTH(INDEX(Contracts!$J$2:$J$151,$AB1117)),1),IF(INDEX(Contracts!$N$2:$N$151,$AB1117)="",12,INDEX(Contracts!$N$2:$N$151,$AB1117))-1),IF(INDEX(Contracts!$I$2:$I$151,$AB1117)="MONTHLY",IF(INDEX(Contracts!$K$2:$K$151,$AB1117)="",2958101,INDEX(Contracts!$K$2:$K$151,$AB1117)),0)),IF($Z1117="A",EDATE(DATE(YEAR(INDEX(Fixed_Assets!$G$2:$G$201,$AB1117)),MONTH(INDEX(Fixed_Assets!$G$2:$G$201,$AB1117)),1),INDEX(Fixed_Assets!$J$2:$J$201,$AB1117)-1),IF($Z1117="F",MIN(IF(INDEX(Workforce!$J$2:$J$151,MATCH(INDEX(FTE_Allocation!$A$2:$A$201,$AB1117),Workforce!$A$2:$A$151,0))="",2958101,INDEX(Workforce!$J$2:$J$151,MATCH(INDEX(FTE_Allocation!$A$2:$A$201,$AB1117),Workforce!$A$2:$A$151,0))),IF(INDEX(FTE_Allocation!$J$2:$J$201,$AB1117)="",2958101,INDEX(FTE_Allocation!$J$2:$J$201,$AB1117))),"")))</f>
        <v/>
      </c>
      <c r="AG1117" s="19">
        <f>IF($Z1117="C",IF(INDEX(Contracts!$I$2:$I$151,$AB1117)="PREPAID",INDEX(Contracts!$M$2:$M$151,$AB1117)/IF(INDEX(Contracts!$N$2:$N$151,$AB1117)="",12,INDEX(Contracts!$N$2:$N$151,$AB1117)),IF(INDEX(Contracts!$I$2:$I$151,$AB1117)="MONTHLY",INDEX(Contracts!$M$2:$M$151,$AB1117),0))*(1-N(INDEX(Contracts!$O$2:$O$151,$AB1117))),IF($Z1117="A",INDEX(Fixed_Assets!$H$2:$H$201,$AB1117)/INDEX(Fixed_Assets!$J$2:$J$201,$AB1117),IF($Z1117="F",INDEX(Workforce!$F$2:$F$151,MATCH(INDEX(FTE_Allocation!$A$2:$A$201,$AB1117),Workforce!$A$2:$A$151,0))*N(INDEX(FTE_Allocation!$F$2:$H$201,$AB1117,$AC1117)),"")))</f>
        <v/>
      </c>
    </row>
    <row r="1118">
      <c r="A1118" s="7">
        <f>IF($Z1118="","",$AD1118)</f>
        <v/>
      </c>
      <c r="B1118" s="7">
        <f>IF($Z1118="C",INDEX(Contracts!$D$2:$D$151,$AB1118)&amp;"",IF($Z1118="A",INDEX(Fixed_Assets!$C$2:$C$201,$AB1118)&amp;"",IF($Z1118="F",INDEX(Workforce!$B$2:$B$151,MATCH(INDEX(FTE_Allocation!$A$2:$A$201,$AB1118),Workforce!$A$2:$A$151,0))&amp;"","")))</f>
        <v/>
      </c>
      <c r="C1118" s="7">
        <f>IF($Z1118="C",INDEX(Contracts!$E$2:$E$151,$AB1118)&amp;"",IF($Z1118="A",INDEX(Fixed_Assets!$D$2:$D$201,$AB1118)&amp;"",IF($Z1118="F",INDEX(FTE_Allocation!$C$2:$C$201,$AB1118)&amp;"","")))</f>
        <v/>
      </c>
      <c r="D1118" s="7">
        <f>IF($Z1118="C",INDEX(Contracts!$B$2:$B$151,$AB1118)&amp;"",IF($Z1118="A",INDEX(Fixed_Assets!$B$2:$B$201,$AB1118)&amp;"",IF($Z1118="F",INDEX(FTE_Allocation!$B$2:$B$201,$AB1118)&amp;"","")))</f>
        <v/>
      </c>
      <c r="E1118" s="7">
        <f>IF($Z1118="C",INDEX(Contracts!$P$2:$P$151,$AB1118)&amp;"",IF($Z1118="A",INDEX(Fixed_Assets!$K$2:$K$201,$AB1118)&amp;"",IF($Z1118="F",IF(INDEX(FTE_Allocation!$D$2:$D$201,$AB1118)="PROJECT",IFERROR(INDEX(Projects!$D:$D,MATCH(INDEX(FTE_Allocation!$E$2:$E$201,$AB1118),Projects!$A:$A,0))&amp;"","#PROJECT?"),INDEX(FTE_Allocation!$E$2:$E$201,$AB1118)&amp;""),"")))</f>
        <v/>
      </c>
      <c r="F1118" s="7">
        <f>IF($Z1118="C",INDEX(Contracts!$Q$2:$Q$151,$AB1118)&amp;"",IF($Z1118="A",INDEX(Fixed_Assets!$L$2:$L$201,$AB1118)&amp;"",IF($Z1118="F",INDEX(Workforce!$K$2:$K$151,MATCH(INDEX(FTE_Allocation!$A$2:$A$201,$AB1118),Workforce!$A$2:$A$151,0))&amp;"","")))</f>
        <v/>
      </c>
      <c r="G1118" s="7">
        <f>IF($Z1118="C",INDEX(Contracts!$F$2:$F$151,$AB1118)&amp;" / "&amp;INDEX(Contracts!$G$2:$G$151,$AB1118),IF($Z1118="A",INDEX(Fixed_Assets!$E$2:$E$201,$AB1118)&amp;"",IF($Z1118="F","Personnel "&amp;INDEX(FTE_Allocation!$A$2:$A$201,$AB1118)&amp;IF(INDEX(FTE_Allocation!$D$2:$D$201,$AB1118)="PROJECT"," ("&amp;INDEX(FTE_Allocation!$E$2:$E$201,$AB1118)&amp;")",""),"")))</f>
        <v/>
      </c>
      <c r="H1118" s="7">
        <f>IF($Z1118="C","CONTRACT",IF($Z1118="A","ASSET",IF($Z1118="F","WORKFORCE","")))</f>
        <v/>
      </c>
      <c r="I1118" s="7">
        <f>IF($Z1118="C",INDEX(Contracts!$L$2:$L$151,$AB1118)&amp;"",IF($Z1118="A",INDEX(Fixed_Assets!$I$2:$I$201,$AB1118)&amp;"",IF($Z1118="F",INDEX(Workforce!$G$2:$G$151,MATCH(INDEX(FTE_Allocation!$A$2:$A$201,$AB1118),Workforce!$A$2:$A$151,0))&amp;"","")))</f>
        <v/>
      </c>
      <c r="J1118" s="18">
        <f>IF($Z1118="","",IF(AND(DATE($AD1118,1,1)&gt;=$AE1118,DATE($AD1118,1,1)&lt;=$AF1118),ROUND($AG1118,2),0))</f>
        <v/>
      </c>
      <c r="K1118" s="18">
        <f>IF($Z1118="","",IF(AND(DATE($AD1118,2,1)&gt;=$AE1118,DATE($AD1118,2,1)&lt;=$AF1118),ROUND($AG1118,2),0))</f>
        <v/>
      </c>
      <c r="L1118" s="18">
        <f>IF($Z1118="","",IF(AND(DATE($AD1118,3,1)&gt;=$AE1118,DATE($AD1118,3,1)&lt;=$AF1118),ROUND($AG1118,2),0))</f>
        <v/>
      </c>
      <c r="M1118" s="18">
        <f>IF($Z1118="","",IF(AND(DATE($AD1118,4,1)&gt;=$AE1118,DATE($AD1118,4,1)&lt;=$AF1118),ROUND($AG1118,2),0))</f>
        <v/>
      </c>
      <c r="N1118" s="18">
        <f>IF($Z1118="","",IF(AND(DATE($AD1118,5,1)&gt;=$AE1118,DATE($AD1118,5,1)&lt;=$AF1118),ROUND($AG1118,2),0))</f>
        <v/>
      </c>
      <c r="O1118" s="18">
        <f>IF($Z1118="","",IF(AND(DATE($AD1118,6,1)&gt;=$AE1118,DATE($AD1118,6,1)&lt;=$AF1118),ROUND($AG1118,2),0))</f>
        <v/>
      </c>
      <c r="P1118" s="18">
        <f>IF($Z1118="","",IF(AND(DATE($AD1118,7,1)&gt;=$AE1118,DATE($AD1118,7,1)&lt;=$AF1118),ROUND($AG1118,2),0))</f>
        <v/>
      </c>
      <c r="Q1118" s="18">
        <f>IF($Z1118="","",IF(AND(DATE($AD1118,8,1)&gt;=$AE1118,DATE($AD1118,8,1)&lt;=$AF1118),ROUND($AG1118,2),0))</f>
        <v/>
      </c>
      <c r="R1118" s="18">
        <f>IF($Z1118="","",IF(AND(DATE($AD1118,9,1)&gt;=$AE1118,DATE($AD1118,9,1)&lt;=$AF1118),ROUND($AG1118,2),0))</f>
        <v/>
      </c>
      <c r="S1118" s="18">
        <f>IF($Z1118="","",IF(AND(DATE($AD1118,10,1)&gt;=$AE1118,DATE($AD1118,10,1)&lt;=$AF1118),ROUND($AG1118,2),0))</f>
        <v/>
      </c>
      <c r="T1118" s="18">
        <f>IF($Z1118="","",IF(AND(DATE($AD1118,11,1)&gt;=$AE1118,DATE($AD1118,11,1)&lt;=$AF1118),ROUND($AG1118,2),0))</f>
        <v/>
      </c>
      <c r="U1118" s="18">
        <f>IF($Z1118="","",IF(AND(DATE($AD1118,12,1)&gt;=$AE1118,DATE($AD1118,12,1)&lt;=$AF1118),ROUND($AG1118,2),0))</f>
        <v/>
      </c>
      <c r="V1118" s="7">
        <f>IF($Z1118="C","Generated from "&amp;INDEX(Contracts!$A$2:$A$151,$AB1118),IF($Z1118="A","Generated from "&amp;INDEX(Fixed_Assets!$A$2:$A$201,$AB1118),IF($Z1118="F","Generated from "&amp;INDEX(FTE_Allocation!$A$2:$A$201,$AB1118),"")))</f>
        <v/>
      </c>
      <c r="X1118" s="19">
        <f>IF($Z1118="","",SUM(J1118:U1118))</f>
        <v/>
      </c>
      <c r="Y1118" s="20">
        <f>ROW()-1</f>
        <v/>
      </c>
      <c r="Z1118" s="20">
        <f>IF($Y1118&lt;=Settings!$B$4*3,"C",IF($Y1118&lt;=(Settings!$B$4+Settings!$B$5)*3,"A",IF($Y1118&lt;=(Settings!$B$4+Settings!$B$5+Settings!$B$6)*3,"F","")))</f>
        <v/>
      </c>
      <c r="AA1118" s="20">
        <f>IF($Z1118="C",$Y1118,IF($Z1118="A",$Y1118-Settings!$B$4*3,IF($Z1118="F",$Y1118-(Settings!$B$4+Settings!$B$5)*3,"")))</f>
        <v/>
      </c>
      <c r="AB1118" s="20">
        <f>IF($Z1118="","",INT(($AA1118-1)/3)+1)</f>
        <v/>
      </c>
      <c r="AC1118" s="20">
        <f>IF($Z1118="","",MOD($AA1118-1,3)+1)</f>
        <v/>
      </c>
      <c r="AD1118" s="20">
        <f>IF($Z1118="","",Settings!$B$2+$AC1118-1)</f>
        <v/>
      </c>
      <c r="AE1118" s="21">
        <f>IF($Z1118="C",DATE(YEAR(INDEX(Contracts!$J$2:$J$151,$AB1118)),MONTH(INDEX(Contracts!$J$2:$J$151,$AB1118)),1),IF($Z1118="A",DATE(YEAR(INDEX(Fixed_Assets!$G$2:$G$201,$AB1118)),MONTH(INDEX(Fixed_Assets!$G$2:$G$201,$AB1118)),1),IF($Z1118="F",DATE(YEAR(MAX(N(INDEX(Workforce!$I$2:$I$151,MATCH(INDEX(FTE_Allocation!$A$2:$A$201,$AB1118),Workforce!$A$2:$A$151,0))),N(INDEX(FTE_Allocation!$I$2:$I$201,$AB1118)))),MONTH(MAX(N(INDEX(Workforce!$I$2:$I$151,MATCH(INDEX(FTE_Allocation!$A$2:$A$201,$AB1118),Workforce!$A$2:$A$151,0))),N(INDEX(FTE_Allocation!$I$2:$I$201,$AB1118)))),1),"")))</f>
        <v/>
      </c>
      <c r="AF1118" s="21">
        <f>IF($Z1118="C",IF(INDEX(Contracts!$I$2:$I$151,$AB1118)="PREPAID",EDATE(DATE(YEAR(INDEX(Contracts!$J$2:$J$151,$AB1118)),MONTH(INDEX(Contracts!$J$2:$J$151,$AB1118)),1),IF(INDEX(Contracts!$N$2:$N$151,$AB1118)="",12,INDEX(Contracts!$N$2:$N$151,$AB1118))-1),IF(INDEX(Contracts!$I$2:$I$151,$AB1118)="MONTHLY",IF(INDEX(Contracts!$K$2:$K$151,$AB1118)="",2958101,INDEX(Contracts!$K$2:$K$151,$AB1118)),0)),IF($Z1118="A",EDATE(DATE(YEAR(INDEX(Fixed_Assets!$G$2:$G$201,$AB1118)),MONTH(INDEX(Fixed_Assets!$G$2:$G$201,$AB1118)),1),INDEX(Fixed_Assets!$J$2:$J$201,$AB1118)-1),IF($Z1118="F",MIN(IF(INDEX(Workforce!$J$2:$J$151,MATCH(INDEX(FTE_Allocation!$A$2:$A$201,$AB1118),Workforce!$A$2:$A$151,0))="",2958101,INDEX(Workforce!$J$2:$J$151,MATCH(INDEX(FTE_Allocation!$A$2:$A$201,$AB1118),Workforce!$A$2:$A$151,0))),IF(INDEX(FTE_Allocation!$J$2:$J$201,$AB1118)="",2958101,INDEX(FTE_Allocation!$J$2:$J$201,$AB1118))),"")))</f>
        <v/>
      </c>
      <c r="AG1118" s="19">
        <f>IF($Z1118="C",IF(INDEX(Contracts!$I$2:$I$151,$AB1118)="PREPAID",INDEX(Contracts!$M$2:$M$151,$AB1118)/IF(INDEX(Contracts!$N$2:$N$151,$AB1118)="",12,INDEX(Contracts!$N$2:$N$151,$AB1118)),IF(INDEX(Contracts!$I$2:$I$151,$AB1118)="MONTHLY",INDEX(Contracts!$M$2:$M$151,$AB1118),0))*(1-N(INDEX(Contracts!$O$2:$O$151,$AB1118))),IF($Z1118="A",INDEX(Fixed_Assets!$H$2:$H$201,$AB1118)/INDEX(Fixed_Assets!$J$2:$J$201,$AB1118),IF($Z1118="F",INDEX(Workforce!$F$2:$F$151,MATCH(INDEX(FTE_Allocation!$A$2:$A$201,$AB1118),Workforce!$A$2:$A$151,0))*N(INDEX(FTE_Allocation!$F$2:$H$201,$AB1118,$AC1118)),"")))</f>
        <v/>
      </c>
    </row>
    <row r="1119">
      <c r="A1119" s="7">
        <f>IF($Z1119="","",$AD1119)</f>
        <v/>
      </c>
      <c r="B1119" s="7">
        <f>IF($Z1119="C",INDEX(Contracts!$D$2:$D$151,$AB1119)&amp;"",IF($Z1119="A",INDEX(Fixed_Assets!$C$2:$C$201,$AB1119)&amp;"",IF($Z1119="F",INDEX(Workforce!$B$2:$B$151,MATCH(INDEX(FTE_Allocation!$A$2:$A$201,$AB1119),Workforce!$A$2:$A$151,0))&amp;"","")))</f>
        <v/>
      </c>
      <c r="C1119" s="7">
        <f>IF($Z1119="C",INDEX(Contracts!$E$2:$E$151,$AB1119)&amp;"",IF($Z1119="A",INDEX(Fixed_Assets!$D$2:$D$201,$AB1119)&amp;"",IF($Z1119="F",INDEX(FTE_Allocation!$C$2:$C$201,$AB1119)&amp;"","")))</f>
        <v/>
      </c>
      <c r="D1119" s="7">
        <f>IF($Z1119="C",INDEX(Contracts!$B$2:$B$151,$AB1119)&amp;"",IF($Z1119="A",INDEX(Fixed_Assets!$B$2:$B$201,$AB1119)&amp;"",IF($Z1119="F",INDEX(FTE_Allocation!$B$2:$B$201,$AB1119)&amp;"","")))</f>
        <v/>
      </c>
      <c r="E1119" s="7">
        <f>IF($Z1119="C",INDEX(Contracts!$P$2:$P$151,$AB1119)&amp;"",IF($Z1119="A",INDEX(Fixed_Assets!$K$2:$K$201,$AB1119)&amp;"",IF($Z1119="F",IF(INDEX(FTE_Allocation!$D$2:$D$201,$AB1119)="PROJECT",IFERROR(INDEX(Projects!$D:$D,MATCH(INDEX(FTE_Allocation!$E$2:$E$201,$AB1119),Projects!$A:$A,0))&amp;"","#PROJECT?"),INDEX(FTE_Allocation!$E$2:$E$201,$AB1119)&amp;""),"")))</f>
        <v/>
      </c>
      <c r="F1119" s="7">
        <f>IF($Z1119="C",INDEX(Contracts!$Q$2:$Q$151,$AB1119)&amp;"",IF($Z1119="A",INDEX(Fixed_Assets!$L$2:$L$201,$AB1119)&amp;"",IF($Z1119="F",INDEX(Workforce!$K$2:$K$151,MATCH(INDEX(FTE_Allocation!$A$2:$A$201,$AB1119),Workforce!$A$2:$A$151,0))&amp;"","")))</f>
        <v/>
      </c>
      <c r="G1119" s="7">
        <f>IF($Z1119="C",INDEX(Contracts!$F$2:$F$151,$AB1119)&amp;" / "&amp;INDEX(Contracts!$G$2:$G$151,$AB1119),IF($Z1119="A",INDEX(Fixed_Assets!$E$2:$E$201,$AB1119)&amp;"",IF($Z1119="F","Personnel "&amp;INDEX(FTE_Allocation!$A$2:$A$201,$AB1119)&amp;IF(INDEX(FTE_Allocation!$D$2:$D$201,$AB1119)="PROJECT"," ("&amp;INDEX(FTE_Allocation!$E$2:$E$201,$AB1119)&amp;")",""),"")))</f>
        <v/>
      </c>
      <c r="H1119" s="7">
        <f>IF($Z1119="C","CONTRACT",IF($Z1119="A","ASSET",IF($Z1119="F","WORKFORCE","")))</f>
        <v/>
      </c>
      <c r="I1119" s="7">
        <f>IF($Z1119="C",INDEX(Contracts!$L$2:$L$151,$AB1119)&amp;"",IF($Z1119="A",INDEX(Fixed_Assets!$I$2:$I$201,$AB1119)&amp;"",IF($Z1119="F",INDEX(Workforce!$G$2:$G$151,MATCH(INDEX(FTE_Allocation!$A$2:$A$201,$AB1119),Workforce!$A$2:$A$151,0))&amp;"","")))</f>
        <v/>
      </c>
      <c r="J1119" s="18">
        <f>IF($Z1119="","",IF(AND(DATE($AD1119,1,1)&gt;=$AE1119,DATE($AD1119,1,1)&lt;=$AF1119),ROUND($AG1119,2),0))</f>
        <v/>
      </c>
      <c r="K1119" s="18">
        <f>IF($Z1119="","",IF(AND(DATE($AD1119,2,1)&gt;=$AE1119,DATE($AD1119,2,1)&lt;=$AF1119),ROUND($AG1119,2),0))</f>
        <v/>
      </c>
      <c r="L1119" s="18">
        <f>IF($Z1119="","",IF(AND(DATE($AD1119,3,1)&gt;=$AE1119,DATE($AD1119,3,1)&lt;=$AF1119),ROUND($AG1119,2),0))</f>
        <v/>
      </c>
      <c r="M1119" s="18">
        <f>IF($Z1119="","",IF(AND(DATE($AD1119,4,1)&gt;=$AE1119,DATE($AD1119,4,1)&lt;=$AF1119),ROUND($AG1119,2),0))</f>
        <v/>
      </c>
      <c r="N1119" s="18">
        <f>IF($Z1119="","",IF(AND(DATE($AD1119,5,1)&gt;=$AE1119,DATE($AD1119,5,1)&lt;=$AF1119),ROUND($AG1119,2),0))</f>
        <v/>
      </c>
      <c r="O1119" s="18">
        <f>IF($Z1119="","",IF(AND(DATE($AD1119,6,1)&gt;=$AE1119,DATE($AD1119,6,1)&lt;=$AF1119),ROUND($AG1119,2),0))</f>
        <v/>
      </c>
      <c r="P1119" s="18">
        <f>IF($Z1119="","",IF(AND(DATE($AD1119,7,1)&gt;=$AE1119,DATE($AD1119,7,1)&lt;=$AF1119),ROUND($AG1119,2),0))</f>
        <v/>
      </c>
      <c r="Q1119" s="18">
        <f>IF($Z1119="","",IF(AND(DATE($AD1119,8,1)&gt;=$AE1119,DATE($AD1119,8,1)&lt;=$AF1119),ROUND($AG1119,2),0))</f>
        <v/>
      </c>
      <c r="R1119" s="18">
        <f>IF($Z1119="","",IF(AND(DATE($AD1119,9,1)&gt;=$AE1119,DATE($AD1119,9,1)&lt;=$AF1119),ROUND($AG1119,2),0))</f>
        <v/>
      </c>
      <c r="S1119" s="18">
        <f>IF($Z1119="","",IF(AND(DATE($AD1119,10,1)&gt;=$AE1119,DATE($AD1119,10,1)&lt;=$AF1119),ROUND($AG1119,2),0))</f>
        <v/>
      </c>
      <c r="T1119" s="18">
        <f>IF($Z1119="","",IF(AND(DATE($AD1119,11,1)&gt;=$AE1119,DATE($AD1119,11,1)&lt;=$AF1119),ROUND($AG1119,2),0))</f>
        <v/>
      </c>
      <c r="U1119" s="18">
        <f>IF($Z1119="","",IF(AND(DATE($AD1119,12,1)&gt;=$AE1119,DATE($AD1119,12,1)&lt;=$AF1119),ROUND($AG1119,2),0))</f>
        <v/>
      </c>
      <c r="V1119" s="7">
        <f>IF($Z1119="C","Generated from "&amp;INDEX(Contracts!$A$2:$A$151,$AB1119),IF($Z1119="A","Generated from "&amp;INDEX(Fixed_Assets!$A$2:$A$201,$AB1119),IF($Z1119="F","Generated from "&amp;INDEX(FTE_Allocation!$A$2:$A$201,$AB1119),"")))</f>
        <v/>
      </c>
      <c r="X1119" s="19">
        <f>IF($Z1119="","",SUM(J1119:U1119))</f>
        <v/>
      </c>
      <c r="Y1119" s="20">
        <f>ROW()-1</f>
        <v/>
      </c>
      <c r="Z1119" s="20">
        <f>IF($Y1119&lt;=Settings!$B$4*3,"C",IF($Y1119&lt;=(Settings!$B$4+Settings!$B$5)*3,"A",IF($Y1119&lt;=(Settings!$B$4+Settings!$B$5+Settings!$B$6)*3,"F","")))</f>
        <v/>
      </c>
      <c r="AA1119" s="20">
        <f>IF($Z1119="C",$Y1119,IF($Z1119="A",$Y1119-Settings!$B$4*3,IF($Z1119="F",$Y1119-(Settings!$B$4+Settings!$B$5)*3,"")))</f>
        <v/>
      </c>
      <c r="AB1119" s="20">
        <f>IF($Z1119="","",INT(($AA1119-1)/3)+1)</f>
        <v/>
      </c>
      <c r="AC1119" s="20">
        <f>IF($Z1119="","",MOD($AA1119-1,3)+1)</f>
        <v/>
      </c>
      <c r="AD1119" s="20">
        <f>IF($Z1119="","",Settings!$B$2+$AC1119-1)</f>
        <v/>
      </c>
      <c r="AE1119" s="21">
        <f>IF($Z1119="C",DATE(YEAR(INDEX(Contracts!$J$2:$J$151,$AB1119)),MONTH(INDEX(Contracts!$J$2:$J$151,$AB1119)),1),IF($Z1119="A",DATE(YEAR(INDEX(Fixed_Assets!$G$2:$G$201,$AB1119)),MONTH(INDEX(Fixed_Assets!$G$2:$G$201,$AB1119)),1),IF($Z1119="F",DATE(YEAR(MAX(N(INDEX(Workforce!$I$2:$I$151,MATCH(INDEX(FTE_Allocation!$A$2:$A$201,$AB1119),Workforce!$A$2:$A$151,0))),N(INDEX(FTE_Allocation!$I$2:$I$201,$AB1119)))),MONTH(MAX(N(INDEX(Workforce!$I$2:$I$151,MATCH(INDEX(FTE_Allocation!$A$2:$A$201,$AB1119),Workforce!$A$2:$A$151,0))),N(INDEX(FTE_Allocation!$I$2:$I$201,$AB1119)))),1),"")))</f>
        <v/>
      </c>
      <c r="AF1119" s="21">
        <f>IF($Z1119="C",IF(INDEX(Contracts!$I$2:$I$151,$AB1119)="PREPAID",EDATE(DATE(YEAR(INDEX(Contracts!$J$2:$J$151,$AB1119)),MONTH(INDEX(Contracts!$J$2:$J$151,$AB1119)),1),IF(INDEX(Contracts!$N$2:$N$151,$AB1119)="",12,INDEX(Contracts!$N$2:$N$151,$AB1119))-1),IF(INDEX(Contracts!$I$2:$I$151,$AB1119)="MONTHLY",IF(INDEX(Contracts!$K$2:$K$151,$AB1119)="",2958101,INDEX(Contracts!$K$2:$K$151,$AB1119)),0)),IF($Z1119="A",EDATE(DATE(YEAR(INDEX(Fixed_Assets!$G$2:$G$201,$AB1119)),MONTH(INDEX(Fixed_Assets!$G$2:$G$201,$AB1119)),1),INDEX(Fixed_Assets!$J$2:$J$201,$AB1119)-1),IF($Z1119="F",MIN(IF(INDEX(Workforce!$J$2:$J$151,MATCH(INDEX(FTE_Allocation!$A$2:$A$201,$AB1119),Workforce!$A$2:$A$151,0))="",2958101,INDEX(Workforce!$J$2:$J$151,MATCH(INDEX(FTE_Allocation!$A$2:$A$201,$AB1119),Workforce!$A$2:$A$151,0))),IF(INDEX(FTE_Allocation!$J$2:$J$201,$AB1119)="",2958101,INDEX(FTE_Allocation!$J$2:$J$201,$AB1119))),"")))</f>
        <v/>
      </c>
      <c r="AG1119" s="19">
        <f>IF($Z1119="C",IF(INDEX(Contracts!$I$2:$I$151,$AB1119)="PREPAID",INDEX(Contracts!$M$2:$M$151,$AB1119)/IF(INDEX(Contracts!$N$2:$N$151,$AB1119)="",12,INDEX(Contracts!$N$2:$N$151,$AB1119)),IF(INDEX(Contracts!$I$2:$I$151,$AB1119)="MONTHLY",INDEX(Contracts!$M$2:$M$151,$AB1119),0))*(1-N(INDEX(Contracts!$O$2:$O$151,$AB1119))),IF($Z1119="A",INDEX(Fixed_Assets!$H$2:$H$201,$AB1119)/INDEX(Fixed_Assets!$J$2:$J$201,$AB1119),IF($Z1119="F",INDEX(Workforce!$F$2:$F$151,MATCH(INDEX(FTE_Allocation!$A$2:$A$201,$AB1119),Workforce!$A$2:$A$151,0))*N(INDEX(FTE_Allocation!$F$2:$H$201,$AB1119,$AC1119)),"")))</f>
        <v/>
      </c>
    </row>
    <row r="1120">
      <c r="A1120" s="7">
        <f>IF($Z1120="","",$AD1120)</f>
        <v/>
      </c>
      <c r="B1120" s="7">
        <f>IF($Z1120="C",INDEX(Contracts!$D$2:$D$151,$AB1120)&amp;"",IF($Z1120="A",INDEX(Fixed_Assets!$C$2:$C$201,$AB1120)&amp;"",IF($Z1120="F",INDEX(Workforce!$B$2:$B$151,MATCH(INDEX(FTE_Allocation!$A$2:$A$201,$AB1120),Workforce!$A$2:$A$151,0))&amp;"","")))</f>
        <v/>
      </c>
      <c r="C1120" s="7">
        <f>IF($Z1120="C",INDEX(Contracts!$E$2:$E$151,$AB1120)&amp;"",IF($Z1120="A",INDEX(Fixed_Assets!$D$2:$D$201,$AB1120)&amp;"",IF($Z1120="F",INDEX(FTE_Allocation!$C$2:$C$201,$AB1120)&amp;"","")))</f>
        <v/>
      </c>
      <c r="D1120" s="7">
        <f>IF($Z1120="C",INDEX(Contracts!$B$2:$B$151,$AB1120)&amp;"",IF($Z1120="A",INDEX(Fixed_Assets!$B$2:$B$201,$AB1120)&amp;"",IF($Z1120="F",INDEX(FTE_Allocation!$B$2:$B$201,$AB1120)&amp;"","")))</f>
        <v/>
      </c>
      <c r="E1120" s="7">
        <f>IF($Z1120="C",INDEX(Contracts!$P$2:$P$151,$AB1120)&amp;"",IF($Z1120="A",INDEX(Fixed_Assets!$K$2:$K$201,$AB1120)&amp;"",IF($Z1120="F",IF(INDEX(FTE_Allocation!$D$2:$D$201,$AB1120)="PROJECT",IFERROR(INDEX(Projects!$D:$D,MATCH(INDEX(FTE_Allocation!$E$2:$E$201,$AB1120),Projects!$A:$A,0))&amp;"","#PROJECT?"),INDEX(FTE_Allocation!$E$2:$E$201,$AB1120)&amp;""),"")))</f>
        <v/>
      </c>
      <c r="F1120" s="7">
        <f>IF($Z1120="C",INDEX(Contracts!$Q$2:$Q$151,$AB1120)&amp;"",IF($Z1120="A",INDEX(Fixed_Assets!$L$2:$L$201,$AB1120)&amp;"",IF($Z1120="F",INDEX(Workforce!$K$2:$K$151,MATCH(INDEX(FTE_Allocation!$A$2:$A$201,$AB1120),Workforce!$A$2:$A$151,0))&amp;"","")))</f>
        <v/>
      </c>
      <c r="G1120" s="7">
        <f>IF($Z1120="C",INDEX(Contracts!$F$2:$F$151,$AB1120)&amp;" / "&amp;INDEX(Contracts!$G$2:$G$151,$AB1120),IF($Z1120="A",INDEX(Fixed_Assets!$E$2:$E$201,$AB1120)&amp;"",IF($Z1120="F","Personnel "&amp;INDEX(FTE_Allocation!$A$2:$A$201,$AB1120)&amp;IF(INDEX(FTE_Allocation!$D$2:$D$201,$AB1120)="PROJECT"," ("&amp;INDEX(FTE_Allocation!$E$2:$E$201,$AB1120)&amp;")",""),"")))</f>
        <v/>
      </c>
      <c r="H1120" s="7">
        <f>IF($Z1120="C","CONTRACT",IF($Z1120="A","ASSET",IF($Z1120="F","WORKFORCE","")))</f>
        <v/>
      </c>
      <c r="I1120" s="7">
        <f>IF($Z1120="C",INDEX(Contracts!$L$2:$L$151,$AB1120)&amp;"",IF($Z1120="A",INDEX(Fixed_Assets!$I$2:$I$201,$AB1120)&amp;"",IF($Z1120="F",INDEX(Workforce!$G$2:$G$151,MATCH(INDEX(FTE_Allocation!$A$2:$A$201,$AB1120),Workforce!$A$2:$A$151,0))&amp;"","")))</f>
        <v/>
      </c>
      <c r="J1120" s="18">
        <f>IF($Z1120="","",IF(AND(DATE($AD1120,1,1)&gt;=$AE1120,DATE($AD1120,1,1)&lt;=$AF1120),ROUND($AG1120,2),0))</f>
        <v/>
      </c>
      <c r="K1120" s="18">
        <f>IF($Z1120="","",IF(AND(DATE($AD1120,2,1)&gt;=$AE1120,DATE($AD1120,2,1)&lt;=$AF1120),ROUND($AG1120,2),0))</f>
        <v/>
      </c>
      <c r="L1120" s="18">
        <f>IF($Z1120="","",IF(AND(DATE($AD1120,3,1)&gt;=$AE1120,DATE($AD1120,3,1)&lt;=$AF1120),ROUND($AG1120,2),0))</f>
        <v/>
      </c>
      <c r="M1120" s="18">
        <f>IF($Z1120="","",IF(AND(DATE($AD1120,4,1)&gt;=$AE1120,DATE($AD1120,4,1)&lt;=$AF1120),ROUND($AG1120,2),0))</f>
        <v/>
      </c>
      <c r="N1120" s="18">
        <f>IF($Z1120="","",IF(AND(DATE($AD1120,5,1)&gt;=$AE1120,DATE($AD1120,5,1)&lt;=$AF1120),ROUND($AG1120,2),0))</f>
        <v/>
      </c>
      <c r="O1120" s="18">
        <f>IF($Z1120="","",IF(AND(DATE($AD1120,6,1)&gt;=$AE1120,DATE($AD1120,6,1)&lt;=$AF1120),ROUND($AG1120,2),0))</f>
        <v/>
      </c>
      <c r="P1120" s="18">
        <f>IF($Z1120="","",IF(AND(DATE($AD1120,7,1)&gt;=$AE1120,DATE($AD1120,7,1)&lt;=$AF1120),ROUND($AG1120,2),0))</f>
        <v/>
      </c>
      <c r="Q1120" s="18">
        <f>IF($Z1120="","",IF(AND(DATE($AD1120,8,1)&gt;=$AE1120,DATE($AD1120,8,1)&lt;=$AF1120),ROUND($AG1120,2),0))</f>
        <v/>
      </c>
      <c r="R1120" s="18">
        <f>IF($Z1120="","",IF(AND(DATE($AD1120,9,1)&gt;=$AE1120,DATE($AD1120,9,1)&lt;=$AF1120),ROUND($AG1120,2),0))</f>
        <v/>
      </c>
      <c r="S1120" s="18">
        <f>IF($Z1120="","",IF(AND(DATE($AD1120,10,1)&gt;=$AE1120,DATE($AD1120,10,1)&lt;=$AF1120),ROUND($AG1120,2),0))</f>
        <v/>
      </c>
      <c r="T1120" s="18">
        <f>IF($Z1120="","",IF(AND(DATE($AD1120,11,1)&gt;=$AE1120,DATE($AD1120,11,1)&lt;=$AF1120),ROUND($AG1120,2),0))</f>
        <v/>
      </c>
      <c r="U1120" s="18">
        <f>IF($Z1120="","",IF(AND(DATE($AD1120,12,1)&gt;=$AE1120,DATE($AD1120,12,1)&lt;=$AF1120),ROUND($AG1120,2),0))</f>
        <v/>
      </c>
      <c r="V1120" s="7">
        <f>IF($Z1120="C","Generated from "&amp;INDEX(Contracts!$A$2:$A$151,$AB1120),IF($Z1120="A","Generated from "&amp;INDEX(Fixed_Assets!$A$2:$A$201,$AB1120),IF($Z1120="F","Generated from "&amp;INDEX(FTE_Allocation!$A$2:$A$201,$AB1120),"")))</f>
        <v/>
      </c>
      <c r="X1120" s="19">
        <f>IF($Z1120="","",SUM(J1120:U1120))</f>
        <v/>
      </c>
      <c r="Y1120" s="20">
        <f>ROW()-1</f>
        <v/>
      </c>
      <c r="Z1120" s="20">
        <f>IF($Y1120&lt;=Settings!$B$4*3,"C",IF($Y1120&lt;=(Settings!$B$4+Settings!$B$5)*3,"A",IF($Y1120&lt;=(Settings!$B$4+Settings!$B$5+Settings!$B$6)*3,"F","")))</f>
        <v/>
      </c>
      <c r="AA1120" s="20">
        <f>IF($Z1120="C",$Y1120,IF($Z1120="A",$Y1120-Settings!$B$4*3,IF($Z1120="F",$Y1120-(Settings!$B$4+Settings!$B$5)*3,"")))</f>
        <v/>
      </c>
      <c r="AB1120" s="20">
        <f>IF($Z1120="","",INT(($AA1120-1)/3)+1)</f>
        <v/>
      </c>
      <c r="AC1120" s="20">
        <f>IF($Z1120="","",MOD($AA1120-1,3)+1)</f>
        <v/>
      </c>
      <c r="AD1120" s="20">
        <f>IF($Z1120="","",Settings!$B$2+$AC1120-1)</f>
        <v/>
      </c>
      <c r="AE1120" s="21">
        <f>IF($Z1120="C",DATE(YEAR(INDEX(Contracts!$J$2:$J$151,$AB1120)),MONTH(INDEX(Contracts!$J$2:$J$151,$AB1120)),1),IF($Z1120="A",DATE(YEAR(INDEX(Fixed_Assets!$G$2:$G$201,$AB1120)),MONTH(INDEX(Fixed_Assets!$G$2:$G$201,$AB1120)),1),IF($Z1120="F",DATE(YEAR(MAX(N(INDEX(Workforce!$I$2:$I$151,MATCH(INDEX(FTE_Allocation!$A$2:$A$201,$AB1120),Workforce!$A$2:$A$151,0))),N(INDEX(FTE_Allocation!$I$2:$I$201,$AB1120)))),MONTH(MAX(N(INDEX(Workforce!$I$2:$I$151,MATCH(INDEX(FTE_Allocation!$A$2:$A$201,$AB1120),Workforce!$A$2:$A$151,0))),N(INDEX(FTE_Allocation!$I$2:$I$201,$AB1120)))),1),"")))</f>
        <v/>
      </c>
      <c r="AF1120" s="21">
        <f>IF($Z1120="C",IF(INDEX(Contracts!$I$2:$I$151,$AB1120)="PREPAID",EDATE(DATE(YEAR(INDEX(Contracts!$J$2:$J$151,$AB1120)),MONTH(INDEX(Contracts!$J$2:$J$151,$AB1120)),1),IF(INDEX(Contracts!$N$2:$N$151,$AB1120)="",12,INDEX(Contracts!$N$2:$N$151,$AB1120))-1),IF(INDEX(Contracts!$I$2:$I$151,$AB1120)="MONTHLY",IF(INDEX(Contracts!$K$2:$K$151,$AB1120)="",2958101,INDEX(Contracts!$K$2:$K$151,$AB1120)),0)),IF($Z1120="A",EDATE(DATE(YEAR(INDEX(Fixed_Assets!$G$2:$G$201,$AB1120)),MONTH(INDEX(Fixed_Assets!$G$2:$G$201,$AB1120)),1),INDEX(Fixed_Assets!$J$2:$J$201,$AB1120)-1),IF($Z1120="F",MIN(IF(INDEX(Workforce!$J$2:$J$151,MATCH(INDEX(FTE_Allocation!$A$2:$A$201,$AB1120),Workforce!$A$2:$A$151,0))="",2958101,INDEX(Workforce!$J$2:$J$151,MATCH(INDEX(FTE_Allocation!$A$2:$A$201,$AB1120),Workforce!$A$2:$A$151,0))),IF(INDEX(FTE_Allocation!$J$2:$J$201,$AB1120)="",2958101,INDEX(FTE_Allocation!$J$2:$J$201,$AB1120))),"")))</f>
        <v/>
      </c>
      <c r="AG1120" s="19">
        <f>IF($Z1120="C",IF(INDEX(Contracts!$I$2:$I$151,$AB1120)="PREPAID",INDEX(Contracts!$M$2:$M$151,$AB1120)/IF(INDEX(Contracts!$N$2:$N$151,$AB1120)="",12,INDEX(Contracts!$N$2:$N$151,$AB1120)),IF(INDEX(Contracts!$I$2:$I$151,$AB1120)="MONTHLY",INDEX(Contracts!$M$2:$M$151,$AB1120),0))*(1-N(INDEX(Contracts!$O$2:$O$151,$AB1120))),IF($Z1120="A",INDEX(Fixed_Assets!$H$2:$H$201,$AB1120)/INDEX(Fixed_Assets!$J$2:$J$201,$AB1120),IF($Z1120="F",INDEX(Workforce!$F$2:$F$151,MATCH(INDEX(FTE_Allocation!$A$2:$A$201,$AB1120),Workforce!$A$2:$A$151,0))*N(INDEX(FTE_Allocation!$F$2:$H$201,$AB1120,$AC1120)),"")))</f>
        <v/>
      </c>
    </row>
    <row r="1121">
      <c r="A1121" s="7">
        <f>IF($Z1121="","",$AD1121)</f>
        <v/>
      </c>
      <c r="B1121" s="7">
        <f>IF($Z1121="C",INDEX(Contracts!$D$2:$D$151,$AB1121)&amp;"",IF($Z1121="A",INDEX(Fixed_Assets!$C$2:$C$201,$AB1121)&amp;"",IF($Z1121="F",INDEX(Workforce!$B$2:$B$151,MATCH(INDEX(FTE_Allocation!$A$2:$A$201,$AB1121),Workforce!$A$2:$A$151,0))&amp;"","")))</f>
        <v/>
      </c>
      <c r="C1121" s="7">
        <f>IF($Z1121="C",INDEX(Contracts!$E$2:$E$151,$AB1121)&amp;"",IF($Z1121="A",INDEX(Fixed_Assets!$D$2:$D$201,$AB1121)&amp;"",IF($Z1121="F",INDEX(FTE_Allocation!$C$2:$C$201,$AB1121)&amp;"","")))</f>
        <v/>
      </c>
      <c r="D1121" s="7">
        <f>IF($Z1121="C",INDEX(Contracts!$B$2:$B$151,$AB1121)&amp;"",IF($Z1121="A",INDEX(Fixed_Assets!$B$2:$B$201,$AB1121)&amp;"",IF($Z1121="F",INDEX(FTE_Allocation!$B$2:$B$201,$AB1121)&amp;"","")))</f>
        <v/>
      </c>
      <c r="E1121" s="7">
        <f>IF($Z1121="C",INDEX(Contracts!$P$2:$P$151,$AB1121)&amp;"",IF($Z1121="A",INDEX(Fixed_Assets!$K$2:$K$201,$AB1121)&amp;"",IF($Z1121="F",IF(INDEX(FTE_Allocation!$D$2:$D$201,$AB1121)="PROJECT",IFERROR(INDEX(Projects!$D:$D,MATCH(INDEX(FTE_Allocation!$E$2:$E$201,$AB1121),Projects!$A:$A,0))&amp;"","#PROJECT?"),INDEX(FTE_Allocation!$E$2:$E$201,$AB1121)&amp;""),"")))</f>
        <v/>
      </c>
      <c r="F1121" s="7">
        <f>IF($Z1121="C",INDEX(Contracts!$Q$2:$Q$151,$AB1121)&amp;"",IF($Z1121="A",INDEX(Fixed_Assets!$L$2:$L$201,$AB1121)&amp;"",IF($Z1121="F",INDEX(Workforce!$K$2:$K$151,MATCH(INDEX(FTE_Allocation!$A$2:$A$201,$AB1121),Workforce!$A$2:$A$151,0))&amp;"","")))</f>
        <v/>
      </c>
      <c r="G1121" s="7">
        <f>IF($Z1121="C",INDEX(Contracts!$F$2:$F$151,$AB1121)&amp;" / "&amp;INDEX(Contracts!$G$2:$G$151,$AB1121),IF($Z1121="A",INDEX(Fixed_Assets!$E$2:$E$201,$AB1121)&amp;"",IF($Z1121="F","Personnel "&amp;INDEX(FTE_Allocation!$A$2:$A$201,$AB1121)&amp;IF(INDEX(FTE_Allocation!$D$2:$D$201,$AB1121)="PROJECT"," ("&amp;INDEX(FTE_Allocation!$E$2:$E$201,$AB1121)&amp;")",""),"")))</f>
        <v/>
      </c>
      <c r="H1121" s="7">
        <f>IF($Z1121="C","CONTRACT",IF($Z1121="A","ASSET",IF($Z1121="F","WORKFORCE","")))</f>
        <v/>
      </c>
      <c r="I1121" s="7">
        <f>IF($Z1121="C",INDEX(Contracts!$L$2:$L$151,$AB1121)&amp;"",IF($Z1121="A",INDEX(Fixed_Assets!$I$2:$I$201,$AB1121)&amp;"",IF($Z1121="F",INDEX(Workforce!$G$2:$G$151,MATCH(INDEX(FTE_Allocation!$A$2:$A$201,$AB1121),Workforce!$A$2:$A$151,0))&amp;"","")))</f>
        <v/>
      </c>
      <c r="J1121" s="18">
        <f>IF($Z1121="","",IF(AND(DATE($AD1121,1,1)&gt;=$AE1121,DATE($AD1121,1,1)&lt;=$AF1121),ROUND($AG1121,2),0))</f>
        <v/>
      </c>
      <c r="K1121" s="18">
        <f>IF($Z1121="","",IF(AND(DATE($AD1121,2,1)&gt;=$AE1121,DATE($AD1121,2,1)&lt;=$AF1121),ROUND($AG1121,2),0))</f>
        <v/>
      </c>
      <c r="L1121" s="18">
        <f>IF($Z1121="","",IF(AND(DATE($AD1121,3,1)&gt;=$AE1121,DATE($AD1121,3,1)&lt;=$AF1121),ROUND($AG1121,2),0))</f>
        <v/>
      </c>
      <c r="M1121" s="18">
        <f>IF($Z1121="","",IF(AND(DATE($AD1121,4,1)&gt;=$AE1121,DATE($AD1121,4,1)&lt;=$AF1121),ROUND($AG1121,2),0))</f>
        <v/>
      </c>
      <c r="N1121" s="18">
        <f>IF($Z1121="","",IF(AND(DATE($AD1121,5,1)&gt;=$AE1121,DATE($AD1121,5,1)&lt;=$AF1121),ROUND($AG1121,2),0))</f>
        <v/>
      </c>
      <c r="O1121" s="18">
        <f>IF($Z1121="","",IF(AND(DATE($AD1121,6,1)&gt;=$AE1121,DATE($AD1121,6,1)&lt;=$AF1121),ROUND($AG1121,2),0))</f>
        <v/>
      </c>
      <c r="P1121" s="18">
        <f>IF($Z1121="","",IF(AND(DATE($AD1121,7,1)&gt;=$AE1121,DATE($AD1121,7,1)&lt;=$AF1121),ROUND($AG1121,2),0))</f>
        <v/>
      </c>
      <c r="Q1121" s="18">
        <f>IF($Z1121="","",IF(AND(DATE($AD1121,8,1)&gt;=$AE1121,DATE($AD1121,8,1)&lt;=$AF1121),ROUND($AG1121,2),0))</f>
        <v/>
      </c>
      <c r="R1121" s="18">
        <f>IF($Z1121="","",IF(AND(DATE($AD1121,9,1)&gt;=$AE1121,DATE($AD1121,9,1)&lt;=$AF1121),ROUND($AG1121,2),0))</f>
        <v/>
      </c>
      <c r="S1121" s="18">
        <f>IF($Z1121="","",IF(AND(DATE($AD1121,10,1)&gt;=$AE1121,DATE($AD1121,10,1)&lt;=$AF1121),ROUND($AG1121,2),0))</f>
        <v/>
      </c>
      <c r="T1121" s="18">
        <f>IF($Z1121="","",IF(AND(DATE($AD1121,11,1)&gt;=$AE1121,DATE($AD1121,11,1)&lt;=$AF1121),ROUND($AG1121,2),0))</f>
        <v/>
      </c>
      <c r="U1121" s="18">
        <f>IF($Z1121="","",IF(AND(DATE($AD1121,12,1)&gt;=$AE1121,DATE($AD1121,12,1)&lt;=$AF1121),ROUND($AG1121,2),0))</f>
        <v/>
      </c>
      <c r="V1121" s="7">
        <f>IF($Z1121="C","Generated from "&amp;INDEX(Contracts!$A$2:$A$151,$AB1121),IF($Z1121="A","Generated from "&amp;INDEX(Fixed_Assets!$A$2:$A$201,$AB1121),IF($Z1121="F","Generated from "&amp;INDEX(FTE_Allocation!$A$2:$A$201,$AB1121),"")))</f>
        <v/>
      </c>
      <c r="X1121" s="19">
        <f>IF($Z1121="","",SUM(J1121:U1121))</f>
        <v/>
      </c>
      <c r="Y1121" s="20">
        <f>ROW()-1</f>
        <v/>
      </c>
      <c r="Z1121" s="20">
        <f>IF($Y1121&lt;=Settings!$B$4*3,"C",IF($Y1121&lt;=(Settings!$B$4+Settings!$B$5)*3,"A",IF($Y1121&lt;=(Settings!$B$4+Settings!$B$5+Settings!$B$6)*3,"F","")))</f>
        <v/>
      </c>
      <c r="AA1121" s="20">
        <f>IF($Z1121="C",$Y1121,IF($Z1121="A",$Y1121-Settings!$B$4*3,IF($Z1121="F",$Y1121-(Settings!$B$4+Settings!$B$5)*3,"")))</f>
        <v/>
      </c>
      <c r="AB1121" s="20">
        <f>IF($Z1121="","",INT(($AA1121-1)/3)+1)</f>
        <v/>
      </c>
      <c r="AC1121" s="20">
        <f>IF($Z1121="","",MOD($AA1121-1,3)+1)</f>
        <v/>
      </c>
      <c r="AD1121" s="20">
        <f>IF($Z1121="","",Settings!$B$2+$AC1121-1)</f>
        <v/>
      </c>
      <c r="AE1121" s="21">
        <f>IF($Z1121="C",DATE(YEAR(INDEX(Contracts!$J$2:$J$151,$AB1121)),MONTH(INDEX(Contracts!$J$2:$J$151,$AB1121)),1),IF($Z1121="A",DATE(YEAR(INDEX(Fixed_Assets!$G$2:$G$201,$AB1121)),MONTH(INDEX(Fixed_Assets!$G$2:$G$201,$AB1121)),1),IF($Z1121="F",DATE(YEAR(MAX(N(INDEX(Workforce!$I$2:$I$151,MATCH(INDEX(FTE_Allocation!$A$2:$A$201,$AB1121),Workforce!$A$2:$A$151,0))),N(INDEX(FTE_Allocation!$I$2:$I$201,$AB1121)))),MONTH(MAX(N(INDEX(Workforce!$I$2:$I$151,MATCH(INDEX(FTE_Allocation!$A$2:$A$201,$AB1121),Workforce!$A$2:$A$151,0))),N(INDEX(FTE_Allocation!$I$2:$I$201,$AB1121)))),1),"")))</f>
        <v/>
      </c>
      <c r="AF1121" s="21">
        <f>IF($Z1121="C",IF(INDEX(Contracts!$I$2:$I$151,$AB1121)="PREPAID",EDATE(DATE(YEAR(INDEX(Contracts!$J$2:$J$151,$AB1121)),MONTH(INDEX(Contracts!$J$2:$J$151,$AB1121)),1),IF(INDEX(Contracts!$N$2:$N$151,$AB1121)="",12,INDEX(Contracts!$N$2:$N$151,$AB1121))-1),IF(INDEX(Contracts!$I$2:$I$151,$AB1121)="MONTHLY",IF(INDEX(Contracts!$K$2:$K$151,$AB1121)="",2958101,INDEX(Contracts!$K$2:$K$151,$AB1121)),0)),IF($Z1121="A",EDATE(DATE(YEAR(INDEX(Fixed_Assets!$G$2:$G$201,$AB1121)),MONTH(INDEX(Fixed_Assets!$G$2:$G$201,$AB1121)),1),INDEX(Fixed_Assets!$J$2:$J$201,$AB1121)-1),IF($Z1121="F",MIN(IF(INDEX(Workforce!$J$2:$J$151,MATCH(INDEX(FTE_Allocation!$A$2:$A$201,$AB1121),Workforce!$A$2:$A$151,0))="",2958101,INDEX(Workforce!$J$2:$J$151,MATCH(INDEX(FTE_Allocation!$A$2:$A$201,$AB1121),Workforce!$A$2:$A$151,0))),IF(INDEX(FTE_Allocation!$J$2:$J$201,$AB1121)="",2958101,INDEX(FTE_Allocation!$J$2:$J$201,$AB1121))),"")))</f>
        <v/>
      </c>
      <c r="AG1121" s="19">
        <f>IF($Z1121="C",IF(INDEX(Contracts!$I$2:$I$151,$AB1121)="PREPAID",INDEX(Contracts!$M$2:$M$151,$AB1121)/IF(INDEX(Contracts!$N$2:$N$151,$AB1121)="",12,INDEX(Contracts!$N$2:$N$151,$AB1121)),IF(INDEX(Contracts!$I$2:$I$151,$AB1121)="MONTHLY",INDEX(Contracts!$M$2:$M$151,$AB1121),0))*(1-N(INDEX(Contracts!$O$2:$O$151,$AB1121))),IF($Z1121="A",INDEX(Fixed_Assets!$H$2:$H$201,$AB1121)/INDEX(Fixed_Assets!$J$2:$J$201,$AB1121),IF($Z1121="F",INDEX(Workforce!$F$2:$F$151,MATCH(INDEX(FTE_Allocation!$A$2:$A$201,$AB1121),Workforce!$A$2:$A$151,0))*N(INDEX(FTE_Allocation!$F$2:$H$201,$AB1121,$AC1121)),"")))</f>
        <v/>
      </c>
    </row>
    <row r="1122">
      <c r="A1122" s="7">
        <f>IF($Z1122="","",$AD1122)</f>
        <v/>
      </c>
      <c r="B1122" s="7">
        <f>IF($Z1122="C",INDEX(Contracts!$D$2:$D$151,$AB1122)&amp;"",IF($Z1122="A",INDEX(Fixed_Assets!$C$2:$C$201,$AB1122)&amp;"",IF($Z1122="F",INDEX(Workforce!$B$2:$B$151,MATCH(INDEX(FTE_Allocation!$A$2:$A$201,$AB1122),Workforce!$A$2:$A$151,0))&amp;"","")))</f>
        <v/>
      </c>
      <c r="C1122" s="7">
        <f>IF($Z1122="C",INDEX(Contracts!$E$2:$E$151,$AB1122)&amp;"",IF($Z1122="A",INDEX(Fixed_Assets!$D$2:$D$201,$AB1122)&amp;"",IF($Z1122="F",INDEX(FTE_Allocation!$C$2:$C$201,$AB1122)&amp;"","")))</f>
        <v/>
      </c>
      <c r="D1122" s="7">
        <f>IF($Z1122="C",INDEX(Contracts!$B$2:$B$151,$AB1122)&amp;"",IF($Z1122="A",INDEX(Fixed_Assets!$B$2:$B$201,$AB1122)&amp;"",IF($Z1122="F",INDEX(FTE_Allocation!$B$2:$B$201,$AB1122)&amp;"","")))</f>
        <v/>
      </c>
      <c r="E1122" s="7">
        <f>IF($Z1122="C",INDEX(Contracts!$P$2:$P$151,$AB1122)&amp;"",IF($Z1122="A",INDEX(Fixed_Assets!$K$2:$K$201,$AB1122)&amp;"",IF($Z1122="F",IF(INDEX(FTE_Allocation!$D$2:$D$201,$AB1122)="PROJECT",IFERROR(INDEX(Projects!$D:$D,MATCH(INDEX(FTE_Allocation!$E$2:$E$201,$AB1122),Projects!$A:$A,0))&amp;"","#PROJECT?"),INDEX(FTE_Allocation!$E$2:$E$201,$AB1122)&amp;""),"")))</f>
        <v/>
      </c>
      <c r="F1122" s="7">
        <f>IF($Z1122="C",INDEX(Contracts!$Q$2:$Q$151,$AB1122)&amp;"",IF($Z1122="A",INDEX(Fixed_Assets!$L$2:$L$201,$AB1122)&amp;"",IF($Z1122="F",INDEX(Workforce!$K$2:$K$151,MATCH(INDEX(FTE_Allocation!$A$2:$A$201,$AB1122),Workforce!$A$2:$A$151,0))&amp;"","")))</f>
        <v/>
      </c>
      <c r="G1122" s="7">
        <f>IF($Z1122="C",INDEX(Contracts!$F$2:$F$151,$AB1122)&amp;" / "&amp;INDEX(Contracts!$G$2:$G$151,$AB1122),IF($Z1122="A",INDEX(Fixed_Assets!$E$2:$E$201,$AB1122)&amp;"",IF($Z1122="F","Personnel "&amp;INDEX(FTE_Allocation!$A$2:$A$201,$AB1122)&amp;IF(INDEX(FTE_Allocation!$D$2:$D$201,$AB1122)="PROJECT"," ("&amp;INDEX(FTE_Allocation!$E$2:$E$201,$AB1122)&amp;")",""),"")))</f>
        <v/>
      </c>
      <c r="H1122" s="7">
        <f>IF($Z1122="C","CONTRACT",IF($Z1122="A","ASSET",IF($Z1122="F","WORKFORCE","")))</f>
        <v/>
      </c>
      <c r="I1122" s="7">
        <f>IF($Z1122="C",INDEX(Contracts!$L$2:$L$151,$AB1122)&amp;"",IF($Z1122="A",INDEX(Fixed_Assets!$I$2:$I$201,$AB1122)&amp;"",IF($Z1122="F",INDEX(Workforce!$G$2:$G$151,MATCH(INDEX(FTE_Allocation!$A$2:$A$201,$AB1122),Workforce!$A$2:$A$151,0))&amp;"","")))</f>
        <v/>
      </c>
      <c r="J1122" s="18">
        <f>IF($Z1122="","",IF(AND(DATE($AD1122,1,1)&gt;=$AE1122,DATE($AD1122,1,1)&lt;=$AF1122),ROUND($AG1122,2),0))</f>
        <v/>
      </c>
      <c r="K1122" s="18">
        <f>IF($Z1122="","",IF(AND(DATE($AD1122,2,1)&gt;=$AE1122,DATE($AD1122,2,1)&lt;=$AF1122),ROUND($AG1122,2),0))</f>
        <v/>
      </c>
      <c r="L1122" s="18">
        <f>IF($Z1122="","",IF(AND(DATE($AD1122,3,1)&gt;=$AE1122,DATE($AD1122,3,1)&lt;=$AF1122),ROUND($AG1122,2),0))</f>
        <v/>
      </c>
      <c r="M1122" s="18">
        <f>IF($Z1122="","",IF(AND(DATE($AD1122,4,1)&gt;=$AE1122,DATE($AD1122,4,1)&lt;=$AF1122),ROUND($AG1122,2),0))</f>
        <v/>
      </c>
      <c r="N1122" s="18">
        <f>IF($Z1122="","",IF(AND(DATE($AD1122,5,1)&gt;=$AE1122,DATE($AD1122,5,1)&lt;=$AF1122),ROUND($AG1122,2),0))</f>
        <v/>
      </c>
      <c r="O1122" s="18">
        <f>IF($Z1122="","",IF(AND(DATE($AD1122,6,1)&gt;=$AE1122,DATE($AD1122,6,1)&lt;=$AF1122),ROUND($AG1122,2),0))</f>
        <v/>
      </c>
      <c r="P1122" s="18">
        <f>IF($Z1122="","",IF(AND(DATE($AD1122,7,1)&gt;=$AE1122,DATE($AD1122,7,1)&lt;=$AF1122),ROUND($AG1122,2),0))</f>
        <v/>
      </c>
      <c r="Q1122" s="18">
        <f>IF($Z1122="","",IF(AND(DATE($AD1122,8,1)&gt;=$AE1122,DATE($AD1122,8,1)&lt;=$AF1122),ROUND($AG1122,2),0))</f>
        <v/>
      </c>
      <c r="R1122" s="18">
        <f>IF($Z1122="","",IF(AND(DATE($AD1122,9,1)&gt;=$AE1122,DATE($AD1122,9,1)&lt;=$AF1122),ROUND($AG1122,2),0))</f>
        <v/>
      </c>
      <c r="S1122" s="18">
        <f>IF($Z1122="","",IF(AND(DATE($AD1122,10,1)&gt;=$AE1122,DATE($AD1122,10,1)&lt;=$AF1122),ROUND($AG1122,2),0))</f>
        <v/>
      </c>
      <c r="T1122" s="18">
        <f>IF($Z1122="","",IF(AND(DATE($AD1122,11,1)&gt;=$AE1122,DATE($AD1122,11,1)&lt;=$AF1122),ROUND($AG1122,2),0))</f>
        <v/>
      </c>
      <c r="U1122" s="18">
        <f>IF($Z1122="","",IF(AND(DATE($AD1122,12,1)&gt;=$AE1122,DATE($AD1122,12,1)&lt;=$AF1122),ROUND($AG1122,2),0))</f>
        <v/>
      </c>
      <c r="V1122" s="7">
        <f>IF($Z1122="C","Generated from "&amp;INDEX(Contracts!$A$2:$A$151,$AB1122),IF($Z1122="A","Generated from "&amp;INDEX(Fixed_Assets!$A$2:$A$201,$AB1122),IF($Z1122="F","Generated from "&amp;INDEX(FTE_Allocation!$A$2:$A$201,$AB1122),"")))</f>
        <v/>
      </c>
      <c r="X1122" s="19">
        <f>IF($Z1122="","",SUM(J1122:U1122))</f>
        <v/>
      </c>
      <c r="Y1122" s="20">
        <f>ROW()-1</f>
        <v/>
      </c>
      <c r="Z1122" s="20">
        <f>IF($Y1122&lt;=Settings!$B$4*3,"C",IF($Y1122&lt;=(Settings!$B$4+Settings!$B$5)*3,"A",IF($Y1122&lt;=(Settings!$B$4+Settings!$B$5+Settings!$B$6)*3,"F","")))</f>
        <v/>
      </c>
      <c r="AA1122" s="20">
        <f>IF($Z1122="C",$Y1122,IF($Z1122="A",$Y1122-Settings!$B$4*3,IF($Z1122="F",$Y1122-(Settings!$B$4+Settings!$B$5)*3,"")))</f>
        <v/>
      </c>
      <c r="AB1122" s="20">
        <f>IF($Z1122="","",INT(($AA1122-1)/3)+1)</f>
        <v/>
      </c>
      <c r="AC1122" s="20">
        <f>IF($Z1122="","",MOD($AA1122-1,3)+1)</f>
        <v/>
      </c>
      <c r="AD1122" s="20">
        <f>IF($Z1122="","",Settings!$B$2+$AC1122-1)</f>
        <v/>
      </c>
      <c r="AE1122" s="21">
        <f>IF($Z1122="C",DATE(YEAR(INDEX(Contracts!$J$2:$J$151,$AB1122)),MONTH(INDEX(Contracts!$J$2:$J$151,$AB1122)),1),IF($Z1122="A",DATE(YEAR(INDEX(Fixed_Assets!$G$2:$G$201,$AB1122)),MONTH(INDEX(Fixed_Assets!$G$2:$G$201,$AB1122)),1),IF($Z1122="F",DATE(YEAR(MAX(N(INDEX(Workforce!$I$2:$I$151,MATCH(INDEX(FTE_Allocation!$A$2:$A$201,$AB1122),Workforce!$A$2:$A$151,0))),N(INDEX(FTE_Allocation!$I$2:$I$201,$AB1122)))),MONTH(MAX(N(INDEX(Workforce!$I$2:$I$151,MATCH(INDEX(FTE_Allocation!$A$2:$A$201,$AB1122),Workforce!$A$2:$A$151,0))),N(INDEX(FTE_Allocation!$I$2:$I$201,$AB1122)))),1),"")))</f>
        <v/>
      </c>
      <c r="AF1122" s="21">
        <f>IF($Z1122="C",IF(INDEX(Contracts!$I$2:$I$151,$AB1122)="PREPAID",EDATE(DATE(YEAR(INDEX(Contracts!$J$2:$J$151,$AB1122)),MONTH(INDEX(Contracts!$J$2:$J$151,$AB1122)),1),IF(INDEX(Contracts!$N$2:$N$151,$AB1122)="",12,INDEX(Contracts!$N$2:$N$151,$AB1122))-1),IF(INDEX(Contracts!$I$2:$I$151,$AB1122)="MONTHLY",IF(INDEX(Contracts!$K$2:$K$151,$AB1122)="",2958101,INDEX(Contracts!$K$2:$K$151,$AB1122)),0)),IF($Z1122="A",EDATE(DATE(YEAR(INDEX(Fixed_Assets!$G$2:$G$201,$AB1122)),MONTH(INDEX(Fixed_Assets!$G$2:$G$201,$AB1122)),1),INDEX(Fixed_Assets!$J$2:$J$201,$AB1122)-1),IF($Z1122="F",MIN(IF(INDEX(Workforce!$J$2:$J$151,MATCH(INDEX(FTE_Allocation!$A$2:$A$201,$AB1122),Workforce!$A$2:$A$151,0))="",2958101,INDEX(Workforce!$J$2:$J$151,MATCH(INDEX(FTE_Allocation!$A$2:$A$201,$AB1122),Workforce!$A$2:$A$151,0))),IF(INDEX(FTE_Allocation!$J$2:$J$201,$AB1122)="",2958101,INDEX(FTE_Allocation!$J$2:$J$201,$AB1122))),"")))</f>
        <v/>
      </c>
      <c r="AG1122" s="19">
        <f>IF($Z1122="C",IF(INDEX(Contracts!$I$2:$I$151,$AB1122)="PREPAID",INDEX(Contracts!$M$2:$M$151,$AB1122)/IF(INDEX(Contracts!$N$2:$N$151,$AB1122)="",12,INDEX(Contracts!$N$2:$N$151,$AB1122)),IF(INDEX(Contracts!$I$2:$I$151,$AB1122)="MONTHLY",INDEX(Contracts!$M$2:$M$151,$AB1122),0))*(1-N(INDEX(Contracts!$O$2:$O$151,$AB1122))),IF($Z1122="A",INDEX(Fixed_Assets!$H$2:$H$201,$AB1122)/INDEX(Fixed_Assets!$J$2:$J$201,$AB1122),IF($Z1122="F",INDEX(Workforce!$F$2:$F$151,MATCH(INDEX(FTE_Allocation!$A$2:$A$201,$AB1122),Workforce!$A$2:$A$151,0))*N(INDEX(FTE_Allocation!$F$2:$H$201,$AB1122,$AC1122)),"")))</f>
        <v/>
      </c>
    </row>
    <row r="1123">
      <c r="A1123" s="7">
        <f>IF($Z1123="","",$AD1123)</f>
        <v/>
      </c>
      <c r="B1123" s="7">
        <f>IF($Z1123="C",INDEX(Contracts!$D$2:$D$151,$AB1123)&amp;"",IF($Z1123="A",INDEX(Fixed_Assets!$C$2:$C$201,$AB1123)&amp;"",IF($Z1123="F",INDEX(Workforce!$B$2:$B$151,MATCH(INDEX(FTE_Allocation!$A$2:$A$201,$AB1123),Workforce!$A$2:$A$151,0))&amp;"","")))</f>
        <v/>
      </c>
      <c r="C1123" s="7">
        <f>IF($Z1123="C",INDEX(Contracts!$E$2:$E$151,$AB1123)&amp;"",IF($Z1123="A",INDEX(Fixed_Assets!$D$2:$D$201,$AB1123)&amp;"",IF($Z1123="F",INDEX(FTE_Allocation!$C$2:$C$201,$AB1123)&amp;"","")))</f>
        <v/>
      </c>
      <c r="D1123" s="7">
        <f>IF($Z1123="C",INDEX(Contracts!$B$2:$B$151,$AB1123)&amp;"",IF($Z1123="A",INDEX(Fixed_Assets!$B$2:$B$201,$AB1123)&amp;"",IF($Z1123="F",INDEX(FTE_Allocation!$B$2:$B$201,$AB1123)&amp;"","")))</f>
        <v/>
      </c>
      <c r="E1123" s="7">
        <f>IF($Z1123="C",INDEX(Contracts!$P$2:$P$151,$AB1123)&amp;"",IF($Z1123="A",INDEX(Fixed_Assets!$K$2:$K$201,$AB1123)&amp;"",IF($Z1123="F",IF(INDEX(FTE_Allocation!$D$2:$D$201,$AB1123)="PROJECT",IFERROR(INDEX(Projects!$D:$D,MATCH(INDEX(FTE_Allocation!$E$2:$E$201,$AB1123),Projects!$A:$A,0))&amp;"","#PROJECT?"),INDEX(FTE_Allocation!$E$2:$E$201,$AB1123)&amp;""),"")))</f>
        <v/>
      </c>
      <c r="F1123" s="7">
        <f>IF($Z1123="C",INDEX(Contracts!$Q$2:$Q$151,$AB1123)&amp;"",IF($Z1123="A",INDEX(Fixed_Assets!$L$2:$L$201,$AB1123)&amp;"",IF($Z1123="F",INDEX(Workforce!$K$2:$K$151,MATCH(INDEX(FTE_Allocation!$A$2:$A$201,$AB1123),Workforce!$A$2:$A$151,0))&amp;"","")))</f>
        <v/>
      </c>
      <c r="G1123" s="7">
        <f>IF($Z1123="C",INDEX(Contracts!$F$2:$F$151,$AB1123)&amp;" / "&amp;INDEX(Contracts!$G$2:$G$151,$AB1123),IF($Z1123="A",INDEX(Fixed_Assets!$E$2:$E$201,$AB1123)&amp;"",IF($Z1123="F","Personnel "&amp;INDEX(FTE_Allocation!$A$2:$A$201,$AB1123)&amp;IF(INDEX(FTE_Allocation!$D$2:$D$201,$AB1123)="PROJECT"," ("&amp;INDEX(FTE_Allocation!$E$2:$E$201,$AB1123)&amp;")",""),"")))</f>
        <v/>
      </c>
      <c r="H1123" s="7">
        <f>IF($Z1123="C","CONTRACT",IF($Z1123="A","ASSET",IF($Z1123="F","WORKFORCE","")))</f>
        <v/>
      </c>
      <c r="I1123" s="7">
        <f>IF($Z1123="C",INDEX(Contracts!$L$2:$L$151,$AB1123)&amp;"",IF($Z1123="A",INDEX(Fixed_Assets!$I$2:$I$201,$AB1123)&amp;"",IF($Z1123="F",INDEX(Workforce!$G$2:$G$151,MATCH(INDEX(FTE_Allocation!$A$2:$A$201,$AB1123),Workforce!$A$2:$A$151,0))&amp;"","")))</f>
        <v/>
      </c>
      <c r="J1123" s="18">
        <f>IF($Z1123="","",IF(AND(DATE($AD1123,1,1)&gt;=$AE1123,DATE($AD1123,1,1)&lt;=$AF1123),ROUND($AG1123,2),0))</f>
        <v/>
      </c>
      <c r="K1123" s="18">
        <f>IF($Z1123="","",IF(AND(DATE($AD1123,2,1)&gt;=$AE1123,DATE($AD1123,2,1)&lt;=$AF1123),ROUND($AG1123,2),0))</f>
        <v/>
      </c>
      <c r="L1123" s="18">
        <f>IF($Z1123="","",IF(AND(DATE($AD1123,3,1)&gt;=$AE1123,DATE($AD1123,3,1)&lt;=$AF1123),ROUND($AG1123,2),0))</f>
        <v/>
      </c>
      <c r="M1123" s="18">
        <f>IF($Z1123="","",IF(AND(DATE($AD1123,4,1)&gt;=$AE1123,DATE($AD1123,4,1)&lt;=$AF1123),ROUND($AG1123,2),0))</f>
        <v/>
      </c>
      <c r="N1123" s="18">
        <f>IF($Z1123="","",IF(AND(DATE($AD1123,5,1)&gt;=$AE1123,DATE($AD1123,5,1)&lt;=$AF1123),ROUND($AG1123,2),0))</f>
        <v/>
      </c>
      <c r="O1123" s="18">
        <f>IF($Z1123="","",IF(AND(DATE($AD1123,6,1)&gt;=$AE1123,DATE($AD1123,6,1)&lt;=$AF1123),ROUND($AG1123,2),0))</f>
        <v/>
      </c>
      <c r="P1123" s="18">
        <f>IF($Z1123="","",IF(AND(DATE($AD1123,7,1)&gt;=$AE1123,DATE($AD1123,7,1)&lt;=$AF1123),ROUND($AG1123,2),0))</f>
        <v/>
      </c>
      <c r="Q1123" s="18">
        <f>IF($Z1123="","",IF(AND(DATE($AD1123,8,1)&gt;=$AE1123,DATE($AD1123,8,1)&lt;=$AF1123),ROUND($AG1123,2),0))</f>
        <v/>
      </c>
      <c r="R1123" s="18">
        <f>IF($Z1123="","",IF(AND(DATE($AD1123,9,1)&gt;=$AE1123,DATE($AD1123,9,1)&lt;=$AF1123),ROUND($AG1123,2),0))</f>
        <v/>
      </c>
      <c r="S1123" s="18">
        <f>IF($Z1123="","",IF(AND(DATE($AD1123,10,1)&gt;=$AE1123,DATE($AD1123,10,1)&lt;=$AF1123),ROUND($AG1123,2),0))</f>
        <v/>
      </c>
      <c r="T1123" s="18">
        <f>IF($Z1123="","",IF(AND(DATE($AD1123,11,1)&gt;=$AE1123,DATE($AD1123,11,1)&lt;=$AF1123),ROUND($AG1123,2),0))</f>
        <v/>
      </c>
      <c r="U1123" s="18">
        <f>IF($Z1123="","",IF(AND(DATE($AD1123,12,1)&gt;=$AE1123,DATE($AD1123,12,1)&lt;=$AF1123),ROUND($AG1123,2),0))</f>
        <v/>
      </c>
      <c r="V1123" s="7">
        <f>IF($Z1123="C","Generated from "&amp;INDEX(Contracts!$A$2:$A$151,$AB1123),IF($Z1123="A","Generated from "&amp;INDEX(Fixed_Assets!$A$2:$A$201,$AB1123),IF($Z1123="F","Generated from "&amp;INDEX(FTE_Allocation!$A$2:$A$201,$AB1123),"")))</f>
        <v/>
      </c>
      <c r="X1123" s="19">
        <f>IF($Z1123="","",SUM(J1123:U1123))</f>
        <v/>
      </c>
      <c r="Y1123" s="20">
        <f>ROW()-1</f>
        <v/>
      </c>
      <c r="Z1123" s="20">
        <f>IF($Y1123&lt;=Settings!$B$4*3,"C",IF($Y1123&lt;=(Settings!$B$4+Settings!$B$5)*3,"A",IF($Y1123&lt;=(Settings!$B$4+Settings!$B$5+Settings!$B$6)*3,"F","")))</f>
        <v/>
      </c>
      <c r="AA1123" s="20">
        <f>IF($Z1123="C",$Y1123,IF($Z1123="A",$Y1123-Settings!$B$4*3,IF($Z1123="F",$Y1123-(Settings!$B$4+Settings!$B$5)*3,"")))</f>
        <v/>
      </c>
      <c r="AB1123" s="20">
        <f>IF($Z1123="","",INT(($AA1123-1)/3)+1)</f>
        <v/>
      </c>
      <c r="AC1123" s="20">
        <f>IF($Z1123="","",MOD($AA1123-1,3)+1)</f>
        <v/>
      </c>
      <c r="AD1123" s="20">
        <f>IF($Z1123="","",Settings!$B$2+$AC1123-1)</f>
        <v/>
      </c>
      <c r="AE1123" s="21">
        <f>IF($Z1123="C",DATE(YEAR(INDEX(Contracts!$J$2:$J$151,$AB1123)),MONTH(INDEX(Contracts!$J$2:$J$151,$AB1123)),1),IF($Z1123="A",DATE(YEAR(INDEX(Fixed_Assets!$G$2:$G$201,$AB1123)),MONTH(INDEX(Fixed_Assets!$G$2:$G$201,$AB1123)),1),IF($Z1123="F",DATE(YEAR(MAX(N(INDEX(Workforce!$I$2:$I$151,MATCH(INDEX(FTE_Allocation!$A$2:$A$201,$AB1123),Workforce!$A$2:$A$151,0))),N(INDEX(FTE_Allocation!$I$2:$I$201,$AB1123)))),MONTH(MAX(N(INDEX(Workforce!$I$2:$I$151,MATCH(INDEX(FTE_Allocation!$A$2:$A$201,$AB1123),Workforce!$A$2:$A$151,0))),N(INDEX(FTE_Allocation!$I$2:$I$201,$AB1123)))),1),"")))</f>
        <v/>
      </c>
      <c r="AF1123" s="21">
        <f>IF($Z1123="C",IF(INDEX(Contracts!$I$2:$I$151,$AB1123)="PREPAID",EDATE(DATE(YEAR(INDEX(Contracts!$J$2:$J$151,$AB1123)),MONTH(INDEX(Contracts!$J$2:$J$151,$AB1123)),1),IF(INDEX(Contracts!$N$2:$N$151,$AB1123)="",12,INDEX(Contracts!$N$2:$N$151,$AB1123))-1),IF(INDEX(Contracts!$I$2:$I$151,$AB1123)="MONTHLY",IF(INDEX(Contracts!$K$2:$K$151,$AB1123)="",2958101,INDEX(Contracts!$K$2:$K$151,$AB1123)),0)),IF($Z1123="A",EDATE(DATE(YEAR(INDEX(Fixed_Assets!$G$2:$G$201,$AB1123)),MONTH(INDEX(Fixed_Assets!$G$2:$G$201,$AB1123)),1),INDEX(Fixed_Assets!$J$2:$J$201,$AB1123)-1),IF($Z1123="F",MIN(IF(INDEX(Workforce!$J$2:$J$151,MATCH(INDEX(FTE_Allocation!$A$2:$A$201,$AB1123),Workforce!$A$2:$A$151,0))="",2958101,INDEX(Workforce!$J$2:$J$151,MATCH(INDEX(FTE_Allocation!$A$2:$A$201,$AB1123),Workforce!$A$2:$A$151,0))),IF(INDEX(FTE_Allocation!$J$2:$J$201,$AB1123)="",2958101,INDEX(FTE_Allocation!$J$2:$J$201,$AB1123))),"")))</f>
        <v/>
      </c>
      <c r="AG1123" s="19">
        <f>IF($Z1123="C",IF(INDEX(Contracts!$I$2:$I$151,$AB1123)="PREPAID",INDEX(Contracts!$M$2:$M$151,$AB1123)/IF(INDEX(Contracts!$N$2:$N$151,$AB1123)="",12,INDEX(Contracts!$N$2:$N$151,$AB1123)),IF(INDEX(Contracts!$I$2:$I$151,$AB1123)="MONTHLY",INDEX(Contracts!$M$2:$M$151,$AB1123),0))*(1-N(INDEX(Contracts!$O$2:$O$151,$AB1123))),IF($Z1123="A",INDEX(Fixed_Assets!$H$2:$H$201,$AB1123)/INDEX(Fixed_Assets!$J$2:$J$201,$AB1123),IF($Z1123="F",INDEX(Workforce!$F$2:$F$151,MATCH(INDEX(FTE_Allocation!$A$2:$A$201,$AB1123),Workforce!$A$2:$A$151,0))*N(INDEX(FTE_Allocation!$F$2:$H$201,$AB1123,$AC1123)),"")))</f>
        <v/>
      </c>
    </row>
    <row r="1124">
      <c r="A1124" s="7">
        <f>IF($Z1124="","",$AD1124)</f>
        <v/>
      </c>
      <c r="B1124" s="7">
        <f>IF($Z1124="C",INDEX(Contracts!$D$2:$D$151,$AB1124)&amp;"",IF($Z1124="A",INDEX(Fixed_Assets!$C$2:$C$201,$AB1124)&amp;"",IF($Z1124="F",INDEX(Workforce!$B$2:$B$151,MATCH(INDEX(FTE_Allocation!$A$2:$A$201,$AB1124),Workforce!$A$2:$A$151,0))&amp;"","")))</f>
        <v/>
      </c>
      <c r="C1124" s="7">
        <f>IF($Z1124="C",INDEX(Contracts!$E$2:$E$151,$AB1124)&amp;"",IF($Z1124="A",INDEX(Fixed_Assets!$D$2:$D$201,$AB1124)&amp;"",IF($Z1124="F",INDEX(FTE_Allocation!$C$2:$C$201,$AB1124)&amp;"","")))</f>
        <v/>
      </c>
      <c r="D1124" s="7">
        <f>IF($Z1124="C",INDEX(Contracts!$B$2:$B$151,$AB1124)&amp;"",IF($Z1124="A",INDEX(Fixed_Assets!$B$2:$B$201,$AB1124)&amp;"",IF($Z1124="F",INDEX(FTE_Allocation!$B$2:$B$201,$AB1124)&amp;"","")))</f>
        <v/>
      </c>
      <c r="E1124" s="7">
        <f>IF($Z1124="C",INDEX(Contracts!$P$2:$P$151,$AB1124)&amp;"",IF($Z1124="A",INDEX(Fixed_Assets!$K$2:$K$201,$AB1124)&amp;"",IF($Z1124="F",IF(INDEX(FTE_Allocation!$D$2:$D$201,$AB1124)="PROJECT",IFERROR(INDEX(Projects!$D:$D,MATCH(INDEX(FTE_Allocation!$E$2:$E$201,$AB1124),Projects!$A:$A,0))&amp;"","#PROJECT?"),INDEX(FTE_Allocation!$E$2:$E$201,$AB1124)&amp;""),"")))</f>
        <v/>
      </c>
      <c r="F1124" s="7">
        <f>IF($Z1124="C",INDEX(Contracts!$Q$2:$Q$151,$AB1124)&amp;"",IF($Z1124="A",INDEX(Fixed_Assets!$L$2:$L$201,$AB1124)&amp;"",IF($Z1124="F",INDEX(Workforce!$K$2:$K$151,MATCH(INDEX(FTE_Allocation!$A$2:$A$201,$AB1124),Workforce!$A$2:$A$151,0))&amp;"","")))</f>
        <v/>
      </c>
      <c r="G1124" s="7">
        <f>IF($Z1124="C",INDEX(Contracts!$F$2:$F$151,$AB1124)&amp;" / "&amp;INDEX(Contracts!$G$2:$G$151,$AB1124),IF($Z1124="A",INDEX(Fixed_Assets!$E$2:$E$201,$AB1124)&amp;"",IF($Z1124="F","Personnel "&amp;INDEX(FTE_Allocation!$A$2:$A$201,$AB1124)&amp;IF(INDEX(FTE_Allocation!$D$2:$D$201,$AB1124)="PROJECT"," ("&amp;INDEX(FTE_Allocation!$E$2:$E$201,$AB1124)&amp;")",""),"")))</f>
        <v/>
      </c>
      <c r="H1124" s="7">
        <f>IF($Z1124="C","CONTRACT",IF($Z1124="A","ASSET",IF($Z1124="F","WORKFORCE","")))</f>
        <v/>
      </c>
      <c r="I1124" s="7">
        <f>IF($Z1124="C",INDEX(Contracts!$L$2:$L$151,$AB1124)&amp;"",IF($Z1124="A",INDEX(Fixed_Assets!$I$2:$I$201,$AB1124)&amp;"",IF($Z1124="F",INDEX(Workforce!$G$2:$G$151,MATCH(INDEX(FTE_Allocation!$A$2:$A$201,$AB1124),Workforce!$A$2:$A$151,0))&amp;"","")))</f>
        <v/>
      </c>
      <c r="J1124" s="18">
        <f>IF($Z1124="","",IF(AND(DATE($AD1124,1,1)&gt;=$AE1124,DATE($AD1124,1,1)&lt;=$AF1124),ROUND($AG1124,2),0))</f>
        <v/>
      </c>
      <c r="K1124" s="18">
        <f>IF($Z1124="","",IF(AND(DATE($AD1124,2,1)&gt;=$AE1124,DATE($AD1124,2,1)&lt;=$AF1124),ROUND($AG1124,2),0))</f>
        <v/>
      </c>
      <c r="L1124" s="18">
        <f>IF($Z1124="","",IF(AND(DATE($AD1124,3,1)&gt;=$AE1124,DATE($AD1124,3,1)&lt;=$AF1124),ROUND($AG1124,2),0))</f>
        <v/>
      </c>
      <c r="M1124" s="18">
        <f>IF($Z1124="","",IF(AND(DATE($AD1124,4,1)&gt;=$AE1124,DATE($AD1124,4,1)&lt;=$AF1124),ROUND($AG1124,2),0))</f>
        <v/>
      </c>
      <c r="N1124" s="18">
        <f>IF($Z1124="","",IF(AND(DATE($AD1124,5,1)&gt;=$AE1124,DATE($AD1124,5,1)&lt;=$AF1124),ROUND($AG1124,2),0))</f>
        <v/>
      </c>
      <c r="O1124" s="18">
        <f>IF($Z1124="","",IF(AND(DATE($AD1124,6,1)&gt;=$AE1124,DATE($AD1124,6,1)&lt;=$AF1124),ROUND($AG1124,2),0))</f>
        <v/>
      </c>
      <c r="P1124" s="18">
        <f>IF($Z1124="","",IF(AND(DATE($AD1124,7,1)&gt;=$AE1124,DATE($AD1124,7,1)&lt;=$AF1124),ROUND($AG1124,2),0))</f>
        <v/>
      </c>
      <c r="Q1124" s="18">
        <f>IF($Z1124="","",IF(AND(DATE($AD1124,8,1)&gt;=$AE1124,DATE($AD1124,8,1)&lt;=$AF1124),ROUND($AG1124,2),0))</f>
        <v/>
      </c>
      <c r="R1124" s="18">
        <f>IF($Z1124="","",IF(AND(DATE($AD1124,9,1)&gt;=$AE1124,DATE($AD1124,9,1)&lt;=$AF1124),ROUND($AG1124,2),0))</f>
        <v/>
      </c>
      <c r="S1124" s="18">
        <f>IF($Z1124="","",IF(AND(DATE($AD1124,10,1)&gt;=$AE1124,DATE($AD1124,10,1)&lt;=$AF1124),ROUND($AG1124,2),0))</f>
        <v/>
      </c>
      <c r="T1124" s="18">
        <f>IF($Z1124="","",IF(AND(DATE($AD1124,11,1)&gt;=$AE1124,DATE($AD1124,11,1)&lt;=$AF1124),ROUND($AG1124,2),0))</f>
        <v/>
      </c>
      <c r="U1124" s="18">
        <f>IF($Z1124="","",IF(AND(DATE($AD1124,12,1)&gt;=$AE1124,DATE($AD1124,12,1)&lt;=$AF1124),ROUND($AG1124,2),0))</f>
        <v/>
      </c>
      <c r="V1124" s="7">
        <f>IF($Z1124="C","Generated from "&amp;INDEX(Contracts!$A$2:$A$151,$AB1124),IF($Z1124="A","Generated from "&amp;INDEX(Fixed_Assets!$A$2:$A$201,$AB1124),IF($Z1124="F","Generated from "&amp;INDEX(FTE_Allocation!$A$2:$A$201,$AB1124),"")))</f>
        <v/>
      </c>
      <c r="X1124" s="19">
        <f>IF($Z1124="","",SUM(J1124:U1124))</f>
        <v/>
      </c>
      <c r="Y1124" s="20">
        <f>ROW()-1</f>
        <v/>
      </c>
      <c r="Z1124" s="20">
        <f>IF($Y1124&lt;=Settings!$B$4*3,"C",IF($Y1124&lt;=(Settings!$B$4+Settings!$B$5)*3,"A",IF($Y1124&lt;=(Settings!$B$4+Settings!$B$5+Settings!$B$6)*3,"F","")))</f>
        <v/>
      </c>
      <c r="AA1124" s="20">
        <f>IF($Z1124="C",$Y1124,IF($Z1124="A",$Y1124-Settings!$B$4*3,IF($Z1124="F",$Y1124-(Settings!$B$4+Settings!$B$5)*3,"")))</f>
        <v/>
      </c>
      <c r="AB1124" s="20">
        <f>IF($Z1124="","",INT(($AA1124-1)/3)+1)</f>
        <v/>
      </c>
      <c r="AC1124" s="20">
        <f>IF($Z1124="","",MOD($AA1124-1,3)+1)</f>
        <v/>
      </c>
      <c r="AD1124" s="20">
        <f>IF($Z1124="","",Settings!$B$2+$AC1124-1)</f>
        <v/>
      </c>
      <c r="AE1124" s="21">
        <f>IF($Z1124="C",DATE(YEAR(INDEX(Contracts!$J$2:$J$151,$AB1124)),MONTH(INDEX(Contracts!$J$2:$J$151,$AB1124)),1),IF($Z1124="A",DATE(YEAR(INDEX(Fixed_Assets!$G$2:$G$201,$AB1124)),MONTH(INDEX(Fixed_Assets!$G$2:$G$201,$AB1124)),1),IF($Z1124="F",DATE(YEAR(MAX(N(INDEX(Workforce!$I$2:$I$151,MATCH(INDEX(FTE_Allocation!$A$2:$A$201,$AB1124),Workforce!$A$2:$A$151,0))),N(INDEX(FTE_Allocation!$I$2:$I$201,$AB1124)))),MONTH(MAX(N(INDEX(Workforce!$I$2:$I$151,MATCH(INDEX(FTE_Allocation!$A$2:$A$201,$AB1124),Workforce!$A$2:$A$151,0))),N(INDEX(FTE_Allocation!$I$2:$I$201,$AB1124)))),1),"")))</f>
        <v/>
      </c>
      <c r="AF1124" s="21">
        <f>IF($Z1124="C",IF(INDEX(Contracts!$I$2:$I$151,$AB1124)="PREPAID",EDATE(DATE(YEAR(INDEX(Contracts!$J$2:$J$151,$AB1124)),MONTH(INDEX(Contracts!$J$2:$J$151,$AB1124)),1),IF(INDEX(Contracts!$N$2:$N$151,$AB1124)="",12,INDEX(Contracts!$N$2:$N$151,$AB1124))-1),IF(INDEX(Contracts!$I$2:$I$151,$AB1124)="MONTHLY",IF(INDEX(Contracts!$K$2:$K$151,$AB1124)="",2958101,INDEX(Contracts!$K$2:$K$151,$AB1124)),0)),IF($Z1124="A",EDATE(DATE(YEAR(INDEX(Fixed_Assets!$G$2:$G$201,$AB1124)),MONTH(INDEX(Fixed_Assets!$G$2:$G$201,$AB1124)),1),INDEX(Fixed_Assets!$J$2:$J$201,$AB1124)-1),IF($Z1124="F",MIN(IF(INDEX(Workforce!$J$2:$J$151,MATCH(INDEX(FTE_Allocation!$A$2:$A$201,$AB1124),Workforce!$A$2:$A$151,0))="",2958101,INDEX(Workforce!$J$2:$J$151,MATCH(INDEX(FTE_Allocation!$A$2:$A$201,$AB1124),Workforce!$A$2:$A$151,0))),IF(INDEX(FTE_Allocation!$J$2:$J$201,$AB1124)="",2958101,INDEX(FTE_Allocation!$J$2:$J$201,$AB1124))),"")))</f>
        <v/>
      </c>
      <c r="AG1124" s="19">
        <f>IF($Z1124="C",IF(INDEX(Contracts!$I$2:$I$151,$AB1124)="PREPAID",INDEX(Contracts!$M$2:$M$151,$AB1124)/IF(INDEX(Contracts!$N$2:$N$151,$AB1124)="",12,INDEX(Contracts!$N$2:$N$151,$AB1124)),IF(INDEX(Contracts!$I$2:$I$151,$AB1124)="MONTHLY",INDEX(Contracts!$M$2:$M$151,$AB1124),0))*(1-N(INDEX(Contracts!$O$2:$O$151,$AB1124))),IF($Z1124="A",INDEX(Fixed_Assets!$H$2:$H$201,$AB1124)/INDEX(Fixed_Assets!$J$2:$J$201,$AB1124),IF($Z1124="F",INDEX(Workforce!$F$2:$F$151,MATCH(INDEX(FTE_Allocation!$A$2:$A$201,$AB1124),Workforce!$A$2:$A$151,0))*N(INDEX(FTE_Allocation!$F$2:$H$201,$AB1124,$AC1124)),"")))</f>
        <v/>
      </c>
    </row>
    <row r="1125">
      <c r="A1125" s="7">
        <f>IF($Z1125="","",$AD1125)</f>
        <v/>
      </c>
      <c r="B1125" s="7">
        <f>IF($Z1125="C",INDEX(Contracts!$D$2:$D$151,$AB1125)&amp;"",IF($Z1125="A",INDEX(Fixed_Assets!$C$2:$C$201,$AB1125)&amp;"",IF($Z1125="F",INDEX(Workforce!$B$2:$B$151,MATCH(INDEX(FTE_Allocation!$A$2:$A$201,$AB1125),Workforce!$A$2:$A$151,0))&amp;"","")))</f>
        <v/>
      </c>
      <c r="C1125" s="7">
        <f>IF($Z1125="C",INDEX(Contracts!$E$2:$E$151,$AB1125)&amp;"",IF($Z1125="A",INDEX(Fixed_Assets!$D$2:$D$201,$AB1125)&amp;"",IF($Z1125="F",INDEX(FTE_Allocation!$C$2:$C$201,$AB1125)&amp;"","")))</f>
        <v/>
      </c>
      <c r="D1125" s="7">
        <f>IF($Z1125="C",INDEX(Contracts!$B$2:$B$151,$AB1125)&amp;"",IF($Z1125="A",INDEX(Fixed_Assets!$B$2:$B$201,$AB1125)&amp;"",IF($Z1125="F",INDEX(FTE_Allocation!$B$2:$B$201,$AB1125)&amp;"","")))</f>
        <v/>
      </c>
      <c r="E1125" s="7">
        <f>IF($Z1125="C",INDEX(Contracts!$P$2:$P$151,$AB1125)&amp;"",IF($Z1125="A",INDEX(Fixed_Assets!$K$2:$K$201,$AB1125)&amp;"",IF($Z1125="F",IF(INDEX(FTE_Allocation!$D$2:$D$201,$AB1125)="PROJECT",IFERROR(INDEX(Projects!$D:$D,MATCH(INDEX(FTE_Allocation!$E$2:$E$201,$AB1125),Projects!$A:$A,0))&amp;"","#PROJECT?"),INDEX(FTE_Allocation!$E$2:$E$201,$AB1125)&amp;""),"")))</f>
        <v/>
      </c>
      <c r="F1125" s="7">
        <f>IF($Z1125="C",INDEX(Contracts!$Q$2:$Q$151,$AB1125)&amp;"",IF($Z1125="A",INDEX(Fixed_Assets!$L$2:$L$201,$AB1125)&amp;"",IF($Z1125="F",INDEX(Workforce!$K$2:$K$151,MATCH(INDEX(FTE_Allocation!$A$2:$A$201,$AB1125),Workforce!$A$2:$A$151,0))&amp;"","")))</f>
        <v/>
      </c>
      <c r="G1125" s="7">
        <f>IF($Z1125="C",INDEX(Contracts!$F$2:$F$151,$AB1125)&amp;" / "&amp;INDEX(Contracts!$G$2:$G$151,$AB1125),IF($Z1125="A",INDEX(Fixed_Assets!$E$2:$E$201,$AB1125)&amp;"",IF($Z1125="F","Personnel "&amp;INDEX(FTE_Allocation!$A$2:$A$201,$AB1125)&amp;IF(INDEX(FTE_Allocation!$D$2:$D$201,$AB1125)="PROJECT"," ("&amp;INDEX(FTE_Allocation!$E$2:$E$201,$AB1125)&amp;")",""),"")))</f>
        <v/>
      </c>
      <c r="H1125" s="7">
        <f>IF($Z1125="C","CONTRACT",IF($Z1125="A","ASSET",IF($Z1125="F","WORKFORCE","")))</f>
        <v/>
      </c>
      <c r="I1125" s="7">
        <f>IF($Z1125="C",INDEX(Contracts!$L$2:$L$151,$AB1125)&amp;"",IF($Z1125="A",INDEX(Fixed_Assets!$I$2:$I$201,$AB1125)&amp;"",IF($Z1125="F",INDEX(Workforce!$G$2:$G$151,MATCH(INDEX(FTE_Allocation!$A$2:$A$201,$AB1125),Workforce!$A$2:$A$151,0))&amp;"","")))</f>
        <v/>
      </c>
      <c r="J1125" s="18">
        <f>IF($Z1125="","",IF(AND(DATE($AD1125,1,1)&gt;=$AE1125,DATE($AD1125,1,1)&lt;=$AF1125),ROUND($AG1125,2),0))</f>
        <v/>
      </c>
      <c r="K1125" s="18">
        <f>IF($Z1125="","",IF(AND(DATE($AD1125,2,1)&gt;=$AE1125,DATE($AD1125,2,1)&lt;=$AF1125),ROUND($AG1125,2),0))</f>
        <v/>
      </c>
      <c r="L1125" s="18">
        <f>IF($Z1125="","",IF(AND(DATE($AD1125,3,1)&gt;=$AE1125,DATE($AD1125,3,1)&lt;=$AF1125),ROUND($AG1125,2),0))</f>
        <v/>
      </c>
      <c r="M1125" s="18">
        <f>IF($Z1125="","",IF(AND(DATE($AD1125,4,1)&gt;=$AE1125,DATE($AD1125,4,1)&lt;=$AF1125),ROUND($AG1125,2),0))</f>
        <v/>
      </c>
      <c r="N1125" s="18">
        <f>IF($Z1125="","",IF(AND(DATE($AD1125,5,1)&gt;=$AE1125,DATE($AD1125,5,1)&lt;=$AF1125),ROUND($AG1125,2),0))</f>
        <v/>
      </c>
      <c r="O1125" s="18">
        <f>IF($Z1125="","",IF(AND(DATE($AD1125,6,1)&gt;=$AE1125,DATE($AD1125,6,1)&lt;=$AF1125),ROUND($AG1125,2),0))</f>
        <v/>
      </c>
      <c r="P1125" s="18">
        <f>IF($Z1125="","",IF(AND(DATE($AD1125,7,1)&gt;=$AE1125,DATE($AD1125,7,1)&lt;=$AF1125),ROUND($AG1125,2),0))</f>
        <v/>
      </c>
      <c r="Q1125" s="18">
        <f>IF($Z1125="","",IF(AND(DATE($AD1125,8,1)&gt;=$AE1125,DATE($AD1125,8,1)&lt;=$AF1125),ROUND($AG1125,2),0))</f>
        <v/>
      </c>
      <c r="R1125" s="18">
        <f>IF($Z1125="","",IF(AND(DATE($AD1125,9,1)&gt;=$AE1125,DATE($AD1125,9,1)&lt;=$AF1125),ROUND($AG1125,2),0))</f>
        <v/>
      </c>
      <c r="S1125" s="18">
        <f>IF($Z1125="","",IF(AND(DATE($AD1125,10,1)&gt;=$AE1125,DATE($AD1125,10,1)&lt;=$AF1125),ROUND($AG1125,2),0))</f>
        <v/>
      </c>
      <c r="T1125" s="18">
        <f>IF($Z1125="","",IF(AND(DATE($AD1125,11,1)&gt;=$AE1125,DATE($AD1125,11,1)&lt;=$AF1125),ROUND($AG1125,2),0))</f>
        <v/>
      </c>
      <c r="U1125" s="18">
        <f>IF($Z1125="","",IF(AND(DATE($AD1125,12,1)&gt;=$AE1125,DATE($AD1125,12,1)&lt;=$AF1125),ROUND($AG1125,2),0))</f>
        <v/>
      </c>
      <c r="V1125" s="7">
        <f>IF($Z1125="C","Generated from "&amp;INDEX(Contracts!$A$2:$A$151,$AB1125),IF($Z1125="A","Generated from "&amp;INDEX(Fixed_Assets!$A$2:$A$201,$AB1125),IF($Z1125="F","Generated from "&amp;INDEX(FTE_Allocation!$A$2:$A$201,$AB1125),"")))</f>
        <v/>
      </c>
      <c r="X1125" s="19">
        <f>IF($Z1125="","",SUM(J1125:U1125))</f>
        <v/>
      </c>
      <c r="Y1125" s="20">
        <f>ROW()-1</f>
        <v/>
      </c>
      <c r="Z1125" s="20">
        <f>IF($Y1125&lt;=Settings!$B$4*3,"C",IF($Y1125&lt;=(Settings!$B$4+Settings!$B$5)*3,"A",IF($Y1125&lt;=(Settings!$B$4+Settings!$B$5+Settings!$B$6)*3,"F","")))</f>
        <v/>
      </c>
      <c r="AA1125" s="20">
        <f>IF($Z1125="C",$Y1125,IF($Z1125="A",$Y1125-Settings!$B$4*3,IF($Z1125="F",$Y1125-(Settings!$B$4+Settings!$B$5)*3,"")))</f>
        <v/>
      </c>
      <c r="AB1125" s="20">
        <f>IF($Z1125="","",INT(($AA1125-1)/3)+1)</f>
        <v/>
      </c>
      <c r="AC1125" s="20">
        <f>IF($Z1125="","",MOD($AA1125-1,3)+1)</f>
        <v/>
      </c>
      <c r="AD1125" s="20">
        <f>IF($Z1125="","",Settings!$B$2+$AC1125-1)</f>
        <v/>
      </c>
      <c r="AE1125" s="21">
        <f>IF($Z1125="C",DATE(YEAR(INDEX(Contracts!$J$2:$J$151,$AB1125)),MONTH(INDEX(Contracts!$J$2:$J$151,$AB1125)),1),IF($Z1125="A",DATE(YEAR(INDEX(Fixed_Assets!$G$2:$G$201,$AB1125)),MONTH(INDEX(Fixed_Assets!$G$2:$G$201,$AB1125)),1),IF($Z1125="F",DATE(YEAR(MAX(N(INDEX(Workforce!$I$2:$I$151,MATCH(INDEX(FTE_Allocation!$A$2:$A$201,$AB1125),Workforce!$A$2:$A$151,0))),N(INDEX(FTE_Allocation!$I$2:$I$201,$AB1125)))),MONTH(MAX(N(INDEX(Workforce!$I$2:$I$151,MATCH(INDEX(FTE_Allocation!$A$2:$A$201,$AB1125),Workforce!$A$2:$A$151,0))),N(INDEX(FTE_Allocation!$I$2:$I$201,$AB1125)))),1),"")))</f>
        <v/>
      </c>
      <c r="AF1125" s="21">
        <f>IF($Z1125="C",IF(INDEX(Contracts!$I$2:$I$151,$AB1125)="PREPAID",EDATE(DATE(YEAR(INDEX(Contracts!$J$2:$J$151,$AB1125)),MONTH(INDEX(Contracts!$J$2:$J$151,$AB1125)),1),IF(INDEX(Contracts!$N$2:$N$151,$AB1125)="",12,INDEX(Contracts!$N$2:$N$151,$AB1125))-1),IF(INDEX(Contracts!$I$2:$I$151,$AB1125)="MONTHLY",IF(INDEX(Contracts!$K$2:$K$151,$AB1125)="",2958101,INDEX(Contracts!$K$2:$K$151,$AB1125)),0)),IF($Z1125="A",EDATE(DATE(YEAR(INDEX(Fixed_Assets!$G$2:$G$201,$AB1125)),MONTH(INDEX(Fixed_Assets!$G$2:$G$201,$AB1125)),1),INDEX(Fixed_Assets!$J$2:$J$201,$AB1125)-1),IF($Z1125="F",MIN(IF(INDEX(Workforce!$J$2:$J$151,MATCH(INDEX(FTE_Allocation!$A$2:$A$201,$AB1125),Workforce!$A$2:$A$151,0))="",2958101,INDEX(Workforce!$J$2:$J$151,MATCH(INDEX(FTE_Allocation!$A$2:$A$201,$AB1125),Workforce!$A$2:$A$151,0))),IF(INDEX(FTE_Allocation!$J$2:$J$201,$AB1125)="",2958101,INDEX(FTE_Allocation!$J$2:$J$201,$AB1125))),"")))</f>
        <v/>
      </c>
      <c r="AG1125" s="19">
        <f>IF($Z1125="C",IF(INDEX(Contracts!$I$2:$I$151,$AB1125)="PREPAID",INDEX(Contracts!$M$2:$M$151,$AB1125)/IF(INDEX(Contracts!$N$2:$N$151,$AB1125)="",12,INDEX(Contracts!$N$2:$N$151,$AB1125)),IF(INDEX(Contracts!$I$2:$I$151,$AB1125)="MONTHLY",INDEX(Contracts!$M$2:$M$151,$AB1125),0))*(1-N(INDEX(Contracts!$O$2:$O$151,$AB1125))),IF($Z1125="A",INDEX(Fixed_Assets!$H$2:$H$201,$AB1125)/INDEX(Fixed_Assets!$J$2:$J$201,$AB1125),IF($Z1125="F",INDEX(Workforce!$F$2:$F$151,MATCH(INDEX(FTE_Allocation!$A$2:$A$201,$AB1125),Workforce!$A$2:$A$151,0))*N(INDEX(FTE_Allocation!$F$2:$H$201,$AB1125,$AC1125)),"")))</f>
        <v/>
      </c>
    </row>
    <row r="1126">
      <c r="A1126" s="7">
        <f>IF($Z1126="","",$AD1126)</f>
        <v/>
      </c>
      <c r="B1126" s="7">
        <f>IF($Z1126="C",INDEX(Contracts!$D$2:$D$151,$AB1126)&amp;"",IF($Z1126="A",INDEX(Fixed_Assets!$C$2:$C$201,$AB1126)&amp;"",IF($Z1126="F",INDEX(Workforce!$B$2:$B$151,MATCH(INDEX(FTE_Allocation!$A$2:$A$201,$AB1126),Workforce!$A$2:$A$151,0))&amp;"","")))</f>
        <v/>
      </c>
      <c r="C1126" s="7">
        <f>IF($Z1126="C",INDEX(Contracts!$E$2:$E$151,$AB1126)&amp;"",IF($Z1126="A",INDEX(Fixed_Assets!$D$2:$D$201,$AB1126)&amp;"",IF($Z1126="F",INDEX(FTE_Allocation!$C$2:$C$201,$AB1126)&amp;"","")))</f>
        <v/>
      </c>
      <c r="D1126" s="7">
        <f>IF($Z1126="C",INDEX(Contracts!$B$2:$B$151,$AB1126)&amp;"",IF($Z1126="A",INDEX(Fixed_Assets!$B$2:$B$201,$AB1126)&amp;"",IF($Z1126="F",INDEX(FTE_Allocation!$B$2:$B$201,$AB1126)&amp;"","")))</f>
        <v/>
      </c>
      <c r="E1126" s="7">
        <f>IF($Z1126="C",INDEX(Contracts!$P$2:$P$151,$AB1126)&amp;"",IF($Z1126="A",INDEX(Fixed_Assets!$K$2:$K$201,$AB1126)&amp;"",IF($Z1126="F",IF(INDEX(FTE_Allocation!$D$2:$D$201,$AB1126)="PROJECT",IFERROR(INDEX(Projects!$D:$D,MATCH(INDEX(FTE_Allocation!$E$2:$E$201,$AB1126),Projects!$A:$A,0))&amp;"","#PROJECT?"),INDEX(FTE_Allocation!$E$2:$E$201,$AB1126)&amp;""),"")))</f>
        <v/>
      </c>
      <c r="F1126" s="7">
        <f>IF($Z1126="C",INDEX(Contracts!$Q$2:$Q$151,$AB1126)&amp;"",IF($Z1126="A",INDEX(Fixed_Assets!$L$2:$L$201,$AB1126)&amp;"",IF($Z1126="F",INDEX(Workforce!$K$2:$K$151,MATCH(INDEX(FTE_Allocation!$A$2:$A$201,$AB1126),Workforce!$A$2:$A$151,0))&amp;"","")))</f>
        <v/>
      </c>
      <c r="G1126" s="7">
        <f>IF($Z1126="C",INDEX(Contracts!$F$2:$F$151,$AB1126)&amp;" / "&amp;INDEX(Contracts!$G$2:$G$151,$AB1126),IF($Z1126="A",INDEX(Fixed_Assets!$E$2:$E$201,$AB1126)&amp;"",IF($Z1126="F","Personnel "&amp;INDEX(FTE_Allocation!$A$2:$A$201,$AB1126)&amp;IF(INDEX(FTE_Allocation!$D$2:$D$201,$AB1126)="PROJECT"," ("&amp;INDEX(FTE_Allocation!$E$2:$E$201,$AB1126)&amp;")",""),"")))</f>
        <v/>
      </c>
      <c r="H1126" s="7">
        <f>IF($Z1126="C","CONTRACT",IF($Z1126="A","ASSET",IF($Z1126="F","WORKFORCE","")))</f>
        <v/>
      </c>
      <c r="I1126" s="7">
        <f>IF($Z1126="C",INDEX(Contracts!$L$2:$L$151,$AB1126)&amp;"",IF($Z1126="A",INDEX(Fixed_Assets!$I$2:$I$201,$AB1126)&amp;"",IF($Z1126="F",INDEX(Workforce!$G$2:$G$151,MATCH(INDEX(FTE_Allocation!$A$2:$A$201,$AB1126),Workforce!$A$2:$A$151,0))&amp;"","")))</f>
        <v/>
      </c>
      <c r="J1126" s="18">
        <f>IF($Z1126="","",IF(AND(DATE($AD1126,1,1)&gt;=$AE1126,DATE($AD1126,1,1)&lt;=$AF1126),ROUND($AG1126,2),0))</f>
        <v/>
      </c>
      <c r="K1126" s="18">
        <f>IF($Z1126="","",IF(AND(DATE($AD1126,2,1)&gt;=$AE1126,DATE($AD1126,2,1)&lt;=$AF1126),ROUND($AG1126,2),0))</f>
        <v/>
      </c>
      <c r="L1126" s="18">
        <f>IF($Z1126="","",IF(AND(DATE($AD1126,3,1)&gt;=$AE1126,DATE($AD1126,3,1)&lt;=$AF1126),ROUND($AG1126,2),0))</f>
        <v/>
      </c>
      <c r="M1126" s="18">
        <f>IF($Z1126="","",IF(AND(DATE($AD1126,4,1)&gt;=$AE1126,DATE($AD1126,4,1)&lt;=$AF1126),ROUND($AG1126,2),0))</f>
        <v/>
      </c>
      <c r="N1126" s="18">
        <f>IF($Z1126="","",IF(AND(DATE($AD1126,5,1)&gt;=$AE1126,DATE($AD1126,5,1)&lt;=$AF1126),ROUND($AG1126,2),0))</f>
        <v/>
      </c>
      <c r="O1126" s="18">
        <f>IF($Z1126="","",IF(AND(DATE($AD1126,6,1)&gt;=$AE1126,DATE($AD1126,6,1)&lt;=$AF1126),ROUND($AG1126,2),0))</f>
        <v/>
      </c>
      <c r="P1126" s="18">
        <f>IF($Z1126="","",IF(AND(DATE($AD1126,7,1)&gt;=$AE1126,DATE($AD1126,7,1)&lt;=$AF1126),ROUND($AG1126,2),0))</f>
        <v/>
      </c>
      <c r="Q1126" s="18">
        <f>IF($Z1126="","",IF(AND(DATE($AD1126,8,1)&gt;=$AE1126,DATE($AD1126,8,1)&lt;=$AF1126),ROUND($AG1126,2),0))</f>
        <v/>
      </c>
      <c r="R1126" s="18">
        <f>IF($Z1126="","",IF(AND(DATE($AD1126,9,1)&gt;=$AE1126,DATE($AD1126,9,1)&lt;=$AF1126),ROUND($AG1126,2),0))</f>
        <v/>
      </c>
      <c r="S1126" s="18">
        <f>IF($Z1126="","",IF(AND(DATE($AD1126,10,1)&gt;=$AE1126,DATE($AD1126,10,1)&lt;=$AF1126),ROUND($AG1126,2),0))</f>
        <v/>
      </c>
      <c r="T1126" s="18">
        <f>IF($Z1126="","",IF(AND(DATE($AD1126,11,1)&gt;=$AE1126,DATE($AD1126,11,1)&lt;=$AF1126),ROUND($AG1126,2),0))</f>
        <v/>
      </c>
      <c r="U1126" s="18">
        <f>IF($Z1126="","",IF(AND(DATE($AD1126,12,1)&gt;=$AE1126,DATE($AD1126,12,1)&lt;=$AF1126),ROUND($AG1126,2),0))</f>
        <v/>
      </c>
      <c r="V1126" s="7">
        <f>IF($Z1126="C","Generated from "&amp;INDEX(Contracts!$A$2:$A$151,$AB1126),IF($Z1126="A","Generated from "&amp;INDEX(Fixed_Assets!$A$2:$A$201,$AB1126),IF($Z1126="F","Generated from "&amp;INDEX(FTE_Allocation!$A$2:$A$201,$AB1126),"")))</f>
        <v/>
      </c>
      <c r="X1126" s="19">
        <f>IF($Z1126="","",SUM(J1126:U1126))</f>
        <v/>
      </c>
      <c r="Y1126" s="20">
        <f>ROW()-1</f>
        <v/>
      </c>
      <c r="Z1126" s="20">
        <f>IF($Y1126&lt;=Settings!$B$4*3,"C",IF($Y1126&lt;=(Settings!$B$4+Settings!$B$5)*3,"A",IF($Y1126&lt;=(Settings!$B$4+Settings!$B$5+Settings!$B$6)*3,"F","")))</f>
        <v/>
      </c>
      <c r="AA1126" s="20">
        <f>IF($Z1126="C",$Y1126,IF($Z1126="A",$Y1126-Settings!$B$4*3,IF($Z1126="F",$Y1126-(Settings!$B$4+Settings!$B$5)*3,"")))</f>
        <v/>
      </c>
      <c r="AB1126" s="20">
        <f>IF($Z1126="","",INT(($AA1126-1)/3)+1)</f>
        <v/>
      </c>
      <c r="AC1126" s="20">
        <f>IF($Z1126="","",MOD($AA1126-1,3)+1)</f>
        <v/>
      </c>
      <c r="AD1126" s="20">
        <f>IF($Z1126="","",Settings!$B$2+$AC1126-1)</f>
        <v/>
      </c>
      <c r="AE1126" s="21">
        <f>IF($Z1126="C",DATE(YEAR(INDEX(Contracts!$J$2:$J$151,$AB1126)),MONTH(INDEX(Contracts!$J$2:$J$151,$AB1126)),1),IF($Z1126="A",DATE(YEAR(INDEX(Fixed_Assets!$G$2:$G$201,$AB1126)),MONTH(INDEX(Fixed_Assets!$G$2:$G$201,$AB1126)),1),IF($Z1126="F",DATE(YEAR(MAX(N(INDEX(Workforce!$I$2:$I$151,MATCH(INDEX(FTE_Allocation!$A$2:$A$201,$AB1126),Workforce!$A$2:$A$151,0))),N(INDEX(FTE_Allocation!$I$2:$I$201,$AB1126)))),MONTH(MAX(N(INDEX(Workforce!$I$2:$I$151,MATCH(INDEX(FTE_Allocation!$A$2:$A$201,$AB1126),Workforce!$A$2:$A$151,0))),N(INDEX(FTE_Allocation!$I$2:$I$201,$AB1126)))),1),"")))</f>
        <v/>
      </c>
      <c r="AF1126" s="21">
        <f>IF($Z1126="C",IF(INDEX(Contracts!$I$2:$I$151,$AB1126)="PREPAID",EDATE(DATE(YEAR(INDEX(Contracts!$J$2:$J$151,$AB1126)),MONTH(INDEX(Contracts!$J$2:$J$151,$AB1126)),1),IF(INDEX(Contracts!$N$2:$N$151,$AB1126)="",12,INDEX(Contracts!$N$2:$N$151,$AB1126))-1),IF(INDEX(Contracts!$I$2:$I$151,$AB1126)="MONTHLY",IF(INDEX(Contracts!$K$2:$K$151,$AB1126)="",2958101,INDEX(Contracts!$K$2:$K$151,$AB1126)),0)),IF($Z1126="A",EDATE(DATE(YEAR(INDEX(Fixed_Assets!$G$2:$G$201,$AB1126)),MONTH(INDEX(Fixed_Assets!$G$2:$G$201,$AB1126)),1),INDEX(Fixed_Assets!$J$2:$J$201,$AB1126)-1),IF($Z1126="F",MIN(IF(INDEX(Workforce!$J$2:$J$151,MATCH(INDEX(FTE_Allocation!$A$2:$A$201,$AB1126),Workforce!$A$2:$A$151,0))="",2958101,INDEX(Workforce!$J$2:$J$151,MATCH(INDEX(FTE_Allocation!$A$2:$A$201,$AB1126),Workforce!$A$2:$A$151,0))),IF(INDEX(FTE_Allocation!$J$2:$J$201,$AB1126)="",2958101,INDEX(FTE_Allocation!$J$2:$J$201,$AB1126))),"")))</f>
        <v/>
      </c>
      <c r="AG1126" s="19">
        <f>IF($Z1126="C",IF(INDEX(Contracts!$I$2:$I$151,$AB1126)="PREPAID",INDEX(Contracts!$M$2:$M$151,$AB1126)/IF(INDEX(Contracts!$N$2:$N$151,$AB1126)="",12,INDEX(Contracts!$N$2:$N$151,$AB1126)),IF(INDEX(Contracts!$I$2:$I$151,$AB1126)="MONTHLY",INDEX(Contracts!$M$2:$M$151,$AB1126),0))*(1-N(INDEX(Contracts!$O$2:$O$151,$AB1126))),IF($Z1126="A",INDEX(Fixed_Assets!$H$2:$H$201,$AB1126)/INDEX(Fixed_Assets!$J$2:$J$201,$AB1126),IF($Z1126="F",INDEX(Workforce!$F$2:$F$151,MATCH(INDEX(FTE_Allocation!$A$2:$A$201,$AB1126),Workforce!$A$2:$A$151,0))*N(INDEX(FTE_Allocation!$F$2:$H$201,$AB1126,$AC1126)),"")))</f>
        <v/>
      </c>
    </row>
    <row r="1127">
      <c r="A1127" s="7">
        <f>IF($Z1127="","",$AD1127)</f>
        <v/>
      </c>
      <c r="B1127" s="7">
        <f>IF($Z1127="C",INDEX(Contracts!$D$2:$D$151,$AB1127)&amp;"",IF($Z1127="A",INDEX(Fixed_Assets!$C$2:$C$201,$AB1127)&amp;"",IF($Z1127="F",INDEX(Workforce!$B$2:$B$151,MATCH(INDEX(FTE_Allocation!$A$2:$A$201,$AB1127),Workforce!$A$2:$A$151,0))&amp;"","")))</f>
        <v/>
      </c>
      <c r="C1127" s="7">
        <f>IF($Z1127="C",INDEX(Contracts!$E$2:$E$151,$AB1127)&amp;"",IF($Z1127="A",INDEX(Fixed_Assets!$D$2:$D$201,$AB1127)&amp;"",IF($Z1127="F",INDEX(FTE_Allocation!$C$2:$C$201,$AB1127)&amp;"","")))</f>
        <v/>
      </c>
      <c r="D1127" s="7">
        <f>IF($Z1127="C",INDEX(Contracts!$B$2:$B$151,$AB1127)&amp;"",IF($Z1127="A",INDEX(Fixed_Assets!$B$2:$B$201,$AB1127)&amp;"",IF($Z1127="F",INDEX(FTE_Allocation!$B$2:$B$201,$AB1127)&amp;"","")))</f>
        <v/>
      </c>
      <c r="E1127" s="7">
        <f>IF($Z1127="C",INDEX(Contracts!$P$2:$P$151,$AB1127)&amp;"",IF($Z1127="A",INDEX(Fixed_Assets!$K$2:$K$201,$AB1127)&amp;"",IF($Z1127="F",IF(INDEX(FTE_Allocation!$D$2:$D$201,$AB1127)="PROJECT",IFERROR(INDEX(Projects!$D:$D,MATCH(INDEX(FTE_Allocation!$E$2:$E$201,$AB1127),Projects!$A:$A,0))&amp;"","#PROJECT?"),INDEX(FTE_Allocation!$E$2:$E$201,$AB1127)&amp;""),"")))</f>
        <v/>
      </c>
      <c r="F1127" s="7">
        <f>IF($Z1127="C",INDEX(Contracts!$Q$2:$Q$151,$AB1127)&amp;"",IF($Z1127="A",INDEX(Fixed_Assets!$L$2:$L$201,$AB1127)&amp;"",IF($Z1127="F",INDEX(Workforce!$K$2:$K$151,MATCH(INDEX(FTE_Allocation!$A$2:$A$201,$AB1127),Workforce!$A$2:$A$151,0))&amp;"","")))</f>
        <v/>
      </c>
      <c r="G1127" s="7">
        <f>IF($Z1127="C",INDEX(Contracts!$F$2:$F$151,$AB1127)&amp;" / "&amp;INDEX(Contracts!$G$2:$G$151,$AB1127),IF($Z1127="A",INDEX(Fixed_Assets!$E$2:$E$201,$AB1127)&amp;"",IF($Z1127="F","Personnel "&amp;INDEX(FTE_Allocation!$A$2:$A$201,$AB1127)&amp;IF(INDEX(FTE_Allocation!$D$2:$D$201,$AB1127)="PROJECT"," ("&amp;INDEX(FTE_Allocation!$E$2:$E$201,$AB1127)&amp;")",""),"")))</f>
        <v/>
      </c>
      <c r="H1127" s="7">
        <f>IF($Z1127="C","CONTRACT",IF($Z1127="A","ASSET",IF($Z1127="F","WORKFORCE","")))</f>
        <v/>
      </c>
      <c r="I1127" s="7">
        <f>IF($Z1127="C",INDEX(Contracts!$L$2:$L$151,$AB1127)&amp;"",IF($Z1127="A",INDEX(Fixed_Assets!$I$2:$I$201,$AB1127)&amp;"",IF($Z1127="F",INDEX(Workforce!$G$2:$G$151,MATCH(INDEX(FTE_Allocation!$A$2:$A$201,$AB1127),Workforce!$A$2:$A$151,0))&amp;"","")))</f>
        <v/>
      </c>
      <c r="J1127" s="18">
        <f>IF($Z1127="","",IF(AND(DATE($AD1127,1,1)&gt;=$AE1127,DATE($AD1127,1,1)&lt;=$AF1127),ROUND($AG1127,2),0))</f>
        <v/>
      </c>
      <c r="K1127" s="18">
        <f>IF($Z1127="","",IF(AND(DATE($AD1127,2,1)&gt;=$AE1127,DATE($AD1127,2,1)&lt;=$AF1127),ROUND($AG1127,2),0))</f>
        <v/>
      </c>
      <c r="L1127" s="18">
        <f>IF($Z1127="","",IF(AND(DATE($AD1127,3,1)&gt;=$AE1127,DATE($AD1127,3,1)&lt;=$AF1127),ROUND($AG1127,2),0))</f>
        <v/>
      </c>
      <c r="M1127" s="18">
        <f>IF($Z1127="","",IF(AND(DATE($AD1127,4,1)&gt;=$AE1127,DATE($AD1127,4,1)&lt;=$AF1127),ROUND($AG1127,2),0))</f>
        <v/>
      </c>
      <c r="N1127" s="18">
        <f>IF($Z1127="","",IF(AND(DATE($AD1127,5,1)&gt;=$AE1127,DATE($AD1127,5,1)&lt;=$AF1127),ROUND($AG1127,2),0))</f>
        <v/>
      </c>
      <c r="O1127" s="18">
        <f>IF($Z1127="","",IF(AND(DATE($AD1127,6,1)&gt;=$AE1127,DATE($AD1127,6,1)&lt;=$AF1127),ROUND($AG1127,2),0))</f>
        <v/>
      </c>
      <c r="P1127" s="18">
        <f>IF($Z1127="","",IF(AND(DATE($AD1127,7,1)&gt;=$AE1127,DATE($AD1127,7,1)&lt;=$AF1127),ROUND($AG1127,2),0))</f>
        <v/>
      </c>
      <c r="Q1127" s="18">
        <f>IF($Z1127="","",IF(AND(DATE($AD1127,8,1)&gt;=$AE1127,DATE($AD1127,8,1)&lt;=$AF1127),ROUND($AG1127,2),0))</f>
        <v/>
      </c>
      <c r="R1127" s="18">
        <f>IF($Z1127="","",IF(AND(DATE($AD1127,9,1)&gt;=$AE1127,DATE($AD1127,9,1)&lt;=$AF1127),ROUND($AG1127,2),0))</f>
        <v/>
      </c>
      <c r="S1127" s="18">
        <f>IF($Z1127="","",IF(AND(DATE($AD1127,10,1)&gt;=$AE1127,DATE($AD1127,10,1)&lt;=$AF1127),ROUND($AG1127,2),0))</f>
        <v/>
      </c>
      <c r="T1127" s="18">
        <f>IF($Z1127="","",IF(AND(DATE($AD1127,11,1)&gt;=$AE1127,DATE($AD1127,11,1)&lt;=$AF1127),ROUND($AG1127,2),0))</f>
        <v/>
      </c>
      <c r="U1127" s="18">
        <f>IF($Z1127="","",IF(AND(DATE($AD1127,12,1)&gt;=$AE1127,DATE($AD1127,12,1)&lt;=$AF1127),ROUND($AG1127,2),0))</f>
        <v/>
      </c>
      <c r="V1127" s="7">
        <f>IF($Z1127="C","Generated from "&amp;INDEX(Contracts!$A$2:$A$151,$AB1127),IF($Z1127="A","Generated from "&amp;INDEX(Fixed_Assets!$A$2:$A$201,$AB1127),IF($Z1127="F","Generated from "&amp;INDEX(FTE_Allocation!$A$2:$A$201,$AB1127),"")))</f>
        <v/>
      </c>
      <c r="X1127" s="19">
        <f>IF($Z1127="","",SUM(J1127:U1127))</f>
        <v/>
      </c>
      <c r="Y1127" s="20">
        <f>ROW()-1</f>
        <v/>
      </c>
      <c r="Z1127" s="20">
        <f>IF($Y1127&lt;=Settings!$B$4*3,"C",IF($Y1127&lt;=(Settings!$B$4+Settings!$B$5)*3,"A",IF($Y1127&lt;=(Settings!$B$4+Settings!$B$5+Settings!$B$6)*3,"F","")))</f>
        <v/>
      </c>
      <c r="AA1127" s="20">
        <f>IF($Z1127="C",$Y1127,IF($Z1127="A",$Y1127-Settings!$B$4*3,IF($Z1127="F",$Y1127-(Settings!$B$4+Settings!$B$5)*3,"")))</f>
        <v/>
      </c>
      <c r="AB1127" s="20">
        <f>IF($Z1127="","",INT(($AA1127-1)/3)+1)</f>
        <v/>
      </c>
      <c r="AC1127" s="20">
        <f>IF($Z1127="","",MOD($AA1127-1,3)+1)</f>
        <v/>
      </c>
      <c r="AD1127" s="20">
        <f>IF($Z1127="","",Settings!$B$2+$AC1127-1)</f>
        <v/>
      </c>
      <c r="AE1127" s="21">
        <f>IF($Z1127="C",DATE(YEAR(INDEX(Contracts!$J$2:$J$151,$AB1127)),MONTH(INDEX(Contracts!$J$2:$J$151,$AB1127)),1),IF($Z1127="A",DATE(YEAR(INDEX(Fixed_Assets!$G$2:$G$201,$AB1127)),MONTH(INDEX(Fixed_Assets!$G$2:$G$201,$AB1127)),1),IF($Z1127="F",DATE(YEAR(MAX(N(INDEX(Workforce!$I$2:$I$151,MATCH(INDEX(FTE_Allocation!$A$2:$A$201,$AB1127),Workforce!$A$2:$A$151,0))),N(INDEX(FTE_Allocation!$I$2:$I$201,$AB1127)))),MONTH(MAX(N(INDEX(Workforce!$I$2:$I$151,MATCH(INDEX(FTE_Allocation!$A$2:$A$201,$AB1127),Workforce!$A$2:$A$151,0))),N(INDEX(FTE_Allocation!$I$2:$I$201,$AB1127)))),1),"")))</f>
        <v/>
      </c>
      <c r="AF1127" s="21">
        <f>IF($Z1127="C",IF(INDEX(Contracts!$I$2:$I$151,$AB1127)="PREPAID",EDATE(DATE(YEAR(INDEX(Contracts!$J$2:$J$151,$AB1127)),MONTH(INDEX(Contracts!$J$2:$J$151,$AB1127)),1),IF(INDEX(Contracts!$N$2:$N$151,$AB1127)="",12,INDEX(Contracts!$N$2:$N$151,$AB1127))-1),IF(INDEX(Contracts!$I$2:$I$151,$AB1127)="MONTHLY",IF(INDEX(Contracts!$K$2:$K$151,$AB1127)="",2958101,INDEX(Contracts!$K$2:$K$151,$AB1127)),0)),IF($Z1127="A",EDATE(DATE(YEAR(INDEX(Fixed_Assets!$G$2:$G$201,$AB1127)),MONTH(INDEX(Fixed_Assets!$G$2:$G$201,$AB1127)),1),INDEX(Fixed_Assets!$J$2:$J$201,$AB1127)-1),IF($Z1127="F",MIN(IF(INDEX(Workforce!$J$2:$J$151,MATCH(INDEX(FTE_Allocation!$A$2:$A$201,$AB1127),Workforce!$A$2:$A$151,0))="",2958101,INDEX(Workforce!$J$2:$J$151,MATCH(INDEX(FTE_Allocation!$A$2:$A$201,$AB1127),Workforce!$A$2:$A$151,0))),IF(INDEX(FTE_Allocation!$J$2:$J$201,$AB1127)="",2958101,INDEX(FTE_Allocation!$J$2:$J$201,$AB1127))),"")))</f>
        <v/>
      </c>
      <c r="AG1127" s="19">
        <f>IF($Z1127="C",IF(INDEX(Contracts!$I$2:$I$151,$AB1127)="PREPAID",INDEX(Contracts!$M$2:$M$151,$AB1127)/IF(INDEX(Contracts!$N$2:$N$151,$AB1127)="",12,INDEX(Contracts!$N$2:$N$151,$AB1127)),IF(INDEX(Contracts!$I$2:$I$151,$AB1127)="MONTHLY",INDEX(Contracts!$M$2:$M$151,$AB1127),0))*(1-N(INDEX(Contracts!$O$2:$O$151,$AB1127))),IF($Z1127="A",INDEX(Fixed_Assets!$H$2:$H$201,$AB1127)/INDEX(Fixed_Assets!$J$2:$J$201,$AB1127),IF($Z1127="F",INDEX(Workforce!$F$2:$F$151,MATCH(INDEX(FTE_Allocation!$A$2:$A$201,$AB1127),Workforce!$A$2:$A$151,0))*N(INDEX(FTE_Allocation!$F$2:$H$201,$AB1127,$AC1127)),"")))</f>
        <v/>
      </c>
    </row>
    <row r="1128">
      <c r="A1128" s="7">
        <f>IF($Z1128="","",$AD1128)</f>
        <v/>
      </c>
      <c r="B1128" s="7">
        <f>IF($Z1128="C",INDEX(Contracts!$D$2:$D$151,$AB1128)&amp;"",IF($Z1128="A",INDEX(Fixed_Assets!$C$2:$C$201,$AB1128)&amp;"",IF($Z1128="F",INDEX(Workforce!$B$2:$B$151,MATCH(INDEX(FTE_Allocation!$A$2:$A$201,$AB1128),Workforce!$A$2:$A$151,0))&amp;"","")))</f>
        <v/>
      </c>
      <c r="C1128" s="7">
        <f>IF($Z1128="C",INDEX(Contracts!$E$2:$E$151,$AB1128)&amp;"",IF($Z1128="A",INDEX(Fixed_Assets!$D$2:$D$201,$AB1128)&amp;"",IF($Z1128="F",INDEX(FTE_Allocation!$C$2:$C$201,$AB1128)&amp;"","")))</f>
        <v/>
      </c>
      <c r="D1128" s="7">
        <f>IF($Z1128="C",INDEX(Contracts!$B$2:$B$151,$AB1128)&amp;"",IF($Z1128="A",INDEX(Fixed_Assets!$B$2:$B$201,$AB1128)&amp;"",IF($Z1128="F",INDEX(FTE_Allocation!$B$2:$B$201,$AB1128)&amp;"","")))</f>
        <v/>
      </c>
      <c r="E1128" s="7">
        <f>IF($Z1128="C",INDEX(Contracts!$P$2:$P$151,$AB1128)&amp;"",IF($Z1128="A",INDEX(Fixed_Assets!$K$2:$K$201,$AB1128)&amp;"",IF($Z1128="F",IF(INDEX(FTE_Allocation!$D$2:$D$201,$AB1128)="PROJECT",IFERROR(INDEX(Projects!$D:$D,MATCH(INDEX(FTE_Allocation!$E$2:$E$201,$AB1128),Projects!$A:$A,0))&amp;"","#PROJECT?"),INDEX(FTE_Allocation!$E$2:$E$201,$AB1128)&amp;""),"")))</f>
        <v/>
      </c>
      <c r="F1128" s="7">
        <f>IF($Z1128="C",INDEX(Contracts!$Q$2:$Q$151,$AB1128)&amp;"",IF($Z1128="A",INDEX(Fixed_Assets!$L$2:$L$201,$AB1128)&amp;"",IF($Z1128="F",INDEX(Workforce!$K$2:$K$151,MATCH(INDEX(FTE_Allocation!$A$2:$A$201,$AB1128),Workforce!$A$2:$A$151,0))&amp;"","")))</f>
        <v/>
      </c>
      <c r="G1128" s="7">
        <f>IF($Z1128="C",INDEX(Contracts!$F$2:$F$151,$AB1128)&amp;" / "&amp;INDEX(Contracts!$G$2:$G$151,$AB1128),IF($Z1128="A",INDEX(Fixed_Assets!$E$2:$E$201,$AB1128)&amp;"",IF($Z1128="F","Personnel "&amp;INDEX(FTE_Allocation!$A$2:$A$201,$AB1128)&amp;IF(INDEX(FTE_Allocation!$D$2:$D$201,$AB1128)="PROJECT"," ("&amp;INDEX(FTE_Allocation!$E$2:$E$201,$AB1128)&amp;")",""),"")))</f>
        <v/>
      </c>
      <c r="H1128" s="7">
        <f>IF($Z1128="C","CONTRACT",IF($Z1128="A","ASSET",IF($Z1128="F","WORKFORCE","")))</f>
        <v/>
      </c>
      <c r="I1128" s="7">
        <f>IF($Z1128="C",INDEX(Contracts!$L$2:$L$151,$AB1128)&amp;"",IF($Z1128="A",INDEX(Fixed_Assets!$I$2:$I$201,$AB1128)&amp;"",IF($Z1128="F",INDEX(Workforce!$G$2:$G$151,MATCH(INDEX(FTE_Allocation!$A$2:$A$201,$AB1128),Workforce!$A$2:$A$151,0))&amp;"","")))</f>
        <v/>
      </c>
      <c r="J1128" s="18">
        <f>IF($Z1128="","",IF(AND(DATE($AD1128,1,1)&gt;=$AE1128,DATE($AD1128,1,1)&lt;=$AF1128),ROUND($AG1128,2),0))</f>
        <v/>
      </c>
      <c r="K1128" s="18">
        <f>IF($Z1128="","",IF(AND(DATE($AD1128,2,1)&gt;=$AE1128,DATE($AD1128,2,1)&lt;=$AF1128),ROUND($AG1128,2),0))</f>
        <v/>
      </c>
      <c r="L1128" s="18">
        <f>IF($Z1128="","",IF(AND(DATE($AD1128,3,1)&gt;=$AE1128,DATE($AD1128,3,1)&lt;=$AF1128),ROUND($AG1128,2),0))</f>
        <v/>
      </c>
      <c r="M1128" s="18">
        <f>IF($Z1128="","",IF(AND(DATE($AD1128,4,1)&gt;=$AE1128,DATE($AD1128,4,1)&lt;=$AF1128),ROUND($AG1128,2),0))</f>
        <v/>
      </c>
      <c r="N1128" s="18">
        <f>IF($Z1128="","",IF(AND(DATE($AD1128,5,1)&gt;=$AE1128,DATE($AD1128,5,1)&lt;=$AF1128),ROUND($AG1128,2),0))</f>
        <v/>
      </c>
      <c r="O1128" s="18">
        <f>IF($Z1128="","",IF(AND(DATE($AD1128,6,1)&gt;=$AE1128,DATE($AD1128,6,1)&lt;=$AF1128),ROUND($AG1128,2),0))</f>
        <v/>
      </c>
      <c r="P1128" s="18">
        <f>IF($Z1128="","",IF(AND(DATE($AD1128,7,1)&gt;=$AE1128,DATE($AD1128,7,1)&lt;=$AF1128),ROUND($AG1128,2),0))</f>
        <v/>
      </c>
      <c r="Q1128" s="18">
        <f>IF($Z1128="","",IF(AND(DATE($AD1128,8,1)&gt;=$AE1128,DATE($AD1128,8,1)&lt;=$AF1128),ROUND($AG1128,2),0))</f>
        <v/>
      </c>
      <c r="R1128" s="18">
        <f>IF($Z1128="","",IF(AND(DATE($AD1128,9,1)&gt;=$AE1128,DATE($AD1128,9,1)&lt;=$AF1128),ROUND($AG1128,2),0))</f>
        <v/>
      </c>
      <c r="S1128" s="18">
        <f>IF($Z1128="","",IF(AND(DATE($AD1128,10,1)&gt;=$AE1128,DATE($AD1128,10,1)&lt;=$AF1128),ROUND($AG1128,2),0))</f>
        <v/>
      </c>
      <c r="T1128" s="18">
        <f>IF($Z1128="","",IF(AND(DATE($AD1128,11,1)&gt;=$AE1128,DATE($AD1128,11,1)&lt;=$AF1128),ROUND($AG1128,2),0))</f>
        <v/>
      </c>
      <c r="U1128" s="18">
        <f>IF($Z1128="","",IF(AND(DATE($AD1128,12,1)&gt;=$AE1128,DATE($AD1128,12,1)&lt;=$AF1128),ROUND($AG1128,2),0))</f>
        <v/>
      </c>
      <c r="V1128" s="7">
        <f>IF($Z1128="C","Generated from "&amp;INDEX(Contracts!$A$2:$A$151,$AB1128),IF($Z1128="A","Generated from "&amp;INDEX(Fixed_Assets!$A$2:$A$201,$AB1128),IF($Z1128="F","Generated from "&amp;INDEX(FTE_Allocation!$A$2:$A$201,$AB1128),"")))</f>
        <v/>
      </c>
      <c r="X1128" s="19">
        <f>IF($Z1128="","",SUM(J1128:U1128))</f>
        <v/>
      </c>
      <c r="Y1128" s="20">
        <f>ROW()-1</f>
        <v/>
      </c>
      <c r="Z1128" s="20">
        <f>IF($Y1128&lt;=Settings!$B$4*3,"C",IF($Y1128&lt;=(Settings!$B$4+Settings!$B$5)*3,"A",IF($Y1128&lt;=(Settings!$B$4+Settings!$B$5+Settings!$B$6)*3,"F","")))</f>
        <v/>
      </c>
      <c r="AA1128" s="20">
        <f>IF($Z1128="C",$Y1128,IF($Z1128="A",$Y1128-Settings!$B$4*3,IF($Z1128="F",$Y1128-(Settings!$B$4+Settings!$B$5)*3,"")))</f>
        <v/>
      </c>
      <c r="AB1128" s="20">
        <f>IF($Z1128="","",INT(($AA1128-1)/3)+1)</f>
        <v/>
      </c>
      <c r="AC1128" s="20">
        <f>IF($Z1128="","",MOD($AA1128-1,3)+1)</f>
        <v/>
      </c>
      <c r="AD1128" s="20">
        <f>IF($Z1128="","",Settings!$B$2+$AC1128-1)</f>
        <v/>
      </c>
      <c r="AE1128" s="21">
        <f>IF($Z1128="C",DATE(YEAR(INDEX(Contracts!$J$2:$J$151,$AB1128)),MONTH(INDEX(Contracts!$J$2:$J$151,$AB1128)),1),IF($Z1128="A",DATE(YEAR(INDEX(Fixed_Assets!$G$2:$G$201,$AB1128)),MONTH(INDEX(Fixed_Assets!$G$2:$G$201,$AB1128)),1),IF($Z1128="F",DATE(YEAR(MAX(N(INDEX(Workforce!$I$2:$I$151,MATCH(INDEX(FTE_Allocation!$A$2:$A$201,$AB1128),Workforce!$A$2:$A$151,0))),N(INDEX(FTE_Allocation!$I$2:$I$201,$AB1128)))),MONTH(MAX(N(INDEX(Workforce!$I$2:$I$151,MATCH(INDEX(FTE_Allocation!$A$2:$A$201,$AB1128),Workforce!$A$2:$A$151,0))),N(INDEX(FTE_Allocation!$I$2:$I$201,$AB1128)))),1),"")))</f>
        <v/>
      </c>
      <c r="AF1128" s="21">
        <f>IF($Z1128="C",IF(INDEX(Contracts!$I$2:$I$151,$AB1128)="PREPAID",EDATE(DATE(YEAR(INDEX(Contracts!$J$2:$J$151,$AB1128)),MONTH(INDEX(Contracts!$J$2:$J$151,$AB1128)),1),IF(INDEX(Contracts!$N$2:$N$151,$AB1128)="",12,INDEX(Contracts!$N$2:$N$151,$AB1128))-1),IF(INDEX(Contracts!$I$2:$I$151,$AB1128)="MONTHLY",IF(INDEX(Contracts!$K$2:$K$151,$AB1128)="",2958101,INDEX(Contracts!$K$2:$K$151,$AB1128)),0)),IF($Z1128="A",EDATE(DATE(YEAR(INDEX(Fixed_Assets!$G$2:$G$201,$AB1128)),MONTH(INDEX(Fixed_Assets!$G$2:$G$201,$AB1128)),1),INDEX(Fixed_Assets!$J$2:$J$201,$AB1128)-1),IF($Z1128="F",MIN(IF(INDEX(Workforce!$J$2:$J$151,MATCH(INDEX(FTE_Allocation!$A$2:$A$201,$AB1128),Workforce!$A$2:$A$151,0))="",2958101,INDEX(Workforce!$J$2:$J$151,MATCH(INDEX(FTE_Allocation!$A$2:$A$201,$AB1128),Workforce!$A$2:$A$151,0))),IF(INDEX(FTE_Allocation!$J$2:$J$201,$AB1128)="",2958101,INDEX(FTE_Allocation!$J$2:$J$201,$AB1128))),"")))</f>
        <v/>
      </c>
      <c r="AG1128" s="19">
        <f>IF($Z1128="C",IF(INDEX(Contracts!$I$2:$I$151,$AB1128)="PREPAID",INDEX(Contracts!$M$2:$M$151,$AB1128)/IF(INDEX(Contracts!$N$2:$N$151,$AB1128)="",12,INDEX(Contracts!$N$2:$N$151,$AB1128)),IF(INDEX(Contracts!$I$2:$I$151,$AB1128)="MONTHLY",INDEX(Contracts!$M$2:$M$151,$AB1128),0))*(1-N(INDEX(Contracts!$O$2:$O$151,$AB1128))),IF($Z1128="A",INDEX(Fixed_Assets!$H$2:$H$201,$AB1128)/INDEX(Fixed_Assets!$J$2:$J$201,$AB1128),IF($Z1128="F",INDEX(Workforce!$F$2:$F$151,MATCH(INDEX(FTE_Allocation!$A$2:$A$201,$AB1128),Workforce!$A$2:$A$151,0))*N(INDEX(FTE_Allocation!$F$2:$H$201,$AB1128,$AC1128)),"")))</f>
        <v/>
      </c>
    </row>
    <row r="1129">
      <c r="A1129" s="7">
        <f>IF($Z1129="","",$AD1129)</f>
        <v/>
      </c>
      <c r="B1129" s="7">
        <f>IF($Z1129="C",INDEX(Contracts!$D$2:$D$151,$AB1129)&amp;"",IF($Z1129="A",INDEX(Fixed_Assets!$C$2:$C$201,$AB1129)&amp;"",IF($Z1129="F",INDEX(Workforce!$B$2:$B$151,MATCH(INDEX(FTE_Allocation!$A$2:$A$201,$AB1129),Workforce!$A$2:$A$151,0))&amp;"","")))</f>
        <v/>
      </c>
      <c r="C1129" s="7">
        <f>IF($Z1129="C",INDEX(Contracts!$E$2:$E$151,$AB1129)&amp;"",IF($Z1129="A",INDEX(Fixed_Assets!$D$2:$D$201,$AB1129)&amp;"",IF($Z1129="F",INDEX(FTE_Allocation!$C$2:$C$201,$AB1129)&amp;"","")))</f>
        <v/>
      </c>
      <c r="D1129" s="7">
        <f>IF($Z1129="C",INDEX(Contracts!$B$2:$B$151,$AB1129)&amp;"",IF($Z1129="A",INDEX(Fixed_Assets!$B$2:$B$201,$AB1129)&amp;"",IF($Z1129="F",INDEX(FTE_Allocation!$B$2:$B$201,$AB1129)&amp;"","")))</f>
        <v/>
      </c>
      <c r="E1129" s="7">
        <f>IF($Z1129="C",INDEX(Contracts!$P$2:$P$151,$AB1129)&amp;"",IF($Z1129="A",INDEX(Fixed_Assets!$K$2:$K$201,$AB1129)&amp;"",IF($Z1129="F",IF(INDEX(FTE_Allocation!$D$2:$D$201,$AB1129)="PROJECT",IFERROR(INDEX(Projects!$D:$D,MATCH(INDEX(FTE_Allocation!$E$2:$E$201,$AB1129),Projects!$A:$A,0))&amp;"","#PROJECT?"),INDEX(FTE_Allocation!$E$2:$E$201,$AB1129)&amp;""),"")))</f>
        <v/>
      </c>
      <c r="F1129" s="7">
        <f>IF($Z1129="C",INDEX(Contracts!$Q$2:$Q$151,$AB1129)&amp;"",IF($Z1129="A",INDEX(Fixed_Assets!$L$2:$L$201,$AB1129)&amp;"",IF($Z1129="F",INDEX(Workforce!$K$2:$K$151,MATCH(INDEX(FTE_Allocation!$A$2:$A$201,$AB1129),Workforce!$A$2:$A$151,0))&amp;"","")))</f>
        <v/>
      </c>
      <c r="G1129" s="7">
        <f>IF($Z1129="C",INDEX(Contracts!$F$2:$F$151,$AB1129)&amp;" / "&amp;INDEX(Contracts!$G$2:$G$151,$AB1129),IF($Z1129="A",INDEX(Fixed_Assets!$E$2:$E$201,$AB1129)&amp;"",IF($Z1129="F","Personnel "&amp;INDEX(FTE_Allocation!$A$2:$A$201,$AB1129)&amp;IF(INDEX(FTE_Allocation!$D$2:$D$201,$AB1129)="PROJECT"," ("&amp;INDEX(FTE_Allocation!$E$2:$E$201,$AB1129)&amp;")",""),"")))</f>
        <v/>
      </c>
      <c r="H1129" s="7">
        <f>IF($Z1129="C","CONTRACT",IF($Z1129="A","ASSET",IF($Z1129="F","WORKFORCE","")))</f>
        <v/>
      </c>
      <c r="I1129" s="7">
        <f>IF($Z1129="C",INDEX(Contracts!$L$2:$L$151,$AB1129)&amp;"",IF($Z1129="A",INDEX(Fixed_Assets!$I$2:$I$201,$AB1129)&amp;"",IF($Z1129="F",INDEX(Workforce!$G$2:$G$151,MATCH(INDEX(FTE_Allocation!$A$2:$A$201,$AB1129),Workforce!$A$2:$A$151,0))&amp;"","")))</f>
        <v/>
      </c>
      <c r="J1129" s="18">
        <f>IF($Z1129="","",IF(AND(DATE($AD1129,1,1)&gt;=$AE1129,DATE($AD1129,1,1)&lt;=$AF1129),ROUND($AG1129,2),0))</f>
        <v/>
      </c>
      <c r="K1129" s="18">
        <f>IF($Z1129="","",IF(AND(DATE($AD1129,2,1)&gt;=$AE1129,DATE($AD1129,2,1)&lt;=$AF1129),ROUND($AG1129,2),0))</f>
        <v/>
      </c>
      <c r="L1129" s="18">
        <f>IF($Z1129="","",IF(AND(DATE($AD1129,3,1)&gt;=$AE1129,DATE($AD1129,3,1)&lt;=$AF1129),ROUND($AG1129,2),0))</f>
        <v/>
      </c>
      <c r="M1129" s="18">
        <f>IF($Z1129="","",IF(AND(DATE($AD1129,4,1)&gt;=$AE1129,DATE($AD1129,4,1)&lt;=$AF1129),ROUND($AG1129,2),0))</f>
        <v/>
      </c>
      <c r="N1129" s="18">
        <f>IF($Z1129="","",IF(AND(DATE($AD1129,5,1)&gt;=$AE1129,DATE($AD1129,5,1)&lt;=$AF1129),ROUND($AG1129,2),0))</f>
        <v/>
      </c>
      <c r="O1129" s="18">
        <f>IF($Z1129="","",IF(AND(DATE($AD1129,6,1)&gt;=$AE1129,DATE($AD1129,6,1)&lt;=$AF1129),ROUND($AG1129,2),0))</f>
        <v/>
      </c>
      <c r="P1129" s="18">
        <f>IF($Z1129="","",IF(AND(DATE($AD1129,7,1)&gt;=$AE1129,DATE($AD1129,7,1)&lt;=$AF1129),ROUND($AG1129,2),0))</f>
        <v/>
      </c>
      <c r="Q1129" s="18">
        <f>IF($Z1129="","",IF(AND(DATE($AD1129,8,1)&gt;=$AE1129,DATE($AD1129,8,1)&lt;=$AF1129),ROUND($AG1129,2),0))</f>
        <v/>
      </c>
      <c r="R1129" s="18">
        <f>IF($Z1129="","",IF(AND(DATE($AD1129,9,1)&gt;=$AE1129,DATE($AD1129,9,1)&lt;=$AF1129),ROUND($AG1129,2),0))</f>
        <v/>
      </c>
      <c r="S1129" s="18">
        <f>IF($Z1129="","",IF(AND(DATE($AD1129,10,1)&gt;=$AE1129,DATE($AD1129,10,1)&lt;=$AF1129),ROUND($AG1129,2),0))</f>
        <v/>
      </c>
      <c r="T1129" s="18">
        <f>IF($Z1129="","",IF(AND(DATE($AD1129,11,1)&gt;=$AE1129,DATE($AD1129,11,1)&lt;=$AF1129),ROUND($AG1129,2),0))</f>
        <v/>
      </c>
      <c r="U1129" s="18">
        <f>IF($Z1129="","",IF(AND(DATE($AD1129,12,1)&gt;=$AE1129,DATE($AD1129,12,1)&lt;=$AF1129),ROUND($AG1129,2),0))</f>
        <v/>
      </c>
      <c r="V1129" s="7">
        <f>IF($Z1129="C","Generated from "&amp;INDEX(Contracts!$A$2:$A$151,$AB1129),IF($Z1129="A","Generated from "&amp;INDEX(Fixed_Assets!$A$2:$A$201,$AB1129),IF($Z1129="F","Generated from "&amp;INDEX(FTE_Allocation!$A$2:$A$201,$AB1129),"")))</f>
        <v/>
      </c>
      <c r="X1129" s="19">
        <f>IF($Z1129="","",SUM(J1129:U1129))</f>
        <v/>
      </c>
      <c r="Y1129" s="20">
        <f>ROW()-1</f>
        <v/>
      </c>
      <c r="Z1129" s="20">
        <f>IF($Y1129&lt;=Settings!$B$4*3,"C",IF($Y1129&lt;=(Settings!$B$4+Settings!$B$5)*3,"A",IF($Y1129&lt;=(Settings!$B$4+Settings!$B$5+Settings!$B$6)*3,"F","")))</f>
        <v/>
      </c>
      <c r="AA1129" s="20">
        <f>IF($Z1129="C",$Y1129,IF($Z1129="A",$Y1129-Settings!$B$4*3,IF($Z1129="F",$Y1129-(Settings!$B$4+Settings!$B$5)*3,"")))</f>
        <v/>
      </c>
      <c r="AB1129" s="20">
        <f>IF($Z1129="","",INT(($AA1129-1)/3)+1)</f>
        <v/>
      </c>
      <c r="AC1129" s="20">
        <f>IF($Z1129="","",MOD($AA1129-1,3)+1)</f>
        <v/>
      </c>
      <c r="AD1129" s="20">
        <f>IF($Z1129="","",Settings!$B$2+$AC1129-1)</f>
        <v/>
      </c>
      <c r="AE1129" s="21">
        <f>IF($Z1129="C",DATE(YEAR(INDEX(Contracts!$J$2:$J$151,$AB1129)),MONTH(INDEX(Contracts!$J$2:$J$151,$AB1129)),1),IF($Z1129="A",DATE(YEAR(INDEX(Fixed_Assets!$G$2:$G$201,$AB1129)),MONTH(INDEX(Fixed_Assets!$G$2:$G$201,$AB1129)),1),IF($Z1129="F",DATE(YEAR(MAX(N(INDEX(Workforce!$I$2:$I$151,MATCH(INDEX(FTE_Allocation!$A$2:$A$201,$AB1129),Workforce!$A$2:$A$151,0))),N(INDEX(FTE_Allocation!$I$2:$I$201,$AB1129)))),MONTH(MAX(N(INDEX(Workforce!$I$2:$I$151,MATCH(INDEX(FTE_Allocation!$A$2:$A$201,$AB1129),Workforce!$A$2:$A$151,0))),N(INDEX(FTE_Allocation!$I$2:$I$201,$AB1129)))),1),"")))</f>
        <v/>
      </c>
      <c r="AF1129" s="21">
        <f>IF($Z1129="C",IF(INDEX(Contracts!$I$2:$I$151,$AB1129)="PREPAID",EDATE(DATE(YEAR(INDEX(Contracts!$J$2:$J$151,$AB1129)),MONTH(INDEX(Contracts!$J$2:$J$151,$AB1129)),1),IF(INDEX(Contracts!$N$2:$N$151,$AB1129)="",12,INDEX(Contracts!$N$2:$N$151,$AB1129))-1),IF(INDEX(Contracts!$I$2:$I$151,$AB1129)="MONTHLY",IF(INDEX(Contracts!$K$2:$K$151,$AB1129)="",2958101,INDEX(Contracts!$K$2:$K$151,$AB1129)),0)),IF($Z1129="A",EDATE(DATE(YEAR(INDEX(Fixed_Assets!$G$2:$G$201,$AB1129)),MONTH(INDEX(Fixed_Assets!$G$2:$G$201,$AB1129)),1),INDEX(Fixed_Assets!$J$2:$J$201,$AB1129)-1),IF($Z1129="F",MIN(IF(INDEX(Workforce!$J$2:$J$151,MATCH(INDEX(FTE_Allocation!$A$2:$A$201,$AB1129),Workforce!$A$2:$A$151,0))="",2958101,INDEX(Workforce!$J$2:$J$151,MATCH(INDEX(FTE_Allocation!$A$2:$A$201,$AB1129),Workforce!$A$2:$A$151,0))),IF(INDEX(FTE_Allocation!$J$2:$J$201,$AB1129)="",2958101,INDEX(FTE_Allocation!$J$2:$J$201,$AB1129))),"")))</f>
        <v/>
      </c>
      <c r="AG1129" s="19">
        <f>IF($Z1129="C",IF(INDEX(Contracts!$I$2:$I$151,$AB1129)="PREPAID",INDEX(Contracts!$M$2:$M$151,$AB1129)/IF(INDEX(Contracts!$N$2:$N$151,$AB1129)="",12,INDEX(Contracts!$N$2:$N$151,$AB1129)),IF(INDEX(Contracts!$I$2:$I$151,$AB1129)="MONTHLY",INDEX(Contracts!$M$2:$M$151,$AB1129),0))*(1-N(INDEX(Contracts!$O$2:$O$151,$AB1129))),IF($Z1129="A",INDEX(Fixed_Assets!$H$2:$H$201,$AB1129)/INDEX(Fixed_Assets!$J$2:$J$201,$AB1129),IF($Z1129="F",INDEX(Workforce!$F$2:$F$151,MATCH(INDEX(FTE_Allocation!$A$2:$A$201,$AB1129),Workforce!$A$2:$A$151,0))*N(INDEX(FTE_Allocation!$F$2:$H$201,$AB1129,$AC1129)),"")))</f>
        <v/>
      </c>
    </row>
    <row r="1130">
      <c r="A1130" s="7">
        <f>IF($Z1130="","",$AD1130)</f>
        <v/>
      </c>
      <c r="B1130" s="7">
        <f>IF($Z1130="C",INDEX(Contracts!$D$2:$D$151,$AB1130)&amp;"",IF($Z1130="A",INDEX(Fixed_Assets!$C$2:$C$201,$AB1130)&amp;"",IF($Z1130="F",INDEX(Workforce!$B$2:$B$151,MATCH(INDEX(FTE_Allocation!$A$2:$A$201,$AB1130),Workforce!$A$2:$A$151,0))&amp;"","")))</f>
        <v/>
      </c>
      <c r="C1130" s="7">
        <f>IF($Z1130="C",INDEX(Contracts!$E$2:$E$151,$AB1130)&amp;"",IF($Z1130="A",INDEX(Fixed_Assets!$D$2:$D$201,$AB1130)&amp;"",IF($Z1130="F",INDEX(FTE_Allocation!$C$2:$C$201,$AB1130)&amp;"","")))</f>
        <v/>
      </c>
      <c r="D1130" s="7">
        <f>IF($Z1130="C",INDEX(Contracts!$B$2:$B$151,$AB1130)&amp;"",IF($Z1130="A",INDEX(Fixed_Assets!$B$2:$B$201,$AB1130)&amp;"",IF($Z1130="F",INDEX(FTE_Allocation!$B$2:$B$201,$AB1130)&amp;"","")))</f>
        <v/>
      </c>
      <c r="E1130" s="7">
        <f>IF($Z1130="C",INDEX(Contracts!$P$2:$P$151,$AB1130)&amp;"",IF($Z1130="A",INDEX(Fixed_Assets!$K$2:$K$201,$AB1130)&amp;"",IF($Z1130="F",IF(INDEX(FTE_Allocation!$D$2:$D$201,$AB1130)="PROJECT",IFERROR(INDEX(Projects!$D:$D,MATCH(INDEX(FTE_Allocation!$E$2:$E$201,$AB1130),Projects!$A:$A,0))&amp;"","#PROJECT?"),INDEX(FTE_Allocation!$E$2:$E$201,$AB1130)&amp;""),"")))</f>
        <v/>
      </c>
      <c r="F1130" s="7">
        <f>IF($Z1130="C",INDEX(Contracts!$Q$2:$Q$151,$AB1130)&amp;"",IF($Z1130="A",INDEX(Fixed_Assets!$L$2:$L$201,$AB1130)&amp;"",IF($Z1130="F",INDEX(Workforce!$K$2:$K$151,MATCH(INDEX(FTE_Allocation!$A$2:$A$201,$AB1130),Workforce!$A$2:$A$151,0))&amp;"","")))</f>
        <v/>
      </c>
      <c r="G1130" s="7">
        <f>IF($Z1130="C",INDEX(Contracts!$F$2:$F$151,$AB1130)&amp;" / "&amp;INDEX(Contracts!$G$2:$G$151,$AB1130),IF($Z1130="A",INDEX(Fixed_Assets!$E$2:$E$201,$AB1130)&amp;"",IF($Z1130="F","Personnel "&amp;INDEX(FTE_Allocation!$A$2:$A$201,$AB1130)&amp;IF(INDEX(FTE_Allocation!$D$2:$D$201,$AB1130)="PROJECT"," ("&amp;INDEX(FTE_Allocation!$E$2:$E$201,$AB1130)&amp;")",""),"")))</f>
        <v/>
      </c>
      <c r="H1130" s="7">
        <f>IF($Z1130="C","CONTRACT",IF($Z1130="A","ASSET",IF($Z1130="F","WORKFORCE","")))</f>
        <v/>
      </c>
      <c r="I1130" s="7">
        <f>IF($Z1130="C",INDEX(Contracts!$L$2:$L$151,$AB1130)&amp;"",IF($Z1130="A",INDEX(Fixed_Assets!$I$2:$I$201,$AB1130)&amp;"",IF($Z1130="F",INDEX(Workforce!$G$2:$G$151,MATCH(INDEX(FTE_Allocation!$A$2:$A$201,$AB1130),Workforce!$A$2:$A$151,0))&amp;"","")))</f>
        <v/>
      </c>
      <c r="J1130" s="18">
        <f>IF($Z1130="","",IF(AND(DATE($AD1130,1,1)&gt;=$AE1130,DATE($AD1130,1,1)&lt;=$AF1130),ROUND($AG1130,2),0))</f>
        <v/>
      </c>
      <c r="K1130" s="18">
        <f>IF($Z1130="","",IF(AND(DATE($AD1130,2,1)&gt;=$AE1130,DATE($AD1130,2,1)&lt;=$AF1130),ROUND($AG1130,2),0))</f>
        <v/>
      </c>
      <c r="L1130" s="18">
        <f>IF($Z1130="","",IF(AND(DATE($AD1130,3,1)&gt;=$AE1130,DATE($AD1130,3,1)&lt;=$AF1130),ROUND($AG1130,2),0))</f>
        <v/>
      </c>
      <c r="M1130" s="18">
        <f>IF($Z1130="","",IF(AND(DATE($AD1130,4,1)&gt;=$AE1130,DATE($AD1130,4,1)&lt;=$AF1130),ROUND($AG1130,2),0))</f>
        <v/>
      </c>
      <c r="N1130" s="18">
        <f>IF($Z1130="","",IF(AND(DATE($AD1130,5,1)&gt;=$AE1130,DATE($AD1130,5,1)&lt;=$AF1130),ROUND($AG1130,2),0))</f>
        <v/>
      </c>
      <c r="O1130" s="18">
        <f>IF($Z1130="","",IF(AND(DATE($AD1130,6,1)&gt;=$AE1130,DATE($AD1130,6,1)&lt;=$AF1130),ROUND($AG1130,2),0))</f>
        <v/>
      </c>
      <c r="P1130" s="18">
        <f>IF($Z1130="","",IF(AND(DATE($AD1130,7,1)&gt;=$AE1130,DATE($AD1130,7,1)&lt;=$AF1130),ROUND($AG1130,2),0))</f>
        <v/>
      </c>
      <c r="Q1130" s="18">
        <f>IF($Z1130="","",IF(AND(DATE($AD1130,8,1)&gt;=$AE1130,DATE($AD1130,8,1)&lt;=$AF1130),ROUND($AG1130,2),0))</f>
        <v/>
      </c>
      <c r="R1130" s="18">
        <f>IF($Z1130="","",IF(AND(DATE($AD1130,9,1)&gt;=$AE1130,DATE($AD1130,9,1)&lt;=$AF1130),ROUND($AG1130,2),0))</f>
        <v/>
      </c>
      <c r="S1130" s="18">
        <f>IF($Z1130="","",IF(AND(DATE($AD1130,10,1)&gt;=$AE1130,DATE($AD1130,10,1)&lt;=$AF1130),ROUND($AG1130,2),0))</f>
        <v/>
      </c>
      <c r="T1130" s="18">
        <f>IF($Z1130="","",IF(AND(DATE($AD1130,11,1)&gt;=$AE1130,DATE($AD1130,11,1)&lt;=$AF1130),ROUND($AG1130,2),0))</f>
        <v/>
      </c>
      <c r="U1130" s="18">
        <f>IF($Z1130="","",IF(AND(DATE($AD1130,12,1)&gt;=$AE1130,DATE($AD1130,12,1)&lt;=$AF1130),ROUND($AG1130,2),0))</f>
        <v/>
      </c>
      <c r="V1130" s="7">
        <f>IF($Z1130="C","Generated from "&amp;INDEX(Contracts!$A$2:$A$151,$AB1130),IF($Z1130="A","Generated from "&amp;INDEX(Fixed_Assets!$A$2:$A$201,$AB1130),IF($Z1130="F","Generated from "&amp;INDEX(FTE_Allocation!$A$2:$A$201,$AB1130),"")))</f>
        <v/>
      </c>
      <c r="X1130" s="19">
        <f>IF($Z1130="","",SUM(J1130:U1130))</f>
        <v/>
      </c>
      <c r="Y1130" s="20">
        <f>ROW()-1</f>
        <v/>
      </c>
      <c r="Z1130" s="20">
        <f>IF($Y1130&lt;=Settings!$B$4*3,"C",IF($Y1130&lt;=(Settings!$B$4+Settings!$B$5)*3,"A",IF($Y1130&lt;=(Settings!$B$4+Settings!$B$5+Settings!$B$6)*3,"F","")))</f>
        <v/>
      </c>
      <c r="AA1130" s="20">
        <f>IF($Z1130="C",$Y1130,IF($Z1130="A",$Y1130-Settings!$B$4*3,IF($Z1130="F",$Y1130-(Settings!$B$4+Settings!$B$5)*3,"")))</f>
        <v/>
      </c>
      <c r="AB1130" s="20">
        <f>IF($Z1130="","",INT(($AA1130-1)/3)+1)</f>
        <v/>
      </c>
      <c r="AC1130" s="20">
        <f>IF($Z1130="","",MOD($AA1130-1,3)+1)</f>
        <v/>
      </c>
      <c r="AD1130" s="20">
        <f>IF($Z1130="","",Settings!$B$2+$AC1130-1)</f>
        <v/>
      </c>
      <c r="AE1130" s="21">
        <f>IF($Z1130="C",DATE(YEAR(INDEX(Contracts!$J$2:$J$151,$AB1130)),MONTH(INDEX(Contracts!$J$2:$J$151,$AB1130)),1),IF($Z1130="A",DATE(YEAR(INDEX(Fixed_Assets!$G$2:$G$201,$AB1130)),MONTH(INDEX(Fixed_Assets!$G$2:$G$201,$AB1130)),1),IF($Z1130="F",DATE(YEAR(MAX(N(INDEX(Workforce!$I$2:$I$151,MATCH(INDEX(FTE_Allocation!$A$2:$A$201,$AB1130),Workforce!$A$2:$A$151,0))),N(INDEX(FTE_Allocation!$I$2:$I$201,$AB1130)))),MONTH(MAX(N(INDEX(Workforce!$I$2:$I$151,MATCH(INDEX(FTE_Allocation!$A$2:$A$201,$AB1130),Workforce!$A$2:$A$151,0))),N(INDEX(FTE_Allocation!$I$2:$I$201,$AB1130)))),1),"")))</f>
        <v/>
      </c>
      <c r="AF1130" s="21">
        <f>IF($Z1130="C",IF(INDEX(Contracts!$I$2:$I$151,$AB1130)="PREPAID",EDATE(DATE(YEAR(INDEX(Contracts!$J$2:$J$151,$AB1130)),MONTH(INDEX(Contracts!$J$2:$J$151,$AB1130)),1),IF(INDEX(Contracts!$N$2:$N$151,$AB1130)="",12,INDEX(Contracts!$N$2:$N$151,$AB1130))-1),IF(INDEX(Contracts!$I$2:$I$151,$AB1130)="MONTHLY",IF(INDEX(Contracts!$K$2:$K$151,$AB1130)="",2958101,INDEX(Contracts!$K$2:$K$151,$AB1130)),0)),IF($Z1130="A",EDATE(DATE(YEAR(INDEX(Fixed_Assets!$G$2:$G$201,$AB1130)),MONTH(INDEX(Fixed_Assets!$G$2:$G$201,$AB1130)),1),INDEX(Fixed_Assets!$J$2:$J$201,$AB1130)-1),IF($Z1130="F",MIN(IF(INDEX(Workforce!$J$2:$J$151,MATCH(INDEX(FTE_Allocation!$A$2:$A$201,$AB1130),Workforce!$A$2:$A$151,0))="",2958101,INDEX(Workforce!$J$2:$J$151,MATCH(INDEX(FTE_Allocation!$A$2:$A$201,$AB1130),Workforce!$A$2:$A$151,0))),IF(INDEX(FTE_Allocation!$J$2:$J$201,$AB1130)="",2958101,INDEX(FTE_Allocation!$J$2:$J$201,$AB1130))),"")))</f>
        <v/>
      </c>
      <c r="AG1130" s="19">
        <f>IF($Z1130="C",IF(INDEX(Contracts!$I$2:$I$151,$AB1130)="PREPAID",INDEX(Contracts!$M$2:$M$151,$AB1130)/IF(INDEX(Contracts!$N$2:$N$151,$AB1130)="",12,INDEX(Contracts!$N$2:$N$151,$AB1130)),IF(INDEX(Contracts!$I$2:$I$151,$AB1130)="MONTHLY",INDEX(Contracts!$M$2:$M$151,$AB1130),0))*(1-N(INDEX(Contracts!$O$2:$O$151,$AB1130))),IF($Z1130="A",INDEX(Fixed_Assets!$H$2:$H$201,$AB1130)/INDEX(Fixed_Assets!$J$2:$J$201,$AB1130),IF($Z1130="F",INDEX(Workforce!$F$2:$F$151,MATCH(INDEX(FTE_Allocation!$A$2:$A$201,$AB1130),Workforce!$A$2:$A$151,0))*N(INDEX(FTE_Allocation!$F$2:$H$201,$AB1130,$AC1130)),"")))</f>
        <v/>
      </c>
    </row>
    <row r="1131">
      <c r="A1131" s="7">
        <f>IF($Z1131="","",$AD1131)</f>
        <v/>
      </c>
      <c r="B1131" s="7">
        <f>IF($Z1131="C",INDEX(Contracts!$D$2:$D$151,$AB1131)&amp;"",IF($Z1131="A",INDEX(Fixed_Assets!$C$2:$C$201,$AB1131)&amp;"",IF($Z1131="F",INDEX(Workforce!$B$2:$B$151,MATCH(INDEX(FTE_Allocation!$A$2:$A$201,$AB1131),Workforce!$A$2:$A$151,0))&amp;"","")))</f>
        <v/>
      </c>
      <c r="C1131" s="7">
        <f>IF($Z1131="C",INDEX(Contracts!$E$2:$E$151,$AB1131)&amp;"",IF($Z1131="A",INDEX(Fixed_Assets!$D$2:$D$201,$AB1131)&amp;"",IF($Z1131="F",INDEX(FTE_Allocation!$C$2:$C$201,$AB1131)&amp;"","")))</f>
        <v/>
      </c>
      <c r="D1131" s="7">
        <f>IF($Z1131="C",INDEX(Contracts!$B$2:$B$151,$AB1131)&amp;"",IF($Z1131="A",INDEX(Fixed_Assets!$B$2:$B$201,$AB1131)&amp;"",IF($Z1131="F",INDEX(FTE_Allocation!$B$2:$B$201,$AB1131)&amp;"","")))</f>
        <v/>
      </c>
      <c r="E1131" s="7">
        <f>IF($Z1131="C",INDEX(Contracts!$P$2:$P$151,$AB1131)&amp;"",IF($Z1131="A",INDEX(Fixed_Assets!$K$2:$K$201,$AB1131)&amp;"",IF($Z1131="F",IF(INDEX(FTE_Allocation!$D$2:$D$201,$AB1131)="PROJECT",IFERROR(INDEX(Projects!$D:$D,MATCH(INDEX(FTE_Allocation!$E$2:$E$201,$AB1131),Projects!$A:$A,0))&amp;"","#PROJECT?"),INDEX(FTE_Allocation!$E$2:$E$201,$AB1131)&amp;""),"")))</f>
        <v/>
      </c>
      <c r="F1131" s="7">
        <f>IF($Z1131="C",INDEX(Contracts!$Q$2:$Q$151,$AB1131)&amp;"",IF($Z1131="A",INDEX(Fixed_Assets!$L$2:$L$201,$AB1131)&amp;"",IF($Z1131="F",INDEX(Workforce!$K$2:$K$151,MATCH(INDEX(FTE_Allocation!$A$2:$A$201,$AB1131),Workforce!$A$2:$A$151,0))&amp;"","")))</f>
        <v/>
      </c>
      <c r="G1131" s="7">
        <f>IF($Z1131="C",INDEX(Contracts!$F$2:$F$151,$AB1131)&amp;" / "&amp;INDEX(Contracts!$G$2:$G$151,$AB1131),IF($Z1131="A",INDEX(Fixed_Assets!$E$2:$E$201,$AB1131)&amp;"",IF($Z1131="F","Personnel "&amp;INDEX(FTE_Allocation!$A$2:$A$201,$AB1131)&amp;IF(INDEX(FTE_Allocation!$D$2:$D$201,$AB1131)="PROJECT"," ("&amp;INDEX(FTE_Allocation!$E$2:$E$201,$AB1131)&amp;")",""),"")))</f>
        <v/>
      </c>
      <c r="H1131" s="7">
        <f>IF($Z1131="C","CONTRACT",IF($Z1131="A","ASSET",IF($Z1131="F","WORKFORCE","")))</f>
        <v/>
      </c>
      <c r="I1131" s="7">
        <f>IF($Z1131="C",INDEX(Contracts!$L$2:$L$151,$AB1131)&amp;"",IF($Z1131="A",INDEX(Fixed_Assets!$I$2:$I$201,$AB1131)&amp;"",IF($Z1131="F",INDEX(Workforce!$G$2:$G$151,MATCH(INDEX(FTE_Allocation!$A$2:$A$201,$AB1131),Workforce!$A$2:$A$151,0))&amp;"","")))</f>
        <v/>
      </c>
      <c r="J1131" s="18">
        <f>IF($Z1131="","",IF(AND(DATE($AD1131,1,1)&gt;=$AE1131,DATE($AD1131,1,1)&lt;=$AF1131),ROUND($AG1131,2),0))</f>
        <v/>
      </c>
      <c r="K1131" s="18">
        <f>IF($Z1131="","",IF(AND(DATE($AD1131,2,1)&gt;=$AE1131,DATE($AD1131,2,1)&lt;=$AF1131),ROUND($AG1131,2),0))</f>
        <v/>
      </c>
      <c r="L1131" s="18">
        <f>IF($Z1131="","",IF(AND(DATE($AD1131,3,1)&gt;=$AE1131,DATE($AD1131,3,1)&lt;=$AF1131),ROUND($AG1131,2),0))</f>
        <v/>
      </c>
      <c r="M1131" s="18">
        <f>IF($Z1131="","",IF(AND(DATE($AD1131,4,1)&gt;=$AE1131,DATE($AD1131,4,1)&lt;=$AF1131),ROUND($AG1131,2),0))</f>
        <v/>
      </c>
      <c r="N1131" s="18">
        <f>IF($Z1131="","",IF(AND(DATE($AD1131,5,1)&gt;=$AE1131,DATE($AD1131,5,1)&lt;=$AF1131),ROUND($AG1131,2),0))</f>
        <v/>
      </c>
      <c r="O1131" s="18">
        <f>IF($Z1131="","",IF(AND(DATE($AD1131,6,1)&gt;=$AE1131,DATE($AD1131,6,1)&lt;=$AF1131),ROUND($AG1131,2),0))</f>
        <v/>
      </c>
      <c r="P1131" s="18">
        <f>IF($Z1131="","",IF(AND(DATE($AD1131,7,1)&gt;=$AE1131,DATE($AD1131,7,1)&lt;=$AF1131),ROUND($AG1131,2),0))</f>
        <v/>
      </c>
      <c r="Q1131" s="18">
        <f>IF($Z1131="","",IF(AND(DATE($AD1131,8,1)&gt;=$AE1131,DATE($AD1131,8,1)&lt;=$AF1131),ROUND($AG1131,2),0))</f>
        <v/>
      </c>
      <c r="R1131" s="18">
        <f>IF($Z1131="","",IF(AND(DATE($AD1131,9,1)&gt;=$AE1131,DATE($AD1131,9,1)&lt;=$AF1131),ROUND($AG1131,2),0))</f>
        <v/>
      </c>
      <c r="S1131" s="18">
        <f>IF($Z1131="","",IF(AND(DATE($AD1131,10,1)&gt;=$AE1131,DATE($AD1131,10,1)&lt;=$AF1131),ROUND($AG1131,2),0))</f>
        <v/>
      </c>
      <c r="T1131" s="18">
        <f>IF($Z1131="","",IF(AND(DATE($AD1131,11,1)&gt;=$AE1131,DATE($AD1131,11,1)&lt;=$AF1131),ROUND($AG1131,2),0))</f>
        <v/>
      </c>
      <c r="U1131" s="18">
        <f>IF($Z1131="","",IF(AND(DATE($AD1131,12,1)&gt;=$AE1131,DATE($AD1131,12,1)&lt;=$AF1131),ROUND($AG1131,2),0))</f>
        <v/>
      </c>
      <c r="V1131" s="7">
        <f>IF($Z1131="C","Generated from "&amp;INDEX(Contracts!$A$2:$A$151,$AB1131),IF($Z1131="A","Generated from "&amp;INDEX(Fixed_Assets!$A$2:$A$201,$AB1131),IF($Z1131="F","Generated from "&amp;INDEX(FTE_Allocation!$A$2:$A$201,$AB1131),"")))</f>
        <v/>
      </c>
      <c r="X1131" s="19">
        <f>IF($Z1131="","",SUM(J1131:U1131))</f>
        <v/>
      </c>
      <c r="Y1131" s="20">
        <f>ROW()-1</f>
        <v/>
      </c>
      <c r="Z1131" s="20">
        <f>IF($Y1131&lt;=Settings!$B$4*3,"C",IF($Y1131&lt;=(Settings!$B$4+Settings!$B$5)*3,"A",IF($Y1131&lt;=(Settings!$B$4+Settings!$B$5+Settings!$B$6)*3,"F","")))</f>
        <v/>
      </c>
      <c r="AA1131" s="20">
        <f>IF($Z1131="C",$Y1131,IF($Z1131="A",$Y1131-Settings!$B$4*3,IF($Z1131="F",$Y1131-(Settings!$B$4+Settings!$B$5)*3,"")))</f>
        <v/>
      </c>
      <c r="AB1131" s="20">
        <f>IF($Z1131="","",INT(($AA1131-1)/3)+1)</f>
        <v/>
      </c>
      <c r="AC1131" s="20">
        <f>IF($Z1131="","",MOD($AA1131-1,3)+1)</f>
        <v/>
      </c>
      <c r="AD1131" s="20">
        <f>IF($Z1131="","",Settings!$B$2+$AC1131-1)</f>
        <v/>
      </c>
      <c r="AE1131" s="21">
        <f>IF($Z1131="C",DATE(YEAR(INDEX(Contracts!$J$2:$J$151,$AB1131)),MONTH(INDEX(Contracts!$J$2:$J$151,$AB1131)),1),IF($Z1131="A",DATE(YEAR(INDEX(Fixed_Assets!$G$2:$G$201,$AB1131)),MONTH(INDEX(Fixed_Assets!$G$2:$G$201,$AB1131)),1),IF($Z1131="F",DATE(YEAR(MAX(N(INDEX(Workforce!$I$2:$I$151,MATCH(INDEX(FTE_Allocation!$A$2:$A$201,$AB1131),Workforce!$A$2:$A$151,0))),N(INDEX(FTE_Allocation!$I$2:$I$201,$AB1131)))),MONTH(MAX(N(INDEX(Workforce!$I$2:$I$151,MATCH(INDEX(FTE_Allocation!$A$2:$A$201,$AB1131),Workforce!$A$2:$A$151,0))),N(INDEX(FTE_Allocation!$I$2:$I$201,$AB1131)))),1),"")))</f>
        <v/>
      </c>
      <c r="AF1131" s="21">
        <f>IF($Z1131="C",IF(INDEX(Contracts!$I$2:$I$151,$AB1131)="PREPAID",EDATE(DATE(YEAR(INDEX(Contracts!$J$2:$J$151,$AB1131)),MONTH(INDEX(Contracts!$J$2:$J$151,$AB1131)),1),IF(INDEX(Contracts!$N$2:$N$151,$AB1131)="",12,INDEX(Contracts!$N$2:$N$151,$AB1131))-1),IF(INDEX(Contracts!$I$2:$I$151,$AB1131)="MONTHLY",IF(INDEX(Contracts!$K$2:$K$151,$AB1131)="",2958101,INDEX(Contracts!$K$2:$K$151,$AB1131)),0)),IF($Z1131="A",EDATE(DATE(YEAR(INDEX(Fixed_Assets!$G$2:$G$201,$AB1131)),MONTH(INDEX(Fixed_Assets!$G$2:$G$201,$AB1131)),1),INDEX(Fixed_Assets!$J$2:$J$201,$AB1131)-1),IF($Z1131="F",MIN(IF(INDEX(Workforce!$J$2:$J$151,MATCH(INDEX(FTE_Allocation!$A$2:$A$201,$AB1131),Workforce!$A$2:$A$151,0))="",2958101,INDEX(Workforce!$J$2:$J$151,MATCH(INDEX(FTE_Allocation!$A$2:$A$201,$AB1131),Workforce!$A$2:$A$151,0))),IF(INDEX(FTE_Allocation!$J$2:$J$201,$AB1131)="",2958101,INDEX(FTE_Allocation!$J$2:$J$201,$AB1131))),"")))</f>
        <v/>
      </c>
      <c r="AG1131" s="19">
        <f>IF($Z1131="C",IF(INDEX(Contracts!$I$2:$I$151,$AB1131)="PREPAID",INDEX(Contracts!$M$2:$M$151,$AB1131)/IF(INDEX(Contracts!$N$2:$N$151,$AB1131)="",12,INDEX(Contracts!$N$2:$N$151,$AB1131)),IF(INDEX(Contracts!$I$2:$I$151,$AB1131)="MONTHLY",INDEX(Contracts!$M$2:$M$151,$AB1131),0))*(1-N(INDEX(Contracts!$O$2:$O$151,$AB1131))),IF($Z1131="A",INDEX(Fixed_Assets!$H$2:$H$201,$AB1131)/INDEX(Fixed_Assets!$J$2:$J$201,$AB1131),IF($Z1131="F",INDEX(Workforce!$F$2:$F$151,MATCH(INDEX(FTE_Allocation!$A$2:$A$201,$AB1131),Workforce!$A$2:$A$151,0))*N(INDEX(FTE_Allocation!$F$2:$H$201,$AB1131,$AC1131)),"")))</f>
        <v/>
      </c>
    </row>
    <row r="1132">
      <c r="A1132" s="7">
        <f>IF($Z1132="","",$AD1132)</f>
        <v/>
      </c>
      <c r="B1132" s="7">
        <f>IF($Z1132="C",INDEX(Contracts!$D$2:$D$151,$AB1132)&amp;"",IF($Z1132="A",INDEX(Fixed_Assets!$C$2:$C$201,$AB1132)&amp;"",IF($Z1132="F",INDEX(Workforce!$B$2:$B$151,MATCH(INDEX(FTE_Allocation!$A$2:$A$201,$AB1132),Workforce!$A$2:$A$151,0))&amp;"","")))</f>
        <v/>
      </c>
      <c r="C1132" s="7">
        <f>IF($Z1132="C",INDEX(Contracts!$E$2:$E$151,$AB1132)&amp;"",IF($Z1132="A",INDEX(Fixed_Assets!$D$2:$D$201,$AB1132)&amp;"",IF($Z1132="F",INDEX(FTE_Allocation!$C$2:$C$201,$AB1132)&amp;"","")))</f>
        <v/>
      </c>
      <c r="D1132" s="7">
        <f>IF($Z1132="C",INDEX(Contracts!$B$2:$B$151,$AB1132)&amp;"",IF($Z1132="A",INDEX(Fixed_Assets!$B$2:$B$201,$AB1132)&amp;"",IF($Z1132="F",INDEX(FTE_Allocation!$B$2:$B$201,$AB1132)&amp;"","")))</f>
        <v/>
      </c>
      <c r="E1132" s="7">
        <f>IF($Z1132="C",INDEX(Contracts!$P$2:$P$151,$AB1132)&amp;"",IF($Z1132="A",INDEX(Fixed_Assets!$K$2:$K$201,$AB1132)&amp;"",IF($Z1132="F",IF(INDEX(FTE_Allocation!$D$2:$D$201,$AB1132)="PROJECT",IFERROR(INDEX(Projects!$D:$D,MATCH(INDEX(FTE_Allocation!$E$2:$E$201,$AB1132),Projects!$A:$A,0))&amp;"","#PROJECT?"),INDEX(FTE_Allocation!$E$2:$E$201,$AB1132)&amp;""),"")))</f>
        <v/>
      </c>
      <c r="F1132" s="7">
        <f>IF($Z1132="C",INDEX(Contracts!$Q$2:$Q$151,$AB1132)&amp;"",IF($Z1132="A",INDEX(Fixed_Assets!$L$2:$L$201,$AB1132)&amp;"",IF($Z1132="F",INDEX(Workforce!$K$2:$K$151,MATCH(INDEX(FTE_Allocation!$A$2:$A$201,$AB1132),Workforce!$A$2:$A$151,0))&amp;"","")))</f>
        <v/>
      </c>
      <c r="G1132" s="7">
        <f>IF($Z1132="C",INDEX(Contracts!$F$2:$F$151,$AB1132)&amp;" / "&amp;INDEX(Contracts!$G$2:$G$151,$AB1132),IF($Z1132="A",INDEX(Fixed_Assets!$E$2:$E$201,$AB1132)&amp;"",IF($Z1132="F","Personnel "&amp;INDEX(FTE_Allocation!$A$2:$A$201,$AB1132)&amp;IF(INDEX(FTE_Allocation!$D$2:$D$201,$AB1132)="PROJECT"," ("&amp;INDEX(FTE_Allocation!$E$2:$E$201,$AB1132)&amp;")",""),"")))</f>
        <v/>
      </c>
      <c r="H1132" s="7">
        <f>IF($Z1132="C","CONTRACT",IF($Z1132="A","ASSET",IF($Z1132="F","WORKFORCE","")))</f>
        <v/>
      </c>
      <c r="I1132" s="7">
        <f>IF($Z1132="C",INDEX(Contracts!$L$2:$L$151,$AB1132)&amp;"",IF($Z1132="A",INDEX(Fixed_Assets!$I$2:$I$201,$AB1132)&amp;"",IF($Z1132="F",INDEX(Workforce!$G$2:$G$151,MATCH(INDEX(FTE_Allocation!$A$2:$A$201,$AB1132),Workforce!$A$2:$A$151,0))&amp;"","")))</f>
        <v/>
      </c>
      <c r="J1132" s="18">
        <f>IF($Z1132="","",IF(AND(DATE($AD1132,1,1)&gt;=$AE1132,DATE($AD1132,1,1)&lt;=$AF1132),ROUND($AG1132,2),0))</f>
        <v/>
      </c>
      <c r="K1132" s="18">
        <f>IF($Z1132="","",IF(AND(DATE($AD1132,2,1)&gt;=$AE1132,DATE($AD1132,2,1)&lt;=$AF1132),ROUND($AG1132,2),0))</f>
        <v/>
      </c>
      <c r="L1132" s="18">
        <f>IF($Z1132="","",IF(AND(DATE($AD1132,3,1)&gt;=$AE1132,DATE($AD1132,3,1)&lt;=$AF1132),ROUND($AG1132,2),0))</f>
        <v/>
      </c>
      <c r="M1132" s="18">
        <f>IF($Z1132="","",IF(AND(DATE($AD1132,4,1)&gt;=$AE1132,DATE($AD1132,4,1)&lt;=$AF1132),ROUND($AG1132,2),0))</f>
        <v/>
      </c>
      <c r="N1132" s="18">
        <f>IF($Z1132="","",IF(AND(DATE($AD1132,5,1)&gt;=$AE1132,DATE($AD1132,5,1)&lt;=$AF1132),ROUND($AG1132,2),0))</f>
        <v/>
      </c>
      <c r="O1132" s="18">
        <f>IF($Z1132="","",IF(AND(DATE($AD1132,6,1)&gt;=$AE1132,DATE($AD1132,6,1)&lt;=$AF1132),ROUND($AG1132,2),0))</f>
        <v/>
      </c>
      <c r="P1132" s="18">
        <f>IF($Z1132="","",IF(AND(DATE($AD1132,7,1)&gt;=$AE1132,DATE($AD1132,7,1)&lt;=$AF1132),ROUND($AG1132,2),0))</f>
        <v/>
      </c>
      <c r="Q1132" s="18">
        <f>IF($Z1132="","",IF(AND(DATE($AD1132,8,1)&gt;=$AE1132,DATE($AD1132,8,1)&lt;=$AF1132),ROUND($AG1132,2),0))</f>
        <v/>
      </c>
      <c r="R1132" s="18">
        <f>IF($Z1132="","",IF(AND(DATE($AD1132,9,1)&gt;=$AE1132,DATE($AD1132,9,1)&lt;=$AF1132),ROUND($AG1132,2),0))</f>
        <v/>
      </c>
      <c r="S1132" s="18">
        <f>IF($Z1132="","",IF(AND(DATE($AD1132,10,1)&gt;=$AE1132,DATE($AD1132,10,1)&lt;=$AF1132),ROUND($AG1132,2),0))</f>
        <v/>
      </c>
      <c r="T1132" s="18">
        <f>IF($Z1132="","",IF(AND(DATE($AD1132,11,1)&gt;=$AE1132,DATE($AD1132,11,1)&lt;=$AF1132),ROUND($AG1132,2),0))</f>
        <v/>
      </c>
      <c r="U1132" s="18">
        <f>IF($Z1132="","",IF(AND(DATE($AD1132,12,1)&gt;=$AE1132,DATE($AD1132,12,1)&lt;=$AF1132),ROUND($AG1132,2),0))</f>
        <v/>
      </c>
      <c r="V1132" s="7">
        <f>IF($Z1132="C","Generated from "&amp;INDEX(Contracts!$A$2:$A$151,$AB1132),IF($Z1132="A","Generated from "&amp;INDEX(Fixed_Assets!$A$2:$A$201,$AB1132),IF($Z1132="F","Generated from "&amp;INDEX(FTE_Allocation!$A$2:$A$201,$AB1132),"")))</f>
        <v/>
      </c>
      <c r="X1132" s="19">
        <f>IF($Z1132="","",SUM(J1132:U1132))</f>
        <v/>
      </c>
      <c r="Y1132" s="20">
        <f>ROW()-1</f>
        <v/>
      </c>
      <c r="Z1132" s="20">
        <f>IF($Y1132&lt;=Settings!$B$4*3,"C",IF($Y1132&lt;=(Settings!$B$4+Settings!$B$5)*3,"A",IF($Y1132&lt;=(Settings!$B$4+Settings!$B$5+Settings!$B$6)*3,"F","")))</f>
        <v/>
      </c>
      <c r="AA1132" s="20">
        <f>IF($Z1132="C",$Y1132,IF($Z1132="A",$Y1132-Settings!$B$4*3,IF($Z1132="F",$Y1132-(Settings!$B$4+Settings!$B$5)*3,"")))</f>
        <v/>
      </c>
      <c r="AB1132" s="20">
        <f>IF($Z1132="","",INT(($AA1132-1)/3)+1)</f>
        <v/>
      </c>
      <c r="AC1132" s="20">
        <f>IF($Z1132="","",MOD($AA1132-1,3)+1)</f>
        <v/>
      </c>
      <c r="AD1132" s="20">
        <f>IF($Z1132="","",Settings!$B$2+$AC1132-1)</f>
        <v/>
      </c>
      <c r="AE1132" s="21">
        <f>IF($Z1132="C",DATE(YEAR(INDEX(Contracts!$J$2:$J$151,$AB1132)),MONTH(INDEX(Contracts!$J$2:$J$151,$AB1132)),1),IF($Z1132="A",DATE(YEAR(INDEX(Fixed_Assets!$G$2:$G$201,$AB1132)),MONTH(INDEX(Fixed_Assets!$G$2:$G$201,$AB1132)),1),IF($Z1132="F",DATE(YEAR(MAX(N(INDEX(Workforce!$I$2:$I$151,MATCH(INDEX(FTE_Allocation!$A$2:$A$201,$AB1132),Workforce!$A$2:$A$151,0))),N(INDEX(FTE_Allocation!$I$2:$I$201,$AB1132)))),MONTH(MAX(N(INDEX(Workforce!$I$2:$I$151,MATCH(INDEX(FTE_Allocation!$A$2:$A$201,$AB1132),Workforce!$A$2:$A$151,0))),N(INDEX(FTE_Allocation!$I$2:$I$201,$AB1132)))),1),"")))</f>
        <v/>
      </c>
      <c r="AF1132" s="21">
        <f>IF($Z1132="C",IF(INDEX(Contracts!$I$2:$I$151,$AB1132)="PREPAID",EDATE(DATE(YEAR(INDEX(Contracts!$J$2:$J$151,$AB1132)),MONTH(INDEX(Contracts!$J$2:$J$151,$AB1132)),1),IF(INDEX(Contracts!$N$2:$N$151,$AB1132)="",12,INDEX(Contracts!$N$2:$N$151,$AB1132))-1),IF(INDEX(Contracts!$I$2:$I$151,$AB1132)="MONTHLY",IF(INDEX(Contracts!$K$2:$K$151,$AB1132)="",2958101,INDEX(Contracts!$K$2:$K$151,$AB1132)),0)),IF($Z1132="A",EDATE(DATE(YEAR(INDEX(Fixed_Assets!$G$2:$G$201,$AB1132)),MONTH(INDEX(Fixed_Assets!$G$2:$G$201,$AB1132)),1),INDEX(Fixed_Assets!$J$2:$J$201,$AB1132)-1),IF($Z1132="F",MIN(IF(INDEX(Workforce!$J$2:$J$151,MATCH(INDEX(FTE_Allocation!$A$2:$A$201,$AB1132),Workforce!$A$2:$A$151,0))="",2958101,INDEX(Workforce!$J$2:$J$151,MATCH(INDEX(FTE_Allocation!$A$2:$A$201,$AB1132),Workforce!$A$2:$A$151,0))),IF(INDEX(FTE_Allocation!$J$2:$J$201,$AB1132)="",2958101,INDEX(FTE_Allocation!$J$2:$J$201,$AB1132))),"")))</f>
        <v/>
      </c>
      <c r="AG1132" s="19">
        <f>IF($Z1132="C",IF(INDEX(Contracts!$I$2:$I$151,$AB1132)="PREPAID",INDEX(Contracts!$M$2:$M$151,$AB1132)/IF(INDEX(Contracts!$N$2:$N$151,$AB1132)="",12,INDEX(Contracts!$N$2:$N$151,$AB1132)),IF(INDEX(Contracts!$I$2:$I$151,$AB1132)="MONTHLY",INDEX(Contracts!$M$2:$M$151,$AB1132),0))*(1-N(INDEX(Contracts!$O$2:$O$151,$AB1132))),IF($Z1132="A",INDEX(Fixed_Assets!$H$2:$H$201,$AB1132)/INDEX(Fixed_Assets!$J$2:$J$201,$AB1132),IF($Z1132="F",INDEX(Workforce!$F$2:$F$151,MATCH(INDEX(FTE_Allocation!$A$2:$A$201,$AB1132),Workforce!$A$2:$A$151,0))*N(INDEX(FTE_Allocation!$F$2:$H$201,$AB1132,$AC1132)),"")))</f>
        <v/>
      </c>
    </row>
    <row r="1133">
      <c r="A1133" s="7">
        <f>IF($Z1133="","",$AD1133)</f>
        <v/>
      </c>
      <c r="B1133" s="7">
        <f>IF($Z1133="C",INDEX(Contracts!$D$2:$D$151,$AB1133)&amp;"",IF($Z1133="A",INDEX(Fixed_Assets!$C$2:$C$201,$AB1133)&amp;"",IF($Z1133="F",INDEX(Workforce!$B$2:$B$151,MATCH(INDEX(FTE_Allocation!$A$2:$A$201,$AB1133),Workforce!$A$2:$A$151,0))&amp;"","")))</f>
        <v/>
      </c>
      <c r="C1133" s="7">
        <f>IF($Z1133="C",INDEX(Contracts!$E$2:$E$151,$AB1133)&amp;"",IF($Z1133="A",INDEX(Fixed_Assets!$D$2:$D$201,$AB1133)&amp;"",IF($Z1133="F",INDEX(FTE_Allocation!$C$2:$C$201,$AB1133)&amp;"","")))</f>
        <v/>
      </c>
      <c r="D1133" s="7">
        <f>IF($Z1133="C",INDEX(Contracts!$B$2:$B$151,$AB1133)&amp;"",IF($Z1133="A",INDEX(Fixed_Assets!$B$2:$B$201,$AB1133)&amp;"",IF($Z1133="F",INDEX(FTE_Allocation!$B$2:$B$201,$AB1133)&amp;"","")))</f>
        <v/>
      </c>
      <c r="E1133" s="7">
        <f>IF($Z1133="C",INDEX(Contracts!$P$2:$P$151,$AB1133)&amp;"",IF($Z1133="A",INDEX(Fixed_Assets!$K$2:$K$201,$AB1133)&amp;"",IF($Z1133="F",IF(INDEX(FTE_Allocation!$D$2:$D$201,$AB1133)="PROJECT",IFERROR(INDEX(Projects!$D:$D,MATCH(INDEX(FTE_Allocation!$E$2:$E$201,$AB1133),Projects!$A:$A,0))&amp;"","#PROJECT?"),INDEX(FTE_Allocation!$E$2:$E$201,$AB1133)&amp;""),"")))</f>
        <v/>
      </c>
      <c r="F1133" s="7">
        <f>IF($Z1133="C",INDEX(Contracts!$Q$2:$Q$151,$AB1133)&amp;"",IF($Z1133="A",INDEX(Fixed_Assets!$L$2:$L$201,$AB1133)&amp;"",IF($Z1133="F",INDEX(Workforce!$K$2:$K$151,MATCH(INDEX(FTE_Allocation!$A$2:$A$201,$AB1133),Workforce!$A$2:$A$151,0))&amp;"","")))</f>
        <v/>
      </c>
      <c r="G1133" s="7">
        <f>IF($Z1133="C",INDEX(Contracts!$F$2:$F$151,$AB1133)&amp;" / "&amp;INDEX(Contracts!$G$2:$G$151,$AB1133),IF($Z1133="A",INDEX(Fixed_Assets!$E$2:$E$201,$AB1133)&amp;"",IF($Z1133="F","Personnel "&amp;INDEX(FTE_Allocation!$A$2:$A$201,$AB1133)&amp;IF(INDEX(FTE_Allocation!$D$2:$D$201,$AB1133)="PROJECT"," ("&amp;INDEX(FTE_Allocation!$E$2:$E$201,$AB1133)&amp;")",""),"")))</f>
        <v/>
      </c>
      <c r="H1133" s="7">
        <f>IF($Z1133="C","CONTRACT",IF($Z1133="A","ASSET",IF($Z1133="F","WORKFORCE","")))</f>
        <v/>
      </c>
      <c r="I1133" s="7">
        <f>IF($Z1133="C",INDEX(Contracts!$L$2:$L$151,$AB1133)&amp;"",IF($Z1133="A",INDEX(Fixed_Assets!$I$2:$I$201,$AB1133)&amp;"",IF($Z1133="F",INDEX(Workforce!$G$2:$G$151,MATCH(INDEX(FTE_Allocation!$A$2:$A$201,$AB1133),Workforce!$A$2:$A$151,0))&amp;"","")))</f>
        <v/>
      </c>
      <c r="J1133" s="18">
        <f>IF($Z1133="","",IF(AND(DATE($AD1133,1,1)&gt;=$AE1133,DATE($AD1133,1,1)&lt;=$AF1133),ROUND($AG1133,2),0))</f>
        <v/>
      </c>
      <c r="K1133" s="18">
        <f>IF($Z1133="","",IF(AND(DATE($AD1133,2,1)&gt;=$AE1133,DATE($AD1133,2,1)&lt;=$AF1133),ROUND($AG1133,2),0))</f>
        <v/>
      </c>
      <c r="L1133" s="18">
        <f>IF($Z1133="","",IF(AND(DATE($AD1133,3,1)&gt;=$AE1133,DATE($AD1133,3,1)&lt;=$AF1133),ROUND($AG1133,2),0))</f>
        <v/>
      </c>
      <c r="M1133" s="18">
        <f>IF($Z1133="","",IF(AND(DATE($AD1133,4,1)&gt;=$AE1133,DATE($AD1133,4,1)&lt;=$AF1133),ROUND($AG1133,2),0))</f>
        <v/>
      </c>
      <c r="N1133" s="18">
        <f>IF($Z1133="","",IF(AND(DATE($AD1133,5,1)&gt;=$AE1133,DATE($AD1133,5,1)&lt;=$AF1133),ROUND($AG1133,2),0))</f>
        <v/>
      </c>
      <c r="O1133" s="18">
        <f>IF($Z1133="","",IF(AND(DATE($AD1133,6,1)&gt;=$AE1133,DATE($AD1133,6,1)&lt;=$AF1133),ROUND($AG1133,2),0))</f>
        <v/>
      </c>
      <c r="P1133" s="18">
        <f>IF($Z1133="","",IF(AND(DATE($AD1133,7,1)&gt;=$AE1133,DATE($AD1133,7,1)&lt;=$AF1133),ROUND($AG1133,2),0))</f>
        <v/>
      </c>
      <c r="Q1133" s="18">
        <f>IF($Z1133="","",IF(AND(DATE($AD1133,8,1)&gt;=$AE1133,DATE($AD1133,8,1)&lt;=$AF1133),ROUND($AG1133,2),0))</f>
        <v/>
      </c>
      <c r="R1133" s="18">
        <f>IF($Z1133="","",IF(AND(DATE($AD1133,9,1)&gt;=$AE1133,DATE($AD1133,9,1)&lt;=$AF1133),ROUND($AG1133,2),0))</f>
        <v/>
      </c>
      <c r="S1133" s="18">
        <f>IF($Z1133="","",IF(AND(DATE($AD1133,10,1)&gt;=$AE1133,DATE($AD1133,10,1)&lt;=$AF1133),ROUND($AG1133,2),0))</f>
        <v/>
      </c>
      <c r="T1133" s="18">
        <f>IF($Z1133="","",IF(AND(DATE($AD1133,11,1)&gt;=$AE1133,DATE($AD1133,11,1)&lt;=$AF1133),ROUND($AG1133,2),0))</f>
        <v/>
      </c>
      <c r="U1133" s="18">
        <f>IF($Z1133="","",IF(AND(DATE($AD1133,12,1)&gt;=$AE1133,DATE($AD1133,12,1)&lt;=$AF1133),ROUND($AG1133,2),0))</f>
        <v/>
      </c>
      <c r="V1133" s="7">
        <f>IF($Z1133="C","Generated from "&amp;INDEX(Contracts!$A$2:$A$151,$AB1133),IF($Z1133="A","Generated from "&amp;INDEX(Fixed_Assets!$A$2:$A$201,$AB1133),IF($Z1133="F","Generated from "&amp;INDEX(FTE_Allocation!$A$2:$A$201,$AB1133),"")))</f>
        <v/>
      </c>
      <c r="X1133" s="19">
        <f>IF($Z1133="","",SUM(J1133:U1133))</f>
        <v/>
      </c>
      <c r="Y1133" s="20">
        <f>ROW()-1</f>
        <v/>
      </c>
      <c r="Z1133" s="20">
        <f>IF($Y1133&lt;=Settings!$B$4*3,"C",IF($Y1133&lt;=(Settings!$B$4+Settings!$B$5)*3,"A",IF($Y1133&lt;=(Settings!$B$4+Settings!$B$5+Settings!$B$6)*3,"F","")))</f>
        <v/>
      </c>
      <c r="AA1133" s="20">
        <f>IF($Z1133="C",$Y1133,IF($Z1133="A",$Y1133-Settings!$B$4*3,IF($Z1133="F",$Y1133-(Settings!$B$4+Settings!$B$5)*3,"")))</f>
        <v/>
      </c>
      <c r="AB1133" s="20">
        <f>IF($Z1133="","",INT(($AA1133-1)/3)+1)</f>
        <v/>
      </c>
      <c r="AC1133" s="20">
        <f>IF($Z1133="","",MOD($AA1133-1,3)+1)</f>
        <v/>
      </c>
      <c r="AD1133" s="20">
        <f>IF($Z1133="","",Settings!$B$2+$AC1133-1)</f>
        <v/>
      </c>
      <c r="AE1133" s="21">
        <f>IF($Z1133="C",DATE(YEAR(INDEX(Contracts!$J$2:$J$151,$AB1133)),MONTH(INDEX(Contracts!$J$2:$J$151,$AB1133)),1),IF($Z1133="A",DATE(YEAR(INDEX(Fixed_Assets!$G$2:$G$201,$AB1133)),MONTH(INDEX(Fixed_Assets!$G$2:$G$201,$AB1133)),1),IF($Z1133="F",DATE(YEAR(MAX(N(INDEX(Workforce!$I$2:$I$151,MATCH(INDEX(FTE_Allocation!$A$2:$A$201,$AB1133),Workforce!$A$2:$A$151,0))),N(INDEX(FTE_Allocation!$I$2:$I$201,$AB1133)))),MONTH(MAX(N(INDEX(Workforce!$I$2:$I$151,MATCH(INDEX(FTE_Allocation!$A$2:$A$201,$AB1133),Workforce!$A$2:$A$151,0))),N(INDEX(FTE_Allocation!$I$2:$I$201,$AB1133)))),1),"")))</f>
        <v/>
      </c>
      <c r="AF1133" s="21">
        <f>IF($Z1133="C",IF(INDEX(Contracts!$I$2:$I$151,$AB1133)="PREPAID",EDATE(DATE(YEAR(INDEX(Contracts!$J$2:$J$151,$AB1133)),MONTH(INDEX(Contracts!$J$2:$J$151,$AB1133)),1),IF(INDEX(Contracts!$N$2:$N$151,$AB1133)="",12,INDEX(Contracts!$N$2:$N$151,$AB1133))-1),IF(INDEX(Contracts!$I$2:$I$151,$AB1133)="MONTHLY",IF(INDEX(Contracts!$K$2:$K$151,$AB1133)="",2958101,INDEX(Contracts!$K$2:$K$151,$AB1133)),0)),IF($Z1133="A",EDATE(DATE(YEAR(INDEX(Fixed_Assets!$G$2:$G$201,$AB1133)),MONTH(INDEX(Fixed_Assets!$G$2:$G$201,$AB1133)),1),INDEX(Fixed_Assets!$J$2:$J$201,$AB1133)-1),IF($Z1133="F",MIN(IF(INDEX(Workforce!$J$2:$J$151,MATCH(INDEX(FTE_Allocation!$A$2:$A$201,$AB1133),Workforce!$A$2:$A$151,0))="",2958101,INDEX(Workforce!$J$2:$J$151,MATCH(INDEX(FTE_Allocation!$A$2:$A$201,$AB1133),Workforce!$A$2:$A$151,0))),IF(INDEX(FTE_Allocation!$J$2:$J$201,$AB1133)="",2958101,INDEX(FTE_Allocation!$J$2:$J$201,$AB1133))),"")))</f>
        <v/>
      </c>
      <c r="AG1133" s="19">
        <f>IF($Z1133="C",IF(INDEX(Contracts!$I$2:$I$151,$AB1133)="PREPAID",INDEX(Contracts!$M$2:$M$151,$AB1133)/IF(INDEX(Contracts!$N$2:$N$151,$AB1133)="",12,INDEX(Contracts!$N$2:$N$151,$AB1133)),IF(INDEX(Contracts!$I$2:$I$151,$AB1133)="MONTHLY",INDEX(Contracts!$M$2:$M$151,$AB1133),0))*(1-N(INDEX(Contracts!$O$2:$O$151,$AB1133))),IF($Z1133="A",INDEX(Fixed_Assets!$H$2:$H$201,$AB1133)/INDEX(Fixed_Assets!$J$2:$J$201,$AB1133),IF($Z1133="F",INDEX(Workforce!$F$2:$F$151,MATCH(INDEX(FTE_Allocation!$A$2:$A$201,$AB1133),Workforce!$A$2:$A$151,0))*N(INDEX(FTE_Allocation!$F$2:$H$201,$AB1133,$AC1133)),"")))</f>
        <v/>
      </c>
    </row>
    <row r="1134">
      <c r="A1134" s="7">
        <f>IF($Z1134="","",$AD1134)</f>
        <v/>
      </c>
      <c r="B1134" s="7">
        <f>IF($Z1134="C",INDEX(Contracts!$D$2:$D$151,$AB1134)&amp;"",IF($Z1134="A",INDEX(Fixed_Assets!$C$2:$C$201,$AB1134)&amp;"",IF($Z1134="F",INDEX(Workforce!$B$2:$B$151,MATCH(INDEX(FTE_Allocation!$A$2:$A$201,$AB1134),Workforce!$A$2:$A$151,0))&amp;"","")))</f>
        <v/>
      </c>
      <c r="C1134" s="7">
        <f>IF($Z1134="C",INDEX(Contracts!$E$2:$E$151,$AB1134)&amp;"",IF($Z1134="A",INDEX(Fixed_Assets!$D$2:$D$201,$AB1134)&amp;"",IF($Z1134="F",INDEX(FTE_Allocation!$C$2:$C$201,$AB1134)&amp;"","")))</f>
        <v/>
      </c>
      <c r="D1134" s="7">
        <f>IF($Z1134="C",INDEX(Contracts!$B$2:$B$151,$AB1134)&amp;"",IF($Z1134="A",INDEX(Fixed_Assets!$B$2:$B$201,$AB1134)&amp;"",IF($Z1134="F",INDEX(FTE_Allocation!$B$2:$B$201,$AB1134)&amp;"","")))</f>
        <v/>
      </c>
      <c r="E1134" s="7">
        <f>IF($Z1134="C",INDEX(Contracts!$P$2:$P$151,$AB1134)&amp;"",IF($Z1134="A",INDEX(Fixed_Assets!$K$2:$K$201,$AB1134)&amp;"",IF($Z1134="F",IF(INDEX(FTE_Allocation!$D$2:$D$201,$AB1134)="PROJECT",IFERROR(INDEX(Projects!$D:$D,MATCH(INDEX(FTE_Allocation!$E$2:$E$201,$AB1134),Projects!$A:$A,0))&amp;"","#PROJECT?"),INDEX(FTE_Allocation!$E$2:$E$201,$AB1134)&amp;""),"")))</f>
        <v/>
      </c>
      <c r="F1134" s="7">
        <f>IF($Z1134="C",INDEX(Contracts!$Q$2:$Q$151,$AB1134)&amp;"",IF($Z1134="A",INDEX(Fixed_Assets!$L$2:$L$201,$AB1134)&amp;"",IF($Z1134="F",INDEX(Workforce!$K$2:$K$151,MATCH(INDEX(FTE_Allocation!$A$2:$A$201,$AB1134),Workforce!$A$2:$A$151,0))&amp;"","")))</f>
        <v/>
      </c>
      <c r="G1134" s="7">
        <f>IF($Z1134="C",INDEX(Contracts!$F$2:$F$151,$AB1134)&amp;" / "&amp;INDEX(Contracts!$G$2:$G$151,$AB1134),IF($Z1134="A",INDEX(Fixed_Assets!$E$2:$E$201,$AB1134)&amp;"",IF($Z1134="F","Personnel "&amp;INDEX(FTE_Allocation!$A$2:$A$201,$AB1134)&amp;IF(INDEX(FTE_Allocation!$D$2:$D$201,$AB1134)="PROJECT"," ("&amp;INDEX(FTE_Allocation!$E$2:$E$201,$AB1134)&amp;")",""),"")))</f>
        <v/>
      </c>
      <c r="H1134" s="7">
        <f>IF($Z1134="C","CONTRACT",IF($Z1134="A","ASSET",IF($Z1134="F","WORKFORCE","")))</f>
        <v/>
      </c>
      <c r="I1134" s="7">
        <f>IF($Z1134="C",INDEX(Contracts!$L$2:$L$151,$AB1134)&amp;"",IF($Z1134="A",INDEX(Fixed_Assets!$I$2:$I$201,$AB1134)&amp;"",IF($Z1134="F",INDEX(Workforce!$G$2:$G$151,MATCH(INDEX(FTE_Allocation!$A$2:$A$201,$AB1134),Workforce!$A$2:$A$151,0))&amp;"","")))</f>
        <v/>
      </c>
      <c r="J1134" s="18">
        <f>IF($Z1134="","",IF(AND(DATE($AD1134,1,1)&gt;=$AE1134,DATE($AD1134,1,1)&lt;=$AF1134),ROUND($AG1134,2),0))</f>
        <v/>
      </c>
      <c r="K1134" s="18">
        <f>IF($Z1134="","",IF(AND(DATE($AD1134,2,1)&gt;=$AE1134,DATE($AD1134,2,1)&lt;=$AF1134),ROUND($AG1134,2),0))</f>
        <v/>
      </c>
      <c r="L1134" s="18">
        <f>IF($Z1134="","",IF(AND(DATE($AD1134,3,1)&gt;=$AE1134,DATE($AD1134,3,1)&lt;=$AF1134),ROUND($AG1134,2),0))</f>
        <v/>
      </c>
      <c r="M1134" s="18">
        <f>IF($Z1134="","",IF(AND(DATE($AD1134,4,1)&gt;=$AE1134,DATE($AD1134,4,1)&lt;=$AF1134),ROUND($AG1134,2),0))</f>
        <v/>
      </c>
      <c r="N1134" s="18">
        <f>IF($Z1134="","",IF(AND(DATE($AD1134,5,1)&gt;=$AE1134,DATE($AD1134,5,1)&lt;=$AF1134),ROUND($AG1134,2),0))</f>
        <v/>
      </c>
      <c r="O1134" s="18">
        <f>IF($Z1134="","",IF(AND(DATE($AD1134,6,1)&gt;=$AE1134,DATE($AD1134,6,1)&lt;=$AF1134),ROUND($AG1134,2),0))</f>
        <v/>
      </c>
      <c r="P1134" s="18">
        <f>IF($Z1134="","",IF(AND(DATE($AD1134,7,1)&gt;=$AE1134,DATE($AD1134,7,1)&lt;=$AF1134),ROUND($AG1134,2),0))</f>
        <v/>
      </c>
      <c r="Q1134" s="18">
        <f>IF($Z1134="","",IF(AND(DATE($AD1134,8,1)&gt;=$AE1134,DATE($AD1134,8,1)&lt;=$AF1134),ROUND($AG1134,2),0))</f>
        <v/>
      </c>
      <c r="R1134" s="18">
        <f>IF($Z1134="","",IF(AND(DATE($AD1134,9,1)&gt;=$AE1134,DATE($AD1134,9,1)&lt;=$AF1134),ROUND($AG1134,2),0))</f>
        <v/>
      </c>
      <c r="S1134" s="18">
        <f>IF($Z1134="","",IF(AND(DATE($AD1134,10,1)&gt;=$AE1134,DATE($AD1134,10,1)&lt;=$AF1134),ROUND($AG1134,2),0))</f>
        <v/>
      </c>
      <c r="T1134" s="18">
        <f>IF($Z1134="","",IF(AND(DATE($AD1134,11,1)&gt;=$AE1134,DATE($AD1134,11,1)&lt;=$AF1134),ROUND($AG1134,2),0))</f>
        <v/>
      </c>
      <c r="U1134" s="18">
        <f>IF($Z1134="","",IF(AND(DATE($AD1134,12,1)&gt;=$AE1134,DATE($AD1134,12,1)&lt;=$AF1134),ROUND($AG1134,2),0))</f>
        <v/>
      </c>
      <c r="V1134" s="7">
        <f>IF($Z1134="C","Generated from "&amp;INDEX(Contracts!$A$2:$A$151,$AB1134),IF($Z1134="A","Generated from "&amp;INDEX(Fixed_Assets!$A$2:$A$201,$AB1134),IF($Z1134="F","Generated from "&amp;INDEX(FTE_Allocation!$A$2:$A$201,$AB1134),"")))</f>
        <v/>
      </c>
      <c r="X1134" s="19">
        <f>IF($Z1134="","",SUM(J1134:U1134))</f>
        <v/>
      </c>
      <c r="Y1134" s="20">
        <f>ROW()-1</f>
        <v/>
      </c>
      <c r="Z1134" s="20">
        <f>IF($Y1134&lt;=Settings!$B$4*3,"C",IF($Y1134&lt;=(Settings!$B$4+Settings!$B$5)*3,"A",IF($Y1134&lt;=(Settings!$B$4+Settings!$B$5+Settings!$B$6)*3,"F","")))</f>
        <v/>
      </c>
      <c r="AA1134" s="20">
        <f>IF($Z1134="C",$Y1134,IF($Z1134="A",$Y1134-Settings!$B$4*3,IF($Z1134="F",$Y1134-(Settings!$B$4+Settings!$B$5)*3,"")))</f>
        <v/>
      </c>
      <c r="AB1134" s="20">
        <f>IF($Z1134="","",INT(($AA1134-1)/3)+1)</f>
        <v/>
      </c>
      <c r="AC1134" s="20">
        <f>IF($Z1134="","",MOD($AA1134-1,3)+1)</f>
        <v/>
      </c>
      <c r="AD1134" s="20">
        <f>IF($Z1134="","",Settings!$B$2+$AC1134-1)</f>
        <v/>
      </c>
      <c r="AE1134" s="21">
        <f>IF($Z1134="C",DATE(YEAR(INDEX(Contracts!$J$2:$J$151,$AB1134)),MONTH(INDEX(Contracts!$J$2:$J$151,$AB1134)),1),IF($Z1134="A",DATE(YEAR(INDEX(Fixed_Assets!$G$2:$G$201,$AB1134)),MONTH(INDEX(Fixed_Assets!$G$2:$G$201,$AB1134)),1),IF($Z1134="F",DATE(YEAR(MAX(N(INDEX(Workforce!$I$2:$I$151,MATCH(INDEX(FTE_Allocation!$A$2:$A$201,$AB1134),Workforce!$A$2:$A$151,0))),N(INDEX(FTE_Allocation!$I$2:$I$201,$AB1134)))),MONTH(MAX(N(INDEX(Workforce!$I$2:$I$151,MATCH(INDEX(FTE_Allocation!$A$2:$A$201,$AB1134),Workforce!$A$2:$A$151,0))),N(INDEX(FTE_Allocation!$I$2:$I$201,$AB1134)))),1),"")))</f>
        <v/>
      </c>
      <c r="AF1134" s="21">
        <f>IF($Z1134="C",IF(INDEX(Contracts!$I$2:$I$151,$AB1134)="PREPAID",EDATE(DATE(YEAR(INDEX(Contracts!$J$2:$J$151,$AB1134)),MONTH(INDEX(Contracts!$J$2:$J$151,$AB1134)),1),IF(INDEX(Contracts!$N$2:$N$151,$AB1134)="",12,INDEX(Contracts!$N$2:$N$151,$AB1134))-1),IF(INDEX(Contracts!$I$2:$I$151,$AB1134)="MONTHLY",IF(INDEX(Contracts!$K$2:$K$151,$AB1134)="",2958101,INDEX(Contracts!$K$2:$K$151,$AB1134)),0)),IF($Z1134="A",EDATE(DATE(YEAR(INDEX(Fixed_Assets!$G$2:$G$201,$AB1134)),MONTH(INDEX(Fixed_Assets!$G$2:$G$201,$AB1134)),1),INDEX(Fixed_Assets!$J$2:$J$201,$AB1134)-1),IF($Z1134="F",MIN(IF(INDEX(Workforce!$J$2:$J$151,MATCH(INDEX(FTE_Allocation!$A$2:$A$201,$AB1134),Workforce!$A$2:$A$151,0))="",2958101,INDEX(Workforce!$J$2:$J$151,MATCH(INDEX(FTE_Allocation!$A$2:$A$201,$AB1134),Workforce!$A$2:$A$151,0))),IF(INDEX(FTE_Allocation!$J$2:$J$201,$AB1134)="",2958101,INDEX(FTE_Allocation!$J$2:$J$201,$AB1134))),"")))</f>
        <v/>
      </c>
      <c r="AG1134" s="19">
        <f>IF($Z1134="C",IF(INDEX(Contracts!$I$2:$I$151,$AB1134)="PREPAID",INDEX(Contracts!$M$2:$M$151,$AB1134)/IF(INDEX(Contracts!$N$2:$N$151,$AB1134)="",12,INDEX(Contracts!$N$2:$N$151,$AB1134)),IF(INDEX(Contracts!$I$2:$I$151,$AB1134)="MONTHLY",INDEX(Contracts!$M$2:$M$151,$AB1134),0))*(1-N(INDEX(Contracts!$O$2:$O$151,$AB1134))),IF($Z1134="A",INDEX(Fixed_Assets!$H$2:$H$201,$AB1134)/INDEX(Fixed_Assets!$J$2:$J$201,$AB1134),IF($Z1134="F",INDEX(Workforce!$F$2:$F$151,MATCH(INDEX(FTE_Allocation!$A$2:$A$201,$AB1134),Workforce!$A$2:$A$151,0))*N(INDEX(FTE_Allocation!$F$2:$H$201,$AB1134,$AC1134)),"")))</f>
        <v/>
      </c>
    </row>
    <row r="1135">
      <c r="A1135" s="7">
        <f>IF($Z1135="","",$AD1135)</f>
        <v/>
      </c>
      <c r="B1135" s="7">
        <f>IF($Z1135="C",INDEX(Contracts!$D$2:$D$151,$AB1135)&amp;"",IF($Z1135="A",INDEX(Fixed_Assets!$C$2:$C$201,$AB1135)&amp;"",IF($Z1135="F",INDEX(Workforce!$B$2:$B$151,MATCH(INDEX(FTE_Allocation!$A$2:$A$201,$AB1135),Workforce!$A$2:$A$151,0))&amp;"","")))</f>
        <v/>
      </c>
      <c r="C1135" s="7">
        <f>IF($Z1135="C",INDEX(Contracts!$E$2:$E$151,$AB1135)&amp;"",IF($Z1135="A",INDEX(Fixed_Assets!$D$2:$D$201,$AB1135)&amp;"",IF($Z1135="F",INDEX(FTE_Allocation!$C$2:$C$201,$AB1135)&amp;"","")))</f>
        <v/>
      </c>
      <c r="D1135" s="7">
        <f>IF($Z1135="C",INDEX(Contracts!$B$2:$B$151,$AB1135)&amp;"",IF($Z1135="A",INDEX(Fixed_Assets!$B$2:$B$201,$AB1135)&amp;"",IF($Z1135="F",INDEX(FTE_Allocation!$B$2:$B$201,$AB1135)&amp;"","")))</f>
        <v/>
      </c>
      <c r="E1135" s="7">
        <f>IF($Z1135="C",INDEX(Contracts!$P$2:$P$151,$AB1135)&amp;"",IF($Z1135="A",INDEX(Fixed_Assets!$K$2:$K$201,$AB1135)&amp;"",IF($Z1135="F",IF(INDEX(FTE_Allocation!$D$2:$D$201,$AB1135)="PROJECT",IFERROR(INDEX(Projects!$D:$D,MATCH(INDEX(FTE_Allocation!$E$2:$E$201,$AB1135),Projects!$A:$A,0))&amp;"","#PROJECT?"),INDEX(FTE_Allocation!$E$2:$E$201,$AB1135)&amp;""),"")))</f>
        <v/>
      </c>
      <c r="F1135" s="7">
        <f>IF($Z1135="C",INDEX(Contracts!$Q$2:$Q$151,$AB1135)&amp;"",IF($Z1135="A",INDEX(Fixed_Assets!$L$2:$L$201,$AB1135)&amp;"",IF($Z1135="F",INDEX(Workforce!$K$2:$K$151,MATCH(INDEX(FTE_Allocation!$A$2:$A$201,$AB1135),Workforce!$A$2:$A$151,0))&amp;"","")))</f>
        <v/>
      </c>
      <c r="G1135" s="7">
        <f>IF($Z1135="C",INDEX(Contracts!$F$2:$F$151,$AB1135)&amp;" / "&amp;INDEX(Contracts!$G$2:$G$151,$AB1135),IF($Z1135="A",INDEX(Fixed_Assets!$E$2:$E$201,$AB1135)&amp;"",IF($Z1135="F","Personnel "&amp;INDEX(FTE_Allocation!$A$2:$A$201,$AB1135)&amp;IF(INDEX(FTE_Allocation!$D$2:$D$201,$AB1135)="PROJECT"," ("&amp;INDEX(FTE_Allocation!$E$2:$E$201,$AB1135)&amp;")",""),"")))</f>
        <v/>
      </c>
      <c r="H1135" s="7">
        <f>IF($Z1135="C","CONTRACT",IF($Z1135="A","ASSET",IF($Z1135="F","WORKFORCE","")))</f>
        <v/>
      </c>
      <c r="I1135" s="7">
        <f>IF($Z1135="C",INDEX(Contracts!$L$2:$L$151,$AB1135)&amp;"",IF($Z1135="A",INDEX(Fixed_Assets!$I$2:$I$201,$AB1135)&amp;"",IF($Z1135="F",INDEX(Workforce!$G$2:$G$151,MATCH(INDEX(FTE_Allocation!$A$2:$A$201,$AB1135),Workforce!$A$2:$A$151,0))&amp;"","")))</f>
        <v/>
      </c>
      <c r="J1135" s="18">
        <f>IF($Z1135="","",IF(AND(DATE($AD1135,1,1)&gt;=$AE1135,DATE($AD1135,1,1)&lt;=$AF1135),ROUND($AG1135,2),0))</f>
        <v/>
      </c>
      <c r="K1135" s="18">
        <f>IF($Z1135="","",IF(AND(DATE($AD1135,2,1)&gt;=$AE1135,DATE($AD1135,2,1)&lt;=$AF1135),ROUND($AG1135,2),0))</f>
        <v/>
      </c>
      <c r="L1135" s="18">
        <f>IF($Z1135="","",IF(AND(DATE($AD1135,3,1)&gt;=$AE1135,DATE($AD1135,3,1)&lt;=$AF1135),ROUND($AG1135,2),0))</f>
        <v/>
      </c>
      <c r="M1135" s="18">
        <f>IF($Z1135="","",IF(AND(DATE($AD1135,4,1)&gt;=$AE1135,DATE($AD1135,4,1)&lt;=$AF1135),ROUND($AG1135,2),0))</f>
        <v/>
      </c>
      <c r="N1135" s="18">
        <f>IF($Z1135="","",IF(AND(DATE($AD1135,5,1)&gt;=$AE1135,DATE($AD1135,5,1)&lt;=$AF1135),ROUND($AG1135,2),0))</f>
        <v/>
      </c>
      <c r="O1135" s="18">
        <f>IF($Z1135="","",IF(AND(DATE($AD1135,6,1)&gt;=$AE1135,DATE($AD1135,6,1)&lt;=$AF1135),ROUND($AG1135,2),0))</f>
        <v/>
      </c>
      <c r="P1135" s="18">
        <f>IF($Z1135="","",IF(AND(DATE($AD1135,7,1)&gt;=$AE1135,DATE($AD1135,7,1)&lt;=$AF1135),ROUND($AG1135,2),0))</f>
        <v/>
      </c>
      <c r="Q1135" s="18">
        <f>IF($Z1135="","",IF(AND(DATE($AD1135,8,1)&gt;=$AE1135,DATE($AD1135,8,1)&lt;=$AF1135),ROUND($AG1135,2),0))</f>
        <v/>
      </c>
      <c r="R1135" s="18">
        <f>IF($Z1135="","",IF(AND(DATE($AD1135,9,1)&gt;=$AE1135,DATE($AD1135,9,1)&lt;=$AF1135),ROUND($AG1135,2),0))</f>
        <v/>
      </c>
      <c r="S1135" s="18">
        <f>IF($Z1135="","",IF(AND(DATE($AD1135,10,1)&gt;=$AE1135,DATE($AD1135,10,1)&lt;=$AF1135),ROUND($AG1135,2),0))</f>
        <v/>
      </c>
      <c r="T1135" s="18">
        <f>IF($Z1135="","",IF(AND(DATE($AD1135,11,1)&gt;=$AE1135,DATE($AD1135,11,1)&lt;=$AF1135),ROUND($AG1135,2),0))</f>
        <v/>
      </c>
      <c r="U1135" s="18">
        <f>IF($Z1135="","",IF(AND(DATE($AD1135,12,1)&gt;=$AE1135,DATE($AD1135,12,1)&lt;=$AF1135),ROUND($AG1135,2),0))</f>
        <v/>
      </c>
      <c r="V1135" s="7">
        <f>IF($Z1135="C","Generated from "&amp;INDEX(Contracts!$A$2:$A$151,$AB1135),IF($Z1135="A","Generated from "&amp;INDEX(Fixed_Assets!$A$2:$A$201,$AB1135),IF($Z1135="F","Generated from "&amp;INDEX(FTE_Allocation!$A$2:$A$201,$AB1135),"")))</f>
        <v/>
      </c>
      <c r="X1135" s="19">
        <f>IF($Z1135="","",SUM(J1135:U1135))</f>
        <v/>
      </c>
      <c r="Y1135" s="20">
        <f>ROW()-1</f>
        <v/>
      </c>
      <c r="Z1135" s="20">
        <f>IF($Y1135&lt;=Settings!$B$4*3,"C",IF($Y1135&lt;=(Settings!$B$4+Settings!$B$5)*3,"A",IF($Y1135&lt;=(Settings!$B$4+Settings!$B$5+Settings!$B$6)*3,"F","")))</f>
        <v/>
      </c>
      <c r="AA1135" s="20">
        <f>IF($Z1135="C",$Y1135,IF($Z1135="A",$Y1135-Settings!$B$4*3,IF($Z1135="F",$Y1135-(Settings!$B$4+Settings!$B$5)*3,"")))</f>
        <v/>
      </c>
      <c r="AB1135" s="20">
        <f>IF($Z1135="","",INT(($AA1135-1)/3)+1)</f>
        <v/>
      </c>
      <c r="AC1135" s="20">
        <f>IF($Z1135="","",MOD($AA1135-1,3)+1)</f>
        <v/>
      </c>
      <c r="AD1135" s="20">
        <f>IF($Z1135="","",Settings!$B$2+$AC1135-1)</f>
        <v/>
      </c>
      <c r="AE1135" s="21">
        <f>IF($Z1135="C",DATE(YEAR(INDEX(Contracts!$J$2:$J$151,$AB1135)),MONTH(INDEX(Contracts!$J$2:$J$151,$AB1135)),1),IF($Z1135="A",DATE(YEAR(INDEX(Fixed_Assets!$G$2:$G$201,$AB1135)),MONTH(INDEX(Fixed_Assets!$G$2:$G$201,$AB1135)),1),IF($Z1135="F",DATE(YEAR(MAX(N(INDEX(Workforce!$I$2:$I$151,MATCH(INDEX(FTE_Allocation!$A$2:$A$201,$AB1135),Workforce!$A$2:$A$151,0))),N(INDEX(FTE_Allocation!$I$2:$I$201,$AB1135)))),MONTH(MAX(N(INDEX(Workforce!$I$2:$I$151,MATCH(INDEX(FTE_Allocation!$A$2:$A$201,$AB1135),Workforce!$A$2:$A$151,0))),N(INDEX(FTE_Allocation!$I$2:$I$201,$AB1135)))),1),"")))</f>
        <v/>
      </c>
      <c r="AF1135" s="21">
        <f>IF($Z1135="C",IF(INDEX(Contracts!$I$2:$I$151,$AB1135)="PREPAID",EDATE(DATE(YEAR(INDEX(Contracts!$J$2:$J$151,$AB1135)),MONTH(INDEX(Contracts!$J$2:$J$151,$AB1135)),1),IF(INDEX(Contracts!$N$2:$N$151,$AB1135)="",12,INDEX(Contracts!$N$2:$N$151,$AB1135))-1),IF(INDEX(Contracts!$I$2:$I$151,$AB1135)="MONTHLY",IF(INDEX(Contracts!$K$2:$K$151,$AB1135)="",2958101,INDEX(Contracts!$K$2:$K$151,$AB1135)),0)),IF($Z1135="A",EDATE(DATE(YEAR(INDEX(Fixed_Assets!$G$2:$G$201,$AB1135)),MONTH(INDEX(Fixed_Assets!$G$2:$G$201,$AB1135)),1),INDEX(Fixed_Assets!$J$2:$J$201,$AB1135)-1),IF($Z1135="F",MIN(IF(INDEX(Workforce!$J$2:$J$151,MATCH(INDEX(FTE_Allocation!$A$2:$A$201,$AB1135),Workforce!$A$2:$A$151,0))="",2958101,INDEX(Workforce!$J$2:$J$151,MATCH(INDEX(FTE_Allocation!$A$2:$A$201,$AB1135),Workforce!$A$2:$A$151,0))),IF(INDEX(FTE_Allocation!$J$2:$J$201,$AB1135)="",2958101,INDEX(FTE_Allocation!$J$2:$J$201,$AB1135))),"")))</f>
        <v/>
      </c>
      <c r="AG1135" s="19">
        <f>IF($Z1135="C",IF(INDEX(Contracts!$I$2:$I$151,$AB1135)="PREPAID",INDEX(Contracts!$M$2:$M$151,$AB1135)/IF(INDEX(Contracts!$N$2:$N$151,$AB1135)="",12,INDEX(Contracts!$N$2:$N$151,$AB1135)),IF(INDEX(Contracts!$I$2:$I$151,$AB1135)="MONTHLY",INDEX(Contracts!$M$2:$M$151,$AB1135),0))*(1-N(INDEX(Contracts!$O$2:$O$151,$AB1135))),IF($Z1135="A",INDEX(Fixed_Assets!$H$2:$H$201,$AB1135)/INDEX(Fixed_Assets!$J$2:$J$201,$AB1135),IF($Z1135="F",INDEX(Workforce!$F$2:$F$151,MATCH(INDEX(FTE_Allocation!$A$2:$A$201,$AB1135),Workforce!$A$2:$A$151,0))*N(INDEX(FTE_Allocation!$F$2:$H$201,$AB1135,$AC1135)),"")))</f>
        <v/>
      </c>
    </row>
    <row r="1136">
      <c r="A1136" s="7">
        <f>IF($Z1136="","",$AD1136)</f>
        <v/>
      </c>
      <c r="B1136" s="7">
        <f>IF($Z1136="C",INDEX(Contracts!$D$2:$D$151,$AB1136)&amp;"",IF($Z1136="A",INDEX(Fixed_Assets!$C$2:$C$201,$AB1136)&amp;"",IF($Z1136="F",INDEX(Workforce!$B$2:$B$151,MATCH(INDEX(FTE_Allocation!$A$2:$A$201,$AB1136),Workforce!$A$2:$A$151,0))&amp;"","")))</f>
        <v/>
      </c>
      <c r="C1136" s="7">
        <f>IF($Z1136="C",INDEX(Contracts!$E$2:$E$151,$AB1136)&amp;"",IF($Z1136="A",INDEX(Fixed_Assets!$D$2:$D$201,$AB1136)&amp;"",IF($Z1136="F",INDEX(FTE_Allocation!$C$2:$C$201,$AB1136)&amp;"","")))</f>
        <v/>
      </c>
      <c r="D1136" s="7">
        <f>IF($Z1136="C",INDEX(Contracts!$B$2:$B$151,$AB1136)&amp;"",IF($Z1136="A",INDEX(Fixed_Assets!$B$2:$B$201,$AB1136)&amp;"",IF($Z1136="F",INDEX(FTE_Allocation!$B$2:$B$201,$AB1136)&amp;"","")))</f>
        <v/>
      </c>
      <c r="E1136" s="7">
        <f>IF($Z1136="C",INDEX(Contracts!$P$2:$P$151,$AB1136)&amp;"",IF($Z1136="A",INDEX(Fixed_Assets!$K$2:$K$201,$AB1136)&amp;"",IF($Z1136="F",IF(INDEX(FTE_Allocation!$D$2:$D$201,$AB1136)="PROJECT",IFERROR(INDEX(Projects!$D:$D,MATCH(INDEX(FTE_Allocation!$E$2:$E$201,$AB1136),Projects!$A:$A,0))&amp;"","#PROJECT?"),INDEX(FTE_Allocation!$E$2:$E$201,$AB1136)&amp;""),"")))</f>
        <v/>
      </c>
      <c r="F1136" s="7">
        <f>IF($Z1136="C",INDEX(Contracts!$Q$2:$Q$151,$AB1136)&amp;"",IF($Z1136="A",INDEX(Fixed_Assets!$L$2:$L$201,$AB1136)&amp;"",IF($Z1136="F",INDEX(Workforce!$K$2:$K$151,MATCH(INDEX(FTE_Allocation!$A$2:$A$201,$AB1136),Workforce!$A$2:$A$151,0))&amp;"","")))</f>
        <v/>
      </c>
      <c r="G1136" s="7">
        <f>IF($Z1136="C",INDEX(Contracts!$F$2:$F$151,$AB1136)&amp;" / "&amp;INDEX(Contracts!$G$2:$G$151,$AB1136),IF($Z1136="A",INDEX(Fixed_Assets!$E$2:$E$201,$AB1136)&amp;"",IF($Z1136="F","Personnel "&amp;INDEX(FTE_Allocation!$A$2:$A$201,$AB1136)&amp;IF(INDEX(FTE_Allocation!$D$2:$D$201,$AB1136)="PROJECT"," ("&amp;INDEX(FTE_Allocation!$E$2:$E$201,$AB1136)&amp;")",""),"")))</f>
        <v/>
      </c>
      <c r="H1136" s="7">
        <f>IF($Z1136="C","CONTRACT",IF($Z1136="A","ASSET",IF($Z1136="F","WORKFORCE","")))</f>
        <v/>
      </c>
      <c r="I1136" s="7">
        <f>IF($Z1136="C",INDEX(Contracts!$L$2:$L$151,$AB1136)&amp;"",IF($Z1136="A",INDEX(Fixed_Assets!$I$2:$I$201,$AB1136)&amp;"",IF($Z1136="F",INDEX(Workforce!$G$2:$G$151,MATCH(INDEX(FTE_Allocation!$A$2:$A$201,$AB1136),Workforce!$A$2:$A$151,0))&amp;"","")))</f>
        <v/>
      </c>
      <c r="J1136" s="18">
        <f>IF($Z1136="","",IF(AND(DATE($AD1136,1,1)&gt;=$AE1136,DATE($AD1136,1,1)&lt;=$AF1136),ROUND($AG1136,2),0))</f>
        <v/>
      </c>
      <c r="K1136" s="18">
        <f>IF($Z1136="","",IF(AND(DATE($AD1136,2,1)&gt;=$AE1136,DATE($AD1136,2,1)&lt;=$AF1136),ROUND($AG1136,2),0))</f>
        <v/>
      </c>
      <c r="L1136" s="18">
        <f>IF($Z1136="","",IF(AND(DATE($AD1136,3,1)&gt;=$AE1136,DATE($AD1136,3,1)&lt;=$AF1136),ROUND($AG1136,2),0))</f>
        <v/>
      </c>
      <c r="M1136" s="18">
        <f>IF($Z1136="","",IF(AND(DATE($AD1136,4,1)&gt;=$AE1136,DATE($AD1136,4,1)&lt;=$AF1136),ROUND($AG1136,2),0))</f>
        <v/>
      </c>
      <c r="N1136" s="18">
        <f>IF($Z1136="","",IF(AND(DATE($AD1136,5,1)&gt;=$AE1136,DATE($AD1136,5,1)&lt;=$AF1136),ROUND($AG1136,2),0))</f>
        <v/>
      </c>
      <c r="O1136" s="18">
        <f>IF($Z1136="","",IF(AND(DATE($AD1136,6,1)&gt;=$AE1136,DATE($AD1136,6,1)&lt;=$AF1136),ROUND($AG1136,2),0))</f>
        <v/>
      </c>
      <c r="P1136" s="18">
        <f>IF($Z1136="","",IF(AND(DATE($AD1136,7,1)&gt;=$AE1136,DATE($AD1136,7,1)&lt;=$AF1136),ROUND($AG1136,2),0))</f>
        <v/>
      </c>
      <c r="Q1136" s="18">
        <f>IF($Z1136="","",IF(AND(DATE($AD1136,8,1)&gt;=$AE1136,DATE($AD1136,8,1)&lt;=$AF1136),ROUND($AG1136,2),0))</f>
        <v/>
      </c>
      <c r="R1136" s="18">
        <f>IF($Z1136="","",IF(AND(DATE($AD1136,9,1)&gt;=$AE1136,DATE($AD1136,9,1)&lt;=$AF1136),ROUND($AG1136,2),0))</f>
        <v/>
      </c>
      <c r="S1136" s="18">
        <f>IF($Z1136="","",IF(AND(DATE($AD1136,10,1)&gt;=$AE1136,DATE($AD1136,10,1)&lt;=$AF1136),ROUND($AG1136,2),0))</f>
        <v/>
      </c>
      <c r="T1136" s="18">
        <f>IF($Z1136="","",IF(AND(DATE($AD1136,11,1)&gt;=$AE1136,DATE($AD1136,11,1)&lt;=$AF1136),ROUND($AG1136,2),0))</f>
        <v/>
      </c>
      <c r="U1136" s="18">
        <f>IF($Z1136="","",IF(AND(DATE($AD1136,12,1)&gt;=$AE1136,DATE($AD1136,12,1)&lt;=$AF1136),ROUND($AG1136,2),0))</f>
        <v/>
      </c>
      <c r="V1136" s="7">
        <f>IF($Z1136="C","Generated from "&amp;INDEX(Contracts!$A$2:$A$151,$AB1136),IF($Z1136="A","Generated from "&amp;INDEX(Fixed_Assets!$A$2:$A$201,$AB1136),IF($Z1136="F","Generated from "&amp;INDEX(FTE_Allocation!$A$2:$A$201,$AB1136),"")))</f>
        <v/>
      </c>
      <c r="X1136" s="19">
        <f>IF($Z1136="","",SUM(J1136:U1136))</f>
        <v/>
      </c>
      <c r="Y1136" s="20">
        <f>ROW()-1</f>
        <v/>
      </c>
      <c r="Z1136" s="20">
        <f>IF($Y1136&lt;=Settings!$B$4*3,"C",IF($Y1136&lt;=(Settings!$B$4+Settings!$B$5)*3,"A",IF($Y1136&lt;=(Settings!$B$4+Settings!$B$5+Settings!$B$6)*3,"F","")))</f>
        <v/>
      </c>
      <c r="AA1136" s="20">
        <f>IF($Z1136="C",$Y1136,IF($Z1136="A",$Y1136-Settings!$B$4*3,IF($Z1136="F",$Y1136-(Settings!$B$4+Settings!$B$5)*3,"")))</f>
        <v/>
      </c>
      <c r="AB1136" s="20">
        <f>IF($Z1136="","",INT(($AA1136-1)/3)+1)</f>
        <v/>
      </c>
      <c r="AC1136" s="20">
        <f>IF($Z1136="","",MOD($AA1136-1,3)+1)</f>
        <v/>
      </c>
      <c r="AD1136" s="20">
        <f>IF($Z1136="","",Settings!$B$2+$AC1136-1)</f>
        <v/>
      </c>
      <c r="AE1136" s="21">
        <f>IF($Z1136="C",DATE(YEAR(INDEX(Contracts!$J$2:$J$151,$AB1136)),MONTH(INDEX(Contracts!$J$2:$J$151,$AB1136)),1),IF($Z1136="A",DATE(YEAR(INDEX(Fixed_Assets!$G$2:$G$201,$AB1136)),MONTH(INDEX(Fixed_Assets!$G$2:$G$201,$AB1136)),1),IF($Z1136="F",DATE(YEAR(MAX(N(INDEX(Workforce!$I$2:$I$151,MATCH(INDEX(FTE_Allocation!$A$2:$A$201,$AB1136),Workforce!$A$2:$A$151,0))),N(INDEX(FTE_Allocation!$I$2:$I$201,$AB1136)))),MONTH(MAX(N(INDEX(Workforce!$I$2:$I$151,MATCH(INDEX(FTE_Allocation!$A$2:$A$201,$AB1136),Workforce!$A$2:$A$151,0))),N(INDEX(FTE_Allocation!$I$2:$I$201,$AB1136)))),1),"")))</f>
        <v/>
      </c>
      <c r="AF1136" s="21">
        <f>IF($Z1136="C",IF(INDEX(Contracts!$I$2:$I$151,$AB1136)="PREPAID",EDATE(DATE(YEAR(INDEX(Contracts!$J$2:$J$151,$AB1136)),MONTH(INDEX(Contracts!$J$2:$J$151,$AB1136)),1),IF(INDEX(Contracts!$N$2:$N$151,$AB1136)="",12,INDEX(Contracts!$N$2:$N$151,$AB1136))-1),IF(INDEX(Contracts!$I$2:$I$151,$AB1136)="MONTHLY",IF(INDEX(Contracts!$K$2:$K$151,$AB1136)="",2958101,INDEX(Contracts!$K$2:$K$151,$AB1136)),0)),IF($Z1136="A",EDATE(DATE(YEAR(INDEX(Fixed_Assets!$G$2:$G$201,$AB1136)),MONTH(INDEX(Fixed_Assets!$G$2:$G$201,$AB1136)),1),INDEX(Fixed_Assets!$J$2:$J$201,$AB1136)-1),IF($Z1136="F",MIN(IF(INDEX(Workforce!$J$2:$J$151,MATCH(INDEX(FTE_Allocation!$A$2:$A$201,$AB1136),Workforce!$A$2:$A$151,0))="",2958101,INDEX(Workforce!$J$2:$J$151,MATCH(INDEX(FTE_Allocation!$A$2:$A$201,$AB1136),Workforce!$A$2:$A$151,0))),IF(INDEX(FTE_Allocation!$J$2:$J$201,$AB1136)="",2958101,INDEX(FTE_Allocation!$J$2:$J$201,$AB1136))),"")))</f>
        <v/>
      </c>
      <c r="AG1136" s="19">
        <f>IF($Z1136="C",IF(INDEX(Contracts!$I$2:$I$151,$AB1136)="PREPAID",INDEX(Contracts!$M$2:$M$151,$AB1136)/IF(INDEX(Contracts!$N$2:$N$151,$AB1136)="",12,INDEX(Contracts!$N$2:$N$151,$AB1136)),IF(INDEX(Contracts!$I$2:$I$151,$AB1136)="MONTHLY",INDEX(Contracts!$M$2:$M$151,$AB1136),0))*(1-N(INDEX(Contracts!$O$2:$O$151,$AB1136))),IF($Z1136="A",INDEX(Fixed_Assets!$H$2:$H$201,$AB1136)/INDEX(Fixed_Assets!$J$2:$J$201,$AB1136),IF($Z1136="F",INDEX(Workforce!$F$2:$F$151,MATCH(INDEX(FTE_Allocation!$A$2:$A$201,$AB1136),Workforce!$A$2:$A$151,0))*N(INDEX(FTE_Allocation!$F$2:$H$201,$AB1136,$AC1136)),"")))</f>
        <v/>
      </c>
    </row>
    <row r="1137">
      <c r="A1137" s="7">
        <f>IF($Z1137="","",$AD1137)</f>
        <v/>
      </c>
      <c r="B1137" s="7">
        <f>IF($Z1137="C",INDEX(Contracts!$D$2:$D$151,$AB1137)&amp;"",IF($Z1137="A",INDEX(Fixed_Assets!$C$2:$C$201,$AB1137)&amp;"",IF($Z1137="F",INDEX(Workforce!$B$2:$B$151,MATCH(INDEX(FTE_Allocation!$A$2:$A$201,$AB1137),Workforce!$A$2:$A$151,0))&amp;"","")))</f>
        <v/>
      </c>
      <c r="C1137" s="7">
        <f>IF($Z1137="C",INDEX(Contracts!$E$2:$E$151,$AB1137)&amp;"",IF($Z1137="A",INDEX(Fixed_Assets!$D$2:$D$201,$AB1137)&amp;"",IF($Z1137="F",INDEX(FTE_Allocation!$C$2:$C$201,$AB1137)&amp;"","")))</f>
        <v/>
      </c>
      <c r="D1137" s="7">
        <f>IF($Z1137="C",INDEX(Contracts!$B$2:$B$151,$AB1137)&amp;"",IF($Z1137="A",INDEX(Fixed_Assets!$B$2:$B$201,$AB1137)&amp;"",IF($Z1137="F",INDEX(FTE_Allocation!$B$2:$B$201,$AB1137)&amp;"","")))</f>
        <v/>
      </c>
      <c r="E1137" s="7">
        <f>IF($Z1137="C",INDEX(Contracts!$P$2:$P$151,$AB1137)&amp;"",IF($Z1137="A",INDEX(Fixed_Assets!$K$2:$K$201,$AB1137)&amp;"",IF($Z1137="F",IF(INDEX(FTE_Allocation!$D$2:$D$201,$AB1137)="PROJECT",IFERROR(INDEX(Projects!$D:$D,MATCH(INDEX(FTE_Allocation!$E$2:$E$201,$AB1137),Projects!$A:$A,0))&amp;"","#PROJECT?"),INDEX(FTE_Allocation!$E$2:$E$201,$AB1137)&amp;""),"")))</f>
        <v/>
      </c>
      <c r="F1137" s="7">
        <f>IF($Z1137="C",INDEX(Contracts!$Q$2:$Q$151,$AB1137)&amp;"",IF($Z1137="A",INDEX(Fixed_Assets!$L$2:$L$201,$AB1137)&amp;"",IF($Z1137="F",INDEX(Workforce!$K$2:$K$151,MATCH(INDEX(FTE_Allocation!$A$2:$A$201,$AB1137),Workforce!$A$2:$A$151,0))&amp;"","")))</f>
        <v/>
      </c>
      <c r="G1137" s="7">
        <f>IF($Z1137="C",INDEX(Contracts!$F$2:$F$151,$AB1137)&amp;" / "&amp;INDEX(Contracts!$G$2:$G$151,$AB1137),IF($Z1137="A",INDEX(Fixed_Assets!$E$2:$E$201,$AB1137)&amp;"",IF($Z1137="F","Personnel "&amp;INDEX(FTE_Allocation!$A$2:$A$201,$AB1137)&amp;IF(INDEX(FTE_Allocation!$D$2:$D$201,$AB1137)="PROJECT"," ("&amp;INDEX(FTE_Allocation!$E$2:$E$201,$AB1137)&amp;")",""),"")))</f>
        <v/>
      </c>
      <c r="H1137" s="7">
        <f>IF($Z1137="C","CONTRACT",IF($Z1137="A","ASSET",IF($Z1137="F","WORKFORCE","")))</f>
        <v/>
      </c>
      <c r="I1137" s="7">
        <f>IF($Z1137="C",INDEX(Contracts!$L$2:$L$151,$AB1137)&amp;"",IF($Z1137="A",INDEX(Fixed_Assets!$I$2:$I$201,$AB1137)&amp;"",IF($Z1137="F",INDEX(Workforce!$G$2:$G$151,MATCH(INDEX(FTE_Allocation!$A$2:$A$201,$AB1137),Workforce!$A$2:$A$151,0))&amp;"","")))</f>
        <v/>
      </c>
      <c r="J1137" s="18">
        <f>IF($Z1137="","",IF(AND(DATE($AD1137,1,1)&gt;=$AE1137,DATE($AD1137,1,1)&lt;=$AF1137),ROUND($AG1137,2),0))</f>
        <v/>
      </c>
      <c r="K1137" s="18">
        <f>IF($Z1137="","",IF(AND(DATE($AD1137,2,1)&gt;=$AE1137,DATE($AD1137,2,1)&lt;=$AF1137),ROUND($AG1137,2),0))</f>
        <v/>
      </c>
      <c r="L1137" s="18">
        <f>IF($Z1137="","",IF(AND(DATE($AD1137,3,1)&gt;=$AE1137,DATE($AD1137,3,1)&lt;=$AF1137),ROUND($AG1137,2),0))</f>
        <v/>
      </c>
      <c r="M1137" s="18">
        <f>IF($Z1137="","",IF(AND(DATE($AD1137,4,1)&gt;=$AE1137,DATE($AD1137,4,1)&lt;=$AF1137),ROUND($AG1137,2),0))</f>
        <v/>
      </c>
      <c r="N1137" s="18">
        <f>IF($Z1137="","",IF(AND(DATE($AD1137,5,1)&gt;=$AE1137,DATE($AD1137,5,1)&lt;=$AF1137),ROUND($AG1137,2),0))</f>
        <v/>
      </c>
      <c r="O1137" s="18">
        <f>IF($Z1137="","",IF(AND(DATE($AD1137,6,1)&gt;=$AE1137,DATE($AD1137,6,1)&lt;=$AF1137),ROUND($AG1137,2),0))</f>
        <v/>
      </c>
      <c r="P1137" s="18">
        <f>IF($Z1137="","",IF(AND(DATE($AD1137,7,1)&gt;=$AE1137,DATE($AD1137,7,1)&lt;=$AF1137),ROUND($AG1137,2),0))</f>
        <v/>
      </c>
      <c r="Q1137" s="18">
        <f>IF($Z1137="","",IF(AND(DATE($AD1137,8,1)&gt;=$AE1137,DATE($AD1137,8,1)&lt;=$AF1137),ROUND($AG1137,2),0))</f>
        <v/>
      </c>
      <c r="R1137" s="18">
        <f>IF($Z1137="","",IF(AND(DATE($AD1137,9,1)&gt;=$AE1137,DATE($AD1137,9,1)&lt;=$AF1137),ROUND($AG1137,2),0))</f>
        <v/>
      </c>
      <c r="S1137" s="18">
        <f>IF($Z1137="","",IF(AND(DATE($AD1137,10,1)&gt;=$AE1137,DATE($AD1137,10,1)&lt;=$AF1137),ROUND($AG1137,2),0))</f>
        <v/>
      </c>
      <c r="T1137" s="18">
        <f>IF($Z1137="","",IF(AND(DATE($AD1137,11,1)&gt;=$AE1137,DATE($AD1137,11,1)&lt;=$AF1137),ROUND($AG1137,2),0))</f>
        <v/>
      </c>
      <c r="U1137" s="18">
        <f>IF($Z1137="","",IF(AND(DATE($AD1137,12,1)&gt;=$AE1137,DATE($AD1137,12,1)&lt;=$AF1137),ROUND($AG1137,2),0))</f>
        <v/>
      </c>
      <c r="V1137" s="7">
        <f>IF($Z1137="C","Generated from "&amp;INDEX(Contracts!$A$2:$A$151,$AB1137),IF($Z1137="A","Generated from "&amp;INDEX(Fixed_Assets!$A$2:$A$201,$AB1137),IF($Z1137="F","Generated from "&amp;INDEX(FTE_Allocation!$A$2:$A$201,$AB1137),"")))</f>
        <v/>
      </c>
      <c r="X1137" s="19">
        <f>IF($Z1137="","",SUM(J1137:U1137))</f>
        <v/>
      </c>
      <c r="Y1137" s="20">
        <f>ROW()-1</f>
        <v/>
      </c>
      <c r="Z1137" s="20">
        <f>IF($Y1137&lt;=Settings!$B$4*3,"C",IF($Y1137&lt;=(Settings!$B$4+Settings!$B$5)*3,"A",IF($Y1137&lt;=(Settings!$B$4+Settings!$B$5+Settings!$B$6)*3,"F","")))</f>
        <v/>
      </c>
      <c r="AA1137" s="20">
        <f>IF($Z1137="C",$Y1137,IF($Z1137="A",$Y1137-Settings!$B$4*3,IF($Z1137="F",$Y1137-(Settings!$B$4+Settings!$B$5)*3,"")))</f>
        <v/>
      </c>
      <c r="AB1137" s="20">
        <f>IF($Z1137="","",INT(($AA1137-1)/3)+1)</f>
        <v/>
      </c>
      <c r="AC1137" s="20">
        <f>IF($Z1137="","",MOD($AA1137-1,3)+1)</f>
        <v/>
      </c>
      <c r="AD1137" s="20">
        <f>IF($Z1137="","",Settings!$B$2+$AC1137-1)</f>
        <v/>
      </c>
      <c r="AE1137" s="21">
        <f>IF($Z1137="C",DATE(YEAR(INDEX(Contracts!$J$2:$J$151,$AB1137)),MONTH(INDEX(Contracts!$J$2:$J$151,$AB1137)),1),IF($Z1137="A",DATE(YEAR(INDEX(Fixed_Assets!$G$2:$G$201,$AB1137)),MONTH(INDEX(Fixed_Assets!$G$2:$G$201,$AB1137)),1),IF($Z1137="F",DATE(YEAR(MAX(N(INDEX(Workforce!$I$2:$I$151,MATCH(INDEX(FTE_Allocation!$A$2:$A$201,$AB1137),Workforce!$A$2:$A$151,0))),N(INDEX(FTE_Allocation!$I$2:$I$201,$AB1137)))),MONTH(MAX(N(INDEX(Workforce!$I$2:$I$151,MATCH(INDEX(FTE_Allocation!$A$2:$A$201,$AB1137),Workforce!$A$2:$A$151,0))),N(INDEX(FTE_Allocation!$I$2:$I$201,$AB1137)))),1),"")))</f>
        <v/>
      </c>
      <c r="AF1137" s="21">
        <f>IF($Z1137="C",IF(INDEX(Contracts!$I$2:$I$151,$AB1137)="PREPAID",EDATE(DATE(YEAR(INDEX(Contracts!$J$2:$J$151,$AB1137)),MONTH(INDEX(Contracts!$J$2:$J$151,$AB1137)),1),IF(INDEX(Contracts!$N$2:$N$151,$AB1137)="",12,INDEX(Contracts!$N$2:$N$151,$AB1137))-1),IF(INDEX(Contracts!$I$2:$I$151,$AB1137)="MONTHLY",IF(INDEX(Contracts!$K$2:$K$151,$AB1137)="",2958101,INDEX(Contracts!$K$2:$K$151,$AB1137)),0)),IF($Z1137="A",EDATE(DATE(YEAR(INDEX(Fixed_Assets!$G$2:$G$201,$AB1137)),MONTH(INDEX(Fixed_Assets!$G$2:$G$201,$AB1137)),1),INDEX(Fixed_Assets!$J$2:$J$201,$AB1137)-1),IF($Z1137="F",MIN(IF(INDEX(Workforce!$J$2:$J$151,MATCH(INDEX(FTE_Allocation!$A$2:$A$201,$AB1137),Workforce!$A$2:$A$151,0))="",2958101,INDEX(Workforce!$J$2:$J$151,MATCH(INDEX(FTE_Allocation!$A$2:$A$201,$AB1137),Workforce!$A$2:$A$151,0))),IF(INDEX(FTE_Allocation!$J$2:$J$201,$AB1137)="",2958101,INDEX(FTE_Allocation!$J$2:$J$201,$AB1137))),"")))</f>
        <v/>
      </c>
      <c r="AG1137" s="19">
        <f>IF($Z1137="C",IF(INDEX(Contracts!$I$2:$I$151,$AB1137)="PREPAID",INDEX(Contracts!$M$2:$M$151,$AB1137)/IF(INDEX(Contracts!$N$2:$N$151,$AB1137)="",12,INDEX(Contracts!$N$2:$N$151,$AB1137)),IF(INDEX(Contracts!$I$2:$I$151,$AB1137)="MONTHLY",INDEX(Contracts!$M$2:$M$151,$AB1137),0))*(1-N(INDEX(Contracts!$O$2:$O$151,$AB1137))),IF($Z1137="A",INDEX(Fixed_Assets!$H$2:$H$201,$AB1137)/INDEX(Fixed_Assets!$J$2:$J$201,$AB1137),IF($Z1137="F",INDEX(Workforce!$F$2:$F$151,MATCH(INDEX(FTE_Allocation!$A$2:$A$201,$AB1137),Workforce!$A$2:$A$151,0))*N(INDEX(FTE_Allocation!$F$2:$H$201,$AB1137,$AC1137)),"")))</f>
        <v/>
      </c>
    </row>
    <row r="1138">
      <c r="A1138" s="7">
        <f>IF($Z1138="","",$AD1138)</f>
        <v/>
      </c>
      <c r="B1138" s="7">
        <f>IF($Z1138="C",INDEX(Contracts!$D$2:$D$151,$AB1138)&amp;"",IF($Z1138="A",INDEX(Fixed_Assets!$C$2:$C$201,$AB1138)&amp;"",IF($Z1138="F",INDEX(Workforce!$B$2:$B$151,MATCH(INDEX(FTE_Allocation!$A$2:$A$201,$AB1138),Workforce!$A$2:$A$151,0))&amp;"","")))</f>
        <v/>
      </c>
      <c r="C1138" s="7">
        <f>IF($Z1138="C",INDEX(Contracts!$E$2:$E$151,$AB1138)&amp;"",IF($Z1138="A",INDEX(Fixed_Assets!$D$2:$D$201,$AB1138)&amp;"",IF($Z1138="F",INDEX(FTE_Allocation!$C$2:$C$201,$AB1138)&amp;"","")))</f>
        <v/>
      </c>
      <c r="D1138" s="7">
        <f>IF($Z1138="C",INDEX(Contracts!$B$2:$B$151,$AB1138)&amp;"",IF($Z1138="A",INDEX(Fixed_Assets!$B$2:$B$201,$AB1138)&amp;"",IF($Z1138="F",INDEX(FTE_Allocation!$B$2:$B$201,$AB1138)&amp;"","")))</f>
        <v/>
      </c>
      <c r="E1138" s="7">
        <f>IF($Z1138="C",INDEX(Contracts!$P$2:$P$151,$AB1138)&amp;"",IF($Z1138="A",INDEX(Fixed_Assets!$K$2:$K$201,$AB1138)&amp;"",IF($Z1138="F",IF(INDEX(FTE_Allocation!$D$2:$D$201,$AB1138)="PROJECT",IFERROR(INDEX(Projects!$D:$D,MATCH(INDEX(FTE_Allocation!$E$2:$E$201,$AB1138),Projects!$A:$A,0))&amp;"","#PROJECT?"),INDEX(FTE_Allocation!$E$2:$E$201,$AB1138)&amp;""),"")))</f>
        <v/>
      </c>
      <c r="F1138" s="7">
        <f>IF($Z1138="C",INDEX(Contracts!$Q$2:$Q$151,$AB1138)&amp;"",IF($Z1138="A",INDEX(Fixed_Assets!$L$2:$L$201,$AB1138)&amp;"",IF($Z1138="F",INDEX(Workforce!$K$2:$K$151,MATCH(INDEX(FTE_Allocation!$A$2:$A$201,$AB1138),Workforce!$A$2:$A$151,0))&amp;"","")))</f>
        <v/>
      </c>
      <c r="G1138" s="7">
        <f>IF($Z1138="C",INDEX(Contracts!$F$2:$F$151,$AB1138)&amp;" / "&amp;INDEX(Contracts!$G$2:$G$151,$AB1138),IF($Z1138="A",INDEX(Fixed_Assets!$E$2:$E$201,$AB1138)&amp;"",IF($Z1138="F","Personnel "&amp;INDEX(FTE_Allocation!$A$2:$A$201,$AB1138)&amp;IF(INDEX(FTE_Allocation!$D$2:$D$201,$AB1138)="PROJECT"," ("&amp;INDEX(FTE_Allocation!$E$2:$E$201,$AB1138)&amp;")",""),"")))</f>
        <v/>
      </c>
      <c r="H1138" s="7">
        <f>IF($Z1138="C","CONTRACT",IF($Z1138="A","ASSET",IF($Z1138="F","WORKFORCE","")))</f>
        <v/>
      </c>
      <c r="I1138" s="7">
        <f>IF($Z1138="C",INDEX(Contracts!$L$2:$L$151,$AB1138)&amp;"",IF($Z1138="A",INDEX(Fixed_Assets!$I$2:$I$201,$AB1138)&amp;"",IF($Z1138="F",INDEX(Workforce!$G$2:$G$151,MATCH(INDEX(FTE_Allocation!$A$2:$A$201,$AB1138),Workforce!$A$2:$A$151,0))&amp;"","")))</f>
        <v/>
      </c>
      <c r="J1138" s="18">
        <f>IF($Z1138="","",IF(AND(DATE($AD1138,1,1)&gt;=$AE1138,DATE($AD1138,1,1)&lt;=$AF1138),ROUND($AG1138,2),0))</f>
        <v/>
      </c>
      <c r="K1138" s="18">
        <f>IF($Z1138="","",IF(AND(DATE($AD1138,2,1)&gt;=$AE1138,DATE($AD1138,2,1)&lt;=$AF1138),ROUND($AG1138,2),0))</f>
        <v/>
      </c>
      <c r="L1138" s="18">
        <f>IF($Z1138="","",IF(AND(DATE($AD1138,3,1)&gt;=$AE1138,DATE($AD1138,3,1)&lt;=$AF1138),ROUND($AG1138,2),0))</f>
        <v/>
      </c>
      <c r="M1138" s="18">
        <f>IF($Z1138="","",IF(AND(DATE($AD1138,4,1)&gt;=$AE1138,DATE($AD1138,4,1)&lt;=$AF1138),ROUND($AG1138,2),0))</f>
        <v/>
      </c>
      <c r="N1138" s="18">
        <f>IF($Z1138="","",IF(AND(DATE($AD1138,5,1)&gt;=$AE1138,DATE($AD1138,5,1)&lt;=$AF1138),ROUND($AG1138,2),0))</f>
        <v/>
      </c>
      <c r="O1138" s="18">
        <f>IF($Z1138="","",IF(AND(DATE($AD1138,6,1)&gt;=$AE1138,DATE($AD1138,6,1)&lt;=$AF1138),ROUND($AG1138,2),0))</f>
        <v/>
      </c>
      <c r="P1138" s="18">
        <f>IF($Z1138="","",IF(AND(DATE($AD1138,7,1)&gt;=$AE1138,DATE($AD1138,7,1)&lt;=$AF1138),ROUND($AG1138,2),0))</f>
        <v/>
      </c>
      <c r="Q1138" s="18">
        <f>IF($Z1138="","",IF(AND(DATE($AD1138,8,1)&gt;=$AE1138,DATE($AD1138,8,1)&lt;=$AF1138),ROUND($AG1138,2),0))</f>
        <v/>
      </c>
      <c r="R1138" s="18">
        <f>IF($Z1138="","",IF(AND(DATE($AD1138,9,1)&gt;=$AE1138,DATE($AD1138,9,1)&lt;=$AF1138),ROUND($AG1138,2),0))</f>
        <v/>
      </c>
      <c r="S1138" s="18">
        <f>IF($Z1138="","",IF(AND(DATE($AD1138,10,1)&gt;=$AE1138,DATE($AD1138,10,1)&lt;=$AF1138),ROUND($AG1138,2),0))</f>
        <v/>
      </c>
      <c r="T1138" s="18">
        <f>IF($Z1138="","",IF(AND(DATE($AD1138,11,1)&gt;=$AE1138,DATE($AD1138,11,1)&lt;=$AF1138),ROUND($AG1138,2),0))</f>
        <v/>
      </c>
      <c r="U1138" s="18">
        <f>IF($Z1138="","",IF(AND(DATE($AD1138,12,1)&gt;=$AE1138,DATE($AD1138,12,1)&lt;=$AF1138),ROUND($AG1138,2),0))</f>
        <v/>
      </c>
      <c r="V1138" s="7">
        <f>IF($Z1138="C","Generated from "&amp;INDEX(Contracts!$A$2:$A$151,$AB1138),IF($Z1138="A","Generated from "&amp;INDEX(Fixed_Assets!$A$2:$A$201,$AB1138),IF($Z1138="F","Generated from "&amp;INDEX(FTE_Allocation!$A$2:$A$201,$AB1138),"")))</f>
        <v/>
      </c>
      <c r="X1138" s="19">
        <f>IF($Z1138="","",SUM(J1138:U1138))</f>
        <v/>
      </c>
      <c r="Y1138" s="20">
        <f>ROW()-1</f>
        <v/>
      </c>
      <c r="Z1138" s="20">
        <f>IF($Y1138&lt;=Settings!$B$4*3,"C",IF($Y1138&lt;=(Settings!$B$4+Settings!$B$5)*3,"A",IF($Y1138&lt;=(Settings!$B$4+Settings!$B$5+Settings!$B$6)*3,"F","")))</f>
        <v/>
      </c>
      <c r="AA1138" s="20">
        <f>IF($Z1138="C",$Y1138,IF($Z1138="A",$Y1138-Settings!$B$4*3,IF($Z1138="F",$Y1138-(Settings!$B$4+Settings!$B$5)*3,"")))</f>
        <v/>
      </c>
      <c r="AB1138" s="20">
        <f>IF($Z1138="","",INT(($AA1138-1)/3)+1)</f>
        <v/>
      </c>
      <c r="AC1138" s="20">
        <f>IF($Z1138="","",MOD($AA1138-1,3)+1)</f>
        <v/>
      </c>
      <c r="AD1138" s="20">
        <f>IF($Z1138="","",Settings!$B$2+$AC1138-1)</f>
        <v/>
      </c>
      <c r="AE1138" s="21">
        <f>IF($Z1138="C",DATE(YEAR(INDEX(Contracts!$J$2:$J$151,$AB1138)),MONTH(INDEX(Contracts!$J$2:$J$151,$AB1138)),1),IF($Z1138="A",DATE(YEAR(INDEX(Fixed_Assets!$G$2:$G$201,$AB1138)),MONTH(INDEX(Fixed_Assets!$G$2:$G$201,$AB1138)),1),IF($Z1138="F",DATE(YEAR(MAX(N(INDEX(Workforce!$I$2:$I$151,MATCH(INDEX(FTE_Allocation!$A$2:$A$201,$AB1138),Workforce!$A$2:$A$151,0))),N(INDEX(FTE_Allocation!$I$2:$I$201,$AB1138)))),MONTH(MAX(N(INDEX(Workforce!$I$2:$I$151,MATCH(INDEX(FTE_Allocation!$A$2:$A$201,$AB1138),Workforce!$A$2:$A$151,0))),N(INDEX(FTE_Allocation!$I$2:$I$201,$AB1138)))),1),"")))</f>
        <v/>
      </c>
      <c r="AF1138" s="21">
        <f>IF($Z1138="C",IF(INDEX(Contracts!$I$2:$I$151,$AB1138)="PREPAID",EDATE(DATE(YEAR(INDEX(Contracts!$J$2:$J$151,$AB1138)),MONTH(INDEX(Contracts!$J$2:$J$151,$AB1138)),1),IF(INDEX(Contracts!$N$2:$N$151,$AB1138)="",12,INDEX(Contracts!$N$2:$N$151,$AB1138))-1),IF(INDEX(Contracts!$I$2:$I$151,$AB1138)="MONTHLY",IF(INDEX(Contracts!$K$2:$K$151,$AB1138)="",2958101,INDEX(Contracts!$K$2:$K$151,$AB1138)),0)),IF($Z1138="A",EDATE(DATE(YEAR(INDEX(Fixed_Assets!$G$2:$G$201,$AB1138)),MONTH(INDEX(Fixed_Assets!$G$2:$G$201,$AB1138)),1),INDEX(Fixed_Assets!$J$2:$J$201,$AB1138)-1),IF($Z1138="F",MIN(IF(INDEX(Workforce!$J$2:$J$151,MATCH(INDEX(FTE_Allocation!$A$2:$A$201,$AB1138),Workforce!$A$2:$A$151,0))="",2958101,INDEX(Workforce!$J$2:$J$151,MATCH(INDEX(FTE_Allocation!$A$2:$A$201,$AB1138),Workforce!$A$2:$A$151,0))),IF(INDEX(FTE_Allocation!$J$2:$J$201,$AB1138)="",2958101,INDEX(FTE_Allocation!$J$2:$J$201,$AB1138))),"")))</f>
        <v/>
      </c>
      <c r="AG1138" s="19">
        <f>IF($Z1138="C",IF(INDEX(Contracts!$I$2:$I$151,$AB1138)="PREPAID",INDEX(Contracts!$M$2:$M$151,$AB1138)/IF(INDEX(Contracts!$N$2:$N$151,$AB1138)="",12,INDEX(Contracts!$N$2:$N$151,$AB1138)),IF(INDEX(Contracts!$I$2:$I$151,$AB1138)="MONTHLY",INDEX(Contracts!$M$2:$M$151,$AB1138),0))*(1-N(INDEX(Contracts!$O$2:$O$151,$AB1138))),IF($Z1138="A",INDEX(Fixed_Assets!$H$2:$H$201,$AB1138)/INDEX(Fixed_Assets!$J$2:$J$201,$AB1138),IF($Z1138="F",INDEX(Workforce!$F$2:$F$151,MATCH(INDEX(FTE_Allocation!$A$2:$A$201,$AB1138),Workforce!$A$2:$A$151,0))*N(INDEX(FTE_Allocation!$F$2:$H$201,$AB1138,$AC1138)),"")))</f>
        <v/>
      </c>
    </row>
    <row r="1139">
      <c r="A1139" s="7">
        <f>IF($Z1139="","",$AD1139)</f>
        <v/>
      </c>
      <c r="B1139" s="7">
        <f>IF($Z1139="C",INDEX(Contracts!$D$2:$D$151,$AB1139)&amp;"",IF($Z1139="A",INDEX(Fixed_Assets!$C$2:$C$201,$AB1139)&amp;"",IF($Z1139="F",INDEX(Workforce!$B$2:$B$151,MATCH(INDEX(FTE_Allocation!$A$2:$A$201,$AB1139),Workforce!$A$2:$A$151,0))&amp;"","")))</f>
        <v/>
      </c>
      <c r="C1139" s="7">
        <f>IF($Z1139="C",INDEX(Contracts!$E$2:$E$151,$AB1139)&amp;"",IF($Z1139="A",INDEX(Fixed_Assets!$D$2:$D$201,$AB1139)&amp;"",IF($Z1139="F",INDEX(FTE_Allocation!$C$2:$C$201,$AB1139)&amp;"","")))</f>
        <v/>
      </c>
      <c r="D1139" s="7">
        <f>IF($Z1139="C",INDEX(Contracts!$B$2:$B$151,$AB1139)&amp;"",IF($Z1139="A",INDEX(Fixed_Assets!$B$2:$B$201,$AB1139)&amp;"",IF($Z1139="F",INDEX(FTE_Allocation!$B$2:$B$201,$AB1139)&amp;"","")))</f>
        <v/>
      </c>
      <c r="E1139" s="7">
        <f>IF($Z1139="C",INDEX(Contracts!$P$2:$P$151,$AB1139)&amp;"",IF($Z1139="A",INDEX(Fixed_Assets!$K$2:$K$201,$AB1139)&amp;"",IF($Z1139="F",IF(INDEX(FTE_Allocation!$D$2:$D$201,$AB1139)="PROJECT",IFERROR(INDEX(Projects!$D:$D,MATCH(INDEX(FTE_Allocation!$E$2:$E$201,$AB1139),Projects!$A:$A,0))&amp;"","#PROJECT?"),INDEX(FTE_Allocation!$E$2:$E$201,$AB1139)&amp;""),"")))</f>
        <v/>
      </c>
      <c r="F1139" s="7">
        <f>IF($Z1139="C",INDEX(Contracts!$Q$2:$Q$151,$AB1139)&amp;"",IF($Z1139="A",INDEX(Fixed_Assets!$L$2:$L$201,$AB1139)&amp;"",IF($Z1139="F",INDEX(Workforce!$K$2:$K$151,MATCH(INDEX(FTE_Allocation!$A$2:$A$201,$AB1139),Workforce!$A$2:$A$151,0))&amp;"","")))</f>
        <v/>
      </c>
      <c r="G1139" s="7">
        <f>IF($Z1139="C",INDEX(Contracts!$F$2:$F$151,$AB1139)&amp;" / "&amp;INDEX(Contracts!$G$2:$G$151,$AB1139),IF($Z1139="A",INDEX(Fixed_Assets!$E$2:$E$201,$AB1139)&amp;"",IF($Z1139="F","Personnel "&amp;INDEX(FTE_Allocation!$A$2:$A$201,$AB1139)&amp;IF(INDEX(FTE_Allocation!$D$2:$D$201,$AB1139)="PROJECT"," ("&amp;INDEX(FTE_Allocation!$E$2:$E$201,$AB1139)&amp;")",""),"")))</f>
        <v/>
      </c>
      <c r="H1139" s="7">
        <f>IF($Z1139="C","CONTRACT",IF($Z1139="A","ASSET",IF($Z1139="F","WORKFORCE","")))</f>
        <v/>
      </c>
      <c r="I1139" s="7">
        <f>IF($Z1139="C",INDEX(Contracts!$L$2:$L$151,$AB1139)&amp;"",IF($Z1139="A",INDEX(Fixed_Assets!$I$2:$I$201,$AB1139)&amp;"",IF($Z1139="F",INDEX(Workforce!$G$2:$G$151,MATCH(INDEX(FTE_Allocation!$A$2:$A$201,$AB1139),Workforce!$A$2:$A$151,0))&amp;"","")))</f>
        <v/>
      </c>
      <c r="J1139" s="18">
        <f>IF($Z1139="","",IF(AND(DATE($AD1139,1,1)&gt;=$AE1139,DATE($AD1139,1,1)&lt;=$AF1139),ROUND($AG1139,2),0))</f>
        <v/>
      </c>
      <c r="K1139" s="18">
        <f>IF($Z1139="","",IF(AND(DATE($AD1139,2,1)&gt;=$AE1139,DATE($AD1139,2,1)&lt;=$AF1139),ROUND($AG1139,2),0))</f>
        <v/>
      </c>
      <c r="L1139" s="18">
        <f>IF($Z1139="","",IF(AND(DATE($AD1139,3,1)&gt;=$AE1139,DATE($AD1139,3,1)&lt;=$AF1139),ROUND($AG1139,2),0))</f>
        <v/>
      </c>
      <c r="M1139" s="18">
        <f>IF($Z1139="","",IF(AND(DATE($AD1139,4,1)&gt;=$AE1139,DATE($AD1139,4,1)&lt;=$AF1139),ROUND($AG1139,2),0))</f>
        <v/>
      </c>
      <c r="N1139" s="18">
        <f>IF($Z1139="","",IF(AND(DATE($AD1139,5,1)&gt;=$AE1139,DATE($AD1139,5,1)&lt;=$AF1139),ROUND($AG1139,2),0))</f>
        <v/>
      </c>
      <c r="O1139" s="18">
        <f>IF($Z1139="","",IF(AND(DATE($AD1139,6,1)&gt;=$AE1139,DATE($AD1139,6,1)&lt;=$AF1139),ROUND($AG1139,2),0))</f>
        <v/>
      </c>
      <c r="P1139" s="18">
        <f>IF($Z1139="","",IF(AND(DATE($AD1139,7,1)&gt;=$AE1139,DATE($AD1139,7,1)&lt;=$AF1139),ROUND($AG1139,2),0))</f>
        <v/>
      </c>
      <c r="Q1139" s="18">
        <f>IF($Z1139="","",IF(AND(DATE($AD1139,8,1)&gt;=$AE1139,DATE($AD1139,8,1)&lt;=$AF1139),ROUND($AG1139,2),0))</f>
        <v/>
      </c>
      <c r="R1139" s="18">
        <f>IF($Z1139="","",IF(AND(DATE($AD1139,9,1)&gt;=$AE1139,DATE($AD1139,9,1)&lt;=$AF1139),ROUND($AG1139,2),0))</f>
        <v/>
      </c>
      <c r="S1139" s="18">
        <f>IF($Z1139="","",IF(AND(DATE($AD1139,10,1)&gt;=$AE1139,DATE($AD1139,10,1)&lt;=$AF1139),ROUND($AG1139,2),0))</f>
        <v/>
      </c>
      <c r="T1139" s="18">
        <f>IF($Z1139="","",IF(AND(DATE($AD1139,11,1)&gt;=$AE1139,DATE($AD1139,11,1)&lt;=$AF1139),ROUND($AG1139,2),0))</f>
        <v/>
      </c>
      <c r="U1139" s="18">
        <f>IF($Z1139="","",IF(AND(DATE($AD1139,12,1)&gt;=$AE1139,DATE($AD1139,12,1)&lt;=$AF1139),ROUND($AG1139,2),0))</f>
        <v/>
      </c>
      <c r="V1139" s="7">
        <f>IF($Z1139="C","Generated from "&amp;INDEX(Contracts!$A$2:$A$151,$AB1139),IF($Z1139="A","Generated from "&amp;INDEX(Fixed_Assets!$A$2:$A$201,$AB1139),IF($Z1139="F","Generated from "&amp;INDEX(FTE_Allocation!$A$2:$A$201,$AB1139),"")))</f>
        <v/>
      </c>
      <c r="X1139" s="19">
        <f>IF($Z1139="","",SUM(J1139:U1139))</f>
        <v/>
      </c>
      <c r="Y1139" s="20">
        <f>ROW()-1</f>
        <v/>
      </c>
      <c r="Z1139" s="20">
        <f>IF($Y1139&lt;=Settings!$B$4*3,"C",IF($Y1139&lt;=(Settings!$B$4+Settings!$B$5)*3,"A",IF($Y1139&lt;=(Settings!$B$4+Settings!$B$5+Settings!$B$6)*3,"F","")))</f>
        <v/>
      </c>
      <c r="AA1139" s="20">
        <f>IF($Z1139="C",$Y1139,IF($Z1139="A",$Y1139-Settings!$B$4*3,IF($Z1139="F",$Y1139-(Settings!$B$4+Settings!$B$5)*3,"")))</f>
        <v/>
      </c>
      <c r="AB1139" s="20">
        <f>IF($Z1139="","",INT(($AA1139-1)/3)+1)</f>
        <v/>
      </c>
      <c r="AC1139" s="20">
        <f>IF($Z1139="","",MOD($AA1139-1,3)+1)</f>
        <v/>
      </c>
      <c r="AD1139" s="20">
        <f>IF($Z1139="","",Settings!$B$2+$AC1139-1)</f>
        <v/>
      </c>
      <c r="AE1139" s="21">
        <f>IF($Z1139="C",DATE(YEAR(INDEX(Contracts!$J$2:$J$151,$AB1139)),MONTH(INDEX(Contracts!$J$2:$J$151,$AB1139)),1),IF($Z1139="A",DATE(YEAR(INDEX(Fixed_Assets!$G$2:$G$201,$AB1139)),MONTH(INDEX(Fixed_Assets!$G$2:$G$201,$AB1139)),1),IF($Z1139="F",DATE(YEAR(MAX(N(INDEX(Workforce!$I$2:$I$151,MATCH(INDEX(FTE_Allocation!$A$2:$A$201,$AB1139),Workforce!$A$2:$A$151,0))),N(INDEX(FTE_Allocation!$I$2:$I$201,$AB1139)))),MONTH(MAX(N(INDEX(Workforce!$I$2:$I$151,MATCH(INDEX(FTE_Allocation!$A$2:$A$201,$AB1139),Workforce!$A$2:$A$151,0))),N(INDEX(FTE_Allocation!$I$2:$I$201,$AB1139)))),1),"")))</f>
        <v/>
      </c>
      <c r="AF1139" s="21">
        <f>IF($Z1139="C",IF(INDEX(Contracts!$I$2:$I$151,$AB1139)="PREPAID",EDATE(DATE(YEAR(INDEX(Contracts!$J$2:$J$151,$AB1139)),MONTH(INDEX(Contracts!$J$2:$J$151,$AB1139)),1),IF(INDEX(Contracts!$N$2:$N$151,$AB1139)="",12,INDEX(Contracts!$N$2:$N$151,$AB1139))-1),IF(INDEX(Contracts!$I$2:$I$151,$AB1139)="MONTHLY",IF(INDEX(Contracts!$K$2:$K$151,$AB1139)="",2958101,INDEX(Contracts!$K$2:$K$151,$AB1139)),0)),IF($Z1139="A",EDATE(DATE(YEAR(INDEX(Fixed_Assets!$G$2:$G$201,$AB1139)),MONTH(INDEX(Fixed_Assets!$G$2:$G$201,$AB1139)),1),INDEX(Fixed_Assets!$J$2:$J$201,$AB1139)-1),IF($Z1139="F",MIN(IF(INDEX(Workforce!$J$2:$J$151,MATCH(INDEX(FTE_Allocation!$A$2:$A$201,$AB1139),Workforce!$A$2:$A$151,0))="",2958101,INDEX(Workforce!$J$2:$J$151,MATCH(INDEX(FTE_Allocation!$A$2:$A$201,$AB1139),Workforce!$A$2:$A$151,0))),IF(INDEX(FTE_Allocation!$J$2:$J$201,$AB1139)="",2958101,INDEX(FTE_Allocation!$J$2:$J$201,$AB1139))),"")))</f>
        <v/>
      </c>
      <c r="AG1139" s="19">
        <f>IF($Z1139="C",IF(INDEX(Contracts!$I$2:$I$151,$AB1139)="PREPAID",INDEX(Contracts!$M$2:$M$151,$AB1139)/IF(INDEX(Contracts!$N$2:$N$151,$AB1139)="",12,INDEX(Contracts!$N$2:$N$151,$AB1139)),IF(INDEX(Contracts!$I$2:$I$151,$AB1139)="MONTHLY",INDEX(Contracts!$M$2:$M$151,$AB1139),0))*(1-N(INDEX(Contracts!$O$2:$O$151,$AB1139))),IF($Z1139="A",INDEX(Fixed_Assets!$H$2:$H$201,$AB1139)/INDEX(Fixed_Assets!$J$2:$J$201,$AB1139),IF($Z1139="F",INDEX(Workforce!$F$2:$F$151,MATCH(INDEX(FTE_Allocation!$A$2:$A$201,$AB1139),Workforce!$A$2:$A$151,0))*N(INDEX(FTE_Allocation!$F$2:$H$201,$AB1139,$AC1139)),"")))</f>
        <v/>
      </c>
    </row>
    <row r="1140">
      <c r="A1140" s="7">
        <f>IF($Z1140="","",$AD1140)</f>
        <v/>
      </c>
      <c r="B1140" s="7">
        <f>IF($Z1140="C",INDEX(Contracts!$D$2:$D$151,$AB1140)&amp;"",IF($Z1140="A",INDEX(Fixed_Assets!$C$2:$C$201,$AB1140)&amp;"",IF($Z1140="F",INDEX(Workforce!$B$2:$B$151,MATCH(INDEX(FTE_Allocation!$A$2:$A$201,$AB1140),Workforce!$A$2:$A$151,0))&amp;"","")))</f>
        <v/>
      </c>
      <c r="C1140" s="7">
        <f>IF($Z1140="C",INDEX(Contracts!$E$2:$E$151,$AB1140)&amp;"",IF($Z1140="A",INDEX(Fixed_Assets!$D$2:$D$201,$AB1140)&amp;"",IF($Z1140="F",INDEX(FTE_Allocation!$C$2:$C$201,$AB1140)&amp;"","")))</f>
        <v/>
      </c>
      <c r="D1140" s="7">
        <f>IF($Z1140="C",INDEX(Contracts!$B$2:$B$151,$AB1140)&amp;"",IF($Z1140="A",INDEX(Fixed_Assets!$B$2:$B$201,$AB1140)&amp;"",IF($Z1140="F",INDEX(FTE_Allocation!$B$2:$B$201,$AB1140)&amp;"","")))</f>
        <v/>
      </c>
      <c r="E1140" s="7">
        <f>IF($Z1140="C",INDEX(Contracts!$P$2:$P$151,$AB1140)&amp;"",IF($Z1140="A",INDEX(Fixed_Assets!$K$2:$K$201,$AB1140)&amp;"",IF($Z1140="F",IF(INDEX(FTE_Allocation!$D$2:$D$201,$AB1140)="PROJECT",IFERROR(INDEX(Projects!$D:$D,MATCH(INDEX(FTE_Allocation!$E$2:$E$201,$AB1140),Projects!$A:$A,0))&amp;"","#PROJECT?"),INDEX(FTE_Allocation!$E$2:$E$201,$AB1140)&amp;""),"")))</f>
        <v/>
      </c>
      <c r="F1140" s="7">
        <f>IF($Z1140="C",INDEX(Contracts!$Q$2:$Q$151,$AB1140)&amp;"",IF($Z1140="A",INDEX(Fixed_Assets!$L$2:$L$201,$AB1140)&amp;"",IF($Z1140="F",INDEX(Workforce!$K$2:$K$151,MATCH(INDEX(FTE_Allocation!$A$2:$A$201,$AB1140),Workforce!$A$2:$A$151,0))&amp;"","")))</f>
        <v/>
      </c>
      <c r="G1140" s="7">
        <f>IF($Z1140="C",INDEX(Contracts!$F$2:$F$151,$AB1140)&amp;" / "&amp;INDEX(Contracts!$G$2:$G$151,$AB1140),IF($Z1140="A",INDEX(Fixed_Assets!$E$2:$E$201,$AB1140)&amp;"",IF($Z1140="F","Personnel "&amp;INDEX(FTE_Allocation!$A$2:$A$201,$AB1140)&amp;IF(INDEX(FTE_Allocation!$D$2:$D$201,$AB1140)="PROJECT"," ("&amp;INDEX(FTE_Allocation!$E$2:$E$201,$AB1140)&amp;")",""),"")))</f>
        <v/>
      </c>
      <c r="H1140" s="7">
        <f>IF($Z1140="C","CONTRACT",IF($Z1140="A","ASSET",IF($Z1140="F","WORKFORCE","")))</f>
        <v/>
      </c>
      <c r="I1140" s="7">
        <f>IF($Z1140="C",INDEX(Contracts!$L$2:$L$151,$AB1140)&amp;"",IF($Z1140="A",INDEX(Fixed_Assets!$I$2:$I$201,$AB1140)&amp;"",IF($Z1140="F",INDEX(Workforce!$G$2:$G$151,MATCH(INDEX(FTE_Allocation!$A$2:$A$201,$AB1140),Workforce!$A$2:$A$151,0))&amp;"","")))</f>
        <v/>
      </c>
      <c r="J1140" s="18">
        <f>IF($Z1140="","",IF(AND(DATE($AD1140,1,1)&gt;=$AE1140,DATE($AD1140,1,1)&lt;=$AF1140),ROUND($AG1140,2),0))</f>
        <v/>
      </c>
      <c r="K1140" s="18">
        <f>IF($Z1140="","",IF(AND(DATE($AD1140,2,1)&gt;=$AE1140,DATE($AD1140,2,1)&lt;=$AF1140),ROUND($AG1140,2),0))</f>
        <v/>
      </c>
      <c r="L1140" s="18">
        <f>IF($Z1140="","",IF(AND(DATE($AD1140,3,1)&gt;=$AE1140,DATE($AD1140,3,1)&lt;=$AF1140),ROUND($AG1140,2),0))</f>
        <v/>
      </c>
      <c r="M1140" s="18">
        <f>IF($Z1140="","",IF(AND(DATE($AD1140,4,1)&gt;=$AE1140,DATE($AD1140,4,1)&lt;=$AF1140),ROUND($AG1140,2),0))</f>
        <v/>
      </c>
      <c r="N1140" s="18">
        <f>IF($Z1140="","",IF(AND(DATE($AD1140,5,1)&gt;=$AE1140,DATE($AD1140,5,1)&lt;=$AF1140),ROUND($AG1140,2),0))</f>
        <v/>
      </c>
      <c r="O1140" s="18">
        <f>IF($Z1140="","",IF(AND(DATE($AD1140,6,1)&gt;=$AE1140,DATE($AD1140,6,1)&lt;=$AF1140),ROUND($AG1140,2),0))</f>
        <v/>
      </c>
      <c r="P1140" s="18">
        <f>IF($Z1140="","",IF(AND(DATE($AD1140,7,1)&gt;=$AE1140,DATE($AD1140,7,1)&lt;=$AF1140),ROUND($AG1140,2),0))</f>
        <v/>
      </c>
      <c r="Q1140" s="18">
        <f>IF($Z1140="","",IF(AND(DATE($AD1140,8,1)&gt;=$AE1140,DATE($AD1140,8,1)&lt;=$AF1140),ROUND($AG1140,2),0))</f>
        <v/>
      </c>
      <c r="R1140" s="18">
        <f>IF($Z1140="","",IF(AND(DATE($AD1140,9,1)&gt;=$AE1140,DATE($AD1140,9,1)&lt;=$AF1140),ROUND($AG1140,2),0))</f>
        <v/>
      </c>
      <c r="S1140" s="18">
        <f>IF($Z1140="","",IF(AND(DATE($AD1140,10,1)&gt;=$AE1140,DATE($AD1140,10,1)&lt;=$AF1140),ROUND($AG1140,2),0))</f>
        <v/>
      </c>
      <c r="T1140" s="18">
        <f>IF($Z1140="","",IF(AND(DATE($AD1140,11,1)&gt;=$AE1140,DATE($AD1140,11,1)&lt;=$AF1140),ROUND($AG1140,2),0))</f>
        <v/>
      </c>
      <c r="U1140" s="18">
        <f>IF($Z1140="","",IF(AND(DATE($AD1140,12,1)&gt;=$AE1140,DATE($AD1140,12,1)&lt;=$AF1140),ROUND($AG1140,2),0))</f>
        <v/>
      </c>
      <c r="V1140" s="7">
        <f>IF($Z1140="C","Generated from "&amp;INDEX(Contracts!$A$2:$A$151,$AB1140),IF($Z1140="A","Generated from "&amp;INDEX(Fixed_Assets!$A$2:$A$201,$AB1140),IF($Z1140="F","Generated from "&amp;INDEX(FTE_Allocation!$A$2:$A$201,$AB1140),"")))</f>
        <v/>
      </c>
      <c r="X1140" s="19">
        <f>IF($Z1140="","",SUM(J1140:U1140))</f>
        <v/>
      </c>
      <c r="Y1140" s="20">
        <f>ROW()-1</f>
        <v/>
      </c>
      <c r="Z1140" s="20">
        <f>IF($Y1140&lt;=Settings!$B$4*3,"C",IF($Y1140&lt;=(Settings!$B$4+Settings!$B$5)*3,"A",IF($Y1140&lt;=(Settings!$B$4+Settings!$B$5+Settings!$B$6)*3,"F","")))</f>
        <v/>
      </c>
      <c r="AA1140" s="20">
        <f>IF($Z1140="C",$Y1140,IF($Z1140="A",$Y1140-Settings!$B$4*3,IF($Z1140="F",$Y1140-(Settings!$B$4+Settings!$B$5)*3,"")))</f>
        <v/>
      </c>
      <c r="AB1140" s="20">
        <f>IF($Z1140="","",INT(($AA1140-1)/3)+1)</f>
        <v/>
      </c>
      <c r="AC1140" s="20">
        <f>IF($Z1140="","",MOD($AA1140-1,3)+1)</f>
        <v/>
      </c>
      <c r="AD1140" s="20">
        <f>IF($Z1140="","",Settings!$B$2+$AC1140-1)</f>
        <v/>
      </c>
      <c r="AE1140" s="21">
        <f>IF($Z1140="C",DATE(YEAR(INDEX(Contracts!$J$2:$J$151,$AB1140)),MONTH(INDEX(Contracts!$J$2:$J$151,$AB1140)),1),IF($Z1140="A",DATE(YEAR(INDEX(Fixed_Assets!$G$2:$G$201,$AB1140)),MONTH(INDEX(Fixed_Assets!$G$2:$G$201,$AB1140)),1),IF($Z1140="F",DATE(YEAR(MAX(N(INDEX(Workforce!$I$2:$I$151,MATCH(INDEX(FTE_Allocation!$A$2:$A$201,$AB1140),Workforce!$A$2:$A$151,0))),N(INDEX(FTE_Allocation!$I$2:$I$201,$AB1140)))),MONTH(MAX(N(INDEX(Workforce!$I$2:$I$151,MATCH(INDEX(FTE_Allocation!$A$2:$A$201,$AB1140),Workforce!$A$2:$A$151,0))),N(INDEX(FTE_Allocation!$I$2:$I$201,$AB1140)))),1),"")))</f>
        <v/>
      </c>
      <c r="AF1140" s="21">
        <f>IF($Z1140="C",IF(INDEX(Contracts!$I$2:$I$151,$AB1140)="PREPAID",EDATE(DATE(YEAR(INDEX(Contracts!$J$2:$J$151,$AB1140)),MONTH(INDEX(Contracts!$J$2:$J$151,$AB1140)),1),IF(INDEX(Contracts!$N$2:$N$151,$AB1140)="",12,INDEX(Contracts!$N$2:$N$151,$AB1140))-1),IF(INDEX(Contracts!$I$2:$I$151,$AB1140)="MONTHLY",IF(INDEX(Contracts!$K$2:$K$151,$AB1140)="",2958101,INDEX(Contracts!$K$2:$K$151,$AB1140)),0)),IF($Z1140="A",EDATE(DATE(YEAR(INDEX(Fixed_Assets!$G$2:$G$201,$AB1140)),MONTH(INDEX(Fixed_Assets!$G$2:$G$201,$AB1140)),1),INDEX(Fixed_Assets!$J$2:$J$201,$AB1140)-1),IF($Z1140="F",MIN(IF(INDEX(Workforce!$J$2:$J$151,MATCH(INDEX(FTE_Allocation!$A$2:$A$201,$AB1140),Workforce!$A$2:$A$151,0))="",2958101,INDEX(Workforce!$J$2:$J$151,MATCH(INDEX(FTE_Allocation!$A$2:$A$201,$AB1140),Workforce!$A$2:$A$151,0))),IF(INDEX(FTE_Allocation!$J$2:$J$201,$AB1140)="",2958101,INDEX(FTE_Allocation!$J$2:$J$201,$AB1140))),"")))</f>
        <v/>
      </c>
      <c r="AG1140" s="19">
        <f>IF($Z1140="C",IF(INDEX(Contracts!$I$2:$I$151,$AB1140)="PREPAID",INDEX(Contracts!$M$2:$M$151,$AB1140)/IF(INDEX(Contracts!$N$2:$N$151,$AB1140)="",12,INDEX(Contracts!$N$2:$N$151,$AB1140)),IF(INDEX(Contracts!$I$2:$I$151,$AB1140)="MONTHLY",INDEX(Contracts!$M$2:$M$151,$AB1140),0))*(1-N(INDEX(Contracts!$O$2:$O$151,$AB1140))),IF($Z1140="A",INDEX(Fixed_Assets!$H$2:$H$201,$AB1140)/INDEX(Fixed_Assets!$J$2:$J$201,$AB1140),IF($Z1140="F",INDEX(Workforce!$F$2:$F$151,MATCH(INDEX(FTE_Allocation!$A$2:$A$201,$AB1140),Workforce!$A$2:$A$151,0))*N(INDEX(FTE_Allocation!$F$2:$H$201,$AB1140,$AC1140)),"")))</f>
        <v/>
      </c>
    </row>
    <row r="1141">
      <c r="A1141" s="7">
        <f>IF($Z1141="","",$AD1141)</f>
        <v/>
      </c>
      <c r="B1141" s="7">
        <f>IF($Z1141="C",INDEX(Contracts!$D$2:$D$151,$AB1141)&amp;"",IF($Z1141="A",INDEX(Fixed_Assets!$C$2:$C$201,$AB1141)&amp;"",IF($Z1141="F",INDEX(Workforce!$B$2:$B$151,MATCH(INDEX(FTE_Allocation!$A$2:$A$201,$AB1141),Workforce!$A$2:$A$151,0))&amp;"","")))</f>
        <v/>
      </c>
      <c r="C1141" s="7">
        <f>IF($Z1141="C",INDEX(Contracts!$E$2:$E$151,$AB1141)&amp;"",IF($Z1141="A",INDEX(Fixed_Assets!$D$2:$D$201,$AB1141)&amp;"",IF($Z1141="F",INDEX(FTE_Allocation!$C$2:$C$201,$AB1141)&amp;"","")))</f>
        <v/>
      </c>
      <c r="D1141" s="7">
        <f>IF($Z1141="C",INDEX(Contracts!$B$2:$B$151,$AB1141)&amp;"",IF($Z1141="A",INDEX(Fixed_Assets!$B$2:$B$201,$AB1141)&amp;"",IF($Z1141="F",INDEX(FTE_Allocation!$B$2:$B$201,$AB1141)&amp;"","")))</f>
        <v/>
      </c>
      <c r="E1141" s="7">
        <f>IF($Z1141="C",INDEX(Contracts!$P$2:$P$151,$AB1141)&amp;"",IF($Z1141="A",INDEX(Fixed_Assets!$K$2:$K$201,$AB1141)&amp;"",IF($Z1141="F",IF(INDEX(FTE_Allocation!$D$2:$D$201,$AB1141)="PROJECT",IFERROR(INDEX(Projects!$D:$D,MATCH(INDEX(FTE_Allocation!$E$2:$E$201,$AB1141),Projects!$A:$A,0))&amp;"","#PROJECT?"),INDEX(FTE_Allocation!$E$2:$E$201,$AB1141)&amp;""),"")))</f>
        <v/>
      </c>
      <c r="F1141" s="7">
        <f>IF($Z1141="C",INDEX(Contracts!$Q$2:$Q$151,$AB1141)&amp;"",IF($Z1141="A",INDEX(Fixed_Assets!$L$2:$L$201,$AB1141)&amp;"",IF($Z1141="F",INDEX(Workforce!$K$2:$K$151,MATCH(INDEX(FTE_Allocation!$A$2:$A$201,$AB1141),Workforce!$A$2:$A$151,0))&amp;"","")))</f>
        <v/>
      </c>
      <c r="G1141" s="7">
        <f>IF($Z1141="C",INDEX(Contracts!$F$2:$F$151,$AB1141)&amp;" / "&amp;INDEX(Contracts!$G$2:$G$151,$AB1141),IF($Z1141="A",INDEX(Fixed_Assets!$E$2:$E$201,$AB1141)&amp;"",IF($Z1141="F","Personnel "&amp;INDEX(FTE_Allocation!$A$2:$A$201,$AB1141)&amp;IF(INDEX(FTE_Allocation!$D$2:$D$201,$AB1141)="PROJECT"," ("&amp;INDEX(FTE_Allocation!$E$2:$E$201,$AB1141)&amp;")",""),"")))</f>
        <v/>
      </c>
      <c r="H1141" s="7">
        <f>IF($Z1141="C","CONTRACT",IF($Z1141="A","ASSET",IF($Z1141="F","WORKFORCE","")))</f>
        <v/>
      </c>
      <c r="I1141" s="7">
        <f>IF($Z1141="C",INDEX(Contracts!$L$2:$L$151,$AB1141)&amp;"",IF($Z1141="A",INDEX(Fixed_Assets!$I$2:$I$201,$AB1141)&amp;"",IF($Z1141="F",INDEX(Workforce!$G$2:$G$151,MATCH(INDEX(FTE_Allocation!$A$2:$A$201,$AB1141),Workforce!$A$2:$A$151,0))&amp;"","")))</f>
        <v/>
      </c>
      <c r="J1141" s="18">
        <f>IF($Z1141="","",IF(AND(DATE($AD1141,1,1)&gt;=$AE1141,DATE($AD1141,1,1)&lt;=$AF1141),ROUND($AG1141,2),0))</f>
        <v/>
      </c>
      <c r="K1141" s="18">
        <f>IF($Z1141="","",IF(AND(DATE($AD1141,2,1)&gt;=$AE1141,DATE($AD1141,2,1)&lt;=$AF1141),ROUND($AG1141,2),0))</f>
        <v/>
      </c>
      <c r="L1141" s="18">
        <f>IF($Z1141="","",IF(AND(DATE($AD1141,3,1)&gt;=$AE1141,DATE($AD1141,3,1)&lt;=$AF1141),ROUND($AG1141,2),0))</f>
        <v/>
      </c>
      <c r="M1141" s="18">
        <f>IF($Z1141="","",IF(AND(DATE($AD1141,4,1)&gt;=$AE1141,DATE($AD1141,4,1)&lt;=$AF1141),ROUND($AG1141,2),0))</f>
        <v/>
      </c>
      <c r="N1141" s="18">
        <f>IF($Z1141="","",IF(AND(DATE($AD1141,5,1)&gt;=$AE1141,DATE($AD1141,5,1)&lt;=$AF1141),ROUND($AG1141,2),0))</f>
        <v/>
      </c>
      <c r="O1141" s="18">
        <f>IF($Z1141="","",IF(AND(DATE($AD1141,6,1)&gt;=$AE1141,DATE($AD1141,6,1)&lt;=$AF1141),ROUND($AG1141,2),0))</f>
        <v/>
      </c>
      <c r="P1141" s="18">
        <f>IF($Z1141="","",IF(AND(DATE($AD1141,7,1)&gt;=$AE1141,DATE($AD1141,7,1)&lt;=$AF1141),ROUND($AG1141,2),0))</f>
        <v/>
      </c>
      <c r="Q1141" s="18">
        <f>IF($Z1141="","",IF(AND(DATE($AD1141,8,1)&gt;=$AE1141,DATE($AD1141,8,1)&lt;=$AF1141),ROUND($AG1141,2),0))</f>
        <v/>
      </c>
      <c r="R1141" s="18">
        <f>IF($Z1141="","",IF(AND(DATE($AD1141,9,1)&gt;=$AE1141,DATE($AD1141,9,1)&lt;=$AF1141),ROUND($AG1141,2),0))</f>
        <v/>
      </c>
      <c r="S1141" s="18">
        <f>IF($Z1141="","",IF(AND(DATE($AD1141,10,1)&gt;=$AE1141,DATE($AD1141,10,1)&lt;=$AF1141),ROUND($AG1141,2),0))</f>
        <v/>
      </c>
      <c r="T1141" s="18">
        <f>IF($Z1141="","",IF(AND(DATE($AD1141,11,1)&gt;=$AE1141,DATE($AD1141,11,1)&lt;=$AF1141),ROUND($AG1141,2),0))</f>
        <v/>
      </c>
      <c r="U1141" s="18">
        <f>IF($Z1141="","",IF(AND(DATE($AD1141,12,1)&gt;=$AE1141,DATE($AD1141,12,1)&lt;=$AF1141),ROUND($AG1141,2),0))</f>
        <v/>
      </c>
      <c r="V1141" s="7">
        <f>IF($Z1141="C","Generated from "&amp;INDEX(Contracts!$A$2:$A$151,$AB1141),IF($Z1141="A","Generated from "&amp;INDEX(Fixed_Assets!$A$2:$A$201,$AB1141),IF($Z1141="F","Generated from "&amp;INDEX(FTE_Allocation!$A$2:$A$201,$AB1141),"")))</f>
        <v/>
      </c>
      <c r="X1141" s="19">
        <f>IF($Z1141="","",SUM(J1141:U1141))</f>
        <v/>
      </c>
      <c r="Y1141" s="20">
        <f>ROW()-1</f>
        <v/>
      </c>
      <c r="Z1141" s="20">
        <f>IF($Y1141&lt;=Settings!$B$4*3,"C",IF($Y1141&lt;=(Settings!$B$4+Settings!$B$5)*3,"A",IF($Y1141&lt;=(Settings!$B$4+Settings!$B$5+Settings!$B$6)*3,"F","")))</f>
        <v/>
      </c>
      <c r="AA1141" s="20">
        <f>IF($Z1141="C",$Y1141,IF($Z1141="A",$Y1141-Settings!$B$4*3,IF($Z1141="F",$Y1141-(Settings!$B$4+Settings!$B$5)*3,"")))</f>
        <v/>
      </c>
      <c r="AB1141" s="20">
        <f>IF($Z1141="","",INT(($AA1141-1)/3)+1)</f>
        <v/>
      </c>
      <c r="AC1141" s="20">
        <f>IF($Z1141="","",MOD($AA1141-1,3)+1)</f>
        <v/>
      </c>
      <c r="AD1141" s="20">
        <f>IF($Z1141="","",Settings!$B$2+$AC1141-1)</f>
        <v/>
      </c>
      <c r="AE1141" s="21">
        <f>IF($Z1141="C",DATE(YEAR(INDEX(Contracts!$J$2:$J$151,$AB1141)),MONTH(INDEX(Contracts!$J$2:$J$151,$AB1141)),1),IF($Z1141="A",DATE(YEAR(INDEX(Fixed_Assets!$G$2:$G$201,$AB1141)),MONTH(INDEX(Fixed_Assets!$G$2:$G$201,$AB1141)),1),IF($Z1141="F",DATE(YEAR(MAX(N(INDEX(Workforce!$I$2:$I$151,MATCH(INDEX(FTE_Allocation!$A$2:$A$201,$AB1141),Workforce!$A$2:$A$151,0))),N(INDEX(FTE_Allocation!$I$2:$I$201,$AB1141)))),MONTH(MAX(N(INDEX(Workforce!$I$2:$I$151,MATCH(INDEX(FTE_Allocation!$A$2:$A$201,$AB1141),Workforce!$A$2:$A$151,0))),N(INDEX(FTE_Allocation!$I$2:$I$201,$AB1141)))),1),"")))</f>
        <v/>
      </c>
      <c r="AF1141" s="21">
        <f>IF($Z1141="C",IF(INDEX(Contracts!$I$2:$I$151,$AB1141)="PREPAID",EDATE(DATE(YEAR(INDEX(Contracts!$J$2:$J$151,$AB1141)),MONTH(INDEX(Contracts!$J$2:$J$151,$AB1141)),1),IF(INDEX(Contracts!$N$2:$N$151,$AB1141)="",12,INDEX(Contracts!$N$2:$N$151,$AB1141))-1),IF(INDEX(Contracts!$I$2:$I$151,$AB1141)="MONTHLY",IF(INDEX(Contracts!$K$2:$K$151,$AB1141)="",2958101,INDEX(Contracts!$K$2:$K$151,$AB1141)),0)),IF($Z1141="A",EDATE(DATE(YEAR(INDEX(Fixed_Assets!$G$2:$G$201,$AB1141)),MONTH(INDEX(Fixed_Assets!$G$2:$G$201,$AB1141)),1),INDEX(Fixed_Assets!$J$2:$J$201,$AB1141)-1),IF($Z1141="F",MIN(IF(INDEX(Workforce!$J$2:$J$151,MATCH(INDEX(FTE_Allocation!$A$2:$A$201,$AB1141),Workforce!$A$2:$A$151,0))="",2958101,INDEX(Workforce!$J$2:$J$151,MATCH(INDEX(FTE_Allocation!$A$2:$A$201,$AB1141),Workforce!$A$2:$A$151,0))),IF(INDEX(FTE_Allocation!$J$2:$J$201,$AB1141)="",2958101,INDEX(FTE_Allocation!$J$2:$J$201,$AB1141))),"")))</f>
        <v/>
      </c>
      <c r="AG1141" s="19">
        <f>IF($Z1141="C",IF(INDEX(Contracts!$I$2:$I$151,$AB1141)="PREPAID",INDEX(Contracts!$M$2:$M$151,$AB1141)/IF(INDEX(Contracts!$N$2:$N$151,$AB1141)="",12,INDEX(Contracts!$N$2:$N$151,$AB1141)),IF(INDEX(Contracts!$I$2:$I$151,$AB1141)="MONTHLY",INDEX(Contracts!$M$2:$M$151,$AB1141),0))*(1-N(INDEX(Contracts!$O$2:$O$151,$AB1141))),IF($Z1141="A",INDEX(Fixed_Assets!$H$2:$H$201,$AB1141)/INDEX(Fixed_Assets!$J$2:$J$201,$AB1141),IF($Z1141="F",INDEX(Workforce!$F$2:$F$151,MATCH(INDEX(FTE_Allocation!$A$2:$A$201,$AB1141),Workforce!$A$2:$A$151,0))*N(INDEX(FTE_Allocation!$F$2:$H$201,$AB1141,$AC1141)),"")))</f>
        <v/>
      </c>
    </row>
    <row r="1142">
      <c r="A1142" s="7">
        <f>IF($Z1142="","",$AD1142)</f>
        <v/>
      </c>
      <c r="B1142" s="7">
        <f>IF($Z1142="C",INDEX(Contracts!$D$2:$D$151,$AB1142)&amp;"",IF($Z1142="A",INDEX(Fixed_Assets!$C$2:$C$201,$AB1142)&amp;"",IF($Z1142="F",INDEX(Workforce!$B$2:$B$151,MATCH(INDEX(FTE_Allocation!$A$2:$A$201,$AB1142),Workforce!$A$2:$A$151,0))&amp;"","")))</f>
        <v/>
      </c>
      <c r="C1142" s="7">
        <f>IF($Z1142="C",INDEX(Contracts!$E$2:$E$151,$AB1142)&amp;"",IF($Z1142="A",INDEX(Fixed_Assets!$D$2:$D$201,$AB1142)&amp;"",IF($Z1142="F",INDEX(FTE_Allocation!$C$2:$C$201,$AB1142)&amp;"","")))</f>
        <v/>
      </c>
      <c r="D1142" s="7">
        <f>IF($Z1142="C",INDEX(Contracts!$B$2:$B$151,$AB1142)&amp;"",IF($Z1142="A",INDEX(Fixed_Assets!$B$2:$B$201,$AB1142)&amp;"",IF($Z1142="F",INDEX(FTE_Allocation!$B$2:$B$201,$AB1142)&amp;"","")))</f>
        <v/>
      </c>
      <c r="E1142" s="7">
        <f>IF($Z1142="C",INDEX(Contracts!$P$2:$P$151,$AB1142)&amp;"",IF($Z1142="A",INDEX(Fixed_Assets!$K$2:$K$201,$AB1142)&amp;"",IF($Z1142="F",IF(INDEX(FTE_Allocation!$D$2:$D$201,$AB1142)="PROJECT",IFERROR(INDEX(Projects!$D:$D,MATCH(INDEX(FTE_Allocation!$E$2:$E$201,$AB1142),Projects!$A:$A,0))&amp;"","#PROJECT?"),INDEX(FTE_Allocation!$E$2:$E$201,$AB1142)&amp;""),"")))</f>
        <v/>
      </c>
      <c r="F1142" s="7">
        <f>IF($Z1142="C",INDEX(Contracts!$Q$2:$Q$151,$AB1142)&amp;"",IF($Z1142="A",INDEX(Fixed_Assets!$L$2:$L$201,$AB1142)&amp;"",IF($Z1142="F",INDEX(Workforce!$K$2:$K$151,MATCH(INDEX(FTE_Allocation!$A$2:$A$201,$AB1142),Workforce!$A$2:$A$151,0))&amp;"","")))</f>
        <v/>
      </c>
      <c r="G1142" s="7">
        <f>IF($Z1142="C",INDEX(Contracts!$F$2:$F$151,$AB1142)&amp;" / "&amp;INDEX(Contracts!$G$2:$G$151,$AB1142),IF($Z1142="A",INDEX(Fixed_Assets!$E$2:$E$201,$AB1142)&amp;"",IF($Z1142="F","Personnel "&amp;INDEX(FTE_Allocation!$A$2:$A$201,$AB1142)&amp;IF(INDEX(FTE_Allocation!$D$2:$D$201,$AB1142)="PROJECT"," ("&amp;INDEX(FTE_Allocation!$E$2:$E$201,$AB1142)&amp;")",""),"")))</f>
        <v/>
      </c>
      <c r="H1142" s="7">
        <f>IF($Z1142="C","CONTRACT",IF($Z1142="A","ASSET",IF($Z1142="F","WORKFORCE","")))</f>
        <v/>
      </c>
      <c r="I1142" s="7">
        <f>IF($Z1142="C",INDEX(Contracts!$L$2:$L$151,$AB1142)&amp;"",IF($Z1142="A",INDEX(Fixed_Assets!$I$2:$I$201,$AB1142)&amp;"",IF($Z1142="F",INDEX(Workforce!$G$2:$G$151,MATCH(INDEX(FTE_Allocation!$A$2:$A$201,$AB1142),Workforce!$A$2:$A$151,0))&amp;"","")))</f>
        <v/>
      </c>
      <c r="J1142" s="18">
        <f>IF($Z1142="","",IF(AND(DATE($AD1142,1,1)&gt;=$AE1142,DATE($AD1142,1,1)&lt;=$AF1142),ROUND($AG1142,2),0))</f>
        <v/>
      </c>
      <c r="K1142" s="18">
        <f>IF($Z1142="","",IF(AND(DATE($AD1142,2,1)&gt;=$AE1142,DATE($AD1142,2,1)&lt;=$AF1142),ROUND($AG1142,2),0))</f>
        <v/>
      </c>
      <c r="L1142" s="18">
        <f>IF($Z1142="","",IF(AND(DATE($AD1142,3,1)&gt;=$AE1142,DATE($AD1142,3,1)&lt;=$AF1142),ROUND($AG1142,2),0))</f>
        <v/>
      </c>
      <c r="M1142" s="18">
        <f>IF($Z1142="","",IF(AND(DATE($AD1142,4,1)&gt;=$AE1142,DATE($AD1142,4,1)&lt;=$AF1142),ROUND($AG1142,2),0))</f>
        <v/>
      </c>
      <c r="N1142" s="18">
        <f>IF($Z1142="","",IF(AND(DATE($AD1142,5,1)&gt;=$AE1142,DATE($AD1142,5,1)&lt;=$AF1142),ROUND($AG1142,2),0))</f>
        <v/>
      </c>
      <c r="O1142" s="18">
        <f>IF($Z1142="","",IF(AND(DATE($AD1142,6,1)&gt;=$AE1142,DATE($AD1142,6,1)&lt;=$AF1142),ROUND($AG1142,2),0))</f>
        <v/>
      </c>
      <c r="P1142" s="18">
        <f>IF($Z1142="","",IF(AND(DATE($AD1142,7,1)&gt;=$AE1142,DATE($AD1142,7,1)&lt;=$AF1142),ROUND($AG1142,2),0))</f>
        <v/>
      </c>
      <c r="Q1142" s="18">
        <f>IF($Z1142="","",IF(AND(DATE($AD1142,8,1)&gt;=$AE1142,DATE($AD1142,8,1)&lt;=$AF1142),ROUND($AG1142,2),0))</f>
        <v/>
      </c>
      <c r="R1142" s="18">
        <f>IF($Z1142="","",IF(AND(DATE($AD1142,9,1)&gt;=$AE1142,DATE($AD1142,9,1)&lt;=$AF1142),ROUND($AG1142,2),0))</f>
        <v/>
      </c>
      <c r="S1142" s="18">
        <f>IF($Z1142="","",IF(AND(DATE($AD1142,10,1)&gt;=$AE1142,DATE($AD1142,10,1)&lt;=$AF1142),ROUND($AG1142,2),0))</f>
        <v/>
      </c>
      <c r="T1142" s="18">
        <f>IF($Z1142="","",IF(AND(DATE($AD1142,11,1)&gt;=$AE1142,DATE($AD1142,11,1)&lt;=$AF1142),ROUND($AG1142,2),0))</f>
        <v/>
      </c>
      <c r="U1142" s="18">
        <f>IF($Z1142="","",IF(AND(DATE($AD1142,12,1)&gt;=$AE1142,DATE($AD1142,12,1)&lt;=$AF1142),ROUND($AG1142,2),0))</f>
        <v/>
      </c>
      <c r="V1142" s="7">
        <f>IF($Z1142="C","Generated from "&amp;INDEX(Contracts!$A$2:$A$151,$AB1142),IF($Z1142="A","Generated from "&amp;INDEX(Fixed_Assets!$A$2:$A$201,$AB1142),IF($Z1142="F","Generated from "&amp;INDEX(FTE_Allocation!$A$2:$A$201,$AB1142),"")))</f>
        <v/>
      </c>
      <c r="X1142" s="19">
        <f>IF($Z1142="","",SUM(J1142:U1142))</f>
        <v/>
      </c>
      <c r="Y1142" s="20">
        <f>ROW()-1</f>
        <v/>
      </c>
      <c r="Z1142" s="20">
        <f>IF($Y1142&lt;=Settings!$B$4*3,"C",IF($Y1142&lt;=(Settings!$B$4+Settings!$B$5)*3,"A",IF($Y1142&lt;=(Settings!$B$4+Settings!$B$5+Settings!$B$6)*3,"F","")))</f>
        <v/>
      </c>
      <c r="AA1142" s="20">
        <f>IF($Z1142="C",$Y1142,IF($Z1142="A",$Y1142-Settings!$B$4*3,IF($Z1142="F",$Y1142-(Settings!$B$4+Settings!$B$5)*3,"")))</f>
        <v/>
      </c>
      <c r="AB1142" s="20">
        <f>IF($Z1142="","",INT(($AA1142-1)/3)+1)</f>
        <v/>
      </c>
      <c r="AC1142" s="20">
        <f>IF($Z1142="","",MOD($AA1142-1,3)+1)</f>
        <v/>
      </c>
      <c r="AD1142" s="20">
        <f>IF($Z1142="","",Settings!$B$2+$AC1142-1)</f>
        <v/>
      </c>
      <c r="AE1142" s="21">
        <f>IF($Z1142="C",DATE(YEAR(INDEX(Contracts!$J$2:$J$151,$AB1142)),MONTH(INDEX(Contracts!$J$2:$J$151,$AB1142)),1),IF($Z1142="A",DATE(YEAR(INDEX(Fixed_Assets!$G$2:$G$201,$AB1142)),MONTH(INDEX(Fixed_Assets!$G$2:$G$201,$AB1142)),1),IF($Z1142="F",DATE(YEAR(MAX(N(INDEX(Workforce!$I$2:$I$151,MATCH(INDEX(FTE_Allocation!$A$2:$A$201,$AB1142),Workforce!$A$2:$A$151,0))),N(INDEX(FTE_Allocation!$I$2:$I$201,$AB1142)))),MONTH(MAX(N(INDEX(Workforce!$I$2:$I$151,MATCH(INDEX(FTE_Allocation!$A$2:$A$201,$AB1142),Workforce!$A$2:$A$151,0))),N(INDEX(FTE_Allocation!$I$2:$I$201,$AB1142)))),1),"")))</f>
        <v/>
      </c>
      <c r="AF1142" s="21">
        <f>IF($Z1142="C",IF(INDEX(Contracts!$I$2:$I$151,$AB1142)="PREPAID",EDATE(DATE(YEAR(INDEX(Contracts!$J$2:$J$151,$AB1142)),MONTH(INDEX(Contracts!$J$2:$J$151,$AB1142)),1),IF(INDEX(Contracts!$N$2:$N$151,$AB1142)="",12,INDEX(Contracts!$N$2:$N$151,$AB1142))-1),IF(INDEX(Contracts!$I$2:$I$151,$AB1142)="MONTHLY",IF(INDEX(Contracts!$K$2:$K$151,$AB1142)="",2958101,INDEX(Contracts!$K$2:$K$151,$AB1142)),0)),IF($Z1142="A",EDATE(DATE(YEAR(INDEX(Fixed_Assets!$G$2:$G$201,$AB1142)),MONTH(INDEX(Fixed_Assets!$G$2:$G$201,$AB1142)),1),INDEX(Fixed_Assets!$J$2:$J$201,$AB1142)-1),IF($Z1142="F",MIN(IF(INDEX(Workforce!$J$2:$J$151,MATCH(INDEX(FTE_Allocation!$A$2:$A$201,$AB1142),Workforce!$A$2:$A$151,0))="",2958101,INDEX(Workforce!$J$2:$J$151,MATCH(INDEX(FTE_Allocation!$A$2:$A$201,$AB1142),Workforce!$A$2:$A$151,0))),IF(INDEX(FTE_Allocation!$J$2:$J$201,$AB1142)="",2958101,INDEX(FTE_Allocation!$J$2:$J$201,$AB1142))),"")))</f>
        <v/>
      </c>
      <c r="AG1142" s="19">
        <f>IF($Z1142="C",IF(INDEX(Contracts!$I$2:$I$151,$AB1142)="PREPAID",INDEX(Contracts!$M$2:$M$151,$AB1142)/IF(INDEX(Contracts!$N$2:$N$151,$AB1142)="",12,INDEX(Contracts!$N$2:$N$151,$AB1142)),IF(INDEX(Contracts!$I$2:$I$151,$AB1142)="MONTHLY",INDEX(Contracts!$M$2:$M$151,$AB1142),0))*(1-N(INDEX(Contracts!$O$2:$O$151,$AB1142))),IF($Z1142="A",INDEX(Fixed_Assets!$H$2:$H$201,$AB1142)/INDEX(Fixed_Assets!$J$2:$J$201,$AB1142),IF($Z1142="F",INDEX(Workforce!$F$2:$F$151,MATCH(INDEX(FTE_Allocation!$A$2:$A$201,$AB1142),Workforce!$A$2:$A$151,0))*N(INDEX(FTE_Allocation!$F$2:$H$201,$AB1142,$AC1142)),"")))</f>
        <v/>
      </c>
    </row>
    <row r="1143">
      <c r="A1143" s="7">
        <f>IF($Z1143="","",$AD1143)</f>
        <v/>
      </c>
      <c r="B1143" s="7">
        <f>IF($Z1143="C",INDEX(Contracts!$D$2:$D$151,$AB1143)&amp;"",IF($Z1143="A",INDEX(Fixed_Assets!$C$2:$C$201,$AB1143)&amp;"",IF($Z1143="F",INDEX(Workforce!$B$2:$B$151,MATCH(INDEX(FTE_Allocation!$A$2:$A$201,$AB1143),Workforce!$A$2:$A$151,0))&amp;"","")))</f>
        <v/>
      </c>
      <c r="C1143" s="7">
        <f>IF($Z1143="C",INDEX(Contracts!$E$2:$E$151,$AB1143)&amp;"",IF($Z1143="A",INDEX(Fixed_Assets!$D$2:$D$201,$AB1143)&amp;"",IF($Z1143="F",INDEX(FTE_Allocation!$C$2:$C$201,$AB1143)&amp;"","")))</f>
        <v/>
      </c>
      <c r="D1143" s="7">
        <f>IF($Z1143="C",INDEX(Contracts!$B$2:$B$151,$AB1143)&amp;"",IF($Z1143="A",INDEX(Fixed_Assets!$B$2:$B$201,$AB1143)&amp;"",IF($Z1143="F",INDEX(FTE_Allocation!$B$2:$B$201,$AB1143)&amp;"","")))</f>
        <v/>
      </c>
      <c r="E1143" s="7">
        <f>IF($Z1143="C",INDEX(Contracts!$P$2:$P$151,$AB1143)&amp;"",IF($Z1143="A",INDEX(Fixed_Assets!$K$2:$K$201,$AB1143)&amp;"",IF($Z1143="F",IF(INDEX(FTE_Allocation!$D$2:$D$201,$AB1143)="PROJECT",IFERROR(INDEX(Projects!$D:$D,MATCH(INDEX(FTE_Allocation!$E$2:$E$201,$AB1143),Projects!$A:$A,0))&amp;"","#PROJECT?"),INDEX(FTE_Allocation!$E$2:$E$201,$AB1143)&amp;""),"")))</f>
        <v/>
      </c>
      <c r="F1143" s="7">
        <f>IF($Z1143="C",INDEX(Contracts!$Q$2:$Q$151,$AB1143)&amp;"",IF($Z1143="A",INDEX(Fixed_Assets!$L$2:$L$201,$AB1143)&amp;"",IF($Z1143="F",INDEX(Workforce!$K$2:$K$151,MATCH(INDEX(FTE_Allocation!$A$2:$A$201,$AB1143),Workforce!$A$2:$A$151,0))&amp;"","")))</f>
        <v/>
      </c>
      <c r="G1143" s="7">
        <f>IF($Z1143="C",INDEX(Contracts!$F$2:$F$151,$AB1143)&amp;" / "&amp;INDEX(Contracts!$G$2:$G$151,$AB1143),IF($Z1143="A",INDEX(Fixed_Assets!$E$2:$E$201,$AB1143)&amp;"",IF($Z1143="F","Personnel "&amp;INDEX(FTE_Allocation!$A$2:$A$201,$AB1143)&amp;IF(INDEX(FTE_Allocation!$D$2:$D$201,$AB1143)="PROJECT"," ("&amp;INDEX(FTE_Allocation!$E$2:$E$201,$AB1143)&amp;")",""),"")))</f>
        <v/>
      </c>
      <c r="H1143" s="7">
        <f>IF($Z1143="C","CONTRACT",IF($Z1143="A","ASSET",IF($Z1143="F","WORKFORCE","")))</f>
        <v/>
      </c>
      <c r="I1143" s="7">
        <f>IF($Z1143="C",INDEX(Contracts!$L$2:$L$151,$AB1143)&amp;"",IF($Z1143="A",INDEX(Fixed_Assets!$I$2:$I$201,$AB1143)&amp;"",IF($Z1143="F",INDEX(Workforce!$G$2:$G$151,MATCH(INDEX(FTE_Allocation!$A$2:$A$201,$AB1143),Workforce!$A$2:$A$151,0))&amp;"","")))</f>
        <v/>
      </c>
      <c r="J1143" s="18">
        <f>IF($Z1143="","",IF(AND(DATE($AD1143,1,1)&gt;=$AE1143,DATE($AD1143,1,1)&lt;=$AF1143),ROUND($AG1143,2),0))</f>
        <v/>
      </c>
      <c r="K1143" s="18">
        <f>IF($Z1143="","",IF(AND(DATE($AD1143,2,1)&gt;=$AE1143,DATE($AD1143,2,1)&lt;=$AF1143),ROUND($AG1143,2),0))</f>
        <v/>
      </c>
      <c r="L1143" s="18">
        <f>IF($Z1143="","",IF(AND(DATE($AD1143,3,1)&gt;=$AE1143,DATE($AD1143,3,1)&lt;=$AF1143),ROUND($AG1143,2),0))</f>
        <v/>
      </c>
      <c r="M1143" s="18">
        <f>IF($Z1143="","",IF(AND(DATE($AD1143,4,1)&gt;=$AE1143,DATE($AD1143,4,1)&lt;=$AF1143),ROUND($AG1143,2),0))</f>
        <v/>
      </c>
      <c r="N1143" s="18">
        <f>IF($Z1143="","",IF(AND(DATE($AD1143,5,1)&gt;=$AE1143,DATE($AD1143,5,1)&lt;=$AF1143),ROUND($AG1143,2),0))</f>
        <v/>
      </c>
      <c r="O1143" s="18">
        <f>IF($Z1143="","",IF(AND(DATE($AD1143,6,1)&gt;=$AE1143,DATE($AD1143,6,1)&lt;=$AF1143),ROUND($AG1143,2),0))</f>
        <v/>
      </c>
      <c r="P1143" s="18">
        <f>IF($Z1143="","",IF(AND(DATE($AD1143,7,1)&gt;=$AE1143,DATE($AD1143,7,1)&lt;=$AF1143),ROUND($AG1143,2),0))</f>
        <v/>
      </c>
      <c r="Q1143" s="18">
        <f>IF($Z1143="","",IF(AND(DATE($AD1143,8,1)&gt;=$AE1143,DATE($AD1143,8,1)&lt;=$AF1143),ROUND($AG1143,2),0))</f>
        <v/>
      </c>
      <c r="R1143" s="18">
        <f>IF($Z1143="","",IF(AND(DATE($AD1143,9,1)&gt;=$AE1143,DATE($AD1143,9,1)&lt;=$AF1143),ROUND($AG1143,2),0))</f>
        <v/>
      </c>
      <c r="S1143" s="18">
        <f>IF($Z1143="","",IF(AND(DATE($AD1143,10,1)&gt;=$AE1143,DATE($AD1143,10,1)&lt;=$AF1143),ROUND($AG1143,2),0))</f>
        <v/>
      </c>
      <c r="T1143" s="18">
        <f>IF($Z1143="","",IF(AND(DATE($AD1143,11,1)&gt;=$AE1143,DATE($AD1143,11,1)&lt;=$AF1143),ROUND($AG1143,2),0))</f>
        <v/>
      </c>
      <c r="U1143" s="18">
        <f>IF($Z1143="","",IF(AND(DATE($AD1143,12,1)&gt;=$AE1143,DATE($AD1143,12,1)&lt;=$AF1143),ROUND($AG1143,2),0))</f>
        <v/>
      </c>
      <c r="V1143" s="7">
        <f>IF($Z1143="C","Generated from "&amp;INDEX(Contracts!$A$2:$A$151,$AB1143),IF($Z1143="A","Generated from "&amp;INDEX(Fixed_Assets!$A$2:$A$201,$AB1143),IF($Z1143="F","Generated from "&amp;INDEX(FTE_Allocation!$A$2:$A$201,$AB1143),"")))</f>
        <v/>
      </c>
      <c r="X1143" s="19">
        <f>IF($Z1143="","",SUM(J1143:U1143))</f>
        <v/>
      </c>
      <c r="Y1143" s="20">
        <f>ROW()-1</f>
        <v/>
      </c>
      <c r="Z1143" s="20">
        <f>IF($Y1143&lt;=Settings!$B$4*3,"C",IF($Y1143&lt;=(Settings!$B$4+Settings!$B$5)*3,"A",IF($Y1143&lt;=(Settings!$B$4+Settings!$B$5+Settings!$B$6)*3,"F","")))</f>
        <v/>
      </c>
      <c r="AA1143" s="20">
        <f>IF($Z1143="C",$Y1143,IF($Z1143="A",$Y1143-Settings!$B$4*3,IF($Z1143="F",$Y1143-(Settings!$B$4+Settings!$B$5)*3,"")))</f>
        <v/>
      </c>
      <c r="AB1143" s="20">
        <f>IF($Z1143="","",INT(($AA1143-1)/3)+1)</f>
        <v/>
      </c>
      <c r="AC1143" s="20">
        <f>IF($Z1143="","",MOD($AA1143-1,3)+1)</f>
        <v/>
      </c>
      <c r="AD1143" s="20">
        <f>IF($Z1143="","",Settings!$B$2+$AC1143-1)</f>
        <v/>
      </c>
      <c r="AE1143" s="21">
        <f>IF($Z1143="C",DATE(YEAR(INDEX(Contracts!$J$2:$J$151,$AB1143)),MONTH(INDEX(Contracts!$J$2:$J$151,$AB1143)),1),IF($Z1143="A",DATE(YEAR(INDEX(Fixed_Assets!$G$2:$G$201,$AB1143)),MONTH(INDEX(Fixed_Assets!$G$2:$G$201,$AB1143)),1),IF($Z1143="F",DATE(YEAR(MAX(N(INDEX(Workforce!$I$2:$I$151,MATCH(INDEX(FTE_Allocation!$A$2:$A$201,$AB1143),Workforce!$A$2:$A$151,0))),N(INDEX(FTE_Allocation!$I$2:$I$201,$AB1143)))),MONTH(MAX(N(INDEX(Workforce!$I$2:$I$151,MATCH(INDEX(FTE_Allocation!$A$2:$A$201,$AB1143),Workforce!$A$2:$A$151,0))),N(INDEX(FTE_Allocation!$I$2:$I$201,$AB1143)))),1),"")))</f>
        <v/>
      </c>
      <c r="AF1143" s="21">
        <f>IF($Z1143="C",IF(INDEX(Contracts!$I$2:$I$151,$AB1143)="PREPAID",EDATE(DATE(YEAR(INDEX(Contracts!$J$2:$J$151,$AB1143)),MONTH(INDEX(Contracts!$J$2:$J$151,$AB1143)),1),IF(INDEX(Contracts!$N$2:$N$151,$AB1143)="",12,INDEX(Contracts!$N$2:$N$151,$AB1143))-1),IF(INDEX(Contracts!$I$2:$I$151,$AB1143)="MONTHLY",IF(INDEX(Contracts!$K$2:$K$151,$AB1143)="",2958101,INDEX(Contracts!$K$2:$K$151,$AB1143)),0)),IF($Z1143="A",EDATE(DATE(YEAR(INDEX(Fixed_Assets!$G$2:$G$201,$AB1143)),MONTH(INDEX(Fixed_Assets!$G$2:$G$201,$AB1143)),1),INDEX(Fixed_Assets!$J$2:$J$201,$AB1143)-1),IF($Z1143="F",MIN(IF(INDEX(Workforce!$J$2:$J$151,MATCH(INDEX(FTE_Allocation!$A$2:$A$201,$AB1143),Workforce!$A$2:$A$151,0))="",2958101,INDEX(Workforce!$J$2:$J$151,MATCH(INDEX(FTE_Allocation!$A$2:$A$201,$AB1143),Workforce!$A$2:$A$151,0))),IF(INDEX(FTE_Allocation!$J$2:$J$201,$AB1143)="",2958101,INDEX(FTE_Allocation!$J$2:$J$201,$AB1143))),"")))</f>
        <v/>
      </c>
      <c r="AG1143" s="19">
        <f>IF($Z1143="C",IF(INDEX(Contracts!$I$2:$I$151,$AB1143)="PREPAID",INDEX(Contracts!$M$2:$M$151,$AB1143)/IF(INDEX(Contracts!$N$2:$N$151,$AB1143)="",12,INDEX(Contracts!$N$2:$N$151,$AB1143)),IF(INDEX(Contracts!$I$2:$I$151,$AB1143)="MONTHLY",INDEX(Contracts!$M$2:$M$151,$AB1143),0))*(1-N(INDEX(Contracts!$O$2:$O$151,$AB1143))),IF($Z1143="A",INDEX(Fixed_Assets!$H$2:$H$201,$AB1143)/INDEX(Fixed_Assets!$J$2:$J$201,$AB1143),IF($Z1143="F",INDEX(Workforce!$F$2:$F$151,MATCH(INDEX(FTE_Allocation!$A$2:$A$201,$AB1143),Workforce!$A$2:$A$151,0))*N(INDEX(FTE_Allocation!$F$2:$H$201,$AB1143,$AC1143)),"")))</f>
        <v/>
      </c>
    </row>
    <row r="1144">
      <c r="A1144" s="7">
        <f>IF($Z1144="","",$AD1144)</f>
        <v/>
      </c>
      <c r="B1144" s="7">
        <f>IF($Z1144="C",INDEX(Contracts!$D$2:$D$151,$AB1144)&amp;"",IF($Z1144="A",INDEX(Fixed_Assets!$C$2:$C$201,$AB1144)&amp;"",IF($Z1144="F",INDEX(Workforce!$B$2:$B$151,MATCH(INDEX(FTE_Allocation!$A$2:$A$201,$AB1144),Workforce!$A$2:$A$151,0))&amp;"","")))</f>
        <v/>
      </c>
      <c r="C1144" s="7">
        <f>IF($Z1144="C",INDEX(Contracts!$E$2:$E$151,$AB1144)&amp;"",IF($Z1144="A",INDEX(Fixed_Assets!$D$2:$D$201,$AB1144)&amp;"",IF($Z1144="F",INDEX(FTE_Allocation!$C$2:$C$201,$AB1144)&amp;"","")))</f>
        <v/>
      </c>
      <c r="D1144" s="7">
        <f>IF($Z1144="C",INDEX(Contracts!$B$2:$B$151,$AB1144)&amp;"",IF($Z1144="A",INDEX(Fixed_Assets!$B$2:$B$201,$AB1144)&amp;"",IF($Z1144="F",INDEX(FTE_Allocation!$B$2:$B$201,$AB1144)&amp;"","")))</f>
        <v/>
      </c>
      <c r="E1144" s="7">
        <f>IF($Z1144="C",INDEX(Contracts!$P$2:$P$151,$AB1144)&amp;"",IF($Z1144="A",INDEX(Fixed_Assets!$K$2:$K$201,$AB1144)&amp;"",IF($Z1144="F",IF(INDEX(FTE_Allocation!$D$2:$D$201,$AB1144)="PROJECT",IFERROR(INDEX(Projects!$D:$D,MATCH(INDEX(FTE_Allocation!$E$2:$E$201,$AB1144),Projects!$A:$A,0))&amp;"","#PROJECT?"),INDEX(FTE_Allocation!$E$2:$E$201,$AB1144)&amp;""),"")))</f>
        <v/>
      </c>
      <c r="F1144" s="7">
        <f>IF($Z1144="C",INDEX(Contracts!$Q$2:$Q$151,$AB1144)&amp;"",IF($Z1144="A",INDEX(Fixed_Assets!$L$2:$L$201,$AB1144)&amp;"",IF($Z1144="F",INDEX(Workforce!$K$2:$K$151,MATCH(INDEX(FTE_Allocation!$A$2:$A$201,$AB1144),Workforce!$A$2:$A$151,0))&amp;"","")))</f>
        <v/>
      </c>
      <c r="G1144" s="7">
        <f>IF($Z1144="C",INDEX(Contracts!$F$2:$F$151,$AB1144)&amp;" / "&amp;INDEX(Contracts!$G$2:$G$151,$AB1144),IF($Z1144="A",INDEX(Fixed_Assets!$E$2:$E$201,$AB1144)&amp;"",IF($Z1144="F","Personnel "&amp;INDEX(FTE_Allocation!$A$2:$A$201,$AB1144)&amp;IF(INDEX(FTE_Allocation!$D$2:$D$201,$AB1144)="PROJECT"," ("&amp;INDEX(FTE_Allocation!$E$2:$E$201,$AB1144)&amp;")",""),"")))</f>
        <v/>
      </c>
      <c r="H1144" s="7">
        <f>IF($Z1144="C","CONTRACT",IF($Z1144="A","ASSET",IF($Z1144="F","WORKFORCE","")))</f>
        <v/>
      </c>
      <c r="I1144" s="7">
        <f>IF($Z1144="C",INDEX(Contracts!$L$2:$L$151,$AB1144)&amp;"",IF($Z1144="A",INDEX(Fixed_Assets!$I$2:$I$201,$AB1144)&amp;"",IF($Z1144="F",INDEX(Workforce!$G$2:$G$151,MATCH(INDEX(FTE_Allocation!$A$2:$A$201,$AB1144),Workforce!$A$2:$A$151,0))&amp;"","")))</f>
        <v/>
      </c>
      <c r="J1144" s="18">
        <f>IF($Z1144="","",IF(AND(DATE($AD1144,1,1)&gt;=$AE1144,DATE($AD1144,1,1)&lt;=$AF1144),ROUND($AG1144,2),0))</f>
        <v/>
      </c>
      <c r="K1144" s="18">
        <f>IF($Z1144="","",IF(AND(DATE($AD1144,2,1)&gt;=$AE1144,DATE($AD1144,2,1)&lt;=$AF1144),ROUND($AG1144,2),0))</f>
        <v/>
      </c>
      <c r="L1144" s="18">
        <f>IF($Z1144="","",IF(AND(DATE($AD1144,3,1)&gt;=$AE1144,DATE($AD1144,3,1)&lt;=$AF1144),ROUND($AG1144,2),0))</f>
        <v/>
      </c>
      <c r="M1144" s="18">
        <f>IF($Z1144="","",IF(AND(DATE($AD1144,4,1)&gt;=$AE1144,DATE($AD1144,4,1)&lt;=$AF1144),ROUND($AG1144,2),0))</f>
        <v/>
      </c>
      <c r="N1144" s="18">
        <f>IF($Z1144="","",IF(AND(DATE($AD1144,5,1)&gt;=$AE1144,DATE($AD1144,5,1)&lt;=$AF1144),ROUND($AG1144,2),0))</f>
        <v/>
      </c>
      <c r="O1144" s="18">
        <f>IF($Z1144="","",IF(AND(DATE($AD1144,6,1)&gt;=$AE1144,DATE($AD1144,6,1)&lt;=$AF1144),ROUND($AG1144,2),0))</f>
        <v/>
      </c>
      <c r="P1144" s="18">
        <f>IF($Z1144="","",IF(AND(DATE($AD1144,7,1)&gt;=$AE1144,DATE($AD1144,7,1)&lt;=$AF1144),ROUND($AG1144,2),0))</f>
        <v/>
      </c>
      <c r="Q1144" s="18">
        <f>IF($Z1144="","",IF(AND(DATE($AD1144,8,1)&gt;=$AE1144,DATE($AD1144,8,1)&lt;=$AF1144),ROUND($AG1144,2),0))</f>
        <v/>
      </c>
      <c r="R1144" s="18">
        <f>IF($Z1144="","",IF(AND(DATE($AD1144,9,1)&gt;=$AE1144,DATE($AD1144,9,1)&lt;=$AF1144),ROUND($AG1144,2),0))</f>
        <v/>
      </c>
      <c r="S1144" s="18">
        <f>IF($Z1144="","",IF(AND(DATE($AD1144,10,1)&gt;=$AE1144,DATE($AD1144,10,1)&lt;=$AF1144),ROUND($AG1144,2),0))</f>
        <v/>
      </c>
      <c r="T1144" s="18">
        <f>IF($Z1144="","",IF(AND(DATE($AD1144,11,1)&gt;=$AE1144,DATE($AD1144,11,1)&lt;=$AF1144),ROUND($AG1144,2),0))</f>
        <v/>
      </c>
      <c r="U1144" s="18">
        <f>IF($Z1144="","",IF(AND(DATE($AD1144,12,1)&gt;=$AE1144,DATE($AD1144,12,1)&lt;=$AF1144),ROUND($AG1144,2),0))</f>
        <v/>
      </c>
      <c r="V1144" s="7">
        <f>IF($Z1144="C","Generated from "&amp;INDEX(Contracts!$A$2:$A$151,$AB1144),IF($Z1144="A","Generated from "&amp;INDEX(Fixed_Assets!$A$2:$A$201,$AB1144),IF($Z1144="F","Generated from "&amp;INDEX(FTE_Allocation!$A$2:$A$201,$AB1144),"")))</f>
        <v/>
      </c>
      <c r="X1144" s="19">
        <f>IF($Z1144="","",SUM(J1144:U1144))</f>
        <v/>
      </c>
      <c r="Y1144" s="20">
        <f>ROW()-1</f>
        <v/>
      </c>
      <c r="Z1144" s="20">
        <f>IF($Y1144&lt;=Settings!$B$4*3,"C",IF($Y1144&lt;=(Settings!$B$4+Settings!$B$5)*3,"A",IF($Y1144&lt;=(Settings!$B$4+Settings!$B$5+Settings!$B$6)*3,"F","")))</f>
        <v/>
      </c>
      <c r="AA1144" s="20">
        <f>IF($Z1144="C",$Y1144,IF($Z1144="A",$Y1144-Settings!$B$4*3,IF($Z1144="F",$Y1144-(Settings!$B$4+Settings!$B$5)*3,"")))</f>
        <v/>
      </c>
      <c r="AB1144" s="20">
        <f>IF($Z1144="","",INT(($AA1144-1)/3)+1)</f>
        <v/>
      </c>
      <c r="AC1144" s="20">
        <f>IF($Z1144="","",MOD($AA1144-1,3)+1)</f>
        <v/>
      </c>
      <c r="AD1144" s="20">
        <f>IF($Z1144="","",Settings!$B$2+$AC1144-1)</f>
        <v/>
      </c>
      <c r="AE1144" s="21">
        <f>IF($Z1144="C",DATE(YEAR(INDEX(Contracts!$J$2:$J$151,$AB1144)),MONTH(INDEX(Contracts!$J$2:$J$151,$AB1144)),1),IF($Z1144="A",DATE(YEAR(INDEX(Fixed_Assets!$G$2:$G$201,$AB1144)),MONTH(INDEX(Fixed_Assets!$G$2:$G$201,$AB1144)),1),IF($Z1144="F",DATE(YEAR(MAX(N(INDEX(Workforce!$I$2:$I$151,MATCH(INDEX(FTE_Allocation!$A$2:$A$201,$AB1144),Workforce!$A$2:$A$151,0))),N(INDEX(FTE_Allocation!$I$2:$I$201,$AB1144)))),MONTH(MAX(N(INDEX(Workforce!$I$2:$I$151,MATCH(INDEX(FTE_Allocation!$A$2:$A$201,$AB1144),Workforce!$A$2:$A$151,0))),N(INDEX(FTE_Allocation!$I$2:$I$201,$AB1144)))),1),"")))</f>
        <v/>
      </c>
      <c r="AF1144" s="21">
        <f>IF($Z1144="C",IF(INDEX(Contracts!$I$2:$I$151,$AB1144)="PREPAID",EDATE(DATE(YEAR(INDEX(Contracts!$J$2:$J$151,$AB1144)),MONTH(INDEX(Contracts!$J$2:$J$151,$AB1144)),1),IF(INDEX(Contracts!$N$2:$N$151,$AB1144)="",12,INDEX(Contracts!$N$2:$N$151,$AB1144))-1),IF(INDEX(Contracts!$I$2:$I$151,$AB1144)="MONTHLY",IF(INDEX(Contracts!$K$2:$K$151,$AB1144)="",2958101,INDEX(Contracts!$K$2:$K$151,$AB1144)),0)),IF($Z1144="A",EDATE(DATE(YEAR(INDEX(Fixed_Assets!$G$2:$G$201,$AB1144)),MONTH(INDEX(Fixed_Assets!$G$2:$G$201,$AB1144)),1),INDEX(Fixed_Assets!$J$2:$J$201,$AB1144)-1),IF($Z1144="F",MIN(IF(INDEX(Workforce!$J$2:$J$151,MATCH(INDEX(FTE_Allocation!$A$2:$A$201,$AB1144),Workforce!$A$2:$A$151,0))="",2958101,INDEX(Workforce!$J$2:$J$151,MATCH(INDEX(FTE_Allocation!$A$2:$A$201,$AB1144),Workforce!$A$2:$A$151,0))),IF(INDEX(FTE_Allocation!$J$2:$J$201,$AB1144)="",2958101,INDEX(FTE_Allocation!$J$2:$J$201,$AB1144))),"")))</f>
        <v/>
      </c>
      <c r="AG1144" s="19">
        <f>IF($Z1144="C",IF(INDEX(Contracts!$I$2:$I$151,$AB1144)="PREPAID",INDEX(Contracts!$M$2:$M$151,$AB1144)/IF(INDEX(Contracts!$N$2:$N$151,$AB1144)="",12,INDEX(Contracts!$N$2:$N$151,$AB1144)),IF(INDEX(Contracts!$I$2:$I$151,$AB1144)="MONTHLY",INDEX(Contracts!$M$2:$M$151,$AB1144),0))*(1-N(INDEX(Contracts!$O$2:$O$151,$AB1144))),IF($Z1144="A",INDEX(Fixed_Assets!$H$2:$H$201,$AB1144)/INDEX(Fixed_Assets!$J$2:$J$201,$AB1144),IF($Z1144="F",INDEX(Workforce!$F$2:$F$151,MATCH(INDEX(FTE_Allocation!$A$2:$A$201,$AB1144),Workforce!$A$2:$A$151,0))*N(INDEX(FTE_Allocation!$F$2:$H$201,$AB1144,$AC1144)),"")))</f>
        <v/>
      </c>
    </row>
    <row r="1145">
      <c r="A1145" s="7">
        <f>IF($Z1145="","",$AD1145)</f>
        <v/>
      </c>
      <c r="B1145" s="7">
        <f>IF($Z1145="C",INDEX(Contracts!$D$2:$D$151,$AB1145)&amp;"",IF($Z1145="A",INDEX(Fixed_Assets!$C$2:$C$201,$AB1145)&amp;"",IF($Z1145="F",INDEX(Workforce!$B$2:$B$151,MATCH(INDEX(FTE_Allocation!$A$2:$A$201,$AB1145),Workforce!$A$2:$A$151,0))&amp;"","")))</f>
        <v/>
      </c>
      <c r="C1145" s="7">
        <f>IF($Z1145="C",INDEX(Contracts!$E$2:$E$151,$AB1145)&amp;"",IF($Z1145="A",INDEX(Fixed_Assets!$D$2:$D$201,$AB1145)&amp;"",IF($Z1145="F",INDEX(FTE_Allocation!$C$2:$C$201,$AB1145)&amp;"","")))</f>
        <v/>
      </c>
      <c r="D1145" s="7">
        <f>IF($Z1145="C",INDEX(Contracts!$B$2:$B$151,$AB1145)&amp;"",IF($Z1145="A",INDEX(Fixed_Assets!$B$2:$B$201,$AB1145)&amp;"",IF($Z1145="F",INDEX(FTE_Allocation!$B$2:$B$201,$AB1145)&amp;"","")))</f>
        <v/>
      </c>
      <c r="E1145" s="7">
        <f>IF($Z1145="C",INDEX(Contracts!$P$2:$P$151,$AB1145)&amp;"",IF($Z1145="A",INDEX(Fixed_Assets!$K$2:$K$201,$AB1145)&amp;"",IF($Z1145="F",IF(INDEX(FTE_Allocation!$D$2:$D$201,$AB1145)="PROJECT",IFERROR(INDEX(Projects!$D:$D,MATCH(INDEX(FTE_Allocation!$E$2:$E$201,$AB1145),Projects!$A:$A,0))&amp;"","#PROJECT?"),INDEX(FTE_Allocation!$E$2:$E$201,$AB1145)&amp;""),"")))</f>
        <v/>
      </c>
      <c r="F1145" s="7">
        <f>IF($Z1145="C",INDEX(Contracts!$Q$2:$Q$151,$AB1145)&amp;"",IF($Z1145="A",INDEX(Fixed_Assets!$L$2:$L$201,$AB1145)&amp;"",IF($Z1145="F",INDEX(Workforce!$K$2:$K$151,MATCH(INDEX(FTE_Allocation!$A$2:$A$201,$AB1145),Workforce!$A$2:$A$151,0))&amp;"","")))</f>
        <v/>
      </c>
      <c r="G1145" s="7">
        <f>IF($Z1145="C",INDEX(Contracts!$F$2:$F$151,$AB1145)&amp;" / "&amp;INDEX(Contracts!$G$2:$G$151,$AB1145),IF($Z1145="A",INDEX(Fixed_Assets!$E$2:$E$201,$AB1145)&amp;"",IF($Z1145="F","Personnel "&amp;INDEX(FTE_Allocation!$A$2:$A$201,$AB1145)&amp;IF(INDEX(FTE_Allocation!$D$2:$D$201,$AB1145)="PROJECT"," ("&amp;INDEX(FTE_Allocation!$E$2:$E$201,$AB1145)&amp;")",""),"")))</f>
        <v/>
      </c>
      <c r="H1145" s="7">
        <f>IF($Z1145="C","CONTRACT",IF($Z1145="A","ASSET",IF($Z1145="F","WORKFORCE","")))</f>
        <v/>
      </c>
      <c r="I1145" s="7">
        <f>IF($Z1145="C",INDEX(Contracts!$L$2:$L$151,$AB1145)&amp;"",IF($Z1145="A",INDEX(Fixed_Assets!$I$2:$I$201,$AB1145)&amp;"",IF($Z1145="F",INDEX(Workforce!$G$2:$G$151,MATCH(INDEX(FTE_Allocation!$A$2:$A$201,$AB1145),Workforce!$A$2:$A$151,0))&amp;"","")))</f>
        <v/>
      </c>
      <c r="J1145" s="18">
        <f>IF($Z1145="","",IF(AND(DATE($AD1145,1,1)&gt;=$AE1145,DATE($AD1145,1,1)&lt;=$AF1145),ROUND($AG1145,2),0))</f>
        <v/>
      </c>
      <c r="K1145" s="18">
        <f>IF($Z1145="","",IF(AND(DATE($AD1145,2,1)&gt;=$AE1145,DATE($AD1145,2,1)&lt;=$AF1145),ROUND($AG1145,2),0))</f>
        <v/>
      </c>
      <c r="L1145" s="18">
        <f>IF($Z1145="","",IF(AND(DATE($AD1145,3,1)&gt;=$AE1145,DATE($AD1145,3,1)&lt;=$AF1145),ROUND($AG1145,2),0))</f>
        <v/>
      </c>
      <c r="M1145" s="18">
        <f>IF($Z1145="","",IF(AND(DATE($AD1145,4,1)&gt;=$AE1145,DATE($AD1145,4,1)&lt;=$AF1145),ROUND($AG1145,2),0))</f>
        <v/>
      </c>
      <c r="N1145" s="18">
        <f>IF($Z1145="","",IF(AND(DATE($AD1145,5,1)&gt;=$AE1145,DATE($AD1145,5,1)&lt;=$AF1145),ROUND($AG1145,2),0))</f>
        <v/>
      </c>
      <c r="O1145" s="18">
        <f>IF($Z1145="","",IF(AND(DATE($AD1145,6,1)&gt;=$AE1145,DATE($AD1145,6,1)&lt;=$AF1145),ROUND($AG1145,2),0))</f>
        <v/>
      </c>
      <c r="P1145" s="18">
        <f>IF($Z1145="","",IF(AND(DATE($AD1145,7,1)&gt;=$AE1145,DATE($AD1145,7,1)&lt;=$AF1145),ROUND($AG1145,2),0))</f>
        <v/>
      </c>
      <c r="Q1145" s="18">
        <f>IF($Z1145="","",IF(AND(DATE($AD1145,8,1)&gt;=$AE1145,DATE($AD1145,8,1)&lt;=$AF1145),ROUND($AG1145,2),0))</f>
        <v/>
      </c>
      <c r="R1145" s="18">
        <f>IF($Z1145="","",IF(AND(DATE($AD1145,9,1)&gt;=$AE1145,DATE($AD1145,9,1)&lt;=$AF1145),ROUND($AG1145,2),0))</f>
        <v/>
      </c>
      <c r="S1145" s="18">
        <f>IF($Z1145="","",IF(AND(DATE($AD1145,10,1)&gt;=$AE1145,DATE($AD1145,10,1)&lt;=$AF1145),ROUND($AG1145,2),0))</f>
        <v/>
      </c>
      <c r="T1145" s="18">
        <f>IF($Z1145="","",IF(AND(DATE($AD1145,11,1)&gt;=$AE1145,DATE($AD1145,11,1)&lt;=$AF1145),ROUND($AG1145,2),0))</f>
        <v/>
      </c>
      <c r="U1145" s="18">
        <f>IF($Z1145="","",IF(AND(DATE($AD1145,12,1)&gt;=$AE1145,DATE($AD1145,12,1)&lt;=$AF1145),ROUND($AG1145,2),0))</f>
        <v/>
      </c>
      <c r="V1145" s="7">
        <f>IF($Z1145="C","Generated from "&amp;INDEX(Contracts!$A$2:$A$151,$AB1145),IF($Z1145="A","Generated from "&amp;INDEX(Fixed_Assets!$A$2:$A$201,$AB1145),IF($Z1145="F","Generated from "&amp;INDEX(FTE_Allocation!$A$2:$A$201,$AB1145),"")))</f>
        <v/>
      </c>
      <c r="X1145" s="19">
        <f>IF($Z1145="","",SUM(J1145:U1145))</f>
        <v/>
      </c>
      <c r="Y1145" s="20">
        <f>ROW()-1</f>
        <v/>
      </c>
      <c r="Z1145" s="20">
        <f>IF($Y1145&lt;=Settings!$B$4*3,"C",IF($Y1145&lt;=(Settings!$B$4+Settings!$B$5)*3,"A",IF($Y1145&lt;=(Settings!$B$4+Settings!$B$5+Settings!$B$6)*3,"F","")))</f>
        <v/>
      </c>
      <c r="AA1145" s="20">
        <f>IF($Z1145="C",$Y1145,IF($Z1145="A",$Y1145-Settings!$B$4*3,IF($Z1145="F",$Y1145-(Settings!$B$4+Settings!$B$5)*3,"")))</f>
        <v/>
      </c>
      <c r="AB1145" s="20">
        <f>IF($Z1145="","",INT(($AA1145-1)/3)+1)</f>
        <v/>
      </c>
      <c r="AC1145" s="20">
        <f>IF($Z1145="","",MOD($AA1145-1,3)+1)</f>
        <v/>
      </c>
      <c r="AD1145" s="20">
        <f>IF($Z1145="","",Settings!$B$2+$AC1145-1)</f>
        <v/>
      </c>
      <c r="AE1145" s="21">
        <f>IF($Z1145="C",DATE(YEAR(INDEX(Contracts!$J$2:$J$151,$AB1145)),MONTH(INDEX(Contracts!$J$2:$J$151,$AB1145)),1),IF($Z1145="A",DATE(YEAR(INDEX(Fixed_Assets!$G$2:$G$201,$AB1145)),MONTH(INDEX(Fixed_Assets!$G$2:$G$201,$AB1145)),1),IF($Z1145="F",DATE(YEAR(MAX(N(INDEX(Workforce!$I$2:$I$151,MATCH(INDEX(FTE_Allocation!$A$2:$A$201,$AB1145),Workforce!$A$2:$A$151,0))),N(INDEX(FTE_Allocation!$I$2:$I$201,$AB1145)))),MONTH(MAX(N(INDEX(Workforce!$I$2:$I$151,MATCH(INDEX(FTE_Allocation!$A$2:$A$201,$AB1145),Workforce!$A$2:$A$151,0))),N(INDEX(FTE_Allocation!$I$2:$I$201,$AB1145)))),1),"")))</f>
        <v/>
      </c>
      <c r="AF1145" s="21">
        <f>IF($Z1145="C",IF(INDEX(Contracts!$I$2:$I$151,$AB1145)="PREPAID",EDATE(DATE(YEAR(INDEX(Contracts!$J$2:$J$151,$AB1145)),MONTH(INDEX(Contracts!$J$2:$J$151,$AB1145)),1),IF(INDEX(Contracts!$N$2:$N$151,$AB1145)="",12,INDEX(Contracts!$N$2:$N$151,$AB1145))-1),IF(INDEX(Contracts!$I$2:$I$151,$AB1145)="MONTHLY",IF(INDEX(Contracts!$K$2:$K$151,$AB1145)="",2958101,INDEX(Contracts!$K$2:$K$151,$AB1145)),0)),IF($Z1145="A",EDATE(DATE(YEAR(INDEX(Fixed_Assets!$G$2:$G$201,$AB1145)),MONTH(INDEX(Fixed_Assets!$G$2:$G$201,$AB1145)),1),INDEX(Fixed_Assets!$J$2:$J$201,$AB1145)-1),IF($Z1145="F",MIN(IF(INDEX(Workforce!$J$2:$J$151,MATCH(INDEX(FTE_Allocation!$A$2:$A$201,$AB1145),Workforce!$A$2:$A$151,0))="",2958101,INDEX(Workforce!$J$2:$J$151,MATCH(INDEX(FTE_Allocation!$A$2:$A$201,$AB1145),Workforce!$A$2:$A$151,0))),IF(INDEX(FTE_Allocation!$J$2:$J$201,$AB1145)="",2958101,INDEX(FTE_Allocation!$J$2:$J$201,$AB1145))),"")))</f>
        <v/>
      </c>
      <c r="AG1145" s="19">
        <f>IF($Z1145="C",IF(INDEX(Contracts!$I$2:$I$151,$AB1145)="PREPAID",INDEX(Contracts!$M$2:$M$151,$AB1145)/IF(INDEX(Contracts!$N$2:$N$151,$AB1145)="",12,INDEX(Contracts!$N$2:$N$151,$AB1145)),IF(INDEX(Contracts!$I$2:$I$151,$AB1145)="MONTHLY",INDEX(Contracts!$M$2:$M$151,$AB1145),0))*(1-N(INDEX(Contracts!$O$2:$O$151,$AB1145))),IF($Z1145="A",INDEX(Fixed_Assets!$H$2:$H$201,$AB1145)/INDEX(Fixed_Assets!$J$2:$J$201,$AB1145),IF($Z1145="F",INDEX(Workforce!$F$2:$F$151,MATCH(INDEX(FTE_Allocation!$A$2:$A$201,$AB1145),Workforce!$A$2:$A$151,0))*N(INDEX(FTE_Allocation!$F$2:$H$201,$AB1145,$AC1145)),"")))</f>
        <v/>
      </c>
    </row>
    <row r="1146">
      <c r="A1146" s="7">
        <f>IF($Z1146="","",$AD1146)</f>
        <v/>
      </c>
      <c r="B1146" s="7">
        <f>IF($Z1146="C",INDEX(Contracts!$D$2:$D$151,$AB1146)&amp;"",IF($Z1146="A",INDEX(Fixed_Assets!$C$2:$C$201,$AB1146)&amp;"",IF($Z1146="F",INDEX(Workforce!$B$2:$B$151,MATCH(INDEX(FTE_Allocation!$A$2:$A$201,$AB1146),Workforce!$A$2:$A$151,0))&amp;"","")))</f>
        <v/>
      </c>
      <c r="C1146" s="7">
        <f>IF($Z1146="C",INDEX(Contracts!$E$2:$E$151,$AB1146)&amp;"",IF($Z1146="A",INDEX(Fixed_Assets!$D$2:$D$201,$AB1146)&amp;"",IF($Z1146="F",INDEX(FTE_Allocation!$C$2:$C$201,$AB1146)&amp;"","")))</f>
        <v/>
      </c>
      <c r="D1146" s="7">
        <f>IF($Z1146="C",INDEX(Contracts!$B$2:$B$151,$AB1146)&amp;"",IF($Z1146="A",INDEX(Fixed_Assets!$B$2:$B$201,$AB1146)&amp;"",IF($Z1146="F",INDEX(FTE_Allocation!$B$2:$B$201,$AB1146)&amp;"","")))</f>
        <v/>
      </c>
      <c r="E1146" s="7">
        <f>IF($Z1146="C",INDEX(Contracts!$P$2:$P$151,$AB1146)&amp;"",IF($Z1146="A",INDEX(Fixed_Assets!$K$2:$K$201,$AB1146)&amp;"",IF($Z1146="F",IF(INDEX(FTE_Allocation!$D$2:$D$201,$AB1146)="PROJECT",IFERROR(INDEX(Projects!$D:$D,MATCH(INDEX(FTE_Allocation!$E$2:$E$201,$AB1146),Projects!$A:$A,0))&amp;"","#PROJECT?"),INDEX(FTE_Allocation!$E$2:$E$201,$AB1146)&amp;""),"")))</f>
        <v/>
      </c>
      <c r="F1146" s="7">
        <f>IF($Z1146="C",INDEX(Contracts!$Q$2:$Q$151,$AB1146)&amp;"",IF($Z1146="A",INDEX(Fixed_Assets!$L$2:$L$201,$AB1146)&amp;"",IF($Z1146="F",INDEX(Workforce!$K$2:$K$151,MATCH(INDEX(FTE_Allocation!$A$2:$A$201,$AB1146),Workforce!$A$2:$A$151,0))&amp;"","")))</f>
        <v/>
      </c>
      <c r="G1146" s="7">
        <f>IF($Z1146="C",INDEX(Contracts!$F$2:$F$151,$AB1146)&amp;" / "&amp;INDEX(Contracts!$G$2:$G$151,$AB1146),IF($Z1146="A",INDEX(Fixed_Assets!$E$2:$E$201,$AB1146)&amp;"",IF($Z1146="F","Personnel "&amp;INDEX(FTE_Allocation!$A$2:$A$201,$AB1146)&amp;IF(INDEX(FTE_Allocation!$D$2:$D$201,$AB1146)="PROJECT"," ("&amp;INDEX(FTE_Allocation!$E$2:$E$201,$AB1146)&amp;")",""),"")))</f>
        <v/>
      </c>
      <c r="H1146" s="7">
        <f>IF($Z1146="C","CONTRACT",IF($Z1146="A","ASSET",IF($Z1146="F","WORKFORCE","")))</f>
        <v/>
      </c>
      <c r="I1146" s="7">
        <f>IF($Z1146="C",INDEX(Contracts!$L$2:$L$151,$AB1146)&amp;"",IF($Z1146="A",INDEX(Fixed_Assets!$I$2:$I$201,$AB1146)&amp;"",IF($Z1146="F",INDEX(Workforce!$G$2:$G$151,MATCH(INDEX(FTE_Allocation!$A$2:$A$201,$AB1146),Workforce!$A$2:$A$151,0))&amp;"","")))</f>
        <v/>
      </c>
      <c r="J1146" s="18">
        <f>IF($Z1146="","",IF(AND(DATE($AD1146,1,1)&gt;=$AE1146,DATE($AD1146,1,1)&lt;=$AF1146),ROUND($AG1146,2),0))</f>
        <v/>
      </c>
      <c r="K1146" s="18">
        <f>IF($Z1146="","",IF(AND(DATE($AD1146,2,1)&gt;=$AE1146,DATE($AD1146,2,1)&lt;=$AF1146),ROUND($AG1146,2),0))</f>
        <v/>
      </c>
      <c r="L1146" s="18">
        <f>IF($Z1146="","",IF(AND(DATE($AD1146,3,1)&gt;=$AE1146,DATE($AD1146,3,1)&lt;=$AF1146),ROUND($AG1146,2),0))</f>
        <v/>
      </c>
      <c r="M1146" s="18">
        <f>IF($Z1146="","",IF(AND(DATE($AD1146,4,1)&gt;=$AE1146,DATE($AD1146,4,1)&lt;=$AF1146),ROUND($AG1146,2),0))</f>
        <v/>
      </c>
      <c r="N1146" s="18">
        <f>IF($Z1146="","",IF(AND(DATE($AD1146,5,1)&gt;=$AE1146,DATE($AD1146,5,1)&lt;=$AF1146),ROUND($AG1146,2),0))</f>
        <v/>
      </c>
      <c r="O1146" s="18">
        <f>IF($Z1146="","",IF(AND(DATE($AD1146,6,1)&gt;=$AE1146,DATE($AD1146,6,1)&lt;=$AF1146),ROUND($AG1146,2),0))</f>
        <v/>
      </c>
      <c r="P1146" s="18">
        <f>IF($Z1146="","",IF(AND(DATE($AD1146,7,1)&gt;=$AE1146,DATE($AD1146,7,1)&lt;=$AF1146),ROUND($AG1146,2),0))</f>
        <v/>
      </c>
      <c r="Q1146" s="18">
        <f>IF($Z1146="","",IF(AND(DATE($AD1146,8,1)&gt;=$AE1146,DATE($AD1146,8,1)&lt;=$AF1146),ROUND($AG1146,2),0))</f>
        <v/>
      </c>
      <c r="R1146" s="18">
        <f>IF($Z1146="","",IF(AND(DATE($AD1146,9,1)&gt;=$AE1146,DATE($AD1146,9,1)&lt;=$AF1146),ROUND($AG1146,2),0))</f>
        <v/>
      </c>
      <c r="S1146" s="18">
        <f>IF($Z1146="","",IF(AND(DATE($AD1146,10,1)&gt;=$AE1146,DATE($AD1146,10,1)&lt;=$AF1146),ROUND($AG1146,2),0))</f>
        <v/>
      </c>
      <c r="T1146" s="18">
        <f>IF($Z1146="","",IF(AND(DATE($AD1146,11,1)&gt;=$AE1146,DATE($AD1146,11,1)&lt;=$AF1146),ROUND($AG1146,2),0))</f>
        <v/>
      </c>
      <c r="U1146" s="18">
        <f>IF($Z1146="","",IF(AND(DATE($AD1146,12,1)&gt;=$AE1146,DATE($AD1146,12,1)&lt;=$AF1146),ROUND($AG1146,2),0))</f>
        <v/>
      </c>
      <c r="V1146" s="7">
        <f>IF($Z1146="C","Generated from "&amp;INDEX(Contracts!$A$2:$A$151,$AB1146),IF($Z1146="A","Generated from "&amp;INDEX(Fixed_Assets!$A$2:$A$201,$AB1146),IF($Z1146="F","Generated from "&amp;INDEX(FTE_Allocation!$A$2:$A$201,$AB1146),"")))</f>
        <v/>
      </c>
      <c r="X1146" s="19">
        <f>IF($Z1146="","",SUM(J1146:U1146))</f>
        <v/>
      </c>
      <c r="Y1146" s="20">
        <f>ROW()-1</f>
        <v/>
      </c>
      <c r="Z1146" s="20">
        <f>IF($Y1146&lt;=Settings!$B$4*3,"C",IF($Y1146&lt;=(Settings!$B$4+Settings!$B$5)*3,"A",IF($Y1146&lt;=(Settings!$B$4+Settings!$B$5+Settings!$B$6)*3,"F","")))</f>
        <v/>
      </c>
      <c r="AA1146" s="20">
        <f>IF($Z1146="C",$Y1146,IF($Z1146="A",$Y1146-Settings!$B$4*3,IF($Z1146="F",$Y1146-(Settings!$B$4+Settings!$B$5)*3,"")))</f>
        <v/>
      </c>
      <c r="AB1146" s="20">
        <f>IF($Z1146="","",INT(($AA1146-1)/3)+1)</f>
        <v/>
      </c>
      <c r="AC1146" s="20">
        <f>IF($Z1146="","",MOD($AA1146-1,3)+1)</f>
        <v/>
      </c>
      <c r="AD1146" s="20">
        <f>IF($Z1146="","",Settings!$B$2+$AC1146-1)</f>
        <v/>
      </c>
      <c r="AE1146" s="21">
        <f>IF($Z1146="C",DATE(YEAR(INDEX(Contracts!$J$2:$J$151,$AB1146)),MONTH(INDEX(Contracts!$J$2:$J$151,$AB1146)),1),IF($Z1146="A",DATE(YEAR(INDEX(Fixed_Assets!$G$2:$G$201,$AB1146)),MONTH(INDEX(Fixed_Assets!$G$2:$G$201,$AB1146)),1),IF($Z1146="F",DATE(YEAR(MAX(N(INDEX(Workforce!$I$2:$I$151,MATCH(INDEX(FTE_Allocation!$A$2:$A$201,$AB1146),Workforce!$A$2:$A$151,0))),N(INDEX(FTE_Allocation!$I$2:$I$201,$AB1146)))),MONTH(MAX(N(INDEX(Workforce!$I$2:$I$151,MATCH(INDEX(FTE_Allocation!$A$2:$A$201,$AB1146),Workforce!$A$2:$A$151,0))),N(INDEX(FTE_Allocation!$I$2:$I$201,$AB1146)))),1),"")))</f>
        <v/>
      </c>
      <c r="AF1146" s="21">
        <f>IF($Z1146="C",IF(INDEX(Contracts!$I$2:$I$151,$AB1146)="PREPAID",EDATE(DATE(YEAR(INDEX(Contracts!$J$2:$J$151,$AB1146)),MONTH(INDEX(Contracts!$J$2:$J$151,$AB1146)),1),IF(INDEX(Contracts!$N$2:$N$151,$AB1146)="",12,INDEX(Contracts!$N$2:$N$151,$AB1146))-1),IF(INDEX(Contracts!$I$2:$I$151,$AB1146)="MONTHLY",IF(INDEX(Contracts!$K$2:$K$151,$AB1146)="",2958101,INDEX(Contracts!$K$2:$K$151,$AB1146)),0)),IF($Z1146="A",EDATE(DATE(YEAR(INDEX(Fixed_Assets!$G$2:$G$201,$AB1146)),MONTH(INDEX(Fixed_Assets!$G$2:$G$201,$AB1146)),1),INDEX(Fixed_Assets!$J$2:$J$201,$AB1146)-1),IF($Z1146="F",MIN(IF(INDEX(Workforce!$J$2:$J$151,MATCH(INDEX(FTE_Allocation!$A$2:$A$201,$AB1146),Workforce!$A$2:$A$151,0))="",2958101,INDEX(Workforce!$J$2:$J$151,MATCH(INDEX(FTE_Allocation!$A$2:$A$201,$AB1146),Workforce!$A$2:$A$151,0))),IF(INDEX(FTE_Allocation!$J$2:$J$201,$AB1146)="",2958101,INDEX(FTE_Allocation!$J$2:$J$201,$AB1146))),"")))</f>
        <v/>
      </c>
      <c r="AG1146" s="19">
        <f>IF($Z1146="C",IF(INDEX(Contracts!$I$2:$I$151,$AB1146)="PREPAID",INDEX(Contracts!$M$2:$M$151,$AB1146)/IF(INDEX(Contracts!$N$2:$N$151,$AB1146)="",12,INDEX(Contracts!$N$2:$N$151,$AB1146)),IF(INDEX(Contracts!$I$2:$I$151,$AB1146)="MONTHLY",INDEX(Contracts!$M$2:$M$151,$AB1146),0))*(1-N(INDEX(Contracts!$O$2:$O$151,$AB1146))),IF($Z1146="A",INDEX(Fixed_Assets!$H$2:$H$201,$AB1146)/INDEX(Fixed_Assets!$J$2:$J$201,$AB1146),IF($Z1146="F",INDEX(Workforce!$F$2:$F$151,MATCH(INDEX(FTE_Allocation!$A$2:$A$201,$AB1146),Workforce!$A$2:$A$151,0))*N(INDEX(FTE_Allocation!$F$2:$H$201,$AB1146,$AC1146)),"")))</f>
        <v/>
      </c>
    </row>
    <row r="1147">
      <c r="A1147" s="7">
        <f>IF($Z1147="","",$AD1147)</f>
        <v/>
      </c>
      <c r="B1147" s="7">
        <f>IF($Z1147="C",INDEX(Contracts!$D$2:$D$151,$AB1147)&amp;"",IF($Z1147="A",INDEX(Fixed_Assets!$C$2:$C$201,$AB1147)&amp;"",IF($Z1147="F",INDEX(Workforce!$B$2:$B$151,MATCH(INDEX(FTE_Allocation!$A$2:$A$201,$AB1147),Workforce!$A$2:$A$151,0))&amp;"","")))</f>
        <v/>
      </c>
      <c r="C1147" s="7">
        <f>IF($Z1147="C",INDEX(Contracts!$E$2:$E$151,$AB1147)&amp;"",IF($Z1147="A",INDEX(Fixed_Assets!$D$2:$D$201,$AB1147)&amp;"",IF($Z1147="F",INDEX(FTE_Allocation!$C$2:$C$201,$AB1147)&amp;"","")))</f>
        <v/>
      </c>
      <c r="D1147" s="7">
        <f>IF($Z1147="C",INDEX(Contracts!$B$2:$B$151,$AB1147)&amp;"",IF($Z1147="A",INDEX(Fixed_Assets!$B$2:$B$201,$AB1147)&amp;"",IF($Z1147="F",INDEX(FTE_Allocation!$B$2:$B$201,$AB1147)&amp;"","")))</f>
        <v/>
      </c>
      <c r="E1147" s="7">
        <f>IF($Z1147="C",INDEX(Contracts!$P$2:$P$151,$AB1147)&amp;"",IF($Z1147="A",INDEX(Fixed_Assets!$K$2:$K$201,$AB1147)&amp;"",IF($Z1147="F",IF(INDEX(FTE_Allocation!$D$2:$D$201,$AB1147)="PROJECT",IFERROR(INDEX(Projects!$D:$D,MATCH(INDEX(FTE_Allocation!$E$2:$E$201,$AB1147),Projects!$A:$A,0))&amp;"","#PROJECT?"),INDEX(FTE_Allocation!$E$2:$E$201,$AB1147)&amp;""),"")))</f>
        <v/>
      </c>
      <c r="F1147" s="7">
        <f>IF($Z1147="C",INDEX(Contracts!$Q$2:$Q$151,$AB1147)&amp;"",IF($Z1147="A",INDEX(Fixed_Assets!$L$2:$L$201,$AB1147)&amp;"",IF($Z1147="F",INDEX(Workforce!$K$2:$K$151,MATCH(INDEX(FTE_Allocation!$A$2:$A$201,$AB1147),Workforce!$A$2:$A$151,0))&amp;"","")))</f>
        <v/>
      </c>
      <c r="G1147" s="7">
        <f>IF($Z1147="C",INDEX(Contracts!$F$2:$F$151,$AB1147)&amp;" / "&amp;INDEX(Contracts!$G$2:$G$151,$AB1147),IF($Z1147="A",INDEX(Fixed_Assets!$E$2:$E$201,$AB1147)&amp;"",IF($Z1147="F","Personnel "&amp;INDEX(FTE_Allocation!$A$2:$A$201,$AB1147)&amp;IF(INDEX(FTE_Allocation!$D$2:$D$201,$AB1147)="PROJECT"," ("&amp;INDEX(FTE_Allocation!$E$2:$E$201,$AB1147)&amp;")",""),"")))</f>
        <v/>
      </c>
      <c r="H1147" s="7">
        <f>IF($Z1147="C","CONTRACT",IF($Z1147="A","ASSET",IF($Z1147="F","WORKFORCE","")))</f>
        <v/>
      </c>
      <c r="I1147" s="7">
        <f>IF($Z1147="C",INDEX(Contracts!$L$2:$L$151,$AB1147)&amp;"",IF($Z1147="A",INDEX(Fixed_Assets!$I$2:$I$201,$AB1147)&amp;"",IF($Z1147="F",INDEX(Workforce!$G$2:$G$151,MATCH(INDEX(FTE_Allocation!$A$2:$A$201,$AB1147),Workforce!$A$2:$A$151,0))&amp;"","")))</f>
        <v/>
      </c>
      <c r="J1147" s="18">
        <f>IF($Z1147="","",IF(AND(DATE($AD1147,1,1)&gt;=$AE1147,DATE($AD1147,1,1)&lt;=$AF1147),ROUND($AG1147,2),0))</f>
        <v/>
      </c>
      <c r="K1147" s="18">
        <f>IF($Z1147="","",IF(AND(DATE($AD1147,2,1)&gt;=$AE1147,DATE($AD1147,2,1)&lt;=$AF1147),ROUND($AG1147,2),0))</f>
        <v/>
      </c>
      <c r="L1147" s="18">
        <f>IF($Z1147="","",IF(AND(DATE($AD1147,3,1)&gt;=$AE1147,DATE($AD1147,3,1)&lt;=$AF1147),ROUND($AG1147,2),0))</f>
        <v/>
      </c>
      <c r="M1147" s="18">
        <f>IF($Z1147="","",IF(AND(DATE($AD1147,4,1)&gt;=$AE1147,DATE($AD1147,4,1)&lt;=$AF1147),ROUND($AG1147,2),0))</f>
        <v/>
      </c>
      <c r="N1147" s="18">
        <f>IF($Z1147="","",IF(AND(DATE($AD1147,5,1)&gt;=$AE1147,DATE($AD1147,5,1)&lt;=$AF1147),ROUND($AG1147,2),0))</f>
        <v/>
      </c>
      <c r="O1147" s="18">
        <f>IF($Z1147="","",IF(AND(DATE($AD1147,6,1)&gt;=$AE1147,DATE($AD1147,6,1)&lt;=$AF1147),ROUND($AG1147,2),0))</f>
        <v/>
      </c>
      <c r="P1147" s="18">
        <f>IF($Z1147="","",IF(AND(DATE($AD1147,7,1)&gt;=$AE1147,DATE($AD1147,7,1)&lt;=$AF1147),ROUND($AG1147,2),0))</f>
        <v/>
      </c>
      <c r="Q1147" s="18">
        <f>IF($Z1147="","",IF(AND(DATE($AD1147,8,1)&gt;=$AE1147,DATE($AD1147,8,1)&lt;=$AF1147),ROUND($AG1147,2),0))</f>
        <v/>
      </c>
      <c r="R1147" s="18">
        <f>IF($Z1147="","",IF(AND(DATE($AD1147,9,1)&gt;=$AE1147,DATE($AD1147,9,1)&lt;=$AF1147),ROUND($AG1147,2),0))</f>
        <v/>
      </c>
      <c r="S1147" s="18">
        <f>IF($Z1147="","",IF(AND(DATE($AD1147,10,1)&gt;=$AE1147,DATE($AD1147,10,1)&lt;=$AF1147),ROUND($AG1147,2),0))</f>
        <v/>
      </c>
      <c r="T1147" s="18">
        <f>IF($Z1147="","",IF(AND(DATE($AD1147,11,1)&gt;=$AE1147,DATE($AD1147,11,1)&lt;=$AF1147),ROUND($AG1147,2),0))</f>
        <v/>
      </c>
      <c r="U1147" s="18">
        <f>IF($Z1147="","",IF(AND(DATE($AD1147,12,1)&gt;=$AE1147,DATE($AD1147,12,1)&lt;=$AF1147),ROUND($AG1147,2),0))</f>
        <v/>
      </c>
      <c r="V1147" s="7">
        <f>IF($Z1147="C","Generated from "&amp;INDEX(Contracts!$A$2:$A$151,$AB1147),IF($Z1147="A","Generated from "&amp;INDEX(Fixed_Assets!$A$2:$A$201,$AB1147),IF($Z1147="F","Generated from "&amp;INDEX(FTE_Allocation!$A$2:$A$201,$AB1147),"")))</f>
        <v/>
      </c>
      <c r="X1147" s="19">
        <f>IF($Z1147="","",SUM(J1147:U1147))</f>
        <v/>
      </c>
      <c r="Y1147" s="20">
        <f>ROW()-1</f>
        <v/>
      </c>
      <c r="Z1147" s="20">
        <f>IF($Y1147&lt;=Settings!$B$4*3,"C",IF($Y1147&lt;=(Settings!$B$4+Settings!$B$5)*3,"A",IF($Y1147&lt;=(Settings!$B$4+Settings!$B$5+Settings!$B$6)*3,"F","")))</f>
        <v/>
      </c>
      <c r="AA1147" s="20">
        <f>IF($Z1147="C",$Y1147,IF($Z1147="A",$Y1147-Settings!$B$4*3,IF($Z1147="F",$Y1147-(Settings!$B$4+Settings!$B$5)*3,"")))</f>
        <v/>
      </c>
      <c r="AB1147" s="20">
        <f>IF($Z1147="","",INT(($AA1147-1)/3)+1)</f>
        <v/>
      </c>
      <c r="AC1147" s="20">
        <f>IF($Z1147="","",MOD($AA1147-1,3)+1)</f>
        <v/>
      </c>
      <c r="AD1147" s="20">
        <f>IF($Z1147="","",Settings!$B$2+$AC1147-1)</f>
        <v/>
      </c>
      <c r="AE1147" s="21">
        <f>IF($Z1147="C",DATE(YEAR(INDEX(Contracts!$J$2:$J$151,$AB1147)),MONTH(INDEX(Contracts!$J$2:$J$151,$AB1147)),1),IF($Z1147="A",DATE(YEAR(INDEX(Fixed_Assets!$G$2:$G$201,$AB1147)),MONTH(INDEX(Fixed_Assets!$G$2:$G$201,$AB1147)),1),IF($Z1147="F",DATE(YEAR(MAX(N(INDEX(Workforce!$I$2:$I$151,MATCH(INDEX(FTE_Allocation!$A$2:$A$201,$AB1147),Workforce!$A$2:$A$151,0))),N(INDEX(FTE_Allocation!$I$2:$I$201,$AB1147)))),MONTH(MAX(N(INDEX(Workforce!$I$2:$I$151,MATCH(INDEX(FTE_Allocation!$A$2:$A$201,$AB1147),Workforce!$A$2:$A$151,0))),N(INDEX(FTE_Allocation!$I$2:$I$201,$AB1147)))),1),"")))</f>
        <v/>
      </c>
      <c r="AF1147" s="21">
        <f>IF($Z1147="C",IF(INDEX(Contracts!$I$2:$I$151,$AB1147)="PREPAID",EDATE(DATE(YEAR(INDEX(Contracts!$J$2:$J$151,$AB1147)),MONTH(INDEX(Contracts!$J$2:$J$151,$AB1147)),1),IF(INDEX(Contracts!$N$2:$N$151,$AB1147)="",12,INDEX(Contracts!$N$2:$N$151,$AB1147))-1),IF(INDEX(Contracts!$I$2:$I$151,$AB1147)="MONTHLY",IF(INDEX(Contracts!$K$2:$K$151,$AB1147)="",2958101,INDEX(Contracts!$K$2:$K$151,$AB1147)),0)),IF($Z1147="A",EDATE(DATE(YEAR(INDEX(Fixed_Assets!$G$2:$G$201,$AB1147)),MONTH(INDEX(Fixed_Assets!$G$2:$G$201,$AB1147)),1),INDEX(Fixed_Assets!$J$2:$J$201,$AB1147)-1),IF($Z1147="F",MIN(IF(INDEX(Workforce!$J$2:$J$151,MATCH(INDEX(FTE_Allocation!$A$2:$A$201,$AB1147),Workforce!$A$2:$A$151,0))="",2958101,INDEX(Workforce!$J$2:$J$151,MATCH(INDEX(FTE_Allocation!$A$2:$A$201,$AB1147),Workforce!$A$2:$A$151,0))),IF(INDEX(FTE_Allocation!$J$2:$J$201,$AB1147)="",2958101,INDEX(FTE_Allocation!$J$2:$J$201,$AB1147))),"")))</f>
        <v/>
      </c>
      <c r="AG1147" s="19">
        <f>IF($Z1147="C",IF(INDEX(Contracts!$I$2:$I$151,$AB1147)="PREPAID",INDEX(Contracts!$M$2:$M$151,$AB1147)/IF(INDEX(Contracts!$N$2:$N$151,$AB1147)="",12,INDEX(Contracts!$N$2:$N$151,$AB1147)),IF(INDEX(Contracts!$I$2:$I$151,$AB1147)="MONTHLY",INDEX(Contracts!$M$2:$M$151,$AB1147),0))*(1-N(INDEX(Contracts!$O$2:$O$151,$AB1147))),IF($Z1147="A",INDEX(Fixed_Assets!$H$2:$H$201,$AB1147)/INDEX(Fixed_Assets!$J$2:$J$201,$AB1147),IF($Z1147="F",INDEX(Workforce!$F$2:$F$151,MATCH(INDEX(FTE_Allocation!$A$2:$A$201,$AB1147),Workforce!$A$2:$A$151,0))*N(INDEX(FTE_Allocation!$F$2:$H$201,$AB1147,$AC1147)),"")))</f>
        <v/>
      </c>
    </row>
    <row r="1148">
      <c r="A1148" s="7">
        <f>IF($Z1148="","",$AD1148)</f>
        <v/>
      </c>
      <c r="B1148" s="7">
        <f>IF($Z1148="C",INDEX(Contracts!$D$2:$D$151,$AB1148)&amp;"",IF($Z1148="A",INDEX(Fixed_Assets!$C$2:$C$201,$AB1148)&amp;"",IF($Z1148="F",INDEX(Workforce!$B$2:$B$151,MATCH(INDEX(FTE_Allocation!$A$2:$A$201,$AB1148),Workforce!$A$2:$A$151,0))&amp;"","")))</f>
        <v/>
      </c>
      <c r="C1148" s="7">
        <f>IF($Z1148="C",INDEX(Contracts!$E$2:$E$151,$AB1148)&amp;"",IF($Z1148="A",INDEX(Fixed_Assets!$D$2:$D$201,$AB1148)&amp;"",IF($Z1148="F",INDEX(FTE_Allocation!$C$2:$C$201,$AB1148)&amp;"","")))</f>
        <v/>
      </c>
      <c r="D1148" s="7">
        <f>IF($Z1148="C",INDEX(Contracts!$B$2:$B$151,$AB1148)&amp;"",IF($Z1148="A",INDEX(Fixed_Assets!$B$2:$B$201,$AB1148)&amp;"",IF($Z1148="F",INDEX(FTE_Allocation!$B$2:$B$201,$AB1148)&amp;"","")))</f>
        <v/>
      </c>
      <c r="E1148" s="7">
        <f>IF($Z1148="C",INDEX(Contracts!$P$2:$P$151,$AB1148)&amp;"",IF($Z1148="A",INDEX(Fixed_Assets!$K$2:$K$201,$AB1148)&amp;"",IF($Z1148="F",IF(INDEX(FTE_Allocation!$D$2:$D$201,$AB1148)="PROJECT",IFERROR(INDEX(Projects!$D:$D,MATCH(INDEX(FTE_Allocation!$E$2:$E$201,$AB1148),Projects!$A:$A,0))&amp;"","#PROJECT?"),INDEX(FTE_Allocation!$E$2:$E$201,$AB1148)&amp;""),"")))</f>
        <v/>
      </c>
      <c r="F1148" s="7">
        <f>IF($Z1148="C",INDEX(Contracts!$Q$2:$Q$151,$AB1148)&amp;"",IF($Z1148="A",INDEX(Fixed_Assets!$L$2:$L$201,$AB1148)&amp;"",IF($Z1148="F",INDEX(Workforce!$K$2:$K$151,MATCH(INDEX(FTE_Allocation!$A$2:$A$201,$AB1148),Workforce!$A$2:$A$151,0))&amp;"","")))</f>
        <v/>
      </c>
      <c r="G1148" s="7">
        <f>IF($Z1148="C",INDEX(Contracts!$F$2:$F$151,$AB1148)&amp;" / "&amp;INDEX(Contracts!$G$2:$G$151,$AB1148),IF($Z1148="A",INDEX(Fixed_Assets!$E$2:$E$201,$AB1148)&amp;"",IF($Z1148="F","Personnel "&amp;INDEX(FTE_Allocation!$A$2:$A$201,$AB1148)&amp;IF(INDEX(FTE_Allocation!$D$2:$D$201,$AB1148)="PROJECT"," ("&amp;INDEX(FTE_Allocation!$E$2:$E$201,$AB1148)&amp;")",""),"")))</f>
        <v/>
      </c>
      <c r="H1148" s="7">
        <f>IF($Z1148="C","CONTRACT",IF($Z1148="A","ASSET",IF($Z1148="F","WORKFORCE","")))</f>
        <v/>
      </c>
      <c r="I1148" s="7">
        <f>IF($Z1148="C",INDEX(Contracts!$L$2:$L$151,$AB1148)&amp;"",IF($Z1148="A",INDEX(Fixed_Assets!$I$2:$I$201,$AB1148)&amp;"",IF($Z1148="F",INDEX(Workforce!$G$2:$G$151,MATCH(INDEX(FTE_Allocation!$A$2:$A$201,$AB1148),Workforce!$A$2:$A$151,0))&amp;"","")))</f>
        <v/>
      </c>
      <c r="J1148" s="18">
        <f>IF($Z1148="","",IF(AND(DATE($AD1148,1,1)&gt;=$AE1148,DATE($AD1148,1,1)&lt;=$AF1148),ROUND($AG1148,2),0))</f>
        <v/>
      </c>
      <c r="K1148" s="18">
        <f>IF($Z1148="","",IF(AND(DATE($AD1148,2,1)&gt;=$AE1148,DATE($AD1148,2,1)&lt;=$AF1148),ROUND($AG1148,2),0))</f>
        <v/>
      </c>
      <c r="L1148" s="18">
        <f>IF($Z1148="","",IF(AND(DATE($AD1148,3,1)&gt;=$AE1148,DATE($AD1148,3,1)&lt;=$AF1148),ROUND($AG1148,2),0))</f>
        <v/>
      </c>
      <c r="M1148" s="18">
        <f>IF($Z1148="","",IF(AND(DATE($AD1148,4,1)&gt;=$AE1148,DATE($AD1148,4,1)&lt;=$AF1148),ROUND($AG1148,2),0))</f>
        <v/>
      </c>
      <c r="N1148" s="18">
        <f>IF($Z1148="","",IF(AND(DATE($AD1148,5,1)&gt;=$AE1148,DATE($AD1148,5,1)&lt;=$AF1148),ROUND($AG1148,2),0))</f>
        <v/>
      </c>
      <c r="O1148" s="18">
        <f>IF($Z1148="","",IF(AND(DATE($AD1148,6,1)&gt;=$AE1148,DATE($AD1148,6,1)&lt;=$AF1148),ROUND($AG1148,2),0))</f>
        <v/>
      </c>
      <c r="P1148" s="18">
        <f>IF($Z1148="","",IF(AND(DATE($AD1148,7,1)&gt;=$AE1148,DATE($AD1148,7,1)&lt;=$AF1148),ROUND($AG1148,2),0))</f>
        <v/>
      </c>
      <c r="Q1148" s="18">
        <f>IF($Z1148="","",IF(AND(DATE($AD1148,8,1)&gt;=$AE1148,DATE($AD1148,8,1)&lt;=$AF1148),ROUND($AG1148,2),0))</f>
        <v/>
      </c>
      <c r="R1148" s="18">
        <f>IF($Z1148="","",IF(AND(DATE($AD1148,9,1)&gt;=$AE1148,DATE($AD1148,9,1)&lt;=$AF1148),ROUND($AG1148,2),0))</f>
        <v/>
      </c>
      <c r="S1148" s="18">
        <f>IF($Z1148="","",IF(AND(DATE($AD1148,10,1)&gt;=$AE1148,DATE($AD1148,10,1)&lt;=$AF1148),ROUND($AG1148,2),0))</f>
        <v/>
      </c>
      <c r="T1148" s="18">
        <f>IF($Z1148="","",IF(AND(DATE($AD1148,11,1)&gt;=$AE1148,DATE($AD1148,11,1)&lt;=$AF1148),ROUND($AG1148,2),0))</f>
        <v/>
      </c>
      <c r="U1148" s="18">
        <f>IF($Z1148="","",IF(AND(DATE($AD1148,12,1)&gt;=$AE1148,DATE($AD1148,12,1)&lt;=$AF1148),ROUND($AG1148,2),0))</f>
        <v/>
      </c>
      <c r="V1148" s="7">
        <f>IF($Z1148="C","Generated from "&amp;INDEX(Contracts!$A$2:$A$151,$AB1148),IF($Z1148="A","Generated from "&amp;INDEX(Fixed_Assets!$A$2:$A$201,$AB1148),IF($Z1148="F","Generated from "&amp;INDEX(FTE_Allocation!$A$2:$A$201,$AB1148),"")))</f>
        <v/>
      </c>
      <c r="X1148" s="19">
        <f>IF($Z1148="","",SUM(J1148:U1148))</f>
        <v/>
      </c>
      <c r="Y1148" s="20">
        <f>ROW()-1</f>
        <v/>
      </c>
      <c r="Z1148" s="20">
        <f>IF($Y1148&lt;=Settings!$B$4*3,"C",IF($Y1148&lt;=(Settings!$B$4+Settings!$B$5)*3,"A",IF($Y1148&lt;=(Settings!$B$4+Settings!$B$5+Settings!$B$6)*3,"F","")))</f>
        <v/>
      </c>
      <c r="AA1148" s="20">
        <f>IF($Z1148="C",$Y1148,IF($Z1148="A",$Y1148-Settings!$B$4*3,IF($Z1148="F",$Y1148-(Settings!$B$4+Settings!$B$5)*3,"")))</f>
        <v/>
      </c>
      <c r="AB1148" s="20">
        <f>IF($Z1148="","",INT(($AA1148-1)/3)+1)</f>
        <v/>
      </c>
      <c r="AC1148" s="20">
        <f>IF($Z1148="","",MOD($AA1148-1,3)+1)</f>
        <v/>
      </c>
      <c r="AD1148" s="20">
        <f>IF($Z1148="","",Settings!$B$2+$AC1148-1)</f>
        <v/>
      </c>
      <c r="AE1148" s="21">
        <f>IF($Z1148="C",DATE(YEAR(INDEX(Contracts!$J$2:$J$151,$AB1148)),MONTH(INDEX(Contracts!$J$2:$J$151,$AB1148)),1),IF($Z1148="A",DATE(YEAR(INDEX(Fixed_Assets!$G$2:$G$201,$AB1148)),MONTH(INDEX(Fixed_Assets!$G$2:$G$201,$AB1148)),1),IF($Z1148="F",DATE(YEAR(MAX(N(INDEX(Workforce!$I$2:$I$151,MATCH(INDEX(FTE_Allocation!$A$2:$A$201,$AB1148),Workforce!$A$2:$A$151,0))),N(INDEX(FTE_Allocation!$I$2:$I$201,$AB1148)))),MONTH(MAX(N(INDEX(Workforce!$I$2:$I$151,MATCH(INDEX(FTE_Allocation!$A$2:$A$201,$AB1148),Workforce!$A$2:$A$151,0))),N(INDEX(FTE_Allocation!$I$2:$I$201,$AB1148)))),1),"")))</f>
        <v/>
      </c>
      <c r="AF1148" s="21">
        <f>IF($Z1148="C",IF(INDEX(Contracts!$I$2:$I$151,$AB1148)="PREPAID",EDATE(DATE(YEAR(INDEX(Contracts!$J$2:$J$151,$AB1148)),MONTH(INDEX(Contracts!$J$2:$J$151,$AB1148)),1),IF(INDEX(Contracts!$N$2:$N$151,$AB1148)="",12,INDEX(Contracts!$N$2:$N$151,$AB1148))-1),IF(INDEX(Contracts!$I$2:$I$151,$AB1148)="MONTHLY",IF(INDEX(Contracts!$K$2:$K$151,$AB1148)="",2958101,INDEX(Contracts!$K$2:$K$151,$AB1148)),0)),IF($Z1148="A",EDATE(DATE(YEAR(INDEX(Fixed_Assets!$G$2:$G$201,$AB1148)),MONTH(INDEX(Fixed_Assets!$G$2:$G$201,$AB1148)),1),INDEX(Fixed_Assets!$J$2:$J$201,$AB1148)-1),IF($Z1148="F",MIN(IF(INDEX(Workforce!$J$2:$J$151,MATCH(INDEX(FTE_Allocation!$A$2:$A$201,$AB1148),Workforce!$A$2:$A$151,0))="",2958101,INDEX(Workforce!$J$2:$J$151,MATCH(INDEX(FTE_Allocation!$A$2:$A$201,$AB1148),Workforce!$A$2:$A$151,0))),IF(INDEX(FTE_Allocation!$J$2:$J$201,$AB1148)="",2958101,INDEX(FTE_Allocation!$J$2:$J$201,$AB1148))),"")))</f>
        <v/>
      </c>
      <c r="AG1148" s="19">
        <f>IF($Z1148="C",IF(INDEX(Contracts!$I$2:$I$151,$AB1148)="PREPAID",INDEX(Contracts!$M$2:$M$151,$AB1148)/IF(INDEX(Contracts!$N$2:$N$151,$AB1148)="",12,INDEX(Contracts!$N$2:$N$151,$AB1148)),IF(INDEX(Contracts!$I$2:$I$151,$AB1148)="MONTHLY",INDEX(Contracts!$M$2:$M$151,$AB1148),0))*(1-N(INDEX(Contracts!$O$2:$O$151,$AB1148))),IF($Z1148="A",INDEX(Fixed_Assets!$H$2:$H$201,$AB1148)/INDEX(Fixed_Assets!$J$2:$J$201,$AB1148),IF($Z1148="F",INDEX(Workforce!$F$2:$F$151,MATCH(INDEX(FTE_Allocation!$A$2:$A$201,$AB1148),Workforce!$A$2:$A$151,0))*N(INDEX(FTE_Allocation!$F$2:$H$201,$AB1148,$AC1148)),"")))</f>
        <v/>
      </c>
    </row>
    <row r="1149">
      <c r="A1149" s="7">
        <f>IF($Z1149="","",$AD1149)</f>
        <v/>
      </c>
      <c r="B1149" s="7">
        <f>IF($Z1149="C",INDEX(Contracts!$D$2:$D$151,$AB1149)&amp;"",IF($Z1149="A",INDEX(Fixed_Assets!$C$2:$C$201,$AB1149)&amp;"",IF($Z1149="F",INDEX(Workforce!$B$2:$B$151,MATCH(INDEX(FTE_Allocation!$A$2:$A$201,$AB1149),Workforce!$A$2:$A$151,0))&amp;"","")))</f>
        <v/>
      </c>
      <c r="C1149" s="7">
        <f>IF($Z1149="C",INDEX(Contracts!$E$2:$E$151,$AB1149)&amp;"",IF($Z1149="A",INDEX(Fixed_Assets!$D$2:$D$201,$AB1149)&amp;"",IF($Z1149="F",INDEX(FTE_Allocation!$C$2:$C$201,$AB1149)&amp;"","")))</f>
        <v/>
      </c>
      <c r="D1149" s="7">
        <f>IF($Z1149="C",INDEX(Contracts!$B$2:$B$151,$AB1149)&amp;"",IF($Z1149="A",INDEX(Fixed_Assets!$B$2:$B$201,$AB1149)&amp;"",IF($Z1149="F",INDEX(FTE_Allocation!$B$2:$B$201,$AB1149)&amp;"","")))</f>
        <v/>
      </c>
      <c r="E1149" s="7">
        <f>IF($Z1149="C",INDEX(Contracts!$P$2:$P$151,$AB1149)&amp;"",IF($Z1149="A",INDEX(Fixed_Assets!$K$2:$K$201,$AB1149)&amp;"",IF($Z1149="F",IF(INDEX(FTE_Allocation!$D$2:$D$201,$AB1149)="PROJECT",IFERROR(INDEX(Projects!$D:$D,MATCH(INDEX(FTE_Allocation!$E$2:$E$201,$AB1149),Projects!$A:$A,0))&amp;"","#PROJECT?"),INDEX(FTE_Allocation!$E$2:$E$201,$AB1149)&amp;""),"")))</f>
        <v/>
      </c>
      <c r="F1149" s="7">
        <f>IF($Z1149="C",INDEX(Contracts!$Q$2:$Q$151,$AB1149)&amp;"",IF($Z1149="A",INDEX(Fixed_Assets!$L$2:$L$201,$AB1149)&amp;"",IF($Z1149="F",INDEX(Workforce!$K$2:$K$151,MATCH(INDEX(FTE_Allocation!$A$2:$A$201,$AB1149),Workforce!$A$2:$A$151,0))&amp;"","")))</f>
        <v/>
      </c>
      <c r="G1149" s="7">
        <f>IF($Z1149="C",INDEX(Contracts!$F$2:$F$151,$AB1149)&amp;" / "&amp;INDEX(Contracts!$G$2:$G$151,$AB1149),IF($Z1149="A",INDEX(Fixed_Assets!$E$2:$E$201,$AB1149)&amp;"",IF($Z1149="F","Personnel "&amp;INDEX(FTE_Allocation!$A$2:$A$201,$AB1149)&amp;IF(INDEX(FTE_Allocation!$D$2:$D$201,$AB1149)="PROJECT"," ("&amp;INDEX(FTE_Allocation!$E$2:$E$201,$AB1149)&amp;")",""),"")))</f>
        <v/>
      </c>
      <c r="H1149" s="7">
        <f>IF($Z1149="C","CONTRACT",IF($Z1149="A","ASSET",IF($Z1149="F","WORKFORCE","")))</f>
        <v/>
      </c>
      <c r="I1149" s="7">
        <f>IF($Z1149="C",INDEX(Contracts!$L$2:$L$151,$AB1149)&amp;"",IF($Z1149="A",INDEX(Fixed_Assets!$I$2:$I$201,$AB1149)&amp;"",IF($Z1149="F",INDEX(Workforce!$G$2:$G$151,MATCH(INDEX(FTE_Allocation!$A$2:$A$201,$AB1149),Workforce!$A$2:$A$151,0))&amp;"","")))</f>
        <v/>
      </c>
      <c r="J1149" s="18">
        <f>IF($Z1149="","",IF(AND(DATE($AD1149,1,1)&gt;=$AE1149,DATE($AD1149,1,1)&lt;=$AF1149),ROUND($AG1149,2),0))</f>
        <v/>
      </c>
      <c r="K1149" s="18">
        <f>IF($Z1149="","",IF(AND(DATE($AD1149,2,1)&gt;=$AE1149,DATE($AD1149,2,1)&lt;=$AF1149),ROUND($AG1149,2),0))</f>
        <v/>
      </c>
      <c r="L1149" s="18">
        <f>IF($Z1149="","",IF(AND(DATE($AD1149,3,1)&gt;=$AE1149,DATE($AD1149,3,1)&lt;=$AF1149),ROUND($AG1149,2),0))</f>
        <v/>
      </c>
      <c r="M1149" s="18">
        <f>IF($Z1149="","",IF(AND(DATE($AD1149,4,1)&gt;=$AE1149,DATE($AD1149,4,1)&lt;=$AF1149),ROUND($AG1149,2),0))</f>
        <v/>
      </c>
      <c r="N1149" s="18">
        <f>IF($Z1149="","",IF(AND(DATE($AD1149,5,1)&gt;=$AE1149,DATE($AD1149,5,1)&lt;=$AF1149),ROUND($AG1149,2),0))</f>
        <v/>
      </c>
      <c r="O1149" s="18">
        <f>IF($Z1149="","",IF(AND(DATE($AD1149,6,1)&gt;=$AE1149,DATE($AD1149,6,1)&lt;=$AF1149),ROUND($AG1149,2),0))</f>
        <v/>
      </c>
      <c r="P1149" s="18">
        <f>IF($Z1149="","",IF(AND(DATE($AD1149,7,1)&gt;=$AE1149,DATE($AD1149,7,1)&lt;=$AF1149),ROUND($AG1149,2),0))</f>
        <v/>
      </c>
      <c r="Q1149" s="18">
        <f>IF($Z1149="","",IF(AND(DATE($AD1149,8,1)&gt;=$AE1149,DATE($AD1149,8,1)&lt;=$AF1149),ROUND($AG1149,2),0))</f>
        <v/>
      </c>
      <c r="R1149" s="18">
        <f>IF($Z1149="","",IF(AND(DATE($AD1149,9,1)&gt;=$AE1149,DATE($AD1149,9,1)&lt;=$AF1149),ROUND($AG1149,2),0))</f>
        <v/>
      </c>
      <c r="S1149" s="18">
        <f>IF($Z1149="","",IF(AND(DATE($AD1149,10,1)&gt;=$AE1149,DATE($AD1149,10,1)&lt;=$AF1149),ROUND($AG1149,2),0))</f>
        <v/>
      </c>
      <c r="T1149" s="18">
        <f>IF($Z1149="","",IF(AND(DATE($AD1149,11,1)&gt;=$AE1149,DATE($AD1149,11,1)&lt;=$AF1149),ROUND($AG1149,2),0))</f>
        <v/>
      </c>
      <c r="U1149" s="18">
        <f>IF($Z1149="","",IF(AND(DATE($AD1149,12,1)&gt;=$AE1149,DATE($AD1149,12,1)&lt;=$AF1149),ROUND($AG1149,2),0))</f>
        <v/>
      </c>
      <c r="V1149" s="7">
        <f>IF($Z1149="C","Generated from "&amp;INDEX(Contracts!$A$2:$A$151,$AB1149),IF($Z1149="A","Generated from "&amp;INDEX(Fixed_Assets!$A$2:$A$201,$AB1149),IF($Z1149="F","Generated from "&amp;INDEX(FTE_Allocation!$A$2:$A$201,$AB1149),"")))</f>
        <v/>
      </c>
      <c r="X1149" s="19">
        <f>IF($Z1149="","",SUM(J1149:U1149))</f>
        <v/>
      </c>
      <c r="Y1149" s="20">
        <f>ROW()-1</f>
        <v/>
      </c>
      <c r="Z1149" s="20">
        <f>IF($Y1149&lt;=Settings!$B$4*3,"C",IF($Y1149&lt;=(Settings!$B$4+Settings!$B$5)*3,"A",IF($Y1149&lt;=(Settings!$B$4+Settings!$B$5+Settings!$B$6)*3,"F","")))</f>
        <v/>
      </c>
      <c r="AA1149" s="20">
        <f>IF($Z1149="C",$Y1149,IF($Z1149="A",$Y1149-Settings!$B$4*3,IF($Z1149="F",$Y1149-(Settings!$B$4+Settings!$B$5)*3,"")))</f>
        <v/>
      </c>
      <c r="AB1149" s="20">
        <f>IF($Z1149="","",INT(($AA1149-1)/3)+1)</f>
        <v/>
      </c>
      <c r="AC1149" s="20">
        <f>IF($Z1149="","",MOD($AA1149-1,3)+1)</f>
        <v/>
      </c>
      <c r="AD1149" s="20">
        <f>IF($Z1149="","",Settings!$B$2+$AC1149-1)</f>
        <v/>
      </c>
      <c r="AE1149" s="21">
        <f>IF($Z1149="C",DATE(YEAR(INDEX(Contracts!$J$2:$J$151,$AB1149)),MONTH(INDEX(Contracts!$J$2:$J$151,$AB1149)),1),IF($Z1149="A",DATE(YEAR(INDEX(Fixed_Assets!$G$2:$G$201,$AB1149)),MONTH(INDEX(Fixed_Assets!$G$2:$G$201,$AB1149)),1),IF($Z1149="F",DATE(YEAR(MAX(N(INDEX(Workforce!$I$2:$I$151,MATCH(INDEX(FTE_Allocation!$A$2:$A$201,$AB1149),Workforce!$A$2:$A$151,0))),N(INDEX(FTE_Allocation!$I$2:$I$201,$AB1149)))),MONTH(MAX(N(INDEX(Workforce!$I$2:$I$151,MATCH(INDEX(FTE_Allocation!$A$2:$A$201,$AB1149),Workforce!$A$2:$A$151,0))),N(INDEX(FTE_Allocation!$I$2:$I$201,$AB1149)))),1),"")))</f>
        <v/>
      </c>
      <c r="AF1149" s="21">
        <f>IF($Z1149="C",IF(INDEX(Contracts!$I$2:$I$151,$AB1149)="PREPAID",EDATE(DATE(YEAR(INDEX(Contracts!$J$2:$J$151,$AB1149)),MONTH(INDEX(Contracts!$J$2:$J$151,$AB1149)),1),IF(INDEX(Contracts!$N$2:$N$151,$AB1149)="",12,INDEX(Contracts!$N$2:$N$151,$AB1149))-1),IF(INDEX(Contracts!$I$2:$I$151,$AB1149)="MONTHLY",IF(INDEX(Contracts!$K$2:$K$151,$AB1149)="",2958101,INDEX(Contracts!$K$2:$K$151,$AB1149)),0)),IF($Z1149="A",EDATE(DATE(YEAR(INDEX(Fixed_Assets!$G$2:$G$201,$AB1149)),MONTH(INDEX(Fixed_Assets!$G$2:$G$201,$AB1149)),1),INDEX(Fixed_Assets!$J$2:$J$201,$AB1149)-1),IF($Z1149="F",MIN(IF(INDEX(Workforce!$J$2:$J$151,MATCH(INDEX(FTE_Allocation!$A$2:$A$201,$AB1149),Workforce!$A$2:$A$151,0))="",2958101,INDEX(Workforce!$J$2:$J$151,MATCH(INDEX(FTE_Allocation!$A$2:$A$201,$AB1149),Workforce!$A$2:$A$151,0))),IF(INDEX(FTE_Allocation!$J$2:$J$201,$AB1149)="",2958101,INDEX(FTE_Allocation!$J$2:$J$201,$AB1149))),"")))</f>
        <v/>
      </c>
      <c r="AG1149" s="19">
        <f>IF($Z1149="C",IF(INDEX(Contracts!$I$2:$I$151,$AB1149)="PREPAID",INDEX(Contracts!$M$2:$M$151,$AB1149)/IF(INDEX(Contracts!$N$2:$N$151,$AB1149)="",12,INDEX(Contracts!$N$2:$N$151,$AB1149)),IF(INDEX(Contracts!$I$2:$I$151,$AB1149)="MONTHLY",INDEX(Contracts!$M$2:$M$151,$AB1149),0))*(1-N(INDEX(Contracts!$O$2:$O$151,$AB1149))),IF($Z1149="A",INDEX(Fixed_Assets!$H$2:$H$201,$AB1149)/INDEX(Fixed_Assets!$J$2:$J$201,$AB1149),IF($Z1149="F",INDEX(Workforce!$F$2:$F$151,MATCH(INDEX(FTE_Allocation!$A$2:$A$201,$AB1149),Workforce!$A$2:$A$151,0))*N(INDEX(FTE_Allocation!$F$2:$H$201,$AB1149,$AC1149)),"")))</f>
        <v/>
      </c>
    </row>
    <row r="1150">
      <c r="A1150" s="7">
        <f>IF($Z1150="","",$AD1150)</f>
        <v/>
      </c>
      <c r="B1150" s="7">
        <f>IF($Z1150="C",INDEX(Contracts!$D$2:$D$151,$AB1150)&amp;"",IF($Z1150="A",INDEX(Fixed_Assets!$C$2:$C$201,$AB1150)&amp;"",IF($Z1150="F",INDEX(Workforce!$B$2:$B$151,MATCH(INDEX(FTE_Allocation!$A$2:$A$201,$AB1150),Workforce!$A$2:$A$151,0))&amp;"","")))</f>
        <v/>
      </c>
      <c r="C1150" s="7">
        <f>IF($Z1150="C",INDEX(Contracts!$E$2:$E$151,$AB1150)&amp;"",IF($Z1150="A",INDEX(Fixed_Assets!$D$2:$D$201,$AB1150)&amp;"",IF($Z1150="F",INDEX(FTE_Allocation!$C$2:$C$201,$AB1150)&amp;"","")))</f>
        <v/>
      </c>
      <c r="D1150" s="7">
        <f>IF($Z1150="C",INDEX(Contracts!$B$2:$B$151,$AB1150)&amp;"",IF($Z1150="A",INDEX(Fixed_Assets!$B$2:$B$201,$AB1150)&amp;"",IF($Z1150="F",INDEX(FTE_Allocation!$B$2:$B$201,$AB1150)&amp;"","")))</f>
        <v/>
      </c>
      <c r="E1150" s="7">
        <f>IF($Z1150="C",INDEX(Contracts!$P$2:$P$151,$AB1150)&amp;"",IF($Z1150="A",INDEX(Fixed_Assets!$K$2:$K$201,$AB1150)&amp;"",IF($Z1150="F",IF(INDEX(FTE_Allocation!$D$2:$D$201,$AB1150)="PROJECT",IFERROR(INDEX(Projects!$D:$D,MATCH(INDEX(FTE_Allocation!$E$2:$E$201,$AB1150),Projects!$A:$A,0))&amp;"","#PROJECT?"),INDEX(FTE_Allocation!$E$2:$E$201,$AB1150)&amp;""),"")))</f>
        <v/>
      </c>
      <c r="F1150" s="7">
        <f>IF($Z1150="C",INDEX(Contracts!$Q$2:$Q$151,$AB1150)&amp;"",IF($Z1150="A",INDEX(Fixed_Assets!$L$2:$L$201,$AB1150)&amp;"",IF($Z1150="F",INDEX(Workforce!$K$2:$K$151,MATCH(INDEX(FTE_Allocation!$A$2:$A$201,$AB1150),Workforce!$A$2:$A$151,0))&amp;"","")))</f>
        <v/>
      </c>
      <c r="G1150" s="7">
        <f>IF($Z1150="C",INDEX(Contracts!$F$2:$F$151,$AB1150)&amp;" / "&amp;INDEX(Contracts!$G$2:$G$151,$AB1150),IF($Z1150="A",INDEX(Fixed_Assets!$E$2:$E$201,$AB1150)&amp;"",IF($Z1150="F","Personnel "&amp;INDEX(FTE_Allocation!$A$2:$A$201,$AB1150)&amp;IF(INDEX(FTE_Allocation!$D$2:$D$201,$AB1150)="PROJECT"," ("&amp;INDEX(FTE_Allocation!$E$2:$E$201,$AB1150)&amp;")",""),"")))</f>
        <v/>
      </c>
      <c r="H1150" s="7">
        <f>IF($Z1150="C","CONTRACT",IF($Z1150="A","ASSET",IF($Z1150="F","WORKFORCE","")))</f>
        <v/>
      </c>
      <c r="I1150" s="7">
        <f>IF($Z1150="C",INDEX(Contracts!$L$2:$L$151,$AB1150)&amp;"",IF($Z1150="A",INDEX(Fixed_Assets!$I$2:$I$201,$AB1150)&amp;"",IF($Z1150="F",INDEX(Workforce!$G$2:$G$151,MATCH(INDEX(FTE_Allocation!$A$2:$A$201,$AB1150),Workforce!$A$2:$A$151,0))&amp;"","")))</f>
        <v/>
      </c>
      <c r="J1150" s="18">
        <f>IF($Z1150="","",IF(AND(DATE($AD1150,1,1)&gt;=$AE1150,DATE($AD1150,1,1)&lt;=$AF1150),ROUND($AG1150,2),0))</f>
        <v/>
      </c>
      <c r="K1150" s="18">
        <f>IF($Z1150="","",IF(AND(DATE($AD1150,2,1)&gt;=$AE1150,DATE($AD1150,2,1)&lt;=$AF1150),ROUND($AG1150,2),0))</f>
        <v/>
      </c>
      <c r="L1150" s="18">
        <f>IF($Z1150="","",IF(AND(DATE($AD1150,3,1)&gt;=$AE1150,DATE($AD1150,3,1)&lt;=$AF1150),ROUND($AG1150,2),0))</f>
        <v/>
      </c>
      <c r="M1150" s="18">
        <f>IF($Z1150="","",IF(AND(DATE($AD1150,4,1)&gt;=$AE1150,DATE($AD1150,4,1)&lt;=$AF1150),ROUND($AG1150,2),0))</f>
        <v/>
      </c>
      <c r="N1150" s="18">
        <f>IF($Z1150="","",IF(AND(DATE($AD1150,5,1)&gt;=$AE1150,DATE($AD1150,5,1)&lt;=$AF1150),ROUND($AG1150,2),0))</f>
        <v/>
      </c>
      <c r="O1150" s="18">
        <f>IF($Z1150="","",IF(AND(DATE($AD1150,6,1)&gt;=$AE1150,DATE($AD1150,6,1)&lt;=$AF1150),ROUND($AG1150,2),0))</f>
        <v/>
      </c>
      <c r="P1150" s="18">
        <f>IF($Z1150="","",IF(AND(DATE($AD1150,7,1)&gt;=$AE1150,DATE($AD1150,7,1)&lt;=$AF1150),ROUND($AG1150,2),0))</f>
        <v/>
      </c>
      <c r="Q1150" s="18">
        <f>IF($Z1150="","",IF(AND(DATE($AD1150,8,1)&gt;=$AE1150,DATE($AD1150,8,1)&lt;=$AF1150),ROUND($AG1150,2),0))</f>
        <v/>
      </c>
      <c r="R1150" s="18">
        <f>IF($Z1150="","",IF(AND(DATE($AD1150,9,1)&gt;=$AE1150,DATE($AD1150,9,1)&lt;=$AF1150),ROUND($AG1150,2),0))</f>
        <v/>
      </c>
      <c r="S1150" s="18">
        <f>IF($Z1150="","",IF(AND(DATE($AD1150,10,1)&gt;=$AE1150,DATE($AD1150,10,1)&lt;=$AF1150),ROUND($AG1150,2),0))</f>
        <v/>
      </c>
      <c r="T1150" s="18">
        <f>IF($Z1150="","",IF(AND(DATE($AD1150,11,1)&gt;=$AE1150,DATE($AD1150,11,1)&lt;=$AF1150),ROUND($AG1150,2),0))</f>
        <v/>
      </c>
      <c r="U1150" s="18">
        <f>IF($Z1150="","",IF(AND(DATE($AD1150,12,1)&gt;=$AE1150,DATE($AD1150,12,1)&lt;=$AF1150),ROUND($AG1150,2),0))</f>
        <v/>
      </c>
      <c r="V1150" s="7">
        <f>IF($Z1150="C","Generated from "&amp;INDEX(Contracts!$A$2:$A$151,$AB1150),IF($Z1150="A","Generated from "&amp;INDEX(Fixed_Assets!$A$2:$A$201,$AB1150),IF($Z1150="F","Generated from "&amp;INDEX(FTE_Allocation!$A$2:$A$201,$AB1150),"")))</f>
        <v/>
      </c>
      <c r="X1150" s="19">
        <f>IF($Z1150="","",SUM(J1150:U1150))</f>
        <v/>
      </c>
      <c r="Y1150" s="20">
        <f>ROW()-1</f>
        <v/>
      </c>
      <c r="Z1150" s="20">
        <f>IF($Y1150&lt;=Settings!$B$4*3,"C",IF($Y1150&lt;=(Settings!$B$4+Settings!$B$5)*3,"A",IF($Y1150&lt;=(Settings!$B$4+Settings!$B$5+Settings!$B$6)*3,"F","")))</f>
        <v/>
      </c>
      <c r="AA1150" s="20">
        <f>IF($Z1150="C",$Y1150,IF($Z1150="A",$Y1150-Settings!$B$4*3,IF($Z1150="F",$Y1150-(Settings!$B$4+Settings!$B$5)*3,"")))</f>
        <v/>
      </c>
      <c r="AB1150" s="20">
        <f>IF($Z1150="","",INT(($AA1150-1)/3)+1)</f>
        <v/>
      </c>
      <c r="AC1150" s="20">
        <f>IF($Z1150="","",MOD($AA1150-1,3)+1)</f>
        <v/>
      </c>
      <c r="AD1150" s="20">
        <f>IF($Z1150="","",Settings!$B$2+$AC1150-1)</f>
        <v/>
      </c>
      <c r="AE1150" s="21">
        <f>IF($Z1150="C",DATE(YEAR(INDEX(Contracts!$J$2:$J$151,$AB1150)),MONTH(INDEX(Contracts!$J$2:$J$151,$AB1150)),1),IF($Z1150="A",DATE(YEAR(INDEX(Fixed_Assets!$G$2:$G$201,$AB1150)),MONTH(INDEX(Fixed_Assets!$G$2:$G$201,$AB1150)),1),IF($Z1150="F",DATE(YEAR(MAX(N(INDEX(Workforce!$I$2:$I$151,MATCH(INDEX(FTE_Allocation!$A$2:$A$201,$AB1150),Workforce!$A$2:$A$151,0))),N(INDEX(FTE_Allocation!$I$2:$I$201,$AB1150)))),MONTH(MAX(N(INDEX(Workforce!$I$2:$I$151,MATCH(INDEX(FTE_Allocation!$A$2:$A$201,$AB1150),Workforce!$A$2:$A$151,0))),N(INDEX(FTE_Allocation!$I$2:$I$201,$AB1150)))),1),"")))</f>
        <v/>
      </c>
      <c r="AF1150" s="21">
        <f>IF($Z1150="C",IF(INDEX(Contracts!$I$2:$I$151,$AB1150)="PREPAID",EDATE(DATE(YEAR(INDEX(Contracts!$J$2:$J$151,$AB1150)),MONTH(INDEX(Contracts!$J$2:$J$151,$AB1150)),1),IF(INDEX(Contracts!$N$2:$N$151,$AB1150)="",12,INDEX(Contracts!$N$2:$N$151,$AB1150))-1),IF(INDEX(Contracts!$I$2:$I$151,$AB1150)="MONTHLY",IF(INDEX(Contracts!$K$2:$K$151,$AB1150)="",2958101,INDEX(Contracts!$K$2:$K$151,$AB1150)),0)),IF($Z1150="A",EDATE(DATE(YEAR(INDEX(Fixed_Assets!$G$2:$G$201,$AB1150)),MONTH(INDEX(Fixed_Assets!$G$2:$G$201,$AB1150)),1),INDEX(Fixed_Assets!$J$2:$J$201,$AB1150)-1),IF($Z1150="F",MIN(IF(INDEX(Workforce!$J$2:$J$151,MATCH(INDEX(FTE_Allocation!$A$2:$A$201,$AB1150),Workforce!$A$2:$A$151,0))="",2958101,INDEX(Workforce!$J$2:$J$151,MATCH(INDEX(FTE_Allocation!$A$2:$A$201,$AB1150),Workforce!$A$2:$A$151,0))),IF(INDEX(FTE_Allocation!$J$2:$J$201,$AB1150)="",2958101,INDEX(FTE_Allocation!$J$2:$J$201,$AB1150))),"")))</f>
        <v/>
      </c>
      <c r="AG1150" s="19">
        <f>IF($Z1150="C",IF(INDEX(Contracts!$I$2:$I$151,$AB1150)="PREPAID",INDEX(Contracts!$M$2:$M$151,$AB1150)/IF(INDEX(Contracts!$N$2:$N$151,$AB1150)="",12,INDEX(Contracts!$N$2:$N$151,$AB1150)),IF(INDEX(Contracts!$I$2:$I$151,$AB1150)="MONTHLY",INDEX(Contracts!$M$2:$M$151,$AB1150),0))*(1-N(INDEX(Contracts!$O$2:$O$151,$AB1150))),IF($Z1150="A",INDEX(Fixed_Assets!$H$2:$H$201,$AB1150)/INDEX(Fixed_Assets!$J$2:$J$201,$AB1150),IF($Z1150="F",INDEX(Workforce!$F$2:$F$151,MATCH(INDEX(FTE_Allocation!$A$2:$A$201,$AB1150),Workforce!$A$2:$A$151,0))*N(INDEX(FTE_Allocation!$F$2:$H$201,$AB1150,$AC1150)),"")))</f>
        <v/>
      </c>
    </row>
    <row r="1151">
      <c r="A1151" s="7">
        <f>IF($Z1151="","",$AD1151)</f>
        <v/>
      </c>
      <c r="B1151" s="7">
        <f>IF($Z1151="C",INDEX(Contracts!$D$2:$D$151,$AB1151)&amp;"",IF($Z1151="A",INDEX(Fixed_Assets!$C$2:$C$201,$AB1151)&amp;"",IF($Z1151="F",INDEX(Workforce!$B$2:$B$151,MATCH(INDEX(FTE_Allocation!$A$2:$A$201,$AB1151),Workforce!$A$2:$A$151,0))&amp;"","")))</f>
        <v/>
      </c>
      <c r="C1151" s="7">
        <f>IF($Z1151="C",INDEX(Contracts!$E$2:$E$151,$AB1151)&amp;"",IF($Z1151="A",INDEX(Fixed_Assets!$D$2:$D$201,$AB1151)&amp;"",IF($Z1151="F",INDEX(FTE_Allocation!$C$2:$C$201,$AB1151)&amp;"","")))</f>
        <v/>
      </c>
      <c r="D1151" s="7">
        <f>IF($Z1151="C",INDEX(Contracts!$B$2:$B$151,$AB1151)&amp;"",IF($Z1151="A",INDEX(Fixed_Assets!$B$2:$B$201,$AB1151)&amp;"",IF($Z1151="F",INDEX(FTE_Allocation!$B$2:$B$201,$AB1151)&amp;"","")))</f>
        <v/>
      </c>
      <c r="E1151" s="7">
        <f>IF($Z1151="C",INDEX(Contracts!$P$2:$P$151,$AB1151)&amp;"",IF($Z1151="A",INDEX(Fixed_Assets!$K$2:$K$201,$AB1151)&amp;"",IF($Z1151="F",IF(INDEX(FTE_Allocation!$D$2:$D$201,$AB1151)="PROJECT",IFERROR(INDEX(Projects!$D:$D,MATCH(INDEX(FTE_Allocation!$E$2:$E$201,$AB1151),Projects!$A:$A,0))&amp;"","#PROJECT?"),INDEX(FTE_Allocation!$E$2:$E$201,$AB1151)&amp;""),"")))</f>
        <v/>
      </c>
      <c r="F1151" s="7">
        <f>IF($Z1151="C",INDEX(Contracts!$Q$2:$Q$151,$AB1151)&amp;"",IF($Z1151="A",INDEX(Fixed_Assets!$L$2:$L$201,$AB1151)&amp;"",IF($Z1151="F",INDEX(Workforce!$K$2:$K$151,MATCH(INDEX(FTE_Allocation!$A$2:$A$201,$AB1151),Workforce!$A$2:$A$151,0))&amp;"","")))</f>
        <v/>
      </c>
      <c r="G1151" s="7">
        <f>IF($Z1151="C",INDEX(Contracts!$F$2:$F$151,$AB1151)&amp;" / "&amp;INDEX(Contracts!$G$2:$G$151,$AB1151),IF($Z1151="A",INDEX(Fixed_Assets!$E$2:$E$201,$AB1151)&amp;"",IF($Z1151="F","Personnel "&amp;INDEX(FTE_Allocation!$A$2:$A$201,$AB1151)&amp;IF(INDEX(FTE_Allocation!$D$2:$D$201,$AB1151)="PROJECT"," ("&amp;INDEX(FTE_Allocation!$E$2:$E$201,$AB1151)&amp;")",""),"")))</f>
        <v/>
      </c>
      <c r="H1151" s="7">
        <f>IF($Z1151="C","CONTRACT",IF($Z1151="A","ASSET",IF($Z1151="F","WORKFORCE","")))</f>
        <v/>
      </c>
      <c r="I1151" s="7">
        <f>IF($Z1151="C",INDEX(Contracts!$L$2:$L$151,$AB1151)&amp;"",IF($Z1151="A",INDEX(Fixed_Assets!$I$2:$I$201,$AB1151)&amp;"",IF($Z1151="F",INDEX(Workforce!$G$2:$G$151,MATCH(INDEX(FTE_Allocation!$A$2:$A$201,$AB1151),Workforce!$A$2:$A$151,0))&amp;"","")))</f>
        <v/>
      </c>
      <c r="J1151" s="18">
        <f>IF($Z1151="","",IF(AND(DATE($AD1151,1,1)&gt;=$AE1151,DATE($AD1151,1,1)&lt;=$AF1151),ROUND($AG1151,2),0))</f>
        <v/>
      </c>
      <c r="K1151" s="18">
        <f>IF($Z1151="","",IF(AND(DATE($AD1151,2,1)&gt;=$AE1151,DATE($AD1151,2,1)&lt;=$AF1151),ROUND($AG1151,2),0))</f>
        <v/>
      </c>
      <c r="L1151" s="18">
        <f>IF($Z1151="","",IF(AND(DATE($AD1151,3,1)&gt;=$AE1151,DATE($AD1151,3,1)&lt;=$AF1151),ROUND($AG1151,2),0))</f>
        <v/>
      </c>
      <c r="M1151" s="18">
        <f>IF($Z1151="","",IF(AND(DATE($AD1151,4,1)&gt;=$AE1151,DATE($AD1151,4,1)&lt;=$AF1151),ROUND($AG1151,2),0))</f>
        <v/>
      </c>
      <c r="N1151" s="18">
        <f>IF($Z1151="","",IF(AND(DATE($AD1151,5,1)&gt;=$AE1151,DATE($AD1151,5,1)&lt;=$AF1151),ROUND($AG1151,2),0))</f>
        <v/>
      </c>
      <c r="O1151" s="18">
        <f>IF($Z1151="","",IF(AND(DATE($AD1151,6,1)&gt;=$AE1151,DATE($AD1151,6,1)&lt;=$AF1151),ROUND($AG1151,2),0))</f>
        <v/>
      </c>
      <c r="P1151" s="18">
        <f>IF($Z1151="","",IF(AND(DATE($AD1151,7,1)&gt;=$AE1151,DATE($AD1151,7,1)&lt;=$AF1151),ROUND($AG1151,2),0))</f>
        <v/>
      </c>
      <c r="Q1151" s="18">
        <f>IF($Z1151="","",IF(AND(DATE($AD1151,8,1)&gt;=$AE1151,DATE($AD1151,8,1)&lt;=$AF1151),ROUND($AG1151,2),0))</f>
        <v/>
      </c>
      <c r="R1151" s="18">
        <f>IF($Z1151="","",IF(AND(DATE($AD1151,9,1)&gt;=$AE1151,DATE($AD1151,9,1)&lt;=$AF1151),ROUND($AG1151,2),0))</f>
        <v/>
      </c>
      <c r="S1151" s="18">
        <f>IF($Z1151="","",IF(AND(DATE($AD1151,10,1)&gt;=$AE1151,DATE($AD1151,10,1)&lt;=$AF1151),ROUND($AG1151,2),0))</f>
        <v/>
      </c>
      <c r="T1151" s="18">
        <f>IF($Z1151="","",IF(AND(DATE($AD1151,11,1)&gt;=$AE1151,DATE($AD1151,11,1)&lt;=$AF1151),ROUND($AG1151,2),0))</f>
        <v/>
      </c>
      <c r="U1151" s="18">
        <f>IF($Z1151="","",IF(AND(DATE($AD1151,12,1)&gt;=$AE1151,DATE($AD1151,12,1)&lt;=$AF1151),ROUND($AG1151,2),0))</f>
        <v/>
      </c>
      <c r="V1151" s="7">
        <f>IF($Z1151="C","Generated from "&amp;INDEX(Contracts!$A$2:$A$151,$AB1151),IF($Z1151="A","Generated from "&amp;INDEX(Fixed_Assets!$A$2:$A$201,$AB1151),IF($Z1151="F","Generated from "&amp;INDEX(FTE_Allocation!$A$2:$A$201,$AB1151),"")))</f>
        <v/>
      </c>
      <c r="X1151" s="19">
        <f>IF($Z1151="","",SUM(J1151:U1151))</f>
        <v/>
      </c>
      <c r="Y1151" s="20">
        <f>ROW()-1</f>
        <v/>
      </c>
      <c r="Z1151" s="20">
        <f>IF($Y1151&lt;=Settings!$B$4*3,"C",IF($Y1151&lt;=(Settings!$B$4+Settings!$B$5)*3,"A",IF($Y1151&lt;=(Settings!$B$4+Settings!$B$5+Settings!$B$6)*3,"F","")))</f>
        <v/>
      </c>
      <c r="AA1151" s="20">
        <f>IF($Z1151="C",$Y1151,IF($Z1151="A",$Y1151-Settings!$B$4*3,IF($Z1151="F",$Y1151-(Settings!$B$4+Settings!$B$5)*3,"")))</f>
        <v/>
      </c>
      <c r="AB1151" s="20">
        <f>IF($Z1151="","",INT(($AA1151-1)/3)+1)</f>
        <v/>
      </c>
      <c r="AC1151" s="20">
        <f>IF($Z1151="","",MOD($AA1151-1,3)+1)</f>
        <v/>
      </c>
      <c r="AD1151" s="20">
        <f>IF($Z1151="","",Settings!$B$2+$AC1151-1)</f>
        <v/>
      </c>
      <c r="AE1151" s="21">
        <f>IF($Z1151="C",DATE(YEAR(INDEX(Contracts!$J$2:$J$151,$AB1151)),MONTH(INDEX(Contracts!$J$2:$J$151,$AB1151)),1),IF($Z1151="A",DATE(YEAR(INDEX(Fixed_Assets!$G$2:$G$201,$AB1151)),MONTH(INDEX(Fixed_Assets!$G$2:$G$201,$AB1151)),1),IF($Z1151="F",DATE(YEAR(MAX(N(INDEX(Workforce!$I$2:$I$151,MATCH(INDEX(FTE_Allocation!$A$2:$A$201,$AB1151),Workforce!$A$2:$A$151,0))),N(INDEX(FTE_Allocation!$I$2:$I$201,$AB1151)))),MONTH(MAX(N(INDEX(Workforce!$I$2:$I$151,MATCH(INDEX(FTE_Allocation!$A$2:$A$201,$AB1151),Workforce!$A$2:$A$151,0))),N(INDEX(FTE_Allocation!$I$2:$I$201,$AB1151)))),1),"")))</f>
        <v/>
      </c>
      <c r="AF1151" s="21">
        <f>IF($Z1151="C",IF(INDEX(Contracts!$I$2:$I$151,$AB1151)="PREPAID",EDATE(DATE(YEAR(INDEX(Contracts!$J$2:$J$151,$AB1151)),MONTH(INDEX(Contracts!$J$2:$J$151,$AB1151)),1),IF(INDEX(Contracts!$N$2:$N$151,$AB1151)="",12,INDEX(Contracts!$N$2:$N$151,$AB1151))-1),IF(INDEX(Contracts!$I$2:$I$151,$AB1151)="MONTHLY",IF(INDEX(Contracts!$K$2:$K$151,$AB1151)="",2958101,INDEX(Contracts!$K$2:$K$151,$AB1151)),0)),IF($Z1151="A",EDATE(DATE(YEAR(INDEX(Fixed_Assets!$G$2:$G$201,$AB1151)),MONTH(INDEX(Fixed_Assets!$G$2:$G$201,$AB1151)),1),INDEX(Fixed_Assets!$J$2:$J$201,$AB1151)-1),IF($Z1151="F",MIN(IF(INDEX(Workforce!$J$2:$J$151,MATCH(INDEX(FTE_Allocation!$A$2:$A$201,$AB1151),Workforce!$A$2:$A$151,0))="",2958101,INDEX(Workforce!$J$2:$J$151,MATCH(INDEX(FTE_Allocation!$A$2:$A$201,$AB1151),Workforce!$A$2:$A$151,0))),IF(INDEX(FTE_Allocation!$J$2:$J$201,$AB1151)="",2958101,INDEX(FTE_Allocation!$J$2:$J$201,$AB1151))),"")))</f>
        <v/>
      </c>
      <c r="AG1151" s="19">
        <f>IF($Z1151="C",IF(INDEX(Contracts!$I$2:$I$151,$AB1151)="PREPAID",INDEX(Contracts!$M$2:$M$151,$AB1151)/IF(INDEX(Contracts!$N$2:$N$151,$AB1151)="",12,INDEX(Contracts!$N$2:$N$151,$AB1151)),IF(INDEX(Contracts!$I$2:$I$151,$AB1151)="MONTHLY",INDEX(Contracts!$M$2:$M$151,$AB1151),0))*(1-N(INDEX(Contracts!$O$2:$O$151,$AB1151))),IF($Z1151="A",INDEX(Fixed_Assets!$H$2:$H$201,$AB1151)/INDEX(Fixed_Assets!$J$2:$J$201,$AB1151),IF($Z1151="F",INDEX(Workforce!$F$2:$F$151,MATCH(INDEX(FTE_Allocation!$A$2:$A$201,$AB1151),Workforce!$A$2:$A$151,0))*N(INDEX(FTE_Allocation!$F$2:$H$201,$AB1151,$AC1151)),"")))</f>
        <v/>
      </c>
    </row>
    <row r="1152">
      <c r="A1152" s="7">
        <f>IF($Z1152="","",$AD1152)</f>
        <v/>
      </c>
      <c r="B1152" s="7">
        <f>IF($Z1152="C",INDEX(Contracts!$D$2:$D$151,$AB1152)&amp;"",IF($Z1152="A",INDEX(Fixed_Assets!$C$2:$C$201,$AB1152)&amp;"",IF($Z1152="F",INDEX(Workforce!$B$2:$B$151,MATCH(INDEX(FTE_Allocation!$A$2:$A$201,$AB1152),Workforce!$A$2:$A$151,0))&amp;"","")))</f>
        <v/>
      </c>
      <c r="C1152" s="7">
        <f>IF($Z1152="C",INDEX(Contracts!$E$2:$E$151,$AB1152)&amp;"",IF($Z1152="A",INDEX(Fixed_Assets!$D$2:$D$201,$AB1152)&amp;"",IF($Z1152="F",INDEX(FTE_Allocation!$C$2:$C$201,$AB1152)&amp;"","")))</f>
        <v/>
      </c>
      <c r="D1152" s="7">
        <f>IF($Z1152="C",INDEX(Contracts!$B$2:$B$151,$AB1152)&amp;"",IF($Z1152="A",INDEX(Fixed_Assets!$B$2:$B$201,$AB1152)&amp;"",IF($Z1152="F",INDEX(FTE_Allocation!$B$2:$B$201,$AB1152)&amp;"","")))</f>
        <v/>
      </c>
      <c r="E1152" s="7">
        <f>IF($Z1152="C",INDEX(Contracts!$P$2:$P$151,$AB1152)&amp;"",IF($Z1152="A",INDEX(Fixed_Assets!$K$2:$K$201,$AB1152)&amp;"",IF($Z1152="F",IF(INDEX(FTE_Allocation!$D$2:$D$201,$AB1152)="PROJECT",IFERROR(INDEX(Projects!$D:$D,MATCH(INDEX(FTE_Allocation!$E$2:$E$201,$AB1152),Projects!$A:$A,0))&amp;"","#PROJECT?"),INDEX(FTE_Allocation!$E$2:$E$201,$AB1152)&amp;""),"")))</f>
        <v/>
      </c>
      <c r="F1152" s="7">
        <f>IF($Z1152="C",INDEX(Contracts!$Q$2:$Q$151,$AB1152)&amp;"",IF($Z1152="A",INDEX(Fixed_Assets!$L$2:$L$201,$AB1152)&amp;"",IF($Z1152="F",INDEX(Workforce!$K$2:$K$151,MATCH(INDEX(FTE_Allocation!$A$2:$A$201,$AB1152),Workforce!$A$2:$A$151,0))&amp;"","")))</f>
        <v/>
      </c>
      <c r="G1152" s="7">
        <f>IF($Z1152="C",INDEX(Contracts!$F$2:$F$151,$AB1152)&amp;" / "&amp;INDEX(Contracts!$G$2:$G$151,$AB1152),IF($Z1152="A",INDEX(Fixed_Assets!$E$2:$E$201,$AB1152)&amp;"",IF($Z1152="F","Personnel "&amp;INDEX(FTE_Allocation!$A$2:$A$201,$AB1152)&amp;IF(INDEX(FTE_Allocation!$D$2:$D$201,$AB1152)="PROJECT"," ("&amp;INDEX(FTE_Allocation!$E$2:$E$201,$AB1152)&amp;")",""),"")))</f>
        <v/>
      </c>
      <c r="H1152" s="7">
        <f>IF($Z1152="C","CONTRACT",IF($Z1152="A","ASSET",IF($Z1152="F","WORKFORCE","")))</f>
        <v/>
      </c>
      <c r="I1152" s="7">
        <f>IF($Z1152="C",INDEX(Contracts!$L$2:$L$151,$AB1152)&amp;"",IF($Z1152="A",INDEX(Fixed_Assets!$I$2:$I$201,$AB1152)&amp;"",IF($Z1152="F",INDEX(Workforce!$G$2:$G$151,MATCH(INDEX(FTE_Allocation!$A$2:$A$201,$AB1152),Workforce!$A$2:$A$151,0))&amp;"","")))</f>
        <v/>
      </c>
      <c r="J1152" s="18">
        <f>IF($Z1152="","",IF(AND(DATE($AD1152,1,1)&gt;=$AE1152,DATE($AD1152,1,1)&lt;=$AF1152),ROUND($AG1152,2),0))</f>
        <v/>
      </c>
      <c r="K1152" s="18">
        <f>IF($Z1152="","",IF(AND(DATE($AD1152,2,1)&gt;=$AE1152,DATE($AD1152,2,1)&lt;=$AF1152),ROUND($AG1152,2),0))</f>
        <v/>
      </c>
      <c r="L1152" s="18">
        <f>IF($Z1152="","",IF(AND(DATE($AD1152,3,1)&gt;=$AE1152,DATE($AD1152,3,1)&lt;=$AF1152),ROUND($AG1152,2),0))</f>
        <v/>
      </c>
      <c r="M1152" s="18">
        <f>IF($Z1152="","",IF(AND(DATE($AD1152,4,1)&gt;=$AE1152,DATE($AD1152,4,1)&lt;=$AF1152),ROUND($AG1152,2),0))</f>
        <v/>
      </c>
      <c r="N1152" s="18">
        <f>IF($Z1152="","",IF(AND(DATE($AD1152,5,1)&gt;=$AE1152,DATE($AD1152,5,1)&lt;=$AF1152),ROUND($AG1152,2),0))</f>
        <v/>
      </c>
      <c r="O1152" s="18">
        <f>IF($Z1152="","",IF(AND(DATE($AD1152,6,1)&gt;=$AE1152,DATE($AD1152,6,1)&lt;=$AF1152),ROUND($AG1152,2),0))</f>
        <v/>
      </c>
      <c r="P1152" s="18">
        <f>IF($Z1152="","",IF(AND(DATE($AD1152,7,1)&gt;=$AE1152,DATE($AD1152,7,1)&lt;=$AF1152),ROUND($AG1152,2),0))</f>
        <v/>
      </c>
      <c r="Q1152" s="18">
        <f>IF($Z1152="","",IF(AND(DATE($AD1152,8,1)&gt;=$AE1152,DATE($AD1152,8,1)&lt;=$AF1152),ROUND($AG1152,2),0))</f>
        <v/>
      </c>
      <c r="R1152" s="18">
        <f>IF($Z1152="","",IF(AND(DATE($AD1152,9,1)&gt;=$AE1152,DATE($AD1152,9,1)&lt;=$AF1152),ROUND($AG1152,2),0))</f>
        <v/>
      </c>
      <c r="S1152" s="18">
        <f>IF($Z1152="","",IF(AND(DATE($AD1152,10,1)&gt;=$AE1152,DATE($AD1152,10,1)&lt;=$AF1152),ROUND($AG1152,2),0))</f>
        <v/>
      </c>
      <c r="T1152" s="18">
        <f>IF($Z1152="","",IF(AND(DATE($AD1152,11,1)&gt;=$AE1152,DATE($AD1152,11,1)&lt;=$AF1152),ROUND($AG1152,2),0))</f>
        <v/>
      </c>
      <c r="U1152" s="18">
        <f>IF($Z1152="","",IF(AND(DATE($AD1152,12,1)&gt;=$AE1152,DATE($AD1152,12,1)&lt;=$AF1152),ROUND($AG1152,2),0))</f>
        <v/>
      </c>
      <c r="V1152" s="7">
        <f>IF($Z1152="C","Generated from "&amp;INDEX(Contracts!$A$2:$A$151,$AB1152),IF($Z1152="A","Generated from "&amp;INDEX(Fixed_Assets!$A$2:$A$201,$AB1152),IF($Z1152="F","Generated from "&amp;INDEX(FTE_Allocation!$A$2:$A$201,$AB1152),"")))</f>
        <v/>
      </c>
      <c r="X1152" s="19">
        <f>IF($Z1152="","",SUM(J1152:U1152))</f>
        <v/>
      </c>
      <c r="Y1152" s="20">
        <f>ROW()-1</f>
        <v/>
      </c>
      <c r="Z1152" s="20">
        <f>IF($Y1152&lt;=Settings!$B$4*3,"C",IF($Y1152&lt;=(Settings!$B$4+Settings!$B$5)*3,"A",IF($Y1152&lt;=(Settings!$B$4+Settings!$B$5+Settings!$B$6)*3,"F","")))</f>
        <v/>
      </c>
      <c r="AA1152" s="20">
        <f>IF($Z1152="C",$Y1152,IF($Z1152="A",$Y1152-Settings!$B$4*3,IF($Z1152="F",$Y1152-(Settings!$B$4+Settings!$B$5)*3,"")))</f>
        <v/>
      </c>
      <c r="AB1152" s="20">
        <f>IF($Z1152="","",INT(($AA1152-1)/3)+1)</f>
        <v/>
      </c>
      <c r="AC1152" s="20">
        <f>IF($Z1152="","",MOD($AA1152-1,3)+1)</f>
        <v/>
      </c>
      <c r="AD1152" s="20">
        <f>IF($Z1152="","",Settings!$B$2+$AC1152-1)</f>
        <v/>
      </c>
      <c r="AE1152" s="21">
        <f>IF($Z1152="C",DATE(YEAR(INDEX(Contracts!$J$2:$J$151,$AB1152)),MONTH(INDEX(Contracts!$J$2:$J$151,$AB1152)),1),IF($Z1152="A",DATE(YEAR(INDEX(Fixed_Assets!$G$2:$G$201,$AB1152)),MONTH(INDEX(Fixed_Assets!$G$2:$G$201,$AB1152)),1),IF($Z1152="F",DATE(YEAR(MAX(N(INDEX(Workforce!$I$2:$I$151,MATCH(INDEX(FTE_Allocation!$A$2:$A$201,$AB1152),Workforce!$A$2:$A$151,0))),N(INDEX(FTE_Allocation!$I$2:$I$201,$AB1152)))),MONTH(MAX(N(INDEX(Workforce!$I$2:$I$151,MATCH(INDEX(FTE_Allocation!$A$2:$A$201,$AB1152),Workforce!$A$2:$A$151,0))),N(INDEX(FTE_Allocation!$I$2:$I$201,$AB1152)))),1),"")))</f>
        <v/>
      </c>
      <c r="AF1152" s="21">
        <f>IF($Z1152="C",IF(INDEX(Contracts!$I$2:$I$151,$AB1152)="PREPAID",EDATE(DATE(YEAR(INDEX(Contracts!$J$2:$J$151,$AB1152)),MONTH(INDEX(Contracts!$J$2:$J$151,$AB1152)),1),IF(INDEX(Contracts!$N$2:$N$151,$AB1152)="",12,INDEX(Contracts!$N$2:$N$151,$AB1152))-1),IF(INDEX(Contracts!$I$2:$I$151,$AB1152)="MONTHLY",IF(INDEX(Contracts!$K$2:$K$151,$AB1152)="",2958101,INDEX(Contracts!$K$2:$K$151,$AB1152)),0)),IF($Z1152="A",EDATE(DATE(YEAR(INDEX(Fixed_Assets!$G$2:$G$201,$AB1152)),MONTH(INDEX(Fixed_Assets!$G$2:$G$201,$AB1152)),1),INDEX(Fixed_Assets!$J$2:$J$201,$AB1152)-1),IF($Z1152="F",MIN(IF(INDEX(Workforce!$J$2:$J$151,MATCH(INDEX(FTE_Allocation!$A$2:$A$201,$AB1152),Workforce!$A$2:$A$151,0))="",2958101,INDEX(Workforce!$J$2:$J$151,MATCH(INDEX(FTE_Allocation!$A$2:$A$201,$AB1152),Workforce!$A$2:$A$151,0))),IF(INDEX(FTE_Allocation!$J$2:$J$201,$AB1152)="",2958101,INDEX(FTE_Allocation!$J$2:$J$201,$AB1152))),"")))</f>
        <v/>
      </c>
      <c r="AG1152" s="19">
        <f>IF($Z1152="C",IF(INDEX(Contracts!$I$2:$I$151,$AB1152)="PREPAID",INDEX(Contracts!$M$2:$M$151,$AB1152)/IF(INDEX(Contracts!$N$2:$N$151,$AB1152)="",12,INDEX(Contracts!$N$2:$N$151,$AB1152)),IF(INDEX(Contracts!$I$2:$I$151,$AB1152)="MONTHLY",INDEX(Contracts!$M$2:$M$151,$AB1152),0))*(1-N(INDEX(Contracts!$O$2:$O$151,$AB1152))),IF($Z1152="A",INDEX(Fixed_Assets!$H$2:$H$201,$AB1152)/INDEX(Fixed_Assets!$J$2:$J$201,$AB1152),IF($Z1152="F",INDEX(Workforce!$F$2:$F$151,MATCH(INDEX(FTE_Allocation!$A$2:$A$201,$AB1152),Workforce!$A$2:$A$151,0))*N(INDEX(FTE_Allocation!$F$2:$H$201,$AB1152,$AC1152)),"")))</f>
        <v/>
      </c>
    </row>
    <row r="1153">
      <c r="A1153" s="7">
        <f>IF($Z1153="","",$AD1153)</f>
        <v/>
      </c>
      <c r="B1153" s="7">
        <f>IF($Z1153="C",INDEX(Contracts!$D$2:$D$151,$AB1153)&amp;"",IF($Z1153="A",INDEX(Fixed_Assets!$C$2:$C$201,$AB1153)&amp;"",IF($Z1153="F",INDEX(Workforce!$B$2:$B$151,MATCH(INDEX(FTE_Allocation!$A$2:$A$201,$AB1153),Workforce!$A$2:$A$151,0))&amp;"","")))</f>
        <v/>
      </c>
      <c r="C1153" s="7">
        <f>IF($Z1153="C",INDEX(Contracts!$E$2:$E$151,$AB1153)&amp;"",IF($Z1153="A",INDEX(Fixed_Assets!$D$2:$D$201,$AB1153)&amp;"",IF($Z1153="F",INDEX(FTE_Allocation!$C$2:$C$201,$AB1153)&amp;"","")))</f>
        <v/>
      </c>
      <c r="D1153" s="7">
        <f>IF($Z1153="C",INDEX(Contracts!$B$2:$B$151,$AB1153)&amp;"",IF($Z1153="A",INDEX(Fixed_Assets!$B$2:$B$201,$AB1153)&amp;"",IF($Z1153="F",INDEX(FTE_Allocation!$B$2:$B$201,$AB1153)&amp;"","")))</f>
        <v/>
      </c>
      <c r="E1153" s="7">
        <f>IF($Z1153="C",INDEX(Contracts!$P$2:$P$151,$AB1153)&amp;"",IF($Z1153="A",INDEX(Fixed_Assets!$K$2:$K$201,$AB1153)&amp;"",IF($Z1153="F",IF(INDEX(FTE_Allocation!$D$2:$D$201,$AB1153)="PROJECT",IFERROR(INDEX(Projects!$D:$D,MATCH(INDEX(FTE_Allocation!$E$2:$E$201,$AB1153),Projects!$A:$A,0))&amp;"","#PROJECT?"),INDEX(FTE_Allocation!$E$2:$E$201,$AB1153)&amp;""),"")))</f>
        <v/>
      </c>
      <c r="F1153" s="7">
        <f>IF($Z1153="C",INDEX(Contracts!$Q$2:$Q$151,$AB1153)&amp;"",IF($Z1153="A",INDEX(Fixed_Assets!$L$2:$L$201,$AB1153)&amp;"",IF($Z1153="F",INDEX(Workforce!$K$2:$K$151,MATCH(INDEX(FTE_Allocation!$A$2:$A$201,$AB1153),Workforce!$A$2:$A$151,0))&amp;"","")))</f>
        <v/>
      </c>
      <c r="G1153" s="7">
        <f>IF($Z1153="C",INDEX(Contracts!$F$2:$F$151,$AB1153)&amp;" / "&amp;INDEX(Contracts!$G$2:$G$151,$AB1153),IF($Z1153="A",INDEX(Fixed_Assets!$E$2:$E$201,$AB1153)&amp;"",IF($Z1153="F","Personnel "&amp;INDEX(FTE_Allocation!$A$2:$A$201,$AB1153)&amp;IF(INDEX(FTE_Allocation!$D$2:$D$201,$AB1153)="PROJECT"," ("&amp;INDEX(FTE_Allocation!$E$2:$E$201,$AB1153)&amp;")",""),"")))</f>
        <v/>
      </c>
      <c r="H1153" s="7">
        <f>IF($Z1153="C","CONTRACT",IF($Z1153="A","ASSET",IF($Z1153="F","WORKFORCE","")))</f>
        <v/>
      </c>
      <c r="I1153" s="7">
        <f>IF($Z1153="C",INDEX(Contracts!$L$2:$L$151,$AB1153)&amp;"",IF($Z1153="A",INDEX(Fixed_Assets!$I$2:$I$201,$AB1153)&amp;"",IF($Z1153="F",INDEX(Workforce!$G$2:$G$151,MATCH(INDEX(FTE_Allocation!$A$2:$A$201,$AB1153),Workforce!$A$2:$A$151,0))&amp;"","")))</f>
        <v/>
      </c>
      <c r="J1153" s="18">
        <f>IF($Z1153="","",IF(AND(DATE($AD1153,1,1)&gt;=$AE1153,DATE($AD1153,1,1)&lt;=$AF1153),ROUND($AG1153,2),0))</f>
        <v/>
      </c>
      <c r="K1153" s="18">
        <f>IF($Z1153="","",IF(AND(DATE($AD1153,2,1)&gt;=$AE1153,DATE($AD1153,2,1)&lt;=$AF1153),ROUND($AG1153,2),0))</f>
        <v/>
      </c>
      <c r="L1153" s="18">
        <f>IF($Z1153="","",IF(AND(DATE($AD1153,3,1)&gt;=$AE1153,DATE($AD1153,3,1)&lt;=$AF1153),ROUND($AG1153,2),0))</f>
        <v/>
      </c>
      <c r="M1153" s="18">
        <f>IF($Z1153="","",IF(AND(DATE($AD1153,4,1)&gt;=$AE1153,DATE($AD1153,4,1)&lt;=$AF1153),ROUND($AG1153,2),0))</f>
        <v/>
      </c>
      <c r="N1153" s="18">
        <f>IF($Z1153="","",IF(AND(DATE($AD1153,5,1)&gt;=$AE1153,DATE($AD1153,5,1)&lt;=$AF1153),ROUND($AG1153,2),0))</f>
        <v/>
      </c>
      <c r="O1153" s="18">
        <f>IF($Z1153="","",IF(AND(DATE($AD1153,6,1)&gt;=$AE1153,DATE($AD1153,6,1)&lt;=$AF1153),ROUND($AG1153,2),0))</f>
        <v/>
      </c>
      <c r="P1153" s="18">
        <f>IF($Z1153="","",IF(AND(DATE($AD1153,7,1)&gt;=$AE1153,DATE($AD1153,7,1)&lt;=$AF1153),ROUND($AG1153,2),0))</f>
        <v/>
      </c>
      <c r="Q1153" s="18">
        <f>IF($Z1153="","",IF(AND(DATE($AD1153,8,1)&gt;=$AE1153,DATE($AD1153,8,1)&lt;=$AF1153),ROUND($AG1153,2),0))</f>
        <v/>
      </c>
      <c r="R1153" s="18">
        <f>IF($Z1153="","",IF(AND(DATE($AD1153,9,1)&gt;=$AE1153,DATE($AD1153,9,1)&lt;=$AF1153),ROUND($AG1153,2),0))</f>
        <v/>
      </c>
      <c r="S1153" s="18">
        <f>IF($Z1153="","",IF(AND(DATE($AD1153,10,1)&gt;=$AE1153,DATE($AD1153,10,1)&lt;=$AF1153),ROUND($AG1153,2),0))</f>
        <v/>
      </c>
      <c r="T1153" s="18">
        <f>IF($Z1153="","",IF(AND(DATE($AD1153,11,1)&gt;=$AE1153,DATE($AD1153,11,1)&lt;=$AF1153),ROUND($AG1153,2),0))</f>
        <v/>
      </c>
      <c r="U1153" s="18">
        <f>IF($Z1153="","",IF(AND(DATE($AD1153,12,1)&gt;=$AE1153,DATE($AD1153,12,1)&lt;=$AF1153),ROUND($AG1153,2),0))</f>
        <v/>
      </c>
      <c r="V1153" s="7">
        <f>IF($Z1153="C","Generated from "&amp;INDEX(Contracts!$A$2:$A$151,$AB1153),IF($Z1153="A","Generated from "&amp;INDEX(Fixed_Assets!$A$2:$A$201,$AB1153),IF($Z1153="F","Generated from "&amp;INDEX(FTE_Allocation!$A$2:$A$201,$AB1153),"")))</f>
        <v/>
      </c>
      <c r="X1153" s="19">
        <f>IF($Z1153="","",SUM(J1153:U1153))</f>
        <v/>
      </c>
      <c r="Y1153" s="20">
        <f>ROW()-1</f>
        <v/>
      </c>
      <c r="Z1153" s="20">
        <f>IF($Y1153&lt;=Settings!$B$4*3,"C",IF($Y1153&lt;=(Settings!$B$4+Settings!$B$5)*3,"A",IF($Y1153&lt;=(Settings!$B$4+Settings!$B$5+Settings!$B$6)*3,"F","")))</f>
        <v/>
      </c>
      <c r="AA1153" s="20">
        <f>IF($Z1153="C",$Y1153,IF($Z1153="A",$Y1153-Settings!$B$4*3,IF($Z1153="F",$Y1153-(Settings!$B$4+Settings!$B$5)*3,"")))</f>
        <v/>
      </c>
      <c r="AB1153" s="20">
        <f>IF($Z1153="","",INT(($AA1153-1)/3)+1)</f>
        <v/>
      </c>
      <c r="AC1153" s="20">
        <f>IF($Z1153="","",MOD($AA1153-1,3)+1)</f>
        <v/>
      </c>
      <c r="AD1153" s="20">
        <f>IF($Z1153="","",Settings!$B$2+$AC1153-1)</f>
        <v/>
      </c>
      <c r="AE1153" s="21">
        <f>IF($Z1153="C",DATE(YEAR(INDEX(Contracts!$J$2:$J$151,$AB1153)),MONTH(INDEX(Contracts!$J$2:$J$151,$AB1153)),1),IF($Z1153="A",DATE(YEAR(INDEX(Fixed_Assets!$G$2:$G$201,$AB1153)),MONTH(INDEX(Fixed_Assets!$G$2:$G$201,$AB1153)),1),IF($Z1153="F",DATE(YEAR(MAX(N(INDEX(Workforce!$I$2:$I$151,MATCH(INDEX(FTE_Allocation!$A$2:$A$201,$AB1153),Workforce!$A$2:$A$151,0))),N(INDEX(FTE_Allocation!$I$2:$I$201,$AB1153)))),MONTH(MAX(N(INDEX(Workforce!$I$2:$I$151,MATCH(INDEX(FTE_Allocation!$A$2:$A$201,$AB1153),Workforce!$A$2:$A$151,0))),N(INDEX(FTE_Allocation!$I$2:$I$201,$AB1153)))),1),"")))</f>
        <v/>
      </c>
      <c r="AF1153" s="21">
        <f>IF($Z1153="C",IF(INDEX(Contracts!$I$2:$I$151,$AB1153)="PREPAID",EDATE(DATE(YEAR(INDEX(Contracts!$J$2:$J$151,$AB1153)),MONTH(INDEX(Contracts!$J$2:$J$151,$AB1153)),1),IF(INDEX(Contracts!$N$2:$N$151,$AB1153)="",12,INDEX(Contracts!$N$2:$N$151,$AB1153))-1),IF(INDEX(Contracts!$I$2:$I$151,$AB1153)="MONTHLY",IF(INDEX(Contracts!$K$2:$K$151,$AB1153)="",2958101,INDEX(Contracts!$K$2:$K$151,$AB1153)),0)),IF($Z1153="A",EDATE(DATE(YEAR(INDEX(Fixed_Assets!$G$2:$G$201,$AB1153)),MONTH(INDEX(Fixed_Assets!$G$2:$G$201,$AB1153)),1),INDEX(Fixed_Assets!$J$2:$J$201,$AB1153)-1),IF($Z1153="F",MIN(IF(INDEX(Workforce!$J$2:$J$151,MATCH(INDEX(FTE_Allocation!$A$2:$A$201,$AB1153),Workforce!$A$2:$A$151,0))="",2958101,INDEX(Workforce!$J$2:$J$151,MATCH(INDEX(FTE_Allocation!$A$2:$A$201,$AB1153),Workforce!$A$2:$A$151,0))),IF(INDEX(FTE_Allocation!$J$2:$J$201,$AB1153)="",2958101,INDEX(FTE_Allocation!$J$2:$J$201,$AB1153))),"")))</f>
        <v/>
      </c>
      <c r="AG1153" s="19">
        <f>IF($Z1153="C",IF(INDEX(Contracts!$I$2:$I$151,$AB1153)="PREPAID",INDEX(Contracts!$M$2:$M$151,$AB1153)/IF(INDEX(Contracts!$N$2:$N$151,$AB1153)="",12,INDEX(Contracts!$N$2:$N$151,$AB1153)),IF(INDEX(Contracts!$I$2:$I$151,$AB1153)="MONTHLY",INDEX(Contracts!$M$2:$M$151,$AB1153),0))*(1-N(INDEX(Contracts!$O$2:$O$151,$AB1153))),IF($Z1153="A",INDEX(Fixed_Assets!$H$2:$H$201,$AB1153)/INDEX(Fixed_Assets!$J$2:$J$201,$AB1153),IF($Z1153="F",INDEX(Workforce!$F$2:$F$151,MATCH(INDEX(FTE_Allocation!$A$2:$A$201,$AB1153),Workforce!$A$2:$A$151,0))*N(INDEX(FTE_Allocation!$F$2:$H$201,$AB1153,$AC1153)),"")))</f>
        <v/>
      </c>
    </row>
    <row r="1154">
      <c r="A1154" s="7">
        <f>IF($Z1154="","",$AD1154)</f>
        <v/>
      </c>
      <c r="B1154" s="7">
        <f>IF($Z1154="C",INDEX(Contracts!$D$2:$D$151,$AB1154)&amp;"",IF($Z1154="A",INDEX(Fixed_Assets!$C$2:$C$201,$AB1154)&amp;"",IF($Z1154="F",INDEX(Workforce!$B$2:$B$151,MATCH(INDEX(FTE_Allocation!$A$2:$A$201,$AB1154),Workforce!$A$2:$A$151,0))&amp;"","")))</f>
        <v/>
      </c>
      <c r="C1154" s="7">
        <f>IF($Z1154="C",INDEX(Contracts!$E$2:$E$151,$AB1154)&amp;"",IF($Z1154="A",INDEX(Fixed_Assets!$D$2:$D$201,$AB1154)&amp;"",IF($Z1154="F",INDEX(FTE_Allocation!$C$2:$C$201,$AB1154)&amp;"","")))</f>
        <v/>
      </c>
      <c r="D1154" s="7">
        <f>IF($Z1154="C",INDEX(Contracts!$B$2:$B$151,$AB1154)&amp;"",IF($Z1154="A",INDEX(Fixed_Assets!$B$2:$B$201,$AB1154)&amp;"",IF($Z1154="F",INDEX(FTE_Allocation!$B$2:$B$201,$AB1154)&amp;"","")))</f>
        <v/>
      </c>
      <c r="E1154" s="7">
        <f>IF($Z1154="C",INDEX(Contracts!$P$2:$P$151,$AB1154)&amp;"",IF($Z1154="A",INDEX(Fixed_Assets!$K$2:$K$201,$AB1154)&amp;"",IF($Z1154="F",IF(INDEX(FTE_Allocation!$D$2:$D$201,$AB1154)="PROJECT",IFERROR(INDEX(Projects!$D:$D,MATCH(INDEX(FTE_Allocation!$E$2:$E$201,$AB1154),Projects!$A:$A,0))&amp;"","#PROJECT?"),INDEX(FTE_Allocation!$E$2:$E$201,$AB1154)&amp;""),"")))</f>
        <v/>
      </c>
      <c r="F1154" s="7">
        <f>IF($Z1154="C",INDEX(Contracts!$Q$2:$Q$151,$AB1154)&amp;"",IF($Z1154="A",INDEX(Fixed_Assets!$L$2:$L$201,$AB1154)&amp;"",IF($Z1154="F",INDEX(Workforce!$K$2:$K$151,MATCH(INDEX(FTE_Allocation!$A$2:$A$201,$AB1154),Workforce!$A$2:$A$151,0))&amp;"","")))</f>
        <v/>
      </c>
      <c r="G1154" s="7">
        <f>IF($Z1154="C",INDEX(Contracts!$F$2:$F$151,$AB1154)&amp;" / "&amp;INDEX(Contracts!$G$2:$G$151,$AB1154),IF($Z1154="A",INDEX(Fixed_Assets!$E$2:$E$201,$AB1154)&amp;"",IF($Z1154="F","Personnel "&amp;INDEX(FTE_Allocation!$A$2:$A$201,$AB1154)&amp;IF(INDEX(FTE_Allocation!$D$2:$D$201,$AB1154)="PROJECT"," ("&amp;INDEX(FTE_Allocation!$E$2:$E$201,$AB1154)&amp;")",""),"")))</f>
        <v/>
      </c>
      <c r="H1154" s="7">
        <f>IF($Z1154="C","CONTRACT",IF($Z1154="A","ASSET",IF($Z1154="F","WORKFORCE","")))</f>
        <v/>
      </c>
      <c r="I1154" s="7">
        <f>IF($Z1154="C",INDEX(Contracts!$L$2:$L$151,$AB1154)&amp;"",IF($Z1154="A",INDEX(Fixed_Assets!$I$2:$I$201,$AB1154)&amp;"",IF($Z1154="F",INDEX(Workforce!$G$2:$G$151,MATCH(INDEX(FTE_Allocation!$A$2:$A$201,$AB1154),Workforce!$A$2:$A$151,0))&amp;"","")))</f>
        <v/>
      </c>
      <c r="J1154" s="18">
        <f>IF($Z1154="","",IF(AND(DATE($AD1154,1,1)&gt;=$AE1154,DATE($AD1154,1,1)&lt;=$AF1154),ROUND($AG1154,2),0))</f>
        <v/>
      </c>
      <c r="K1154" s="18">
        <f>IF($Z1154="","",IF(AND(DATE($AD1154,2,1)&gt;=$AE1154,DATE($AD1154,2,1)&lt;=$AF1154),ROUND($AG1154,2),0))</f>
        <v/>
      </c>
      <c r="L1154" s="18">
        <f>IF($Z1154="","",IF(AND(DATE($AD1154,3,1)&gt;=$AE1154,DATE($AD1154,3,1)&lt;=$AF1154),ROUND($AG1154,2),0))</f>
        <v/>
      </c>
      <c r="M1154" s="18">
        <f>IF($Z1154="","",IF(AND(DATE($AD1154,4,1)&gt;=$AE1154,DATE($AD1154,4,1)&lt;=$AF1154),ROUND($AG1154,2),0))</f>
        <v/>
      </c>
      <c r="N1154" s="18">
        <f>IF($Z1154="","",IF(AND(DATE($AD1154,5,1)&gt;=$AE1154,DATE($AD1154,5,1)&lt;=$AF1154),ROUND($AG1154,2),0))</f>
        <v/>
      </c>
      <c r="O1154" s="18">
        <f>IF($Z1154="","",IF(AND(DATE($AD1154,6,1)&gt;=$AE1154,DATE($AD1154,6,1)&lt;=$AF1154),ROUND($AG1154,2),0))</f>
        <v/>
      </c>
      <c r="P1154" s="18">
        <f>IF($Z1154="","",IF(AND(DATE($AD1154,7,1)&gt;=$AE1154,DATE($AD1154,7,1)&lt;=$AF1154),ROUND($AG1154,2),0))</f>
        <v/>
      </c>
      <c r="Q1154" s="18">
        <f>IF($Z1154="","",IF(AND(DATE($AD1154,8,1)&gt;=$AE1154,DATE($AD1154,8,1)&lt;=$AF1154),ROUND($AG1154,2),0))</f>
        <v/>
      </c>
      <c r="R1154" s="18">
        <f>IF($Z1154="","",IF(AND(DATE($AD1154,9,1)&gt;=$AE1154,DATE($AD1154,9,1)&lt;=$AF1154),ROUND($AG1154,2),0))</f>
        <v/>
      </c>
      <c r="S1154" s="18">
        <f>IF($Z1154="","",IF(AND(DATE($AD1154,10,1)&gt;=$AE1154,DATE($AD1154,10,1)&lt;=$AF1154),ROUND($AG1154,2),0))</f>
        <v/>
      </c>
      <c r="T1154" s="18">
        <f>IF($Z1154="","",IF(AND(DATE($AD1154,11,1)&gt;=$AE1154,DATE($AD1154,11,1)&lt;=$AF1154),ROUND($AG1154,2),0))</f>
        <v/>
      </c>
      <c r="U1154" s="18">
        <f>IF($Z1154="","",IF(AND(DATE($AD1154,12,1)&gt;=$AE1154,DATE($AD1154,12,1)&lt;=$AF1154),ROUND($AG1154,2),0))</f>
        <v/>
      </c>
      <c r="V1154" s="7">
        <f>IF($Z1154="C","Generated from "&amp;INDEX(Contracts!$A$2:$A$151,$AB1154),IF($Z1154="A","Generated from "&amp;INDEX(Fixed_Assets!$A$2:$A$201,$AB1154),IF($Z1154="F","Generated from "&amp;INDEX(FTE_Allocation!$A$2:$A$201,$AB1154),"")))</f>
        <v/>
      </c>
      <c r="X1154" s="19">
        <f>IF($Z1154="","",SUM(J1154:U1154))</f>
        <v/>
      </c>
      <c r="Y1154" s="20">
        <f>ROW()-1</f>
        <v/>
      </c>
      <c r="Z1154" s="20">
        <f>IF($Y1154&lt;=Settings!$B$4*3,"C",IF($Y1154&lt;=(Settings!$B$4+Settings!$B$5)*3,"A",IF($Y1154&lt;=(Settings!$B$4+Settings!$B$5+Settings!$B$6)*3,"F","")))</f>
        <v/>
      </c>
      <c r="AA1154" s="20">
        <f>IF($Z1154="C",$Y1154,IF($Z1154="A",$Y1154-Settings!$B$4*3,IF($Z1154="F",$Y1154-(Settings!$B$4+Settings!$B$5)*3,"")))</f>
        <v/>
      </c>
      <c r="AB1154" s="20">
        <f>IF($Z1154="","",INT(($AA1154-1)/3)+1)</f>
        <v/>
      </c>
      <c r="AC1154" s="20">
        <f>IF($Z1154="","",MOD($AA1154-1,3)+1)</f>
        <v/>
      </c>
      <c r="AD1154" s="20">
        <f>IF($Z1154="","",Settings!$B$2+$AC1154-1)</f>
        <v/>
      </c>
      <c r="AE1154" s="21">
        <f>IF($Z1154="C",DATE(YEAR(INDEX(Contracts!$J$2:$J$151,$AB1154)),MONTH(INDEX(Contracts!$J$2:$J$151,$AB1154)),1),IF($Z1154="A",DATE(YEAR(INDEX(Fixed_Assets!$G$2:$G$201,$AB1154)),MONTH(INDEX(Fixed_Assets!$G$2:$G$201,$AB1154)),1),IF($Z1154="F",DATE(YEAR(MAX(N(INDEX(Workforce!$I$2:$I$151,MATCH(INDEX(FTE_Allocation!$A$2:$A$201,$AB1154),Workforce!$A$2:$A$151,0))),N(INDEX(FTE_Allocation!$I$2:$I$201,$AB1154)))),MONTH(MAX(N(INDEX(Workforce!$I$2:$I$151,MATCH(INDEX(FTE_Allocation!$A$2:$A$201,$AB1154),Workforce!$A$2:$A$151,0))),N(INDEX(FTE_Allocation!$I$2:$I$201,$AB1154)))),1),"")))</f>
        <v/>
      </c>
      <c r="AF1154" s="21">
        <f>IF($Z1154="C",IF(INDEX(Contracts!$I$2:$I$151,$AB1154)="PREPAID",EDATE(DATE(YEAR(INDEX(Contracts!$J$2:$J$151,$AB1154)),MONTH(INDEX(Contracts!$J$2:$J$151,$AB1154)),1),IF(INDEX(Contracts!$N$2:$N$151,$AB1154)="",12,INDEX(Contracts!$N$2:$N$151,$AB1154))-1),IF(INDEX(Contracts!$I$2:$I$151,$AB1154)="MONTHLY",IF(INDEX(Contracts!$K$2:$K$151,$AB1154)="",2958101,INDEX(Contracts!$K$2:$K$151,$AB1154)),0)),IF($Z1154="A",EDATE(DATE(YEAR(INDEX(Fixed_Assets!$G$2:$G$201,$AB1154)),MONTH(INDEX(Fixed_Assets!$G$2:$G$201,$AB1154)),1),INDEX(Fixed_Assets!$J$2:$J$201,$AB1154)-1),IF($Z1154="F",MIN(IF(INDEX(Workforce!$J$2:$J$151,MATCH(INDEX(FTE_Allocation!$A$2:$A$201,$AB1154),Workforce!$A$2:$A$151,0))="",2958101,INDEX(Workforce!$J$2:$J$151,MATCH(INDEX(FTE_Allocation!$A$2:$A$201,$AB1154),Workforce!$A$2:$A$151,0))),IF(INDEX(FTE_Allocation!$J$2:$J$201,$AB1154)="",2958101,INDEX(FTE_Allocation!$J$2:$J$201,$AB1154))),"")))</f>
        <v/>
      </c>
      <c r="AG1154" s="19">
        <f>IF($Z1154="C",IF(INDEX(Contracts!$I$2:$I$151,$AB1154)="PREPAID",INDEX(Contracts!$M$2:$M$151,$AB1154)/IF(INDEX(Contracts!$N$2:$N$151,$AB1154)="",12,INDEX(Contracts!$N$2:$N$151,$AB1154)),IF(INDEX(Contracts!$I$2:$I$151,$AB1154)="MONTHLY",INDEX(Contracts!$M$2:$M$151,$AB1154),0))*(1-N(INDEX(Contracts!$O$2:$O$151,$AB1154))),IF($Z1154="A",INDEX(Fixed_Assets!$H$2:$H$201,$AB1154)/INDEX(Fixed_Assets!$J$2:$J$201,$AB1154),IF($Z1154="F",INDEX(Workforce!$F$2:$F$151,MATCH(INDEX(FTE_Allocation!$A$2:$A$201,$AB1154),Workforce!$A$2:$A$151,0))*N(INDEX(FTE_Allocation!$F$2:$H$201,$AB1154,$AC1154)),"")))</f>
        <v/>
      </c>
    </row>
    <row r="1155">
      <c r="A1155" s="7">
        <f>IF($Z1155="","",$AD1155)</f>
        <v/>
      </c>
      <c r="B1155" s="7">
        <f>IF($Z1155="C",INDEX(Contracts!$D$2:$D$151,$AB1155)&amp;"",IF($Z1155="A",INDEX(Fixed_Assets!$C$2:$C$201,$AB1155)&amp;"",IF($Z1155="F",INDEX(Workforce!$B$2:$B$151,MATCH(INDEX(FTE_Allocation!$A$2:$A$201,$AB1155),Workforce!$A$2:$A$151,0))&amp;"","")))</f>
        <v/>
      </c>
      <c r="C1155" s="7">
        <f>IF($Z1155="C",INDEX(Contracts!$E$2:$E$151,$AB1155)&amp;"",IF($Z1155="A",INDEX(Fixed_Assets!$D$2:$D$201,$AB1155)&amp;"",IF($Z1155="F",INDEX(FTE_Allocation!$C$2:$C$201,$AB1155)&amp;"","")))</f>
        <v/>
      </c>
      <c r="D1155" s="7">
        <f>IF($Z1155="C",INDEX(Contracts!$B$2:$B$151,$AB1155)&amp;"",IF($Z1155="A",INDEX(Fixed_Assets!$B$2:$B$201,$AB1155)&amp;"",IF($Z1155="F",INDEX(FTE_Allocation!$B$2:$B$201,$AB1155)&amp;"","")))</f>
        <v/>
      </c>
      <c r="E1155" s="7">
        <f>IF($Z1155="C",INDEX(Contracts!$P$2:$P$151,$AB1155)&amp;"",IF($Z1155="A",INDEX(Fixed_Assets!$K$2:$K$201,$AB1155)&amp;"",IF($Z1155="F",IF(INDEX(FTE_Allocation!$D$2:$D$201,$AB1155)="PROJECT",IFERROR(INDEX(Projects!$D:$D,MATCH(INDEX(FTE_Allocation!$E$2:$E$201,$AB1155),Projects!$A:$A,0))&amp;"","#PROJECT?"),INDEX(FTE_Allocation!$E$2:$E$201,$AB1155)&amp;""),"")))</f>
        <v/>
      </c>
      <c r="F1155" s="7">
        <f>IF($Z1155="C",INDEX(Contracts!$Q$2:$Q$151,$AB1155)&amp;"",IF($Z1155="A",INDEX(Fixed_Assets!$L$2:$L$201,$AB1155)&amp;"",IF($Z1155="F",INDEX(Workforce!$K$2:$K$151,MATCH(INDEX(FTE_Allocation!$A$2:$A$201,$AB1155),Workforce!$A$2:$A$151,0))&amp;"","")))</f>
        <v/>
      </c>
      <c r="G1155" s="7">
        <f>IF($Z1155="C",INDEX(Contracts!$F$2:$F$151,$AB1155)&amp;" / "&amp;INDEX(Contracts!$G$2:$G$151,$AB1155),IF($Z1155="A",INDEX(Fixed_Assets!$E$2:$E$201,$AB1155)&amp;"",IF($Z1155="F","Personnel "&amp;INDEX(FTE_Allocation!$A$2:$A$201,$AB1155)&amp;IF(INDEX(FTE_Allocation!$D$2:$D$201,$AB1155)="PROJECT"," ("&amp;INDEX(FTE_Allocation!$E$2:$E$201,$AB1155)&amp;")",""),"")))</f>
        <v/>
      </c>
      <c r="H1155" s="7">
        <f>IF($Z1155="C","CONTRACT",IF($Z1155="A","ASSET",IF($Z1155="F","WORKFORCE","")))</f>
        <v/>
      </c>
      <c r="I1155" s="7">
        <f>IF($Z1155="C",INDEX(Contracts!$L$2:$L$151,$AB1155)&amp;"",IF($Z1155="A",INDEX(Fixed_Assets!$I$2:$I$201,$AB1155)&amp;"",IF($Z1155="F",INDEX(Workforce!$G$2:$G$151,MATCH(INDEX(FTE_Allocation!$A$2:$A$201,$AB1155),Workforce!$A$2:$A$151,0))&amp;"","")))</f>
        <v/>
      </c>
      <c r="J1155" s="18">
        <f>IF($Z1155="","",IF(AND(DATE($AD1155,1,1)&gt;=$AE1155,DATE($AD1155,1,1)&lt;=$AF1155),ROUND($AG1155,2),0))</f>
        <v/>
      </c>
      <c r="K1155" s="18">
        <f>IF($Z1155="","",IF(AND(DATE($AD1155,2,1)&gt;=$AE1155,DATE($AD1155,2,1)&lt;=$AF1155),ROUND($AG1155,2),0))</f>
        <v/>
      </c>
      <c r="L1155" s="18">
        <f>IF($Z1155="","",IF(AND(DATE($AD1155,3,1)&gt;=$AE1155,DATE($AD1155,3,1)&lt;=$AF1155),ROUND($AG1155,2),0))</f>
        <v/>
      </c>
      <c r="M1155" s="18">
        <f>IF($Z1155="","",IF(AND(DATE($AD1155,4,1)&gt;=$AE1155,DATE($AD1155,4,1)&lt;=$AF1155),ROUND($AG1155,2),0))</f>
        <v/>
      </c>
      <c r="N1155" s="18">
        <f>IF($Z1155="","",IF(AND(DATE($AD1155,5,1)&gt;=$AE1155,DATE($AD1155,5,1)&lt;=$AF1155),ROUND($AG1155,2),0))</f>
        <v/>
      </c>
      <c r="O1155" s="18">
        <f>IF($Z1155="","",IF(AND(DATE($AD1155,6,1)&gt;=$AE1155,DATE($AD1155,6,1)&lt;=$AF1155),ROUND($AG1155,2),0))</f>
        <v/>
      </c>
      <c r="P1155" s="18">
        <f>IF($Z1155="","",IF(AND(DATE($AD1155,7,1)&gt;=$AE1155,DATE($AD1155,7,1)&lt;=$AF1155),ROUND($AG1155,2),0))</f>
        <v/>
      </c>
      <c r="Q1155" s="18">
        <f>IF($Z1155="","",IF(AND(DATE($AD1155,8,1)&gt;=$AE1155,DATE($AD1155,8,1)&lt;=$AF1155),ROUND($AG1155,2),0))</f>
        <v/>
      </c>
      <c r="R1155" s="18">
        <f>IF($Z1155="","",IF(AND(DATE($AD1155,9,1)&gt;=$AE1155,DATE($AD1155,9,1)&lt;=$AF1155),ROUND($AG1155,2),0))</f>
        <v/>
      </c>
      <c r="S1155" s="18">
        <f>IF($Z1155="","",IF(AND(DATE($AD1155,10,1)&gt;=$AE1155,DATE($AD1155,10,1)&lt;=$AF1155),ROUND($AG1155,2),0))</f>
        <v/>
      </c>
      <c r="T1155" s="18">
        <f>IF($Z1155="","",IF(AND(DATE($AD1155,11,1)&gt;=$AE1155,DATE($AD1155,11,1)&lt;=$AF1155),ROUND($AG1155,2),0))</f>
        <v/>
      </c>
      <c r="U1155" s="18">
        <f>IF($Z1155="","",IF(AND(DATE($AD1155,12,1)&gt;=$AE1155,DATE($AD1155,12,1)&lt;=$AF1155),ROUND($AG1155,2),0))</f>
        <v/>
      </c>
      <c r="V1155" s="7">
        <f>IF($Z1155="C","Generated from "&amp;INDEX(Contracts!$A$2:$A$151,$AB1155),IF($Z1155="A","Generated from "&amp;INDEX(Fixed_Assets!$A$2:$A$201,$AB1155),IF($Z1155="F","Generated from "&amp;INDEX(FTE_Allocation!$A$2:$A$201,$AB1155),"")))</f>
        <v/>
      </c>
      <c r="X1155" s="19">
        <f>IF($Z1155="","",SUM(J1155:U1155))</f>
        <v/>
      </c>
      <c r="Y1155" s="20">
        <f>ROW()-1</f>
        <v/>
      </c>
      <c r="Z1155" s="20">
        <f>IF($Y1155&lt;=Settings!$B$4*3,"C",IF($Y1155&lt;=(Settings!$B$4+Settings!$B$5)*3,"A",IF($Y1155&lt;=(Settings!$B$4+Settings!$B$5+Settings!$B$6)*3,"F","")))</f>
        <v/>
      </c>
      <c r="AA1155" s="20">
        <f>IF($Z1155="C",$Y1155,IF($Z1155="A",$Y1155-Settings!$B$4*3,IF($Z1155="F",$Y1155-(Settings!$B$4+Settings!$B$5)*3,"")))</f>
        <v/>
      </c>
      <c r="AB1155" s="20">
        <f>IF($Z1155="","",INT(($AA1155-1)/3)+1)</f>
        <v/>
      </c>
      <c r="AC1155" s="20">
        <f>IF($Z1155="","",MOD($AA1155-1,3)+1)</f>
        <v/>
      </c>
      <c r="AD1155" s="20">
        <f>IF($Z1155="","",Settings!$B$2+$AC1155-1)</f>
        <v/>
      </c>
      <c r="AE1155" s="21">
        <f>IF($Z1155="C",DATE(YEAR(INDEX(Contracts!$J$2:$J$151,$AB1155)),MONTH(INDEX(Contracts!$J$2:$J$151,$AB1155)),1),IF($Z1155="A",DATE(YEAR(INDEX(Fixed_Assets!$G$2:$G$201,$AB1155)),MONTH(INDEX(Fixed_Assets!$G$2:$G$201,$AB1155)),1),IF($Z1155="F",DATE(YEAR(MAX(N(INDEX(Workforce!$I$2:$I$151,MATCH(INDEX(FTE_Allocation!$A$2:$A$201,$AB1155),Workforce!$A$2:$A$151,0))),N(INDEX(FTE_Allocation!$I$2:$I$201,$AB1155)))),MONTH(MAX(N(INDEX(Workforce!$I$2:$I$151,MATCH(INDEX(FTE_Allocation!$A$2:$A$201,$AB1155),Workforce!$A$2:$A$151,0))),N(INDEX(FTE_Allocation!$I$2:$I$201,$AB1155)))),1),"")))</f>
        <v/>
      </c>
      <c r="AF1155" s="21">
        <f>IF($Z1155="C",IF(INDEX(Contracts!$I$2:$I$151,$AB1155)="PREPAID",EDATE(DATE(YEAR(INDEX(Contracts!$J$2:$J$151,$AB1155)),MONTH(INDEX(Contracts!$J$2:$J$151,$AB1155)),1),IF(INDEX(Contracts!$N$2:$N$151,$AB1155)="",12,INDEX(Contracts!$N$2:$N$151,$AB1155))-1),IF(INDEX(Contracts!$I$2:$I$151,$AB1155)="MONTHLY",IF(INDEX(Contracts!$K$2:$K$151,$AB1155)="",2958101,INDEX(Contracts!$K$2:$K$151,$AB1155)),0)),IF($Z1155="A",EDATE(DATE(YEAR(INDEX(Fixed_Assets!$G$2:$G$201,$AB1155)),MONTH(INDEX(Fixed_Assets!$G$2:$G$201,$AB1155)),1),INDEX(Fixed_Assets!$J$2:$J$201,$AB1155)-1),IF($Z1155="F",MIN(IF(INDEX(Workforce!$J$2:$J$151,MATCH(INDEX(FTE_Allocation!$A$2:$A$201,$AB1155),Workforce!$A$2:$A$151,0))="",2958101,INDEX(Workforce!$J$2:$J$151,MATCH(INDEX(FTE_Allocation!$A$2:$A$201,$AB1155),Workforce!$A$2:$A$151,0))),IF(INDEX(FTE_Allocation!$J$2:$J$201,$AB1155)="",2958101,INDEX(FTE_Allocation!$J$2:$J$201,$AB1155))),"")))</f>
        <v/>
      </c>
      <c r="AG1155" s="19">
        <f>IF($Z1155="C",IF(INDEX(Contracts!$I$2:$I$151,$AB1155)="PREPAID",INDEX(Contracts!$M$2:$M$151,$AB1155)/IF(INDEX(Contracts!$N$2:$N$151,$AB1155)="",12,INDEX(Contracts!$N$2:$N$151,$AB1155)),IF(INDEX(Contracts!$I$2:$I$151,$AB1155)="MONTHLY",INDEX(Contracts!$M$2:$M$151,$AB1155),0))*(1-N(INDEX(Contracts!$O$2:$O$151,$AB1155))),IF($Z1155="A",INDEX(Fixed_Assets!$H$2:$H$201,$AB1155)/INDEX(Fixed_Assets!$J$2:$J$201,$AB1155),IF($Z1155="F",INDEX(Workforce!$F$2:$F$151,MATCH(INDEX(FTE_Allocation!$A$2:$A$201,$AB1155),Workforce!$A$2:$A$151,0))*N(INDEX(FTE_Allocation!$F$2:$H$201,$AB1155,$AC1155)),"")))</f>
        <v/>
      </c>
    </row>
    <row r="1156">
      <c r="A1156" s="7">
        <f>IF($Z1156="","",$AD1156)</f>
        <v/>
      </c>
      <c r="B1156" s="7">
        <f>IF($Z1156="C",INDEX(Contracts!$D$2:$D$151,$AB1156)&amp;"",IF($Z1156="A",INDEX(Fixed_Assets!$C$2:$C$201,$AB1156)&amp;"",IF($Z1156="F",INDEX(Workforce!$B$2:$B$151,MATCH(INDEX(FTE_Allocation!$A$2:$A$201,$AB1156),Workforce!$A$2:$A$151,0))&amp;"","")))</f>
        <v/>
      </c>
      <c r="C1156" s="7">
        <f>IF($Z1156="C",INDEX(Contracts!$E$2:$E$151,$AB1156)&amp;"",IF($Z1156="A",INDEX(Fixed_Assets!$D$2:$D$201,$AB1156)&amp;"",IF($Z1156="F",INDEX(FTE_Allocation!$C$2:$C$201,$AB1156)&amp;"","")))</f>
        <v/>
      </c>
      <c r="D1156" s="7">
        <f>IF($Z1156="C",INDEX(Contracts!$B$2:$B$151,$AB1156)&amp;"",IF($Z1156="A",INDEX(Fixed_Assets!$B$2:$B$201,$AB1156)&amp;"",IF($Z1156="F",INDEX(FTE_Allocation!$B$2:$B$201,$AB1156)&amp;"","")))</f>
        <v/>
      </c>
      <c r="E1156" s="7">
        <f>IF($Z1156="C",INDEX(Contracts!$P$2:$P$151,$AB1156)&amp;"",IF($Z1156="A",INDEX(Fixed_Assets!$K$2:$K$201,$AB1156)&amp;"",IF($Z1156="F",IF(INDEX(FTE_Allocation!$D$2:$D$201,$AB1156)="PROJECT",IFERROR(INDEX(Projects!$D:$D,MATCH(INDEX(FTE_Allocation!$E$2:$E$201,$AB1156),Projects!$A:$A,0))&amp;"","#PROJECT?"),INDEX(FTE_Allocation!$E$2:$E$201,$AB1156)&amp;""),"")))</f>
        <v/>
      </c>
      <c r="F1156" s="7">
        <f>IF($Z1156="C",INDEX(Contracts!$Q$2:$Q$151,$AB1156)&amp;"",IF($Z1156="A",INDEX(Fixed_Assets!$L$2:$L$201,$AB1156)&amp;"",IF($Z1156="F",INDEX(Workforce!$K$2:$K$151,MATCH(INDEX(FTE_Allocation!$A$2:$A$201,$AB1156),Workforce!$A$2:$A$151,0))&amp;"","")))</f>
        <v/>
      </c>
      <c r="G1156" s="7">
        <f>IF($Z1156="C",INDEX(Contracts!$F$2:$F$151,$AB1156)&amp;" / "&amp;INDEX(Contracts!$G$2:$G$151,$AB1156),IF($Z1156="A",INDEX(Fixed_Assets!$E$2:$E$201,$AB1156)&amp;"",IF($Z1156="F","Personnel "&amp;INDEX(FTE_Allocation!$A$2:$A$201,$AB1156)&amp;IF(INDEX(FTE_Allocation!$D$2:$D$201,$AB1156)="PROJECT"," ("&amp;INDEX(FTE_Allocation!$E$2:$E$201,$AB1156)&amp;")",""),"")))</f>
        <v/>
      </c>
      <c r="H1156" s="7">
        <f>IF($Z1156="C","CONTRACT",IF($Z1156="A","ASSET",IF($Z1156="F","WORKFORCE","")))</f>
        <v/>
      </c>
      <c r="I1156" s="7">
        <f>IF($Z1156="C",INDEX(Contracts!$L$2:$L$151,$AB1156)&amp;"",IF($Z1156="A",INDEX(Fixed_Assets!$I$2:$I$201,$AB1156)&amp;"",IF($Z1156="F",INDEX(Workforce!$G$2:$G$151,MATCH(INDEX(FTE_Allocation!$A$2:$A$201,$AB1156),Workforce!$A$2:$A$151,0))&amp;"","")))</f>
        <v/>
      </c>
      <c r="J1156" s="18">
        <f>IF($Z1156="","",IF(AND(DATE($AD1156,1,1)&gt;=$AE1156,DATE($AD1156,1,1)&lt;=$AF1156),ROUND($AG1156,2),0))</f>
        <v/>
      </c>
      <c r="K1156" s="18">
        <f>IF($Z1156="","",IF(AND(DATE($AD1156,2,1)&gt;=$AE1156,DATE($AD1156,2,1)&lt;=$AF1156),ROUND($AG1156,2),0))</f>
        <v/>
      </c>
      <c r="L1156" s="18">
        <f>IF($Z1156="","",IF(AND(DATE($AD1156,3,1)&gt;=$AE1156,DATE($AD1156,3,1)&lt;=$AF1156),ROUND($AG1156,2),0))</f>
        <v/>
      </c>
      <c r="M1156" s="18">
        <f>IF($Z1156="","",IF(AND(DATE($AD1156,4,1)&gt;=$AE1156,DATE($AD1156,4,1)&lt;=$AF1156),ROUND($AG1156,2),0))</f>
        <v/>
      </c>
      <c r="N1156" s="18">
        <f>IF($Z1156="","",IF(AND(DATE($AD1156,5,1)&gt;=$AE1156,DATE($AD1156,5,1)&lt;=$AF1156),ROUND($AG1156,2),0))</f>
        <v/>
      </c>
      <c r="O1156" s="18">
        <f>IF($Z1156="","",IF(AND(DATE($AD1156,6,1)&gt;=$AE1156,DATE($AD1156,6,1)&lt;=$AF1156),ROUND($AG1156,2),0))</f>
        <v/>
      </c>
      <c r="P1156" s="18">
        <f>IF($Z1156="","",IF(AND(DATE($AD1156,7,1)&gt;=$AE1156,DATE($AD1156,7,1)&lt;=$AF1156),ROUND($AG1156,2),0))</f>
        <v/>
      </c>
      <c r="Q1156" s="18">
        <f>IF($Z1156="","",IF(AND(DATE($AD1156,8,1)&gt;=$AE1156,DATE($AD1156,8,1)&lt;=$AF1156),ROUND($AG1156,2),0))</f>
        <v/>
      </c>
      <c r="R1156" s="18">
        <f>IF($Z1156="","",IF(AND(DATE($AD1156,9,1)&gt;=$AE1156,DATE($AD1156,9,1)&lt;=$AF1156),ROUND($AG1156,2),0))</f>
        <v/>
      </c>
      <c r="S1156" s="18">
        <f>IF($Z1156="","",IF(AND(DATE($AD1156,10,1)&gt;=$AE1156,DATE($AD1156,10,1)&lt;=$AF1156),ROUND($AG1156,2),0))</f>
        <v/>
      </c>
      <c r="T1156" s="18">
        <f>IF($Z1156="","",IF(AND(DATE($AD1156,11,1)&gt;=$AE1156,DATE($AD1156,11,1)&lt;=$AF1156),ROUND($AG1156,2),0))</f>
        <v/>
      </c>
      <c r="U1156" s="18">
        <f>IF($Z1156="","",IF(AND(DATE($AD1156,12,1)&gt;=$AE1156,DATE($AD1156,12,1)&lt;=$AF1156),ROUND($AG1156,2),0))</f>
        <v/>
      </c>
      <c r="V1156" s="7">
        <f>IF($Z1156="C","Generated from "&amp;INDEX(Contracts!$A$2:$A$151,$AB1156),IF($Z1156="A","Generated from "&amp;INDEX(Fixed_Assets!$A$2:$A$201,$AB1156),IF($Z1156="F","Generated from "&amp;INDEX(FTE_Allocation!$A$2:$A$201,$AB1156),"")))</f>
        <v/>
      </c>
      <c r="X1156" s="19">
        <f>IF($Z1156="","",SUM(J1156:U1156))</f>
        <v/>
      </c>
      <c r="Y1156" s="20">
        <f>ROW()-1</f>
        <v/>
      </c>
      <c r="Z1156" s="20">
        <f>IF($Y1156&lt;=Settings!$B$4*3,"C",IF($Y1156&lt;=(Settings!$B$4+Settings!$B$5)*3,"A",IF($Y1156&lt;=(Settings!$B$4+Settings!$B$5+Settings!$B$6)*3,"F","")))</f>
        <v/>
      </c>
      <c r="AA1156" s="20">
        <f>IF($Z1156="C",$Y1156,IF($Z1156="A",$Y1156-Settings!$B$4*3,IF($Z1156="F",$Y1156-(Settings!$B$4+Settings!$B$5)*3,"")))</f>
        <v/>
      </c>
      <c r="AB1156" s="20">
        <f>IF($Z1156="","",INT(($AA1156-1)/3)+1)</f>
        <v/>
      </c>
      <c r="AC1156" s="20">
        <f>IF($Z1156="","",MOD($AA1156-1,3)+1)</f>
        <v/>
      </c>
      <c r="AD1156" s="20">
        <f>IF($Z1156="","",Settings!$B$2+$AC1156-1)</f>
        <v/>
      </c>
      <c r="AE1156" s="21">
        <f>IF($Z1156="C",DATE(YEAR(INDEX(Contracts!$J$2:$J$151,$AB1156)),MONTH(INDEX(Contracts!$J$2:$J$151,$AB1156)),1),IF($Z1156="A",DATE(YEAR(INDEX(Fixed_Assets!$G$2:$G$201,$AB1156)),MONTH(INDEX(Fixed_Assets!$G$2:$G$201,$AB1156)),1),IF($Z1156="F",DATE(YEAR(MAX(N(INDEX(Workforce!$I$2:$I$151,MATCH(INDEX(FTE_Allocation!$A$2:$A$201,$AB1156),Workforce!$A$2:$A$151,0))),N(INDEX(FTE_Allocation!$I$2:$I$201,$AB1156)))),MONTH(MAX(N(INDEX(Workforce!$I$2:$I$151,MATCH(INDEX(FTE_Allocation!$A$2:$A$201,$AB1156),Workforce!$A$2:$A$151,0))),N(INDEX(FTE_Allocation!$I$2:$I$201,$AB1156)))),1),"")))</f>
        <v/>
      </c>
      <c r="AF1156" s="21">
        <f>IF($Z1156="C",IF(INDEX(Contracts!$I$2:$I$151,$AB1156)="PREPAID",EDATE(DATE(YEAR(INDEX(Contracts!$J$2:$J$151,$AB1156)),MONTH(INDEX(Contracts!$J$2:$J$151,$AB1156)),1),IF(INDEX(Contracts!$N$2:$N$151,$AB1156)="",12,INDEX(Contracts!$N$2:$N$151,$AB1156))-1),IF(INDEX(Contracts!$I$2:$I$151,$AB1156)="MONTHLY",IF(INDEX(Contracts!$K$2:$K$151,$AB1156)="",2958101,INDEX(Contracts!$K$2:$K$151,$AB1156)),0)),IF($Z1156="A",EDATE(DATE(YEAR(INDEX(Fixed_Assets!$G$2:$G$201,$AB1156)),MONTH(INDEX(Fixed_Assets!$G$2:$G$201,$AB1156)),1),INDEX(Fixed_Assets!$J$2:$J$201,$AB1156)-1),IF($Z1156="F",MIN(IF(INDEX(Workforce!$J$2:$J$151,MATCH(INDEX(FTE_Allocation!$A$2:$A$201,$AB1156),Workforce!$A$2:$A$151,0))="",2958101,INDEX(Workforce!$J$2:$J$151,MATCH(INDEX(FTE_Allocation!$A$2:$A$201,$AB1156),Workforce!$A$2:$A$151,0))),IF(INDEX(FTE_Allocation!$J$2:$J$201,$AB1156)="",2958101,INDEX(FTE_Allocation!$J$2:$J$201,$AB1156))),"")))</f>
        <v/>
      </c>
      <c r="AG1156" s="19">
        <f>IF($Z1156="C",IF(INDEX(Contracts!$I$2:$I$151,$AB1156)="PREPAID",INDEX(Contracts!$M$2:$M$151,$AB1156)/IF(INDEX(Contracts!$N$2:$N$151,$AB1156)="",12,INDEX(Contracts!$N$2:$N$151,$AB1156)),IF(INDEX(Contracts!$I$2:$I$151,$AB1156)="MONTHLY",INDEX(Contracts!$M$2:$M$151,$AB1156),0))*(1-N(INDEX(Contracts!$O$2:$O$151,$AB1156))),IF($Z1156="A",INDEX(Fixed_Assets!$H$2:$H$201,$AB1156)/INDEX(Fixed_Assets!$J$2:$J$201,$AB1156),IF($Z1156="F",INDEX(Workforce!$F$2:$F$151,MATCH(INDEX(FTE_Allocation!$A$2:$A$201,$AB1156),Workforce!$A$2:$A$151,0))*N(INDEX(FTE_Allocation!$F$2:$H$201,$AB1156,$AC1156)),"")))</f>
        <v/>
      </c>
    </row>
    <row r="1157">
      <c r="A1157" s="7">
        <f>IF($Z1157="","",$AD1157)</f>
        <v/>
      </c>
      <c r="B1157" s="7">
        <f>IF($Z1157="C",INDEX(Contracts!$D$2:$D$151,$AB1157)&amp;"",IF($Z1157="A",INDEX(Fixed_Assets!$C$2:$C$201,$AB1157)&amp;"",IF($Z1157="F",INDEX(Workforce!$B$2:$B$151,MATCH(INDEX(FTE_Allocation!$A$2:$A$201,$AB1157),Workforce!$A$2:$A$151,0))&amp;"","")))</f>
        <v/>
      </c>
      <c r="C1157" s="7">
        <f>IF($Z1157="C",INDEX(Contracts!$E$2:$E$151,$AB1157)&amp;"",IF($Z1157="A",INDEX(Fixed_Assets!$D$2:$D$201,$AB1157)&amp;"",IF($Z1157="F",INDEX(FTE_Allocation!$C$2:$C$201,$AB1157)&amp;"","")))</f>
        <v/>
      </c>
      <c r="D1157" s="7">
        <f>IF($Z1157="C",INDEX(Contracts!$B$2:$B$151,$AB1157)&amp;"",IF($Z1157="A",INDEX(Fixed_Assets!$B$2:$B$201,$AB1157)&amp;"",IF($Z1157="F",INDEX(FTE_Allocation!$B$2:$B$201,$AB1157)&amp;"","")))</f>
        <v/>
      </c>
      <c r="E1157" s="7">
        <f>IF($Z1157="C",INDEX(Contracts!$P$2:$P$151,$AB1157)&amp;"",IF($Z1157="A",INDEX(Fixed_Assets!$K$2:$K$201,$AB1157)&amp;"",IF($Z1157="F",IF(INDEX(FTE_Allocation!$D$2:$D$201,$AB1157)="PROJECT",IFERROR(INDEX(Projects!$D:$D,MATCH(INDEX(FTE_Allocation!$E$2:$E$201,$AB1157),Projects!$A:$A,0))&amp;"","#PROJECT?"),INDEX(FTE_Allocation!$E$2:$E$201,$AB1157)&amp;""),"")))</f>
        <v/>
      </c>
      <c r="F1157" s="7">
        <f>IF($Z1157="C",INDEX(Contracts!$Q$2:$Q$151,$AB1157)&amp;"",IF($Z1157="A",INDEX(Fixed_Assets!$L$2:$L$201,$AB1157)&amp;"",IF($Z1157="F",INDEX(Workforce!$K$2:$K$151,MATCH(INDEX(FTE_Allocation!$A$2:$A$201,$AB1157),Workforce!$A$2:$A$151,0))&amp;"","")))</f>
        <v/>
      </c>
      <c r="G1157" s="7">
        <f>IF($Z1157="C",INDEX(Contracts!$F$2:$F$151,$AB1157)&amp;" / "&amp;INDEX(Contracts!$G$2:$G$151,$AB1157),IF($Z1157="A",INDEX(Fixed_Assets!$E$2:$E$201,$AB1157)&amp;"",IF($Z1157="F","Personnel "&amp;INDEX(FTE_Allocation!$A$2:$A$201,$AB1157)&amp;IF(INDEX(FTE_Allocation!$D$2:$D$201,$AB1157)="PROJECT"," ("&amp;INDEX(FTE_Allocation!$E$2:$E$201,$AB1157)&amp;")",""),"")))</f>
        <v/>
      </c>
      <c r="H1157" s="7">
        <f>IF($Z1157="C","CONTRACT",IF($Z1157="A","ASSET",IF($Z1157="F","WORKFORCE","")))</f>
        <v/>
      </c>
      <c r="I1157" s="7">
        <f>IF($Z1157="C",INDEX(Contracts!$L$2:$L$151,$AB1157)&amp;"",IF($Z1157="A",INDEX(Fixed_Assets!$I$2:$I$201,$AB1157)&amp;"",IF($Z1157="F",INDEX(Workforce!$G$2:$G$151,MATCH(INDEX(FTE_Allocation!$A$2:$A$201,$AB1157),Workforce!$A$2:$A$151,0))&amp;"","")))</f>
        <v/>
      </c>
      <c r="J1157" s="18">
        <f>IF($Z1157="","",IF(AND(DATE($AD1157,1,1)&gt;=$AE1157,DATE($AD1157,1,1)&lt;=$AF1157),ROUND($AG1157,2),0))</f>
        <v/>
      </c>
      <c r="K1157" s="18">
        <f>IF($Z1157="","",IF(AND(DATE($AD1157,2,1)&gt;=$AE1157,DATE($AD1157,2,1)&lt;=$AF1157),ROUND($AG1157,2),0))</f>
        <v/>
      </c>
      <c r="L1157" s="18">
        <f>IF($Z1157="","",IF(AND(DATE($AD1157,3,1)&gt;=$AE1157,DATE($AD1157,3,1)&lt;=$AF1157),ROUND($AG1157,2),0))</f>
        <v/>
      </c>
      <c r="M1157" s="18">
        <f>IF($Z1157="","",IF(AND(DATE($AD1157,4,1)&gt;=$AE1157,DATE($AD1157,4,1)&lt;=$AF1157),ROUND($AG1157,2),0))</f>
        <v/>
      </c>
      <c r="N1157" s="18">
        <f>IF($Z1157="","",IF(AND(DATE($AD1157,5,1)&gt;=$AE1157,DATE($AD1157,5,1)&lt;=$AF1157),ROUND($AG1157,2),0))</f>
        <v/>
      </c>
      <c r="O1157" s="18">
        <f>IF($Z1157="","",IF(AND(DATE($AD1157,6,1)&gt;=$AE1157,DATE($AD1157,6,1)&lt;=$AF1157),ROUND($AG1157,2),0))</f>
        <v/>
      </c>
      <c r="P1157" s="18">
        <f>IF($Z1157="","",IF(AND(DATE($AD1157,7,1)&gt;=$AE1157,DATE($AD1157,7,1)&lt;=$AF1157),ROUND($AG1157,2),0))</f>
        <v/>
      </c>
      <c r="Q1157" s="18">
        <f>IF($Z1157="","",IF(AND(DATE($AD1157,8,1)&gt;=$AE1157,DATE($AD1157,8,1)&lt;=$AF1157),ROUND($AG1157,2),0))</f>
        <v/>
      </c>
      <c r="R1157" s="18">
        <f>IF($Z1157="","",IF(AND(DATE($AD1157,9,1)&gt;=$AE1157,DATE($AD1157,9,1)&lt;=$AF1157),ROUND($AG1157,2),0))</f>
        <v/>
      </c>
      <c r="S1157" s="18">
        <f>IF($Z1157="","",IF(AND(DATE($AD1157,10,1)&gt;=$AE1157,DATE($AD1157,10,1)&lt;=$AF1157),ROUND($AG1157,2),0))</f>
        <v/>
      </c>
      <c r="T1157" s="18">
        <f>IF($Z1157="","",IF(AND(DATE($AD1157,11,1)&gt;=$AE1157,DATE($AD1157,11,1)&lt;=$AF1157),ROUND($AG1157,2),0))</f>
        <v/>
      </c>
      <c r="U1157" s="18">
        <f>IF($Z1157="","",IF(AND(DATE($AD1157,12,1)&gt;=$AE1157,DATE($AD1157,12,1)&lt;=$AF1157),ROUND($AG1157,2),0))</f>
        <v/>
      </c>
      <c r="V1157" s="7">
        <f>IF($Z1157="C","Generated from "&amp;INDEX(Contracts!$A$2:$A$151,$AB1157),IF($Z1157="A","Generated from "&amp;INDEX(Fixed_Assets!$A$2:$A$201,$AB1157),IF($Z1157="F","Generated from "&amp;INDEX(FTE_Allocation!$A$2:$A$201,$AB1157),"")))</f>
        <v/>
      </c>
      <c r="X1157" s="19">
        <f>IF($Z1157="","",SUM(J1157:U1157))</f>
        <v/>
      </c>
      <c r="Y1157" s="20">
        <f>ROW()-1</f>
        <v/>
      </c>
      <c r="Z1157" s="20">
        <f>IF($Y1157&lt;=Settings!$B$4*3,"C",IF($Y1157&lt;=(Settings!$B$4+Settings!$B$5)*3,"A",IF($Y1157&lt;=(Settings!$B$4+Settings!$B$5+Settings!$B$6)*3,"F","")))</f>
        <v/>
      </c>
      <c r="AA1157" s="20">
        <f>IF($Z1157="C",$Y1157,IF($Z1157="A",$Y1157-Settings!$B$4*3,IF($Z1157="F",$Y1157-(Settings!$B$4+Settings!$B$5)*3,"")))</f>
        <v/>
      </c>
      <c r="AB1157" s="20">
        <f>IF($Z1157="","",INT(($AA1157-1)/3)+1)</f>
        <v/>
      </c>
      <c r="AC1157" s="20">
        <f>IF($Z1157="","",MOD($AA1157-1,3)+1)</f>
        <v/>
      </c>
      <c r="AD1157" s="20">
        <f>IF($Z1157="","",Settings!$B$2+$AC1157-1)</f>
        <v/>
      </c>
      <c r="AE1157" s="21">
        <f>IF($Z1157="C",DATE(YEAR(INDEX(Contracts!$J$2:$J$151,$AB1157)),MONTH(INDEX(Contracts!$J$2:$J$151,$AB1157)),1),IF($Z1157="A",DATE(YEAR(INDEX(Fixed_Assets!$G$2:$G$201,$AB1157)),MONTH(INDEX(Fixed_Assets!$G$2:$G$201,$AB1157)),1),IF($Z1157="F",DATE(YEAR(MAX(N(INDEX(Workforce!$I$2:$I$151,MATCH(INDEX(FTE_Allocation!$A$2:$A$201,$AB1157),Workforce!$A$2:$A$151,0))),N(INDEX(FTE_Allocation!$I$2:$I$201,$AB1157)))),MONTH(MAX(N(INDEX(Workforce!$I$2:$I$151,MATCH(INDEX(FTE_Allocation!$A$2:$A$201,$AB1157),Workforce!$A$2:$A$151,0))),N(INDEX(FTE_Allocation!$I$2:$I$201,$AB1157)))),1),"")))</f>
        <v/>
      </c>
      <c r="AF1157" s="21">
        <f>IF($Z1157="C",IF(INDEX(Contracts!$I$2:$I$151,$AB1157)="PREPAID",EDATE(DATE(YEAR(INDEX(Contracts!$J$2:$J$151,$AB1157)),MONTH(INDEX(Contracts!$J$2:$J$151,$AB1157)),1),IF(INDEX(Contracts!$N$2:$N$151,$AB1157)="",12,INDEX(Contracts!$N$2:$N$151,$AB1157))-1),IF(INDEX(Contracts!$I$2:$I$151,$AB1157)="MONTHLY",IF(INDEX(Contracts!$K$2:$K$151,$AB1157)="",2958101,INDEX(Contracts!$K$2:$K$151,$AB1157)),0)),IF($Z1157="A",EDATE(DATE(YEAR(INDEX(Fixed_Assets!$G$2:$G$201,$AB1157)),MONTH(INDEX(Fixed_Assets!$G$2:$G$201,$AB1157)),1),INDEX(Fixed_Assets!$J$2:$J$201,$AB1157)-1),IF($Z1157="F",MIN(IF(INDEX(Workforce!$J$2:$J$151,MATCH(INDEX(FTE_Allocation!$A$2:$A$201,$AB1157),Workforce!$A$2:$A$151,0))="",2958101,INDEX(Workforce!$J$2:$J$151,MATCH(INDEX(FTE_Allocation!$A$2:$A$201,$AB1157),Workforce!$A$2:$A$151,0))),IF(INDEX(FTE_Allocation!$J$2:$J$201,$AB1157)="",2958101,INDEX(FTE_Allocation!$J$2:$J$201,$AB1157))),"")))</f>
        <v/>
      </c>
      <c r="AG1157" s="19">
        <f>IF($Z1157="C",IF(INDEX(Contracts!$I$2:$I$151,$AB1157)="PREPAID",INDEX(Contracts!$M$2:$M$151,$AB1157)/IF(INDEX(Contracts!$N$2:$N$151,$AB1157)="",12,INDEX(Contracts!$N$2:$N$151,$AB1157)),IF(INDEX(Contracts!$I$2:$I$151,$AB1157)="MONTHLY",INDEX(Contracts!$M$2:$M$151,$AB1157),0))*(1-N(INDEX(Contracts!$O$2:$O$151,$AB1157))),IF($Z1157="A",INDEX(Fixed_Assets!$H$2:$H$201,$AB1157)/INDEX(Fixed_Assets!$J$2:$J$201,$AB1157),IF($Z1157="F",INDEX(Workforce!$F$2:$F$151,MATCH(INDEX(FTE_Allocation!$A$2:$A$201,$AB1157),Workforce!$A$2:$A$151,0))*N(INDEX(FTE_Allocation!$F$2:$H$201,$AB1157,$AC1157)),"")))</f>
        <v/>
      </c>
    </row>
    <row r="1158">
      <c r="A1158" s="7">
        <f>IF($Z1158="","",$AD1158)</f>
        <v/>
      </c>
      <c r="B1158" s="7">
        <f>IF($Z1158="C",INDEX(Contracts!$D$2:$D$151,$AB1158)&amp;"",IF($Z1158="A",INDEX(Fixed_Assets!$C$2:$C$201,$AB1158)&amp;"",IF($Z1158="F",INDEX(Workforce!$B$2:$B$151,MATCH(INDEX(FTE_Allocation!$A$2:$A$201,$AB1158),Workforce!$A$2:$A$151,0))&amp;"","")))</f>
        <v/>
      </c>
      <c r="C1158" s="7">
        <f>IF($Z1158="C",INDEX(Contracts!$E$2:$E$151,$AB1158)&amp;"",IF($Z1158="A",INDEX(Fixed_Assets!$D$2:$D$201,$AB1158)&amp;"",IF($Z1158="F",INDEX(FTE_Allocation!$C$2:$C$201,$AB1158)&amp;"","")))</f>
        <v/>
      </c>
      <c r="D1158" s="7">
        <f>IF($Z1158="C",INDEX(Contracts!$B$2:$B$151,$AB1158)&amp;"",IF($Z1158="A",INDEX(Fixed_Assets!$B$2:$B$201,$AB1158)&amp;"",IF($Z1158="F",INDEX(FTE_Allocation!$B$2:$B$201,$AB1158)&amp;"","")))</f>
        <v/>
      </c>
      <c r="E1158" s="7">
        <f>IF($Z1158="C",INDEX(Contracts!$P$2:$P$151,$AB1158)&amp;"",IF($Z1158="A",INDEX(Fixed_Assets!$K$2:$K$201,$AB1158)&amp;"",IF($Z1158="F",IF(INDEX(FTE_Allocation!$D$2:$D$201,$AB1158)="PROJECT",IFERROR(INDEX(Projects!$D:$D,MATCH(INDEX(FTE_Allocation!$E$2:$E$201,$AB1158),Projects!$A:$A,0))&amp;"","#PROJECT?"),INDEX(FTE_Allocation!$E$2:$E$201,$AB1158)&amp;""),"")))</f>
        <v/>
      </c>
      <c r="F1158" s="7">
        <f>IF($Z1158="C",INDEX(Contracts!$Q$2:$Q$151,$AB1158)&amp;"",IF($Z1158="A",INDEX(Fixed_Assets!$L$2:$L$201,$AB1158)&amp;"",IF($Z1158="F",INDEX(Workforce!$K$2:$K$151,MATCH(INDEX(FTE_Allocation!$A$2:$A$201,$AB1158),Workforce!$A$2:$A$151,0))&amp;"","")))</f>
        <v/>
      </c>
      <c r="G1158" s="7">
        <f>IF($Z1158="C",INDEX(Contracts!$F$2:$F$151,$AB1158)&amp;" / "&amp;INDEX(Contracts!$G$2:$G$151,$AB1158),IF($Z1158="A",INDEX(Fixed_Assets!$E$2:$E$201,$AB1158)&amp;"",IF($Z1158="F","Personnel "&amp;INDEX(FTE_Allocation!$A$2:$A$201,$AB1158)&amp;IF(INDEX(FTE_Allocation!$D$2:$D$201,$AB1158)="PROJECT"," ("&amp;INDEX(FTE_Allocation!$E$2:$E$201,$AB1158)&amp;")",""),"")))</f>
        <v/>
      </c>
      <c r="H1158" s="7">
        <f>IF($Z1158="C","CONTRACT",IF($Z1158="A","ASSET",IF($Z1158="F","WORKFORCE","")))</f>
        <v/>
      </c>
      <c r="I1158" s="7">
        <f>IF($Z1158="C",INDEX(Contracts!$L$2:$L$151,$AB1158)&amp;"",IF($Z1158="A",INDEX(Fixed_Assets!$I$2:$I$201,$AB1158)&amp;"",IF($Z1158="F",INDEX(Workforce!$G$2:$G$151,MATCH(INDEX(FTE_Allocation!$A$2:$A$201,$AB1158),Workforce!$A$2:$A$151,0))&amp;"","")))</f>
        <v/>
      </c>
      <c r="J1158" s="18">
        <f>IF($Z1158="","",IF(AND(DATE($AD1158,1,1)&gt;=$AE1158,DATE($AD1158,1,1)&lt;=$AF1158),ROUND($AG1158,2),0))</f>
        <v/>
      </c>
      <c r="K1158" s="18">
        <f>IF($Z1158="","",IF(AND(DATE($AD1158,2,1)&gt;=$AE1158,DATE($AD1158,2,1)&lt;=$AF1158),ROUND($AG1158,2),0))</f>
        <v/>
      </c>
      <c r="L1158" s="18">
        <f>IF($Z1158="","",IF(AND(DATE($AD1158,3,1)&gt;=$AE1158,DATE($AD1158,3,1)&lt;=$AF1158),ROUND($AG1158,2),0))</f>
        <v/>
      </c>
      <c r="M1158" s="18">
        <f>IF($Z1158="","",IF(AND(DATE($AD1158,4,1)&gt;=$AE1158,DATE($AD1158,4,1)&lt;=$AF1158),ROUND($AG1158,2),0))</f>
        <v/>
      </c>
      <c r="N1158" s="18">
        <f>IF($Z1158="","",IF(AND(DATE($AD1158,5,1)&gt;=$AE1158,DATE($AD1158,5,1)&lt;=$AF1158),ROUND($AG1158,2),0))</f>
        <v/>
      </c>
      <c r="O1158" s="18">
        <f>IF($Z1158="","",IF(AND(DATE($AD1158,6,1)&gt;=$AE1158,DATE($AD1158,6,1)&lt;=$AF1158),ROUND($AG1158,2),0))</f>
        <v/>
      </c>
      <c r="P1158" s="18">
        <f>IF($Z1158="","",IF(AND(DATE($AD1158,7,1)&gt;=$AE1158,DATE($AD1158,7,1)&lt;=$AF1158),ROUND($AG1158,2),0))</f>
        <v/>
      </c>
      <c r="Q1158" s="18">
        <f>IF($Z1158="","",IF(AND(DATE($AD1158,8,1)&gt;=$AE1158,DATE($AD1158,8,1)&lt;=$AF1158),ROUND($AG1158,2),0))</f>
        <v/>
      </c>
      <c r="R1158" s="18">
        <f>IF($Z1158="","",IF(AND(DATE($AD1158,9,1)&gt;=$AE1158,DATE($AD1158,9,1)&lt;=$AF1158),ROUND($AG1158,2),0))</f>
        <v/>
      </c>
      <c r="S1158" s="18">
        <f>IF($Z1158="","",IF(AND(DATE($AD1158,10,1)&gt;=$AE1158,DATE($AD1158,10,1)&lt;=$AF1158),ROUND($AG1158,2),0))</f>
        <v/>
      </c>
      <c r="T1158" s="18">
        <f>IF($Z1158="","",IF(AND(DATE($AD1158,11,1)&gt;=$AE1158,DATE($AD1158,11,1)&lt;=$AF1158),ROUND($AG1158,2),0))</f>
        <v/>
      </c>
      <c r="U1158" s="18">
        <f>IF($Z1158="","",IF(AND(DATE($AD1158,12,1)&gt;=$AE1158,DATE($AD1158,12,1)&lt;=$AF1158),ROUND($AG1158,2),0))</f>
        <v/>
      </c>
      <c r="V1158" s="7">
        <f>IF($Z1158="C","Generated from "&amp;INDEX(Contracts!$A$2:$A$151,$AB1158),IF($Z1158="A","Generated from "&amp;INDEX(Fixed_Assets!$A$2:$A$201,$AB1158),IF($Z1158="F","Generated from "&amp;INDEX(FTE_Allocation!$A$2:$A$201,$AB1158),"")))</f>
        <v/>
      </c>
      <c r="X1158" s="19">
        <f>IF($Z1158="","",SUM(J1158:U1158))</f>
        <v/>
      </c>
      <c r="Y1158" s="20">
        <f>ROW()-1</f>
        <v/>
      </c>
      <c r="Z1158" s="20">
        <f>IF($Y1158&lt;=Settings!$B$4*3,"C",IF($Y1158&lt;=(Settings!$B$4+Settings!$B$5)*3,"A",IF($Y1158&lt;=(Settings!$B$4+Settings!$B$5+Settings!$B$6)*3,"F","")))</f>
        <v/>
      </c>
      <c r="AA1158" s="20">
        <f>IF($Z1158="C",$Y1158,IF($Z1158="A",$Y1158-Settings!$B$4*3,IF($Z1158="F",$Y1158-(Settings!$B$4+Settings!$B$5)*3,"")))</f>
        <v/>
      </c>
      <c r="AB1158" s="20">
        <f>IF($Z1158="","",INT(($AA1158-1)/3)+1)</f>
        <v/>
      </c>
      <c r="AC1158" s="20">
        <f>IF($Z1158="","",MOD($AA1158-1,3)+1)</f>
        <v/>
      </c>
      <c r="AD1158" s="20">
        <f>IF($Z1158="","",Settings!$B$2+$AC1158-1)</f>
        <v/>
      </c>
      <c r="AE1158" s="21">
        <f>IF($Z1158="C",DATE(YEAR(INDEX(Contracts!$J$2:$J$151,$AB1158)),MONTH(INDEX(Contracts!$J$2:$J$151,$AB1158)),1),IF($Z1158="A",DATE(YEAR(INDEX(Fixed_Assets!$G$2:$G$201,$AB1158)),MONTH(INDEX(Fixed_Assets!$G$2:$G$201,$AB1158)),1),IF($Z1158="F",DATE(YEAR(MAX(N(INDEX(Workforce!$I$2:$I$151,MATCH(INDEX(FTE_Allocation!$A$2:$A$201,$AB1158),Workforce!$A$2:$A$151,0))),N(INDEX(FTE_Allocation!$I$2:$I$201,$AB1158)))),MONTH(MAX(N(INDEX(Workforce!$I$2:$I$151,MATCH(INDEX(FTE_Allocation!$A$2:$A$201,$AB1158),Workforce!$A$2:$A$151,0))),N(INDEX(FTE_Allocation!$I$2:$I$201,$AB1158)))),1),"")))</f>
        <v/>
      </c>
      <c r="AF1158" s="21">
        <f>IF($Z1158="C",IF(INDEX(Contracts!$I$2:$I$151,$AB1158)="PREPAID",EDATE(DATE(YEAR(INDEX(Contracts!$J$2:$J$151,$AB1158)),MONTH(INDEX(Contracts!$J$2:$J$151,$AB1158)),1),IF(INDEX(Contracts!$N$2:$N$151,$AB1158)="",12,INDEX(Contracts!$N$2:$N$151,$AB1158))-1),IF(INDEX(Contracts!$I$2:$I$151,$AB1158)="MONTHLY",IF(INDEX(Contracts!$K$2:$K$151,$AB1158)="",2958101,INDEX(Contracts!$K$2:$K$151,$AB1158)),0)),IF($Z1158="A",EDATE(DATE(YEAR(INDEX(Fixed_Assets!$G$2:$G$201,$AB1158)),MONTH(INDEX(Fixed_Assets!$G$2:$G$201,$AB1158)),1),INDEX(Fixed_Assets!$J$2:$J$201,$AB1158)-1),IF($Z1158="F",MIN(IF(INDEX(Workforce!$J$2:$J$151,MATCH(INDEX(FTE_Allocation!$A$2:$A$201,$AB1158),Workforce!$A$2:$A$151,0))="",2958101,INDEX(Workforce!$J$2:$J$151,MATCH(INDEX(FTE_Allocation!$A$2:$A$201,$AB1158),Workforce!$A$2:$A$151,0))),IF(INDEX(FTE_Allocation!$J$2:$J$201,$AB1158)="",2958101,INDEX(FTE_Allocation!$J$2:$J$201,$AB1158))),"")))</f>
        <v/>
      </c>
      <c r="AG1158" s="19">
        <f>IF($Z1158="C",IF(INDEX(Contracts!$I$2:$I$151,$AB1158)="PREPAID",INDEX(Contracts!$M$2:$M$151,$AB1158)/IF(INDEX(Contracts!$N$2:$N$151,$AB1158)="",12,INDEX(Contracts!$N$2:$N$151,$AB1158)),IF(INDEX(Contracts!$I$2:$I$151,$AB1158)="MONTHLY",INDEX(Contracts!$M$2:$M$151,$AB1158),0))*(1-N(INDEX(Contracts!$O$2:$O$151,$AB1158))),IF($Z1158="A",INDEX(Fixed_Assets!$H$2:$H$201,$AB1158)/INDEX(Fixed_Assets!$J$2:$J$201,$AB1158),IF($Z1158="F",INDEX(Workforce!$F$2:$F$151,MATCH(INDEX(FTE_Allocation!$A$2:$A$201,$AB1158),Workforce!$A$2:$A$151,0))*N(INDEX(FTE_Allocation!$F$2:$H$201,$AB1158,$AC1158)),"")))</f>
        <v/>
      </c>
    </row>
    <row r="1159">
      <c r="A1159" s="7">
        <f>IF($Z1159="","",$AD1159)</f>
        <v/>
      </c>
      <c r="B1159" s="7">
        <f>IF($Z1159="C",INDEX(Contracts!$D$2:$D$151,$AB1159)&amp;"",IF($Z1159="A",INDEX(Fixed_Assets!$C$2:$C$201,$AB1159)&amp;"",IF($Z1159="F",INDEX(Workforce!$B$2:$B$151,MATCH(INDEX(FTE_Allocation!$A$2:$A$201,$AB1159),Workforce!$A$2:$A$151,0))&amp;"","")))</f>
        <v/>
      </c>
      <c r="C1159" s="7">
        <f>IF($Z1159="C",INDEX(Contracts!$E$2:$E$151,$AB1159)&amp;"",IF($Z1159="A",INDEX(Fixed_Assets!$D$2:$D$201,$AB1159)&amp;"",IF($Z1159="F",INDEX(FTE_Allocation!$C$2:$C$201,$AB1159)&amp;"","")))</f>
        <v/>
      </c>
      <c r="D1159" s="7">
        <f>IF($Z1159="C",INDEX(Contracts!$B$2:$B$151,$AB1159)&amp;"",IF($Z1159="A",INDEX(Fixed_Assets!$B$2:$B$201,$AB1159)&amp;"",IF($Z1159="F",INDEX(FTE_Allocation!$B$2:$B$201,$AB1159)&amp;"","")))</f>
        <v/>
      </c>
      <c r="E1159" s="7">
        <f>IF($Z1159="C",INDEX(Contracts!$P$2:$P$151,$AB1159)&amp;"",IF($Z1159="A",INDEX(Fixed_Assets!$K$2:$K$201,$AB1159)&amp;"",IF($Z1159="F",IF(INDEX(FTE_Allocation!$D$2:$D$201,$AB1159)="PROJECT",IFERROR(INDEX(Projects!$D:$D,MATCH(INDEX(FTE_Allocation!$E$2:$E$201,$AB1159),Projects!$A:$A,0))&amp;"","#PROJECT?"),INDEX(FTE_Allocation!$E$2:$E$201,$AB1159)&amp;""),"")))</f>
        <v/>
      </c>
      <c r="F1159" s="7">
        <f>IF($Z1159="C",INDEX(Contracts!$Q$2:$Q$151,$AB1159)&amp;"",IF($Z1159="A",INDEX(Fixed_Assets!$L$2:$L$201,$AB1159)&amp;"",IF($Z1159="F",INDEX(Workforce!$K$2:$K$151,MATCH(INDEX(FTE_Allocation!$A$2:$A$201,$AB1159),Workforce!$A$2:$A$151,0))&amp;"","")))</f>
        <v/>
      </c>
      <c r="G1159" s="7">
        <f>IF($Z1159="C",INDEX(Contracts!$F$2:$F$151,$AB1159)&amp;" / "&amp;INDEX(Contracts!$G$2:$G$151,$AB1159),IF($Z1159="A",INDEX(Fixed_Assets!$E$2:$E$201,$AB1159)&amp;"",IF($Z1159="F","Personnel "&amp;INDEX(FTE_Allocation!$A$2:$A$201,$AB1159)&amp;IF(INDEX(FTE_Allocation!$D$2:$D$201,$AB1159)="PROJECT"," ("&amp;INDEX(FTE_Allocation!$E$2:$E$201,$AB1159)&amp;")",""),"")))</f>
        <v/>
      </c>
      <c r="H1159" s="7">
        <f>IF($Z1159="C","CONTRACT",IF($Z1159="A","ASSET",IF($Z1159="F","WORKFORCE","")))</f>
        <v/>
      </c>
      <c r="I1159" s="7">
        <f>IF($Z1159="C",INDEX(Contracts!$L$2:$L$151,$AB1159)&amp;"",IF($Z1159="A",INDEX(Fixed_Assets!$I$2:$I$201,$AB1159)&amp;"",IF($Z1159="F",INDEX(Workforce!$G$2:$G$151,MATCH(INDEX(FTE_Allocation!$A$2:$A$201,$AB1159),Workforce!$A$2:$A$151,0))&amp;"","")))</f>
        <v/>
      </c>
      <c r="J1159" s="18">
        <f>IF($Z1159="","",IF(AND(DATE($AD1159,1,1)&gt;=$AE1159,DATE($AD1159,1,1)&lt;=$AF1159),ROUND($AG1159,2),0))</f>
        <v/>
      </c>
      <c r="K1159" s="18">
        <f>IF($Z1159="","",IF(AND(DATE($AD1159,2,1)&gt;=$AE1159,DATE($AD1159,2,1)&lt;=$AF1159),ROUND($AG1159,2),0))</f>
        <v/>
      </c>
      <c r="L1159" s="18">
        <f>IF($Z1159="","",IF(AND(DATE($AD1159,3,1)&gt;=$AE1159,DATE($AD1159,3,1)&lt;=$AF1159),ROUND($AG1159,2),0))</f>
        <v/>
      </c>
      <c r="M1159" s="18">
        <f>IF($Z1159="","",IF(AND(DATE($AD1159,4,1)&gt;=$AE1159,DATE($AD1159,4,1)&lt;=$AF1159),ROUND($AG1159,2),0))</f>
        <v/>
      </c>
      <c r="N1159" s="18">
        <f>IF($Z1159="","",IF(AND(DATE($AD1159,5,1)&gt;=$AE1159,DATE($AD1159,5,1)&lt;=$AF1159),ROUND($AG1159,2),0))</f>
        <v/>
      </c>
      <c r="O1159" s="18">
        <f>IF($Z1159="","",IF(AND(DATE($AD1159,6,1)&gt;=$AE1159,DATE($AD1159,6,1)&lt;=$AF1159),ROUND($AG1159,2),0))</f>
        <v/>
      </c>
      <c r="P1159" s="18">
        <f>IF($Z1159="","",IF(AND(DATE($AD1159,7,1)&gt;=$AE1159,DATE($AD1159,7,1)&lt;=$AF1159),ROUND($AG1159,2),0))</f>
        <v/>
      </c>
      <c r="Q1159" s="18">
        <f>IF($Z1159="","",IF(AND(DATE($AD1159,8,1)&gt;=$AE1159,DATE($AD1159,8,1)&lt;=$AF1159),ROUND($AG1159,2),0))</f>
        <v/>
      </c>
      <c r="R1159" s="18">
        <f>IF($Z1159="","",IF(AND(DATE($AD1159,9,1)&gt;=$AE1159,DATE($AD1159,9,1)&lt;=$AF1159),ROUND($AG1159,2),0))</f>
        <v/>
      </c>
      <c r="S1159" s="18">
        <f>IF($Z1159="","",IF(AND(DATE($AD1159,10,1)&gt;=$AE1159,DATE($AD1159,10,1)&lt;=$AF1159),ROUND($AG1159,2),0))</f>
        <v/>
      </c>
      <c r="T1159" s="18">
        <f>IF($Z1159="","",IF(AND(DATE($AD1159,11,1)&gt;=$AE1159,DATE($AD1159,11,1)&lt;=$AF1159),ROUND($AG1159,2),0))</f>
        <v/>
      </c>
      <c r="U1159" s="18">
        <f>IF($Z1159="","",IF(AND(DATE($AD1159,12,1)&gt;=$AE1159,DATE($AD1159,12,1)&lt;=$AF1159),ROUND($AG1159,2),0))</f>
        <v/>
      </c>
      <c r="V1159" s="7">
        <f>IF($Z1159="C","Generated from "&amp;INDEX(Contracts!$A$2:$A$151,$AB1159),IF($Z1159="A","Generated from "&amp;INDEX(Fixed_Assets!$A$2:$A$201,$AB1159),IF($Z1159="F","Generated from "&amp;INDEX(FTE_Allocation!$A$2:$A$201,$AB1159),"")))</f>
        <v/>
      </c>
      <c r="X1159" s="19">
        <f>IF($Z1159="","",SUM(J1159:U1159))</f>
        <v/>
      </c>
      <c r="Y1159" s="20">
        <f>ROW()-1</f>
        <v/>
      </c>
      <c r="Z1159" s="20">
        <f>IF($Y1159&lt;=Settings!$B$4*3,"C",IF($Y1159&lt;=(Settings!$B$4+Settings!$B$5)*3,"A",IF($Y1159&lt;=(Settings!$B$4+Settings!$B$5+Settings!$B$6)*3,"F","")))</f>
        <v/>
      </c>
      <c r="AA1159" s="20">
        <f>IF($Z1159="C",$Y1159,IF($Z1159="A",$Y1159-Settings!$B$4*3,IF($Z1159="F",$Y1159-(Settings!$B$4+Settings!$B$5)*3,"")))</f>
        <v/>
      </c>
      <c r="AB1159" s="20">
        <f>IF($Z1159="","",INT(($AA1159-1)/3)+1)</f>
        <v/>
      </c>
      <c r="AC1159" s="20">
        <f>IF($Z1159="","",MOD($AA1159-1,3)+1)</f>
        <v/>
      </c>
      <c r="AD1159" s="20">
        <f>IF($Z1159="","",Settings!$B$2+$AC1159-1)</f>
        <v/>
      </c>
      <c r="AE1159" s="21">
        <f>IF($Z1159="C",DATE(YEAR(INDEX(Contracts!$J$2:$J$151,$AB1159)),MONTH(INDEX(Contracts!$J$2:$J$151,$AB1159)),1),IF($Z1159="A",DATE(YEAR(INDEX(Fixed_Assets!$G$2:$G$201,$AB1159)),MONTH(INDEX(Fixed_Assets!$G$2:$G$201,$AB1159)),1),IF($Z1159="F",DATE(YEAR(MAX(N(INDEX(Workforce!$I$2:$I$151,MATCH(INDEX(FTE_Allocation!$A$2:$A$201,$AB1159),Workforce!$A$2:$A$151,0))),N(INDEX(FTE_Allocation!$I$2:$I$201,$AB1159)))),MONTH(MAX(N(INDEX(Workforce!$I$2:$I$151,MATCH(INDEX(FTE_Allocation!$A$2:$A$201,$AB1159),Workforce!$A$2:$A$151,0))),N(INDEX(FTE_Allocation!$I$2:$I$201,$AB1159)))),1),"")))</f>
        <v/>
      </c>
      <c r="AF1159" s="21">
        <f>IF($Z1159="C",IF(INDEX(Contracts!$I$2:$I$151,$AB1159)="PREPAID",EDATE(DATE(YEAR(INDEX(Contracts!$J$2:$J$151,$AB1159)),MONTH(INDEX(Contracts!$J$2:$J$151,$AB1159)),1),IF(INDEX(Contracts!$N$2:$N$151,$AB1159)="",12,INDEX(Contracts!$N$2:$N$151,$AB1159))-1),IF(INDEX(Contracts!$I$2:$I$151,$AB1159)="MONTHLY",IF(INDEX(Contracts!$K$2:$K$151,$AB1159)="",2958101,INDEX(Contracts!$K$2:$K$151,$AB1159)),0)),IF($Z1159="A",EDATE(DATE(YEAR(INDEX(Fixed_Assets!$G$2:$G$201,$AB1159)),MONTH(INDEX(Fixed_Assets!$G$2:$G$201,$AB1159)),1),INDEX(Fixed_Assets!$J$2:$J$201,$AB1159)-1),IF($Z1159="F",MIN(IF(INDEX(Workforce!$J$2:$J$151,MATCH(INDEX(FTE_Allocation!$A$2:$A$201,$AB1159),Workforce!$A$2:$A$151,0))="",2958101,INDEX(Workforce!$J$2:$J$151,MATCH(INDEX(FTE_Allocation!$A$2:$A$201,$AB1159),Workforce!$A$2:$A$151,0))),IF(INDEX(FTE_Allocation!$J$2:$J$201,$AB1159)="",2958101,INDEX(FTE_Allocation!$J$2:$J$201,$AB1159))),"")))</f>
        <v/>
      </c>
      <c r="AG1159" s="19">
        <f>IF($Z1159="C",IF(INDEX(Contracts!$I$2:$I$151,$AB1159)="PREPAID",INDEX(Contracts!$M$2:$M$151,$AB1159)/IF(INDEX(Contracts!$N$2:$N$151,$AB1159)="",12,INDEX(Contracts!$N$2:$N$151,$AB1159)),IF(INDEX(Contracts!$I$2:$I$151,$AB1159)="MONTHLY",INDEX(Contracts!$M$2:$M$151,$AB1159),0))*(1-N(INDEX(Contracts!$O$2:$O$151,$AB1159))),IF($Z1159="A",INDEX(Fixed_Assets!$H$2:$H$201,$AB1159)/INDEX(Fixed_Assets!$J$2:$J$201,$AB1159),IF($Z1159="F",INDEX(Workforce!$F$2:$F$151,MATCH(INDEX(FTE_Allocation!$A$2:$A$201,$AB1159),Workforce!$A$2:$A$151,0))*N(INDEX(FTE_Allocation!$F$2:$H$201,$AB1159,$AC1159)),"")))</f>
        <v/>
      </c>
    </row>
    <row r="1160">
      <c r="A1160" s="7">
        <f>IF($Z1160="","",$AD1160)</f>
        <v/>
      </c>
      <c r="B1160" s="7">
        <f>IF($Z1160="C",INDEX(Contracts!$D$2:$D$151,$AB1160)&amp;"",IF($Z1160="A",INDEX(Fixed_Assets!$C$2:$C$201,$AB1160)&amp;"",IF($Z1160="F",INDEX(Workforce!$B$2:$B$151,MATCH(INDEX(FTE_Allocation!$A$2:$A$201,$AB1160),Workforce!$A$2:$A$151,0))&amp;"","")))</f>
        <v/>
      </c>
      <c r="C1160" s="7">
        <f>IF($Z1160="C",INDEX(Contracts!$E$2:$E$151,$AB1160)&amp;"",IF($Z1160="A",INDEX(Fixed_Assets!$D$2:$D$201,$AB1160)&amp;"",IF($Z1160="F",INDEX(FTE_Allocation!$C$2:$C$201,$AB1160)&amp;"","")))</f>
        <v/>
      </c>
      <c r="D1160" s="7">
        <f>IF($Z1160="C",INDEX(Contracts!$B$2:$B$151,$AB1160)&amp;"",IF($Z1160="A",INDEX(Fixed_Assets!$B$2:$B$201,$AB1160)&amp;"",IF($Z1160="F",INDEX(FTE_Allocation!$B$2:$B$201,$AB1160)&amp;"","")))</f>
        <v/>
      </c>
      <c r="E1160" s="7">
        <f>IF($Z1160="C",INDEX(Contracts!$P$2:$P$151,$AB1160)&amp;"",IF($Z1160="A",INDEX(Fixed_Assets!$K$2:$K$201,$AB1160)&amp;"",IF($Z1160="F",IF(INDEX(FTE_Allocation!$D$2:$D$201,$AB1160)="PROJECT",IFERROR(INDEX(Projects!$D:$D,MATCH(INDEX(FTE_Allocation!$E$2:$E$201,$AB1160),Projects!$A:$A,0))&amp;"","#PROJECT?"),INDEX(FTE_Allocation!$E$2:$E$201,$AB1160)&amp;""),"")))</f>
        <v/>
      </c>
      <c r="F1160" s="7">
        <f>IF($Z1160="C",INDEX(Contracts!$Q$2:$Q$151,$AB1160)&amp;"",IF($Z1160="A",INDEX(Fixed_Assets!$L$2:$L$201,$AB1160)&amp;"",IF($Z1160="F",INDEX(Workforce!$K$2:$K$151,MATCH(INDEX(FTE_Allocation!$A$2:$A$201,$AB1160),Workforce!$A$2:$A$151,0))&amp;"","")))</f>
        <v/>
      </c>
      <c r="G1160" s="7">
        <f>IF($Z1160="C",INDEX(Contracts!$F$2:$F$151,$AB1160)&amp;" / "&amp;INDEX(Contracts!$G$2:$G$151,$AB1160),IF($Z1160="A",INDEX(Fixed_Assets!$E$2:$E$201,$AB1160)&amp;"",IF($Z1160="F","Personnel "&amp;INDEX(FTE_Allocation!$A$2:$A$201,$AB1160)&amp;IF(INDEX(FTE_Allocation!$D$2:$D$201,$AB1160)="PROJECT"," ("&amp;INDEX(FTE_Allocation!$E$2:$E$201,$AB1160)&amp;")",""),"")))</f>
        <v/>
      </c>
      <c r="H1160" s="7">
        <f>IF($Z1160="C","CONTRACT",IF($Z1160="A","ASSET",IF($Z1160="F","WORKFORCE","")))</f>
        <v/>
      </c>
      <c r="I1160" s="7">
        <f>IF($Z1160="C",INDEX(Contracts!$L$2:$L$151,$AB1160)&amp;"",IF($Z1160="A",INDEX(Fixed_Assets!$I$2:$I$201,$AB1160)&amp;"",IF($Z1160="F",INDEX(Workforce!$G$2:$G$151,MATCH(INDEX(FTE_Allocation!$A$2:$A$201,$AB1160),Workforce!$A$2:$A$151,0))&amp;"","")))</f>
        <v/>
      </c>
      <c r="J1160" s="18">
        <f>IF($Z1160="","",IF(AND(DATE($AD1160,1,1)&gt;=$AE1160,DATE($AD1160,1,1)&lt;=$AF1160),ROUND($AG1160,2),0))</f>
        <v/>
      </c>
      <c r="K1160" s="18">
        <f>IF($Z1160="","",IF(AND(DATE($AD1160,2,1)&gt;=$AE1160,DATE($AD1160,2,1)&lt;=$AF1160),ROUND($AG1160,2),0))</f>
        <v/>
      </c>
      <c r="L1160" s="18">
        <f>IF($Z1160="","",IF(AND(DATE($AD1160,3,1)&gt;=$AE1160,DATE($AD1160,3,1)&lt;=$AF1160),ROUND($AG1160,2),0))</f>
        <v/>
      </c>
      <c r="M1160" s="18">
        <f>IF($Z1160="","",IF(AND(DATE($AD1160,4,1)&gt;=$AE1160,DATE($AD1160,4,1)&lt;=$AF1160),ROUND($AG1160,2),0))</f>
        <v/>
      </c>
      <c r="N1160" s="18">
        <f>IF($Z1160="","",IF(AND(DATE($AD1160,5,1)&gt;=$AE1160,DATE($AD1160,5,1)&lt;=$AF1160),ROUND($AG1160,2),0))</f>
        <v/>
      </c>
      <c r="O1160" s="18">
        <f>IF($Z1160="","",IF(AND(DATE($AD1160,6,1)&gt;=$AE1160,DATE($AD1160,6,1)&lt;=$AF1160),ROUND($AG1160,2),0))</f>
        <v/>
      </c>
      <c r="P1160" s="18">
        <f>IF($Z1160="","",IF(AND(DATE($AD1160,7,1)&gt;=$AE1160,DATE($AD1160,7,1)&lt;=$AF1160),ROUND($AG1160,2),0))</f>
        <v/>
      </c>
      <c r="Q1160" s="18">
        <f>IF($Z1160="","",IF(AND(DATE($AD1160,8,1)&gt;=$AE1160,DATE($AD1160,8,1)&lt;=$AF1160),ROUND($AG1160,2),0))</f>
        <v/>
      </c>
      <c r="R1160" s="18">
        <f>IF($Z1160="","",IF(AND(DATE($AD1160,9,1)&gt;=$AE1160,DATE($AD1160,9,1)&lt;=$AF1160),ROUND($AG1160,2),0))</f>
        <v/>
      </c>
      <c r="S1160" s="18">
        <f>IF($Z1160="","",IF(AND(DATE($AD1160,10,1)&gt;=$AE1160,DATE($AD1160,10,1)&lt;=$AF1160),ROUND($AG1160,2),0))</f>
        <v/>
      </c>
      <c r="T1160" s="18">
        <f>IF($Z1160="","",IF(AND(DATE($AD1160,11,1)&gt;=$AE1160,DATE($AD1160,11,1)&lt;=$AF1160),ROUND($AG1160,2),0))</f>
        <v/>
      </c>
      <c r="U1160" s="18">
        <f>IF($Z1160="","",IF(AND(DATE($AD1160,12,1)&gt;=$AE1160,DATE($AD1160,12,1)&lt;=$AF1160),ROUND($AG1160,2),0))</f>
        <v/>
      </c>
      <c r="V1160" s="7">
        <f>IF($Z1160="C","Generated from "&amp;INDEX(Contracts!$A$2:$A$151,$AB1160),IF($Z1160="A","Generated from "&amp;INDEX(Fixed_Assets!$A$2:$A$201,$AB1160),IF($Z1160="F","Generated from "&amp;INDEX(FTE_Allocation!$A$2:$A$201,$AB1160),"")))</f>
        <v/>
      </c>
      <c r="X1160" s="19">
        <f>IF($Z1160="","",SUM(J1160:U1160))</f>
        <v/>
      </c>
      <c r="Y1160" s="20">
        <f>ROW()-1</f>
        <v/>
      </c>
      <c r="Z1160" s="20">
        <f>IF($Y1160&lt;=Settings!$B$4*3,"C",IF($Y1160&lt;=(Settings!$B$4+Settings!$B$5)*3,"A",IF($Y1160&lt;=(Settings!$B$4+Settings!$B$5+Settings!$B$6)*3,"F","")))</f>
        <v/>
      </c>
      <c r="AA1160" s="20">
        <f>IF($Z1160="C",$Y1160,IF($Z1160="A",$Y1160-Settings!$B$4*3,IF($Z1160="F",$Y1160-(Settings!$B$4+Settings!$B$5)*3,"")))</f>
        <v/>
      </c>
      <c r="AB1160" s="20">
        <f>IF($Z1160="","",INT(($AA1160-1)/3)+1)</f>
        <v/>
      </c>
      <c r="AC1160" s="20">
        <f>IF($Z1160="","",MOD($AA1160-1,3)+1)</f>
        <v/>
      </c>
      <c r="AD1160" s="20">
        <f>IF($Z1160="","",Settings!$B$2+$AC1160-1)</f>
        <v/>
      </c>
      <c r="AE1160" s="21">
        <f>IF($Z1160="C",DATE(YEAR(INDEX(Contracts!$J$2:$J$151,$AB1160)),MONTH(INDEX(Contracts!$J$2:$J$151,$AB1160)),1),IF($Z1160="A",DATE(YEAR(INDEX(Fixed_Assets!$G$2:$G$201,$AB1160)),MONTH(INDEX(Fixed_Assets!$G$2:$G$201,$AB1160)),1),IF($Z1160="F",DATE(YEAR(MAX(N(INDEX(Workforce!$I$2:$I$151,MATCH(INDEX(FTE_Allocation!$A$2:$A$201,$AB1160),Workforce!$A$2:$A$151,0))),N(INDEX(FTE_Allocation!$I$2:$I$201,$AB1160)))),MONTH(MAX(N(INDEX(Workforce!$I$2:$I$151,MATCH(INDEX(FTE_Allocation!$A$2:$A$201,$AB1160),Workforce!$A$2:$A$151,0))),N(INDEX(FTE_Allocation!$I$2:$I$201,$AB1160)))),1),"")))</f>
        <v/>
      </c>
      <c r="AF1160" s="21">
        <f>IF($Z1160="C",IF(INDEX(Contracts!$I$2:$I$151,$AB1160)="PREPAID",EDATE(DATE(YEAR(INDEX(Contracts!$J$2:$J$151,$AB1160)),MONTH(INDEX(Contracts!$J$2:$J$151,$AB1160)),1),IF(INDEX(Contracts!$N$2:$N$151,$AB1160)="",12,INDEX(Contracts!$N$2:$N$151,$AB1160))-1),IF(INDEX(Contracts!$I$2:$I$151,$AB1160)="MONTHLY",IF(INDEX(Contracts!$K$2:$K$151,$AB1160)="",2958101,INDEX(Contracts!$K$2:$K$151,$AB1160)),0)),IF($Z1160="A",EDATE(DATE(YEAR(INDEX(Fixed_Assets!$G$2:$G$201,$AB1160)),MONTH(INDEX(Fixed_Assets!$G$2:$G$201,$AB1160)),1),INDEX(Fixed_Assets!$J$2:$J$201,$AB1160)-1),IF($Z1160="F",MIN(IF(INDEX(Workforce!$J$2:$J$151,MATCH(INDEX(FTE_Allocation!$A$2:$A$201,$AB1160),Workforce!$A$2:$A$151,0))="",2958101,INDEX(Workforce!$J$2:$J$151,MATCH(INDEX(FTE_Allocation!$A$2:$A$201,$AB1160),Workforce!$A$2:$A$151,0))),IF(INDEX(FTE_Allocation!$J$2:$J$201,$AB1160)="",2958101,INDEX(FTE_Allocation!$J$2:$J$201,$AB1160))),"")))</f>
        <v/>
      </c>
      <c r="AG1160" s="19">
        <f>IF($Z1160="C",IF(INDEX(Contracts!$I$2:$I$151,$AB1160)="PREPAID",INDEX(Contracts!$M$2:$M$151,$AB1160)/IF(INDEX(Contracts!$N$2:$N$151,$AB1160)="",12,INDEX(Contracts!$N$2:$N$151,$AB1160)),IF(INDEX(Contracts!$I$2:$I$151,$AB1160)="MONTHLY",INDEX(Contracts!$M$2:$M$151,$AB1160),0))*(1-N(INDEX(Contracts!$O$2:$O$151,$AB1160))),IF($Z1160="A",INDEX(Fixed_Assets!$H$2:$H$201,$AB1160)/INDEX(Fixed_Assets!$J$2:$J$201,$AB1160),IF($Z1160="F",INDEX(Workforce!$F$2:$F$151,MATCH(INDEX(FTE_Allocation!$A$2:$A$201,$AB1160),Workforce!$A$2:$A$151,0))*N(INDEX(FTE_Allocation!$F$2:$H$201,$AB1160,$AC1160)),"")))</f>
        <v/>
      </c>
    </row>
    <row r="1161">
      <c r="A1161" s="7">
        <f>IF($Z1161="","",$AD1161)</f>
        <v/>
      </c>
      <c r="B1161" s="7">
        <f>IF($Z1161="C",INDEX(Contracts!$D$2:$D$151,$AB1161)&amp;"",IF($Z1161="A",INDEX(Fixed_Assets!$C$2:$C$201,$AB1161)&amp;"",IF($Z1161="F",INDEX(Workforce!$B$2:$B$151,MATCH(INDEX(FTE_Allocation!$A$2:$A$201,$AB1161),Workforce!$A$2:$A$151,0))&amp;"","")))</f>
        <v/>
      </c>
      <c r="C1161" s="7">
        <f>IF($Z1161="C",INDEX(Contracts!$E$2:$E$151,$AB1161)&amp;"",IF($Z1161="A",INDEX(Fixed_Assets!$D$2:$D$201,$AB1161)&amp;"",IF($Z1161="F",INDEX(FTE_Allocation!$C$2:$C$201,$AB1161)&amp;"","")))</f>
        <v/>
      </c>
      <c r="D1161" s="7">
        <f>IF($Z1161="C",INDEX(Contracts!$B$2:$B$151,$AB1161)&amp;"",IF($Z1161="A",INDEX(Fixed_Assets!$B$2:$B$201,$AB1161)&amp;"",IF($Z1161="F",INDEX(FTE_Allocation!$B$2:$B$201,$AB1161)&amp;"","")))</f>
        <v/>
      </c>
      <c r="E1161" s="7">
        <f>IF($Z1161="C",INDEX(Contracts!$P$2:$P$151,$AB1161)&amp;"",IF($Z1161="A",INDEX(Fixed_Assets!$K$2:$K$201,$AB1161)&amp;"",IF($Z1161="F",IF(INDEX(FTE_Allocation!$D$2:$D$201,$AB1161)="PROJECT",IFERROR(INDEX(Projects!$D:$D,MATCH(INDEX(FTE_Allocation!$E$2:$E$201,$AB1161),Projects!$A:$A,0))&amp;"","#PROJECT?"),INDEX(FTE_Allocation!$E$2:$E$201,$AB1161)&amp;""),"")))</f>
        <v/>
      </c>
      <c r="F1161" s="7">
        <f>IF($Z1161="C",INDEX(Contracts!$Q$2:$Q$151,$AB1161)&amp;"",IF($Z1161="A",INDEX(Fixed_Assets!$L$2:$L$201,$AB1161)&amp;"",IF($Z1161="F",INDEX(Workforce!$K$2:$K$151,MATCH(INDEX(FTE_Allocation!$A$2:$A$201,$AB1161),Workforce!$A$2:$A$151,0))&amp;"","")))</f>
        <v/>
      </c>
      <c r="G1161" s="7">
        <f>IF($Z1161="C",INDEX(Contracts!$F$2:$F$151,$AB1161)&amp;" / "&amp;INDEX(Contracts!$G$2:$G$151,$AB1161),IF($Z1161="A",INDEX(Fixed_Assets!$E$2:$E$201,$AB1161)&amp;"",IF($Z1161="F","Personnel "&amp;INDEX(FTE_Allocation!$A$2:$A$201,$AB1161)&amp;IF(INDEX(FTE_Allocation!$D$2:$D$201,$AB1161)="PROJECT"," ("&amp;INDEX(FTE_Allocation!$E$2:$E$201,$AB1161)&amp;")",""),"")))</f>
        <v/>
      </c>
      <c r="H1161" s="7">
        <f>IF($Z1161="C","CONTRACT",IF($Z1161="A","ASSET",IF($Z1161="F","WORKFORCE","")))</f>
        <v/>
      </c>
      <c r="I1161" s="7">
        <f>IF($Z1161="C",INDEX(Contracts!$L$2:$L$151,$AB1161)&amp;"",IF($Z1161="A",INDEX(Fixed_Assets!$I$2:$I$201,$AB1161)&amp;"",IF($Z1161="F",INDEX(Workforce!$G$2:$G$151,MATCH(INDEX(FTE_Allocation!$A$2:$A$201,$AB1161),Workforce!$A$2:$A$151,0))&amp;"","")))</f>
        <v/>
      </c>
      <c r="J1161" s="18">
        <f>IF($Z1161="","",IF(AND(DATE($AD1161,1,1)&gt;=$AE1161,DATE($AD1161,1,1)&lt;=$AF1161),ROUND($AG1161,2),0))</f>
        <v/>
      </c>
      <c r="K1161" s="18">
        <f>IF($Z1161="","",IF(AND(DATE($AD1161,2,1)&gt;=$AE1161,DATE($AD1161,2,1)&lt;=$AF1161),ROUND($AG1161,2),0))</f>
        <v/>
      </c>
      <c r="L1161" s="18">
        <f>IF($Z1161="","",IF(AND(DATE($AD1161,3,1)&gt;=$AE1161,DATE($AD1161,3,1)&lt;=$AF1161),ROUND($AG1161,2),0))</f>
        <v/>
      </c>
      <c r="M1161" s="18">
        <f>IF($Z1161="","",IF(AND(DATE($AD1161,4,1)&gt;=$AE1161,DATE($AD1161,4,1)&lt;=$AF1161),ROUND($AG1161,2),0))</f>
        <v/>
      </c>
      <c r="N1161" s="18">
        <f>IF($Z1161="","",IF(AND(DATE($AD1161,5,1)&gt;=$AE1161,DATE($AD1161,5,1)&lt;=$AF1161),ROUND($AG1161,2),0))</f>
        <v/>
      </c>
      <c r="O1161" s="18">
        <f>IF($Z1161="","",IF(AND(DATE($AD1161,6,1)&gt;=$AE1161,DATE($AD1161,6,1)&lt;=$AF1161),ROUND($AG1161,2),0))</f>
        <v/>
      </c>
      <c r="P1161" s="18">
        <f>IF($Z1161="","",IF(AND(DATE($AD1161,7,1)&gt;=$AE1161,DATE($AD1161,7,1)&lt;=$AF1161),ROUND($AG1161,2),0))</f>
        <v/>
      </c>
      <c r="Q1161" s="18">
        <f>IF($Z1161="","",IF(AND(DATE($AD1161,8,1)&gt;=$AE1161,DATE($AD1161,8,1)&lt;=$AF1161),ROUND($AG1161,2),0))</f>
        <v/>
      </c>
      <c r="R1161" s="18">
        <f>IF($Z1161="","",IF(AND(DATE($AD1161,9,1)&gt;=$AE1161,DATE($AD1161,9,1)&lt;=$AF1161),ROUND($AG1161,2),0))</f>
        <v/>
      </c>
      <c r="S1161" s="18">
        <f>IF($Z1161="","",IF(AND(DATE($AD1161,10,1)&gt;=$AE1161,DATE($AD1161,10,1)&lt;=$AF1161),ROUND($AG1161,2),0))</f>
        <v/>
      </c>
      <c r="T1161" s="18">
        <f>IF($Z1161="","",IF(AND(DATE($AD1161,11,1)&gt;=$AE1161,DATE($AD1161,11,1)&lt;=$AF1161),ROUND($AG1161,2),0))</f>
        <v/>
      </c>
      <c r="U1161" s="18">
        <f>IF($Z1161="","",IF(AND(DATE($AD1161,12,1)&gt;=$AE1161,DATE($AD1161,12,1)&lt;=$AF1161),ROUND($AG1161,2),0))</f>
        <v/>
      </c>
      <c r="V1161" s="7">
        <f>IF($Z1161="C","Generated from "&amp;INDEX(Contracts!$A$2:$A$151,$AB1161),IF($Z1161="A","Generated from "&amp;INDEX(Fixed_Assets!$A$2:$A$201,$AB1161),IF($Z1161="F","Generated from "&amp;INDEX(FTE_Allocation!$A$2:$A$201,$AB1161),"")))</f>
        <v/>
      </c>
      <c r="X1161" s="19">
        <f>IF($Z1161="","",SUM(J1161:U1161))</f>
        <v/>
      </c>
      <c r="Y1161" s="20">
        <f>ROW()-1</f>
        <v/>
      </c>
      <c r="Z1161" s="20">
        <f>IF($Y1161&lt;=Settings!$B$4*3,"C",IF($Y1161&lt;=(Settings!$B$4+Settings!$B$5)*3,"A",IF($Y1161&lt;=(Settings!$B$4+Settings!$B$5+Settings!$B$6)*3,"F","")))</f>
        <v/>
      </c>
      <c r="AA1161" s="20">
        <f>IF($Z1161="C",$Y1161,IF($Z1161="A",$Y1161-Settings!$B$4*3,IF($Z1161="F",$Y1161-(Settings!$B$4+Settings!$B$5)*3,"")))</f>
        <v/>
      </c>
      <c r="AB1161" s="20">
        <f>IF($Z1161="","",INT(($AA1161-1)/3)+1)</f>
        <v/>
      </c>
      <c r="AC1161" s="20">
        <f>IF($Z1161="","",MOD($AA1161-1,3)+1)</f>
        <v/>
      </c>
      <c r="AD1161" s="20">
        <f>IF($Z1161="","",Settings!$B$2+$AC1161-1)</f>
        <v/>
      </c>
      <c r="AE1161" s="21">
        <f>IF($Z1161="C",DATE(YEAR(INDEX(Contracts!$J$2:$J$151,$AB1161)),MONTH(INDEX(Contracts!$J$2:$J$151,$AB1161)),1),IF($Z1161="A",DATE(YEAR(INDEX(Fixed_Assets!$G$2:$G$201,$AB1161)),MONTH(INDEX(Fixed_Assets!$G$2:$G$201,$AB1161)),1),IF($Z1161="F",DATE(YEAR(MAX(N(INDEX(Workforce!$I$2:$I$151,MATCH(INDEX(FTE_Allocation!$A$2:$A$201,$AB1161),Workforce!$A$2:$A$151,0))),N(INDEX(FTE_Allocation!$I$2:$I$201,$AB1161)))),MONTH(MAX(N(INDEX(Workforce!$I$2:$I$151,MATCH(INDEX(FTE_Allocation!$A$2:$A$201,$AB1161),Workforce!$A$2:$A$151,0))),N(INDEX(FTE_Allocation!$I$2:$I$201,$AB1161)))),1),"")))</f>
        <v/>
      </c>
      <c r="AF1161" s="21">
        <f>IF($Z1161="C",IF(INDEX(Contracts!$I$2:$I$151,$AB1161)="PREPAID",EDATE(DATE(YEAR(INDEX(Contracts!$J$2:$J$151,$AB1161)),MONTH(INDEX(Contracts!$J$2:$J$151,$AB1161)),1),IF(INDEX(Contracts!$N$2:$N$151,$AB1161)="",12,INDEX(Contracts!$N$2:$N$151,$AB1161))-1),IF(INDEX(Contracts!$I$2:$I$151,$AB1161)="MONTHLY",IF(INDEX(Contracts!$K$2:$K$151,$AB1161)="",2958101,INDEX(Contracts!$K$2:$K$151,$AB1161)),0)),IF($Z1161="A",EDATE(DATE(YEAR(INDEX(Fixed_Assets!$G$2:$G$201,$AB1161)),MONTH(INDEX(Fixed_Assets!$G$2:$G$201,$AB1161)),1),INDEX(Fixed_Assets!$J$2:$J$201,$AB1161)-1),IF($Z1161="F",MIN(IF(INDEX(Workforce!$J$2:$J$151,MATCH(INDEX(FTE_Allocation!$A$2:$A$201,$AB1161),Workforce!$A$2:$A$151,0))="",2958101,INDEX(Workforce!$J$2:$J$151,MATCH(INDEX(FTE_Allocation!$A$2:$A$201,$AB1161),Workforce!$A$2:$A$151,0))),IF(INDEX(FTE_Allocation!$J$2:$J$201,$AB1161)="",2958101,INDEX(FTE_Allocation!$J$2:$J$201,$AB1161))),"")))</f>
        <v/>
      </c>
      <c r="AG1161" s="19">
        <f>IF($Z1161="C",IF(INDEX(Contracts!$I$2:$I$151,$AB1161)="PREPAID",INDEX(Contracts!$M$2:$M$151,$AB1161)/IF(INDEX(Contracts!$N$2:$N$151,$AB1161)="",12,INDEX(Contracts!$N$2:$N$151,$AB1161)),IF(INDEX(Contracts!$I$2:$I$151,$AB1161)="MONTHLY",INDEX(Contracts!$M$2:$M$151,$AB1161),0))*(1-N(INDEX(Contracts!$O$2:$O$151,$AB1161))),IF($Z1161="A",INDEX(Fixed_Assets!$H$2:$H$201,$AB1161)/INDEX(Fixed_Assets!$J$2:$J$201,$AB1161),IF($Z1161="F",INDEX(Workforce!$F$2:$F$151,MATCH(INDEX(FTE_Allocation!$A$2:$A$201,$AB1161),Workforce!$A$2:$A$151,0))*N(INDEX(FTE_Allocation!$F$2:$H$201,$AB1161,$AC1161)),"")))</f>
        <v/>
      </c>
    </row>
    <row r="1162">
      <c r="A1162" s="7">
        <f>IF($Z1162="","",$AD1162)</f>
        <v/>
      </c>
      <c r="B1162" s="7">
        <f>IF($Z1162="C",INDEX(Contracts!$D$2:$D$151,$AB1162)&amp;"",IF($Z1162="A",INDEX(Fixed_Assets!$C$2:$C$201,$AB1162)&amp;"",IF($Z1162="F",INDEX(Workforce!$B$2:$B$151,MATCH(INDEX(FTE_Allocation!$A$2:$A$201,$AB1162),Workforce!$A$2:$A$151,0))&amp;"","")))</f>
        <v/>
      </c>
      <c r="C1162" s="7">
        <f>IF($Z1162="C",INDEX(Contracts!$E$2:$E$151,$AB1162)&amp;"",IF($Z1162="A",INDEX(Fixed_Assets!$D$2:$D$201,$AB1162)&amp;"",IF($Z1162="F",INDEX(FTE_Allocation!$C$2:$C$201,$AB1162)&amp;"","")))</f>
        <v/>
      </c>
      <c r="D1162" s="7">
        <f>IF($Z1162="C",INDEX(Contracts!$B$2:$B$151,$AB1162)&amp;"",IF($Z1162="A",INDEX(Fixed_Assets!$B$2:$B$201,$AB1162)&amp;"",IF($Z1162="F",INDEX(FTE_Allocation!$B$2:$B$201,$AB1162)&amp;"","")))</f>
        <v/>
      </c>
      <c r="E1162" s="7">
        <f>IF($Z1162="C",INDEX(Contracts!$P$2:$P$151,$AB1162)&amp;"",IF($Z1162="A",INDEX(Fixed_Assets!$K$2:$K$201,$AB1162)&amp;"",IF($Z1162="F",IF(INDEX(FTE_Allocation!$D$2:$D$201,$AB1162)="PROJECT",IFERROR(INDEX(Projects!$D:$D,MATCH(INDEX(FTE_Allocation!$E$2:$E$201,$AB1162),Projects!$A:$A,0))&amp;"","#PROJECT?"),INDEX(FTE_Allocation!$E$2:$E$201,$AB1162)&amp;""),"")))</f>
        <v/>
      </c>
      <c r="F1162" s="7">
        <f>IF($Z1162="C",INDEX(Contracts!$Q$2:$Q$151,$AB1162)&amp;"",IF($Z1162="A",INDEX(Fixed_Assets!$L$2:$L$201,$AB1162)&amp;"",IF($Z1162="F",INDEX(Workforce!$K$2:$K$151,MATCH(INDEX(FTE_Allocation!$A$2:$A$201,$AB1162),Workforce!$A$2:$A$151,0))&amp;"","")))</f>
        <v/>
      </c>
      <c r="G1162" s="7">
        <f>IF($Z1162="C",INDEX(Contracts!$F$2:$F$151,$AB1162)&amp;" / "&amp;INDEX(Contracts!$G$2:$G$151,$AB1162),IF($Z1162="A",INDEX(Fixed_Assets!$E$2:$E$201,$AB1162)&amp;"",IF($Z1162="F","Personnel "&amp;INDEX(FTE_Allocation!$A$2:$A$201,$AB1162)&amp;IF(INDEX(FTE_Allocation!$D$2:$D$201,$AB1162)="PROJECT"," ("&amp;INDEX(FTE_Allocation!$E$2:$E$201,$AB1162)&amp;")",""),"")))</f>
        <v/>
      </c>
      <c r="H1162" s="7">
        <f>IF($Z1162="C","CONTRACT",IF($Z1162="A","ASSET",IF($Z1162="F","WORKFORCE","")))</f>
        <v/>
      </c>
      <c r="I1162" s="7">
        <f>IF($Z1162="C",INDEX(Contracts!$L$2:$L$151,$AB1162)&amp;"",IF($Z1162="A",INDEX(Fixed_Assets!$I$2:$I$201,$AB1162)&amp;"",IF($Z1162="F",INDEX(Workforce!$G$2:$G$151,MATCH(INDEX(FTE_Allocation!$A$2:$A$201,$AB1162),Workforce!$A$2:$A$151,0))&amp;"","")))</f>
        <v/>
      </c>
      <c r="J1162" s="18">
        <f>IF($Z1162="","",IF(AND(DATE($AD1162,1,1)&gt;=$AE1162,DATE($AD1162,1,1)&lt;=$AF1162),ROUND($AG1162,2),0))</f>
        <v/>
      </c>
      <c r="K1162" s="18">
        <f>IF($Z1162="","",IF(AND(DATE($AD1162,2,1)&gt;=$AE1162,DATE($AD1162,2,1)&lt;=$AF1162),ROUND($AG1162,2),0))</f>
        <v/>
      </c>
      <c r="L1162" s="18">
        <f>IF($Z1162="","",IF(AND(DATE($AD1162,3,1)&gt;=$AE1162,DATE($AD1162,3,1)&lt;=$AF1162),ROUND($AG1162,2),0))</f>
        <v/>
      </c>
      <c r="M1162" s="18">
        <f>IF($Z1162="","",IF(AND(DATE($AD1162,4,1)&gt;=$AE1162,DATE($AD1162,4,1)&lt;=$AF1162),ROUND($AG1162,2),0))</f>
        <v/>
      </c>
      <c r="N1162" s="18">
        <f>IF($Z1162="","",IF(AND(DATE($AD1162,5,1)&gt;=$AE1162,DATE($AD1162,5,1)&lt;=$AF1162),ROUND($AG1162,2),0))</f>
        <v/>
      </c>
      <c r="O1162" s="18">
        <f>IF($Z1162="","",IF(AND(DATE($AD1162,6,1)&gt;=$AE1162,DATE($AD1162,6,1)&lt;=$AF1162),ROUND($AG1162,2),0))</f>
        <v/>
      </c>
      <c r="P1162" s="18">
        <f>IF($Z1162="","",IF(AND(DATE($AD1162,7,1)&gt;=$AE1162,DATE($AD1162,7,1)&lt;=$AF1162),ROUND($AG1162,2),0))</f>
        <v/>
      </c>
      <c r="Q1162" s="18">
        <f>IF($Z1162="","",IF(AND(DATE($AD1162,8,1)&gt;=$AE1162,DATE($AD1162,8,1)&lt;=$AF1162),ROUND($AG1162,2),0))</f>
        <v/>
      </c>
      <c r="R1162" s="18">
        <f>IF($Z1162="","",IF(AND(DATE($AD1162,9,1)&gt;=$AE1162,DATE($AD1162,9,1)&lt;=$AF1162),ROUND($AG1162,2),0))</f>
        <v/>
      </c>
      <c r="S1162" s="18">
        <f>IF($Z1162="","",IF(AND(DATE($AD1162,10,1)&gt;=$AE1162,DATE($AD1162,10,1)&lt;=$AF1162),ROUND($AG1162,2),0))</f>
        <v/>
      </c>
      <c r="T1162" s="18">
        <f>IF($Z1162="","",IF(AND(DATE($AD1162,11,1)&gt;=$AE1162,DATE($AD1162,11,1)&lt;=$AF1162),ROUND($AG1162,2),0))</f>
        <v/>
      </c>
      <c r="U1162" s="18">
        <f>IF($Z1162="","",IF(AND(DATE($AD1162,12,1)&gt;=$AE1162,DATE($AD1162,12,1)&lt;=$AF1162),ROUND($AG1162,2),0))</f>
        <v/>
      </c>
      <c r="V1162" s="7">
        <f>IF($Z1162="C","Generated from "&amp;INDEX(Contracts!$A$2:$A$151,$AB1162),IF($Z1162="A","Generated from "&amp;INDEX(Fixed_Assets!$A$2:$A$201,$AB1162),IF($Z1162="F","Generated from "&amp;INDEX(FTE_Allocation!$A$2:$A$201,$AB1162),"")))</f>
        <v/>
      </c>
      <c r="X1162" s="19">
        <f>IF($Z1162="","",SUM(J1162:U1162))</f>
        <v/>
      </c>
      <c r="Y1162" s="20">
        <f>ROW()-1</f>
        <v/>
      </c>
      <c r="Z1162" s="20">
        <f>IF($Y1162&lt;=Settings!$B$4*3,"C",IF($Y1162&lt;=(Settings!$B$4+Settings!$B$5)*3,"A",IF($Y1162&lt;=(Settings!$B$4+Settings!$B$5+Settings!$B$6)*3,"F","")))</f>
        <v/>
      </c>
      <c r="AA1162" s="20">
        <f>IF($Z1162="C",$Y1162,IF($Z1162="A",$Y1162-Settings!$B$4*3,IF($Z1162="F",$Y1162-(Settings!$B$4+Settings!$B$5)*3,"")))</f>
        <v/>
      </c>
      <c r="AB1162" s="20">
        <f>IF($Z1162="","",INT(($AA1162-1)/3)+1)</f>
        <v/>
      </c>
      <c r="AC1162" s="20">
        <f>IF($Z1162="","",MOD($AA1162-1,3)+1)</f>
        <v/>
      </c>
      <c r="AD1162" s="20">
        <f>IF($Z1162="","",Settings!$B$2+$AC1162-1)</f>
        <v/>
      </c>
      <c r="AE1162" s="21">
        <f>IF($Z1162="C",DATE(YEAR(INDEX(Contracts!$J$2:$J$151,$AB1162)),MONTH(INDEX(Contracts!$J$2:$J$151,$AB1162)),1),IF($Z1162="A",DATE(YEAR(INDEX(Fixed_Assets!$G$2:$G$201,$AB1162)),MONTH(INDEX(Fixed_Assets!$G$2:$G$201,$AB1162)),1),IF($Z1162="F",DATE(YEAR(MAX(N(INDEX(Workforce!$I$2:$I$151,MATCH(INDEX(FTE_Allocation!$A$2:$A$201,$AB1162),Workforce!$A$2:$A$151,0))),N(INDEX(FTE_Allocation!$I$2:$I$201,$AB1162)))),MONTH(MAX(N(INDEX(Workforce!$I$2:$I$151,MATCH(INDEX(FTE_Allocation!$A$2:$A$201,$AB1162),Workforce!$A$2:$A$151,0))),N(INDEX(FTE_Allocation!$I$2:$I$201,$AB1162)))),1),"")))</f>
        <v/>
      </c>
      <c r="AF1162" s="21">
        <f>IF($Z1162="C",IF(INDEX(Contracts!$I$2:$I$151,$AB1162)="PREPAID",EDATE(DATE(YEAR(INDEX(Contracts!$J$2:$J$151,$AB1162)),MONTH(INDEX(Contracts!$J$2:$J$151,$AB1162)),1),IF(INDEX(Contracts!$N$2:$N$151,$AB1162)="",12,INDEX(Contracts!$N$2:$N$151,$AB1162))-1),IF(INDEX(Contracts!$I$2:$I$151,$AB1162)="MONTHLY",IF(INDEX(Contracts!$K$2:$K$151,$AB1162)="",2958101,INDEX(Contracts!$K$2:$K$151,$AB1162)),0)),IF($Z1162="A",EDATE(DATE(YEAR(INDEX(Fixed_Assets!$G$2:$G$201,$AB1162)),MONTH(INDEX(Fixed_Assets!$G$2:$G$201,$AB1162)),1),INDEX(Fixed_Assets!$J$2:$J$201,$AB1162)-1),IF($Z1162="F",MIN(IF(INDEX(Workforce!$J$2:$J$151,MATCH(INDEX(FTE_Allocation!$A$2:$A$201,$AB1162),Workforce!$A$2:$A$151,0))="",2958101,INDEX(Workforce!$J$2:$J$151,MATCH(INDEX(FTE_Allocation!$A$2:$A$201,$AB1162),Workforce!$A$2:$A$151,0))),IF(INDEX(FTE_Allocation!$J$2:$J$201,$AB1162)="",2958101,INDEX(FTE_Allocation!$J$2:$J$201,$AB1162))),"")))</f>
        <v/>
      </c>
      <c r="AG1162" s="19">
        <f>IF($Z1162="C",IF(INDEX(Contracts!$I$2:$I$151,$AB1162)="PREPAID",INDEX(Contracts!$M$2:$M$151,$AB1162)/IF(INDEX(Contracts!$N$2:$N$151,$AB1162)="",12,INDEX(Contracts!$N$2:$N$151,$AB1162)),IF(INDEX(Contracts!$I$2:$I$151,$AB1162)="MONTHLY",INDEX(Contracts!$M$2:$M$151,$AB1162),0))*(1-N(INDEX(Contracts!$O$2:$O$151,$AB1162))),IF($Z1162="A",INDEX(Fixed_Assets!$H$2:$H$201,$AB1162)/INDEX(Fixed_Assets!$J$2:$J$201,$AB1162),IF($Z1162="F",INDEX(Workforce!$F$2:$F$151,MATCH(INDEX(FTE_Allocation!$A$2:$A$201,$AB1162),Workforce!$A$2:$A$151,0))*N(INDEX(FTE_Allocation!$F$2:$H$201,$AB1162,$AC1162)),"")))</f>
        <v/>
      </c>
    </row>
    <row r="1163">
      <c r="A1163" s="7">
        <f>IF($Z1163="","",$AD1163)</f>
        <v/>
      </c>
      <c r="B1163" s="7">
        <f>IF($Z1163="C",INDEX(Contracts!$D$2:$D$151,$AB1163)&amp;"",IF($Z1163="A",INDEX(Fixed_Assets!$C$2:$C$201,$AB1163)&amp;"",IF($Z1163="F",INDEX(Workforce!$B$2:$B$151,MATCH(INDEX(FTE_Allocation!$A$2:$A$201,$AB1163),Workforce!$A$2:$A$151,0))&amp;"","")))</f>
        <v/>
      </c>
      <c r="C1163" s="7">
        <f>IF($Z1163="C",INDEX(Contracts!$E$2:$E$151,$AB1163)&amp;"",IF($Z1163="A",INDEX(Fixed_Assets!$D$2:$D$201,$AB1163)&amp;"",IF($Z1163="F",INDEX(FTE_Allocation!$C$2:$C$201,$AB1163)&amp;"","")))</f>
        <v/>
      </c>
      <c r="D1163" s="7">
        <f>IF($Z1163="C",INDEX(Contracts!$B$2:$B$151,$AB1163)&amp;"",IF($Z1163="A",INDEX(Fixed_Assets!$B$2:$B$201,$AB1163)&amp;"",IF($Z1163="F",INDEX(FTE_Allocation!$B$2:$B$201,$AB1163)&amp;"","")))</f>
        <v/>
      </c>
      <c r="E1163" s="7">
        <f>IF($Z1163="C",INDEX(Contracts!$P$2:$P$151,$AB1163)&amp;"",IF($Z1163="A",INDEX(Fixed_Assets!$K$2:$K$201,$AB1163)&amp;"",IF($Z1163="F",IF(INDEX(FTE_Allocation!$D$2:$D$201,$AB1163)="PROJECT",IFERROR(INDEX(Projects!$D:$D,MATCH(INDEX(FTE_Allocation!$E$2:$E$201,$AB1163),Projects!$A:$A,0))&amp;"","#PROJECT?"),INDEX(FTE_Allocation!$E$2:$E$201,$AB1163)&amp;""),"")))</f>
        <v/>
      </c>
      <c r="F1163" s="7">
        <f>IF($Z1163="C",INDEX(Contracts!$Q$2:$Q$151,$AB1163)&amp;"",IF($Z1163="A",INDEX(Fixed_Assets!$L$2:$L$201,$AB1163)&amp;"",IF($Z1163="F",INDEX(Workforce!$K$2:$K$151,MATCH(INDEX(FTE_Allocation!$A$2:$A$201,$AB1163),Workforce!$A$2:$A$151,0))&amp;"","")))</f>
        <v/>
      </c>
      <c r="G1163" s="7">
        <f>IF($Z1163="C",INDEX(Contracts!$F$2:$F$151,$AB1163)&amp;" / "&amp;INDEX(Contracts!$G$2:$G$151,$AB1163),IF($Z1163="A",INDEX(Fixed_Assets!$E$2:$E$201,$AB1163)&amp;"",IF($Z1163="F","Personnel "&amp;INDEX(FTE_Allocation!$A$2:$A$201,$AB1163)&amp;IF(INDEX(FTE_Allocation!$D$2:$D$201,$AB1163)="PROJECT"," ("&amp;INDEX(FTE_Allocation!$E$2:$E$201,$AB1163)&amp;")",""),"")))</f>
        <v/>
      </c>
      <c r="H1163" s="7">
        <f>IF($Z1163="C","CONTRACT",IF($Z1163="A","ASSET",IF($Z1163="F","WORKFORCE","")))</f>
        <v/>
      </c>
      <c r="I1163" s="7">
        <f>IF($Z1163="C",INDEX(Contracts!$L$2:$L$151,$AB1163)&amp;"",IF($Z1163="A",INDEX(Fixed_Assets!$I$2:$I$201,$AB1163)&amp;"",IF($Z1163="F",INDEX(Workforce!$G$2:$G$151,MATCH(INDEX(FTE_Allocation!$A$2:$A$201,$AB1163),Workforce!$A$2:$A$151,0))&amp;"","")))</f>
        <v/>
      </c>
      <c r="J1163" s="18">
        <f>IF($Z1163="","",IF(AND(DATE($AD1163,1,1)&gt;=$AE1163,DATE($AD1163,1,1)&lt;=$AF1163),ROUND($AG1163,2),0))</f>
        <v/>
      </c>
      <c r="K1163" s="18">
        <f>IF($Z1163="","",IF(AND(DATE($AD1163,2,1)&gt;=$AE1163,DATE($AD1163,2,1)&lt;=$AF1163),ROUND($AG1163,2),0))</f>
        <v/>
      </c>
      <c r="L1163" s="18">
        <f>IF($Z1163="","",IF(AND(DATE($AD1163,3,1)&gt;=$AE1163,DATE($AD1163,3,1)&lt;=$AF1163),ROUND($AG1163,2),0))</f>
        <v/>
      </c>
      <c r="M1163" s="18">
        <f>IF($Z1163="","",IF(AND(DATE($AD1163,4,1)&gt;=$AE1163,DATE($AD1163,4,1)&lt;=$AF1163),ROUND($AG1163,2),0))</f>
        <v/>
      </c>
      <c r="N1163" s="18">
        <f>IF($Z1163="","",IF(AND(DATE($AD1163,5,1)&gt;=$AE1163,DATE($AD1163,5,1)&lt;=$AF1163),ROUND($AG1163,2),0))</f>
        <v/>
      </c>
      <c r="O1163" s="18">
        <f>IF($Z1163="","",IF(AND(DATE($AD1163,6,1)&gt;=$AE1163,DATE($AD1163,6,1)&lt;=$AF1163),ROUND($AG1163,2),0))</f>
        <v/>
      </c>
      <c r="P1163" s="18">
        <f>IF($Z1163="","",IF(AND(DATE($AD1163,7,1)&gt;=$AE1163,DATE($AD1163,7,1)&lt;=$AF1163),ROUND($AG1163,2),0))</f>
        <v/>
      </c>
      <c r="Q1163" s="18">
        <f>IF($Z1163="","",IF(AND(DATE($AD1163,8,1)&gt;=$AE1163,DATE($AD1163,8,1)&lt;=$AF1163),ROUND($AG1163,2),0))</f>
        <v/>
      </c>
      <c r="R1163" s="18">
        <f>IF($Z1163="","",IF(AND(DATE($AD1163,9,1)&gt;=$AE1163,DATE($AD1163,9,1)&lt;=$AF1163),ROUND($AG1163,2),0))</f>
        <v/>
      </c>
      <c r="S1163" s="18">
        <f>IF($Z1163="","",IF(AND(DATE($AD1163,10,1)&gt;=$AE1163,DATE($AD1163,10,1)&lt;=$AF1163),ROUND($AG1163,2),0))</f>
        <v/>
      </c>
      <c r="T1163" s="18">
        <f>IF($Z1163="","",IF(AND(DATE($AD1163,11,1)&gt;=$AE1163,DATE($AD1163,11,1)&lt;=$AF1163),ROUND($AG1163,2),0))</f>
        <v/>
      </c>
      <c r="U1163" s="18">
        <f>IF($Z1163="","",IF(AND(DATE($AD1163,12,1)&gt;=$AE1163,DATE($AD1163,12,1)&lt;=$AF1163),ROUND($AG1163,2),0))</f>
        <v/>
      </c>
      <c r="V1163" s="7">
        <f>IF($Z1163="C","Generated from "&amp;INDEX(Contracts!$A$2:$A$151,$AB1163),IF($Z1163="A","Generated from "&amp;INDEX(Fixed_Assets!$A$2:$A$201,$AB1163),IF($Z1163="F","Generated from "&amp;INDEX(FTE_Allocation!$A$2:$A$201,$AB1163),"")))</f>
        <v/>
      </c>
      <c r="X1163" s="19">
        <f>IF($Z1163="","",SUM(J1163:U1163))</f>
        <v/>
      </c>
      <c r="Y1163" s="20">
        <f>ROW()-1</f>
        <v/>
      </c>
      <c r="Z1163" s="20">
        <f>IF($Y1163&lt;=Settings!$B$4*3,"C",IF($Y1163&lt;=(Settings!$B$4+Settings!$B$5)*3,"A",IF($Y1163&lt;=(Settings!$B$4+Settings!$B$5+Settings!$B$6)*3,"F","")))</f>
        <v/>
      </c>
      <c r="AA1163" s="20">
        <f>IF($Z1163="C",$Y1163,IF($Z1163="A",$Y1163-Settings!$B$4*3,IF($Z1163="F",$Y1163-(Settings!$B$4+Settings!$B$5)*3,"")))</f>
        <v/>
      </c>
      <c r="AB1163" s="20">
        <f>IF($Z1163="","",INT(($AA1163-1)/3)+1)</f>
        <v/>
      </c>
      <c r="AC1163" s="20">
        <f>IF($Z1163="","",MOD($AA1163-1,3)+1)</f>
        <v/>
      </c>
      <c r="AD1163" s="20">
        <f>IF($Z1163="","",Settings!$B$2+$AC1163-1)</f>
        <v/>
      </c>
      <c r="AE1163" s="21">
        <f>IF($Z1163="C",DATE(YEAR(INDEX(Contracts!$J$2:$J$151,$AB1163)),MONTH(INDEX(Contracts!$J$2:$J$151,$AB1163)),1),IF($Z1163="A",DATE(YEAR(INDEX(Fixed_Assets!$G$2:$G$201,$AB1163)),MONTH(INDEX(Fixed_Assets!$G$2:$G$201,$AB1163)),1),IF($Z1163="F",DATE(YEAR(MAX(N(INDEX(Workforce!$I$2:$I$151,MATCH(INDEX(FTE_Allocation!$A$2:$A$201,$AB1163),Workforce!$A$2:$A$151,0))),N(INDEX(FTE_Allocation!$I$2:$I$201,$AB1163)))),MONTH(MAX(N(INDEX(Workforce!$I$2:$I$151,MATCH(INDEX(FTE_Allocation!$A$2:$A$201,$AB1163),Workforce!$A$2:$A$151,0))),N(INDEX(FTE_Allocation!$I$2:$I$201,$AB1163)))),1),"")))</f>
        <v/>
      </c>
      <c r="AF1163" s="21">
        <f>IF($Z1163="C",IF(INDEX(Contracts!$I$2:$I$151,$AB1163)="PREPAID",EDATE(DATE(YEAR(INDEX(Contracts!$J$2:$J$151,$AB1163)),MONTH(INDEX(Contracts!$J$2:$J$151,$AB1163)),1),IF(INDEX(Contracts!$N$2:$N$151,$AB1163)="",12,INDEX(Contracts!$N$2:$N$151,$AB1163))-1),IF(INDEX(Contracts!$I$2:$I$151,$AB1163)="MONTHLY",IF(INDEX(Contracts!$K$2:$K$151,$AB1163)="",2958101,INDEX(Contracts!$K$2:$K$151,$AB1163)),0)),IF($Z1163="A",EDATE(DATE(YEAR(INDEX(Fixed_Assets!$G$2:$G$201,$AB1163)),MONTH(INDEX(Fixed_Assets!$G$2:$G$201,$AB1163)),1),INDEX(Fixed_Assets!$J$2:$J$201,$AB1163)-1),IF($Z1163="F",MIN(IF(INDEX(Workforce!$J$2:$J$151,MATCH(INDEX(FTE_Allocation!$A$2:$A$201,$AB1163),Workforce!$A$2:$A$151,0))="",2958101,INDEX(Workforce!$J$2:$J$151,MATCH(INDEX(FTE_Allocation!$A$2:$A$201,$AB1163),Workforce!$A$2:$A$151,0))),IF(INDEX(FTE_Allocation!$J$2:$J$201,$AB1163)="",2958101,INDEX(FTE_Allocation!$J$2:$J$201,$AB1163))),"")))</f>
        <v/>
      </c>
      <c r="AG1163" s="19">
        <f>IF($Z1163="C",IF(INDEX(Contracts!$I$2:$I$151,$AB1163)="PREPAID",INDEX(Contracts!$M$2:$M$151,$AB1163)/IF(INDEX(Contracts!$N$2:$N$151,$AB1163)="",12,INDEX(Contracts!$N$2:$N$151,$AB1163)),IF(INDEX(Contracts!$I$2:$I$151,$AB1163)="MONTHLY",INDEX(Contracts!$M$2:$M$151,$AB1163),0))*(1-N(INDEX(Contracts!$O$2:$O$151,$AB1163))),IF($Z1163="A",INDEX(Fixed_Assets!$H$2:$H$201,$AB1163)/INDEX(Fixed_Assets!$J$2:$J$201,$AB1163),IF($Z1163="F",INDEX(Workforce!$F$2:$F$151,MATCH(INDEX(FTE_Allocation!$A$2:$A$201,$AB1163),Workforce!$A$2:$A$151,0))*N(INDEX(FTE_Allocation!$F$2:$H$201,$AB1163,$AC1163)),"")))</f>
        <v/>
      </c>
    </row>
    <row r="1164">
      <c r="A1164" s="7">
        <f>IF($Z1164="","",$AD1164)</f>
        <v/>
      </c>
      <c r="B1164" s="7">
        <f>IF($Z1164="C",INDEX(Contracts!$D$2:$D$151,$AB1164)&amp;"",IF($Z1164="A",INDEX(Fixed_Assets!$C$2:$C$201,$AB1164)&amp;"",IF($Z1164="F",INDEX(Workforce!$B$2:$B$151,MATCH(INDEX(FTE_Allocation!$A$2:$A$201,$AB1164),Workforce!$A$2:$A$151,0))&amp;"","")))</f>
        <v/>
      </c>
      <c r="C1164" s="7">
        <f>IF($Z1164="C",INDEX(Contracts!$E$2:$E$151,$AB1164)&amp;"",IF($Z1164="A",INDEX(Fixed_Assets!$D$2:$D$201,$AB1164)&amp;"",IF($Z1164="F",INDEX(FTE_Allocation!$C$2:$C$201,$AB1164)&amp;"","")))</f>
        <v/>
      </c>
      <c r="D1164" s="7">
        <f>IF($Z1164="C",INDEX(Contracts!$B$2:$B$151,$AB1164)&amp;"",IF($Z1164="A",INDEX(Fixed_Assets!$B$2:$B$201,$AB1164)&amp;"",IF($Z1164="F",INDEX(FTE_Allocation!$B$2:$B$201,$AB1164)&amp;"","")))</f>
        <v/>
      </c>
      <c r="E1164" s="7">
        <f>IF($Z1164="C",INDEX(Contracts!$P$2:$P$151,$AB1164)&amp;"",IF($Z1164="A",INDEX(Fixed_Assets!$K$2:$K$201,$AB1164)&amp;"",IF($Z1164="F",IF(INDEX(FTE_Allocation!$D$2:$D$201,$AB1164)="PROJECT",IFERROR(INDEX(Projects!$D:$D,MATCH(INDEX(FTE_Allocation!$E$2:$E$201,$AB1164),Projects!$A:$A,0))&amp;"","#PROJECT?"),INDEX(FTE_Allocation!$E$2:$E$201,$AB1164)&amp;""),"")))</f>
        <v/>
      </c>
      <c r="F1164" s="7">
        <f>IF($Z1164="C",INDEX(Contracts!$Q$2:$Q$151,$AB1164)&amp;"",IF($Z1164="A",INDEX(Fixed_Assets!$L$2:$L$201,$AB1164)&amp;"",IF($Z1164="F",INDEX(Workforce!$K$2:$K$151,MATCH(INDEX(FTE_Allocation!$A$2:$A$201,$AB1164),Workforce!$A$2:$A$151,0))&amp;"","")))</f>
        <v/>
      </c>
      <c r="G1164" s="7">
        <f>IF($Z1164="C",INDEX(Contracts!$F$2:$F$151,$AB1164)&amp;" / "&amp;INDEX(Contracts!$G$2:$G$151,$AB1164),IF($Z1164="A",INDEX(Fixed_Assets!$E$2:$E$201,$AB1164)&amp;"",IF($Z1164="F","Personnel "&amp;INDEX(FTE_Allocation!$A$2:$A$201,$AB1164)&amp;IF(INDEX(FTE_Allocation!$D$2:$D$201,$AB1164)="PROJECT"," ("&amp;INDEX(FTE_Allocation!$E$2:$E$201,$AB1164)&amp;")",""),"")))</f>
        <v/>
      </c>
      <c r="H1164" s="7">
        <f>IF($Z1164="C","CONTRACT",IF($Z1164="A","ASSET",IF($Z1164="F","WORKFORCE","")))</f>
        <v/>
      </c>
      <c r="I1164" s="7">
        <f>IF($Z1164="C",INDEX(Contracts!$L$2:$L$151,$AB1164)&amp;"",IF($Z1164="A",INDEX(Fixed_Assets!$I$2:$I$201,$AB1164)&amp;"",IF($Z1164="F",INDEX(Workforce!$G$2:$G$151,MATCH(INDEX(FTE_Allocation!$A$2:$A$201,$AB1164),Workforce!$A$2:$A$151,0))&amp;"","")))</f>
        <v/>
      </c>
      <c r="J1164" s="18">
        <f>IF($Z1164="","",IF(AND(DATE($AD1164,1,1)&gt;=$AE1164,DATE($AD1164,1,1)&lt;=$AF1164),ROUND($AG1164,2),0))</f>
        <v/>
      </c>
      <c r="K1164" s="18">
        <f>IF($Z1164="","",IF(AND(DATE($AD1164,2,1)&gt;=$AE1164,DATE($AD1164,2,1)&lt;=$AF1164),ROUND($AG1164,2),0))</f>
        <v/>
      </c>
      <c r="L1164" s="18">
        <f>IF($Z1164="","",IF(AND(DATE($AD1164,3,1)&gt;=$AE1164,DATE($AD1164,3,1)&lt;=$AF1164),ROUND($AG1164,2),0))</f>
        <v/>
      </c>
      <c r="M1164" s="18">
        <f>IF($Z1164="","",IF(AND(DATE($AD1164,4,1)&gt;=$AE1164,DATE($AD1164,4,1)&lt;=$AF1164),ROUND($AG1164,2),0))</f>
        <v/>
      </c>
      <c r="N1164" s="18">
        <f>IF($Z1164="","",IF(AND(DATE($AD1164,5,1)&gt;=$AE1164,DATE($AD1164,5,1)&lt;=$AF1164),ROUND($AG1164,2),0))</f>
        <v/>
      </c>
      <c r="O1164" s="18">
        <f>IF($Z1164="","",IF(AND(DATE($AD1164,6,1)&gt;=$AE1164,DATE($AD1164,6,1)&lt;=$AF1164),ROUND($AG1164,2),0))</f>
        <v/>
      </c>
      <c r="P1164" s="18">
        <f>IF($Z1164="","",IF(AND(DATE($AD1164,7,1)&gt;=$AE1164,DATE($AD1164,7,1)&lt;=$AF1164),ROUND($AG1164,2),0))</f>
        <v/>
      </c>
      <c r="Q1164" s="18">
        <f>IF($Z1164="","",IF(AND(DATE($AD1164,8,1)&gt;=$AE1164,DATE($AD1164,8,1)&lt;=$AF1164),ROUND($AG1164,2),0))</f>
        <v/>
      </c>
      <c r="R1164" s="18">
        <f>IF($Z1164="","",IF(AND(DATE($AD1164,9,1)&gt;=$AE1164,DATE($AD1164,9,1)&lt;=$AF1164),ROUND($AG1164,2),0))</f>
        <v/>
      </c>
      <c r="S1164" s="18">
        <f>IF($Z1164="","",IF(AND(DATE($AD1164,10,1)&gt;=$AE1164,DATE($AD1164,10,1)&lt;=$AF1164),ROUND($AG1164,2),0))</f>
        <v/>
      </c>
      <c r="T1164" s="18">
        <f>IF($Z1164="","",IF(AND(DATE($AD1164,11,1)&gt;=$AE1164,DATE($AD1164,11,1)&lt;=$AF1164),ROUND($AG1164,2),0))</f>
        <v/>
      </c>
      <c r="U1164" s="18">
        <f>IF($Z1164="","",IF(AND(DATE($AD1164,12,1)&gt;=$AE1164,DATE($AD1164,12,1)&lt;=$AF1164),ROUND($AG1164,2),0))</f>
        <v/>
      </c>
      <c r="V1164" s="7">
        <f>IF($Z1164="C","Generated from "&amp;INDEX(Contracts!$A$2:$A$151,$AB1164),IF($Z1164="A","Generated from "&amp;INDEX(Fixed_Assets!$A$2:$A$201,$AB1164),IF($Z1164="F","Generated from "&amp;INDEX(FTE_Allocation!$A$2:$A$201,$AB1164),"")))</f>
        <v/>
      </c>
      <c r="X1164" s="19">
        <f>IF($Z1164="","",SUM(J1164:U1164))</f>
        <v/>
      </c>
      <c r="Y1164" s="20">
        <f>ROW()-1</f>
        <v/>
      </c>
      <c r="Z1164" s="20">
        <f>IF($Y1164&lt;=Settings!$B$4*3,"C",IF($Y1164&lt;=(Settings!$B$4+Settings!$B$5)*3,"A",IF($Y1164&lt;=(Settings!$B$4+Settings!$B$5+Settings!$B$6)*3,"F","")))</f>
        <v/>
      </c>
      <c r="AA1164" s="20">
        <f>IF($Z1164="C",$Y1164,IF($Z1164="A",$Y1164-Settings!$B$4*3,IF($Z1164="F",$Y1164-(Settings!$B$4+Settings!$B$5)*3,"")))</f>
        <v/>
      </c>
      <c r="AB1164" s="20">
        <f>IF($Z1164="","",INT(($AA1164-1)/3)+1)</f>
        <v/>
      </c>
      <c r="AC1164" s="20">
        <f>IF($Z1164="","",MOD($AA1164-1,3)+1)</f>
        <v/>
      </c>
      <c r="AD1164" s="20">
        <f>IF($Z1164="","",Settings!$B$2+$AC1164-1)</f>
        <v/>
      </c>
      <c r="AE1164" s="21">
        <f>IF($Z1164="C",DATE(YEAR(INDEX(Contracts!$J$2:$J$151,$AB1164)),MONTH(INDEX(Contracts!$J$2:$J$151,$AB1164)),1),IF($Z1164="A",DATE(YEAR(INDEX(Fixed_Assets!$G$2:$G$201,$AB1164)),MONTH(INDEX(Fixed_Assets!$G$2:$G$201,$AB1164)),1),IF($Z1164="F",DATE(YEAR(MAX(N(INDEX(Workforce!$I$2:$I$151,MATCH(INDEX(FTE_Allocation!$A$2:$A$201,$AB1164),Workforce!$A$2:$A$151,0))),N(INDEX(FTE_Allocation!$I$2:$I$201,$AB1164)))),MONTH(MAX(N(INDEX(Workforce!$I$2:$I$151,MATCH(INDEX(FTE_Allocation!$A$2:$A$201,$AB1164),Workforce!$A$2:$A$151,0))),N(INDEX(FTE_Allocation!$I$2:$I$201,$AB1164)))),1),"")))</f>
        <v/>
      </c>
      <c r="AF1164" s="21">
        <f>IF($Z1164="C",IF(INDEX(Contracts!$I$2:$I$151,$AB1164)="PREPAID",EDATE(DATE(YEAR(INDEX(Contracts!$J$2:$J$151,$AB1164)),MONTH(INDEX(Contracts!$J$2:$J$151,$AB1164)),1),IF(INDEX(Contracts!$N$2:$N$151,$AB1164)="",12,INDEX(Contracts!$N$2:$N$151,$AB1164))-1),IF(INDEX(Contracts!$I$2:$I$151,$AB1164)="MONTHLY",IF(INDEX(Contracts!$K$2:$K$151,$AB1164)="",2958101,INDEX(Contracts!$K$2:$K$151,$AB1164)),0)),IF($Z1164="A",EDATE(DATE(YEAR(INDEX(Fixed_Assets!$G$2:$G$201,$AB1164)),MONTH(INDEX(Fixed_Assets!$G$2:$G$201,$AB1164)),1),INDEX(Fixed_Assets!$J$2:$J$201,$AB1164)-1),IF($Z1164="F",MIN(IF(INDEX(Workforce!$J$2:$J$151,MATCH(INDEX(FTE_Allocation!$A$2:$A$201,$AB1164),Workforce!$A$2:$A$151,0))="",2958101,INDEX(Workforce!$J$2:$J$151,MATCH(INDEX(FTE_Allocation!$A$2:$A$201,$AB1164),Workforce!$A$2:$A$151,0))),IF(INDEX(FTE_Allocation!$J$2:$J$201,$AB1164)="",2958101,INDEX(FTE_Allocation!$J$2:$J$201,$AB1164))),"")))</f>
        <v/>
      </c>
      <c r="AG1164" s="19">
        <f>IF($Z1164="C",IF(INDEX(Contracts!$I$2:$I$151,$AB1164)="PREPAID",INDEX(Contracts!$M$2:$M$151,$AB1164)/IF(INDEX(Contracts!$N$2:$N$151,$AB1164)="",12,INDEX(Contracts!$N$2:$N$151,$AB1164)),IF(INDEX(Contracts!$I$2:$I$151,$AB1164)="MONTHLY",INDEX(Contracts!$M$2:$M$151,$AB1164),0))*(1-N(INDEX(Contracts!$O$2:$O$151,$AB1164))),IF($Z1164="A",INDEX(Fixed_Assets!$H$2:$H$201,$AB1164)/INDEX(Fixed_Assets!$J$2:$J$201,$AB1164),IF($Z1164="F",INDEX(Workforce!$F$2:$F$151,MATCH(INDEX(FTE_Allocation!$A$2:$A$201,$AB1164),Workforce!$A$2:$A$151,0))*N(INDEX(FTE_Allocation!$F$2:$H$201,$AB1164,$AC1164)),"")))</f>
        <v/>
      </c>
    </row>
    <row r="1165">
      <c r="A1165" s="7">
        <f>IF($Z1165="","",$AD1165)</f>
        <v/>
      </c>
      <c r="B1165" s="7">
        <f>IF($Z1165="C",INDEX(Contracts!$D$2:$D$151,$AB1165)&amp;"",IF($Z1165="A",INDEX(Fixed_Assets!$C$2:$C$201,$AB1165)&amp;"",IF($Z1165="F",INDEX(Workforce!$B$2:$B$151,MATCH(INDEX(FTE_Allocation!$A$2:$A$201,$AB1165),Workforce!$A$2:$A$151,0))&amp;"","")))</f>
        <v/>
      </c>
      <c r="C1165" s="7">
        <f>IF($Z1165="C",INDEX(Contracts!$E$2:$E$151,$AB1165)&amp;"",IF($Z1165="A",INDEX(Fixed_Assets!$D$2:$D$201,$AB1165)&amp;"",IF($Z1165="F",INDEX(FTE_Allocation!$C$2:$C$201,$AB1165)&amp;"","")))</f>
        <v/>
      </c>
      <c r="D1165" s="7">
        <f>IF($Z1165="C",INDEX(Contracts!$B$2:$B$151,$AB1165)&amp;"",IF($Z1165="A",INDEX(Fixed_Assets!$B$2:$B$201,$AB1165)&amp;"",IF($Z1165="F",INDEX(FTE_Allocation!$B$2:$B$201,$AB1165)&amp;"","")))</f>
        <v/>
      </c>
      <c r="E1165" s="7">
        <f>IF($Z1165="C",INDEX(Contracts!$P$2:$P$151,$AB1165)&amp;"",IF($Z1165="A",INDEX(Fixed_Assets!$K$2:$K$201,$AB1165)&amp;"",IF($Z1165="F",IF(INDEX(FTE_Allocation!$D$2:$D$201,$AB1165)="PROJECT",IFERROR(INDEX(Projects!$D:$D,MATCH(INDEX(FTE_Allocation!$E$2:$E$201,$AB1165),Projects!$A:$A,0))&amp;"","#PROJECT?"),INDEX(FTE_Allocation!$E$2:$E$201,$AB1165)&amp;""),"")))</f>
        <v/>
      </c>
      <c r="F1165" s="7">
        <f>IF($Z1165="C",INDEX(Contracts!$Q$2:$Q$151,$AB1165)&amp;"",IF($Z1165="A",INDEX(Fixed_Assets!$L$2:$L$201,$AB1165)&amp;"",IF($Z1165="F",INDEX(Workforce!$K$2:$K$151,MATCH(INDEX(FTE_Allocation!$A$2:$A$201,$AB1165),Workforce!$A$2:$A$151,0))&amp;"","")))</f>
        <v/>
      </c>
      <c r="G1165" s="7">
        <f>IF($Z1165="C",INDEX(Contracts!$F$2:$F$151,$AB1165)&amp;" / "&amp;INDEX(Contracts!$G$2:$G$151,$AB1165),IF($Z1165="A",INDEX(Fixed_Assets!$E$2:$E$201,$AB1165)&amp;"",IF($Z1165="F","Personnel "&amp;INDEX(FTE_Allocation!$A$2:$A$201,$AB1165)&amp;IF(INDEX(FTE_Allocation!$D$2:$D$201,$AB1165)="PROJECT"," ("&amp;INDEX(FTE_Allocation!$E$2:$E$201,$AB1165)&amp;")",""),"")))</f>
        <v/>
      </c>
      <c r="H1165" s="7">
        <f>IF($Z1165="C","CONTRACT",IF($Z1165="A","ASSET",IF($Z1165="F","WORKFORCE","")))</f>
        <v/>
      </c>
      <c r="I1165" s="7">
        <f>IF($Z1165="C",INDEX(Contracts!$L$2:$L$151,$AB1165)&amp;"",IF($Z1165="A",INDEX(Fixed_Assets!$I$2:$I$201,$AB1165)&amp;"",IF($Z1165="F",INDEX(Workforce!$G$2:$G$151,MATCH(INDEX(FTE_Allocation!$A$2:$A$201,$AB1165),Workforce!$A$2:$A$151,0))&amp;"","")))</f>
        <v/>
      </c>
      <c r="J1165" s="18">
        <f>IF($Z1165="","",IF(AND(DATE($AD1165,1,1)&gt;=$AE1165,DATE($AD1165,1,1)&lt;=$AF1165),ROUND($AG1165,2),0))</f>
        <v/>
      </c>
      <c r="K1165" s="18">
        <f>IF($Z1165="","",IF(AND(DATE($AD1165,2,1)&gt;=$AE1165,DATE($AD1165,2,1)&lt;=$AF1165),ROUND($AG1165,2),0))</f>
        <v/>
      </c>
      <c r="L1165" s="18">
        <f>IF($Z1165="","",IF(AND(DATE($AD1165,3,1)&gt;=$AE1165,DATE($AD1165,3,1)&lt;=$AF1165),ROUND($AG1165,2),0))</f>
        <v/>
      </c>
      <c r="M1165" s="18">
        <f>IF($Z1165="","",IF(AND(DATE($AD1165,4,1)&gt;=$AE1165,DATE($AD1165,4,1)&lt;=$AF1165),ROUND($AG1165,2),0))</f>
        <v/>
      </c>
      <c r="N1165" s="18">
        <f>IF($Z1165="","",IF(AND(DATE($AD1165,5,1)&gt;=$AE1165,DATE($AD1165,5,1)&lt;=$AF1165),ROUND($AG1165,2),0))</f>
        <v/>
      </c>
      <c r="O1165" s="18">
        <f>IF($Z1165="","",IF(AND(DATE($AD1165,6,1)&gt;=$AE1165,DATE($AD1165,6,1)&lt;=$AF1165),ROUND($AG1165,2),0))</f>
        <v/>
      </c>
      <c r="P1165" s="18">
        <f>IF($Z1165="","",IF(AND(DATE($AD1165,7,1)&gt;=$AE1165,DATE($AD1165,7,1)&lt;=$AF1165),ROUND($AG1165,2),0))</f>
        <v/>
      </c>
      <c r="Q1165" s="18">
        <f>IF($Z1165="","",IF(AND(DATE($AD1165,8,1)&gt;=$AE1165,DATE($AD1165,8,1)&lt;=$AF1165),ROUND($AG1165,2),0))</f>
        <v/>
      </c>
      <c r="R1165" s="18">
        <f>IF($Z1165="","",IF(AND(DATE($AD1165,9,1)&gt;=$AE1165,DATE($AD1165,9,1)&lt;=$AF1165),ROUND($AG1165,2),0))</f>
        <v/>
      </c>
      <c r="S1165" s="18">
        <f>IF($Z1165="","",IF(AND(DATE($AD1165,10,1)&gt;=$AE1165,DATE($AD1165,10,1)&lt;=$AF1165),ROUND($AG1165,2),0))</f>
        <v/>
      </c>
      <c r="T1165" s="18">
        <f>IF($Z1165="","",IF(AND(DATE($AD1165,11,1)&gt;=$AE1165,DATE($AD1165,11,1)&lt;=$AF1165),ROUND($AG1165,2),0))</f>
        <v/>
      </c>
      <c r="U1165" s="18">
        <f>IF($Z1165="","",IF(AND(DATE($AD1165,12,1)&gt;=$AE1165,DATE($AD1165,12,1)&lt;=$AF1165),ROUND($AG1165,2),0))</f>
        <v/>
      </c>
      <c r="V1165" s="7">
        <f>IF($Z1165="C","Generated from "&amp;INDEX(Contracts!$A$2:$A$151,$AB1165),IF($Z1165="A","Generated from "&amp;INDEX(Fixed_Assets!$A$2:$A$201,$AB1165),IF($Z1165="F","Generated from "&amp;INDEX(FTE_Allocation!$A$2:$A$201,$AB1165),"")))</f>
        <v/>
      </c>
      <c r="X1165" s="19">
        <f>IF($Z1165="","",SUM(J1165:U1165))</f>
        <v/>
      </c>
      <c r="Y1165" s="20">
        <f>ROW()-1</f>
        <v/>
      </c>
      <c r="Z1165" s="20">
        <f>IF($Y1165&lt;=Settings!$B$4*3,"C",IF($Y1165&lt;=(Settings!$B$4+Settings!$B$5)*3,"A",IF($Y1165&lt;=(Settings!$B$4+Settings!$B$5+Settings!$B$6)*3,"F","")))</f>
        <v/>
      </c>
      <c r="AA1165" s="20">
        <f>IF($Z1165="C",$Y1165,IF($Z1165="A",$Y1165-Settings!$B$4*3,IF($Z1165="F",$Y1165-(Settings!$B$4+Settings!$B$5)*3,"")))</f>
        <v/>
      </c>
      <c r="AB1165" s="20">
        <f>IF($Z1165="","",INT(($AA1165-1)/3)+1)</f>
        <v/>
      </c>
      <c r="AC1165" s="20">
        <f>IF($Z1165="","",MOD($AA1165-1,3)+1)</f>
        <v/>
      </c>
      <c r="AD1165" s="20">
        <f>IF($Z1165="","",Settings!$B$2+$AC1165-1)</f>
        <v/>
      </c>
      <c r="AE1165" s="21">
        <f>IF($Z1165="C",DATE(YEAR(INDEX(Contracts!$J$2:$J$151,$AB1165)),MONTH(INDEX(Contracts!$J$2:$J$151,$AB1165)),1),IF($Z1165="A",DATE(YEAR(INDEX(Fixed_Assets!$G$2:$G$201,$AB1165)),MONTH(INDEX(Fixed_Assets!$G$2:$G$201,$AB1165)),1),IF($Z1165="F",DATE(YEAR(MAX(N(INDEX(Workforce!$I$2:$I$151,MATCH(INDEX(FTE_Allocation!$A$2:$A$201,$AB1165),Workforce!$A$2:$A$151,0))),N(INDEX(FTE_Allocation!$I$2:$I$201,$AB1165)))),MONTH(MAX(N(INDEX(Workforce!$I$2:$I$151,MATCH(INDEX(FTE_Allocation!$A$2:$A$201,$AB1165),Workforce!$A$2:$A$151,0))),N(INDEX(FTE_Allocation!$I$2:$I$201,$AB1165)))),1),"")))</f>
        <v/>
      </c>
      <c r="AF1165" s="21">
        <f>IF($Z1165="C",IF(INDEX(Contracts!$I$2:$I$151,$AB1165)="PREPAID",EDATE(DATE(YEAR(INDEX(Contracts!$J$2:$J$151,$AB1165)),MONTH(INDEX(Contracts!$J$2:$J$151,$AB1165)),1),IF(INDEX(Contracts!$N$2:$N$151,$AB1165)="",12,INDEX(Contracts!$N$2:$N$151,$AB1165))-1),IF(INDEX(Contracts!$I$2:$I$151,$AB1165)="MONTHLY",IF(INDEX(Contracts!$K$2:$K$151,$AB1165)="",2958101,INDEX(Contracts!$K$2:$K$151,$AB1165)),0)),IF($Z1165="A",EDATE(DATE(YEAR(INDEX(Fixed_Assets!$G$2:$G$201,$AB1165)),MONTH(INDEX(Fixed_Assets!$G$2:$G$201,$AB1165)),1),INDEX(Fixed_Assets!$J$2:$J$201,$AB1165)-1),IF($Z1165="F",MIN(IF(INDEX(Workforce!$J$2:$J$151,MATCH(INDEX(FTE_Allocation!$A$2:$A$201,$AB1165),Workforce!$A$2:$A$151,0))="",2958101,INDEX(Workforce!$J$2:$J$151,MATCH(INDEX(FTE_Allocation!$A$2:$A$201,$AB1165),Workforce!$A$2:$A$151,0))),IF(INDEX(FTE_Allocation!$J$2:$J$201,$AB1165)="",2958101,INDEX(FTE_Allocation!$J$2:$J$201,$AB1165))),"")))</f>
        <v/>
      </c>
      <c r="AG1165" s="19">
        <f>IF($Z1165="C",IF(INDEX(Contracts!$I$2:$I$151,$AB1165)="PREPAID",INDEX(Contracts!$M$2:$M$151,$AB1165)/IF(INDEX(Contracts!$N$2:$N$151,$AB1165)="",12,INDEX(Contracts!$N$2:$N$151,$AB1165)),IF(INDEX(Contracts!$I$2:$I$151,$AB1165)="MONTHLY",INDEX(Contracts!$M$2:$M$151,$AB1165),0))*(1-N(INDEX(Contracts!$O$2:$O$151,$AB1165))),IF($Z1165="A",INDEX(Fixed_Assets!$H$2:$H$201,$AB1165)/INDEX(Fixed_Assets!$J$2:$J$201,$AB1165),IF($Z1165="F",INDEX(Workforce!$F$2:$F$151,MATCH(INDEX(FTE_Allocation!$A$2:$A$201,$AB1165),Workforce!$A$2:$A$151,0))*N(INDEX(FTE_Allocation!$F$2:$H$201,$AB1165,$AC1165)),"")))</f>
        <v/>
      </c>
    </row>
    <row r="1166">
      <c r="A1166" s="7">
        <f>IF($Z1166="","",$AD1166)</f>
        <v/>
      </c>
      <c r="B1166" s="7">
        <f>IF($Z1166="C",INDEX(Contracts!$D$2:$D$151,$AB1166)&amp;"",IF($Z1166="A",INDEX(Fixed_Assets!$C$2:$C$201,$AB1166)&amp;"",IF($Z1166="F",INDEX(Workforce!$B$2:$B$151,MATCH(INDEX(FTE_Allocation!$A$2:$A$201,$AB1166),Workforce!$A$2:$A$151,0))&amp;"","")))</f>
        <v/>
      </c>
      <c r="C1166" s="7">
        <f>IF($Z1166="C",INDEX(Contracts!$E$2:$E$151,$AB1166)&amp;"",IF($Z1166="A",INDEX(Fixed_Assets!$D$2:$D$201,$AB1166)&amp;"",IF($Z1166="F",INDEX(FTE_Allocation!$C$2:$C$201,$AB1166)&amp;"","")))</f>
        <v/>
      </c>
      <c r="D1166" s="7">
        <f>IF($Z1166="C",INDEX(Contracts!$B$2:$B$151,$AB1166)&amp;"",IF($Z1166="A",INDEX(Fixed_Assets!$B$2:$B$201,$AB1166)&amp;"",IF($Z1166="F",INDEX(FTE_Allocation!$B$2:$B$201,$AB1166)&amp;"","")))</f>
        <v/>
      </c>
      <c r="E1166" s="7">
        <f>IF($Z1166="C",INDEX(Contracts!$P$2:$P$151,$AB1166)&amp;"",IF($Z1166="A",INDEX(Fixed_Assets!$K$2:$K$201,$AB1166)&amp;"",IF($Z1166="F",IF(INDEX(FTE_Allocation!$D$2:$D$201,$AB1166)="PROJECT",IFERROR(INDEX(Projects!$D:$D,MATCH(INDEX(FTE_Allocation!$E$2:$E$201,$AB1166),Projects!$A:$A,0))&amp;"","#PROJECT?"),INDEX(FTE_Allocation!$E$2:$E$201,$AB1166)&amp;""),"")))</f>
        <v/>
      </c>
      <c r="F1166" s="7">
        <f>IF($Z1166="C",INDEX(Contracts!$Q$2:$Q$151,$AB1166)&amp;"",IF($Z1166="A",INDEX(Fixed_Assets!$L$2:$L$201,$AB1166)&amp;"",IF($Z1166="F",INDEX(Workforce!$K$2:$K$151,MATCH(INDEX(FTE_Allocation!$A$2:$A$201,$AB1166),Workforce!$A$2:$A$151,0))&amp;"","")))</f>
        <v/>
      </c>
      <c r="G1166" s="7">
        <f>IF($Z1166="C",INDEX(Contracts!$F$2:$F$151,$AB1166)&amp;" / "&amp;INDEX(Contracts!$G$2:$G$151,$AB1166),IF($Z1166="A",INDEX(Fixed_Assets!$E$2:$E$201,$AB1166)&amp;"",IF($Z1166="F","Personnel "&amp;INDEX(FTE_Allocation!$A$2:$A$201,$AB1166)&amp;IF(INDEX(FTE_Allocation!$D$2:$D$201,$AB1166)="PROJECT"," ("&amp;INDEX(FTE_Allocation!$E$2:$E$201,$AB1166)&amp;")",""),"")))</f>
        <v/>
      </c>
      <c r="H1166" s="7">
        <f>IF($Z1166="C","CONTRACT",IF($Z1166="A","ASSET",IF($Z1166="F","WORKFORCE","")))</f>
        <v/>
      </c>
      <c r="I1166" s="7">
        <f>IF($Z1166="C",INDEX(Contracts!$L$2:$L$151,$AB1166)&amp;"",IF($Z1166="A",INDEX(Fixed_Assets!$I$2:$I$201,$AB1166)&amp;"",IF($Z1166="F",INDEX(Workforce!$G$2:$G$151,MATCH(INDEX(FTE_Allocation!$A$2:$A$201,$AB1166),Workforce!$A$2:$A$151,0))&amp;"","")))</f>
        <v/>
      </c>
      <c r="J1166" s="18">
        <f>IF($Z1166="","",IF(AND(DATE($AD1166,1,1)&gt;=$AE1166,DATE($AD1166,1,1)&lt;=$AF1166),ROUND($AG1166,2),0))</f>
        <v/>
      </c>
      <c r="K1166" s="18">
        <f>IF($Z1166="","",IF(AND(DATE($AD1166,2,1)&gt;=$AE1166,DATE($AD1166,2,1)&lt;=$AF1166),ROUND($AG1166,2),0))</f>
        <v/>
      </c>
      <c r="L1166" s="18">
        <f>IF($Z1166="","",IF(AND(DATE($AD1166,3,1)&gt;=$AE1166,DATE($AD1166,3,1)&lt;=$AF1166),ROUND($AG1166,2),0))</f>
        <v/>
      </c>
      <c r="M1166" s="18">
        <f>IF($Z1166="","",IF(AND(DATE($AD1166,4,1)&gt;=$AE1166,DATE($AD1166,4,1)&lt;=$AF1166),ROUND($AG1166,2),0))</f>
        <v/>
      </c>
      <c r="N1166" s="18">
        <f>IF($Z1166="","",IF(AND(DATE($AD1166,5,1)&gt;=$AE1166,DATE($AD1166,5,1)&lt;=$AF1166),ROUND($AG1166,2),0))</f>
        <v/>
      </c>
      <c r="O1166" s="18">
        <f>IF($Z1166="","",IF(AND(DATE($AD1166,6,1)&gt;=$AE1166,DATE($AD1166,6,1)&lt;=$AF1166),ROUND($AG1166,2),0))</f>
        <v/>
      </c>
      <c r="P1166" s="18">
        <f>IF($Z1166="","",IF(AND(DATE($AD1166,7,1)&gt;=$AE1166,DATE($AD1166,7,1)&lt;=$AF1166),ROUND($AG1166,2),0))</f>
        <v/>
      </c>
      <c r="Q1166" s="18">
        <f>IF($Z1166="","",IF(AND(DATE($AD1166,8,1)&gt;=$AE1166,DATE($AD1166,8,1)&lt;=$AF1166),ROUND($AG1166,2),0))</f>
        <v/>
      </c>
      <c r="R1166" s="18">
        <f>IF($Z1166="","",IF(AND(DATE($AD1166,9,1)&gt;=$AE1166,DATE($AD1166,9,1)&lt;=$AF1166),ROUND($AG1166,2),0))</f>
        <v/>
      </c>
      <c r="S1166" s="18">
        <f>IF($Z1166="","",IF(AND(DATE($AD1166,10,1)&gt;=$AE1166,DATE($AD1166,10,1)&lt;=$AF1166),ROUND($AG1166,2),0))</f>
        <v/>
      </c>
      <c r="T1166" s="18">
        <f>IF($Z1166="","",IF(AND(DATE($AD1166,11,1)&gt;=$AE1166,DATE($AD1166,11,1)&lt;=$AF1166),ROUND($AG1166,2),0))</f>
        <v/>
      </c>
      <c r="U1166" s="18">
        <f>IF($Z1166="","",IF(AND(DATE($AD1166,12,1)&gt;=$AE1166,DATE($AD1166,12,1)&lt;=$AF1166),ROUND($AG1166,2),0))</f>
        <v/>
      </c>
      <c r="V1166" s="7">
        <f>IF($Z1166="C","Generated from "&amp;INDEX(Contracts!$A$2:$A$151,$AB1166),IF($Z1166="A","Generated from "&amp;INDEX(Fixed_Assets!$A$2:$A$201,$AB1166),IF($Z1166="F","Generated from "&amp;INDEX(FTE_Allocation!$A$2:$A$201,$AB1166),"")))</f>
        <v/>
      </c>
      <c r="X1166" s="19">
        <f>IF($Z1166="","",SUM(J1166:U1166))</f>
        <v/>
      </c>
      <c r="Y1166" s="20">
        <f>ROW()-1</f>
        <v/>
      </c>
      <c r="Z1166" s="20">
        <f>IF($Y1166&lt;=Settings!$B$4*3,"C",IF($Y1166&lt;=(Settings!$B$4+Settings!$B$5)*3,"A",IF($Y1166&lt;=(Settings!$B$4+Settings!$B$5+Settings!$B$6)*3,"F","")))</f>
        <v/>
      </c>
      <c r="AA1166" s="20">
        <f>IF($Z1166="C",$Y1166,IF($Z1166="A",$Y1166-Settings!$B$4*3,IF($Z1166="F",$Y1166-(Settings!$B$4+Settings!$B$5)*3,"")))</f>
        <v/>
      </c>
      <c r="AB1166" s="20">
        <f>IF($Z1166="","",INT(($AA1166-1)/3)+1)</f>
        <v/>
      </c>
      <c r="AC1166" s="20">
        <f>IF($Z1166="","",MOD($AA1166-1,3)+1)</f>
        <v/>
      </c>
      <c r="AD1166" s="20">
        <f>IF($Z1166="","",Settings!$B$2+$AC1166-1)</f>
        <v/>
      </c>
      <c r="AE1166" s="21">
        <f>IF($Z1166="C",DATE(YEAR(INDEX(Contracts!$J$2:$J$151,$AB1166)),MONTH(INDEX(Contracts!$J$2:$J$151,$AB1166)),1),IF($Z1166="A",DATE(YEAR(INDEX(Fixed_Assets!$G$2:$G$201,$AB1166)),MONTH(INDEX(Fixed_Assets!$G$2:$G$201,$AB1166)),1),IF($Z1166="F",DATE(YEAR(MAX(N(INDEX(Workforce!$I$2:$I$151,MATCH(INDEX(FTE_Allocation!$A$2:$A$201,$AB1166),Workforce!$A$2:$A$151,0))),N(INDEX(FTE_Allocation!$I$2:$I$201,$AB1166)))),MONTH(MAX(N(INDEX(Workforce!$I$2:$I$151,MATCH(INDEX(FTE_Allocation!$A$2:$A$201,$AB1166),Workforce!$A$2:$A$151,0))),N(INDEX(FTE_Allocation!$I$2:$I$201,$AB1166)))),1),"")))</f>
        <v/>
      </c>
      <c r="AF1166" s="21">
        <f>IF($Z1166="C",IF(INDEX(Contracts!$I$2:$I$151,$AB1166)="PREPAID",EDATE(DATE(YEAR(INDEX(Contracts!$J$2:$J$151,$AB1166)),MONTH(INDEX(Contracts!$J$2:$J$151,$AB1166)),1),IF(INDEX(Contracts!$N$2:$N$151,$AB1166)="",12,INDEX(Contracts!$N$2:$N$151,$AB1166))-1),IF(INDEX(Contracts!$I$2:$I$151,$AB1166)="MONTHLY",IF(INDEX(Contracts!$K$2:$K$151,$AB1166)="",2958101,INDEX(Contracts!$K$2:$K$151,$AB1166)),0)),IF($Z1166="A",EDATE(DATE(YEAR(INDEX(Fixed_Assets!$G$2:$G$201,$AB1166)),MONTH(INDEX(Fixed_Assets!$G$2:$G$201,$AB1166)),1),INDEX(Fixed_Assets!$J$2:$J$201,$AB1166)-1),IF($Z1166="F",MIN(IF(INDEX(Workforce!$J$2:$J$151,MATCH(INDEX(FTE_Allocation!$A$2:$A$201,$AB1166),Workforce!$A$2:$A$151,0))="",2958101,INDEX(Workforce!$J$2:$J$151,MATCH(INDEX(FTE_Allocation!$A$2:$A$201,$AB1166),Workforce!$A$2:$A$151,0))),IF(INDEX(FTE_Allocation!$J$2:$J$201,$AB1166)="",2958101,INDEX(FTE_Allocation!$J$2:$J$201,$AB1166))),"")))</f>
        <v/>
      </c>
      <c r="AG1166" s="19">
        <f>IF($Z1166="C",IF(INDEX(Contracts!$I$2:$I$151,$AB1166)="PREPAID",INDEX(Contracts!$M$2:$M$151,$AB1166)/IF(INDEX(Contracts!$N$2:$N$151,$AB1166)="",12,INDEX(Contracts!$N$2:$N$151,$AB1166)),IF(INDEX(Contracts!$I$2:$I$151,$AB1166)="MONTHLY",INDEX(Contracts!$M$2:$M$151,$AB1166),0))*(1-N(INDEX(Contracts!$O$2:$O$151,$AB1166))),IF($Z1166="A",INDEX(Fixed_Assets!$H$2:$H$201,$AB1166)/INDEX(Fixed_Assets!$J$2:$J$201,$AB1166),IF($Z1166="F",INDEX(Workforce!$F$2:$F$151,MATCH(INDEX(FTE_Allocation!$A$2:$A$201,$AB1166),Workforce!$A$2:$A$151,0))*N(INDEX(FTE_Allocation!$F$2:$H$201,$AB1166,$AC1166)),"")))</f>
        <v/>
      </c>
    </row>
    <row r="1167">
      <c r="A1167" s="7">
        <f>IF($Z1167="","",$AD1167)</f>
        <v/>
      </c>
      <c r="B1167" s="7">
        <f>IF($Z1167="C",INDEX(Contracts!$D$2:$D$151,$AB1167)&amp;"",IF($Z1167="A",INDEX(Fixed_Assets!$C$2:$C$201,$AB1167)&amp;"",IF($Z1167="F",INDEX(Workforce!$B$2:$B$151,MATCH(INDEX(FTE_Allocation!$A$2:$A$201,$AB1167),Workforce!$A$2:$A$151,0))&amp;"","")))</f>
        <v/>
      </c>
      <c r="C1167" s="7">
        <f>IF($Z1167="C",INDEX(Contracts!$E$2:$E$151,$AB1167)&amp;"",IF($Z1167="A",INDEX(Fixed_Assets!$D$2:$D$201,$AB1167)&amp;"",IF($Z1167="F",INDEX(FTE_Allocation!$C$2:$C$201,$AB1167)&amp;"","")))</f>
        <v/>
      </c>
      <c r="D1167" s="7">
        <f>IF($Z1167="C",INDEX(Contracts!$B$2:$B$151,$AB1167)&amp;"",IF($Z1167="A",INDEX(Fixed_Assets!$B$2:$B$201,$AB1167)&amp;"",IF($Z1167="F",INDEX(FTE_Allocation!$B$2:$B$201,$AB1167)&amp;"","")))</f>
        <v/>
      </c>
      <c r="E1167" s="7">
        <f>IF($Z1167="C",INDEX(Contracts!$P$2:$P$151,$AB1167)&amp;"",IF($Z1167="A",INDEX(Fixed_Assets!$K$2:$K$201,$AB1167)&amp;"",IF($Z1167="F",IF(INDEX(FTE_Allocation!$D$2:$D$201,$AB1167)="PROJECT",IFERROR(INDEX(Projects!$D:$D,MATCH(INDEX(FTE_Allocation!$E$2:$E$201,$AB1167),Projects!$A:$A,0))&amp;"","#PROJECT?"),INDEX(FTE_Allocation!$E$2:$E$201,$AB1167)&amp;""),"")))</f>
        <v/>
      </c>
      <c r="F1167" s="7">
        <f>IF($Z1167="C",INDEX(Contracts!$Q$2:$Q$151,$AB1167)&amp;"",IF($Z1167="A",INDEX(Fixed_Assets!$L$2:$L$201,$AB1167)&amp;"",IF($Z1167="F",INDEX(Workforce!$K$2:$K$151,MATCH(INDEX(FTE_Allocation!$A$2:$A$201,$AB1167),Workforce!$A$2:$A$151,0))&amp;"","")))</f>
        <v/>
      </c>
      <c r="G1167" s="7">
        <f>IF($Z1167="C",INDEX(Contracts!$F$2:$F$151,$AB1167)&amp;" / "&amp;INDEX(Contracts!$G$2:$G$151,$AB1167),IF($Z1167="A",INDEX(Fixed_Assets!$E$2:$E$201,$AB1167)&amp;"",IF($Z1167="F","Personnel "&amp;INDEX(FTE_Allocation!$A$2:$A$201,$AB1167)&amp;IF(INDEX(FTE_Allocation!$D$2:$D$201,$AB1167)="PROJECT"," ("&amp;INDEX(FTE_Allocation!$E$2:$E$201,$AB1167)&amp;")",""),"")))</f>
        <v/>
      </c>
      <c r="H1167" s="7">
        <f>IF($Z1167="C","CONTRACT",IF($Z1167="A","ASSET",IF($Z1167="F","WORKFORCE","")))</f>
        <v/>
      </c>
      <c r="I1167" s="7">
        <f>IF($Z1167="C",INDEX(Contracts!$L$2:$L$151,$AB1167)&amp;"",IF($Z1167="A",INDEX(Fixed_Assets!$I$2:$I$201,$AB1167)&amp;"",IF($Z1167="F",INDEX(Workforce!$G$2:$G$151,MATCH(INDEX(FTE_Allocation!$A$2:$A$201,$AB1167),Workforce!$A$2:$A$151,0))&amp;"","")))</f>
        <v/>
      </c>
      <c r="J1167" s="18">
        <f>IF($Z1167="","",IF(AND(DATE($AD1167,1,1)&gt;=$AE1167,DATE($AD1167,1,1)&lt;=$AF1167),ROUND($AG1167,2),0))</f>
        <v/>
      </c>
      <c r="K1167" s="18">
        <f>IF($Z1167="","",IF(AND(DATE($AD1167,2,1)&gt;=$AE1167,DATE($AD1167,2,1)&lt;=$AF1167),ROUND($AG1167,2),0))</f>
        <v/>
      </c>
      <c r="L1167" s="18">
        <f>IF($Z1167="","",IF(AND(DATE($AD1167,3,1)&gt;=$AE1167,DATE($AD1167,3,1)&lt;=$AF1167),ROUND($AG1167,2),0))</f>
        <v/>
      </c>
      <c r="M1167" s="18">
        <f>IF($Z1167="","",IF(AND(DATE($AD1167,4,1)&gt;=$AE1167,DATE($AD1167,4,1)&lt;=$AF1167),ROUND($AG1167,2),0))</f>
        <v/>
      </c>
      <c r="N1167" s="18">
        <f>IF($Z1167="","",IF(AND(DATE($AD1167,5,1)&gt;=$AE1167,DATE($AD1167,5,1)&lt;=$AF1167),ROUND($AG1167,2),0))</f>
        <v/>
      </c>
      <c r="O1167" s="18">
        <f>IF($Z1167="","",IF(AND(DATE($AD1167,6,1)&gt;=$AE1167,DATE($AD1167,6,1)&lt;=$AF1167),ROUND($AG1167,2),0))</f>
        <v/>
      </c>
      <c r="P1167" s="18">
        <f>IF($Z1167="","",IF(AND(DATE($AD1167,7,1)&gt;=$AE1167,DATE($AD1167,7,1)&lt;=$AF1167),ROUND($AG1167,2),0))</f>
        <v/>
      </c>
      <c r="Q1167" s="18">
        <f>IF($Z1167="","",IF(AND(DATE($AD1167,8,1)&gt;=$AE1167,DATE($AD1167,8,1)&lt;=$AF1167),ROUND($AG1167,2),0))</f>
        <v/>
      </c>
      <c r="R1167" s="18">
        <f>IF($Z1167="","",IF(AND(DATE($AD1167,9,1)&gt;=$AE1167,DATE($AD1167,9,1)&lt;=$AF1167),ROUND($AG1167,2),0))</f>
        <v/>
      </c>
      <c r="S1167" s="18">
        <f>IF($Z1167="","",IF(AND(DATE($AD1167,10,1)&gt;=$AE1167,DATE($AD1167,10,1)&lt;=$AF1167),ROUND($AG1167,2),0))</f>
        <v/>
      </c>
      <c r="T1167" s="18">
        <f>IF($Z1167="","",IF(AND(DATE($AD1167,11,1)&gt;=$AE1167,DATE($AD1167,11,1)&lt;=$AF1167),ROUND($AG1167,2),0))</f>
        <v/>
      </c>
      <c r="U1167" s="18">
        <f>IF($Z1167="","",IF(AND(DATE($AD1167,12,1)&gt;=$AE1167,DATE($AD1167,12,1)&lt;=$AF1167),ROUND($AG1167,2),0))</f>
        <v/>
      </c>
      <c r="V1167" s="7">
        <f>IF($Z1167="C","Generated from "&amp;INDEX(Contracts!$A$2:$A$151,$AB1167),IF($Z1167="A","Generated from "&amp;INDEX(Fixed_Assets!$A$2:$A$201,$AB1167),IF($Z1167="F","Generated from "&amp;INDEX(FTE_Allocation!$A$2:$A$201,$AB1167),"")))</f>
        <v/>
      </c>
      <c r="X1167" s="19">
        <f>IF($Z1167="","",SUM(J1167:U1167))</f>
        <v/>
      </c>
      <c r="Y1167" s="20">
        <f>ROW()-1</f>
        <v/>
      </c>
      <c r="Z1167" s="20">
        <f>IF($Y1167&lt;=Settings!$B$4*3,"C",IF($Y1167&lt;=(Settings!$B$4+Settings!$B$5)*3,"A",IF($Y1167&lt;=(Settings!$B$4+Settings!$B$5+Settings!$B$6)*3,"F","")))</f>
        <v/>
      </c>
      <c r="AA1167" s="20">
        <f>IF($Z1167="C",$Y1167,IF($Z1167="A",$Y1167-Settings!$B$4*3,IF($Z1167="F",$Y1167-(Settings!$B$4+Settings!$B$5)*3,"")))</f>
        <v/>
      </c>
      <c r="AB1167" s="20">
        <f>IF($Z1167="","",INT(($AA1167-1)/3)+1)</f>
        <v/>
      </c>
      <c r="AC1167" s="20">
        <f>IF($Z1167="","",MOD($AA1167-1,3)+1)</f>
        <v/>
      </c>
      <c r="AD1167" s="20">
        <f>IF($Z1167="","",Settings!$B$2+$AC1167-1)</f>
        <v/>
      </c>
      <c r="AE1167" s="21">
        <f>IF($Z1167="C",DATE(YEAR(INDEX(Contracts!$J$2:$J$151,$AB1167)),MONTH(INDEX(Contracts!$J$2:$J$151,$AB1167)),1),IF($Z1167="A",DATE(YEAR(INDEX(Fixed_Assets!$G$2:$G$201,$AB1167)),MONTH(INDEX(Fixed_Assets!$G$2:$G$201,$AB1167)),1),IF($Z1167="F",DATE(YEAR(MAX(N(INDEX(Workforce!$I$2:$I$151,MATCH(INDEX(FTE_Allocation!$A$2:$A$201,$AB1167),Workforce!$A$2:$A$151,0))),N(INDEX(FTE_Allocation!$I$2:$I$201,$AB1167)))),MONTH(MAX(N(INDEX(Workforce!$I$2:$I$151,MATCH(INDEX(FTE_Allocation!$A$2:$A$201,$AB1167),Workforce!$A$2:$A$151,0))),N(INDEX(FTE_Allocation!$I$2:$I$201,$AB1167)))),1),"")))</f>
        <v/>
      </c>
      <c r="AF1167" s="21">
        <f>IF($Z1167="C",IF(INDEX(Contracts!$I$2:$I$151,$AB1167)="PREPAID",EDATE(DATE(YEAR(INDEX(Contracts!$J$2:$J$151,$AB1167)),MONTH(INDEX(Contracts!$J$2:$J$151,$AB1167)),1),IF(INDEX(Contracts!$N$2:$N$151,$AB1167)="",12,INDEX(Contracts!$N$2:$N$151,$AB1167))-1),IF(INDEX(Contracts!$I$2:$I$151,$AB1167)="MONTHLY",IF(INDEX(Contracts!$K$2:$K$151,$AB1167)="",2958101,INDEX(Contracts!$K$2:$K$151,$AB1167)),0)),IF($Z1167="A",EDATE(DATE(YEAR(INDEX(Fixed_Assets!$G$2:$G$201,$AB1167)),MONTH(INDEX(Fixed_Assets!$G$2:$G$201,$AB1167)),1),INDEX(Fixed_Assets!$J$2:$J$201,$AB1167)-1),IF($Z1167="F",MIN(IF(INDEX(Workforce!$J$2:$J$151,MATCH(INDEX(FTE_Allocation!$A$2:$A$201,$AB1167),Workforce!$A$2:$A$151,0))="",2958101,INDEX(Workforce!$J$2:$J$151,MATCH(INDEX(FTE_Allocation!$A$2:$A$201,$AB1167),Workforce!$A$2:$A$151,0))),IF(INDEX(FTE_Allocation!$J$2:$J$201,$AB1167)="",2958101,INDEX(FTE_Allocation!$J$2:$J$201,$AB1167))),"")))</f>
        <v/>
      </c>
      <c r="AG1167" s="19">
        <f>IF($Z1167="C",IF(INDEX(Contracts!$I$2:$I$151,$AB1167)="PREPAID",INDEX(Contracts!$M$2:$M$151,$AB1167)/IF(INDEX(Contracts!$N$2:$N$151,$AB1167)="",12,INDEX(Contracts!$N$2:$N$151,$AB1167)),IF(INDEX(Contracts!$I$2:$I$151,$AB1167)="MONTHLY",INDEX(Contracts!$M$2:$M$151,$AB1167),0))*(1-N(INDEX(Contracts!$O$2:$O$151,$AB1167))),IF($Z1167="A",INDEX(Fixed_Assets!$H$2:$H$201,$AB1167)/INDEX(Fixed_Assets!$J$2:$J$201,$AB1167),IF($Z1167="F",INDEX(Workforce!$F$2:$F$151,MATCH(INDEX(FTE_Allocation!$A$2:$A$201,$AB1167),Workforce!$A$2:$A$151,0))*N(INDEX(FTE_Allocation!$F$2:$H$201,$AB1167,$AC1167)),"")))</f>
        <v/>
      </c>
    </row>
    <row r="1168">
      <c r="A1168" s="7">
        <f>IF($Z1168="","",$AD1168)</f>
        <v/>
      </c>
      <c r="B1168" s="7">
        <f>IF($Z1168="C",INDEX(Contracts!$D$2:$D$151,$AB1168)&amp;"",IF($Z1168="A",INDEX(Fixed_Assets!$C$2:$C$201,$AB1168)&amp;"",IF($Z1168="F",INDEX(Workforce!$B$2:$B$151,MATCH(INDEX(FTE_Allocation!$A$2:$A$201,$AB1168),Workforce!$A$2:$A$151,0))&amp;"","")))</f>
        <v/>
      </c>
      <c r="C1168" s="7">
        <f>IF($Z1168="C",INDEX(Contracts!$E$2:$E$151,$AB1168)&amp;"",IF($Z1168="A",INDEX(Fixed_Assets!$D$2:$D$201,$AB1168)&amp;"",IF($Z1168="F",INDEX(FTE_Allocation!$C$2:$C$201,$AB1168)&amp;"","")))</f>
        <v/>
      </c>
      <c r="D1168" s="7">
        <f>IF($Z1168="C",INDEX(Contracts!$B$2:$B$151,$AB1168)&amp;"",IF($Z1168="A",INDEX(Fixed_Assets!$B$2:$B$201,$AB1168)&amp;"",IF($Z1168="F",INDEX(FTE_Allocation!$B$2:$B$201,$AB1168)&amp;"","")))</f>
        <v/>
      </c>
      <c r="E1168" s="7">
        <f>IF($Z1168="C",INDEX(Contracts!$P$2:$P$151,$AB1168)&amp;"",IF($Z1168="A",INDEX(Fixed_Assets!$K$2:$K$201,$AB1168)&amp;"",IF($Z1168="F",IF(INDEX(FTE_Allocation!$D$2:$D$201,$AB1168)="PROJECT",IFERROR(INDEX(Projects!$D:$D,MATCH(INDEX(FTE_Allocation!$E$2:$E$201,$AB1168),Projects!$A:$A,0))&amp;"","#PROJECT?"),INDEX(FTE_Allocation!$E$2:$E$201,$AB1168)&amp;""),"")))</f>
        <v/>
      </c>
      <c r="F1168" s="7">
        <f>IF($Z1168="C",INDEX(Contracts!$Q$2:$Q$151,$AB1168)&amp;"",IF($Z1168="A",INDEX(Fixed_Assets!$L$2:$L$201,$AB1168)&amp;"",IF($Z1168="F",INDEX(Workforce!$K$2:$K$151,MATCH(INDEX(FTE_Allocation!$A$2:$A$201,$AB1168),Workforce!$A$2:$A$151,0))&amp;"","")))</f>
        <v/>
      </c>
      <c r="G1168" s="7">
        <f>IF($Z1168="C",INDEX(Contracts!$F$2:$F$151,$AB1168)&amp;" / "&amp;INDEX(Contracts!$G$2:$G$151,$AB1168),IF($Z1168="A",INDEX(Fixed_Assets!$E$2:$E$201,$AB1168)&amp;"",IF($Z1168="F","Personnel "&amp;INDEX(FTE_Allocation!$A$2:$A$201,$AB1168)&amp;IF(INDEX(FTE_Allocation!$D$2:$D$201,$AB1168)="PROJECT"," ("&amp;INDEX(FTE_Allocation!$E$2:$E$201,$AB1168)&amp;")",""),"")))</f>
        <v/>
      </c>
      <c r="H1168" s="7">
        <f>IF($Z1168="C","CONTRACT",IF($Z1168="A","ASSET",IF($Z1168="F","WORKFORCE","")))</f>
        <v/>
      </c>
      <c r="I1168" s="7">
        <f>IF($Z1168="C",INDEX(Contracts!$L$2:$L$151,$AB1168)&amp;"",IF($Z1168="A",INDEX(Fixed_Assets!$I$2:$I$201,$AB1168)&amp;"",IF($Z1168="F",INDEX(Workforce!$G$2:$G$151,MATCH(INDEX(FTE_Allocation!$A$2:$A$201,$AB1168),Workforce!$A$2:$A$151,0))&amp;"","")))</f>
        <v/>
      </c>
      <c r="J1168" s="18">
        <f>IF($Z1168="","",IF(AND(DATE($AD1168,1,1)&gt;=$AE1168,DATE($AD1168,1,1)&lt;=$AF1168),ROUND($AG1168,2),0))</f>
        <v/>
      </c>
      <c r="K1168" s="18">
        <f>IF($Z1168="","",IF(AND(DATE($AD1168,2,1)&gt;=$AE1168,DATE($AD1168,2,1)&lt;=$AF1168),ROUND($AG1168,2),0))</f>
        <v/>
      </c>
      <c r="L1168" s="18">
        <f>IF($Z1168="","",IF(AND(DATE($AD1168,3,1)&gt;=$AE1168,DATE($AD1168,3,1)&lt;=$AF1168),ROUND($AG1168,2),0))</f>
        <v/>
      </c>
      <c r="M1168" s="18">
        <f>IF($Z1168="","",IF(AND(DATE($AD1168,4,1)&gt;=$AE1168,DATE($AD1168,4,1)&lt;=$AF1168),ROUND($AG1168,2),0))</f>
        <v/>
      </c>
      <c r="N1168" s="18">
        <f>IF($Z1168="","",IF(AND(DATE($AD1168,5,1)&gt;=$AE1168,DATE($AD1168,5,1)&lt;=$AF1168),ROUND($AG1168,2),0))</f>
        <v/>
      </c>
      <c r="O1168" s="18">
        <f>IF($Z1168="","",IF(AND(DATE($AD1168,6,1)&gt;=$AE1168,DATE($AD1168,6,1)&lt;=$AF1168),ROUND($AG1168,2),0))</f>
        <v/>
      </c>
      <c r="P1168" s="18">
        <f>IF($Z1168="","",IF(AND(DATE($AD1168,7,1)&gt;=$AE1168,DATE($AD1168,7,1)&lt;=$AF1168),ROUND($AG1168,2),0))</f>
        <v/>
      </c>
      <c r="Q1168" s="18">
        <f>IF($Z1168="","",IF(AND(DATE($AD1168,8,1)&gt;=$AE1168,DATE($AD1168,8,1)&lt;=$AF1168),ROUND($AG1168,2),0))</f>
        <v/>
      </c>
      <c r="R1168" s="18">
        <f>IF($Z1168="","",IF(AND(DATE($AD1168,9,1)&gt;=$AE1168,DATE($AD1168,9,1)&lt;=$AF1168),ROUND($AG1168,2),0))</f>
        <v/>
      </c>
      <c r="S1168" s="18">
        <f>IF($Z1168="","",IF(AND(DATE($AD1168,10,1)&gt;=$AE1168,DATE($AD1168,10,1)&lt;=$AF1168),ROUND($AG1168,2),0))</f>
        <v/>
      </c>
      <c r="T1168" s="18">
        <f>IF($Z1168="","",IF(AND(DATE($AD1168,11,1)&gt;=$AE1168,DATE($AD1168,11,1)&lt;=$AF1168),ROUND($AG1168,2),0))</f>
        <v/>
      </c>
      <c r="U1168" s="18">
        <f>IF($Z1168="","",IF(AND(DATE($AD1168,12,1)&gt;=$AE1168,DATE($AD1168,12,1)&lt;=$AF1168),ROUND($AG1168,2),0))</f>
        <v/>
      </c>
      <c r="V1168" s="7">
        <f>IF($Z1168="C","Generated from "&amp;INDEX(Contracts!$A$2:$A$151,$AB1168),IF($Z1168="A","Generated from "&amp;INDEX(Fixed_Assets!$A$2:$A$201,$AB1168),IF($Z1168="F","Generated from "&amp;INDEX(FTE_Allocation!$A$2:$A$201,$AB1168),"")))</f>
        <v/>
      </c>
      <c r="X1168" s="19">
        <f>IF($Z1168="","",SUM(J1168:U1168))</f>
        <v/>
      </c>
      <c r="Y1168" s="20">
        <f>ROW()-1</f>
        <v/>
      </c>
      <c r="Z1168" s="20">
        <f>IF($Y1168&lt;=Settings!$B$4*3,"C",IF($Y1168&lt;=(Settings!$B$4+Settings!$B$5)*3,"A",IF($Y1168&lt;=(Settings!$B$4+Settings!$B$5+Settings!$B$6)*3,"F","")))</f>
        <v/>
      </c>
      <c r="AA1168" s="20">
        <f>IF($Z1168="C",$Y1168,IF($Z1168="A",$Y1168-Settings!$B$4*3,IF($Z1168="F",$Y1168-(Settings!$B$4+Settings!$B$5)*3,"")))</f>
        <v/>
      </c>
      <c r="AB1168" s="20">
        <f>IF($Z1168="","",INT(($AA1168-1)/3)+1)</f>
        <v/>
      </c>
      <c r="AC1168" s="20">
        <f>IF($Z1168="","",MOD($AA1168-1,3)+1)</f>
        <v/>
      </c>
      <c r="AD1168" s="20">
        <f>IF($Z1168="","",Settings!$B$2+$AC1168-1)</f>
        <v/>
      </c>
      <c r="AE1168" s="21">
        <f>IF($Z1168="C",DATE(YEAR(INDEX(Contracts!$J$2:$J$151,$AB1168)),MONTH(INDEX(Contracts!$J$2:$J$151,$AB1168)),1),IF($Z1168="A",DATE(YEAR(INDEX(Fixed_Assets!$G$2:$G$201,$AB1168)),MONTH(INDEX(Fixed_Assets!$G$2:$G$201,$AB1168)),1),IF($Z1168="F",DATE(YEAR(MAX(N(INDEX(Workforce!$I$2:$I$151,MATCH(INDEX(FTE_Allocation!$A$2:$A$201,$AB1168),Workforce!$A$2:$A$151,0))),N(INDEX(FTE_Allocation!$I$2:$I$201,$AB1168)))),MONTH(MAX(N(INDEX(Workforce!$I$2:$I$151,MATCH(INDEX(FTE_Allocation!$A$2:$A$201,$AB1168),Workforce!$A$2:$A$151,0))),N(INDEX(FTE_Allocation!$I$2:$I$201,$AB1168)))),1),"")))</f>
        <v/>
      </c>
      <c r="AF1168" s="21">
        <f>IF($Z1168="C",IF(INDEX(Contracts!$I$2:$I$151,$AB1168)="PREPAID",EDATE(DATE(YEAR(INDEX(Contracts!$J$2:$J$151,$AB1168)),MONTH(INDEX(Contracts!$J$2:$J$151,$AB1168)),1),IF(INDEX(Contracts!$N$2:$N$151,$AB1168)="",12,INDEX(Contracts!$N$2:$N$151,$AB1168))-1),IF(INDEX(Contracts!$I$2:$I$151,$AB1168)="MONTHLY",IF(INDEX(Contracts!$K$2:$K$151,$AB1168)="",2958101,INDEX(Contracts!$K$2:$K$151,$AB1168)),0)),IF($Z1168="A",EDATE(DATE(YEAR(INDEX(Fixed_Assets!$G$2:$G$201,$AB1168)),MONTH(INDEX(Fixed_Assets!$G$2:$G$201,$AB1168)),1),INDEX(Fixed_Assets!$J$2:$J$201,$AB1168)-1),IF($Z1168="F",MIN(IF(INDEX(Workforce!$J$2:$J$151,MATCH(INDEX(FTE_Allocation!$A$2:$A$201,$AB1168),Workforce!$A$2:$A$151,0))="",2958101,INDEX(Workforce!$J$2:$J$151,MATCH(INDEX(FTE_Allocation!$A$2:$A$201,$AB1168),Workforce!$A$2:$A$151,0))),IF(INDEX(FTE_Allocation!$J$2:$J$201,$AB1168)="",2958101,INDEX(FTE_Allocation!$J$2:$J$201,$AB1168))),"")))</f>
        <v/>
      </c>
      <c r="AG1168" s="19">
        <f>IF($Z1168="C",IF(INDEX(Contracts!$I$2:$I$151,$AB1168)="PREPAID",INDEX(Contracts!$M$2:$M$151,$AB1168)/IF(INDEX(Contracts!$N$2:$N$151,$AB1168)="",12,INDEX(Contracts!$N$2:$N$151,$AB1168)),IF(INDEX(Contracts!$I$2:$I$151,$AB1168)="MONTHLY",INDEX(Contracts!$M$2:$M$151,$AB1168),0))*(1-N(INDEX(Contracts!$O$2:$O$151,$AB1168))),IF($Z1168="A",INDEX(Fixed_Assets!$H$2:$H$201,$AB1168)/INDEX(Fixed_Assets!$J$2:$J$201,$AB1168),IF($Z1168="F",INDEX(Workforce!$F$2:$F$151,MATCH(INDEX(FTE_Allocation!$A$2:$A$201,$AB1168),Workforce!$A$2:$A$151,0))*N(INDEX(FTE_Allocation!$F$2:$H$201,$AB1168,$AC1168)),"")))</f>
        <v/>
      </c>
    </row>
    <row r="1169">
      <c r="A1169" s="7">
        <f>IF($Z1169="","",$AD1169)</f>
        <v/>
      </c>
      <c r="B1169" s="7">
        <f>IF($Z1169="C",INDEX(Contracts!$D$2:$D$151,$AB1169)&amp;"",IF($Z1169="A",INDEX(Fixed_Assets!$C$2:$C$201,$AB1169)&amp;"",IF($Z1169="F",INDEX(Workforce!$B$2:$B$151,MATCH(INDEX(FTE_Allocation!$A$2:$A$201,$AB1169),Workforce!$A$2:$A$151,0))&amp;"","")))</f>
        <v/>
      </c>
      <c r="C1169" s="7">
        <f>IF($Z1169="C",INDEX(Contracts!$E$2:$E$151,$AB1169)&amp;"",IF($Z1169="A",INDEX(Fixed_Assets!$D$2:$D$201,$AB1169)&amp;"",IF($Z1169="F",INDEX(FTE_Allocation!$C$2:$C$201,$AB1169)&amp;"","")))</f>
        <v/>
      </c>
      <c r="D1169" s="7">
        <f>IF($Z1169="C",INDEX(Contracts!$B$2:$B$151,$AB1169)&amp;"",IF($Z1169="A",INDEX(Fixed_Assets!$B$2:$B$201,$AB1169)&amp;"",IF($Z1169="F",INDEX(FTE_Allocation!$B$2:$B$201,$AB1169)&amp;"","")))</f>
        <v/>
      </c>
      <c r="E1169" s="7">
        <f>IF($Z1169="C",INDEX(Contracts!$P$2:$P$151,$AB1169)&amp;"",IF($Z1169="A",INDEX(Fixed_Assets!$K$2:$K$201,$AB1169)&amp;"",IF($Z1169="F",IF(INDEX(FTE_Allocation!$D$2:$D$201,$AB1169)="PROJECT",IFERROR(INDEX(Projects!$D:$D,MATCH(INDEX(FTE_Allocation!$E$2:$E$201,$AB1169),Projects!$A:$A,0))&amp;"","#PROJECT?"),INDEX(FTE_Allocation!$E$2:$E$201,$AB1169)&amp;""),"")))</f>
        <v/>
      </c>
      <c r="F1169" s="7">
        <f>IF($Z1169="C",INDEX(Contracts!$Q$2:$Q$151,$AB1169)&amp;"",IF($Z1169="A",INDEX(Fixed_Assets!$L$2:$L$201,$AB1169)&amp;"",IF($Z1169="F",INDEX(Workforce!$K$2:$K$151,MATCH(INDEX(FTE_Allocation!$A$2:$A$201,$AB1169),Workforce!$A$2:$A$151,0))&amp;"","")))</f>
        <v/>
      </c>
      <c r="G1169" s="7">
        <f>IF($Z1169="C",INDEX(Contracts!$F$2:$F$151,$AB1169)&amp;" / "&amp;INDEX(Contracts!$G$2:$G$151,$AB1169),IF($Z1169="A",INDEX(Fixed_Assets!$E$2:$E$201,$AB1169)&amp;"",IF($Z1169="F","Personnel "&amp;INDEX(FTE_Allocation!$A$2:$A$201,$AB1169)&amp;IF(INDEX(FTE_Allocation!$D$2:$D$201,$AB1169)="PROJECT"," ("&amp;INDEX(FTE_Allocation!$E$2:$E$201,$AB1169)&amp;")",""),"")))</f>
        <v/>
      </c>
      <c r="H1169" s="7">
        <f>IF($Z1169="C","CONTRACT",IF($Z1169="A","ASSET",IF($Z1169="F","WORKFORCE","")))</f>
        <v/>
      </c>
      <c r="I1169" s="7">
        <f>IF($Z1169="C",INDEX(Contracts!$L$2:$L$151,$AB1169)&amp;"",IF($Z1169="A",INDEX(Fixed_Assets!$I$2:$I$201,$AB1169)&amp;"",IF($Z1169="F",INDEX(Workforce!$G$2:$G$151,MATCH(INDEX(FTE_Allocation!$A$2:$A$201,$AB1169),Workforce!$A$2:$A$151,0))&amp;"","")))</f>
        <v/>
      </c>
      <c r="J1169" s="18">
        <f>IF($Z1169="","",IF(AND(DATE($AD1169,1,1)&gt;=$AE1169,DATE($AD1169,1,1)&lt;=$AF1169),ROUND($AG1169,2),0))</f>
        <v/>
      </c>
      <c r="K1169" s="18">
        <f>IF($Z1169="","",IF(AND(DATE($AD1169,2,1)&gt;=$AE1169,DATE($AD1169,2,1)&lt;=$AF1169),ROUND($AG1169,2),0))</f>
        <v/>
      </c>
      <c r="L1169" s="18">
        <f>IF($Z1169="","",IF(AND(DATE($AD1169,3,1)&gt;=$AE1169,DATE($AD1169,3,1)&lt;=$AF1169),ROUND($AG1169,2),0))</f>
        <v/>
      </c>
      <c r="M1169" s="18">
        <f>IF($Z1169="","",IF(AND(DATE($AD1169,4,1)&gt;=$AE1169,DATE($AD1169,4,1)&lt;=$AF1169),ROUND($AG1169,2),0))</f>
        <v/>
      </c>
      <c r="N1169" s="18">
        <f>IF($Z1169="","",IF(AND(DATE($AD1169,5,1)&gt;=$AE1169,DATE($AD1169,5,1)&lt;=$AF1169),ROUND($AG1169,2),0))</f>
        <v/>
      </c>
      <c r="O1169" s="18">
        <f>IF($Z1169="","",IF(AND(DATE($AD1169,6,1)&gt;=$AE1169,DATE($AD1169,6,1)&lt;=$AF1169),ROUND($AG1169,2),0))</f>
        <v/>
      </c>
      <c r="P1169" s="18">
        <f>IF($Z1169="","",IF(AND(DATE($AD1169,7,1)&gt;=$AE1169,DATE($AD1169,7,1)&lt;=$AF1169),ROUND($AG1169,2),0))</f>
        <v/>
      </c>
      <c r="Q1169" s="18">
        <f>IF($Z1169="","",IF(AND(DATE($AD1169,8,1)&gt;=$AE1169,DATE($AD1169,8,1)&lt;=$AF1169),ROUND($AG1169,2),0))</f>
        <v/>
      </c>
      <c r="R1169" s="18">
        <f>IF($Z1169="","",IF(AND(DATE($AD1169,9,1)&gt;=$AE1169,DATE($AD1169,9,1)&lt;=$AF1169),ROUND($AG1169,2),0))</f>
        <v/>
      </c>
      <c r="S1169" s="18">
        <f>IF($Z1169="","",IF(AND(DATE($AD1169,10,1)&gt;=$AE1169,DATE($AD1169,10,1)&lt;=$AF1169),ROUND($AG1169,2),0))</f>
        <v/>
      </c>
      <c r="T1169" s="18">
        <f>IF($Z1169="","",IF(AND(DATE($AD1169,11,1)&gt;=$AE1169,DATE($AD1169,11,1)&lt;=$AF1169),ROUND($AG1169,2),0))</f>
        <v/>
      </c>
      <c r="U1169" s="18">
        <f>IF($Z1169="","",IF(AND(DATE($AD1169,12,1)&gt;=$AE1169,DATE($AD1169,12,1)&lt;=$AF1169),ROUND($AG1169,2),0))</f>
        <v/>
      </c>
      <c r="V1169" s="7">
        <f>IF($Z1169="C","Generated from "&amp;INDEX(Contracts!$A$2:$A$151,$AB1169),IF($Z1169="A","Generated from "&amp;INDEX(Fixed_Assets!$A$2:$A$201,$AB1169),IF($Z1169="F","Generated from "&amp;INDEX(FTE_Allocation!$A$2:$A$201,$AB1169),"")))</f>
        <v/>
      </c>
      <c r="X1169" s="19">
        <f>IF($Z1169="","",SUM(J1169:U1169))</f>
        <v/>
      </c>
      <c r="Y1169" s="20">
        <f>ROW()-1</f>
        <v/>
      </c>
      <c r="Z1169" s="20">
        <f>IF($Y1169&lt;=Settings!$B$4*3,"C",IF($Y1169&lt;=(Settings!$B$4+Settings!$B$5)*3,"A",IF($Y1169&lt;=(Settings!$B$4+Settings!$B$5+Settings!$B$6)*3,"F","")))</f>
        <v/>
      </c>
      <c r="AA1169" s="20">
        <f>IF($Z1169="C",$Y1169,IF($Z1169="A",$Y1169-Settings!$B$4*3,IF($Z1169="F",$Y1169-(Settings!$B$4+Settings!$B$5)*3,"")))</f>
        <v/>
      </c>
      <c r="AB1169" s="20">
        <f>IF($Z1169="","",INT(($AA1169-1)/3)+1)</f>
        <v/>
      </c>
      <c r="AC1169" s="20">
        <f>IF($Z1169="","",MOD($AA1169-1,3)+1)</f>
        <v/>
      </c>
      <c r="AD1169" s="20">
        <f>IF($Z1169="","",Settings!$B$2+$AC1169-1)</f>
        <v/>
      </c>
      <c r="AE1169" s="21">
        <f>IF($Z1169="C",DATE(YEAR(INDEX(Contracts!$J$2:$J$151,$AB1169)),MONTH(INDEX(Contracts!$J$2:$J$151,$AB1169)),1),IF($Z1169="A",DATE(YEAR(INDEX(Fixed_Assets!$G$2:$G$201,$AB1169)),MONTH(INDEX(Fixed_Assets!$G$2:$G$201,$AB1169)),1),IF($Z1169="F",DATE(YEAR(MAX(N(INDEX(Workforce!$I$2:$I$151,MATCH(INDEX(FTE_Allocation!$A$2:$A$201,$AB1169),Workforce!$A$2:$A$151,0))),N(INDEX(FTE_Allocation!$I$2:$I$201,$AB1169)))),MONTH(MAX(N(INDEX(Workforce!$I$2:$I$151,MATCH(INDEX(FTE_Allocation!$A$2:$A$201,$AB1169),Workforce!$A$2:$A$151,0))),N(INDEX(FTE_Allocation!$I$2:$I$201,$AB1169)))),1),"")))</f>
        <v/>
      </c>
      <c r="AF1169" s="21">
        <f>IF($Z1169="C",IF(INDEX(Contracts!$I$2:$I$151,$AB1169)="PREPAID",EDATE(DATE(YEAR(INDEX(Contracts!$J$2:$J$151,$AB1169)),MONTH(INDEX(Contracts!$J$2:$J$151,$AB1169)),1),IF(INDEX(Contracts!$N$2:$N$151,$AB1169)="",12,INDEX(Contracts!$N$2:$N$151,$AB1169))-1),IF(INDEX(Contracts!$I$2:$I$151,$AB1169)="MONTHLY",IF(INDEX(Contracts!$K$2:$K$151,$AB1169)="",2958101,INDEX(Contracts!$K$2:$K$151,$AB1169)),0)),IF($Z1169="A",EDATE(DATE(YEAR(INDEX(Fixed_Assets!$G$2:$G$201,$AB1169)),MONTH(INDEX(Fixed_Assets!$G$2:$G$201,$AB1169)),1),INDEX(Fixed_Assets!$J$2:$J$201,$AB1169)-1),IF($Z1169="F",MIN(IF(INDEX(Workforce!$J$2:$J$151,MATCH(INDEX(FTE_Allocation!$A$2:$A$201,$AB1169),Workforce!$A$2:$A$151,0))="",2958101,INDEX(Workforce!$J$2:$J$151,MATCH(INDEX(FTE_Allocation!$A$2:$A$201,$AB1169),Workforce!$A$2:$A$151,0))),IF(INDEX(FTE_Allocation!$J$2:$J$201,$AB1169)="",2958101,INDEX(FTE_Allocation!$J$2:$J$201,$AB1169))),"")))</f>
        <v/>
      </c>
      <c r="AG1169" s="19">
        <f>IF($Z1169="C",IF(INDEX(Contracts!$I$2:$I$151,$AB1169)="PREPAID",INDEX(Contracts!$M$2:$M$151,$AB1169)/IF(INDEX(Contracts!$N$2:$N$151,$AB1169)="",12,INDEX(Contracts!$N$2:$N$151,$AB1169)),IF(INDEX(Contracts!$I$2:$I$151,$AB1169)="MONTHLY",INDEX(Contracts!$M$2:$M$151,$AB1169),0))*(1-N(INDEX(Contracts!$O$2:$O$151,$AB1169))),IF($Z1169="A",INDEX(Fixed_Assets!$H$2:$H$201,$AB1169)/INDEX(Fixed_Assets!$J$2:$J$201,$AB1169),IF($Z1169="F",INDEX(Workforce!$F$2:$F$151,MATCH(INDEX(FTE_Allocation!$A$2:$A$201,$AB1169),Workforce!$A$2:$A$151,0))*N(INDEX(FTE_Allocation!$F$2:$H$201,$AB1169,$AC1169)),"")))</f>
        <v/>
      </c>
    </row>
    <row r="1170">
      <c r="A1170" s="7">
        <f>IF($Z1170="","",$AD1170)</f>
        <v/>
      </c>
      <c r="B1170" s="7">
        <f>IF($Z1170="C",INDEX(Contracts!$D$2:$D$151,$AB1170)&amp;"",IF($Z1170="A",INDEX(Fixed_Assets!$C$2:$C$201,$AB1170)&amp;"",IF($Z1170="F",INDEX(Workforce!$B$2:$B$151,MATCH(INDEX(FTE_Allocation!$A$2:$A$201,$AB1170),Workforce!$A$2:$A$151,0))&amp;"","")))</f>
        <v/>
      </c>
      <c r="C1170" s="7">
        <f>IF($Z1170="C",INDEX(Contracts!$E$2:$E$151,$AB1170)&amp;"",IF($Z1170="A",INDEX(Fixed_Assets!$D$2:$D$201,$AB1170)&amp;"",IF($Z1170="F",INDEX(FTE_Allocation!$C$2:$C$201,$AB1170)&amp;"","")))</f>
        <v/>
      </c>
      <c r="D1170" s="7">
        <f>IF($Z1170="C",INDEX(Contracts!$B$2:$B$151,$AB1170)&amp;"",IF($Z1170="A",INDEX(Fixed_Assets!$B$2:$B$201,$AB1170)&amp;"",IF($Z1170="F",INDEX(FTE_Allocation!$B$2:$B$201,$AB1170)&amp;"","")))</f>
        <v/>
      </c>
      <c r="E1170" s="7">
        <f>IF($Z1170="C",INDEX(Contracts!$P$2:$P$151,$AB1170)&amp;"",IF($Z1170="A",INDEX(Fixed_Assets!$K$2:$K$201,$AB1170)&amp;"",IF($Z1170="F",IF(INDEX(FTE_Allocation!$D$2:$D$201,$AB1170)="PROJECT",IFERROR(INDEX(Projects!$D:$D,MATCH(INDEX(FTE_Allocation!$E$2:$E$201,$AB1170),Projects!$A:$A,0))&amp;"","#PROJECT?"),INDEX(FTE_Allocation!$E$2:$E$201,$AB1170)&amp;""),"")))</f>
        <v/>
      </c>
      <c r="F1170" s="7">
        <f>IF($Z1170="C",INDEX(Contracts!$Q$2:$Q$151,$AB1170)&amp;"",IF($Z1170="A",INDEX(Fixed_Assets!$L$2:$L$201,$AB1170)&amp;"",IF($Z1170="F",INDEX(Workforce!$K$2:$K$151,MATCH(INDEX(FTE_Allocation!$A$2:$A$201,$AB1170),Workforce!$A$2:$A$151,0))&amp;"","")))</f>
        <v/>
      </c>
      <c r="G1170" s="7">
        <f>IF($Z1170="C",INDEX(Contracts!$F$2:$F$151,$AB1170)&amp;" / "&amp;INDEX(Contracts!$G$2:$G$151,$AB1170),IF($Z1170="A",INDEX(Fixed_Assets!$E$2:$E$201,$AB1170)&amp;"",IF($Z1170="F","Personnel "&amp;INDEX(FTE_Allocation!$A$2:$A$201,$AB1170)&amp;IF(INDEX(FTE_Allocation!$D$2:$D$201,$AB1170)="PROJECT"," ("&amp;INDEX(FTE_Allocation!$E$2:$E$201,$AB1170)&amp;")",""),"")))</f>
        <v/>
      </c>
      <c r="H1170" s="7">
        <f>IF($Z1170="C","CONTRACT",IF($Z1170="A","ASSET",IF($Z1170="F","WORKFORCE","")))</f>
        <v/>
      </c>
      <c r="I1170" s="7">
        <f>IF($Z1170="C",INDEX(Contracts!$L$2:$L$151,$AB1170)&amp;"",IF($Z1170="A",INDEX(Fixed_Assets!$I$2:$I$201,$AB1170)&amp;"",IF($Z1170="F",INDEX(Workforce!$G$2:$G$151,MATCH(INDEX(FTE_Allocation!$A$2:$A$201,$AB1170),Workforce!$A$2:$A$151,0))&amp;"","")))</f>
        <v/>
      </c>
      <c r="J1170" s="18">
        <f>IF($Z1170="","",IF(AND(DATE($AD1170,1,1)&gt;=$AE1170,DATE($AD1170,1,1)&lt;=$AF1170),ROUND($AG1170,2),0))</f>
        <v/>
      </c>
      <c r="K1170" s="18">
        <f>IF($Z1170="","",IF(AND(DATE($AD1170,2,1)&gt;=$AE1170,DATE($AD1170,2,1)&lt;=$AF1170),ROUND($AG1170,2),0))</f>
        <v/>
      </c>
      <c r="L1170" s="18">
        <f>IF($Z1170="","",IF(AND(DATE($AD1170,3,1)&gt;=$AE1170,DATE($AD1170,3,1)&lt;=$AF1170),ROUND($AG1170,2),0))</f>
        <v/>
      </c>
      <c r="M1170" s="18">
        <f>IF($Z1170="","",IF(AND(DATE($AD1170,4,1)&gt;=$AE1170,DATE($AD1170,4,1)&lt;=$AF1170),ROUND($AG1170,2),0))</f>
        <v/>
      </c>
      <c r="N1170" s="18">
        <f>IF($Z1170="","",IF(AND(DATE($AD1170,5,1)&gt;=$AE1170,DATE($AD1170,5,1)&lt;=$AF1170),ROUND($AG1170,2),0))</f>
        <v/>
      </c>
      <c r="O1170" s="18">
        <f>IF($Z1170="","",IF(AND(DATE($AD1170,6,1)&gt;=$AE1170,DATE($AD1170,6,1)&lt;=$AF1170),ROUND($AG1170,2),0))</f>
        <v/>
      </c>
      <c r="P1170" s="18">
        <f>IF($Z1170="","",IF(AND(DATE($AD1170,7,1)&gt;=$AE1170,DATE($AD1170,7,1)&lt;=$AF1170),ROUND($AG1170,2),0))</f>
        <v/>
      </c>
      <c r="Q1170" s="18">
        <f>IF($Z1170="","",IF(AND(DATE($AD1170,8,1)&gt;=$AE1170,DATE($AD1170,8,1)&lt;=$AF1170),ROUND($AG1170,2),0))</f>
        <v/>
      </c>
      <c r="R1170" s="18">
        <f>IF($Z1170="","",IF(AND(DATE($AD1170,9,1)&gt;=$AE1170,DATE($AD1170,9,1)&lt;=$AF1170),ROUND($AG1170,2),0))</f>
        <v/>
      </c>
      <c r="S1170" s="18">
        <f>IF($Z1170="","",IF(AND(DATE($AD1170,10,1)&gt;=$AE1170,DATE($AD1170,10,1)&lt;=$AF1170),ROUND($AG1170,2),0))</f>
        <v/>
      </c>
      <c r="T1170" s="18">
        <f>IF($Z1170="","",IF(AND(DATE($AD1170,11,1)&gt;=$AE1170,DATE($AD1170,11,1)&lt;=$AF1170),ROUND($AG1170,2),0))</f>
        <v/>
      </c>
      <c r="U1170" s="18">
        <f>IF($Z1170="","",IF(AND(DATE($AD1170,12,1)&gt;=$AE1170,DATE($AD1170,12,1)&lt;=$AF1170),ROUND($AG1170,2),0))</f>
        <v/>
      </c>
      <c r="V1170" s="7">
        <f>IF($Z1170="C","Generated from "&amp;INDEX(Contracts!$A$2:$A$151,$AB1170),IF($Z1170="A","Generated from "&amp;INDEX(Fixed_Assets!$A$2:$A$201,$AB1170),IF($Z1170="F","Generated from "&amp;INDEX(FTE_Allocation!$A$2:$A$201,$AB1170),"")))</f>
        <v/>
      </c>
      <c r="X1170" s="19">
        <f>IF($Z1170="","",SUM(J1170:U1170))</f>
        <v/>
      </c>
      <c r="Y1170" s="20">
        <f>ROW()-1</f>
        <v/>
      </c>
      <c r="Z1170" s="20">
        <f>IF($Y1170&lt;=Settings!$B$4*3,"C",IF($Y1170&lt;=(Settings!$B$4+Settings!$B$5)*3,"A",IF($Y1170&lt;=(Settings!$B$4+Settings!$B$5+Settings!$B$6)*3,"F","")))</f>
        <v/>
      </c>
      <c r="AA1170" s="20">
        <f>IF($Z1170="C",$Y1170,IF($Z1170="A",$Y1170-Settings!$B$4*3,IF($Z1170="F",$Y1170-(Settings!$B$4+Settings!$B$5)*3,"")))</f>
        <v/>
      </c>
      <c r="AB1170" s="20">
        <f>IF($Z1170="","",INT(($AA1170-1)/3)+1)</f>
        <v/>
      </c>
      <c r="AC1170" s="20">
        <f>IF($Z1170="","",MOD($AA1170-1,3)+1)</f>
        <v/>
      </c>
      <c r="AD1170" s="20">
        <f>IF($Z1170="","",Settings!$B$2+$AC1170-1)</f>
        <v/>
      </c>
      <c r="AE1170" s="21">
        <f>IF($Z1170="C",DATE(YEAR(INDEX(Contracts!$J$2:$J$151,$AB1170)),MONTH(INDEX(Contracts!$J$2:$J$151,$AB1170)),1),IF($Z1170="A",DATE(YEAR(INDEX(Fixed_Assets!$G$2:$G$201,$AB1170)),MONTH(INDEX(Fixed_Assets!$G$2:$G$201,$AB1170)),1),IF($Z1170="F",DATE(YEAR(MAX(N(INDEX(Workforce!$I$2:$I$151,MATCH(INDEX(FTE_Allocation!$A$2:$A$201,$AB1170),Workforce!$A$2:$A$151,0))),N(INDEX(FTE_Allocation!$I$2:$I$201,$AB1170)))),MONTH(MAX(N(INDEX(Workforce!$I$2:$I$151,MATCH(INDEX(FTE_Allocation!$A$2:$A$201,$AB1170),Workforce!$A$2:$A$151,0))),N(INDEX(FTE_Allocation!$I$2:$I$201,$AB1170)))),1),"")))</f>
        <v/>
      </c>
      <c r="AF1170" s="21">
        <f>IF($Z1170="C",IF(INDEX(Contracts!$I$2:$I$151,$AB1170)="PREPAID",EDATE(DATE(YEAR(INDEX(Contracts!$J$2:$J$151,$AB1170)),MONTH(INDEX(Contracts!$J$2:$J$151,$AB1170)),1),IF(INDEX(Contracts!$N$2:$N$151,$AB1170)="",12,INDEX(Contracts!$N$2:$N$151,$AB1170))-1),IF(INDEX(Contracts!$I$2:$I$151,$AB1170)="MONTHLY",IF(INDEX(Contracts!$K$2:$K$151,$AB1170)="",2958101,INDEX(Contracts!$K$2:$K$151,$AB1170)),0)),IF($Z1170="A",EDATE(DATE(YEAR(INDEX(Fixed_Assets!$G$2:$G$201,$AB1170)),MONTH(INDEX(Fixed_Assets!$G$2:$G$201,$AB1170)),1),INDEX(Fixed_Assets!$J$2:$J$201,$AB1170)-1),IF($Z1170="F",MIN(IF(INDEX(Workforce!$J$2:$J$151,MATCH(INDEX(FTE_Allocation!$A$2:$A$201,$AB1170),Workforce!$A$2:$A$151,0))="",2958101,INDEX(Workforce!$J$2:$J$151,MATCH(INDEX(FTE_Allocation!$A$2:$A$201,$AB1170),Workforce!$A$2:$A$151,0))),IF(INDEX(FTE_Allocation!$J$2:$J$201,$AB1170)="",2958101,INDEX(FTE_Allocation!$J$2:$J$201,$AB1170))),"")))</f>
        <v/>
      </c>
      <c r="AG1170" s="19">
        <f>IF($Z1170="C",IF(INDEX(Contracts!$I$2:$I$151,$AB1170)="PREPAID",INDEX(Contracts!$M$2:$M$151,$AB1170)/IF(INDEX(Contracts!$N$2:$N$151,$AB1170)="",12,INDEX(Contracts!$N$2:$N$151,$AB1170)),IF(INDEX(Contracts!$I$2:$I$151,$AB1170)="MONTHLY",INDEX(Contracts!$M$2:$M$151,$AB1170),0))*(1-N(INDEX(Contracts!$O$2:$O$151,$AB1170))),IF($Z1170="A",INDEX(Fixed_Assets!$H$2:$H$201,$AB1170)/INDEX(Fixed_Assets!$J$2:$J$201,$AB1170),IF($Z1170="F",INDEX(Workforce!$F$2:$F$151,MATCH(INDEX(FTE_Allocation!$A$2:$A$201,$AB1170),Workforce!$A$2:$A$151,0))*N(INDEX(FTE_Allocation!$F$2:$H$201,$AB1170,$AC1170)),"")))</f>
        <v/>
      </c>
    </row>
    <row r="1171">
      <c r="A1171" s="7">
        <f>IF($Z1171="","",$AD1171)</f>
        <v/>
      </c>
      <c r="B1171" s="7">
        <f>IF($Z1171="C",INDEX(Contracts!$D$2:$D$151,$AB1171)&amp;"",IF($Z1171="A",INDEX(Fixed_Assets!$C$2:$C$201,$AB1171)&amp;"",IF($Z1171="F",INDEX(Workforce!$B$2:$B$151,MATCH(INDEX(FTE_Allocation!$A$2:$A$201,$AB1171),Workforce!$A$2:$A$151,0))&amp;"","")))</f>
        <v/>
      </c>
      <c r="C1171" s="7">
        <f>IF($Z1171="C",INDEX(Contracts!$E$2:$E$151,$AB1171)&amp;"",IF($Z1171="A",INDEX(Fixed_Assets!$D$2:$D$201,$AB1171)&amp;"",IF($Z1171="F",INDEX(FTE_Allocation!$C$2:$C$201,$AB1171)&amp;"","")))</f>
        <v/>
      </c>
      <c r="D1171" s="7">
        <f>IF($Z1171="C",INDEX(Contracts!$B$2:$B$151,$AB1171)&amp;"",IF($Z1171="A",INDEX(Fixed_Assets!$B$2:$B$201,$AB1171)&amp;"",IF($Z1171="F",INDEX(FTE_Allocation!$B$2:$B$201,$AB1171)&amp;"","")))</f>
        <v/>
      </c>
      <c r="E1171" s="7">
        <f>IF($Z1171="C",INDEX(Contracts!$P$2:$P$151,$AB1171)&amp;"",IF($Z1171="A",INDEX(Fixed_Assets!$K$2:$K$201,$AB1171)&amp;"",IF($Z1171="F",IF(INDEX(FTE_Allocation!$D$2:$D$201,$AB1171)="PROJECT",IFERROR(INDEX(Projects!$D:$D,MATCH(INDEX(FTE_Allocation!$E$2:$E$201,$AB1171),Projects!$A:$A,0))&amp;"","#PROJECT?"),INDEX(FTE_Allocation!$E$2:$E$201,$AB1171)&amp;""),"")))</f>
        <v/>
      </c>
      <c r="F1171" s="7">
        <f>IF($Z1171="C",INDEX(Contracts!$Q$2:$Q$151,$AB1171)&amp;"",IF($Z1171="A",INDEX(Fixed_Assets!$L$2:$L$201,$AB1171)&amp;"",IF($Z1171="F",INDEX(Workforce!$K$2:$K$151,MATCH(INDEX(FTE_Allocation!$A$2:$A$201,$AB1171),Workforce!$A$2:$A$151,0))&amp;"","")))</f>
        <v/>
      </c>
      <c r="G1171" s="7">
        <f>IF($Z1171="C",INDEX(Contracts!$F$2:$F$151,$AB1171)&amp;" / "&amp;INDEX(Contracts!$G$2:$G$151,$AB1171),IF($Z1171="A",INDEX(Fixed_Assets!$E$2:$E$201,$AB1171)&amp;"",IF($Z1171="F","Personnel "&amp;INDEX(FTE_Allocation!$A$2:$A$201,$AB1171)&amp;IF(INDEX(FTE_Allocation!$D$2:$D$201,$AB1171)="PROJECT"," ("&amp;INDEX(FTE_Allocation!$E$2:$E$201,$AB1171)&amp;")",""),"")))</f>
        <v/>
      </c>
      <c r="H1171" s="7">
        <f>IF($Z1171="C","CONTRACT",IF($Z1171="A","ASSET",IF($Z1171="F","WORKFORCE","")))</f>
        <v/>
      </c>
      <c r="I1171" s="7">
        <f>IF($Z1171="C",INDEX(Contracts!$L$2:$L$151,$AB1171)&amp;"",IF($Z1171="A",INDEX(Fixed_Assets!$I$2:$I$201,$AB1171)&amp;"",IF($Z1171="F",INDEX(Workforce!$G$2:$G$151,MATCH(INDEX(FTE_Allocation!$A$2:$A$201,$AB1171),Workforce!$A$2:$A$151,0))&amp;"","")))</f>
        <v/>
      </c>
      <c r="J1171" s="18">
        <f>IF($Z1171="","",IF(AND(DATE($AD1171,1,1)&gt;=$AE1171,DATE($AD1171,1,1)&lt;=$AF1171),ROUND($AG1171,2),0))</f>
        <v/>
      </c>
      <c r="K1171" s="18">
        <f>IF($Z1171="","",IF(AND(DATE($AD1171,2,1)&gt;=$AE1171,DATE($AD1171,2,1)&lt;=$AF1171),ROUND($AG1171,2),0))</f>
        <v/>
      </c>
      <c r="L1171" s="18">
        <f>IF($Z1171="","",IF(AND(DATE($AD1171,3,1)&gt;=$AE1171,DATE($AD1171,3,1)&lt;=$AF1171),ROUND($AG1171,2),0))</f>
        <v/>
      </c>
      <c r="M1171" s="18">
        <f>IF($Z1171="","",IF(AND(DATE($AD1171,4,1)&gt;=$AE1171,DATE($AD1171,4,1)&lt;=$AF1171),ROUND($AG1171,2),0))</f>
        <v/>
      </c>
      <c r="N1171" s="18">
        <f>IF($Z1171="","",IF(AND(DATE($AD1171,5,1)&gt;=$AE1171,DATE($AD1171,5,1)&lt;=$AF1171),ROUND($AG1171,2),0))</f>
        <v/>
      </c>
      <c r="O1171" s="18">
        <f>IF($Z1171="","",IF(AND(DATE($AD1171,6,1)&gt;=$AE1171,DATE($AD1171,6,1)&lt;=$AF1171),ROUND($AG1171,2),0))</f>
        <v/>
      </c>
      <c r="P1171" s="18">
        <f>IF($Z1171="","",IF(AND(DATE($AD1171,7,1)&gt;=$AE1171,DATE($AD1171,7,1)&lt;=$AF1171),ROUND($AG1171,2),0))</f>
        <v/>
      </c>
      <c r="Q1171" s="18">
        <f>IF($Z1171="","",IF(AND(DATE($AD1171,8,1)&gt;=$AE1171,DATE($AD1171,8,1)&lt;=$AF1171),ROUND($AG1171,2),0))</f>
        <v/>
      </c>
      <c r="R1171" s="18">
        <f>IF($Z1171="","",IF(AND(DATE($AD1171,9,1)&gt;=$AE1171,DATE($AD1171,9,1)&lt;=$AF1171),ROUND($AG1171,2),0))</f>
        <v/>
      </c>
      <c r="S1171" s="18">
        <f>IF($Z1171="","",IF(AND(DATE($AD1171,10,1)&gt;=$AE1171,DATE($AD1171,10,1)&lt;=$AF1171),ROUND($AG1171,2),0))</f>
        <v/>
      </c>
      <c r="T1171" s="18">
        <f>IF($Z1171="","",IF(AND(DATE($AD1171,11,1)&gt;=$AE1171,DATE($AD1171,11,1)&lt;=$AF1171),ROUND($AG1171,2),0))</f>
        <v/>
      </c>
      <c r="U1171" s="18">
        <f>IF($Z1171="","",IF(AND(DATE($AD1171,12,1)&gt;=$AE1171,DATE($AD1171,12,1)&lt;=$AF1171),ROUND($AG1171,2),0))</f>
        <v/>
      </c>
      <c r="V1171" s="7">
        <f>IF($Z1171="C","Generated from "&amp;INDEX(Contracts!$A$2:$A$151,$AB1171),IF($Z1171="A","Generated from "&amp;INDEX(Fixed_Assets!$A$2:$A$201,$AB1171),IF($Z1171="F","Generated from "&amp;INDEX(FTE_Allocation!$A$2:$A$201,$AB1171),"")))</f>
        <v/>
      </c>
      <c r="X1171" s="19">
        <f>IF($Z1171="","",SUM(J1171:U1171))</f>
        <v/>
      </c>
      <c r="Y1171" s="20">
        <f>ROW()-1</f>
        <v/>
      </c>
      <c r="Z1171" s="20">
        <f>IF($Y1171&lt;=Settings!$B$4*3,"C",IF($Y1171&lt;=(Settings!$B$4+Settings!$B$5)*3,"A",IF($Y1171&lt;=(Settings!$B$4+Settings!$B$5+Settings!$B$6)*3,"F","")))</f>
        <v/>
      </c>
      <c r="AA1171" s="20">
        <f>IF($Z1171="C",$Y1171,IF($Z1171="A",$Y1171-Settings!$B$4*3,IF($Z1171="F",$Y1171-(Settings!$B$4+Settings!$B$5)*3,"")))</f>
        <v/>
      </c>
      <c r="AB1171" s="20">
        <f>IF($Z1171="","",INT(($AA1171-1)/3)+1)</f>
        <v/>
      </c>
      <c r="AC1171" s="20">
        <f>IF($Z1171="","",MOD($AA1171-1,3)+1)</f>
        <v/>
      </c>
      <c r="AD1171" s="20">
        <f>IF($Z1171="","",Settings!$B$2+$AC1171-1)</f>
        <v/>
      </c>
      <c r="AE1171" s="21">
        <f>IF($Z1171="C",DATE(YEAR(INDEX(Contracts!$J$2:$J$151,$AB1171)),MONTH(INDEX(Contracts!$J$2:$J$151,$AB1171)),1),IF($Z1171="A",DATE(YEAR(INDEX(Fixed_Assets!$G$2:$G$201,$AB1171)),MONTH(INDEX(Fixed_Assets!$G$2:$G$201,$AB1171)),1),IF($Z1171="F",DATE(YEAR(MAX(N(INDEX(Workforce!$I$2:$I$151,MATCH(INDEX(FTE_Allocation!$A$2:$A$201,$AB1171),Workforce!$A$2:$A$151,0))),N(INDEX(FTE_Allocation!$I$2:$I$201,$AB1171)))),MONTH(MAX(N(INDEX(Workforce!$I$2:$I$151,MATCH(INDEX(FTE_Allocation!$A$2:$A$201,$AB1171),Workforce!$A$2:$A$151,0))),N(INDEX(FTE_Allocation!$I$2:$I$201,$AB1171)))),1),"")))</f>
        <v/>
      </c>
      <c r="AF1171" s="21">
        <f>IF($Z1171="C",IF(INDEX(Contracts!$I$2:$I$151,$AB1171)="PREPAID",EDATE(DATE(YEAR(INDEX(Contracts!$J$2:$J$151,$AB1171)),MONTH(INDEX(Contracts!$J$2:$J$151,$AB1171)),1),IF(INDEX(Contracts!$N$2:$N$151,$AB1171)="",12,INDEX(Contracts!$N$2:$N$151,$AB1171))-1),IF(INDEX(Contracts!$I$2:$I$151,$AB1171)="MONTHLY",IF(INDEX(Contracts!$K$2:$K$151,$AB1171)="",2958101,INDEX(Contracts!$K$2:$K$151,$AB1171)),0)),IF($Z1171="A",EDATE(DATE(YEAR(INDEX(Fixed_Assets!$G$2:$G$201,$AB1171)),MONTH(INDEX(Fixed_Assets!$G$2:$G$201,$AB1171)),1),INDEX(Fixed_Assets!$J$2:$J$201,$AB1171)-1),IF($Z1171="F",MIN(IF(INDEX(Workforce!$J$2:$J$151,MATCH(INDEX(FTE_Allocation!$A$2:$A$201,$AB1171),Workforce!$A$2:$A$151,0))="",2958101,INDEX(Workforce!$J$2:$J$151,MATCH(INDEX(FTE_Allocation!$A$2:$A$201,$AB1171),Workforce!$A$2:$A$151,0))),IF(INDEX(FTE_Allocation!$J$2:$J$201,$AB1171)="",2958101,INDEX(FTE_Allocation!$J$2:$J$201,$AB1171))),"")))</f>
        <v/>
      </c>
      <c r="AG1171" s="19">
        <f>IF($Z1171="C",IF(INDEX(Contracts!$I$2:$I$151,$AB1171)="PREPAID",INDEX(Contracts!$M$2:$M$151,$AB1171)/IF(INDEX(Contracts!$N$2:$N$151,$AB1171)="",12,INDEX(Contracts!$N$2:$N$151,$AB1171)),IF(INDEX(Contracts!$I$2:$I$151,$AB1171)="MONTHLY",INDEX(Contracts!$M$2:$M$151,$AB1171),0))*(1-N(INDEX(Contracts!$O$2:$O$151,$AB1171))),IF($Z1171="A",INDEX(Fixed_Assets!$H$2:$H$201,$AB1171)/INDEX(Fixed_Assets!$J$2:$J$201,$AB1171),IF($Z1171="F",INDEX(Workforce!$F$2:$F$151,MATCH(INDEX(FTE_Allocation!$A$2:$A$201,$AB1171),Workforce!$A$2:$A$151,0))*N(INDEX(FTE_Allocation!$F$2:$H$201,$AB1171,$AC1171)),"")))</f>
        <v/>
      </c>
    </row>
    <row r="1172">
      <c r="A1172" s="7">
        <f>IF($Z1172="","",$AD1172)</f>
        <v/>
      </c>
      <c r="B1172" s="7">
        <f>IF($Z1172="C",INDEX(Contracts!$D$2:$D$151,$AB1172)&amp;"",IF($Z1172="A",INDEX(Fixed_Assets!$C$2:$C$201,$AB1172)&amp;"",IF($Z1172="F",INDEX(Workforce!$B$2:$B$151,MATCH(INDEX(FTE_Allocation!$A$2:$A$201,$AB1172),Workforce!$A$2:$A$151,0))&amp;"","")))</f>
        <v/>
      </c>
      <c r="C1172" s="7">
        <f>IF($Z1172="C",INDEX(Contracts!$E$2:$E$151,$AB1172)&amp;"",IF($Z1172="A",INDEX(Fixed_Assets!$D$2:$D$201,$AB1172)&amp;"",IF($Z1172="F",INDEX(FTE_Allocation!$C$2:$C$201,$AB1172)&amp;"","")))</f>
        <v/>
      </c>
      <c r="D1172" s="7">
        <f>IF($Z1172="C",INDEX(Contracts!$B$2:$B$151,$AB1172)&amp;"",IF($Z1172="A",INDEX(Fixed_Assets!$B$2:$B$201,$AB1172)&amp;"",IF($Z1172="F",INDEX(FTE_Allocation!$B$2:$B$201,$AB1172)&amp;"","")))</f>
        <v/>
      </c>
      <c r="E1172" s="7">
        <f>IF($Z1172="C",INDEX(Contracts!$P$2:$P$151,$AB1172)&amp;"",IF($Z1172="A",INDEX(Fixed_Assets!$K$2:$K$201,$AB1172)&amp;"",IF($Z1172="F",IF(INDEX(FTE_Allocation!$D$2:$D$201,$AB1172)="PROJECT",IFERROR(INDEX(Projects!$D:$D,MATCH(INDEX(FTE_Allocation!$E$2:$E$201,$AB1172),Projects!$A:$A,0))&amp;"","#PROJECT?"),INDEX(FTE_Allocation!$E$2:$E$201,$AB1172)&amp;""),"")))</f>
        <v/>
      </c>
      <c r="F1172" s="7">
        <f>IF($Z1172="C",INDEX(Contracts!$Q$2:$Q$151,$AB1172)&amp;"",IF($Z1172="A",INDEX(Fixed_Assets!$L$2:$L$201,$AB1172)&amp;"",IF($Z1172="F",INDEX(Workforce!$K$2:$K$151,MATCH(INDEX(FTE_Allocation!$A$2:$A$201,$AB1172),Workforce!$A$2:$A$151,0))&amp;"","")))</f>
        <v/>
      </c>
      <c r="G1172" s="7">
        <f>IF($Z1172="C",INDEX(Contracts!$F$2:$F$151,$AB1172)&amp;" / "&amp;INDEX(Contracts!$G$2:$G$151,$AB1172),IF($Z1172="A",INDEX(Fixed_Assets!$E$2:$E$201,$AB1172)&amp;"",IF($Z1172="F","Personnel "&amp;INDEX(FTE_Allocation!$A$2:$A$201,$AB1172)&amp;IF(INDEX(FTE_Allocation!$D$2:$D$201,$AB1172)="PROJECT"," ("&amp;INDEX(FTE_Allocation!$E$2:$E$201,$AB1172)&amp;")",""),"")))</f>
        <v/>
      </c>
      <c r="H1172" s="7">
        <f>IF($Z1172="C","CONTRACT",IF($Z1172="A","ASSET",IF($Z1172="F","WORKFORCE","")))</f>
        <v/>
      </c>
      <c r="I1172" s="7">
        <f>IF($Z1172="C",INDEX(Contracts!$L$2:$L$151,$AB1172)&amp;"",IF($Z1172="A",INDEX(Fixed_Assets!$I$2:$I$201,$AB1172)&amp;"",IF($Z1172="F",INDEX(Workforce!$G$2:$G$151,MATCH(INDEX(FTE_Allocation!$A$2:$A$201,$AB1172),Workforce!$A$2:$A$151,0))&amp;"","")))</f>
        <v/>
      </c>
      <c r="J1172" s="18">
        <f>IF($Z1172="","",IF(AND(DATE($AD1172,1,1)&gt;=$AE1172,DATE($AD1172,1,1)&lt;=$AF1172),ROUND($AG1172,2),0))</f>
        <v/>
      </c>
      <c r="K1172" s="18">
        <f>IF($Z1172="","",IF(AND(DATE($AD1172,2,1)&gt;=$AE1172,DATE($AD1172,2,1)&lt;=$AF1172),ROUND($AG1172,2),0))</f>
        <v/>
      </c>
      <c r="L1172" s="18">
        <f>IF($Z1172="","",IF(AND(DATE($AD1172,3,1)&gt;=$AE1172,DATE($AD1172,3,1)&lt;=$AF1172),ROUND($AG1172,2),0))</f>
        <v/>
      </c>
      <c r="M1172" s="18">
        <f>IF($Z1172="","",IF(AND(DATE($AD1172,4,1)&gt;=$AE1172,DATE($AD1172,4,1)&lt;=$AF1172),ROUND($AG1172,2),0))</f>
        <v/>
      </c>
      <c r="N1172" s="18">
        <f>IF($Z1172="","",IF(AND(DATE($AD1172,5,1)&gt;=$AE1172,DATE($AD1172,5,1)&lt;=$AF1172),ROUND($AG1172,2),0))</f>
        <v/>
      </c>
      <c r="O1172" s="18">
        <f>IF($Z1172="","",IF(AND(DATE($AD1172,6,1)&gt;=$AE1172,DATE($AD1172,6,1)&lt;=$AF1172),ROUND($AG1172,2),0))</f>
        <v/>
      </c>
      <c r="P1172" s="18">
        <f>IF($Z1172="","",IF(AND(DATE($AD1172,7,1)&gt;=$AE1172,DATE($AD1172,7,1)&lt;=$AF1172),ROUND($AG1172,2),0))</f>
        <v/>
      </c>
      <c r="Q1172" s="18">
        <f>IF($Z1172="","",IF(AND(DATE($AD1172,8,1)&gt;=$AE1172,DATE($AD1172,8,1)&lt;=$AF1172),ROUND($AG1172,2),0))</f>
        <v/>
      </c>
      <c r="R1172" s="18">
        <f>IF($Z1172="","",IF(AND(DATE($AD1172,9,1)&gt;=$AE1172,DATE($AD1172,9,1)&lt;=$AF1172),ROUND($AG1172,2),0))</f>
        <v/>
      </c>
      <c r="S1172" s="18">
        <f>IF($Z1172="","",IF(AND(DATE($AD1172,10,1)&gt;=$AE1172,DATE($AD1172,10,1)&lt;=$AF1172),ROUND($AG1172,2),0))</f>
        <v/>
      </c>
      <c r="T1172" s="18">
        <f>IF($Z1172="","",IF(AND(DATE($AD1172,11,1)&gt;=$AE1172,DATE($AD1172,11,1)&lt;=$AF1172),ROUND($AG1172,2),0))</f>
        <v/>
      </c>
      <c r="U1172" s="18">
        <f>IF($Z1172="","",IF(AND(DATE($AD1172,12,1)&gt;=$AE1172,DATE($AD1172,12,1)&lt;=$AF1172),ROUND($AG1172,2),0))</f>
        <v/>
      </c>
      <c r="V1172" s="7">
        <f>IF($Z1172="C","Generated from "&amp;INDEX(Contracts!$A$2:$A$151,$AB1172),IF($Z1172="A","Generated from "&amp;INDEX(Fixed_Assets!$A$2:$A$201,$AB1172),IF($Z1172="F","Generated from "&amp;INDEX(FTE_Allocation!$A$2:$A$201,$AB1172),"")))</f>
        <v/>
      </c>
      <c r="X1172" s="19">
        <f>IF($Z1172="","",SUM(J1172:U1172))</f>
        <v/>
      </c>
      <c r="Y1172" s="20">
        <f>ROW()-1</f>
        <v/>
      </c>
      <c r="Z1172" s="20">
        <f>IF($Y1172&lt;=Settings!$B$4*3,"C",IF($Y1172&lt;=(Settings!$B$4+Settings!$B$5)*3,"A",IF($Y1172&lt;=(Settings!$B$4+Settings!$B$5+Settings!$B$6)*3,"F","")))</f>
        <v/>
      </c>
      <c r="AA1172" s="20">
        <f>IF($Z1172="C",$Y1172,IF($Z1172="A",$Y1172-Settings!$B$4*3,IF($Z1172="F",$Y1172-(Settings!$B$4+Settings!$B$5)*3,"")))</f>
        <v/>
      </c>
      <c r="AB1172" s="20">
        <f>IF($Z1172="","",INT(($AA1172-1)/3)+1)</f>
        <v/>
      </c>
      <c r="AC1172" s="20">
        <f>IF($Z1172="","",MOD($AA1172-1,3)+1)</f>
        <v/>
      </c>
      <c r="AD1172" s="20">
        <f>IF($Z1172="","",Settings!$B$2+$AC1172-1)</f>
        <v/>
      </c>
      <c r="AE1172" s="21">
        <f>IF($Z1172="C",DATE(YEAR(INDEX(Contracts!$J$2:$J$151,$AB1172)),MONTH(INDEX(Contracts!$J$2:$J$151,$AB1172)),1),IF($Z1172="A",DATE(YEAR(INDEX(Fixed_Assets!$G$2:$G$201,$AB1172)),MONTH(INDEX(Fixed_Assets!$G$2:$G$201,$AB1172)),1),IF($Z1172="F",DATE(YEAR(MAX(N(INDEX(Workforce!$I$2:$I$151,MATCH(INDEX(FTE_Allocation!$A$2:$A$201,$AB1172),Workforce!$A$2:$A$151,0))),N(INDEX(FTE_Allocation!$I$2:$I$201,$AB1172)))),MONTH(MAX(N(INDEX(Workforce!$I$2:$I$151,MATCH(INDEX(FTE_Allocation!$A$2:$A$201,$AB1172),Workforce!$A$2:$A$151,0))),N(INDEX(FTE_Allocation!$I$2:$I$201,$AB1172)))),1),"")))</f>
        <v/>
      </c>
      <c r="AF1172" s="21">
        <f>IF($Z1172="C",IF(INDEX(Contracts!$I$2:$I$151,$AB1172)="PREPAID",EDATE(DATE(YEAR(INDEX(Contracts!$J$2:$J$151,$AB1172)),MONTH(INDEX(Contracts!$J$2:$J$151,$AB1172)),1),IF(INDEX(Contracts!$N$2:$N$151,$AB1172)="",12,INDEX(Contracts!$N$2:$N$151,$AB1172))-1),IF(INDEX(Contracts!$I$2:$I$151,$AB1172)="MONTHLY",IF(INDEX(Contracts!$K$2:$K$151,$AB1172)="",2958101,INDEX(Contracts!$K$2:$K$151,$AB1172)),0)),IF($Z1172="A",EDATE(DATE(YEAR(INDEX(Fixed_Assets!$G$2:$G$201,$AB1172)),MONTH(INDEX(Fixed_Assets!$G$2:$G$201,$AB1172)),1),INDEX(Fixed_Assets!$J$2:$J$201,$AB1172)-1),IF($Z1172="F",MIN(IF(INDEX(Workforce!$J$2:$J$151,MATCH(INDEX(FTE_Allocation!$A$2:$A$201,$AB1172),Workforce!$A$2:$A$151,0))="",2958101,INDEX(Workforce!$J$2:$J$151,MATCH(INDEX(FTE_Allocation!$A$2:$A$201,$AB1172),Workforce!$A$2:$A$151,0))),IF(INDEX(FTE_Allocation!$J$2:$J$201,$AB1172)="",2958101,INDEX(FTE_Allocation!$J$2:$J$201,$AB1172))),"")))</f>
        <v/>
      </c>
      <c r="AG1172" s="19">
        <f>IF($Z1172="C",IF(INDEX(Contracts!$I$2:$I$151,$AB1172)="PREPAID",INDEX(Contracts!$M$2:$M$151,$AB1172)/IF(INDEX(Contracts!$N$2:$N$151,$AB1172)="",12,INDEX(Contracts!$N$2:$N$151,$AB1172)),IF(INDEX(Contracts!$I$2:$I$151,$AB1172)="MONTHLY",INDEX(Contracts!$M$2:$M$151,$AB1172),0))*(1-N(INDEX(Contracts!$O$2:$O$151,$AB1172))),IF($Z1172="A",INDEX(Fixed_Assets!$H$2:$H$201,$AB1172)/INDEX(Fixed_Assets!$J$2:$J$201,$AB1172),IF($Z1172="F",INDEX(Workforce!$F$2:$F$151,MATCH(INDEX(FTE_Allocation!$A$2:$A$201,$AB1172),Workforce!$A$2:$A$151,0))*N(INDEX(FTE_Allocation!$F$2:$H$201,$AB1172,$AC1172)),"")))</f>
        <v/>
      </c>
    </row>
    <row r="1173">
      <c r="A1173" s="7">
        <f>IF($Z1173="","",$AD1173)</f>
        <v/>
      </c>
      <c r="B1173" s="7">
        <f>IF($Z1173="C",INDEX(Contracts!$D$2:$D$151,$AB1173)&amp;"",IF($Z1173="A",INDEX(Fixed_Assets!$C$2:$C$201,$AB1173)&amp;"",IF($Z1173="F",INDEX(Workforce!$B$2:$B$151,MATCH(INDEX(FTE_Allocation!$A$2:$A$201,$AB1173),Workforce!$A$2:$A$151,0))&amp;"","")))</f>
        <v/>
      </c>
      <c r="C1173" s="7">
        <f>IF($Z1173="C",INDEX(Contracts!$E$2:$E$151,$AB1173)&amp;"",IF($Z1173="A",INDEX(Fixed_Assets!$D$2:$D$201,$AB1173)&amp;"",IF($Z1173="F",INDEX(FTE_Allocation!$C$2:$C$201,$AB1173)&amp;"","")))</f>
        <v/>
      </c>
      <c r="D1173" s="7">
        <f>IF($Z1173="C",INDEX(Contracts!$B$2:$B$151,$AB1173)&amp;"",IF($Z1173="A",INDEX(Fixed_Assets!$B$2:$B$201,$AB1173)&amp;"",IF($Z1173="F",INDEX(FTE_Allocation!$B$2:$B$201,$AB1173)&amp;"","")))</f>
        <v/>
      </c>
      <c r="E1173" s="7">
        <f>IF($Z1173="C",INDEX(Contracts!$P$2:$P$151,$AB1173)&amp;"",IF($Z1173="A",INDEX(Fixed_Assets!$K$2:$K$201,$AB1173)&amp;"",IF($Z1173="F",IF(INDEX(FTE_Allocation!$D$2:$D$201,$AB1173)="PROJECT",IFERROR(INDEX(Projects!$D:$D,MATCH(INDEX(FTE_Allocation!$E$2:$E$201,$AB1173),Projects!$A:$A,0))&amp;"","#PROJECT?"),INDEX(FTE_Allocation!$E$2:$E$201,$AB1173)&amp;""),"")))</f>
        <v/>
      </c>
      <c r="F1173" s="7">
        <f>IF($Z1173="C",INDEX(Contracts!$Q$2:$Q$151,$AB1173)&amp;"",IF($Z1173="A",INDEX(Fixed_Assets!$L$2:$L$201,$AB1173)&amp;"",IF($Z1173="F",INDEX(Workforce!$K$2:$K$151,MATCH(INDEX(FTE_Allocation!$A$2:$A$201,$AB1173),Workforce!$A$2:$A$151,0))&amp;"","")))</f>
        <v/>
      </c>
      <c r="G1173" s="7">
        <f>IF($Z1173="C",INDEX(Contracts!$F$2:$F$151,$AB1173)&amp;" / "&amp;INDEX(Contracts!$G$2:$G$151,$AB1173),IF($Z1173="A",INDEX(Fixed_Assets!$E$2:$E$201,$AB1173)&amp;"",IF($Z1173="F","Personnel "&amp;INDEX(FTE_Allocation!$A$2:$A$201,$AB1173)&amp;IF(INDEX(FTE_Allocation!$D$2:$D$201,$AB1173)="PROJECT"," ("&amp;INDEX(FTE_Allocation!$E$2:$E$201,$AB1173)&amp;")",""),"")))</f>
        <v/>
      </c>
      <c r="H1173" s="7">
        <f>IF($Z1173="C","CONTRACT",IF($Z1173="A","ASSET",IF($Z1173="F","WORKFORCE","")))</f>
        <v/>
      </c>
      <c r="I1173" s="7">
        <f>IF($Z1173="C",INDEX(Contracts!$L$2:$L$151,$AB1173)&amp;"",IF($Z1173="A",INDEX(Fixed_Assets!$I$2:$I$201,$AB1173)&amp;"",IF($Z1173="F",INDEX(Workforce!$G$2:$G$151,MATCH(INDEX(FTE_Allocation!$A$2:$A$201,$AB1173),Workforce!$A$2:$A$151,0))&amp;"","")))</f>
        <v/>
      </c>
      <c r="J1173" s="18">
        <f>IF($Z1173="","",IF(AND(DATE($AD1173,1,1)&gt;=$AE1173,DATE($AD1173,1,1)&lt;=$AF1173),ROUND($AG1173,2),0))</f>
        <v/>
      </c>
      <c r="K1173" s="18">
        <f>IF($Z1173="","",IF(AND(DATE($AD1173,2,1)&gt;=$AE1173,DATE($AD1173,2,1)&lt;=$AF1173),ROUND($AG1173,2),0))</f>
        <v/>
      </c>
      <c r="L1173" s="18">
        <f>IF($Z1173="","",IF(AND(DATE($AD1173,3,1)&gt;=$AE1173,DATE($AD1173,3,1)&lt;=$AF1173),ROUND($AG1173,2),0))</f>
        <v/>
      </c>
      <c r="M1173" s="18">
        <f>IF($Z1173="","",IF(AND(DATE($AD1173,4,1)&gt;=$AE1173,DATE($AD1173,4,1)&lt;=$AF1173),ROUND($AG1173,2),0))</f>
        <v/>
      </c>
      <c r="N1173" s="18">
        <f>IF($Z1173="","",IF(AND(DATE($AD1173,5,1)&gt;=$AE1173,DATE($AD1173,5,1)&lt;=$AF1173),ROUND($AG1173,2),0))</f>
        <v/>
      </c>
      <c r="O1173" s="18">
        <f>IF($Z1173="","",IF(AND(DATE($AD1173,6,1)&gt;=$AE1173,DATE($AD1173,6,1)&lt;=$AF1173),ROUND($AG1173,2),0))</f>
        <v/>
      </c>
      <c r="P1173" s="18">
        <f>IF($Z1173="","",IF(AND(DATE($AD1173,7,1)&gt;=$AE1173,DATE($AD1173,7,1)&lt;=$AF1173),ROUND($AG1173,2),0))</f>
        <v/>
      </c>
      <c r="Q1173" s="18">
        <f>IF($Z1173="","",IF(AND(DATE($AD1173,8,1)&gt;=$AE1173,DATE($AD1173,8,1)&lt;=$AF1173),ROUND($AG1173,2),0))</f>
        <v/>
      </c>
      <c r="R1173" s="18">
        <f>IF($Z1173="","",IF(AND(DATE($AD1173,9,1)&gt;=$AE1173,DATE($AD1173,9,1)&lt;=$AF1173),ROUND($AG1173,2),0))</f>
        <v/>
      </c>
      <c r="S1173" s="18">
        <f>IF($Z1173="","",IF(AND(DATE($AD1173,10,1)&gt;=$AE1173,DATE($AD1173,10,1)&lt;=$AF1173),ROUND($AG1173,2),0))</f>
        <v/>
      </c>
      <c r="T1173" s="18">
        <f>IF($Z1173="","",IF(AND(DATE($AD1173,11,1)&gt;=$AE1173,DATE($AD1173,11,1)&lt;=$AF1173),ROUND($AG1173,2),0))</f>
        <v/>
      </c>
      <c r="U1173" s="18">
        <f>IF($Z1173="","",IF(AND(DATE($AD1173,12,1)&gt;=$AE1173,DATE($AD1173,12,1)&lt;=$AF1173),ROUND($AG1173,2),0))</f>
        <v/>
      </c>
      <c r="V1173" s="7">
        <f>IF($Z1173="C","Generated from "&amp;INDEX(Contracts!$A$2:$A$151,$AB1173),IF($Z1173="A","Generated from "&amp;INDEX(Fixed_Assets!$A$2:$A$201,$AB1173),IF($Z1173="F","Generated from "&amp;INDEX(FTE_Allocation!$A$2:$A$201,$AB1173),"")))</f>
        <v/>
      </c>
      <c r="X1173" s="19">
        <f>IF($Z1173="","",SUM(J1173:U1173))</f>
        <v/>
      </c>
      <c r="Y1173" s="20">
        <f>ROW()-1</f>
        <v/>
      </c>
      <c r="Z1173" s="20">
        <f>IF($Y1173&lt;=Settings!$B$4*3,"C",IF($Y1173&lt;=(Settings!$B$4+Settings!$B$5)*3,"A",IF($Y1173&lt;=(Settings!$B$4+Settings!$B$5+Settings!$B$6)*3,"F","")))</f>
        <v/>
      </c>
      <c r="AA1173" s="20">
        <f>IF($Z1173="C",$Y1173,IF($Z1173="A",$Y1173-Settings!$B$4*3,IF($Z1173="F",$Y1173-(Settings!$B$4+Settings!$B$5)*3,"")))</f>
        <v/>
      </c>
      <c r="AB1173" s="20">
        <f>IF($Z1173="","",INT(($AA1173-1)/3)+1)</f>
        <v/>
      </c>
      <c r="AC1173" s="20">
        <f>IF($Z1173="","",MOD($AA1173-1,3)+1)</f>
        <v/>
      </c>
      <c r="AD1173" s="20">
        <f>IF($Z1173="","",Settings!$B$2+$AC1173-1)</f>
        <v/>
      </c>
      <c r="AE1173" s="21">
        <f>IF($Z1173="C",DATE(YEAR(INDEX(Contracts!$J$2:$J$151,$AB1173)),MONTH(INDEX(Contracts!$J$2:$J$151,$AB1173)),1),IF($Z1173="A",DATE(YEAR(INDEX(Fixed_Assets!$G$2:$G$201,$AB1173)),MONTH(INDEX(Fixed_Assets!$G$2:$G$201,$AB1173)),1),IF($Z1173="F",DATE(YEAR(MAX(N(INDEX(Workforce!$I$2:$I$151,MATCH(INDEX(FTE_Allocation!$A$2:$A$201,$AB1173),Workforce!$A$2:$A$151,0))),N(INDEX(FTE_Allocation!$I$2:$I$201,$AB1173)))),MONTH(MAX(N(INDEX(Workforce!$I$2:$I$151,MATCH(INDEX(FTE_Allocation!$A$2:$A$201,$AB1173),Workforce!$A$2:$A$151,0))),N(INDEX(FTE_Allocation!$I$2:$I$201,$AB1173)))),1),"")))</f>
        <v/>
      </c>
      <c r="AF1173" s="21">
        <f>IF($Z1173="C",IF(INDEX(Contracts!$I$2:$I$151,$AB1173)="PREPAID",EDATE(DATE(YEAR(INDEX(Contracts!$J$2:$J$151,$AB1173)),MONTH(INDEX(Contracts!$J$2:$J$151,$AB1173)),1),IF(INDEX(Contracts!$N$2:$N$151,$AB1173)="",12,INDEX(Contracts!$N$2:$N$151,$AB1173))-1),IF(INDEX(Contracts!$I$2:$I$151,$AB1173)="MONTHLY",IF(INDEX(Contracts!$K$2:$K$151,$AB1173)="",2958101,INDEX(Contracts!$K$2:$K$151,$AB1173)),0)),IF($Z1173="A",EDATE(DATE(YEAR(INDEX(Fixed_Assets!$G$2:$G$201,$AB1173)),MONTH(INDEX(Fixed_Assets!$G$2:$G$201,$AB1173)),1),INDEX(Fixed_Assets!$J$2:$J$201,$AB1173)-1),IF($Z1173="F",MIN(IF(INDEX(Workforce!$J$2:$J$151,MATCH(INDEX(FTE_Allocation!$A$2:$A$201,$AB1173),Workforce!$A$2:$A$151,0))="",2958101,INDEX(Workforce!$J$2:$J$151,MATCH(INDEX(FTE_Allocation!$A$2:$A$201,$AB1173),Workforce!$A$2:$A$151,0))),IF(INDEX(FTE_Allocation!$J$2:$J$201,$AB1173)="",2958101,INDEX(FTE_Allocation!$J$2:$J$201,$AB1173))),"")))</f>
        <v/>
      </c>
      <c r="AG1173" s="19">
        <f>IF($Z1173="C",IF(INDEX(Contracts!$I$2:$I$151,$AB1173)="PREPAID",INDEX(Contracts!$M$2:$M$151,$AB1173)/IF(INDEX(Contracts!$N$2:$N$151,$AB1173)="",12,INDEX(Contracts!$N$2:$N$151,$AB1173)),IF(INDEX(Contracts!$I$2:$I$151,$AB1173)="MONTHLY",INDEX(Contracts!$M$2:$M$151,$AB1173),0))*(1-N(INDEX(Contracts!$O$2:$O$151,$AB1173))),IF($Z1173="A",INDEX(Fixed_Assets!$H$2:$H$201,$AB1173)/INDEX(Fixed_Assets!$J$2:$J$201,$AB1173),IF($Z1173="F",INDEX(Workforce!$F$2:$F$151,MATCH(INDEX(FTE_Allocation!$A$2:$A$201,$AB1173),Workforce!$A$2:$A$151,0))*N(INDEX(FTE_Allocation!$F$2:$H$201,$AB1173,$AC1173)),"")))</f>
        <v/>
      </c>
    </row>
    <row r="1174">
      <c r="A1174" s="7">
        <f>IF($Z1174="","",$AD1174)</f>
        <v/>
      </c>
      <c r="B1174" s="7">
        <f>IF($Z1174="C",INDEX(Contracts!$D$2:$D$151,$AB1174)&amp;"",IF($Z1174="A",INDEX(Fixed_Assets!$C$2:$C$201,$AB1174)&amp;"",IF($Z1174="F",INDEX(Workforce!$B$2:$B$151,MATCH(INDEX(FTE_Allocation!$A$2:$A$201,$AB1174),Workforce!$A$2:$A$151,0))&amp;"","")))</f>
        <v/>
      </c>
      <c r="C1174" s="7">
        <f>IF($Z1174="C",INDEX(Contracts!$E$2:$E$151,$AB1174)&amp;"",IF($Z1174="A",INDEX(Fixed_Assets!$D$2:$D$201,$AB1174)&amp;"",IF($Z1174="F",INDEX(FTE_Allocation!$C$2:$C$201,$AB1174)&amp;"","")))</f>
        <v/>
      </c>
      <c r="D1174" s="7">
        <f>IF($Z1174="C",INDEX(Contracts!$B$2:$B$151,$AB1174)&amp;"",IF($Z1174="A",INDEX(Fixed_Assets!$B$2:$B$201,$AB1174)&amp;"",IF($Z1174="F",INDEX(FTE_Allocation!$B$2:$B$201,$AB1174)&amp;"","")))</f>
        <v/>
      </c>
      <c r="E1174" s="7">
        <f>IF($Z1174="C",INDEX(Contracts!$P$2:$P$151,$AB1174)&amp;"",IF($Z1174="A",INDEX(Fixed_Assets!$K$2:$K$201,$AB1174)&amp;"",IF($Z1174="F",IF(INDEX(FTE_Allocation!$D$2:$D$201,$AB1174)="PROJECT",IFERROR(INDEX(Projects!$D:$D,MATCH(INDEX(FTE_Allocation!$E$2:$E$201,$AB1174),Projects!$A:$A,0))&amp;"","#PROJECT?"),INDEX(FTE_Allocation!$E$2:$E$201,$AB1174)&amp;""),"")))</f>
        <v/>
      </c>
      <c r="F1174" s="7">
        <f>IF($Z1174="C",INDEX(Contracts!$Q$2:$Q$151,$AB1174)&amp;"",IF($Z1174="A",INDEX(Fixed_Assets!$L$2:$L$201,$AB1174)&amp;"",IF($Z1174="F",INDEX(Workforce!$K$2:$K$151,MATCH(INDEX(FTE_Allocation!$A$2:$A$201,$AB1174),Workforce!$A$2:$A$151,0))&amp;"","")))</f>
        <v/>
      </c>
      <c r="G1174" s="7">
        <f>IF($Z1174="C",INDEX(Contracts!$F$2:$F$151,$AB1174)&amp;" / "&amp;INDEX(Contracts!$G$2:$G$151,$AB1174),IF($Z1174="A",INDEX(Fixed_Assets!$E$2:$E$201,$AB1174)&amp;"",IF($Z1174="F","Personnel "&amp;INDEX(FTE_Allocation!$A$2:$A$201,$AB1174)&amp;IF(INDEX(FTE_Allocation!$D$2:$D$201,$AB1174)="PROJECT"," ("&amp;INDEX(FTE_Allocation!$E$2:$E$201,$AB1174)&amp;")",""),"")))</f>
        <v/>
      </c>
      <c r="H1174" s="7">
        <f>IF($Z1174="C","CONTRACT",IF($Z1174="A","ASSET",IF($Z1174="F","WORKFORCE","")))</f>
        <v/>
      </c>
      <c r="I1174" s="7">
        <f>IF($Z1174="C",INDEX(Contracts!$L$2:$L$151,$AB1174)&amp;"",IF($Z1174="A",INDEX(Fixed_Assets!$I$2:$I$201,$AB1174)&amp;"",IF($Z1174="F",INDEX(Workforce!$G$2:$G$151,MATCH(INDEX(FTE_Allocation!$A$2:$A$201,$AB1174),Workforce!$A$2:$A$151,0))&amp;"","")))</f>
        <v/>
      </c>
      <c r="J1174" s="18">
        <f>IF($Z1174="","",IF(AND(DATE($AD1174,1,1)&gt;=$AE1174,DATE($AD1174,1,1)&lt;=$AF1174),ROUND($AG1174,2),0))</f>
        <v/>
      </c>
      <c r="K1174" s="18">
        <f>IF($Z1174="","",IF(AND(DATE($AD1174,2,1)&gt;=$AE1174,DATE($AD1174,2,1)&lt;=$AF1174),ROUND($AG1174,2),0))</f>
        <v/>
      </c>
      <c r="L1174" s="18">
        <f>IF($Z1174="","",IF(AND(DATE($AD1174,3,1)&gt;=$AE1174,DATE($AD1174,3,1)&lt;=$AF1174),ROUND($AG1174,2),0))</f>
        <v/>
      </c>
      <c r="M1174" s="18">
        <f>IF($Z1174="","",IF(AND(DATE($AD1174,4,1)&gt;=$AE1174,DATE($AD1174,4,1)&lt;=$AF1174),ROUND($AG1174,2),0))</f>
        <v/>
      </c>
      <c r="N1174" s="18">
        <f>IF($Z1174="","",IF(AND(DATE($AD1174,5,1)&gt;=$AE1174,DATE($AD1174,5,1)&lt;=$AF1174),ROUND($AG1174,2),0))</f>
        <v/>
      </c>
      <c r="O1174" s="18">
        <f>IF($Z1174="","",IF(AND(DATE($AD1174,6,1)&gt;=$AE1174,DATE($AD1174,6,1)&lt;=$AF1174),ROUND($AG1174,2),0))</f>
        <v/>
      </c>
      <c r="P1174" s="18">
        <f>IF($Z1174="","",IF(AND(DATE($AD1174,7,1)&gt;=$AE1174,DATE($AD1174,7,1)&lt;=$AF1174),ROUND($AG1174,2),0))</f>
        <v/>
      </c>
      <c r="Q1174" s="18">
        <f>IF($Z1174="","",IF(AND(DATE($AD1174,8,1)&gt;=$AE1174,DATE($AD1174,8,1)&lt;=$AF1174),ROUND($AG1174,2),0))</f>
        <v/>
      </c>
      <c r="R1174" s="18">
        <f>IF($Z1174="","",IF(AND(DATE($AD1174,9,1)&gt;=$AE1174,DATE($AD1174,9,1)&lt;=$AF1174),ROUND($AG1174,2),0))</f>
        <v/>
      </c>
      <c r="S1174" s="18">
        <f>IF($Z1174="","",IF(AND(DATE($AD1174,10,1)&gt;=$AE1174,DATE($AD1174,10,1)&lt;=$AF1174),ROUND($AG1174,2),0))</f>
        <v/>
      </c>
      <c r="T1174" s="18">
        <f>IF($Z1174="","",IF(AND(DATE($AD1174,11,1)&gt;=$AE1174,DATE($AD1174,11,1)&lt;=$AF1174),ROUND($AG1174,2),0))</f>
        <v/>
      </c>
      <c r="U1174" s="18">
        <f>IF($Z1174="","",IF(AND(DATE($AD1174,12,1)&gt;=$AE1174,DATE($AD1174,12,1)&lt;=$AF1174),ROUND($AG1174,2),0))</f>
        <v/>
      </c>
      <c r="V1174" s="7">
        <f>IF($Z1174="C","Generated from "&amp;INDEX(Contracts!$A$2:$A$151,$AB1174),IF($Z1174="A","Generated from "&amp;INDEX(Fixed_Assets!$A$2:$A$201,$AB1174),IF($Z1174="F","Generated from "&amp;INDEX(FTE_Allocation!$A$2:$A$201,$AB1174),"")))</f>
        <v/>
      </c>
      <c r="X1174" s="19">
        <f>IF($Z1174="","",SUM(J1174:U1174))</f>
        <v/>
      </c>
      <c r="Y1174" s="20">
        <f>ROW()-1</f>
        <v/>
      </c>
      <c r="Z1174" s="20">
        <f>IF($Y1174&lt;=Settings!$B$4*3,"C",IF($Y1174&lt;=(Settings!$B$4+Settings!$B$5)*3,"A",IF($Y1174&lt;=(Settings!$B$4+Settings!$B$5+Settings!$B$6)*3,"F","")))</f>
        <v/>
      </c>
      <c r="AA1174" s="20">
        <f>IF($Z1174="C",$Y1174,IF($Z1174="A",$Y1174-Settings!$B$4*3,IF($Z1174="F",$Y1174-(Settings!$B$4+Settings!$B$5)*3,"")))</f>
        <v/>
      </c>
      <c r="AB1174" s="20">
        <f>IF($Z1174="","",INT(($AA1174-1)/3)+1)</f>
        <v/>
      </c>
      <c r="AC1174" s="20">
        <f>IF($Z1174="","",MOD($AA1174-1,3)+1)</f>
        <v/>
      </c>
      <c r="AD1174" s="20">
        <f>IF($Z1174="","",Settings!$B$2+$AC1174-1)</f>
        <v/>
      </c>
      <c r="AE1174" s="21">
        <f>IF($Z1174="C",DATE(YEAR(INDEX(Contracts!$J$2:$J$151,$AB1174)),MONTH(INDEX(Contracts!$J$2:$J$151,$AB1174)),1),IF($Z1174="A",DATE(YEAR(INDEX(Fixed_Assets!$G$2:$G$201,$AB1174)),MONTH(INDEX(Fixed_Assets!$G$2:$G$201,$AB1174)),1),IF($Z1174="F",DATE(YEAR(MAX(N(INDEX(Workforce!$I$2:$I$151,MATCH(INDEX(FTE_Allocation!$A$2:$A$201,$AB1174),Workforce!$A$2:$A$151,0))),N(INDEX(FTE_Allocation!$I$2:$I$201,$AB1174)))),MONTH(MAX(N(INDEX(Workforce!$I$2:$I$151,MATCH(INDEX(FTE_Allocation!$A$2:$A$201,$AB1174),Workforce!$A$2:$A$151,0))),N(INDEX(FTE_Allocation!$I$2:$I$201,$AB1174)))),1),"")))</f>
        <v/>
      </c>
      <c r="AF1174" s="21">
        <f>IF($Z1174="C",IF(INDEX(Contracts!$I$2:$I$151,$AB1174)="PREPAID",EDATE(DATE(YEAR(INDEX(Contracts!$J$2:$J$151,$AB1174)),MONTH(INDEX(Contracts!$J$2:$J$151,$AB1174)),1),IF(INDEX(Contracts!$N$2:$N$151,$AB1174)="",12,INDEX(Contracts!$N$2:$N$151,$AB1174))-1),IF(INDEX(Contracts!$I$2:$I$151,$AB1174)="MONTHLY",IF(INDEX(Contracts!$K$2:$K$151,$AB1174)="",2958101,INDEX(Contracts!$K$2:$K$151,$AB1174)),0)),IF($Z1174="A",EDATE(DATE(YEAR(INDEX(Fixed_Assets!$G$2:$G$201,$AB1174)),MONTH(INDEX(Fixed_Assets!$G$2:$G$201,$AB1174)),1),INDEX(Fixed_Assets!$J$2:$J$201,$AB1174)-1),IF($Z1174="F",MIN(IF(INDEX(Workforce!$J$2:$J$151,MATCH(INDEX(FTE_Allocation!$A$2:$A$201,$AB1174),Workforce!$A$2:$A$151,0))="",2958101,INDEX(Workforce!$J$2:$J$151,MATCH(INDEX(FTE_Allocation!$A$2:$A$201,$AB1174),Workforce!$A$2:$A$151,0))),IF(INDEX(FTE_Allocation!$J$2:$J$201,$AB1174)="",2958101,INDEX(FTE_Allocation!$J$2:$J$201,$AB1174))),"")))</f>
        <v/>
      </c>
      <c r="AG1174" s="19">
        <f>IF($Z1174="C",IF(INDEX(Contracts!$I$2:$I$151,$AB1174)="PREPAID",INDEX(Contracts!$M$2:$M$151,$AB1174)/IF(INDEX(Contracts!$N$2:$N$151,$AB1174)="",12,INDEX(Contracts!$N$2:$N$151,$AB1174)),IF(INDEX(Contracts!$I$2:$I$151,$AB1174)="MONTHLY",INDEX(Contracts!$M$2:$M$151,$AB1174),0))*(1-N(INDEX(Contracts!$O$2:$O$151,$AB1174))),IF($Z1174="A",INDEX(Fixed_Assets!$H$2:$H$201,$AB1174)/INDEX(Fixed_Assets!$J$2:$J$201,$AB1174),IF($Z1174="F",INDEX(Workforce!$F$2:$F$151,MATCH(INDEX(FTE_Allocation!$A$2:$A$201,$AB1174),Workforce!$A$2:$A$151,0))*N(INDEX(FTE_Allocation!$F$2:$H$201,$AB1174,$AC1174)),"")))</f>
        <v/>
      </c>
    </row>
    <row r="1175">
      <c r="A1175" s="7">
        <f>IF($Z1175="","",$AD1175)</f>
        <v/>
      </c>
      <c r="B1175" s="7">
        <f>IF($Z1175="C",INDEX(Contracts!$D$2:$D$151,$AB1175)&amp;"",IF($Z1175="A",INDEX(Fixed_Assets!$C$2:$C$201,$AB1175)&amp;"",IF($Z1175="F",INDEX(Workforce!$B$2:$B$151,MATCH(INDEX(FTE_Allocation!$A$2:$A$201,$AB1175),Workforce!$A$2:$A$151,0))&amp;"","")))</f>
        <v/>
      </c>
      <c r="C1175" s="7">
        <f>IF($Z1175="C",INDEX(Contracts!$E$2:$E$151,$AB1175)&amp;"",IF($Z1175="A",INDEX(Fixed_Assets!$D$2:$D$201,$AB1175)&amp;"",IF($Z1175="F",INDEX(FTE_Allocation!$C$2:$C$201,$AB1175)&amp;"","")))</f>
        <v/>
      </c>
      <c r="D1175" s="7">
        <f>IF($Z1175="C",INDEX(Contracts!$B$2:$B$151,$AB1175)&amp;"",IF($Z1175="A",INDEX(Fixed_Assets!$B$2:$B$201,$AB1175)&amp;"",IF($Z1175="F",INDEX(FTE_Allocation!$B$2:$B$201,$AB1175)&amp;"","")))</f>
        <v/>
      </c>
      <c r="E1175" s="7">
        <f>IF($Z1175="C",INDEX(Contracts!$P$2:$P$151,$AB1175)&amp;"",IF($Z1175="A",INDEX(Fixed_Assets!$K$2:$K$201,$AB1175)&amp;"",IF($Z1175="F",IF(INDEX(FTE_Allocation!$D$2:$D$201,$AB1175)="PROJECT",IFERROR(INDEX(Projects!$D:$D,MATCH(INDEX(FTE_Allocation!$E$2:$E$201,$AB1175),Projects!$A:$A,0))&amp;"","#PROJECT?"),INDEX(FTE_Allocation!$E$2:$E$201,$AB1175)&amp;""),"")))</f>
        <v/>
      </c>
      <c r="F1175" s="7">
        <f>IF($Z1175="C",INDEX(Contracts!$Q$2:$Q$151,$AB1175)&amp;"",IF($Z1175="A",INDEX(Fixed_Assets!$L$2:$L$201,$AB1175)&amp;"",IF($Z1175="F",INDEX(Workforce!$K$2:$K$151,MATCH(INDEX(FTE_Allocation!$A$2:$A$201,$AB1175),Workforce!$A$2:$A$151,0))&amp;"","")))</f>
        <v/>
      </c>
      <c r="G1175" s="7">
        <f>IF($Z1175="C",INDEX(Contracts!$F$2:$F$151,$AB1175)&amp;" / "&amp;INDEX(Contracts!$G$2:$G$151,$AB1175),IF($Z1175="A",INDEX(Fixed_Assets!$E$2:$E$201,$AB1175)&amp;"",IF($Z1175="F","Personnel "&amp;INDEX(FTE_Allocation!$A$2:$A$201,$AB1175)&amp;IF(INDEX(FTE_Allocation!$D$2:$D$201,$AB1175)="PROJECT"," ("&amp;INDEX(FTE_Allocation!$E$2:$E$201,$AB1175)&amp;")",""),"")))</f>
        <v/>
      </c>
      <c r="H1175" s="7">
        <f>IF($Z1175="C","CONTRACT",IF($Z1175="A","ASSET",IF($Z1175="F","WORKFORCE","")))</f>
        <v/>
      </c>
      <c r="I1175" s="7">
        <f>IF($Z1175="C",INDEX(Contracts!$L$2:$L$151,$AB1175)&amp;"",IF($Z1175="A",INDEX(Fixed_Assets!$I$2:$I$201,$AB1175)&amp;"",IF($Z1175="F",INDEX(Workforce!$G$2:$G$151,MATCH(INDEX(FTE_Allocation!$A$2:$A$201,$AB1175),Workforce!$A$2:$A$151,0))&amp;"","")))</f>
        <v/>
      </c>
      <c r="J1175" s="18">
        <f>IF($Z1175="","",IF(AND(DATE($AD1175,1,1)&gt;=$AE1175,DATE($AD1175,1,1)&lt;=$AF1175),ROUND($AG1175,2),0))</f>
        <v/>
      </c>
      <c r="K1175" s="18">
        <f>IF($Z1175="","",IF(AND(DATE($AD1175,2,1)&gt;=$AE1175,DATE($AD1175,2,1)&lt;=$AF1175),ROUND($AG1175,2),0))</f>
        <v/>
      </c>
      <c r="L1175" s="18">
        <f>IF($Z1175="","",IF(AND(DATE($AD1175,3,1)&gt;=$AE1175,DATE($AD1175,3,1)&lt;=$AF1175),ROUND($AG1175,2),0))</f>
        <v/>
      </c>
      <c r="M1175" s="18">
        <f>IF($Z1175="","",IF(AND(DATE($AD1175,4,1)&gt;=$AE1175,DATE($AD1175,4,1)&lt;=$AF1175),ROUND($AG1175,2),0))</f>
        <v/>
      </c>
      <c r="N1175" s="18">
        <f>IF($Z1175="","",IF(AND(DATE($AD1175,5,1)&gt;=$AE1175,DATE($AD1175,5,1)&lt;=$AF1175),ROUND($AG1175,2),0))</f>
        <v/>
      </c>
      <c r="O1175" s="18">
        <f>IF($Z1175="","",IF(AND(DATE($AD1175,6,1)&gt;=$AE1175,DATE($AD1175,6,1)&lt;=$AF1175),ROUND($AG1175,2),0))</f>
        <v/>
      </c>
      <c r="P1175" s="18">
        <f>IF($Z1175="","",IF(AND(DATE($AD1175,7,1)&gt;=$AE1175,DATE($AD1175,7,1)&lt;=$AF1175),ROUND($AG1175,2),0))</f>
        <v/>
      </c>
      <c r="Q1175" s="18">
        <f>IF($Z1175="","",IF(AND(DATE($AD1175,8,1)&gt;=$AE1175,DATE($AD1175,8,1)&lt;=$AF1175),ROUND($AG1175,2),0))</f>
        <v/>
      </c>
      <c r="R1175" s="18">
        <f>IF($Z1175="","",IF(AND(DATE($AD1175,9,1)&gt;=$AE1175,DATE($AD1175,9,1)&lt;=$AF1175),ROUND($AG1175,2),0))</f>
        <v/>
      </c>
      <c r="S1175" s="18">
        <f>IF($Z1175="","",IF(AND(DATE($AD1175,10,1)&gt;=$AE1175,DATE($AD1175,10,1)&lt;=$AF1175),ROUND($AG1175,2),0))</f>
        <v/>
      </c>
      <c r="T1175" s="18">
        <f>IF($Z1175="","",IF(AND(DATE($AD1175,11,1)&gt;=$AE1175,DATE($AD1175,11,1)&lt;=$AF1175),ROUND($AG1175,2),0))</f>
        <v/>
      </c>
      <c r="U1175" s="18">
        <f>IF($Z1175="","",IF(AND(DATE($AD1175,12,1)&gt;=$AE1175,DATE($AD1175,12,1)&lt;=$AF1175),ROUND($AG1175,2),0))</f>
        <v/>
      </c>
      <c r="V1175" s="7">
        <f>IF($Z1175="C","Generated from "&amp;INDEX(Contracts!$A$2:$A$151,$AB1175),IF($Z1175="A","Generated from "&amp;INDEX(Fixed_Assets!$A$2:$A$201,$AB1175),IF($Z1175="F","Generated from "&amp;INDEX(FTE_Allocation!$A$2:$A$201,$AB1175),"")))</f>
        <v/>
      </c>
      <c r="X1175" s="19">
        <f>IF($Z1175="","",SUM(J1175:U1175))</f>
        <v/>
      </c>
      <c r="Y1175" s="20">
        <f>ROW()-1</f>
        <v/>
      </c>
      <c r="Z1175" s="20">
        <f>IF($Y1175&lt;=Settings!$B$4*3,"C",IF($Y1175&lt;=(Settings!$B$4+Settings!$B$5)*3,"A",IF($Y1175&lt;=(Settings!$B$4+Settings!$B$5+Settings!$B$6)*3,"F","")))</f>
        <v/>
      </c>
      <c r="AA1175" s="20">
        <f>IF($Z1175="C",$Y1175,IF($Z1175="A",$Y1175-Settings!$B$4*3,IF($Z1175="F",$Y1175-(Settings!$B$4+Settings!$B$5)*3,"")))</f>
        <v/>
      </c>
      <c r="AB1175" s="20">
        <f>IF($Z1175="","",INT(($AA1175-1)/3)+1)</f>
        <v/>
      </c>
      <c r="AC1175" s="20">
        <f>IF($Z1175="","",MOD($AA1175-1,3)+1)</f>
        <v/>
      </c>
      <c r="AD1175" s="20">
        <f>IF($Z1175="","",Settings!$B$2+$AC1175-1)</f>
        <v/>
      </c>
      <c r="AE1175" s="21">
        <f>IF($Z1175="C",DATE(YEAR(INDEX(Contracts!$J$2:$J$151,$AB1175)),MONTH(INDEX(Contracts!$J$2:$J$151,$AB1175)),1),IF($Z1175="A",DATE(YEAR(INDEX(Fixed_Assets!$G$2:$G$201,$AB1175)),MONTH(INDEX(Fixed_Assets!$G$2:$G$201,$AB1175)),1),IF($Z1175="F",DATE(YEAR(MAX(N(INDEX(Workforce!$I$2:$I$151,MATCH(INDEX(FTE_Allocation!$A$2:$A$201,$AB1175),Workforce!$A$2:$A$151,0))),N(INDEX(FTE_Allocation!$I$2:$I$201,$AB1175)))),MONTH(MAX(N(INDEX(Workforce!$I$2:$I$151,MATCH(INDEX(FTE_Allocation!$A$2:$A$201,$AB1175),Workforce!$A$2:$A$151,0))),N(INDEX(FTE_Allocation!$I$2:$I$201,$AB1175)))),1),"")))</f>
        <v/>
      </c>
      <c r="AF1175" s="21">
        <f>IF($Z1175="C",IF(INDEX(Contracts!$I$2:$I$151,$AB1175)="PREPAID",EDATE(DATE(YEAR(INDEX(Contracts!$J$2:$J$151,$AB1175)),MONTH(INDEX(Contracts!$J$2:$J$151,$AB1175)),1),IF(INDEX(Contracts!$N$2:$N$151,$AB1175)="",12,INDEX(Contracts!$N$2:$N$151,$AB1175))-1),IF(INDEX(Contracts!$I$2:$I$151,$AB1175)="MONTHLY",IF(INDEX(Contracts!$K$2:$K$151,$AB1175)="",2958101,INDEX(Contracts!$K$2:$K$151,$AB1175)),0)),IF($Z1175="A",EDATE(DATE(YEAR(INDEX(Fixed_Assets!$G$2:$G$201,$AB1175)),MONTH(INDEX(Fixed_Assets!$G$2:$G$201,$AB1175)),1),INDEX(Fixed_Assets!$J$2:$J$201,$AB1175)-1),IF($Z1175="F",MIN(IF(INDEX(Workforce!$J$2:$J$151,MATCH(INDEX(FTE_Allocation!$A$2:$A$201,$AB1175),Workforce!$A$2:$A$151,0))="",2958101,INDEX(Workforce!$J$2:$J$151,MATCH(INDEX(FTE_Allocation!$A$2:$A$201,$AB1175),Workforce!$A$2:$A$151,0))),IF(INDEX(FTE_Allocation!$J$2:$J$201,$AB1175)="",2958101,INDEX(FTE_Allocation!$J$2:$J$201,$AB1175))),"")))</f>
        <v/>
      </c>
      <c r="AG1175" s="19">
        <f>IF($Z1175="C",IF(INDEX(Contracts!$I$2:$I$151,$AB1175)="PREPAID",INDEX(Contracts!$M$2:$M$151,$AB1175)/IF(INDEX(Contracts!$N$2:$N$151,$AB1175)="",12,INDEX(Contracts!$N$2:$N$151,$AB1175)),IF(INDEX(Contracts!$I$2:$I$151,$AB1175)="MONTHLY",INDEX(Contracts!$M$2:$M$151,$AB1175),0))*(1-N(INDEX(Contracts!$O$2:$O$151,$AB1175))),IF($Z1175="A",INDEX(Fixed_Assets!$H$2:$H$201,$AB1175)/INDEX(Fixed_Assets!$J$2:$J$201,$AB1175),IF($Z1175="F",INDEX(Workforce!$F$2:$F$151,MATCH(INDEX(FTE_Allocation!$A$2:$A$201,$AB1175),Workforce!$A$2:$A$151,0))*N(INDEX(FTE_Allocation!$F$2:$H$201,$AB1175,$AC1175)),"")))</f>
        <v/>
      </c>
    </row>
    <row r="1176">
      <c r="A1176" s="7">
        <f>IF($Z1176="","",$AD1176)</f>
        <v/>
      </c>
      <c r="B1176" s="7">
        <f>IF($Z1176="C",INDEX(Contracts!$D$2:$D$151,$AB1176)&amp;"",IF($Z1176="A",INDEX(Fixed_Assets!$C$2:$C$201,$AB1176)&amp;"",IF($Z1176="F",INDEX(Workforce!$B$2:$B$151,MATCH(INDEX(FTE_Allocation!$A$2:$A$201,$AB1176),Workforce!$A$2:$A$151,0))&amp;"","")))</f>
        <v/>
      </c>
      <c r="C1176" s="7">
        <f>IF($Z1176="C",INDEX(Contracts!$E$2:$E$151,$AB1176)&amp;"",IF($Z1176="A",INDEX(Fixed_Assets!$D$2:$D$201,$AB1176)&amp;"",IF($Z1176="F",INDEX(FTE_Allocation!$C$2:$C$201,$AB1176)&amp;"","")))</f>
        <v/>
      </c>
      <c r="D1176" s="7">
        <f>IF($Z1176="C",INDEX(Contracts!$B$2:$B$151,$AB1176)&amp;"",IF($Z1176="A",INDEX(Fixed_Assets!$B$2:$B$201,$AB1176)&amp;"",IF($Z1176="F",INDEX(FTE_Allocation!$B$2:$B$201,$AB1176)&amp;"","")))</f>
        <v/>
      </c>
      <c r="E1176" s="7">
        <f>IF($Z1176="C",INDEX(Contracts!$P$2:$P$151,$AB1176)&amp;"",IF($Z1176="A",INDEX(Fixed_Assets!$K$2:$K$201,$AB1176)&amp;"",IF($Z1176="F",IF(INDEX(FTE_Allocation!$D$2:$D$201,$AB1176)="PROJECT",IFERROR(INDEX(Projects!$D:$D,MATCH(INDEX(FTE_Allocation!$E$2:$E$201,$AB1176),Projects!$A:$A,0))&amp;"","#PROJECT?"),INDEX(FTE_Allocation!$E$2:$E$201,$AB1176)&amp;""),"")))</f>
        <v/>
      </c>
      <c r="F1176" s="7">
        <f>IF($Z1176="C",INDEX(Contracts!$Q$2:$Q$151,$AB1176)&amp;"",IF($Z1176="A",INDEX(Fixed_Assets!$L$2:$L$201,$AB1176)&amp;"",IF($Z1176="F",INDEX(Workforce!$K$2:$K$151,MATCH(INDEX(FTE_Allocation!$A$2:$A$201,$AB1176),Workforce!$A$2:$A$151,0))&amp;"","")))</f>
        <v/>
      </c>
      <c r="G1176" s="7">
        <f>IF($Z1176="C",INDEX(Contracts!$F$2:$F$151,$AB1176)&amp;" / "&amp;INDEX(Contracts!$G$2:$G$151,$AB1176),IF($Z1176="A",INDEX(Fixed_Assets!$E$2:$E$201,$AB1176)&amp;"",IF($Z1176="F","Personnel "&amp;INDEX(FTE_Allocation!$A$2:$A$201,$AB1176)&amp;IF(INDEX(FTE_Allocation!$D$2:$D$201,$AB1176)="PROJECT"," ("&amp;INDEX(FTE_Allocation!$E$2:$E$201,$AB1176)&amp;")",""),"")))</f>
        <v/>
      </c>
      <c r="H1176" s="7">
        <f>IF($Z1176="C","CONTRACT",IF($Z1176="A","ASSET",IF($Z1176="F","WORKFORCE","")))</f>
        <v/>
      </c>
      <c r="I1176" s="7">
        <f>IF($Z1176="C",INDEX(Contracts!$L$2:$L$151,$AB1176)&amp;"",IF($Z1176="A",INDEX(Fixed_Assets!$I$2:$I$201,$AB1176)&amp;"",IF($Z1176="F",INDEX(Workforce!$G$2:$G$151,MATCH(INDEX(FTE_Allocation!$A$2:$A$201,$AB1176),Workforce!$A$2:$A$151,0))&amp;"","")))</f>
        <v/>
      </c>
      <c r="J1176" s="18">
        <f>IF($Z1176="","",IF(AND(DATE($AD1176,1,1)&gt;=$AE1176,DATE($AD1176,1,1)&lt;=$AF1176),ROUND($AG1176,2),0))</f>
        <v/>
      </c>
      <c r="K1176" s="18">
        <f>IF($Z1176="","",IF(AND(DATE($AD1176,2,1)&gt;=$AE1176,DATE($AD1176,2,1)&lt;=$AF1176),ROUND($AG1176,2),0))</f>
        <v/>
      </c>
      <c r="L1176" s="18">
        <f>IF($Z1176="","",IF(AND(DATE($AD1176,3,1)&gt;=$AE1176,DATE($AD1176,3,1)&lt;=$AF1176),ROUND($AG1176,2),0))</f>
        <v/>
      </c>
      <c r="M1176" s="18">
        <f>IF($Z1176="","",IF(AND(DATE($AD1176,4,1)&gt;=$AE1176,DATE($AD1176,4,1)&lt;=$AF1176),ROUND($AG1176,2),0))</f>
        <v/>
      </c>
      <c r="N1176" s="18">
        <f>IF($Z1176="","",IF(AND(DATE($AD1176,5,1)&gt;=$AE1176,DATE($AD1176,5,1)&lt;=$AF1176),ROUND($AG1176,2),0))</f>
        <v/>
      </c>
      <c r="O1176" s="18">
        <f>IF($Z1176="","",IF(AND(DATE($AD1176,6,1)&gt;=$AE1176,DATE($AD1176,6,1)&lt;=$AF1176),ROUND($AG1176,2),0))</f>
        <v/>
      </c>
      <c r="P1176" s="18">
        <f>IF($Z1176="","",IF(AND(DATE($AD1176,7,1)&gt;=$AE1176,DATE($AD1176,7,1)&lt;=$AF1176),ROUND($AG1176,2),0))</f>
        <v/>
      </c>
      <c r="Q1176" s="18">
        <f>IF($Z1176="","",IF(AND(DATE($AD1176,8,1)&gt;=$AE1176,DATE($AD1176,8,1)&lt;=$AF1176),ROUND($AG1176,2),0))</f>
        <v/>
      </c>
      <c r="R1176" s="18">
        <f>IF($Z1176="","",IF(AND(DATE($AD1176,9,1)&gt;=$AE1176,DATE($AD1176,9,1)&lt;=$AF1176),ROUND($AG1176,2),0))</f>
        <v/>
      </c>
      <c r="S1176" s="18">
        <f>IF($Z1176="","",IF(AND(DATE($AD1176,10,1)&gt;=$AE1176,DATE($AD1176,10,1)&lt;=$AF1176),ROUND($AG1176,2),0))</f>
        <v/>
      </c>
      <c r="T1176" s="18">
        <f>IF($Z1176="","",IF(AND(DATE($AD1176,11,1)&gt;=$AE1176,DATE($AD1176,11,1)&lt;=$AF1176),ROUND($AG1176,2),0))</f>
        <v/>
      </c>
      <c r="U1176" s="18">
        <f>IF($Z1176="","",IF(AND(DATE($AD1176,12,1)&gt;=$AE1176,DATE($AD1176,12,1)&lt;=$AF1176),ROUND($AG1176,2),0))</f>
        <v/>
      </c>
      <c r="V1176" s="7">
        <f>IF($Z1176="C","Generated from "&amp;INDEX(Contracts!$A$2:$A$151,$AB1176),IF($Z1176="A","Generated from "&amp;INDEX(Fixed_Assets!$A$2:$A$201,$AB1176),IF($Z1176="F","Generated from "&amp;INDEX(FTE_Allocation!$A$2:$A$201,$AB1176),"")))</f>
        <v/>
      </c>
      <c r="X1176" s="19">
        <f>IF($Z1176="","",SUM(J1176:U1176))</f>
        <v/>
      </c>
      <c r="Y1176" s="20">
        <f>ROW()-1</f>
        <v/>
      </c>
      <c r="Z1176" s="20">
        <f>IF($Y1176&lt;=Settings!$B$4*3,"C",IF($Y1176&lt;=(Settings!$B$4+Settings!$B$5)*3,"A",IF($Y1176&lt;=(Settings!$B$4+Settings!$B$5+Settings!$B$6)*3,"F","")))</f>
        <v/>
      </c>
      <c r="AA1176" s="20">
        <f>IF($Z1176="C",$Y1176,IF($Z1176="A",$Y1176-Settings!$B$4*3,IF($Z1176="F",$Y1176-(Settings!$B$4+Settings!$B$5)*3,"")))</f>
        <v/>
      </c>
      <c r="AB1176" s="20">
        <f>IF($Z1176="","",INT(($AA1176-1)/3)+1)</f>
        <v/>
      </c>
      <c r="AC1176" s="20">
        <f>IF($Z1176="","",MOD($AA1176-1,3)+1)</f>
        <v/>
      </c>
      <c r="AD1176" s="20">
        <f>IF($Z1176="","",Settings!$B$2+$AC1176-1)</f>
        <v/>
      </c>
      <c r="AE1176" s="21">
        <f>IF($Z1176="C",DATE(YEAR(INDEX(Contracts!$J$2:$J$151,$AB1176)),MONTH(INDEX(Contracts!$J$2:$J$151,$AB1176)),1),IF($Z1176="A",DATE(YEAR(INDEX(Fixed_Assets!$G$2:$G$201,$AB1176)),MONTH(INDEX(Fixed_Assets!$G$2:$G$201,$AB1176)),1),IF($Z1176="F",DATE(YEAR(MAX(N(INDEX(Workforce!$I$2:$I$151,MATCH(INDEX(FTE_Allocation!$A$2:$A$201,$AB1176),Workforce!$A$2:$A$151,0))),N(INDEX(FTE_Allocation!$I$2:$I$201,$AB1176)))),MONTH(MAX(N(INDEX(Workforce!$I$2:$I$151,MATCH(INDEX(FTE_Allocation!$A$2:$A$201,$AB1176),Workforce!$A$2:$A$151,0))),N(INDEX(FTE_Allocation!$I$2:$I$201,$AB1176)))),1),"")))</f>
        <v/>
      </c>
      <c r="AF1176" s="21">
        <f>IF($Z1176="C",IF(INDEX(Contracts!$I$2:$I$151,$AB1176)="PREPAID",EDATE(DATE(YEAR(INDEX(Contracts!$J$2:$J$151,$AB1176)),MONTH(INDEX(Contracts!$J$2:$J$151,$AB1176)),1),IF(INDEX(Contracts!$N$2:$N$151,$AB1176)="",12,INDEX(Contracts!$N$2:$N$151,$AB1176))-1),IF(INDEX(Contracts!$I$2:$I$151,$AB1176)="MONTHLY",IF(INDEX(Contracts!$K$2:$K$151,$AB1176)="",2958101,INDEX(Contracts!$K$2:$K$151,$AB1176)),0)),IF($Z1176="A",EDATE(DATE(YEAR(INDEX(Fixed_Assets!$G$2:$G$201,$AB1176)),MONTH(INDEX(Fixed_Assets!$G$2:$G$201,$AB1176)),1),INDEX(Fixed_Assets!$J$2:$J$201,$AB1176)-1),IF($Z1176="F",MIN(IF(INDEX(Workforce!$J$2:$J$151,MATCH(INDEX(FTE_Allocation!$A$2:$A$201,$AB1176),Workforce!$A$2:$A$151,0))="",2958101,INDEX(Workforce!$J$2:$J$151,MATCH(INDEX(FTE_Allocation!$A$2:$A$201,$AB1176),Workforce!$A$2:$A$151,0))),IF(INDEX(FTE_Allocation!$J$2:$J$201,$AB1176)="",2958101,INDEX(FTE_Allocation!$J$2:$J$201,$AB1176))),"")))</f>
        <v/>
      </c>
      <c r="AG1176" s="19">
        <f>IF($Z1176="C",IF(INDEX(Contracts!$I$2:$I$151,$AB1176)="PREPAID",INDEX(Contracts!$M$2:$M$151,$AB1176)/IF(INDEX(Contracts!$N$2:$N$151,$AB1176)="",12,INDEX(Contracts!$N$2:$N$151,$AB1176)),IF(INDEX(Contracts!$I$2:$I$151,$AB1176)="MONTHLY",INDEX(Contracts!$M$2:$M$151,$AB1176),0))*(1-N(INDEX(Contracts!$O$2:$O$151,$AB1176))),IF($Z1176="A",INDEX(Fixed_Assets!$H$2:$H$201,$AB1176)/INDEX(Fixed_Assets!$J$2:$J$201,$AB1176),IF($Z1176="F",INDEX(Workforce!$F$2:$F$151,MATCH(INDEX(FTE_Allocation!$A$2:$A$201,$AB1176),Workforce!$A$2:$A$151,0))*N(INDEX(FTE_Allocation!$F$2:$H$201,$AB1176,$AC1176)),"")))</f>
        <v/>
      </c>
    </row>
    <row r="1177">
      <c r="A1177" s="7">
        <f>IF($Z1177="","",$AD1177)</f>
        <v/>
      </c>
      <c r="B1177" s="7">
        <f>IF($Z1177="C",INDEX(Contracts!$D$2:$D$151,$AB1177)&amp;"",IF($Z1177="A",INDEX(Fixed_Assets!$C$2:$C$201,$AB1177)&amp;"",IF($Z1177="F",INDEX(Workforce!$B$2:$B$151,MATCH(INDEX(FTE_Allocation!$A$2:$A$201,$AB1177),Workforce!$A$2:$A$151,0))&amp;"","")))</f>
        <v/>
      </c>
      <c r="C1177" s="7">
        <f>IF($Z1177="C",INDEX(Contracts!$E$2:$E$151,$AB1177)&amp;"",IF($Z1177="A",INDEX(Fixed_Assets!$D$2:$D$201,$AB1177)&amp;"",IF($Z1177="F",INDEX(FTE_Allocation!$C$2:$C$201,$AB1177)&amp;"","")))</f>
        <v/>
      </c>
      <c r="D1177" s="7">
        <f>IF($Z1177="C",INDEX(Contracts!$B$2:$B$151,$AB1177)&amp;"",IF($Z1177="A",INDEX(Fixed_Assets!$B$2:$B$201,$AB1177)&amp;"",IF($Z1177="F",INDEX(FTE_Allocation!$B$2:$B$201,$AB1177)&amp;"","")))</f>
        <v/>
      </c>
      <c r="E1177" s="7">
        <f>IF($Z1177="C",INDEX(Contracts!$P$2:$P$151,$AB1177)&amp;"",IF($Z1177="A",INDEX(Fixed_Assets!$K$2:$K$201,$AB1177)&amp;"",IF($Z1177="F",IF(INDEX(FTE_Allocation!$D$2:$D$201,$AB1177)="PROJECT",IFERROR(INDEX(Projects!$D:$D,MATCH(INDEX(FTE_Allocation!$E$2:$E$201,$AB1177),Projects!$A:$A,0))&amp;"","#PROJECT?"),INDEX(FTE_Allocation!$E$2:$E$201,$AB1177)&amp;""),"")))</f>
        <v/>
      </c>
      <c r="F1177" s="7">
        <f>IF($Z1177="C",INDEX(Contracts!$Q$2:$Q$151,$AB1177)&amp;"",IF($Z1177="A",INDEX(Fixed_Assets!$L$2:$L$201,$AB1177)&amp;"",IF($Z1177="F",INDEX(Workforce!$K$2:$K$151,MATCH(INDEX(FTE_Allocation!$A$2:$A$201,$AB1177),Workforce!$A$2:$A$151,0))&amp;"","")))</f>
        <v/>
      </c>
      <c r="G1177" s="7">
        <f>IF($Z1177="C",INDEX(Contracts!$F$2:$F$151,$AB1177)&amp;" / "&amp;INDEX(Contracts!$G$2:$G$151,$AB1177),IF($Z1177="A",INDEX(Fixed_Assets!$E$2:$E$201,$AB1177)&amp;"",IF($Z1177="F","Personnel "&amp;INDEX(FTE_Allocation!$A$2:$A$201,$AB1177)&amp;IF(INDEX(FTE_Allocation!$D$2:$D$201,$AB1177)="PROJECT"," ("&amp;INDEX(FTE_Allocation!$E$2:$E$201,$AB1177)&amp;")",""),"")))</f>
        <v/>
      </c>
      <c r="H1177" s="7">
        <f>IF($Z1177="C","CONTRACT",IF($Z1177="A","ASSET",IF($Z1177="F","WORKFORCE","")))</f>
        <v/>
      </c>
      <c r="I1177" s="7">
        <f>IF($Z1177="C",INDEX(Contracts!$L$2:$L$151,$AB1177)&amp;"",IF($Z1177="A",INDEX(Fixed_Assets!$I$2:$I$201,$AB1177)&amp;"",IF($Z1177="F",INDEX(Workforce!$G$2:$G$151,MATCH(INDEX(FTE_Allocation!$A$2:$A$201,$AB1177),Workforce!$A$2:$A$151,0))&amp;"","")))</f>
        <v/>
      </c>
      <c r="J1177" s="18">
        <f>IF($Z1177="","",IF(AND(DATE($AD1177,1,1)&gt;=$AE1177,DATE($AD1177,1,1)&lt;=$AF1177),ROUND($AG1177,2),0))</f>
        <v/>
      </c>
      <c r="K1177" s="18">
        <f>IF($Z1177="","",IF(AND(DATE($AD1177,2,1)&gt;=$AE1177,DATE($AD1177,2,1)&lt;=$AF1177),ROUND($AG1177,2),0))</f>
        <v/>
      </c>
      <c r="L1177" s="18">
        <f>IF($Z1177="","",IF(AND(DATE($AD1177,3,1)&gt;=$AE1177,DATE($AD1177,3,1)&lt;=$AF1177),ROUND($AG1177,2),0))</f>
        <v/>
      </c>
      <c r="M1177" s="18">
        <f>IF($Z1177="","",IF(AND(DATE($AD1177,4,1)&gt;=$AE1177,DATE($AD1177,4,1)&lt;=$AF1177),ROUND($AG1177,2),0))</f>
        <v/>
      </c>
      <c r="N1177" s="18">
        <f>IF($Z1177="","",IF(AND(DATE($AD1177,5,1)&gt;=$AE1177,DATE($AD1177,5,1)&lt;=$AF1177),ROUND($AG1177,2),0))</f>
        <v/>
      </c>
      <c r="O1177" s="18">
        <f>IF($Z1177="","",IF(AND(DATE($AD1177,6,1)&gt;=$AE1177,DATE($AD1177,6,1)&lt;=$AF1177),ROUND($AG1177,2),0))</f>
        <v/>
      </c>
      <c r="P1177" s="18">
        <f>IF($Z1177="","",IF(AND(DATE($AD1177,7,1)&gt;=$AE1177,DATE($AD1177,7,1)&lt;=$AF1177),ROUND($AG1177,2),0))</f>
        <v/>
      </c>
      <c r="Q1177" s="18">
        <f>IF($Z1177="","",IF(AND(DATE($AD1177,8,1)&gt;=$AE1177,DATE($AD1177,8,1)&lt;=$AF1177),ROUND($AG1177,2),0))</f>
        <v/>
      </c>
      <c r="R1177" s="18">
        <f>IF($Z1177="","",IF(AND(DATE($AD1177,9,1)&gt;=$AE1177,DATE($AD1177,9,1)&lt;=$AF1177),ROUND($AG1177,2),0))</f>
        <v/>
      </c>
      <c r="S1177" s="18">
        <f>IF($Z1177="","",IF(AND(DATE($AD1177,10,1)&gt;=$AE1177,DATE($AD1177,10,1)&lt;=$AF1177),ROUND($AG1177,2),0))</f>
        <v/>
      </c>
      <c r="T1177" s="18">
        <f>IF($Z1177="","",IF(AND(DATE($AD1177,11,1)&gt;=$AE1177,DATE($AD1177,11,1)&lt;=$AF1177),ROUND($AG1177,2),0))</f>
        <v/>
      </c>
      <c r="U1177" s="18">
        <f>IF($Z1177="","",IF(AND(DATE($AD1177,12,1)&gt;=$AE1177,DATE($AD1177,12,1)&lt;=$AF1177),ROUND($AG1177,2),0))</f>
        <v/>
      </c>
      <c r="V1177" s="7">
        <f>IF($Z1177="C","Generated from "&amp;INDEX(Contracts!$A$2:$A$151,$AB1177),IF($Z1177="A","Generated from "&amp;INDEX(Fixed_Assets!$A$2:$A$201,$AB1177),IF($Z1177="F","Generated from "&amp;INDEX(FTE_Allocation!$A$2:$A$201,$AB1177),"")))</f>
        <v/>
      </c>
      <c r="X1177" s="19">
        <f>IF($Z1177="","",SUM(J1177:U1177))</f>
        <v/>
      </c>
      <c r="Y1177" s="20">
        <f>ROW()-1</f>
        <v/>
      </c>
      <c r="Z1177" s="20">
        <f>IF($Y1177&lt;=Settings!$B$4*3,"C",IF($Y1177&lt;=(Settings!$B$4+Settings!$B$5)*3,"A",IF($Y1177&lt;=(Settings!$B$4+Settings!$B$5+Settings!$B$6)*3,"F","")))</f>
        <v/>
      </c>
      <c r="AA1177" s="20">
        <f>IF($Z1177="C",$Y1177,IF($Z1177="A",$Y1177-Settings!$B$4*3,IF($Z1177="F",$Y1177-(Settings!$B$4+Settings!$B$5)*3,"")))</f>
        <v/>
      </c>
      <c r="AB1177" s="20">
        <f>IF($Z1177="","",INT(($AA1177-1)/3)+1)</f>
        <v/>
      </c>
      <c r="AC1177" s="20">
        <f>IF($Z1177="","",MOD($AA1177-1,3)+1)</f>
        <v/>
      </c>
      <c r="AD1177" s="20">
        <f>IF($Z1177="","",Settings!$B$2+$AC1177-1)</f>
        <v/>
      </c>
      <c r="AE1177" s="21">
        <f>IF($Z1177="C",DATE(YEAR(INDEX(Contracts!$J$2:$J$151,$AB1177)),MONTH(INDEX(Contracts!$J$2:$J$151,$AB1177)),1),IF($Z1177="A",DATE(YEAR(INDEX(Fixed_Assets!$G$2:$G$201,$AB1177)),MONTH(INDEX(Fixed_Assets!$G$2:$G$201,$AB1177)),1),IF($Z1177="F",DATE(YEAR(MAX(N(INDEX(Workforce!$I$2:$I$151,MATCH(INDEX(FTE_Allocation!$A$2:$A$201,$AB1177),Workforce!$A$2:$A$151,0))),N(INDEX(FTE_Allocation!$I$2:$I$201,$AB1177)))),MONTH(MAX(N(INDEX(Workforce!$I$2:$I$151,MATCH(INDEX(FTE_Allocation!$A$2:$A$201,$AB1177),Workforce!$A$2:$A$151,0))),N(INDEX(FTE_Allocation!$I$2:$I$201,$AB1177)))),1),"")))</f>
        <v/>
      </c>
      <c r="AF1177" s="21">
        <f>IF($Z1177="C",IF(INDEX(Contracts!$I$2:$I$151,$AB1177)="PREPAID",EDATE(DATE(YEAR(INDEX(Contracts!$J$2:$J$151,$AB1177)),MONTH(INDEX(Contracts!$J$2:$J$151,$AB1177)),1),IF(INDEX(Contracts!$N$2:$N$151,$AB1177)="",12,INDEX(Contracts!$N$2:$N$151,$AB1177))-1),IF(INDEX(Contracts!$I$2:$I$151,$AB1177)="MONTHLY",IF(INDEX(Contracts!$K$2:$K$151,$AB1177)="",2958101,INDEX(Contracts!$K$2:$K$151,$AB1177)),0)),IF($Z1177="A",EDATE(DATE(YEAR(INDEX(Fixed_Assets!$G$2:$G$201,$AB1177)),MONTH(INDEX(Fixed_Assets!$G$2:$G$201,$AB1177)),1),INDEX(Fixed_Assets!$J$2:$J$201,$AB1177)-1),IF($Z1177="F",MIN(IF(INDEX(Workforce!$J$2:$J$151,MATCH(INDEX(FTE_Allocation!$A$2:$A$201,$AB1177),Workforce!$A$2:$A$151,0))="",2958101,INDEX(Workforce!$J$2:$J$151,MATCH(INDEX(FTE_Allocation!$A$2:$A$201,$AB1177),Workforce!$A$2:$A$151,0))),IF(INDEX(FTE_Allocation!$J$2:$J$201,$AB1177)="",2958101,INDEX(FTE_Allocation!$J$2:$J$201,$AB1177))),"")))</f>
        <v/>
      </c>
      <c r="AG1177" s="19">
        <f>IF($Z1177="C",IF(INDEX(Contracts!$I$2:$I$151,$AB1177)="PREPAID",INDEX(Contracts!$M$2:$M$151,$AB1177)/IF(INDEX(Contracts!$N$2:$N$151,$AB1177)="",12,INDEX(Contracts!$N$2:$N$151,$AB1177)),IF(INDEX(Contracts!$I$2:$I$151,$AB1177)="MONTHLY",INDEX(Contracts!$M$2:$M$151,$AB1177),0))*(1-N(INDEX(Contracts!$O$2:$O$151,$AB1177))),IF($Z1177="A",INDEX(Fixed_Assets!$H$2:$H$201,$AB1177)/INDEX(Fixed_Assets!$J$2:$J$201,$AB1177),IF($Z1177="F",INDEX(Workforce!$F$2:$F$151,MATCH(INDEX(FTE_Allocation!$A$2:$A$201,$AB1177),Workforce!$A$2:$A$151,0))*N(INDEX(FTE_Allocation!$F$2:$H$201,$AB1177,$AC1177)),"")))</f>
        <v/>
      </c>
    </row>
    <row r="1178">
      <c r="A1178" s="7">
        <f>IF($Z1178="","",$AD1178)</f>
        <v/>
      </c>
      <c r="B1178" s="7">
        <f>IF($Z1178="C",INDEX(Contracts!$D$2:$D$151,$AB1178)&amp;"",IF($Z1178="A",INDEX(Fixed_Assets!$C$2:$C$201,$AB1178)&amp;"",IF($Z1178="F",INDEX(Workforce!$B$2:$B$151,MATCH(INDEX(FTE_Allocation!$A$2:$A$201,$AB1178),Workforce!$A$2:$A$151,0))&amp;"","")))</f>
        <v/>
      </c>
      <c r="C1178" s="7">
        <f>IF($Z1178="C",INDEX(Contracts!$E$2:$E$151,$AB1178)&amp;"",IF($Z1178="A",INDEX(Fixed_Assets!$D$2:$D$201,$AB1178)&amp;"",IF($Z1178="F",INDEX(FTE_Allocation!$C$2:$C$201,$AB1178)&amp;"","")))</f>
        <v/>
      </c>
      <c r="D1178" s="7">
        <f>IF($Z1178="C",INDEX(Contracts!$B$2:$B$151,$AB1178)&amp;"",IF($Z1178="A",INDEX(Fixed_Assets!$B$2:$B$201,$AB1178)&amp;"",IF($Z1178="F",INDEX(FTE_Allocation!$B$2:$B$201,$AB1178)&amp;"","")))</f>
        <v/>
      </c>
      <c r="E1178" s="7">
        <f>IF($Z1178="C",INDEX(Contracts!$P$2:$P$151,$AB1178)&amp;"",IF($Z1178="A",INDEX(Fixed_Assets!$K$2:$K$201,$AB1178)&amp;"",IF($Z1178="F",IF(INDEX(FTE_Allocation!$D$2:$D$201,$AB1178)="PROJECT",IFERROR(INDEX(Projects!$D:$D,MATCH(INDEX(FTE_Allocation!$E$2:$E$201,$AB1178),Projects!$A:$A,0))&amp;"","#PROJECT?"),INDEX(FTE_Allocation!$E$2:$E$201,$AB1178)&amp;""),"")))</f>
        <v/>
      </c>
      <c r="F1178" s="7">
        <f>IF($Z1178="C",INDEX(Contracts!$Q$2:$Q$151,$AB1178)&amp;"",IF($Z1178="A",INDEX(Fixed_Assets!$L$2:$L$201,$AB1178)&amp;"",IF($Z1178="F",INDEX(Workforce!$K$2:$K$151,MATCH(INDEX(FTE_Allocation!$A$2:$A$201,$AB1178),Workforce!$A$2:$A$151,0))&amp;"","")))</f>
        <v/>
      </c>
      <c r="G1178" s="7">
        <f>IF($Z1178="C",INDEX(Contracts!$F$2:$F$151,$AB1178)&amp;" / "&amp;INDEX(Contracts!$G$2:$G$151,$AB1178),IF($Z1178="A",INDEX(Fixed_Assets!$E$2:$E$201,$AB1178)&amp;"",IF($Z1178="F","Personnel "&amp;INDEX(FTE_Allocation!$A$2:$A$201,$AB1178)&amp;IF(INDEX(FTE_Allocation!$D$2:$D$201,$AB1178)="PROJECT"," ("&amp;INDEX(FTE_Allocation!$E$2:$E$201,$AB1178)&amp;")",""),"")))</f>
        <v/>
      </c>
      <c r="H1178" s="7">
        <f>IF($Z1178="C","CONTRACT",IF($Z1178="A","ASSET",IF($Z1178="F","WORKFORCE","")))</f>
        <v/>
      </c>
      <c r="I1178" s="7">
        <f>IF($Z1178="C",INDEX(Contracts!$L$2:$L$151,$AB1178)&amp;"",IF($Z1178="A",INDEX(Fixed_Assets!$I$2:$I$201,$AB1178)&amp;"",IF($Z1178="F",INDEX(Workforce!$G$2:$G$151,MATCH(INDEX(FTE_Allocation!$A$2:$A$201,$AB1178),Workforce!$A$2:$A$151,0))&amp;"","")))</f>
        <v/>
      </c>
      <c r="J1178" s="18">
        <f>IF($Z1178="","",IF(AND(DATE($AD1178,1,1)&gt;=$AE1178,DATE($AD1178,1,1)&lt;=$AF1178),ROUND($AG1178,2),0))</f>
        <v/>
      </c>
      <c r="K1178" s="18">
        <f>IF($Z1178="","",IF(AND(DATE($AD1178,2,1)&gt;=$AE1178,DATE($AD1178,2,1)&lt;=$AF1178),ROUND($AG1178,2),0))</f>
        <v/>
      </c>
      <c r="L1178" s="18">
        <f>IF($Z1178="","",IF(AND(DATE($AD1178,3,1)&gt;=$AE1178,DATE($AD1178,3,1)&lt;=$AF1178),ROUND($AG1178,2),0))</f>
        <v/>
      </c>
      <c r="M1178" s="18">
        <f>IF($Z1178="","",IF(AND(DATE($AD1178,4,1)&gt;=$AE1178,DATE($AD1178,4,1)&lt;=$AF1178),ROUND($AG1178,2),0))</f>
        <v/>
      </c>
      <c r="N1178" s="18">
        <f>IF($Z1178="","",IF(AND(DATE($AD1178,5,1)&gt;=$AE1178,DATE($AD1178,5,1)&lt;=$AF1178),ROUND($AG1178,2),0))</f>
        <v/>
      </c>
      <c r="O1178" s="18">
        <f>IF($Z1178="","",IF(AND(DATE($AD1178,6,1)&gt;=$AE1178,DATE($AD1178,6,1)&lt;=$AF1178),ROUND($AG1178,2),0))</f>
        <v/>
      </c>
      <c r="P1178" s="18">
        <f>IF($Z1178="","",IF(AND(DATE($AD1178,7,1)&gt;=$AE1178,DATE($AD1178,7,1)&lt;=$AF1178),ROUND($AG1178,2),0))</f>
        <v/>
      </c>
      <c r="Q1178" s="18">
        <f>IF($Z1178="","",IF(AND(DATE($AD1178,8,1)&gt;=$AE1178,DATE($AD1178,8,1)&lt;=$AF1178),ROUND($AG1178,2),0))</f>
        <v/>
      </c>
      <c r="R1178" s="18">
        <f>IF($Z1178="","",IF(AND(DATE($AD1178,9,1)&gt;=$AE1178,DATE($AD1178,9,1)&lt;=$AF1178),ROUND($AG1178,2),0))</f>
        <v/>
      </c>
      <c r="S1178" s="18">
        <f>IF($Z1178="","",IF(AND(DATE($AD1178,10,1)&gt;=$AE1178,DATE($AD1178,10,1)&lt;=$AF1178),ROUND($AG1178,2),0))</f>
        <v/>
      </c>
      <c r="T1178" s="18">
        <f>IF($Z1178="","",IF(AND(DATE($AD1178,11,1)&gt;=$AE1178,DATE($AD1178,11,1)&lt;=$AF1178),ROUND($AG1178,2),0))</f>
        <v/>
      </c>
      <c r="U1178" s="18">
        <f>IF($Z1178="","",IF(AND(DATE($AD1178,12,1)&gt;=$AE1178,DATE($AD1178,12,1)&lt;=$AF1178),ROUND($AG1178,2),0))</f>
        <v/>
      </c>
      <c r="V1178" s="7">
        <f>IF($Z1178="C","Generated from "&amp;INDEX(Contracts!$A$2:$A$151,$AB1178),IF($Z1178="A","Generated from "&amp;INDEX(Fixed_Assets!$A$2:$A$201,$AB1178),IF($Z1178="F","Generated from "&amp;INDEX(FTE_Allocation!$A$2:$A$201,$AB1178),"")))</f>
        <v/>
      </c>
      <c r="X1178" s="19">
        <f>IF($Z1178="","",SUM(J1178:U1178))</f>
        <v/>
      </c>
      <c r="Y1178" s="20">
        <f>ROW()-1</f>
        <v/>
      </c>
      <c r="Z1178" s="20">
        <f>IF($Y1178&lt;=Settings!$B$4*3,"C",IF($Y1178&lt;=(Settings!$B$4+Settings!$B$5)*3,"A",IF($Y1178&lt;=(Settings!$B$4+Settings!$B$5+Settings!$B$6)*3,"F","")))</f>
        <v/>
      </c>
      <c r="AA1178" s="20">
        <f>IF($Z1178="C",$Y1178,IF($Z1178="A",$Y1178-Settings!$B$4*3,IF($Z1178="F",$Y1178-(Settings!$B$4+Settings!$B$5)*3,"")))</f>
        <v/>
      </c>
      <c r="AB1178" s="20">
        <f>IF($Z1178="","",INT(($AA1178-1)/3)+1)</f>
        <v/>
      </c>
      <c r="AC1178" s="20">
        <f>IF($Z1178="","",MOD($AA1178-1,3)+1)</f>
        <v/>
      </c>
      <c r="AD1178" s="20">
        <f>IF($Z1178="","",Settings!$B$2+$AC1178-1)</f>
        <v/>
      </c>
      <c r="AE1178" s="21">
        <f>IF($Z1178="C",DATE(YEAR(INDEX(Contracts!$J$2:$J$151,$AB1178)),MONTH(INDEX(Contracts!$J$2:$J$151,$AB1178)),1),IF($Z1178="A",DATE(YEAR(INDEX(Fixed_Assets!$G$2:$G$201,$AB1178)),MONTH(INDEX(Fixed_Assets!$G$2:$G$201,$AB1178)),1),IF($Z1178="F",DATE(YEAR(MAX(N(INDEX(Workforce!$I$2:$I$151,MATCH(INDEX(FTE_Allocation!$A$2:$A$201,$AB1178),Workforce!$A$2:$A$151,0))),N(INDEX(FTE_Allocation!$I$2:$I$201,$AB1178)))),MONTH(MAX(N(INDEX(Workforce!$I$2:$I$151,MATCH(INDEX(FTE_Allocation!$A$2:$A$201,$AB1178),Workforce!$A$2:$A$151,0))),N(INDEX(FTE_Allocation!$I$2:$I$201,$AB1178)))),1),"")))</f>
        <v/>
      </c>
      <c r="AF1178" s="21">
        <f>IF($Z1178="C",IF(INDEX(Contracts!$I$2:$I$151,$AB1178)="PREPAID",EDATE(DATE(YEAR(INDEX(Contracts!$J$2:$J$151,$AB1178)),MONTH(INDEX(Contracts!$J$2:$J$151,$AB1178)),1),IF(INDEX(Contracts!$N$2:$N$151,$AB1178)="",12,INDEX(Contracts!$N$2:$N$151,$AB1178))-1),IF(INDEX(Contracts!$I$2:$I$151,$AB1178)="MONTHLY",IF(INDEX(Contracts!$K$2:$K$151,$AB1178)="",2958101,INDEX(Contracts!$K$2:$K$151,$AB1178)),0)),IF($Z1178="A",EDATE(DATE(YEAR(INDEX(Fixed_Assets!$G$2:$G$201,$AB1178)),MONTH(INDEX(Fixed_Assets!$G$2:$G$201,$AB1178)),1),INDEX(Fixed_Assets!$J$2:$J$201,$AB1178)-1),IF($Z1178="F",MIN(IF(INDEX(Workforce!$J$2:$J$151,MATCH(INDEX(FTE_Allocation!$A$2:$A$201,$AB1178),Workforce!$A$2:$A$151,0))="",2958101,INDEX(Workforce!$J$2:$J$151,MATCH(INDEX(FTE_Allocation!$A$2:$A$201,$AB1178),Workforce!$A$2:$A$151,0))),IF(INDEX(FTE_Allocation!$J$2:$J$201,$AB1178)="",2958101,INDEX(FTE_Allocation!$J$2:$J$201,$AB1178))),"")))</f>
        <v/>
      </c>
      <c r="AG1178" s="19">
        <f>IF($Z1178="C",IF(INDEX(Contracts!$I$2:$I$151,$AB1178)="PREPAID",INDEX(Contracts!$M$2:$M$151,$AB1178)/IF(INDEX(Contracts!$N$2:$N$151,$AB1178)="",12,INDEX(Contracts!$N$2:$N$151,$AB1178)),IF(INDEX(Contracts!$I$2:$I$151,$AB1178)="MONTHLY",INDEX(Contracts!$M$2:$M$151,$AB1178),0))*(1-N(INDEX(Contracts!$O$2:$O$151,$AB1178))),IF($Z1178="A",INDEX(Fixed_Assets!$H$2:$H$201,$AB1178)/INDEX(Fixed_Assets!$J$2:$J$201,$AB1178),IF($Z1178="F",INDEX(Workforce!$F$2:$F$151,MATCH(INDEX(FTE_Allocation!$A$2:$A$201,$AB1178),Workforce!$A$2:$A$151,0))*N(INDEX(FTE_Allocation!$F$2:$H$201,$AB1178,$AC1178)),"")))</f>
        <v/>
      </c>
    </row>
    <row r="1179">
      <c r="A1179" s="7">
        <f>IF($Z1179="","",$AD1179)</f>
        <v/>
      </c>
      <c r="B1179" s="7">
        <f>IF($Z1179="C",INDEX(Contracts!$D$2:$D$151,$AB1179)&amp;"",IF($Z1179="A",INDEX(Fixed_Assets!$C$2:$C$201,$AB1179)&amp;"",IF($Z1179="F",INDEX(Workforce!$B$2:$B$151,MATCH(INDEX(FTE_Allocation!$A$2:$A$201,$AB1179),Workforce!$A$2:$A$151,0))&amp;"","")))</f>
        <v/>
      </c>
      <c r="C1179" s="7">
        <f>IF($Z1179="C",INDEX(Contracts!$E$2:$E$151,$AB1179)&amp;"",IF($Z1179="A",INDEX(Fixed_Assets!$D$2:$D$201,$AB1179)&amp;"",IF($Z1179="F",INDEX(FTE_Allocation!$C$2:$C$201,$AB1179)&amp;"","")))</f>
        <v/>
      </c>
      <c r="D1179" s="7">
        <f>IF($Z1179="C",INDEX(Contracts!$B$2:$B$151,$AB1179)&amp;"",IF($Z1179="A",INDEX(Fixed_Assets!$B$2:$B$201,$AB1179)&amp;"",IF($Z1179="F",INDEX(FTE_Allocation!$B$2:$B$201,$AB1179)&amp;"","")))</f>
        <v/>
      </c>
      <c r="E1179" s="7">
        <f>IF($Z1179="C",INDEX(Contracts!$P$2:$P$151,$AB1179)&amp;"",IF($Z1179="A",INDEX(Fixed_Assets!$K$2:$K$201,$AB1179)&amp;"",IF($Z1179="F",IF(INDEX(FTE_Allocation!$D$2:$D$201,$AB1179)="PROJECT",IFERROR(INDEX(Projects!$D:$D,MATCH(INDEX(FTE_Allocation!$E$2:$E$201,$AB1179),Projects!$A:$A,0))&amp;"","#PROJECT?"),INDEX(FTE_Allocation!$E$2:$E$201,$AB1179)&amp;""),"")))</f>
        <v/>
      </c>
      <c r="F1179" s="7">
        <f>IF($Z1179="C",INDEX(Contracts!$Q$2:$Q$151,$AB1179)&amp;"",IF($Z1179="A",INDEX(Fixed_Assets!$L$2:$L$201,$AB1179)&amp;"",IF($Z1179="F",INDEX(Workforce!$K$2:$K$151,MATCH(INDEX(FTE_Allocation!$A$2:$A$201,$AB1179),Workforce!$A$2:$A$151,0))&amp;"","")))</f>
        <v/>
      </c>
      <c r="G1179" s="7">
        <f>IF($Z1179="C",INDEX(Contracts!$F$2:$F$151,$AB1179)&amp;" / "&amp;INDEX(Contracts!$G$2:$G$151,$AB1179),IF($Z1179="A",INDEX(Fixed_Assets!$E$2:$E$201,$AB1179)&amp;"",IF($Z1179="F","Personnel "&amp;INDEX(FTE_Allocation!$A$2:$A$201,$AB1179)&amp;IF(INDEX(FTE_Allocation!$D$2:$D$201,$AB1179)="PROJECT"," ("&amp;INDEX(FTE_Allocation!$E$2:$E$201,$AB1179)&amp;")",""),"")))</f>
        <v/>
      </c>
      <c r="H1179" s="7">
        <f>IF($Z1179="C","CONTRACT",IF($Z1179="A","ASSET",IF($Z1179="F","WORKFORCE","")))</f>
        <v/>
      </c>
      <c r="I1179" s="7">
        <f>IF($Z1179="C",INDEX(Contracts!$L$2:$L$151,$AB1179)&amp;"",IF($Z1179="A",INDEX(Fixed_Assets!$I$2:$I$201,$AB1179)&amp;"",IF($Z1179="F",INDEX(Workforce!$G$2:$G$151,MATCH(INDEX(FTE_Allocation!$A$2:$A$201,$AB1179),Workforce!$A$2:$A$151,0))&amp;"","")))</f>
        <v/>
      </c>
      <c r="J1179" s="18">
        <f>IF($Z1179="","",IF(AND(DATE($AD1179,1,1)&gt;=$AE1179,DATE($AD1179,1,1)&lt;=$AF1179),ROUND($AG1179,2),0))</f>
        <v/>
      </c>
      <c r="K1179" s="18">
        <f>IF($Z1179="","",IF(AND(DATE($AD1179,2,1)&gt;=$AE1179,DATE($AD1179,2,1)&lt;=$AF1179),ROUND($AG1179,2),0))</f>
        <v/>
      </c>
      <c r="L1179" s="18">
        <f>IF($Z1179="","",IF(AND(DATE($AD1179,3,1)&gt;=$AE1179,DATE($AD1179,3,1)&lt;=$AF1179),ROUND($AG1179,2),0))</f>
        <v/>
      </c>
      <c r="M1179" s="18">
        <f>IF($Z1179="","",IF(AND(DATE($AD1179,4,1)&gt;=$AE1179,DATE($AD1179,4,1)&lt;=$AF1179),ROUND($AG1179,2),0))</f>
        <v/>
      </c>
      <c r="N1179" s="18">
        <f>IF($Z1179="","",IF(AND(DATE($AD1179,5,1)&gt;=$AE1179,DATE($AD1179,5,1)&lt;=$AF1179),ROUND($AG1179,2),0))</f>
        <v/>
      </c>
      <c r="O1179" s="18">
        <f>IF($Z1179="","",IF(AND(DATE($AD1179,6,1)&gt;=$AE1179,DATE($AD1179,6,1)&lt;=$AF1179),ROUND($AG1179,2),0))</f>
        <v/>
      </c>
      <c r="P1179" s="18">
        <f>IF($Z1179="","",IF(AND(DATE($AD1179,7,1)&gt;=$AE1179,DATE($AD1179,7,1)&lt;=$AF1179),ROUND($AG1179,2),0))</f>
        <v/>
      </c>
      <c r="Q1179" s="18">
        <f>IF($Z1179="","",IF(AND(DATE($AD1179,8,1)&gt;=$AE1179,DATE($AD1179,8,1)&lt;=$AF1179),ROUND($AG1179,2),0))</f>
        <v/>
      </c>
      <c r="R1179" s="18">
        <f>IF($Z1179="","",IF(AND(DATE($AD1179,9,1)&gt;=$AE1179,DATE($AD1179,9,1)&lt;=$AF1179),ROUND($AG1179,2),0))</f>
        <v/>
      </c>
      <c r="S1179" s="18">
        <f>IF($Z1179="","",IF(AND(DATE($AD1179,10,1)&gt;=$AE1179,DATE($AD1179,10,1)&lt;=$AF1179),ROUND($AG1179,2),0))</f>
        <v/>
      </c>
      <c r="T1179" s="18">
        <f>IF($Z1179="","",IF(AND(DATE($AD1179,11,1)&gt;=$AE1179,DATE($AD1179,11,1)&lt;=$AF1179),ROUND($AG1179,2),0))</f>
        <v/>
      </c>
      <c r="U1179" s="18">
        <f>IF($Z1179="","",IF(AND(DATE($AD1179,12,1)&gt;=$AE1179,DATE($AD1179,12,1)&lt;=$AF1179),ROUND($AG1179,2),0))</f>
        <v/>
      </c>
      <c r="V1179" s="7">
        <f>IF($Z1179="C","Generated from "&amp;INDEX(Contracts!$A$2:$A$151,$AB1179),IF($Z1179="A","Generated from "&amp;INDEX(Fixed_Assets!$A$2:$A$201,$AB1179),IF($Z1179="F","Generated from "&amp;INDEX(FTE_Allocation!$A$2:$A$201,$AB1179),"")))</f>
        <v/>
      </c>
      <c r="X1179" s="19">
        <f>IF($Z1179="","",SUM(J1179:U1179))</f>
        <v/>
      </c>
      <c r="Y1179" s="20">
        <f>ROW()-1</f>
        <v/>
      </c>
      <c r="Z1179" s="20">
        <f>IF($Y1179&lt;=Settings!$B$4*3,"C",IF($Y1179&lt;=(Settings!$B$4+Settings!$B$5)*3,"A",IF($Y1179&lt;=(Settings!$B$4+Settings!$B$5+Settings!$B$6)*3,"F","")))</f>
        <v/>
      </c>
      <c r="AA1179" s="20">
        <f>IF($Z1179="C",$Y1179,IF($Z1179="A",$Y1179-Settings!$B$4*3,IF($Z1179="F",$Y1179-(Settings!$B$4+Settings!$B$5)*3,"")))</f>
        <v/>
      </c>
      <c r="AB1179" s="20">
        <f>IF($Z1179="","",INT(($AA1179-1)/3)+1)</f>
        <v/>
      </c>
      <c r="AC1179" s="20">
        <f>IF($Z1179="","",MOD($AA1179-1,3)+1)</f>
        <v/>
      </c>
      <c r="AD1179" s="20">
        <f>IF($Z1179="","",Settings!$B$2+$AC1179-1)</f>
        <v/>
      </c>
      <c r="AE1179" s="21">
        <f>IF($Z1179="C",DATE(YEAR(INDEX(Contracts!$J$2:$J$151,$AB1179)),MONTH(INDEX(Contracts!$J$2:$J$151,$AB1179)),1),IF($Z1179="A",DATE(YEAR(INDEX(Fixed_Assets!$G$2:$G$201,$AB1179)),MONTH(INDEX(Fixed_Assets!$G$2:$G$201,$AB1179)),1),IF($Z1179="F",DATE(YEAR(MAX(N(INDEX(Workforce!$I$2:$I$151,MATCH(INDEX(FTE_Allocation!$A$2:$A$201,$AB1179),Workforce!$A$2:$A$151,0))),N(INDEX(FTE_Allocation!$I$2:$I$201,$AB1179)))),MONTH(MAX(N(INDEX(Workforce!$I$2:$I$151,MATCH(INDEX(FTE_Allocation!$A$2:$A$201,$AB1179),Workforce!$A$2:$A$151,0))),N(INDEX(FTE_Allocation!$I$2:$I$201,$AB1179)))),1),"")))</f>
        <v/>
      </c>
      <c r="AF1179" s="21">
        <f>IF($Z1179="C",IF(INDEX(Contracts!$I$2:$I$151,$AB1179)="PREPAID",EDATE(DATE(YEAR(INDEX(Contracts!$J$2:$J$151,$AB1179)),MONTH(INDEX(Contracts!$J$2:$J$151,$AB1179)),1),IF(INDEX(Contracts!$N$2:$N$151,$AB1179)="",12,INDEX(Contracts!$N$2:$N$151,$AB1179))-1),IF(INDEX(Contracts!$I$2:$I$151,$AB1179)="MONTHLY",IF(INDEX(Contracts!$K$2:$K$151,$AB1179)="",2958101,INDEX(Contracts!$K$2:$K$151,$AB1179)),0)),IF($Z1179="A",EDATE(DATE(YEAR(INDEX(Fixed_Assets!$G$2:$G$201,$AB1179)),MONTH(INDEX(Fixed_Assets!$G$2:$G$201,$AB1179)),1),INDEX(Fixed_Assets!$J$2:$J$201,$AB1179)-1),IF($Z1179="F",MIN(IF(INDEX(Workforce!$J$2:$J$151,MATCH(INDEX(FTE_Allocation!$A$2:$A$201,$AB1179),Workforce!$A$2:$A$151,0))="",2958101,INDEX(Workforce!$J$2:$J$151,MATCH(INDEX(FTE_Allocation!$A$2:$A$201,$AB1179),Workforce!$A$2:$A$151,0))),IF(INDEX(FTE_Allocation!$J$2:$J$201,$AB1179)="",2958101,INDEX(FTE_Allocation!$J$2:$J$201,$AB1179))),"")))</f>
        <v/>
      </c>
      <c r="AG1179" s="19">
        <f>IF($Z1179="C",IF(INDEX(Contracts!$I$2:$I$151,$AB1179)="PREPAID",INDEX(Contracts!$M$2:$M$151,$AB1179)/IF(INDEX(Contracts!$N$2:$N$151,$AB1179)="",12,INDEX(Contracts!$N$2:$N$151,$AB1179)),IF(INDEX(Contracts!$I$2:$I$151,$AB1179)="MONTHLY",INDEX(Contracts!$M$2:$M$151,$AB1179),0))*(1-N(INDEX(Contracts!$O$2:$O$151,$AB1179))),IF($Z1179="A",INDEX(Fixed_Assets!$H$2:$H$201,$AB1179)/INDEX(Fixed_Assets!$J$2:$J$201,$AB1179),IF($Z1179="F",INDEX(Workforce!$F$2:$F$151,MATCH(INDEX(FTE_Allocation!$A$2:$A$201,$AB1179),Workforce!$A$2:$A$151,0))*N(INDEX(FTE_Allocation!$F$2:$H$201,$AB1179,$AC1179)),"")))</f>
        <v/>
      </c>
    </row>
    <row r="1180">
      <c r="A1180" s="7">
        <f>IF($Z1180="","",$AD1180)</f>
        <v/>
      </c>
      <c r="B1180" s="7">
        <f>IF($Z1180="C",INDEX(Contracts!$D$2:$D$151,$AB1180)&amp;"",IF($Z1180="A",INDEX(Fixed_Assets!$C$2:$C$201,$AB1180)&amp;"",IF($Z1180="F",INDEX(Workforce!$B$2:$B$151,MATCH(INDEX(FTE_Allocation!$A$2:$A$201,$AB1180),Workforce!$A$2:$A$151,0))&amp;"","")))</f>
        <v/>
      </c>
      <c r="C1180" s="7">
        <f>IF($Z1180="C",INDEX(Contracts!$E$2:$E$151,$AB1180)&amp;"",IF($Z1180="A",INDEX(Fixed_Assets!$D$2:$D$201,$AB1180)&amp;"",IF($Z1180="F",INDEX(FTE_Allocation!$C$2:$C$201,$AB1180)&amp;"","")))</f>
        <v/>
      </c>
      <c r="D1180" s="7">
        <f>IF($Z1180="C",INDEX(Contracts!$B$2:$B$151,$AB1180)&amp;"",IF($Z1180="A",INDEX(Fixed_Assets!$B$2:$B$201,$AB1180)&amp;"",IF($Z1180="F",INDEX(FTE_Allocation!$B$2:$B$201,$AB1180)&amp;"","")))</f>
        <v/>
      </c>
      <c r="E1180" s="7">
        <f>IF($Z1180="C",INDEX(Contracts!$P$2:$P$151,$AB1180)&amp;"",IF($Z1180="A",INDEX(Fixed_Assets!$K$2:$K$201,$AB1180)&amp;"",IF($Z1180="F",IF(INDEX(FTE_Allocation!$D$2:$D$201,$AB1180)="PROJECT",IFERROR(INDEX(Projects!$D:$D,MATCH(INDEX(FTE_Allocation!$E$2:$E$201,$AB1180),Projects!$A:$A,0))&amp;"","#PROJECT?"),INDEX(FTE_Allocation!$E$2:$E$201,$AB1180)&amp;""),"")))</f>
        <v/>
      </c>
      <c r="F1180" s="7">
        <f>IF($Z1180="C",INDEX(Contracts!$Q$2:$Q$151,$AB1180)&amp;"",IF($Z1180="A",INDEX(Fixed_Assets!$L$2:$L$201,$AB1180)&amp;"",IF($Z1180="F",INDEX(Workforce!$K$2:$K$151,MATCH(INDEX(FTE_Allocation!$A$2:$A$201,$AB1180),Workforce!$A$2:$A$151,0))&amp;"","")))</f>
        <v/>
      </c>
      <c r="G1180" s="7">
        <f>IF($Z1180="C",INDEX(Contracts!$F$2:$F$151,$AB1180)&amp;" / "&amp;INDEX(Contracts!$G$2:$G$151,$AB1180),IF($Z1180="A",INDEX(Fixed_Assets!$E$2:$E$201,$AB1180)&amp;"",IF($Z1180="F","Personnel "&amp;INDEX(FTE_Allocation!$A$2:$A$201,$AB1180)&amp;IF(INDEX(FTE_Allocation!$D$2:$D$201,$AB1180)="PROJECT"," ("&amp;INDEX(FTE_Allocation!$E$2:$E$201,$AB1180)&amp;")",""),"")))</f>
        <v/>
      </c>
      <c r="H1180" s="7">
        <f>IF($Z1180="C","CONTRACT",IF($Z1180="A","ASSET",IF($Z1180="F","WORKFORCE","")))</f>
        <v/>
      </c>
      <c r="I1180" s="7">
        <f>IF($Z1180="C",INDEX(Contracts!$L$2:$L$151,$AB1180)&amp;"",IF($Z1180="A",INDEX(Fixed_Assets!$I$2:$I$201,$AB1180)&amp;"",IF($Z1180="F",INDEX(Workforce!$G$2:$G$151,MATCH(INDEX(FTE_Allocation!$A$2:$A$201,$AB1180),Workforce!$A$2:$A$151,0))&amp;"","")))</f>
        <v/>
      </c>
      <c r="J1180" s="18">
        <f>IF($Z1180="","",IF(AND(DATE($AD1180,1,1)&gt;=$AE1180,DATE($AD1180,1,1)&lt;=$AF1180),ROUND($AG1180,2),0))</f>
        <v/>
      </c>
      <c r="K1180" s="18">
        <f>IF($Z1180="","",IF(AND(DATE($AD1180,2,1)&gt;=$AE1180,DATE($AD1180,2,1)&lt;=$AF1180),ROUND($AG1180,2),0))</f>
        <v/>
      </c>
      <c r="L1180" s="18">
        <f>IF($Z1180="","",IF(AND(DATE($AD1180,3,1)&gt;=$AE1180,DATE($AD1180,3,1)&lt;=$AF1180),ROUND($AG1180,2),0))</f>
        <v/>
      </c>
      <c r="M1180" s="18">
        <f>IF($Z1180="","",IF(AND(DATE($AD1180,4,1)&gt;=$AE1180,DATE($AD1180,4,1)&lt;=$AF1180),ROUND($AG1180,2),0))</f>
        <v/>
      </c>
      <c r="N1180" s="18">
        <f>IF($Z1180="","",IF(AND(DATE($AD1180,5,1)&gt;=$AE1180,DATE($AD1180,5,1)&lt;=$AF1180),ROUND($AG1180,2),0))</f>
        <v/>
      </c>
      <c r="O1180" s="18">
        <f>IF($Z1180="","",IF(AND(DATE($AD1180,6,1)&gt;=$AE1180,DATE($AD1180,6,1)&lt;=$AF1180),ROUND($AG1180,2),0))</f>
        <v/>
      </c>
      <c r="P1180" s="18">
        <f>IF($Z1180="","",IF(AND(DATE($AD1180,7,1)&gt;=$AE1180,DATE($AD1180,7,1)&lt;=$AF1180),ROUND($AG1180,2),0))</f>
        <v/>
      </c>
      <c r="Q1180" s="18">
        <f>IF($Z1180="","",IF(AND(DATE($AD1180,8,1)&gt;=$AE1180,DATE($AD1180,8,1)&lt;=$AF1180),ROUND($AG1180,2),0))</f>
        <v/>
      </c>
      <c r="R1180" s="18">
        <f>IF($Z1180="","",IF(AND(DATE($AD1180,9,1)&gt;=$AE1180,DATE($AD1180,9,1)&lt;=$AF1180),ROUND($AG1180,2),0))</f>
        <v/>
      </c>
      <c r="S1180" s="18">
        <f>IF($Z1180="","",IF(AND(DATE($AD1180,10,1)&gt;=$AE1180,DATE($AD1180,10,1)&lt;=$AF1180),ROUND($AG1180,2),0))</f>
        <v/>
      </c>
      <c r="T1180" s="18">
        <f>IF($Z1180="","",IF(AND(DATE($AD1180,11,1)&gt;=$AE1180,DATE($AD1180,11,1)&lt;=$AF1180),ROUND($AG1180,2),0))</f>
        <v/>
      </c>
      <c r="U1180" s="18">
        <f>IF($Z1180="","",IF(AND(DATE($AD1180,12,1)&gt;=$AE1180,DATE($AD1180,12,1)&lt;=$AF1180),ROUND($AG1180,2),0))</f>
        <v/>
      </c>
      <c r="V1180" s="7">
        <f>IF($Z1180="C","Generated from "&amp;INDEX(Contracts!$A$2:$A$151,$AB1180),IF($Z1180="A","Generated from "&amp;INDEX(Fixed_Assets!$A$2:$A$201,$AB1180),IF($Z1180="F","Generated from "&amp;INDEX(FTE_Allocation!$A$2:$A$201,$AB1180),"")))</f>
        <v/>
      </c>
      <c r="X1180" s="19">
        <f>IF($Z1180="","",SUM(J1180:U1180))</f>
        <v/>
      </c>
      <c r="Y1180" s="20">
        <f>ROW()-1</f>
        <v/>
      </c>
      <c r="Z1180" s="20">
        <f>IF($Y1180&lt;=Settings!$B$4*3,"C",IF($Y1180&lt;=(Settings!$B$4+Settings!$B$5)*3,"A",IF($Y1180&lt;=(Settings!$B$4+Settings!$B$5+Settings!$B$6)*3,"F","")))</f>
        <v/>
      </c>
      <c r="AA1180" s="20">
        <f>IF($Z1180="C",$Y1180,IF($Z1180="A",$Y1180-Settings!$B$4*3,IF($Z1180="F",$Y1180-(Settings!$B$4+Settings!$B$5)*3,"")))</f>
        <v/>
      </c>
      <c r="AB1180" s="20">
        <f>IF($Z1180="","",INT(($AA1180-1)/3)+1)</f>
        <v/>
      </c>
      <c r="AC1180" s="20">
        <f>IF($Z1180="","",MOD($AA1180-1,3)+1)</f>
        <v/>
      </c>
      <c r="AD1180" s="20">
        <f>IF($Z1180="","",Settings!$B$2+$AC1180-1)</f>
        <v/>
      </c>
      <c r="AE1180" s="21">
        <f>IF($Z1180="C",DATE(YEAR(INDEX(Contracts!$J$2:$J$151,$AB1180)),MONTH(INDEX(Contracts!$J$2:$J$151,$AB1180)),1),IF($Z1180="A",DATE(YEAR(INDEX(Fixed_Assets!$G$2:$G$201,$AB1180)),MONTH(INDEX(Fixed_Assets!$G$2:$G$201,$AB1180)),1),IF($Z1180="F",DATE(YEAR(MAX(N(INDEX(Workforce!$I$2:$I$151,MATCH(INDEX(FTE_Allocation!$A$2:$A$201,$AB1180),Workforce!$A$2:$A$151,0))),N(INDEX(FTE_Allocation!$I$2:$I$201,$AB1180)))),MONTH(MAX(N(INDEX(Workforce!$I$2:$I$151,MATCH(INDEX(FTE_Allocation!$A$2:$A$201,$AB1180),Workforce!$A$2:$A$151,0))),N(INDEX(FTE_Allocation!$I$2:$I$201,$AB1180)))),1),"")))</f>
        <v/>
      </c>
      <c r="AF1180" s="21">
        <f>IF($Z1180="C",IF(INDEX(Contracts!$I$2:$I$151,$AB1180)="PREPAID",EDATE(DATE(YEAR(INDEX(Contracts!$J$2:$J$151,$AB1180)),MONTH(INDEX(Contracts!$J$2:$J$151,$AB1180)),1),IF(INDEX(Contracts!$N$2:$N$151,$AB1180)="",12,INDEX(Contracts!$N$2:$N$151,$AB1180))-1),IF(INDEX(Contracts!$I$2:$I$151,$AB1180)="MONTHLY",IF(INDEX(Contracts!$K$2:$K$151,$AB1180)="",2958101,INDEX(Contracts!$K$2:$K$151,$AB1180)),0)),IF($Z1180="A",EDATE(DATE(YEAR(INDEX(Fixed_Assets!$G$2:$G$201,$AB1180)),MONTH(INDEX(Fixed_Assets!$G$2:$G$201,$AB1180)),1),INDEX(Fixed_Assets!$J$2:$J$201,$AB1180)-1),IF($Z1180="F",MIN(IF(INDEX(Workforce!$J$2:$J$151,MATCH(INDEX(FTE_Allocation!$A$2:$A$201,$AB1180),Workforce!$A$2:$A$151,0))="",2958101,INDEX(Workforce!$J$2:$J$151,MATCH(INDEX(FTE_Allocation!$A$2:$A$201,$AB1180),Workforce!$A$2:$A$151,0))),IF(INDEX(FTE_Allocation!$J$2:$J$201,$AB1180)="",2958101,INDEX(FTE_Allocation!$J$2:$J$201,$AB1180))),"")))</f>
        <v/>
      </c>
      <c r="AG1180" s="19">
        <f>IF($Z1180="C",IF(INDEX(Contracts!$I$2:$I$151,$AB1180)="PREPAID",INDEX(Contracts!$M$2:$M$151,$AB1180)/IF(INDEX(Contracts!$N$2:$N$151,$AB1180)="",12,INDEX(Contracts!$N$2:$N$151,$AB1180)),IF(INDEX(Contracts!$I$2:$I$151,$AB1180)="MONTHLY",INDEX(Contracts!$M$2:$M$151,$AB1180),0))*(1-N(INDEX(Contracts!$O$2:$O$151,$AB1180))),IF($Z1180="A",INDEX(Fixed_Assets!$H$2:$H$201,$AB1180)/INDEX(Fixed_Assets!$J$2:$J$201,$AB1180),IF($Z1180="F",INDEX(Workforce!$F$2:$F$151,MATCH(INDEX(FTE_Allocation!$A$2:$A$201,$AB1180),Workforce!$A$2:$A$151,0))*N(INDEX(FTE_Allocation!$F$2:$H$201,$AB1180,$AC1180)),"")))</f>
        <v/>
      </c>
    </row>
    <row r="1181">
      <c r="A1181" s="7">
        <f>IF($Z1181="","",$AD1181)</f>
        <v/>
      </c>
      <c r="B1181" s="7">
        <f>IF($Z1181="C",INDEX(Contracts!$D$2:$D$151,$AB1181)&amp;"",IF($Z1181="A",INDEX(Fixed_Assets!$C$2:$C$201,$AB1181)&amp;"",IF($Z1181="F",INDEX(Workforce!$B$2:$B$151,MATCH(INDEX(FTE_Allocation!$A$2:$A$201,$AB1181),Workforce!$A$2:$A$151,0))&amp;"","")))</f>
        <v/>
      </c>
      <c r="C1181" s="7">
        <f>IF($Z1181="C",INDEX(Contracts!$E$2:$E$151,$AB1181)&amp;"",IF($Z1181="A",INDEX(Fixed_Assets!$D$2:$D$201,$AB1181)&amp;"",IF($Z1181="F",INDEX(FTE_Allocation!$C$2:$C$201,$AB1181)&amp;"","")))</f>
        <v/>
      </c>
      <c r="D1181" s="7">
        <f>IF($Z1181="C",INDEX(Contracts!$B$2:$B$151,$AB1181)&amp;"",IF($Z1181="A",INDEX(Fixed_Assets!$B$2:$B$201,$AB1181)&amp;"",IF($Z1181="F",INDEX(FTE_Allocation!$B$2:$B$201,$AB1181)&amp;"","")))</f>
        <v/>
      </c>
      <c r="E1181" s="7">
        <f>IF($Z1181="C",INDEX(Contracts!$P$2:$P$151,$AB1181)&amp;"",IF($Z1181="A",INDEX(Fixed_Assets!$K$2:$K$201,$AB1181)&amp;"",IF($Z1181="F",IF(INDEX(FTE_Allocation!$D$2:$D$201,$AB1181)="PROJECT",IFERROR(INDEX(Projects!$D:$D,MATCH(INDEX(FTE_Allocation!$E$2:$E$201,$AB1181),Projects!$A:$A,0))&amp;"","#PROJECT?"),INDEX(FTE_Allocation!$E$2:$E$201,$AB1181)&amp;""),"")))</f>
        <v/>
      </c>
      <c r="F1181" s="7">
        <f>IF($Z1181="C",INDEX(Contracts!$Q$2:$Q$151,$AB1181)&amp;"",IF($Z1181="A",INDEX(Fixed_Assets!$L$2:$L$201,$AB1181)&amp;"",IF($Z1181="F",INDEX(Workforce!$K$2:$K$151,MATCH(INDEX(FTE_Allocation!$A$2:$A$201,$AB1181),Workforce!$A$2:$A$151,0))&amp;"","")))</f>
        <v/>
      </c>
      <c r="G1181" s="7">
        <f>IF($Z1181="C",INDEX(Contracts!$F$2:$F$151,$AB1181)&amp;" / "&amp;INDEX(Contracts!$G$2:$G$151,$AB1181),IF($Z1181="A",INDEX(Fixed_Assets!$E$2:$E$201,$AB1181)&amp;"",IF($Z1181="F","Personnel "&amp;INDEX(FTE_Allocation!$A$2:$A$201,$AB1181)&amp;IF(INDEX(FTE_Allocation!$D$2:$D$201,$AB1181)="PROJECT"," ("&amp;INDEX(FTE_Allocation!$E$2:$E$201,$AB1181)&amp;")",""),"")))</f>
        <v/>
      </c>
      <c r="H1181" s="7">
        <f>IF($Z1181="C","CONTRACT",IF($Z1181="A","ASSET",IF($Z1181="F","WORKFORCE","")))</f>
        <v/>
      </c>
      <c r="I1181" s="7">
        <f>IF($Z1181="C",INDEX(Contracts!$L$2:$L$151,$AB1181)&amp;"",IF($Z1181="A",INDEX(Fixed_Assets!$I$2:$I$201,$AB1181)&amp;"",IF($Z1181="F",INDEX(Workforce!$G$2:$G$151,MATCH(INDEX(FTE_Allocation!$A$2:$A$201,$AB1181),Workforce!$A$2:$A$151,0))&amp;"","")))</f>
        <v/>
      </c>
      <c r="J1181" s="18">
        <f>IF($Z1181="","",IF(AND(DATE($AD1181,1,1)&gt;=$AE1181,DATE($AD1181,1,1)&lt;=$AF1181),ROUND($AG1181,2),0))</f>
        <v/>
      </c>
      <c r="K1181" s="18">
        <f>IF($Z1181="","",IF(AND(DATE($AD1181,2,1)&gt;=$AE1181,DATE($AD1181,2,1)&lt;=$AF1181),ROUND($AG1181,2),0))</f>
        <v/>
      </c>
      <c r="L1181" s="18">
        <f>IF($Z1181="","",IF(AND(DATE($AD1181,3,1)&gt;=$AE1181,DATE($AD1181,3,1)&lt;=$AF1181),ROUND($AG1181,2),0))</f>
        <v/>
      </c>
      <c r="M1181" s="18">
        <f>IF($Z1181="","",IF(AND(DATE($AD1181,4,1)&gt;=$AE1181,DATE($AD1181,4,1)&lt;=$AF1181),ROUND($AG1181,2),0))</f>
        <v/>
      </c>
      <c r="N1181" s="18">
        <f>IF($Z1181="","",IF(AND(DATE($AD1181,5,1)&gt;=$AE1181,DATE($AD1181,5,1)&lt;=$AF1181),ROUND($AG1181,2),0))</f>
        <v/>
      </c>
      <c r="O1181" s="18">
        <f>IF($Z1181="","",IF(AND(DATE($AD1181,6,1)&gt;=$AE1181,DATE($AD1181,6,1)&lt;=$AF1181),ROUND($AG1181,2),0))</f>
        <v/>
      </c>
      <c r="P1181" s="18">
        <f>IF($Z1181="","",IF(AND(DATE($AD1181,7,1)&gt;=$AE1181,DATE($AD1181,7,1)&lt;=$AF1181),ROUND($AG1181,2),0))</f>
        <v/>
      </c>
      <c r="Q1181" s="18">
        <f>IF($Z1181="","",IF(AND(DATE($AD1181,8,1)&gt;=$AE1181,DATE($AD1181,8,1)&lt;=$AF1181),ROUND($AG1181,2),0))</f>
        <v/>
      </c>
      <c r="R1181" s="18">
        <f>IF($Z1181="","",IF(AND(DATE($AD1181,9,1)&gt;=$AE1181,DATE($AD1181,9,1)&lt;=$AF1181),ROUND($AG1181,2),0))</f>
        <v/>
      </c>
      <c r="S1181" s="18">
        <f>IF($Z1181="","",IF(AND(DATE($AD1181,10,1)&gt;=$AE1181,DATE($AD1181,10,1)&lt;=$AF1181),ROUND($AG1181,2),0))</f>
        <v/>
      </c>
      <c r="T1181" s="18">
        <f>IF($Z1181="","",IF(AND(DATE($AD1181,11,1)&gt;=$AE1181,DATE($AD1181,11,1)&lt;=$AF1181),ROUND($AG1181,2),0))</f>
        <v/>
      </c>
      <c r="U1181" s="18">
        <f>IF($Z1181="","",IF(AND(DATE($AD1181,12,1)&gt;=$AE1181,DATE($AD1181,12,1)&lt;=$AF1181),ROUND($AG1181,2),0))</f>
        <v/>
      </c>
      <c r="V1181" s="7">
        <f>IF($Z1181="C","Generated from "&amp;INDEX(Contracts!$A$2:$A$151,$AB1181),IF($Z1181="A","Generated from "&amp;INDEX(Fixed_Assets!$A$2:$A$201,$AB1181),IF($Z1181="F","Generated from "&amp;INDEX(FTE_Allocation!$A$2:$A$201,$AB1181),"")))</f>
        <v/>
      </c>
      <c r="X1181" s="19">
        <f>IF($Z1181="","",SUM(J1181:U1181))</f>
        <v/>
      </c>
      <c r="Y1181" s="20">
        <f>ROW()-1</f>
        <v/>
      </c>
      <c r="Z1181" s="20">
        <f>IF($Y1181&lt;=Settings!$B$4*3,"C",IF($Y1181&lt;=(Settings!$B$4+Settings!$B$5)*3,"A",IF($Y1181&lt;=(Settings!$B$4+Settings!$B$5+Settings!$B$6)*3,"F","")))</f>
        <v/>
      </c>
      <c r="AA1181" s="20">
        <f>IF($Z1181="C",$Y1181,IF($Z1181="A",$Y1181-Settings!$B$4*3,IF($Z1181="F",$Y1181-(Settings!$B$4+Settings!$B$5)*3,"")))</f>
        <v/>
      </c>
      <c r="AB1181" s="20">
        <f>IF($Z1181="","",INT(($AA1181-1)/3)+1)</f>
        <v/>
      </c>
      <c r="AC1181" s="20">
        <f>IF($Z1181="","",MOD($AA1181-1,3)+1)</f>
        <v/>
      </c>
      <c r="AD1181" s="20">
        <f>IF($Z1181="","",Settings!$B$2+$AC1181-1)</f>
        <v/>
      </c>
      <c r="AE1181" s="21">
        <f>IF($Z1181="C",DATE(YEAR(INDEX(Contracts!$J$2:$J$151,$AB1181)),MONTH(INDEX(Contracts!$J$2:$J$151,$AB1181)),1),IF($Z1181="A",DATE(YEAR(INDEX(Fixed_Assets!$G$2:$G$201,$AB1181)),MONTH(INDEX(Fixed_Assets!$G$2:$G$201,$AB1181)),1),IF($Z1181="F",DATE(YEAR(MAX(N(INDEX(Workforce!$I$2:$I$151,MATCH(INDEX(FTE_Allocation!$A$2:$A$201,$AB1181),Workforce!$A$2:$A$151,0))),N(INDEX(FTE_Allocation!$I$2:$I$201,$AB1181)))),MONTH(MAX(N(INDEX(Workforce!$I$2:$I$151,MATCH(INDEX(FTE_Allocation!$A$2:$A$201,$AB1181),Workforce!$A$2:$A$151,0))),N(INDEX(FTE_Allocation!$I$2:$I$201,$AB1181)))),1),"")))</f>
        <v/>
      </c>
      <c r="AF1181" s="21">
        <f>IF($Z1181="C",IF(INDEX(Contracts!$I$2:$I$151,$AB1181)="PREPAID",EDATE(DATE(YEAR(INDEX(Contracts!$J$2:$J$151,$AB1181)),MONTH(INDEX(Contracts!$J$2:$J$151,$AB1181)),1),IF(INDEX(Contracts!$N$2:$N$151,$AB1181)="",12,INDEX(Contracts!$N$2:$N$151,$AB1181))-1),IF(INDEX(Contracts!$I$2:$I$151,$AB1181)="MONTHLY",IF(INDEX(Contracts!$K$2:$K$151,$AB1181)="",2958101,INDEX(Contracts!$K$2:$K$151,$AB1181)),0)),IF($Z1181="A",EDATE(DATE(YEAR(INDEX(Fixed_Assets!$G$2:$G$201,$AB1181)),MONTH(INDEX(Fixed_Assets!$G$2:$G$201,$AB1181)),1),INDEX(Fixed_Assets!$J$2:$J$201,$AB1181)-1),IF($Z1181="F",MIN(IF(INDEX(Workforce!$J$2:$J$151,MATCH(INDEX(FTE_Allocation!$A$2:$A$201,$AB1181),Workforce!$A$2:$A$151,0))="",2958101,INDEX(Workforce!$J$2:$J$151,MATCH(INDEX(FTE_Allocation!$A$2:$A$201,$AB1181),Workforce!$A$2:$A$151,0))),IF(INDEX(FTE_Allocation!$J$2:$J$201,$AB1181)="",2958101,INDEX(FTE_Allocation!$J$2:$J$201,$AB1181))),"")))</f>
        <v/>
      </c>
      <c r="AG1181" s="19">
        <f>IF($Z1181="C",IF(INDEX(Contracts!$I$2:$I$151,$AB1181)="PREPAID",INDEX(Contracts!$M$2:$M$151,$AB1181)/IF(INDEX(Contracts!$N$2:$N$151,$AB1181)="",12,INDEX(Contracts!$N$2:$N$151,$AB1181)),IF(INDEX(Contracts!$I$2:$I$151,$AB1181)="MONTHLY",INDEX(Contracts!$M$2:$M$151,$AB1181),0))*(1-N(INDEX(Contracts!$O$2:$O$151,$AB1181))),IF($Z1181="A",INDEX(Fixed_Assets!$H$2:$H$201,$AB1181)/INDEX(Fixed_Assets!$J$2:$J$201,$AB1181),IF($Z1181="F",INDEX(Workforce!$F$2:$F$151,MATCH(INDEX(FTE_Allocation!$A$2:$A$201,$AB1181),Workforce!$A$2:$A$151,0))*N(INDEX(FTE_Allocation!$F$2:$H$201,$AB1181,$AC1181)),"")))</f>
        <v/>
      </c>
    </row>
    <row r="1182">
      <c r="A1182" s="7">
        <f>IF($Z1182="","",$AD1182)</f>
        <v/>
      </c>
      <c r="B1182" s="7">
        <f>IF($Z1182="C",INDEX(Contracts!$D$2:$D$151,$AB1182)&amp;"",IF($Z1182="A",INDEX(Fixed_Assets!$C$2:$C$201,$AB1182)&amp;"",IF($Z1182="F",INDEX(Workforce!$B$2:$B$151,MATCH(INDEX(FTE_Allocation!$A$2:$A$201,$AB1182),Workforce!$A$2:$A$151,0))&amp;"","")))</f>
        <v/>
      </c>
      <c r="C1182" s="7">
        <f>IF($Z1182="C",INDEX(Contracts!$E$2:$E$151,$AB1182)&amp;"",IF($Z1182="A",INDEX(Fixed_Assets!$D$2:$D$201,$AB1182)&amp;"",IF($Z1182="F",INDEX(FTE_Allocation!$C$2:$C$201,$AB1182)&amp;"","")))</f>
        <v/>
      </c>
      <c r="D1182" s="7">
        <f>IF($Z1182="C",INDEX(Contracts!$B$2:$B$151,$AB1182)&amp;"",IF($Z1182="A",INDEX(Fixed_Assets!$B$2:$B$201,$AB1182)&amp;"",IF($Z1182="F",INDEX(FTE_Allocation!$B$2:$B$201,$AB1182)&amp;"","")))</f>
        <v/>
      </c>
      <c r="E1182" s="7">
        <f>IF($Z1182="C",INDEX(Contracts!$P$2:$P$151,$AB1182)&amp;"",IF($Z1182="A",INDEX(Fixed_Assets!$K$2:$K$201,$AB1182)&amp;"",IF($Z1182="F",IF(INDEX(FTE_Allocation!$D$2:$D$201,$AB1182)="PROJECT",IFERROR(INDEX(Projects!$D:$D,MATCH(INDEX(FTE_Allocation!$E$2:$E$201,$AB1182),Projects!$A:$A,0))&amp;"","#PROJECT?"),INDEX(FTE_Allocation!$E$2:$E$201,$AB1182)&amp;""),"")))</f>
        <v/>
      </c>
      <c r="F1182" s="7">
        <f>IF($Z1182="C",INDEX(Contracts!$Q$2:$Q$151,$AB1182)&amp;"",IF($Z1182="A",INDEX(Fixed_Assets!$L$2:$L$201,$AB1182)&amp;"",IF($Z1182="F",INDEX(Workforce!$K$2:$K$151,MATCH(INDEX(FTE_Allocation!$A$2:$A$201,$AB1182),Workforce!$A$2:$A$151,0))&amp;"","")))</f>
        <v/>
      </c>
      <c r="G1182" s="7">
        <f>IF($Z1182="C",INDEX(Contracts!$F$2:$F$151,$AB1182)&amp;" / "&amp;INDEX(Contracts!$G$2:$G$151,$AB1182),IF($Z1182="A",INDEX(Fixed_Assets!$E$2:$E$201,$AB1182)&amp;"",IF($Z1182="F","Personnel "&amp;INDEX(FTE_Allocation!$A$2:$A$201,$AB1182)&amp;IF(INDEX(FTE_Allocation!$D$2:$D$201,$AB1182)="PROJECT"," ("&amp;INDEX(FTE_Allocation!$E$2:$E$201,$AB1182)&amp;")",""),"")))</f>
        <v/>
      </c>
      <c r="H1182" s="7">
        <f>IF($Z1182="C","CONTRACT",IF($Z1182="A","ASSET",IF($Z1182="F","WORKFORCE","")))</f>
        <v/>
      </c>
      <c r="I1182" s="7">
        <f>IF($Z1182="C",INDEX(Contracts!$L$2:$L$151,$AB1182)&amp;"",IF($Z1182="A",INDEX(Fixed_Assets!$I$2:$I$201,$AB1182)&amp;"",IF($Z1182="F",INDEX(Workforce!$G$2:$G$151,MATCH(INDEX(FTE_Allocation!$A$2:$A$201,$AB1182),Workforce!$A$2:$A$151,0))&amp;"","")))</f>
        <v/>
      </c>
      <c r="J1182" s="18">
        <f>IF($Z1182="","",IF(AND(DATE($AD1182,1,1)&gt;=$AE1182,DATE($AD1182,1,1)&lt;=$AF1182),ROUND($AG1182,2),0))</f>
        <v/>
      </c>
      <c r="K1182" s="18">
        <f>IF($Z1182="","",IF(AND(DATE($AD1182,2,1)&gt;=$AE1182,DATE($AD1182,2,1)&lt;=$AF1182),ROUND($AG1182,2),0))</f>
        <v/>
      </c>
      <c r="L1182" s="18">
        <f>IF($Z1182="","",IF(AND(DATE($AD1182,3,1)&gt;=$AE1182,DATE($AD1182,3,1)&lt;=$AF1182),ROUND($AG1182,2),0))</f>
        <v/>
      </c>
      <c r="M1182" s="18">
        <f>IF($Z1182="","",IF(AND(DATE($AD1182,4,1)&gt;=$AE1182,DATE($AD1182,4,1)&lt;=$AF1182),ROUND($AG1182,2),0))</f>
        <v/>
      </c>
      <c r="N1182" s="18">
        <f>IF($Z1182="","",IF(AND(DATE($AD1182,5,1)&gt;=$AE1182,DATE($AD1182,5,1)&lt;=$AF1182),ROUND($AG1182,2),0))</f>
        <v/>
      </c>
      <c r="O1182" s="18">
        <f>IF($Z1182="","",IF(AND(DATE($AD1182,6,1)&gt;=$AE1182,DATE($AD1182,6,1)&lt;=$AF1182),ROUND($AG1182,2),0))</f>
        <v/>
      </c>
      <c r="P1182" s="18">
        <f>IF($Z1182="","",IF(AND(DATE($AD1182,7,1)&gt;=$AE1182,DATE($AD1182,7,1)&lt;=$AF1182),ROUND($AG1182,2),0))</f>
        <v/>
      </c>
      <c r="Q1182" s="18">
        <f>IF($Z1182="","",IF(AND(DATE($AD1182,8,1)&gt;=$AE1182,DATE($AD1182,8,1)&lt;=$AF1182),ROUND($AG1182,2),0))</f>
        <v/>
      </c>
      <c r="R1182" s="18">
        <f>IF($Z1182="","",IF(AND(DATE($AD1182,9,1)&gt;=$AE1182,DATE($AD1182,9,1)&lt;=$AF1182),ROUND($AG1182,2),0))</f>
        <v/>
      </c>
      <c r="S1182" s="18">
        <f>IF($Z1182="","",IF(AND(DATE($AD1182,10,1)&gt;=$AE1182,DATE($AD1182,10,1)&lt;=$AF1182),ROUND($AG1182,2),0))</f>
        <v/>
      </c>
      <c r="T1182" s="18">
        <f>IF($Z1182="","",IF(AND(DATE($AD1182,11,1)&gt;=$AE1182,DATE($AD1182,11,1)&lt;=$AF1182),ROUND($AG1182,2),0))</f>
        <v/>
      </c>
      <c r="U1182" s="18">
        <f>IF($Z1182="","",IF(AND(DATE($AD1182,12,1)&gt;=$AE1182,DATE($AD1182,12,1)&lt;=$AF1182),ROUND($AG1182,2),0))</f>
        <v/>
      </c>
      <c r="V1182" s="7">
        <f>IF($Z1182="C","Generated from "&amp;INDEX(Contracts!$A$2:$A$151,$AB1182),IF($Z1182="A","Generated from "&amp;INDEX(Fixed_Assets!$A$2:$A$201,$AB1182),IF($Z1182="F","Generated from "&amp;INDEX(FTE_Allocation!$A$2:$A$201,$AB1182),"")))</f>
        <v/>
      </c>
      <c r="X1182" s="19">
        <f>IF($Z1182="","",SUM(J1182:U1182))</f>
        <v/>
      </c>
      <c r="Y1182" s="20">
        <f>ROW()-1</f>
        <v/>
      </c>
      <c r="Z1182" s="20">
        <f>IF($Y1182&lt;=Settings!$B$4*3,"C",IF($Y1182&lt;=(Settings!$B$4+Settings!$B$5)*3,"A",IF($Y1182&lt;=(Settings!$B$4+Settings!$B$5+Settings!$B$6)*3,"F","")))</f>
        <v/>
      </c>
      <c r="AA1182" s="20">
        <f>IF($Z1182="C",$Y1182,IF($Z1182="A",$Y1182-Settings!$B$4*3,IF($Z1182="F",$Y1182-(Settings!$B$4+Settings!$B$5)*3,"")))</f>
        <v/>
      </c>
      <c r="AB1182" s="20">
        <f>IF($Z1182="","",INT(($AA1182-1)/3)+1)</f>
        <v/>
      </c>
      <c r="AC1182" s="20">
        <f>IF($Z1182="","",MOD($AA1182-1,3)+1)</f>
        <v/>
      </c>
      <c r="AD1182" s="20">
        <f>IF($Z1182="","",Settings!$B$2+$AC1182-1)</f>
        <v/>
      </c>
      <c r="AE1182" s="21">
        <f>IF($Z1182="C",DATE(YEAR(INDEX(Contracts!$J$2:$J$151,$AB1182)),MONTH(INDEX(Contracts!$J$2:$J$151,$AB1182)),1),IF($Z1182="A",DATE(YEAR(INDEX(Fixed_Assets!$G$2:$G$201,$AB1182)),MONTH(INDEX(Fixed_Assets!$G$2:$G$201,$AB1182)),1),IF($Z1182="F",DATE(YEAR(MAX(N(INDEX(Workforce!$I$2:$I$151,MATCH(INDEX(FTE_Allocation!$A$2:$A$201,$AB1182),Workforce!$A$2:$A$151,0))),N(INDEX(FTE_Allocation!$I$2:$I$201,$AB1182)))),MONTH(MAX(N(INDEX(Workforce!$I$2:$I$151,MATCH(INDEX(FTE_Allocation!$A$2:$A$201,$AB1182),Workforce!$A$2:$A$151,0))),N(INDEX(FTE_Allocation!$I$2:$I$201,$AB1182)))),1),"")))</f>
        <v/>
      </c>
      <c r="AF1182" s="21">
        <f>IF($Z1182="C",IF(INDEX(Contracts!$I$2:$I$151,$AB1182)="PREPAID",EDATE(DATE(YEAR(INDEX(Contracts!$J$2:$J$151,$AB1182)),MONTH(INDEX(Contracts!$J$2:$J$151,$AB1182)),1),IF(INDEX(Contracts!$N$2:$N$151,$AB1182)="",12,INDEX(Contracts!$N$2:$N$151,$AB1182))-1),IF(INDEX(Contracts!$I$2:$I$151,$AB1182)="MONTHLY",IF(INDEX(Contracts!$K$2:$K$151,$AB1182)="",2958101,INDEX(Contracts!$K$2:$K$151,$AB1182)),0)),IF($Z1182="A",EDATE(DATE(YEAR(INDEX(Fixed_Assets!$G$2:$G$201,$AB1182)),MONTH(INDEX(Fixed_Assets!$G$2:$G$201,$AB1182)),1),INDEX(Fixed_Assets!$J$2:$J$201,$AB1182)-1),IF($Z1182="F",MIN(IF(INDEX(Workforce!$J$2:$J$151,MATCH(INDEX(FTE_Allocation!$A$2:$A$201,$AB1182),Workforce!$A$2:$A$151,0))="",2958101,INDEX(Workforce!$J$2:$J$151,MATCH(INDEX(FTE_Allocation!$A$2:$A$201,$AB1182),Workforce!$A$2:$A$151,0))),IF(INDEX(FTE_Allocation!$J$2:$J$201,$AB1182)="",2958101,INDEX(FTE_Allocation!$J$2:$J$201,$AB1182))),"")))</f>
        <v/>
      </c>
      <c r="AG1182" s="19">
        <f>IF($Z1182="C",IF(INDEX(Contracts!$I$2:$I$151,$AB1182)="PREPAID",INDEX(Contracts!$M$2:$M$151,$AB1182)/IF(INDEX(Contracts!$N$2:$N$151,$AB1182)="",12,INDEX(Contracts!$N$2:$N$151,$AB1182)),IF(INDEX(Contracts!$I$2:$I$151,$AB1182)="MONTHLY",INDEX(Contracts!$M$2:$M$151,$AB1182),0))*(1-N(INDEX(Contracts!$O$2:$O$151,$AB1182))),IF($Z1182="A",INDEX(Fixed_Assets!$H$2:$H$201,$AB1182)/INDEX(Fixed_Assets!$J$2:$J$201,$AB1182),IF($Z1182="F",INDEX(Workforce!$F$2:$F$151,MATCH(INDEX(FTE_Allocation!$A$2:$A$201,$AB1182),Workforce!$A$2:$A$151,0))*N(INDEX(FTE_Allocation!$F$2:$H$201,$AB1182,$AC1182)),"")))</f>
        <v/>
      </c>
    </row>
    <row r="1183">
      <c r="A1183" s="7">
        <f>IF($Z1183="","",$AD1183)</f>
        <v/>
      </c>
      <c r="B1183" s="7">
        <f>IF($Z1183="C",INDEX(Contracts!$D$2:$D$151,$AB1183)&amp;"",IF($Z1183="A",INDEX(Fixed_Assets!$C$2:$C$201,$AB1183)&amp;"",IF($Z1183="F",INDEX(Workforce!$B$2:$B$151,MATCH(INDEX(FTE_Allocation!$A$2:$A$201,$AB1183),Workforce!$A$2:$A$151,0))&amp;"","")))</f>
        <v/>
      </c>
      <c r="C1183" s="7">
        <f>IF($Z1183="C",INDEX(Contracts!$E$2:$E$151,$AB1183)&amp;"",IF($Z1183="A",INDEX(Fixed_Assets!$D$2:$D$201,$AB1183)&amp;"",IF($Z1183="F",INDEX(FTE_Allocation!$C$2:$C$201,$AB1183)&amp;"","")))</f>
        <v/>
      </c>
      <c r="D1183" s="7">
        <f>IF($Z1183="C",INDEX(Contracts!$B$2:$B$151,$AB1183)&amp;"",IF($Z1183="A",INDEX(Fixed_Assets!$B$2:$B$201,$AB1183)&amp;"",IF($Z1183="F",INDEX(FTE_Allocation!$B$2:$B$201,$AB1183)&amp;"","")))</f>
        <v/>
      </c>
      <c r="E1183" s="7">
        <f>IF($Z1183="C",INDEX(Contracts!$P$2:$P$151,$AB1183)&amp;"",IF($Z1183="A",INDEX(Fixed_Assets!$K$2:$K$201,$AB1183)&amp;"",IF($Z1183="F",IF(INDEX(FTE_Allocation!$D$2:$D$201,$AB1183)="PROJECT",IFERROR(INDEX(Projects!$D:$D,MATCH(INDEX(FTE_Allocation!$E$2:$E$201,$AB1183),Projects!$A:$A,0))&amp;"","#PROJECT?"),INDEX(FTE_Allocation!$E$2:$E$201,$AB1183)&amp;""),"")))</f>
        <v/>
      </c>
      <c r="F1183" s="7">
        <f>IF($Z1183="C",INDEX(Contracts!$Q$2:$Q$151,$AB1183)&amp;"",IF($Z1183="A",INDEX(Fixed_Assets!$L$2:$L$201,$AB1183)&amp;"",IF($Z1183="F",INDEX(Workforce!$K$2:$K$151,MATCH(INDEX(FTE_Allocation!$A$2:$A$201,$AB1183),Workforce!$A$2:$A$151,0))&amp;"","")))</f>
        <v/>
      </c>
      <c r="G1183" s="7">
        <f>IF($Z1183="C",INDEX(Contracts!$F$2:$F$151,$AB1183)&amp;" / "&amp;INDEX(Contracts!$G$2:$G$151,$AB1183),IF($Z1183="A",INDEX(Fixed_Assets!$E$2:$E$201,$AB1183)&amp;"",IF($Z1183="F","Personnel "&amp;INDEX(FTE_Allocation!$A$2:$A$201,$AB1183)&amp;IF(INDEX(FTE_Allocation!$D$2:$D$201,$AB1183)="PROJECT"," ("&amp;INDEX(FTE_Allocation!$E$2:$E$201,$AB1183)&amp;")",""),"")))</f>
        <v/>
      </c>
      <c r="H1183" s="7">
        <f>IF($Z1183="C","CONTRACT",IF($Z1183="A","ASSET",IF($Z1183="F","WORKFORCE","")))</f>
        <v/>
      </c>
      <c r="I1183" s="7">
        <f>IF($Z1183="C",INDEX(Contracts!$L$2:$L$151,$AB1183)&amp;"",IF($Z1183="A",INDEX(Fixed_Assets!$I$2:$I$201,$AB1183)&amp;"",IF($Z1183="F",INDEX(Workforce!$G$2:$G$151,MATCH(INDEX(FTE_Allocation!$A$2:$A$201,$AB1183),Workforce!$A$2:$A$151,0))&amp;"","")))</f>
        <v/>
      </c>
      <c r="J1183" s="18">
        <f>IF($Z1183="","",IF(AND(DATE($AD1183,1,1)&gt;=$AE1183,DATE($AD1183,1,1)&lt;=$AF1183),ROUND($AG1183,2),0))</f>
        <v/>
      </c>
      <c r="K1183" s="18">
        <f>IF($Z1183="","",IF(AND(DATE($AD1183,2,1)&gt;=$AE1183,DATE($AD1183,2,1)&lt;=$AF1183),ROUND($AG1183,2),0))</f>
        <v/>
      </c>
      <c r="L1183" s="18">
        <f>IF($Z1183="","",IF(AND(DATE($AD1183,3,1)&gt;=$AE1183,DATE($AD1183,3,1)&lt;=$AF1183),ROUND($AG1183,2),0))</f>
        <v/>
      </c>
      <c r="M1183" s="18">
        <f>IF($Z1183="","",IF(AND(DATE($AD1183,4,1)&gt;=$AE1183,DATE($AD1183,4,1)&lt;=$AF1183),ROUND($AG1183,2),0))</f>
        <v/>
      </c>
      <c r="N1183" s="18">
        <f>IF($Z1183="","",IF(AND(DATE($AD1183,5,1)&gt;=$AE1183,DATE($AD1183,5,1)&lt;=$AF1183),ROUND($AG1183,2),0))</f>
        <v/>
      </c>
      <c r="O1183" s="18">
        <f>IF($Z1183="","",IF(AND(DATE($AD1183,6,1)&gt;=$AE1183,DATE($AD1183,6,1)&lt;=$AF1183),ROUND($AG1183,2),0))</f>
        <v/>
      </c>
      <c r="P1183" s="18">
        <f>IF($Z1183="","",IF(AND(DATE($AD1183,7,1)&gt;=$AE1183,DATE($AD1183,7,1)&lt;=$AF1183),ROUND($AG1183,2),0))</f>
        <v/>
      </c>
      <c r="Q1183" s="18">
        <f>IF($Z1183="","",IF(AND(DATE($AD1183,8,1)&gt;=$AE1183,DATE($AD1183,8,1)&lt;=$AF1183),ROUND($AG1183,2),0))</f>
        <v/>
      </c>
      <c r="R1183" s="18">
        <f>IF($Z1183="","",IF(AND(DATE($AD1183,9,1)&gt;=$AE1183,DATE($AD1183,9,1)&lt;=$AF1183),ROUND($AG1183,2),0))</f>
        <v/>
      </c>
      <c r="S1183" s="18">
        <f>IF($Z1183="","",IF(AND(DATE($AD1183,10,1)&gt;=$AE1183,DATE($AD1183,10,1)&lt;=$AF1183),ROUND($AG1183,2),0))</f>
        <v/>
      </c>
      <c r="T1183" s="18">
        <f>IF($Z1183="","",IF(AND(DATE($AD1183,11,1)&gt;=$AE1183,DATE($AD1183,11,1)&lt;=$AF1183),ROUND($AG1183,2),0))</f>
        <v/>
      </c>
      <c r="U1183" s="18">
        <f>IF($Z1183="","",IF(AND(DATE($AD1183,12,1)&gt;=$AE1183,DATE($AD1183,12,1)&lt;=$AF1183),ROUND($AG1183,2),0))</f>
        <v/>
      </c>
      <c r="V1183" s="7">
        <f>IF($Z1183="C","Generated from "&amp;INDEX(Contracts!$A$2:$A$151,$AB1183),IF($Z1183="A","Generated from "&amp;INDEX(Fixed_Assets!$A$2:$A$201,$AB1183),IF($Z1183="F","Generated from "&amp;INDEX(FTE_Allocation!$A$2:$A$201,$AB1183),"")))</f>
        <v/>
      </c>
      <c r="X1183" s="19">
        <f>IF($Z1183="","",SUM(J1183:U1183))</f>
        <v/>
      </c>
      <c r="Y1183" s="20">
        <f>ROW()-1</f>
        <v/>
      </c>
      <c r="Z1183" s="20">
        <f>IF($Y1183&lt;=Settings!$B$4*3,"C",IF($Y1183&lt;=(Settings!$B$4+Settings!$B$5)*3,"A",IF($Y1183&lt;=(Settings!$B$4+Settings!$B$5+Settings!$B$6)*3,"F","")))</f>
        <v/>
      </c>
      <c r="AA1183" s="20">
        <f>IF($Z1183="C",$Y1183,IF($Z1183="A",$Y1183-Settings!$B$4*3,IF($Z1183="F",$Y1183-(Settings!$B$4+Settings!$B$5)*3,"")))</f>
        <v/>
      </c>
      <c r="AB1183" s="20">
        <f>IF($Z1183="","",INT(($AA1183-1)/3)+1)</f>
        <v/>
      </c>
      <c r="AC1183" s="20">
        <f>IF($Z1183="","",MOD($AA1183-1,3)+1)</f>
        <v/>
      </c>
      <c r="AD1183" s="20">
        <f>IF($Z1183="","",Settings!$B$2+$AC1183-1)</f>
        <v/>
      </c>
      <c r="AE1183" s="21">
        <f>IF($Z1183="C",DATE(YEAR(INDEX(Contracts!$J$2:$J$151,$AB1183)),MONTH(INDEX(Contracts!$J$2:$J$151,$AB1183)),1),IF($Z1183="A",DATE(YEAR(INDEX(Fixed_Assets!$G$2:$G$201,$AB1183)),MONTH(INDEX(Fixed_Assets!$G$2:$G$201,$AB1183)),1),IF($Z1183="F",DATE(YEAR(MAX(N(INDEX(Workforce!$I$2:$I$151,MATCH(INDEX(FTE_Allocation!$A$2:$A$201,$AB1183),Workforce!$A$2:$A$151,0))),N(INDEX(FTE_Allocation!$I$2:$I$201,$AB1183)))),MONTH(MAX(N(INDEX(Workforce!$I$2:$I$151,MATCH(INDEX(FTE_Allocation!$A$2:$A$201,$AB1183),Workforce!$A$2:$A$151,0))),N(INDEX(FTE_Allocation!$I$2:$I$201,$AB1183)))),1),"")))</f>
        <v/>
      </c>
      <c r="AF1183" s="21">
        <f>IF($Z1183="C",IF(INDEX(Contracts!$I$2:$I$151,$AB1183)="PREPAID",EDATE(DATE(YEAR(INDEX(Contracts!$J$2:$J$151,$AB1183)),MONTH(INDEX(Contracts!$J$2:$J$151,$AB1183)),1),IF(INDEX(Contracts!$N$2:$N$151,$AB1183)="",12,INDEX(Contracts!$N$2:$N$151,$AB1183))-1),IF(INDEX(Contracts!$I$2:$I$151,$AB1183)="MONTHLY",IF(INDEX(Contracts!$K$2:$K$151,$AB1183)="",2958101,INDEX(Contracts!$K$2:$K$151,$AB1183)),0)),IF($Z1183="A",EDATE(DATE(YEAR(INDEX(Fixed_Assets!$G$2:$G$201,$AB1183)),MONTH(INDEX(Fixed_Assets!$G$2:$G$201,$AB1183)),1),INDEX(Fixed_Assets!$J$2:$J$201,$AB1183)-1),IF($Z1183="F",MIN(IF(INDEX(Workforce!$J$2:$J$151,MATCH(INDEX(FTE_Allocation!$A$2:$A$201,$AB1183),Workforce!$A$2:$A$151,0))="",2958101,INDEX(Workforce!$J$2:$J$151,MATCH(INDEX(FTE_Allocation!$A$2:$A$201,$AB1183),Workforce!$A$2:$A$151,0))),IF(INDEX(FTE_Allocation!$J$2:$J$201,$AB1183)="",2958101,INDEX(FTE_Allocation!$J$2:$J$201,$AB1183))),"")))</f>
        <v/>
      </c>
      <c r="AG1183" s="19">
        <f>IF($Z1183="C",IF(INDEX(Contracts!$I$2:$I$151,$AB1183)="PREPAID",INDEX(Contracts!$M$2:$M$151,$AB1183)/IF(INDEX(Contracts!$N$2:$N$151,$AB1183)="",12,INDEX(Contracts!$N$2:$N$151,$AB1183)),IF(INDEX(Contracts!$I$2:$I$151,$AB1183)="MONTHLY",INDEX(Contracts!$M$2:$M$151,$AB1183),0))*(1-N(INDEX(Contracts!$O$2:$O$151,$AB1183))),IF($Z1183="A",INDEX(Fixed_Assets!$H$2:$H$201,$AB1183)/INDEX(Fixed_Assets!$J$2:$J$201,$AB1183),IF($Z1183="F",INDEX(Workforce!$F$2:$F$151,MATCH(INDEX(FTE_Allocation!$A$2:$A$201,$AB1183),Workforce!$A$2:$A$151,0))*N(INDEX(FTE_Allocation!$F$2:$H$201,$AB1183,$AC1183)),"")))</f>
        <v/>
      </c>
    </row>
    <row r="1184">
      <c r="A1184" s="7">
        <f>IF($Z1184="","",$AD1184)</f>
        <v/>
      </c>
      <c r="B1184" s="7">
        <f>IF($Z1184="C",INDEX(Contracts!$D$2:$D$151,$AB1184)&amp;"",IF($Z1184="A",INDEX(Fixed_Assets!$C$2:$C$201,$AB1184)&amp;"",IF($Z1184="F",INDEX(Workforce!$B$2:$B$151,MATCH(INDEX(FTE_Allocation!$A$2:$A$201,$AB1184),Workforce!$A$2:$A$151,0))&amp;"","")))</f>
        <v/>
      </c>
      <c r="C1184" s="7">
        <f>IF($Z1184="C",INDEX(Contracts!$E$2:$E$151,$AB1184)&amp;"",IF($Z1184="A",INDEX(Fixed_Assets!$D$2:$D$201,$AB1184)&amp;"",IF($Z1184="F",INDEX(FTE_Allocation!$C$2:$C$201,$AB1184)&amp;"","")))</f>
        <v/>
      </c>
      <c r="D1184" s="7">
        <f>IF($Z1184="C",INDEX(Contracts!$B$2:$B$151,$AB1184)&amp;"",IF($Z1184="A",INDEX(Fixed_Assets!$B$2:$B$201,$AB1184)&amp;"",IF($Z1184="F",INDEX(FTE_Allocation!$B$2:$B$201,$AB1184)&amp;"","")))</f>
        <v/>
      </c>
      <c r="E1184" s="7">
        <f>IF($Z1184="C",INDEX(Contracts!$P$2:$P$151,$AB1184)&amp;"",IF($Z1184="A",INDEX(Fixed_Assets!$K$2:$K$201,$AB1184)&amp;"",IF($Z1184="F",IF(INDEX(FTE_Allocation!$D$2:$D$201,$AB1184)="PROJECT",IFERROR(INDEX(Projects!$D:$D,MATCH(INDEX(FTE_Allocation!$E$2:$E$201,$AB1184),Projects!$A:$A,0))&amp;"","#PROJECT?"),INDEX(FTE_Allocation!$E$2:$E$201,$AB1184)&amp;""),"")))</f>
        <v/>
      </c>
      <c r="F1184" s="7">
        <f>IF($Z1184="C",INDEX(Contracts!$Q$2:$Q$151,$AB1184)&amp;"",IF($Z1184="A",INDEX(Fixed_Assets!$L$2:$L$201,$AB1184)&amp;"",IF($Z1184="F",INDEX(Workforce!$K$2:$K$151,MATCH(INDEX(FTE_Allocation!$A$2:$A$201,$AB1184),Workforce!$A$2:$A$151,0))&amp;"","")))</f>
        <v/>
      </c>
      <c r="G1184" s="7">
        <f>IF($Z1184="C",INDEX(Contracts!$F$2:$F$151,$AB1184)&amp;" / "&amp;INDEX(Contracts!$G$2:$G$151,$AB1184),IF($Z1184="A",INDEX(Fixed_Assets!$E$2:$E$201,$AB1184)&amp;"",IF($Z1184="F","Personnel "&amp;INDEX(FTE_Allocation!$A$2:$A$201,$AB1184)&amp;IF(INDEX(FTE_Allocation!$D$2:$D$201,$AB1184)="PROJECT"," ("&amp;INDEX(FTE_Allocation!$E$2:$E$201,$AB1184)&amp;")",""),"")))</f>
        <v/>
      </c>
      <c r="H1184" s="7">
        <f>IF($Z1184="C","CONTRACT",IF($Z1184="A","ASSET",IF($Z1184="F","WORKFORCE","")))</f>
        <v/>
      </c>
      <c r="I1184" s="7">
        <f>IF($Z1184="C",INDEX(Contracts!$L$2:$L$151,$AB1184)&amp;"",IF($Z1184="A",INDEX(Fixed_Assets!$I$2:$I$201,$AB1184)&amp;"",IF($Z1184="F",INDEX(Workforce!$G$2:$G$151,MATCH(INDEX(FTE_Allocation!$A$2:$A$201,$AB1184),Workforce!$A$2:$A$151,0))&amp;"","")))</f>
        <v/>
      </c>
      <c r="J1184" s="18">
        <f>IF($Z1184="","",IF(AND(DATE($AD1184,1,1)&gt;=$AE1184,DATE($AD1184,1,1)&lt;=$AF1184),ROUND($AG1184,2),0))</f>
        <v/>
      </c>
      <c r="K1184" s="18">
        <f>IF($Z1184="","",IF(AND(DATE($AD1184,2,1)&gt;=$AE1184,DATE($AD1184,2,1)&lt;=$AF1184),ROUND($AG1184,2),0))</f>
        <v/>
      </c>
      <c r="L1184" s="18">
        <f>IF($Z1184="","",IF(AND(DATE($AD1184,3,1)&gt;=$AE1184,DATE($AD1184,3,1)&lt;=$AF1184),ROUND($AG1184,2),0))</f>
        <v/>
      </c>
      <c r="M1184" s="18">
        <f>IF($Z1184="","",IF(AND(DATE($AD1184,4,1)&gt;=$AE1184,DATE($AD1184,4,1)&lt;=$AF1184),ROUND($AG1184,2),0))</f>
        <v/>
      </c>
      <c r="N1184" s="18">
        <f>IF($Z1184="","",IF(AND(DATE($AD1184,5,1)&gt;=$AE1184,DATE($AD1184,5,1)&lt;=$AF1184),ROUND($AG1184,2),0))</f>
        <v/>
      </c>
      <c r="O1184" s="18">
        <f>IF($Z1184="","",IF(AND(DATE($AD1184,6,1)&gt;=$AE1184,DATE($AD1184,6,1)&lt;=$AF1184),ROUND($AG1184,2),0))</f>
        <v/>
      </c>
      <c r="P1184" s="18">
        <f>IF($Z1184="","",IF(AND(DATE($AD1184,7,1)&gt;=$AE1184,DATE($AD1184,7,1)&lt;=$AF1184),ROUND($AG1184,2),0))</f>
        <v/>
      </c>
      <c r="Q1184" s="18">
        <f>IF($Z1184="","",IF(AND(DATE($AD1184,8,1)&gt;=$AE1184,DATE($AD1184,8,1)&lt;=$AF1184),ROUND($AG1184,2),0))</f>
        <v/>
      </c>
      <c r="R1184" s="18">
        <f>IF($Z1184="","",IF(AND(DATE($AD1184,9,1)&gt;=$AE1184,DATE($AD1184,9,1)&lt;=$AF1184),ROUND($AG1184,2),0))</f>
        <v/>
      </c>
      <c r="S1184" s="18">
        <f>IF($Z1184="","",IF(AND(DATE($AD1184,10,1)&gt;=$AE1184,DATE($AD1184,10,1)&lt;=$AF1184),ROUND($AG1184,2),0))</f>
        <v/>
      </c>
      <c r="T1184" s="18">
        <f>IF($Z1184="","",IF(AND(DATE($AD1184,11,1)&gt;=$AE1184,DATE($AD1184,11,1)&lt;=$AF1184),ROUND($AG1184,2),0))</f>
        <v/>
      </c>
      <c r="U1184" s="18">
        <f>IF($Z1184="","",IF(AND(DATE($AD1184,12,1)&gt;=$AE1184,DATE($AD1184,12,1)&lt;=$AF1184),ROUND($AG1184,2),0))</f>
        <v/>
      </c>
      <c r="V1184" s="7">
        <f>IF($Z1184="C","Generated from "&amp;INDEX(Contracts!$A$2:$A$151,$AB1184),IF($Z1184="A","Generated from "&amp;INDEX(Fixed_Assets!$A$2:$A$201,$AB1184),IF($Z1184="F","Generated from "&amp;INDEX(FTE_Allocation!$A$2:$A$201,$AB1184),"")))</f>
        <v/>
      </c>
      <c r="X1184" s="19">
        <f>IF($Z1184="","",SUM(J1184:U1184))</f>
        <v/>
      </c>
      <c r="Y1184" s="20">
        <f>ROW()-1</f>
        <v/>
      </c>
      <c r="Z1184" s="20">
        <f>IF($Y1184&lt;=Settings!$B$4*3,"C",IF($Y1184&lt;=(Settings!$B$4+Settings!$B$5)*3,"A",IF($Y1184&lt;=(Settings!$B$4+Settings!$B$5+Settings!$B$6)*3,"F","")))</f>
        <v/>
      </c>
      <c r="AA1184" s="20">
        <f>IF($Z1184="C",$Y1184,IF($Z1184="A",$Y1184-Settings!$B$4*3,IF($Z1184="F",$Y1184-(Settings!$B$4+Settings!$B$5)*3,"")))</f>
        <v/>
      </c>
      <c r="AB1184" s="20">
        <f>IF($Z1184="","",INT(($AA1184-1)/3)+1)</f>
        <v/>
      </c>
      <c r="AC1184" s="20">
        <f>IF($Z1184="","",MOD($AA1184-1,3)+1)</f>
        <v/>
      </c>
      <c r="AD1184" s="20">
        <f>IF($Z1184="","",Settings!$B$2+$AC1184-1)</f>
        <v/>
      </c>
      <c r="AE1184" s="21">
        <f>IF($Z1184="C",DATE(YEAR(INDEX(Contracts!$J$2:$J$151,$AB1184)),MONTH(INDEX(Contracts!$J$2:$J$151,$AB1184)),1),IF($Z1184="A",DATE(YEAR(INDEX(Fixed_Assets!$G$2:$G$201,$AB1184)),MONTH(INDEX(Fixed_Assets!$G$2:$G$201,$AB1184)),1),IF($Z1184="F",DATE(YEAR(MAX(N(INDEX(Workforce!$I$2:$I$151,MATCH(INDEX(FTE_Allocation!$A$2:$A$201,$AB1184),Workforce!$A$2:$A$151,0))),N(INDEX(FTE_Allocation!$I$2:$I$201,$AB1184)))),MONTH(MAX(N(INDEX(Workforce!$I$2:$I$151,MATCH(INDEX(FTE_Allocation!$A$2:$A$201,$AB1184),Workforce!$A$2:$A$151,0))),N(INDEX(FTE_Allocation!$I$2:$I$201,$AB1184)))),1),"")))</f>
        <v/>
      </c>
      <c r="AF1184" s="21">
        <f>IF($Z1184="C",IF(INDEX(Contracts!$I$2:$I$151,$AB1184)="PREPAID",EDATE(DATE(YEAR(INDEX(Contracts!$J$2:$J$151,$AB1184)),MONTH(INDEX(Contracts!$J$2:$J$151,$AB1184)),1),IF(INDEX(Contracts!$N$2:$N$151,$AB1184)="",12,INDEX(Contracts!$N$2:$N$151,$AB1184))-1),IF(INDEX(Contracts!$I$2:$I$151,$AB1184)="MONTHLY",IF(INDEX(Contracts!$K$2:$K$151,$AB1184)="",2958101,INDEX(Contracts!$K$2:$K$151,$AB1184)),0)),IF($Z1184="A",EDATE(DATE(YEAR(INDEX(Fixed_Assets!$G$2:$G$201,$AB1184)),MONTH(INDEX(Fixed_Assets!$G$2:$G$201,$AB1184)),1),INDEX(Fixed_Assets!$J$2:$J$201,$AB1184)-1),IF($Z1184="F",MIN(IF(INDEX(Workforce!$J$2:$J$151,MATCH(INDEX(FTE_Allocation!$A$2:$A$201,$AB1184),Workforce!$A$2:$A$151,0))="",2958101,INDEX(Workforce!$J$2:$J$151,MATCH(INDEX(FTE_Allocation!$A$2:$A$201,$AB1184),Workforce!$A$2:$A$151,0))),IF(INDEX(FTE_Allocation!$J$2:$J$201,$AB1184)="",2958101,INDEX(FTE_Allocation!$J$2:$J$201,$AB1184))),"")))</f>
        <v/>
      </c>
      <c r="AG1184" s="19">
        <f>IF($Z1184="C",IF(INDEX(Contracts!$I$2:$I$151,$AB1184)="PREPAID",INDEX(Contracts!$M$2:$M$151,$AB1184)/IF(INDEX(Contracts!$N$2:$N$151,$AB1184)="",12,INDEX(Contracts!$N$2:$N$151,$AB1184)),IF(INDEX(Contracts!$I$2:$I$151,$AB1184)="MONTHLY",INDEX(Contracts!$M$2:$M$151,$AB1184),0))*(1-N(INDEX(Contracts!$O$2:$O$151,$AB1184))),IF($Z1184="A",INDEX(Fixed_Assets!$H$2:$H$201,$AB1184)/INDEX(Fixed_Assets!$J$2:$J$201,$AB1184),IF($Z1184="F",INDEX(Workforce!$F$2:$F$151,MATCH(INDEX(FTE_Allocation!$A$2:$A$201,$AB1184),Workforce!$A$2:$A$151,0))*N(INDEX(FTE_Allocation!$F$2:$H$201,$AB1184,$AC1184)),"")))</f>
        <v/>
      </c>
    </row>
    <row r="1185">
      <c r="A1185" s="7">
        <f>IF($Z1185="","",$AD1185)</f>
        <v/>
      </c>
      <c r="B1185" s="7">
        <f>IF($Z1185="C",INDEX(Contracts!$D$2:$D$151,$AB1185)&amp;"",IF($Z1185="A",INDEX(Fixed_Assets!$C$2:$C$201,$AB1185)&amp;"",IF($Z1185="F",INDEX(Workforce!$B$2:$B$151,MATCH(INDEX(FTE_Allocation!$A$2:$A$201,$AB1185),Workforce!$A$2:$A$151,0))&amp;"","")))</f>
        <v/>
      </c>
      <c r="C1185" s="7">
        <f>IF($Z1185="C",INDEX(Contracts!$E$2:$E$151,$AB1185)&amp;"",IF($Z1185="A",INDEX(Fixed_Assets!$D$2:$D$201,$AB1185)&amp;"",IF($Z1185="F",INDEX(FTE_Allocation!$C$2:$C$201,$AB1185)&amp;"","")))</f>
        <v/>
      </c>
      <c r="D1185" s="7">
        <f>IF($Z1185="C",INDEX(Contracts!$B$2:$B$151,$AB1185)&amp;"",IF($Z1185="A",INDEX(Fixed_Assets!$B$2:$B$201,$AB1185)&amp;"",IF($Z1185="F",INDEX(FTE_Allocation!$B$2:$B$201,$AB1185)&amp;"","")))</f>
        <v/>
      </c>
      <c r="E1185" s="7">
        <f>IF($Z1185="C",INDEX(Contracts!$P$2:$P$151,$AB1185)&amp;"",IF($Z1185="A",INDEX(Fixed_Assets!$K$2:$K$201,$AB1185)&amp;"",IF($Z1185="F",IF(INDEX(FTE_Allocation!$D$2:$D$201,$AB1185)="PROJECT",IFERROR(INDEX(Projects!$D:$D,MATCH(INDEX(FTE_Allocation!$E$2:$E$201,$AB1185),Projects!$A:$A,0))&amp;"","#PROJECT?"),INDEX(FTE_Allocation!$E$2:$E$201,$AB1185)&amp;""),"")))</f>
        <v/>
      </c>
      <c r="F1185" s="7">
        <f>IF($Z1185="C",INDEX(Contracts!$Q$2:$Q$151,$AB1185)&amp;"",IF($Z1185="A",INDEX(Fixed_Assets!$L$2:$L$201,$AB1185)&amp;"",IF($Z1185="F",INDEX(Workforce!$K$2:$K$151,MATCH(INDEX(FTE_Allocation!$A$2:$A$201,$AB1185),Workforce!$A$2:$A$151,0))&amp;"","")))</f>
        <v/>
      </c>
      <c r="G1185" s="7">
        <f>IF($Z1185="C",INDEX(Contracts!$F$2:$F$151,$AB1185)&amp;" / "&amp;INDEX(Contracts!$G$2:$G$151,$AB1185),IF($Z1185="A",INDEX(Fixed_Assets!$E$2:$E$201,$AB1185)&amp;"",IF($Z1185="F","Personnel "&amp;INDEX(FTE_Allocation!$A$2:$A$201,$AB1185)&amp;IF(INDEX(FTE_Allocation!$D$2:$D$201,$AB1185)="PROJECT"," ("&amp;INDEX(FTE_Allocation!$E$2:$E$201,$AB1185)&amp;")",""),"")))</f>
        <v/>
      </c>
      <c r="H1185" s="7">
        <f>IF($Z1185="C","CONTRACT",IF($Z1185="A","ASSET",IF($Z1185="F","WORKFORCE","")))</f>
        <v/>
      </c>
      <c r="I1185" s="7">
        <f>IF($Z1185="C",INDEX(Contracts!$L$2:$L$151,$AB1185)&amp;"",IF($Z1185="A",INDEX(Fixed_Assets!$I$2:$I$201,$AB1185)&amp;"",IF($Z1185="F",INDEX(Workforce!$G$2:$G$151,MATCH(INDEX(FTE_Allocation!$A$2:$A$201,$AB1185),Workforce!$A$2:$A$151,0))&amp;"","")))</f>
        <v/>
      </c>
      <c r="J1185" s="18">
        <f>IF($Z1185="","",IF(AND(DATE($AD1185,1,1)&gt;=$AE1185,DATE($AD1185,1,1)&lt;=$AF1185),ROUND($AG1185,2),0))</f>
        <v/>
      </c>
      <c r="K1185" s="18">
        <f>IF($Z1185="","",IF(AND(DATE($AD1185,2,1)&gt;=$AE1185,DATE($AD1185,2,1)&lt;=$AF1185),ROUND($AG1185,2),0))</f>
        <v/>
      </c>
      <c r="L1185" s="18">
        <f>IF($Z1185="","",IF(AND(DATE($AD1185,3,1)&gt;=$AE1185,DATE($AD1185,3,1)&lt;=$AF1185),ROUND($AG1185,2),0))</f>
        <v/>
      </c>
      <c r="M1185" s="18">
        <f>IF($Z1185="","",IF(AND(DATE($AD1185,4,1)&gt;=$AE1185,DATE($AD1185,4,1)&lt;=$AF1185),ROUND($AG1185,2),0))</f>
        <v/>
      </c>
      <c r="N1185" s="18">
        <f>IF($Z1185="","",IF(AND(DATE($AD1185,5,1)&gt;=$AE1185,DATE($AD1185,5,1)&lt;=$AF1185),ROUND($AG1185,2),0))</f>
        <v/>
      </c>
      <c r="O1185" s="18">
        <f>IF($Z1185="","",IF(AND(DATE($AD1185,6,1)&gt;=$AE1185,DATE($AD1185,6,1)&lt;=$AF1185),ROUND($AG1185,2),0))</f>
        <v/>
      </c>
      <c r="P1185" s="18">
        <f>IF($Z1185="","",IF(AND(DATE($AD1185,7,1)&gt;=$AE1185,DATE($AD1185,7,1)&lt;=$AF1185),ROUND($AG1185,2),0))</f>
        <v/>
      </c>
      <c r="Q1185" s="18">
        <f>IF($Z1185="","",IF(AND(DATE($AD1185,8,1)&gt;=$AE1185,DATE($AD1185,8,1)&lt;=$AF1185),ROUND($AG1185,2),0))</f>
        <v/>
      </c>
      <c r="R1185" s="18">
        <f>IF($Z1185="","",IF(AND(DATE($AD1185,9,1)&gt;=$AE1185,DATE($AD1185,9,1)&lt;=$AF1185),ROUND($AG1185,2),0))</f>
        <v/>
      </c>
      <c r="S1185" s="18">
        <f>IF($Z1185="","",IF(AND(DATE($AD1185,10,1)&gt;=$AE1185,DATE($AD1185,10,1)&lt;=$AF1185),ROUND($AG1185,2),0))</f>
        <v/>
      </c>
      <c r="T1185" s="18">
        <f>IF($Z1185="","",IF(AND(DATE($AD1185,11,1)&gt;=$AE1185,DATE($AD1185,11,1)&lt;=$AF1185),ROUND($AG1185,2),0))</f>
        <v/>
      </c>
      <c r="U1185" s="18">
        <f>IF($Z1185="","",IF(AND(DATE($AD1185,12,1)&gt;=$AE1185,DATE($AD1185,12,1)&lt;=$AF1185),ROUND($AG1185,2),0))</f>
        <v/>
      </c>
      <c r="V1185" s="7">
        <f>IF($Z1185="C","Generated from "&amp;INDEX(Contracts!$A$2:$A$151,$AB1185),IF($Z1185="A","Generated from "&amp;INDEX(Fixed_Assets!$A$2:$A$201,$AB1185),IF($Z1185="F","Generated from "&amp;INDEX(FTE_Allocation!$A$2:$A$201,$AB1185),"")))</f>
        <v/>
      </c>
      <c r="X1185" s="19">
        <f>IF($Z1185="","",SUM(J1185:U1185))</f>
        <v/>
      </c>
      <c r="Y1185" s="20">
        <f>ROW()-1</f>
        <v/>
      </c>
      <c r="Z1185" s="20">
        <f>IF($Y1185&lt;=Settings!$B$4*3,"C",IF($Y1185&lt;=(Settings!$B$4+Settings!$B$5)*3,"A",IF($Y1185&lt;=(Settings!$B$4+Settings!$B$5+Settings!$B$6)*3,"F","")))</f>
        <v/>
      </c>
      <c r="AA1185" s="20">
        <f>IF($Z1185="C",$Y1185,IF($Z1185="A",$Y1185-Settings!$B$4*3,IF($Z1185="F",$Y1185-(Settings!$B$4+Settings!$B$5)*3,"")))</f>
        <v/>
      </c>
      <c r="AB1185" s="20">
        <f>IF($Z1185="","",INT(($AA1185-1)/3)+1)</f>
        <v/>
      </c>
      <c r="AC1185" s="20">
        <f>IF($Z1185="","",MOD($AA1185-1,3)+1)</f>
        <v/>
      </c>
      <c r="AD1185" s="20">
        <f>IF($Z1185="","",Settings!$B$2+$AC1185-1)</f>
        <v/>
      </c>
      <c r="AE1185" s="21">
        <f>IF($Z1185="C",DATE(YEAR(INDEX(Contracts!$J$2:$J$151,$AB1185)),MONTH(INDEX(Contracts!$J$2:$J$151,$AB1185)),1),IF($Z1185="A",DATE(YEAR(INDEX(Fixed_Assets!$G$2:$G$201,$AB1185)),MONTH(INDEX(Fixed_Assets!$G$2:$G$201,$AB1185)),1),IF($Z1185="F",DATE(YEAR(MAX(N(INDEX(Workforce!$I$2:$I$151,MATCH(INDEX(FTE_Allocation!$A$2:$A$201,$AB1185),Workforce!$A$2:$A$151,0))),N(INDEX(FTE_Allocation!$I$2:$I$201,$AB1185)))),MONTH(MAX(N(INDEX(Workforce!$I$2:$I$151,MATCH(INDEX(FTE_Allocation!$A$2:$A$201,$AB1185),Workforce!$A$2:$A$151,0))),N(INDEX(FTE_Allocation!$I$2:$I$201,$AB1185)))),1),"")))</f>
        <v/>
      </c>
      <c r="AF1185" s="21">
        <f>IF($Z1185="C",IF(INDEX(Contracts!$I$2:$I$151,$AB1185)="PREPAID",EDATE(DATE(YEAR(INDEX(Contracts!$J$2:$J$151,$AB1185)),MONTH(INDEX(Contracts!$J$2:$J$151,$AB1185)),1),IF(INDEX(Contracts!$N$2:$N$151,$AB1185)="",12,INDEX(Contracts!$N$2:$N$151,$AB1185))-1),IF(INDEX(Contracts!$I$2:$I$151,$AB1185)="MONTHLY",IF(INDEX(Contracts!$K$2:$K$151,$AB1185)="",2958101,INDEX(Contracts!$K$2:$K$151,$AB1185)),0)),IF($Z1185="A",EDATE(DATE(YEAR(INDEX(Fixed_Assets!$G$2:$G$201,$AB1185)),MONTH(INDEX(Fixed_Assets!$G$2:$G$201,$AB1185)),1),INDEX(Fixed_Assets!$J$2:$J$201,$AB1185)-1),IF($Z1185="F",MIN(IF(INDEX(Workforce!$J$2:$J$151,MATCH(INDEX(FTE_Allocation!$A$2:$A$201,$AB1185),Workforce!$A$2:$A$151,0))="",2958101,INDEX(Workforce!$J$2:$J$151,MATCH(INDEX(FTE_Allocation!$A$2:$A$201,$AB1185),Workforce!$A$2:$A$151,0))),IF(INDEX(FTE_Allocation!$J$2:$J$201,$AB1185)="",2958101,INDEX(FTE_Allocation!$J$2:$J$201,$AB1185))),"")))</f>
        <v/>
      </c>
      <c r="AG1185" s="19">
        <f>IF($Z1185="C",IF(INDEX(Contracts!$I$2:$I$151,$AB1185)="PREPAID",INDEX(Contracts!$M$2:$M$151,$AB1185)/IF(INDEX(Contracts!$N$2:$N$151,$AB1185)="",12,INDEX(Contracts!$N$2:$N$151,$AB1185)),IF(INDEX(Contracts!$I$2:$I$151,$AB1185)="MONTHLY",INDEX(Contracts!$M$2:$M$151,$AB1185),0))*(1-N(INDEX(Contracts!$O$2:$O$151,$AB1185))),IF($Z1185="A",INDEX(Fixed_Assets!$H$2:$H$201,$AB1185)/INDEX(Fixed_Assets!$J$2:$J$201,$AB1185),IF($Z1185="F",INDEX(Workforce!$F$2:$F$151,MATCH(INDEX(FTE_Allocation!$A$2:$A$201,$AB1185),Workforce!$A$2:$A$151,0))*N(INDEX(FTE_Allocation!$F$2:$H$201,$AB1185,$AC1185)),"")))</f>
        <v/>
      </c>
    </row>
    <row r="1186">
      <c r="A1186" s="7">
        <f>IF($Z1186="","",$AD1186)</f>
        <v/>
      </c>
      <c r="B1186" s="7">
        <f>IF($Z1186="C",INDEX(Contracts!$D$2:$D$151,$AB1186)&amp;"",IF($Z1186="A",INDEX(Fixed_Assets!$C$2:$C$201,$AB1186)&amp;"",IF($Z1186="F",INDEX(Workforce!$B$2:$B$151,MATCH(INDEX(FTE_Allocation!$A$2:$A$201,$AB1186),Workforce!$A$2:$A$151,0))&amp;"","")))</f>
        <v/>
      </c>
      <c r="C1186" s="7">
        <f>IF($Z1186="C",INDEX(Contracts!$E$2:$E$151,$AB1186)&amp;"",IF($Z1186="A",INDEX(Fixed_Assets!$D$2:$D$201,$AB1186)&amp;"",IF($Z1186="F",INDEX(FTE_Allocation!$C$2:$C$201,$AB1186)&amp;"","")))</f>
        <v/>
      </c>
      <c r="D1186" s="7">
        <f>IF($Z1186="C",INDEX(Contracts!$B$2:$B$151,$AB1186)&amp;"",IF($Z1186="A",INDEX(Fixed_Assets!$B$2:$B$201,$AB1186)&amp;"",IF($Z1186="F",INDEX(FTE_Allocation!$B$2:$B$201,$AB1186)&amp;"","")))</f>
        <v/>
      </c>
      <c r="E1186" s="7">
        <f>IF($Z1186="C",INDEX(Contracts!$P$2:$P$151,$AB1186)&amp;"",IF($Z1186="A",INDEX(Fixed_Assets!$K$2:$K$201,$AB1186)&amp;"",IF($Z1186="F",IF(INDEX(FTE_Allocation!$D$2:$D$201,$AB1186)="PROJECT",IFERROR(INDEX(Projects!$D:$D,MATCH(INDEX(FTE_Allocation!$E$2:$E$201,$AB1186),Projects!$A:$A,0))&amp;"","#PROJECT?"),INDEX(FTE_Allocation!$E$2:$E$201,$AB1186)&amp;""),"")))</f>
        <v/>
      </c>
      <c r="F1186" s="7">
        <f>IF($Z1186="C",INDEX(Contracts!$Q$2:$Q$151,$AB1186)&amp;"",IF($Z1186="A",INDEX(Fixed_Assets!$L$2:$L$201,$AB1186)&amp;"",IF($Z1186="F",INDEX(Workforce!$K$2:$K$151,MATCH(INDEX(FTE_Allocation!$A$2:$A$201,$AB1186),Workforce!$A$2:$A$151,0))&amp;"","")))</f>
        <v/>
      </c>
      <c r="G1186" s="7">
        <f>IF($Z1186="C",INDEX(Contracts!$F$2:$F$151,$AB1186)&amp;" / "&amp;INDEX(Contracts!$G$2:$G$151,$AB1186),IF($Z1186="A",INDEX(Fixed_Assets!$E$2:$E$201,$AB1186)&amp;"",IF($Z1186="F","Personnel "&amp;INDEX(FTE_Allocation!$A$2:$A$201,$AB1186)&amp;IF(INDEX(FTE_Allocation!$D$2:$D$201,$AB1186)="PROJECT"," ("&amp;INDEX(FTE_Allocation!$E$2:$E$201,$AB1186)&amp;")",""),"")))</f>
        <v/>
      </c>
      <c r="H1186" s="7">
        <f>IF($Z1186="C","CONTRACT",IF($Z1186="A","ASSET",IF($Z1186="F","WORKFORCE","")))</f>
        <v/>
      </c>
      <c r="I1186" s="7">
        <f>IF($Z1186="C",INDEX(Contracts!$L$2:$L$151,$AB1186)&amp;"",IF($Z1186="A",INDEX(Fixed_Assets!$I$2:$I$201,$AB1186)&amp;"",IF($Z1186="F",INDEX(Workforce!$G$2:$G$151,MATCH(INDEX(FTE_Allocation!$A$2:$A$201,$AB1186),Workforce!$A$2:$A$151,0))&amp;"","")))</f>
        <v/>
      </c>
      <c r="J1186" s="18">
        <f>IF($Z1186="","",IF(AND(DATE($AD1186,1,1)&gt;=$AE1186,DATE($AD1186,1,1)&lt;=$AF1186),ROUND($AG1186,2),0))</f>
        <v/>
      </c>
      <c r="K1186" s="18">
        <f>IF($Z1186="","",IF(AND(DATE($AD1186,2,1)&gt;=$AE1186,DATE($AD1186,2,1)&lt;=$AF1186),ROUND($AG1186,2),0))</f>
        <v/>
      </c>
      <c r="L1186" s="18">
        <f>IF($Z1186="","",IF(AND(DATE($AD1186,3,1)&gt;=$AE1186,DATE($AD1186,3,1)&lt;=$AF1186),ROUND($AG1186,2),0))</f>
        <v/>
      </c>
      <c r="M1186" s="18">
        <f>IF($Z1186="","",IF(AND(DATE($AD1186,4,1)&gt;=$AE1186,DATE($AD1186,4,1)&lt;=$AF1186),ROUND($AG1186,2),0))</f>
        <v/>
      </c>
      <c r="N1186" s="18">
        <f>IF($Z1186="","",IF(AND(DATE($AD1186,5,1)&gt;=$AE1186,DATE($AD1186,5,1)&lt;=$AF1186),ROUND($AG1186,2),0))</f>
        <v/>
      </c>
      <c r="O1186" s="18">
        <f>IF($Z1186="","",IF(AND(DATE($AD1186,6,1)&gt;=$AE1186,DATE($AD1186,6,1)&lt;=$AF1186),ROUND($AG1186,2),0))</f>
        <v/>
      </c>
      <c r="P1186" s="18">
        <f>IF($Z1186="","",IF(AND(DATE($AD1186,7,1)&gt;=$AE1186,DATE($AD1186,7,1)&lt;=$AF1186),ROUND($AG1186,2),0))</f>
        <v/>
      </c>
      <c r="Q1186" s="18">
        <f>IF($Z1186="","",IF(AND(DATE($AD1186,8,1)&gt;=$AE1186,DATE($AD1186,8,1)&lt;=$AF1186),ROUND($AG1186,2),0))</f>
        <v/>
      </c>
      <c r="R1186" s="18">
        <f>IF($Z1186="","",IF(AND(DATE($AD1186,9,1)&gt;=$AE1186,DATE($AD1186,9,1)&lt;=$AF1186),ROUND($AG1186,2),0))</f>
        <v/>
      </c>
      <c r="S1186" s="18">
        <f>IF($Z1186="","",IF(AND(DATE($AD1186,10,1)&gt;=$AE1186,DATE($AD1186,10,1)&lt;=$AF1186),ROUND($AG1186,2),0))</f>
        <v/>
      </c>
      <c r="T1186" s="18">
        <f>IF($Z1186="","",IF(AND(DATE($AD1186,11,1)&gt;=$AE1186,DATE($AD1186,11,1)&lt;=$AF1186),ROUND($AG1186,2),0))</f>
        <v/>
      </c>
      <c r="U1186" s="18">
        <f>IF($Z1186="","",IF(AND(DATE($AD1186,12,1)&gt;=$AE1186,DATE($AD1186,12,1)&lt;=$AF1186),ROUND($AG1186,2),0))</f>
        <v/>
      </c>
      <c r="V1186" s="7">
        <f>IF($Z1186="C","Generated from "&amp;INDEX(Contracts!$A$2:$A$151,$AB1186),IF($Z1186="A","Generated from "&amp;INDEX(Fixed_Assets!$A$2:$A$201,$AB1186),IF($Z1186="F","Generated from "&amp;INDEX(FTE_Allocation!$A$2:$A$201,$AB1186),"")))</f>
        <v/>
      </c>
      <c r="X1186" s="19">
        <f>IF($Z1186="","",SUM(J1186:U1186))</f>
        <v/>
      </c>
      <c r="Y1186" s="20">
        <f>ROW()-1</f>
        <v/>
      </c>
      <c r="Z1186" s="20">
        <f>IF($Y1186&lt;=Settings!$B$4*3,"C",IF($Y1186&lt;=(Settings!$B$4+Settings!$B$5)*3,"A",IF($Y1186&lt;=(Settings!$B$4+Settings!$B$5+Settings!$B$6)*3,"F","")))</f>
        <v/>
      </c>
      <c r="AA1186" s="20">
        <f>IF($Z1186="C",$Y1186,IF($Z1186="A",$Y1186-Settings!$B$4*3,IF($Z1186="F",$Y1186-(Settings!$B$4+Settings!$B$5)*3,"")))</f>
        <v/>
      </c>
      <c r="AB1186" s="20">
        <f>IF($Z1186="","",INT(($AA1186-1)/3)+1)</f>
        <v/>
      </c>
      <c r="AC1186" s="20">
        <f>IF($Z1186="","",MOD($AA1186-1,3)+1)</f>
        <v/>
      </c>
      <c r="AD1186" s="20">
        <f>IF($Z1186="","",Settings!$B$2+$AC1186-1)</f>
        <v/>
      </c>
      <c r="AE1186" s="21">
        <f>IF($Z1186="C",DATE(YEAR(INDEX(Contracts!$J$2:$J$151,$AB1186)),MONTH(INDEX(Contracts!$J$2:$J$151,$AB1186)),1),IF($Z1186="A",DATE(YEAR(INDEX(Fixed_Assets!$G$2:$G$201,$AB1186)),MONTH(INDEX(Fixed_Assets!$G$2:$G$201,$AB1186)),1),IF($Z1186="F",DATE(YEAR(MAX(N(INDEX(Workforce!$I$2:$I$151,MATCH(INDEX(FTE_Allocation!$A$2:$A$201,$AB1186),Workforce!$A$2:$A$151,0))),N(INDEX(FTE_Allocation!$I$2:$I$201,$AB1186)))),MONTH(MAX(N(INDEX(Workforce!$I$2:$I$151,MATCH(INDEX(FTE_Allocation!$A$2:$A$201,$AB1186),Workforce!$A$2:$A$151,0))),N(INDEX(FTE_Allocation!$I$2:$I$201,$AB1186)))),1),"")))</f>
        <v/>
      </c>
      <c r="AF1186" s="21">
        <f>IF($Z1186="C",IF(INDEX(Contracts!$I$2:$I$151,$AB1186)="PREPAID",EDATE(DATE(YEAR(INDEX(Contracts!$J$2:$J$151,$AB1186)),MONTH(INDEX(Contracts!$J$2:$J$151,$AB1186)),1),IF(INDEX(Contracts!$N$2:$N$151,$AB1186)="",12,INDEX(Contracts!$N$2:$N$151,$AB1186))-1),IF(INDEX(Contracts!$I$2:$I$151,$AB1186)="MONTHLY",IF(INDEX(Contracts!$K$2:$K$151,$AB1186)="",2958101,INDEX(Contracts!$K$2:$K$151,$AB1186)),0)),IF($Z1186="A",EDATE(DATE(YEAR(INDEX(Fixed_Assets!$G$2:$G$201,$AB1186)),MONTH(INDEX(Fixed_Assets!$G$2:$G$201,$AB1186)),1),INDEX(Fixed_Assets!$J$2:$J$201,$AB1186)-1),IF($Z1186="F",MIN(IF(INDEX(Workforce!$J$2:$J$151,MATCH(INDEX(FTE_Allocation!$A$2:$A$201,$AB1186),Workforce!$A$2:$A$151,0))="",2958101,INDEX(Workforce!$J$2:$J$151,MATCH(INDEX(FTE_Allocation!$A$2:$A$201,$AB1186),Workforce!$A$2:$A$151,0))),IF(INDEX(FTE_Allocation!$J$2:$J$201,$AB1186)="",2958101,INDEX(FTE_Allocation!$J$2:$J$201,$AB1186))),"")))</f>
        <v/>
      </c>
      <c r="AG1186" s="19">
        <f>IF($Z1186="C",IF(INDEX(Contracts!$I$2:$I$151,$AB1186)="PREPAID",INDEX(Contracts!$M$2:$M$151,$AB1186)/IF(INDEX(Contracts!$N$2:$N$151,$AB1186)="",12,INDEX(Contracts!$N$2:$N$151,$AB1186)),IF(INDEX(Contracts!$I$2:$I$151,$AB1186)="MONTHLY",INDEX(Contracts!$M$2:$M$151,$AB1186),0))*(1-N(INDEX(Contracts!$O$2:$O$151,$AB1186))),IF($Z1186="A",INDEX(Fixed_Assets!$H$2:$H$201,$AB1186)/INDEX(Fixed_Assets!$J$2:$J$201,$AB1186),IF($Z1186="F",INDEX(Workforce!$F$2:$F$151,MATCH(INDEX(FTE_Allocation!$A$2:$A$201,$AB1186),Workforce!$A$2:$A$151,0))*N(INDEX(FTE_Allocation!$F$2:$H$201,$AB1186,$AC1186)),"")))</f>
        <v/>
      </c>
    </row>
    <row r="1187">
      <c r="A1187" s="7">
        <f>IF($Z1187="","",$AD1187)</f>
        <v/>
      </c>
      <c r="B1187" s="7">
        <f>IF($Z1187="C",INDEX(Contracts!$D$2:$D$151,$AB1187)&amp;"",IF($Z1187="A",INDEX(Fixed_Assets!$C$2:$C$201,$AB1187)&amp;"",IF($Z1187="F",INDEX(Workforce!$B$2:$B$151,MATCH(INDEX(FTE_Allocation!$A$2:$A$201,$AB1187),Workforce!$A$2:$A$151,0))&amp;"","")))</f>
        <v/>
      </c>
      <c r="C1187" s="7">
        <f>IF($Z1187="C",INDEX(Contracts!$E$2:$E$151,$AB1187)&amp;"",IF($Z1187="A",INDEX(Fixed_Assets!$D$2:$D$201,$AB1187)&amp;"",IF($Z1187="F",INDEX(FTE_Allocation!$C$2:$C$201,$AB1187)&amp;"","")))</f>
        <v/>
      </c>
      <c r="D1187" s="7">
        <f>IF($Z1187="C",INDEX(Contracts!$B$2:$B$151,$AB1187)&amp;"",IF($Z1187="A",INDEX(Fixed_Assets!$B$2:$B$201,$AB1187)&amp;"",IF($Z1187="F",INDEX(FTE_Allocation!$B$2:$B$201,$AB1187)&amp;"","")))</f>
        <v/>
      </c>
      <c r="E1187" s="7">
        <f>IF($Z1187="C",INDEX(Contracts!$P$2:$P$151,$AB1187)&amp;"",IF($Z1187="A",INDEX(Fixed_Assets!$K$2:$K$201,$AB1187)&amp;"",IF($Z1187="F",IF(INDEX(FTE_Allocation!$D$2:$D$201,$AB1187)="PROJECT",IFERROR(INDEX(Projects!$D:$D,MATCH(INDEX(FTE_Allocation!$E$2:$E$201,$AB1187),Projects!$A:$A,0))&amp;"","#PROJECT?"),INDEX(FTE_Allocation!$E$2:$E$201,$AB1187)&amp;""),"")))</f>
        <v/>
      </c>
      <c r="F1187" s="7">
        <f>IF($Z1187="C",INDEX(Contracts!$Q$2:$Q$151,$AB1187)&amp;"",IF($Z1187="A",INDEX(Fixed_Assets!$L$2:$L$201,$AB1187)&amp;"",IF($Z1187="F",INDEX(Workforce!$K$2:$K$151,MATCH(INDEX(FTE_Allocation!$A$2:$A$201,$AB1187),Workforce!$A$2:$A$151,0))&amp;"","")))</f>
        <v/>
      </c>
      <c r="G1187" s="7">
        <f>IF($Z1187="C",INDEX(Contracts!$F$2:$F$151,$AB1187)&amp;" / "&amp;INDEX(Contracts!$G$2:$G$151,$AB1187),IF($Z1187="A",INDEX(Fixed_Assets!$E$2:$E$201,$AB1187)&amp;"",IF($Z1187="F","Personnel "&amp;INDEX(FTE_Allocation!$A$2:$A$201,$AB1187)&amp;IF(INDEX(FTE_Allocation!$D$2:$D$201,$AB1187)="PROJECT"," ("&amp;INDEX(FTE_Allocation!$E$2:$E$201,$AB1187)&amp;")",""),"")))</f>
        <v/>
      </c>
      <c r="H1187" s="7">
        <f>IF($Z1187="C","CONTRACT",IF($Z1187="A","ASSET",IF($Z1187="F","WORKFORCE","")))</f>
        <v/>
      </c>
      <c r="I1187" s="7">
        <f>IF($Z1187="C",INDEX(Contracts!$L$2:$L$151,$AB1187)&amp;"",IF($Z1187="A",INDEX(Fixed_Assets!$I$2:$I$201,$AB1187)&amp;"",IF($Z1187="F",INDEX(Workforce!$G$2:$G$151,MATCH(INDEX(FTE_Allocation!$A$2:$A$201,$AB1187),Workforce!$A$2:$A$151,0))&amp;"","")))</f>
        <v/>
      </c>
      <c r="J1187" s="18">
        <f>IF($Z1187="","",IF(AND(DATE($AD1187,1,1)&gt;=$AE1187,DATE($AD1187,1,1)&lt;=$AF1187),ROUND($AG1187,2),0))</f>
        <v/>
      </c>
      <c r="K1187" s="18">
        <f>IF($Z1187="","",IF(AND(DATE($AD1187,2,1)&gt;=$AE1187,DATE($AD1187,2,1)&lt;=$AF1187),ROUND($AG1187,2),0))</f>
        <v/>
      </c>
      <c r="L1187" s="18">
        <f>IF($Z1187="","",IF(AND(DATE($AD1187,3,1)&gt;=$AE1187,DATE($AD1187,3,1)&lt;=$AF1187),ROUND($AG1187,2),0))</f>
        <v/>
      </c>
      <c r="M1187" s="18">
        <f>IF($Z1187="","",IF(AND(DATE($AD1187,4,1)&gt;=$AE1187,DATE($AD1187,4,1)&lt;=$AF1187),ROUND($AG1187,2),0))</f>
        <v/>
      </c>
      <c r="N1187" s="18">
        <f>IF($Z1187="","",IF(AND(DATE($AD1187,5,1)&gt;=$AE1187,DATE($AD1187,5,1)&lt;=$AF1187),ROUND($AG1187,2),0))</f>
        <v/>
      </c>
      <c r="O1187" s="18">
        <f>IF($Z1187="","",IF(AND(DATE($AD1187,6,1)&gt;=$AE1187,DATE($AD1187,6,1)&lt;=$AF1187),ROUND($AG1187,2),0))</f>
        <v/>
      </c>
      <c r="P1187" s="18">
        <f>IF($Z1187="","",IF(AND(DATE($AD1187,7,1)&gt;=$AE1187,DATE($AD1187,7,1)&lt;=$AF1187),ROUND($AG1187,2),0))</f>
        <v/>
      </c>
      <c r="Q1187" s="18">
        <f>IF($Z1187="","",IF(AND(DATE($AD1187,8,1)&gt;=$AE1187,DATE($AD1187,8,1)&lt;=$AF1187),ROUND($AG1187,2),0))</f>
        <v/>
      </c>
      <c r="R1187" s="18">
        <f>IF($Z1187="","",IF(AND(DATE($AD1187,9,1)&gt;=$AE1187,DATE($AD1187,9,1)&lt;=$AF1187),ROUND($AG1187,2),0))</f>
        <v/>
      </c>
      <c r="S1187" s="18">
        <f>IF($Z1187="","",IF(AND(DATE($AD1187,10,1)&gt;=$AE1187,DATE($AD1187,10,1)&lt;=$AF1187),ROUND($AG1187,2),0))</f>
        <v/>
      </c>
      <c r="T1187" s="18">
        <f>IF($Z1187="","",IF(AND(DATE($AD1187,11,1)&gt;=$AE1187,DATE($AD1187,11,1)&lt;=$AF1187),ROUND($AG1187,2),0))</f>
        <v/>
      </c>
      <c r="U1187" s="18">
        <f>IF($Z1187="","",IF(AND(DATE($AD1187,12,1)&gt;=$AE1187,DATE($AD1187,12,1)&lt;=$AF1187),ROUND($AG1187,2),0))</f>
        <v/>
      </c>
      <c r="V1187" s="7">
        <f>IF($Z1187="C","Generated from "&amp;INDEX(Contracts!$A$2:$A$151,$AB1187),IF($Z1187="A","Generated from "&amp;INDEX(Fixed_Assets!$A$2:$A$201,$AB1187),IF($Z1187="F","Generated from "&amp;INDEX(FTE_Allocation!$A$2:$A$201,$AB1187),"")))</f>
        <v/>
      </c>
      <c r="X1187" s="19">
        <f>IF($Z1187="","",SUM(J1187:U1187))</f>
        <v/>
      </c>
      <c r="Y1187" s="20">
        <f>ROW()-1</f>
        <v/>
      </c>
      <c r="Z1187" s="20">
        <f>IF($Y1187&lt;=Settings!$B$4*3,"C",IF($Y1187&lt;=(Settings!$B$4+Settings!$B$5)*3,"A",IF($Y1187&lt;=(Settings!$B$4+Settings!$B$5+Settings!$B$6)*3,"F","")))</f>
        <v/>
      </c>
      <c r="AA1187" s="20">
        <f>IF($Z1187="C",$Y1187,IF($Z1187="A",$Y1187-Settings!$B$4*3,IF($Z1187="F",$Y1187-(Settings!$B$4+Settings!$B$5)*3,"")))</f>
        <v/>
      </c>
      <c r="AB1187" s="20">
        <f>IF($Z1187="","",INT(($AA1187-1)/3)+1)</f>
        <v/>
      </c>
      <c r="AC1187" s="20">
        <f>IF($Z1187="","",MOD($AA1187-1,3)+1)</f>
        <v/>
      </c>
      <c r="AD1187" s="20">
        <f>IF($Z1187="","",Settings!$B$2+$AC1187-1)</f>
        <v/>
      </c>
      <c r="AE1187" s="21">
        <f>IF($Z1187="C",DATE(YEAR(INDEX(Contracts!$J$2:$J$151,$AB1187)),MONTH(INDEX(Contracts!$J$2:$J$151,$AB1187)),1),IF($Z1187="A",DATE(YEAR(INDEX(Fixed_Assets!$G$2:$G$201,$AB1187)),MONTH(INDEX(Fixed_Assets!$G$2:$G$201,$AB1187)),1),IF($Z1187="F",DATE(YEAR(MAX(N(INDEX(Workforce!$I$2:$I$151,MATCH(INDEX(FTE_Allocation!$A$2:$A$201,$AB1187),Workforce!$A$2:$A$151,0))),N(INDEX(FTE_Allocation!$I$2:$I$201,$AB1187)))),MONTH(MAX(N(INDEX(Workforce!$I$2:$I$151,MATCH(INDEX(FTE_Allocation!$A$2:$A$201,$AB1187),Workforce!$A$2:$A$151,0))),N(INDEX(FTE_Allocation!$I$2:$I$201,$AB1187)))),1),"")))</f>
        <v/>
      </c>
      <c r="AF1187" s="21">
        <f>IF($Z1187="C",IF(INDEX(Contracts!$I$2:$I$151,$AB1187)="PREPAID",EDATE(DATE(YEAR(INDEX(Contracts!$J$2:$J$151,$AB1187)),MONTH(INDEX(Contracts!$J$2:$J$151,$AB1187)),1),IF(INDEX(Contracts!$N$2:$N$151,$AB1187)="",12,INDEX(Contracts!$N$2:$N$151,$AB1187))-1),IF(INDEX(Contracts!$I$2:$I$151,$AB1187)="MONTHLY",IF(INDEX(Contracts!$K$2:$K$151,$AB1187)="",2958101,INDEX(Contracts!$K$2:$K$151,$AB1187)),0)),IF($Z1187="A",EDATE(DATE(YEAR(INDEX(Fixed_Assets!$G$2:$G$201,$AB1187)),MONTH(INDEX(Fixed_Assets!$G$2:$G$201,$AB1187)),1),INDEX(Fixed_Assets!$J$2:$J$201,$AB1187)-1),IF($Z1187="F",MIN(IF(INDEX(Workforce!$J$2:$J$151,MATCH(INDEX(FTE_Allocation!$A$2:$A$201,$AB1187),Workforce!$A$2:$A$151,0))="",2958101,INDEX(Workforce!$J$2:$J$151,MATCH(INDEX(FTE_Allocation!$A$2:$A$201,$AB1187),Workforce!$A$2:$A$151,0))),IF(INDEX(FTE_Allocation!$J$2:$J$201,$AB1187)="",2958101,INDEX(FTE_Allocation!$J$2:$J$201,$AB1187))),"")))</f>
        <v/>
      </c>
      <c r="AG1187" s="19">
        <f>IF($Z1187="C",IF(INDEX(Contracts!$I$2:$I$151,$AB1187)="PREPAID",INDEX(Contracts!$M$2:$M$151,$AB1187)/IF(INDEX(Contracts!$N$2:$N$151,$AB1187)="",12,INDEX(Contracts!$N$2:$N$151,$AB1187)),IF(INDEX(Contracts!$I$2:$I$151,$AB1187)="MONTHLY",INDEX(Contracts!$M$2:$M$151,$AB1187),0))*(1-N(INDEX(Contracts!$O$2:$O$151,$AB1187))),IF($Z1187="A",INDEX(Fixed_Assets!$H$2:$H$201,$AB1187)/INDEX(Fixed_Assets!$J$2:$J$201,$AB1187),IF($Z1187="F",INDEX(Workforce!$F$2:$F$151,MATCH(INDEX(FTE_Allocation!$A$2:$A$201,$AB1187),Workforce!$A$2:$A$151,0))*N(INDEX(FTE_Allocation!$F$2:$H$201,$AB1187,$AC1187)),"")))</f>
        <v/>
      </c>
    </row>
    <row r="1188">
      <c r="A1188" s="7">
        <f>IF($Z1188="","",$AD1188)</f>
        <v/>
      </c>
      <c r="B1188" s="7">
        <f>IF($Z1188="C",INDEX(Contracts!$D$2:$D$151,$AB1188)&amp;"",IF($Z1188="A",INDEX(Fixed_Assets!$C$2:$C$201,$AB1188)&amp;"",IF($Z1188="F",INDEX(Workforce!$B$2:$B$151,MATCH(INDEX(FTE_Allocation!$A$2:$A$201,$AB1188),Workforce!$A$2:$A$151,0))&amp;"","")))</f>
        <v/>
      </c>
      <c r="C1188" s="7">
        <f>IF($Z1188="C",INDEX(Contracts!$E$2:$E$151,$AB1188)&amp;"",IF($Z1188="A",INDEX(Fixed_Assets!$D$2:$D$201,$AB1188)&amp;"",IF($Z1188="F",INDEX(FTE_Allocation!$C$2:$C$201,$AB1188)&amp;"","")))</f>
        <v/>
      </c>
      <c r="D1188" s="7">
        <f>IF($Z1188="C",INDEX(Contracts!$B$2:$B$151,$AB1188)&amp;"",IF($Z1188="A",INDEX(Fixed_Assets!$B$2:$B$201,$AB1188)&amp;"",IF($Z1188="F",INDEX(FTE_Allocation!$B$2:$B$201,$AB1188)&amp;"","")))</f>
        <v/>
      </c>
      <c r="E1188" s="7">
        <f>IF($Z1188="C",INDEX(Contracts!$P$2:$P$151,$AB1188)&amp;"",IF($Z1188="A",INDEX(Fixed_Assets!$K$2:$K$201,$AB1188)&amp;"",IF($Z1188="F",IF(INDEX(FTE_Allocation!$D$2:$D$201,$AB1188)="PROJECT",IFERROR(INDEX(Projects!$D:$D,MATCH(INDEX(FTE_Allocation!$E$2:$E$201,$AB1188),Projects!$A:$A,0))&amp;"","#PROJECT?"),INDEX(FTE_Allocation!$E$2:$E$201,$AB1188)&amp;""),"")))</f>
        <v/>
      </c>
      <c r="F1188" s="7">
        <f>IF($Z1188="C",INDEX(Contracts!$Q$2:$Q$151,$AB1188)&amp;"",IF($Z1188="A",INDEX(Fixed_Assets!$L$2:$L$201,$AB1188)&amp;"",IF($Z1188="F",INDEX(Workforce!$K$2:$K$151,MATCH(INDEX(FTE_Allocation!$A$2:$A$201,$AB1188),Workforce!$A$2:$A$151,0))&amp;"","")))</f>
        <v/>
      </c>
      <c r="G1188" s="7">
        <f>IF($Z1188="C",INDEX(Contracts!$F$2:$F$151,$AB1188)&amp;" / "&amp;INDEX(Contracts!$G$2:$G$151,$AB1188),IF($Z1188="A",INDEX(Fixed_Assets!$E$2:$E$201,$AB1188)&amp;"",IF($Z1188="F","Personnel "&amp;INDEX(FTE_Allocation!$A$2:$A$201,$AB1188)&amp;IF(INDEX(FTE_Allocation!$D$2:$D$201,$AB1188)="PROJECT"," ("&amp;INDEX(FTE_Allocation!$E$2:$E$201,$AB1188)&amp;")",""),"")))</f>
        <v/>
      </c>
      <c r="H1188" s="7">
        <f>IF($Z1188="C","CONTRACT",IF($Z1188="A","ASSET",IF($Z1188="F","WORKFORCE","")))</f>
        <v/>
      </c>
      <c r="I1188" s="7">
        <f>IF($Z1188="C",INDEX(Contracts!$L$2:$L$151,$AB1188)&amp;"",IF($Z1188="A",INDEX(Fixed_Assets!$I$2:$I$201,$AB1188)&amp;"",IF($Z1188="F",INDEX(Workforce!$G$2:$G$151,MATCH(INDEX(FTE_Allocation!$A$2:$A$201,$AB1188),Workforce!$A$2:$A$151,0))&amp;"","")))</f>
        <v/>
      </c>
      <c r="J1188" s="18">
        <f>IF($Z1188="","",IF(AND(DATE($AD1188,1,1)&gt;=$AE1188,DATE($AD1188,1,1)&lt;=$AF1188),ROUND($AG1188,2),0))</f>
        <v/>
      </c>
      <c r="K1188" s="18">
        <f>IF($Z1188="","",IF(AND(DATE($AD1188,2,1)&gt;=$AE1188,DATE($AD1188,2,1)&lt;=$AF1188),ROUND($AG1188,2),0))</f>
        <v/>
      </c>
      <c r="L1188" s="18">
        <f>IF($Z1188="","",IF(AND(DATE($AD1188,3,1)&gt;=$AE1188,DATE($AD1188,3,1)&lt;=$AF1188),ROUND($AG1188,2),0))</f>
        <v/>
      </c>
      <c r="M1188" s="18">
        <f>IF($Z1188="","",IF(AND(DATE($AD1188,4,1)&gt;=$AE1188,DATE($AD1188,4,1)&lt;=$AF1188),ROUND($AG1188,2),0))</f>
        <v/>
      </c>
      <c r="N1188" s="18">
        <f>IF($Z1188="","",IF(AND(DATE($AD1188,5,1)&gt;=$AE1188,DATE($AD1188,5,1)&lt;=$AF1188),ROUND($AG1188,2),0))</f>
        <v/>
      </c>
      <c r="O1188" s="18">
        <f>IF($Z1188="","",IF(AND(DATE($AD1188,6,1)&gt;=$AE1188,DATE($AD1188,6,1)&lt;=$AF1188),ROUND($AG1188,2),0))</f>
        <v/>
      </c>
      <c r="P1188" s="18">
        <f>IF($Z1188="","",IF(AND(DATE($AD1188,7,1)&gt;=$AE1188,DATE($AD1188,7,1)&lt;=$AF1188),ROUND($AG1188,2),0))</f>
        <v/>
      </c>
      <c r="Q1188" s="18">
        <f>IF($Z1188="","",IF(AND(DATE($AD1188,8,1)&gt;=$AE1188,DATE($AD1188,8,1)&lt;=$AF1188),ROUND($AG1188,2),0))</f>
        <v/>
      </c>
      <c r="R1188" s="18">
        <f>IF($Z1188="","",IF(AND(DATE($AD1188,9,1)&gt;=$AE1188,DATE($AD1188,9,1)&lt;=$AF1188),ROUND($AG1188,2),0))</f>
        <v/>
      </c>
      <c r="S1188" s="18">
        <f>IF($Z1188="","",IF(AND(DATE($AD1188,10,1)&gt;=$AE1188,DATE($AD1188,10,1)&lt;=$AF1188),ROUND($AG1188,2),0))</f>
        <v/>
      </c>
      <c r="T1188" s="18">
        <f>IF($Z1188="","",IF(AND(DATE($AD1188,11,1)&gt;=$AE1188,DATE($AD1188,11,1)&lt;=$AF1188),ROUND($AG1188,2),0))</f>
        <v/>
      </c>
      <c r="U1188" s="18">
        <f>IF($Z1188="","",IF(AND(DATE($AD1188,12,1)&gt;=$AE1188,DATE($AD1188,12,1)&lt;=$AF1188),ROUND($AG1188,2),0))</f>
        <v/>
      </c>
      <c r="V1188" s="7">
        <f>IF($Z1188="C","Generated from "&amp;INDEX(Contracts!$A$2:$A$151,$AB1188),IF($Z1188="A","Generated from "&amp;INDEX(Fixed_Assets!$A$2:$A$201,$AB1188),IF($Z1188="F","Generated from "&amp;INDEX(FTE_Allocation!$A$2:$A$201,$AB1188),"")))</f>
        <v/>
      </c>
      <c r="X1188" s="19">
        <f>IF($Z1188="","",SUM(J1188:U1188))</f>
        <v/>
      </c>
      <c r="Y1188" s="20">
        <f>ROW()-1</f>
        <v/>
      </c>
      <c r="Z1188" s="20">
        <f>IF($Y1188&lt;=Settings!$B$4*3,"C",IF($Y1188&lt;=(Settings!$B$4+Settings!$B$5)*3,"A",IF($Y1188&lt;=(Settings!$B$4+Settings!$B$5+Settings!$B$6)*3,"F","")))</f>
        <v/>
      </c>
      <c r="AA1188" s="20">
        <f>IF($Z1188="C",$Y1188,IF($Z1188="A",$Y1188-Settings!$B$4*3,IF($Z1188="F",$Y1188-(Settings!$B$4+Settings!$B$5)*3,"")))</f>
        <v/>
      </c>
      <c r="AB1188" s="20">
        <f>IF($Z1188="","",INT(($AA1188-1)/3)+1)</f>
        <v/>
      </c>
      <c r="AC1188" s="20">
        <f>IF($Z1188="","",MOD($AA1188-1,3)+1)</f>
        <v/>
      </c>
      <c r="AD1188" s="20">
        <f>IF($Z1188="","",Settings!$B$2+$AC1188-1)</f>
        <v/>
      </c>
      <c r="AE1188" s="21">
        <f>IF($Z1188="C",DATE(YEAR(INDEX(Contracts!$J$2:$J$151,$AB1188)),MONTH(INDEX(Contracts!$J$2:$J$151,$AB1188)),1),IF($Z1188="A",DATE(YEAR(INDEX(Fixed_Assets!$G$2:$G$201,$AB1188)),MONTH(INDEX(Fixed_Assets!$G$2:$G$201,$AB1188)),1),IF($Z1188="F",DATE(YEAR(MAX(N(INDEX(Workforce!$I$2:$I$151,MATCH(INDEX(FTE_Allocation!$A$2:$A$201,$AB1188),Workforce!$A$2:$A$151,0))),N(INDEX(FTE_Allocation!$I$2:$I$201,$AB1188)))),MONTH(MAX(N(INDEX(Workforce!$I$2:$I$151,MATCH(INDEX(FTE_Allocation!$A$2:$A$201,$AB1188),Workforce!$A$2:$A$151,0))),N(INDEX(FTE_Allocation!$I$2:$I$201,$AB1188)))),1),"")))</f>
        <v/>
      </c>
      <c r="AF1188" s="21">
        <f>IF($Z1188="C",IF(INDEX(Contracts!$I$2:$I$151,$AB1188)="PREPAID",EDATE(DATE(YEAR(INDEX(Contracts!$J$2:$J$151,$AB1188)),MONTH(INDEX(Contracts!$J$2:$J$151,$AB1188)),1),IF(INDEX(Contracts!$N$2:$N$151,$AB1188)="",12,INDEX(Contracts!$N$2:$N$151,$AB1188))-1),IF(INDEX(Contracts!$I$2:$I$151,$AB1188)="MONTHLY",IF(INDEX(Contracts!$K$2:$K$151,$AB1188)="",2958101,INDEX(Contracts!$K$2:$K$151,$AB1188)),0)),IF($Z1188="A",EDATE(DATE(YEAR(INDEX(Fixed_Assets!$G$2:$G$201,$AB1188)),MONTH(INDEX(Fixed_Assets!$G$2:$G$201,$AB1188)),1),INDEX(Fixed_Assets!$J$2:$J$201,$AB1188)-1),IF($Z1188="F",MIN(IF(INDEX(Workforce!$J$2:$J$151,MATCH(INDEX(FTE_Allocation!$A$2:$A$201,$AB1188),Workforce!$A$2:$A$151,0))="",2958101,INDEX(Workforce!$J$2:$J$151,MATCH(INDEX(FTE_Allocation!$A$2:$A$201,$AB1188),Workforce!$A$2:$A$151,0))),IF(INDEX(FTE_Allocation!$J$2:$J$201,$AB1188)="",2958101,INDEX(FTE_Allocation!$J$2:$J$201,$AB1188))),"")))</f>
        <v/>
      </c>
      <c r="AG1188" s="19">
        <f>IF($Z1188="C",IF(INDEX(Contracts!$I$2:$I$151,$AB1188)="PREPAID",INDEX(Contracts!$M$2:$M$151,$AB1188)/IF(INDEX(Contracts!$N$2:$N$151,$AB1188)="",12,INDEX(Contracts!$N$2:$N$151,$AB1188)),IF(INDEX(Contracts!$I$2:$I$151,$AB1188)="MONTHLY",INDEX(Contracts!$M$2:$M$151,$AB1188),0))*(1-N(INDEX(Contracts!$O$2:$O$151,$AB1188))),IF($Z1188="A",INDEX(Fixed_Assets!$H$2:$H$201,$AB1188)/INDEX(Fixed_Assets!$J$2:$J$201,$AB1188),IF($Z1188="F",INDEX(Workforce!$F$2:$F$151,MATCH(INDEX(FTE_Allocation!$A$2:$A$201,$AB1188),Workforce!$A$2:$A$151,0))*N(INDEX(FTE_Allocation!$F$2:$H$201,$AB1188,$AC1188)),"")))</f>
        <v/>
      </c>
    </row>
    <row r="1189">
      <c r="A1189" s="7">
        <f>IF($Z1189="","",$AD1189)</f>
        <v/>
      </c>
      <c r="B1189" s="7">
        <f>IF($Z1189="C",INDEX(Contracts!$D$2:$D$151,$AB1189)&amp;"",IF($Z1189="A",INDEX(Fixed_Assets!$C$2:$C$201,$AB1189)&amp;"",IF($Z1189="F",INDEX(Workforce!$B$2:$B$151,MATCH(INDEX(FTE_Allocation!$A$2:$A$201,$AB1189),Workforce!$A$2:$A$151,0))&amp;"","")))</f>
        <v/>
      </c>
      <c r="C1189" s="7">
        <f>IF($Z1189="C",INDEX(Contracts!$E$2:$E$151,$AB1189)&amp;"",IF($Z1189="A",INDEX(Fixed_Assets!$D$2:$D$201,$AB1189)&amp;"",IF($Z1189="F",INDEX(FTE_Allocation!$C$2:$C$201,$AB1189)&amp;"","")))</f>
        <v/>
      </c>
      <c r="D1189" s="7">
        <f>IF($Z1189="C",INDEX(Contracts!$B$2:$B$151,$AB1189)&amp;"",IF($Z1189="A",INDEX(Fixed_Assets!$B$2:$B$201,$AB1189)&amp;"",IF($Z1189="F",INDEX(FTE_Allocation!$B$2:$B$201,$AB1189)&amp;"","")))</f>
        <v/>
      </c>
      <c r="E1189" s="7">
        <f>IF($Z1189="C",INDEX(Contracts!$P$2:$P$151,$AB1189)&amp;"",IF($Z1189="A",INDEX(Fixed_Assets!$K$2:$K$201,$AB1189)&amp;"",IF($Z1189="F",IF(INDEX(FTE_Allocation!$D$2:$D$201,$AB1189)="PROJECT",IFERROR(INDEX(Projects!$D:$D,MATCH(INDEX(FTE_Allocation!$E$2:$E$201,$AB1189),Projects!$A:$A,0))&amp;"","#PROJECT?"),INDEX(FTE_Allocation!$E$2:$E$201,$AB1189)&amp;""),"")))</f>
        <v/>
      </c>
      <c r="F1189" s="7">
        <f>IF($Z1189="C",INDEX(Contracts!$Q$2:$Q$151,$AB1189)&amp;"",IF($Z1189="A",INDEX(Fixed_Assets!$L$2:$L$201,$AB1189)&amp;"",IF($Z1189="F",INDEX(Workforce!$K$2:$K$151,MATCH(INDEX(FTE_Allocation!$A$2:$A$201,$AB1189),Workforce!$A$2:$A$151,0))&amp;"","")))</f>
        <v/>
      </c>
      <c r="G1189" s="7">
        <f>IF($Z1189="C",INDEX(Contracts!$F$2:$F$151,$AB1189)&amp;" / "&amp;INDEX(Contracts!$G$2:$G$151,$AB1189),IF($Z1189="A",INDEX(Fixed_Assets!$E$2:$E$201,$AB1189)&amp;"",IF($Z1189="F","Personnel "&amp;INDEX(FTE_Allocation!$A$2:$A$201,$AB1189)&amp;IF(INDEX(FTE_Allocation!$D$2:$D$201,$AB1189)="PROJECT"," ("&amp;INDEX(FTE_Allocation!$E$2:$E$201,$AB1189)&amp;")",""),"")))</f>
        <v/>
      </c>
      <c r="H1189" s="7">
        <f>IF($Z1189="C","CONTRACT",IF($Z1189="A","ASSET",IF($Z1189="F","WORKFORCE","")))</f>
        <v/>
      </c>
      <c r="I1189" s="7">
        <f>IF($Z1189="C",INDEX(Contracts!$L$2:$L$151,$AB1189)&amp;"",IF($Z1189="A",INDEX(Fixed_Assets!$I$2:$I$201,$AB1189)&amp;"",IF($Z1189="F",INDEX(Workforce!$G$2:$G$151,MATCH(INDEX(FTE_Allocation!$A$2:$A$201,$AB1189),Workforce!$A$2:$A$151,0))&amp;"","")))</f>
        <v/>
      </c>
      <c r="J1189" s="18">
        <f>IF($Z1189="","",IF(AND(DATE($AD1189,1,1)&gt;=$AE1189,DATE($AD1189,1,1)&lt;=$AF1189),ROUND($AG1189,2),0))</f>
        <v/>
      </c>
      <c r="K1189" s="18">
        <f>IF($Z1189="","",IF(AND(DATE($AD1189,2,1)&gt;=$AE1189,DATE($AD1189,2,1)&lt;=$AF1189),ROUND($AG1189,2),0))</f>
        <v/>
      </c>
      <c r="L1189" s="18">
        <f>IF($Z1189="","",IF(AND(DATE($AD1189,3,1)&gt;=$AE1189,DATE($AD1189,3,1)&lt;=$AF1189),ROUND($AG1189,2),0))</f>
        <v/>
      </c>
      <c r="M1189" s="18">
        <f>IF($Z1189="","",IF(AND(DATE($AD1189,4,1)&gt;=$AE1189,DATE($AD1189,4,1)&lt;=$AF1189),ROUND($AG1189,2),0))</f>
        <v/>
      </c>
      <c r="N1189" s="18">
        <f>IF($Z1189="","",IF(AND(DATE($AD1189,5,1)&gt;=$AE1189,DATE($AD1189,5,1)&lt;=$AF1189),ROUND($AG1189,2),0))</f>
        <v/>
      </c>
      <c r="O1189" s="18">
        <f>IF($Z1189="","",IF(AND(DATE($AD1189,6,1)&gt;=$AE1189,DATE($AD1189,6,1)&lt;=$AF1189),ROUND($AG1189,2),0))</f>
        <v/>
      </c>
      <c r="P1189" s="18">
        <f>IF($Z1189="","",IF(AND(DATE($AD1189,7,1)&gt;=$AE1189,DATE($AD1189,7,1)&lt;=$AF1189),ROUND($AG1189,2),0))</f>
        <v/>
      </c>
      <c r="Q1189" s="18">
        <f>IF($Z1189="","",IF(AND(DATE($AD1189,8,1)&gt;=$AE1189,DATE($AD1189,8,1)&lt;=$AF1189),ROUND($AG1189,2),0))</f>
        <v/>
      </c>
      <c r="R1189" s="18">
        <f>IF($Z1189="","",IF(AND(DATE($AD1189,9,1)&gt;=$AE1189,DATE($AD1189,9,1)&lt;=$AF1189),ROUND($AG1189,2),0))</f>
        <v/>
      </c>
      <c r="S1189" s="18">
        <f>IF($Z1189="","",IF(AND(DATE($AD1189,10,1)&gt;=$AE1189,DATE($AD1189,10,1)&lt;=$AF1189),ROUND($AG1189,2),0))</f>
        <v/>
      </c>
      <c r="T1189" s="18">
        <f>IF($Z1189="","",IF(AND(DATE($AD1189,11,1)&gt;=$AE1189,DATE($AD1189,11,1)&lt;=$AF1189),ROUND($AG1189,2),0))</f>
        <v/>
      </c>
      <c r="U1189" s="18">
        <f>IF($Z1189="","",IF(AND(DATE($AD1189,12,1)&gt;=$AE1189,DATE($AD1189,12,1)&lt;=$AF1189),ROUND($AG1189,2),0))</f>
        <v/>
      </c>
      <c r="V1189" s="7">
        <f>IF($Z1189="C","Generated from "&amp;INDEX(Contracts!$A$2:$A$151,$AB1189),IF($Z1189="A","Generated from "&amp;INDEX(Fixed_Assets!$A$2:$A$201,$AB1189),IF($Z1189="F","Generated from "&amp;INDEX(FTE_Allocation!$A$2:$A$201,$AB1189),"")))</f>
        <v/>
      </c>
      <c r="X1189" s="19">
        <f>IF($Z1189="","",SUM(J1189:U1189))</f>
        <v/>
      </c>
      <c r="Y1189" s="20">
        <f>ROW()-1</f>
        <v/>
      </c>
      <c r="Z1189" s="20">
        <f>IF($Y1189&lt;=Settings!$B$4*3,"C",IF($Y1189&lt;=(Settings!$B$4+Settings!$B$5)*3,"A",IF($Y1189&lt;=(Settings!$B$4+Settings!$B$5+Settings!$B$6)*3,"F","")))</f>
        <v/>
      </c>
      <c r="AA1189" s="20">
        <f>IF($Z1189="C",$Y1189,IF($Z1189="A",$Y1189-Settings!$B$4*3,IF($Z1189="F",$Y1189-(Settings!$B$4+Settings!$B$5)*3,"")))</f>
        <v/>
      </c>
      <c r="AB1189" s="20">
        <f>IF($Z1189="","",INT(($AA1189-1)/3)+1)</f>
        <v/>
      </c>
      <c r="AC1189" s="20">
        <f>IF($Z1189="","",MOD($AA1189-1,3)+1)</f>
        <v/>
      </c>
      <c r="AD1189" s="20">
        <f>IF($Z1189="","",Settings!$B$2+$AC1189-1)</f>
        <v/>
      </c>
      <c r="AE1189" s="21">
        <f>IF($Z1189="C",DATE(YEAR(INDEX(Contracts!$J$2:$J$151,$AB1189)),MONTH(INDEX(Contracts!$J$2:$J$151,$AB1189)),1),IF($Z1189="A",DATE(YEAR(INDEX(Fixed_Assets!$G$2:$G$201,$AB1189)),MONTH(INDEX(Fixed_Assets!$G$2:$G$201,$AB1189)),1),IF($Z1189="F",DATE(YEAR(MAX(N(INDEX(Workforce!$I$2:$I$151,MATCH(INDEX(FTE_Allocation!$A$2:$A$201,$AB1189),Workforce!$A$2:$A$151,0))),N(INDEX(FTE_Allocation!$I$2:$I$201,$AB1189)))),MONTH(MAX(N(INDEX(Workforce!$I$2:$I$151,MATCH(INDEX(FTE_Allocation!$A$2:$A$201,$AB1189),Workforce!$A$2:$A$151,0))),N(INDEX(FTE_Allocation!$I$2:$I$201,$AB1189)))),1),"")))</f>
        <v/>
      </c>
      <c r="AF1189" s="21">
        <f>IF($Z1189="C",IF(INDEX(Contracts!$I$2:$I$151,$AB1189)="PREPAID",EDATE(DATE(YEAR(INDEX(Contracts!$J$2:$J$151,$AB1189)),MONTH(INDEX(Contracts!$J$2:$J$151,$AB1189)),1),IF(INDEX(Contracts!$N$2:$N$151,$AB1189)="",12,INDEX(Contracts!$N$2:$N$151,$AB1189))-1),IF(INDEX(Contracts!$I$2:$I$151,$AB1189)="MONTHLY",IF(INDEX(Contracts!$K$2:$K$151,$AB1189)="",2958101,INDEX(Contracts!$K$2:$K$151,$AB1189)),0)),IF($Z1189="A",EDATE(DATE(YEAR(INDEX(Fixed_Assets!$G$2:$G$201,$AB1189)),MONTH(INDEX(Fixed_Assets!$G$2:$G$201,$AB1189)),1),INDEX(Fixed_Assets!$J$2:$J$201,$AB1189)-1),IF($Z1189="F",MIN(IF(INDEX(Workforce!$J$2:$J$151,MATCH(INDEX(FTE_Allocation!$A$2:$A$201,$AB1189),Workforce!$A$2:$A$151,0))="",2958101,INDEX(Workforce!$J$2:$J$151,MATCH(INDEX(FTE_Allocation!$A$2:$A$201,$AB1189),Workforce!$A$2:$A$151,0))),IF(INDEX(FTE_Allocation!$J$2:$J$201,$AB1189)="",2958101,INDEX(FTE_Allocation!$J$2:$J$201,$AB1189))),"")))</f>
        <v/>
      </c>
      <c r="AG1189" s="19">
        <f>IF($Z1189="C",IF(INDEX(Contracts!$I$2:$I$151,$AB1189)="PREPAID",INDEX(Contracts!$M$2:$M$151,$AB1189)/IF(INDEX(Contracts!$N$2:$N$151,$AB1189)="",12,INDEX(Contracts!$N$2:$N$151,$AB1189)),IF(INDEX(Contracts!$I$2:$I$151,$AB1189)="MONTHLY",INDEX(Contracts!$M$2:$M$151,$AB1189),0))*(1-N(INDEX(Contracts!$O$2:$O$151,$AB1189))),IF($Z1189="A",INDEX(Fixed_Assets!$H$2:$H$201,$AB1189)/INDEX(Fixed_Assets!$J$2:$J$201,$AB1189),IF($Z1189="F",INDEX(Workforce!$F$2:$F$151,MATCH(INDEX(FTE_Allocation!$A$2:$A$201,$AB1189),Workforce!$A$2:$A$151,0))*N(INDEX(FTE_Allocation!$F$2:$H$201,$AB1189,$AC1189)),"")))</f>
        <v/>
      </c>
    </row>
    <row r="1190">
      <c r="A1190" s="7">
        <f>IF($Z1190="","",$AD1190)</f>
        <v/>
      </c>
      <c r="B1190" s="7">
        <f>IF($Z1190="C",INDEX(Contracts!$D$2:$D$151,$AB1190)&amp;"",IF($Z1190="A",INDEX(Fixed_Assets!$C$2:$C$201,$AB1190)&amp;"",IF($Z1190="F",INDEX(Workforce!$B$2:$B$151,MATCH(INDEX(FTE_Allocation!$A$2:$A$201,$AB1190),Workforce!$A$2:$A$151,0))&amp;"","")))</f>
        <v/>
      </c>
      <c r="C1190" s="7">
        <f>IF($Z1190="C",INDEX(Contracts!$E$2:$E$151,$AB1190)&amp;"",IF($Z1190="A",INDEX(Fixed_Assets!$D$2:$D$201,$AB1190)&amp;"",IF($Z1190="F",INDEX(FTE_Allocation!$C$2:$C$201,$AB1190)&amp;"","")))</f>
        <v/>
      </c>
      <c r="D1190" s="7">
        <f>IF($Z1190="C",INDEX(Contracts!$B$2:$B$151,$AB1190)&amp;"",IF($Z1190="A",INDEX(Fixed_Assets!$B$2:$B$201,$AB1190)&amp;"",IF($Z1190="F",INDEX(FTE_Allocation!$B$2:$B$201,$AB1190)&amp;"","")))</f>
        <v/>
      </c>
      <c r="E1190" s="7">
        <f>IF($Z1190="C",INDEX(Contracts!$P$2:$P$151,$AB1190)&amp;"",IF($Z1190="A",INDEX(Fixed_Assets!$K$2:$K$201,$AB1190)&amp;"",IF($Z1190="F",IF(INDEX(FTE_Allocation!$D$2:$D$201,$AB1190)="PROJECT",IFERROR(INDEX(Projects!$D:$D,MATCH(INDEX(FTE_Allocation!$E$2:$E$201,$AB1190),Projects!$A:$A,0))&amp;"","#PROJECT?"),INDEX(FTE_Allocation!$E$2:$E$201,$AB1190)&amp;""),"")))</f>
        <v/>
      </c>
      <c r="F1190" s="7">
        <f>IF($Z1190="C",INDEX(Contracts!$Q$2:$Q$151,$AB1190)&amp;"",IF($Z1190="A",INDEX(Fixed_Assets!$L$2:$L$201,$AB1190)&amp;"",IF($Z1190="F",INDEX(Workforce!$K$2:$K$151,MATCH(INDEX(FTE_Allocation!$A$2:$A$201,$AB1190),Workforce!$A$2:$A$151,0))&amp;"","")))</f>
        <v/>
      </c>
      <c r="G1190" s="7">
        <f>IF($Z1190="C",INDEX(Contracts!$F$2:$F$151,$AB1190)&amp;" / "&amp;INDEX(Contracts!$G$2:$G$151,$AB1190),IF($Z1190="A",INDEX(Fixed_Assets!$E$2:$E$201,$AB1190)&amp;"",IF($Z1190="F","Personnel "&amp;INDEX(FTE_Allocation!$A$2:$A$201,$AB1190)&amp;IF(INDEX(FTE_Allocation!$D$2:$D$201,$AB1190)="PROJECT"," ("&amp;INDEX(FTE_Allocation!$E$2:$E$201,$AB1190)&amp;")",""),"")))</f>
        <v/>
      </c>
      <c r="H1190" s="7">
        <f>IF($Z1190="C","CONTRACT",IF($Z1190="A","ASSET",IF($Z1190="F","WORKFORCE","")))</f>
        <v/>
      </c>
      <c r="I1190" s="7">
        <f>IF($Z1190="C",INDEX(Contracts!$L$2:$L$151,$AB1190)&amp;"",IF($Z1190="A",INDEX(Fixed_Assets!$I$2:$I$201,$AB1190)&amp;"",IF($Z1190="F",INDEX(Workforce!$G$2:$G$151,MATCH(INDEX(FTE_Allocation!$A$2:$A$201,$AB1190),Workforce!$A$2:$A$151,0))&amp;"","")))</f>
        <v/>
      </c>
      <c r="J1190" s="18">
        <f>IF($Z1190="","",IF(AND(DATE($AD1190,1,1)&gt;=$AE1190,DATE($AD1190,1,1)&lt;=$AF1190),ROUND($AG1190,2),0))</f>
        <v/>
      </c>
      <c r="K1190" s="18">
        <f>IF($Z1190="","",IF(AND(DATE($AD1190,2,1)&gt;=$AE1190,DATE($AD1190,2,1)&lt;=$AF1190),ROUND($AG1190,2),0))</f>
        <v/>
      </c>
      <c r="L1190" s="18">
        <f>IF($Z1190="","",IF(AND(DATE($AD1190,3,1)&gt;=$AE1190,DATE($AD1190,3,1)&lt;=$AF1190),ROUND($AG1190,2),0))</f>
        <v/>
      </c>
      <c r="M1190" s="18">
        <f>IF($Z1190="","",IF(AND(DATE($AD1190,4,1)&gt;=$AE1190,DATE($AD1190,4,1)&lt;=$AF1190),ROUND($AG1190,2),0))</f>
        <v/>
      </c>
      <c r="N1190" s="18">
        <f>IF($Z1190="","",IF(AND(DATE($AD1190,5,1)&gt;=$AE1190,DATE($AD1190,5,1)&lt;=$AF1190),ROUND($AG1190,2),0))</f>
        <v/>
      </c>
      <c r="O1190" s="18">
        <f>IF($Z1190="","",IF(AND(DATE($AD1190,6,1)&gt;=$AE1190,DATE($AD1190,6,1)&lt;=$AF1190),ROUND($AG1190,2),0))</f>
        <v/>
      </c>
      <c r="P1190" s="18">
        <f>IF($Z1190="","",IF(AND(DATE($AD1190,7,1)&gt;=$AE1190,DATE($AD1190,7,1)&lt;=$AF1190),ROUND($AG1190,2),0))</f>
        <v/>
      </c>
      <c r="Q1190" s="18">
        <f>IF($Z1190="","",IF(AND(DATE($AD1190,8,1)&gt;=$AE1190,DATE($AD1190,8,1)&lt;=$AF1190),ROUND($AG1190,2),0))</f>
        <v/>
      </c>
      <c r="R1190" s="18">
        <f>IF($Z1190="","",IF(AND(DATE($AD1190,9,1)&gt;=$AE1190,DATE($AD1190,9,1)&lt;=$AF1190),ROUND($AG1190,2),0))</f>
        <v/>
      </c>
      <c r="S1190" s="18">
        <f>IF($Z1190="","",IF(AND(DATE($AD1190,10,1)&gt;=$AE1190,DATE($AD1190,10,1)&lt;=$AF1190),ROUND($AG1190,2),0))</f>
        <v/>
      </c>
      <c r="T1190" s="18">
        <f>IF($Z1190="","",IF(AND(DATE($AD1190,11,1)&gt;=$AE1190,DATE($AD1190,11,1)&lt;=$AF1190),ROUND($AG1190,2),0))</f>
        <v/>
      </c>
      <c r="U1190" s="18">
        <f>IF($Z1190="","",IF(AND(DATE($AD1190,12,1)&gt;=$AE1190,DATE($AD1190,12,1)&lt;=$AF1190),ROUND($AG1190,2),0))</f>
        <v/>
      </c>
      <c r="V1190" s="7">
        <f>IF($Z1190="C","Generated from "&amp;INDEX(Contracts!$A$2:$A$151,$AB1190),IF($Z1190="A","Generated from "&amp;INDEX(Fixed_Assets!$A$2:$A$201,$AB1190),IF($Z1190="F","Generated from "&amp;INDEX(FTE_Allocation!$A$2:$A$201,$AB1190),"")))</f>
        <v/>
      </c>
      <c r="X1190" s="19">
        <f>IF($Z1190="","",SUM(J1190:U1190))</f>
        <v/>
      </c>
      <c r="Y1190" s="20">
        <f>ROW()-1</f>
        <v/>
      </c>
      <c r="Z1190" s="20">
        <f>IF($Y1190&lt;=Settings!$B$4*3,"C",IF($Y1190&lt;=(Settings!$B$4+Settings!$B$5)*3,"A",IF($Y1190&lt;=(Settings!$B$4+Settings!$B$5+Settings!$B$6)*3,"F","")))</f>
        <v/>
      </c>
      <c r="AA1190" s="20">
        <f>IF($Z1190="C",$Y1190,IF($Z1190="A",$Y1190-Settings!$B$4*3,IF($Z1190="F",$Y1190-(Settings!$B$4+Settings!$B$5)*3,"")))</f>
        <v/>
      </c>
      <c r="AB1190" s="20">
        <f>IF($Z1190="","",INT(($AA1190-1)/3)+1)</f>
        <v/>
      </c>
      <c r="AC1190" s="20">
        <f>IF($Z1190="","",MOD($AA1190-1,3)+1)</f>
        <v/>
      </c>
      <c r="AD1190" s="20">
        <f>IF($Z1190="","",Settings!$B$2+$AC1190-1)</f>
        <v/>
      </c>
      <c r="AE1190" s="21">
        <f>IF($Z1190="C",DATE(YEAR(INDEX(Contracts!$J$2:$J$151,$AB1190)),MONTH(INDEX(Contracts!$J$2:$J$151,$AB1190)),1),IF($Z1190="A",DATE(YEAR(INDEX(Fixed_Assets!$G$2:$G$201,$AB1190)),MONTH(INDEX(Fixed_Assets!$G$2:$G$201,$AB1190)),1),IF($Z1190="F",DATE(YEAR(MAX(N(INDEX(Workforce!$I$2:$I$151,MATCH(INDEX(FTE_Allocation!$A$2:$A$201,$AB1190),Workforce!$A$2:$A$151,0))),N(INDEX(FTE_Allocation!$I$2:$I$201,$AB1190)))),MONTH(MAX(N(INDEX(Workforce!$I$2:$I$151,MATCH(INDEX(FTE_Allocation!$A$2:$A$201,$AB1190),Workforce!$A$2:$A$151,0))),N(INDEX(FTE_Allocation!$I$2:$I$201,$AB1190)))),1),"")))</f>
        <v/>
      </c>
      <c r="AF1190" s="21">
        <f>IF($Z1190="C",IF(INDEX(Contracts!$I$2:$I$151,$AB1190)="PREPAID",EDATE(DATE(YEAR(INDEX(Contracts!$J$2:$J$151,$AB1190)),MONTH(INDEX(Contracts!$J$2:$J$151,$AB1190)),1),IF(INDEX(Contracts!$N$2:$N$151,$AB1190)="",12,INDEX(Contracts!$N$2:$N$151,$AB1190))-1),IF(INDEX(Contracts!$I$2:$I$151,$AB1190)="MONTHLY",IF(INDEX(Contracts!$K$2:$K$151,$AB1190)="",2958101,INDEX(Contracts!$K$2:$K$151,$AB1190)),0)),IF($Z1190="A",EDATE(DATE(YEAR(INDEX(Fixed_Assets!$G$2:$G$201,$AB1190)),MONTH(INDEX(Fixed_Assets!$G$2:$G$201,$AB1190)),1),INDEX(Fixed_Assets!$J$2:$J$201,$AB1190)-1),IF($Z1190="F",MIN(IF(INDEX(Workforce!$J$2:$J$151,MATCH(INDEX(FTE_Allocation!$A$2:$A$201,$AB1190),Workforce!$A$2:$A$151,0))="",2958101,INDEX(Workforce!$J$2:$J$151,MATCH(INDEX(FTE_Allocation!$A$2:$A$201,$AB1190),Workforce!$A$2:$A$151,0))),IF(INDEX(FTE_Allocation!$J$2:$J$201,$AB1190)="",2958101,INDEX(FTE_Allocation!$J$2:$J$201,$AB1190))),"")))</f>
        <v/>
      </c>
      <c r="AG1190" s="19">
        <f>IF($Z1190="C",IF(INDEX(Contracts!$I$2:$I$151,$AB1190)="PREPAID",INDEX(Contracts!$M$2:$M$151,$AB1190)/IF(INDEX(Contracts!$N$2:$N$151,$AB1190)="",12,INDEX(Contracts!$N$2:$N$151,$AB1190)),IF(INDEX(Contracts!$I$2:$I$151,$AB1190)="MONTHLY",INDEX(Contracts!$M$2:$M$151,$AB1190),0))*(1-N(INDEX(Contracts!$O$2:$O$151,$AB1190))),IF($Z1190="A",INDEX(Fixed_Assets!$H$2:$H$201,$AB1190)/INDEX(Fixed_Assets!$J$2:$J$201,$AB1190),IF($Z1190="F",INDEX(Workforce!$F$2:$F$151,MATCH(INDEX(FTE_Allocation!$A$2:$A$201,$AB1190),Workforce!$A$2:$A$151,0))*N(INDEX(FTE_Allocation!$F$2:$H$201,$AB1190,$AC1190)),"")))</f>
        <v/>
      </c>
    </row>
    <row r="1191">
      <c r="A1191" s="7">
        <f>IF($Z1191="","",$AD1191)</f>
        <v/>
      </c>
      <c r="B1191" s="7">
        <f>IF($Z1191="C",INDEX(Contracts!$D$2:$D$151,$AB1191)&amp;"",IF($Z1191="A",INDEX(Fixed_Assets!$C$2:$C$201,$AB1191)&amp;"",IF($Z1191="F",INDEX(Workforce!$B$2:$B$151,MATCH(INDEX(FTE_Allocation!$A$2:$A$201,$AB1191),Workforce!$A$2:$A$151,0))&amp;"","")))</f>
        <v/>
      </c>
      <c r="C1191" s="7">
        <f>IF($Z1191="C",INDEX(Contracts!$E$2:$E$151,$AB1191)&amp;"",IF($Z1191="A",INDEX(Fixed_Assets!$D$2:$D$201,$AB1191)&amp;"",IF($Z1191="F",INDEX(FTE_Allocation!$C$2:$C$201,$AB1191)&amp;"","")))</f>
        <v/>
      </c>
      <c r="D1191" s="7">
        <f>IF($Z1191="C",INDEX(Contracts!$B$2:$B$151,$AB1191)&amp;"",IF($Z1191="A",INDEX(Fixed_Assets!$B$2:$B$201,$AB1191)&amp;"",IF($Z1191="F",INDEX(FTE_Allocation!$B$2:$B$201,$AB1191)&amp;"","")))</f>
        <v/>
      </c>
      <c r="E1191" s="7">
        <f>IF($Z1191="C",INDEX(Contracts!$P$2:$P$151,$AB1191)&amp;"",IF($Z1191="A",INDEX(Fixed_Assets!$K$2:$K$201,$AB1191)&amp;"",IF($Z1191="F",IF(INDEX(FTE_Allocation!$D$2:$D$201,$AB1191)="PROJECT",IFERROR(INDEX(Projects!$D:$D,MATCH(INDEX(FTE_Allocation!$E$2:$E$201,$AB1191),Projects!$A:$A,0))&amp;"","#PROJECT?"),INDEX(FTE_Allocation!$E$2:$E$201,$AB1191)&amp;""),"")))</f>
        <v/>
      </c>
      <c r="F1191" s="7">
        <f>IF($Z1191="C",INDEX(Contracts!$Q$2:$Q$151,$AB1191)&amp;"",IF($Z1191="A",INDEX(Fixed_Assets!$L$2:$L$201,$AB1191)&amp;"",IF($Z1191="F",INDEX(Workforce!$K$2:$K$151,MATCH(INDEX(FTE_Allocation!$A$2:$A$201,$AB1191),Workforce!$A$2:$A$151,0))&amp;"","")))</f>
        <v/>
      </c>
      <c r="G1191" s="7">
        <f>IF($Z1191="C",INDEX(Contracts!$F$2:$F$151,$AB1191)&amp;" / "&amp;INDEX(Contracts!$G$2:$G$151,$AB1191),IF($Z1191="A",INDEX(Fixed_Assets!$E$2:$E$201,$AB1191)&amp;"",IF($Z1191="F","Personnel "&amp;INDEX(FTE_Allocation!$A$2:$A$201,$AB1191)&amp;IF(INDEX(FTE_Allocation!$D$2:$D$201,$AB1191)="PROJECT"," ("&amp;INDEX(FTE_Allocation!$E$2:$E$201,$AB1191)&amp;")",""),"")))</f>
        <v/>
      </c>
      <c r="H1191" s="7">
        <f>IF($Z1191="C","CONTRACT",IF($Z1191="A","ASSET",IF($Z1191="F","WORKFORCE","")))</f>
        <v/>
      </c>
      <c r="I1191" s="7">
        <f>IF($Z1191="C",INDEX(Contracts!$L$2:$L$151,$AB1191)&amp;"",IF($Z1191="A",INDEX(Fixed_Assets!$I$2:$I$201,$AB1191)&amp;"",IF($Z1191="F",INDEX(Workforce!$G$2:$G$151,MATCH(INDEX(FTE_Allocation!$A$2:$A$201,$AB1191),Workforce!$A$2:$A$151,0))&amp;"","")))</f>
        <v/>
      </c>
      <c r="J1191" s="18">
        <f>IF($Z1191="","",IF(AND(DATE($AD1191,1,1)&gt;=$AE1191,DATE($AD1191,1,1)&lt;=$AF1191),ROUND($AG1191,2),0))</f>
        <v/>
      </c>
      <c r="K1191" s="18">
        <f>IF($Z1191="","",IF(AND(DATE($AD1191,2,1)&gt;=$AE1191,DATE($AD1191,2,1)&lt;=$AF1191),ROUND($AG1191,2),0))</f>
        <v/>
      </c>
      <c r="L1191" s="18">
        <f>IF($Z1191="","",IF(AND(DATE($AD1191,3,1)&gt;=$AE1191,DATE($AD1191,3,1)&lt;=$AF1191),ROUND($AG1191,2),0))</f>
        <v/>
      </c>
      <c r="M1191" s="18">
        <f>IF($Z1191="","",IF(AND(DATE($AD1191,4,1)&gt;=$AE1191,DATE($AD1191,4,1)&lt;=$AF1191),ROUND($AG1191,2),0))</f>
        <v/>
      </c>
      <c r="N1191" s="18">
        <f>IF($Z1191="","",IF(AND(DATE($AD1191,5,1)&gt;=$AE1191,DATE($AD1191,5,1)&lt;=$AF1191),ROUND($AG1191,2),0))</f>
        <v/>
      </c>
      <c r="O1191" s="18">
        <f>IF($Z1191="","",IF(AND(DATE($AD1191,6,1)&gt;=$AE1191,DATE($AD1191,6,1)&lt;=$AF1191),ROUND($AG1191,2),0))</f>
        <v/>
      </c>
      <c r="P1191" s="18">
        <f>IF($Z1191="","",IF(AND(DATE($AD1191,7,1)&gt;=$AE1191,DATE($AD1191,7,1)&lt;=$AF1191),ROUND($AG1191,2),0))</f>
        <v/>
      </c>
      <c r="Q1191" s="18">
        <f>IF($Z1191="","",IF(AND(DATE($AD1191,8,1)&gt;=$AE1191,DATE($AD1191,8,1)&lt;=$AF1191),ROUND($AG1191,2),0))</f>
        <v/>
      </c>
      <c r="R1191" s="18">
        <f>IF($Z1191="","",IF(AND(DATE($AD1191,9,1)&gt;=$AE1191,DATE($AD1191,9,1)&lt;=$AF1191),ROUND($AG1191,2),0))</f>
        <v/>
      </c>
      <c r="S1191" s="18">
        <f>IF($Z1191="","",IF(AND(DATE($AD1191,10,1)&gt;=$AE1191,DATE($AD1191,10,1)&lt;=$AF1191),ROUND($AG1191,2),0))</f>
        <v/>
      </c>
      <c r="T1191" s="18">
        <f>IF($Z1191="","",IF(AND(DATE($AD1191,11,1)&gt;=$AE1191,DATE($AD1191,11,1)&lt;=$AF1191),ROUND($AG1191,2),0))</f>
        <v/>
      </c>
      <c r="U1191" s="18">
        <f>IF($Z1191="","",IF(AND(DATE($AD1191,12,1)&gt;=$AE1191,DATE($AD1191,12,1)&lt;=$AF1191),ROUND($AG1191,2),0))</f>
        <v/>
      </c>
      <c r="V1191" s="7">
        <f>IF($Z1191="C","Generated from "&amp;INDEX(Contracts!$A$2:$A$151,$AB1191),IF($Z1191="A","Generated from "&amp;INDEX(Fixed_Assets!$A$2:$A$201,$AB1191),IF($Z1191="F","Generated from "&amp;INDEX(FTE_Allocation!$A$2:$A$201,$AB1191),"")))</f>
        <v/>
      </c>
      <c r="X1191" s="19">
        <f>IF($Z1191="","",SUM(J1191:U1191))</f>
        <v/>
      </c>
      <c r="Y1191" s="20">
        <f>ROW()-1</f>
        <v/>
      </c>
      <c r="Z1191" s="20">
        <f>IF($Y1191&lt;=Settings!$B$4*3,"C",IF($Y1191&lt;=(Settings!$B$4+Settings!$B$5)*3,"A",IF($Y1191&lt;=(Settings!$B$4+Settings!$B$5+Settings!$B$6)*3,"F","")))</f>
        <v/>
      </c>
      <c r="AA1191" s="20">
        <f>IF($Z1191="C",$Y1191,IF($Z1191="A",$Y1191-Settings!$B$4*3,IF($Z1191="F",$Y1191-(Settings!$B$4+Settings!$B$5)*3,"")))</f>
        <v/>
      </c>
      <c r="AB1191" s="20">
        <f>IF($Z1191="","",INT(($AA1191-1)/3)+1)</f>
        <v/>
      </c>
      <c r="AC1191" s="20">
        <f>IF($Z1191="","",MOD($AA1191-1,3)+1)</f>
        <v/>
      </c>
      <c r="AD1191" s="20">
        <f>IF($Z1191="","",Settings!$B$2+$AC1191-1)</f>
        <v/>
      </c>
      <c r="AE1191" s="21">
        <f>IF($Z1191="C",DATE(YEAR(INDEX(Contracts!$J$2:$J$151,$AB1191)),MONTH(INDEX(Contracts!$J$2:$J$151,$AB1191)),1),IF($Z1191="A",DATE(YEAR(INDEX(Fixed_Assets!$G$2:$G$201,$AB1191)),MONTH(INDEX(Fixed_Assets!$G$2:$G$201,$AB1191)),1),IF($Z1191="F",DATE(YEAR(MAX(N(INDEX(Workforce!$I$2:$I$151,MATCH(INDEX(FTE_Allocation!$A$2:$A$201,$AB1191),Workforce!$A$2:$A$151,0))),N(INDEX(FTE_Allocation!$I$2:$I$201,$AB1191)))),MONTH(MAX(N(INDEX(Workforce!$I$2:$I$151,MATCH(INDEX(FTE_Allocation!$A$2:$A$201,$AB1191),Workforce!$A$2:$A$151,0))),N(INDEX(FTE_Allocation!$I$2:$I$201,$AB1191)))),1),"")))</f>
        <v/>
      </c>
      <c r="AF1191" s="21">
        <f>IF($Z1191="C",IF(INDEX(Contracts!$I$2:$I$151,$AB1191)="PREPAID",EDATE(DATE(YEAR(INDEX(Contracts!$J$2:$J$151,$AB1191)),MONTH(INDEX(Contracts!$J$2:$J$151,$AB1191)),1),IF(INDEX(Contracts!$N$2:$N$151,$AB1191)="",12,INDEX(Contracts!$N$2:$N$151,$AB1191))-1),IF(INDEX(Contracts!$I$2:$I$151,$AB1191)="MONTHLY",IF(INDEX(Contracts!$K$2:$K$151,$AB1191)="",2958101,INDEX(Contracts!$K$2:$K$151,$AB1191)),0)),IF($Z1191="A",EDATE(DATE(YEAR(INDEX(Fixed_Assets!$G$2:$G$201,$AB1191)),MONTH(INDEX(Fixed_Assets!$G$2:$G$201,$AB1191)),1),INDEX(Fixed_Assets!$J$2:$J$201,$AB1191)-1),IF($Z1191="F",MIN(IF(INDEX(Workforce!$J$2:$J$151,MATCH(INDEX(FTE_Allocation!$A$2:$A$201,$AB1191),Workforce!$A$2:$A$151,0))="",2958101,INDEX(Workforce!$J$2:$J$151,MATCH(INDEX(FTE_Allocation!$A$2:$A$201,$AB1191),Workforce!$A$2:$A$151,0))),IF(INDEX(FTE_Allocation!$J$2:$J$201,$AB1191)="",2958101,INDEX(FTE_Allocation!$J$2:$J$201,$AB1191))),"")))</f>
        <v/>
      </c>
      <c r="AG1191" s="19">
        <f>IF($Z1191="C",IF(INDEX(Contracts!$I$2:$I$151,$AB1191)="PREPAID",INDEX(Contracts!$M$2:$M$151,$AB1191)/IF(INDEX(Contracts!$N$2:$N$151,$AB1191)="",12,INDEX(Contracts!$N$2:$N$151,$AB1191)),IF(INDEX(Contracts!$I$2:$I$151,$AB1191)="MONTHLY",INDEX(Contracts!$M$2:$M$151,$AB1191),0))*(1-N(INDEX(Contracts!$O$2:$O$151,$AB1191))),IF($Z1191="A",INDEX(Fixed_Assets!$H$2:$H$201,$AB1191)/INDEX(Fixed_Assets!$J$2:$J$201,$AB1191),IF($Z1191="F",INDEX(Workforce!$F$2:$F$151,MATCH(INDEX(FTE_Allocation!$A$2:$A$201,$AB1191),Workforce!$A$2:$A$151,0))*N(INDEX(FTE_Allocation!$F$2:$H$201,$AB1191,$AC1191)),"")))</f>
        <v/>
      </c>
    </row>
    <row r="1192">
      <c r="A1192" s="7">
        <f>IF($Z1192="","",$AD1192)</f>
        <v/>
      </c>
      <c r="B1192" s="7">
        <f>IF($Z1192="C",INDEX(Contracts!$D$2:$D$151,$AB1192)&amp;"",IF($Z1192="A",INDEX(Fixed_Assets!$C$2:$C$201,$AB1192)&amp;"",IF($Z1192="F",INDEX(Workforce!$B$2:$B$151,MATCH(INDEX(FTE_Allocation!$A$2:$A$201,$AB1192),Workforce!$A$2:$A$151,0))&amp;"","")))</f>
        <v/>
      </c>
      <c r="C1192" s="7">
        <f>IF($Z1192="C",INDEX(Contracts!$E$2:$E$151,$AB1192)&amp;"",IF($Z1192="A",INDEX(Fixed_Assets!$D$2:$D$201,$AB1192)&amp;"",IF($Z1192="F",INDEX(FTE_Allocation!$C$2:$C$201,$AB1192)&amp;"","")))</f>
        <v/>
      </c>
      <c r="D1192" s="7">
        <f>IF($Z1192="C",INDEX(Contracts!$B$2:$B$151,$AB1192)&amp;"",IF($Z1192="A",INDEX(Fixed_Assets!$B$2:$B$201,$AB1192)&amp;"",IF($Z1192="F",INDEX(FTE_Allocation!$B$2:$B$201,$AB1192)&amp;"","")))</f>
        <v/>
      </c>
      <c r="E1192" s="7">
        <f>IF($Z1192="C",INDEX(Contracts!$P$2:$P$151,$AB1192)&amp;"",IF($Z1192="A",INDEX(Fixed_Assets!$K$2:$K$201,$AB1192)&amp;"",IF($Z1192="F",IF(INDEX(FTE_Allocation!$D$2:$D$201,$AB1192)="PROJECT",IFERROR(INDEX(Projects!$D:$D,MATCH(INDEX(FTE_Allocation!$E$2:$E$201,$AB1192),Projects!$A:$A,0))&amp;"","#PROJECT?"),INDEX(FTE_Allocation!$E$2:$E$201,$AB1192)&amp;""),"")))</f>
        <v/>
      </c>
      <c r="F1192" s="7">
        <f>IF($Z1192="C",INDEX(Contracts!$Q$2:$Q$151,$AB1192)&amp;"",IF($Z1192="A",INDEX(Fixed_Assets!$L$2:$L$201,$AB1192)&amp;"",IF($Z1192="F",INDEX(Workforce!$K$2:$K$151,MATCH(INDEX(FTE_Allocation!$A$2:$A$201,$AB1192),Workforce!$A$2:$A$151,0))&amp;"","")))</f>
        <v/>
      </c>
      <c r="G1192" s="7">
        <f>IF($Z1192="C",INDEX(Contracts!$F$2:$F$151,$AB1192)&amp;" / "&amp;INDEX(Contracts!$G$2:$G$151,$AB1192),IF($Z1192="A",INDEX(Fixed_Assets!$E$2:$E$201,$AB1192)&amp;"",IF($Z1192="F","Personnel "&amp;INDEX(FTE_Allocation!$A$2:$A$201,$AB1192)&amp;IF(INDEX(FTE_Allocation!$D$2:$D$201,$AB1192)="PROJECT"," ("&amp;INDEX(FTE_Allocation!$E$2:$E$201,$AB1192)&amp;")",""),"")))</f>
        <v/>
      </c>
      <c r="H1192" s="7">
        <f>IF($Z1192="C","CONTRACT",IF($Z1192="A","ASSET",IF($Z1192="F","WORKFORCE","")))</f>
        <v/>
      </c>
      <c r="I1192" s="7">
        <f>IF($Z1192="C",INDEX(Contracts!$L$2:$L$151,$AB1192)&amp;"",IF($Z1192="A",INDEX(Fixed_Assets!$I$2:$I$201,$AB1192)&amp;"",IF($Z1192="F",INDEX(Workforce!$G$2:$G$151,MATCH(INDEX(FTE_Allocation!$A$2:$A$201,$AB1192),Workforce!$A$2:$A$151,0))&amp;"","")))</f>
        <v/>
      </c>
      <c r="J1192" s="18">
        <f>IF($Z1192="","",IF(AND(DATE($AD1192,1,1)&gt;=$AE1192,DATE($AD1192,1,1)&lt;=$AF1192),ROUND($AG1192,2),0))</f>
        <v/>
      </c>
      <c r="K1192" s="18">
        <f>IF($Z1192="","",IF(AND(DATE($AD1192,2,1)&gt;=$AE1192,DATE($AD1192,2,1)&lt;=$AF1192),ROUND($AG1192,2),0))</f>
        <v/>
      </c>
      <c r="L1192" s="18">
        <f>IF($Z1192="","",IF(AND(DATE($AD1192,3,1)&gt;=$AE1192,DATE($AD1192,3,1)&lt;=$AF1192),ROUND($AG1192,2),0))</f>
        <v/>
      </c>
      <c r="M1192" s="18">
        <f>IF($Z1192="","",IF(AND(DATE($AD1192,4,1)&gt;=$AE1192,DATE($AD1192,4,1)&lt;=$AF1192),ROUND($AG1192,2),0))</f>
        <v/>
      </c>
      <c r="N1192" s="18">
        <f>IF($Z1192="","",IF(AND(DATE($AD1192,5,1)&gt;=$AE1192,DATE($AD1192,5,1)&lt;=$AF1192),ROUND($AG1192,2),0))</f>
        <v/>
      </c>
      <c r="O1192" s="18">
        <f>IF($Z1192="","",IF(AND(DATE($AD1192,6,1)&gt;=$AE1192,DATE($AD1192,6,1)&lt;=$AF1192),ROUND($AG1192,2),0))</f>
        <v/>
      </c>
      <c r="P1192" s="18">
        <f>IF($Z1192="","",IF(AND(DATE($AD1192,7,1)&gt;=$AE1192,DATE($AD1192,7,1)&lt;=$AF1192),ROUND($AG1192,2),0))</f>
        <v/>
      </c>
      <c r="Q1192" s="18">
        <f>IF($Z1192="","",IF(AND(DATE($AD1192,8,1)&gt;=$AE1192,DATE($AD1192,8,1)&lt;=$AF1192),ROUND($AG1192,2),0))</f>
        <v/>
      </c>
      <c r="R1192" s="18">
        <f>IF($Z1192="","",IF(AND(DATE($AD1192,9,1)&gt;=$AE1192,DATE($AD1192,9,1)&lt;=$AF1192),ROUND($AG1192,2),0))</f>
        <v/>
      </c>
      <c r="S1192" s="18">
        <f>IF($Z1192="","",IF(AND(DATE($AD1192,10,1)&gt;=$AE1192,DATE($AD1192,10,1)&lt;=$AF1192),ROUND($AG1192,2),0))</f>
        <v/>
      </c>
      <c r="T1192" s="18">
        <f>IF($Z1192="","",IF(AND(DATE($AD1192,11,1)&gt;=$AE1192,DATE($AD1192,11,1)&lt;=$AF1192),ROUND($AG1192,2),0))</f>
        <v/>
      </c>
      <c r="U1192" s="18">
        <f>IF($Z1192="","",IF(AND(DATE($AD1192,12,1)&gt;=$AE1192,DATE($AD1192,12,1)&lt;=$AF1192),ROUND($AG1192,2),0))</f>
        <v/>
      </c>
      <c r="V1192" s="7">
        <f>IF($Z1192="C","Generated from "&amp;INDEX(Contracts!$A$2:$A$151,$AB1192),IF($Z1192="A","Generated from "&amp;INDEX(Fixed_Assets!$A$2:$A$201,$AB1192),IF($Z1192="F","Generated from "&amp;INDEX(FTE_Allocation!$A$2:$A$201,$AB1192),"")))</f>
        <v/>
      </c>
      <c r="X1192" s="19">
        <f>IF($Z1192="","",SUM(J1192:U1192))</f>
        <v/>
      </c>
      <c r="Y1192" s="20">
        <f>ROW()-1</f>
        <v/>
      </c>
      <c r="Z1192" s="20">
        <f>IF($Y1192&lt;=Settings!$B$4*3,"C",IF($Y1192&lt;=(Settings!$B$4+Settings!$B$5)*3,"A",IF($Y1192&lt;=(Settings!$B$4+Settings!$B$5+Settings!$B$6)*3,"F","")))</f>
        <v/>
      </c>
      <c r="AA1192" s="20">
        <f>IF($Z1192="C",$Y1192,IF($Z1192="A",$Y1192-Settings!$B$4*3,IF($Z1192="F",$Y1192-(Settings!$B$4+Settings!$B$5)*3,"")))</f>
        <v/>
      </c>
      <c r="AB1192" s="20">
        <f>IF($Z1192="","",INT(($AA1192-1)/3)+1)</f>
        <v/>
      </c>
      <c r="AC1192" s="20">
        <f>IF($Z1192="","",MOD($AA1192-1,3)+1)</f>
        <v/>
      </c>
      <c r="AD1192" s="20">
        <f>IF($Z1192="","",Settings!$B$2+$AC1192-1)</f>
        <v/>
      </c>
      <c r="AE1192" s="21">
        <f>IF($Z1192="C",DATE(YEAR(INDEX(Contracts!$J$2:$J$151,$AB1192)),MONTH(INDEX(Contracts!$J$2:$J$151,$AB1192)),1),IF($Z1192="A",DATE(YEAR(INDEX(Fixed_Assets!$G$2:$G$201,$AB1192)),MONTH(INDEX(Fixed_Assets!$G$2:$G$201,$AB1192)),1),IF($Z1192="F",DATE(YEAR(MAX(N(INDEX(Workforce!$I$2:$I$151,MATCH(INDEX(FTE_Allocation!$A$2:$A$201,$AB1192),Workforce!$A$2:$A$151,0))),N(INDEX(FTE_Allocation!$I$2:$I$201,$AB1192)))),MONTH(MAX(N(INDEX(Workforce!$I$2:$I$151,MATCH(INDEX(FTE_Allocation!$A$2:$A$201,$AB1192),Workforce!$A$2:$A$151,0))),N(INDEX(FTE_Allocation!$I$2:$I$201,$AB1192)))),1),"")))</f>
        <v/>
      </c>
      <c r="AF1192" s="21">
        <f>IF($Z1192="C",IF(INDEX(Contracts!$I$2:$I$151,$AB1192)="PREPAID",EDATE(DATE(YEAR(INDEX(Contracts!$J$2:$J$151,$AB1192)),MONTH(INDEX(Contracts!$J$2:$J$151,$AB1192)),1),IF(INDEX(Contracts!$N$2:$N$151,$AB1192)="",12,INDEX(Contracts!$N$2:$N$151,$AB1192))-1),IF(INDEX(Contracts!$I$2:$I$151,$AB1192)="MONTHLY",IF(INDEX(Contracts!$K$2:$K$151,$AB1192)="",2958101,INDEX(Contracts!$K$2:$K$151,$AB1192)),0)),IF($Z1192="A",EDATE(DATE(YEAR(INDEX(Fixed_Assets!$G$2:$G$201,$AB1192)),MONTH(INDEX(Fixed_Assets!$G$2:$G$201,$AB1192)),1),INDEX(Fixed_Assets!$J$2:$J$201,$AB1192)-1),IF($Z1192="F",MIN(IF(INDEX(Workforce!$J$2:$J$151,MATCH(INDEX(FTE_Allocation!$A$2:$A$201,$AB1192),Workforce!$A$2:$A$151,0))="",2958101,INDEX(Workforce!$J$2:$J$151,MATCH(INDEX(FTE_Allocation!$A$2:$A$201,$AB1192),Workforce!$A$2:$A$151,0))),IF(INDEX(FTE_Allocation!$J$2:$J$201,$AB1192)="",2958101,INDEX(FTE_Allocation!$J$2:$J$201,$AB1192))),"")))</f>
        <v/>
      </c>
      <c r="AG1192" s="19">
        <f>IF($Z1192="C",IF(INDEX(Contracts!$I$2:$I$151,$AB1192)="PREPAID",INDEX(Contracts!$M$2:$M$151,$AB1192)/IF(INDEX(Contracts!$N$2:$N$151,$AB1192)="",12,INDEX(Contracts!$N$2:$N$151,$AB1192)),IF(INDEX(Contracts!$I$2:$I$151,$AB1192)="MONTHLY",INDEX(Contracts!$M$2:$M$151,$AB1192),0))*(1-N(INDEX(Contracts!$O$2:$O$151,$AB1192))),IF($Z1192="A",INDEX(Fixed_Assets!$H$2:$H$201,$AB1192)/INDEX(Fixed_Assets!$J$2:$J$201,$AB1192),IF($Z1192="F",INDEX(Workforce!$F$2:$F$151,MATCH(INDEX(FTE_Allocation!$A$2:$A$201,$AB1192),Workforce!$A$2:$A$151,0))*N(INDEX(FTE_Allocation!$F$2:$H$201,$AB1192,$AC1192)),"")))</f>
        <v/>
      </c>
    </row>
    <row r="1193">
      <c r="A1193" s="7">
        <f>IF($Z1193="","",$AD1193)</f>
        <v/>
      </c>
      <c r="B1193" s="7">
        <f>IF($Z1193="C",INDEX(Contracts!$D$2:$D$151,$AB1193)&amp;"",IF($Z1193="A",INDEX(Fixed_Assets!$C$2:$C$201,$AB1193)&amp;"",IF($Z1193="F",INDEX(Workforce!$B$2:$B$151,MATCH(INDEX(FTE_Allocation!$A$2:$A$201,$AB1193),Workforce!$A$2:$A$151,0))&amp;"","")))</f>
        <v/>
      </c>
      <c r="C1193" s="7">
        <f>IF($Z1193="C",INDEX(Contracts!$E$2:$E$151,$AB1193)&amp;"",IF($Z1193="A",INDEX(Fixed_Assets!$D$2:$D$201,$AB1193)&amp;"",IF($Z1193="F",INDEX(FTE_Allocation!$C$2:$C$201,$AB1193)&amp;"","")))</f>
        <v/>
      </c>
      <c r="D1193" s="7">
        <f>IF($Z1193="C",INDEX(Contracts!$B$2:$B$151,$AB1193)&amp;"",IF($Z1193="A",INDEX(Fixed_Assets!$B$2:$B$201,$AB1193)&amp;"",IF($Z1193="F",INDEX(FTE_Allocation!$B$2:$B$201,$AB1193)&amp;"","")))</f>
        <v/>
      </c>
      <c r="E1193" s="7">
        <f>IF($Z1193="C",INDEX(Contracts!$P$2:$P$151,$AB1193)&amp;"",IF($Z1193="A",INDEX(Fixed_Assets!$K$2:$K$201,$AB1193)&amp;"",IF($Z1193="F",IF(INDEX(FTE_Allocation!$D$2:$D$201,$AB1193)="PROJECT",IFERROR(INDEX(Projects!$D:$D,MATCH(INDEX(FTE_Allocation!$E$2:$E$201,$AB1193),Projects!$A:$A,0))&amp;"","#PROJECT?"),INDEX(FTE_Allocation!$E$2:$E$201,$AB1193)&amp;""),"")))</f>
        <v/>
      </c>
      <c r="F1193" s="7">
        <f>IF($Z1193="C",INDEX(Contracts!$Q$2:$Q$151,$AB1193)&amp;"",IF($Z1193="A",INDEX(Fixed_Assets!$L$2:$L$201,$AB1193)&amp;"",IF($Z1193="F",INDEX(Workforce!$K$2:$K$151,MATCH(INDEX(FTE_Allocation!$A$2:$A$201,$AB1193),Workforce!$A$2:$A$151,0))&amp;"","")))</f>
        <v/>
      </c>
      <c r="G1193" s="7">
        <f>IF($Z1193="C",INDEX(Contracts!$F$2:$F$151,$AB1193)&amp;" / "&amp;INDEX(Contracts!$G$2:$G$151,$AB1193),IF($Z1193="A",INDEX(Fixed_Assets!$E$2:$E$201,$AB1193)&amp;"",IF($Z1193="F","Personnel "&amp;INDEX(FTE_Allocation!$A$2:$A$201,$AB1193)&amp;IF(INDEX(FTE_Allocation!$D$2:$D$201,$AB1193)="PROJECT"," ("&amp;INDEX(FTE_Allocation!$E$2:$E$201,$AB1193)&amp;")",""),"")))</f>
        <v/>
      </c>
      <c r="H1193" s="7">
        <f>IF($Z1193="C","CONTRACT",IF($Z1193="A","ASSET",IF($Z1193="F","WORKFORCE","")))</f>
        <v/>
      </c>
      <c r="I1193" s="7">
        <f>IF($Z1193="C",INDEX(Contracts!$L$2:$L$151,$AB1193)&amp;"",IF($Z1193="A",INDEX(Fixed_Assets!$I$2:$I$201,$AB1193)&amp;"",IF($Z1193="F",INDEX(Workforce!$G$2:$G$151,MATCH(INDEX(FTE_Allocation!$A$2:$A$201,$AB1193),Workforce!$A$2:$A$151,0))&amp;"","")))</f>
        <v/>
      </c>
      <c r="J1193" s="18">
        <f>IF($Z1193="","",IF(AND(DATE($AD1193,1,1)&gt;=$AE1193,DATE($AD1193,1,1)&lt;=$AF1193),ROUND($AG1193,2),0))</f>
        <v/>
      </c>
      <c r="K1193" s="18">
        <f>IF($Z1193="","",IF(AND(DATE($AD1193,2,1)&gt;=$AE1193,DATE($AD1193,2,1)&lt;=$AF1193),ROUND($AG1193,2),0))</f>
        <v/>
      </c>
      <c r="L1193" s="18">
        <f>IF($Z1193="","",IF(AND(DATE($AD1193,3,1)&gt;=$AE1193,DATE($AD1193,3,1)&lt;=$AF1193),ROUND($AG1193,2),0))</f>
        <v/>
      </c>
      <c r="M1193" s="18">
        <f>IF($Z1193="","",IF(AND(DATE($AD1193,4,1)&gt;=$AE1193,DATE($AD1193,4,1)&lt;=$AF1193),ROUND($AG1193,2),0))</f>
        <v/>
      </c>
      <c r="N1193" s="18">
        <f>IF($Z1193="","",IF(AND(DATE($AD1193,5,1)&gt;=$AE1193,DATE($AD1193,5,1)&lt;=$AF1193),ROUND($AG1193,2),0))</f>
        <v/>
      </c>
      <c r="O1193" s="18">
        <f>IF($Z1193="","",IF(AND(DATE($AD1193,6,1)&gt;=$AE1193,DATE($AD1193,6,1)&lt;=$AF1193),ROUND($AG1193,2),0))</f>
        <v/>
      </c>
      <c r="P1193" s="18">
        <f>IF($Z1193="","",IF(AND(DATE($AD1193,7,1)&gt;=$AE1193,DATE($AD1193,7,1)&lt;=$AF1193),ROUND($AG1193,2),0))</f>
        <v/>
      </c>
      <c r="Q1193" s="18">
        <f>IF($Z1193="","",IF(AND(DATE($AD1193,8,1)&gt;=$AE1193,DATE($AD1193,8,1)&lt;=$AF1193),ROUND($AG1193,2),0))</f>
        <v/>
      </c>
      <c r="R1193" s="18">
        <f>IF($Z1193="","",IF(AND(DATE($AD1193,9,1)&gt;=$AE1193,DATE($AD1193,9,1)&lt;=$AF1193),ROUND($AG1193,2),0))</f>
        <v/>
      </c>
      <c r="S1193" s="18">
        <f>IF($Z1193="","",IF(AND(DATE($AD1193,10,1)&gt;=$AE1193,DATE($AD1193,10,1)&lt;=$AF1193),ROUND($AG1193,2),0))</f>
        <v/>
      </c>
      <c r="T1193" s="18">
        <f>IF($Z1193="","",IF(AND(DATE($AD1193,11,1)&gt;=$AE1193,DATE($AD1193,11,1)&lt;=$AF1193),ROUND($AG1193,2),0))</f>
        <v/>
      </c>
      <c r="U1193" s="18">
        <f>IF($Z1193="","",IF(AND(DATE($AD1193,12,1)&gt;=$AE1193,DATE($AD1193,12,1)&lt;=$AF1193),ROUND($AG1193,2),0))</f>
        <v/>
      </c>
      <c r="V1193" s="7">
        <f>IF($Z1193="C","Generated from "&amp;INDEX(Contracts!$A$2:$A$151,$AB1193),IF($Z1193="A","Generated from "&amp;INDEX(Fixed_Assets!$A$2:$A$201,$AB1193),IF($Z1193="F","Generated from "&amp;INDEX(FTE_Allocation!$A$2:$A$201,$AB1193),"")))</f>
        <v/>
      </c>
      <c r="X1193" s="19">
        <f>IF($Z1193="","",SUM(J1193:U1193))</f>
        <v/>
      </c>
      <c r="Y1193" s="20">
        <f>ROW()-1</f>
        <v/>
      </c>
      <c r="Z1193" s="20">
        <f>IF($Y1193&lt;=Settings!$B$4*3,"C",IF($Y1193&lt;=(Settings!$B$4+Settings!$B$5)*3,"A",IF($Y1193&lt;=(Settings!$B$4+Settings!$B$5+Settings!$B$6)*3,"F","")))</f>
        <v/>
      </c>
      <c r="AA1193" s="20">
        <f>IF($Z1193="C",$Y1193,IF($Z1193="A",$Y1193-Settings!$B$4*3,IF($Z1193="F",$Y1193-(Settings!$B$4+Settings!$B$5)*3,"")))</f>
        <v/>
      </c>
      <c r="AB1193" s="20">
        <f>IF($Z1193="","",INT(($AA1193-1)/3)+1)</f>
        <v/>
      </c>
      <c r="AC1193" s="20">
        <f>IF($Z1193="","",MOD($AA1193-1,3)+1)</f>
        <v/>
      </c>
      <c r="AD1193" s="20">
        <f>IF($Z1193="","",Settings!$B$2+$AC1193-1)</f>
        <v/>
      </c>
      <c r="AE1193" s="21">
        <f>IF($Z1193="C",DATE(YEAR(INDEX(Contracts!$J$2:$J$151,$AB1193)),MONTH(INDEX(Contracts!$J$2:$J$151,$AB1193)),1),IF($Z1193="A",DATE(YEAR(INDEX(Fixed_Assets!$G$2:$G$201,$AB1193)),MONTH(INDEX(Fixed_Assets!$G$2:$G$201,$AB1193)),1),IF($Z1193="F",DATE(YEAR(MAX(N(INDEX(Workforce!$I$2:$I$151,MATCH(INDEX(FTE_Allocation!$A$2:$A$201,$AB1193),Workforce!$A$2:$A$151,0))),N(INDEX(FTE_Allocation!$I$2:$I$201,$AB1193)))),MONTH(MAX(N(INDEX(Workforce!$I$2:$I$151,MATCH(INDEX(FTE_Allocation!$A$2:$A$201,$AB1193),Workforce!$A$2:$A$151,0))),N(INDEX(FTE_Allocation!$I$2:$I$201,$AB1193)))),1),"")))</f>
        <v/>
      </c>
      <c r="AF1193" s="21">
        <f>IF($Z1193="C",IF(INDEX(Contracts!$I$2:$I$151,$AB1193)="PREPAID",EDATE(DATE(YEAR(INDEX(Contracts!$J$2:$J$151,$AB1193)),MONTH(INDEX(Contracts!$J$2:$J$151,$AB1193)),1),IF(INDEX(Contracts!$N$2:$N$151,$AB1193)="",12,INDEX(Contracts!$N$2:$N$151,$AB1193))-1),IF(INDEX(Contracts!$I$2:$I$151,$AB1193)="MONTHLY",IF(INDEX(Contracts!$K$2:$K$151,$AB1193)="",2958101,INDEX(Contracts!$K$2:$K$151,$AB1193)),0)),IF($Z1193="A",EDATE(DATE(YEAR(INDEX(Fixed_Assets!$G$2:$G$201,$AB1193)),MONTH(INDEX(Fixed_Assets!$G$2:$G$201,$AB1193)),1),INDEX(Fixed_Assets!$J$2:$J$201,$AB1193)-1),IF($Z1193="F",MIN(IF(INDEX(Workforce!$J$2:$J$151,MATCH(INDEX(FTE_Allocation!$A$2:$A$201,$AB1193),Workforce!$A$2:$A$151,0))="",2958101,INDEX(Workforce!$J$2:$J$151,MATCH(INDEX(FTE_Allocation!$A$2:$A$201,$AB1193),Workforce!$A$2:$A$151,0))),IF(INDEX(FTE_Allocation!$J$2:$J$201,$AB1193)="",2958101,INDEX(FTE_Allocation!$J$2:$J$201,$AB1193))),"")))</f>
        <v/>
      </c>
      <c r="AG1193" s="19">
        <f>IF($Z1193="C",IF(INDEX(Contracts!$I$2:$I$151,$AB1193)="PREPAID",INDEX(Contracts!$M$2:$M$151,$AB1193)/IF(INDEX(Contracts!$N$2:$N$151,$AB1193)="",12,INDEX(Contracts!$N$2:$N$151,$AB1193)),IF(INDEX(Contracts!$I$2:$I$151,$AB1193)="MONTHLY",INDEX(Contracts!$M$2:$M$151,$AB1193),0))*(1-N(INDEX(Contracts!$O$2:$O$151,$AB1193))),IF($Z1193="A",INDEX(Fixed_Assets!$H$2:$H$201,$AB1193)/INDEX(Fixed_Assets!$J$2:$J$201,$AB1193),IF($Z1193="F",INDEX(Workforce!$F$2:$F$151,MATCH(INDEX(FTE_Allocation!$A$2:$A$201,$AB1193),Workforce!$A$2:$A$151,0))*N(INDEX(FTE_Allocation!$F$2:$H$201,$AB1193,$AC1193)),"")))</f>
        <v/>
      </c>
    </row>
    <row r="1194">
      <c r="A1194" s="7">
        <f>IF($Z1194="","",$AD1194)</f>
        <v/>
      </c>
      <c r="B1194" s="7">
        <f>IF($Z1194="C",INDEX(Contracts!$D$2:$D$151,$AB1194)&amp;"",IF($Z1194="A",INDEX(Fixed_Assets!$C$2:$C$201,$AB1194)&amp;"",IF($Z1194="F",INDEX(Workforce!$B$2:$B$151,MATCH(INDEX(FTE_Allocation!$A$2:$A$201,$AB1194),Workforce!$A$2:$A$151,0))&amp;"","")))</f>
        <v/>
      </c>
      <c r="C1194" s="7">
        <f>IF($Z1194="C",INDEX(Contracts!$E$2:$E$151,$AB1194)&amp;"",IF($Z1194="A",INDEX(Fixed_Assets!$D$2:$D$201,$AB1194)&amp;"",IF($Z1194="F",INDEX(FTE_Allocation!$C$2:$C$201,$AB1194)&amp;"","")))</f>
        <v/>
      </c>
      <c r="D1194" s="7">
        <f>IF($Z1194="C",INDEX(Contracts!$B$2:$B$151,$AB1194)&amp;"",IF($Z1194="A",INDEX(Fixed_Assets!$B$2:$B$201,$AB1194)&amp;"",IF($Z1194="F",INDEX(FTE_Allocation!$B$2:$B$201,$AB1194)&amp;"","")))</f>
        <v/>
      </c>
      <c r="E1194" s="7">
        <f>IF($Z1194="C",INDEX(Contracts!$P$2:$P$151,$AB1194)&amp;"",IF($Z1194="A",INDEX(Fixed_Assets!$K$2:$K$201,$AB1194)&amp;"",IF($Z1194="F",IF(INDEX(FTE_Allocation!$D$2:$D$201,$AB1194)="PROJECT",IFERROR(INDEX(Projects!$D:$D,MATCH(INDEX(FTE_Allocation!$E$2:$E$201,$AB1194),Projects!$A:$A,0))&amp;"","#PROJECT?"),INDEX(FTE_Allocation!$E$2:$E$201,$AB1194)&amp;""),"")))</f>
        <v/>
      </c>
      <c r="F1194" s="7">
        <f>IF($Z1194="C",INDEX(Contracts!$Q$2:$Q$151,$AB1194)&amp;"",IF($Z1194="A",INDEX(Fixed_Assets!$L$2:$L$201,$AB1194)&amp;"",IF($Z1194="F",INDEX(Workforce!$K$2:$K$151,MATCH(INDEX(FTE_Allocation!$A$2:$A$201,$AB1194),Workforce!$A$2:$A$151,0))&amp;"","")))</f>
        <v/>
      </c>
      <c r="G1194" s="7">
        <f>IF($Z1194="C",INDEX(Contracts!$F$2:$F$151,$AB1194)&amp;" / "&amp;INDEX(Contracts!$G$2:$G$151,$AB1194),IF($Z1194="A",INDEX(Fixed_Assets!$E$2:$E$201,$AB1194)&amp;"",IF($Z1194="F","Personnel "&amp;INDEX(FTE_Allocation!$A$2:$A$201,$AB1194)&amp;IF(INDEX(FTE_Allocation!$D$2:$D$201,$AB1194)="PROJECT"," ("&amp;INDEX(FTE_Allocation!$E$2:$E$201,$AB1194)&amp;")",""),"")))</f>
        <v/>
      </c>
      <c r="H1194" s="7">
        <f>IF($Z1194="C","CONTRACT",IF($Z1194="A","ASSET",IF($Z1194="F","WORKFORCE","")))</f>
        <v/>
      </c>
      <c r="I1194" s="7">
        <f>IF($Z1194="C",INDEX(Contracts!$L$2:$L$151,$AB1194)&amp;"",IF($Z1194="A",INDEX(Fixed_Assets!$I$2:$I$201,$AB1194)&amp;"",IF($Z1194="F",INDEX(Workforce!$G$2:$G$151,MATCH(INDEX(FTE_Allocation!$A$2:$A$201,$AB1194),Workforce!$A$2:$A$151,0))&amp;"","")))</f>
        <v/>
      </c>
      <c r="J1194" s="18">
        <f>IF($Z1194="","",IF(AND(DATE($AD1194,1,1)&gt;=$AE1194,DATE($AD1194,1,1)&lt;=$AF1194),ROUND($AG1194,2),0))</f>
        <v/>
      </c>
      <c r="K1194" s="18">
        <f>IF($Z1194="","",IF(AND(DATE($AD1194,2,1)&gt;=$AE1194,DATE($AD1194,2,1)&lt;=$AF1194),ROUND($AG1194,2),0))</f>
        <v/>
      </c>
      <c r="L1194" s="18">
        <f>IF($Z1194="","",IF(AND(DATE($AD1194,3,1)&gt;=$AE1194,DATE($AD1194,3,1)&lt;=$AF1194),ROUND($AG1194,2),0))</f>
        <v/>
      </c>
      <c r="M1194" s="18">
        <f>IF($Z1194="","",IF(AND(DATE($AD1194,4,1)&gt;=$AE1194,DATE($AD1194,4,1)&lt;=$AF1194),ROUND($AG1194,2),0))</f>
        <v/>
      </c>
      <c r="N1194" s="18">
        <f>IF($Z1194="","",IF(AND(DATE($AD1194,5,1)&gt;=$AE1194,DATE($AD1194,5,1)&lt;=$AF1194),ROUND($AG1194,2),0))</f>
        <v/>
      </c>
      <c r="O1194" s="18">
        <f>IF($Z1194="","",IF(AND(DATE($AD1194,6,1)&gt;=$AE1194,DATE($AD1194,6,1)&lt;=$AF1194),ROUND($AG1194,2),0))</f>
        <v/>
      </c>
      <c r="P1194" s="18">
        <f>IF($Z1194="","",IF(AND(DATE($AD1194,7,1)&gt;=$AE1194,DATE($AD1194,7,1)&lt;=$AF1194),ROUND($AG1194,2),0))</f>
        <v/>
      </c>
      <c r="Q1194" s="18">
        <f>IF($Z1194="","",IF(AND(DATE($AD1194,8,1)&gt;=$AE1194,DATE($AD1194,8,1)&lt;=$AF1194),ROUND($AG1194,2),0))</f>
        <v/>
      </c>
      <c r="R1194" s="18">
        <f>IF($Z1194="","",IF(AND(DATE($AD1194,9,1)&gt;=$AE1194,DATE($AD1194,9,1)&lt;=$AF1194),ROUND($AG1194,2),0))</f>
        <v/>
      </c>
      <c r="S1194" s="18">
        <f>IF($Z1194="","",IF(AND(DATE($AD1194,10,1)&gt;=$AE1194,DATE($AD1194,10,1)&lt;=$AF1194),ROUND($AG1194,2),0))</f>
        <v/>
      </c>
      <c r="T1194" s="18">
        <f>IF($Z1194="","",IF(AND(DATE($AD1194,11,1)&gt;=$AE1194,DATE($AD1194,11,1)&lt;=$AF1194),ROUND($AG1194,2),0))</f>
        <v/>
      </c>
      <c r="U1194" s="18">
        <f>IF($Z1194="","",IF(AND(DATE($AD1194,12,1)&gt;=$AE1194,DATE($AD1194,12,1)&lt;=$AF1194),ROUND($AG1194,2),0))</f>
        <v/>
      </c>
      <c r="V1194" s="7">
        <f>IF($Z1194="C","Generated from "&amp;INDEX(Contracts!$A$2:$A$151,$AB1194),IF($Z1194="A","Generated from "&amp;INDEX(Fixed_Assets!$A$2:$A$201,$AB1194),IF($Z1194="F","Generated from "&amp;INDEX(FTE_Allocation!$A$2:$A$201,$AB1194),"")))</f>
        <v/>
      </c>
      <c r="X1194" s="19">
        <f>IF($Z1194="","",SUM(J1194:U1194))</f>
        <v/>
      </c>
      <c r="Y1194" s="20">
        <f>ROW()-1</f>
        <v/>
      </c>
      <c r="Z1194" s="20">
        <f>IF($Y1194&lt;=Settings!$B$4*3,"C",IF($Y1194&lt;=(Settings!$B$4+Settings!$B$5)*3,"A",IF($Y1194&lt;=(Settings!$B$4+Settings!$B$5+Settings!$B$6)*3,"F","")))</f>
        <v/>
      </c>
      <c r="AA1194" s="20">
        <f>IF($Z1194="C",$Y1194,IF($Z1194="A",$Y1194-Settings!$B$4*3,IF($Z1194="F",$Y1194-(Settings!$B$4+Settings!$B$5)*3,"")))</f>
        <v/>
      </c>
      <c r="AB1194" s="20">
        <f>IF($Z1194="","",INT(($AA1194-1)/3)+1)</f>
        <v/>
      </c>
      <c r="AC1194" s="20">
        <f>IF($Z1194="","",MOD($AA1194-1,3)+1)</f>
        <v/>
      </c>
      <c r="AD1194" s="20">
        <f>IF($Z1194="","",Settings!$B$2+$AC1194-1)</f>
        <v/>
      </c>
      <c r="AE1194" s="21">
        <f>IF($Z1194="C",DATE(YEAR(INDEX(Contracts!$J$2:$J$151,$AB1194)),MONTH(INDEX(Contracts!$J$2:$J$151,$AB1194)),1),IF($Z1194="A",DATE(YEAR(INDEX(Fixed_Assets!$G$2:$G$201,$AB1194)),MONTH(INDEX(Fixed_Assets!$G$2:$G$201,$AB1194)),1),IF($Z1194="F",DATE(YEAR(MAX(N(INDEX(Workforce!$I$2:$I$151,MATCH(INDEX(FTE_Allocation!$A$2:$A$201,$AB1194),Workforce!$A$2:$A$151,0))),N(INDEX(FTE_Allocation!$I$2:$I$201,$AB1194)))),MONTH(MAX(N(INDEX(Workforce!$I$2:$I$151,MATCH(INDEX(FTE_Allocation!$A$2:$A$201,$AB1194),Workforce!$A$2:$A$151,0))),N(INDEX(FTE_Allocation!$I$2:$I$201,$AB1194)))),1),"")))</f>
        <v/>
      </c>
      <c r="AF1194" s="21">
        <f>IF($Z1194="C",IF(INDEX(Contracts!$I$2:$I$151,$AB1194)="PREPAID",EDATE(DATE(YEAR(INDEX(Contracts!$J$2:$J$151,$AB1194)),MONTH(INDEX(Contracts!$J$2:$J$151,$AB1194)),1),IF(INDEX(Contracts!$N$2:$N$151,$AB1194)="",12,INDEX(Contracts!$N$2:$N$151,$AB1194))-1),IF(INDEX(Contracts!$I$2:$I$151,$AB1194)="MONTHLY",IF(INDEX(Contracts!$K$2:$K$151,$AB1194)="",2958101,INDEX(Contracts!$K$2:$K$151,$AB1194)),0)),IF($Z1194="A",EDATE(DATE(YEAR(INDEX(Fixed_Assets!$G$2:$G$201,$AB1194)),MONTH(INDEX(Fixed_Assets!$G$2:$G$201,$AB1194)),1),INDEX(Fixed_Assets!$J$2:$J$201,$AB1194)-1),IF($Z1194="F",MIN(IF(INDEX(Workforce!$J$2:$J$151,MATCH(INDEX(FTE_Allocation!$A$2:$A$201,$AB1194),Workforce!$A$2:$A$151,0))="",2958101,INDEX(Workforce!$J$2:$J$151,MATCH(INDEX(FTE_Allocation!$A$2:$A$201,$AB1194),Workforce!$A$2:$A$151,0))),IF(INDEX(FTE_Allocation!$J$2:$J$201,$AB1194)="",2958101,INDEX(FTE_Allocation!$J$2:$J$201,$AB1194))),"")))</f>
        <v/>
      </c>
      <c r="AG1194" s="19">
        <f>IF($Z1194="C",IF(INDEX(Contracts!$I$2:$I$151,$AB1194)="PREPAID",INDEX(Contracts!$M$2:$M$151,$AB1194)/IF(INDEX(Contracts!$N$2:$N$151,$AB1194)="",12,INDEX(Contracts!$N$2:$N$151,$AB1194)),IF(INDEX(Contracts!$I$2:$I$151,$AB1194)="MONTHLY",INDEX(Contracts!$M$2:$M$151,$AB1194),0))*(1-N(INDEX(Contracts!$O$2:$O$151,$AB1194))),IF($Z1194="A",INDEX(Fixed_Assets!$H$2:$H$201,$AB1194)/INDEX(Fixed_Assets!$J$2:$J$201,$AB1194),IF($Z1194="F",INDEX(Workforce!$F$2:$F$151,MATCH(INDEX(FTE_Allocation!$A$2:$A$201,$AB1194),Workforce!$A$2:$A$151,0))*N(INDEX(FTE_Allocation!$F$2:$H$201,$AB1194,$AC1194)),"")))</f>
        <v/>
      </c>
    </row>
    <row r="1195">
      <c r="A1195" s="7">
        <f>IF($Z1195="","",$AD1195)</f>
        <v/>
      </c>
      <c r="B1195" s="7">
        <f>IF($Z1195="C",INDEX(Contracts!$D$2:$D$151,$AB1195)&amp;"",IF($Z1195="A",INDEX(Fixed_Assets!$C$2:$C$201,$AB1195)&amp;"",IF($Z1195="F",INDEX(Workforce!$B$2:$B$151,MATCH(INDEX(FTE_Allocation!$A$2:$A$201,$AB1195),Workforce!$A$2:$A$151,0))&amp;"","")))</f>
        <v/>
      </c>
      <c r="C1195" s="7">
        <f>IF($Z1195="C",INDEX(Contracts!$E$2:$E$151,$AB1195)&amp;"",IF($Z1195="A",INDEX(Fixed_Assets!$D$2:$D$201,$AB1195)&amp;"",IF($Z1195="F",INDEX(FTE_Allocation!$C$2:$C$201,$AB1195)&amp;"","")))</f>
        <v/>
      </c>
      <c r="D1195" s="7">
        <f>IF($Z1195="C",INDEX(Contracts!$B$2:$B$151,$AB1195)&amp;"",IF($Z1195="A",INDEX(Fixed_Assets!$B$2:$B$201,$AB1195)&amp;"",IF($Z1195="F",INDEX(FTE_Allocation!$B$2:$B$201,$AB1195)&amp;"","")))</f>
        <v/>
      </c>
      <c r="E1195" s="7">
        <f>IF($Z1195="C",INDEX(Contracts!$P$2:$P$151,$AB1195)&amp;"",IF($Z1195="A",INDEX(Fixed_Assets!$K$2:$K$201,$AB1195)&amp;"",IF($Z1195="F",IF(INDEX(FTE_Allocation!$D$2:$D$201,$AB1195)="PROJECT",IFERROR(INDEX(Projects!$D:$D,MATCH(INDEX(FTE_Allocation!$E$2:$E$201,$AB1195),Projects!$A:$A,0))&amp;"","#PROJECT?"),INDEX(FTE_Allocation!$E$2:$E$201,$AB1195)&amp;""),"")))</f>
        <v/>
      </c>
      <c r="F1195" s="7">
        <f>IF($Z1195="C",INDEX(Contracts!$Q$2:$Q$151,$AB1195)&amp;"",IF($Z1195="A",INDEX(Fixed_Assets!$L$2:$L$201,$AB1195)&amp;"",IF($Z1195="F",INDEX(Workforce!$K$2:$K$151,MATCH(INDEX(FTE_Allocation!$A$2:$A$201,$AB1195),Workforce!$A$2:$A$151,0))&amp;"","")))</f>
        <v/>
      </c>
      <c r="G1195" s="7">
        <f>IF($Z1195="C",INDEX(Contracts!$F$2:$F$151,$AB1195)&amp;" / "&amp;INDEX(Contracts!$G$2:$G$151,$AB1195),IF($Z1195="A",INDEX(Fixed_Assets!$E$2:$E$201,$AB1195)&amp;"",IF($Z1195="F","Personnel "&amp;INDEX(FTE_Allocation!$A$2:$A$201,$AB1195)&amp;IF(INDEX(FTE_Allocation!$D$2:$D$201,$AB1195)="PROJECT"," ("&amp;INDEX(FTE_Allocation!$E$2:$E$201,$AB1195)&amp;")",""),"")))</f>
        <v/>
      </c>
      <c r="H1195" s="7">
        <f>IF($Z1195="C","CONTRACT",IF($Z1195="A","ASSET",IF($Z1195="F","WORKFORCE","")))</f>
        <v/>
      </c>
      <c r="I1195" s="7">
        <f>IF($Z1195="C",INDEX(Contracts!$L$2:$L$151,$AB1195)&amp;"",IF($Z1195="A",INDEX(Fixed_Assets!$I$2:$I$201,$AB1195)&amp;"",IF($Z1195="F",INDEX(Workforce!$G$2:$G$151,MATCH(INDEX(FTE_Allocation!$A$2:$A$201,$AB1195),Workforce!$A$2:$A$151,0))&amp;"","")))</f>
        <v/>
      </c>
      <c r="J1195" s="18">
        <f>IF($Z1195="","",IF(AND(DATE($AD1195,1,1)&gt;=$AE1195,DATE($AD1195,1,1)&lt;=$AF1195),ROUND($AG1195,2),0))</f>
        <v/>
      </c>
      <c r="K1195" s="18">
        <f>IF($Z1195="","",IF(AND(DATE($AD1195,2,1)&gt;=$AE1195,DATE($AD1195,2,1)&lt;=$AF1195),ROUND($AG1195,2),0))</f>
        <v/>
      </c>
      <c r="L1195" s="18">
        <f>IF($Z1195="","",IF(AND(DATE($AD1195,3,1)&gt;=$AE1195,DATE($AD1195,3,1)&lt;=$AF1195),ROUND($AG1195,2),0))</f>
        <v/>
      </c>
      <c r="M1195" s="18">
        <f>IF($Z1195="","",IF(AND(DATE($AD1195,4,1)&gt;=$AE1195,DATE($AD1195,4,1)&lt;=$AF1195),ROUND($AG1195,2),0))</f>
        <v/>
      </c>
      <c r="N1195" s="18">
        <f>IF($Z1195="","",IF(AND(DATE($AD1195,5,1)&gt;=$AE1195,DATE($AD1195,5,1)&lt;=$AF1195),ROUND($AG1195,2),0))</f>
        <v/>
      </c>
      <c r="O1195" s="18">
        <f>IF($Z1195="","",IF(AND(DATE($AD1195,6,1)&gt;=$AE1195,DATE($AD1195,6,1)&lt;=$AF1195),ROUND($AG1195,2),0))</f>
        <v/>
      </c>
      <c r="P1195" s="18">
        <f>IF($Z1195="","",IF(AND(DATE($AD1195,7,1)&gt;=$AE1195,DATE($AD1195,7,1)&lt;=$AF1195),ROUND($AG1195,2),0))</f>
        <v/>
      </c>
      <c r="Q1195" s="18">
        <f>IF($Z1195="","",IF(AND(DATE($AD1195,8,1)&gt;=$AE1195,DATE($AD1195,8,1)&lt;=$AF1195),ROUND($AG1195,2),0))</f>
        <v/>
      </c>
      <c r="R1195" s="18">
        <f>IF($Z1195="","",IF(AND(DATE($AD1195,9,1)&gt;=$AE1195,DATE($AD1195,9,1)&lt;=$AF1195),ROUND($AG1195,2),0))</f>
        <v/>
      </c>
      <c r="S1195" s="18">
        <f>IF($Z1195="","",IF(AND(DATE($AD1195,10,1)&gt;=$AE1195,DATE($AD1195,10,1)&lt;=$AF1195),ROUND($AG1195,2),0))</f>
        <v/>
      </c>
      <c r="T1195" s="18">
        <f>IF($Z1195="","",IF(AND(DATE($AD1195,11,1)&gt;=$AE1195,DATE($AD1195,11,1)&lt;=$AF1195),ROUND($AG1195,2),0))</f>
        <v/>
      </c>
      <c r="U1195" s="18">
        <f>IF($Z1195="","",IF(AND(DATE($AD1195,12,1)&gt;=$AE1195,DATE($AD1195,12,1)&lt;=$AF1195),ROUND($AG1195,2),0))</f>
        <v/>
      </c>
      <c r="V1195" s="7">
        <f>IF($Z1195="C","Generated from "&amp;INDEX(Contracts!$A$2:$A$151,$AB1195),IF($Z1195="A","Generated from "&amp;INDEX(Fixed_Assets!$A$2:$A$201,$AB1195),IF($Z1195="F","Generated from "&amp;INDEX(FTE_Allocation!$A$2:$A$201,$AB1195),"")))</f>
        <v/>
      </c>
      <c r="X1195" s="19">
        <f>IF($Z1195="","",SUM(J1195:U1195))</f>
        <v/>
      </c>
      <c r="Y1195" s="20">
        <f>ROW()-1</f>
        <v/>
      </c>
      <c r="Z1195" s="20">
        <f>IF($Y1195&lt;=Settings!$B$4*3,"C",IF($Y1195&lt;=(Settings!$B$4+Settings!$B$5)*3,"A",IF($Y1195&lt;=(Settings!$B$4+Settings!$B$5+Settings!$B$6)*3,"F","")))</f>
        <v/>
      </c>
      <c r="AA1195" s="20">
        <f>IF($Z1195="C",$Y1195,IF($Z1195="A",$Y1195-Settings!$B$4*3,IF($Z1195="F",$Y1195-(Settings!$B$4+Settings!$B$5)*3,"")))</f>
        <v/>
      </c>
      <c r="AB1195" s="20">
        <f>IF($Z1195="","",INT(($AA1195-1)/3)+1)</f>
        <v/>
      </c>
      <c r="AC1195" s="20">
        <f>IF($Z1195="","",MOD($AA1195-1,3)+1)</f>
        <v/>
      </c>
      <c r="AD1195" s="20">
        <f>IF($Z1195="","",Settings!$B$2+$AC1195-1)</f>
        <v/>
      </c>
      <c r="AE1195" s="21">
        <f>IF($Z1195="C",DATE(YEAR(INDEX(Contracts!$J$2:$J$151,$AB1195)),MONTH(INDEX(Contracts!$J$2:$J$151,$AB1195)),1),IF($Z1195="A",DATE(YEAR(INDEX(Fixed_Assets!$G$2:$G$201,$AB1195)),MONTH(INDEX(Fixed_Assets!$G$2:$G$201,$AB1195)),1),IF($Z1195="F",DATE(YEAR(MAX(N(INDEX(Workforce!$I$2:$I$151,MATCH(INDEX(FTE_Allocation!$A$2:$A$201,$AB1195),Workforce!$A$2:$A$151,0))),N(INDEX(FTE_Allocation!$I$2:$I$201,$AB1195)))),MONTH(MAX(N(INDEX(Workforce!$I$2:$I$151,MATCH(INDEX(FTE_Allocation!$A$2:$A$201,$AB1195),Workforce!$A$2:$A$151,0))),N(INDEX(FTE_Allocation!$I$2:$I$201,$AB1195)))),1),"")))</f>
        <v/>
      </c>
      <c r="AF1195" s="21">
        <f>IF($Z1195="C",IF(INDEX(Contracts!$I$2:$I$151,$AB1195)="PREPAID",EDATE(DATE(YEAR(INDEX(Contracts!$J$2:$J$151,$AB1195)),MONTH(INDEX(Contracts!$J$2:$J$151,$AB1195)),1),IF(INDEX(Contracts!$N$2:$N$151,$AB1195)="",12,INDEX(Contracts!$N$2:$N$151,$AB1195))-1),IF(INDEX(Contracts!$I$2:$I$151,$AB1195)="MONTHLY",IF(INDEX(Contracts!$K$2:$K$151,$AB1195)="",2958101,INDEX(Contracts!$K$2:$K$151,$AB1195)),0)),IF($Z1195="A",EDATE(DATE(YEAR(INDEX(Fixed_Assets!$G$2:$G$201,$AB1195)),MONTH(INDEX(Fixed_Assets!$G$2:$G$201,$AB1195)),1),INDEX(Fixed_Assets!$J$2:$J$201,$AB1195)-1),IF($Z1195="F",MIN(IF(INDEX(Workforce!$J$2:$J$151,MATCH(INDEX(FTE_Allocation!$A$2:$A$201,$AB1195),Workforce!$A$2:$A$151,0))="",2958101,INDEX(Workforce!$J$2:$J$151,MATCH(INDEX(FTE_Allocation!$A$2:$A$201,$AB1195),Workforce!$A$2:$A$151,0))),IF(INDEX(FTE_Allocation!$J$2:$J$201,$AB1195)="",2958101,INDEX(FTE_Allocation!$J$2:$J$201,$AB1195))),"")))</f>
        <v/>
      </c>
      <c r="AG1195" s="19">
        <f>IF($Z1195="C",IF(INDEX(Contracts!$I$2:$I$151,$AB1195)="PREPAID",INDEX(Contracts!$M$2:$M$151,$AB1195)/IF(INDEX(Contracts!$N$2:$N$151,$AB1195)="",12,INDEX(Contracts!$N$2:$N$151,$AB1195)),IF(INDEX(Contracts!$I$2:$I$151,$AB1195)="MONTHLY",INDEX(Contracts!$M$2:$M$151,$AB1195),0))*(1-N(INDEX(Contracts!$O$2:$O$151,$AB1195))),IF($Z1195="A",INDEX(Fixed_Assets!$H$2:$H$201,$AB1195)/INDEX(Fixed_Assets!$J$2:$J$201,$AB1195),IF($Z1195="F",INDEX(Workforce!$F$2:$F$151,MATCH(INDEX(FTE_Allocation!$A$2:$A$201,$AB1195),Workforce!$A$2:$A$151,0))*N(INDEX(FTE_Allocation!$F$2:$H$201,$AB1195,$AC1195)),"")))</f>
        <v/>
      </c>
    </row>
    <row r="1196">
      <c r="A1196" s="7">
        <f>IF($Z1196="","",$AD1196)</f>
        <v/>
      </c>
      <c r="B1196" s="7">
        <f>IF($Z1196="C",INDEX(Contracts!$D$2:$D$151,$AB1196)&amp;"",IF($Z1196="A",INDEX(Fixed_Assets!$C$2:$C$201,$AB1196)&amp;"",IF($Z1196="F",INDEX(Workforce!$B$2:$B$151,MATCH(INDEX(FTE_Allocation!$A$2:$A$201,$AB1196),Workforce!$A$2:$A$151,0))&amp;"","")))</f>
        <v/>
      </c>
      <c r="C1196" s="7">
        <f>IF($Z1196="C",INDEX(Contracts!$E$2:$E$151,$AB1196)&amp;"",IF($Z1196="A",INDEX(Fixed_Assets!$D$2:$D$201,$AB1196)&amp;"",IF($Z1196="F",INDEX(FTE_Allocation!$C$2:$C$201,$AB1196)&amp;"","")))</f>
        <v/>
      </c>
      <c r="D1196" s="7">
        <f>IF($Z1196="C",INDEX(Contracts!$B$2:$B$151,$AB1196)&amp;"",IF($Z1196="A",INDEX(Fixed_Assets!$B$2:$B$201,$AB1196)&amp;"",IF($Z1196="F",INDEX(FTE_Allocation!$B$2:$B$201,$AB1196)&amp;"","")))</f>
        <v/>
      </c>
      <c r="E1196" s="7">
        <f>IF($Z1196="C",INDEX(Contracts!$P$2:$P$151,$AB1196)&amp;"",IF($Z1196="A",INDEX(Fixed_Assets!$K$2:$K$201,$AB1196)&amp;"",IF($Z1196="F",IF(INDEX(FTE_Allocation!$D$2:$D$201,$AB1196)="PROJECT",IFERROR(INDEX(Projects!$D:$D,MATCH(INDEX(FTE_Allocation!$E$2:$E$201,$AB1196),Projects!$A:$A,0))&amp;"","#PROJECT?"),INDEX(FTE_Allocation!$E$2:$E$201,$AB1196)&amp;""),"")))</f>
        <v/>
      </c>
      <c r="F1196" s="7">
        <f>IF($Z1196="C",INDEX(Contracts!$Q$2:$Q$151,$AB1196)&amp;"",IF($Z1196="A",INDEX(Fixed_Assets!$L$2:$L$201,$AB1196)&amp;"",IF($Z1196="F",INDEX(Workforce!$K$2:$K$151,MATCH(INDEX(FTE_Allocation!$A$2:$A$201,$AB1196),Workforce!$A$2:$A$151,0))&amp;"","")))</f>
        <v/>
      </c>
      <c r="G1196" s="7">
        <f>IF($Z1196="C",INDEX(Contracts!$F$2:$F$151,$AB1196)&amp;" / "&amp;INDEX(Contracts!$G$2:$G$151,$AB1196),IF($Z1196="A",INDEX(Fixed_Assets!$E$2:$E$201,$AB1196)&amp;"",IF($Z1196="F","Personnel "&amp;INDEX(FTE_Allocation!$A$2:$A$201,$AB1196)&amp;IF(INDEX(FTE_Allocation!$D$2:$D$201,$AB1196)="PROJECT"," ("&amp;INDEX(FTE_Allocation!$E$2:$E$201,$AB1196)&amp;")",""),"")))</f>
        <v/>
      </c>
      <c r="H1196" s="7">
        <f>IF($Z1196="C","CONTRACT",IF($Z1196="A","ASSET",IF($Z1196="F","WORKFORCE","")))</f>
        <v/>
      </c>
      <c r="I1196" s="7">
        <f>IF($Z1196="C",INDEX(Contracts!$L$2:$L$151,$AB1196)&amp;"",IF($Z1196="A",INDEX(Fixed_Assets!$I$2:$I$201,$AB1196)&amp;"",IF($Z1196="F",INDEX(Workforce!$G$2:$G$151,MATCH(INDEX(FTE_Allocation!$A$2:$A$201,$AB1196),Workforce!$A$2:$A$151,0))&amp;"","")))</f>
        <v/>
      </c>
      <c r="J1196" s="18">
        <f>IF($Z1196="","",IF(AND(DATE($AD1196,1,1)&gt;=$AE1196,DATE($AD1196,1,1)&lt;=$AF1196),ROUND($AG1196,2),0))</f>
        <v/>
      </c>
      <c r="K1196" s="18">
        <f>IF($Z1196="","",IF(AND(DATE($AD1196,2,1)&gt;=$AE1196,DATE($AD1196,2,1)&lt;=$AF1196),ROUND($AG1196,2),0))</f>
        <v/>
      </c>
      <c r="L1196" s="18">
        <f>IF($Z1196="","",IF(AND(DATE($AD1196,3,1)&gt;=$AE1196,DATE($AD1196,3,1)&lt;=$AF1196),ROUND($AG1196,2),0))</f>
        <v/>
      </c>
      <c r="M1196" s="18">
        <f>IF($Z1196="","",IF(AND(DATE($AD1196,4,1)&gt;=$AE1196,DATE($AD1196,4,1)&lt;=$AF1196),ROUND($AG1196,2),0))</f>
        <v/>
      </c>
      <c r="N1196" s="18">
        <f>IF($Z1196="","",IF(AND(DATE($AD1196,5,1)&gt;=$AE1196,DATE($AD1196,5,1)&lt;=$AF1196),ROUND($AG1196,2),0))</f>
        <v/>
      </c>
      <c r="O1196" s="18">
        <f>IF($Z1196="","",IF(AND(DATE($AD1196,6,1)&gt;=$AE1196,DATE($AD1196,6,1)&lt;=$AF1196),ROUND($AG1196,2),0))</f>
        <v/>
      </c>
      <c r="P1196" s="18">
        <f>IF($Z1196="","",IF(AND(DATE($AD1196,7,1)&gt;=$AE1196,DATE($AD1196,7,1)&lt;=$AF1196),ROUND($AG1196,2),0))</f>
        <v/>
      </c>
      <c r="Q1196" s="18">
        <f>IF($Z1196="","",IF(AND(DATE($AD1196,8,1)&gt;=$AE1196,DATE($AD1196,8,1)&lt;=$AF1196),ROUND($AG1196,2),0))</f>
        <v/>
      </c>
      <c r="R1196" s="18">
        <f>IF($Z1196="","",IF(AND(DATE($AD1196,9,1)&gt;=$AE1196,DATE($AD1196,9,1)&lt;=$AF1196),ROUND($AG1196,2),0))</f>
        <v/>
      </c>
      <c r="S1196" s="18">
        <f>IF($Z1196="","",IF(AND(DATE($AD1196,10,1)&gt;=$AE1196,DATE($AD1196,10,1)&lt;=$AF1196),ROUND($AG1196,2),0))</f>
        <v/>
      </c>
      <c r="T1196" s="18">
        <f>IF($Z1196="","",IF(AND(DATE($AD1196,11,1)&gt;=$AE1196,DATE($AD1196,11,1)&lt;=$AF1196),ROUND($AG1196,2),0))</f>
        <v/>
      </c>
      <c r="U1196" s="18">
        <f>IF($Z1196="","",IF(AND(DATE($AD1196,12,1)&gt;=$AE1196,DATE($AD1196,12,1)&lt;=$AF1196),ROUND($AG1196,2),0))</f>
        <v/>
      </c>
      <c r="V1196" s="7">
        <f>IF($Z1196="C","Generated from "&amp;INDEX(Contracts!$A$2:$A$151,$AB1196),IF($Z1196="A","Generated from "&amp;INDEX(Fixed_Assets!$A$2:$A$201,$AB1196),IF($Z1196="F","Generated from "&amp;INDEX(FTE_Allocation!$A$2:$A$201,$AB1196),"")))</f>
        <v/>
      </c>
      <c r="X1196" s="19">
        <f>IF($Z1196="","",SUM(J1196:U1196))</f>
        <v/>
      </c>
      <c r="Y1196" s="20">
        <f>ROW()-1</f>
        <v/>
      </c>
      <c r="Z1196" s="20">
        <f>IF($Y1196&lt;=Settings!$B$4*3,"C",IF($Y1196&lt;=(Settings!$B$4+Settings!$B$5)*3,"A",IF($Y1196&lt;=(Settings!$B$4+Settings!$B$5+Settings!$B$6)*3,"F","")))</f>
        <v/>
      </c>
      <c r="AA1196" s="20">
        <f>IF($Z1196="C",$Y1196,IF($Z1196="A",$Y1196-Settings!$B$4*3,IF($Z1196="F",$Y1196-(Settings!$B$4+Settings!$B$5)*3,"")))</f>
        <v/>
      </c>
      <c r="AB1196" s="20">
        <f>IF($Z1196="","",INT(($AA1196-1)/3)+1)</f>
        <v/>
      </c>
      <c r="AC1196" s="20">
        <f>IF($Z1196="","",MOD($AA1196-1,3)+1)</f>
        <v/>
      </c>
      <c r="AD1196" s="20">
        <f>IF($Z1196="","",Settings!$B$2+$AC1196-1)</f>
        <v/>
      </c>
      <c r="AE1196" s="21">
        <f>IF($Z1196="C",DATE(YEAR(INDEX(Contracts!$J$2:$J$151,$AB1196)),MONTH(INDEX(Contracts!$J$2:$J$151,$AB1196)),1),IF($Z1196="A",DATE(YEAR(INDEX(Fixed_Assets!$G$2:$G$201,$AB1196)),MONTH(INDEX(Fixed_Assets!$G$2:$G$201,$AB1196)),1),IF($Z1196="F",DATE(YEAR(MAX(N(INDEX(Workforce!$I$2:$I$151,MATCH(INDEX(FTE_Allocation!$A$2:$A$201,$AB1196),Workforce!$A$2:$A$151,0))),N(INDEX(FTE_Allocation!$I$2:$I$201,$AB1196)))),MONTH(MAX(N(INDEX(Workforce!$I$2:$I$151,MATCH(INDEX(FTE_Allocation!$A$2:$A$201,$AB1196),Workforce!$A$2:$A$151,0))),N(INDEX(FTE_Allocation!$I$2:$I$201,$AB1196)))),1),"")))</f>
        <v/>
      </c>
      <c r="AF1196" s="21">
        <f>IF($Z1196="C",IF(INDEX(Contracts!$I$2:$I$151,$AB1196)="PREPAID",EDATE(DATE(YEAR(INDEX(Contracts!$J$2:$J$151,$AB1196)),MONTH(INDEX(Contracts!$J$2:$J$151,$AB1196)),1),IF(INDEX(Contracts!$N$2:$N$151,$AB1196)="",12,INDEX(Contracts!$N$2:$N$151,$AB1196))-1),IF(INDEX(Contracts!$I$2:$I$151,$AB1196)="MONTHLY",IF(INDEX(Contracts!$K$2:$K$151,$AB1196)="",2958101,INDEX(Contracts!$K$2:$K$151,$AB1196)),0)),IF($Z1196="A",EDATE(DATE(YEAR(INDEX(Fixed_Assets!$G$2:$G$201,$AB1196)),MONTH(INDEX(Fixed_Assets!$G$2:$G$201,$AB1196)),1),INDEX(Fixed_Assets!$J$2:$J$201,$AB1196)-1),IF($Z1196="F",MIN(IF(INDEX(Workforce!$J$2:$J$151,MATCH(INDEX(FTE_Allocation!$A$2:$A$201,$AB1196),Workforce!$A$2:$A$151,0))="",2958101,INDEX(Workforce!$J$2:$J$151,MATCH(INDEX(FTE_Allocation!$A$2:$A$201,$AB1196),Workforce!$A$2:$A$151,0))),IF(INDEX(FTE_Allocation!$J$2:$J$201,$AB1196)="",2958101,INDEX(FTE_Allocation!$J$2:$J$201,$AB1196))),"")))</f>
        <v/>
      </c>
      <c r="AG1196" s="19">
        <f>IF($Z1196="C",IF(INDEX(Contracts!$I$2:$I$151,$AB1196)="PREPAID",INDEX(Contracts!$M$2:$M$151,$AB1196)/IF(INDEX(Contracts!$N$2:$N$151,$AB1196)="",12,INDEX(Contracts!$N$2:$N$151,$AB1196)),IF(INDEX(Contracts!$I$2:$I$151,$AB1196)="MONTHLY",INDEX(Contracts!$M$2:$M$151,$AB1196),0))*(1-N(INDEX(Contracts!$O$2:$O$151,$AB1196))),IF($Z1196="A",INDEX(Fixed_Assets!$H$2:$H$201,$AB1196)/INDEX(Fixed_Assets!$J$2:$J$201,$AB1196),IF($Z1196="F",INDEX(Workforce!$F$2:$F$151,MATCH(INDEX(FTE_Allocation!$A$2:$A$201,$AB1196),Workforce!$A$2:$A$151,0))*N(INDEX(FTE_Allocation!$F$2:$H$201,$AB1196,$AC1196)),"")))</f>
        <v/>
      </c>
    </row>
    <row r="1197">
      <c r="A1197" s="7">
        <f>IF($Z1197="","",$AD1197)</f>
        <v/>
      </c>
      <c r="B1197" s="7">
        <f>IF($Z1197="C",INDEX(Contracts!$D$2:$D$151,$AB1197)&amp;"",IF($Z1197="A",INDEX(Fixed_Assets!$C$2:$C$201,$AB1197)&amp;"",IF($Z1197="F",INDEX(Workforce!$B$2:$B$151,MATCH(INDEX(FTE_Allocation!$A$2:$A$201,$AB1197),Workforce!$A$2:$A$151,0))&amp;"","")))</f>
        <v/>
      </c>
      <c r="C1197" s="7">
        <f>IF($Z1197="C",INDEX(Contracts!$E$2:$E$151,$AB1197)&amp;"",IF($Z1197="A",INDEX(Fixed_Assets!$D$2:$D$201,$AB1197)&amp;"",IF($Z1197="F",INDEX(FTE_Allocation!$C$2:$C$201,$AB1197)&amp;"","")))</f>
        <v/>
      </c>
      <c r="D1197" s="7">
        <f>IF($Z1197="C",INDEX(Contracts!$B$2:$B$151,$AB1197)&amp;"",IF($Z1197="A",INDEX(Fixed_Assets!$B$2:$B$201,$AB1197)&amp;"",IF($Z1197="F",INDEX(FTE_Allocation!$B$2:$B$201,$AB1197)&amp;"","")))</f>
        <v/>
      </c>
      <c r="E1197" s="7">
        <f>IF($Z1197="C",INDEX(Contracts!$P$2:$P$151,$AB1197)&amp;"",IF($Z1197="A",INDEX(Fixed_Assets!$K$2:$K$201,$AB1197)&amp;"",IF($Z1197="F",IF(INDEX(FTE_Allocation!$D$2:$D$201,$AB1197)="PROJECT",IFERROR(INDEX(Projects!$D:$D,MATCH(INDEX(FTE_Allocation!$E$2:$E$201,$AB1197),Projects!$A:$A,0))&amp;"","#PROJECT?"),INDEX(FTE_Allocation!$E$2:$E$201,$AB1197)&amp;""),"")))</f>
        <v/>
      </c>
      <c r="F1197" s="7">
        <f>IF($Z1197="C",INDEX(Contracts!$Q$2:$Q$151,$AB1197)&amp;"",IF($Z1197="A",INDEX(Fixed_Assets!$L$2:$L$201,$AB1197)&amp;"",IF($Z1197="F",INDEX(Workforce!$K$2:$K$151,MATCH(INDEX(FTE_Allocation!$A$2:$A$201,$AB1197),Workforce!$A$2:$A$151,0))&amp;"","")))</f>
        <v/>
      </c>
      <c r="G1197" s="7">
        <f>IF($Z1197="C",INDEX(Contracts!$F$2:$F$151,$AB1197)&amp;" / "&amp;INDEX(Contracts!$G$2:$G$151,$AB1197),IF($Z1197="A",INDEX(Fixed_Assets!$E$2:$E$201,$AB1197)&amp;"",IF($Z1197="F","Personnel "&amp;INDEX(FTE_Allocation!$A$2:$A$201,$AB1197)&amp;IF(INDEX(FTE_Allocation!$D$2:$D$201,$AB1197)="PROJECT"," ("&amp;INDEX(FTE_Allocation!$E$2:$E$201,$AB1197)&amp;")",""),"")))</f>
        <v/>
      </c>
      <c r="H1197" s="7">
        <f>IF($Z1197="C","CONTRACT",IF($Z1197="A","ASSET",IF($Z1197="F","WORKFORCE","")))</f>
        <v/>
      </c>
      <c r="I1197" s="7">
        <f>IF($Z1197="C",INDEX(Contracts!$L$2:$L$151,$AB1197)&amp;"",IF($Z1197="A",INDEX(Fixed_Assets!$I$2:$I$201,$AB1197)&amp;"",IF($Z1197="F",INDEX(Workforce!$G$2:$G$151,MATCH(INDEX(FTE_Allocation!$A$2:$A$201,$AB1197),Workforce!$A$2:$A$151,0))&amp;"","")))</f>
        <v/>
      </c>
      <c r="J1197" s="18">
        <f>IF($Z1197="","",IF(AND(DATE($AD1197,1,1)&gt;=$AE1197,DATE($AD1197,1,1)&lt;=$AF1197),ROUND($AG1197,2),0))</f>
        <v/>
      </c>
      <c r="K1197" s="18">
        <f>IF($Z1197="","",IF(AND(DATE($AD1197,2,1)&gt;=$AE1197,DATE($AD1197,2,1)&lt;=$AF1197),ROUND($AG1197,2),0))</f>
        <v/>
      </c>
      <c r="L1197" s="18">
        <f>IF($Z1197="","",IF(AND(DATE($AD1197,3,1)&gt;=$AE1197,DATE($AD1197,3,1)&lt;=$AF1197),ROUND($AG1197,2),0))</f>
        <v/>
      </c>
      <c r="M1197" s="18">
        <f>IF($Z1197="","",IF(AND(DATE($AD1197,4,1)&gt;=$AE1197,DATE($AD1197,4,1)&lt;=$AF1197),ROUND($AG1197,2),0))</f>
        <v/>
      </c>
      <c r="N1197" s="18">
        <f>IF($Z1197="","",IF(AND(DATE($AD1197,5,1)&gt;=$AE1197,DATE($AD1197,5,1)&lt;=$AF1197),ROUND($AG1197,2),0))</f>
        <v/>
      </c>
      <c r="O1197" s="18">
        <f>IF($Z1197="","",IF(AND(DATE($AD1197,6,1)&gt;=$AE1197,DATE($AD1197,6,1)&lt;=$AF1197),ROUND($AG1197,2),0))</f>
        <v/>
      </c>
      <c r="P1197" s="18">
        <f>IF($Z1197="","",IF(AND(DATE($AD1197,7,1)&gt;=$AE1197,DATE($AD1197,7,1)&lt;=$AF1197),ROUND($AG1197,2),0))</f>
        <v/>
      </c>
      <c r="Q1197" s="18">
        <f>IF($Z1197="","",IF(AND(DATE($AD1197,8,1)&gt;=$AE1197,DATE($AD1197,8,1)&lt;=$AF1197),ROUND($AG1197,2),0))</f>
        <v/>
      </c>
      <c r="R1197" s="18">
        <f>IF($Z1197="","",IF(AND(DATE($AD1197,9,1)&gt;=$AE1197,DATE($AD1197,9,1)&lt;=$AF1197),ROUND($AG1197,2),0))</f>
        <v/>
      </c>
      <c r="S1197" s="18">
        <f>IF($Z1197="","",IF(AND(DATE($AD1197,10,1)&gt;=$AE1197,DATE($AD1197,10,1)&lt;=$AF1197),ROUND($AG1197,2),0))</f>
        <v/>
      </c>
      <c r="T1197" s="18">
        <f>IF($Z1197="","",IF(AND(DATE($AD1197,11,1)&gt;=$AE1197,DATE($AD1197,11,1)&lt;=$AF1197),ROUND($AG1197,2),0))</f>
        <v/>
      </c>
      <c r="U1197" s="18">
        <f>IF($Z1197="","",IF(AND(DATE($AD1197,12,1)&gt;=$AE1197,DATE($AD1197,12,1)&lt;=$AF1197),ROUND($AG1197,2),0))</f>
        <v/>
      </c>
      <c r="V1197" s="7">
        <f>IF($Z1197="C","Generated from "&amp;INDEX(Contracts!$A$2:$A$151,$AB1197),IF($Z1197="A","Generated from "&amp;INDEX(Fixed_Assets!$A$2:$A$201,$AB1197),IF($Z1197="F","Generated from "&amp;INDEX(FTE_Allocation!$A$2:$A$201,$AB1197),"")))</f>
        <v/>
      </c>
      <c r="X1197" s="19">
        <f>IF($Z1197="","",SUM(J1197:U1197))</f>
        <v/>
      </c>
      <c r="Y1197" s="20">
        <f>ROW()-1</f>
        <v/>
      </c>
      <c r="Z1197" s="20">
        <f>IF($Y1197&lt;=Settings!$B$4*3,"C",IF($Y1197&lt;=(Settings!$B$4+Settings!$B$5)*3,"A",IF($Y1197&lt;=(Settings!$B$4+Settings!$B$5+Settings!$B$6)*3,"F","")))</f>
        <v/>
      </c>
      <c r="AA1197" s="20">
        <f>IF($Z1197="C",$Y1197,IF($Z1197="A",$Y1197-Settings!$B$4*3,IF($Z1197="F",$Y1197-(Settings!$B$4+Settings!$B$5)*3,"")))</f>
        <v/>
      </c>
      <c r="AB1197" s="20">
        <f>IF($Z1197="","",INT(($AA1197-1)/3)+1)</f>
        <v/>
      </c>
      <c r="AC1197" s="20">
        <f>IF($Z1197="","",MOD($AA1197-1,3)+1)</f>
        <v/>
      </c>
      <c r="AD1197" s="20">
        <f>IF($Z1197="","",Settings!$B$2+$AC1197-1)</f>
        <v/>
      </c>
      <c r="AE1197" s="21">
        <f>IF($Z1197="C",DATE(YEAR(INDEX(Contracts!$J$2:$J$151,$AB1197)),MONTH(INDEX(Contracts!$J$2:$J$151,$AB1197)),1),IF($Z1197="A",DATE(YEAR(INDEX(Fixed_Assets!$G$2:$G$201,$AB1197)),MONTH(INDEX(Fixed_Assets!$G$2:$G$201,$AB1197)),1),IF($Z1197="F",DATE(YEAR(MAX(N(INDEX(Workforce!$I$2:$I$151,MATCH(INDEX(FTE_Allocation!$A$2:$A$201,$AB1197),Workforce!$A$2:$A$151,0))),N(INDEX(FTE_Allocation!$I$2:$I$201,$AB1197)))),MONTH(MAX(N(INDEX(Workforce!$I$2:$I$151,MATCH(INDEX(FTE_Allocation!$A$2:$A$201,$AB1197),Workforce!$A$2:$A$151,0))),N(INDEX(FTE_Allocation!$I$2:$I$201,$AB1197)))),1),"")))</f>
        <v/>
      </c>
      <c r="AF1197" s="21">
        <f>IF($Z1197="C",IF(INDEX(Contracts!$I$2:$I$151,$AB1197)="PREPAID",EDATE(DATE(YEAR(INDEX(Contracts!$J$2:$J$151,$AB1197)),MONTH(INDEX(Contracts!$J$2:$J$151,$AB1197)),1),IF(INDEX(Contracts!$N$2:$N$151,$AB1197)="",12,INDEX(Contracts!$N$2:$N$151,$AB1197))-1),IF(INDEX(Contracts!$I$2:$I$151,$AB1197)="MONTHLY",IF(INDEX(Contracts!$K$2:$K$151,$AB1197)="",2958101,INDEX(Contracts!$K$2:$K$151,$AB1197)),0)),IF($Z1197="A",EDATE(DATE(YEAR(INDEX(Fixed_Assets!$G$2:$G$201,$AB1197)),MONTH(INDEX(Fixed_Assets!$G$2:$G$201,$AB1197)),1),INDEX(Fixed_Assets!$J$2:$J$201,$AB1197)-1),IF($Z1197="F",MIN(IF(INDEX(Workforce!$J$2:$J$151,MATCH(INDEX(FTE_Allocation!$A$2:$A$201,$AB1197),Workforce!$A$2:$A$151,0))="",2958101,INDEX(Workforce!$J$2:$J$151,MATCH(INDEX(FTE_Allocation!$A$2:$A$201,$AB1197),Workforce!$A$2:$A$151,0))),IF(INDEX(FTE_Allocation!$J$2:$J$201,$AB1197)="",2958101,INDEX(FTE_Allocation!$J$2:$J$201,$AB1197))),"")))</f>
        <v/>
      </c>
      <c r="AG1197" s="19">
        <f>IF($Z1197="C",IF(INDEX(Contracts!$I$2:$I$151,$AB1197)="PREPAID",INDEX(Contracts!$M$2:$M$151,$AB1197)/IF(INDEX(Contracts!$N$2:$N$151,$AB1197)="",12,INDEX(Contracts!$N$2:$N$151,$AB1197)),IF(INDEX(Contracts!$I$2:$I$151,$AB1197)="MONTHLY",INDEX(Contracts!$M$2:$M$151,$AB1197),0))*(1-N(INDEX(Contracts!$O$2:$O$151,$AB1197))),IF($Z1197="A",INDEX(Fixed_Assets!$H$2:$H$201,$AB1197)/INDEX(Fixed_Assets!$J$2:$J$201,$AB1197),IF($Z1197="F",INDEX(Workforce!$F$2:$F$151,MATCH(INDEX(FTE_Allocation!$A$2:$A$201,$AB1197),Workforce!$A$2:$A$151,0))*N(INDEX(FTE_Allocation!$F$2:$H$201,$AB1197,$AC1197)),"")))</f>
        <v/>
      </c>
    </row>
    <row r="1198">
      <c r="A1198" s="7">
        <f>IF($Z1198="","",$AD1198)</f>
        <v/>
      </c>
      <c r="B1198" s="7">
        <f>IF($Z1198="C",INDEX(Contracts!$D$2:$D$151,$AB1198)&amp;"",IF($Z1198="A",INDEX(Fixed_Assets!$C$2:$C$201,$AB1198)&amp;"",IF($Z1198="F",INDEX(Workforce!$B$2:$B$151,MATCH(INDEX(FTE_Allocation!$A$2:$A$201,$AB1198),Workforce!$A$2:$A$151,0))&amp;"","")))</f>
        <v/>
      </c>
      <c r="C1198" s="7">
        <f>IF($Z1198="C",INDEX(Contracts!$E$2:$E$151,$AB1198)&amp;"",IF($Z1198="A",INDEX(Fixed_Assets!$D$2:$D$201,$AB1198)&amp;"",IF($Z1198="F",INDEX(FTE_Allocation!$C$2:$C$201,$AB1198)&amp;"","")))</f>
        <v/>
      </c>
      <c r="D1198" s="7">
        <f>IF($Z1198="C",INDEX(Contracts!$B$2:$B$151,$AB1198)&amp;"",IF($Z1198="A",INDEX(Fixed_Assets!$B$2:$B$201,$AB1198)&amp;"",IF($Z1198="F",INDEX(FTE_Allocation!$B$2:$B$201,$AB1198)&amp;"","")))</f>
        <v/>
      </c>
      <c r="E1198" s="7">
        <f>IF($Z1198="C",INDEX(Contracts!$P$2:$P$151,$AB1198)&amp;"",IF($Z1198="A",INDEX(Fixed_Assets!$K$2:$K$201,$AB1198)&amp;"",IF($Z1198="F",IF(INDEX(FTE_Allocation!$D$2:$D$201,$AB1198)="PROJECT",IFERROR(INDEX(Projects!$D:$D,MATCH(INDEX(FTE_Allocation!$E$2:$E$201,$AB1198),Projects!$A:$A,0))&amp;"","#PROJECT?"),INDEX(FTE_Allocation!$E$2:$E$201,$AB1198)&amp;""),"")))</f>
        <v/>
      </c>
      <c r="F1198" s="7">
        <f>IF($Z1198="C",INDEX(Contracts!$Q$2:$Q$151,$AB1198)&amp;"",IF($Z1198="A",INDEX(Fixed_Assets!$L$2:$L$201,$AB1198)&amp;"",IF($Z1198="F",INDEX(Workforce!$K$2:$K$151,MATCH(INDEX(FTE_Allocation!$A$2:$A$201,$AB1198),Workforce!$A$2:$A$151,0))&amp;"","")))</f>
        <v/>
      </c>
      <c r="G1198" s="7">
        <f>IF($Z1198="C",INDEX(Contracts!$F$2:$F$151,$AB1198)&amp;" / "&amp;INDEX(Contracts!$G$2:$G$151,$AB1198),IF($Z1198="A",INDEX(Fixed_Assets!$E$2:$E$201,$AB1198)&amp;"",IF($Z1198="F","Personnel "&amp;INDEX(FTE_Allocation!$A$2:$A$201,$AB1198)&amp;IF(INDEX(FTE_Allocation!$D$2:$D$201,$AB1198)="PROJECT"," ("&amp;INDEX(FTE_Allocation!$E$2:$E$201,$AB1198)&amp;")",""),"")))</f>
        <v/>
      </c>
      <c r="H1198" s="7">
        <f>IF($Z1198="C","CONTRACT",IF($Z1198="A","ASSET",IF($Z1198="F","WORKFORCE","")))</f>
        <v/>
      </c>
      <c r="I1198" s="7">
        <f>IF($Z1198="C",INDEX(Contracts!$L$2:$L$151,$AB1198)&amp;"",IF($Z1198="A",INDEX(Fixed_Assets!$I$2:$I$201,$AB1198)&amp;"",IF($Z1198="F",INDEX(Workforce!$G$2:$G$151,MATCH(INDEX(FTE_Allocation!$A$2:$A$201,$AB1198),Workforce!$A$2:$A$151,0))&amp;"","")))</f>
        <v/>
      </c>
      <c r="J1198" s="18">
        <f>IF($Z1198="","",IF(AND(DATE($AD1198,1,1)&gt;=$AE1198,DATE($AD1198,1,1)&lt;=$AF1198),ROUND($AG1198,2),0))</f>
        <v/>
      </c>
      <c r="K1198" s="18">
        <f>IF($Z1198="","",IF(AND(DATE($AD1198,2,1)&gt;=$AE1198,DATE($AD1198,2,1)&lt;=$AF1198),ROUND($AG1198,2),0))</f>
        <v/>
      </c>
      <c r="L1198" s="18">
        <f>IF($Z1198="","",IF(AND(DATE($AD1198,3,1)&gt;=$AE1198,DATE($AD1198,3,1)&lt;=$AF1198),ROUND($AG1198,2),0))</f>
        <v/>
      </c>
      <c r="M1198" s="18">
        <f>IF($Z1198="","",IF(AND(DATE($AD1198,4,1)&gt;=$AE1198,DATE($AD1198,4,1)&lt;=$AF1198),ROUND($AG1198,2),0))</f>
        <v/>
      </c>
      <c r="N1198" s="18">
        <f>IF($Z1198="","",IF(AND(DATE($AD1198,5,1)&gt;=$AE1198,DATE($AD1198,5,1)&lt;=$AF1198),ROUND($AG1198,2),0))</f>
        <v/>
      </c>
      <c r="O1198" s="18">
        <f>IF($Z1198="","",IF(AND(DATE($AD1198,6,1)&gt;=$AE1198,DATE($AD1198,6,1)&lt;=$AF1198),ROUND($AG1198,2),0))</f>
        <v/>
      </c>
      <c r="P1198" s="18">
        <f>IF($Z1198="","",IF(AND(DATE($AD1198,7,1)&gt;=$AE1198,DATE($AD1198,7,1)&lt;=$AF1198),ROUND($AG1198,2),0))</f>
        <v/>
      </c>
      <c r="Q1198" s="18">
        <f>IF($Z1198="","",IF(AND(DATE($AD1198,8,1)&gt;=$AE1198,DATE($AD1198,8,1)&lt;=$AF1198),ROUND($AG1198,2),0))</f>
        <v/>
      </c>
      <c r="R1198" s="18">
        <f>IF($Z1198="","",IF(AND(DATE($AD1198,9,1)&gt;=$AE1198,DATE($AD1198,9,1)&lt;=$AF1198),ROUND($AG1198,2),0))</f>
        <v/>
      </c>
      <c r="S1198" s="18">
        <f>IF($Z1198="","",IF(AND(DATE($AD1198,10,1)&gt;=$AE1198,DATE($AD1198,10,1)&lt;=$AF1198),ROUND($AG1198,2),0))</f>
        <v/>
      </c>
      <c r="T1198" s="18">
        <f>IF($Z1198="","",IF(AND(DATE($AD1198,11,1)&gt;=$AE1198,DATE($AD1198,11,1)&lt;=$AF1198),ROUND($AG1198,2),0))</f>
        <v/>
      </c>
      <c r="U1198" s="18">
        <f>IF($Z1198="","",IF(AND(DATE($AD1198,12,1)&gt;=$AE1198,DATE($AD1198,12,1)&lt;=$AF1198),ROUND($AG1198,2),0))</f>
        <v/>
      </c>
      <c r="V1198" s="7">
        <f>IF($Z1198="C","Generated from "&amp;INDEX(Contracts!$A$2:$A$151,$AB1198),IF($Z1198="A","Generated from "&amp;INDEX(Fixed_Assets!$A$2:$A$201,$AB1198),IF($Z1198="F","Generated from "&amp;INDEX(FTE_Allocation!$A$2:$A$201,$AB1198),"")))</f>
        <v/>
      </c>
      <c r="X1198" s="19">
        <f>IF($Z1198="","",SUM(J1198:U1198))</f>
        <v/>
      </c>
      <c r="Y1198" s="20">
        <f>ROW()-1</f>
        <v/>
      </c>
      <c r="Z1198" s="20">
        <f>IF($Y1198&lt;=Settings!$B$4*3,"C",IF($Y1198&lt;=(Settings!$B$4+Settings!$B$5)*3,"A",IF($Y1198&lt;=(Settings!$B$4+Settings!$B$5+Settings!$B$6)*3,"F","")))</f>
        <v/>
      </c>
      <c r="AA1198" s="20">
        <f>IF($Z1198="C",$Y1198,IF($Z1198="A",$Y1198-Settings!$B$4*3,IF($Z1198="F",$Y1198-(Settings!$B$4+Settings!$B$5)*3,"")))</f>
        <v/>
      </c>
      <c r="AB1198" s="20">
        <f>IF($Z1198="","",INT(($AA1198-1)/3)+1)</f>
        <v/>
      </c>
      <c r="AC1198" s="20">
        <f>IF($Z1198="","",MOD($AA1198-1,3)+1)</f>
        <v/>
      </c>
      <c r="AD1198" s="20">
        <f>IF($Z1198="","",Settings!$B$2+$AC1198-1)</f>
        <v/>
      </c>
      <c r="AE1198" s="21">
        <f>IF($Z1198="C",DATE(YEAR(INDEX(Contracts!$J$2:$J$151,$AB1198)),MONTH(INDEX(Contracts!$J$2:$J$151,$AB1198)),1),IF($Z1198="A",DATE(YEAR(INDEX(Fixed_Assets!$G$2:$G$201,$AB1198)),MONTH(INDEX(Fixed_Assets!$G$2:$G$201,$AB1198)),1),IF($Z1198="F",DATE(YEAR(MAX(N(INDEX(Workforce!$I$2:$I$151,MATCH(INDEX(FTE_Allocation!$A$2:$A$201,$AB1198),Workforce!$A$2:$A$151,0))),N(INDEX(FTE_Allocation!$I$2:$I$201,$AB1198)))),MONTH(MAX(N(INDEX(Workforce!$I$2:$I$151,MATCH(INDEX(FTE_Allocation!$A$2:$A$201,$AB1198),Workforce!$A$2:$A$151,0))),N(INDEX(FTE_Allocation!$I$2:$I$201,$AB1198)))),1),"")))</f>
        <v/>
      </c>
      <c r="AF1198" s="21">
        <f>IF($Z1198="C",IF(INDEX(Contracts!$I$2:$I$151,$AB1198)="PREPAID",EDATE(DATE(YEAR(INDEX(Contracts!$J$2:$J$151,$AB1198)),MONTH(INDEX(Contracts!$J$2:$J$151,$AB1198)),1),IF(INDEX(Contracts!$N$2:$N$151,$AB1198)="",12,INDEX(Contracts!$N$2:$N$151,$AB1198))-1),IF(INDEX(Contracts!$I$2:$I$151,$AB1198)="MONTHLY",IF(INDEX(Contracts!$K$2:$K$151,$AB1198)="",2958101,INDEX(Contracts!$K$2:$K$151,$AB1198)),0)),IF($Z1198="A",EDATE(DATE(YEAR(INDEX(Fixed_Assets!$G$2:$G$201,$AB1198)),MONTH(INDEX(Fixed_Assets!$G$2:$G$201,$AB1198)),1),INDEX(Fixed_Assets!$J$2:$J$201,$AB1198)-1),IF($Z1198="F",MIN(IF(INDEX(Workforce!$J$2:$J$151,MATCH(INDEX(FTE_Allocation!$A$2:$A$201,$AB1198),Workforce!$A$2:$A$151,0))="",2958101,INDEX(Workforce!$J$2:$J$151,MATCH(INDEX(FTE_Allocation!$A$2:$A$201,$AB1198),Workforce!$A$2:$A$151,0))),IF(INDEX(FTE_Allocation!$J$2:$J$201,$AB1198)="",2958101,INDEX(FTE_Allocation!$J$2:$J$201,$AB1198))),"")))</f>
        <v/>
      </c>
      <c r="AG1198" s="19">
        <f>IF($Z1198="C",IF(INDEX(Contracts!$I$2:$I$151,$AB1198)="PREPAID",INDEX(Contracts!$M$2:$M$151,$AB1198)/IF(INDEX(Contracts!$N$2:$N$151,$AB1198)="",12,INDEX(Contracts!$N$2:$N$151,$AB1198)),IF(INDEX(Contracts!$I$2:$I$151,$AB1198)="MONTHLY",INDEX(Contracts!$M$2:$M$151,$AB1198),0))*(1-N(INDEX(Contracts!$O$2:$O$151,$AB1198))),IF($Z1198="A",INDEX(Fixed_Assets!$H$2:$H$201,$AB1198)/INDEX(Fixed_Assets!$J$2:$J$201,$AB1198),IF($Z1198="F",INDEX(Workforce!$F$2:$F$151,MATCH(INDEX(FTE_Allocation!$A$2:$A$201,$AB1198),Workforce!$A$2:$A$151,0))*N(INDEX(FTE_Allocation!$F$2:$H$201,$AB1198,$AC1198)),"")))</f>
        <v/>
      </c>
    </row>
    <row r="1199">
      <c r="A1199" s="7">
        <f>IF($Z1199="","",$AD1199)</f>
        <v/>
      </c>
      <c r="B1199" s="7">
        <f>IF($Z1199="C",INDEX(Contracts!$D$2:$D$151,$AB1199)&amp;"",IF($Z1199="A",INDEX(Fixed_Assets!$C$2:$C$201,$AB1199)&amp;"",IF($Z1199="F",INDEX(Workforce!$B$2:$B$151,MATCH(INDEX(FTE_Allocation!$A$2:$A$201,$AB1199),Workforce!$A$2:$A$151,0))&amp;"","")))</f>
        <v/>
      </c>
      <c r="C1199" s="7">
        <f>IF($Z1199="C",INDEX(Contracts!$E$2:$E$151,$AB1199)&amp;"",IF($Z1199="A",INDEX(Fixed_Assets!$D$2:$D$201,$AB1199)&amp;"",IF($Z1199="F",INDEX(FTE_Allocation!$C$2:$C$201,$AB1199)&amp;"","")))</f>
        <v/>
      </c>
      <c r="D1199" s="7">
        <f>IF($Z1199="C",INDEX(Contracts!$B$2:$B$151,$AB1199)&amp;"",IF($Z1199="A",INDEX(Fixed_Assets!$B$2:$B$201,$AB1199)&amp;"",IF($Z1199="F",INDEX(FTE_Allocation!$B$2:$B$201,$AB1199)&amp;"","")))</f>
        <v/>
      </c>
      <c r="E1199" s="7">
        <f>IF($Z1199="C",INDEX(Contracts!$P$2:$P$151,$AB1199)&amp;"",IF($Z1199="A",INDEX(Fixed_Assets!$K$2:$K$201,$AB1199)&amp;"",IF($Z1199="F",IF(INDEX(FTE_Allocation!$D$2:$D$201,$AB1199)="PROJECT",IFERROR(INDEX(Projects!$D:$D,MATCH(INDEX(FTE_Allocation!$E$2:$E$201,$AB1199),Projects!$A:$A,0))&amp;"","#PROJECT?"),INDEX(FTE_Allocation!$E$2:$E$201,$AB1199)&amp;""),"")))</f>
        <v/>
      </c>
      <c r="F1199" s="7">
        <f>IF($Z1199="C",INDEX(Contracts!$Q$2:$Q$151,$AB1199)&amp;"",IF($Z1199="A",INDEX(Fixed_Assets!$L$2:$L$201,$AB1199)&amp;"",IF($Z1199="F",INDEX(Workforce!$K$2:$K$151,MATCH(INDEX(FTE_Allocation!$A$2:$A$201,$AB1199),Workforce!$A$2:$A$151,0))&amp;"","")))</f>
        <v/>
      </c>
      <c r="G1199" s="7">
        <f>IF($Z1199="C",INDEX(Contracts!$F$2:$F$151,$AB1199)&amp;" / "&amp;INDEX(Contracts!$G$2:$G$151,$AB1199),IF($Z1199="A",INDEX(Fixed_Assets!$E$2:$E$201,$AB1199)&amp;"",IF($Z1199="F","Personnel "&amp;INDEX(FTE_Allocation!$A$2:$A$201,$AB1199)&amp;IF(INDEX(FTE_Allocation!$D$2:$D$201,$AB1199)="PROJECT"," ("&amp;INDEX(FTE_Allocation!$E$2:$E$201,$AB1199)&amp;")",""),"")))</f>
        <v/>
      </c>
      <c r="H1199" s="7">
        <f>IF($Z1199="C","CONTRACT",IF($Z1199="A","ASSET",IF($Z1199="F","WORKFORCE","")))</f>
        <v/>
      </c>
      <c r="I1199" s="7">
        <f>IF($Z1199="C",INDEX(Contracts!$L$2:$L$151,$AB1199)&amp;"",IF($Z1199="A",INDEX(Fixed_Assets!$I$2:$I$201,$AB1199)&amp;"",IF($Z1199="F",INDEX(Workforce!$G$2:$G$151,MATCH(INDEX(FTE_Allocation!$A$2:$A$201,$AB1199),Workforce!$A$2:$A$151,0))&amp;"","")))</f>
        <v/>
      </c>
      <c r="J1199" s="18">
        <f>IF($Z1199="","",IF(AND(DATE($AD1199,1,1)&gt;=$AE1199,DATE($AD1199,1,1)&lt;=$AF1199),ROUND($AG1199,2),0))</f>
        <v/>
      </c>
      <c r="K1199" s="18">
        <f>IF($Z1199="","",IF(AND(DATE($AD1199,2,1)&gt;=$AE1199,DATE($AD1199,2,1)&lt;=$AF1199),ROUND($AG1199,2),0))</f>
        <v/>
      </c>
      <c r="L1199" s="18">
        <f>IF($Z1199="","",IF(AND(DATE($AD1199,3,1)&gt;=$AE1199,DATE($AD1199,3,1)&lt;=$AF1199),ROUND($AG1199,2),0))</f>
        <v/>
      </c>
      <c r="M1199" s="18">
        <f>IF($Z1199="","",IF(AND(DATE($AD1199,4,1)&gt;=$AE1199,DATE($AD1199,4,1)&lt;=$AF1199),ROUND($AG1199,2),0))</f>
        <v/>
      </c>
      <c r="N1199" s="18">
        <f>IF($Z1199="","",IF(AND(DATE($AD1199,5,1)&gt;=$AE1199,DATE($AD1199,5,1)&lt;=$AF1199),ROUND($AG1199,2),0))</f>
        <v/>
      </c>
      <c r="O1199" s="18">
        <f>IF($Z1199="","",IF(AND(DATE($AD1199,6,1)&gt;=$AE1199,DATE($AD1199,6,1)&lt;=$AF1199),ROUND($AG1199,2),0))</f>
        <v/>
      </c>
      <c r="P1199" s="18">
        <f>IF($Z1199="","",IF(AND(DATE($AD1199,7,1)&gt;=$AE1199,DATE($AD1199,7,1)&lt;=$AF1199),ROUND($AG1199,2),0))</f>
        <v/>
      </c>
      <c r="Q1199" s="18">
        <f>IF($Z1199="","",IF(AND(DATE($AD1199,8,1)&gt;=$AE1199,DATE($AD1199,8,1)&lt;=$AF1199),ROUND($AG1199,2),0))</f>
        <v/>
      </c>
      <c r="R1199" s="18">
        <f>IF($Z1199="","",IF(AND(DATE($AD1199,9,1)&gt;=$AE1199,DATE($AD1199,9,1)&lt;=$AF1199),ROUND($AG1199,2),0))</f>
        <v/>
      </c>
      <c r="S1199" s="18">
        <f>IF($Z1199="","",IF(AND(DATE($AD1199,10,1)&gt;=$AE1199,DATE($AD1199,10,1)&lt;=$AF1199),ROUND($AG1199,2),0))</f>
        <v/>
      </c>
      <c r="T1199" s="18">
        <f>IF($Z1199="","",IF(AND(DATE($AD1199,11,1)&gt;=$AE1199,DATE($AD1199,11,1)&lt;=$AF1199),ROUND($AG1199,2),0))</f>
        <v/>
      </c>
      <c r="U1199" s="18">
        <f>IF($Z1199="","",IF(AND(DATE($AD1199,12,1)&gt;=$AE1199,DATE($AD1199,12,1)&lt;=$AF1199),ROUND($AG1199,2),0))</f>
        <v/>
      </c>
      <c r="V1199" s="7">
        <f>IF($Z1199="C","Generated from "&amp;INDEX(Contracts!$A$2:$A$151,$AB1199),IF($Z1199="A","Generated from "&amp;INDEX(Fixed_Assets!$A$2:$A$201,$AB1199),IF($Z1199="F","Generated from "&amp;INDEX(FTE_Allocation!$A$2:$A$201,$AB1199),"")))</f>
        <v/>
      </c>
      <c r="X1199" s="19">
        <f>IF($Z1199="","",SUM(J1199:U1199))</f>
        <v/>
      </c>
      <c r="Y1199" s="20">
        <f>ROW()-1</f>
        <v/>
      </c>
      <c r="Z1199" s="20">
        <f>IF($Y1199&lt;=Settings!$B$4*3,"C",IF($Y1199&lt;=(Settings!$B$4+Settings!$B$5)*3,"A",IF($Y1199&lt;=(Settings!$B$4+Settings!$B$5+Settings!$B$6)*3,"F","")))</f>
        <v/>
      </c>
      <c r="AA1199" s="20">
        <f>IF($Z1199="C",$Y1199,IF($Z1199="A",$Y1199-Settings!$B$4*3,IF($Z1199="F",$Y1199-(Settings!$B$4+Settings!$B$5)*3,"")))</f>
        <v/>
      </c>
      <c r="AB1199" s="20">
        <f>IF($Z1199="","",INT(($AA1199-1)/3)+1)</f>
        <v/>
      </c>
      <c r="AC1199" s="20">
        <f>IF($Z1199="","",MOD($AA1199-1,3)+1)</f>
        <v/>
      </c>
      <c r="AD1199" s="20">
        <f>IF($Z1199="","",Settings!$B$2+$AC1199-1)</f>
        <v/>
      </c>
      <c r="AE1199" s="21">
        <f>IF($Z1199="C",DATE(YEAR(INDEX(Contracts!$J$2:$J$151,$AB1199)),MONTH(INDEX(Contracts!$J$2:$J$151,$AB1199)),1),IF($Z1199="A",DATE(YEAR(INDEX(Fixed_Assets!$G$2:$G$201,$AB1199)),MONTH(INDEX(Fixed_Assets!$G$2:$G$201,$AB1199)),1),IF($Z1199="F",DATE(YEAR(MAX(N(INDEX(Workforce!$I$2:$I$151,MATCH(INDEX(FTE_Allocation!$A$2:$A$201,$AB1199),Workforce!$A$2:$A$151,0))),N(INDEX(FTE_Allocation!$I$2:$I$201,$AB1199)))),MONTH(MAX(N(INDEX(Workforce!$I$2:$I$151,MATCH(INDEX(FTE_Allocation!$A$2:$A$201,$AB1199),Workforce!$A$2:$A$151,0))),N(INDEX(FTE_Allocation!$I$2:$I$201,$AB1199)))),1),"")))</f>
        <v/>
      </c>
      <c r="AF1199" s="21">
        <f>IF($Z1199="C",IF(INDEX(Contracts!$I$2:$I$151,$AB1199)="PREPAID",EDATE(DATE(YEAR(INDEX(Contracts!$J$2:$J$151,$AB1199)),MONTH(INDEX(Contracts!$J$2:$J$151,$AB1199)),1),IF(INDEX(Contracts!$N$2:$N$151,$AB1199)="",12,INDEX(Contracts!$N$2:$N$151,$AB1199))-1),IF(INDEX(Contracts!$I$2:$I$151,$AB1199)="MONTHLY",IF(INDEX(Contracts!$K$2:$K$151,$AB1199)="",2958101,INDEX(Contracts!$K$2:$K$151,$AB1199)),0)),IF($Z1199="A",EDATE(DATE(YEAR(INDEX(Fixed_Assets!$G$2:$G$201,$AB1199)),MONTH(INDEX(Fixed_Assets!$G$2:$G$201,$AB1199)),1),INDEX(Fixed_Assets!$J$2:$J$201,$AB1199)-1),IF($Z1199="F",MIN(IF(INDEX(Workforce!$J$2:$J$151,MATCH(INDEX(FTE_Allocation!$A$2:$A$201,$AB1199),Workforce!$A$2:$A$151,0))="",2958101,INDEX(Workforce!$J$2:$J$151,MATCH(INDEX(FTE_Allocation!$A$2:$A$201,$AB1199),Workforce!$A$2:$A$151,0))),IF(INDEX(FTE_Allocation!$J$2:$J$201,$AB1199)="",2958101,INDEX(FTE_Allocation!$J$2:$J$201,$AB1199))),"")))</f>
        <v/>
      </c>
      <c r="AG1199" s="19">
        <f>IF($Z1199="C",IF(INDEX(Contracts!$I$2:$I$151,$AB1199)="PREPAID",INDEX(Contracts!$M$2:$M$151,$AB1199)/IF(INDEX(Contracts!$N$2:$N$151,$AB1199)="",12,INDEX(Contracts!$N$2:$N$151,$AB1199)),IF(INDEX(Contracts!$I$2:$I$151,$AB1199)="MONTHLY",INDEX(Contracts!$M$2:$M$151,$AB1199),0))*(1-N(INDEX(Contracts!$O$2:$O$151,$AB1199))),IF($Z1199="A",INDEX(Fixed_Assets!$H$2:$H$201,$AB1199)/INDEX(Fixed_Assets!$J$2:$J$201,$AB1199),IF($Z1199="F",INDEX(Workforce!$F$2:$F$151,MATCH(INDEX(FTE_Allocation!$A$2:$A$201,$AB1199),Workforce!$A$2:$A$151,0))*N(INDEX(FTE_Allocation!$F$2:$H$201,$AB1199,$AC1199)),"")))</f>
        <v/>
      </c>
    </row>
    <row r="1200">
      <c r="A1200" s="7">
        <f>IF($Z1200="","",$AD1200)</f>
        <v/>
      </c>
      <c r="B1200" s="7">
        <f>IF($Z1200="C",INDEX(Contracts!$D$2:$D$151,$AB1200)&amp;"",IF($Z1200="A",INDEX(Fixed_Assets!$C$2:$C$201,$AB1200)&amp;"",IF($Z1200="F",INDEX(Workforce!$B$2:$B$151,MATCH(INDEX(FTE_Allocation!$A$2:$A$201,$AB1200),Workforce!$A$2:$A$151,0))&amp;"","")))</f>
        <v/>
      </c>
      <c r="C1200" s="7">
        <f>IF($Z1200="C",INDEX(Contracts!$E$2:$E$151,$AB1200)&amp;"",IF($Z1200="A",INDEX(Fixed_Assets!$D$2:$D$201,$AB1200)&amp;"",IF($Z1200="F",INDEX(FTE_Allocation!$C$2:$C$201,$AB1200)&amp;"","")))</f>
        <v/>
      </c>
      <c r="D1200" s="7">
        <f>IF($Z1200="C",INDEX(Contracts!$B$2:$B$151,$AB1200)&amp;"",IF($Z1200="A",INDEX(Fixed_Assets!$B$2:$B$201,$AB1200)&amp;"",IF($Z1200="F",INDEX(FTE_Allocation!$B$2:$B$201,$AB1200)&amp;"","")))</f>
        <v/>
      </c>
      <c r="E1200" s="7">
        <f>IF($Z1200="C",INDEX(Contracts!$P$2:$P$151,$AB1200)&amp;"",IF($Z1200="A",INDEX(Fixed_Assets!$K$2:$K$201,$AB1200)&amp;"",IF($Z1200="F",IF(INDEX(FTE_Allocation!$D$2:$D$201,$AB1200)="PROJECT",IFERROR(INDEX(Projects!$D:$D,MATCH(INDEX(FTE_Allocation!$E$2:$E$201,$AB1200),Projects!$A:$A,0))&amp;"","#PROJECT?"),INDEX(FTE_Allocation!$E$2:$E$201,$AB1200)&amp;""),"")))</f>
        <v/>
      </c>
      <c r="F1200" s="7">
        <f>IF($Z1200="C",INDEX(Contracts!$Q$2:$Q$151,$AB1200)&amp;"",IF($Z1200="A",INDEX(Fixed_Assets!$L$2:$L$201,$AB1200)&amp;"",IF($Z1200="F",INDEX(Workforce!$K$2:$K$151,MATCH(INDEX(FTE_Allocation!$A$2:$A$201,$AB1200),Workforce!$A$2:$A$151,0))&amp;"","")))</f>
        <v/>
      </c>
      <c r="G1200" s="7">
        <f>IF($Z1200="C",INDEX(Contracts!$F$2:$F$151,$AB1200)&amp;" / "&amp;INDEX(Contracts!$G$2:$G$151,$AB1200),IF($Z1200="A",INDEX(Fixed_Assets!$E$2:$E$201,$AB1200)&amp;"",IF($Z1200="F","Personnel "&amp;INDEX(FTE_Allocation!$A$2:$A$201,$AB1200)&amp;IF(INDEX(FTE_Allocation!$D$2:$D$201,$AB1200)="PROJECT"," ("&amp;INDEX(FTE_Allocation!$E$2:$E$201,$AB1200)&amp;")",""),"")))</f>
        <v/>
      </c>
      <c r="H1200" s="7">
        <f>IF($Z1200="C","CONTRACT",IF($Z1200="A","ASSET",IF($Z1200="F","WORKFORCE","")))</f>
        <v/>
      </c>
      <c r="I1200" s="7">
        <f>IF($Z1200="C",INDEX(Contracts!$L$2:$L$151,$AB1200)&amp;"",IF($Z1200="A",INDEX(Fixed_Assets!$I$2:$I$201,$AB1200)&amp;"",IF($Z1200="F",INDEX(Workforce!$G$2:$G$151,MATCH(INDEX(FTE_Allocation!$A$2:$A$201,$AB1200),Workforce!$A$2:$A$151,0))&amp;"","")))</f>
        <v/>
      </c>
      <c r="J1200" s="18">
        <f>IF($Z1200="","",IF(AND(DATE($AD1200,1,1)&gt;=$AE1200,DATE($AD1200,1,1)&lt;=$AF1200),ROUND($AG1200,2),0))</f>
        <v/>
      </c>
      <c r="K1200" s="18">
        <f>IF($Z1200="","",IF(AND(DATE($AD1200,2,1)&gt;=$AE1200,DATE($AD1200,2,1)&lt;=$AF1200),ROUND($AG1200,2),0))</f>
        <v/>
      </c>
      <c r="L1200" s="18">
        <f>IF($Z1200="","",IF(AND(DATE($AD1200,3,1)&gt;=$AE1200,DATE($AD1200,3,1)&lt;=$AF1200),ROUND($AG1200,2),0))</f>
        <v/>
      </c>
      <c r="M1200" s="18">
        <f>IF($Z1200="","",IF(AND(DATE($AD1200,4,1)&gt;=$AE1200,DATE($AD1200,4,1)&lt;=$AF1200),ROUND($AG1200,2),0))</f>
        <v/>
      </c>
      <c r="N1200" s="18">
        <f>IF($Z1200="","",IF(AND(DATE($AD1200,5,1)&gt;=$AE1200,DATE($AD1200,5,1)&lt;=$AF1200),ROUND($AG1200,2),0))</f>
        <v/>
      </c>
      <c r="O1200" s="18">
        <f>IF($Z1200="","",IF(AND(DATE($AD1200,6,1)&gt;=$AE1200,DATE($AD1200,6,1)&lt;=$AF1200),ROUND($AG1200,2),0))</f>
        <v/>
      </c>
      <c r="P1200" s="18">
        <f>IF($Z1200="","",IF(AND(DATE($AD1200,7,1)&gt;=$AE1200,DATE($AD1200,7,1)&lt;=$AF1200),ROUND($AG1200,2),0))</f>
        <v/>
      </c>
      <c r="Q1200" s="18">
        <f>IF($Z1200="","",IF(AND(DATE($AD1200,8,1)&gt;=$AE1200,DATE($AD1200,8,1)&lt;=$AF1200),ROUND($AG1200,2),0))</f>
        <v/>
      </c>
      <c r="R1200" s="18">
        <f>IF($Z1200="","",IF(AND(DATE($AD1200,9,1)&gt;=$AE1200,DATE($AD1200,9,1)&lt;=$AF1200),ROUND($AG1200,2),0))</f>
        <v/>
      </c>
      <c r="S1200" s="18">
        <f>IF($Z1200="","",IF(AND(DATE($AD1200,10,1)&gt;=$AE1200,DATE($AD1200,10,1)&lt;=$AF1200),ROUND($AG1200,2),0))</f>
        <v/>
      </c>
      <c r="T1200" s="18">
        <f>IF($Z1200="","",IF(AND(DATE($AD1200,11,1)&gt;=$AE1200,DATE($AD1200,11,1)&lt;=$AF1200),ROUND($AG1200,2),0))</f>
        <v/>
      </c>
      <c r="U1200" s="18">
        <f>IF($Z1200="","",IF(AND(DATE($AD1200,12,1)&gt;=$AE1200,DATE($AD1200,12,1)&lt;=$AF1200),ROUND($AG1200,2),0))</f>
        <v/>
      </c>
      <c r="V1200" s="7">
        <f>IF($Z1200="C","Generated from "&amp;INDEX(Contracts!$A$2:$A$151,$AB1200),IF($Z1200="A","Generated from "&amp;INDEX(Fixed_Assets!$A$2:$A$201,$AB1200),IF($Z1200="F","Generated from "&amp;INDEX(FTE_Allocation!$A$2:$A$201,$AB1200),"")))</f>
        <v/>
      </c>
      <c r="X1200" s="19">
        <f>IF($Z1200="","",SUM(J1200:U1200))</f>
        <v/>
      </c>
      <c r="Y1200" s="20">
        <f>ROW()-1</f>
        <v/>
      </c>
      <c r="Z1200" s="20">
        <f>IF($Y1200&lt;=Settings!$B$4*3,"C",IF($Y1200&lt;=(Settings!$B$4+Settings!$B$5)*3,"A",IF($Y1200&lt;=(Settings!$B$4+Settings!$B$5+Settings!$B$6)*3,"F","")))</f>
        <v/>
      </c>
      <c r="AA1200" s="20">
        <f>IF($Z1200="C",$Y1200,IF($Z1200="A",$Y1200-Settings!$B$4*3,IF($Z1200="F",$Y1200-(Settings!$B$4+Settings!$B$5)*3,"")))</f>
        <v/>
      </c>
      <c r="AB1200" s="20">
        <f>IF($Z1200="","",INT(($AA1200-1)/3)+1)</f>
        <v/>
      </c>
      <c r="AC1200" s="20">
        <f>IF($Z1200="","",MOD($AA1200-1,3)+1)</f>
        <v/>
      </c>
      <c r="AD1200" s="20">
        <f>IF($Z1200="","",Settings!$B$2+$AC1200-1)</f>
        <v/>
      </c>
      <c r="AE1200" s="21">
        <f>IF($Z1200="C",DATE(YEAR(INDEX(Contracts!$J$2:$J$151,$AB1200)),MONTH(INDEX(Contracts!$J$2:$J$151,$AB1200)),1),IF($Z1200="A",DATE(YEAR(INDEX(Fixed_Assets!$G$2:$G$201,$AB1200)),MONTH(INDEX(Fixed_Assets!$G$2:$G$201,$AB1200)),1),IF($Z1200="F",DATE(YEAR(MAX(N(INDEX(Workforce!$I$2:$I$151,MATCH(INDEX(FTE_Allocation!$A$2:$A$201,$AB1200),Workforce!$A$2:$A$151,0))),N(INDEX(FTE_Allocation!$I$2:$I$201,$AB1200)))),MONTH(MAX(N(INDEX(Workforce!$I$2:$I$151,MATCH(INDEX(FTE_Allocation!$A$2:$A$201,$AB1200),Workforce!$A$2:$A$151,0))),N(INDEX(FTE_Allocation!$I$2:$I$201,$AB1200)))),1),"")))</f>
        <v/>
      </c>
      <c r="AF1200" s="21">
        <f>IF($Z1200="C",IF(INDEX(Contracts!$I$2:$I$151,$AB1200)="PREPAID",EDATE(DATE(YEAR(INDEX(Contracts!$J$2:$J$151,$AB1200)),MONTH(INDEX(Contracts!$J$2:$J$151,$AB1200)),1),IF(INDEX(Contracts!$N$2:$N$151,$AB1200)="",12,INDEX(Contracts!$N$2:$N$151,$AB1200))-1),IF(INDEX(Contracts!$I$2:$I$151,$AB1200)="MONTHLY",IF(INDEX(Contracts!$K$2:$K$151,$AB1200)="",2958101,INDEX(Contracts!$K$2:$K$151,$AB1200)),0)),IF($Z1200="A",EDATE(DATE(YEAR(INDEX(Fixed_Assets!$G$2:$G$201,$AB1200)),MONTH(INDEX(Fixed_Assets!$G$2:$G$201,$AB1200)),1),INDEX(Fixed_Assets!$J$2:$J$201,$AB1200)-1),IF($Z1200="F",MIN(IF(INDEX(Workforce!$J$2:$J$151,MATCH(INDEX(FTE_Allocation!$A$2:$A$201,$AB1200),Workforce!$A$2:$A$151,0))="",2958101,INDEX(Workforce!$J$2:$J$151,MATCH(INDEX(FTE_Allocation!$A$2:$A$201,$AB1200),Workforce!$A$2:$A$151,0))),IF(INDEX(FTE_Allocation!$J$2:$J$201,$AB1200)="",2958101,INDEX(FTE_Allocation!$J$2:$J$201,$AB1200))),"")))</f>
        <v/>
      </c>
      <c r="AG1200" s="19">
        <f>IF($Z1200="C",IF(INDEX(Contracts!$I$2:$I$151,$AB1200)="PREPAID",INDEX(Contracts!$M$2:$M$151,$AB1200)/IF(INDEX(Contracts!$N$2:$N$151,$AB1200)="",12,INDEX(Contracts!$N$2:$N$151,$AB1200)),IF(INDEX(Contracts!$I$2:$I$151,$AB1200)="MONTHLY",INDEX(Contracts!$M$2:$M$151,$AB1200),0))*(1-N(INDEX(Contracts!$O$2:$O$151,$AB1200))),IF($Z1200="A",INDEX(Fixed_Assets!$H$2:$H$201,$AB1200)/INDEX(Fixed_Assets!$J$2:$J$201,$AB1200),IF($Z1200="F",INDEX(Workforce!$F$2:$F$151,MATCH(INDEX(FTE_Allocation!$A$2:$A$201,$AB1200),Workforce!$A$2:$A$151,0))*N(INDEX(FTE_Allocation!$F$2:$H$201,$AB1200,$AC1200)),"")))</f>
        <v/>
      </c>
    </row>
    <row r="1201">
      <c r="A1201" s="7">
        <f>IF($Z1201="","",$AD1201)</f>
        <v/>
      </c>
      <c r="B1201" s="7">
        <f>IF($Z1201="C",INDEX(Contracts!$D$2:$D$151,$AB1201)&amp;"",IF($Z1201="A",INDEX(Fixed_Assets!$C$2:$C$201,$AB1201)&amp;"",IF($Z1201="F",INDEX(Workforce!$B$2:$B$151,MATCH(INDEX(FTE_Allocation!$A$2:$A$201,$AB1201),Workforce!$A$2:$A$151,0))&amp;"","")))</f>
        <v/>
      </c>
      <c r="C1201" s="7">
        <f>IF($Z1201="C",INDEX(Contracts!$E$2:$E$151,$AB1201)&amp;"",IF($Z1201="A",INDEX(Fixed_Assets!$D$2:$D$201,$AB1201)&amp;"",IF($Z1201="F",INDEX(FTE_Allocation!$C$2:$C$201,$AB1201)&amp;"","")))</f>
        <v/>
      </c>
      <c r="D1201" s="7">
        <f>IF($Z1201="C",INDEX(Contracts!$B$2:$B$151,$AB1201)&amp;"",IF($Z1201="A",INDEX(Fixed_Assets!$B$2:$B$201,$AB1201)&amp;"",IF($Z1201="F",INDEX(FTE_Allocation!$B$2:$B$201,$AB1201)&amp;"","")))</f>
        <v/>
      </c>
      <c r="E1201" s="7">
        <f>IF($Z1201="C",INDEX(Contracts!$P$2:$P$151,$AB1201)&amp;"",IF($Z1201="A",INDEX(Fixed_Assets!$K$2:$K$201,$AB1201)&amp;"",IF($Z1201="F",IF(INDEX(FTE_Allocation!$D$2:$D$201,$AB1201)="PROJECT",IFERROR(INDEX(Projects!$D:$D,MATCH(INDEX(FTE_Allocation!$E$2:$E$201,$AB1201),Projects!$A:$A,0))&amp;"","#PROJECT?"),INDEX(FTE_Allocation!$E$2:$E$201,$AB1201)&amp;""),"")))</f>
        <v/>
      </c>
      <c r="F1201" s="7">
        <f>IF($Z1201="C",INDEX(Contracts!$Q$2:$Q$151,$AB1201)&amp;"",IF($Z1201="A",INDEX(Fixed_Assets!$L$2:$L$201,$AB1201)&amp;"",IF($Z1201="F",INDEX(Workforce!$K$2:$K$151,MATCH(INDEX(FTE_Allocation!$A$2:$A$201,$AB1201),Workforce!$A$2:$A$151,0))&amp;"","")))</f>
        <v/>
      </c>
      <c r="G1201" s="7">
        <f>IF($Z1201="C",INDEX(Contracts!$F$2:$F$151,$AB1201)&amp;" / "&amp;INDEX(Contracts!$G$2:$G$151,$AB1201),IF($Z1201="A",INDEX(Fixed_Assets!$E$2:$E$201,$AB1201)&amp;"",IF($Z1201="F","Personnel "&amp;INDEX(FTE_Allocation!$A$2:$A$201,$AB1201)&amp;IF(INDEX(FTE_Allocation!$D$2:$D$201,$AB1201)="PROJECT"," ("&amp;INDEX(FTE_Allocation!$E$2:$E$201,$AB1201)&amp;")",""),"")))</f>
        <v/>
      </c>
      <c r="H1201" s="7">
        <f>IF($Z1201="C","CONTRACT",IF($Z1201="A","ASSET",IF($Z1201="F","WORKFORCE","")))</f>
        <v/>
      </c>
      <c r="I1201" s="7">
        <f>IF($Z1201="C",INDEX(Contracts!$L$2:$L$151,$AB1201)&amp;"",IF($Z1201="A",INDEX(Fixed_Assets!$I$2:$I$201,$AB1201)&amp;"",IF($Z1201="F",INDEX(Workforce!$G$2:$G$151,MATCH(INDEX(FTE_Allocation!$A$2:$A$201,$AB1201),Workforce!$A$2:$A$151,0))&amp;"","")))</f>
        <v/>
      </c>
      <c r="J1201" s="18">
        <f>IF($Z1201="","",IF(AND(DATE($AD1201,1,1)&gt;=$AE1201,DATE($AD1201,1,1)&lt;=$AF1201),ROUND($AG1201,2),0))</f>
        <v/>
      </c>
      <c r="K1201" s="18">
        <f>IF($Z1201="","",IF(AND(DATE($AD1201,2,1)&gt;=$AE1201,DATE($AD1201,2,1)&lt;=$AF1201),ROUND($AG1201,2),0))</f>
        <v/>
      </c>
      <c r="L1201" s="18">
        <f>IF($Z1201="","",IF(AND(DATE($AD1201,3,1)&gt;=$AE1201,DATE($AD1201,3,1)&lt;=$AF1201),ROUND($AG1201,2),0))</f>
        <v/>
      </c>
      <c r="M1201" s="18">
        <f>IF($Z1201="","",IF(AND(DATE($AD1201,4,1)&gt;=$AE1201,DATE($AD1201,4,1)&lt;=$AF1201),ROUND($AG1201,2),0))</f>
        <v/>
      </c>
      <c r="N1201" s="18">
        <f>IF($Z1201="","",IF(AND(DATE($AD1201,5,1)&gt;=$AE1201,DATE($AD1201,5,1)&lt;=$AF1201),ROUND($AG1201,2),0))</f>
        <v/>
      </c>
      <c r="O1201" s="18">
        <f>IF($Z1201="","",IF(AND(DATE($AD1201,6,1)&gt;=$AE1201,DATE($AD1201,6,1)&lt;=$AF1201),ROUND($AG1201,2),0))</f>
        <v/>
      </c>
      <c r="P1201" s="18">
        <f>IF($Z1201="","",IF(AND(DATE($AD1201,7,1)&gt;=$AE1201,DATE($AD1201,7,1)&lt;=$AF1201),ROUND($AG1201,2),0))</f>
        <v/>
      </c>
      <c r="Q1201" s="18">
        <f>IF($Z1201="","",IF(AND(DATE($AD1201,8,1)&gt;=$AE1201,DATE($AD1201,8,1)&lt;=$AF1201),ROUND($AG1201,2),0))</f>
        <v/>
      </c>
      <c r="R1201" s="18">
        <f>IF($Z1201="","",IF(AND(DATE($AD1201,9,1)&gt;=$AE1201,DATE($AD1201,9,1)&lt;=$AF1201),ROUND($AG1201,2),0))</f>
        <v/>
      </c>
      <c r="S1201" s="18">
        <f>IF($Z1201="","",IF(AND(DATE($AD1201,10,1)&gt;=$AE1201,DATE($AD1201,10,1)&lt;=$AF1201),ROUND($AG1201,2),0))</f>
        <v/>
      </c>
      <c r="T1201" s="18">
        <f>IF($Z1201="","",IF(AND(DATE($AD1201,11,1)&gt;=$AE1201,DATE($AD1201,11,1)&lt;=$AF1201),ROUND($AG1201,2),0))</f>
        <v/>
      </c>
      <c r="U1201" s="18">
        <f>IF($Z1201="","",IF(AND(DATE($AD1201,12,1)&gt;=$AE1201,DATE($AD1201,12,1)&lt;=$AF1201),ROUND($AG1201,2),0))</f>
        <v/>
      </c>
      <c r="V1201" s="7">
        <f>IF($Z1201="C","Generated from "&amp;INDEX(Contracts!$A$2:$A$151,$AB1201),IF($Z1201="A","Generated from "&amp;INDEX(Fixed_Assets!$A$2:$A$201,$AB1201),IF($Z1201="F","Generated from "&amp;INDEX(FTE_Allocation!$A$2:$A$201,$AB1201),"")))</f>
        <v/>
      </c>
      <c r="X1201" s="19">
        <f>IF($Z1201="","",SUM(J1201:U1201))</f>
        <v/>
      </c>
      <c r="Y1201" s="20">
        <f>ROW()-1</f>
        <v/>
      </c>
      <c r="Z1201" s="20">
        <f>IF($Y1201&lt;=Settings!$B$4*3,"C",IF($Y1201&lt;=(Settings!$B$4+Settings!$B$5)*3,"A",IF($Y1201&lt;=(Settings!$B$4+Settings!$B$5+Settings!$B$6)*3,"F","")))</f>
        <v/>
      </c>
      <c r="AA1201" s="20">
        <f>IF($Z1201="C",$Y1201,IF($Z1201="A",$Y1201-Settings!$B$4*3,IF($Z1201="F",$Y1201-(Settings!$B$4+Settings!$B$5)*3,"")))</f>
        <v/>
      </c>
      <c r="AB1201" s="20">
        <f>IF($Z1201="","",INT(($AA1201-1)/3)+1)</f>
        <v/>
      </c>
      <c r="AC1201" s="20">
        <f>IF($Z1201="","",MOD($AA1201-1,3)+1)</f>
        <v/>
      </c>
      <c r="AD1201" s="20">
        <f>IF($Z1201="","",Settings!$B$2+$AC1201-1)</f>
        <v/>
      </c>
      <c r="AE1201" s="21">
        <f>IF($Z1201="C",DATE(YEAR(INDEX(Contracts!$J$2:$J$151,$AB1201)),MONTH(INDEX(Contracts!$J$2:$J$151,$AB1201)),1),IF($Z1201="A",DATE(YEAR(INDEX(Fixed_Assets!$G$2:$G$201,$AB1201)),MONTH(INDEX(Fixed_Assets!$G$2:$G$201,$AB1201)),1),IF($Z1201="F",DATE(YEAR(MAX(N(INDEX(Workforce!$I$2:$I$151,MATCH(INDEX(FTE_Allocation!$A$2:$A$201,$AB1201),Workforce!$A$2:$A$151,0))),N(INDEX(FTE_Allocation!$I$2:$I$201,$AB1201)))),MONTH(MAX(N(INDEX(Workforce!$I$2:$I$151,MATCH(INDEX(FTE_Allocation!$A$2:$A$201,$AB1201),Workforce!$A$2:$A$151,0))),N(INDEX(FTE_Allocation!$I$2:$I$201,$AB1201)))),1),"")))</f>
        <v/>
      </c>
      <c r="AF1201" s="21">
        <f>IF($Z1201="C",IF(INDEX(Contracts!$I$2:$I$151,$AB1201)="PREPAID",EDATE(DATE(YEAR(INDEX(Contracts!$J$2:$J$151,$AB1201)),MONTH(INDEX(Contracts!$J$2:$J$151,$AB1201)),1),IF(INDEX(Contracts!$N$2:$N$151,$AB1201)="",12,INDEX(Contracts!$N$2:$N$151,$AB1201))-1),IF(INDEX(Contracts!$I$2:$I$151,$AB1201)="MONTHLY",IF(INDEX(Contracts!$K$2:$K$151,$AB1201)="",2958101,INDEX(Contracts!$K$2:$K$151,$AB1201)),0)),IF($Z1201="A",EDATE(DATE(YEAR(INDEX(Fixed_Assets!$G$2:$G$201,$AB1201)),MONTH(INDEX(Fixed_Assets!$G$2:$G$201,$AB1201)),1),INDEX(Fixed_Assets!$J$2:$J$201,$AB1201)-1),IF($Z1201="F",MIN(IF(INDEX(Workforce!$J$2:$J$151,MATCH(INDEX(FTE_Allocation!$A$2:$A$201,$AB1201),Workforce!$A$2:$A$151,0))="",2958101,INDEX(Workforce!$J$2:$J$151,MATCH(INDEX(FTE_Allocation!$A$2:$A$201,$AB1201),Workforce!$A$2:$A$151,0))),IF(INDEX(FTE_Allocation!$J$2:$J$201,$AB1201)="",2958101,INDEX(FTE_Allocation!$J$2:$J$201,$AB1201))),"")))</f>
        <v/>
      </c>
      <c r="AG1201" s="19">
        <f>IF($Z1201="C",IF(INDEX(Contracts!$I$2:$I$151,$AB1201)="PREPAID",INDEX(Contracts!$M$2:$M$151,$AB1201)/IF(INDEX(Contracts!$N$2:$N$151,$AB1201)="",12,INDEX(Contracts!$N$2:$N$151,$AB1201)),IF(INDEX(Contracts!$I$2:$I$151,$AB1201)="MONTHLY",INDEX(Contracts!$M$2:$M$151,$AB1201),0))*(1-N(INDEX(Contracts!$O$2:$O$151,$AB1201))),IF($Z1201="A",INDEX(Fixed_Assets!$H$2:$H$201,$AB1201)/INDEX(Fixed_Assets!$J$2:$J$201,$AB1201),IF($Z1201="F",INDEX(Workforce!$F$2:$F$151,MATCH(INDEX(FTE_Allocation!$A$2:$A$201,$AB1201),Workforce!$A$2:$A$151,0))*N(INDEX(FTE_Allocation!$F$2:$H$201,$AB1201,$AC1201)),"")))</f>
        <v/>
      </c>
    </row>
    <row r="1202">
      <c r="A1202" s="7">
        <f>IF($Z1202="","",$AD1202)</f>
        <v/>
      </c>
      <c r="B1202" s="7">
        <f>IF($Z1202="C",INDEX(Contracts!$D$2:$D$151,$AB1202)&amp;"",IF($Z1202="A",INDEX(Fixed_Assets!$C$2:$C$201,$AB1202)&amp;"",IF($Z1202="F",INDEX(Workforce!$B$2:$B$151,MATCH(INDEX(FTE_Allocation!$A$2:$A$201,$AB1202),Workforce!$A$2:$A$151,0))&amp;"","")))</f>
        <v/>
      </c>
      <c r="C1202" s="7">
        <f>IF($Z1202="C",INDEX(Contracts!$E$2:$E$151,$AB1202)&amp;"",IF($Z1202="A",INDEX(Fixed_Assets!$D$2:$D$201,$AB1202)&amp;"",IF($Z1202="F",INDEX(FTE_Allocation!$C$2:$C$201,$AB1202)&amp;"","")))</f>
        <v/>
      </c>
      <c r="D1202" s="7">
        <f>IF($Z1202="C",INDEX(Contracts!$B$2:$B$151,$AB1202)&amp;"",IF($Z1202="A",INDEX(Fixed_Assets!$B$2:$B$201,$AB1202)&amp;"",IF($Z1202="F",INDEX(FTE_Allocation!$B$2:$B$201,$AB1202)&amp;"","")))</f>
        <v/>
      </c>
      <c r="E1202" s="7">
        <f>IF($Z1202="C",INDEX(Contracts!$P$2:$P$151,$AB1202)&amp;"",IF($Z1202="A",INDEX(Fixed_Assets!$K$2:$K$201,$AB1202)&amp;"",IF($Z1202="F",IF(INDEX(FTE_Allocation!$D$2:$D$201,$AB1202)="PROJECT",IFERROR(INDEX(Projects!$D:$D,MATCH(INDEX(FTE_Allocation!$E$2:$E$201,$AB1202),Projects!$A:$A,0))&amp;"","#PROJECT?"),INDEX(FTE_Allocation!$E$2:$E$201,$AB1202)&amp;""),"")))</f>
        <v/>
      </c>
      <c r="F1202" s="7">
        <f>IF($Z1202="C",INDEX(Contracts!$Q$2:$Q$151,$AB1202)&amp;"",IF($Z1202="A",INDEX(Fixed_Assets!$L$2:$L$201,$AB1202)&amp;"",IF($Z1202="F",INDEX(Workforce!$K$2:$K$151,MATCH(INDEX(FTE_Allocation!$A$2:$A$201,$AB1202),Workforce!$A$2:$A$151,0))&amp;"","")))</f>
        <v/>
      </c>
      <c r="G1202" s="7">
        <f>IF($Z1202="C",INDEX(Contracts!$F$2:$F$151,$AB1202)&amp;" / "&amp;INDEX(Contracts!$G$2:$G$151,$AB1202),IF($Z1202="A",INDEX(Fixed_Assets!$E$2:$E$201,$AB1202)&amp;"",IF($Z1202="F","Personnel "&amp;INDEX(FTE_Allocation!$A$2:$A$201,$AB1202)&amp;IF(INDEX(FTE_Allocation!$D$2:$D$201,$AB1202)="PROJECT"," ("&amp;INDEX(FTE_Allocation!$E$2:$E$201,$AB1202)&amp;")",""),"")))</f>
        <v/>
      </c>
      <c r="H1202" s="7">
        <f>IF($Z1202="C","CONTRACT",IF($Z1202="A","ASSET",IF($Z1202="F","WORKFORCE","")))</f>
        <v/>
      </c>
      <c r="I1202" s="7">
        <f>IF($Z1202="C",INDEX(Contracts!$L$2:$L$151,$AB1202)&amp;"",IF($Z1202="A",INDEX(Fixed_Assets!$I$2:$I$201,$AB1202)&amp;"",IF($Z1202="F",INDEX(Workforce!$G$2:$G$151,MATCH(INDEX(FTE_Allocation!$A$2:$A$201,$AB1202),Workforce!$A$2:$A$151,0))&amp;"","")))</f>
        <v/>
      </c>
      <c r="J1202" s="18">
        <f>IF($Z1202="","",IF(AND(DATE($AD1202,1,1)&gt;=$AE1202,DATE($AD1202,1,1)&lt;=$AF1202),ROUND($AG1202,2),0))</f>
        <v/>
      </c>
      <c r="K1202" s="18">
        <f>IF($Z1202="","",IF(AND(DATE($AD1202,2,1)&gt;=$AE1202,DATE($AD1202,2,1)&lt;=$AF1202),ROUND($AG1202,2),0))</f>
        <v/>
      </c>
      <c r="L1202" s="18">
        <f>IF($Z1202="","",IF(AND(DATE($AD1202,3,1)&gt;=$AE1202,DATE($AD1202,3,1)&lt;=$AF1202),ROUND($AG1202,2),0))</f>
        <v/>
      </c>
      <c r="M1202" s="18">
        <f>IF($Z1202="","",IF(AND(DATE($AD1202,4,1)&gt;=$AE1202,DATE($AD1202,4,1)&lt;=$AF1202),ROUND($AG1202,2),0))</f>
        <v/>
      </c>
      <c r="N1202" s="18">
        <f>IF($Z1202="","",IF(AND(DATE($AD1202,5,1)&gt;=$AE1202,DATE($AD1202,5,1)&lt;=$AF1202),ROUND($AG1202,2),0))</f>
        <v/>
      </c>
      <c r="O1202" s="18">
        <f>IF($Z1202="","",IF(AND(DATE($AD1202,6,1)&gt;=$AE1202,DATE($AD1202,6,1)&lt;=$AF1202),ROUND($AG1202,2),0))</f>
        <v/>
      </c>
      <c r="P1202" s="18">
        <f>IF($Z1202="","",IF(AND(DATE($AD1202,7,1)&gt;=$AE1202,DATE($AD1202,7,1)&lt;=$AF1202),ROUND($AG1202,2),0))</f>
        <v/>
      </c>
      <c r="Q1202" s="18">
        <f>IF($Z1202="","",IF(AND(DATE($AD1202,8,1)&gt;=$AE1202,DATE($AD1202,8,1)&lt;=$AF1202),ROUND($AG1202,2),0))</f>
        <v/>
      </c>
      <c r="R1202" s="18">
        <f>IF($Z1202="","",IF(AND(DATE($AD1202,9,1)&gt;=$AE1202,DATE($AD1202,9,1)&lt;=$AF1202),ROUND($AG1202,2),0))</f>
        <v/>
      </c>
      <c r="S1202" s="18">
        <f>IF($Z1202="","",IF(AND(DATE($AD1202,10,1)&gt;=$AE1202,DATE($AD1202,10,1)&lt;=$AF1202),ROUND($AG1202,2),0))</f>
        <v/>
      </c>
      <c r="T1202" s="18">
        <f>IF($Z1202="","",IF(AND(DATE($AD1202,11,1)&gt;=$AE1202,DATE($AD1202,11,1)&lt;=$AF1202),ROUND($AG1202,2),0))</f>
        <v/>
      </c>
      <c r="U1202" s="18">
        <f>IF($Z1202="","",IF(AND(DATE($AD1202,12,1)&gt;=$AE1202,DATE($AD1202,12,1)&lt;=$AF1202),ROUND($AG1202,2),0))</f>
        <v/>
      </c>
      <c r="V1202" s="7">
        <f>IF($Z1202="C","Generated from "&amp;INDEX(Contracts!$A$2:$A$151,$AB1202),IF($Z1202="A","Generated from "&amp;INDEX(Fixed_Assets!$A$2:$A$201,$AB1202),IF($Z1202="F","Generated from "&amp;INDEX(FTE_Allocation!$A$2:$A$201,$AB1202),"")))</f>
        <v/>
      </c>
      <c r="X1202" s="19">
        <f>IF($Z1202="","",SUM(J1202:U1202))</f>
        <v/>
      </c>
      <c r="Y1202" s="20">
        <f>ROW()-1</f>
        <v/>
      </c>
      <c r="Z1202" s="20">
        <f>IF($Y1202&lt;=Settings!$B$4*3,"C",IF($Y1202&lt;=(Settings!$B$4+Settings!$B$5)*3,"A",IF($Y1202&lt;=(Settings!$B$4+Settings!$B$5+Settings!$B$6)*3,"F","")))</f>
        <v/>
      </c>
      <c r="AA1202" s="20">
        <f>IF($Z1202="C",$Y1202,IF($Z1202="A",$Y1202-Settings!$B$4*3,IF($Z1202="F",$Y1202-(Settings!$B$4+Settings!$B$5)*3,"")))</f>
        <v/>
      </c>
      <c r="AB1202" s="20">
        <f>IF($Z1202="","",INT(($AA1202-1)/3)+1)</f>
        <v/>
      </c>
      <c r="AC1202" s="20">
        <f>IF($Z1202="","",MOD($AA1202-1,3)+1)</f>
        <v/>
      </c>
      <c r="AD1202" s="20">
        <f>IF($Z1202="","",Settings!$B$2+$AC1202-1)</f>
        <v/>
      </c>
      <c r="AE1202" s="21">
        <f>IF($Z1202="C",DATE(YEAR(INDEX(Contracts!$J$2:$J$151,$AB1202)),MONTH(INDEX(Contracts!$J$2:$J$151,$AB1202)),1),IF($Z1202="A",DATE(YEAR(INDEX(Fixed_Assets!$G$2:$G$201,$AB1202)),MONTH(INDEX(Fixed_Assets!$G$2:$G$201,$AB1202)),1),IF($Z1202="F",DATE(YEAR(MAX(N(INDEX(Workforce!$I$2:$I$151,MATCH(INDEX(FTE_Allocation!$A$2:$A$201,$AB1202),Workforce!$A$2:$A$151,0))),N(INDEX(FTE_Allocation!$I$2:$I$201,$AB1202)))),MONTH(MAX(N(INDEX(Workforce!$I$2:$I$151,MATCH(INDEX(FTE_Allocation!$A$2:$A$201,$AB1202),Workforce!$A$2:$A$151,0))),N(INDEX(FTE_Allocation!$I$2:$I$201,$AB1202)))),1),"")))</f>
        <v/>
      </c>
      <c r="AF1202" s="21">
        <f>IF($Z1202="C",IF(INDEX(Contracts!$I$2:$I$151,$AB1202)="PREPAID",EDATE(DATE(YEAR(INDEX(Contracts!$J$2:$J$151,$AB1202)),MONTH(INDEX(Contracts!$J$2:$J$151,$AB1202)),1),IF(INDEX(Contracts!$N$2:$N$151,$AB1202)="",12,INDEX(Contracts!$N$2:$N$151,$AB1202))-1),IF(INDEX(Contracts!$I$2:$I$151,$AB1202)="MONTHLY",IF(INDEX(Contracts!$K$2:$K$151,$AB1202)="",2958101,INDEX(Contracts!$K$2:$K$151,$AB1202)),0)),IF($Z1202="A",EDATE(DATE(YEAR(INDEX(Fixed_Assets!$G$2:$G$201,$AB1202)),MONTH(INDEX(Fixed_Assets!$G$2:$G$201,$AB1202)),1),INDEX(Fixed_Assets!$J$2:$J$201,$AB1202)-1),IF($Z1202="F",MIN(IF(INDEX(Workforce!$J$2:$J$151,MATCH(INDEX(FTE_Allocation!$A$2:$A$201,$AB1202),Workforce!$A$2:$A$151,0))="",2958101,INDEX(Workforce!$J$2:$J$151,MATCH(INDEX(FTE_Allocation!$A$2:$A$201,$AB1202),Workforce!$A$2:$A$151,0))),IF(INDEX(FTE_Allocation!$J$2:$J$201,$AB1202)="",2958101,INDEX(FTE_Allocation!$J$2:$J$201,$AB1202))),"")))</f>
        <v/>
      </c>
      <c r="AG1202" s="19">
        <f>IF($Z1202="C",IF(INDEX(Contracts!$I$2:$I$151,$AB1202)="PREPAID",INDEX(Contracts!$M$2:$M$151,$AB1202)/IF(INDEX(Contracts!$N$2:$N$151,$AB1202)="",12,INDEX(Contracts!$N$2:$N$151,$AB1202)),IF(INDEX(Contracts!$I$2:$I$151,$AB1202)="MONTHLY",INDEX(Contracts!$M$2:$M$151,$AB1202),0))*(1-N(INDEX(Contracts!$O$2:$O$151,$AB1202))),IF($Z1202="A",INDEX(Fixed_Assets!$H$2:$H$201,$AB1202)/INDEX(Fixed_Assets!$J$2:$J$201,$AB1202),IF($Z1202="F",INDEX(Workforce!$F$2:$F$151,MATCH(INDEX(FTE_Allocation!$A$2:$A$201,$AB1202),Workforce!$A$2:$A$151,0))*N(INDEX(FTE_Allocation!$F$2:$H$201,$AB1202,$AC1202)),"")))</f>
        <v/>
      </c>
    </row>
    <row r="1203">
      <c r="A1203" s="7">
        <f>IF($Z1203="","",$AD1203)</f>
        <v/>
      </c>
      <c r="B1203" s="7">
        <f>IF($Z1203="C",INDEX(Contracts!$D$2:$D$151,$AB1203)&amp;"",IF($Z1203="A",INDEX(Fixed_Assets!$C$2:$C$201,$AB1203)&amp;"",IF($Z1203="F",INDEX(Workforce!$B$2:$B$151,MATCH(INDEX(FTE_Allocation!$A$2:$A$201,$AB1203),Workforce!$A$2:$A$151,0))&amp;"","")))</f>
        <v/>
      </c>
      <c r="C1203" s="7">
        <f>IF($Z1203="C",INDEX(Contracts!$E$2:$E$151,$AB1203)&amp;"",IF($Z1203="A",INDEX(Fixed_Assets!$D$2:$D$201,$AB1203)&amp;"",IF($Z1203="F",INDEX(FTE_Allocation!$C$2:$C$201,$AB1203)&amp;"","")))</f>
        <v/>
      </c>
      <c r="D1203" s="7">
        <f>IF($Z1203="C",INDEX(Contracts!$B$2:$B$151,$AB1203)&amp;"",IF($Z1203="A",INDEX(Fixed_Assets!$B$2:$B$201,$AB1203)&amp;"",IF($Z1203="F",INDEX(FTE_Allocation!$B$2:$B$201,$AB1203)&amp;"","")))</f>
        <v/>
      </c>
      <c r="E1203" s="7">
        <f>IF($Z1203="C",INDEX(Contracts!$P$2:$P$151,$AB1203)&amp;"",IF($Z1203="A",INDEX(Fixed_Assets!$K$2:$K$201,$AB1203)&amp;"",IF($Z1203="F",IF(INDEX(FTE_Allocation!$D$2:$D$201,$AB1203)="PROJECT",IFERROR(INDEX(Projects!$D:$D,MATCH(INDEX(FTE_Allocation!$E$2:$E$201,$AB1203),Projects!$A:$A,0))&amp;"","#PROJECT?"),INDEX(FTE_Allocation!$E$2:$E$201,$AB1203)&amp;""),"")))</f>
        <v/>
      </c>
      <c r="F1203" s="7">
        <f>IF($Z1203="C",INDEX(Contracts!$Q$2:$Q$151,$AB1203)&amp;"",IF($Z1203="A",INDEX(Fixed_Assets!$L$2:$L$201,$AB1203)&amp;"",IF($Z1203="F",INDEX(Workforce!$K$2:$K$151,MATCH(INDEX(FTE_Allocation!$A$2:$A$201,$AB1203),Workforce!$A$2:$A$151,0))&amp;"","")))</f>
        <v/>
      </c>
      <c r="G1203" s="7">
        <f>IF($Z1203="C",INDEX(Contracts!$F$2:$F$151,$AB1203)&amp;" / "&amp;INDEX(Contracts!$G$2:$G$151,$AB1203),IF($Z1203="A",INDEX(Fixed_Assets!$E$2:$E$201,$AB1203)&amp;"",IF($Z1203="F","Personnel "&amp;INDEX(FTE_Allocation!$A$2:$A$201,$AB1203)&amp;IF(INDEX(FTE_Allocation!$D$2:$D$201,$AB1203)="PROJECT"," ("&amp;INDEX(FTE_Allocation!$E$2:$E$201,$AB1203)&amp;")",""),"")))</f>
        <v/>
      </c>
      <c r="H1203" s="7">
        <f>IF($Z1203="C","CONTRACT",IF($Z1203="A","ASSET",IF($Z1203="F","WORKFORCE","")))</f>
        <v/>
      </c>
      <c r="I1203" s="7">
        <f>IF($Z1203="C",INDEX(Contracts!$L$2:$L$151,$AB1203)&amp;"",IF($Z1203="A",INDEX(Fixed_Assets!$I$2:$I$201,$AB1203)&amp;"",IF($Z1203="F",INDEX(Workforce!$G$2:$G$151,MATCH(INDEX(FTE_Allocation!$A$2:$A$201,$AB1203),Workforce!$A$2:$A$151,0))&amp;"","")))</f>
        <v/>
      </c>
      <c r="J1203" s="18">
        <f>IF($Z1203="","",IF(AND(DATE($AD1203,1,1)&gt;=$AE1203,DATE($AD1203,1,1)&lt;=$AF1203),ROUND($AG1203,2),0))</f>
        <v/>
      </c>
      <c r="K1203" s="18">
        <f>IF($Z1203="","",IF(AND(DATE($AD1203,2,1)&gt;=$AE1203,DATE($AD1203,2,1)&lt;=$AF1203),ROUND($AG1203,2),0))</f>
        <v/>
      </c>
      <c r="L1203" s="18">
        <f>IF($Z1203="","",IF(AND(DATE($AD1203,3,1)&gt;=$AE1203,DATE($AD1203,3,1)&lt;=$AF1203),ROUND($AG1203,2),0))</f>
        <v/>
      </c>
      <c r="M1203" s="18">
        <f>IF($Z1203="","",IF(AND(DATE($AD1203,4,1)&gt;=$AE1203,DATE($AD1203,4,1)&lt;=$AF1203),ROUND($AG1203,2),0))</f>
        <v/>
      </c>
      <c r="N1203" s="18">
        <f>IF($Z1203="","",IF(AND(DATE($AD1203,5,1)&gt;=$AE1203,DATE($AD1203,5,1)&lt;=$AF1203),ROUND($AG1203,2),0))</f>
        <v/>
      </c>
      <c r="O1203" s="18">
        <f>IF($Z1203="","",IF(AND(DATE($AD1203,6,1)&gt;=$AE1203,DATE($AD1203,6,1)&lt;=$AF1203),ROUND($AG1203,2),0))</f>
        <v/>
      </c>
      <c r="P1203" s="18">
        <f>IF($Z1203="","",IF(AND(DATE($AD1203,7,1)&gt;=$AE1203,DATE($AD1203,7,1)&lt;=$AF1203),ROUND($AG1203,2),0))</f>
        <v/>
      </c>
      <c r="Q1203" s="18">
        <f>IF($Z1203="","",IF(AND(DATE($AD1203,8,1)&gt;=$AE1203,DATE($AD1203,8,1)&lt;=$AF1203),ROUND($AG1203,2),0))</f>
        <v/>
      </c>
      <c r="R1203" s="18">
        <f>IF($Z1203="","",IF(AND(DATE($AD1203,9,1)&gt;=$AE1203,DATE($AD1203,9,1)&lt;=$AF1203),ROUND($AG1203,2),0))</f>
        <v/>
      </c>
      <c r="S1203" s="18">
        <f>IF($Z1203="","",IF(AND(DATE($AD1203,10,1)&gt;=$AE1203,DATE($AD1203,10,1)&lt;=$AF1203),ROUND($AG1203,2),0))</f>
        <v/>
      </c>
      <c r="T1203" s="18">
        <f>IF($Z1203="","",IF(AND(DATE($AD1203,11,1)&gt;=$AE1203,DATE($AD1203,11,1)&lt;=$AF1203),ROUND($AG1203,2),0))</f>
        <v/>
      </c>
      <c r="U1203" s="18">
        <f>IF($Z1203="","",IF(AND(DATE($AD1203,12,1)&gt;=$AE1203,DATE($AD1203,12,1)&lt;=$AF1203),ROUND($AG1203,2),0))</f>
        <v/>
      </c>
      <c r="V1203" s="7">
        <f>IF($Z1203="C","Generated from "&amp;INDEX(Contracts!$A$2:$A$151,$AB1203),IF($Z1203="A","Generated from "&amp;INDEX(Fixed_Assets!$A$2:$A$201,$AB1203),IF($Z1203="F","Generated from "&amp;INDEX(FTE_Allocation!$A$2:$A$201,$AB1203),"")))</f>
        <v/>
      </c>
      <c r="X1203" s="19">
        <f>IF($Z1203="","",SUM(J1203:U1203))</f>
        <v/>
      </c>
      <c r="Y1203" s="20">
        <f>ROW()-1</f>
        <v/>
      </c>
      <c r="Z1203" s="20">
        <f>IF($Y1203&lt;=Settings!$B$4*3,"C",IF($Y1203&lt;=(Settings!$B$4+Settings!$B$5)*3,"A",IF($Y1203&lt;=(Settings!$B$4+Settings!$B$5+Settings!$B$6)*3,"F","")))</f>
        <v/>
      </c>
      <c r="AA1203" s="20">
        <f>IF($Z1203="C",$Y1203,IF($Z1203="A",$Y1203-Settings!$B$4*3,IF($Z1203="F",$Y1203-(Settings!$B$4+Settings!$B$5)*3,"")))</f>
        <v/>
      </c>
      <c r="AB1203" s="20">
        <f>IF($Z1203="","",INT(($AA1203-1)/3)+1)</f>
        <v/>
      </c>
      <c r="AC1203" s="20">
        <f>IF($Z1203="","",MOD($AA1203-1,3)+1)</f>
        <v/>
      </c>
      <c r="AD1203" s="20">
        <f>IF($Z1203="","",Settings!$B$2+$AC1203-1)</f>
        <v/>
      </c>
      <c r="AE1203" s="21">
        <f>IF($Z1203="C",DATE(YEAR(INDEX(Contracts!$J$2:$J$151,$AB1203)),MONTH(INDEX(Contracts!$J$2:$J$151,$AB1203)),1),IF($Z1203="A",DATE(YEAR(INDEX(Fixed_Assets!$G$2:$G$201,$AB1203)),MONTH(INDEX(Fixed_Assets!$G$2:$G$201,$AB1203)),1),IF($Z1203="F",DATE(YEAR(MAX(N(INDEX(Workforce!$I$2:$I$151,MATCH(INDEX(FTE_Allocation!$A$2:$A$201,$AB1203),Workforce!$A$2:$A$151,0))),N(INDEX(FTE_Allocation!$I$2:$I$201,$AB1203)))),MONTH(MAX(N(INDEX(Workforce!$I$2:$I$151,MATCH(INDEX(FTE_Allocation!$A$2:$A$201,$AB1203),Workforce!$A$2:$A$151,0))),N(INDEX(FTE_Allocation!$I$2:$I$201,$AB1203)))),1),"")))</f>
        <v/>
      </c>
      <c r="AF1203" s="21">
        <f>IF($Z1203="C",IF(INDEX(Contracts!$I$2:$I$151,$AB1203)="PREPAID",EDATE(DATE(YEAR(INDEX(Contracts!$J$2:$J$151,$AB1203)),MONTH(INDEX(Contracts!$J$2:$J$151,$AB1203)),1),IF(INDEX(Contracts!$N$2:$N$151,$AB1203)="",12,INDEX(Contracts!$N$2:$N$151,$AB1203))-1),IF(INDEX(Contracts!$I$2:$I$151,$AB1203)="MONTHLY",IF(INDEX(Contracts!$K$2:$K$151,$AB1203)="",2958101,INDEX(Contracts!$K$2:$K$151,$AB1203)),0)),IF($Z1203="A",EDATE(DATE(YEAR(INDEX(Fixed_Assets!$G$2:$G$201,$AB1203)),MONTH(INDEX(Fixed_Assets!$G$2:$G$201,$AB1203)),1),INDEX(Fixed_Assets!$J$2:$J$201,$AB1203)-1),IF($Z1203="F",MIN(IF(INDEX(Workforce!$J$2:$J$151,MATCH(INDEX(FTE_Allocation!$A$2:$A$201,$AB1203),Workforce!$A$2:$A$151,0))="",2958101,INDEX(Workforce!$J$2:$J$151,MATCH(INDEX(FTE_Allocation!$A$2:$A$201,$AB1203),Workforce!$A$2:$A$151,0))),IF(INDEX(FTE_Allocation!$J$2:$J$201,$AB1203)="",2958101,INDEX(FTE_Allocation!$J$2:$J$201,$AB1203))),"")))</f>
        <v/>
      </c>
      <c r="AG1203" s="19">
        <f>IF($Z1203="C",IF(INDEX(Contracts!$I$2:$I$151,$AB1203)="PREPAID",INDEX(Contracts!$M$2:$M$151,$AB1203)/IF(INDEX(Contracts!$N$2:$N$151,$AB1203)="",12,INDEX(Contracts!$N$2:$N$151,$AB1203)),IF(INDEX(Contracts!$I$2:$I$151,$AB1203)="MONTHLY",INDEX(Contracts!$M$2:$M$151,$AB1203),0))*(1-N(INDEX(Contracts!$O$2:$O$151,$AB1203))),IF($Z1203="A",INDEX(Fixed_Assets!$H$2:$H$201,$AB1203)/INDEX(Fixed_Assets!$J$2:$J$201,$AB1203),IF($Z1203="F",INDEX(Workforce!$F$2:$F$151,MATCH(INDEX(FTE_Allocation!$A$2:$A$201,$AB1203),Workforce!$A$2:$A$151,0))*N(INDEX(FTE_Allocation!$F$2:$H$201,$AB1203,$AC1203)),"")))</f>
        <v/>
      </c>
    </row>
    <row r="1204">
      <c r="A1204" s="7">
        <f>IF($Z1204="","",$AD1204)</f>
        <v/>
      </c>
      <c r="B1204" s="7">
        <f>IF($Z1204="C",INDEX(Contracts!$D$2:$D$151,$AB1204)&amp;"",IF($Z1204="A",INDEX(Fixed_Assets!$C$2:$C$201,$AB1204)&amp;"",IF($Z1204="F",INDEX(Workforce!$B$2:$B$151,MATCH(INDEX(FTE_Allocation!$A$2:$A$201,$AB1204),Workforce!$A$2:$A$151,0))&amp;"","")))</f>
        <v/>
      </c>
      <c r="C1204" s="7">
        <f>IF($Z1204="C",INDEX(Contracts!$E$2:$E$151,$AB1204)&amp;"",IF($Z1204="A",INDEX(Fixed_Assets!$D$2:$D$201,$AB1204)&amp;"",IF($Z1204="F",INDEX(FTE_Allocation!$C$2:$C$201,$AB1204)&amp;"","")))</f>
        <v/>
      </c>
      <c r="D1204" s="7">
        <f>IF($Z1204="C",INDEX(Contracts!$B$2:$B$151,$AB1204)&amp;"",IF($Z1204="A",INDEX(Fixed_Assets!$B$2:$B$201,$AB1204)&amp;"",IF($Z1204="F",INDEX(FTE_Allocation!$B$2:$B$201,$AB1204)&amp;"","")))</f>
        <v/>
      </c>
      <c r="E1204" s="7">
        <f>IF($Z1204="C",INDEX(Contracts!$P$2:$P$151,$AB1204)&amp;"",IF($Z1204="A",INDEX(Fixed_Assets!$K$2:$K$201,$AB1204)&amp;"",IF($Z1204="F",IF(INDEX(FTE_Allocation!$D$2:$D$201,$AB1204)="PROJECT",IFERROR(INDEX(Projects!$D:$D,MATCH(INDEX(FTE_Allocation!$E$2:$E$201,$AB1204),Projects!$A:$A,0))&amp;"","#PROJECT?"),INDEX(FTE_Allocation!$E$2:$E$201,$AB1204)&amp;""),"")))</f>
        <v/>
      </c>
      <c r="F1204" s="7">
        <f>IF($Z1204="C",INDEX(Contracts!$Q$2:$Q$151,$AB1204)&amp;"",IF($Z1204="A",INDEX(Fixed_Assets!$L$2:$L$201,$AB1204)&amp;"",IF($Z1204="F",INDEX(Workforce!$K$2:$K$151,MATCH(INDEX(FTE_Allocation!$A$2:$A$201,$AB1204),Workforce!$A$2:$A$151,0))&amp;"","")))</f>
        <v/>
      </c>
      <c r="G1204" s="7">
        <f>IF($Z1204="C",INDEX(Contracts!$F$2:$F$151,$AB1204)&amp;" / "&amp;INDEX(Contracts!$G$2:$G$151,$AB1204),IF($Z1204="A",INDEX(Fixed_Assets!$E$2:$E$201,$AB1204)&amp;"",IF($Z1204="F","Personnel "&amp;INDEX(FTE_Allocation!$A$2:$A$201,$AB1204)&amp;IF(INDEX(FTE_Allocation!$D$2:$D$201,$AB1204)="PROJECT"," ("&amp;INDEX(FTE_Allocation!$E$2:$E$201,$AB1204)&amp;")",""),"")))</f>
        <v/>
      </c>
      <c r="H1204" s="7">
        <f>IF($Z1204="C","CONTRACT",IF($Z1204="A","ASSET",IF($Z1204="F","WORKFORCE","")))</f>
        <v/>
      </c>
      <c r="I1204" s="7">
        <f>IF($Z1204="C",INDEX(Contracts!$L$2:$L$151,$AB1204)&amp;"",IF($Z1204="A",INDEX(Fixed_Assets!$I$2:$I$201,$AB1204)&amp;"",IF($Z1204="F",INDEX(Workforce!$G$2:$G$151,MATCH(INDEX(FTE_Allocation!$A$2:$A$201,$AB1204),Workforce!$A$2:$A$151,0))&amp;"","")))</f>
        <v/>
      </c>
      <c r="J1204" s="18">
        <f>IF($Z1204="","",IF(AND(DATE($AD1204,1,1)&gt;=$AE1204,DATE($AD1204,1,1)&lt;=$AF1204),ROUND($AG1204,2),0))</f>
        <v/>
      </c>
      <c r="K1204" s="18">
        <f>IF($Z1204="","",IF(AND(DATE($AD1204,2,1)&gt;=$AE1204,DATE($AD1204,2,1)&lt;=$AF1204),ROUND($AG1204,2),0))</f>
        <v/>
      </c>
      <c r="L1204" s="18">
        <f>IF($Z1204="","",IF(AND(DATE($AD1204,3,1)&gt;=$AE1204,DATE($AD1204,3,1)&lt;=$AF1204),ROUND($AG1204,2),0))</f>
        <v/>
      </c>
      <c r="M1204" s="18">
        <f>IF($Z1204="","",IF(AND(DATE($AD1204,4,1)&gt;=$AE1204,DATE($AD1204,4,1)&lt;=$AF1204),ROUND($AG1204,2),0))</f>
        <v/>
      </c>
      <c r="N1204" s="18">
        <f>IF($Z1204="","",IF(AND(DATE($AD1204,5,1)&gt;=$AE1204,DATE($AD1204,5,1)&lt;=$AF1204),ROUND($AG1204,2),0))</f>
        <v/>
      </c>
      <c r="O1204" s="18">
        <f>IF($Z1204="","",IF(AND(DATE($AD1204,6,1)&gt;=$AE1204,DATE($AD1204,6,1)&lt;=$AF1204),ROUND($AG1204,2),0))</f>
        <v/>
      </c>
      <c r="P1204" s="18">
        <f>IF($Z1204="","",IF(AND(DATE($AD1204,7,1)&gt;=$AE1204,DATE($AD1204,7,1)&lt;=$AF1204),ROUND($AG1204,2),0))</f>
        <v/>
      </c>
      <c r="Q1204" s="18">
        <f>IF($Z1204="","",IF(AND(DATE($AD1204,8,1)&gt;=$AE1204,DATE($AD1204,8,1)&lt;=$AF1204),ROUND($AG1204,2),0))</f>
        <v/>
      </c>
      <c r="R1204" s="18">
        <f>IF($Z1204="","",IF(AND(DATE($AD1204,9,1)&gt;=$AE1204,DATE($AD1204,9,1)&lt;=$AF1204),ROUND($AG1204,2),0))</f>
        <v/>
      </c>
      <c r="S1204" s="18">
        <f>IF($Z1204="","",IF(AND(DATE($AD1204,10,1)&gt;=$AE1204,DATE($AD1204,10,1)&lt;=$AF1204),ROUND($AG1204,2),0))</f>
        <v/>
      </c>
      <c r="T1204" s="18">
        <f>IF($Z1204="","",IF(AND(DATE($AD1204,11,1)&gt;=$AE1204,DATE($AD1204,11,1)&lt;=$AF1204),ROUND($AG1204,2),0))</f>
        <v/>
      </c>
      <c r="U1204" s="18">
        <f>IF($Z1204="","",IF(AND(DATE($AD1204,12,1)&gt;=$AE1204,DATE($AD1204,12,1)&lt;=$AF1204),ROUND($AG1204,2),0))</f>
        <v/>
      </c>
      <c r="V1204" s="7">
        <f>IF($Z1204="C","Generated from "&amp;INDEX(Contracts!$A$2:$A$151,$AB1204),IF($Z1204="A","Generated from "&amp;INDEX(Fixed_Assets!$A$2:$A$201,$AB1204),IF($Z1204="F","Generated from "&amp;INDEX(FTE_Allocation!$A$2:$A$201,$AB1204),"")))</f>
        <v/>
      </c>
      <c r="X1204" s="19">
        <f>IF($Z1204="","",SUM(J1204:U1204))</f>
        <v/>
      </c>
      <c r="Y1204" s="20">
        <f>ROW()-1</f>
        <v/>
      </c>
      <c r="Z1204" s="20">
        <f>IF($Y1204&lt;=Settings!$B$4*3,"C",IF($Y1204&lt;=(Settings!$B$4+Settings!$B$5)*3,"A",IF($Y1204&lt;=(Settings!$B$4+Settings!$B$5+Settings!$B$6)*3,"F","")))</f>
        <v/>
      </c>
      <c r="AA1204" s="20">
        <f>IF($Z1204="C",$Y1204,IF($Z1204="A",$Y1204-Settings!$B$4*3,IF($Z1204="F",$Y1204-(Settings!$B$4+Settings!$B$5)*3,"")))</f>
        <v/>
      </c>
      <c r="AB1204" s="20">
        <f>IF($Z1204="","",INT(($AA1204-1)/3)+1)</f>
        <v/>
      </c>
      <c r="AC1204" s="20">
        <f>IF($Z1204="","",MOD($AA1204-1,3)+1)</f>
        <v/>
      </c>
      <c r="AD1204" s="20">
        <f>IF($Z1204="","",Settings!$B$2+$AC1204-1)</f>
        <v/>
      </c>
      <c r="AE1204" s="21">
        <f>IF($Z1204="C",DATE(YEAR(INDEX(Contracts!$J$2:$J$151,$AB1204)),MONTH(INDEX(Contracts!$J$2:$J$151,$AB1204)),1),IF($Z1204="A",DATE(YEAR(INDEX(Fixed_Assets!$G$2:$G$201,$AB1204)),MONTH(INDEX(Fixed_Assets!$G$2:$G$201,$AB1204)),1),IF($Z1204="F",DATE(YEAR(MAX(N(INDEX(Workforce!$I$2:$I$151,MATCH(INDEX(FTE_Allocation!$A$2:$A$201,$AB1204),Workforce!$A$2:$A$151,0))),N(INDEX(FTE_Allocation!$I$2:$I$201,$AB1204)))),MONTH(MAX(N(INDEX(Workforce!$I$2:$I$151,MATCH(INDEX(FTE_Allocation!$A$2:$A$201,$AB1204),Workforce!$A$2:$A$151,0))),N(INDEX(FTE_Allocation!$I$2:$I$201,$AB1204)))),1),"")))</f>
        <v/>
      </c>
      <c r="AF1204" s="21">
        <f>IF($Z1204="C",IF(INDEX(Contracts!$I$2:$I$151,$AB1204)="PREPAID",EDATE(DATE(YEAR(INDEX(Contracts!$J$2:$J$151,$AB1204)),MONTH(INDEX(Contracts!$J$2:$J$151,$AB1204)),1),IF(INDEX(Contracts!$N$2:$N$151,$AB1204)="",12,INDEX(Contracts!$N$2:$N$151,$AB1204))-1),IF(INDEX(Contracts!$I$2:$I$151,$AB1204)="MONTHLY",IF(INDEX(Contracts!$K$2:$K$151,$AB1204)="",2958101,INDEX(Contracts!$K$2:$K$151,$AB1204)),0)),IF($Z1204="A",EDATE(DATE(YEAR(INDEX(Fixed_Assets!$G$2:$G$201,$AB1204)),MONTH(INDEX(Fixed_Assets!$G$2:$G$201,$AB1204)),1),INDEX(Fixed_Assets!$J$2:$J$201,$AB1204)-1),IF($Z1204="F",MIN(IF(INDEX(Workforce!$J$2:$J$151,MATCH(INDEX(FTE_Allocation!$A$2:$A$201,$AB1204),Workforce!$A$2:$A$151,0))="",2958101,INDEX(Workforce!$J$2:$J$151,MATCH(INDEX(FTE_Allocation!$A$2:$A$201,$AB1204),Workforce!$A$2:$A$151,0))),IF(INDEX(FTE_Allocation!$J$2:$J$201,$AB1204)="",2958101,INDEX(FTE_Allocation!$J$2:$J$201,$AB1204))),"")))</f>
        <v/>
      </c>
      <c r="AG1204" s="19">
        <f>IF($Z1204="C",IF(INDEX(Contracts!$I$2:$I$151,$AB1204)="PREPAID",INDEX(Contracts!$M$2:$M$151,$AB1204)/IF(INDEX(Contracts!$N$2:$N$151,$AB1204)="",12,INDEX(Contracts!$N$2:$N$151,$AB1204)),IF(INDEX(Contracts!$I$2:$I$151,$AB1204)="MONTHLY",INDEX(Contracts!$M$2:$M$151,$AB1204),0))*(1-N(INDEX(Contracts!$O$2:$O$151,$AB1204))),IF($Z1204="A",INDEX(Fixed_Assets!$H$2:$H$201,$AB1204)/INDEX(Fixed_Assets!$J$2:$J$201,$AB1204),IF($Z1204="F",INDEX(Workforce!$F$2:$F$151,MATCH(INDEX(FTE_Allocation!$A$2:$A$201,$AB1204),Workforce!$A$2:$A$151,0))*N(INDEX(FTE_Allocation!$F$2:$H$201,$AB1204,$AC1204)),"")))</f>
        <v/>
      </c>
    </row>
    <row r="1205">
      <c r="A1205" s="7">
        <f>IF($Z1205="","",$AD1205)</f>
        <v/>
      </c>
      <c r="B1205" s="7">
        <f>IF($Z1205="C",INDEX(Contracts!$D$2:$D$151,$AB1205)&amp;"",IF($Z1205="A",INDEX(Fixed_Assets!$C$2:$C$201,$AB1205)&amp;"",IF($Z1205="F",INDEX(Workforce!$B$2:$B$151,MATCH(INDEX(FTE_Allocation!$A$2:$A$201,$AB1205),Workforce!$A$2:$A$151,0))&amp;"","")))</f>
        <v/>
      </c>
      <c r="C1205" s="7">
        <f>IF($Z1205="C",INDEX(Contracts!$E$2:$E$151,$AB1205)&amp;"",IF($Z1205="A",INDEX(Fixed_Assets!$D$2:$D$201,$AB1205)&amp;"",IF($Z1205="F",INDEX(FTE_Allocation!$C$2:$C$201,$AB1205)&amp;"","")))</f>
        <v/>
      </c>
      <c r="D1205" s="7">
        <f>IF($Z1205="C",INDEX(Contracts!$B$2:$B$151,$AB1205)&amp;"",IF($Z1205="A",INDEX(Fixed_Assets!$B$2:$B$201,$AB1205)&amp;"",IF($Z1205="F",INDEX(FTE_Allocation!$B$2:$B$201,$AB1205)&amp;"","")))</f>
        <v/>
      </c>
      <c r="E1205" s="7">
        <f>IF($Z1205="C",INDEX(Contracts!$P$2:$P$151,$AB1205)&amp;"",IF($Z1205="A",INDEX(Fixed_Assets!$K$2:$K$201,$AB1205)&amp;"",IF($Z1205="F",IF(INDEX(FTE_Allocation!$D$2:$D$201,$AB1205)="PROJECT",IFERROR(INDEX(Projects!$D:$D,MATCH(INDEX(FTE_Allocation!$E$2:$E$201,$AB1205),Projects!$A:$A,0))&amp;"","#PROJECT?"),INDEX(FTE_Allocation!$E$2:$E$201,$AB1205)&amp;""),"")))</f>
        <v/>
      </c>
      <c r="F1205" s="7">
        <f>IF($Z1205="C",INDEX(Contracts!$Q$2:$Q$151,$AB1205)&amp;"",IF($Z1205="A",INDEX(Fixed_Assets!$L$2:$L$201,$AB1205)&amp;"",IF($Z1205="F",INDEX(Workforce!$K$2:$K$151,MATCH(INDEX(FTE_Allocation!$A$2:$A$201,$AB1205),Workforce!$A$2:$A$151,0))&amp;"","")))</f>
        <v/>
      </c>
      <c r="G1205" s="7">
        <f>IF($Z1205="C",INDEX(Contracts!$F$2:$F$151,$AB1205)&amp;" / "&amp;INDEX(Contracts!$G$2:$G$151,$AB1205),IF($Z1205="A",INDEX(Fixed_Assets!$E$2:$E$201,$AB1205)&amp;"",IF($Z1205="F","Personnel "&amp;INDEX(FTE_Allocation!$A$2:$A$201,$AB1205)&amp;IF(INDEX(FTE_Allocation!$D$2:$D$201,$AB1205)="PROJECT"," ("&amp;INDEX(FTE_Allocation!$E$2:$E$201,$AB1205)&amp;")",""),"")))</f>
        <v/>
      </c>
      <c r="H1205" s="7">
        <f>IF($Z1205="C","CONTRACT",IF($Z1205="A","ASSET",IF($Z1205="F","WORKFORCE","")))</f>
        <v/>
      </c>
      <c r="I1205" s="7">
        <f>IF($Z1205="C",INDEX(Contracts!$L$2:$L$151,$AB1205)&amp;"",IF($Z1205="A",INDEX(Fixed_Assets!$I$2:$I$201,$AB1205)&amp;"",IF($Z1205="F",INDEX(Workforce!$G$2:$G$151,MATCH(INDEX(FTE_Allocation!$A$2:$A$201,$AB1205),Workforce!$A$2:$A$151,0))&amp;"","")))</f>
        <v/>
      </c>
      <c r="J1205" s="18">
        <f>IF($Z1205="","",IF(AND(DATE($AD1205,1,1)&gt;=$AE1205,DATE($AD1205,1,1)&lt;=$AF1205),ROUND($AG1205,2),0))</f>
        <v/>
      </c>
      <c r="K1205" s="18">
        <f>IF($Z1205="","",IF(AND(DATE($AD1205,2,1)&gt;=$AE1205,DATE($AD1205,2,1)&lt;=$AF1205),ROUND($AG1205,2),0))</f>
        <v/>
      </c>
      <c r="L1205" s="18">
        <f>IF($Z1205="","",IF(AND(DATE($AD1205,3,1)&gt;=$AE1205,DATE($AD1205,3,1)&lt;=$AF1205),ROUND($AG1205,2),0))</f>
        <v/>
      </c>
      <c r="M1205" s="18">
        <f>IF($Z1205="","",IF(AND(DATE($AD1205,4,1)&gt;=$AE1205,DATE($AD1205,4,1)&lt;=$AF1205),ROUND($AG1205,2),0))</f>
        <v/>
      </c>
      <c r="N1205" s="18">
        <f>IF($Z1205="","",IF(AND(DATE($AD1205,5,1)&gt;=$AE1205,DATE($AD1205,5,1)&lt;=$AF1205),ROUND($AG1205,2),0))</f>
        <v/>
      </c>
      <c r="O1205" s="18">
        <f>IF($Z1205="","",IF(AND(DATE($AD1205,6,1)&gt;=$AE1205,DATE($AD1205,6,1)&lt;=$AF1205),ROUND($AG1205,2),0))</f>
        <v/>
      </c>
      <c r="P1205" s="18">
        <f>IF($Z1205="","",IF(AND(DATE($AD1205,7,1)&gt;=$AE1205,DATE($AD1205,7,1)&lt;=$AF1205),ROUND($AG1205,2),0))</f>
        <v/>
      </c>
      <c r="Q1205" s="18">
        <f>IF($Z1205="","",IF(AND(DATE($AD1205,8,1)&gt;=$AE1205,DATE($AD1205,8,1)&lt;=$AF1205),ROUND($AG1205,2),0))</f>
        <v/>
      </c>
      <c r="R1205" s="18">
        <f>IF($Z1205="","",IF(AND(DATE($AD1205,9,1)&gt;=$AE1205,DATE($AD1205,9,1)&lt;=$AF1205),ROUND($AG1205,2),0))</f>
        <v/>
      </c>
      <c r="S1205" s="18">
        <f>IF($Z1205="","",IF(AND(DATE($AD1205,10,1)&gt;=$AE1205,DATE($AD1205,10,1)&lt;=$AF1205),ROUND($AG1205,2),0))</f>
        <v/>
      </c>
      <c r="T1205" s="18">
        <f>IF($Z1205="","",IF(AND(DATE($AD1205,11,1)&gt;=$AE1205,DATE($AD1205,11,1)&lt;=$AF1205),ROUND($AG1205,2),0))</f>
        <v/>
      </c>
      <c r="U1205" s="18">
        <f>IF($Z1205="","",IF(AND(DATE($AD1205,12,1)&gt;=$AE1205,DATE($AD1205,12,1)&lt;=$AF1205),ROUND($AG1205,2),0))</f>
        <v/>
      </c>
      <c r="V1205" s="7">
        <f>IF($Z1205="C","Generated from "&amp;INDEX(Contracts!$A$2:$A$151,$AB1205),IF($Z1205="A","Generated from "&amp;INDEX(Fixed_Assets!$A$2:$A$201,$AB1205),IF($Z1205="F","Generated from "&amp;INDEX(FTE_Allocation!$A$2:$A$201,$AB1205),"")))</f>
        <v/>
      </c>
      <c r="X1205" s="19">
        <f>IF($Z1205="","",SUM(J1205:U1205))</f>
        <v/>
      </c>
      <c r="Y1205" s="20">
        <f>ROW()-1</f>
        <v/>
      </c>
      <c r="Z1205" s="20">
        <f>IF($Y1205&lt;=Settings!$B$4*3,"C",IF($Y1205&lt;=(Settings!$B$4+Settings!$B$5)*3,"A",IF($Y1205&lt;=(Settings!$B$4+Settings!$B$5+Settings!$B$6)*3,"F","")))</f>
        <v/>
      </c>
      <c r="AA1205" s="20">
        <f>IF($Z1205="C",$Y1205,IF($Z1205="A",$Y1205-Settings!$B$4*3,IF($Z1205="F",$Y1205-(Settings!$B$4+Settings!$B$5)*3,"")))</f>
        <v/>
      </c>
      <c r="AB1205" s="20">
        <f>IF($Z1205="","",INT(($AA1205-1)/3)+1)</f>
        <v/>
      </c>
      <c r="AC1205" s="20">
        <f>IF($Z1205="","",MOD($AA1205-1,3)+1)</f>
        <v/>
      </c>
      <c r="AD1205" s="20">
        <f>IF($Z1205="","",Settings!$B$2+$AC1205-1)</f>
        <v/>
      </c>
      <c r="AE1205" s="21">
        <f>IF($Z1205="C",DATE(YEAR(INDEX(Contracts!$J$2:$J$151,$AB1205)),MONTH(INDEX(Contracts!$J$2:$J$151,$AB1205)),1),IF($Z1205="A",DATE(YEAR(INDEX(Fixed_Assets!$G$2:$G$201,$AB1205)),MONTH(INDEX(Fixed_Assets!$G$2:$G$201,$AB1205)),1),IF($Z1205="F",DATE(YEAR(MAX(N(INDEX(Workforce!$I$2:$I$151,MATCH(INDEX(FTE_Allocation!$A$2:$A$201,$AB1205),Workforce!$A$2:$A$151,0))),N(INDEX(FTE_Allocation!$I$2:$I$201,$AB1205)))),MONTH(MAX(N(INDEX(Workforce!$I$2:$I$151,MATCH(INDEX(FTE_Allocation!$A$2:$A$201,$AB1205),Workforce!$A$2:$A$151,0))),N(INDEX(FTE_Allocation!$I$2:$I$201,$AB1205)))),1),"")))</f>
        <v/>
      </c>
      <c r="AF1205" s="21">
        <f>IF($Z1205="C",IF(INDEX(Contracts!$I$2:$I$151,$AB1205)="PREPAID",EDATE(DATE(YEAR(INDEX(Contracts!$J$2:$J$151,$AB1205)),MONTH(INDEX(Contracts!$J$2:$J$151,$AB1205)),1),IF(INDEX(Contracts!$N$2:$N$151,$AB1205)="",12,INDEX(Contracts!$N$2:$N$151,$AB1205))-1),IF(INDEX(Contracts!$I$2:$I$151,$AB1205)="MONTHLY",IF(INDEX(Contracts!$K$2:$K$151,$AB1205)="",2958101,INDEX(Contracts!$K$2:$K$151,$AB1205)),0)),IF($Z1205="A",EDATE(DATE(YEAR(INDEX(Fixed_Assets!$G$2:$G$201,$AB1205)),MONTH(INDEX(Fixed_Assets!$G$2:$G$201,$AB1205)),1),INDEX(Fixed_Assets!$J$2:$J$201,$AB1205)-1),IF($Z1205="F",MIN(IF(INDEX(Workforce!$J$2:$J$151,MATCH(INDEX(FTE_Allocation!$A$2:$A$201,$AB1205),Workforce!$A$2:$A$151,0))="",2958101,INDEX(Workforce!$J$2:$J$151,MATCH(INDEX(FTE_Allocation!$A$2:$A$201,$AB1205),Workforce!$A$2:$A$151,0))),IF(INDEX(FTE_Allocation!$J$2:$J$201,$AB1205)="",2958101,INDEX(FTE_Allocation!$J$2:$J$201,$AB1205))),"")))</f>
        <v/>
      </c>
      <c r="AG1205" s="19">
        <f>IF($Z1205="C",IF(INDEX(Contracts!$I$2:$I$151,$AB1205)="PREPAID",INDEX(Contracts!$M$2:$M$151,$AB1205)/IF(INDEX(Contracts!$N$2:$N$151,$AB1205)="",12,INDEX(Contracts!$N$2:$N$151,$AB1205)),IF(INDEX(Contracts!$I$2:$I$151,$AB1205)="MONTHLY",INDEX(Contracts!$M$2:$M$151,$AB1205),0))*(1-N(INDEX(Contracts!$O$2:$O$151,$AB1205))),IF($Z1205="A",INDEX(Fixed_Assets!$H$2:$H$201,$AB1205)/INDEX(Fixed_Assets!$J$2:$J$201,$AB1205),IF($Z1205="F",INDEX(Workforce!$F$2:$F$151,MATCH(INDEX(FTE_Allocation!$A$2:$A$201,$AB1205),Workforce!$A$2:$A$151,0))*N(INDEX(FTE_Allocation!$F$2:$H$201,$AB1205,$AC1205)),"")))</f>
        <v/>
      </c>
    </row>
    <row r="1206">
      <c r="A1206" s="7">
        <f>IF($Z1206="","",$AD1206)</f>
        <v/>
      </c>
      <c r="B1206" s="7">
        <f>IF($Z1206="C",INDEX(Contracts!$D$2:$D$151,$AB1206)&amp;"",IF($Z1206="A",INDEX(Fixed_Assets!$C$2:$C$201,$AB1206)&amp;"",IF($Z1206="F",INDEX(Workforce!$B$2:$B$151,MATCH(INDEX(FTE_Allocation!$A$2:$A$201,$AB1206),Workforce!$A$2:$A$151,0))&amp;"","")))</f>
        <v/>
      </c>
      <c r="C1206" s="7">
        <f>IF($Z1206="C",INDEX(Contracts!$E$2:$E$151,$AB1206)&amp;"",IF($Z1206="A",INDEX(Fixed_Assets!$D$2:$D$201,$AB1206)&amp;"",IF($Z1206="F",INDEX(FTE_Allocation!$C$2:$C$201,$AB1206)&amp;"","")))</f>
        <v/>
      </c>
      <c r="D1206" s="7">
        <f>IF($Z1206="C",INDEX(Contracts!$B$2:$B$151,$AB1206)&amp;"",IF($Z1206="A",INDEX(Fixed_Assets!$B$2:$B$201,$AB1206)&amp;"",IF($Z1206="F",INDEX(FTE_Allocation!$B$2:$B$201,$AB1206)&amp;"","")))</f>
        <v/>
      </c>
      <c r="E1206" s="7">
        <f>IF($Z1206="C",INDEX(Contracts!$P$2:$P$151,$AB1206)&amp;"",IF($Z1206="A",INDEX(Fixed_Assets!$K$2:$K$201,$AB1206)&amp;"",IF($Z1206="F",IF(INDEX(FTE_Allocation!$D$2:$D$201,$AB1206)="PROJECT",IFERROR(INDEX(Projects!$D:$D,MATCH(INDEX(FTE_Allocation!$E$2:$E$201,$AB1206),Projects!$A:$A,0))&amp;"","#PROJECT?"),INDEX(FTE_Allocation!$E$2:$E$201,$AB1206)&amp;""),"")))</f>
        <v/>
      </c>
      <c r="F1206" s="7">
        <f>IF($Z1206="C",INDEX(Contracts!$Q$2:$Q$151,$AB1206)&amp;"",IF($Z1206="A",INDEX(Fixed_Assets!$L$2:$L$201,$AB1206)&amp;"",IF($Z1206="F",INDEX(Workforce!$K$2:$K$151,MATCH(INDEX(FTE_Allocation!$A$2:$A$201,$AB1206),Workforce!$A$2:$A$151,0))&amp;"","")))</f>
        <v/>
      </c>
      <c r="G1206" s="7">
        <f>IF($Z1206="C",INDEX(Contracts!$F$2:$F$151,$AB1206)&amp;" / "&amp;INDEX(Contracts!$G$2:$G$151,$AB1206),IF($Z1206="A",INDEX(Fixed_Assets!$E$2:$E$201,$AB1206)&amp;"",IF($Z1206="F","Personnel "&amp;INDEX(FTE_Allocation!$A$2:$A$201,$AB1206)&amp;IF(INDEX(FTE_Allocation!$D$2:$D$201,$AB1206)="PROJECT"," ("&amp;INDEX(FTE_Allocation!$E$2:$E$201,$AB1206)&amp;")",""),"")))</f>
        <v/>
      </c>
      <c r="H1206" s="7">
        <f>IF($Z1206="C","CONTRACT",IF($Z1206="A","ASSET",IF($Z1206="F","WORKFORCE","")))</f>
        <v/>
      </c>
      <c r="I1206" s="7">
        <f>IF($Z1206="C",INDEX(Contracts!$L$2:$L$151,$AB1206)&amp;"",IF($Z1206="A",INDEX(Fixed_Assets!$I$2:$I$201,$AB1206)&amp;"",IF($Z1206="F",INDEX(Workforce!$G$2:$G$151,MATCH(INDEX(FTE_Allocation!$A$2:$A$201,$AB1206),Workforce!$A$2:$A$151,0))&amp;"","")))</f>
        <v/>
      </c>
      <c r="J1206" s="18">
        <f>IF($Z1206="","",IF(AND(DATE($AD1206,1,1)&gt;=$AE1206,DATE($AD1206,1,1)&lt;=$AF1206),ROUND($AG1206,2),0))</f>
        <v/>
      </c>
      <c r="K1206" s="18">
        <f>IF($Z1206="","",IF(AND(DATE($AD1206,2,1)&gt;=$AE1206,DATE($AD1206,2,1)&lt;=$AF1206),ROUND($AG1206,2),0))</f>
        <v/>
      </c>
      <c r="L1206" s="18">
        <f>IF($Z1206="","",IF(AND(DATE($AD1206,3,1)&gt;=$AE1206,DATE($AD1206,3,1)&lt;=$AF1206),ROUND($AG1206,2),0))</f>
        <v/>
      </c>
      <c r="M1206" s="18">
        <f>IF($Z1206="","",IF(AND(DATE($AD1206,4,1)&gt;=$AE1206,DATE($AD1206,4,1)&lt;=$AF1206),ROUND($AG1206,2),0))</f>
        <v/>
      </c>
      <c r="N1206" s="18">
        <f>IF($Z1206="","",IF(AND(DATE($AD1206,5,1)&gt;=$AE1206,DATE($AD1206,5,1)&lt;=$AF1206),ROUND($AG1206,2),0))</f>
        <v/>
      </c>
      <c r="O1206" s="18">
        <f>IF($Z1206="","",IF(AND(DATE($AD1206,6,1)&gt;=$AE1206,DATE($AD1206,6,1)&lt;=$AF1206),ROUND($AG1206,2),0))</f>
        <v/>
      </c>
      <c r="P1206" s="18">
        <f>IF($Z1206="","",IF(AND(DATE($AD1206,7,1)&gt;=$AE1206,DATE($AD1206,7,1)&lt;=$AF1206),ROUND($AG1206,2),0))</f>
        <v/>
      </c>
      <c r="Q1206" s="18">
        <f>IF($Z1206="","",IF(AND(DATE($AD1206,8,1)&gt;=$AE1206,DATE($AD1206,8,1)&lt;=$AF1206),ROUND($AG1206,2),0))</f>
        <v/>
      </c>
      <c r="R1206" s="18">
        <f>IF($Z1206="","",IF(AND(DATE($AD1206,9,1)&gt;=$AE1206,DATE($AD1206,9,1)&lt;=$AF1206),ROUND($AG1206,2),0))</f>
        <v/>
      </c>
      <c r="S1206" s="18">
        <f>IF($Z1206="","",IF(AND(DATE($AD1206,10,1)&gt;=$AE1206,DATE($AD1206,10,1)&lt;=$AF1206),ROUND($AG1206,2),0))</f>
        <v/>
      </c>
      <c r="T1206" s="18">
        <f>IF($Z1206="","",IF(AND(DATE($AD1206,11,1)&gt;=$AE1206,DATE($AD1206,11,1)&lt;=$AF1206),ROUND($AG1206,2),0))</f>
        <v/>
      </c>
      <c r="U1206" s="18">
        <f>IF($Z1206="","",IF(AND(DATE($AD1206,12,1)&gt;=$AE1206,DATE($AD1206,12,1)&lt;=$AF1206),ROUND($AG1206,2),0))</f>
        <v/>
      </c>
      <c r="V1206" s="7">
        <f>IF($Z1206="C","Generated from "&amp;INDEX(Contracts!$A$2:$A$151,$AB1206),IF($Z1206="A","Generated from "&amp;INDEX(Fixed_Assets!$A$2:$A$201,$AB1206),IF($Z1206="F","Generated from "&amp;INDEX(FTE_Allocation!$A$2:$A$201,$AB1206),"")))</f>
        <v/>
      </c>
      <c r="X1206" s="19">
        <f>IF($Z1206="","",SUM(J1206:U1206))</f>
        <v/>
      </c>
      <c r="Y1206" s="20">
        <f>ROW()-1</f>
        <v/>
      </c>
      <c r="Z1206" s="20">
        <f>IF($Y1206&lt;=Settings!$B$4*3,"C",IF($Y1206&lt;=(Settings!$B$4+Settings!$B$5)*3,"A",IF($Y1206&lt;=(Settings!$B$4+Settings!$B$5+Settings!$B$6)*3,"F","")))</f>
        <v/>
      </c>
      <c r="AA1206" s="20">
        <f>IF($Z1206="C",$Y1206,IF($Z1206="A",$Y1206-Settings!$B$4*3,IF($Z1206="F",$Y1206-(Settings!$B$4+Settings!$B$5)*3,"")))</f>
        <v/>
      </c>
      <c r="AB1206" s="20">
        <f>IF($Z1206="","",INT(($AA1206-1)/3)+1)</f>
        <v/>
      </c>
      <c r="AC1206" s="20">
        <f>IF($Z1206="","",MOD($AA1206-1,3)+1)</f>
        <v/>
      </c>
      <c r="AD1206" s="20">
        <f>IF($Z1206="","",Settings!$B$2+$AC1206-1)</f>
        <v/>
      </c>
      <c r="AE1206" s="21">
        <f>IF($Z1206="C",DATE(YEAR(INDEX(Contracts!$J$2:$J$151,$AB1206)),MONTH(INDEX(Contracts!$J$2:$J$151,$AB1206)),1),IF($Z1206="A",DATE(YEAR(INDEX(Fixed_Assets!$G$2:$G$201,$AB1206)),MONTH(INDEX(Fixed_Assets!$G$2:$G$201,$AB1206)),1),IF($Z1206="F",DATE(YEAR(MAX(N(INDEX(Workforce!$I$2:$I$151,MATCH(INDEX(FTE_Allocation!$A$2:$A$201,$AB1206),Workforce!$A$2:$A$151,0))),N(INDEX(FTE_Allocation!$I$2:$I$201,$AB1206)))),MONTH(MAX(N(INDEX(Workforce!$I$2:$I$151,MATCH(INDEX(FTE_Allocation!$A$2:$A$201,$AB1206),Workforce!$A$2:$A$151,0))),N(INDEX(FTE_Allocation!$I$2:$I$201,$AB1206)))),1),"")))</f>
        <v/>
      </c>
      <c r="AF1206" s="21">
        <f>IF($Z1206="C",IF(INDEX(Contracts!$I$2:$I$151,$AB1206)="PREPAID",EDATE(DATE(YEAR(INDEX(Contracts!$J$2:$J$151,$AB1206)),MONTH(INDEX(Contracts!$J$2:$J$151,$AB1206)),1),IF(INDEX(Contracts!$N$2:$N$151,$AB1206)="",12,INDEX(Contracts!$N$2:$N$151,$AB1206))-1),IF(INDEX(Contracts!$I$2:$I$151,$AB1206)="MONTHLY",IF(INDEX(Contracts!$K$2:$K$151,$AB1206)="",2958101,INDEX(Contracts!$K$2:$K$151,$AB1206)),0)),IF($Z1206="A",EDATE(DATE(YEAR(INDEX(Fixed_Assets!$G$2:$G$201,$AB1206)),MONTH(INDEX(Fixed_Assets!$G$2:$G$201,$AB1206)),1),INDEX(Fixed_Assets!$J$2:$J$201,$AB1206)-1),IF($Z1206="F",MIN(IF(INDEX(Workforce!$J$2:$J$151,MATCH(INDEX(FTE_Allocation!$A$2:$A$201,$AB1206),Workforce!$A$2:$A$151,0))="",2958101,INDEX(Workforce!$J$2:$J$151,MATCH(INDEX(FTE_Allocation!$A$2:$A$201,$AB1206),Workforce!$A$2:$A$151,0))),IF(INDEX(FTE_Allocation!$J$2:$J$201,$AB1206)="",2958101,INDEX(FTE_Allocation!$J$2:$J$201,$AB1206))),"")))</f>
        <v/>
      </c>
      <c r="AG1206" s="19">
        <f>IF($Z1206="C",IF(INDEX(Contracts!$I$2:$I$151,$AB1206)="PREPAID",INDEX(Contracts!$M$2:$M$151,$AB1206)/IF(INDEX(Contracts!$N$2:$N$151,$AB1206)="",12,INDEX(Contracts!$N$2:$N$151,$AB1206)),IF(INDEX(Contracts!$I$2:$I$151,$AB1206)="MONTHLY",INDEX(Contracts!$M$2:$M$151,$AB1206),0))*(1-N(INDEX(Contracts!$O$2:$O$151,$AB1206))),IF($Z1206="A",INDEX(Fixed_Assets!$H$2:$H$201,$AB1206)/INDEX(Fixed_Assets!$J$2:$J$201,$AB1206),IF($Z1206="F",INDEX(Workforce!$F$2:$F$151,MATCH(INDEX(FTE_Allocation!$A$2:$A$201,$AB1206),Workforce!$A$2:$A$151,0))*N(INDEX(FTE_Allocation!$F$2:$H$201,$AB1206,$AC1206)),"")))</f>
        <v/>
      </c>
    </row>
    <row r="1207">
      <c r="A1207" s="7">
        <f>IF($Z1207="","",$AD1207)</f>
        <v/>
      </c>
      <c r="B1207" s="7">
        <f>IF($Z1207="C",INDEX(Contracts!$D$2:$D$151,$AB1207)&amp;"",IF($Z1207="A",INDEX(Fixed_Assets!$C$2:$C$201,$AB1207)&amp;"",IF($Z1207="F",INDEX(Workforce!$B$2:$B$151,MATCH(INDEX(FTE_Allocation!$A$2:$A$201,$AB1207),Workforce!$A$2:$A$151,0))&amp;"","")))</f>
        <v/>
      </c>
      <c r="C1207" s="7">
        <f>IF($Z1207="C",INDEX(Contracts!$E$2:$E$151,$AB1207)&amp;"",IF($Z1207="A",INDEX(Fixed_Assets!$D$2:$D$201,$AB1207)&amp;"",IF($Z1207="F",INDEX(FTE_Allocation!$C$2:$C$201,$AB1207)&amp;"","")))</f>
        <v/>
      </c>
      <c r="D1207" s="7">
        <f>IF($Z1207="C",INDEX(Contracts!$B$2:$B$151,$AB1207)&amp;"",IF($Z1207="A",INDEX(Fixed_Assets!$B$2:$B$201,$AB1207)&amp;"",IF($Z1207="F",INDEX(FTE_Allocation!$B$2:$B$201,$AB1207)&amp;"","")))</f>
        <v/>
      </c>
      <c r="E1207" s="7">
        <f>IF($Z1207="C",INDEX(Contracts!$P$2:$P$151,$AB1207)&amp;"",IF($Z1207="A",INDEX(Fixed_Assets!$K$2:$K$201,$AB1207)&amp;"",IF($Z1207="F",IF(INDEX(FTE_Allocation!$D$2:$D$201,$AB1207)="PROJECT",IFERROR(INDEX(Projects!$D:$D,MATCH(INDEX(FTE_Allocation!$E$2:$E$201,$AB1207),Projects!$A:$A,0))&amp;"","#PROJECT?"),INDEX(FTE_Allocation!$E$2:$E$201,$AB1207)&amp;""),"")))</f>
        <v/>
      </c>
      <c r="F1207" s="7">
        <f>IF($Z1207="C",INDEX(Contracts!$Q$2:$Q$151,$AB1207)&amp;"",IF($Z1207="A",INDEX(Fixed_Assets!$L$2:$L$201,$AB1207)&amp;"",IF($Z1207="F",INDEX(Workforce!$K$2:$K$151,MATCH(INDEX(FTE_Allocation!$A$2:$A$201,$AB1207),Workforce!$A$2:$A$151,0))&amp;"","")))</f>
        <v/>
      </c>
      <c r="G1207" s="7">
        <f>IF($Z1207="C",INDEX(Contracts!$F$2:$F$151,$AB1207)&amp;" / "&amp;INDEX(Contracts!$G$2:$G$151,$AB1207),IF($Z1207="A",INDEX(Fixed_Assets!$E$2:$E$201,$AB1207)&amp;"",IF($Z1207="F","Personnel "&amp;INDEX(FTE_Allocation!$A$2:$A$201,$AB1207)&amp;IF(INDEX(FTE_Allocation!$D$2:$D$201,$AB1207)="PROJECT"," ("&amp;INDEX(FTE_Allocation!$E$2:$E$201,$AB1207)&amp;")",""),"")))</f>
        <v/>
      </c>
      <c r="H1207" s="7">
        <f>IF($Z1207="C","CONTRACT",IF($Z1207="A","ASSET",IF($Z1207="F","WORKFORCE","")))</f>
        <v/>
      </c>
      <c r="I1207" s="7">
        <f>IF($Z1207="C",INDEX(Contracts!$L$2:$L$151,$AB1207)&amp;"",IF($Z1207="A",INDEX(Fixed_Assets!$I$2:$I$201,$AB1207)&amp;"",IF($Z1207="F",INDEX(Workforce!$G$2:$G$151,MATCH(INDEX(FTE_Allocation!$A$2:$A$201,$AB1207),Workforce!$A$2:$A$151,0))&amp;"","")))</f>
        <v/>
      </c>
      <c r="J1207" s="18">
        <f>IF($Z1207="","",IF(AND(DATE($AD1207,1,1)&gt;=$AE1207,DATE($AD1207,1,1)&lt;=$AF1207),ROUND($AG1207,2),0))</f>
        <v/>
      </c>
      <c r="K1207" s="18">
        <f>IF($Z1207="","",IF(AND(DATE($AD1207,2,1)&gt;=$AE1207,DATE($AD1207,2,1)&lt;=$AF1207),ROUND($AG1207,2),0))</f>
        <v/>
      </c>
      <c r="L1207" s="18">
        <f>IF($Z1207="","",IF(AND(DATE($AD1207,3,1)&gt;=$AE1207,DATE($AD1207,3,1)&lt;=$AF1207),ROUND($AG1207,2),0))</f>
        <v/>
      </c>
      <c r="M1207" s="18">
        <f>IF($Z1207="","",IF(AND(DATE($AD1207,4,1)&gt;=$AE1207,DATE($AD1207,4,1)&lt;=$AF1207),ROUND($AG1207,2),0))</f>
        <v/>
      </c>
      <c r="N1207" s="18">
        <f>IF($Z1207="","",IF(AND(DATE($AD1207,5,1)&gt;=$AE1207,DATE($AD1207,5,1)&lt;=$AF1207),ROUND($AG1207,2),0))</f>
        <v/>
      </c>
      <c r="O1207" s="18">
        <f>IF($Z1207="","",IF(AND(DATE($AD1207,6,1)&gt;=$AE1207,DATE($AD1207,6,1)&lt;=$AF1207),ROUND($AG1207,2),0))</f>
        <v/>
      </c>
      <c r="P1207" s="18">
        <f>IF($Z1207="","",IF(AND(DATE($AD1207,7,1)&gt;=$AE1207,DATE($AD1207,7,1)&lt;=$AF1207),ROUND($AG1207,2),0))</f>
        <v/>
      </c>
      <c r="Q1207" s="18">
        <f>IF($Z1207="","",IF(AND(DATE($AD1207,8,1)&gt;=$AE1207,DATE($AD1207,8,1)&lt;=$AF1207),ROUND($AG1207,2),0))</f>
        <v/>
      </c>
      <c r="R1207" s="18">
        <f>IF($Z1207="","",IF(AND(DATE($AD1207,9,1)&gt;=$AE1207,DATE($AD1207,9,1)&lt;=$AF1207),ROUND($AG1207,2),0))</f>
        <v/>
      </c>
      <c r="S1207" s="18">
        <f>IF($Z1207="","",IF(AND(DATE($AD1207,10,1)&gt;=$AE1207,DATE($AD1207,10,1)&lt;=$AF1207),ROUND($AG1207,2),0))</f>
        <v/>
      </c>
      <c r="T1207" s="18">
        <f>IF($Z1207="","",IF(AND(DATE($AD1207,11,1)&gt;=$AE1207,DATE($AD1207,11,1)&lt;=$AF1207),ROUND($AG1207,2),0))</f>
        <v/>
      </c>
      <c r="U1207" s="18">
        <f>IF($Z1207="","",IF(AND(DATE($AD1207,12,1)&gt;=$AE1207,DATE($AD1207,12,1)&lt;=$AF1207),ROUND($AG1207,2),0))</f>
        <v/>
      </c>
      <c r="V1207" s="7">
        <f>IF($Z1207="C","Generated from "&amp;INDEX(Contracts!$A$2:$A$151,$AB1207),IF($Z1207="A","Generated from "&amp;INDEX(Fixed_Assets!$A$2:$A$201,$AB1207),IF($Z1207="F","Generated from "&amp;INDEX(FTE_Allocation!$A$2:$A$201,$AB1207),"")))</f>
        <v/>
      </c>
      <c r="X1207" s="19">
        <f>IF($Z1207="","",SUM(J1207:U1207))</f>
        <v/>
      </c>
      <c r="Y1207" s="20">
        <f>ROW()-1</f>
        <v/>
      </c>
      <c r="Z1207" s="20">
        <f>IF($Y1207&lt;=Settings!$B$4*3,"C",IF($Y1207&lt;=(Settings!$B$4+Settings!$B$5)*3,"A",IF($Y1207&lt;=(Settings!$B$4+Settings!$B$5+Settings!$B$6)*3,"F","")))</f>
        <v/>
      </c>
      <c r="AA1207" s="20">
        <f>IF($Z1207="C",$Y1207,IF($Z1207="A",$Y1207-Settings!$B$4*3,IF($Z1207="F",$Y1207-(Settings!$B$4+Settings!$B$5)*3,"")))</f>
        <v/>
      </c>
      <c r="AB1207" s="20">
        <f>IF($Z1207="","",INT(($AA1207-1)/3)+1)</f>
        <v/>
      </c>
      <c r="AC1207" s="20">
        <f>IF($Z1207="","",MOD($AA1207-1,3)+1)</f>
        <v/>
      </c>
      <c r="AD1207" s="20">
        <f>IF($Z1207="","",Settings!$B$2+$AC1207-1)</f>
        <v/>
      </c>
      <c r="AE1207" s="21">
        <f>IF($Z1207="C",DATE(YEAR(INDEX(Contracts!$J$2:$J$151,$AB1207)),MONTH(INDEX(Contracts!$J$2:$J$151,$AB1207)),1),IF($Z1207="A",DATE(YEAR(INDEX(Fixed_Assets!$G$2:$G$201,$AB1207)),MONTH(INDEX(Fixed_Assets!$G$2:$G$201,$AB1207)),1),IF($Z1207="F",DATE(YEAR(MAX(N(INDEX(Workforce!$I$2:$I$151,MATCH(INDEX(FTE_Allocation!$A$2:$A$201,$AB1207),Workforce!$A$2:$A$151,0))),N(INDEX(FTE_Allocation!$I$2:$I$201,$AB1207)))),MONTH(MAX(N(INDEX(Workforce!$I$2:$I$151,MATCH(INDEX(FTE_Allocation!$A$2:$A$201,$AB1207),Workforce!$A$2:$A$151,0))),N(INDEX(FTE_Allocation!$I$2:$I$201,$AB1207)))),1),"")))</f>
        <v/>
      </c>
      <c r="AF1207" s="21">
        <f>IF($Z1207="C",IF(INDEX(Contracts!$I$2:$I$151,$AB1207)="PREPAID",EDATE(DATE(YEAR(INDEX(Contracts!$J$2:$J$151,$AB1207)),MONTH(INDEX(Contracts!$J$2:$J$151,$AB1207)),1),IF(INDEX(Contracts!$N$2:$N$151,$AB1207)="",12,INDEX(Contracts!$N$2:$N$151,$AB1207))-1),IF(INDEX(Contracts!$I$2:$I$151,$AB1207)="MONTHLY",IF(INDEX(Contracts!$K$2:$K$151,$AB1207)="",2958101,INDEX(Contracts!$K$2:$K$151,$AB1207)),0)),IF($Z1207="A",EDATE(DATE(YEAR(INDEX(Fixed_Assets!$G$2:$G$201,$AB1207)),MONTH(INDEX(Fixed_Assets!$G$2:$G$201,$AB1207)),1),INDEX(Fixed_Assets!$J$2:$J$201,$AB1207)-1),IF($Z1207="F",MIN(IF(INDEX(Workforce!$J$2:$J$151,MATCH(INDEX(FTE_Allocation!$A$2:$A$201,$AB1207),Workforce!$A$2:$A$151,0))="",2958101,INDEX(Workforce!$J$2:$J$151,MATCH(INDEX(FTE_Allocation!$A$2:$A$201,$AB1207),Workforce!$A$2:$A$151,0))),IF(INDEX(FTE_Allocation!$J$2:$J$201,$AB1207)="",2958101,INDEX(FTE_Allocation!$J$2:$J$201,$AB1207))),"")))</f>
        <v/>
      </c>
      <c r="AG1207" s="19">
        <f>IF($Z1207="C",IF(INDEX(Contracts!$I$2:$I$151,$AB1207)="PREPAID",INDEX(Contracts!$M$2:$M$151,$AB1207)/IF(INDEX(Contracts!$N$2:$N$151,$AB1207)="",12,INDEX(Contracts!$N$2:$N$151,$AB1207)),IF(INDEX(Contracts!$I$2:$I$151,$AB1207)="MONTHLY",INDEX(Contracts!$M$2:$M$151,$AB1207),0))*(1-N(INDEX(Contracts!$O$2:$O$151,$AB1207))),IF($Z1207="A",INDEX(Fixed_Assets!$H$2:$H$201,$AB1207)/INDEX(Fixed_Assets!$J$2:$J$201,$AB1207),IF($Z1207="F",INDEX(Workforce!$F$2:$F$151,MATCH(INDEX(FTE_Allocation!$A$2:$A$201,$AB1207),Workforce!$A$2:$A$151,0))*N(INDEX(FTE_Allocation!$F$2:$H$201,$AB1207,$AC1207)),"")))</f>
        <v/>
      </c>
    </row>
    <row r="1208">
      <c r="A1208" s="7">
        <f>IF($Z1208="","",$AD1208)</f>
        <v/>
      </c>
      <c r="B1208" s="7">
        <f>IF($Z1208="C",INDEX(Contracts!$D$2:$D$151,$AB1208)&amp;"",IF($Z1208="A",INDEX(Fixed_Assets!$C$2:$C$201,$AB1208)&amp;"",IF($Z1208="F",INDEX(Workforce!$B$2:$B$151,MATCH(INDEX(FTE_Allocation!$A$2:$A$201,$AB1208),Workforce!$A$2:$A$151,0))&amp;"","")))</f>
        <v/>
      </c>
      <c r="C1208" s="7">
        <f>IF($Z1208="C",INDEX(Contracts!$E$2:$E$151,$AB1208)&amp;"",IF($Z1208="A",INDEX(Fixed_Assets!$D$2:$D$201,$AB1208)&amp;"",IF($Z1208="F",INDEX(FTE_Allocation!$C$2:$C$201,$AB1208)&amp;"","")))</f>
        <v/>
      </c>
      <c r="D1208" s="7">
        <f>IF($Z1208="C",INDEX(Contracts!$B$2:$B$151,$AB1208)&amp;"",IF($Z1208="A",INDEX(Fixed_Assets!$B$2:$B$201,$AB1208)&amp;"",IF($Z1208="F",INDEX(FTE_Allocation!$B$2:$B$201,$AB1208)&amp;"","")))</f>
        <v/>
      </c>
      <c r="E1208" s="7">
        <f>IF($Z1208="C",INDEX(Contracts!$P$2:$P$151,$AB1208)&amp;"",IF($Z1208="A",INDEX(Fixed_Assets!$K$2:$K$201,$AB1208)&amp;"",IF($Z1208="F",IF(INDEX(FTE_Allocation!$D$2:$D$201,$AB1208)="PROJECT",IFERROR(INDEX(Projects!$D:$D,MATCH(INDEX(FTE_Allocation!$E$2:$E$201,$AB1208),Projects!$A:$A,0))&amp;"","#PROJECT?"),INDEX(FTE_Allocation!$E$2:$E$201,$AB1208)&amp;""),"")))</f>
        <v/>
      </c>
      <c r="F1208" s="7">
        <f>IF($Z1208="C",INDEX(Contracts!$Q$2:$Q$151,$AB1208)&amp;"",IF($Z1208="A",INDEX(Fixed_Assets!$L$2:$L$201,$AB1208)&amp;"",IF($Z1208="F",INDEX(Workforce!$K$2:$K$151,MATCH(INDEX(FTE_Allocation!$A$2:$A$201,$AB1208),Workforce!$A$2:$A$151,0))&amp;"","")))</f>
        <v/>
      </c>
      <c r="G1208" s="7">
        <f>IF($Z1208="C",INDEX(Contracts!$F$2:$F$151,$AB1208)&amp;" / "&amp;INDEX(Contracts!$G$2:$G$151,$AB1208),IF($Z1208="A",INDEX(Fixed_Assets!$E$2:$E$201,$AB1208)&amp;"",IF($Z1208="F","Personnel "&amp;INDEX(FTE_Allocation!$A$2:$A$201,$AB1208)&amp;IF(INDEX(FTE_Allocation!$D$2:$D$201,$AB1208)="PROJECT"," ("&amp;INDEX(FTE_Allocation!$E$2:$E$201,$AB1208)&amp;")",""),"")))</f>
        <v/>
      </c>
      <c r="H1208" s="7">
        <f>IF($Z1208="C","CONTRACT",IF($Z1208="A","ASSET",IF($Z1208="F","WORKFORCE","")))</f>
        <v/>
      </c>
      <c r="I1208" s="7">
        <f>IF($Z1208="C",INDEX(Contracts!$L$2:$L$151,$AB1208)&amp;"",IF($Z1208="A",INDEX(Fixed_Assets!$I$2:$I$201,$AB1208)&amp;"",IF($Z1208="F",INDEX(Workforce!$G$2:$G$151,MATCH(INDEX(FTE_Allocation!$A$2:$A$201,$AB1208),Workforce!$A$2:$A$151,0))&amp;"","")))</f>
        <v/>
      </c>
      <c r="J1208" s="18">
        <f>IF($Z1208="","",IF(AND(DATE($AD1208,1,1)&gt;=$AE1208,DATE($AD1208,1,1)&lt;=$AF1208),ROUND($AG1208,2),0))</f>
        <v/>
      </c>
      <c r="K1208" s="18">
        <f>IF($Z1208="","",IF(AND(DATE($AD1208,2,1)&gt;=$AE1208,DATE($AD1208,2,1)&lt;=$AF1208),ROUND($AG1208,2),0))</f>
        <v/>
      </c>
      <c r="L1208" s="18">
        <f>IF($Z1208="","",IF(AND(DATE($AD1208,3,1)&gt;=$AE1208,DATE($AD1208,3,1)&lt;=$AF1208),ROUND($AG1208,2),0))</f>
        <v/>
      </c>
      <c r="M1208" s="18">
        <f>IF($Z1208="","",IF(AND(DATE($AD1208,4,1)&gt;=$AE1208,DATE($AD1208,4,1)&lt;=$AF1208),ROUND($AG1208,2),0))</f>
        <v/>
      </c>
      <c r="N1208" s="18">
        <f>IF($Z1208="","",IF(AND(DATE($AD1208,5,1)&gt;=$AE1208,DATE($AD1208,5,1)&lt;=$AF1208),ROUND($AG1208,2),0))</f>
        <v/>
      </c>
      <c r="O1208" s="18">
        <f>IF($Z1208="","",IF(AND(DATE($AD1208,6,1)&gt;=$AE1208,DATE($AD1208,6,1)&lt;=$AF1208),ROUND($AG1208,2),0))</f>
        <v/>
      </c>
      <c r="P1208" s="18">
        <f>IF($Z1208="","",IF(AND(DATE($AD1208,7,1)&gt;=$AE1208,DATE($AD1208,7,1)&lt;=$AF1208),ROUND($AG1208,2),0))</f>
        <v/>
      </c>
      <c r="Q1208" s="18">
        <f>IF($Z1208="","",IF(AND(DATE($AD1208,8,1)&gt;=$AE1208,DATE($AD1208,8,1)&lt;=$AF1208),ROUND($AG1208,2),0))</f>
        <v/>
      </c>
      <c r="R1208" s="18">
        <f>IF($Z1208="","",IF(AND(DATE($AD1208,9,1)&gt;=$AE1208,DATE($AD1208,9,1)&lt;=$AF1208),ROUND($AG1208,2),0))</f>
        <v/>
      </c>
      <c r="S1208" s="18">
        <f>IF($Z1208="","",IF(AND(DATE($AD1208,10,1)&gt;=$AE1208,DATE($AD1208,10,1)&lt;=$AF1208),ROUND($AG1208,2),0))</f>
        <v/>
      </c>
      <c r="T1208" s="18">
        <f>IF($Z1208="","",IF(AND(DATE($AD1208,11,1)&gt;=$AE1208,DATE($AD1208,11,1)&lt;=$AF1208),ROUND($AG1208,2),0))</f>
        <v/>
      </c>
      <c r="U1208" s="18">
        <f>IF($Z1208="","",IF(AND(DATE($AD1208,12,1)&gt;=$AE1208,DATE($AD1208,12,1)&lt;=$AF1208),ROUND($AG1208,2),0))</f>
        <v/>
      </c>
      <c r="V1208" s="7">
        <f>IF($Z1208="C","Generated from "&amp;INDEX(Contracts!$A$2:$A$151,$AB1208),IF($Z1208="A","Generated from "&amp;INDEX(Fixed_Assets!$A$2:$A$201,$AB1208),IF($Z1208="F","Generated from "&amp;INDEX(FTE_Allocation!$A$2:$A$201,$AB1208),"")))</f>
        <v/>
      </c>
      <c r="X1208" s="19">
        <f>IF($Z1208="","",SUM(J1208:U1208))</f>
        <v/>
      </c>
      <c r="Y1208" s="20">
        <f>ROW()-1</f>
        <v/>
      </c>
      <c r="Z1208" s="20">
        <f>IF($Y1208&lt;=Settings!$B$4*3,"C",IF($Y1208&lt;=(Settings!$B$4+Settings!$B$5)*3,"A",IF($Y1208&lt;=(Settings!$B$4+Settings!$B$5+Settings!$B$6)*3,"F","")))</f>
        <v/>
      </c>
      <c r="AA1208" s="20">
        <f>IF($Z1208="C",$Y1208,IF($Z1208="A",$Y1208-Settings!$B$4*3,IF($Z1208="F",$Y1208-(Settings!$B$4+Settings!$B$5)*3,"")))</f>
        <v/>
      </c>
      <c r="AB1208" s="20">
        <f>IF($Z1208="","",INT(($AA1208-1)/3)+1)</f>
        <v/>
      </c>
      <c r="AC1208" s="20">
        <f>IF($Z1208="","",MOD($AA1208-1,3)+1)</f>
        <v/>
      </c>
      <c r="AD1208" s="20">
        <f>IF($Z1208="","",Settings!$B$2+$AC1208-1)</f>
        <v/>
      </c>
      <c r="AE1208" s="21">
        <f>IF($Z1208="C",DATE(YEAR(INDEX(Contracts!$J$2:$J$151,$AB1208)),MONTH(INDEX(Contracts!$J$2:$J$151,$AB1208)),1),IF($Z1208="A",DATE(YEAR(INDEX(Fixed_Assets!$G$2:$G$201,$AB1208)),MONTH(INDEX(Fixed_Assets!$G$2:$G$201,$AB1208)),1),IF($Z1208="F",DATE(YEAR(MAX(N(INDEX(Workforce!$I$2:$I$151,MATCH(INDEX(FTE_Allocation!$A$2:$A$201,$AB1208),Workforce!$A$2:$A$151,0))),N(INDEX(FTE_Allocation!$I$2:$I$201,$AB1208)))),MONTH(MAX(N(INDEX(Workforce!$I$2:$I$151,MATCH(INDEX(FTE_Allocation!$A$2:$A$201,$AB1208),Workforce!$A$2:$A$151,0))),N(INDEX(FTE_Allocation!$I$2:$I$201,$AB1208)))),1),"")))</f>
        <v/>
      </c>
      <c r="AF1208" s="21">
        <f>IF($Z1208="C",IF(INDEX(Contracts!$I$2:$I$151,$AB1208)="PREPAID",EDATE(DATE(YEAR(INDEX(Contracts!$J$2:$J$151,$AB1208)),MONTH(INDEX(Contracts!$J$2:$J$151,$AB1208)),1),IF(INDEX(Contracts!$N$2:$N$151,$AB1208)="",12,INDEX(Contracts!$N$2:$N$151,$AB1208))-1),IF(INDEX(Contracts!$I$2:$I$151,$AB1208)="MONTHLY",IF(INDEX(Contracts!$K$2:$K$151,$AB1208)="",2958101,INDEX(Contracts!$K$2:$K$151,$AB1208)),0)),IF($Z1208="A",EDATE(DATE(YEAR(INDEX(Fixed_Assets!$G$2:$G$201,$AB1208)),MONTH(INDEX(Fixed_Assets!$G$2:$G$201,$AB1208)),1),INDEX(Fixed_Assets!$J$2:$J$201,$AB1208)-1),IF($Z1208="F",MIN(IF(INDEX(Workforce!$J$2:$J$151,MATCH(INDEX(FTE_Allocation!$A$2:$A$201,$AB1208),Workforce!$A$2:$A$151,0))="",2958101,INDEX(Workforce!$J$2:$J$151,MATCH(INDEX(FTE_Allocation!$A$2:$A$201,$AB1208),Workforce!$A$2:$A$151,0))),IF(INDEX(FTE_Allocation!$J$2:$J$201,$AB1208)="",2958101,INDEX(FTE_Allocation!$J$2:$J$201,$AB1208))),"")))</f>
        <v/>
      </c>
      <c r="AG1208" s="19">
        <f>IF($Z1208="C",IF(INDEX(Contracts!$I$2:$I$151,$AB1208)="PREPAID",INDEX(Contracts!$M$2:$M$151,$AB1208)/IF(INDEX(Contracts!$N$2:$N$151,$AB1208)="",12,INDEX(Contracts!$N$2:$N$151,$AB1208)),IF(INDEX(Contracts!$I$2:$I$151,$AB1208)="MONTHLY",INDEX(Contracts!$M$2:$M$151,$AB1208),0))*(1-N(INDEX(Contracts!$O$2:$O$151,$AB1208))),IF($Z1208="A",INDEX(Fixed_Assets!$H$2:$H$201,$AB1208)/INDEX(Fixed_Assets!$J$2:$J$201,$AB1208),IF($Z1208="F",INDEX(Workforce!$F$2:$F$151,MATCH(INDEX(FTE_Allocation!$A$2:$A$201,$AB1208),Workforce!$A$2:$A$151,0))*N(INDEX(FTE_Allocation!$F$2:$H$201,$AB1208,$AC1208)),"")))</f>
        <v/>
      </c>
    </row>
    <row r="1209">
      <c r="A1209" s="7">
        <f>IF($Z1209="","",$AD1209)</f>
        <v/>
      </c>
      <c r="B1209" s="7">
        <f>IF($Z1209="C",INDEX(Contracts!$D$2:$D$151,$AB1209)&amp;"",IF($Z1209="A",INDEX(Fixed_Assets!$C$2:$C$201,$AB1209)&amp;"",IF($Z1209="F",INDEX(Workforce!$B$2:$B$151,MATCH(INDEX(FTE_Allocation!$A$2:$A$201,$AB1209),Workforce!$A$2:$A$151,0))&amp;"","")))</f>
        <v/>
      </c>
      <c r="C1209" s="7">
        <f>IF($Z1209="C",INDEX(Contracts!$E$2:$E$151,$AB1209)&amp;"",IF($Z1209="A",INDEX(Fixed_Assets!$D$2:$D$201,$AB1209)&amp;"",IF($Z1209="F",INDEX(FTE_Allocation!$C$2:$C$201,$AB1209)&amp;"","")))</f>
        <v/>
      </c>
      <c r="D1209" s="7">
        <f>IF($Z1209="C",INDEX(Contracts!$B$2:$B$151,$AB1209)&amp;"",IF($Z1209="A",INDEX(Fixed_Assets!$B$2:$B$201,$AB1209)&amp;"",IF($Z1209="F",INDEX(FTE_Allocation!$B$2:$B$201,$AB1209)&amp;"","")))</f>
        <v/>
      </c>
      <c r="E1209" s="7">
        <f>IF($Z1209="C",INDEX(Contracts!$P$2:$P$151,$AB1209)&amp;"",IF($Z1209="A",INDEX(Fixed_Assets!$K$2:$K$201,$AB1209)&amp;"",IF($Z1209="F",IF(INDEX(FTE_Allocation!$D$2:$D$201,$AB1209)="PROJECT",IFERROR(INDEX(Projects!$D:$D,MATCH(INDEX(FTE_Allocation!$E$2:$E$201,$AB1209),Projects!$A:$A,0))&amp;"","#PROJECT?"),INDEX(FTE_Allocation!$E$2:$E$201,$AB1209)&amp;""),"")))</f>
        <v/>
      </c>
      <c r="F1209" s="7">
        <f>IF($Z1209="C",INDEX(Contracts!$Q$2:$Q$151,$AB1209)&amp;"",IF($Z1209="A",INDEX(Fixed_Assets!$L$2:$L$201,$AB1209)&amp;"",IF($Z1209="F",INDEX(Workforce!$K$2:$K$151,MATCH(INDEX(FTE_Allocation!$A$2:$A$201,$AB1209),Workforce!$A$2:$A$151,0))&amp;"","")))</f>
        <v/>
      </c>
      <c r="G1209" s="7">
        <f>IF($Z1209="C",INDEX(Contracts!$F$2:$F$151,$AB1209)&amp;" / "&amp;INDEX(Contracts!$G$2:$G$151,$AB1209),IF($Z1209="A",INDEX(Fixed_Assets!$E$2:$E$201,$AB1209)&amp;"",IF($Z1209="F","Personnel "&amp;INDEX(FTE_Allocation!$A$2:$A$201,$AB1209)&amp;IF(INDEX(FTE_Allocation!$D$2:$D$201,$AB1209)="PROJECT"," ("&amp;INDEX(FTE_Allocation!$E$2:$E$201,$AB1209)&amp;")",""),"")))</f>
        <v/>
      </c>
      <c r="H1209" s="7">
        <f>IF($Z1209="C","CONTRACT",IF($Z1209="A","ASSET",IF($Z1209="F","WORKFORCE","")))</f>
        <v/>
      </c>
      <c r="I1209" s="7">
        <f>IF($Z1209="C",INDEX(Contracts!$L$2:$L$151,$AB1209)&amp;"",IF($Z1209="A",INDEX(Fixed_Assets!$I$2:$I$201,$AB1209)&amp;"",IF($Z1209="F",INDEX(Workforce!$G$2:$G$151,MATCH(INDEX(FTE_Allocation!$A$2:$A$201,$AB1209),Workforce!$A$2:$A$151,0))&amp;"","")))</f>
        <v/>
      </c>
      <c r="J1209" s="18">
        <f>IF($Z1209="","",IF(AND(DATE($AD1209,1,1)&gt;=$AE1209,DATE($AD1209,1,1)&lt;=$AF1209),ROUND($AG1209,2),0))</f>
        <v/>
      </c>
      <c r="K1209" s="18">
        <f>IF($Z1209="","",IF(AND(DATE($AD1209,2,1)&gt;=$AE1209,DATE($AD1209,2,1)&lt;=$AF1209),ROUND($AG1209,2),0))</f>
        <v/>
      </c>
      <c r="L1209" s="18">
        <f>IF($Z1209="","",IF(AND(DATE($AD1209,3,1)&gt;=$AE1209,DATE($AD1209,3,1)&lt;=$AF1209),ROUND($AG1209,2),0))</f>
        <v/>
      </c>
      <c r="M1209" s="18">
        <f>IF($Z1209="","",IF(AND(DATE($AD1209,4,1)&gt;=$AE1209,DATE($AD1209,4,1)&lt;=$AF1209),ROUND($AG1209,2),0))</f>
        <v/>
      </c>
      <c r="N1209" s="18">
        <f>IF($Z1209="","",IF(AND(DATE($AD1209,5,1)&gt;=$AE1209,DATE($AD1209,5,1)&lt;=$AF1209),ROUND($AG1209,2),0))</f>
        <v/>
      </c>
      <c r="O1209" s="18">
        <f>IF($Z1209="","",IF(AND(DATE($AD1209,6,1)&gt;=$AE1209,DATE($AD1209,6,1)&lt;=$AF1209),ROUND($AG1209,2),0))</f>
        <v/>
      </c>
      <c r="P1209" s="18">
        <f>IF($Z1209="","",IF(AND(DATE($AD1209,7,1)&gt;=$AE1209,DATE($AD1209,7,1)&lt;=$AF1209),ROUND($AG1209,2),0))</f>
        <v/>
      </c>
      <c r="Q1209" s="18">
        <f>IF($Z1209="","",IF(AND(DATE($AD1209,8,1)&gt;=$AE1209,DATE($AD1209,8,1)&lt;=$AF1209),ROUND($AG1209,2),0))</f>
        <v/>
      </c>
      <c r="R1209" s="18">
        <f>IF($Z1209="","",IF(AND(DATE($AD1209,9,1)&gt;=$AE1209,DATE($AD1209,9,1)&lt;=$AF1209),ROUND($AG1209,2),0))</f>
        <v/>
      </c>
      <c r="S1209" s="18">
        <f>IF($Z1209="","",IF(AND(DATE($AD1209,10,1)&gt;=$AE1209,DATE($AD1209,10,1)&lt;=$AF1209),ROUND($AG1209,2),0))</f>
        <v/>
      </c>
      <c r="T1209" s="18">
        <f>IF($Z1209="","",IF(AND(DATE($AD1209,11,1)&gt;=$AE1209,DATE($AD1209,11,1)&lt;=$AF1209),ROUND($AG1209,2),0))</f>
        <v/>
      </c>
      <c r="U1209" s="18">
        <f>IF($Z1209="","",IF(AND(DATE($AD1209,12,1)&gt;=$AE1209,DATE($AD1209,12,1)&lt;=$AF1209),ROUND($AG1209,2),0))</f>
        <v/>
      </c>
      <c r="V1209" s="7">
        <f>IF($Z1209="C","Generated from "&amp;INDEX(Contracts!$A$2:$A$151,$AB1209),IF($Z1209="A","Generated from "&amp;INDEX(Fixed_Assets!$A$2:$A$201,$AB1209),IF($Z1209="F","Generated from "&amp;INDEX(FTE_Allocation!$A$2:$A$201,$AB1209),"")))</f>
        <v/>
      </c>
      <c r="X1209" s="19">
        <f>IF($Z1209="","",SUM(J1209:U1209))</f>
        <v/>
      </c>
      <c r="Y1209" s="20">
        <f>ROW()-1</f>
        <v/>
      </c>
      <c r="Z1209" s="20">
        <f>IF($Y1209&lt;=Settings!$B$4*3,"C",IF($Y1209&lt;=(Settings!$B$4+Settings!$B$5)*3,"A",IF($Y1209&lt;=(Settings!$B$4+Settings!$B$5+Settings!$B$6)*3,"F","")))</f>
        <v/>
      </c>
      <c r="AA1209" s="20">
        <f>IF($Z1209="C",$Y1209,IF($Z1209="A",$Y1209-Settings!$B$4*3,IF($Z1209="F",$Y1209-(Settings!$B$4+Settings!$B$5)*3,"")))</f>
        <v/>
      </c>
      <c r="AB1209" s="20">
        <f>IF($Z1209="","",INT(($AA1209-1)/3)+1)</f>
        <v/>
      </c>
      <c r="AC1209" s="20">
        <f>IF($Z1209="","",MOD($AA1209-1,3)+1)</f>
        <v/>
      </c>
      <c r="AD1209" s="20">
        <f>IF($Z1209="","",Settings!$B$2+$AC1209-1)</f>
        <v/>
      </c>
      <c r="AE1209" s="21">
        <f>IF($Z1209="C",DATE(YEAR(INDEX(Contracts!$J$2:$J$151,$AB1209)),MONTH(INDEX(Contracts!$J$2:$J$151,$AB1209)),1),IF($Z1209="A",DATE(YEAR(INDEX(Fixed_Assets!$G$2:$G$201,$AB1209)),MONTH(INDEX(Fixed_Assets!$G$2:$G$201,$AB1209)),1),IF($Z1209="F",DATE(YEAR(MAX(N(INDEX(Workforce!$I$2:$I$151,MATCH(INDEX(FTE_Allocation!$A$2:$A$201,$AB1209),Workforce!$A$2:$A$151,0))),N(INDEX(FTE_Allocation!$I$2:$I$201,$AB1209)))),MONTH(MAX(N(INDEX(Workforce!$I$2:$I$151,MATCH(INDEX(FTE_Allocation!$A$2:$A$201,$AB1209),Workforce!$A$2:$A$151,0))),N(INDEX(FTE_Allocation!$I$2:$I$201,$AB1209)))),1),"")))</f>
        <v/>
      </c>
      <c r="AF1209" s="21">
        <f>IF($Z1209="C",IF(INDEX(Contracts!$I$2:$I$151,$AB1209)="PREPAID",EDATE(DATE(YEAR(INDEX(Contracts!$J$2:$J$151,$AB1209)),MONTH(INDEX(Contracts!$J$2:$J$151,$AB1209)),1),IF(INDEX(Contracts!$N$2:$N$151,$AB1209)="",12,INDEX(Contracts!$N$2:$N$151,$AB1209))-1),IF(INDEX(Contracts!$I$2:$I$151,$AB1209)="MONTHLY",IF(INDEX(Contracts!$K$2:$K$151,$AB1209)="",2958101,INDEX(Contracts!$K$2:$K$151,$AB1209)),0)),IF($Z1209="A",EDATE(DATE(YEAR(INDEX(Fixed_Assets!$G$2:$G$201,$AB1209)),MONTH(INDEX(Fixed_Assets!$G$2:$G$201,$AB1209)),1),INDEX(Fixed_Assets!$J$2:$J$201,$AB1209)-1),IF($Z1209="F",MIN(IF(INDEX(Workforce!$J$2:$J$151,MATCH(INDEX(FTE_Allocation!$A$2:$A$201,$AB1209),Workforce!$A$2:$A$151,0))="",2958101,INDEX(Workforce!$J$2:$J$151,MATCH(INDEX(FTE_Allocation!$A$2:$A$201,$AB1209),Workforce!$A$2:$A$151,0))),IF(INDEX(FTE_Allocation!$J$2:$J$201,$AB1209)="",2958101,INDEX(FTE_Allocation!$J$2:$J$201,$AB1209))),"")))</f>
        <v/>
      </c>
      <c r="AG1209" s="19">
        <f>IF($Z1209="C",IF(INDEX(Contracts!$I$2:$I$151,$AB1209)="PREPAID",INDEX(Contracts!$M$2:$M$151,$AB1209)/IF(INDEX(Contracts!$N$2:$N$151,$AB1209)="",12,INDEX(Contracts!$N$2:$N$151,$AB1209)),IF(INDEX(Contracts!$I$2:$I$151,$AB1209)="MONTHLY",INDEX(Contracts!$M$2:$M$151,$AB1209),0))*(1-N(INDEX(Contracts!$O$2:$O$151,$AB1209))),IF($Z1209="A",INDEX(Fixed_Assets!$H$2:$H$201,$AB1209)/INDEX(Fixed_Assets!$J$2:$J$201,$AB1209),IF($Z1209="F",INDEX(Workforce!$F$2:$F$151,MATCH(INDEX(FTE_Allocation!$A$2:$A$201,$AB1209),Workforce!$A$2:$A$151,0))*N(INDEX(FTE_Allocation!$F$2:$H$201,$AB1209,$AC1209)),"")))</f>
        <v/>
      </c>
    </row>
    <row r="1210">
      <c r="A1210" s="7">
        <f>IF($Z1210="","",$AD1210)</f>
        <v/>
      </c>
      <c r="B1210" s="7">
        <f>IF($Z1210="C",INDEX(Contracts!$D$2:$D$151,$AB1210)&amp;"",IF($Z1210="A",INDEX(Fixed_Assets!$C$2:$C$201,$AB1210)&amp;"",IF($Z1210="F",INDEX(Workforce!$B$2:$B$151,MATCH(INDEX(FTE_Allocation!$A$2:$A$201,$AB1210),Workforce!$A$2:$A$151,0))&amp;"","")))</f>
        <v/>
      </c>
      <c r="C1210" s="7">
        <f>IF($Z1210="C",INDEX(Contracts!$E$2:$E$151,$AB1210)&amp;"",IF($Z1210="A",INDEX(Fixed_Assets!$D$2:$D$201,$AB1210)&amp;"",IF($Z1210="F",INDEX(FTE_Allocation!$C$2:$C$201,$AB1210)&amp;"","")))</f>
        <v/>
      </c>
      <c r="D1210" s="7">
        <f>IF($Z1210="C",INDEX(Contracts!$B$2:$B$151,$AB1210)&amp;"",IF($Z1210="A",INDEX(Fixed_Assets!$B$2:$B$201,$AB1210)&amp;"",IF($Z1210="F",INDEX(FTE_Allocation!$B$2:$B$201,$AB1210)&amp;"","")))</f>
        <v/>
      </c>
      <c r="E1210" s="7">
        <f>IF($Z1210="C",INDEX(Contracts!$P$2:$P$151,$AB1210)&amp;"",IF($Z1210="A",INDEX(Fixed_Assets!$K$2:$K$201,$AB1210)&amp;"",IF($Z1210="F",IF(INDEX(FTE_Allocation!$D$2:$D$201,$AB1210)="PROJECT",IFERROR(INDEX(Projects!$D:$D,MATCH(INDEX(FTE_Allocation!$E$2:$E$201,$AB1210),Projects!$A:$A,0))&amp;"","#PROJECT?"),INDEX(FTE_Allocation!$E$2:$E$201,$AB1210)&amp;""),"")))</f>
        <v/>
      </c>
      <c r="F1210" s="7">
        <f>IF($Z1210="C",INDEX(Contracts!$Q$2:$Q$151,$AB1210)&amp;"",IF($Z1210="A",INDEX(Fixed_Assets!$L$2:$L$201,$AB1210)&amp;"",IF($Z1210="F",INDEX(Workforce!$K$2:$K$151,MATCH(INDEX(FTE_Allocation!$A$2:$A$201,$AB1210),Workforce!$A$2:$A$151,0))&amp;"","")))</f>
        <v/>
      </c>
      <c r="G1210" s="7">
        <f>IF($Z1210="C",INDEX(Contracts!$F$2:$F$151,$AB1210)&amp;" / "&amp;INDEX(Contracts!$G$2:$G$151,$AB1210),IF($Z1210="A",INDEX(Fixed_Assets!$E$2:$E$201,$AB1210)&amp;"",IF($Z1210="F","Personnel "&amp;INDEX(FTE_Allocation!$A$2:$A$201,$AB1210)&amp;IF(INDEX(FTE_Allocation!$D$2:$D$201,$AB1210)="PROJECT"," ("&amp;INDEX(FTE_Allocation!$E$2:$E$201,$AB1210)&amp;")",""),"")))</f>
        <v/>
      </c>
      <c r="H1210" s="7">
        <f>IF($Z1210="C","CONTRACT",IF($Z1210="A","ASSET",IF($Z1210="F","WORKFORCE","")))</f>
        <v/>
      </c>
      <c r="I1210" s="7">
        <f>IF($Z1210="C",INDEX(Contracts!$L$2:$L$151,$AB1210)&amp;"",IF($Z1210="A",INDEX(Fixed_Assets!$I$2:$I$201,$AB1210)&amp;"",IF($Z1210="F",INDEX(Workforce!$G$2:$G$151,MATCH(INDEX(FTE_Allocation!$A$2:$A$201,$AB1210),Workforce!$A$2:$A$151,0))&amp;"","")))</f>
        <v/>
      </c>
      <c r="J1210" s="18">
        <f>IF($Z1210="","",IF(AND(DATE($AD1210,1,1)&gt;=$AE1210,DATE($AD1210,1,1)&lt;=$AF1210),ROUND($AG1210,2),0))</f>
        <v/>
      </c>
      <c r="K1210" s="18">
        <f>IF($Z1210="","",IF(AND(DATE($AD1210,2,1)&gt;=$AE1210,DATE($AD1210,2,1)&lt;=$AF1210),ROUND($AG1210,2),0))</f>
        <v/>
      </c>
      <c r="L1210" s="18">
        <f>IF($Z1210="","",IF(AND(DATE($AD1210,3,1)&gt;=$AE1210,DATE($AD1210,3,1)&lt;=$AF1210),ROUND($AG1210,2),0))</f>
        <v/>
      </c>
      <c r="M1210" s="18">
        <f>IF($Z1210="","",IF(AND(DATE($AD1210,4,1)&gt;=$AE1210,DATE($AD1210,4,1)&lt;=$AF1210),ROUND($AG1210,2),0))</f>
        <v/>
      </c>
      <c r="N1210" s="18">
        <f>IF($Z1210="","",IF(AND(DATE($AD1210,5,1)&gt;=$AE1210,DATE($AD1210,5,1)&lt;=$AF1210),ROUND($AG1210,2),0))</f>
        <v/>
      </c>
      <c r="O1210" s="18">
        <f>IF($Z1210="","",IF(AND(DATE($AD1210,6,1)&gt;=$AE1210,DATE($AD1210,6,1)&lt;=$AF1210),ROUND($AG1210,2),0))</f>
        <v/>
      </c>
      <c r="P1210" s="18">
        <f>IF($Z1210="","",IF(AND(DATE($AD1210,7,1)&gt;=$AE1210,DATE($AD1210,7,1)&lt;=$AF1210),ROUND($AG1210,2),0))</f>
        <v/>
      </c>
      <c r="Q1210" s="18">
        <f>IF($Z1210="","",IF(AND(DATE($AD1210,8,1)&gt;=$AE1210,DATE($AD1210,8,1)&lt;=$AF1210),ROUND($AG1210,2),0))</f>
        <v/>
      </c>
      <c r="R1210" s="18">
        <f>IF($Z1210="","",IF(AND(DATE($AD1210,9,1)&gt;=$AE1210,DATE($AD1210,9,1)&lt;=$AF1210),ROUND($AG1210,2),0))</f>
        <v/>
      </c>
      <c r="S1210" s="18">
        <f>IF($Z1210="","",IF(AND(DATE($AD1210,10,1)&gt;=$AE1210,DATE($AD1210,10,1)&lt;=$AF1210),ROUND($AG1210,2),0))</f>
        <v/>
      </c>
      <c r="T1210" s="18">
        <f>IF($Z1210="","",IF(AND(DATE($AD1210,11,1)&gt;=$AE1210,DATE($AD1210,11,1)&lt;=$AF1210),ROUND($AG1210,2),0))</f>
        <v/>
      </c>
      <c r="U1210" s="18">
        <f>IF($Z1210="","",IF(AND(DATE($AD1210,12,1)&gt;=$AE1210,DATE($AD1210,12,1)&lt;=$AF1210),ROUND($AG1210,2),0))</f>
        <v/>
      </c>
      <c r="V1210" s="7">
        <f>IF($Z1210="C","Generated from "&amp;INDEX(Contracts!$A$2:$A$151,$AB1210),IF($Z1210="A","Generated from "&amp;INDEX(Fixed_Assets!$A$2:$A$201,$AB1210),IF($Z1210="F","Generated from "&amp;INDEX(FTE_Allocation!$A$2:$A$201,$AB1210),"")))</f>
        <v/>
      </c>
      <c r="X1210" s="19">
        <f>IF($Z1210="","",SUM(J1210:U1210))</f>
        <v/>
      </c>
      <c r="Y1210" s="20">
        <f>ROW()-1</f>
        <v/>
      </c>
      <c r="Z1210" s="20">
        <f>IF($Y1210&lt;=Settings!$B$4*3,"C",IF($Y1210&lt;=(Settings!$B$4+Settings!$B$5)*3,"A",IF($Y1210&lt;=(Settings!$B$4+Settings!$B$5+Settings!$B$6)*3,"F","")))</f>
        <v/>
      </c>
      <c r="AA1210" s="20">
        <f>IF($Z1210="C",$Y1210,IF($Z1210="A",$Y1210-Settings!$B$4*3,IF($Z1210="F",$Y1210-(Settings!$B$4+Settings!$B$5)*3,"")))</f>
        <v/>
      </c>
      <c r="AB1210" s="20">
        <f>IF($Z1210="","",INT(($AA1210-1)/3)+1)</f>
        <v/>
      </c>
      <c r="AC1210" s="20">
        <f>IF($Z1210="","",MOD($AA1210-1,3)+1)</f>
        <v/>
      </c>
      <c r="AD1210" s="20">
        <f>IF($Z1210="","",Settings!$B$2+$AC1210-1)</f>
        <v/>
      </c>
      <c r="AE1210" s="21">
        <f>IF($Z1210="C",DATE(YEAR(INDEX(Contracts!$J$2:$J$151,$AB1210)),MONTH(INDEX(Contracts!$J$2:$J$151,$AB1210)),1),IF($Z1210="A",DATE(YEAR(INDEX(Fixed_Assets!$G$2:$G$201,$AB1210)),MONTH(INDEX(Fixed_Assets!$G$2:$G$201,$AB1210)),1),IF($Z1210="F",DATE(YEAR(MAX(N(INDEX(Workforce!$I$2:$I$151,MATCH(INDEX(FTE_Allocation!$A$2:$A$201,$AB1210),Workforce!$A$2:$A$151,0))),N(INDEX(FTE_Allocation!$I$2:$I$201,$AB1210)))),MONTH(MAX(N(INDEX(Workforce!$I$2:$I$151,MATCH(INDEX(FTE_Allocation!$A$2:$A$201,$AB1210),Workforce!$A$2:$A$151,0))),N(INDEX(FTE_Allocation!$I$2:$I$201,$AB1210)))),1),"")))</f>
        <v/>
      </c>
      <c r="AF1210" s="21">
        <f>IF($Z1210="C",IF(INDEX(Contracts!$I$2:$I$151,$AB1210)="PREPAID",EDATE(DATE(YEAR(INDEX(Contracts!$J$2:$J$151,$AB1210)),MONTH(INDEX(Contracts!$J$2:$J$151,$AB1210)),1),IF(INDEX(Contracts!$N$2:$N$151,$AB1210)="",12,INDEX(Contracts!$N$2:$N$151,$AB1210))-1),IF(INDEX(Contracts!$I$2:$I$151,$AB1210)="MONTHLY",IF(INDEX(Contracts!$K$2:$K$151,$AB1210)="",2958101,INDEX(Contracts!$K$2:$K$151,$AB1210)),0)),IF($Z1210="A",EDATE(DATE(YEAR(INDEX(Fixed_Assets!$G$2:$G$201,$AB1210)),MONTH(INDEX(Fixed_Assets!$G$2:$G$201,$AB1210)),1),INDEX(Fixed_Assets!$J$2:$J$201,$AB1210)-1),IF($Z1210="F",MIN(IF(INDEX(Workforce!$J$2:$J$151,MATCH(INDEX(FTE_Allocation!$A$2:$A$201,$AB1210),Workforce!$A$2:$A$151,0))="",2958101,INDEX(Workforce!$J$2:$J$151,MATCH(INDEX(FTE_Allocation!$A$2:$A$201,$AB1210),Workforce!$A$2:$A$151,0))),IF(INDEX(FTE_Allocation!$J$2:$J$201,$AB1210)="",2958101,INDEX(FTE_Allocation!$J$2:$J$201,$AB1210))),"")))</f>
        <v/>
      </c>
      <c r="AG1210" s="19">
        <f>IF($Z1210="C",IF(INDEX(Contracts!$I$2:$I$151,$AB1210)="PREPAID",INDEX(Contracts!$M$2:$M$151,$AB1210)/IF(INDEX(Contracts!$N$2:$N$151,$AB1210)="",12,INDEX(Contracts!$N$2:$N$151,$AB1210)),IF(INDEX(Contracts!$I$2:$I$151,$AB1210)="MONTHLY",INDEX(Contracts!$M$2:$M$151,$AB1210),0))*(1-N(INDEX(Contracts!$O$2:$O$151,$AB1210))),IF($Z1210="A",INDEX(Fixed_Assets!$H$2:$H$201,$AB1210)/INDEX(Fixed_Assets!$J$2:$J$201,$AB1210),IF($Z1210="F",INDEX(Workforce!$F$2:$F$151,MATCH(INDEX(FTE_Allocation!$A$2:$A$201,$AB1210),Workforce!$A$2:$A$151,0))*N(INDEX(FTE_Allocation!$F$2:$H$201,$AB1210,$AC1210)),"")))</f>
        <v/>
      </c>
    </row>
    <row r="1211">
      <c r="A1211" s="7">
        <f>IF($Z1211="","",$AD1211)</f>
        <v/>
      </c>
      <c r="B1211" s="7">
        <f>IF($Z1211="C",INDEX(Contracts!$D$2:$D$151,$AB1211)&amp;"",IF($Z1211="A",INDEX(Fixed_Assets!$C$2:$C$201,$AB1211)&amp;"",IF($Z1211="F",INDEX(Workforce!$B$2:$B$151,MATCH(INDEX(FTE_Allocation!$A$2:$A$201,$AB1211),Workforce!$A$2:$A$151,0))&amp;"","")))</f>
        <v/>
      </c>
      <c r="C1211" s="7">
        <f>IF($Z1211="C",INDEX(Contracts!$E$2:$E$151,$AB1211)&amp;"",IF($Z1211="A",INDEX(Fixed_Assets!$D$2:$D$201,$AB1211)&amp;"",IF($Z1211="F",INDEX(FTE_Allocation!$C$2:$C$201,$AB1211)&amp;"","")))</f>
        <v/>
      </c>
      <c r="D1211" s="7">
        <f>IF($Z1211="C",INDEX(Contracts!$B$2:$B$151,$AB1211)&amp;"",IF($Z1211="A",INDEX(Fixed_Assets!$B$2:$B$201,$AB1211)&amp;"",IF($Z1211="F",INDEX(FTE_Allocation!$B$2:$B$201,$AB1211)&amp;"","")))</f>
        <v/>
      </c>
      <c r="E1211" s="7">
        <f>IF($Z1211="C",INDEX(Contracts!$P$2:$P$151,$AB1211)&amp;"",IF($Z1211="A",INDEX(Fixed_Assets!$K$2:$K$201,$AB1211)&amp;"",IF($Z1211="F",IF(INDEX(FTE_Allocation!$D$2:$D$201,$AB1211)="PROJECT",IFERROR(INDEX(Projects!$D:$D,MATCH(INDEX(FTE_Allocation!$E$2:$E$201,$AB1211),Projects!$A:$A,0))&amp;"","#PROJECT?"),INDEX(FTE_Allocation!$E$2:$E$201,$AB1211)&amp;""),"")))</f>
        <v/>
      </c>
      <c r="F1211" s="7">
        <f>IF($Z1211="C",INDEX(Contracts!$Q$2:$Q$151,$AB1211)&amp;"",IF($Z1211="A",INDEX(Fixed_Assets!$L$2:$L$201,$AB1211)&amp;"",IF($Z1211="F",INDEX(Workforce!$K$2:$K$151,MATCH(INDEX(FTE_Allocation!$A$2:$A$201,$AB1211),Workforce!$A$2:$A$151,0))&amp;"","")))</f>
        <v/>
      </c>
      <c r="G1211" s="7">
        <f>IF($Z1211="C",INDEX(Contracts!$F$2:$F$151,$AB1211)&amp;" / "&amp;INDEX(Contracts!$G$2:$G$151,$AB1211),IF($Z1211="A",INDEX(Fixed_Assets!$E$2:$E$201,$AB1211)&amp;"",IF($Z1211="F","Personnel "&amp;INDEX(FTE_Allocation!$A$2:$A$201,$AB1211)&amp;IF(INDEX(FTE_Allocation!$D$2:$D$201,$AB1211)="PROJECT"," ("&amp;INDEX(FTE_Allocation!$E$2:$E$201,$AB1211)&amp;")",""),"")))</f>
        <v/>
      </c>
      <c r="H1211" s="7">
        <f>IF($Z1211="C","CONTRACT",IF($Z1211="A","ASSET",IF($Z1211="F","WORKFORCE","")))</f>
        <v/>
      </c>
      <c r="I1211" s="7">
        <f>IF($Z1211="C",INDEX(Contracts!$L$2:$L$151,$AB1211)&amp;"",IF($Z1211="A",INDEX(Fixed_Assets!$I$2:$I$201,$AB1211)&amp;"",IF($Z1211="F",INDEX(Workforce!$G$2:$G$151,MATCH(INDEX(FTE_Allocation!$A$2:$A$201,$AB1211),Workforce!$A$2:$A$151,0))&amp;"","")))</f>
        <v/>
      </c>
      <c r="J1211" s="18">
        <f>IF($Z1211="","",IF(AND(DATE($AD1211,1,1)&gt;=$AE1211,DATE($AD1211,1,1)&lt;=$AF1211),ROUND($AG1211,2),0))</f>
        <v/>
      </c>
      <c r="K1211" s="18">
        <f>IF($Z1211="","",IF(AND(DATE($AD1211,2,1)&gt;=$AE1211,DATE($AD1211,2,1)&lt;=$AF1211),ROUND($AG1211,2),0))</f>
        <v/>
      </c>
      <c r="L1211" s="18">
        <f>IF($Z1211="","",IF(AND(DATE($AD1211,3,1)&gt;=$AE1211,DATE($AD1211,3,1)&lt;=$AF1211),ROUND($AG1211,2),0))</f>
        <v/>
      </c>
      <c r="M1211" s="18">
        <f>IF($Z1211="","",IF(AND(DATE($AD1211,4,1)&gt;=$AE1211,DATE($AD1211,4,1)&lt;=$AF1211),ROUND($AG1211,2),0))</f>
        <v/>
      </c>
      <c r="N1211" s="18">
        <f>IF($Z1211="","",IF(AND(DATE($AD1211,5,1)&gt;=$AE1211,DATE($AD1211,5,1)&lt;=$AF1211),ROUND($AG1211,2),0))</f>
        <v/>
      </c>
      <c r="O1211" s="18">
        <f>IF($Z1211="","",IF(AND(DATE($AD1211,6,1)&gt;=$AE1211,DATE($AD1211,6,1)&lt;=$AF1211),ROUND($AG1211,2),0))</f>
        <v/>
      </c>
      <c r="P1211" s="18">
        <f>IF($Z1211="","",IF(AND(DATE($AD1211,7,1)&gt;=$AE1211,DATE($AD1211,7,1)&lt;=$AF1211),ROUND($AG1211,2),0))</f>
        <v/>
      </c>
      <c r="Q1211" s="18">
        <f>IF($Z1211="","",IF(AND(DATE($AD1211,8,1)&gt;=$AE1211,DATE($AD1211,8,1)&lt;=$AF1211),ROUND($AG1211,2),0))</f>
        <v/>
      </c>
      <c r="R1211" s="18">
        <f>IF($Z1211="","",IF(AND(DATE($AD1211,9,1)&gt;=$AE1211,DATE($AD1211,9,1)&lt;=$AF1211),ROUND($AG1211,2),0))</f>
        <v/>
      </c>
      <c r="S1211" s="18">
        <f>IF($Z1211="","",IF(AND(DATE($AD1211,10,1)&gt;=$AE1211,DATE($AD1211,10,1)&lt;=$AF1211),ROUND($AG1211,2),0))</f>
        <v/>
      </c>
      <c r="T1211" s="18">
        <f>IF($Z1211="","",IF(AND(DATE($AD1211,11,1)&gt;=$AE1211,DATE($AD1211,11,1)&lt;=$AF1211),ROUND($AG1211,2),0))</f>
        <v/>
      </c>
      <c r="U1211" s="18">
        <f>IF($Z1211="","",IF(AND(DATE($AD1211,12,1)&gt;=$AE1211,DATE($AD1211,12,1)&lt;=$AF1211),ROUND($AG1211,2),0))</f>
        <v/>
      </c>
      <c r="V1211" s="7">
        <f>IF($Z1211="C","Generated from "&amp;INDEX(Contracts!$A$2:$A$151,$AB1211),IF($Z1211="A","Generated from "&amp;INDEX(Fixed_Assets!$A$2:$A$201,$AB1211),IF($Z1211="F","Generated from "&amp;INDEX(FTE_Allocation!$A$2:$A$201,$AB1211),"")))</f>
        <v/>
      </c>
      <c r="X1211" s="19">
        <f>IF($Z1211="","",SUM(J1211:U1211))</f>
        <v/>
      </c>
      <c r="Y1211" s="20">
        <f>ROW()-1</f>
        <v/>
      </c>
      <c r="Z1211" s="20">
        <f>IF($Y1211&lt;=Settings!$B$4*3,"C",IF($Y1211&lt;=(Settings!$B$4+Settings!$B$5)*3,"A",IF($Y1211&lt;=(Settings!$B$4+Settings!$B$5+Settings!$B$6)*3,"F","")))</f>
        <v/>
      </c>
      <c r="AA1211" s="20">
        <f>IF($Z1211="C",$Y1211,IF($Z1211="A",$Y1211-Settings!$B$4*3,IF($Z1211="F",$Y1211-(Settings!$B$4+Settings!$B$5)*3,"")))</f>
        <v/>
      </c>
      <c r="AB1211" s="20">
        <f>IF($Z1211="","",INT(($AA1211-1)/3)+1)</f>
        <v/>
      </c>
      <c r="AC1211" s="20">
        <f>IF($Z1211="","",MOD($AA1211-1,3)+1)</f>
        <v/>
      </c>
      <c r="AD1211" s="20">
        <f>IF($Z1211="","",Settings!$B$2+$AC1211-1)</f>
        <v/>
      </c>
      <c r="AE1211" s="21">
        <f>IF($Z1211="C",DATE(YEAR(INDEX(Contracts!$J$2:$J$151,$AB1211)),MONTH(INDEX(Contracts!$J$2:$J$151,$AB1211)),1),IF($Z1211="A",DATE(YEAR(INDEX(Fixed_Assets!$G$2:$G$201,$AB1211)),MONTH(INDEX(Fixed_Assets!$G$2:$G$201,$AB1211)),1),IF($Z1211="F",DATE(YEAR(MAX(N(INDEX(Workforce!$I$2:$I$151,MATCH(INDEX(FTE_Allocation!$A$2:$A$201,$AB1211),Workforce!$A$2:$A$151,0))),N(INDEX(FTE_Allocation!$I$2:$I$201,$AB1211)))),MONTH(MAX(N(INDEX(Workforce!$I$2:$I$151,MATCH(INDEX(FTE_Allocation!$A$2:$A$201,$AB1211),Workforce!$A$2:$A$151,0))),N(INDEX(FTE_Allocation!$I$2:$I$201,$AB1211)))),1),"")))</f>
        <v/>
      </c>
      <c r="AF1211" s="21">
        <f>IF($Z1211="C",IF(INDEX(Contracts!$I$2:$I$151,$AB1211)="PREPAID",EDATE(DATE(YEAR(INDEX(Contracts!$J$2:$J$151,$AB1211)),MONTH(INDEX(Contracts!$J$2:$J$151,$AB1211)),1),IF(INDEX(Contracts!$N$2:$N$151,$AB1211)="",12,INDEX(Contracts!$N$2:$N$151,$AB1211))-1),IF(INDEX(Contracts!$I$2:$I$151,$AB1211)="MONTHLY",IF(INDEX(Contracts!$K$2:$K$151,$AB1211)="",2958101,INDEX(Contracts!$K$2:$K$151,$AB1211)),0)),IF($Z1211="A",EDATE(DATE(YEAR(INDEX(Fixed_Assets!$G$2:$G$201,$AB1211)),MONTH(INDEX(Fixed_Assets!$G$2:$G$201,$AB1211)),1),INDEX(Fixed_Assets!$J$2:$J$201,$AB1211)-1),IF($Z1211="F",MIN(IF(INDEX(Workforce!$J$2:$J$151,MATCH(INDEX(FTE_Allocation!$A$2:$A$201,$AB1211),Workforce!$A$2:$A$151,0))="",2958101,INDEX(Workforce!$J$2:$J$151,MATCH(INDEX(FTE_Allocation!$A$2:$A$201,$AB1211),Workforce!$A$2:$A$151,0))),IF(INDEX(FTE_Allocation!$J$2:$J$201,$AB1211)="",2958101,INDEX(FTE_Allocation!$J$2:$J$201,$AB1211))),"")))</f>
        <v/>
      </c>
      <c r="AG1211" s="19">
        <f>IF($Z1211="C",IF(INDEX(Contracts!$I$2:$I$151,$AB1211)="PREPAID",INDEX(Contracts!$M$2:$M$151,$AB1211)/IF(INDEX(Contracts!$N$2:$N$151,$AB1211)="",12,INDEX(Contracts!$N$2:$N$151,$AB1211)),IF(INDEX(Contracts!$I$2:$I$151,$AB1211)="MONTHLY",INDEX(Contracts!$M$2:$M$151,$AB1211),0))*(1-N(INDEX(Contracts!$O$2:$O$151,$AB1211))),IF($Z1211="A",INDEX(Fixed_Assets!$H$2:$H$201,$AB1211)/INDEX(Fixed_Assets!$J$2:$J$201,$AB1211),IF($Z1211="F",INDEX(Workforce!$F$2:$F$151,MATCH(INDEX(FTE_Allocation!$A$2:$A$201,$AB1211),Workforce!$A$2:$A$151,0))*N(INDEX(FTE_Allocation!$F$2:$H$201,$AB1211,$AC1211)),"")))</f>
        <v/>
      </c>
    </row>
    <row r="1212">
      <c r="A1212" s="7">
        <f>IF($Z1212="","",$AD1212)</f>
        <v/>
      </c>
      <c r="B1212" s="7">
        <f>IF($Z1212="C",INDEX(Contracts!$D$2:$D$151,$AB1212)&amp;"",IF($Z1212="A",INDEX(Fixed_Assets!$C$2:$C$201,$AB1212)&amp;"",IF($Z1212="F",INDEX(Workforce!$B$2:$B$151,MATCH(INDEX(FTE_Allocation!$A$2:$A$201,$AB1212),Workforce!$A$2:$A$151,0))&amp;"","")))</f>
        <v/>
      </c>
      <c r="C1212" s="7">
        <f>IF($Z1212="C",INDEX(Contracts!$E$2:$E$151,$AB1212)&amp;"",IF($Z1212="A",INDEX(Fixed_Assets!$D$2:$D$201,$AB1212)&amp;"",IF($Z1212="F",INDEX(FTE_Allocation!$C$2:$C$201,$AB1212)&amp;"","")))</f>
        <v/>
      </c>
      <c r="D1212" s="7">
        <f>IF($Z1212="C",INDEX(Contracts!$B$2:$B$151,$AB1212)&amp;"",IF($Z1212="A",INDEX(Fixed_Assets!$B$2:$B$201,$AB1212)&amp;"",IF($Z1212="F",INDEX(FTE_Allocation!$B$2:$B$201,$AB1212)&amp;"","")))</f>
        <v/>
      </c>
      <c r="E1212" s="7">
        <f>IF($Z1212="C",INDEX(Contracts!$P$2:$P$151,$AB1212)&amp;"",IF($Z1212="A",INDEX(Fixed_Assets!$K$2:$K$201,$AB1212)&amp;"",IF($Z1212="F",IF(INDEX(FTE_Allocation!$D$2:$D$201,$AB1212)="PROJECT",IFERROR(INDEX(Projects!$D:$D,MATCH(INDEX(FTE_Allocation!$E$2:$E$201,$AB1212),Projects!$A:$A,0))&amp;"","#PROJECT?"),INDEX(FTE_Allocation!$E$2:$E$201,$AB1212)&amp;""),"")))</f>
        <v/>
      </c>
      <c r="F1212" s="7">
        <f>IF($Z1212="C",INDEX(Contracts!$Q$2:$Q$151,$AB1212)&amp;"",IF($Z1212="A",INDEX(Fixed_Assets!$L$2:$L$201,$AB1212)&amp;"",IF($Z1212="F",INDEX(Workforce!$K$2:$K$151,MATCH(INDEX(FTE_Allocation!$A$2:$A$201,$AB1212),Workforce!$A$2:$A$151,0))&amp;"","")))</f>
        <v/>
      </c>
      <c r="G1212" s="7">
        <f>IF($Z1212="C",INDEX(Contracts!$F$2:$F$151,$AB1212)&amp;" / "&amp;INDEX(Contracts!$G$2:$G$151,$AB1212),IF($Z1212="A",INDEX(Fixed_Assets!$E$2:$E$201,$AB1212)&amp;"",IF($Z1212="F","Personnel "&amp;INDEX(FTE_Allocation!$A$2:$A$201,$AB1212)&amp;IF(INDEX(FTE_Allocation!$D$2:$D$201,$AB1212)="PROJECT"," ("&amp;INDEX(FTE_Allocation!$E$2:$E$201,$AB1212)&amp;")",""),"")))</f>
        <v/>
      </c>
      <c r="H1212" s="7">
        <f>IF($Z1212="C","CONTRACT",IF($Z1212="A","ASSET",IF($Z1212="F","WORKFORCE","")))</f>
        <v/>
      </c>
      <c r="I1212" s="7">
        <f>IF($Z1212="C",INDEX(Contracts!$L$2:$L$151,$AB1212)&amp;"",IF($Z1212="A",INDEX(Fixed_Assets!$I$2:$I$201,$AB1212)&amp;"",IF($Z1212="F",INDEX(Workforce!$G$2:$G$151,MATCH(INDEX(FTE_Allocation!$A$2:$A$201,$AB1212),Workforce!$A$2:$A$151,0))&amp;"","")))</f>
        <v/>
      </c>
      <c r="J1212" s="18">
        <f>IF($Z1212="","",IF(AND(DATE($AD1212,1,1)&gt;=$AE1212,DATE($AD1212,1,1)&lt;=$AF1212),ROUND($AG1212,2),0))</f>
        <v/>
      </c>
      <c r="K1212" s="18">
        <f>IF($Z1212="","",IF(AND(DATE($AD1212,2,1)&gt;=$AE1212,DATE($AD1212,2,1)&lt;=$AF1212),ROUND($AG1212,2),0))</f>
        <v/>
      </c>
      <c r="L1212" s="18">
        <f>IF($Z1212="","",IF(AND(DATE($AD1212,3,1)&gt;=$AE1212,DATE($AD1212,3,1)&lt;=$AF1212),ROUND($AG1212,2),0))</f>
        <v/>
      </c>
      <c r="M1212" s="18">
        <f>IF($Z1212="","",IF(AND(DATE($AD1212,4,1)&gt;=$AE1212,DATE($AD1212,4,1)&lt;=$AF1212),ROUND($AG1212,2),0))</f>
        <v/>
      </c>
      <c r="N1212" s="18">
        <f>IF($Z1212="","",IF(AND(DATE($AD1212,5,1)&gt;=$AE1212,DATE($AD1212,5,1)&lt;=$AF1212),ROUND($AG1212,2),0))</f>
        <v/>
      </c>
      <c r="O1212" s="18">
        <f>IF($Z1212="","",IF(AND(DATE($AD1212,6,1)&gt;=$AE1212,DATE($AD1212,6,1)&lt;=$AF1212),ROUND($AG1212,2),0))</f>
        <v/>
      </c>
      <c r="P1212" s="18">
        <f>IF($Z1212="","",IF(AND(DATE($AD1212,7,1)&gt;=$AE1212,DATE($AD1212,7,1)&lt;=$AF1212),ROUND($AG1212,2),0))</f>
        <v/>
      </c>
      <c r="Q1212" s="18">
        <f>IF($Z1212="","",IF(AND(DATE($AD1212,8,1)&gt;=$AE1212,DATE($AD1212,8,1)&lt;=$AF1212),ROUND($AG1212,2),0))</f>
        <v/>
      </c>
      <c r="R1212" s="18">
        <f>IF($Z1212="","",IF(AND(DATE($AD1212,9,1)&gt;=$AE1212,DATE($AD1212,9,1)&lt;=$AF1212),ROUND($AG1212,2),0))</f>
        <v/>
      </c>
      <c r="S1212" s="18">
        <f>IF($Z1212="","",IF(AND(DATE($AD1212,10,1)&gt;=$AE1212,DATE($AD1212,10,1)&lt;=$AF1212),ROUND($AG1212,2),0))</f>
        <v/>
      </c>
      <c r="T1212" s="18">
        <f>IF($Z1212="","",IF(AND(DATE($AD1212,11,1)&gt;=$AE1212,DATE($AD1212,11,1)&lt;=$AF1212),ROUND($AG1212,2),0))</f>
        <v/>
      </c>
      <c r="U1212" s="18">
        <f>IF($Z1212="","",IF(AND(DATE($AD1212,12,1)&gt;=$AE1212,DATE($AD1212,12,1)&lt;=$AF1212),ROUND($AG1212,2),0))</f>
        <v/>
      </c>
      <c r="V1212" s="7">
        <f>IF($Z1212="C","Generated from "&amp;INDEX(Contracts!$A$2:$A$151,$AB1212),IF($Z1212="A","Generated from "&amp;INDEX(Fixed_Assets!$A$2:$A$201,$AB1212),IF($Z1212="F","Generated from "&amp;INDEX(FTE_Allocation!$A$2:$A$201,$AB1212),"")))</f>
        <v/>
      </c>
      <c r="X1212" s="19">
        <f>IF($Z1212="","",SUM(J1212:U1212))</f>
        <v/>
      </c>
      <c r="Y1212" s="20">
        <f>ROW()-1</f>
        <v/>
      </c>
      <c r="Z1212" s="20">
        <f>IF($Y1212&lt;=Settings!$B$4*3,"C",IF($Y1212&lt;=(Settings!$B$4+Settings!$B$5)*3,"A",IF($Y1212&lt;=(Settings!$B$4+Settings!$B$5+Settings!$B$6)*3,"F","")))</f>
        <v/>
      </c>
      <c r="AA1212" s="20">
        <f>IF($Z1212="C",$Y1212,IF($Z1212="A",$Y1212-Settings!$B$4*3,IF($Z1212="F",$Y1212-(Settings!$B$4+Settings!$B$5)*3,"")))</f>
        <v/>
      </c>
      <c r="AB1212" s="20">
        <f>IF($Z1212="","",INT(($AA1212-1)/3)+1)</f>
        <v/>
      </c>
      <c r="AC1212" s="20">
        <f>IF($Z1212="","",MOD($AA1212-1,3)+1)</f>
        <v/>
      </c>
      <c r="AD1212" s="20">
        <f>IF($Z1212="","",Settings!$B$2+$AC1212-1)</f>
        <v/>
      </c>
      <c r="AE1212" s="21">
        <f>IF($Z1212="C",DATE(YEAR(INDEX(Contracts!$J$2:$J$151,$AB1212)),MONTH(INDEX(Contracts!$J$2:$J$151,$AB1212)),1),IF($Z1212="A",DATE(YEAR(INDEX(Fixed_Assets!$G$2:$G$201,$AB1212)),MONTH(INDEX(Fixed_Assets!$G$2:$G$201,$AB1212)),1),IF($Z1212="F",DATE(YEAR(MAX(N(INDEX(Workforce!$I$2:$I$151,MATCH(INDEX(FTE_Allocation!$A$2:$A$201,$AB1212),Workforce!$A$2:$A$151,0))),N(INDEX(FTE_Allocation!$I$2:$I$201,$AB1212)))),MONTH(MAX(N(INDEX(Workforce!$I$2:$I$151,MATCH(INDEX(FTE_Allocation!$A$2:$A$201,$AB1212),Workforce!$A$2:$A$151,0))),N(INDEX(FTE_Allocation!$I$2:$I$201,$AB1212)))),1),"")))</f>
        <v/>
      </c>
      <c r="AF1212" s="21">
        <f>IF($Z1212="C",IF(INDEX(Contracts!$I$2:$I$151,$AB1212)="PREPAID",EDATE(DATE(YEAR(INDEX(Contracts!$J$2:$J$151,$AB1212)),MONTH(INDEX(Contracts!$J$2:$J$151,$AB1212)),1),IF(INDEX(Contracts!$N$2:$N$151,$AB1212)="",12,INDEX(Contracts!$N$2:$N$151,$AB1212))-1),IF(INDEX(Contracts!$I$2:$I$151,$AB1212)="MONTHLY",IF(INDEX(Contracts!$K$2:$K$151,$AB1212)="",2958101,INDEX(Contracts!$K$2:$K$151,$AB1212)),0)),IF($Z1212="A",EDATE(DATE(YEAR(INDEX(Fixed_Assets!$G$2:$G$201,$AB1212)),MONTH(INDEX(Fixed_Assets!$G$2:$G$201,$AB1212)),1),INDEX(Fixed_Assets!$J$2:$J$201,$AB1212)-1),IF($Z1212="F",MIN(IF(INDEX(Workforce!$J$2:$J$151,MATCH(INDEX(FTE_Allocation!$A$2:$A$201,$AB1212),Workforce!$A$2:$A$151,0))="",2958101,INDEX(Workforce!$J$2:$J$151,MATCH(INDEX(FTE_Allocation!$A$2:$A$201,$AB1212),Workforce!$A$2:$A$151,0))),IF(INDEX(FTE_Allocation!$J$2:$J$201,$AB1212)="",2958101,INDEX(FTE_Allocation!$J$2:$J$201,$AB1212))),"")))</f>
        <v/>
      </c>
      <c r="AG1212" s="19">
        <f>IF($Z1212="C",IF(INDEX(Contracts!$I$2:$I$151,$AB1212)="PREPAID",INDEX(Contracts!$M$2:$M$151,$AB1212)/IF(INDEX(Contracts!$N$2:$N$151,$AB1212)="",12,INDEX(Contracts!$N$2:$N$151,$AB1212)),IF(INDEX(Contracts!$I$2:$I$151,$AB1212)="MONTHLY",INDEX(Contracts!$M$2:$M$151,$AB1212),0))*(1-N(INDEX(Contracts!$O$2:$O$151,$AB1212))),IF($Z1212="A",INDEX(Fixed_Assets!$H$2:$H$201,$AB1212)/INDEX(Fixed_Assets!$J$2:$J$201,$AB1212),IF($Z1212="F",INDEX(Workforce!$F$2:$F$151,MATCH(INDEX(FTE_Allocation!$A$2:$A$201,$AB1212),Workforce!$A$2:$A$151,0))*N(INDEX(FTE_Allocation!$F$2:$H$201,$AB1212,$AC1212)),"")))</f>
        <v/>
      </c>
    </row>
    <row r="1213">
      <c r="A1213" s="7">
        <f>IF($Z1213="","",$AD1213)</f>
        <v/>
      </c>
      <c r="B1213" s="7">
        <f>IF($Z1213="C",INDEX(Contracts!$D$2:$D$151,$AB1213)&amp;"",IF($Z1213="A",INDEX(Fixed_Assets!$C$2:$C$201,$AB1213)&amp;"",IF($Z1213="F",INDEX(Workforce!$B$2:$B$151,MATCH(INDEX(FTE_Allocation!$A$2:$A$201,$AB1213),Workforce!$A$2:$A$151,0))&amp;"","")))</f>
        <v/>
      </c>
      <c r="C1213" s="7">
        <f>IF($Z1213="C",INDEX(Contracts!$E$2:$E$151,$AB1213)&amp;"",IF($Z1213="A",INDEX(Fixed_Assets!$D$2:$D$201,$AB1213)&amp;"",IF($Z1213="F",INDEX(FTE_Allocation!$C$2:$C$201,$AB1213)&amp;"","")))</f>
        <v/>
      </c>
      <c r="D1213" s="7">
        <f>IF($Z1213="C",INDEX(Contracts!$B$2:$B$151,$AB1213)&amp;"",IF($Z1213="A",INDEX(Fixed_Assets!$B$2:$B$201,$AB1213)&amp;"",IF($Z1213="F",INDEX(FTE_Allocation!$B$2:$B$201,$AB1213)&amp;"","")))</f>
        <v/>
      </c>
      <c r="E1213" s="7">
        <f>IF($Z1213="C",INDEX(Contracts!$P$2:$P$151,$AB1213)&amp;"",IF($Z1213="A",INDEX(Fixed_Assets!$K$2:$K$201,$AB1213)&amp;"",IF($Z1213="F",IF(INDEX(FTE_Allocation!$D$2:$D$201,$AB1213)="PROJECT",IFERROR(INDEX(Projects!$D:$D,MATCH(INDEX(FTE_Allocation!$E$2:$E$201,$AB1213),Projects!$A:$A,0))&amp;"","#PROJECT?"),INDEX(FTE_Allocation!$E$2:$E$201,$AB1213)&amp;""),"")))</f>
        <v/>
      </c>
      <c r="F1213" s="7">
        <f>IF($Z1213="C",INDEX(Contracts!$Q$2:$Q$151,$AB1213)&amp;"",IF($Z1213="A",INDEX(Fixed_Assets!$L$2:$L$201,$AB1213)&amp;"",IF($Z1213="F",INDEX(Workforce!$K$2:$K$151,MATCH(INDEX(FTE_Allocation!$A$2:$A$201,$AB1213),Workforce!$A$2:$A$151,0))&amp;"","")))</f>
        <v/>
      </c>
      <c r="G1213" s="7">
        <f>IF($Z1213="C",INDEX(Contracts!$F$2:$F$151,$AB1213)&amp;" / "&amp;INDEX(Contracts!$G$2:$G$151,$AB1213),IF($Z1213="A",INDEX(Fixed_Assets!$E$2:$E$201,$AB1213)&amp;"",IF($Z1213="F","Personnel "&amp;INDEX(FTE_Allocation!$A$2:$A$201,$AB1213)&amp;IF(INDEX(FTE_Allocation!$D$2:$D$201,$AB1213)="PROJECT"," ("&amp;INDEX(FTE_Allocation!$E$2:$E$201,$AB1213)&amp;")",""),"")))</f>
        <v/>
      </c>
      <c r="H1213" s="7">
        <f>IF($Z1213="C","CONTRACT",IF($Z1213="A","ASSET",IF($Z1213="F","WORKFORCE","")))</f>
        <v/>
      </c>
      <c r="I1213" s="7">
        <f>IF($Z1213="C",INDEX(Contracts!$L$2:$L$151,$AB1213)&amp;"",IF($Z1213="A",INDEX(Fixed_Assets!$I$2:$I$201,$AB1213)&amp;"",IF($Z1213="F",INDEX(Workforce!$G$2:$G$151,MATCH(INDEX(FTE_Allocation!$A$2:$A$201,$AB1213),Workforce!$A$2:$A$151,0))&amp;"","")))</f>
        <v/>
      </c>
      <c r="J1213" s="18">
        <f>IF($Z1213="","",IF(AND(DATE($AD1213,1,1)&gt;=$AE1213,DATE($AD1213,1,1)&lt;=$AF1213),ROUND($AG1213,2),0))</f>
        <v/>
      </c>
      <c r="K1213" s="18">
        <f>IF($Z1213="","",IF(AND(DATE($AD1213,2,1)&gt;=$AE1213,DATE($AD1213,2,1)&lt;=$AF1213),ROUND($AG1213,2),0))</f>
        <v/>
      </c>
      <c r="L1213" s="18">
        <f>IF($Z1213="","",IF(AND(DATE($AD1213,3,1)&gt;=$AE1213,DATE($AD1213,3,1)&lt;=$AF1213),ROUND($AG1213,2),0))</f>
        <v/>
      </c>
      <c r="M1213" s="18">
        <f>IF($Z1213="","",IF(AND(DATE($AD1213,4,1)&gt;=$AE1213,DATE($AD1213,4,1)&lt;=$AF1213),ROUND($AG1213,2),0))</f>
        <v/>
      </c>
      <c r="N1213" s="18">
        <f>IF($Z1213="","",IF(AND(DATE($AD1213,5,1)&gt;=$AE1213,DATE($AD1213,5,1)&lt;=$AF1213),ROUND($AG1213,2),0))</f>
        <v/>
      </c>
      <c r="O1213" s="18">
        <f>IF($Z1213="","",IF(AND(DATE($AD1213,6,1)&gt;=$AE1213,DATE($AD1213,6,1)&lt;=$AF1213),ROUND($AG1213,2),0))</f>
        <v/>
      </c>
      <c r="P1213" s="18">
        <f>IF($Z1213="","",IF(AND(DATE($AD1213,7,1)&gt;=$AE1213,DATE($AD1213,7,1)&lt;=$AF1213),ROUND($AG1213,2),0))</f>
        <v/>
      </c>
      <c r="Q1213" s="18">
        <f>IF($Z1213="","",IF(AND(DATE($AD1213,8,1)&gt;=$AE1213,DATE($AD1213,8,1)&lt;=$AF1213),ROUND($AG1213,2),0))</f>
        <v/>
      </c>
      <c r="R1213" s="18">
        <f>IF($Z1213="","",IF(AND(DATE($AD1213,9,1)&gt;=$AE1213,DATE($AD1213,9,1)&lt;=$AF1213),ROUND($AG1213,2),0))</f>
        <v/>
      </c>
      <c r="S1213" s="18">
        <f>IF($Z1213="","",IF(AND(DATE($AD1213,10,1)&gt;=$AE1213,DATE($AD1213,10,1)&lt;=$AF1213),ROUND($AG1213,2),0))</f>
        <v/>
      </c>
      <c r="T1213" s="18">
        <f>IF($Z1213="","",IF(AND(DATE($AD1213,11,1)&gt;=$AE1213,DATE($AD1213,11,1)&lt;=$AF1213),ROUND($AG1213,2),0))</f>
        <v/>
      </c>
      <c r="U1213" s="18">
        <f>IF($Z1213="","",IF(AND(DATE($AD1213,12,1)&gt;=$AE1213,DATE($AD1213,12,1)&lt;=$AF1213),ROUND($AG1213,2),0))</f>
        <v/>
      </c>
      <c r="V1213" s="7">
        <f>IF($Z1213="C","Generated from "&amp;INDEX(Contracts!$A$2:$A$151,$AB1213),IF($Z1213="A","Generated from "&amp;INDEX(Fixed_Assets!$A$2:$A$201,$AB1213),IF($Z1213="F","Generated from "&amp;INDEX(FTE_Allocation!$A$2:$A$201,$AB1213),"")))</f>
        <v/>
      </c>
      <c r="X1213" s="19">
        <f>IF($Z1213="","",SUM(J1213:U1213))</f>
        <v/>
      </c>
      <c r="Y1213" s="20">
        <f>ROW()-1</f>
        <v/>
      </c>
      <c r="Z1213" s="20">
        <f>IF($Y1213&lt;=Settings!$B$4*3,"C",IF($Y1213&lt;=(Settings!$B$4+Settings!$B$5)*3,"A",IF($Y1213&lt;=(Settings!$B$4+Settings!$B$5+Settings!$B$6)*3,"F","")))</f>
        <v/>
      </c>
      <c r="AA1213" s="20">
        <f>IF($Z1213="C",$Y1213,IF($Z1213="A",$Y1213-Settings!$B$4*3,IF($Z1213="F",$Y1213-(Settings!$B$4+Settings!$B$5)*3,"")))</f>
        <v/>
      </c>
      <c r="AB1213" s="20">
        <f>IF($Z1213="","",INT(($AA1213-1)/3)+1)</f>
        <v/>
      </c>
      <c r="AC1213" s="20">
        <f>IF($Z1213="","",MOD($AA1213-1,3)+1)</f>
        <v/>
      </c>
      <c r="AD1213" s="20">
        <f>IF($Z1213="","",Settings!$B$2+$AC1213-1)</f>
        <v/>
      </c>
      <c r="AE1213" s="21">
        <f>IF($Z1213="C",DATE(YEAR(INDEX(Contracts!$J$2:$J$151,$AB1213)),MONTH(INDEX(Contracts!$J$2:$J$151,$AB1213)),1),IF($Z1213="A",DATE(YEAR(INDEX(Fixed_Assets!$G$2:$G$201,$AB1213)),MONTH(INDEX(Fixed_Assets!$G$2:$G$201,$AB1213)),1),IF($Z1213="F",DATE(YEAR(MAX(N(INDEX(Workforce!$I$2:$I$151,MATCH(INDEX(FTE_Allocation!$A$2:$A$201,$AB1213),Workforce!$A$2:$A$151,0))),N(INDEX(FTE_Allocation!$I$2:$I$201,$AB1213)))),MONTH(MAX(N(INDEX(Workforce!$I$2:$I$151,MATCH(INDEX(FTE_Allocation!$A$2:$A$201,$AB1213),Workforce!$A$2:$A$151,0))),N(INDEX(FTE_Allocation!$I$2:$I$201,$AB1213)))),1),"")))</f>
        <v/>
      </c>
      <c r="AF1213" s="21">
        <f>IF($Z1213="C",IF(INDEX(Contracts!$I$2:$I$151,$AB1213)="PREPAID",EDATE(DATE(YEAR(INDEX(Contracts!$J$2:$J$151,$AB1213)),MONTH(INDEX(Contracts!$J$2:$J$151,$AB1213)),1),IF(INDEX(Contracts!$N$2:$N$151,$AB1213)="",12,INDEX(Contracts!$N$2:$N$151,$AB1213))-1),IF(INDEX(Contracts!$I$2:$I$151,$AB1213)="MONTHLY",IF(INDEX(Contracts!$K$2:$K$151,$AB1213)="",2958101,INDEX(Contracts!$K$2:$K$151,$AB1213)),0)),IF($Z1213="A",EDATE(DATE(YEAR(INDEX(Fixed_Assets!$G$2:$G$201,$AB1213)),MONTH(INDEX(Fixed_Assets!$G$2:$G$201,$AB1213)),1),INDEX(Fixed_Assets!$J$2:$J$201,$AB1213)-1),IF($Z1213="F",MIN(IF(INDEX(Workforce!$J$2:$J$151,MATCH(INDEX(FTE_Allocation!$A$2:$A$201,$AB1213),Workforce!$A$2:$A$151,0))="",2958101,INDEX(Workforce!$J$2:$J$151,MATCH(INDEX(FTE_Allocation!$A$2:$A$201,$AB1213),Workforce!$A$2:$A$151,0))),IF(INDEX(FTE_Allocation!$J$2:$J$201,$AB1213)="",2958101,INDEX(FTE_Allocation!$J$2:$J$201,$AB1213))),"")))</f>
        <v/>
      </c>
      <c r="AG1213" s="19">
        <f>IF($Z1213="C",IF(INDEX(Contracts!$I$2:$I$151,$AB1213)="PREPAID",INDEX(Contracts!$M$2:$M$151,$AB1213)/IF(INDEX(Contracts!$N$2:$N$151,$AB1213)="",12,INDEX(Contracts!$N$2:$N$151,$AB1213)),IF(INDEX(Contracts!$I$2:$I$151,$AB1213)="MONTHLY",INDEX(Contracts!$M$2:$M$151,$AB1213),0))*(1-N(INDEX(Contracts!$O$2:$O$151,$AB1213))),IF($Z1213="A",INDEX(Fixed_Assets!$H$2:$H$201,$AB1213)/INDEX(Fixed_Assets!$J$2:$J$201,$AB1213),IF($Z1213="F",INDEX(Workforce!$F$2:$F$151,MATCH(INDEX(FTE_Allocation!$A$2:$A$201,$AB1213),Workforce!$A$2:$A$151,0))*N(INDEX(FTE_Allocation!$F$2:$H$201,$AB1213,$AC1213)),"")))</f>
        <v/>
      </c>
    </row>
    <row r="1214">
      <c r="A1214" s="7">
        <f>IF($Z1214="","",$AD1214)</f>
        <v/>
      </c>
      <c r="B1214" s="7">
        <f>IF($Z1214="C",INDEX(Contracts!$D$2:$D$151,$AB1214)&amp;"",IF($Z1214="A",INDEX(Fixed_Assets!$C$2:$C$201,$AB1214)&amp;"",IF($Z1214="F",INDEX(Workforce!$B$2:$B$151,MATCH(INDEX(FTE_Allocation!$A$2:$A$201,$AB1214),Workforce!$A$2:$A$151,0))&amp;"","")))</f>
        <v/>
      </c>
      <c r="C1214" s="7">
        <f>IF($Z1214="C",INDEX(Contracts!$E$2:$E$151,$AB1214)&amp;"",IF($Z1214="A",INDEX(Fixed_Assets!$D$2:$D$201,$AB1214)&amp;"",IF($Z1214="F",INDEX(FTE_Allocation!$C$2:$C$201,$AB1214)&amp;"","")))</f>
        <v/>
      </c>
      <c r="D1214" s="7">
        <f>IF($Z1214="C",INDEX(Contracts!$B$2:$B$151,$AB1214)&amp;"",IF($Z1214="A",INDEX(Fixed_Assets!$B$2:$B$201,$AB1214)&amp;"",IF($Z1214="F",INDEX(FTE_Allocation!$B$2:$B$201,$AB1214)&amp;"","")))</f>
        <v/>
      </c>
      <c r="E1214" s="7">
        <f>IF($Z1214="C",INDEX(Contracts!$P$2:$P$151,$AB1214)&amp;"",IF($Z1214="A",INDEX(Fixed_Assets!$K$2:$K$201,$AB1214)&amp;"",IF($Z1214="F",IF(INDEX(FTE_Allocation!$D$2:$D$201,$AB1214)="PROJECT",IFERROR(INDEX(Projects!$D:$D,MATCH(INDEX(FTE_Allocation!$E$2:$E$201,$AB1214),Projects!$A:$A,0))&amp;"","#PROJECT?"),INDEX(FTE_Allocation!$E$2:$E$201,$AB1214)&amp;""),"")))</f>
        <v/>
      </c>
      <c r="F1214" s="7">
        <f>IF($Z1214="C",INDEX(Contracts!$Q$2:$Q$151,$AB1214)&amp;"",IF($Z1214="A",INDEX(Fixed_Assets!$L$2:$L$201,$AB1214)&amp;"",IF($Z1214="F",INDEX(Workforce!$K$2:$K$151,MATCH(INDEX(FTE_Allocation!$A$2:$A$201,$AB1214),Workforce!$A$2:$A$151,0))&amp;"","")))</f>
        <v/>
      </c>
      <c r="G1214" s="7">
        <f>IF($Z1214="C",INDEX(Contracts!$F$2:$F$151,$AB1214)&amp;" / "&amp;INDEX(Contracts!$G$2:$G$151,$AB1214),IF($Z1214="A",INDEX(Fixed_Assets!$E$2:$E$201,$AB1214)&amp;"",IF($Z1214="F","Personnel "&amp;INDEX(FTE_Allocation!$A$2:$A$201,$AB1214)&amp;IF(INDEX(FTE_Allocation!$D$2:$D$201,$AB1214)="PROJECT"," ("&amp;INDEX(FTE_Allocation!$E$2:$E$201,$AB1214)&amp;")",""),"")))</f>
        <v/>
      </c>
      <c r="H1214" s="7">
        <f>IF($Z1214="C","CONTRACT",IF($Z1214="A","ASSET",IF($Z1214="F","WORKFORCE","")))</f>
        <v/>
      </c>
      <c r="I1214" s="7">
        <f>IF($Z1214="C",INDEX(Contracts!$L$2:$L$151,$AB1214)&amp;"",IF($Z1214="A",INDEX(Fixed_Assets!$I$2:$I$201,$AB1214)&amp;"",IF($Z1214="F",INDEX(Workforce!$G$2:$G$151,MATCH(INDEX(FTE_Allocation!$A$2:$A$201,$AB1214),Workforce!$A$2:$A$151,0))&amp;"","")))</f>
        <v/>
      </c>
      <c r="J1214" s="18">
        <f>IF($Z1214="","",IF(AND(DATE($AD1214,1,1)&gt;=$AE1214,DATE($AD1214,1,1)&lt;=$AF1214),ROUND($AG1214,2),0))</f>
        <v/>
      </c>
      <c r="K1214" s="18">
        <f>IF($Z1214="","",IF(AND(DATE($AD1214,2,1)&gt;=$AE1214,DATE($AD1214,2,1)&lt;=$AF1214),ROUND($AG1214,2),0))</f>
        <v/>
      </c>
      <c r="L1214" s="18">
        <f>IF($Z1214="","",IF(AND(DATE($AD1214,3,1)&gt;=$AE1214,DATE($AD1214,3,1)&lt;=$AF1214),ROUND($AG1214,2),0))</f>
        <v/>
      </c>
      <c r="M1214" s="18">
        <f>IF($Z1214="","",IF(AND(DATE($AD1214,4,1)&gt;=$AE1214,DATE($AD1214,4,1)&lt;=$AF1214),ROUND($AG1214,2),0))</f>
        <v/>
      </c>
      <c r="N1214" s="18">
        <f>IF($Z1214="","",IF(AND(DATE($AD1214,5,1)&gt;=$AE1214,DATE($AD1214,5,1)&lt;=$AF1214),ROUND($AG1214,2),0))</f>
        <v/>
      </c>
      <c r="O1214" s="18">
        <f>IF($Z1214="","",IF(AND(DATE($AD1214,6,1)&gt;=$AE1214,DATE($AD1214,6,1)&lt;=$AF1214),ROUND($AG1214,2),0))</f>
        <v/>
      </c>
      <c r="P1214" s="18">
        <f>IF($Z1214="","",IF(AND(DATE($AD1214,7,1)&gt;=$AE1214,DATE($AD1214,7,1)&lt;=$AF1214),ROUND($AG1214,2),0))</f>
        <v/>
      </c>
      <c r="Q1214" s="18">
        <f>IF($Z1214="","",IF(AND(DATE($AD1214,8,1)&gt;=$AE1214,DATE($AD1214,8,1)&lt;=$AF1214),ROUND($AG1214,2),0))</f>
        <v/>
      </c>
      <c r="R1214" s="18">
        <f>IF($Z1214="","",IF(AND(DATE($AD1214,9,1)&gt;=$AE1214,DATE($AD1214,9,1)&lt;=$AF1214),ROUND($AG1214,2),0))</f>
        <v/>
      </c>
      <c r="S1214" s="18">
        <f>IF($Z1214="","",IF(AND(DATE($AD1214,10,1)&gt;=$AE1214,DATE($AD1214,10,1)&lt;=$AF1214),ROUND($AG1214,2),0))</f>
        <v/>
      </c>
      <c r="T1214" s="18">
        <f>IF($Z1214="","",IF(AND(DATE($AD1214,11,1)&gt;=$AE1214,DATE($AD1214,11,1)&lt;=$AF1214),ROUND($AG1214,2),0))</f>
        <v/>
      </c>
      <c r="U1214" s="18">
        <f>IF($Z1214="","",IF(AND(DATE($AD1214,12,1)&gt;=$AE1214,DATE($AD1214,12,1)&lt;=$AF1214),ROUND($AG1214,2),0))</f>
        <v/>
      </c>
      <c r="V1214" s="7">
        <f>IF($Z1214="C","Generated from "&amp;INDEX(Contracts!$A$2:$A$151,$AB1214),IF($Z1214="A","Generated from "&amp;INDEX(Fixed_Assets!$A$2:$A$201,$AB1214),IF($Z1214="F","Generated from "&amp;INDEX(FTE_Allocation!$A$2:$A$201,$AB1214),"")))</f>
        <v/>
      </c>
      <c r="X1214" s="19">
        <f>IF($Z1214="","",SUM(J1214:U1214))</f>
        <v/>
      </c>
      <c r="Y1214" s="20">
        <f>ROW()-1</f>
        <v/>
      </c>
      <c r="Z1214" s="20">
        <f>IF($Y1214&lt;=Settings!$B$4*3,"C",IF($Y1214&lt;=(Settings!$B$4+Settings!$B$5)*3,"A",IF($Y1214&lt;=(Settings!$B$4+Settings!$B$5+Settings!$B$6)*3,"F","")))</f>
        <v/>
      </c>
      <c r="AA1214" s="20">
        <f>IF($Z1214="C",$Y1214,IF($Z1214="A",$Y1214-Settings!$B$4*3,IF($Z1214="F",$Y1214-(Settings!$B$4+Settings!$B$5)*3,"")))</f>
        <v/>
      </c>
      <c r="AB1214" s="20">
        <f>IF($Z1214="","",INT(($AA1214-1)/3)+1)</f>
        <v/>
      </c>
      <c r="AC1214" s="20">
        <f>IF($Z1214="","",MOD($AA1214-1,3)+1)</f>
        <v/>
      </c>
      <c r="AD1214" s="20">
        <f>IF($Z1214="","",Settings!$B$2+$AC1214-1)</f>
        <v/>
      </c>
      <c r="AE1214" s="21">
        <f>IF($Z1214="C",DATE(YEAR(INDEX(Contracts!$J$2:$J$151,$AB1214)),MONTH(INDEX(Contracts!$J$2:$J$151,$AB1214)),1),IF($Z1214="A",DATE(YEAR(INDEX(Fixed_Assets!$G$2:$G$201,$AB1214)),MONTH(INDEX(Fixed_Assets!$G$2:$G$201,$AB1214)),1),IF($Z1214="F",DATE(YEAR(MAX(N(INDEX(Workforce!$I$2:$I$151,MATCH(INDEX(FTE_Allocation!$A$2:$A$201,$AB1214),Workforce!$A$2:$A$151,0))),N(INDEX(FTE_Allocation!$I$2:$I$201,$AB1214)))),MONTH(MAX(N(INDEX(Workforce!$I$2:$I$151,MATCH(INDEX(FTE_Allocation!$A$2:$A$201,$AB1214),Workforce!$A$2:$A$151,0))),N(INDEX(FTE_Allocation!$I$2:$I$201,$AB1214)))),1),"")))</f>
        <v/>
      </c>
      <c r="AF1214" s="21">
        <f>IF($Z1214="C",IF(INDEX(Contracts!$I$2:$I$151,$AB1214)="PREPAID",EDATE(DATE(YEAR(INDEX(Contracts!$J$2:$J$151,$AB1214)),MONTH(INDEX(Contracts!$J$2:$J$151,$AB1214)),1),IF(INDEX(Contracts!$N$2:$N$151,$AB1214)="",12,INDEX(Contracts!$N$2:$N$151,$AB1214))-1),IF(INDEX(Contracts!$I$2:$I$151,$AB1214)="MONTHLY",IF(INDEX(Contracts!$K$2:$K$151,$AB1214)="",2958101,INDEX(Contracts!$K$2:$K$151,$AB1214)),0)),IF($Z1214="A",EDATE(DATE(YEAR(INDEX(Fixed_Assets!$G$2:$G$201,$AB1214)),MONTH(INDEX(Fixed_Assets!$G$2:$G$201,$AB1214)),1),INDEX(Fixed_Assets!$J$2:$J$201,$AB1214)-1),IF($Z1214="F",MIN(IF(INDEX(Workforce!$J$2:$J$151,MATCH(INDEX(FTE_Allocation!$A$2:$A$201,$AB1214),Workforce!$A$2:$A$151,0))="",2958101,INDEX(Workforce!$J$2:$J$151,MATCH(INDEX(FTE_Allocation!$A$2:$A$201,$AB1214),Workforce!$A$2:$A$151,0))),IF(INDEX(FTE_Allocation!$J$2:$J$201,$AB1214)="",2958101,INDEX(FTE_Allocation!$J$2:$J$201,$AB1214))),"")))</f>
        <v/>
      </c>
      <c r="AG1214" s="19">
        <f>IF($Z1214="C",IF(INDEX(Contracts!$I$2:$I$151,$AB1214)="PREPAID",INDEX(Contracts!$M$2:$M$151,$AB1214)/IF(INDEX(Contracts!$N$2:$N$151,$AB1214)="",12,INDEX(Contracts!$N$2:$N$151,$AB1214)),IF(INDEX(Contracts!$I$2:$I$151,$AB1214)="MONTHLY",INDEX(Contracts!$M$2:$M$151,$AB1214),0))*(1-N(INDEX(Contracts!$O$2:$O$151,$AB1214))),IF($Z1214="A",INDEX(Fixed_Assets!$H$2:$H$201,$AB1214)/INDEX(Fixed_Assets!$J$2:$J$201,$AB1214),IF($Z1214="F",INDEX(Workforce!$F$2:$F$151,MATCH(INDEX(FTE_Allocation!$A$2:$A$201,$AB1214),Workforce!$A$2:$A$151,0))*N(INDEX(FTE_Allocation!$F$2:$H$201,$AB1214,$AC1214)),"")))</f>
        <v/>
      </c>
    </row>
    <row r="1215">
      <c r="A1215" s="7">
        <f>IF($Z1215="","",$AD1215)</f>
        <v/>
      </c>
      <c r="B1215" s="7">
        <f>IF($Z1215="C",INDEX(Contracts!$D$2:$D$151,$AB1215)&amp;"",IF($Z1215="A",INDEX(Fixed_Assets!$C$2:$C$201,$AB1215)&amp;"",IF($Z1215="F",INDEX(Workforce!$B$2:$B$151,MATCH(INDEX(FTE_Allocation!$A$2:$A$201,$AB1215),Workforce!$A$2:$A$151,0))&amp;"","")))</f>
        <v/>
      </c>
      <c r="C1215" s="7">
        <f>IF($Z1215="C",INDEX(Contracts!$E$2:$E$151,$AB1215)&amp;"",IF($Z1215="A",INDEX(Fixed_Assets!$D$2:$D$201,$AB1215)&amp;"",IF($Z1215="F",INDEX(FTE_Allocation!$C$2:$C$201,$AB1215)&amp;"","")))</f>
        <v/>
      </c>
      <c r="D1215" s="7">
        <f>IF($Z1215="C",INDEX(Contracts!$B$2:$B$151,$AB1215)&amp;"",IF($Z1215="A",INDEX(Fixed_Assets!$B$2:$B$201,$AB1215)&amp;"",IF($Z1215="F",INDEX(FTE_Allocation!$B$2:$B$201,$AB1215)&amp;"","")))</f>
        <v/>
      </c>
      <c r="E1215" s="7">
        <f>IF($Z1215="C",INDEX(Contracts!$P$2:$P$151,$AB1215)&amp;"",IF($Z1215="A",INDEX(Fixed_Assets!$K$2:$K$201,$AB1215)&amp;"",IF($Z1215="F",IF(INDEX(FTE_Allocation!$D$2:$D$201,$AB1215)="PROJECT",IFERROR(INDEX(Projects!$D:$D,MATCH(INDEX(FTE_Allocation!$E$2:$E$201,$AB1215),Projects!$A:$A,0))&amp;"","#PROJECT?"),INDEX(FTE_Allocation!$E$2:$E$201,$AB1215)&amp;""),"")))</f>
        <v/>
      </c>
      <c r="F1215" s="7">
        <f>IF($Z1215="C",INDEX(Contracts!$Q$2:$Q$151,$AB1215)&amp;"",IF($Z1215="A",INDEX(Fixed_Assets!$L$2:$L$201,$AB1215)&amp;"",IF($Z1215="F",INDEX(Workforce!$K$2:$K$151,MATCH(INDEX(FTE_Allocation!$A$2:$A$201,$AB1215),Workforce!$A$2:$A$151,0))&amp;"","")))</f>
        <v/>
      </c>
      <c r="G1215" s="7">
        <f>IF($Z1215="C",INDEX(Contracts!$F$2:$F$151,$AB1215)&amp;" / "&amp;INDEX(Contracts!$G$2:$G$151,$AB1215),IF($Z1215="A",INDEX(Fixed_Assets!$E$2:$E$201,$AB1215)&amp;"",IF($Z1215="F","Personnel "&amp;INDEX(FTE_Allocation!$A$2:$A$201,$AB1215)&amp;IF(INDEX(FTE_Allocation!$D$2:$D$201,$AB1215)="PROJECT"," ("&amp;INDEX(FTE_Allocation!$E$2:$E$201,$AB1215)&amp;")",""),"")))</f>
        <v/>
      </c>
      <c r="H1215" s="7">
        <f>IF($Z1215="C","CONTRACT",IF($Z1215="A","ASSET",IF($Z1215="F","WORKFORCE","")))</f>
        <v/>
      </c>
      <c r="I1215" s="7">
        <f>IF($Z1215="C",INDEX(Contracts!$L$2:$L$151,$AB1215)&amp;"",IF($Z1215="A",INDEX(Fixed_Assets!$I$2:$I$201,$AB1215)&amp;"",IF($Z1215="F",INDEX(Workforce!$G$2:$G$151,MATCH(INDEX(FTE_Allocation!$A$2:$A$201,$AB1215),Workforce!$A$2:$A$151,0))&amp;"","")))</f>
        <v/>
      </c>
      <c r="J1215" s="18">
        <f>IF($Z1215="","",IF(AND(DATE($AD1215,1,1)&gt;=$AE1215,DATE($AD1215,1,1)&lt;=$AF1215),ROUND($AG1215,2),0))</f>
        <v/>
      </c>
      <c r="K1215" s="18">
        <f>IF($Z1215="","",IF(AND(DATE($AD1215,2,1)&gt;=$AE1215,DATE($AD1215,2,1)&lt;=$AF1215),ROUND($AG1215,2),0))</f>
        <v/>
      </c>
      <c r="L1215" s="18">
        <f>IF($Z1215="","",IF(AND(DATE($AD1215,3,1)&gt;=$AE1215,DATE($AD1215,3,1)&lt;=$AF1215),ROUND($AG1215,2),0))</f>
        <v/>
      </c>
      <c r="M1215" s="18">
        <f>IF($Z1215="","",IF(AND(DATE($AD1215,4,1)&gt;=$AE1215,DATE($AD1215,4,1)&lt;=$AF1215),ROUND($AG1215,2),0))</f>
        <v/>
      </c>
      <c r="N1215" s="18">
        <f>IF($Z1215="","",IF(AND(DATE($AD1215,5,1)&gt;=$AE1215,DATE($AD1215,5,1)&lt;=$AF1215),ROUND($AG1215,2),0))</f>
        <v/>
      </c>
      <c r="O1215" s="18">
        <f>IF($Z1215="","",IF(AND(DATE($AD1215,6,1)&gt;=$AE1215,DATE($AD1215,6,1)&lt;=$AF1215),ROUND($AG1215,2),0))</f>
        <v/>
      </c>
      <c r="P1215" s="18">
        <f>IF($Z1215="","",IF(AND(DATE($AD1215,7,1)&gt;=$AE1215,DATE($AD1215,7,1)&lt;=$AF1215),ROUND($AG1215,2),0))</f>
        <v/>
      </c>
      <c r="Q1215" s="18">
        <f>IF($Z1215="","",IF(AND(DATE($AD1215,8,1)&gt;=$AE1215,DATE($AD1215,8,1)&lt;=$AF1215),ROUND($AG1215,2),0))</f>
        <v/>
      </c>
      <c r="R1215" s="18">
        <f>IF($Z1215="","",IF(AND(DATE($AD1215,9,1)&gt;=$AE1215,DATE($AD1215,9,1)&lt;=$AF1215),ROUND($AG1215,2),0))</f>
        <v/>
      </c>
      <c r="S1215" s="18">
        <f>IF($Z1215="","",IF(AND(DATE($AD1215,10,1)&gt;=$AE1215,DATE($AD1215,10,1)&lt;=$AF1215),ROUND($AG1215,2),0))</f>
        <v/>
      </c>
      <c r="T1215" s="18">
        <f>IF($Z1215="","",IF(AND(DATE($AD1215,11,1)&gt;=$AE1215,DATE($AD1215,11,1)&lt;=$AF1215),ROUND($AG1215,2),0))</f>
        <v/>
      </c>
      <c r="U1215" s="18">
        <f>IF($Z1215="","",IF(AND(DATE($AD1215,12,1)&gt;=$AE1215,DATE($AD1215,12,1)&lt;=$AF1215),ROUND($AG1215,2),0))</f>
        <v/>
      </c>
      <c r="V1215" s="7">
        <f>IF($Z1215="C","Generated from "&amp;INDEX(Contracts!$A$2:$A$151,$AB1215),IF($Z1215="A","Generated from "&amp;INDEX(Fixed_Assets!$A$2:$A$201,$AB1215),IF($Z1215="F","Generated from "&amp;INDEX(FTE_Allocation!$A$2:$A$201,$AB1215),"")))</f>
        <v/>
      </c>
      <c r="X1215" s="19">
        <f>IF($Z1215="","",SUM(J1215:U1215))</f>
        <v/>
      </c>
      <c r="Y1215" s="20">
        <f>ROW()-1</f>
        <v/>
      </c>
      <c r="Z1215" s="20">
        <f>IF($Y1215&lt;=Settings!$B$4*3,"C",IF($Y1215&lt;=(Settings!$B$4+Settings!$B$5)*3,"A",IF($Y1215&lt;=(Settings!$B$4+Settings!$B$5+Settings!$B$6)*3,"F","")))</f>
        <v/>
      </c>
      <c r="AA1215" s="20">
        <f>IF($Z1215="C",$Y1215,IF($Z1215="A",$Y1215-Settings!$B$4*3,IF($Z1215="F",$Y1215-(Settings!$B$4+Settings!$B$5)*3,"")))</f>
        <v/>
      </c>
      <c r="AB1215" s="20">
        <f>IF($Z1215="","",INT(($AA1215-1)/3)+1)</f>
        <v/>
      </c>
      <c r="AC1215" s="20">
        <f>IF($Z1215="","",MOD($AA1215-1,3)+1)</f>
        <v/>
      </c>
      <c r="AD1215" s="20">
        <f>IF($Z1215="","",Settings!$B$2+$AC1215-1)</f>
        <v/>
      </c>
      <c r="AE1215" s="21">
        <f>IF($Z1215="C",DATE(YEAR(INDEX(Contracts!$J$2:$J$151,$AB1215)),MONTH(INDEX(Contracts!$J$2:$J$151,$AB1215)),1),IF($Z1215="A",DATE(YEAR(INDEX(Fixed_Assets!$G$2:$G$201,$AB1215)),MONTH(INDEX(Fixed_Assets!$G$2:$G$201,$AB1215)),1),IF($Z1215="F",DATE(YEAR(MAX(N(INDEX(Workforce!$I$2:$I$151,MATCH(INDEX(FTE_Allocation!$A$2:$A$201,$AB1215),Workforce!$A$2:$A$151,0))),N(INDEX(FTE_Allocation!$I$2:$I$201,$AB1215)))),MONTH(MAX(N(INDEX(Workforce!$I$2:$I$151,MATCH(INDEX(FTE_Allocation!$A$2:$A$201,$AB1215),Workforce!$A$2:$A$151,0))),N(INDEX(FTE_Allocation!$I$2:$I$201,$AB1215)))),1),"")))</f>
        <v/>
      </c>
      <c r="AF1215" s="21">
        <f>IF($Z1215="C",IF(INDEX(Contracts!$I$2:$I$151,$AB1215)="PREPAID",EDATE(DATE(YEAR(INDEX(Contracts!$J$2:$J$151,$AB1215)),MONTH(INDEX(Contracts!$J$2:$J$151,$AB1215)),1),IF(INDEX(Contracts!$N$2:$N$151,$AB1215)="",12,INDEX(Contracts!$N$2:$N$151,$AB1215))-1),IF(INDEX(Contracts!$I$2:$I$151,$AB1215)="MONTHLY",IF(INDEX(Contracts!$K$2:$K$151,$AB1215)="",2958101,INDEX(Contracts!$K$2:$K$151,$AB1215)),0)),IF($Z1215="A",EDATE(DATE(YEAR(INDEX(Fixed_Assets!$G$2:$G$201,$AB1215)),MONTH(INDEX(Fixed_Assets!$G$2:$G$201,$AB1215)),1),INDEX(Fixed_Assets!$J$2:$J$201,$AB1215)-1),IF($Z1215="F",MIN(IF(INDEX(Workforce!$J$2:$J$151,MATCH(INDEX(FTE_Allocation!$A$2:$A$201,$AB1215),Workforce!$A$2:$A$151,0))="",2958101,INDEX(Workforce!$J$2:$J$151,MATCH(INDEX(FTE_Allocation!$A$2:$A$201,$AB1215),Workforce!$A$2:$A$151,0))),IF(INDEX(FTE_Allocation!$J$2:$J$201,$AB1215)="",2958101,INDEX(FTE_Allocation!$J$2:$J$201,$AB1215))),"")))</f>
        <v/>
      </c>
      <c r="AG1215" s="19">
        <f>IF($Z1215="C",IF(INDEX(Contracts!$I$2:$I$151,$AB1215)="PREPAID",INDEX(Contracts!$M$2:$M$151,$AB1215)/IF(INDEX(Contracts!$N$2:$N$151,$AB1215)="",12,INDEX(Contracts!$N$2:$N$151,$AB1215)),IF(INDEX(Contracts!$I$2:$I$151,$AB1215)="MONTHLY",INDEX(Contracts!$M$2:$M$151,$AB1215),0))*(1-N(INDEX(Contracts!$O$2:$O$151,$AB1215))),IF($Z1215="A",INDEX(Fixed_Assets!$H$2:$H$201,$AB1215)/INDEX(Fixed_Assets!$J$2:$J$201,$AB1215),IF($Z1215="F",INDEX(Workforce!$F$2:$F$151,MATCH(INDEX(FTE_Allocation!$A$2:$A$201,$AB1215),Workforce!$A$2:$A$151,0))*N(INDEX(FTE_Allocation!$F$2:$H$201,$AB1215,$AC1215)),"")))</f>
        <v/>
      </c>
    </row>
    <row r="1216">
      <c r="A1216" s="7">
        <f>IF($Z1216="","",$AD1216)</f>
        <v/>
      </c>
      <c r="B1216" s="7">
        <f>IF($Z1216="C",INDEX(Contracts!$D$2:$D$151,$AB1216)&amp;"",IF($Z1216="A",INDEX(Fixed_Assets!$C$2:$C$201,$AB1216)&amp;"",IF($Z1216="F",INDEX(Workforce!$B$2:$B$151,MATCH(INDEX(FTE_Allocation!$A$2:$A$201,$AB1216),Workforce!$A$2:$A$151,0))&amp;"","")))</f>
        <v/>
      </c>
      <c r="C1216" s="7">
        <f>IF($Z1216="C",INDEX(Contracts!$E$2:$E$151,$AB1216)&amp;"",IF($Z1216="A",INDEX(Fixed_Assets!$D$2:$D$201,$AB1216)&amp;"",IF($Z1216="F",INDEX(FTE_Allocation!$C$2:$C$201,$AB1216)&amp;"","")))</f>
        <v/>
      </c>
      <c r="D1216" s="7">
        <f>IF($Z1216="C",INDEX(Contracts!$B$2:$B$151,$AB1216)&amp;"",IF($Z1216="A",INDEX(Fixed_Assets!$B$2:$B$201,$AB1216)&amp;"",IF($Z1216="F",INDEX(FTE_Allocation!$B$2:$B$201,$AB1216)&amp;"","")))</f>
        <v/>
      </c>
      <c r="E1216" s="7">
        <f>IF($Z1216="C",INDEX(Contracts!$P$2:$P$151,$AB1216)&amp;"",IF($Z1216="A",INDEX(Fixed_Assets!$K$2:$K$201,$AB1216)&amp;"",IF($Z1216="F",IF(INDEX(FTE_Allocation!$D$2:$D$201,$AB1216)="PROJECT",IFERROR(INDEX(Projects!$D:$D,MATCH(INDEX(FTE_Allocation!$E$2:$E$201,$AB1216),Projects!$A:$A,0))&amp;"","#PROJECT?"),INDEX(FTE_Allocation!$E$2:$E$201,$AB1216)&amp;""),"")))</f>
        <v/>
      </c>
      <c r="F1216" s="7">
        <f>IF($Z1216="C",INDEX(Contracts!$Q$2:$Q$151,$AB1216)&amp;"",IF($Z1216="A",INDEX(Fixed_Assets!$L$2:$L$201,$AB1216)&amp;"",IF($Z1216="F",INDEX(Workforce!$K$2:$K$151,MATCH(INDEX(FTE_Allocation!$A$2:$A$201,$AB1216),Workforce!$A$2:$A$151,0))&amp;"","")))</f>
        <v/>
      </c>
      <c r="G1216" s="7">
        <f>IF($Z1216="C",INDEX(Contracts!$F$2:$F$151,$AB1216)&amp;" / "&amp;INDEX(Contracts!$G$2:$G$151,$AB1216),IF($Z1216="A",INDEX(Fixed_Assets!$E$2:$E$201,$AB1216)&amp;"",IF($Z1216="F","Personnel "&amp;INDEX(FTE_Allocation!$A$2:$A$201,$AB1216)&amp;IF(INDEX(FTE_Allocation!$D$2:$D$201,$AB1216)="PROJECT"," ("&amp;INDEX(FTE_Allocation!$E$2:$E$201,$AB1216)&amp;")",""),"")))</f>
        <v/>
      </c>
      <c r="H1216" s="7">
        <f>IF($Z1216="C","CONTRACT",IF($Z1216="A","ASSET",IF($Z1216="F","WORKFORCE","")))</f>
        <v/>
      </c>
      <c r="I1216" s="7">
        <f>IF($Z1216="C",INDEX(Contracts!$L$2:$L$151,$AB1216)&amp;"",IF($Z1216="A",INDEX(Fixed_Assets!$I$2:$I$201,$AB1216)&amp;"",IF($Z1216="F",INDEX(Workforce!$G$2:$G$151,MATCH(INDEX(FTE_Allocation!$A$2:$A$201,$AB1216),Workforce!$A$2:$A$151,0))&amp;"","")))</f>
        <v/>
      </c>
      <c r="J1216" s="18">
        <f>IF($Z1216="","",IF(AND(DATE($AD1216,1,1)&gt;=$AE1216,DATE($AD1216,1,1)&lt;=$AF1216),ROUND($AG1216,2),0))</f>
        <v/>
      </c>
      <c r="K1216" s="18">
        <f>IF($Z1216="","",IF(AND(DATE($AD1216,2,1)&gt;=$AE1216,DATE($AD1216,2,1)&lt;=$AF1216),ROUND($AG1216,2),0))</f>
        <v/>
      </c>
      <c r="L1216" s="18">
        <f>IF($Z1216="","",IF(AND(DATE($AD1216,3,1)&gt;=$AE1216,DATE($AD1216,3,1)&lt;=$AF1216),ROUND($AG1216,2),0))</f>
        <v/>
      </c>
      <c r="M1216" s="18">
        <f>IF($Z1216="","",IF(AND(DATE($AD1216,4,1)&gt;=$AE1216,DATE($AD1216,4,1)&lt;=$AF1216),ROUND($AG1216,2),0))</f>
        <v/>
      </c>
      <c r="N1216" s="18">
        <f>IF($Z1216="","",IF(AND(DATE($AD1216,5,1)&gt;=$AE1216,DATE($AD1216,5,1)&lt;=$AF1216),ROUND($AG1216,2),0))</f>
        <v/>
      </c>
      <c r="O1216" s="18">
        <f>IF($Z1216="","",IF(AND(DATE($AD1216,6,1)&gt;=$AE1216,DATE($AD1216,6,1)&lt;=$AF1216),ROUND($AG1216,2),0))</f>
        <v/>
      </c>
      <c r="P1216" s="18">
        <f>IF($Z1216="","",IF(AND(DATE($AD1216,7,1)&gt;=$AE1216,DATE($AD1216,7,1)&lt;=$AF1216),ROUND($AG1216,2),0))</f>
        <v/>
      </c>
      <c r="Q1216" s="18">
        <f>IF($Z1216="","",IF(AND(DATE($AD1216,8,1)&gt;=$AE1216,DATE($AD1216,8,1)&lt;=$AF1216),ROUND($AG1216,2),0))</f>
        <v/>
      </c>
      <c r="R1216" s="18">
        <f>IF($Z1216="","",IF(AND(DATE($AD1216,9,1)&gt;=$AE1216,DATE($AD1216,9,1)&lt;=$AF1216),ROUND($AG1216,2),0))</f>
        <v/>
      </c>
      <c r="S1216" s="18">
        <f>IF($Z1216="","",IF(AND(DATE($AD1216,10,1)&gt;=$AE1216,DATE($AD1216,10,1)&lt;=$AF1216),ROUND($AG1216,2),0))</f>
        <v/>
      </c>
      <c r="T1216" s="18">
        <f>IF($Z1216="","",IF(AND(DATE($AD1216,11,1)&gt;=$AE1216,DATE($AD1216,11,1)&lt;=$AF1216),ROUND($AG1216,2),0))</f>
        <v/>
      </c>
      <c r="U1216" s="18">
        <f>IF($Z1216="","",IF(AND(DATE($AD1216,12,1)&gt;=$AE1216,DATE($AD1216,12,1)&lt;=$AF1216),ROUND($AG1216,2),0))</f>
        <v/>
      </c>
      <c r="V1216" s="7">
        <f>IF($Z1216="C","Generated from "&amp;INDEX(Contracts!$A$2:$A$151,$AB1216),IF($Z1216="A","Generated from "&amp;INDEX(Fixed_Assets!$A$2:$A$201,$AB1216),IF($Z1216="F","Generated from "&amp;INDEX(FTE_Allocation!$A$2:$A$201,$AB1216),"")))</f>
        <v/>
      </c>
      <c r="X1216" s="19">
        <f>IF($Z1216="","",SUM(J1216:U1216))</f>
        <v/>
      </c>
      <c r="Y1216" s="20">
        <f>ROW()-1</f>
        <v/>
      </c>
      <c r="Z1216" s="20">
        <f>IF($Y1216&lt;=Settings!$B$4*3,"C",IF($Y1216&lt;=(Settings!$B$4+Settings!$B$5)*3,"A",IF($Y1216&lt;=(Settings!$B$4+Settings!$B$5+Settings!$B$6)*3,"F","")))</f>
        <v/>
      </c>
      <c r="AA1216" s="20">
        <f>IF($Z1216="C",$Y1216,IF($Z1216="A",$Y1216-Settings!$B$4*3,IF($Z1216="F",$Y1216-(Settings!$B$4+Settings!$B$5)*3,"")))</f>
        <v/>
      </c>
      <c r="AB1216" s="20">
        <f>IF($Z1216="","",INT(($AA1216-1)/3)+1)</f>
        <v/>
      </c>
      <c r="AC1216" s="20">
        <f>IF($Z1216="","",MOD($AA1216-1,3)+1)</f>
        <v/>
      </c>
      <c r="AD1216" s="20">
        <f>IF($Z1216="","",Settings!$B$2+$AC1216-1)</f>
        <v/>
      </c>
      <c r="AE1216" s="21">
        <f>IF($Z1216="C",DATE(YEAR(INDEX(Contracts!$J$2:$J$151,$AB1216)),MONTH(INDEX(Contracts!$J$2:$J$151,$AB1216)),1),IF($Z1216="A",DATE(YEAR(INDEX(Fixed_Assets!$G$2:$G$201,$AB1216)),MONTH(INDEX(Fixed_Assets!$G$2:$G$201,$AB1216)),1),IF($Z1216="F",DATE(YEAR(MAX(N(INDEX(Workforce!$I$2:$I$151,MATCH(INDEX(FTE_Allocation!$A$2:$A$201,$AB1216),Workforce!$A$2:$A$151,0))),N(INDEX(FTE_Allocation!$I$2:$I$201,$AB1216)))),MONTH(MAX(N(INDEX(Workforce!$I$2:$I$151,MATCH(INDEX(FTE_Allocation!$A$2:$A$201,$AB1216),Workforce!$A$2:$A$151,0))),N(INDEX(FTE_Allocation!$I$2:$I$201,$AB1216)))),1),"")))</f>
        <v/>
      </c>
      <c r="AF1216" s="21">
        <f>IF($Z1216="C",IF(INDEX(Contracts!$I$2:$I$151,$AB1216)="PREPAID",EDATE(DATE(YEAR(INDEX(Contracts!$J$2:$J$151,$AB1216)),MONTH(INDEX(Contracts!$J$2:$J$151,$AB1216)),1),IF(INDEX(Contracts!$N$2:$N$151,$AB1216)="",12,INDEX(Contracts!$N$2:$N$151,$AB1216))-1),IF(INDEX(Contracts!$I$2:$I$151,$AB1216)="MONTHLY",IF(INDEX(Contracts!$K$2:$K$151,$AB1216)="",2958101,INDEX(Contracts!$K$2:$K$151,$AB1216)),0)),IF($Z1216="A",EDATE(DATE(YEAR(INDEX(Fixed_Assets!$G$2:$G$201,$AB1216)),MONTH(INDEX(Fixed_Assets!$G$2:$G$201,$AB1216)),1),INDEX(Fixed_Assets!$J$2:$J$201,$AB1216)-1),IF($Z1216="F",MIN(IF(INDEX(Workforce!$J$2:$J$151,MATCH(INDEX(FTE_Allocation!$A$2:$A$201,$AB1216),Workforce!$A$2:$A$151,0))="",2958101,INDEX(Workforce!$J$2:$J$151,MATCH(INDEX(FTE_Allocation!$A$2:$A$201,$AB1216),Workforce!$A$2:$A$151,0))),IF(INDEX(FTE_Allocation!$J$2:$J$201,$AB1216)="",2958101,INDEX(FTE_Allocation!$J$2:$J$201,$AB1216))),"")))</f>
        <v/>
      </c>
      <c r="AG1216" s="19">
        <f>IF($Z1216="C",IF(INDEX(Contracts!$I$2:$I$151,$AB1216)="PREPAID",INDEX(Contracts!$M$2:$M$151,$AB1216)/IF(INDEX(Contracts!$N$2:$N$151,$AB1216)="",12,INDEX(Contracts!$N$2:$N$151,$AB1216)),IF(INDEX(Contracts!$I$2:$I$151,$AB1216)="MONTHLY",INDEX(Contracts!$M$2:$M$151,$AB1216),0))*(1-N(INDEX(Contracts!$O$2:$O$151,$AB1216))),IF($Z1216="A",INDEX(Fixed_Assets!$H$2:$H$201,$AB1216)/INDEX(Fixed_Assets!$J$2:$J$201,$AB1216),IF($Z1216="F",INDEX(Workforce!$F$2:$F$151,MATCH(INDEX(FTE_Allocation!$A$2:$A$201,$AB1216),Workforce!$A$2:$A$151,0))*N(INDEX(FTE_Allocation!$F$2:$H$201,$AB1216,$AC1216)),"")))</f>
        <v/>
      </c>
    </row>
    <row r="1217">
      <c r="A1217" s="7">
        <f>IF($Z1217="","",$AD1217)</f>
        <v/>
      </c>
      <c r="B1217" s="7">
        <f>IF($Z1217="C",INDEX(Contracts!$D$2:$D$151,$AB1217)&amp;"",IF($Z1217="A",INDEX(Fixed_Assets!$C$2:$C$201,$AB1217)&amp;"",IF($Z1217="F",INDEX(Workforce!$B$2:$B$151,MATCH(INDEX(FTE_Allocation!$A$2:$A$201,$AB1217),Workforce!$A$2:$A$151,0))&amp;"","")))</f>
        <v/>
      </c>
      <c r="C1217" s="7">
        <f>IF($Z1217="C",INDEX(Contracts!$E$2:$E$151,$AB1217)&amp;"",IF($Z1217="A",INDEX(Fixed_Assets!$D$2:$D$201,$AB1217)&amp;"",IF($Z1217="F",INDEX(FTE_Allocation!$C$2:$C$201,$AB1217)&amp;"","")))</f>
        <v/>
      </c>
      <c r="D1217" s="7">
        <f>IF($Z1217="C",INDEX(Contracts!$B$2:$B$151,$AB1217)&amp;"",IF($Z1217="A",INDEX(Fixed_Assets!$B$2:$B$201,$AB1217)&amp;"",IF($Z1217="F",INDEX(FTE_Allocation!$B$2:$B$201,$AB1217)&amp;"","")))</f>
        <v/>
      </c>
      <c r="E1217" s="7">
        <f>IF($Z1217="C",INDEX(Contracts!$P$2:$P$151,$AB1217)&amp;"",IF($Z1217="A",INDEX(Fixed_Assets!$K$2:$K$201,$AB1217)&amp;"",IF($Z1217="F",IF(INDEX(FTE_Allocation!$D$2:$D$201,$AB1217)="PROJECT",IFERROR(INDEX(Projects!$D:$D,MATCH(INDEX(FTE_Allocation!$E$2:$E$201,$AB1217),Projects!$A:$A,0))&amp;"","#PROJECT?"),INDEX(FTE_Allocation!$E$2:$E$201,$AB1217)&amp;""),"")))</f>
        <v/>
      </c>
      <c r="F1217" s="7">
        <f>IF($Z1217="C",INDEX(Contracts!$Q$2:$Q$151,$AB1217)&amp;"",IF($Z1217="A",INDEX(Fixed_Assets!$L$2:$L$201,$AB1217)&amp;"",IF($Z1217="F",INDEX(Workforce!$K$2:$K$151,MATCH(INDEX(FTE_Allocation!$A$2:$A$201,$AB1217),Workforce!$A$2:$A$151,0))&amp;"","")))</f>
        <v/>
      </c>
      <c r="G1217" s="7">
        <f>IF($Z1217="C",INDEX(Contracts!$F$2:$F$151,$AB1217)&amp;" / "&amp;INDEX(Contracts!$G$2:$G$151,$AB1217),IF($Z1217="A",INDEX(Fixed_Assets!$E$2:$E$201,$AB1217)&amp;"",IF($Z1217="F","Personnel "&amp;INDEX(FTE_Allocation!$A$2:$A$201,$AB1217)&amp;IF(INDEX(FTE_Allocation!$D$2:$D$201,$AB1217)="PROJECT"," ("&amp;INDEX(FTE_Allocation!$E$2:$E$201,$AB1217)&amp;")",""),"")))</f>
        <v/>
      </c>
      <c r="H1217" s="7">
        <f>IF($Z1217="C","CONTRACT",IF($Z1217="A","ASSET",IF($Z1217="F","WORKFORCE","")))</f>
        <v/>
      </c>
      <c r="I1217" s="7">
        <f>IF($Z1217="C",INDEX(Contracts!$L$2:$L$151,$AB1217)&amp;"",IF($Z1217="A",INDEX(Fixed_Assets!$I$2:$I$201,$AB1217)&amp;"",IF($Z1217="F",INDEX(Workforce!$G$2:$G$151,MATCH(INDEX(FTE_Allocation!$A$2:$A$201,$AB1217),Workforce!$A$2:$A$151,0))&amp;"","")))</f>
        <v/>
      </c>
      <c r="J1217" s="18">
        <f>IF($Z1217="","",IF(AND(DATE($AD1217,1,1)&gt;=$AE1217,DATE($AD1217,1,1)&lt;=$AF1217),ROUND($AG1217,2),0))</f>
        <v/>
      </c>
      <c r="K1217" s="18">
        <f>IF($Z1217="","",IF(AND(DATE($AD1217,2,1)&gt;=$AE1217,DATE($AD1217,2,1)&lt;=$AF1217),ROUND($AG1217,2),0))</f>
        <v/>
      </c>
      <c r="L1217" s="18">
        <f>IF($Z1217="","",IF(AND(DATE($AD1217,3,1)&gt;=$AE1217,DATE($AD1217,3,1)&lt;=$AF1217),ROUND($AG1217,2),0))</f>
        <v/>
      </c>
      <c r="M1217" s="18">
        <f>IF($Z1217="","",IF(AND(DATE($AD1217,4,1)&gt;=$AE1217,DATE($AD1217,4,1)&lt;=$AF1217),ROUND($AG1217,2),0))</f>
        <v/>
      </c>
      <c r="N1217" s="18">
        <f>IF($Z1217="","",IF(AND(DATE($AD1217,5,1)&gt;=$AE1217,DATE($AD1217,5,1)&lt;=$AF1217),ROUND($AG1217,2),0))</f>
        <v/>
      </c>
      <c r="O1217" s="18">
        <f>IF($Z1217="","",IF(AND(DATE($AD1217,6,1)&gt;=$AE1217,DATE($AD1217,6,1)&lt;=$AF1217),ROUND($AG1217,2),0))</f>
        <v/>
      </c>
      <c r="P1217" s="18">
        <f>IF($Z1217="","",IF(AND(DATE($AD1217,7,1)&gt;=$AE1217,DATE($AD1217,7,1)&lt;=$AF1217),ROUND($AG1217,2),0))</f>
        <v/>
      </c>
      <c r="Q1217" s="18">
        <f>IF($Z1217="","",IF(AND(DATE($AD1217,8,1)&gt;=$AE1217,DATE($AD1217,8,1)&lt;=$AF1217),ROUND($AG1217,2),0))</f>
        <v/>
      </c>
      <c r="R1217" s="18">
        <f>IF($Z1217="","",IF(AND(DATE($AD1217,9,1)&gt;=$AE1217,DATE($AD1217,9,1)&lt;=$AF1217),ROUND($AG1217,2),0))</f>
        <v/>
      </c>
      <c r="S1217" s="18">
        <f>IF($Z1217="","",IF(AND(DATE($AD1217,10,1)&gt;=$AE1217,DATE($AD1217,10,1)&lt;=$AF1217),ROUND($AG1217,2),0))</f>
        <v/>
      </c>
      <c r="T1217" s="18">
        <f>IF($Z1217="","",IF(AND(DATE($AD1217,11,1)&gt;=$AE1217,DATE($AD1217,11,1)&lt;=$AF1217),ROUND($AG1217,2),0))</f>
        <v/>
      </c>
      <c r="U1217" s="18">
        <f>IF($Z1217="","",IF(AND(DATE($AD1217,12,1)&gt;=$AE1217,DATE($AD1217,12,1)&lt;=$AF1217),ROUND($AG1217,2),0))</f>
        <v/>
      </c>
      <c r="V1217" s="7">
        <f>IF($Z1217="C","Generated from "&amp;INDEX(Contracts!$A$2:$A$151,$AB1217),IF($Z1217="A","Generated from "&amp;INDEX(Fixed_Assets!$A$2:$A$201,$AB1217),IF($Z1217="F","Generated from "&amp;INDEX(FTE_Allocation!$A$2:$A$201,$AB1217),"")))</f>
        <v/>
      </c>
      <c r="X1217" s="19">
        <f>IF($Z1217="","",SUM(J1217:U1217))</f>
        <v/>
      </c>
      <c r="Y1217" s="20">
        <f>ROW()-1</f>
        <v/>
      </c>
      <c r="Z1217" s="20">
        <f>IF($Y1217&lt;=Settings!$B$4*3,"C",IF($Y1217&lt;=(Settings!$B$4+Settings!$B$5)*3,"A",IF($Y1217&lt;=(Settings!$B$4+Settings!$B$5+Settings!$B$6)*3,"F","")))</f>
        <v/>
      </c>
      <c r="AA1217" s="20">
        <f>IF($Z1217="C",$Y1217,IF($Z1217="A",$Y1217-Settings!$B$4*3,IF($Z1217="F",$Y1217-(Settings!$B$4+Settings!$B$5)*3,"")))</f>
        <v/>
      </c>
      <c r="AB1217" s="20">
        <f>IF($Z1217="","",INT(($AA1217-1)/3)+1)</f>
        <v/>
      </c>
      <c r="AC1217" s="20">
        <f>IF($Z1217="","",MOD($AA1217-1,3)+1)</f>
        <v/>
      </c>
      <c r="AD1217" s="20">
        <f>IF($Z1217="","",Settings!$B$2+$AC1217-1)</f>
        <v/>
      </c>
      <c r="AE1217" s="21">
        <f>IF($Z1217="C",DATE(YEAR(INDEX(Contracts!$J$2:$J$151,$AB1217)),MONTH(INDEX(Contracts!$J$2:$J$151,$AB1217)),1),IF($Z1217="A",DATE(YEAR(INDEX(Fixed_Assets!$G$2:$G$201,$AB1217)),MONTH(INDEX(Fixed_Assets!$G$2:$G$201,$AB1217)),1),IF($Z1217="F",DATE(YEAR(MAX(N(INDEX(Workforce!$I$2:$I$151,MATCH(INDEX(FTE_Allocation!$A$2:$A$201,$AB1217),Workforce!$A$2:$A$151,0))),N(INDEX(FTE_Allocation!$I$2:$I$201,$AB1217)))),MONTH(MAX(N(INDEX(Workforce!$I$2:$I$151,MATCH(INDEX(FTE_Allocation!$A$2:$A$201,$AB1217),Workforce!$A$2:$A$151,0))),N(INDEX(FTE_Allocation!$I$2:$I$201,$AB1217)))),1),"")))</f>
        <v/>
      </c>
      <c r="AF1217" s="21">
        <f>IF($Z1217="C",IF(INDEX(Contracts!$I$2:$I$151,$AB1217)="PREPAID",EDATE(DATE(YEAR(INDEX(Contracts!$J$2:$J$151,$AB1217)),MONTH(INDEX(Contracts!$J$2:$J$151,$AB1217)),1),IF(INDEX(Contracts!$N$2:$N$151,$AB1217)="",12,INDEX(Contracts!$N$2:$N$151,$AB1217))-1),IF(INDEX(Contracts!$I$2:$I$151,$AB1217)="MONTHLY",IF(INDEX(Contracts!$K$2:$K$151,$AB1217)="",2958101,INDEX(Contracts!$K$2:$K$151,$AB1217)),0)),IF($Z1217="A",EDATE(DATE(YEAR(INDEX(Fixed_Assets!$G$2:$G$201,$AB1217)),MONTH(INDEX(Fixed_Assets!$G$2:$G$201,$AB1217)),1),INDEX(Fixed_Assets!$J$2:$J$201,$AB1217)-1),IF($Z1217="F",MIN(IF(INDEX(Workforce!$J$2:$J$151,MATCH(INDEX(FTE_Allocation!$A$2:$A$201,$AB1217),Workforce!$A$2:$A$151,0))="",2958101,INDEX(Workforce!$J$2:$J$151,MATCH(INDEX(FTE_Allocation!$A$2:$A$201,$AB1217),Workforce!$A$2:$A$151,0))),IF(INDEX(FTE_Allocation!$J$2:$J$201,$AB1217)="",2958101,INDEX(FTE_Allocation!$J$2:$J$201,$AB1217))),"")))</f>
        <v/>
      </c>
      <c r="AG1217" s="19">
        <f>IF($Z1217="C",IF(INDEX(Contracts!$I$2:$I$151,$AB1217)="PREPAID",INDEX(Contracts!$M$2:$M$151,$AB1217)/IF(INDEX(Contracts!$N$2:$N$151,$AB1217)="",12,INDEX(Contracts!$N$2:$N$151,$AB1217)),IF(INDEX(Contracts!$I$2:$I$151,$AB1217)="MONTHLY",INDEX(Contracts!$M$2:$M$151,$AB1217),0))*(1-N(INDEX(Contracts!$O$2:$O$151,$AB1217))),IF($Z1217="A",INDEX(Fixed_Assets!$H$2:$H$201,$AB1217)/INDEX(Fixed_Assets!$J$2:$J$201,$AB1217),IF($Z1217="F",INDEX(Workforce!$F$2:$F$151,MATCH(INDEX(FTE_Allocation!$A$2:$A$201,$AB1217),Workforce!$A$2:$A$151,0))*N(INDEX(FTE_Allocation!$F$2:$H$201,$AB1217,$AC1217)),"")))</f>
        <v/>
      </c>
    </row>
    <row r="1218">
      <c r="A1218" s="7">
        <f>IF($Z1218="","",$AD1218)</f>
        <v/>
      </c>
      <c r="B1218" s="7">
        <f>IF($Z1218="C",INDEX(Contracts!$D$2:$D$151,$AB1218)&amp;"",IF($Z1218="A",INDEX(Fixed_Assets!$C$2:$C$201,$AB1218)&amp;"",IF($Z1218="F",INDEX(Workforce!$B$2:$B$151,MATCH(INDEX(FTE_Allocation!$A$2:$A$201,$AB1218),Workforce!$A$2:$A$151,0))&amp;"","")))</f>
        <v/>
      </c>
      <c r="C1218" s="7">
        <f>IF($Z1218="C",INDEX(Contracts!$E$2:$E$151,$AB1218)&amp;"",IF($Z1218="A",INDEX(Fixed_Assets!$D$2:$D$201,$AB1218)&amp;"",IF($Z1218="F",INDEX(FTE_Allocation!$C$2:$C$201,$AB1218)&amp;"","")))</f>
        <v/>
      </c>
      <c r="D1218" s="7">
        <f>IF($Z1218="C",INDEX(Contracts!$B$2:$B$151,$AB1218)&amp;"",IF($Z1218="A",INDEX(Fixed_Assets!$B$2:$B$201,$AB1218)&amp;"",IF($Z1218="F",INDEX(FTE_Allocation!$B$2:$B$201,$AB1218)&amp;"","")))</f>
        <v/>
      </c>
      <c r="E1218" s="7">
        <f>IF($Z1218="C",INDEX(Contracts!$P$2:$P$151,$AB1218)&amp;"",IF($Z1218="A",INDEX(Fixed_Assets!$K$2:$K$201,$AB1218)&amp;"",IF($Z1218="F",IF(INDEX(FTE_Allocation!$D$2:$D$201,$AB1218)="PROJECT",IFERROR(INDEX(Projects!$D:$D,MATCH(INDEX(FTE_Allocation!$E$2:$E$201,$AB1218),Projects!$A:$A,0))&amp;"","#PROJECT?"),INDEX(FTE_Allocation!$E$2:$E$201,$AB1218)&amp;""),"")))</f>
        <v/>
      </c>
      <c r="F1218" s="7">
        <f>IF($Z1218="C",INDEX(Contracts!$Q$2:$Q$151,$AB1218)&amp;"",IF($Z1218="A",INDEX(Fixed_Assets!$L$2:$L$201,$AB1218)&amp;"",IF($Z1218="F",INDEX(Workforce!$K$2:$K$151,MATCH(INDEX(FTE_Allocation!$A$2:$A$201,$AB1218),Workforce!$A$2:$A$151,0))&amp;"","")))</f>
        <v/>
      </c>
      <c r="G1218" s="7">
        <f>IF($Z1218="C",INDEX(Contracts!$F$2:$F$151,$AB1218)&amp;" / "&amp;INDEX(Contracts!$G$2:$G$151,$AB1218),IF($Z1218="A",INDEX(Fixed_Assets!$E$2:$E$201,$AB1218)&amp;"",IF($Z1218="F","Personnel "&amp;INDEX(FTE_Allocation!$A$2:$A$201,$AB1218)&amp;IF(INDEX(FTE_Allocation!$D$2:$D$201,$AB1218)="PROJECT"," ("&amp;INDEX(FTE_Allocation!$E$2:$E$201,$AB1218)&amp;")",""),"")))</f>
        <v/>
      </c>
      <c r="H1218" s="7">
        <f>IF($Z1218="C","CONTRACT",IF($Z1218="A","ASSET",IF($Z1218="F","WORKFORCE","")))</f>
        <v/>
      </c>
      <c r="I1218" s="7">
        <f>IF($Z1218="C",INDEX(Contracts!$L$2:$L$151,$AB1218)&amp;"",IF($Z1218="A",INDEX(Fixed_Assets!$I$2:$I$201,$AB1218)&amp;"",IF($Z1218="F",INDEX(Workforce!$G$2:$G$151,MATCH(INDEX(FTE_Allocation!$A$2:$A$201,$AB1218),Workforce!$A$2:$A$151,0))&amp;"","")))</f>
        <v/>
      </c>
      <c r="J1218" s="18">
        <f>IF($Z1218="","",IF(AND(DATE($AD1218,1,1)&gt;=$AE1218,DATE($AD1218,1,1)&lt;=$AF1218),ROUND($AG1218,2),0))</f>
        <v/>
      </c>
      <c r="K1218" s="18">
        <f>IF($Z1218="","",IF(AND(DATE($AD1218,2,1)&gt;=$AE1218,DATE($AD1218,2,1)&lt;=$AF1218),ROUND($AG1218,2),0))</f>
        <v/>
      </c>
      <c r="L1218" s="18">
        <f>IF($Z1218="","",IF(AND(DATE($AD1218,3,1)&gt;=$AE1218,DATE($AD1218,3,1)&lt;=$AF1218),ROUND($AG1218,2),0))</f>
        <v/>
      </c>
      <c r="M1218" s="18">
        <f>IF($Z1218="","",IF(AND(DATE($AD1218,4,1)&gt;=$AE1218,DATE($AD1218,4,1)&lt;=$AF1218),ROUND($AG1218,2),0))</f>
        <v/>
      </c>
      <c r="N1218" s="18">
        <f>IF($Z1218="","",IF(AND(DATE($AD1218,5,1)&gt;=$AE1218,DATE($AD1218,5,1)&lt;=$AF1218),ROUND($AG1218,2),0))</f>
        <v/>
      </c>
      <c r="O1218" s="18">
        <f>IF($Z1218="","",IF(AND(DATE($AD1218,6,1)&gt;=$AE1218,DATE($AD1218,6,1)&lt;=$AF1218),ROUND($AG1218,2),0))</f>
        <v/>
      </c>
      <c r="P1218" s="18">
        <f>IF($Z1218="","",IF(AND(DATE($AD1218,7,1)&gt;=$AE1218,DATE($AD1218,7,1)&lt;=$AF1218),ROUND($AG1218,2),0))</f>
        <v/>
      </c>
      <c r="Q1218" s="18">
        <f>IF($Z1218="","",IF(AND(DATE($AD1218,8,1)&gt;=$AE1218,DATE($AD1218,8,1)&lt;=$AF1218),ROUND($AG1218,2),0))</f>
        <v/>
      </c>
      <c r="R1218" s="18">
        <f>IF($Z1218="","",IF(AND(DATE($AD1218,9,1)&gt;=$AE1218,DATE($AD1218,9,1)&lt;=$AF1218),ROUND($AG1218,2),0))</f>
        <v/>
      </c>
      <c r="S1218" s="18">
        <f>IF($Z1218="","",IF(AND(DATE($AD1218,10,1)&gt;=$AE1218,DATE($AD1218,10,1)&lt;=$AF1218),ROUND($AG1218,2),0))</f>
        <v/>
      </c>
      <c r="T1218" s="18">
        <f>IF($Z1218="","",IF(AND(DATE($AD1218,11,1)&gt;=$AE1218,DATE($AD1218,11,1)&lt;=$AF1218),ROUND($AG1218,2),0))</f>
        <v/>
      </c>
      <c r="U1218" s="18">
        <f>IF($Z1218="","",IF(AND(DATE($AD1218,12,1)&gt;=$AE1218,DATE($AD1218,12,1)&lt;=$AF1218),ROUND($AG1218,2),0))</f>
        <v/>
      </c>
      <c r="V1218" s="7">
        <f>IF($Z1218="C","Generated from "&amp;INDEX(Contracts!$A$2:$A$151,$AB1218),IF($Z1218="A","Generated from "&amp;INDEX(Fixed_Assets!$A$2:$A$201,$AB1218),IF($Z1218="F","Generated from "&amp;INDEX(FTE_Allocation!$A$2:$A$201,$AB1218),"")))</f>
        <v/>
      </c>
      <c r="X1218" s="19">
        <f>IF($Z1218="","",SUM(J1218:U1218))</f>
        <v/>
      </c>
      <c r="Y1218" s="20">
        <f>ROW()-1</f>
        <v/>
      </c>
      <c r="Z1218" s="20">
        <f>IF($Y1218&lt;=Settings!$B$4*3,"C",IF($Y1218&lt;=(Settings!$B$4+Settings!$B$5)*3,"A",IF($Y1218&lt;=(Settings!$B$4+Settings!$B$5+Settings!$B$6)*3,"F","")))</f>
        <v/>
      </c>
      <c r="AA1218" s="20">
        <f>IF($Z1218="C",$Y1218,IF($Z1218="A",$Y1218-Settings!$B$4*3,IF($Z1218="F",$Y1218-(Settings!$B$4+Settings!$B$5)*3,"")))</f>
        <v/>
      </c>
      <c r="AB1218" s="20">
        <f>IF($Z1218="","",INT(($AA1218-1)/3)+1)</f>
        <v/>
      </c>
      <c r="AC1218" s="20">
        <f>IF($Z1218="","",MOD($AA1218-1,3)+1)</f>
        <v/>
      </c>
      <c r="AD1218" s="20">
        <f>IF($Z1218="","",Settings!$B$2+$AC1218-1)</f>
        <v/>
      </c>
      <c r="AE1218" s="21">
        <f>IF($Z1218="C",DATE(YEAR(INDEX(Contracts!$J$2:$J$151,$AB1218)),MONTH(INDEX(Contracts!$J$2:$J$151,$AB1218)),1),IF($Z1218="A",DATE(YEAR(INDEX(Fixed_Assets!$G$2:$G$201,$AB1218)),MONTH(INDEX(Fixed_Assets!$G$2:$G$201,$AB1218)),1),IF($Z1218="F",DATE(YEAR(MAX(N(INDEX(Workforce!$I$2:$I$151,MATCH(INDEX(FTE_Allocation!$A$2:$A$201,$AB1218),Workforce!$A$2:$A$151,0))),N(INDEX(FTE_Allocation!$I$2:$I$201,$AB1218)))),MONTH(MAX(N(INDEX(Workforce!$I$2:$I$151,MATCH(INDEX(FTE_Allocation!$A$2:$A$201,$AB1218),Workforce!$A$2:$A$151,0))),N(INDEX(FTE_Allocation!$I$2:$I$201,$AB1218)))),1),"")))</f>
        <v/>
      </c>
      <c r="AF1218" s="21">
        <f>IF($Z1218="C",IF(INDEX(Contracts!$I$2:$I$151,$AB1218)="PREPAID",EDATE(DATE(YEAR(INDEX(Contracts!$J$2:$J$151,$AB1218)),MONTH(INDEX(Contracts!$J$2:$J$151,$AB1218)),1),IF(INDEX(Contracts!$N$2:$N$151,$AB1218)="",12,INDEX(Contracts!$N$2:$N$151,$AB1218))-1),IF(INDEX(Contracts!$I$2:$I$151,$AB1218)="MONTHLY",IF(INDEX(Contracts!$K$2:$K$151,$AB1218)="",2958101,INDEX(Contracts!$K$2:$K$151,$AB1218)),0)),IF($Z1218="A",EDATE(DATE(YEAR(INDEX(Fixed_Assets!$G$2:$G$201,$AB1218)),MONTH(INDEX(Fixed_Assets!$G$2:$G$201,$AB1218)),1),INDEX(Fixed_Assets!$J$2:$J$201,$AB1218)-1),IF($Z1218="F",MIN(IF(INDEX(Workforce!$J$2:$J$151,MATCH(INDEX(FTE_Allocation!$A$2:$A$201,$AB1218),Workforce!$A$2:$A$151,0))="",2958101,INDEX(Workforce!$J$2:$J$151,MATCH(INDEX(FTE_Allocation!$A$2:$A$201,$AB1218),Workforce!$A$2:$A$151,0))),IF(INDEX(FTE_Allocation!$J$2:$J$201,$AB1218)="",2958101,INDEX(FTE_Allocation!$J$2:$J$201,$AB1218))),"")))</f>
        <v/>
      </c>
      <c r="AG1218" s="19">
        <f>IF($Z1218="C",IF(INDEX(Contracts!$I$2:$I$151,$AB1218)="PREPAID",INDEX(Contracts!$M$2:$M$151,$AB1218)/IF(INDEX(Contracts!$N$2:$N$151,$AB1218)="",12,INDEX(Contracts!$N$2:$N$151,$AB1218)),IF(INDEX(Contracts!$I$2:$I$151,$AB1218)="MONTHLY",INDEX(Contracts!$M$2:$M$151,$AB1218),0))*(1-N(INDEX(Contracts!$O$2:$O$151,$AB1218))),IF($Z1218="A",INDEX(Fixed_Assets!$H$2:$H$201,$AB1218)/INDEX(Fixed_Assets!$J$2:$J$201,$AB1218),IF($Z1218="F",INDEX(Workforce!$F$2:$F$151,MATCH(INDEX(FTE_Allocation!$A$2:$A$201,$AB1218),Workforce!$A$2:$A$151,0))*N(INDEX(FTE_Allocation!$F$2:$H$201,$AB1218,$AC1218)),"")))</f>
        <v/>
      </c>
    </row>
    <row r="1219">
      <c r="A1219" s="7">
        <f>IF($Z1219="","",$AD1219)</f>
        <v/>
      </c>
      <c r="B1219" s="7">
        <f>IF($Z1219="C",INDEX(Contracts!$D$2:$D$151,$AB1219)&amp;"",IF($Z1219="A",INDEX(Fixed_Assets!$C$2:$C$201,$AB1219)&amp;"",IF($Z1219="F",INDEX(Workforce!$B$2:$B$151,MATCH(INDEX(FTE_Allocation!$A$2:$A$201,$AB1219),Workforce!$A$2:$A$151,0))&amp;"","")))</f>
        <v/>
      </c>
      <c r="C1219" s="7">
        <f>IF($Z1219="C",INDEX(Contracts!$E$2:$E$151,$AB1219)&amp;"",IF($Z1219="A",INDEX(Fixed_Assets!$D$2:$D$201,$AB1219)&amp;"",IF($Z1219="F",INDEX(FTE_Allocation!$C$2:$C$201,$AB1219)&amp;"","")))</f>
        <v/>
      </c>
      <c r="D1219" s="7">
        <f>IF($Z1219="C",INDEX(Contracts!$B$2:$B$151,$AB1219)&amp;"",IF($Z1219="A",INDEX(Fixed_Assets!$B$2:$B$201,$AB1219)&amp;"",IF($Z1219="F",INDEX(FTE_Allocation!$B$2:$B$201,$AB1219)&amp;"","")))</f>
        <v/>
      </c>
      <c r="E1219" s="7">
        <f>IF($Z1219="C",INDEX(Contracts!$P$2:$P$151,$AB1219)&amp;"",IF($Z1219="A",INDEX(Fixed_Assets!$K$2:$K$201,$AB1219)&amp;"",IF($Z1219="F",IF(INDEX(FTE_Allocation!$D$2:$D$201,$AB1219)="PROJECT",IFERROR(INDEX(Projects!$D:$D,MATCH(INDEX(FTE_Allocation!$E$2:$E$201,$AB1219),Projects!$A:$A,0))&amp;"","#PROJECT?"),INDEX(FTE_Allocation!$E$2:$E$201,$AB1219)&amp;""),"")))</f>
        <v/>
      </c>
      <c r="F1219" s="7">
        <f>IF($Z1219="C",INDEX(Contracts!$Q$2:$Q$151,$AB1219)&amp;"",IF($Z1219="A",INDEX(Fixed_Assets!$L$2:$L$201,$AB1219)&amp;"",IF($Z1219="F",INDEX(Workforce!$K$2:$K$151,MATCH(INDEX(FTE_Allocation!$A$2:$A$201,$AB1219),Workforce!$A$2:$A$151,0))&amp;"","")))</f>
        <v/>
      </c>
      <c r="G1219" s="7">
        <f>IF($Z1219="C",INDEX(Contracts!$F$2:$F$151,$AB1219)&amp;" / "&amp;INDEX(Contracts!$G$2:$G$151,$AB1219),IF($Z1219="A",INDEX(Fixed_Assets!$E$2:$E$201,$AB1219)&amp;"",IF($Z1219="F","Personnel "&amp;INDEX(FTE_Allocation!$A$2:$A$201,$AB1219)&amp;IF(INDEX(FTE_Allocation!$D$2:$D$201,$AB1219)="PROJECT"," ("&amp;INDEX(FTE_Allocation!$E$2:$E$201,$AB1219)&amp;")",""),"")))</f>
        <v/>
      </c>
      <c r="H1219" s="7">
        <f>IF($Z1219="C","CONTRACT",IF($Z1219="A","ASSET",IF($Z1219="F","WORKFORCE","")))</f>
        <v/>
      </c>
      <c r="I1219" s="7">
        <f>IF($Z1219="C",INDEX(Contracts!$L$2:$L$151,$AB1219)&amp;"",IF($Z1219="A",INDEX(Fixed_Assets!$I$2:$I$201,$AB1219)&amp;"",IF($Z1219="F",INDEX(Workforce!$G$2:$G$151,MATCH(INDEX(FTE_Allocation!$A$2:$A$201,$AB1219),Workforce!$A$2:$A$151,0))&amp;"","")))</f>
        <v/>
      </c>
      <c r="J1219" s="18">
        <f>IF($Z1219="","",IF(AND(DATE($AD1219,1,1)&gt;=$AE1219,DATE($AD1219,1,1)&lt;=$AF1219),ROUND($AG1219,2),0))</f>
        <v/>
      </c>
      <c r="K1219" s="18">
        <f>IF($Z1219="","",IF(AND(DATE($AD1219,2,1)&gt;=$AE1219,DATE($AD1219,2,1)&lt;=$AF1219),ROUND($AG1219,2),0))</f>
        <v/>
      </c>
      <c r="L1219" s="18">
        <f>IF($Z1219="","",IF(AND(DATE($AD1219,3,1)&gt;=$AE1219,DATE($AD1219,3,1)&lt;=$AF1219),ROUND($AG1219,2),0))</f>
        <v/>
      </c>
      <c r="M1219" s="18">
        <f>IF($Z1219="","",IF(AND(DATE($AD1219,4,1)&gt;=$AE1219,DATE($AD1219,4,1)&lt;=$AF1219),ROUND($AG1219,2),0))</f>
        <v/>
      </c>
      <c r="N1219" s="18">
        <f>IF($Z1219="","",IF(AND(DATE($AD1219,5,1)&gt;=$AE1219,DATE($AD1219,5,1)&lt;=$AF1219),ROUND($AG1219,2),0))</f>
        <v/>
      </c>
      <c r="O1219" s="18">
        <f>IF($Z1219="","",IF(AND(DATE($AD1219,6,1)&gt;=$AE1219,DATE($AD1219,6,1)&lt;=$AF1219),ROUND($AG1219,2),0))</f>
        <v/>
      </c>
      <c r="P1219" s="18">
        <f>IF($Z1219="","",IF(AND(DATE($AD1219,7,1)&gt;=$AE1219,DATE($AD1219,7,1)&lt;=$AF1219),ROUND($AG1219,2),0))</f>
        <v/>
      </c>
      <c r="Q1219" s="18">
        <f>IF($Z1219="","",IF(AND(DATE($AD1219,8,1)&gt;=$AE1219,DATE($AD1219,8,1)&lt;=$AF1219),ROUND($AG1219,2),0))</f>
        <v/>
      </c>
      <c r="R1219" s="18">
        <f>IF($Z1219="","",IF(AND(DATE($AD1219,9,1)&gt;=$AE1219,DATE($AD1219,9,1)&lt;=$AF1219),ROUND($AG1219,2),0))</f>
        <v/>
      </c>
      <c r="S1219" s="18">
        <f>IF($Z1219="","",IF(AND(DATE($AD1219,10,1)&gt;=$AE1219,DATE($AD1219,10,1)&lt;=$AF1219),ROUND($AG1219,2),0))</f>
        <v/>
      </c>
      <c r="T1219" s="18">
        <f>IF($Z1219="","",IF(AND(DATE($AD1219,11,1)&gt;=$AE1219,DATE($AD1219,11,1)&lt;=$AF1219),ROUND($AG1219,2),0))</f>
        <v/>
      </c>
      <c r="U1219" s="18">
        <f>IF($Z1219="","",IF(AND(DATE($AD1219,12,1)&gt;=$AE1219,DATE($AD1219,12,1)&lt;=$AF1219),ROUND($AG1219,2),0))</f>
        <v/>
      </c>
      <c r="V1219" s="7">
        <f>IF($Z1219="C","Generated from "&amp;INDEX(Contracts!$A$2:$A$151,$AB1219),IF($Z1219="A","Generated from "&amp;INDEX(Fixed_Assets!$A$2:$A$201,$AB1219),IF($Z1219="F","Generated from "&amp;INDEX(FTE_Allocation!$A$2:$A$201,$AB1219),"")))</f>
        <v/>
      </c>
      <c r="X1219" s="19">
        <f>IF($Z1219="","",SUM(J1219:U1219))</f>
        <v/>
      </c>
      <c r="Y1219" s="20">
        <f>ROW()-1</f>
        <v/>
      </c>
      <c r="Z1219" s="20">
        <f>IF($Y1219&lt;=Settings!$B$4*3,"C",IF($Y1219&lt;=(Settings!$B$4+Settings!$B$5)*3,"A",IF($Y1219&lt;=(Settings!$B$4+Settings!$B$5+Settings!$B$6)*3,"F","")))</f>
        <v/>
      </c>
      <c r="AA1219" s="20">
        <f>IF($Z1219="C",$Y1219,IF($Z1219="A",$Y1219-Settings!$B$4*3,IF($Z1219="F",$Y1219-(Settings!$B$4+Settings!$B$5)*3,"")))</f>
        <v/>
      </c>
      <c r="AB1219" s="20">
        <f>IF($Z1219="","",INT(($AA1219-1)/3)+1)</f>
        <v/>
      </c>
      <c r="AC1219" s="20">
        <f>IF($Z1219="","",MOD($AA1219-1,3)+1)</f>
        <v/>
      </c>
      <c r="AD1219" s="20">
        <f>IF($Z1219="","",Settings!$B$2+$AC1219-1)</f>
        <v/>
      </c>
      <c r="AE1219" s="21">
        <f>IF($Z1219="C",DATE(YEAR(INDEX(Contracts!$J$2:$J$151,$AB1219)),MONTH(INDEX(Contracts!$J$2:$J$151,$AB1219)),1),IF($Z1219="A",DATE(YEAR(INDEX(Fixed_Assets!$G$2:$G$201,$AB1219)),MONTH(INDEX(Fixed_Assets!$G$2:$G$201,$AB1219)),1),IF($Z1219="F",DATE(YEAR(MAX(N(INDEX(Workforce!$I$2:$I$151,MATCH(INDEX(FTE_Allocation!$A$2:$A$201,$AB1219),Workforce!$A$2:$A$151,0))),N(INDEX(FTE_Allocation!$I$2:$I$201,$AB1219)))),MONTH(MAX(N(INDEX(Workforce!$I$2:$I$151,MATCH(INDEX(FTE_Allocation!$A$2:$A$201,$AB1219),Workforce!$A$2:$A$151,0))),N(INDEX(FTE_Allocation!$I$2:$I$201,$AB1219)))),1),"")))</f>
        <v/>
      </c>
      <c r="AF1219" s="21">
        <f>IF($Z1219="C",IF(INDEX(Contracts!$I$2:$I$151,$AB1219)="PREPAID",EDATE(DATE(YEAR(INDEX(Contracts!$J$2:$J$151,$AB1219)),MONTH(INDEX(Contracts!$J$2:$J$151,$AB1219)),1),IF(INDEX(Contracts!$N$2:$N$151,$AB1219)="",12,INDEX(Contracts!$N$2:$N$151,$AB1219))-1),IF(INDEX(Contracts!$I$2:$I$151,$AB1219)="MONTHLY",IF(INDEX(Contracts!$K$2:$K$151,$AB1219)="",2958101,INDEX(Contracts!$K$2:$K$151,$AB1219)),0)),IF($Z1219="A",EDATE(DATE(YEAR(INDEX(Fixed_Assets!$G$2:$G$201,$AB1219)),MONTH(INDEX(Fixed_Assets!$G$2:$G$201,$AB1219)),1),INDEX(Fixed_Assets!$J$2:$J$201,$AB1219)-1),IF($Z1219="F",MIN(IF(INDEX(Workforce!$J$2:$J$151,MATCH(INDEX(FTE_Allocation!$A$2:$A$201,$AB1219),Workforce!$A$2:$A$151,0))="",2958101,INDEX(Workforce!$J$2:$J$151,MATCH(INDEX(FTE_Allocation!$A$2:$A$201,$AB1219),Workforce!$A$2:$A$151,0))),IF(INDEX(FTE_Allocation!$J$2:$J$201,$AB1219)="",2958101,INDEX(FTE_Allocation!$J$2:$J$201,$AB1219))),"")))</f>
        <v/>
      </c>
      <c r="AG1219" s="19">
        <f>IF($Z1219="C",IF(INDEX(Contracts!$I$2:$I$151,$AB1219)="PREPAID",INDEX(Contracts!$M$2:$M$151,$AB1219)/IF(INDEX(Contracts!$N$2:$N$151,$AB1219)="",12,INDEX(Contracts!$N$2:$N$151,$AB1219)),IF(INDEX(Contracts!$I$2:$I$151,$AB1219)="MONTHLY",INDEX(Contracts!$M$2:$M$151,$AB1219),0))*(1-N(INDEX(Contracts!$O$2:$O$151,$AB1219))),IF($Z1219="A",INDEX(Fixed_Assets!$H$2:$H$201,$AB1219)/INDEX(Fixed_Assets!$J$2:$J$201,$AB1219),IF($Z1219="F",INDEX(Workforce!$F$2:$F$151,MATCH(INDEX(FTE_Allocation!$A$2:$A$201,$AB1219),Workforce!$A$2:$A$151,0))*N(INDEX(FTE_Allocation!$F$2:$H$201,$AB1219,$AC1219)),"")))</f>
        <v/>
      </c>
    </row>
    <row r="1220">
      <c r="A1220" s="7">
        <f>IF($Z1220="","",$AD1220)</f>
        <v/>
      </c>
      <c r="B1220" s="7">
        <f>IF($Z1220="C",INDEX(Contracts!$D$2:$D$151,$AB1220)&amp;"",IF($Z1220="A",INDEX(Fixed_Assets!$C$2:$C$201,$AB1220)&amp;"",IF($Z1220="F",INDEX(Workforce!$B$2:$B$151,MATCH(INDEX(FTE_Allocation!$A$2:$A$201,$AB1220),Workforce!$A$2:$A$151,0))&amp;"","")))</f>
        <v/>
      </c>
      <c r="C1220" s="7">
        <f>IF($Z1220="C",INDEX(Contracts!$E$2:$E$151,$AB1220)&amp;"",IF($Z1220="A",INDEX(Fixed_Assets!$D$2:$D$201,$AB1220)&amp;"",IF($Z1220="F",INDEX(FTE_Allocation!$C$2:$C$201,$AB1220)&amp;"","")))</f>
        <v/>
      </c>
      <c r="D1220" s="7">
        <f>IF($Z1220="C",INDEX(Contracts!$B$2:$B$151,$AB1220)&amp;"",IF($Z1220="A",INDEX(Fixed_Assets!$B$2:$B$201,$AB1220)&amp;"",IF($Z1220="F",INDEX(FTE_Allocation!$B$2:$B$201,$AB1220)&amp;"","")))</f>
        <v/>
      </c>
      <c r="E1220" s="7">
        <f>IF($Z1220="C",INDEX(Contracts!$P$2:$P$151,$AB1220)&amp;"",IF($Z1220="A",INDEX(Fixed_Assets!$K$2:$K$201,$AB1220)&amp;"",IF($Z1220="F",IF(INDEX(FTE_Allocation!$D$2:$D$201,$AB1220)="PROJECT",IFERROR(INDEX(Projects!$D:$D,MATCH(INDEX(FTE_Allocation!$E$2:$E$201,$AB1220),Projects!$A:$A,0))&amp;"","#PROJECT?"),INDEX(FTE_Allocation!$E$2:$E$201,$AB1220)&amp;""),"")))</f>
        <v/>
      </c>
      <c r="F1220" s="7">
        <f>IF($Z1220="C",INDEX(Contracts!$Q$2:$Q$151,$AB1220)&amp;"",IF($Z1220="A",INDEX(Fixed_Assets!$L$2:$L$201,$AB1220)&amp;"",IF($Z1220="F",INDEX(Workforce!$K$2:$K$151,MATCH(INDEX(FTE_Allocation!$A$2:$A$201,$AB1220),Workforce!$A$2:$A$151,0))&amp;"","")))</f>
        <v/>
      </c>
      <c r="G1220" s="7">
        <f>IF($Z1220="C",INDEX(Contracts!$F$2:$F$151,$AB1220)&amp;" / "&amp;INDEX(Contracts!$G$2:$G$151,$AB1220),IF($Z1220="A",INDEX(Fixed_Assets!$E$2:$E$201,$AB1220)&amp;"",IF($Z1220="F","Personnel "&amp;INDEX(FTE_Allocation!$A$2:$A$201,$AB1220)&amp;IF(INDEX(FTE_Allocation!$D$2:$D$201,$AB1220)="PROJECT"," ("&amp;INDEX(FTE_Allocation!$E$2:$E$201,$AB1220)&amp;")",""),"")))</f>
        <v/>
      </c>
      <c r="H1220" s="7">
        <f>IF($Z1220="C","CONTRACT",IF($Z1220="A","ASSET",IF($Z1220="F","WORKFORCE","")))</f>
        <v/>
      </c>
      <c r="I1220" s="7">
        <f>IF($Z1220="C",INDEX(Contracts!$L$2:$L$151,$AB1220)&amp;"",IF($Z1220="A",INDEX(Fixed_Assets!$I$2:$I$201,$AB1220)&amp;"",IF($Z1220="F",INDEX(Workforce!$G$2:$G$151,MATCH(INDEX(FTE_Allocation!$A$2:$A$201,$AB1220),Workforce!$A$2:$A$151,0))&amp;"","")))</f>
        <v/>
      </c>
      <c r="J1220" s="18">
        <f>IF($Z1220="","",IF(AND(DATE($AD1220,1,1)&gt;=$AE1220,DATE($AD1220,1,1)&lt;=$AF1220),ROUND($AG1220,2),0))</f>
        <v/>
      </c>
      <c r="K1220" s="18">
        <f>IF($Z1220="","",IF(AND(DATE($AD1220,2,1)&gt;=$AE1220,DATE($AD1220,2,1)&lt;=$AF1220),ROUND($AG1220,2),0))</f>
        <v/>
      </c>
      <c r="L1220" s="18">
        <f>IF($Z1220="","",IF(AND(DATE($AD1220,3,1)&gt;=$AE1220,DATE($AD1220,3,1)&lt;=$AF1220),ROUND($AG1220,2),0))</f>
        <v/>
      </c>
      <c r="M1220" s="18">
        <f>IF($Z1220="","",IF(AND(DATE($AD1220,4,1)&gt;=$AE1220,DATE($AD1220,4,1)&lt;=$AF1220),ROUND($AG1220,2),0))</f>
        <v/>
      </c>
      <c r="N1220" s="18">
        <f>IF($Z1220="","",IF(AND(DATE($AD1220,5,1)&gt;=$AE1220,DATE($AD1220,5,1)&lt;=$AF1220),ROUND($AG1220,2),0))</f>
        <v/>
      </c>
      <c r="O1220" s="18">
        <f>IF($Z1220="","",IF(AND(DATE($AD1220,6,1)&gt;=$AE1220,DATE($AD1220,6,1)&lt;=$AF1220),ROUND($AG1220,2),0))</f>
        <v/>
      </c>
      <c r="P1220" s="18">
        <f>IF($Z1220="","",IF(AND(DATE($AD1220,7,1)&gt;=$AE1220,DATE($AD1220,7,1)&lt;=$AF1220),ROUND($AG1220,2),0))</f>
        <v/>
      </c>
      <c r="Q1220" s="18">
        <f>IF($Z1220="","",IF(AND(DATE($AD1220,8,1)&gt;=$AE1220,DATE($AD1220,8,1)&lt;=$AF1220),ROUND($AG1220,2),0))</f>
        <v/>
      </c>
      <c r="R1220" s="18">
        <f>IF($Z1220="","",IF(AND(DATE($AD1220,9,1)&gt;=$AE1220,DATE($AD1220,9,1)&lt;=$AF1220),ROUND($AG1220,2),0))</f>
        <v/>
      </c>
      <c r="S1220" s="18">
        <f>IF($Z1220="","",IF(AND(DATE($AD1220,10,1)&gt;=$AE1220,DATE($AD1220,10,1)&lt;=$AF1220),ROUND($AG1220,2),0))</f>
        <v/>
      </c>
      <c r="T1220" s="18">
        <f>IF($Z1220="","",IF(AND(DATE($AD1220,11,1)&gt;=$AE1220,DATE($AD1220,11,1)&lt;=$AF1220),ROUND($AG1220,2),0))</f>
        <v/>
      </c>
      <c r="U1220" s="18">
        <f>IF($Z1220="","",IF(AND(DATE($AD1220,12,1)&gt;=$AE1220,DATE($AD1220,12,1)&lt;=$AF1220),ROUND($AG1220,2),0))</f>
        <v/>
      </c>
      <c r="V1220" s="7">
        <f>IF($Z1220="C","Generated from "&amp;INDEX(Contracts!$A$2:$A$151,$AB1220),IF($Z1220="A","Generated from "&amp;INDEX(Fixed_Assets!$A$2:$A$201,$AB1220),IF($Z1220="F","Generated from "&amp;INDEX(FTE_Allocation!$A$2:$A$201,$AB1220),"")))</f>
        <v/>
      </c>
      <c r="X1220" s="19">
        <f>IF($Z1220="","",SUM(J1220:U1220))</f>
        <v/>
      </c>
      <c r="Y1220" s="20">
        <f>ROW()-1</f>
        <v/>
      </c>
      <c r="Z1220" s="20">
        <f>IF($Y1220&lt;=Settings!$B$4*3,"C",IF($Y1220&lt;=(Settings!$B$4+Settings!$B$5)*3,"A",IF($Y1220&lt;=(Settings!$B$4+Settings!$B$5+Settings!$B$6)*3,"F","")))</f>
        <v/>
      </c>
      <c r="AA1220" s="20">
        <f>IF($Z1220="C",$Y1220,IF($Z1220="A",$Y1220-Settings!$B$4*3,IF($Z1220="F",$Y1220-(Settings!$B$4+Settings!$B$5)*3,"")))</f>
        <v/>
      </c>
      <c r="AB1220" s="20">
        <f>IF($Z1220="","",INT(($AA1220-1)/3)+1)</f>
        <v/>
      </c>
      <c r="AC1220" s="20">
        <f>IF($Z1220="","",MOD($AA1220-1,3)+1)</f>
        <v/>
      </c>
      <c r="AD1220" s="20">
        <f>IF($Z1220="","",Settings!$B$2+$AC1220-1)</f>
        <v/>
      </c>
      <c r="AE1220" s="21">
        <f>IF($Z1220="C",DATE(YEAR(INDEX(Contracts!$J$2:$J$151,$AB1220)),MONTH(INDEX(Contracts!$J$2:$J$151,$AB1220)),1),IF($Z1220="A",DATE(YEAR(INDEX(Fixed_Assets!$G$2:$G$201,$AB1220)),MONTH(INDEX(Fixed_Assets!$G$2:$G$201,$AB1220)),1),IF($Z1220="F",DATE(YEAR(MAX(N(INDEX(Workforce!$I$2:$I$151,MATCH(INDEX(FTE_Allocation!$A$2:$A$201,$AB1220),Workforce!$A$2:$A$151,0))),N(INDEX(FTE_Allocation!$I$2:$I$201,$AB1220)))),MONTH(MAX(N(INDEX(Workforce!$I$2:$I$151,MATCH(INDEX(FTE_Allocation!$A$2:$A$201,$AB1220),Workforce!$A$2:$A$151,0))),N(INDEX(FTE_Allocation!$I$2:$I$201,$AB1220)))),1),"")))</f>
        <v/>
      </c>
      <c r="AF1220" s="21">
        <f>IF($Z1220="C",IF(INDEX(Contracts!$I$2:$I$151,$AB1220)="PREPAID",EDATE(DATE(YEAR(INDEX(Contracts!$J$2:$J$151,$AB1220)),MONTH(INDEX(Contracts!$J$2:$J$151,$AB1220)),1),IF(INDEX(Contracts!$N$2:$N$151,$AB1220)="",12,INDEX(Contracts!$N$2:$N$151,$AB1220))-1),IF(INDEX(Contracts!$I$2:$I$151,$AB1220)="MONTHLY",IF(INDEX(Contracts!$K$2:$K$151,$AB1220)="",2958101,INDEX(Contracts!$K$2:$K$151,$AB1220)),0)),IF($Z1220="A",EDATE(DATE(YEAR(INDEX(Fixed_Assets!$G$2:$G$201,$AB1220)),MONTH(INDEX(Fixed_Assets!$G$2:$G$201,$AB1220)),1),INDEX(Fixed_Assets!$J$2:$J$201,$AB1220)-1),IF($Z1220="F",MIN(IF(INDEX(Workforce!$J$2:$J$151,MATCH(INDEX(FTE_Allocation!$A$2:$A$201,$AB1220),Workforce!$A$2:$A$151,0))="",2958101,INDEX(Workforce!$J$2:$J$151,MATCH(INDEX(FTE_Allocation!$A$2:$A$201,$AB1220),Workforce!$A$2:$A$151,0))),IF(INDEX(FTE_Allocation!$J$2:$J$201,$AB1220)="",2958101,INDEX(FTE_Allocation!$J$2:$J$201,$AB1220))),"")))</f>
        <v/>
      </c>
      <c r="AG1220" s="19">
        <f>IF($Z1220="C",IF(INDEX(Contracts!$I$2:$I$151,$AB1220)="PREPAID",INDEX(Contracts!$M$2:$M$151,$AB1220)/IF(INDEX(Contracts!$N$2:$N$151,$AB1220)="",12,INDEX(Contracts!$N$2:$N$151,$AB1220)),IF(INDEX(Contracts!$I$2:$I$151,$AB1220)="MONTHLY",INDEX(Contracts!$M$2:$M$151,$AB1220),0))*(1-N(INDEX(Contracts!$O$2:$O$151,$AB1220))),IF($Z1220="A",INDEX(Fixed_Assets!$H$2:$H$201,$AB1220)/INDEX(Fixed_Assets!$J$2:$J$201,$AB1220),IF($Z1220="F",INDEX(Workforce!$F$2:$F$151,MATCH(INDEX(FTE_Allocation!$A$2:$A$201,$AB1220),Workforce!$A$2:$A$151,0))*N(INDEX(FTE_Allocation!$F$2:$H$201,$AB1220,$AC1220)),"")))</f>
        <v/>
      </c>
    </row>
    <row r="1221">
      <c r="A1221" s="7">
        <f>IF($Z1221="","",$AD1221)</f>
        <v/>
      </c>
      <c r="B1221" s="7">
        <f>IF($Z1221="C",INDEX(Contracts!$D$2:$D$151,$AB1221)&amp;"",IF($Z1221="A",INDEX(Fixed_Assets!$C$2:$C$201,$AB1221)&amp;"",IF($Z1221="F",INDEX(Workforce!$B$2:$B$151,MATCH(INDEX(FTE_Allocation!$A$2:$A$201,$AB1221),Workforce!$A$2:$A$151,0))&amp;"","")))</f>
        <v/>
      </c>
      <c r="C1221" s="7">
        <f>IF($Z1221="C",INDEX(Contracts!$E$2:$E$151,$AB1221)&amp;"",IF($Z1221="A",INDEX(Fixed_Assets!$D$2:$D$201,$AB1221)&amp;"",IF($Z1221="F",INDEX(FTE_Allocation!$C$2:$C$201,$AB1221)&amp;"","")))</f>
        <v/>
      </c>
      <c r="D1221" s="7">
        <f>IF($Z1221="C",INDEX(Contracts!$B$2:$B$151,$AB1221)&amp;"",IF($Z1221="A",INDEX(Fixed_Assets!$B$2:$B$201,$AB1221)&amp;"",IF($Z1221="F",INDEX(FTE_Allocation!$B$2:$B$201,$AB1221)&amp;"","")))</f>
        <v/>
      </c>
      <c r="E1221" s="7">
        <f>IF($Z1221="C",INDEX(Contracts!$P$2:$P$151,$AB1221)&amp;"",IF($Z1221="A",INDEX(Fixed_Assets!$K$2:$K$201,$AB1221)&amp;"",IF($Z1221="F",IF(INDEX(FTE_Allocation!$D$2:$D$201,$AB1221)="PROJECT",IFERROR(INDEX(Projects!$D:$D,MATCH(INDEX(FTE_Allocation!$E$2:$E$201,$AB1221),Projects!$A:$A,0))&amp;"","#PROJECT?"),INDEX(FTE_Allocation!$E$2:$E$201,$AB1221)&amp;""),"")))</f>
        <v/>
      </c>
      <c r="F1221" s="7">
        <f>IF($Z1221="C",INDEX(Contracts!$Q$2:$Q$151,$AB1221)&amp;"",IF($Z1221="A",INDEX(Fixed_Assets!$L$2:$L$201,$AB1221)&amp;"",IF($Z1221="F",INDEX(Workforce!$K$2:$K$151,MATCH(INDEX(FTE_Allocation!$A$2:$A$201,$AB1221),Workforce!$A$2:$A$151,0))&amp;"","")))</f>
        <v/>
      </c>
      <c r="G1221" s="7">
        <f>IF($Z1221="C",INDEX(Contracts!$F$2:$F$151,$AB1221)&amp;" / "&amp;INDEX(Contracts!$G$2:$G$151,$AB1221),IF($Z1221="A",INDEX(Fixed_Assets!$E$2:$E$201,$AB1221)&amp;"",IF($Z1221="F","Personnel "&amp;INDEX(FTE_Allocation!$A$2:$A$201,$AB1221)&amp;IF(INDEX(FTE_Allocation!$D$2:$D$201,$AB1221)="PROJECT"," ("&amp;INDEX(FTE_Allocation!$E$2:$E$201,$AB1221)&amp;")",""),"")))</f>
        <v/>
      </c>
      <c r="H1221" s="7">
        <f>IF($Z1221="C","CONTRACT",IF($Z1221="A","ASSET",IF($Z1221="F","WORKFORCE","")))</f>
        <v/>
      </c>
      <c r="I1221" s="7">
        <f>IF($Z1221="C",INDEX(Contracts!$L$2:$L$151,$AB1221)&amp;"",IF($Z1221="A",INDEX(Fixed_Assets!$I$2:$I$201,$AB1221)&amp;"",IF($Z1221="F",INDEX(Workforce!$G$2:$G$151,MATCH(INDEX(FTE_Allocation!$A$2:$A$201,$AB1221),Workforce!$A$2:$A$151,0))&amp;"","")))</f>
        <v/>
      </c>
      <c r="J1221" s="18">
        <f>IF($Z1221="","",IF(AND(DATE($AD1221,1,1)&gt;=$AE1221,DATE($AD1221,1,1)&lt;=$AF1221),ROUND($AG1221,2),0))</f>
        <v/>
      </c>
      <c r="K1221" s="18">
        <f>IF($Z1221="","",IF(AND(DATE($AD1221,2,1)&gt;=$AE1221,DATE($AD1221,2,1)&lt;=$AF1221),ROUND($AG1221,2),0))</f>
        <v/>
      </c>
      <c r="L1221" s="18">
        <f>IF($Z1221="","",IF(AND(DATE($AD1221,3,1)&gt;=$AE1221,DATE($AD1221,3,1)&lt;=$AF1221),ROUND($AG1221,2),0))</f>
        <v/>
      </c>
      <c r="M1221" s="18">
        <f>IF($Z1221="","",IF(AND(DATE($AD1221,4,1)&gt;=$AE1221,DATE($AD1221,4,1)&lt;=$AF1221),ROUND($AG1221,2),0))</f>
        <v/>
      </c>
      <c r="N1221" s="18">
        <f>IF($Z1221="","",IF(AND(DATE($AD1221,5,1)&gt;=$AE1221,DATE($AD1221,5,1)&lt;=$AF1221),ROUND($AG1221,2),0))</f>
        <v/>
      </c>
      <c r="O1221" s="18">
        <f>IF($Z1221="","",IF(AND(DATE($AD1221,6,1)&gt;=$AE1221,DATE($AD1221,6,1)&lt;=$AF1221),ROUND($AG1221,2),0))</f>
        <v/>
      </c>
      <c r="P1221" s="18">
        <f>IF($Z1221="","",IF(AND(DATE($AD1221,7,1)&gt;=$AE1221,DATE($AD1221,7,1)&lt;=$AF1221),ROUND($AG1221,2),0))</f>
        <v/>
      </c>
      <c r="Q1221" s="18">
        <f>IF($Z1221="","",IF(AND(DATE($AD1221,8,1)&gt;=$AE1221,DATE($AD1221,8,1)&lt;=$AF1221),ROUND($AG1221,2),0))</f>
        <v/>
      </c>
      <c r="R1221" s="18">
        <f>IF($Z1221="","",IF(AND(DATE($AD1221,9,1)&gt;=$AE1221,DATE($AD1221,9,1)&lt;=$AF1221),ROUND($AG1221,2),0))</f>
        <v/>
      </c>
      <c r="S1221" s="18">
        <f>IF($Z1221="","",IF(AND(DATE($AD1221,10,1)&gt;=$AE1221,DATE($AD1221,10,1)&lt;=$AF1221),ROUND($AG1221,2),0))</f>
        <v/>
      </c>
      <c r="T1221" s="18">
        <f>IF($Z1221="","",IF(AND(DATE($AD1221,11,1)&gt;=$AE1221,DATE($AD1221,11,1)&lt;=$AF1221),ROUND($AG1221,2),0))</f>
        <v/>
      </c>
      <c r="U1221" s="18">
        <f>IF($Z1221="","",IF(AND(DATE($AD1221,12,1)&gt;=$AE1221,DATE($AD1221,12,1)&lt;=$AF1221),ROUND($AG1221,2),0))</f>
        <v/>
      </c>
      <c r="V1221" s="7">
        <f>IF($Z1221="C","Generated from "&amp;INDEX(Contracts!$A$2:$A$151,$AB1221),IF($Z1221="A","Generated from "&amp;INDEX(Fixed_Assets!$A$2:$A$201,$AB1221),IF($Z1221="F","Generated from "&amp;INDEX(FTE_Allocation!$A$2:$A$201,$AB1221),"")))</f>
        <v/>
      </c>
      <c r="X1221" s="19">
        <f>IF($Z1221="","",SUM(J1221:U1221))</f>
        <v/>
      </c>
      <c r="Y1221" s="20">
        <f>ROW()-1</f>
        <v/>
      </c>
      <c r="Z1221" s="20">
        <f>IF($Y1221&lt;=Settings!$B$4*3,"C",IF($Y1221&lt;=(Settings!$B$4+Settings!$B$5)*3,"A",IF($Y1221&lt;=(Settings!$B$4+Settings!$B$5+Settings!$B$6)*3,"F","")))</f>
        <v/>
      </c>
      <c r="AA1221" s="20">
        <f>IF($Z1221="C",$Y1221,IF($Z1221="A",$Y1221-Settings!$B$4*3,IF($Z1221="F",$Y1221-(Settings!$B$4+Settings!$B$5)*3,"")))</f>
        <v/>
      </c>
      <c r="AB1221" s="20">
        <f>IF($Z1221="","",INT(($AA1221-1)/3)+1)</f>
        <v/>
      </c>
      <c r="AC1221" s="20">
        <f>IF($Z1221="","",MOD($AA1221-1,3)+1)</f>
        <v/>
      </c>
      <c r="AD1221" s="20">
        <f>IF($Z1221="","",Settings!$B$2+$AC1221-1)</f>
        <v/>
      </c>
      <c r="AE1221" s="21">
        <f>IF($Z1221="C",DATE(YEAR(INDEX(Contracts!$J$2:$J$151,$AB1221)),MONTH(INDEX(Contracts!$J$2:$J$151,$AB1221)),1),IF($Z1221="A",DATE(YEAR(INDEX(Fixed_Assets!$G$2:$G$201,$AB1221)),MONTH(INDEX(Fixed_Assets!$G$2:$G$201,$AB1221)),1),IF($Z1221="F",DATE(YEAR(MAX(N(INDEX(Workforce!$I$2:$I$151,MATCH(INDEX(FTE_Allocation!$A$2:$A$201,$AB1221),Workforce!$A$2:$A$151,0))),N(INDEX(FTE_Allocation!$I$2:$I$201,$AB1221)))),MONTH(MAX(N(INDEX(Workforce!$I$2:$I$151,MATCH(INDEX(FTE_Allocation!$A$2:$A$201,$AB1221),Workforce!$A$2:$A$151,0))),N(INDEX(FTE_Allocation!$I$2:$I$201,$AB1221)))),1),"")))</f>
        <v/>
      </c>
      <c r="AF1221" s="21">
        <f>IF($Z1221="C",IF(INDEX(Contracts!$I$2:$I$151,$AB1221)="PREPAID",EDATE(DATE(YEAR(INDEX(Contracts!$J$2:$J$151,$AB1221)),MONTH(INDEX(Contracts!$J$2:$J$151,$AB1221)),1),IF(INDEX(Contracts!$N$2:$N$151,$AB1221)="",12,INDEX(Contracts!$N$2:$N$151,$AB1221))-1),IF(INDEX(Contracts!$I$2:$I$151,$AB1221)="MONTHLY",IF(INDEX(Contracts!$K$2:$K$151,$AB1221)="",2958101,INDEX(Contracts!$K$2:$K$151,$AB1221)),0)),IF($Z1221="A",EDATE(DATE(YEAR(INDEX(Fixed_Assets!$G$2:$G$201,$AB1221)),MONTH(INDEX(Fixed_Assets!$G$2:$G$201,$AB1221)),1),INDEX(Fixed_Assets!$J$2:$J$201,$AB1221)-1),IF($Z1221="F",MIN(IF(INDEX(Workforce!$J$2:$J$151,MATCH(INDEX(FTE_Allocation!$A$2:$A$201,$AB1221),Workforce!$A$2:$A$151,0))="",2958101,INDEX(Workforce!$J$2:$J$151,MATCH(INDEX(FTE_Allocation!$A$2:$A$201,$AB1221),Workforce!$A$2:$A$151,0))),IF(INDEX(FTE_Allocation!$J$2:$J$201,$AB1221)="",2958101,INDEX(FTE_Allocation!$J$2:$J$201,$AB1221))),"")))</f>
        <v/>
      </c>
      <c r="AG1221" s="19">
        <f>IF($Z1221="C",IF(INDEX(Contracts!$I$2:$I$151,$AB1221)="PREPAID",INDEX(Contracts!$M$2:$M$151,$AB1221)/IF(INDEX(Contracts!$N$2:$N$151,$AB1221)="",12,INDEX(Contracts!$N$2:$N$151,$AB1221)),IF(INDEX(Contracts!$I$2:$I$151,$AB1221)="MONTHLY",INDEX(Contracts!$M$2:$M$151,$AB1221),0))*(1-N(INDEX(Contracts!$O$2:$O$151,$AB1221))),IF($Z1221="A",INDEX(Fixed_Assets!$H$2:$H$201,$AB1221)/INDEX(Fixed_Assets!$J$2:$J$201,$AB1221),IF($Z1221="F",INDEX(Workforce!$F$2:$F$151,MATCH(INDEX(FTE_Allocation!$A$2:$A$201,$AB1221),Workforce!$A$2:$A$151,0))*N(INDEX(FTE_Allocation!$F$2:$H$201,$AB1221,$AC1221)),"")))</f>
        <v/>
      </c>
    </row>
    <row r="1222">
      <c r="A1222" s="7">
        <f>IF($Z1222="","",$AD1222)</f>
        <v/>
      </c>
      <c r="B1222" s="7">
        <f>IF($Z1222="C",INDEX(Contracts!$D$2:$D$151,$AB1222)&amp;"",IF($Z1222="A",INDEX(Fixed_Assets!$C$2:$C$201,$AB1222)&amp;"",IF($Z1222="F",INDEX(Workforce!$B$2:$B$151,MATCH(INDEX(FTE_Allocation!$A$2:$A$201,$AB1222),Workforce!$A$2:$A$151,0))&amp;"","")))</f>
        <v/>
      </c>
      <c r="C1222" s="7">
        <f>IF($Z1222="C",INDEX(Contracts!$E$2:$E$151,$AB1222)&amp;"",IF($Z1222="A",INDEX(Fixed_Assets!$D$2:$D$201,$AB1222)&amp;"",IF($Z1222="F",INDEX(FTE_Allocation!$C$2:$C$201,$AB1222)&amp;"","")))</f>
        <v/>
      </c>
      <c r="D1222" s="7">
        <f>IF($Z1222="C",INDEX(Contracts!$B$2:$B$151,$AB1222)&amp;"",IF($Z1222="A",INDEX(Fixed_Assets!$B$2:$B$201,$AB1222)&amp;"",IF($Z1222="F",INDEX(FTE_Allocation!$B$2:$B$201,$AB1222)&amp;"","")))</f>
        <v/>
      </c>
      <c r="E1222" s="7">
        <f>IF($Z1222="C",INDEX(Contracts!$P$2:$P$151,$AB1222)&amp;"",IF($Z1222="A",INDEX(Fixed_Assets!$K$2:$K$201,$AB1222)&amp;"",IF($Z1222="F",IF(INDEX(FTE_Allocation!$D$2:$D$201,$AB1222)="PROJECT",IFERROR(INDEX(Projects!$D:$D,MATCH(INDEX(FTE_Allocation!$E$2:$E$201,$AB1222),Projects!$A:$A,0))&amp;"","#PROJECT?"),INDEX(FTE_Allocation!$E$2:$E$201,$AB1222)&amp;""),"")))</f>
        <v/>
      </c>
      <c r="F1222" s="7">
        <f>IF($Z1222="C",INDEX(Contracts!$Q$2:$Q$151,$AB1222)&amp;"",IF($Z1222="A",INDEX(Fixed_Assets!$L$2:$L$201,$AB1222)&amp;"",IF($Z1222="F",INDEX(Workforce!$K$2:$K$151,MATCH(INDEX(FTE_Allocation!$A$2:$A$201,$AB1222),Workforce!$A$2:$A$151,0))&amp;"","")))</f>
        <v/>
      </c>
      <c r="G1222" s="7">
        <f>IF($Z1222="C",INDEX(Contracts!$F$2:$F$151,$AB1222)&amp;" / "&amp;INDEX(Contracts!$G$2:$G$151,$AB1222),IF($Z1222="A",INDEX(Fixed_Assets!$E$2:$E$201,$AB1222)&amp;"",IF($Z1222="F","Personnel "&amp;INDEX(FTE_Allocation!$A$2:$A$201,$AB1222)&amp;IF(INDEX(FTE_Allocation!$D$2:$D$201,$AB1222)="PROJECT"," ("&amp;INDEX(FTE_Allocation!$E$2:$E$201,$AB1222)&amp;")",""),"")))</f>
        <v/>
      </c>
      <c r="H1222" s="7">
        <f>IF($Z1222="C","CONTRACT",IF($Z1222="A","ASSET",IF($Z1222="F","WORKFORCE","")))</f>
        <v/>
      </c>
      <c r="I1222" s="7">
        <f>IF($Z1222="C",INDEX(Contracts!$L$2:$L$151,$AB1222)&amp;"",IF($Z1222="A",INDEX(Fixed_Assets!$I$2:$I$201,$AB1222)&amp;"",IF($Z1222="F",INDEX(Workforce!$G$2:$G$151,MATCH(INDEX(FTE_Allocation!$A$2:$A$201,$AB1222),Workforce!$A$2:$A$151,0))&amp;"","")))</f>
        <v/>
      </c>
      <c r="J1222" s="18">
        <f>IF($Z1222="","",IF(AND(DATE($AD1222,1,1)&gt;=$AE1222,DATE($AD1222,1,1)&lt;=$AF1222),ROUND($AG1222,2),0))</f>
        <v/>
      </c>
      <c r="K1222" s="18">
        <f>IF($Z1222="","",IF(AND(DATE($AD1222,2,1)&gt;=$AE1222,DATE($AD1222,2,1)&lt;=$AF1222),ROUND($AG1222,2),0))</f>
        <v/>
      </c>
      <c r="L1222" s="18">
        <f>IF($Z1222="","",IF(AND(DATE($AD1222,3,1)&gt;=$AE1222,DATE($AD1222,3,1)&lt;=$AF1222),ROUND($AG1222,2),0))</f>
        <v/>
      </c>
      <c r="M1222" s="18">
        <f>IF($Z1222="","",IF(AND(DATE($AD1222,4,1)&gt;=$AE1222,DATE($AD1222,4,1)&lt;=$AF1222),ROUND($AG1222,2),0))</f>
        <v/>
      </c>
      <c r="N1222" s="18">
        <f>IF($Z1222="","",IF(AND(DATE($AD1222,5,1)&gt;=$AE1222,DATE($AD1222,5,1)&lt;=$AF1222),ROUND($AG1222,2),0))</f>
        <v/>
      </c>
      <c r="O1222" s="18">
        <f>IF($Z1222="","",IF(AND(DATE($AD1222,6,1)&gt;=$AE1222,DATE($AD1222,6,1)&lt;=$AF1222),ROUND($AG1222,2),0))</f>
        <v/>
      </c>
      <c r="P1222" s="18">
        <f>IF($Z1222="","",IF(AND(DATE($AD1222,7,1)&gt;=$AE1222,DATE($AD1222,7,1)&lt;=$AF1222),ROUND($AG1222,2),0))</f>
        <v/>
      </c>
      <c r="Q1222" s="18">
        <f>IF($Z1222="","",IF(AND(DATE($AD1222,8,1)&gt;=$AE1222,DATE($AD1222,8,1)&lt;=$AF1222),ROUND($AG1222,2),0))</f>
        <v/>
      </c>
      <c r="R1222" s="18">
        <f>IF($Z1222="","",IF(AND(DATE($AD1222,9,1)&gt;=$AE1222,DATE($AD1222,9,1)&lt;=$AF1222),ROUND($AG1222,2),0))</f>
        <v/>
      </c>
      <c r="S1222" s="18">
        <f>IF($Z1222="","",IF(AND(DATE($AD1222,10,1)&gt;=$AE1222,DATE($AD1222,10,1)&lt;=$AF1222),ROUND($AG1222,2),0))</f>
        <v/>
      </c>
      <c r="T1222" s="18">
        <f>IF($Z1222="","",IF(AND(DATE($AD1222,11,1)&gt;=$AE1222,DATE($AD1222,11,1)&lt;=$AF1222),ROUND($AG1222,2),0))</f>
        <v/>
      </c>
      <c r="U1222" s="18">
        <f>IF($Z1222="","",IF(AND(DATE($AD1222,12,1)&gt;=$AE1222,DATE($AD1222,12,1)&lt;=$AF1222),ROUND($AG1222,2),0))</f>
        <v/>
      </c>
      <c r="V1222" s="7">
        <f>IF($Z1222="C","Generated from "&amp;INDEX(Contracts!$A$2:$A$151,$AB1222),IF($Z1222="A","Generated from "&amp;INDEX(Fixed_Assets!$A$2:$A$201,$AB1222),IF($Z1222="F","Generated from "&amp;INDEX(FTE_Allocation!$A$2:$A$201,$AB1222),"")))</f>
        <v/>
      </c>
      <c r="X1222" s="19">
        <f>IF($Z1222="","",SUM(J1222:U1222))</f>
        <v/>
      </c>
      <c r="Y1222" s="20">
        <f>ROW()-1</f>
        <v/>
      </c>
      <c r="Z1222" s="20">
        <f>IF($Y1222&lt;=Settings!$B$4*3,"C",IF($Y1222&lt;=(Settings!$B$4+Settings!$B$5)*3,"A",IF($Y1222&lt;=(Settings!$B$4+Settings!$B$5+Settings!$B$6)*3,"F","")))</f>
        <v/>
      </c>
      <c r="AA1222" s="20">
        <f>IF($Z1222="C",$Y1222,IF($Z1222="A",$Y1222-Settings!$B$4*3,IF($Z1222="F",$Y1222-(Settings!$B$4+Settings!$B$5)*3,"")))</f>
        <v/>
      </c>
      <c r="AB1222" s="20">
        <f>IF($Z1222="","",INT(($AA1222-1)/3)+1)</f>
        <v/>
      </c>
      <c r="AC1222" s="20">
        <f>IF($Z1222="","",MOD($AA1222-1,3)+1)</f>
        <v/>
      </c>
      <c r="AD1222" s="20">
        <f>IF($Z1222="","",Settings!$B$2+$AC1222-1)</f>
        <v/>
      </c>
      <c r="AE1222" s="21">
        <f>IF($Z1222="C",DATE(YEAR(INDEX(Contracts!$J$2:$J$151,$AB1222)),MONTH(INDEX(Contracts!$J$2:$J$151,$AB1222)),1),IF($Z1222="A",DATE(YEAR(INDEX(Fixed_Assets!$G$2:$G$201,$AB1222)),MONTH(INDEX(Fixed_Assets!$G$2:$G$201,$AB1222)),1),IF($Z1222="F",DATE(YEAR(MAX(N(INDEX(Workforce!$I$2:$I$151,MATCH(INDEX(FTE_Allocation!$A$2:$A$201,$AB1222),Workforce!$A$2:$A$151,0))),N(INDEX(FTE_Allocation!$I$2:$I$201,$AB1222)))),MONTH(MAX(N(INDEX(Workforce!$I$2:$I$151,MATCH(INDEX(FTE_Allocation!$A$2:$A$201,$AB1222),Workforce!$A$2:$A$151,0))),N(INDEX(FTE_Allocation!$I$2:$I$201,$AB1222)))),1),"")))</f>
        <v/>
      </c>
      <c r="AF1222" s="21">
        <f>IF($Z1222="C",IF(INDEX(Contracts!$I$2:$I$151,$AB1222)="PREPAID",EDATE(DATE(YEAR(INDEX(Contracts!$J$2:$J$151,$AB1222)),MONTH(INDEX(Contracts!$J$2:$J$151,$AB1222)),1),IF(INDEX(Contracts!$N$2:$N$151,$AB1222)="",12,INDEX(Contracts!$N$2:$N$151,$AB1222))-1),IF(INDEX(Contracts!$I$2:$I$151,$AB1222)="MONTHLY",IF(INDEX(Contracts!$K$2:$K$151,$AB1222)="",2958101,INDEX(Contracts!$K$2:$K$151,$AB1222)),0)),IF($Z1222="A",EDATE(DATE(YEAR(INDEX(Fixed_Assets!$G$2:$G$201,$AB1222)),MONTH(INDEX(Fixed_Assets!$G$2:$G$201,$AB1222)),1),INDEX(Fixed_Assets!$J$2:$J$201,$AB1222)-1),IF($Z1222="F",MIN(IF(INDEX(Workforce!$J$2:$J$151,MATCH(INDEX(FTE_Allocation!$A$2:$A$201,$AB1222),Workforce!$A$2:$A$151,0))="",2958101,INDEX(Workforce!$J$2:$J$151,MATCH(INDEX(FTE_Allocation!$A$2:$A$201,$AB1222),Workforce!$A$2:$A$151,0))),IF(INDEX(FTE_Allocation!$J$2:$J$201,$AB1222)="",2958101,INDEX(FTE_Allocation!$J$2:$J$201,$AB1222))),"")))</f>
        <v/>
      </c>
      <c r="AG1222" s="19">
        <f>IF($Z1222="C",IF(INDEX(Contracts!$I$2:$I$151,$AB1222)="PREPAID",INDEX(Contracts!$M$2:$M$151,$AB1222)/IF(INDEX(Contracts!$N$2:$N$151,$AB1222)="",12,INDEX(Contracts!$N$2:$N$151,$AB1222)),IF(INDEX(Contracts!$I$2:$I$151,$AB1222)="MONTHLY",INDEX(Contracts!$M$2:$M$151,$AB1222),0))*(1-N(INDEX(Contracts!$O$2:$O$151,$AB1222))),IF($Z1222="A",INDEX(Fixed_Assets!$H$2:$H$201,$AB1222)/INDEX(Fixed_Assets!$J$2:$J$201,$AB1222),IF($Z1222="F",INDEX(Workforce!$F$2:$F$151,MATCH(INDEX(FTE_Allocation!$A$2:$A$201,$AB1222),Workforce!$A$2:$A$151,0))*N(INDEX(FTE_Allocation!$F$2:$H$201,$AB1222,$AC1222)),"")))</f>
        <v/>
      </c>
    </row>
    <row r="1223">
      <c r="A1223" s="7">
        <f>IF($Z1223="","",$AD1223)</f>
        <v/>
      </c>
      <c r="B1223" s="7">
        <f>IF($Z1223="C",INDEX(Contracts!$D$2:$D$151,$AB1223)&amp;"",IF($Z1223="A",INDEX(Fixed_Assets!$C$2:$C$201,$AB1223)&amp;"",IF($Z1223="F",INDEX(Workforce!$B$2:$B$151,MATCH(INDEX(FTE_Allocation!$A$2:$A$201,$AB1223),Workforce!$A$2:$A$151,0))&amp;"","")))</f>
        <v/>
      </c>
      <c r="C1223" s="7">
        <f>IF($Z1223="C",INDEX(Contracts!$E$2:$E$151,$AB1223)&amp;"",IF($Z1223="A",INDEX(Fixed_Assets!$D$2:$D$201,$AB1223)&amp;"",IF($Z1223="F",INDEX(FTE_Allocation!$C$2:$C$201,$AB1223)&amp;"","")))</f>
        <v/>
      </c>
      <c r="D1223" s="7">
        <f>IF($Z1223="C",INDEX(Contracts!$B$2:$B$151,$AB1223)&amp;"",IF($Z1223="A",INDEX(Fixed_Assets!$B$2:$B$201,$AB1223)&amp;"",IF($Z1223="F",INDEX(FTE_Allocation!$B$2:$B$201,$AB1223)&amp;"","")))</f>
        <v/>
      </c>
      <c r="E1223" s="7">
        <f>IF($Z1223="C",INDEX(Contracts!$P$2:$P$151,$AB1223)&amp;"",IF($Z1223="A",INDEX(Fixed_Assets!$K$2:$K$201,$AB1223)&amp;"",IF($Z1223="F",IF(INDEX(FTE_Allocation!$D$2:$D$201,$AB1223)="PROJECT",IFERROR(INDEX(Projects!$D:$D,MATCH(INDEX(FTE_Allocation!$E$2:$E$201,$AB1223),Projects!$A:$A,0))&amp;"","#PROJECT?"),INDEX(FTE_Allocation!$E$2:$E$201,$AB1223)&amp;""),"")))</f>
        <v/>
      </c>
      <c r="F1223" s="7">
        <f>IF($Z1223="C",INDEX(Contracts!$Q$2:$Q$151,$AB1223)&amp;"",IF($Z1223="A",INDEX(Fixed_Assets!$L$2:$L$201,$AB1223)&amp;"",IF($Z1223="F",INDEX(Workforce!$K$2:$K$151,MATCH(INDEX(FTE_Allocation!$A$2:$A$201,$AB1223),Workforce!$A$2:$A$151,0))&amp;"","")))</f>
        <v/>
      </c>
      <c r="G1223" s="7">
        <f>IF($Z1223="C",INDEX(Contracts!$F$2:$F$151,$AB1223)&amp;" / "&amp;INDEX(Contracts!$G$2:$G$151,$AB1223),IF($Z1223="A",INDEX(Fixed_Assets!$E$2:$E$201,$AB1223)&amp;"",IF($Z1223="F","Personnel "&amp;INDEX(FTE_Allocation!$A$2:$A$201,$AB1223)&amp;IF(INDEX(FTE_Allocation!$D$2:$D$201,$AB1223)="PROJECT"," ("&amp;INDEX(FTE_Allocation!$E$2:$E$201,$AB1223)&amp;")",""),"")))</f>
        <v/>
      </c>
      <c r="H1223" s="7">
        <f>IF($Z1223="C","CONTRACT",IF($Z1223="A","ASSET",IF($Z1223="F","WORKFORCE","")))</f>
        <v/>
      </c>
      <c r="I1223" s="7">
        <f>IF($Z1223="C",INDEX(Contracts!$L$2:$L$151,$AB1223)&amp;"",IF($Z1223="A",INDEX(Fixed_Assets!$I$2:$I$201,$AB1223)&amp;"",IF($Z1223="F",INDEX(Workforce!$G$2:$G$151,MATCH(INDEX(FTE_Allocation!$A$2:$A$201,$AB1223),Workforce!$A$2:$A$151,0))&amp;"","")))</f>
        <v/>
      </c>
      <c r="J1223" s="18">
        <f>IF($Z1223="","",IF(AND(DATE($AD1223,1,1)&gt;=$AE1223,DATE($AD1223,1,1)&lt;=$AF1223),ROUND($AG1223,2),0))</f>
        <v/>
      </c>
      <c r="K1223" s="18">
        <f>IF($Z1223="","",IF(AND(DATE($AD1223,2,1)&gt;=$AE1223,DATE($AD1223,2,1)&lt;=$AF1223),ROUND($AG1223,2),0))</f>
        <v/>
      </c>
      <c r="L1223" s="18">
        <f>IF($Z1223="","",IF(AND(DATE($AD1223,3,1)&gt;=$AE1223,DATE($AD1223,3,1)&lt;=$AF1223),ROUND($AG1223,2),0))</f>
        <v/>
      </c>
      <c r="M1223" s="18">
        <f>IF($Z1223="","",IF(AND(DATE($AD1223,4,1)&gt;=$AE1223,DATE($AD1223,4,1)&lt;=$AF1223),ROUND($AG1223,2),0))</f>
        <v/>
      </c>
      <c r="N1223" s="18">
        <f>IF($Z1223="","",IF(AND(DATE($AD1223,5,1)&gt;=$AE1223,DATE($AD1223,5,1)&lt;=$AF1223),ROUND($AG1223,2),0))</f>
        <v/>
      </c>
      <c r="O1223" s="18">
        <f>IF($Z1223="","",IF(AND(DATE($AD1223,6,1)&gt;=$AE1223,DATE($AD1223,6,1)&lt;=$AF1223),ROUND($AG1223,2),0))</f>
        <v/>
      </c>
      <c r="P1223" s="18">
        <f>IF($Z1223="","",IF(AND(DATE($AD1223,7,1)&gt;=$AE1223,DATE($AD1223,7,1)&lt;=$AF1223),ROUND($AG1223,2),0))</f>
        <v/>
      </c>
      <c r="Q1223" s="18">
        <f>IF($Z1223="","",IF(AND(DATE($AD1223,8,1)&gt;=$AE1223,DATE($AD1223,8,1)&lt;=$AF1223),ROUND($AG1223,2),0))</f>
        <v/>
      </c>
      <c r="R1223" s="18">
        <f>IF($Z1223="","",IF(AND(DATE($AD1223,9,1)&gt;=$AE1223,DATE($AD1223,9,1)&lt;=$AF1223),ROUND($AG1223,2),0))</f>
        <v/>
      </c>
      <c r="S1223" s="18">
        <f>IF($Z1223="","",IF(AND(DATE($AD1223,10,1)&gt;=$AE1223,DATE($AD1223,10,1)&lt;=$AF1223),ROUND($AG1223,2),0))</f>
        <v/>
      </c>
      <c r="T1223" s="18">
        <f>IF($Z1223="","",IF(AND(DATE($AD1223,11,1)&gt;=$AE1223,DATE($AD1223,11,1)&lt;=$AF1223),ROUND($AG1223,2),0))</f>
        <v/>
      </c>
      <c r="U1223" s="18">
        <f>IF($Z1223="","",IF(AND(DATE($AD1223,12,1)&gt;=$AE1223,DATE($AD1223,12,1)&lt;=$AF1223),ROUND($AG1223,2),0))</f>
        <v/>
      </c>
      <c r="V1223" s="7">
        <f>IF($Z1223="C","Generated from "&amp;INDEX(Contracts!$A$2:$A$151,$AB1223),IF($Z1223="A","Generated from "&amp;INDEX(Fixed_Assets!$A$2:$A$201,$AB1223),IF($Z1223="F","Generated from "&amp;INDEX(FTE_Allocation!$A$2:$A$201,$AB1223),"")))</f>
        <v/>
      </c>
      <c r="X1223" s="19">
        <f>IF($Z1223="","",SUM(J1223:U1223))</f>
        <v/>
      </c>
      <c r="Y1223" s="20">
        <f>ROW()-1</f>
        <v/>
      </c>
      <c r="Z1223" s="20">
        <f>IF($Y1223&lt;=Settings!$B$4*3,"C",IF($Y1223&lt;=(Settings!$B$4+Settings!$B$5)*3,"A",IF($Y1223&lt;=(Settings!$B$4+Settings!$B$5+Settings!$B$6)*3,"F","")))</f>
        <v/>
      </c>
      <c r="AA1223" s="20">
        <f>IF($Z1223="C",$Y1223,IF($Z1223="A",$Y1223-Settings!$B$4*3,IF($Z1223="F",$Y1223-(Settings!$B$4+Settings!$B$5)*3,"")))</f>
        <v/>
      </c>
      <c r="AB1223" s="20">
        <f>IF($Z1223="","",INT(($AA1223-1)/3)+1)</f>
        <v/>
      </c>
      <c r="AC1223" s="20">
        <f>IF($Z1223="","",MOD($AA1223-1,3)+1)</f>
        <v/>
      </c>
      <c r="AD1223" s="20">
        <f>IF($Z1223="","",Settings!$B$2+$AC1223-1)</f>
        <v/>
      </c>
      <c r="AE1223" s="21">
        <f>IF($Z1223="C",DATE(YEAR(INDEX(Contracts!$J$2:$J$151,$AB1223)),MONTH(INDEX(Contracts!$J$2:$J$151,$AB1223)),1),IF($Z1223="A",DATE(YEAR(INDEX(Fixed_Assets!$G$2:$G$201,$AB1223)),MONTH(INDEX(Fixed_Assets!$G$2:$G$201,$AB1223)),1),IF($Z1223="F",DATE(YEAR(MAX(N(INDEX(Workforce!$I$2:$I$151,MATCH(INDEX(FTE_Allocation!$A$2:$A$201,$AB1223),Workforce!$A$2:$A$151,0))),N(INDEX(FTE_Allocation!$I$2:$I$201,$AB1223)))),MONTH(MAX(N(INDEX(Workforce!$I$2:$I$151,MATCH(INDEX(FTE_Allocation!$A$2:$A$201,$AB1223),Workforce!$A$2:$A$151,0))),N(INDEX(FTE_Allocation!$I$2:$I$201,$AB1223)))),1),"")))</f>
        <v/>
      </c>
      <c r="AF1223" s="21">
        <f>IF($Z1223="C",IF(INDEX(Contracts!$I$2:$I$151,$AB1223)="PREPAID",EDATE(DATE(YEAR(INDEX(Contracts!$J$2:$J$151,$AB1223)),MONTH(INDEX(Contracts!$J$2:$J$151,$AB1223)),1),IF(INDEX(Contracts!$N$2:$N$151,$AB1223)="",12,INDEX(Contracts!$N$2:$N$151,$AB1223))-1),IF(INDEX(Contracts!$I$2:$I$151,$AB1223)="MONTHLY",IF(INDEX(Contracts!$K$2:$K$151,$AB1223)="",2958101,INDEX(Contracts!$K$2:$K$151,$AB1223)),0)),IF($Z1223="A",EDATE(DATE(YEAR(INDEX(Fixed_Assets!$G$2:$G$201,$AB1223)),MONTH(INDEX(Fixed_Assets!$G$2:$G$201,$AB1223)),1),INDEX(Fixed_Assets!$J$2:$J$201,$AB1223)-1),IF($Z1223="F",MIN(IF(INDEX(Workforce!$J$2:$J$151,MATCH(INDEX(FTE_Allocation!$A$2:$A$201,$AB1223),Workforce!$A$2:$A$151,0))="",2958101,INDEX(Workforce!$J$2:$J$151,MATCH(INDEX(FTE_Allocation!$A$2:$A$201,$AB1223),Workforce!$A$2:$A$151,0))),IF(INDEX(FTE_Allocation!$J$2:$J$201,$AB1223)="",2958101,INDEX(FTE_Allocation!$J$2:$J$201,$AB1223))),"")))</f>
        <v/>
      </c>
      <c r="AG1223" s="19">
        <f>IF($Z1223="C",IF(INDEX(Contracts!$I$2:$I$151,$AB1223)="PREPAID",INDEX(Contracts!$M$2:$M$151,$AB1223)/IF(INDEX(Contracts!$N$2:$N$151,$AB1223)="",12,INDEX(Contracts!$N$2:$N$151,$AB1223)),IF(INDEX(Contracts!$I$2:$I$151,$AB1223)="MONTHLY",INDEX(Contracts!$M$2:$M$151,$AB1223),0))*(1-N(INDEX(Contracts!$O$2:$O$151,$AB1223))),IF($Z1223="A",INDEX(Fixed_Assets!$H$2:$H$201,$AB1223)/INDEX(Fixed_Assets!$J$2:$J$201,$AB1223),IF($Z1223="F",INDEX(Workforce!$F$2:$F$151,MATCH(INDEX(FTE_Allocation!$A$2:$A$201,$AB1223),Workforce!$A$2:$A$151,0))*N(INDEX(FTE_Allocation!$F$2:$H$201,$AB1223,$AC1223)),"")))</f>
        <v/>
      </c>
    </row>
    <row r="1224">
      <c r="A1224" s="7">
        <f>IF($Z1224="","",$AD1224)</f>
        <v/>
      </c>
      <c r="B1224" s="7">
        <f>IF($Z1224="C",INDEX(Contracts!$D$2:$D$151,$AB1224)&amp;"",IF($Z1224="A",INDEX(Fixed_Assets!$C$2:$C$201,$AB1224)&amp;"",IF($Z1224="F",INDEX(Workforce!$B$2:$B$151,MATCH(INDEX(FTE_Allocation!$A$2:$A$201,$AB1224),Workforce!$A$2:$A$151,0))&amp;"","")))</f>
        <v/>
      </c>
      <c r="C1224" s="7">
        <f>IF($Z1224="C",INDEX(Contracts!$E$2:$E$151,$AB1224)&amp;"",IF($Z1224="A",INDEX(Fixed_Assets!$D$2:$D$201,$AB1224)&amp;"",IF($Z1224="F",INDEX(FTE_Allocation!$C$2:$C$201,$AB1224)&amp;"","")))</f>
        <v/>
      </c>
      <c r="D1224" s="7">
        <f>IF($Z1224="C",INDEX(Contracts!$B$2:$B$151,$AB1224)&amp;"",IF($Z1224="A",INDEX(Fixed_Assets!$B$2:$B$201,$AB1224)&amp;"",IF($Z1224="F",INDEX(FTE_Allocation!$B$2:$B$201,$AB1224)&amp;"","")))</f>
        <v/>
      </c>
      <c r="E1224" s="7">
        <f>IF($Z1224="C",INDEX(Contracts!$P$2:$P$151,$AB1224)&amp;"",IF($Z1224="A",INDEX(Fixed_Assets!$K$2:$K$201,$AB1224)&amp;"",IF($Z1224="F",IF(INDEX(FTE_Allocation!$D$2:$D$201,$AB1224)="PROJECT",IFERROR(INDEX(Projects!$D:$D,MATCH(INDEX(FTE_Allocation!$E$2:$E$201,$AB1224),Projects!$A:$A,0))&amp;"","#PROJECT?"),INDEX(FTE_Allocation!$E$2:$E$201,$AB1224)&amp;""),"")))</f>
        <v/>
      </c>
      <c r="F1224" s="7">
        <f>IF($Z1224="C",INDEX(Contracts!$Q$2:$Q$151,$AB1224)&amp;"",IF($Z1224="A",INDEX(Fixed_Assets!$L$2:$L$201,$AB1224)&amp;"",IF($Z1224="F",INDEX(Workforce!$K$2:$K$151,MATCH(INDEX(FTE_Allocation!$A$2:$A$201,$AB1224),Workforce!$A$2:$A$151,0))&amp;"","")))</f>
        <v/>
      </c>
      <c r="G1224" s="7">
        <f>IF($Z1224="C",INDEX(Contracts!$F$2:$F$151,$AB1224)&amp;" / "&amp;INDEX(Contracts!$G$2:$G$151,$AB1224),IF($Z1224="A",INDEX(Fixed_Assets!$E$2:$E$201,$AB1224)&amp;"",IF($Z1224="F","Personnel "&amp;INDEX(FTE_Allocation!$A$2:$A$201,$AB1224)&amp;IF(INDEX(FTE_Allocation!$D$2:$D$201,$AB1224)="PROJECT"," ("&amp;INDEX(FTE_Allocation!$E$2:$E$201,$AB1224)&amp;")",""),"")))</f>
        <v/>
      </c>
      <c r="H1224" s="7">
        <f>IF($Z1224="C","CONTRACT",IF($Z1224="A","ASSET",IF($Z1224="F","WORKFORCE","")))</f>
        <v/>
      </c>
      <c r="I1224" s="7">
        <f>IF($Z1224="C",INDEX(Contracts!$L$2:$L$151,$AB1224)&amp;"",IF($Z1224="A",INDEX(Fixed_Assets!$I$2:$I$201,$AB1224)&amp;"",IF($Z1224="F",INDEX(Workforce!$G$2:$G$151,MATCH(INDEX(FTE_Allocation!$A$2:$A$201,$AB1224),Workforce!$A$2:$A$151,0))&amp;"","")))</f>
        <v/>
      </c>
      <c r="J1224" s="18">
        <f>IF($Z1224="","",IF(AND(DATE($AD1224,1,1)&gt;=$AE1224,DATE($AD1224,1,1)&lt;=$AF1224),ROUND($AG1224,2),0))</f>
        <v/>
      </c>
      <c r="K1224" s="18">
        <f>IF($Z1224="","",IF(AND(DATE($AD1224,2,1)&gt;=$AE1224,DATE($AD1224,2,1)&lt;=$AF1224),ROUND($AG1224,2),0))</f>
        <v/>
      </c>
      <c r="L1224" s="18">
        <f>IF($Z1224="","",IF(AND(DATE($AD1224,3,1)&gt;=$AE1224,DATE($AD1224,3,1)&lt;=$AF1224),ROUND($AG1224,2),0))</f>
        <v/>
      </c>
      <c r="M1224" s="18">
        <f>IF($Z1224="","",IF(AND(DATE($AD1224,4,1)&gt;=$AE1224,DATE($AD1224,4,1)&lt;=$AF1224),ROUND($AG1224,2),0))</f>
        <v/>
      </c>
      <c r="N1224" s="18">
        <f>IF($Z1224="","",IF(AND(DATE($AD1224,5,1)&gt;=$AE1224,DATE($AD1224,5,1)&lt;=$AF1224),ROUND($AG1224,2),0))</f>
        <v/>
      </c>
      <c r="O1224" s="18">
        <f>IF($Z1224="","",IF(AND(DATE($AD1224,6,1)&gt;=$AE1224,DATE($AD1224,6,1)&lt;=$AF1224),ROUND($AG1224,2),0))</f>
        <v/>
      </c>
      <c r="P1224" s="18">
        <f>IF($Z1224="","",IF(AND(DATE($AD1224,7,1)&gt;=$AE1224,DATE($AD1224,7,1)&lt;=$AF1224),ROUND($AG1224,2),0))</f>
        <v/>
      </c>
      <c r="Q1224" s="18">
        <f>IF($Z1224="","",IF(AND(DATE($AD1224,8,1)&gt;=$AE1224,DATE($AD1224,8,1)&lt;=$AF1224),ROUND($AG1224,2),0))</f>
        <v/>
      </c>
      <c r="R1224" s="18">
        <f>IF($Z1224="","",IF(AND(DATE($AD1224,9,1)&gt;=$AE1224,DATE($AD1224,9,1)&lt;=$AF1224),ROUND($AG1224,2),0))</f>
        <v/>
      </c>
      <c r="S1224" s="18">
        <f>IF($Z1224="","",IF(AND(DATE($AD1224,10,1)&gt;=$AE1224,DATE($AD1224,10,1)&lt;=$AF1224),ROUND($AG1224,2),0))</f>
        <v/>
      </c>
      <c r="T1224" s="18">
        <f>IF($Z1224="","",IF(AND(DATE($AD1224,11,1)&gt;=$AE1224,DATE($AD1224,11,1)&lt;=$AF1224),ROUND($AG1224,2),0))</f>
        <v/>
      </c>
      <c r="U1224" s="18">
        <f>IF($Z1224="","",IF(AND(DATE($AD1224,12,1)&gt;=$AE1224,DATE($AD1224,12,1)&lt;=$AF1224),ROUND($AG1224,2),0))</f>
        <v/>
      </c>
      <c r="V1224" s="7">
        <f>IF($Z1224="C","Generated from "&amp;INDEX(Contracts!$A$2:$A$151,$AB1224),IF($Z1224="A","Generated from "&amp;INDEX(Fixed_Assets!$A$2:$A$201,$AB1224),IF($Z1224="F","Generated from "&amp;INDEX(FTE_Allocation!$A$2:$A$201,$AB1224),"")))</f>
        <v/>
      </c>
      <c r="X1224" s="19">
        <f>IF($Z1224="","",SUM(J1224:U1224))</f>
        <v/>
      </c>
      <c r="Y1224" s="20">
        <f>ROW()-1</f>
        <v/>
      </c>
      <c r="Z1224" s="20">
        <f>IF($Y1224&lt;=Settings!$B$4*3,"C",IF($Y1224&lt;=(Settings!$B$4+Settings!$B$5)*3,"A",IF($Y1224&lt;=(Settings!$B$4+Settings!$B$5+Settings!$B$6)*3,"F","")))</f>
        <v/>
      </c>
      <c r="AA1224" s="20">
        <f>IF($Z1224="C",$Y1224,IF($Z1224="A",$Y1224-Settings!$B$4*3,IF($Z1224="F",$Y1224-(Settings!$B$4+Settings!$B$5)*3,"")))</f>
        <v/>
      </c>
      <c r="AB1224" s="20">
        <f>IF($Z1224="","",INT(($AA1224-1)/3)+1)</f>
        <v/>
      </c>
      <c r="AC1224" s="20">
        <f>IF($Z1224="","",MOD($AA1224-1,3)+1)</f>
        <v/>
      </c>
      <c r="AD1224" s="20">
        <f>IF($Z1224="","",Settings!$B$2+$AC1224-1)</f>
        <v/>
      </c>
      <c r="AE1224" s="21">
        <f>IF($Z1224="C",DATE(YEAR(INDEX(Contracts!$J$2:$J$151,$AB1224)),MONTH(INDEX(Contracts!$J$2:$J$151,$AB1224)),1),IF($Z1224="A",DATE(YEAR(INDEX(Fixed_Assets!$G$2:$G$201,$AB1224)),MONTH(INDEX(Fixed_Assets!$G$2:$G$201,$AB1224)),1),IF($Z1224="F",DATE(YEAR(MAX(N(INDEX(Workforce!$I$2:$I$151,MATCH(INDEX(FTE_Allocation!$A$2:$A$201,$AB1224),Workforce!$A$2:$A$151,0))),N(INDEX(FTE_Allocation!$I$2:$I$201,$AB1224)))),MONTH(MAX(N(INDEX(Workforce!$I$2:$I$151,MATCH(INDEX(FTE_Allocation!$A$2:$A$201,$AB1224),Workforce!$A$2:$A$151,0))),N(INDEX(FTE_Allocation!$I$2:$I$201,$AB1224)))),1),"")))</f>
        <v/>
      </c>
      <c r="AF1224" s="21">
        <f>IF($Z1224="C",IF(INDEX(Contracts!$I$2:$I$151,$AB1224)="PREPAID",EDATE(DATE(YEAR(INDEX(Contracts!$J$2:$J$151,$AB1224)),MONTH(INDEX(Contracts!$J$2:$J$151,$AB1224)),1),IF(INDEX(Contracts!$N$2:$N$151,$AB1224)="",12,INDEX(Contracts!$N$2:$N$151,$AB1224))-1),IF(INDEX(Contracts!$I$2:$I$151,$AB1224)="MONTHLY",IF(INDEX(Contracts!$K$2:$K$151,$AB1224)="",2958101,INDEX(Contracts!$K$2:$K$151,$AB1224)),0)),IF($Z1224="A",EDATE(DATE(YEAR(INDEX(Fixed_Assets!$G$2:$G$201,$AB1224)),MONTH(INDEX(Fixed_Assets!$G$2:$G$201,$AB1224)),1),INDEX(Fixed_Assets!$J$2:$J$201,$AB1224)-1),IF($Z1224="F",MIN(IF(INDEX(Workforce!$J$2:$J$151,MATCH(INDEX(FTE_Allocation!$A$2:$A$201,$AB1224),Workforce!$A$2:$A$151,0))="",2958101,INDEX(Workforce!$J$2:$J$151,MATCH(INDEX(FTE_Allocation!$A$2:$A$201,$AB1224),Workforce!$A$2:$A$151,0))),IF(INDEX(FTE_Allocation!$J$2:$J$201,$AB1224)="",2958101,INDEX(FTE_Allocation!$J$2:$J$201,$AB1224))),"")))</f>
        <v/>
      </c>
      <c r="AG1224" s="19">
        <f>IF($Z1224="C",IF(INDEX(Contracts!$I$2:$I$151,$AB1224)="PREPAID",INDEX(Contracts!$M$2:$M$151,$AB1224)/IF(INDEX(Contracts!$N$2:$N$151,$AB1224)="",12,INDEX(Contracts!$N$2:$N$151,$AB1224)),IF(INDEX(Contracts!$I$2:$I$151,$AB1224)="MONTHLY",INDEX(Contracts!$M$2:$M$151,$AB1224),0))*(1-N(INDEX(Contracts!$O$2:$O$151,$AB1224))),IF($Z1224="A",INDEX(Fixed_Assets!$H$2:$H$201,$AB1224)/INDEX(Fixed_Assets!$J$2:$J$201,$AB1224),IF($Z1224="F",INDEX(Workforce!$F$2:$F$151,MATCH(INDEX(FTE_Allocation!$A$2:$A$201,$AB1224),Workforce!$A$2:$A$151,0))*N(INDEX(FTE_Allocation!$F$2:$H$201,$AB1224,$AC1224)),"")))</f>
        <v/>
      </c>
    </row>
    <row r="1225">
      <c r="A1225" s="7">
        <f>IF($Z1225="","",$AD1225)</f>
        <v/>
      </c>
      <c r="B1225" s="7">
        <f>IF($Z1225="C",INDEX(Contracts!$D$2:$D$151,$AB1225)&amp;"",IF($Z1225="A",INDEX(Fixed_Assets!$C$2:$C$201,$AB1225)&amp;"",IF($Z1225="F",INDEX(Workforce!$B$2:$B$151,MATCH(INDEX(FTE_Allocation!$A$2:$A$201,$AB1225),Workforce!$A$2:$A$151,0))&amp;"","")))</f>
        <v/>
      </c>
      <c r="C1225" s="7">
        <f>IF($Z1225="C",INDEX(Contracts!$E$2:$E$151,$AB1225)&amp;"",IF($Z1225="A",INDEX(Fixed_Assets!$D$2:$D$201,$AB1225)&amp;"",IF($Z1225="F",INDEX(FTE_Allocation!$C$2:$C$201,$AB1225)&amp;"","")))</f>
        <v/>
      </c>
      <c r="D1225" s="7">
        <f>IF($Z1225="C",INDEX(Contracts!$B$2:$B$151,$AB1225)&amp;"",IF($Z1225="A",INDEX(Fixed_Assets!$B$2:$B$201,$AB1225)&amp;"",IF($Z1225="F",INDEX(FTE_Allocation!$B$2:$B$201,$AB1225)&amp;"","")))</f>
        <v/>
      </c>
      <c r="E1225" s="7">
        <f>IF($Z1225="C",INDEX(Contracts!$P$2:$P$151,$AB1225)&amp;"",IF($Z1225="A",INDEX(Fixed_Assets!$K$2:$K$201,$AB1225)&amp;"",IF($Z1225="F",IF(INDEX(FTE_Allocation!$D$2:$D$201,$AB1225)="PROJECT",IFERROR(INDEX(Projects!$D:$D,MATCH(INDEX(FTE_Allocation!$E$2:$E$201,$AB1225),Projects!$A:$A,0))&amp;"","#PROJECT?"),INDEX(FTE_Allocation!$E$2:$E$201,$AB1225)&amp;""),"")))</f>
        <v/>
      </c>
      <c r="F1225" s="7">
        <f>IF($Z1225="C",INDEX(Contracts!$Q$2:$Q$151,$AB1225)&amp;"",IF($Z1225="A",INDEX(Fixed_Assets!$L$2:$L$201,$AB1225)&amp;"",IF($Z1225="F",INDEX(Workforce!$K$2:$K$151,MATCH(INDEX(FTE_Allocation!$A$2:$A$201,$AB1225),Workforce!$A$2:$A$151,0))&amp;"","")))</f>
        <v/>
      </c>
      <c r="G1225" s="7">
        <f>IF($Z1225="C",INDEX(Contracts!$F$2:$F$151,$AB1225)&amp;" / "&amp;INDEX(Contracts!$G$2:$G$151,$AB1225),IF($Z1225="A",INDEX(Fixed_Assets!$E$2:$E$201,$AB1225)&amp;"",IF($Z1225="F","Personnel "&amp;INDEX(FTE_Allocation!$A$2:$A$201,$AB1225)&amp;IF(INDEX(FTE_Allocation!$D$2:$D$201,$AB1225)="PROJECT"," ("&amp;INDEX(FTE_Allocation!$E$2:$E$201,$AB1225)&amp;")",""),"")))</f>
        <v/>
      </c>
      <c r="H1225" s="7">
        <f>IF($Z1225="C","CONTRACT",IF($Z1225="A","ASSET",IF($Z1225="F","WORKFORCE","")))</f>
        <v/>
      </c>
      <c r="I1225" s="7">
        <f>IF($Z1225="C",INDEX(Contracts!$L$2:$L$151,$AB1225)&amp;"",IF($Z1225="A",INDEX(Fixed_Assets!$I$2:$I$201,$AB1225)&amp;"",IF($Z1225="F",INDEX(Workforce!$G$2:$G$151,MATCH(INDEX(FTE_Allocation!$A$2:$A$201,$AB1225),Workforce!$A$2:$A$151,0))&amp;"","")))</f>
        <v/>
      </c>
      <c r="J1225" s="18">
        <f>IF($Z1225="","",IF(AND(DATE($AD1225,1,1)&gt;=$AE1225,DATE($AD1225,1,1)&lt;=$AF1225),ROUND($AG1225,2),0))</f>
        <v/>
      </c>
      <c r="K1225" s="18">
        <f>IF($Z1225="","",IF(AND(DATE($AD1225,2,1)&gt;=$AE1225,DATE($AD1225,2,1)&lt;=$AF1225),ROUND($AG1225,2),0))</f>
        <v/>
      </c>
      <c r="L1225" s="18">
        <f>IF($Z1225="","",IF(AND(DATE($AD1225,3,1)&gt;=$AE1225,DATE($AD1225,3,1)&lt;=$AF1225),ROUND($AG1225,2),0))</f>
        <v/>
      </c>
      <c r="M1225" s="18">
        <f>IF($Z1225="","",IF(AND(DATE($AD1225,4,1)&gt;=$AE1225,DATE($AD1225,4,1)&lt;=$AF1225),ROUND($AG1225,2),0))</f>
        <v/>
      </c>
      <c r="N1225" s="18">
        <f>IF($Z1225="","",IF(AND(DATE($AD1225,5,1)&gt;=$AE1225,DATE($AD1225,5,1)&lt;=$AF1225),ROUND($AG1225,2),0))</f>
        <v/>
      </c>
      <c r="O1225" s="18">
        <f>IF($Z1225="","",IF(AND(DATE($AD1225,6,1)&gt;=$AE1225,DATE($AD1225,6,1)&lt;=$AF1225),ROUND($AG1225,2),0))</f>
        <v/>
      </c>
      <c r="P1225" s="18">
        <f>IF($Z1225="","",IF(AND(DATE($AD1225,7,1)&gt;=$AE1225,DATE($AD1225,7,1)&lt;=$AF1225),ROUND($AG1225,2),0))</f>
        <v/>
      </c>
      <c r="Q1225" s="18">
        <f>IF($Z1225="","",IF(AND(DATE($AD1225,8,1)&gt;=$AE1225,DATE($AD1225,8,1)&lt;=$AF1225),ROUND($AG1225,2),0))</f>
        <v/>
      </c>
      <c r="R1225" s="18">
        <f>IF($Z1225="","",IF(AND(DATE($AD1225,9,1)&gt;=$AE1225,DATE($AD1225,9,1)&lt;=$AF1225),ROUND($AG1225,2),0))</f>
        <v/>
      </c>
      <c r="S1225" s="18">
        <f>IF($Z1225="","",IF(AND(DATE($AD1225,10,1)&gt;=$AE1225,DATE($AD1225,10,1)&lt;=$AF1225),ROUND($AG1225,2),0))</f>
        <v/>
      </c>
      <c r="T1225" s="18">
        <f>IF($Z1225="","",IF(AND(DATE($AD1225,11,1)&gt;=$AE1225,DATE($AD1225,11,1)&lt;=$AF1225),ROUND($AG1225,2),0))</f>
        <v/>
      </c>
      <c r="U1225" s="18">
        <f>IF($Z1225="","",IF(AND(DATE($AD1225,12,1)&gt;=$AE1225,DATE($AD1225,12,1)&lt;=$AF1225),ROUND($AG1225,2),0))</f>
        <v/>
      </c>
      <c r="V1225" s="7">
        <f>IF($Z1225="C","Generated from "&amp;INDEX(Contracts!$A$2:$A$151,$AB1225),IF($Z1225="A","Generated from "&amp;INDEX(Fixed_Assets!$A$2:$A$201,$AB1225),IF($Z1225="F","Generated from "&amp;INDEX(FTE_Allocation!$A$2:$A$201,$AB1225),"")))</f>
        <v/>
      </c>
      <c r="X1225" s="19">
        <f>IF($Z1225="","",SUM(J1225:U1225))</f>
        <v/>
      </c>
      <c r="Y1225" s="20">
        <f>ROW()-1</f>
        <v/>
      </c>
      <c r="Z1225" s="20">
        <f>IF($Y1225&lt;=Settings!$B$4*3,"C",IF($Y1225&lt;=(Settings!$B$4+Settings!$B$5)*3,"A",IF($Y1225&lt;=(Settings!$B$4+Settings!$B$5+Settings!$B$6)*3,"F","")))</f>
        <v/>
      </c>
      <c r="AA1225" s="20">
        <f>IF($Z1225="C",$Y1225,IF($Z1225="A",$Y1225-Settings!$B$4*3,IF($Z1225="F",$Y1225-(Settings!$B$4+Settings!$B$5)*3,"")))</f>
        <v/>
      </c>
      <c r="AB1225" s="20">
        <f>IF($Z1225="","",INT(($AA1225-1)/3)+1)</f>
        <v/>
      </c>
      <c r="AC1225" s="20">
        <f>IF($Z1225="","",MOD($AA1225-1,3)+1)</f>
        <v/>
      </c>
      <c r="AD1225" s="20">
        <f>IF($Z1225="","",Settings!$B$2+$AC1225-1)</f>
        <v/>
      </c>
      <c r="AE1225" s="21">
        <f>IF($Z1225="C",DATE(YEAR(INDEX(Contracts!$J$2:$J$151,$AB1225)),MONTH(INDEX(Contracts!$J$2:$J$151,$AB1225)),1),IF($Z1225="A",DATE(YEAR(INDEX(Fixed_Assets!$G$2:$G$201,$AB1225)),MONTH(INDEX(Fixed_Assets!$G$2:$G$201,$AB1225)),1),IF($Z1225="F",DATE(YEAR(MAX(N(INDEX(Workforce!$I$2:$I$151,MATCH(INDEX(FTE_Allocation!$A$2:$A$201,$AB1225),Workforce!$A$2:$A$151,0))),N(INDEX(FTE_Allocation!$I$2:$I$201,$AB1225)))),MONTH(MAX(N(INDEX(Workforce!$I$2:$I$151,MATCH(INDEX(FTE_Allocation!$A$2:$A$201,$AB1225),Workforce!$A$2:$A$151,0))),N(INDEX(FTE_Allocation!$I$2:$I$201,$AB1225)))),1),"")))</f>
        <v/>
      </c>
      <c r="AF1225" s="21">
        <f>IF($Z1225="C",IF(INDEX(Contracts!$I$2:$I$151,$AB1225)="PREPAID",EDATE(DATE(YEAR(INDEX(Contracts!$J$2:$J$151,$AB1225)),MONTH(INDEX(Contracts!$J$2:$J$151,$AB1225)),1),IF(INDEX(Contracts!$N$2:$N$151,$AB1225)="",12,INDEX(Contracts!$N$2:$N$151,$AB1225))-1),IF(INDEX(Contracts!$I$2:$I$151,$AB1225)="MONTHLY",IF(INDEX(Contracts!$K$2:$K$151,$AB1225)="",2958101,INDEX(Contracts!$K$2:$K$151,$AB1225)),0)),IF($Z1225="A",EDATE(DATE(YEAR(INDEX(Fixed_Assets!$G$2:$G$201,$AB1225)),MONTH(INDEX(Fixed_Assets!$G$2:$G$201,$AB1225)),1),INDEX(Fixed_Assets!$J$2:$J$201,$AB1225)-1),IF($Z1225="F",MIN(IF(INDEX(Workforce!$J$2:$J$151,MATCH(INDEX(FTE_Allocation!$A$2:$A$201,$AB1225),Workforce!$A$2:$A$151,0))="",2958101,INDEX(Workforce!$J$2:$J$151,MATCH(INDEX(FTE_Allocation!$A$2:$A$201,$AB1225),Workforce!$A$2:$A$151,0))),IF(INDEX(FTE_Allocation!$J$2:$J$201,$AB1225)="",2958101,INDEX(FTE_Allocation!$J$2:$J$201,$AB1225))),"")))</f>
        <v/>
      </c>
      <c r="AG1225" s="19">
        <f>IF($Z1225="C",IF(INDEX(Contracts!$I$2:$I$151,$AB1225)="PREPAID",INDEX(Contracts!$M$2:$M$151,$AB1225)/IF(INDEX(Contracts!$N$2:$N$151,$AB1225)="",12,INDEX(Contracts!$N$2:$N$151,$AB1225)),IF(INDEX(Contracts!$I$2:$I$151,$AB1225)="MONTHLY",INDEX(Contracts!$M$2:$M$151,$AB1225),0))*(1-N(INDEX(Contracts!$O$2:$O$151,$AB1225))),IF($Z1225="A",INDEX(Fixed_Assets!$H$2:$H$201,$AB1225)/INDEX(Fixed_Assets!$J$2:$J$201,$AB1225),IF($Z1225="F",INDEX(Workforce!$F$2:$F$151,MATCH(INDEX(FTE_Allocation!$A$2:$A$201,$AB1225),Workforce!$A$2:$A$151,0))*N(INDEX(FTE_Allocation!$F$2:$H$201,$AB1225,$AC1225)),"")))</f>
        <v/>
      </c>
    </row>
    <row r="1226">
      <c r="A1226" s="7">
        <f>IF($Z1226="","",$AD1226)</f>
        <v/>
      </c>
      <c r="B1226" s="7">
        <f>IF($Z1226="C",INDEX(Contracts!$D$2:$D$151,$AB1226)&amp;"",IF($Z1226="A",INDEX(Fixed_Assets!$C$2:$C$201,$AB1226)&amp;"",IF($Z1226="F",INDEX(Workforce!$B$2:$B$151,MATCH(INDEX(FTE_Allocation!$A$2:$A$201,$AB1226),Workforce!$A$2:$A$151,0))&amp;"","")))</f>
        <v/>
      </c>
      <c r="C1226" s="7">
        <f>IF($Z1226="C",INDEX(Contracts!$E$2:$E$151,$AB1226)&amp;"",IF($Z1226="A",INDEX(Fixed_Assets!$D$2:$D$201,$AB1226)&amp;"",IF($Z1226="F",INDEX(FTE_Allocation!$C$2:$C$201,$AB1226)&amp;"","")))</f>
        <v/>
      </c>
      <c r="D1226" s="7">
        <f>IF($Z1226="C",INDEX(Contracts!$B$2:$B$151,$AB1226)&amp;"",IF($Z1226="A",INDEX(Fixed_Assets!$B$2:$B$201,$AB1226)&amp;"",IF($Z1226="F",INDEX(FTE_Allocation!$B$2:$B$201,$AB1226)&amp;"","")))</f>
        <v/>
      </c>
      <c r="E1226" s="7">
        <f>IF($Z1226="C",INDEX(Contracts!$P$2:$P$151,$AB1226)&amp;"",IF($Z1226="A",INDEX(Fixed_Assets!$K$2:$K$201,$AB1226)&amp;"",IF($Z1226="F",IF(INDEX(FTE_Allocation!$D$2:$D$201,$AB1226)="PROJECT",IFERROR(INDEX(Projects!$D:$D,MATCH(INDEX(FTE_Allocation!$E$2:$E$201,$AB1226),Projects!$A:$A,0))&amp;"","#PROJECT?"),INDEX(FTE_Allocation!$E$2:$E$201,$AB1226)&amp;""),"")))</f>
        <v/>
      </c>
      <c r="F1226" s="7">
        <f>IF($Z1226="C",INDEX(Contracts!$Q$2:$Q$151,$AB1226)&amp;"",IF($Z1226="A",INDEX(Fixed_Assets!$L$2:$L$201,$AB1226)&amp;"",IF($Z1226="F",INDEX(Workforce!$K$2:$K$151,MATCH(INDEX(FTE_Allocation!$A$2:$A$201,$AB1226),Workforce!$A$2:$A$151,0))&amp;"","")))</f>
        <v/>
      </c>
      <c r="G1226" s="7">
        <f>IF($Z1226="C",INDEX(Contracts!$F$2:$F$151,$AB1226)&amp;" / "&amp;INDEX(Contracts!$G$2:$G$151,$AB1226),IF($Z1226="A",INDEX(Fixed_Assets!$E$2:$E$201,$AB1226)&amp;"",IF($Z1226="F","Personnel "&amp;INDEX(FTE_Allocation!$A$2:$A$201,$AB1226)&amp;IF(INDEX(FTE_Allocation!$D$2:$D$201,$AB1226)="PROJECT"," ("&amp;INDEX(FTE_Allocation!$E$2:$E$201,$AB1226)&amp;")",""),"")))</f>
        <v/>
      </c>
      <c r="H1226" s="7">
        <f>IF($Z1226="C","CONTRACT",IF($Z1226="A","ASSET",IF($Z1226="F","WORKFORCE","")))</f>
        <v/>
      </c>
      <c r="I1226" s="7">
        <f>IF($Z1226="C",INDEX(Contracts!$L$2:$L$151,$AB1226)&amp;"",IF($Z1226="A",INDEX(Fixed_Assets!$I$2:$I$201,$AB1226)&amp;"",IF($Z1226="F",INDEX(Workforce!$G$2:$G$151,MATCH(INDEX(FTE_Allocation!$A$2:$A$201,$AB1226),Workforce!$A$2:$A$151,0))&amp;"","")))</f>
        <v/>
      </c>
      <c r="J1226" s="18">
        <f>IF($Z1226="","",IF(AND(DATE($AD1226,1,1)&gt;=$AE1226,DATE($AD1226,1,1)&lt;=$AF1226),ROUND($AG1226,2),0))</f>
        <v/>
      </c>
      <c r="K1226" s="18">
        <f>IF($Z1226="","",IF(AND(DATE($AD1226,2,1)&gt;=$AE1226,DATE($AD1226,2,1)&lt;=$AF1226),ROUND($AG1226,2),0))</f>
        <v/>
      </c>
      <c r="L1226" s="18">
        <f>IF($Z1226="","",IF(AND(DATE($AD1226,3,1)&gt;=$AE1226,DATE($AD1226,3,1)&lt;=$AF1226),ROUND($AG1226,2),0))</f>
        <v/>
      </c>
      <c r="M1226" s="18">
        <f>IF($Z1226="","",IF(AND(DATE($AD1226,4,1)&gt;=$AE1226,DATE($AD1226,4,1)&lt;=$AF1226),ROUND($AG1226,2),0))</f>
        <v/>
      </c>
      <c r="N1226" s="18">
        <f>IF($Z1226="","",IF(AND(DATE($AD1226,5,1)&gt;=$AE1226,DATE($AD1226,5,1)&lt;=$AF1226),ROUND($AG1226,2),0))</f>
        <v/>
      </c>
      <c r="O1226" s="18">
        <f>IF($Z1226="","",IF(AND(DATE($AD1226,6,1)&gt;=$AE1226,DATE($AD1226,6,1)&lt;=$AF1226),ROUND($AG1226,2),0))</f>
        <v/>
      </c>
      <c r="P1226" s="18">
        <f>IF($Z1226="","",IF(AND(DATE($AD1226,7,1)&gt;=$AE1226,DATE($AD1226,7,1)&lt;=$AF1226),ROUND($AG1226,2),0))</f>
        <v/>
      </c>
      <c r="Q1226" s="18">
        <f>IF($Z1226="","",IF(AND(DATE($AD1226,8,1)&gt;=$AE1226,DATE($AD1226,8,1)&lt;=$AF1226),ROUND($AG1226,2),0))</f>
        <v/>
      </c>
      <c r="R1226" s="18">
        <f>IF($Z1226="","",IF(AND(DATE($AD1226,9,1)&gt;=$AE1226,DATE($AD1226,9,1)&lt;=$AF1226),ROUND($AG1226,2),0))</f>
        <v/>
      </c>
      <c r="S1226" s="18">
        <f>IF($Z1226="","",IF(AND(DATE($AD1226,10,1)&gt;=$AE1226,DATE($AD1226,10,1)&lt;=$AF1226),ROUND($AG1226,2),0))</f>
        <v/>
      </c>
      <c r="T1226" s="18">
        <f>IF($Z1226="","",IF(AND(DATE($AD1226,11,1)&gt;=$AE1226,DATE($AD1226,11,1)&lt;=$AF1226),ROUND($AG1226,2),0))</f>
        <v/>
      </c>
      <c r="U1226" s="18">
        <f>IF($Z1226="","",IF(AND(DATE($AD1226,12,1)&gt;=$AE1226,DATE($AD1226,12,1)&lt;=$AF1226),ROUND($AG1226,2),0))</f>
        <v/>
      </c>
      <c r="V1226" s="7">
        <f>IF($Z1226="C","Generated from "&amp;INDEX(Contracts!$A$2:$A$151,$AB1226),IF($Z1226="A","Generated from "&amp;INDEX(Fixed_Assets!$A$2:$A$201,$AB1226),IF($Z1226="F","Generated from "&amp;INDEX(FTE_Allocation!$A$2:$A$201,$AB1226),"")))</f>
        <v/>
      </c>
      <c r="X1226" s="19">
        <f>IF($Z1226="","",SUM(J1226:U1226))</f>
        <v/>
      </c>
      <c r="Y1226" s="20">
        <f>ROW()-1</f>
        <v/>
      </c>
      <c r="Z1226" s="20">
        <f>IF($Y1226&lt;=Settings!$B$4*3,"C",IF($Y1226&lt;=(Settings!$B$4+Settings!$B$5)*3,"A",IF($Y1226&lt;=(Settings!$B$4+Settings!$B$5+Settings!$B$6)*3,"F","")))</f>
        <v/>
      </c>
      <c r="AA1226" s="20">
        <f>IF($Z1226="C",$Y1226,IF($Z1226="A",$Y1226-Settings!$B$4*3,IF($Z1226="F",$Y1226-(Settings!$B$4+Settings!$B$5)*3,"")))</f>
        <v/>
      </c>
      <c r="AB1226" s="20">
        <f>IF($Z1226="","",INT(($AA1226-1)/3)+1)</f>
        <v/>
      </c>
      <c r="AC1226" s="20">
        <f>IF($Z1226="","",MOD($AA1226-1,3)+1)</f>
        <v/>
      </c>
      <c r="AD1226" s="20">
        <f>IF($Z1226="","",Settings!$B$2+$AC1226-1)</f>
        <v/>
      </c>
      <c r="AE1226" s="21">
        <f>IF($Z1226="C",DATE(YEAR(INDEX(Contracts!$J$2:$J$151,$AB1226)),MONTH(INDEX(Contracts!$J$2:$J$151,$AB1226)),1),IF($Z1226="A",DATE(YEAR(INDEX(Fixed_Assets!$G$2:$G$201,$AB1226)),MONTH(INDEX(Fixed_Assets!$G$2:$G$201,$AB1226)),1),IF($Z1226="F",DATE(YEAR(MAX(N(INDEX(Workforce!$I$2:$I$151,MATCH(INDEX(FTE_Allocation!$A$2:$A$201,$AB1226),Workforce!$A$2:$A$151,0))),N(INDEX(FTE_Allocation!$I$2:$I$201,$AB1226)))),MONTH(MAX(N(INDEX(Workforce!$I$2:$I$151,MATCH(INDEX(FTE_Allocation!$A$2:$A$201,$AB1226),Workforce!$A$2:$A$151,0))),N(INDEX(FTE_Allocation!$I$2:$I$201,$AB1226)))),1),"")))</f>
        <v/>
      </c>
      <c r="AF1226" s="21">
        <f>IF($Z1226="C",IF(INDEX(Contracts!$I$2:$I$151,$AB1226)="PREPAID",EDATE(DATE(YEAR(INDEX(Contracts!$J$2:$J$151,$AB1226)),MONTH(INDEX(Contracts!$J$2:$J$151,$AB1226)),1),IF(INDEX(Contracts!$N$2:$N$151,$AB1226)="",12,INDEX(Contracts!$N$2:$N$151,$AB1226))-1),IF(INDEX(Contracts!$I$2:$I$151,$AB1226)="MONTHLY",IF(INDEX(Contracts!$K$2:$K$151,$AB1226)="",2958101,INDEX(Contracts!$K$2:$K$151,$AB1226)),0)),IF($Z1226="A",EDATE(DATE(YEAR(INDEX(Fixed_Assets!$G$2:$G$201,$AB1226)),MONTH(INDEX(Fixed_Assets!$G$2:$G$201,$AB1226)),1),INDEX(Fixed_Assets!$J$2:$J$201,$AB1226)-1),IF($Z1226="F",MIN(IF(INDEX(Workforce!$J$2:$J$151,MATCH(INDEX(FTE_Allocation!$A$2:$A$201,$AB1226),Workforce!$A$2:$A$151,0))="",2958101,INDEX(Workforce!$J$2:$J$151,MATCH(INDEX(FTE_Allocation!$A$2:$A$201,$AB1226),Workforce!$A$2:$A$151,0))),IF(INDEX(FTE_Allocation!$J$2:$J$201,$AB1226)="",2958101,INDEX(FTE_Allocation!$J$2:$J$201,$AB1226))),"")))</f>
        <v/>
      </c>
      <c r="AG1226" s="19">
        <f>IF($Z1226="C",IF(INDEX(Contracts!$I$2:$I$151,$AB1226)="PREPAID",INDEX(Contracts!$M$2:$M$151,$AB1226)/IF(INDEX(Contracts!$N$2:$N$151,$AB1226)="",12,INDEX(Contracts!$N$2:$N$151,$AB1226)),IF(INDEX(Contracts!$I$2:$I$151,$AB1226)="MONTHLY",INDEX(Contracts!$M$2:$M$151,$AB1226),0))*(1-N(INDEX(Contracts!$O$2:$O$151,$AB1226))),IF($Z1226="A",INDEX(Fixed_Assets!$H$2:$H$201,$AB1226)/INDEX(Fixed_Assets!$J$2:$J$201,$AB1226),IF($Z1226="F",INDEX(Workforce!$F$2:$F$151,MATCH(INDEX(FTE_Allocation!$A$2:$A$201,$AB1226),Workforce!$A$2:$A$151,0))*N(INDEX(FTE_Allocation!$F$2:$H$201,$AB1226,$AC1226)),"")))</f>
        <v/>
      </c>
    </row>
    <row r="1227">
      <c r="A1227" s="7">
        <f>IF($Z1227="","",$AD1227)</f>
        <v/>
      </c>
      <c r="B1227" s="7">
        <f>IF($Z1227="C",INDEX(Contracts!$D$2:$D$151,$AB1227)&amp;"",IF($Z1227="A",INDEX(Fixed_Assets!$C$2:$C$201,$AB1227)&amp;"",IF($Z1227="F",INDEX(Workforce!$B$2:$B$151,MATCH(INDEX(FTE_Allocation!$A$2:$A$201,$AB1227),Workforce!$A$2:$A$151,0))&amp;"","")))</f>
        <v/>
      </c>
      <c r="C1227" s="7">
        <f>IF($Z1227="C",INDEX(Contracts!$E$2:$E$151,$AB1227)&amp;"",IF($Z1227="A",INDEX(Fixed_Assets!$D$2:$D$201,$AB1227)&amp;"",IF($Z1227="F",INDEX(FTE_Allocation!$C$2:$C$201,$AB1227)&amp;"","")))</f>
        <v/>
      </c>
      <c r="D1227" s="7">
        <f>IF($Z1227="C",INDEX(Contracts!$B$2:$B$151,$AB1227)&amp;"",IF($Z1227="A",INDEX(Fixed_Assets!$B$2:$B$201,$AB1227)&amp;"",IF($Z1227="F",INDEX(FTE_Allocation!$B$2:$B$201,$AB1227)&amp;"","")))</f>
        <v/>
      </c>
      <c r="E1227" s="7">
        <f>IF($Z1227="C",INDEX(Contracts!$P$2:$P$151,$AB1227)&amp;"",IF($Z1227="A",INDEX(Fixed_Assets!$K$2:$K$201,$AB1227)&amp;"",IF($Z1227="F",IF(INDEX(FTE_Allocation!$D$2:$D$201,$AB1227)="PROJECT",IFERROR(INDEX(Projects!$D:$D,MATCH(INDEX(FTE_Allocation!$E$2:$E$201,$AB1227),Projects!$A:$A,0))&amp;"","#PROJECT?"),INDEX(FTE_Allocation!$E$2:$E$201,$AB1227)&amp;""),"")))</f>
        <v/>
      </c>
      <c r="F1227" s="7">
        <f>IF($Z1227="C",INDEX(Contracts!$Q$2:$Q$151,$AB1227)&amp;"",IF($Z1227="A",INDEX(Fixed_Assets!$L$2:$L$201,$AB1227)&amp;"",IF($Z1227="F",INDEX(Workforce!$K$2:$K$151,MATCH(INDEX(FTE_Allocation!$A$2:$A$201,$AB1227),Workforce!$A$2:$A$151,0))&amp;"","")))</f>
        <v/>
      </c>
      <c r="G1227" s="7">
        <f>IF($Z1227="C",INDEX(Contracts!$F$2:$F$151,$AB1227)&amp;" / "&amp;INDEX(Contracts!$G$2:$G$151,$AB1227),IF($Z1227="A",INDEX(Fixed_Assets!$E$2:$E$201,$AB1227)&amp;"",IF($Z1227="F","Personnel "&amp;INDEX(FTE_Allocation!$A$2:$A$201,$AB1227)&amp;IF(INDEX(FTE_Allocation!$D$2:$D$201,$AB1227)="PROJECT"," ("&amp;INDEX(FTE_Allocation!$E$2:$E$201,$AB1227)&amp;")",""),"")))</f>
        <v/>
      </c>
      <c r="H1227" s="7">
        <f>IF($Z1227="C","CONTRACT",IF($Z1227="A","ASSET",IF($Z1227="F","WORKFORCE","")))</f>
        <v/>
      </c>
      <c r="I1227" s="7">
        <f>IF($Z1227="C",INDEX(Contracts!$L$2:$L$151,$AB1227)&amp;"",IF($Z1227="A",INDEX(Fixed_Assets!$I$2:$I$201,$AB1227)&amp;"",IF($Z1227="F",INDEX(Workforce!$G$2:$G$151,MATCH(INDEX(FTE_Allocation!$A$2:$A$201,$AB1227),Workforce!$A$2:$A$151,0))&amp;"","")))</f>
        <v/>
      </c>
      <c r="J1227" s="18">
        <f>IF($Z1227="","",IF(AND(DATE($AD1227,1,1)&gt;=$AE1227,DATE($AD1227,1,1)&lt;=$AF1227),ROUND($AG1227,2),0))</f>
        <v/>
      </c>
      <c r="K1227" s="18">
        <f>IF($Z1227="","",IF(AND(DATE($AD1227,2,1)&gt;=$AE1227,DATE($AD1227,2,1)&lt;=$AF1227),ROUND($AG1227,2),0))</f>
        <v/>
      </c>
      <c r="L1227" s="18">
        <f>IF($Z1227="","",IF(AND(DATE($AD1227,3,1)&gt;=$AE1227,DATE($AD1227,3,1)&lt;=$AF1227),ROUND($AG1227,2),0))</f>
        <v/>
      </c>
      <c r="M1227" s="18">
        <f>IF($Z1227="","",IF(AND(DATE($AD1227,4,1)&gt;=$AE1227,DATE($AD1227,4,1)&lt;=$AF1227),ROUND($AG1227,2),0))</f>
        <v/>
      </c>
      <c r="N1227" s="18">
        <f>IF($Z1227="","",IF(AND(DATE($AD1227,5,1)&gt;=$AE1227,DATE($AD1227,5,1)&lt;=$AF1227),ROUND($AG1227,2),0))</f>
        <v/>
      </c>
      <c r="O1227" s="18">
        <f>IF($Z1227="","",IF(AND(DATE($AD1227,6,1)&gt;=$AE1227,DATE($AD1227,6,1)&lt;=$AF1227),ROUND($AG1227,2),0))</f>
        <v/>
      </c>
      <c r="P1227" s="18">
        <f>IF($Z1227="","",IF(AND(DATE($AD1227,7,1)&gt;=$AE1227,DATE($AD1227,7,1)&lt;=$AF1227),ROUND($AG1227,2),0))</f>
        <v/>
      </c>
      <c r="Q1227" s="18">
        <f>IF($Z1227="","",IF(AND(DATE($AD1227,8,1)&gt;=$AE1227,DATE($AD1227,8,1)&lt;=$AF1227),ROUND($AG1227,2),0))</f>
        <v/>
      </c>
      <c r="R1227" s="18">
        <f>IF($Z1227="","",IF(AND(DATE($AD1227,9,1)&gt;=$AE1227,DATE($AD1227,9,1)&lt;=$AF1227),ROUND($AG1227,2),0))</f>
        <v/>
      </c>
      <c r="S1227" s="18">
        <f>IF($Z1227="","",IF(AND(DATE($AD1227,10,1)&gt;=$AE1227,DATE($AD1227,10,1)&lt;=$AF1227),ROUND($AG1227,2),0))</f>
        <v/>
      </c>
      <c r="T1227" s="18">
        <f>IF($Z1227="","",IF(AND(DATE($AD1227,11,1)&gt;=$AE1227,DATE($AD1227,11,1)&lt;=$AF1227),ROUND($AG1227,2),0))</f>
        <v/>
      </c>
      <c r="U1227" s="18">
        <f>IF($Z1227="","",IF(AND(DATE($AD1227,12,1)&gt;=$AE1227,DATE($AD1227,12,1)&lt;=$AF1227),ROUND($AG1227,2),0))</f>
        <v/>
      </c>
      <c r="V1227" s="7">
        <f>IF($Z1227="C","Generated from "&amp;INDEX(Contracts!$A$2:$A$151,$AB1227),IF($Z1227="A","Generated from "&amp;INDEX(Fixed_Assets!$A$2:$A$201,$AB1227),IF($Z1227="F","Generated from "&amp;INDEX(FTE_Allocation!$A$2:$A$201,$AB1227),"")))</f>
        <v/>
      </c>
      <c r="X1227" s="19">
        <f>IF($Z1227="","",SUM(J1227:U1227))</f>
        <v/>
      </c>
      <c r="Y1227" s="20">
        <f>ROW()-1</f>
        <v/>
      </c>
      <c r="Z1227" s="20">
        <f>IF($Y1227&lt;=Settings!$B$4*3,"C",IF($Y1227&lt;=(Settings!$B$4+Settings!$B$5)*3,"A",IF($Y1227&lt;=(Settings!$B$4+Settings!$B$5+Settings!$B$6)*3,"F","")))</f>
        <v/>
      </c>
      <c r="AA1227" s="20">
        <f>IF($Z1227="C",$Y1227,IF($Z1227="A",$Y1227-Settings!$B$4*3,IF($Z1227="F",$Y1227-(Settings!$B$4+Settings!$B$5)*3,"")))</f>
        <v/>
      </c>
      <c r="AB1227" s="20">
        <f>IF($Z1227="","",INT(($AA1227-1)/3)+1)</f>
        <v/>
      </c>
      <c r="AC1227" s="20">
        <f>IF($Z1227="","",MOD($AA1227-1,3)+1)</f>
        <v/>
      </c>
      <c r="AD1227" s="20">
        <f>IF($Z1227="","",Settings!$B$2+$AC1227-1)</f>
        <v/>
      </c>
      <c r="AE1227" s="21">
        <f>IF($Z1227="C",DATE(YEAR(INDEX(Contracts!$J$2:$J$151,$AB1227)),MONTH(INDEX(Contracts!$J$2:$J$151,$AB1227)),1),IF($Z1227="A",DATE(YEAR(INDEX(Fixed_Assets!$G$2:$G$201,$AB1227)),MONTH(INDEX(Fixed_Assets!$G$2:$G$201,$AB1227)),1),IF($Z1227="F",DATE(YEAR(MAX(N(INDEX(Workforce!$I$2:$I$151,MATCH(INDEX(FTE_Allocation!$A$2:$A$201,$AB1227),Workforce!$A$2:$A$151,0))),N(INDEX(FTE_Allocation!$I$2:$I$201,$AB1227)))),MONTH(MAX(N(INDEX(Workforce!$I$2:$I$151,MATCH(INDEX(FTE_Allocation!$A$2:$A$201,$AB1227),Workforce!$A$2:$A$151,0))),N(INDEX(FTE_Allocation!$I$2:$I$201,$AB1227)))),1),"")))</f>
        <v/>
      </c>
      <c r="AF1227" s="21">
        <f>IF($Z1227="C",IF(INDEX(Contracts!$I$2:$I$151,$AB1227)="PREPAID",EDATE(DATE(YEAR(INDEX(Contracts!$J$2:$J$151,$AB1227)),MONTH(INDEX(Contracts!$J$2:$J$151,$AB1227)),1),IF(INDEX(Contracts!$N$2:$N$151,$AB1227)="",12,INDEX(Contracts!$N$2:$N$151,$AB1227))-1),IF(INDEX(Contracts!$I$2:$I$151,$AB1227)="MONTHLY",IF(INDEX(Contracts!$K$2:$K$151,$AB1227)="",2958101,INDEX(Contracts!$K$2:$K$151,$AB1227)),0)),IF($Z1227="A",EDATE(DATE(YEAR(INDEX(Fixed_Assets!$G$2:$G$201,$AB1227)),MONTH(INDEX(Fixed_Assets!$G$2:$G$201,$AB1227)),1),INDEX(Fixed_Assets!$J$2:$J$201,$AB1227)-1),IF($Z1227="F",MIN(IF(INDEX(Workforce!$J$2:$J$151,MATCH(INDEX(FTE_Allocation!$A$2:$A$201,$AB1227),Workforce!$A$2:$A$151,0))="",2958101,INDEX(Workforce!$J$2:$J$151,MATCH(INDEX(FTE_Allocation!$A$2:$A$201,$AB1227),Workforce!$A$2:$A$151,0))),IF(INDEX(FTE_Allocation!$J$2:$J$201,$AB1227)="",2958101,INDEX(FTE_Allocation!$J$2:$J$201,$AB1227))),"")))</f>
        <v/>
      </c>
      <c r="AG1227" s="19">
        <f>IF($Z1227="C",IF(INDEX(Contracts!$I$2:$I$151,$AB1227)="PREPAID",INDEX(Contracts!$M$2:$M$151,$AB1227)/IF(INDEX(Contracts!$N$2:$N$151,$AB1227)="",12,INDEX(Contracts!$N$2:$N$151,$AB1227)),IF(INDEX(Contracts!$I$2:$I$151,$AB1227)="MONTHLY",INDEX(Contracts!$M$2:$M$151,$AB1227),0))*(1-N(INDEX(Contracts!$O$2:$O$151,$AB1227))),IF($Z1227="A",INDEX(Fixed_Assets!$H$2:$H$201,$AB1227)/INDEX(Fixed_Assets!$J$2:$J$201,$AB1227),IF($Z1227="F",INDEX(Workforce!$F$2:$F$151,MATCH(INDEX(FTE_Allocation!$A$2:$A$201,$AB1227),Workforce!$A$2:$A$151,0))*N(INDEX(FTE_Allocation!$F$2:$H$201,$AB1227,$AC1227)),"")))</f>
        <v/>
      </c>
    </row>
    <row r="1228">
      <c r="A1228" s="7">
        <f>IF($Z1228="","",$AD1228)</f>
        <v/>
      </c>
      <c r="B1228" s="7">
        <f>IF($Z1228="C",INDEX(Contracts!$D$2:$D$151,$AB1228)&amp;"",IF($Z1228="A",INDEX(Fixed_Assets!$C$2:$C$201,$AB1228)&amp;"",IF($Z1228="F",INDEX(Workforce!$B$2:$B$151,MATCH(INDEX(FTE_Allocation!$A$2:$A$201,$AB1228),Workforce!$A$2:$A$151,0))&amp;"","")))</f>
        <v/>
      </c>
      <c r="C1228" s="7">
        <f>IF($Z1228="C",INDEX(Contracts!$E$2:$E$151,$AB1228)&amp;"",IF($Z1228="A",INDEX(Fixed_Assets!$D$2:$D$201,$AB1228)&amp;"",IF($Z1228="F",INDEX(FTE_Allocation!$C$2:$C$201,$AB1228)&amp;"","")))</f>
        <v/>
      </c>
      <c r="D1228" s="7">
        <f>IF($Z1228="C",INDEX(Contracts!$B$2:$B$151,$AB1228)&amp;"",IF($Z1228="A",INDEX(Fixed_Assets!$B$2:$B$201,$AB1228)&amp;"",IF($Z1228="F",INDEX(FTE_Allocation!$B$2:$B$201,$AB1228)&amp;"","")))</f>
        <v/>
      </c>
      <c r="E1228" s="7">
        <f>IF($Z1228="C",INDEX(Contracts!$P$2:$P$151,$AB1228)&amp;"",IF($Z1228="A",INDEX(Fixed_Assets!$K$2:$K$201,$AB1228)&amp;"",IF($Z1228="F",IF(INDEX(FTE_Allocation!$D$2:$D$201,$AB1228)="PROJECT",IFERROR(INDEX(Projects!$D:$D,MATCH(INDEX(FTE_Allocation!$E$2:$E$201,$AB1228),Projects!$A:$A,0))&amp;"","#PROJECT?"),INDEX(FTE_Allocation!$E$2:$E$201,$AB1228)&amp;""),"")))</f>
        <v/>
      </c>
      <c r="F1228" s="7">
        <f>IF($Z1228="C",INDEX(Contracts!$Q$2:$Q$151,$AB1228)&amp;"",IF($Z1228="A",INDEX(Fixed_Assets!$L$2:$L$201,$AB1228)&amp;"",IF($Z1228="F",INDEX(Workforce!$K$2:$K$151,MATCH(INDEX(FTE_Allocation!$A$2:$A$201,$AB1228),Workforce!$A$2:$A$151,0))&amp;"","")))</f>
        <v/>
      </c>
      <c r="G1228" s="7">
        <f>IF($Z1228="C",INDEX(Contracts!$F$2:$F$151,$AB1228)&amp;" / "&amp;INDEX(Contracts!$G$2:$G$151,$AB1228),IF($Z1228="A",INDEX(Fixed_Assets!$E$2:$E$201,$AB1228)&amp;"",IF($Z1228="F","Personnel "&amp;INDEX(FTE_Allocation!$A$2:$A$201,$AB1228)&amp;IF(INDEX(FTE_Allocation!$D$2:$D$201,$AB1228)="PROJECT"," ("&amp;INDEX(FTE_Allocation!$E$2:$E$201,$AB1228)&amp;")",""),"")))</f>
        <v/>
      </c>
      <c r="H1228" s="7">
        <f>IF($Z1228="C","CONTRACT",IF($Z1228="A","ASSET",IF($Z1228="F","WORKFORCE","")))</f>
        <v/>
      </c>
      <c r="I1228" s="7">
        <f>IF($Z1228="C",INDEX(Contracts!$L$2:$L$151,$AB1228)&amp;"",IF($Z1228="A",INDEX(Fixed_Assets!$I$2:$I$201,$AB1228)&amp;"",IF($Z1228="F",INDEX(Workforce!$G$2:$G$151,MATCH(INDEX(FTE_Allocation!$A$2:$A$201,$AB1228),Workforce!$A$2:$A$151,0))&amp;"","")))</f>
        <v/>
      </c>
      <c r="J1228" s="18">
        <f>IF($Z1228="","",IF(AND(DATE($AD1228,1,1)&gt;=$AE1228,DATE($AD1228,1,1)&lt;=$AF1228),ROUND($AG1228,2),0))</f>
        <v/>
      </c>
      <c r="K1228" s="18">
        <f>IF($Z1228="","",IF(AND(DATE($AD1228,2,1)&gt;=$AE1228,DATE($AD1228,2,1)&lt;=$AF1228),ROUND($AG1228,2),0))</f>
        <v/>
      </c>
      <c r="L1228" s="18">
        <f>IF($Z1228="","",IF(AND(DATE($AD1228,3,1)&gt;=$AE1228,DATE($AD1228,3,1)&lt;=$AF1228),ROUND($AG1228,2),0))</f>
        <v/>
      </c>
      <c r="M1228" s="18">
        <f>IF($Z1228="","",IF(AND(DATE($AD1228,4,1)&gt;=$AE1228,DATE($AD1228,4,1)&lt;=$AF1228),ROUND($AG1228,2),0))</f>
        <v/>
      </c>
      <c r="N1228" s="18">
        <f>IF($Z1228="","",IF(AND(DATE($AD1228,5,1)&gt;=$AE1228,DATE($AD1228,5,1)&lt;=$AF1228),ROUND($AG1228,2),0))</f>
        <v/>
      </c>
      <c r="O1228" s="18">
        <f>IF($Z1228="","",IF(AND(DATE($AD1228,6,1)&gt;=$AE1228,DATE($AD1228,6,1)&lt;=$AF1228),ROUND($AG1228,2),0))</f>
        <v/>
      </c>
      <c r="P1228" s="18">
        <f>IF($Z1228="","",IF(AND(DATE($AD1228,7,1)&gt;=$AE1228,DATE($AD1228,7,1)&lt;=$AF1228),ROUND($AG1228,2),0))</f>
        <v/>
      </c>
      <c r="Q1228" s="18">
        <f>IF($Z1228="","",IF(AND(DATE($AD1228,8,1)&gt;=$AE1228,DATE($AD1228,8,1)&lt;=$AF1228),ROUND($AG1228,2),0))</f>
        <v/>
      </c>
      <c r="R1228" s="18">
        <f>IF($Z1228="","",IF(AND(DATE($AD1228,9,1)&gt;=$AE1228,DATE($AD1228,9,1)&lt;=$AF1228),ROUND($AG1228,2),0))</f>
        <v/>
      </c>
      <c r="S1228" s="18">
        <f>IF($Z1228="","",IF(AND(DATE($AD1228,10,1)&gt;=$AE1228,DATE($AD1228,10,1)&lt;=$AF1228),ROUND($AG1228,2),0))</f>
        <v/>
      </c>
      <c r="T1228" s="18">
        <f>IF($Z1228="","",IF(AND(DATE($AD1228,11,1)&gt;=$AE1228,DATE($AD1228,11,1)&lt;=$AF1228),ROUND($AG1228,2),0))</f>
        <v/>
      </c>
      <c r="U1228" s="18">
        <f>IF($Z1228="","",IF(AND(DATE($AD1228,12,1)&gt;=$AE1228,DATE($AD1228,12,1)&lt;=$AF1228),ROUND($AG1228,2),0))</f>
        <v/>
      </c>
      <c r="V1228" s="7">
        <f>IF($Z1228="C","Generated from "&amp;INDEX(Contracts!$A$2:$A$151,$AB1228),IF($Z1228="A","Generated from "&amp;INDEX(Fixed_Assets!$A$2:$A$201,$AB1228),IF($Z1228="F","Generated from "&amp;INDEX(FTE_Allocation!$A$2:$A$201,$AB1228),"")))</f>
        <v/>
      </c>
      <c r="X1228" s="19">
        <f>IF($Z1228="","",SUM(J1228:U1228))</f>
        <v/>
      </c>
      <c r="Y1228" s="20">
        <f>ROW()-1</f>
        <v/>
      </c>
      <c r="Z1228" s="20">
        <f>IF($Y1228&lt;=Settings!$B$4*3,"C",IF($Y1228&lt;=(Settings!$B$4+Settings!$B$5)*3,"A",IF($Y1228&lt;=(Settings!$B$4+Settings!$B$5+Settings!$B$6)*3,"F","")))</f>
        <v/>
      </c>
      <c r="AA1228" s="20">
        <f>IF($Z1228="C",$Y1228,IF($Z1228="A",$Y1228-Settings!$B$4*3,IF($Z1228="F",$Y1228-(Settings!$B$4+Settings!$B$5)*3,"")))</f>
        <v/>
      </c>
      <c r="AB1228" s="20">
        <f>IF($Z1228="","",INT(($AA1228-1)/3)+1)</f>
        <v/>
      </c>
      <c r="AC1228" s="20">
        <f>IF($Z1228="","",MOD($AA1228-1,3)+1)</f>
        <v/>
      </c>
      <c r="AD1228" s="20">
        <f>IF($Z1228="","",Settings!$B$2+$AC1228-1)</f>
        <v/>
      </c>
      <c r="AE1228" s="21">
        <f>IF($Z1228="C",DATE(YEAR(INDEX(Contracts!$J$2:$J$151,$AB1228)),MONTH(INDEX(Contracts!$J$2:$J$151,$AB1228)),1),IF($Z1228="A",DATE(YEAR(INDEX(Fixed_Assets!$G$2:$G$201,$AB1228)),MONTH(INDEX(Fixed_Assets!$G$2:$G$201,$AB1228)),1),IF($Z1228="F",DATE(YEAR(MAX(N(INDEX(Workforce!$I$2:$I$151,MATCH(INDEX(FTE_Allocation!$A$2:$A$201,$AB1228),Workforce!$A$2:$A$151,0))),N(INDEX(FTE_Allocation!$I$2:$I$201,$AB1228)))),MONTH(MAX(N(INDEX(Workforce!$I$2:$I$151,MATCH(INDEX(FTE_Allocation!$A$2:$A$201,$AB1228),Workforce!$A$2:$A$151,0))),N(INDEX(FTE_Allocation!$I$2:$I$201,$AB1228)))),1),"")))</f>
        <v/>
      </c>
      <c r="AF1228" s="21">
        <f>IF($Z1228="C",IF(INDEX(Contracts!$I$2:$I$151,$AB1228)="PREPAID",EDATE(DATE(YEAR(INDEX(Contracts!$J$2:$J$151,$AB1228)),MONTH(INDEX(Contracts!$J$2:$J$151,$AB1228)),1),IF(INDEX(Contracts!$N$2:$N$151,$AB1228)="",12,INDEX(Contracts!$N$2:$N$151,$AB1228))-1),IF(INDEX(Contracts!$I$2:$I$151,$AB1228)="MONTHLY",IF(INDEX(Contracts!$K$2:$K$151,$AB1228)="",2958101,INDEX(Contracts!$K$2:$K$151,$AB1228)),0)),IF($Z1228="A",EDATE(DATE(YEAR(INDEX(Fixed_Assets!$G$2:$G$201,$AB1228)),MONTH(INDEX(Fixed_Assets!$G$2:$G$201,$AB1228)),1),INDEX(Fixed_Assets!$J$2:$J$201,$AB1228)-1),IF($Z1228="F",MIN(IF(INDEX(Workforce!$J$2:$J$151,MATCH(INDEX(FTE_Allocation!$A$2:$A$201,$AB1228),Workforce!$A$2:$A$151,0))="",2958101,INDEX(Workforce!$J$2:$J$151,MATCH(INDEX(FTE_Allocation!$A$2:$A$201,$AB1228),Workforce!$A$2:$A$151,0))),IF(INDEX(FTE_Allocation!$J$2:$J$201,$AB1228)="",2958101,INDEX(FTE_Allocation!$J$2:$J$201,$AB1228))),"")))</f>
        <v/>
      </c>
      <c r="AG1228" s="19">
        <f>IF($Z1228="C",IF(INDEX(Contracts!$I$2:$I$151,$AB1228)="PREPAID",INDEX(Contracts!$M$2:$M$151,$AB1228)/IF(INDEX(Contracts!$N$2:$N$151,$AB1228)="",12,INDEX(Contracts!$N$2:$N$151,$AB1228)),IF(INDEX(Contracts!$I$2:$I$151,$AB1228)="MONTHLY",INDEX(Contracts!$M$2:$M$151,$AB1228),0))*(1-N(INDEX(Contracts!$O$2:$O$151,$AB1228))),IF($Z1228="A",INDEX(Fixed_Assets!$H$2:$H$201,$AB1228)/INDEX(Fixed_Assets!$J$2:$J$201,$AB1228),IF($Z1228="F",INDEX(Workforce!$F$2:$F$151,MATCH(INDEX(FTE_Allocation!$A$2:$A$201,$AB1228),Workforce!$A$2:$A$151,0))*N(INDEX(FTE_Allocation!$F$2:$H$201,$AB1228,$AC1228)),"")))</f>
        <v/>
      </c>
    </row>
    <row r="1229">
      <c r="A1229" s="7">
        <f>IF($Z1229="","",$AD1229)</f>
        <v/>
      </c>
      <c r="B1229" s="7">
        <f>IF($Z1229="C",INDEX(Contracts!$D$2:$D$151,$AB1229)&amp;"",IF($Z1229="A",INDEX(Fixed_Assets!$C$2:$C$201,$AB1229)&amp;"",IF($Z1229="F",INDEX(Workforce!$B$2:$B$151,MATCH(INDEX(FTE_Allocation!$A$2:$A$201,$AB1229),Workforce!$A$2:$A$151,0))&amp;"","")))</f>
        <v/>
      </c>
      <c r="C1229" s="7">
        <f>IF($Z1229="C",INDEX(Contracts!$E$2:$E$151,$AB1229)&amp;"",IF($Z1229="A",INDEX(Fixed_Assets!$D$2:$D$201,$AB1229)&amp;"",IF($Z1229="F",INDEX(FTE_Allocation!$C$2:$C$201,$AB1229)&amp;"","")))</f>
        <v/>
      </c>
      <c r="D1229" s="7">
        <f>IF($Z1229="C",INDEX(Contracts!$B$2:$B$151,$AB1229)&amp;"",IF($Z1229="A",INDEX(Fixed_Assets!$B$2:$B$201,$AB1229)&amp;"",IF($Z1229="F",INDEX(FTE_Allocation!$B$2:$B$201,$AB1229)&amp;"","")))</f>
        <v/>
      </c>
      <c r="E1229" s="7">
        <f>IF($Z1229="C",INDEX(Contracts!$P$2:$P$151,$AB1229)&amp;"",IF($Z1229="A",INDEX(Fixed_Assets!$K$2:$K$201,$AB1229)&amp;"",IF($Z1229="F",IF(INDEX(FTE_Allocation!$D$2:$D$201,$AB1229)="PROJECT",IFERROR(INDEX(Projects!$D:$D,MATCH(INDEX(FTE_Allocation!$E$2:$E$201,$AB1229),Projects!$A:$A,0))&amp;"","#PROJECT?"),INDEX(FTE_Allocation!$E$2:$E$201,$AB1229)&amp;""),"")))</f>
        <v/>
      </c>
      <c r="F1229" s="7">
        <f>IF($Z1229="C",INDEX(Contracts!$Q$2:$Q$151,$AB1229)&amp;"",IF($Z1229="A",INDEX(Fixed_Assets!$L$2:$L$201,$AB1229)&amp;"",IF($Z1229="F",INDEX(Workforce!$K$2:$K$151,MATCH(INDEX(FTE_Allocation!$A$2:$A$201,$AB1229),Workforce!$A$2:$A$151,0))&amp;"","")))</f>
        <v/>
      </c>
      <c r="G1229" s="7">
        <f>IF($Z1229="C",INDEX(Contracts!$F$2:$F$151,$AB1229)&amp;" / "&amp;INDEX(Contracts!$G$2:$G$151,$AB1229),IF($Z1229="A",INDEX(Fixed_Assets!$E$2:$E$201,$AB1229)&amp;"",IF($Z1229="F","Personnel "&amp;INDEX(FTE_Allocation!$A$2:$A$201,$AB1229)&amp;IF(INDEX(FTE_Allocation!$D$2:$D$201,$AB1229)="PROJECT"," ("&amp;INDEX(FTE_Allocation!$E$2:$E$201,$AB1229)&amp;")",""),"")))</f>
        <v/>
      </c>
      <c r="H1229" s="7">
        <f>IF($Z1229="C","CONTRACT",IF($Z1229="A","ASSET",IF($Z1229="F","WORKFORCE","")))</f>
        <v/>
      </c>
      <c r="I1229" s="7">
        <f>IF($Z1229="C",INDEX(Contracts!$L$2:$L$151,$AB1229)&amp;"",IF($Z1229="A",INDEX(Fixed_Assets!$I$2:$I$201,$AB1229)&amp;"",IF($Z1229="F",INDEX(Workforce!$G$2:$G$151,MATCH(INDEX(FTE_Allocation!$A$2:$A$201,$AB1229),Workforce!$A$2:$A$151,0))&amp;"","")))</f>
        <v/>
      </c>
      <c r="J1229" s="18">
        <f>IF($Z1229="","",IF(AND(DATE($AD1229,1,1)&gt;=$AE1229,DATE($AD1229,1,1)&lt;=$AF1229),ROUND($AG1229,2),0))</f>
        <v/>
      </c>
      <c r="K1229" s="18">
        <f>IF($Z1229="","",IF(AND(DATE($AD1229,2,1)&gt;=$AE1229,DATE($AD1229,2,1)&lt;=$AF1229),ROUND($AG1229,2),0))</f>
        <v/>
      </c>
      <c r="L1229" s="18">
        <f>IF($Z1229="","",IF(AND(DATE($AD1229,3,1)&gt;=$AE1229,DATE($AD1229,3,1)&lt;=$AF1229),ROUND($AG1229,2),0))</f>
        <v/>
      </c>
      <c r="M1229" s="18">
        <f>IF($Z1229="","",IF(AND(DATE($AD1229,4,1)&gt;=$AE1229,DATE($AD1229,4,1)&lt;=$AF1229),ROUND($AG1229,2),0))</f>
        <v/>
      </c>
      <c r="N1229" s="18">
        <f>IF($Z1229="","",IF(AND(DATE($AD1229,5,1)&gt;=$AE1229,DATE($AD1229,5,1)&lt;=$AF1229),ROUND($AG1229,2),0))</f>
        <v/>
      </c>
      <c r="O1229" s="18">
        <f>IF($Z1229="","",IF(AND(DATE($AD1229,6,1)&gt;=$AE1229,DATE($AD1229,6,1)&lt;=$AF1229),ROUND($AG1229,2),0))</f>
        <v/>
      </c>
      <c r="P1229" s="18">
        <f>IF($Z1229="","",IF(AND(DATE($AD1229,7,1)&gt;=$AE1229,DATE($AD1229,7,1)&lt;=$AF1229),ROUND($AG1229,2),0))</f>
        <v/>
      </c>
      <c r="Q1229" s="18">
        <f>IF($Z1229="","",IF(AND(DATE($AD1229,8,1)&gt;=$AE1229,DATE($AD1229,8,1)&lt;=$AF1229),ROUND($AG1229,2),0))</f>
        <v/>
      </c>
      <c r="R1229" s="18">
        <f>IF($Z1229="","",IF(AND(DATE($AD1229,9,1)&gt;=$AE1229,DATE($AD1229,9,1)&lt;=$AF1229),ROUND($AG1229,2),0))</f>
        <v/>
      </c>
      <c r="S1229" s="18">
        <f>IF($Z1229="","",IF(AND(DATE($AD1229,10,1)&gt;=$AE1229,DATE($AD1229,10,1)&lt;=$AF1229),ROUND($AG1229,2),0))</f>
        <v/>
      </c>
      <c r="T1229" s="18">
        <f>IF($Z1229="","",IF(AND(DATE($AD1229,11,1)&gt;=$AE1229,DATE($AD1229,11,1)&lt;=$AF1229),ROUND($AG1229,2),0))</f>
        <v/>
      </c>
      <c r="U1229" s="18">
        <f>IF($Z1229="","",IF(AND(DATE($AD1229,12,1)&gt;=$AE1229,DATE($AD1229,12,1)&lt;=$AF1229),ROUND($AG1229,2),0))</f>
        <v/>
      </c>
      <c r="V1229" s="7">
        <f>IF($Z1229="C","Generated from "&amp;INDEX(Contracts!$A$2:$A$151,$AB1229),IF($Z1229="A","Generated from "&amp;INDEX(Fixed_Assets!$A$2:$A$201,$AB1229),IF($Z1229="F","Generated from "&amp;INDEX(FTE_Allocation!$A$2:$A$201,$AB1229),"")))</f>
        <v/>
      </c>
      <c r="X1229" s="19">
        <f>IF($Z1229="","",SUM(J1229:U1229))</f>
        <v/>
      </c>
      <c r="Y1229" s="20">
        <f>ROW()-1</f>
        <v/>
      </c>
      <c r="Z1229" s="20">
        <f>IF($Y1229&lt;=Settings!$B$4*3,"C",IF($Y1229&lt;=(Settings!$B$4+Settings!$B$5)*3,"A",IF($Y1229&lt;=(Settings!$B$4+Settings!$B$5+Settings!$B$6)*3,"F","")))</f>
        <v/>
      </c>
      <c r="AA1229" s="20">
        <f>IF($Z1229="C",$Y1229,IF($Z1229="A",$Y1229-Settings!$B$4*3,IF($Z1229="F",$Y1229-(Settings!$B$4+Settings!$B$5)*3,"")))</f>
        <v/>
      </c>
      <c r="AB1229" s="20">
        <f>IF($Z1229="","",INT(($AA1229-1)/3)+1)</f>
        <v/>
      </c>
      <c r="AC1229" s="20">
        <f>IF($Z1229="","",MOD($AA1229-1,3)+1)</f>
        <v/>
      </c>
      <c r="AD1229" s="20">
        <f>IF($Z1229="","",Settings!$B$2+$AC1229-1)</f>
        <v/>
      </c>
      <c r="AE1229" s="21">
        <f>IF($Z1229="C",DATE(YEAR(INDEX(Contracts!$J$2:$J$151,$AB1229)),MONTH(INDEX(Contracts!$J$2:$J$151,$AB1229)),1),IF($Z1229="A",DATE(YEAR(INDEX(Fixed_Assets!$G$2:$G$201,$AB1229)),MONTH(INDEX(Fixed_Assets!$G$2:$G$201,$AB1229)),1),IF($Z1229="F",DATE(YEAR(MAX(N(INDEX(Workforce!$I$2:$I$151,MATCH(INDEX(FTE_Allocation!$A$2:$A$201,$AB1229),Workforce!$A$2:$A$151,0))),N(INDEX(FTE_Allocation!$I$2:$I$201,$AB1229)))),MONTH(MAX(N(INDEX(Workforce!$I$2:$I$151,MATCH(INDEX(FTE_Allocation!$A$2:$A$201,$AB1229),Workforce!$A$2:$A$151,0))),N(INDEX(FTE_Allocation!$I$2:$I$201,$AB1229)))),1),"")))</f>
        <v/>
      </c>
      <c r="AF1229" s="21">
        <f>IF($Z1229="C",IF(INDEX(Contracts!$I$2:$I$151,$AB1229)="PREPAID",EDATE(DATE(YEAR(INDEX(Contracts!$J$2:$J$151,$AB1229)),MONTH(INDEX(Contracts!$J$2:$J$151,$AB1229)),1),IF(INDEX(Contracts!$N$2:$N$151,$AB1229)="",12,INDEX(Contracts!$N$2:$N$151,$AB1229))-1),IF(INDEX(Contracts!$I$2:$I$151,$AB1229)="MONTHLY",IF(INDEX(Contracts!$K$2:$K$151,$AB1229)="",2958101,INDEX(Contracts!$K$2:$K$151,$AB1229)),0)),IF($Z1229="A",EDATE(DATE(YEAR(INDEX(Fixed_Assets!$G$2:$G$201,$AB1229)),MONTH(INDEX(Fixed_Assets!$G$2:$G$201,$AB1229)),1),INDEX(Fixed_Assets!$J$2:$J$201,$AB1229)-1),IF($Z1229="F",MIN(IF(INDEX(Workforce!$J$2:$J$151,MATCH(INDEX(FTE_Allocation!$A$2:$A$201,$AB1229),Workforce!$A$2:$A$151,0))="",2958101,INDEX(Workforce!$J$2:$J$151,MATCH(INDEX(FTE_Allocation!$A$2:$A$201,$AB1229),Workforce!$A$2:$A$151,0))),IF(INDEX(FTE_Allocation!$J$2:$J$201,$AB1229)="",2958101,INDEX(FTE_Allocation!$J$2:$J$201,$AB1229))),"")))</f>
        <v/>
      </c>
      <c r="AG1229" s="19">
        <f>IF($Z1229="C",IF(INDEX(Contracts!$I$2:$I$151,$AB1229)="PREPAID",INDEX(Contracts!$M$2:$M$151,$AB1229)/IF(INDEX(Contracts!$N$2:$N$151,$AB1229)="",12,INDEX(Contracts!$N$2:$N$151,$AB1229)),IF(INDEX(Contracts!$I$2:$I$151,$AB1229)="MONTHLY",INDEX(Contracts!$M$2:$M$151,$AB1229),0))*(1-N(INDEX(Contracts!$O$2:$O$151,$AB1229))),IF($Z1229="A",INDEX(Fixed_Assets!$H$2:$H$201,$AB1229)/INDEX(Fixed_Assets!$J$2:$J$201,$AB1229),IF($Z1229="F",INDEX(Workforce!$F$2:$F$151,MATCH(INDEX(FTE_Allocation!$A$2:$A$201,$AB1229),Workforce!$A$2:$A$151,0))*N(INDEX(FTE_Allocation!$F$2:$H$201,$AB1229,$AC1229)),"")))</f>
        <v/>
      </c>
    </row>
    <row r="1230">
      <c r="A1230" s="7">
        <f>IF($Z1230="","",$AD1230)</f>
        <v/>
      </c>
      <c r="B1230" s="7">
        <f>IF($Z1230="C",INDEX(Contracts!$D$2:$D$151,$AB1230)&amp;"",IF($Z1230="A",INDEX(Fixed_Assets!$C$2:$C$201,$AB1230)&amp;"",IF($Z1230="F",INDEX(Workforce!$B$2:$B$151,MATCH(INDEX(FTE_Allocation!$A$2:$A$201,$AB1230),Workforce!$A$2:$A$151,0))&amp;"","")))</f>
        <v/>
      </c>
      <c r="C1230" s="7">
        <f>IF($Z1230="C",INDEX(Contracts!$E$2:$E$151,$AB1230)&amp;"",IF($Z1230="A",INDEX(Fixed_Assets!$D$2:$D$201,$AB1230)&amp;"",IF($Z1230="F",INDEX(FTE_Allocation!$C$2:$C$201,$AB1230)&amp;"","")))</f>
        <v/>
      </c>
      <c r="D1230" s="7">
        <f>IF($Z1230="C",INDEX(Contracts!$B$2:$B$151,$AB1230)&amp;"",IF($Z1230="A",INDEX(Fixed_Assets!$B$2:$B$201,$AB1230)&amp;"",IF($Z1230="F",INDEX(FTE_Allocation!$B$2:$B$201,$AB1230)&amp;"","")))</f>
        <v/>
      </c>
      <c r="E1230" s="7">
        <f>IF($Z1230="C",INDEX(Contracts!$P$2:$P$151,$AB1230)&amp;"",IF($Z1230="A",INDEX(Fixed_Assets!$K$2:$K$201,$AB1230)&amp;"",IF($Z1230="F",IF(INDEX(FTE_Allocation!$D$2:$D$201,$AB1230)="PROJECT",IFERROR(INDEX(Projects!$D:$D,MATCH(INDEX(FTE_Allocation!$E$2:$E$201,$AB1230),Projects!$A:$A,0))&amp;"","#PROJECT?"),INDEX(FTE_Allocation!$E$2:$E$201,$AB1230)&amp;""),"")))</f>
        <v/>
      </c>
      <c r="F1230" s="7">
        <f>IF($Z1230="C",INDEX(Contracts!$Q$2:$Q$151,$AB1230)&amp;"",IF($Z1230="A",INDEX(Fixed_Assets!$L$2:$L$201,$AB1230)&amp;"",IF($Z1230="F",INDEX(Workforce!$K$2:$K$151,MATCH(INDEX(FTE_Allocation!$A$2:$A$201,$AB1230),Workforce!$A$2:$A$151,0))&amp;"","")))</f>
        <v/>
      </c>
      <c r="G1230" s="7">
        <f>IF($Z1230="C",INDEX(Contracts!$F$2:$F$151,$AB1230)&amp;" / "&amp;INDEX(Contracts!$G$2:$G$151,$AB1230),IF($Z1230="A",INDEX(Fixed_Assets!$E$2:$E$201,$AB1230)&amp;"",IF($Z1230="F","Personnel "&amp;INDEX(FTE_Allocation!$A$2:$A$201,$AB1230)&amp;IF(INDEX(FTE_Allocation!$D$2:$D$201,$AB1230)="PROJECT"," ("&amp;INDEX(FTE_Allocation!$E$2:$E$201,$AB1230)&amp;")",""),"")))</f>
        <v/>
      </c>
      <c r="H1230" s="7">
        <f>IF($Z1230="C","CONTRACT",IF($Z1230="A","ASSET",IF($Z1230="F","WORKFORCE","")))</f>
        <v/>
      </c>
      <c r="I1230" s="7">
        <f>IF($Z1230="C",INDEX(Contracts!$L$2:$L$151,$AB1230)&amp;"",IF($Z1230="A",INDEX(Fixed_Assets!$I$2:$I$201,$AB1230)&amp;"",IF($Z1230="F",INDEX(Workforce!$G$2:$G$151,MATCH(INDEX(FTE_Allocation!$A$2:$A$201,$AB1230),Workforce!$A$2:$A$151,0))&amp;"","")))</f>
        <v/>
      </c>
      <c r="J1230" s="18">
        <f>IF($Z1230="","",IF(AND(DATE($AD1230,1,1)&gt;=$AE1230,DATE($AD1230,1,1)&lt;=$AF1230),ROUND($AG1230,2),0))</f>
        <v/>
      </c>
      <c r="K1230" s="18">
        <f>IF($Z1230="","",IF(AND(DATE($AD1230,2,1)&gt;=$AE1230,DATE($AD1230,2,1)&lt;=$AF1230),ROUND($AG1230,2),0))</f>
        <v/>
      </c>
      <c r="L1230" s="18">
        <f>IF($Z1230="","",IF(AND(DATE($AD1230,3,1)&gt;=$AE1230,DATE($AD1230,3,1)&lt;=$AF1230),ROUND($AG1230,2),0))</f>
        <v/>
      </c>
      <c r="M1230" s="18">
        <f>IF($Z1230="","",IF(AND(DATE($AD1230,4,1)&gt;=$AE1230,DATE($AD1230,4,1)&lt;=$AF1230),ROUND($AG1230,2),0))</f>
        <v/>
      </c>
      <c r="N1230" s="18">
        <f>IF($Z1230="","",IF(AND(DATE($AD1230,5,1)&gt;=$AE1230,DATE($AD1230,5,1)&lt;=$AF1230),ROUND($AG1230,2),0))</f>
        <v/>
      </c>
      <c r="O1230" s="18">
        <f>IF($Z1230="","",IF(AND(DATE($AD1230,6,1)&gt;=$AE1230,DATE($AD1230,6,1)&lt;=$AF1230),ROUND($AG1230,2),0))</f>
        <v/>
      </c>
      <c r="P1230" s="18">
        <f>IF($Z1230="","",IF(AND(DATE($AD1230,7,1)&gt;=$AE1230,DATE($AD1230,7,1)&lt;=$AF1230),ROUND($AG1230,2),0))</f>
        <v/>
      </c>
      <c r="Q1230" s="18">
        <f>IF($Z1230="","",IF(AND(DATE($AD1230,8,1)&gt;=$AE1230,DATE($AD1230,8,1)&lt;=$AF1230),ROUND($AG1230,2),0))</f>
        <v/>
      </c>
      <c r="R1230" s="18">
        <f>IF($Z1230="","",IF(AND(DATE($AD1230,9,1)&gt;=$AE1230,DATE($AD1230,9,1)&lt;=$AF1230),ROUND($AG1230,2),0))</f>
        <v/>
      </c>
      <c r="S1230" s="18">
        <f>IF($Z1230="","",IF(AND(DATE($AD1230,10,1)&gt;=$AE1230,DATE($AD1230,10,1)&lt;=$AF1230),ROUND($AG1230,2),0))</f>
        <v/>
      </c>
      <c r="T1230" s="18">
        <f>IF($Z1230="","",IF(AND(DATE($AD1230,11,1)&gt;=$AE1230,DATE($AD1230,11,1)&lt;=$AF1230),ROUND($AG1230,2),0))</f>
        <v/>
      </c>
      <c r="U1230" s="18">
        <f>IF($Z1230="","",IF(AND(DATE($AD1230,12,1)&gt;=$AE1230,DATE($AD1230,12,1)&lt;=$AF1230),ROUND($AG1230,2),0))</f>
        <v/>
      </c>
      <c r="V1230" s="7">
        <f>IF($Z1230="C","Generated from "&amp;INDEX(Contracts!$A$2:$A$151,$AB1230),IF($Z1230="A","Generated from "&amp;INDEX(Fixed_Assets!$A$2:$A$201,$AB1230),IF($Z1230="F","Generated from "&amp;INDEX(FTE_Allocation!$A$2:$A$201,$AB1230),"")))</f>
        <v/>
      </c>
      <c r="X1230" s="19">
        <f>IF($Z1230="","",SUM(J1230:U1230))</f>
        <v/>
      </c>
      <c r="Y1230" s="20">
        <f>ROW()-1</f>
        <v/>
      </c>
      <c r="Z1230" s="20">
        <f>IF($Y1230&lt;=Settings!$B$4*3,"C",IF($Y1230&lt;=(Settings!$B$4+Settings!$B$5)*3,"A",IF($Y1230&lt;=(Settings!$B$4+Settings!$B$5+Settings!$B$6)*3,"F","")))</f>
        <v/>
      </c>
      <c r="AA1230" s="20">
        <f>IF($Z1230="C",$Y1230,IF($Z1230="A",$Y1230-Settings!$B$4*3,IF($Z1230="F",$Y1230-(Settings!$B$4+Settings!$B$5)*3,"")))</f>
        <v/>
      </c>
      <c r="AB1230" s="20">
        <f>IF($Z1230="","",INT(($AA1230-1)/3)+1)</f>
        <v/>
      </c>
      <c r="AC1230" s="20">
        <f>IF($Z1230="","",MOD($AA1230-1,3)+1)</f>
        <v/>
      </c>
      <c r="AD1230" s="20">
        <f>IF($Z1230="","",Settings!$B$2+$AC1230-1)</f>
        <v/>
      </c>
      <c r="AE1230" s="21">
        <f>IF($Z1230="C",DATE(YEAR(INDEX(Contracts!$J$2:$J$151,$AB1230)),MONTH(INDEX(Contracts!$J$2:$J$151,$AB1230)),1),IF($Z1230="A",DATE(YEAR(INDEX(Fixed_Assets!$G$2:$G$201,$AB1230)),MONTH(INDEX(Fixed_Assets!$G$2:$G$201,$AB1230)),1),IF($Z1230="F",DATE(YEAR(MAX(N(INDEX(Workforce!$I$2:$I$151,MATCH(INDEX(FTE_Allocation!$A$2:$A$201,$AB1230),Workforce!$A$2:$A$151,0))),N(INDEX(FTE_Allocation!$I$2:$I$201,$AB1230)))),MONTH(MAX(N(INDEX(Workforce!$I$2:$I$151,MATCH(INDEX(FTE_Allocation!$A$2:$A$201,$AB1230),Workforce!$A$2:$A$151,0))),N(INDEX(FTE_Allocation!$I$2:$I$201,$AB1230)))),1),"")))</f>
        <v/>
      </c>
      <c r="AF1230" s="21">
        <f>IF($Z1230="C",IF(INDEX(Contracts!$I$2:$I$151,$AB1230)="PREPAID",EDATE(DATE(YEAR(INDEX(Contracts!$J$2:$J$151,$AB1230)),MONTH(INDEX(Contracts!$J$2:$J$151,$AB1230)),1),IF(INDEX(Contracts!$N$2:$N$151,$AB1230)="",12,INDEX(Contracts!$N$2:$N$151,$AB1230))-1),IF(INDEX(Contracts!$I$2:$I$151,$AB1230)="MONTHLY",IF(INDEX(Contracts!$K$2:$K$151,$AB1230)="",2958101,INDEX(Contracts!$K$2:$K$151,$AB1230)),0)),IF($Z1230="A",EDATE(DATE(YEAR(INDEX(Fixed_Assets!$G$2:$G$201,$AB1230)),MONTH(INDEX(Fixed_Assets!$G$2:$G$201,$AB1230)),1),INDEX(Fixed_Assets!$J$2:$J$201,$AB1230)-1),IF($Z1230="F",MIN(IF(INDEX(Workforce!$J$2:$J$151,MATCH(INDEX(FTE_Allocation!$A$2:$A$201,$AB1230),Workforce!$A$2:$A$151,0))="",2958101,INDEX(Workforce!$J$2:$J$151,MATCH(INDEX(FTE_Allocation!$A$2:$A$201,$AB1230),Workforce!$A$2:$A$151,0))),IF(INDEX(FTE_Allocation!$J$2:$J$201,$AB1230)="",2958101,INDEX(FTE_Allocation!$J$2:$J$201,$AB1230))),"")))</f>
        <v/>
      </c>
      <c r="AG1230" s="19">
        <f>IF($Z1230="C",IF(INDEX(Contracts!$I$2:$I$151,$AB1230)="PREPAID",INDEX(Contracts!$M$2:$M$151,$AB1230)/IF(INDEX(Contracts!$N$2:$N$151,$AB1230)="",12,INDEX(Contracts!$N$2:$N$151,$AB1230)),IF(INDEX(Contracts!$I$2:$I$151,$AB1230)="MONTHLY",INDEX(Contracts!$M$2:$M$151,$AB1230),0))*(1-N(INDEX(Contracts!$O$2:$O$151,$AB1230))),IF($Z1230="A",INDEX(Fixed_Assets!$H$2:$H$201,$AB1230)/INDEX(Fixed_Assets!$J$2:$J$201,$AB1230),IF($Z1230="F",INDEX(Workforce!$F$2:$F$151,MATCH(INDEX(FTE_Allocation!$A$2:$A$201,$AB1230),Workforce!$A$2:$A$151,0))*N(INDEX(FTE_Allocation!$F$2:$H$201,$AB1230,$AC1230)),"")))</f>
        <v/>
      </c>
    </row>
    <row r="1231">
      <c r="A1231" s="7">
        <f>IF($Z1231="","",$AD1231)</f>
        <v/>
      </c>
      <c r="B1231" s="7">
        <f>IF($Z1231="C",INDEX(Contracts!$D$2:$D$151,$AB1231)&amp;"",IF($Z1231="A",INDEX(Fixed_Assets!$C$2:$C$201,$AB1231)&amp;"",IF($Z1231="F",INDEX(Workforce!$B$2:$B$151,MATCH(INDEX(FTE_Allocation!$A$2:$A$201,$AB1231),Workforce!$A$2:$A$151,0))&amp;"","")))</f>
        <v/>
      </c>
      <c r="C1231" s="7">
        <f>IF($Z1231="C",INDEX(Contracts!$E$2:$E$151,$AB1231)&amp;"",IF($Z1231="A",INDEX(Fixed_Assets!$D$2:$D$201,$AB1231)&amp;"",IF($Z1231="F",INDEX(FTE_Allocation!$C$2:$C$201,$AB1231)&amp;"","")))</f>
        <v/>
      </c>
      <c r="D1231" s="7">
        <f>IF($Z1231="C",INDEX(Contracts!$B$2:$B$151,$AB1231)&amp;"",IF($Z1231="A",INDEX(Fixed_Assets!$B$2:$B$201,$AB1231)&amp;"",IF($Z1231="F",INDEX(FTE_Allocation!$B$2:$B$201,$AB1231)&amp;"","")))</f>
        <v/>
      </c>
      <c r="E1231" s="7">
        <f>IF($Z1231="C",INDEX(Contracts!$P$2:$P$151,$AB1231)&amp;"",IF($Z1231="A",INDEX(Fixed_Assets!$K$2:$K$201,$AB1231)&amp;"",IF($Z1231="F",IF(INDEX(FTE_Allocation!$D$2:$D$201,$AB1231)="PROJECT",IFERROR(INDEX(Projects!$D:$D,MATCH(INDEX(FTE_Allocation!$E$2:$E$201,$AB1231),Projects!$A:$A,0))&amp;"","#PROJECT?"),INDEX(FTE_Allocation!$E$2:$E$201,$AB1231)&amp;""),"")))</f>
        <v/>
      </c>
      <c r="F1231" s="7">
        <f>IF($Z1231="C",INDEX(Contracts!$Q$2:$Q$151,$AB1231)&amp;"",IF($Z1231="A",INDEX(Fixed_Assets!$L$2:$L$201,$AB1231)&amp;"",IF($Z1231="F",INDEX(Workforce!$K$2:$K$151,MATCH(INDEX(FTE_Allocation!$A$2:$A$201,$AB1231),Workforce!$A$2:$A$151,0))&amp;"","")))</f>
        <v/>
      </c>
      <c r="G1231" s="7">
        <f>IF($Z1231="C",INDEX(Contracts!$F$2:$F$151,$AB1231)&amp;" / "&amp;INDEX(Contracts!$G$2:$G$151,$AB1231),IF($Z1231="A",INDEX(Fixed_Assets!$E$2:$E$201,$AB1231)&amp;"",IF($Z1231="F","Personnel "&amp;INDEX(FTE_Allocation!$A$2:$A$201,$AB1231)&amp;IF(INDEX(FTE_Allocation!$D$2:$D$201,$AB1231)="PROJECT"," ("&amp;INDEX(FTE_Allocation!$E$2:$E$201,$AB1231)&amp;")",""),"")))</f>
        <v/>
      </c>
      <c r="H1231" s="7">
        <f>IF($Z1231="C","CONTRACT",IF($Z1231="A","ASSET",IF($Z1231="F","WORKFORCE","")))</f>
        <v/>
      </c>
      <c r="I1231" s="7">
        <f>IF($Z1231="C",INDEX(Contracts!$L$2:$L$151,$AB1231)&amp;"",IF($Z1231="A",INDEX(Fixed_Assets!$I$2:$I$201,$AB1231)&amp;"",IF($Z1231="F",INDEX(Workforce!$G$2:$G$151,MATCH(INDEX(FTE_Allocation!$A$2:$A$201,$AB1231),Workforce!$A$2:$A$151,0))&amp;"","")))</f>
        <v/>
      </c>
      <c r="J1231" s="18">
        <f>IF($Z1231="","",IF(AND(DATE($AD1231,1,1)&gt;=$AE1231,DATE($AD1231,1,1)&lt;=$AF1231),ROUND($AG1231,2),0))</f>
        <v/>
      </c>
      <c r="K1231" s="18">
        <f>IF($Z1231="","",IF(AND(DATE($AD1231,2,1)&gt;=$AE1231,DATE($AD1231,2,1)&lt;=$AF1231),ROUND($AG1231,2),0))</f>
        <v/>
      </c>
      <c r="L1231" s="18">
        <f>IF($Z1231="","",IF(AND(DATE($AD1231,3,1)&gt;=$AE1231,DATE($AD1231,3,1)&lt;=$AF1231),ROUND($AG1231,2),0))</f>
        <v/>
      </c>
      <c r="M1231" s="18">
        <f>IF($Z1231="","",IF(AND(DATE($AD1231,4,1)&gt;=$AE1231,DATE($AD1231,4,1)&lt;=$AF1231),ROUND($AG1231,2),0))</f>
        <v/>
      </c>
      <c r="N1231" s="18">
        <f>IF($Z1231="","",IF(AND(DATE($AD1231,5,1)&gt;=$AE1231,DATE($AD1231,5,1)&lt;=$AF1231),ROUND($AG1231,2),0))</f>
        <v/>
      </c>
      <c r="O1231" s="18">
        <f>IF($Z1231="","",IF(AND(DATE($AD1231,6,1)&gt;=$AE1231,DATE($AD1231,6,1)&lt;=$AF1231),ROUND($AG1231,2),0))</f>
        <v/>
      </c>
      <c r="P1231" s="18">
        <f>IF($Z1231="","",IF(AND(DATE($AD1231,7,1)&gt;=$AE1231,DATE($AD1231,7,1)&lt;=$AF1231),ROUND($AG1231,2),0))</f>
        <v/>
      </c>
      <c r="Q1231" s="18">
        <f>IF($Z1231="","",IF(AND(DATE($AD1231,8,1)&gt;=$AE1231,DATE($AD1231,8,1)&lt;=$AF1231),ROUND($AG1231,2),0))</f>
        <v/>
      </c>
      <c r="R1231" s="18">
        <f>IF($Z1231="","",IF(AND(DATE($AD1231,9,1)&gt;=$AE1231,DATE($AD1231,9,1)&lt;=$AF1231),ROUND($AG1231,2),0))</f>
        <v/>
      </c>
      <c r="S1231" s="18">
        <f>IF($Z1231="","",IF(AND(DATE($AD1231,10,1)&gt;=$AE1231,DATE($AD1231,10,1)&lt;=$AF1231),ROUND($AG1231,2),0))</f>
        <v/>
      </c>
      <c r="T1231" s="18">
        <f>IF($Z1231="","",IF(AND(DATE($AD1231,11,1)&gt;=$AE1231,DATE($AD1231,11,1)&lt;=$AF1231),ROUND($AG1231,2),0))</f>
        <v/>
      </c>
      <c r="U1231" s="18">
        <f>IF($Z1231="","",IF(AND(DATE($AD1231,12,1)&gt;=$AE1231,DATE($AD1231,12,1)&lt;=$AF1231),ROUND($AG1231,2),0))</f>
        <v/>
      </c>
      <c r="V1231" s="7">
        <f>IF($Z1231="C","Generated from "&amp;INDEX(Contracts!$A$2:$A$151,$AB1231),IF($Z1231="A","Generated from "&amp;INDEX(Fixed_Assets!$A$2:$A$201,$AB1231),IF($Z1231="F","Generated from "&amp;INDEX(FTE_Allocation!$A$2:$A$201,$AB1231),"")))</f>
        <v/>
      </c>
      <c r="X1231" s="19">
        <f>IF($Z1231="","",SUM(J1231:U1231))</f>
        <v/>
      </c>
      <c r="Y1231" s="20">
        <f>ROW()-1</f>
        <v/>
      </c>
      <c r="Z1231" s="20">
        <f>IF($Y1231&lt;=Settings!$B$4*3,"C",IF($Y1231&lt;=(Settings!$B$4+Settings!$B$5)*3,"A",IF($Y1231&lt;=(Settings!$B$4+Settings!$B$5+Settings!$B$6)*3,"F","")))</f>
        <v/>
      </c>
      <c r="AA1231" s="20">
        <f>IF($Z1231="C",$Y1231,IF($Z1231="A",$Y1231-Settings!$B$4*3,IF($Z1231="F",$Y1231-(Settings!$B$4+Settings!$B$5)*3,"")))</f>
        <v/>
      </c>
      <c r="AB1231" s="20">
        <f>IF($Z1231="","",INT(($AA1231-1)/3)+1)</f>
        <v/>
      </c>
      <c r="AC1231" s="20">
        <f>IF($Z1231="","",MOD($AA1231-1,3)+1)</f>
        <v/>
      </c>
      <c r="AD1231" s="20">
        <f>IF($Z1231="","",Settings!$B$2+$AC1231-1)</f>
        <v/>
      </c>
      <c r="AE1231" s="21">
        <f>IF($Z1231="C",DATE(YEAR(INDEX(Contracts!$J$2:$J$151,$AB1231)),MONTH(INDEX(Contracts!$J$2:$J$151,$AB1231)),1),IF($Z1231="A",DATE(YEAR(INDEX(Fixed_Assets!$G$2:$G$201,$AB1231)),MONTH(INDEX(Fixed_Assets!$G$2:$G$201,$AB1231)),1),IF($Z1231="F",DATE(YEAR(MAX(N(INDEX(Workforce!$I$2:$I$151,MATCH(INDEX(FTE_Allocation!$A$2:$A$201,$AB1231),Workforce!$A$2:$A$151,0))),N(INDEX(FTE_Allocation!$I$2:$I$201,$AB1231)))),MONTH(MAX(N(INDEX(Workforce!$I$2:$I$151,MATCH(INDEX(FTE_Allocation!$A$2:$A$201,$AB1231),Workforce!$A$2:$A$151,0))),N(INDEX(FTE_Allocation!$I$2:$I$201,$AB1231)))),1),"")))</f>
        <v/>
      </c>
      <c r="AF1231" s="21">
        <f>IF($Z1231="C",IF(INDEX(Contracts!$I$2:$I$151,$AB1231)="PREPAID",EDATE(DATE(YEAR(INDEX(Contracts!$J$2:$J$151,$AB1231)),MONTH(INDEX(Contracts!$J$2:$J$151,$AB1231)),1),IF(INDEX(Contracts!$N$2:$N$151,$AB1231)="",12,INDEX(Contracts!$N$2:$N$151,$AB1231))-1),IF(INDEX(Contracts!$I$2:$I$151,$AB1231)="MONTHLY",IF(INDEX(Contracts!$K$2:$K$151,$AB1231)="",2958101,INDEX(Contracts!$K$2:$K$151,$AB1231)),0)),IF($Z1231="A",EDATE(DATE(YEAR(INDEX(Fixed_Assets!$G$2:$G$201,$AB1231)),MONTH(INDEX(Fixed_Assets!$G$2:$G$201,$AB1231)),1),INDEX(Fixed_Assets!$J$2:$J$201,$AB1231)-1),IF($Z1231="F",MIN(IF(INDEX(Workforce!$J$2:$J$151,MATCH(INDEX(FTE_Allocation!$A$2:$A$201,$AB1231),Workforce!$A$2:$A$151,0))="",2958101,INDEX(Workforce!$J$2:$J$151,MATCH(INDEX(FTE_Allocation!$A$2:$A$201,$AB1231),Workforce!$A$2:$A$151,0))),IF(INDEX(FTE_Allocation!$J$2:$J$201,$AB1231)="",2958101,INDEX(FTE_Allocation!$J$2:$J$201,$AB1231))),"")))</f>
        <v/>
      </c>
      <c r="AG1231" s="19">
        <f>IF($Z1231="C",IF(INDEX(Contracts!$I$2:$I$151,$AB1231)="PREPAID",INDEX(Contracts!$M$2:$M$151,$AB1231)/IF(INDEX(Contracts!$N$2:$N$151,$AB1231)="",12,INDEX(Contracts!$N$2:$N$151,$AB1231)),IF(INDEX(Contracts!$I$2:$I$151,$AB1231)="MONTHLY",INDEX(Contracts!$M$2:$M$151,$AB1231),0))*(1-N(INDEX(Contracts!$O$2:$O$151,$AB1231))),IF($Z1231="A",INDEX(Fixed_Assets!$H$2:$H$201,$AB1231)/INDEX(Fixed_Assets!$J$2:$J$201,$AB1231),IF($Z1231="F",INDEX(Workforce!$F$2:$F$151,MATCH(INDEX(FTE_Allocation!$A$2:$A$201,$AB1231),Workforce!$A$2:$A$151,0))*N(INDEX(FTE_Allocation!$F$2:$H$201,$AB1231,$AC1231)),"")))</f>
        <v/>
      </c>
    </row>
    <row r="1232">
      <c r="A1232" s="7">
        <f>IF($Z1232="","",$AD1232)</f>
        <v/>
      </c>
      <c r="B1232" s="7">
        <f>IF($Z1232="C",INDEX(Contracts!$D$2:$D$151,$AB1232)&amp;"",IF($Z1232="A",INDEX(Fixed_Assets!$C$2:$C$201,$AB1232)&amp;"",IF($Z1232="F",INDEX(Workforce!$B$2:$B$151,MATCH(INDEX(FTE_Allocation!$A$2:$A$201,$AB1232),Workforce!$A$2:$A$151,0))&amp;"","")))</f>
        <v/>
      </c>
      <c r="C1232" s="7">
        <f>IF($Z1232="C",INDEX(Contracts!$E$2:$E$151,$AB1232)&amp;"",IF($Z1232="A",INDEX(Fixed_Assets!$D$2:$D$201,$AB1232)&amp;"",IF($Z1232="F",INDEX(FTE_Allocation!$C$2:$C$201,$AB1232)&amp;"","")))</f>
        <v/>
      </c>
      <c r="D1232" s="7">
        <f>IF($Z1232="C",INDEX(Contracts!$B$2:$B$151,$AB1232)&amp;"",IF($Z1232="A",INDEX(Fixed_Assets!$B$2:$B$201,$AB1232)&amp;"",IF($Z1232="F",INDEX(FTE_Allocation!$B$2:$B$201,$AB1232)&amp;"","")))</f>
        <v/>
      </c>
      <c r="E1232" s="7">
        <f>IF($Z1232="C",INDEX(Contracts!$P$2:$P$151,$AB1232)&amp;"",IF($Z1232="A",INDEX(Fixed_Assets!$K$2:$K$201,$AB1232)&amp;"",IF($Z1232="F",IF(INDEX(FTE_Allocation!$D$2:$D$201,$AB1232)="PROJECT",IFERROR(INDEX(Projects!$D:$D,MATCH(INDEX(FTE_Allocation!$E$2:$E$201,$AB1232),Projects!$A:$A,0))&amp;"","#PROJECT?"),INDEX(FTE_Allocation!$E$2:$E$201,$AB1232)&amp;""),"")))</f>
        <v/>
      </c>
      <c r="F1232" s="7">
        <f>IF($Z1232="C",INDEX(Contracts!$Q$2:$Q$151,$AB1232)&amp;"",IF($Z1232="A",INDEX(Fixed_Assets!$L$2:$L$201,$AB1232)&amp;"",IF($Z1232="F",INDEX(Workforce!$K$2:$K$151,MATCH(INDEX(FTE_Allocation!$A$2:$A$201,$AB1232),Workforce!$A$2:$A$151,0))&amp;"","")))</f>
        <v/>
      </c>
      <c r="G1232" s="7">
        <f>IF($Z1232="C",INDEX(Contracts!$F$2:$F$151,$AB1232)&amp;" / "&amp;INDEX(Contracts!$G$2:$G$151,$AB1232),IF($Z1232="A",INDEX(Fixed_Assets!$E$2:$E$201,$AB1232)&amp;"",IF($Z1232="F","Personnel "&amp;INDEX(FTE_Allocation!$A$2:$A$201,$AB1232)&amp;IF(INDEX(FTE_Allocation!$D$2:$D$201,$AB1232)="PROJECT"," ("&amp;INDEX(FTE_Allocation!$E$2:$E$201,$AB1232)&amp;")",""),"")))</f>
        <v/>
      </c>
      <c r="H1232" s="7">
        <f>IF($Z1232="C","CONTRACT",IF($Z1232="A","ASSET",IF($Z1232="F","WORKFORCE","")))</f>
        <v/>
      </c>
      <c r="I1232" s="7">
        <f>IF($Z1232="C",INDEX(Contracts!$L$2:$L$151,$AB1232)&amp;"",IF($Z1232="A",INDEX(Fixed_Assets!$I$2:$I$201,$AB1232)&amp;"",IF($Z1232="F",INDEX(Workforce!$G$2:$G$151,MATCH(INDEX(FTE_Allocation!$A$2:$A$201,$AB1232),Workforce!$A$2:$A$151,0))&amp;"","")))</f>
        <v/>
      </c>
      <c r="J1232" s="18">
        <f>IF($Z1232="","",IF(AND(DATE($AD1232,1,1)&gt;=$AE1232,DATE($AD1232,1,1)&lt;=$AF1232),ROUND($AG1232,2),0))</f>
        <v/>
      </c>
      <c r="K1232" s="18">
        <f>IF($Z1232="","",IF(AND(DATE($AD1232,2,1)&gt;=$AE1232,DATE($AD1232,2,1)&lt;=$AF1232),ROUND($AG1232,2),0))</f>
        <v/>
      </c>
      <c r="L1232" s="18">
        <f>IF($Z1232="","",IF(AND(DATE($AD1232,3,1)&gt;=$AE1232,DATE($AD1232,3,1)&lt;=$AF1232),ROUND($AG1232,2),0))</f>
        <v/>
      </c>
      <c r="M1232" s="18">
        <f>IF($Z1232="","",IF(AND(DATE($AD1232,4,1)&gt;=$AE1232,DATE($AD1232,4,1)&lt;=$AF1232),ROUND($AG1232,2),0))</f>
        <v/>
      </c>
      <c r="N1232" s="18">
        <f>IF($Z1232="","",IF(AND(DATE($AD1232,5,1)&gt;=$AE1232,DATE($AD1232,5,1)&lt;=$AF1232),ROUND($AG1232,2),0))</f>
        <v/>
      </c>
      <c r="O1232" s="18">
        <f>IF($Z1232="","",IF(AND(DATE($AD1232,6,1)&gt;=$AE1232,DATE($AD1232,6,1)&lt;=$AF1232),ROUND($AG1232,2),0))</f>
        <v/>
      </c>
      <c r="P1232" s="18">
        <f>IF($Z1232="","",IF(AND(DATE($AD1232,7,1)&gt;=$AE1232,DATE($AD1232,7,1)&lt;=$AF1232),ROUND($AG1232,2),0))</f>
        <v/>
      </c>
      <c r="Q1232" s="18">
        <f>IF($Z1232="","",IF(AND(DATE($AD1232,8,1)&gt;=$AE1232,DATE($AD1232,8,1)&lt;=$AF1232),ROUND($AG1232,2),0))</f>
        <v/>
      </c>
      <c r="R1232" s="18">
        <f>IF($Z1232="","",IF(AND(DATE($AD1232,9,1)&gt;=$AE1232,DATE($AD1232,9,1)&lt;=$AF1232),ROUND($AG1232,2),0))</f>
        <v/>
      </c>
      <c r="S1232" s="18">
        <f>IF($Z1232="","",IF(AND(DATE($AD1232,10,1)&gt;=$AE1232,DATE($AD1232,10,1)&lt;=$AF1232),ROUND($AG1232,2),0))</f>
        <v/>
      </c>
      <c r="T1232" s="18">
        <f>IF($Z1232="","",IF(AND(DATE($AD1232,11,1)&gt;=$AE1232,DATE($AD1232,11,1)&lt;=$AF1232),ROUND($AG1232,2),0))</f>
        <v/>
      </c>
      <c r="U1232" s="18">
        <f>IF($Z1232="","",IF(AND(DATE($AD1232,12,1)&gt;=$AE1232,DATE($AD1232,12,1)&lt;=$AF1232),ROUND($AG1232,2),0))</f>
        <v/>
      </c>
      <c r="V1232" s="7">
        <f>IF($Z1232="C","Generated from "&amp;INDEX(Contracts!$A$2:$A$151,$AB1232),IF($Z1232="A","Generated from "&amp;INDEX(Fixed_Assets!$A$2:$A$201,$AB1232),IF($Z1232="F","Generated from "&amp;INDEX(FTE_Allocation!$A$2:$A$201,$AB1232),"")))</f>
        <v/>
      </c>
      <c r="X1232" s="19">
        <f>IF($Z1232="","",SUM(J1232:U1232))</f>
        <v/>
      </c>
      <c r="Y1232" s="20">
        <f>ROW()-1</f>
        <v/>
      </c>
      <c r="Z1232" s="20">
        <f>IF($Y1232&lt;=Settings!$B$4*3,"C",IF($Y1232&lt;=(Settings!$B$4+Settings!$B$5)*3,"A",IF($Y1232&lt;=(Settings!$B$4+Settings!$B$5+Settings!$B$6)*3,"F","")))</f>
        <v/>
      </c>
      <c r="AA1232" s="20">
        <f>IF($Z1232="C",$Y1232,IF($Z1232="A",$Y1232-Settings!$B$4*3,IF($Z1232="F",$Y1232-(Settings!$B$4+Settings!$B$5)*3,"")))</f>
        <v/>
      </c>
      <c r="AB1232" s="20">
        <f>IF($Z1232="","",INT(($AA1232-1)/3)+1)</f>
        <v/>
      </c>
      <c r="AC1232" s="20">
        <f>IF($Z1232="","",MOD($AA1232-1,3)+1)</f>
        <v/>
      </c>
      <c r="AD1232" s="20">
        <f>IF($Z1232="","",Settings!$B$2+$AC1232-1)</f>
        <v/>
      </c>
      <c r="AE1232" s="21">
        <f>IF($Z1232="C",DATE(YEAR(INDEX(Contracts!$J$2:$J$151,$AB1232)),MONTH(INDEX(Contracts!$J$2:$J$151,$AB1232)),1),IF($Z1232="A",DATE(YEAR(INDEX(Fixed_Assets!$G$2:$G$201,$AB1232)),MONTH(INDEX(Fixed_Assets!$G$2:$G$201,$AB1232)),1),IF($Z1232="F",DATE(YEAR(MAX(N(INDEX(Workforce!$I$2:$I$151,MATCH(INDEX(FTE_Allocation!$A$2:$A$201,$AB1232),Workforce!$A$2:$A$151,0))),N(INDEX(FTE_Allocation!$I$2:$I$201,$AB1232)))),MONTH(MAX(N(INDEX(Workforce!$I$2:$I$151,MATCH(INDEX(FTE_Allocation!$A$2:$A$201,$AB1232),Workforce!$A$2:$A$151,0))),N(INDEX(FTE_Allocation!$I$2:$I$201,$AB1232)))),1),"")))</f>
        <v/>
      </c>
      <c r="AF1232" s="21">
        <f>IF($Z1232="C",IF(INDEX(Contracts!$I$2:$I$151,$AB1232)="PREPAID",EDATE(DATE(YEAR(INDEX(Contracts!$J$2:$J$151,$AB1232)),MONTH(INDEX(Contracts!$J$2:$J$151,$AB1232)),1),IF(INDEX(Contracts!$N$2:$N$151,$AB1232)="",12,INDEX(Contracts!$N$2:$N$151,$AB1232))-1),IF(INDEX(Contracts!$I$2:$I$151,$AB1232)="MONTHLY",IF(INDEX(Contracts!$K$2:$K$151,$AB1232)="",2958101,INDEX(Contracts!$K$2:$K$151,$AB1232)),0)),IF($Z1232="A",EDATE(DATE(YEAR(INDEX(Fixed_Assets!$G$2:$G$201,$AB1232)),MONTH(INDEX(Fixed_Assets!$G$2:$G$201,$AB1232)),1),INDEX(Fixed_Assets!$J$2:$J$201,$AB1232)-1),IF($Z1232="F",MIN(IF(INDEX(Workforce!$J$2:$J$151,MATCH(INDEX(FTE_Allocation!$A$2:$A$201,$AB1232),Workforce!$A$2:$A$151,0))="",2958101,INDEX(Workforce!$J$2:$J$151,MATCH(INDEX(FTE_Allocation!$A$2:$A$201,$AB1232),Workforce!$A$2:$A$151,0))),IF(INDEX(FTE_Allocation!$J$2:$J$201,$AB1232)="",2958101,INDEX(FTE_Allocation!$J$2:$J$201,$AB1232))),"")))</f>
        <v/>
      </c>
      <c r="AG1232" s="19">
        <f>IF($Z1232="C",IF(INDEX(Contracts!$I$2:$I$151,$AB1232)="PREPAID",INDEX(Contracts!$M$2:$M$151,$AB1232)/IF(INDEX(Contracts!$N$2:$N$151,$AB1232)="",12,INDEX(Contracts!$N$2:$N$151,$AB1232)),IF(INDEX(Contracts!$I$2:$I$151,$AB1232)="MONTHLY",INDEX(Contracts!$M$2:$M$151,$AB1232),0))*(1-N(INDEX(Contracts!$O$2:$O$151,$AB1232))),IF($Z1232="A",INDEX(Fixed_Assets!$H$2:$H$201,$AB1232)/INDEX(Fixed_Assets!$J$2:$J$201,$AB1232),IF($Z1232="F",INDEX(Workforce!$F$2:$F$151,MATCH(INDEX(FTE_Allocation!$A$2:$A$201,$AB1232),Workforce!$A$2:$A$151,0))*N(INDEX(FTE_Allocation!$F$2:$H$201,$AB1232,$AC1232)),"")))</f>
        <v/>
      </c>
    </row>
    <row r="1233">
      <c r="A1233" s="7">
        <f>IF($Z1233="","",$AD1233)</f>
        <v/>
      </c>
      <c r="B1233" s="7">
        <f>IF($Z1233="C",INDEX(Contracts!$D$2:$D$151,$AB1233)&amp;"",IF($Z1233="A",INDEX(Fixed_Assets!$C$2:$C$201,$AB1233)&amp;"",IF($Z1233="F",INDEX(Workforce!$B$2:$B$151,MATCH(INDEX(FTE_Allocation!$A$2:$A$201,$AB1233),Workforce!$A$2:$A$151,0))&amp;"","")))</f>
        <v/>
      </c>
      <c r="C1233" s="7">
        <f>IF($Z1233="C",INDEX(Contracts!$E$2:$E$151,$AB1233)&amp;"",IF($Z1233="A",INDEX(Fixed_Assets!$D$2:$D$201,$AB1233)&amp;"",IF($Z1233="F",INDEX(FTE_Allocation!$C$2:$C$201,$AB1233)&amp;"","")))</f>
        <v/>
      </c>
      <c r="D1233" s="7">
        <f>IF($Z1233="C",INDEX(Contracts!$B$2:$B$151,$AB1233)&amp;"",IF($Z1233="A",INDEX(Fixed_Assets!$B$2:$B$201,$AB1233)&amp;"",IF($Z1233="F",INDEX(FTE_Allocation!$B$2:$B$201,$AB1233)&amp;"","")))</f>
        <v/>
      </c>
      <c r="E1233" s="7">
        <f>IF($Z1233="C",INDEX(Contracts!$P$2:$P$151,$AB1233)&amp;"",IF($Z1233="A",INDEX(Fixed_Assets!$K$2:$K$201,$AB1233)&amp;"",IF($Z1233="F",IF(INDEX(FTE_Allocation!$D$2:$D$201,$AB1233)="PROJECT",IFERROR(INDEX(Projects!$D:$D,MATCH(INDEX(FTE_Allocation!$E$2:$E$201,$AB1233),Projects!$A:$A,0))&amp;"","#PROJECT?"),INDEX(FTE_Allocation!$E$2:$E$201,$AB1233)&amp;""),"")))</f>
        <v/>
      </c>
      <c r="F1233" s="7">
        <f>IF($Z1233="C",INDEX(Contracts!$Q$2:$Q$151,$AB1233)&amp;"",IF($Z1233="A",INDEX(Fixed_Assets!$L$2:$L$201,$AB1233)&amp;"",IF($Z1233="F",INDEX(Workforce!$K$2:$K$151,MATCH(INDEX(FTE_Allocation!$A$2:$A$201,$AB1233),Workforce!$A$2:$A$151,0))&amp;"","")))</f>
        <v/>
      </c>
      <c r="G1233" s="7">
        <f>IF($Z1233="C",INDEX(Contracts!$F$2:$F$151,$AB1233)&amp;" / "&amp;INDEX(Contracts!$G$2:$G$151,$AB1233),IF($Z1233="A",INDEX(Fixed_Assets!$E$2:$E$201,$AB1233)&amp;"",IF($Z1233="F","Personnel "&amp;INDEX(FTE_Allocation!$A$2:$A$201,$AB1233)&amp;IF(INDEX(FTE_Allocation!$D$2:$D$201,$AB1233)="PROJECT"," ("&amp;INDEX(FTE_Allocation!$E$2:$E$201,$AB1233)&amp;")",""),"")))</f>
        <v/>
      </c>
      <c r="H1233" s="7">
        <f>IF($Z1233="C","CONTRACT",IF($Z1233="A","ASSET",IF($Z1233="F","WORKFORCE","")))</f>
        <v/>
      </c>
      <c r="I1233" s="7">
        <f>IF($Z1233="C",INDEX(Contracts!$L$2:$L$151,$AB1233)&amp;"",IF($Z1233="A",INDEX(Fixed_Assets!$I$2:$I$201,$AB1233)&amp;"",IF($Z1233="F",INDEX(Workforce!$G$2:$G$151,MATCH(INDEX(FTE_Allocation!$A$2:$A$201,$AB1233),Workforce!$A$2:$A$151,0))&amp;"","")))</f>
        <v/>
      </c>
      <c r="J1233" s="18">
        <f>IF($Z1233="","",IF(AND(DATE($AD1233,1,1)&gt;=$AE1233,DATE($AD1233,1,1)&lt;=$AF1233),ROUND($AG1233,2),0))</f>
        <v/>
      </c>
      <c r="K1233" s="18">
        <f>IF($Z1233="","",IF(AND(DATE($AD1233,2,1)&gt;=$AE1233,DATE($AD1233,2,1)&lt;=$AF1233),ROUND($AG1233,2),0))</f>
        <v/>
      </c>
      <c r="L1233" s="18">
        <f>IF($Z1233="","",IF(AND(DATE($AD1233,3,1)&gt;=$AE1233,DATE($AD1233,3,1)&lt;=$AF1233),ROUND($AG1233,2),0))</f>
        <v/>
      </c>
      <c r="M1233" s="18">
        <f>IF($Z1233="","",IF(AND(DATE($AD1233,4,1)&gt;=$AE1233,DATE($AD1233,4,1)&lt;=$AF1233),ROUND($AG1233,2),0))</f>
        <v/>
      </c>
      <c r="N1233" s="18">
        <f>IF($Z1233="","",IF(AND(DATE($AD1233,5,1)&gt;=$AE1233,DATE($AD1233,5,1)&lt;=$AF1233),ROUND($AG1233,2),0))</f>
        <v/>
      </c>
      <c r="O1233" s="18">
        <f>IF($Z1233="","",IF(AND(DATE($AD1233,6,1)&gt;=$AE1233,DATE($AD1233,6,1)&lt;=$AF1233),ROUND($AG1233,2),0))</f>
        <v/>
      </c>
      <c r="P1233" s="18">
        <f>IF($Z1233="","",IF(AND(DATE($AD1233,7,1)&gt;=$AE1233,DATE($AD1233,7,1)&lt;=$AF1233),ROUND($AG1233,2),0))</f>
        <v/>
      </c>
      <c r="Q1233" s="18">
        <f>IF($Z1233="","",IF(AND(DATE($AD1233,8,1)&gt;=$AE1233,DATE($AD1233,8,1)&lt;=$AF1233),ROUND($AG1233,2),0))</f>
        <v/>
      </c>
      <c r="R1233" s="18">
        <f>IF($Z1233="","",IF(AND(DATE($AD1233,9,1)&gt;=$AE1233,DATE($AD1233,9,1)&lt;=$AF1233),ROUND($AG1233,2),0))</f>
        <v/>
      </c>
      <c r="S1233" s="18">
        <f>IF($Z1233="","",IF(AND(DATE($AD1233,10,1)&gt;=$AE1233,DATE($AD1233,10,1)&lt;=$AF1233),ROUND($AG1233,2),0))</f>
        <v/>
      </c>
      <c r="T1233" s="18">
        <f>IF($Z1233="","",IF(AND(DATE($AD1233,11,1)&gt;=$AE1233,DATE($AD1233,11,1)&lt;=$AF1233),ROUND($AG1233,2),0))</f>
        <v/>
      </c>
      <c r="U1233" s="18">
        <f>IF($Z1233="","",IF(AND(DATE($AD1233,12,1)&gt;=$AE1233,DATE($AD1233,12,1)&lt;=$AF1233),ROUND($AG1233,2),0))</f>
        <v/>
      </c>
      <c r="V1233" s="7">
        <f>IF($Z1233="C","Generated from "&amp;INDEX(Contracts!$A$2:$A$151,$AB1233),IF($Z1233="A","Generated from "&amp;INDEX(Fixed_Assets!$A$2:$A$201,$AB1233),IF($Z1233="F","Generated from "&amp;INDEX(FTE_Allocation!$A$2:$A$201,$AB1233),"")))</f>
        <v/>
      </c>
      <c r="X1233" s="19">
        <f>IF($Z1233="","",SUM(J1233:U1233))</f>
        <v/>
      </c>
      <c r="Y1233" s="20">
        <f>ROW()-1</f>
        <v/>
      </c>
      <c r="Z1233" s="20">
        <f>IF($Y1233&lt;=Settings!$B$4*3,"C",IF($Y1233&lt;=(Settings!$B$4+Settings!$B$5)*3,"A",IF($Y1233&lt;=(Settings!$B$4+Settings!$B$5+Settings!$B$6)*3,"F","")))</f>
        <v/>
      </c>
      <c r="AA1233" s="20">
        <f>IF($Z1233="C",$Y1233,IF($Z1233="A",$Y1233-Settings!$B$4*3,IF($Z1233="F",$Y1233-(Settings!$B$4+Settings!$B$5)*3,"")))</f>
        <v/>
      </c>
      <c r="AB1233" s="20">
        <f>IF($Z1233="","",INT(($AA1233-1)/3)+1)</f>
        <v/>
      </c>
      <c r="AC1233" s="20">
        <f>IF($Z1233="","",MOD($AA1233-1,3)+1)</f>
        <v/>
      </c>
      <c r="AD1233" s="20">
        <f>IF($Z1233="","",Settings!$B$2+$AC1233-1)</f>
        <v/>
      </c>
      <c r="AE1233" s="21">
        <f>IF($Z1233="C",DATE(YEAR(INDEX(Contracts!$J$2:$J$151,$AB1233)),MONTH(INDEX(Contracts!$J$2:$J$151,$AB1233)),1),IF($Z1233="A",DATE(YEAR(INDEX(Fixed_Assets!$G$2:$G$201,$AB1233)),MONTH(INDEX(Fixed_Assets!$G$2:$G$201,$AB1233)),1),IF($Z1233="F",DATE(YEAR(MAX(N(INDEX(Workforce!$I$2:$I$151,MATCH(INDEX(FTE_Allocation!$A$2:$A$201,$AB1233),Workforce!$A$2:$A$151,0))),N(INDEX(FTE_Allocation!$I$2:$I$201,$AB1233)))),MONTH(MAX(N(INDEX(Workforce!$I$2:$I$151,MATCH(INDEX(FTE_Allocation!$A$2:$A$201,$AB1233),Workforce!$A$2:$A$151,0))),N(INDEX(FTE_Allocation!$I$2:$I$201,$AB1233)))),1),"")))</f>
        <v/>
      </c>
      <c r="AF1233" s="21">
        <f>IF($Z1233="C",IF(INDEX(Contracts!$I$2:$I$151,$AB1233)="PREPAID",EDATE(DATE(YEAR(INDEX(Contracts!$J$2:$J$151,$AB1233)),MONTH(INDEX(Contracts!$J$2:$J$151,$AB1233)),1),IF(INDEX(Contracts!$N$2:$N$151,$AB1233)="",12,INDEX(Contracts!$N$2:$N$151,$AB1233))-1),IF(INDEX(Contracts!$I$2:$I$151,$AB1233)="MONTHLY",IF(INDEX(Contracts!$K$2:$K$151,$AB1233)="",2958101,INDEX(Contracts!$K$2:$K$151,$AB1233)),0)),IF($Z1233="A",EDATE(DATE(YEAR(INDEX(Fixed_Assets!$G$2:$G$201,$AB1233)),MONTH(INDEX(Fixed_Assets!$G$2:$G$201,$AB1233)),1),INDEX(Fixed_Assets!$J$2:$J$201,$AB1233)-1),IF($Z1233="F",MIN(IF(INDEX(Workforce!$J$2:$J$151,MATCH(INDEX(FTE_Allocation!$A$2:$A$201,$AB1233),Workforce!$A$2:$A$151,0))="",2958101,INDEX(Workforce!$J$2:$J$151,MATCH(INDEX(FTE_Allocation!$A$2:$A$201,$AB1233),Workforce!$A$2:$A$151,0))),IF(INDEX(FTE_Allocation!$J$2:$J$201,$AB1233)="",2958101,INDEX(FTE_Allocation!$J$2:$J$201,$AB1233))),"")))</f>
        <v/>
      </c>
      <c r="AG1233" s="19">
        <f>IF($Z1233="C",IF(INDEX(Contracts!$I$2:$I$151,$AB1233)="PREPAID",INDEX(Contracts!$M$2:$M$151,$AB1233)/IF(INDEX(Contracts!$N$2:$N$151,$AB1233)="",12,INDEX(Contracts!$N$2:$N$151,$AB1233)),IF(INDEX(Contracts!$I$2:$I$151,$AB1233)="MONTHLY",INDEX(Contracts!$M$2:$M$151,$AB1233),0))*(1-N(INDEX(Contracts!$O$2:$O$151,$AB1233))),IF($Z1233="A",INDEX(Fixed_Assets!$H$2:$H$201,$AB1233)/INDEX(Fixed_Assets!$J$2:$J$201,$AB1233),IF($Z1233="F",INDEX(Workforce!$F$2:$F$151,MATCH(INDEX(FTE_Allocation!$A$2:$A$201,$AB1233),Workforce!$A$2:$A$151,0))*N(INDEX(FTE_Allocation!$F$2:$H$201,$AB1233,$AC1233)),"")))</f>
        <v/>
      </c>
    </row>
    <row r="1234">
      <c r="A1234" s="7">
        <f>IF($Z1234="","",$AD1234)</f>
        <v/>
      </c>
      <c r="B1234" s="7">
        <f>IF($Z1234="C",INDEX(Contracts!$D$2:$D$151,$AB1234)&amp;"",IF($Z1234="A",INDEX(Fixed_Assets!$C$2:$C$201,$AB1234)&amp;"",IF($Z1234="F",INDEX(Workforce!$B$2:$B$151,MATCH(INDEX(FTE_Allocation!$A$2:$A$201,$AB1234),Workforce!$A$2:$A$151,0))&amp;"","")))</f>
        <v/>
      </c>
      <c r="C1234" s="7">
        <f>IF($Z1234="C",INDEX(Contracts!$E$2:$E$151,$AB1234)&amp;"",IF($Z1234="A",INDEX(Fixed_Assets!$D$2:$D$201,$AB1234)&amp;"",IF($Z1234="F",INDEX(FTE_Allocation!$C$2:$C$201,$AB1234)&amp;"","")))</f>
        <v/>
      </c>
      <c r="D1234" s="7">
        <f>IF($Z1234="C",INDEX(Contracts!$B$2:$B$151,$AB1234)&amp;"",IF($Z1234="A",INDEX(Fixed_Assets!$B$2:$B$201,$AB1234)&amp;"",IF($Z1234="F",INDEX(FTE_Allocation!$B$2:$B$201,$AB1234)&amp;"","")))</f>
        <v/>
      </c>
      <c r="E1234" s="7">
        <f>IF($Z1234="C",INDEX(Contracts!$P$2:$P$151,$AB1234)&amp;"",IF($Z1234="A",INDEX(Fixed_Assets!$K$2:$K$201,$AB1234)&amp;"",IF($Z1234="F",IF(INDEX(FTE_Allocation!$D$2:$D$201,$AB1234)="PROJECT",IFERROR(INDEX(Projects!$D:$D,MATCH(INDEX(FTE_Allocation!$E$2:$E$201,$AB1234),Projects!$A:$A,0))&amp;"","#PROJECT?"),INDEX(FTE_Allocation!$E$2:$E$201,$AB1234)&amp;""),"")))</f>
        <v/>
      </c>
      <c r="F1234" s="7">
        <f>IF($Z1234="C",INDEX(Contracts!$Q$2:$Q$151,$AB1234)&amp;"",IF($Z1234="A",INDEX(Fixed_Assets!$L$2:$L$201,$AB1234)&amp;"",IF($Z1234="F",INDEX(Workforce!$K$2:$K$151,MATCH(INDEX(FTE_Allocation!$A$2:$A$201,$AB1234),Workforce!$A$2:$A$151,0))&amp;"","")))</f>
        <v/>
      </c>
      <c r="G1234" s="7">
        <f>IF($Z1234="C",INDEX(Contracts!$F$2:$F$151,$AB1234)&amp;" / "&amp;INDEX(Contracts!$G$2:$G$151,$AB1234),IF($Z1234="A",INDEX(Fixed_Assets!$E$2:$E$201,$AB1234)&amp;"",IF($Z1234="F","Personnel "&amp;INDEX(FTE_Allocation!$A$2:$A$201,$AB1234)&amp;IF(INDEX(FTE_Allocation!$D$2:$D$201,$AB1234)="PROJECT"," ("&amp;INDEX(FTE_Allocation!$E$2:$E$201,$AB1234)&amp;")",""),"")))</f>
        <v/>
      </c>
      <c r="H1234" s="7">
        <f>IF($Z1234="C","CONTRACT",IF($Z1234="A","ASSET",IF($Z1234="F","WORKFORCE","")))</f>
        <v/>
      </c>
      <c r="I1234" s="7">
        <f>IF($Z1234="C",INDEX(Contracts!$L$2:$L$151,$AB1234)&amp;"",IF($Z1234="A",INDEX(Fixed_Assets!$I$2:$I$201,$AB1234)&amp;"",IF($Z1234="F",INDEX(Workforce!$G$2:$G$151,MATCH(INDEX(FTE_Allocation!$A$2:$A$201,$AB1234),Workforce!$A$2:$A$151,0))&amp;"","")))</f>
        <v/>
      </c>
      <c r="J1234" s="18">
        <f>IF($Z1234="","",IF(AND(DATE($AD1234,1,1)&gt;=$AE1234,DATE($AD1234,1,1)&lt;=$AF1234),ROUND($AG1234,2),0))</f>
        <v/>
      </c>
      <c r="K1234" s="18">
        <f>IF($Z1234="","",IF(AND(DATE($AD1234,2,1)&gt;=$AE1234,DATE($AD1234,2,1)&lt;=$AF1234),ROUND($AG1234,2),0))</f>
        <v/>
      </c>
      <c r="L1234" s="18">
        <f>IF($Z1234="","",IF(AND(DATE($AD1234,3,1)&gt;=$AE1234,DATE($AD1234,3,1)&lt;=$AF1234),ROUND($AG1234,2),0))</f>
        <v/>
      </c>
      <c r="M1234" s="18">
        <f>IF($Z1234="","",IF(AND(DATE($AD1234,4,1)&gt;=$AE1234,DATE($AD1234,4,1)&lt;=$AF1234),ROUND($AG1234,2),0))</f>
        <v/>
      </c>
      <c r="N1234" s="18">
        <f>IF($Z1234="","",IF(AND(DATE($AD1234,5,1)&gt;=$AE1234,DATE($AD1234,5,1)&lt;=$AF1234),ROUND($AG1234,2),0))</f>
        <v/>
      </c>
      <c r="O1234" s="18">
        <f>IF($Z1234="","",IF(AND(DATE($AD1234,6,1)&gt;=$AE1234,DATE($AD1234,6,1)&lt;=$AF1234),ROUND($AG1234,2),0))</f>
        <v/>
      </c>
      <c r="P1234" s="18">
        <f>IF($Z1234="","",IF(AND(DATE($AD1234,7,1)&gt;=$AE1234,DATE($AD1234,7,1)&lt;=$AF1234),ROUND($AG1234,2),0))</f>
        <v/>
      </c>
      <c r="Q1234" s="18">
        <f>IF($Z1234="","",IF(AND(DATE($AD1234,8,1)&gt;=$AE1234,DATE($AD1234,8,1)&lt;=$AF1234),ROUND($AG1234,2),0))</f>
        <v/>
      </c>
      <c r="R1234" s="18">
        <f>IF($Z1234="","",IF(AND(DATE($AD1234,9,1)&gt;=$AE1234,DATE($AD1234,9,1)&lt;=$AF1234),ROUND($AG1234,2),0))</f>
        <v/>
      </c>
      <c r="S1234" s="18">
        <f>IF($Z1234="","",IF(AND(DATE($AD1234,10,1)&gt;=$AE1234,DATE($AD1234,10,1)&lt;=$AF1234),ROUND($AG1234,2),0))</f>
        <v/>
      </c>
      <c r="T1234" s="18">
        <f>IF($Z1234="","",IF(AND(DATE($AD1234,11,1)&gt;=$AE1234,DATE($AD1234,11,1)&lt;=$AF1234),ROUND($AG1234,2),0))</f>
        <v/>
      </c>
      <c r="U1234" s="18">
        <f>IF($Z1234="","",IF(AND(DATE($AD1234,12,1)&gt;=$AE1234,DATE($AD1234,12,1)&lt;=$AF1234),ROUND($AG1234,2),0))</f>
        <v/>
      </c>
      <c r="V1234" s="7">
        <f>IF($Z1234="C","Generated from "&amp;INDEX(Contracts!$A$2:$A$151,$AB1234),IF($Z1234="A","Generated from "&amp;INDEX(Fixed_Assets!$A$2:$A$201,$AB1234),IF($Z1234="F","Generated from "&amp;INDEX(FTE_Allocation!$A$2:$A$201,$AB1234),"")))</f>
        <v/>
      </c>
      <c r="X1234" s="19">
        <f>IF($Z1234="","",SUM(J1234:U1234))</f>
        <v/>
      </c>
      <c r="Y1234" s="20">
        <f>ROW()-1</f>
        <v/>
      </c>
      <c r="Z1234" s="20">
        <f>IF($Y1234&lt;=Settings!$B$4*3,"C",IF($Y1234&lt;=(Settings!$B$4+Settings!$B$5)*3,"A",IF($Y1234&lt;=(Settings!$B$4+Settings!$B$5+Settings!$B$6)*3,"F","")))</f>
        <v/>
      </c>
      <c r="AA1234" s="20">
        <f>IF($Z1234="C",$Y1234,IF($Z1234="A",$Y1234-Settings!$B$4*3,IF($Z1234="F",$Y1234-(Settings!$B$4+Settings!$B$5)*3,"")))</f>
        <v/>
      </c>
      <c r="AB1234" s="20">
        <f>IF($Z1234="","",INT(($AA1234-1)/3)+1)</f>
        <v/>
      </c>
      <c r="AC1234" s="20">
        <f>IF($Z1234="","",MOD($AA1234-1,3)+1)</f>
        <v/>
      </c>
      <c r="AD1234" s="20">
        <f>IF($Z1234="","",Settings!$B$2+$AC1234-1)</f>
        <v/>
      </c>
      <c r="AE1234" s="21">
        <f>IF($Z1234="C",DATE(YEAR(INDEX(Contracts!$J$2:$J$151,$AB1234)),MONTH(INDEX(Contracts!$J$2:$J$151,$AB1234)),1),IF($Z1234="A",DATE(YEAR(INDEX(Fixed_Assets!$G$2:$G$201,$AB1234)),MONTH(INDEX(Fixed_Assets!$G$2:$G$201,$AB1234)),1),IF($Z1234="F",DATE(YEAR(MAX(N(INDEX(Workforce!$I$2:$I$151,MATCH(INDEX(FTE_Allocation!$A$2:$A$201,$AB1234),Workforce!$A$2:$A$151,0))),N(INDEX(FTE_Allocation!$I$2:$I$201,$AB1234)))),MONTH(MAX(N(INDEX(Workforce!$I$2:$I$151,MATCH(INDEX(FTE_Allocation!$A$2:$A$201,$AB1234),Workforce!$A$2:$A$151,0))),N(INDEX(FTE_Allocation!$I$2:$I$201,$AB1234)))),1),"")))</f>
        <v/>
      </c>
      <c r="AF1234" s="21">
        <f>IF($Z1234="C",IF(INDEX(Contracts!$I$2:$I$151,$AB1234)="PREPAID",EDATE(DATE(YEAR(INDEX(Contracts!$J$2:$J$151,$AB1234)),MONTH(INDEX(Contracts!$J$2:$J$151,$AB1234)),1),IF(INDEX(Contracts!$N$2:$N$151,$AB1234)="",12,INDEX(Contracts!$N$2:$N$151,$AB1234))-1),IF(INDEX(Contracts!$I$2:$I$151,$AB1234)="MONTHLY",IF(INDEX(Contracts!$K$2:$K$151,$AB1234)="",2958101,INDEX(Contracts!$K$2:$K$151,$AB1234)),0)),IF($Z1234="A",EDATE(DATE(YEAR(INDEX(Fixed_Assets!$G$2:$G$201,$AB1234)),MONTH(INDEX(Fixed_Assets!$G$2:$G$201,$AB1234)),1),INDEX(Fixed_Assets!$J$2:$J$201,$AB1234)-1),IF($Z1234="F",MIN(IF(INDEX(Workforce!$J$2:$J$151,MATCH(INDEX(FTE_Allocation!$A$2:$A$201,$AB1234),Workforce!$A$2:$A$151,0))="",2958101,INDEX(Workforce!$J$2:$J$151,MATCH(INDEX(FTE_Allocation!$A$2:$A$201,$AB1234),Workforce!$A$2:$A$151,0))),IF(INDEX(FTE_Allocation!$J$2:$J$201,$AB1234)="",2958101,INDEX(FTE_Allocation!$J$2:$J$201,$AB1234))),"")))</f>
        <v/>
      </c>
      <c r="AG1234" s="19">
        <f>IF($Z1234="C",IF(INDEX(Contracts!$I$2:$I$151,$AB1234)="PREPAID",INDEX(Contracts!$M$2:$M$151,$AB1234)/IF(INDEX(Contracts!$N$2:$N$151,$AB1234)="",12,INDEX(Contracts!$N$2:$N$151,$AB1234)),IF(INDEX(Contracts!$I$2:$I$151,$AB1234)="MONTHLY",INDEX(Contracts!$M$2:$M$151,$AB1234),0))*(1-N(INDEX(Contracts!$O$2:$O$151,$AB1234))),IF($Z1234="A",INDEX(Fixed_Assets!$H$2:$H$201,$AB1234)/INDEX(Fixed_Assets!$J$2:$J$201,$AB1234),IF($Z1234="F",INDEX(Workforce!$F$2:$F$151,MATCH(INDEX(FTE_Allocation!$A$2:$A$201,$AB1234),Workforce!$A$2:$A$151,0))*N(INDEX(FTE_Allocation!$F$2:$H$201,$AB1234,$AC1234)),"")))</f>
        <v/>
      </c>
    </row>
    <row r="1235">
      <c r="A1235" s="7">
        <f>IF($Z1235="","",$AD1235)</f>
        <v/>
      </c>
      <c r="B1235" s="7">
        <f>IF($Z1235="C",INDEX(Contracts!$D$2:$D$151,$AB1235)&amp;"",IF($Z1235="A",INDEX(Fixed_Assets!$C$2:$C$201,$AB1235)&amp;"",IF($Z1235="F",INDEX(Workforce!$B$2:$B$151,MATCH(INDEX(FTE_Allocation!$A$2:$A$201,$AB1235),Workforce!$A$2:$A$151,0))&amp;"","")))</f>
        <v/>
      </c>
      <c r="C1235" s="7">
        <f>IF($Z1235="C",INDEX(Contracts!$E$2:$E$151,$AB1235)&amp;"",IF($Z1235="A",INDEX(Fixed_Assets!$D$2:$D$201,$AB1235)&amp;"",IF($Z1235="F",INDEX(FTE_Allocation!$C$2:$C$201,$AB1235)&amp;"","")))</f>
        <v/>
      </c>
      <c r="D1235" s="7">
        <f>IF($Z1235="C",INDEX(Contracts!$B$2:$B$151,$AB1235)&amp;"",IF($Z1235="A",INDEX(Fixed_Assets!$B$2:$B$201,$AB1235)&amp;"",IF($Z1235="F",INDEX(FTE_Allocation!$B$2:$B$201,$AB1235)&amp;"","")))</f>
        <v/>
      </c>
      <c r="E1235" s="7">
        <f>IF($Z1235="C",INDEX(Contracts!$P$2:$P$151,$AB1235)&amp;"",IF($Z1235="A",INDEX(Fixed_Assets!$K$2:$K$201,$AB1235)&amp;"",IF($Z1235="F",IF(INDEX(FTE_Allocation!$D$2:$D$201,$AB1235)="PROJECT",IFERROR(INDEX(Projects!$D:$D,MATCH(INDEX(FTE_Allocation!$E$2:$E$201,$AB1235),Projects!$A:$A,0))&amp;"","#PROJECT?"),INDEX(FTE_Allocation!$E$2:$E$201,$AB1235)&amp;""),"")))</f>
        <v/>
      </c>
      <c r="F1235" s="7">
        <f>IF($Z1235="C",INDEX(Contracts!$Q$2:$Q$151,$AB1235)&amp;"",IF($Z1235="A",INDEX(Fixed_Assets!$L$2:$L$201,$AB1235)&amp;"",IF($Z1235="F",INDEX(Workforce!$K$2:$K$151,MATCH(INDEX(FTE_Allocation!$A$2:$A$201,$AB1235),Workforce!$A$2:$A$151,0))&amp;"","")))</f>
        <v/>
      </c>
      <c r="G1235" s="7">
        <f>IF($Z1235="C",INDEX(Contracts!$F$2:$F$151,$AB1235)&amp;" / "&amp;INDEX(Contracts!$G$2:$G$151,$AB1235),IF($Z1235="A",INDEX(Fixed_Assets!$E$2:$E$201,$AB1235)&amp;"",IF($Z1235="F","Personnel "&amp;INDEX(FTE_Allocation!$A$2:$A$201,$AB1235)&amp;IF(INDEX(FTE_Allocation!$D$2:$D$201,$AB1235)="PROJECT"," ("&amp;INDEX(FTE_Allocation!$E$2:$E$201,$AB1235)&amp;")",""),"")))</f>
        <v/>
      </c>
      <c r="H1235" s="7">
        <f>IF($Z1235="C","CONTRACT",IF($Z1235="A","ASSET",IF($Z1235="F","WORKFORCE","")))</f>
        <v/>
      </c>
      <c r="I1235" s="7">
        <f>IF($Z1235="C",INDEX(Contracts!$L$2:$L$151,$AB1235)&amp;"",IF($Z1235="A",INDEX(Fixed_Assets!$I$2:$I$201,$AB1235)&amp;"",IF($Z1235="F",INDEX(Workforce!$G$2:$G$151,MATCH(INDEX(FTE_Allocation!$A$2:$A$201,$AB1235),Workforce!$A$2:$A$151,0))&amp;"","")))</f>
        <v/>
      </c>
      <c r="J1235" s="18">
        <f>IF($Z1235="","",IF(AND(DATE($AD1235,1,1)&gt;=$AE1235,DATE($AD1235,1,1)&lt;=$AF1235),ROUND($AG1235,2),0))</f>
        <v/>
      </c>
      <c r="K1235" s="18">
        <f>IF($Z1235="","",IF(AND(DATE($AD1235,2,1)&gt;=$AE1235,DATE($AD1235,2,1)&lt;=$AF1235),ROUND($AG1235,2),0))</f>
        <v/>
      </c>
      <c r="L1235" s="18">
        <f>IF($Z1235="","",IF(AND(DATE($AD1235,3,1)&gt;=$AE1235,DATE($AD1235,3,1)&lt;=$AF1235),ROUND($AG1235,2),0))</f>
        <v/>
      </c>
      <c r="M1235" s="18">
        <f>IF($Z1235="","",IF(AND(DATE($AD1235,4,1)&gt;=$AE1235,DATE($AD1235,4,1)&lt;=$AF1235),ROUND($AG1235,2),0))</f>
        <v/>
      </c>
      <c r="N1235" s="18">
        <f>IF($Z1235="","",IF(AND(DATE($AD1235,5,1)&gt;=$AE1235,DATE($AD1235,5,1)&lt;=$AF1235),ROUND($AG1235,2),0))</f>
        <v/>
      </c>
      <c r="O1235" s="18">
        <f>IF($Z1235="","",IF(AND(DATE($AD1235,6,1)&gt;=$AE1235,DATE($AD1235,6,1)&lt;=$AF1235),ROUND($AG1235,2),0))</f>
        <v/>
      </c>
      <c r="P1235" s="18">
        <f>IF($Z1235="","",IF(AND(DATE($AD1235,7,1)&gt;=$AE1235,DATE($AD1235,7,1)&lt;=$AF1235),ROUND($AG1235,2),0))</f>
        <v/>
      </c>
      <c r="Q1235" s="18">
        <f>IF($Z1235="","",IF(AND(DATE($AD1235,8,1)&gt;=$AE1235,DATE($AD1235,8,1)&lt;=$AF1235),ROUND($AG1235,2),0))</f>
        <v/>
      </c>
      <c r="R1235" s="18">
        <f>IF($Z1235="","",IF(AND(DATE($AD1235,9,1)&gt;=$AE1235,DATE($AD1235,9,1)&lt;=$AF1235),ROUND($AG1235,2),0))</f>
        <v/>
      </c>
      <c r="S1235" s="18">
        <f>IF($Z1235="","",IF(AND(DATE($AD1235,10,1)&gt;=$AE1235,DATE($AD1235,10,1)&lt;=$AF1235),ROUND($AG1235,2),0))</f>
        <v/>
      </c>
      <c r="T1235" s="18">
        <f>IF($Z1235="","",IF(AND(DATE($AD1235,11,1)&gt;=$AE1235,DATE($AD1235,11,1)&lt;=$AF1235),ROUND($AG1235,2),0))</f>
        <v/>
      </c>
      <c r="U1235" s="18">
        <f>IF($Z1235="","",IF(AND(DATE($AD1235,12,1)&gt;=$AE1235,DATE($AD1235,12,1)&lt;=$AF1235),ROUND($AG1235,2),0))</f>
        <v/>
      </c>
      <c r="V1235" s="7">
        <f>IF($Z1235="C","Generated from "&amp;INDEX(Contracts!$A$2:$A$151,$AB1235),IF($Z1235="A","Generated from "&amp;INDEX(Fixed_Assets!$A$2:$A$201,$AB1235),IF($Z1235="F","Generated from "&amp;INDEX(FTE_Allocation!$A$2:$A$201,$AB1235),"")))</f>
        <v/>
      </c>
      <c r="X1235" s="19">
        <f>IF($Z1235="","",SUM(J1235:U1235))</f>
        <v/>
      </c>
      <c r="Y1235" s="20">
        <f>ROW()-1</f>
        <v/>
      </c>
      <c r="Z1235" s="20">
        <f>IF($Y1235&lt;=Settings!$B$4*3,"C",IF($Y1235&lt;=(Settings!$B$4+Settings!$B$5)*3,"A",IF($Y1235&lt;=(Settings!$B$4+Settings!$B$5+Settings!$B$6)*3,"F","")))</f>
        <v/>
      </c>
      <c r="AA1235" s="20">
        <f>IF($Z1235="C",$Y1235,IF($Z1235="A",$Y1235-Settings!$B$4*3,IF($Z1235="F",$Y1235-(Settings!$B$4+Settings!$B$5)*3,"")))</f>
        <v/>
      </c>
      <c r="AB1235" s="20">
        <f>IF($Z1235="","",INT(($AA1235-1)/3)+1)</f>
        <v/>
      </c>
      <c r="AC1235" s="20">
        <f>IF($Z1235="","",MOD($AA1235-1,3)+1)</f>
        <v/>
      </c>
      <c r="AD1235" s="20">
        <f>IF($Z1235="","",Settings!$B$2+$AC1235-1)</f>
        <v/>
      </c>
      <c r="AE1235" s="21">
        <f>IF($Z1235="C",DATE(YEAR(INDEX(Contracts!$J$2:$J$151,$AB1235)),MONTH(INDEX(Contracts!$J$2:$J$151,$AB1235)),1),IF($Z1235="A",DATE(YEAR(INDEX(Fixed_Assets!$G$2:$G$201,$AB1235)),MONTH(INDEX(Fixed_Assets!$G$2:$G$201,$AB1235)),1),IF($Z1235="F",DATE(YEAR(MAX(N(INDEX(Workforce!$I$2:$I$151,MATCH(INDEX(FTE_Allocation!$A$2:$A$201,$AB1235),Workforce!$A$2:$A$151,0))),N(INDEX(FTE_Allocation!$I$2:$I$201,$AB1235)))),MONTH(MAX(N(INDEX(Workforce!$I$2:$I$151,MATCH(INDEX(FTE_Allocation!$A$2:$A$201,$AB1235),Workforce!$A$2:$A$151,0))),N(INDEX(FTE_Allocation!$I$2:$I$201,$AB1235)))),1),"")))</f>
        <v/>
      </c>
      <c r="AF1235" s="21">
        <f>IF($Z1235="C",IF(INDEX(Contracts!$I$2:$I$151,$AB1235)="PREPAID",EDATE(DATE(YEAR(INDEX(Contracts!$J$2:$J$151,$AB1235)),MONTH(INDEX(Contracts!$J$2:$J$151,$AB1235)),1),IF(INDEX(Contracts!$N$2:$N$151,$AB1235)="",12,INDEX(Contracts!$N$2:$N$151,$AB1235))-1),IF(INDEX(Contracts!$I$2:$I$151,$AB1235)="MONTHLY",IF(INDEX(Contracts!$K$2:$K$151,$AB1235)="",2958101,INDEX(Contracts!$K$2:$K$151,$AB1235)),0)),IF($Z1235="A",EDATE(DATE(YEAR(INDEX(Fixed_Assets!$G$2:$G$201,$AB1235)),MONTH(INDEX(Fixed_Assets!$G$2:$G$201,$AB1235)),1),INDEX(Fixed_Assets!$J$2:$J$201,$AB1235)-1),IF($Z1235="F",MIN(IF(INDEX(Workforce!$J$2:$J$151,MATCH(INDEX(FTE_Allocation!$A$2:$A$201,$AB1235),Workforce!$A$2:$A$151,0))="",2958101,INDEX(Workforce!$J$2:$J$151,MATCH(INDEX(FTE_Allocation!$A$2:$A$201,$AB1235),Workforce!$A$2:$A$151,0))),IF(INDEX(FTE_Allocation!$J$2:$J$201,$AB1235)="",2958101,INDEX(FTE_Allocation!$J$2:$J$201,$AB1235))),"")))</f>
        <v/>
      </c>
      <c r="AG1235" s="19">
        <f>IF($Z1235="C",IF(INDEX(Contracts!$I$2:$I$151,$AB1235)="PREPAID",INDEX(Contracts!$M$2:$M$151,$AB1235)/IF(INDEX(Contracts!$N$2:$N$151,$AB1235)="",12,INDEX(Contracts!$N$2:$N$151,$AB1235)),IF(INDEX(Contracts!$I$2:$I$151,$AB1235)="MONTHLY",INDEX(Contracts!$M$2:$M$151,$AB1235),0))*(1-N(INDEX(Contracts!$O$2:$O$151,$AB1235))),IF($Z1235="A",INDEX(Fixed_Assets!$H$2:$H$201,$AB1235)/INDEX(Fixed_Assets!$J$2:$J$201,$AB1235),IF($Z1235="F",INDEX(Workforce!$F$2:$F$151,MATCH(INDEX(FTE_Allocation!$A$2:$A$201,$AB1235),Workforce!$A$2:$A$151,0))*N(INDEX(FTE_Allocation!$F$2:$H$201,$AB1235,$AC1235)),"")))</f>
        <v/>
      </c>
    </row>
    <row r="1236">
      <c r="A1236" s="7">
        <f>IF($Z1236="","",$AD1236)</f>
        <v/>
      </c>
      <c r="B1236" s="7">
        <f>IF($Z1236="C",INDEX(Contracts!$D$2:$D$151,$AB1236)&amp;"",IF($Z1236="A",INDEX(Fixed_Assets!$C$2:$C$201,$AB1236)&amp;"",IF($Z1236="F",INDEX(Workforce!$B$2:$B$151,MATCH(INDEX(FTE_Allocation!$A$2:$A$201,$AB1236),Workforce!$A$2:$A$151,0))&amp;"","")))</f>
        <v/>
      </c>
      <c r="C1236" s="7">
        <f>IF($Z1236="C",INDEX(Contracts!$E$2:$E$151,$AB1236)&amp;"",IF($Z1236="A",INDEX(Fixed_Assets!$D$2:$D$201,$AB1236)&amp;"",IF($Z1236="F",INDEX(FTE_Allocation!$C$2:$C$201,$AB1236)&amp;"","")))</f>
        <v/>
      </c>
      <c r="D1236" s="7">
        <f>IF($Z1236="C",INDEX(Contracts!$B$2:$B$151,$AB1236)&amp;"",IF($Z1236="A",INDEX(Fixed_Assets!$B$2:$B$201,$AB1236)&amp;"",IF($Z1236="F",INDEX(FTE_Allocation!$B$2:$B$201,$AB1236)&amp;"","")))</f>
        <v/>
      </c>
      <c r="E1236" s="7">
        <f>IF($Z1236="C",INDEX(Contracts!$P$2:$P$151,$AB1236)&amp;"",IF($Z1236="A",INDEX(Fixed_Assets!$K$2:$K$201,$AB1236)&amp;"",IF($Z1236="F",IF(INDEX(FTE_Allocation!$D$2:$D$201,$AB1236)="PROJECT",IFERROR(INDEX(Projects!$D:$D,MATCH(INDEX(FTE_Allocation!$E$2:$E$201,$AB1236),Projects!$A:$A,0))&amp;"","#PROJECT?"),INDEX(FTE_Allocation!$E$2:$E$201,$AB1236)&amp;""),"")))</f>
        <v/>
      </c>
      <c r="F1236" s="7">
        <f>IF($Z1236="C",INDEX(Contracts!$Q$2:$Q$151,$AB1236)&amp;"",IF($Z1236="A",INDEX(Fixed_Assets!$L$2:$L$201,$AB1236)&amp;"",IF($Z1236="F",INDEX(Workforce!$K$2:$K$151,MATCH(INDEX(FTE_Allocation!$A$2:$A$201,$AB1236),Workforce!$A$2:$A$151,0))&amp;"","")))</f>
        <v/>
      </c>
      <c r="G1236" s="7">
        <f>IF($Z1236="C",INDEX(Contracts!$F$2:$F$151,$AB1236)&amp;" / "&amp;INDEX(Contracts!$G$2:$G$151,$AB1236),IF($Z1236="A",INDEX(Fixed_Assets!$E$2:$E$201,$AB1236)&amp;"",IF($Z1236="F","Personnel "&amp;INDEX(FTE_Allocation!$A$2:$A$201,$AB1236)&amp;IF(INDEX(FTE_Allocation!$D$2:$D$201,$AB1236)="PROJECT"," ("&amp;INDEX(FTE_Allocation!$E$2:$E$201,$AB1236)&amp;")",""),"")))</f>
        <v/>
      </c>
      <c r="H1236" s="7">
        <f>IF($Z1236="C","CONTRACT",IF($Z1236="A","ASSET",IF($Z1236="F","WORKFORCE","")))</f>
        <v/>
      </c>
      <c r="I1236" s="7">
        <f>IF($Z1236="C",INDEX(Contracts!$L$2:$L$151,$AB1236)&amp;"",IF($Z1236="A",INDEX(Fixed_Assets!$I$2:$I$201,$AB1236)&amp;"",IF($Z1236="F",INDEX(Workforce!$G$2:$G$151,MATCH(INDEX(FTE_Allocation!$A$2:$A$201,$AB1236),Workforce!$A$2:$A$151,0))&amp;"","")))</f>
        <v/>
      </c>
      <c r="J1236" s="18">
        <f>IF($Z1236="","",IF(AND(DATE($AD1236,1,1)&gt;=$AE1236,DATE($AD1236,1,1)&lt;=$AF1236),ROUND($AG1236,2),0))</f>
        <v/>
      </c>
      <c r="K1236" s="18">
        <f>IF($Z1236="","",IF(AND(DATE($AD1236,2,1)&gt;=$AE1236,DATE($AD1236,2,1)&lt;=$AF1236),ROUND($AG1236,2),0))</f>
        <v/>
      </c>
      <c r="L1236" s="18">
        <f>IF($Z1236="","",IF(AND(DATE($AD1236,3,1)&gt;=$AE1236,DATE($AD1236,3,1)&lt;=$AF1236),ROUND($AG1236,2),0))</f>
        <v/>
      </c>
      <c r="M1236" s="18">
        <f>IF($Z1236="","",IF(AND(DATE($AD1236,4,1)&gt;=$AE1236,DATE($AD1236,4,1)&lt;=$AF1236),ROUND($AG1236,2),0))</f>
        <v/>
      </c>
      <c r="N1236" s="18">
        <f>IF($Z1236="","",IF(AND(DATE($AD1236,5,1)&gt;=$AE1236,DATE($AD1236,5,1)&lt;=$AF1236),ROUND($AG1236,2),0))</f>
        <v/>
      </c>
      <c r="O1236" s="18">
        <f>IF($Z1236="","",IF(AND(DATE($AD1236,6,1)&gt;=$AE1236,DATE($AD1236,6,1)&lt;=$AF1236),ROUND($AG1236,2),0))</f>
        <v/>
      </c>
      <c r="P1236" s="18">
        <f>IF($Z1236="","",IF(AND(DATE($AD1236,7,1)&gt;=$AE1236,DATE($AD1236,7,1)&lt;=$AF1236),ROUND($AG1236,2),0))</f>
        <v/>
      </c>
      <c r="Q1236" s="18">
        <f>IF($Z1236="","",IF(AND(DATE($AD1236,8,1)&gt;=$AE1236,DATE($AD1236,8,1)&lt;=$AF1236),ROUND($AG1236,2),0))</f>
        <v/>
      </c>
      <c r="R1236" s="18">
        <f>IF($Z1236="","",IF(AND(DATE($AD1236,9,1)&gt;=$AE1236,DATE($AD1236,9,1)&lt;=$AF1236),ROUND($AG1236,2),0))</f>
        <v/>
      </c>
      <c r="S1236" s="18">
        <f>IF($Z1236="","",IF(AND(DATE($AD1236,10,1)&gt;=$AE1236,DATE($AD1236,10,1)&lt;=$AF1236),ROUND($AG1236,2),0))</f>
        <v/>
      </c>
      <c r="T1236" s="18">
        <f>IF($Z1236="","",IF(AND(DATE($AD1236,11,1)&gt;=$AE1236,DATE($AD1236,11,1)&lt;=$AF1236),ROUND($AG1236,2),0))</f>
        <v/>
      </c>
      <c r="U1236" s="18">
        <f>IF($Z1236="","",IF(AND(DATE($AD1236,12,1)&gt;=$AE1236,DATE($AD1236,12,1)&lt;=$AF1236),ROUND($AG1236,2),0))</f>
        <v/>
      </c>
      <c r="V1236" s="7">
        <f>IF($Z1236="C","Generated from "&amp;INDEX(Contracts!$A$2:$A$151,$AB1236),IF($Z1236="A","Generated from "&amp;INDEX(Fixed_Assets!$A$2:$A$201,$AB1236),IF($Z1236="F","Generated from "&amp;INDEX(FTE_Allocation!$A$2:$A$201,$AB1236),"")))</f>
        <v/>
      </c>
      <c r="X1236" s="19">
        <f>IF($Z1236="","",SUM(J1236:U1236))</f>
        <v/>
      </c>
      <c r="Y1236" s="20">
        <f>ROW()-1</f>
        <v/>
      </c>
      <c r="Z1236" s="20">
        <f>IF($Y1236&lt;=Settings!$B$4*3,"C",IF($Y1236&lt;=(Settings!$B$4+Settings!$B$5)*3,"A",IF($Y1236&lt;=(Settings!$B$4+Settings!$B$5+Settings!$B$6)*3,"F","")))</f>
        <v/>
      </c>
      <c r="AA1236" s="20">
        <f>IF($Z1236="C",$Y1236,IF($Z1236="A",$Y1236-Settings!$B$4*3,IF($Z1236="F",$Y1236-(Settings!$B$4+Settings!$B$5)*3,"")))</f>
        <v/>
      </c>
      <c r="AB1236" s="20">
        <f>IF($Z1236="","",INT(($AA1236-1)/3)+1)</f>
        <v/>
      </c>
      <c r="AC1236" s="20">
        <f>IF($Z1236="","",MOD($AA1236-1,3)+1)</f>
        <v/>
      </c>
      <c r="AD1236" s="20">
        <f>IF($Z1236="","",Settings!$B$2+$AC1236-1)</f>
        <v/>
      </c>
      <c r="AE1236" s="21">
        <f>IF($Z1236="C",DATE(YEAR(INDEX(Contracts!$J$2:$J$151,$AB1236)),MONTH(INDEX(Contracts!$J$2:$J$151,$AB1236)),1),IF($Z1236="A",DATE(YEAR(INDEX(Fixed_Assets!$G$2:$G$201,$AB1236)),MONTH(INDEX(Fixed_Assets!$G$2:$G$201,$AB1236)),1),IF($Z1236="F",DATE(YEAR(MAX(N(INDEX(Workforce!$I$2:$I$151,MATCH(INDEX(FTE_Allocation!$A$2:$A$201,$AB1236),Workforce!$A$2:$A$151,0))),N(INDEX(FTE_Allocation!$I$2:$I$201,$AB1236)))),MONTH(MAX(N(INDEX(Workforce!$I$2:$I$151,MATCH(INDEX(FTE_Allocation!$A$2:$A$201,$AB1236),Workforce!$A$2:$A$151,0))),N(INDEX(FTE_Allocation!$I$2:$I$201,$AB1236)))),1),"")))</f>
        <v/>
      </c>
      <c r="AF1236" s="21">
        <f>IF($Z1236="C",IF(INDEX(Contracts!$I$2:$I$151,$AB1236)="PREPAID",EDATE(DATE(YEAR(INDEX(Contracts!$J$2:$J$151,$AB1236)),MONTH(INDEX(Contracts!$J$2:$J$151,$AB1236)),1),IF(INDEX(Contracts!$N$2:$N$151,$AB1236)="",12,INDEX(Contracts!$N$2:$N$151,$AB1236))-1),IF(INDEX(Contracts!$I$2:$I$151,$AB1236)="MONTHLY",IF(INDEX(Contracts!$K$2:$K$151,$AB1236)="",2958101,INDEX(Contracts!$K$2:$K$151,$AB1236)),0)),IF($Z1236="A",EDATE(DATE(YEAR(INDEX(Fixed_Assets!$G$2:$G$201,$AB1236)),MONTH(INDEX(Fixed_Assets!$G$2:$G$201,$AB1236)),1),INDEX(Fixed_Assets!$J$2:$J$201,$AB1236)-1),IF($Z1236="F",MIN(IF(INDEX(Workforce!$J$2:$J$151,MATCH(INDEX(FTE_Allocation!$A$2:$A$201,$AB1236),Workforce!$A$2:$A$151,0))="",2958101,INDEX(Workforce!$J$2:$J$151,MATCH(INDEX(FTE_Allocation!$A$2:$A$201,$AB1236),Workforce!$A$2:$A$151,0))),IF(INDEX(FTE_Allocation!$J$2:$J$201,$AB1236)="",2958101,INDEX(FTE_Allocation!$J$2:$J$201,$AB1236))),"")))</f>
        <v/>
      </c>
      <c r="AG1236" s="19">
        <f>IF($Z1236="C",IF(INDEX(Contracts!$I$2:$I$151,$AB1236)="PREPAID",INDEX(Contracts!$M$2:$M$151,$AB1236)/IF(INDEX(Contracts!$N$2:$N$151,$AB1236)="",12,INDEX(Contracts!$N$2:$N$151,$AB1236)),IF(INDEX(Contracts!$I$2:$I$151,$AB1236)="MONTHLY",INDEX(Contracts!$M$2:$M$151,$AB1236),0))*(1-N(INDEX(Contracts!$O$2:$O$151,$AB1236))),IF($Z1236="A",INDEX(Fixed_Assets!$H$2:$H$201,$AB1236)/INDEX(Fixed_Assets!$J$2:$J$201,$AB1236),IF($Z1236="F",INDEX(Workforce!$F$2:$F$151,MATCH(INDEX(FTE_Allocation!$A$2:$A$201,$AB1236),Workforce!$A$2:$A$151,0))*N(INDEX(FTE_Allocation!$F$2:$H$201,$AB1236,$AC1236)),"")))</f>
        <v/>
      </c>
    </row>
    <row r="1237">
      <c r="A1237" s="7">
        <f>IF($Z1237="","",$AD1237)</f>
        <v/>
      </c>
      <c r="B1237" s="7">
        <f>IF($Z1237="C",INDEX(Contracts!$D$2:$D$151,$AB1237)&amp;"",IF($Z1237="A",INDEX(Fixed_Assets!$C$2:$C$201,$AB1237)&amp;"",IF($Z1237="F",INDEX(Workforce!$B$2:$B$151,MATCH(INDEX(FTE_Allocation!$A$2:$A$201,$AB1237),Workforce!$A$2:$A$151,0))&amp;"","")))</f>
        <v/>
      </c>
      <c r="C1237" s="7">
        <f>IF($Z1237="C",INDEX(Contracts!$E$2:$E$151,$AB1237)&amp;"",IF($Z1237="A",INDEX(Fixed_Assets!$D$2:$D$201,$AB1237)&amp;"",IF($Z1237="F",INDEX(FTE_Allocation!$C$2:$C$201,$AB1237)&amp;"","")))</f>
        <v/>
      </c>
      <c r="D1237" s="7">
        <f>IF($Z1237="C",INDEX(Contracts!$B$2:$B$151,$AB1237)&amp;"",IF($Z1237="A",INDEX(Fixed_Assets!$B$2:$B$201,$AB1237)&amp;"",IF($Z1237="F",INDEX(FTE_Allocation!$B$2:$B$201,$AB1237)&amp;"","")))</f>
        <v/>
      </c>
      <c r="E1237" s="7">
        <f>IF($Z1237="C",INDEX(Contracts!$P$2:$P$151,$AB1237)&amp;"",IF($Z1237="A",INDEX(Fixed_Assets!$K$2:$K$201,$AB1237)&amp;"",IF($Z1237="F",IF(INDEX(FTE_Allocation!$D$2:$D$201,$AB1237)="PROJECT",IFERROR(INDEX(Projects!$D:$D,MATCH(INDEX(FTE_Allocation!$E$2:$E$201,$AB1237),Projects!$A:$A,0))&amp;"","#PROJECT?"),INDEX(FTE_Allocation!$E$2:$E$201,$AB1237)&amp;""),"")))</f>
        <v/>
      </c>
      <c r="F1237" s="7">
        <f>IF($Z1237="C",INDEX(Contracts!$Q$2:$Q$151,$AB1237)&amp;"",IF($Z1237="A",INDEX(Fixed_Assets!$L$2:$L$201,$AB1237)&amp;"",IF($Z1237="F",INDEX(Workforce!$K$2:$K$151,MATCH(INDEX(FTE_Allocation!$A$2:$A$201,$AB1237),Workforce!$A$2:$A$151,0))&amp;"","")))</f>
        <v/>
      </c>
      <c r="G1237" s="7">
        <f>IF($Z1237="C",INDEX(Contracts!$F$2:$F$151,$AB1237)&amp;" / "&amp;INDEX(Contracts!$G$2:$G$151,$AB1237),IF($Z1237="A",INDEX(Fixed_Assets!$E$2:$E$201,$AB1237)&amp;"",IF($Z1237="F","Personnel "&amp;INDEX(FTE_Allocation!$A$2:$A$201,$AB1237)&amp;IF(INDEX(FTE_Allocation!$D$2:$D$201,$AB1237)="PROJECT"," ("&amp;INDEX(FTE_Allocation!$E$2:$E$201,$AB1237)&amp;")",""),"")))</f>
        <v/>
      </c>
      <c r="H1237" s="7">
        <f>IF($Z1237="C","CONTRACT",IF($Z1237="A","ASSET",IF($Z1237="F","WORKFORCE","")))</f>
        <v/>
      </c>
      <c r="I1237" s="7">
        <f>IF($Z1237="C",INDEX(Contracts!$L$2:$L$151,$AB1237)&amp;"",IF($Z1237="A",INDEX(Fixed_Assets!$I$2:$I$201,$AB1237)&amp;"",IF($Z1237="F",INDEX(Workforce!$G$2:$G$151,MATCH(INDEX(FTE_Allocation!$A$2:$A$201,$AB1237),Workforce!$A$2:$A$151,0))&amp;"","")))</f>
        <v/>
      </c>
      <c r="J1237" s="18">
        <f>IF($Z1237="","",IF(AND(DATE($AD1237,1,1)&gt;=$AE1237,DATE($AD1237,1,1)&lt;=$AF1237),ROUND($AG1237,2),0))</f>
        <v/>
      </c>
      <c r="K1237" s="18">
        <f>IF($Z1237="","",IF(AND(DATE($AD1237,2,1)&gt;=$AE1237,DATE($AD1237,2,1)&lt;=$AF1237),ROUND($AG1237,2),0))</f>
        <v/>
      </c>
      <c r="L1237" s="18">
        <f>IF($Z1237="","",IF(AND(DATE($AD1237,3,1)&gt;=$AE1237,DATE($AD1237,3,1)&lt;=$AF1237),ROUND($AG1237,2),0))</f>
        <v/>
      </c>
      <c r="M1237" s="18">
        <f>IF($Z1237="","",IF(AND(DATE($AD1237,4,1)&gt;=$AE1237,DATE($AD1237,4,1)&lt;=$AF1237),ROUND($AG1237,2),0))</f>
        <v/>
      </c>
      <c r="N1237" s="18">
        <f>IF($Z1237="","",IF(AND(DATE($AD1237,5,1)&gt;=$AE1237,DATE($AD1237,5,1)&lt;=$AF1237),ROUND($AG1237,2),0))</f>
        <v/>
      </c>
      <c r="O1237" s="18">
        <f>IF($Z1237="","",IF(AND(DATE($AD1237,6,1)&gt;=$AE1237,DATE($AD1237,6,1)&lt;=$AF1237),ROUND($AG1237,2),0))</f>
        <v/>
      </c>
      <c r="P1237" s="18">
        <f>IF($Z1237="","",IF(AND(DATE($AD1237,7,1)&gt;=$AE1237,DATE($AD1237,7,1)&lt;=$AF1237),ROUND($AG1237,2),0))</f>
        <v/>
      </c>
      <c r="Q1237" s="18">
        <f>IF($Z1237="","",IF(AND(DATE($AD1237,8,1)&gt;=$AE1237,DATE($AD1237,8,1)&lt;=$AF1237),ROUND($AG1237,2),0))</f>
        <v/>
      </c>
      <c r="R1237" s="18">
        <f>IF($Z1237="","",IF(AND(DATE($AD1237,9,1)&gt;=$AE1237,DATE($AD1237,9,1)&lt;=$AF1237),ROUND($AG1237,2),0))</f>
        <v/>
      </c>
      <c r="S1237" s="18">
        <f>IF($Z1237="","",IF(AND(DATE($AD1237,10,1)&gt;=$AE1237,DATE($AD1237,10,1)&lt;=$AF1237),ROUND($AG1237,2),0))</f>
        <v/>
      </c>
      <c r="T1237" s="18">
        <f>IF($Z1237="","",IF(AND(DATE($AD1237,11,1)&gt;=$AE1237,DATE($AD1237,11,1)&lt;=$AF1237),ROUND($AG1237,2),0))</f>
        <v/>
      </c>
      <c r="U1237" s="18">
        <f>IF($Z1237="","",IF(AND(DATE($AD1237,12,1)&gt;=$AE1237,DATE($AD1237,12,1)&lt;=$AF1237),ROUND($AG1237,2),0))</f>
        <v/>
      </c>
      <c r="V1237" s="7">
        <f>IF($Z1237="C","Generated from "&amp;INDEX(Contracts!$A$2:$A$151,$AB1237),IF($Z1237="A","Generated from "&amp;INDEX(Fixed_Assets!$A$2:$A$201,$AB1237),IF($Z1237="F","Generated from "&amp;INDEX(FTE_Allocation!$A$2:$A$201,$AB1237),"")))</f>
        <v/>
      </c>
      <c r="X1237" s="19">
        <f>IF($Z1237="","",SUM(J1237:U1237))</f>
        <v/>
      </c>
      <c r="Y1237" s="20">
        <f>ROW()-1</f>
        <v/>
      </c>
      <c r="Z1237" s="20">
        <f>IF($Y1237&lt;=Settings!$B$4*3,"C",IF($Y1237&lt;=(Settings!$B$4+Settings!$B$5)*3,"A",IF($Y1237&lt;=(Settings!$B$4+Settings!$B$5+Settings!$B$6)*3,"F","")))</f>
        <v/>
      </c>
      <c r="AA1237" s="20">
        <f>IF($Z1237="C",$Y1237,IF($Z1237="A",$Y1237-Settings!$B$4*3,IF($Z1237="F",$Y1237-(Settings!$B$4+Settings!$B$5)*3,"")))</f>
        <v/>
      </c>
      <c r="AB1237" s="20">
        <f>IF($Z1237="","",INT(($AA1237-1)/3)+1)</f>
        <v/>
      </c>
      <c r="AC1237" s="20">
        <f>IF($Z1237="","",MOD($AA1237-1,3)+1)</f>
        <v/>
      </c>
      <c r="AD1237" s="20">
        <f>IF($Z1237="","",Settings!$B$2+$AC1237-1)</f>
        <v/>
      </c>
      <c r="AE1237" s="21">
        <f>IF($Z1237="C",DATE(YEAR(INDEX(Contracts!$J$2:$J$151,$AB1237)),MONTH(INDEX(Contracts!$J$2:$J$151,$AB1237)),1),IF($Z1237="A",DATE(YEAR(INDEX(Fixed_Assets!$G$2:$G$201,$AB1237)),MONTH(INDEX(Fixed_Assets!$G$2:$G$201,$AB1237)),1),IF($Z1237="F",DATE(YEAR(MAX(N(INDEX(Workforce!$I$2:$I$151,MATCH(INDEX(FTE_Allocation!$A$2:$A$201,$AB1237),Workforce!$A$2:$A$151,0))),N(INDEX(FTE_Allocation!$I$2:$I$201,$AB1237)))),MONTH(MAX(N(INDEX(Workforce!$I$2:$I$151,MATCH(INDEX(FTE_Allocation!$A$2:$A$201,$AB1237),Workforce!$A$2:$A$151,0))),N(INDEX(FTE_Allocation!$I$2:$I$201,$AB1237)))),1),"")))</f>
        <v/>
      </c>
      <c r="AF1237" s="21">
        <f>IF($Z1237="C",IF(INDEX(Contracts!$I$2:$I$151,$AB1237)="PREPAID",EDATE(DATE(YEAR(INDEX(Contracts!$J$2:$J$151,$AB1237)),MONTH(INDEX(Contracts!$J$2:$J$151,$AB1237)),1),IF(INDEX(Contracts!$N$2:$N$151,$AB1237)="",12,INDEX(Contracts!$N$2:$N$151,$AB1237))-1),IF(INDEX(Contracts!$I$2:$I$151,$AB1237)="MONTHLY",IF(INDEX(Contracts!$K$2:$K$151,$AB1237)="",2958101,INDEX(Contracts!$K$2:$K$151,$AB1237)),0)),IF($Z1237="A",EDATE(DATE(YEAR(INDEX(Fixed_Assets!$G$2:$G$201,$AB1237)),MONTH(INDEX(Fixed_Assets!$G$2:$G$201,$AB1237)),1),INDEX(Fixed_Assets!$J$2:$J$201,$AB1237)-1),IF($Z1237="F",MIN(IF(INDEX(Workforce!$J$2:$J$151,MATCH(INDEX(FTE_Allocation!$A$2:$A$201,$AB1237),Workforce!$A$2:$A$151,0))="",2958101,INDEX(Workforce!$J$2:$J$151,MATCH(INDEX(FTE_Allocation!$A$2:$A$201,$AB1237),Workforce!$A$2:$A$151,0))),IF(INDEX(FTE_Allocation!$J$2:$J$201,$AB1237)="",2958101,INDEX(FTE_Allocation!$J$2:$J$201,$AB1237))),"")))</f>
        <v/>
      </c>
      <c r="AG1237" s="19">
        <f>IF($Z1237="C",IF(INDEX(Contracts!$I$2:$I$151,$AB1237)="PREPAID",INDEX(Contracts!$M$2:$M$151,$AB1237)/IF(INDEX(Contracts!$N$2:$N$151,$AB1237)="",12,INDEX(Contracts!$N$2:$N$151,$AB1237)),IF(INDEX(Contracts!$I$2:$I$151,$AB1237)="MONTHLY",INDEX(Contracts!$M$2:$M$151,$AB1237),0))*(1-N(INDEX(Contracts!$O$2:$O$151,$AB1237))),IF($Z1237="A",INDEX(Fixed_Assets!$H$2:$H$201,$AB1237)/INDEX(Fixed_Assets!$J$2:$J$201,$AB1237),IF($Z1237="F",INDEX(Workforce!$F$2:$F$151,MATCH(INDEX(FTE_Allocation!$A$2:$A$201,$AB1237),Workforce!$A$2:$A$151,0))*N(INDEX(FTE_Allocation!$F$2:$H$201,$AB1237,$AC1237)),"")))</f>
        <v/>
      </c>
    </row>
    <row r="1238">
      <c r="A1238" s="7">
        <f>IF($Z1238="","",$AD1238)</f>
        <v/>
      </c>
      <c r="B1238" s="7">
        <f>IF($Z1238="C",INDEX(Contracts!$D$2:$D$151,$AB1238)&amp;"",IF($Z1238="A",INDEX(Fixed_Assets!$C$2:$C$201,$AB1238)&amp;"",IF($Z1238="F",INDEX(Workforce!$B$2:$B$151,MATCH(INDEX(FTE_Allocation!$A$2:$A$201,$AB1238),Workforce!$A$2:$A$151,0))&amp;"","")))</f>
        <v/>
      </c>
      <c r="C1238" s="7">
        <f>IF($Z1238="C",INDEX(Contracts!$E$2:$E$151,$AB1238)&amp;"",IF($Z1238="A",INDEX(Fixed_Assets!$D$2:$D$201,$AB1238)&amp;"",IF($Z1238="F",INDEX(FTE_Allocation!$C$2:$C$201,$AB1238)&amp;"","")))</f>
        <v/>
      </c>
      <c r="D1238" s="7">
        <f>IF($Z1238="C",INDEX(Contracts!$B$2:$B$151,$AB1238)&amp;"",IF($Z1238="A",INDEX(Fixed_Assets!$B$2:$B$201,$AB1238)&amp;"",IF($Z1238="F",INDEX(FTE_Allocation!$B$2:$B$201,$AB1238)&amp;"","")))</f>
        <v/>
      </c>
      <c r="E1238" s="7">
        <f>IF($Z1238="C",INDEX(Contracts!$P$2:$P$151,$AB1238)&amp;"",IF($Z1238="A",INDEX(Fixed_Assets!$K$2:$K$201,$AB1238)&amp;"",IF($Z1238="F",IF(INDEX(FTE_Allocation!$D$2:$D$201,$AB1238)="PROJECT",IFERROR(INDEX(Projects!$D:$D,MATCH(INDEX(FTE_Allocation!$E$2:$E$201,$AB1238),Projects!$A:$A,0))&amp;"","#PROJECT?"),INDEX(FTE_Allocation!$E$2:$E$201,$AB1238)&amp;""),"")))</f>
        <v/>
      </c>
      <c r="F1238" s="7">
        <f>IF($Z1238="C",INDEX(Contracts!$Q$2:$Q$151,$AB1238)&amp;"",IF($Z1238="A",INDEX(Fixed_Assets!$L$2:$L$201,$AB1238)&amp;"",IF($Z1238="F",INDEX(Workforce!$K$2:$K$151,MATCH(INDEX(FTE_Allocation!$A$2:$A$201,$AB1238),Workforce!$A$2:$A$151,0))&amp;"","")))</f>
        <v/>
      </c>
      <c r="G1238" s="7">
        <f>IF($Z1238="C",INDEX(Contracts!$F$2:$F$151,$AB1238)&amp;" / "&amp;INDEX(Contracts!$G$2:$G$151,$AB1238),IF($Z1238="A",INDEX(Fixed_Assets!$E$2:$E$201,$AB1238)&amp;"",IF($Z1238="F","Personnel "&amp;INDEX(FTE_Allocation!$A$2:$A$201,$AB1238)&amp;IF(INDEX(FTE_Allocation!$D$2:$D$201,$AB1238)="PROJECT"," ("&amp;INDEX(FTE_Allocation!$E$2:$E$201,$AB1238)&amp;")",""),"")))</f>
        <v/>
      </c>
      <c r="H1238" s="7">
        <f>IF($Z1238="C","CONTRACT",IF($Z1238="A","ASSET",IF($Z1238="F","WORKFORCE","")))</f>
        <v/>
      </c>
      <c r="I1238" s="7">
        <f>IF($Z1238="C",INDEX(Contracts!$L$2:$L$151,$AB1238)&amp;"",IF($Z1238="A",INDEX(Fixed_Assets!$I$2:$I$201,$AB1238)&amp;"",IF($Z1238="F",INDEX(Workforce!$G$2:$G$151,MATCH(INDEX(FTE_Allocation!$A$2:$A$201,$AB1238),Workforce!$A$2:$A$151,0))&amp;"","")))</f>
        <v/>
      </c>
      <c r="J1238" s="18">
        <f>IF($Z1238="","",IF(AND(DATE($AD1238,1,1)&gt;=$AE1238,DATE($AD1238,1,1)&lt;=$AF1238),ROUND($AG1238,2),0))</f>
        <v/>
      </c>
      <c r="K1238" s="18">
        <f>IF($Z1238="","",IF(AND(DATE($AD1238,2,1)&gt;=$AE1238,DATE($AD1238,2,1)&lt;=$AF1238),ROUND($AG1238,2),0))</f>
        <v/>
      </c>
      <c r="L1238" s="18">
        <f>IF($Z1238="","",IF(AND(DATE($AD1238,3,1)&gt;=$AE1238,DATE($AD1238,3,1)&lt;=$AF1238),ROUND($AG1238,2),0))</f>
        <v/>
      </c>
      <c r="M1238" s="18">
        <f>IF($Z1238="","",IF(AND(DATE($AD1238,4,1)&gt;=$AE1238,DATE($AD1238,4,1)&lt;=$AF1238),ROUND($AG1238,2),0))</f>
        <v/>
      </c>
      <c r="N1238" s="18">
        <f>IF($Z1238="","",IF(AND(DATE($AD1238,5,1)&gt;=$AE1238,DATE($AD1238,5,1)&lt;=$AF1238),ROUND($AG1238,2),0))</f>
        <v/>
      </c>
      <c r="O1238" s="18">
        <f>IF($Z1238="","",IF(AND(DATE($AD1238,6,1)&gt;=$AE1238,DATE($AD1238,6,1)&lt;=$AF1238),ROUND($AG1238,2),0))</f>
        <v/>
      </c>
      <c r="P1238" s="18">
        <f>IF($Z1238="","",IF(AND(DATE($AD1238,7,1)&gt;=$AE1238,DATE($AD1238,7,1)&lt;=$AF1238),ROUND($AG1238,2),0))</f>
        <v/>
      </c>
      <c r="Q1238" s="18">
        <f>IF($Z1238="","",IF(AND(DATE($AD1238,8,1)&gt;=$AE1238,DATE($AD1238,8,1)&lt;=$AF1238),ROUND($AG1238,2),0))</f>
        <v/>
      </c>
      <c r="R1238" s="18">
        <f>IF($Z1238="","",IF(AND(DATE($AD1238,9,1)&gt;=$AE1238,DATE($AD1238,9,1)&lt;=$AF1238),ROUND($AG1238,2),0))</f>
        <v/>
      </c>
      <c r="S1238" s="18">
        <f>IF($Z1238="","",IF(AND(DATE($AD1238,10,1)&gt;=$AE1238,DATE($AD1238,10,1)&lt;=$AF1238),ROUND($AG1238,2),0))</f>
        <v/>
      </c>
      <c r="T1238" s="18">
        <f>IF($Z1238="","",IF(AND(DATE($AD1238,11,1)&gt;=$AE1238,DATE($AD1238,11,1)&lt;=$AF1238),ROUND($AG1238,2),0))</f>
        <v/>
      </c>
      <c r="U1238" s="18">
        <f>IF($Z1238="","",IF(AND(DATE($AD1238,12,1)&gt;=$AE1238,DATE($AD1238,12,1)&lt;=$AF1238),ROUND($AG1238,2),0))</f>
        <v/>
      </c>
      <c r="V1238" s="7">
        <f>IF($Z1238="C","Generated from "&amp;INDEX(Contracts!$A$2:$A$151,$AB1238),IF($Z1238="A","Generated from "&amp;INDEX(Fixed_Assets!$A$2:$A$201,$AB1238),IF($Z1238="F","Generated from "&amp;INDEX(FTE_Allocation!$A$2:$A$201,$AB1238),"")))</f>
        <v/>
      </c>
      <c r="X1238" s="19">
        <f>IF($Z1238="","",SUM(J1238:U1238))</f>
        <v/>
      </c>
      <c r="Y1238" s="20">
        <f>ROW()-1</f>
        <v/>
      </c>
      <c r="Z1238" s="20">
        <f>IF($Y1238&lt;=Settings!$B$4*3,"C",IF($Y1238&lt;=(Settings!$B$4+Settings!$B$5)*3,"A",IF($Y1238&lt;=(Settings!$B$4+Settings!$B$5+Settings!$B$6)*3,"F","")))</f>
        <v/>
      </c>
      <c r="AA1238" s="20">
        <f>IF($Z1238="C",$Y1238,IF($Z1238="A",$Y1238-Settings!$B$4*3,IF($Z1238="F",$Y1238-(Settings!$B$4+Settings!$B$5)*3,"")))</f>
        <v/>
      </c>
      <c r="AB1238" s="20">
        <f>IF($Z1238="","",INT(($AA1238-1)/3)+1)</f>
        <v/>
      </c>
      <c r="AC1238" s="20">
        <f>IF($Z1238="","",MOD($AA1238-1,3)+1)</f>
        <v/>
      </c>
      <c r="AD1238" s="20">
        <f>IF($Z1238="","",Settings!$B$2+$AC1238-1)</f>
        <v/>
      </c>
      <c r="AE1238" s="21">
        <f>IF($Z1238="C",DATE(YEAR(INDEX(Contracts!$J$2:$J$151,$AB1238)),MONTH(INDEX(Contracts!$J$2:$J$151,$AB1238)),1),IF($Z1238="A",DATE(YEAR(INDEX(Fixed_Assets!$G$2:$G$201,$AB1238)),MONTH(INDEX(Fixed_Assets!$G$2:$G$201,$AB1238)),1),IF($Z1238="F",DATE(YEAR(MAX(N(INDEX(Workforce!$I$2:$I$151,MATCH(INDEX(FTE_Allocation!$A$2:$A$201,$AB1238),Workforce!$A$2:$A$151,0))),N(INDEX(FTE_Allocation!$I$2:$I$201,$AB1238)))),MONTH(MAX(N(INDEX(Workforce!$I$2:$I$151,MATCH(INDEX(FTE_Allocation!$A$2:$A$201,$AB1238),Workforce!$A$2:$A$151,0))),N(INDEX(FTE_Allocation!$I$2:$I$201,$AB1238)))),1),"")))</f>
        <v/>
      </c>
      <c r="AF1238" s="21">
        <f>IF($Z1238="C",IF(INDEX(Contracts!$I$2:$I$151,$AB1238)="PREPAID",EDATE(DATE(YEAR(INDEX(Contracts!$J$2:$J$151,$AB1238)),MONTH(INDEX(Contracts!$J$2:$J$151,$AB1238)),1),IF(INDEX(Contracts!$N$2:$N$151,$AB1238)="",12,INDEX(Contracts!$N$2:$N$151,$AB1238))-1),IF(INDEX(Contracts!$I$2:$I$151,$AB1238)="MONTHLY",IF(INDEX(Contracts!$K$2:$K$151,$AB1238)="",2958101,INDEX(Contracts!$K$2:$K$151,$AB1238)),0)),IF($Z1238="A",EDATE(DATE(YEAR(INDEX(Fixed_Assets!$G$2:$G$201,$AB1238)),MONTH(INDEX(Fixed_Assets!$G$2:$G$201,$AB1238)),1),INDEX(Fixed_Assets!$J$2:$J$201,$AB1238)-1),IF($Z1238="F",MIN(IF(INDEX(Workforce!$J$2:$J$151,MATCH(INDEX(FTE_Allocation!$A$2:$A$201,$AB1238),Workforce!$A$2:$A$151,0))="",2958101,INDEX(Workforce!$J$2:$J$151,MATCH(INDEX(FTE_Allocation!$A$2:$A$201,$AB1238),Workforce!$A$2:$A$151,0))),IF(INDEX(FTE_Allocation!$J$2:$J$201,$AB1238)="",2958101,INDEX(FTE_Allocation!$J$2:$J$201,$AB1238))),"")))</f>
        <v/>
      </c>
      <c r="AG1238" s="19">
        <f>IF($Z1238="C",IF(INDEX(Contracts!$I$2:$I$151,$AB1238)="PREPAID",INDEX(Contracts!$M$2:$M$151,$AB1238)/IF(INDEX(Contracts!$N$2:$N$151,$AB1238)="",12,INDEX(Contracts!$N$2:$N$151,$AB1238)),IF(INDEX(Contracts!$I$2:$I$151,$AB1238)="MONTHLY",INDEX(Contracts!$M$2:$M$151,$AB1238),0))*(1-N(INDEX(Contracts!$O$2:$O$151,$AB1238))),IF($Z1238="A",INDEX(Fixed_Assets!$H$2:$H$201,$AB1238)/INDEX(Fixed_Assets!$J$2:$J$201,$AB1238),IF($Z1238="F",INDEX(Workforce!$F$2:$F$151,MATCH(INDEX(FTE_Allocation!$A$2:$A$201,$AB1238),Workforce!$A$2:$A$151,0))*N(INDEX(FTE_Allocation!$F$2:$H$201,$AB1238,$AC1238)),"")))</f>
        <v/>
      </c>
    </row>
    <row r="1239">
      <c r="A1239" s="7">
        <f>IF($Z1239="","",$AD1239)</f>
        <v/>
      </c>
      <c r="B1239" s="7">
        <f>IF($Z1239="C",INDEX(Contracts!$D$2:$D$151,$AB1239)&amp;"",IF($Z1239="A",INDEX(Fixed_Assets!$C$2:$C$201,$AB1239)&amp;"",IF($Z1239="F",INDEX(Workforce!$B$2:$B$151,MATCH(INDEX(FTE_Allocation!$A$2:$A$201,$AB1239),Workforce!$A$2:$A$151,0))&amp;"","")))</f>
        <v/>
      </c>
      <c r="C1239" s="7">
        <f>IF($Z1239="C",INDEX(Contracts!$E$2:$E$151,$AB1239)&amp;"",IF($Z1239="A",INDEX(Fixed_Assets!$D$2:$D$201,$AB1239)&amp;"",IF($Z1239="F",INDEX(FTE_Allocation!$C$2:$C$201,$AB1239)&amp;"","")))</f>
        <v/>
      </c>
      <c r="D1239" s="7">
        <f>IF($Z1239="C",INDEX(Contracts!$B$2:$B$151,$AB1239)&amp;"",IF($Z1239="A",INDEX(Fixed_Assets!$B$2:$B$201,$AB1239)&amp;"",IF($Z1239="F",INDEX(FTE_Allocation!$B$2:$B$201,$AB1239)&amp;"","")))</f>
        <v/>
      </c>
      <c r="E1239" s="7">
        <f>IF($Z1239="C",INDEX(Contracts!$P$2:$P$151,$AB1239)&amp;"",IF($Z1239="A",INDEX(Fixed_Assets!$K$2:$K$201,$AB1239)&amp;"",IF($Z1239="F",IF(INDEX(FTE_Allocation!$D$2:$D$201,$AB1239)="PROJECT",IFERROR(INDEX(Projects!$D:$D,MATCH(INDEX(FTE_Allocation!$E$2:$E$201,$AB1239),Projects!$A:$A,0))&amp;"","#PROJECT?"),INDEX(FTE_Allocation!$E$2:$E$201,$AB1239)&amp;""),"")))</f>
        <v/>
      </c>
      <c r="F1239" s="7">
        <f>IF($Z1239="C",INDEX(Contracts!$Q$2:$Q$151,$AB1239)&amp;"",IF($Z1239="A",INDEX(Fixed_Assets!$L$2:$L$201,$AB1239)&amp;"",IF($Z1239="F",INDEX(Workforce!$K$2:$K$151,MATCH(INDEX(FTE_Allocation!$A$2:$A$201,$AB1239),Workforce!$A$2:$A$151,0))&amp;"","")))</f>
        <v/>
      </c>
      <c r="G1239" s="7">
        <f>IF($Z1239="C",INDEX(Contracts!$F$2:$F$151,$AB1239)&amp;" / "&amp;INDEX(Contracts!$G$2:$G$151,$AB1239),IF($Z1239="A",INDEX(Fixed_Assets!$E$2:$E$201,$AB1239)&amp;"",IF($Z1239="F","Personnel "&amp;INDEX(FTE_Allocation!$A$2:$A$201,$AB1239)&amp;IF(INDEX(FTE_Allocation!$D$2:$D$201,$AB1239)="PROJECT"," ("&amp;INDEX(FTE_Allocation!$E$2:$E$201,$AB1239)&amp;")",""),"")))</f>
        <v/>
      </c>
      <c r="H1239" s="7">
        <f>IF($Z1239="C","CONTRACT",IF($Z1239="A","ASSET",IF($Z1239="F","WORKFORCE","")))</f>
        <v/>
      </c>
      <c r="I1239" s="7">
        <f>IF($Z1239="C",INDEX(Contracts!$L$2:$L$151,$AB1239)&amp;"",IF($Z1239="A",INDEX(Fixed_Assets!$I$2:$I$201,$AB1239)&amp;"",IF($Z1239="F",INDEX(Workforce!$G$2:$G$151,MATCH(INDEX(FTE_Allocation!$A$2:$A$201,$AB1239),Workforce!$A$2:$A$151,0))&amp;"","")))</f>
        <v/>
      </c>
      <c r="J1239" s="18">
        <f>IF($Z1239="","",IF(AND(DATE($AD1239,1,1)&gt;=$AE1239,DATE($AD1239,1,1)&lt;=$AF1239),ROUND($AG1239,2),0))</f>
        <v/>
      </c>
      <c r="K1239" s="18">
        <f>IF($Z1239="","",IF(AND(DATE($AD1239,2,1)&gt;=$AE1239,DATE($AD1239,2,1)&lt;=$AF1239),ROUND($AG1239,2),0))</f>
        <v/>
      </c>
      <c r="L1239" s="18">
        <f>IF($Z1239="","",IF(AND(DATE($AD1239,3,1)&gt;=$AE1239,DATE($AD1239,3,1)&lt;=$AF1239),ROUND($AG1239,2),0))</f>
        <v/>
      </c>
      <c r="M1239" s="18">
        <f>IF($Z1239="","",IF(AND(DATE($AD1239,4,1)&gt;=$AE1239,DATE($AD1239,4,1)&lt;=$AF1239),ROUND($AG1239,2),0))</f>
        <v/>
      </c>
      <c r="N1239" s="18">
        <f>IF($Z1239="","",IF(AND(DATE($AD1239,5,1)&gt;=$AE1239,DATE($AD1239,5,1)&lt;=$AF1239),ROUND($AG1239,2),0))</f>
        <v/>
      </c>
      <c r="O1239" s="18">
        <f>IF($Z1239="","",IF(AND(DATE($AD1239,6,1)&gt;=$AE1239,DATE($AD1239,6,1)&lt;=$AF1239),ROUND($AG1239,2),0))</f>
        <v/>
      </c>
      <c r="P1239" s="18">
        <f>IF($Z1239="","",IF(AND(DATE($AD1239,7,1)&gt;=$AE1239,DATE($AD1239,7,1)&lt;=$AF1239),ROUND($AG1239,2),0))</f>
        <v/>
      </c>
      <c r="Q1239" s="18">
        <f>IF($Z1239="","",IF(AND(DATE($AD1239,8,1)&gt;=$AE1239,DATE($AD1239,8,1)&lt;=$AF1239),ROUND($AG1239,2),0))</f>
        <v/>
      </c>
      <c r="R1239" s="18">
        <f>IF($Z1239="","",IF(AND(DATE($AD1239,9,1)&gt;=$AE1239,DATE($AD1239,9,1)&lt;=$AF1239),ROUND($AG1239,2),0))</f>
        <v/>
      </c>
      <c r="S1239" s="18">
        <f>IF($Z1239="","",IF(AND(DATE($AD1239,10,1)&gt;=$AE1239,DATE($AD1239,10,1)&lt;=$AF1239),ROUND($AG1239,2),0))</f>
        <v/>
      </c>
      <c r="T1239" s="18">
        <f>IF($Z1239="","",IF(AND(DATE($AD1239,11,1)&gt;=$AE1239,DATE($AD1239,11,1)&lt;=$AF1239),ROUND($AG1239,2),0))</f>
        <v/>
      </c>
      <c r="U1239" s="18">
        <f>IF($Z1239="","",IF(AND(DATE($AD1239,12,1)&gt;=$AE1239,DATE($AD1239,12,1)&lt;=$AF1239),ROUND($AG1239,2),0))</f>
        <v/>
      </c>
      <c r="V1239" s="7">
        <f>IF($Z1239="C","Generated from "&amp;INDEX(Contracts!$A$2:$A$151,$AB1239),IF($Z1239="A","Generated from "&amp;INDEX(Fixed_Assets!$A$2:$A$201,$AB1239),IF($Z1239="F","Generated from "&amp;INDEX(FTE_Allocation!$A$2:$A$201,$AB1239),"")))</f>
        <v/>
      </c>
      <c r="X1239" s="19">
        <f>IF($Z1239="","",SUM(J1239:U1239))</f>
        <v/>
      </c>
      <c r="Y1239" s="20">
        <f>ROW()-1</f>
        <v/>
      </c>
      <c r="Z1239" s="20">
        <f>IF($Y1239&lt;=Settings!$B$4*3,"C",IF($Y1239&lt;=(Settings!$B$4+Settings!$B$5)*3,"A",IF($Y1239&lt;=(Settings!$B$4+Settings!$B$5+Settings!$B$6)*3,"F","")))</f>
        <v/>
      </c>
      <c r="AA1239" s="20">
        <f>IF($Z1239="C",$Y1239,IF($Z1239="A",$Y1239-Settings!$B$4*3,IF($Z1239="F",$Y1239-(Settings!$B$4+Settings!$B$5)*3,"")))</f>
        <v/>
      </c>
      <c r="AB1239" s="20">
        <f>IF($Z1239="","",INT(($AA1239-1)/3)+1)</f>
        <v/>
      </c>
      <c r="AC1239" s="20">
        <f>IF($Z1239="","",MOD($AA1239-1,3)+1)</f>
        <v/>
      </c>
      <c r="AD1239" s="20">
        <f>IF($Z1239="","",Settings!$B$2+$AC1239-1)</f>
        <v/>
      </c>
      <c r="AE1239" s="21">
        <f>IF($Z1239="C",DATE(YEAR(INDEX(Contracts!$J$2:$J$151,$AB1239)),MONTH(INDEX(Contracts!$J$2:$J$151,$AB1239)),1),IF($Z1239="A",DATE(YEAR(INDEX(Fixed_Assets!$G$2:$G$201,$AB1239)),MONTH(INDEX(Fixed_Assets!$G$2:$G$201,$AB1239)),1),IF($Z1239="F",DATE(YEAR(MAX(N(INDEX(Workforce!$I$2:$I$151,MATCH(INDEX(FTE_Allocation!$A$2:$A$201,$AB1239),Workforce!$A$2:$A$151,0))),N(INDEX(FTE_Allocation!$I$2:$I$201,$AB1239)))),MONTH(MAX(N(INDEX(Workforce!$I$2:$I$151,MATCH(INDEX(FTE_Allocation!$A$2:$A$201,$AB1239),Workforce!$A$2:$A$151,0))),N(INDEX(FTE_Allocation!$I$2:$I$201,$AB1239)))),1),"")))</f>
        <v/>
      </c>
      <c r="AF1239" s="21">
        <f>IF($Z1239="C",IF(INDEX(Contracts!$I$2:$I$151,$AB1239)="PREPAID",EDATE(DATE(YEAR(INDEX(Contracts!$J$2:$J$151,$AB1239)),MONTH(INDEX(Contracts!$J$2:$J$151,$AB1239)),1),IF(INDEX(Contracts!$N$2:$N$151,$AB1239)="",12,INDEX(Contracts!$N$2:$N$151,$AB1239))-1),IF(INDEX(Contracts!$I$2:$I$151,$AB1239)="MONTHLY",IF(INDEX(Contracts!$K$2:$K$151,$AB1239)="",2958101,INDEX(Contracts!$K$2:$K$151,$AB1239)),0)),IF($Z1239="A",EDATE(DATE(YEAR(INDEX(Fixed_Assets!$G$2:$G$201,$AB1239)),MONTH(INDEX(Fixed_Assets!$G$2:$G$201,$AB1239)),1),INDEX(Fixed_Assets!$J$2:$J$201,$AB1239)-1),IF($Z1239="F",MIN(IF(INDEX(Workforce!$J$2:$J$151,MATCH(INDEX(FTE_Allocation!$A$2:$A$201,$AB1239),Workforce!$A$2:$A$151,0))="",2958101,INDEX(Workforce!$J$2:$J$151,MATCH(INDEX(FTE_Allocation!$A$2:$A$201,$AB1239),Workforce!$A$2:$A$151,0))),IF(INDEX(FTE_Allocation!$J$2:$J$201,$AB1239)="",2958101,INDEX(FTE_Allocation!$J$2:$J$201,$AB1239))),"")))</f>
        <v/>
      </c>
      <c r="AG1239" s="19">
        <f>IF($Z1239="C",IF(INDEX(Contracts!$I$2:$I$151,$AB1239)="PREPAID",INDEX(Contracts!$M$2:$M$151,$AB1239)/IF(INDEX(Contracts!$N$2:$N$151,$AB1239)="",12,INDEX(Contracts!$N$2:$N$151,$AB1239)),IF(INDEX(Contracts!$I$2:$I$151,$AB1239)="MONTHLY",INDEX(Contracts!$M$2:$M$151,$AB1239),0))*(1-N(INDEX(Contracts!$O$2:$O$151,$AB1239))),IF($Z1239="A",INDEX(Fixed_Assets!$H$2:$H$201,$AB1239)/INDEX(Fixed_Assets!$J$2:$J$201,$AB1239),IF($Z1239="F",INDEX(Workforce!$F$2:$F$151,MATCH(INDEX(FTE_Allocation!$A$2:$A$201,$AB1239),Workforce!$A$2:$A$151,0))*N(INDEX(FTE_Allocation!$F$2:$H$201,$AB1239,$AC1239)),"")))</f>
        <v/>
      </c>
    </row>
    <row r="1240">
      <c r="A1240" s="7">
        <f>IF($Z1240="","",$AD1240)</f>
        <v/>
      </c>
      <c r="B1240" s="7">
        <f>IF($Z1240="C",INDEX(Contracts!$D$2:$D$151,$AB1240)&amp;"",IF($Z1240="A",INDEX(Fixed_Assets!$C$2:$C$201,$AB1240)&amp;"",IF($Z1240="F",INDEX(Workforce!$B$2:$B$151,MATCH(INDEX(FTE_Allocation!$A$2:$A$201,$AB1240),Workforce!$A$2:$A$151,0))&amp;"","")))</f>
        <v/>
      </c>
      <c r="C1240" s="7">
        <f>IF($Z1240="C",INDEX(Contracts!$E$2:$E$151,$AB1240)&amp;"",IF($Z1240="A",INDEX(Fixed_Assets!$D$2:$D$201,$AB1240)&amp;"",IF($Z1240="F",INDEX(FTE_Allocation!$C$2:$C$201,$AB1240)&amp;"","")))</f>
        <v/>
      </c>
      <c r="D1240" s="7">
        <f>IF($Z1240="C",INDEX(Contracts!$B$2:$B$151,$AB1240)&amp;"",IF($Z1240="A",INDEX(Fixed_Assets!$B$2:$B$201,$AB1240)&amp;"",IF($Z1240="F",INDEX(FTE_Allocation!$B$2:$B$201,$AB1240)&amp;"","")))</f>
        <v/>
      </c>
      <c r="E1240" s="7">
        <f>IF($Z1240="C",INDEX(Contracts!$P$2:$P$151,$AB1240)&amp;"",IF($Z1240="A",INDEX(Fixed_Assets!$K$2:$K$201,$AB1240)&amp;"",IF($Z1240="F",IF(INDEX(FTE_Allocation!$D$2:$D$201,$AB1240)="PROJECT",IFERROR(INDEX(Projects!$D:$D,MATCH(INDEX(FTE_Allocation!$E$2:$E$201,$AB1240),Projects!$A:$A,0))&amp;"","#PROJECT?"),INDEX(FTE_Allocation!$E$2:$E$201,$AB1240)&amp;""),"")))</f>
        <v/>
      </c>
      <c r="F1240" s="7">
        <f>IF($Z1240="C",INDEX(Contracts!$Q$2:$Q$151,$AB1240)&amp;"",IF($Z1240="A",INDEX(Fixed_Assets!$L$2:$L$201,$AB1240)&amp;"",IF($Z1240="F",INDEX(Workforce!$K$2:$K$151,MATCH(INDEX(FTE_Allocation!$A$2:$A$201,$AB1240),Workforce!$A$2:$A$151,0))&amp;"","")))</f>
        <v/>
      </c>
      <c r="G1240" s="7">
        <f>IF($Z1240="C",INDEX(Contracts!$F$2:$F$151,$AB1240)&amp;" / "&amp;INDEX(Contracts!$G$2:$G$151,$AB1240),IF($Z1240="A",INDEX(Fixed_Assets!$E$2:$E$201,$AB1240)&amp;"",IF($Z1240="F","Personnel "&amp;INDEX(FTE_Allocation!$A$2:$A$201,$AB1240)&amp;IF(INDEX(FTE_Allocation!$D$2:$D$201,$AB1240)="PROJECT"," ("&amp;INDEX(FTE_Allocation!$E$2:$E$201,$AB1240)&amp;")",""),"")))</f>
        <v/>
      </c>
      <c r="H1240" s="7">
        <f>IF($Z1240="C","CONTRACT",IF($Z1240="A","ASSET",IF($Z1240="F","WORKFORCE","")))</f>
        <v/>
      </c>
      <c r="I1240" s="7">
        <f>IF($Z1240="C",INDEX(Contracts!$L$2:$L$151,$AB1240)&amp;"",IF($Z1240="A",INDEX(Fixed_Assets!$I$2:$I$201,$AB1240)&amp;"",IF($Z1240="F",INDEX(Workforce!$G$2:$G$151,MATCH(INDEX(FTE_Allocation!$A$2:$A$201,$AB1240),Workforce!$A$2:$A$151,0))&amp;"","")))</f>
        <v/>
      </c>
      <c r="J1240" s="18">
        <f>IF($Z1240="","",IF(AND(DATE($AD1240,1,1)&gt;=$AE1240,DATE($AD1240,1,1)&lt;=$AF1240),ROUND($AG1240,2),0))</f>
        <v/>
      </c>
      <c r="K1240" s="18">
        <f>IF($Z1240="","",IF(AND(DATE($AD1240,2,1)&gt;=$AE1240,DATE($AD1240,2,1)&lt;=$AF1240),ROUND($AG1240,2),0))</f>
        <v/>
      </c>
      <c r="L1240" s="18">
        <f>IF($Z1240="","",IF(AND(DATE($AD1240,3,1)&gt;=$AE1240,DATE($AD1240,3,1)&lt;=$AF1240),ROUND($AG1240,2),0))</f>
        <v/>
      </c>
      <c r="M1240" s="18">
        <f>IF($Z1240="","",IF(AND(DATE($AD1240,4,1)&gt;=$AE1240,DATE($AD1240,4,1)&lt;=$AF1240),ROUND($AG1240,2),0))</f>
        <v/>
      </c>
      <c r="N1240" s="18">
        <f>IF($Z1240="","",IF(AND(DATE($AD1240,5,1)&gt;=$AE1240,DATE($AD1240,5,1)&lt;=$AF1240),ROUND($AG1240,2),0))</f>
        <v/>
      </c>
      <c r="O1240" s="18">
        <f>IF($Z1240="","",IF(AND(DATE($AD1240,6,1)&gt;=$AE1240,DATE($AD1240,6,1)&lt;=$AF1240),ROUND($AG1240,2),0))</f>
        <v/>
      </c>
      <c r="P1240" s="18">
        <f>IF($Z1240="","",IF(AND(DATE($AD1240,7,1)&gt;=$AE1240,DATE($AD1240,7,1)&lt;=$AF1240),ROUND($AG1240,2),0))</f>
        <v/>
      </c>
      <c r="Q1240" s="18">
        <f>IF($Z1240="","",IF(AND(DATE($AD1240,8,1)&gt;=$AE1240,DATE($AD1240,8,1)&lt;=$AF1240),ROUND($AG1240,2),0))</f>
        <v/>
      </c>
      <c r="R1240" s="18">
        <f>IF($Z1240="","",IF(AND(DATE($AD1240,9,1)&gt;=$AE1240,DATE($AD1240,9,1)&lt;=$AF1240),ROUND($AG1240,2),0))</f>
        <v/>
      </c>
      <c r="S1240" s="18">
        <f>IF($Z1240="","",IF(AND(DATE($AD1240,10,1)&gt;=$AE1240,DATE($AD1240,10,1)&lt;=$AF1240),ROUND($AG1240,2),0))</f>
        <v/>
      </c>
      <c r="T1240" s="18">
        <f>IF($Z1240="","",IF(AND(DATE($AD1240,11,1)&gt;=$AE1240,DATE($AD1240,11,1)&lt;=$AF1240),ROUND($AG1240,2),0))</f>
        <v/>
      </c>
      <c r="U1240" s="18">
        <f>IF($Z1240="","",IF(AND(DATE($AD1240,12,1)&gt;=$AE1240,DATE($AD1240,12,1)&lt;=$AF1240),ROUND($AG1240,2),0))</f>
        <v/>
      </c>
      <c r="V1240" s="7">
        <f>IF($Z1240="C","Generated from "&amp;INDEX(Contracts!$A$2:$A$151,$AB1240),IF($Z1240="A","Generated from "&amp;INDEX(Fixed_Assets!$A$2:$A$201,$AB1240),IF($Z1240="F","Generated from "&amp;INDEX(FTE_Allocation!$A$2:$A$201,$AB1240),"")))</f>
        <v/>
      </c>
      <c r="X1240" s="19">
        <f>IF($Z1240="","",SUM(J1240:U1240))</f>
        <v/>
      </c>
      <c r="Y1240" s="20">
        <f>ROW()-1</f>
        <v/>
      </c>
      <c r="Z1240" s="20">
        <f>IF($Y1240&lt;=Settings!$B$4*3,"C",IF($Y1240&lt;=(Settings!$B$4+Settings!$B$5)*3,"A",IF($Y1240&lt;=(Settings!$B$4+Settings!$B$5+Settings!$B$6)*3,"F","")))</f>
        <v/>
      </c>
      <c r="AA1240" s="20">
        <f>IF($Z1240="C",$Y1240,IF($Z1240="A",$Y1240-Settings!$B$4*3,IF($Z1240="F",$Y1240-(Settings!$B$4+Settings!$B$5)*3,"")))</f>
        <v/>
      </c>
      <c r="AB1240" s="20">
        <f>IF($Z1240="","",INT(($AA1240-1)/3)+1)</f>
        <v/>
      </c>
      <c r="AC1240" s="20">
        <f>IF($Z1240="","",MOD($AA1240-1,3)+1)</f>
        <v/>
      </c>
      <c r="AD1240" s="20">
        <f>IF($Z1240="","",Settings!$B$2+$AC1240-1)</f>
        <v/>
      </c>
      <c r="AE1240" s="21">
        <f>IF($Z1240="C",DATE(YEAR(INDEX(Contracts!$J$2:$J$151,$AB1240)),MONTH(INDEX(Contracts!$J$2:$J$151,$AB1240)),1),IF($Z1240="A",DATE(YEAR(INDEX(Fixed_Assets!$G$2:$G$201,$AB1240)),MONTH(INDEX(Fixed_Assets!$G$2:$G$201,$AB1240)),1),IF($Z1240="F",DATE(YEAR(MAX(N(INDEX(Workforce!$I$2:$I$151,MATCH(INDEX(FTE_Allocation!$A$2:$A$201,$AB1240),Workforce!$A$2:$A$151,0))),N(INDEX(FTE_Allocation!$I$2:$I$201,$AB1240)))),MONTH(MAX(N(INDEX(Workforce!$I$2:$I$151,MATCH(INDEX(FTE_Allocation!$A$2:$A$201,$AB1240),Workforce!$A$2:$A$151,0))),N(INDEX(FTE_Allocation!$I$2:$I$201,$AB1240)))),1),"")))</f>
        <v/>
      </c>
      <c r="AF1240" s="21">
        <f>IF($Z1240="C",IF(INDEX(Contracts!$I$2:$I$151,$AB1240)="PREPAID",EDATE(DATE(YEAR(INDEX(Contracts!$J$2:$J$151,$AB1240)),MONTH(INDEX(Contracts!$J$2:$J$151,$AB1240)),1),IF(INDEX(Contracts!$N$2:$N$151,$AB1240)="",12,INDEX(Contracts!$N$2:$N$151,$AB1240))-1),IF(INDEX(Contracts!$I$2:$I$151,$AB1240)="MONTHLY",IF(INDEX(Contracts!$K$2:$K$151,$AB1240)="",2958101,INDEX(Contracts!$K$2:$K$151,$AB1240)),0)),IF($Z1240="A",EDATE(DATE(YEAR(INDEX(Fixed_Assets!$G$2:$G$201,$AB1240)),MONTH(INDEX(Fixed_Assets!$G$2:$G$201,$AB1240)),1),INDEX(Fixed_Assets!$J$2:$J$201,$AB1240)-1),IF($Z1240="F",MIN(IF(INDEX(Workforce!$J$2:$J$151,MATCH(INDEX(FTE_Allocation!$A$2:$A$201,$AB1240),Workforce!$A$2:$A$151,0))="",2958101,INDEX(Workforce!$J$2:$J$151,MATCH(INDEX(FTE_Allocation!$A$2:$A$201,$AB1240),Workforce!$A$2:$A$151,0))),IF(INDEX(FTE_Allocation!$J$2:$J$201,$AB1240)="",2958101,INDEX(FTE_Allocation!$J$2:$J$201,$AB1240))),"")))</f>
        <v/>
      </c>
      <c r="AG1240" s="19">
        <f>IF($Z1240="C",IF(INDEX(Contracts!$I$2:$I$151,$AB1240)="PREPAID",INDEX(Contracts!$M$2:$M$151,$AB1240)/IF(INDEX(Contracts!$N$2:$N$151,$AB1240)="",12,INDEX(Contracts!$N$2:$N$151,$AB1240)),IF(INDEX(Contracts!$I$2:$I$151,$AB1240)="MONTHLY",INDEX(Contracts!$M$2:$M$151,$AB1240),0))*(1-N(INDEX(Contracts!$O$2:$O$151,$AB1240))),IF($Z1240="A",INDEX(Fixed_Assets!$H$2:$H$201,$AB1240)/INDEX(Fixed_Assets!$J$2:$J$201,$AB1240),IF($Z1240="F",INDEX(Workforce!$F$2:$F$151,MATCH(INDEX(FTE_Allocation!$A$2:$A$201,$AB1240),Workforce!$A$2:$A$151,0))*N(INDEX(FTE_Allocation!$F$2:$H$201,$AB1240,$AC1240)),"")))</f>
        <v/>
      </c>
    </row>
    <row r="1241">
      <c r="A1241" s="7">
        <f>IF($Z1241="","",$AD1241)</f>
        <v/>
      </c>
      <c r="B1241" s="7">
        <f>IF($Z1241="C",INDEX(Contracts!$D$2:$D$151,$AB1241)&amp;"",IF($Z1241="A",INDEX(Fixed_Assets!$C$2:$C$201,$AB1241)&amp;"",IF($Z1241="F",INDEX(Workforce!$B$2:$B$151,MATCH(INDEX(FTE_Allocation!$A$2:$A$201,$AB1241),Workforce!$A$2:$A$151,0))&amp;"","")))</f>
        <v/>
      </c>
      <c r="C1241" s="7">
        <f>IF($Z1241="C",INDEX(Contracts!$E$2:$E$151,$AB1241)&amp;"",IF($Z1241="A",INDEX(Fixed_Assets!$D$2:$D$201,$AB1241)&amp;"",IF($Z1241="F",INDEX(FTE_Allocation!$C$2:$C$201,$AB1241)&amp;"","")))</f>
        <v/>
      </c>
      <c r="D1241" s="7">
        <f>IF($Z1241="C",INDEX(Contracts!$B$2:$B$151,$AB1241)&amp;"",IF($Z1241="A",INDEX(Fixed_Assets!$B$2:$B$201,$AB1241)&amp;"",IF($Z1241="F",INDEX(FTE_Allocation!$B$2:$B$201,$AB1241)&amp;"","")))</f>
        <v/>
      </c>
      <c r="E1241" s="7">
        <f>IF($Z1241="C",INDEX(Contracts!$P$2:$P$151,$AB1241)&amp;"",IF($Z1241="A",INDEX(Fixed_Assets!$K$2:$K$201,$AB1241)&amp;"",IF($Z1241="F",IF(INDEX(FTE_Allocation!$D$2:$D$201,$AB1241)="PROJECT",IFERROR(INDEX(Projects!$D:$D,MATCH(INDEX(FTE_Allocation!$E$2:$E$201,$AB1241),Projects!$A:$A,0))&amp;"","#PROJECT?"),INDEX(FTE_Allocation!$E$2:$E$201,$AB1241)&amp;""),"")))</f>
        <v/>
      </c>
      <c r="F1241" s="7">
        <f>IF($Z1241="C",INDEX(Contracts!$Q$2:$Q$151,$AB1241)&amp;"",IF($Z1241="A",INDEX(Fixed_Assets!$L$2:$L$201,$AB1241)&amp;"",IF($Z1241="F",INDEX(Workforce!$K$2:$K$151,MATCH(INDEX(FTE_Allocation!$A$2:$A$201,$AB1241),Workforce!$A$2:$A$151,0))&amp;"","")))</f>
        <v/>
      </c>
      <c r="G1241" s="7">
        <f>IF($Z1241="C",INDEX(Contracts!$F$2:$F$151,$AB1241)&amp;" / "&amp;INDEX(Contracts!$G$2:$G$151,$AB1241),IF($Z1241="A",INDEX(Fixed_Assets!$E$2:$E$201,$AB1241)&amp;"",IF($Z1241="F","Personnel "&amp;INDEX(FTE_Allocation!$A$2:$A$201,$AB1241)&amp;IF(INDEX(FTE_Allocation!$D$2:$D$201,$AB1241)="PROJECT"," ("&amp;INDEX(FTE_Allocation!$E$2:$E$201,$AB1241)&amp;")",""),"")))</f>
        <v/>
      </c>
      <c r="H1241" s="7">
        <f>IF($Z1241="C","CONTRACT",IF($Z1241="A","ASSET",IF($Z1241="F","WORKFORCE","")))</f>
        <v/>
      </c>
      <c r="I1241" s="7">
        <f>IF($Z1241="C",INDEX(Contracts!$L$2:$L$151,$AB1241)&amp;"",IF($Z1241="A",INDEX(Fixed_Assets!$I$2:$I$201,$AB1241)&amp;"",IF($Z1241="F",INDEX(Workforce!$G$2:$G$151,MATCH(INDEX(FTE_Allocation!$A$2:$A$201,$AB1241),Workforce!$A$2:$A$151,0))&amp;"","")))</f>
        <v/>
      </c>
      <c r="J1241" s="18">
        <f>IF($Z1241="","",IF(AND(DATE($AD1241,1,1)&gt;=$AE1241,DATE($AD1241,1,1)&lt;=$AF1241),ROUND($AG1241,2),0))</f>
        <v/>
      </c>
      <c r="K1241" s="18">
        <f>IF($Z1241="","",IF(AND(DATE($AD1241,2,1)&gt;=$AE1241,DATE($AD1241,2,1)&lt;=$AF1241),ROUND($AG1241,2),0))</f>
        <v/>
      </c>
      <c r="L1241" s="18">
        <f>IF($Z1241="","",IF(AND(DATE($AD1241,3,1)&gt;=$AE1241,DATE($AD1241,3,1)&lt;=$AF1241),ROUND($AG1241,2),0))</f>
        <v/>
      </c>
      <c r="M1241" s="18">
        <f>IF($Z1241="","",IF(AND(DATE($AD1241,4,1)&gt;=$AE1241,DATE($AD1241,4,1)&lt;=$AF1241),ROUND($AG1241,2),0))</f>
        <v/>
      </c>
      <c r="N1241" s="18">
        <f>IF($Z1241="","",IF(AND(DATE($AD1241,5,1)&gt;=$AE1241,DATE($AD1241,5,1)&lt;=$AF1241),ROUND($AG1241,2),0))</f>
        <v/>
      </c>
      <c r="O1241" s="18">
        <f>IF($Z1241="","",IF(AND(DATE($AD1241,6,1)&gt;=$AE1241,DATE($AD1241,6,1)&lt;=$AF1241),ROUND($AG1241,2),0))</f>
        <v/>
      </c>
      <c r="P1241" s="18">
        <f>IF($Z1241="","",IF(AND(DATE($AD1241,7,1)&gt;=$AE1241,DATE($AD1241,7,1)&lt;=$AF1241),ROUND($AG1241,2),0))</f>
        <v/>
      </c>
      <c r="Q1241" s="18">
        <f>IF($Z1241="","",IF(AND(DATE($AD1241,8,1)&gt;=$AE1241,DATE($AD1241,8,1)&lt;=$AF1241),ROUND($AG1241,2),0))</f>
        <v/>
      </c>
      <c r="R1241" s="18">
        <f>IF($Z1241="","",IF(AND(DATE($AD1241,9,1)&gt;=$AE1241,DATE($AD1241,9,1)&lt;=$AF1241),ROUND($AG1241,2),0))</f>
        <v/>
      </c>
      <c r="S1241" s="18">
        <f>IF($Z1241="","",IF(AND(DATE($AD1241,10,1)&gt;=$AE1241,DATE($AD1241,10,1)&lt;=$AF1241),ROUND($AG1241,2),0))</f>
        <v/>
      </c>
      <c r="T1241" s="18">
        <f>IF($Z1241="","",IF(AND(DATE($AD1241,11,1)&gt;=$AE1241,DATE($AD1241,11,1)&lt;=$AF1241),ROUND($AG1241,2),0))</f>
        <v/>
      </c>
      <c r="U1241" s="18">
        <f>IF($Z1241="","",IF(AND(DATE($AD1241,12,1)&gt;=$AE1241,DATE($AD1241,12,1)&lt;=$AF1241),ROUND($AG1241,2),0))</f>
        <v/>
      </c>
      <c r="V1241" s="7">
        <f>IF($Z1241="C","Generated from "&amp;INDEX(Contracts!$A$2:$A$151,$AB1241),IF($Z1241="A","Generated from "&amp;INDEX(Fixed_Assets!$A$2:$A$201,$AB1241),IF($Z1241="F","Generated from "&amp;INDEX(FTE_Allocation!$A$2:$A$201,$AB1241),"")))</f>
        <v/>
      </c>
      <c r="X1241" s="19">
        <f>IF($Z1241="","",SUM(J1241:U1241))</f>
        <v/>
      </c>
      <c r="Y1241" s="20">
        <f>ROW()-1</f>
        <v/>
      </c>
      <c r="Z1241" s="20">
        <f>IF($Y1241&lt;=Settings!$B$4*3,"C",IF($Y1241&lt;=(Settings!$B$4+Settings!$B$5)*3,"A",IF($Y1241&lt;=(Settings!$B$4+Settings!$B$5+Settings!$B$6)*3,"F","")))</f>
        <v/>
      </c>
      <c r="AA1241" s="20">
        <f>IF($Z1241="C",$Y1241,IF($Z1241="A",$Y1241-Settings!$B$4*3,IF($Z1241="F",$Y1241-(Settings!$B$4+Settings!$B$5)*3,"")))</f>
        <v/>
      </c>
      <c r="AB1241" s="20">
        <f>IF($Z1241="","",INT(($AA1241-1)/3)+1)</f>
        <v/>
      </c>
      <c r="AC1241" s="20">
        <f>IF($Z1241="","",MOD($AA1241-1,3)+1)</f>
        <v/>
      </c>
      <c r="AD1241" s="20">
        <f>IF($Z1241="","",Settings!$B$2+$AC1241-1)</f>
        <v/>
      </c>
      <c r="AE1241" s="21">
        <f>IF($Z1241="C",DATE(YEAR(INDEX(Contracts!$J$2:$J$151,$AB1241)),MONTH(INDEX(Contracts!$J$2:$J$151,$AB1241)),1),IF($Z1241="A",DATE(YEAR(INDEX(Fixed_Assets!$G$2:$G$201,$AB1241)),MONTH(INDEX(Fixed_Assets!$G$2:$G$201,$AB1241)),1),IF($Z1241="F",DATE(YEAR(MAX(N(INDEX(Workforce!$I$2:$I$151,MATCH(INDEX(FTE_Allocation!$A$2:$A$201,$AB1241),Workforce!$A$2:$A$151,0))),N(INDEX(FTE_Allocation!$I$2:$I$201,$AB1241)))),MONTH(MAX(N(INDEX(Workforce!$I$2:$I$151,MATCH(INDEX(FTE_Allocation!$A$2:$A$201,$AB1241),Workforce!$A$2:$A$151,0))),N(INDEX(FTE_Allocation!$I$2:$I$201,$AB1241)))),1),"")))</f>
        <v/>
      </c>
      <c r="AF1241" s="21">
        <f>IF($Z1241="C",IF(INDEX(Contracts!$I$2:$I$151,$AB1241)="PREPAID",EDATE(DATE(YEAR(INDEX(Contracts!$J$2:$J$151,$AB1241)),MONTH(INDEX(Contracts!$J$2:$J$151,$AB1241)),1),IF(INDEX(Contracts!$N$2:$N$151,$AB1241)="",12,INDEX(Contracts!$N$2:$N$151,$AB1241))-1),IF(INDEX(Contracts!$I$2:$I$151,$AB1241)="MONTHLY",IF(INDEX(Contracts!$K$2:$K$151,$AB1241)="",2958101,INDEX(Contracts!$K$2:$K$151,$AB1241)),0)),IF($Z1241="A",EDATE(DATE(YEAR(INDEX(Fixed_Assets!$G$2:$G$201,$AB1241)),MONTH(INDEX(Fixed_Assets!$G$2:$G$201,$AB1241)),1),INDEX(Fixed_Assets!$J$2:$J$201,$AB1241)-1),IF($Z1241="F",MIN(IF(INDEX(Workforce!$J$2:$J$151,MATCH(INDEX(FTE_Allocation!$A$2:$A$201,$AB1241),Workforce!$A$2:$A$151,0))="",2958101,INDEX(Workforce!$J$2:$J$151,MATCH(INDEX(FTE_Allocation!$A$2:$A$201,$AB1241),Workforce!$A$2:$A$151,0))),IF(INDEX(FTE_Allocation!$J$2:$J$201,$AB1241)="",2958101,INDEX(FTE_Allocation!$J$2:$J$201,$AB1241))),"")))</f>
        <v/>
      </c>
      <c r="AG1241" s="19">
        <f>IF($Z1241="C",IF(INDEX(Contracts!$I$2:$I$151,$AB1241)="PREPAID",INDEX(Contracts!$M$2:$M$151,$AB1241)/IF(INDEX(Contracts!$N$2:$N$151,$AB1241)="",12,INDEX(Contracts!$N$2:$N$151,$AB1241)),IF(INDEX(Contracts!$I$2:$I$151,$AB1241)="MONTHLY",INDEX(Contracts!$M$2:$M$151,$AB1241),0))*(1-N(INDEX(Contracts!$O$2:$O$151,$AB1241))),IF($Z1241="A",INDEX(Fixed_Assets!$H$2:$H$201,$AB1241)/INDEX(Fixed_Assets!$J$2:$J$201,$AB1241),IF($Z1241="F",INDEX(Workforce!$F$2:$F$151,MATCH(INDEX(FTE_Allocation!$A$2:$A$201,$AB1241),Workforce!$A$2:$A$151,0))*N(INDEX(FTE_Allocation!$F$2:$H$201,$AB1241,$AC1241)),"")))</f>
        <v/>
      </c>
    </row>
    <row r="1242">
      <c r="A1242" s="7">
        <f>IF($Z1242="","",$AD1242)</f>
        <v/>
      </c>
      <c r="B1242" s="7">
        <f>IF($Z1242="C",INDEX(Contracts!$D$2:$D$151,$AB1242)&amp;"",IF($Z1242="A",INDEX(Fixed_Assets!$C$2:$C$201,$AB1242)&amp;"",IF($Z1242="F",INDEX(Workforce!$B$2:$B$151,MATCH(INDEX(FTE_Allocation!$A$2:$A$201,$AB1242),Workforce!$A$2:$A$151,0))&amp;"","")))</f>
        <v/>
      </c>
      <c r="C1242" s="7">
        <f>IF($Z1242="C",INDEX(Contracts!$E$2:$E$151,$AB1242)&amp;"",IF($Z1242="A",INDEX(Fixed_Assets!$D$2:$D$201,$AB1242)&amp;"",IF($Z1242="F",INDEX(FTE_Allocation!$C$2:$C$201,$AB1242)&amp;"","")))</f>
        <v/>
      </c>
      <c r="D1242" s="7">
        <f>IF($Z1242="C",INDEX(Contracts!$B$2:$B$151,$AB1242)&amp;"",IF($Z1242="A",INDEX(Fixed_Assets!$B$2:$B$201,$AB1242)&amp;"",IF($Z1242="F",INDEX(FTE_Allocation!$B$2:$B$201,$AB1242)&amp;"","")))</f>
        <v/>
      </c>
      <c r="E1242" s="7">
        <f>IF($Z1242="C",INDEX(Contracts!$P$2:$P$151,$AB1242)&amp;"",IF($Z1242="A",INDEX(Fixed_Assets!$K$2:$K$201,$AB1242)&amp;"",IF($Z1242="F",IF(INDEX(FTE_Allocation!$D$2:$D$201,$AB1242)="PROJECT",IFERROR(INDEX(Projects!$D:$D,MATCH(INDEX(FTE_Allocation!$E$2:$E$201,$AB1242),Projects!$A:$A,0))&amp;"","#PROJECT?"),INDEX(FTE_Allocation!$E$2:$E$201,$AB1242)&amp;""),"")))</f>
        <v/>
      </c>
      <c r="F1242" s="7">
        <f>IF($Z1242="C",INDEX(Contracts!$Q$2:$Q$151,$AB1242)&amp;"",IF($Z1242="A",INDEX(Fixed_Assets!$L$2:$L$201,$AB1242)&amp;"",IF($Z1242="F",INDEX(Workforce!$K$2:$K$151,MATCH(INDEX(FTE_Allocation!$A$2:$A$201,$AB1242),Workforce!$A$2:$A$151,0))&amp;"","")))</f>
        <v/>
      </c>
      <c r="G1242" s="7">
        <f>IF($Z1242="C",INDEX(Contracts!$F$2:$F$151,$AB1242)&amp;" / "&amp;INDEX(Contracts!$G$2:$G$151,$AB1242),IF($Z1242="A",INDEX(Fixed_Assets!$E$2:$E$201,$AB1242)&amp;"",IF($Z1242="F","Personnel "&amp;INDEX(FTE_Allocation!$A$2:$A$201,$AB1242)&amp;IF(INDEX(FTE_Allocation!$D$2:$D$201,$AB1242)="PROJECT"," ("&amp;INDEX(FTE_Allocation!$E$2:$E$201,$AB1242)&amp;")",""),"")))</f>
        <v/>
      </c>
      <c r="H1242" s="7">
        <f>IF($Z1242="C","CONTRACT",IF($Z1242="A","ASSET",IF($Z1242="F","WORKFORCE","")))</f>
        <v/>
      </c>
      <c r="I1242" s="7">
        <f>IF($Z1242="C",INDEX(Contracts!$L$2:$L$151,$AB1242)&amp;"",IF($Z1242="A",INDEX(Fixed_Assets!$I$2:$I$201,$AB1242)&amp;"",IF($Z1242="F",INDEX(Workforce!$G$2:$G$151,MATCH(INDEX(FTE_Allocation!$A$2:$A$201,$AB1242),Workforce!$A$2:$A$151,0))&amp;"","")))</f>
        <v/>
      </c>
      <c r="J1242" s="18">
        <f>IF($Z1242="","",IF(AND(DATE($AD1242,1,1)&gt;=$AE1242,DATE($AD1242,1,1)&lt;=$AF1242),ROUND($AG1242,2),0))</f>
        <v/>
      </c>
      <c r="K1242" s="18">
        <f>IF($Z1242="","",IF(AND(DATE($AD1242,2,1)&gt;=$AE1242,DATE($AD1242,2,1)&lt;=$AF1242),ROUND($AG1242,2),0))</f>
        <v/>
      </c>
      <c r="L1242" s="18">
        <f>IF($Z1242="","",IF(AND(DATE($AD1242,3,1)&gt;=$AE1242,DATE($AD1242,3,1)&lt;=$AF1242),ROUND($AG1242,2),0))</f>
        <v/>
      </c>
      <c r="M1242" s="18">
        <f>IF($Z1242="","",IF(AND(DATE($AD1242,4,1)&gt;=$AE1242,DATE($AD1242,4,1)&lt;=$AF1242),ROUND($AG1242,2),0))</f>
        <v/>
      </c>
      <c r="N1242" s="18">
        <f>IF($Z1242="","",IF(AND(DATE($AD1242,5,1)&gt;=$AE1242,DATE($AD1242,5,1)&lt;=$AF1242),ROUND($AG1242,2),0))</f>
        <v/>
      </c>
      <c r="O1242" s="18">
        <f>IF($Z1242="","",IF(AND(DATE($AD1242,6,1)&gt;=$AE1242,DATE($AD1242,6,1)&lt;=$AF1242),ROUND($AG1242,2),0))</f>
        <v/>
      </c>
      <c r="P1242" s="18">
        <f>IF($Z1242="","",IF(AND(DATE($AD1242,7,1)&gt;=$AE1242,DATE($AD1242,7,1)&lt;=$AF1242),ROUND($AG1242,2),0))</f>
        <v/>
      </c>
      <c r="Q1242" s="18">
        <f>IF($Z1242="","",IF(AND(DATE($AD1242,8,1)&gt;=$AE1242,DATE($AD1242,8,1)&lt;=$AF1242),ROUND($AG1242,2),0))</f>
        <v/>
      </c>
      <c r="R1242" s="18">
        <f>IF($Z1242="","",IF(AND(DATE($AD1242,9,1)&gt;=$AE1242,DATE($AD1242,9,1)&lt;=$AF1242),ROUND($AG1242,2),0))</f>
        <v/>
      </c>
      <c r="S1242" s="18">
        <f>IF($Z1242="","",IF(AND(DATE($AD1242,10,1)&gt;=$AE1242,DATE($AD1242,10,1)&lt;=$AF1242),ROUND($AG1242,2),0))</f>
        <v/>
      </c>
      <c r="T1242" s="18">
        <f>IF($Z1242="","",IF(AND(DATE($AD1242,11,1)&gt;=$AE1242,DATE($AD1242,11,1)&lt;=$AF1242),ROUND($AG1242,2),0))</f>
        <v/>
      </c>
      <c r="U1242" s="18">
        <f>IF($Z1242="","",IF(AND(DATE($AD1242,12,1)&gt;=$AE1242,DATE($AD1242,12,1)&lt;=$AF1242),ROUND($AG1242,2),0))</f>
        <v/>
      </c>
      <c r="V1242" s="7">
        <f>IF($Z1242="C","Generated from "&amp;INDEX(Contracts!$A$2:$A$151,$AB1242),IF($Z1242="A","Generated from "&amp;INDEX(Fixed_Assets!$A$2:$A$201,$AB1242),IF($Z1242="F","Generated from "&amp;INDEX(FTE_Allocation!$A$2:$A$201,$AB1242),"")))</f>
        <v/>
      </c>
      <c r="X1242" s="19">
        <f>IF($Z1242="","",SUM(J1242:U1242))</f>
        <v/>
      </c>
      <c r="Y1242" s="20">
        <f>ROW()-1</f>
        <v/>
      </c>
      <c r="Z1242" s="20">
        <f>IF($Y1242&lt;=Settings!$B$4*3,"C",IF($Y1242&lt;=(Settings!$B$4+Settings!$B$5)*3,"A",IF($Y1242&lt;=(Settings!$B$4+Settings!$B$5+Settings!$B$6)*3,"F","")))</f>
        <v/>
      </c>
      <c r="AA1242" s="20">
        <f>IF($Z1242="C",$Y1242,IF($Z1242="A",$Y1242-Settings!$B$4*3,IF($Z1242="F",$Y1242-(Settings!$B$4+Settings!$B$5)*3,"")))</f>
        <v/>
      </c>
      <c r="AB1242" s="20">
        <f>IF($Z1242="","",INT(($AA1242-1)/3)+1)</f>
        <v/>
      </c>
      <c r="AC1242" s="20">
        <f>IF($Z1242="","",MOD($AA1242-1,3)+1)</f>
        <v/>
      </c>
      <c r="AD1242" s="20">
        <f>IF($Z1242="","",Settings!$B$2+$AC1242-1)</f>
        <v/>
      </c>
      <c r="AE1242" s="21">
        <f>IF($Z1242="C",DATE(YEAR(INDEX(Contracts!$J$2:$J$151,$AB1242)),MONTH(INDEX(Contracts!$J$2:$J$151,$AB1242)),1),IF($Z1242="A",DATE(YEAR(INDEX(Fixed_Assets!$G$2:$G$201,$AB1242)),MONTH(INDEX(Fixed_Assets!$G$2:$G$201,$AB1242)),1),IF($Z1242="F",DATE(YEAR(MAX(N(INDEX(Workforce!$I$2:$I$151,MATCH(INDEX(FTE_Allocation!$A$2:$A$201,$AB1242),Workforce!$A$2:$A$151,0))),N(INDEX(FTE_Allocation!$I$2:$I$201,$AB1242)))),MONTH(MAX(N(INDEX(Workforce!$I$2:$I$151,MATCH(INDEX(FTE_Allocation!$A$2:$A$201,$AB1242),Workforce!$A$2:$A$151,0))),N(INDEX(FTE_Allocation!$I$2:$I$201,$AB1242)))),1),"")))</f>
        <v/>
      </c>
      <c r="AF1242" s="21">
        <f>IF($Z1242="C",IF(INDEX(Contracts!$I$2:$I$151,$AB1242)="PREPAID",EDATE(DATE(YEAR(INDEX(Contracts!$J$2:$J$151,$AB1242)),MONTH(INDEX(Contracts!$J$2:$J$151,$AB1242)),1),IF(INDEX(Contracts!$N$2:$N$151,$AB1242)="",12,INDEX(Contracts!$N$2:$N$151,$AB1242))-1),IF(INDEX(Contracts!$I$2:$I$151,$AB1242)="MONTHLY",IF(INDEX(Contracts!$K$2:$K$151,$AB1242)="",2958101,INDEX(Contracts!$K$2:$K$151,$AB1242)),0)),IF($Z1242="A",EDATE(DATE(YEAR(INDEX(Fixed_Assets!$G$2:$G$201,$AB1242)),MONTH(INDEX(Fixed_Assets!$G$2:$G$201,$AB1242)),1),INDEX(Fixed_Assets!$J$2:$J$201,$AB1242)-1),IF($Z1242="F",MIN(IF(INDEX(Workforce!$J$2:$J$151,MATCH(INDEX(FTE_Allocation!$A$2:$A$201,$AB1242),Workforce!$A$2:$A$151,0))="",2958101,INDEX(Workforce!$J$2:$J$151,MATCH(INDEX(FTE_Allocation!$A$2:$A$201,$AB1242),Workforce!$A$2:$A$151,0))),IF(INDEX(FTE_Allocation!$J$2:$J$201,$AB1242)="",2958101,INDEX(FTE_Allocation!$J$2:$J$201,$AB1242))),"")))</f>
        <v/>
      </c>
      <c r="AG1242" s="19">
        <f>IF($Z1242="C",IF(INDEX(Contracts!$I$2:$I$151,$AB1242)="PREPAID",INDEX(Contracts!$M$2:$M$151,$AB1242)/IF(INDEX(Contracts!$N$2:$N$151,$AB1242)="",12,INDEX(Contracts!$N$2:$N$151,$AB1242)),IF(INDEX(Contracts!$I$2:$I$151,$AB1242)="MONTHLY",INDEX(Contracts!$M$2:$M$151,$AB1242),0))*(1-N(INDEX(Contracts!$O$2:$O$151,$AB1242))),IF($Z1242="A",INDEX(Fixed_Assets!$H$2:$H$201,$AB1242)/INDEX(Fixed_Assets!$J$2:$J$201,$AB1242),IF($Z1242="F",INDEX(Workforce!$F$2:$F$151,MATCH(INDEX(FTE_Allocation!$A$2:$A$201,$AB1242),Workforce!$A$2:$A$151,0))*N(INDEX(FTE_Allocation!$F$2:$H$201,$AB1242,$AC1242)),"")))</f>
        <v/>
      </c>
    </row>
    <row r="1243">
      <c r="A1243" s="7">
        <f>IF($Z1243="","",$AD1243)</f>
        <v/>
      </c>
      <c r="B1243" s="7">
        <f>IF($Z1243="C",INDEX(Contracts!$D$2:$D$151,$AB1243)&amp;"",IF($Z1243="A",INDEX(Fixed_Assets!$C$2:$C$201,$AB1243)&amp;"",IF($Z1243="F",INDEX(Workforce!$B$2:$B$151,MATCH(INDEX(FTE_Allocation!$A$2:$A$201,$AB1243),Workforce!$A$2:$A$151,0))&amp;"","")))</f>
        <v/>
      </c>
      <c r="C1243" s="7">
        <f>IF($Z1243="C",INDEX(Contracts!$E$2:$E$151,$AB1243)&amp;"",IF($Z1243="A",INDEX(Fixed_Assets!$D$2:$D$201,$AB1243)&amp;"",IF($Z1243="F",INDEX(FTE_Allocation!$C$2:$C$201,$AB1243)&amp;"","")))</f>
        <v/>
      </c>
      <c r="D1243" s="7">
        <f>IF($Z1243="C",INDEX(Contracts!$B$2:$B$151,$AB1243)&amp;"",IF($Z1243="A",INDEX(Fixed_Assets!$B$2:$B$201,$AB1243)&amp;"",IF($Z1243="F",INDEX(FTE_Allocation!$B$2:$B$201,$AB1243)&amp;"","")))</f>
        <v/>
      </c>
      <c r="E1243" s="7">
        <f>IF($Z1243="C",INDEX(Contracts!$P$2:$P$151,$AB1243)&amp;"",IF($Z1243="A",INDEX(Fixed_Assets!$K$2:$K$201,$AB1243)&amp;"",IF($Z1243="F",IF(INDEX(FTE_Allocation!$D$2:$D$201,$AB1243)="PROJECT",IFERROR(INDEX(Projects!$D:$D,MATCH(INDEX(FTE_Allocation!$E$2:$E$201,$AB1243),Projects!$A:$A,0))&amp;"","#PROJECT?"),INDEX(FTE_Allocation!$E$2:$E$201,$AB1243)&amp;""),"")))</f>
        <v/>
      </c>
      <c r="F1243" s="7">
        <f>IF($Z1243="C",INDEX(Contracts!$Q$2:$Q$151,$AB1243)&amp;"",IF($Z1243="A",INDEX(Fixed_Assets!$L$2:$L$201,$AB1243)&amp;"",IF($Z1243="F",INDEX(Workforce!$K$2:$K$151,MATCH(INDEX(FTE_Allocation!$A$2:$A$201,$AB1243),Workforce!$A$2:$A$151,0))&amp;"","")))</f>
        <v/>
      </c>
      <c r="G1243" s="7">
        <f>IF($Z1243="C",INDEX(Contracts!$F$2:$F$151,$AB1243)&amp;" / "&amp;INDEX(Contracts!$G$2:$G$151,$AB1243),IF($Z1243="A",INDEX(Fixed_Assets!$E$2:$E$201,$AB1243)&amp;"",IF($Z1243="F","Personnel "&amp;INDEX(FTE_Allocation!$A$2:$A$201,$AB1243)&amp;IF(INDEX(FTE_Allocation!$D$2:$D$201,$AB1243)="PROJECT"," ("&amp;INDEX(FTE_Allocation!$E$2:$E$201,$AB1243)&amp;")",""),"")))</f>
        <v/>
      </c>
      <c r="H1243" s="7">
        <f>IF($Z1243="C","CONTRACT",IF($Z1243="A","ASSET",IF($Z1243="F","WORKFORCE","")))</f>
        <v/>
      </c>
      <c r="I1243" s="7">
        <f>IF($Z1243="C",INDEX(Contracts!$L$2:$L$151,$AB1243)&amp;"",IF($Z1243="A",INDEX(Fixed_Assets!$I$2:$I$201,$AB1243)&amp;"",IF($Z1243="F",INDEX(Workforce!$G$2:$G$151,MATCH(INDEX(FTE_Allocation!$A$2:$A$201,$AB1243),Workforce!$A$2:$A$151,0))&amp;"","")))</f>
        <v/>
      </c>
      <c r="J1243" s="18">
        <f>IF($Z1243="","",IF(AND(DATE($AD1243,1,1)&gt;=$AE1243,DATE($AD1243,1,1)&lt;=$AF1243),ROUND($AG1243,2),0))</f>
        <v/>
      </c>
      <c r="K1243" s="18">
        <f>IF($Z1243="","",IF(AND(DATE($AD1243,2,1)&gt;=$AE1243,DATE($AD1243,2,1)&lt;=$AF1243),ROUND($AG1243,2),0))</f>
        <v/>
      </c>
      <c r="L1243" s="18">
        <f>IF($Z1243="","",IF(AND(DATE($AD1243,3,1)&gt;=$AE1243,DATE($AD1243,3,1)&lt;=$AF1243),ROUND($AG1243,2),0))</f>
        <v/>
      </c>
      <c r="M1243" s="18">
        <f>IF($Z1243="","",IF(AND(DATE($AD1243,4,1)&gt;=$AE1243,DATE($AD1243,4,1)&lt;=$AF1243),ROUND($AG1243,2),0))</f>
        <v/>
      </c>
      <c r="N1243" s="18">
        <f>IF($Z1243="","",IF(AND(DATE($AD1243,5,1)&gt;=$AE1243,DATE($AD1243,5,1)&lt;=$AF1243),ROUND($AG1243,2),0))</f>
        <v/>
      </c>
      <c r="O1243" s="18">
        <f>IF($Z1243="","",IF(AND(DATE($AD1243,6,1)&gt;=$AE1243,DATE($AD1243,6,1)&lt;=$AF1243),ROUND($AG1243,2),0))</f>
        <v/>
      </c>
      <c r="P1243" s="18">
        <f>IF($Z1243="","",IF(AND(DATE($AD1243,7,1)&gt;=$AE1243,DATE($AD1243,7,1)&lt;=$AF1243),ROUND($AG1243,2),0))</f>
        <v/>
      </c>
      <c r="Q1243" s="18">
        <f>IF($Z1243="","",IF(AND(DATE($AD1243,8,1)&gt;=$AE1243,DATE($AD1243,8,1)&lt;=$AF1243),ROUND($AG1243,2),0))</f>
        <v/>
      </c>
      <c r="R1243" s="18">
        <f>IF($Z1243="","",IF(AND(DATE($AD1243,9,1)&gt;=$AE1243,DATE($AD1243,9,1)&lt;=$AF1243),ROUND($AG1243,2),0))</f>
        <v/>
      </c>
      <c r="S1243" s="18">
        <f>IF($Z1243="","",IF(AND(DATE($AD1243,10,1)&gt;=$AE1243,DATE($AD1243,10,1)&lt;=$AF1243),ROUND($AG1243,2),0))</f>
        <v/>
      </c>
      <c r="T1243" s="18">
        <f>IF($Z1243="","",IF(AND(DATE($AD1243,11,1)&gt;=$AE1243,DATE($AD1243,11,1)&lt;=$AF1243),ROUND($AG1243,2),0))</f>
        <v/>
      </c>
      <c r="U1243" s="18">
        <f>IF($Z1243="","",IF(AND(DATE($AD1243,12,1)&gt;=$AE1243,DATE($AD1243,12,1)&lt;=$AF1243),ROUND($AG1243,2),0))</f>
        <v/>
      </c>
      <c r="V1243" s="7">
        <f>IF($Z1243="C","Generated from "&amp;INDEX(Contracts!$A$2:$A$151,$AB1243),IF($Z1243="A","Generated from "&amp;INDEX(Fixed_Assets!$A$2:$A$201,$AB1243),IF($Z1243="F","Generated from "&amp;INDEX(FTE_Allocation!$A$2:$A$201,$AB1243),"")))</f>
        <v/>
      </c>
      <c r="X1243" s="19">
        <f>IF($Z1243="","",SUM(J1243:U1243))</f>
        <v/>
      </c>
      <c r="Y1243" s="20">
        <f>ROW()-1</f>
        <v/>
      </c>
      <c r="Z1243" s="20">
        <f>IF($Y1243&lt;=Settings!$B$4*3,"C",IF($Y1243&lt;=(Settings!$B$4+Settings!$B$5)*3,"A",IF($Y1243&lt;=(Settings!$B$4+Settings!$B$5+Settings!$B$6)*3,"F","")))</f>
        <v/>
      </c>
      <c r="AA1243" s="20">
        <f>IF($Z1243="C",$Y1243,IF($Z1243="A",$Y1243-Settings!$B$4*3,IF($Z1243="F",$Y1243-(Settings!$B$4+Settings!$B$5)*3,"")))</f>
        <v/>
      </c>
      <c r="AB1243" s="20">
        <f>IF($Z1243="","",INT(($AA1243-1)/3)+1)</f>
        <v/>
      </c>
      <c r="AC1243" s="20">
        <f>IF($Z1243="","",MOD($AA1243-1,3)+1)</f>
        <v/>
      </c>
      <c r="AD1243" s="20">
        <f>IF($Z1243="","",Settings!$B$2+$AC1243-1)</f>
        <v/>
      </c>
      <c r="AE1243" s="21">
        <f>IF($Z1243="C",DATE(YEAR(INDEX(Contracts!$J$2:$J$151,$AB1243)),MONTH(INDEX(Contracts!$J$2:$J$151,$AB1243)),1),IF($Z1243="A",DATE(YEAR(INDEX(Fixed_Assets!$G$2:$G$201,$AB1243)),MONTH(INDEX(Fixed_Assets!$G$2:$G$201,$AB1243)),1),IF($Z1243="F",DATE(YEAR(MAX(N(INDEX(Workforce!$I$2:$I$151,MATCH(INDEX(FTE_Allocation!$A$2:$A$201,$AB1243),Workforce!$A$2:$A$151,0))),N(INDEX(FTE_Allocation!$I$2:$I$201,$AB1243)))),MONTH(MAX(N(INDEX(Workforce!$I$2:$I$151,MATCH(INDEX(FTE_Allocation!$A$2:$A$201,$AB1243),Workforce!$A$2:$A$151,0))),N(INDEX(FTE_Allocation!$I$2:$I$201,$AB1243)))),1),"")))</f>
        <v/>
      </c>
      <c r="AF1243" s="21">
        <f>IF($Z1243="C",IF(INDEX(Contracts!$I$2:$I$151,$AB1243)="PREPAID",EDATE(DATE(YEAR(INDEX(Contracts!$J$2:$J$151,$AB1243)),MONTH(INDEX(Contracts!$J$2:$J$151,$AB1243)),1),IF(INDEX(Contracts!$N$2:$N$151,$AB1243)="",12,INDEX(Contracts!$N$2:$N$151,$AB1243))-1),IF(INDEX(Contracts!$I$2:$I$151,$AB1243)="MONTHLY",IF(INDEX(Contracts!$K$2:$K$151,$AB1243)="",2958101,INDEX(Contracts!$K$2:$K$151,$AB1243)),0)),IF($Z1243="A",EDATE(DATE(YEAR(INDEX(Fixed_Assets!$G$2:$G$201,$AB1243)),MONTH(INDEX(Fixed_Assets!$G$2:$G$201,$AB1243)),1),INDEX(Fixed_Assets!$J$2:$J$201,$AB1243)-1),IF($Z1243="F",MIN(IF(INDEX(Workforce!$J$2:$J$151,MATCH(INDEX(FTE_Allocation!$A$2:$A$201,$AB1243),Workforce!$A$2:$A$151,0))="",2958101,INDEX(Workforce!$J$2:$J$151,MATCH(INDEX(FTE_Allocation!$A$2:$A$201,$AB1243),Workforce!$A$2:$A$151,0))),IF(INDEX(FTE_Allocation!$J$2:$J$201,$AB1243)="",2958101,INDEX(FTE_Allocation!$J$2:$J$201,$AB1243))),"")))</f>
        <v/>
      </c>
      <c r="AG1243" s="19">
        <f>IF($Z1243="C",IF(INDEX(Contracts!$I$2:$I$151,$AB1243)="PREPAID",INDEX(Contracts!$M$2:$M$151,$AB1243)/IF(INDEX(Contracts!$N$2:$N$151,$AB1243)="",12,INDEX(Contracts!$N$2:$N$151,$AB1243)),IF(INDEX(Contracts!$I$2:$I$151,$AB1243)="MONTHLY",INDEX(Contracts!$M$2:$M$151,$AB1243),0))*(1-N(INDEX(Contracts!$O$2:$O$151,$AB1243))),IF($Z1243="A",INDEX(Fixed_Assets!$H$2:$H$201,$AB1243)/INDEX(Fixed_Assets!$J$2:$J$201,$AB1243),IF($Z1243="F",INDEX(Workforce!$F$2:$F$151,MATCH(INDEX(FTE_Allocation!$A$2:$A$201,$AB1243),Workforce!$A$2:$A$151,0))*N(INDEX(FTE_Allocation!$F$2:$H$201,$AB1243,$AC1243)),"")))</f>
        <v/>
      </c>
    </row>
    <row r="1244">
      <c r="A1244" s="7">
        <f>IF($Z1244="","",$AD1244)</f>
        <v/>
      </c>
      <c r="B1244" s="7">
        <f>IF($Z1244="C",INDEX(Contracts!$D$2:$D$151,$AB1244)&amp;"",IF($Z1244="A",INDEX(Fixed_Assets!$C$2:$C$201,$AB1244)&amp;"",IF($Z1244="F",INDEX(Workforce!$B$2:$B$151,MATCH(INDEX(FTE_Allocation!$A$2:$A$201,$AB1244),Workforce!$A$2:$A$151,0))&amp;"","")))</f>
        <v/>
      </c>
      <c r="C1244" s="7">
        <f>IF($Z1244="C",INDEX(Contracts!$E$2:$E$151,$AB1244)&amp;"",IF($Z1244="A",INDEX(Fixed_Assets!$D$2:$D$201,$AB1244)&amp;"",IF($Z1244="F",INDEX(FTE_Allocation!$C$2:$C$201,$AB1244)&amp;"","")))</f>
        <v/>
      </c>
      <c r="D1244" s="7">
        <f>IF($Z1244="C",INDEX(Contracts!$B$2:$B$151,$AB1244)&amp;"",IF($Z1244="A",INDEX(Fixed_Assets!$B$2:$B$201,$AB1244)&amp;"",IF($Z1244="F",INDEX(FTE_Allocation!$B$2:$B$201,$AB1244)&amp;"","")))</f>
        <v/>
      </c>
      <c r="E1244" s="7">
        <f>IF($Z1244="C",INDEX(Contracts!$P$2:$P$151,$AB1244)&amp;"",IF($Z1244="A",INDEX(Fixed_Assets!$K$2:$K$201,$AB1244)&amp;"",IF($Z1244="F",IF(INDEX(FTE_Allocation!$D$2:$D$201,$AB1244)="PROJECT",IFERROR(INDEX(Projects!$D:$D,MATCH(INDEX(FTE_Allocation!$E$2:$E$201,$AB1244),Projects!$A:$A,0))&amp;"","#PROJECT?"),INDEX(FTE_Allocation!$E$2:$E$201,$AB1244)&amp;""),"")))</f>
        <v/>
      </c>
      <c r="F1244" s="7">
        <f>IF($Z1244="C",INDEX(Contracts!$Q$2:$Q$151,$AB1244)&amp;"",IF($Z1244="A",INDEX(Fixed_Assets!$L$2:$L$201,$AB1244)&amp;"",IF($Z1244="F",INDEX(Workforce!$K$2:$K$151,MATCH(INDEX(FTE_Allocation!$A$2:$A$201,$AB1244),Workforce!$A$2:$A$151,0))&amp;"","")))</f>
        <v/>
      </c>
      <c r="G1244" s="7">
        <f>IF($Z1244="C",INDEX(Contracts!$F$2:$F$151,$AB1244)&amp;" / "&amp;INDEX(Contracts!$G$2:$G$151,$AB1244),IF($Z1244="A",INDEX(Fixed_Assets!$E$2:$E$201,$AB1244)&amp;"",IF($Z1244="F","Personnel "&amp;INDEX(FTE_Allocation!$A$2:$A$201,$AB1244)&amp;IF(INDEX(FTE_Allocation!$D$2:$D$201,$AB1244)="PROJECT"," ("&amp;INDEX(FTE_Allocation!$E$2:$E$201,$AB1244)&amp;")",""),"")))</f>
        <v/>
      </c>
      <c r="H1244" s="7">
        <f>IF($Z1244="C","CONTRACT",IF($Z1244="A","ASSET",IF($Z1244="F","WORKFORCE","")))</f>
        <v/>
      </c>
      <c r="I1244" s="7">
        <f>IF($Z1244="C",INDEX(Contracts!$L$2:$L$151,$AB1244)&amp;"",IF($Z1244="A",INDEX(Fixed_Assets!$I$2:$I$201,$AB1244)&amp;"",IF($Z1244="F",INDEX(Workforce!$G$2:$G$151,MATCH(INDEX(FTE_Allocation!$A$2:$A$201,$AB1244),Workforce!$A$2:$A$151,0))&amp;"","")))</f>
        <v/>
      </c>
      <c r="J1244" s="18">
        <f>IF($Z1244="","",IF(AND(DATE($AD1244,1,1)&gt;=$AE1244,DATE($AD1244,1,1)&lt;=$AF1244),ROUND($AG1244,2),0))</f>
        <v/>
      </c>
      <c r="K1244" s="18">
        <f>IF($Z1244="","",IF(AND(DATE($AD1244,2,1)&gt;=$AE1244,DATE($AD1244,2,1)&lt;=$AF1244),ROUND($AG1244,2),0))</f>
        <v/>
      </c>
      <c r="L1244" s="18">
        <f>IF($Z1244="","",IF(AND(DATE($AD1244,3,1)&gt;=$AE1244,DATE($AD1244,3,1)&lt;=$AF1244),ROUND($AG1244,2),0))</f>
        <v/>
      </c>
      <c r="M1244" s="18">
        <f>IF($Z1244="","",IF(AND(DATE($AD1244,4,1)&gt;=$AE1244,DATE($AD1244,4,1)&lt;=$AF1244),ROUND($AG1244,2),0))</f>
        <v/>
      </c>
      <c r="N1244" s="18">
        <f>IF($Z1244="","",IF(AND(DATE($AD1244,5,1)&gt;=$AE1244,DATE($AD1244,5,1)&lt;=$AF1244),ROUND($AG1244,2),0))</f>
        <v/>
      </c>
      <c r="O1244" s="18">
        <f>IF($Z1244="","",IF(AND(DATE($AD1244,6,1)&gt;=$AE1244,DATE($AD1244,6,1)&lt;=$AF1244),ROUND($AG1244,2),0))</f>
        <v/>
      </c>
      <c r="P1244" s="18">
        <f>IF($Z1244="","",IF(AND(DATE($AD1244,7,1)&gt;=$AE1244,DATE($AD1244,7,1)&lt;=$AF1244),ROUND($AG1244,2),0))</f>
        <v/>
      </c>
      <c r="Q1244" s="18">
        <f>IF($Z1244="","",IF(AND(DATE($AD1244,8,1)&gt;=$AE1244,DATE($AD1244,8,1)&lt;=$AF1244),ROUND($AG1244,2),0))</f>
        <v/>
      </c>
      <c r="R1244" s="18">
        <f>IF($Z1244="","",IF(AND(DATE($AD1244,9,1)&gt;=$AE1244,DATE($AD1244,9,1)&lt;=$AF1244),ROUND($AG1244,2),0))</f>
        <v/>
      </c>
      <c r="S1244" s="18">
        <f>IF($Z1244="","",IF(AND(DATE($AD1244,10,1)&gt;=$AE1244,DATE($AD1244,10,1)&lt;=$AF1244),ROUND($AG1244,2),0))</f>
        <v/>
      </c>
      <c r="T1244" s="18">
        <f>IF($Z1244="","",IF(AND(DATE($AD1244,11,1)&gt;=$AE1244,DATE($AD1244,11,1)&lt;=$AF1244),ROUND($AG1244,2),0))</f>
        <v/>
      </c>
      <c r="U1244" s="18">
        <f>IF($Z1244="","",IF(AND(DATE($AD1244,12,1)&gt;=$AE1244,DATE($AD1244,12,1)&lt;=$AF1244),ROUND($AG1244,2),0))</f>
        <v/>
      </c>
      <c r="V1244" s="7">
        <f>IF($Z1244="C","Generated from "&amp;INDEX(Contracts!$A$2:$A$151,$AB1244),IF($Z1244="A","Generated from "&amp;INDEX(Fixed_Assets!$A$2:$A$201,$AB1244),IF($Z1244="F","Generated from "&amp;INDEX(FTE_Allocation!$A$2:$A$201,$AB1244),"")))</f>
        <v/>
      </c>
      <c r="X1244" s="19">
        <f>IF($Z1244="","",SUM(J1244:U1244))</f>
        <v/>
      </c>
      <c r="Y1244" s="20">
        <f>ROW()-1</f>
        <v/>
      </c>
      <c r="Z1244" s="20">
        <f>IF($Y1244&lt;=Settings!$B$4*3,"C",IF($Y1244&lt;=(Settings!$B$4+Settings!$B$5)*3,"A",IF($Y1244&lt;=(Settings!$B$4+Settings!$B$5+Settings!$B$6)*3,"F","")))</f>
        <v/>
      </c>
      <c r="AA1244" s="20">
        <f>IF($Z1244="C",$Y1244,IF($Z1244="A",$Y1244-Settings!$B$4*3,IF($Z1244="F",$Y1244-(Settings!$B$4+Settings!$B$5)*3,"")))</f>
        <v/>
      </c>
      <c r="AB1244" s="20">
        <f>IF($Z1244="","",INT(($AA1244-1)/3)+1)</f>
        <v/>
      </c>
      <c r="AC1244" s="20">
        <f>IF($Z1244="","",MOD($AA1244-1,3)+1)</f>
        <v/>
      </c>
      <c r="AD1244" s="20">
        <f>IF($Z1244="","",Settings!$B$2+$AC1244-1)</f>
        <v/>
      </c>
      <c r="AE1244" s="21">
        <f>IF($Z1244="C",DATE(YEAR(INDEX(Contracts!$J$2:$J$151,$AB1244)),MONTH(INDEX(Contracts!$J$2:$J$151,$AB1244)),1),IF($Z1244="A",DATE(YEAR(INDEX(Fixed_Assets!$G$2:$G$201,$AB1244)),MONTH(INDEX(Fixed_Assets!$G$2:$G$201,$AB1244)),1),IF($Z1244="F",DATE(YEAR(MAX(N(INDEX(Workforce!$I$2:$I$151,MATCH(INDEX(FTE_Allocation!$A$2:$A$201,$AB1244),Workforce!$A$2:$A$151,0))),N(INDEX(FTE_Allocation!$I$2:$I$201,$AB1244)))),MONTH(MAX(N(INDEX(Workforce!$I$2:$I$151,MATCH(INDEX(FTE_Allocation!$A$2:$A$201,$AB1244),Workforce!$A$2:$A$151,0))),N(INDEX(FTE_Allocation!$I$2:$I$201,$AB1244)))),1),"")))</f>
        <v/>
      </c>
      <c r="AF1244" s="21">
        <f>IF($Z1244="C",IF(INDEX(Contracts!$I$2:$I$151,$AB1244)="PREPAID",EDATE(DATE(YEAR(INDEX(Contracts!$J$2:$J$151,$AB1244)),MONTH(INDEX(Contracts!$J$2:$J$151,$AB1244)),1),IF(INDEX(Contracts!$N$2:$N$151,$AB1244)="",12,INDEX(Contracts!$N$2:$N$151,$AB1244))-1),IF(INDEX(Contracts!$I$2:$I$151,$AB1244)="MONTHLY",IF(INDEX(Contracts!$K$2:$K$151,$AB1244)="",2958101,INDEX(Contracts!$K$2:$K$151,$AB1244)),0)),IF($Z1244="A",EDATE(DATE(YEAR(INDEX(Fixed_Assets!$G$2:$G$201,$AB1244)),MONTH(INDEX(Fixed_Assets!$G$2:$G$201,$AB1244)),1),INDEX(Fixed_Assets!$J$2:$J$201,$AB1244)-1),IF($Z1244="F",MIN(IF(INDEX(Workforce!$J$2:$J$151,MATCH(INDEX(FTE_Allocation!$A$2:$A$201,$AB1244),Workforce!$A$2:$A$151,0))="",2958101,INDEX(Workforce!$J$2:$J$151,MATCH(INDEX(FTE_Allocation!$A$2:$A$201,$AB1244),Workforce!$A$2:$A$151,0))),IF(INDEX(FTE_Allocation!$J$2:$J$201,$AB1244)="",2958101,INDEX(FTE_Allocation!$J$2:$J$201,$AB1244))),"")))</f>
        <v/>
      </c>
      <c r="AG1244" s="19">
        <f>IF($Z1244="C",IF(INDEX(Contracts!$I$2:$I$151,$AB1244)="PREPAID",INDEX(Contracts!$M$2:$M$151,$AB1244)/IF(INDEX(Contracts!$N$2:$N$151,$AB1244)="",12,INDEX(Contracts!$N$2:$N$151,$AB1244)),IF(INDEX(Contracts!$I$2:$I$151,$AB1244)="MONTHLY",INDEX(Contracts!$M$2:$M$151,$AB1244),0))*(1-N(INDEX(Contracts!$O$2:$O$151,$AB1244))),IF($Z1244="A",INDEX(Fixed_Assets!$H$2:$H$201,$AB1244)/INDEX(Fixed_Assets!$J$2:$J$201,$AB1244),IF($Z1244="F",INDEX(Workforce!$F$2:$F$151,MATCH(INDEX(FTE_Allocation!$A$2:$A$201,$AB1244),Workforce!$A$2:$A$151,0))*N(INDEX(FTE_Allocation!$F$2:$H$201,$AB1244,$AC1244)),"")))</f>
        <v/>
      </c>
    </row>
    <row r="1245">
      <c r="A1245" s="7">
        <f>IF($Z1245="","",$AD1245)</f>
        <v/>
      </c>
      <c r="B1245" s="7">
        <f>IF($Z1245="C",INDEX(Contracts!$D$2:$D$151,$AB1245)&amp;"",IF($Z1245="A",INDEX(Fixed_Assets!$C$2:$C$201,$AB1245)&amp;"",IF($Z1245="F",INDEX(Workforce!$B$2:$B$151,MATCH(INDEX(FTE_Allocation!$A$2:$A$201,$AB1245),Workforce!$A$2:$A$151,0))&amp;"","")))</f>
        <v/>
      </c>
      <c r="C1245" s="7">
        <f>IF($Z1245="C",INDEX(Contracts!$E$2:$E$151,$AB1245)&amp;"",IF($Z1245="A",INDEX(Fixed_Assets!$D$2:$D$201,$AB1245)&amp;"",IF($Z1245="F",INDEX(FTE_Allocation!$C$2:$C$201,$AB1245)&amp;"","")))</f>
        <v/>
      </c>
      <c r="D1245" s="7">
        <f>IF($Z1245="C",INDEX(Contracts!$B$2:$B$151,$AB1245)&amp;"",IF($Z1245="A",INDEX(Fixed_Assets!$B$2:$B$201,$AB1245)&amp;"",IF($Z1245="F",INDEX(FTE_Allocation!$B$2:$B$201,$AB1245)&amp;"","")))</f>
        <v/>
      </c>
      <c r="E1245" s="7">
        <f>IF($Z1245="C",INDEX(Contracts!$P$2:$P$151,$AB1245)&amp;"",IF($Z1245="A",INDEX(Fixed_Assets!$K$2:$K$201,$AB1245)&amp;"",IF($Z1245="F",IF(INDEX(FTE_Allocation!$D$2:$D$201,$AB1245)="PROJECT",IFERROR(INDEX(Projects!$D:$D,MATCH(INDEX(FTE_Allocation!$E$2:$E$201,$AB1245),Projects!$A:$A,0))&amp;"","#PROJECT?"),INDEX(FTE_Allocation!$E$2:$E$201,$AB1245)&amp;""),"")))</f>
        <v/>
      </c>
      <c r="F1245" s="7">
        <f>IF($Z1245="C",INDEX(Contracts!$Q$2:$Q$151,$AB1245)&amp;"",IF($Z1245="A",INDEX(Fixed_Assets!$L$2:$L$201,$AB1245)&amp;"",IF($Z1245="F",INDEX(Workforce!$K$2:$K$151,MATCH(INDEX(FTE_Allocation!$A$2:$A$201,$AB1245),Workforce!$A$2:$A$151,0))&amp;"","")))</f>
        <v/>
      </c>
      <c r="G1245" s="7">
        <f>IF($Z1245="C",INDEX(Contracts!$F$2:$F$151,$AB1245)&amp;" / "&amp;INDEX(Contracts!$G$2:$G$151,$AB1245),IF($Z1245="A",INDEX(Fixed_Assets!$E$2:$E$201,$AB1245)&amp;"",IF($Z1245="F","Personnel "&amp;INDEX(FTE_Allocation!$A$2:$A$201,$AB1245)&amp;IF(INDEX(FTE_Allocation!$D$2:$D$201,$AB1245)="PROJECT"," ("&amp;INDEX(FTE_Allocation!$E$2:$E$201,$AB1245)&amp;")",""),"")))</f>
        <v/>
      </c>
      <c r="H1245" s="7">
        <f>IF($Z1245="C","CONTRACT",IF($Z1245="A","ASSET",IF($Z1245="F","WORKFORCE","")))</f>
        <v/>
      </c>
      <c r="I1245" s="7">
        <f>IF($Z1245="C",INDEX(Contracts!$L$2:$L$151,$AB1245)&amp;"",IF($Z1245="A",INDEX(Fixed_Assets!$I$2:$I$201,$AB1245)&amp;"",IF($Z1245="F",INDEX(Workforce!$G$2:$G$151,MATCH(INDEX(FTE_Allocation!$A$2:$A$201,$AB1245),Workforce!$A$2:$A$151,0))&amp;"","")))</f>
        <v/>
      </c>
      <c r="J1245" s="18">
        <f>IF($Z1245="","",IF(AND(DATE($AD1245,1,1)&gt;=$AE1245,DATE($AD1245,1,1)&lt;=$AF1245),ROUND($AG1245,2),0))</f>
        <v/>
      </c>
      <c r="K1245" s="18">
        <f>IF($Z1245="","",IF(AND(DATE($AD1245,2,1)&gt;=$AE1245,DATE($AD1245,2,1)&lt;=$AF1245),ROUND($AG1245,2),0))</f>
        <v/>
      </c>
      <c r="L1245" s="18">
        <f>IF($Z1245="","",IF(AND(DATE($AD1245,3,1)&gt;=$AE1245,DATE($AD1245,3,1)&lt;=$AF1245),ROUND($AG1245,2),0))</f>
        <v/>
      </c>
      <c r="M1245" s="18">
        <f>IF($Z1245="","",IF(AND(DATE($AD1245,4,1)&gt;=$AE1245,DATE($AD1245,4,1)&lt;=$AF1245),ROUND($AG1245,2),0))</f>
        <v/>
      </c>
      <c r="N1245" s="18">
        <f>IF($Z1245="","",IF(AND(DATE($AD1245,5,1)&gt;=$AE1245,DATE($AD1245,5,1)&lt;=$AF1245),ROUND($AG1245,2),0))</f>
        <v/>
      </c>
      <c r="O1245" s="18">
        <f>IF($Z1245="","",IF(AND(DATE($AD1245,6,1)&gt;=$AE1245,DATE($AD1245,6,1)&lt;=$AF1245),ROUND($AG1245,2),0))</f>
        <v/>
      </c>
      <c r="P1245" s="18">
        <f>IF($Z1245="","",IF(AND(DATE($AD1245,7,1)&gt;=$AE1245,DATE($AD1245,7,1)&lt;=$AF1245),ROUND($AG1245,2),0))</f>
        <v/>
      </c>
      <c r="Q1245" s="18">
        <f>IF($Z1245="","",IF(AND(DATE($AD1245,8,1)&gt;=$AE1245,DATE($AD1245,8,1)&lt;=$AF1245),ROUND($AG1245,2),0))</f>
        <v/>
      </c>
      <c r="R1245" s="18">
        <f>IF($Z1245="","",IF(AND(DATE($AD1245,9,1)&gt;=$AE1245,DATE($AD1245,9,1)&lt;=$AF1245),ROUND($AG1245,2),0))</f>
        <v/>
      </c>
      <c r="S1245" s="18">
        <f>IF($Z1245="","",IF(AND(DATE($AD1245,10,1)&gt;=$AE1245,DATE($AD1245,10,1)&lt;=$AF1245),ROUND($AG1245,2),0))</f>
        <v/>
      </c>
      <c r="T1245" s="18">
        <f>IF($Z1245="","",IF(AND(DATE($AD1245,11,1)&gt;=$AE1245,DATE($AD1245,11,1)&lt;=$AF1245),ROUND($AG1245,2),0))</f>
        <v/>
      </c>
      <c r="U1245" s="18">
        <f>IF($Z1245="","",IF(AND(DATE($AD1245,12,1)&gt;=$AE1245,DATE($AD1245,12,1)&lt;=$AF1245),ROUND($AG1245,2),0))</f>
        <v/>
      </c>
      <c r="V1245" s="7">
        <f>IF($Z1245="C","Generated from "&amp;INDEX(Contracts!$A$2:$A$151,$AB1245),IF($Z1245="A","Generated from "&amp;INDEX(Fixed_Assets!$A$2:$A$201,$AB1245),IF($Z1245="F","Generated from "&amp;INDEX(FTE_Allocation!$A$2:$A$201,$AB1245),"")))</f>
        <v/>
      </c>
      <c r="X1245" s="19">
        <f>IF($Z1245="","",SUM(J1245:U1245))</f>
        <v/>
      </c>
      <c r="Y1245" s="20">
        <f>ROW()-1</f>
        <v/>
      </c>
      <c r="Z1245" s="20">
        <f>IF($Y1245&lt;=Settings!$B$4*3,"C",IF($Y1245&lt;=(Settings!$B$4+Settings!$B$5)*3,"A",IF($Y1245&lt;=(Settings!$B$4+Settings!$B$5+Settings!$B$6)*3,"F","")))</f>
        <v/>
      </c>
      <c r="AA1245" s="20">
        <f>IF($Z1245="C",$Y1245,IF($Z1245="A",$Y1245-Settings!$B$4*3,IF($Z1245="F",$Y1245-(Settings!$B$4+Settings!$B$5)*3,"")))</f>
        <v/>
      </c>
      <c r="AB1245" s="20">
        <f>IF($Z1245="","",INT(($AA1245-1)/3)+1)</f>
        <v/>
      </c>
      <c r="AC1245" s="20">
        <f>IF($Z1245="","",MOD($AA1245-1,3)+1)</f>
        <v/>
      </c>
      <c r="AD1245" s="20">
        <f>IF($Z1245="","",Settings!$B$2+$AC1245-1)</f>
        <v/>
      </c>
      <c r="AE1245" s="21">
        <f>IF($Z1245="C",DATE(YEAR(INDEX(Contracts!$J$2:$J$151,$AB1245)),MONTH(INDEX(Contracts!$J$2:$J$151,$AB1245)),1),IF($Z1245="A",DATE(YEAR(INDEX(Fixed_Assets!$G$2:$G$201,$AB1245)),MONTH(INDEX(Fixed_Assets!$G$2:$G$201,$AB1245)),1),IF($Z1245="F",DATE(YEAR(MAX(N(INDEX(Workforce!$I$2:$I$151,MATCH(INDEX(FTE_Allocation!$A$2:$A$201,$AB1245),Workforce!$A$2:$A$151,0))),N(INDEX(FTE_Allocation!$I$2:$I$201,$AB1245)))),MONTH(MAX(N(INDEX(Workforce!$I$2:$I$151,MATCH(INDEX(FTE_Allocation!$A$2:$A$201,$AB1245),Workforce!$A$2:$A$151,0))),N(INDEX(FTE_Allocation!$I$2:$I$201,$AB1245)))),1),"")))</f>
        <v/>
      </c>
      <c r="AF1245" s="21">
        <f>IF($Z1245="C",IF(INDEX(Contracts!$I$2:$I$151,$AB1245)="PREPAID",EDATE(DATE(YEAR(INDEX(Contracts!$J$2:$J$151,$AB1245)),MONTH(INDEX(Contracts!$J$2:$J$151,$AB1245)),1),IF(INDEX(Contracts!$N$2:$N$151,$AB1245)="",12,INDEX(Contracts!$N$2:$N$151,$AB1245))-1),IF(INDEX(Contracts!$I$2:$I$151,$AB1245)="MONTHLY",IF(INDEX(Contracts!$K$2:$K$151,$AB1245)="",2958101,INDEX(Contracts!$K$2:$K$151,$AB1245)),0)),IF($Z1245="A",EDATE(DATE(YEAR(INDEX(Fixed_Assets!$G$2:$G$201,$AB1245)),MONTH(INDEX(Fixed_Assets!$G$2:$G$201,$AB1245)),1),INDEX(Fixed_Assets!$J$2:$J$201,$AB1245)-1),IF($Z1245="F",MIN(IF(INDEX(Workforce!$J$2:$J$151,MATCH(INDEX(FTE_Allocation!$A$2:$A$201,$AB1245),Workforce!$A$2:$A$151,0))="",2958101,INDEX(Workforce!$J$2:$J$151,MATCH(INDEX(FTE_Allocation!$A$2:$A$201,$AB1245),Workforce!$A$2:$A$151,0))),IF(INDEX(FTE_Allocation!$J$2:$J$201,$AB1245)="",2958101,INDEX(FTE_Allocation!$J$2:$J$201,$AB1245))),"")))</f>
        <v/>
      </c>
      <c r="AG1245" s="19">
        <f>IF($Z1245="C",IF(INDEX(Contracts!$I$2:$I$151,$AB1245)="PREPAID",INDEX(Contracts!$M$2:$M$151,$AB1245)/IF(INDEX(Contracts!$N$2:$N$151,$AB1245)="",12,INDEX(Contracts!$N$2:$N$151,$AB1245)),IF(INDEX(Contracts!$I$2:$I$151,$AB1245)="MONTHLY",INDEX(Contracts!$M$2:$M$151,$AB1245),0))*(1-N(INDEX(Contracts!$O$2:$O$151,$AB1245))),IF($Z1245="A",INDEX(Fixed_Assets!$H$2:$H$201,$AB1245)/INDEX(Fixed_Assets!$J$2:$J$201,$AB1245),IF($Z1245="F",INDEX(Workforce!$F$2:$F$151,MATCH(INDEX(FTE_Allocation!$A$2:$A$201,$AB1245),Workforce!$A$2:$A$151,0))*N(INDEX(FTE_Allocation!$F$2:$H$201,$AB1245,$AC1245)),"")))</f>
        <v/>
      </c>
    </row>
    <row r="1246">
      <c r="A1246" s="7">
        <f>IF($Z1246="","",$AD1246)</f>
        <v/>
      </c>
      <c r="B1246" s="7">
        <f>IF($Z1246="C",INDEX(Contracts!$D$2:$D$151,$AB1246)&amp;"",IF($Z1246="A",INDEX(Fixed_Assets!$C$2:$C$201,$AB1246)&amp;"",IF($Z1246="F",INDEX(Workforce!$B$2:$B$151,MATCH(INDEX(FTE_Allocation!$A$2:$A$201,$AB1246),Workforce!$A$2:$A$151,0))&amp;"","")))</f>
        <v/>
      </c>
      <c r="C1246" s="7">
        <f>IF($Z1246="C",INDEX(Contracts!$E$2:$E$151,$AB1246)&amp;"",IF($Z1246="A",INDEX(Fixed_Assets!$D$2:$D$201,$AB1246)&amp;"",IF($Z1246="F",INDEX(FTE_Allocation!$C$2:$C$201,$AB1246)&amp;"","")))</f>
        <v/>
      </c>
      <c r="D1246" s="7">
        <f>IF($Z1246="C",INDEX(Contracts!$B$2:$B$151,$AB1246)&amp;"",IF($Z1246="A",INDEX(Fixed_Assets!$B$2:$B$201,$AB1246)&amp;"",IF($Z1246="F",INDEX(FTE_Allocation!$B$2:$B$201,$AB1246)&amp;"","")))</f>
        <v/>
      </c>
      <c r="E1246" s="7">
        <f>IF($Z1246="C",INDEX(Contracts!$P$2:$P$151,$AB1246)&amp;"",IF($Z1246="A",INDEX(Fixed_Assets!$K$2:$K$201,$AB1246)&amp;"",IF($Z1246="F",IF(INDEX(FTE_Allocation!$D$2:$D$201,$AB1246)="PROJECT",IFERROR(INDEX(Projects!$D:$D,MATCH(INDEX(FTE_Allocation!$E$2:$E$201,$AB1246),Projects!$A:$A,0))&amp;"","#PROJECT?"),INDEX(FTE_Allocation!$E$2:$E$201,$AB1246)&amp;""),"")))</f>
        <v/>
      </c>
      <c r="F1246" s="7">
        <f>IF($Z1246="C",INDEX(Contracts!$Q$2:$Q$151,$AB1246)&amp;"",IF($Z1246="A",INDEX(Fixed_Assets!$L$2:$L$201,$AB1246)&amp;"",IF($Z1246="F",INDEX(Workforce!$K$2:$K$151,MATCH(INDEX(FTE_Allocation!$A$2:$A$201,$AB1246),Workforce!$A$2:$A$151,0))&amp;"","")))</f>
        <v/>
      </c>
      <c r="G1246" s="7">
        <f>IF($Z1246="C",INDEX(Contracts!$F$2:$F$151,$AB1246)&amp;" / "&amp;INDEX(Contracts!$G$2:$G$151,$AB1246),IF($Z1246="A",INDEX(Fixed_Assets!$E$2:$E$201,$AB1246)&amp;"",IF($Z1246="F","Personnel "&amp;INDEX(FTE_Allocation!$A$2:$A$201,$AB1246)&amp;IF(INDEX(FTE_Allocation!$D$2:$D$201,$AB1246)="PROJECT"," ("&amp;INDEX(FTE_Allocation!$E$2:$E$201,$AB1246)&amp;")",""),"")))</f>
        <v/>
      </c>
      <c r="H1246" s="7">
        <f>IF($Z1246="C","CONTRACT",IF($Z1246="A","ASSET",IF($Z1246="F","WORKFORCE","")))</f>
        <v/>
      </c>
      <c r="I1246" s="7">
        <f>IF($Z1246="C",INDEX(Contracts!$L$2:$L$151,$AB1246)&amp;"",IF($Z1246="A",INDEX(Fixed_Assets!$I$2:$I$201,$AB1246)&amp;"",IF($Z1246="F",INDEX(Workforce!$G$2:$G$151,MATCH(INDEX(FTE_Allocation!$A$2:$A$201,$AB1246),Workforce!$A$2:$A$151,0))&amp;"","")))</f>
        <v/>
      </c>
      <c r="J1246" s="18">
        <f>IF($Z1246="","",IF(AND(DATE($AD1246,1,1)&gt;=$AE1246,DATE($AD1246,1,1)&lt;=$AF1246),ROUND($AG1246,2),0))</f>
        <v/>
      </c>
      <c r="K1246" s="18">
        <f>IF($Z1246="","",IF(AND(DATE($AD1246,2,1)&gt;=$AE1246,DATE($AD1246,2,1)&lt;=$AF1246),ROUND($AG1246,2),0))</f>
        <v/>
      </c>
      <c r="L1246" s="18">
        <f>IF($Z1246="","",IF(AND(DATE($AD1246,3,1)&gt;=$AE1246,DATE($AD1246,3,1)&lt;=$AF1246),ROUND($AG1246,2),0))</f>
        <v/>
      </c>
      <c r="M1246" s="18">
        <f>IF($Z1246="","",IF(AND(DATE($AD1246,4,1)&gt;=$AE1246,DATE($AD1246,4,1)&lt;=$AF1246),ROUND($AG1246,2),0))</f>
        <v/>
      </c>
      <c r="N1246" s="18">
        <f>IF($Z1246="","",IF(AND(DATE($AD1246,5,1)&gt;=$AE1246,DATE($AD1246,5,1)&lt;=$AF1246),ROUND($AG1246,2),0))</f>
        <v/>
      </c>
      <c r="O1246" s="18">
        <f>IF($Z1246="","",IF(AND(DATE($AD1246,6,1)&gt;=$AE1246,DATE($AD1246,6,1)&lt;=$AF1246),ROUND($AG1246,2),0))</f>
        <v/>
      </c>
      <c r="P1246" s="18">
        <f>IF($Z1246="","",IF(AND(DATE($AD1246,7,1)&gt;=$AE1246,DATE($AD1246,7,1)&lt;=$AF1246),ROUND($AG1246,2),0))</f>
        <v/>
      </c>
      <c r="Q1246" s="18">
        <f>IF($Z1246="","",IF(AND(DATE($AD1246,8,1)&gt;=$AE1246,DATE($AD1246,8,1)&lt;=$AF1246),ROUND($AG1246,2),0))</f>
        <v/>
      </c>
      <c r="R1246" s="18">
        <f>IF($Z1246="","",IF(AND(DATE($AD1246,9,1)&gt;=$AE1246,DATE($AD1246,9,1)&lt;=$AF1246),ROUND($AG1246,2),0))</f>
        <v/>
      </c>
      <c r="S1246" s="18">
        <f>IF($Z1246="","",IF(AND(DATE($AD1246,10,1)&gt;=$AE1246,DATE($AD1246,10,1)&lt;=$AF1246),ROUND($AG1246,2),0))</f>
        <v/>
      </c>
      <c r="T1246" s="18">
        <f>IF($Z1246="","",IF(AND(DATE($AD1246,11,1)&gt;=$AE1246,DATE($AD1246,11,1)&lt;=$AF1246),ROUND($AG1246,2),0))</f>
        <v/>
      </c>
      <c r="U1246" s="18">
        <f>IF($Z1246="","",IF(AND(DATE($AD1246,12,1)&gt;=$AE1246,DATE($AD1246,12,1)&lt;=$AF1246),ROUND($AG1246,2),0))</f>
        <v/>
      </c>
      <c r="V1246" s="7">
        <f>IF($Z1246="C","Generated from "&amp;INDEX(Contracts!$A$2:$A$151,$AB1246),IF($Z1246="A","Generated from "&amp;INDEX(Fixed_Assets!$A$2:$A$201,$AB1246),IF($Z1246="F","Generated from "&amp;INDEX(FTE_Allocation!$A$2:$A$201,$AB1246),"")))</f>
        <v/>
      </c>
      <c r="X1246" s="19">
        <f>IF($Z1246="","",SUM(J1246:U1246))</f>
        <v/>
      </c>
      <c r="Y1246" s="20">
        <f>ROW()-1</f>
        <v/>
      </c>
      <c r="Z1246" s="20">
        <f>IF($Y1246&lt;=Settings!$B$4*3,"C",IF($Y1246&lt;=(Settings!$B$4+Settings!$B$5)*3,"A",IF($Y1246&lt;=(Settings!$B$4+Settings!$B$5+Settings!$B$6)*3,"F","")))</f>
        <v/>
      </c>
      <c r="AA1246" s="20">
        <f>IF($Z1246="C",$Y1246,IF($Z1246="A",$Y1246-Settings!$B$4*3,IF($Z1246="F",$Y1246-(Settings!$B$4+Settings!$B$5)*3,"")))</f>
        <v/>
      </c>
      <c r="AB1246" s="20">
        <f>IF($Z1246="","",INT(($AA1246-1)/3)+1)</f>
        <v/>
      </c>
      <c r="AC1246" s="20">
        <f>IF($Z1246="","",MOD($AA1246-1,3)+1)</f>
        <v/>
      </c>
      <c r="AD1246" s="20">
        <f>IF($Z1246="","",Settings!$B$2+$AC1246-1)</f>
        <v/>
      </c>
      <c r="AE1246" s="21">
        <f>IF($Z1246="C",DATE(YEAR(INDEX(Contracts!$J$2:$J$151,$AB1246)),MONTH(INDEX(Contracts!$J$2:$J$151,$AB1246)),1),IF($Z1246="A",DATE(YEAR(INDEX(Fixed_Assets!$G$2:$G$201,$AB1246)),MONTH(INDEX(Fixed_Assets!$G$2:$G$201,$AB1246)),1),IF($Z1246="F",DATE(YEAR(MAX(N(INDEX(Workforce!$I$2:$I$151,MATCH(INDEX(FTE_Allocation!$A$2:$A$201,$AB1246),Workforce!$A$2:$A$151,0))),N(INDEX(FTE_Allocation!$I$2:$I$201,$AB1246)))),MONTH(MAX(N(INDEX(Workforce!$I$2:$I$151,MATCH(INDEX(FTE_Allocation!$A$2:$A$201,$AB1246),Workforce!$A$2:$A$151,0))),N(INDEX(FTE_Allocation!$I$2:$I$201,$AB1246)))),1),"")))</f>
        <v/>
      </c>
      <c r="AF1246" s="21">
        <f>IF($Z1246="C",IF(INDEX(Contracts!$I$2:$I$151,$AB1246)="PREPAID",EDATE(DATE(YEAR(INDEX(Contracts!$J$2:$J$151,$AB1246)),MONTH(INDEX(Contracts!$J$2:$J$151,$AB1246)),1),IF(INDEX(Contracts!$N$2:$N$151,$AB1246)="",12,INDEX(Contracts!$N$2:$N$151,$AB1246))-1),IF(INDEX(Contracts!$I$2:$I$151,$AB1246)="MONTHLY",IF(INDEX(Contracts!$K$2:$K$151,$AB1246)="",2958101,INDEX(Contracts!$K$2:$K$151,$AB1246)),0)),IF($Z1246="A",EDATE(DATE(YEAR(INDEX(Fixed_Assets!$G$2:$G$201,$AB1246)),MONTH(INDEX(Fixed_Assets!$G$2:$G$201,$AB1246)),1),INDEX(Fixed_Assets!$J$2:$J$201,$AB1246)-1),IF($Z1246="F",MIN(IF(INDEX(Workforce!$J$2:$J$151,MATCH(INDEX(FTE_Allocation!$A$2:$A$201,$AB1246),Workforce!$A$2:$A$151,0))="",2958101,INDEX(Workforce!$J$2:$J$151,MATCH(INDEX(FTE_Allocation!$A$2:$A$201,$AB1246),Workforce!$A$2:$A$151,0))),IF(INDEX(FTE_Allocation!$J$2:$J$201,$AB1246)="",2958101,INDEX(FTE_Allocation!$J$2:$J$201,$AB1246))),"")))</f>
        <v/>
      </c>
      <c r="AG1246" s="19">
        <f>IF($Z1246="C",IF(INDEX(Contracts!$I$2:$I$151,$AB1246)="PREPAID",INDEX(Contracts!$M$2:$M$151,$AB1246)/IF(INDEX(Contracts!$N$2:$N$151,$AB1246)="",12,INDEX(Contracts!$N$2:$N$151,$AB1246)),IF(INDEX(Contracts!$I$2:$I$151,$AB1246)="MONTHLY",INDEX(Contracts!$M$2:$M$151,$AB1246),0))*(1-N(INDEX(Contracts!$O$2:$O$151,$AB1246))),IF($Z1246="A",INDEX(Fixed_Assets!$H$2:$H$201,$AB1246)/INDEX(Fixed_Assets!$J$2:$J$201,$AB1246),IF($Z1246="F",INDEX(Workforce!$F$2:$F$151,MATCH(INDEX(FTE_Allocation!$A$2:$A$201,$AB1246),Workforce!$A$2:$A$151,0))*N(INDEX(FTE_Allocation!$F$2:$H$201,$AB1246,$AC1246)),"")))</f>
        <v/>
      </c>
    </row>
    <row r="1247">
      <c r="A1247" s="7">
        <f>IF($Z1247="","",$AD1247)</f>
        <v/>
      </c>
      <c r="B1247" s="7">
        <f>IF($Z1247="C",INDEX(Contracts!$D$2:$D$151,$AB1247)&amp;"",IF($Z1247="A",INDEX(Fixed_Assets!$C$2:$C$201,$AB1247)&amp;"",IF($Z1247="F",INDEX(Workforce!$B$2:$B$151,MATCH(INDEX(FTE_Allocation!$A$2:$A$201,$AB1247),Workforce!$A$2:$A$151,0))&amp;"","")))</f>
        <v/>
      </c>
      <c r="C1247" s="7">
        <f>IF($Z1247="C",INDEX(Contracts!$E$2:$E$151,$AB1247)&amp;"",IF($Z1247="A",INDEX(Fixed_Assets!$D$2:$D$201,$AB1247)&amp;"",IF($Z1247="F",INDEX(FTE_Allocation!$C$2:$C$201,$AB1247)&amp;"","")))</f>
        <v/>
      </c>
      <c r="D1247" s="7">
        <f>IF($Z1247="C",INDEX(Contracts!$B$2:$B$151,$AB1247)&amp;"",IF($Z1247="A",INDEX(Fixed_Assets!$B$2:$B$201,$AB1247)&amp;"",IF($Z1247="F",INDEX(FTE_Allocation!$B$2:$B$201,$AB1247)&amp;"","")))</f>
        <v/>
      </c>
      <c r="E1247" s="7">
        <f>IF($Z1247="C",INDEX(Contracts!$P$2:$P$151,$AB1247)&amp;"",IF($Z1247="A",INDEX(Fixed_Assets!$K$2:$K$201,$AB1247)&amp;"",IF($Z1247="F",IF(INDEX(FTE_Allocation!$D$2:$D$201,$AB1247)="PROJECT",IFERROR(INDEX(Projects!$D:$D,MATCH(INDEX(FTE_Allocation!$E$2:$E$201,$AB1247),Projects!$A:$A,0))&amp;"","#PROJECT?"),INDEX(FTE_Allocation!$E$2:$E$201,$AB1247)&amp;""),"")))</f>
        <v/>
      </c>
      <c r="F1247" s="7">
        <f>IF($Z1247="C",INDEX(Contracts!$Q$2:$Q$151,$AB1247)&amp;"",IF($Z1247="A",INDEX(Fixed_Assets!$L$2:$L$201,$AB1247)&amp;"",IF($Z1247="F",INDEX(Workforce!$K$2:$K$151,MATCH(INDEX(FTE_Allocation!$A$2:$A$201,$AB1247),Workforce!$A$2:$A$151,0))&amp;"","")))</f>
        <v/>
      </c>
      <c r="G1247" s="7">
        <f>IF($Z1247="C",INDEX(Contracts!$F$2:$F$151,$AB1247)&amp;" / "&amp;INDEX(Contracts!$G$2:$G$151,$AB1247),IF($Z1247="A",INDEX(Fixed_Assets!$E$2:$E$201,$AB1247)&amp;"",IF($Z1247="F","Personnel "&amp;INDEX(FTE_Allocation!$A$2:$A$201,$AB1247)&amp;IF(INDEX(FTE_Allocation!$D$2:$D$201,$AB1247)="PROJECT"," ("&amp;INDEX(FTE_Allocation!$E$2:$E$201,$AB1247)&amp;")",""),"")))</f>
        <v/>
      </c>
      <c r="H1247" s="7">
        <f>IF($Z1247="C","CONTRACT",IF($Z1247="A","ASSET",IF($Z1247="F","WORKFORCE","")))</f>
        <v/>
      </c>
      <c r="I1247" s="7">
        <f>IF($Z1247="C",INDEX(Contracts!$L$2:$L$151,$AB1247)&amp;"",IF($Z1247="A",INDEX(Fixed_Assets!$I$2:$I$201,$AB1247)&amp;"",IF($Z1247="F",INDEX(Workforce!$G$2:$G$151,MATCH(INDEX(FTE_Allocation!$A$2:$A$201,$AB1247),Workforce!$A$2:$A$151,0))&amp;"","")))</f>
        <v/>
      </c>
      <c r="J1247" s="18">
        <f>IF($Z1247="","",IF(AND(DATE($AD1247,1,1)&gt;=$AE1247,DATE($AD1247,1,1)&lt;=$AF1247),ROUND($AG1247,2),0))</f>
        <v/>
      </c>
      <c r="K1247" s="18">
        <f>IF($Z1247="","",IF(AND(DATE($AD1247,2,1)&gt;=$AE1247,DATE($AD1247,2,1)&lt;=$AF1247),ROUND($AG1247,2),0))</f>
        <v/>
      </c>
      <c r="L1247" s="18">
        <f>IF($Z1247="","",IF(AND(DATE($AD1247,3,1)&gt;=$AE1247,DATE($AD1247,3,1)&lt;=$AF1247),ROUND($AG1247,2),0))</f>
        <v/>
      </c>
      <c r="M1247" s="18">
        <f>IF($Z1247="","",IF(AND(DATE($AD1247,4,1)&gt;=$AE1247,DATE($AD1247,4,1)&lt;=$AF1247),ROUND($AG1247,2),0))</f>
        <v/>
      </c>
      <c r="N1247" s="18">
        <f>IF($Z1247="","",IF(AND(DATE($AD1247,5,1)&gt;=$AE1247,DATE($AD1247,5,1)&lt;=$AF1247),ROUND($AG1247,2),0))</f>
        <v/>
      </c>
      <c r="O1247" s="18">
        <f>IF($Z1247="","",IF(AND(DATE($AD1247,6,1)&gt;=$AE1247,DATE($AD1247,6,1)&lt;=$AF1247),ROUND($AG1247,2),0))</f>
        <v/>
      </c>
      <c r="P1247" s="18">
        <f>IF($Z1247="","",IF(AND(DATE($AD1247,7,1)&gt;=$AE1247,DATE($AD1247,7,1)&lt;=$AF1247),ROUND($AG1247,2),0))</f>
        <v/>
      </c>
      <c r="Q1247" s="18">
        <f>IF($Z1247="","",IF(AND(DATE($AD1247,8,1)&gt;=$AE1247,DATE($AD1247,8,1)&lt;=$AF1247),ROUND($AG1247,2),0))</f>
        <v/>
      </c>
      <c r="R1247" s="18">
        <f>IF($Z1247="","",IF(AND(DATE($AD1247,9,1)&gt;=$AE1247,DATE($AD1247,9,1)&lt;=$AF1247),ROUND($AG1247,2),0))</f>
        <v/>
      </c>
      <c r="S1247" s="18">
        <f>IF($Z1247="","",IF(AND(DATE($AD1247,10,1)&gt;=$AE1247,DATE($AD1247,10,1)&lt;=$AF1247),ROUND($AG1247,2),0))</f>
        <v/>
      </c>
      <c r="T1247" s="18">
        <f>IF($Z1247="","",IF(AND(DATE($AD1247,11,1)&gt;=$AE1247,DATE($AD1247,11,1)&lt;=$AF1247),ROUND($AG1247,2),0))</f>
        <v/>
      </c>
      <c r="U1247" s="18">
        <f>IF($Z1247="","",IF(AND(DATE($AD1247,12,1)&gt;=$AE1247,DATE($AD1247,12,1)&lt;=$AF1247),ROUND($AG1247,2),0))</f>
        <v/>
      </c>
      <c r="V1247" s="7">
        <f>IF($Z1247="C","Generated from "&amp;INDEX(Contracts!$A$2:$A$151,$AB1247),IF($Z1247="A","Generated from "&amp;INDEX(Fixed_Assets!$A$2:$A$201,$AB1247),IF($Z1247="F","Generated from "&amp;INDEX(FTE_Allocation!$A$2:$A$201,$AB1247),"")))</f>
        <v/>
      </c>
      <c r="X1247" s="19">
        <f>IF($Z1247="","",SUM(J1247:U1247))</f>
        <v/>
      </c>
      <c r="Y1247" s="20">
        <f>ROW()-1</f>
        <v/>
      </c>
      <c r="Z1247" s="20">
        <f>IF($Y1247&lt;=Settings!$B$4*3,"C",IF($Y1247&lt;=(Settings!$B$4+Settings!$B$5)*3,"A",IF($Y1247&lt;=(Settings!$B$4+Settings!$B$5+Settings!$B$6)*3,"F","")))</f>
        <v/>
      </c>
      <c r="AA1247" s="20">
        <f>IF($Z1247="C",$Y1247,IF($Z1247="A",$Y1247-Settings!$B$4*3,IF($Z1247="F",$Y1247-(Settings!$B$4+Settings!$B$5)*3,"")))</f>
        <v/>
      </c>
      <c r="AB1247" s="20">
        <f>IF($Z1247="","",INT(($AA1247-1)/3)+1)</f>
        <v/>
      </c>
      <c r="AC1247" s="20">
        <f>IF($Z1247="","",MOD($AA1247-1,3)+1)</f>
        <v/>
      </c>
      <c r="AD1247" s="20">
        <f>IF($Z1247="","",Settings!$B$2+$AC1247-1)</f>
        <v/>
      </c>
      <c r="AE1247" s="21">
        <f>IF($Z1247="C",DATE(YEAR(INDEX(Contracts!$J$2:$J$151,$AB1247)),MONTH(INDEX(Contracts!$J$2:$J$151,$AB1247)),1),IF($Z1247="A",DATE(YEAR(INDEX(Fixed_Assets!$G$2:$G$201,$AB1247)),MONTH(INDEX(Fixed_Assets!$G$2:$G$201,$AB1247)),1),IF($Z1247="F",DATE(YEAR(MAX(N(INDEX(Workforce!$I$2:$I$151,MATCH(INDEX(FTE_Allocation!$A$2:$A$201,$AB1247),Workforce!$A$2:$A$151,0))),N(INDEX(FTE_Allocation!$I$2:$I$201,$AB1247)))),MONTH(MAX(N(INDEX(Workforce!$I$2:$I$151,MATCH(INDEX(FTE_Allocation!$A$2:$A$201,$AB1247),Workforce!$A$2:$A$151,0))),N(INDEX(FTE_Allocation!$I$2:$I$201,$AB1247)))),1),"")))</f>
        <v/>
      </c>
      <c r="AF1247" s="21">
        <f>IF($Z1247="C",IF(INDEX(Contracts!$I$2:$I$151,$AB1247)="PREPAID",EDATE(DATE(YEAR(INDEX(Contracts!$J$2:$J$151,$AB1247)),MONTH(INDEX(Contracts!$J$2:$J$151,$AB1247)),1),IF(INDEX(Contracts!$N$2:$N$151,$AB1247)="",12,INDEX(Contracts!$N$2:$N$151,$AB1247))-1),IF(INDEX(Contracts!$I$2:$I$151,$AB1247)="MONTHLY",IF(INDEX(Contracts!$K$2:$K$151,$AB1247)="",2958101,INDEX(Contracts!$K$2:$K$151,$AB1247)),0)),IF($Z1247="A",EDATE(DATE(YEAR(INDEX(Fixed_Assets!$G$2:$G$201,$AB1247)),MONTH(INDEX(Fixed_Assets!$G$2:$G$201,$AB1247)),1),INDEX(Fixed_Assets!$J$2:$J$201,$AB1247)-1),IF($Z1247="F",MIN(IF(INDEX(Workforce!$J$2:$J$151,MATCH(INDEX(FTE_Allocation!$A$2:$A$201,$AB1247),Workforce!$A$2:$A$151,0))="",2958101,INDEX(Workforce!$J$2:$J$151,MATCH(INDEX(FTE_Allocation!$A$2:$A$201,$AB1247),Workforce!$A$2:$A$151,0))),IF(INDEX(FTE_Allocation!$J$2:$J$201,$AB1247)="",2958101,INDEX(FTE_Allocation!$J$2:$J$201,$AB1247))),"")))</f>
        <v/>
      </c>
      <c r="AG1247" s="19">
        <f>IF($Z1247="C",IF(INDEX(Contracts!$I$2:$I$151,$AB1247)="PREPAID",INDEX(Contracts!$M$2:$M$151,$AB1247)/IF(INDEX(Contracts!$N$2:$N$151,$AB1247)="",12,INDEX(Contracts!$N$2:$N$151,$AB1247)),IF(INDEX(Contracts!$I$2:$I$151,$AB1247)="MONTHLY",INDEX(Contracts!$M$2:$M$151,$AB1247),0))*(1-N(INDEX(Contracts!$O$2:$O$151,$AB1247))),IF($Z1247="A",INDEX(Fixed_Assets!$H$2:$H$201,$AB1247)/INDEX(Fixed_Assets!$J$2:$J$201,$AB1247),IF($Z1247="F",INDEX(Workforce!$F$2:$F$151,MATCH(INDEX(FTE_Allocation!$A$2:$A$201,$AB1247),Workforce!$A$2:$A$151,0))*N(INDEX(FTE_Allocation!$F$2:$H$201,$AB1247,$AC1247)),"")))</f>
        <v/>
      </c>
    </row>
    <row r="1248">
      <c r="A1248" s="7">
        <f>IF($Z1248="","",$AD1248)</f>
        <v/>
      </c>
      <c r="B1248" s="7">
        <f>IF($Z1248="C",INDEX(Contracts!$D$2:$D$151,$AB1248)&amp;"",IF($Z1248="A",INDEX(Fixed_Assets!$C$2:$C$201,$AB1248)&amp;"",IF($Z1248="F",INDEX(Workforce!$B$2:$B$151,MATCH(INDEX(FTE_Allocation!$A$2:$A$201,$AB1248),Workforce!$A$2:$A$151,0))&amp;"","")))</f>
        <v/>
      </c>
      <c r="C1248" s="7">
        <f>IF($Z1248="C",INDEX(Contracts!$E$2:$E$151,$AB1248)&amp;"",IF($Z1248="A",INDEX(Fixed_Assets!$D$2:$D$201,$AB1248)&amp;"",IF($Z1248="F",INDEX(FTE_Allocation!$C$2:$C$201,$AB1248)&amp;"","")))</f>
        <v/>
      </c>
      <c r="D1248" s="7">
        <f>IF($Z1248="C",INDEX(Contracts!$B$2:$B$151,$AB1248)&amp;"",IF($Z1248="A",INDEX(Fixed_Assets!$B$2:$B$201,$AB1248)&amp;"",IF($Z1248="F",INDEX(FTE_Allocation!$B$2:$B$201,$AB1248)&amp;"","")))</f>
        <v/>
      </c>
      <c r="E1248" s="7">
        <f>IF($Z1248="C",INDEX(Contracts!$P$2:$P$151,$AB1248)&amp;"",IF($Z1248="A",INDEX(Fixed_Assets!$K$2:$K$201,$AB1248)&amp;"",IF($Z1248="F",IF(INDEX(FTE_Allocation!$D$2:$D$201,$AB1248)="PROJECT",IFERROR(INDEX(Projects!$D:$D,MATCH(INDEX(FTE_Allocation!$E$2:$E$201,$AB1248),Projects!$A:$A,0))&amp;"","#PROJECT?"),INDEX(FTE_Allocation!$E$2:$E$201,$AB1248)&amp;""),"")))</f>
        <v/>
      </c>
      <c r="F1248" s="7">
        <f>IF($Z1248="C",INDEX(Contracts!$Q$2:$Q$151,$AB1248)&amp;"",IF($Z1248="A",INDEX(Fixed_Assets!$L$2:$L$201,$AB1248)&amp;"",IF($Z1248="F",INDEX(Workforce!$K$2:$K$151,MATCH(INDEX(FTE_Allocation!$A$2:$A$201,$AB1248),Workforce!$A$2:$A$151,0))&amp;"","")))</f>
        <v/>
      </c>
      <c r="G1248" s="7">
        <f>IF($Z1248="C",INDEX(Contracts!$F$2:$F$151,$AB1248)&amp;" / "&amp;INDEX(Contracts!$G$2:$G$151,$AB1248),IF($Z1248="A",INDEX(Fixed_Assets!$E$2:$E$201,$AB1248)&amp;"",IF($Z1248="F","Personnel "&amp;INDEX(FTE_Allocation!$A$2:$A$201,$AB1248)&amp;IF(INDEX(FTE_Allocation!$D$2:$D$201,$AB1248)="PROJECT"," ("&amp;INDEX(FTE_Allocation!$E$2:$E$201,$AB1248)&amp;")",""),"")))</f>
        <v/>
      </c>
      <c r="H1248" s="7">
        <f>IF($Z1248="C","CONTRACT",IF($Z1248="A","ASSET",IF($Z1248="F","WORKFORCE","")))</f>
        <v/>
      </c>
      <c r="I1248" s="7">
        <f>IF($Z1248="C",INDEX(Contracts!$L$2:$L$151,$AB1248)&amp;"",IF($Z1248="A",INDEX(Fixed_Assets!$I$2:$I$201,$AB1248)&amp;"",IF($Z1248="F",INDEX(Workforce!$G$2:$G$151,MATCH(INDEX(FTE_Allocation!$A$2:$A$201,$AB1248),Workforce!$A$2:$A$151,0))&amp;"","")))</f>
        <v/>
      </c>
      <c r="J1248" s="18">
        <f>IF($Z1248="","",IF(AND(DATE($AD1248,1,1)&gt;=$AE1248,DATE($AD1248,1,1)&lt;=$AF1248),ROUND($AG1248,2),0))</f>
        <v/>
      </c>
      <c r="K1248" s="18">
        <f>IF($Z1248="","",IF(AND(DATE($AD1248,2,1)&gt;=$AE1248,DATE($AD1248,2,1)&lt;=$AF1248),ROUND($AG1248,2),0))</f>
        <v/>
      </c>
      <c r="L1248" s="18">
        <f>IF($Z1248="","",IF(AND(DATE($AD1248,3,1)&gt;=$AE1248,DATE($AD1248,3,1)&lt;=$AF1248),ROUND($AG1248,2),0))</f>
        <v/>
      </c>
      <c r="M1248" s="18">
        <f>IF($Z1248="","",IF(AND(DATE($AD1248,4,1)&gt;=$AE1248,DATE($AD1248,4,1)&lt;=$AF1248),ROUND($AG1248,2),0))</f>
        <v/>
      </c>
      <c r="N1248" s="18">
        <f>IF($Z1248="","",IF(AND(DATE($AD1248,5,1)&gt;=$AE1248,DATE($AD1248,5,1)&lt;=$AF1248),ROUND($AG1248,2),0))</f>
        <v/>
      </c>
      <c r="O1248" s="18">
        <f>IF($Z1248="","",IF(AND(DATE($AD1248,6,1)&gt;=$AE1248,DATE($AD1248,6,1)&lt;=$AF1248),ROUND($AG1248,2),0))</f>
        <v/>
      </c>
      <c r="P1248" s="18">
        <f>IF($Z1248="","",IF(AND(DATE($AD1248,7,1)&gt;=$AE1248,DATE($AD1248,7,1)&lt;=$AF1248),ROUND($AG1248,2),0))</f>
        <v/>
      </c>
      <c r="Q1248" s="18">
        <f>IF($Z1248="","",IF(AND(DATE($AD1248,8,1)&gt;=$AE1248,DATE($AD1248,8,1)&lt;=$AF1248),ROUND($AG1248,2),0))</f>
        <v/>
      </c>
      <c r="R1248" s="18">
        <f>IF($Z1248="","",IF(AND(DATE($AD1248,9,1)&gt;=$AE1248,DATE($AD1248,9,1)&lt;=$AF1248),ROUND($AG1248,2),0))</f>
        <v/>
      </c>
      <c r="S1248" s="18">
        <f>IF($Z1248="","",IF(AND(DATE($AD1248,10,1)&gt;=$AE1248,DATE($AD1248,10,1)&lt;=$AF1248),ROUND($AG1248,2),0))</f>
        <v/>
      </c>
      <c r="T1248" s="18">
        <f>IF($Z1248="","",IF(AND(DATE($AD1248,11,1)&gt;=$AE1248,DATE($AD1248,11,1)&lt;=$AF1248),ROUND($AG1248,2),0))</f>
        <v/>
      </c>
      <c r="U1248" s="18">
        <f>IF($Z1248="","",IF(AND(DATE($AD1248,12,1)&gt;=$AE1248,DATE($AD1248,12,1)&lt;=$AF1248),ROUND($AG1248,2),0))</f>
        <v/>
      </c>
      <c r="V1248" s="7">
        <f>IF($Z1248="C","Generated from "&amp;INDEX(Contracts!$A$2:$A$151,$AB1248),IF($Z1248="A","Generated from "&amp;INDEX(Fixed_Assets!$A$2:$A$201,$AB1248),IF($Z1248="F","Generated from "&amp;INDEX(FTE_Allocation!$A$2:$A$201,$AB1248),"")))</f>
        <v/>
      </c>
      <c r="X1248" s="19">
        <f>IF($Z1248="","",SUM(J1248:U1248))</f>
        <v/>
      </c>
      <c r="Y1248" s="20">
        <f>ROW()-1</f>
        <v/>
      </c>
      <c r="Z1248" s="20">
        <f>IF($Y1248&lt;=Settings!$B$4*3,"C",IF($Y1248&lt;=(Settings!$B$4+Settings!$B$5)*3,"A",IF($Y1248&lt;=(Settings!$B$4+Settings!$B$5+Settings!$B$6)*3,"F","")))</f>
        <v/>
      </c>
      <c r="AA1248" s="20">
        <f>IF($Z1248="C",$Y1248,IF($Z1248="A",$Y1248-Settings!$B$4*3,IF($Z1248="F",$Y1248-(Settings!$B$4+Settings!$B$5)*3,"")))</f>
        <v/>
      </c>
      <c r="AB1248" s="20">
        <f>IF($Z1248="","",INT(($AA1248-1)/3)+1)</f>
        <v/>
      </c>
      <c r="AC1248" s="20">
        <f>IF($Z1248="","",MOD($AA1248-1,3)+1)</f>
        <v/>
      </c>
      <c r="AD1248" s="20">
        <f>IF($Z1248="","",Settings!$B$2+$AC1248-1)</f>
        <v/>
      </c>
      <c r="AE1248" s="21">
        <f>IF($Z1248="C",DATE(YEAR(INDEX(Contracts!$J$2:$J$151,$AB1248)),MONTH(INDEX(Contracts!$J$2:$J$151,$AB1248)),1),IF($Z1248="A",DATE(YEAR(INDEX(Fixed_Assets!$G$2:$G$201,$AB1248)),MONTH(INDEX(Fixed_Assets!$G$2:$G$201,$AB1248)),1),IF($Z1248="F",DATE(YEAR(MAX(N(INDEX(Workforce!$I$2:$I$151,MATCH(INDEX(FTE_Allocation!$A$2:$A$201,$AB1248),Workforce!$A$2:$A$151,0))),N(INDEX(FTE_Allocation!$I$2:$I$201,$AB1248)))),MONTH(MAX(N(INDEX(Workforce!$I$2:$I$151,MATCH(INDEX(FTE_Allocation!$A$2:$A$201,$AB1248),Workforce!$A$2:$A$151,0))),N(INDEX(FTE_Allocation!$I$2:$I$201,$AB1248)))),1),"")))</f>
        <v/>
      </c>
      <c r="AF1248" s="21">
        <f>IF($Z1248="C",IF(INDEX(Contracts!$I$2:$I$151,$AB1248)="PREPAID",EDATE(DATE(YEAR(INDEX(Contracts!$J$2:$J$151,$AB1248)),MONTH(INDEX(Contracts!$J$2:$J$151,$AB1248)),1),IF(INDEX(Contracts!$N$2:$N$151,$AB1248)="",12,INDEX(Contracts!$N$2:$N$151,$AB1248))-1),IF(INDEX(Contracts!$I$2:$I$151,$AB1248)="MONTHLY",IF(INDEX(Contracts!$K$2:$K$151,$AB1248)="",2958101,INDEX(Contracts!$K$2:$K$151,$AB1248)),0)),IF($Z1248="A",EDATE(DATE(YEAR(INDEX(Fixed_Assets!$G$2:$G$201,$AB1248)),MONTH(INDEX(Fixed_Assets!$G$2:$G$201,$AB1248)),1),INDEX(Fixed_Assets!$J$2:$J$201,$AB1248)-1),IF($Z1248="F",MIN(IF(INDEX(Workforce!$J$2:$J$151,MATCH(INDEX(FTE_Allocation!$A$2:$A$201,$AB1248),Workforce!$A$2:$A$151,0))="",2958101,INDEX(Workforce!$J$2:$J$151,MATCH(INDEX(FTE_Allocation!$A$2:$A$201,$AB1248),Workforce!$A$2:$A$151,0))),IF(INDEX(FTE_Allocation!$J$2:$J$201,$AB1248)="",2958101,INDEX(FTE_Allocation!$J$2:$J$201,$AB1248))),"")))</f>
        <v/>
      </c>
      <c r="AG1248" s="19">
        <f>IF($Z1248="C",IF(INDEX(Contracts!$I$2:$I$151,$AB1248)="PREPAID",INDEX(Contracts!$M$2:$M$151,$AB1248)/IF(INDEX(Contracts!$N$2:$N$151,$AB1248)="",12,INDEX(Contracts!$N$2:$N$151,$AB1248)),IF(INDEX(Contracts!$I$2:$I$151,$AB1248)="MONTHLY",INDEX(Contracts!$M$2:$M$151,$AB1248),0))*(1-N(INDEX(Contracts!$O$2:$O$151,$AB1248))),IF($Z1248="A",INDEX(Fixed_Assets!$H$2:$H$201,$AB1248)/INDEX(Fixed_Assets!$J$2:$J$201,$AB1248),IF($Z1248="F",INDEX(Workforce!$F$2:$F$151,MATCH(INDEX(FTE_Allocation!$A$2:$A$201,$AB1248),Workforce!$A$2:$A$151,0))*N(INDEX(FTE_Allocation!$F$2:$H$201,$AB1248,$AC1248)),"")))</f>
        <v/>
      </c>
    </row>
    <row r="1249">
      <c r="A1249" s="7">
        <f>IF($Z1249="","",$AD1249)</f>
        <v/>
      </c>
      <c r="B1249" s="7">
        <f>IF($Z1249="C",INDEX(Contracts!$D$2:$D$151,$AB1249)&amp;"",IF($Z1249="A",INDEX(Fixed_Assets!$C$2:$C$201,$AB1249)&amp;"",IF($Z1249="F",INDEX(Workforce!$B$2:$B$151,MATCH(INDEX(FTE_Allocation!$A$2:$A$201,$AB1249),Workforce!$A$2:$A$151,0))&amp;"","")))</f>
        <v/>
      </c>
      <c r="C1249" s="7">
        <f>IF($Z1249="C",INDEX(Contracts!$E$2:$E$151,$AB1249)&amp;"",IF($Z1249="A",INDEX(Fixed_Assets!$D$2:$D$201,$AB1249)&amp;"",IF($Z1249="F",INDEX(FTE_Allocation!$C$2:$C$201,$AB1249)&amp;"","")))</f>
        <v/>
      </c>
      <c r="D1249" s="7">
        <f>IF($Z1249="C",INDEX(Contracts!$B$2:$B$151,$AB1249)&amp;"",IF($Z1249="A",INDEX(Fixed_Assets!$B$2:$B$201,$AB1249)&amp;"",IF($Z1249="F",INDEX(FTE_Allocation!$B$2:$B$201,$AB1249)&amp;"","")))</f>
        <v/>
      </c>
      <c r="E1249" s="7">
        <f>IF($Z1249="C",INDEX(Contracts!$P$2:$P$151,$AB1249)&amp;"",IF($Z1249="A",INDEX(Fixed_Assets!$K$2:$K$201,$AB1249)&amp;"",IF($Z1249="F",IF(INDEX(FTE_Allocation!$D$2:$D$201,$AB1249)="PROJECT",IFERROR(INDEX(Projects!$D:$D,MATCH(INDEX(FTE_Allocation!$E$2:$E$201,$AB1249),Projects!$A:$A,0))&amp;"","#PROJECT?"),INDEX(FTE_Allocation!$E$2:$E$201,$AB1249)&amp;""),"")))</f>
        <v/>
      </c>
      <c r="F1249" s="7">
        <f>IF($Z1249="C",INDEX(Contracts!$Q$2:$Q$151,$AB1249)&amp;"",IF($Z1249="A",INDEX(Fixed_Assets!$L$2:$L$201,$AB1249)&amp;"",IF($Z1249="F",INDEX(Workforce!$K$2:$K$151,MATCH(INDEX(FTE_Allocation!$A$2:$A$201,$AB1249),Workforce!$A$2:$A$151,0))&amp;"","")))</f>
        <v/>
      </c>
      <c r="G1249" s="7">
        <f>IF($Z1249="C",INDEX(Contracts!$F$2:$F$151,$AB1249)&amp;" / "&amp;INDEX(Contracts!$G$2:$G$151,$AB1249),IF($Z1249="A",INDEX(Fixed_Assets!$E$2:$E$201,$AB1249)&amp;"",IF($Z1249="F","Personnel "&amp;INDEX(FTE_Allocation!$A$2:$A$201,$AB1249)&amp;IF(INDEX(FTE_Allocation!$D$2:$D$201,$AB1249)="PROJECT"," ("&amp;INDEX(FTE_Allocation!$E$2:$E$201,$AB1249)&amp;")",""),"")))</f>
        <v/>
      </c>
      <c r="H1249" s="7">
        <f>IF($Z1249="C","CONTRACT",IF($Z1249="A","ASSET",IF($Z1249="F","WORKFORCE","")))</f>
        <v/>
      </c>
      <c r="I1249" s="7">
        <f>IF($Z1249="C",INDEX(Contracts!$L$2:$L$151,$AB1249)&amp;"",IF($Z1249="A",INDEX(Fixed_Assets!$I$2:$I$201,$AB1249)&amp;"",IF($Z1249="F",INDEX(Workforce!$G$2:$G$151,MATCH(INDEX(FTE_Allocation!$A$2:$A$201,$AB1249),Workforce!$A$2:$A$151,0))&amp;"","")))</f>
        <v/>
      </c>
      <c r="J1249" s="18">
        <f>IF($Z1249="","",IF(AND(DATE($AD1249,1,1)&gt;=$AE1249,DATE($AD1249,1,1)&lt;=$AF1249),ROUND($AG1249,2),0))</f>
        <v/>
      </c>
      <c r="K1249" s="18">
        <f>IF($Z1249="","",IF(AND(DATE($AD1249,2,1)&gt;=$AE1249,DATE($AD1249,2,1)&lt;=$AF1249),ROUND($AG1249,2),0))</f>
        <v/>
      </c>
      <c r="L1249" s="18">
        <f>IF($Z1249="","",IF(AND(DATE($AD1249,3,1)&gt;=$AE1249,DATE($AD1249,3,1)&lt;=$AF1249),ROUND($AG1249,2),0))</f>
        <v/>
      </c>
      <c r="M1249" s="18">
        <f>IF($Z1249="","",IF(AND(DATE($AD1249,4,1)&gt;=$AE1249,DATE($AD1249,4,1)&lt;=$AF1249),ROUND($AG1249,2),0))</f>
        <v/>
      </c>
      <c r="N1249" s="18">
        <f>IF($Z1249="","",IF(AND(DATE($AD1249,5,1)&gt;=$AE1249,DATE($AD1249,5,1)&lt;=$AF1249),ROUND($AG1249,2),0))</f>
        <v/>
      </c>
      <c r="O1249" s="18">
        <f>IF($Z1249="","",IF(AND(DATE($AD1249,6,1)&gt;=$AE1249,DATE($AD1249,6,1)&lt;=$AF1249),ROUND($AG1249,2),0))</f>
        <v/>
      </c>
      <c r="P1249" s="18">
        <f>IF($Z1249="","",IF(AND(DATE($AD1249,7,1)&gt;=$AE1249,DATE($AD1249,7,1)&lt;=$AF1249),ROUND($AG1249,2),0))</f>
        <v/>
      </c>
      <c r="Q1249" s="18">
        <f>IF($Z1249="","",IF(AND(DATE($AD1249,8,1)&gt;=$AE1249,DATE($AD1249,8,1)&lt;=$AF1249),ROUND($AG1249,2),0))</f>
        <v/>
      </c>
      <c r="R1249" s="18">
        <f>IF($Z1249="","",IF(AND(DATE($AD1249,9,1)&gt;=$AE1249,DATE($AD1249,9,1)&lt;=$AF1249),ROUND($AG1249,2),0))</f>
        <v/>
      </c>
      <c r="S1249" s="18">
        <f>IF($Z1249="","",IF(AND(DATE($AD1249,10,1)&gt;=$AE1249,DATE($AD1249,10,1)&lt;=$AF1249),ROUND($AG1249,2),0))</f>
        <v/>
      </c>
      <c r="T1249" s="18">
        <f>IF($Z1249="","",IF(AND(DATE($AD1249,11,1)&gt;=$AE1249,DATE($AD1249,11,1)&lt;=$AF1249),ROUND($AG1249,2),0))</f>
        <v/>
      </c>
      <c r="U1249" s="18">
        <f>IF($Z1249="","",IF(AND(DATE($AD1249,12,1)&gt;=$AE1249,DATE($AD1249,12,1)&lt;=$AF1249),ROUND($AG1249,2),0))</f>
        <v/>
      </c>
      <c r="V1249" s="7">
        <f>IF($Z1249="C","Generated from "&amp;INDEX(Contracts!$A$2:$A$151,$AB1249),IF($Z1249="A","Generated from "&amp;INDEX(Fixed_Assets!$A$2:$A$201,$AB1249),IF($Z1249="F","Generated from "&amp;INDEX(FTE_Allocation!$A$2:$A$201,$AB1249),"")))</f>
        <v/>
      </c>
      <c r="X1249" s="19">
        <f>IF($Z1249="","",SUM(J1249:U1249))</f>
        <v/>
      </c>
      <c r="Y1249" s="20">
        <f>ROW()-1</f>
        <v/>
      </c>
      <c r="Z1249" s="20">
        <f>IF($Y1249&lt;=Settings!$B$4*3,"C",IF($Y1249&lt;=(Settings!$B$4+Settings!$B$5)*3,"A",IF($Y1249&lt;=(Settings!$B$4+Settings!$B$5+Settings!$B$6)*3,"F","")))</f>
        <v/>
      </c>
      <c r="AA1249" s="20">
        <f>IF($Z1249="C",$Y1249,IF($Z1249="A",$Y1249-Settings!$B$4*3,IF($Z1249="F",$Y1249-(Settings!$B$4+Settings!$B$5)*3,"")))</f>
        <v/>
      </c>
      <c r="AB1249" s="20">
        <f>IF($Z1249="","",INT(($AA1249-1)/3)+1)</f>
        <v/>
      </c>
      <c r="AC1249" s="20">
        <f>IF($Z1249="","",MOD($AA1249-1,3)+1)</f>
        <v/>
      </c>
      <c r="AD1249" s="20">
        <f>IF($Z1249="","",Settings!$B$2+$AC1249-1)</f>
        <v/>
      </c>
      <c r="AE1249" s="21">
        <f>IF($Z1249="C",DATE(YEAR(INDEX(Contracts!$J$2:$J$151,$AB1249)),MONTH(INDEX(Contracts!$J$2:$J$151,$AB1249)),1),IF($Z1249="A",DATE(YEAR(INDEX(Fixed_Assets!$G$2:$G$201,$AB1249)),MONTH(INDEX(Fixed_Assets!$G$2:$G$201,$AB1249)),1),IF($Z1249="F",DATE(YEAR(MAX(N(INDEX(Workforce!$I$2:$I$151,MATCH(INDEX(FTE_Allocation!$A$2:$A$201,$AB1249),Workforce!$A$2:$A$151,0))),N(INDEX(FTE_Allocation!$I$2:$I$201,$AB1249)))),MONTH(MAX(N(INDEX(Workforce!$I$2:$I$151,MATCH(INDEX(FTE_Allocation!$A$2:$A$201,$AB1249),Workforce!$A$2:$A$151,0))),N(INDEX(FTE_Allocation!$I$2:$I$201,$AB1249)))),1),"")))</f>
        <v/>
      </c>
      <c r="AF1249" s="21">
        <f>IF($Z1249="C",IF(INDEX(Contracts!$I$2:$I$151,$AB1249)="PREPAID",EDATE(DATE(YEAR(INDEX(Contracts!$J$2:$J$151,$AB1249)),MONTH(INDEX(Contracts!$J$2:$J$151,$AB1249)),1),IF(INDEX(Contracts!$N$2:$N$151,$AB1249)="",12,INDEX(Contracts!$N$2:$N$151,$AB1249))-1),IF(INDEX(Contracts!$I$2:$I$151,$AB1249)="MONTHLY",IF(INDEX(Contracts!$K$2:$K$151,$AB1249)="",2958101,INDEX(Contracts!$K$2:$K$151,$AB1249)),0)),IF($Z1249="A",EDATE(DATE(YEAR(INDEX(Fixed_Assets!$G$2:$G$201,$AB1249)),MONTH(INDEX(Fixed_Assets!$G$2:$G$201,$AB1249)),1),INDEX(Fixed_Assets!$J$2:$J$201,$AB1249)-1),IF($Z1249="F",MIN(IF(INDEX(Workforce!$J$2:$J$151,MATCH(INDEX(FTE_Allocation!$A$2:$A$201,$AB1249),Workforce!$A$2:$A$151,0))="",2958101,INDEX(Workforce!$J$2:$J$151,MATCH(INDEX(FTE_Allocation!$A$2:$A$201,$AB1249),Workforce!$A$2:$A$151,0))),IF(INDEX(FTE_Allocation!$J$2:$J$201,$AB1249)="",2958101,INDEX(FTE_Allocation!$J$2:$J$201,$AB1249))),"")))</f>
        <v/>
      </c>
      <c r="AG1249" s="19">
        <f>IF($Z1249="C",IF(INDEX(Contracts!$I$2:$I$151,$AB1249)="PREPAID",INDEX(Contracts!$M$2:$M$151,$AB1249)/IF(INDEX(Contracts!$N$2:$N$151,$AB1249)="",12,INDEX(Contracts!$N$2:$N$151,$AB1249)),IF(INDEX(Contracts!$I$2:$I$151,$AB1249)="MONTHLY",INDEX(Contracts!$M$2:$M$151,$AB1249),0))*(1-N(INDEX(Contracts!$O$2:$O$151,$AB1249))),IF($Z1249="A",INDEX(Fixed_Assets!$H$2:$H$201,$AB1249)/INDEX(Fixed_Assets!$J$2:$J$201,$AB1249),IF($Z1249="F",INDEX(Workforce!$F$2:$F$151,MATCH(INDEX(FTE_Allocation!$A$2:$A$201,$AB1249),Workforce!$A$2:$A$151,0))*N(INDEX(FTE_Allocation!$F$2:$H$201,$AB1249,$AC1249)),"")))</f>
        <v/>
      </c>
    </row>
    <row r="1250">
      <c r="A1250" s="7">
        <f>IF($Z1250="","",$AD1250)</f>
        <v/>
      </c>
      <c r="B1250" s="7">
        <f>IF($Z1250="C",INDEX(Contracts!$D$2:$D$151,$AB1250)&amp;"",IF($Z1250="A",INDEX(Fixed_Assets!$C$2:$C$201,$AB1250)&amp;"",IF($Z1250="F",INDEX(Workforce!$B$2:$B$151,MATCH(INDEX(FTE_Allocation!$A$2:$A$201,$AB1250),Workforce!$A$2:$A$151,0))&amp;"","")))</f>
        <v/>
      </c>
      <c r="C1250" s="7">
        <f>IF($Z1250="C",INDEX(Contracts!$E$2:$E$151,$AB1250)&amp;"",IF($Z1250="A",INDEX(Fixed_Assets!$D$2:$D$201,$AB1250)&amp;"",IF($Z1250="F",INDEX(FTE_Allocation!$C$2:$C$201,$AB1250)&amp;"","")))</f>
        <v/>
      </c>
      <c r="D1250" s="7">
        <f>IF($Z1250="C",INDEX(Contracts!$B$2:$B$151,$AB1250)&amp;"",IF($Z1250="A",INDEX(Fixed_Assets!$B$2:$B$201,$AB1250)&amp;"",IF($Z1250="F",INDEX(FTE_Allocation!$B$2:$B$201,$AB1250)&amp;"","")))</f>
        <v/>
      </c>
      <c r="E1250" s="7">
        <f>IF($Z1250="C",INDEX(Contracts!$P$2:$P$151,$AB1250)&amp;"",IF($Z1250="A",INDEX(Fixed_Assets!$K$2:$K$201,$AB1250)&amp;"",IF($Z1250="F",IF(INDEX(FTE_Allocation!$D$2:$D$201,$AB1250)="PROJECT",IFERROR(INDEX(Projects!$D:$D,MATCH(INDEX(FTE_Allocation!$E$2:$E$201,$AB1250),Projects!$A:$A,0))&amp;"","#PROJECT?"),INDEX(FTE_Allocation!$E$2:$E$201,$AB1250)&amp;""),"")))</f>
        <v/>
      </c>
      <c r="F1250" s="7">
        <f>IF($Z1250="C",INDEX(Contracts!$Q$2:$Q$151,$AB1250)&amp;"",IF($Z1250="A",INDEX(Fixed_Assets!$L$2:$L$201,$AB1250)&amp;"",IF($Z1250="F",INDEX(Workforce!$K$2:$K$151,MATCH(INDEX(FTE_Allocation!$A$2:$A$201,$AB1250),Workforce!$A$2:$A$151,0))&amp;"","")))</f>
        <v/>
      </c>
      <c r="G1250" s="7">
        <f>IF($Z1250="C",INDEX(Contracts!$F$2:$F$151,$AB1250)&amp;" / "&amp;INDEX(Contracts!$G$2:$G$151,$AB1250),IF($Z1250="A",INDEX(Fixed_Assets!$E$2:$E$201,$AB1250)&amp;"",IF($Z1250="F","Personnel "&amp;INDEX(FTE_Allocation!$A$2:$A$201,$AB1250)&amp;IF(INDEX(FTE_Allocation!$D$2:$D$201,$AB1250)="PROJECT"," ("&amp;INDEX(FTE_Allocation!$E$2:$E$201,$AB1250)&amp;")",""),"")))</f>
        <v/>
      </c>
      <c r="H1250" s="7">
        <f>IF($Z1250="C","CONTRACT",IF($Z1250="A","ASSET",IF($Z1250="F","WORKFORCE","")))</f>
        <v/>
      </c>
      <c r="I1250" s="7">
        <f>IF($Z1250="C",INDEX(Contracts!$L$2:$L$151,$AB1250)&amp;"",IF($Z1250="A",INDEX(Fixed_Assets!$I$2:$I$201,$AB1250)&amp;"",IF($Z1250="F",INDEX(Workforce!$G$2:$G$151,MATCH(INDEX(FTE_Allocation!$A$2:$A$201,$AB1250),Workforce!$A$2:$A$151,0))&amp;"","")))</f>
        <v/>
      </c>
      <c r="J1250" s="18">
        <f>IF($Z1250="","",IF(AND(DATE($AD1250,1,1)&gt;=$AE1250,DATE($AD1250,1,1)&lt;=$AF1250),ROUND($AG1250,2),0))</f>
        <v/>
      </c>
      <c r="K1250" s="18">
        <f>IF($Z1250="","",IF(AND(DATE($AD1250,2,1)&gt;=$AE1250,DATE($AD1250,2,1)&lt;=$AF1250),ROUND($AG1250,2),0))</f>
        <v/>
      </c>
      <c r="L1250" s="18">
        <f>IF($Z1250="","",IF(AND(DATE($AD1250,3,1)&gt;=$AE1250,DATE($AD1250,3,1)&lt;=$AF1250),ROUND($AG1250,2),0))</f>
        <v/>
      </c>
      <c r="M1250" s="18">
        <f>IF($Z1250="","",IF(AND(DATE($AD1250,4,1)&gt;=$AE1250,DATE($AD1250,4,1)&lt;=$AF1250),ROUND($AG1250,2),0))</f>
        <v/>
      </c>
      <c r="N1250" s="18">
        <f>IF($Z1250="","",IF(AND(DATE($AD1250,5,1)&gt;=$AE1250,DATE($AD1250,5,1)&lt;=$AF1250),ROUND($AG1250,2),0))</f>
        <v/>
      </c>
      <c r="O1250" s="18">
        <f>IF($Z1250="","",IF(AND(DATE($AD1250,6,1)&gt;=$AE1250,DATE($AD1250,6,1)&lt;=$AF1250),ROUND($AG1250,2),0))</f>
        <v/>
      </c>
      <c r="P1250" s="18">
        <f>IF($Z1250="","",IF(AND(DATE($AD1250,7,1)&gt;=$AE1250,DATE($AD1250,7,1)&lt;=$AF1250),ROUND($AG1250,2),0))</f>
        <v/>
      </c>
      <c r="Q1250" s="18">
        <f>IF($Z1250="","",IF(AND(DATE($AD1250,8,1)&gt;=$AE1250,DATE($AD1250,8,1)&lt;=$AF1250),ROUND($AG1250,2),0))</f>
        <v/>
      </c>
      <c r="R1250" s="18">
        <f>IF($Z1250="","",IF(AND(DATE($AD1250,9,1)&gt;=$AE1250,DATE($AD1250,9,1)&lt;=$AF1250),ROUND($AG1250,2),0))</f>
        <v/>
      </c>
      <c r="S1250" s="18">
        <f>IF($Z1250="","",IF(AND(DATE($AD1250,10,1)&gt;=$AE1250,DATE($AD1250,10,1)&lt;=$AF1250),ROUND($AG1250,2),0))</f>
        <v/>
      </c>
      <c r="T1250" s="18">
        <f>IF($Z1250="","",IF(AND(DATE($AD1250,11,1)&gt;=$AE1250,DATE($AD1250,11,1)&lt;=$AF1250),ROUND($AG1250,2),0))</f>
        <v/>
      </c>
      <c r="U1250" s="18">
        <f>IF($Z1250="","",IF(AND(DATE($AD1250,12,1)&gt;=$AE1250,DATE($AD1250,12,1)&lt;=$AF1250),ROUND($AG1250,2),0))</f>
        <v/>
      </c>
      <c r="V1250" s="7">
        <f>IF($Z1250="C","Generated from "&amp;INDEX(Contracts!$A$2:$A$151,$AB1250),IF($Z1250="A","Generated from "&amp;INDEX(Fixed_Assets!$A$2:$A$201,$AB1250),IF($Z1250="F","Generated from "&amp;INDEX(FTE_Allocation!$A$2:$A$201,$AB1250),"")))</f>
        <v/>
      </c>
      <c r="X1250" s="19">
        <f>IF($Z1250="","",SUM(J1250:U1250))</f>
        <v/>
      </c>
      <c r="Y1250" s="20">
        <f>ROW()-1</f>
        <v/>
      </c>
      <c r="Z1250" s="20">
        <f>IF($Y1250&lt;=Settings!$B$4*3,"C",IF($Y1250&lt;=(Settings!$B$4+Settings!$B$5)*3,"A",IF($Y1250&lt;=(Settings!$B$4+Settings!$B$5+Settings!$B$6)*3,"F","")))</f>
        <v/>
      </c>
      <c r="AA1250" s="20">
        <f>IF($Z1250="C",$Y1250,IF($Z1250="A",$Y1250-Settings!$B$4*3,IF($Z1250="F",$Y1250-(Settings!$B$4+Settings!$B$5)*3,"")))</f>
        <v/>
      </c>
      <c r="AB1250" s="20">
        <f>IF($Z1250="","",INT(($AA1250-1)/3)+1)</f>
        <v/>
      </c>
      <c r="AC1250" s="20">
        <f>IF($Z1250="","",MOD($AA1250-1,3)+1)</f>
        <v/>
      </c>
      <c r="AD1250" s="20">
        <f>IF($Z1250="","",Settings!$B$2+$AC1250-1)</f>
        <v/>
      </c>
      <c r="AE1250" s="21">
        <f>IF($Z1250="C",DATE(YEAR(INDEX(Contracts!$J$2:$J$151,$AB1250)),MONTH(INDEX(Contracts!$J$2:$J$151,$AB1250)),1),IF($Z1250="A",DATE(YEAR(INDEX(Fixed_Assets!$G$2:$G$201,$AB1250)),MONTH(INDEX(Fixed_Assets!$G$2:$G$201,$AB1250)),1),IF($Z1250="F",DATE(YEAR(MAX(N(INDEX(Workforce!$I$2:$I$151,MATCH(INDEX(FTE_Allocation!$A$2:$A$201,$AB1250),Workforce!$A$2:$A$151,0))),N(INDEX(FTE_Allocation!$I$2:$I$201,$AB1250)))),MONTH(MAX(N(INDEX(Workforce!$I$2:$I$151,MATCH(INDEX(FTE_Allocation!$A$2:$A$201,$AB1250),Workforce!$A$2:$A$151,0))),N(INDEX(FTE_Allocation!$I$2:$I$201,$AB1250)))),1),"")))</f>
        <v/>
      </c>
      <c r="AF1250" s="21">
        <f>IF($Z1250="C",IF(INDEX(Contracts!$I$2:$I$151,$AB1250)="PREPAID",EDATE(DATE(YEAR(INDEX(Contracts!$J$2:$J$151,$AB1250)),MONTH(INDEX(Contracts!$J$2:$J$151,$AB1250)),1),IF(INDEX(Contracts!$N$2:$N$151,$AB1250)="",12,INDEX(Contracts!$N$2:$N$151,$AB1250))-1),IF(INDEX(Contracts!$I$2:$I$151,$AB1250)="MONTHLY",IF(INDEX(Contracts!$K$2:$K$151,$AB1250)="",2958101,INDEX(Contracts!$K$2:$K$151,$AB1250)),0)),IF($Z1250="A",EDATE(DATE(YEAR(INDEX(Fixed_Assets!$G$2:$G$201,$AB1250)),MONTH(INDEX(Fixed_Assets!$G$2:$G$201,$AB1250)),1),INDEX(Fixed_Assets!$J$2:$J$201,$AB1250)-1),IF($Z1250="F",MIN(IF(INDEX(Workforce!$J$2:$J$151,MATCH(INDEX(FTE_Allocation!$A$2:$A$201,$AB1250),Workforce!$A$2:$A$151,0))="",2958101,INDEX(Workforce!$J$2:$J$151,MATCH(INDEX(FTE_Allocation!$A$2:$A$201,$AB1250),Workforce!$A$2:$A$151,0))),IF(INDEX(FTE_Allocation!$J$2:$J$201,$AB1250)="",2958101,INDEX(FTE_Allocation!$J$2:$J$201,$AB1250))),"")))</f>
        <v/>
      </c>
      <c r="AG1250" s="19">
        <f>IF($Z1250="C",IF(INDEX(Contracts!$I$2:$I$151,$AB1250)="PREPAID",INDEX(Contracts!$M$2:$M$151,$AB1250)/IF(INDEX(Contracts!$N$2:$N$151,$AB1250)="",12,INDEX(Contracts!$N$2:$N$151,$AB1250)),IF(INDEX(Contracts!$I$2:$I$151,$AB1250)="MONTHLY",INDEX(Contracts!$M$2:$M$151,$AB1250),0))*(1-N(INDEX(Contracts!$O$2:$O$151,$AB1250))),IF($Z1250="A",INDEX(Fixed_Assets!$H$2:$H$201,$AB1250)/INDEX(Fixed_Assets!$J$2:$J$201,$AB1250),IF($Z1250="F",INDEX(Workforce!$F$2:$F$151,MATCH(INDEX(FTE_Allocation!$A$2:$A$201,$AB1250),Workforce!$A$2:$A$151,0))*N(INDEX(FTE_Allocation!$F$2:$H$201,$AB1250,$AC1250)),"")))</f>
        <v/>
      </c>
    </row>
    <row r="1251">
      <c r="A1251" s="7">
        <f>IF($Z1251="","",$AD1251)</f>
        <v/>
      </c>
      <c r="B1251" s="7">
        <f>IF($Z1251="C",INDEX(Contracts!$D$2:$D$151,$AB1251)&amp;"",IF($Z1251="A",INDEX(Fixed_Assets!$C$2:$C$201,$AB1251)&amp;"",IF($Z1251="F",INDEX(Workforce!$B$2:$B$151,MATCH(INDEX(FTE_Allocation!$A$2:$A$201,$AB1251),Workforce!$A$2:$A$151,0))&amp;"","")))</f>
        <v/>
      </c>
      <c r="C1251" s="7">
        <f>IF($Z1251="C",INDEX(Contracts!$E$2:$E$151,$AB1251)&amp;"",IF($Z1251="A",INDEX(Fixed_Assets!$D$2:$D$201,$AB1251)&amp;"",IF($Z1251="F",INDEX(FTE_Allocation!$C$2:$C$201,$AB1251)&amp;"","")))</f>
        <v/>
      </c>
      <c r="D1251" s="7">
        <f>IF($Z1251="C",INDEX(Contracts!$B$2:$B$151,$AB1251)&amp;"",IF($Z1251="A",INDEX(Fixed_Assets!$B$2:$B$201,$AB1251)&amp;"",IF($Z1251="F",INDEX(FTE_Allocation!$B$2:$B$201,$AB1251)&amp;"","")))</f>
        <v/>
      </c>
      <c r="E1251" s="7">
        <f>IF($Z1251="C",INDEX(Contracts!$P$2:$P$151,$AB1251)&amp;"",IF($Z1251="A",INDEX(Fixed_Assets!$K$2:$K$201,$AB1251)&amp;"",IF($Z1251="F",IF(INDEX(FTE_Allocation!$D$2:$D$201,$AB1251)="PROJECT",IFERROR(INDEX(Projects!$D:$D,MATCH(INDEX(FTE_Allocation!$E$2:$E$201,$AB1251),Projects!$A:$A,0))&amp;"","#PROJECT?"),INDEX(FTE_Allocation!$E$2:$E$201,$AB1251)&amp;""),"")))</f>
        <v/>
      </c>
      <c r="F1251" s="7">
        <f>IF($Z1251="C",INDEX(Contracts!$Q$2:$Q$151,$AB1251)&amp;"",IF($Z1251="A",INDEX(Fixed_Assets!$L$2:$L$201,$AB1251)&amp;"",IF($Z1251="F",INDEX(Workforce!$K$2:$K$151,MATCH(INDEX(FTE_Allocation!$A$2:$A$201,$AB1251),Workforce!$A$2:$A$151,0))&amp;"","")))</f>
        <v/>
      </c>
      <c r="G1251" s="7">
        <f>IF($Z1251="C",INDEX(Contracts!$F$2:$F$151,$AB1251)&amp;" / "&amp;INDEX(Contracts!$G$2:$G$151,$AB1251),IF($Z1251="A",INDEX(Fixed_Assets!$E$2:$E$201,$AB1251)&amp;"",IF($Z1251="F","Personnel "&amp;INDEX(FTE_Allocation!$A$2:$A$201,$AB1251)&amp;IF(INDEX(FTE_Allocation!$D$2:$D$201,$AB1251)="PROJECT"," ("&amp;INDEX(FTE_Allocation!$E$2:$E$201,$AB1251)&amp;")",""),"")))</f>
        <v/>
      </c>
      <c r="H1251" s="7">
        <f>IF($Z1251="C","CONTRACT",IF($Z1251="A","ASSET",IF($Z1251="F","WORKFORCE","")))</f>
        <v/>
      </c>
      <c r="I1251" s="7">
        <f>IF($Z1251="C",INDEX(Contracts!$L$2:$L$151,$AB1251)&amp;"",IF($Z1251="A",INDEX(Fixed_Assets!$I$2:$I$201,$AB1251)&amp;"",IF($Z1251="F",INDEX(Workforce!$G$2:$G$151,MATCH(INDEX(FTE_Allocation!$A$2:$A$201,$AB1251),Workforce!$A$2:$A$151,0))&amp;"","")))</f>
        <v/>
      </c>
      <c r="J1251" s="18">
        <f>IF($Z1251="","",IF(AND(DATE($AD1251,1,1)&gt;=$AE1251,DATE($AD1251,1,1)&lt;=$AF1251),ROUND($AG1251,2),0))</f>
        <v/>
      </c>
      <c r="K1251" s="18">
        <f>IF($Z1251="","",IF(AND(DATE($AD1251,2,1)&gt;=$AE1251,DATE($AD1251,2,1)&lt;=$AF1251),ROUND($AG1251,2),0))</f>
        <v/>
      </c>
      <c r="L1251" s="18">
        <f>IF($Z1251="","",IF(AND(DATE($AD1251,3,1)&gt;=$AE1251,DATE($AD1251,3,1)&lt;=$AF1251),ROUND($AG1251,2),0))</f>
        <v/>
      </c>
      <c r="M1251" s="18">
        <f>IF($Z1251="","",IF(AND(DATE($AD1251,4,1)&gt;=$AE1251,DATE($AD1251,4,1)&lt;=$AF1251),ROUND($AG1251,2),0))</f>
        <v/>
      </c>
      <c r="N1251" s="18">
        <f>IF($Z1251="","",IF(AND(DATE($AD1251,5,1)&gt;=$AE1251,DATE($AD1251,5,1)&lt;=$AF1251),ROUND($AG1251,2),0))</f>
        <v/>
      </c>
      <c r="O1251" s="18">
        <f>IF($Z1251="","",IF(AND(DATE($AD1251,6,1)&gt;=$AE1251,DATE($AD1251,6,1)&lt;=$AF1251),ROUND($AG1251,2),0))</f>
        <v/>
      </c>
      <c r="P1251" s="18">
        <f>IF($Z1251="","",IF(AND(DATE($AD1251,7,1)&gt;=$AE1251,DATE($AD1251,7,1)&lt;=$AF1251),ROUND($AG1251,2),0))</f>
        <v/>
      </c>
      <c r="Q1251" s="18">
        <f>IF($Z1251="","",IF(AND(DATE($AD1251,8,1)&gt;=$AE1251,DATE($AD1251,8,1)&lt;=$AF1251),ROUND($AG1251,2),0))</f>
        <v/>
      </c>
      <c r="R1251" s="18">
        <f>IF($Z1251="","",IF(AND(DATE($AD1251,9,1)&gt;=$AE1251,DATE($AD1251,9,1)&lt;=$AF1251),ROUND($AG1251,2),0))</f>
        <v/>
      </c>
      <c r="S1251" s="18">
        <f>IF($Z1251="","",IF(AND(DATE($AD1251,10,1)&gt;=$AE1251,DATE($AD1251,10,1)&lt;=$AF1251),ROUND($AG1251,2),0))</f>
        <v/>
      </c>
      <c r="T1251" s="18">
        <f>IF($Z1251="","",IF(AND(DATE($AD1251,11,1)&gt;=$AE1251,DATE($AD1251,11,1)&lt;=$AF1251),ROUND($AG1251,2),0))</f>
        <v/>
      </c>
      <c r="U1251" s="18">
        <f>IF($Z1251="","",IF(AND(DATE($AD1251,12,1)&gt;=$AE1251,DATE($AD1251,12,1)&lt;=$AF1251),ROUND($AG1251,2),0))</f>
        <v/>
      </c>
      <c r="V1251" s="7">
        <f>IF($Z1251="C","Generated from "&amp;INDEX(Contracts!$A$2:$A$151,$AB1251),IF($Z1251="A","Generated from "&amp;INDEX(Fixed_Assets!$A$2:$A$201,$AB1251),IF($Z1251="F","Generated from "&amp;INDEX(FTE_Allocation!$A$2:$A$201,$AB1251),"")))</f>
        <v/>
      </c>
      <c r="X1251" s="19">
        <f>IF($Z1251="","",SUM(J1251:U1251))</f>
        <v/>
      </c>
      <c r="Y1251" s="20">
        <f>ROW()-1</f>
        <v/>
      </c>
      <c r="Z1251" s="20">
        <f>IF($Y1251&lt;=Settings!$B$4*3,"C",IF($Y1251&lt;=(Settings!$B$4+Settings!$B$5)*3,"A",IF($Y1251&lt;=(Settings!$B$4+Settings!$B$5+Settings!$B$6)*3,"F","")))</f>
        <v/>
      </c>
      <c r="AA1251" s="20">
        <f>IF($Z1251="C",$Y1251,IF($Z1251="A",$Y1251-Settings!$B$4*3,IF($Z1251="F",$Y1251-(Settings!$B$4+Settings!$B$5)*3,"")))</f>
        <v/>
      </c>
      <c r="AB1251" s="20">
        <f>IF($Z1251="","",INT(($AA1251-1)/3)+1)</f>
        <v/>
      </c>
      <c r="AC1251" s="20">
        <f>IF($Z1251="","",MOD($AA1251-1,3)+1)</f>
        <v/>
      </c>
      <c r="AD1251" s="20">
        <f>IF($Z1251="","",Settings!$B$2+$AC1251-1)</f>
        <v/>
      </c>
      <c r="AE1251" s="21">
        <f>IF($Z1251="C",DATE(YEAR(INDEX(Contracts!$J$2:$J$151,$AB1251)),MONTH(INDEX(Contracts!$J$2:$J$151,$AB1251)),1),IF($Z1251="A",DATE(YEAR(INDEX(Fixed_Assets!$G$2:$G$201,$AB1251)),MONTH(INDEX(Fixed_Assets!$G$2:$G$201,$AB1251)),1),IF($Z1251="F",DATE(YEAR(MAX(N(INDEX(Workforce!$I$2:$I$151,MATCH(INDEX(FTE_Allocation!$A$2:$A$201,$AB1251),Workforce!$A$2:$A$151,0))),N(INDEX(FTE_Allocation!$I$2:$I$201,$AB1251)))),MONTH(MAX(N(INDEX(Workforce!$I$2:$I$151,MATCH(INDEX(FTE_Allocation!$A$2:$A$201,$AB1251),Workforce!$A$2:$A$151,0))),N(INDEX(FTE_Allocation!$I$2:$I$201,$AB1251)))),1),"")))</f>
        <v/>
      </c>
      <c r="AF1251" s="21">
        <f>IF($Z1251="C",IF(INDEX(Contracts!$I$2:$I$151,$AB1251)="PREPAID",EDATE(DATE(YEAR(INDEX(Contracts!$J$2:$J$151,$AB1251)),MONTH(INDEX(Contracts!$J$2:$J$151,$AB1251)),1),IF(INDEX(Contracts!$N$2:$N$151,$AB1251)="",12,INDEX(Contracts!$N$2:$N$151,$AB1251))-1),IF(INDEX(Contracts!$I$2:$I$151,$AB1251)="MONTHLY",IF(INDEX(Contracts!$K$2:$K$151,$AB1251)="",2958101,INDEX(Contracts!$K$2:$K$151,$AB1251)),0)),IF($Z1251="A",EDATE(DATE(YEAR(INDEX(Fixed_Assets!$G$2:$G$201,$AB1251)),MONTH(INDEX(Fixed_Assets!$G$2:$G$201,$AB1251)),1),INDEX(Fixed_Assets!$J$2:$J$201,$AB1251)-1),IF($Z1251="F",MIN(IF(INDEX(Workforce!$J$2:$J$151,MATCH(INDEX(FTE_Allocation!$A$2:$A$201,$AB1251),Workforce!$A$2:$A$151,0))="",2958101,INDEX(Workforce!$J$2:$J$151,MATCH(INDEX(FTE_Allocation!$A$2:$A$201,$AB1251),Workforce!$A$2:$A$151,0))),IF(INDEX(FTE_Allocation!$J$2:$J$201,$AB1251)="",2958101,INDEX(FTE_Allocation!$J$2:$J$201,$AB1251))),"")))</f>
        <v/>
      </c>
      <c r="AG1251" s="19">
        <f>IF($Z1251="C",IF(INDEX(Contracts!$I$2:$I$151,$AB1251)="PREPAID",INDEX(Contracts!$M$2:$M$151,$AB1251)/IF(INDEX(Contracts!$N$2:$N$151,$AB1251)="",12,INDEX(Contracts!$N$2:$N$151,$AB1251)),IF(INDEX(Contracts!$I$2:$I$151,$AB1251)="MONTHLY",INDEX(Contracts!$M$2:$M$151,$AB1251),0))*(1-N(INDEX(Contracts!$O$2:$O$151,$AB1251))),IF($Z1251="A",INDEX(Fixed_Assets!$H$2:$H$201,$AB1251)/INDEX(Fixed_Assets!$J$2:$J$201,$AB1251),IF($Z1251="F",INDEX(Workforce!$F$2:$F$151,MATCH(INDEX(FTE_Allocation!$A$2:$A$201,$AB1251),Workforce!$A$2:$A$151,0))*N(INDEX(FTE_Allocation!$F$2:$H$201,$AB1251,$AC1251)),"")))</f>
        <v/>
      </c>
    </row>
    <row r="1252">
      <c r="A1252" s="7">
        <f>IF($Z1252="","",$AD1252)</f>
        <v/>
      </c>
      <c r="B1252" s="7">
        <f>IF($Z1252="C",INDEX(Contracts!$D$2:$D$151,$AB1252)&amp;"",IF($Z1252="A",INDEX(Fixed_Assets!$C$2:$C$201,$AB1252)&amp;"",IF($Z1252="F",INDEX(Workforce!$B$2:$B$151,MATCH(INDEX(FTE_Allocation!$A$2:$A$201,$AB1252),Workforce!$A$2:$A$151,0))&amp;"","")))</f>
        <v/>
      </c>
      <c r="C1252" s="7">
        <f>IF($Z1252="C",INDEX(Contracts!$E$2:$E$151,$AB1252)&amp;"",IF($Z1252="A",INDEX(Fixed_Assets!$D$2:$D$201,$AB1252)&amp;"",IF($Z1252="F",INDEX(FTE_Allocation!$C$2:$C$201,$AB1252)&amp;"","")))</f>
        <v/>
      </c>
      <c r="D1252" s="7">
        <f>IF($Z1252="C",INDEX(Contracts!$B$2:$B$151,$AB1252)&amp;"",IF($Z1252="A",INDEX(Fixed_Assets!$B$2:$B$201,$AB1252)&amp;"",IF($Z1252="F",INDEX(FTE_Allocation!$B$2:$B$201,$AB1252)&amp;"","")))</f>
        <v/>
      </c>
      <c r="E1252" s="7">
        <f>IF($Z1252="C",INDEX(Contracts!$P$2:$P$151,$AB1252)&amp;"",IF($Z1252="A",INDEX(Fixed_Assets!$K$2:$K$201,$AB1252)&amp;"",IF($Z1252="F",IF(INDEX(FTE_Allocation!$D$2:$D$201,$AB1252)="PROJECT",IFERROR(INDEX(Projects!$D:$D,MATCH(INDEX(FTE_Allocation!$E$2:$E$201,$AB1252),Projects!$A:$A,0))&amp;"","#PROJECT?"),INDEX(FTE_Allocation!$E$2:$E$201,$AB1252)&amp;""),"")))</f>
        <v/>
      </c>
      <c r="F1252" s="7">
        <f>IF($Z1252="C",INDEX(Contracts!$Q$2:$Q$151,$AB1252)&amp;"",IF($Z1252="A",INDEX(Fixed_Assets!$L$2:$L$201,$AB1252)&amp;"",IF($Z1252="F",INDEX(Workforce!$K$2:$K$151,MATCH(INDEX(FTE_Allocation!$A$2:$A$201,$AB1252),Workforce!$A$2:$A$151,0))&amp;"","")))</f>
        <v/>
      </c>
      <c r="G1252" s="7">
        <f>IF($Z1252="C",INDEX(Contracts!$F$2:$F$151,$AB1252)&amp;" / "&amp;INDEX(Contracts!$G$2:$G$151,$AB1252),IF($Z1252="A",INDEX(Fixed_Assets!$E$2:$E$201,$AB1252)&amp;"",IF($Z1252="F","Personnel "&amp;INDEX(FTE_Allocation!$A$2:$A$201,$AB1252)&amp;IF(INDEX(FTE_Allocation!$D$2:$D$201,$AB1252)="PROJECT"," ("&amp;INDEX(FTE_Allocation!$E$2:$E$201,$AB1252)&amp;")",""),"")))</f>
        <v/>
      </c>
      <c r="H1252" s="7">
        <f>IF($Z1252="C","CONTRACT",IF($Z1252="A","ASSET",IF($Z1252="F","WORKFORCE","")))</f>
        <v/>
      </c>
      <c r="I1252" s="7">
        <f>IF($Z1252="C",INDEX(Contracts!$L$2:$L$151,$AB1252)&amp;"",IF($Z1252="A",INDEX(Fixed_Assets!$I$2:$I$201,$AB1252)&amp;"",IF($Z1252="F",INDEX(Workforce!$G$2:$G$151,MATCH(INDEX(FTE_Allocation!$A$2:$A$201,$AB1252),Workforce!$A$2:$A$151,0))&amp;"","")))</f>
        <v/>
      </c>
      <c r="J1252" s="18">
        <f>IF($Z1252="","",IF(AND(DATE($AD1252,1,1)&gt;=$AE1252,DATE($AD1252,1,1)&lt;=$AF1252),ROUND($AG1252,2),0))</f>
        <v/>
      </c>
      <c r="K1252" s="18">
        <f>IF($Z1252="","",IF(AND(DATE($AD1252,2,1)&gt;=$AE1252,DATE($AD1252,2,1)&lt;=$AF1252),ROUND($AG1252,2),0))</f>
        <v/>
      </c>
      <c r="L1252" s="18">
        <f>IF($Z1252="","",IF(AND(DATE($AD1252,3,1)&gt;=$AE1252,DATE($AD1252,3,1)&lt;=$AF1252),ROUND($AG1252,2),0))</f>
        <v/>
      </c>
      <c r="M1252" s="18">
        <f>IF($Z1252="","",IF(AND(DATE($AD1252,4,1)&gt;=$AE1252,DATE($AD1252,4,1)&lt;=$AF1252),ROUND($AG1252,2),0))</f>
        <v/>
      </c>
      <c r="N1252" s="18">
        <f>IF($Z1252="","",IF(AND(DATE($AD1252,5,1)&gt;=$AE1252,DATE($AD1252,5,1)&lt;=$AF1252),ROUND($AG1252,2),0))</f>
        <v/>
      </c>
      <c r="O1252" s="18">
        <f>IF($Z1252="","",IF(AND(DATE($AD1252,6,1)&gt;=$AE1252,DATE($AD1252,6,1)&lt;=$AF1252),ROUND($AG1252,2),0))</f>
        <v/>
      </c>
      <c r="P1252" s="18">
        <f>IF($Z1252="","",IF(AND(DATE($AD1252,7,1)&gt;=$AE1252,DATE($AD1252,7,1)&lt;=$AF1252),ROUND($AG1252,2),0))</f>
        <v/>
      </c>
      <c r="Q1252" s="18">
        <f>IF($Z1252="","",IF(AND(DATE($AD1252,8,1)&gt;=$AE1252,DATE($AD1252,8,1)&lt;=$AF1252),ROUND($AG1252,2),0))</f>
        <v/>
      </c>
      <c r="R1252" s="18">
        <f>IF($Z1252="","",IF(AND(DATE($AD1252,9,1)&gt;=$AE1252,DATE($AD1252,9,1)&lt;=$AF1252),ROUND($AG1252,2),0))</f>
        <v/>
      </c>
      <c r="S1252" s="18">
        <f>IF($Z1252="","",IF(AND(DATE($AD1252,10,1)&gt;=$AE1252,DATE($AD1252,10,1)&lt;=$AF1252),ROUND($AG1252,2),0))</f>
        <v/>
      </c>
      <c r="T1252" s="18">
        <f>IF($Z1252="","",IF(AND(DATE($AD1252,11,1)&gt;=$AE1252,DATE($AD1252,11,1)&lt;=$AF1252),ROUND($AG1252,2),0))</f>
        <v/>
      </c>
      <c r="U1252" s="18">
        <f>IF($Z1252="","",IF(AND(DATE($AD1252,12,1)&gt;=$AE1252,DATE($AD1252,12,1)&lt;=$AF1252),ROUND($AG1252,2),0))</f>
        <v/>
      </c>
      <c r="V1252" s="7">
        <f>IF($Z1252="C","Generated from "&amp;INDEX(Contracts!$A$2:$A$151,$AB1252),IF($Z1252="A","Generated from "&amp;INDEX(Fixed_Assets!$A$2:$A$201,$AB1252),IF($Z1252="F","Generated from "&amp;INDEX(FTE_Allocation!$A$2:$A$201,$AB1252),"")))</f>
        <v/>
      </c>
      <c r="X1252" s="19">
        <f>IF($Z1252="","",SUM(J1252:U1252))</f>
        <v/>
      </c>
      <c r="Y1252" s="20">
        <f>ROW()-1</f>
        <v/>
      </c>
      <c r="Z1252" s="20">
        <f>IF($Y1252&lt;=Settings!$B$4*3,"C",IF($Y1252&lt;=(Settings!$B$4+Settings!$B$5)*3,"A",IF($Y1252&lt;=(Settings!$B$4+Settings!$B$5+Settings!$B$6)*3,"F","")))</f>
        <v/>
      </c>
      <c r="AA1252" s="20">
        <f>IF($Z1252="C",$Y1252,IF($Z1252="A",$Y1252-Settings!$B$4*3,IF($Z1252="F",$Y1252-(Settings!$B$4+Settings!$B$5)*3,"")))</f>
        <v/>
      </c>
      <c r="AB1252" s="20">
        <f>IF($Z1252="","",INT(($AA1252-1)/3)+1)</f>
        <v/>
      </c>
      <c r="AC1252" s="20">
        <f>IF($Z1252="","",MOD($AA1252-1,3)+1)</f>
        <v/>
      </c>
      <c r="AD1252" s="20">
        <f>IF($Z1252="","",Settings!$B$2+$AC1252-1)</f>
        <v/>
      </c>
      <c r="AE1252" s="21">
        <f>IF($Z1252="C",DATE(YEAR(INDEX(Contracts!$J$2:$J$151,$AB1252)),MONTH(INDEX(Contracts!$J$2:$J$151,$AB1252)),1),IF($Z1252="A",DATE(YEAR(INDEX(Fixed_Assets!$G$2:$G$201,$AB1252)),MONTH(INDEX(Fixed_Assets!$G$2:$G$201,$AB1252)),1),IF($Z1252="F",DATE(YEAR(MAX(N(INDEX(Workforce!$I$2:$I$151,MATCH(INDEX(FTE_Allocation!$A$2:$A$201,$AB1252),Workforce!$A$2:$A$151,0))),N(INDEX(FTE_Allocation!$I$2:$I$201,$AB1252)))),MONTH(MAX(N(INDEX(Workforce!$I$2:$I$151,MATCH(INDEX(FTE_Allocation!$A$2:$A$201,$AB1252),Workforce!$A$2:$A$151,0))),N(INDEX(FTE_Allocation!$I$2:$I$201,$AB1252)))),1),"")))</f>
        <v/>
      </c>
      <c r="AF1252" s="21">
        <f>IF($Z1252="C",IF(INDEX(Contracts!$I$2:$I$151,$AB1252)="PREPAID",EDATE(DATE(YEAR(INDEX(Contracts!$J$2:$J$151,$AB1252)),MONTH(INDEX(Contracts!$J$2:$J$151,$AB1252)),1),IF(INDEX(Contracts!$N$2:$N$151,$AB1252)="",12,INDEX(Contracts!$N$2:$N$151,$AB1252))-1),IF(INDEX(Contracts!$I$2:$I$151,$AB1252)="MONTHLY",IF(INDEX(Contracts!$K$2:$K$151,$AB1252)="",2958101,INDEX(Contracts!$K$2:$K$151,$AB1252)),0)),IF($Z1252="A",EDATE(DATE(YEAR(INDEX(Fixed_Assets!$G$2:$G$201,$AB1252)),MONTH(INDEX(Fixed_Assets!$G$2:$G$201,$AB1252)),1),INDEX(Fixed_Assets!$J$2:$J$201,$AB1252)-1),IF($Z1252="F",MIN(IF(INDEX(Workforce!$J$2:$J$151,MATCH(INDEX(FTE_Allocation!$A$2:$A$201,$AB1252),Workforce!$A$2:$A$151,0))="",2958101,INDEX(Workforce!$J$2:$J$151,MATCH(INDEX(FTE_Allocation!$A$2:$A$201,$AB1252),Workforce!$A$2:$A$151,0))),IF(INDEX(FTE_Allocation!$J$2:$J$201,$AB1252)="",2958101,INDEX(FTE_Allocation!$J$2:$J$201,$AB1252))),"")))</f>
        <v/>
      </c>
      <c r="AG1252" s="19">
        <f>IF($Z1252="C",IF(INDEX(Contracts!$I$2:$I$151,$AB1252)="PREPAID",INDEX(Contracts!$M$2:$M$151,$AB1252)/IF(INDEX(Contracts!$N$2:$N$151,$AB1252)="",12,INDEX(Contracts!$N$2:$N$151,$AB1252)),IF(INDEX(Contracts!$I$2:$I$151,$AB1252)="MONTHLY",INDEX(Contracts!$M$2:$M$151,$AB1252),0))*(1-N(INDEX(Contracts!$O$2:$O$151,$AB1252))),IF($Z1252="A",INDEX(Fixed_Assets!$H$2:$H$201,$AB1252)/INDEX(Fixed_Assets!$J$2:$J$201,$AB1252),IF($Z1252="F",INDEX(Workforce!$F$2:$F$151,MATCH(INDEX(FTE_Allocation!$A$2:$A$201,$AB1252),Workforce!$A$2:$A$151,0))*N(INDEX(FTE_Allocation!$F$2:$H$201,$AB1252,$AC1252)),"")))</f>
        <v/>
      </c>
    </row>
    <row r="1253">
      <c r="A1253" s="7">
        <f>IF($Z1253="","",$AD1253)</f>
        <v/>
      </c>
      <c r="B1253" s="7">
        <f>IF($Z1253="C",INDEX(Contracts!$D$2:$D$151,$AB1253)&amp;"",IF($Z1253="A",INDEX(Fixed_Assets!$C$2:$C$201,$AB1253)&amp;"",IF($Z1253="F",INDEX(Workforce!$B$2:$B$151,MATCH(INDEX(FTE_Allocation!$A$2:$A$201,$AB1253),Workforce!$A$2:$A$151,0))&amp;"","")))</f>
        <v/>
      </c>
      <c r="C1253" s="7">
        <f>IF($Z1253="C",INDEX(Contracts!$E$2:$E$151,$AB1253)&amp;"",IF($Z1253="A",INDEX(Fixed_Assets!$D$2:$D$201,$AB1253)&amp;"",IF($Z1253="F",INDEX(FTE_Allocation!$C$2:$C$201,$AB1253)&amp;"","")))</f>
        <v/>
      </c>
      <c r="D1253" s="7">
        <f>IF($Z1253="C",INDEX(Contracts!$B$2:$B$151,$AB1253)&amp;"",IF($Z1253="A",INDEX(Fixed_Assets!$B$2:$B$201,$AB1253)&amp;"",IF($Z1253="F",INDEX(FTE_Allocation!$B$2:$B$201,$AB1253)&amp;"","")))</f>
        <v/>
      </c>
      <c r="E1253" s="7">
        <f>IF($Z1253="C",INDEX(Contracts!$P$2:$P$151,$AB1253)&amp;"",IF($Z1253="A",INDEX(Fixed_Assets!$K$2:$K$201,$AB1253)&amp;"",IF($Z1253="F",IF(INDEX(FTE_Allocation!$D$2:$D$201,$AB1253)="PROJECT",IFERROR(INDEX(Projects!$D:$D,MATCH(INDEX(FTE_Allocation!$E$2:$E$201,$AB1253),Projects!$A:$A,0))&amp;"","#PROJECT?"),INDEX(FTE_Allocation!$E$2:$E$201,$AB1253)&amp;""),"")))</f>
        <v/>
      </c>
      <c r="F1253" s="7">
        <f>IF($Z1253="C",INDEX(Contracts!$Q$2:$Q$151,$AB1253)&amp;"",IF($Z1253="A",INDEX(Fixed_Assets!$L$2:$L$201,$AB1253)&amp;"",IF($Z1253="F",INDEX(Workforce!$K$2:$K$151,MATCH(INDEX(FTE_Allocation!$A$2:$A$201,$AB1253),Workforce!$A$2:$A$151,0))&amp;"","")))</f>
        <v/>
      </c>
      <c r="G1253" s="7">
        <f>IF($Z1253="C",INDEX(Contracts!$F$2:$F$151,$AB1253)&amp;" / "&amp;INDEX(Contracts!$G$2:$G$151,$AB1253),IF($Z1253="A",INDEX(Fixed_Assets!$E$2:$E$201,$AB1253)&amp;"",IF($Z1253="F","Personnel "&amp;INDEX(FTE_Allocation!$A$2:$A$201,$AB1253)&amp;IF(INDEX(FTE_Allocation!$D$2:$D$201,$AB1253)="PROJECT"," ("&amp;INDEX(FTE_Allocation!$E$2:$E$201,$AB1253)&amp;")",""),"")))</f>
        <v/>
      </c>
      <c r="H1253" s="7">
        <f>IF($Z1253="C","CONTRACT",IF($Z1253="A","ASSET",IF($Z1253="F","WORKFORCE","")))</f>
        <v/>
      </c>
      <c r="I1253" s="7">
        <f>IF($Z1253="C",INDEX(Contracts!$L$2:$L$151,$AB1253)&amp;"",IF($Z1253="A",INDEX(Fixed_Assets!$I$2:$I$201,$AB1253)&amp;"",IF($Z1253="F",INDEX(Workforce!$G$2:$G$151,MATCH(INDEX(FTE_Allocation!$A$2:$A$201,$AB1253),Workforce!$A$2:$A$151,0))&amp;"","")))</f>
        <v/>
      </c>
      <c r="J1253" s="18">
        <f>IF($Z1253="","",IF(AND(DATE($AD1253,1,1)&gt;=$AE1253,DATE($AD1253,1,1)&lt;=$AF1253),ROUND($AG1253,2),0))</f>
        <v/>
      </c>
      <c r="K1253" s="18">
        <f>IF($Z1253="","",IF(AND(DATE($AD1253,2,1)&gt;=$AE1253,DATE($AD1253,2,1)&lt;=$AF1253),ROUND($AG1253,2),0))</f>
        <v/>
      </c>
      <c r="L1253" s="18">
        <f>IF($Z1253="","",IF(AND(DATE($AD1253,3,1)&gt;=$AE1253,DATE($AD1253,3,1)&lt;=$AF1253),ROUND($AG1253,2),0))</f>
        <v/>
      </c>
      <c r="M1253" s="18">
        <f>IF($Z1253="","",IF(AND(DATE($AD1253,4,1)&gt;=$AE1253,DATE($AD1253,4,1)&lt;=$AF1253),ROUND($AG1253,2),0))</f>
        <v/>
      </c>
      <c r="N1253" s="18">
        <f>IF($Z1253="","",IF(AND(DATE($AD1253,5,1)&gt;=$AE1253,DATE($AD1253,5,1)&lt;=$AF1253),ROUND($AG1253,2),0))</f>
        <v/>
      </c>
      <c r="O1253" s="18">
        <f>IF($Z1253="","",IF(AND(DATE($AD1253,6,1)&gt;=$AE1253,DATE($AD1253,6,1)&lt;=$AF1253),ROUND($AG1253,2),0))</f>
        <v/>
      </c>
      <c r="P1253" s="18">
        <f>IF($Z1253="","",IF(AND(DATE($AD1253,7,1)&gt;=$AE1253,DATE($AD1253,7,1)&lt;=$AF1253),ROUND($AG1253,2),0))</f>
        <v/>
      </c>
      <c r="Q1253" s="18">
        <f>IF($Z1253="","",IF(AND(DATE($AD1253,8,1)&gt;=$AE1253,DATE($AD1253,8,1)&lt;=$AF1253),ROUND($AG1253,2),0))</f>
        <v/>
      </c>
      <c r="R1253" s="18">
        <f>IF($Z1253="","",IF(AND(DATE($AD1253,9,1)&gt;=$AE1253,DATE($AD1253,9,1)&lt;=$AF1253),ROUND($AG1253,2),0))</f>
        <v/>
      </c>
      <c r="S1253" s="18">
        <f>IF($Z1253="","",IF(AND(DATE($AD1253,10,1)&gt;=$AE1253,DATE($AD1253,10,1)&lt;=$AF1253),ROUND($AG1253,2),0))</f>
        <v/>
      </c>
      <c r="T1253" s="18">
        <f>IF($Z1253="","",IF(AND(DATE($AD1253,11,1)&gt;=$AE1253,DATE($AD1253,11,1)&lt;=$AF1253),ROUND($AG1253,2),0))</f>
        <v/>
      </c>
      <c r="U1253" s="18">
        <f>IF($Z1253="","",IF(AND(DATE($AD1253,12,1)&gt;=$AE1253,DATE($AD1253,12,1)&lt;=$AF1253),ROUND($AG1253,2),0))</f>
        <v/>
      </c>
      <c r="V1253" s="7">
        <f>IF($Z1253="C","Generated from "&amp;INDEX(Contracts!$A$2:$A$151,$AB1253),IF($Z1253="A","Generated from "&amp;INDEX(Fixed_Assets!$A$2:$A$201,$AB1253),IF($Z1253="F","Generated from "&amp;INDEX(FTE_Allocation!$A$2:$A$201,$AB1253),"")))</f>
        <v/>
      </c>
      <c r="X1253" s="19">
        <f>IF($Z1253="","",SUM(J1253:U1253))</f>
        <v/>
      </c>
      <c r="Y1253" s="20">
        <f>ROW()-1</f>
        <v/>
      </c>
      <c r="Z1253" s="20">
        <f>IF($Y1253&lt;=Settings!$B$4*3,"C",IF($Y1253&lt;=(Settings!$B$4+Settings!$B$5)*3,"A",IF($Y1253&lt;=(Settings!$B$4+Settings!$B$5+Settings!$B$6)*3,"F","")))</f>
        <v/>
      </c>
      <c r="AA1253" s="20">
        <f>IF($Z1253="C",$Y1253,IF($Z1253="A",$Y1253-Settings!$B$4*3,IF($Z1253="F",$Y1253-(Settings!$B$4+Settings!$B$5)*3,"")))</f>
        <v/>
      </c>
      <c r="AB1253" s="20">
        <f>IF($Z1253="","",INT(($AA1253-1)/3)+1)</f>
        <v/>
      </c>
      <c r="AC1253" s="20">
        <f>IF($Z1253="","",MOD($AA1253-1,3)+1)</f>
        <v/>
      </c>
      <c r="AD1253" s="20">
        <f>IF($Z1253="","",Settings!$B$2+$AC1253-1)</f>
        <v/>
      </c>
      <c r="AE1253" s="21">
        <f>IF($Z1253="C",DATE(YEAR(INDEX(Contracts!$J$2:$J$151,$AB1253)),MONTH(INDEX(Contracts!$J$2:$J$151,$AB1253)),1),IF($Z1253="A",DATE(YEAR(INDEX(Fixed_Assets!$G$2:$G$201,$AB1253)),MONTH(INDEX(Fixed_Assets!$G$2:$G$201,$AB1253)),1),IF($Z1253="F",DATE(YEAR(MAX(N(INDEX(Workforce!$I$2:$I$151,MATCH(INDEX(FTE_Allocation!$A$2:$A$201,$AB1253),Workforce!$A$2:$A$151,0))),N(INDEX(FTE_Allocation!$I$2:$I$201,$AB1253)))),MONTH(MAX(N(INDEX(Workforce!$I$2:$I$151,MATCH(INDEX(FTE_Allocation!$A$2:$A$201,$AB1253),Workforce!$A$2:$A$151,0))),N(INDEX(FTE_Allocation!$I$2:$I$201,$AB1253)))),1),"")))</f>
        <v/>
      </c>
      <c r="AF1253" s="21">
        <f>IF($Z1253="C",IF(INDEX(Contracts!$I$2:$I$151,$AB1253)="PREPAID",EDATE(DATE(YEAR(INDEX(Contracts!$J$2:$J$151,$AB1253)),MONTH(INDEX(Contracts!$J$2:$J$151,$AB1253)),1),IF(INDEX(Contracts!$N$2:$N$151,$AB1253)="",12,INDEX(Contracts!$N$2:$N$151,$AB1253))-1),IF(INDEX(Contracts!$I$2:$I$151,$AB1253)="MONTHLY",IF(INDEX(Contracts!$K$2:$K$151,$AB1253)="",2958101,INDEX(Contracts!$K$2:$K$151,$AB1253)),0)),IF($Z1253="A",EDATE(DATE(YEAR(INDEX(Fixed_Assets!$G$2:$G$201,$AB1253)),MONTH(INDEX(Fixed_Assets!$G$2:$G$201,$AB1253)),1),INDEX(Fixed_Assets!$J$2:$J$201,$AB1253)-1),IF($Z1253="F",MIN(IF(INDEX(Workforce!$J$2:$J$151,MATCH(INDEX(FTE_Allocation!$A$2:$A$201,$AB1253),Workforce!$A$2:$A$151,0))="",2958101,INDEX(Workforce!$J$2:$J$151,MATCH(INDEX(FTE_Allocation!$A$2:$A$201,$AB1253),Workforce!$A$2:$A$151,0))),IF(INDEX(FTE_Allocation!$J$2:$J$201,$AB1253)="",2958101,INDEX(FTE_Allocation!$J$2:$J$201,$AB1253))),"")))</f>
        <v/>
      </c>
      <c r="AG1253" s="19">
        <f>IF($Z1253="C",IF(INDEX(Contracts!$I$2:$I$151,$AB1253)="PREPAID",INDEX(Contracts!$M$2:$M$151,$AB1253)/IF(INDEX(Contracts!$N$2:$N$151,$AB1253)="",12,INDEX(Contracts!$N$2:$N$151,$AB1253)),IF(INDEX(Contracts!$I$2:$I$151,$AB1253)="MONTHLY",INDEX(Contracts!$M$2:$M$151,$AB1253),0))*(1-N(INDEX(Contracts!$O$2:$O$151,$AB1253))),IF($Z1253="A",INDEX(Fixed_Assets!$H$2:$H$201,$AB1253)/INDEX(Fixed_Assets!$J$2:$J$201,$AB1253),IF($Z1253="F",INDEX(Workforce!$F$2:$F$151,MATCH(INDEX(FTE_Allocation!$A$2:$A$201,$AB1253),Workforce!$A$2:$A$151,0))*N(INDEX(FTE_Allocation!$F$2:$H$201,$AB1253,$AC1253)),"")))</f>
        <v/>
      </c>
    </row>
    <row r="1254">
      <c r="A1254" s="7">
        <f>IF($Z1254="","",$AD1254)</f>
        <v/>
      </c>
      <c r="B1254" s="7">
        <f>IF($Z1254="C",INDEX(Contracts!$D$2:$D$151,$AB1254)&amp;"",IF($Z1254="A",INDEX(Fixed_Assets!$C$2:$C$201,$AB1254)&amp;"",IF($Z1254="F",INDEX(Workforce!$B$2:$B$151,MATCH(INDEX(FTE_Allocation!$A$2:$A$201,$AB1254),Workforce!$A$2:$A$151,0))&amp;"","")))</f>
        <v/>
      </c>
      <c r="C1254" s="7">
        <f>IF($Z1254="C",INDEX(Contracts!$E$2:$E$151,$AB1254)&amp;"",IF($Z1254="A",INDEX(Fixed_Assets!$D$2:$D$201,$AB1254)&amp;"",IF($Z1254="F",INDEX(FTE_Allocation!$C$2:$C$201,$AB1254)&amp;"","")))</f>
        <v/>
      </c>
      <c r="D1254" s="7">
        <f>IF($Z1254="C",INDEX(Contracts!$B$2:$B$151,$AB1254)&amp;"",IF($Z1254="A",INDEX(Fixed_Assets!$B$2:$B$201,$AB1254)&amp;"",IF($Z1254="F",INDEX(FTE_Allocation!$B$2:$B$201,$AB1254)&amp;"","")))</f>
        <v/>
      </c>
      <c r="E1254" s="7">
        <f>IF($Z1254="C",INDEX(Contracts!$P$2:$P$151,$AB1254)&amp;"",IF($Z1254="A",INDEX(Fixed_Assets!$K$2:$K$201,$AB1254)&amp;"",IF($Z1254="F",IF(INDEX(FTE_Allocation!$D$2:$D$201,$AB1254)="PROJECT",IFERROR(INDEX(Projects!$D:$D,MATCH(INDEX(FTE_Allocation!$E$2:$E$201,$AB1254),Projects!$A:$A,0))&amp;"","#PROJECT?"),INDEX(FTE_Allocation!$E$2:$E$201,$AB1254)&amp;""),"")))</f>
        <v/>
      </c>
      <c r="F1254" s="7">
        <f>IF($Z1254="C",INDEX(Contracts!$Q$2:$Q$151,$AB1254)&amp;"",IF($Z1254="A",INDEX(Fixed_Assets!$L$2:$L$201,$AB1254)&amp;"",IF($Z1254="F",INDEX(Workforce!$K$2:$K$151,MATCH(INDEX(FTE_Allocation!$A$2:$A$201,$AB1254),Workforce!$A$2:$A$151,0))&amp;"","")))</f>
        <v/>
      </c>
      <c r="G1254" s="7">
        <f>IF($Z1254="C",INDEX(Contracts!$F$2:$F$151,$AB1254)&amp;" / "&amp;INDEX(Contracts!$G$2:$G$151,$AB1254),IF($Z1254="A",INDEX(Fixed_Assets!$E$2:$E$201,$AB1254)&amp;"",IF($Z1254="F","Personnel "&amp;INDEX(FTE_Allocation!$A$2:$A$201,$AB1254)&amp;IF(INDEX(FTE_Allocation!$D$2:$D$201,$AB1254)="PROJECT"," ("&amp;INDEX(FTE_Allocation!$E$2:$E$201,$AB1254)&amp;")",""),"")))</f>
        <v/>
      </c>
      <c r="H1254" s="7">
        <f>IF($Z1254="C","CONTRACT",IF($Z1254="A","ASSET",IF($Z1254="F","WORKFORCE","")))</f>
        <v/>
      </c>
      <c r="I1254" s="7">
        <f>IF($Z1254="C",INDEX(Contracts!$L$2:$L$151,$AB1254)&amp;"",IF($Z1254="A",INDEX(Fixed_Assets!$I$2:$I$201,$AB1254)&amp;"",IF($Z1254="F",INDEX(Workforce!$G$2:$G$151,MATCH(INDEX(FTE_Allocation!$A$2:$A$201,$AB1254),Workforce!$A$2:$A$151,0))&amp;"","")))</f>
        <v/>
      </c>
      <c r="J1254" s="18">
        <f>IF($Z1254="","",IF(AND(DATE($AD1254,1,1)&gt;=$AE1254,DATE($AD1254,1,1)&lt;=$AF1254),ROUND($AG1254,2),0))</f>
        <v/>
      </c>
      <c r="K1254" s="18">
        <f>IF($Z1254="","",IF(AND(DATE($AD1254,2,1)&gt;=$AE1254,DATE($AD1254,2,1)&lt;=$AF1254),ROUND($AG1254,2),0))</f>
        <v/>
      </c>
      <c r="L1254" s="18">
        <f>IF($Z1254="","",IF(AND(DATE($AD1254,3,1)&gt;=$AE1254,DATE($AD1254,3,1)&lt;=$AF1254),ROUND($AG1254,2),0))</f>
        <v/>
      </c>
      <c r="M1254" s="18">
        <f>IF($Z1254="","",IF(AND(DATE($AD1254,4,1)&gt;=$AE1254,DATE($AD1254,4,1)&lt;=$AF1254),ROUND($AG1254,2),0))</f>
        <v/>
      </c>
      <c r="N1254" s="18">
        <f>IF($Z1254="","",IF(AND(DATE($AD1254,5,1)&gt;=$AE1254,DATE($AD1254,5,1)&lt;=$AF1254),ROUND($AG1254,2),0))</f>
        <v/>
      </c>
      <c r="O1254" s="18">
        <f>IF($Z1254="","",IF(AND(DATE($AD1254,6,1)&gt;=$AE1254,DATE($AD1254,6,1)&lt;=$AF1254),ROUND($AG1254,2),0))</f>
        <v/>
      </c>
      <c r="P1254" s="18">
        <f>IF($Z1254="","",IF(AND(DATE($AD1254,7,1)&gt;=$AE1254,DATE($AD1254,7,1)&lt;=$AF1254),ROUND($AG1254,2),0))</f>
        <v/>
      </c>
      <c r="Q1254" s="18">
        <f>IF($Z1254="","",IF(AND(DATE($AD1254,8,1)&gt;=$AE1254,DATE($AD1254,8,1)&lt;=$AF1254),ROUND($AG1254,2),0))</f>
        <v/>
      </c>
      <c r="R1254" s="18">
        <f>IF($Z1254="","",IF(AND(DATE($AD1254,9,1)&gt;=$AE1254,DATE($AD1254,9,1)&lt;=$AF1254),ROUND($AG1254,2),0))</f>
        <v/>
      </c>
      <c r="S1254" s="18">
        <f>IF($Z1254="","",IF(AND(DATE($AD1254,10,1)&gt;=$AE1254,DATE($AD1254,10,1)&lt;=$AF1254),ROUND($AG1254,2),0))</f>
        <v/>
      </c>
      <c r="T1254" s="18">
        <f>IF($Z1254="","",IF(AND(DATE($AD1254,11,1)&gt;=$AE1254,DATE($AD1254,11,1)&lt;=$AF1254),ROUND($AG1254,2),0))</f>
        <v/>
      </c>
      <c r="U1254" s="18">
        <f>IF($Z1254="","",IF(AND(DATE($AD1254,12,1)&gt;=$AE1254,DATE($AD1254,12,1)&lt;=$AF1254),ROUND($AG1254,2),0))</f>
        <v/>
      </c>
      <c r="V1254" s="7">
        <f>IF($Z1254="C","Generated from "&amp;INDEX(Contracts!$A$2:$A$151,$AB1254),IF($Z1254="A","Generated from "&amp;INDEX(Fixed_Assets!$A$2:$A$201,$AB1254),IF($Z1254="F","Generated from "&amp;INDEX(FTE_Allocation!$A$2:$A$201,$AB1254),"")))</f>
        <v/>
      </c>
      <c r="X1254" s="19">
        <f>IF($Z1254="","",SUM(J1254:U1254))</f>
        <v/>
      </c>
      <c r="Y1254" s="20">
        <f>ROW()-1</f>
        <v/>
      </c>
      <c r="Z1254" s="20">
        <f>IF($Y1254&lt;=Settings!$B$4*3,"C",IF($Y1254&lt;=(Settings!$B$4+Settings!$B$5)*3,"A",IF($Y1254&lt;=(Settings!$B$4+Settings!$B$5+Settings!$B$6)*3,"F","")))</f>
        <v/>
      </c>
      <c r="AA1254" s="20">
        <f>IF($Z1254="C",$Y1254,IF($Z1254="A",$Y1254-Settings!$B$4*3,IF($Z1254="F",$Y1254-(Settings!$B$4+Settings!$B$5)*3,"")))</f>
        <v/>
      </c>
      <c r="AB1254" s="20">
        <f>IF($Z1254="","",INT(($AA1254-1)/3)+1)</f>
        <v/>
      </c>
      <c r="AC1254" s="20">
        <f>IF($Z1254="","",MOD($AA1254-1,3)+1)</f>
        <v/>
      </c>
      <c r="AD1254" s="20">
        <f>IF($Z1254="","",Settings!$B$2+$AC1254-1)</f>
        <v/>
      </c>
      <c r="AE1254" s="21">
        <f>IF($Z1254="C",DATE(YEAR(INDEX(Contracts!$J$2:$J$151,$AB1254)),MONTH(INDEX(Contracts!$J$2:$J$151,$AB1254)),1),IF($Z1254="A",DATE(YEAR(INDEX(Fixed_Assets!$G$2:$G$201,$AB1254)),MONTH(INDEX(Fixed_Assets!$G$2:$G$201,$AB1254)),1),IF($Z1254="F",DATE(YEAR(MAX(N(INDEX(Workforce!$I$2:$I$151,MATCH(INDEX(FTE_Allocation!$A$2:$A$201,$AB1254),Workforce!$A$2:$A$151,0))),N(INDEX(FTE_Allocation!$I$2:$I$201,$AB1254)))),MONTH(MAX(N(INDEX(Workforce!$I$2:$I$151,MATCH(INDEX(FTE_Allocation!$A$2:$A$201,$AB1254),Workforce!$A$2:$A$151,0))),N(INDEX(FTE_Allocation!$I$2:$I$201,$AB1254)))),1),"")))</f>
        <v/>
      </c>
      <c r="AF1254" s="21">
        <f>IF($Z1254="C",IF(INDEX(Contracts!$I$2:$I$151,$AB1254)="PREPAID",EDATE(DATE(YEAR(INDEX(Contracts!$J$2:$J$151,$AB1254)),MONTH(INDEX(Contracts!$J$2:$J$151,$AB1254)),1),IF(INDEX(Contracts!$N$2:$N$151,$AB1254)="",12,INDEX(Contracts!$N$2:$N$151,$AB1254))-1),IF(INDEX(Contracts!$I$2:$I$151,$AB1254)="MONTHLY",IF(INDEX(Contracts!$K$2:$K$151,$AB1254)="",2958101,INDEX(Contracts!$K$2:$K$151,$AB1254)),0)),IF($Z1254="A",EDATE(DATE(YEAR(INDEX(Fixed_Assets!$G$2:$G$201,$AB1254)),MONTH(INDEX(Fixed_Assets!$G$2:$G$201,$AB1254)),1),INDEX(Fixed_Assets!$J$2:$J$201,$AB1254)-1),IF($Z1254="F",MIN(IF(INDEX(Workforce!$J$2:$J$151,MATCH(INDEX(FTE_Allocation!$A$2:$A$201,$AB1254),Workforce!$A$2:$A$151,0))="",2958101,INDEX(Workforce!$J$2:$J$151,MATCH(INDEX(FTE_Allocation!$A$2:$A$201,$AB1254),Workforce!$A$2:$A$151,0))),IF(INDEX(FTE_Allocation!$J$2:$J$201,$AB1254)="",2958101,INDEX(FTE_Allocation!$J$2:$J$201,$AB1254))),"")))</f>
        <v/>
      </c>
      <c r="AG1254" s="19">
        <f>IF($Z1254="C",IF(INDEX(Contracts!$I$2:$I$151,$AB1254)="PREPAID",INDEX(Contracts!$M$2:$M$151,$AB1254)/IF(INDEX(Contracts!$N$2:$N$151,$AB1254)="",12,INDEX(Contracts!$N$2:$N$151,$AB1254)),IF(INDEX(Contracts!$I$2:$I$151,$AB1254)="MONTHLY",INDEX(Contracts!$M$2:$M$151,$AB1254),0))*(1-N(INDEX(Contracts!$O$2:$O$151,$AB1254))),IF($Z1254="A",INDEX(Fixed_Assets!$H$2:$H$201,$AB1254)/INDEX(Fixed_Assets!$J$2:$J$201,$AB1254),IF($Z1254="F",INDEX(Workforce!$F$2:$F$151,MATCH(INDEX(FTE_Allocation!$A$2:$A$201,$AB1254),Workforce!$A$2:$A$151,0))*N(INDEX(FTE_Allocation!$F$2:$H$201,$AB1254,$AC1254)),"")))</f>
        <v/>
      </c>
    </row>
    <row r="1255">
      <c r="A1255" s="7">
        <f>IF($Z1255="","",$AD1255)</f>
        <v/>
      </c>
      <c r="B1255" s="7">
        <f>IF($Z1255="C",INDEX(Contracts!$D$2:$D$151,$AB1255)&amp;"",IF($Z1255="A",INDEX(Fixed_Assets!$C$2:$C$201,$AB1255)&amp;"",IF($Z1255="F",INDEX(Workforce!$B$2:$B$151,MATCH(INDEX(FTE_Allocation!$A$2:$A$201,$AB1255),Workforce!$A$2:$A$151,0))&amp;"","")))</f>
        <v/>
      </c>
      <c r="C1255" s="7">
        <f>IF($Z1255="C",INDEX(Contracts!$E$2:$E$151,$AB1255)&amp;"",IF($Z1255="A",INDEX(Fixed_Assets!$D$2:$D$201,$AB1255)&amp;"",IF($Z1255="F",INDEX(FTE_Allocation!$C$2:$C$201,$AB1255)&amp;"","")))</f>
        <v/>
      </c>
      <c r="D1255" s="7">
        <f>IF($Z1255="C",INDEX(Contracts!$B$2:$B$151,$AB1255)&amp;"",IF($Z1255="A",INDEX(Fixed_Assets!$B$2:$B$201,$AB1255)&amp;"",IF($Z1255="F",INDEX(FTE_Allocation!$B$2:$B$201,$AB1255)&amp;"","")))</f>
        <v/>
      </c>
      <c r="E1255" s="7">
        <f>IF($Z1255="C",INDEX(Contracts!$P$2:$P$151,$AB1255)&amp;"",IF($Z1255="A",INDEX(Fixed_Assets!$K$2:$K$201,$AB1255)&amp;"",IF($Z1255="F",IF(INDEX(FTE_Allocation!$D$2:$D$201,$AB1255)="PROJECT",IFERROR(INDEX(Projects!$D:$D,MATCH(INDEX(FTE_Allocation!$E$2:$E$201,$AB1255),Projects!$A:$A,0))&amp;"","#PROJECT?"),INDEX(FTE_Allocation!$E$2:$E$201,$AB1255)&amp;""),"")))</f>
        <v/>
      </c>
      <c r="F1255" s="7">
        <f>IF($Z1255="C",INDEX(Contracts!$Q$2:$Q$151,$AB1255)&amp;"",IF($Z1255="A",INDEX(Fixed_Assets!$L$2:$L$201,$AB1255)&amp;"",IF($Z1255="F",INDEX(Workforce!$K$2:$K$151,MATCH(INDEX(FTE_Allocation!$A$2:$A$201,$AB1255),Workforce!$A$2:$A$151,0))&amp;"","")))</f>
        <v/>
      </c>
      <c r="G1255" s="7">
        <f>IF($Z1255="C",INDEX(Contracts!$F$2:$F$151,$AB1255)&amp;" / "&amp;INDEX(Contracts!$G$2:$G$151,$AB1255),IF($Z1255="A",INDEX(Fixed_Assets!$E$2:$E$201,$AB1255)&amp;"",IF($Z1255="F","Personnel "&amp;INDEX(FTE_Allocation!$A$2:$A$201,$AB1255)&amp;IF(INDEX(FTE_Allocation!$D$2:$D$201,$AB1255)="PROJECT"," ("&amp;INDEX(FTE_Allocation!$E$2:$E$201,$AB1255)&amp;")",""),"")))</f>
        <v/>
      </c>
      <c r="H1255" s="7">
        <f>IF($Z1255="C","CONTRACT",IF($Z1255="A","ASSET",IF($Z1255="F","WORKFORCE","")))</f>
        <v/>
      </c>
      <c r="I1255" s="7">
        <f>IF($Z1255="C",INDEX(Contracts!$L$2:$L$151,$AB1255)&amp;"",IF($Z1255="A",INDEX(Fixed_Assets!$I$2:$I$201,$AB1255)&amp;"",IF($Z1255="F",INDEX(Workforce!$G$2:$G$151,MATCH(INDEX(FTE_Allocation!$A$2:$A$201,$AB1255),Workforce!$A$2:$A$151,0))&amp;"","")))</f>
        <v/>
      </c>
      <c r="J1255" s="18">
        <f>IF($Z1255="","",IF(AND(DATE($AD1255,1,1)&gt;=$AE1255,DATE($AD1255,1,1)&lt;=$AF1255),ROUND($AG1255,2),0))</f>
        <v/>
      </c>
      <c r="K1255" s="18">
        <f>IF($Z1255="","",IF(AND(DATE($AD1255,2,1)&gt;=$AE1255,DATE($AD1255,2,1)&lt;=$AF1255),ROUND($AG1255,2),0))</f>
        <v/>
      </c>
      <c r="L1255" s="18">
        <f>IF($Z1255="","",IF(AND(DATE($AD1255,3,1)&gt;=$AE1255,DATE($AD1255,3,1)&lt;=$AF1255),ROUND($AG1255,2),0))</f>
        <v/>
      </c>
      <c r="M1255" s="18">
        <f>IF($Z1255="","",IF(AND(DATE($AD1255,4,1)&gt;=$AE1255,DATE($AD1255,4,1)&lt;=$AF1255),ROUND($AG1255,2),0))</f>
        <v/>
      </c>
      <c r="N1255" s="18">
        <f>IF($Z1255="","",IF(AND(DATE($AD1255,5,1)&gt;=$AE1255,DATE($AD1255,5,1)&lt;=$AF1255),ROUND($AG1255,2),0))</f>
        <v/>
      </c>
      <c r="O1255" s="18">
        <f>IF($Z1255="","",IF(AND(DATE($AD1255,6,1)&gt;=$AE1255,DATE($AD1255,6,1)&lt;=$AF1255),ROUND($AG1255,2),0))</f>
        <v/>
      </c>
      <c r="P1255" s="18">
        <f>IF($Z1255="","",IF(AND(DATE($AD1255,7,1)&gt;=$AE1255,DATE($AD1255,7,1)&lt;=$AF1255),ROUND($AG1255,2),0))</f>
        <v/>
      </c>
      <c r="Q1255" s="18">
        <f>IF($Z1255="","",IF(AND(DATE($AD1255,8,1)&gt;=$AE1255,DATE($AD1255,8,1)&lt;=$AF1255),ROUND($AG1255,2),0))</f>
        <v/>
      </c>
      <c r="R1255" s="18">
        <f>IF($Z1255="","",IF(AND(DATE($AD1255,9,1)&gt;=$AE1255,DATE($AD1255,9,1)&lt;=$AF1255),ROUND($AG1255,2),0))</f>
        <v/>
      </c>
      <c r="S1255" s="18">
        <f>IF($Z1255="","",IF(AND(DATE($AD1255,10,1)&gt;=$AE1255,DATE($AD1255,10,1)&lt;=$AF1255),ROUND($AG1255,2),0))</f>
        <v/>
      </c>
      <c r="T1255" s="18">
        <f>IF($Z1255="","",IF(AND(DATE($AD1255,11,1)&gt;=$AE1255,DATE($AD1255,11,1)&lt;=$AF1255),ROUND($AG1255,2),0))</f>
        <v/>
      </c>
      <c r="U1255" s="18">
        <f>IF($Z1255="","",IF(AND(DATE($AD1255,12,1)&gt;=$AE1255,DATE($AD1255,12,1)&lt;=$AF1255),ROUND($AG1255,2),0))</f>
        <v/>
      </c>
      <c r="V1255" s="7">
        <f>IF($Z1255="C","Generated from "&amp;INDEX(Contracts!$A$2:$A$151,$AB1255),IF($Z1255="A","Generated from "&amp;INDEX(Fixed_Assets!$A$2:$A$201,$AB1255),IF($Z1255="F","Generated from "&amp;INDEX(FTE_Allocation!$A$2:$A$201,$AB1255),"")))</f>
        <v/>
      </c>
      <c r="X1255" s="19">
        <f>IF($Z1255="","",SUM(J1255:U1255))</f>
        <v/>
      </c>
      <c r="Y1255" s="20">
        <f>ROW()-1</f>
        <v/>
      </c>
      <c r="Z1255" s="20">
        <f>IF($Y1255&lt;=Settings!$B$4*3,"C",IF($Y1255&lt;=(Settings!$B$4+Settings!$B$5)*3,"A",IF($Y1255&lt;=(Settings!$B$4+Settings!$B$5+Settings!$B$6)*3,"F","")))</f>
        <v/>
      </c>
      <c r="AA1255" s="20">
        <f>IF($Z1255="C",$Y1255,IF($Z1255="A",$Y1255-Settings!$B$4*3,IF($Z1255="F",$Y1255-(Settings!$B$4+Settings!$B$5)*3,"")))</f>
        <v/>
      </c>
      <c r="AB1255" s="20">
        <f>IF($Z1255="","",INT(($AA1255-1)/3)+1)</f>
        <v/>
      </c>
      <c r="AC1255" s="20">
        <f>IF($Z1255="","",MOD($AA1255-1,3)+1)</f>
        <v/>
      </c>
      <c r="AD1255" s="20">
        <f>IF($Z1255="","",Settings!$B$2+$AC1255-1)</f>
        <v/>
      </c>
      <c r="AE1255" s="21">
        <f>IF($Z1255="C",DATE(YEAR(INDEX(Contracts!$J$2:$J$151,$AB1255)),MONTH(INDEX(Contracts!$J$2:$J$151,$AB1255)),1),IF($Z1255="A",DATE(YEAR(INDEX(Fixed_Assets!$G$2:$G$201,$AB1255)),MONTH(INDEX(Fixed_Assets!$G$2:$G$201,$AB1255)),1),IF($Z1255="F",DATE(YEAR(MAX(N(INDEX(Workforce!$I$2:$I$151,MATCH(INDEX(FTE_Allocation!$A$2:$A$201,$AB1255),Workforce!$A$2:$A$151,0))),N(INDEX(FTE_Allocation!$I$2:$I$201,$AB1255)))),MONTH(MAX(N(INDEX(Workforce!$I$2:$I$151,MATCH(INDEX(FTE_Allocation!$A$2:$A$201,$AB1255),Workforce!$A$2:$A$151,0))),N(INDEX(FTE_Allocation!$I$2:$I$201,$AB1255)))),1),"")))</f>
        <v/>
      </c>
      <c r="AF1255" s="21">
        <f>IF($Z1255="C",IF(INDEX(Contracts!$I$2:$I$151,$AB1255)="PREPAID",EDATE(DATE(YEAR(INDEX(Contracts!$J$2:$J$151,$AB1255)),MONTH(INDEX(Contracts!$J$2:$J$151,$AB1255)),1),IF(INDEX(Contracts!$N$2:$N$151,$AB1255)="",12,INDEX(Contracts!$N$2:$N$151,$AB1255))-1),IF(INDEX(Contracts!$I$2:$I$151,$AB1255)="MONTHLY",IF(INDEX(Contracts!$K$2:$K$151,$AB1255)="",2958101,INDEX(Contracts!$K$2:$K$151,$AB1255)),0)),IF($Z1255="A",EDATE(DATE(YEAR(INDEX(Fixed_Assets!$G$2:$G$201,$AB1255)),MONTH(INDEX(Fixed_Assets!$G$2:$G$201,$AB1255)),1),INDEX(Fixed_Assets!$J$2:$J$201,$AB1255)-1),IF($Z1255="F",MIN(IF(INDEX(Workforce!$J$2:$J$151,MATCH(INDEX(FTE_Allocation!$A$2:$A$201,$AB1255),Workforce!$A$2:$A$151,0))="",2958101,INDEX(Workforce!$J$2:$J$151,MATCH(INDEX(FTE_Allocation!$A$2:$A$201,$AB1255),Workforce!$A$2:$A$151,0))),IF(INDEX(FTE_Allocation!$J$2:$J$201,$AB1255)="",2958101,INDEX(FTE_Allocation!$J$2:$J$201,$AB1255))),"")))</f>
        <v/>
      </c>
      <c r="AG1255" s="19">
        <f>IF($Z1255="C",IF(INDEX(Contracts!$I$2:$I$151,$AB1255)="PREPAID",INDEX(Contracts!$M$2:$M$151,$AB1255)/IF(INDEX(Contracts!$N$2:$N$151,$AB1255)="",12,INDEX(Contracts!$N$2:$N$151,$AB1255)),IF(INDEX(Contracts!$I$2:$I$151,$AB1255)="MONTHLY",INDEX(Contracts!$M$2:$M$151,$AB1255),0))*(1-N(INDEX(Contracts!$O$2:$O$151,$AB1255))),IF($Z1255="A",INDEX(Fixed_Assets!$H$2:$H$201,$AB1255)/INDEX(Fixed_Assets!$J$2:$J$201,$AB1255),IF($Z1255="F",INDEX(Workforce!$F$2:$F$151,MATCH(INDEX(FTE_Allocation!$A$2:$A$201,$AB1255),Workforce!$A$2:$A$151,0))*N(INDEX(FTE_Allocation!$F$2:$H$201,$AB1255,$AC1255)),"")))</f>
        <v/>
      </c>
    </row>
    <row r="1256">
      <c r="A1256" s="7">
        <f>IF($Z1256="","",$AD1256)</f>
        <v/>
      </c>
      <c r="B1256" s="7">
        <f>IF($Z1256="C",INDEX(Contracts!$D$2:$D$151,$AB1256)&amp;"",IF($Z1256="A",INDEX(Fixed_Assets!$C$2:$C$201,$AB1256)&amp;"",IF($Z1256="F",INDEX(Workforce!$B$2:$B$151,MATCH(INDEX(FTE_Allocation!$A$2:$A$201,$AB1256),Workforce!$A$2:$A$151,0))&amp;"","")))</f>
        <v/>
      </c>
      <c r="C1256" s="7">
        <f>IF($Z1256="C",INDEX(Contracts!$E$2:$E$151,$AB1256)&amp;"",IF($Z1256="A",INDEX(Fixed_Assets!$D$2:$D$201,$AB1256)&amp;"",IF($Z1256="F",INDEX(FTE_Allocation!$C$2:$C$201,$AB1256)&amp;"","")))</f>
        <v/>
      </c>
      <c r="D1256" s="7">
        <f>IF($Z1256="C",INDEX(Contracts!$B$2:$B$151,$AB1256)&amp;"",IF($Z1256="A",INDEX(Fixed_Assets!$B$2:$B$201,$AB1256)&amp;"",IF($Z1256="F",INDEX(FTE_Allocation!$B$2:$B$201,$AB1256)&amp;"","")))</f>
        <v/>
      </c>
      <c r="E1256" s="7">
        <f>IF($Z1256="C",INDEX(Contracts!$P$2:$P$151,$AB1256)&amp;"",IF($Z1256="A",INDEX(Fixed_Assets!$K$2:$K$201,$AB1256)&amp;"",IF($Z1256="F",IF(INDEX(FTE_Allocation!$D$2:$D$201,$AB1256)="PROJECT",IFERROR(INDEX(Projects!$D:$D,MATCH(INDEX(FTE_Allocation!$E$2:$E$201,$AB1256),Projects!$A:$A,0))&amp;"","#PROJECT?"),INDEX(FTE_Allocation!$E$2:$E$201,$AB1256)&amp;""),"")))</f>
        <v/>
      </c>
      <c r="F1256" s="7">
        <f>IF($Z1256="C",INDEX(Contracts!$Q$2:$Q$151,$AB1256)&amp;"",IF($Z1256="A",INDEX(Fixed_Assets!$L$2:$L$201,$AB1256)&amp;"",IF($Z1256="F",INDEX(Workforce!$K$2:$K$151,MATCH(INDEX(FTE_Allocation!$A$2:$A$201,$AB1256),Workforce!$A$2:$A$151,0))&amp;"","")))</f>
        <v/>
      </c>
      <c r="G1256" s="7">
        <f>IF($Z1256="C",INDEX(Contracts!$F$2:$F$151,$AB1256)&amp;" / "&amp;INDEX(Contracts!$G$2:$G$151,$AB1256),IF($Z1256="A",INDEX(Fixed_Assets!$E$2:$E$201,$AB1256)&amp;"",IF($Z1256="F","Personnel "&amp;INDEX(FTE_Allocation!$A$2:$A$201,$AB1256)&amp;IF(INDEX(FTE_Allocation!$D$2:$D$201,$AB1256)="PROJECT"," ("&amp;INDEX(FTE_Allocation!$E$2:$E$201,$AB1256)&amp;")",""),"")))</f>
        <v/>
      </c>
      <c r="H1256" s="7">
        <f>IF($Z1256="C","CONTRACT",IF($Z1256="A","ASSET",IF($Z1256="F","WORKFORCE","")))</f>
        <v/>
      </c>
      <c r="I1256" s="7">
        <f>IF($Z1256="C",INDEX(Contracts!$L$2:$L$151,$AB1256)&amp;"",IF($Z1256="A",INDEX(Fixed_Assets!$I$2:$I$201,$AB1256)&amp;"",IF($Z1256="F",INDEX(Workforce!$G$2:$G$151,MATCH(INDEX(FTE_Allocation!$A$2:$A$201,$AB1256),Workforce!$A$2:$A$151,0))&amp;"","")))</f>
        <v/>
      </c>
      <c r="J1256" s="18">
        <f>IF($Z1256="","",IF(AND(DATE($AD1256,1,1)&gt;=$AE1256,DATE($AD1256,1,1)&lt;=$AF1256),ROUND($AG1256,2),0))</f>
        <v/>
      </c>
      <c r="K1256" s="18">
        <f>IF($Z1256="","",IF(AND(DATE($AD1256,2,1)&gt;=$AE1256,DATE($AD1256,2,1)&lt;=$AF1256),ROUND($AG1256,2),0))</f>
        <v/>
      </c>
      <c r="L1256" s="18">
        <f>IF($Z1256="","",IF(AND(DATE($AD1256,3,1)&gt;=$AE1256,DATE($AD1256,3,1)&lt;=$AF1256),ROUND($AG1256,2),0))</f>
        <v/>
      </c>
      <c r="M1256" s="18">
        <f>IF($Z1256="","",IF(AND(DATE($AD1256,4,1)&gt;=$AE1256,DATE($AD1256,4,1)&lt;=$AF1256),ROUND($AG1256,2),0))</f>
        <v/>
      </c>
      <c r="N1256" s="18">
        <f>IF($Z1256="","",IF(AND(DATE($AD1256,5,1)&gt;=$AE1256,DATE($AD1256,5,1)&lt;=$AF1256),ROUND($AG1256,2),0))</f>
        <v/>
      </c>
      <c r="O1256" s="18">
        <f>IF($Z1256="","",IF(AND(DATE($AD1256,6,1)&gt;=$AE1256,DATE($AD1256,6,1)&lt;=$AF1256),ROUND($AG1256,2),0))</f>
        <v/>
      </c>
      <c r="P1256" s="18">
        <f>IF($Z1256="","",IF(AND(DATE($AD1256,7,1)&gt;=$AE1256,DATE($AD1256,7,1)&lt;=$AF1256),ROUND($AG1256,2),0))</f>
        <v/>
      </c>
      <c r="Q1256" s="18">
        <f>IF($Z1256="","",IF(AND(DATE($AD1256,8,1)&gt;=$AE1256,DATE($AD1256,8,1)&lt;=$AF1256),ROUND($AG1256,2),0))</f>
        <v/>
      </c>
      <c r="R1256" s="18">
        <f>IF($Z1256="","",IF(AND(DATE($AD1256,9,1)&gt;=$AE1256,DATE($AD1256,9,1)&lt;=$AF1256),ROUND($AG1256,2),0))</f>
        <v/>
      </c>
      <c r="S1256" s="18">
        <f>IF($Z1256="","",IF(AND(DATE($AD1256,10,1)&gt;=$AE1256,DATE($AD1256,10,1)&lt;=$AF1256),ROUND($AG1256,2),0))</f>
        <v/>
      </c>
      <c r="T1256" s="18">
        <f>IF($Z1256="","",IF(AND(DATE($AD1256,11,1)&gt;=$AE1256,DATE($AD1256,11,1)&lt;=$AF1256),ROUND($AG1256,2),0))</f>
        <v/>
      </c>
      <c r="U1256" s="18">
        <f>IF($Z1256="","",IF(AND(DATE($AD1256,12,1)&gt;=$AE1256,DATE($AD1256,12,1)&lt;=$AF1256),ROUND($AG1256,2),0))</f>
        <v/>
      </c>
      <c r="V1256" s="7">
        <f>IF($Z1256="C","Generated from "&amp;INDEX(Contracts!$A$2:$A$151,$AB1256),IF($Z1256="A","Generated from "&amp;INDEX(Fixed_Assets!$A$2:$A$201,$AB1256),IF($Z1256="F","Generated from "&amp;INDEX(FTE_Allocation!$A$2:$A$201,$AB1256),"")))</f>
        <v/>
      </c>
      <c r="X1256" s="19">
        <f>IF($Z1256="","",SUM(J1256:U1256))</f>
        <v/>
      </c>
      <c r="Y1256" s="20">
        <f>ROW()-1</f>
        <v/>
      </c>
      <c r="Z1256" s="20">
        <f>IF($Y1256&lt;=Settings!$B$4*3,"C",IF($Y1256&lt;=(Settings!$B$4+Settings!$B$5)*3,"A",IF($Y1256&lt;=(Settings!$B$4+Settings!$B$5+Settings!$B$6)*3,"F","")))</f>
        <v/>
      </c>
      <c r="AA1256" s="20">
        <f>IF($Z1256="C",$Y1256,IF($Z1256="A",$Y1256-Settings!$B$4*3,IF($Z1256="F",$Y1256-(Settings!$B$4+Settings!$B$5)*3,"")))</f>
        <v/>
      </c>
      <c r="AB1256" s="20">
        <f>IF($Z1256="","",INT(($AA1256-1)/3)+1)</f>
        <v/>
      </c>
      <c r="AC1256" s="20">
        <f>IF($Z1256="","",MOD($AA1256-1,3)+1)</f>
        <v/>
      </c>
      <c r="AD1256" s="20">
        <f>IF($Z1256="","",Settings!$B$2+$AC1256-1)</f>
        <v/>
      </c>
      <c r="AE1256" s="21">
        <f>IF($Z1256="C",DATE(YEAR(INDEX(Contracts!$J$2:$J$151,$AB1256)),MONTH(INDEX(Contracts!$J$2:$J$151,$AB1256)),1),IF($Z1256="A",DATE(YEAR(INDEX(Fixed_Assets!$G$2:$G$201,$AB1256)),MONTH(INDEX(Fixed_Assets!$G$2:$G$201,$AB1256)),1),IF($Z1256="F",DATE(YEAR(MAX(N(INDEX(Workforce!$I$2:$I$151,MATCH(INDEX(FTE_Allocation!$A$2:$A$201,$AB1256),Workforce!$A$2:$A$151,0))),N(INDEX(FTE_Allocation!$I$2:$I$201,$AB1256)))),MONTH(MAX(N(INDEX(Workforce!$I$2:$I$151,MATCH(INDEX(FTE_Allocation!$A$2:$A$201,$AB1256),Workforce!$A$2:$A$151,0))),N(INDEX(FTE_Allocation!$I$2:$I$201,$AB1256)))),1),"")))</f>
        <v/>
      </c>
      <c r="AF1256" s="21">
        <f>IF($Z1256="C",IF(INDEX(Contracts!$I$2:$I$151,$AB1256)="PREPAID",EDATE(DATE(YEAR(INDEX(Contracts!$J$2:$J$151,$AB1256)),MONTH(INDEX(Contracts!$J$2:$J$151,$AB1256)),1),IF(INDEX(Contracts!$N$2:$N$151,$AB1256)="",12,INDEX(Contracts!$N$2:$N$151,$AB1256))-1),IF(INDEX(Contracts!$I$2:$I$151,$AB1256)="MONTHLY",IF(INDEX(Contracts!$K$2:$K$151,$AB1256)="",2958101,INDEX(Contracts!$K$2:$K$151,$AB1256)),0)),IF($Z1256="A",EDATE(DATE(YEAR(INDEX(Fixed_Assets!$G$2:$G$201,$AB1256)),MONTH(INDEX(Fixed_Assets!$G$2:$G$201,$AB1256)),1),INDEX(Fixed_Assets!$J$2:$J$201,$AB1256)-1),IF($Z1256="F",MIN(IF(INDEX(Workforce!$J$2:$J$151,MATCH(INDEX(FTE_Allocation!$A$2:$A$201,$AB1256),Workforce!$A$2:$A$151,0))="",2958101,INDEX(Workforce!$J$2:$J$151,MATCH(INDEX(FTE_Allocation!$A$2:$A$201,$AB1256),Workforce!$A$2:$A$151,0))),IF(INDEX(FTE_Allocation!$J$2:$J$201,$AB1256)="",2958101,INDEX(FTE_Allocation!$J$2:$J$201,$AB1256))),"")))</f>
        <v/>
      </c>
      <c r="AG1256" s="19">
        <f>IF($Z1256="C",IF(INDEX(Contracts!$I$2:$I$151,$AB1256)="PREPAID",INDEX(Contracts!$M$2:$M$151,$AB1256)/IF(INDEX(Contracts!$N$2:$N$151,$AB1256)="",12,INDEX(Contracts!$N$2:$N$151,$AB1256)),IF(INDEX(Contracts!$I$2:$I$151,$AB1256)="MONTHLY",INDEX(Contracts!$M$2:$M$151,$AB1256),0))*(1-N(INDEX(Contracts!$O$2:$O$151,$AB1256))),IF($Z1256="A",INDEX(Fixed_Assets!$H$2:$H$201,$AB1256)/INDEX(Fixed_Assets!$J$2:$J$201,$AB1256),IF($Z1256="F",INDEX(Workforce!$F$2:$F$151,MATCH(INDEX(FTE_Allocation!$A$2:$A$201,$AB1256),Workforce!$A$2:$A$151,0))*N(INDEX(FTE_Allocation!$F$2:$H$201,$AB1256,$AC1256)),"")))</f>
        <v/>
      </c>
    </row>
    <row r="1257">
      <c r="A1257" s="7">
        <f>IF($Z1257="","",$AD1257)</f>
        <v/>
      </c>
      <c r="B1257" s="7">
        <f>IF($Z1257="C",INDEX(Contracts!$D$2:$D$151,$AB1257)&amp;"",IF($Z1257="A",INDEX(Fixed_Assets!$C$2:$C$201,$AB1257)&amp;"",IF($Z1257="F",INDEX(Workforce!$B$2:$B$151,MATCH(INDEX(FTE_Allocation!$A$2:$A$201,$AB1257),Workforce!$A$2:$A$151,0))&amp;"","")))</f>
        <v/>
      </c>
      <c r="C1257" s="7">
        <f>IF($Z1257="C",INDEX(Contracts!$E$2:$E$151,$AB1257)&amp;"",IF($Z1257="A",INDEX(Fixed_Assets!$D$2:$D$201,$AB1257)&amp;"",IF($Z1257="F",INDEX(FTE_Allocation!$C$2:$C$201,$AB1257)&amp;"","")))</f>
        <v/>
      </c>
      <c r="D1257" s="7">
        <f>IF($Z1257="C",INDEX(Contracts!$B$2:$B$151,$AB1257)&amp;"",IF($Z1257="A",INDEX(Fixed_Assets!$B$2:$B$201,$AB1257)&amp;"",IF($Z1257="F",INDEX(FTE_Allocation!$B$2:$B$201,$AB1257)&amp;"","")))</f>
        <v/>
      </c>
      <c r="E1257" s="7">
        <f>IF($Z1257="C",INDEX(Contracts!$P$2:$P$151,$AB1257)&amp;"",IF($Z1257="A",INDEX(Fixed_Assets!$K$2:$K$201,$AB1257)&amp;"",IF($Z1257="F",IF(INDEX(FTE_Allocation!$D$2:$D$201,$AB1257)="PROJECT",IFERROR(INDEX(Projects!$D:$D,MATCH(INDEX(FTE_Allocation!$E$2:$E$201,$AB1257),Projects!$A:$A,0))&amp;"","#PROJECT?"),INDEX(FTE_Allocation!$E$2:$E$201,$AB1257)&amp;""),"")))</f>
        <v/>
      </c>
      <c r="F1257" s="7">
        <f>IF($Z1257="C",INDEX(Contracts!$Q$2:$Q$151,$AB1257)&amp;"",IF($Z1257="A",INDEX(Fixed_Assets!$L$2:$L$201,$AB1257)&amp;"",IF($Z1257="F",INDEX(Workforce!$K$2:$K$151,MATCH(INDEX(FTE_Allocation!$A$2:$A$201,$AB1257),Workforce!$A$2:$A$151,0))&amp;"","")))</f>
        <v/>
      </c>
      <c r="G1257" s="7">
        <f>IF($Z1257="C",INDEX(Contracts!$F$2:$F$151,$AB1257)&amp;" / "&amp;INDEX(Contracts!$G$2:$G$151,$AB1257),IF($Z1257="A",INDEX(Fixed_Assets!$E$2:$E$201,$AB1257)&amp;"",IF($Z1257="F","Personnel "&amp;INDEX(FTE_Allocation!$A$2:$A$201,$AB1257)&amp;IF(INDEX(FTE_Allocation!$D$2:$D$201,$AB1257)="PROJECT"," ("&amp;INDEX(FTE_Allocation!$E$2:$E$201,$AB1257)&amp;")",""),"")))</f>
        <v/>
      </c>
      <c r="H1257" s="7">
        <f>IF($Z1257="C","CONTRACT",IF($Z1257="A","ASSET",IF($Z1257="F","WORKFORCE","")))</f>
        <v/>
      </c>
      <c r="I1257" s="7">
        <f>IF($Z1257="C",INDEX(Contracts!$L$2:$L$151,$AB1257)&amp;"",IF($Z1257="A",INDEX(Fixed_Assets!$I$2:$I$201,$AB1257)&amp;"",IF($Z1257="F",INDEX(Workforce!$G$2:$G$151,MATCH(INDEX(FTE_Allocation!$A$2:$A$201,$AB1257),Workforce!$A$2:$A$151,0))&amp;"","")))</f>
        <v/>
      </c>
      <c r="J1257" s="18">
        <f>IF($Z1257="","",IF(AND(DATE($AD1257,1,1)&gt;=$AE1257,DATE($AD1257,1,1)&lt;=$AF1257),ROUND($AG1257,2),0))</f>
        <v/>
      </c>
      <c r="K1257" s="18">
        <f>IF($Z1257="","",IF(AND(DATE($AD1257,2,1)&gt;=$AE1257,DATE($AD1257,2,1)&lt;=$AF1257),ROUND($AG1257,2),0))</f>
        <v/>
      </c>
      <c r="L1257" s="18">
        <f>IF($Z1257="","",IF(AND(DATE($AD1257,3,1)&gt;=$AE1257,DATE($AD1257,3,1)&lt;=$AF1257),ROUND($AG1257,2),0))</f>
        <v/>
      </c>
      <c r="M1257" s="18">
        <f>IF($Z1257="","",IF(AND(DATE($AD1257,4,1)&gt;=$AE1257,DATE($AD1257,4,1)&lt;=$AF1257),ROUND($AG1257,2),0))</f>
        <v/>
      </c>
      <c r="N1257" s="18">
        <f>IF($Z1257="","",IF(AND(DATE($AD1257,5,1)&gt;=$AE1257,DATE($AD1257,5,1)&lt;=$AF1257),ROUND($AG1257,2),0))</f>
        <v/>
      </c>
      <c r="O1257" s="18">
        <f>IF($Z1257="","",IF(AND(DATE($AD1257,6,1)&gt;=$AE1257,DATE($AD1257,6,1)&lt;=$AF1257),ROUND($AG1257,2),0))</f>
        <v/>
      </c>
      <c r="P1257" s="18">
        <f>IF($Z1257="","",IF(AND(DATE($AD1257,7,1)&gt;=$AE1257,DATE($AD1257,7,1)&lt;=$AF1257),ROUND($AG1257,2),0))</f>
        <v/>
      </c>
      <c r="Q1257" s="18">
        <f>IF($Z1257="","",IF(AND(DATE($AD1257,8,1)&gt;=$AE1257,DATE($AD1257,8,1)&lt;=$AF1257),ROUND($AG1257,2),0))</f>
        <v/>
      </c>
      <c r="R1257" s="18">
        <f>IF($Z1257="","",IF(AND(DATE($AD1257,9,1)&gt;=$AE1257,DATE($AD1257,9,1)&lt;=$AF1257),ROUND($AG1257,2),0))</f>
        <v/>
      </c>
      <c r="S1257" s="18">
        <f>IF($Z1257="","",IF(AND(DATE($AD1257,10,1)&gt;=$AE1257,DATE($AD1257,10,1)&lt;=$AF1257),ROUND($AG1257,2),0))</f>
        <v/>
      </c>
      <c r="T1257" s="18">
        <f>IF($Z1257="","",IF(AND(DATE($AD1257,11,1)&gt;=$AE1257,DATE($AD1257,11,1)&lt;=$AF1257),ROUND($AG1257,2),0))</f>
        <v/>
      </c>
      <c r="U1257" s="18">
        <f>IF($Z1257="","",IF(AND(DATE($AD1257,12,1)&gt;=$AE1257,DATE($AD1257,12,1)&lt;=$AF1257),ROUND($AG1257,2),0))</f>
        <v/>
      </c>
      <c r="V1257" s="7">
        <f>IF($Z1257="C","Generated from "&amp;INDEX(Contracts!$A$2:$A$151,$AB1257),IF($Z1257="A","Generated from "&amp;INDEX(Fixed_Assets!$A$2:$A$201,$AB1257),IF($Z1257="F","Generated from "&amp;INDEX(FTE_Allocation!$A$2:$A$201,$AB1257),"")))</f>
        <v/>
      </c>
      <c r="X1257" s="19">
        <f>IF($Z1257="","",SUM(J1257:U1257))</f>
        <v/>
      </c>
      <c r="Y1257" s="20">
        <f>ROW()-1</f>
        <v/>
      </c>
      <c r="Z1257" s="20">
        <f>IF($Y1257&lt;=Settings!$B$4*3,"C",IF($Y1257&lt;=(Settings!$B$4+Settings!$B$5)*3,"A",IF($Y1257&lt;=(Settings!$B$4+Settings!$B$5+Settings!$B$6)*3,"F","")))</f>
        <v/>
      </c>
      <c r="AA1257" s="20">
        <f>IF($Z1257="C",$Y1257,IF($Z1257="A",$Y1257-Settings!$B$4*3,IF($Z1257="F",$Y1257-(Settings!$B$4+Settings!$B$5)*3,"")))</f>
        <v/>
      </c>
      <c r="AB1257" s="20">
        <f>IF($Z1257="","",INT(($AA1257-1)/3)+1)</f>
        <v/>
      </c>
      <c r="AC1257" s="20">
        <f>IF($Z1257="","",MOD($AA1257-1,3)+1)</f>
        <v/>
      </c>
      <c r="AD1257" s="20">
        <f>IF($Z1257="","",Settings!$B$2+$AC1257-1)</f>
        <v/>
      </c>
      <c r="AE1257" s="21">
        <f>IF($Z1257="C",DATE(YEAR(INDEX(Contracts!$J$2:$J$151,$AB1257)),MONTH(INDEX(Contracts!$J$2:$J$151,$AB1257)),1),IF($Z1257="A",DATE(YEAR(INDEX(Fixed_Assets!$G$2:$G$201,$AB1257)),MONTH(INDEX(Fixed_Assets!$G$2:$G$201,$AB1257)),1),IF($Z1257="F",DATE(YEAR(MAX(N(INDEX(Workforce!$I$2:$I$151,MATCH(INDEX(FTE_Allocation!$A$2:$A$201,$AB1257),Workforce!$A$2:$A$151,0))),N(INDEX(FTE_Allocation!$I$2:$I$201,$AB1257)))),MONTH(MAX(N(INDEX(Workforce!$I$2:$I$151,MATCH(INDEX(FTE_Allocation!$A$2:$A$201,$AB1257),Workforce!$A$2:$A$151,0))),N(INDEX(FTE_Allocation!$I$2:$I$201,$AB1257)))),1),"")))</f>
        <v/>
      </c>
      <c r="AF1257" s="21">
        <f>IF($Z1257="C",IF(INDEX(Contracts!$I$2:$I$151,$AB1257)="PREPAID",EDATE(DATE(YEAR(INDEX(Contracts!$J$2:$J$151,$AB1257)),MONTH(INDEX(Contracts!$J$2:$J$151,$AB1257)),1),IF(INDEX(Contracts!$N$2:$N$151,$AB1257)="",12,INDEX(Contracts!$N$2:$N$151,$AB1257))-1),IF(INDEX(Contracts!$I$2:$I$151,$AB1257)="MONTHLY",IF(INDEX(Contracts!$K$2:$K$151,$AB1257)="",2958101,INDEX(Contracts!$K$2:$K$151,$AB1257)),0)),IF($Z1257="A",EDATE(DATE(YEAR(INDEX(Fixed_Assets!$G$2:$G$201,$AB1257)),MONTH(INDEX(Fixed_Assets!$G$2:$G$201,$AB1257)),1),INDEX(Fixed_Assets!$J$2:$J$201,$AB1257)-1),IF($Z1257="F",MIN(IF(INDEX(Workforce!$J$2:$J$151,MATCH(INDEX(FTE_Allocation!$A$2:$A$201,$AB1257),Workforce!$A$2:$A$151,0))="",2958101,INDEX(Workforce!$J$2:$J$151,MATCH(INDEX(FTE_Allocation!$A$2:$A$201,$AB1257),Workforce!$A$2:$A$151,0))),IF(INDEX(FTE_Allocation!$J$2:$J$201,$AB1257)="",2958101,INDEX(FTE_Allocation!$J$2:$J$201,$AB1257))),"")))</f>
        <v/>
      </c>
      <c r="AG1257" s="19">
        <f>IF($Z1257="C",IF(INDEX(Contracts!$I$2:$I$151,$AB1257)="PREPAID",INDEX(Contracts!$M$2:$M$151,$AB1257)/IF(INDEX(Contracts!$N$2:$N$151,$AB1257)="",12,INDEX(Contracts!$N$2:$N$151,$AB1257)),IF(INDEX(Contracts!$I$2:$I$151,$AB1257)="MONTHLY",INDEX(Contracts!$M$2:$M$151,$AB1257),0))*(1-N(INDEX(Contracts!$O$2:$O$151,$AB1257))),IF($Z1257="A",INDEX(Fixed_Assets!$H$2:$H$201,$AB1257)/INDEX(Fixed_Assets!$J$2:$J$201,$AB1257),IF($Z1257="F",INDEX(Workforce!$F$2:$F$151,MATCH(INDEX(FTE_Allocation!$A$2:$A$201,$AB1257),Workforce!$A$2:$A$151,0))*N(INDEX(FTE_Allocation!$F$2:$H$201,$AB1257,$AC1257)),"")))</f>
        <v/>
      </c>
    </row>
    <row r="1258">
      <c r="A1258" s="7">
        <f>IF($Z1258="","",$AD1258)</f>
        <v/>
      </c>
      <c r="B1258" s="7">
        <f>IF($Z1258="C",INDEX(Contracts!$D$2:$D$151,$AB1258)&amp;"",IF($Z1258="A",INDEX(Fixed_Assets!$C$2:$C$201,$AB1258)&amp;"",IF($Z1258="F",INDEX(Workforce!$B$2:$B$151,MATCH(INDEX(FTE_Allocation!$A$2:$A$201,$AB1258),Workforce!$A$2:$A$151,0))&amp;"","")))</f>
        <v/>
      </c>
      <c r="C1258" s="7">
        <f>IF($Z1258="C",INDEX(Contracts!$E$2:$E$151,$AB1258)&amp;"",IF($Z1258="A",INDEX(Fixed_Assets!$D$2:$D$201,$AB1258)&amp;"",IF($Z1258="F",INDEX(FTE_Allocation!$C$2:$C$201,$AB1258)&amp;"","")))</f>
        <v/>
      </c>
      <c r="D1258" s="7">
        <f>IF($Z1258="C",INDEX(Contracts!$B$2:$B$151,$AB1258)&amp;"",IF($Z1258="A",INDEX(Fixed_Assets!$B$2:$B$201,$AB1258)&amp;"",IF($Z1258="F",INDEX(FTE_Allocation!$B$2:$B$201,$AB1258)&amp;"","")))</f>
        <v/>
      </c>
      <c r="E1258" s="7">
        <f>IF($Z1258="C",INDEX(Contracts!$P$2:$P$151,$AB1258)&amp;"",IF($Z1258="A",INDEX(Fixed_Assets!$K$2:$K$201,$AB1258)&amp;"",IF($Z1258="F",IF(INDEX(FTE_Allocation!$D$2:$D$201,$AB1258)="PROJECT",IFERROR(INDEX(Projects!$D:$D,MATCH(INDEX(FTE_Allocation!$E$2:$E$201,$AB1258),Projects!$A:$A,0))&amp;"","#PROJECT?"),INDEX(FTE_Allocation!$E$2:$E$201,$AB1258)&amp;""),"")))</f>
        <v/>
      </c>
      <c r="F1258" s="7">
        <f>IF($Z1258="C",INDEX(Contracts!$Q$2:$Q$151,$AB1258)&amp;"",IF($Z1258="A",INDEX(Fixed_Assets!$L$2:$L$201,$AB1258)&amp;"",IF($Z1258="F",INDEX(Workforce!$K$2:$K$151,MATCH(INDEX(FTE_Allocation!$A$2:$A$201,$AB1258),Workforce!$A$2:$A$151,0))&amp;"","")))</f>
        <v/>
      </c>
      <c r="G1258" s="7">
        <f>IF($Z1258="C",INDEX(Contracts!$F$2:$F$151,$AB1258)&amp;" / "&amp;INDEX(Contracts!$G$2:$G$151,$AB1258),IF($Z1258="A",INDEX(Fixed_Assets!$E$2:$E$201,$AB1258)&amp;"",IF($Z1258="F","Personnel "&amp;INDEX(FTE_Allocation!$A$2:$A$201,$AB1258)&amp;IF(INDEX(FTE_Allocation!$D$2:$D$201,$AB1258)="PROJECT"," ("&amp;INDEX(FTE_Allocation!$E$2:$E$201,$AB1258)&amp;")",""),"")))</f>
        <v/>
      </c>
      <c r="H1258" s="7">
        <f>IF($Z1258="C","CONTRACT",IF($Z1258="A","ASSET",IF($Z1258="F","WORKFORCE","")))</f>
        <v/>
      </c>
      <c r="I1258" s="7">
        <f>IF($Z1258="C",INDEX(Contracts!$L$2:$L$151,$AB1258)&amp;"",IF($Z1258="A",INDEX(Fixed_Assets!$I$2:$I$201,$AB1258)&amp;"",IF($Z1258="F",INDEX(Workforce!$G$2:$G$151,MATCH(INDEX(FTE_Allocation!$A$2:$A$201,$AB1258),Workforce!$A$2:$A$151,0))&amp;"","")))</f>
        <v/>
      </c>
      <c r="J1258" s="18">
        <f>IF($Z1258="","",IF(AND(DATE($AD1258,1,1)&gt;=$AE1258,DATE($AD1258,1,1)&lt;=$AF1258),ROUND($AG1258,2),0))</f>
        <v/>
      </c>
      <c r="K1258" s="18">
        <f>IF($Z1258="","",IF(AND(DATE($AD1258,2,1)&gt;=$AE1258,DATE($AD1258,2,1)&lt;=$AF1258),ROUND($AG1258,2),0))</f>
        <v/>
      </c>
      <c r="L1258" s="18">
        <f>IF($Z1258="","",IF(AND(DATE($AD1258,3,1)&gt;=$AE1258,DATE($AD1258,3,1)&lt;=$AF1258),ROUND($AG1258,2),0))</f>
        <v/>
      </c>
      <c r="M1258" s="18">
        <f>IF($Z1258="","",IF(AND(DATE($AD1258,4,1)&gt;=$AE1258,DATE($AD1258,4,1)&lt;=$AF1258),ROUND($AG1258,2),0))</f>
        <v/>
      </c>
      <c r="N1258" s="18">
        <f>IF($Z1258="","",IF(AND(DATE($AD1258,5,1)&gt;=$AE1258,DATE($AD1258,5,1)&lt;=$AF1258),ROUND($AG1258,2),0))</f>
        <v/>
      </c>
      <c r="O1258" s="18">
        <f>IF($Z1258="","",IF(AND(DATE($AD1258,6,1)&gt;=$AE1258,DATE($AD1258,6,1)&lt;=$AF1258),ROUND($AG1258,2),0))</f>
        <v/>
      </c>
      <c r="P1258" s="18">
        <f>IF($Z1258="","",IF(AND(DATE($AD1258,7,1)&gt;=$AE1258,DATE($AD1258,7,1)&lt;=$AF1258),ROUND($AG1258,2),0))</f>
        <v/>
      </c>
      <c r="Q1258" s="18">
        <f>IF($Z1258="","",IF(AND(DATE($AD1258,8,1)&gt;=$AE1258,DATE($AD1258,8,1)&lt;=$AF1258),ROUND($AG1258,2),0))</f>
        <v/>
      </c>
      <c r="R1258" s="18">
        <f>IF($Z1258="","",IF(AND(DATE($AD1258,9,1)&gt;=$AE1258,DATE($AD1258,9,1)&lt;=$AF1258),ROUND($AG1258,2),0))</f>
        <v/>
      </c>
      <c r="S1258" s="18">
        <f>IF($Z1258="","",IF(AND(DATE($AD1258,10,1)&gt;=$AE1258,DATE($AD1258,10,1)&lt;=$AF1258),ROUND($AG1258,2),0))</f>
        <v/>
      </c>
      <c r="T1258" s="18">
        <f>IF($Z1258="","",IF(AND(DATE($AD1258,11,1)&gt;=$AE1258,DATE($AD1258,11,1)&lt;=$AF1258),ROUND($AG1258,2),0))</f>
        <v/>
      </c>
      <c r="U1258" s="18">
        <f>IF($Z1258="","",IF(AND(DATE($AD1258,12,1)&gt;=$AE1258,DATE($AD1258,12,1)&lt;=$AF1258),ROUND($AG1258,2),0))</f>
        <v/>
      </c>
      <c r="V1258" s="7">
        <f>IF($Z1258="C","Generated from "&amp;INDEX(Contracts!$A$2:$A$151,$AB1258),IF($Z1258="A","Generated from "&amp;INDEX(Fixed_Assets!$A$2:$A$201,$AB1258),IF($Z1258="F","Generated from "&amp;INDEX(FTE_Allocation!$A$2:$A$201,$AB1258),"")))</f>
        <v/>
      </c>
      <c r="X1258" s="19">
        <f>IF($Z1258="","",SUM(J1258:U1258))</f>
        <v/>
      </c>
      <c r="Y1258" s="20">
        <f>ROW()-1</f>
        <v/>
      </c>
      <c r="Z1258" s="20">
        <f>IF($Y1258&lt;=Settings!$B$4*3,"C",IF($Y1258&lt;=(Settings!$B$4+Settings!$B$5)*3,"A",IF($Y1258&lt;=(Settings!$B$4+Settings!$B$5+Settings!$B$6)*3,"F","")))</f>
        <v/>
      </c>
      <c r="AA1258" s="20">
        <f>IF($Z1258="C",$Y1258,IF($Z1258="A",$Y1258-Settings!$B$4*3,IF($Z1258="F",$Y1258-(Settings!$B$4+Settings!$B$5)*3,"")))</f>
        <v/>
      </c>
      <c r="AB1258" s="20">
        <f>IF($Z1258="","",INT(($AA1258-1)/3)+1)</f>
        <v/>
      </c>
      <c r="AC1258" s="20">
        <f>IF($Z1258="","",MOD($AA1258-1,3)+1)</f>
        <v/>
      </c>
      <c r="AD1258" s="20">
        <f>IF($Z1258="","",Settings!$B$2+$AC1258-1)</f>
        <v/>
      </c>
      <c r="AE1258" s="21">
        <f>IF($Z1258="C",DATE(YEAR(INDEX(Contracts!$J$2:$J$151,$AB1258)),MONTH(INDEX(Contracts!$J$2:$J$151,$AB1258)),1),IF($Z1258="A",DATE(YEAR(INDEX(Fixed_Assets!$G$2:$G$201,$AB1258)),MONTH(INDEX(Fixed_Assets!$G$2:$G$201,$AB1258)),1),IF($Z1258="F",DATE(YEAR(MAX(N(INDEX(Workforce!$I$2:$I$151,MATCH(INDEX(FTE_Allocation!$A$2:$A$201,$AB1258),Workforce!$A$2:$A$151,0))),N(INDEX(FTE_Allocation!$I$2:$I$201,$AB1258)))),MONTH(MAX(N(INDEX(Workforce!$I$2:$I$151,MATCH(INDEX(FTE_Allocation!$A$2:$A$201,$AB1258),Workforce!$A$2:$A$151,0))),N(INDEX(FTE_Allocation!$I$2:$I$201,$AB1258)))),1),"")))</f>
        <v/>
      </c>
      <c r="AF1258" s="21">
        <f>IF($Z1258="C",IF(INDEX(Contracts!$I$2:$I$151,$AB1258)="PREPAID",EDATE(DATE(YEAR(INDEX(Contracts!$J$2:$J$151,$AB1258)),MONTH(INDEX(Contracts!$J$2:$J$151,$AB1258)),1),IF(INDEX(Contracts!$N$2:$N$151,$AB1258)="",12,INDEX(Contracts!$N$2:$N$151,$AB1258))-1),IF(INDEX(Contracts!$I$2:$I$151,$AB1258)="MONTHLY",IF(INDEX(Contracts!$K$2:$K$151,$AB1258)="",2958101,INDEX(Contracts!$K$2:$K$151,$AB1258)),0)),IF($Z1258="A",EDATE(DATE(YEAR(INDEX(Fixed_Assets!$G$2:$G$201,$AB1258)),MONTH(INDEX(Fixed_Assets!$G$2:$G$201,$AB1258)),1),INDEX(Fixed_Assets!$J$2:$J$201,$AB1258)-1),IF($Z1258="F",MIN(IF(INDEX(Workforce!$J$2:$J$151,MATCH(INDEX(FTE_Allocation!$A$2:$A$201,$AB1258),Workforce!$A$2:$A$151,0))="",2958101,INDEX(Workforce!$J$2:$J$151,MATCH(INDEX(FTE_Allocation!$A$2:$A$201,$AB1258),Workforce!$A$2:$A$151,0))),IF(INDEX(FTE_Allocation!$J$2:$J$201,$AB1258)="",2958101,INDEX(FTE_Allocation!$J$2:$J$201,$AB1258))),"")))</f>
        <v/>
      </c>
      <c r="AG1258" s="19">
        <f>IF($Z1258="C",IF(INDEX(Contracts!$I$2:$I$151,$AB1258)="PREPAID",INDEX(Contracts!$M$2:$M$151,$AB1258)/IF(INDEX(Contracts!$N$2:$N$151,$AB1258)="",12,INDEX(Contracts!$N$2:$N$151,$AB1258)),IF(INDEX(Contracts!$I$2:$I$151,$AB1258)="MONTHLY",INDEX(Contracts!$M$2:$M$151,$AB1258),0))*(1-N(INDEX(Contracts!$O$2:$O$151,$AB1258))),IF($Z1258="A",INDEX(Fixed_Assets!$H$2:$H$201,$AB1258)/INDEX(Fixed_Assets!$J$2:$J$201,$AB1258),IF($Z1258="F",INDEX(Workforce!$F$2:$F$151,MATCH(INDEX(FTE_Allocation!$A$2:$A$201,$AB1258),Workforce!$A$2:$A$151,0))*N(INDEX(FTE_Allocation!$F$2:$H$201,$AB1258,$AC1258)),"")))</f>
        <v/>
      </c>
    </row>
    <row r="1259">
      <c r="A1259" s="7">
        <f>IF($Z1259="","",$AD1259)</f>
        <v/>
      </c>
      <c r="B1259" s="7">
        <f>IF($Z1259="C",INDEX(Contracts!$D$2:$D$151,$AB1259)&amp;"",IF($Z1259="A",INDEX(Fixed_Assets!$C$2:$C$201,$AB1259)&amp;"",IF($Z1259="F",INDEX(Workforce!$B$2:$B$151,MATCH(INDEX(FTE_Allocation!$A$2:$A$201,$AB1259),Workforce!$A$2:$A$151,0))&amp;"","")))</f>
        <v/>
      </c>
      <c r="C1259" s="7">
        <f>IF($Z1259="C",INDEX(Contracts!$E$2:$E$151,$AB1259)&amp;"",IF($Z1259="A",INDEX(Fixed_Assets!$D$2:$D$201,$AB1259)&amp;"",IF($Z1259="F",INDEX(FTE_Allocation!$C$2:$C$201,$AB1259)&amp;"","")))</f>
        <v/>
      </c>
      <c r="D1259" s="7">
        <f>IF($Z1259="C",INDEX(Contracts!$B$2:$B$151,$AB1259)&amp;"",IF($Z1259="A",INDEX(Fixed_Assets!$B$2:$B$201,$AB1259)&amp;"",IF($Z1259="F",INDEX(FTE_Allocation!$B$2:$B$201,$AB1259)&amp;"","")))</f>
        <v/>
      </c>
      <c r="E1259" s="7">
        <f>IF($Z1259="C",INDEX(Contracts!$P$2:$P$151,$AB1259)&amp;"",IF($Z1259="A",INDEX(Fixed_Assets!$K$2:$K$201,$AB1259)&amp;"",IF($Z1259="F",IF(INDEX(FTE_Allocation!$D$2:$D$201,$AB1259)="PROJECT",IFERROR(INDEX(Projects!$D:$D,MATCH(INDEX(FTE_Allocation!$E$2:$E$201,$AB1259),Projects!$A:$A,0))&amp;"","#PROJECT?"),INDEX(FTE_Allocation!$E$2:$E$201,$AB1259)&amp;""),"")))</f>
        <v/>
      </c>
      <c r="F1259" s="7">
        <f>IF($Z1259="C",INDEX(Contracts!$Q$2:$Q$151,$AB1259)&amp;"",IF($Z1259="A",INDEX(Fixed_Assets!$L$2:$L$201,$AB1259)&amp;"",IF($Z1259="F",INDEX(Workforce!$K$2:$K$151,MATCH(INDEX(FTE_Allocation!$A$2:$A$201,$AB1259),Workforce!$A$2:$A$151,0))&amp;"","")))</f>
        <v/>
      </c>
      <c r="G1259" s="7">
        <f>IF($Z1259="C",INDEX(Contracts!$F$2:$F$151,$AB1259)&amp;" / "&amp;INDEX(Contracts!$G$2:$G$151,$AB1259),IF($Z1259="A",INDEX(Fixed_Assets!$E$2:$E$201,$AB1259)&amp;"",IF($Z1259="F","Personnel "&amp;INDEX(FTE_Allocation!$A$2:$A$201,$AB1259)&amp;IF(INDEX(FTE_Allocation!$D$2:$D$201,$AB1259)="PROJECT"," ("&amp;INDEX(FTE_Allocation!$E$2:$E$201,$AB1259)&amp;")",""),"")))</f>
        <v/>
      </c>
      <c r="H1259" s="7">
        <f>IF($Z1259="C","CONTRACT",IF($Z1259="A","ASSET",IF($Z1259="F","WORKFORCE","")))</f>
        <v/>
      </c>
      <c r="I1259" s="7">
        <f>IF($Z1259="C",INDEX(Contracts!$L$2:$L$151,$AB1259)&amp;"",IF($Z1259="A",INDEX(Fixed_Assets!$I$2:$I$201,$AB1259)&amp;"",IF($Z1259="F",INDEX(Workforce!$G$2:$G$151,MATCH(INDEX(FTE_Allocation!$A$2:$A$201,$AB1259),Workforce!$A$2:$A$151,0))&amp;"","")))</f>
        <v/>
      </c>
      <c r="J1259" s="18">
        <f>IF($Z1259="","",IF(AND(DATE($AD1259,1,1)&gt;=$AE1259,DATE($AD1259,1,1)&lt;=$AF1259),ROUND($AG1259,2),0))</f>
        <v/>
      </c>
      <c r="K1259" s="18">
        <f>IF($Z1259="","",IF(AND(DATE($AD1259,2,1)&gt;=$AE1259,DATE($AD1259,2,1)&lt;=$AF1259),ROUND($AG1259,2),0))</f>
        <v/>
      </c>
      <c r="L1259" s="18">
        <f>IF($Z1259="","",IF(AND(DATE($AD1259,3,1)&gt;=$AE1259,DATE($AD1259,3,1)&lt;=$AF1259),ROUND($AG1259,2),0))</f>
        <v/>
      </c>
      <c r="M1259" s="18">
        <f>IF($Z1259="","",IF(AND(DATE($AD1259,4,1)&gt;=$AE1259,DATE($AD1259,4,1)&lt;=$AF1259),ROUND($AG1259,2),0))</f>
        <v/>
      </c>
      <c r="N1259" s="18">
        <f>IF($Z1259="","",IF(AND(DATE($AD1259,5,1)&gt;=$AE1259,DATE($AD1259,5,1)&lt;=$AF1259),ROUND($AG1259,2),0))</f>
        <v/>
      </c>
      <c r="O1259" s="18">
        <f>IF($Z1259="","",IF(AND(DATE($AD1259,6,1)&gt;=$AE1259,DATE($AD1259,6,1)&lt;=$AF1259),ROUND($AG1259,2),0))</f>
        <v/>
      </c>
      <c r="P1259" s="18">
        <f>IF($Z1259="","",IF(AND(DATE($AD1259,7,1)&gt;=$AE1259,DATE($AD1259,7,1)&lt;=$AF1259),ROUND($AG1259,2),0))</f>
        <v/>
      </c>
      <c r="Q1259" s="18">
        <f>IF($Z1259="","",IF(AND(DATE($AD1259,8,1)&gt;=$AE1259,DATE($AD1259,8,1)&lt;=$AF1259),ROUND($AG1259,2),0))</f>
        <v/>
      </c>
      <c r="R1259" s="18">
        <f>IF($Z1259="","",IF(AND(DATE($AD1259,9,1)&gt;=$AE1259,DATE($AD1259,9,1)&lt;=$AF1259),ROUND($AG1259,2),0))</f>
        <v/>
      </c>
      <c r="S1259" s="18">
        <f>IF($Z1259="","",IF(AND(DATE($AD1259,10,1)&gt;=$AE1259,DATE($AD1259,10,1)&lt;=$AF1259),ROUND($AG1259,2),0))</f>
        <v/>
      </c>
      <c r="T1259" s="18">
        <f>IF($Z1259="","",IF(AND(DATE($AD1259,11,1)&gt;=$AE1259,DATE($AD1259,11,1)&lt;=$AF1259),ROUND($AG1259,2),0))</f>
        <v/>
      </c>
      <c r="U1259" s="18">
        <f>IF($Z1259="","",IF(AND(DATE($AD1259,12,1)&gt;=$AE1259,DATE($AD1259,12,1)&lt;=$AF1259),ROUND($AG1259,2),0))</f>
        <v/>
      </c>
      <c r="V1259" s="7">
        <f>IF($Z1259="C","Generated from "&amp;INDEX(Contracts!$A$2:$A$151,$AB1259),IF($Z1259="A","Generated from "&amp;INDEX(Fixed_Assets!$A$2:$A$201,$AB1259),IF($Z1259="F","Generated from "&amp;INDEX(FTE_Allocation!$A$2:$A$201,$AB1259),"")))</f>
        <v/>
      </c>
      <c r="X1259" s="19">
        <f>IF($Z1259="","",SUM(J1259:U1259))</f>
        <v/>
      </c>
      <c r="Y1259" s="20">
        <f>ROW()-1</f>
        <v/>
      </c>
      <c r="Z1259" s="20">
        <f>IF($Y1259&lt;=Settings!$B$4*3,"C",IF($Y1259&lt;=(Settings!$B$4+Settings!$B$5)*3,"A",IF($Y1259&lt;=(Settings!$B$4+Settings!$B$5+Settings!$B$6)*3,"F","")))</f>
        <v/>
      </c>
      <c r="AA1259" s="20">
        <f>IF($Z1259="C",$Y1259,IF($Z1259="A",$Y1259-Settings!$B$4*3,IF($Z1259="F",$Y1259-(Settings!$B$4+Settings!$B$5)*3,"")))</f>
        <v/>
      </c>
      <c r="AB1259" s="20">
        <f>IF($Z1259="","",INT(($AA1259-1)/3)+1)</f>
        <v/>
      </c>
      <c r="AC1259" s="20">
        <f>IF($Z1259="","",MOD($AA1259-1,3)+1)</f>
        <v/>
      </c>
      <c r="AD1259" s="20">
        <f>IF($Z1259="","",Settings!$B$2+$AC1259-1)</f>
        <v/>
      </c>
      <c r="AE1259" s="21">
        <f>IF($Z1259="C",DATE(YEAR(INDEX(Contracts!$J$2:$J$151,$AB1259)),MONTH(INDEX(Contracts!$J$2:$J$151,$AB1259)),1),IF($Z1259="A",DATE(YEAR(INDEX(Fixed_Assets!$G$2:$G$201,$AB1259)),MONTH(INDEX(Fixed_Assets!$G$2:$G$201,$AB1259)),1),IF($Z1259="F",DATE(YEAR(MAX(N(INDEX(Workforce!$I$2:$I$151,MATCH(INDEX(FTE_Allocation!$A$2:$A$201,$AB1259),Workforce!$A$2:$A$151,0))),N(INDEX(FTE_Allocation!$I$2:$I$201,$AB1259)))),MONTH(MAX(N(INDEX(Workforce!$I$2:$I$151,MATCH(INDEX(FTE_Allocation!$A$2:$A$201,$AB1259),Workforce!$A$2:$A$151,0))),N(INDEX(FTE_Allocation!$I$2:$I$201,$AB1259)))),1),"")))</f>
        <v/>
      </c>
      <c r="AF1259" s="21">
        <f>IF($Z1259="C",IF(INDEX(Contracts!$I$2:$I$151,$AB1259)="PREPAID",EDATE(DATE(YEAR(INDEX(Contracts!$J$2:$J$151,$AB1259)),MONTH(INDEX(Contracts!$J$2:$J$151,$AB1259)),1),IF(INDEX(Contracts!$N$2:$N$151,$AB1259)="",12,INDEX(Contracts!$N$2:$N$151,$AB1259))-1),IF(INDEX(Contracts!$I$2:$I$151,$AB1259)="MONTHLY",IF(INDEX(Contracts!$K$2:$K$151,$AB1259)="",2958101,INDEX(Contracts!$K$2:$K$151,$AB1259)),0)),IF($Z1259="A",EDATE(DATE(YEAR(INDEX(Fixed_Assets!$G$2:$G$201,$AB1259)),MONTH(INDEX(Fixed_Assets!$G$2:$G$201,$AB1259)),1),INDEX(Fixed_Assets!$J$2:$J$201,$AB1259)-1),IF($Z1259="F",MIN(IF(INDEX(Workforce!$J$2:$J$151,MATCH(INDEX(FTE_Allocation!$A$2:$A$201,$AB1259),Workforce!$A$2:$A$151,0))="",2958101,INDEX(Workforce!$J$2:$J$151,MATCH(INDEX(FTE_Allocation!$A$2:$A$201,$AB1259),Workforce!$A$2:$A$151,0))),IF(INDEX(FTE_Allocation!$J$2:$J$201,$AB1259)="",2958101,INDEX(FTE_Allocation!$J$2:$J$201,$AB1259))),"")))</f>
        <v/>
      </c>
      <c r="AG1259" s="19">
        <f>IF($Z1259="C",IF(INDEX(Contracts!$I$2:$I$151,$AB1259)="PREPAID",INDEX(Contracts!$M$2:$M$151,$AB1259)/IF(INDEX(Contracts!$N$2:$N$151,$AB1259)="",12,INDEX(Contracts!$N$2:$N$151,$AB1259)),IF(INDEX(Contracts!$I$2:$I$151,$AB1259)="MONTHLY",INDEX(Contracts!$M$2:$M$151,$AB1259),0))*(1-N(INDEX(Contracts!$O$2:$O$151,$AB1259))),IF($Z1259="A",INDEX(Fixed_Assets!$H$2:$H$201,$AB1259)/INDEX(Fixed_Assets!$J$2:$J$201,$AB1259),IF($Z1259="F",INDEX(Workforce!$F$2:$F$151,MATCH(INDEX(FTE_Allocation!$A$2:$A$201,$AB1259),Workforce!$A$2:$A$151,0))*N(INDEX(FTE_Allocation!$F$2:$H$201,$AB1259,$AC1259)),"")))</f>
        <v/>
      </c>
    </row>
    <row r="1260">
      <c r="A1260" s="7">
        <f>IF($Z1260="","",$AD1260)</f>
        <v/>
      </c>
      <c r="B1260" s="7">
        <f>IF($Z1260="C",INDEX(Contracts!$D$2:$D$151,$AB1260)&amp;"",IF($Z1260="A",INDEX(Fixed_Assets!$C$2:$C$201,$AB1260)&amp;"",IF($Z1260="F",INDEX(Workforce!$B$2:$B$151,MATCH(INDEX(FTE_Allocation!$A$2:$A$201,$AB1260),Workforce!$A$2:$A$151,0))&amp;"","")))</f>
        <v/>
      </c>
      <c r="C1260" s="7">
        <f>IF($Z1260="C",INDEX(Contracts!$E$2:$E$151,$AB1260)&amp;"",IF($Z1260="A",INDEX(Fixed_Assets!$D$2:$D$201,$AB1260)&amp;"",IF($Z1260="F",INDEX(FTE_Allocation!$C$2:$C$201,$AB1260)&amp;"","")))</f>
        <v/>
      </c>
      <c r="D1260" s="7">
        <f>IF($Z1260="C",INDEX(Contracts!$B$2:$B$151,$AB1260)&amp;"",IF($Z1260="A",INDEX(Fixed_Assets!$B$2:$B$201,$AB1260)&amp;"",IF($Z1260="F",INDEX(FTE_Allocation!$B$2:$B$201,$AB1260)&amp;"","")))</f>
        <v/>
      </c>
      <c r="E1260" s="7">
        <f>IF($Z1260="C",INDEX(Contracts!$P$2:$P$151,$AB1260)&amp;"",IF($Z1260="A",INDEX(Fixed_Assets!$K$2:$K$201,$AB1260)&amp;"",IF($Z1260="F",IF(INDEX(FTE_Allocation!$D$2:$D$201,$AB1260)="PROJECT",IFERROR(INDEX(Projects!$D:$D,MATCH(INDEX(FTE_Allocation!$E$2:$E$201,$AB1260),Projects!$A:$A,0))&amp;"","#PROJECT?"),INDEX(FTE_Allocation!$E$2:$E$201,$AB1260)&amp;""),"")))</f>
        <v/>
      </c>
      <c r="F1260" s="7">
        <f>IF($Z1260="C",INDEX(Contracts!$Q$2:$Q$151,$AB1260)&amp;"",IF($Z1260="A",INDEX(Fixed_Assets!$L$2:$L$201,$AB1260)&amp;"",IF($Z1260="F",INDEX(Workforce!$K$2:$K$151,MATCH(INDEX(FTE_Allocation!$A$2:$A$201,$AB1260),Workforce!$A$2:$A$151,0))&amp;"","")))</f>
        <v/>
      </c>
      <c r="G1260" s="7">
        <f>IF($Z1260="C",INDEX(Contracts!$F$2:$F$151,$AB1260)&amp;" / "&amp;INDEX(Contracts!$G$2:$G$151,$AB1260),IF($Z1260="A",INDEX(Fixed_Assets!$E$2:$E$201,$AB1260)&amp;"",IF($Z1260="F","Personnel "&amp;INDEX(FTE_Allocation!$A$2:$A$201,$AB1260)&amp;IF(INDEX(FTE_Allocation!$D$2:$D$201,$AB1260)="PROJECT"," ("&amp;INDEX(FTE_Allocation!$E$2:$E$201,$AB1260)&amp;")",""),"")))</f>
        <v/>
      </c>
      <c r="H1260" s="7">
        <f>IF($Z1260="C","CONTRACT",IF($Z1260="A","ASSET",IF($Z1260="F","WORKFORCE","")))</f>
        <v/>
      </c>
      <c r="I1260" s="7">
        <f>IF($Z1260="C",INDEX(Contracts!$L$2:$L$151,$AB1260)&amp;"",IF($Z1260="A",INDEX(Fixed_Assets!$I$2:$I$201,$AB1260)&amp;"",IF($Z1260="F",INDEX(Workforce!$G$2:$G$151,MATCH(INDEX(FTE_Allocation!$A$2:$A$201,$AB1260),Workforce!$A$2:$A$151,0))&amp;"","")))</f>
        <v/>
      </c>
      <c r="J1260" s="18">
        <f>IF($Z1260="","",IF(AND(DATE($AD1260,1,1)&gt;=$AE1260,DATE($AD1260,1,1)&lt;=$AF1260),ROUND($AG1260,2),0))</f>
        <v/>
      </c>
      <c r="K1260" s="18">
        <f>IF($Z1260="","",IF(AND(DATE($AD1260,2,1)&gt;=$AE1260,DATE($AD1260,2,1)&lt;=$AF1260),ROUND($AG1260,2),0))</f>
        <v/>
      </c>
      <c r="L1260" s="18">
        <f>IF($Z1260="","",IF(AND(DATE($AD1260,3,1)&gt;=$AE1260,DATE($AD1260,3,1)&lt;=$AF1260),ROUND($AG1260,2),0))</f>
        <v/>
      </c>
      <c r="M1260" s="18">
        <f>IF($Z1260="","",IF(AND(DATE($AD1260,4,1)&gt;=$AE1260,DATE($AD1260,4,1)&lt;=$AF1260),ROUND($AG1260,2),0))</f>
        <v/>
      </c>
      <c r="N1260" s="18">
        <f>IF($Z1260="","",IF(AND(DATE($AD1260,5,1)&gt;=$AE1260,DATE($AD1260,5,1)&lt;=$AF1260),ROUND($AG1260,2),0))</f>
        <v/>
      </c>
      <c r="O1260" s="18">
        <f>IF($Z1260="","",IF(AND(DATE($AD1260,6,1)&gt;=$AE1260,DATE($AD1260,6,1)&lt;=$AF1260),ROUND($AG1260,2),0))</f>
        <v/>
      </c>
      <c r="P1260" s="18">
        <f>IF($Z1260="","",IF(AND(DATE($AD1260,7,1)&gt;=$AE1260,DATE($AD1260,7,1)&lt;=$AF1260),ROUND($AG1260,2),0))</f>
        <v/>
      </c>
      <c r="Q1260" s="18">
        <f>IF($Z1260="","",IF(AND(DATE($AD1260,8,1)&gt;=$AE1260,DATE($AD1260,8,1)&lt;=$AF1260),ROUND($AG1260,2),0))</f>
        <v/>
      </c>
      <c r="R1260" s="18">
        <f>IF($Z1260="","",IF(AND(DATE($AD1260,9,1)&gt;=$AE1260,DATE($AD1260,9,1)&lt;=$AF1260),ROUND($AG1260,2),0))</f>
        <v/>
      </c>
      <c r="S1260" s="18">
        <f>IF($Z1260="","",IF(AND(DATE($AD1260,10,1)&gt;=$AE1260,DATE($AD1260,10,1)&lt;=$AF1260),ROUND($AG1260,2),0))</f>
        <v/>
      </c>
      <c r="T1260" s="18">
        <f>IF($Z1260="","",IF(AND(DATE($AD1260,11,1)&gt;=$AE1260,DATE($AD1260,11,1)&lt;=$AF1260),ROUND($AG1260,2),0))</f>
        <v/>
      </c>
      <c r="U1260" s="18">
        <f>IF($Z1260="","",IF(AND(DATE($AD1260,12,1)&gt;=$AE1260,DATE($AD1260,12,1)&lt;=$AF1260),ROUND($AG1260,2),0))</f>
        <v/>
      </c>
      <c r="V1260" s="7">
        <f>IF($Z1260="C","Generated from "&amp;INDEX(Contracts!$A$2:$A$151,$AB1260),IF($Z1260="A","Generated from "&amp;INDEX(Fixed_Assets!$A$2:$A$201,$AB1260),IF($Z1260="F","Generated from "&amp;INDEX(FTE_Allocation!$A$2:$A$201,$AB1260),"")))</f>
        <v/>
      </c>
      <c r="X1260" s="19">
        <f>IF($Z1260="","",SUM(J1260:U1260))</f>
        <v/>
      </c>
      <c r="Y1260" s="20">
        <f>ROW()-1</f>
        <v/>
      </c>
      <c r="Z1260" s="20">
        <f>IF($Y1260&lt;=Settings!$B$4*3,"C",IF($Y1260&lt;=(Settings!$B$4+Settings!$B$5)*3,"A",IF($Y1260&lt;=(Settings!$B$4+Settings!$B$5+Settings!$B$6)*3,"F","")))</f>
        <v/>
      </c>
      <c r="AA1260" s="20">
        <f>IF($Z1260="C",$Y1260,IF($Z1260="A",$Y1260-Settings!$B$4*3,IF($Z1260="F",$Y1260-(Settings!$B$4+Settings!$B$5)*3,"")))</f>
        <v/>
      </c>
      <c r="AB1260" s="20">
        <f>IF($Z1260="","",INT(($AA1260-1)/3)+1)</f>
        <v/>
      </c>
      <c r="AC1260" s="20">
        <f>IF($Z1260="","",MOD($AA1260-1,3)+1)</f>
        <v/>
      </c>
      <c r="AD1260" s="20">
        <f>IF($Z1260="","",Settings!$B$2+$AC1260-1)</f>
        <v/>
      </c>
      <c r="AE1260" s="21">
        <f>IF($Z1260="C",DATE(YEAR(INDEX(Contracts!$J$2:$J$151,$AB1260)),MONTH(INDEX(Contracts!$J$2:$J$151,$AB1260)),1),IF($Z1260="A",DATE(YEAR(INDEX(Fixed_Assets!$G$2:$G$201,$AB1260)),MONTH(INDEX(Fixed_Assets!$G$2:$G$201,$AB1260)),1),IF($Z1260="F",DATE(YEAR(MAX(N(INDEX(Workforce!$I$2:$I$151,MATCH(INDEX(FTE_Allocation!$A$2:$A$201,$AB1260),Workforce!$A$2:$A$151,0))),N(INDEX(FTE_Allocation!$I$2:$I$201,$AB1260)))),MONTH(MAX(N(INDEX(Workforce!$I$2:$I$151,MATCH(INDEX(FTE_Allocation!$A$2:$A$201,$AB1260),Workforce!$A$2:$A$151,0))),N(INDEX(FTE_Allocation!$I$2:$I$201,$AB1260)))),1),"")))</f>
        <v/>
      </c>
      <c r="AF1260" s="21">
        <f>IF($Z1260="C",IF(INDEX(Contracts!$I$2:$I$151,$AB1260)="PREPAID",EDATE(DATE(YEAR(INDEX(Contracts!$J$2:$J$151,$AB1260)),MONTH(INDEX(Contracts!$J$2:$J$151,$AB1260)),1),IF(INDEX(Contracts!$N$2:$N$151,$AB1260)="",12,INDEX(Contracts!$N$2:$N$151,$AB1260))-1),IF(INDEX(Contracts!$I$2:$I$151,$AB1260)="MONTHLY",IF(INDEX(Contracts!$K$2:$K$151,$AB1260)="",2958101,INDEX(Contracts!$K$2:$K$151,$AB1260)),0)),IF($Z1260="A",EDATE(DATE(YEAR(INDEX(Fixed_Assets!$G$2:$G$201,$AB1260)),MONTH(INDEX(Fixed_Assets!$G$2:$G$201,$AB1260)),1),INDEX(Fixed_Assets!$J$2:$J$201,$AB1260)-1),IF($Z1260="F",MIN(IF(INDEX(Workforce!$J$2:$J$151,MATCH(INDEX(FTE_Allocation!$A$2:$A$201,$AB1260),Workforce!$A$2:$A$151,0))="",2958101,INDEX(Workforce!$J$2:$J$151,MATCH(INDEX(FTE_Allocation!$A$2:$A$201,$AB1260),Workforce!$A$2:$A$151,0))),IF(INDEX(FTE_Allocation!$J$2:$J$201,$AB1260)="",2958101,INDEX(FTE_Allocation!$J$2:$J$201,$AB1260))),"")))</f>
        <v/>
      </c>
      <c r="AG1260" s="19">
        <f>IF($Z1260="C",IF(INDEX(Contracts!$I$2:$I$151,$AB1260)="PREPAID",INDEX(Contracts!$M$2:$M$151,$AB1260)/IF(INDEX(Contracts!$N$2:$N$151,$AB1260)="",12,INDEX(Contracts!$N$2:$N$151,$AB1260)),IF(INDEX(Contracts!$I$2:$I$151,$AB1260)="MONTHLY",INDEX(Contracts!$M$2:$M$151,$AB1260),0))*(1-N(INDEX(Contracts!$O$2:$O$151,$AB1260))),IF($Z1260="A",INDEX(Fixed_Assets!$H$2:$H$201,$AB1260)/INDEX(Fixed_Assets!$J$2:$J$201,$AB1260),IF($Z1260="F",INDEX(Workforce!$F$2:$F$151,MATCH(INDEX(FTE_Allocation!$A$2:$A$201,$AB1260),Workforce!$A$2:$A$151,0))*N(INDEX(FTE_Allocation!$F$2:$H$201,$AB1260,$AC1260)),"")))</f>
        <v/>
      </c>
    </row>
    <row r="1261">
      <c r="A1261" s="7">
        <f>IF($Z1261="","",$AD1261)</f>
        <v/>
      </c>
      <c r="B1261" s="7">
        <f>IF($Z1261="C",INDEX(Contracts!$D$2:$D$151,$AB1261)&amp;"",IF($Z1261="A",INDEX(Fixed_Assets!$C$2:$C$201,$AB1261)&amp;"",IF($Z1261="F",INDEX(Workforce!$B$2:$B$151,MATCH(INDEX(FTE_Allocation!$A$2:$A$201,$AB1261),Workforce!$A$2:$A$151,0))&amp;"","")))</f>
        <v/>
      </c>
      <c r="C1261" s="7">
        <f>IF($Z1261="C",INDEX(Contracts!$E$2:$E$151,$AB1261)&amp;"",IF($Z1261="A",INDEX(Fixed_Assets!$D$2:$D$201,$AB1261)&amp;"",IF($Z1261="F",INDEX(FTE_Allocation!$C$2:$C$201,$AB1261)&amp;"","")))</f>
        <v/>
      </c>
      <c r="D1261" s="7">
        <f>IF($Z1261="C",INDEX(Contracts!$B$2:$B$151,$AB1261)&amp;"",IF($Z1261="A",INDEX(Fixed_Assets!$B$2:$B$201,$AB1261)&amp;"",IF($Z1261="F",INDEX(FTE_Allocation!$B$2:$B$201,$AB1261)&amp;"","")))</f>
        <v/>
      </c>
      <c r="E1261" s="7">
        <f>IF($Z1261="C",INDEX(Contracts!$P$2:$P$151,$AB1261)&amp;"",IF($Z1261="A",INDEX(Fixed_Assets!$K$2:$K$201,$AB1261)&amp;"",IF($Z1261="F",IF(INDEX(FTE_Allocation!$D$2:$D$201,$AB1261)="PROJECT",IFERROR(INDEX(Projects!$D:$D,MATCH(INDEX(FTE_Allocation!$E$2:$E$201,$AB1261),Projects!$A:$A,0))&amp;"","#PROJECT?"),INDEX(FTE_Allocation!$E$2:$E$201,$AB1261)&amp;""),"")))</f>
        <v/>
      </c>
      <c r="F1261" s="7">
        <f>IF($Z1261="C",INDEX(Contracts!$Q$2:$Q$151,$AB1261)&amp;"",IF($Z1261="A",INDEX(Fixed_Assets!$L$2:$L$201,$AB1261)&amp;"",IF($Z1261="F",INDEX(Workforce!$K$2:$K$151,MATCH(INDEX(FTE_Allocation!$A$2:$A$201,$AB1261),Workforce!$A$2:$A$151,0))&amp;"","")))</f>
        <v/>
      </c>
      <c r="G1261" s="7">
        <f>IF($Z1261="C",INDEX(Contracts!$F$2:$F$151,$AB1261)&amp;" / "&amp;INDEX(Contracts!$G$2:$G$151,$AB1261),IF($Z1261="A",INDEX(Fixed_Assets!$E$2:$E$201,$AB1261)&amp;"",IF($Z1261="F","Personnel "&amp;INDEX(FTE_Allocation!$A$2:$A$201,$AB1261)&amp;IF(INDEX(FTE_Allocation!$D$2:$D$201,$AB1261)="PROJECT"," ("&amp;INDEX(FTE_Allocation!$E$2:$E$201,$AB1261)&amp;")",""),"")))</f>
        <v/>
      </c>
      <c r="H1261" s="7">
        <f>IF($Z1261="C","CONTRACT",IF($Z1261="A","ASSET",IF($Z1261="F","WORKFORCE","")))</f>
        <v/>
      </c>
      <c r="I1261" s="7">
        <f>IF($Z1261="C",INDEX(Contracts!$L$2:$L$151,$AB1261)&amp;"",IF($Z1261="A",INDEX(Fixed_Assets!$I$2:$I$201,$AB1261)&amp;"",IF($Z1261="F",INDEX(Workforce!$G$2:$G$151,MATCH(INDEX(FTE_Allocation!$A$2:$A$201,$AB1261),Workforce!$A$2:$A$151,0))&amp;"","")))</f>
        <v/>
      </c>
      <c r="J1261" s="18">
        <f>IF($Z1261="","",IF(AND(DATE($AD1261,1,1)&gt;=$AE1261,DATE($AD1261,1,1)&lt;=$AF1261),ROUND($AG1261,2),0))</f>
        <v/>
      </c>
      <c r="K1261" s="18">
        <f>IF($Z1261="","",IF(AND(DATE($AD1261,2,1)&gt;=$AE1261,DATE($AD1261,2,1)&lt;=$AF1261),ROUND($AG1261,2),0))</f>
        <v/>
      </c>
      <c r="L1261" s="18">
        <f>IF($Z1261="","",IF(AND(DATE($AD1261,3,1)&gt;=$AE1261,DATE($AD1261,3,1)&lt;=$AF1261),ROUND($AG1261,2),0))</f>
        <v/>
      </c>
      <c r="M1261" s="18">
        <f>IF($Z1261="","",IF(AND(DATE($AD1261,4,1)&gt;=$AE1261,DATE($AD1261,4,1)&lt;=$AF1261),ROUND($AG1261,2),0))</f>
        <v/>
      </c>
      <c r="N1261" s="18">
        <f>IF($Z1261="","",IF(AND(DATE($AD1261,5,1)&gt;=$AE1261,DATE($AD1261,5,1)&lt;=$AF1261),ROUND($AG1261,2),0))</f>
        <v/>
      </c>
      <c r="O1261" s="18">
        <f>IF($Z1261="","",IF(AND(DATE($AD1261,6,1)&gt;=$AE1261,DATE($AD1261,6,1)&lt;=$AF1261),ROUND($AG1261,2),0))</f>
        <v/>
      </c>
      <c r="P1261" s="18">
        <f>IF($Z1261="","",IF(AND(DATE($AD1261,7,1)&gt;=$AE1261,DATE($AD1261,7,1)&lt;=$AF1261),ROUND($AG1261,2),0))</f>
        <v/>
      </c>
      <c r="Q1261" s="18">
        <f>IF($Z1261="","",IF(AND(DATE($AD1261,8,1)&gt;=$AE1261,DATE($AD1261,8,1)&lt;=$AF1261),ROUND($AG1261,2),0))</f>
        <v/>
      </c>
      <c r="R1261" s="18">
        <f>IF($Z1261="","",IF(AND(DATE($AD1261,9,1)&gt;=$AE1261,DATE($AD1261,9,1)&lt;=$AF1261),ROUND($AG1261,2),0))</f>
        <v/>
      </c>
      <c r="S1261" s="18">
        <f>IF($Z1261="","",IF(AND(DATE($AD1261,10,1)&gt;=$AE1261,DATE($AD1261,10,1)&lt;=$AF1261),ROUND($AG1261,2),0))</f>
        <v/>
      </c>
      <c r="T1261" s="18">
        <f>IF($Z1261="","",IF(AND(DATE($AD1261,11,1)&gt;=$AE1261,DATE($AD1261,11,1)&lt;=$AF1261),ROUND($AG1261,2),0))</f>
        <v/>
      </c>
      <c r="U1261" s="18">
        <f>IF($Z1261="","",IF(AND(DATE($AD1261,12,1)&gt;=$AE1261,DATE($AD1261,12,1)&lt;=$AF1261),ROUND($AG1261,2),0))</f>
        <v/>
      </c>
      <c r="V1261" s="7">
        <f>IF($Z1261="C","Generated from "&amp;INDEX(Contracts!$A$2:$A$151,$AB1261),IF($Z1261="A","Generated from "&amp;INDEX(Fixed_Assets!$A$2:$A$201,$AB1261),IF($Z1261="F","Generated from "&amp;INDEX(FTE_Allocation!$A$2:$A$201,$AB1261),"")))</f>
        <v/>
      </c>
      <c r="X1261" s="19">
        <f>IF($Z1261="","",SUM(J1261:U1261))</f>
        <v/>
      </c>
      <c r="Y1261" s="20">
        <f>ROW()-1</f>
        <v/>
      </c>
      <c r="Z1261" s="20">
        <f>IF($Y1261&lt;=Settings!$B$4*3,"C",IF($Y1261&lt;=(Settings!$B$4+Settings!$B$5)*3,"A",IF($Y1261&lt;=(Settings!$B$4+Settings!$B$5+Settings!$B$6)*3,"F","")))</f>
        <v/>
      </c>
      <c r="AA1261" s="20">
        <f>IF($Z1261="C",$Y1261,IF($Z1261="A",$Y1261-Settings!$B$4*3,IF($Z1261="F",$Y1261-(Settings!$B$4+Settings!$B$5)*3,"")))</f>
        <v/>
      </c>
      <c r="AB1261" s="20">
        <f>IF($Z1261="","",INT(($AA1261-1)/3)+1)</f>
        <v/>
      </c>
      <c r="AC1261" s="20">
        <f>IF($Z1261="","",MOD($AA1261-1,3)+1)</f>
        <v/>
      </c>
      <c r="AD1261" s="20">
        <f>IF($Z1261="","",Settings!$B$2+$AC1261-1)</f>
        <v/>
      </c>
      <c r="AE1261" s="21">
        <f>IF($Z1261="C",DATE(YEAR(INDEX(Contracts!$J$2:$J$151,$AB1261)),MONTH(INDEX(Contracts!$J$2:$J$151,$AB1261)),1),IF($Z1261="A",DATE(YEAR(INDEX(Fixed_Assets!$G$2:$G$201,$AB1261)),MONTH(INDEX(Fixed_Assets!$G$2:$G$201,$AB1261)),1),IF($Z1261="F",DATE(YEAR(MAX(N(INDEX(Workforce!$I$2:$I$151,MATCH(INDEX(FTE_Allocation!$A$2:$A$201,$AB1261),Workforce!$A$2:$A$151,0))),N(INDEX(FTE_Allocation!$I$2:$I$201,$AB1261)))),MONTH(MAX(N(INDEX(Workforce!$I$2:$I$151,MATCH(INDEX(FTE_Allocation!$A$2:$A$201,$AB1261),Workforce!$A$2:$A$151,0))),N(INDEX(FTE_Allocation!$I$2:$I$201,$AB1261)))),1),"")))</f>
        <v/>
      </c>
      <c r="AF1261" s="21">
        <f>IF($Z1261="C",IF(INDEX(Contracts!$I$2:$I$151,$AB1261)="PREPAID",EDATE(DATE(YEAR(INDEX(Contracts!$J$2:$J$151,$AB1261)),MONTH(INDEX(Contracts!$J$2:$J$151,$AB1261)),1),IF(INDEX(Contracts!$N$2:$N$151,$AB1261)="",12,INDEX(Contracts!$N$2:$N$151,$AB1261))-1),IF(INDEX(Contracts!$I$2:$I$151,$AB1261)="MONTHLY",IF(INDEX(Contracts!$K$2:$K$151,$AB1261)="",2958101,INDEX(Contracts!$K$2:$K$151,$AB1261)),0)),IF($Z1261="A",EDATE(DATE(YEAR(INDEX(Fixed_Assets!$G$2:$G$201,$AB1261)),MONTH(INDEX(Fixed_Assets!$G$2:$G$201,$AB1261)),1),INDEX(Fixed_Assets!$J$2:$J$201,$AB1261)-1),IF($Z1261="F",MIN(IF(INDEX(Workforce!$J$2:$J$151,MATCH(INDEX(FTE_Allocation!$A$2:$A$201,$AB1261),Workforce!$A$2:$A$151,0))="",2958101,INDEX(Workforce!$J$2:$J$151,MATCH(INDEX(FTE_Allocation!$A$2:$A$201,$AB1261),Workforce!$A$2:$A$151,0))),IF(INDEX(FTE_Allocation!$J$2:$J$201,$AB1261)="",2958101,INDEX(FTE_Allocation!$J$2:$J$201,$AB1261))),"")))</f>
        <v/>
      </c>
      <c r="AG1261" s="19">
        <f>IF($Z1261="C",IF(INDEX(Contracts!$I$2:$I$151,$AB1261)="PREPAID",INDEX(Contracts!$M$2:$M$151,$AB1261)/IF(INDEX(Contracts!$N$2:$N$151,$AB1261)="",12,INDEX(Contracts!$N$2:$N$151,$AB1261)),IF(INDEX(Contracts!$I$2:$I$151,$AB1261)="MONTHLY",INDEX(Contracts!$M$2:$M$151,$AB1261),0))*(1-N(INDEX(Contracts!$O$2:$O$151,$AB1261))),IF($Z1261="A",INDEX(Fixed_Assets!$H$2:$H$201,$AB1261)/INDEX(Fixed_Assets!$J$2:$J$201,$AB1261),IF($Z1261="F",INDEX(Workforce!$F$2:$F$151,MATCH(INDEX(FTE_Allocation!$A$2:$A$201,$AB1261),Workforce!$A$2:$A$151,0))*N(INDEX(FTE_Allocation!$F$2:$H$201,$AB1261,$AC1261)),"")))</f>
        <v/>
      </c>
    </row>
    <row r="1262">
      <c r="A1262" s="7">
        <f>IF($Z1262="","",$AD1262)</f>
        <v/>
      </c>
      <c r="B1262" s="7">
        <f>IF($Z1262="C",INDEX(Contracts!$D$2:$D$151,$AB1262)&amp;"",IF($Z1262="A",INDEX(Fixed_Assets!$C$2:$C$201,$AB1262)&amp;"",IF($Z1262="F",INDEX(Workforce!$B$2:$B$151,MATCH(INDEX(FTE_Allocation!$A$2:$A$201,$AB1262),Workforce!$A$2:$A$151,0))&amp;"","")))</f>
        <v/>
      </c>
      <c r="C1262" s="7">
        <f>IF($Z1262="C",INDEX(Contracts!$E$2:$E$151,$AB1262)&amp;"",IF($Z1262="A",INDEX(Fixed_Assets!$D$2:$D$201,$AB1262)&amp;"",IF($Z1262="F",INDEX(FTE_Allocation!$C$2:$C$201,$AB1262)&amp;"","")))</f>
        <v/>
      </c>
      <c r="D1262" s="7">
        <f>IF($Z1262="C",INDEX(Contracts!$B$2:$B$151,$AB1262)&amp;"",IF($Z1262="A",INDEX(Fixed_Assets!$B$2:$B$201,$AB1262)&amp;"",IF($Z1262="F",INDEX(FTE_Allocation!$B$2:$B$201,$AB1262)&amp;"","")))</f>
        <v/>
      </c>
      <c r="E1262" s="7">
        <f>IF($Z1262="C",INDEX(Contracts!$P$2:$P$151,$AB1262)&amp;"",IF($Z1262="A",INDEX(Fixed_Assets!$K$2:$K$201,$AB1262)&amp;"",IF($Z1262="F",IF(INDEX(FTE_Allocation!$D$2:$D$201,$AB1262)="PROJECT",IFERROR(INDEX(Projects!$D:$D,MATCH(INDEX(FTE_Allocation!$E$2:$E$201,$AB1262),Projects!$A:$A,0))&amp;"","#PROJECT?"),INDEX(FTE_Allocation!$E$2:$E$201,$AB1262)&amp;""),"")))</f>
        <v/>
      </c>
      <c r="F1262" s="7">
        <f>IF($Z1262="C",INDEX(Contracts!$Q$2:$Q$151,$AB1262)&amp;"",IF($Z1262="A",INDEX(Fixed_Assets!$L$2:$L$201,$AB1262)&amp;"",IF($Z1262="F",INDEX(Workforce!$K$2:$K$151,MATCH(INDEX(FTE_Allocation!$A$2:$A$201,$AB1262),Workforce!$A$2:$A$151,0))&amp;"","")))</f>
        <v/>
      </c>
      <c r="G1262" s="7">
        <f>IF($Z1262="C",INDEX(Contracts!$F$2:$F$151,$AB1262)&amp;" / "&amp;INDEX(Contracts!$G$2:$G$151,$AB1262),IF($Z1262="A",INDEX(Fixed_Assets!$E$2:$E$201,$AB1262)&amp;"",IF($Z1262="F","Personnel "&amp;INDEX(FTE_Allocation!$A$2:$A$201,$AB1262)&amp;IF(INDEX(FTE_Allocation!$D$2:$D$201,$AB1262)="PROJECT"," ("&amp;INDEX(FTE_Allocation!$E$2:$E$201,$AB1262)&amp;")",""),"")))</f>
        <v/>
      </c>
      <c r="H1262" s="7">
        <f>IF($Z1262="C","CONTRACT",IF($Z1262="A","ASSET",IF($Z1262="F","WORKFORCE","")))</f>
        <v/>
      </c>
      <c r="I1262" s="7">
        <f>IF($Z1262="C",INDEX(Contracts!$L$2:$L$151,$AB1262)&amp;"",IF($Z1262="A",INDEX(Fixed_Assets!$I$2:$I$201,$AB1262)&amp;"",IF($Z1262="F",INDEX(Workforce!$G$2:$G$151,MATCH(INDEX(FTE_Allocation!$A$2:$A$201,$AB1262),Workforce!$A$2:$A$151,0))&amp;"","")))</f>
        <v/>
      </c>
      <c r="J1262" s="18">
        <f>IF($Z1262="","",IF(AND(DATE($AD1262,1,1)&gt;=$AE1262,DATE($AD1262,1,1)&lt;=$AF1262),ROUND($AG1262,2),0))</f>
        <v/>
      </c>
      <c r="K1262" s="18">
        <f>IF($Z1262="","",IF(AND(DATE($AD1262,2,1)&gt;=$AE1262,DATE($AD1262,2,1)&lt;=$AF1262),ROUND($AG1262,2),0))</f>
        <v/>
      </c>
      <c r="L1262" s="18">
        <f>IF($Z1262="","",IF(AND(DATE($AD1262,3,1)&gt;=$AE1262,DATE($AD1262,3,1)&lt;=$AF1262),ROUND($AG1262,2),0))</f>
        <v/>
      </c>
      <c r="M1262" s="18">
        <f>IF($Z1262="","",IF(AND(DATE($AD1262,4,1)&gt;=$AE1262,DATE($AD1262,4,1)&lt;=$AF1262),ROUND($AG1262,2),0))</f>
        <v/>
      </c>
      <c r="N1262" s="18">
        <f>IF($Z1262="","",IF(AND(DATE($AD1262,5,1)&gt;=$AE1262,DATE($AD1262,5,1)&lt;=$AF1262),ROUND($AG1262,2),0))</f>
        <v/>
      </c>
      <c r="O1262" s="18">
        <f>IF($Z1262="","",IF(AND(DATE($AD1262,6,1)&gt;=$AE1262,DATE($AD1262,6,1)&lt;=$AF1262),ROUND($AG1262,2),0))</f>
        <v/>
      </c>
      <c r="P1262" s="18">
        <f>IF($Z1262="","",IF(AND(DATE($AD1262,7,1)&gt;=$AE1262,DATE($AD1262,7,1)&lt;=$AF1262),ROUND($AG1262,2),0))</f>
        <v/>
      </c>
      <c r="Q1262" s="18">
        <f>IF($Z1262="","",IF(AND(DATE($AD1262,8,1)&gt;=$AE1262,DATE($AD1262,8,1)&lt;=$AF1262),ROUND($AG1262,2),0))</f>
        <v/>
      </c>
      <c r="R1262" s="18">
        <f>IF($Z1262="","",IF(AND(DATE($AD1262,9,1)&gt;=$AE1262,DATE($AD1262,9,1)&lt;=$AF1262),ROUND($AG1262,2),0))</f>
        <v/>
      </c>
      <c r="S1262" s="18">
        <f>IF($Z1262="","",IF(AND(DATE($AD1262,10,1)&gt;=$AE1262,DATE($AD1262,10,1)&lt;=$AF1262),ROUND($AG1262,2),0))</f>
        <v/>
      </c>
      <c r="T1262" s="18">
        <f>IF($Z1262="","",IF(AND(DATE($AD1262,11,1)&gt;=$AE1262,DATE($AD1262,11,1)&lt;=$AF1262),ROUND($AG1262,2),0))</f>
        <v/>
      </c>
      <c r="U1262" s="18">
        <f>IF($Z1262="","",IF(AND(DATE($AD1262,12,1)&gt;=$AE1262,DATE($AD1262,12,1)&lt;=$AF1262),ROUND($AG1262,2),0))</f>
        <v/>
      </c>
      <c r="V1262" s="7">
        <f>IF($Z1262="C","Generated from "&amp;INDEX(Contracts!$A$2:$A$151,$AB1262),IF($Z1262="A","Generated from "&amp;INDEX(Fixed_Assets!$A$2:$A$201,$AB1262),IF($Z1262="F","Generated from "&amp;INDEX(FTE_Allocation!$A$2:$A$201,$AB1262),"")))</f>
        <v/>
      </c>
      <c r="X1262" s="19">
        <f>IF($Z1262="","",SUM(J1262:U1262))</f>
        <v/>
      </c>
      <c r="Y1262" s="20">
        <f>ROW()-1</f>
        <v/>
      </c>
      <c r="Z1262" s="20">
        <f>IF($Y1262&lt;=Settings!$B$4*3,"C",IF($Y1262&lt;=(Settings!$B$4+Settings!$B$5)*3,"A",IF($Y1262&lt;=(Settings!$B$4+Settings!$B$5+Settings!$B$6)*3,"F","")))</f>
        <v/>
      </c>
      <c r="AA1262" s="20">
        <f>IF($Z1262="C",$Y1262,IF($Z1262="A",$Y1262-Settings!$B$4*3,IF($Z1262="F",$Y1262-(Settings!$B$4+Settings!$B$5)*3,"")))</f>
        <v/>
      </c>
      <c r="AB1262" s="20">
        <f>IF($Z1262="","",INT(($AA1262-1)/3)+1)</f>
        <v/>
      </c>
      <c r="AC1262" s="20">
        <f>IF($Z1262="","",MOD($AA1262-1,3)+1)</f>
        <v/>
      </c>
      <c r="AD1262" s="20">
        <f>IF($Z1262="","",Settings!$B$2+$AC1262-1)</f>
        <v/>
      </c>
      <c r="AE1262" s="21">
        <f>IF($Z1262="C",DATE(YEAR(INDEX(Contracts!$J$2:$J$151,$AB1262)),MONTH(INDEX(Contracts!$J$2:$J$151,$AB1262)),1),IF($Z1262="A",DATE(YEAR(INDEX(Fixed_Assets!$G$2:$G$201,$AB1262)),MONTH(INDEX(Fixed_Assets!$G$2:$G$201,$AB1262)),1),IF($Z1262="F",DATE(YEAR(MAX(N(INDEX(Workforce!$I$2:$I$151,MATCH(INDEX(FTE_Allocation!$A$2:$A$201,$AB1262),Workforce!$A$2:$A$151,0))),N(INDEX(FTE_Allocation!$I$2:$I$201,$AB1262)))),MONTH(MAX(N(INDEX(Workforce!$I$2:$I$151,MATCH(INDEX(FTE_Allocation!$A$2:$A$201,$AB1262),Workforce!$A$2:$A$151,0))),N(INDEX(FTE_Allocation!$I$2:$I$201,$AB1262)))),1),"")))</f>
        <v/>
      </c>
      <c r="AF1262" s="21">
        <f>IF($Z1262="C",IF(INDEX(Contracts!$I$2:$I$151,$AB1262)="PREPAID",EDATE(DATE(YEAR(INDEX(Contracts!$J$2:$J$151,$AB1262)),MONTH(INDEX(Contracts!$J$2:$J$151,$AB1262)),1),IF(INDEX(Contracts!$N$2:$N$151,$AB1262)="",12,INDEX(Contracts!$N$2:$N$151,$AB1262))-1),IF(INDEX(Contracts!$I$2:$I$151,$AB1262)="MONTHLY",IF(INDEX(Contracts!$K$2:$K$151,$AB1262)="",2958101,INDEX(Contracts!$K$2:$K$151,$AB1262)),0)),IF($Z1262="A",EDATE(DATE(YEAR(INDEX(Fixed_Assets!$G$2:$G$201,$AB1262)),MONTH(INDEX(Fixed_Assets!$G$2:$G$201,$AB1262)),1),INDEX(Fixed_Assets!$J$2:$J$201,$AB1262)-1),IF($Z1262="F",MIN(IF(INDEX(Workforce!$J$2:$J$151,MATCH(INDEX(FTE_Allocation!$A$2:$A$201,$AB1262),Workforce!$A$2:$A$151,0))="",2958101,INDEX(Workforce!$J$2:$J$151,MATCH(INDEX(FTE_Allocation!$A$2:$A$201,$AB1262),Workforce!$A$2:$A$151,0))),IF(INDEX(FTE_Allocation!$J$2:$J$201,$AB1262)="",2958101,INDEX(FTE_Allocation!$J$2:$J$201,$AB1262))),"")))</f>
        <v/>
      </c>
      <c r="AG1262" s="19">
        <f>IF($Z1262="C",IF(INDEX(Contracts!$I$2:$I$151,$AB1262)="PREPAID",INDEX(Contracts!$M$2:$M$151,$AB1262)/IF(INDEX(Contracts!$N$2:$N$151,$AB1262)="",12,INDEX(Contracts!$N$2:$N$151,$AB1262)),IF(INDEX(Contracts!$I$2:$I$151,$AB1262)="MONTHLY",INDEX(Contracts!$M$2:$M$151,$AB1262),0))*(1-N(INDEX(Contracts!$O$2:$O$151,$AB1262))),IF($Z1262="A",INDEX(Fixed_Assets!$H$2:$H$201,$AB1262)/INDEX(Fixed_Assets!$J$2:$J$201,$AB1262),IF($Z1262="F",INDEX(Workforce!$F$2:$F$151,MATCH(INDEX(FTE_Allocation!$A$2:$A$201,$AB1262),Workforce!$A$2:$A$151,0))*N(INDEX(FTE_Allocation!$F$2:$H$201,$AB1262,$AC1262)),"")))</f>
        <v/>
      </c>
    </row>
    <row r="1263">
      <c r="A1263" s="7">
        <f>IF($Z1263="","",$AD1263)</f>
        <v/>
      </c>
      <c r="B1263" s="7">
        <f>IF($Z1263="C",INDEX(Contracts!$D$2:$D$151,$AB1263)&amp;"",IF($Z1263="A",INDEX(Fixed_Assets!$C$2:$C$201,$AB1263)&amp;"",IF($Z1263="F",INDEX(Workforce!$B$2:$B$151,MATCH(INDEX(FTE_Allocation!$A$2:$A$201,$AB1263),Workforce!$A$2:$A$151,0))&amp;"","")))</f>
        <v/>
      </c>
      <c r="C1263" s="7">
        <f>IF($Z1263="C",INDEX(Contracts!$E$2:$E$151,$AB1263)&amp;"",IF($Z1263="A",INDEX(Fixed_Assets!$D$2:$D$201,$AB1263)&amp;"",IF($Z1263="F",INDEX(FTE_Allocation!$C$2:$C$201,$AB1263)&amp;"","")))</f>
        <v/>
      </c>
      <c r="D1263" s="7">
        <f>IF($Z1263="C",INDEX(Contracts!$B$2:$B$151,$AB1263)&amp;"",IF($Z1263="A",INDEX(Fixed_Assets!$B$2:$B$201,$AB1263)&amp;"",IF($Z1263="F",INDEX(FTE_Allocation!$B$2:$B$201,$AB1263)&amp;"","")))</f>
        <v/>
      </c>
      <c r="E1263" s="7">
        <f>IF($Z1263="C",INDEX(Contracts!$P$2:$P$151,$AB1263)&amp;"",IF($Z1263="A",INDEX(Fixed_Assets!$K$2:$K$201,$AB1263)&amp;"",IF($Z1263="F",IF(INDEX(FTE_Allocation!$D$2:$D$201,$AB1263)="PROJECT",IFERROR(INDEX(Projects!$D:$D,MATCH(INDEX(FTE_Allocation!$E$2:$E$201,$AB1263),Projects!$A:$A,0))&amp;"","#PROJECT?"),INDEX(FTE_Allocation!$E$2:$E$201,$AB1263)&amp;""),"")))</f>
        <v/>
      </c>
      <c r="F1263" s="7">
        <f>IF($Z1263="C",INDEX(Contracts!$Q$2:$Q$151,$AB1263)&amp;"",IF($Z1263="A",INDEX(Fixed_Assets!$L$2:$L$201,$AB1263)&amp;"",IF($Z1263="F",INDEX(Workforce!$K$2:$K$151,MATCH(INDEX(FTE_Allocation!$A$2:$A$201,$AB1263),Workforce!$A$2:$A$151,0))&amp;"","")))</f>
        <v/>
      </c>
      <c r="G1263" s="7">
        <f>IF($Z1263="C",INDEX(Contracts!$F$2:$F$151,$AB1263)&amp;" / "&amp;INDEX(Contracts!$G$2:$G$151,$AB1263),IF($Z1263="A",INDEX(Fixed_Assets!$E$2:$E$201,$AB1263)&amp;"",IF($Z1263="F","Personnel "&amp;INDEX(FTE_Allocation!$A$2:$A$201,$AB1263)&amp;IF(INDEX(FTE_Allocation!$D$2:$D$201,$AB1263)="PROJECT"," ("&amp;INDEX(FTE_Allocation!$E$2:$E$201,$AB1263)&amp;")",""),"")))</f>
        <v/>
      </c>
      <c r="H1263" s="7">
        <f>IF($Z1263="C","CONTRACT",IF($Z1263="A","ASSET",IF($Z1263="F","WORKFORCE","")))</f>
        <v/>
      </c>
      <c r="I1263" s="7">
        <f>IF($Z1263="C",INDEX(Contracts!$L$2:$L$151,$AB1263)&amp;"",IF($Z1263="A",INDEX(Fixed_Assets!$I$2:$I$201,$AB1263)&amp;"",IF($Z1263="F",INDEX(Workforce!$G$2:$G$151,MATCH(INDEX(FTE_Allocation!$A$2:$A$201,$AB1263),Workforce!$A$2:$A$151,0))&amp;"","")))</f>
        <v/>
      </c>
      <c r="J1263" s="18">
        <f>IF($Z1263="","",IF(AND(DATE($AD1263,1,1)&gt;=$AE1263,DATE($AD1263,1,1)&lt;=$AF1263),ROUND($AG1263,2),0))</f>
        <v/>
      </c>
      <c r="K1263" s="18">
        <f>IF($Z1263="","",IF(AND(DATE($AD1263,2,1)&gt;=$AE1263,DATE($AD1263,2,1)&lt;=$AF1263),ROUND($AG1263,2),0))</f>
        <v/>
      </c>
      <c r="L1263" s="18">
        <f>IF($Z1263="","",IF(AND(DATE($AD1263,3,1)&gt;=$AE1263,DATE($AD1263,3,1)&lt;=$AF1263),ROUND($AG1263,2),0))</f>
        <v/>
      </c>
      <c r="M1263" s="18">
        <f>IF($Z1263="","",IF(AND(DATE($AD1263,4,1)&gt;=$AE1263,DATE($AD1263,4,1)&lt;=$AF1263),ROUND($AG1263,2),0))</f>
        <v/>
      </c>
      <c r="N1263" s="18">
        <f>IF($Z1263="","",IF(AND(DATE($AD1263,5,1)&gt;=$AE1263,DATE($AD1263,5,1)&lt;=$AF1263),ROUND($AG1263,2),0))</f>
        <v/>
      </c>
      <c r="O1263" s="18">
        <f>IF($Z1263="","",IF(AND(DATE($AD1263,6,1)&gt;=$AE1263,DATE($AD1263,6,1)&lt;=$AF1263),ROUND($AG1263,2),0))</f>
        <v/>
      </c>
      <c r="P1263" s="18">
        <f>IF($Z1263="","",IF(AND(DATE($AD1263,7,1)&gt;=$AE1263,DATE($AD1263,7,1)&lt;=$AF1263),ROUND($AG1263,2),0))</f>
        <v/>
      </c>
      <c r="Q1263" s="18">
        <f>IF($Z1263="","",IF(AND(DATE($AD1263,8,1)&gt;=$AE1263,DATE($AD1263,8,1)&lt;=$AF1263),ROUND($AG1263,2),0))</f>
        <v/>
      </c>
      <c r="R1263" s="18">
        <f>IF($Z1263="","",IF(AND(DATE($AD1263,9,1)&gt;=$AE1263,DATE($AD1263,9,1)&lt;=$AF1263),ROUND($AG1263,2),0))</f>
        <v/>
      </c>
      <c r="S1263" s="18">
        <f>IF($Z1263="","",IF(AND(DATE($AD1263,10,1)&gt;=$AE1263,DATE($AD1263,10,1)&lt;=$AF1263),ROUND($AG1263,2),0))</f>
        <v/>
      </c>
      <c r="T1263" s="18">
        <f>IF($Z1263="","",IF(AND(DATE($AD1263,11,1)&gt;=$AE1263,DATE($AD1263,11,1)&lt;=$AF1263),ROUND($AG1263,2),0))</f>
        <v/>
      </c>
      <c r="U1263" s="18">
        <f>IF($Z1263="","",IF(AND(DATE($AD1263,12,1)&gt;=$AE1263,DATE($AD1263,12,1)&lt;=$AF1263),ROUND($AG1263,2),0))</f>
        <v/>
      </c>
      <c r="V1263" s="7">
        <f>IF($Z1263="C","Generated from "&amp;INDEX(Contracts!$A$2:$A$151,$AB1263),IF($Z1263="A","Generated from "&amp;INDEX(Fixed_Assets!$A$2:$A$201,$AB1263),IF($Z1263="F","Generated from "&amp;INDEX(FTE_Allocation!$A$2:$A$201,$AB1263),"")))</f>
        <v/>
      </c>
      <c r="X1263" s="19">
        <f>IF($Z1263="","",SUM(J1263:U1263))</f>
        <v/>
      </c>
      <c r="Y1263" s="20">
        <f>ROW()-1</f>
        <v/>
      </c>
      <c r="Z1263" s="20">
        <f>IF($Y1263&lt;=Settings!$B$4*3,"C",IF($Y1263&lt;=(Settings!$B$4+Settings!$B$5)*3,"A",IF($Y1263&lt;=(Settings!$B$4+Settings!$B$5+Settings!$B$6)*3,"F","")))</f>
        <v/>
      </c>
      <c r="AA1263" s="20">
        <f>IF($Z1263="C",$Y1263,IF($Z1263="A",$Y1263-Settings!$B$4*3,IF($Z1263="F",$Y1263-(Settings!$B$4+Settings!$B$5)*3,"")))</f>
        <v/>
      </c>
      <c r="AB1263" s="20">
        <f>IF($Z1263="","",INT(($AA1263-1)/3)+1)</f>
        <v/>
      </c>
      <c r="AC1263" s="20">
        <f>IF($Z1263="","",MOD($AA1263-1,3)+1)</f>
        <v/>
      </c>
      <c r="AD1263" s="20">
        <f>IF($Z1263="","",Settings!$B$2+$AC1263-1)</f>
        <v/>
      </c>
      <c r="AE1263" s="21">
        <f>IF($Z1263="C",DATE(YEAR(INDEX(Contracts!$J$2:$J$151,$AB1263)),MONTH(INDEX(Contracts!$J$2:$J$151,$AB1263)),1),IF($Z1263="A",DATE(YEAR(INDEX(Fixed_Assets!$G$2:$G$201,$AB1263)),MONTH(INDEX(Fixed_Assets!$G$2:$G$201,$AB1263)),1),IF($Z1263="F",DATE(YEAR(MAX(N(INDEX(Workforce!$I$2:$I$151,MATCH(INDEX(FTE_Allocation!$A$2:$A$201,$AB1263),Workforce!$A$2:$A$151,0))),N(INDEX(FTE_Allocation!$I$2:$I$201,$AB1263)))),MONTH(MAX(N(INDEX(Workforce!$I$2:$I$151,MATCH(INDEX(FTE_Allocation!$A$2:$A$201,$AB1263),Workforce!$A$2:$A$151,0))),N(INDEX(FTE_Allocation!$I$2:$I$201,$AB1263)))),1),"")))</f>
        <v/>
      </c>
      <c r="AF1263" s="21">
        <f>IF($Z1263="C",IF(INDEX(Contracts!$I$2:$I$151,$AB1263)="PREPAID",EDATE(DATE(YEAR(INDEX(Contracts!$J$2:$J$151,$AB1263)),MONTH(INDEX(Contracts!$J$2:$J$151,$AB1263)),1),IF(INDEX(Contracts!$N$2:$N$151,$AB1263)="",12,INDEX(Contracts!$N$2:$N$151,$AB1263))-1),IF(INDEX(Contracts!$I$2:$I$151,$AB1263)="MONTHLY",IF(INDEX(Contracts!$K$2:$K$151,$AB1263)="",2958101,INDEX(Contracts!$K$2:$K$151,$AB1263)),0)),IF($Z1263="A",EDATE(DATE(YEAR(INDEX(Fixed_Assets!$G$2:$G$201,$AB1263)),MONTH(INDEX(Fixed_Assets!$G$2:$G$201,$AB1263)),1),INDEX(Fixed_Assets!$J$2:$J$201,$AB1263)-1),IF($Z1263="F",MIN(IF(INDEX(Workforce!$J$2:$J$151,MATCH(INDEX(FTE_Allocation!$A$2:$A$201,$AB1263),Workforce!$A$2:$A$151,0))="",2958101,INDEX(Workforce!$J$2:$J$151,MATCH(INDEX(FTE_Allocation!$A$2:$A$201,$AB1263),Workforce!$A$2:$A$151,0))),IF(INDEX(FTE_Allocation!$J$2:$J$201,$AB1263)="",2958101,INDEX(FTE_Allocation!$J$2:$J$201,$AB1263))),"")))</f>
        <v/>
      </c>
      <c r="AG1263" s="19">
        <f>IF($Z1263="C",IF(INDEX(Contracts!$I$2:$I$151,$AB1263)="PREPAID",INDEX(Contracts!$M$2:$M$151,$AB1263)/IF(INDEX(Contracts!$N$2:$N$151,$AB1263)="",12,INDEX(Contracts!$N$2:$N$151,$AB1263)),IF(INDEX(Contracts!$I$2:$I$151,$AB1263)="MONTHLY",INDEX(Contracts!$M$2:$M$151,$AB1263),0))*(1-N(INDEX(Contracts!$O$2:$O$151,$AB1263))),IF($Z1263="A",INDEX(Fixed_Assets!$H$2:$H$201,$AB1263)/INDEX(Fixed_Assets!$J$2:$J$201,$AB1263),IF($Z1263="F",INDEX(Workforce!$F$2:$F$151,MATCH(INDEX(FTE_Allocation!$A$2:$A$201,$AB1263),Workforce!$A$2:$A$151,0))*N(INDEX(FTE_Allocation!$F$2:$H$201,$AB1263,$AC1263)),"")))</f>
        <v/>
      </c>
    </row>
    <row r="1264">
      <c r="A1264" s="7">
        <f>IF($Z1264="","",$AD1264)</f>
        <v/>
      </c>
      <c r="B1264" s="7">
        <f>IF($Z1264="C",INDEX(Contracts!$D$2:$D$151,$AB1264)&amp;"",IF($Z1264="A",INDEX(Fixed_Assets!$C$2:$C$201,$AB1264)&amp;"",IF($Z1264="F",INDEX(Workforce!$B$2:$B$151,MATCH(INDEX(FTE_Allocation!$A$2:$A$201,$AB1264),Workforce!$A$2:$A$151,0))&amp;"","")))</f>
        <v/>
      </c>
      <c r="C1264" s="7">
        <f>IF($Z1264="C",INDEX(Contracts!$E$2:$E$151,$AB1264)&amp;"",IF($Z1264="A",INDEX(Fixed_Assets!$D$2:$D$201,$AB1264)&amp;"",IF($Z1264="F",INDEX(FTE_Allocation!$C$2:$C$201,$AB1264)&amp;"","")))</f>
        <v/>
      </c>
      <c r="D1264" s="7">
        <f>IF($Z1264="C",INDEX(Contracts!$B$2:$B$151,$AB1264)&amp;"",IF($Z1264="A",INDEX(Fixed_Assets!$B$2:$B$201,$AB1264)&amp;"",IF($Z1264="F",INDEX(FTE_Allocation!$B$2:$B$201,$AB1264)&amp;"","")))</f>
        <v/>
      </c>
      <c r="E1264" s="7">
        <f>IF($Z1264="C",INDEX(Contracts!$P$2:$P$151,$AB1264)&amp;"",IF($Z1264="A",INDEX(Fixed_Assets!$K$2:$K$201,$AB1264)&amp;"",IF($Z1264="F",IF(INDEX(FTE_Allocation!$D$2:$D$201,$AB1264)="PROJECT",IFERROR(INDEX(Projects!$D:$D,MATCH(INDEX(FTE_Allocation!$E$2:$E$201,$AB1264),Projects!$A:$A,0))&amp;"","#PROJECT?"),INDEX(FTE_Allocation!$E$2:$E$201,$AB1264)&amp;""),"")))</f>
        <v/>
      </c>
      <c r="F1264" s="7">
        <f>IF($Z1264="C",INDEX(Contracts!$Q$2:$Q$151,$AB1264)&amp;"",IF($Z1264="A",INDEX(Fixed_Assets!$L$2:$L$201,$AB1264)&amp;"",IF($Z1264="F",INDEX(Workforce!$K$2:$K$151,MATCH(INDEX(FTE_Allocation!$A$2:$A$201,$AB1264),Workforce!$A$2:$A$151,0))&amp;"","")))</f>
        <v/>
      </c>
      <c r="G1264" s="7">
        <f>IF($Z1264="C",INDEX(Contracts!$F$2:$F$151,$AB1264)&amp;" / "&amp;INDEX(Contracts!$G$2:$G$151,$AB1264),IF($Z1264="A",INDEX(Fixed_Assets!$E$2:$E$201,$AB1264)&amp;"",IF($Z1264="F","Personnel "&amp;INDEX(FTE_Allocation!$A$2:$A$201,$AB1264)&amp;IF(INDEX(FTE_Allocation!$D$2:$D$201,$AB1264)="PROJECT"," ("&amp;INDEX(FTE_Allocation!$E$2:$E$201,$AB1264)&amp;")",""),"")))</f>
        <v/>
      </c>
      <c r="H1264" s="7">
        <f>IF($Z1264="C","CONTRACT",IF($Z1264="A","ASSET",IF($Z1264="F","WORKFORCE","")))</f>
        <v/>
      </c>
      <c r="I1264" s="7">
        <f>IF($Z1264="C",INDEX(Contracts!$L$2:$L$151,$AB1264)&amp;"",IF($Z1264="A",INDEX(Fixed_Assets!$I$2:$I$201,$AB1264)&amp;"",IF($Z1264="F",INDEX(Workforce!$G$2:$G$151,MATCH(INDEX(FTE_Allocation!$A$2:$A$201,$AB1264),Workforce!$A$2:$A$151,0))&amp;"","")))</f>
        <v/>
      </c>
      <c r="J1264" s="18">
        <f>IF($Z1264="","",IF(AND(DATE($AD1264,1,1)&gt;=$AE1264,DATE($AD1264,1,1)&lt;=$AF1264),ROUND($AG1264,2),0))</f>
        <v/>
      </c>
      <c r="K1264" s="18">
        <f>IF($Z1264="","",IF(AND(DATE($AD1264,2,1)&gt;=$AE1264,DATE($AD1264,2,1)&lt;=$AF1264),ROUND($AG1264,2),0))</f>
        <v/>
      </c>
      <c r="L1264" s="18">
        <f>IF($Z1264="","",IF(AND(DATE($AD1264,3,1)&gt;=$AE1264,DATE($AD1264,3,1)&lt;=$AF1264),ROUND($AG1264,2),0))</f>
        <v/>
      </c>
      <c r="M1264" s="18">
        <f>IF($Z1264="","",IF(AND(DATE($AD1264,4,1)&gt;=$AE1264,DATE($AD1264,4,1)&lt;=$AF1264),ROUND($AG1264,2),0))</f>
        <v/>
      </c>
      <c r="N1264" s="18">
        <f>IF($Z1264="","",IF(AND(DATE($AD1264,5,1)&gt;=$AE1264,DATE($AD1264,5,1)&lt;=$AF1264),ROUND($AG1264,2),0))</f>
        <v/>
      </c>
      <c r="O1264" s="18">
        <f>IF($Z1264="","",IF(AND(DATE($AD1264,6,1)&gt;=$AE1264,DATE($AD1264,6,1)&lt;=$AF1264),ROUND($AG1264,2),0))</f>
        <v/>
      </c>
      <c r="P1264" s="18">
        <f>IF($Z1264="","",IF(AND(DATE($AD1264,7,1)&gt;=$AE1264,DATE($AD1264,7,1)&lt;=$AF1264),ROUND($AG1264,2),0))</f>
        <v/>
      </c>
      <c r="Q1264" s="18">
        <f>IF($Z1264="","",IF(AND(DATE($AD1264,8,1)&gt;=$AE1264,DATE($AD1264,8,1)&lt;=$AF1264),ROUND($AG1264,2),0))</f>
        <v/>
      </c>
      <c r="R1264" s="18">
        <f>IF($Z1264="","",IF(AND(DATE($AD1264,9,1)&gt;=$AE1264,DATE($AD1264,9,1)&lt;=$AF1264),ROUND($AG1264,2),0))</f>
        <v/>
      </c>
      <c r="S1264" s="18">
        <f>IF($Z1264="","",IF(AND(DATE($AD1264,10,1)&gt;=$AE1264,DATE($AD1264,10,1)&lt;=$AF1264),ROUND($AG1264,2),0))</f>
        <v/>
      </c>
      <c r="T1264" s="18">
        <f>IF($Z1264="","",IF(AND(DATE($AD1264,11,1)&gt;=$AE1264,DATE($AD1264,11,1)&lt;=$AF1264),ROUND($AG1264,2),0))</f>
        <v/>
      </c>
      <c r="U1264" s="18">
        <f>IF($Z1264="","",IF(AND(DATE($AD1264,12,1)&gt;=$AE1264,DATE($AD1264,12,1)&lt;=$AF1264),ROUND($AG1264,2),0))</f>
        <v/>
      </c>
      <c r="V1264" s="7">
        <f>IF($Z1264="C","Generated from "&amp;INDEX(Contracts!$A$2:$A$151,$AB1264),IF($Z1264="A","Generated from "&amp;INDEX(Fixed_Assets!$A$2:$A$201,$AB1264),IF($Z1264="F","Generated from "&amp;INDEX(FTE_Allocation!$A$2:$A$201,$AB1264),"")))</f>
        <v/>
      </c>
      <c r="X1264" s="19">
        <f>IF($Z1264="","",SUM(J1264:U1264))</f>
        <v/>
      </c>
      <c r="Y1264" s="20">
        <f>ROW()-1</f>
        <v/>
      </c>
      <c r="Z1264" s="20">
        <f>IF($Y1264&lt;=Settings!$B$4*3,"C",IF($Y1264&lt;=(Settings!$B$4+Settings!$B$5)*3,"A",IF($Y1264&lt;=(Settings!$B$4+Settings!$B$5+Settings!$B$6)*3,"F","")))</f>
        <v/>
      </c>
      <c r="AA1264" s="20">
        <f>IF($Z1264="C",$Y1264,IF($Z1264="A",$Y1264-Settings!$B$4*3,IF($Z1264="F",$Y1264-(Settings!$B$4+Settings!$B$5)*3,"")))</f>
        <v/>
      </c>
      <c r="AB1264" s="20">
        <f>IF($Z1264="","",INT(($AA1264-1)/3)+1)</f>
        <v/>
      </c>
      <c r="AC1264" s="20">
        <f>IF($Z1264="","",MOD($AA1264-1,3)+1)</f>
        <v/>
      </c>
      <c r="AD1264" s="20">
        <f>IF($Z1264="","",Settings!$B$2+$AC1264-1)</f>
        <v/>
      </c>
      <c r="AE1264" s="21">
        <f>IF($Z1264="C",DATE(YEAR(INDEX(Contracts!$J$2:$J$151,$AB1264)),MONTH(INDEX(Contracts!$J$2:$J$151,$AB1264)),1),IF($Z1264="A",DATE(YEAR(INDEX(Fixed_Assets!$G$2:$G$201,$AB1264)),MONTH(INDEX(Fixed_Assets!$G$2:$G$201,$AB1264)),1),IF($Z1264="F",DATE(YEAR(MAX(N(INDEX(Workforce!$I$2:$I$151,MATCH(INDEX(FTE_Allocation!$A$2:$A$201,$AB1264),Workforce!$A$2:$A$151,0))),N(INDEX(FTE_Allocation!$I$2:$I$201,$AB1264)))),MONTH(MAX(N(INDEX(Workforce!$I$2:$I$151,MATCH(INDEX(FTE_Allocation!$A$2:$A$201,$AB1264),Workforce!$A$2:$A$151,0))),N(INDEX(FTE_Allocation!$I$2:$I$201,$AB1264)))),1),"")))</f>
        <v/>
      </c>
      <c r="AF1264" s="21">
        <f>IF($Z1264="C",IF(INDEX(Contracts!$I$2:$I$151,$AB1264)="PREPAID",EDATE(DATE(YEAR(INDEX(Contracts!$J$2:$J$151,$AB1264)),MONTH(INDEX(Contracts!$J$2:$J$151,$AB1264)),1),IF(INDEX(Contracts!$N$2:$N$151,$AB1264)="",12,INDEX(Contracts!$N$2:$N$151,$AB1264))-1),IF(INDEX(Contracts!$I$2:$I$151,$AB1264)="MONTHLY",IF(INDEX(Contracts!$K$2:$K$151,$AB1264)="",2958101,INDEX(Contracts!$K$2:$K$151,$AB1264)),0)),IF($Z1264="A",EDATE(DATE(YEAR(INDEX(Fixed_Assets!$G$2:$G$201,$AB1264)),MONTH(INDEX(Fixed_Assets!$G$2:$G$201,$AB1264)),1),INDEX(Fixed_Assets!$J$2:$J$201,$AB1264)-1),IF($Z1264="F",MIN(IF(INDEX(Workforce!$J$2:$J$151,MATCH(INDEX(FTE_Allocation!$A$2:$A$201,$AB1264),Workforce!$A$2:$A$151,0))="",2958101,INDEX(Workforce!$J$2:$J$151,MATCH(INDEX(FTE_Allocation!$A$2:$A$201,$AB1264),Workforce!$A$2:$A$151,0))),IF(INDEX(FTE_Allocation!$J$2:$J$201,$AB1264)="",2958101,INDEX(FTE_Allocation!$J$2:$J$201,$AB1264))),"")))</f>
        <v/>
      </c>
      <c r="AG1264" s="19">
        <f>IF($Z1264="C",IF(INDEX(Contracts!$I$2:$I$151,$AB1264)="PREPAID",INDEX(Contracts!$M$2:$M$151,$AB1264)/IF(INDEX(Contracts!$N$2:$N$151,$AB1264)="",12,INDEX(Contracts!$N$2:$N$151,$AB1264)),IF(INDEX(Contracts!$I$2:$I$151,$AB1264)="MONTHLY",INDEX(Contracts!$M$2:$M$151,$AB1264),0))*(1-N(INDEX(Contracts!$O$2:$O$151,$AB1264))),IF($Z1264="A",INDEX(Fixed_Assets!$H$2:$H$201,$AB1264)/INDEX(Fixed_Assets!$J$2:$J$201,$AB1264),IF($Z1264="F",INDEX(Workforce!$F$2:$F$151,MATCH(INDEX(FTE_Allocation!$A$2:$A$201,$AB1264),Workforce!$A$2:$A$151,0))*N(INDEX(FTE_Allocation!$F$2:$H$201,$AB1264,$AC1264)),"")))</f>
        <v/>
      </c>
    </row>
    <row r="1265">
      <c r="A1265" s="7">
        <f>IF($Z1265="","",$AD1265)</f>
        <v/>
      </c>
      <c r="B1265" s="7">
        <f>IF($Z1265="C",INDEX(Contracts!$D$2:$D$151,$AB1265)&amp;"",IF($Z1265="A",INDEX(Fixed_Assets!$C$2:$C$201,$AB1265)&amp;"",IF($Z1265="F",INDEX(Workforce!$B$2:$B$151,MATCH(INDEX(FTE_Allocation!$A$2:$A$201,$AB1265),Workforce!$A$2:$A$151,0))&amp;"","")))</f>
        <v/>
      </c>
      <c r="C1265" s="7">
        <f>IF($Z1265="C",INDEX(Contracts!$E$2:$E$151,$AB1265)&amp;"",IF($Z1265="A",INDEX(Fixed_Assets!$D$2:$D$201,$AB1265)&amp;"",IF($Z1265="F",INDEX(FTE_Allocation!$C$2:$C$201,$AB1265)&amp;"","")))</f>
        <v/>
      </c>
      <c r="D1265" s="7">
        <f>IF($Z1265="C",INDEX(Contracts!$B$2:$B$151,$AB1265)&amp;"",IF($Z1265="A",INDEX(Fixed_Assets!$B$2:$B$201,$AB1265)&amp;"",IF($Z1265="F",INDEX(FTE_Allocation!$B$2:$B$201,$AB1265)&amp;"","")))</f>
        <v/>
      </c>
      <c r="E1265" s="7">
        <f>IF($Z1265="C",INDEX(Contracts!$P$2:$P$151,$AB1265)&amp;"",IF($Z1265="A",INDEX(Fixed_Assets!$K$2:$K$201,$AB1265)&amp;"",IF($Z1265="F",IF(INDEX(FTE_Allocation!$D$2:$D$201,$AB1265)="PROJECT",IFERROR(INDEX(Projects!$D:$D,MATCH(INDEX(FTE_Allocation!$E$2:$E$201,$AB1265),Projects!$A:$A,0))&amp;"","#PROJECT?"),INDEX(FTE_Allocation!$E$2:$E$201,$AB1265)&amp;""),"")))</f>
        <v/>
      </c>
      <c r="F1265" s="7">
        <f>IF($Z1265="C",INDEX(Contracts!$Q$2:$Q$151,$AB1265)&amp;"",IF($Z1265="A",INDEX(Fixed_Assets!$L$2:$L$201,$AB1265)&amp;"",IF($Z1265="F",INDEX(Workforce!$K$2:$K$151,MATCH(INDEX(FTE_Allocation!$A$2:$A$201,$AB1265),Workforce!$A$2:$A$151,0))&amp;"","")))</f>
        <v/>
      </c>
      <c r="G1265" s="7">
        <f>IF($Z1265="C",INDEX(Contracts!$F$2:$F$151,$AB1265)&amp;" / "&amp;INDEX(Contracts!$G$2:$G$151,$AB1265),IF($Z1265="A",INDEX(Fixed_Assets!$E$2:$E$201,$AB1265)&amp;"",IF($Z1265="F","Personnel "&amp;INDEX(FTE_Allocation!$A$2:$A$201,$AB1265)&amp;IF(INDEX(FTE_Allocation!$D$2:$D$201,$AB1265)="PROJECT"," ("&amp;INDEX(FTE_Allocation!$E$2:$E$201,$AB1265)&amp;")",""),"")))</f>
        <v/>
      </c>
      <c r="H1265" s="7">
        <f>IF($Z1265="C","CONTRACT",IF($Z1265="A","ASSET",IF($Z1265="F","WORKFORCE","")))</f>
        <v/>
      </c>
      <c r="I1265" s="7">
        <f>IF($Z1265="C",INDEX(Contracts!$L$2:$L$151,$AB1265)&amp;"",IF($Z1265="A",INDEX(Fixed_Assets!$I$2:$I$201,$AB1265)&amp;"",IF($Z1265="F",INDEX(Workforce!$G$2:$G$151,MATCH(INDEX(FTE_Allocation!$A$2:$A$201,$AB1265),Workforce!$A$2:$A$151,0))&amp;"","")))</f>
        <v/>
      </c>
      <c r="J1265" s="18">
        <f>IF($Z1265="","",IF(AND(DATE($AD1265,1,1)&gt;=$AE1265,DATE($AD1265,1,1)&lt;=$AF1265),ROUND($AG1265,2),0))</f>
        <v/>
      </c>
      <c r="K1265" s="18">
        <f>IF($Z1265="","",IF(AND(DATE($AD1265,2,1)&gt;=$AE1265,DATE($AD1265,2,1)&lt;=$AF1265),ROUND($AG1265,2),0))</f>
        <v/>
      </c>
      <c r="L1265" s="18">
        <f>IF($Z1265="","",IF(AND(DATE($AD1265,3,1)&gt;=$AE1265,DATE($AD1265,3,1)&lt;=$AF1265),ROUND($AG1265,2),0))</f>
        <v/>
      </c>
      <c r="M1265" s="18">
        <f>IF($Z1265="","",IF(AND(DATE($AD1265,4,1)&gt;=$AE1265,DATE($AD1265,4,1)&lt;=$AF1265),ROUND($AG1265,2),0))</f>
        <v/>
      </c>
      <c r="N1265" s="18">
        <f>IF($Z1265="","",IF(AND(DATE($AD1265,5,1)&gt;=$AE1265,DATE($AD1265,5,1)&lt;=$AF1265),ROUND($AG1265,2),0))</f>
        <v/>
      </c>
      <c r="O1265" s="18">
        <f>IF($Z1265="","",IF(AND(DATE($AD1265,6,1)&gt;=$AE1265,DATE($AD1265,6,1)&lt;=$AF1265),ROUND($AG1265,2),0))</f>
        <v/>
      </c>
      <c r="P1265" s="18">
        <f>IF($Z1265="","",IF(AND(DATE($AD1265,7,1)&gt;=$AE1265,DATE($AD1265,7,1)&lt;=$AF1265),ROUND($AG1265,2),0))</f>
        <v/>
      </c>
      <c r="Q1265" s="18">
        <f>IF($Z1265="","",IF(AND(DATE($AD1265,8,1)&gt;=$AE1265,DATE($AD1265,8,1)&lt;=$AF1265),ROUND($AG1265,2),0))</f>
        <v/>
      </c>
      <c r="R1265" s="18">
        <f>IF($Z1265="","",IF(AND(DATE($AD1265,9,1)&gt;=$AE1265,DATE($AD1265,9,1)&lt;=$AF1265),ROUND($AG1265,2),0))</f>
        <v/>
      </c>
      <c r="S1265" s="18">
        <f>IF($Z1265="","",IF(AND(DATE($AD1265,10,1)&gt;=$AE1265,DATE($AD1265,10,1)&lt;=$AF1265),ROUND($AG1265,2),0))</f>
        <v/>
      </c>
      <c r="T1265" s="18">
        <f>IF($Z1265="","",IF(AND(DATE($AD1265,11,1)&gt;=$AE1265,DATE($AD1265,11,1)&lt;=$AF1265),ROUND($AG1265,2),0))</f>
        <v/>
      </c>
      <c r="U1265" s="18">
        <f>IF($Z1265="","",IF(AND(DATE($AD1265,12,1)&gt;=$AE1265,DATE($AD1265,12,1)&lt;=$AF1265),ROUND($AG1265,2),0))</f>
        <v/>
      </c>
      <c r="V1265" s="7">
        <f>IF($Z1265="C","Generated from "&amp;INDEX(Contracts!$A$2:$A$151,$AB1265),IF($Z1265="A","Generated from "&amp;INDEX(Fixed_Assets!$A$2:$A$201,$AB1265),IF($Z1265="F","Generated from "&amp;INDEX(FTE_Allocation!$A$2:$A$201,$AB1265),"")))</f>
        <v/>
      </c>
      <c r="X1265" s="19">
        <f>IF($Z1265="","",SUM(J1265:U1265))</f>
        <v/>
      </c>
      <c r="Y1265" s="20">
        <f>ROW()-1</f>
        <v/>
      </c>
      <c r="Z1265" s="20">
        <f>IF($Y1265&lt;=Settings!$B$4*3,"C",IF($Y1265&lt;=(Settings!$B$4+Settings!$B$5)*3,"A",IF($Y1265&lt;=(Settings!$B$4+Settings!$B$5+Settings!$B$6)*3,"F","")))</f>
        <v/>
      </c>
      <c r="AA1265" s="20">
        <f>IF($Z1265="C",$Y1265,IF($Z1265="A",$Y1265-Settings!$B$4*3,IF($Z1265="F",$Y1265-(Settings!$B$4+Settings!$B$5)*3,"")))</f>
        <v/>
      </c>
      <c r="AB1265" s="20">
        <f>IF($Z1265="","",INT(($AA1265-1)/3)+1)</f>
        <v/>
      </c>
      <c r="AC1265" s="20">
        <f>IF($Z1265="","",MOD($AA1265-1,3)+1)</f>
        <v/>
      </c>
      <c r="AD1265" s="20">
        <f>IF($Z1265="","",Settings!$B$2+$AC1265-1)</f>
        <v/>
      </c>
      <c r="AE1265" s="21">
        <f>IF($Z1265="C",DATE(YEAR(INDEX(Contracts!$J$2:$J$151,$AB1265)),MONTH(INDEX(Contracts!$J$2:$J$151,$AB1265)),1),IF($Z1265="A",DATE(YEAR(INDEX(Fixed_Assets!$G$2:$G$201,$AB1265)),MONTH(INDEX(Fixed_Assets!$G$2:$G$201,$AB1265)),1),IF($Z1265="F",DATE(YEAR(MAX(N(INDEX(Workforce!$I$2:$I$151,MATCH(INDEX(FTE_Allocation!$A$2:$A$201,$AB1265),Workforce!$A$2:$A$151,0))),N(INDEX(FTE_Allocation!$I$2:$I$201,$AB1265)))),MONTH(MAX(N(INDEX(Workforce!$I$2:$I$151,MATCH(INDEX(FTE_Allocation!$A$2:$A$201,$AB1265),Workforce!$A$2:$A$151,0))),N(INDEX(FTE_Allocation!$I$2:$I$201,$AB1265)))),1),"")))</f>
        <v/>
      </c>
      <c r="AF1265" s="21">
        <f>IF($Z1265="C",IF(INDEX(Contracts!$I$2:$I$151,$AB1265)="PREPAID",EDATE(DATE(YEAR(INDEX(Contracts!$J$2:$J$151,$AB1265)),MONTH(INDEX(Contracts!$J$2:$J$151,$AB1265)),1),IF(INDEX(Contracts!$N$2:$N$151,$AB1265)="",12,INDEX(Contracts!$N$2:$N$151,$AB1265))-1),IF(INDEX(Contracts!$I$2:$I$151,$AB1265)="MONTHLY",IF(INDEX(Contracts!$K$2:$K$151,$AB1265)="",2958101,INDEX(Contracts!$K$2:$K$151,$AB1265)),0)),IF($Z1265="A",EDATE(DATE(YEAR(INDEX(Fixed_Assets!$G$2:$G$201,$AB1265)),MONTH(INDEX(Fixed_Assets!$G$2:$G$201,$AB1265)),1),INDEX(Fixed_Assets!$J$2:$J$201,$AB1265)-1),IF($Z1265="F",MIN(IF(INDEX(Workforce!$J$2:$J$151,MATCH(INDEX(FTE_Allocation!$A$2:$A$201,$AB1265),Workforce!$A$2:$A$151,0))="",2958101,INDEX(Workforce!$J$2:$J$151,MATCH(INDEX(FTE_Allocation!$A$2:$A$201,$AB1265),Workforce!$A$2:$A$151,0))),IF(INDEX(FTE_Allocation!$J$2:$J$201,$AB1265)="",2958101,INDEX(FTE_Allocation!$J$2:$J$201,$AB1265))),"")))</f>
        <v/>
      </c>
      <c r="AG1265" s="19">
        <f>IF($Z1265="C",IF(INDEX(Contracts!$I$2:$I$151,$AB1265)="PREPAID",INDEX(Contracts!$M$2:$M$151,$AB1265)/IF(INDEX(Contracts!$N$2:$N$151,$AB1265)="",12,INDEX(Contracts!$N$2:$N$151,$AB1265)),IF(INDEX(Contracts!$I$2:$I$151,$AB1265)="MONTHLY",INDEX(Contracts!$M$2:$M$151,$AB1265),0))*(1-N(INDEX(Contracts!$O$2:$O$151,$AB1265))),IF($Z1265="A",INDEX(Fixed_Assets!$H$2:$H$201,$AB1265)/INDEX(Fixed_Assets!$J$2:$J$201,$AB1265),IF($Z1265="F",INDEX(Workforce!$F$2:$F$151,MATCH(INDEX(FTE_Allocation!$A$2:$A$201,$AB1265),Workforce!$A$2:$A$151,0))*N(INDEX(FTE_Allocation!$F$2:$H$201,$AB1265,$AC1265)),"")))</f>
        <v/>
      </c>
    </row>
    <row r="1266">
      <c r="A1266" s="7">
        <f>IF($Z1266="","",$AD1266)</f>
        <v/>
      </c>
      <c r="B1266" s="7">
        <f>IF($Z1266="C",INDEX(Contracts!$D$2:$D$151,$AB1266)&amp;"",IF($Z1266="A",INDEX(Fixed_Assets!$C$2:$C$201,$AB1266)&amp;"",IF($Z1266="F",INDEX(Workforce!$B$2:$B$151,MATCH(INDEX(FTE_Allocation!$A$2:$A$201,$AB1266),Workforce!$A$2:$A$151,0))&amp;"","")))</f>
        <v/>
      </c>
      <c r="C1266" s="7">
        <f>IF($Z1266="C",INDEX(Contracts!$E$2:$E$151,$AB1266)&amp;"",IF($Z1266="A",INDEX(Fixed_Assets!$D$2:$D$201,$AB1266)&amp;"",IF($Z1266="F",INDEX(FTE_Allocation!$C$2:$C$201,$AB1266)&amp;"","")))</f>
        <v/>
      </c>
      <c r="D1266" s="7">
        <f>IF($Z1266="C",INDEX(Contracts!$B$2:$B$151,$AB1266)&amp;"",IF($Z1266="A",INDEX(Fixed_Assets!$B$2:$B$201,$AB1266)&amp;"",IF($Z1266="F",INDEX(FTE_Allocation!$B$2:$B$201,$AB1266)&amp;"","")))</f>
        <v/>
      </c>
      <c r="E1266" s="7">
        <f>IF($Z1266="C",INDEX(Contracts!$P$2:$P$151,$AB1266)&amp;"",IF($Z1266="A",INDEX(Fixed_Assets!$K$2:$K$201,$AB1266)&amp;"",IF($Z1266="F",IF(INDEX(FTE_Allocation!$D$2:$D$201,$AB1266)="PROJECT",IFERROR(INDEX(Projects!$D:$D,MATCH(INDEX(FTE_Allocation!$E$2:$E$201,$AB1266),Projects!$A:$A,0))&amp;"","#PROJECT?"),INDEX(FTE_Allocation!$E$2:$E$201,$AB1266)&amp;""),"")))</f>
        <v/>
      </c>
      <c r="F1266" s="7">
        <f>IF($Z1266="C",INDEX(Contracts!$Q$2:$Q$151,$AB1266)&amp;"",IF($Z1266="A",INDEX(Fixed_Assets!$L$2:$L$201,$AB1266)&amp;"",IF($Z1266="F",INDEX(Workforce!$K$2:$K$151,MATCH(INDEX(FTE_Allocation!$A$2:$A$201,$AB1266),Workforce!$A$2:$A$151,0))&amp;"","")))</f>
        <v/>
      </c>
      <c r="G1266" s="7">
        <f>IF($Z1266="C",INDEX(Contracts!$F$2:$F$151,$AB1266)&amp;" / "&amp;INDEX(Contracts!$G$2:$G$151,$AB1266),IF($Z1266="A",INDEX(Fixed_Assets!$E$2:$E$201,$AB1266)&amp;"",IF($Z1266="F","Personnel "&amp;INDEX(FTE_Allocation!$A$2:$A$201,$AB1266)&amp;IF(INDEX(FTE_Allocation!$D$2:$D$201,$AB1266)="PROJECT"," ("&amp;INDEX(FTE_Allocation!$E$2:$E$201,$AB1266)&amp;")",""),"")))</f>
        <v/>
      </c>
      <c r="H1266" s="7">
        <f>IF($Z1266="C","CONTRACT",IF($Z1266="A","ASSET",IF($Z1266="F","WORKFORCE","")))</f>
        <v/>
      </c>
      <c r="I1266" s="7">
        <f>IF($Z1266="C",INDEX(Contracts!$L$2:$L$151,$AB1266)&amp;"",IF($Z1266="A",INDEX(Fixed_Assets!$I$2:$I$201,$AB1266)&amp;"",IF($Z1266="F",INDEX(Workforce!$G$2:$G$151,MATCH(INDEX(FTE_Allocation!$A$2:$A$201,$AB1266),Workforce!$A$2:$A$151,0))&amp;"","")))</f>
        <v/>
      </c>
      <c r="J1266" s="18">
        <f>IF($Z1266="","",IF(AND(DATE($AD1266,1,1)&gt;=$AE1266,DATE($AD1266,1,1)&lt;=$AF1266),ROUND($AG1266,2),0))</f>
        <v/>
      </c>
      <c r="K1266" s="18">
        <f>IF($Z1266="","",IF(AND(DATE($AD1266,2,1)&gt;=$AE1266,DATE($AD1266,2,1)&lt;=$AF1266),ROUND($AG1266,2),0))</f>
        <v/>
      </c>
      <c r="L1266" s="18">
        <f>IF($Z1266="","",IF(AND(DATE($AD1266,3,1)&gt;=$AE1266,DATE($AD1266,3,1)&lt;=$AF1266),ROUND($AG1266,2),0))</f>
        <v/>
      </c>
      <c r="M1266" s="18">
        <f>IF($Z1266="","",IF(AND(DATE($AD1266,4,1)&gt;=$AE1266,DATE($AD1266,4,1)&lt;=$AF1266),ROUND($AG1266,2),0))</f>
        <v/>
      </c>
      <c r="N1266" s="18">
        <f>IF($Z1266="","",IF(AND(DATE($AD1266,5,1)&gt;=$AE1266,DATE($AD1266,5,1)&lt;=$AF1266),ROUND($AG1266,2),0))</f>
        <v/>
      </c>
      <c r="O1266" s="18">
        <f>IF($Z1266="","",IF(AND(DATE($AD1266,6,1)&gt;=$AE1266,DATE($AD1266,6,1)&lt;=$AF1266),ROUND($AG1266,2),0))</f>
        <v/>
      </c>
      <c r="P1266" s="18">
        <f>IF($Z1266="","",IF(AND(DATE($AD1266,7,1)&gt;=$AE1266,DATE($AD1266,7,1)&lt;=$AF1266),ROUND($AG1266,2),0))</f>
        <v/>
      </c>
      <c r="Q1266" s="18">
        <f>IF($Z1266="","",IF(AND(DATE($AD1266,8,1)&gt;=$AE1266,DATE($AD1266,8,1)&lt;=$AF1266),ROUND($AG1266,2),0))</f>
        <v/>
      </c>
      <c r="R1266" s="18">
        <f>IF($Z1266="","",IF(AND(DATE($AD1266,9,1)&gt;=$AE1266,DATE($AD1266,9,1)&lt;=$AF1266),ROUND($AG1266,2),0))</f>
        <v/>
      </c>
      <c r="S1266" s="18">
        <f>IF($Z1266="","",IF(AND(DATE($AD1266,10,1)&gt;=$AE1266,DATE($AD1266,10,1)&lt;=$AF1266),ROUND($AG1266,2),0))</f>
        <v/>
      </c>
      <c r="T1266" s="18">
        <f>IF($Z1266="","",IF(AND(DATE($AD1266,11,1)&gt;=$AE1266,DATE($AD1266,11,1)&lt;=$AF1266),ROUND($AG1266,2),0))</f>
        <v/>
      </c>
      <c r="U1266" s="18">
        <f>IF($Z1266="","",IF(AND(DATE($AD1266,12,1)&gt;=$AE1266,DATE($AD1266,12,1)&lt;=$AF1266),ROUND($AG1266,2),0))</f>
        <v/>
      </c>
      <c r="V1266" s="7">
        <f>IF($Z1266="C","Generated from "&amp;INDEX(Contracts!$A$2:$A$151,$AB1266),IF($Z1266="A","Generated from "&amp;INDEX(Fixed_Assets!$A$2:$A$201,$AB1266),IF($Z1266="F","Generated from "&amp;INDEX(FTE_Allocation!$A$2:$A$201,$AB1266),"")))</f>
        <v/>
      </c>
      <c r="X1266" s="19">
        <f>IF($Z1266="","",SUM(J1266:U1266))</f>
        <v/>
      </c>
      <c r="Y1266" s="20">
        <f>ROW()-1</f>
        <v/>
      </c>
      <c r="Z1266" s="20">
        <f>IF($Y1266&lt;=Settings!$B$4*3,"C",IF($Y1266&lt;=(Settings!$B$4+Settings!$B$5)*3,"A",IF($Y1266&lt;=(Settings!$B$4+Settings!$B$5+Settings!$B$6)*3,"F","")))</f>
        <v/>
      </c>
      <c r="AA1266" s="20">
        <f>IF($Z1266="C",$Y1266,IF($Z1266="A",$Y1266-Settings!$B$4*3,IF($Z1266="F",$Y1266-(Settings!$B$4+Settings!$B$5)*3,"")))</f>
        <v/>
      </c>
      <c r="AB1266" s="20">
        <f>IF($Z1266="","",INT(($AA1266-1)/3)+1)</f>
        <v/>
      </c>
      <c r="AC1266" s="20">
        <f>IF($Z1266="","",MOD($AA1266-1,3)+1)</f>
        <v/>
      </c>
      <c r="AD1266" s="20">
        <f>IF($Z1266="","",Settings!$B$2+$AC1266-1)</f>
        <v/>
      </c>
      <c r="AE1266" s="21">
        <f>IF($Z1266="C",DATE(YEAR(INDEX(Contracts!$J$2:$J$151,$AB1266)),MONTH(INDEX(Contracts!$J$2:$J$151,$AB1266)),1),IF($Z1266="A",DATE(YEAR(INDEX(Fixed_Assets!$G$2:$G$201,$AB1266)),MONTH(INDEX(Fixed_Assets!$G$2:$G$201,$AB1266)),1),IF($Z1266="F",DATE(YEAR(MAX(N(INDEX(Workforce!$I$2:$I$151,MATCH(INDEX(FTE_Allocation!$A$2:$A$201,$AB1266),Workforce!$A$2:$A$151,0))),N(INDEX(FTE_Allocation!$I$2:$I$201,$AB1266)))),MONTH(MAX(N(INDEX(Workforce!$I$2:$I$151,MATCH(INDEX(FTE_Allocation!$A$2:$A$201,$AB1266),Workforce!$A$2:$A$151,0))),N(INDEX(FTE_Allocation!$I$2:$I$201,$AB1266)))),1),"")))</f>
        <v/>
      </c>
      <c r="AF1266" s="21">
        <f>IF($Z1266="C",IF(INDEX(Contracts!$I$2:$I$151,$AB1266)="PREPAID",EDATE(DATE(YEAR(INDEX(Contracts!$J$2:$J$151,$AB1266)),MONTH(INDEX(Contracts!$J$2:$J$151,$AB1266)),1),IF(INDEX(Contracts!$N$2:$N$151,$AB1266)="",12,INDEX(Contracts!$N$2:$N$151,$AB1266))-1),IF(INDEX(Contracts!$I$2:$I$151,$AB1266)="MONTHLY",IF(INDEX(Contracts!$K$2:$K$151,$AB1266)="",2958101,INDEX(Contracts!$K$2:$K$151,$AB1266)),0)),IF($Z1266="A",EDATE(DATE(YEAR(INDEX(Fixed_Assets!$G$2:$G$201,$AB1266)),MONTH(INDEX(Fixed_Assets!$G$2:$G$201,$AB1266)),1),INDEX(Fixed_Assets!$J$2:$J$201,$AB1266)-1),IF($Z1266="F",MIN(IF(INDEX(Workforce!$J$2:$J$151,MATCH(INDEX(FTE_Allocation!$A$2:$A$201,$AB1266),Workforce!$A$2:$A$151,0))="",2958101,INDEX(Workforce!$J$2:$J$151,MATCH(INDEX(FTE_Allocation!$A$2:$A$201,$AB1266),Workforce!$A$2:$A$151,0))),IF(INDEX(FTE_Allocation!$J$2:$J$201,$AB1266)="",2958101,INDEX(FTE_Allocation!$J$2:$J$201,$AB1266))),"")))</f>
        <v/>
      </c>
      <c r="AG1266" s="19">
        <f>IF($Z1266="C",IF(INDEX(Contracts!$I$2:$I$151,$AB1266)="PREPAID",INDEX(Contracts!$M$2:$M$151,$AB1266)/IF(INDEX(Contracts!$N$2:$N$151,$AB1266)="",12,INDEX(Contracts!$N$2:$N$151,$AB1266)),IF(INDEX(Contracts!$I$2:$I$151,$AB1266)="MONTHLY",INDEX(Contracts!$M$2:$M$151,$AB1266),0))*(1-N(INDEX(Contracts!$O$2:$O$151,$AB1266))),IF($Z1266="A",INDEX(Fixed_Assets!$H$2:$H$201,$AB1266)/INDEX(Fixed_Assets!$J$2:$J$201,$AB1266),IF($Z1266="F",INDEX(Workforce!$F$2:$F$151,MATCH(INDEX(FTE_Allocation!$A$2:$A$201,$AB1266),Workforce!$A$2:$A$151,0))*N(INDEX(FTE_Allocation!$F$2:$H$201,$AB1266,$AC1266)),"")))</f>
        <v/>
      </c>
    </row>
    <row r="1267">
      <c r="A1267" s="7">
        <f>IF($Z1267="","",$AD1267)</f>
        <v/>
      </c>
      <c r="B1267" s="7">
        <f>IF($Z1267="C",INDEX(Contracts!$D$2:$D$151,$AB1267)&amp;"",IF($Z1267="A",INDEX(Fixed_Assets!$C$2:$C$201,$AB1267)&amp;"",IF($Z1267="F",INDEX(Workforce!$B$2:$B$151,MATCH(INDEX(FTE_Allocation!$A$2:$A$201,$AB1267),Workforce!$A$2:$A$151,0))&amp;"","")))</f>
        <v/>
      </c>
      <c r="C1267" s="7">
        <f>IF($Z1267="C",INDEX(Contracts!$E$2:$E$151,$AB1267)&amp;"",IF($Z1267="A",INDEX(Fixed_Assets!$D$2:$D$201,$AB1267)&amp;"",IF($Z1267="F",INDEX(FTE_Allocation!$C$2:$C$201,$AB1267)&amp;"","")))</f>
        <v/>
      </c>
      <c r="D1267" s="7">
        <f>IF($Z1267="C",INDEX(Contracts!$B$2:$B$151,$AB1267)&amp;"",IF($Z1267="A",INDEX(Fixed_Assets!$B$2:$B$201,$AB1267)&amp;"",IF($Z1267="F",INDEX(FTE_Allocation!$B$2:$B$201,$AB1267)&amp;"","")))</f>
        <v/>
      </c>
      <c r="E1267" s="7">
        <f>IF($Z1267="C",INDEX(Contracts!$P$2:$P$151,$AB1267)&amp;"",IF($Z1267="A",INDEX(Fixed_Assets!$K$2:$K$201,$AB1267)&amp;"",IF($Z1267="F",IF(INDEX(FTE_Allocation!$D$2:$D$201,$AB1267)="PROJECT",IFERROR(INDEX(Projects!$D:$D,MATCH(INDEX(FTE_Allocation!$E$2:$E$201,$AB1267),Projects!$A:$A,0))&amp;"","#PROJECT?"),INDEX(FTE_Allocation!$E$2:$E$201,$AB1267)&amp;""),"")))</f>
        <v/>
      </c>
      <c r="F1267" s="7">
        <f>IF($Z1267="C",INDEX(Contracts!$Q$2:$Q$151,$AB1267)&amp;"",IF($Z1267="A",INDEX(Fixed_Assets!$L$2:$L$201,$AB1267)&amp;"",IF($Z1267="F",INDEX(Workforce!$K$2:$K$151,MATCH(INDEX(FTE_Allocation!$A$2:$A$201,$AB1267),Workforce!$A$2:$A$151,0))&amp;"","")))</f>
        <v/>
      </c>
      <c r="G1267" s="7">
        <f>IF($Z1267="C",INDEX(Contracts!$F$2:$F$151,$AB1267)&amp;" / "&amp;INDEX(Contracts!$G$2:$G$151,$AB1267),IF($Z1267="A",INDEX(Fixed_Assets!$E$2:$E$201,$AB1267)&amp;"",IF($Z1267="F","Personnel "&amp;INDEX(FTE_Allocation!$A$2:$A$201,$AB1267)&amp;IF(INDEX(FTE_Allocation!$D$2:$D$201,$AB1267)="PROJECT"," ("&amp;INDEX(FTE_Allocation!$E$2:$E$201,$AB1267)&amp;")",""),"")))</f>
        <v/>
      </c>
      <c r="H1267" s="7">
        <f>IF($Z1267="C","CONTRACT",IF($Z1267="A","ASSET",IF($Z1267="F","WORKFORCE","")))</f>
        <v/>
      </c>
      <c r="I1267" s="7">
        <f>IF($Z1267="C",INDEX(Contracts!$L$2:$L$151,$AB1267)&amp;"",IF($Z1267="A",INDEX(Fixed_Assets!$I$2:$I$201,$AB1267)&amp;"",IF($Z1267="F",INDEX(Workforce!$G$2:$G$151,MATCH(INDEX(FTE_Allocation!$A$2:$A$201,$AB1267),Workforce!$A$2:$A$151,0))&amp;"","")))</f>
        <v/>
      </c>
      <c r="J1267" s="18">
        <f>IF($Z1267="","",IF(AND(DATE($AD1267,1,1)&gt;=$AE1267,DATE($AD1267,1,1)&lt;=$AF1267),ROUND($AG1267,2),0))</f>
        <v/>
      </c>
      <c r="K1267" s="18">
        <f>IF($Z1267="","",IF(AND(DATE($AD1267,2,1)&gt;=$AE1267,DATE($AD1267,2,1)&lt;=$AF1267),ROUND($AG1267,2),0))</f>
        <v/>
      </c>
      <c r="L1267" s="18">
        <f>IF($Z1267="","",IF(AND(DATE($AD1267,3,1)&gt;=$AE1267,DATE($AD1267,3,1)&lt;=$AF1267),ROUND($AG1267,2),0))</f>
        <v/>
      </c>
      <c r="M1267" s="18">
        <f>IF($Z1267="","",IF(AND(DATE($AD1267,4,1)&gt;=$AE1267,DATE($AD1267,4,1)&lt;=$AF1267),ROUND($AG1267,2),0))</f>
        <v/>
      </c>
      <c r="N1267" s="18">
        <f>IF($Z1267="","",IF(AND(DATE($AD1267,5,1)&gt;=$AE1267,DATE($AD1267,5,1)&lt;=$AF1267),ROUND($AG1267,2),0))</f>
        <v/>
      </c>
      <c r="O1267" s="18">
        <f>IF($Z1267="","",IF(AND(DATE($AD1267,6,1)&gt;=$AE1267,DATE($AD1267,6,1)&lt;=$AF1267),ROUND($AG1267,2),0))</f>
        <v/>
      </c>
      <c r="P1267" s="18">
        <f>IF($Z1267="","",IF(AND(DATE($AD1267,7,1)&gt;=$AE1267,DATE($AD1267,7,1)&lt;=$AF1267),ROUND($AG1267,2),0))</f>
        <v/>
      </c>
      <c r="Q1267" s="18">
        <f>IF($Z1267="","",IF(AND(DATE($AD1267,8,1)&gt;=$AE1267,DATE($AD1267,8,1)&lt;=$AF1267),ROUND($AG1267,2),0))</f>
        <v/>
      </c>
      <c r="R1267" s="18">
        <f>IF($Z1267="","",IF(AND(DATE($AD1267,9,1)&gt;=$AE1267,DATE($AD1267,9,1)&lt;=$AF1267),ROUND($AG1267,2),0))</f>
        <v/>
      </c>
      <c r="S1267" s="18">
        <f>IF($Z1267="","",IF(AND(DATE($AD1267,10,1)&gt;=$AE1267,DATE($AD1267,10,1)&lt;=$AF1267),ROUND($AG1267,2),0))</f>
        <v/>
      </c>
      <c r="T1267" s="18">
        <f>IF($Z1267="","",IF(AND(DATE($AD1267,11,1)&gt;=$AE1267,DATE($AD1267,11,1)&lt;=$AF1267),ROUND($AG1267,2),0))</f>
        <v/>
      </c>
      <c r="U1267" s="18">
        <f>IF($Z1267="","",IF(AND(DATE($AD1267,12,1)&gt;=$AE1267,DATE($AD1267,12,1)&lt;=$AF1267),ROUND($AG1267,2),0))</f>
        <v/>
      </c>
      <c r="V1267" s="7">
        <f>IF($Z1267="C","Generated from "&amp;INDEX(Contracts!$A$2:$A$151,$AB1267),IF($Z1267="A","Generated from "&amp;INDEX(Fixed_Assets!$A$2:$A$201,$AB1267),IF($Z1267="F","Generated from "&amp;INDEX(FTE_Allocation!$A$2:$A$201,$AB1267),"")))</f>
        <v/>
      </c>
      <c r="X1267" s="19">
        <f>IF($Z1267="","",SUM(J1267:U1267))</f>
        <v/>
      </c>
      <c r="Y1267" s="20">
        <f>ROW()-1</f>
        <v/>
      </c>
      <c r="Z1267" s="20">
        <f>IF($Y1267&lt;=Settings!$B$4*3,"C",IF($Y1267&lt;=(Settings!$B$4+Settings!$B$5)*3,"A",IF($Y1267&lt;=(Settings!$B$4+Settings!$B$5+Settings!$B$6)*3,"F","")))</f>
        <v/>
      </c>
      <c r="AA1267" s="20">
        <f>IF($Z1267="C",$Y1267,IF($Z1267="A",$Y1267-Settings!$B$4*3,IF($Z1267="F",$Y1267-(Settings!$B$4+Settings!$B$5)*3,"")))</f>
        <v/>
      </c>
      <c r="AB1267" s="20">
        <f>IF($Z1267="","",INT(($AA1267-1)/3)+1)</f>
        <v/>
      </c>
      <c r="AC1267" s="20">
        <f>IF($Z1267="","",MOD($AA1267-1,3)+1)</f>
        <v/>
      </c>
      <c r="AD1267" s="20">
        <f>IF($Z1267="","",Settings!$B$2+$AC1267-1)</f>
        <v/>
      </c>
      <c r="AE1267" s="21">
        <f>IF($Z1267="C",DATE(YEAR(INDEX(Contracts!$J$2:$J$151,$AB1267)),MONTH(INDEX(Contracts!$J$2:$J$151,$AB1267)),1),IF($Z1267="A",DATE(YEAR(INDEX(Fixed_Assets!$G$2:$G$201,$AB1267)),MONTH(INDEX(Fixed_Assets!$G$2:$G$201,$AB1267)),1),IF($Z1267="F",DATE(YEAR(MAX(N(INDEX(Workforce!$I$2:$I$151,MATCH(INDEX(FTE_Allocation!$A$2:$A$201,$AB1267),Workforce!$A$2:$A$151,0))),N(INDEX(FTE_Allocation!$I$2:$I$201,$AB1267)))),MONTH(MAX(N(INDEX(Workforce!$I$2:$I$151,MATCH(INDEX(FTE_Allocation!$A$2:$A$201,$AB1267),Workforce!$A$2:$A$151,0))),N(INDEX(FTE_Allocation!$I$2:$I$201,$AB1267)))),1),"")))</f>
        <v/>
      </c>
      <c r="AF1267" s="21">
        <f>IF($Z1267="C",IF(INDEX(Contracts!$I$2:$I$151,$AB1267)="PREPAID",EDATE(DATE(YEAR(INDEX(Contracts!$J$2:$J$151,$AB1267)),MONTH(INDEX(Contracts!$J$2:$J$151,$AB1267)),1),IF(INDEX(Contracts!$N$2:$N$151,$AB1267)="",12,INDEX(Contracts!$N$2:$N$151,$AB1267))-1),IF(INDEX(Contracts!$I$2:$I$151,$AB1267)="MONTHLY",IF(INDEX(Contracts!$K$2:$K$151,$AB1267)="",2958101,INDEX(Contracts!$K$2:$K$151,$AB1267)),0)),IF($Z1267="A",EDATE(DATE(YEAR(INDEX(Fixed_Assets!$G$2:$G$201,$AB1267)),MONTH(INDEX(Fixed_Assets!$G$2:$G$201,$AB1267)),1),INDEX(Fixed_Assets!$J$2:$J$201,$AB1267)-1),IF($Z1267="F",MIN(IF(INDEX(Workforce!$J$2:$J$151,MATCH(INDEX(FTE_Allocation!$A$2:$A$201,$AB1267),Workforce!$A$2:$A$151,0))="",2958101,INDEX(Workforce!$J$2:$J$151,MATCH(INDEX(FTE_Allocation!$A$2:$A$201,$AB1267),Workforce!$A$2:$A$151,0))),IF(INDEX(FTE_Allocation!$J$2:$J$201,$AB1267)="",2958101,INDEX(FTE_Allocation!$J$2:$J$201,$AB1267))),"")))</f>
        <v/>
      </c>
      <c r="AG1267" s="19">
        <f>IF($Z1267="C",IF(INDEX(Contracts!$I$2:$I$151,$AB1267)="PREPAID",INDEX(Contracts!$M$2:$M$151,$AB1267)/IF(INDEX(Contracts!$N$2:$N$151,$AB1267)="",12,INDEX(Contracts!$N$2:$N$151,$AB1267)),IF(INDEX(Contracts!$I$2:$I$151,$AB1267)="MONTHLY",INDEX(Contracts!$M$2:$M$151,$AB1267),0))*(1-N(INDEX(Contracts!$O$2:$O$151,$AB1267))),IF($Z1267="A",INDEX(Fixed_Assets!$H$2:$H$201,$AB1267)/INDEX(Fixed_Assets!$J$2:$J$201,$AB1267),IF($Z1267="F",INDEX(Workforce!$F$2:$F$151,MATCH(INDEX(FTE_Allocation!$A$2:$A$201,$AB1267),Workforce!$A$2:$A$151,0))*N(INDEX(FTE_Allocation!$F$2:$H$201,$AB1267,$AC1267)),"")))</f>
        <v/>
      </c>
    </row>
    <row r="1268">
      <c r="A1268" s="7">
        <f>IF($Z1268="","",$AD1268)</f>
        <v/>
      </c>
      <c r="B1268" s="7">
        <f>IF($Z1268="C",INDEX(Contracts!$D$2:$D$151,$AB1268)&amp;"",IF($Z1268="A",INDEX(Fixed_Assets!$C$2:$C$201,$AB1268)&amp;"",IF($Z1268="F",INDEX(Workforce!$B$2:$B$151,MATCH(INDEX(FTE_Allocation!$A$2:$A$201,$AB1268),Workforce!$A$2:$A$151,0))&amp;"","")))</f>
        <v/>
      </c>
      <c r="C1268" s="7">
        <f>IF($Z1268="C",INDEX(Contracts!$E$2:$E$151,$AB1268)&amp;"",IF($Z1268="A",INDEX(Fixed_Assets!$D$2:$D$201,$AB1268)&amp;"",IF($Z1268="F",INDEX(FTE_Allocation!$C$2:$C$201,$AB1268)&amp;"","")))</f>
        <v/>
      </c>
      <c r="D1268" s="7">
        <f>IF($Z1268="C",INDEX(Contracts!$B$2:$B$151,$AB1268)&amp;"",IF($Z1268="A",INDEX(Fixed_Assets!$B$2:$B$201,$AB1268)&amp;"",IF($Z1268="F",INDEX(FTE_Allocation!$B$2:$B$201,$AB1268)&amp;"","")))</f>
        <v/>
      </c>
      <c r="E1268" s="7">
        <f>IF($Z1268="C",INDEX(Contracts!$P$2:$P$151,$AB1268)&amp;"",IF($Z1268="A",INDEX(Fixed_Assets!$K$2:$K$201,$AB1268)&amp;"",IF($Z1268="F",IF(INDEX(FTE_Allocation!$D$2:$D$201,$AB1268)="PROJECT",IFERROR(INDEX(Projects!$D:$D,MATCH(INDEX(FTE_Allocation!$E$2:$E$201,$AB1268),Projects!$A:$A,0))&amp;"","#PROJECT?"),INDEX(FTE_Allocation!$E$2:$E$201,$AB1268)&amp;""),"")))</f>
        <v/>
      </c>
      <c r="F1268" s="7">
        <f>IF($Z1268="C",INDEX(Contracts!$Q$2:$Q$151,$AB1268)&amp;"",IF($Z1268="A",INDEX(Fixed_Assets!$L$2:$L$201,$AB1268)&amp;"",IF($Z1268="F",INDEX(Workforce!$K$2:$K$151,MATCH(INDEX(FTE_Allocation!$A$2:$A$201,$AB1268),Workforce!$A$2:$A$151,0))&amp;"","")))</f>
        <v/>
      </c>
      <c r="G1268" s="7">
        <f>IF($Z1268="C",INDEX(Contracts!$F$2:$F$151,$AB1268)&amp;" / "&amp;INDEX(Contracts!$G$2:$G$151,$AB1268),IF($Z1268="A",INDEX(Fixed_Assets!$E$2:$E$201,$AB1268)&amp;"",IF($Z1268="F","Personnel "&amp;INDEX(FTE_Allocation!$A$2:$A$201,$AB1268)&amp;IF(INDEX(FTE_Allocation!$D$2:$D$201,$AB1268)="PROJECT"," ("&amp;INDEX(FTE_Allocation!$E$2:$E$201,$AB1268)&amp;")",""),"")))</f>
        <v/>
      </c>
      <c r="H1268" s="7">
        <f>IF($Z1268="C","CONTRACT",IF($Z1268="A","ASSET",IF($Z1268="F","WORKFORCE","")))</f>
        <v/>
      </c>
      <c r="I1268" s="7">
        <f>IF($Z1268="C",INDEX(Contracts!$L$2:$L$151,$AB1268)&amp;"",IF($Z1268="A",INDEX(Fixed_Assets!$I$2:$I$201,$AB1268)&amp;"",IF($Z1268="F",INDEX(Workforce!$G$2:$G$151,MATCH(INDEX(FTE_Allocation!$A$2:$A$201,$AB1268),Workforce!$A$2:$A$151,0))&amp;"","")))</f>
        <v/>
      </c>
      <c r="J1268" s="18">
        <f>IF($Z1268="","",IF(AND(DATE($AD1268,1,1)&gt;=$AE1268,DATE($AD1268,1,1)&lt;=$AF1268),ROUND($AG1268,2),0))</f>
        <v/>
      </c>
      <c r="K1268" s="18">
        <f>IF($Z1268="","",IF(AND(DATE($AD1268,2,1)&gt;=$AE1268,DATE($AD1268,2,1)&lt;=$AF1268),ROUND($AG1268,2),0))</f>
        <v/>
      </c>
      <c r="L1268" s="18">
        <f>IF($Z1268="","",IF(AND(DATE($AD1268,3,1)&gt;=$AE1268,DATE($AD1268,3,1)&lt;=$AF1268),ROUND($AG1268,2),0))</f>
        <v/>
      </c>
      <c r="M1268" s="18">
        <f>IF($Z1268="","",IF(AND(DATE($AD1268,4,1)&gt;=$AE1268,DATE($AD1268,4,1)&lt;=$AF1268),ROUND($AG1268,2),0))</f>
        <v/>
      </c>
      <c r="N1268" s="18">
        <f>IF($Z1268="","",IF(AND(DATE($AD1268,5,1)&gt;=$AE1268,DATE($AD1268,5,1)&lt;=$AF1268),ROUND($AG1268,2),0))</f>
        <v/>
      </c>
      <c r="O1268" s="18">
        <f>IF($Z1268="","",IF(AND(DATE($AD1268,6,1)&gt;=$AE1268,DATE($AD1268,6,1)&lt;=$AF1268),ROUND($AG1268,2),0))</f>
        <v/>
      </c>
      <c r="P1268" s="18">
        <f>IF($Z1268="","",IF(AND(DATE($AD1268,7,1)&gt;=$AE1268,DATE($AD1268,7,1)&lt;=$AF1268),ROUND($AG1268,2),0))</f>
        <v/>
      </c>
      <c r="Q1268" s="18">
        <f>IF($Z1268="","",IF(AND(DATE($AD1268,8,1)&gt;=$AE1268,DATE($AD1268,8,1)&lt;=$AF1268),ROUND($AG1268,2),0))</f>
        <v/>
      </c>
      <c r="R1268" s="18">
        <f>IF($Z1268="","",IF(AND(DATE($AD1268,9,1)&gt;=$AE1268,DATE($AD1268,9,1)&lt;=$AF1268),ROUND($AG1268,2),0))</f>
        <v/>
      </c>
      <c r="S1268" s="18">
        <f>IF($Z1268="","",IF(AND(DATE($AD1268,10,1)&gt;=$AE1268,DATE($AD1268,10,1)&lt;=$AF1268),ROUND($AG1268,2),0))</f>
        <v/>
      </c>
      <c r="T1268" s="18">
        <f>IF($Z1268="","",IF(AND(DATE($AD1268,11,1)&gt;=$AE1268,DATE($AD1268,11,1)&lt;=$AF1268),ROUND($AG1268,2),0))</f>
        <v/>
      </c>
      <c r="U1268" s="18">
        <f>IF($Z1268="","",IF(AND(DATE($AD1268,12,1)&gt;=$AE1268,DATE($AD1268,12,1)&lt;=$AF1268),ROUND($AG1268,2),0))</f>
        <v/>
      </c>
      <c r="V1268" s="7">
        <f>IF($Z1268="C","Generated from "&amp;INDEX(Contracts!$A$2:$A$151,$AB1268),IF($Z1268="A","Generated from "&amp;INDEX(Fixed_Assets!$A$2:$A$201,$AB1268),IF($Z1268="F","Generated from "&amp;INDEX(FTE_Allocation!$A$2:$A$201,$AB1268),"")))</f>
        <v/>
      </c>
      <c r="X1268" s="19">
        <f>IF($Z1268="","",SUM(J1268:U1268))</f>
        <v/>
      </c>
      <c r="Y1268" s="20">
        <f>ROW()-1</f>
        <v/>
      </c>
      <c r="Z1268" s="20">
        <f>IF($Y1268&lt;=Settings!$B$4*3,"C",IF($Y1268&lt;=(Settings!$B$4+Settings!$B$5)*3,"A",IF($Y1268&lt;=(Settings!$B$4+Settings!$B$5+Settings!$B$6)*3,"F","")))</f>
        <v/>
      </c>
      <c r="AA1268" s="20">
        <f>IF($Z1268="C",$Y1268,IF($Z1268="A",$Y1268-Settings!$B$4*3,IF($Z1268="F",$Y1268-(Settings!$B$4+Settings!$B$5)*3,"")))</f>
        <v/>
      </c>
      <c r="AB1268" s="20">
        <f>IF($Z1268="","",INT(($AA1268-1)/3)+1)</f>
        <v/>
      </c>
      <c r="AC1268" s="20">
        <f>IF($Z1268="","",MOD($AA1268-1,3)+1)</f>
        <v/>
      </c>
      <c r="AD1268" s="20">
        <f>IF($Z1268="","",Settings!$B$2+$AC1268-1)</f>
        <v/>
      </c>
      <c r="AE1268" s="21">
        <f>IF($Z1268="C",DATE(YEAR(INDEX(Contracts!$J$2:$J$151,$AB1268)),MONTH(INDEX(Contracts!$J$2:$J$151,$AB1268)),1),IF($Z1268="A",DATE(YEAR(INDEX(Fixed_Assets!$G$2:$G$201,$AB1268)),MONTH(INDEX(Fixed_Assets!$G$2:$G$201,$AB1268)),1),IF($Z1268="F",DATE(YEAR(MAX(N(INDEX(Workforce!$I$2:$I$151,MATCH(INDEX(FTE_Allocation!$A$2:$A$201,$AB1268),Workforce!$A$2:$A$151,0))),N(INDEX(FTE_Allocation!$I$2:$I$201,$AB1268)))),MONTH(MAX(N(INDEX(Workforce!$I$2:$I$151,MATCH(INDEX(FTE_Allocation!$A$2:$A$201,$AB1268),Workforce!$A$2:$A$151,0))),N(INDEX(FTE_Allocation!$I$2:$I$201,$AB1268)))),1),"")))</f>
        <v/>
      </c>
      <c r="AF1268" s="21">
        <f>IF($Z1268="C",IF(INDEX(Contracts!$I$2:$I$151,$AB1268)="PREPAID",EDATE(DATE(YEAR(INDEX(Contracts!$J$2:$J$151,$AB1268)),MONTH(INDEX(Contracts!$J$2:$J$151,$AB1268)),1),IF(INDEX(Contracts!$N$2:$N$151,$AB1268)="",12,INDEX(Contracts!$N$2:$N$151,$AB1268))-1),IF(INDEX(Contracts!$I$2:$I$151,$AB1268)="MONTHLY",IF(INDEX(Contracts!$K$2:$K$151,$AB1268)="",2958101,INDEX(Contracts!$K$2:$K$151,$AB1268)),0)),IF($Z1268="A",EDATE(DATE(YEAR(INDEX(Fixed_Assets!$G$2:$G$201,$AB1268)),MONTH(INDEX(Fixed_Assets!$G$2:$G$201,$AB1268)),1),INDEX(Fixed_Assets!$J$2:$J$201,$AB1268)-1),IF($Z1268="F",MIN(IF(INDEX(Workforce!$J$2:$J$151,MATCH(INDEX(FTE_Allocation!$A$2:$A$201,$AB1268),Workforce!$A$2:$A$151,0))="",2958101,INDEX(Workforce!$J$2:$J$151,MATCH(INDEX(FTE_Allocation!$A$2:$A$201,$AB1268),Workforce!$A$2:$A$151,0))),IF(INDEX(FTE_Allocation!$J$2:$J$201,$AB1268)="",2958101,INDEX(FTE_Allocation!$J$2:$J$201,$AB1268))),"")))</f>
        <v/>
      </c>
      <c r="AG1268" s="19">
        <f>IF($Z1268="C",IF(INDEX(Contracts!$I$2:$I$151,$AB1268)="PREPAID",INDEX(Contracts!$M$2:$M$151,$AB1268)/IF(INDEX(Contracts!$N$2:$N$151,$AB1268)="",12,INDEX(Contracts!$N$2:$N$151,$AB1268)),IF(INDEX(Contracts!$I$2:$I$151,$AB1268)="MONTHLY",INDEX(Contracts!$M$2:$M$151,$AB1268),0))*(1-N(INDEX(Contracts!$O$2:$O$151,$AB1268))),IF($Z1268="A",INDEX(Fixed_Assets!$H$2:$H$201,$AB1268)/INDEX(Fixed_Assets!$J$2:$J$201,$AB1268),IF($Z1268="F",INDEX(Workforce!$F$2:$F$151,MATCH(INDEX(FTE_Allocation!$A$2:$A$201,$AB1268),Workforce!$A$2:$A$151,0))*N(INDEX(FTE_Allocation!$F$2:$H$201,$AB1268,$AC1268)),"")))</f>
        <v/>
      </c>
    </row>
    <row r="1269">
      <c r="A1269" s="7">
        <f>IF($Z1269="","",$AD1269)</f>
        <v/>
      </c>
      <c r="B1269" s="7">
        <f>IF($Z1269="C",INDEX(Contracts!$D$2:$D$151,$AB1269)&amp;"",IF($Z1269="A",INDEX(Fixed_Assets!$C$2:$C$201,$AB1269)&amp;"",IF($Z1269="F",INDEX(Workforce!$B$2:$B$151,MATCH(INDEX(FTE_Allocation!$A$2:$A$201,$AB1269),Workforce!$A$2:$A$151,0))&amp;"","")))</f>
        <v/>
      </c>
      <c r="C1269" s="7">
        <f>IF($Z1269="C",INDEX(Contracts!$E$2:$E$151,$AB1269)&amp;"",IF($Z1269="A",INDEX(Fixed_Assets!$D$2:$D$201,$AB1269)&amp;"",IF($Z1269="F",INDEX(FTE_Allocation!$C$2:$C$201,$AB1269)&amp;"","")))</f>
        <v/>
      </c>
      <c r="D1269" s="7">
        <f>IF($Z1269="C",INDEX(Contracts!$B$2:$B$151,$AB1269)&amp;"",IF($Z1269="A",INDEX(Fixed_Assets!$B$2:$B$201,$AB1269)&amp;"",IF($Z1269="F",INDEX(FTE_Allocation!$B$2:$B$201,$AB1269)&amp;"","")))</f>
        <v/>
      </c>
      <c r="E1269" s="7">
        <f>IF($Z1269="C",INDEX(Contracts!$P$2:$P$151,$AB1269)&amp;"",IF($Z1269="A",INDEX(Fixed_Assets!$K$2:$K$201,$AB1269)&amp;"",IF($Z1269="F",IF(INDEX(FTE_Allocation!$D$2:$D$201,$AB1269)="PROJECT",IFERROR(INDEX(Projects!$D:$D,MATCH(INDEX(FTE_Allocation!$E$2:$E$201,$AB1269),Projects!$A:$A,0))&amp;"","#PROJECT?"),INDEX(FTE_Allocation!$E$2:$E$201,$AB1269)&amp;""),"")))</f>
        <v/>
      </c>
      <c r="F1269" s="7">
        <f>IF($Z1269="C",INDEX(Contracts!$Q$2:$Q$151,$AB1269)&amp;"",IF($Z1269="A",INDEX(Fixed_Assets!$L$2:$L$201,$AB1269)&amp;"",IF($Z1269="F",INDEX(Workforce!$K$2:$K$151,MATCH(INDEX(FTE_Allocation!$A$2:$A$201,$AB1269),Workforce!$A$2:$A$151,0))&amp;"","")))</f>
        <v/>
      </c>
      <c r="G1269" s="7">
        <f>IF($Z1269="C",INDEX(Contracts!$F$2:$F$151,$AB1269)&amp;" / "&amp;INDEX(Contracts!$G$2:$G$151,$AB1269),IF($Z1269="A",INDEX(Fixed_Assets!$E$2:$E$201,$AB1269)&amp;"",IF($Z1269="F","Personnel "&amp;INDEX(FTE_Allocation!$A$2:$A$201,$AB1269)&amp;IF(INDEX(FTE_Allocation!$D$2:$D$201,$AB1269)="PROJECT"," ("&amp;INDEX(FTE_Allocation!$E$2:$E$201,$AB1269)&amp;")",""),"")))</f>
        <v/>
      </c>
      <c r="H1269" s="7">
        <f>IF($Z1269="C","CONTRACT",IF($Z1269="A","ASSET",IF($Z1269="F","WORKFORCE","")))</f>
        <v/>
      </c>
      <c r="I1269" s="7">
        <f>IF($Z1269="C",INDEX(Contracts!$L$2:$L$151,$AB1269)&amp;"",IF($Z1269="A",INDEX(Fixed_Assets!$I$2:$I$201,$AB1269)&amp;"",IF($Z1269="F",INDEX(Workforce!$G$2:$G$151,MATCH(INDEX(FTE_Allocation!$A$2:$A$201,$AB1269),Workforce!$A$2:$A$151,0))&amp;"","")))</f>
        <v/>
      </c>
      <c r="J1269" s="18">
        <f>IF($Z1269="","",IF(AND(DATE($AD1269,1,1)&gt;=$AE1269,DATE($AD1269,1,1)&lt;=$AF1269),ROUND($AG1269,2),0))</f>
        <v/>
      </c>
      <c r="K1269" s="18">
        <f>IF($Z1269="","",IF(AND(DATE($AD1269,2,1)&gt;=$AE1269,DATE($AD1269,2,1)&lt;=$AF1269),ROUND($AG1269,2),0))</f>
        <v/>
      </c>
      <c r="L1269" s="18">
        <f>IF($Z1269="","",IF(AND(DATE($AD1269,3,1)&gt;=$AE1269,DATE($AD1269,3,1)&lt;=$AF1269),ROUND($AG1269,2),0))</f>
        <v/>
      </c>
      <c r="M1269" s="18">
        <f>IF($Z1269="","",IF(AND(DATE($AD1269,4,1)&gt;=$AE1269,DATE($AD1269,4,1)&lt;=$AF1269),ROUND($AG1269,2),0))</f>
        <v/>
      </c>
      <c r="N1269" s="18">
        <f>IF($Z1269="","",IF(AND(DATE($AD1269,5,1)&gt;=$AE1269,DATE($AD1269,5,1)&lt;=$AF1269),ROUND($AG1269,2),0))</f>
        <v/>
      </c>
      <c r="O1269" s="18">
        <f>IF($Z1269="","",IF(AND(DATE($AD1269,6,1)&gt;=$AE1269,DATE($AD1269,6,1)&lt;=$AF1269),ROUND($AG1269,2),0))</f>
        <v/>
      </c>
      <c r="P1269" s="18">
        <f>IF($Z1269="","",IF(AND(DATE($AD1269,7,1)&gt;=$AE1269,DATE($AD1269,7,1)&lt;=$AF1269),ROUND($AG1269,2),0))</f>
        <v/>
      </c>
      <c r="Q1269" s="18">
        <f>IF($Z1269="","",IF(AND(DATE($AD1269,8,1)&gt;=$AE1269,DATE($AD1269,8,1)&lt;=$AF1269),ROUND($AG1269,2),0))</f>
        <v/>
      </c>
      <c r="R1269" s="18">
        <f>IF($Z1269="","",IF(AND(DATE($AD1269,9,1)&gt;=$AE1269,DATE($AD1269,9,1)&lt;=$AF1269),ROUND($AG1269,2),0))</f>
        <v/>
      </c>
      <c r="S1269" s="18">
        <f>IF($Z1269="","",IF(AND(DATE($AD1269,10,1)&gt;=$AE1269,DATE($AD1269,10,1)&lt;=$AF1269),ROUND($AG1269,2),0))</f>
        <v/>
      </c>
      <c r="T1269" s="18">
        <f>IF($Z1269="","",IF(AND(DATE($AD1269,11,1)&gt;=$AE1269,DATE($AD1269,11,1)&lt;=$AF1269),ROUND($AG1269,2),0))</f>
        <v/>
      </c>
      <c r="U1269" s="18">
        <f>IF($Z1269="","",IF(AND(DATE($AD1269,12,1)&gt;=$AE1269,DATE($AD1269,12,1)&lt;=$AF1269),ROUND($AG1269,2),0))</f>
        <v/>
      </c>
      <c r="V1269" s="7">
        <f>IF($Z1269="C","Generated from "&amp;INDEX(Contracts!$A$2:$A$151,$AB1269),IF($Z1269="A","Generated from "&amp;INDEX(Fixed_Assets!$A$2:$A$201,$AB1269),IF($Z1269="F","Generated from "&amp;INDEX(FTE_Allocation!$A$2:$A$201,$AB1269),"")))</f>
        <v/>
      </c>
      <c r="X1269" s="19">
        <f>IF($Z1269="","",SUM(J1269:U1269))</f>
        <v/>
      </c>
      <c r="Y1269" s="20">
        <f>ROW()-1</f>
        <v/>
      </c>
      <c r="Z1269" s="20">
        <f>IF($Y1269&lt;=Settings!$B$4*3,"C",IF($Y1269&lt;=(Settings!$B$4+Settings!$B$5)*3,"A",IF($Y1269&lt;=(Settings!$B$4+Settings!$B$5+Settings!$B$6)*3,"F","")))</f>
        <v/>
      </c>
      <c r="AA1269" s="20">
        <f>IF($Z1269="C",$Y1269,IF($Z1269="A",$Y1269-Settings!$B$4*3,IF($Z1269="F",$Y1269-(Settings!$B$4+Settings!$B$5)*3,"")))</f>
        <v/>
      </c>
      <c r="AB1269" s="20">
        <f>IF($Z1269="","",INT(($AA1269-1)/3)+1)</f>
        <v/>
      </c>
      <c r="AC1269" s="20">
        <f>IF($Z1269="","",MOD($AA1269-1,3)+1)</f>
        <v/>
      </c>
      <c r="AD1269" s="20">
        <f>IF($Z1269="","",Settings!$B$2+$AC1269-1)</f>
        <v/>
      </c>
      <c r="AE1269" s="21">
        <f>IF($Z1269="C",DATE(YEAR(INDEX(Contracts!$J$2:$J$151,$AB1269)),MONTH(INDEX(Contracts!$J$2:$J$151,$AB1269)),1),IF($Z1269="A",DATE(YEAR(INDEX(Fixed_Assets!$G$2:$G$201,$AB1269)),MONTH(INDEX(Fixed_Assets!$G$2:$G$201,$AB1269)),1),IF($Z1269="F",DATE(YEAR(MAX(N(INDEX(Workforce!$I$2:$I$151,MATCH(INDEX(FTE_Allocation!$A$2:$A$201,$AB1269),Workforce!$A$2:$A$151,0))),N(INDEX(FTE_Allocation!$I$2:$I$201,$AB1269)))),MONTH(MAX(N(INDEX(Workforce!$I$2:$I$151,MATCH(INDEX(FTE_Allocation!$A$2:$A$201,$AB1269),Workforce!$A$2:$A$151,0))),N(INDEX(FTE_Allocation!$I$2:$I$201,$AB1269)))),1),"")))</f>
        <v/>
      </c>
      <c r="AF1269" s="21">
        <f>IF($Z1269="C",IF(INDEX(Contracts!$I$2:$I$151,$AB1269)="PREPAID",EDATE(DATE(YEAR(INDEX(Contracts!$J$2:$J$151,$AB1269)),MONTH(INDEX(Contracts!$J$2:$J$151,$AB1269)),1),IF(INDEX(Contracts!$N$2:$N$151,$AB1269)="",12,INDEX(Contracts!$N$2:$N$151,$AB1269))-1),IF(INDEX(Contracts!$I$2:$I$151,$AB1269)="MONTHLY",IF(INDEX(Contracts!$K$2:$K$151,$AB1269)="",2958101,INDEX(Contracts!$K$2:$K$151,$AB1269)),0)),IF($Z1269="A",EDATE(DATE(YEAR(INDEX(Fixed_Assets!$G$2:$G$201,$AB1269)),MONTH(INDEX(Fixed_Assets!$G$2:$G$201,$AB1269)),1),INDEX(Fixed_Assets!$J$2:$J$201,$AB1269)-1),IF($Z1269="F",MIN(IF(INDEX(Workforce!$J$2:$J$151,MATCH(INDEX(FTE_Allocation!$A$2:$A$201,$AB1269),Workforce!$A$2:$A$151,0))="",2958101,INDEX(Workforce!$J$2:$J$151,MATCH(INDEX(FTE_Allocation!$A$2:$A$201,$AB1269),Workforce!$A$2:$A$151,0))),IF(INDEX(FTE_Allocation!$J$2:$J$201,$AB1269)="",2958101,INDEX(FTE_Allocation!$J$2:$J$201,$AB1269))),"")))</f>
        <v/>
      </c>
      <c r="AG1269" s="19">
        <f>IF($Z1269="C",IF(INDEX(Contracts!$I$2:$I$151,$AB1269)="PREPAID",INDEX(Contracts!$M$2:$M$151,$AB1269)/IF(INDEX(Contracts!$N$2:$N$151,$AB1269)="",12,INDEX(Contracts!$N$2:$N$151,$AB1269)),IF(INDEX(Contracts!$I$2:$I$151,$AB1269)="MONTHLY",INDEX(Contracts!$M$2:$M$151,$AB1269),0))*(1-N(INDEX(Contracts!$O$2:$O$151,$AB1269))),IF($Z1269="A",INDEX(Fixed_Assets!$H$2:$H$201,$AB1269)/INDEX(Fixed_Assets!$J$2:$J$201,$AB1269),IF($Z1269="F",INDEX(Workforce!$F$2:$F$151,MATCH(INDEX(FTE_Allocation!$A$2:$A$201,$AB1269),Workforce!$A$2:$A$151,0))*N(INDEX(FTE_Allocation!$F$2:$H$201,$AB1269,$AC1269)),"")))</f>
        <v/>
      </c>
    </row>
    <row r="1270">
      <c r="A1270" s="7">
        <f>IF($Z1270="","",$AD1270)</f>
        <v/>
      </c>
      <c r="B1270" s="7">
        <f>IF($Z1270="C",INDEX(Contracts!$D$2:$D$151,$AB1270)&amp;"",IF($Z1270="A",INDEX(Fixed_Assets!$C$2:$C$201,$AB1270)&amp;"",IF($Z1270="F",INDEX(Workforce!$B$2:$B$151,MATCH(INDEX(FTE_Allocation!$A$2:$A$201,$AB1270),Workforce!$A$2:$A$151,0))&amp;"","")))</f>
        <v/>
      </c>
      <c r="C1270" s="7">
        <f>IF($Z1270="C",INDEX(Contracts!$E$2:$E$151,$AB1270)&amp;"",IF($Z1270="A",INDEX(Fixed_Assets!$D$2:$D$201,$AB1270)&amp;"",IF($Z1270="F",INDEX(FTE_Allocation!$C$2:$C$201,$AB1270)&amp;"","")))</f>
        <v/>
      </c>
      <c r="D1270" s="7">
        <f>IF($Z1270="C",INDEX(Contracts!$B$2:$B$151,$AB1270)&amp;"",IF($Z1270="A",INDEX(Fixed_Assets!$B$2:$B$201,$AB1270)&amp;"",IF($Z1270="F",INDEX(FTE_Allocation!$B$2:$B$201,$AB1270)&amp;"","")))</f>
        <v/>
      </c>
      <c r="E1270" s="7">
        <f>IF($Z1270="C",INDEX(Contracts!$P$2:$P$151,$AB1270)&amp;"",IF($Z1270="A",INDEX(Fixed_Assets!$K$2:$K$201,$AB1270)&amp;"",IF($Z1270="F",IF(INDEX(FTE_Allocation!$D$2:$D$201,$AB1270)="PROJECT",IFERROR(INDEX(Projects!$D:$D,MATCH(INDEX(FTE_Allocation!$E$2:$E$201,$AB1270),Projects!$A:$A,0))&amp;"","#PROJECT?"),INDEX(FTE_Allocation!$E$2:$E$201,$AB1270)&amp;""),"")))</f>
        <v/>
      </c>
      <c r="F1270" s="7">
        <f>IF($Z1270="C",INDEX(Contracts!$Q$2:$Q$151,$AB1270)&amp;"",IF($Z1270="A",INDEX(Fixed_Assets!$L$2:$L$201,$AB1270)&amp;"",IF($Z1270="F",INDEX(Workforce!$K$2:$K$151,MATCH(INDEX(FTE_Allocation!$A$2:$A$201,$AB1270),Workforce!$A$2:$A$151,0))&amp;"","")))</f>
        <v/>
      </c>
      <c r="G1270" s="7">
        <f>IF($Z1270="C",INDEX(Contracts!$F$2:$F$151,$AB1270)&amp;" / "&amp;INDEX(Contracts!$G$2:$G$151,$AB1270),IF($Z1270="A",INDEX(Fixed_Assets!$E$2:$E$201,$AB1270)&amp;"",IF($Z1270="F","Personnel "&amp;INDEX(FTE_Allocation!$A$2:$A$201,$AB1270)&amp;IF(INDEX(FTE_Allocation!$D$2:$D$201,$AB1270)="PROJECT"," ("&amp;INDEX(FTE_Allocation!$E$2:$E$201,$AB1270)&amp;")",""),"")))</f>
        <v/>
      </c>
      <c r="H1270" s="7">
        <f>IF($Z1270="C","CONTRACT",IF($Z1270="A","ASSET",IF($Z1270="F","WORKFORCE","")))</f>
        <v/>
      </c>
      <c r="I1270" s="7">
        <f>IF($Z1270="C",INDEX(Contracts!$L$2:$L$151,$AB1270)&amp;"",IF($Z1270="A",INDEX(Fixed_Assets!$I$2:$I$201,$AB1270)&amp;"",IF($Z1270="F",INDEX(Workforce!$G$2:$G$151,MATCH(INDEX(FTE_Allocation!$A$2:$A$201,$AB1270),Workforce!$A$2:$A$151,0))&amp;"","")))</f>
        <v/>
      </c>
      <c r="J1270" s="18">
        <f>IF($Z1270="","",IF(AND(DATE($AD1270,1,1)&gt;=$AE1270,DATE($AD1270,1,1)&lt;=$AF1270),ROUND($AG1270,2),0))</f>
        <v/>
      </c>
      <c r="K1270" s="18">
        <f>IF($Z1270="","",IF(AND(DATE($AD1270,2,1)&gt;=$AE1270,DATE($AD1270,2,1)&lt;=$AF1270),ROUND($AG1270,2),0))</f>
        <v/>
      </c>
      <c r="L1270" s="18">
        <f>IF($Z1270="","",IF(AND(DATE($AD1270,3,1)&gt;=$AE1270,DATE($AD1270,3,1)&lt;=$AF1270),ROUND($AG1270,2),0))</f>
        <v/>
      </c>
      <c r="M1270" s="18">
        <f>IF($Z1270="","",IF(AND(DATE($AD1270,4,1)&gt;=$AE1270,DATE($AD1270,4,1)&lt;=$AF1270),ROUND($AG1270,2),0))</f>
        <v/>
      </c>
      <c r="N1270" s="18">
        <f>IF($Z1270="","",IF(AND(DATE($AD1270,5,1)&gt;=$AE1270,DATE($AD1270,5,1)&lt;=$AF1270),ROUND($AG1270,2),0))</f>
        <v/>
      </c>
      <c r="O1270" s="18">
        <f>IF($Z1270="","",IF(AND(DATE($AD1270,6,1)&gt;=$AE1270,DATE($AD1270,6,1)&lt;=$AF1270),ROUND($AG1270,2),0))</f>
        <v/>
      </c>
      <c r="P1270" s="18">
        <f>IF($Z1270="","",IF(AND(DATE($AD1270,7,1)&gt;=$AE1270,DATE($AD1270,7,1)&lt;=$AF1270),ROUND($AG1270,2),0))</f>
        <v/>
      </c>
      <c r="Q1270" s="18">
        <f>IF($Z1270="","",IF(AND(DATE($AD1270,8,1)&gt;=$AE1270,DATE($AD1270,8,1)&lt;=$AF1270),ROUND($AG1270,2),0))</f>
        <v/>
      </c>
      <c r="R1270" s="18">
        <f>IF($Z1270="","",IF(AND(DATE($AD1270,9,1)&gt;=$AE1270,DATE($AD1270,9,1)&lt;=$AF1270),ROUND($AG1270,2),0))</f>
        <v/>
      </c>
      <c r="S1270" s="18">
        <f>IF($Z1270="","",IF(AND(DATE($AD1270,10,1)&gt;=$AE1270,DATE($AD1270,10,1)&lt;=$AF1270),ROUND($AG1270,2),0))</f>
        <v/>
      </c>
      <c r="T1270" s="18">
        <f>IF($Z1270="","",IF(AND(DATE($AD1270,11,1)&gt;=$AE1270,DATE($AD1270,11,1)&lt;=$AF1270),ROUND($AG1270,2),0))</f>
        <v/>
      </c>
      <c r="U1270" s="18">
        <f>IF($Z1270="","",IF(AND(DATE($AD1270,12,1)&gt;=$AE1270,DATE($AD1270,12,1)&lt;=$AF1270),ROUND($AG1270,2),0))</f>
        <v/>
      </c>
      <c r="V1270" s="7">
        <f>IF($Z1270="C","Generated from "&amp;INDEX(Contracts!$A$2:$A$151,$AB1270),IF($Z1270="A","Generated from "&amp;INDEX(Fixed_Assets!$A$2:$A$201,$AB1270),IF($Z1270="F","Generated from "&amp;INDEX(FTE_Allocation!$A$2:$A$201,$AB1270),"")))</f>
        <v/>
      </c>
      <c r="X1270" s="19">
        <f>IF($Z1270="","",SUM(J1270:U1270))</f>
        <v/>
      </c>
      <c r="Y1270" s="20">
        <f>ROW()-1</f>
        <v/>
      </c>
      <c r="Z1270" s="20">
        <f>IF($Y1270&lt;=Settings!$B$4*3,"C",IF($Y1270&lt;=(Settings!$B$4+Settings!$B$5)*3,"A",IF($Y1270&lt;=(Settings!$B$4+Settings!$B$5+Settings!$B$6)*3,"F","")))</f>
        <v/>
      </c>
      <c r="AA1270" s="20">
        <f>IF($Z1270="C",$Y1270,IF($Z1270="A",$Y1270-Settings!$B$4*3,IF($Z1270="F",$Y1270-(Settings!$B$4+Settings!$B$5)*3,"")))</f>
        <v/>
      </c>
      <c r="AB1270" s="20">
        <f>IF($Z1270="","",INT(($AA1270-1)/3)+1)</f>
        <v/>
      </c>
      <c r="AC1270" s="20">
        <f>IF($Z1270="","",MOD($AA1270-1,3)+1)</f>
        <v/>
      </c>
      <c r="AD1270" s="20">
        <f>IF($Z1270="","",Settings!$B$2+$AC1270-1)</f>
        <v/>
      </c>
      <c r="AE1270" s="21">
        <f>IF($Z1270="C",DATE(YEAR(INDEX(Contracts!$J$2:$J$151,$AB1270)),MONTH(INDEX(Contracts!$J$2:$J$151,$AB1270)),1),IF($Z1270="A",DATE(YEAR(INDEX(Fixed_Assets!$G$2:$G$201,$AB1270)),MONTH(INDEX(Fixed_Assets!$G$2:$G$201,$AB1270)),1),IF($Z1270="F",DATE(YEAR(MAX(N(INDEX(Workforce!$I$2:$I$151,MATCH(INDEX(FTE_Allocation!$A$2:$A$201,$AB1270),Workforce!$A$2:$A$151,0))),N(INDEX(FTE_Allocation!$I$2:$I$201,$AB1270)))),MONTH(MAX(N(INDEX(Workforce!$I$2:$I$151,MATCH(INDEX(FTE_Allocation!$A$2:$A$201,$AB1270),Workforce!$A$2:$A$151,0))),N(INDEX(FTE_Allocation!$I$2:$I$201,$AB1270)))),1),"")))</f>
        <v/>
      </c>
      <c r="AF1270" s="21">
        <f>IF($Z1270="C",IF(INDEX(Contracts!$I$2:$I$151,$AB1270)="PREPAID",EDATE(DATE(YEAR(INDEX(Contracts!$J$2:$J$151,$AB1270)),MONTH(INDEX(Contracts!$J$2:$J$151,$AB1270)),1),IF(INDEX(Contracts!$N$2:$N$151,$AB1270)="",12,INDEX(Contracts!$N$2:$N$151,$AB1270))-1),IF(INDEX(Contracts!$I$2:$I$151,$AB1270)="MONTHLY",IF(INDEX(Contracts!$K$2:$K$151,$AB1270)="",2958101,INDEX(Contracts!$K$2:$K$151,$AB1270)),0)),IF($Z1270="A",EDATE(DATE(YEAR(INDEX(Fixed_Assets!$G$2:$G$201,$AB1270)),MONTH(INDEX(Fixed_Assets!$G$2:$G$201,$AB1270)),1),INDEX(Fixed_Assets!$J$2:$J$201,$AB1270)-1),IF($Z1270="F",MIN(IF(INDEX(Workforce!$J$2:$J$151,MATCH(INDEX(FTE_Allocation!$A$2:$A$201,$AB1270),Workforce!$A$2:$A$151,0))="",2958101,INDEX(Workforce!$J$2:$J$151,MATCH(INDEX(FTE_Allocation!$A$2:$A$201,$AB1270),Workforce!$A$2:$A$151,0))),IF(INDEX(FTE_Allocation!$J$2:$J$201,$AB1270)="",2958101,INDEX(FTE_Allocation!$J$2:$J$201,$AB1270))),"")))</f>
        <v/>
      </c>
      <c r="AG1270" s="19">
        <f>IF($Z1270="C",IF(INDEX(Contracts!$I$2:$I$151,$AB1270)="PREPAID",INDEX(Contracts!$M$2:$M$151,$AB1270)/IF(INDEX(Contracts!$N$2:$N$151,$AB1270)="",12,INDEX(Contracts!$N$2:$N$151,$AB1270)),IF(INDEX(Contracts!$I$2:$I$151,$AB1270)="MONTHLY",INDEX(Contracts!$M$2:$M$151,$AB1270),0))*(1-N(INDEX(Contracts!$O$2:$O$151,$AB1270))),IF($Z1270="A",INDEX(Fixed_Assets!$H$2:$H$201,$AB1270)/INDEX(Fixed_Assets!$J$2:$J$201,$AB1270),IF($Z1270="F",INDEX(Workforce!$F$2:$F$151,MATCH(INDEX(FTE_Allocation!$A$2:$A$201,$AB1270),Workforce!$A$2:$A$151,0))*N(INDEX(FTE_Allocation!$F$2:$H$201,$AB1270,$AC1270)),"")))</f>
        <v/>
      </c>
    </row>
    <row r="1271">
      <c r="A1271" s="7">
        <f>IF($Z1271="","",$AD1271)</f>
        <v/>
      </c>
      <c r="B1271" s="7">
        <f>IF($Z1271="C",INDEX(Contracts!$D$2:$D$151,$AB1271)&amp;"",IF($Z1271="A",INDEX(Fixed_Assets!$C$2:$C$201,$AB1271)&amp;"",IF($Z1271="F",INDEX(Workforce!$B$2:$B$151,MATCH(INDEX(FTE_Allocation!$A$2:$A$201,$AB1271),Workforce!$A$2:$A$151,0))&amp;"","")))</f>
        <v/>
      </c>
      <c r="C1271" s="7">
        <f>IF($Z1271="C",INDEX(Contracts!$E$2:$E$151,$AB1271)&amp;"",IF($Z1271="A",INDEX(Fixed_Assets!$D$2:$D$201,$AB1271)&amp;"",IF($Z1271="F",INDEX(FTE_Allocation!$C$2:$C$201,$AB1271)&amp;"","")))</f>
        <v/>
      </c>
      <c r="D1271" s="7">
        <f>IF($Z1271="C",INDEX(Contracts!$B$2:$B$151,$AB1271)&amp;"",IF($Z1271="A",INDEX(Fixed_Assets!$B$2:$B$201,$AB1271)&amp;"",IF($Z1271="F",INDEX(FTE_Allocation!$B$2:$B$201,$AB1271)&amp;"","")))</f>
        <v/>
      </c>
      <c r="E1271" s="7">
        <f>IF($Z1271="C",INDEX(Contracts!$P$2:$P$151,$AB1271)&amp;"",IF($Z1271="A",INDEX(Fixed_Assets!$K$2:$K$201,$AB1271)&amp;"",IF($Z1271="F",IF(INDEX(FTE_Allocation!$D$2:$D$201,$AB1271)="PROJECT",IFERROR(INDEX(Projects!$D:$D,MATCH(INDEX(FTE_Allocation!$E$2:$E$201,$AB1271),Projects!$A:$A,0))&amp;"","#PROJECT?"),INDEX(FTE_Allocation!$E$2:$E$201,$AB1271)&amp;""),"")))</f>
        <v/>
      </c>
      <c r="F1271" s="7">
        <f>IF($Z1271="C",INDEX(Contracts!$Q$2:$Q$151,$AB1271)&amp;"",IF($Z1271="A",INDEX(Fixed_Assets!$L$2:$L$201,$AB1271)&amp;"",IF($Z1271="F",INDEX(Workforce!$K$2:$K$151,MATCH(INDEX(FTE_Allocation!$A$2:$A$201,$AB1271),Workforce!$A$2:$A$151,0))&amp;"","")))</f>
        <v/>
      </c>
      <c r="G1271" s="7">
        <f>IF($Z1271="C",INDEX(Contracts!$F$2:$F$151,$AB1271)&amp;" / "&amp;INDEX(Contracts!$G$2:$G$151,$AB1271),IF($Z1271="A",INDEX(Fixed_Assets!$E$2:$E$201,$AB1271)&amp;"",IF($Z1271="F","Personnel "&amp;INDEX(FTE_Allocation!$A$2:$A$201,$AB1271)&amp;IF(INDEX(FTE_Allocation!$D$2:$D$201,$AB1271)="PROJECT"," ("&amp;INDEX(FTE_Allocation!$E$2:$E$201,$AB1271)&amp;")",""),"")))</f>
        <v/>
      </c>
      <c r="H1271" s="7">
        <f>IF($Z1271="C","CONTRACT",IF($Z1271="A","ASSET",IF($Z1271="F","WORKFORCE","")))</f>
        <v/>
      </c>
      <c r="I1271" s="7">
        <f>IF($Z1271="C",INDEX(Contracts!$L$2:$L$151,$AB1271)&amp;"",IF($Z1271="A",INDEX(Fixed_Assets!$I$2:$I$201,$AB1271)&amp;"",IF($Z1271="F",INDEX(Workforce!$G$2:$G$151,MATCH(INDEX(FTE_Allocation!$A$2:$A$201,$AB1271),Workforce!$A$2:$A$151,0))&amp;"","")))</f>
        <v/>
      </c>
      <c r="J1271" s="18">
        <f>IF($Z1271="","",IF(AND(DATE($AD1271,1,1)&gt;=$AE1271,DATE($AD1271,1,1)&lt;=$AF1271),ROUND($AG1271,2),0))</f>
        <v/>
      </c>
      <c r="K1271" s="18">
        <f>IF($Z1271="","",IF(AND(DATE($AD1271,2,1)&gt;=$AE1271,DATE($AD1271,2,1)&lt;=$AF1271),ROUND($AG1271,2),0))</f>
        <v/>
      </c>
      <c r="L1271" s="18">
        <f>IF($Z1271="","",IF(AND(DATE($AD1271,3,1)&gt;=$AE1271,DATE($AD1271,3,1)&lt;=$AF1271),ROUND($AG1271,2),0))</f>
        <v/>
      </c>
      <c r="M1271" s="18">
        <f>IF($Z1271="","",IF(AND(DATE($AD1271,4,1)&gt;=$AE1271,DATE($AD1271,4,1)&lt;=$AF1271),ROUND($AG1271,2),0))</f>
        <v/>
      </c>
      <c r="N1271" s="18">
        <f>IF($Z1271="","",IF(AND(DATE($AD1271,5,1)&gt;=$AE1271,DATE($AD1271,5,1)&lt;=$AF1271),ROUND($AG1271,2),0))</f>
        <v/>
      </c>
      <c r="O1271" s="18">
        <f>IF($Z1271="","",IF(AND(DATE($AD1271,6,1)&gt;=$AE1271,DATE($AD1271,6,1)&lt;=$AF1271),ROUND($AG1271,2),0))</f>
        <v/>
      </c>
      <c r="P1271" s="18">
        <f>IF($Z1271="","",IF(AND(DATE($AD1271,7,1)&gt;=$AE1271,DATE($AD1271,7,1)&lt;=$AF1271),ROUND($AG1271,2),0))</f>
        <v/>
      </c>
      <c r="Q1271" s="18">
        <f>IF($Z1271="","",IF(AND(DATE($AD1271,8,1)&gt;=$AE1271,DATE($AD1271,8,1)&lt;=$AF1271),ROUND($AG1271,2),0))</f>
        <v/>
      </c>
      <c r="R1271" s="18">
        <f>IF($Z1271="","",IF(AND(DATE($AD1271,9,1)&gt;=$AE1271,DATE($AD1271,9,1)&lt;=$AF1271),ROUND($AG1271,2),0))</f>
        <v/>
      </c>
      <c r="S1271" s="18">
        <f>IF($Z1271="","",IF(AND(DATE($AD1271,10,1)&gt;=$AE1271,DATE($AD1271,10,1)&lt;=$AF1271),ROUND($AG1271,2),0))</f>
        <v/>
      </c>
      <c r="T1271" s="18">
        <f>IF($Z1271="","",IF(AND(DATE($AD1271,11,1)&gt;=$AE1271,DATE($AD1271,11,1)&lt;=$AF1271),ROUND($AG1271,2),0))</f>
        <v/>
      </c>
      <c r="U1271" s="18">
        <f>IF($Z1271="","",IF(AND(DATE($AD1271,12,1)&gt;=$AE1271,DATE($AD1271,12,1)&lt;=$AF1271),ROUND($AG1271,2),0))</f>
        <v/>
      </c>
      <c r="V1271" s="7">
        <f>IF($Z1271="C","Generated from "&amp;INDEX(Contracts!$A$2:$A$151,$AB1271),IF($Z1271="A","Generated from "&amp;INDEX(Fixed_Assets!$A$2:$A$201,$AB1271),IF($Z1271="F","Generated from "&amp;INDEX(FTE_Allocation!$A$2:$A$201,$AB1271),"")))</f>
        <v/>
      </c>
      <c r="X1271" s="19">
        <f>IF($Z1271="","",SUM(J1271:U1271))</f>
        <v/>
      </c>
      <c r="Y1271" s="20">
        <f>ROW()-1</f>
        <v/>
      </c>
      <c r="Z1271" s="20">
        <f>IF($Y1271&lt;=Settings!$B$4*3,"C",IF($Y1271&lt;=(Settings!$B$4+Settings!$B$5)*3,"A",IF($Y1271&lt;=(Settings!$B$4+Settings!$B$5+Settings!$B$6)*3,"F","")))</f>
        <v/>
      </c>
      <c r="AA1271" s="20">
        <f>IF($Z1271="C",$Y1271,IF($Z1271="A",$Y1271-Settings!$B$4*3,IF($Z1271="F",$Y1271-(Settings!$B$4+Settings!$B$5)*3,"")))</f>
        <v/>
      </c>
      <c r="AB1271" s="20">
        <f>IF($Z1271="","",INT(($AA1271-1)/3)+1)</f>
        <v/>
      </c>
      <c r="AC1271" s="20">
        <f>IF($Z1271="","",MOD($AA1271-1,3)+1)</f>
        <v/>
      </c>
      <c r="AD1271" s="20">
        <f>IF($Z1271="","",Settings!$B$2+$AC1271-1)</f>
        <v/>
      </c>
      <c r="AE1271" s="21">
        <f>IF($Z1271="C",DATE(YEAR(INDEX(Contracts!$J$2:$J$151,$AB1271)),MONTH(INDEX(Contracts!$J$2:$J$151,$AB1271)),1),IF($Z1271="A",DATE(YEAR(INDEX(Fixed_Assets!$G$2:$G$201,$AB1271)),MONTH(INDEX(Fixed_Assets!$G$2:$G$201,$AB1271)),1),IF($Z1271="F",DATE(YEAR(MAX(N(INDEX(Workforce!$I$2:$I$151,MATCH(INDEX(FTE_Allocation!$A$2:$A$201,$AB1271),Workforce!$A$2:$A$151,0))),N(INDEX(FTE_Allocation!$I$2:$I$201,$AB1271)))),MONTH(MAX(N(INDEX(Workforce!$I$2:$I$151,MATCH(INDEX(FTE_Allocation!$A$2:$A$201,$AB1271),Workforce!$A$2:$A$151,0))),N(INDEX(FTE_Allocation!$I$2:$I$201,$AB1271)))),1),"")))</f>
        <v/>
      </c>
      <c r="AF1271" s="21">
        <f>IF($Z1271="C",IF(INDEX(Contracts!$I$2:$I$151,$AB1271)="PREPAID",EDATE(DATE(YEAR(INDEX(Contracts!$J$2:$J$151,$AB1271)),MONTH(INDEX(Contracts!$J$2:$J$151,$AB1271)),1),IF(INDEX(Contracts!$N$2:$N$151,$AB1271)="",12,INDEX(Contracts!$N$2:$N$151,$AB1271))-1),IF(INDEX(Contracts!$I$2:$I$151,$AB1271)="MONTHLY",IF(INDEX(Contracts!$K$2:$K$151,$AB1271)="",2958101,INDEX(Contracts!$K$2:$K$151,$AB1271)),0)),IF($Z1271="A",EDATE(DATE(YEAR(INDEX(Fixed_Assets!$G$2:$G$201,$AB1271)),MONTH(INDEX(Fixed_Assets!$G$2:$G$201,$AB1271)),1),INDEX(Fixed_Assets!$J$2:$J$201,$AB1271)-1),IF($Z1271="F",MIN(IF(INDEX(Workforce!$J$2:$J$151,MATCH(INDEX(FTE_Allocation!$A$2:$A$201,$AB1271),Workforce!$A$2:$A$151,0))="",2958101,INDEX(Workforce!$J$2:$J$151,MATCH(INDEX(FTE_Allocation!$A$2:$A$201,$AB1271),Workforce!$A$2:$A$151,0))),IF(INDEX(FTE_Allocation!$J$2:$J$201,$AB1271)="",2958101,INDEX(FTE_Allocation!$J$2:$J$201,$AB1271))),"")))</f>
        <v/>
      </c>
      <c r="AG1271" s="19">
        <f>IF($Z1271="C",IF(INDEX(Contracts!$I$2:$I$151,$AB1271)="PREPAID",INDEX(Contracts!$M$2:$M$151,$AB1271)/IF(INDEX(Contracts!$N$2:$N$151,$AB1271)="",12,INDEX(Contracts!$N$2:$N$151,$AB1271)),IF(INDEX(Contracts!$I$2:$I$151,$AB1271)="MONTHLY",INDEX(Contracts!$M$2:$M$151,$AB1271),0))*(1-N(INDEX(Contracts!$O$2:$O$151,$AB1271))),IF($Z1271="A",INDEX(Fixed_Assets!$H$2:$H$201,$AB1271)/INDEX(Fixed_Assets!$J$2:$J$201,$AB1271),IF($Z1271="F",INDEX(Workforce!$F$2:$F$151,MATCH(INDEX(FTE_Allocation!$A$2:$A$201,$AB1271),Workforce!$A$2:$A$151,0))*N(INDEX(FTE_Allocation!$F$2:$H$201,$AB1271,$AC1271)),"")))</f>
        <v/>
      </c>
    </row>
    <row r="1272">
      <c r="A1272" s="7">
        <f>IF($Z1272="","",$AD1272)</f>
        <v/>
      </c>
      <c r="B1272" s="7">
        <f>IF($Z1272="C",INDEX(Contracts!$D$2:$D$151,$AB1272)&amp;"",IF($Z1272="A",INDEX(Fixed_Assets!$C$2:$C$201,$AB1272)&amp;"",IF($Z1272="F",INDEX(Workforce!$B$2:$B$151,MATCH(INDEX(FTE_Allocation!$A$2:$A$201,$AB1272),Workforce!$A$2:$A$151,0))&amp;"","")))</f>
        <v/>
      </c>
      <c r="C1272" s="7">
        <f>IF($Z1272="C",INDEX(Contracts!$E$2:$E$151,$AB1272)&amp;"",IF($Z1272="A",INDEX(Fixed_Assets!$D$2:$D$201,$AB1272)&amp;"",IF($Z1272="F",INDEX(FTE_Allocation!$C$2:$C$201,$AB1272)&amp;"","")))</f>
        <v/>
      </c>
      <c r="D1272" s="7">
        <f>IF($Z1272="C",INDEX(Contracts!$B$2:$B$151,$AB1272)&amp;"",IF($Z1272="A",INDEX(Fixed_Assets!$B$2:$B$201,$AB1272)&amp;"",IF($Z1272="F",INDEX(FTE_Allocation!$B$2:$B$201,$AB1272)&amp;"","")))</f>
        <v/>
      </c>
      <c r="E1272" s="7">
        <f>IF($Z1272="C",INDEX(Contracts!$P$2:$P$151,$AB1272)&amp;"",IF($Z1272="A",INDEX(Fixed_Assets!$K$2:$K$201,$AB1272)&amp;"",IF($Z1272="F",IF(INDEX(FTE_Allocation!$D$2:$D$201,$AB1272)="PROJECT",IFERROR(INDEX(Projects!$D:$D,MATCH(INDEX(FTE_Allocation!$E$2:$E$201,$AB1272),Projects!$A:$A,0))&amp;"","#PROJECT?"),INDEX(FTE_Allocation!$E$2:$E$201,$AB1272)&amp;""),"")))</f>
        <v/>
      </c>
      <c r="F1272" s="7">
        <f>IF($Z1272="C",INDEX(Contracts!$Q$2:$Q$151,$AB1272)&amp;"",IF($Z1272="A",INDEX(Fixed_Assets!$L$2:$L$201,$AB1272)&amp;"",IF($Z1272="F",INDEX(Workforce!$K$2:$K$151,MATCH(INDEX(FTE_Allocation!$A$2:$A$201,$AB1272),Workforce!$A$2:$A$151,0))&amp;"","")))</f>
        <v/>
      </c>
      <c r="G1272" s="7">
        <f>IF($Z1272="C",INDEX(Contracts!$F$2:$F$151,$AB1272)&amp;" / "&amp;INDEX(Contracts!$G$2:$G$151,$AB1272),IF($Z1272="A",INDEX(Fixed_Assets!$E$2:$E$201,$AB1272)&amp;"",IF($Z1272="F","Personnel "&amp;INDEX(FTE_Allocation!$A$2:$A$201,$AB1272)&amp;IF(INDEX(FTE_Allocation!$D$2:$D$201,$AB1272)="PROJECT"," ("&amp;INDEX(FTE_Allocation!$E$2:$E$201,$AB1272)&amp;")",""),"")))</f>
        <v/>
      </c>
      <c r="H1272" s="7">
        <f>IF($Z1272="C","CONTRACT",IF($Z1272="A","ASSET",IF($Z1272="F","WORKFORCE","")))</f>
        <v/>
      </c>
      <c r="I1272" s="7">
        <f>IF($Z1272="C",INDEX(Contracts!$L$2:$L$151,$AB1272)&amp;"",IF($Z1272="A",INDEX(Fixed_Assets!$I$2:$I$201,$AB1272)&amp;"",IF($Z1272="F",INDEX(Workforce!$G$2:$G$151,MATCH(INDEX(FTE_Allocation!$A$2:$A$201,$AB1272),Workforce!$A$2:$A$151,0))&amp;"","")))</f>
        <v/>
      </c>
      <c r="J1272" s="18">
        <f>IF($Z1272="","",IF(AND(DATE($AD1272,1,1)&gt;=$AE1272,DATE($AD1272,1,1)&lt;=$AF1272),ROUND($AG1272,2),0))</f>
        <v/>
      </c>
      <c r="K1272" s="18">
        <f>IF($Z1272="","",IF(AND(DATE($AD1272,2,1)&gt;=$AE1272,DATE($AD1272,2,1)&lt;=$AF1272),ROUND($AG1272,2),0))</f>
        <v/>
      </c>
      <c r="L1272" s="18">
        <f>IF($Z1272="","",IF(AND(DATE($AD1272,3,1)&gt;=$AE1272,DATE($AD1272,3,1)&lt;=$AF1272),ROUND($AG1272,2),0))</f>
        <v/>
      </c>
      <c r="M1272" s="18">
        <f>IF($Z1272="","",IF(AND(DATE($AD1272,4,1)&gt;=$AE1272,DATE($AD1272,4,1)&lt;=$AF1272),ROUND($AG1272,2),0))</f>
        <v/>
      </c>
      <c r="N1272" s="18">
        <f>IF($Z1272="","",IF(AND(DATE($AD1272,5,1)&gt;=$AE1272,DATE($AD1272,5,1)&lt;=$AF1272),ROUND($AG1272,2),0))</f>
        <v/>
      </c>
      <c r="O1272" s="18">
        <f>IF($Z1272="","",IF(AND(DATE($AD1272,6,1)&gt;=$AE1272,DATE($AD1272,6,1)&lt;=$AF1272),ROUND($AG1272,2),0))</f>
        <v/>
      </c>
      <c r="P1272" s="18">
        <f>IF($Z1272="","",IF(AND(DATE($AD1272,7,1)&gt;=$AE1272,DATE($AD1272,7,1)&lt;=$AF1272),ROUND($AG1272,2),0))</f>
        <v/>
      </c>
      <c r="Q1272" s="18">
        <f>IF($Z1272="","",IF(AND(DATE($AD1272,8,1)&gt;=$AE1272,DATE($AD1272,8,1)&lt;=$AF1272),ROUND($AG1272,2),0))</f>
        <v/>
      </c>
      <c r="R1272" s="18">
        <f>IF($Z1272="","",IF(AND(DATE($AD1272,9,1)&gt;=$AE1272,DATE($AD1272,9,1)&lt;=$AF1272),ROUND($AG1272,2),0))</f>
        <v/>
      </c>
      <c r="S1272" s="18">
        <f>IF($Z1272="","",IF(AND(DATE($AD1272,10,1)&gt;=$AE1272,DATE($AD1272,10,1)&lt;=$AF1272),ROUND($AG1272,2),0))</f>
        <v/>
      </c>
      <c r="T1272" s="18">
        <f>IF($Z1272="","",IF(AND(DATE($AD1272,11,1)&gt;=$AE1272,DATE($AD1272,11,1)&lt;=$AF1272),ROUND($AG1272,2),0))</f>
        <v/>
      </c>
      <c r="U1272" s="18">
        <f>IF($Z1272="","",IF(AND(DATE($AD1272,12,1)&gt;=$AE1272,DATE($AD1272,12,1)&lt;=$AF1272),ROUND($AG1272,2),0))</f>
        <v/>
      </c>
      <c r="V1272" s="7">
        <f>IF($Z1272="C","Generated from "&amp;INDEX(Contracts!$A$2:$A$151,$AB1272),IF($Z1272="A","Generated from "&amp;INDEX(Fixed_Assets!$A$2:$A$201,$AB1272),IF($Z1272="F","Generated from "&amp;INDEX(FTE_Allocation!$A$2:$A$201,$AB1272),"")))</f>
        <v/>
      </c>
      <c r="X1272" s="19">
        <f>IF($Z1272="","",SUM(J1272:U1272))</f>
        <v/>
      </c>
      <c r="Y1272" s="20">
        <f>ROW()-1</f>
        <v/>
      </c>
      <c r="Z1272" s="20">
        <f>IF($Y1272&lt;=Settings!$B$4*3,"C",IF($Y1272&lt;=(Settings!$B$4+Settings!$B$5)*3,"A",IF($Y1272&lt;=(Settings!$B$4+Settings!$B$5+Settings!$B$6)*3,"F","")))</f>
        <v/>
      </c>
      <c r="AA1272" s="20">
        <f>IF($Z1272="C",$Y1272,IF($Z1272="A",$Y1272-Settings!$B$4*3,IF($Z1272="F",$Y1272-(Settings!$B$4+Settings!$B$5)*3,"")))</f>
        <v/>
      </c>
      <c r="AB1272" s="20">
        <f>IF($Z1272="","",INT(($AA1272-1)/3)+1)</f>
        <v/>
      </c>
      <c r="AC1272" s="20">
        <f>IF($Z1272="","",MOD($AA1272-1,3)+1)</f>
        <v/>
      </c>
      <c r="AD1272" s="20">
        <f>IF($Z1272="","",Settings!$B$2+$AC1272-1)</f>
        <v/>
      </c>
      <c r="AE1272" s="21">
        <f>IF($Z1272="C",DATE(YEAR(INDEX(Contracts!$J$2:$J$151,$AB1272)),MONTH(INDEX(Contracts!$J$2:$J$151,$AB1272)),1),IF($Z1272="A",DATE(YEAR(INDEX(Fixed_Assets!$G$2:$G$201,$AB1272)),MONTH(INDEX(Fixed_Assets!$G$2:$G$201,$AB1272)),1),IF($Z1272="F",DATE(YEAR(MAX(N(INDEX(Workforce!$I$2:$I$151,MATCH(INDEX(FTE_Allocation!$A$2:$A$201,$AB1272),Workforce!$A$2:$A$151,0))),N(INDEX(FTE_Allocation!$I$2:$I$201,$AB1272)))),MONTH(MAX(N(INDEX(Workforce!$I$2:$I$151,MATCH(INDEX(FTE_Allocation!$A$2:$A$201,$AB1272),Workforce!$A$2:$A$151,0))),N(INDEX(FTE_Allocation!$I$2:$I$201,$AB1272)))),1),"")))</f>
        <v/>
      </c>
      <c r="AF1272" s="21">
        <f>IF($Z1272="C",IF(INDEX(Contracts!$I$2:$I$151,$AB1272)="PREPAID",EDATE(DATE(YEAR(INDEX(Contracts!$J$2:$J$151,$AB1272)),MONTH(INDEX(Contracts!$J$2:$J$151,$AB1272)),1),IF(INDEX(Contracts!$N$2:$N$151,$AB1272)="",12,INDEX(Contracts!$N$2:$N$151,$AB1272))-1),IF(INDEX(Contracts!$I$2:$I$151,$AB1272)="MONTHLY",IF(INDEX(Contracts!$K$2:$K$151,$AB1272)="",2958101,INDEX(Contracts!$K$2:$K$151,$AB1272)),0)),IF($Z1272="A",EDATE(DATE(YEAR(INDEX(Fixed_Assets!$G$2:$G$201,$AB1272)),MONTH(INDEX(Fixed_Assets!$G$2:$G$201,$AB1272)),1),INDEX(Fixed_Assets!$J$2:$J$201,$AB1272)-1),IF($Z1272="F",MIN(IF(INDEX(Workforce!$J$2:$J$151,MATCH(INDEX(FTE_Allocation!$A$2:$A$201,$AB1272),Workforce!$A$2:$A$151,0))="",2958101,INDEX(Workforce!$J$2:$J$151,MATCH(INDEX(FTE_Allocation!$A$2:$A$201,$AB1272),Workforce!$A$2:$A$151,0))),IF(INDEX(FTE_Allocation!$J$2:$J$201,$AB1272)="",2958101,INDEX(FTE_Allocation!$J$2:$J$201,$AB1272))),"")))</f>
        <v/>
      </c>
      <c r="AG1272" s="19">
        <f>IF($Z1272="C",IF(INDEX(Contracts!$I$2:$I$151,$AB1272)="PREPAID",INDEX(Contracts!$M$2:$M$151,$AB1272)/IF(INDEX(Contracts!$N$2:$N$151,$AB1272)="",12,INDEX(Contracts!$N$2:$N$151,$AB1272)),IF(INDEX(Contracts!$I$2:$I$151,$AB1272)="MONTHLY",INDEX(Contracts!$M$2:$M$151,$AB1272),0))*(1-N(INDEX(Contracts!$O$2:$O$151,$AB1272))),IF($Z1272="A",INDEX(Fixed_Assets!$H$2:$H$201,$AB1272)/INDEX(Fixed_Assets!$J$2:$J$201,$AB1272),IF($Z1272="F",INDEX(Workforce!$F$2:$F$151,MATCH(INDEX(FTE_Allocation!$A$2:$A$201,$AB1272),Workforce!$A$2:$A$151,0))*N(INDEX(FTE_Allocation!$F$2:$H$201,$AB1272,$AC1272)),"")))</f>
        <v/>
      </c>
    </row>
    <row r="1273">
      <c r="A1273" s="7">
        <f>IF($Z1273="","",$AD1273)</f>
        <v/>
      </c>
      <c r="B1273" s="7">
        <f>IF($Z1273="C",INDEX(Contracts!$D$2:$D$151,$AB1273)&amp;"",IF($Z1273="A",INDEX(Fixed_Assets!$C$2:$C$201,$AB1273)&amp;"",IF($Z1273="F",INDEX(Workforce!$B$2:$B$151,MATCH(INDEX(FTE_Allocation!$A$2:$A$201,$AB1273),Workforce!$A$2:$A$151,0))&amp;"","")))</f>
        <v/>
      </c>
      <c r="C1273" s="7">
        <f>IF($Z1273="C",INDEX(Contracts!$E$2:$E$151,$AB1273)&amp;"",IF($Z1273="A",INDEX(Fixed_Assets!$D$2:$D$201,$AB1273)&amp;"",IF($Z1273="F",INDEX(FTE_Allocation!$C$2:$C$201,$AB1273)&amp;"","")))</f>
        <v/>
      </c>
      <c r="D1273" s="7">
        <f>IF($Z1273="C",INDEX(Contracts!$B$2:$B$151,$AB1273)&amp;"",IF($Z1273="A",INDEX(Fixed_Assets!$B$2:$B$201,$AB1273)&amp;"",IF($Z1273="F",INDEX(FTE_Allocation!$B$2:$B$201,$AB1273)&amp;"","")))</f>
        <v/>
      </c>
      <c r="E1273" s="7">
        <f>IF($Z1273="C",INDEX(Contracts!$P$2:$P$151,$AB1273)&amp;"",IF($Z1273="A",INDEX(Fixed_Assets!$K$2:$K$201,$AB1273)&amp;"",IF($Z1273="F",IF(INDEX(FTE_Allocation!$D$2:$D$201,$AB1273)="PROJECT",IFERROR(INDEX(Projects!$D:$D,MATCH(INDEX(FTE_Allocation!$E$2:$E$201,$AB1273),Projects!$A:$A,0))&amp;"","#PROJECT?"),INDEX(FTE_Allocation!$E$2:$E$201,$AB1273)&amp;""),"")))</f>
        <v/>
      </c>
      <c r="F1273" s="7">
        <f>IF($Z1273="C",INDEX(Contracts!$Q$2:$Q$151,$AB1273)&amp;"",IF($Z1273="A",INDEX(Fixed_Assets!$L$2:$L$201,$AB1273)&amp;"",IF($Z1273="F",INDEX(Workforce!$K$2:$K$151,MATCH(INDEX(FTE_Allocation!$A$2:$A$201,$AB1273),Workforce!$A$2:$A$151,0))&amp;"","")))</f>
        <v/>
      </c>
      <c r="G1273" s="7">
        <f>IF($Z1273="C",INDEX(Contracts!$F$2:$F$151,$AB1273)&amp;" / "&amp;INDEX(Contracts!$G$2:$G$151,$AB1273),IF($Z1273="A",INDEX(Fixed_Assets!$E$2:$E$201,$AB1273)&amp;"",IF($Z1273="F","Personnel "&amp;INDEX(FTE_Allocation!$A$2:$A$201,$AB1273)&amp;IF(INDEX(FTE_Allocation!$D$2:$D$201,$AB1273)="PROJECT"," ("&amp;INDEX(FTE_Allocation!$E$2:$E$201,$AB1273)&amp;")",""),"")))</f>
        <v/>
      </c>
      <c r="H1273" s="7">
        <f>IF($Z1273="C","CONTRACT",IF($Z1273="A","ASSET",IF($Z1273="F","WORKFORCE","")))</f>
        <v/>
      </c>
      <c r="I1273" s="7">
        <f>IF($Z1273="C",INDEX(Contracts!$L$2:$L$151,$AB1273)&amp;"",IF($Z1273="A",INDEX(Fixed_Assets!$I$2:$I$201,$AB1273)&amp;"",IF($Z1273="F",INDEX(Workforce!$G$2:$G$151,MATCH(INDEX(FTE_Allocation!$A$2:$A$201,$AB1273),Workforce!$A$2:$A$151,0))&amp;"","")))</f>
        <v/>
      </c>
      <c r="J1273" s="18">
        <f>IF($Z1273="","",IF(AND(DATE($AD1273,1,1)&gt;=$AE1273,DATE($AD1273,1,1)&lt;=$AF1273),ROUND($AG1273,2),0))</f>
        <v/>
      </c>
      <c r="K1273" s="18">
        <f>IF($Z1273="","",IF(AND(DATE($AD1273,2,1)&gt;=$AE1273,DATE($AD1273,2,1)&lt;=$AF1273),ROUND($AG1273,2),0))</f>
        <v/>
      </c>
      <c r="L1273" s="18">
        <f>IF($Z1273="","",IF(AND(DATE($AD1273,3,1)&gt;=$AE1273,DATE($AD1273,3,1)&lt;=$AF1273),ROUND($AG1273,2),0))</f>
        <v/>
      </c>
      <c r="M1273" s="18">
        <f>IF($Z1273="","",IF(AND(DATE($AD1273,4,1)&gt;=$AE1273,DATE($AD1273,4,1)&lt;=$AF1273),ROUND($AG1273,2),0))</f>
        <v/>
      </c>
      <c r="N1273" s="18">
        <f>IF($Z1273="","",IF(AND(DATE($AD1273,5,1)&gt;=$AE1273,DATE($AD1273,5,1)&lt;=$AF1273),ROUND($AG1273,2),0))</f>
        <v/>
      </c>
      <c r="O1273" s="18">
        <f>IF($Z1273="","",IF(AND(DATE($AD1273,6,1)&gt;=$AE1273,DATE($AD1273,6,1)&lt;=$AF1273),ROUND($AG1273,2),0))</f>
        <v/>
      </c>
      <c r="P1273" s="18">
        <f>IF($Z1273="","",IF(AND(DATE($AD1273,7,1)&gt;=$AE1273,DATE($AD1273,7,1)&lt;=$AF1273),ROUND($AG1273,2),0))</f>
        <v/>
      </c>
      <c r="Q1273" s="18">
        <f>IF($Z1273="","",IF(AND(DATE($AD1273,8,1)&gt;=$AE1273,DATE($AD1273,8,1)&lt;=$AF1273),ROUND($AG1273,2),0))</f>
        <v/>
      </c>
      <c r="R1273" s="18">
        <f>IF($Z1273="","",IF(AND(DATE($AD1273,9,1)&gt;=$AE1273,DATE($AD1273,9,1)&lt;=$AF1273),ROUND($AG1273,2),0))</f>
        <v/>
      </c>
      <c r="S1273" s="18">
        <f>IF($Z1273="","",IF(AND(DATE($AD1273,10,1)&gt;=$AE1273,DATE($AD1273,10,1)&lt;=$AF1273),ROUND($AG1273,2),0))</f>
        <v/>
      </c>
      <c r="T1273" s="18">
        <f>IF($Z1273="","",IF(AND(DATE($AD1273,11,1)&gt;=$AE1273,DATE($AD1273,11,1)&lt;=$AF1273),ROUND($AG1273,2),0))</f>
        <v/>
      </c>
      <c r="U1273" s="18">
        <f>IF($Z1273="","",IF(AND(DATE($AD1273,12,1)&gt;=$AE1273,DATE($AD1273,12,1)&lt;=$AF1273),ROUND($AG1273,2),0))</f>
        <v/>
      </c>
      <c r="V1273" s="7">
        <f>IF($Z1273="C","Generated from "&amp;INDEX(Contracts!$A$2:$A$151,$AB1273),IF($Z1273="A","Generated from "&amp;INDEX(Fixed_Assets!$A$2:$A$201,$AB1273),IF($Z1273="F","Generated from "&amp;INDEX(FTE_Allocation!$A$2:$A$201,$AB1273),"")))</f>
        <v/>
      </c>
      <c r="X1273" s="19">
        <f>IF($Z1273="","",SUM(J1273:U1273))</f>
        <v/>
      </c>
      <c r="Y1273" s="20">
        <f>ROW()-1</f>
        <v/>
      </c>
      <c r="Z1273" s="20">
        <f>IF($Y1273&lt;=Settings!$B$4*3,"C",IF($Y1273&lt;=(Settings!$B$4+Settings!$B$5)*3,"A",IF($Y1273&lt;=(Settings!$B$4+Settings!$B$5+Settings!$B$6)*3,"F","")))</f>
        <v/>
      </c>
      <c r="AA1273" s="20">
        <f>IF($Z1273="C",$Y1273,IF($Z1273="A",$Y1273-Settings!$B$4*3,IF($Z1273="F",$Y1273-(Settings!$B$4+Settings!$B$5)*3,"")))</f>
        <v/>
      </c>
      <c r="AB1273" s="20">
        <f>IF($Z1273="","",INT(($AA1273-1)/3)+1)</f>
        <v/>
      </c>
      <c r="AC1273" s="20">
        <f>IF($Z1273="","",MOD($AA1273-1,3)+1)</f>
        <v/>
      </c>
      <c r="AD1273" s="20">
        <f>IF($Z1273="","",Settings!$B$2+$AC1273-1)</f>
        <v/>
      </c>
      <c r="AE1273" s="21">
        <f>IF($Z1273="C",DATE(YEAR(INDEX(Contracts!$J$2:$J$151,$AB1273)),MONTH(INDEX(Contracts!$J$2:$J$151,$AB1273)),1),IF($Z1273="A",DATE(YEAR(INDEX(Fixed_Assets!$G$2:$G$201,$AB1273)),MONTH(INDEX(Fixed_Assets!$G$2:$G$201,$AB1273)),1),IF($Z1273="F",DATE(YEAR(MAX(N(INDEX(Workforce!$I$2:$I$151,MATCH(INDEX(FTE_Allocation!$A$2:$A$201,$AB1273),Workforce!$A$2:$A$151,0))),N(INDEX(FTE_Allocation!$I$2:$I$201,$AB1273)))),MONTH(MAX(N(INDEX(Workforce!$I$2:$I$151,MATCH(INDEX(FTE_Allocation!$A$2:$A$201,$AB1273),Workforce!$A$2:$A$151,0))),N(INDEX(FTE_Allocation!$I$2:$I$201,$AB1273)))),1),"")))</f>
        <v/>
      </c>
      <c r="AF1273" s="21">
        <f>IF($Z1273="C",IF(INDEX(Contracts!$I$2:$I$151,$AB1273)="PREPAID",EDATE(DATE(YEAR(INDEX(Contracts!$J$2:$J$151,$AB1273)),MONTH(INDEX(Contracts!$J$2:$J$151,$AB1273)),1),IF(INDEX(Contracts!$N$2:$N$151,$AB1273)="",12,INDEX(Contracts!$N$2:$N$151,$AB1273))-1),IF(INDEX(Contracts!$I$2:$I$151,$AB1273)="MONTHLY",IF(INDEX(Contracts!$K$2:$K$151,$AB1273)="",2958101,INDEX(Contracts!$K$2:$K$151,$AB1273)),0)),IF($Z1273="A",EDATE(DATE(YEAR(INDEX(Fixed_Assets!$G$2:$G$201,$AB1273)),MONTH(INDEX(Fixed_Assets!$G$2:$G$201,$AB1273)),1),INDEX(Fixed_Assets!$J$2:$J$201,$AB1273)-1),IF($Z1273="F",MIN(IF(INDEX(Workforce!$J$2:$J$151,MATCH(INDEX(FTE_Allocation!$A$2:$A$201,$AB1273),Workforce!$A$2:$A$151,0))="",2958101,INDEX(Workforce!$J$2:$J$151,MATCH(INDEX(FTE_Allocation!$A$2:$A$201,$AB1273),Workforce!$A$2:$A$151,0))),IF(INDEX(FTE_Allocation!$J$2:$J$201,$AB1273)="",2958101,INDEX(FTE_Allocation!$J$2:$J$201,$AB1273))),"")))</f>
        <v/>
      </c>
      <c r="AG1273" s="19">
        <f>IF($Z1273="C",IF(INDEX(Contracts!$I$2:$I$151,$AB1273)="PREPAID",INDEX(Contracts!$M$2:$M$151,$AB1273)/IF(INDEX(Contracts!$N$2:$N$151,$AB1273)="",12,INDEX(Contracts!$N$2:$N$151,$AB1273)),IF(INDEX(Contracts!$I$2:$I$151,$AB1273)="MONTHLY",INDEX(Contracts!$M$2:$M$151,$AB1273),0))*(1-N(INDEX(Contracts!$O$2:$O$151,$AB1273))),IF($Z1273="A",INDEX(Fixed_Assets!$H$2:$H$201,$AB1273)/INDEX(Fixed_Assets!$J$2:$J$201,$AB1273),IF($Z1273="F",INDEX(Workforce!$F$2:$F$151,MATCH(INDEX(FTE_Allocation!$A$2:$A$201,$AB1273),Workforce!$A$2:$A$151,0))*N(INDEX(FTE_Allocation!$F$2:$H$201,$AB1273,$AC1273)),"")))</f>
        <v/>
      </c>
    </row>
    <row r="1274">
      <c r="A1274" s="7">
        <f>IF($Z1274="","",$AD1274)</f>
        <v/>
      </c>
      <c r="B1274" s="7">
        <f>IF($Z1274="C",INDEX(Contracts!$D$2:$D$151,$AB1274)&amp;"",IF($Z1274="A",INDEX(Fixed_Assets!$C$2:$C$201,$AB1274)&amp;"",IF($Z1274="F",INDEX(Workforce!$B$2:$B$151,MATCH(INDEX(FTE_Allocation!$A$2:$A$201,$AB1274),Workforce!$A$2:$A$151,0))&amp;"","")))</f>
        <v/>
      </c>
      <c r="C1274" s="7">
        <f>IF($Z1274="C",INDEX(Contracts!$E$2:$E$151,$AB1274)&amp;"",IF($Z1274="A",INDEX(Fixed_Assets!$D$2:$D$201,$AB1274)&amp;"",IF($Z1274="F",INDEX(FTE_Allocation!$C$2:$C$201,$AB1274)&amp;"","")))</f>
        <v/>
      </c>
      <c r="D1274" s="7">
        <f>IF($Z1274="C",INDEX(Contracts!$B$2:$B$151,$AB1274)&amp;"",IF($Z1274="A",INDEX(Fixed_Assets!$B$2:$B$201,$AB1274)&amp;"",IF($Z1274="F",INDEX(FTE_Allocation!$B$2:$B$201,$AB1274)&amp;"","")))</f>
        <v/>
      </c>
      <c r="E1274" s="7">
        <f>IF($Z1274="C",INDEX(Contracts!$P$2:$P$151,$AB1274)&amp;"",IF($Z1274="A",INDEX(Fixed_Assets!$K$2:$K$201,$AB1274)&amp;"",IF($Z1274="F",IF(INDEX(FTE_Allocation!$D$2:$D$201,$AB1274)="PROJECT",IFERROR(INDEX(Projects!$D:$D,MATCH(INDEX(FTE_Allocation!$E$2:$E$201,$AB1274),Projects!$A:$A,0))&amp;"","#PROJECT?"),INDEX(FTE_Allocation!$E$2:$E$201,$AB1274)&amp;""),"")))</f>
        <v/>
      </c>
      <c r="F1274" s="7">
        <f>IF($Z1274="C",INDEX(Contracts!$Q$2:$Q$151,$AB1274)&amp;"",IF($Z1274="A",INDEX(Fixed_Assets!$L$2:$L$201,$AB1274)&amp;"",IF($Z1274="F",INDEX(Workforce!$K$2:$K$151,MATCH(INDEX(FTE_Allocation!$A$2:$A$201,$AB1274),Workforce!$A$2:$A$151,0))&amp;"","")))</f>
        <v/>
      </c>
      <c r="G1274" s="7">
        <f>IF($Z1274="C",INDEX(Contracts!$F$2:$F$151,$AB1274)&amp;" / "&amp;INDEX(Contracts!$G$2:$G$151,$AB1274),IF($Z1274="A",INDEX(Fixed_Assets!$E$2:$E$201,$AB1274)&amp;"",IF($Z1274="F","Personnel "&amp;INDEX(FTE_Allocation!$A$2:$A$201,$AB1274)&amp;IF(INDEX(FTE_Allocation!$D$2:$D$201,$AB1274)="PROJECT"," ("&amp;INDEX(FTE_Allocation!$E$2:$E$201,$AB1274)&amp;")",""),"")))</f>
        <v/>
      </c>
      <c r="H1274" s="7">
        <f>IF($Z1274="C","CONTRACT",IF($Z1274="A","ASSET",IF($Z1274="F","WORKFORCE","")))</f>
        <v/>
      </c>
      <c r="I1274" s="7">
        <f>IF($Z1274="C",INDEX(Contracts!$L$2:$L$151,$AB1274)&amp;"",IF($Z1274="A",INDEX(Fixed_Assets!$I$2:$I$201,$AB1274)&amp;"",IF($Z1274="F",INDEX(Workforce!$G$2:$G$151,MATCH(INDEX(FTE_Allocation!$A$2:$A$201,$AB1274),Workforce!$A$2:$A$151,0))&amp;"","")))</f>
        <v/>
      </c>
      <c r="J1274" s="18">
        <f>IF($Z1274="","",IF(AND(DATE($AD1274,1,1)&gt;=$AE1274,DATE($AD1274,1,1)&lt;=$AF1274),ROUND($AG1274,2),0))</f>
        <v/>
      </c>
      <c r="K1274" s="18">
        <f>IF($Z1274="","",IF(AND(DATE($AD1274,2,1)&gt;=$AE1274,DATE($AD1274,2,1)&lt;=$AF1274),ROUND($AG1274,2),0))</f>
        <v/>
      </c>
      <c r="L1274" s="18">
        <f>IF($Z1274="","",IF(AND(DATE($AD1274,3,1)&gt;=$AE1274,DATE($AD1274,3,1)&lt;=$AF1274),ROUND($AG1274,2),0))</f>
        <v/>
      </c>
      <c r="M1274" s="18">
        <f>IF($Z1274="","",IF(AND(DATE($AD1274,4,1)&gt;=$AE1274,DATE($AD1274,4,1)&lt;=$AF1274),ROUND($AG1274,2),0))</f>
        <v/>
      </c>
      <c r="N1274" s="18">
        <f>IF($Z1274="","",IF(AND(DATE($AD1274,5,1)&gt;=$AE1274,DATE($AD1274,5,1)&lt;=$AF1274),ROUND($AG1274,2),0))</f>
        <v/>
      </c>
      <c r="O1274" s="18">
        <f>IF($Z1274="","",IF(AND(DATE($AD1274,6,1)&gt;=$AE1274,DATE($AD1274,6,1)&lt;=$AF1274),ROUND($AG1274,2),0))</f>
        <v/>
      </c>
      <c r="P1274" s="18">
        <f>IF($Z1274="","",IF(AND(DATE($AD1274,7,1)&gt;=$AE1274,DATE($AD1274,7,1)&lt;=$AF1274),ROUND($AG1274,2),0))</f>
        <v/>
      </c>
      <c r="Q1274" s="18">
        <f>IF($Z1274="","",IF(AND(DATE($AD1274,8,1)&gt;=$AE1274,DATE($AD1274,8,1)&lt;=$AF1274),ROUND($AG1274,2),0))</f>
        <v/>
      </c>
      <c r="R1274" s="18">
        <f>IF($Z1274="","",IF(AND(DATE($AD1274,9,1)&gt;=$AE1274,DATE($AD1274,9,1)&lt;=$AF1274),ROUND($AG1274,2),0))</f>
        <v/>
      </c>
      <c r="S1274" s="18">
        <f>IF($Z1274="","",IF(AND(DATE($AD1274,10,1)&gt;=$AE1274,DATE($AD1274,10,1)&lt;=$AF1274),ROUND($AG1274,2),0))</f>
        <v/>
      </c>
      <c r="T1274" s="18">
        <f>IF($Z1274="","",IF(AND(DATE($AD1274,11,1)&gt;=$AE1274,DATE($AD1274,11,1)&lt;=$AF1274),ROUND($AG1274,2),0))</f>
        <v/>
      </c>
      <c r="U1274" s="18">
        <f>IF($Z1274="","",IF(AND(DATE($AD1274,12,1)&gt;=$AE1274,DATE($AD1274,12,1)&lt;=$AF1274),ROUND($AG1274,2),0))</f>
        <v/>
      </c>
      <c r="V1274" s="7">
        <f>IF($Z1274="C","Generated from "&amp;INDEX(Contracts!$A$2:$A$151,$AB1274),IF($Z1274="A","Generated from "&amp;INDEX(Fixed_Assets!$A$2:$A$201,$AB1274),IF($Z1274="F","Generated from "&amp;INDEX(FTE_Allocation!$A$2:$A$201,$AB1274),"")))</f>
        <v/>
      </c>
      <c r="X1274" s="19">
        <f>IF($Z1274="","",SUM(J1274:U1274))</f>
        <v/>
      </c>
      <c r="Y1274" s="20">
        <f>ROW()-1</f>
        <v/>
      </c>
      <c r="Z1274" s="20">
        <f>IF($Y1274&lt;=Settings!$B$4*3,"C",IF($Y1274&lt;=(Settings!$B$4+Settings!$B$5)*3,"A",IF($Y1274&lt;=(Settings!$B$4+Settings!$B$5+Settings!$B$6)*3,"F","")))</f>
        <v/>
      </c>
      <c r="AA1274" s="20">
        <f>IF($Z1274="C",$Y1274,IF($Z1274="A",$Y1274-Settings!$B$4*3,IF($Z1274="F",$Y1274-(Settings!$B$4+Settings!$B$5)*3,"")))</f>
        <v/>
      </c>
      <c r="AB1274" s="20">
        <f>IF($Z1274="","",INT(($AA1274-1)/3)+1)</f>
        <v/>
      </c>
      <c r="AC1274" s="20">
        <f>IF($Z1274="","",MOD($AA1274-1,3)+1)</f>
        <v/>
      </c>
      <c r="AD1274" s="20">
        <f>IF($Z1274="","",Settings!$B$2+$AC1274-1)</f>
        <v/>
      </c>
      <c r="AE1274" s="21">
        <f>IF($Z1274="C",DATE(YEAR(INDEX(Contracts!$J$2:$J$151,$AB1274)),MONTH(INDEX(Contracts!$J$2:$J$151,$AB1274)),1),IF($Z1274="A",DATE(YEAR(INDEX(Fixed_Assets!$G$2:$G$201,$AB1274)),MONTH(INDEX(Fixed_Assets!$G$2:$G$201,$AB1274)),1),IF($Z1274="F",DATE(YEAR(MAX(N(INDEX(Workforce!$I$2:$I$151,MATCH(INDEX(FTE_Allocation!$A$2:$A$201,$AB1274),Workforce!$A$2:$A$151,0))),N(INDEX(FTE_Allocation!$I$2:$I$201,$AB1274)))),MONTH(MAX(N(INDEX(Workforce!$I$2:$I$151,MATCH(INDEX(FTE_Allocation!$A$2:$A$201,$AB1274),Workforce!$A$2:$A$151,0))),N(INDEX(FTE_Allocation!$I$2:$I$201,$AB1274)))),1),"")))</f>
        <v/>
      </c>
      <c r="AF1274" s="21">
        <f>IF($Z1274="C",IF(INDEX(Contracts!$I$2:$I$151,$AB1274)="PREPAID",EDATE(DATE(YEAR(INDEX(Contracts!$J$2:$J$151,$AB1274)),MONTH(INDEX(Contracts!$J$2:$J$151,$AB1274)),1),IF(INDEX(Contracts!$N$2:$N$151,$AB1274)="",12,INDEX(Contracts!$N$2:$N$151,$AB1274))-1),IF(INDEX(Contracts!$I$2:$I$151,$AB1274)="MONTHLY",IF(INDEX(Contracts!$K$2:$K$151,$AB1274)="",2958101,INDEX(Contracts!$K$2:$K$151,$AB1274)),0)),IF($Z1274="A",EDATE(DATE(YEAR(INDEX(Fixed_Assets!$G$2:$G$201,$AB1274)),MONTH(INDEX(Fixed_Assets!$G$2:$G$201,$AB1274)),1),INDEX(Fixed_Assets!$J$2:$J$201,$AB1274)-1),IF($Z1274="F",MIN(IF(INDEX(Workforce!$J$2:$J$151,MATCH(INDEX(FTE_Allocation!$A$2:$A$201,$AB1274),Workforce!$A$2:$A$151,0))="",2958101,INDEX(Workforce!$J$2:$J$151,MATCH(INDEX(FTE_Allocation!$A$2:$A$201,$AB1274),Workforce!$A$2:$A$151,0))),IF(INDEX(FTE_Allocation!$J$2:$J$201,$AB1274)="",2958101,INDEX(FTE_Allocation!$J$2:$J$201,$AB1274))),"")))</f>
        <v/>
      </c>
      <c r="AG1274" s="19">
        <f>IF($Z1274="C",IF(INDEX(Contracts!$I$2:$I$151,$AB1274)="PREPAID",INDEX(Contracts!$M$2:$M$151,$AB1274)/IF(INDEX(Contracts!$N$2:$N$151,$AB1274)="",12,INDEX(Contracts!$N$2:$N$151,$AB1274)),IF(INDEX(Contracts!$I$2:$I$151,$AB1274)="MONTHLY",INDEX(Contracts!$M$2:$M$151,$AB1274),0))*(1-N(INDEX(Contracts!$O$2:$O$151,$AB1274))),IF($Z1274="A",INDEX(Fixed_Assets!$H$2:$H$201,$AB1274)/INDEX(Fixed_Assets!$J$2:$J$201,$AB1274),IF($Z1274="F",INDEX(Workforce!$F$2:$F$151,MATCH(INDEX(FTE_Allocation!$A$2:$A$201,$AB1274),Workforce!$A$2:$A$151,0))*N(INDEX(FTE_Allocation!$F$2:$H$201,$AB1274,$AC1274)),"")))</f>
        <v/>
      </c>
    </row>
    <row r="1275">
      <c r="A1275" s="7">
        <f>IF($Z1275="","",$AD1275)</f>
        <v/>
      </c>
      <c r="B1275" s="7">
        <f>IF($Z1275="C",INDEX(Contracts!$D$2:$D$151,$AB1275)&amp;"",IF($Z1275="A",INDEX(Fixed_Assets!$C$2:$C$201,$AB1275)&amp;"",IF($Z1275="F",INDEX(Workforce!$B$2:$B$151,MATCH(INDEX(FTE_Allocation!$A$2:$A$201,$AB1275),Workforce!$A$2:$A$151,0))&amp;"","")))</f>
        <v/>
      </c>
      <c r="C1275" s="7">
        <f>IF($Z1275="C",INDEX(Contracts!$E$2:$E$151,$AB1275)&amp;"",IF($Z1275="A",INDEX(Fixed_Assets!$D$2:$D$201,$AB1275)&amp;"",IF($Z1275="F",INDEX(FTE_Allocation!$C$2:$C$201,$AB1275)&amp;"","")))</f>
        <v/>
      </c>
      <c r="D1275" s="7">
        <f>IF($Z1275="C",INDEX(Contracts!$B$2:$B$151,$AB1275)&amp;"",IF($Z1275="A",INDEX(Fixed_Assets!$B$2:$B$201,$AB1275)&amp;"",IF($Z1275="F",INDEX(FTE_Allocation!$B$2:$B$201,$AB1275)&amp;"","")))</f>
        <v/>
      </c>
      <c r="E1275" s="7">
        <f>IF($Z1275="C",INDEX(Contracts!$P$2:$P$151,$AB1275)&amp;"",IF($Z1275="A",INDEX(Fixed_Assets!$K$2:$K$201,$AB1275)&amp;"",IF($Z1275="F",IF(INDEX(FTE_Allocation!$D$2:$D$201,$AB1275)="PROJECT",IFERROR(INDEX(Projects!$D:$D,MATCH(INDEX(FTE_Allocation!$E$2:$E$201,$AB1275),Projects!$A:$A,0))&amp;"","#PROJECT?"),INDEX(FTE_Allocation!$E$2:$E$201,$AB1275)&amp;""),"")))</f>
        <v/>
      </c>
      <c r="F1275" s="7">
        <f>IF($Z1275="C",INDEX(Contracts!$Q$2:$Q$151,$AB1275)&amp;"",IF($Z1275="A",INDEX(Fixed_Assets!$L$2:$L$201,$AB1275)&amp;"",IF($Z1275="F",INDEX(Workforce!$K$2:$K$151,MATCH(INDEX(FTE_Allocation!$A$2:$A$201,$AB1275),Workforce!$A$2:$A$151,0))&amp;"","")))</f>
        <v/>
      </c>
      <c r="G1275" s="7">
        <f>IF($Z1275="C",INDEX(Contracts!$F$2:$F$151,$AB1275)&amp;" / "&amp;INDEX(Contracts!$G$2:$G$151,$AB1275),IF($Z1275="A",INDEX(Fixed_Assets!$E$2:$E$201,$AB1275)&amp;"",IF($Z1275="F","Personnel "&amp;INDEX(FTE_Allocation!$A$2:$A$201,$AB1275)&amp;IF(INDEX(FTE_Allocation!$D$2:$D$201,$AB1275)="PROJECT"," ("&amp;INDEX(FTE_Allocation!$E$2:$E$201,$AB1275)&amp;")",""),"")))</f>
        <v/>
      </c>
      <c r="H1275" s="7">
        <f>IF($Z1275="C","CONTRACT",IF($Z1275="A","ASSET",IF($Z1275="F","WORKFORCE","")))</f>
        <v/>
      </c>
      <c r="I1275" s="7">
        <f>IF($Z1275="C",INDEX(Contracts!$L$2:$L$151,$AB1275)&amp;"",IF($Z1275="A",INDEX(Fixed_Assets!$I$2:$I$201,$AB1275)&amp;"",IF($Z1275="F",INDEX(Workforce!$G$2:$G$151,MATCH(INDEX(FTE_Allocation!$A$2:$A$201,$AB1275),Workforce!$A$2:$A$151,0))&amp;"","")))</f>
        <v/>
      </c>
      <c r="J1275" s="18">
        <f>IF($Z1275="","",IF(AND(DATE($AD1275,1,1)&gt;=$AE1275,DATE($AD1275,1,1)&lt;=$AF1275),ROUND($AG1275,2),0))</f>
        <v/>
      </c>
      <c r="K1275" s="18">
        <f>IF($Z1275="","",IF(AND(DATE($AD1275,2,1)&gt;=$AE1275,DATE($AD1275,2,1)&lt;=$AF1275),ROUND($AG1275,2),0))</f>
        <v/>
      </c>
      <c r="L1275" s="18">
        <f>IF($Z1275="","",IF(AND(DATE($AD1275,3,1)&gt;=$AE1275,DATE($AD1275,3,1)&lt;=$AF1275),ROUND($AG1275,2),0))</f>
        <v/>
      </c>
      <c r="M1275" s="18">
        <f>IF($Z1275="","",IF(AND(DATE($AD1275,4,1)&gt;=$AE1275,DATE($AD1275,4,1)&lt;=$AF1275),ROUND($AG1275,2),0))</f>
        <v/>
      </c>
      <c r="N1275" s="18">
        <f>IF($Z1275="","",IF(AND(DATE($AD1275,5,1)&gt;=$AE1275,DATE($AD1275,5,1)&lt;=$AF1275),ROUND($AG1275,2),0))</f>
        <v/>
      </c>
      <c r="O1275" s="18">
        <f>IF($Z1275="","",IF(AND(DATE($AD1275,6,1)&gt;=$AE1275,DATE($AD1275,6,1)&lt;=$AF1275),ROUND($AG1275,2),0))</f>
        <v/>
      </c>
      <c r="P1275" s="18">
        <f>IF($Z1275="","",IF(AND(DATE($AD1275,7,1)&gt;=$AE1275,DATE($AD1275,7,1)&lt;=$AF1275),ROUND($AG1275,2),0))</f>
        <v/>
      </c>
      <c r="Q1275" s="18">
        <f>IF($Z1275="","",IF(AND(DATE($AD1275,8,1)&gt;=$AE1275,DATE($AD1275,8,1)&lt;=$AF1275),ROUND($AG1275,2),0))</f>
        <v/>
      </c>
      <c r="R1275" s="18">
        <f>IF($Z1275="","",IF(AND(DATE($AD1275,9,1)&gt;=$AE1275,DATE($AD1275,9,1)&lt;=$AF1275),ROUND($AG1275,2),0))</f>
        <v/>
      </c>
      <c r="S1275" s="18">
        <f>IF($Z1275="","",IF(AND(DATE($AD1275,10,1)&gt;=$AE1275,DATE($AD1275,10,1)&lt;=$AF1275),ROUND($AG1275,2),0))</f>
        <v/>
      </c>
      <c r="T1275" s="18">
        <f>IF($Z1275="","",IF(AND(DATE($AD1275,11,1)&gt;=$AE1275,DATE($AD1275,11,1)&lt;=$AF1275),ROUND($AG1275,2),0))</f>
        <v/>
      </c>
      <c r="U1275" s="18">
        <f>IF($Z1275="","",IF(AND(DATE($AD1275,12,1)&gt;=$AE1275,DATE($AD1275,12,1)&lt;=$AF1275),ROUND($AG1275,2),0))</f>
        <v/>
      </c>
      <c r="V1275" s="7">
        <f>IF($Z1275="C","Generated from "&amp;INDEX(Contracts!$A$2:$A$151,$AB1275),IF($Z1275="A","Generated from "&amp;INDEX(Fixed_Assets!$A$2:$A$201,$AB1275),IF($Z1275="F","Generated from "&amp;INDEX(FTE_Allocation!$A$2:$A$201,$AB1275),"")))</f>
        <v/>
      </c>
      <c r="X1275" s="19">
        <f>IF($Z1275="","",SUM(J1275:U1275))</f>
        <v/>
      </c>
      <c r="Y1275" s="20">
        <f>ROW()-1</f>
        <v/>
      </c>
      <c r="Z1275" s="20">
        <f>IF($Y1275&lt;=Settings!$B$4*3,"C",IF($Y1275&lt;=(Settings!$B$4+Settings!$B$5)*3,"A",IF($Y1275&lt;=(Settings!$B$4+Settings!$B$5+Settings!$B$6)*3,"F","")))</f>
        <v/>
      </c>
      <c r="AA1275" s="20">
        <f>IF($Z1275="C",$Y1275,IF($Z1275="A",$Y1275-Settings!$B$4*3,IF($Z1275="F",$Y1275-(Settings!$B$4+Settings!$B$5)*3,"")))</f>
        <v/>
      </c>
      <c r="AB1275" s="20">
        <f>IF($Z1275="","",INT(($AA1275-1)/3)+1)</f>
        <v/>
      </c>
      <c r="AC1275" s="20">
        <f>IF($Z1275="","",MOD($AA1275-1,3)+1)</f>
        <v/>
      </c>
      <c r="AD1275" s="20">
        <f>IF($Z1275="","",Settings!$B$2+$AC1275-1)</f>
        <v/>
      </c>
      <c r="AE1275" s="21">
        <f>IF($Z1275="C",DATE(YEAR(INDEX(Contracts!$J$2:$J$151,$AB1275)),MONTH(INDEX(Contracts!$J$2:$J$151,$AB1275)),1),IF($Z1275="A",DATE(YEAR(INDEX(Fixed_Assets!$G$2:$G$201,$AB1275)),MONTH(INDEX(Fixed_Assets!$G$2:$G$201,$AB1275)),1),IF($Z1275="F",DATE(YEAR(MAX(N(INDEX(Workforce!$I$2:$I$151,MATCH(INDEX(FTE_Allocation!$A$2:$A$201,$AB1275),Workforce!$A$2:$A$151,0))),N(INDEX(FTE_Allocation!$I$2:$I$201,$AB1275)))),MONTH(MAX(N(INDEX(Workforce!$I$2:$I$151,MATCH(INDEX(FTE_Allocation!$A$2:$A$201,$AB1275),Workforce!$A$2:$A$151,0))),N(INDEX(FTE_Allocation!$I$2:$I$201,$AB1275)))),1),"")))</f>
        <v/>
      </c>
      <c r="AF1275" s="21">
        <f>IF($Z1275="C",IF(INDEX(Contracts!$I$2:$I$151,$AB1275)="PREPAID",EDATE(DATE(YEAR(INDEX(Contracts!$J$2:$J$151,$AB1275)),MONTH(INDEX(Contracts!$J$2:$J$151,$AB1275)),1),IF(INDEX(Contracts!$N$2:$N$151,$AB1275)="",12,INDEX(Contracts!$N$2:$N$151,$AB1275))-1),IF(INDEX(Contracts!$I$2:$I$151,$AB1275)="MONTHLY",IF(INDEX(Contracts!$K$2:$K$151,$AB1275)="",2958101,INDEX(Contracts!$K$2:$K$151,$AB1275)),0)),IF($Z1275="A",EDATE(DATE(YEAR(INDEX(Fixed_Assets!$G$2:$G$201,$AB1275)),MONTH(INDEX(Fixed_Assets!$G$2:$G$201,$AB1275)),1),INDEX(Fixed_Assets!$J$2:$J$201,$AB1275)-1),IF($Z1275="F",MIN(IF(INDEX(Workforce!$J$2:$J$151,MATCH(INDEX(FTE_Allocation!$A$2:$A$201,$AB1275),Workforce!$A$2:$A$151,0))="",2958101,INDEX(Workforce!$J$2:$J$151,MATCH(INDEX(FTE_Allocation!$A$2:$A$201,$AB1275),Workforce!$A$2:$A$151,0))),IF(INDEX(FTE_Allocation!$J$2:$J$201,$AB1275)="",2958101,INDEX(FTE_Allocation!$J$2:$J$201,$AB1275))),"")))</f>
        <v/>
      </c>
      <c r="AG1275" s="19">
        <f>IF($Z1275="C",IF(INDEX(Contracts!$I$2:$I$151,$AB1275)="PREPAID",INDEX(Contracts!$M$2:$M$151,$AB1275)/IF(INDEX(Contracts!$N$2:$N$151,$AB1275)="",12,INDEX(Contracts!$N$2:$N$151,$AB1275)),IF(INDEX(Contracts!$I$2:$I$151,$AB1275)="MONTHLY",INDEX(Contracts!$M$2:$M$151,$AB1275),0))*(1-N(INDEX(Contracts!$O$2:$O$151,$AB1275))),IF($Z1275="A",INDEX(Fixed_Assets!$H$2:$H$201,$AB1275)/INDEX(Fixed_Assets!$J$2:$J$201,$AB1275),IF($Z1275="F",INDEX(Workforce!$F$2:$F$151,MATCH(INDEX(FTE_Allocation!$A$2:$A$201,$AB1275),Workforce!$A$2:$A$151,0))*N(INDEX(FTE_Allocation!$F$2:$H$201,$AB1275,$AC1275)),"")))</f>
        <v/>
      </c>
    </row>
    <row r="1276">
      <c r="A1276" s="7">
        <f>IF($Z1276="","",$AD1276)</f>
        <v/>
      </c>
      <c r="B1276" s="7">
        <f>IF($Z1276="C",INDEX(Contracts!$D$2:$D$151,$AB1276)&amp;"",IF($Z1276="A",INDEX(Fixed_Assets!$C$2:$C$201,$AB1276)&amp;"",IF($Z1276="F",INDEX(Workforce!$B$2:$B$151,MATCH(INDEX(FTE_Allocation!$A$2:$A$201,$AB1276),Workforce!$A$2:$A$151,0))&amp;"","")))</f>
        <v/>
      </c>
      <c r="C1276" s="7">
        <f>IF($Z1276="C",INDEX(Contracts!$E$2:$E$151,$AB1276)&amp;"",IF($Z1276="A",INDEX(Fixed_Assets!$D$2:$D$201,$AB1276)&amp;"",IF($Z1276="F",INDEX(FTE_Allocation!$C$2:$C$201,$AB1276)&amp;"","")))</f>
        <v/>
      </c>
      <c r="D1276" s="7">
        <f>IF($Z1276="C",INDEX(Contracts!$B$2:$B$151,$AB1276)&amp;"",IF($Z1276="A",INDEX(Fixed_Assets!$B$2:$B$201,$AB1276)&amp;"",IF($Z1276="F",INDEX(FTE_Allocation!$B$2:$B$201,$AB1276)&amp;"","")))</f>
        <v/>
      </c>
      <c r="E1276" s="7">
        <f>IF($Z1276="C",INDEX(Contracts!$P$2:$P$151,$AB1276)&amp;"",IF($Z1276="A",INDEX(Fixed_Assets!$K$2:$K$201,$AB1276)&amp;"",IF($Z1276="F",IF(INDEX(FTE_Allocation!$D$2:$D$201,$AB1276)="PROJECT",IFERROR(INDEX(Projects!$D:$D,MATCH(INDEX(FTE_Allocation!$E$2:$E$201,$AB1276),Projects!$A:$A,0))&amp;"","#PROJECT?"),INDEX(FTE_Allocation!$E$2:$E$201,$AB1276)&amp;""),"")))</f>
        <v/>
      </c>
      <c r="F1276" s="7">
        <f>IF($Z1276="C",INDEX(Contracts!$Q$2:$Q$151,$AB1276)&amp;"",IF($Z1276="A",INDEX(Fixed_Assets!$L$2:$L$201,$AB1276)&amp;"",IF($Z1276="F",INDEX(Workforce!$K$2:$K$151,MATCH(INDEX(FTE_Allocation!$A$2:$A$201,$AB1276),Workforce!$A$2:$A$151,0))&amp;"","")))</f>
        <v/>
      </c>
      <c r="G1276" s="7">
        <f>IF($Z1276="C",INDEX(Contracts!$F$2:$F$151,$AB1276)&amp;" / "&amp;INDEX(Contracts!$G$2:$G$151,$AB1276),IF($Z1276="A",INDEX(Fixed_Assets!$E$2:$E$201,$AB1276)&amp;"",IF($Z1276="F","Personnel "&amp;INDEX(FTE_Allocation!$A$2:$A$201,$AB1276)&amp;IF(INDEX(FTE_Allocation!$D$2:$D$201,$AB1276)="PROJECT"," ("&amp;INDEX(FTE_Allocation!$E$2:$E$201,$AB1276)&amp;")",""),"")))</f>
        <v/>
      </c>
      <c r="H1276" s="7">
        <f>IF($Z1276="C","CONTRACT",IF($Z1276="A","ASSET",IF($Z1276="F","WORKFORCE","")))</f>
        <v/>
      </c>
      <c r="I1276" s="7">
        <f>IF($Z1276="C",INDEX(Contracts!$L$2:$L$151,$AB1276)&amp;"",IF($Z1276="A",INDEX(Fixed_Assets!$I$2:$I$201,$AB1276)&amp;"",IF($Z1276="F",INDEX(Workforce!$G$2:$G$151,MATCH(INDEX(FTE_Allocation!$A$2:$A$201,$AB1276),Workforce!$A$2:$A$151,0))&amp;"","")))</f>
        <v/>
      </c>
      <c r="J1276" s="18">
        <f>IF($Z1276="","",IF(AND(DATE($AD1276,1,1)&gt;=$AE1276,DATE($AD1276,1,1)&lt;=$AF1276),ROUND($AG1276,2),0))</f>
        <v/>
      </c>
      <c r="K1276" s="18">
        <f>IF($Z1276="","",IF(AND(DATE($AD1276,2,1)&gt;=$AE1276,DATE($AD1276,2,1)&lt;=$AF1276),ROUND($AG1276,2),0))</f>
        <v/>
      </c>
      <c r="L1276" s="18">
        <f>IF($Z1276="","",IF(AND(DATE($AD1276,3,1)&gt;=$AE1276,DATE($AD1276,3,1)&lt;=$AF1276),ROUND($AG1276,2),0))</f>
        <v/>
      </c>
      <c r="M1276" s="18">
        <f>IF($Z1276="","",IF(AND(DATE($AD1276,4,1)&gt;=$AE1276,DATE($AD1276,4,1)&lt;=$AF1276),ROUND($AG1276,2),0))</f>
        <v/>
      </c>
      <c r="N1276" s="18">
        <f>IF($Z1276="","",IF(AND(DATE($AD1276,5,1)&gt;=$AE1276,DATE($AD1276,5,1)&lt;=$AF1276),ROUND($AG1276,2),0))</f>
        <v/>
      </c>
      <c r="O1276" s="18">
        <f>IF($Z1276="","",IF(AND(DATE($AD1276,6,1)&gt;=$AE1276,DATE($AD1276,6,1)&lt;=$AF1276),ROUND($AG1276,2),0))</f>
        <v/>
      </c>
      <c r="P1276" s="18">
        <f>IF($Z1276="","",IF(AND(DATE($AD1276,7,1)&gt;=$AE1276,DATE($AD1276,7,1)&lt;=$AF1276),ROUND($AG1276,2),0))</f>
        <v/>
      </c>
      <c r="Q1276" s="18">
        <f>IF($Z1276="","",IF(AND(DATE($AD1276,8,1)&gt;=$AE1276,DATE($AD1276,8,1)&lt;=$AF1276),ROUND($AG1276,2),0))</f>
        <v/>
      </c>
      <c r="R1276" s="18">
        <f>IF($Z1276="","",IF(AND(DATE($AD1276,9,1)&gt;=$AE1276,DATE($AD1276,9,1)&lt;=$AF1276),ROUND($AG1276,2),0))</f>
        <v/>
      </c>
      <c r="S1276" s="18">
        <f>IF($Z1276="","",IF(AND(DATE($AD1276,10,1)&gt;=$AE1276,DATE($AD1276,10,1)&lt;=$AF1276),ROUND($AG1276,2),0))</f>
        <v/>
      </c>
      <c r="T1276" s="18">
        <f>IF($Z1276="","",IF(AND(DATE($AD1276,11,1)&gt;=$AE1276,DATE($AD1276,11,1)&lt;=$AF1276),ROUND($AG1276,2),0))</f>
        <v/>
      </c>
      <c r="U1276" s="18">
        <f>IF($Z1276="","",IF(AND(DATE($AD1276,12,1)&gt;=$AE1276,DATE($AD1276,12,1)&lt;=$AF1276),ROUND($AG1276,2),0))</f>
        <v/>
      </c>
      <c r="V1276" s="7">
        <f>IF($Z1276="C","Generated from "&amp;INDEX(Contracts!$A$2:$A$151,$AB1276),IF($Z1276="A","Generated from "&amp;INDEX(Fixed_Assets!$A$2:$A$201,$AB1276),IF($Z1276="F","Generated from "&amp;INDEX(FTE_Allocation!$A$2:$A$201,$AB1276),"")))</f>
        <v/>
      </c>
      <c r="X1276" s="19">
        <f>IF($Z1276="","",SUM(J1276:U1276))</f>
        <v/>
      </c>
      <c r="Y1276" s="20">
        <f>ROW()-1</f>
        <v/>
      </c>
      <c r="Z1276" s="20">
        <f>IF($Y1276&lt;=Settings!$B$4*3,"C",IF($Y1276&lt;=(Settings!$B$4+Settings!$B$5)*3,"A",IF($Y1276&lt;=(Settings!$B$4+Settings!$B$5+Settings!$B$6)*3,"F","")))</f>
        <v/>
      </c>
      <c r="AA1276" s="20">
        <f>IF($Z1276="C",$Y1276,IF($Z1276="A",$Y1276-Settings!$B$4*3,IF($Z1276="F",$Y1276-(Settings!$B$4+Settings!$B$5)*3,"")))</f>
        <v/>
      </c>
      <c r="AB1276" s="20">
        <f>IF($Z1276="","",INT(($AA1276-1)/3)+1)</f>
        <v/>
      </c>
      <c r="AC1276" s="20">
        <f>IF($Z1276="","",MOD($AA1276-1,3)+1)</f>
        <v/>
      </c>
      <c r="AD1276" s="20">
        <f>IF($Z1276="","",Settings!$B$2+$AC1276-1)</f>
        <v/>
      </c>
      <c r="AE1276" s="21">
        <f>IF($Z1276="C",DATE(YEAR(INDEX(Contracts!$J$2:$J$151,$AB1276)),MONTH(INDEX(Contracts!$J$2:$J$151,$AB1276)),1),IF($Z1276="A",DATE(YEAR(INDEX(Fixed_Assets!$G$2:$G$201,$AB1276)),MONTH(INDEX(Fixed_Assets!$G$2:$G$201,$AB1276)),1),IF($Z1276="F",DATE(YEAR(MAX(N(INDEX(Workforce!$I$2:$I$151,MATCH(INDEX(FTE_Allocation!$A$2:$A$201,$AB1276),Workforce!$A$2:$A$151,0))),N(INDEX(FTE_Allocation!$I$2:$I$201,$AB1276)))),MONTH(MAX(N(INDEX(Workforce!$I$2:$I$151,MATCH(INDEX(FTE_Allocation!$A$2:$A$201,$AB1276),Workforce!$A$2:$A$151,0))),N(INDEX(FTE_Allocation!$I$2:$I$201,$AB1276)))),1),"")))</f>
        <v/>
      </c>
      <c r="AF1276" s="21">
        <f>IF($Z1276="C",IF(INDEX(Contracts!$I$2:$I$151,$AB1276)="PREPAID",EDATE(DATE(YEAR(INDEX(Contracts!$J$2:$J$151,$AB1276)),MONTH(INDEX(Contracts!$J$2:$J$151,$AB1276)),1),IF(INDEX(Contracts!$N$2:$N$151,$AB1276)="",12,INDEX(Contracts!$N$2:$N$151,$AB1276))-1),IF(INDEX(Contracts!$I$2:$I$151,$AB1276)="MONTHLY",IF(INDEX(Contracts!$K$2:$K$151,$AB1276)="",2958101,INDEX(Contracts!$K$2:$K$151,$AB1276)),0)),IF($Z1276="A",EDATE(DATE(YEAR(INDEX(Fixed_Assets!$G$2:$G$201,$AB1276)),MONTH(INDEX(Fixed_Assets!$G$2:$G$201,$AB1276)),1),INDEX(Fixed_Assets!$J$2:$J$201,$AB1276)-1),IF($Z1276="F",MIN(IF(INDEX(Workforce!$J$2:$J$151,MATCH(INDEX(FTE_Allocation!$A$2:$A$201,$AB1276),Workforce!$A$2:$A$151,0))="",2958101,INDEX(Workforce!$J$2:$J$151,MATCH(INDEX(FTE_Allocation!$A$2:$A$201,$AB1276),Workforce!$A$2:$A$151,0))),IF(INDEX(FTE_Allocation!$J$2:$J$201,$AB1276)="",2958101,INDEX(FTE_Allocation!$J$2:$J$201,$AB1276))),"")))</f>
        <v/>
      </c>
      <c r="AG1276" s="19">
        <f>IF($Z1276="C",IF(INDEX(Contracts!$I$2:$I$151,$AB1276)="PREPAID",INDEX(Contracts!$M$2:$M$151,$AB1276)/IF(INDEX(Contracts!$N$2:$N$151,$AB1276)="",12,INDEX(Contracts!$N$2:$N$151,$AB1276)),IF(INDEX(Contracts!$I$2:$I$151,$AB1276)="MONTHLY",INDEX(Contracts!$M$2:$M$151,$AB1276),0))*(1-N(INDEX(Contracts!$O$2:$O$151,$AB1276))),IF($Z1276="A",INDEX(Fixed_Assets!$H$2:$H$201,$AB1276)/INDEX(Fixed_Assets!$J$2:$J$201,$AB1276),IF($Z1276="F",INDEX(Workforce!$F$2:$F$151,MATCH(INDEX(FTE_Allocation!$A$2:$A$201,$AB1276),Workforce!$A$2:$A$151,0))*N(INDEX(FTE_Allocation!$F$2:$H$201,$AB1276,$AC1276)),"")))</f>
        <v/>
      </c>
    </row>
    <row r="1277">
      <c r="A1277" s="7">
        <f>IF($Z1277="","",$AD1277)</f>
        <v/>
      </c>
      <c r="B1277" s="7">
        <f>IF($Z1277="C",INDEX(Contracts!$D$2:$D$151,$AB1277)&amp;"",IF($Z1277="A",INDEX(Fixed_Assets!$C$2:$C$201,$AB1277)&amp;"",IF($Z1277="F",INDEX(Workforce!$B$2:$B$151,MATCH(INDEX(FTE_Allocation!$A$2:$A$201,$AB1277),Workforce!$A$2:$A$151,0))&amp;"","")))</f>
        <v/>
      </c>
      <c r="C1277" s="7">
        <f>IF($Z1277="C",INDEX(Contracts!$E$2:$E$151,$AB1277)&amp;"",IF($Z1277="A",INDEX(Fixed_Assets!$D$2:$D$201,$AB1277)&amp;"",IF($Z1277="F",INDEX(FTE_Allocation!$C$2:$C$201,$AB1277)&amp;"","")))</f>
        <v/>
      </c>
      <c r="D1277" s="7">
        <f>IF($Z1277="C",INDEX(Contracts!$B$2:$B$151,$AB1277)&amp;"",IF($Z1277="A",INDEX(Fixed_Assets!$B$2:$B$201,$AB1277)&amp;"",IF($Z1277="F",INDEX(FTE_Allocation!$B$2:$B$201,$AB1277)&amp;"","")))</f>
        <v/>
      </c>
      <c r="E1277" s="7">
        <f>IF($Z1277="C",INDEX(Contracts!$P$2:$P$151,$AB1277)&amp;"",IF($Z1277="A",INDEX(Fixed_Assets!$K$2:$K$201,$AB1277)&amp;"",IF($Z1277="F",IF(INDEX(FTE_Allocation!$D$2:$D$201,$AB1277)="PROJECT",IFERROR(INDEX(Projects!$D:$D,MATCH(INDEX(FTE_Allocation!$E$2:$E$201,$AB1277),Projects!$A:$A,0))&amp;"","#PROJECT?"),INDEX(FTE_Allocation!$E$2:$E$201,$AB1277)&amp;""),"")))</f>
        <v/>
      </c>
      <c r="F1277" s="7">
        <f>IF($Z1277="C",INDEX(Contracts!$Q$2:$Q$151,$AB1277)&amp;"",IF($Z1277="A",INDEX(Fixed_Assets!$L$2:$L$201,$AB1277)&amp;"",IF($Z1277="F",INDEX(Workforce!$K$2:$K$151,MATCH(INDEX(FTE_Allocation!$A$2:$A$201,$AB1277),Workforce!$A$2:$A$151,0))&amp;"","")))</f>
        <v/>
      </c>
      <c r="G1277" s="7">
        <f>IF($Z1277="C",INDEX(Contracts!$F$2:$F$151,$AB1277)&amp;" / "&amp;INDEX(Contracts!$G$2:$G$151,$AB1277),IF($Z1277="A",INDEX(Fixed_Assets!$E$2:$E$201,$AB1277)&amp;"",IF($Z1277="F","Personnel "&amp;INDEX(FTE_Allocation!$A$2:$A$201,$AB1277)&amp;IF(INDEX(FTE_Allocation!$D$2:$D$201,$AB1277)="PROJECT"," ("&amp;INDEX(FTE_Allocation!$E$2:$E$201,$AB1277)&amp;")",""),"")))</f>
        <v/>
      </c>
      <c r="H1277" s="7">
        <f>IF($Z1277="C","CONTRACT",IF($Z1277="A","ASSET",IF($Z1277="F","WORKFORCE","")))</f>
        <v/>
      </c>
      <c r="I1277" s="7">
        <f>IF($Z1277="C",INDEX(Contracts!$L$2:$L$151,$AB1277)&amp;"",IF($Z1277="A",INDEX(Fixed_Assets!$I$2:$I$201,$AB1277)&amp;"",IF($Z1277="F",INDEX(Workforce!$G$2:$G$151,MATCH(INDEX(FTE_Allocation!$A$2:$A$201,$AB1277),Workforce!$A$2:$A$151,0))&amp;"","")))</f>
        <v/>
      </c>
      <c r="J1277" s="18">
        <f>IF($Z1277="","",IF(AND(DATE($AD1277,1,1)&gt;=$AE1277,DATE($AD1277,1,1)&lt;=$AF1277),ROUND($AG1277,2),0))</f>
        <v/>
      </c>
      <c r="K1277" s="18">
        <f>IF($Z1277="","",IF(AND(DATE($AD1277,2,1)&gt;=$AE1277,DATE($AD1277,2,1)&lt;=$AF1277),ROUND($AG1277,2),0))</f>
        <v/>
      </c>
      <c r="L1277" s="18">
        <f>IF($Z1277="","",IF(AND(DATE($AD1277,3,1)&gt;=$AE1277,DATE($AD1277,3,1)&lt;=$AF1277),ROUND($AG1277,2),0))</f>
        <v/>
      </c>
      <c r="M1277" s="18">
        <f>IF($Z1277="","",IF(AND(DATE($AD1277,4,1)&gt;=$AE1277,DATE($AD1277,4,1)&lt;=$AF1277),ROUND($AG1277,2),0))</f>
        <v/>
      </c>
      <c r="N1277" s="18">
        <f>IF($Z1277="","",IF(AND(DATE($AD1277,5,1)&gt;=$AE1277,DATE($AD1277,5,1)&lt;=$AF1277),ROUND($AG1277,2),0))</f>
        <v/>
      </c>
      <c r="O1277" s="18">
        <f>IF($Z1277="","",IF(AND(DATE($AD1277,6,1)&gt;=$AE1277,DATE($AD1277,6,1)&lt;=$AF1277),ROUND($AG1277,2),0))</f>
        <v/>
      </c>
      <c r="P1277" s="18">
        <f>IF($Z1277="","",IF(AND(DATE($AD1277,7,1)&gt;=$AE1277,DATE($AD1277,7,1)&lt;=$AF1277),ROUND($AG1277,2),0))</f>
        <v/>
      </c>
      <c r="Q1277" s="18">
        <f>IF($Z1277="","",IF(AND(DATE($AD1277,8,1)&gt;=$AE1277,DATE($AD1277,8,1)&lt;=$AF1277),ROUND($AG1277,2),0))</f>
        <v/>
      </c>
      <c r="R1277" s="18">
        <f>IF($Z1277="","",IF(AND(DATE($AD1277,9,1)&gt;=$AE1277,DATE($AD1277,9,1)&lt;=$AF1277),ROUND($AG1277,2),0))</f>
        <v/>
      </c>
      <c r="S1277" s="18">
        <f>IF($Z1277="","",IF(AND(DATE($AD1277,10,1)&gt;=$AE1277,DATE($AD1277,10,1)&lt;=$AF1277),ROUND($AG1277,2),0))</f>
        <v/>
      </c>
      <c r="T1277" s="18">
        <f>IF($Z1277="","",IF(AND(DATE($AD1277,11,1)&gt;=$AE1277,DATE($AD1277,11,1)&lt;=$AF1277),ROUND($AG1277,2),0))</f>
        <v/>
      </c>
      <c r="U1277" s="18">
        <f>IF($Z1277="","",IF(AND(DATE($AD1277,12,1)&gt;=$AE1277,DATE($AD1277,12,1)&lt;=$AF1277),ROUND($AG1277,2),0))</f>
        <v/>
      </c>
      <c r="V1277" s="7">
        <f>IF($Z1277="C","Generated from "&amp;INDEX(Contracts!$A$2:$A$151,$AB1277),IF($Z1277="A","Generated from "&amp;INDEX(Fixed_Assets!$A$2:$A$201,$AB1277),IF($Z1277="F","Generated from "&amp;INDEX(FTE_Allocation!$A$2:$A$201,$AB1277),"")))</f>
        <v/>
      </c>
      <c r="X1277" s="19">
        <f>IF($Z1277="","",SUM(J1277:U1277))</f>
        <v/>
      </c>
      <c r="Y1277" s="20">
        <f>ROW()-1</f>
        <v/>
      </c>
      <c r="Z1277" s="20">
        <f>IF($Y1277&lt;=Settings!$B$4*3,"C",IF($Y1277&lt;=(Settings!$B$4+Settings!$B$5)*3,"A",IF($Y1277&lt;=(Settings!$B$4+Settings!$B$5+Settings!$B$6)*3,"F","")))</f>
        <v/>
      </c>
      <c r="AA1277" s="20">
        <f>IF($Z1277="C",$Y1277,IF($Z1277="A",$Y1277-Settings!$B$4*3,IF($Z1277="F",$Y1277-(Settings!$B$4+Settings!$B$5)*3,"")))</f>
        <v/>
      </c>
      <c r="AB1277" s="20">
        <f>IF($Z1277="","",INT(($AA1277-1)/3)+1)</f>
        <v/>
      </c>
      <c r="AC1277" s="20">
        <f>IF($Z1277="","",MOD($AA1277-1,3)+1)</f>
        <v/>
      </c>
      <c r="AD1277" s="20">
        <f>IF($Z1277="","",Settings!$B$2+$AC1277-1)</f>
        <v/>
      </c>
      <c r="AE1277" s="21">
        <f>IF($Z1277="C",DATE(YEAR(INDEX(Contracts!$J$2:$J$151,$AB1277)),MONTH(INDEX(Contracts!$J$2:$J$151,$AB1277)),1),IF($Z1277="A",DATE(YEAR(INDEX(Fixed_Assets!$G$2:$G$201,$AB1277)),MONTH(INDEX(Fixed_Assets!$G$2:$G$201,$AB1277)),1),IF($Z1277="F",DATE(YEAR(MAX(N(INDEX(Workforce!$I$2:$I$151,MATCH(INDEX(FTE_Allocation!$A$2:$A$201,$AB1277),Workforce!$A$2:$A$151,0))),N(INDEX(FTE_Allocation!$I$2:$I$201,$AB1277)))),MONTH(MAX(N(INDEX(Workforce!$I$2:$I$151,MATCH(INDEX(FTE_Allocation!$A$2:$A$201,$AB1277),Workforce!$A$2:$A$151,0))),N(INDEX(FTE_Allocation!$I$2:$I$201,$AB1277)))),1),"")))</f>
        <v/>
      </c>
      <c r="AF1277" s="21">
        <f>IF($Z1277="C",IF(INDEX(Contracts!$I$2:$I$151,$AB1277)="PREPAID",EDATE(DATE(YEAR(INDEX(Contracts!$J$2:$J$151,$AB1277)),MONTH(INDEX(Contracts!$J$2:$J$151,$AB1277)),1),IF(INDEX(Contracts!$N$2:$N$151,$AB1277)="",12,INDEX(Contracts!$N$2:$N$151,$AB1277))-1),IF(INDEX(Contracts!$I$2:$I$151,$AB1277)="MONTHLY",IF(INDEX(Contracts!$K$2:$K$151,$AB1277)="",2958101,INDEX(Contracts!$K$2:$K$151,$AB1277)),0)),IF($Z1277="A",EDATE(DATE(YEAR(INDEX(Fixed_Assets!$G$2:$G$201,$AB1277)),MONTH(INDEX(Fixed_Assets!$G$2:$G$201,$AB1277)),1),INDEX(Fixed_Assets!$J$2:$J$201,$AB1277)-1),IF($Z1277="F",MIN(IF(INDEX(Workforce!$J$2:$J$151,MATCH(INDEX(FTE_Allocation!$A$2:$A$201,$AB1277),Workforce!$A$2:$A$151,0))="",2958101,INDEX(Workforce!$J$2:$J$151,MATCH(INDEX(FTE_Allocation!$A$2:$A$201,$AB1277),Workforce!$A$2:$A$151,0))),IF(INDEX(FTE_Allocation!$J$2:$J$201,$AB1277)="",2958101,INDEX(FTE_Allocation!$J$2:$J$201,$AB1277))),"")))</f>
        <v/>
      </c>
      <c r="AG1277" s="19">
        <f>IF($Z1277="C",IF(INDEX(Contracts!$I$2:$I$151,$AB1277)="PREPAID",INDEX(Contracts!$M$2:$M$151,$AB1277)/IF(INDEX(Contracts!$N$2:$N$151,$AB1277)="",12,INDEX(Contracts!$N$2:$N$151,$AB1277)),IF(INDEX(Contracts!$I$2:$I$151,$AB1277)="MONTHLY",INDEX(Contracts!$M$2:$M$151,$AB1277),0))*(1-N(INDEX(Contracts!$O$2:$O$151,$AB1277))),IF($Z1277="A",INDEX(Fixed_Assets!$H$2:$H$201,$AB1277)/INDEX(Fixed_Assets!$J$2:$J$201,$AB1277),IF($Z1277="F",INDEX(Workforce!$F$2:$F$151,MATCH(INDEX(FTE_Allocation!$A$2:$A$201,$AB1277),Workforce!$A$2:$A$151,0))*N(INDEX(FTE_Allocation!$F$2:$H$201,$AB1277,$AC1277)),"")))</f>
        <v/>
      </c>
    </row>
    <row r="1278">
      <c r="A1278" s="7">
        <f>IF($Z1278="","",$AD1278)</f>
        <v/>
      </c>
      <c r="B1278" s="7">
        <f>IF($Z1278="C",INDEX(Contracts!$D$2:$D$151,$AB1278)&amp;"",IF($Z1278="A",INDEX(Fixed_Assets!$C$2:$C$201,$AB1278)&amp;"",IF($Z1278="F",INDEX(Workforce!$B$2:$B$151,MATCH(INDEX(FTE_Allocation!$A$2:$A$201,$AB1278),Workforce!$A$2:$A$151,0))&amp;"","")))</f>
        <v/>
      </c>
      <c r="C1278" s="7">
        <f>IF($Z1278="C",INDEX(Contracts!$E$2:$E$151,$AB1278)&amp;"",IF($Z1278="A",INDEX(Fixed_Assets!$D$2:$D$201,$AB1278)&amp;"",IF($Z1278="F",INDEX(FTE_Allocation!$C$2:$C$201,$AB1278)&amp;"","")))</f>
        <v/>
      </c>
      <c r="D1278" s="7">
        <f>IF($Z1278="C",INDEX(Contracts!$B$2:$B$151,$AB1278)&amp;"",IF($Z1278="A",INDEX(Fixed_Assets!$B$2:$B$201,$AB1278)&amp;"",IF($Z1278="F",INDEX(FTE_Allocation!$B$2:$B$201,$AB1278)&amp;"","")))</f>
        <v/>
      </c>
      <c r="E1278" s="7">
        <f>IF($Z1278="C",INDEX(Contracts!$P$2:$P$151,$AB1278)&amp;"",IF($Z1278="A",INDEX(Fixed_Assets!$K$2:$K$201,$AB1278)&amp;"",IF($Z1278="F",IF(INDEX(FTE_Allocation!$D$2:$D$201,$AB1278)="PROJECT",IFERROR(INDEX(Projects!$D:$D,MATCH(INDEX(FTE_Allocation!$E$2:$E$201,$AB1278),Projects!$A:$A,0))&amp;"","#PROJECT?"),INDEX(FTE_Allocation!$E$2:$E$201,$AB1278)&amp;""),"")))</f>
        <v/>
      </c>
      <c r="F1278" s="7">
        <f>IF($Z1278="C",INDEX(Contracts!$Q$2:$Q$151,$AB1278)&amp;"",IF($Z1278="A",INDEX(Fixed_Assets!$L$2:$L$201,$AB1278)&amp;"",IF($Z1278="F",INDEX(Workforce!$K$2:$K$151,MATCH(INDEX(FTE_Allocation!$A$2:$A$201,$AB1278),Workforce!$A$2:$A$151,0))&amp;"","")))</f>
        <v/>
      </c>
      <c r="G1278" s="7">
        <f>IF($Z1278="C",INDEX(Contracts!$F$2:$F$151,$AB1278)&amp;" / "&amp;INDEX(Contracts!$G$2:$G$151,$AB1278),IF($Z1278="A",INDEX(Fixed_Assets!$E$2:$E$201,$AB1278)&amp;"",IF($Z1278="F","Personnel "&amp;INDEX(FTE_Allocation!$A$2:$A$201,$AB1278)&amp;IF(INDEX(FTE_Allocation!$D$2:$D$201,$AB1278)="PROJECT"," ("&amp;INDEX(FTE_Allocation!$E$2:$E$201,$AB1278)&amp;")",""),"")))</f>
        <v/>
      </c>
      <c r="H1278" s="7">
        <f>IF($Z1278="C","CONTRACT",IF($Z1278="A","ASSET",IF($Z1278="F","WORKFORCE","")))</f>
        <v/>
      </c>
      <c r="I1278" s="7">
        <f>IF($Z1278="C",INDEX(Contracts!$L$2:$L$151,$AB1278)&amp;"",IF($Z1278="A",INDEX(Fixed_Assets!$I$2:$I$201,$AB1278)&amp;"",IF($Z1278="F",INDEX(Workforce!$G$2:$G$151,MATCH(INDEX(FTE_Allocation!$A$2:$A$201,$AB1278),Workforce!$A$2:$A$151,0))&amp;"","")))</f>
        <v/>
      </c>
      <c r="J1278" s="18">
        <f>IF($Z1278="","",IF(AND(DATE($AD1278,1,1)&gt;=$AE1278,DATE($AD1278,1,1)&lt;=$AF1278),ROUND($AG1278,2),0))</f>
        <v/>
      </c>
      <c r="K1278" s="18">
        <f>IF($Z1278="","",IF(AND(DATE($AD1278,2,1)&gt;=$AE1278,DATE($AD1278,2,1)&lt;=$AF1278),ROUND($AG1278,2),0))</f>
        <v/>
      </c>
      <c r="L1278" s="18">
        <f>IF($Z1278="","",IF(AND(DATE($AD1278,3,1)&gt;=$AE1278,DATE($AD1278,3,1)&lt;=$AF1278),ROUND($AG1278,2),0))</f>
        <v/>
      </c>
      <c r="M1278" s="18">
        <f>IF($Z1278="","",IF(AND(DATE($AD1278,4,1)&gt;=$AE1278,DATE($AD1278,4,1)&lt;=$AF1278),ROUND($AG1278,2),0))</f>
        <v/>
      </c>
      <c r="N1278" s="18">
        <f>IF($Z1278="","",IF(AND(DATE($AD1278,5,1)&gt;=$AE1278,DATE($AD1278,5,1)&lt;=$AF1278),ROUND($AG1278,2),0))</f>
        <v/>
      </c>
      <c r="O1278" s="18">
        <f>IF($Z1278="","",IF(AND(DATE($AD1278,6,1)&gt;=$AE1278,DATE($AD1278,6,1)&lt;=$AF1278),ROUND($AG1278,2),0))</f>
        <v/>
      </c>
      <c r="P1278" s="18">
        <f>IF($Z1278="","",IF(AND(DATE($AD1278,7,1)&gt;=$AE1278,DATE($AD1278,7,1)&lt;=$AF1278),ROUND($AG1278,2),0))</f>
        <v/>
      </c>
      <c r="Q1278" s="18">
        <f>IF($Z1278="","",IF(AND(DATE($AD1278,8,1)&gt;=$AE1278,DATE($AD1278,8,1)&lt;=$AF1278),ROUND($AG1278,2),0))</f>
        <v/>
      </c>
      <c r="R1278" s="18">
        <f>IF($Z1278="","",IF(AND(DATE($AD1278,9,1)&gt;=$AE1278,DATE($AD1278,9,1)&lt;=$AF1278),ROUND($AG1278,2),0))</f>
        <v/>
      </c>
      <c r="S1278" s="18">
        <f>IF($Z1278="","",IF(AND(DATE($AD1278,10,1)&gt;=$AE1278,DATE($AD1278,10,1)&lt;=$AF1278),ROUND($AG1278,2),0))</f>
        <v/>
      </c>
      <c r="T1278" s="18">
        <f>IF($Z1278="","",IF(AND(DATE($AD1278,11,1)&gt;=$AE1278,DATE($AD1278,11,1)&lt;=$AF1278),ROUND($AG1278,2),0))</f>
        <v/>
      </c>
      <c r="U1278" s="18">
        <f>IF($Z1278="","",IF(AND(DATE($AD1278,12,1)&gt;=$AE1278,DATE($AD1278,12,1)&lt;=$AF1278),ROUND($AG1278,2),0))</f>
        <v/>
      </c>
      <c r="V1278" s="7">
        <f>IF($Z1278="C","Generated from "&amp;INDEX(Contracts!$A$2:$A$151,$AB1278),IF($Z1278="A","Generated from "&amp;INDEX(Fixed_Assets!$A$2:$A$201,$AB1278),IF($Z1278="F","Generated from "&amp;INDEX(FTE_Allocation!$A$2:$A$201,$AB1278),"")))</f>
        <v/>
      </c>
      <c r="X1278" s="19">
        <f>IF($Z1278="","",SUM(J1278:U1278))</f>
        <v/>
      </c>
      <c r="Y1278" s="20">
        <f>ROW()-1</f>
        <v/>
      </c>
      <c r="Z1278" s="20">
        <f>IF($Y1278&lt;=Settings!$B$4*3,"C",IF($Y1278&lt;=(Settings!$B$4+Settings!$B$5)*3,"A",IF($Y1278&lt;=(Settings!$B$4+Settings!$B$5+Settings!$B$6)*3,"F","")))</f>
        <v/>
      </c>
      <c r="AA1278" s="20">
        <f>IF($Z1278="C",$Y1278,IF($Z1278="A",$Y1278-Settings!$B$4*3,IF($Z1278="F",$Y1278-(Settings!$B$4+Settings!$B$5)*3,"")))</f>
        <v/>
      </c>
      <c r="AB1278" s="20">
        <f>IF($Z1278="","",INT(($AA1278-1)/3)+1)</f>
        <v/>
      </c>
      <c r="AC1278" s="20">
        <f>IF($Z1278="","",MOD($AA1278-1,3)+1)</f>
        <v/>
      </c>
      <c r="AD1278" s="20">
        <f>IF($Z1278="","",Settings!$B$2+$AC1278-1)</f>
        <v/>
      </c>
      <c r="AE1278" s="21">
        <f>IF($Z1278="C",DATE(YEAR(INDEX(Contracts!$J$2:$J$151,$AB1278)),MONTH(INDEX(Contracts!$J$2:$J$151,$AB1278)),1),IF($Z1278="A",DATE(YEAR(INDEX(Fixed_Assets!$G$2:$G$201,$AB1278)),MONTH(INDEX(Fixed_Assets!$G$2:$G$201,$AB1278)),1),IF($Z1278="F",DATE(YEAR(MAX(N(INDEX(Workforce!$I$2:$I$151,MATCH(INDEX(FTE_Allocation!$A$2:$A$201,$AB1278),Workforce!$A$2:$A$151,0))),N(INDEX(FTE_Allocation!$I$2:$I$201,$AB1278)))),MONTH(MAX(N(INDEX(Workforce!$I$2:$I$151,MATCH(INDEX(FTE_Allocation!$A$2:$A$201,$AB1278),Workforce!$A$2:$A$151,0))),N(INDEX(FTE_Allocation!$I$2:$I$201,$AB1278)))),1),"")))</f>
        <v/>
      </c>
      <c r="AF1278" s="21">
        <f>IF($Z1278="C",IF(INDEX(Contracts!$I$2:$I$151,$AB1278)="PREPAID",EDATE(DATE(YEAR(INDEX(Contracts!$J$2:$J$151,$AB1278)),MONTH(INDEX(Contracts!$J$2:$J$151,$AB1278)),1),IF(INDEX(Contracts!$N$2:$N$151,$AB1278)="",12,INDEX(Contracts!$N$2:$N$151,$AB1278))-1),IF(INDEX(Contracts!$I$2:$I$151,$AB1278)="MONTHLY",IF(INDEX(Contracts!$K$2:$K$151,$AB1278)="",2958101,INDEX(Contracts!$K$2:$K$151,$AB1278)),0)),IF($Z1278="A",EDATE(DATE(YEAR(INDEX(Fixed_Assets!$G$2:$G$201,$AB1278)),MONTH(INDEX(Fixed_Assets!$G$2:$G$201,$AB1278)),1),INDEX(Fixed_Assets!$J$2:$J$201,$AB1278)-1),IF($Z1278="F",MIN(IF(INDEX(Workforce!$J$2:$J$151,MATCH(INDEX(FTE_Allocation!$A$2:$A$201,$AB1278),Workforce!$A$2:$A$151,0))="",2958101,INDEX(Workforce!$J$2:$J$151,MATCH(INDEX(FTE_Allocation!$A$2:$A$201,$AB1278),Workforce!$A$2:$A$151,0))),IF(INDEX(FTE_Allocation!$J$2:$J$201,$AB1278)="",2958101,INDEX(FTE_Allocation!$J$2:$J$201,$AB1278))),"")))</f>
        <v/>
      </c>
      <c r="AG1278" s="19">
        <f>IF($Z1278="C",IF(INDEX(Contracts!$I$2:$I$151,$AB1278)="PREPAID",INDEX(Contracts!$M$2:$M$151,$AB1278)/IF(INDEX(Contracts!$N$2:$N$151,$AB1278)="",12,INDEX(Contracts!$N$2:$N$151,$AB1278)),IF(INDEX(Contracts!$I$2:$I$151,$AB1278)="MONTHLY",INDEX(Contracts!$M$2:$M$151,$AB1278),0))*(1-N(INDEX(Contracts!$O$2:$O$151,$AB1278))),IF($Z1278="A",INDEX(Fixed_Assets!$H$2:$H$201,$AB1278)/INDEX(Fixed_Assets!$J$2:$J$201,$AB1278),IF($Z1278="F",INDEX(Workforce!$F$2:$F$151,MATCH(INDEX(FTE_Allocation!$A$2:$A$201,$AB1278),Workforce!$A$2:$A$151,0))*N(INDEX(FTE_Allocation!$F$2:$H$201,$AB1278,$AC1278)),"")))</f>
        <v/>
      </c>
    </row>
    <row r="1279">
      <c r="A1279" s="7">
        <f>IF($Z1279="","",$AD1279)</f>
        <v/>
      </c>
      <c r="B1279" s="7">
        <f>IF($Z1279="C",INDEX(Contracts!$D$2:$D$151,$AB1279)&amp;"",IF($Z1279="A",INDEX(Fixed_Assets!$C$2:$C$201,$AB1279)&amp;"",IF($Z1279="F",INDEX(Workforce!$B$2:$B$151,MATCH(INDEX(FTE_Allocation!$A$2:$A$201,$AB1279),Workforce!$A$2:$A$151,0))&amp;"","")))</f>
        <v/>
      </c>
      <c r="C1279" s="7">
        <f>IF($Z1279="C",INDEX(Contracts!$E$2:$E$151,$AB1279)&amp;"",IF($Z1279="A",INDEX(Fixed_Assets!$D$2:$D$201,$AB1279)&amp;"",IF($Z1279="F",INDEX(FTE_Allocation!$C$2:$C$201,$AB1279)&amp;"","")))</f>
        <v/>
      </c>
      <c r="D1279" s="7">
        <f>IF($Z1279="C",INDEX(Contracts!$B$2:$B$151,$AB1279)&amp;"",IF($Z1279="A",INDEX(Fixed_Assets!$B$2:$B$201,$AB1279)&amp;"",IF($Z1279="F",INDEX(FTE_Allocation!$B$2:$B$201,$AB1279)&amp;"","")))</f>
        <v/>
      </c>
      <c r="E1279" s="7">
        <f>IF($Z1279="C",INDEX(Contracts!$P$2:$P$151,$AB1279)&amp;"",IF($Z1279="A",INDEX(Fixed_Assets!$K$2:$K$201,$AB1279)&amp;"",IF($Z1279="F",IF(INDEX(FTE_Allocation!$D$2:$D$201,$AB1279)="PROJECT",IFERROR(INDEX(Projects!$D:$D,MATCH(INDEX(FTE_Allocation!$E$2:$E$201,$AB1279),Projects!$A:$A,0))&amp;"","#PROJECT?"),INDEX(FTE_Allocation!$E$2:$E$201,$AB1279)&amp;""),"")))</f>
        <v/>
      </c>
      <c r="F1279" s="7">
        <f>IF($Z1279="C",INDEX(Contracts!$Q$2:$Q$151,$AB1279)&amp;"",IF($Z1279="A",INDEX(Fixed_Assets!$L$2:$L$201,$AB1279)&amp;"",IF($Z1279="F",INDEX(Workforce!$K$2:$K$151,MATCH(INDEX(FTE_Allocation!$A$2:$A$201,$AB1279),Workforce!$A$2:$A$151,0))&amp;"","")))</f>
        <v/>
      </c>
      <c r="G1279" s="7">
        <f>IF($Z1279="C",INDEX(Contracts!$F$2:$F$151,$AB1279)&amp;" / "&amp;INDEX(Contracts!$G$2:$G$151,$AB1279),IF($Z1279="A",INDEX(Fixed_Assets!$E$2:$E$201,$AB1279)&amp;"",IF($Z1279="F","Personnel "&amp;INDEX(FTE_Allocation!$A$2:$A$201,$AB1279)&amp;IF(INDEX(FTE_Allocation!$D$2:$D$201,$AB1279)="PROJECT"," ("&amp;INDEX(FTE_Allocation!$E$2:$E$201,$AB1279)&amp;")",""),"")))</f>
        <v/>
      </c>
      <c r="H1279" s="7">
        <f>IF($Z1279="C","CONTRACT",IF($Z1279="A","ASSET",IF($Z1279="F","WORKFORCE","")))</f>
        <v/>
      </c>
      <c r="I1279" s="7">
        <f>IF($Z1279="C",INDEX(Contracts!$L$2:$L$151,$AB1279)&amp;"",IF($Z1279="A",INDEX(Fixed_Assets!$I$2:$I$201,$AB1279)&amp;"",IF($Z1279="F",INDEX(Workforce!$G$2:$G$151,MATCH(INDEX(FTE_Allocation!$A$2:$A$201,$AB1279),Workforce!$A$2:$A$151,0))&amp;"","")))</f>
        <v/>
      </c>
      <c r="J1279" s="18">
        <f>IF($Z1279="","",IF(AND(DATE($AD1279,1,1)&gt;=$AE1279,DATE($AD1279,1,1)&lt;=$AF1279),ROUND($AG1279,2),0))</f>
        <v/>
      </c>
      <c r="K1279" s="18">
        <f>IF($Z1279="","",IF(AND(DATE($AD1279,2,1)&gt;=$AE1279,DATE($AD1279,2,1)&lt;=$AF1279),ROUND($AG1279,2),0))</f>
        <v/>
      </c>
      <c r="L1279" s="18">
        <f>IF($Z1279="","",IF(AND(DATE($AD1279,3,1)&gt;=$AE1279,DATE($AD1279,3,1)&lt;=$AF1279),ROUND($AG1279,2),0))</f>
        <v/>
      </c>
      <c r="M1279" s="18">
        <f>IF($Z1279="","",IF(AND(DATE($AD1279,4,1)&gt;=$AE1279,DATE($AD1279,4,1)&lt;=$AF1279),ROUND($AG1279,2),0))</f>
        <v/>
      </c>
      <c r="N1279" s="18">
        <f>IF($Z1279="","",IF(AND(DATE($AD1279,5,1)&gt;=$AE1279,DATE($AD1279,5,1)&lt;=$AF1279),ROUND($AG1279,2),0))</f>
        <v/>
      </c>
      <c r="O1279" s="18">
        <f>IF($Z1279="","",IF(AND(DATE($AD1279,6,1)&gt;=$AE1279,DATE($AD1279,6,1)&lt;=$AF1279),ROUND($AG1279,2),0))</f>
        <v/>
      </c>
      <c r="P1279" s="18">
        <f>IF($Z1279="","",IF(AND(DATE($AD1279,7,1)&gt;=$AE1279,DATE($AD1279,7,1)&lt;=$AF1279),ROUND($AG1279,2),0))</f>
        <v/>
      </c>
      <c r="Q1279" s="18">
        <f>IF($Z1279="","",IF(AND(DATE($AD1279,8,1)&gt;=$AE1279,DATE($AD1279,8,1)&lt;=$AF1279),ROUND($AG1279,2),0))</f>
        <v/>
      </c>
      <c r="R1279" s="18">
        <f>IF($Z1279="","",IF(AND(DATE($AD1279,9,1)&gt;=$AE1279,DATE($AD1279,9,1)&lt;=$AF1279),ROUND($AG1279,2),0))</f>
        <v/>
      </c>
      <c r="S1279" s="18">
        <f>IF($Z1279="","",IF(AND(DATE($AD1279,10,1)&gt;=$AE1279,DATE($AD1279,10,1)&lt;=$AF1279),ROUND($AG1279,2),0))</f>
        <v/>
      </c>
      <c r="T1279" s="18">
        <f>IF($Z1279="","",IF(AND(DATE($AD1279,11,1)&gt;=$AE1279,DATE($AD1279,11,1)&lt;=$AF1279),ROUND($AG1279,2),0))</f>
        <v/>
      </c>
      <c r="U1279" s="18">
        <f>IF($Z1279="","",IF(AND(DATE($AD1279,12,1)&gt;=$AE1279,DATE($AD1279,12,1)&lt;=$AF1279),ROUND($AG1279,2),0))</f>
        <v/>
      </c>
      <c r="V1279" s="7">
        <f>IF($Z1279="C","Generated from "&amp;INDEX(Contracts!$A$2:$A$151,$AB1279),IF($Z1279="A","Generated from "&amp;INDEX(Fixed_Assets!$A$2:$A$201,$AB1279),IF($Z1279="F","Generated from "&amp;INDEX(FTE_Allocation!$A$2:$A$201,$AB1279),"")))</f>
        <v/>
      </c>
      <c r="X1279" s="19">
        <f>IF($Z1279="","",SUM(J1279:U1279))</f>
        <v/>
      </c>
      <c r="Y1279" s="20">
        <f>ROW()-1</f>
        <v/>
      </c>
      <c r="Z1279" s="20">
        <f>IF($Y1279&lt;=Settings!$B$4*3,"C",IF($Y1279&lt;=(Settings!$B$4+Settings!$B$5)*3,"A",IF($Y1279&lt;=(Settings!$B$4+Settings!$B$5+Settings!$B$6)*3,"F","")))</f>
        <v/>
      </c>
      <c r="AA1279" s="20">
        <f>IF($Z1279="C",$Y1279,IF($Z1279="A",$Y1279-Settings!$B$4*3,IF($Z1279="F",$Y1279-(Settings!$B$4+Settings!$B$5)*3,"")))</f>
        <v/>
      </c>
      <c r="AB1279" s="20">
        <f>IF($Z1279="","",INT(($AA1279-1)/3)+1)</f>
        <v/>
      </c>
      <c r="AC1279" s="20">
        <f>IF($Z1279="","",MOD($AA1279-1,3)+1)</f>
        <v/>
      </c>
      <c r="AD1279" s="20">
        <f>IF($Z1279="","",Settings!$B$2+$AC1279-1)</f>
        <v/>
      </c>
      <c r="AE1279" s="21">
        <f>IF($Z1279="C",DATE(YEAR(INDEX(Contracts!$J$2:$J$151,$AB1279)),MONTH(INDEX(Contracts!$J$2:$J$151,$AB1279)),1),IF($Z1279="A",DATE(YEAR(INDEX(Fixed_Assets!$G$2:$G$201,$AB1279)),MONTH(INDEX(Fixed_Assets!$G$2:$G$201,$AB1279)),1),IF($Z1279="F",DATE(YEAR(MAX(N(INDEX(Workforce!$I$2:$I$151,MATCH(INDEX(FTE_Allocation!$A$2:$A$201,$AB1279),Workforce!$A$2:$A$151,0))),N(INDEX(FTE_Allocation!$I$2:$I$201,$AB1279)))),MONTH(MAX(N(INDEX(Workforce!$I$2:$I$151,MATCH(INDEX(FTE_Allocation!$A$2:$A$201,$AB1279),Workforce!$A$2:$A$151,0))),N(INDEX(FTE_Allocation!$I$2:$I$201,$AB1279)))),1),"")))</f>
        <v/>
      </c>
      <c r="AF1279" s="21">
        <f>IF($Z1279="C",IF(INDEX(Contracts!$I$2:$I$151,$AB1279)="PREPAID",EDATE(DATE(YEAR(INDEX(Contracts!$J$2:$J$151,$AB1279)),MONTH(INDEX(Contracts!$J$2:$J$151,$AB1279)),1),IF(INDEX(Contracts!$N$2:$N$151,$AB1279)="",12,INDEX(Contracts!$N$2:$N$151,$AB1279))-1),IF(INDEX(Contracts!$I$2:$I$151,$AB1279)="MONTHLY",IF(INDEX(Contracts!$K$2:$K$151,$AB1279)="",2958101,INDEX(Contracts!$K$2:$K$151,$AB1279)),0)),IF($Z1279="A",EDATE(DATE(YEAR(INDEX(Fixed_Assets!$G$2:$G$201,$AB1279)),MONTH(INDEX(Fixed_Assets!$G$2:$G$201,$AB1279)),1),INDEX(Fixed_Assets!$J$2:$J$201,$AB1279)-1),IF($Z1279="F",MIN(IF(INDEX(Workforce!$J$2:$J$151,MATCH(INDEX(FTE_Allocation!$A$2:$A$201,$AB1279),Workforce!$A$2:$A$151,0))="",2958101,INDEX(Workforce!$J$2:$J$151,MATCH(INDEX(FTE_Allocation!$A$2:$A$201,$AB1279),Workforce!$A$2:$A$151,0))),IF(INDEX(FTE_Allocation!$J$2:$J$201,$AB1279)="",2958101,INDEX(FTE_Allocation!$J$2:$J$201,$AB1279))),"")))</f>
        <v/>
      </c>
      <c r="AG1279" s="19">
        <f>IF($Z1279="C",IF(INDEX(Contracts!$I$2:$I$151,$AB1279)="PREPAID",INDEX(Contracts!$M$2:$M$151,$AB1279)/IF(INDEX(Contracts!$N$2:$N$151,$AB1279)="",12,INDEX(Contracts!$N$2:$N$151,$AB1279)),IF(INDEX(Contracts!$I$2:$I$151,$AB1279)="MONTHLY",INDEX(Contracts!$M$2:$M$151,$AB1279),0))*(1-N(INDEX(Contracts!$O$2:$O$151,$AB1279))),IF($Z1279="A",INDEX(Fixed_Assets!$H$2:$H$201,$AB1279)/INDEX(Fixed_Assets!$J$2:$J$201,$AB1279),IF($Z1279="F",INDEX(Workforce!$F$2:$F$151,MATCH(INDEX(FTE_Allocation!$A$2:$A$201,$AB1279),Workforce!$A$2:$A$151,0))*N(INDEX(FTE_Allocation!$F$2:$H$201,$AB1279,$AC1279)),"")))</f>
        <v/>
      </c>
    </row>
    <row r="1280">
      <c r="A1280" s="7">
        <f>IF($Z1280="","",$AD1280)</f>
        <v/>
      </c>
      <c r="B1280" s="7">
        <f>IF($Z1280="C",INDEX(Contracts!$D$2:$D$151,$AB1280)&amp;"",IF($Z1280="A",INDEX(Fixed_Assets!$C$2:$C$201,$AB1280)&amp;"",IF($Z1280="F",INDEX(Workforce!$B$2:$B$151,MATCH(INDEX(FTE_Allocation!$A$2:$A$201,$AB1280),Workforce!$A$2:$A$151,0))&amp;"","")))</f>
        <v/>
      </c>
      <c r="C1280" s="7">
        <f>IF($Z1280="C",INDEX(Contracts!$E$2:$E$151,$AB1280)&amp;"",IF($Z1280="A",INDEX(Fixed_Assets!$D$2:$D$201,$AB1280)&amp;"",IF($Z1280="F",INDEX(FTE_Allocation!$C$2:$C$201,$AB1280)&amp;"","")))</f>
        <v/>
      </c>
      <c r="D1280" s="7">
        <f>IF($Z1280="C",INDEX(Contracts!$B$2:$B$151,$AB1280)&amp;"",IF($Z1280="A",INDEX(Fixed_Assets!$B$2:$B$201,$AB1280)&amp;"",IF($Z1280="F",INDEX(FTE_Allocation!$B$2:$B$201,$AB1280)&amp;"","")))</f>
        <v/>
      </c>
      <c r="E1280" s="7">
        <f>IF($Z1280="C",INDEX(Contracts!$P$2:$P$151,$AB1280)&amp;"",IF($Z1280="A",INDEX(Fixed_Assets!$K$2:$K$201,$AB1280)&amp;"",IF($Z1280="F",IF(INDEX(FTE_Allocation!$D$2:$D$201,$AB1280)="PROJECT",IFERROR(INDEX(Projects!$D:$D,MATCH(INDEX(FTE_Allocation!$E$2:$E$201,$AB1280),Projects!$A:$A,0))&amp;"","#PROJECT?"),INDEX(FTE_Allocation!$E$2:$E$201,$AB1280)&amp;""),"")))</f>
        <v/>
      </c>
      <c r="F1280" s="7">
        <f>IF($Z1280="C",INDEX(Contracts!$Q$2:$Q$151,$AB1280)&amp;"",IF($Z1280="A",INDEX(Fixed_Assets!$L$2:$L$201,$AB1280)&amp;"",IF($Z1280="F",INDEX(Workforce!$K$2:$K$151,MATCH(INDEX(FTE_Allocation!$A$2:$A$201,$AB1280),Workforce!$A$2:$A$151,0))&amp;"","")))</f>
        <v/>
      </c>
      <c r="G1280" s="7">
        <f>IF($Z1280="C",INDEX(Contracts!$F$2:$F$151,$AB1280)&amp;" / "&amp;INDEX(Contracts!$G$2:$G$151,$AB1280),IF($Z1280="A",INDEX(Fixed_Assets!$E$2:$E$201,$AB1280)&amp;"",IF($Z1280="F","Personnel "&amp;INDEX(FTE_Allocation!$A$2:$A$201,$AB1280)&amp;IF(INDEX(FTE_Allocation!$D$2:$D$201,$AB1280)="PROJECT"," ("&amp;INDEX(FTE_Allocation!$E$2:$E$201,$AB1280)&amp;")",""),"")))</f>
        <v/>
      </c>
      <c r="H1280" s="7">
        <f>IF($Z1280="C","CONTRACT",IF($Z1280="A","ASSET",IF($Z1280="F","WORKFORCE","")))</f>
        <v/>
      </c>
      <c r="I1280" s="7">
        <f>IF($Z1280="C",INDEX(Contracts!$L$2:$L$151,$AB1280)&amp;"",IF($Z1280="A",INDEX(Fixed_Assets!$I$2:$I$201,$AB1280)&amp;"",IF($Z1280="F",INDEX(Workforce!$G$2:$G$151,MATCH(INDEX(FTE_Allocation!$A$2:$A$201,$AB1280),Workforce!$A$2:$A$151,0))&amp;"","")))</f>
        <v/>
      </c>
      <c r="J1280" s="18">
        <f>IF($Z1280="","",IF(AND(DATE($AD1280,1,1)&gt;=$AE1280,DATE($AD1280,1,1)&lt;=$AF1280),ROUND($AG1280,2),0))</f>
        <v/>
      </c>
      <c r="K1280" s="18">
        <f>IF($Z1280="","",IF(AND(DATE($AD1280,2,1)&gt;=$AE1280,DATE($AD1280,2,1)&lt;=$AF1280),ROUND($AG1280,2),0))</f>
        <v/>
      </c>
      <c r="L1280" s="18">
        <f>IF($Z1280="","",IF(AND(DATE($AD1280,3,1)&gt;=$AE1280,DATE($AD1280,3,1)&lt;=$AF1280),ROUND($AG1280,2),0))</f>
        <v/>
      </c>
      <c r="M1280" s="18">
        <f>IF($Z1280="","",IF(AND(DATE($AD1280,4,1)&gt;=$AE1280,DATE($AD1280,4,1)&lt;=$AF1280),ROUND($AG1280,2),0))</f>
        <v/>
      </c>
      <c r="N1280" s="18">
        <f>IF($Z1280="","",IF(AND(DATE($AD1280,5,1)&gt;=$AE1280,DATE($AD1280,5,1)&lt;=$AF1280),ROUND($AG1280,2),0))</f>
        <v/>
      </c>
      <c r="O1280" s="18">
        <f>IF($Z1280="","",IF(AND(DATE($AD1280,6,1)&gt;=$AE1280,DATE($AD1280,6,1)&lt;=$AF1280),ROUND($AG1280,2),0))</f>
        <v/>
      </c>
      <c r="P1280" s="18">
        <f>IF($Z1280="","",IF(AND(DATE($AD1280,7,1)&gt;=$AE1280,DATE($AD1280,7,1)&lt;=$AF1280),ROUND($AG1280,2),0))</f>
        <v/>
      </c>
      <c r="Q1280" s="18">
        <f>IF($Z1280="","",IF(AND(DATE($AD1280,8,1)&gt;=$AE1280,DATE($AD1280,8,1)&lt;=$AF1280),ROUND($AG1280,2),0))</f>
        <v/>
      </c>
      <c r="R1280" s="18">
        <f>IF($Z1280="","",IF(AND(DATE($AD1280,9,1)&gt;=$AE1280,DATE($AD1280,9,1)&lt;=$AF1280),ROUND($AG1280,2),0))</f>
        <v/>
      </c>
      <c r="S1280" s="18">
        <f>IF($Z1280="","",IF(AND(DATE($AD1280,10,1)&gt;=$AE1280,DATE($AD1280,10,1)&lt;=$AF1280),ROUND($AG1280,2),0))</f>
        <v/>
      </c>
      <c r="T1280" s="18">
        <f>IF($Z1280="","",IF(AND(DATE($AD1280,11,1)&gt;=$AE1280,DATE($AD1280,11,1)&lt;=$AF1280),ROUND($AG1280,2),0))</f>
        <v/>
      </c>
      <c r="U1280" s="18">
        <f>IF($Z1280="","",IF(AND(DATE($AD1280,12,1)&gt;=$AE1280,DATE($AD1280,12,1)&lt;=$AF1280),ROUND($AG1280,2),0))</f>
        <v/>
      </c>
      <c r="V1280" s="7">
        <f>IF($Z1280="C","Generated from "&amp;INDEX(Contracts!$A$2:$A$151,$AB1280),IF($Z1280="A","Generated from "&amp;INDEX(Fixed_Assets!$A$2:$A$201,$AB1280),IF($Z1280="F","Generated from "&amp;INDEX(FTE_Allocation!$A$2:$A$201,$AB1280),"")))</f>
        <v/>
      </c>
      <c r="X1280" s="19">
        <f>IF($Z1280="","",SUM(J1280:U1280))</f>
        <v/>
      </c>
      <c r="Y1280" s="20">
        <f>ROW()-1</f>
        <v/>
      </c>
      <c r="Z1280" s="20">
        <f>IF($Y1280&lt;=Settings!$B$4*3,"C",IF($Y1280&lt;=(Settings!$B$4+Settings!$B$5)*3,"A",IF($Y1280&lt;=(Settings!$B$4+Settings!$B$5+Settings!$B$6)*3,"F","")))</f>
        <v/>
      </c>
      <c r="AA1280" s="20">
        <f>IF($Z1280="C",$Y1280,IF($Z1280="A",$Y1280-Settings!$B$4*3,IF($Z1280="F",$Y1280-(Settings!$B$4+Settings!$B$5)*3,"")))</f>
        <v/>
      </c>
      <c r="AB1280" s="20">
        <f>IF($Z1280="","",INT(($AA1280-1)/3)+1)</f>
        <v/>
      </c>
      <c r="AC1280" s="20">
        <f>IF($Z1280="","",MOD($AA1280-1,3)+1)</f>
        <v/>
      </c>
      <c r="AD1280" s="20">
        <f>IF($Z1280="","",Settings!$B$2+$AC1280-1)</f>
        <v/>
      </c>
      <c r="AE1280" s="21">
        <f>IF($Z1280="C",DATE(YEAR(INDEX(Contracts!$J$2:$J$151,$AB1280)),MONTH(INDEX(Contracts!$J$2:$J$151,$AB1280)),1),IF($Z1280="A",DATE(YEAR(INDEX(Fixed_Assets!$G$2:$G$201,$AB1280)),MONTH(INDEX(Fixed_Assets!$G$2:$G$201,$AB1280)),1),IF($Z1280="F",DATE(YEAR(MAX(N(INDEX(Workforce!$I$2:$I$151,MATCH(INDEX(FTE_Allocation!$A$2:$A$201,$AB1280),Workforce!$A$2:$A$151,0))),N(INDEX(FTE_Allocation!$I$2:$I$201,$AB1280)))),MONTH(MAX(N(INDEX(Workforce!$I$2:$I$151,MATCH(INDEX(FTE_Allocation!$A$2:$A$201,$AB1280),Workforce!$A$2:$A$151,0))),N(INDEX(FTE_Allocation!$I$2:$I$201,$AB1280)))),1),"")))</f>
        <v/>
      </c>
      <c r="AF1280" s="21">
        <f>IF($Z1280="C",IF(INDEX(Contracts!$I$2:$I$151,$AB1280)="PREPAID",EDATE(DATE(YEAR(INDEX(Contracts!$J$2:$J$151,$AB1280)),MONTH(INDEX(Contracts!$J$2:$J$151,$AB1280)),1),IF(INDEX(Contracts!$N$2:$N$151,$AB1280)="",12,INDEX(Contracts!$N$2:$N$151,$AB1280))-1),IF(INDEX(Contracts!$I$2:$I$151,$AB1280)="MONTHLY",IF(INDEX(Contracts!$K$2:$K$151,$AB1280)="",2958101,INDEX(Contracts!$K$2:$K$151,$AB1280)),0)),IF($Z1280="A",EDATE(DATE(YEAR(INDEX(Fixed_Assets!$G$2:$G$201,$AB1280)),MONTH(INDEX(Fixed_Assets!$G$2:$G$201,$AB1280)),1),INDEX(Fixed_Assets!$J$2:$J$201,$AB1280)-1),IF($Z1280="F",MIN(IF(INDEX(Workforce!$J$2:$J$151,MATCH(INDEX(FTE_Allocation!$A$2:$A$201,$AB1280),Workforce!$A$2:$A$151,0))="",2958101,INDEX(Workforce!$J$2:$J$151,MATCH(INDEX(FTE_Allocation!$A$2:$A$201,$AB1280),Workforce!$A$2:$A$151,0))),IF(INDEX(FTE_Allocation!$J$2:$J$201,$AB1280)="",2958101,INDEX(FTE_Allocation!$J$2:$J$201,$AB1280))),"")))</f>
        <v/>
      </c>
      <c r="AG1280" s="19">
        <f>IF($Z1280="C",IF(INDEX(Contracts!$I$2:$I$151,$AB1280)="PREPAID",INDEX(Contracts!$M$2:$M$151,$AB1280)/IF(INDEX(Contracts!$N$2:$N$151,$AB1280)="",12,INDEX(Contracts!$N$2:$N$151,$AB1280)),IF(INDEX(Contracts!$I$2:$I$151,$AB1280)="MONTHLY",INDEX(Contracts!$M$2:$M$151,$AB1280),0))*(1-N(INDEX(Contracts!$O$2:$O$151,$AB1280))),IF($Z1280="A",INDEX(Fixed_Assets!$H$2:$H$201,$AB1280)/INDEX(Fixed_Assets!$J$2:$J$201,$AB1280),IF($Z1280="F",INDEX(Workforce!$F$2:$F$151,MATCH(INDEX(FTE_Allocation!$A$2:$A$201,$AB1280),Workforce!$A$2:$A$151,0))*N(INDEX(FTE_Allocation!$F$2:$H$201,$AB1280,$AC1280)),"")))</f>
        <v/>
      </c>
    </row>
    <row r="1281">
      <c r="A1281" s="7">
        <f>IF($Z1281="","",$AD1281)</f>
        <v/>
      </c>
      <c r="B1281" s="7">
        <f>IF($Z1281="C",INDEX(Contracts!$D$2:$D$151,$AB1281)&amp;"",IF($Z1281="A",INDEX(Fixed_Assets!$C$2:$C$201,$AB1281)&amp;"",IF($Z1281="F",INDEX(Workforce!$B$2:$B$151,MATCH(INDEX(FTE_Allocation!$A$2:$A$201,$AB1281),Workforce!$A$2:$A$151,0))&amp;"","")))</f>
        <v/>
      </c>
      <c r="C1281" s="7">
        <f>IF($Z1281="C",INDEX(Contracts!$E$2:$E$151,$AB1281)&amp;"",IF($Z1281="A",INDEX(Fixed_Assets!$D$2:$D$201,$AB1281)&amp;"",IF($Z1281="F",INDEX(FTE_Allocation!$C$2:$C$201,$AB1281)&amp;"","")))</f>
        <v/>
      </c>
      <c r="D1281" s="7">
        <f>IF($Z1281="C",INDEX(Contracts!$B$2:$B$151,$AB1281)&amp;"",IF($Z1281="A",INDEX(Fixed_Assets!$B$2:$B$201,$AB1281)&amp;"",IF($Z1281="F",INDEX(FTE_Allocation!$B$2:$B$201,$AB1281)&amp;"","")))</f>
        <v/>
      </c>
      <c r="E1281" s="7">
        <f>IF($Z1281="C",INDEX(Contracts!$P$2:$P$151,$AB1281)&amp;"",IF($Z1281="A",INDEX(Fixed_Assets!$K$2:$K$201,$AB1281)&amp;"",IF($Z1281="F",IF(INDEX(FTE_Allocation!$D$2:$D$201,$AB1281)="PROJECT",IFERROR(INDEX(Projects!$D:$D,MATCH(INDEX(FTE_Allocation!$E$2:$E$201,$AB1281),Projects!$A:$A,0))&amp;"","#PROJECT?"),INDEX(FTE_Allocation!$E$2:$E$201,$AB1281)&amp;""),"")))</f>
        <v/>
      </c>
      <c r="F1281" s="7">
        <f>IF($Z1281="C",INDEX(Contracts!$Q$2:$Q$151,$AB1281)&amp;"",IF($Z1281="A",INDEX(Fixed_Assets!$L$2:$L$201,$AB1281)&amp;"",IF($Z1281="F",INDEX(Workforce!$K$2:$K$151,MATCH(INDEX(FTE_Allocation!$A$2:$A$201,$AB1281),Workforce!$A$2:$A$151,0))&amp;"","")))</f>
        <v/>
      </c>
      <c r="G1281" s="7">
        <f>IF($Z1281="C",INDEX(Contracts!$F$2:$F$151,$AB1281)&amp;" / "&amp;INDEX(Contracts!$G$2:$G$151,$AB1281),IF($Z1281="A",INDEX(Fixed_Assets!$E$2:$E$201,$AB1281)&amp;"",IF($Z1281="F","Personnel "&amp;INDEX(FTE_Allocation!$A$2:$A$201,$AB1281)&amp;IF(INDEX(FTE_Allocation!$D$2:$D$201,$AB1281)="PROJECT"," ("&amp;INDEX(FTE_Allocation!$E$2:$E$201,$AB1281)&amp;")",""),"")))</f>
        <v/>
      </c>
      <c r="H1281" s="7">
        <f>IF($Z1281="C","CONTRACT",IF($Z1281="A","ASSET",IF($Z1281="F","WORKFORCE","")))</f>
        <v/>
      </c>
      <c r="I1281" s="7">
        <f>IF($Z1281="C",INDEX(Contracts!$L$2:$L$151,$AB1281)&amp;"",IF($Z1281="A",INDEX(Fixed_Assets!$I$2:$I$201,$AB1281)&amp;"",IF($Z1281="F",INDEX(Workforce!$G$2:$G$151,MATCH(INDEX(FTE_Allocation!$A$2:$A$201,$AB1281),Workforce!$A$2:$A$151,0))&amp;"","")))</f>
        <v/>
      </c>
      <c r="J1281" s="18">
        <f>IF($Z1281="","",IF(AND(DATE($AD1281,1,1)&gt;=$AE1281,DATE($AD1281,1,1)&lt;=$AF1281),ROUND($AG1281,2),0))</f>
        <v/>
      </c>
      <c r="K1281" s="18">
        <f>IF($Z1281="","",IF(AND(DATE($AD1281,2,1)&gt;=$AE1281,DATE($AD1281,2,1)&lt;=$AF1281),ROUND($AG1281,2),0))</f>
        <v/>
      </c>
      <c r="L1281" s="18">
        <f>IF($Z1281="","",IF(AND(DATE($AD1281,3,1)&gt;=$AE1281,DATE($AD1281,3,1)&lt;=$AF1281),ROUND($AG1281,2),0))</f>
        <v/>
      </c>
      <c r="M1281" s="18">
        <f>IF($Z1281="","",IF(AND(DATE($AD1281,4,1)&gt;=$AE1281,DATE($AD1281,4,1)&lt;=$AF1281),ROUND($AG1281,2),0))</f>
        <v/>
      </c>
      <c r="N1281" s="18">
        <f>IF($Z1281="","",IF(AND(DATE($AD1281,5,1)&gt;=$AE1281,DATE($AD1281,5,1)&lt;=$AF1281),ROUND($AG1281,2),0))</f>
        <v/>
      </c>
      <c r="O1281" s="18">
        <f>IF($Z1281="","",IF(AND(DATE($AD1281,6,1)&gt;=$AE1281,DATE($AD1281,6,1)&lt;=$AF1281),ROUND($AG1281,2),0))</f>
        <v/>
      </c>
      <c r="P1281" s="18">
        <f>IF($Z1281="","",IF(AND(DATE($AD1281,7,1)&gt;=$AE1281,DATE($AD1281,7,1)&lt;=$AF1281),ROUND($AG1281,2),0))</f>
        <v/>
      </c>
      <c r="Q1281" s="18">
        <f>IF($Z1281="","",IF(AND(DATE($AD1281,8,1)&gt;=$AE1281,DATE($AD1281,8,1)&lt;=$AF1281),ROUND($AG1281,2),0))</f>
        <v/>
      </c>
      <c r="R1281" s="18">
        <f>IF($Z1281="","",IF(AND(DATE($AD1281,9,1)&gt;=$AE1281,DATE($AD1281,9,1)&lt;=$AF1281),ROUND($AG1281,2),0))</f>
        <v/>
      </c>
      <c r="S1281" s="18">
        <f>IF($Z1281="","",IF(AND(DATE($AD1281,10,1)&gt;=$AE1281,DATE($AD1281,10,1)&lt;=$AF1281),ROUND($AG1281,2),0))</f>
        <v/>
      </c>
      <c r="T1281" s="18">
        <f>IF($Z1281="","",IF(AND(DATE($AD1281,11,1)&gt;=$AE1281,DATE($AD1281,11,1)&lt;=$AF1281),ROUND($AG1281,2),0))</f>
        <v/>
      </c>
      <c r="U1281" s="18">
        <f>IF($Z1281="","",IF(AND(DATE($AD1281,12,1)&gt;=$AE1281,DATE($AD1281,12,1)&lt;=$AF1281),ROUND($AG1281,2),0))</f>
        <v/>
      </c>
      <c r="V1281" s="7">
        <f>IF($Z1281="C","Generated from "&amp;INDEX(Contracts!$A$2:$A$151,$AB1281),IF($Z1281="A","Generated from "&amp;INDEX(Fixed_Assets!$A$2:$A$201,$AB1281),IF($Z1281="F","Generated from "&amp;INDEX(FTE_Allocation!$A$2:$A$201,$AB1281),"")))</f>
        <v/>
      </c>
      <c r="X1281" s="19">
        <f>IF($Z1281="","",SUM(J1281:U1281))</f>
        <v/>
      </c>
      <c r="Y1281" s="20">
        <f>ROW()-1</f>
        <v/>
      </c>
      <c r="Z1281" s="20">
        <f>IF($Y1281&lt;=Settings!$B$4*3,"C",IF($Y1281&lt;=(Settings!$B$4+Settings!$B$5)*3,"A",IF($Y1281&lt;=(Settings!$B$4+Settings!$B$5+Settings!$B$6)*3,"F","")))</f>
        <v/>
      </c>
      <c r="AA1281" s="20">
        <f>IF($Z1281="C",$Y1281,IF($Z1281="A",$Y1281-Settings!$B$4*3,IF($Z1281="F",$Y1281-(Settings!$B$4+Settings!$B$5)*3,"")))</f>
        <v/>
      </c>
      <c r="AB1281" s="20">
        <f>IF($Z1281="","",INT(($AA1281-1)/3)+1)</f>
        <v/>
      </c>
      <c r="AC1281" s="20">
        <f>IF($Z1281="","",MOD($AA1281-1,3)+1)</f>
        <v/>
      </c>
      <c r="AD1281" s="20">
        <f>IF($Z1281="","",Settings!$B$2+$AC1281-1)</f>
        <v/>
      </c>
      <c r="AE1281" s="21">
        <f>IF($Z1281="C",DATE(YEAR(INDEX(Contracts!$J$2:$J$151,$AB1281)),MONTH(INDEX(Contracts!$J$2:$J$151,$AB1281)),1),IF($Z1281="A",DATE(YEAR(INDEX(Fixed_Assets!$G$2:$G$201,$AB1281)),MONTH(INDEX(Fixed_Assets!$G$2:$G$201,$AB1281)),1),IF($Z1281="F",DATE(YEAR(MAX(N(INDEX(Workforce!$I$2:$I$151,MATCH(INDEX(FTE_Allocation!$A$2:$A$201,$AB1281),Workforce!$A$2:$A$151,0))),N(INDEX(FTE_Allocation!$I$2:$I$201,$AB1281)))),MONTH(MAX(N(INDEX(Workforce!$I$2:$I$151,MATCH(INDEX(FTE_Allocation!$A$2:$A$201,$AB1281),Workforce!$A$2:$A$151,0))),N(INDEX(FTE_Allocation!$I$2:$I$201,$AB1281)))),1),"")))</f>
        <v/>
      </c>
      <c r="AF1281" s="21">
        <f>IF($Z1281="C",IF(INDEX(Contracts!$I$2:$I$151,$AB1281)="PREPAID",EDATE(DATE(YEAR(INDEX(Contracts!$J$2:$J$151,$AB1281)),MONTH(INDEX(Contracts!$J$2:$J$151,$AB1281)),1),IF(INDEX(Contracts!$N$2:$N$151,$AB1281)="",12,INDEX(Contracts!$N$2:$N$151,$AB1281))-1),IF(INDEX(Contracts!$I$2:$I$151,$AB1281)="MONTHLY",IF(INDEX(Contracts!$K$2:$K$151,$AB1281)="",2958101,INDEX(Contracts!$K$2:$K$151,$AB1281)),0)),IF($Z1281="A",EDATE(DATE(YEAR(INDEX(Fixed_Assets!$G$2:$G$201,$AB1281)),MONTH(INDEX(Fixed_Assets!$G$2:$G$201,$AB1281)),1),INDEX(Fixed_Assets!$J$2:$J$201,$AB1281)-1),IF($Z1281="F",MIN(IF(INDEX(Workforce!$J$2:$J$151,MATCH(INDEX(FTE_Allocation!$A$2:$A$201,$AB1281),Workforce!$A$2:$A$151,0))="",2958101,INDEX(Workforce!$J$2:$J$151,MATCH(INDEX(FTE_Allocation!$A$2:$A$201,$AB1281),Workforce!$A$2:$A$151,0))),IF(INDEX(FTE_Allocation!$J$2:$J$201,$AB1281)="",2958101,INDEX(FTE_Allocation!$J$2:$J$201,$AB1281))),"")))</f>
        <v/>
      </c>
      <c r="AG1281" s="19">
        <f>IF($Z1281="C",IF(INDEX(Contracts!$I$2:$I$151,$AB1281)="PREPAID",INDEX(Contracts!$M$2:$M$151,$AB1281)/IF(INDEX(Contracts!$N$2:$N$151,$AB1281)="",12,INDEX(Contracts!$N$2:$N$151,$AB1281)),IF(INDEX(Contracts!$I$2:$I$151,$AB1281)="MONTHLY",INDEX(Contracts!$M$2:$M$151,$AB1281),0))*(1-N(INDEX(Contracts!$O$2:$O$151,$AB1281))),IF($Z1281="A",INDEX(Fixed_Assets!$H$2:$H$201,$AB1281)/INDEX(Fixed_Assets!$J$2:$J$201,$AB1281),IF($Z1281="F",INDEX(Workforce!$F$2:$F$151,MATCH(INDEX(FTE_Allocation!$A$2:$A$201,$AB1281),Workforce!$A$2:$A$151,0))*N(INDEX(FTE_Allocation!$F$2:$H$201,$AB1281,$AC1281)),"")))</f>
        <v/>
      </c>
    </row>
    <row r="1282">
      <c r="A1282" s="7">
        <f>IF($Z1282="","",$AD1282)</f>
        <v/>
      </c>
      <c r="B1282" s="7">
        <f>IF($Z1282="C",INDEX(Contracts!$D$2:$D$151,$AB1282)&amp;"",IF($Z1282="A",INDEX(Fixed_Assets!$C$2:$C$201,$AB1282)&amp;"",IF($Z1282="F",INDEX(Workforce!$B$2:$B$151,MATCH(INDEX(FTE_Allocation!$A$2:$A$201,$AB1282),Workforce!$A$2:$A$151,0))&amp;"","")))</f>
        <v/>
      </c>
      <c r="C1282" s="7">
        <f>IF($Z1282="C",INDEX(Contracts!$E$2:$E$151,$AB1282)&amp;"",IF($Z1282="A",INDEX(Fixed_Assets!$D$2:$D$201,$AB1282)&amp;"",IF($Z1282="F",INDEX(FTE_Allocation!$C$2:$C$201,$AB1282)&amp;"","")))</f>
        <v/>
      </c>
      <c r="D1282" s="7">
        <f>IF($Z1282="C",INDEX(Contracts!$B$2:$B$151,$AB1282)&amp;"",IF($Z1282="A",INDEX(Fixed_Assets!$B$2:$B$201,$AB1282)&amp;"",IF($Z1282="F",INDEX(FTE_Allocation!$B$2:$B$201,$AB1282)&amp;"","")))</f>
        <v/>
      </c>
      <c r="E1282" s="7">
        <f>IF($Z1282="C",INDEX(Contracts!$P$2:$P$151,$AB1282)&amp;"",IF($Z1282="A",INDEX(Fixed_Assets!$K$2:$K$201,$AB1282)&amp;"",IF($Z1282="F",IF(INDEX(FTE_Allocation!$D$2:$D$201,$AB1282)="PROJECT",IFERROR(INDEX(Projects!$D:$D,MATCH(INDEX(FTE_Allocation!$E$2:$E$201,$AB1282),Projects!$A:$A,0))&amp;"","#PROJECT?"),INDEX(FTE_Allocation!$E$2:$E$201,$AB1282)&amp;""),"")))</f>
        <v/>
      </c>
      <c r="F1282" s="7">
        <f>IF($Z1282="C",INDEX(Contracts!$Q$2:$Q$151,$AB1282)&amp;"",IF($Z1282="A",INDEX(Fixed_Assets!$L$2:$L$201,$AB1282)&amp;"",IF($Z1282="F",INDEX(Workforce!$K$2:$K$151,MATCH(INDEX(FTE_Allocation!$A$2:$A$201,$AB1282),Workforce!$A$2:$A$151,0))&amp;"","")))</f>
        <v/>
      </c>
      <c r="G1282" s="7">
        <f>IF($Z1282="C",INDEX(Contracts!$F$2:$F$151,$AB1282)&amp;" / "&amp;INDEX(Contracts!$G$2:$G$151,$AB1282),IF($Z1282="A",INDEX(Fixed_Assets!$E$2:$E$201,$AB1282)&amp;"",IF($Z1282="F","Personnel "&amp;INDEX(FTE_Allocation!$A$2:$A$201,$AB1282)&amp;IF(INDEX(FTE_Allocation!$D$2:$D$201,$AB1282)="PROJECT"," ("&amp;INDEX(FTE_Allocation!$E$2:$E$201,$AB1282)&amp;")",""),"")))</f>
        <v/>
      </c>
      <c r="H1282" s="7">
        <f>IF($Z1282="C","CONTRACT",IF($Z1282="A","ASSET",IF($Z1282="F","WORKFORCE","")))</f>
        <v/>
      </c>
      <c r="I1282" s="7">
        <f>IF($Z1282="C",INDEX(Contracts!$L$2:$L$151,$AB1282)&amp;"",IF($Z1282="A",INDEX(Fixed_Assets!$I$2:$I$201,$AB1282)&amp;"",IF($Z1282="F",INDEX(Workforce!$G$2:$G$151,MATCH(INDEX(FTE_Allocation!$A$2:$A$201,$AB1282),Workforce!$A$2:$A$151,0))&amp;"","")))</f>
        <v/>
      </c>
      <c r="J1282" s="18">
        <f>IF($Z1282="","",IF(AND(DATE($AD1282,1,1)&gt;=$AE1282,DATE($AD1282,1,1)&lt;=$AF1282),ROUND($AG1282,2),0))</f>
        <v/>
      </c>
      <c r="K1282" s="18">
        <f>IF($Z1282="","",IF(AND(DATE($AD1282,2,1)&gt;=$AE1282,DATE($AD1282,2,1)&lt;=$AF1282),ROUND($AG1282,2),0))</f>
        <v/>
      </c>
      <c r="L1282" s="18">
        <f>IF($Z1282="","",IF(AND(DATE($AD1282,3,1)&gt;=$AE1282,DATE($AD1282,3,1)&lt;=$AF1282),ROUND($AG1282,2),0))</f>
        <v/>
      </c>
      <c r="M1282" s="18">
        <f>IF($Z1282="","",IF(AND(DATE($AD1282,4,1)&gt;=$AE1282,DATE($AD1282,4,1)&lt;=$AF1282),ROUND($AG1282,2),0))</f>
        <v/>
      </c>
      <c r="N1282" s="18">
        <f>IF($Z1282="","",IF(AND(DATE($AD1282,5,1)&gt;=$AE1282,DATE($AD1282,5,1)&lt;=$AF1282),ROUND($AG1282,2),0))</f>
        <v/>
      </c>
      <c r="O1282" s="18">
        <f>IF($Z1282="","",IF(AND(DATE($AD1282,6,1)&gt;=$AE1282,DATE($AD1282,6,1)&lt;=$AF1282),ROUND($AG1282,2),0))</f>
        <v/>
      </c>
      <c r="P1282" s="18">
        <f>IF($Z1282="","",IF(AND(DATE($AD1282,7,1)&gt;=$AE1282,DATE($AD1282,7,1)&lt;=$AF1282),ROUND($AG1282,2),0))</f>
        <v/>
      </c>
      <c r="Q1282" s="18">
        <f>IF($Z1282="","",IF(AND(DATE($AD1282,8,1)&gt;=$AE1282,DATE($AD1282,8,1)&lt;=$AF1282),ROUND($AG1282,2),0))</f>
        <v/>
      </c>
      <c r="R1282" s="18">
        <f>IF($Z1282="","",IF(AND(DATE($AD1282,9,1)&gt;=$AE1282,DATE($AD1282,9,1)&lt;=$AF1282),ROUND($AG1282,2),0))</f>
        <v/>
      </c>
      <c r="S1282" s="18">
        <f>IF($Z1282="","",IF(AND(DATE($AD1282,10,1)&gt;=$AE1282,DATE($AD1282,10,1)&lt;=$AF1282),ROUND($AG1282,2),0))</f>
        <v/>
      </c>
      <c r="T1282" s="18">
        <f>IF($Z1282="","",IF(AND(DATE($AD1282,11,1)&gt;=$AE1282,DATE($AD1282,11,1)&lt;=$AF1282),ROUND($AG1282,2),0))</f>
        <v/>
      </c>
      <c r="U1282" s="18">
        <f>IF($Z1282="","",IF(AND(DATE($AD1282,12,1)&gt;=$AE1282,DATE($AD1282,12,1)&lt;=$AF1282),ROUND($AG1282,2),0))</f>
        <v/>
      </c>
      <c r="V1282" s="7">
        <f>IF($Z1282="C","Generated from "&amp;INDEX(Contracts!$A$2:$A$151,$AB1282),IF($Z1282="A","Generated from "&amp;INDEX(Fixed_Assets!$A$2:$A$201,$AB1282),IF($Z1282="F","Generated from "&amp;INDEX(FTE_Allocation!$A$2:$A$201,$AB1282),"")))</f>
        <v/>
      </c>
      <c r="X1282" s="19">
        <f>IF($Z1282="","",SUM(J1282:U1282))</f>
        <v/>
      </c>
      <c r="Y1282" s="20">
        <f>ROW()-1</f>
        <v/>
      </c>
      <c r="Z1282" s="20">
        <f>IF($Y1282&lt;=Settings!$B$4*3,"C",IF($Y1282&lt;=(Settings!$B$4+Settings!$B$5)*3,"A",IF($Y1282&lt;=(Settings!$B$4+Settings!$B$5+Settings!$B$6)*3,"F","")))</f>
        <v/>
      </c>
      <c r="AA1282" s="20">
        <f>IF($Z1282="C",$Y1282,IF($Z1282="A",$Y1282-Settings!$B$4*3,IF($Z1282="F",$Y1282-(Settings!$B$4+Settings!$B$5)*3,"")))</f>
        <v/>
      </c>
      <c r="AB1282" s="20">
        <f>IF($Z1282="","",INT(($AA1282-1)/3)+1)</f>
        <v/>
      </c>
      <c r="AC1282" s="20">
        <f>IF($Z1282="","",MOD($AA1282-1,3)+1)</f>
        <v/>
      </c>
      <c r="AD1282" s="20">
        <f>IF($Z1282="","",Settings!$B$2+$AC1282-1)</f>
        <v/>
      </c>
      <c r="AE1282" s="21">
        <f>IF($Z1282="C",DATE(YEAR(INDEX(Contracts!$J$2:$J$151,$AB1282)),MONTH(INDEX(Contracts!$J$2:$J$151,$AB1282)),1),IF($Z1282="A",DATE(YEAR(INDEX(Fixed_Assets!$G$2:$G$201,$AB1282)),MONTH(INDEX(Fixed_Assets!$G$2:$G$201,$AB1282)),1),IF($Z1282="F",DATE(YEAR(MAX(N(INDEX(Workforce!$I$2:$I$151,MATCH(INDEX(FTE_Allocation!$A$2:$A$201,$AB1282),Workforce!$A$2:$A$151,0))),N(INDEX(FTE_Allocation!$I$2:$I$201,$AB1282)))),MONTH(MAX(N(INDEX(Workforce!$I$2:$I$151,MATCH(INDEX(FTE_Allocation!$A$2:$A$201,$AB1282),Workforce!$A$2:$A$151,0))),N(INDEX(FTE_Allocation!$I$2:$I$201,$AB1282)))),1),"")))</f>
        <v/>
      </c>
      <c r="AF1282" s="21">
        <f>IF($Z1282="C",IF(INDEX(Contracts!$I$2:$I$151,$AB1282)="PREPAID",EDATE(DATE(YEAR(INDEX(Contracts!$J$2:$J$151,$AB1282)),MONTH(INDEX(Contracts!$J$2:$J$151,$AB1282)),1),IF(INDEX(Contracts!$N$2:$N$151,$AB1282)="",12,INDEX(Contracts!$N$2:$N$151,$AB1282))-1),IF(INDEX(Contracts!$I$2:$I$151,$AB1282)="MONTHLY",IF(INDEX(Contracts!$K$2:$K$151,$AB1282)="",2958101,INDEX(Contracts!$K$2:$K$151,$AB1282)),0)),IF($Z1282="A",EDATE(DATE(YEAR(INDEX(Fixed_Assets!$G$2:$G$201,$AB1282)),MONTH(INDEX(Fixed_Assets!$G$2:$G$201,$AB1282)),1),INDEX(Fixed_Assets!$J$2:$J$201,$AB1282)-1),IF($Z1282="F",MIN(IF(INDEX(Workforce!$J$2:$J$151,MATCH(INDEX(FTE_Allocation!$A$2:$A$201,$AB1282),Workforce!$A$2:$A$151,0))="",2958101,INDEX(Workforce!$J$2:$J$151,MATCH(INDEX(FTE_Allocation!$A$2:$A$201,$AB1282),Workforce!$A$2:$A$151,0))),IF(INDEX(FTE_Allocation!$J$2:$J$201,$AB1282)="",2958101,INDEX(FTE_Allocation!$J$2:$J$201,$AB1282))),"")))</f>
        <v/>
      </c>
      <c r="AG1282" s="19">
        <f>IF($Z1282="C",IF(INDEX(Contracts!$I$2:$I$151,$AB1282)="PREPAID",INDEX(Contracts!$M$2:$M$151,$AB1282)/IF(INDEX(Contracts!$N$2:$N$151,$AB1282)="",12,INDEX(Contracts!$N$2:$N$151,$AB1282)),IF(INDEX(Contracts!$I$2:$I$151,$AB1282)="MONTHLY",INDEX(Contracts!$M$2:$M$151,$AB1282),0))*(1-N(INDEX(Contracts!$O$2:$O$151,$AB1282))),IF($Z1282="A",INDEX(Fixed_Assets!$H$2:$H$201,$AB1282)/INDEX(Fixed_Assets!$J$2:$J$201,$AB1282),IF($Z1282="F",INDEX(Workforce!$F$2:$F$151,MATCH(INDEX(FTE_Allocation!$A$2:$A$201,$AB1282),Workforce!$A$2:$A$151,0))*N(INDEX(FTE_Allocation!$F$2:$H$201,$AB1282,$AC1282)),"")))</f>
        <v/>
      </c>
    </row>
    <row r="1283">
      <c r="A1283" s="7">
        <f>IF($Z1283="","",$AD1283)</f>
        <v/>
      </c>
      <c r="B1283" s="7">
        <f>IF($Z1283="C",INDEX(Contracts!$D$2:$D$151,$AB1283)&amp;"",IF($Z1283="A",INDEX(Fixed_Assets!$C$2:$C$201,$AB1283)&amp;"",IF($Z1283="F",INDEX(Workforce!$B$2:$B$151,MATCH(INDEX(FTE_Allocation!$A$2:$A$201,$AB1283),Workforce!$A$2:$A$151,0))&amp;"","")))</f>
        <v/>
      </c>
      <c r="C1283" s="7">
        <f>IF($Z1283="C",INDEX(Contracts!$E$2:$E$151,$AB1283)&amp;"",IF($Z1283="A",INDEX(Fixed_Assets!$D$2:$D$201,$AB1283)&amp;"",IF($Z1283="F",INDEX(FTE_Allocation!$C$2:$C$201,$AB1283)&amp;"","")))</f>
        <v/>
      </c>
      <c r="D1283" s="7">
        <f>IF($Z1283="C",INDEX(Contracts!$B$2:$B$151,$AB1283)&amp;"",IF($Z1283="A",INDEX(Fixed_Assets!$B$2:$B$201,$AB1283)&amp;"",IF($Z1283="F",INDEX(FTE_Allocation!$B$2:$B$201,$AB1283)&amp;"","")))</f>
        <v/>
      </c>
      <c r="E1283" s="7">
        <f>IF($Z1283="C",INDEX(Contracts!$P$2:$P$151,$AB1283)&amp;"",IF($Z1283="A",INDEX(Fixed_Assets!$K$2:$K$201,$AB1283)&amp;"",IF($Z1283="F",IF(INDEX(FTE_Allocation!$D$2:$D$201,$AB1283)="PROJECT",IFERROR(INDEX(Projects!$D:$D,MATCH(INDEX(FTE_Allocation!$E$2:$E$201,$AB1283),Projects!$A:$A,0))&amp;"","#PROJECT?"),INDEX(FTE_Allocation!$E$2:$E$201,$AB1283)&amp;""),"")))</f>
        <v/>
      </c>
      <c r="F1283" s="7">
        <f>IF($Z1283="C",INDEX(Contracts!$Q$2:$Q$151,$AB1283)&amp;"",IF($Z1283="A",INDEX(Fixed_Assets!$L$2:$L$201,$AB1283)&amp;"",IF($Z1283="F",INDEX(Workforce!$K$2:$K$151,MATCH(INDEX(FTE_Allocation!$A$2:$A$201,$AB1283),Workforce!$A$2:$A$151,0))&amp;"","")))</f>
        <v/>
      </c>
      <c r="G1283" s="7">
        <f>IF($Z1283="C",INDEX(Contracts!$F$2:$F$151,$AB1283)&amp;" / "&amp;INDEX(Contracts!$G$2:$G$151,$AB1283),IF($Z1283="A",INDEX(Fixed_Assets!$E$2:$E$201,$AB1283)&amp;"",IF($Z1283="F","Personnel "&amp;INDEX(FTE_Allocation!$A$2:$A$201,$AB1283)&amp;IF(INDEX(FTE_Allocation!$D$2:$D$201,$AB1283)="PROJECT"," ("&amp;INDEX(FTE_Allocation!$E$2:$E$201,$AB1283)&amp;")",""),"")))</f>
        <v/>
      </c>
      <c r="H1283" s="7">
        <f>IF($Z1283="C","CONTRACT",IF($Z1283="A","ASSET",IF($Z1283="F","WORKFORCE","")))</f>
        <v/>
      </c>
      <c r="I1283" s="7">
        <f>IF($Z1283="C",INDEX(Contracts!$L$2:$L$151,$AB1283)&amp;"",IF($Z1283="A",INDEX(Fixed_Assets!$I$2:$I$201,$AB1283)&amp;"",IF($Z1283="F",INDEX(Workforce!$G$2:$G$151,MATCH(INDEX(FTE_Allocation!$A$2:$A$201,$AB1283),Workforce!$A$2:$A$151,0))&amp;"","")))</f>
        <v/>
      </c>
      <c r="J1283" s="18">
        <f>IF($Z1283="","",IF(AND(DATE($AD1283,1,1)&gt;=$AE1283,DATE($AD1283,1,1)&lt;=$AF1283),ROUND($AG1283,2),0))</f>
        <v/>
      </c>
      <c r="K1283" s="18">
        <f>IF($Z1283="","",IF(AND(DATE($AD1283,2,1)&gt;=$AE1283,DATE($AD1283,2,1)&lt;=$AF1283),ROUND($AG1283,2),0))</f>
        <v/>
      </c>
      <c r="L1283" s="18">
        <f>IF($Z1283="","",IF(AND(DATE($AD1283,3,1)&gt;=$AE1283,DATE($AD1283,3,1)&lt;=$AF1283),ROUND($AG1283,2),0))</f>
        <v/>
      </c>
      <c r="M1283" s="18">
        <f>IF($Z1283="","",IF(AND(DATE($AD1283,4,1)&gt;=$AE1283,DATE($AD1283,4,1)&lt;=$AF1283),ROUND($AG1283,2),0))</f>
        <v/>
      </c>
      <c r="N1283" s="18">
        <f>IF($Z1283="","",IF(AND(DATE($AD1283,5,1)&gt;=$AE1283,DATE($AD1283,5,1)&lt;=$AF1283),ROUND($AG1283,2),0))</f>
        <v/>
      </c>
      <c r="O1283" s="18">
        <f>IF($Z1283="","",IF(AND(DATE($AD1283,6,1)&gt;=$AE1283,DATE($AD1283,6,1)&lt;=$AF1283),ROUND($AG1283,2),0))</f>
        <v/>
      </c>
      <c r="P1283" s="18">
        <f>IF($Z1283="","",IF(AND(DATE($AD1283,7,1)&gt;=$AE1283,DATE($AD1283,7,1)&lt;=$AF1283),ROUND($AG1283,2),0))</f>
        <v/>
      </c>
      <c r="Q1283" s="18">
        <f>IF($Z1283="","",IF(AND(DATE($AD1283,8,1)&gt;=$AE1283,DATE($AD1283,8,1)&lt;=$AF1283),ROUND($AG1283,2),0))</f>
        <v/>
      </c>
      <c r="R1283" s="18">
        <f>IF($Z1283="","",IF(AND(DATE($AD1283,9,1)&gt;=$AE1283,DATE($AD1283,9,1)&lt;=$AF1283),ROUND($AG1283,2),0))</f>
        <v/>
      </c>
      <c r="S1283" s="18">
        <f>IF($Z1283="","",IF(AND(DATE($AD1283,10,1)&gt;=$AE1283,DATE($AD1283,10,1)&lt;=$AF1283),ROUND($AG1283,2),0))</f>
        <v/>
      </c>
      <c r="T1283" s="18">
        <f>IF($Z1283="","",IF(AND(DATE($AD1283,11,1)&gt;=$AE1283,DATE($AD1283,11,1)&lt;=$AF1283),ROUND($AG1283,2),0))</f>
        <v/>
      </c>
      <c r="U1283" s="18">
        <f>IF($Z1283="","",IF(AND(DATE($AD1283,12,1)&gt;=$AE1283,DATE($AD1283,12,1)&lt;=$AF1283),ROUND($AG1283,2),0))</f>
        <v/>
      </c>
      <c r="V1283" s="7">
        <f>IF($Z1283="C","Generated from "&amp;INDEX(Contracts!$A$2:$A$151,$AB1283),IF($Z1283="A","Generated from "&amp;INDEX(Fixed_Assets!$A$2:$A$201,$AB1283),IF($Z1283="F","Generated from "&amp;INDEX(FTE_Allocation!$A$2:$A$201,$AB1283),"")))</f>
        <v/>
      </c>
      <c r="X1283" s="19">
        <f>IF($Z1283="","",SUM(J1283:U1283))</f>
        <v/>
      </c>
      <c r="Y1283" s="20">
        <f>ROW()-1</f>
        <v/>
      </c>
      <c r="Z1283" s="20">
        <f>IF($Y1283&lt;=Settings!$B$4*3,"C",IF($Y1283&lt;=(Settings!$B$4+Settings!$B$5)*3,"A",IF($Y1283&lt;=(Settings!$B$4+Settings!$B$5+Settings!$B$6)*3,"F","")))</f>
        <v/>
      </c>
      <c r="AA1283" s="20">
        <f>IF($Z1283="C",$Y1283,IF($Z1283="A",$Y1283-Settings!$B$4*3,IF($Z1283="F",$Y1283-(Settings!$B$4+Settings!$B$5)*3,"")))</f>
        <v/>
      </c>
      <c r="AB1283" s="20">
        <f>IF($Z1283="","",INT(($AA1283-1)/3)+1)</f>
        <v/>
      </c>
      <c r="AC1283" s="20">
        <f>IF($Z1283="","",MOD($AA1283-1,3)+1)</f>
        <v/>
      </c>
      <c r="AD1283" s="20">
        <f>IF($Z1283="","",Settings!$B$2+$AC1283-1)</f>
        <v/>
      </c>
      <c r="AE1283" s="21">
        <f>IF($Z1283="C",DATE(YEAR(INDEX(Contracts!$J$2:$J$151,$AB1283)),MONTH(INDEX(Contracts!$J$2:$J$151,$AB1283)),1),IF($Z1283="A",DATE(YEAR(INDEX(Fixed_Assets!$G$2:$G$201,$AB1283)),MONTH(INDEX(Fixed_Assets!$G$2:$G$201,$AB1283)),1),IF($Z1283="F",DATE(YEAR(MAX(N(INDEX(Workforce!$I$2:$I$151,MATCH(INDEX(FTE_Allocation!$A$2:$A$201,$AB1283),Workforce!$A$2:$A$151,0))),N(INDEX(FTE_Allocation!$I$2:$I$201,$AB1283)))),MONTH(MAX(N(INDEX(Workforce!$I$2:$I$151,MATCH(INDEX(FTE_Allocation!$A$2:$A$201,$AB1283),Workforce!$A$2:$A$151,0))),N(INDEX(FTE_Allocation!$I$2:$I$201,$AB1283)))),1),"")))</f>
        <v/>
      </c>
      <c r="AF1283" s="21">
        <f>IF($Z1283="C",IF(INDEX(Contracts!$I$2:$I$151,$AB1283)="PREPAID",EDATE(DATE(YEAR(INDEX(Contracts!$J$2:$J$151,$AB1283)),MONTH(INDEX(Contracts!$J$2:$J$151,$AB1283)),1),IF(INDEX(Contracts!$N$2:$N$151,$AB1283)="",12,INDEX(Contracts!$N$2:$N$151,$AB1283))-1),IF(INDEX(Contracts!$I$2:$I$151,$AB1283)="MONTHLY",IF(INDEX(Contracts!$K$2:$K$151,$AB1283)="",2958101,INDEX(Contracts!$K$2:$K$151,$AB1283)),0)),IF($Z1283="A",EDATE(DATE(YEAR(INDEX(Fixed_Assets!$G$2:$G$201,$AB1283)),MONTH(INDEX(Fixed_Assets!$G$2:$G$201,$AB1283)),1),INDEX(Fixed_Assets!$J$2:$J$201,$AB1283)-1),IF($Z1283="F",MIN(IF(INDEX(Workforce!$J$2:$J$151,MATCH(INDEX(FTE_Allocation!$A$2:$A$201,$AB1283),Workforce!$A$2:$A$151,0))="",2958101,INDEX(Workforce!$J$2:$J$151,MATCH(INDEX(FTE_Allocation!$A$2:$A$201,$AB1283),Workforce!$A$2:$A$151,0))),IF(INDEX(FTE_Allocation!$J$2:$J$201,$AB1283)="",2958101,INDEX(FTE_Allocation!$J$2:$J$201,$AB1283))),"")))</f>
        <v/>
      </c>
      <c r="AG1283" s="19">
        <f>IF($Z1283="C",IF(INDEX(Contracts!$I$2:$I$151,$AB1283)="PREPAID",INDEX(Contracts!$M$2:$M$151,$AB1283)/IF(INDEX(Contracts!$N$2:$N$151,$AB1283)="",12,INDEX(Contracts!$N$2:$N$151,$AB1283)),IF(INDEX(Contracts!$I$2:$I$151,$AB1283)="MONTHLY",INDEX(Contracts!$M$2:$M$151,$AB1283),0))*(1-N(INDEX(Contracts!$O$2:$O$151,$AB1283))),IF($Z1283="A",INDEX(Fixed_Assets!$H$2:$H$201,$AB1283)/INDEX(Fixed_Assets!$J$2:$J$201,$AB1283),IF($Z1283="F",INDEX(Workforce!$F$2:$F$151,MATCH(INDEX(FTE_Allocation!$A$2:$A$201,$AB1283),Workforce!$A$2:$A$151,0))*N(INDEX(FTE_Allocation!$F$2:$H$201,$AB1283,$AC1283)),"")))</f>
        <v/>
      </c>
    </row>
    <row r="1284">
      <c r="A1284" s="7">
        <f>IF($Z1284="","",$AD1284)</f>
        <v/>
      </c>
      <c r="B1284" s="7">
        <f>IF($Z1284="C",INDEX(Contracts!$D$2:$D$151,$AB1284)&amp;"",IF($Z1284="A",INDEX(Fixed_Assets!$C$2:$C$201,$AB1284)&amp;"",IF($Z1284="F",INDEX(Workforce!$B$2:$B$151,MATCH(INDEX(FTE_Allocation!$A$2:$A$201,$AB1284),Workforce!$A$2:$A$151,0))&amp;"","")))</f>
        <v/>
      </c>
      <c r="C1284" s="7">
        <f>IF($Z1284="C",INDEX(Contracts!$E$2:$E$151,$AB1284)&amp;"",IF($Z1284="A",INDEX(Fixed_Assets!$D$2:$D$201,$AB1284)&amp;"",IF($Z1284="F",INDEX(FTE_Allocation!$C$2:$C$201,$AB1284)&amp;"","")))</f>
        <v/>
      </c>
      <c r="D1284" s="7">
        <f>IF($Z1284="C",INDEX(Contracts!$B$2:$B$151,$AB1284)&amp;"",IF($Z1284="A",INDEX(Fixed_Assets!$B$2:$B$201,$AB1284)&amp;"",IF($Z1284="F",INDEX(FTE_Allocation!$B$2:$B$201,$AB1284)&amp;"","")))</f>
        <v/>
      </c>
      <c r="E1284" s="7">
        <f>IF($Z1284="C",INDEX(Contracts!$P$2:$P$151,$AB1284)&amp;"",IF($Z1284="A",INDEX(Fixed_Assets!$K$2:$K$201,$AB1284)&amp;"",IF($Z1284="F",IF(INDEX(FTE_Allocation!$D$2:$D$201,$AB1284)="PROJECT",IFERROR(INDEX(Projects!$D:$D,MATCH(INDEX(FTE_Allocation!$E$2:$E$201,$AB1284),Projects!$A:$A,0))&amp;"","#PROJECT?"),INDEX(FTE_Allocation!$E$2:$E$201,$AB1284)&amp;""),"")))</f>
        <v/>
      </c>
      <c r="F1284" s="7">
        <f>IF($Z1284="C",INDEX(Contracts!$Q$2:$Q$151,$AB1284)&amp;"",IF($Z1284="A",INDEX(Fixed_Assets!$L$2:$L$201,$AB1284)&amp;"",IF($Z1284="F",INDEX(Workforce!$K$2:$K$151,MATCH(INDEX(FTE_Allocation!$A$2:$A$201,$AB1284),Workforce!$A$2:$A$151,0))&amp;"","")))</f>
        <v/>
      </c>
      <c r="G1284" s="7">
        <f>IF($Z1284="C",INDEX(Contracts!$F$2:$F$151,$AB1284)&amp;" / "&amp;INDEX(Contracts!$G$2:$G$151,$AB1284),IF($Z1284="A",INDEX(Fixed_Assets!$E$2:$E$201,$AB1284)&amp;"",IF($Z1284="F","Personnel "&amp;INDEX(FTE_Allocation!$A$2:$A$201,$AB1284)&amp;IF(INDEX(FTE_Allocation!$D$2:$D$201,$AB1284)="PROJECT"," ("&amp;INDEX(FTE_Allocation!$E$2:$E$201,$AB1284)&amp;")",""),"")))</f>
        <v/>
      </c>
      <c r="H1284" s="7">
        <f>IF($Z1284="C","CONTRACT",IF($Z1284="A","ASSET",IF($Z1284="F","WORKFORCE","")))</f>
        <v/>
      </c>
      <c r="I1284" s="7">
        <f>IF($Z1284="C",INDEX(Contracts!$L$2:$L$151,$AB1284)&amp;"",IF($Z1284="A",INDEX(Fixed_Assets!$I$2:$I$201,$AB1284)&amp;"",IF($Z1284="F",INDEX(Workforce!$G$2:$G$151,MATCH(INDEX(FTE_Allocation!$A$2:$A$201,$AB1284),Workforce!$A$2:$A$151,0))&amp;"","")))</f>
        <v/>
      </c>
      <c r="J1284" s="18">
        <f>IF($Z1284="","",IF(AND(DATE($AD1284,1,1)&gt;=$AE1284,DATE($AD1284,1,1)&lt;=$AF1284),ROUND($AG1284,2),0))</f>
        <v/>
      </c>
      <c r="K1284" s="18">
        <f>IF($Z1284="","",IF(AND(DATE($AD1284,2,1)&gt;=$AE1284,DATE($AD1284,2,1)&lt;=$AF1284),ROUND($AG1284,2),0))</f>
        <v/>
      </c>
      <c r="L1284" s="18">
        <f>IF($Z1284="","",IF(AND(DATE($AD1284,3,1)&gt;=$AE1284,DATE($AD1284,3,1)&lt;=$AF1284),ROUND($AG1284,2),0))</f>
        <v/>
      </c>
      <c r="M1284" s="18">
        <f>IF($Z1284="","",IF(AND(DATE($AD1284,4,1)&gt;=$AE1284,DATE($AD1284,4,1)&lt;=$AF1284),ROUND($AG1284,2),0))</f>
        <v/>
      </c>
      <c r="N1284" s="18">
        <f>IF($Z1284="","",IF(AND(DATE($AD1284,5,1)&gt;=$AE1284,DATE($AD1284,5,1)&lt;=$AF1284),ROUND($AG1284,2),0))</f>
        <v/>
      </c>
      <c r="O1284" s="18">
        <f>IF($Z1284="","",IF(AND(DATE($AD1284,6,1)&gt;=$AE1284,DATE($AD1284,6,1)&lt;=$AF1284),ROUND($AG1284,2),0))</f>
        <v/>
      </c>
      <c r="P1284" s="18">
        <f>IF($Z1284="","",IF(AND(DATE($AD1284,7,1)&gt;=$AE1284,DATE($AD1284,7,1)&lt;=$AF1284),ROUND($AG1284,2),0))</f>
        <v/>
      </c>
      <c r="Q1284" s="18">
        <f>IF($Z1284="","",IF(AND(DATE($AD1284,8,1)&gt;=$AE1284,DATE($AD1284,8,1)&lt;=$AF1284),ROUND($AG1284,2),0))</f>
        <v/>
      </c>
      <c r="R1284" s="18">
        <f>IF($Z1284="","",IF(AND(DATE($AD1284,9,1)&gt;=$AE1284,DATE($AD1284,9,1)&lt;=$AF1284),ROUND($AG1284,2),0))</f>
        <v/>
      </c>
      <c r="S1284" s="18">
        <f>IF($Z1284="","",IF(AND(DATE($AD1284,10,1)&gt;=$AE1284,DATE($AD1284,10,1)&lt;=$AF1284),ROUND($AG1284,2),0))</f>
        <v/>
      </c>
      <c r="T1284" s="18">
        <f>IF($Z1284="","",IF(AND(DATE($AD1284,11,1)&gt;=$AE1284,DATE($AD1284,11,1)&lt;=$AF1284),ROUND($AG1284,2),0))</f>
        <v/>
      </c>
      <c r="U1284" s="18">
        <f>IF($Z1284="","",IF(AND(DATE($AD1284,12,1)&gt;=$AE1284,DATE($AD1284,12,1)&lt;=$AF1284),ROUND($AG1284,2),0))</f>
        <v/>
      </c>
      <c r="V1284" s="7">
        <f>IF($Z1284="C","Generated from "&amp;INDEX(Contracts!$A$2:$A$151,$AB1284),IF($Z1284="A","Generated from "&amp;INDEX(Fixed_Assets!$A$2:$A$201,$AB1284),IF($Z1284="F","Generated from "&amp;INDEX(FTE_Allocation!$A$2:$A$201,$AB1284),"")))</f>
        <v/>
      </c>
      <c r="X1284" s="19">
        <f>IF($Z1284="","",SUM(J1284:U1284))</f>
        <v/>
      </c>
      <c r="Y1284" s="20">
        <f>ROW()-1</f>
        <v/>
      </c>
      <c r="Z1284" s="20">
        <f>IF($Y1284&lt;=Settings!$B$4*3,"C",IF($Y1284&lt;=(Settings!$B$4+Settings!$B$5)*3,"A",IF($Y1284&lt;=(Settings!$B$4+Settings!$B$5+Settings!$B$6)*3,"F","")))</f>
        <v/>
      </c>
      <c r="AA1284" s="20">
        <f>IF($Z1284="C",$Y1284,IF($Z1284="A",$Y1284-Settings!$B$4*3,IF($Z1284="F",$Y1284-(Settings!$B$4+Settings!$B$5)*3,"")))</f>
        <v/>
      </c>
      <c r="AB1284" s="20">
        <f>IF($Z1284="","",INT(($AA1284-1)/3)+1)</f>
        <v/>
      </c>
      <c r="AC1284" s="20">
        <f>IF($Z1284="","",MOD($AA1284-1,3)+1)</f>
        <v/>
      </c>
      <c r="AD1284" s="20">
        <f>IF($Z1284="","",Settings!$B$2+$AC1284-1)</f>
        <v/>
      </c>
      <c r="AE1284" s="21">
        <f>IF($Z1284="C",DATE(YEAR(INDEX(Contracts!$J$2:$J$151,$AB1284)),MONTH(INDEX(Contracts!$J$2:$J$151,$AB1284)),1),IF($Z1284="A",DATE(YEAR(INDEX(Fixed_Assets!$G$2:$G$201,$AB1284)),MONTH(INDEX(Fixed_Assets!$G$2:$G$201,$AB1284)),1),IF($Z1284="F",DATE(YEAR(MAX(N(INDEX(Workforce!$I$2:$I$151,MATCH(INDEX(FTE_Allocation!$A$2:$A$201,$AB1284),Workforce!$A$2:$A$151,0))),N(INDEX(FTE_Allocation!$I$2:$I$201,$AB1284)))),MONTH(MAX(N(INDEX(Workforce!$I$2:$I$151,MATCH(INDEX(FTE_Allocation!$A$2:$A$201,$AB1284),Workforce!$A$2:$A$151,0))),N(INDEX(FTE_Allocation!$I$2:$I$201,$AB1284)))),1),"")))</f>
        <v/>
      </c>
      <c r="AF1284" s="21">
        <f>IF($Z1284="C",IF(INDEX(Contracts!$I$2:$I$151,$AB1284)="PREPAID",EDATE(DATE(YEAR(INDEX(Contracts!$J$2:$J$151,$AB1284)),MONTH(INDEX(Contracts!$J$2:$J$151,$AB1284)),1),IF(INDEX(Contracts!$N$2:$N$151,$AB1284)="",12,INDEX(Contracts!$N$2:$N$151,$AB1284))-1),IF(INDEX(Contracts!$I$2:$I$151,$AB1284)="MONTHLY",IF(INDEX(Contracts!$K$2:$K$151,$AB1284)="",2958101,INDEX(Contracts!$K$2:$K$151,$AB1284)),0)),IF($Z1284="A",EDATE(DATE(YEAR(INDEX(Fixed_Assets!$G$2:$G$201,$AB1284)),MONTH(INDEX(Fixed_Assets!$G$2:$G$201,$AB1284)),1),INDEX(Fixed_Assets!$J$2:$J$201,$AB1284)-1),IF($Z1284="F",MIN(IF(INDEX(Workforce!$J$2:$J$151,MATCH(INDEX(FTE_Allocation!$A$2:$A$201,$AB1284),Workforce!$A$2:$A$151,0))="",2958101,INDEX(Workforce!$J$2:$J$151,MATCH(INDEX(FTE_Allocation!$A$2:$A$201,$AB1284),Workforce!$A$2:$A$151,0))),IF(INDEX(FTE_Allocation!$J$2:$J$201,$AB1284)="",2958101,INDEX(FTE_Allocation!$J$2:$J$201,$AB1284))),"")))</f>
        <v/>
      </c>
      <c r="AG1284" s="19">
        <f>IF($Z1284="C",IF(INDEX(Contracts!$I$2:$I$151,$AB1284)="PREPAID",INDEX(Contracts!$M$2:$M$151,$AB1284)/IF(INDEX(Contracts!$N$2:$N$151,$AB1284)="",12,INDEX(Contracts!$N$2:$N$151,$AB1284)),IF(INDEX(Contracts!$I$2:$I$151,$AB1284)="MONTHLY",INDEX(Contracts!$M$2:$M$151,$AB1284),0))*(1-N(INDEX(Contracts!$O$2:$O$151,$AB1284))),IF($Z1284="A",INDEX(Fixed_Assets!$H$2:$H$201,$AB1284)/INDEX(Fixed_Assets!$J$2:$J$201,$AB1284),IF($Z1284="F",INDEX(Workforce!$F$2:$F$151,MATCH(INDEX(FTE_Allocation!$A$2:$A$201,$AB1284),Workforce!$A$2:$A$151,0))*N(INDEX(FTE_Allocation!$F$2:$H$201,$AB1284,$AC1284)),"")))</f>
        <v/>
      </c>
    </row>
    <row r="1285">
      <c r="A1285" s="7">
        <f>IF($Z1285="","",$AD1285)</f>
        <v/>
      </c>
      <c r="B1285" s="7">
        <f>IF($Z1285="C",INDEX(Contracts!$D$2:$D$151,$AB1285)&amp;"",IF($Z1285="A",INDEX(Fixed_Assets!$C$2:$C$201,$AB1285)&amp;"",IF($Z1285="F",INDEX(Workforce!$B$2:$B$151,MATCH(INDEX(FTE_Allocation!$A$2:$A$201,$AB1285),Workforce!$A$2:$A$151,0))&amp;"","")))</f>
        <v/>
      </c>
      <c r="C1285" s="7">
        <f>IF($Z1285="C",INDEX(Contracts!$E$2:$E$151,$AB1285)&amp;"",IF($Z1285="A",INDEX(Fixed_Assets!$D$2:$D$201,$AB1285)&amp;"",IF($Z1285="F",INDEX(FTE_Allocation!$C$2:$C$201,$AB1285)&amp;"","")))</f>
        <v/>
      </c>
      <c r="D1285" s="7">
        <f>IF($Z1285="C",INDEX(Contracts!$B$2:$B$151,$AB1285)&amp;"",IF($Z1285="A",INDEX(Fixed_Assets!$B$2:$B$201,$AB1285)&amp;"",IF($Z1285="F",INDEX(FTE_Allocation!$B$2:$B$201,$AB1285)&amp;"","")))</f>
        <v/>
      </c>
      <c r="E1285" s="7">
        <f>IF($Z1285="C",INDEX(Contracts!$P$2:$P$151,$AB1285)&amp;"",IF($Z1285="A",INDEX(Fixed_Assets!$K$2:$K$201,$AB1285)&amp;"",IF($Z1285="F",IF(INDEX(FTE_Allocation!$D$2:$D$201,$AB1285)="PROJECT",IFERROR(INDEX(Projects!$D:$D,MATCH(INDEX(FTE_Allocation!$E$2:$E$201,$AB1285),Projects!$A:$A,0))&amp;"","#PROJECT?"),INDEX(FTE_Allocation!$E$2:$E$201,$AB1285)&amp;""),"")))</f>
        <v/>
      </c>
      <c r="F1285" s="7">
        <f>IF($Z1285="C",INDEX(Contracts!$Q$2:$Q$151,$AB1285)&amp;"",IF($Z1285="A",INDEX(Fixed_Assets!$L$2:$L$201,$AB1285)&amp;"",IF($Z1285="F",INDEX(Workforce!$K$2:$K$151,MATCH(INDEX(FTE_Allocation!$A$2:$A$201,$AB1285),Workforce!$A$2:$A$151,0))&amp;"","")))</f>
        <v/>
      </c>
      <c r="G1285" s="7">
        <f>IF($Z1285="C",INDEX(Contracts!$F$2:$F$151,$AB1285)&amp;" / "&amp;INDEX(Contracts!$G$2:$G$151,$AB1285),IF($Z1285="A",INDEX(Fixed_Assets!$E$2:$E$201,$AB1285)&amp;"",IF($Z1285="F","Personnel "&amp;INDEX(FTE_Allocation!$A$2:$A$201,$AB1285)&amp;IF(INDEX(FTE_Allocation!$D$2:$D$201,$AB1285)="PROJECT"," ("&amp;INDEX(FTE_Allocation!$E$2:$E$201,$AB1285)&amp;")",""),"")))</f>
        <v/>
      </c>
      <c r="H1285" s="7">
        <f>IF($Z1285="C","CONTRACT",IF($Z1285="A","ASSET",IF($Z1285="F","WORKFORCE","")))</f>
        <v/>
      </c>
      <c r="I1285" s="7">
        <f>IF($Z1285="C",INDEX(Contracts!$L$2:$L$151,$AB1285)&amp;"",IF($Z1285="A",INDEX(Fixed_Assets!$I$2:$I$201,$AB1285)&amp;"",IF($Z1285="F",INDEX(Workforce!$G$2:$G$151,MATCH(INDEX(FTE_Allocation!$A$2:$A$201,$AB1285),Workforce!$A$2:$A$151,0))&amp;"","")))</f>
        <v/>
      </c>
      <c r="J1285" s="18">
        <f>IF($Z1285="","",IF(AND(DATE($AD1285,1,1)&gt;=$AE1285,DATE($AD1285,1,1)&lt;=$AF1285),ROUND($AG1285,2),0))</f>
        <v/>
      </c>
      <c r="K1285" s="18">
        <f>IF($Z1285="","",IF(AND(DATE($AD1285,2,1)&gt;=$AE1285,DATE($AD1285,2,1)&lt;=$AF1285),ROUND($AG1285,2),0))</f>
        <v/>
      </c>
      <c r="L1285" s="18">
        <f>IF($Z1285="","",IF(AND(DATE($AD1285,3,1)&gt;=$AE1285,DATE($AD1285,3,1)&lt;=$AF1285),ROUND($AG1285,2),0))</f>
        <v/>
      </c>
      <c r="M1285" s="18">
        <f>IF($Z1285="","",IF(AND(DATE($AD1285,4,1)&gt;=$AE1285,DATE($AD1285,4,1)&lt;=$AF1285),ROUND($AG1285,2),0))</f>
        <v/>
      </c>
      <c r="N1285" s="18">
        <f>IF($Z1285="","",IF(AND(DATE($AD1285,5,1)&gt;=$AE1285,DATE($AD1285,5,1)&lt;=$AF1285),ROUND($AG1285,2),0))</f>
        <v/>
      </c>
      <c r="O1285" s="18">
        <f>IF($Z1285="","",IF(AND(DATE($AD1285,6,1)&gt;=$AE1285,DATE($AD1285,6,1)&lt;=$AF1285),ROUND($AG1285,2),0))</f>
        <v/>
      </c>
      <c r="P1285" s="18">
        <f>IF($Z1285="","",IF(AND(DATE($AD1285,7,1)&gt;=$AE1285,DATE($AD1285,7,1)&lt;=$AF1285),ROUND($AG1285,2),0))</f>
        <v/>
      </c>
      <c r="Q1285" s="18">
        <f>IF($Z1285="","",IF(AND(DATE($AD1285,8,1)&gt;=$AE1285,DATE($AD1285,8,1)&lt;=$AF1285),ROUND($AG1285,2),0))</f>
        <v/>
      </c>
      <c r="R1285" s="18">
        <f>IF($Z1285="","",IF(AND(DATE($AD1285,9,1)&gt;=$AE1285,DATE($AD1285,9,1)&lt;=$AF1285),ROUND($AG1285,2),0))</f>
        <v/>
      </c>
      <c r="S1285" s="18">
        <f>IF($Z1285="","",IF(AND(DATE($AD1285,10,1)&gt;=$AE1285,DATE($AD1285,10,1)&lt;=$AF1285),ROUND($AG1285,2),0))</f>
        <v/>
      </c>
      <c r="T1285" s="18">
        <f>IF($Z1285="","",IF(AND(DATE($AD1285,11,1)&gt;=$AE1285,DATE($AD1285,11,1)&lt;=$AF1285),ROUND($AG1285,2),0))</f>
        <v/>
      </c>
      <c r="U1285" s="18">
        <f>IF($Z1285="","",IF(AND(DATE($AD1285,12,1)&gt;=$AE1285,DATE($AD1285,12,1)&lt;=$AF1285),ROUND($AG1285,2),0))</f>
        <v/>
      </c>
      <c r="V1285" s="7">
        <f>IF($Z1285="C","Generated from "&amp;INDEX(Contracts!$A$2:$A$151,$AB1285),IF($Z1285="A","Generated from "&amp;INDEX(Fixed_Assets!$A$2:$A$201,$AB1285),IF($Z1285="F","Generated from "&amp;INDEX(FTE_Allocation!$A$2:$A$201,$AB1285),"")))</f>
        <v/>
      </c>
      <c r="X1285" s="19">
        <f>IF($Z1285="","",SUM(J1285:U1285))</f>
        <v/>
      </c>
      <c r="Y1285" s="20">
        <f>ROW()-1</f>
        <v/>
      </c>
      <c r="Z1285" s="20">
        <f>IF($Y1285&lt;=Settings!$B$4*3,"C",IF($Y1285&lt;=(Settings!$B$4+Settings!$B$5)*3,"A",IF($Y1285&lt;=(Settings!$B$4+Settings!$B$5+Settings!$B$6)*3,"F","")))</f>
        <v/>
      </c>
      <c r="AA1285" s="20">
        <f>IF($Z1285="C",$Y1285,IF($Z1285="A",$Y1285-Settings!$B$4*3,IF($Z1285="F",$Y1285-(Settings!$B$4+Settings!$B$5)*3,"")))</f>
        <v/>
      </c>
      <c r="AB1285" s="20">
        <f>IF($Z1285="","",INT(($AA1285-1)/3)+1)</f>
        <v/>
      </c>
      <c r="AC1285" s="20">
        <f>IF($Z1285="","",MOD($AA1285-1,3)+1)</f>
        <v/>
      </c>
      <c r="AD1285" s="20">
        <f>IF($Z1285="","",Settings!$B$2+$AC1285-1)</f>
        <v/>
      </c>
      <c r="AE1285" s="21">
        <f>IF($Z1285="C",DATE(YEAR(INDEX(Contracts!$J$2:$J$151,$AB1285)),MONTH(INDEX(Contracts!$J$2:$J$151,$AB1285)),1),IF($Z1285="A",DATE(YEAR(INDEX(Fixed_Assets!$G$2:$G$201,$AB1285)),MONTH(INDEX(Fixed_Assets!$G$2:$G$201,$AB1285)),1),IF($Z1285="F",DATE(YEAR(MAX(N(INDEX(Workforce!$I$2:$I$151,MATCH(INDEX(FTE_Allocation!$A$2:$A$201,$AB1285),Workforce!$A$2:$A$151,0))),N(INDEX(FTE_Allocation!$I$2:$I$201,$AB1285)))),MONTH(MAX(N(INDEX(Workforce!$I$2:$I$151,MATCH(INDEX(FTE_Allocation!$A$2:$A$201,$AB1285),Workforce!$A$2:$A$151,0))),N(INDEX(FTE_Allocation!$I$2:$I$201,$AB1285)))),1),"")))</f>
        <v/>
      </c>
      <c r="AF1285" s="21">
        <f>IF($Z1285="C",IF(INDEX(Contracts!$I$2:$I$151,$AB1285)="PREPAID",EDATE(DATE(YEAR(INDEX(Contracts!$J$2:$J$151,$AB1285)),MONTH(INDEX(Contracts!$J$2:$J$151,$AB1285)),1),IF(INDEX(Contracts!$N$2:$N$151,$AB1285)="",12,INDEX(Contracts!$N$2:$N$151,$AB1285))-1),IF(INDEX(Contracts!$I$2:$I$151,$AB1285)="MONTHLY",IF(INDEX(Contracts!$K$2:$K$151,$AB1285)="",2958101,INDEX(Contracts!$K$2:$K$151,$AB1285)),0)),IF($Z1285="A",EDATE(DATE(YEAR(INDEX(Fixed_Assets!$G$2:$G$201,$AB1285)),MONTH(INDEX(Fixed_Assets!$G$2:$G$201,$AB1285)),1),INDEX(Fixed_Assets!$J$2:$J$201,$AB1285)-1),IF($Z1285="F",MIN(IF(INDEX(Workforce!$J$2:$J$151,MATCH(INDEX(FTE_Allocation!$A$2:$A$201,$AB1285),Workforce!$A$2:$A$151,0))="",2958101,INDEX(Workforce!$J$2:$J$151,MATCH(INDEX(FTE_Allocation!$A$2:$A$201,$AB1285),Workforce!$A$2:$A$151,0))),IF(INDEX(FTE_Allocation!$J$2:$J$201,$AB1285)="",2958101,INDEX(FTE_Allocation!$J$2:$J$201,$AB1285))),"")))</f>
        <v/>
      </c>
      <c r="AG1285" s="19">
        <f>IF($Z1285="C",IF(INDEX(Contracts!$I$2:$I$151,$AB1285)="PREPAID",INDEX(Contracts!$M$2:$M$151,$AB1285)/IF(INDEX(Contracts!$N$2:$N$151,$AB1285)="",12,INDEX(Contracts!$N$2:$N$151,$AB1285)),IF(INDEX(Contracts!$I$2:$I$151,$AB1285)="MONTHLY",INDEX(Contracts!$M$2:$M$151,$AB1285),0))*(1-N(INDEX(Contracts!$O$2:$O$151,$AB1285))),IF($Z1285="A",INDEX(Fixed_Assets!$H$2:$H$201,$AB1285)/INDEX(Fixed_Assets!$J$2:$J$201,$AB1285),IF($Z1285="F",INDEX(Workforce!$F$2:$F$151,MATCH(INDEX(FTE_Allocation!$A$2:$A$201,$AB1285),Workforce!$A$2:$A$151,0))*N(INDEX(FTE_Allocation!$F$2:$H$201,$AB1285,$AC1285)),"")))</f>
        <v/>
      </c>
    </row>
    <row r="1286">
      <c r="A1286" s="7">
        <f>IF($Z1286="","",$AD1286)</f>
        <v/>
      </c>
      <c r="B1286" s="7">
        <f>IF($Z1286="C",INDEX(Contracts!$D$2:$D$151,$AB1286)&amp;"",IF($Z1286="A",INDEX(Fixed_Assets!$C$2:$C$201,$AB1286)&amp;"",IF($Z1286="F",INDEX(Workforce!$B$2:$B$151,MATCH(INDEX(FTE_Allocation!$A$2:$A$201,$AB1286),Workforce!$A$2:$A$151,0))&amp;"","")))</f>
        <v/>
      </c>
      <c r="C1286" s="7">
        <f>IF($Z1286="C",INDEX(Contracts!$E$2:$E$151,$AB1286)&amp;"",IF($Z1286="A",INDEX(Fixed_Assets!$D$2:$D$201,$AB1286)&amp;"",IF($Z1286="F",INDEX(FTE_Allocation!$C$2:$C$201,$AB1286)&amp;"","")))</f>
        <v/>
      </c>
      <c r="D1286" s="7">
        <f>IF($Z1286="C",INDEX(Contracts!$B$2:$B$151,$AB1286)&amp;"",IF($Z1286="A",INDEX(Fixed_Assets!$B$2:$B$201,$AB1286)&amp;"",IF($Z1286="F",INDEX(FTE_Allocation!$B$2:$B$201,$AB1286)&amp;"","")))</f>
        <v/>
      </c>
      <c r="E1286" s="7">
        <f>IF($Z1286="C",INDEX(Contracts!$P$2:$P$151,$AB1286)&amp;"",IF($Z1286="A",INDEX(Fixed_Assets!$K$2:$K$201,$AB1286)&amp;"",IF($Z1286="F",IF(INDEX(FTE_Allocation!$D$2:$D$201,$AB1286)="PROJECT",IFERROR(INDEX(Projects!$D:$D,MATCH(INDEX(FTE_Allocation!$E$2:$E$201,$AB1286),Projects!$A:$A,0))&amp;"","#PROJECT?"),INDEX(FTE_Allocation!$E$2:$E$201,$AB1286)&amp;""),"")))</f>
        <v/>
      </c>
      <c r="F1286" s="7">
        <f>IF($Z1286="C",INDEX(Contracts!$Q$2:$Q$151,$AB1286)&amp;"",IF($Z1286="A",INDEX(Fixed_Assets!$L$2:$L$201,$AB1286)&amp;"",IF($Z1286="F",INDEX(Workforce!$K$2:$K$151,MATCH(INDEX(FTE_Allocation!$A$2:$A$201,$AB1286),Workforce!$A$2:$A$151,0))&amp;"","")))</f>
        <v/>
      </c>
      <c r="G1286" s="7">
        <f>IF($Z1286="C",INDEX(Contracts!$F$2:$F$151,$AB1286)&amp;" / "&amp;INDEX(Contracts!$G$2:$G$151,$AB1286),IF($Z1286="A",INDEX(Fixed_Assets!$E$2:$E$201,$AB1286)&amp;"",IF($Z1286="F","Personnel "&amp;INDEX(FTE_Allocation!$A$2:$A$201,$AB1286)&amp;IF(INDEX(FTE_Allocation!$D$2:$D$201,$AB1286)="PROJECT"," ("&amp;INDEX(FTE_Allocation!$E$2:$E$201,$AB1286)&amp;")",""),"")))</f>
        <v/>
      </c>
      <c r="H1286" s="7">
        <f>IF($Z1286="C","CONTRACT",IF($Z1286="A","ASSET",IF($Z1286="F","WORKFORCE","")))</f>
        <v/>
      </c>
      <c r="I1286" s="7">
        <f>IF($Z1286="C",INDEX(Contracts!$L$2:$L$151,$AB1286)&amp;"",IF($Z1286="A",INDEX(Fixed_Assets!$I$2:$I$201,$AB1286)&amp;"",IF($Z1286="F",INDEX(Workforce!$G$2:$G$151,MATCH(INDEX(FTE_Allocation!$A$2:$A$201,$AB1286),Workforce!$A$2:$A$151,0))&amp;"","")))</f>
        <v/>
      </c>
      <c r="J1286" s="18">
        <f>IF($Z1286="","",IF(AND(DATE($AD1286,1,1)&gt;=$AE1286,DATE($AD1286,1,1)&lt;=$AF1286),ROUND($AG1286,2),0))</f>
        <v/>
      </c>
      <c r="K1286" s="18">
        <f>IF($Z1286="","",IF(AND(DATE($AD1286,2,1)&gt;=$AE1286,DATE($AD1286,2,1)&lt;=$AF1286),ROUND($AG1286,2),0))</f>
        <v/>
      </c>
      <c r="L1286" s="18">
        <f>IF($Z1286="","",IF(AND(DATE($AD1286,3,1)&gt;=$AE1286,DATE($AD1286,3,1)&lt;=$AF1286),ROUND($AG1286,2),0))</f>
        <v/>
      </c>
      <c r="M1286" s="18">
        <f>IF($Z1286="","",IF(AND(DATE($AD1286,4,1)&gt;=$AE1286,DATE($AD1286,4,1)&lt;=$AF1286),ROUND($AG1286,2),0))</f>
        <v/>
      </c>
      <c r="N1286" s="18">
        <f>IF($Z1286="","",IF(AND(DATE($AD1286,5,1)&gt;=$AE1286,DATE($AD1286,5,1)&lt;=$AF1286),ROUND($AG1286,2),0))</f>
        <v/>
      </c>
      <c r="O1286" s="18">
        <f>IF($Z1286="","",IF(AND(DATE($AD1286,6,1)&gt;=$AE1286,DATE($AD1286,6,1)&lt;=$AF1286),ROUND($AG1286,2),0))</f>
        <v/>
      </c>
      <c r="P1286" s="18">
        <f>IF($Z1286="","",IF(AND(DATE($AD1286,7,1)&gt;=$AE1286,DATE($AD1286,7,1)&lt;=$AF1286),ROUND($AG1286,2),0))</f>
        <v/>
      </c>
      <c r="Q1286" s="18">
        <f>IF($Z1286="","",IF(AND(DATE($AD1286,8,1)&gt;=$AE1286,DATE($AD1286,8,1)&lt;=$AF1286),ROUND($AG1286,2),0))</f>
        <v/>
      </c>
      <c r="R1286" s="18">
        <f>IF($Z1286="","",IF(AND(DATE($AD1286,9,1)&gt;=$AE1286,DATE($AD1286,9,1)&lt;=$AF1286),ROUND($AG1286,2),0))</f>
        <v/>
      </c>
      <c r="S1286" s="18">
        <f>IF($Z1286="","",IF(AND(DATE($AD1286,10,1)&gt;=$AE1286,DATE($AD1286,10,1)&lt;=$AF1286),ROUND($AG1286,2),0))</f>
        <v/>
      </c>
      <c r="T1286" s="18">
        <f>IF($Z1286="","",IF(AND(DATE($AD1286,11,1)&gt;=$AE1286,DATE($AD1286,11,1)&lt;=$AF1286),ROUND($AG1286,2),0))</f>
        <v/>
      </c>
      <c r="U1286" s="18">
        <f>IF($Z1286="","",IF(AND(DATE($AD1286,12,1)&gt;=$AE1286,DATE($AD1286,12,1)&lt;=$AF1286),ROUND($AG1286,2),0))</f>
        <v/>
      </c>
      <c r="V1286" s="7">
        <f>IF($Z1286="C","Generated from "&amp;INDEX(Contracts!$A$2:$A$151,$AB1286),IF($Z1286="A","Generated from "&amp;INDEX(Fixed_Assets!$A$2:$A$201,$AB1286),IF($Z1286="F","Generated from "&amp;INDEX(FTE_Allocation!$A$2:$A$201,$AB1286),"")))</f>
        <v/>
      </c>
      <c r="X1286" s="19">
        <f>IF($Z1286="","",SUM(J1286:U1286))</f>
        <v/>
      </c>
      <c r="Y1286" s="20">
        <f>ROW()-1</f>
        <v/>
      </c>
      <c r="Z1286" s="20">
        <f>IF($Y1286&lt;=Settings!$B$4*3,"C",IF($Y1286&lt;=(Settings!$B$4+Settings!$B$5)*3,"A",IF($Y1286&lt;=(Settings!$B$4+Settings!$B$5+Settings!$B$6)*3,"F","")))</f>
        <v/>
      </c>
      <c r="AA1286" s="20">
        <f>IF($Z1286="C",$Y1286,IF($Z1286="A",$Y1286-Settings!$B$4*3,IF($Z1286="F",$Y1286-(Settings!$B$4+Settings!$B$5)*3,"")))</f>
        <v/>
      </c>
      <c r="AB1286" s="20">
        <f>IF($Z1286="","",INT(($AA1286-1)/3)+1)</f>
        <v/>
      </c>
      <c r="AC1286" s="20">
        <f>IF($Z1286="","",MOD($AA1286-1,3)+1)</f>
        <v/>
      </c>
      <c r="AD1286" s="20">
        <f>IF($Z1286="","",Settings!$B$2+$AC1286-1)</f>
        <v/>
      </c>
      <c r="AE1286" s="21">
        <f>IF($Z1286="C",DATE(YEAR(INDEX(Contracts!$J$2:$J$151,$AB1286)),MONTH(INDEX(Contracts!$J$2:$J$151,$AB1286)),1),IF($Z1286="A",DATE(YEAR(INDEX(Fixed_Assets!$G$2:$G$201,$AB1286)),MONTH(INDEX(Fixed_Assets!$G$2:$G$201,$AB1286)),1),IF($Z1286="F",DATE(YEAR(MAX(N(INDEX(Workforce!$I$2:$I$151,MATCH(INDEX(FTE_Allocation!$A$2:$A$201,$AB1286),Workforce!$A$2:$A$151,0))),N(INDEX(FTE_Allocation!$I$2:$I$201,$AB1286)))),MONTH(MAX(N(INDEX(Workforce!$I$2:$I$151,MATCH(INDEX(FTE_Allocation!$A$2:$A$201,$AB1286),Workforce!$A$2:$A$151,0))),N(INDEX(FTE_Allocation!$I$2:$I$201,$AB1286)))),1),"")))</f>
        <v/>
      </c>
      <c r="AF1286" s="21">
        <f>IF($Z1286="C",IF(INDEX(Contracts!$I$2:$I$151,$AB1286)="PREPAID",EDATE(DATE(YEAR(INDEX(Contracts!$J$2:$J$151,$AB1286)),MONTH(INDEX(Contracts!$J$2:$J$151,$AB1286)),1),IF(INDEX(Contracts!$N$2:$N$151,$AB1286)="",12,INDEX(Contracts!$N$2:$N$151,$AB1286))-1),IF(INDEX(Contracts!$I$2:$I$151,$AB1286)="MONTHLY",IF(INDEX(Contracts!$K$2:$K$151,$AB1286)="",2958101,INDEX(Contracts!$K$2:$K$151,$AB1286)),0)),IF($Z1286="A",EDATE(DATE(YEAR(INDEX(Fixed_Assets!$G$2:$G$201,$AB1286)),MONTH(INDEX(Fixed_Assets!$G$2:$G$201,$AB1286)),1),INDEX(Fixed_Assets!$J$2:$J$201,$AB1286)-1),IF($Z1286="F",MIN(IF(INDEX(Workforce!$J$2:$J$151,MATCH(INDEX(FTE_Allocation!$A$2:$A$201,$AB1286),Workforce!$A$2:$A$151,0))="",2958101,INDEX(Workforce!$J$2:$J$151,MATCH(INDEX(FTE_Allocation!$A$2:$A$201,$AB1286),Workforce!$A$2:$A$151,0))),IF(INDEX(FTE_Allocation!$J$2:$J$201,$AB1286)="",2958101,INDEX(FTE_Allocation!$J$2:$J$201,$AB1286))),"")))</f>
        <v/>
      </c>
      <c r="AG1286" s="19">
        <f>IF($Z1286="C",IF(INDEX(Contracts!$I$2:$I$151,$AB1286)="PREPAID",INDEX(Contracts!$M$2:$M$151,$AB1286)/IF(INDEX(Contracts!$N$2:$N$151,$AB1286)="",12,INDEX(Contracts!$N$2:$N$151,$AB1286)),IF(INDEX(Contracts!$I$2:$I$151,$AB1286)="MONTHLY",INDEX(Contracts!$M$2:$M$151,$AB1286),0))*(1-N(INDEX(Contracts!$O$2:$O$151,$AB1286))),IF($Z1286="A",INDEX(Fixed_Assets!$H$2:$H$201,$AB1286)/INDEX(Fixed_Assets!$J$2:$J$201,$AB1286),IF($Z1286="F",INDEX(Workforce!$F$2:$F$151,MATCH(INDEX(FTE_Allocation!$A$2:$A$201,$AB1286),Workforce!$A$2:$A$151,0))*N(INDEX(FTE_Allocation!$F$2:$H$201,$AB1286,$AC1286)),"")))</f>
        <v/>
      </c>
    </row>
    <row r="1287">
      <c r="A1287" s="7">
        <f>IF($Z1287="","",$AD1287)</f>
        <v/>
      </c>
      <c r="B1287" s="7">
        <f>IF($Z1287="C",INDEX(Contracts!$D$2:$D$151,$AB1287)&amp;"",IF($Z1287="A",INDEX(Fixed_Assets!$C$2:$C$201,$AB1287)&amp;"",IF($Z1287="F",INDEX(Workforce!$B$2:$B$151,MATCH(INDEX(FTE_Allocation!$A$2:$A$201,$AB1287),Workforce!$A$2:$A$151,0))&amp;"","")))</f>
        <v/>
      </c>
      <c r="C1287" s="7">
        <f>IF($Z1287="C",INDEX(Contracts!$E$2:$E$151,$AB1287)&amp;"",IF($Z1287="A",INDEX(Fixed_Assets!$D$2:$D$201,$AB1287)&amp;"",IF($Z1287="F",INDEX(FTE_Allocation!$C$2:$C$201,$AB1287)&amp;"","")))</f>
        <v/>
      </c>
      <c r="D1287" s="7">
        <f>IF($Z1287="C",INDEX(Contracts!$B$2:$B$151,$AB1287)&amp;"",IF($Z1287="A",INDEX(Fixed_Assets!$B$2:$B$201,$AB1287)&amp;"",IF($Z1287="F",INDEX(FTE_Allocation!$B$2:$B$201,$AB1287)&amp;"","")))</f>
        <v/>
      </c>
      <c r="E1287" s="7">
        <f>IF($Z1287="C",INDEX(Contracts!$P$2:$P$151,$AB1287)&amp;"",IF($Z1287="A",INDEX(Fixed_Assets!$K$2:$K$201,$AB1287)&amp;"",IF($Z1287="F",IF(INDEX(FTE_Allocation!$D$2:$D$201,$AB1287)="PROJECT",IFERROR(INDEX(Projects!$D:$D,MATCH(INDEX(FTE_Allocation!$E$2:$E$201,$AB1287),Projects!$A:$A,0))&amp;"","#PROJECT?"),INDEX(FTE_Allocation!$E$2:$E$201,$AB1287)&amp;""),"")))</f>
        <v/>
      </c>
      <c r="F1287" s="7">
        <f>IF($Z1287="C",INDEX(Contracts!$Q$2:$Q$151,$AB1287)&amp;"",IF($Z1287="A",INDEX(Fixed_Assets!$L$2:$L$201,$AB1287)&amp;"",IF($Z1287="F",INDEX(Workforce!$K$2:$K$151,MATCH(INDEX(FTE_Allocation!$A$2:$A$201,$AB1287),Workforce!$A$2:$A$151,0))&amp;"","")))</f>
        <v/>
      </c>
      <c r="G1287" s="7">
        <f>IF($Z1287="C",INDEX(Contracts!$F$2:$F$151,$AB1287)&amp;" / "&amp;INDEX(Contracts!$G$2:$G$151,$AB1287),IF($Z1287="A",INDEX(Fixed_Assets!$E$2:$E$201,$AB1287)&amp;"",IF($Z1287="F","Personnel "&amp;INDEX(FTE_Allocation!$A$2:$A$201,$AB1287)&amp;IF(INDEX(FTE_Allocation!$D$2:$D$201,$AB1287)="PROJECT"," ("&amp;INDEX(FTE_Allocation!$E$2:$E$201,$AB1287)&amp;")",""),"")))</f>
        <v/>
      </c>
      <c r="H1287" s="7">
        <f>IF($Z1287="C","CONTRACT",IF($Z1287="A","ASSET",IF($Z1287="F","WORKFORCE","")))</f>
        <v/>
      </c>
      <c r="I1287" s="7">
        <f>IF($Z1287="C",INDEX(Contracts!$L$2:$L$151,$AB1287)&amp;"",IF($Z1287="A",INDEX(Fixed_Assets!$I$2:$I$201,$AB1287)&amp;"",IF($Z1287="F",INDEX(Workforce!$G$2:$G$151,MATCH(INDEX(FTE_Allocation!$A$2:$A$201,$AB1287),Workforce!$A$2:$A$151,0))&amp;"","")))</f>
        <v/>
      </c>
      <c r="J1287" s="18">
        <f>IF($Z1287="","",IF(AND(DATE($AD1287,1,1)&gt;=$AE1287,DATE($AD1287,1,1)&lt;=$AF1287),ROUND($AG1287,2),0))</f>
        <v/>
      </c>
      <c r="K1287" s="18">
        <f>IF($Z1287="","",IF(AND(DATE($AD1287,2,1)&gt;=$AE1287,DATE($AD1287,2,1)&lt;=$AF1287),ROUND($AG1287,2),0))</f>
        <v/>
      </c>
      <c r="L1287" s="18">
        <f>IF($Z1287="","",IF(AND(DATE($AD1287,3,1)&gt;=$AE1287,DATE($AD1287,3,1)&lt;=$AF1287),ROUND($AG1287,2),0))</f>
        <v/>
      </c>
      <c r="M1287" s="18">
        <f>IF($Z1287="","",IF(AND(DATE($AD1287,4,1)&gt;=$AE1287,DATE($AD1287,4,1)&lt;=$AF1287),ROUND($AG1287,2),0))</f>
        <v/>
      </c>
      <c r="N1287" s="18">
        <f>IF($Z1287="","",IF(AND(DATE($AD1287,5,1)&gt;=$AE1287,DATE($AD1287,5,1)&lt;=$AF1287),ROUND($AG1287,2),0))</f>
        <v/>
      </c>
      <c r="O1287" s="18">
        <f>IF($Z1287="","",IF(AND(DATE($AD1287,6,1)&gt;=$AE1287,DATE($AD1287,6,1)&lt;=$AF1287),ROUND($AG1287,2),0))</f>
        <v/>
      </c>
      <c r="P1287" s="18">
        <f>IF($Z1287="","",IF(AND(DATE($AD1287,7,1)&gt;=$AE1287,DATE($AD1287,7,1)&lt;=$AF1287),ROUND($AG1287,2),0))</f>
        <v/>
      </c>
      <c r="Q1287" s="18">
        <f>IF($Z1287="","",IF(AND(DATE($AD1287,8,1)&gt;=$AE1287,DATE($AD1287,8,1)&lt;=$AF1287),ROUND($AG1287,2),0))</f>
        <v/>
      </c>
      <c r="R1287" s="18">
        <f>IF($Z1287="","",IF(AND(DATE($AD1287,9,1)&gt;=$AE1287,DATE($AD1287,9,1)&lt;=$AF1287),ROUND($AG1287,2),0))</f>
        <v/>
      </c>
      <c r="S1287" s="18">
        <f>IF($Z1287="","",IF(AND(DATE($AD1287,10,1)&gt;=$AE1287,DATE($AD1287,10,1)&lt;=$AF1287),ROUND($AG1287,2),0))</f>
        <v/>
      </c>
      <c r="T1287" s="18">
        <f>IF($Z1287="","",IF(AND(DATE($AD1287,11,1)&gt;=$AE1287,DATE($AD1287,11,1)&lt;=$AF1287),ROUND($AG1287,2),0))</f>
        <v/>
      </c>
      <c r="U1287" s="18">
        <f>IF($Z1287="","",IF(AND(DATE($AD1287,12,1)&gt;=$AE1287,DATE($AD1287,12,1)&lt;=$AF1287),ROUND($AG1287,2),0))</f>
        <v/>
      </c>
      <c r="V1287" s="7">
        <f>IF($Z1287="C","Generated from "&amp;INDEX(Contracts!$A$2:$A$151,$AB1287),IF($Z1287="A","Generated from "&amp;INDEX(Fixed_Assets!$A$2:$A$201,$AB1287),IF($Z1287="F","Generated from "&amp;INDEX(FTE_Allocation!$A$2:$A$201,$AB1287),"")))</f>
        <v/>
      </c>
      <c r="X1287" s="19">
        <f>IF($Z1287="","",SUM(J1287:U1287))</f>
        <v/>
      </c>
      <c r="Y1287" s="20">
        <f>ROW()-1</f>
        <v/>
      </c>
      <c r="Z1287" s="20">
        <f>IF($Y1287&lt;=Settings!$B$4*3,"C",IF($Y1287&lt;=(Settings!$B$4+Settings!$B$5)*3,"A",IF($Y1287&lt;=(Settings!$B$4+Settings!$B$5+Settings!$B$6)*3,"F","")))</f>
        <v/>
      </c>
      <c r="AA1287" s="20">
        <f>IF($Z1287="C",$Y1287,IF($Z1287="A",$Y1287-Settings!$B$4*3,IF($Z1287="F",$Y1287-(Settings!$B$4+Settings!$B$5)*3,"")))</f>
        <v/>
      </c>
      <c r="AB1287" s="20">
        <f>IF($Z1287="","",INT(($AA1287-1)/3)+1)</f>
        <v/>
      </c>
      <c r="AC1287" s="20">
        <f>IF($Z1287="","",MOD($AA1287-1,3)+1)</f>
        <v/>
      </c>
      <c r="AD1287" s="20">
        <f>IF($Z1287="","",Settings!$B$2+$AC1287-1)</f>
        <v/>
      </c>
      <c r="AE1287" s="21">
        <f>IF($Z1287="C",DATE(YEAR(INDEX(Contracts!$J$2:$J$151,$AB1287)),MONTH(INDEX(Contracts!$J$2:$J$151,$AB1287)),1),IF($Z1287="A",DATE(YEAR(INDEX(Fixed_Assets!$G$2:$G$201,$AB1287)),MONTH(INDEX(Fixed_Assets!$G$2:$G$201,$AB1287)),1),IF($Z1287="F",DATE(YEAR(MAX(N(INDEX(Workforce!$I$2:$I$151,MATCH(INDEX(FTE_Allocation!$A$2:$A$201,$AB1287),Workforce!$A$2:$A$151,0))),N(INDEX(FTE_Allocation!$I$2:$I$201,$AB1287)))),MONTH(MAX(N(INDEX(Workforce!$I$2:$I$151,MATCH(INDEX(FTE_Allocation!$A$2:$A$201,$AB1287),Workforce!$A$2:$A$151,0))),N(INDEX(FTE_Allocation!$I$2:$I$201,$AB1287)))),1),"")))</f>
        <v/>
      </c>
      <c r="AF1287" s="21">
        <f>IF($Z1287="C",IF(INDEX(Contracts!$I$2:$I$151,$AB1287)="PREPAID",EDATE(DATE(YEAR(INDEX(Contracts!$J$2:$J$151,$AB1287)),MONTH(INDEX(Contracts!$J$2:$J$151,$AB1287)),1),IF(INDEX(Contracts!$N$2:$N$151,$AB1287)="",12,INDEX(Contracts!$N$2:$N$151,$AB1287))-1),IF(INDEX(Contracts!$I$2:$I$151,$AB1287)="MONTHLY",IF(INDEX(Contracts!$K$2:$K$151,$AB1287)="",2958101,INDEX(Contracts!$K$2:$K$151,$AB1287)),0)),IF($Z1287="A",EDATE(DATE(YEAR(INDEX(Fixed_Assets!$G$2:$G$201,$AB1287)),MONTH(INDEX(Fixed_Assets!$G$2:$G$201,$AB1287)),1),INDEX(Fixed_Assets!$J$2:$J$201,$AB1287)-1),IF($Z1287="F",MIN(IF(INDEX(Workforce!$J$2:$J$151,MATCH(INDEX(FTE_Allocation!$A$2:$A$201,$AB1287),Workforce!$A$2:$A$151,0))="",2958101,INDEX(Workforce!$J$2:$J$151,MATCH(INDEX(FTE_Allocation!$A$2:$A$201,$AB1287),Workforce!$A$2:$A$151,0))),IF(INDEX(FTE_Allocation!$J$2:$J$201,$AB1287)="",2958101,INDEX(FTE_Allocation!$J$2:$J$201,$AB1287))),"")))</f>
        <v/>
      </c>
      <c r="AG1287" s="19">
        <f>IF($Z1287="C",IF(INDEX(Contracts!$I$2:$I$151,$AB1287)="PREPAID",INDEX(Contracts!$M$2:$M$151,$AB1287)/IF(INDEX(Contracts!$N$2:$N$151,$AB1287)="",12,INDEX(Contracts!$N$2:$N$151,$AB1287)),IF(INDEX(Contracts!$I$2:$I$151,$AB1287)="MONTHLY",INDEX(Contracts!$M$2:$M$151,$AB1287),0))*(1-N(INDEX(Contracts!$O$2:$O$151,$AB1287))),IF($Z1287="A",INDEX(Fixed_Assets!$H$2:$H$201,$AB1287)/INDEX(Fixed_Assets!$J$2:$J$201,$AB1287),IF($Z1287="F",INDEX(Workforce!$F$2:$F$151,MATCH(INDEX(FTE_Allocation!$A$2:$A$201,$AB1287),Workforce!$A$2:$A$151,0))*N(INDEX(FTE_Allocation!$F$2:$H$201,$AB1287,$AC1287)),"")))</f>
        <v/>
      </c>
    </row>
    <row r="1288">
      <c r="A1288" s="7">
        <f>IF($Z1288="","",$AD1288)</f>
        <v/>
      </c>
      <c r="B1288" s="7">
        <f>IF($Z1288="C",INDEX(Contracts!$D$2:$D$151,$AB1288)&amp;"",IF($Z1288="A",INDEX(Fixed_Assets!$C$2:$C$201,$AB1288)&amp;"",IF($Z1288="F",INDEX(Workforce!$B$2:$B$151,MATCH(INDEX(FTE_Allocation!$A$2:$A$201,$AB1288),Workforce!$A$2:$A$151,0))&amp;"","")))</f>
        <v/>
      </c>
      <c r="C1288" s="7">
        <f>IF($Z1288="C",INDEX(Contracts!$E$2:$E$151,$AB1288)&amp;"",IF($Z1288="A",INDEX(Fixed_Assets!$D$2:$D$201,$AB1288)&amp;"",IF($Z1288="F",INDEX(FTE_Allocation!$C$2:$C$201,$AB1288)&amp;"","")))</f>
        <v/>
      </c>
      <c r="D1288" s="7">
        <f>IF($Z1288="C",INDEX(Contracts!$B$2:$B$151,$AB1288)&amp;"",IF($Z1288="A",INDEX(Fixed_Assets!$B$2:$B$201,$AB1288)&amp;"",IF($Z1288="F",INDEX(FTE_Allocation!$B$2:$B$201,$AB1288)&amp;"","")))</f>
        <v/>
      </c>
      <c r="E1288" s="7">
        <f>IF($Z1288="C",INDEX(Contracts!$P$2:$P$151,$AB1288)&amp;"",IF($Z1288="A",INDEX(Fixed_Assets!$K$2:$K$201,$AB1288)&amp;"",IF($Z1288="F",IF(INDEX(FTE_Allocation!$D$2:$D$201,$AB1288)="PROJECT",IFERROR(INDEX(Projects!$D:$D,MATCH(INDEX(FTE_Allocation!$E$2:$E$201,$AB1288),Projects!$A:$A,0))&amp;"","#PROJECT?"),INDEX(FTE_Allocation!$E$2:$E$201,$AB1288)&amp;""),"")))</f>
        <v/>
      </c>
      <c r="F1288" s="7">
        <f>IF($Z1288="C",INDEX(Contracts!$Q$2:$Q$151,$AB1288)&amp;"",IF($Z1288="A",INDEX(Fixed_Assets!$L$2:$L$201,$AB1288)&amp;"",IF($Z1288="F",INDEX(Workforce!$K$2:$K$151,MATCH(INDEX(FTE_Allocation!$A$2:$A$201,$AB1288),Workforce!$A$2:$A$151,0))&amp;"","")))</f>
        <v/>
      </c>
      <c r="G1288" s="7">
        <f>IF($Z1288="C",INDEX(Contracts!$F$2:$F$151,$AB1288)&amp;" / "&amp;INDEX(Contracts!$G$2:$G$151,$AB1288),IF($Z1288="A",INDEX(Fixed_Assets!$E$2:$E$201,$AB1288)&amp;"",IF($Z1288="F","Personnel "&amp;INDEX(FTE_Allocation!$A$2:$A$201,$AB1288)&amp;IF(INDEX(FTE_Allocation!$D$2:$D$201,$AB1288)="PROJECT"," ("&amp;INDEX(FTE_Allocation!$E$2:$E$201,$AB1288)&amp;")",""),"")))</f>
        <v/>
      </c>
      <c r="H1288" s="7">
        <f>IF($Z1288="C","CONTRACT",IF($Z1288="A","ASSET",IF($Z1288="F","WORKFORCE","")))</f>
        <v/>
      </c>
      <c r="I1288" s="7">
        <f>IF($Z1288="C",INDEX(Contracts!$L$2:$L$151,$AB1288)&amp;"",IF($Z1288="A",INDEX(Fixed_Assets!$I$2:$I$201,$AB1288)&amp;"",IF($Z1288="F",INDEX(Workforce!$G$2:$G$151,MATCH(INDEX(FTE_Allocation!$A$2:$A$201,$AB1288),Workforce!$A$2:$A$151,0))&amp;"","")))</f>
        <v/>
      </c>
      <c r="J1288" s="18">
        <f>IF($Z1288="","",IF(AND(DATE($AD1288,1,1)&gt;=$AE1288,DATE($AD1288,1,1)&lt;=$AF1288),ROUND($AG1288,2),0))</f>
        <v/>
      </c>
      <c r="K1288" s="18">
        <f>IF($Z1288="","",IF(AND(DATE($AD1288,2,1)&gt;=$AE1288,DATE($AD1288,2,1)&lt;=$AF1288),ROUND($AG1288,2),0))</f>
        <v/>
      </c>
      <c r="L1288" s="18">
        <f>IF($Z1288="","",IF(AND(DATE($AD1288,3,1)&gt;=$AE1288,DATE($AD1288,3,1)&lt;=$AF1288),ROUND($AG1288,2),0))</f>
        <v/>
      </c>
      <c r="M1288" s="18">
        <f>IF($Z1288="","",IF(AND(DATE($AD1288,4,1)&gt;=$AE1288,DATE($AD1288,4,1)&lt;=$AF1288),ROUND($AG1288,2),0))</f>
        <v/>
      </c>
      <c r="N1288" s="18">
        <f>IF($Z1288="","",IF(AND(DATE($AD1288,5,1)&gt;=$AE1288,DATE($AD1288,5,1)&lt;=$AF1288),ROUND($AG1288,2),0))</f>
        <v/>
      </c>
      <c r="O1288" s="18">
        <f>IF($Z1288="","",IF(AND(DATE($AD1288,6,1)&gt;=$AE1288,DATE($AD1288,6,1)&lt;=$AF1288),ROUND($AG1288,2),0))</f>
        <v/>
      </c>
      <c r="P1288" s="18">
        <f>IF($Z1288="","",IF(AND(DATE($AD1288,7,1)&gt;=$AE1288,DATE($AD1288,7,1)&lt;=$AF1288),ROUND($AG1288,2),0))</f>
        <v/>
      </c>
      <c r="Q1288" s="18">
        <f>IF($Z1288="","",IF(AND(DATE($AD1288,8,1)&gt;=$AE1288,DATE($AD1288,8,1)&lt;=$AF1288),ROUND($AG1288,2),0))</f>
        <v/>
      </c>
      <c r="R1288" s="18">
        <f>IF($Z1288="","",IF(AND(DATE($AD1288,9,1)&gt;=$AE1288,DATE($AD1288,9,1)&lt;=$AF1288),ROUND($AG1288,2),0))</f>
        <v/>
      </c>
      <c r="S1288" s="18">
        <f>IF($Z1288="","",IF(AND(DATE($AD1288,10,1)&gt;=$AE1288,DATE($AD1288,10,1)&lt;=$AF1288),ROUND($AG1288,2),0))</f>
        <v/>
      </c>
      <c r="T1288" s="18">
        <f>IF($Z1288="","",IF(AND(DATE($AD1288,11,1)&gt;=$AE1288,DATE($AD1288,11,1)&lt;=$AF1288),ROUND($AG1288,2),0))</f>
        <v/>
      </c>
      <c r="U1288" s="18">
        <f>IF($Z1288="","",IF(AND(DATE($AD1288,12,1)&gt;=$AE1288,DATE($AD1288,12,1)&lt;=$AF1288),ROUND($AG1288,2),0))</f>
        <v/>
      </c>
      <c r="V1288" s="7">
        <f>IF($Z1288="C","Generated from "&amp;INDEX(Contracts!$A$2:$A$151,$AB1288),IF($Z1288="A","Generated from "&amp;INDEX(Fixed_Assets!$A$2:$A$201,$AB1288),IF($Z1288="F","Generated from "&amp;INDEX(FTE_Allocation!$A$2:$A$201,$AB1288),"")))</f>
        <v/>
      </c>
      <c r="X1288" s="19">
        <f>IF($Z1288="","",SUM(J1288:U1288))</f>
        <v/>
      </c>
      <c r="Y1288" s="20">
        <f>ROW()-1</f>
        <v/>
      </c>
      <c r="Z1288" s="20">
        <f>IF($Y1288&lt;=Settings!$B$4*3,"C",IF($Y1288&lt;=(Settings!$B$4+Settings!$B$5)*3,"A",IF($Y1288&lt;=(Settings!$B$4+Settings!$B$5+Settings!$B$6)*3,"F","")))</f>
        <v/>
      </c>
      <c r="AA1288" s="20">
        <f>IF($Z1288="C",$Y1288,IF($Z1288="A",$Y1288-Settings!$B$4*3,IF($Z1288="F",$Y1288-(Settings!$B$4+Settings!$B$5)*3,"")))</f>
        <v/>
      </c>
      <c r="AB1288" s="20">
        <f>IF($Z1288="","",INT(($AA1288-1)/3)+1)</f>
        <v/>
      </c>
      <c r="AC1288" s="20">
        <f>IF($Z1288="","",MOD($AA1288-1,3)+1)</f>
        <v/>
      </c>
      <c r="AD1288" s="20">
        <f>IF($Z1288="","",Settings!$B$2+$AC1288-1)</f>
        <v/>
      </c>
      <c r="AE1288" s="21">
        <f>IF($Z1288="C",DATE(YEAR(INDEX(Contracts!$J$2:$J$151,$AB1288)),MONTH(INDEX(Contracts!$J$2:$J$151,$AB1288)),1),IF($Z1288="A",DATE(YEAR(INDEX(Fixed_Assets!$G$2:$G$201,$AB1288)),MONTH(INDEX(Fixed_Assets!$G$2:$G$201,$AB1288)),1),IF($Z1288="F",DATE(YEAR(MAX(N(INDEX(Workforce!$I$2:$I$151,MATCH(INDEX(FTE_Allocation!$A$2:$A$201,$AB1288),Workforce!$A$2:$A$151,0))),N(INDEX(FTE_Allocation!$I$2:$I$201,$AB1288)))),MONTH(MAX(N(INDEX(Workforce!$I$2:$I$151,MATCH(INDEX(FTE_Allocation!$A$2:$A$201,$AB1288),Workforce!$A$2:$A$151,0))),N(INDEX(FTE_Allocation!$I$2:$I$201,$AB1288)))),1),"")))</f>
        <v/>
      </c>
      <c r="AF1288" s="21">
        <f>IF($Z1288="C",IF(INDEX(Contracts!$I$2:$I$151,$AB1288)="PREPAID",EDATE(DATE(YEAR(INDEX(Contracts!$J$2:$J$151,$AB1288)),MONTH(INDEX(Contracts!$J$2:$J$151,$AB1288)),1),IF(INDEX(Contracts!$N$2:$N$151,$AB1288)="",12,INDEX(Contracts!$N$2:$N$151,$AB1288))-1),IF(INDEX(Contracts!$I$2:$I$151,$AB1288)="MONTHLY",IF(INDEX(Contracts!$K$2:$K$151,$AB1288)="",2958101,INDEX(Contracts!$K$2:$K$151,$AB1288)),0)),IF($Z1288="A",EDATE(DATE(YEAR(INDEX(Fixed_Assets!$G$2:$G$201,$AB1288)),MONTH(INDEX(Fixed_Assets!$G$2:$G$201,$AB1288)),1),INDEX(Fixed_Assets!$J$2:$J$201,$AB1288)-1),IF($Z1288="F",MIN(IF(INDEX(Workforce!$J$2:$J$151,MATCH(INDEX(FTE_Allocation!$A$2:$A$201,$AB1288),Workforce!$A$2:$A$151,0))="",2958101,INDEX(Workforce!$J$2:$J$151,MATCH(INDEX(FTE_Allocation!$A$2:$A$201,$AB1288),Workforce!$A$2:$A$151,0))),IF(INDEX(FTE_Allocation!$J$2:$J$201,$AB1288)="",2958101,INDEX(FTE_Allocation!$J$2:$J$201,$AB1288))),"")))</f>
        <v/>
      </c>
      <c r="AG1288" s="19">
        <f>IF($Z1288="C",IF(INDEX(Contracts!$I$2:$I$151,$AB1288)="PREPAID",INDEX(Contracts!$M$2:$M$151,$AB1288)/IF(INDEX(Contracts!$N$2:$N$151,$AB1288)="",12,INDEX(Contracts!$N$2:$N$151,$AB1288)),IF(INDEX(Contracts!$I$2:$I$151,$AB1288)="MONTHLY",INDEX(Contracts!$M$2:$M$151,$AB1288),0))*(1-N(INDEX(Contracts!$O$2:$O$151,$AB1288))),IF($Z1288="A",INDEX(Fixed_Assets!$H$2:$H$201,$AB1288)/INDEX(Fixed_Assets!$J$2:$J$201,$AB1288),IF($Z1288="F",INDEX(Workforce!$F$2:$F$151,MATCH(INDEX(FTE_Allocation!$A$2:$A$201,$AB1288),Workforce!$A$2:$A$151,0))*N(INDEX(FTE_Allocation!$F$2:$H$201,$AB1288,$AC1288)),"")))</f>
        <v/>
      </c>
    </row>
    <row r="1289">
      <c r="A1289" s="7">
        <f>IF($Z1289="","",$AD1289)</f>
        <v/>
      </c>
      <c r="B1289" s="7">
        <f>IF($Z1289="C",INDEX(Contracts!$D$2:$D$151,$AB1289)&amp;"",IF($Z1289="A",INDEX(Fixed_Assets!$C$2:$C$201,$AB1289)&amp;"",IF($Z1289="F",INDEX(Workforce!$B$2:$B$151,MATCH(INDEX(FTE_Allocation!$A$2:$A$201,$AB1289),Workforce!$A$2:$A$151,0))&amp;"","")))</f>
        <v/>
      </c>
      <c r="C1289" s="7">
        <f>IF($Z1289="C",INDEX(Contracts!$E$2:$E$151,$AB1289)&amp;"",IF($Z1289="A",INDEX(Fixed_Assets!$D$2:$D$201,$AB1289)&amp;"",IF($Z1289="F",INDEX(FTE_Allocation!$C$2:$C$201,$AB1289)&amp;"","")))</f>
        <v/>
      </c>
      <c r="D1289" s="7">
        <f>IF($Z1289="C",INDEX(Contracts!$B$2:$B$151,$AB1289)&amp;"",IF($Z1289="A",INDEX(Fixed_Assets!$B$2:$B$201,$AB1289)&amp;"",IF($Z1289="F",INDEX(FTE_Allocation!$B$2:$B$201,$AB1289)&amp;"","")))</f>
        <v/>
      </c>
      <c r="E1289" s="7">
        <f>IF($Z1289="C",INDEX(Contracts!$P$2:$P$151,$AB1289)&amp;"",IF($Z1289="A",INDEX(Fixed_Assets!$K$2:$K$201,$AB1289)&amp;"",IF($Z1289="F",IF(INDEX(FTE_Allocation!$D$2:$D$201,$AB1289)="PROJECT",IFERROR(INDEX(Projects!$D:$D,MATCH(INDEX(FTE_Allocation!$E$2:$E$201,$AB1289),Projects!$A:$A,0))&amp;"","#PROJECT?"),INDEX(FTE_Allocation!$E$2:$E$201,$AB1289)&amp;""),"")))</f>
        <v/>
      </c>
      <c r="F1289" s="7">
        <f>IF($Z1289="C",INDEX(Contracts!$Q$2:$Q$151,$AB1289)&amp;"",IF($Z1289="A",INDEX(Fixed_Assets!$L$2:$L$201,$AB1289)&amp;"",IF($Z1289="F",INDEX(Workforce!$K$2:$K$151,MATCH(INDEX(FTE_Allocation!$A$2:$A$201,$AB1289),Workforce!$A$2:$A$151,0))&amp;"","")))</f>
        <v/>
      </c>
      <c r="G1289" s="7">
        <f>IF($Z1289="C",INDEX(Contracts!$F$2:$F$151,$AB1289)&amp;" / "&amp;INDEX(Contracts!$G$2:$G$151,$AB1289),IF($Z1289="A",INDEX(Fixed_Assets!$E$2:$E$201,$AB1289)&amp;"",IF($Z1289="F","Personnel "&amp;INDEX(FTE_Allocation!$A$2:$A$201,$AB1289)&amp;IF(INDEX(FTE_Allocation!$D$2:$D$201,$AB1289)="PROJECT"," ("&amp;INDEX(FTE_Allocation!$E$2:$E$201,$AB1289)&amp;")",""),"")))</f>
        <v/>
      </c>
      <c r="H1289" s="7">
        <f>IF($Z1289="C","CONTRACT",IF($Z1289="A","ASSET",IF($Z1289="F","WORKFORCE","")))</f>
        <v/>
      </c>
      <c r="I1289" s="7">
        <f>IF($Z1289="C",INDEX(Contracts!$L$2:$L$151,$AB1289)&amp;"",IF($Z1289="A",INDEX(Fixed_Assets!$I$2:$I$201,$AB1289)&amp;"",IF($Z1289="F",INDEX(Workforce!$G$2:$G$151,MATCH(INDEX(FTE_Allocation!$A$2:$A$201,$AB1289),Workforce!$A$2:$A$151,0))&amp;"","")))</f>
        <v/>
      </c>
      <c r="J1289" s="18">
        <f>IF($Z1289="","",IF(AND(DATE($AD1289,1,1)&gt;=$AE1289,DATE($AD1289,1,1)&lt;=$AF1289),ROUND($AG1289,2),0))</f>
        <v/>
      </c>
      <c r="K1289" s="18">
        <f>IF($Z1289="","",IF(AND(DATE($AD1289,2,1)&gt;=$AE1289,DATE($AD1289,2,1)&lt;=$AF1289),ROUND($AG1289,2),0))</f>
        <v/>
      </c>
      <c r="L1289" s="18">
        <f>IF($Z1289="","",IF(AND(DATE($AD1289,3,1)&gt;=$AE1289,DATE($AD1289,3,1)&lt;=$AF1289),ROUND($AG1289,2),0))</f>
        <v/>
      </c>
      <c r="M1289" s="18">
        <f>IF($Z1289="","",IF(AND(DATE($AD1289,4,1)&gt;=$AE1289,DATE($AD1289,4,1)&lt;=$AF1289),ROUND($AG1289,2),0))</f>
        <v/>
      </c>
      <c r="N1289" s="18">
        <f>IF($Z1289="","",IF(AND(DATE($AD1289,5,1)&gt;=$AE1289,DATE($AD1289,5,1)&lt;=$AF1289),ROUND($AG1289,2),0))</f>
        <v/>
      </c>
      <c r="O1289" s="18">
        <f>IF($Z1289="","",IF(AND(DATE($AD1289,6,1)&gt;=$AE1289,DATE($AD1289,6,1)&lt;=$AF1289),ROUND($AG1289,2),0))</f>
        <v/>
      </c>
      <c r="P1289" s="18">
        <f>IF($Z1289="","",IF(AND(DATE($AD1289,7,1)&gt;=$AE1289,DATE($AD1289,7,1)&lt;=$AF1289),ROUND($AG1289,2),0))</f>
        <v/>
      </c>
      <c r="Q1289" s="18">
        <f>IF($Z1289="","",IF(AND(DATE($AD1289,8,1)&gt;=$AE1289,DATE($AD1289,8,1)&lt;=$AF1289),ROUND($AG1289,2),0))</f>
        <v/>
      </c>
      <c r="R1289" s="18">
        <f>IF($Z1289="","",IF(AND(DATE($AD1289,9,1)&gt;=$AE1289,DATE($AD1289,9,1)&lt;=$AF1289),ROUND($AG1289,2),0))</f>
        <v/>
      </c>
      <c r="S1289" s="18">
        <f>IF($Z1289="","",IF(AND(DATE($AD1289,10,1)&gt;=$AE1289,DATE($AD1289,10,1)&lt;=$AF1289),ROUND($AG1289,2),0))</f>
        <v/>
      </c>
      <c r="T1289" s="18">
        <f>IF($Z1289="","",IF(AND(DATE($AD1289,11,1)&gt;=$AE1289,DATE($AD1289,11,1)&lt;=$AF1289),ROUND($AG1289,2),0))</f>
        <v/>
      </c>
      <c r="U1289" s="18">
        <f>IF($Z1289="","",IF(AND(DATE($AD1289,12,1)&gt;=$AE1289,DATE($AD1289,12,1)&lt;=$AF1289),ROUND($AG1289,2),0))</f>
        <v/>
      </c>
      <c r="V1289" s="7">
        <f>IF($Z1289="C","Generated from "&amp;INDEX(Contracts!$A$2:$A$151,$AB1289),IF($Z1289="A","Generated from "&amp;INDEX(Fixed_Assets!$A$2:$A$201,$AB1289),IF($Z1289="F","Generated from "&amp;INDEX(FTE_Allocation!$A$2:$A$201,$AB1289),"")))</f>
        <v/>
      </c>
      <c r="X1289" s="19">
        <f>IF($Z1289="","",SUM(J1289:U1289))</f>
        <v/>
      </c>
      <c r="Y1289" s="20">
        <f>ROW()-1</f>
        <v/>
      </c>
      <c r="Z1289" s="20">
        <f>IF($Y1289&lt;=Settings!$B$4*3,"C",IF($Y1289&lt;=(Settings!$B$4+Settings!$B$5)*3,"A",IF($Y1289&lt;=(Settings!$B$4+Settings!$B$5+Settings!$B$6)*3,"F","")))</f>
        <v/>
      </c>
      <c r="AA1289" s="20">
        <f>IF($Z1289="C",$Y1289,IF($Z1289="A",$Y1289-Settings!$B$4*3,IF($Z1289="F",$Y1289-(Settings!$B$4+Settings!$B$5)*3,"")))</f>
        <v/>
      </c>
      <c r="AB1289" s="20">
        <f>IF($Z1289="","",INT(($AA1289-1)/3)+1)</f>
        <v/>
      </c>
      <c r="AC1289" s="20">
        <f>IF($Z1289="","",MOD($AA1289-1,3)+1)</f>
        <v/>
      </c>
      <c r="AD1289" s="20">
        <f>IF($Z1289="","",Settings!$B$2+$AC1289-1)</f>
        <v/>
      </c>
      <c r="AE1289" s="21">
        <f>IF($Z1289="C",DATE(YEAR(INDEX(Contracts!$J$2:$J$151,$AB1289)),MONTH(INDEX(Contracts!$J$2:$J$151,$AB1289)),1),IF($Z1289="A",DATE(YEAR(INDEX(Fixed_Assets!$G$2:$G$201,$AB1289)),MONTH(INDEX(Fixed_Assets!$G$2:$G$201,$AB1289)),1),IF($Z1289="F",DATE(YEAR(MAX(N(INDEX(Workforce!$I$2:$I$151,MATCH(INDEX(FTE_Allocation!$A$2:$A$201,$AB1289),Workforce!$A$2:$A$151,0))),N(INDEX(FTE_Allocation!$I$2:$I$201,$AB1289)))),MONTH(MAX(N(INDEX(Workforce!$I$2:$I$151,MATCH(INDEX(FTE_Allocation!$A$2:$A$201,$AB1289),Workforce!$A$2:$A$151,0))),N(INDEX(FTE_Allocation!$I$2:$I$201,$AB1289)))),1),"")))</f>
        <v/>
      </c>
      <c r="AF1289" s="21">
        <f>IF($Z1289="C",IF(INDEX(Contracts!$I$2:$I$151,$AB1289)="PREPAID",EDATE(DATE(YEAR(INDEX(Contracts!$J$2:$J$151,$AB1289)),MONTH(INDEX(Contracts!$J$2:$J$151,$AB1289)),1),IF(INDEX(Contracts!$N$2:$N$151,$AB1289)="",12,INDEX(Contracts!$N$2:$N$151,$AB1289))-1),IF(INDEX(Contracts!$I$2:$I$151,$AB1289)="MONTHLY",IF(INDEX(Contracts!$K$2:$K$151,$AB1289)="",2958101,INDEX(Contracts!$K$2:$K$151,$AB1289)),0)),IF($Z1289="A",EDATE(DATE(YEAR(INDEX(Fixed_Assets!$G$2:$G$201,$AB1289)),MONTH(INDEX(Fixed_Assets!$G$2:$G$201,$AB1289)),1),INDEX(Fixed_Assets!$J$2:$J$201,$AB1289)-1),IF($Z1289="F",MIN(IF(INDEX(Workforce!$J$2:$J$151,MATCH(INDEX(FTE_Allocation!$A$2:$A$201,$AB1289),Workforce!$A$2:$A$151,0))="",2958101,INDEX(Workforce!$J$2:$J$151,MATCH(INDEX(FTE_Allocation!$A$2:$A$201,$AB1289),Workforce!$A$2:$A$151,0))),IF(INDEX(FTE_Allocation!$J$2:$J$201,$AB1289)="",2958101,INDEX(FTE_Allocation!$J$2:$J$201,$AB1289))),"")))</f>
        <v/>
      </c>
      <c r="AG1289" s="19">
        <f>IF($Z1289="C",IF(INDEX(Contracts!$I$2:$I$151,$AB1289)="PREPAID",INDEX(Contracts!$M$2:$M$151,$AB1289)/IF(INDEX(Contracts!$N$2:$N$151,$AB1289)="",12,INDEX(Contracts!$N$2:$N$151,$AB1289)),IF(INDEX(Contracts!$I$2:$I$151,$AB1289)="MONTHLY",INDEX(Contracts!$M$2:$M$151,$AB1289),0))*(1-N(INDEX(Contracts!$O$2:$O$151,$AB1289))),IF($Z1289="A",INDEX(Fixed_Assets!$H$2:$H$201,$AB1289)/INDEX(Fixed_Assets!$J$2:$J$201,$AB1289),IF($Z1289="F",INDEX(Workforce!$F$2:$F$151,MATCH(INDEX(FTE_Allocation!$A$2:$A$201,$AB1289),Workforce!$A$2:$A$151,0))*N(INDEX(FTE_Allocation!$F$2:$H$201,$AB1289,$AC1289)),"")))</f>
        <v/>
      </c>
    </row>
    <row r="1290">
      <c r="A1290" s="7">
        <f>IF($Z1290="","",$AD1290)</f>
        <v/>
      </c>
      <c r="B1290" s="7">
        <f>IF($Z1290="C",INDEX(Contracts!$D$2:$D$151,$AB1290)&amp;"",IF($Z1290="A",INDEX(Fixed_Assets!$C$2:$C$201,$AB1290)&amp;"",IF($Z1290="F",INDEX(Workforce!$B$2:$B$151,MATCH(INDEX(FTE_Allocation!$A$2:$A$201,$AB1290),Workforce!$A$2:$A$151,0))&amp;"","")))</f>
        <v/>
      </c>
      <c r="C1290" s="7">
        <f>IF($Z1290="C",INDEX(Contracts!$E$2:$E$151,$AB1290)&amp;"",IF($Z1290="A",INDEX(Fixed_Assets!$D$2:$D$201,$AB1290)&amp;"",IF($Z1290="F",INDEX(FTE_Allocation!$C$2:$C$201,$AB1290)&amp;"","")))</f>
        <v/>
      </c>
      <c r="D1290" s="7">
        <f>IF($Z1290="C",INDEX(Contracts!$B$2:$B$151,$AB1290)&amp;"",IF($Z1290="A",INDEX(Fixed_Assets!$B$2:$B$201,$AB1290)&amp;"",IF($Z1290="F",INDEX(FTE_Allocation!$B$2:$B$201,$AB1290)&amp;"","")))</f>
        <v/>
      </c>
      <c r="E1290" s="7">
        <f>IF($Z1290="C",INDEX(Contracts!$P$2:$P$151,$AB1290)&amp;"",IF($Z1290="A",INDEX(Fixed_Assets!$K$2:$K$201,$AB1290)&amp;"",IF($Z1290="F",IF(INDEX(FTE_Allocation!$D$2:$D$201,$AB1290)="PROJECT",IFERROR(INDEX(Projects!$D:$D,MATCH(INDEX(FTE_Allocation!$E$2:$E$201,$AB1290),Projects!$A:$A,0))&amp;"","#PROJECT?"),INDEX(FTE_Allocation!$E$2:$E$201,$AB1290)&amp;""),"")))</f>
        <v/>
      </c>
      <c r="F1290" s="7">
        <f>IF($Z1290="C",INDEX(Contracts!$Q$2:$Q$151,$AB1290)&amp;"",IF($Z1290="A",INDEX(Fixed_Assets!$L$2:$L$201,$AB1290)&amp;"",IF($Z1290="F",INDEX(Workforce!$K$2:$K$151,MATCH(INDEX(FTE_Allocation!$A$2:$A$201,$AB1290),Workforce!$A$2:$A$151,0))&amp;"","")))</f>
        <v/>
      </c>
      <c r="G1290" s="7">
        <f>IF($Z1290="C",INDEX(Contracts!$F$2:$F$151,$AB1290)&amp;" / "&amp;INDEX(Contracts!$G$2:$G$151,$AB1290),IF($Z1290="A",INDEX(Fixed_Assets!$E$2:$E$201,$AB1290)&amp;"",IF($Z1290="F","Personnel "&amp;INDEX(FTE_Allocation!$A$2:$A$201,$AB1290)&amp;IF(INDEX(FTE_Allocation!$D$2:$D$201,$AB1290)="PROJECT"," ("&amp;INDEX(FTE_Allocation!$E$2:$E$201,$AB1290)&amp;")",""),"")))</f>
        <v/>
      </c>
      <c r="H1290" s="7">
        <f>IF($Z1290="C","CONTRACT",IF($Z1290="A","ASSET",IF($Z1290="F","WORKFORCE","")))</f>
        <v/>
      </c>
      <c r="I1290" s="7">
        <f>IF($Z1290="C",INDEX(Contracts!$L$2:$L$151,$AB1290)&amp;"",IF($Z1290="A",INDEX(Fixed_Assets!$I$2:$I$201,$AB1290)&amp;"",IF($Z1290="F",INDEX(Workforce!$G$2:$G$151,MATCH(INDEX(FTE_Allocation!$A$2:$A$201,$AB1290),Workforce!$A$2:$A$151,0))&amp;"","")))</f>
        <v/>
      </c>
      <c r="J1290" s="18">
        <f>IF($Z1290="","",IF(AND(DATE($AD1290,1,1)&gt;=$AE1290,DATE($AD1290,1,1)&lt;=$AF1290),ROUND($AG1290,2),0))</f>
        <v/>
      </c>
      <c r="K1290" s="18">
        <f>IF($Z1290="","",IF(AND(DATE($AD1290,2,1)&gt;=$AE1290,DATE($AD1290,2,1)&lt;=$AF1290),ROUND($AG1290,2),0))</f>
        <v/>
      </c>
      <c r="L1290" s="18">
        <f>IF($Z1290="","",IF(AND(DATE($AD1290,3,1)&gt;=$AE1290,DATE($AD1290,3,1)&lt;=$AF1290),ROUND($AG1290,2),0))</f>
        <v/>
      </c>
      <c r="M1290" s="18">
        <f>IF($Z1290="","",IF(AND(DATE($AD1290,4,1)&gt;=$AE1290,DATE($AD1290,4,1)&lt;=$AF1290),ROUND($AG1290,2),0))</f>
        <v/>
      </c>
      <c r="N1290" s="18">
        <f>IF($Z1290="","",IF(AND(DATE($AD1290,5,1)&gt;=$AE1290,DATE($AD1290,5,1)&lt;=$AF1290),ROUND($AG1290,2),0))</f>
        <v/>
      </c>
      <c r="O1290" s="18">
        <f>IF($Z1290="","",IF(AND(DATE($AD1290,6,1)&gt;=$AE1290,DATE($AD1290,6,1)&lt;=$AF1290),ROUND($AG1290,2),0))</f>
        <v/>
      </c>
      <c r="P1290" s="18">
        <f>IF($Z1290="","",IF(AND(DATE($AD1290,7,1)&gt;=$AE1290,DATE($AD1290,7,1)&lt;=$AF1290),ROUND($AG1290,2),0))</f>
        <v/>
      </c>
      <c r="Q1290" s="18">
        <f>IF($Z1290="","",IF(AND(DATE($AD1290,8,1)&gt;=$AE1290,DATE($AD1290,8,1)&lt;=$AF1290),ROUND($AG1290,2),0))</f>
        <v/>
      </c>
      <c r="R1290" s="18">
        <f>IF($Z1290="","",IF(AND(DATE($AD1290,9,1)&gt;=$AE1290,DATE($AD1290,9,1)&lt;=$AF1290),ROUND($AG1290,2),0))</f>
        <v/>
      </c>
      <c r="S1290" s="18">
        <f>IF($Z1290="","",IF(AND(DATE($AD1290,10,1)&gt;=$AE1290,DATE($AD1290,10,1)&lt;=$AF1290),ROUND($AG1290,2),0))</f>
        <v/>
      </c>
      <c r="T1290" s="18">
        <f>IF($Z1290="","",IF(AND(DATE($AD1290,11,1)&gt;=$AE1290,DATE($AD1290,11,1)&lt;=$AF1290),ROUND($AG1290,2),0))</f>
        <v/>
      </c>
      <c r="U1290" s="18">
        <f>IF($Z1290="","",IF(AND(DATE($AD1290,12,1)&gt;=$AE1290,DATE($AD1290,12,1)&lt;=$AF1290),ROUND($AG1290,2),0))</f>
        <v/>
      </c>
      <c r="V1290" s="7">
        <f>IF($Z1290="C","Generated from "&amp;INDEX(Contracts!$A$2:$A$151,$AB1290),IF($Z1290="A","Generated from "&amp;INDEX(Fixed_Assets!$A$2:$A$201,$AB1290),IF($Z1290="F","Generated from "&amp;INDEX(FTE_Allocation!$A$2:$A$201,$AB1290),"")))</f>
        <v/>
      </c>
      <c r="X1290" s="19">
        <f>IF($Z1290="","",SUM(J1290:U1290))</f>
        <v/>
      </c>
      <c r="Y1290" s="20">
        <f>ROW()-1</f>
        <v/>
      </c>
      <c r="Z1290" s="20">
        <f>IF($Y1290&lt;=Settings!$B$4*3,"C",IF($Y1290&lt;=(Settings!$B$4+Settings!$B$5)*3,"A",IF($Y1290&lt;=(Settings!$B$4+Settings!$B$5+Settings!$B$6)*3,"F","")))</f>
        <v/>
      </c>
      <c r="AA1290" s="20">
        <f>IF($Z1290="C",$Y1290,IF($Z1290="A",$Y1290-Settings!$B$4*3,IF($Z1290="F",$Y1290-(Settings!$B$4+Settings!$B$5)*3,"")))</f>
        <v/>
      </c>
      <c r="AB1290" s="20">
        <f>IF($Z1290="","",INT(($AA1290-1)/3)+1)</f>
        <v/>
      </c>
      <c r="AC1290" s="20">
        <f>IF($Z1290="","",MOD($AA1290-1,3)+1)</f>
        <v/>
      </c>
      <c r="AD1290" s="20">
        <f>IF($Z1290="","",Settings!$B$2+$AC1290-1)</f>
        <v/>
      </c>
      <c r="AE1290" s="21">
        <f>IF($Z1290="C",DATE(YEAR(INDEX(Contracts!$J$2:$J$151,$AB1290)),MONTH(INDEX(Contracts!$J$2:$J$151,$AB1290)),1),IF($Z1290="A",DATE(YEAR(INDEX(Fixed_Assets!$G$2:$G$201,$AB1290)),MONTH(INDEX(Fixed_Assets!$G$2:$G$201,$AB1290)),1),IF($Z1290="F",DATE(YEAR(MAX(N(INDEX(Workforce!$I$2:$I$151,MATCH(INDEX(FTE_Allocation!$A$2:$A$201,$AB1290),Workforce!$A$2:$A$151,0))),N(INDEX(FTE_Allocation!$I$2:$I$201,$AB1290)))),MONTH(MAX(N(INDEX(Workforce!$I$2:$I$151,MATCH(INDEX(FTE_Allocation!$A$2:$A$201,$AB1290),Workforce!$A$2:$A$151,0))),N(INDEX(FTE_Allocation!$I$2:$I$201,$AB1290)))),1),"")))</f>
        <v/>
      </c>
      <c r="AF1290" s="21">
        <f>IF($Z1290="C",IF(INDEX(Contracts!$I$2:$I$151,$AB1290)="PREPAID",EDATE(DATE(YEAR(INDEX(Contracts!$J$2:$J$151,$AB1290)),MONTH(INDEX(Contracts!$J$2:$J$151,$AB1290)),1),IF(INDEX(Contracts!$N$2:$N$151,$AB1290)="",12,INDEX(Contracts!$N$2:$N$151,$AB1290))-1),IF(INDEX(Contracts!$I$2:$I$151,$AB1290)="MONTHLY",IF(INDEX(Contracts!$K$2:$K$151,$AB1290)="",2958101,INDEX(Contracts!$K$2:$K$151,$AB1290)),0)),IF($Z1290="A",EDATE(DATE(YEAR(INDEX(Fixed_Assets!$G$2:$G$201,$AB1290)),MONTH(INDEX(Fixed_Assets!$G$2:$G$201,$AB1290)),1),INDEX(Fixed_Assets!$J$2:$J$201,$AB1290)-1),IF($Z1290="F",MIN(IF(INDEX(Workforce!$J$2:$J$151,MATCH(INDEX(FTE_Allocation!$A$2:$A$201,$AB1290),Workforce!$A$2:$A$151,0))="",2958101,INDEX(Workforce!$J$2:$J$151,MATCH(INDEX(FTE_Allocation!$A$2:$A$201,$AB1290),Workforce!$A$2:$A$151,0))),IF(INDEX(FTE_Allocation!$J$2:$J$201,$AB1290)="",2958101,INDEX(FTE_Allocation!$J$2:$J$201,$AB1290))),"")))</f>
        <v/>
      </c>
      <c r="AG1290" s="19">
        <f>IF($Z1290="C",IF(INDEX(Contracts!$I$2:$I$151,$AB1290)="PREPAID",INDEX(Contracts!$M$2:$M$151,$AB1290)/IF(INDEX(Contracts!$N$2:$N$151,$AB1290)="",12,INDEX(Contracts!$N$2:$N$151,$AB1290)),IF(INDEX(Contracts!$I$2:$I$151,$AB1290)="MONTHLY",INDEX(Contracts!$M$2:$M$151,$AB1290),0))*(1-N(INDEX(Contracts!$O$2:$O$151,$AB1290))),IF($Z1290="A",INDEX(Fixed_Assets!$H$2:$H$201,$AB1290)/INDEX(Fixed_Assets!$J$2:$J$201,$AB1290),IF($Z1290="F",INDEX(Workforce!$F$2:$F$151,MATCH(INDEX(FTE_Allocation!$A$2:$A$201,$AB1290),Workforce!$A$2:$A$151,0))*N(INDEX(FTE_Allocation!$F$2:$H$201,$AB1290,$AC1290)),"")))</f>
        <v/>
      </c>
    </row>
    <row r="1291">
      <c r="A1291" s="7">
        <f>IF($Z1291="","",$AD1291)</f>
        <v/>
      </c>
      <c r="B1291" s="7">
        <f>IF($Z1291="C",INDEX(Contracts!$D$2:$D$151,$AB1291)&amp;"",IF($Z1291="A",INDEX(Fixed_Assets!$C$2:$C$201,$AB1291)&amp;"",IF($Z1291="F",INDEX(Workforce!$B$2:$B$151,MATCH(INDEX(FTE_Allocation!$A$2:$A$201,$AB1291),Workforce!$A$2:$A$151,0))&amp;"","")))</f>
        <v/>
      </c>
      <c r="C1291" s="7">
        <f>IF($Z1291="C",INDEX(Contracts!$E$2:$E$151,$AB1291)&amp;"",IF($Z1291="A",INDEX(Fixed_Assets!$D$2:$D$201,$AB1291)&amp;"",IF($Z1291="F",INDEX(FTE_Allocation!$C$2:$C$201,$AB1291)&amp;"","")))</f>
        <v/>
      </c>
      <c r="D1291" s="7">
        <f>IF($Z1291="C",INDEX(Contracts!$B$2:$B$151,$AB1291)&amp;"",IF($Z1291="A",INDEX(Fixed_Assets!$B$2:$B$201,$AB1291)&amp;"",IF($Z1291="F",INDEX(FTE_Allocation!$B$2:$B$201,$AB1291)&amp;"","")))</f>
        <v/>
      </c>
      <c r="E1291" s="7">
        <f>IF($Z1291="C",INDEX(Contracts!$P$2:$P$151,$AB1291)&amp;"",IF($Z1291="A",INDEX(Fixed_Assets!$K$2:$K$201,$AB1291)&amp;"",IF($Z1291="F",IF(INDEX(FTE_Allocation!$D$2:$D$201,$AB1291)="PROJECT",IFERROR(INDEX(Projects!$D:$D,MATCH(INDEX(FTE_Allocation!$E$2:$E$201,$AB1291),Projects!$A:$A,0))&amp;"","#PROJECT?"),INDEX(FTE_Allocation!$E$2:$E$201,$AB1291)&amp;""),"")))</f>
        <v/>
      </c>
      <c r="F1291" s="7">
        <f>IF($Z1291="C",INDEX(Contracts!$Q$2:$Q$151,$AB1291)&amp;"",IF($Z1291="A",INDEX(Fixed_Assets!$L$2:$L$201,$AB1291)&amp;"",IF($Z1291="F",INDEX(Workforce!$K$2:$K$151,MATCH(INDEX(FTE_Allocation!$A$2:$A$201,$AB1291),Workforce!$A$2:$A$151,0))&amp;"","")))</f>
        <v/>
      </c>
      <c r="G1291" s="7">
        <f>IF($Z1291="C",INDEX(Contracts!$F$2:$F$151,$AB1291)&amp;" / "&amp;INDEX(Contracts!$G$2:$G$151,$AB1291),IF($Z1291="A",INDEX(Fixed_Assets!$E$2:$E$201,$AB1291)&amp;"",IF($Z1291="F","Personnel "&amp;INDEX(FTE_Allocation!$A$2:$A$201,$AB1291)&amp;IF(INDEX(FTE_Allocation!$D$2:$D$201,$AB1291)="PROJECT"," ("&amp;INDEX(FTE_Allocation!$E$2:$E$201,$AB1291)&amp;")",""),"")))</f>
        <v/>
      </c>
      <c r="H1291" s="7">
        <f>IF($Z1291="C","CONTRACT",IF($Z1291="A","ASSET",IF($Z1291="F","WORKFORCE","")))</f>
        <v/>
      </c>
      <c r="I1291" s="7">
        <f>IF($Z1291="C",INDEX(Contracts!$L$2:$L$151,$AB1291)&amp;"",IF($Z1291="A",INDEX(Fixed_Assets!$I$2:$I$201,$AB1291)&amp;"",IF($Z1291="F",INDEX(Workforce!$G$2:$G$151,MATCH(INDEX(FTE_Allocation!$A$2:$A$201,$AB1291),Workforce!$A$2:$A$151,0))&amp;"","")))</f>
        <v/>
      </c>
      <c r="J1291" s="18">
        <f>IF($Z1291="","",IF(AND(DATE($AD1291,1,1)&gt;=$AE1291,DATE($AD1291,1,1)&lt;=$AF1291),ROUND($AG1291,2),0))</f>
        <v/>
      </c>
      <c r="K1291" s="18">
        <f>IF($Z1291="","",IF(AND(DATE($AD1291,2,1)&gt;=$AE1291,DATE($AD1291,2,1)&lt;=$AF1291),ROUND($AG1291,2),0))</f>
        <v/>
      </c>
      <c r="L1291" s="18">
        <f>IF($Z1291="","",IF(AND(DATE($AD1291,3,1)&gt;=$AE1291,DATE($AD1291,3,1)&lt;=$AF1291),ROUND($AG1291,2),0))</f>
        <v/>
      </c>
      <c r="M1291" s="18">
        <f>IF($Z1291="","",IF(AND(DATE($AD1291,4,1)&gt;=$AE1291,DATE($AD1291,4,1)&lt;=$AF1291),ROUND($AG1291,2),0))</f>
        <v/>
      </c>
      <c r="N1291" s="18">
        <f>IF($Z1291="","",IF(AND(DATE($AD1291,5,1)&gt;=$AE1291,DATE($AD1291,5,1)&lt;=$AF1291),ROUND($AG1291,2),0))</f>
        <v/>
      </c>
      <c r="O1291" s="18">
        <f>IF($Z1291="","",IF(AND(DATE($AD1291,6,1)&gt;=$AE1291,DATE($AD1291,6,1)&lt;=$AF1291),ROUND($AG1291,2),0))</f>
        <v/>
      </c>
      <c r="P1291" s="18">
        <f>IF($Z1291="","",IF(AND(DATE($AD1291,7,1)&gt;=$AE1291,DATE($AD1291,7,1)&lt;=$AF1291),ROUND($AG1291,2),0))</f>
        <v/>
      </c>
      <c r="Q1291" s="18">
        <f>IF($Z1291="","",IF(AND(DATE($AD1291,8,1)&gt;=$AE1291,DATE($AD1291,8,1)&lt;=$AF1291),ROUND($AG1291,2),0))</f>
        <v/>
      </c>
      <c r="R1291" s="18">
        <f>IF($Z1291="","",IF(AND(DATE($AD1291,9,1)&gt;=$AE1291,DATE($AD1291,9,1)&lt;=$AF1291),ROUND($AG1291,2),0))</f>
        <v/>
      </c>
      <c r="S1291" s="18">
        <f>IF($Z1291="","",IF(AND(DATE($AD1291,10,1)&gt;=$AE1291,DATE($AD1291,10,1)&lt;=$AF1291),ROUND($AG1291,2),0))</f>
        <v/>
      </c>
      <c r="T1291" s="18">
        <f>IF($Z1291="","",IF(AND(DATE($AD1291,11,1)&gt;=$AE1291,DATE($AD1291,11,1)&lt;=$AF1291),ROUND($AG1291,2),0))</f>
        <v/>
      </c>
      <c r="U1291" s="18">
        <f>IF($Z1291="","",IF(AND(DATE($AD1291,12,1)&gt;=$AE1291,DATE($AD1291,12,1)&lt;=$AF1291),ROUND($AG1291,2),0))</f>
        <v/>
      </c>
      <c r="V1291" s="7">
        <f>IF($Z1291="C","Generated from "&amp;INDEX(Contracts!$A$2:$A$151,$AB1291),IF($Z1291="A","Generated from "&amp;INDEX(Fixed_Assets!$A$2:$A$201,$AB1291),IF($Z1291="F","Generated from "&amp;INDEX(FTE_Allocation!$A$2:$A$201,$AB1291),"")))</f>
        <v/>
      </c>
      <c r="X1291" s="19">
        <f>IF($Z1291="","",SUM(J1291:U1291))</f>
        <v/>
      </c>
      <c r="Y1291" s="20">
        <f>ROW()-1</f>
        <v/>
      </c>
      <c r="Z1291" s="20">
        <f>IF($Y1291&lt;=Settings!$B$4*3,"C",IF($Y1291&lt;=(Settings!$B$4+Settings!$B$5)*3,"A",IF($Y1291&lt;=(Settings!$B$4+Settings!$B$5+Settings!$B$6)*3,"F","")))</f>
        <v/>
      </c>
      <c r="AA1291" s="20">
        <f>IF($Z1291="C",$Y1291,IF($Z1291="A",$Y1291-Settings!$B$4*3,IF($Z1291="F",$Y1291-(Settings!$B$4+Settings!$B$5)*3,"")))</f>
        <v/>
      </c>
      <c r="AB1291" s="20">
        <f>IF($Z1291="","",INT(($AA1291-1)/3)+1)</f>
        <v/>
      </c>
      <c r="AC1291" s="20">
        <f>IF($Z1291="","",MOD($AA1291-1,3)+1)</f>
        <v/>
      </c>
      <c r="AD1291" s="20">
        <f>IF($Z1291="","",Settings!$B$2+$AC1291-1)</f>
        <v/>
      </c>
      <c r="AE1291" s="21">
        <f>IF($Z1291="C",DATE(YEAR(INDEX(Contracts!$J$2:$J$151,$AB1291)),MONTH(INDEX(Contracts!$J$2:$J$151,$AB1291)),1),IF($Z1291="A",DATE(YEAR(INDEX(Fixed_Assets!$G$2:$G$201,$AB1291)),MONTH(INDEX(Fixed_Assets!$G$2:$G$201,$AB1291)),1),IF($Z1291="F",DATE(YEAR(MAX(N(INDEX(Workforce!$I$2:$I$151,MATCH(INDEX(FTE_Allocation!$A$2:$A$201,$AB1291),Workforce!$A$2:$A$151,0))),N(INDEX(FTE_Allocation!$I$2:$I$201,$AB1291)))),MONTH(MAX(N(INDEX(Workforce!$I$2:$I$151,MATCH(INDEX(FTE_Allocation!$A$2:$A$201,$AB1291),Workforce!$A$2:$A$151,0))),N(INDEX(FTE_Allocation!$I$2:$I$201,$AB1291)))),1),"")))</f>
        <v/>
      </c>
      <c r="AF1291" s="21">
        <f>IF($Z1291="C",IF(INDEX(Contracts!$I$2:$I$151,$AB1291)="PREPAID",EDATE(DATE(YEAR(INDEX(Contracts!$J$2:$J$151,$AB1291)),MONTH(INDEX(Contracts!$J$2:$J$151,$AB1291)),1),IF(INDEX(Contracts!$N$2:$N$151,$AB1291)="",12,INDEX(Contracts!$N$2:$N$151,$AB1291))-1),IF(INDEX(Contracts!$I$2:$I$151,$AB1291)="MONTHLY",IF(INDEX(Contracts!$K$2:$K$151,$AB1291)="",2958101,INDEX(Contracts!$K$2:$K$151,$AB1291)),0)),IF($Z1291="A",EDATE(DATE(YEAR(INDEX(Fixed_Assets!$G$2:$G$201,$AB1291)),MONTH(INDEX(Fixed_Assets!$G$2:$G$201,$AB1291)),1),INDEX(Fixed_Assets!$J$2:$J$201,$AB1291)-1),IF($Z1291="F",MIN(IF(INDEX(Workforce!$J$2:$J$151,MATCH(INDEX(FTE_Allocation!$A$2:$A$201,$AB1291),Workforce!$A$2:$A$151,0))="",2958101,INDEX(Workforce!$J$2:$J$151,MATCH(INDEX(FTE_Allocation!$A$2:$A$201,$AB1291),Workforce!$A$2:$A$151,0))),IF(INDEX(FTE_Allocation!$J$2:$J$201,$AB1291)="",2958101,INDEX(FTE_Allocation!$J$2:$J$201,$AB1291))),"")))</f>
        <v/>
      </c>
      <c r="AG1291" s="19">
        <f>IF($Z1291="C",IF(INDEX(Contracts!$I$2:$I$151,$AB1291)="PREPAID",INDEX(Contracts!$M$2:$M$151,$AB1291)/IF(INDEX(Contracts!$N$2:$N$151,$AB1291)="",12,INDEX(Contracts!$N$2:$N$151,$AB1291)),IF(INDEX(Contracts!$I$2:$I$151,$AB1291)="MONTHLY",INDEX(Contracts!$M$2:$M$151,$AB1291),0))*(1-N(INDEX(Contracts!$O$2:$O$151,$AB1291))),IF($Z1291="A",INDEX(Fixed_Assets!$H$2:$H$201,$AB1291)/INDEX(Fixed_Assets!$J$2:$J$201,$AB1291),IF($Z1291="F",INDEX(Workforce!$F$2:$F$151,MATCH(INDEX(FTE_Allocation!$A$2:$A$201,$AB1291),Workforce!$A$2:$A$151,0))*N(INDEX(FTE_Allocation!$F$2:$H$201,$AB1291,$AC1291)),"")))</f>
        <v/>
      </c>
    </row>
    <row r="1292">
      <c r="A1292" s="7">
        <f>IF($Z1292="","",$AD1292)</f>
        <v/>
      </c>
      <c r="B1292" s="7">
        <f>IF($Z1292="C",INDEX(Contracts!$D$2:$D$151,$AB1292)&amp;"",IF($Z1292="A",INDEX(Fixed_Assets!$C$2:$C$201,$AB1292)&amp;"",IF($Z1292="F",INDEX(Workforce!$B$2:$B$151,MATCH(INDEX(FTE_Allocation!$A$2:$A$201,$AB1292),Workforce!$A$2:$A$151,0))&amp;"","")))</f>
        <v/>
      </c>
      <c r="C1292" s="7">
        <f>IF($Z1292="C",INDEX(Contracts!$E$2:$E$151,$AB1292)&amp;"",IF($Z1292="A",INDEX(Fixed_Assets!$D$2:$D$201,$AB1292)&amp;"",IF($Z1292="F",INDEX(FTE_Allocation!$C$2:$C$201,$AB1292)&amp;"","")))</f>
        <v/>
      </c>
      <c r="D1292" s="7">
        <f>IF($Z1292="C",INDEX(Contracts!$B$2:$B$151,$AB1292)&amp;"",IF($Z1292="A",INDEX(Fixed_Assets!$B$2:$B$201,$AB1292)&amp;"",IF($Z1292="F",INDEX(FTE_Allocation!$B$2:$B$201,$AB1292)&amp;"","")))</f>
        <v/>
      </c>
      <c r="E1292" s="7">
        <f>IF($Z1292="C",INDEX(Contracts!$P$2:$P$151,$AB1292)&amp;"",IF($Z1292="A",INDEX(Fixed_Assets!$K$2:$K$201,$AB1292)&amp;"",IF($Z1292="F",IF(INDEX(FTE_Allocation!$D$2:$D$201,$AB1292)="PROJECT",IFERROR(INDEX(Projects!$D:$D,MATCH(INDEX(FTE_Allocation!$E$2:$E$201,$AB1292),Projects!$A:$A,0))&amp;"","#PROJECT?"),INDEX(FTE_Allocation!$E$2:$E$201,$AB1292)&amp;""),"")))</f>
        <v/>
      </c>
      <c r="F1292" s="7">
        <f>IF($Z1292="C",INDEX(Contracts!$Q$2:$Q$151,$AB1292)&amp;"",IF($Z1292="A",INDEX(Fixed_Assets!$L$2:$L$201,$AB1292)&amp;"",IF($Z1292="F",INDEX(Workforce!$K$2:$K$151,MATCH(INDEX(FTE_Allocation!$A$2:$A$201,$AB1292),Workforce!$A$2:$A$151,0))&amp;"","")))</f>
        <v/>
      </c>
      <c r="G1292" s="7">
        <f>IF($Z1292="C",INDEX(Contracts!$F$2:$F$151,$AB1292)&amp;" / "&amp;INDEX(Contracts!$G$2:$G$151,$AB1292),IF($Z1292="A",INDEX(Fixed_Assets!$E$2:$E$201,$AB1292)&amp;"",IF($Z1292="F","Personnel "&amp;INDEX(FTE_Allocation!$A$2:$A$201,$AB1292)&amp;IF(INDEX(FTE_Allocation!$D$2:$D$201,$AB1292)="PROJECT"," ("&amp;INDEX(FTE_Allocation!$E$2:$E$201,$AB1292)&amp;")",""),"")))</f>
        <v/>
      </c>
      <c r="H1292" s="7">
        <f>IF($Z1292="C","CONTRACT",IF($Z1292="A","ASSET",IF($Z1292="F","WORKFORCE","")))</f>
        <v/>
      </c>
      <c r="I1292" s="7">
        <f>IF($Z1292="C",INDEX(Contracts!$L$2:$L$151,$AB1292)&amp;"",IF($Z1292="A",INDEX(Fixed_Assets!$I$2:$I$201,$AB1292)&amp;"",IF($Z1292="F",INDEX(Workforce!$G$2:$G$151,MATCH(INDEX(FTE_Allocation!$A$2:$A$201,$AB1292),Workforce!$A$2:$A$151,0))&amp;"","")))</f>
        <v/>
      </c>
      <c r="J1292" s="18">
        <f>IF($Z1292="","",IF(AND(DATE($AD1292,1,1)&gt;=$AE1292,DATE($AD1292,1,1)&lt;=$AF1292),ROUND($AG1292,2),0))</f>
        <v/>
      </c>
      <c r="K1292" s="18">
        <f>IF($Z1292="","",IF(AND(DATE($AD1292,2,1)&gt;=$AE1292,DATE($AD1292,2,1)&lt;=$AF1292),ROUND($AG1292,2),0))</f>
        <v/>
      </c>
      <c r="L1292" s="18">
        <f>IF($Z1292="","",IF(AND(DATE($AD1292,3,1)&gt;=$AE1292,DATE($AD1292,3,1)&lt;=$AF1292),ROUND($AG1292,2),0))</f>
        <v/>
      </c>
      <c r="M1292" s="18">
        <f>IF($Z1292="","",IF(AND(DATE($AD1292,4,1)&gt;=$AE1292,DATE($AD1292,4,1)&lt;=$AF1292),ROUND($AG1292,2),0))</f>
        <v/>
      </c>
      <c r="N1292" s="18">
        <f>IF($Z1292="","",IF(AND(DATE($AD1292,5,1)&gt;=$AE1292,DATE($AD1292,5,1)&lt;=$AF1292),ROUND($AG1292,2),0))</f>
        <v/>
      </c>
      <c r="O1292" s="18">
        <f>IF($Z1292="","",IF(AND(DATE($AD1292,6,1)&gt;=$AE1292,DATE($AD1292,6,1)&lt;=$AF1292),ROUND($AG1292,2),0))</f>
        <v/>
      </c>
      <c r="P1292" s="18">
        <f>IF($Z1292="","",IF(AND(DATE($AD1292,7,1)&gt;=$AE1292,DATE($AD1292,7,1)&lt;=$AF1292),ROUND($AG1292,2),0))</f>
        <v/>
      </c>
      <c r="Q1292" s="18">
        <f>IF($Z1292="","",IF(AND(DATE($AD1292,8,1)&gt;=$AE1292,DATE($AD1292,8,1)&lt;=$AF1292),ROUND($AG1292,2),0))</f>
        <v/>
      </c>
      <c r="R1292" s="18">
        <f>IF($Z1292="","",IF(AND(DATE($AD1292,9,1)&gt;=$AE1292,DATE($AD1292,9,1)&lt;=$AF1292),ROUND($AG1292,2),0))</f>
        <v/>
      </c>
      <c r="S1292" s="18">
        <f>IF($Z1292="","",IF(AND(DATE($AD1292,10,1)&gt;=$AE1292,DATE($AD1292,10,1)&lt;=$AF1292),ROUND($AG1292,2),0))</f>
        <v/>
      </c>
      <c r="T1292" s="18">
        <f>IF($Z1292="","",IF(AND(DATE($AD1292,11,1)&gt;=$AE1292,DATE($AD1292,11,1)&lt;=$AF1292),ROUND($AG1292,2),0))</f>
        <v/>
      </c>
      <c r="U1292" s="18">
        <f>IF($Z1292="","",IF(AND(DATE($AD1292,12,1)&gt;=$AE1292,DATE($AD1292,12,1)&lt;=$AF1292),ROUND($AG1292,2),0))</f>
        <v/>
      </c>
      <c r="V1292" s="7">
        <f>IF($Z1292="C","Generated from "&amp;INDEX(Contracts!$A$2:$A$151,$AB1292),IF($Z1292="A","Generated from "&amp;INDEX(Fixed_Assets!$A$2:$A$201,$AB1292),IF($Z1292="F","Generated from "&amp;INDEX(FTE_Allocation!$A$2:$A$201,$AB1292),"")))</f>
        <v/>
      </c>
      <c r="X1292" s="19">
        <f>IF($Z1292="","",SUM(J1292:U1292))</f>
        <v/>
      </c>
      <c r="Y1292" s="20">
        <f>ROW()-1</f>
        <v/>
      </c>
      <c r="Z1292" s="20">
        <f>IF($Y1292&lt;=Settings!$B$4*3,"C",IF($Y1292&lt;=(Settings!$B$4+Settings!$B$5)*3,"A",IF($Y1292&lt;=(Settings!$B$4+Settings!$B$5+Settings!$B$6)*3,"F","")))</f>
        <v/>
      </c>
      <c r="AA1292" s="20">
        <f>IF($Z1292="C",$Y1292,IF($Z1292="A",$Y1292-Settings!$B$4*3,IF($Z1292="F",$Y1292-(Settings!$B$4+Settings!$B$5)*3,"")))</f>
        <v/>
      </c>
      <c r="AB1292" s="20">
        <f>IF($Z1292="","",INT(($AA1292-1)/3)+1)</f>
        <v/>
      </c>
      <c r="AC1292" s="20">
        <f>IF($Z1292="","",MOD($AA1292-1,3)+1)</f>
        <v/>
      </c>
      <c r="AD1292" s="20">
        <f>IF($Z1292="","",Settings!$B$2+$AC1292-1)</f>
        <v/>
      </c>
      <c r="AE1292" s="21">
        <f>IF($Z1292="C",DATE(YEAR(INDEX(Contracts!$J$2:$J$151,$AB1292)),MONTH(INDEX(Contracts!$J$2:$J$151,$AB1292)),1),IF($Z1292="A",DATE(YEAR(INDEX(Fixed_Assets!$G$2:$G$201,$AB1292)),MONTH(INDEX(Fixed_Assets!$G$2:$G$201,$AB1292)),1),IF($Z1292="F",DATE(YEAR(MAX(N(INDEX(Workforce!$I$2:$I$151,MATCH(INDEX(FTE_Allocation!$A$2:$A$201,$AB1292),Workforce!$A$2:$A$151,0))),N(INDEX(FTE_Allocation!$I$2:$I$201,$AB1292)))),MONTH(MAX(N(INDEX(Workforce!$I$2:$I$151,MATCH(INDEX(FTE_Allocation!$A$2:$A$201,$AB1292),Workforce!$A$2:$A$151,0))),N(INDEX(FTE_Allocation!$I$2:$I$201,$AB1292)))),1),"")))</f>
        <v/>
      </c>
      <c r="AF1292" s="21">
        <f>IF($Z1292="C",IF(INDEX(Contracts!$I$2:$I$151,$AB1292)="PREPAID",EDATE(DATE(YEAR(INDEX(Contracts!$J$2:$J$151,$AB1292)),MONTH(INDEX(Contracts!$J$2:$J$151,$AB1292)),1),IF(INDEX(Contracts!$N$2:$N$151,$AB1292)="",12,INDEX(Contracts!$N$2:$N$151,$AB1292))-1),IF(INDEX(Contracts!$I$2:$I$151,$AB1292)="MONTHLY",IF(INDEX(Contracts!$K$2:$K$151,$AB1292)="",2958101,INDEX(Contracts!$K$2:$K$151,$AB1292)),0)),IF($Z1292="A",EDATE(DATE(YEAR(INDEX(Fixed_Assets!$G$2:$G$201,$AB1292)),MONTH(INDEX(Fixed_Assets!$G$2:$G$201,$AB1292)),1),INDEX(Fixed_Assets!$J$2:$J$201,$AB1292)-1),IF($Z1292="F",MIN(IF(INDEX(Workforce!$J$2:$J$151,MATCH(INDEX(FTE_Allocation!$A$2:$A$201,$AB1292),Workforce!$A$2:$A$151,0))="",2958101,INDEX(Workforce!$J$2:$J$151,MATCH(INDEX(FTE_Allocation!$A$2:$A$201,$AB1292),Workforce!$A$2:$A$151,0))),IF(INDEX(FTE_Allocation!$J$2:$J$201,$AB1292)="",2958101,INDEX(FTE_Allocation!$J$2:$J$201,$AB1292))),"")))</f>
        <v/>
      </c>
      <c r="AG1292" s="19">
        <f>IF($Z1292="C",IF(INDEX(Contracts!$I$2:$I$151,$AB1292)="PREPAID",INDEX(Contracts!$M$2:$M$151,$AB1292)/IF(INDEX(Contracts!$N$2:$N$151,$AB1292)="",12,INDEX(Contracts!$N$2:$N$151,$AB1292)),IF(INDEX(Contracts!$I$2:$I$151,$AB1292)="MONTHLY",INDEX(Contracts!$M$2:$M$151,$AB1292),0))*(1-N(INDEX(Contracts!$O$2:$O$151,$AB1292))),IF($Z1292="A",INDEX(Fixed_Assets!$H$2:$H$201,$AB1292)/INDEX(Fixed_Assets!$J$2:$J$201,$AB1292),IF($Z1292="F",INDEX(Workforce!$F$2:$F$151,MATCH(INDEX(FTE_Allocation!$A$2:$A$201,$AB1292),Workforce!$A$2:$A$151,0))*N(INDEX(FTE_Allocation!$F$2:$H$201,$AB1292,$AC1292)),"")))</f>
        <v/>
      </c>
    </row>
    <row r="1293">
      <c r="A1293" s="7">
        <f>IF($Z1293="","",$AD1293)</f>
        <v/>
      </c>
      <c r="B1293" s="7">
        <f>IF($Z1293="C",INDEX(Contracts!$D$2:$D$151,$AB1293)&amp;"",IF($Z1293="A",INDEX(Fixed_Assets!$C$2:$C$201,$AB1293)&amp;"",IF($Z1293="F",INDEX(Workforce!$B$2:$B$151,MATCH(INDEX(FTE_Allocation!$A$2:$A$201,$AB1293),Workforce!$A$2:$A$151,0))&amp;"","")))</f>
        <v/>
      </c>
      <c r="C1293" s="7">
        <f>IF($Z1293="C",INDEX(Contracts!$E$2:$E$151,$AB1293)&amp;"",IF($Z1293="A",INDEX(Fixed_Assets!$D$2:$D$201,$AB1293)&amp;"",IF($Z1293="F",INDEX(FTE_Allocation!$C$2:$C$201,$AB1293)&amp;"","")))</f>
        <v/>
      </c>
      <c r="D1293" s="7">
        <f>IF($Z1293="C",INDEX(Contracts!$B$2:$B$151,$AB1293)&amp;"",IF($Z1293="A",INDEX(Fixed_Assets!$B$2:$B$201,$AB1293)&amp;"",IF($Z1293="F",INDEX(FTE_Allocation!$B$2:$B$201,$AB1293)&amp;"","")))</f>
        <v/>
      </c>
      <c r="E1293" s="7">
        <f>IF($Z1293="C",INDEX(Contracts!$P$2:$P$151,$AB1293)&amp;"",IF($Z1293="A",INDEX(Fixed_Assets!$K$2:$K$201,$AB1293)&amp;"",IF($Z1293="F",IF(INDEX(FTE_Allocation!$D$2:$D$201,$AB1293)="PROJECT",IFERROR(INDEX(Projects!$D:$D,MATCH(INDEX(FTE_Allocation!$E$2:$E$201,$AB1293),Projects!$A:$A,0))&amp;"","#PROJECT?"),INDEX(FTE_Allocation!$E$2:$E$201,$AB1293)&amp;""),"")))</f>
        <v/>
      </c>
      <c r="F1293" s="7">
        <f>IF($Z1293="C",INDEX(Contracts!$Q$2:$Q$151,$AB1293)&amp;"",IF($Z1293="A",INDEX(Fixed_Assets!$L$2:$L$201,$AB1293)&amp;"",IF($Z1293="F",INDEX(Workforce!$K$2:$K$151,MATCH(INDEX(FTE_Allocation!$A$2:$A$201,$AB1293),Workforce!$A$2:$A$151,0))&amp;"","")))</f>
        <v/>
      </c>
      <c r="G1293" s="7">
        <f>IF($Z1293="C",INDEX(Contracts!$F$2:$F$151,$AB1293)&amp;" / "&amp;INDEX(Contracts!$G$2:$G$151,$AB1293),IF($Z1293="A",INDEX(Fixed_Assets!$E$2:$E$201,$AB1293)&amp;"",IF($Z1293="F","Personnel "&amp;INDEX(FTE_Allocation!$A$2:$A$201,$AB1293)&amp;IF(INDEX(FTE_Allocation!$D$2:$D$201,$AB1293)="PROJECT"," ("&amp;INDEX(FTE_Allocation!$E$2:$E$201,$AB1293)&amp;")",""),"")))</f>
        <v/>
      </c>
      <c r="H1293" s="7">
        <f>IF($Z1293="C","CONTRACT",IF($Z1293="A","ASSET",IF($Z1293="F","WORKFORCE","")))</f>
        <v/>
      </c>
      <c r="I1293" s="7">
        <f>IF($Z1293="C",INDEX(Contracts!$L$2:$L$151,$AB1293)&amp;"",IF($Z1293="A",INDEX(Fixed_Assets!$I$2:$I$201,$AB1293)&amp;"",IF($Z1293="F",INDEX(Workforce!$G$2:$G$151,MATCH(INDEX(FTE_Allocation!$A$2:$A$201,$AB1293),Workforce!$A$2:$A$151,0))&amp;"","")))</f>
        <v/>
      </c>
      <c r="J1293" s="18">
        <f>IF($Z1293="","",IF(AND(DATE($AD1293,1,1)&gt;=$AE1293,DATE($AD1293,1,1)&lt;=$AF1293),ROUND($AG1293,2),0))</f>
        <v/>
      </c>
      <c r="K1293" s="18">
        <f>IF($Z1293="","",IF(AND(DATE($AD1293,2,1)&gt;=$AE1293,DATE($AD1293,2,1)&lt;=$AF1293),ROUND($AG1293,2),0))</f>
        <v/>
      </c>
      <c r="L1293" s="18">
        <f>IF($Z1293="","",IF(AND(DATE($AD1293,3,1)&gt;=$AE1293,DATE($AD1293,3,1)&lt;=$AF1293),ROUND($AG1293,2),0))</f>
        <v/>
      </c>
      <c r="M1293" s="18">
        <f>IF($Z1293="","",IF(AND(DATE($AD1293,4,1)&gt;=$AE1293,DATE($AD1293,4,1)&lt;=$AF1293),ROUND($AG1293,2),0))</f>
        <v/>
      </c>
      <c r="N1293" s="18">
        <f>IF($Z1293="","",IF(AND(DATE($AD1293,5,1)&gt;=$AE1293,DATE($AD1293,5,1)&lt;=$AF1293),ROUND($AG1293,2),0))</f>
        <v/>
      </c>
      <c r="O1293" s="18">
        <f>IF($Z1293="","",IF(AND(DATE($AD1293,6,1)&gt;=$AE1293,DATE($AD1293,6,1)&lt;=$AF1293),ROUND($AG1293,2),0))</f>
        <v/>
      </c>
      <c r="P1293" s="18">
        <f>IF($Z1293="","",IF(AND(DATE($AD1293,7,1)&gt;=$AE1293,DATE($AD1293,7,1)&lt;=$AF1293),ROUND($AG1293,2),0))</f>
        <v/>
      </c>
      <c r="Q1293" s="18">
        <f>IF($Z1293="","",IF(AND(DATE($AD1293,8,1)&gt;=$AE1293,DATE($AD1293,8,1)&lt;=$AF1293),ROUND($AG1293,2),0))</f>
        <v/>
      </c>
      <c r="R1293" s="18">
        <f>IF($Z1293="","",IF(AND(DATE($AD1293,9,1)&gt;=$AE1293,DATE($AD1293,9,1)&lt;=$AF1293),ROUND($AG1293,2),0))</f>
        <v/>
      </c>
      <c r="S1293" s="18">
        <f>IF($Z1293="","",IF(AND(DATE($AD1293,10,1)&gt;=$AE1293,DATE($AD1293,10,1)&lt;=$AF1293),ROUND($AG1293,2),0))</f>
        <v/>
      </c>
      <c r="T1293" s="18">
        <f>IF($Z1293="","",IF(AND(DATE($AD1293,11,1)&gt;=$AE1293,DATE($AD1293,11,1)&lt;=$AF1293),ROUND($AG1293,2),0))</f>
        <v/>
      </c>
      <c r="U1293" s="18">
        <f>IF($Z1293="","",IF(AND(DATE($AD1293,12,1)&gt;=$AE1293,DATE($AD1293,12,1)&lt;=$AF1293),ROUND($AG1293,2),0))</f>
        <v/>
      </c>
      <c r="V1293" s="7">
        <f>IF($Z1293="C","Generated from "&amp;INDEX(Contracts!$A$2:$A$151,$AB1293),IF($Z1293="A","Generated from "&amp;INDEX(Fixed_Assets!$A$2:$A$201,$AB1293),IF($Z1293="F","Generated from "&amp;INDEX(FTE_Allocation!$A$2:$A$201,$AB1293),"")))</f>
        <v/>
      </c>
      <c r="X1293" s="19">
        <f>IF($Z1293="","",SUM(J1293:U1293))</f>
        <v/>
      </c>
      <c r="Y1293" s="20">
        <f>ROW()-1</f>
        <v/>
      </c>
      <c r="Z1293" s="20">
        <f>IF($Y1293&lt;=Settings!$B$4*3,"C",IF($Y1293&lt;=(Settings!$B$4+Settings!$B$5)*3,"A",IF($Y1293&lt;=(Settings!$B$4+Settings!$B$5+Settings!$B$6)*3,"F","")))</f>
        <v/>
      </c>
      <c r="AA1293" s="20">
        <f>IF($Z1293="C",$Y1293,IF($Z1293="A",$Y1293-Settings!$B$4*3,IF($Z1293="F",$Y1293-(Settings!$B$4+Settings!$B$5)*3,"")))</f>
        <v/>
      </c>
      <c r="AB1293" s="20">
        <f>IF($Z1293="","",INT(($AA1293-1)/3)+1)</f>
        <v/>
      </c>
      <c r="AC1293" s="20">
        <f>IF($Z1293="","",MOD($AA1293-1,3)+1)</f>
        <v/>
      </c>
      <c r="AD1293" s="20">
        <f>IF($Z1293="","",Settings!$B$2+$AC1293-1)</f>
        <v/>
      </c>
      <c r="AE1293" s="21">
        <f>IF($Z1293="C",DATE(YEAR(INDEX(Contracts!$J$2:$J$151,$AB1293)),MONTH(INDEX(Contracts!$J$2:$J$151,$AB1293)),1),IF($Z1293="A",DATE(YEAR(INDEX(Fixed_Assets!$G$2:$G$201,$AB1293)),MONTH(INDEX(Fixed_Assets!$G$2:$G$201,$AB1293)),1),IF($Z1293="F",DATE(YEAR(MAX(N(INDEX(Workforce!$I$2:$I$151,MATCH(INDEX(FTE_Allocation!$A$2:$A$201,$AB1293),Workforce!$A$2:$A$151,0))),N(INDEX(FTE_Allocation!$I$2:$I$201,$AB1293)))),MONTH(MAX(N(INDEX(Workforce!$I$2:$I$151,MATCH(INDEX(FTE_Allocation!$A$2:$A$201,$AB1293),Workforce!$A$2:$A$151,0))),N(INDEX(FTE_Allocation!$I$2:$I$201,$AB1293)))),1),"")))</f>
        <v/>
      </c>
      <c r="AF1293" s="21">
        <f>IF($Z1293="C",IF(INDEX(Contracts!$I$2:$I$151,$AB1293)="PREPAID",EDATE(DATE(YEAR(INDEX(Contracts!$J$2:$J$151,$AB1293)),MONTH(INDEX(Contracts!$J$2:$J$151,$AB1293)),1),IF(INDEX(Contracts!$N$2:$N$151,$AB1293)="",12,INDEX(Contracts!$N$2:$N$151,$AB1293))-1),IF(INDEX(Contracts!$I$2:$I$151,$AB1293)="MONTHLY",IF(INDEX(Contracts!$K$2:$K$151,$AB1293)="",2958101,INDEX(Contracts!$K$2:$K$151,$AB1293)),0)),IF($Z1293="A",EDATE(DATE(YEAR(INDEX(Fixed_Assets!$G$2:$G$201,$AB1293)),MONTH(INDEX(Fixed_Assets!$G$2:$G$201,$AB1293)),1),INDEX(Fixed_Assets!$J$2:$J$201,$AB1293)-1),IF($Z1293="F",MIN(IF(INDEX(Workforce!$J$2:$J$151,MATCH(INDEX(FTE_Allocation!$A$2:$A$201,$AB1293),Workforce!$A$2:$A$151,0))="",2958101,INDEX(Workforce!$J$2:$J$151,MATCH(INDEX(FTE_Allocation!$A$2:$A$201,$AB1293),Workforce!$A$2:$A$151,0))),IF(INDEX(FTE_Allocation!$J$2:$J$201,$AB1293)="",2958101,INDEX(FTE_Allocation!$J$2:$J$201,$AB1293))),"")))</f>
        <v/>
      </c>
      <c r="AG1293" s="19">
        <f>IF($Z1293="C",IF(INDEX(Contracts!$I$2:$I$151,$AB1293)="PREPAID",INDEX(Contracts!$M$2:$M$151,$AB1293)/IF(INDEX(Contracts!$N$2:$N$151,$AB1293)="",12,INDEX(Contracts!$N$2:$N$151,$AB1293)),IF(INDEX(Contracts!$I$2:$I$151,$AB1293)="MONTHLY",INDEX(Contracts!$M$2:$M$151,$AB1293),0))*(1-N(INDEX(Contracts!$O$2:$O$151,$AB1293))),IF($Z1293="A",INDEX(Fixed_Assets!$H$2:$H$201,$AB1293)/INDEX(Fixed_Assets!$J$2:$J$201,$AB1293),IF($Z1293="F",INDEX(Workforce!$F$2:$F$151,MATCH(INDEX(FTE_Allocation!$A$2:$A$201,$AB1293),Workforce!$A$2:$A$151,0))*N(INDEX(FTE_Allocation!$F$2:$H$201,$AB1293,$AC1293)),"")))</f>
        <v/>
      </c>
    </row>
    <row r="1294">
      <c r="A1294" s="7">
        <f>IF($Z1294="","",$AD1294)</f>
        <v/>
      </c>
      <c r="B1294" s="7">
        <f>IF($Z1294="C",INDEX(Contracts!$D$2:$D$151,$AB1294)&amp;"",IF($Z1294="A",INDEX(Fixed_Assets!$C$2:$C$201,$AB1294)&amp;"",IF($Z1294="F",INDEX(Workforce!$B$2:$B$151,MATCH(INDEX(FTE_Allocation!$A$2:$A$201,$AB1294),Workforce!$A$2:$A$151,0))&amp;"","")))</f>
        <v/>
      </c>
      <c r="C1294" s="7">
        <f>IF($Z1294="C",INDEX(Contracts!$E$2:$E$151,$AB1294)&amp;"",IF($Z1294="A",INDEX(Fixed_Assets!$D$2:$D$201,$AB1294)&amp;"",IF($Z1294="F",INDEX(FTE_Allocation!$C$2:$C$201,$AB1294)&amp;"","")))</f>
        <v/>
      </c>
      <c r="D1294" s="7">
        <f>IF($Z1294="C",INDEX(Contracts!$B$2:$B$151,$AB1294)&amp;"",IF($Z1294="A",INDEX(Fixed_Assets!$B$2:$B$201,$AB1294)&amp;"",IF($Z1294="F",INDEX(FTE_Allocation!$B$2:$B$201,$AB1294)&amp;"","")))</f>
        <v/>
      </c>
      <c r="E1294" s="7">
        <f>IF($Z1294="C",INDEX(Contracts!$P$2:$P$151,$AB1294)&amp;"",IF($Z1294="A",INDEX(Fixed_Assets!$K$2:$K$201,$AB1294)&amp;"",IF($Z1294="F",IF(INDEX(FTE_Allocation!$D$2:$D$201,$AB1294)="PROJECT",IFERROR(INDEX(Projects!$D:$D,MATCH(INDEX(FTE_Allocation!$E$2:$E$201,$AB1294),Projects!$A:$A,0))&amp;"","#PROJECT?"),INDEX(FTE_Allocation!$E$2:$E$201,$AB1294)&amp;""),"")))</f>
        <v/>
      </c>
      <c r="F1294" s="7">
        <f>IF($Z1294="C",INDEX(Contracts!$Q$2:$Q$151,$AB1294)&amp;"",IF($Z1294="A",INDEX(Fixed_Assets!$L$2:$L$201,$AB1294)&amp;"",IF($Z1294="F",INDEX(Workforce!$K$2:$K$151,MATCH(INDEX(FTE_Allocation!$A$2:$A$201,$AB1294),Workforce!$A$2:$A$151,0))&amp;"","")))</f>
        <v/>
      </c>
      <c r="G1294" s="7">
        <f>IF($Z1294="C",INDEX(Contracts!$F$2:$F$151,$AB1294)&amp;" / "&amp;INDEX(Contracts!$G$2:$G$151,$AB1294),IF($Z1294="A",INDEX(Fixed_Assets!$E$2:$E$201,$AB1294)&amp;"",IF($Z1294="F","Personnel "&amp;INDEX(FTE_Allocation!$A$2:$A$201,$AB1294)&amp;IF(INDEX(FTE_Allocation!$D$2:$D$201,$AB1294)="PROJECT"," ("&amp;INDEX(FTE_Allocation!$E$2:$E$201,$AB1294)&amp;")",""),"")))</f>
        <v/>
      </c>
      <c r="H1294" s="7">
        <f>IF($Z1294="C","CONTRACT",IF($Z1294="A","ASSET",IF($Z1294="F","WORKFORCE","")))</f>
        <v/>
      </c>
      <c r="I1294" s="7">
        <f>IF($Z1294="C",INDEX(Contracts!$L$2:$L$151,$AB1294)&amp;"",IF($Z1294="A",INDEX(Fixed_Assets!$I$2:$I$201,$AB1294)&amp;"",IF($Z1294="F",INDEX(Workforce!$G$2:$G$151,MATCH(INDEX(FTE_Allocation!$A$2:$A$201,$AB1294),Workforce!$A$2:$A$151,0))&amp;"","")))</f>
        <v/>
      </c>
      <c r="J1294" s="18">
        <f>IF($Z1294="","",IF(AND(DATE($AD1294,1,1)&gt;=$AE1294,DATE($AD1294,1,1)&lt;=$AF1294),ROUND($AG1294,2),0))</f>
        <v/>
      </c>
      <c r="K1294" s="18">
        <f>IF($Z1294="","",IF(AND(DATE($AD1294,2,1)&gt;=$AE1294,DATE($AD1294,2,1)&lt;=$AF1294),ROUND($AG1294,2),0))</f>
        <v/>
      </c>
      <c r="L1294" s="18">
        <f>IF($Z1294="","",IF(AND(DATE($AD1294,3,1)&gt;=$AE1294,DATE($AD1294,3,1)&lt;=$AF1294),ROUND($AG1294,2),0))</f>
        <v/>
      </c>
      <c r="M1294" s="18">
        <f>IF($Z1294="","",IF(AND(DATE($AD1294,4,1)&gt;=$AE1294,DATE($AD1294,4,1)&lt;=$AF1294),ROUND($AG1294,2),0))</f>
        <v/>
      </c>
      <c r="N1294" s="18">
        <f>IF($Z1294="","",IF(AND(DATE($AD1294,5,1)&gt;=$AE1294,DATE($AD1294,5,1)&lt;=$AF1294),ROUND($AG1294,2),0))</f>
        <v/>
      </c>
      <c r="O1294" s="18">
        <f>IF($Z1294="","",IF(AND(DATE($AD1294,6,1)&gt;=$AE1294,DATE($AD1294,6,1)&lt;=$AF1294),ROUND($AG1294,2),0))</f>
        <v/>
      </c>
      <c r="P1294" s="18">
        <f>IF($Z1294="","",IF(AND(DATE($AD1294,7,1)&gt;=$AE1294,DATE($AD1294,7,1)&lt;=$AF1294),ROUND($AG1294,2),0))</f>
        <v/>
      </c>
      <c r="Q1294" s="18">
        <f>IF($Z1294="","",IF(AND(DATE($AD1294,8,1)&gt;=$AE1294,DATE($AD1294,8,1)&lt;=$AF1294),ROUND($AG1294,2),0))</f>
        <v/>
      </c>
      <c r="R1294" s="18">
        <f>IF($Z1294="","",IF(AND(DATE($AD1294,9,1)&gt;=$AE1294,DATE($AD1294,9,1)&lt;=$AF1294),ROUND($AG1294,2),0))</f>
        <v/>
      </c>
      <c r="S1294" s="18">
        <f>IF($Z1294="","",IF(AND(DATE($AD1294,10,1)&gt;=$AE1294,DATE($AD1294,10,1)&lt;=$AF1294),ROUND($AG1294,2),0))</f>
        <v/>
      </c>
      <c r="T1294" s="18">
        <f>IF($Z1294="","",IF(AND(DATE($AD1294,11,1)&gt;=$AE1294,DATE($AD1294,11,1)&lt;=$AF1294),ROUND($AG1294,2),0))</f>
        <v/>
      </c>
      <c r="U1294" s="18">
        <f>IF($Z1294="","",IF(AND(DATE($AD1294,12,1)&gt;=$AE1294,DATE($AD1294,12,1)&lt;=$AF1294),ROUND($AG1294,2),0))</f>
        <v/>
      </c>
      <c r="V1294" s="7">
        <f>IF($Z1294="C","Generated from "&amp;INDEX(Contracts!$A$2:$A$151,$AB1294),IF($Z1294="A","Generated from "&amp;INDEX(Fixed_Assets!$A$2:$A$201,$AB1294),IF($Z1294="F","Generated from "&amp;INDEX(FTE_Allocation!$A$2:$A$201,$AB1294),"")))</f>
        <v/>
      </c>
      <c r="X1294" s="19">
        <f>IF($Z1294="","",SUM(J1294:U1294))</f>
        <v/>
      </c>
      <c r="Y1294" s="20">
        <f>ROW()-1</f>
        <v/>
      </c>
      <c r="Z1294" s="20">
        <f>IF($Y1294&lt;=Settings!$B$4*3,"C",IF($Y1294&lt;=(Settings!$B$4+Settings!$B$5)*3,"A",IF($Y1294&lt;=(Settings!$B$4+Settings!$B$5+Settings!$B$6)*3,"F","")))</f>
        <v/>
      </c>
      <c r="AA1294" s="20">
        <f>IF($Z1294="C",$Y1294,IF($Z1294="A",$Y1294-Settings!$B$4*3,IF($Z1294="F",$Y1294-(Settings!$B$4+Settings!$B$5)*3,"")))</f>
        <v/>
      </c>
      <c r="AB1294" s="20">
        <f>IF($Z1294="","",INT(($AA1294-1)/3)+1)</f>
        <v/>
      </c>
      <c r="AC1294" s="20">
        <f>IF($Z1294="","",MOD($AA1294-1,3)+1)</f>
        <v/>
      </c>
      <c r="AD1294" s="20">
        <f>IF($Z1294="","",Settings!$B$2+$AC1294-1)</f>
        <v/>
      </c>
      <c r="AE1294" s="21">
        <f>IF($Z1294="C",DATE(YEAR(INDEX(Contracts!$J$2:$J$151,$AB1294)),MONTH(INDEX(Contracts!$J$2:$J$151,$AB1294)),1),IF($Z1294="A",DATE(YEAR(INDEX(Fixed_Assets!$G$2:$G$201,$AB1294)),MONTH(INDEX(Fixed_Assets!$G$2:$G$201,$AB1294)),1),IF($Z1294="F",DATE(YEAR(MAX(N(INDEX(Workforce!$I$2:$I$151,MATCH(INDEX(FTE_Allocation!$A$2:$A$201,$AB1294),Workforce!$A$2:$A$151,0))),N(INDEX(FTE_Allocation!$I$2:$I$201,$AB1294)))),MONTH(MAX(N(INDEX(Workforce!$I$2:$I$151,MATCH(INDEX(FTE_Allocation!$A$2:$A$201,$AB1294),Workforce!$A$2:$A$151,0))),N(INDEX(FTE_Allocation!$I$2:$I$201,$AB1294)))),1),"")))</f>
        <v/>
      </c>
      <c r="AF1294" s="21">
        <f>IF($Z1294="C",IF(INDEX(Contracts!$I$2:$I$151,$AB1294)="PREPAID",EDATE(DATE(YEAR(INDEX(Contracts!$J$2:$J$151,$AB1294)),MONTH(INDEX(Contracts!$J$2:$J$151,$AB1294)),1),IF(INDEX(Contracts!$N$2:$N$151,$AB1294)="",12,INDEX(Contracts!$N$2:$N$151,$AB1294))-1),IF(INDEX(Contracts!$I$2:$I$151,$AB1294)="MONTHLY",IF(INDEX(Contracts!$K$2:$K$151,$AB1294)="",2958101,INDEX(Contracts!$K$2:$K$151,$AB1294)),0)),IF($Z1294="A",EDATE(DATE(YEAR(INDEX(Fixed_Assets!$G$2:$G$201,$AB1294)),MONTH(INDEX(Fixed_Assets!$G$2:$G$201,$AB1294)),1),INDEX(Fixed_Assets!$J$2:$J$201,$AB1294)-1),IF($Z1294="F",MIN(IF(INDEX(Workforce!$J$2:$J$151,MATCH(INDEX(FTE_Allocation!$A$2:$A$201,$AB1294),Workforce!$A$2:$A$151,0))="",2958101,INDEX(Workforce!$J$2:$J$151,MATCH(INDEX(FTE_Allocation!$A$2:$A$201,$AB1294),Workforce!$A$2:$A$151,0))),IF(INDEX(FTE_Allocation!$J$2:$J$201,$AB1294)="",2958101,INDEX(FTE_Allocation!$J$2:$J$201,$AB1294))),"")))</f>
        <v/>
      </c>
      <c r="AG1294" s="19">
        <f>IF($Z1294="C",IF(INDEX(Contracts!$I$2:$I$151,$AB1294)="PREPAID",INDEX(Contracts!$M$2:$M$151,$AB1294)/IF(INDEX(Contracts!$N$2:$N$151,$AB1294)="",12,INDEX(Contracts!$N$2:$N$151,$AB1294)),IF(INDEX(Contracts!$I$2:$I$151,$AB1294)="MONTHLY",INDEX(Contracts!$M$2:$M$151,$AB1294),0))*(1-N(INDEX(Contracts!$O$2:$O$151,$AB1294))),IF($Z1294="A",INDEX(Fixed_Assets!$H$2:$H$201,$AB1294)/INDEX(Fixed_Assets!$J$2:$J$201,$AB1294),IF($Z1294="F",INDEX(Workforce!$F$2:$F$151,MATCH(INDEX(FTE_Allocation!$A$2:$A$201,$AB1294),Workforce!$A$2:$A$151,0))*N(INDEX(FTE_Allocation!$F$2:$H$201,$AB1294,$AC1294)),"")))</f>
        <v/>
      </c>
    </row>
    <row r="1295">
      <c r="A1295" s="7">
        <f>IF($Z1295="","",$AD1295)</f>
        <v/>
      </c>
      <c r="B1295" s="7">
        <f>IF($Z1295="C",INDEX(Contracts!$D$2:$D$151,$AB1295)&amp;"",IF($Z1295="A",INDEX(Fixed_Assets!$C$2:$C$201,$AB1295)&amp;"",IF($Z1295="F",INDEX(Workforce!$B$2:$B$151,MATCH(INDEX(FTE_Allocation!$A$2:$A$201,$AB1295),Workforce!$A$2:$A$151,0))&amp;"","")))</f>
        <v/>
      </c>
      <c r="C1295" s="7">
        <f>IF($Z1295="C",INDEX(Contracts!$E$2:$E$151,$AB1295)&amp;"",IF($Z1295="A",INDEX(Fixed_Assets!$D$2:$D$201,$AB1295)&amp;"",IF($Z1295="F",INDEX(FTE_Allocation!$C$2:$C$201,$AB1295)&amp;"","")))</f>
        <v/>
      </c>
      <c r="D1295" s="7">
        <f>IF($Z1295="C",INDEX(Contracts!$B$2:$B$151,$AB1295)&amp;"",IF($Z1295="A",INDEX(Fixed_Assets!$B$2:$B$201,$AB1295)&amp;"",IF($Z1295="F",INDEX(FTE_Allocation!$B$2:$B$201,$AB1295)&amp;"","")))</f>
        <v/>
      </c>
      <c r="E1295" s="7">
        <f>IF($Z1295="C",INDEX(Contracts!$P$2:$P$151,$AB1295)&amp;"",IF($Z1295="A",INDEX(Fixed_Assets!$K$2:$K$201,$AB1295)&amp;"",IF($Z1295="F",IF(INDEX(FTE_Allocation!$D$2:$D$201,$AB1295)="PROJECT",IFERROR(INDEX(Projects!$D:$D,MATCH(INDEX(FTE_Allocation!$E$2:$E$201,$AB1295),Projects!$A:$A,0))&amp;"","#PROJECT?"),INDEX(FTE_Allocation!$E$2:$E$201,$AB1295)&amp;""),"")))</f>
        <v/>
      </c>
      <c r="F1295" s="7">
        <f>IF($Z1295="C",INDEX(Contracts!$Q$2:$Q$151,$AB1295)&amp;"",IF($Z1295="A",INDEX(Fixed_Assets!$L$2:$L$201,$AB1295)&amp;"",IF($Z1295="F",INDEX(Workforce!$K$2:$K$151,MATCH(INDEX(FTE_Allocation!$A$2:$A$201,$AB1295),Workforce!$A$2:$A$151,0))&amp;"","")))</f>
        <v/>
      </c>
      <c r="G1295" s="7">
        <f>IF($Z1295="C",INDEX(Contracts!$F$2:$F$151,$AB1295)&amp;" / "&amp;INDEX(Contracts!$G$2:$G$151,$AB1295),IF($Z1295="A",INDEX(Fixed_Assets!$E$2:$E$201,$AB1295)&amp;"",IF($Z1295="F","Personnel "&amp;INDEX(FTE_Allocation!$A$2:$A$201,$AB1295)&amp;IF(INDEX(FTE_Allocation!$D$2:$D$201,$AB1295)="PROJECT"," ("&amp;INDEX(FTE_Allocation!$E$2:$E$201,$AB1295)&amp;")",""),"")))</f>
        <v/>
      </c>
      <c r="H1295" s="7">
        <f>IF($Z1295="C","CONTRACT",IF($Z1295="A","ASSET",IF($Z1295="F","WORKFORCE","")))</f>
        <v/>
      </c>
      <c r="I1295" s="7">
        <f>IF($Z1295="C",INDEX(Contracts!$L$2:$L$151,$AB1295)&amp;"",IF($Z1295="A",INDEX(Fixed_Assets!$I$2:$I$201,$AB1295)&amp;"",IF($Z1295="F",INDEX(Workforce!$G$2:$G$151,MATCH(INDEX(FTE_Allocation!$A$2:$A$201,$AB1295),Workforce!$A$2:$A$151,0))&amp;"","")))</f>
        <v/>
      </c>
      <c r="J1295" s="18">
        <f>IF($Z1295="","",IF(AND(DATE($AD1295,1,1)&gt;=$AE1295,DATE($AD1295,1,1)&lt;=$AF1295),ROUND($AG1295,2),0))</f>
        <v/>
      </c>
      <c r="K1295" s="18">
        <f>IF($Z1295="","",IF(AND(DATE($AD1295,2,1)&gt;=$AE1295,DATE($AD1295,2,1)&lt;=$AF1295),ROUND($AG1295,2),0))</f>
        <v/>
      </c>
      <c r="L1295" s="18">
        <f>IF($Z1295="","",IF(AND(DATE($AD1295,3,1)&gt;=$AE1295,DATE($AD1295,3,1)&lt;=$AF1295),ROUND($AG1295,2),0))</f>
        <v/>
      </c>
      <c r="M1295" s="18">
        <f>IF($Z1295="","",IF(AND(DATE($AD1295,4,1)&gt;=$AE1295,DATE($AD1295,4,1)&lt;=$AF1295),ROUND($AG1295,2),0))</f>
        <v/>
      </c>
      <c r="N1295" s="18">
        <f>IF($Z1295="","",IF(AND(DATE($AD1295,5,1)&gt;=$AE1295,DATE($AD1295,5,1)&lt;=$AF1295),ROUND($AG1295,2),0))</f>
        <v/>
      </c>
      <c r="O1295" s="18">
        <f>IF($Z1295="","",IF(AND(DATE($AD1295,6,1)&gt;=$AE1295,DATE($AD1295,6,1)&lt;=$AF1295),ROUND($AG1295,2),0))</f>
        <v/>
      </c>
      <c r="P1295" s="18">
        <f>IF($Z1295="","",IF(AND(DATE($AD1295,7,1)&gt;=$AE1295,DATE($AD1295,7,1)&lt;=$AF1295),ROUND($AG1295,2),0))</f>
        <v/>
      </c>
      <c r="Q1295" s="18">
        <f>IF($Z1295="","",IF(AND(DATE($AD1295,8,1)&gt;=$AE1295,DATE($AD1295,8,1)&lt;=$AF1295),ROUND($AG1295,2),0))</f>
        <v/>
      </c>
      <c r="R1295" s="18">
        <f>IF($Z1295="","",IF(AND(DATE($AD1295,9,1)&gt;=$AE1295,DATE($AD1295,9,1)&lt;=$AF1295),ROUND($AG1295,2),0))</f>
        <v/>
      </c>
      <c r="S1295" s="18">
        <f>IF($Z1295="","",IF(AND(DATE($AD1295,10,1)&gt;=$AE1295,DATE($AD1295,10,1)&lt;=$AF1295),ROUND($AG1295,2),0))</f>
        <v/>
      </c>
      <c r="T1295" s="18">
        <f>IF($Z1295="","",IF(AND(DATE($AD1295,11,1)&gt;=$AE1295,DATE($AD1295,11,1)&lt;=$AF1295),ROUND($AG1295,2),0))</f>
        <v/>
      </c>
      <c r="U1295" s="18">
        <f>IF($Z1295="","",IF(AND(DATE($AD1295,12,1)&gt;=$AE1295,DATE($AD1295,12,1)&lt;=$AF1295),ROUND($AG1295,2),0))</f>
        <v/>
      </c>
      <c r="V1295" s="7">
        <f>IF($Z1295="C","Generated from "&amp;INDEX(Contracts!$A$2:$A$151,$AB1295),IF($Z1295="A","Generated from "&amp;INDEX(Fixed_Assets!$A$2:$A$201,$AB1295),IF($Z1295="F","Generated from "&amp;INDEX(FTE_Allocation!$A$2:$A$201,$AB1295),"")))</f>
        <v/>
      </c>
      <c r="X1295" s="19">
        <f>IF($Z1295="","",SUM(J1295:U1295))</f>
        <v/>
      </c>
      <c r="Y1295" s="20">
        <f>ROW()-1</f>
        <v/>
      </c>
      <c r="Z1295" s="20">
        <f>IF($Y1295&lt;=Settings!$B$4*3,"C",IF($Y1295&lt;=(Settings!$B$4+Settings!$B$5)*3,"A",IF($Y1295&lt;=(Settings!$B$4+Settings!$B$5+Settings!$B$6)*3,"F","")))</f>
        <v/>
      </c>
      <c r="AA1295" s="20">
        <f>IF($Z1295="C",$Y1295,IF($Z1295="A",$Y1295-Settings!$B$4*3,IF($Z1295="F",$Y1295-(Settings!$B$4+Settings!$B$5)*3,"")))</f>
        <v/>
      </c>
      <c r="AB1295" s="20">
        <f>IF($Z1295="","",INT(($AA1295-1)/3)+1)</f>
        <v/>
      </c>
      <c r="AC1295" s="20">
        <f>IF($Z1295="","",MOD($AA1295-1,3)+1)</f>
        <v/>
      </c>
      <c r="AD1295" s="20">
        <f>IF($Z1295="","",Settings!$B$2+$AC1295-1)</f>
        <v/>
      </c>
      <c r="AE1295" s="21">
        <f>IF($Z1295="C",DATE(YEAR(INDEX(Contracts!$J$2:$J$151,$AB1295)),MONTH(INDEX(Contracts!$J$2:$J$151,$AB1295)),1),IF($Z1295="A",DATE(YEAR(INDEX(Fixed_Assets!$G$2:$G$201,$AB1295)),MONTH(INDEX(Fixed_Assets!$G$2:$G$201,$AB1295)),1),IF($Z1295="F",DATE(YEAR(MAX(N(INDEX(Workforce!$I$2:$I$151,MATCH(INDEX(FTE_Allocation!$A$2:$A$201,$AB1295),Workforce!$A$2:$A$151,0))),N(INDEX(FTE_Allocation!$I$2:$I$201,$AB1295)))),MONTH(MAX(N(INDEX(Workforce!$I$2:$I$151,MATCH(INDEX(FTE_Allocation!$A$2:$A$201,$AB1295),Workforce!$A$2:$A$151,0))),N(INDEX(FTE_Allocation!$I$2:$I$201,$AB1295)))),1),"")))</f>
        <v/>
      </c>
      <c r="AF1295" s="21">
        <f>IF($Z1295="C",IF(INDEX(Contracts!$I$2:$I$151,$AB1295)="PREPAID",EDATE(DATE(YEAR(INDEX(Contracts!$J$2:$J$151,$AB1295)),MONTH(INDEX(Contracts!$J$2:$J$151,$AB1295)),1),IF(INDEX(Contracts!$N$2:$N$151,$AB1295)="",12,INDEX(Contracts!$N$2:$N$151,$AB1295))-1),IF(INDEX(Contracts!$I$2:$I$151,$AB1295)="MONTHLY",IF(INDEX(Contracts!$K$2:$K$151,$AB1295)="",2958101,INDEX(Contracts!$K$2:$K$151,$AB1295)),0)),IF($Z1295="A",EDATE(DATE(YEAR(INDEX(Fixed_Assets!$G$2:$G$201,$AB1295)),MONTH(INDEX(Fixed_Assets!$G$2:$G$201,$AB1295)),1),INDEX(Fixed_Assets!$J$2:$J$201,$AB1295)-1),IF($Z1295="F",MIN(IF(INDEX(Workforce!$J$2:$J$151,MATCH(INDEX(FTE_Allocation!$A$2:$A$201,$AB1295),Workforce!$A$2:$A$151,0))="",2958101,INDEX(Workforce!$J$2:$J$151,MATCH(INDEX(FTE_Allocation!$A$2:$A$201,$AB1295),Workforce!$A$2:$A$151,0))),IF(INDEX(FTE_Allocation!$J$2:$J$201,$AB1295)="",2958101,INDEX(FTE_Allocation!$J$2:$J$201,$AB1295))),"")))</f>
        <v/>
      </c>
      <c r="AG1295" s="19">
        <f>IF($Z1295="C",IF(INDEX(Contracts!$I$2:$I$151,$AB1295)="PREPAID",INDEX(Contracts!$M$2:$M$151,$AB1295)/IF(INDEX(Contracts!$N$2:$N$151,$AB1295)="",12,INDEX(Contracts!$N$2:$N$151,$AB1295)),IF(INDEX(Contracts!$I$2:$I$151,$AB1295)="MONTHLY",INDEX(Contracts!$M$2:$M$151,$AB1295),0))*(1-N(INDEX(Contracts!$O$2:$O$151,$AB1295))),IF($Z1295="A",INDEX(Fixed_Assets!$H$2:$H$201,$AB1295)/INDEX(Fixed_Assets!$J$2:$J$201,$AB1295),IF($Z1295="F",INDEX(Workforce!$F$2:$F$151,MATCH(INDEX(FTE_Allocation!$A$2:$A$201,$AB1295),Workforce!$A$2:$A$151,0))*N(INDEX(FTE_Allocation!$F$2:$H$201,$AB1295,$AC1295)),"")))</f>
        <v/>
      </c>
    </row>
    <row r="1296">
      <c r="A1296" s="7">
        <f>IF($Z1296="","",$AD1296)</f>
        <v/>
      </c>
      <c r="B1296" s="7">
        <f>IF($Z1296="C",INDEX(Contracts!$D$2:$D$151,$AB1296)&amp;"",IF($Z1296="A",INDEX(Fixed_Assets!$C$2:$C$201,$AB1296)&amp;"",IF($Z1296="F",INDEX(Workforce!$B$2:$B$151,MATCH(INDEX(FTE_Allocation!$A$2:$A$201,$AB1296),Workforce!$A$2:$A$151,0))&amp;"","")))</f>
        <v/>
      </c>
      <c r="C1296" s="7">
        <f>IF($Z1296="C",INDEX(Contracts!$E$2:$E$151,$AB1296)&amp;"",IF($Z1296="A",INDEX(Fixed_Assets!$D$2:$D$201,$AB1296)&amp;"",IF($Z1296="F",INDEX(FTE_Allocation!$C$2:$C$201,$AB1296)&amp;"","")))</f>
        <v/>
      </c>
      <c r="D1296" s="7">
        <f>IF($Z1296="C",INDEX(Contracts!$B$2:$B$151,$AB1296)&amp;"",IF($Z1296="A",INDEX(Fixed_Assets!$B$2:$B$201,$AB1296)&amp;"",IF($Z1296="F",INDEX(FTE_Allocation!$B$2:$B$201,$AB1296)&amp;"","")))</f>
        <v/>
      </c>
      <c r="E1296" s="7">
        <f>IF($Z1296="C",INDEX(Contracts!$P$2:$P$151,$AB1296)&amp;"",IF($Z1296="A",INDEX(Fixed_Assets!$K$2:$K$201,$AB1296)&amp;"",IF($Z1296="F",IF(INDEX(FTE_Allocation!$D$2:$D$201,$AB1296)="PROJECT",IFERROR(INDEX(Projects!$D:$D,MATCH(INDEX(FTE_Allocation!$E$2:$E$201,$AB1296),Projects!$A:$A,0))&amp;"","#PROJECT?"),INDEX(FTE_Allocation!$E$2:$E$201,$AB1296)&amp;""),"")))</f>
        <v/>
      </c>
      <c r="F1296" s="7">
        <f>IF($Z1296="C",INDEX(Contracts!$Q$2:$Q$151,$AB1296)&amp;"",IF($Z1296="A",INDEX(Fixed_Assets!$L$2:$L$201,$AB1296)&amp;"",IF($Z1296="F",INDEX(Workforce!$K$2:$K$151,MATCH(INDEX(FTE_Allocation!$A$2:$A$201,$AB1296),Workforce!$A$2:$A$151,0))&amp;"","")))</f>
        <v/>
      </c>
      <c r="G1296" s="7">
        <f>IF($Z1296="C",INDEX(Contracts!$F$2:$F$151,$AB1296)&amp;" / "&amp;INDEX(Contracts!$G$2:$G$151,$AB1296),IF($Z1296="A",INDEX(Fixed_Assets!$E$2:$E$201,$AB1296)&amp;"",IF($Z1296="F","Personnel "&amp;INDEX(FTE_Allocation!$A$2:$A$201,$AB1296)&amp;IF(INDEX(FTE_Allocation!$D$2:$D$201,$AB1296)="PROJECT"," ("&amp;INDEX(FTE_Allocation!$E$2:$E$201,$AB1296)&amp;")",""),"")))</f>
        <v/>
      </c>
      <c r="H1296" s="7">
        <f>IF($Z1296="C","CONTRACT",IF($Z1296="A","ASSET",IF($Z1296="F","WORKFORCE","")))</f>
        <v/>
      </c>
      <c r="I1296" s="7">
        <f>IF($Z1296="C",INDEX(Contracts!$L$2:$L$151,$AB1296)&amp;"",IF($Z1296="A",INDEX(Fixed_Assets!$I$2:$I$201,$AB1296)&amp;"",IF($Z1296="F",INDEX(Workforce!$G$2:$G$151,MATCH(INDEX(FTE_Allocation!$A$2:$A$201,$AB1296),Workforce!$A$2:$A$151,0))&amp;"","")))</f>
        <v/>
      </c>
      <c r="J1296" s="18">
        <f>IF($Z1296="","",IF(AND(DATE($AD1296,1,1)&gt;=$AE1296,DATE($AD1296,1,1)&lt;=$AF1296),ROUND($AG1296,2),0))</f>
        <v/>
      </c>
      <c r="K1296" s="18">
        <f>IF($Z1296="","",IF(AND(DATE($AD1296,2,1)&gt;=$AE1296,DATE($AD1296,2,1)&lt;=$AF1296),ROUND($AG1296,2),0))</f>
        <v/>
      </c>
      <c r="L1296" s="18">
        <f>IF($Z1296="","",IF(AND(DATE($AD1296,3,1)&gt;=$AE1296,DATE($AD1296,3,1)&lt;=$AF1296),ROUND($AG1296,2),0))</f>
        <v/>
      </c>
      <c r="M1296" s="18">
        <f>IF($Z1296="","",IF(AND(DATE($AD1296,4,1)&gt;=$AE1296,DATE($AD1296,4,1)&lt;=$AF1296),ROUND($AG1296,2),0))</f>
        <v/>
      </c>
      <c r="N1296" s="18">
        <f>IF($Z1296="","",IF(AND(DATE($AD1296,5,1)&gt;=$AE1296,DATE($AD1296,5,1)&lt;=$AF1296),ROUND($AG1296,2),0))</f>
        <v/>
      </c>
      <c r="O1296" s="18">
        <f>IF($Z1296="","",IF(AND(DATE($AD1296,6,1)&gt;=$AE1296,DATE($AD1296,6,1)&lt;=$AF1296),ROUND($AG1296,2),0))</f>
        <v/>
      </c>
      <c r="P1296" s="18">
        <f>IF($Z1296="","",IF(AND(DATE($AD1296,7,1)&gt;=$AE1296,DATE($AD1296,7,1)&lt;=$AF1296),ROUND($AG1296,2),0))</f>
        <v/>
      </c>
      <c r="Q1296" s="18">
        <f>IF($Z1296="","",IF(AND(DATE($AD1296,8,1)&gt;=$AE1296,DATE($AD1296,8,1)&lt;=$AF1296),ROUND($AG1296,2),0))</f>
        <v/>
      </c>
      <c r="R1296" s="18">
        <f>IF($Z1296="","",IF(AND(DATE($AD1296,9,1)&gt;=$AE1296,DATE($AD1296,9,1)&lt;=$AF1296),ROUND($AG1296,2),0))</f>
        <v/>
      </c>
      <c r="S1296" s="18">
        <f>IF($Z1296="","",IF(AND(DATE($AD1296,10,1)&gt;=$AE1296,DATE($AD1296,10,1)&lt;=$AF1296),ROUND($AG1296,2),0))</f>
        <v/>
      </c>
      <c r="T1296" s="18">
        <f>IF($Z1296="","",IF(AND(DATE($AD1296,11,1)&gt;=$AE1296,DATE($AD1296,11,1)&lt;=$AF1296),ROUND($AG1296,2),0))</f>
        <v/>
      </c>
      <c r="U1296" s="18">
        <f>IF($Z1296="","",IF(AND(DATE($AD1296,12,1)&gt;=$AE1296,DATE($AD1296,12,1)&lt;=$AF1296),ROUND($AG1296,2),0))</f>
        <v/>
      </c>
      <c r="V1296" s="7">
        <f>IF($Z1296="C","Generated from "&amp;INDEX(Contracts!$A$2:$A$151,$AB1296),IF($Z1296="A","Generated from "&amp;INDEX(Fixed_Assets!$A$2:$A$201,$AB1296),IF($Z1296="F","Generated from "&amp;INDEX(FTE_Allocation!$A$2:$A$201,$AB1296),"")))</f>
        <v/>
      </c>
      <c r="X1296" s="19">
        <f>IF($Z1296="","",SUM(J1296:U1296))</f>
        <v/>
      </c>
      <c r="Y1296" s="20">
        <f>ROW()-1</f>
        <v/>
      </c>
      <c r="Z1296" s="20">
        <f>IF($Y1296&lt;=Settings!$B$4*3,"C",IF($Y1296&lt;=(Settings!$B$4+Settings!$B$5)*3,"A",IF($Y1296&lt;=(Settings!$B$4+Settings!$B$5+Settings!$B$6)*3,"F","")))</f>
        <v/>
      </c>
      <c r="AA1296" s="20">
        <f>IF($Z1296="C",$Y1296,IF($Z1296="A",$Y1296-Settings!$B$4*3,IF($Z1296="F",$Y1296-(Settings!$B$4+Settings!$B$5)*3,"")))</f>
        <v/>
      </c>
      <c r="AB1296" s="20">
        <f>IF($Z1296="","",INT(($AA1296-1)/3)+1)</f>
        <v/>
      </c>
      <c r="AC1296" s="20">
        <f>IF($Z1296="","",MOD($AA1296-1,3)+1)</f>
        <v/>
      </c>
      <c r="AD1296" s="20">
        <f>IF($Z1296="","",Settings!$B$2+$AC1296-1)</f>
        <v/>
      </c>
      <c r="AE1296" s="21">
        <f>IF($Z1296="C",DATE(YEAR(INDEX(Contracts!$J$2:$J$151,$AB1296)),MONTH(INDEX(Contracts!$J$2:$J$151,$AB1296)),1),IF($Z1296="A",DATE(YEAR(INDEX(Fixed_Assets!$G$2:$G$201,$AB1296)),MONTH(INDEX(Fixed_Assets!$G$2:$G$201,$AB1296)),1),IF($Z1296="F",DATE(YEAR(MAX(N(INDEX(Workforce!$I$2:$I$151,MATCH(INDEX(FTE_Allocation!$A$2:$A$201,$AB1296),Workforce!$A$2:$A$151,0))),N(INDEX(FTE_Allocation!$I$2:$I$201,$AB1296)))),MONTH(MAX(N(INDEX(Workforce!$I$2:$I$151,MATCH(INDEX(FTE_Allocation!$A$2:$A$201,$AB1296),Workforce!$A$2:$A$151,0))),N(INDEX(FTE_Allocation!$I$2:$I$201,$AB1296)))),1),"")))</f>
        <v/>
      </c>
      <c r="AF1296" s="21">
        <f>IF($Z1296="C",IF(INDEX(Contracts!$I$2:$I$151,$AB1296)="PREPAID",EDATE(DATE(YEAR(INDEX(Contracts!$J$2:$J$151,$AB1296)),MONTH(INDEX(Contracts!$J$2:$J$151,$AB1296)),1),IF(INDEX(Contracts!$N$2:$N$151,$AB1296)="",12,INDEX(Contracts!$N$2:$N$151,$AB1296))-1),IF(INDEX(Contracts!$I$2:$I$151,$AB1296)="MONTHLY",IF(INDEX(Contracts!$K$2:$K$151,$AB1296)="",2958101,INDEX(Contracts!$K$2:$K$151,$AB1296)),0)),IF($Z1296="A",EDATE(DATE(YEAR(INDEX(Fixed_Assets!$G$2:$G$201,$AB1296)),MONTH(INDEX(Fixed_Assets!$G$2:$G$201,$AB1296)),1),INDEX(Fixed_Assets!$J$2:$J$201,$AB1296)-1),IF($Z1296="F",MIN(IF(INDEX(Workforce!$J$2:$J$151,MATCH(INDEX(FTE_Allocation!$A$2:$A$201,$AB1296),Workforce!$A$2:$A$151,0))="",2958101,INDEX(Workforce!$J$2:$J$151,MATCH(INDEX(FTE_Allocation!$A$2:$A$201,$AB1296),Workforce!$A$2:$A$151,0))),IF(INDEX(FTE_Allocation!$J$2:$J$201,$AB1296)="",2958101,INDEX(FTE_Allocation!$J$2:$J$201,$AB1296))),"")))</f>
        <v/>
      </c>
      <c r="AG1296" s="19">
        <f>IF($Z1296="C",IF(INDEX(Contracts!$I$2:$I$151,$AB1296)="PREPAID",INDEX(Contracts!$M$2:$M$151,$AB1296)/IF(INDEX(Contracts!$N$2:$N$151,$AB1296)="",12,INDEX(Contracts!$N$2:$N$151,$AB1296)),IF(INDEX(Contracts!$I$2:$I$151,$AB1296)="MONTHLY",INDEX(Contracts!$M$2:$M$151,$AB1296),0))*(1-N(INDEX(Contracts!$O$2:$O$151,$AB1296))),IF($Z1296="A",INDEX(Fixed_Assets!$H$2:$H$201,$AB1296)/INDEX(Fixed_Assets!$J$2:$J$201,$AB1296),IF($Z1296="F",INDEX(Workforce!$F$2:$F$151,MATCH(INDEX(FTE_Allocation!$A$2:$A$201,$AB1296),Workforce!$A$2:$A$151,0))*N(INDEX(FTE_Allocation!$F$2:$H$201,$AB1296,$AC1296)),"")))</f>
        <v/>
      </c>
    </row>
    <row r="1297">
      <c r="A1297" s="7">
        <f>IF($Z1297="","",$AD1297)</f>
        <v/>
      </c>
      <c r="B1297" s="7">
        <f>IF($Z1297="C",INDEX(Contracts!$D$2:$D$151,$AB1297)&amp;"",IF($Z1297="A",INDEX(Fixed_Assets!$C$2:$C$201,$AB1297)&amp;"",IF($Z1297="F",INDEX(Workforce!$B$2:$B$151,MATCH(INDEX(FTE_Allocation!$A$2:$A$201,$AB1297),Workforce!$A$2:$A$151,0))&amp;"","")))</f>
        <v/>
      </c>
      <c r="C1297" s="7">
        <f>IF($Z1297="C",INDEX(Contracts!$E$2:$E$151,$AB1297)&amp;"",IF($Z1297="A",INDEX(Fixed_Assets!$D$2:$D$201,$AB1297)&amp;"",IF($Z1297="F",INDEX(FTE_Allocation!$C$2:$C$201,$AB1297)&amp;"","")))</f>
        <v/>
      </c>
      <c r="D1297" s="7">
        <f>IF($Z1297="C",INDEX(Contracts!$B$2:$B$151,$AB1297)&amp;"",IF($Z1297="A",INDEX(Fixed_Assets!$B$2:$B$201,$AB1297)&amp;"",IF($Z1297="F",INDEX(FTE_Allocation!$B$2:$B$201,$AB1297)&amp;"","")))</f>
        <v/>
      </c>
      <c r="E1297" s="7">
        <f>IF($Z1297="C",INDEX(Contracts!$P$2:$P$151,$AB1297)&amp;"",IF($Z1297="A",INDEX(Fixed_Assets!$K$2:$K$201,$AB1297)&amp;"",IF($Z1297="F",IF(INDEX(FTE_Allocation!$D$2:$D$201,$AB1297)="PROJECT",IFERROR(INDEX(Projects!$D:$D,MATCH(INDEX(FTE_Allocation!$E$2:$E$201,$AB1297),Projects!$A:$A,0))&amp;"","#PROJECT?"),INDEX(FTE_Allocation!$E$2:$E$201,$AB1297)&amp;""),"")))</f>
        <v/>
      </c>
      <c r="F1297" s="7">
        <f>IF($Z1297="C",INDEX(Contracts!$Q$2:$Q$151,$AB1297)&amp;"",IF($Z1297="A",INDEX(Fixed_Assets!$L$2:$L$201,$AB1297)&amp;"",IF($Z1297="F",INDEX(Workforce!$K$2:$K$151,MATCH(INDEX(FTE_Allocation!$A$2:$A$201,$AB1297),Workforce!$A$2:$A$151,0))&amp;"","")))</f>
        <v/>
      </c>
      <c r="G1297" s="7">
        <f>IF($Z1297="C",INDEX(Contracts!$F$2:$F$151,$AB1297)&amp;" / "&amp;INDEX(Contracts!$G$2:$G$151,$AB1297),IF($Z1297="A",INDEX(Fixed_Assets!$E$2:$E$201,$AB1297)&amp;"",IF($Z1297="F","Personnel "&amp;INDEX(FTE_Allocation!$A$2:$A$201,$AB1297)&amp;IF(INDEX(FTE_Allocation!$D$2:$D$201,$AB1297)="PROJECT"," ("&amp;INDEX(FTE_Allocation!$E$2:$E$201,$AB1297)&amp;")",""),"")))</f>
        <v/>
      </c>
      <c r="H1297" s="7">
        <f>IF($Z1297="C","CONTRACT",IF($Z1297="A","ASSET",IF($Z1297="F","WORKFORCE","")))</f>
        <v/>
      </c>
      <c r="I1297" s="7">
        <f>IF($Z1297="C",INDEX(Contracts!$L$2:$L$151,$AB1297)&amp;"",IF($Z1297="A",INDEX(Fixed_Assets!$I$2:$I$201,$AB1297)&amp;"",IF($Z1297="F",INDEX(Workforce!$G$2:$G$151,MATCH(INDEX(FTE_Allocation!$A$2:$A$201,$AB1297),Workforce!$A$2:$A$151,0))&amp;"","")))</f>
        <v/>
      </c>
      <c r="J1297" s="18">
        <f>IF($Z1297="","",IF(AND(DATE($AD1297,1,1)&gt;=$AE1297,DATE($AD1297,1,1)&lt;=$AF1297),ROUND($AG1297,2),0))</f>
        <v/>
      </c>
      <c r="K1297" s="18">
        <f>IF($Z1297="","",IF(AND(DATE($AD1297,2,1)&gt;=$AE1297,DATE($AD1297,2,1)&lt;=$AF1297),ROUND($AG1297,2),0))</f>
        <v/>
      </c>
      <c r="L1297" s="18">
        <f>IF($Z1297="","",IF(AND(DATE($AD1297,3,1)&gt;=$AE1297,DATE($AD1297,3,1)&lt;=$AF1297),ROUND($AG1297,2),0))</f>
        <v/>
      </c>
      <c r="M1297" s="18">
        <f>IF($Z1297="","",IF(AND(DATE($AD1297,4,1)&gt;=$AE1297,DATE($AD1297,4,1)&lt;=$AF1297),ROUND($AG1297,2),0))</f>
        <v/>
      </c>
      <c r="N1297" s="18">
        <f>IF($Z1297="","",IF(AND(DATE($AD1297,5,1)&gt;=$AE1297,DATE($AD1297,5,1)&lt;=$AF1297),ROUND($AG1297,2),0))</f>
        <v/>
      </c>
      <c r="O1297" s="18">
        <f>IF($Z1297="","",IF(AND(DATE($AD1297,6,1)&gt;=$AE1297,DATE($AD1297,6,1)&lt;=$AF1297),ROUND($AG1297,2),0))</f>
        <v/>
      </c>
      <c r="P1297" s="18">
        <f>IF($Z1297="","",IF(AND(DATE($AD1297,7,1)&gt;=$AE1297,DATE($AD1297,7,1)&lt;=$AF1297),ROUND($AG1297,2),0))</f>
        <v/>
      </c>
      <c r="Q1297" s="18">
        <f>IF($Z1297="","",IF(AND(DATE($AD1297,8,1)&gt;=$AE1297,DATE($AD1297,8,1)&lt;=$AF1297),ROUND($AG1297,2),0))</f>
        <v/>
      </c>
      <c r="R1297" s="18">
        <f>IF($Z1297="","",IF(AND(DATE($AD1297,9,1)&gt;=$AE1297,DATE($AD1297,9,1)&lt;=$AF1297),ROUND($AG1297,2),0))</f>
        <v/>
      </c>
      <c r="S1297" s="18">
        <f>IF($Z1297="","",IF(AND(DATE($AD1297,10,1)&gt;=$AE1297,DATE($AD1297,10,1)&lt;=$AF1297),ROUND($AG1297,2),0))</f>
        <v/>
      </c>
      <c r="T1297" s="18">
        <f>IF($Z1297="","",IF(AND(DATE($AD1297,11,1)&gt;=$AE1297,DATE($AD1297,11,1)&lt;=$AF1297),ROUND($AG1297,2),0))</f>
        <v/>
      </c>
      <c r="U1297" s="18">
        <f>IF($Z1297="","",IF(AND(DATE($AD1297,12,1)&gt;=$AE1297,DATE($AD1297,12,1)&lt;=$AF1297),ROUND($AG1297,2),0))</f>
        <v/>
      </c>
      <c r="V1297" s="7">
        <f>IF($Z1297="C","Generated from "&amp;INDEX(Contracts!$A$2:$A$151,$AB1297),IF($Z1297="A","Generated from "&amp;INDEX(Fixed_Assets!$A$2:$A$201,$AB1297),IF($Z1297="F","Generated from "&amp;INDEX(FTE_Allocation!$A$2:$A$201,$AB1297),"")))</f>
        <v/>
      </c>
      <c r="X1297" s="19">
        <f>IF($Z1297="","",SUM(J1297:U1297))</f>
        <v/>
      </c>
      <c r="Y1297" s="20">
        <f>ROW()-1</f>
        <v/>
      </c>
      <c r="Z1297" s="20">
        <f>IF($Y1297&lt;=Settings!$B$4*3,"C",IF($Y1297&lt;=(Settings!$B$4+Settings!$B$5)*3,"A",IF($Y1297&lt;=(Settings!$B$4+Settings!$B$5+Settings!$B$6)*3,"F","")))</f>
        <v/>
      </c>
      <c r="AA1297" s="20">
        <f>IF($Z1297="C",$Y1297,IF($Z1297="A",$Y1297-Settings!$B$4*3,IF($Z1297="F",$Y1297-(Settings!$B$4+Settings!$B$5)*3,"")))</f>
        <v/>
      </c>
      <c r="AB1297" s="20">
        <f>IF($Z1297="","",INT(($AA1297-1)/3)+1)</f>
        <v/>
      </c>
      <c r="AC1297" s="20">
        <f>IF($Z1297="","",MOD($AA1297-1,3)+1)</f>
        <v/>
      </c>
      <c r="AD1297" s="20">
        <f>IF($Z1297="","",Settings!$B$2+$AC1297-1)</f>
        <v/>
      </c>
      <c r="AE1297" s="21">
        <f>IF($Z1297="C",DATE(YEAR(INDEX(Contracts!$J$2:$J$151,$AB1297)),MONTH(INDEX(Contracts!$J$2:$J$151,$AB1297)),1),IF($Z1297="A",DATE(YEAR(INDEX(Fixed_Assets!$G$2:$G$201,$AB1297)),MONTH(INDEX(Fixed_Assets!$G$2:$G$201,$AB1297)),1),IF($Z1297="F",DATE(YEAR(MAX(N(INDEX(Workforce!$I$2:$I$151,MATCH(INDEX(FTE_Allocation!$A$2:$A$201,$AB1297),Workforce!$A$2:$A$151,0))),N(INDEX(FTE_Allocation!$I$2:$I$201,$AB1297)))),MONTH(MAX(N(INDEX(Workforce!$I$2:$I$151,MATCH(INDEX(FTE_Allocation!$A$2:$A$201,$AB1297),Workforce!$A$2:$A$151,0))),N(INDEX(FTE_Allocation!$I$2:$I$201,$AB1297)))),1),"")))</f>
        <v/>
      </c>
      <c r="AF1297" s="21">
        <f>IF($Z1297="C",IF(INDEX(Contracts!$I$2:$I$151,$AB1297)="PREPAID",EDATE(DATE(YEAR(INDEX(Contracts!$J$2:$J$151,$AB1297)),MONTH(INDEX(Contracts!$J$2:$J$151,$AB1297)),1),IF(INDEX(Contracts!$N$2:$N$151,$AB1297)="",12,INDEX(Contracts!$N$2:$N$151,$AB1297))-1),IF(INDEX(Contracts!$I$2:$I$151,$AB1297)="MONTHLY",IF(INDEX(Contracts!$K$2:$K$151,$AB1297)="",2958101,INDEX(Contracts!$K$2:$K$151,$AB1297)),0)),IF($Z1297="A",EDATE(DATE(YEAR(INDEX(Fixed_Assets!$G$2:$G$201,$AB1297)),MONTH(INDEX(Fixed_Assets!$G$2:$G$201,$AB1297)),1),INDEX(Fixed_Assets!$J$2:$J$201,$AB1297)-1),IF($Z1297="F",MIN(IF(INDEX(Workforce!$J$2:$J$151,MATCH(INDEX(FTE_Allocation!$A$2:$A$201,$AB1297),Workforce!$A$2:$A$151,0))="",2958101,INDEX(Workforce!$J$2:$J$151,MATCH(INDEX(FTE_Allocation!$A$2:$A$201,$AB1297),Workforce!$A$2:$A$151,0))),IF(INDEX(FTE_Allocation!$J$2:$J$201,$AB1297)="",2958101,INDEX(FTE_Allocation!$J$2:$J$201,$AB1297))),"")))</f>
        <v/>
      </c>
      <c r="AG1297" s="19">
        <f>IF($Z1297="C",IF(INDEX(Contracts!$I$2:$I$151,$AB1297)="PREPAID",INDEX(Contracts!$M$2:$M$151,$AB1297)/IF(INDEX(Contracts!$N$2:$N$151,$AB1297)="",12,INDEX(Contracts!$N$2:$N$151,$AB1297)),IF(INDEX(Contracts!$I$2:$I$151,$AB1297)="MONTHLY",INDEX(Contracts!$M$2:$M$151,$AB1297),0))*(1-N(INDEX(Contracts!$O$2:$O$151,$AB1297))),IF($Z1297="A",INDEX(Fixed_Assets!$H$2:$H$201,$AB1297)/INDEX(Fixed_Assets!$J$2:$J$201,$AB1297),IF($Z1297="F",INDEX(Workforce!$F$2:$F$151,MATCH(INDEX(FTE_Allocation!$A$2:$A$201,$AB1297),Workforce!$A$2:$A$151,0))*N(INDEX(FTE_Allocation!$F$2:$H$201,$AB1297,$AC1297)),"")))</f>
        <v/>
      </c>
    </row>
    <row r="1298">
      <c r="A1298" s="7">
        <f>IF($Z1298="","",$AD1298)</f>
        <v/>
      </c>
      <c r="B1298" s="7">
        <f>IF($Z1298="C",INDEX(Contracts!$D$2:$D$151,$AB1298)&amp;"",IF($Z1298="A",INDEX(Fixed_Assets!$C$2:$C$201,$AB1298)&amp;"",IF($Z1298="F",INDEX(Workforce!$B$2:$B$151,MATCH(INDEX(FTE_Allocation!$A$2:$A$201,$AB1298),Workforce!$A$2:$A$151,0))&amp;"","")))</f>
        <v/>
      </c>
      <c r="C1298" s="7">
        <f>IF($Z1298="C",INDEX(Contracts!$E$2:$E$151,$AB1298)&amp;"",IF($Z1298="A",INDEX(Fixed_Assets!$D$2:$D$201,$AB1298)&amp;"",IF($Z1298="F",INDEX(FTE_Allocation!$C$2:$C$201,$AB1298)&amp;"","")))</f>
        <v/>
      </c>
      <c r="D1298" s="7">
        <f>IF($Z1298="C",INDEX(Contracts!$B$2:$B$151,$AB1298)&amp;"",IF($Z1298="A",INDEX(Fixed_Assets!$B$2:$B$201,$AB1298)&amp;"",IF($Z1298="F",INDEX(FTE_Allocation!$B$2:$B$201,$AB1298)&amp;"","")))</f>
        <v/>
      </c>
      <c r="E1298" s="7">
        <f>IF($Z1298="C",INDEX(Contracts!$P$2:$P$151,$AB1298)&amp;"",IF($Z1298="A",INDEX(Fixed_Assets!$K$2:$K$201,$AB1298)&amp;"",IF($Z1298="F",IF(INDEX(FTE_Allocation!$D$2:$D$201,$AB1298)="PROJECT",IFERROR(INDEX(Projects!$D:$D,MATCH(INDEX(FTE_Allocation!$E$2:$E$201,$AB1298),Projects!$A:$A,0))&amp;"","#PROJECT?"),INDEX(FTE_Allocation!$E$2:$E$201,$AB1298)&amp;""),"")))</f>
        <v/>
      </c>
      <c r="F1298" s="7">
        <f>IF($Z1298="C",INDEX(Contracts!$Q$2:$Q$151,$AB1298)&amp;"",IF($Z1298="A",INDEX(Fixed_Assets!$L$2:$L$201,$AB1298)&amp;"",IF($Z1298="F",INDEX(Workforce!$K$2:$K$151,MATCH(INDEX(FTE_Allocation!$A$2:$A$201,$AB1298),Workforce!$A$2:$A$151,0))&amp;"","")))</f>
        <v/>
      </c>
      <c r="G1298" s="7">
        <f>IF($Z1298="C",INDEX(Contracts!$F$2:$F$151,$AB1298)&amp;" / "&amp;INDEX(Contracts!$G$2:$G$151,$AB1298),IF($Z1298="A",INDEX(Fixed_Assets!$E$2:$E$201,$AB1298)&amp;"",IF($Z1298="F","Personnel "&amp;INDEX(FTE_Allocation!$A$2:$A$201,$AB1298)&amp;IF(INDEX(FTE_Allocation!$D$2:$D$201,$AB1298)="PROJECT"," ("&amp;INDEX(FTE_Allocation!$E$2:$E$201,$AB1298)&amp;")",""),"")))</f>
        <v/>
      </c>
      <c r="H1298" s="7">
        <f>IF($Z1298="C","CONTRACT",IF($Z1298="A","ASSET",IF($Z1298="F","WORKFORCE","")))</f>
        <v/>
      </c>
      <c r="I1298" s="7">
        <f>IF($Z1298="C",INDEX(Contracts!$L$2:$L$151,$AB1298)&amp;"",IF($Z1298="A",INDEX(Fixed_Assets!$I$2:$I$201,$AB1298)&amp;"",IF($Z1298="F",INDEX(Workforce!$G$2:$G$151,MATCH(INDEX(FTE_Allocation!$A$2:$A$201,$AB1298),Workforce!$A$2:$A$151,0))&amp;"","")))</f>
        <v/>
      </c>
      <c r="J1298" s="18">
        <f>IF($Z1298="","",IF(AND(DATE($AD1298,1,1)&gt;=$AE1298,DATE($AD1298,1,1)&lt;=$AF1298),ROUND($AG1298,2),0))</f>
        <v/>
      </c>
      <c r="K1298" s="18">
        <f>IF($Z1298="","",IF(AND(DATE($AD1298,2,1)&gt;=$AE1298,DATE($AD1298,2,1)&lt;=$AF1298),ROUND($AG1298,2),0))</f>
        <v/>
      </c>
      <c r="L1298" s="18">
        <f>IF($Z1298="","",IF(AND(DATE($AD1298,3,1)&gt;=$AE1298,DATE($AD1298,3,1)&lt;=$AF1298),ROUND($AG1298,2),0))</f>
        <v/>
      </c>
      <c r="M1298" s="18">
        <f>IF($Z1298="","",IF(AND(DATE($AD1298,4,1)&gt;=$AE1298,DATE($AD1298,4,1)&lt;=$AF1298),ROUND($AG1298,2),0))</f>
        <v/>
      </c>
      <c r="N1298" s="18">
        <f>IF($Z1298="","",IF(AND(DATE($AD1298,5,1)&gt;=$AE1298,DATE($AD1298,5,1)&lt;=$AF1298),ROUND($AG1298,2),0))</f>
        <v/>
      </c>
      <c r="O1298" s="18">
        <f>IF($Z1298="","",IF(AND(DATE($AD1298,6,1)&gt;=$AE1298,DATE($AD1298,6,1)&lt;=$AF1298),ROUND($AG1298,2),0))</f>
        <v/>
      </c>
      <c r="P1298" s="18">
        <f>IF($Z1298="","",IF(AND(DATE($AD1298,7,1)&gt;=$AE1298,DATE($AD1298,7,1)&lt;=$AF1298),ROUND($AG1298,2),0))</f>
        <v/>
      </c>
      <c r="Q1298" s="18">
        <f>IF($Z1298="","",IF(AND(DATE($AD1298,8,1)&gt;=$AE1298,DATE($AD1298,8,1)&lt;=$AF1298),ROUND($AG1298,2),0))</f>
        <v/>
      </c>
      <c r="R1298" s="18">
        <f>IF($Z1298="","",IF(AND(DATE($AD1298,9,1)&gt;=$AE1298,DATE($AD1298,9,1)&lt;=$AF1298),ROUND($AG1298,2),0))</f>
        <v/>
      </c>
      <c r="S1298" s="18">
        <f>IF($Z1298="","",IF(AND(DATE($AD1298,10,1)&gt;=$AE1298,DATE($AD1298,10,1)&lt;=$AF1298),ROUND($AG1298,2),0))</f>
        <v/>
      </c>
      <c r="T1298" s="18">
        <f>IF($Z1298="","",IF(AND(DATE($AD1298,11,1)&gt;=$AE1298,DATE($AD1298,11,1)&lt;=$AF1298),ROUND($AG1298,2),0))</f>
        <v/>
      </c>
      <c r="U1298" s="18">
        <f>IF($Z1298="","",IF(AND(DATE($AD1298,12,1)&gt;=$AE1298,DATE($AD1298,12,1)&lt;=$AF1298),ROUND($AG1298,2),0))</f>
        <v/>
      </c>
      <c r="V1298" s="7">
        <f>IF($Z1298="C","Generated from "&amp;INDEX(Contracts!$A$2:$A$151,$AB1298),IF($Z1298="A","Generated from "&amp;INDEX(Fixed_Assets!$A$2:$A$201,$AB1298),IF($Z1298="F","Generated from "&amp;INDEX(FTE_Allocation!$A$2:$A$201,$AB1298),"")))</f>
        <v/>
      </c>
      <c r="X1298" s="19">
        <f>IF($Z1298="","",SUM(J1298:U1298))</f>
        <v/>
      </c>
      <c r="Y1298" s="20">
        <f>ROW()-1</f>
        <v/>
      </c>
      <c r="Z1298" s="20">
        <f>IF($Y1298&lt;=Settings!$B$4*3,"C",IF($Y1298&lt;=(Settings!$B$4+Settings!$B$5)*3,"A",IF($Y1298&lt;=(Settings!$B$4+Settings!$B$5+Settings!$B$6)*3,"F","")))</f>
        <v/>
      </c>
      <c r="AA1298" s="20">
        <f>IF($Z1298="C",$Y1298,IF($Z1298="A",$Y1298-Settings!$B$4*3,IF($Z1298="F",$Y1298-(Settings!$B$4+Settings!$B$5)*3,"")))</f>
        <v/>
      </c>
      <c r="AB1298" s="20">
        <f>IF($Z1298="","",INT(($AA1298-1)/3)+1)</f>
        <v/>
      </c>
      <c r="AC1298" s="20">
        <f>IF($Z1298="","",MOD($AA1298-1,3)+1)</f>
        <v/>
      </c>
      <c r="AD1298" s="20">
        <f>IF($Z1298="","",Settings!$B$2+$AC1298-1)</f>
        <v/>
      </c>
      <c r="AE1298" s="21">
        <f>IF($Z1298="C",DATE(YEAR(INDEX(Contracts!$J$2:$J$151,$AB1298)),MONTH(INDEX(Contracts!$J$2:$J$151,$AB1298)),1),IF($Z1298="A",DATE(YEAR(INDEX(Fixed_Assets!$G$2:$G$201,$AB1298)),MONTH(INDEX(Fixed_Assets!$G$2:$G$201,$AB1298)),1),IF($Z1298="F",DATE(YEAR(MAX(N(INDEX(Workforce!$I$2:$I$151,MATCH(INDEX(FTE_Allocation!$A$2:$A$201,$AB1298),Workforce!$A$2:$A$151,0))),N(INDEX(FTE_Allocation!$I$2:$I$201,$AB1298)))),MONTH(MAX(N(INDEX(Workforce!$I$2:$I$151,MATCH(INDEX(FTE_Allocation!$A$2:$A$201,$AB1298),Workforce!$A$2:$A$151,0))),N(INDEX(FTE_Allocation!$I$2:$I$201,$AB1298)))),1),"")))</f>
        <v/>
      </c>
      <c r="AF1298" s="21">
        <f>IF($Z1298="C",IF(INDEX(Contracts!$I$2:$I$151,$AB1298)="PREPAID",EDATE(DATE(YEAR(INDEX(Contracts!$J$2:$J$151,$AB1298)),MONTH(INDEX(Contracts!$J$2:$J$151,$AB1298)),1),IF(INDEX(Contracts!$N$2:$N$151,$AB1298)="",12,INDEX(Contracts!$N$2:$N$151,$AB1298))-1),IF(INDEX(Contracts!$I$2:$I$151,$AB1298)="MONTHLY",IF(INDEX(Contracts!$K$2:$K$151,$AB1298)="",2958101,INDEX(Contracts!$K$2:$K$151,$AB1298)),0)),IF($Z1298="A",EDATE(DATE(YEAR(INDEX(Fixed_Assets!$G$2:$G$201,$AB1298)),MONTH(INDEX(Fixed_Assets!$G$2:$G$201,$AB1298)),1),INDEX(Fixed_Assets!$J$2:$J$201,$AB1298)-1),IF($Z1298="F",MIN(IF(INDEX(Workforce!$J$2:$J$151,MATCH(INDEX(FTE_Allocation!$A$2:$A$201,$AB1298),Workforce!$A$2:$A$151,0))="",2958101,INDEX(Workforce!$J$2:$J$151,MATCH(INDEX(FTE_Allocation!$A$2:$A$201,$AB1298),Workforce!$A$2:$A$151,0))),IF(INDEX(FTE_Allocation!$J$2:$J$201,$AB1298)="",2958101,INDEX(FTE_Allocation!$J$2:$J$201,$AB1298))),"")))</f>
        <v/>
      </c>
      <c r="AG1298" s="19">
        <f>IF($Z1298="C",IF(INDEX(Contracts!$I$2:$I$151,$AB1298)="PREPAID",INDEX(Contracts!$M$2:$M$151,$AB1298)/IF(INDEX(Contracts!$N$2:$N$151,$AB1298)="",12,INDEX(Contracts!$N$2:$N$151,$AB1298)),IF(INDEX(Contracts!$I$2:$I$151,$AB1298)="MONTHLY",INDEX(Contracts!$M$2:$M$151,$AB1298),0))*(1-N(INDEX(Contracts!$O$2:$O$151,$AB1298))),IF($Z1298="A",INDEX(Fixed_Assets!$H$2:$H$201,$AB1298)/INDEX(Fixed_Assets!$J$2:$J$201,$AB1298),IF($Z1298="F",INDEX(Workforce!$F$2:$F$151,MATCH(INDEX(FTE_Allocation!$A$2:$A$201,$AB1298),Workforce!$A$2:$A$151,0))*N(INDEX(FTE_Allocation!$F$2:$H$201,$AB1298,$AC1298)),"")))</f>
        <v/>
      </c>
    </row>
    <row r="1299">
      <c r="A1299" s="7">
        <f>IF($Z1299="","",$AD1299)</f>
        <v/>
      </c>
      <c r="B1299" s="7">
        <f>IF($Z1299="C",INDEX(Contracts!$D$2:$D$151,$AB1299)&amp;"",IF($Z1299="A",INDEX(Fixed_Assets!$C$2:$C$201,$AB1299)&amp;"",IF($Z1299="F",INDEX(Workforce!$B$2:$B$151,MATCH(INDEX(FTE_Allocation!$A$2:$A$201,$AB1299),Workforce!$A$2:$A$151,0))&amp;"","")))</f>
        <v/>
      </c>
      <c r="C1299" s="7">
        <f>IF($Z1299="C",INDEX(Contracts!$E$2:$E$151,$AB1299)&amp;"",IF($Z1299="A",INDEX(Fixed_Assets!$D$2:$D$201,$AB1299)&amp;"",IF($Z1299="F",INDEX(FTE_Allocation!$C$2:$C$201,$AB1299)&amp;"","")))</f>
        <v/>
      </c>
      <c r="D1299" s="7">
        <f>IF($Z1299="C",INDEX(Contracts!$B$2:$B$151,$AB1299)&amp;"",IF($Z1299="A",INDEX(Fixed_Assets!$B$2:$B$201,$AB1299)&amp;"",IF($Z1299="F",INDEX(FTE_Allocation!$B$2:$B$201,$AB1299)&amp;"","")))</f>
        <v/>
      </c>
      <c r="E1299" s="7">
        <f>IF($Z1299="C",INDEX(Contracts!$P$2:$P$151,$AB1299)&amp;"",IF($Z1299="A",INDEX(Fixed_Assets!$K$2:$K$201,$AB1299)&amp;"",IF($Z1299="F",IF(INDEX(FTE_Allocation!$D$2:$D$201,$AB1299)="PROJECT",IFERROR(INDEX(Projects!$D:$D,MATCH(INDEX(FTE_Allocation!$E$2:$E$201,$AB1299),Projects!$A:$A,0))&amp;"","#PROJECT?"),INDEX(FTE_Allocation!$E$2:$E$201,$AB1299)&amp;""),"")))</f>
        <v/>
      </c>
      <c r="F1299" s="7">
        <f>IF($Z1299="C",INDEX(Contracts!$Q$2:$Q$151,$AB1299)&amp;"",IF($Z1299="A",INDEX(Fixed_Assets!$L$2:$L$201,$AB1299)&amp;"",IF($Z1299="F",INDEX(Workforce!$K$2:$K$151,MATCH(INDEX(FTE_Allocation!$A$2:$A$201,$AB1299),Workforce!$A$2:$A$151,0))&amp;"","")))</f>
        <v/>
      </c>
      <c r="G1299" s="7">
        <f>IF($Z1299="C",INDEX(Contracts!$F$2:$F$151,$AB1299)&amp;" / "&amp;INDEX(Contracts!$G$2:$G$151,$AB1299),IF($Z1299="A",INDEX(Fixed_Assets!$E$2:$E$201,$AB1299)&amp;"",IF($Z1299="F","Personnel "&amp;INDEX(FTE_Allocation!$A$2:$A$201,$AB1299)&amp;IF(INDEX(FTE_Allocation!$D$2:$D$201,$AB1299)="PROJECT"," ("&amp;INDEX(FTE_Allocation!$E$2:$E$201,$AB1299)&amp;")",""),"")))</f>
        <v/>
      </c>
      <c r="H1299" s="7">
        <f>IF($Z1299="C","CONTRACT",IF($Z1299="A","ASSET",IF($Z1299="F","WORKFORCE","")))</f>
        <v/>
      </c>
      <c r="I1299" s="7">
        <f>IF($Z1299="C",INDEX(Contracts!$L$2:$L$151,$AB1299)&amp;"",IF($Z1299="A",INDEX(Fixed_Assets!$I$2:$I$201,$AB1299)&amp;"",IF($Z1299="F",INDEX(Workforce!$G$2:$G$151,MATCH(INDEX(FTE_Allocation!$A$2:$A$201,$AB1299),Workforce!$A$2:$A$151,0))&amp;"","")))</f>
        <v/>
      </c>
      <c r="J1299" s="18">
        <f>IF($Z1299="","",IF(AND(DATE($AD1299,1,1)&gt;=$AE1299,DATE($AD1299,1,1)&lt;=$AF1299),ROUND($AG1299,2),0))</f>
        <v/>
      </c>
      <c r="K1299" s="18">
        <f>IF($Z1299="","",IF(AND(DATE($AD1299,2,1)&gt;=$AE1299,DATE($AD1299,2,1)&lt;=$AF1299),ROUND($AG1299,2),0))</f>
        <v/>
      </c>
      <c r="L1299" s="18">
        <f>IF($Z1299="","",IF(AND(DATE($AD1299,3,1)&gt;=$AE1299,DATE($AD1299,3,1)&lt;=$AF1299),ROUND($AG1299,2),0))</f>
        <v/>
      </c>
      <c r="M1299" s="18">
        <f>IF($Z1299="","",IF(AND(DATE($AD1299,4,1)&gt;=$AE1299,DATE($AD1299,4,1)&lt;=$AF1299),ROUND($AG1299,2),0))</f>
        <v/>
      </c>
      <c r="N1299" s="18">
        <f>IF($Z1299="","",IF(AND(DATE($AD1299,5,1)&gt;=$AE1299,DATE($AD1299,5,1)&lt;=$AF1299),ROUND($AG1299,2),0))</f>
        <v/>
      </c>
      <c r="O1299" s="18">
        <f>IF($Z1299="","",IF(AND(DATE($AD1299,6,1)&gt;=$AE1299,DATE($AD1299,6,1)&lt;=$AF1299),ROUND($AG1299,2),0))</f>
        <v/>
      </c>
      <c r="P1299" s="18">
        <f>IF($Z1299="","",IF(AND(DATE($AD1299,7,1)&gt;=$AE1299,DATE($AD1299,7,1)&lt;=$AF1299),ROUND($AG1299,2),0))</f>
        <v/>
      </c>
      <c r="Q1299" s="18">
        <f>IF($Z1299="","",IF(AND(DATE($AD1299,8,1)&gt;=$AE1299,DATE($AD1299,8,1)&lt;=$AF1299),ROUND($AG1299,2),0))</f>
        <v/>
      </c>
      <c r="R1299" s="18">
        <f>IF($Z1299="","",IF(AND(DATE($AD1299,9,1)&gt;=$AE1299,DATE($AD1299,9,1)&lt;=$AF1299),ROUND($AG1299,2),0))</f>
        <v/>
      </c>
      <c r="S1299" s="18">
        <f>IF($Z1299="","",IF(AND(DATE($AD1299,10,1)&gt;=$AE1299,DATE($AD1299,10,1)&lt;=$AF1299),ROUND($AG1299,2),0))</f>
        <v/>
      </c>
      <c r="T1299" s="18">
        <f>IF($Z1299="","",IF(AND(DATE($AD1299,11,1)&gt;=$AE1299,DATE($AD1299,11,1)&lt;=$AF1299),ROUND($AG1299,2),0))</f>
        <v/>
      </c>
      <c r="U1299" s="18">
        <f>IF($Z1299="","",IF(AND(DATE($AD1299,12,1)&gt;=$AE1299,DATE($AD1299,12,1)&lt;=$AF1299),ROUND($AG1299,2),0))</f>
        <v/>
      </c>
      <c r="V1299" s="7">
        <f>IF($Z1299="C","Generated from "&amp;INDEX(Contracts!$A$2:$A$151,$AB1299),IF($Z1299="A","Generated from "&amp;INDEX(Fixed_Assets!$A$2:$A$201,$AB1299),IF($Z1299="F","Generated from "&amp;INDEX(FTE_Allocation!$A$2:$A$201,$AB1299),"")))</f>
        <v/>
      </c>
      <c r="X1299" s="19">
        <f>IF($Z1299="","",SUM(J1299:U1299))</f>
        <v/>
      </c>
      <c r="Y1299" s="20">
        <f>ROW()-1</f>
        <v/>
      </c>
      <c r="Z1299" s="20">
        <f>IF($Y1299&lt;=Settings!$B$4*3,"C",IF($Y1299&lt;=(Settings!$B$4+Settings!$B$5)*3,"A",IF($Y1299&lt;=(Settings!$B$4+Settings!$B$5+Settings!$B$6)*3,"F","")))</f>
        <v/>
      </c>
      <c r="AA1299" s="20">
        <f>IF($Z1299="C",$Y1299,IF($Z1299="A",$Y1299-Settings!$B$4*3,IF($Z1299="F",$Y1299-(Settings!$B$4+Settings!$B$5)*3,"")))</f>
        <v/>
      </c>
      <c r="AB1299" s="20">
        <f>IF($Z1299="","",INT(($AA1299-1)/3)+1)</f>
        <v/>
      </c>
      <c r="AC1299" s="20">
        <f>IF($Z1299="","",MOD($AA1299-1,3)+1)</f>
        <v/>
      </c>
      <c r="AD1299" s="20">
        <f>IF($Z1299="","",Settings!$B$2+$AC1299-1)</f>
        <v/>
      </c>
      <c r="AE1299" s="21">
        <f>IF($Z1299="C",DATE(YEAR(INDEX(Contracts!$J$2:$J$151,$AB1299)),MONTH(INDEX(Contracts!$J$2:$J$151,$AB1299)),1),IF($Z1299="A",DATE(YEAR(INDEX(Fixed_Assets!$G$2:$G$201,$AB1299)),MONTH(INDEX(Fixed_Assets!$G$2:$G$201,$AB1299)),1),IF($Z1299="F",DATE(YEAR(MAX(N(INDEX(Workforce!$I$2:$I$151,MATCH(INDEX(FTE_Allocation!$A$2:$A$201,$AB1299),Workforce!$A$2:$A$151,0))),N(INDEX(FTE_Allocation!$I$2:$I$201,$AB1299)))),MONTH(MAX(N(INDEX(Workforce!$I$2:$I$151,MATCH(INDEX(FTE_Allocation!$A$2:$A$201,$AB1299),Workforce!$A$2:$A$151,0))),N(INDEX(FTE_Allocation!$I$2:$I$201,$AB1299)))),1),"")))</f>
        <v/>
      </c>
      <c r="AF1299" s="21">
        <f>IF($Z1299="C",IF(INDEX(Contracts!$I$2:$I$151,$AB1299)="PREPAID",EDATE(DATE(YEAR(INDEX(Contracts!$J$2:$J$151,$AB1299)),MONTH(INDEX(Contracts!$J$2:$J$151,$AB1299)),1),IF(INDEX(Contracts!$N$2:$N$151,$AB1299)="",12,INDEX(Contracts!$N$2:$N$151,$AB1299))-1),IF(INDEX(Contracts!$I$2:$I$151,$AB1299)="MONTHLY",IF(INDEX(Contracts!$K$2:$K$151,$AB1299)="",2958101,INDEX(Contracts!$K$2:$K$151,$AB1299)),0)),IF($Z1299="A",EDATE(DATE(YEAR(INDEX(Fixed_Assets!$G$2:$G$201,$AB1299)),MONTH(INDEX(Fixed_Assets!$G$2:$G$201,$AB1299)),1),INDEX(Fixed_Assets!$J$2:$J$201,$AB1299)-1),IF($Z1299="F",MIN(IF(INDEX(Workforce!$J$2:$J$151,MATCH(INDEX(FTE_Allocation!$A$2:$A$201,$AB1299),Workforce!$A$2:$A$151,0))="",2958101,INDEX(Workforce!$J$2:$J$151,MATCH(INDEX(FTE_Allocation!$A$2:$A$201,$AB1299),Workforce!$A$2:$A$151,0))),IF(INDEX(FTE_Allocation!$J$2:$J$201,$AB1299)="",2958101,INDEX(FTE_Allocation!$J$2:$J$201,$AB1299))),"")))</f>
        <v/>
      </c>
      <c r="AG1299" s="19">
        <f>IF($Z1299="C",IF(INDEX(Contracts!$I$2:$I$151,$AB1299)="PREPAID",INDEX(Contracts!$M$2:$M$151,$AB1299)/IF(INDEX(Contracts!$N$2:$N$151,$AB1299)="",12,INDEX(Contracts!$N$2:$N$151,$AB1299)),IF(INDEX(Contracts!$I$2:$I$151,$AB1299)="MONTHLY",INDEX(Contracts!$M$2:$M$151,$AB1299),0))*(1-N(INDEX(Contracts!$O$2:$O$151,$AB1299))),IF($Z1299="A",INDEX(Fixed_Assets!$H$2:$H$201,$AB1299)/INDEX(Fixed_Assets!$J$2:$J$201,$AB1299),IF($Z1299="F",INDEX(Workforce!$F$2:$F$151,MATCH(INDEX(FTE_Allocation!$A$2:$A$201,$AB1299),Workforce!$A$2:$A$151,0))*N(INDEX(FTE_Allocation!$F$2:$H$201,$AB1299,$AC1299)),"")))</f>
        <v/>
      </c>
    </row>
    <row r="1300">
      <c r="A1300" s="7">
        <f>IF($Z1300="","",$AD1300)</f>
        <v/>
      </c>
      <c r="B1300" s="7">
        <f>IF($Z1300="C",INDEX(Contracts!$D$2:$D$151,$AB1300)&amp;"",IF($Z1300="A",INDEX(Fixed_Assets!$C$2:$C$201,$AB1300)&amp;"",IF($Z1300="F",INDEX(Workforce!$B$2:$B$151,MATCH(INDEX(FTE_Allocation!$A$2:$A$201,$AB1300),Workforce!$A$2:$A$151,0))&amp;"","")))</f>
        <v/>
      </c>
      <c r="C1300" s="7">
        <f>IF($Z1300="C",INDEX(Contracts!$E$2:$E$151,$AB1300)&amp;"",IF($Z1300="A",INDEX(Fixed_Assets!$D$2:$D$201,$AB1300)&amp;"",IF($Z1300="F",INDEX(FTE_Allocation!$C$2:$C$201,$AB1300)&amp;"","")))</f>
        <v/>
      </c>
      <c r="D1300" s="7">
        <f>IF($Z1300="C",INDEX(Contracts!$B$2:$B$151,$AB1300)&amp;"",IF($Z1300="A",INDEX(Fixed_Assets!$B$2:$B$201,$AB1300)&amp;"",IF($Z1300="F",INDEX(FTE_Allocation!$B$2:$B$201,$AB1300)&amp;"","")))</f>
        <v/>
      </c>
      <c r="E1300" s="7">
        <f>IF($Z1300="C",INDEX(Contracts!$P$2:$P$151,$AB1300)&amp;"",IF($Z1300="A",INDEX(Fixed_Assets!$K$2:$K$201,$AB1300)&amp;"",IF($Z1300="F",IF(INDEX(FTE_Allocation!$D$2:$D$201,$AB1300)="PROJECT",IFERROR(INDEX(Projects!$D:$D,MATCH(INDEX(FTE_Allocation!$E$2:$E$201,$AB1300),Projects!$A:$A,0))&amp;"","#PROJECT?"),INDEX(FTE_Allocation!$E$2:$E$201,$AB1300)&amp;""),"")))</f>
        <v/>
      </c>
      <c r="F1300" s="7">
        <f>IF($Z1300="C",INDEX(Contracts!$Q$2:$Q$151,$AB1300)&amp;"",IF($Z1300="A",INDEX(Fixed_Assets!$L$2:$L$201,$AB1300)&amp;"",IF($Z1300="F",INDEX(Workforce!$K$2:$K$151,MATCH(INDEX(FTE_Allocation!$A$2:$A$201,$AB1300),Workforce!$A$2:$A$151,0))&amp;"","")))</f>
        <v/>
      </c>
      <c r="G1300" s="7">
        <f>IF($Z1300="C",INDEX(Contracts!$F$2:$F$151,$AB1300)&amp;" / "&amp;INDEX(Contracts!$G$2:$G$151,$AB1300),IF($Z1300="A",INDEX(Fixed_Assets!$E$2:$E$201,$AB1300)&amp;"",IF($Z1300="F","Personnel "&amp;INDEX(FTE_Allocation!$A$2:$A$201,$AB1300)&amp;IF(INDEX(FTE_Allocation!$D$2:$D$201,$AB1300)="PROJECT"," ("&amp;INDEX(FTE_Allocation!$E$2:$E$201,$AB1300)&amp;")",""),"")))</f>
        <v/>
      </c>
      <c r="H1300" s="7">
        <f>IF($Z1300="C","CONTRACT",IF($Z1300="A","ASSET",IF($Z1300="F","WORKFORCE","")))</f>
        <v/>
      </c>
      <c r="I1300" s="7">
        <f>IF($Z1300="C",INDEX(Contracts!$L$2:$L$151,$AB1300)&amp;"",IF($Z1300="A",INDEX(Fixed_Assets!$I$2:$I$201,$AB1300)&amp;"",IF($Z1300="F",INDEX(Workforce!$G$2:$G$151,MATCH(INDEX(FTE_Allocation!$A$2:$A$201,$AB1300),Workforce!$A$2:$A$151,0))&amp;"","")))</f>
        <v/>
      </c>
      <c r="J1300" s="18">
        <f>IF($Z1300="","",IF(AND(DATE($AD1300,1,1)&gt;=$AE1300,DATE($AD1300,1,1)&lt;=$AF1300),ROUND($AG1300,2),0))</f>
        <v/>
      </c>
      <c r="K1300" s="18">
        <f>IF($Z1300="","",IF(AND(DATE($AD1300,2,1)&gt;=$AE1300,DATE($AD1300,2,1)&lt;=$AF1300),ROUND($AG1300,2),0))</f>
        <v/>
      </c>
      <c r="L1300" s="18">
        <f>IF($Z1300="","",IF(AND(DATE($AD1300,3,1)&gt;=$AE1300,DATE($AD1300,3,1)&lt;=$AF1300),ROUND($AG1300,2),0))</f>
        <v/>
      </c>
      <c r="M1300" s="18">
        <f>IF($Z1300="","",IF(AND(DATE($AD1300,4,1)&gt;=$AE1300,DATE($AD1300,4,1)&lt;=$AF1300),ROUND($AG1300,2),0))</f>
        <v/>
      </c>
      <c r="N1300" s="18">
        <f>IF($Z1300="","",IF(AND(DATE($AD1300,5,1)&gt;=$AE1300,DATE($AD1300,5,1)&lt;=$AF1300),ROUND($AG1300,2),0))</f>
        <v/>
      </c>
      <c r="O1300" s="18">
        <f>IF($Z1300="","",IF(AND(DATE($AD1300,6,1)&gt;=$AE1300,DATE($AD1300,6,1)&lt;=$AF1300),ROUND($AG1300,2),0))</f>
        <v/>
      </c>
      <c r="P1300" s="18">
        <f>IF($Z1300="","",IF(AND(DATE($AD1300,7,1)&gt;=$AE1300,DATE($AD1300,7,1)&lt;=$AF1300),ROUND($AG1300,2),0))</f>
        <v/>
      </c>
      <c r="Q1300" s="18">
        <f>IF($Z1300="","",IF(AND(DATE($AD1300,8,1)&gt;=$AE1300,DATE($AD1300,8,1)&lt;=$AF1300),ROUND($AG1300,2),0))</f>
        <v/>
      </c>
      <c r="R1300" s="18">
        <f>IF($Z1300="","",IF(AND(DATE($AD1300,9,1)&gt;=$AE1300,DATE($AD1300,9,1)&lt;=$AF1300),ROUND($AG1300,2),0))</f>
        <v/>
      </c>
      <c r="S1300" s="18">
        <f>IF($Z1300="","",IF(AND(DATE($AD1300,10,1)&gt;=$AE1300,DATE($AD1300,10,1)&lt;=$AF1300),ROUND($AG1300,2),0))</f>
        <v/>
      </c>
      <c r="T1300" s="18">
        <f>IF($Z1300="","",IF(AND(DATE($AD1300,11,1)&gt;=$AE1300,DATE($AD1300,11,1)&lt;=$AF1300),ROUND($AG1300,2),0))</f>
        <v/>
      </c>
      <c r="U1300" s="18">
        <f>IF($Z1300="","",IF(AND(DATE($AD1300,12,1)&gt;=$AE1300,DATE($AD1300,12,1)&lt;=$AF1300),ROUND($AG1300,2),0))</f>
        <v/>
      </c>
      <c r="V1300" s="7">
        <f>IF($Z1300="C","Generated from "&amp;INDEX(Contracts!$A$2:$A$151,$AB1300),IF($Z1300="A","Generated from "&amp;INDEX(Fixed_Assets!$A$2:$A$201,$AB1300),IF($Z1300="F","Generated from "&amp;INDEX(FTE_Allocation!$A$2:$A$201,$AB1300),"")))</f>
        <v/>
      </c>
      <c r="X1300" s="19">
        <f>IF($Z1300="","",SUM(J1300:U1300))</f>
        <v/>
      </c>
      <c r="Y1300" s="20">
        <f>ROW()-1</f>
        <v/>
      </c>
      <c r="Z1300" s="20">
        <f>IF($Y1300&lt;=Settings!$B$4*3,"C",IF($Y1300&lt;=(Settings!$B$4+Settings!$B$5)*3,"A",IF($Y1300&lt;=(Settings!$B$4+Settings!$B$5+Settings!$B$6)*3,"F","")))</f>
        <v/>
      </c>
      <c r="AA1300" s="20">
        <f>IF($Z1300="C",$Y1300,IF($Z1300="A",$Y1300-Settings!$B$4*3,IF($Z1300="F",$Y1300-(Settings!$B$4+Settings!$B$5)*3,"")))</f>
        <v/>
      </c>
      <c r="AB1300" s="20">
        <f>IF($Z1300="","",INT(($AA1300-1)/3)+1)</f>
        <v/>
      </c>
      <c r="AC1300" s="20">
        <f>IF($Z1300="","",MOD($AA1300-1,3)+1)</f>
        <v/>
      </c>
      <c r="AD1300" s="20">
        <f>IF($Z1300="","",Settings!$B$2+$AC1300-1)</f>
        <v/>
      </c>
      <c r="AE1300" s="21">
        <f>IF($Z1300="C",DATE(YEAR(INDEX(Contracts!$J$2:$J$151,$AB1300)),MONTH(INDEX(Contracts!$J$2:$J$151,$AB1300)),1),IF($Z1300="A",DATE(YEAR(INDEX(Fixed_Assets!$G$2:$G$201,$AB1300)),MONTH(INDEX(Fixed_Assets!$G$2:$G$201,$AB1300)),1),IF($Z1300="F",DATE(YEAR(MAX(N(INDEX(Workforce!$I$2:$I$151,MATCH(INDEX(FTE_Allocation!$A$2:$A$201,$AB1300),Workforce!$A$2:$A$151,0))),N(INDEX(FTE_Allocation!$I$2:$I$201,$AB1300)))),MONTH(MAX(N(INDEX(Workforce!$I$2:$I$151,MATCH(INDEX(FTE_Allocation!$A$2:$A$201,$AB1300),Workforce!$A$2:$A$151,0))),N(INDEX(FTE_Allocation!$I$2:$I$201,$AB1300)))),1),"")))</f>
        <v/>
      </c>
      <c r="AF1300" s="21">
        <f>IF($Z1300="C",IF(INDEX(Contracts!$I$2:$I$151,$AB1300)="PREPAID",EDATE(DATE(YEAR(INDEX(Contracts!$J$2:$J$151,$AB1300)),MONTH(INDEX(Contracts!$J$2:$J$151,$AB1300)),1),IF(INDEX(Contracts!$N$2:$N$151,$AB1300)="",12,INDEX(Contracts!$N$2:$N$151,$AB1300))-1),IF(INDEX(Contracts!$I$2:$I$151,$AB1300)="MONTHLY",IF(INDEX(Contracts!$K$2:$K$151,$AB1300)="",2958101,INDEX(Contracts!$K$2:$K$151,$AB1300)),0)),IF($Z1300="A",EDATE(DATE(YEAR(INDEX(Fixed_Assets!$G$2:$G$201,$AB1300)),MONTH(INDEX(Fixed_Assets!$G$2:$G$201,$AB1300)),1),INDEX(Fixed_Assets!$J$2:$J$201,$AB1300)-1),IF($Z1300="F",MIN(IF(INDEX(Workforce!$J$2:$J$151,MATCH(INDEX(FTE_Allocation!$A$2:$A$201,$AB1300),Workforce!$A$2:$A$151,0))="",2958101,INDEX(Workforce!$J$2:$J$151,MATCH(INDEX(FTE_Allocation!$A$2:$A$201,$AB1300),Workforce!$A$2:$A$151,0))),IF(INDEX(FTE_Allocation!$J$2:$J$201,$AB1300)="",2958101,INDEX(FTE_Allocation!$J$2:$J$201,$AB1300))),"")))</f>
        <v/>
      </c>
      <c r="AG1300" s="19">
        <f>IF($Z1300="C",IF(INDEX(Contracts!$I$2:$I$151,$AB1300)="PREPAID",INDEX(Contracts!$M$2:$M$151,$AB1300)/IF(INDEX(Contracts!$N$2:$N$151,$AB1300)="",12,INDEX(Contracts!$N$2:$N$151,$AB1300)),IF(INDEX(Contracts!$I$2:$I$151,$AB1300)="MONTHLY",INDEX(Contracts!$M$2:$M$151,$AB1300),0))*(1-N(INDEX(Contracts!$O$2:$O$151,$AB1300))),IF($Z1300="A",INDEX(Fixed_Assets!$H$2:$H$201,$AB1300)/INDEX(Fixed_Assets!$J$2:$J$201,$AB1300),IF($Z1300="F",INDEX(Workforce!$F$2:$F$151,MATCH(INDEX(FTE_Allocation!$A$2:$A$201,$AB1300),Workforce!$A$2:$A$151,0))*N(INDEX(FTE_Allocation!$F$2:$H$201,$AB1300,$AC1300)),"")))</f>
        <v/>
      </c>
    </row>
    <row r="1301">
      <c r="A1301" s="7">
        <f>IF($Z1301="","",$AD1301)</f>
        <v/>
      </c>
      <c r="B1301" s="7">
        <f>IF($Z1301="C",INDEX(Contracts!$D$2:$D$151,$AB1301)&amp;"",IF($Z1301="A",INDEX(Fixed_Assets!$C$2:$C$201,$AB1301)&amp;"",IF($Z1301="F",INDEX(Workforce!$B$2:$B$151,MATCH(INDEX(FTE_Allocation!$A$2:$A$201,$AB1301),Workforce!$A$2:$A$151,0))&amp;"","")))</f>
        <v/>
      </c>
      <c r="C1301" s="7">
        <f>IF($Z1301="C",INDEX(Contracts!$E$2:$E$151,$AB1301)&amp;"",IF($Z1301="A",INDEX(Fixed_Assets!$D$2:$D$201,$AB1301)&amp;"",IF($Z1301="F",INDEX(FTE_Allocation!$C$2:$C$201,$AB1301)&amp;"","")))</f>
        <v/>
      </c>
      <c r="D1301" s="7">
        <f>IF($Z1301="C",INDEX(Contracts!$B$2:$B$151,$AB1301)&amp;"",IF($Z1301="A",INDEX(Fixed_Assets!$B$2:$B$201,$AB1301)&amp;"",IF($Z1301="F",INDEX(FTE_Allocation!$B$2:$B$201,$AB1301)&amp;"","")))</f>
        <v/>
      </c>
      <c r="E1301" s="7">
        <f>IF($Z1301="C",INDEX(Contracts!$P$2:$P$151,$AB1301)&amp;"",IF($Z1301="A",INDEX(Fixed_Assets!$K$2:$K$201,$AB1301)&amp;"",IF($Z1301="F",IF(INDEX(FTE_Allocation!$D$2:$D$201,$AB1301)="PROJECT",IFERROR(INDEX(Projects!$D:$D,MATCH(INDEX(FTE_Allocation!$E$2:$E$201,$AB1301),Projects!$A:$A,0))&amp;"","#PROJECT?"),INDEX(FTE_Allocation!$E$2:$E$201,$AB1301)&amp;""),"")))</f>
        <v/>
      </c>
      <c r="F1301" s="7">
        <f>IF($Z1301="C",INDEX(Contracts!$Q$2:$Q$151,$AB1301)&amp;"",IF($Z1301="A",INDEX(Fixed_Assets!$L$2:$L$201,$AB1301)&amp;"",IF($Z1301="F",INDEX(Workforce!$K$2:$K$151,MATCH(INDEX(FTE_Allocation!$A$2:$A$201,$AB1301),Workforce!$A$2:$A$151,0))&amp;"","")))</f>
        <v/>
      </c>
      <c r="G1301" s="7">
        <f>IF($Z1301="C",INDEX(Contracts!$F$2:$F$151,$AB1301)&amp;" / "&amp;INDEX(Contracts!$G$2:$G$151,$AB1301),IF($Z1301="A",INDEX(Fixed_Assets!$E$2:$E$201,$AB1301)&amp;"",IF($Z1301="F","Personnel "&amp;INDEX(FTE_Allocation!$A$2:$A$201,$AB1301)&amp;IF(INDEX(FTE_Allocation!$D$2:$D$201,$AB1301)="PROJECT"," ("&amp;INDEX(FTE_Allocation!$E$2:$E$201,$AB1301)&amp;")",""),"")))</f>
        <v/>
      </c>
      <c r="H1301" s="7">
        <f>IF($Z1301="C","CONTRACT",IF($Z1301="A","ASSET",IF($Z1301="F","WORKFORCE","")))</f>
        <v/>
      </c>
      <c r="I1301" s="7">
        <f>IF($Z1301="C",INDEX(Contracts!$L$2:$L$151,$AB1301)&amp;"",IF($Z1301="A",INDEX(Fixed_Assets!$I$2:$I$201,$AB1301)&amp;"",IF($Z1301="F",INDEX(Workforce!$G$2:$G$151,MATCH(INDEX(FTE_Allocation!$A$2:$A$201,$AB1301),Workforce!$A$2:$A$151,0))&amp;"","")))</f>
        <v/>
      </c>
      <c r="J1301" s="18">
        <f>IF($Z1301="","",IF(AND(DATE($AD1301,1,1)&gt;=$AE1301,DATE($AD1301,1,1)&lt;=$AF1301),ROUND($AG1301,2),0))</f>
        <v/>
      </c>
      <c r="K1301" s="18">
        <f>IF($Z1301="","",IF(AND(DATE($AD1301,2,1)&gt;=$AE1301,DATE($AD1301,2,1)&lt;=$AF1301),ROUND($AG1301,2),0))</f>
        <v/>
      </c>
      <c r="L1301" s="18">
        <f>IF($Z1301="","",IF(AND(DATE($AD1301,3,1)&gt;=$AE1301,DATE($AD1301,3,1)&lt;=$AF1301),ROUND($AG1301,2),0))</f>
        <v/>
      </c>
      <c r="M1301" s="18">
        <f>IF($Z1301="","",IF(AND(DATE($AD1301,4,1)&gt;=$AE1301,DATE($AD1301,4,1)&lt;=$AF1301),ROUND($AG1301,2),0))</f>
        <v/>
      </c>
      <c r="N1301" s="18">
        <f>IF($Z1301="","",IF(AND(DATE($AD1301,5,1)&gt;=$AE1301,DATE($AD1301,5,1)&lt;=$AF1301),ROUND($AG1301,2),0))</f>
        <v/>
      </c>
      <c r="O1301" s="18">
        <f>IF($Z1301="","",IF(AND(DATE($AD1301,6,1)&gt;=$AE1301,DATE($AD1301,6,1)&lt;=$AF1301),ROUND($AG1301,2),0))</f>
        <v/>
      </c>
      <c r="P1301" s="18">
        <f>IF($Z1301="","",IF(AND(DATE($AD1301,7,1)&gt;=$AE1301,DATE($AD1301,7,1)&lt;=$AF1301),ROUND($AG1301,2),0))</f>
        <v/>
      </c>
      <c r="Q1301" s="18">
        <f>IF($Z1301="","",IF(AND(DATE($AD1301,8,1)&gt;=$AE1301,DATE($AD1301,8,1)&lt;=$AF1301),ROUND($AG1301,2),0))</f>
        <v/>
      </c>
      <c r="R1301" s="18">
        <f>IF($Z1301="","",IF(AND(DATE($AD1301,9,1)&gt;=$AE1301,DATE($AD1301,9,1)&lt;=$AF1301),ROUND($AG1301,2),0))</f>
        <v/>
      </c>
      <c r="S1301" s="18">
        <f>IF($Z1301="","",IF(AND(DATE($AD1301,10,1)&gt;=$AE1301,DATE($AD1301,10,1)&lt;=$AF1301),ROUND($AG1301,2),0))</f>
        <v/>
      </c>
      <c r="T1301" s="18">
        <f>IF($Z1301="","",IF(AND(DATE($AD1301,11,1)&gt;=$AE1301,DATE($AD1301,11,1)&lt;=$AF1301),ROUND($AG1301,2),0))</f>
        <v/>
      </c>
      <c r="U1301" s="18">
        <f>IF($Z1301="","",IF(AND(DATE($AD1301,12,1)&gt;=$AE1301,DATE($AD1301,12,1)&lt;=$AF1301),ROUND($AG1301,2),0))</f>
        <v/>
      </c>
      <c r="V1301" s="7">
        <f>IF($Z1301="C","Generated from "&amp;INDEX(Contracts!$A$2:$A$151,$AB1301),IF($Z1301="A","Generated from "&amp;INDEX(Fixed_Assets!$A$2:$A$201,$AB1301),IF($Z1301="F","Generated from "&amp;INDEX(FTE_Allocation!$A$2:$A$201,$AB1301),"")))</f>
        <v/>
      </c>
      <c r="X1301" s="19">
        <f>IF($Z1301="","",SUM(J1301:U1301))</f>
        <v/>
      </c>
      <c r="Y1301" s="20">
        <f>ROW()-1</f>
        <v/>
      </c>
      <c r="Z1301" s="20">
        <f>IF($Y1301&lt;=Settings!$B$4*3,"C",IF($Y1301&lt;=(Settings!$B$4+Settings!$B$5)*3,"A",IF($Y1301&lt;=(Settings!$B$4+Settings!$B$5+Settings!$B$6)*3,"F","")))</f>
        <v/>
      </c>
      <c r="AA1301" s="20">
        <f>IF($Z1301="C",$Y1301,IF($Z1301="A",$Y1301-Settings!$B$4*3,IF($Z1301="F",$Y1301-(Settings!$B$4+Settings!$B$5)*3,"")))</f>
        <v/>
      </c>
      <c r="AB1301" s="20">
        <f>IF($Z1301="","",INT(($AA1301-1)/3)+1)</f>
        <v/>
      </c>
      <c r="AC1301" s="20">
        <f>IF($Z1301="","",MOD($AA1301-1,3)+1)</f>
        <v/>
      </c>
      <c r="AD1301" s="20">
        <f>IF($Z1301="","",Settings!$B$2+$AC1301-1)</f>
        <v/>
      </c>
      <c r="AE1301" s="21">
        <f>IF($Z1301="C",DATE(YEAR(INDEX(Contracts!$J$2:$J$151,$AB1301)),MONTH(INDEX(Contracts!$J$2:$J$151,$AB1301)),1),IF($Z1301="A",DATE(YEAR(INDEX(Fixed_Assets!$G$2:$G$201,$AB1301)),MONTH(INDEX(Fixed_Assets!$G$2:$G$201,$AB1301)),1),IF($Z1301="F",DATE(YEAR(MAX(N(INDEX(Workforce!$I$2:$I$151,MATCH(INDEX(FTE_Allocation!$A$2:$A$201,$AB1301),Workforce!$A$2:$A$151,0))),N(INDEX(FTE_Allocation!$I$2:$I$201,$AB1301)))),MONTH(MAX(N(INDEX(Workforce!$I$2:$I$151,MATCH(INDEX(FTE_Allocation!$A$2:$A$201,$AB1301),Workforce!$A$2:$A$151,0))),N(INDEX(FTE_Allocation!$I$2:$I$201,$AB1301)))),1),"")))</f>
        <v/>
      </c>
      <c r="AF1301" s="21">
        <f>IF($Z1301="C",IF(INDEX(Contracts!$I$2:$I$151,$AB1301)="PREPAID",EDATE(DATE(YEAR(INDEX(Contracts!$J$2:$J$151,$AB1301)),MONTH(INDEX(Contracts!$J$2:$J$151,$AB1301)),1),IF(INDEX(Contracts!$N$2:$N$151,$AB1301)="",12,INDEX(Contracts!$N$2:$N$151,$AB1301))-1),IF(INDEX(Contracts!$I$2:$I$151,$AB1301)="MONTHLY",IF(INDEX(Contracts!$K$2:$K$151,$AB1301)="",2958101,INDEX(Contracts!$K$2:$K$151,$AB1301)),0)),IF($Z1301="A",EDATE(DATE(YEAR(INDEX(Fixed_Assets!$G$2:$G$201,$AB1301)),MONTH(INDEX(Fixed_Assets!$G$2:$G$201,$AB1301)),1),INDEX(Fixed_Assets!$J$2:$J$201,$AB1301)-1),IF($Z1301="F",MIN(IF(INDEX(Workforce!$J$2:$J$151,MATCH(INDEX(FTE_Allocation!$A$2:$A$201,$AB1301),Workforce!$A$2:$A$151,0))="",2958101,INDEX(Workforce!$J$2:$J$151,MATCH(INDEX(FTE_Allocation!$A$2:$A$201,$AB1301),Workforce!$A$2:$A$151,0))),IF(INDEX(FTE_Allocation!$J$2:$J$201,$AB1301)="",2958101,INDEX(FTE_Allocation!$J$2:$J$201,$AB1301))),"")))</f>
        <v/>
      </c>
      <c r="AG1301" s="19">
        <f>IF($Z1301="C",IF(INDEX(Contracts!$I$2:$I$151,$AB1301)="PREPAID",INDEX(Contracts!$M$2:$M$151,$AB1301)/IF(INDEX(Contracts!$N$2:$N$151,$AB1301)="",12,INDEX(Contracts!$N$2:$N$151,$AB1301)),IF(INDEX(Contracts!$I$2:$I$151,$AB1301)="MONTHLY",INDEX(Contracts!$M$2:$M$151,$AB1301),0))*(1-N(INDEX(Contracts!$O$2:$O$151,$AB1301))),IF($Z1301="A",INDEX(Fixed_Assets!$H$2:$H$201,$AB1301)/INDEX(Fixed_Assets!$J$2:$J$201,$AB1301),IF($Z1301="F",INDEX(Workforce!$F$2:$F$151,MATCH(INDEX(FTE_Allocation!$A$2:$A$201,$AB1301),Workforce!$A$2:$A$151,0))*N(INDEX(FTE_Allocation!$F$2:$H$201,$AB1301,$AC1301)),"")))</f>
        <v/>
      </c>
    </row>
    <row r="1302">
      <c r="A1302" s="7">
        <f>IF($Z1302="","",$AD1302)</f>
        <v/>
      </c>
      <c r="B1302" s="7">
        <f>IF($Z1302="C",INDEX(Contracts!$D$2:$D$151,$AB1302)&amp;"",IF($Z1302="A",INDEX(Fixed_Assets!$C$2:$C$201,$AB1302)&amp;"",IF($Z1302="F",INDEX(Workforce!$B$2:$B$151,MATCH(INDEX(FTE_Allocation!$A$2:$A$201,$AB1302),Workforce!$A$2:$A$151,0))&amp;"","")))</f>
        <v/>
      </c>
      <c r="C1302" s="7">
        <f>IF($Z1302="C",INDEX(Contracts!$E$2:$E$151,$AB1302)&amp;"",IF($Z1302="A",INDEX(Fixed_Assets!$D$2:$D$201,$AB1302)&amp;"",IF($Z1302="F",INDEX(FTE_Allocation!$C$2:$C$201,$AB1302)&amp;"","")))</f>
        <v/>
      </c>
      <c r="D1302" s="7">
        <f>IF($Z1302="C",INDEX(Contracts!$B$2:$B$151,$AB1302)&amp;"",IF($Z1302="A",INDEX(Fixed_Assets!$B$2:$B$201,$AB1302)&amp;"",IF($Z1302="F",INDEX(FTE_Allocation!$B$2:$B$201,$AB1302)&amp;"","")))</f>
        <v/>
      </c>
      <c r="E1302" s="7">
        <f>IF($Z1302="C",INDEX(Contracts!$P$2:$P$151,$AB1302)&amp;"",IF($Z1302="A",INDEX(Fixed_Assets!$K$2:$K$201,$AB1302)&amp;"",IF($Z1302="F",IF(INDEX(FTE_Allocation!$D$2:$D$201,$AB1302)="PROJECT",IFERROR(INDEX(Projects!$D:$D,MATCH(INDEX(FTE_Allocation!$E$2:$E$201,$AB1302),Projects!$A:$A,0))&amp;"","#PROJECT?"),INDEX(FTE_Allocation!$E$2:$E$201,$AB1302)&amp;""),"")))</f>
        <v/>
      </c>
      <c r="F1302" s="7">
        <f>IF($Z1302="C",INDEX(Contracts!$Q$2:$Q$151,$AB1302)&amp;"",IF($Z1302="A",INDEX(Fixed_Assets!$L$2:$L$201,$AB1302)&amp;"",IF($Z1302="F",INDEX(Workforce!$K$2:$K$151,MATCH(INDEX(FTE_Allocation!$A$2:$A$201,$AB1302),Workforce!$A$2:$A$151,0))&amp;"","")))</f>
        <v/>
      </c>
      <c r="G1302" s="7">
        <f>IF($Z1302="C",INDEX(Contracts!$F$2:$F$151,$AB1302)&amp;" / "&amp;INDEX(Contracts!$G$2:$G$151,$AB1302),IF($Z1302="A",INDEX(Fixed_Assets!$E$2:$E$201,$AB1302)&amp;"",IF($Z1302="F","Personnel "&amp;INDEX(FTE_Allocation!$A$2:$A$201,$AB1302)&amp;IF(INDEX(FTE_Allocation!$D$2:$D$201,$AB1302)="PROJECT"," ("&amp;INDEX(FTE_Allocation!$E$2:$E$201,$AB1302)&amp;")",""),"")))</f>
        <v/>
      </c>
      <c r="H1302" s="7">
        <f>IF($Z1302="C","CONTRACT",IF($Z1302="A","ASSET",IF($Z1302="F","WORKFORCE","")))</f>
        <v/>
      </c>
      <c r="I1302" s="7">
        <f>IF($Z1302="C",INDEX(Contracts!$L$2:$L$151,$AB1302)&amp;"",IF($Z1302="A",INDEX(Fixed_Assets!$I$2:$I$201,$AB1302)&amp;"",IF($Z1302="F",INDEX(Workforce!$G$2:$G$151,MATCH(INDEX(FTE_Allocation!$A$2:$A$201,$AB1302),Workforce!$A$2:$A$151,0))&amp;"","")))</f>
        <v/>
      </c>
      <c r="J1302" s="18">
        <f>IF($Z1302="","",IF(AND(DATE($AD1302,1,1)&gt;=$AE1302,DATE($AD1302,1,1)&lt;=$AF1302),ROUND($AG1302,2),0))</f>
        <v/>
      </c>
      <c r="K1302" s="18">
        <f>IF($Z1302="","",IF(AND(DATE($AD1302,2,1)&gt;=$AE1302,DATE($AD1302,2,1)&lt;=$AF1302),ROUND($AG1302,2),0))</f>
        <v/>
      </c>
      <c r="L1302" s="18">
        <f>IF($Z1302="","",IF(AND(DATE($AD1302,3,1)&gt;=$AE1302,DATE($AD1302,3,1)&lt;=$AF1302),ROUND($AG1302,2),0))</f>
        <v/>
      </c>
      <c r="M1302" s="18">
        <f>IF($Z1302="","",IF(AND(DATE($AD1302,4,1)&gt;=$AE1302,DATE($AD1302,4,1)&lt;=$AF1302),ROUND($AG1302,2),0))</f>
        <v/>
      </c>
      <c r="N1302" s="18">
        <f>IF($Z1302="","",IF(AND(DATE($AD1302,5,1)&gt;=$AE1302,DATE($AD1302,5,1)&lt;=$AF1302),ROUND($AG1302,2),0))</f>
        <v/>
      </c>
      <c r="O1302" s="18">
        <f>IF($Z1302="","",IF(AND(DATE($AD1302,6,1)&gt;=$AE1302,DATE($AD1302,6,1)&lt;=$AF1302),ROUND($AG1302,2),0))</f>
        <v/>
      </c>
      <c r="P1302" s="18">
        <f>IF($Z1302="","",IF(AND(DATE($AD1302,7,1)&gt;=$AE1302,DATE($AD1302,7,1)&lt;=$AF1302),ROUND($AG1302,2),0))</f>
        <v/>
      </c>
      <c r="Q1302" s="18">
        <f>IF($Z1302="","",IF(AND(DATE($AD1302,8,1)&gt;=$AE1302,DATE($AD1302,8,1)&lt;=$AF1302),ROUND($AG1302,2),0))</f>
        <v/>
      </c>
      <c r="R1302" s="18">
        <f>IF($Z1302="","",IF(AND(DATE($AD1302,9,1)&gt;=$AE1302,DATE($AD1302,9,1)&lt;=$AF1302),ROUND($AG1302,2),0))</f>
        <v/>
      </c>
      <c r="S1302" s="18">
        <f>IF($Z1302="","",IF(AND(DATE($AD1302,10,1)&gt;=$AE1302,DATE($AD1302,10,1)&lt;=$AF1302),ROUND($AG1302,2),0))</f>
        <v/>
      </c>
      <c r="T1302" s="18">
        <f>IF($Z1302="","",IF(AND(DATE($AD1302,11,1)&gt;=$AE1302,DATE($AD1302,11,1)&lt;=$AF1302),ROUND($AG1302,2),0))</f>
        <v/>
      </c>
      <c r="U1302" s="18">
        <f>IF($Z1302="","",IF(AND(DATE($AD1302,12,1)&gt;=$AE1302,DATE($AD1302,12,1)&lt;=$AF1302),ROUND($AG1302,2),0))</f>
        <v/>
      </c>
      <c r="V1302" s="7">
        <f>IF($Z1302="C","Generated from "&amp;INDEX(Contracts!$A$2:$A$151,$AB1302),IF($Z1302="A","Generated from "&amp;INDEX(Fixed_Assets!$A$2:$A$201,$AB1302),IF($Z1302="F","Generated from "&amp;INDEX(FTE_Allocation!$A$2:$A$201,$AB1302),"")))</f>
        <v/>
      </c>
      <c r="X1302" s="19">
        <f>IF($Z1302="","",SUM(J1302:U1302))</f>
        <v/>
      </c>
      <c r="Y1302" s="20">
        <f>ROW()-1</f>
        <v/>
      </c>
      <c r="Z1302" s="20">
        <f>IF($Y1302&lt;=Settings!$B$4*3,"C",IF($Y1302&lt;=(Settings!$B$4+Settings!$B$5)*3,"A",IF($Y1302&lt;=(Settings!$B$4+Settings!$B$5+Settings!$B$6)*3,"F","")))</f>
        <v/>
      </c>
      <c r="AA1302" s="20">
        <f>IF($Z1302="C",$Y1302,IF($Z1302="A",$Y1302-Settings!$B$4*3,IF($Z1302="F",$Y1302-(Settings!$B$4+Settings!$B$5)*3,"")))</f>
        <v/>
      </c>
      <c r="AB1302" s="20">
        <f>IF($Z1302="","",INT(($AA1302-1)/3)+1)</f>
        <v/>
      </c>
      <c r="AC1302" s="20">
        <f>IF($Z1302="","",MOD($AA1302-1,3)+1)</f>
        <v/>
      </c>
      <c r="AD1302" s="20">
        <f>IF($Z1302="","",Settings!$B$2+$AC1302-1)</f>
        <v/>
      </c>
      <c r="AE1302" s="21">
        <f>IF($Z1302="C",DATE(YEAR(INDEX(Contracts!$J$2:$J$151,$AB1302)),MONTH(INDEX(Contracts!$J$2:$J$151,$AB1302)),1),IF($Z1302="A",DATE(YEAR(INDEX(Fixed_Assets!$G$2:$G$201,$AB1302)),MONTH(INDEX(Fixed_Assets!$G$2:$G$201,$AB1302)),1),IF($Z1302="F",DATE(YEAR(MAX(N(INDEX(Workforce!$I$2:$I$151,MATCH(INDEX(FTE_Allocation!$A$2:$A$201,$AB1302),Workforce!$A$2:$A$151,0))),N(INDEX(FTE_Allocation!$I$2:$I$201,$AB1302)))),MONTH(MAX(N(INDEX(Workforce!$I$2:$I$151,MATCH(INDEX(FTE_Allocation!$A$2:$A$201,$AB1302),Workforce!$A$2:$A$151,0))),N(INDEX(FTE_Allocation!$I$2:$I$201,$AB1302)))),1),"")))</f>
        <v/>
      </c>
      <c r="AF1302" s="21">
        <f>IF($Z1302="C",IF(INDEX(Contracts!$I$2:$I$151,$AB1302)="PREPAID",EDATE(DATE(YEAR(INDEX(Contracts!$J$2:$J$151,$AB1302)),MONTH(INDEX(Contracts!$J$2:$J$151,$AB1302)),1),IF(INDEX(Contracts!$N$2:$N$151,$AB1302)="",12,INDEX(Contracts!$N$2:$N$151,$AB1302))-1),IF(INDEX(Contracts!$I$2:$I$151,$AB1302)="MONTHLY",IF(INDEX(Contracts!$K$2:$K$151,$AB1302)="",2958101,INDEX(Contracts!$K$2:$K$151,$AB1302)),0)),IF($Z1302="A",EDATE(DATE(YEAR(INDEX(Fixed_Assets!$G$2:$G$201,$AB1302)),MONTH(INDEX(Fixed_Assets!$G$2:$G$201,$AB1302)),1),INDEX(Fixed_Assets!$J$2:$J$201,$AB1302)-1),IF($Z1302="F",MIN(IF(INDEX(Workforce!$J$2:$J$151,MATCH(INDEX(FTE_Allocation!$A$2:$A$201,$AB1302),Workforce!$A$2:$A$151,0))="",2958101,INDEX(Workforce!$J$2:$J$151,MATCH(INDEX(FTE_Allocation!$A$2:$A$201,$AB1302),Workforce!$A$2:$A$151,0))),IF(INDEX(FTE_Allocation!$J$2:$J$201,$AB1302)="",2958101,INDEX(FTE_Allocation!$J$2:$J$201,$AB1302))),"")))</f>
        <v/>
      </c>
      <c r="AG1302" s="19">
        <f>IF($Z1302="C",IF(INDEX(Contracts!$I$2:$I$151,$AB1302)="PREPAID",INDEX(Contracts!$M$2:$M$151,$AB1302)/IF(INDEX(Contracts!$N$2:$N$151,$AB1302)="",12,INDEX(Contracts!$N$2:$N$151,$AB1302)),IF(INDEX(Contracts!$I$2:$I$151,$AB1302)="MONTHLY",INDEX(Contracts!$M$2:$M$151,$AB1302),0))*(1-N(INDEX(Contracts!$O$2:$O$151,$AB1302))),IF($Z1302="A",INDEX(Fixed_Assets!$H$2:$H$201,$AB1302)/INDEX(Fixed_Assets!$J$2:$J$201,$AB1302),IF($Z1302="F",INDEX(Workforce!$F$2:$F$151,MATCH(INDEX(FTE_Allocation!$A$2:$A$201,$AB1302),Workforce!$A$2:$A$151,0))*N(INDEX(FTE_Allocation!$F$2:$H$201,$AB1302,$AC1302)),"")))</f>
        <v/>
      </c>
    </row>
    <row r="1303">
      <c r="A1303" s="7">
        <f>IF($Z1303="","",$AD1303)</f>
        <v/>
      </c>
      <c r="B1303" s="7">
        <f>IF($Z1303="C",INDEX(Contracts!$D$2:$D$151,$AB1303)&amp;"",IF($Z1303="A",INDEX(Fixed_Assets!$C$2:$C$201,$AB1303)&amp;"",IF($Z1303="F",INDEX(Workforce!$B$2:$B$151,MATCH(INDEX(FTE_Allocation!$A$2:$A$201,$AB1303),Workforce!$A$2:$A$151,0))&amp;"","")))</f>
        <v/>
      </c>
      <c r="C1303" s="7">
        <f>IF($Z1303="C",INDEX(Contracts!$E$2:$E$151,$AB1303)&amp;"",IF($Z1303="A",INDEX(Fixed_Assets!$D$2:$D$201,$AB1303)&amp;"",IF($Z1303="F",INDEX(FTE_Allocation!$C$2:$C$201,$AB1303)&amp;"","")))</f>
        <v/>
      </c>
      <c r="D1303" s="7">
        <f>IF($Z1303="C",INDEX(Contracts!$B$2:$B$151,$AB1303)&amp;"",IF($Z1303="A",INDEX(Fixed_Assets!$B$2:$B$201,$AB1303)&amp;"",IF($Z1303="F",INDEX(FTE_Allocation!$B$2:$B$201,$AB1303)&amp;"","")))</f>
        <v/>
      </c>
      <c r="E1303" s="7">
        <f>IF($Z1303="C",INDEX(Contracts!$P$2:$P$151,$AB1303)&amp;"",IF($Z1303="A",INDEX(Fixed_Assets!$K$2:$K$201,$AB1303)&amp;"",IF($Z1303="F",IF(INDEX(FTE_Allocation!$D$2:$D$201,$AB1303)="PROJECT",IFERROR(INDEX(Projects!$D:$D,MATCH(INDEX(FTE_Allocation!$E$2:$E$201,$AB1303),Projects!$A:$A,0))&amp;"","#PROJECT?"),INDEX(FTE_Allocation!$E$2:$E$201,$AB1303)&amp;""),"")))</f>
        <v/>
      </c>
      <c r="F1303" s="7">
        <f>IF($Z1303="C",INDEX(Contracts!$Q$2:$Q$151,$AB1303)&amp;"",IF($Z1303="A",INDEX(Fixed_Assets!$L$2:$L$201,$AB1303)&amp;"",IF($Z1303="F",INDEX(Workforce!$K$2:$K$151,MATCH(INDEX(FTE_Allocation!$A$2:$A$201,$AB1303),Workforce!$A$2:$A$151,0))&amp;"","")))</f>
        <v/>
      </c>
      <c r="G1303" s="7">
        <f>IF($Z1303="C",INDEX(Contracts!$F$2:$F$151,$AB1303)&amp;" / "&amp;INDEX(Contracts!$G$2:$G$151,$AB1303),IF($Z1303="A",INDEX(Fixed_Assets!$E$2:$E$201,$AB1303)&amp;"",IF($Z1303="F","Personnel "&amp;INDEX(FTE_Allocation!$A$2:$A$201,$AB1303)&amp;IF(INDEX(FTE_Allocation!$D$2:$D$201,$AB1303)="PROJECT"," ("&amp;INDEX(FTE_Allocation!$E$2:$E$201,$AB1303)&amp;")",""),"")))</f>
        <v/>
      </c>
      <c r="H1303" s="7">
        <f>IF($Z1303="C","CONTRACT",IF($Z1303="A","ASSET",IF($Z1303="F","WORKFORCE","")))</f>
        <v/>
      </c>
      <c r="I1303" s="7">
        <f>IF($Z1303="C",INDEX(Contracts!$L$2:$L$151,$AB1303)&amp;"",IF($Z1303="A",INDEX(Fixed_Assets!$I$2:$I$201,$AB1303)&amp;"",IF($Z1303="F",INDEX(Workforce!$G$2:$G$151,MATCH(INDEX(FTE_Allocation!$A$2:$A$201,$AB1303),Workforce!$A$2:$A$151,0))&amp;"","")))</f>
        <v/>
      </c>
      <c r="J1303" s="18">
        <f>IF($Z1303="","",IF(AND(DATE($AD1303,1,1)&gt;=$AE1303,DATE($AD1303,1,1)&lt;=$AF1303),ROUND($AG1303,2),0))</f>
        <v/>
      </c>
      <c r="K1303" s="18">
        <f>IF($Z1303="","",IF(AND(DATE($AD1303,2,1)&gt;=$AE1303,DATE($AD1303,2,1)&lt;=$AF1303),ROUND($AG1303,2),0))</f>
        <v/>
      </c>
      <c r="L1303" s="18">
        <f>IF($Z1303="","",IF(AND(DATE($AD1303,3,1)&gt;=$AE1303,DATE($AD1303,3,1)&lt;=$AF1303),ROUND($AG1303,2),0))</f>
        <v/>
      </c>
      <c r="M1303" s="18">
        <f>IF($Z1303="","",IF(AND(DATE($AD1303,4,1)&gt;=$AE1303,DATE($AD1303,4,1)&lt;=$AF1303),ROUND($AG1303,2),0))</f>
        <v/>
      </c>
      <c r="N1303" s="18">
        <f>IF($Z1303="","",IF(AND(DATE($AD1303,5,1)&gt;=$AE1303,DATE($AD1303,5,1)&lt;=$AF1303),ROUND($AG1303,2),0))</f>
        <v/>
      </c>
      <c r="O1303" s="18">
        <f>IF($Z1303="","",IF(AND(DATE($AD1303,6,1)&gt;=$AE1303,DATE($AD1303,6,1)&lt;=$AF1303),ROUND($AG1303,2),0))</f>
        <v/>
      </c>
      <c r="P1303" s="18">
        <f>IF($Z1303="","",IF(AND(DATE($AD1303,7,1)&gt;=$AE1303,DATE($AD1303,7,1)&lt;=$AF1303),ROUND($AG1303,2),0))</f>
        <v/>
      </c>
      <c r="Q1303" s="18">
        <f>IF($Z1303="","",IF(AND(DATE($AD1303,8,1)&gt;=$AE1303,DATE($AD1303,8,1)&lt;=$AF1303),ROUND($AG1303,2),0))</f>
        <v/>
      </c>
      <c r="R1303" s="18">
        <f>IF($Z1303="","",IF(AND(DATE($AD1303,9,1)&gt;=$AE1303,DATE($AD1303,9,1)&lt;=$AF1303),ROUND($AG1303,2),0))</f>
        <v/>
      </c>
      <c r="S1303" s="18">
        <f>IF($Z1303="","",IF(AND(DATE($AD1303,10,1)&gt;=$AE1303,DATE($AD1303,10,1)&lt;=$AF1303),ROUND($AG1303,2),0))</f>
        <v/>
      </c>
      <c r="T1303" s="18">
        <f>IF($Z1303="","",IF(AND(DATE($AD1303,11,1)&gt;=$AE1303,DATE($AD1303,11,1)&lt;=$AF1303),ROUND($AG1303,2),0))</f>
        <v/>
      </c>
      <c r="U1303" s="18">
        <f>IF($Z1303="","",IF(AND(DATE($AD1303,12,1)&gt;=$AE1303,DATE($AD1303,12,1)&lt;=$AF1303),ROUND($AG1303,2),0))</f>
        <v/>
      </c>
      <c r="V1303" s="7">
        <f>IF($Z1303="C","Generated from "&amp;INDEX(Contracts!$A$2:$A$151,$AB1303),IF($Z1303="A","Generated from "&amp;INDEX(Fixed_Assets!$A$2:$A$201,$AB1303),IF($Z1303="F","Generated from "&amp;INDEX(FTE_Allocation!$A$2:$A$201,$AB1303),"")))</f>
        <v/>
      </c>
      <c r="X1303" s="19">
        <f>IF($Z1303="","",SUM(J1303:U1303))</f>
        <v/>
      </c>
      <c r="Y1303" s="20">
        <f>ROW()-1</f>
        <v/>
      </c>
      <c r="Z1303" s="20">
        <f>IF($Y1303&lt;=Settings!$B$4*3,"C",IF($Y1303&lt;=(Settings!$B$4+Settings!$B$5)*3,"A",IF($Y1303&lt;=(Settings!$B$4+Settings!$B$5+Settings!$B$6)*3,"F","")))</f>
        <v/>
      </c>
      <c r="AA1303" s="20">
        <f>IF($Z1303="C",$Y1303,IF($Z1303="A",$Y1303-Settings!$B$4*3,IF($Z1303="F",$Y1303-(Settings!$B$4+Settings!$B$5)*3,"")))</f>
        <v/>
      </c>
      <c r="AB1303" s="20">
        <f>IF($Z1303="","",INT(($AA1303-1)/3)+1)</f>
        <v/>
      </c>
      <c r="AC1303" s="20">
        <f>IF($Z1303="","",MOD($AA1303-1,3)+1)</f>
        <v/>
      </c>
      <c r="AD1303" s="20">
        <f>IF($Z1303="","",Settings!$B$2+$AC1303-1)</f>
        <v/>
      </c>
      <c r="AE1303" s="21">
        <f>IF($Z1303="C",DATE(YEAR(INDEX(Contracts!$J$2:$J$151,$AB1303)),MONTH(INDEX(Contracts!$J$2:$J$151,$AB1303)),1),IF($Z1303="A",DATE(YEAR(INDEX(Fixed_Assets!$G$2:$G$201,$AB1303)),MONTH(INDEX(Fixed_Assets!$G$2:$G$201,$AB1303)),1),IF($Z1303="F",DATE(YEAR(MAX(N(INDEX(Workforce!$I$2:$I$151,MATCH(INDEX(FTE_Allocation!$A$2:$A$201,$AB1303),Workforce!$A$2:$A$151,0))),N(INDEX(FTE_Allocation!$I$2:$I$201,$AB1303)))),MONTH(MAX(N(INDEX(Workforce!$I$2:$I$151,MATCH(INDEX(FTE_Allocation!$A$2:$A$201,$AB1303),Workforce!$A$2:$A$151,0))),N(INDEX(FTE_Allocation!$I$2:$I$201,$AB1303)))),1),"")))</f>
        <v/>
      </c>
      <c r="AF1303" s="21">
        <f>IF($Z1303="C",IF(INDEX(Contracts!$I$2:$I$151,$AB1303)="PREPAID",EDATE(DATE(YEAR(INDEX(Contracts!$J$2:$J$151,$AB1303)),MONTH(INDEX(Contracts!$J$2:$J$151,$AB1303)),1),IF(INDEX(Contracts!$N$2:$N$151,$AB1303)="",12,INDEX(Contracts!$N$2:$N$151,$AB1303))-1),IF(INDEX(Contracts!$I$2:$I$151,$AB1303)="MONTHLY",IF(INDEX(Contracts!$K$2:$K$151,$AB1303)="",2958101,INDEX(Contracts!$K$2:$K$151,$AB1303)),0)),IF($Z1303="A",EDATE(DATE(YEAR(INDEX(Fixed_Assets!$G$2:$G$201,$AB1303)),MONTH(INDEX(Fixed_Assets!$G$2:$G$201,$AB1303)),1),INDEX(Fixed_Assets!$J$2:$J$201,$AB1303)-1),IF($Z1303="F",MIN(IF(INDEX(Workforce!$J$2:$J$151,MATCH(INDEX(FTE_Allocation!$A$2:$A$201,$AB1303),Workforce!$A$2:$A$151,0))="",2958101,INDEX(Workforce!$J$2:$J$151,MATCH(INDEX(FTE_Allocation!$A$2:$A$201,$AB1303),Workforce!$A$2:$A$151,0))),IF(INDEX(FTE_Allocation!$J$2:$J$201,$AB1303)="",2958101,INDEX(FTE_Allocation!$J$2:$J$201,$AB1303))),"")))</f>
        <v/>
      </c>
      <c r="AG1303" s="19">
        <f>IF($Z1303="C",IF(INDEX(Contracts!$I$2:$I$151,$AB1303)="PREPAID",INDEX(Contracts!$M$2:$M$151,$AB1303)/IF(INDEX(Contracts!$N$2:$N$151,$AB1303)="",12,INDEX(Contracts!$N$2:$N$151,$AB1303)),IF(INDEX(Contracts!$I$2:$I$151,$AB1303)="MONTHLY",INDEX(Contracts!$M$2:$M$151,$AB1303),0))*(1-N(INDEX(Contracts!$O$2:$O$151,$AB1303))),IF($Z1303="A",INDEX(Fixed_Assets!$H$2:$H$201,$AB1303)/INDEX(Fixed_Assets!$J$2:$J$201,$AB1303),IF($Z1303="F",INDEX(Workforce!$F$2:$F$151,MATCH(INDEX(FTE_Allocation!$A$2:$A$201,$AB1303),Workforce!$A$2:$A$151,0))*N(INDEX(FTE_Allocation!$F$2:$H$201,$AB1303,$AC1303)),"")))</f>
        <v/>
      </c>
    </row>
    <row r="1304">
      <c r="A1304" s="7">
        <f>IF($Z1304="","",$AD1304)</f>
        <v/>
      </c>
      <c r="B1304" s="7">
        <f>IF($Z1304="C",INDEX(Contracts!$D$2:$D$151,$AB1304)&amp;"",IF($Z1304="A",INDEX(Fixed_Assets!$C$2:$C$201,$AB1304)&amp;"",IF($Z1304="F",INDEX(Workforce!$B$2:$B$151,MATCH(INDEX(FTE_Allocation!$A$2:$A$201,$AB1304),Workforce!$A$2:$A$151,0))&amp;"","")))</f>
        <v/>
      </c>
      <c r="C1304" s="7">
        <f>IF($Z1304="C",INDEX(Contracts!$E$2:$E$151,$AB1304)&amp;"",IF($Z1304="A",INDEX(Fixed_Assets!$D$2:$D$201,$AB1304)&amp;"",IF($Z1304="F",INDEX(FTE_Allocation!$C$2:$C$201,$AB1304)&amp;"","")))</f>
        <v/>
      </c>
      <c r="D1304" s="7">
        <f>IF($Z1304="C",INDEX(Contracts!$B$2:$B$151,$AB1304)&amp;"",IF($Z1304="A",INDEX(Fixed_Assets!$B$2:$B$201,$AB1304)&amp;"",IF($Z1304="F",INDEX(FTE_Allocation!$B$2:$B$201,$AB1304)&amp;"","")))</f>
        <v/>
      </c>
      <c r="E1304" s="7">
        <f>IF($Z1304="C",INDEX(Contracts!$P$2:$P$151,$AB1304)&amp;"",IF($Z1304="A",INDEX(Fixed_Assets!$K$2:$K$201,$AB1304)&amp;"",IF($Z1304="F",IF(INDEX(FTE_Allocation!$D$2:$D$201,$AB1304)="PROJECT",IFERROR(INDEX(Projects!$D:$D,MATCH(INDEX(FTE_Allocation!$E$2:$E$201,$AB1304),Projects!$A:$A,0))&amp;"","#PROJECT?"),INDEX(FTE_Allocation!$E$2:$E$201,$AB1304)&amp;""),"")))</f>
        <v/>
      </c>
      <c r="F1304" s="7">
        <f>IF($Z1304="C",INDEX(Contracts!$Q$2:$Q$151,$AB1304)&amp;"",IF($Z1304="A",INDEX(Fixed_Assets!$L$2:$L$201,$AB1304)&amp;"",IF($Z1304="F",INDEX(Workforce!$K$2:$K$151,MATCH(INDEX(FTE_Allocation!$A$2:$A$201,$AB1304),Workforce!$A$2:$A$151,0))&amp;"","")))</f>
        <v/>
      </c>
      <c r="G1304" s="7">
        <f>IF($Z1304="C",INDEX(Contracts!$F$2:$F$151,$AB1304)&amp;" / "&amp;INDEX(Contracts!$G$2:$G$151,$AB1304),IF($Z1304="A",INDEX(Fixed_Assets!$E$2:$E$201,$AB1304)&amp;"",IF($Z1304="F","Personnel "&amp;INDEX(FTE_Allocation!$A$2:$A$201,$AB1304)&amp;IF(INDEX(FTE_Allocation!$D$2:$D$201,$AB1304)="PROJECT"," ("&amp;INDEX(FTE_Allocation!$E$2:$E$201,$AB1304)&amp;")",""),"")))</f>
        <v/>
      </c>
      <c r="H1304" s="7">
        <f>IF($Z1304="C","CONTRACT",IF($Z1304="A","ASSET",IF($Z1304="F","WORKFORCE","")))</f>
        <v/>
      </c>
      <c r="I1304" s="7">
        <f>IF($Z1304="C",INDEX(Contracts!$L$2:$L$151,$AB1304)&amp;"",IF($Z1304="A",INDEX(Fixed_Assets!$I$2:$I$201,$AB1304)&amp;"",IF($Z1304="F",INDEX(Workforce!$G$2:$G$151,MATCH(INDEX(FTE_Allocation!$A$2:$A$201,$AB1304),Workforce!$A$2:$A$151,0))&amp;"","")))</f>
        <v/>
      </c>
      <c r="J1304" s="18">
        <f>IF($Z1304="","",IF(AND(DATE($AD1304,1,1)&gt;=$AE1304,DATE($AD1304,1,1)&lt;=$AF1304),ROUND($AG1304,2),0))</f>
        <v/>
      </c>
      <c r="K1304" s="18">
        <f>IF($Z1304="","",IF(AND(DATE($AD1304,2,1)&gt;=$AE1304,DATE($AD1304,2,1)&lt;=$AF1304),ROUND($AG1304,2),0))</f>
        <v/>
      </c>
      <c r="L1304" s="18">
        <f>IF($Z1304="","",IF(AND(DATE($AD1304,3,1)&gt;=$AE1304,DATE($AD1304,3,1)&lt;=$AF1304),ROUND($AG1304,2),0))</f>
        <v/>
      </c>
      <c r="M1304" s="18">
        <f>IF($Z1304="","",IF(AND(DATE($AD1304,4,1)&gt;=$AE1304,DATE($AD1304,4,1)&lt;=$AF1304),ROUND($AG1304,2),0))</f>
        <v/>
      </c>
      <c r="N1304" s="18">
        <f>IF($Z1304="","",IF(AND(DATE($AD1304,5,1)&gt;=$AE1304,DATE($AD1304,5,1)&lt;=$AF1304),ROUND($AG1304,2),0))</f>
        <v/>
      </c>
      <c r="O1304" s="18">
        <f>IF($Z1304="","",IF(AND(DATE($AD1304,6,1)&gt;=$AE1304,DATE($AD1304,6,1)&lt;=$AF1304),ROUND($AG1304,2),0))</f>
        <v/>
      </c>
      <c r="P1304" s="18">
        <f>IF($Z1304="","",IF(AND(DATE($AD1304,7,1)&gt;=$AE1304,DATE($AD1304,7,1)&lt;=$AF1304),ROUND($AG1304,2),0))</f>
        <v/>
      </c>
      <c r="Q1304" s="18">
        <f>IF($Z1304="","",IF(AND(DATE($AD1304,8,1)&gt;=$AE1304,DATE($AD1304,8,1)&lt;=$AF1304),ROUND($AG1304,2),0))</f>
        <v/>
      </c>
      <c r="R1304" s="18">
        <f>IF($Z1304="","",IF(AND(DATE($AD1304,9,1)&gt;=$AE1304,DATE($AD1304,9,1)&lt;=$AF1304),ROUND($AG1304,2),0))</f>
        <v/>
      </c>
      <c r="S1304" s="18">
        <f>IF($Z1304="","",IF(AND(DATE($AD1304,10,1)&gt;=$AE1304,DATE($AD1304,10,1)&lt;=$AF1304),ROUND($AG1304,2),0))</f>
        <v/>
      </c>
      <c r="T1304" s="18">
        <f>IF($Z1304="","",IF(AND(DATE($AD1304,11,1)&gt;=$AE1304,DATE($AD1304,11,1)&lt;=$AF1304),ROUND($AG1304,2),0))</f>
        <v/>
      </c>
      <c r="U1304" s="18">
        <f>IF($Z1304="","",IF(AND(DATE($AD1304,12,1)&gt;=$AE1304,DATE($AD1304,12,1)&lt;=$AF1304),ROUND($AG1304,2),0))</f>
        <v/>
      </c>
      <c r="V1304" s="7">
        <f>IF($Z1304="C","Generated from "&amp;INDEX(Contracts!$A$2:$A$151,$AB1304),IF($Z1304="A","Generated from "&amp;INDEX(Fixed_Assets!$A$2:$A$201,$AB1304),IF($Z1304="F","Generated from "&amp;INDEX(FTE_Allocation!$A$2:$A$201,$AB1304),"")))</f>
        <v/>
      </c>
      <c r="X1304" s="19">
        <f>IF($Z1304="","",SUM(J1304:U1304))</f>
        <v/>
      </c>
      <c r="Y1304" s="20">
        <f>ROW()-1</f>
        <v/>
      </c>
      <c r="Z1304" s="20">
        <f>IF($Y1304&lt;=Settings!$B$4*3,"C",IF($Y1304&lt;=(Settings!$B$4+Settings!$B$5)*3,"A",IF($Y1304&lt;=(Settings!$B$4+Settings!$B$5+Settings!$B$6)*3,"F","")))</f>
        <v/>
      </c>
      <c r="AA1304" s="20">
        <f>IF($Z1304="C",$Y1304,IF($Z1304="A",$Y1304-Settings!$B$4*3,IF($Z1304="F",$Y1304-(Settings!$B$4+Settings!$B$5)*3,"")))</f>
        <v/>
      </c>
      <c r="AB1304" s="20">
        <f>IF($Z1304="","",INT(($AA1304-1)/3)+1)</f>
        <v/>
      </c>
      <c r="AC1304" s="20">
        <f>IF($Z1304="","",MOD($AA1304-1,3)+1)</f>
        <v/>
      </c>
      <c r="AD1304" s="20">
        <f>IF($Z1304="","",Settings!$B$2+$AC1304-1)</f>
        <v/>
      </c>
      <c r="AE1304" s="21">
        <f>IF($Z1304="C",DATE(YEAR(INDEX(Contracts!$J$2:$J$151,$AB1304)),MONTH(INDEX(Contracts!$J$2:$J$151,$AB1304)),1),IF($Z1304="A",DATE(YEAR(INDEX(Fixed_Assets!$G$2:$G$201,$AB1304)),MONTH(INDEX(Fixed_Assets!$G$2:$G$201,$AB1304)),1),IF($Z1304="F",DATE(YEAR(MAX(N(INDEX(Workforce!$I$2:$I$151,MATCH(INDEX(FTE_Allocation!$A$2:$A$201,$AB1304),Workforce!$A$2:$A$151,0))),N(INDEX(FTE_Allocation!$I$2:$I$201,$AB1304)))),MONTH(MAX(N(INDEX(Workforce!$I$2:$I$151,MATCH(INDEX(FTE_Allocation!$A$2:$A$201,$AB1304),Workforce!$A$2:$A$151,0))),N(INDEX(FTE_Allocation!$I$2:$I$201,$AB1304)))),1),"")))</f>
        <v/>
      </c>
      <c r="AF1304" s="21">
        <f>IF($Z1304="C",IF(INDEX(Contracts!$I$2:$I$151,$AB1304)="PREPAID",EDATE(DATE(YEAR(INDEX(Contracts!$J$2:$J$151,$AB1304)),MONTH(INDEX(Contracts!$J$2:$J$151,$AB1304)),1),IF(INDEX(Contracts!$N$2:$N$151,$AB1304)="",12,INDEX(Contracts!$N$2:$N$151,$AB1304))-1),IF(INDEX(Contracts!$I$2:$I$151,$AB1304)="MONTHLY",IF(INDEX(Contracts!$K$2:$K$151,$AB1304)="",2958101,INDEX(Contracts!$K$2:$K$151,$AB1304)),0)),IF($Z1304="A",EDATE(DATE(YEAR(INDEX(Fixed_Assets!$G$2:$G$201,$AB1304)),MONTH(INDEX(Fixed_Assets!$G$2:$G$201,$AB1304)),1),INDEX(Fixed_Assets!$J$2:$J$201,$AB1304)-1),IF($Z1304="F",MIN(IF(INDEX(Workforce!$J$2:$J$151,MATCH(INDEX(FTE_Allocation!$A$2:$A$201,$AB1304),Workforce!$A$2:$A$151,0))="",2958101,INDEX(Workforce!$J$2:$J$151,MATCH(INDEX(FTE_Allocation!$A$2:$A$201,$AB1304),Workforce!$A$2:$A$151,0))),IF(INDEX(FTE_Allocation!$J$2:$J$201,$AB1304)="",2958101,INDEX(FTE_Allocation!$J$2:$J$201,$AB1304))),"")))</f>
        <v/>
      </c>
      <c r="AG1304" s="19">
        <f>IF($Z1304="C",IF(INDEX(Contracts!$I$2:$I$151,$AB1304)="PREPAID",INDEX(Contracts!$M$2:$M$151,$AB1304)/IF(INDEX(Contracts!$N$2:$N$151,$AB1304)="",12,INDEX(Contracts!$N$2:$N$151,$AB1304)),IF(INDEX(Contracts!$I$2:$I$151,$AB1304)="MONTHLY",INDEX(Contracts!$M$2:$M$151,$AB1304),0))*(1-N(INDEX(Contracts!$O$2:$O$151,$AB1304))),IF($Z1304="A",INDEX(Fixed_Assets!$H$2:$H$201,$AB1304)/INDEX(Fixed_Assets!$J$2:$J$201,$AB1304),IF($Z1304="F",INDEX(Workforce!$F$2:$F$151,MATCH(INDEX(FTE_Allocation!$A$2:$A$201,$AB1304),Workforce!$A$2:$A$151,0))*N(INDEX(FTE_Allocation!$F$2:$H$201,$AB1304,$AC1304)),"")))</f>
        <v/>
      </c>
    </row>
    <row r="1305">
      <c r="A1305" s="7">
        <f>IF($Z1305="","",$AD1305)</f>
        <v/>
      </c>
      <c r="B1305" s="7">
        <f>IF($Z1305="C",INDEX(Contracts!$D$2:$D$151,$AB1305)&amp;"",IF($Z1305="A",INDEX(Fixed_Assets!$C$2:$C$201,$AB1305)&amp;"",IF($Z1305="F",INDEX(Workforce!$B$2:$B$151,MATCH(INDEX(FTE_Allocation!$A$2:$A$201,$AB1305),Workforce!$A$2:$A$151,0))&amp;"","")))</f>
        <v/>
      </c>
      <c r="C1305" s="7">
        <f>IF($Z1305="C",INDEX(Contracts!$E$2:$E$151,$AB1305)&amp;"",IF($Z1305="A",INDEX(Fixed_Assets!$D$2:$D$201,$AB1305)&amp;"",IF($Z1305="F",INDEX(FTE_Allocation!$C$2:$C$201,$AB1305)&amp;"","")))</f>
        <v/>
      </c>
      <c r="D1305" s="7">
        <f>IF($Z1305="C",INDEX(Contracts!$B$2:$B$151,$AB1305)&amp;"",IF($Z1305="A",INDEX(Fixed_Assets!$B$2:$B$201,$AB1305)&amp;"",IF($Z1305="F",INDEX(FTE_Allocation!$B$2:$B$201,$AB1305)&amp;"","")))</f>
        <v/>
      </c>
      <c r="E1305" s="7">
        <f>IF($Z1305="C",INDEX(Contracts!$P$2:$P$151,$AB1305)&amp;"",IF($Z1305="A",INDEX(Fixed_Assets!$K$2:$K$201,$AB1305)&amp;"",IF($Z1305="F",IF(INDEX(FTE_Allocation!$D$2:$D$201,$AB1305)="PROJECT",IFERROR(INDEX(Projects!$D:$D,MATCH(INDEX(FTE_Allocation!$E$2:$E$201,$AB1305),Projects!$A:$A,0))&amp;"","#PROJECT?"),INDEX(FTE_Allocation!$E$2:$E$201,$AB1305)&amp;""),"")))</f>
        <v/>
      </c>
      <c r="F1305" s="7">
        <f>IF($Z1305="C",INDEX(Contracts!$Q$2:$Q$151,$AB1305)&amp;"",IF($Z1305="A",INDEX(Fixed_Assets!$L$2:$L$201,$AB1305)&amp;"",IF($Z1305="F",INDEX(Workforce!$K$2:$K$151,MATCH(INDEX(FTE_Allocation!$A$2:$A$201,$AB1305),Workforce!$A$2:$A$151,0))&amp;"","")))</f>
        <v/>
      </c>
      <c r="G1305" s="7">
        <f>IF($Z1305="C",INDEX(Contracts!$F$2:$F$151,$AB1305)&amp;" / "&amp;INDEX(Contracts!$G$2:$G$151,$AB1305),IF($Z1305="A",INDEX(Fixed_Assets!$E$2:$E$201,$AB1305)&amp;"",IF($Z1305="F","Personnel "&amp;INDEX(FTE_Allocation!$A$2:$A$201,$AB1305)&amp;IF(INDEX(FTE_Allocation!$D$2:$D$201,$AB1305)="PROJECT"," ("&amp;INDEX(FTE_Allocation!$E$2:$E$201,$AB1305)&amp;")",""),"")))</f>
        <v/>
      </c>
      <c r="H1305" s="7">
        <f>IF($Z1305="C","CONTRACT",IF($Z1305="A","ASSET",IF($Z1305="F","WORKFORCE","")))</f>
        <v/>
      </c>
      <c r="I1305" s="7">
        <f>IF($Z1305="C",INDEX(Contracts!$L$2:$L$151,$AB1305)&amp;"",IF($Z1305="A",INDEX(Fixed_Assets!$I$2:$I$201,$AB1305)&amp;"",IF($Z1305="F",INDEX(Workforce!$G$2:$G$151,MATCH(INDEX(FTE_Allocation!$A$2:$A$201,$AB1305),Workforce!$A$2:$A$151,0))&amp;"","")))</f>
        <v/>
      </c>
      <c r="J1305" s="18">
        <f>IF($Z1305="","",IF(AND(DATE($AD1305,1,1)&gt;=$AE1305,DATE($AD1305,1,1)&lt;=$AF1305),ROUND($AG1305,2),0))</f>
        <v/>
      </c>
      <c r="K1305" s="18">
        <f>IF($Z1305="","",IF(AND(DATE($AD1305,2,1)&gt;=$AE1305,DATE($AD1305,2,1)&lt;=$AF1305),ROUND($AG1305,2),0))</f>
        <v/>
      </c>
      <c r="L1305" s="18">
        <f>IF($Z1305="","",IF(AND(DATE($AD1305,3,1)&gt;=$AE1305,DATE($AD1305,3,1)&lt;=$AF1305),ROUND($AG1305,2),0))</f>
        <v/>
      </c>
      <c r="M1305" s="18">
        <f>IF($Z1305="","",IF(AND(DATE($AD1305,4,1)&gt;=$AE1305,DATE($AD1305,4,1)&lt;=$AF1305),ROUND($AG1305,2),0))</f>
        <v/>
      </c>
      <c r="N1305" s="18">
        <f>IF($Z1305="","",IF(AND(DATE($AD1305,5,1)&gt;=$AE1305,DATE($AD1305,5,1)&lt;=$AF1305),ROUND($AG1305,2),0))</f>
        <v/>
      </c>
      <c r="O1305" s="18">
        <f>IF($Z1305="","",IF(AND(DATE($AD1305,6,1)&gt;=$AE1305,DATE($AD1305,6,1)&lt;=$AF1305),ROUND($AG1305,2),0))</f>
        <v/>
      </c>
      <c r="P1305" s="18">
        <f>IF($Z1305="","",IF(AND(DATE($AD1305,7,1)&gt;=$AE1305,DATE($AD1305,7,1)&lt;=$AF1305),ROUND($AG1305,2),0))</f>
        <v/>
      </c>
      <c r="Q1305" s="18">
        <f>IF($Z1305="","",IF(AND(DATE($AD1305,8,1)&gt;=$AE1305,DATE($AD1305,8,1)&lt;=$AF1305),ROUND($AG1305,2),0))</f>
        <v/>
      </c>
      <c r="R1305" s="18">
        <f>IF($Z1305="","",IF(AND(DATE($AD1305,9,1)&gt;=$AE1305,DATE($AD1305,9,1)&lt;=$AF1305),ROUND($AG1305,2),0))</f>
        <v/>
      </c>
      <c r="S1305" s="18">
        <f>IF($Z1305="","",IF(AND(DATE($AD1305,10,1)&gt;=$AE1305,DATE($AD1305,10,1)&lt;=$AF1305),ROUND($AG1305,2),0))</f>
        <v/>
      </c>
      <c r="T1305" s="18">
        <f>IF($Z1305="","",IF(AND(DATE($AD1305,11,1)&gt;=$AE1305,DATE($AD1305,11,1)&lt;=$AF1305),ROUND($AG1305,2),0))</f>
        <v/>
      </c>
      <c r="U1305" s="18">
        <f>IF($Z1305="","",IF(AND(DATE($AD1305,12,1)&gt;=$AE1305,DATE($AD1305,12,1)&lt;=$AF1305),ROUND($AG1305,2),0))</f>
        <v/>
      </c>
      <c r="V1305" s="7">
        <f>IF($Z1305="C","Generated from "&amp;INDEX(Contracts!$A$2:$A$151,$AB1305),IF($Z1305="A","Generated from "&amp;INDEX(Fixed_Assets!$A$2:$A$201,$AB1305),IF($Z1305="F","Generated from "&amp;INDEX(FTE_Allocation!$A$2:$A$201,$AB1305),"")))</f>
        <v/>
      </c>
      <c r="X1305" s="19">
        <f>IF($Z1305="","",SUM(J1305:U1305))</f>
        <v/>
      </c>
      <c r="Y1305" s="20">
        <f>ROW()-1</f>
        <v/>
      </c>
      <c r="Z1305" s="20">
        <f>IF($Y1305&lt;=Settings!$B$4*3,"C",IF($Y1305&lt;=(Settings!$B$4+Settings!$B$5)*3,"A",IF($Y1305&lt;=(Settings!$B$4+Settings!$B$5+Settings!$B$6)*3,"F","")))</f>
        <v/>
      </c>
      <c r="AA1305" s="20">
        <f>IF($Z1305="C",$Y1305,IF($Z1305="A",$Y1305-Settings!$B$4*3,IF($Z1305="F",$Y1305-(Settings!$B$4+Settings!$B$5)*3,"")))</f>
        <v/>
      </c>
      <c r="AB1305" s="20">
        <f>IF($Z1305="","",INT(($AA1305-1)/3)+1)</f>
        <v/>
      </c>
      <c r="AC1305" s="20">
        <f>IF($Z1305="","",MOD($AA1305-1,3)+1)</f>
        <v/>
      </c>
      <c r="AD1305" s="20">
        <f>IF($Z1305="","",Settings!$B$2+$AC1305-1)</f>
        <v/>
      </c>
      <c r="AE1305" s="21">
        <f>IF($Z1305="C",DATE(YEAR(INDEX(Contracts!$J$2:$J$151,$AB1305)),MONTH(INDEX(Contracts!$J$2:$J$151,$AB1305)),1),IF($Z1305="A",DATE(YEAR(INDEX(Fixed_Assets!$G$2:$G$201,$AB1305)),MONTH(INDEX(Fixed_Assets!$G$2:$G$201,$AB1305)),1),IF($Z1305="F",DATE(YEAR(MAX(N(INDEX(Workforce!$I$2:$I$151,MATCH(INDEX(FTE_Allocation!$A$2:$A$201,$AB1305),Workforce!$A$2:$A$151,0))),N(INDEX(FTE_Allocation!$I$2:$I$201,$AB1305)))),MONTH(MAX(N(INDEX(Workforce!$I$2:$I$151,MATCH(INDEX(FTE_Allocation!$A$2:$A$201,$AB1305),Workforce!$A$2:$A$151,0))),N(INDEX(FTE_Allocation!$I$2:$I$201,$AB1305)))),1),"")))</f>
        <v/>
      </c>
      <c r="AF1305" s="21">
        <f>IF($Z1305="C",IF(INDEX(Contracts!$I$2:$I$151,$AB1305)="PREPAID",EDATE(DATE(YEAR(INDEX(Contracts!$J$2:$J$151,$AB1305)),MONTH(INDEX(Contracts!$J$2:$J$151,$AB1305)),1),IF(INDEX(Contracts!$N$2:$N$151,$AB1305)="",12,INDEX(Contracts!$N$2:$N$151,$AB1305))-1),IF(INDEX(Contracts!$I$2:$I$151,$AB1305)="MONTHLY",IF(INDEX(Contracts!$K$2:$K$151,$AB1305)="",2958101,INDEX(Contracts!$K$2:$K$151,$AB1305)),0)),IF($Z1305="A",EDATE(DATE(YEAR(INDEX(Fixed_Assets!$G$2:$G$201,$AB1305)),MONTH(INDEX(Fixed_Assets!$G$2:$G$201,$AB1305)),1),INDEX(Fixed_Assets!$J$2:$J$201,$AB1305)-1),IF($Z1305="F",MIN(IF(INDEX(Workforce!$J$2:$J$151,MATCH(INDEX(FTE_Allocation!$A$2:$A$201,$AB1305),Workforce!$A$2:$A$151,0))="",2958101,INDEX(Workforce!$J$2:$J$151,MATCH(INDEX(FTE_Allocation!$A$2:$A$201,$AB1305),Workforce!$A$2:$A$151,0))),IF(INDEX(FTE_Allocation!$J$2:$J$201,$AB1305)="",2958101,INDEX(FTE_Allocation!$J$2:$J$201,$AB1305))),"")))</f>
        <v/>
      </c>
      <c r="AG1305" s="19">
        <f>IF($Z1305="C",IF(INDEX(Contracts!$I$2:$I$151,$AB1305)="PREPAID",INDEX(Contracts!$M$2:$M$151,$AB1305)/IF(INDEX(Contracts!$N$2:$N$151,$AB1305)="",12,INDEX(Contracts!$N$2:$N$151,$AB1305)),IF(INDEX(Contracts!$I$2:$I$151,$AB1305)="MONTHLY",INDEX(Contracts!$M$2:$M$151,$AB1305),0))*(1-N(INDEX(Contracts!$O$2:$O$151,$AB1305))),IF($Z1305="A",INDEX(Fixed_Assets!$H$2:$H$201,$AB1305)/INDEX(Fixed_Assets!$J$2:$J$201,$AB1305),IF($Z1305="F",INDEX(Workforce!$F$2:$F$151,MATCH(INDEX(FTE_Allocation!$A$2:$A$201,$AB1305),Workforce!$A$2:$A$151,0))*N(INDEX(FTE_Allocation!$F$2:$H$201,$AB1305,$AC1305)),"")))</f>
        <v/>
      </c>
    </row>
    <row r="1306">
      <c r="A1306" s="7">
        <f>IF($Z1306="","",$AD1306)</f>
        <v/>
      </c>
      <c r="B1306" s="7">
        <f>IF($Z1306="C",INDEX(Contracts!$D$2:$D$151,$AB1306)&amp;"",IF($Z1306="A",INDEX(Fixed_Assets!$C$2:$C$201,$AB1306)&amp;"",IF($Z1306="F",INDEX(Workforce!$B$2:$B$151,MATCH(INDEX(FTE_Allocation!$A$2:$A$201,$AB1306),Workforce!$A$2:$A$151,0))&amp;"","")))</f>
        <v/>
      </c>
      <c r="C1306" s="7">
        <f>IF($Z1306="C",INDEX(Contracts!$E$2:$E$151,$AB1306)&amp;"",IF($Z1306="A",INDEX(Fixed_Assets!$D$2:$D$201,$AB1306)&amp;"",IF($Z1306="F",INDEX(FTE_Allocation!$C$2:$C$201,$AB1306)&amp;"","")))</f>
        <v/>
      </c>
      <c r="D1306" s="7">
        <f>IF($Z1306="C",INDEX(Contracts!$B$2:$B$151,$AB1306)&amp;"",IF($Z1306="A",INDEX(Fixed_Assets!$B$2:$B$201,$AB1306)&amp;"",IF($Z1306="F",INDEX(FTE_Allocation!$B$2:$B$201,$AB1306)&amp;"","")))</f>
        <v/>
      </c>
      <c r="E1306" s="7">
        <f>IF($Z1306="C",INDEX(Contracts!$P$2:$P$151,$AB1306)&amp;"",IF($Z1306="A",INDEX(Fixed_Assets!$K$2:$K$201,$AB1306)&amp;"",IF($Z1306="F",IF(INDEX(FTE_Allocation!$D$2:$D$201,$AB1306)="PROJECT",IFERROR(INDEX(Projects!$D:$D,MATCH(INDEX(FTE_Allocation!$E$2:$E$201,$AB1306),Projects!$A:$A,0))&amp;"","#PROJECT?"),INDEX(FTE_Allocation!$E$2:$E$201,$AB1306)&amp;""),"")))</f>
        <v/>
      </c>
      <c r="F1306" s="7">
        <f>IF($Z1306="C",INDEX(Contracts!$Q$2:$Q$151,$AB1306)&amp;"",IF($Z1306="A",INDEX(Fixed_Assets!$L$2:$L$201,$AB1306)&amp;"",IF($Z1306="F",INDEX(Workforce!$K$2:$K$151,MATCH(INDEX(FTE_Allocation!$A$2:$A$201,$AB1306),Workforce!$A$2:$A$151,0))&amp;"","")))</f>
        <v/>
      </c>
      <c r="G1306" s="7">
        <f>IF($Z1306="C",INDEX(Contracts!$F$2:$F$151,$AB1306)&amp;" / "&amp;INDEX(Contracts!$G$2:$G$151,$AB1306),IF($Z1306="A",INDEX(Fixed_Assets!$E$2:$E$201,$AB1306)&amp;"",IF($Z1306="F","Personnel "&amp;INDEX(FTE_Allocation!$A$2:$A$201,$AB1306)&amp;IF(INDEX(FTE_Allocation!$D$2:$D$201,$AB1306)="PROJECT"," ("&amp;INDEX(FTE_Allocation!$E$2:$E$201,$AB1306)&amp;")",""),"")))</f>
        <v/>
      </c>
      <c r="H1306" s="7">
        <f>IF($Z1306="C","CONTRACT",IF($Z1306="A","ASSET",IF($Z1306="F","WORKFORCE","")))</f>
        <v/>
      </c>
      <c r="I1306" s="7">
        <f>IF($Z1306="C",INDEX(Contracts!$L$2:$L$151,$AB1306)&amp;"",IF($Z1306="A",INDEX(Fixed_Assets!$I$2:$I$201,$AB1306)&amp;"",IF($Z1306="F",INDEX(Workforce!$G$2:$G$151,MATCH(INDEX(FTE_Allocation!$A$2:$A$201,$AB1306),Workforce!$A$2:$A$151,0))&amp;"","")))</f>
        <v/>
      </c>
      <c r="J1306" s="18">
        <f>IF($Z1306="","",IF(AND(DATE($AD1306,1,1)&gt;=$AE1306,DATE($AD1306,1,1)&lt;=$AF1306),ROUND($AG1306,2),0))</f>
        <v/>
      </c>
      <c r="K1306" s="18">
        <f>IF($Z1306="","",IF(AND(DATE($AD1306,2,1)&gt;=$AE1306,DATE($AD1306,2,1)&lt;=$AF1306),ROUND($AG1306,2),0))</f>
        <v/>
      </c>
      <c r="L1306" s="18">
        <f>IF($Z1306="","",IF(AND(DATE($AD1306,3,1)&gt;=$AE1306,DATE($AD1306,3,1)&lt;=$AF1306),ROUND($AG1306,2),0))</f>
        <v/>
      </c>
      <c r="M1306" s="18">
        <f>IF($Z1306="","",IF(AND(DATE($AD1306,4,1)&gt;=$AE1306,DATE($AD1306,4,1)&lt;=$AF1306),ROUND($AG1306,2),0))</f>
        <v/>
      </c>
      <c r="N1306" s="18">
        <f>IF($Z1306="","",IF(AND(DATE($AD1306,5,1)&gt;=$AE1306,DATE($AD1306,5,1)&lt;=$AF1306),ROUND($AG1306,2),0))</f>
        <v/>
      </c>
      <c r="O1306" s="18">
        <f>IF($Z1306="","",IF(AND(DATE($AD1306,6,1)&gt;=$AE1306,DATE($AD1306,6,1)&lt;=$AF1306),ROUND($AG1306,2),0))</f>
        <v/>
      </c>
      <c r="P1306" s="18">
        <f>IF($Z1306="","",IF(AND(DATE($AD1306,7,1)&gt;=$AE1306,DATE($AD1306,7,1)&lt;=$AF1306),ROUND($AG1306,2),0))</f>
        <v/>
      </c>
      <c r="Q1306" s="18">
        <f>IF($Z1306="","",IF(AND(DATE($AD1306,8,1)&gt;=$AE1306,DATE($AD1306,8,1)&lt;=$AF1306),ROUND($AG1306,2),0))</f>
        <v/>
      </c>
      <c r="R1306" s="18">
        <f>IF($Z1306="","",IF(AND(DATE($AD1306,9,1)&gt;=$AE1306,DATE($AD1306,9,1)&lt;=$AF1306),ROUND($AG1306,2),0))</f>
        <v/>
      </c>
      <c r="S1306" s="18">
        <f>IF($Z1306="","",IF(AND(DATE($AD1306,10,1)&gt;=$AE1306,DATE($AD1306,10,1)&lt;=$AF1306),ROUND($AG1306,2),0))</f>
        <v/>
      </c>
      <c r="T1306" s="18">
        <f>IF($Z1306="","",IF(AND(DATE($AD1306,11,1)&gt;=$AE1306,DATE($AD1306,11,1)&lt;=$AF1306),ROUND($AG1306,2),0))</f>
        <v/>
      </c>
      <c r="U1306" s="18">
        <f>IF($Z1306="","",IF(AND(DATE($AD1306,12,1)&gt;=$AE1306,DATE($AD1306,12,1)&lt;=$AF1306),ROUND($AG1306,2),0))</f>
        <v/>
      </c>
      <c r="V1306" s="7">
        <f>IF($Z1306="C","Generated from "&amp;INDEX(Contracts!$A$2:$A$151,$AB1306),IF($Z1306="A","Generated from "&amp;INDEX(Fixed_Assets!$A$2:$A$201,$AB1306),IF($Z1306="F","Generated from "&amp;INDEX(FTE_Allocation!$A$2:$A$201,$AB1306),"")))</f>
        <v/>
      </c>
      <c r="X1306" s="19">
        <f>IF($Z1306="","",SUM(J1306:U1306))</f>
        <v/>
      </c>
      <c r="Y1306" s="20">
        <f>ROW()-1</f>
        <v/>
      </c>
      <c r="Z1306" s="20">
        <f>IF($Y1306&lt;=Settings!$B$4*3,"C",IF($Y1306&lt;=(Settings!$B$4+Settings!$B$5)*3,"A",IF($Y1306&lt;=(Settings!$B$4+Settings!$B$5+Settings!$B$6)*3,"F","")))</f>
        <v/>
      </c>
      <c r="AA1306" s="20">
        <f>IF($Z1306="C",$Y1306,IF($Z1306="A",$Y1306-Settings!$B$4*3,IF($Z1306="F",$Y1306-(Settings!$B$4+Settings!$B$5)*3,"")))</f>
        <v/>
      </c>
      <c r="AB1306" s="20">
        <f>IF($Z1306="","",INT(($AA1306-1)/3)+1)</f>
        <v/>
      </c>
      <c r="AC1306" s="20">
        <f>IF($Z1306="","",MOD($AA1306-1,3)+1)</f>
        <v/>
      </c>
      <c r="AD1306" s="20">
        <f>IF($Z1306="","",Settings!$B$2+$AC1306-1)</f>
        <v/>
      </c>
      <c r="AE1306" s="21">
        <f>IF($Z1306="C",DATE(YEAR(INDEX(Contracts!$J$2:$J$151,$AB1306)),MONTH(INDEX(Contracts!$J$2:$J$151,$AB1306)),1),IF($Z1306="A",DATE(YEAR(INDEX(Fixed_Assets!$G$2:$G$201,$AB1306)),MONTH(INDEX(Fixed_Assets!$G$2:$G$201,$AB1306)),1),IF($Z1306="F",DATE(YEAR(MAX(N(INDEX(Workforce!$I$2:$I$151,MATCH(INDEX(FTE_Allocation!$A$2:$A$201,$AB1306),Workforce!$A$2:$A$151,0))),N(INDEX(FTE_Allocation!$I$2:$I$201,$AB1306)))),MONTH(MAX(N(INDEX(Workforce!$I$2:$I$151,MATCH(INDEX(FTE_Allocation!$A$2:$A$201,$AB1306),Workforce!$A$2:$A$151,0))),N(INDEX(FTE_Allocation!$I$2:$I$201,$AB1306)))),1),"")))</f>
        <v/>
      </c>
      <c r="AF1306" s="21">
        <f>IF($Z1306="C",IF(INDEX(Contracts!$I$2:$I$151,$AB1306)="PREPAID",EDATE(DATE(YEAR(INDEX(Contracts!$J$2:$J$151,$AB1306)),MONTH(INDEX(Contracts!$J$2:$J$151,$AB1306)),1),IF(INDEX(Contracts!$N$2:$N$151,$AB1306)="",12,INDEX(Contracts!$N$2:$N$151,$AB1306))-1),IF(INDEX(Contracts!$I$2:$I$151,$AB1306)="MONTHLY",IF(INDEX(Contracts!$K$2:$K$151,$AB1306)="",2958101,INDEX(Contracts!$K$2:$K$151,$AB1306)),0)),IF($Z1306="A",EDATE(DATE(YEAR(INDEX(Fixed_Assets!$G$2:$G$201,$AB1306)),MONTH(INDEX(Fixed_Assets!$G$2:$G$201,$AB1306)),1),INDEX(Fixed_Assets!$J$2:$J$201,$AB1306)-1),IF($Z1306="F",MIN(IF(INDEX(Workforce!$J$2:$J$151,MATCH(INDEX(FTE_Allocation!$A$2:$A$201,$AB1306),Workforce!$A$2:$A$151,0))="",2958101,INDEX(Workforce!$J$2:$J$151,MATCH(INDEX(FTE_Allocation!$A$2:$A$201,$AB1306),Workforce!$A$2:$A$151,0))),IF(INDEX(FTE_Allocation!$J$2:$J$201,$AB1306)="",2958101,INDEX(FTE_Allocation!$J$2:$J$201,$AB1306))),"")))</f>
        <v/>
      </c>
      <c r="AG1306" s="19">
        <f>IF($Z1306="C",IF(INDEX(Contracts!$I$2:$I$151,$AB1306)="PREPAID",INDEX(Contracts!$M$2:$M$151,$AB1306)/IF(INDEX(Contracts!$N$2:$N$151,$AB1306)="",12,INDEX(Contracts!$N$2:$N$151,$AB1306)),IF(INDEX(Contracts!$I$2:$I$151,$AB1306)="MONTHLY",INDEX(Contracts!$M$2:$M$151,$AB1306),0))*(1-N(INDEX(Contracts!$O$2:$O$151,$AB1306))),IF($Z1306="A",INDEX(Fixed_Assets!$H$2:$H$201,$AB1306)/INDEX(Fixed_Assets!$J$2:$J$201,$AB1306),IF($Z1306="F",INDEX(Workforce!$F$2:$F$151,MATCH(INDEX(FTE_Allocation!$A$2:$A$201,$AB1306),Workforce!$A$2:$A$151,0))*N(INDEX(FTE_Allocation!$F$2:$H$201,$AB1306,$AC1306)),"")))</f>
        <v/>
      </c>
    </row>
    <row r="1307">
      <c r="A1307" s="7">
        <f>IF($Z1307="","",$AD1307)</f>
        <v/>
      </c>
      <c r="B1307" s="7">
        <f>IF($Z1307="C",INDEX(Contracts!$D$2:$D$151,$AB1307)&amp;"",IF($Z1307="A",INDEX(Fixed_Assets!$C$2:$C$201,$AB1307)&amp;"",IF($Z1307="F",INDEX(Workforce!$B$2:$B$151,MATCH(INDEX(FTE_Allocation!$A$2:$A$201,$AB1307),Workforce!$A$2:$A$151,0))&amp;"","")))</f>
        <v/>
      </c>
      <c r="C1307" s="7">
        <f>IF($Z1307="C",INDEX(Contracts!$E$2:$E$151,$AB1307)&amp;"",IF($Z1307="A",INDEX(Fixed_Assets!$D$2:$D$201,$AB1307)&amp;"",IF($Z1307="F",INDEX(FTE_Allocation!$C$2:$C$201,$AB1307)&amp;"","")))</f>
        <v/>
      </c>
      <c r="D1307" s="7">
        <f>IF($Z1307="C",INDEX(Contracts!$B$2:$B$151,$AB1307)&amp;"",IF($Z1307="A",INDEX(Fixed_Assets!$B$2:$B$201,$AB1307)&amp;"",IF($Z1307="F",INDEX(FTE_Allocation!$B$2:$B$201,$AB1307)&amp;"","")))</f>
        <v/>
      </c>
      <c r="E1307" s="7">
        <f>IF($Z1307="C",INDEX(Contracts!$P$2:$P$151,$AB1307)&amp;"",IF($Z1307="A",INDEX(Fixed_Assets!$K$2:$K$201,$AB1307)&amp;"",IF($Z1307="F",IF(INDEX(FTE_Allocation!$D$2:$D$201,$AB1307)="PROJECT",IFERROR(INDEX(Projects!$D:$D,MATCH(INDEX(FTE_Allocation!$E$2:$E$201,$AB1307),Projects!$A:$A,0))&amp;"","#PROJECT?"),INDEX(FTE_Allocation!$E$2:$E$201,$AB1307)&amp;""),"")))</f>
        <v/>
      </c>
      <c r="F1307" s="7">
        <f>IF($Z1307="C",INDEX(Contracts!$Q$2:$Q$151,$AB1307)&amp;"",IF($Z1307="A",INDEX(Fixed_Assets!$L$2:$L$201,$AB1307)&amp;"",IF($Z1307="F",INDEX(Workforce!$K$2:$K$151,MATCH(INDEX(FTE_Allocation!$A$2:$A$201,$AB1307),Workforce!$A$2:$A$151,0))&amp;"","")))</f>
        <v/>
      </c>
      <c r="G1307" s="7">
        <f>IF($Z1307="C",INDEX(Contracts!$F$2:$F$151,$AB1307)&amp;" / "&amp;INDEX(Contracts!$G$2:$G$151,$AB1307),IF($Z1307="A",INDEX(Fixed_Assets!$E$2:$E$201,$AB1307)&amp;"",IF($Z1307="F","Personnel "&amp;INDEX(FTE_Allocation!$A$2:$A$201,$AB1307)&amp;IF(INDEX(FTE_Allocation!$D$2:$D$201,$AB1307)="PROJECT"," ("&amp;INDEX(FTE_Allocation!$E$2:$E$201,$AB1307)&amp;")",""),"")))</f>
        <v/>
      </c>
      <c r="H1307" s="7">
        <f>IF($Z1307="C","CONTRACT",IF($Z1307="A","ASSET",IF($Z1307="F","WORKFORCE","")))</f>
        <v/>
      </c>
      <c r="I1307" s="7">
        <f>IF($Z1307="C",INDEX(Contracts!$L$2:$L$151,$AB1307)&amp;"",IF($Z1307="A",INDEX(Fixed_Assets!$I$2:$I$201,$AB1307)&amp;"",IF($Z1307="F",INDEX(Workforce!$G$2:$G$151,MATCH(INDEX(FTE_Allocation!$A$2:$A$201,$AB1307),Workforce!$A$2:$A$151,0))&amp;"","")))</f>
        <v/>
      </c>
      <c r="J1307" s="18">
        <f>IF($Z1307="","",IF(AND(DATE($AD1307,1,1)&gt;=$AE1307,DATE($AD1307,1,1)&lt;=$AF1307),ROUND($AG1307,2),0))</f>
        <v/>
      </c>
      <c r="K1307" s="18">
        <f>IF($Z1307="","",IF(AND(DATE($AD1307,2,1)&gt;=$AE1307,DATE($AD1307,2,1)&lt;=$AF1307),ROUND($AG1307,2),0))</f>
        <v/>
      </c>
      <c r="L1307" s="18">
        <f>IF($Z1307="","",IF(AND(DATE($AD1307,3,1)&gt;=$AE1307,DATE($AD1307,3,1)&lt;=$AF1307),ROUND($AG1307,2),0))</f>
        <v/>
      </c>
      <c r="M1307" s="18">
        <f>IF($Z1307="","",IF(AND(DATE($AD1307,4,1)&gt;=$AE1307,DATE($AD1307,4,1)&lt;=$AF1307),ROUND($AG1307,2),0))</f>
        <v/>
      </c>
      <c r="N1307" s="18">
        <f>IF($Z1307="","",IF(AND(DATE($AD1307,5,1)&gt;=$AE1307,DATE($AD1307,5,1)&lt;=$AF1307),ROUND($AG1307,2),0))</f>
        <v/>
      </c>
      <c r="O1307" s="18">
        <f>IF($Z1307="","",IF(AND(DATE($AD1307,6,1)&gt;=$AE1307,DATE($AD1307,6,1)&lt;=$AF1307),ROUND($AG1307,2),0))</f>
        <v/>
      </c>
      <c r="P1307" s="18">
        <f>IF($Z1307="","",IF(AND(DATE($AD1307,7,1)&gt;=$AE1307,DATE($AD1307,7,1)&lt;=$AF1307),ROUND($AG1307,2),0))</f>
        <v/>
      </c>
      <c r="Q1307" s="18">
        <f>IF($Z1307="","",IF(AND(DATE($AD1307,8,1)&gt;=$AE1307,DATE($AD1307,8,1)&lt;=$AF1307),ROUND($AG1307,2),0))</f>
        <v/>
      </c>
      <c r="R1307" s="18">
        <f>IF($Z1307="","",IF(AND(DATE($AD1307,9,1)&gt;=$AE1307,DATE($AD1307,9,1)&lt;=$AF1307),ROUND($AG1307,2),0))</f>
        <v/>
      </c>
      <c r="S1307" s="18">
        <f>IF($Z1307="","",IF(AND(DATE($AD1307,10,1)&gt;=$AE1307,DATE($AD1307,10,1)&lt;=$AF1307),ROUND($AG1307,2),0))</f>
        <v/>
      </c>
      <c r="T1307" s="18">
        <f>IF($Z1307="","",IF(AND(DATE($AD1307,11,1)&gt;=$AE1307,DATE($AD1307,11,1)&lt;=$AF1307),ROUND($AG1307,2),0))</f>
        <v/>
      </c>
      <c r="U1307" s="18">
        <f>IF($Z1307="","",IF(AND(DATE($AD1307,12,1)&gt;=$AE1307,DATE($AD1307,12,1)&lt;=$AF1307),ROUND($AG1307,2),0))</f>
        <v/>
      </c>
      <c r="V1307" s="7">
        <f>IF($Z1307="C","Generated from "&amp;INDEX(Contracts!$A$2:$A$151,$AB1307),IF($Z1307="A","Generated from "&amp;INDEX(Fixed_Assets!$A$2:$A$201,$AB1307),IF($Z1307="F","Generated from "&amp;INDEX(FTE_Allocation!$A$2:$A$201,$AB1307),"")))</f>
        <v/>
      </c>
      <c r="X1307" s="19">
        <f>IF($Z1307="","",SUM(J1307:U1307))</f>
        <v/>
      </c>
      <c r="Y1307" s="20">
        <f>ROW()-1</f>
        <v/>
      </c>
      <c r="Z1307" s="20">
        <f>IF($Y1307&lt;=Settings!$B$4*3,"C",IF($Y1307&lt;=(Settings!$B$4+Settings!$B$5)*3,"A",IF($Y1307&lt;=(Settings!$B$4+Settings!$B$5+Settings!$B$6)*3,"F","")))</f>
        <v/>
      </c>
      <c r="AA1307" s="20">
        <f>IF($Z1307="C",$Y1307,IF($Z1307="A",$Y1307-Settings!$B$4*3,IF($Z1307="F",$Y1307-(Settings!$B$4+Settings!$B$5)*3,"")))</f>
        <v/>
      </c>
      <c r="AB1307" s="20">
        <f>IF($Z1307="","",INT(($AA1307-1)/3)+1)</f>
        <v/>
      </c>
      <c r="AC1307" s="20">
        <f>IF($Z1307="","",MOD($AA1307-1,3)+1)</f>
        <v/>
      </c>
      <c r="AD1307" s="20">
        <f>IF($Z1307="","",Settings!$B$2+$AC1307-1)</f>
        <v/>
      </c>
      <c r="AE1307" s="21">
        <f>IF($Z1307="C",DATE(YEAR(INDEX(Contracts!$J$2:$J$151,$AB1307)),MONTH(INDEX(Contracts!$J$2:$J$151,$AB1307)),1),IF($Z1307="A",DATE(YEAR(INDEX(Fixed_Assets!$G$2:$G$201,$AB1307)),MONTH(INDEX(Fixed_Assets!$G$2:$G$201,$AB1307)),1),IF($Z1307="F",DATE(YEAR(MAX(N(INDEX(Workforce!$I$2:$I$151,MATCH(INDEX(FTE_Allocation!$A$2:$A$201,$AB1307),Workforce!$A$2:$A$151,0))),N(INDEX(FTE_Allocation!$I$2:$I$201,$AB1307)))),MONTH(MAX(N(INDEX(Workforce!$I$2:$I$151,MATCH(INDEX(FTE_Allocation!$A$2:$A$201,$AB1307),Workforce!$A$2:$A$151,0))),N(INDEX(FTE_Allocation!$I$2:$I$201,$AB1307)))),1),"")))</f>
        <v/>
      </c>
      <c r="AF1307" s="21">
        <f>IF($Z1307="C",IF(INDEX(Contracts!$I$2:$I$151,$AB1307)="PREPAID",EDATE(DATE(YEAR(INDEX(Contracts!$J$2:$J$151,$AB1307)),MONTH(INDEX(Contracts!$J$2:$J$151,$AB1307)),1),IF(INDEX(Contracts!$N$2:$N$151,$AB1307)="",12,INDEX(Contracts!$N$2:$N$151,$AB1307))-1),IF(INDEX(Contracts!$I$2:$I$151,$AB1307)="MONTHLY",IF(INDEX(Contracts!$K$2:$K$151,$AB1307)="",2958101,INDEX(Contracts!$K$2:$K$151,$AB1307)),0)),IF($Z1307="A",EDATE(DATE(YEAR(INDEX(Fixed_Assets!$G$2:$G$201,$AB1307)),MONTH(INDEX(Fixed_Assets!$G$2:$G$201,$AB1307)),1),INDEX(Fixed_Assets!$J$2:$J$201,$AB1307)-1),IF($Z1307="F",MIN(IF(INDEX(Workforce!$J$2:$J$151,MATCH(INDEX(FTE_Allocation!$A$2:$A$201,$AB1307),Workforce!$A$2:$A$151,0))="",2958101,INDEX(Workforce!$J$2:$J$151,MATCH(INDEX(FTE_Allocation!$A$2:$A$201,$AB1307),Workforce!$A$2:$A$151,0))),IF(INDEX(FTE_Allocation!$J$2:$J$201,$AB1307)="",2958101,INDEX(FTE_Allocation!$J$2:$J$201,$AB1307))),"")))</f>
        <v/>
      </c>
      <c r="AG1307" s="19">
        <f>IF($Z1307="C",IF(INDEX(Contracts!$I$2:$I$151,$AB1307)="PREPAID",INDEX(Contracts!$M$2:$M$151,$AB1307)/IF(INDEX(Contracts!$N$2:$N$151,$AB1307)="",12,INDEX(Contracts!$N$2:$N$151,$AB1307)),IF(INDEX(Contracts!$I$2:$I$151,$AB1307)="MONTHLY",INDEX(Contracts!$M$2:$M$151,$AB1307),0))*(1-N(INDEX(Contracts!$O$2:$O$151,$AB1307))),IF($Z1307="A",INDEX(Fixed_Assets!$H$2:$H$201,$AB1307)/INDEX(Fixed_Assets!$J$2:$J$201,$AB1307),IF($Z1307="F",INDEX(Workforce!$F$2:$F$151,MATCH(INDEX(FTE_Allocation!$A$2:$A$201,$AB1307),Workforce!$A$2:$A$151,0))*N(INDEX(FTE_Allocation!$F$2:$H$201,$AB1307,$AC1307)),"")))</f>
        <v/>
      </c>
    </row>
    <row r="1308">
      <c r="A1308" s="7">
        <f>IF($Z1308="","",$AD1308)</f>
        <v/>
      </c>
      <c r="B1308" s="7">
        <f>IF($Z1308="C",INDEX(Contracts!$D$2:$D$151,$AB1308)&amp;"",IF($Z1308="A",INDEX(Fixed_Assets!$C$2:$C$201,$AB1308)&amp;"",IF($Z1308="F",INDEX(Workforce!$B$2:$B$151,MATCH(INDEX(FTE_Allocation!$A$2:$A$201,$AB1308),Workforce!$A$2:$A$151,0))&amp;"","")))</f>
        <v/>
      </c>
      <c r="C1308" s="7">
        <f>IF($Z1308="C",INDEX(Contracts!$E$2:$E$151,$AB1308)&amp;"",IF($Z1308="A",INDEX(Fixed_Assets!$D$2:$D$201,$AB1308)&amp;"",IF($Z1308="F",INDEX(FTE_Allocation!$C$2:$C$201,$AB1308)&amp;"","")))</f>
        <v/>
      </c>
      <c r="D1308" s="7">
        <f>IF($Z1308="C",INDEX(Contracts!$B$2:$B$151,$AB1308)&amp;"",IF($Z1308="A",INDEX(Fixed_Assets!$B$2:$B$201,$AB1308)&amp;"",IF($Z1308="F",INDEX(FTE_Allocation!$B$2:$B$201,$AB1308)&amp;"","")))</f>
        <v/>
      </c>
      <c r="E1308" s="7">
        <f>IF($Z1308="C",INDEX(Contracts!$P$2:$P$151,$AB1308)&amp;"",IF($Z1308="A",INDEX(Fixed_Assets!$K$2:$K$201,$AB1308)&amp;"",IF($Z1308="F",IF(INDEX(FTE_Allocation!$D$2:$D$201,$AB1308)="PROJECT",IFERROR(INDEX(Projects!$D:$D,MATCH(INDEX(FTE_Allocation!$E$2:$E$201,$AB1308),Projects!$A:$A,0))&amp;"","#PROJECT?"),INDEX(FTE_Allocation!$E$2:$E$201,$AB1308)&amp;""),"")))</f>
        <v/>
      </c>
      <c r="F1308" s="7">
        <f>IF($Z1308="C",INDEX(Contracts!$Q$2:$Q$151,$AB1308)&amp;"",IF($Z1308="A",INDEX(Fixed_Assets!$L$2:$L$201,$AB1308)&amp;"",IF($Z1308="F",INDEX(Workforce!$K$2:$K$151,MATCH(INDEX(FTE_Allocation!$A$2:$A$201,$AB1308),Workforce!$A$2:$A$151,0))&amp;"","")))</f>
        <v/>
      </c>
      <c r="G1308" s="7">
        <f>IF($Z1308="C",INDEX(Contracts!$F$2:$F$151,$AB1308)&amp;" / "&amp;INDEX(Contracts!$G$2:$G$151,$AB1308),IF($Z1308="A",INDEX(Fixed_Assets!$E$2:$E$201,$AB1308)&amp;"",IF($Z1308="F","Personnel "&amp;INDEX(FTE_Allocation!$A$2:$A$201,$AB1308)&amp;IF(INDEX(FTE_Allocation!$D$2:$D$201,$AB1308)="PROJECT"," ("&amp;INDEX(FTE_Allocation!$E$2:$E$201,$AB1308)&amp;")",""),"")))</f>
        <v/>
      </c>
      <c r="H1308" s="7">
        <f>IF($Z1308="C","CONTRACT",IF($Z1308="A","ASSET",IF($Z1308="F","WORKFORCE","")))</f>
        <v/>
      </c>
      <c r="I1308" s="7">
        <f>IF($Z1308="C",INDEX(Contracts!$L$2:$L$151,$AB1308)&amp;"",IF($Z1308="A",INDEX(Fixed_Assets!$I$2:$I$201,$AB1308)&amp;"",IF($Z1308="F",INDEX(Workforce!$G$2:$G$151,MATCH(INDEX(FTE_Allocation!$A$2:$A$201,$AB1308),Workforce!$A$2:$A$151,0))&amp;"","")))</f>
        <v/>
      </c>
      <c r="J1308" s="18">
        <f>IF($Z1308="","",IF(AND(DATE($AD1308,1,1)&gt;=$AE1308,DATE($AD1308,1,1)&lt;=$AF1308),ROUND($AG1308,2),0))</f>
        <v/>
      </c>
      <c r="K1308" s="18">
        <f>IF($Z1308="","",IF(AND(DATE($AD1308,2,1)&gt;=$AE1308,DATE($AD1308,2,1)&lt;=$AF1308),ROUND($AG1308,2),0))</f>
        <v/>
      </c>
      <c r="L1308" s="18">
        <f>IF($Z1308="","",IF(AND(DATE($AD1308,3,1)&gt;=$AE1308,DATE($AD1308,3,1)&lt;=$AF1308),ROUND($AG1308,2),0))</f>
        <v/>
      </c>
      <c r="M1308" s="18">
        <f>IF($Z1308="","",IF(AND(DATE($AD1308,4,1)&gt;=$AE1308,DATE($AD1308,4,1)&lt;=$AF1308),ROUND($AG1308,2),0))</f>
        <v/>
      </c>
      <c r="N1308" s="18">
        <f>IF($Z1308="","",IF(AND(DATE($AD1308,5,1)&gt;=$AE1308,DATE($AD1308,5,1)&lt;=$AF1308),ROUND($AG1308,2),0))</f>
        <v/>
      </c>
      <c r="O1308" s="18">
        <f>IF($Z1308="","",IF(AND(DATE($AD1308,6,1)&gt;=$AE1308,DATE($AD1308,6,1)&lt;=$AF1308),ROUND($AG1308,2),0))</f>
        <v/>
      </c>
      <c r="P1308" s="18">
        <f>IF($Z1308="","",IF(AND(DATE($AD1308,7,1)&gt;=$AE1308,DATE($AD1308,7,1)&lt;=$AF1308),ROUND($AG1308,2),0))</f>
        <v/>
      </c>
      <c r="Q1308" s="18">
        <f>IF($Z1308="","",IF(AND(DATE($AD1308,8,1)&gt;=$AE1308,DATE($AD1308,8,1)&lt;=$AF1308),ROUND($AG1308,2),0))</f>
        <v/>
      </c>
      <c r="R1308" s="18">
        <f>IF($Z1308="","",IF(AND(DATE($AD1308,9,1)&gt;=$AE1308,DATE($AD1308,9,1)&lt;=$AF1308),ROUND($AG1308,2),0))</f>
        <v/>
      </c>
      <c r="S1308" s="18">
        <f>IF($Z1308="","",IF(AND(DATE($AD1308,10,1)&gt;=$AE1308,DATE($AD1308,10,1)&lt;=$AF1308),ROUND($AG1308,2),0))</f>
        <v/>
      </c>
      <c r="T1308" s="18">
        <f>IF($Z1308="","",IF(AND(DATE($AD1308,11,1)&gt;=$AE1308,DATE($AD1308,11,1)&lt;=$AF1308),ROUND($AG1308,2),0))</f>
        <v/>
      </c>
      <c r="U1308" s="18">
        <f>IF($Z1308="","",IF(AND(DATE($AD1308,12,1)&gt;=$AE1308,DATE($AD1308,12,1)&lt;=$AF1308),ROUND($AG1308,2),0))</f>
        <v/>
      </c>
      <c r="V1308" s="7">
        <f>IF($Z1308="C","Generated from "&amp;INDEX(Contracts!$A$2:$A$151,$AB1308),IF($Z1308="A","Generated from "&amp;INDEX(Fixed_Assets!$A$2:$A$201,$AB1308),IF($Z1308="F","Generated from "&amp;INDEX(FTE_Allocation!$A$2:$A$201,$AB1308),"")))</f>
        <v/>
      </c>
      <c r="X1308" s="19">
        <f>IF($Z1308="","",SUM(J1308:U1308))</f>
        <v/>
      </c>
      <c r="Y1308" s="20">
        <f>ROW()-1</f>
        <v/>
      </c>
      <c r="Z1308" s="20">
        <f>IF($Y1308&lt;=Settings!$B$4*3,"C",IF($Y1308&lt;=(Settings!$B$4+Settings!$B$5)*3,"A",IF($Y1308&lt;=(Settings!$B$4+Settings!$B$5+Settings!$B$6)*3,"F","")))</f>
        <v/>
      </c>
      <c r="AA1308" s="20">
        <f>IF($Z1308="C",$Y1308,IF($Z1308="A",$Y1308-Settings!$B$4*3,IF($Z1308="F",$Y1308-(Settings!$B$4+Settings!$B$5)*3,"")))</f>
        <v/>
      </c>
      <c r="AB1308" s="20">
        <f>IF($Z1308="","",INT(($AA1308-1)/3)+1)</f>
        <v/>
      </c>
      <c r="AC1308" s="20">
        <f>IF($Z1308="","",MOD($AA1308-1,3)+1)</f>
        <v/>
      </c>
      <c r="AD1308" s="20">
        <f>IF($Z1308="","",Settings!$B$2+$AC1308-1)</f>
        <v/>
      </c>
      <c r="AE1308" s="21">
        <f>IF($Z1308="C",DATE(YEAR(INDEX(Contracts!$J$2:$J$151,$AB1308)),MONTH(INDEX(Contracts!$J$2:$J$151,$AB1308)),1),IF($Z1308="A",DATE(YEAR(INDEX(Fixed_Assets!$G$2:$G$201,$AB1308)),MONTH(INDEX(Fixed_Assets!$G$2:$G$201,$AB1308)),1),IF($Z1308="F",DATE(YEAR(MAX(N(INDEX(Workforce!$I$2:$I$151,MATCH(INDEX(FTE_Allocation!$A$2:$A$201,$AB1308),Workforce!$A$2:$A$151,0))),N(INDEX(FTE_Allocation!$I$2:$I$201,$AB1308)))),MONTH(MAX(N(INDEX(Workforce!$I$2:$I$151,MATCH(INDEX(FTE_Allocation!$A$2:$A$201,$AB1308),Workforce!$A$2:$A$151,0))),N(INDEX(FTE_Allocation!$I$2:$I$201,$AB1308)))),1),"")))</f>
        <v/>
      </c>
      <c r="AF1308" s="21">
        <f>IF($Z1308="C",IF(INDEX(Contracts!$I$2:$I$151,$AB1308)="PREPAID",EDATE(DATE(YEAR(INDEX(Contracts!$J$2:$J$151,$AB1308)),MONTH(INDEX(Contracts!$J$2:$J$151,$AB1308)),1),IF(INDEX(Contracts!$N$2:$N$151,$AB1308)="",12,INDEX(Contracts!$N$2:$N$151,$AB1308))-1),IF(INDEX(Contracts!$I$2:$I$151,$AB1308)="MONTHLY",IF(INDEX(Contracts!$K$2:$K$151,$AB1308)="",2958101,INDEX(Contracts!$K$2:$K$151,$AB1308)),0)),IF($Z1308="A",EDATE(DATE(YEAR(INDEX(Fixed_Assets!$G$2:$G$201,$AB1308)),MONTH(INDEX(Fixed_Assets!$G$2:$G$201,$AB1308)),1),INDEX(Fixed_Assets!$J$2:$J$201,$AB1308)-1),IF($Z1308="F",MIN(IF(INDEX(Workforce!$J$2:$J$151,MATCH(INDEX(FTE_Allocation!$A$2:$A$201,$AB1308),Workforce!$A$2:$A$151,0))="",2958101,INDEX(Workforce!$J$2:$J$151,MATCH(INDEX(FTE_Allocation!$A$2:$A$201,$AB1308),Workforce!$A$2:$A$151,0))),IF(INDEX(FTE_Allocation!$J$2:$J$201,$AB1308)="",2958101,INDEX(FTE_Allocation!$J$2:$J$201,$AB1308))),"")))</f>
        <v/>
      </c>
      <c r="AG1308" s="19">
        <f>IF($Z1308="C",IF(INDEX(Contracts!$I$2:$I$151,$AB1308)="PREPAID",INDEX(Contracts!$M$2:$M$151,$AB1308)/IF(INDEX(Contracts!$N$2:$N$151,$AB1308)="",12,INDEX(Contracts!$N$2:$N$151,$AB1308)),IF(INDEX(Contracts!$I$2:$I$151,$AB1308)="MONTHLY",INDEX(Contracts!$M$2:$M$151,$AB1308),0))*(1-N(INDEX(Contracts!$O$2:$O$151,$AB1308))),IF($Z1308="A",INDEX(Fixed_Assets!$H$2:$H$201,$AB1308)/INDEX(Fixed_Assets!$J$2:$J$201,$AB1308),IF($Z1308="F",INDEX(Workforce!$F$2:$F$151,MATCH(INDEX(FTE_Allocation!$A$2:$A$201,$AB1308),Workforce!$A$2:$A$151,0))*N(INDEX(FTE_Allocation!$F$2:$H$201,$AB1308,$AC1308)),"")))</f>
        <v/>
      </c>
    </row>
    <row r="1309">
      <c r="A1309" s="7">
        <f>IF($Z1309="","",$AD1309)</f>
        <v/>
      </c>
      <c r="B1309" s="7">
        <f>IF($Z1309="C",INDEX(Contracts!$D$2:$D$151,$AB1309)&amp;"",IF($Z1309="A",INDEX(Fixed_Assets!$C$2:$C$201,$AB1309)&amp;"",IF($Z1309="F",INDEX(Workforce!$B$2:$B$151,MATCH(INDEX(FTE_Allocation!$A$2:$A$201,$AB1309),Workforce!$A$2:$A$151,0))&amp;"","")))</f>
        <v/>
      </c>
      <c r="C1309" s="7">
        <f>IF($Z1309="C",INDEX(Contracts!$E$2:$E$151,$AB1309)&amp;"",IF($Z1309="A",INDEX(Fixed_Assets!$D$2:$D$201,$AB1309)&amp;"",IF($Z1309="F",INDEX(FTE_Allocation!$C$2:$C$201,$AB1309)&amp;"","")))</f>
        <v/>
      </c>
      <c r="D1309" s="7">
        <f>IF($Z1309="C",INDEX(Contracts!$B$2:$B$151,$AB1309)&amp;"",IF($Z1309="A",INDEX(Fixed_Assets!$B$2:$B$201,$AB1309)&amp;"",IF($Z1309="F",INDEX(FTE_Allocation!$B$2:$B$201,$AB1309)&amp;"","")))</f>
        <v/>
      </c>
      <c r="E1309" s="7">
        <f>IF($Z1309="C",INDEX(Contracts!$P$2:$P$151,$AB1309)&amp;"",IF($Z1309="A",INDEX(Fixed_Assets!$K$2:$K$201,$AB1309)&amp;"",IF($Z1309="F",IF(INDEX(FTE_Allocation!$D$2:$D$201,$AB1309)="PROJECT",IFERROR(INDEX(Projects!$D:$D,MATCH(INDEX(FTE_Allocation!$E$2:$E$201,$AB1309),Projects!$A:$A,0))&amp;"","#PROJECT?"),INDEX(FTE_Allocation!$E$2:$E$201,$AB1309)&amp;""),"")))</f>
        <v/>
      </c>
      <c r="F1309" s="7">
        <f>IF($Z1309="C",INDEX(Contracts!$Q$2:$Q$151,$AB1309)&amp;"",IF($Z1309="A",INDEX(Fixed_Assets!$L$2:$L$201,$AB1309)&amp;"",IF($Z1309="F",INDEX(Workforce!$K$2:$K$151,MATCH(INDEX(FTE_Allocation!$A$2:$A$201,$AB1309),Workforce!$A$2:$A$151,0))&amp;"","")))</f>
        <v/>
      </c>
      <c r="G1309" s="7">
        <f>IF($Z1309="C",INDEX(Contracts!$F$2:$F$151,$AB1309)&amp;" / "&amp;INDEX(Contracts!$G$2:$G$151,$AB1309),IF($Z1309="A",INDEX(Fixed_Assets!$E$2:$E$201,$AB1309)&amp;"",IF($Z1309="F","Personnel "&amp;INDEX(FTE_Allocation!$A$2:$A$201,$AB1309)&amp;IF(INDEX(FTE_Allocation!$D$2:$D$201,$AB1309)="PROJECT"," ("&amp;INDEX(FTE_Allocation!$E$2:$E$201,$AB1309)&amp;")",""),"")))</f>
        <v/>
      </c>
      <c r="H1309" s="7">
        <f>IF($Z1309="C","CONTRACT",IF($Z1309="A","ASSET",IF($Z1309="F","WORKFORCE","")))</f>
        <v/>
      </c>
      <c r="I1309" s="7">
        <f>IF($Z1309="C",INDEX(Contracts!$L$2:$L$151,$AB1309)&amp;"",IF($Z1309="A",INDEX(Fixed_Assets!$I$2:$I$201,$AB1309)&amp;"",IF($Z1309="F",INDEX(Workforce!$G$2:$G$151,MATCH(INDEX(FTE_Allocation!$A$2:$A$201,$AB1309),Workforce!$A$2:$A$151,0))&amp;"","")))</f>
        <v/>
      </c>
      <c r="J1309" s="18">
        <f>IF($Z1309="","",IF(AND(DATE($AD1309,1,1)&gt;=$AE1309,DATE($AD1309,1,1)&lt;=$AF1309),ROUND($AG1309,2),0))</f>
        <v/>
      </c>
      <c r="K1309" s="18">
        <f>IF($Z1309="","",IF(AND(DATE($AD1309,2,1)&gt;=$AE1309,DATE($AD1309,2,1)&lt;=$AF1309),ROUND($AG1309,2),0))</f>
        <v/>
      </c>
      <c r="L1309" s="18">
        <f>IF($Z1309="","",IF(AND(DATE($AD1309,3,1)&gt;=$AE1309,DATE($AD1309,3,1)&lt;=$AF1309),ROUND($AG1309,2),0))</f>
        <v/>
      </c>
      <c r="M1309" s="18">
        <f>IF($Z1309="","",IF(AND(DATE($AD1309,4,1)&gt;=$AE1309,DATE($AD1309,4,1)&lt;=$AF1309),ROUND($AG1309,2),0))</f>
        <v/>
      </c>
      <c r="N1309" s="18">
        <f>IF($Z1309="","",IF(AND(DATE($AD1309,5,1)&gt;=$AE1309,DATE($AD1309,5,1)&lt;=$AF1309),ROUND($AG1309,2),0))</f>
        <v/>
      </c>
      <c r="O1309" s="18">
        <f>IF($Z1309="","",IF(AND(DATE($AD1309,6,1)&gt;=$AE1309,DATE($AD1309,6,1)&lt;=$AF1309),ROUND($AG1309,2),0))</f>
        <v/>
      </c>
      <c r="P1309" s="18">
        <f>IF($Z1309="","",IF(AND(DATE($AD1309,7,1)&gt;=$AE1309,DATE($AD1309,7,1)&lt;=$AF1309),ROUND($AG1309,2),0))</f>
        <v/>
      </c>
      <c r="Q1309" s="18">
        <f>IF($Z1309="","",IF(AND(DATE($AD1309,8,1)&gt;=$AE1309,DATE($AD1309,8,1)&lt;=$AF1309),ROUND($AG1309,2),0))</f>
        <v/>
      </c>
      <c r="R1309" s="18">
        <f>IF($Z1309="","",IF(AND(DATE($AD1309,9,1)&gt;=$AE1309,DATE($AD1309,9,1)&lt;=$AF1309),ROUND($AG1309,2),0))</f>
        <v/>
      </c>
      <c r="S1309" s="18">
        <f>IF($Z1309="","",IF(AND(DATE($AD1309,10,1)&gt;=$AE1309,DATE($AD1309,10,1)&lt;=$AF1309),ROUND($AG1309,2),0))</f>
        <v/>
      </c>
      <c r="T1309" s="18">
        <f>IF($Z1309="","",IF(AND(DATE($AD1309,11,1)&gt;=$AE1309,DATE($AD1309,11,1)&lt;=$AF1309),ROUND($AG1309,2),0))</f>
        <v/>
      </c>
      <c r="U1309" s="18">
        <f>IF($Z1309="","",IF(AND(DATE($AD1309,12,1)&gt;=$AE1309,DATE($AD1309,12,1)&lt;=$AF1309),ROUND($AG1309,2),0))</f>
        <v/>
      </c>
      <c r="V1309" s="7">
        <f>IF($Z1309="C","Generated from "&amp;INDEX(Contracts!$A$2:$A$151,$AB1309),IF($Z1309="A","Generated from "&amp;INDEX(Fixed_Assets!$A$2:$A$201,$AB1309),IF($Z1309="F","Generated from "&amp;INDEX(FTE_Allocation!$A$2:$A$201,$AB1309),"")))</f>
        <v/>
      </c>
      <c r="X1309" s="19">
        <f>IF($Z1309="","",SUM(J1309:U1309))</f>
        <v/>
      </c>
      <c r="Y1309" s="20">
        <f>ROW()-1</f>
        <v/>
      </c>
      <c r="Z1309" s="20">
        <f>IF($Y1309&lt;=Settings!$B$4*3,"C",IF($Y1309&lt;=(Settings!$B$4+Settings!$B$5)*3,"A",IF($Y1309&lt;=(Settings!$B$4+Settings!$B$5+Settings!$B$6)*3,"F","")))</f>
        <v/>
      </c>
      <c r="AA1309" s="20">
        <f>IF($Z1309="C",$Y1309,IF($Z1309="A",$Y1309-Settings!$B$4*3,IF($Z1309="F",$Y1309-(Settings!$B$4+Settings!$B$5)*3,"")))</f>
        <v/>
      </c>
      <c r="AB1309" s="20">
        <f>IF($Z1309="","",INT(($AA1309-1)/3)+1)</f>
        <v/>
      </c>
      <c r="AC1309" s="20">
        <f>IF($Z1309="","",MOD($AA1309-1,3)+1)</f>
        <v/>
      </c>
      <c r="AD1309" s="20">
        <f>IF($Z1309="","",Settings!$B$2+$AC1309-1)</f>
        <v/>
      </c>
      <c r="AE1309" s="21">
        <f>IF($Z1309="C",DATE(YEAR(INDEX(Contracts!$J$2:$J$151,$AB1309)),MONTH(INDEX(Contracts!$J$2:$J$151,$AB1309)),1),IF($Z1309="A",DATE(YEAR(INDEX(Fixed_Assets!$G$2:$G$201,$AB1309)),MONTH(INDEX(Fixed_Assets!$G$2:$G$201,$AB1309)),1),IF($Z1309="F",DATE(YEAR(MAX(N(INDEX(Workforce!$I$2:$I$151,MATCH(INDEX(FTE_Allocation!$A$2:$A$201,$AB1309),Workforce!$A$2:$A$151,0))),N(INDEX(FTE_Allocation!$I$2:$I$201,$AB1309)))),MONTH(MAX(N(INDEX(Workforce!$I$2:$I$151,MATCH(INDEX(FTE_Allocation!$A$2:$A$201,$AB1309),Workforce!$A$2:$A$151,0))),N(INDEX(FTE_Allocation!$I$2:$I$201,$AB1309)))),1),"")))</f>
        <v/>
      </c>
      <c r="AF1309" s="21">
        <f>IF($Z1309="C",IF(INDEX(Contracts!$I$2:$I$151,$AB1309)="PREPAID",EDATE(DATE(YEAR(INDEX(Contracts!$J$2:$J$151,$AB1309)),MONTH(INDEX(Contracts!$J$2:$J$151,$AB1309)),1),IF(INDEX(Contracts!$N$2:$N$151,$AB1309)="",12,INDEX(Contracts!$N$2:$N$151,$AB1309))-1),IF(INDEX(Contracts!$I$2:$I$151,$AB1309)="MONTHLY",IF(INDEX(Contracts!$K$2:$K$151,$AB1309)="",2958101,INDEX(Contracts!$K$2:$K$151,$AB1309)),0)),IF($Z1309="A",EDATE(DATE(YEAR(INDEX(Fixed_Assets!$G$2:$G$201,$AB1309)),MONTH(INDEX(Fixed_Assets!$G$2:$G$201,$AB1309)),1),INDEX(Fixed_Assets!$J$2:$J$201,$AB1309)-1),IF($Z1309="F",MIN(IF(INDEX(Workforce!$J$2:$J$151,MATCH(INDEX(FTE_Allocation!$A$2:$A$201,$AB1309),Workforce!$A$2:$A$151,0))="",2958101,INDEX(Workforce!$J$2:$J$151,MATCH(INDEX(FTE_Allocation!$A$2:$A$201,$AB1309),Workforce!$A$2:$A$151,0))),IF(INDEX(FTE_Allocation!$J$2:$J$201,$AB1309)="",2958101,INDEX(FTE_Allocation!$J$2:$J$201,$AB1309))),"")))</f>
        <v/>
      </c>
      <c r="AG1309" s="19">
        <f>IF($Z1309="C",IF(INDEX(Contracts!$I$2:$I$151,$AB1309)="PREPAID",INDEX(Contracts!$M$2:$M$151,$AB1309)/IF(INDEX(Contracts!$N$2:$N$151,$AB1309)="",12,INDEX(Contracts!$N$2:$N$151,$AB1309)),IF(INDEX(Contracts!$I$2:$I$151,$AB1309)="MONTHLY",INDEX(Contracts!$M$2:$M$151,$AB1309),0))*(1-N(INDEX(Contracts!$O$2:$O$151,$AB1309))),IF($Z1309="A",INDEX(Fixed_Assets!$H$2:$H$201,$AB1309)/INDEX(Fixed_Assets!$J$2:$J$201,$AB1309),IF($Z1309="F",INDEX(Workforce!$F$2:$F$151,MATCH(INDEX(FTE_Allocation!$A$2:$A$201,$AB1309),Workforce!$A$2:$A$151,0))*N(INDEX(FTE_Allocation!$F$2:$H$201,$AB1309,$AC1309)),"")))</f>
        <v/>
      </c>
    </row>
    <row r="1310">
      <c r="A1310" s="7">
        <f>IF($Z1310="","",$AD1310)</f>
        <v/>
      </c>
      <c r="B1310" s="7">
        <f>IF($Z1310="C",INDEX(Contracts!$D$2:$D$151,$AB1310)&amp;"",IF($Z1310="A",INDEX(Fixed_Assets!$C$2:$C$201,$AB1310)&amp;"",IF($Z1310="F",INDEX(Workforce!$B$2:$B$151,MATCH(INDEX(FTE_Allocation!$A$2:$A$201,$AB1310),Workforce!$A$2:$A$151,0))&amp;"","")))</f>
        <v/>
      </c>
      <c r="C1310" s="7">
        <f>IF($Z1310="C",INDEX(Contracts!$E$2:$E$151,$AB1310)&amp;"",IF($Z1310="A",INDEX(Fixed_Assets!$D$2:$D$201,$AB1310)&amp;"",IF($Z1310="F",INDEX(FTE_Allocation!$C$2:$C$201,$AB1310)&amp;"","")))</f>
        <v/>
      </c>
      <c r="D1310" s="7">
        <f>IF($Z1310="C",INDEX(Contracts!$B$2:$B$151,$AB1310)&amp;"",IF($Z1310="A",INDEX(Fixed_Assets!$B$2:$B$201,$AB1310)&amp;"",IF($Z1310="F",INDEX(FTE_Allocation!$B$2:$B$201,$AB1310)&amp;"","")))</f>
        <v/>
      </c>
      <c r="E1310" s="7">
        <f>IF($Z1310="C",INDEX(Contracts!$P$2:$P$151,$AB1310)&amp;"",IF($Z1310="A",INDEX(Fixed_Assets!$K$2:$K$201,$AB1310)&amp;"",IF($Z1310="F",IF(INDEX(FTE_Allocation!$D$2:$D$201,$AB1310)="PROJECT",IFERROR(INDEX(Projects!$D:$D,MATCH(INDEX(FTE_Allocation!$E$2:$E$201,$AB1310),Projects!$A:$A,0))&amp;"","#PROJECT?"),INDEX(FTE_Allocation!$E$2:$E$201,$AB1310)&amp;""),"")))</f>
        <v/>
      </c>
      <c r="F1310" s="7">
        <f>IF($Z1310="C",INDEX(Contracts!$Q$2:$Q$151,$AB1310)&amp;"",IF($Z1310="A",INDEX(Fixed_Assets!$L$2:$L$201,$AB1310)&amp;"",IF($Z1310="F",INDEX(Workforce!$K$2:$K$151,MATCH(INDEX(FTE_Allocation!$A$2:$A$201,$AB1310),Workforce!$A$2:$A$151,0))&amp;"","")))</f>
        <v/>
      </c>
      <c r="G1310" s="7">
        <f>IF($Z1310="C",INDEX(Contracts!$F$2:$F$151,$AB1310)&amp;" / "&amp;INDEX(Contracts!$G$2:$G$151,$AB1310),IF($Z1310="A",INDEX(Fixed_Assets!$E$2:$E$201,$AB1310)&amp;"",IF($Z1310="F","Personnel "&amp;INDEX(FTE_Allocation!$A$2:$A$201,$AB1310)&amp;IF(INDEX(FTE_Allocation!$D$2:$D$201,$AB1310)="PROJECT"," ("&amp;INDEX(FTE_Allocation!$E$2:$E$201,$AB1310)&amp;")",""),"")))</f>
        <v/>
      </c>
      <c r="H1310" s="7">
        <f>IF($Z1310="C","CONTRACT",IF($Z1310="A","ASSET",IF($Z1310="F","WORKFORCE","")))</f>
        <v/>
      </c>
      <c r="I1310" s="7">
        <f>IF($Z1310="C",INDEX(Contracts!$L$2:$L$151,$AB1310)&amp;"",IF($Z1310="A",INDEX(Fixed_Assets!$I$2:$I$201,$AB1310)&amp;"",IF($Z1310="F",INDEX(Workforce!$G$2:$G$151,MATCH(INDEX(FTE_Allocation!$A$2:$A$201,$AB1310),Workforce!$A$2:$A$151,0))&amp;"","")))</f>
        <v/>
      </c>
      <c r="J1310" s="18">
        <f>IF($Z1310="","",IF(AND(DATE($AD1310,1,1)&gt;=$AE1310,DATE($AD1310,1,1)&lt;=$AF1310),ROUND($AG1310,2),0))</f>
        <v/>
      </c>
      <c r="K1310" s="18">
        <f>IF($Z1310="","",IF(AND(DATE($AD1310,2,1)&gt;=$AE1310,DATE($AD1310,2,1)&lt;=$AF1310),ROUND($AG1310,2),0))</f>
        <v/>
      </c>
      <c r="L1310" s="18">
        <f>IF($Z1310="","",IF(AND(DATE($AD1310,3,1)&gt;=$AE1310,DATE($AD1310,3,1)&lt;=$AF1310),ROUND($AG1310,2),0))</f>
        <v/>
      </c>
      <c r="M1310" s="18">
        <f>IF($Z1310="","",IF(AND(DATE($AD1310,4,1)&gt;=$AE1310,DATE($AD1310,4,1)&lt;=$AF1310),ROUND($AG1310,2),0))</f>
        <v/>
      </c>
      <c r="N1310" s="18">
        <f>IF($Z1310="","",IF(AND(DATE($AD1310,5,1)&gt;=$AE1310,DATE($AD1310,5,1)&lt;=$AF1310),ROUND($AG1310,2),0))</f>
        <v/>
      </c>
      <c r="O1310" s="18">
        <f>IF($Z1310="","",IF(AND(DATE($AD1310,6,1)&gt;=$AE1310,DATE($AD1310,6,1)&lt;=$AF1310),ROUND($AG1310,2),0))</f>
        <v/>
      </c>
      <c r="P1310" s="18">
        <f>IF($Z1310="","",IF(AND(DATE($AD1310,7,1)&gt;=$AE1310,DATE($AD1310,7,1)&lt;=$AF1310),ROUND($AG1310,2),0))</f>
        <v/>
      </c>
      <c r="Q1310" s="18">
        <f>IF($Z1310="","",IF(AND(DATE($AD1310,8,1)&gt;=$AE1310,DATE($AD1310,8,1)&lt;=$AF1310),ROUND($AG1310,2),0))</f>
        <v/>
      </c>
      <c r="R1310" s="18">
        <f>IF($Z1310="","",IF(AND(DATE($AD1310,9,1)&gt;=$AE1310,DATE($AD1310,9,1)&lt;=$AF1310),ROUND($AG1310,2),0))</f>
        <v/>
      </c>
      <c r="S1310" s="18">
        <f>IF($Z1310="","",IF(AND(DATE($AD1310,10,1)&gt;=$AE1310,DATE($AD1310,10,1)&lt;=$AF1310),ROUND($AG1310,2),0))</f>
        <v/>
      </c>
      <c r="T1310" s="18">
        <f>IF($Z1310="","",IF(AND(DATE($AD1310,11,1)&gt;=$AE1310,DATE($AD1310,11,1)&lt;=$AF1310),ROUND($AG1310,2),0))</f>
        <v/>
      </c>
      <c r="U1310" s="18">
        <f>IF($Z1310="","",IF(AND(DATE($AD1310,12,1)&gt;=$AE1310,DATE($AD1310,12,1)&lt;=$AF1310),ROUND($AG1310,2),0))</f>
        <v/>
      </c>
      <c r="V1310" s="7">
        <f>IF($Z1310="C","Generated from "&amp;INDEX(Contracts!$A$2:$A$151,$AB1310),IF($Z1310="A","Generated from "&amp;INDEX(Fixed_Assets!$A$2:$A$201,$AB1310),IF($Z1310="F","Generated from "&amp;INDEX(FTE_Allocation!$A$2:$A$201,$AB1310),"")))</f>
        <v/>
      </c>
      <c r="X1310" s="19">
        <f>IF($Z1310="","",SUM(J1310:U1310))</f>
        <v/>
      </c>
      <c r="Y1310" s="20">
        <f>ROW()-1</f>
        <v/>
      </c>
      <c r="Z1310" s="20">
        <f>IF($Y1310&lt;=Settings!$B$4*3,"C",IF($Y1310&lt;=(Settings!$B$4+Settings!$B$5)*3,"A",IF($Y1310&lt;=(Settings!$B$4+Settings!$B$5+Settings!$B$6)*3,"F","")))</f>
        <v/>
      </c>
      <c r="AA1310" s="20">
        <f>IF($Z1310="C",$Y1310,IF($Z1310="A",$Y1310-Settings!$B$4*3,IF($Z1310="F",$Y1310-(Settings!$B$4+Settings!$B$5)*3,"")))</f>
        <v/>
      </c>
      <c r="AB1310" s="20">
        <f>IF($Z1310="","",INT(($AA1310-1)/3)+1)</f>
        <v/>
      </c>
      <c r="AC1310" s="20">
        <f>IF($Z1310="","",MOD($AA1310-1,3)+1)</f>
        <v/>
      </c>
      <c r="AD1310" s="20">
        <f>IF($Z1310="","",Settings!$B$2+$AC1310-1)</f>
        <v/>
      </c>
      <c r="AE1310" s="21">
        <f>IF($Z1310="C",DATE(YEAR(INDEX(Contracts!$J$2:$J$151,$AB1310)),MONTH(INDEX(Contracts!$J$2:$J$151,$AB1310)),1),IF($Z1310="A",DATE(YEAR(INDEX(Fixed_Assets!$G$2:$G$201,$AB1310)),MONTH(INDEX(Fixed_Assets!$G$2:$G$201,$AB1310)),1),IF($Z1310="F",DATE(YEAR(MAX(N(INDEX(Workforce!$I$2:$I$151,MATCH(INDEX(FTE_Allocation!$A$2:$A$201,$AB1310),Workforce!$A$2:$A$151,0))),N(INDEX(FTE_Allocation!$I$2:$I$201,$AB1310)))),MONTH(MAX(N(INDEX(Workforce!$I$2:$I$151,MATCH(INDEX(FTE_Allocation!$A$2:$A$201,$AB1310),Workforce!$A$2:$A$151,0))),N(INDEX(FTE_Allocation!$I$2:$I$201,$AB1310)))),1),"")))</f>
        <v/>
      </c>
      <c r="AF1310" s="21">
        <f>IF($Z1310="C",IF(INDEX(Contracts!$I$2:$I$151,$AB1310)="PREPAID",EDATE(DATE(YEAR(INDEX(Contracts!$J$2:$J$151,$AB1310)),MONTH(INDEX(Contracts!$J$2:$J$151,$AB1310)),1),IF(INDEX(Contracts!$N$2:$N$151,$AB1310)="",12,INDEX(Contracts!$N$2:$N$151,$AB1310))-1),IF(INDEX(Contracts!$I$2:$I$151,$AB1310)="MONTHLY",IF(INDEX(Contracts!$K$2:$K$151,$AB1310)="",2958101,INDEX(Contracts!$K$2:$K$151,$AB1310)),0)),IF($Z1310="A",EDATE(DATE(YEAR(INDEX(Fixed_Assets!$G$2:$G$201,$AB1310)),MONTH(INDEX(Fixed_Assets!$G$2:$G$201,$AB1310)),1),INDEX(Fixed_Assets!$J$2:$J$201,$AB1310)-1),IF($Z1310="F",MIN(IF(INDEX(Workforce!$J$2:$J$151,MATCH(INDEX(FTE_Allocation!$A$2:$A$201,$AB1310),Workforce!$A$2:$A$151,0))="",2958101,INDEX(Workforce!$J$2:$J$151,MATCH(INDEX(FTE_Allocation!$A$2:$A$201,$AB1310),Workforce!$A$2:$A$151,0))),IF(INDEX(FTE_Allocation!$J$2:$J$201,$AB1310)="",2958101,INDEX(FTE_Allocation!$J$2:$J$201,$AB1310))),"")))</f>
        <v/>
      </c>
      <c r="AG1310" s="19">
        <f>IF($Z1310="C",IF(INDEX(Contracts!$I$2:$I$151,$AB1310)="PREPAID",INDEX(Contracts!$M$2:$M$151,$AB1310)/IF(INDEX(Contracts!$N$2:$N$151,$AB1310)="",12,INDEX(Contracts!$N$2:$N$151,$AB1310)),IF(INDEX(Contracts!$I$2:$I$151,$AB1310)="MONTHLY",INDEX(Contracts!$M$2:$M$151,$AB1310),0))*(1-N(INDEX(Contracts!$O$2:$O$151,$AB1310))),IF($Z1310="A",INDEX(Fixed_Assets!$H$2:$H$201,$AB1310)/INDEX(Fixed_Assets!$J$2:$J$201,$AB1310),IF($Z1310="F",INDEX(Workforce!$F$2:$F$151,MATCH(INDEX(FTE_Allocation!$A$2:$A$201,$AB1310),Workforce!$A$2:$A$151,0))*N(INDEX(FTE_Allocation!$F$2:$H$201,$AB1310,$AC1310)),"")))</f>
        <v/>
      </c>
    </row>
    <row r="1311">
      <c r="A1311" s="7">
        <f>IF($Z1311="","",$AD1311)</f>
        <v/>
      </c>
      <c r="B1311" s="7">
        <f>IF($Z1311="C",INDEX(Contracts!$D$2:$D$151,$AB1311)&amp;"",IF($Z1311="A",INDEX(Fixed_Assets!$C$2:$C$201,$AB1311)&amp;"",IF($Z1311="F",INDEX(Workforce!$B$2:$B$151,MATCH(INDEX(FTE_Allocation!$A$2:$A$201,$AB1311),Workforce!$A$2:$A$151,0))&amp;"","")))</f>
        <v/>
      </c>
      <c r="C1311" s="7">
        <f>IF($Z1311="C",INDEX(Contracts!$E$2:$E$151,$AB1311)&amp;"",IF($Z1311="A",INDEX(Fixed_Assets!$D$2:$D$201,$AB1311)&amp;"",IF($Z1311="F",INDEX(FTE_Allocation!$C$2:$C$201,$AB1311)&amp;"","")))</f>
        <v/>
      </c>
      <c r="D1311" s="7">
        <f>IF($Z1311="C",INDEX(Contracts!$B$2:$B$151,$AB1311)&amp;"",IF($Z1311="A",INDEX(Fixed_Assets!$B$2:$B$201,$AB1311)&amp;"",IF($Z1311="F",INDEX(FTE_Allocation!$B$2:$B$201,$AB1311)&amp;"","")))</f>
        <v/>
      </c>
      <c r="E1311" s="7">
        <f>IF($Z1311="C",INDEX(Contracts!$P$2:$P$151,$AB1311)&amp;"",IF($Z1311="A",INDEX(Fixed_Assets!$K$2:$K$201,$AB1311)&amp;"",IF($Z1311="F",IF(INDEX(FTE_Allocation!$D$2:$D$201,$AB1311)="PROJECT",IFERROR(INDEX(Projects!$D:$D,MATCH(INDEX(FTE_Allocation!$E$2:$E$201,$AB1311),Projects!$A:$A,0))&amp;"","#PROJECT?"),INDEX(FTE_Allocation!$E$2:$E$201,$AB1311)&amp;""),"")))</f>
        <v/>
      </c>
      <c r="F1311" s="7">
        <f>IF($Z1311="C",INDEX(Contracts!$Q$2:$Q$151,$AB1311)&amp;"",IF($Z1311="A",INDEX(Fixed_Assets!$L$2:$L$201,$AB1311)&amp;"",IF($Z1311="F",INDEX(Workforce!$K$2:$K$151,MATCH(INDEX(FTE_Allocation!$A$2:$A$201,$AB1311),Workforce!$A$2:$A$151,0))&amp;"","")))</f>
        <v/>
      </c>
      <c r="G1311" s="7">
        <f>IF($Z1311="C",INDEX(Contracts!$F$2:$F$151,$AB1311)&amp;" / "&amp;INDEX(Contracts!$G$2:$G$151,$AB1311),IF($Z1311="A",INDEX(Fixed_Assets!$E$2:$E$201,$AB1311)&amp;"",IF($Z1311="F","Personnel "&amp;INDEX(FTE_Allocation!$A$2:$A$201,$AB1311)&amp;IF(INDEX(FTE_Allocation!$D$2:$D$201,$AB1311)="PROJECT"," ("&amp;INDEX(FTE_Allocation!$E$2:$E$201,$AB1311)&amp;")",""),"")))</f>
        <v/>
      </c>
      <c r="H1311" s="7">
        <f>IF($Z1311="C","CONTRACT",IF($Z1311="A","ASSET",IF($Z1311="F","WORKFORCE","")))</f>
        <v/>
      </c>
      <c r="I1311" s="7">
        <f>IF($Z1311="C",INDEX(Contracts!$L$2:$L$151,$AB1311)&amp;"",IF($Z1311="A",INDEX(Fixed_Assets!$I$2:$I$201,$AB1311)&amp;"",IF($Z1311="F",INDEX(Workforce!$G$2:$G$151,MATCH(INDEX(FTE_Allocation!$A$2:$A$201,$AB1311),Workforce!$A$2:$A$151,0))&amp;"","")))</f>
        <v/>
      </c>
      <c r="J1311" s="18">
        <f>IF($Z1311="","",IF(AND(DATE($AD1311,1,1)&gt;=$AE1311,DATE($AD1311,1,1)&lt;=$AF1311),ROUND($AG1311,2),0))</f>
        <v/>
      </c>
      <c r="K1311" s="18">
        <f>IF($Z1311="","",IF(AND(DATE($AD1311,2,1)&gt;=$AE1311,DATE($AD1311,2,1)&lt;=$AF1311),ROUND($AG1311,2),0))</f>
        <v/>
      </c>
      <c r="L1311" s="18">
        <f>IF($Z1311="","",IF(AND(DATE($AD1311,3,1)&gt;=$AE1311,DATE($AD1311,3,1)&lt;=$AF1311),ROUND($AG1311,2),0))</f>
        <v/>
      </c>
      <c r="M1311" s="18">
        <f>IF($Z1311="","",IF(AND(DATE($AD1311,4,1)&gt;=$AE1311,DATE($AD1311,4,1)&lt;=$AF1311),ROUND($AG1311,2),0))</f>
        <v/>
      </c>
      <c r="N1311" s="18">
        <f>IF($Z1311="","",IF(AND(DATE($AD1311,5,1)&gt;=$AE1311,DATE($AD1311,5,1)&lt;=$AF1311),ROUND($AG1311,2),0))</f>
        <v/>
      </c>
      <c r="O1311" s="18">
        <f>IF($Z1311="","",IF(AND(DATE($AD1311,6,1)&gt;=$AE1311,DATE($AD1311,6,1)&lt;=$AF1311),ROUND($AG1311,2),0))</f>
        <v/>
      </c>
      <c r="P1311" s="18">
        <f>IF($Z1311="","",IF(AND(DATE($AD1311,7,1)&gt;=$AE1311,DATE($AD1311,7,1)&lt;=$AF1311),ROUND($AG1311,2),0))</f>
        <v/>
      </c>
      <c r="Q1311" s="18">
        <f>IF($Z1311="","",IF(AND(DATE($AD1311,8,1)&gt;=$AE1311,DATE($AD1311,8,1)&lt;=$AF1311),ROUND($AG1311,2),0))</f>
        <v/>
      </c>
      <c r="R1311" s="18">
        <f>IF($Z1311="","",IF(AND(DATE($AD1311,9,1)&gt;=$AE1311,DATE($AD1311,9,1)&lt;=$AF1311),ROUND($AG1311,2),0))</f>
        <v/>
      </c>
      <c r="S1311" s="18">
        <f>IF($Z1311="","",IF(AND(DATE($AD1311,10,1)&gt;=$AE1311,DATE($AD1311,10,1)&lt;=$AF1311),ROUND($AG1311,2),0))</f>
        <v/>
      </c>
      <c r="T1311" s="18">
        <f>IF($Z1311="","",IF(AND(DATE($AD1311,11,1)&gt;=$AE1311,DATE($AD1311,11,1)&lt;=$AF1311),ROUND($AG1311,2),0))</f>
        <v/>
      </c>
      <c r="U1311" s="18">
        <f>IF($Z1311="","",IF(AND(DATE($AD1311,12,1)&gt;=$AE1311,DATE($AD1311,12,1)&lt;=$AF1311),ROUND($AG1311,2),0))</f>
        <v/>
      </c>
      <c r="V1311" s="7">
        <f>IF($Z1311="C","Generated from "&amp;INDEX(Contracts!$A$2:$A$151,$AB1311),IF($Z1311="A","Generated from "&amp;INDEX(Fixed_Assets!$A$2:$A$201,$AB1311),IF($Z1311="F","Generated from "&amp;INDEX(FTE_Allocation!$A$2:$A$201,$AB1311),"")))</f>
        <v/>
      </c>
      <c r="X1311" s="19">
        <f>IF($Z1311="","",SUM(J1311:U1311))</f>
        <v/>
      </c>
      <c r="Y1311" s="20">
        <f>ROW()-1</f>
        <v/>
      </c>
      <c r="Z1311" s="20">
        <f>IF($Y1311&lt;=Settings!$B$4*3,"C",IF($Y1311&lt;=(Settings!$B$4+Settings!$B$5)*3,"A",IF($Y1311&lt;=(Settings!$B$4+Settings!$B$5+Settings!$B$6)*3,"F","")))</f>
        <v/>
      </c>
      <c r="AA1311" s="20">
        <f>IF($Z1311="C",$Y1311,IF($Z1311="A",$Y1311-Settings!$B$4*3,IF($Z1311="F",$Y1311-(Settings!$B$4+Settings!$B$5)*3,"")))</f>
        <v/>
      </c>
      <c r="AB1311" s="20">
        <f>IF($Z1311="","",INT(($AA1311-1)/3)+1)</f>
        <v/>
      </c>
      <c r="AC1311" s="20">
        <f>IF($Z1311="","",MOD($AA1311-1,3)+1)</f>
        <v/>
      </c>
      <c r="AD1311" s="20">
        <f>IF($Z1311="","",Settings!$B$2+$AC1311-1)</f>
        <v/>
      </c>
      <c r="AE1311" s="21">
        <f>IF($Z1311="C",DATE(YEAR(INDEX(Contracts!$J$2:$J$151,$AB1311)),MONTH(INDEX(Contracts!$J$2:$J$151,$AB1311)),1),IF($Z1311="A",DATE(YEAR(INDEX(Fixed_Assets!$G$2:$G$201,$AB1311)),MONTH(INDEX(Fixed_Assets!$G$2:$G$201,$AB1311)),1),IF($Z1311="F",DATE(YEAR(MAX(N(INDEX(Workforce!$I$2:$I$151,MATCH(INDEX(FTE_Allocation!$A$2:$A$201,$AB1311),Workforce!$A$2:$A$151,0))),N(INDEX(FTE_Allocation!$I$2:$I$201,$AB1311)))),MONTH(MAX(N(INDEX(Workforce!$I$2:$I$151,MATCH(INDEX(FTE_Allocation!$A$2:$A$201,$AB1311),Workforce!$A$2:$A$151,0))),N(INDEX(FTE_Allocation!$I$2:$I$201,$AB1311)))),1),"")))</f>
        <v/>
      </c>
      <c r="AF1311" s="21">
        <f>IF($Z1311="C",IF(INDEX(Contracts!$I$2:$I$151,$AB1311)="PREPAID",EDATE(DATE(YEAR(INDEX(Contracts!$J$2:$J$151,$AB1311)),MONTH(INDEX(Contracts!$J$2:$J$151,$AB1311)),1),IF(INDEX(Contracts!$N$2:$N$151,$AB1311)="",12,INDEX(Contracts!$N$2:$N$151,$AB1311))-1),IF(INDEX(Contracts!$I$2:$I$151,$AB1311)="MONTHLY",IF(INDEX(Contracts!$K$2:$K$151,$AB1311)="",2958101,INDEX(Contracts!$K$2:$K$151,$AB1311)),0)),IF($Z1311="A",EDATE(DATE(YEAR(INDEX(Fixed_Assets!$G$2:$G$201,$AB1311)),MONTH(INDEX(Fixed_Assets!$G$2:$G$201,$AB1311)),1),INDEX(Fixed_Assets!$J$2:$J$201,$AB1311)-1),IF($Z1311="F",MIN(IF(INDEX(Workforce!$J$2:$J$151,MATCH(INDEX(FTE_Allocation!$A$2:$A$201,$AB1311),Workforce!$A$2:$A$151,0))="",2958101,INDEX(Workforce!$J$2:$J$151,MATCH(INDEX(FTE_Allocation!$A$2:$A$201,$AB1311),Workforce!$A$2:$A$151,0))),IF(INDEX(FTE_Allocation!$J$2:$J$201,$AB1311)="",2958101,INDEX(FTE_Allocation!$J$2:$J$201,$AB1311))),"")))</f>
        <v/>
      </c>
      <c r="AG1311" s="19">
        <f>IF($Z1311="C",IF(INDEX(Contracts!$I$2:$I$151,$AB1311)="PREPAID",INDEX(Contracts!$M$2:$M$151,$AB1311)/IF(INDEX(Contracts!$N$2:$N$151,$AB1311)="",12,INDEX(Contracts!$N$2:$N$151,$AB1311)),IF(INDEX(Contracts!$I$2:$I$151,$AB1311)="MONTHLY",INDEX(Contracts!$M$2:$M$151,$AB1311),0))*(1-N(INDEX(Contracts!$O$2:$O$151,$AB1311))),IF($Z1311="A",INDEX(Fixed_Assets!$H$2:$H$201,$AB1311)/INDEX(Fixed_Assets!$J$2:$J$201,$AB1311),IF($Z1311="F",INDEX(Workforce!$F$2:$F$151,MATCH(INDEX(FTE_Allocation!$A$2:$A$201,$AB1311),Workforce!$A$2:$A$151,0))*N(INDEX(FTE_Allocation!$F$2:$H$201,$AB1311,$AC1311)),"")))</f>
        <v/>
      </c>
    </row>
    <row r="1312">
      <c r="A1312" s="7">
        <f>IF($Z1312="","",$AD1312)</f>
        <v/>
      </c>
      <c r="B1312" s="7">
        <f>IF($Z1312="C",INDEX(Contracts!$D$2:$D$151,$AB1312)&amp;"",IF($Z1312="A",INDEX(Fixed_Assets!$C$2:$C$201,$AB1312)&amp;"",IF($Z1312="F",INDEX(Workforce!$B$2:$B$151,MATCH(INDEX(FTE_Allocation!$A$2:$A$201,$AB1312),Workforce!$A$2:$A$151,0))&amp;"","")))</f>
        <v/>
      </c>
      <c r="C1312" s="7">
        <f>IF($Z1312="C",INDEX(Contracts!$E$2:$E$151,$AB1312)&amp;"",IF($Z1312="A",INDEX(Fixed_Assets!$D$2:$D$201,$AB1312)&amp;"",IF($Z1312="F",INDEX(FTE_Allocation!$C$2:$C$201,$AB1312)&amp;"","")))</f>
        <v/>
      </c>
      <c r="D1312" s="7">
        <f>IF($Z1312="C",INDEX(Contracts!$B$2:$B$151,$AB1312)&amp;"",IF($Z1312="A",INDEX(Fixed_Assets!$B$2:$B$201,$AB1312)&amp;"",IF($Z1312="F",INDEX(FTE_Allocation!$B$2:$B$201,$AB1312)&amp;"","")))</f>
        <v/>
      </c>
      <c r="E1312" s="7">
        <f>IF($Z1312="C",INDEX(Contracts!$P$2:$P$151,$AB1312)&amp;"",IF($Z1312="A",INDEX(Fixed_Assets!$K$2:$K$201,$AB1312)&amp;"",IF($Z1312="F",IF(INDEX(FTE_Allocation!$D$2:$D$201,$AB1312)="PROJECT",IFERROR(INDEX(Projects!$D:$D,MATCH(INDEX(FTE_Allocation!$E$2:$E$201,$AB1312),Projects!$A:$A,0))&amp;"","#PROJECT?"),INDEX(FTE_Allocation!$E$2:$E$201,$AB1312)&amp;""),"")))</f>
        <v/>
      </c>
      <c r="F1312" s="7">
        <f>IF($Z1312="C",INDEX(Contracts!$Q$2:$Q$151,$AB1312)&amp;"",IF($Z1312="A",INDEX(Fixed_Assets!$L$2:$L$201,$AB1312)&amp;"",IF($Z1312="F",INDEX(Workforce!$K$2:$K$151,MATCH(INDEX(FTE_Allocation!$A$2:$A$201,$AB1312),Workforce!$A$2:$A$151,0))&amp;"","")))</f>
        <v/>
      </c>
      <c r="G1312" s="7">
        <f>IF($Z1312="C",INDEX(Contracts!$F$2:$F$151,$AB1312)&amp;" / "&amp;INDEX(Contracts!$G$2:$G$151,$AB1312),IF($Z1312="A",INDEX(Fixed_Assets!$E$2:$E$201,$AB1312)&amp;"",IF($Z1312="F","Personnel "&amp;INDEX(FTE_Allocation!$A$2:$A$201,$AB1312)&amp;IF(INDEX(FTE_Allocation!$D$2:$D$201,$AB1312)="PROJECT"," ("&amp;INDEX(FTE_Allocation!$E$2:$E$201,$AB1312)&amp;")",""),"")))</f>
        <v/>
      </c>
      <c r="H1312" s="7">
        <f>IF($Z1312="C","CONTRACT",IF($Z1312="A","ASSET",IF($Z1312="F","WORKFORCE","")))</f>
        <v/>
      </c>
      <c r="I1312" s="7">
        <f>IF($Z1312="C",INDEX(Contracts!$L$2:$L$151,$AB1312)&amp;"",IF($Z1312="A",INDEX(Fixed_Assets!$I$2:$I$201,$AB1312)&amp;"",IF($Z1312="F",INDEX(Workforce!$G$2:$G$151,MATCH(INDEX(FTE_Allocation!$A$2:$A$201,$AB1312),Workforce!$A$2:$A$151,0))&amp;"","")))</f>
        <v/>
      </c>
      <c r="J1312" s="18">
        <f>IF($Z1312="","",IF(AND(DATE($AD1312,1,1)&gt;=$AE1312,DATE($AD1312,1,1)&lt;=$AF1312),ROUND($AG1312,2),0))</f>
        <v/>
      </c>
      <c r="K1312" s="18">
        <f>IF($Z1312="","",IF(AND(DATE($AD1312,2,1)&gt;=$AE1312,DATE($AD1312,2,1)&lt;=$AF1312),ROUND($AG1312,2),0))</f>
        <v/>
      </c>
      <c r="L1312" s="18">
        <f>IF($Z1312="","",IF(AND(DATE($AD1312,3,1)&gt;=$AE1312,DATE($AD1312,3,1)&lt;=$AF1312),ROUND($AG1312,2),0))</f>
        <v/>
      </c>
      <c r="M1312" s="18">
        <f>IF($Z1312="","",IF(AND(DATE($AD1312,4,1)&gt;=$AE1312,DATE($AD1312,4,1)&lt;=$AF1312),ROUND($AG1312,2),0))</f>
        <v/>
      </c>
      <c r="N1312" s="18">
        <f>IF($Z1312="","",IF(AND(DATE($AD1312,5,1)&gt;=$AE1312,DATE($AD1312,5,1)&lt;=$AF1312),ROUND($AG1312,2),0))</f>
        <v/>
      </c>
      <c r="O1312" s="18">
        <f>IF($Z1312="","",IF(AND(DATE($AD1312,6,1)&gt;=$AE1312,DATE($AD1312,6,1)&lt;=$AF1312),ROUND($AG1312,2),0))</f>
        <v/>
      </c>
      <c r="P1312" s="18">
        <f>IF($Z1312="","",IF(AND(DATE($AD1312,7,1)&gt;=$AE1312,DATE($AD1312,7,1)&lt;=$AF1312),ROUND($AG1312,2),0))</f>
        <v/>
      </c>
      <c r="Q1312" s="18">
        <f>IF($Z1312="","",IF(AND(DATE($AD1312,8,1)&gt;=$AE1312,DATE($AD1312,8,1)&lt;=$AF1312),ROUND($AG1312,2),0))</f>
        <v/>
      </c>
      <c r="R1312" s="18">
        <f>IF($Z1312="","",IF(AND(DATE($AD1312,9,1)&gt;=$AE1312,DATE($AD1312,9,1)&lt;=$AF1312),ROUND($AG1312,2),0))</f>
        <v/>
      </c>
      <c r="S1312" s="18">
        <f>IF($Z1312="","",IF(AND(DATE($AD1312,10,1)&gt;=$AE1312,DATE($AD1312,10,1)&lt;=$AF1312),ROUND($AG1312,2),0))</f>
        <v/>
      </c>
      <c r="T1312" s="18">
        <f>IF($Z1312="","",IF(AND(DATE($AD1312,11,1)&gt;=$AE1312,DATE($AD1312,11,1)&lt;=$AF1312),ROUND($AG1312,2),0))</f>
        <v/>
      </c>
      <c r="U1312" s="18">
        <f>IF($Z1312="","",IF(AND(DATE($AD1312,12,1)&gt;=$AE1312,DATE($AD1312,12,1)&lt;=$AF1312),ROUND($AG1312,2),0))</f>
        <v/>
      </c>
      <c r="V1312" s="7">
        <f>IF($Z1312="C","Generated from "&amp;INDEX(Contracts!$A$2:$A$151,$AB1312),IF($Z1312="A","Generated from "&amp;INDEX(Fixed_Assets!$A$2:$A$201,$AB1312),IF($Z1312="F","Generated from "&amp;INDEX(FTE_Allocation!$A$2:$A$201,$AB1312),"")))</f>
        <v/>
      </c>
      <c r="X1312" s="19">
        <f>IF($Z1312="","",SUM(J1312:U1312))</f>
        <v/>
      </c>
      <c r="Y1312" s="20">
        <f>ROW()-1</f>
        <v/>
      </c>
      <c r="Z1312" s="20">
        <f>IF($Y1312&lt;=Settings!$B$4*3,"C",IF($Y1312&lt;=(Settings!$B$4+Settings!$B$5)*3,"A",IF($Y1312&lt;=(Settings!$B$4+Settings!$B$5+Settings!$B$6)*3,"F","")))</f>
        <v/>
      </c>
      <c r="AA1312" s="20">
        <f>IF($Z1312="C",$Y1312,IF($Z1312="A",$Y1312-Settings!$B$4*3,IF($Z1312="F",$Y1312-(Settings!$B$4+Settings!$B$5)*3,"")))</f>
        <v/>
      </c>
      <c r="AB1312" s="20">
        <f>IF($Z1312="","",INT(($AA1312-1)/3)+1)</f>
        <v/>
      </c>
      <c r="AC1312" s="20">
        <f>IF($Z1312="","",MOD($AA1312-1,3)+1)</f>
        <v/>
      </c>
      <c r="AD1312" s="20">
        <f>IF($Z1312="","",Settings!$B$2+$AC1312-1)</f>
        <v/>
      </c>
      <c r="AE1312" s="21">
        <f>IF($Z1312="C",DATE(YEAR(INDEX(Contracts!$J$2:$J$151,$AB1312)),MONTH(INDEX(Contracts!$J$2:$J$151,$AB1312)),1),IF($Z1312="A",DATE(YEAR(INDEX(Fixed_Assets!$G$2:$G$201,$AB1312)),MONTH(INDEX(Fixed_Assets!$G$2:$G$201,$AB1312)),1),IF($Z1312="F",DATE(YEAR(MAX(N(INDEX(Workforce!$I$2:$I$151,MATCH(INDEX(FTE_Allocation!$A$2:$A$201,$AB1312),Workforce!$A$2:$A$151,0))),N(INDEX(FTE_Allocation!$I$2:$I$201,$AB1312)))),MONTH(MAX(N(INDEX(Workforce!$I$2:$I$151,MATCH(INDEX(FTE_Allocation!$A$2:$A$201,$AB1312),Workforce!$A$2:$A$151,0))),N(INDEX(FTE_Allocation!$I$2:$I$201,$AB1312)))),1),"")))</f>
        <v/>
      </c>
      <c r="AF1312" s="21">
        <f>IF($Z1312="C",IF(INDEX(Contracts!$I$2:$I$151,$AB1312)="PREPAID",EDATE(DATE(YEAR(INDEX(Contracts!$J$2:$J$151,$AB1312)),MONTH(INDEX(Contracts!$J$2:$J$151,$AB1312)),1),IF(INDEX(Contracts!$N$2:$N$151,$AB1312)="",12,INDEX(Contracts!$N$2:$N$151,$AB1312))-1),IF(INDEX(Contracts!$I$2:$I$151,$AB1312)="MONTHLY",IF(INDEX(Contracts!$K$2:$K$151,$AB1312)="",2958101,INDEX(Contracts!$K$2:$K$151,$AB1312)),0)),IF($Z1312="A",EDATE(DATE(YEAR(INDEX(Fixed_Assets!$G$2:$G$201,$AB1312)),MONTH(INDEX(Fixed_Assets!$G$2:$G$201,$AB1312)),1),INDEX(Fixed_Assets!$J$2:$J$201,$AB1312)-1),IF($Z1312="F",MIN(IF(INDEX(Workforce!$J$2:$J$151,MATCH(INDEX(FTE_Allocation!$A$2:$A$201,$AB1312),Workforce!$A$2:$A$151,0))="",2958101,INDEX(Workforce!$J$2:$J$151,MATCH(INDEX(FTE_Allocation!$A$2:$A$201,$AB1312),Workforce!$A$2:$A$151,0))),IF(INDEX(FTE_Allocation!$J$2:$J$201,$AB1312)="",2958101,INDEX(FTE_Allocation!$J$2:$J$201,$AB1312))),"")))</f>
        <v/>
      </c>
      <c r="AG1312" s="19">
        <f>IF($Z1312="C",IF(INDEX(Contracts!$I$2:$I$151,$AB1312)="PREPAID",INDEX(Contracts!$M$2:$M$151,$AB1312)/IF(INDEX(Contracts!$N$2:$N$151,$AB1312)="",12,INDEX(Contracts!$N$2:$N$151,$AB1312)),IF(INDEX(Contracts!$I$2:$I$151,$AB1312)="MONTHLY",INDEX(Contracts!$M$2:$M$151,$AB1312),0))*(1-N(INDEX(Contracts!$O$2:$O$151,$AB1312))),IF($Z1312="A",INDEX(Fixed_Assets!$H$2:$H$201,$AB1312)/INDEX(Fixed_Assets!$J$2:$J$201,$AB1312),IF($Z1312="F",INDEX(Workforce!$F$2:$F$151,MATCH(INDEX(FTE_Allocation!$A$2:$A$201,$AB1312),Workforce!$A$2:$A$151,0))*N(INDEX(FTE_Allocation!$F$2:$H$201,$AB1312,$AC1312)),"")))</f>
        <v/>
      </c>
    </row>
    <row r="1313">
      <c r="A1313" s="7">
        <f>IF($Z1313="","",$AD1313)</f>
        <v/>
      </c>
      <c r="B1313" s="7">
        <f>IF($Z1313="C",INDEX(Contracts!$D$2:$D$151,$AB1313)&amp;"",IF($Z1313="A",INDEX(Fixed_Assets!$C$2:$C$201,$AB1313)&amp;"",IF($Z1313="F",INDEX(Workforce!$B$2:$B$151,MATCH(INDEX(FTE_Allocation!$A$2:$A$201,$AB1313),Workforce!$A$2:$A$151,0))&amp;"","")))</f>
        <v/>
      </c>
      <c r="C1313" s="7">
        <f>IF($Z1313="C",INDEX(Contracts!$E$2:$E$151,$AB1313)&amp;"",IF($Z1313="A",INDEX(Fixed_Assets!$D$2:$D$201,$AB1313)&amp;"",IF($Z1313="F",INDEX(FTE_Allocation!$C$2:$C$201,$AB1313)&amp;"","")))</f>
        <v/>
      </c>
      <c r="D1313" s="7">
        <f>IF($Z1313="C",INDEX(Contracts!$B$2:$B$151,$AB1313)&amp;"",IF($Z1313="A",INDEX(Fixed_Assets!$B$2:$B$201,$AB1313)&amp;"",IF($Z1313="F",INDEX(FTE_Allocation!$B$2:$B$201,$AB1313)&amp;"","")))</f>
        <v/>
      </c>
      <c r="E1313" s="7">
        <f>IF($Z1313="C",INDEX(Contracts!$P$2:$P$151,$AB1313)&amp;"",IF($Z1313="A",INDEX(Fixed_Assets!$K$2:$K$201,$AB1313)&amp;"",IF($Z1313="F",IF(INDEX(FTE_Allocation!$D$2:$D$201,$AB1313)="PROJECT",IFERROR(INDEX(Projects!$D:$D,MATCH(INDEX(FTE_Allocation!$E$2:$E$201,$AB1313),Projects!$A:$A,0))&amp;"","#PROJECT?"),INDEX(FTE_Allocation!$E$2:$E$201,$AB1313)&amp;""),"")))</f>
        <v/>
      </c>
      <c r="F1313" s="7">
        <f>IF($Z1313="C",INDEX(Contracts!$Q$2:$Q$151,$AB1313)&amp;"",IF($Z1313="A",INDEX(Fixed_Assets!$L$2:$L$201,$AB1313)&amp;"",IF($Z1313="F",INDEX(Workforce!$K$2:$K$151,MATCH(INDEX(FTE_Allocation!$A$2:$A$201,$AB1313),Workforce!$A$2:$A$151,0))&amp;"","")))</f>
        <v/>
      </c>
      <c r="G1313" s="7">
        <f>IF($Z1313="C",INDEX(Contracts!$F$2:$F$151,$AB1313)&amp;" / "&amp;INDEX(Contracts!$G$2:$G$151,$AB1313),IF($Z1313="A",INDEX(Fixed_Assets!$E$2:$E$201,$AB1313)&amp;"",IF($Z1313="F","Personnel "&amp;INDEX(FTE_Allocation!$A$2:$A$201,$AB1313)&amp;IF(INDEX(FTE_Allocation!$D$2:$D$201,$AB1313)="PROJECT"," ("&amp;INDEX(FTE_Allocation!$E$2:$E$201,$AB1313)&amp;")",""),"")))</f>
        <v/>
      </c>
      <c r="H1313" s="7">
        <f>IF($Z1313="C","CONTRACT",IF($Z1313="A","ASSET",IF($Z1313="F","WORKFORCE","")))</f>
        <v/>
      </c>
      <c r="I1313" s="7">
        <f>IF($Z1313="C",INDEX(Contracts!$L$2:$L$151,$AB1313)&amp;"",IF($Z1313="A",INDEX(Fixed_Assets!$I$2:$I$201,$AB1313)&amp;"",IF($Z1313="F",INDEX(Workforce!$G$2:$G$151,MATCH(INDEX(FTE_Allocation!$A$2:$A$201,$AB1313),Workforce!$A$2:$A$151,0))&amp;"","")))</f>
        <v/>
      </c>
      <c r="J1313" s="18">
        <f>IF($Z1313="","",IF(AND(DATE($AD1313,1,1)&gt;=$AE1313,DATE($AD1313,1,1)&lt;=$AF1313),ROUND($AG1313,2),0))</f>
        <v/>
      </c>
      <c r="K1313" s="18">
        <f>IF($Z1313="","",IF(AND(DATE($AD1313,2,1)&gt;=$AE1313,DATE($AD1313,2,1)&lt;=$AF1313),ROUND($AG1313,2),0))</f>
        <v/>
      </c>
      <c r="L1313" s="18">
        <f>IF($Z1313="","",IF(AND(DATE($AD1313,3,1)&gt;=$AE1313,DATE($AD1313,3,1)&lt;=$AF1313),ROUND($AG1313,2),0))</f>
        <v/>
      </c>
      <c r="M1313" s="18">
        <f>IF($Z1313="","",IF(AND(DATE($AD1313,4,1)&gt;=$AE1313,DATE($AD1313,4,1)&lt;=$AF1313),ROUND($AG1313,2),0))</f>
        <v/>
      </c>
      <c r="N1313" s="18">
        <f>IF($Z1313="","",IF(AND(DATE($AD1313,5,1)&gt;=$AE1313,DATE($AD1313,5,1)&lt;=$AF1313),ROUND($AG1313,2),0))</f>
        <v/>
      </c>
      <c r="O1313" s="18">
        <f>IF($Z1313="","",IF(AND(DATE($AD1313,6,1)&gt;=$AE1313,DATE($AD1313,6,1)&lt;=$AF1313),ROUND($AG1313,2),0))</f>
        <v/>
      </c>
      <c r="P1313" s="18">
        <f>IF($Z1313="","",IF(AND(DATE($AD1313,7,1)&gt;=$AE1313,DATE($AD1313,7,1)&lt;=$AF1313),ROUND($AG1313,2),0))</f>
        <v/>
      </c>
      <c r="Q1313" s="18">
        <f>IF($Z1313="","",IF(AND(DATE($AD1313,8,1)&gt;=$AE1313,DATE($AD1313,8,1)&lt;=$AF1313),ROUND($AG1313,2),0))</f>
        <v/>
      </c>
      <c r="R1313" s="18">
        <f>IF($Z1313="","",IF(AND(DATE($AD1313,9,1)&gt;=$AE1313,DATE($AD1313,9,1)&lt;=$AF1313),ROUND($AG1313,2),0))</f>
        <v/>
      </c>
      <c r="S1313" s="18">
        <f>IF($Z1313="","",IF(AND(DATE($AD1313,10,1)&gt;=$AE1313,DATE($AD1313,10,1)&lt;=$AF1313),ROUND($AG1313,2),0))</f>
        <v/>
      </c>
      <c r="T1313" s="18">
        <f>IF($Z1313="","",IF(AND(DATE($AD1313,11,1)&gt;=$AE1313,DATE($AD1313,11,1)&lt;=$AF1313),ROUND($AG1313,2),0))</f>
        <v/>
      </c>
      <c r="U1313" s="18">
        <f>IF($Z1313="","",IF(AND(DATE($AD1313,12,1)&gt;=$AE1313,DATE($AD1313,12,1)&lt;=$AF1313),ROUND($AG1313,2),0))</f>
        <v/>
      </c>
      <c r="V1313" s="7">
        <f>IF($Z1313="C","Generated from "&amp;INDEX(Contracts!$A$2:$A$151,$AB1313),IF($Z1313="A","Generated from "&amp;INDEX(Fixed_Assets!$A$2:$A$201,$AB1313),IF($Z1313="F","Generated from "&amp;INDEX(FTE_Allocation!$A$2:$A$201,$AB1313),"")))</f>
        <v/>
      </c>
      <c r="X1313" s="19">
        <f>IF($Z1313="","",SUM(J1313:U1313))</f>
        <v/>
      </c>
      <c r="Y1313" s="20">
        <f>ROW()-1</f>
        <v/>
      </c>
      <c r="Z1313" s="20">
        <f>IF($Y1313&lt;=Settings!$B$4*3,"C",IF($Y1313&lt;=(Settings!$B$4+Settings!$B$5)*3,"A",IF($Y1313&lt;=(Settings!$B$4+Settings!$B$5+Settings!$B$6)*3,"F","")))</f>
        <v/>
      </c>
      <c r="AA1313" s="20">
        <f>IF($Z1313="C",$Y1313,IF($Z1313="A",$Y1313-Settings!$B$4*3,IF($Z1313="F",$Y1313-(Settings!$B$4+Settings!$B$5)*3,"")))</f>
        <v/>
      </c>
      <c r="AB1313" s="20">
        <f>IF($Z1313="","",INT(($AA1313-1)/3)+1)</f>
        <v/>
      </c>
      <c r="AC1313" s="20">
        <f>IF($Z1313="","",MOD($AA1313-1,3)+1)</f>
        <v/>
      </c>
      <c r="AD1313" s="20">
        <f>IF($Z1313="","",Settings!$B$2+$AC1313-1)</f>
        <v/>
      </c>
      <c r="AE1313" s="21">
        <f>IF($Z1313="C",DATE(YEAR(INDEX(Contracts!$J$2:$J$151,$AB1313)),MONTH(INDEX(Contracts!$J$2:$J$151,$AB1313)),1),IF($Z1313="A",DATE(YEAR(INDEX(Fixed_Assets!$G$2:$G$201,$AB1313)),MONTH(INDEX(Fixed_Assets!$G$2:$G$201,$AB1313)),1),IF($Z1313="F",DATE(YEAR(MAX(N(INDEX(Workforce!$I$2:$I$151,MATCH(INDEX(FTE_Allocation!$A$2:$A$201,$AB1313),Workforce!$A$2:$A$151,0))),N(INDEX(FTE_Allocation!$I$2:$I$201,$AB1313)))),MONTH(MAX(N(INDEX(Workforce!$I$2:$I$151,MATCH(INDEX(FTE_Allocation!$A$2:$A$201,$AB1313),Workforce!$A$2:$A$151,0))),N(INDEX(FTE_Allocation!$I$2:$I$201,$AB1313)))),1),"")))</f>
        <v/>
      </c>
      <c r="AF1313" s="21">
        <f>IF($Z1313="C",IF(INDEX(Contracts!$I$2:$I$151,$AB1313)="PREPAID",EDATE(DATE(YEAR(INDEX(Contracts!$J$2:$J$151,$AB1313)),MONTH(INDEX(Contracts!$J$2:$J$151,$AB1313)),1),IF(INDEX(Contracts!$N$2:$N$151,$AB1313)="",12,INDEX(Contracts!$N$2:$N$151,$AB1313))-1),IF(INDEX(Contracts!$I$2:$I$151,$AB1313)="MONTHLY",IF(INDEX(Contracts!$K$2:$K$151,$AB1313)="",2958101,INDEX(Contracts!$K$2:$K$151,$AB1313)),0)),IF($Z1313="A",EDATE(DATE(YEAR(INDEX(Fixed_Assets!$G$2:$G$201,$AB1313)),MONTH(INDEX(Fixed_Assets!$G$2:$G$201,$AB1313)),1),INDEX(Fixed_Assets!$J$2:$J$201,$AB1313)-1),IF($Z1313="F",MIN(IF(INDEX(Workforce!$J$2:$J$151,MATCH(INDEX(FTE_Allocation!$A$2:$A$201,$AB1313),Workforce!$A$2:$A$151,0))="",2958101,INDEX(Workforce!$J$2:$J$151,MATCH(INDEX(FTE_Allocation!$A$2:$A$201,$AB1313),Workforce!$A$2:$A$151,0))),IF(INDEX(FTE_Allocation!$J$2:$J$201,$AB1313)="",2958101,INDEX(FTE_Allocation!$J$2:$J$201,$AB1313))),"")))</f>
        <v/>
      </c>
      <c r="AG1313" s="19">
        <f>IF($Z1313="C",IF(INDEX(Contracts!$I$2:$I$151,$AB1313)="PREPAID",INDEX(Contracts!$M$2:$M$151,$AB1313)/IF(INDEX(Contracts!$N$2:$N$151,$AB1313)="",12,INDEX(Contracts!$N$2:$N$151,$AB1313)),IF(INDEX(Contracts!$I$2:$I$151,$AB1313)="MONTHLY",INDEX(Contracts!$M$2:$M$151,$AB1313),0))*(1-N(INDEX(Contracts!$O$2:$O$151,$AB1313))),IF($Z1313="A",INDEX(Fixed_Assets!$H$2:$H$201,$AB1313)/INDEX(Fixed_Assets!$J$2:$J$201,$AB1313),IF($Z1313="F",INDEX(Workforce!$F$2:$F$151,MATCH(INDEX(FTE_Allocation!$A$2:$A$201,$AB1313),Workforce!$A$2:$A$151,0))*N(INDEX(FTE_Allocation!$F$2:$H$201,$AB1313,$AC1313)),"")))</f>
        <v/>
      </c>
    </row>
    <row r="1314">
      <c r="A1314" s="7">
        <f>IF($Z1314="","",$AD1314)</f>
        <v/>
      </c>
      <c r="B1314" s="7">
        <f>IF($Z1314="C",INDEX(Contracts!$D$2:$D$151,$AB1314)&amp;"",IF($Z1314="A",INDEX(Fixed_Assets!$C$2:$C$201,$AB1314)&amp;"",IF($Z1314="F",INDEX(Workforce!$B$2:$B$151,MATCH(INDEX(FTE_Allocation!$A$2:$A$201,$AB1314),Workforce!$A$2:$A$151,0))&amp;"","")))</f>
        <v/>
      </c>
      <c r="C1314" s="7">
        <f>IF($Z1314="C",INDEX(Contracts!$E$2:$E$151,$AB1314)&amp;"",IF($Z1314="A",INDEX(Fixed_Assets!$D$2:$D$201,$AB1314)&amp;"",IF($Z1314="F",INDEX(FTE_Allocation!$C$2:$C$201,$AB1314)&amp;"","")))</f>
        <v/>
      </c>
      <c r="D1314" s="7">
        <f>IF($Z1314="C",INDEX(Contracts!$B$2:$B$151,$AB1314)&amp;"",IF($Z1314="A",INDEX(Fixed_Assets!$B$2:$B$201,$AB1314)&amp;"",IF($Z1314="F",INDEX(FTE_Allocation!$B$2:$B$201,$AB1314)&amp;"","")))</f>
        <v/>
      </c>
      <c r="E1314" s="7">
        <f>IF($Z1314="C",INDEX(Contracts!$P$2:$P$151,$AB1314)&amp;"",IF($Z1314="A",INDEX(Fixed_Assets!$K$2:$K$201,$AB1314)&amp;"",IF($Z1314="F",IF(INDEX(FTE_Allocation!$D$2:$D$201,$AB1314)="PROJECT",IFERROR(INDEX(Projects!$D:$D,MATCH(INDEX(FTE_Allocation!$E$2:$E$201,$AB1314),Projects!$A:$A,0))&amp;"","#PROJECT?"),INDEX(FTE_Allocation!$E$2:$E$201,$AB1314)&amp;""),"")))</f>
        <v/>
      </c>
      <c r="F1314" s="7">
        <f>IF($Z1314="C",INDEX(Contracts!$Q$2:$Q$151,$AB1314)&amp;"",IF($Z1314="A",INDEX(Fixed_Assets!$L$2:$L$201,$AB1314)&amp;"",IF($Z1314="F",INDEX(Workforce!$K$2:$K$151,MATCH(INDEX(FTE_Allocation!$A$2:$A$201,$AB1314),Workforce!$A$2:$A$151,0))&amp;"","")))</f>
        <v/>
      </c>
      <c r="G1314" s="7">
        <f>IF($Z1314="C",INDEX(Contracts!$F$2:$F$151,$AB1314)&amp;" / "&amp;INDEX(Contracts!$G$2:$G$151,$AB1314),IF($Z1314="A",INDEX(Fixed_Assets!$E$2:$E$201,$AB1314)&amp;"",IF($Z1314="F","Personnel "&amp;INDEX(FTE_Allocation!$A$2:$A$201,$AB1314)&amp;IF(INDEX(FTE_Allocation!$D$2:$D$201,$AB1314)="PROJECT"," ("&amp;INDEX(FTE_Allocation!$E$2:$E$201,$AB1314)&amp;")",""),"")))</f>
        <v/>
      </c>
      <c r="H1314" s="7">
        <f>IF($Z1314="C","CONTRACT",IF($Z1314="A","ASSET",IF($Z1314="F","WORKFORCE","")))</f>
        <v/>
      </c>
      <c r="I1314" s="7">
        <f>IF($Z1314="C",INDEX(Contracts!$L$2:$L$151,$AB1314)&amp;"",IF($Z1314="A",INDEX(Fixed_Assets!$I$2:$I$201,$AB1314)&amp;"",IF($Z1314="F",INDEX(Workforce!$G$2:$G$151,MATCH(INDEX(FTE_Allocation!$A$2:$A$201,$AB1314),Workforce!$A$2:$A$151,0))&amp;"","")))</f>
        <v/>
      </c>
      <c r="J1314" s="18">
        <f>IF($Z1314="","",IF(AND(DATE($AD1314,1,1)&gt;=$AE1314,DATE($AD1314,1,1)&lt;=$AF1314),ROUND($AG1314,2),0))</f>
        <v/>
      </c>
      <c r="K1314" s="18">
        <f>IF($Z1314="","",IF(AND(DATE($AD1314,2,1)&gt;=$AE1314,DATE($AD1314,2,1)&lt;=$AF1314),ROUND($AG1314,2),0))</f>
        <v/>
      </c>
      <c r="L1314" s="18">
        <f>IF($Z1314="","",IF(AND(DATE($AD1314,3,1)&gt;=$AE1314,DATE($AD1314,3,1)&lt;=$AF1314),ROUND($AG1314,2),0))</f>
        <v/>
      </c>
      <c r="M1314" s="18">
        <f>IF($Z1314="","",IF(AND(DATE($AD1314,4,1)&gt;=$AE1314,DATE($AD1314,4,1)&lt;=$AF1314),ROUND($AG1314,2),0))</f>
        <v/>
      </c>
      <c r="N1314" s="18">
        <f>IF($Z1314="","",IF(AND(DATE($AD1314,5,1)&gt;=$AE1314,DATE($AD1314,5,1)&lt;=$AF1314),ROUND($AG1314,2),0))</f>
        <v/>
      </c>
      <c r="O1314" s="18">
        <f>IF($Z1314="","",IF(AND(DATE($AD1314,6,1)&gt;=$AE1314,DATE($AD1314,6,1)&lt;=$AF1314),ROUND($AG1314,2),0))</f>
        <v/>
      </c>
      <c r="P1314" s="18">
        <f>IF($Z1314="","",IF(AND(DATE($AD1314,7,1)&gt;=$AE1314,DATE($AD1314,7,1)&lt;=$AF1314),ROUND($AG1314,2),0))</f>
        <v/>
      </c>
      <c r="Q1314" s="18">
        <f>IF($Z1314="","",IF(AND(DATE($AD1314,8,1)&gt;=$AE1314,DATE($AD1314,8,1)&lt;=$AF1314),ROUND($AG1314,2),0))</f>
        <v/>
      </c>
      <c r="R1314" s="18">
        <f>IF($Z1314="","",IF(AND(DATE($AD1314,9,1)&gt;=$AE1314,DATE($AD1314,9,1)&lt;=$AF1314),ROUND($AG1314,2),0))</f>
        <v/>
      </c>
      <c r="S1314" s="18">
        <f>IF($Z1314="","",IF(AND(DATE($AD1314,10,1)&gt;=$AE1314,DATE($AD1314,10,1)&lt;=$AF1314),ROUND($AG1314,2),0))</f>
        <v/>
      </c>
      <c r="T1314" s="18">
        <f>IF($Z1314="","",IF(AND(DATE($AD1314,11,1)&gt;=$AE1314,DATE($AD1314,11,1)&lt;=$AF1314),ROUND($AG1314,2),0))</f>
        <v/>
      </c>
      <c r="U1314" s="18">
        <f>IF($Z1314="","",IF(AND(DATE($AD1314,12,1)&gt;=$AE1314,DATE($AD1314,12,1)&lt;=$AF1314),ROUND($AG1314,2),0))</f>
        <v/>
      </c>
      <c r="V1314" s="7">
        <f>IF($Z1314="C","Generated from "&amp;INDEX(Contracts!$A$2:$A$151,$AB1314),IF($Z1314="A","Generated from "&amp;INDEX(Fixed_Assets!$A$2:$A$201,$AB1314),IF($Z1314="F","Generated from "&amp;INDEX(FTE_Allocation!$A$2:$A$201,$AB1314),"")))</f>
        <v/>
      </c>
      <c r="X1314" s="19">
        <f>IF($Z1314="","",SUM(J1314:U1314))</f>
        <v/>
      </c>
      <c r="Y1314" s="20">
        <f>ROW()-1</f>
        <v/>
      </c>
      <c r="Z1314" s="20">
        <f>IF($Y1314&lt;=Settings!$B$4*3,"C",IF($Y1314&lt;=(Settings!$B$4+Settings!$B$5)*3,"A",IF($Y1314&lt;=(Settings!$B$4+Settings!$B$5+Settings!$B$6)*3,"F","")))</f>
        <v/>
      </c>
      <c r="AA1314" s="20">
        <f>IF($Z1314="C",$Y1314,IF($Z1314="A",$Y1314-Settings!$B$4*3,IF($Z1314="F",$Y1314-(Settings!$B$4+Settings!$B$5)*3,"")))</f>
        <v/>
      </c>
      <c r="AB1314" s="20">
        <f>IF($Z1314="","",INT(($AA1314-1)/3)+1)</f>
        <v/>
      </c>
      <c r="AC1314" s="20">
        <f>IF($Z1314="","",MOD($AA1314-1,3)+1)</f>
        <v/>
      </c>
      <c r="AD1314" s="20">
        <f>IF($Z1314="","",Settings!$B$2+$AC1314-1)</f>
        <v/>
      </c>
      <c r="AE1314" s="21">
        <f>IF($Z1314="C",DATE(YEAR(INDEX(Contracts!$J$2:$J$151,$AB1314)),MONTH(INDEX(Contracts!$J$2:$J$151,$AB1314)),1),IF($Z1314="A",DATE(YEAR(INDEX(Fixed_Assets!$G$2:$G$201,$AB1314)),MONTH(INDEX(Fixed_Assets!$G$2:$G$201,$AB1314)),1),IF($Z1314="F",DATE(YEAR(MAX(N(INDEX(Workforce!$I$2:$I$151,MATCH(INDEX(FTE_Allocation!$A$2:$A$201,$AB1314),Workforce!$A$2:$A$151,0))),N(INDEX(FTE_Allocation!$I$2:$I$201,$AB1314)))),MONTH(MAX(N(INDEX(Workforce!$I$2:$I$151,MATCH(INDEX(FTE_Allocation!$A$2:$A$201,$AB1314),Workforce!$A$2:$A$151,0))),N(INDEX(FTE_Allocation!$I$2:$I$201,$AB1314)))),1),"")))</f>
        <v/>
      </c>
      <c r="AF1314" s="21">
        <f>IF($Z1314="C",IF(INDEX(Contracts!$I$2:$I$151,$AB1314)="PREPAID",EDATE(DATE(YEAR(INDEX(Contracts!$J$2:$J$151,$AB1314)),MONTH(INDEX(Contracts!$J$2:$J$151,$AB1314)),1),IF(INDEX(Contracts!$N$2:$N$151,$AB1314)="",12,INDEX(Contracts!$N$2:$N$151,$AB1314))-1),IF(INDEX(Contracts!$I$2:$I$151,$AB1314)="MONTHLY",IF(INDEX(Contracts!$K$2:$K$151,$AB1314)="",2958101,INDEX(Contracts!$K$2:$K$151,$AB1314)),0)),IF($Z1314="A",EDATE(DATE(YEAR(INDEX(Fixed_Assets!$G$2:$G$201,$AB1314)),MONTH(INDEX(Fixed_Assets!$G$2:$G$201,$AB1314)),1),INDEX(Fixed_Assets!$J$2:$J$201,$AB1314)-1),IF($Z1314="F",MIN(IF(INDEX(Workforce!$J$2:$J$151,MATCH(INDEX(FTE_Allocation!$A$2:$A$201,$AB1314),Workforce!$A$2:$A$151,0))="",2958101,INDEX(Workforce!$J$2:$J$151,MATCH(INDEX(FTE_Allocation!$A$2:$A$201,$AB1314),Workforce!$A$2:$A$151,0))),IF(INDEX(FTE_Allocation!$J$2:$J$201,$AB1314)="",2958101,INDEX(FTE_Allocation!$J$2:$J$201,$AB1314))),"")))</f>
        <v/>
      </c>
      <c r="AG1314" s="19">
        <f>IF($Z1314="C",IF(INDEX(Contracts!$I$2:$I$151,$AB1314)="PREPAID",INDEX(Contracts!$M$2:$M$151,$AB1314)/IF(INDEX(Contracts!$N$2:$N$151,$AB1314)="",12,INDEX(Contracts!$N$2:$N$151,$AB1314)),IF(INDEX(Contracts!$I$2:$I$151,$AB1314)="MONTHLY",INDEX(Contracts!$M$2:$M$151,$AB1314),0))*(1-N(INDEX(Contracts!$O$2:$O$151,$AB1314))),IF($Z1314="A",INDEX(Fixed_Assets!$H$2:$H$201,$AB1314)/INDEX(Fixed_Assets!$J$2:$J$201,$AB1314),IF($Z1314="F",INDEX(Workforce!$F$2:$F$151,MATCH(INDEX(FTE_Allocation!$A$2:$A$201,$AB1314),Workforce!$A$2:$A$151,0))*N(INDEX(FTE_Allocation!$F$2:$H$201,$AB1314,$AC1314)),"")))</f>
        <v/>
      </c>
    </row>
    <row r="1315">
      <c r="A1315" s="7">
        <f>IF($Z1315="","",$AD1315)</f>
        <v/>
      </c>
      <c r="B1315" s="7">
        <f>IF($Z1315="C",INDEX(Contracts!$D$2:$D$151,$AB1315)&amp;"",IF($Z1315="A",INDEX(Fixed_Assets!$C$2:$C$201,$AB1315)&amp;"",IF($Z1315="F",INDEX(Workforce!$B$2:$B$151,MATCH(INDEX(FTE_Allocation!$A$2:$A$201,$AB1315),Workforce!$A$2:$A$151,0))&amp;"","")))</f>
        <v/>
      </c>
      <c r="C1315" s="7">
        <f>IF($Z1315="C",INDEX(Contracts!$E$2:$E$151,$AB1315)&amp;"",IF($Z1315="A",INDEX(Fixed_Assets!$D$2:$D$201,$AB1315)&amp;"",IF($Z1315="F",INDEX(FTE_Allocation!$C$2:$C$201,$AB1315)&amp;"","")))</f>
        <v/>
      </c>
      <c r="D1315" s="7">
        <f>IF($Z1315="C",INDEX(Contracts!$B$2:$B$151,$AB1315)&amp;"",IF($Z1315="A",INDEX(Fixed_Assets!$B$2:$B$201,$AB1315)&amp;"",IF($Z1315="F",INDEX(FTE_Allocation!$B$2:$B$201,$AB1315)&amp;"","")))</f>
        <v/>
      </c>
      <c r="E1315" s="7">
        <f>IF($Z1315="C",INDEX(Contracts!$P$2:$P$151,$AB1315)&amp;"",IF($Z1315="A",INDEX(Fixed_Assets!$K$2:$K$201,$AB1315)&amp;"",IF($Z1315="F",IF(INDEX(FTE_Allocation!$D$2:$D$201,$AB1315)="PROJECT",IFERROR(INDEX(Projects!$D:$D,MATCH(INDEX(FTE_Allocation!$E$2:$E$201,$AB1315),Projects!$A:$A,0))&amp;"","#PROJECT?"),INDEX(FTE_Allocation!$E$2:$E$201,$AB1315)&amp;""),"")))</f>
        <v/>
      </c>
      <c r="F1315" s="7">
        <f>IF($Z1315="C",INDEX(Contracts!$Q$2:$Q$151,$AB1315)&amp;"",IF($Z1315="A",INDEX(Fixed_Assets!$L$2:$L$201,$AB1315)&amp;"",IF($Z1315="F",INDEX(Workforce!$K$2:$K$151,MATCH(INDEX(FTE_Allocation!$A$2:$A$201,$AB1315),Workforce!$A$2:$A$151,0))&amp;"","")))</f>
        <v/>
      </c>
      <c r="G1315" s="7">
        <f>IF($Z1315="C",INDEX(Contracts!$F$2:$F$151,$AB1315)&amp;" / "&amp;INDEX(Contracts!$G$2:$G$151,$AB1315),IF($Z1315="A",INDEX(Fixed_Assets!$E$2:$E$201,$AB1315)&amp;"",IF($Z1315="F","Personnel "&amp;INDEX(FTE_Allocation!$A$2:$A$201,$AB1315)&amp;IF(INDEX(FTE_Allocation!$D$2:$D$201,$AB1315)="PROJECT"," ("&amp;INDEX(FTE_Allocation!$E$2:$E$201,$AB1315)&amp;")",""),"")))</f>
        <v/>
      </c>
      <c r="H1315" s="7">
        <f>IF($Z1315="C","CONTRACT",IF($Z1315="A","ASSET",IF($Z1315="F","WORKFORCE","")))</f>
        <v/>
      </c>
      <c r="I1315" s="7">
        <f>IF($Z1315="C",INDEX(Contracts!$L$2:$L$151,$AB1315)&amp;"",IF($Z1315="A",INDEX(Fixed_Assets!$I$2:$I$201,$AB1315)&amp;"",IF($Z1315="F",INDEX(Workforce!$G$2:$G$151,MATCH(INDEX(FTE_Allocation!$A$2:$A$201,$AB1315),Workforce!$A$2:$A$151,0))&amp;"","")))</f>
        <v/>
      </c>
      <c r="J1315" s="18">
        <f>IF($Z1315="","",IF(AND(DATE($AD1315,1,1)&gt;=$AE1315,DATE($AD1315,1,1)&lt;=$AF1315),ROUND($AG1315,2),0))</f>
        <v/>
      </c>
      <c r="K1315" s="18">
        <f>IF($Z1315="","",IF(AND(DATE($AD1315,2,1)&gt;=$AE1315,DATE($AD1315,2,1)&lt;=$AF1315),ROUND($AG1315,2),0))</f>
        <v/>
      </c>
      <c r="L1315" s="18">
        <f>IF($Z1315="","",IF(AND(DATE($AD1315,3,1)&gt;=$AE1315,DATE($AD1315,3,1)&lt;=$AF1315),ROUND($AG1315,2),0))</f>
        <v/>
      </c>
      <c r="M1315" s="18">
        <f>IF($Z1315="","",IF(AND(DATE($AD1315,4,1)&gt;=$AE1315,DATE($AD1315,4,1)&lt;=$AF1315),ROUND($AG1315,2),0))</f>
        <v/>
      </c>
      <c r="N1315" s="18">
        <f>IF($Z1315="","",IF(AND(DATE($AD1315,5,1)&gt;=$AE1315,DATE($AD1315,5,1)&lt;=$AF1315),ROUND($AG1315,2),0))</f>
        <v/>
      </c>
      <c r="O1315" s="18">
        <f>IF($Z1315="","",IF(AND(DATE($AD1315,6,1)&gt;=$AE1315,DATE($AD1315,6,1)&lt;=$AF1315),ROUND($AG1315,2),0))</f>
        <v/>
      </c>
      <c r="P1315" s="18">
        <f>IF($Z1315="","",IF(AND(DATE($AD1315,7,1)&gt;=$AE1315,DATE($AD1315,7,1)&lt;=$AF1315),ROUND($AG1315,2),0))</f>
        <v/>
      </c>
      <c r="Q1315" s="18">
        <f>IF($Z1315="","",IF(AND(DATE($AD1315,8,1)&gt;=$AE1315,DATE($AD1315,8,1)&lt;=$AF1315),ROUND($AG1315,2),0))</f>
        <v/>
      </c>
      <c r="R1315" s="18">
        <f>IF($Z1315="","",IF(AND(DATE($AD1315,9,1)&gt;=$AE1315,DATE($AD1315,9,1)&lt;=$AF1315),ROUND($AG1315,2),0))</f>
        <v/>
      </c>
      <c r="S1315" s="18">
        <f>IF($Z1315="","",IF(AND(DATE($AD1315,10,1)&gt;=$AE1315,DATE($AD1315,10,1)&lt;=$AF1315),ROUND($AG1315,2),0))</f>
        <v/>
      </c>
      <c r="T1315" s="18">
        <f>IF($Z1315="","",IF(AND(DATE($AD1315,11,1)&gt;=$AE1315,DATE($AD1315,11,1)&lt;=$AF1315),ROUND($AG1315,2),0))</f>
        <v/>
      </c>
      <c r="U1315" s="18">
        <f>IF($Z1315="","",IF(AND(DATE($AD1315,12,1)&gt;=$AE1315,DATE($AD1315,12,1)&lt;=$AF1315),ROUND($AG1315,2),0))</f>
        <v/>
      </c>
      <c r="V1315" s="7">
        <f>IF($Z1315="C","Generated from "&amp;INDEX(Contracts!$A$2:$A$151,$AB1315),IF($Z1315="A","Generated from "&amp;INDEX(Fixed_Assets!$A$2:$A$201,$AB1315),IF($Z1315="F","Generated from "&amp;INDEX(FTE_Allocation!$A$2:$A$201,$AB1315),"")))</f>
        <v/>
      </c>
      <c r="X1315" s="19">
        <f>IF($Z1315="","",SUM(J1315:U1315))</f>
        <v/>
      </c>
      <c r="Y1315" s="20">
        <f>ROW()-1</f>
        <v/>
      </c>
      <c r="Z1315" s="20">
        <f>IF($Y1315&lt;=Settings!$B$4*3,"C",IF($Y1315&lt;=(Settings!$B$4+Settings!$B$5)*3,"A",IF($Y1315&lt;=(Settings!$B$4+Settings!$B$5+Settings!$B$6)*3,"F","")))</f>
        <v/>
      </c>
      <c r="AA1315" s="20">
        <f>IF($Z1315="C",$Y1315,IF($Z1315="A",$Y1315-Settings!$B$4*3,IF($Z1315="F",$Y1315-(Settings!$B$4+Settings!$B$5)*3,"")))</f>
        <v/>
      </c>
      <c r="AB1315" s="20">
        <f>IF($Z1315="","",INT(($AA1315-1)/3)+1)</f>
        <v/>
      </c>
      <c r="AC1315" s="20">
        <f>IF($Z1315="","",MOD($AA1315-1,3)+1)</f>
        <v/>
      </c>
      <c r="AD1315" s="20">
        <f>IF($Z1315="","",Settings!$B$2+$AC1315-1)</f>
        <v/>
      </c>
      <c r="AE1315" s="21">
        <f>IF($Z1315="C",DATE(YEAR(INDEX(Contracts!$J$2:$J$151,$AB1315)),MONTH(INDEX(Contracts!$J$2:$J$151,$AB1315)),1),IF($Z1315="A",DATE(YEAR(INDEX(Fixed_Assets!$G$2:$G$201,$AB1315)),MONTH(INDEX(Fixed_Assets!$G$2:$G$201,$AB1315)),1),IF($Z1315="F",DATE(YEAR(MAX(N(INDEX(Workforce!$I$2:$I$151,MATCH(INDEX(FTE_Allocation!$A$2:$A$201,$AB1315),Workforce!$A$2:$A$151,0))),N(INDEX(FTE_Allocation!$I$2:$I$201,$AB1315)))),MONTH(MAX(N(INDEX(Workforce!$I$2:$I$151,MATCH(INDEX(FTE_Allocation!$A$2:$A$201,$AB1315),Workforce!$A$2:$A$151,0))),N(INDEX(FTE_Allocation!$I$2:$I$201,$AB1315)))),1),"")))</f>
        <v/>
      </c>
      <c r="AF1315" s="21">
        <f>IF($Z1315="C",IF(INDEX(Contracts!$I$2:$I$151,$AB1315)="PREPAID",EDATE(DATE(YEAR(INDEX(Contracts!$J$2:$J$151,$AB1315)),MONTH(INDEX(Contracts!$J$2:$J$151,$AB1315)),1),IF(INDEX(Contracts!$N$2:$N$151,$AB1315)="",12,INDEX(Contracts!$N$2:$N$151,$AB1315))-1),IF(INDEX(Contracts!$I$2:$I$151,$AB1315)="MONTHLY",IF(INDEX(Contracts!$K$2:$K$151,$AB1315)="",2958101,INDEX(Contracts!$K$2:$K$151,$AB1315)),0)),IF($Z1315="A",EDATE(DATE(YEAR(INDEX(Fixed_Assets!$G$2:$G$201,$AB1315)),MONTH(INDEX(Fixed_Assets!$G$2:$G$201,$AB1315)),1),INDEX(Fixed_Assets!$J$2:$J$201,$AB1315)-1),IF($Z1315="F",MIN(IF(INDEX(Workforce!$J$2:$J$151,MATCH(INDEX(FTE_Allocation!$A$2:$A$201,$AB1315),Workforce!$A$2:$A$151,0))="",2958101,INDEX(Workforce!$J$2:$J$151,MATCH(INDEX(FTE_Allocation!$A$2:$A$201,$AB1315),Workforce!$A$2:$A$151,0))),IF(INDEX(FTE_Allocation!$J$2:$J$201,$AB1315)="",2958101,INDEX(FTE_Allocation!$J$2:$J$201,$AB1315))),"")))</f>
        <v/>
      </c>
      <c r="AG1315" s="19">
        <f>IF($Z1315="C",IF(INDEX(Contracts!$I$2:$I$151,$AB1315)="PREPAID",INDEX(Contracts!$M$2:$M$151,$AB1315)/IF(INDEX(Contracts!$N$2:$N$151,$AB1315)="",12,INDEX(Contracts!$N$2:$N$151,$AB1315)),IF(INDEX(Contracts!$I$2:$I$151,$AB1315)="MONTHLY",INDEX(Contracts!$M$2:$M$151,$AB1315),0))*(1-N(INDEX(Contracts!$O$2:$O$151,$AB1315))),IF($Z1315="A",INDEX(Fixed_Assets!$H$2:$H$201,$AB1315)/INDEX(Fixed_Assets!$J$2:$J$201,$AB1315),IF($Z1315="F",INDEX(Workforce!$F$2:$F$151,MATCH(INDEX(FTE_Allocation!$A$2:$A$201,$AB1315),Workforce!$A$2:$A$151,0))*N(INDEX(FTE_Allocation!$F$2:$H$201,$AB1315,$AC1315)),"")))</f>
        <v/>
      </c>
    </row>
    <row r="1316">
      <c r="A1316" s="7">
        <f>IF($Z1316="","",$AD1316)</f>
        <v/>
      </c>
      <c r="B1316" s="7">
        <f>IF($Z1316="C",INDEX(Contracts!$D$2:$D$151,$AB1316)&amp;"",IF($Z1316="A",INDEX(Fixed_Assets!$C$2:$C$201,$AB1316)&amp;"",IF($Z1316="F",INDEX(Workforce!$B$2:$B$151,MATCH(INDEX(FTE_Allocation!$A$2:$A$201,$AB1316),Workforce!$A$2:$A$151,0))&amp;"","")))</f>
        <v/>
      </c>
      <c r="C1316" s="7">
        <f>IF($Z1316="C",INDEX(Contracts!$E$2:$E$151,$AB1316)&amp;"",IF($Z1316="A",INDEX(Fixed_Assets!$D$2:$D$201,$AB1316)&amp;"",IF($Z1316="F",INDEX(FTE_Allocation!$C$2:$C$201,$AB1316)&amp;"","")))</f>
        <v/>
      </c>
      <c r="D1316" s="7">
        <f>IF($Z1316="C",INDEX(Contracts!$B$2:$B$151,$AB1316)&amp;"",IF($Z1316="A",INDEX(Fixed_Assets!$B$2:$B$201,$AB1316)&amp;"",IF($Z1316="F",INDEX(FTE_Allocation!$B$2:$B$201,$AB1316)&amp;"","")))</f>
        <v/>
      </c>
      <c r="E1316" s="7">
        <f>IF($Z1316="C",INDEX(Contracts!$P$2:$P$151,$AB1316)&amp;"",IF($Z1316="A",INDEX(Fixed_Assets!$K$2:$K$201,$AB1316)&amp;"",IF($Z1316="F",IF(INDEX(FTE_Allocation!$D$2:$D$201,$AB1316)="PROJECT",IFERROR(INDEX(Projects!$D:$D,MATCH(INDEX(FTE_Allocation!$E$2:$E$201,$AB1316),Projects!$A:$A,0))&amp;"","#PROJECT?"),INDEX(FTE_Allocation!$E$2:$E$201,$AB1316)&amp;""),"")))</f>
        <v/>
      </c>
      <c r="F1316" s="7">
        <f>IF($Z1316="C",INDEX(Contracts!$Q$2:$Q$151,$AB1316)&amp;"",IF($Z1316="A",INDEX(Fixed_Assets!$L$2:$L$201,$AB1316)&amp;"",IF($Z1316="F",INDEX(Workforce!$K$2:$K$151,MATCH(INDEX(FTE_Allocation!$A$2:$A$201,$AB1316),Workforce!$A$2:$A$151,0))&amp;"","")))</f>
        <v/>
      </c>
      <c r="G1316" s="7">
        <f>IF($Z1316="C",INDEX(Contracts!$F$2:$F$151,$AB1316)&amp;" / "&amp;INDEX(Contracts!$G$2:$G$151,$AB1316),IF($Z1316="A",INDEX(Fixed_Assets!$E$2:$E$201,$AB1316)&amp;"",IF($Z1316="F","Personnel "&amp;INDEX(FTE_Allocation!$A$2:$A$201,$AB1316)&amp;IF(INDEX(FTE_Allocation!$D$2:$D$201,$AB1316)="PROJECT"," ("&amp;INDEX(FTE_Allocation!$E$2:$E$201,$AB1316)&amp;")",""),"")))</f>
        <v/>
      </c>
      <c r="H1316" s="7">
        <f>IF($Z1316="C","CONTRACT",IF($Z1316="A","ASSET",IF($Z1316="F","WORKFORCE","")))</f>
        <v/>
      </c>
      <c r="I1316" s="7">
        <f>IF($Z1316="C",INDEX(Contracts!$L$2:$L$151,$AB1316)&amp;"",IF($Z1316="A",INDEX(Fixed_Assets!$I$2:$I$201,$AB1316)&amp;"",IF($Z1316="F",INDEX(Workforce!$G$2:$G$151,MATCH(INDEX(FTE_Allocation!$A$2:$A$201,$AB1316),Workforce!$A$2:$A$151,0))&amp;"","")))</f>
        <v/>
      </c>
      <c r="J1316" s="18">
        <f>IF($Z1316="","",IF(AND(DATE($AD1316,1,1)&gt;=$AE1316,DATE($AD1316,1,1)&lt;=$AF1316),ROUND($AG1316,2),0))</f>
        <v/>
      </c>
      <c r="K1316" s="18">
        <f>IF($Z1316="","",IF(AND(DATE($AD1316,2,1)&gt;=$AE1316,DATE($AD1316,2,1)&lt;=$AF1316),ROUND($AG1316,2),0))</f>
        <v/>
      </c>
      <c r="L1316" s="18">
        <f>IF($Z1316="","",IF(AND(DATE($AD1316,3,1)&gt;=$AE1316,DATE($AD1316,3,1)&lt;=$AF1316),ROUND($AG1316,2),0))</f>
        <v/>
      </c>
      <c r="M1316" s="18">
        <f>IF($Z1316="","",IF(AND(DATE($AD1316,4,1)&gt;=$AE1316,DATE($AD1316,4,1)&lt;=$AF1316),ROUND($AG1316,2),0))</f>
        <v/>
      </c>
      <c r="N1316" s="18">
        <f>IF($Z1316="","",IF(AND(DATE($AD1316,5,1)&gt;=$AE1316,DATE($AD1316,5,1)&lt;=$AF1316),ROUND($AG1316,2),0))</f>
        <v/>
      </c>
      <c r="O1316" s="18">
        <f>IF($Z1316="","",IF(AND(DATE($AD1316,6,1)&gt;=$AE1316,DATE($AD1316,6,1)&lt;=$AF1316),ROUND($AG1316,2),0))</f>
        <v/>
      </c>
      <c r="P1316" s="18">
        <f>IF($Z1316="","",IF(AND(DATE($AD1316,7,1)&gt;=$AE1316,DATE($AD1316,7,1)&lt;=$AF1316),ROUND($AG1316,2),0))</f>
        <v/>
      </c>
      <c r="Q1316" s="18">
        <f>IF($Z1316="","",IF(AND(DATE($AD1316,8,1)&gt;=$AE1316,DATE($AD1316,8,1)&lt;=$AF1316),ROUND($AG1316,2),0))</f>
        <v/>
      </c>
      <c r="R1316" s="18">
        <f>IF($Z1316="","",IF(AND(DATE($AD1316,9,1)&gt;=$AE1316,DATE($AD1316,9,1)&lt;=$AF1316),ROUND($AG1316,2),0))</f>
        <v/>
      </c>
      <c r="S1316" s="18">
        <f>IF($Z1316="","",IF(AND(DATE($AD1316,10,1)&gt;=$AE1316,DATE($AD1316,10,1)&lt;=$AF1316),ROUND($AG1316,2),0))</f>
        <v/>
      </c>
      <c r="T1316" s="18">
        <f>IF($Z1316="","",IF(AND(DATE($AD1316,11,1)&gt;=$AE1316,DATE($AD1316,11,1)&lt;=$AF1316),ROUND($AG1316,2),0))</f>
        <v/>
      </c>
      <c r="U1316" s="18">
        <f>IF($Z1316="","",IF(AND(DATE($AD1316,12,1)&gt;=$AE1316,DATE($AD1316,12,1)&lt;=$AF1316),ROUND($AG1316,2),0))</f>
        <v/>
      </c>
      <c r="V1316" s="7">
        <f>IF($Z1316="C","Generated from "&amp;INDEX(Contracts!$A$2:$A$151,$AB1316),IF($Z1316="A","Generated from "&amp;INDEX(Fixed_Assets!$A$2:$A$201,$AB1316),IF($Z1316="F","Generated from "&amp;INDEX(FTE_Allocation!$A$2:$A$201,$AB1316),"")))</f>
        <v/>
      </c>
      <c r="X1316" s="19">
        <f>IF($Z1316="","",SUM(J1316:U1316))</f>
        <v/>
      </c>
      <c r="Y1316" s="20">
        <f>ROW()-1</f>
        <v/>
      </c>
      <c r="Z1316" s="20">
        <f>IF($Y1316&lt;=Settings!$B$4*3,"C",IF($Y1316&lt;=(Settings!$B$4+Settings!$B$5)*3,"A",IF($Y1316&lt;=(Settings!$B$4+Settings!$B$5+Settings!$B$6)*3,"F","")))</f>
        <v/>
      </c>
      <c r="AA1316" s="20">
        <f>IF($Z1316="C",$Y1316,IF($Z1316="A",$Y1316-Settings!$B$4*3,IF($Z1316="F",$Y1316-(Settings!$B$4+Settings!$B$5)*3,"")))</f>
        <v/>
      </c>
      <c r="AB1316" s="20">
        <f>IF($Z1316="","",INT(($AA1316-1)/3)+1)</f>
        <v/>
      </c>
      <c r="AC1316" s="20">
        <f>IF($Z1316="","",MOD($AA1316-1,3)+1)</f>
        <v/>
      </c>
      <c r="AD1316" s="20">
        <f>IF($Z1316="","",Settings!$B$2+$AC1316-1)</f>
        <v/>
      </c>
      <c r="AE1316" s="21">
        <f>IF($Z1316="C",DATE(YEAR(INDEX(Contracts!$J$2:$J$151,$AB1316)),MONTH(INDEX(Contracts!$J$2:$J$151,$AB1316)),1),IF($Z1316="A",DATE(YEAR(INDEX(Fixed_Assets!$G$2:$G$201,$AB1316)),MONTH(INDEX(Fixed_Assets!$G$2:$G$201,$AB1316)),1),IF($Z1316="F",DATE(YEAR(MAX(N(INDEX(Workforce!$I$2:$I$151,MATCH(INDEX(FTE_Allocation!$A$2:$A$201,$AB1316),Workforce!$A$2:$A$151,0))),N(INDEX(FTE_Allocation!$I$2:$I$201,$AB1316)))),MONTH(MAX(N(INDEX(Workforce!$I$2:$I$151,MATCH(INDEX(FTE_Allocation!$A$2:$A$201,$AB1316),Workforce!$A$2:$A$151,0))),N(INDEX(FTE_Allocation!$I$2:$I$201,$AB1316)))),1),"")))</f>
        <v/>
      </c>
      <c r="AF1316" s="21">
        <f>IF($Z1316="C",IF(INDEX(Contracts!$I$2:$I$151,$AB1316)="PREPAID",EDATE(DATE(YEAR(INDEX(Contracts!$J$2:$J$151,$AB1316)),MONTH(INDEX(Contracts!$J$2:$J$151,$AB1316)),1),IF(INDEX(Contracts!$N$2:$N$151,$AB1316)="",12,INDEX(Contracts!$N$2:$N$151,$AB1316))-1),IF(INDEX(Contracts!$I$2:$I$151,$AB1316)="MONTHLY",IF(INDEX(Contracts!$K$2:$K$151,$AB1316)="",2958101,INDEX(Contracts!$K$2:$K$151,$AB1316)),0)),IF($Z1316="A",EDATE(DATE(YEAR(INDEX(Fixed_Assets!$G$2:$G$201,$AB1316)),MONTH(INDEX(Fixed_Assets!$G$2:$G$201,$AB1316)),1),INDEX(Fixed_Assets!$J$2:$J$201,$AB1316)-1),IF($Z1316="F",MIN(IF(INDEX(Workforce!$J$2:$J$151,MATCH(INDEX(FTE_Allocation!$A$2:$A$201,$AB1316),Workforce!$A$2:$A$151,0))="",2958101,INDEX(Workforce!$J$2:$J$151,MATCH(INDEX(FTE_Allocation!$A$2:$A$201,$AB1316),Workforce!$A$2:$A$151,0))),IF(INDEX(FTE_Allocation!$J$2:$J$201,$AB1316)="",2958101,INDEX(FTE_Allocation!$J$2:$J$201,$AB1316))),"")))</f>
        <v/>
      </c>
      <c r="AG1316" s="19">
        <f>IF($Z1316="C",IF(INDEX(Contracts!$I$2:$I$151,$AB1316)="PREPAID",INDEX(Contracts!$M$2:$M$151,$AB1316)/IF(INDEX(Contracts!$N$2:$N$151,$AB1316)="",12,INDEX(Contracts!$N$2:$N$151,$AB1316)),IF(INDEX(Contracts!$I$2:$I$151,$AB1316)="MONTHLY",INDEX(Contracts!$M$2:$M$151,$AB1316),0))*(1-N(INDEX(Contracts!$O$2:$O$151,$AB1316))),IF($Z1316="A",INDEX(Fixed_Assets!$H$2:$H$201,$AB1316)/INDEX(Fixed_Assets!$J$2:$J$201,$AB1316),IF($Z1316="F",INDEX(Workforce!$F$2:$F$151,MATCH(INDEX(FTE_Allocation!$A$2:$A$201,$AB1316),Workforce!$A$2:$A$151,0))*N(INDEX(FTE_Allocation!$F$2:$H$201,$AB1316,$AC1316)),"")))</f>
        <v/>
      </c>
    </row>
    <row r="1317">
      <c r="A1317" s="7">
        <f>IF($Z1317="","",$AD1317)</f>
        <v/>
      </c>
      <c r="B1317" s="7">
        <f>IF($Z1317="C",INDEX(Contracts!$D$2:$D$151,$AB1317)&amp;"",IF($Z1317="A",INDEX(Fixed_Assets!$C$2:$C$201,$AB1317)&amp;"",IF($Z1317="F",INDEX(Workforce!$B$2:$B$151,MATCH(INDEX(FTE_Allocation!$A$2:$A$201,$AB1317),Workforce!$A$2:$A$151,0))&amp;"","")))</f>
        <v/>
      </c>
      <c r="C1317" s="7">
        <f>IF($Z1317="C",INDEX(Contracts!$E$2:$E$151,$AB1317)&amp;"",IF($Z1317="A",INDEX(Fixed_Assets!$D$2:$D$201,$AB1317)&amp;"",IF($Z1317="F",INDEX(FTE_Allocation!$C$2:$C$201,$AB1317)&amp;"","")))</f>
        <v/>
      </c>
      <c r="D1317" s="7">
        <f>IF($Z1317="C",INDEX(Contracts!$B$2:$B$151,$AB1317)&amp;"",IF($Z1317="A",INDEX(Fixed_Assets!$B$2:$B$201,$AB1317)&amp;"",IF($Z1317="F",INDEX(FTE_Allocation!$B$2:$B$201,$AB1317)&amp;"","")))</f>
        <v/>
      </c>
      <c r="E1317" s="7">
        <f>IF($Z1317="C",INDEX(Contracts!$P$2:$P$151,$AB1317)&amp;"",IF($Z1317="A",INDEX(Fixed_Assets!$K$2:$K$201,$AB1317)&amp;"",IF($Z1317="F",IF(INDEX(FTE_Allocation!$D$2:$D$201,$AB1317)="PROJECT",IFERROR(INDEX(Projects!$D:$D,MATCH(INDEX(FTE_Allocation!$E$2:$E$201,$AB1317),Projects!$A:$A,0))&amp;"","#PROJECT?"),INDEX(FTE_Allocation!$E$2:$E$201,$AB1317)&amp;""),"")))</f>
        <v/>
      </c>
      <c r="F1317" s="7">
        <f>IF($Z1317="C",INDEX(Contracts!$Q$2:$Q$151,$AB1317)&amp;"",IF($Z1317="A",INDEX(Fixed_Assets!$L$2:$L$201,$AB1317)&amp;"",IF($Z1317="F",INDEX(Workforce!$K$2:$K$151,MATCH(INDEX(FTE_Allocation!$A$2:$A$201,$AB1317),Workforce!$A$2:$A$151,0))&amp;"","")))</f>
        <v/>
      </c>
      <c r="G1317" s="7">
        <f>IF($Z1317="C",INDEX(Contracts!$F$2:$F$151,$AB1317)&amp;" / "&amp;INDEX(Contracts!$G$2:$G$151,$AB1317),IF($Z1317="A",INDEX(Fixed_Assets!$E$2:$E$201,$AB1317)&amp;"",IF($Z1317="F","Personnel "&amp;INDEX(FTE_Allocation!$A$2:$A$201,$AB1317)&amp;IF(INDEX(FTE_Allocation!$D$2:$D$201,$AB1317)="PROJECT"," ("&amp;INDEX(FTE_Allocation!$E$2:$E$201,$AB1317)&amp;")",""),"")))</f>
        <v/>
      </c>
      <c r="H1317" s="7">
        <f>IF($Z1317="C","CONTRACT",IF($Z1317="A","ASSET",IF($Z1317="F","WORKFORCE","")))</f>
        <v/>
      </c>
      <c r="I1317" s="7">
        <f>IF($Z1317="C",INDEX(Contracts!$L$2:$L$151,$AB1317)&amp;"",IF($Z1317="A",INDEX(Fixed_Assets!$I$2:$I$201,$AB1317)&amp;"",IF($Z1317="F",INDEX(Workforce!$G$2:$G$151,MATCH(INDEX(FTE_Allocation!$A$2:$A$201,$AB1317),Workforce!$A$2:$A$151,0))&amp;"","")))</f>
        <v/>
      </c>
      <c r="J1317" s="18">
        <f>IF($Z1317="","",IF(AND(DATE($AD1317,1,1)&gt;=$AE1317,DATE($AD1317,1,1)&lt;=$AF1317),ROUND($AG1317,2),0))</f>
        <v/>
      </c>
      <c r="K1317" s="18">
        <f>IF($Z1317="","",IF(AND(DATE($AD1317,2,1)&gt;=$AE1317,DATE($AD1317,2,1)&lt;=$AF1317),ROUND($AG1317,2),0))</f>
        <v/>
      </c>
      <c r="L1317" s="18">
        <f>IF($Z1317="","",IF(AND(DATE($AD1317,3,1)&gt;=$AE1317,DATE($AD1317,3,1)&lt;=$AF1317),ROUND($AG1317,2),0))</f>
        <v/>
      </c>
      <c r="M1317" s="18">
        <f>IF($Z1317="","",IF(AND(DATE($AD1317,4,1)&gt;=$AE1317,DATE($AD1317,4,1)&lt;=$AF1317),ROUND($AG1317,2),0))</f>
        <v/>
      </c>
      <c r="N1317" s="18">
        <f>IF($Z1317="","",IF(AND(DATE($AD1317,5,1)&gt;=$AE1317,DATE($AD1317,5,1)&lt;=$AF1317),ROUND($AG1317,2),0))</f>
        <v/>
      </c>
      <c r="O1317" s="18">
        <f>IF($Z1317="","",IF(AND(DATE($AD1317,6,1)&gt;=$AE1317,DATE($AD1317,6,1)&lt;=$AF1317),ROUND($AG1317,2),0))</f>
        <v/>
      </c>
      <c r="P1317" s="18">
        <f>IF($Z1317="","",IF(AND(DATE($AD1317,7,1)&gt;=$AE1317,DATE($AD1317,7,1)&lt;=$AF1317),ROUND($AG1317,2),0))</f>
        <v/>
      </c>
      <c r="Q1317" s="18">
        <f>IF($Z1317="","",IF(AND(DATE($AD1317,8,1)&gt;=$AE1317,DATE($AD1317,8,1)&lt;=$AF1317),ROUND($AG1317,2),0))</f>
        <v/>
      </c>
      <c r="R1317" s="18">
        <f>IF($Z1317="","",IF(AND(DATE($AD1317,9,1)&gt;=$AE1317,DATE($AD1317,9,1)&lt;=$AF1317),ROUND($AG1317,2),0))</f>
        <v/>
      </c>
      <c r="S1317" s="18">
        <f>IF($Z1317="","",IF(AND(DATE($AD1317,10,1)&gt;=$AE1317,DATE($AD1317,10,1)&lt;=$AF1317),ROUND($AG1317,2),0))</f>
        <v/>
      </c>
      <c r="T1317" s="18">
        <f>IF($Z1317="","",IF(AND(DATE($AD1317,11,1)&gt;=$AE1317,DATE($AD1317,11,1)&lt;=$AF1317),ROUND($AG1317,2),0))</f>
        <v/>
      </c>
      <c r="U1317" s="18">
        <f>IF($Z1317="","",IF(AND(DATE($AD1317,12,1)&gt;=$AE1317,DATE($AD1317,12,1)&lt;=$AF1317),ROUND($AG1317,2),0))</f>
        <v/>
      </c>
      <c r="V1317" s="7">
        <f>IF($Z1317="C","Generated from "&amp;INDEX(Contracts!$A$2:$A$151,$AB1317),IF($Z1317="A","Generated from "&amp;INDEX(Fixed_Assets!$A$2:$A$201,$AB1317),IF($Z1317="F","Generated from "&amp;INDEX(FTE_Allocation!$A$2:$A$201,$AB1317),"")))</f>
        <v/>
      </c>
      <c r="X1317" s="19">
        <f>IF($Z1317="","",SUM(J1317:U1317))</f>
        <v/>
      </c>
      <c r="Y1317" s="20">
        <f>ROW()-1</f>
        <v/>
      </c>
      <c r="Z1317" s="20">
        <f>IF($Y1317&lt;=Settings!$B$4*3,"C",IF($Y1317&lt;=(Settings!$B$4+Settings!$B$5)*3,"A",IF($Y1317&lt;=(Settings!$B$4+Settings!$B$5+Settings!$B$6)*3,"F","")))</f>
        <v/>
      </c>
      <c r="AA1317" s="20">
        <f>IF($Z1317="C",$Y1317,IF($Z1317="A",$Y1317-Settings!$B$4*3,IF($Z1317="F",$Y1317-(Settings!$B$4+Settings!$B$5)*3,"")))</f>
        <v/>
      </c>
      <c r="AB1317" s="20">
        <f>IF($Z1317="","",INT(($AA1317-1)/3)+1)</f>
        <v/>
      </c>
      <c r="AC1317" s="20">
        <f>IF($Z1317="","",MOD($AA1317-1,3)+1)</f>
        <v/>
      </c>
      <c r="AD1317" s="20">
        <f>IF($Z1317="","",Settings!$B$2+$AC1317-1)</f>
        <v/>
      </c>
      <c r="AE1317" s="21">
        <f>IF($Z1317="C",DATE(YEAR(INDEX(Contracts!$J$2:$J$151,$AB1317)),MONTH(INDEX(Contracts!$J$2:$J$151,$AB1317)),1),IF($Z1317="A",DATE(YEAR(INDEX(Fixed_Assets!$G$2:$G$201,$AB1317)),MONTH(INDEX(Fixed_Assets!$G$2:$G$201,$AB1317)),1),IF($Z1317="F",DATE(YEAR(MAX(N(INDEX(Workforce!$I$2:$I$151,MATCH(INDEX(FTE_Allocation!$A$2:$A$201,$AB1317),Workforce!$A$2:$A$151,0))),N(INDEX(FTE_Allocation!$I$2:$I$201,$AB1317)))),MONTH(MAX(N(INDEX(Workforce!$I$2:$I$151,MATCH(INDEX(FTE_Allocation!$A$2:$A$201,$AB1317),Workforce!$A$2:$A$151,0))),N(INDEX(FTE_Allocation!$I$2:$I$201,$AB1317)))),1),"")))</f>
        <v/>
      </c>
      <c r="AF1317" s="21">
        <f>IF($Z1317="C",IF(INDEX(Contracts!$I$2:$I$151,$AB1317)="PREPAID",EDATE(DATE(YEAR(INDEX(Contracts!$J$2:$J$151,$AB1317)),MONTH(INDEX(Contracts!$J$2:$J$151,$AB1317)),1),IF(INDEX(Contracts!$N$2:$N$151,$AB1317)="",12,INDEX(Contracts!$N$2:$N$151,$AB1317))-1),IF(INDEX(Contracts!$I$2:$I$151,$AB1317)="MONTHLY",IF(INDEX(Contracts!$K$2:$K$151,$AB1317)="",2958101,INDEX(Contracts!$K$2:$K$151,$AB1317)),0)),IF($Z1317="A",EDATE(DATE(YEAR(INDEX(Fixed_Assets!$G$2:$G$201,$AB1317)),MONTH(INDEX(Fixed_Assets!$G$2:$G$201,$AB1317)),1),INDEX(Fixed_Assets!$J$2:$J$201,$AB1317)-1),IF($Z1317="F",MIN(IF(INDEX(Workforce!$J$2:$J$151,MATCH(INDEX(FTE_Allocation!$A$2:$A$201,$AB1317),Workforce!$A$2:$A$151,0))="",2958101,INDEX(Workforce!$J$2:$J$151,MATCH(INDEX(FTE_Allocation!$A$2:$A$201,$AB1317),Workforce!$A$2:$A$151,0))),IF(INDEX(FTE_Allocation!$J$2:$J$201,$AB1317)="",2958101,INDEX(FTE_Allocation!$J$2:$J$201,$AB1317))),"")))</f>
        <v/>
      </c>
      <c r="AG1317" s="19">
        <f>IF($Z1317="C",IF(INDEX(Contracts!$I$2:$I$151,$AB1317)="PREPAID",INDEX(Contracts!$M$2:$M$151,$AB1317)/IF(INDEX(Contracts!$N$2:$N$151,$AB1317)="",12,INDEX(Contracts!$N$2:$N$151,$AB1317)),IF(INDEX(Contracts!$I$2:$I$151,$AB1317)="MONTHLY",INDEX(Contracts!$M$2:$M$151,$AB1317),0))*(1-N(INDEX(Contracts!$O$2:$O$151,$AB1317))),IF($Z1317="A",INDEX(Fixed_Assets!$H$2:$H$201,$AB1317)/INDEX(Fixed_Assets!$J$2:$J$201,$AB1317),IF($Z1317="F",INDEX(Workforce!$F$2:$F$151,MATCH(INDEX(FTE_Allocation!$A$2:$A$201,$AB1317),Workforce!$A$2:$A$151,0))*N(INDEX(FTE_Allocation!$F$2:$H$201,$AB1317,$AC1317)),"")))</f>
        <v/>
      </c>
    </row>
    <row r="1318">
      <c r="A1318" s="7">
        <f>IF($Z1318="","",$AD1318)</f>
        <v/>
      </c>
      <c r="B1318" s="7">
        <f>IF($Z1318="C",INDEX(Contracts!$D$2:$D$151,$AB1318)&amp;"",IF($Z1318="A",INDEX(Fixed_Assets!$C$2:$C$201,$AB1318)&amp;"",IF($Z1318="F",INDEX(Workforce!$B$2:$B$151,MATCH(INDEX(FTE_Allocation!$A$2:$A$201,$AB1318),Workforce!$A$2:$A$151,0))&amp;"","")))</f>
        <v/>
      </c>
      <c r="C1318" s="7">
        <f>IF($Z1318="C",INDEX(Contracts!$E$2:$E$151,$AB1318)&amp;"",IF($Z1318="A",INDEX(Fixed_Assets!$D$2:$D$201,$AB1318)&amp;"",IF($Z1318="F",INDEX(FTE_Allocation!$C$2:$C$201,$AB1318)&amp;"","")))</f>
        <v/>
      </c>
      <c r="D1318" s="7">
        <f>IF($Z1318="C",INDEX(Contracts!$B$2:$B$151,$AB1318)&amp;"",IF($Z1318="A",INDEX(Fixed_Assets!$B$2:$B$201,$AB1318)&amp;"",IF($Z1318="F",INDEX(FTE_Allocation!$B$2:$B$201,$AB1318)&amp;"","")))</f>
        <v/>
      </c>
      <c r="E1318" s="7">
        <f>IF($Z1318="C",INDEX(Contracts!$P$2:$P$151,$AB1318)&amp;"",IF($Z1318="A",INDEX(Fixed_Assets!$K$2:$K$201,$AB1318)&amp;"",IF($Z1318="F",IF(INDEX(FTE_Allocation!$D$2:$D$201,$AB1318)="PROJECT",IFERROR(INDEX(Projects!$D:$D,MATCH(INDEX(FTE_Allocation!$E$2:$E$201,$AB1318),Projects!$A:$A,0))&amp;"","#PROJECT?"),INDEX(FTE_Allocation!$E$2:$E$201,$AB1318)&amp;""),"")))</f>
        <v/>
      </c>
      <c r="F1318" s="7">
        <f>IF($Z1318="C",INDEX(Contracts!$Q$2:$Q$151,$AB1318)&amp;"",IF($Z1318="A",INDEX(Fixed_Assets!$L$2:$L$201,$AB1318)&amp;"",IF($Z1318="F",INDEX(Workforce!$K$2:$K$151,MATCH(INDEX(FTE_Allocation!$A$2:$A$201,$AB1318),Workforce!$A$2:$A$151,0))&amp;"","")))</f>
        <v/>
      </c>
      <c r="G1318" s="7">
        <f>IF($Z1318="C",INDEX(Contracts!$F$2:$F$151,$AB1318)&amp;" / "&amp;INDEX(Contracts!$G$2:$G$151,$AB1318),IF($Z1318="A",INDEX(Fixed_Assets!$E$2:$E$201,$AB1318)&amp;"",IF($Z1318="F","Personnel "&amp;INDEX(FTE_Allocation!$A$2:$A$201,$AB1318)&amp;IF(INDEX(FTE_Allocation!$D$2:$D$201,$AB1318)="PROJECT"," ("&amp;INDEX(FTE_Allocation!$E$2:$E$201,$AB1318)&amp;")",""),"")))</f>
        <v/>
      </c>
      <c r="H1318" s="7">
        <f>IF($Z1318="C","CONTRACT",IF($Z1318="A","ASSET",IF($Z1318="F","WORKFORCE","")))</f>
        <v/>
      </c>
      <c r="I1318" s="7">
        <f>IF($Z1318="C",INDEX(Contracts!$L$2:$L$151,$AB1318)&amp;"",IF($Z1318="A",INDEX(Fixed_Assets!$I$2:$I$201,$AB1318)&amp;"",IF($Z1318="F",INDEX(Workforce!$G$2:$G$151,MATCH(INDEX(FTE_Allocation!$A$2:$A$201,$AB1318),Workforce!$A$2:$A$151,0))&amp;"","")))</f>
        <v/>
      </c>
      <c r="J1318" s="18">
        <f>IF($Z1318="","",IF(AND(DATE($AD1318,1,1)&gt;=$AE1318,DATE($AD1318,1,1)&lt;=$AF1318),ROUND($AG1318,2),0))</f>
        <v/>
      </c>
      <c r="K1318" s="18">
        <f>IF($Z1318="","",IF(AND(DATE($AD1318,2,1)&gt;=$AE1318,DATE($AD1318,2,1)&lt;=$AF1318),ROUND($AG1318,2),0))</f>
        <v/>
      </c>
      <c r="L1318" s="18">
        <f>IF($Z1318="","",IF(AND(DATE($AD1318,3,1)&gt;=$AE1318,DATE($AD1318,3,1)&lt;=$AF1318),ROUND($AG1318,2),0))</f>
        <v/>
      </c>
      <c r="M1318" s="18">
        <f>IF($Z1318="","",IF(AND(DATE($AD1318,4,1)&gt;=$AE1318,DATE($AD1318,4,1)&lt;=$AF1318),ROUND($AG1318,2),0))</f>
        <v/>
      </c>
      <c r="N1318" s="18">
        <f>IF($Z1318="","",IF(AND(DATE($AD1318,5,1)&gt;=$AE1318,DATE($AD1318,5,1)&lt;=$AF1318),ROUND($AG1318,2),0))</f>
        <v/>
      </c>
      <c r="O1318" s="18">
        <f>IF($Z1318="","",IF(AND(DATE($AD1318,6,1)&gt;=$AE1318,DATE($AD1318,6,1)&lt;=$AF1318),ROUND($AG1318,2),0))</f>
        <v/>
      </c>
      <c r="P1318" s="18">
        <f>IF($Z1318="","",IF(AND(DATE($AD1318,7,1)&gt;=$AE1318,DATE($AD1318,7,1)&lt;=$AF1318),ROUND($AG1318,2),0))</f>
        <v/>
      </c>
      <c r="Q1318" s="18">
        <f>IF($Z1318="","",IF(AND(DATE($AD1318,8,1)&gt;=$AE1318,DATE($AD1318,8,1)&lt;=$AF1318),ROUND($AG1318,2),0))</f>
        <v/>
      </c>
      <c r="R1318" s="18">
        <f>IF($Z1318="","",IF(AND(DATE($AD1318,9,1)&gt;=$AE1318,DATE($AD1318,9,1)&lt;=$AF1318),ROUND($AG1318,2),0))</f>
        <v/>
      </c>
      <c r="S1318" s="18">
        <f>IF($Z1318="","",IF(AND(DATE($AD1318,10,1)&gt;=$AE1318,DATE($AD1318,10,1)&lt;=$AF1318),ROUND($AG1318,2),0))</f>
        <v/>
      </c>
      <c r="T1318" s="18">
        <f>IF($Z1318="","",IF(AND(DATE($AD1318,11,1)&gt;=$AE1318,DATE($AD1318,11,1)&lt;=$AF1318),ROUND($AG1318,2),0))</f>
        <v/>
      </c>
      <c r="U1318" s="18">
        <f>IF($Z1318="","",IF(AND(DATE($AD1318,12,1)&gt;=$AE1318,DATE($AD1318,12,1)&lt;=$AF1318),ROUND($AG1318,2),0))</f>
        <v/>
      </c>
      <c r="V1318" s="7">
        <f>IF($Z1318="C","Generated from "&amp;INDEX(Contracts!$A$2:$A$151,$AB1318),IF($Z1318="A","Generated from "&amp;INDEX(Fixed_Assets!$A$2:$A$201,$AB1318),IF($Z1318="F","Generated from "&amp;INDEX(FTE_Allocation!$A$2:$A$201,$AB1318),"")))</f>
        <v/>
      </c>
      <c r="X1318" s="19">
        <f>IF($Z1318="","",SUM(J1318:U1318))</f>
        <v/>
      </c>
      <c r="Y1318" s="20">
        <f>ROW()-1</f>
        <v/>
      </c>
      <c r="Z1318" s="20">
        <f>IF($Y1318&lt;=Settings!$B$4*3,"C",IF($Y1318&lt;=(Settings!$B$4+Settings!$B$5)*3,"A",IF($Y1318&lt;=(Settings!$B$4+Settings!$B$5+Settings!$B$6)*3,"F","")))</f>
        <v/>
      </c>
      <c r="AA1318" s="20">
        <f>IF($Z1318="C",$Y1318,IF($Z1318="A",$Y1318-Settings!$B$4*3,IF($Z1318="F",$Y1318-(Settings!$B$4+Settings!$B$5)*3,"")))</f>
        <v/>
      </c>
      <c r="AB1318" s="20">
        <f>IF($Z1318="","",INT(($AA1318-1)/3)+1)</f>
        <v/>
      </c>
      <c r="AC1318" s="20">
        <f>IF($Z1318="","",MOD($AA1318-1,3)+1)</f>
        <v/>
      </c>
      <c r="AD1318" s="20">
        <f>IF($Z1318="","",Settings!$B$2+$AC1318-1)</f>
        <v/>
      </c>
      <c r="AE1318" s="21">
        <f>IF($Z1318="C",DATE(YEAR(INDEX(Contracts!$J$2:$J$151,$AB1318)),MONTH(INDEX(Contracts!$J$2:$J$151,$AB1318)),1),IF($Z1318="A",DATE(YEAR(INDEX(Fixed_Assets!$G$2:$G$201,$AB1318)),MONTH(INDEX(Fixed_Assets!$G$2:$G$201,$AB1318)),1),IF($Z1318="F",DATE(YEAR(MAX(N(INDEX(Workforce!$I$2:$I$151,MATCH(INDEX(FTE_Allocation!$A$2:$A$201,$AB1318),Workforce!$A$2:$A$151,0))),N(INDEX(FTE_Allocation!$I$2:$I$201,$AB1318)))),MONTH(MAX(N(INDEX(Workforce!$I$2:$I$151,MATCH(INDEX(FTE_Allocation!$A$2:$A$201,$AB1318),Workforce!$A$2:$A$151,0))),N(INDEX(FTE_Allocation!$I$2:$I$201,$AB1318)))),1),"")))</f>
        <v/>
      </c>
      <c r="AF1318" s="21">
        <f>IF($Z1318="C",IF(INDEX(Contracts!$I$2:$I$151,$AB1318)="PREPAID",EDATE(DATE(YEAR(INDEX(Contracts!$J$2:$J$151,$AB1318)),MONTH(INDEX(Contracts!$J$2:$J$151,$AB1318)),1),IF(INDEX(Contracts!$N$2:$N$151,$AB1318)="",12,INDEX(Contracts!$N$2:$N$151,$AB1318))-1),IF(INDEX(Contracts!$I$2:$I$151,$AB1318)="MONTHLY",IF(INDEX(Contracts!$K$2:$K$151,$AB1318)="",2958101,INDEX(Contracts!$K$2:$K$151,$AB1318)),0)),IF($Z1318="A",EDATE(DATE(YEAR(INDEX(Fixed_Assets!$G$2:$G$201,$AB1318)),MONTH(INDEX(Fixed_Assets!$G$2:$G$201,$AB1318)),1),INDEX(Fixed_Assets!$J$2:$J$201,$AB1318)-1),IF($Z1318="F",MIN(IF(INDEX(Workforce!$J$2:$J$151,MATCH(INDEX(FTE_Allocation!$A$2:$A$201,$AB1318),Workforce!$A$2:$A$151,0))="",2958101,INDEX(Workforce!$J$2:$J$151,MATCH(INDEX(FTE_Allocation!$A$2:$A$201,$AB1318),Workforce!$A$2:$A$151,0))),IF(INDEX(FTE_Allocation!$J$2:$J$201,$AB1318)="",2958101,INDEX(FTE_Allocation!$J$2:$J$201,$AB1318))),"")))</f>
        <v/>
      </c>
      <c r="AG1318" s="19">
        <f>IF($Z1318="C",IF(INDEX(Contracts!$I$2:$I$151,$AB1318)="PREPAID",INDEX(Contracts!$M$2:$M$151,$AB1318)/IF(INDEX(Contracts!$N$2:$N$151,$AB1318)="",12,INDEX(Contracts!$N$2:$N$151,$AB1318)),IF(INDEX(Contracts!$I$2:$I$151,$AB1318)="MONTHLY",INDEX(Contracts!$M$2:$M$151,$AB1318),0))*(1-N(INDEX(Contracts!$O$2:$O$151,$AB1318))),IF($Z1318="A",INDEX(Fixed_Assets!$H$2:$H$201,$AB1318)/INDEX(Fixed_Assets!$J$2:$J$201,$AB1318),IF($Z1318="F",INDEX(Workforce!$F$2:$F$151,MATCH(INDEX(FTE_Allocation!$A$2:$A$201,$AB1318),Workforce!$A$2:$A$151,0))*N(INDEX(FTE_Allocation!$F$2:$H$201,$AB1318,$AC1318)),"")))</f>
        <v/>
      </c>
    </row>
    <row r="1319">
      <c r="A1319" s="7">
        <f>IF($Z1319="","",$AD1319)</f>
        <v/>
      </c>
      <c r="B1319" s="7">
        <f>IF($Z1319="C",INDEX(Contracts!$D$2:$D$151,$AB1319)&amp;"",IF($Z1319="A",INDEX(Fixed_Assets!$C$2:$C$201,$AB1319)&amp;"",IF($Z1319="F",INDEX(Workforce!$B$2:$B$151,MATCH(INDEX(FTE_Allocation!$A$2:$A$201,$AB1319),Workforce!$A$2:$A$151,0))&amp;"","")))</f>
        <v/>
      </c>
      <c r="C1319" s="7">
        <f>IF($Z1319="C",INDEX(Contracts!$E$2:$E$151,$AB1319)&amp;"",IF($Z1319="A",INDEX(Fixed_Assets!$D$2:$D$201,$AB1319)&amp;"",IF($Z1319="F",INDEX(FTE_Allocation!$C$2:$C$201,$AB1319)&amp;"","")))</f>
        <v/>
      </c>
      <c r="D1319" s="7">
        <f>IF($Z1319="C",INDEX(Contracts!$B$2:$B$151,$AB1319)&amp;"",IF($Z1319="A",INDEX(Fixed_Assets!$B$2:$B$201,$AB1319)&amp;"",IF($Z1319="F",INDEX(FTE_Allocation!$B$2:$B$201,$AB1319)&amp;"","")))</f>
        <v/>
      </c>
      <c r="E1319" s="7">
        <f>IF($Z1319="C",INDEX(Contracts!$P$2:$P$151,$AB1319)&amp;"",IF($Z1319="A",INDEX(Fixed_Assets!$K$2:$K$201,$AB1319)&amp;"",IF($Z1319="F",IF(INDEX(FTE_Allocation!$D$2:$D$201,$AB1319)="PROJECT",IFERROR(INDEX(Projects!$D:$D,MATCH(INDEX(FTE_Allocation!$E$2:$E$201,$AB1319),Projects!$A:$A,0))&amp;"","#PROJECT?"),INDEX(FTE_Allocation!$E$2:$E$201,$AB1319)&amp;""),"")))</f>
        <v/>
      </c>
      <c r="F1319" s="7">
        <f>IF($Z1319="C",INDEX(Contracts!$Q$2:$Q$151,$AB1319)&amp;"",IF($Z1319="A",INDEX(Fixed_Assets!$L$2:$L$201,$AB1319)&amp;"",IF($Z1319="F",INDEX(Workforce!$K$2:$K$151,MATCH(INDEX(FTE_Allocation!$A$2:$A$201,$AB1319),Workforce!$A$2:$A$151,0))&amp;"","")))</f>
        <v/>
      </c>
      <c r="G1319" s="7">
        <f>IF($Z1319="C",INDEX(Contracts!$F$2:$F$151,$AB1319)&amp;" / "&amp;INDEX(Contracts!$G$2:$G$151,$AB1319),IF($Z1319="A",INDEX(Fixed_Assets!$E$2:$E$201,$AB1319)&amp;"",IF($Z1319="F","Personnel "&amp;INDEX(FTE_Allocation!$A$2:$A$201,$AB1319)&amp;IF(INDEX(FTE_Allocation!$D$2:$D$201,$AB1319)="PROJECT"," ("&amp;INDEX(FTE_Allocation!$E$2:$E$201,$AB1319)&amp;")",""),"")))</f>
        <v/>
      </c>
      <c r="H1319" s="7">
        <f>IF($Z1319="C","CONTRACT",IF($Z1319="A","ASSET",IF($Z1319="F","WORKFORCE","")))</f>
        <v/>
      </c>
      <c r="I1319" s="7">
        <f>IF($Z1319="C",INDEX(Contracts!$L$2:$L$151,$AB1319)&amp;"",IF($Z1319="A",INDEX(Fixed_Assets!$I$2:$I$201,$AB1319)&amp;"",IF($Z1319="F",INDEX(Workforce!$G$2:$G$151,MATCH(INDEX(FTE_Allocation!$A$2:$A$201,$AB1319),Workforce!$A$2:$A$151,0))&amp;"","")))</f>
        <v/>
      </c>
      <c r="J1319" s="18">
        <f>IF($Z1319="","",IF(AND(DATE($AD1319,1,1)&gt;=$AE1319,DATE($AD1319,1,1)&lt;=$AF1319),ROUND($AG1319,2),0))</f>
        <v/>
      </c>
      <c r="K1319" s="18">
        <f>IF($Z1319="","",IF(AND(DATE($AD1319,2,1)&gt;=$AE1319,DATE($AD1319,2,1)&lt;=$AF1319),ROUND($AG1319,2),0))</f>
        <v/>
      </c>
      <c r="L1319" s="18">
        <f>IF($Z1319="","",IF(AND(DATE($AD1319,3,1)&gt;=$AE1319,DATE($AD1319,3,1)&lt;=$AF1319),ROUND($AG1319,2),0))</f>
        <v/>
      </c>
      <c r="M1319" s="18">
        <f>IF($Z1319="","",IF(AND(DATE($AD1319,4,1)&gt;=$AE1319,DATE($AD1319,4,1)&lt;=$AF1319),ROUND($AG1319,2),0))</f>
        <v/>
      </c>
      <c r="N1319" s="18">
        <f>IF($Z1319="","",IF(AND(DATE($AD1319,5,1)&gt;=$AE1319,DATE($AD1319,5,1)&lt;=$AF1319),ROUND($AG1319,2),0))</f>
        <v/>
      </c>
      <c r="O1319" s="18">
        <f>IF($Z1319="","",IF(AND(DATE($AD1319,6,1)&gt;=$AE1319,DATE($AD1319,6,1)&lt;=$AF1319),ROUND($AG1319,2),0))</f>
        <v/>
      </c>
      <c r="P1319" s="18">
        <f>IF($Z1319="","",IF(AND(DATE($AD1319,7,1)&gt;=$AE1319,DATE($AD1319,7,1)&lt;=$AF1319),ROUND($AG1319,2),0))</f>
        <v/>
      </c>
      <c r="Q1319" s="18">
        <f>IF($Z1319="","",IF(AND(DATE($AD1319,8,1)&gt;=$AE1319,DATE($AD1319,8,1)&lt;=$AF1319),ROUND($AG1319,2),0))</f>
        <v/>
      </c>
      <c r="R1319" s="18">
        <f>IF($Z1319="","",IF(AND(DATE($AD1319,9,1)&gt;=$AE1319,DATE($AD1319,9,1)&lt;=$AF1319),ROUND($AG1319,2),0))</f>
        <v/>
      </c>
      <c r="S1319" s="18">
        <f>IF($Z1319="","",IF(AND(DATE($AD1319,10,1)&gt;=$AE1319,DATE($AD1319,10,1)&lt;=$AF1319),ROUND($AG1319,2),0))</f>
        <v/>
      </c>
      <c r="T1319" s="18">
        <f>IF($Z1319="","",IF(AND(DATE($AD1319,11,1)&gt;=$AE1319,DATE($AD1319,11,1)&lt;=$AF1319),ROUND($AG1319,2),0))</f>
        <v/>
      </c>
      <c r="U1319" s="18">
        <f>IF($Z1319="","",IF(AND(DATE($AD1319,12,1)&gt;=$AE1319,DATE($AD1319,12,1)&lt;=$AF1319),ROUND($AG1319,2),0))</f>
        <v/>
      </c>
      <c r="V1319" s="7">
        <f>IF($Z1319="C","Generated from "&amp;INDEX(Contracts!$A$2:$A$151,$AB1319),IF($Z1319="A","Generated from "&amp;INDEX(Fixed_Assets!$A$2:$A$201,$AB1319),IF($Z1319="F","Generated from "&amp;INDEX(FTE_Allocation!$A$2:$A$201,$AB1319),"")))</f>
        <v/>
      </c>
      <c r="X1319" s="19">
        <f>IF($Z1319="","",SUM(J1319:U1319))</f>
        <v/>
      </c>
      <c r="Y1319" s="20">
        <f>ROW()-1</f>
        <v/>
      </c>
      <c r="Z1319" s="20">
        <f>IF($Y1319&lt;=Settings!$B$4*3,"C",IF($Y1319&lt;=(Settings!$B$4+Settings!$B$5)*3,"A",IF($Y1319&lt;=(Settings!$B$4+Settings!$B$5+Settings!$B$6)*3,"F","")))</f>
        <v/>
      </c>
      <c r="AA1319" s="20">
        <f>IF($Z1319="C",$Y1319,IF($Z1319="A",$Y1319-Settings!$B$4*3,IF($Z1319="F",$Y1319-(Settings!$B$4+Settings!$B$5)*3,"")))</f>
        <v/>
      </c>
      <c r="AB1319" s="20">
        <f>IF($Z1319="","",INT(($AA1319-1)/3)+1)</f>
        <v/>
      </c>
      <c r="AC1319" s="20">
        <f>IF($Z1319="","",MOD($AA1319-1,3)+1)</f>
        <v/>
      </c>
      <c r="AD1319" s="20">
        <f>IF($Z1319="","",Settings!$B$2+$AC1319-1)</f>
        <v/>
      </c>
      <c r="AE1319" s="21">
        <f>IF($Z1319="C",DATE(YEAR(INDEX(Contracts!$J$2:$J$151,$AB1319)),MONTH(INDEX(Contracts!$J$2:$J$151,$AB1319)),1),IF($Z1319="A",DATE(YEAR(INDEX(Fixed_Assets!$G$2:$G$201,$AB1319)),MONTH(INDEX(Fixed_Assets!$G$2:$G$201,$AB1319)),1),IF($Z1319="F",DATE(YEAR(MAX(N(INDEX(Workforce!$I$2:$I$151,MATCH(INDEX(FTE_Allocation!$A$2:$A$201,$AB1319),Workforce!$A$2:$A$151,0))),N(INDEX(FTE_Allocation!$I$2:$I$201,$AB1319)))),MONTH(MAX(N(INDEX(Workforce!$I$2:$I$151,MATCH(INDEX(FTE_Allocation!$A$2:$A$201,$AB1319),Workforce!$A$2:$A$151,0))),N(INDEX(FTE_Allocation!$I$2:$I$201,$AB1319)))),1),"")))</f>
        <v/>
      </c>
      <c r="AF1319" s="21">
        <f>IF($Z1319="C",IF(INDEX(Contracts!$I$2:$I$151,$AB1319)="PREPAID",EDATE(DATE(YEAR(INDEX(Contracts!$J$2:$J$151,$AB1319)),MONTH(INDEX(Contracts!$J$2:$J$151,$AB1319)),1),IF(INDEX(Contracts!$N$2:$N$151,$AB1319)="",12,INDEX(Contracts!$N$2:$N$151,$AB1319))-1),IF(INDEX(Contracts!$I$2:$I$151,$AB1319)="MONTHLY",IF(INDEX(Contracts!$K$2:$K$151,$AB1319)="",2958101,INDEX(Contracts!$K$2:$K$151,$AB1319)),0)),IF($Z1319="A",EDATE(DATE(YEAR(INDEX(Fixed_Assets!$G$2:$G$201,$AB1319)),MONTH(INDEX(Fixed_Assets!$G$2:$G$201,$AB1319)),1),INDEX(Fixed_Assets!$J$2:$J$201,$AB1319)-1),IF($Z1319="F",MIN(IF(INDEX(Workforce!$J$2:$J$151,MATCH(INDEX(FTE_Allocation!$A$2:$A$201,$AB1319),Workforce!$A$2:$A$151,0))="",2958101,INDEX(Workforce!$J$2:$J$151,MATCH(INDEX(FTE_Allocation!$A$2:$A$201,$AB1319),Workforce!$A$2:$A$151,0))),IF(INDEX(FTE_Allocation!$J$2:$J$201,$AB1319)="",2958101,INDEX(FTE_Allocation!$J$2:$J$201,$AB1319))),"")))</f>
        <v/>
      </c>
      <c r="AG1319" s="19">
        <f>IF($Z1319="C",IF(INDEX(Contracts!$I$2:$I$151,$AB1319)="PREPAID",INDEX(Contracts!$M$2:$M$151,$AB1319)/IF(INDEX(Contracts!$N$2:$N$151,$AB1319)="",12,INDEX(Contracts!$N$2:$N$151,$AB1319)),IF(INDEX(Contracts!$I$2:$I$151,$AB1319)="MONTHLY",INDEX(Contracts!$M$2:$M$151,$AB1319),0))*(1-N(INDEX(Contracts!$O$2:$O$151,$AB1319))),IF($Z1319="A",INDEX(Fixed_Assets!$H$2:$H$201,$AB1319)/INDEX(Fixed_Assets!$J$2:$J$201,$AB1319),IF($Z1319="F",INDEX(Workforce!$F$2:$F$151,MATCH(INDEX(FTE_Allocation!$A$2:$A$201,$AB1319),Workforce!$A$2:$A$151,0))*N(INDEX(FTE_Allocation!$F$2:$H$201,$AB1319,$AC1319)),"")))</f>
        <v/>
      </c>
    </row>
    <row r="1320">
      <c r="A1320" s="7">
        <f>IF($Z1320="","",$AD1320)</f>
        <v/>
      </c>
      <c r="B1320" s="7">
        <f>IF($Z1320="C",INDEX(Contracts!$D$2:$D$151,$AB1320)&amp;"",IF($Z1320="A",INDEX(Fixed_Assets!$C$2:$C$201,$AB1320)&amp;"",IF($Z1320="F",INDEX(Workforce!$B$2:$B$151,MATCH(INDEX(FTE_Allocation!$A$2:$A$201,$AB1320),Workforce!$A$2:$A$151,0))&amp;"","")))</f>
        <v/>
      </c>
      <c r="C1320" s="7">
        <f>IF($Z1320="C",INDEX(Contracts!$E$2:$E$151,$AB1320)&amp;"",IF($Z1320="A",INDEX(Fixed_Assets!$D$2:$D$201,$AB1320)&amp;"",IF($Z1320="F",INDEX(FTE_Allocation!$C$2:$C$201,$AB1320)&amp;"","")))</f>
        <v/>
      </c>
      <c r="D1320" s="7">
        <f>IF($Z1320="C",INDEX(Contracts!$B$2:$B$151,$AB1320)&amp;"",IF($Z1320="A",INDEX(Fixed_Assets!$B$2:$B$201,$AB1320)&amp;"",IF($Z1320="F",INDEX(FTE_Allocation!$B$2:$B$201,$AB1320)&amp;"","")))</f>
        <v/>
      </c>
      <c r="E1320" s="7">
        <f>IF($Z1320="C",INDEX(Contracts!$P$2:$P$151,$AB1320)&amp;"",IF($Z1320="A",INDEX(Fixed_Assets!$K$2:$K$201,$AB1320)&amp;"",IF($Z1320="F",IF(INDEX(FTE_Allocation!$D$2:$D$201,$AB1320)="PROJECT",IFERROR(INDEX(Projects!$D:$D,MATCH(INDEX(FTE_Allocation!$E$2:$E$201,$AB1320),Projects!$A:$A,0))&amp;"","#PROJECT?"),INDEX(FTE_Allocation!$E$2:$E$201,$AB1320)&amp;""),"")))</f>
        <v/>
      </c>
      <c r="F1320" s="7">
        <f>IF($Z1320="C",INDEX(Contracts!$Q$2:$Q$151,$AB1320)&amp;"",IF($Z1320="A",INDEX(Fixed_Assets!$L$2:$L$201,$AB1320)&amp;"",IF($Z1320="F",INDEX(Workforce!$K$2:$K$151,MATCH(INDEX(FTE_Allocation!$A$2:$A$201,$AB1320),Workforce!$A$2:$A$151,0))&amp;"","")))</f>
        <v/>
      </c>
      <c r="G1320" s="7">
        <f>IF($Z1320="C",INDEX(Contracts!$F$2:$F$151,$AB1320)&amp;" / "&amp;INDEX(Contracts!$G$2:$G$151,$AB1320),IF($Z1320="A",INDEX(Fixed_Assets!$E$2:$E$201,$AB1320)&amp;"",IF($Z1320="F","Personnel "&amp;INDEX(FTE_Allocation!$A$2:$A$201,$AB1320)&amp;IF(INDEX(FTE_Allocation!$D$2:$D$201,$AB1320)="PROJECT"," ("&amp;INDEX(FTE_Allocation!$E$2:$E$201,$AB1320)&amp;")",""),"")))</f>
        <v/>
      </c>
      <c r="H1320" s="7">
        <f>IF($Z1320="C","CONTRACT",IF($Z1320="A","ASSET",IF($Z1320="F","WORKFORCE","")))</f>
        <v/>
      </c>
      <c r="I1320" s="7">
        <f>IF($Z1320="C",INDEX(Contracts!$L$2:$L$151,$AB1320)&amp;"",IF($Z1320="A",INDEX(Fixed_Assets!$I$2:$I$201,$AB1320)&amp;"",IF($Z1320="F",INDEX(Workforce!$G$2:$G$151,MATCH(INDEX(FTE_Allocation!$A$2:$A$201,$AB1320),Workforce!$A$2:$A$151,0))&amp;"","")))</f>
        <v/>
      </c>
      <c r="J1320" s="18">
        <f>IF($Z1320="","",IF(AND(DATE($AD1320,1,1)&gt;=$AE1320,DATE($AD1320,1,1)&lt;=$AF1320),ROUND($AG1320,2),0))</f>
        <v/>
      </c>
      <c r="K1320" s="18">
        <f>IF($Z1320="","",IF(AND(DATE($AD1320,2,1)&gt;=$AE1320,DATE($AD1320,2,1)&lt;=$AF1320),ROUND($AG1320,2),0))</f>
        <v/>
      </c>
      <c r="L1320" s="18">
        <f>IF($Z1320="","",IF(AND(DATE($AD1320,3,1)&gt;=$AE1320,DATE($AD1320,3,1)&lt;=$AF1320),ROUND($AG1320,2),0))</f>
        <v/>
      </c>
      <c r="M1320" s="18">
        <f>IF($Z1320="","",IF(AND(DATE($AD1320,4,1)&gt;=$AE1320,DATE($AD1320,4,1)&lt;=$AF1320),ROUND($AG1320,2),0))</f>
        <v/>
      </c>
      <c r="N1320" s="18">
        <f>IF($Z1320="","",IF(AND(DATE($AD1320,5,1)&gt;=$AE1320,DATE($AD1320,5,1)&lt;=$AF1320),ROUND($AG1320,2),0))</f>
        <v/>
      </c>
      <c r="O1320" s="18">
        <f>IF($Z1320="","",IF(AND(DATE($AD1320,6,1)&gt;=$AE1320,DATE($AD1320,6,1)&lt;=$AF1320),ROUND($AG1320,2),0))</f>
        <v/>
      </c>
      <c r="P1320" s="18">
        <f>IF($Z1320="","",IF(AND(DATE($AD1320,7,1)&gt;=$AE1320,DATE($AD1320,7,1)&lt;=$AF1320),ROUND($AG1320,2),0))</f>
        <v/>
      </c>
      <c r="Q1320" s="18">
        <f>IF($Z1320="","",IF(AND(DATE($AD1320,8,1)&gt;=$AE1320,DATE($AD1320,8,1)&lt;=$AF1320),ROUND($AG1320,2),0))</f>
        <v/>
      </c>
      <c r="R1320" s="18">
        <f>IF($Z1320="","",IF(AND(DATE($AD1320,9,1)&gt;=$AE1320,DATE($AD1320,9,1)&lt;=$AF1320),ROUND($AG1320,2),0))</f>
        <v/>
      </c>
      <c r="S1320" s="18">
        <f>IF($Z1320="","",IF(AND(DATE($AD1320,10,1)&gt;=$AE1320,DATE($AD1320,10,1)&lt;=$AF1320),ROUND($AG1320,2),0))</f>
        <v/>
      </c>
      <c r="T1320" s="18">
        <f>IF($Z1320="","",IF(AND(DATE($AD1320,11,1)&gt;=$AE1320,DATE($AD1320,11,1)&lt;=$AF1320),ROUND($AG1320,2),0))</f>
        <v/>
      </c>
      <c r="U1320" s="18">
        <f>IF($Z1320="","",IF(AND(DATE($AD1320,12,1)&gt;=$AE1320,DATE($AD1320,12,1)&lt;=$AF1320),ROUND($AG1320,2),0))</f>
        <v/>
      </c>
      <c r="V1320" s="7">
        <f>IF($Z1320="C","Generated from "&amp;INDEX(Contracts!$A$2:$A$151,$AB1320),IF($Z1320="A","Generated from "&amp;INDEX(Fixed_Assets!$A$2:$A$201,$AB1320),IF($Z1320="F","Generated from "&amp;INDEX(FTE_Allocation!$A$2:$A$201,$AB1320),"")))</f>
        <v/>
      </c>
      <c r="X1320" s="19">
        <f>IF($Z1320="","",SUM(J1320:U1320))</f>
        <v/>
      </c>
      <c r="Y1320" s="20">
        <f>ROW()-1</f>
        <v/>
      </c>
      <c r="Z1320" s="20">
        <f>IF($Y1320&lt;=Settings!$B$4*3,"C",IF($Y1320&lt;=(Settings!$B$4+Settings!$B$5)*3,"A",IF($Y1320&lt;=(Settings!$B$4+Settings!$B$5+Settings!$B$6)*3,"F","")))</f>
        <v/>
      </c>
      <c r="AA1320" s="20">
        <f>IF($Z1320="C",$Y1320,IF($Z1320="A",$Y1320-Settings!$B$4*3,IF($Z1320="F",$Y1320-(Settings!$B$4+Settings!$B$5)*3,"")))</f>
        <v/>
      </c>
      <c r="AB1320" s="20">
        <f>IF($Z1320="","",INT(($AA1320-1)/3)+1)</f>
        <v/>
      </c>
      <c r="AC1320" s="20">
        <f>IF($Z1320="","",MOD($AA1320-1,3)+1)</f>
        <v/>
      </c>
      <c r="AD1320" s="20">
        <f>IF($Z1320="","",Settings!$B$2+$AC1320-1)</f>
        <v/>
      </c>
      <c r="AE1320" s="21">
        <f>IF($Z1320="C",DATE(YEAR(INDEX(Contracts!$J$2:$J$151,$AB1320)),MONTH(INDEX(Contracts!$J$2:$J$151,$AB1320)),1),IF($Z1320="A",DATE(YEAR(INDEX(Fixed_Assets!$G$2:$G$201,$AB1320)),MONTH(INDEX(Fixed_Assets!$G$2:$G$201,$AB1320)),1),IF($Z1320="F",DATE(YEAR(MAX(N(INDEX(Workforce!$I$2:$I$151,MATCH(INDEX(FTE_Allocation!$A$2:$A$201,$AB1320),Workforce!$A$2:$A$151,0))),N(INDEX(FTE_Allocation!$I$2:$I$201,$AB1320)))),MONTH(MAX(N(INDEX(Workforce!$I$2:$I$151,MATCH(INDEX(FTE_Allocation!$A$2:$A$201,$AB1320),Workforce!$A$2:$A$151,0))),N(INDEX(FTE_Allocation!$I$2:$I$201,$AB1320)))),1),"")))</f>
        <v/>
      </c>
      <c r="AF1320" s="21">
        <f>IF($Z1320="C",IF(INDEX(Contracts!$I$2:$I$151,$AB1320)="PREPAID",EDATE(DATE(YEAR(INDEX(Contracts!$J$2:$J$151,$AB1320)),MONTH(INDEX(Contracts!$J$2:$J$151,$AB1320)),1),IF(INDEX(Contracts!$N$2:$N$151,$AB1320)="",12,INDEX(Contracts!$N$2:$N$151,$AB1320))-1),IF(INDEX(Contracts!$I$2:$I$151,$AB1320)="MONTHLY",IF(INDEX(Contracts!$K$2:$K$151,$AB1320)="",2958101,INDEX(Contracts!$K$2:$K$151,$AB1320)),0)),IF($Z1320="A",EDATE(DATE(YEAR(INDEX(Fixed_Assets!$G$2:$G$201,$AB1320)),MONTH(INDEX(Fixed_Assets!$G$2:$G$201,$AB1320)),1),INDEX(Fixed_Assets!$J$2:$J$201,$AB1320)-1),IF($Z1320="F",MIN(IF(INDEX(Workforce!$J$2:$J$151,MATCH(INDEX(FTE_Allocation!$A$2:$A$201,$AB1320),Workforce!$A$2:$A$151,0))="",2958101,INDEX(Workforce!$J$2:$J$151,MATCH(INDEX(FTE_Allocation!$A$2:$A$201,$AB1320),Workforce!$A$2:$A$151,0))),IF(INDEX(FTE_Allocation!$J$2:$J$201,$AB1320)="",2958101,INDEX(FTE_Allocation!$J$2:$J$201,$AB1320))),"")))</f>
        <v/>
      </c>
      <c r="AG1320" s="19">
        <f>IF($Z1320="C",IF(INDEX(Contracts!$I$2:$I$151,$AB1320)="PREPAID",INDEX(Contracts!$M$2:$M$151,$AB1320)/IF(INDEX(Contracts!$N$2:$N$151,$AB1320)="",12,INDEX(Contracts!$N$2:$N$151,$AB1320)),IF(INDEX(Contracts!$I$2:$I$151,$AB1320)="MONTHLY",INDEX(Contracts!$M$2:$M$151,$AB1320),0))*(1-N(INDEX(Contracts!$O$2:$O$151,$AB1320))),IF($Z1320="A",INDEX(Fixed_Assets!$H$2:$H$201,$AB1320)/INDEX(Fixed_Assets!$J$2:$J$201,$AB1320),IF($Z1320="F",INDEX(Workforce!$F$2:$F$151,MATCH(INDEX(FTE_Allocation!$A$2:$A$201,$AB1320),Workforce!$A$2:$A$151,0))*N(INDEX(FTE_Allocation!$F$2:$H$201,$AB1320,$AC1320)),"")))</f>
        <v/>
      </c>
    </row>
    <row r="1321">
      <c r="A1321" s="7">
        <f>IF($Z1321="","",$AD1321)</f>
        <v/>
      </c>
      <c r="B1321" s="7">
        <f>IF($Z1321="C",INDEX(Contracts!$D$2:$D$151,$AB1321)&amp;"",IF($Z1321="A",INDEX(Fixed_Assets!$C$2:$C$201,$AB1321)&amp;"",IF($Z1321="F",INDEX(Workforce!$B$2:$B$151,MATCH(INDEX(FTE_Allocation!$A$2:$A$201,$AB1321),Workforce!$A$2:$A$151,0))&amp;"","")))</f>
        <v/>
      </c>
      <c r="C1321" s="7">
        <f>IF($Z1321="C",INDEX(Contracts!$E$2:$E$151,$AB1321)&amp;"",IF($Z1321="A",INDEX(Fixed_Assets!$D$2:$D$201,$AB1321)&amp;"",IF($Z1321="F",INDEX(FTE_Allocation!$C$2:$C$201,$AB1321)&amp;"","")))</f>
        <v/>
      </c>
      <c r="D1321" s="7">
        <f>IF($Z1321="C",INDEX(Contracts!$B$2:$B$151,$AB1321)&amp;"",IF($Z1321="A",INDEX(Fixed_Assets!$B$2:$B$201,$AB1321)&amp;"",IF($Z1321="F",INDEX(FTE_Allocation!$B$2:$B$201,$AB1321)&amp;"","")))</f>
        <v/>
      </c>
      <c r="E1321" s="7">
        <f>IF($Z1321="C",INDEX(Contracts!$P$2:$P$151,$AB1321)&amp;"",IF($Z1321="A",INDEX(Fixed_Assets!$K$2:$K$201,$AB1321)&amp;"",IF($Z1321="F",IF(INDEX(FTE_Allocation!$D$2:$D$201,$AB1321)="PROJECT",IFERROR(INDEX(Projects!$D:$D,MATCH(INDEX(FTE_Allocation!$E$2:$E$201,$AB1321),Projects!$A:$A,0))&amp;"","#PROJECT?"),INDEX(FTE_Allocation!$E$2:$E$201,$AB1321)&amp;""),"")))</f>
        <v/>
      </c>
      <c r="F1321" s="7">
        <f>IF($Z1321="C",INDEX(Contracts!$Q$2:$Q$151,$AB1321)&amp;"",IF($Z1321="A",INDEX(Fixed_Assets!$L$2:$L$201,$AB1321)&amp;"",IF($Z1321="F",INDEX(Workforce!$K$2:$K$151,MATCH(INDEX(FTE_Allocation!$A$2:$A$201,$AB1321),Workforce!$A$2:$A$151,0))&amp;"","")))</f>
        <v/>
      </c>
      <c r="G1321" s="7">
        <f>IF($Z1321="C",INDEX(Contracts!$F$2:$F$151,$AB1321)&amp;" / "&amp;INDEX(Contracts!$G$2:$G$151,$AB1321),IF($Z1321="A",INDEX(Fixed_Assets!$E$2:$E$201,$AB1321)&amp;"",IF($Z1321="F","Personnel "&amp;INDEX(FTE_Allocation!$A$2:$A$201,$AB1321)&amp;IF(INDEX(FTE_Allocation!$D$2:$D$201,$AB1321)="PROJECT"," ("&amp;INDEX(FTE_Allocation!$E$2:$E$201,$AB1321)&amp;")",""),"")))</f>
        <v/>
      </c>
      <c r="H1321" s="7">
        <f>IF($Z1321="C","CONTRACT",IF($Z1321="A","ASSET",IF($Z1321="F","WORKFORCE","")))</f>
        <v/>
      </c>
      <c r="I1321" s="7">
        <f>IF($Z1321="C",INDEX(Contracts!$L$2:$L$151,$AB1321)&amp;"",IF($Z1321="A",INDEX(Fixed_Assets!$I$2:$I$201,$AB1321)&amp;"",IF($Z1321="F",INDEX(Workforce!$G$2:$G$151,MATCH(INDEX(FTE_Allocation!$A$2:$A$201,$AB1321),Workforce!$A$2:$A$151,0))&amp;"","")))</f>
        <v/>
      </c>
      <c r="J1321" s="18">
        <f>IF($Z1321="","",IF(AND(DATE($AD1321,1,1)&gt;=$AE1321,DATE($AD1321,1,1)&lt;=$AF1321),ROUND($AG1321,2),0))</f>
        <v/>
      </c>
      <c r="K1321" s="18">
        <f>IF($Z1321="","",IF(AND(DATE($AD1321,2,1)&gt;=$AE1321,DATE($AD1321,2,1)&lt;=$AF1321),ROUND($AG1321,2),0))</f>
        <v/>
      </c>
      <c r="L1321" s="18">
        <f>IF($Z1321="","",IF(AND(DATE($AD1321,3,1)&gt;=$AE1321,DATE($AD1321,3,1)&lt;=$AF1321),ROUND($AG1321,2),0))</f>
        <v/>
      </c>
      <c r="M1321" s="18">
        <f>IF($Z1321="","",IF(AND(DATE($AD1321,4,1)&gt;=$AE1321,DATE($AD1321,4,1)&lt;=$AF1321),ROUND($AG1321,2),0))</f>
        <v/>
      </c>
      <c r="N1321" s="18">
        <f>IF($Z1321="","",IF(AND(DATE($AD1321,5,1)&gt;=$AE1321,DATE($AD1321,5,1)&lt;=$AF1321),ROUND($AG1321,2),0))</f>
        <v/>
      </c>
      <c r="O1321" s="18">
        <f>IF($Z1321="","",IF(AND(DATE($AD1321,6,1)&gt;=$AE1321,DATE($AD1321,6,1)&lt;=$AF1321),ROUND($AG1321,2),0))</f>
        <v/>
      </c>
      <c r="P1321" s="18">
        <f>IF($Z1321="","",IF(AND(DATE($AD1321,7,1)&gt;=$AE1321,DATE($AD1321,7,1)&lt;=$AF1321),ROUND($AG1321,2),0))</f>
        <v/>
      </c>
      <c r="Q1321" s="18">
        <f>IF($Z1321="","",IF(AND(DATE($AD1321,8,1)&gt;=$AE1321,DATE($AD1321,8,1)&lt;=$AF1321),ROUND($AG1321,2),0))</f>
        <v/>
      </c>
      <c r="R1321" s="18">
        <f>IF($Z1321="","",IF(AND(DATE($AD1321,9,1)&gt;=$AE1321,DATE($AD1321,9,1)&lt;=$AF1321),ROUND($AG1321,2),0))</f>
        <v/>
      </c>
      <c r="S1321" s="18">
        <f>IF($Z1321="","",IF(AND(DATE($AD1321,10,1)&gt;=$AE1321,DATE($AD1321,10,1)&lt;=$AF1321),ROUND($AG1321,2),0))</f>
        <v/>
      </c>
      <c r="T1321" s="18">
        <f>IF($Z1321="","",IF(AND(DATE($AD1321,11,1)&gt;=$AE1321,DATE($AD1321,11,1)&lt;=$AF1321),ROUND($AG1321,2),0))</f>
        <v/>
      </c>
      <c r="U1321" s="18">
        <f>IF($Z1321="","",IF(AND(DATE($AD1321,12,1)&gt;=$AE1321,DATE($AD1321,12,1)&lt;=$AF1321),ROUND($AG1321,2),0))</f>
        <v/>
      </c>
      <c r="V1321" s="7">
        <f>IF($Z1321="C","Generated from "&amp;INDEX(Contracts!$A$2:$A$151,$AB1321),IF($Z1321="A","Generated from "&amp;INDEX(Fixed_Assets!$A$2:$A$201,$AB1321),IF($Z1321="F","Generated from "&amp;INDEX(FTE_Allocation!$A$2:$A$201,$AB1321),"")))</f>
        <v/>
      </c>
      <c r="X1321" s="19">
        <f>IF($Z1321="","",SUM(J1321:U1321))</f>
        <v/>
      </c>
      <c r="Y1321" s="20">
        <f>ROW()-1</f>
        <v/>
      </c>
      <c r="Z1321" s="20">
        <f>IF($Y1321&lt;=Settings!$B$4*3,"C",IF($Y1321&lt;=(Settings!$B$4+Settings!$B$5)*3,"A",IF($Y1321&lt;=(Settings!$B$4+Settings!$B$5+Settings!$B$6)*3,"F","")))</f>
        <v/>
      </c>
      <c r="AA1321" s="20">
        <f>IF($Z1321="C",$Y1321,IF($Z1321="A",$Y1321-Settings!$B$4*3,IF($Z1321="F",$Y1321-(Settings!$B$4+Settings!$B$5)*3,"")))</f>
        <v/>
      </c>
      <c r="AB1321" s="20">
        <f>IF($Z1321="","",INT(($AA1321-1)/3)+1)</f>
        <v/>
      </c>
      <c r="AC1321" s="20">
        <f>IF($Z1321="","",MOD($AA1321-1,3)+1)</f>
        <v/>
      </c>
      <c r="AD1321" s="20">
        <f>IF($Z1321="","",Settings!$B$2+$AC1321-1)</f>
        <v/>
      </c>
      <c r="AE1321" s="21">
        <f>IF($Z1321="C",DATE(YEAR(INDEX(Contracts!$J$2:$J$151,$AB1321)),MONTH(INDEX(Contracts!$J$2:$J$151,$AB1321)),1),IF($Z1321="A",DATE(YEAR(INDEX(Fixed_Assets!$G$2:$G$201,$AB1321)),MONTH(INDEX(Fixed_Assets!$G$2:$G$201,$AB1321)),1),IF($Z1321="F",DATE(YEAR(MAX(N(INDEX(Workforce!$I$2:$I$151,MATCH(INDEX(FTE_Allocation!$A$2:$A$201,$AB1321),Workforce!$A$2:$A$151,0))),N(INDEX(FTE_Allocation!$I$2:$I$201,$AB1321)))),MONTH(MAX(N(INDEX(Workforce!$I$2:$I$151,MATCH(INDEX(FTE_Allocation!$A$2:$A$201,$AB1321),Workforce!$A$2:$A$151,0))),N(INDEX(FTE_Allocation!$I$2:$I$201,$AB1321)))),1),"")))</f>
        <v/>
      </c>
      <c r="AF1321" s="21">
        <f>IF($Z1321="C",IF(INDEX(Contracts!$I$2:$I$151,$AB1321)="PREPAID",EDATE(DATE(YEAR(INDEX(Contracts!$J$2:$J$151,$AB1321)),MONTH(INDEX(Contracts!$J$2:$J$151,$AB1321)),1),IF(INDEX(Contracts!$N$2:$N$151,$AB1321)="",12,INDEX(Contracts!$N$2:$N$151,$AB1321))-1),IF(INDEX(Contracts!$I$2:$I$151,$AB1321)="MONTHLY",IF(INDEX(Contracts!$K$2:$K$151,$AB1321)="",2958101,INDEX(Contracts!$K$2:$K$151,$AB1321)),0)),IF($Z1321="A",EDATE(DATE(YEAR(INDEX(Fixed_Assets!$G$2:$G$201,$AB1321)),MONTH(INDEX(Fixed_Assets!$G$2:$G$201,$AB1321)),1),INDEX(Fixed_Assets!$J$2:$J$201,$AB1321)-1),IF($Z1321="F",MIN(IF(INDEX(Workforce!$J$2:$J$151,MATCH(INDEX(FTE_Allocation!$A$2:$A$201,$AB1321),Workforce!$A$2:$A$151,0))="",2958101,INDEX(Workforce!$J$2:$J$151,MATCH(INDEX(FTE_Allocation!$A$2:$A$201,$AB1321),Workforce!$A$2:$A$151,0))),IF(INDEX(FTE_Allocation!$J$2:$J$201,$AB1321)="",2958101,INDEX(FTE_Allocation!$J$2:$J$201,$AB1321))),"")))</f>
        <v/>
      </c>
      <c r="AG1321" s="19">
        <f>IF($Z1321="C",IF(INDEX(Contracts!$I$2:$I$151,$AB1321)="PREPAID",INDEX(Contracts!$M$2:$M$151,$AB1321)/IF(INDEX(Contracts!$N$2:$N$151,$AB1321)="",12,INDEX(Contracts!$N$2:$N$151,$AB1321)),IF(INDEX(Contracts!$I$2:$I$151,$AB1321)="MONTHLY",INDEX(Contracts!$M$2:$M$151,$AB1321),0))*(1-N(INDEX(Contracts!$O$2:$O$151,$AB1321))),IF($Z1321="A",INDEX(Fixed_Assets!$H$2:$H$201,$AB1321)/INDEX(Fixed_Assets!$J$2:$J$201,$AB1321),IF($Z1321="F",INDEX(Workforce!$F$2:$F$151,MATCH(INDEX(FTE_Allocation!$A$2:$A$201,$AB1321),Workforce!$A$2:$A$151,0))*N(INDEX(FTE_Allocation!$F$2:$H$201,$AB1321,$AC1321)),"")))</f>
        <v/>
      </c>
    </row>
    <row r="1322">
      <c r="A1322" s="7">
        <f>IF($Z1322="","",$AD1322)</f>
        <v/>
      </c>
      <c r="B1322" s="7">
        <f>IF($Z1322="C",INDEX(Contracts!$D$2:$D$151,$AB1322)&amp;"",IF($Z1322="A",INDEX(Fixed_Assets!$C$2:$C$201,$AB1322)&amp;"",IF($Z1322="F",INDEX(Workforce!$B$2:$B$151,MATCH(INDEX(FTE_Allocation!$A$2:$A$201,$AB1322),Workforce!$A$2:$A$151,0))&amp;"","")))</f>
        <v/>
      </c>
      <c r="C1322" s="7">
        <f>IF($Z1322="C",INDEX(Contracts!$E$2:$E$151,$AB1322)&amp;"",IF($Z1322="A",INDEX(Fixed_Assets!$D$2:$D$201,$AB1322)&amp;"",IF($Z1322="F",INDEX(FTE_Allocation!$C$2:$C$201,$AB1322)&amp;"","")))</f>
        <v/>
      </c>
      <c r="D1322" s="7">
        <f>IF($Z1322="C",INDEX(Contracts!$B$2:$B$151,$AB1322)&amp;"",IF($Z1322="A",INDEX(Fixed_Assets!$B$2:$B$201,$AB1322)&amp;"",IF($Z1322="F",INDEX(FTE_Allocation!$B$2:$B$201,$AB1322)&amp;"","")))</f>
        <v/>
      </c>
      <c r="E1322" s="7">
        <f>IF($Z1322="C",INDEX(Contracts!$P$2:$P$151,$AB1322)&amp;"",IF($Z1322="A",INDEX(Fixed_Assets!$K$2:$K$201,$AB1322)&amp;"",IF($Z1322="F",IF(INDEX(FTE_Allocation!$D$2:$D$201,$AB1322)="PROJECT",IFERROR(INDEX(Projects!$D:$D,MATCH(INDEX(FTE_Allocation!$E$2:$E$201,$AB1322),Projects!$A:$A,0))&amp;"","#PROJECT?"),INDEX(FTE_Allocation!$E$2:$E$201,$AB1322)&amp;""),"")))</f>
        <v/>
      </c>
      <c r="F1322" s="7">
        <f>IF($Z1322="C",INDEX(Contracts!$Q$2:$Q$151,$AB1322)&amp;"",IF($Z1322="A",INDEX(Fixed_Assets!$L$2:$L$201,$AB1322)&amp;"",IF($Z1322="F",INDEX(Workforce!$K$2:$K$151,MATCH(INDEX(FTE_Allocation!$A$2:$A$201,$AB1322),Workforce!$A$2:$A$151,0))&amp;"","")))</f>
        <v/>
      </c>
      <c r="G1322" s="7">
        <f>IF($Z1322="C",INDEX(Contracts!$F$2:$F$151,$AB1322)&amp;" / "&amp;INDEX(Contracts!$G$2:$G$151,$AB1322),IF($Z1322="A",INDEX(Fixed_Assets!$E$2:$E$201,$AB1322)&amp;"",IF($Z1322="F","Personnel "&amp;INDEX(FTE_Allocation!$A$2:$A$201,$AB1322)&amp;IF(INDEX(FTE_Allocation!$D$2:$D$201,$AB1322)="PROJECT"," ("&amp;INDEX(FTE_Allocation!$E$2:$E$201,$AB1322)&amp;")",""),"")))</f>
        <v/>
      </c>
      <c r="H1322" s="7">
        <f>IF($Z1322="C","CONTRACT",IF($Z1322="A","ASSET",IF($Z1322="F","WORKFORCE","")))</f>
        <v/>
      </c>
      <c r="I1322" s="7">
        <f>IF($Z1322="C",INDEX(Contracts!$L$2:$L$151,$AB1322)&amp;"",IF($Z1322="A",INDEX(Fixed_Assets!$I$2:$I$201,$AB1322)&amp;"",IF($Z1322="F",INDEX(Workforce!$G$2:$G$151,MATCH(INDEX(FTE_Allocation!$A$2:$A$201,$AB1322),Workforce!$A$2:$A$151,0))&amp;"","")))</f>
        <v/>
      </c>
      <c r="J1322" s="18">
        <f>IF($Z1322="","",IF(AND(DATE($AD1322,1,1)&gt;=$AE1322,DATE($AD1322,1,1)&lt;=$AF1322),ROUND($AG1322,2),0))</f>
        <v/>
      </c>
      <c r="K1322" s="18">
        <f>IF($Z1322="","",IF(AND(DATE($AD1322,2,1)&gt;=$AE1322,DATE($AD1322,2,1)&lt;=$AF1322),ROUND($AG1322,2),0))</f>
        <v/>
      </c>
      <c r="L1322" s="18">
        <f>IF($Z1322="","",IF(AND(DATE($AD1322,3,1)&gt;=$AE1322,DATE($AD1322,3,1)&lt;=$AF1322),ROUND($AG1322,2),0))</f>
        <v/>
      </c>
      <c r="M1322" s="18">
        <f>IF($Z1322="","",IF(AND(DATE($AD1322,4,1)&gt;=$AE1322,DATE($AD1322,4,1)&lt;=$AF1322),ROUND($AG1322,2),0))</f>
        <v/>
      </c>
      <c r="N1322" s="18">
        <f>IF($Z1322="","",IF(AND(DATE($AD1322,5,1)&gt;=$AE1322,DATE($AD1322,5,1)&lt;=$AF1322),ROUND($AG1322,2),0))</f>
        <v/>
      </c>
      <c r="O1322" s="18">
        <f>IF($Z1322="","",IF(AND(DATE($AD1322,6,1)&gt;=$AE1322,DATE($AD1322,6,1)&lt;=$AF1322),ROUND($AG1322,2),0))</f>
        <v/>
      </c>
      <c r="P1322" s="18">
        <f>IF($Z1322="","",IF(AND(DATE($AD1322,7,1)&gt;=$AE1322,DATE($AD1322,7,1)&lt;=$AF1322),ROUND($AG1322,2),0))</f>
        <v/>
      </c>
      <c r="Q1322" s="18">
        <f>IF($Z1322="","",IF(AND(DATE($AD1322,8,1)&gt;=$AE1322,DATE($AD1322,8,1)&lt;=$AF1322),ROUND($AG1322,2),0))</f>
        <v/>
      </c>
      <c r="R1322" s="18">
        <f>IF($Z1322="","",IF(AND(DATE($AD1322,9,1)&gt;=$AE1322,DATE($AD1322,9,1)&lt;=$AF1322),ROUND($AG1322,2),0))</f>
        <v/>
      </c>
      <c r="S1322" s="18">
        <f>IF($Z1322="","",IF(AND(DATE($AD1322,10,1)&gt;=$AE1322,DATE($AD1322,10,1)&lt;=$AF1322),ROUND($AG1322,2),0))</f>
        <v/>
      </c>
      <c r="T1322" s="18">
        <f>IF($Z1322="","",IF(AND(DATE($AD1322,11,1)&gt;=$AE1322,DATE($AD1322,11,1)&lt;=$AF1322),ROUND($AG1322,2),0))</f>
        <v/>
      </c>
      <c r="U1322" s="18">
        <f>IF($Z1322="","",IF(AND(DATE($AD1322,12,1)&gt;=$AE1322,DATE($AD1322,12,1)&lt;=$AF1322),ROUND($AG1322,2),0))</f>
        <v/>
      </c>
      <c r="V1322" s="7">
        <f>IF($Z1322="C","Generated from "&amp;INDEX(Contracts!$A$2:$A$151,$AB1322),IF($Z1322="A","Generated from "&amp;INDEX(Fixed_Assets!$A$2:$A$201,$AB1322),IF($Z1322="F","Generated from "&amp;INDEX(FTE_Allocation!$A$2:$A$201,$AB1322),"")))</f>
        <v/>
      </c>
      <c r="X1322" s="19">
        <f>IF($Z1322="","",SUM(J1322:U1322))</f>
        <v/>
      </c>
      <c r="Y1322" s="20">
        <f>ROW()-1</f>
        <v/>
      </c>
      <c r="Z1322" s="20">
        <f>IF($Y1322&lt;=Settings!$B$4*3,"C",IF($Y1322&lt;=(Settings!$B$4+Settings!$B$5)*3,"A",IF($Y1322&lt;=(Settings!$B$4+Settings!$B$5+Settings!$B$6)*3,"F","")))</f>
        <v/>
      </c>
      <c r="AA1322" s="20">
        <f>IF($Z1322="C",$Y1322,IF($Z1322="A",$Y1322-Settings!$B$4*3,IF($Z1322="F",$Y1322-(Settings!$B$4+Settings!$B$5)*3,"")))</f>
        <v/>
      </c>
      <c r="AB1322" s="20">
        <f>IF($Z1322="","",INT(($AA1322-1)/3)+1)</f>
        <v/>
      </c>
      <c r="AC1322" s="20">
        <f>IF($Z1322="","",MOD($AA1322-1,3)+1)</f>
        <v/>
      </c>
      <c r="AD1322" s="20">
        <f>IF($Z1322="","",Settings!$B$2+$AC1322-1)</f>
        <v/>
      </c>
      <c r="AE1322" s="21">
        <f>IF($Z1322="C",DATE(YEAR(INDEX(Contracts!$J$2:$J$151,$AB1322)),MONTH(INDEX(Contracts!$J$2:$J$151,$AB1322)),1),IF($Z1322="A",DATE(YEAR(INDEX(Fixed_Assets!$G$2:$G$201,$AB1322)),MONTH(INDEX(Fixed_Assets!$G$2:$G$201,$AB1322)),1),IF($Z1322="F",DATE(YEAR(MAX(N(INDEX(Workforce!$I$2:$I$151,MATCH(INDEX(FTE_Allocation!$A$2:$A$201,$AB1322),Workforce!$A$2:$A$151,0))),N(INDEX(FTE_Allocation!$I$2:$I$201,$AB1322)))),MONTH(MAX(N(INDEX(Workforce!$I$2:$I$151,MATCH(INDEX(FTE_Allocation!$A$2:$A$201,$AB1322),Workforce!$A$2:$A$151,0))),N(INDEX(FTE_Allocation!$I$2:$I$201,$AB1322)))),1),"")))</f>
        <v/>
      </c>
      <c r="AF1322" s="21">
        <f>IF($Z1322="C",IF(INDEX(Contracts!$I$2:$I$151,$AB1322)="PREPAID",EDATE(DATE(YEAR(INDEX(Contracts!$J$2:$J$151,$AB1322)),MONTH(INDEX(Contracts!$J$2:$J$151,$AB1322)),1),IF(INDEX(Contracts!$N$2:$N$151,$AB1322)="",12,INDEX(Contracts!$N$2:$N$151,$AB1322))-1),IF(INDEX(Contracts!$I$2:$I$151,$AB1322)="MONTHLY",IF(INDEX(Contracts!$K$2:$K$151,$AB1322)="",2958101,INDEX(Contracts!$K$2:$K$151,$AB1322)),0)),IF($Z1322="A",EDATE(DATE(YEAR(INDEX(Fixed_Assets!$G$2:$G$201,$AB1322)),MONTH(INDEX(Fixed_Assets!$G$2:$G$201,$AB1322)),1),INDEX(Fixed_Assets!$J$2:$J$201,$AB1322)-1),IF($Z1322="F",MIN(IF(INDEX(Workforce!$J$2:$J$151,MATCH(INDEX(FTE_Allocation!$A$2:$A$201,$AB1322),Workforce!$A$2:$A$151,0))="",2958101,INDEX(Workforce!$J$2:$J$151,MATCH(INDEX(FTE_Allocation!$A$2:$A$201,$AB1322),Workforce!$A$2:$A$151,0))),IF(INDEX(FTE_Allocation!$J$2:$J$201,$AB1322)="",2958101,INDEX(FTE_Allocation!$J$2:$J$201,$AB1322))),"")))</f>
        <v/>
      </c>
      <c r="AG1322" s="19">
        <f>IF($Z1322="C",IF(INDEX(Contracts!$I$2:$I$151,$AB1322)="PREPAID",INDEX(Contracts!$M$2:$M$151,$AB1322)/IF(INDEX(Contracts!$N$2:$N$151,$AB1322)="",12,INDEX(Contracts!$N$2:$N$151,$AB1322)),IF(INDEX(Contracts!$I$2:$I$151,$AB1322)="MONTHLY",INDEX(Contracts!$M$2:$M$151,$AB1322),0))*(1-N(INDEX(Contracts!$O$2:$O$151,$AB1322))),IF($Z1322="A",INDEX(Fixed_Assets!$H$2:$H$201,$AB1322)/INDEX(Fixed_Assets!$J$2:$J$201,$AB1322),IF($Z1322="F",INDEX(Workforce!$F$2:$F$151,MATCH(INDEX(FTE_Allocation!$A$2:$A$201,$AB1322),Workforce!$A$2:$A$151,0))*N(INDEX(FTE_Allocation!$F$2:$H$201,$AB1322,$AC1322)),"")))</f>
        <v/>
      </c>
    </row>
    <row r="1323">
      <c r="A1323" s="7">
        <f>IF($Z1323="","",$AD1323)</f>
        <v/>
      </c>
      <c r="B1323" s="7">
        <f>IF($Z1323="C",INDEX(Contracts!$D$2:$D$151,$AB1323)&amp;"",IF($Z1323="A",INDEX(Fixed_Assets!$C$2:$C$201,$AB1323)&amp;"",IF($Z1323="F",INDEX(Workforce!$B$2:$B$151,MATCH(INDEX(FTE_Allocation!$A$2:$A$201,$AB1323),Workforce!$A$2:$A$151,0))&amp;"","")))</f>
        <v/>
      </c>
      <c r="C1323" s="7">
        <f>IF($Z1323="C",INDEX(Contracts!$E$2:$E$151,$AB1323)&amp;"",IF($Z1323="A",INDEX(Fixed_Assets!$D$2:$D$201,$AB1323)&amp;"",IF($Z1323="F",INDEX(FTE_Allocation!$C$2:$C$201,$AB1323)&amp;"","")))</f>
        <v/>
      </c>
      <c r="D1323" s="7">
        <f>IF($Z1323="C",INDEX(Contracts!$B$2:$B$151,$AB1323)&amp;"",IF($Z1323="A",INDEX(Fixed_Assets!$B$2:$B$201,$AB1323)&amp;"",IF($Z1323="F",INDEX(FTE_Allocation!$B$2:$B$201,$AB1323)&amp;"","")))</f>
        <v/>
      </c>
      <c r="E1323" s="7">
        <f>IF($Z1323="C",INDEX(Contracts!$P$2:$P$151,$AB1323)&amp;"",IF($Z1323="A",INDEX(Fixed_Assets!$K$2:$K$201,$AB1323)&amp;"",IF($Z1323="F",IF(INDEX(FTE_Allocation!$D$2:$D$201,$AB1323)="PROJECT",IFERROR(INDEX(Projects!$D:$D,MATCH(INDEX(FTE_Allocation!$E$2:$E$201,$AB1323),Projects!$A:$A,0))&amp;"","#PROJECT?"),INDEX(FTE_Allocation!$E$2:$E$201,$AB1323)&amp;""),"")))</f>
        <v/>
      </c>
      <c r="F1323" s="7">
        <f>IF($Z1323="C",INDEX(Contracts!$Q$2:$Q$151,$AB1323)&amp;"",IF($Z1323="A",INDEX(Fixed_Assets!$L$2:$L$201,$AB1323)&amp;"",IF($Z1323="F",INDEX(Workforce!$K$2:$K$151,MATCH(INDEX(FTE_Allocation!$A$2:$A$201,$AB1323),Workforce!$A$2:$A$151,0))&amp;"","")))</f>
        <v/>
      </c>
      <c r="G1323" s="7">
        <f>IF($Z1323="C",INDEX(Contracts!$F$2:$F$151,$AB1323)&amp;" / "&amp;INDEX(Contracts!$G$2:$G$151,$AB1323),IF($Z1323="A",INDEX(Fixed_Assets!$E$2:$E$201,$AB1323)&amp;"",IF($Z1323="F","Personnel "&amp;INDEX(FTE_Allocation!$A$2:$A$201,$AB1323)&amp;IF(INDEX(FTE_Allocation!$D$2:$D$201,$AB1323)="PROJECT"," ("&amp;INDEX(FTE_Allocation!$E$2:$E$201,$AB1323)&amp;")",""),"")))</f>
        <v/>
      </c>
      <c r="H1323" s="7">
        <f>IF($Z1323="C","CONTRACT",IF($Z1323="A","ASSET",IF($Z1323="F","WORKFORCE","")))</f>
        <v/>
      </c>
      <c r="I1323" s="7">
        <f>IF($Z1323="C",INDEX(Contracts!$L$2:$L$151,$AB1323)&amp;"",IF($Z1323="A",INDEX(Fixed_Assets!$I$2:$I$201,$AB1323)&amp;"",IF($Z1323="F",INDEX(Workforce!$G$2:$G$151,MATCH(INDEX(FTE_Allocation!$A$2:$A$201,$AB1323),Workforce!$A$2:$A$151,0))&amp;"","")))</f>
        <v/>
      </c>
      <c r="J1323" s="18">
        <f>IF($Z1323="","",IF(AND(DATE($AD1323,1,1)&gt;=$AE1323,DATE($AD1323,1,1)&lt;=$AF1323),ROUND($AG1323,2),0))</f>
        <v/>
      </c>
      <c r="K1323" s="18">
        <f>IF($Z1323="","",IF(AND(DATE($AD1323,2,1)&gt;=$AE1323,DATE($AD1323,2,1)&lt;=$AF1323),ROUND($AG1323,2),0))</f>
        <v/>
      </c>
      <c r="L1323" s="18">
        <f>IF($Z1323="","",IF(AND(DATE($AD1323,3,1)&gt;=$AE1323,DATE($AD1323,3,1)&lt;=$AF1323),ROUND($AG1323,2),0))</f>
        <v/>
      </c>
      <c r="M1323" s="18">
        <f>IF($Z1323="","",IF(AND(DATE($AD1323,4,1)&gt;=$AE1323,DATE($AD1323,4,1)&lt;=$AF1323),ROUND($AG1323,2),0))</f>
        <v/>
      </c>
      <c r="N1323" s="18">
        <f>IF($Z1323="","",IF(AND(DATE($AD1323,5,1)&gt;=$AE1323,DATE($AD1323,5,1)&lt;=$AF1323),ROUND($AG1323,2),0))</f>
        <v/>
      </c>
      <c r="O1323" s="18">
        <f>IF($Z1323="","",IF(AND(DATE($AD1323,6,1)&gt;=$AE1323,DATE($AD1323,6,1)&lt;=$AF1323),ROUND($AG1323,2),0))</f>
        <v/>
      </c>
      <c r="P1323" s="18">
        <f>IF($Z1323="","",IF(AND(DATE($AD1323,7,1)&gt;=$AE1323,DATE($AD1323,7,1)&lt;=$AF1323),ROUND($AG1323,2),0))</f>
        <v/>
      </c>
      <c r="Q1323" s="18">
        <f>IF($Z1323="","",IF(AND(DATE($AD1323,8,1)&gt;=$AE1323,DATE($AD1323,8,1)&lt;=$AF1323),ROUND($AG1323,2),0))</f>
        <v/>
      </c>
      <c r="R1323" s="18">
        <f>IF($Z1323="","",IF(AND(DATE($AD1323,9,1)&gt;=$AE1323,DATE($AD1323,9,1)&lt;=$AF1323),ROUND($AG1323,2),0))</f>
        <v/>
      </c>
      <c r="S1323" s="18">
        <f>IF($Z1323="","",IF(AND(DATE($AD1323,10,1)&gt;=$AE1323,DATE($AD1323,10,1)&lt;=$AF1323),ROUND($AG1323,2),0))</f>
        <v/>
      </c>
      <c r="T1323" s="18">
        <f>IF($Z1323="","",IF(AND(DATE($AD1323,11,1)&gt;=$AE1323,DATE($AD1323,11,1)&lt;=$AF1323),ROUND($AG1323,2),0))</f>
        <v/>
      </c>
      <c r="U1323" s="18">
        <f>IF($Z1323="","",IF(AND(DATE($AD1323,12,1)&gt;=$AE1323,DATE($AD1323,12,1)&lt;=$AF1323),ROUND($AG1323,2),0))</f>
        <v/>
      </c>
      <c r="V1323" s="7">
        <f>IF($Z1323="C","Generated from "&amp;INDEX(Contracts!$A$2:$A$151,$AB1323),IF($Z1323="A","Generated from "&amp;INDEX(Fixed_Assets!$A$2:$A$201,$AB1323),IF($Z1323="F","Generated from "&amp;INDEX(FTE_Allocation!$A$2:$A$201,$AB1323),"")))</f>
        <v/>
      </c>
      <c r="X1323" s="19">
        <f>IF($Z1323="","",SUM(J1323:U1323))</f>
        <v/>
      </c>
      <c r="Y1323" s="20">
        <f>ROW()-1</f>
        <v/>
      </c>
      <c r="Z1323" s="20">
        <f>IF($Y1323&lt;=Settings!$B$4*3,"C",IF($Y1323&lt;=(Settings!$B$4+Settings!$B$5)*3,"A",IF($Y1323&lt;=(Settings!$B$4+Settings!$B$5+Settings!$B$6)*3,"F","")))</f>
        <v/>
      </c>
      <c r="AA1323" s="20">
        <f>IF($Z1323="C",$Y1323,IF($Z1323="A",$Y1323-Settings!$B$4*3,IF($Z1323="F",$Y1323-(Settings!$B$4+Settings!$B$5)*3,"")))</f>
        <v/>
      </c>
      <c r="AB1323" s="20">
        <f>IF($Z1323="","",INT(($AA1323-1)/3)+1)</f>
        <v/>
      </c>
      <c r="AC1323" s="20">
        <f>IF($Z1323="","",MOD($AA1323-1,3)+1)</f>
        <v/>
      </c>
      <c r="AD1323" s="20">
        <f>IF($Z1323="","",Settings!$B$2+$AC1323-1)</f>
        <v/>
      </c>
      <c r="AE1323" s="21">
        <f>IF($Z1323="C",DATE(YEAR(INDEX(Contracts!$J$2:$J$151,$AB1323)),MONTH(INDEX(Contracts!$J$2:$J$151,$AB1323)),1),IF($Z1323="A",DATE(YEAR(INDEX(Fixed_Assets!$G$2:$G$201,$AB1323)),MONTH(INDEX(Fixed_Assets!$G$2:$G$201,$AB1323)),1),IF($Z1323="F",DATE(YEAR(MAX(N(INDEX(Workforce!$I$2:$I$151,MATCH(INDEX(FTE_Allocation!$A$2:$A$201,$AB1323),Workforce!$A$2:$A$151,0))),N(INDEX(FTE_Allocation!$I$2:$I$201,$AB1323)))),MONTH(MAX(N(INDEX(Workforce!$I$2:$I$151,MATCH(INDEX(FTE_Allocation!$A$2:$A$201,$AB1323),Workforce!$A$2:$A$151,0))),N(INDEX(FTE_Allocation!$I$2:$I$201,$AB1323)))),1),"")))</f>
        <v/>
      </c>
      <c r="AF1323" s="21">
        <f>IF($Z1323="C",IF(INDEX(Contracts!$I$2:$I$151,$AB1323)="PREPAID",EDATE(DATE(YEAR(INDEX(Contracts!$J$2:$J$151,$AB1323)),MONTH(INDEX(Contracts!$J$2:$J$151,$AB1323)),1),IF(INDEX(Contracts!$N$2:$N$151,$AB1323)="",12,INDEX(Contracts!$N$2:$N$151,$AB1323))-1),IF(INDEX(Contracts!$I$2:$I$151,$AB1323)="MONTHLY",IF(INDEX(Contracts!$K$2:$K$151,$AB1323)="",2958101,INDEX(Contracts!$K$2:$K$151,$AB1323)),0)),IF($Z1323="A",EDATE(DATE(YEAR(INDEX(Fixed_Assets!$G$2:$G$201,$AB1323)),MONTH(INDEX(Fixed_Assets!$G$2:$G$201,$AB1323)),1),INDEX(Fixed_Assets!$J$2:$J$201,$AB1323)-1),IF($Z1323="F",MIN(IF(INDEX(Workforce!$J$2:$J$151,MATCH(INDEX(FTE_Allocation!$A$2:$A$201,$AB1323),Workforce!$A$2:$A$151,0))="",2958101,INDEX(Workforce!$J$2:$J$151,MATCH(INDEX(FTE_Allocation!$A$2:$A$201,$AB1323),Workforce!$A$2:$A$151,0))),IF(INDEX(FTE_Allocation!$J$2:$J$201,$AB1323)="",2958101,INDEX(FTE_Allocation!$J$2:$J$201,$AB1323))),"")))</f>
        <v/>
      </c>
      <c r="AG1323" s="19">
        <f>IF($Z1323="C",IF(INDEX(Contracts!$I$2:$I$151,$AB1323)="PREPAID",INDEX(Contracts!$M$2:$M$151,$AB1323)/IF(INDEX(Contracts!$N$2:$N$151,$AB1323)="",12,INDEX(Contracts!$N$2:$N$151,$AB1323)),IF(INDEX(Contracts!$I$2:$I$151,$AB1323)="MONTHLY",INDEX(Contracts!$M$2:$M$151,$AB1323),0))*(1-N(INDEX(Contracts!$O$2:$O$151,$AB1323))),IF($Z1323="A",INDEX(Fixed_Assets!$H$2:$H$201,$AB1323)/INDEX(Fixed_Assets!$J$2:$J$201,$AB1323),IF($Z1323="F",INDEX(Workforce!$F$2:$F$151,MATCH(INDEX(FTE_Allocation!$A$2:$A$201,$AB1323),Workforce!$A$2:$A$151,0))*N(INDEX(FTE_Allocation!$F$2:$H$201,$AB1323,$AC1323)),"")))</f>
        <v/>
      </c>
    </row>
    <row r="1324">
      <c r="A1324" s="7">
        <f>IF($Z1324="","",$AD1324)</f>
        <v/>
      </c>
      <c r="B1324" s="7">
        <f>IF($Z1324="C",INDEX(Contracts!$D$2:$D$151,$AB1324)&amp;"",IF($Z1324="A",INDEX(Fixed_Assets!$C$2:$C$201,$AB1324)&amp;"",IF($Z1324="F",INDEX(Workforce!$B$2:$B$151,MATCH(INDEX(FTE_Allocation!$A$2:$A$201,$AB1324),Workforce!$A$2:$A$151,0))&amp;"","")))</f>
        <v/>
      </c>
      <c r="C1324" s="7">
        <f>IF($Z1324="C",INDEX(Contracts!$E$2:$E$151,$AB1324)&amp;"",IF($Z1324="A",INDEX(Fixed_Assets!$D$2:$D$201,$AB1324)&amp;"",IF($Z1324="F",INDEX(FTE_Allocation!$C$2:$C$201,$AB1324)&amp;"","")))</f>
        <v/>
      </c>
      <c r="D1324" s="7">
        <f>IF($Z1324="C",INDEX(Contracts!$B$2:$B$151,$AB1324)&amp;"",IF($Z1324="A",INDEX(Fixed_Assets!$B$2:$B$201,$AB1324)&amp;"",IF($Z1324="F",INDEX(FTE_Allocation!$B$2:$B$201,$AB1324)&amp;"","")))</f>
        <v/>
      </c>
      <c r="E1324" s="7">
        <f>IF($Z1324="C",INDEX(Contracts!$P$2:$P$151,$AB1324)&amp;"",IF($Z1324="A",INDEX(Fixed_Assets!$K$2:$K$201,$AB1324)&amp;"",IF($Z1324="F",IF(INDEX(FTE_Allocation!$D$2:$D$201,$AB1324)="PROJECT",IFERROR(INDEX(Projects!$D:$D,MATCH(INDEX(FTE_Allocation!$E$2:$E$201,$AB1324),Projects!$A:$A,0))&amp;"","#PROJECT?"),INDEX(FTE_Allocation!$E$2:$E$201,$AB1324)&amp;""),"")))</f>
        <v/>
      </c>
      <c r="F1324" s="7">
        <f>IF($Z1324="C",INDEX(Contracts!$Q$2:$Q$151,$AB1324)&amp;"",IF($Z1324="A",INDEX(Fixed_Assets!$L$2:$L$201,$AB1324)&amp;"",IF($Z1324="F",INDEX(Workforce!$K$2:$K$151,MATCH(INDEX(FTE_Allocation!$A$2:$A$201,$AB1324),Workforce!$A$2:$A$151,0))&amp;"","")))</f>
        <v/>
      </c>
      <c r="G1324" s="7">
        <f>IF($Z1324="C",INDEX(Contracts!$F$2:$F$151,$AB1324)&amp;" / "&amp;INDEX(Contracts!$G$2:$G$151,$AB1324),IF($Z1324="A",INDEX(Fixed_Assets!$E$2:$E$201,$AB1324)&amp;"",IF($Z1324="F","Personnel "&amp;INDEX(FTE_Allocation!$A$2:$A$201,$AB1324)&amp;IF(INDEX(FTE_Allocation!$D$2:$D$201,$AB1324)="PROJECT"," ("&amp;INDEX(FTE_Allocation!$E$2:$E$201,$AB1324)&amp;")",""),"")))</f>
        <v/>
      </c>
      <c r="H1324" s="7">
        <f>IF($Z1324="C","CONTRACT",IF($Z1324="A","ASSET",IF($Z1324="F","WORKFORCE","")))</f>
        <v/>
      </c>
      <c r="I1324" s="7">
        <f>IF($Z1324="C",INDEX(Contracts!$L$2:$L$151,$AB1324)&amp;"",IF($Z1324="A",INDEX(Fixed_Assets!$I$2:$I$201,$AB1324)&amp;"",IF($Z1324="F",INDEX(Workforce!$G$2:$G$151,MATCH(INDEX(FTE_Allocation!$A$2:$A$201,$AB1324),Workforce!$A$2:$A$151,0))&amp;"","")))</f>
        <v/>
      </c>
      <c r="J1324" s="18">
        <f>IF($Z1324="","",IF(AND(DATE($AD1324,1,1)&gt;=$AE1324,DATE($AD1324,1,1)&lt;=$AF1324),ROUND($AG1324,2),0))</f>
        <v/>
      </c>
      <c r="K1324" s="18">
        <f>IF($Z1324="","",IF(AND(DATE($AD1324,2,1)&gt;=$AE1324,DATE($AD1324,2,1)&lt;=$AF1324),ROUND($AG1324,2),0))</f>
        <v/>
      </c>
      <c r="L1324" s="18">
        <f>IF($Z1324="","",IF(AND(DATE($AD1324,3,1)&gt;=$AE1324,DATE($AD1324,3,1)&lt;=$AF1324),ROUND($AG1324,2),0))</f>
        <v/>
      </c>
      <c r="M1324" s="18">
        <f>IF($Z1324="","",IF(AND(DATE($AD1324,4,1)&gt;=$AE1324,DATE($AD1324,4,1)&lt;=$AF1324),ROUND($AG1324,2),0))</f>
        <v/>
      </c>
      <c r="N1324" s="18">
        <f>IF($Z1324="","",IF(AND(DATE($AD1324,5,1)&gt;=$AE1324,DATE($AD1324,5,1)&lt;=$AF1324),ROUND($AG1324,2),0))</f>
        <v/>
      </c>
      <c r="O1324" s="18">
        <f>IF($Z1324="","",IF(AND(DATE($AD1324,6,1)&gt;=$AE1324,DATE($AD1324,6,1)&lt;=$AF1324),ROUND($AG1324,2),0))</f>
        <v/>
      </c>
      <c r="P1324" s="18">
        <f>IF($Z1324="","",IF(AND(DATE($AD1324,7,1)&gt;=$AE1324,DATE($AD1324,7,1)&lt;=$AF1324),ROUND($AG1324,2),0))</f>
        <v/>
      </c>
      <c r="Q1324" s="18">
        <f>IF($Z1324="","",IF(AND(DATE($AD1324,8,1)&gt;=$AE1324,DATE($AD1324,8,1)&lt;=$AF1324),ROUND($AG1324,2),0))</f>
        <v/>
      </c>
      <c r="R1324" s="18">
        <f>IF($Z1324="","",IF(AND(DATE($AD1324,9,1)&gt;=$AE1324,DATE($AD1324,9,1)&lt;=$AF1324),ROUND($AG1324,2),0))</f>
        <v/>
      </c>
      <c r="S1324" s="18">
        <f>IF($Z1324="","",IF(AND(DATE($AD1324,10,1)&gt;=$AE1324,DATE($AD1324,10,1)&lt;=$AF1324),ROUND($AG1324,2),0))</f>
        <v/>
      </c>
      <c r="T1324" s="18">
        <f>IF($Z1324="","",IF(AND(DATE($AD1324,11,1)&gt;=$AE1324,DATE($AD1324,11,1)&lt;=$AF1324),ROUND($AG1324,2),0))</f>
        <v/>
      </c>
      <c r="U1324" s="18">
        <f>IF($Z1324="","",IF(AND(DATE($AD1324,12,1)&gt;=$AE1324,DATE($AD1324,12,1)&lt;=$AF1324),ROUND($AG1324,2),0))</f>
        <v/>
      </c>
      <c r="V1324" s="7">
        <f>IF($Z1324="C","Generated from "&amp;INDEX(Contracts!$A$2:$A$151,$AB1324),IF($Z1324="A","Generated from "&amp;INDEX(Fixed_Assets!$A$2:$A$201,$AB1324),IF($Z1324="F","Generated from "&amp;INDEX(FTE_Allocation!$A$2:$A$201,$AB1324),"")))</f>
        <v/>
      </c>
      <c r="X1324" s="19">
        <f>IF($Z1324="","",SUM(J1324:U1324))</f>
        <v/>
      </c>
      <c r="Y1324" s="20">
        <f>ROW()-1</f>
        <v/>
      </c>
      <c r="Z1324" s="20">
        <f>IF($Y1324&lt;=Settings!$B$4*3,"C",IF($Y1324&lt;=(Settings!$B$4+Settings!$B$5)*3,"A",IF($Y1324&lt;=(Settings!$B$4+Settings!$B$5+Settings!$B$6)*3,"F","")))</f>
        <v/>
      </c>
      <c r="AA1324" s="20">
        <f>IF($Z1324="C",$Y1324,IF($Z1324="A",$Y1324-Settings!$B$4*3,IF($Z1324="F",$Y1324-(Settings!$B$4+Settings!$B$5)*3,"")))</f>
        <v/>
      </c>
      <c r="AB1324" s="20">
        <f>IF($Z1324="","",INT(($AA1324-1)/3)+1)</f>
        <v/>
      </c>
      <c r="AC1324" s="20">
        <f>IF($Z1324="","",MOD($AA1324-1,3)+1)</f>
        <v/>
      </c>
      <c r="AD1324" s="20">
        <f>IF($Z1324="","",Settings!$B$2+$AC1324-1)</f>
        <v/>
      </c>
      <c r="AE1324" s="21">
        <f>IF($Z1324="C",DATE(YEAR(INDEX(Contracts!$J$2:$J$151,$AB1324)),MONTH(INDEX(Contracts!$J$2:$J$151,$AB1324)),1),IF($Z1324="A",DATE(YEAR(INDEX(Fixed_Assets!$G$2:$G$201,$AB1324)),MONTH(INDEX(Fixed_Assets!$G$2:$G$201,$AB1324)),1),IF($Z1324="F",DATE(YEAR(MAX(N(INDEX(Workforce!$I$2:$I$151,MATCH(INDEX(FTE_Allocation!$A$2:$A$201,$AB1324),Workforce!$A$2:$A$151,0))),N(INDEX(FTE_Allocation!$I$2:$I$201,$AB1324)))),MONTH(MAX(N(INDEX(Workforce!$I$2:$I$151,MATCH(INDEX(FTE_Allocation!$A$2:$A$201,$AB1324),Workforce!$A$2:$A$151,0))),N(INDEX(FTE_Allocation!$I$2:$I$201,$AB1324)))),1),"")))</f>
        <v/>
      </c>
      <c r="AF1324" s="21">
        <f>IF($Z1324="C",IF(INDEX(Contracts!$I$2:$I$151,$AB1324)="PREPAID",EDATE(DATE(YEAR(INDEX(Contracts!$J$2:$J$151,$AB1324)),MONTH(INDEX(Contracts!$J$2:$J$151,$AB1324)),1),IF(INDEX(Contracts!$N$2:$N$151,$AB1324)="",12,INDEX(Contracts!$N$2:$N$151,$AB1324))-1),IF(INDEX(Contracts!$I$2:$I$151,$AB1324)="MONTHLY",IF(INDEX(Contracts!$K$2:$K$151,$AB1324)="",2958101,INDEX(Contracts!$K$2:$K$151,$AB1324)),0)),IF($Z1324="A",EDATE(DATE(YEAR(INDEX(Fixed_Assets!$G$2:$G$201,$AB1324)),MONTH(INDEX(Fixed_Assets!$G$2:$G$201,$AB1324)),1),INDEX(Fixed_Assets!$J$2:$J$201,$AB1324)-1),IF($Z1324="F",MIN(IF(INDEX(Workforce!$J$2:$J$151,MATCH(INDEX(FTE_Allocation!$A$2:$A$201,$AB1324),Workforce!$A$2:$A$151,0))="",2958101,INDEX(Workforce!$J$2:$J$151,MATCH(INDEX(FTE_Allocation!$A$2:$A$201,$AB1324),Workforce!$A$2:$A$151,0))),IF(INDEX(FTE_Allocation!$J$2:$J$201,$AB1324)="",2958101,INDEX(FTE_Allocation!$J$2:$J$201,$AB1324))),"")))</f>
        <v/>
      </c>
      <c r="AG1324" s="19">
        <f>IF($Z1324="C",IF(INDEX(Contracts!$I$2:$I$151,$AB1324)="PREPAID",INDEX(Contracts!$M$2:$M$151,$AB1324)/IF(INDEX(Contracts!$N$2:$N$151,$AB1324)="",12,INDEX(Contracts!$N$2:$N$151,$AB1324)),IF(INDEX(Contracts!$I$2:$I$151,$AB1324)="MONTHLY",INDEX(Contracts!$M$2:$M$151,$AB1324),0))*(1-N(INDEX(Contracts!$O$2:$O$151,$AB1324))),IF($Z1324="A",INDEX(Fixed_Assets!$H$2:$H$201,$AB1324)/INDEX(Fixed_Assets!$J$2:$J$201,$AB1324),IF($Z1324="F",INDEX(Workforce!$F$2:$F$151,MATCH(INDEX(FTE_Allocation!$A$2:$A$201,$AB1324),Workforce!$A$2:$A$151,0))*N(INDEX(FTE_Allocation!$F$2:$H$201,$AB1324,$AC1324)),"")))</f>
        <v/>
      </c>
    </row>
    <row r="1325">
      <c r="A1325" s="7">
        <f>IF($Z1325="","",$AD1325)</f>
        <v/>
      </c>
      <c r="B1325" s="7">
        <f>IF($Z1325="C",INDEX(Contracts!$D$2:$D$151,$AB1325)&amp;"",IF($Z1325="A",INDEX(Fixed_Assets!$C$2:$C$201,$AB1325)&amp;"",IF($Z1325="F",INDEX(Workforce!$B$2:$B$151,MATCH(INDEX(FTE_Allocation!$A$2:$A$201,$AB1325),Workforce!$A$2:$A$151,0))&amp;"","")))</f>
        <v/>
      </c>
      <c r="C1325" s="7">
        <f>IF($Z1325="C",INDEX(Contracts!$E$2:$E$151,$AB1325)&amp;"",IF($Z1325="A",INDEX(Fixed_Assets!$D$2:$D$201,$AB1325)&amp;"",IF($Z1325="F",INDEX(FTE_Allocation!$C$2:$C$201,$AB1325)&amp;"","")))</f>
        <v/>
      </c>
      <c r="D1325" s="7">
        <f>IF($Z1325="C",INDEX(Contracts!$B$2:$B$151,$AB1325)&amp;"",IF($Z1325="A",INDEX(Fixed_Assets!$B$2:$B$201,$AB1325)&amp;"",IF($Z1325="F",INDEX(FTE_Allocation!$B$2:$B$201,$AB1325)&amp;"","")))</f>
        <v/>
      </c>
      <c r="E1325" s="7">
        <f>IF($Z1325="C",INDEX(Contracts!$P$2:$P$151,$AB1325)&amp;"",IF($Z1325="A",INDEX(Fixed_Assets!$K$2:$K$201,$AB1325)&amp;"",IF($Z1325="F",IF(INDEX(FTE_Allocation!$D$2:$D$201,$AB1325)="PROJECT",IFERROR(INDEX(Projects!$D:$D,MATCH(INDEX(FTE_Allocation!$E$2:$E$201,$AB1325),Projects!$A:$A,0))&amp;"","#PROJECT?"),INDEX(FTE_Allocation!$E$2:$E$201,$AB1325)&amp;""),"")))</f>
        <v/>
      </c>
      <c r="F1325" s="7">
        <f>IF($Z1325="C",INDEX(Contracts!$Q$2:$Q$151,$AB1325)&amp;"",IF($Z1325="A",INDEX(Fixed_Assets!$L$2:$L$201,$AB1325)&amp;"",IF($Z1325="F",INDEX(Workforce!$K$2:$K$151,MATCH(INDEX(FTE_Allocation!$A$2:$A$201,$AB1325),Workforce!$A$2:$A$151,0))&amp;"","")))</f>
        <v/>
      </c>
      <c r="G1325" s="7">
        <f>IF($Z1325="C",INDEX(Contracts!$F$2:$F$151,$AB1325)&amp;" / "&amp;INDEX(Contracts!$G$2:$G$151,$AB1325),IF($Z1325="A",INDEX(Fixed_Assets!$E$2:$E$201,$AB1325)&amp;"",IF($Z1325="F","Personnel "&amp;INDEX(FTE_Allocation!$A$2:$A$201,$AB1325)&amp;IF(INDEX(FTE_Allocation!$D$2:$D$201,$AB1325)="PROJECT"," ("&amp;INDEX(FTE_Allocation!$E$2:$E$201,$AB1325)&amp;")",""),"")))</f>
        <v/>
      </c>
      <c r="H1325" s="7">
        <f>IF($Z1325="C","CONTRACT",IF($Z1325="A","ASSET",IF($Z1325="F","WORKFORCE","")))</f>
        <v/>
      </c>
      <c r="I1325" s="7">
        <f>IF($Z1325="C",INDEX(Contracts!$L$2:$L$151,$AB1325)&amp;"",IF($Z1325="A",INDEX(Fixed_Assets!$I$2:$I$201,$AB1325)&amp;"",IF($Z1325="F",INDEX(Workforce!$G$2:$G$151,MATCH(INDEX(FTE_Allocation!$A$2:$A$201,$AB1325),Workforce!$A$2:$A$151,0))&amp;"","")))</f>
        <v/>
      </c>
      <c r="J1325" s="18">
        <f>IF($Z1325="","",IF(AND(DATE($AD1325,1,1)&gt;=$AE1325,DATE($AD1325,1,1)&lt;=$AF1325),ROUND($AG1325,2),0))</f>
        <v/>
      </c>
      <c r="K1325" s="18">
        <f>IF($Z1325="","",IF(AND(DATE($AD1325,2,1)&gt;=$AE1325,DATE($AD1325,2,1)&lt;=$AF1325),ROUND($AG1325,2),0))</f>
        <v/>
      </c>
      <c r="L1325" s="18">
        <f>IF($Z1325="","",IF(AND(DATE($AD1325,3,1)&gt;=$AE1325,DATE($AD1325,3,1)&lt;=$AF1325),ROUND($AG1325,2),0))</f>
        <v/>
      </c>
      <c r="M1325" s="18">
        <f>IF($Z1325="","",IF(AND(DATE($AD1325,4,1)&gt;=$AE1325,DATE($AD1325,4,1)&lt;=$AF1325),ROUND($AG1325,2),0))</f>
        <v/>
      </c>
      <c r="N1325" s="18">
        <f>IF($Z1325="","",IF(AND(DATE($AD1325,5,1)&gt;=$AE1325,DATE($AD1325,5,1)&lt;=$AF1325),ROUND($AG1325,2),0))</f>
        <v/>
      </c>
      <c r="O1325" s="18">
        <f>IF($Z1325="","",IF(AND(DATE($AD1325,6,1)&gt;=$AE1325,DATE($AD1325,6,1)&lt;=$AF1325),ROUND($AG1325,2),0))</f>
        <v/>
      </c>
      <c r="P1325" s="18">
        <f>IF($Z1325="","",IF(AND(DATE($AD1325,7,1)&gt;=$AE1325,DATE($AD1325,7,1)&lt;=$AF1325),ROUND($AG1325,2),0))</f>
        <v/>
      </c>
      <c r="Q1325" s="18">
        <f>IF($Z1325="","",IF(AND(DATE($AD1325,8,1)&gt;=$AE1325,DATE($AD1325,8,1)&lt;=$AF1325),ROUND($AG1325,2),0))</f>
        <v/>
      </c>
      <c r="R1325" s="18">
        <f>IF($Z1325="","",IF(AND(DATE($AD1325,9,1)&gt;=$AE1325,DATE($AD1325,9,1)&lt;=$AF1325),ROUND($AG1325,2),0))</f>
        <v/>
      </c>
      <c r="S1325" s="18">
        <f>IF($Z1325="","",IF(AND(DATE($AD1325,10,1)&gt;=$AE1325,DATE($AD1325,10,1)&lt;=$AF1325),ROUND($AG1325,2),0))</f>
        <v/>
      </c>
      <c r="T1325" s="18">
        <f>IF($Z1325="","",IF(AND(DATE($AD1325,11,1)&gt;=$AE1325,DATE($AD1325,11,1)&lt;=$AF1325),ROUND($AG1325,2),0))</f>
        <v/>
      </c>
      <c r="U1325" s="18">
        <f>IF($Z1325="","",IF(AND(DATE($AD1325,12,1)&gt;=$AE1325,DATE($AD1325,12,1)&lt;=$AF1325),ROUND($AG1325,2),0))</f>
        <v/>
      </c>
      <c r="V1325" s="7">
        <f>IF($Z1325="C","Generated from "&amp;INDEX(Contracts!$A$2:$A$151,$AB1325),IF($Z1325="A","Generated from "&amp;INDEX(Fixed_Assets!$A$2:$A$201,$AB1325),IF($Z1325="F","Generated from "&amp;INDEX(FTE_Allocation!$A$2:$A$201,$AB1325),"")))</f>
        <v/>
      </c>
      <c r="X1325" s="19">
        <f>IF($Z1325="","",SUM(J1325:U1325))</f>
        <v/>
      </c>
      <c r="Y1325" s="20">
        <f>ROW()-1</f>
        <v/>
      </c>
      <c r="Z1325" s="20">
        <f>IF($Y1325&lt;=Settings!$B$4*3,"C",IF($Y1325&lt;=(Settings!$B$4+Settings!$B$5)*3,"A",IF($Y1325&lt;=(Settings!$B$4+Settings!$B$5+Settings!$B$6)*3,"F","")))</f>
        <v/>
      </c>
      <c r="AA1325" s="20">
        <f>IF($Z1325="C",$Y1325,IF($Z1325="A",$Y1325-Settings!$B$4*3,IF($Z1325="F",$Y1325-(Settings!$B$4+Settings!$B$5)*3,"")))</f>
        <v/>
      </c>
      <c r="AB1325" s="20">
        <f>IF($Z1325="","",INT(($AA1325-1)/3)+1)</f>
        <v/>
      </c>
      <c r="AC1325" s="20">
        <f>IF($Z1325="","",MOD($AA1325-1,3)+1)</f>
        <v/>
      </c>
      <c r="AD1325" s="20">
        <f>IF($Z1325="","",Settings!$B$2+$AC1325-1)</f>
        <v/>
      </c>
      <c r="AE1325" s="21">
        <f>IF($Z1325="C",DATE(YEAR(INDEX(Contracts!$J$2:$J$151,$AB1325)),MONTH(INDEX(Contracts!$J$2:$J$151,$AB1325)),1),IF($Z1325="A",DATE(YEAR(INDEX(Fixed_Assets!$G$2:$G$201,$AB1325)),MONTH(INDEX(Fixed_Assets!$G$2:$G$201,$AB1325)),1),IF($Z1325="F",DATE(YEAR(MAX(N(INDEX(Workforce!$I$2:$I$151,MATCH(INDEX(FTE_Allocation!$A$2:$A$201,$AB1325),Workforce!$A$2:$A$151,0))),N(INDEX(FTE_Allocation!$I$2:$I$201,$AB1325)))),MONTH(MAX(N(INDEX(Workforce!$I$2:$I$151,MATCH(INDEX(FTE_Allocation!$A$2:$A$201,$AB1325),Workforce!$A$2:$A$151,0))),N(INDEX(FTE_Allocation!$I$2:$I$201,$AB1325)))),1),"")))</f>
        <v/>
      </c>
      <c r="AF1325" s="21">
        <f>IF($Z1325="C",IF(INDEX(Contracts!$I$2:$I$151,$AB1325)="PREPAID",EDATE(DATE(YEAR(INDEX(Contracts!$J$2:$J$151,$AB1325)),MONTH(INDEX(Contracts!$J$2:$J$151,$AB1325)),1),IF(INDEX(Contracts!$N$2:$N$151,$AB1325)="",12,INDEX(Contracts!$N$2:$N$151,$AB1325))-1),IF(INDEX(Contracts!$I$2:$I$151,$AB1325)="MONTHLY",IF(INDEX(Contracts!$K$2:$K$151,$AB1325)="",2958101,INDEX(Contracts!$K$2:$K$151,$AB1325)),0)),IF($Z1325="A",EDATE(DATE(YEAR(INDEX(Fixed_Assets!$G$2:$G$201,$AB1325)),MONTH(INDEX(Fixed_Assets!$G$2:$G$201,$AB1325)),1),INDEX(Fixed_Assets!$J$2:$J$201,$AB1325)-1),IF($Z1325="F",MIN(IF(INDEX(Workforce!$J$2:$J$151,MATCH(INDEX(FTE_Allocation!$A$2:$A$201,$AB1325),Workforce!$A$2:$A$151,0))="",2958101,INDEX(Workforce!$J$2:$J$151,MATCH(INDEX(FTE_Allocation!$A$2:$A$201,$AB1325),Workforce!$A$2:$A$151,0))),IF(INDEX(FTE_Allocation!$J$2:$J$201,$AB1325)="",2958101,INDEX(FTE_Allocation!$J$2:$J$201,$AB1325))),"")))</f>
        <v/>
      </c>
      <c r="AG1325" s="19">
        <f>IF($Z1325="C",IF(INDEX(Contracts!$I$2:$I$151,$AB1325)="PREPAID",INDEX(Contracts!$M$2:$M$151,$AB1325)/IF(INDEX(Contracts!$N$2:$N$151,$AB1325)="",12,INDEX(Contracts!$N$2:$N$151,$AB1325)),IF(INDEX(Contracts!$I$2:$I$151,$AB1325)="MONTHLY",INDEX(Contracts!$M$2:$M$151,$AB1325),0))*(1-N(INDEX(Contracts!$O$2:$O$151,$AB1325))),IF($Z1325="A",INDEX(Fixed_Assets!$H$2:$H$201,$AB1325)/INDEX(Fixed_Assets!$J$2:$J$201,$AB1325),IF($Z1325="F",INDEX(Workforce!$F$2:$F$151,MATCH(INDEX(FTE_Allocation!$A$2:$A$201,$AB1325),Workforce!$A$2:$A$151,0))*N(INDEX(FTE_Allocation!$F$2:$H$201,$AB1325,$AC1325)),"")))</f>
        <v/>
      </c>
    </row>
    <row r="1326">
      <c r="A1326" s="7">
        <f>IF($Z1326="","",$AD1326)</f>
        <v/>
      </c>
      <c r="B1326" s="7">
        <f>IF($Z1326="C",INDEX(Contracts!$D$2:$D$151,$AB1326)&amp;"",IF($Z1326="A",INDEX(Fixed_Assets!$C$2:$C$201,$AB1326)&amp;"",IF($Z1326="F",INDEX(Workforce!$B$2:$B$151,MATCH(INDEX(FTE_Allocation!$A$2:$A$201,$AB1326),Workforce!$A$2:$A$151,0))&amp;"","")))</f>
        <v/>
      </c>
      <c r="C1326" s="7">
        <f>IF($Z1326="C",INDEX(Contracts!$E$2:$E$151,$AB1326)&amp;"",IF($Z1326="A",INDEX(Fixed_Assets!$D$2:$D$201,$AB1326)&amp;"",IF($Z1326="F",INDEX(FTE_Allocation!$C$2:$C$201,$AB1326)&amp;"","")))</f>
        <v/>
      </c>
      <c r="D1326" s="7">
        <f>IF($Z1326="C",INDEX(Contracts!$B$2:$B$151,$AB1326)&amp;"",IF($Z1326="A",INDEX(Fixed_Assets!$B$2:$B$201,$AB1326)&amp;"",IF($Z1326="F",INDEX(FTE_Allocation!$B$2:$B$201,$AB1326)&amp;"","")))</f>
        <v/>
      </c>
      <c r="E1326" s="7">
        <f>IF($Z1326="C",INDEX(Contracts!$P$2:$P$151,$AB1326)&amp;"",IF($Z1326="A",INDEX(Fixed_Assets!$K$2:$K$201,$AB1326)&amp;"",IF($Z1326="F",IF(INDEX(FTE_Allocation!$D$2:$D$201,$AB1326)="PROJECT",IFERROR(INDEX(Projects!$D:$D,MATCH(INDEX(FTE_Allocation!$E$2:$E$201,$AB1326),Projects!$A:$A,0))&amp;"","#PROJECT?"),INDEX(FTE_Allocation!$E$2:$E$201,$AB1326)&amp;""),"")))</f>
        <v/>
      </c>
      <c r="F1326" s="7">
        <f>IF($Z1326="C",INDEX(Contracts!$Q$2:$Q$151,$AB1326)&amp;"",IF($Z1326="A",INDEX(Fixed_Assets!$L$2:$L$201,$AB1326)&amp;"",IF($Z1326="F",INDEX(Workforce!$K$2:$K$151,MATCH(INDEX(FTE_Allocation!$A$2:$A$201,$AB1326),Workforce!$A$2:$A$151,0))&amp;"","")))</f>
        <v/>
      </c>
      <c r="G1326" s="7">
        <f>IF($Z1326="C",INDEX(Contracts!$F$2:$F$151,$AB1326)&amp;" / "&amp;INDEX(Contracts!$G$2:$G$151,$AB1326),IF($Z1326="A",INDEX(Fixed_Assets!$E$2:$E$201,$AB1326)&amp;"",IF($Z1326="F","Personnel "&amp;INDEX(FTE_Allocation!$A$2:$A$201,$AB1326)&amp;IF(INDEX(FTE_Allocation!$D$2:$D$201,$AB1326)="PROJECT"," ("&amp;INDEX(FTE_Allocation!$E$2:$E$201,$AB1326)&amp;")",""),"")))</f>
        <v/>
      </c>
      <c r="H1326" s="7">
        <f>IF($Z1326="C","CONTRACT",IF($Z1326="A","ASSET",IF($Z1326="F","WORKFORCE","")))</f>
        <v/>
      </c>
      <c r="I1326" s="7">
        <f>IF($Z1326="C",INDEX(Contracts!$L$2:$L$151,$AB1326)&amp;"",IF($Z1326="A",INDEX(Fixed_Assets!$I$2:$I$201,$AB1326)&amp;"",IF($Z1326="F",INDEX(Workforce!$G$2:$G$151,MATCH(INDEX(FTE_Allocation!$A$2:$A$201,$AB1326),Workforce!$A$2:$A$151,0))&amp;"","")))</f>
        <v/>
      </c>
      <c r="J1326" s="18">
        <f>IF($Z1326="","",IF(AND(DATE($AD1326,1,1)&gt;=$AE1326,DATE($AD1326,1,1)&lt;=$AF1326),ROUND($AG1326,2),0))</f>
        <v/>
      </c>
      <c r="K1326" s="18">
        <f>IF($Z1326="","",IF(AND(DATE($AD1326,2,1)&gt;=$AE1326,DATE($AD1326,2,1)&lt;=$AF1326),ROUND($AG1326,2),0))</f>
        <v/>
      </c>
      <c r="L1326" s="18">
        <f>IF($Z1326="","",IF(AND(DATE($AD1326,3,1)&gt;=$AE1326,DATE($AD1326,3,1)&lt;=$AF1326),ROUND($AG1326,2),0))</f>
        <v/>
      </c>
      <c r="M1326" s="18">
        <f>IF($Z1326="","",IF(AND(DATE($AD1326,4,1)&gt;=$AE1326,DATE($AD1326,4,1)&lt;=$AF1326),ROUND($AG1326,2),0))</f>
        <v/>
      </c>
      <c r="N1326" s="18">
        <f>IF($Z1326="","",IF(AND(DATE($AD1326,5,1)&gt;=$AE1326,DATE($AD1326,5,1)&lt;=$AF1326),ROUND($AG1326,2),0))</f>
        <v/>
      </c>
      <c r="O1326" s="18">
        <f>IF($Z1326="","",IF(AND(DATE($AD1326,6,1)&gt;=$AE1326,DATE($AD1326,6,1)&lt;=$AF1326),ROUND($AG1326,2),0))</f>
        <v/>
      </c>
      <c r="P1326" s="18">
        <f>IF($Z1326="","",IF(AND(DATE($AD1326,7,1)&gt;=$AE1326,DATE($AD1326,7,1)&lt;=$AF1326),ROUND($AG1326,2),0))</f>
        <v/>
      </c>
      <c r="Q1326" s="18">
        <f>IF($Z1326="","",IF(AND(DATE($AD1326,8,1)&gt;=$AE1326,DATE($AD1326,8,1)&lt;=$AF1326),ROUND($AG1326,2),0))</f>
        <v/>
      </c>
      <c r="R1326" s="18">
        <f>IF($Z1326="","",IF(AND(DATE($AD1326,9,1)&gt;=$AE1326,DATE($AD1326,9,1)&lt;=$AF1326),ROUND($AG1326,2),0))</f>
        <v/>
      </c>
      <c r="S1326" s="18">
        <f>IF($Z1326="","",IF(AND(DATE($AD1326,10,1)&gt;=$AE1326,DATE($AD1326,10,1)&lt;=$AF1326),ROUND($AG1326,2),0))</f>
        <v/>
      </c>
      <c r="T1326" s="18">
        <f>IF($Z1326="","",IF(AND(DATE($AD1326,11,1)&gt;=$AE1326,DATE($AD1326,11,1)&lt;=$AF1326),ROUND($AG1326,2),0))</f>
        <v/>
      </c>
      <c r="U1326" s="18">
        <f>IF($Z1326="","",IF(AND(DATE($AD1326,12,1)&gt;=$AE1326,DATE($AD1326,12,1)&lt;=$AF1326),ROUND($AG1326,2),0))</f>
        <v/>
      </c>
      <c r="V1326" s="7">
        <f>IF($Z1326="C","Generated from "&amp;INDEX(Contracts!$A$2:$A$151,$AB1326),IF($Z1326="A","Generated from "&amp;INDEX(Fixed_Assets!$A$2:$A$201,$AB1326),IF($Z1326="F","Generated from "&amp;INDEX(FTE_Allocation!$A$2:$A$201,$AB1326),"")))</f>
        <v/>
      </c>
      <c r="X1326" s="19">
        <f>IF($Z1326="","",SUM(J1326:U1326))</f>
        <v/>
      </c>
      <c r="Y1326" s="20">
        <f>ROW()-1</f>
        <v/>
      </c>
      <c r="Z1326" s="20">
        <f>IF($Y1326&lt;=Settings!$B$4*3,"C",IF($Y1326&lt;=(Settings!$B$4+Settings!$B$5)*3,"A",IF($Y1326&lt;=(Settings!$B$4+Settings!$B$5+Settings!$B$6)*3,"F","")))</f>
        <v/>
      </c>
      <c r="AA1326" s="20">
        <f>IF($Z1326="C",$Y1326,IF($Z1326="A",$Y1326-Settings!$B$4*3,IF($Z1326="F",$Y1326-(Settings!$B$4+Settings!$B$5)*3,"")))</f>
        <v/>
      </c>
      <c r="AB1326" s="20">
        <f>IF($Z1326="","",INT(($AA1326-1)/3)+1)</f>
        <v/>
      </c>
      <c r="AC1326" s="20">
        <f>IF($Z1326="","",MOD($AA1326-1,3)+1)</f>
        <v/>
      </c>
      <c r="AD1326" s="20">
        <f>IF($Z1326="","",Settings!$B$2+$AC1326-1)</f>
        <v/>
      </c>
      <c r="AE1326" s="21">
        <f>IF($Z1326="C",DATE(YEAR(INDEX(Contracts!$J$2:$J$151,$AB1326)),MONTH(INDEX(Contracts!$J$2:$J$151,$AB1326)),1),IF($Z1326="A",DATE(YEAR(INDEX(Fixed_Assets!$G$2:$G$201,$AB1326)),MONTH(INDEX(Fixed_Assets!$G$2:$G$201,$AB1326)),1),IF($Z1326="F",DATE(YEAR(MAX(N(INDEX(Workforce!$I$2:$I$151,MATCH(INDEX(FTE_Allocation!$A$2:$A$201,$AB1326),Workforce!$A$2:$A$151,0))),N(INDEX(FTE_Allocation!$I$2:$I$201,$AB1326)))),MONTH(MAX(N(INDEX(Workforce!$I$2:$I$151,MATCH(INDEX(FTE_Allocation!$A$2:$A$201,$AB1326),Workforce!$A$2:$A$151,0))),N(INDEX(FTE_Allocation!$I$2:$I$201,$AB1326)))),1),"")))</f>
        <v/>
      </c>
      <c r="AF1326" s="21">
        <f>IF($Z1326="C",IF(INDEX(Contracts!$I$2:$I$151,$AB1326)="PREPAID",EDATE(DATE(YEAR(INDEX(Contracts!$J$2:$J$151,$AB1326)),MONTH(INDEX(Contracts!$J$2:$J$151,$AB1326)),1),IF(INDEX(Contracts!$N$2:$N$151,$AB1326)="",12,INDEX(Contracts!$N$2:$N$151,$AB1326))-1),IF(INDEX(Contracts!$I$2:$I$151,$AB1326)="MONTHLY",IF(INDEX(Contracts!$K$2:$K$151,$AB1326)="",2958101,INDEX(Contracts!$K$2:$K$151,$AB1326)),0)),IF($Z1326="A",EDATE(DATE(YEAR(INDEX(Fixed_Assets!$G$2:$G$201,$AB1326)),MONTH(INDEX(Fixed_Assets!$G$2:$G$201,$AB1326)),1),INDEX(Fixed_Assets!$J$2:$J$201,$AB1326)-1),IF($Z1326="F",MIN(IF(INDEX(Workforce!$J$2:$J$151,MATCH(INDEX(FTE_Allocation!$A$2:$A$201,$AB1326),Workforce!$A$2:$A$151,0))="",2958101,INDEX(Workforce!$J$2:$J$151,MATCH(INDEX(FTE_Allocation!$A$2:$A$201,$AB1326),Workforce!$A$2:$A$151,0))),IF(INDEX(FTE_Allocation!$J$2:$J$201,$AB1326)="",2958101,INDEX(FTE_Allocation!$J$2:$J$201,$AB1326))),"")))</f>
        <v/>
      </c>
      <c r="AG1326" s="19">
        <f>IF($Z1326="C",IF(INDEX(Contracts!$I$2:$I$151,$AB1326)="PREPAID",INDEX(Contracts!$M$2:$M$151,$AB1326)/IF(INDEX(Contracts!$N$2:$N$151,$AB1326)="",12,INDEX(Contracts!$N$2:$N$151,$AB1326)),IF(INDEX(Contracts!$I$2:$I$151,$AB1326)="MONTHLY",INDEX(Contracts!$M$2:$M$151,$AB1326),0))*(1-N(INDEX(Contracts!$O$2:$O$151,$AB1326))),IF($Z1326="A",INDEX(Fixed_Assets!$H$2:$H$201,$AB1326)/INDEX(Fixed_Assets!$J$2:$J$201,$AB1326),IF($Z1326="F",INDEX(Workforce!$F$2:$F$151,MATCH(INDEX(FTE_Allocation!$A$2:$A$201,$AB1326),Workforce!$A$2:$A$151,0))*N(INDEX(FTE_Allocation!$F$2:$H$201,$AB1326,$AC1326)),"")))</f>
        <v/>
      </c>
    </row>
    <row r="1327">
      <c r="A1327" s="7">
        <f>IF($Z1327="","",$AD1327)</f>
        <v/>
      </c>
      <c r="B1327" s="7">
        <f>IF($Z1327="C",INDEX(Contracts!$D$2:$D$151,$AB1327)&amp;"",IF($Z1327="A",INDEX(Fixed_Assets!$C$2:$C$201,$AB1327)&amp;"",IF($Z1327="F",INDEX(Workforce!$B$2:$B$151,MATCH(INDEX(FTE_Allocation!$A$2:$A$201,$AB1327),Workforce!$A$2:$A$151,0))&amp;"","")))</f>
        <v/>
      </c>
      <c r="C1327" s="7">
        <f>IF($Z1327="C",INDEX(Contracts!$E$2:$E$151,$AB1327)&amp;"",IF($Z1327="A",INDEX(Fixed_Assets!$D$2:$D$201,$AB1327)&amp;"",IF($Z1327="F",INDEX(FTE_Allocation!$C$2:$C$201,$AB1327)&amp;"","")))</f>
        <v/>
      </c>
      <c r="D1327" s="7">
        <f>IF($Z1327="C",INDEX(Contracts!$B$2:$B$151,$AB1327)&amp;"",IF($Z1327="A",INDEX(Fixed_Assets!$B$2:$B$201,$AB1327)&amp;"",IF($Z1327="F",INDEX(FTE_Allocation!$B$2:$B$201,$AB1327)&amp;"","")))</f>
        <v/>
      </c>
      <c r="E1327" s="7">
        <f>IF($Z1327="C",INDEX(Contracts!$P$2:$P$151,$AB1327)&amp;"",IF($Z1327="A",INDEX(Fixed_Assets!$K$2:$K$201,$AB1327)&amp;"",IF($Z1327="F",IF(INDEX(FTE_Allocation!$D$2:$D$201,$AB1327)="PROJECT",IFERROR(INDEX(Projects!$D:$D,MATCH(INDEX(FTE_Allocation!$E$2:$E$201,$AB1327),Projects!$A:$A,0))&amp;"","#PROJECT?"),INDEX(FTE_Allocation!$E$2:$E$201,$AB1327)&amp;""),"")))</f>
        <v/>
      </c>
      <c r="F1327" s="7">
        <f>IF($Z1327="C",INDEX(Contracts!$Q$2:$Q$151,$AB1327)&amp;"",IF($Z1327="A",INDEX(Fixed_Assets!$L$2:$L$201,$AB1327)&amp;"",IF($Z1327="F",INDEX(Workforce!$K$2:$K$151,MATCH(INDEX(FTE_Allocation!$A$2:$A$201,$AB1327),Workforce!$A$2:$A$151,0))&amp;"","")))</f>
        <v/>
      </c>
      <c r="G1327" s="7">
        <f>IF($Z1327="C",INDEX(Contracts!$F$2:$F$151,$AB1327)&amp;" / "&amp;INDEX(Contracts!$G$2:$G$151,$AB1327),IF($Z1327="A",INDEX(Fixed_Assets!$E$2:$E$201,$AB1327)&amp;"",IF($Z1327="F","Personnel "&amp;INDEX(FTE_Allocation!$A$2:$A$201,$AB1327)&amp;IF(INDEX(FTE_Allocation!$D$2:$D$201,$AB1327)="PROJECT"," ("&amp;INDEX(FTE_Allocation!$E$2:$E$201,$AB1327)&amp;")",""),"")))</f>
        <v/>
      </c>
      <c r="H1327" s="7">
        <f>IF($Z1327="C","CONTRACT",IF($Z1327="A","ASSET",IF($Z1327="F","WORKFORCE","")))</f>
        <v/>
      </c>
      <c r="I1327" s="7">
        <f>IF($Z1327="C",INDEX(Contracts!$L$2:$L$151,$AB1327)&amp;"",IF($Z1327="A",INDEX(Fixed_Assets!$I$2:$I$201,$AB1327)&amp;"",IF($Z1327="F",INDEX(Workforce!$G$2:$G$151,MATCH(INDEX(FTE_Allocation!$A$2:$A$201,$AB1327),Workforce!$A$2:$A$151,0))&amp;"","")))</f>
        <v/>
      </c>
      <c r="J1327" s="18">
        <f>IF($Z1327="","",IF(AND(DATE($AD1327,1,1)&gt;=$AE1327,DATE($AD1327,1,1)&lt;=$AF1327),ROUND($AG1327,2),0))</f>
        <v/>
      </c>
      <c r="K1327" s="18">
        <f>IF($Z1327="","",IF(AND(DATE($AD1327,2,1)&gt;=$AE1327,DATE($AD1327,2,1)&lt;=$AF1327),ROUND($AG1327,2),0))</f>
        <v/>
      </c>
      <c r="L1327" s="18">
        <f>IF($Z1327="","",IF(AND(DATE($AD1327,3,1)&gt;=$AE1327,DATE($AD1327,3,1)&lt;=$AF1327),ROUND($AG1327,2),0))</f>
        <v/>
      </c>
      <c r="M1327" s="18">
        <f>IF($Z1327="","",IF(AND(DATE($AD1327,4,1)&gt;=$AE1327,DATE($AD1327,4,1)&lt;=$AF1327),ROUND($AG1327,2),0))</f>
        <v/>
      </c>
      <c r="N1327" s="18">
        <f>IF($Z1327="","",IF(AND(DATE($AD1327,5,1)&gt;=$AE1327,DATE($AD1327,5,1)&lt;=$AF1327),ROUND($AG1327,2),0))</f>
        <v/>
      </c>
      <c r="O1327" s="18">
        <f>IF($Z1327="","",IF(AND(DATE($AD1327,6,1)&gt;=$AE1327,DATE($AD1327,6,1)&lt;=$AF1327),ROUND($AG1327,2),0))</f>
        <v/>
      </c>
      <c r="P1327" s="18">
        <f>IF($Z1327="","",IF(AND(DATE($AD1327,7,1)&gt;=$AE1327,DATE($AD1327,7,1)&lt;=$AF1327),ROUND($AG1327,2),0))</f>
        <v/>
      </c>
      <c r="Q1327" s="18">
        <f>IF($Z1327="","",IF(AND(DATE($AD1327,8,1)&gt;=$AE1327,DATE($AD1327,8,1)&lt;=$AF1327),ROUND($AG1327,2),0))</f>
        <v/>
      </c>
      <c r="R1327" s="18">
        <f>IF($Z1327="","",IF(AND(DATE($AD1327,9,1)&gt;=$AE1327,DATE($AD1327,9,1)&lt;=$AF1327),ROUND($AG1327,2),0))</f>
        <v/>
      </c>
      <c r="S1327" s="18">
        <f>IF($Z1327="","",IF(AND(DATE($AD1327,10,1)&gt;=$AE1327,DATE($AD1327,10,1)&lt;=$AF1327),ROUND($AG1327,2),0))</f>
        <v/>
      </c>
      <c r="T1327" s="18">
        <f>IF($Z1327="","",IF(AND(DATE($AD1327,11,1)&gt;=$AE1327,DATE($AD1327,11,1)&lt;=$AF1327),ROUND($AG1327,2),0))</f>
        <v/>
      </c>
      <c r="U1327" s="18">
        <f>IF($Z1327="","",IF(AND(DATE($AD1327,12,1)&gt;=$AE1327,DATE($AD1327,12,1)&lt;=$AF1327),ROUND($AG1327,2),0))</f>
        <v/>
      </c>
      <c r="V1327" s="7">
        <f>IF($Z1327="C","Generated from "&amp;INDEX(Contracts!$A$2:$A$151,$AB1327),IF($Z1327="A","Generated from "&amp;INDEX(Fixed_Assets!$A$2:$A$201,$AB1327),IF($Z1327="F","Generated from "&amp;INDEX(FTE_Allocation!$A$2:$A$201,$AB1327),"")))</f>
        <v/>
      </c>
      <c r="X1327" s="19">
        <f>IF($Z1327="","",SUM(J1327:U1327))</f>
        <v/>
      </c>
      <c r="Y1327" s="20">
        <f>ROW()-1</f>
        <v/>
      </c>
      <c r="Z1327" s="20">
        <f>IF($Y1327&lt;=Settings!$B$4*3,"C",IF($Y1327&lt;=(Settings!$B$4+Settings!$B$5)*3,"A",IF($Y1327&lt;=(Settings!$B$4+Settings!$B$5+Settings!$B$6)*3,"F","")))</f>
        <v/>
      </c>
      <c r="AA1327" s="20">
        <f>IF($Z1327="C",$Y1327,IF($Z1327="A",$Y1327-Settings!$B$4*3,IF($Z1327="F",$Y1327-(Settings!$B$4+Settings!$B$5)*3,"")))</f>
        <v/>
      </c>
      <c r="AB1327" s="20">
        <f>IF($Z1327="","",INT(($AA1327-1)/3)+1)</f>
        <v/>
      </c>
      <c r="AC1327" s="20">
        <f>IF($Z1327="","",MOD($AA1327-1,3)+1)</f>
        <v/>
      </c>
      <c r="AD1327" s="20">
        <f>IF($Z1327="","",Settings!$B$2+$AC1327-1)</f>
        <v/>
      </c>
      <c r="AE1327" s="21">
        <f>IF($Z1327="C",DATE(YEAR(INDEX(Contracts!$J$2:$J$151,$AB1327)),MONTH(INDEX(Contracts!$J$2:$J$151,$AB1327)),1),IF($Z1327="A",DATE(YEAR(INDEX(Fixed_Assets!$G$2:$G$201,$AB1327)),MONTH(INDEX(Fixed_Assets!$G$2:$G$201,$AB1327)),1),IF($Z1327="F",DATE(YEAR(MAX(N(INDEX(Workforce!$I$2:$I$151,MATCH(INDEX(FTE_Allocation!$A$2:$A$201,$AB1327),Workforce!$A$2:$A$151,0))),N(INDEX(FTE_Allocation!$I$2:$I$201,$AB1327)))),MONTH(MAX(N(INDEX(Workforce!$I$2:$I$151,MATCH(INDEX(FTE_Allocation!$A$2:$A$201,$AB1327),Workforce!$A$2:$A$151,0))),N(INDEX(FTE_Allocation!$I$2:$I$201,$AB1327)))),1),"")))</f>
        <v/>
      </c>
      <c r="AF1327" s="21">
        <f>IF($Z1327="C",IF(INDEX(Contracts!$I$2:$I$151,$AB1327)="PREPAID",EDATE(DATE(YEAR(INDEX(Contracts!$J$2:$J$151,$AB1327)),MONTH(INDEX(Contracts!$J$2:$J$151,$AB1327)),1),IF(INDEX(Contracts!$N$2:$N$151,$AB1327)="",12,INDEX(Contracts!$N$2:$N$151,$AB1327))-1),IF(INDEX(Contracts!$I$2:$I$151,$AB1327)="MONTHLY",IF(INDEX(Contracts!$K$2:$K$151,$AB1327)="",2958101,INDEX(Contracts!$K$2:$K$151,$AB1327)),0)),IF($Z1327="A",EDATE(DATE(YEAR(INDEX(Fixed_Assets!$G$2:$G$201,$AB1327)),MONTH(INDEX(Fixed_Assets!$G$2:$G$201,$AB1327)),1),INDEX(Fixed_Assets!$J$2:$J$201,$AB1327)-1),IF($Z1327="F",MIN(IF(INDEX(Workforce!$J$2:$J$151,MATCH(INDEX(FTE_Allocation!$A$2:$A$201,$AB1327),Workforce!$A$2:$A$151,0))="",2958101,INDEX(Workforce!$J$2:$J$151,MATCH(INDEX(FTE_Allocation!$A$2:$A$201,$AB1327),Workforce!$A$2:$A$151,0))),IF(INDEX(FTE_Allocation!$J$2:$J$201,$AB1327)="",2958101,INDEX(FTE_Allocation!$J$2:$J$201,$AB1327))),"")))</f>
        <v/>
      </c>
      <c r="AG1327" s="19">
        <f>IF($Z1327="C",IF(INDEX(Contracts!$I$2:$I$151,$AB1327)="PREPAID",INDEX(Contracts!$M$2:$M$151,$AB1327)/IF(INDEX(Contracts!$N$2:$N$151,$AB1327)="",12,INDEX(Contracts!$N$2:$N$151,$AB1327)),IF(INDEX(Contracts!$I$2:$I$151,$AB1327)="MONTHLY",INDEX(Contracts!$M$2:$M$151,$AB1327),0))*(1-N(INDEX(Contracts!$O$2:$O$151,$AB1327))),IF($Z1327="A",INDEX(Fixed_Assets!$H$2:$H$201,$AB1327)/INDEX(Fixed_Assets!$J$2:$J$201,$AB1327),IF($Z1327="F",INDEX(Workforce!$F$2:$F$151,MATCH(INDEX(FTE_Allocation!$A$2:$A$201,$AB1327),Workforce!$A$2:$A$151,0))*N(INDEX(FTE_Allocation!$F$2:$H$201,$AB1327,$AC1327)),"")))</f>
        <v/>
      </c>
    </row>
    <row r="1328">
      <c r="A1328" s="7">
        <f>IF($Z1328="","",$AD1328)</f>
        <v/>
      </c>
      <c r="B1328" s="7">
        <f>IF($Z1328="C",INDEX(Contracts!$D$2:$D$151,$AB1328)&amp;"",IF($Z1328="A",INDEX(Fixed_Assets!$C$2:$C$201,$AB1328)&amp;"",IF($Z1328="F",INDEX(Workforce!$B$2:$B$151,MATCH(INDEX(FTE_Allocation!$A$2:$A$201,$AB1328),Workforce!$A$2:$A$151,0))&amp;"","")))</f>
        <v/>
      </c>
      <c r="C1328" s="7">
        <f>IF($Z1328="C",INDEX(Contracts!$E$2:$E$151,$AB1328)&amp;"",IF($Z1328="A",INDEX(Fixed_Assets!$D$2:$D$201,$AB1328)&amp;"",IF($Z1328="F",INDEX(FTE_Allocation!$C$2:$C$201,$AB1328)&amp;"","")))</f>
        <v/>
      </c>
      <c r="D1328" s="7">
        <f>IF($Z1328="C",INDEX(Contracts!$B$2:$B$151,$AB1328)&amp;"",IF($Z1328="A",INDEX(Fixed_Assets!$B$2:$B$201,$AB1328)&amp;"",IF($Z1328="F",INDEX(FTE_Allocation!$B$2:$B$201,$AB1328)&amp;"","")))</f>
        <v/>
      </c>
      <c r="E1328" s="7">
        <f>IF($Z1328="C",INDEX(Contracts!$P$2:$P$151,$AB1328)&amp;"",IF($Z1328="A",INDEX(Fixed_Assets!$K$2:$K$201,$AB1328)&amp;"",IF($Z1328="F",IF(INDEX(FTE_Allocation!$D$2:$D$201,$AB1328)="PROJECT",IFERROR(INDEX(Projects!$D:$D,MATCH(INDEX(FTE_Allocation!$E$2:$E$201,$AB1328),Projects!$A:$A,0))&amp;"","#PROJECT?"),INDEX(FTE_Allocation!$E$2:$E$201,$AB1328)&amp;""),"")))</f>
        <v/>
      </c>
      <c r="F1328" s="7">
        <f>IF($Z1328="C",INDEX(Contracts!$Q$2:$Q$151,$AB1328)&amp;"",IF($Z1328="A",INDEX(Fixed_Assets!$L$2:$L$201,$AB1328)&amp;"",IF($Z1328="F",INDEX(Workforce!$K$2:$K$151,MATCH(INDEX(FTE_Allocation!$A$2:$A$201,$AB1328),Workforce!$A$2:$A$151,0))&amp;"","")))</f>
        <v/>
      </c>
      <c r="G1328" s="7">
        <f>IF($Z1328="C",INDEX(Contracts!$F$2:$F$151,$AB1328)&amp;" / "&amp;INDEX(Contracts!$G$2:$G$151,$AB1328),IF($Z1328="A",INDEX(Fixed_Assets!$E$2:$E$201,$AB1328)&amp;"",IF($Z1328="F","Personnel "&amp;INDEX(FTE_Allocation!$A$2:$A$201,$AB1328)&amp;IF(INDEX(FTE_Allocation!$D$2:$D$201,$AB1328)="PROJECT"," ("&amp;INDEX(FTE_Allocation!$E$2:$E$201,$AB1328)&amp;")",""),"")))</f>
        <v/>
      </c>
      <c r="H1328" s="7">
        <f>IF($Z1328="C","CONTRACT",IF($Z1328="A","ASSET",IF($Z1328="F","WORKFORCE","")))</f>
        <v/>
      </c>
      <c r="I1328" s="7">
        <f>IF($Z1328="C",INDEX(Contracts!$L$2:$L$151,$AB1328)&amp;"",IF($Z1328="A",INDEX(Fixed_Assets!$I$2:$I$201,$AB1328)&amp;"",IF($Z1328="F",INDEX(Workforce!$G$2:$G$151,MATCH(INDEX(FTE_Allocation!$A$2:$A$201,$AB1328),Workforce!$A$2:$A$151,0))&amp;"","")))</f>
        <v/>
      </c>
      <c r="J1328" s="18">
        <f>IF($Z1328="","",IF(AND(DATE($AD1328,1,1)&gt;=$AE1328,DATE($AD1328,1,1)&lt;=$AF1328),ROUND($AG1328,2),0))</f>
        <v/>
      </c>
      <c r="K1328" s="18">
        <f>IF($Z1328="","",IF(AND(DATE($AD1328,2,1)&gt;=$AE1328,DATE($AD1328,2,1)&lt;=$AF1328),ROUND($AG1328,2),0))</f>
        <v/>
      </c>
      <c r="L1328" s="18">
        <f>IF($Z1328="","",IF(AND(DATE($AD1328,3,1)&gt;=$AE1328,DATE($AD1328,3,1)&lt;=$AF1328),ROUND($AG1328,2),0))</f>
        <v/>
      </c>
      <c r="M1328" s="18">
        <f>IF($Z1328="","",IF(AND(DATE($AD1328,4,1)&gt;=$AE1328,DATE($AD1328,4,1)&lt;=$AF1328),ROUND($AG1328,2),0))</f>
        <v/>
      </c>
      <c r="N1328" s="18">
        <f>IF($Z1328="","",IF(AND(DATE($AD1328,5,1)&gt;=$AE1328,DATE($AD1328,5,1)&lt;=$AF1328),ROUND($AG1328,2),0))</f>
        <v/>
      </c>
      <c r="O1328" s="18">
        <f>IF($Z1328="","",IF(AND(DATE($AD1328,6,1)&gt;=$AE1328,DATE($AD1328,6,1)&lt;=$AF1328),ROUND($AG1328,2),0))</f>
        <v/>
      </c>
      <c r="P1328" s="18">
        <f>IF($Z1328="","",IF(AND(DATE($AD1328,7,1)&gt;=$AE1328,DATE($AD1328,7,1)&lt;=$AF1328),ROUND($AG1328,2),0))</f>
        <v/>
      </c>
      <c r="Q1328" s="18">
        <f>IF($Z1328="","",IF(AND(DATE($AD1328,8,1)&gt;=$AE1328,DATE($AD1328,8,1)&lt;=$AF1328),ROUND($AG1328,2),0))</f>
        <v/>
      </c>
      <c r="R1328" s="18">
        <f>IF($Z1328="","",IF(AND(DATE($AD1328,9,1)&gt;=$AE1328,DATE($AD1328,9,1)&lt;=$AF1328),ROUND($AG1328,2),0))</f>
        <v/>
      </c>
      <c r="S1328" s="18">
        <f>IF($Z1328="","",IF(AND(DATE($AD1328,10,1)&gt;=$AE1328,DATE($AD1328,10,1)&lt;=$AF1328),ROUND($AG1328,2),0))</f>
        <v/>
      </c>
      <c r="T1328" s="18">
        <f>IF($Z1328="","",IF(AND(DATE($AD1328,11,1)&gt;=$AE1328,DATE($AD1328,11,1)&lt;=$AF1328),ROUND($AG1328,2),0))</f>
        <v/>
      </c>
      <c r="U1328" s="18">
        <f>IF($Z1328="","",IF(AND(DATE($AD1328,12,1)&gt;=$AE1328,DATE($AD1328,12,1)&lt;=$AF1328),ROUND($AG1328,2),0))</f>
        <v/>
      </c>
      <c r="V1328" s="7">
        <f>IF($Z1328="C","Generated from "&amp;INDEX(Contracts!$A$2:$A$151,$AB1328),IF($Z1328="A","Generated from "&amp;INDEX(Fixed_Assets!$A$2:$A$201,$AB1328),IF($Z1328="F","Generated from "&amp;INDEX(FTE_Allocation!$A$2:$A$201,$AB1328),"")))</f>
        <v/>
      </c>
      <c r="X1328" s="19">
        <f>IF($Z1328="","",SUM(J1328:U1328))</f>
        <v/>
      </c>
      <c r="Y1328" s="20">
        <f>ROW()-1</f>
        <v/>
      </c>
      <c r="Z1328" s="20">
        <f>IF($Y1328&lt;=Settings!$B$4*3,"C",IF($Y1328&lt;=(Settings!$B$4+Settings!$B$5)*3,"A",IF($Y1328&lt;=(Settings!$B$4+Settings!$B$5+Settings!$B$6)*3,"F","")))</f>
        <v/>
      </c>
      <c r="AA1328" s="20">
        <f>IF($Z1328="C",$Y1328,IF($Z1328="A",$Y1328-Settings!$B$4*3,IF($Z1328="F",$Y1328-(Settings!$B$4+Settings!$B$5)*3,"")))</f>
        <v/>
      </c>
      <c r="AB1328" s="20">
        <f>IF($Z1328="","",INT(($AA1328-1)/3)+1)</f>
        <v/>
      </c>
      <c r="AC1328" s="20">
        <f>IF($Z1328="","",MOD($AA1328-1,3)+1)</f>
        <v/>
      </c>
      <c r="AD1328" s="20">
        <f>IF($Z1328="","",Settings!$B$2+$AC1328-1)</f>
        <v/>
      </c>
      <c r="AE1328" s="21">
        <f>IF($Z1328="C",DATE(YEAR(INDEX(Contracts!$J$2:$J$151,$AB1328)),MONTH(INDEX(Contracts!$J$2:$J$151,$AB1328)),1),IF($Z1328="A",DATE(YEAR(INDEX(Fixed_Assets!$G$2:$G$201,$AB1328)),MONTH(INDEX(Fixed_Assets!$G$2:$G$201,$AB1328)),1),IF($Z1328="F",DATE(YEAR(MAX(N(INDEX(Workforce!$I$2:$I$151,MATCH(INDEX(FTE_Allocation!$A$2:$A$201,$AB1328),Workforce!$A$2:$A$151,0))),N(INDEX(FTE_Allocation!$I$2:$I$201,$AB1328)))),MONTH(MAX(N(INDEX(Workforce!$I$2:$I$151,MATCH(INDEX(FTE_Allocation!$A$2:$A$201,$AB1328),Workforce!$A$2:$A$151,0))),N(INDEX(FTE_Allocation!$I$2:$I$201,$AB1328)))),1),"")))</f>
        <v/>
      </c>
      <c r="AF1328" s="21">
        <f>IF($Z1328="C",IF(INDEX(Contracts!$I$2:$I$151,$AB1328)="PREPAID",EDATE(DATE(YEAR(INDEX(Contracts!$J$2:$J$151,$AB1328)),MONTH(INDEX(Contracts!$J$2:$J$151,$AB1328)),1),IF(INDEX(Contracts!$N$2:$N$151,$AB1328)="",12,INDEX(Contracts!$N$2:$N$151,$AB1328))-1),IF(INDEX(Contracts!$I$2:$I$151,$AB1328)="MONTHLY",IF(INDEX(Contracts!$K$2:$K$151,$AB1328)="",2958101,INDEX(Contracts!$K$2:$K$151,$AB1328)),0)),IF($Z1328="A",EDATE(DATE(YEAR(INDEX(Fixed_Assets!$G$2:$G$201,$AB1328)),MONTH(INDEX(Fixed_Assets!$G$2:$G$201,$AB1328)),1),INDEX(Fixed_Assets!$J$2:$J$201,$AB1328)-1),IF($Z1328="F",MIN(IF(INDEX(Workforce!$J$2:$J$151,MATCH(INDEX(FTE_Allocation!$A$2:$A$201,$AB1328),Workforce!$A$2:$A$151,0))="",2958101,INDEX(Workforce!$J$2:$J$151,MATCH(INDEX(FTE_Allocation!$A$2:$A$201,$AB1328),Workforce!$A$2:$A$151,0))),IF(INDEX(FTE_Allocation!$J$2:$J$201,$AB1328)="",2958101,INDEX(FTE_Allocation!$J$2:$J$201,$AB1328))),"")))</f>
        <v/>
      </c>
      <c r="AG1328" s="19">
        <f>IF($Z1328="C",IF(INDEX(Contracts!$I$2:$I$151,$AB1328)="PREPAID",INDEX(Contracts!$M$2:$M$151,$AB1328)/IF(INDEX(Contracts!$N$2:$N$151,$AB1328)="",12,INDEX(Contracts!$N$2:$N$151,$AB1328)),IF(INDEX(Contracts!$I$2:$I$151,$AB1328)="MONTHLY",INDEX(Contracts!$M$2:$M$151,$AB1328),0))*(1-N(INDEX(Contracts!$O$2:$O$151,$AB1328))),IF($Z1328="A",INDEX(Fixed_Assets!$H$2:$H$201,$AB1328)/INDEX(Fixed_Assets!$J$2:$J$201,$AB1328),IF($Z1328="F",INDEX(Workforce!$F$2:$F$151,MATCH(INDEX(FTE_Allocation!$A$2:$A$201,$AB1328),Workforce!$A$2:$A$151,0))*N(INDEX(FTE_Allocation!$F$2:$H$201,$AB1328,$AC1328)),"")))</f>
        <v/>
      </c>
    </row>
    <row r="1329">
      <c r="A1329" s="7">
        <f>IF($Z1329="","",$AD1329)</f>
        <v/>
      </c>
      <c r="B1329" s="7">
        <f>IF($Z1329="C",INDEX(Contracts!$D$2:$D$151,$AB1329)&amp;"",IF($Z1329="A",INDEX(Fixed_Assets!$C$2:$C$201,$AB1329)&amp;"",IF($Z1329="F",INDEX(Workforce!$B$2:$B$151,MATCH(INDEX(FTE_Allocation!$A$2:$A$201,$AB1329),Workforce!$A$2:$A$151,0))&amp;"","")))</f>
        <v/>
      </c>
      <c r="C1329" s="7">
        <f>IF($Z1329="C",INDEX(Contracts!$E$2:$E$151,$AB1329)&amp;"",IF($Z1329="A",INDEX(Fixed_Assets!$D$2:$D$201,$AB1329)&amp;"",IF($Z1329="F",INDEX(FTE_Allocation!$C$2:$C$201,$AB1329)&amp;"","")))</f>
        <v/>
      </c>
      <c r="D1329" s="7">
        <f>IF($Z1329="C",INDEX(Contracts!$B$2:$B$151,$AB1329)&amp;"",IF($Z1329="A",INDEX(Fixed_Assets!$B$2:$B$201,$AB1329)&amp;"",IF($Z1329="F",INDEX(FTE_Allocation!$B$2:$B$201,$AB1329)&amp;"","")))</f>
        <v/>
      </c>
      <c r="E1329" s="7">
        <f>IF($Z1329="C",INDEX(Contracts!$P$2:$P$151,$AB1329)&amp;"",IF($Z1329="A",INDEX(Fixed_Assets!$K$2:$K$201,$AB1329)&amp;"",IF($Z1329="F",IF(INDEX(FTE_Allocation!$D$2:$D$201,$AB1329)="PROJECT",IFERROR(INDEX(Projects!$D:$D,MATCH(INDEX(FTE_Allocation!$E$2:$E$201,$AB1329),Projects!$A:$A,0))&amp;"","#PROJECT?"),INDEX(FTE_Allocation!$E$2:$E$201,$AB1329)&amp;""),"")))</f>
        <v/>
      </c>
      <c r="F1329" s="7">
        <f>IF($Z1329="C",INDEX(Contracts!$Q$2:$Q$151,$AB1329)&amp;"",IF($Z1329="A",INDEX(Fixed_Assets!$L$2:$L$201,$AB1329)&amp;"",IF($Z1329="F",INDEX(Workforce!$K$2:$K$151,MATCH(INDEX(FTE_Allocation!$A$2:$A$201,$AB1329),Workforce!$A$2:$A$151,0))&amp;"","")))</f>
        <v/>
      </c>
      <c r="G1329" s="7">
        <f>IF($Z1329="C",INDEX(Contracts!$F$2:$F$151,$AB1329)&amp;" / "&amp;INDEX(Contracts!$G$2:$G$151,$AB1329),IF($Z1329="A",INDEX(Fixed_Assets!$E$2:$E$201,$AB1329)&amp;"",IF($Z1329="F","Personnel "&amp;INDEX(FTE_Allocation!$A$2:$A$201,$AB1329)&amp;IF(INDEX(FTE_Allocation!$D$2:$D$201,$AB1329)="PROJECT"," ("&amp;INDEX(FTE_Allocation!$E$2:$E$201,$AB1329)&amp;")",""),"")))</f>
        <v/>
      </c>
      <c r="H1329" s="7">
        <f>IF($Z1329="C","CONTRACT",IF($Z1329="A","ASSET",IF($Z1329="F","WORKFORCE","")))</f>
        <v/>
      </c>
      <c r="I1329" s="7">
        <f>IF($Z1329="C",INDEX(Contracts!$L$2:$L$151,$AB1329)&amp;"",IF($Z1329="A",INDEX(Fixed_Assets!$I$2:$I$201,$AB1329)&amp;"",IF($Z1329="F",INDEX(Workforce!$G$2:$G$151,MATCH(INDEX(FTE_Allocation!$A$2:$A$201,$AB1329),Workforce!$A$2:$A$151,0))&amp;"","")))</f>
        <v/>
      </c>
      <c r="J1329" s="18">
        <f>IF($Z1329="","",IF(AND(DATE($AD1329,1,1)&gt;=$AE1329,DATE($AD1329,1,1)&lt;=$AF1329),ROUND($AG1329,2),0))</f>
        <v/>
      </c>
      <c r="K1329" s="18">
        <f>IF($Z1329="","",IF(AND(DATE($AD1329,2,1)&gt;=$AE1329,DATE($AD1329,2,1)&lt;=$AF1329),ROUND($AG1329,2),0))</f>
        <v/>
      </c>
      <c r="L1329" s="18">
        <f>IF($Z1329="","",IF(AND(DATE($AD1329,3,1)&gt;=$AE1329,DATE($AD1329,3,1)&lt;=$AF1329),ROUND($AG1329,2),0))</f>
        <v/>
      </c>
      <c r="M1329" s="18">
        <f>IF($Z1329="","",IF(AND(DATE($AD1329,4,1)&gt;=$AE1329,DATE($AD1329,4,1)&lt;=$AF1329),ROUND($AG1329,2),0))</f>
        <v/>
      </c>
      <c r="N1329" s="18">
        <f>IF($Z1329="","",IF(AND(DATE($AD1329,5,1)&gt;=$AE1329,DATE($AD1329,5,1)&lt;=$AF1329),ROUND($AG1329,2),0))</f>
        <v/>
      </c>
      <c r="O1329" s="18">
        <f>IF($Z1329="","",IF(AND(DATE($AD1329,6,1)&gt;=$AE1329,DATE($AD1329,6,1)&lt;=$AF1329),ROUND($AG1329,2),0))</f>
        <v/>
      </c>
      <c r="P1329" s="18">
        <f>IF($Z1329="","",IF(AND(DATE($AD1329,7,1)&gt;=$AE1329,DATE($AD1329,7,1)&lt;=$AF1329),ROUND($AG1329,2),0))</f>
        <v/>
      </c>
      <c r="Q1329" s="18">
        <f>IF($Z1329="","",IF(AND(DATE($AD1329,8,1)&gt;=$AE1329,DATE($AD1329,8,1)&lt;=$AF1329),ROUND($AG1329,2),0))</f>
        <v/>
      </c>
      <c r="R1329" s="18">
        <f>IF($Z1329="","",IF(AND(DATE($AD1329,9,1)&gt;=$AE1329,DATE($AD1329,9,1)&lt;=$AF1329),ROUND($AG1329,2),0))</f>
        <v/>
      </c>
      <c r="S1329" s="18">
        <f>IF($Z1329="","",IF(AND(DATE($AD1329,10,1)&gt;=$AE1329,DATE($AD1329,10,1)&lt;=$AF1329),ROUND($AG1329,2),0))</f>
        <v/>
      </c>
      <c r="T1329" s="18">
        <f>IF($Z1329="","",IF(AND(DATE($AD1329,11,1)&gt;=$AE1329,DATE($AD1329,11,1)&lt;=$AF1329),ROUND($AG1329,2),0))</f>
        <v/>
      </c>
      <c r="U1329" s="18">
        <f>IF($Z1329="","",IF(AND(DATE($AD1329,12,1)&gt;=$AE1329,DATE($AD1329,12,1)&lt;=$AF1329),ROUND($AG1329,2),0))</f>
        <v/>
      </c>
      <c r="V1329" s="7">
        <f>IF($Z1329="C","Generated from "&amp;INDEX(Contracts!$A$2:$A$151,$AB1329),IF($Z1329="A","Generated from "&amp;INDEX(Fixed_Assets!$A$2:$A$201,$AB1329),IF($Z1329="F","Generated from "&amp;INDEX(FTE_Allocation!$A$2:$A$201,$AB1329),"")))</f>
        <v/>
      </c>
      <c r="X1329" s="19">
        <f>IF($Z1329="","",SUM(J1329:U1329))</f>
        <v/>
      </c>
      <c r="Y1329" s="20">
        <f>ROW()-1</f>
        <v/>
      </c>
      <c r="Z1329" s="20">
        <f>IF($Y1329&lt;=Settings!$B$4*3,"C",IF($Y1329&lt;=(Settings!$B$4+Settings!$B$5)*3,"A",IF($Y1329&lt;=(Settings!$B$4+Settings!$B$5+Settings!$B$6)*3,"F","")))</f>
        <v/>
      </c>
      <c r="AA1329" s="20">
        <f>IF($Z1329="C",$Y1329,IF($Z1329="A",$Y1329-Settings!$B$4*3,IF($Z1329="F",$Y1329-(Settings!$B$4+Settings!$B$5)*3,"")))</f>
        <v/>
      </c>
      <c r="AB1329" s="20">
        <f>IF($Z1329="","",INT(($AA1329-1)/3)+1)</f>
        <v/>
      </c>
      <c r="AC1329" s="20">
        <f>IF($Z1329="","",MOD($AA1329-1,3)+1)</f>
        <v/>
      </c>
      <c r="AD1329" s="20">
        <f>IF($Z1329="","",Settings!$B$2+$AC1329-1)</f>
        <v/>
      </c>
      <c r="AE1329" s="21">
        <f>IF($Z1329="C",DATE(YEAR(INDEX(Contracts!$J$2:$J$151,$AB1329)),MONTH(INDEX(Contracts!$J$2:$J$151,$AB1329)),1),IF($Z1329="A",DATE(YEAR(INDEX(Fixed_Assets!$G$2:$G$201,$AB1329)),MONTH(INDEX(Fixed_Assets!$G$2:$G$201,$AB1329)),1),IF($Z1329="F",DATE(YEAR(MAX(N(INDEX(Workforce!$I$2:$I$151,MATCH(INDEX(FTE_Allocation!$A$2:$A$201,$AB1329),Workforce!$A$2:$A$151,0))),N(INDEX(FTE_Allocation!$I$2:$I$201,$AB1329)))),MONTH(MAX(N(INDEX(Workforce!$I$2:$I$151,MATCH(INDEX(FTE_Allocation!$A$2:$A$201,$AB1329),Workforce!$A$2:$A$151,0))),N(INDEX(FTE_Allocation!$I$2:$I$201,$AB1329)))),1),"")))</f>
        <v/>
      </c>
      <c r="AF1329" s="21">
        <f>IF($Z1329="C",IF(INDEX(Contracts!$I$2:$I$151,$AB1329)="PREPAID",EDATE(DATE(YEAR(INDEX(Contracts!$J$2:$J$151,$AB1329)),MONTH(INDEX(Contracts!$J$2:$J$151,$AB1329)),1),IF(INDEX(Contracts!$N$2:$N$151,$AB1329)="",12,INDEX(Contracts!$N$2:$N$151,$AB1329))-1),IF(INDEX(Contracts!$I$2:$I$151,$AB1329)="MONTHLY",IF(INDEX(Contracts!$K$2:$K$151,$AB1329)="",2958101,INDEX(Contracts!$K$2:$K$151,$AB1329)),0)),IF($Z1329="A",EDATE(DATE(YEAR(INDEX(Fixed_Assets!$G$2:$G$201,$AB1329)),MONTH(INDEX(Fixed_Assets!$G$2:$G$201,$AB1329)),1),INDEX(Fixed_Assets!$J$2:$J$201,$AB1329)-1),IF($Z1329="F",MIN(IF(INDEX(Workforce!$J$2:$J$151,MATCH(INDEX(FTE_Allocation!$A$2:$A$201,$AB1329),Workforce!$A$2:$A$151,0))="",2958101,INDEX(Workforce!$J$2:$J$151,MATCH(INDEX(FTE_Allocation!$A$2:$A$201,$AB1329),Workforce!$A$2:$A$151,0))),IF(INDEX(FTE_Allocation!$J$2:$J$201,$AB1329)="",2958101,INDEX(FTE_Allocation!$J$2:$J$201,$AB1329))),"")))</f>
        <v/>
      </c>
      <c r="AG1329" s="19">
        <f>IF($Z1329="C",IF(INDEX(Contracts!$I$2:$I$151,$AB1329)="PREPAID",INDEX(Contracts!$M$2:$M$151,$AB1329)/IF(INDEX(Contracts!$N$2:$N$151,$AB1329)="",12,INDEX(Contracts!$N$2:$N$151,$AB1329)),IF(INDEX(Contracts!$I$2:$I$151,$AB1329)="MONTHLY",INDEX(Contracts!$M$2:$M$151,$AB1329),0))*(1-N(INDEX(Contracts!$O$2:$O$151,$AB1329))),IF($Z1329="A",INDEX(Fixed_Assets!$H$2:$H$201,$AB1329)/INDEX(Fixed_Assets!$J$2:$J$201,$AB1329),IF($Z1329="F",INDEX(Workforce!$F$2:$F$151,MATCH(INDEX(FTE_Allocation!$A$2:$A$201,$AB1329),Workforce!$A$2:$A$151,0))*N(INDEX(FTE_Allocation!$F$2:$H$201,$AB1329,$AC1329)),"")))</f>
        <v/>
      </c>
    </row>
    <row r="1330">
      <c r="A1330" s="7">
        <f>IF($Z1330="","",$AD1330)</f>
        <v/>
      </c>
      <c r="B1330" s="7">
        <f>IF($Z1330="C",INDEX(Contracts!$D$2:$D$151,$AB1330)&amp;"",IF($Z1330="A",INDEX(Fixed_Assets!$C$2:$C$201,$AB1330)&amp;"",IF($Z1330="F",INDEX(Workforce!$B$2:$B$151,MATCH(INDEX(FTE_Allocation!$A$2:$A$201,$AB1330),Workforce!$A$2:$A$151,0))&amp;"","")))</f>
        <v/>
      </c>
      <c r="C1330" s="7">
        <f>IF($Z1330="C",INDEX(Contracts!$E$2:$E$151,$AB1330)&amp;"",IF($Z1330="A",INDEX(Fixed_Assets!$D$2:$D$201,$AB1330)&amp;"",IF($Z1330="F",INDEX(FTE_Allocation!$C$2:$C$201,$AB1330)&amp;"","")))</f>
        <v/>
      </c>
      <c r="D1330" s="7">
        <f>IF($Z1330="C",INDEX(Contracts!$B$2:$B$151,$AB1330)&amp;"",IF($Z1330="A",INDEX(Fixed_Assets!$B$2:$B$201,$AB1330)&amp;"",IF($Z1330="F",INDEX(FTE_Allocation!$B$2:$B$201,$AB1330)&amp;"","")))</f>
        <v/>
      </c>
      <c r="E1330" s="7">
        <f>IF($Z1330="C",INDEX(Contracts!$P$2:$P$151,$AB1330)&amp;"",IF($Z1330="A",INDEX(Fixed_Assets!$K$2:$K$201,$AB1330)&amp;"",IF($Z1330="F",IF(INDEX(FTE_Allocation!$D$2:$D$201,$AB1330)="PROJECT",IFERROR(INDEX(Projects!$D:$D,MATCH(INDEX(FTE_Allocation!$E$2:$E$201,$AB1330),Projects!$A:$A,0))&amp;"","#PROJECT?"),INDEX(FTE_Allocation!$E$2:$E$201,$AB1330)&amp;""),"")))</f>
        <v/>
      </c>
      <c r="F1330" s="7">
        <f>IF($Z1330="C",INDEX(Contracts!$Q$2:$Q$151,$AB1330)&amp;"",IF($Z1330="A",INDEX(Fixed_Assets!$L$2:$L$201,$AB1330)&amp;"",IF($Z1330="F",INDEX(Workforce!$K$2:$K$151,MATCH(INDEX(FTE_Allocation!$A$2:$A$201,$AB1330),Workforce!$A$2:$A$151,0))&amp;"","")))</f>
        <v/>
      </c>
      <c r="G1330" s="7">
        <f>IF($Z1330="C",INDEX(Contracts!$F$2:$F$151,$AB1330)&amp;" / "&amp;INDEX(Contracts!$G$2:$G$151,$AB1330),IF($Z1330="A",INDEX(Fixed_Assets!$E$2:$E$201,$AB1330)&amp;"",IF($Z1330="F","Personnel "&amp;INDEX(FTE_Allocation!$A$2:$A$201,$AB1330)&amp;IF(INDEX(FTE_Allocation!$D$2:$D$201,$AB1330)="PROJECT"," ("&amp;INDEX(FTE_Allocation!$E$2:$E$201,$AB1330)&amp;")",""),"")))</f>
        <v/>
      </c>
      <c r="H1330" s="7">
        <f>IF($Z1330="C","CONTRACT",IF($Z1330="A","ASSET",IF($Z1330="F","WORKFORCE","")))</f>
        <v/>
      </c>
      <c r="I1330" s="7">
        <f>IF($Z1330="C",INDEX(Contracts!$L$2:$L$151,$AB1330)&amp;"",IF($Z1330="A",INDEX(Fixed_Assets!$I$2:$I$201,$AB1330)&amp;"",IF($Z1330="F",INDEX(Workforce!$G$2:$G$151,MATCH(INDEX(FTE_Allocation!$A$2:$A$201,$AB1330),Workforce!$A$2:$A$151,0))&amp;"","")))</f>
        <v/>
      </c>
      <c r="J1330" s="18">
        <f>IF($Z1330="","",IF(AND(DATE($AD1330,1,1)&gt;=$AE1330,DATE($AD1330,1,1)&lt;=$AF1330),ROUND($AG1330,2),0))</f>
        <v/>
      </c>
      <c r="K1330" s="18">
        <f>IF($Z1330="","",IF(AND(DATE($AD1330,2,1)&gt;=$AE1330,DATE($AD1330,2,1)&lt;=$AF1330),ROUND($AG1330,2),0))</f>
        <v/>
      </c>
      <c r="L1330" s="18">
        <f>IF($Z1330="","",IF(AND(DATE($AD1330,3,1)&gt;=$AE1330,DATE($AD1330,3,1)&lt;=$AF1330),ROUND($AG1330,2),0))</f>
        <v/>
      </c>
      <c r="M1330" s="18">
        <f>IF($Z1330="","",IF(AND(DATE($AD1330,4,1)&gt;=$AE1330,DATE($AD1330,4,1)&lt;=$AF1330),ROUND($AG1330,2),0))</f>
        <v/>
      </c>
      <c r="N1330" s="18">
        <f>IF($Z1330="","",IF(AND(DATE($AD1330,5,1)&gt;=$AE1330,DATE($AD1330,5,1)&lt;=$AF1330),ROUND($AG1330,2),0))</f>
        <v/>
      </c>
      <c r="O1330" s="18">
        <f>IF($Z1330="","",IF(AND(DATE($AD1330,6,1)&gt;=$AE1330,DATE($AD1330,6,1)&lt;=$AF1330),ROUND($AG1330,2),0))</f>
        <v/>
      </c>
      <c r="P1330" s="18">
        <f>IF($Z1330="","",IF(AND(DATE($AD1330,7,1)&gt;=$AE1330,DATE($AD1330,7,1)&lt;=$AF1330),ROUND($AG1330,2),0))</f>
        <v/>
      </c>
      <c r="Q1330" s="18">
        <f>IF($Z1330="","",IF(AND(DATE($AD1330,8,1)&gt;=$AE1330,DATE($AD1330,8,1)&lt;=$AF1330),ROUND($AG1330,2),0))</f>
        <v/>
      </c>
      <c r="R1330" s="18">
        <f>IF($Z1330="","",IF(AND(DATE($AD1330,9,1)&gt;=$AE1330,DATE($AD1330,9,1)&lt;=$AF1330),ROUND($AG1330,2),0))</f>
        <v/>
      </c>
      <c r="S1330" s="18">
        <f>IF($Z1330="","",IF(AND(DATE($AD1330,10,1)&gt;=$AE1330,DATE($AD1330,10,1)&lt;=$AF1330),ROUND($AG1330,2),0))</f>
        <v/>
      </c>
      <c r="T1330" s="18">
        <f>IF($Z1330="","",IF(AND(DATE($AD1330,11,1)&gt;=$AE1330,DATE($AD1330,11,1)&lt;=$AF1330),ROUND($AG1330,2),0))</f>
        <v/>
      </c>
      <c r="U1330" s="18">
        <f>IF($Z1330="","",IF(AND(DATE($AD1330,12,1)&gt;=$AE1330,DATE($AD1330,12,1)&lt;=$AF1330),ROUND($AG1330,2),0))</f>
        <v/>
      </c>
      <c r="V1330" s="7">
        <f>IF($Z1330="C","Generated from "&amp;INDEX(Contracts!$A$2:$A$151,$AB1330),IF($Z1330="A","Generated from "&amp;INDEX(Fixed_Assets!$A$2:$A$201,$AB1330),IF($Z1330="F","Generated from "&amp;INDEX(FTE_Allocation!$A$2:$A$201,$AB1330),"")))</f>
        <v/>
      </c>
      <c r="X1330" s="19">
        <f>IF($Z1330="","",SUM(J1330:U1330))</f>
        <v/>
      </c>
      <c r="Y1330" s="20">
        <f>ROW()-1</f>
        <v/>
      </c>
      <c r="Z1330" s="20">
        <f>IF($Y1330&lt;=Settings!$B$4*3,"C",IF($Y1330&lt;=(Settings!$B$4+Settings!$B$5)*3,"A",IF($Y1330&lt;=(Settings!$B$4+Settings!$B$5+Settings!$B$6)*3,"F","")))</f>
        <v/>
      </c>
      <c r="AA1330" s="20">
        <f>IF($Z1330="C",$Y1330,IF($Z1330="A",$Y1330-Settings!$B$4*3,IF($Z1330="F",$Y1330-(Settings!$B$4+Settings!$B$5)*3,"")))</f>
        <v/>
      </c>
      <c r="AB1330" s="20">
        <f>IF($Z1330="","",INT(($AA1330-1)/3)+1)</f>
        <v/>
      </c>
      <c r="AC1330" s="20">
        <f>IF($Z1330="","",MOD($AA1330-1,3)+1)</f>
        <v/>
      </c>
      <c r="AD1330" s="20">
        <f>IF($Z1330="","",Settings!$B$2+$AC1330-1)</f>
        <v/>
      </c>
      <c r="AE1330" s="21">
        <f>IF($Z1330="C",DATE(YEAR(INDEX(Contracts!$J$2:$J$151,$AB1330)),MONTH(INDEX(Contracts!$J$2:$J$151,$AB1330)),1),IF($Z1330="A",DATE(YEAR(INDEX(Fixed_Assets!$G$2:$G$201,$AB1330)),MONTH(INDEX(Fixed_Assets!$G$2:$G$201,$AB1330)),1),IF($Z1330="F",DATE(YEAR(MAX(N(INDEX(Workforce!$I$2:$I$151,MATCH(INDEX(FTE_Allocation!$A$2:$A$201,$AB1330),Workforce!$A$2:$A$151,0))),N(INDEX(FTE_Allocation!$I$2:$I$201,$AB1330)))),MONTH(MAX(N(INDEX(Workforce!$I$2:$I$151,MATCH(INDEX(FTE_Allocation!$A$2:$A$201,$AB1330),Workforce!$A$2:$A$151,0))),N(INDEX(FTE_Allocation!$I$2:$I$201,$AB1330)))),1),"")))</f>
        <v/>
      </c>
      <c r="AF1330" s="21">
        <f>IF($Z1330="C",IF(INDEX(Contracts!$I$2:$I$151,$AB1330)="PREPAID",EDATE(DATE(YEAR(INDEX(Contracts!$J$2:$J$151,$AB1330)),MONTH(INDEX(Contracts!$J$2:$J$151,$AB1330)),1),IF(INDEX(Contracts!$N$2:$N$151,$AB1330)="",12,INDEX(Contracts!$N$2:$N$151,$AB1330))-1),IF(INDEX(Contracts!$I$2:$I$151,$AB1330)="MONTHLY",IF(INDEX(Contracts!$K$2:$K$151,$AB1330)="",2958101,INDEX(Contracts!$K$2:$K$151,$AB1330)),0)),IF($Z1330="A",EDATE(DATE(YEAR(INDEX(Fixed_Assets!$G$2:$G$201,$AB1330)),MONTH(INDEX(Fixed_Assets!$G$2:$G$201,$AB1330)),1),INDEX(Fixed_Assets!$J$2:$J$201,$AB1330)-1),IF($Z1330="F",MIN(IF(INDEX(Workforce!$J$2:$J$151,MATCH(INDEX(FTE_Allocation!$A$2:$A$201,$AB1330),Workforce!$A$2:$A$151,0))="",2958101,INDEX(Workforce!$J$2:$J$151,MATCH(INDEX(FTE_Allocation!$A$2:$A$201,$AB1330),Workforce!$A$2:$A$151,0))),IF(INDEX(FTE_Allocation!$J$2:$J$201,$AB1330)="",2958101,INDEX(FTE_Allocation!$J$2:$J$201,$AB1330))),"")))</f>
        <v/>
      </c>
      <c r="AG1330" s="19">
        <f>IF($Z1330="C",IF(INDEX(Contracts!$I$2:$I$151,$AB1330)="PREPAID",INDEX(Contracts!$M$2:$M$151,$AB1330)/IF(INDEX(Contracts!$N$2:$N$151,$AB1330)="",12,INDEX(Contracts!$N$2:$N$151,$AB1330)),IF(INDEX(Contracts!$I$2:$I$151,$AB1330)="MONTHLY",INDEX(Contracts!$M$2:$M$151,$AB1330),0))*(1-N(INDEX(Contracts!$O$2:$O$151,$AB1330))),IF($Z1330="A",INDEX(Fixed_Assets!$H$2:$H$201,$AB1330)/INDEX(Fixed_Assets!$J$2:$J$201,$AB1330),IF($Z1330="F",INDEX(Workforce!$F$2:$F$151,MATCH(INDEX(FTE_Allocation!$A$2:$A$201,$AB1330),Workforce!$A$2:$A$151,0))*N(INDEX(FTE_Allocation!$F$2:$H$201,$AB1330,$AC1330)),"")))</f>
        <v/>
      </c>
    </row>
    <row r="1331">
      <c r="A1331" s="7">
        <f>IF($Z1331="","",$AD1331)</f>
        <v/>
      </c>
      <c r="B1331" s="7">
        <f>IF($Z1331="C",INDEX(Contracts!$D$2:$D$151,$AB1331)&amp;"",IF($Z1331="A",INDEX(Fixed_Assets!$C$2:$C$201,$AB1331)&amp;"",IF($Z1331="F",INDEX(Workforce!$B$2:$B$151,MATCH(INDEX(FTE_Allocation!$A$2:$A$201,$AB1331),Workforce!$A$2:$A$151,0))&amp;"","")))</f>
        <v/>
      </c>
      <c r="C1331" s="7">
        <f>IF($Z1331="C",INDEX(Contracts!$E$2:$E$151,$AB1331)&amp;"",IF($Z1331="A",INDEX(Fixed_Assets!$D$2:$D$201,$AB1331)&amp;"",IF($Z1331="F",INDEX(FTE_Allocation!$C$2:$C$201,$AB1331)&amp;"","")))</f>
        <v/>
      </c>
      <c r="D1331" s="7">
        <f>IF($Z1331="C",INDEX(Contracts!$B$2:$B$151,$AB1331)&amp;"",IF($Z1331="A",INDEX(Fixed_Assets!$B$2:$B$201,$AB1331)&amp;"",IF($Z1331="F",INDEX(FTE_Allocation!$B$2:$B$201,$AB1331)&amp;"","")))</f>
        <v/>
      </c>
      <c r="E1331" s="7">
        <f>IF($Z1331="C",INDEX(Contracts!$P$2:$P$151,$AB1331)&amp;"",IF($Z1331="A",INDEX(Fixed_Assets!$K$2:$K$201,$AB1331)&amp;"",IF($Z1331="F",IF(INDEX(FTE_Allocation!$D$2:$D$201,$AB1331)="PROJECT",IFERROR(INDEX(Projects!$D:$D,MATCH(INDEX(FTE_Allocation!$E$2:$E$201,$AB1331),Projects!$A:$A,0))&amp;"","#PROJECT?"),INDEX(FTE_Allocation!$E$2:$E$201,$AB1331)&amp;""),"")))</f>
        <v/>
      </c>
      <c r="F1331" s="7">
        <f>IF($Z1331="C",INDEX(Contracts!$Q$2:$Q$151,$AB1331)&amp;"",IF($Z1331="A",INDEX(Fixed_Assets!$L$2:$L$201,$AB1331)&amp;"",IF($Z1331="F",INDEX(Workforce!$K$2:$K$151,MATCH(INDEX(FTE_Allocation!$A$2:$A$201,$AB1331),Workforce!$A$2:$A$151,0))&amp;"","")))</f>
        <v/>
      </c>
      <c r="G1331" s="7">
        <f>IF($Z1331="C",INDEX(Contracts!$F$2:$F$151,$AB1331)&amp;" / "&amp;INDEX(Contracts!$G$2:$G$151,$AB1331),IF($Z1331="A",INDEX(Fixed_Assets!$E$2:$E$201,$AB1331)&amp;"",IF($Z1331="F","Personnel "&amp;INDEX(FTE_Allocation!$A$2:$A$201,$AB1331)&amp;IF(INDEX(FTE_Allocation!$D$2:$D$201,$AB1331)="PROJECT"," ("&amp;INDEX(FTE_Allocation!$E$2:$E$201,$AB1331)&amp;")",""),"")))</f>
        <v/>
      </c>
      <c r="H1331" s="7">
        <f>IF($Z1331="C","CONTRACT",IF($Z1331="A","ASSET",IF($Z1331="F","WORKFORCE","")))</f>
        <v/>
      </c>
      <c r="I1331" s="7">
        <f>IF($Z1331="C",INDEX(Contracts!$L$2:$L$151,$AB1331)&amp;"",IF($Z1331="A",INDEX(Fixed_Assets!$I$2:$I$201,$AB1331)&amp;"",IF($Z1331="F",INDEX(Workforce!$G$2:$G$151,MATCH(INDEX(FTE_Allocation!$A$2:$A$201,$AB1331),Workforce!$A$2:$A$151,0))&amp;"","")))</f>
        <v/>
      </c>
      <c r="J1331" s="18">
        <f>IF($Z1331="","",IF(AND(DATE($AD1331,1,1)&gt;=$AE1331,DATE($AD1331,1,1)&lt;=$AF1331),ROUND($AG1331,2),0))</f>
        <v/>
      </c>
      <c r="K1331" s="18">
        <f>IF($Z1331="","",IF(AND(DATE($AD1331,2,1)&gt;=$AE1331,DATE($AD1331,2,1)&lt;=$AF1331),ROUND($AG1331,2),0))</f>
        <v/>
      </c>
      <c r="L1331" s="18">
        <f>IF($Z1331="","",IF(AND(DATE($AD1331,3,1)&gt;=$AE1331,DATE($AD1331,3,1)&lt;=$AF1331),ROUND($AG1331,2),0))</f>
        <v/>
      </c>
      <c r="M1331" s="18">
        <f>IF($Z1331="","",IF(AND(DATE($AD1331,4,1)&gt;=$AE1331,DATE($AD1331,4,1)&lt;=$AF1331),ROUND($AG1331,2),0))</f>
        <v/>
      </c>
      <c r="N1331" s="18">
        <f>IF($Z1331="","",IF(AND(DATE($AD1331,5,1)&gt;=$AE1331,DATE($AD1331,5,1)&lt;=$AF1331),ROUND($AG1331,2),0))</f>
        <v/>
      </c>
      <c r="O1331" s="18">
        <f>IF($Z1331="","",IF(AND(DATE($AD1331,6,1)&gt;=$AE1331,DATE($AD1331,6,1)&lt;=$AF1331),ROUND($AG1331,2),0))</f>
        <v/>
      </c>
      <c r="P1331" s="18">
        <f>IF($Z1331="","",IF(AND(DATE($AD1331,7,1)&gt;=$AE1331,DATE($AD1331,7,1)&lt;=$AF1331),ROUND($AG1331,2),0))</f>
        <v/>
      </c>
      <c r="Q1331" s="18">
        <f>IF($Z1331="","",IF(AND(DATE($AD1331,8,1)&gt;=$AE1331,DATE($AD1331,8,1)&lt;=$AF1331),ROUND($AG1331,2),0))</f>
        <v/>
      </c>
      <c r="R1331" s="18">
        <f>IF($Z1331="","",IF(AND(DATE($AD1331,9,1)&gt;=$AE1331,DATE($AD1331,9,1)&lt;=$AF1331),ROUND($AG1331,2),0))</f>
        <v/>
      </c>
      <c r="S1331" s="18">
        <f>IF($Z1331="","",IF(AND(DATE($AD1331,10,1)&gt;=$AE1331,DATE($AD1331,10,1)&lt;=$AF1331),ROUND($AG1331,2),0))</f>
        <v/>
      </c>
      <c r="T1331" s="18">
        <f>IF($Z1331="","",IF(AND(DATE($AD1331,11,1)&gt;=$AE1331,DATE($AD1331,11,1)&lt;=$AF1331),ROUND($AG1331,2),0))</f>
        <v/>
      </c>
      <c r="U1331" s="18">
        <f>IF($Z1331="","",IF(AND(DATE($AD1331,12,1)&gt;=$AE1331,DATE($AD1331,12,1)&lt;=$AF1331),ROUND($AG1331,2),0))</f>
        <v/>
      </c>
      <c r="V1331" s="7">
        <f>IF($Z1331="C","Generated from "&amp;INDEX(Contracts!$A$2:$A$151,$AB1331),IF($Z1331="A","Generated from "&amp;INDEX(Fixed_Assets!$A$2:$A$201,$AB1331),IF($Z1331="F","Generated from "&amp;INDEX(FTE_Allocation!$A$2:$A$201,$AB1331),"")))</f>
        <v/>
      </c>
      <c r="X1331" s="19">
        <f>IF($Z1331="","",SUM(J1331:U1331))</f>
        <v/>
      </c>
      <c r="Y1331" s="20">
        <f>ROW()-1</f>
        <v/>
      </c>
      <c r="Z1331" s="20">
        <f>IF($Y1331&lt;=Settings!$B$4*3,"C",IF($Y1331&lt;=(Settings!$B$4+Settings!$B$5)*3,"A",IF($Y1331&lt;=(Settings!$B$4+Settings!$B$5+Settings!$B$6)*3,"F","")))</f>
        <v/>
      </c>
      <c r="AA1331" s="20">
        <f>IF($Z1331="C",$Y1331,IF($Z1331="A",$Y1331-Settings!$B$4*3,IF($Z1331="F",$Y1331-(Settings!$B$4+Settings!$B$5)*3,"")))</f>
        <v/>
      </c>
      <c r="AB1331" s="20">
        <f>IF($Z1331="","",INT(($AA1331-1)/3)+1)</f>
        <v/>
      </c>
      <c r="AC1331" s="20">
        <f>IF($Z1331="","",MOD($AA1331-1,3)+1)</f>
        <v/>
      </c>
      <c r="AD1331" s="20">
        <f>IF($Z1331="","",Settings!$B$2+$AC1331-1)</f>
        <v/>
      </c>
      <c r="AE1331" s="21">
        <f>IF($Z1331="C",DATE(YEAR(INDEX(Contracts!$J$2:$J$151,$AB1331)),MONTH(INDEX(Contracts!$J$2:$J$151,$AB1331)),1),IF($Z1331="A",DATE(YEAR(INDEX(Fixed_Assets!$G$2:$G$201,$AB1331)),MONTH(INDEX(Fixed_Assets!$G$2:$G$201,$AB1331)),1),IF($Z1331="F",DATE(YEAR(MAX(N(INDEX(Workforce!$I$2:$I$151,MATCH(INDEX(FTE_Allocation!$A$2:$A$201,$AB1331),Workforce!$A$2:$A$151,0))),N(INDEX(FTE_Allocation!$I$2:$I$201,$AB1331)))),MONTH(MAX(N(INDEX(Workforce!$I$2:$I$151,MATCH(INDEX(FTE_Allocation!$A$2:$A$201,$AB1331),Workforce!$A$2:$A$151,0))),N(INDEX(FTE_Allocation!$I$2:$I$201,$AB1331)))),1),"")))</f>
        <v/>
      </c>
      <c r="AF1331" s="21">
        <f>IF($Z1331="C",IF(INDEX(Contracts!$I$2:$I$151,$AB1331)="PREPAID",EDATE(DATE(YEAR(INDEX(Contracts!$J$2:$J$151,$AB1331)),MONTH(INDEX(Contracts!$J$2:$J$151,$AB1331)),1),IF(INDEX(Contracts!$N$2:$N$151,$AB1331)="",12,INDEX(Contracts!$N$2:$N$151,$AB1331))-1),IF(INDEX(Contracts!$I$2:$I$151,$AB1331)="MONTHLY",IF(INDEX(Contracts!$K$2:$K$151,$AB1331)="",2958101,INDEX(Contracts!$K$2:$K$151,$AB1331)),0)),IF($Z1331="A",EDATE(DATE(YEAR(INDEX(Fixed_Assets!$G$2:$G$201,$AB1331)),MONTH(INDEX(Fixed_Assets!$G$2:$G$201,$AB1331)),1),INDEX(Fixed_Assets!$J$2:$J$201,$AB1331)-1),IF($Z1331="F",MIN(IF(INDEX(Workforce!$J$2:$J$151,MATCH(INDEX(FTE_Allocation!$A$2:$A$201,$AB1331),Workforce!$A$2:$A$151,0))="",2958101,INDEX(Workforce!$J$2:$J$151,MATCH(INDEX(FTE_Allocation!$A$2:$A$201,$AB1331),Workforce!$A$2:$A$151,0))),IF(INDEX(FTE_Allocation!$J$2:$J$201,$AB1331)="",2958101,INDEX(FTE_Allocation!$J$2:$J$201,$AB1331))),"")))</f>
        <v/>
      </c>
      <c r="AG1331" s="19">
        <f>IF($Z1331="C",IF(INDEX(Contracts!$I$2:$I$151,$AB1331)="PREPAID",INDEX(Contracts!$M$2:$M$151,$AB1331)/IF(INDEX(Contracts!$N$2:$N$151,$AB1331)="",12,INDEX(Contracts!$N$2:$N$151,$AB1331)),IF(INDEX(Contracts!$I$2:$I$151,$AB1331)="MONTHLY",INDEX(Contracts!$M$2:$M$151,$AB1331),0))*(1-N(INDEX(Contracts!$O$2:$O$151,$AB1331))),IF($Z1331="A",INDEX(Fixed_Assets!$H$2:$H$201,$AB1331)/INDEX(Fixed_Assets!$J$2:$J$201,$AB1331),IF($Z1331="F",INDEX(Workforce!$F$2:$F$151,MATCH(INDEX(FTE_Allocation!$A$2:$A$201,$AB1331),Workforce!$A$2:$A$151,0))*N(INDEX(FTE_Allocation!$F$2:$H$201,$AB1331,$AC1331)),"")))</f>
        <v/>
      </c>
    </row>
    <row r="1332">
      <c r="A1332" s="7">
        <f>IF($Z1332="","",$AD1332)</f>
        <v/>
      </c>
      <c r="B1332" s="7">
        <f>IF($Z1332="C",INDEX(Contracts!$D$2:$D$151,$AB1332)&amp;"",IF($Z1332="A",INDEX(Fixed_Assets!$C$2:$C$201,$AB1332)&amp;"",IF($Z1332="F",INDEX(Workforce!$B$2:$B$151,MATCH(INDEX(FTE_Allocation!$A$2:$A$201,$AB1332),Workforce!$A$2:$A$151,0))&amp;"","")))</f>
        <v/>
      </c>
      <c r="C1332" s="7">
        <f>IF($Z1332="C",INDEX(Contracts!$E$2:$E$151,$AB1332)&amp;"",IF($Z1332="A",INDEX(Fixed_Assets!$D$2:$D$201,$AB1332)&amp;"",IF($Z1332="F",INDEX(FTE_Allocation!$C$2:$C$201,$AB1332)&amp;"","")))</f>
        <v/>
      </c>
      <c r="D1332" s="7">
        <f>IF($Z1332="C",INDEX(Contracts!$B$2:$B$151,$AB1332)&amp;"",IF($Z1332="A",INDEX(Fixed_Assets!$B$2:$B$201,$AB1332)&amp;"",IF($Z1332="F",INDEX(FTE_Allocation!$B$2:$B$201,$AB1332)&amp;"","")))</f>
        <v/>
      </c>
      <c r="E1332" s="7">
        <f>IF($Z1332="C",INDEX(Contracts!$P$2:$P$151,$AB1332)&amp;"",IF($Z1332="A",INDEX(Fixed_Assets!$K$2:$K$201,$AB1332)&amp;"",IF($Z1332="F",IF(INDEX(FTE_Allocation!$D$2:$D$201,$AB1332)="PROJECT",IFERROR(INDEX(Projects!$D:$D,MATCH(INDEX(FTE_Allocation!$E$2:$E$201,$AB1332),Projects!$A:$A,0))&amp;"","#PROJECT?"),INDEX(FTE_Allocation!$E$2:$E$201,$AB1332)&amp;""),"")))</f>
        <v/>
      </c>
      <c r="F1332" s="7">
        <f>IF($Z1332="C",INDEX(Contracts!$Q$2:$Q$151,$AB1332)&amp;"",IF($Z1332="A",INDEX(Fixed_Assets!$L$2:$L$201,$AB1332)&amp;"",IF($Z1332="F",INDEX(Workforce!$K$2:$K$151,MATCH(INDEX(FTE_Allocation!$A$2:$A$201,$AB1332),Workforce!$A$2:$A$151,0))&amp;"","")))</f>
        <v/>
      </c>
      <c r="G1332" s="7">
        <f>IF($Z1332="C",INDEX(Contracts!$F$2:$F$151,$AB1332)&amp;" / "&amp;INDEX(Contracts!$G$2:$G$151,$AB1332),IF($Z1332="A",INDEX(Fixed_Assets!$E$2:$E$201,$AB1332)&amp;"",IF($Z1332="F","Personnel "&amp;INDEX(FTE_Allocation!$A$2:$A$201,$AB1332)&amp;IF(INDEX(FTE_Allocation!$D$2:$D$201,$AB1332)="PROJECT"," ("&amp;INDEX(FTE_Allocation!$E$2:$E$201,$AB1332)&amp;")",""),"")))</f>
        <v/>
      </c>
      <c r="H1332" s="7">
        <f>IF($Z1332="C","CONTRACT",IF($Z1332="A","ASSET",IF($Z1332="F","WORKFORCE","")))</f>
        <v/>
      </c>
      <c r="I1332" s="7">
        <f>IF($Z1332="C",INDEX(Contracts!$L$2:$L$151,$AB1332)&amp;"",IF($Z1332="A",INDEX(Fixed_Assets!$I$2:$I$201,$AB1332)&amp;"",IF($Z1332="F",INDEX(Workforce!$G$2:$G$151,MATCH(INDEX(FTE_Allocation!$A$2:$A$201,$AB1332),Workforce!$A$2:$A$151,0))&amp;"","")))</f>
        <v/>
      </c>
      <c r="J1332" s="18">
        <f>IF($Z1332="","",IF(AND(DATE($AD1332,1,1)&gt;=$AE1332,DATE($AD1332,1,1)&lt;=$AF1332),ROUND($AG1332,2),0))</f>
        <v/>
      </c>
      <c r="K1332" s="18">
        <f>IF($Z1332="","",IF(AND(DATE($AD1332,2,1)&gt;=$AE1332,DATE($AD1332,2,1)&lt;=$AF1332),ROUND($AG1332,2),0))</f>
        <v/>
      </c>
      <c r="L1332" s="18">
        <f>IF($Z1332="","",IF(AND(DATE($AD1332,3,1)&gt;=$AE1332,DATE($AD1332,3,1)&lt;=$AF1332),ROUND($AG1332,2),0))</f>
        <v/>
      </c>
      <c r="M1332" s="18">
        <f>IF($Z1332="","",IF(AND(DATE($AD1332,4,1)&gt;=$AE1332,DATE($AD1332,4,1)&lt;=$AF1332),ROUND($AG1332,2),0))</f>
        <v/>
      </c>
      <c r="N1332" s="18">
        <f>IF($Z1332="","",IF(AND(DATE($AD1332,5,1)&gt;=$AE1332,DATE($AD1332,5,1)&lt;=$AF1332),ROUND($AG1332,2),0))</f>
        <v/>
      </c>
      <c r="O1332" s="18">
        <f>IF($Z1332="","",IF(AND(DATE($AD1332,6,1)&gt;=$AE1332,DATE($AD1332,6,1)&lt;=$AF1332),ROUND($AG1332,2),0))</f>
        <v/>
      </c>
      <c r="P1332" s="18">
        <f>IF($Z1332="","",IF(AND(DATE($AD1332,7,1)&gt;=$AE1332,DATE($AD1332,7,1)&lt;=$AF1332),ROUND($AG1332,2),0))</f>
        <v/>
      </c>
      <c r="Q1332" s="18">
        <f>IF($Z1332="","",IF(AND(DATE($AD1332,8,1)&gt;=$AE1332,DATE($AD1332,8,1)&lt;=$AF1332),ROUND($AG1332,2),0))</f>
        <v/>
      </c>
      <c r="R1332" s="18">
        <f>IF($Z1332="","",IF(AND(DATE($AD1332,9,1)&gt;=$AE1332,DATE($AD1332,9,1)&lt;=$AF1332),ROUND($AG1332,2),0))</f>
        <v/>
      </c>
      <c r="S1332" s="18">
        <f>IF($Z1332="","",IF(AND(DATE($AD1332,10,1)&gt;=$AE1332,DATE($AD1332,10,1)&lt;=$AF1332),ROUND($AG1332,2),0))</f>
        <v/>
      </c>
      <c r="T1332" s="18">
        <f>IF($Z1332="","",IF(AND(DATE($AD1332,11,1)&gt;=$AE1332,DATE($AD1332,11,1)&lt;=$AF1332),ROUND($AG1332,2),0))</f>
        <v/>
      </c>
      <c r="U1332" s="18">
        <f>IF($Z1332="","",IF(AND(DATE($AD1332,12,1)&gt;=$AE1332,DATE($AD1332,12,1)&lt;=$AF1332),ROUND($AG1332,2),0))</f>
        <v/>
      </c>
      <c r="V1332" s="7">
        <f>IF($Z1332="C","Generated from "&amp;INDEX(Contracts!$A$2:$A$151,$AB1332),IF($Z1332="A","Generated from "&amp;INDEX(Fixed_Assets!$A$2:$A$201,$AB1332),IF($Z1332="F","Generated from "&amp;INDEX(FTE_Allocation!$A$2:$A$201,$AB1332),"")))</f>
        <v/>
      </c>
      <c r="X1332" s="19">
        <f>IF($Z1332="","",SUM(J1332:U1332))</f>
        <v/>
      </c>
      <c r="Y1332" s="20">
        <f>ROW()-1</f>
        <v/>
      </c>
      <c r="Z1332" s="20">
        <f>IF($Y1332&lt;=Settings!$B$4*3,"C",IF($Y1332&lt;=(Settings!$B$4+Settings!$B$5)*3,"A",IF($Y1332&lt;=(Settings!$B$4+Settings!$B$5+Settings!$B$6)*3,"F","")))</f>
        <v/>
      </c>
      <c r="AA1332" s="20">
        <f>IF($Z1332="C",$Y1332,IF($Z1332="A",$Y1332-Settings!$B$4*3,IF($Z1332="F",$Y1332-(Settings!$B$4+Settings!$B$5)*3,"")))</f>
        <v/>
      </c>
      <c r="AB1332" s="20">
        <f>IF($Z1332="","",INT(($AA1332-1)/3)+1)</f>
        <v/>
      </c>
      <c r="AC1332" s="20">
        <f>IF($Z1332="","",MOD($AA1332-1,3)+1)</f>
        <v/>
      </c>
      <c r="AD1332" s="20">
        <f>IF($Z1332="","",Settings!$B$2+$AC1332-1)</f>
        <v/>
      </c>
      <c r="AE1332" s="21">
        <f>IF($Z1332="C",DATE(YEAR(INDEX(Contracts!$J$2:$J$151,$AB1332)),MONTH(INDEX(Contracts!$J$2:$J$151,$AB1332)),1),IF($Z1332="A",DATE(YEAR(INDEX(Fixed_Assets!$G$2:$G$201,$AB1332)),MONTH(INDEX(Fixed_Assets!$G$2:$G$201,$AB1332)),1),IF($Z1332="F",DATE(YEAR(MAX(N(INDEX(Workforce!$I$2:$I$151,MATCH(INDEX(FTE_Allocation!$A$2:$A$201,$AB1332),Workforce!$A$2:$A$151,0))),N(INDEX(FTE_Allocation!$I$2:$I$201,$AB1332)))),MONTH(MAX(N(INDEX(Workforce!$I$2:$I$151,MATCH(INDEX(FTE_Allocation!$A$2:$A$201,$AB1332),Workforce!$A$2:$A$151,0))),N(INDEX(FTE_Allocation!$I$2:$I$201,$AB1332)))),1),"")))</f>
        <v/>
      </c>
      <c r="AF1332" s="21">
        <f>IF($Z1332="C",IF(INDEX(Contracts!$I$2:$I$151,$AB1332)="PREPAID",EDATE(DATE(YEAR(INDEX(Contracts!$J$2:$J$151,$AB1332)),MONTH(INDEX(Contracts!$J$2:$J$151,$AB1332)),1),IF(INDEX(Contracts!$N$2:$N$151,$AB1332)="",12,INDEX(Contracts!$N$2:$N$151,$AB1332))-1),IF(INDEX(Contracts!$I$2:$I$151,$AB1332)="MONTHLY",IF(INDEX(Contracts!$K$2:$K$151,$AB1332)="",2958101,INDEX(Contracts!$K$2:$K$151,$AB1332)),0)),IF($Z1332="A",EDATE(DATE(YEAR(INDEX(Fixed_Assets!$G$2:$G$201,$AB1332)),MONTH(INDEX(Fixed_Assets!$G$2:$G$201,$AB1332)),1),INDEX(Fixed_Assets!$J$2:$J$201,$AB1332)-1),IF($Z1332="F",MIN(IF(INDEX(Workforce!$J$2:$J$151,MATCH(INDEX(FTE_Allocation!$A$2:$A$201,$AB1332),Workforce!$A$2:$A$151,0))="",2958101,INDEX(Workforce!$J$2:$J$151,MATCH(INDEX(FTE_Allocation!$A$2:$A$201,$AB1332),Workforce!$A$2:$A$151,0))),IF(INDEX(FTE_Allocation!$J$2:$J$201,$AB1332)="",2958101,INDEX(FTE_Allocation!$J$2:$J$201,$AB1332))),"")))</f>
        <v/>
      </c>
      <c r="AG1332" s="19">
        <f>IF($Z1332="C",IF(INDEX(Contracts!$I$2:$I$151,$AB1332)="PREPAID",INDEX(Contracts!$M$2:$M$151,$AB1332)/IF(INDEX(Contracts!$N$2:$N$151,$AB1332)="",12,INDEX(Contracts!$N$2:$N$151,$AB1332)),IF(INDEX(Contracts!$I$2:$I$151,$AB1332)="MONTHLY",INDEX(Contracts!$M$2:$M$151,$AB1332),0))*(1-N(INDEX(Contracts!$O$2:$O$151,$AB1332))),IF($Z1332="A",INDEX(Fixed_Assets!$H$2:$H$201,$AB1332)/INDEX(Fixed_Assets!$J$2:$J$201,$AB1332),IF($Z1332="F",INDEX(Workforce!$F$2:$F$151,MATCH(INDEX(FTE_Allocation!$A$2:$A$201,$AB1332),Workforce!$A$2:$A$151,0))*N(INDEX(FTE_Allocation!$F$2:$H$201,$AB1332,$AC1332)),"")))</f>
        <v/>
      </c>
    </row>
    <row r="1333">
      <c r="A1333" s="7">
        <f>IF($Z1333="","",$AD1333)</f>
        <v/>
      </c>
      <c r="B1333" s="7">
        <f>IF($Z1333="C",INDEX(Contracts!$D$2:$D$151,$AB1333)&amp;"",IF($Z1333="A",INDEX(Fixed_Assets!$C$2:$C$201,$AB1333)&amp;"",IF($Z1333="F",INDEX(Workforce!$B$2:$B$151,MATCH(INDEX(FTE_Allocation!$A$2:$A$201,$AB1333),Workforce!$A$2:$A$151,0))&amp;"","")))</f>
        <v/>
      </c>
      <c r="C1333" s="7">
        <f>IF($Z1333="C",INDEX(Contracts!$E$2:$E$151,$AB1333)&amp;"",IF($Z1333="A",INDEX(Fixed_Assets!$D$2:$D$201,$AB1333)&amp;"",IF($Z1333="F",INDEX(FTE_Allocation!$C$2:$C$201,$AB1333)&amp;"","")))</f>
        <v/>
      </c>
      <c r="D1333" s="7">
        <f>IF($Z1333="C",INDEX(Contracts!$B$2:$B$151,$AB1333)&amp;"",IF($Z1333="A",INDEX(Fixed_Assets!$B$2:$B$201,$AB1333)&amp;"",IF($Z1333="F",INDEX(FTE_Allocation!$B$2:$B$201,$AB1333)&amp;"","")))</f>
        <v/>
      </c>
      <c r="E1333" s="7">
        <f>IF($Z1333="C",INDEX(Contracts!$P$2:$P$151,$AB1333)&amp;"",IF($Z1333="A",INDEX(Fixed_Assets!$K$2:$K$201,$AB1333)&amp;"",IF($Z1333="F",IF(INDEX(FTE_Allocation!$D$2:$D$201,$AB1333)="PROJECT",IFERROR(INDEX(Projects!$D:$D,MATCH(INDEX(FTE_Allocation!$E$2:$E$201,$AB1333),Projects!$A:$A,0))&amp;"","#PROJECT?"),INDEX(FTE_Allocation!$E$2:$E$201,$AB1333)&amp;""),"")))</f>
        <v/>
      </c>
      <c r="F1333" s="7">
        <f>IF($Z1333="C",INDEX(Contracts!$Q$2:$Q$151,$AB1333)&amp;"",IF($Z1333="A",INDEX(Fixed_Assets!$L$2:$L$201,$AB1333)&amp;"",IF($Z1333="F",INDEX(Workforce!$K$2:$K$151,MATCH(INDEX(FTE_Allocation!$A$2:$A$201,$AB1333),Workforce!$A$2:$A$151,0))&amp;"","")))</f>
        <v/>
      </c>
      <c r="G1333" s="7">
        <f>IF($Z1333="C",INDEX(Contracts!$F$2:$F$151,$AB1333)&amp;" / "&amp;INDEX(Contracts!$G$2:$G$151,$AB1333),IF($Z1333="A",INDEX(Fixed_Assets!$E$2:$E$201,$AB1333)&amp;"",IF($Z1333="F","Personnel "&amp;INDEX(FTE_Allocation!$A$2:$A$201,$AB1333)&amp;IF(INDEX(FTE_Allocation!$D$2:$D$201,$AB1333)="PROJECT"," ("&amp;INDEX(FTE_Allocation!$E$2:$E$201,$AB1333)&amp;")",""),"")))</f>
        <v/>
      </c>
      <c r="H1333" s="7">
        <f>IF($Z1333="C","CONTRACT",IF($Z1333="A","ASSET",IF($Z1333="F","WORKFORCE","")))</f>
        <v/>
      </c>
      <c r="I1333" s="7">
        <f>IF($Z1333="C",INDEX(Contracts!$L$2:$L$151,$AB1333)&amp;"",IF($Z1333="A",INDEX(Fixed_Assets!$I$2:$I$201,$AB1333)&amp;"",IF($Z1333="F",INDEX(Workforce!$G$2:$G$151,MATCH(INDEX(FTE_Allocation!$A$2:$A$201,$AB1333),Workforce!$A$2:$A$151,0))&amp;"","")))</f>
        <v/>
      </c>
      <c r="J1333" s="18">
        <f>IF($Z1333="","",IF(AND(DATE($AD1333,1,1)&gt;=$AE1333,DATE($AD1333,1,1)&lt;=$AF1333),ROUND($AG1333,2),0))</f>
        <v/>
      </c>
      <c r="K1333" s="18">
        <f>IF($Z1333="","",IF(AND(DATE($AD1333,2,1)&gt;=$AE1333,DATE($AD1333,2,1)&lt;=$AF1333),ROUND($AG1333,2),0))</f>
        <v/>
      </c>
      <c r="L1333" s="18">
        <f>IF($Z1333="","",IF(AND(DATE($AD1333,3,1)&gt;=$AE1333,DATE($AD1333,3,1)&lt;=$AF1333),ROUND($AG1333,2),0))</f>
        <v/>
      </c>
      <c r="M1333" s="18">
        <f>IF($Z1333="","",IF(AND(DATE($AD1333,4,1)&gt;=$AE1333,DATE($AD1333,4,1)&lt;=$AF1333),ROUND($AG1333,2),0))</f>
        <v/>
      </c>
      <c r="N1333" s="18">
        <f>IF($Z1333="","",IF(AND(DATE($AD1333,5,1)&gt;=$AE1333,DATE($AD1333,5,1)&lt;=$AF1333),ROUND($AG1333,2),0))</f>
        <v/>
      </c>
      <c r="O1333" s="18">
        <f>IF($Z1333="","",IF(AND(DATE($AD1333,6,1)&gt;=$AE1333,DATE($AD1333,6,1)&lt;=$AF1333),ROUND($AG1333,2),0))</f>
        <v/>
      </c>
      <c r="P1333" s="18">
        <f>IF($Z1333="","",IF(AND(DATE($AD1333,7,1)&gt;=$AE1333,DATE($AD1333,7,1)&lt;=$AF1333),ROUND($AG1333,2),0))</f>
        <v/>
      </c>
      <c r="Q1333" s="18">
        <f>IF($Z1333="","",IF(AND(DATE($AD1333,8,1)&gt;=$AE1333,DATE($AD1333,8,1)&lt;=$AF1333),ROUND($AG1333,2),0))</f>
        <v/>
      </c>
      <c r="R1333" s="18">
        <f>IF($Z1333="","",IF(AND(DATE($AD1333,9,1)&gt;=$AE1333,DATE($AD1333,9,1)&lt;=$AF1333),ROUND($AG1333,2),0))</f>
        <v/>
      </c>
      <c r="S1333" s="18">
        <f>IF($Z1333="","",IF(AND(DATE($AD1333,10,1)&gt;=$AE1333,DATE($AD1333,10,1)&lt;=$AF1333),ROUND($AG1333,2),0))</f>
        <v/>
      </c>
      <c r="T1333" s="18">
        <f>IF($Z1333="","",IF(AND(DATE($AD1333,11,1)&gt;=$AE1333,DATE($AD1333,11,1)&lt;=$AF1333),ROUND($AG1333,2),0))</f>
        <v/>
      </c>
      <c r="U1333" s="18">
        <f>IF($Z1333="","",IF(AND(DATE($AD1333,12,1)&gt;=$AE1333,DATE($AD1333,12,1)&lt;=$AF1333),ROUND($AG1333,2),0))</f>
        <v/>
      </c>
      <c r="V1333" s="7">
        <f>IF($Z1333="C","Generated from "&amp;INDEX(Contracts!$A$2:$A$151,$AB1333),IF($Z1333="A","Generated from "&amp;INDEX(Fixed_Assets!$A$2:$A$201,$AB1333),IF($Z1333="F","Generated from "&amp;INDEX(FTE_Allocation!$A$2:$A$201,$AB1333),"")))</f>
        <v/>
      </c>
      <c r="X1333" s="19">
        <f>IF($Z1333="","",SUM(J1333:U1333))</f>
        <v/>
      </c>
      <c r="Y1333" s="20">
        <f>ROW()-1</f>
        <v/>
      </c>
      <c r="Z1333" s="20">
        <f>IF($Y1333&lt;=Settings!$B$4*3,"C",IF($Y1333&lt;=(Settings!$B$4+Settings!$B$5)*3,"A",IF($Y1333&lt;=(Settings!$B$4+Settings!$B$5+Settings!$B$6)*3,"F","")))</f>
        <v/>
      </c>
      <c r="AA1333" s="20">
        <f>IF($Z1333="C",$Y1333,IF($Z1333="A",$Y1333-Settings!$B$4*3,IF($Z1333="F",$Y1333-(Settings!$B$4+Settings!$B$5)*3,"")))</f>
        <v/>
      </c>
      <c r="AB1333" s="20">
        <f>IF($Z1333="","",INT(($AA1333-1)/3)+1)</f>
        <v/>
      </c>
      <c r="AC1333" s="20">
        <f>IF($Z1333="","",MOD($AA1333-1,3)+1)</f>
        <v/>
      </c>
      <c r="AD1333" s="20">
        <f>IF($Z1333="","",Settings!$B$2+$AC1333-1)</f>
        <v/>
      </c>
      <c r="AE1333" s="21">
        <f>IF($Z1333="C",DATE(YEAR(INDEX(Contracts!$J$2:$J$151,$AB1333)),MONTH(INDEX(Contracts!$J$2:$J$151,$AB1333)),1),IF($Z1333="A",DATE(YEAR(INDEX(Fixed_Assets!$G$2:$G$201,$AB1333)),MONTH(INDEX(Fixed_Assets!$G$2:$G$201,$AB1333)),1),IF($Z1333="F",DATE(YEAR(MAX(N(INDEX(Workforce!$I$2:$I$151,MATCH(INDEX(FTE_Allocation!$A$2:$A$201,$AB1333),Workforce!$A$2:$A$151,0))),N(INDEX(FTE_Allocation!$I$2:$I$201,$AB1333)))),MONTH(MAX(N(INDEX(Workforce!$I$2:$I$151,MATCH(INDEX(FTE_Allocation!$A$2:$A$201,$AB1333),Workforce!$A$2:$A$151,0))),N(INDEX(FTE_Allocation!$I$2:$I$201,$AB1333)))),1),"")))</f>
        <v/>
      </c>
      <c r="AF1333" s="21">
        <f>IF($Z1333="C",IF(INDEX(Contracts!$I$2:$I$151,$AB1333)="PREPAID",EDATE(DATE(YEAR(INDEX(Contracts!$J$2:$J$151,$AB1333)),MONTH(INDEX(Contracts!$J$2:$J$151,$AB1333)),1),IF(INDEX(Contracts!$N$2:$N$151,$AB1333)="",12,INDEX(Contracts!$N$2:$N$151,$AB1333))-1),IF(INDEX(Contracts!$I$2:$I$151,$AB1333)="MONTHLY",IF(INDEX(Contracts!$K$2:$K$151,$AB1333)="",2958101,INDEX(Contracts!$K$2:$K$151,$AB1333)),0)),IF($Z1333="A",EDATE(DATE(YEAR(INDEX(Fixed_Assets!$G$2:$G$201,$AB1333)),MONTH(INDEX(Fixed_Assets!$G$2:$G$201,$AB1333)),1),INDEX(Fixed_Assets!$J$2:$J$201,$AB1333)-1),IF($Z1333="F",MIN(IF(INDEX(Workforce!$J$2:$J$151,MATCH(INDEX(FTE_Allocation!$A$2:$A$201,$AB1333),Workforce!$A$2:$A$151,0))="",2958101,INDEX(Workforce!$J$2:$J$151,MATCH(INDEX(FTE_Allocation!$A$2:$A$201,$AB1333),Workforce!$A$2:$A$151,0))),IF(INDEX(FTE_Allocation!$J$2:$J$201,$AB1333)="",2958101,INDEX(FTE_Allocation!$J$2:$J$201,$AB1333))),"")))</f>
        <v/>
      </c>
      <c r="AG1333" s="19">
        <f>IF($Z1333="C",IF(INDEX(Contracts!$I$2:$I$151,$AB1333)="PREPAID",INDEX(Contracts!$M$2:$M$151,$AB1333)/IF(INDEX(Contracts!$N$2:$N$151,$AB1333)="",12,INDEX(Contracts!$N$2:$N$151,$AB1333)),IF(INDEX(Contracts!$I$2:$I$151,$AB1333)="MONTHLY",INDEX(Contracts!$M$2:$M$151,$AB1333),0))*(1-N(INDEX(Contracts!$O$2:$O$151,$AB1333))),IF($Z1333="A",INDEX(Fixed_Assets!$H$2:$H$201,$AB1333)/INDEX(Fixed_Assets!$J$2:$J$201,$AB1333),IF($Z1333="F",INDEX(Workforce!$F$2:$F$151,MATCH(INDEX(FTE_Allocation!$A$2:$A$201,$AB1333),Workforce!$A$2:$A$151,0))*N(INDEX(FTE_Allocation!$F$2:$H$201,$AB1333,$AC1333)),"")))</f>
        <v/>
      </c>
    </row>
    <row r="1334">
      <c r="A1334" s="7">
        <f>IF($Z1334="","",$AD1334)</f>
        <v/>
      </c>
      <c r="B1334" s="7">
        <f>IF($Z1334="C",INDEX(Contracts!$D$2:$D$151,$AB1334)&amp;"",IF($Z1334="A",INDEX(Fixed_Assets!$C$2:$C$201,$AB1334)&amp;"",IF($Z1334="F",INDEX(Workforce!$B$2:$B$151,MATCH(INDEX(FTE_Allocation!$A$2:$A$201,$AB1334),Workforce!$A$2:$A$151,0))&amp;"","")))</f>
        <v/>
      </c>
      <c r="C1334" s="7">
        <f>IF($Z1334="C",INDEX(Contracts!$E$2:$E$151,$AB1334)&amp;"",IF($Z1334="A",INDEX(Fixed_Assets!$D$2:$D$201,$AB1334)&amp;"",IF($Z1334="F",INDEX(FTE_Allocation!$C$2:$C$201,$AB1334)&amp;"","")))</f>
        <v/>
      </c>
      <c r="D1334" s="7">
        <f>IF($Z1334="C",INDEX(Contracts!$B$2:$B$151,$AB1334)&amp;"",IF($Z1334="A",INDEX(Fixed_Assets!$B$2:$B$201,$AB1334)&amp;"",IF($Z1334="F",INDEX(FTE_Allocation!$B$2:$B$201,$AB1334)&amp;"","")))</f>
        <v/>
      </c>
      <c r="E1334" s="7">
        <f>IF($Z1334="C",INDEX(Contracts!$P$2:$P$151,$AB1334)&amp;"",IF($Z1334="A",INDEX(Fixed_Assets!$K$2:$K$201,$AB1334)&amp;"",IF($Z1334="F",IF(INDEX(FTE_Allocation!$D$2:$D$201,$AB1334)="PROJECT",IFERROR(INDEX(Projects!$D:$D,MATCH(INDEX(FTE_Allocation!$E$2:$E$201,$AB1334),Projects!$A:$A,0))&amp;"","#PROJECT?"),INDEX(FTE_Allocation!$E$2:$E$201,$AB1334)&amp;""),"")))</f>
        <v/>
      </c>
      <c r="F1334" s="7">
        <f>IF($Z1334="C",INDEX(Contracts!$Q$2:$Q$151,$AB1334)&amp;"",IF($Z1334="A",INDEX(Fixed_Assets!$L$2:$L$201,$AB1334)&amp;"",IF($Z1334="F",INDEX(Workforce!$K$2:$K$151,MATCH(INDEX(FTE_Allocation!$A$2:$A$201,$AB1334),Workforce!$A$2:$A$151,0))&amp;"","")))</f>
        <v/>
      </c>
      <c r="G1334" s="7">
        <f>IF($Z1334="C",INDEX(Contracts!$F$2:$F$151,$AB1334)&amp;" / "&amp;INDEX(Contracts!$G$2:$G$151,$AB1334),IF($Z1334="A",INDEX(Fixed_Assets!$E$2:$E$201,$AB1334)&amp;"",IF($Z1334="F","Personnel "&amp;INDEX(FTE_Allocation!$A$2:$A$201,$AB1334)&amp;IF(INDEX(FTE_Allocation!$D$2:$D$201,$AB1334)="PROJECT"," ("&amp;INDEX(FTE_Allocation!$E$2:$E$201,$AB1334)&amp;")",""),"")))</f>
        <v/>
      </c>
      <c r="H1334" s="7">
        <f>IF($Z1334="C","CONTRACT",IF($Z1334="A","ASSET",IF($Z1334="F","WORKFORCE","")))</f>
        <v/>
      </c>
      <c r="I1334" s="7">
        <f>IF($Z1334="C",INDEX(Contracts!$L$2:$L$151,$AB1334)&amp;"",IF($Z1334="A",INDEX(Fixed_Assets!$I$2:$I$201,$AB1334)&amp;"",IF($Z1334="F",INDEX(Workforce!$G$2:$G$151,MATCH(INDEX(FTE_Allocation!$A$2:$A$201,$AB1334),Workforce!$A$2:$A$151,0))&amp;"","")))</f>
        <v/>
      </c>
      <c r="J1334" s="18">
        <f>IF($Z1334="","",IF(AND(DATE($AD1334,1,1)&gt;=$AE1334,DATE($AD1334,1,1)&lt;=$AF1334),ROUND($AG1334,2),0))</f>
        <v/>
      </c>
      <c r="K1334" s="18">
        <f>IF($Z1334="","",IF(AND(DATE($AD1334,2,1)&gt;=$AE1334,DATE($AD1334,2,1)&lt;=$AF1334),ROUND($AG1334,2),0))</f>
        <v/>
      </c>
      <c r="L1334" s="18">
        <f>IF($Z1334="","",IF(AND(DATE($AD1334,3,1)&gt;=$AE1334,DATE($AD1334,3,1)&lt;=$AF1334),ROUND($AG1334,2),0))</f>
        <v/>
      </c>
      <c r="M1334" s="18">
        <f>IF($Z1334="","",IF(AND(DATE($AD1334,4,1)&gt;=$AE1334,DATE($AD1334,4,1)&lt;=$AF1334),ROUND($AG1334,2),0))</f>
        <v/>
      </c>
      <c r="N1334" s="18">
        <f>IF($Z1334="","",IF(AND(DATE($AD1334,5,1)&gt;=$AE1334,DATE($AD1334,5,1)&lt;=$AF1334),ROUND($AG1334,2),0))</f>
        <v/>
      </c>
      <c r="O1334" s="18">
        <f>IF($Z1334="","",IF(AND(DATE($AD1334,6,1)&gt;=$AE1334,DATE($AD1334,6,1)&lt;=$AF1334),ROUND($AG1334,2),0))</f>
        <v/>
      </c>
      <c r="P1334" s="18">
        <f>IF($Z1334="","",IF(AND(DATE($AD1334,7,1)&gt;=$AE1334,DATE($AD1334,7,1)&lt;=$AF1334),ROUND($AG1334,2),0))</f>
        <v/>
      </c>
      <c r="Q1334" s="18">
        <f>IF($Z1334="","",IF(AND(DATE($AD1334,8,1)&gt;=$AE1334,DATE($AD1334,8,1)&lt;=$AF1334),ROUND($AG1334,2),0))</f>
        <v/>
      </c>
      <c r="R1334" s="18">
        <f>IF($Z1334="","",IF(AND(DATE($AD1334,9,1)&gt;=$AE1334,DATE($AD1334,9,1)&lt;=$AF1334),ROUND($AG1334,2),0))</f>
        <v/>
      </c>
      <c r="S1334" s="18">
        <f>IF($Z1334="","",IF(AND(DATE($AD1334,10,1)&gt;=$AE1334,DATE($AD1334,10,1)&lt;=$AF1334),ROUND($AG1334,2),0))</f>
        <v/>
      </c>
      <c r="T1334" s="18">
        <f>IF($Z1334="","",IF(AND(DATE($AD1334,11,1)&gt;=$AE1334,DATE($AD1334,11,1)&lt;=$AF1334),ROUND($AG1334,2),0))</f>
        <v/>
      </c>
      <c r="U1334" s="18">
        <f>IF($Z1334="","",IF(AND(DATE($AD1334,12,1)&gt;=$AE1334,DATE($AD1334,12,1)&lt;=$AF1334),ROUND($AG1334,2),0))</f>
        <v/>
      </c>
      <c r="V1334" s="7">
        <f>IF($Z1334="C","Generated from "&amp;INDEX(Contracts!$A$2:$A$151,$AB1334),IF($Z1334="A","Generated from "&amp;INDEX(Fixed_Assets!$A$2:$A$201,$AB1334),IF($Z1334="F","Generated from "&amp;INDEX(FTE_Allocation!$A$2:$A$201,$AB1334),"")))</f>
        <v/>
      </c>
      <c r="X1334" s="19">
        <f>IF($Z1334="","",SUM(J1334:U1334))</f>
        <v/>
      </c>
      <c r="Y1334" s="20">
        <f>ROW()-1</f>
        <v/>
      </c>
      <c r="Z1334" s="20">
        <f>IF($Y1334&lt;=Settings!$B$4*3,"C",IF($Y1334&lt;=(Settings!$B$4+Settings!$B$5)*3,"A",IF($Y1334&lt;=(Settings!$B$4+Settings!$B$5+Settings!$B$6)*3,"F","")))</f>
        <v/>
      </c>
      <c r="AA1334" s="20">
        <f>IF($Z1334="C",$Y1334,IF($Z1334="A",$Y1334-Settings!$B$4*3,IF($Z1334="F",$Y1334-(Settings!$B$4+Settings!$B$5)*3,"")))</f>
        <v/>
      </c>
      <c r="AB1334" s="20">
        <f>IF($Z1334="","",INT(($AA1334-1)/3)+1)</f>
        <v/>
      </c>
      <c r="AC1334" s="20">
        <f>IF($Z1334="","",MOD($AA1334-1,3)+1)</f>
        <v/>
      </c>
      <c r="AD1334" s="20">
        <f>IF($Z1334="","",Settings!$B$2+$AC1334-1)</f>
        <v/>
      </c>
      <c r="AE1334" s="21">
        <f>IF($Z1334="C",DATE(YEAR(INDEX(Contracts!$J$2:$J$151,$AB1334)),MONTH(INDEX(Contracts!$J$2:$J$151,$AB1334)),1),IF($Z1334="A",DATE(YEAR(INDEX(Fixed_Assets!$G$2:$G$201,$AB1334)),MONTH(INDEX(Fixed_Assets!$G$2:$G$201,$AB1334)),1),IF($Z1334="F",DATE(YEAR(MAX(N(INDEX(Workforce!$I$2:$I$151,MATCH(INDEX(FTE_Allocation!$A$2:$A$201,$AB1334),Workforce!$A$2:$A$151,0))),N(INDEX(FTE_Allocation!$I$2:$I$201,$AB1334)))),MONTH(MAX(N(INDEX(Workforce!$I$2:$I$151,MATCH(INDEX(FTE_Allocation!$A$2:$A$201,$AB1334),Workforce!$A$2:$A$151,0))),N(INDEX(FTE_Allocation!$I$2:$I$201,$AB1334)))),1),"")))</f>
        <v/>
      </c>
      <c r="AF1334" s="21">
        <f>IF($Z1334="C",IF(INDEX(Contracts!$I$2:$I$151,$AB1334)="PREPAID",EDATE(DATE(YEAR(INDEX(Contracts!$J$2:$J$151,$AB1334)),MONTH(INDEX(Contracts!$J$2:$J$151,$AB1334)),1),IF(INDEX(Contracts!$N$2:$N$151,$AB1334)="",12,INDEX(Contracts!$N$2:$N$151,$AB1334))-1),IF(INDEX(Contracts!$I$2:$I$151,$AB1334)="MONTHLY",IF(INDEX(Contracts!$K$2:$K$151,$AB1334)="",2958101,INDEX(Contracts!$K$2:$K$151,$AB1334)),0)),IF($Z1334="A",EDATE(DATE(YEAR(INDEX(Fixed_Assets!$G$2:$G$201,$AB1334)),MONTH(INDEX(Fixed_Assets!$G$2:$G$201,$AB1334)),1),INDEX(Fixed_Assets!$J$2:$J$201,$AB1334)-1),IF($Z1334="F",MIN(IF(INDEX(Workforce!$J$2:$J$151,MATCH(INDEX(FTE_Allocation!$A$2:$A$201,$AB1334),Workforce!$A$2:$A$151,0))="",2958101,INDEX(Workforce!$J$2:$J$151,MATCH(INDEX(FTE_Allocation!$A$2:$A$201,$AB1334),Workforce!$A$2:$A$151,0))),IF(INDEX(FTE_Allocation!$J$2:$J$201,$AB1334)="",2958101,INDEX(FTE_Allocation!$J$2:$J$201,$AB1334))),"")))</f>
        <v/>
      </c>
      <c r="AG1334" s="19">
        <f>IF($Z1334="C",IF(INDEX(Contracts!$I$2:$I$151,$AB1334)="PREPAID",INDEX(Contracts!$M$2:$M$151,$AB1334)/IF(INDEX(Contracts!$N$2:$N$151,$AB1334)="",12,INDEX(Contracts!$N$2:$N$151,$AB1334)),IF(INDEX(Contracts!$I$2:$I$151,$AB1334)="MONTHLY",INDEX(Contracts!$M$2:$M$151,$AB1334),0))*(1-N(INDEX(Contracts!$O$2:$O$151,$AB1334))),IF($Z1334="A",INDEX(Fixed_Assets!$H$2:$H$201,$AB1334)/INDEX(Fixed_Assets!$J$2:$J$201,$AB1334),IF($Z1334="F",INDEX(Workforce!$F$2:$F$151,MATCH(INDEX(FTE_Allocation!$A$2:$A$201,$AB1334),Workforce!$A$2:$A$151,0))*N(INDEX(FTE_Allocation!$F$2:$H$201,$AB1334,$AC1334)),"")))</f>
        <v/>
      </c>
    </row>
    <row r="1335">
      <c r="A1335" s="7">
        <f>IF($Z1335="","",$AD1335)</f>
        <v/>
      </c>
      <c r="B1335" s="7">
        <f>IF($Z1335="C",INDEX(Contracts!$D$2:$D$151,$AB1335)&amp;"",IF($Z1335="A",INDEX(Fixed_Assets!$C$2:$C$201,$AB1335)&amp;"",IF($Z1335="F",INDEX(Workforce!$B$2:$B$151,MATCH(INDEX(FTE_Allocation!$A$2:$A$201,$AB1335),Workforce!$A$2:$A$151,0))&amp;"","")))</f>
        <v/>
      </c>
      <c r="C1335" s="7">
        <f>IF($Z1335="C",INDEX(Contracts!$E$2:$E$151,$AB1335)&amp;"",IF($Z1335="A",INDEX(Fixed_Assets!$D$2:$D$201,$AB1335)&amp;"",IF($Z1335="F",INDEX(FTE_Allocation!$C$2:$C$201,$AB1335)&amp;"","")))</f>
        <v/>
      </c>
      <c r="D1335" s="7">
        <f>IF($Z1335="C",INDEX(Contracts!$B$2:$B$151,$AB1335)&amp;"",IF($Z1335="A",INDEX(Fixed_Assets!$B$2:$B$201,$AB1335)&amp;"",IF($Z1335="F",INDEX(FTE_Allocation!$B$2:$B$201,$AB1335)&amp;"","")))</f>
        <v/>
      </c>
      <c r="E1335" s="7">
        <f>IF($Z1335="C",INDEX(Contracts!$P$2:$P$151,$AB1335)&amp;"",IF($Z1335="A",INDEX(Fixed_Assets!$K$2:$K$201,$AB1335)&amp;"",IF($Z1335="F",IF(INDEX(FTE_Allocation!$D$2:$D$201,$AB1335)="PROJECT",IFERROR(INDEX(Projects!$D:$D,MATCH(INDEX(FTE_Allocation!$E$2:$E$201,$AB1335),Projects!$A:$A,0))&amp;"","#PROJECT?"),INDEX(FTE_Allocation!$E$2:$E$201,$AB1335)&amp;""),"")))</f>
        <v/>
      </c>
      <c r="F1335" s="7">
        <f>IF($Z1335="C",INDEX(Contracts!$Q$2:$Q$151,$AB1335)&amp;"",IF($Z1335="A",INDEX(Fixed_Assets!$L$2:$L$201,$AB1335)&amp;"",IF($Z1335="F",INDEX(Workforce!$K$2:$K$151,MATCH(INDEX(FTE_Allocation!$A$2:$A$201,$AB1335),Workforce!$A$2:$A$151,0))&amp;"","")))</f>
        <v/>
      </c>
      <c r="G1335" s="7">
        <f>IF($Z1335="C",INDEX(Contracts!$F$2:$F$151,$AB1335)&amp;" / "&amp;INDEX(Contracts!$G$2:$G$151,$AB1335),IF($Z1335="A",INDEX(Fixed_Assets!$E$2:$E$201,$AB1335)&amp;"",IF($Z1335="F","Personnel "&amp;INDEX(FTE_Allocation!$A$2:$A$201,$AB1335)&amp;IF(INDEX(FTE_Allocation!$D$2:$D$201,$AB1335)="PROJECT"," ("&amp;INDEX(FTE_Allocation!$E$2:$E$201,$AB1335)&amp;")",""),"")))</f>
        <v/>
      </c>
      <c r="H1335" s="7">
        <f>IF($Z1335="C","CONTRACT",IF($Z1335="A","ASSET",IF($Z1335="F","WORKFORCE","")))</f>
        <v/>
      </c>
      <c r="I1335" s="7">
        <f>IF($Z1335="C",INDEX(Contracts!$L$2:$L$151,$AB1335)&amp;"",IF($Z1335="A",INDEX(Fixed_Assets!$I$2:$I$201,$AB1335)&amp;"",IF($Z1335="F",INDEX(Workforce!$G$2:$G$151,MATCH(INDEX(FTE_Allocation!$A$2:$A$201,$AB1335),Workforce!$A$2:$A$151,0))&amp;"","")))</f>
        <v/>
      </c>
      <c r="J1335" s="18">
        <f>IF($Z1335="","",IF(AND(DATE($AD1335,1,1)&gt;=$AE1335,DATE($AD1335,1,1)&lt;=$AF1335),ROUND($AG1335,2),0))</f>
        <v/>
      </c>
      <c r="K1335" s="18">
        <f>IF($Z1335="","",IF(AND(DATE($AD1335,2,1)&gt;=$AE1335,DATE($AD1335,2,1)&lt;=$AF1335),ROUND($AG1335,2),0))</f>
        <v/>
      </c>
      <c r="L1335" s="18">
        <f>IF($Z1335="","",IF(AND(DATE($AD1335,3,1)&gt;=$AE1335,DATE($AD1335,3,1)&lt;=$AF1335),ROUND($AG1335,2),0))</f>
        <v/>
      </c>
      <c r="M1335" s="18">
        <f>IF($Z1335="","",IF(AND(DATE($AD1335,4,1)&gt;=$AE1335,DATE($AD1335,4,1)&lt;=$AF1335),ROUND($AG1335,2),0))</f>
        <v/>
      </c>
      <c r="N1335" s="18">
        <f>IF($Z1335="","",IF(AND(DATE($AD1335,5,1)&gt;=$AE1335,DATE($AD1335,5,1)&lt;=$AF1335),ROUND($AG1335,2),0))</f>
        <v/>
      </c>
      <c r="O1335" s="18">
        <f>IF($Z1335="","",IF(AND(DATE($AD1335,6,1)&gt;=$AE1335,DATE($AD1335,6,1)&lt;=$AF1335),ROUND($AG1335,2),0))</f>
        <v/>
      </c>
      <c r="P1335" s="18">
        <f>IF($Z1335="","",IF(AND(DATE($AD1335,7,1)&gt;=$AE1335,DATE($AD1335,7,1)&lt;=$AF1335),ROUND($AG1335,2),0))</f>
        <v/>
      </c>
      <c r="Q1335" s="18">
        <f>IF($Z1335="","",IF(AND(DATE($AD1335,8,1)&gt;=$AE1335,DATE($AD1335,8,1)&lt;=$AF1335),ROUND($AG1335,2),0))</f>
        <v/>
      </c>
      <c r="R1335" s="18">
        <f>IF($Z1335="","",IF(AND(DATE($AD1335,9,1)&gt;=$AE1335,DATE($AD1335,9,1)&lt;=$AF1335),ROUND($AG1335,2),0))</f>
        <v/>
      </c>
      <c r="S1335" s="18">
        <f>IF($Z1335="","",IF(AND(DATE($AD1335,10,1)&gt;=$AE1335,DATE($AD1335,10,1)&lt;=$AF1335),ROUND($AG1335,2),0))</f>
        <v/>
      </c>
      <c r="T1335" s="18">
        <f>IF($Z1335="","",IF(AND(DATE($AD1335,11,1)&gt;=$AE1335,DATE($AD1335,11,1)&lt;=$AF1335),ROUND($AG1335,2),0))</f>
        <v/>
      </c>
      <c r="U1335" s="18">
        <f>IF($Z1335="","",IF(AND(DATE($AD1335,12,1)&gt;=$AE1335,DATE($AD1335,12,1)&lt;=$AF1335),ROUND($AG1335,2),0))</f>
        <v/>
      </c>
      <c r="V1335" s="7">
        <f>IF($Z1335="C","Generated from "&amp;INDEX(Contracts!$A$2:$A$151,$AB1335),IF($Z1335="A","Generated from "&amp;INDEX(Fixed_Assets!$A$2:$A$201,$AB1335),IF($Z1335="F","Generated from "&amp;INDEX(FTE_Allocation!$A$2:$A$201,$AB1335),"")))</f>
        <v/>
      </c>
      <c r="X1335" s="19">
        <f>IF($Z1335="","",SUM(J1335:U1335))</f>
        <v/>
      </c>
      <c r="Y1335" s="20">
        <f>ROW()-1</f>
        <v/>
      </c>
      <c r="Z1335" s="20">
        <f>IF($Y1335&lt;=Settings!$B$4*3,"C",IF($Y1335&lt;=(Settings!$B$4+Settings!$B$5)*3,"A",IF($Y1335&lt;=(Settings!$B$4+Settings!$B$5+Settings!$B$6)*3,"F","")))</f>
        <v/>
      </c>
      <c r="AA1335" s="20">
        <f>IF($Z1335="C",$Y1335,IF($Z1335="A",$Y1335-Settings!$B$4*3,IF($Z1335="F",$Y1335-(Settings!$B$4+Settings!$B$5)*3,"")))</f>
        <v/>
      </c>
      <c r="AB1335" s="20">
        <f>IF($Z1335="","",INT(($AA1335-1)/3)+1)</f>
        <v/>
      </c>
      <c r="AC1335" s="20">
        <f>IF($Z1335="","",MOD($AA1335-1,3)+1)</f>
        <v/>
      </c>
      <c r="AD1335" s="20">
        <f>IF($Z1335="","",Settings!$B$2+$AC1335-1)</f>
        <v/>
      </c>
      <c r="AE1335" s="21">
        <f>IF($Z1335="C",DATE(YEAR(INDEX(Contracts!$J$2:$J$151,$AB1335)),MONTH(INDEX(Contracts!$J$2:$J$151,$AB1335)),1),IF($Z1335="A",DATE(YEAR(INDEX(Fixed_Assets!$G$2:$G$201,$AB1335)),MONTH(INDEX(Fixed_Assets!$G$2:$G$201,$AB1335)),1),IF($Z1335="F",DATE(YEAR(MAX(N(INDEX(Workforce!$I$2:$I$151,MATCH(INDEX(FTE_Allocation!$A$2:$A$201,$AB1335),Workforce!$A$2:$A$151,0))),N(INDEX(FTE_Allocation!$I$2:$I$201,$AB1335)))),MONTH(MAX(N(INDEX(Workforce!$I$2:$I$151,MATCH(INDEX(FTE_Allocation!$A$2:$A$201,$AB1335),Workforce!$A$2:$A$151,0))),N(INDEX(FTE_Allocation!$I$2:$I$201,$AB1335)))),1),"")))</f>
        <v/>
      </c>
      <c r="AF1335" s="21">
        <f>IF($Z1335="C",IF(INDEX(Contracts!$I$2:$I$151,$AB1335)="PREPAID",EDATE(DATE(YEAR(INDEX(Contracts!$J$2:$J$151,$AB1335)),MONTH(INDEX(Contracts!$J$2:$J$151,$AB1335)),1),IF(INDEX(Contracts!$N$2:$N$151,$AB1335)="",12,INDEX(Contracts!$N$2:$N$151,$AB1335))-1),IF(INDEX(Contracts!$I$2:$I$151,$AB1335)="MONTHLY",IF(INDEX(Contracts!$K$2:$K$151,$AB1335)="",2958101,INDEX(Contracts!$K$2:$K$151,$AB1335)),0)),IF($Z1335="A",EDATE(DATE(YEAR(INDEX(Fixed_Assets!$G$2:$G$201,$AB1335)),MONTH(INDEX(Fixed_Assets!$G$2:$G$201,$AB1335)),1),INDEX(Fixed_Assets!$J$2:$J$201,$AB1335)-1),IF($Z1335="F",MIN(IF(INDEX(Workforce!$J$2:$J$151,MATCH(INDEX(FTE_Allocation!$A$2:$A$201,$AB1335),Workforce!$A$2:$A$151,0))="",2958101,INDEX(Workforce!$J$2:$J$151,MATCH(INDEX(FTE_Allocation!$A$2:$A$201,$AB1335),Workforce!$A$2:$A$151,0))),IF(INDEX(FTE_Allocation!$J$2:$J$201,$AB1335)="",2958101,INDEX(FTE_Allocation!$J$2:$J$201,$AB1335))),"")))</f>
        <v/>
      </c>
      <c r="AG1335" s="19">
        <f>IF($Z1335="C",IF(INDEX(Contracts!$I$2:$I$151,$AB1335)="PREPAID",INDEX(Contracts!$M$2:$M$151,$AB1335)/IF(INDEX(Contracts!$N$2:$N$151,$AB1335)="",12,INDEX(Contracts!$N$2:$N$151,$AB1335)),IF(INDEX(Contracts!$I$2:$I$151,$AB1335)="MONTHLY",INDEX(Contracts!$M$2:$M$151,$AB1335),0))*(1-N(INDEX(Contracts!$O$2:$O$151,$AB1335))),IF($Z1335="A",INDEX(Fixed_Assets!$H$2:$H$201,$AB1335)/INDEX(Fixed_Assets!$J$2:$J$201,$AB1335),IF($Z1335="F",INDEX(Workforce!$F$2:$F$151,MATCH(INDEX(FTE_Allocation!$A$2:$A$201,$AB1335),Workforce!$A$2:$A$151,0))*N(INDEX(FTE_Allocation!$F$2:$H$201,$AB1335,$AC1335)),"")))</f>
        <v/>
      </c>
    </row>
    <row r="1336">
      <c r="A1336" s="7">
        <f>IF($Z1336="","",$AD1336)</f>
        <v/>
      </c>
      <c r="B1336" s="7">
        <f>IF($Z1336="C",INDEX(Contracts!$D$2:$D$151,$AB1336)&amp;"",IF($Z1336="A",INDEX(Fixed_Assets!$C$2:$C$201,$AB1336)&amp;"",IF($Z1336="F",INDEX(Workforce!$B$2:$B$151,MATCH(INDEX(FTE_Allocation!$A$2:$A$201,$AB1336),Workforce!$A$2:$A$151,0))&amp;"","")))</f>
        <v/>
      </c>
      <c r="C1336" s="7">
        <f>IF($Z1336="C",INDEX(Contracts!$E$2:$E$151,$AB1336)&amp;"",IF($Z1336="A",INDEX(Fixed_Assets!$D$2:$D$201,$AB1336)&amp;"",IF($Z1336="F",INDEX(FTE_Allocation!$C$2:$C$201,$AB1336)&amp;"","")))</f>
        <v/>
      </c>
      <c r="D1336" s="7">
        <f>IF($Z1336="C",INDEX(Contracts!$B$2:$B$151,$AB1336)&amp;"",IF($Z1336="A",INDEX(Fixed_Assets!$B$2:$B$201,$AB1336)&amp;"",IF($Z1336="F",INDEX(FTE_Allocation!$B$2:$B$201,$AB1336)&amp;"","")))</f>
        <v/>
      </c>
      <c r="E1336" s="7">
        <f>IF($Z1336="C",INDEX(Contracts!$P$2:$P$151,$AB1336)&amp;"",IF($Z1336="A",INDEX(Fixed_Assets!$K$2:$K$201,$AB1336)&amp;"",IF($Z1336="F",IF(INDEX(FTE_Allocation!$D$2:$D$201,$AB1336)="PROJECT",IFERROR(INDEX(Projects!$D:$D,MATCH(INDEX(FTE_Allocation!$E$2:$E$201,$AB1336),Projects!$A:$A,0))&amp;"","#PROJECT?"),INDEX(FTE_Allocation!$E$2:$E$201,$AB1336)&amp;""),"")))</f>
        <v/>
      </c>
      <c r="F1336" s="7">
        <f>IF($Z1336="C",INDEX(Contracts!$Q$2:$Q$151,$AB1336)&amp;"",IF($Z1336="A",INDEX(Fixed_Assets!$L$2:$L$201,$AB1336)&amp;"",IF($Z1336="F",INDEX(Workforce!$K$2:$K$151,MATCH(INDEX(FTE_Allocation!$A$2:$A$201,$AB1336),Workforce!$A$2:$A$151,0))&amp;"","")))</f>
        <v/>
      </c>
      <c r="G1336" s="7">
        <f>IF($Z1336="C",INDEX(Contracts!$F$2:$F$151,$AB1336)&amp;" / "&amp;INDEX(Contracts!$G$2:$G$151,$AB1336),IF($Z1336="A",INDEX(Fixed_Assets!$E$2:$E$201,$AB1336)&amp;"",IF($Z1336="F","Personnel "&amp;INDEX(FTE_Allocation!$A$2:$A$201,$AB1336)&amp;IF(INDEX(FTE_Allocation!$D$2:$D$201,$AB1336)="PROJECT"," ("&amp;INDEX(FTE_Allocation!$E$2:$E$201,$AB1336)&amp;")",""),"")))</f>
        <v/>
      </c>
      <c r="H1336" s="7">
        <f>IF($Z1336="C","CONTRACT",IF($Z1336="A","ASSET",IF($Z1336="F","WORKFORCE","")))</f>
        <v/>
      </c>
      <c r="I1336" s="7">
        <f>IF($Z1336="C",INDEX(Contracts!$L$2:$L$151,$AB1336)&amp;"",IF($Z1336="A",INDEX(Fixed_Assets!$I$2:$I$201,$AB1336)&amp;"",IF($Z1336="F",INDEX(Workforce!$G$2:$G$151,MATCH(INDEX(FTE_Allocation!$A$2:$A$201,$AB1336),Workforce!$A$2:$A$151,0))&amp;"","")))</f>
        <v/>
      </c>
      <c r="J1336" s="18">
        <f>IF($Z1336="","",IF(AND(DATE($AD1336,1,1)&gt;=$AE1336,DATE($AD1336,1,1)&lt;=$AF1336),ROUND($AG1336,2),0))</f>
        <v/>
      </c>
      <c r="K1336" s="18">
        <f>IF($Z1336="","",IF(AND(DATE($AD1336,2,1)&gt;=$AE1336,DATE($AD1336,2,1)&lt;=$AF1336),ROUND($AG1336,2),0))</f>
        <v/>
      </c>
      <c r="L1336" s="18">
        <f>IF($Z1336="","",IF(AND(DATE($AD1336,3,1)&gt;=$AE1336,DATE($AD1336,3,1)&lt;=$AF1336),ROUND($AG1336,2),0))</f>
        <v/>
      </c>
      <c r="M1336" s="18">
        <f>IF($Z1336="","",IF(AND(DATE($AD1336,4,1)&gt;=$AE1336,DATE($AD1336,4,1)&lt;=$AF1336),ROUND($AG1336,2),0))</f>
        <v/>
      </c>
      <c r="N1336" s="18">
        <f>IF($Z1336="","",IF(AND(DATE($AD1336,5,1)&gt;=$AE1336,DATE($AD1336,5,1)&lt;=$AF1336),ROUND($AG1336,2),0))</f>
        <v/>
      </c>
      <c r="O1336" s="18">
        <f>IF($Z1336="","",IF(AND(DATE($AD1336,6,1)&gt;=$AE1336,DATE($AD1336,6,1)&lt;=$AF1336),ROUND($AG1336,2),0))</f>
        <v/>
      </c>
      <c r="P1336" s="18">
        <f>IF($Z1336="","",IF(AND(DATE($AD1336,7,1)&gt;=$AE1336,DATE($AD1336,7,1)&lt;=$AF1336),ROUND($AG1336,2),0))</f>
        <v/>
      </c>
      <c r="Q1336" s="18">
        <f>IF($Z1336="","",IF(AND(DATE($AD1336,8,1)&gt;=$AE1336,DATE($AD1336,8,1)&lt;=$AF1336),ROUND($AG1336,2),0))</f>
        <v/>
      </c>
      <c r="R1336" s="18">
        <f>IF($Z1336="","",IF(AND(DATE($AD1336,9,1)&gt;=$AE1336,DATE($AD1336,9,1)&lt;=$AF1336),ROUND($AG1336,2),0))</f>
        <v/>
      </c>
      <c r="S1336" s="18">
        <f>IF($Z1336="","",IF(AND(DATE($AD1336,10,1)&gt;=$AE1336,DATE($AD1336,10,1)&lt;=$AF1336),ROUND($AG1336,2),0))</f>
        <v/>
      </c>
      <c r="T1336" s="18">
        <f>IF($Z1336="","",IF(AND(DATE($AD1336,11,1)&gt;=$AE1336,DATE($AD1336,11,1)&lt;=$AF1336),ROUND($AG1336,2),0))</f>
        <v/>
      </c>
      <c r="U1336" s="18">
        <f>IF($Z1336="","",IF(AND(DATE($AD1336,12,1)&gt;=$AE1336,DATE($AD1336,12,1)&lt;=$AF1336),ROUND($AG1336,2),0))</f>
        <v/>
      </c>
      <c r="V1336" s="7">
        <f>IF($Z1336="C","Generated from "&amp;INDEX(Contracts!$A$2:$A$151,$AB1336),IF($Z1336="A","Generated from "&amp;INDEX(Fixed_Assets!$A$2:$A$201,$AB1336),IF($Z1336="F","Generated from "&amp;INDEX(FTE_Allocation!$A$2:$A$201,$AB1336),"")))</f>
        <v/>
      </c>
      <c r="X1336" s="19">
        <f>IF($Z1336="","",SUM(J1336:U1336))</f>
        <v/>
      </c>
      <c r="Y1336" s="20">
        <f>ROW()-1</f>
        <v/>
      </c>
      <c r="Z1336" s="20">
        <f>IF($Y1336&lt;=Settings!$B$4*3,"C",IF($Y1336&lt;=(Settings!$B$4+Settings!$B$5)*3,"A",IF($Y1336&lt;=(Settings!$B$4+Settings!$B$5+Settings!$B$6)*3,"F","")))</f>
        <v/>
      </c>
      <c r="AA1336" s="20">
        <f>IF($Z1336="C",$Y1336,IF($Z1336="A",$Y1336-Settings!$B$4*3,IF($Z1336="F",$Y1336-(Settings!$B$4+Settings!$B$5)*3,"")))</f>
        <v/>
      </c>
      <c r="AB1336" s="20">
        <f>IF($Z1336="","",INT(($AA1336-1)/3)+1)</f>
        <v/>
      </c>
      <c r="AC1336" s="20">
        <f>IF($Z1336="","",MOD($AA1336-1,3)+1)</f>
        <v/>
      </c>
      <c r="AD1336" s="20">
        <f>IF($Z1336="","",Settings!$B$2+$AC1336-1)</f>
        <v/>
      </c>
      <c r="AE1336" s="21">
        <f>IF($Z1336="C",DATE(YEAR(INDEX(Contracts!$J$2:$J$151,$AB1336)),MONTH(INDEX(Contracts!$J$2:$J$151,$AB1336)),1),IF($Z1336="A",DATE(YEAR(INDEX(Fixed_Assets!$G$2:$G$201,$AB1336)),MONTH(INDEX(Fixed_Assets!$G$2:$G$201,$AB1336)),1),IF($Z1336="F",DATE(YEAR(MAX(N(INDEX(Workforce!$I$2:$I$151,MATCH(INDEX(FTE_Allocation!$A$2:$A$201,$AB1336),Workforce!$A$2:$A$151,0))),N(INDEX(FTE_Allocation!$I$2:$I$201,$AB1336)))),MONTH(MAX(N(INDEX(Workforce!$I$2:$I$151,MATCH(INDEX(FTE_Allocation!$A$2:$A$201,$AB1336),Workforce!$A$2:$A$151,0))),N(INDEX(FTE_Allocation!$I$2:$I$201,$AB1336)))),1),"")))</f>
        <v/>
      </c>
      <c r="AF1336" s="21">
        <f>IF($Z1336="C",IF(INDEX(Contracts!$I$2:$I$151,$AB1336)="PREPAID",EDATE(DATE(YEAR(INDEX(Contracts!$J$2:$J$151,$AB1336)),MONTH(INDEX(Contracts!$J$2:$J$151,$AB1336)),1),IF(INDEX(Contracts!$N$2:$N$151,$AB1336)="",12,INDEX(Contracts!$N$2:$N$151,$AB1336))-1),IF(INDEX(Contracts!$I$2:$I$151,$AB1336)="MONTHLY",IF(INDEX(Contracts!$K$2:$K$151,$AB1336)="",2958101,INDEX(Contracts!$K$2:$K$151,$AB1336)),0)),IF($Z1336="A",EDATE(DATE(YEAR(INDEX(Fixed_Assets!$G$2:$G$201,$AB1336)),MONTH(INDEX(Fixed_Assets!$G$2:$G$201,$AB1336)),1),INDEX(Fixed_Assets!$J$2:$J$201,$AB1336)-1),IF($Z1336="F",MIN(IF(INDEX(Workforce!$J$2:$J$151,MATCH(INDEX(FTE_Allocation!$A$2:$A$201,$AB1336),Workforce!$A$2:$A$151,0))="",2958101,INDEX(Workforce!$J$2:$J$151,MATCH(INDEX(FTE_Allocation!$A$2:$A$201,$AB1336),Workforce!$A$2:$A$151,0))),IF(INDEX(FTE_Allocation!$J$2:$J$201,$AB1336)="",2958101,INDEX(FTE_Allocation!$J$2:$J$201,$AB1336))),"")))</f>
        <v/>
      </c>
      <c r="AG1336" s="19">
        <f>IF($Z1336="C",IF(INDEX(Contracts!$I$2:$I$151,$AB1336)="PREPAID",INDEX(Contracts!$M$2:$M$151,$AB1336)/IF(INDEX(Contracts!$N$2:$N$151,$AB1336)="",12,INDEX(Contracts!$N$2:$N$151,$AB1336)),IF(INDEX(Contracts!$I$2:$I$151,$AB1336)="MONTHLY",INDEX(Contracts!$M$2:$M$151,$AB1336),0))*(1-N(INDEX(Contracts!$O$2:$O$151,$AB1336))),IF($Z1336="A",INDEX(Fixed_Assets!$H$2:$H$201,$AB1336)/INDEX(Fixed_Assets!$J$2:$J$201,$AB1336),IF($Z1336="F",INDEX(Workforce!$F$2:$F$151,MATCH(INDEX(FTE_Allocation!$A$2:$A$201,$AB1336),Workforce!$A$2:$A$151,0))*N(INDEX(FTE_Allocation!$F$2:$H$201,$AB1336,$AC1336)),"")))</f>
        <v/>
      </c>
    </row>
    <row r="1337">
      <c r="A1337" s="7">
        <f>IF($Z1337="","",$AD1337)</f>
        <v/>
      </c>
      <c r="B1337" s="7">
        <f>IF($Z1337="C",INDEX(Contracts!$D$2:$D$151,$AB1337)&amp;"",IF($Z1337="A",INDEX(Fixed_Assets!$C$2:$C$201,$AB1337)&amp;"",IF($Z1337="F",INDEX(Workforce!$B$2:$B$151,MATCH(INDEX(FTE_Allocation!$A$2:$A$201,$AB1337),Workforce!$A$2:$A$151,0))&amp;"","")))</f>
        <v/>
      </c>
      <c r="C1337" s="7">
        <f>IF($Z1337="C",INDEX(Contracts!$E$2:$E$151,$AB1337)&amp;"",IF($Z1337="A",INDEX(Fixed_Assets!$D$2:$D$201,$AB1337)&amp;"",IF($Z1337="F",INDEX(FTE_Allocation!$C$2:$C$201,$AB1337)&amp;"","")))</f>
        <v/>
      </c>
      <c r="D1337" s="7">
        <f>IF($Z1337="C",INDEX(Contracts!$B$2:$B$151,$AB1337)&amp;"",IF($Z1337="A",INDEX(Fixed_Assets!$B$2:$B$201,$AB1337)&amp;"",IF($Z1337="F",INDEX(FTE_Allocation!$B$2:$B$201,$AB1337)&amp;"","")))</f>
        <v/>
      </c>
      <c r="E1337" s="7">
        <f>IF($Z1337="C",INDEX(Contracts!$P$2:$P$151,$AB1337)&amp;"",IF($Z1337="A",INDEX(Fixed_Assets!$K$2:$K$201,$AB1337)&amp;"",IF($Z1337="F",IF(INDEX(FTE_Allocation!$D$2:$D$201,$AB1337)="PROJECT",IFERROR(INDEX(Projects!$D:$D,MATCH(INDEX(FTE_Allocation!$E$2:$E$201,$AB1337),Projects!$A:$A,0))&amp;"","#PROJECT?"),INDEX(FTE_Allocation!$E$2:$E$201,$AB1337)&amp;""),"")))</f>
        <v/>
      </c>
      <c r="F1337" s="7">
        <f>IF($Z1337="C",INDEX(Contracts!$Q$2:$Q$151,$AB1337)&amp;"",IF($Z1337="A",INDEX(Fixed_Assets!$L$2:$L$201,$AB1337)&amp;"",IF($Z1337="F",INDEX(Workforce!$K$2:$K$151,MATCH(INDEX(FTE_Allocation!$A$2:$A$201,$AB1337),Workforce!$A$2:$A$151,0))&amp;"","")))</f>
        <v/>
      </c>
      <c r="G1337" s="7">
        <f>IF($Z1337="C",INDEX(Contracts!$F$2:$F$151,$AB1337)&amp;" / "&amp;INDEX(Contracts!$G$2:$G$151,$AB1337),IF($Z1337="A",INDEX(Fixed_Assets!$E$2:$E$201,$AB1337)&amp;"",IF($Z1337="F","Personnel "&amp;INDEX(FTE_Allocation!$A$2:$A$201,$AB1337)&amp;IF(INDEX(FTE_Allocation!$D$2:$D$201,$AB1337)="PROJECT"," ("&amp;INDEX(FTE_Allocation!$E$2:$E$201,$AB1337)&amp;")",""),"")))</f>
        <v/>
      </c>
      <c r="H1337" s="7">
        <f>IF($Z1337="C","CONTRACT",IF($Z1337="A","ASSET",IF($Z1337="F","WORKFORCE","")))</f>
        <v/>
      </c>
      <c r="I1337" s="7">
        <f>IF($Z1337="C",INDEX(Contracts!$L$2:$L$151,$AB1337)&amp;"",IF($Z1337="A",INDEX(Fixed_Assets!$I$2:$I$201,$AB1337)&amp;"",IF($Z1337="F",INDEX(Workforce!$G$2:$G$151,MATCH(INDEX(FTE_Allocation!$A$2:$A$201,$AB1337),Workforce!$A$2:$A$151,0))&amp;"","")))</f>
        <v/>
      </c>
      <c r="J1337" s="18">
        <f>IF($Z1337="","",IF(AND(DATE($AD1337,1,1)&gt;=$AE1337,DATE($AD1337,1,1)&lt;=$AF1337),ROUND($AG1337,2),0))</f>
        <v/>
      </c>
      <c r="K1337" s="18">
        <f>IF($Z1337="","",IF(AND(DATE($AD1337,2,1)&gt;=$AE1337,DATE($AD1337,2,1)&lt;=$AF1337),ROUND($AG1337,2),0))</f>
        <v/>
      </c>
      <c r="L1337" s="18">
        <f>IF($Z1337="","",IF(AND(DATE($AD1337,3,1)&gt;=$AE1337,DATE($AD1337,3,1)&lt;=$AF1337),ROUND($AG1337,2),0))</f>
        <v/>
      </c>
      <c r="M1337" s="18">
        <f>IF($Z1337="","",IF(AND(DATE($AD1337,4,1)&gt;=$AE1337,DATE($AD1337,4,1)&lt;=$AF1337),ROUND($AG1337,2),0))</f>
        <v/>
      </c>
      <c r="N1337" s="18">
        <f>IF($Z1337="","",IF(AND(DATE($AD1337,5,1)&gt;=$AE1337,DATE($AD1337,5,1)&lt;=$AF1337),ROUND($AG1337,2),0))</f>
        <v/>
      </c>
      <c r="O1337" s="18">
        <f>IF($Z1337="","",IF(AND(DATE($AD1337,6,1)&gt;=$AE1337,DATE($AD1337,6,1)&lt;=$AF1337),ROUND($AG1337,2),0))</f>
        <v/>
      </c>
      <c r="P1337" s="18">
        <f>IF($Z1337="","",IF(AND(DATE($AD1337,7,1)&gt;=$AE1337,DATE($AD1337,7,1)&lt;=$AF1337),ROUND($AG1337,2),0))</f>
        <v/>
      </c>
      <c r="Q1337" s="18">
        <f>IF($Z1337="","",IF(AND(DATE($AD1337,8,1)&gt;=$AE1337,DATE($AD1337,8,1)&lt;=$AF1337),ROUND($AG1337,2),0))</f>
        <v/>
      </c>
      <c r="R1337" s="18">
        <f>IF($Z1337="","",IF(AND(DATE($AD1337,9,1)&gt;=$AE1337,DATE($AD1337,9,1)&lt;=$AF1337),ROUND($AG1337,2),0))</f>
        <v/>
      </c>
      <c r="S1337" s="18">
        <f>IF($Z1337="","",IF(AND(DATE($AD1337,10,1)&gt;=$AE1337,DATE($AD1337,10,1)&lt;=$AF1337),ROUND($AG1337,2),0))</f>
        <v/>
      </c>
      <c r="T1337" s="18">
        <f>IF($Z1337="","",IF(AND(DATE($AD1337,11,1)&gt;=$AE1337,DATE($AD1337,11,1)&lt;=$AF1337),ROUND($AG1337,2),0))</f>
        <v/>
      </c>
      <c r="U1337" s="18">
        <f>IF($Z1337="","",IF(AND(DATE($AD1337,12,1)&gt;=$AE1337,DATE($AD1337,12,1)&lt;=$AF1337),ROUND($AG1337,2),0))</f>
        <v/>
      </c>
      <c r="V1337" s="7">
        <f>IF($Z1337="C","Generated from "&amp;INDEX(Contracts!$A$2:$A$151,$AB1337),IF($Z1337="A","Generated from "&amp;INDEX(Fixed_Assets!$A$2:$A$201,$AB1337),IF($Z1337="F","Generated from "&amp;INDEX(FTE_Allocation!$A$2:$A$201,$AB1337),"")))</f>
        <v/>
      </c>
      <c r="X1337" s="19">
        <f>IF($Z1337="","",SUM(J1337:U1337))</f>
        <v/>
      </c>
      <c r="Y1337" s="20">
        <f>ROW()-1</f>
        <v/>
      </c>
      <c r="Z1337" s="20">
        <f>IF($Y1337&lt;=Settings!$B$4*3,"C",IF($Y1337&lt;=(Settings!$B$4+Settings!$B$5)*3,"A",IF($Y1337&lt;=(Settings!$B$4+Settings!$B$5+Settings!$B$6)*3,"F","")))</f>
        <v/>
      </c>
      <c r="AA1337" s="20">
        <f>IF($Z1337="C",$Y1337,IF($Z1337="A",$Y1337-Settings!$B$4*3,IF($Z1337="F",$Y1337-(Settings!$B$4+Settings!$B$5)*3,"")))</f>
        <v/>
      </c>
      <c r="AB1337" s="20">
        <f>IF($Z1337="","",INT(($AA1337-1)/3)+1)</f>
        <v/>
      </c>
      <c r="AC1337" s="20">
        <f>IF($Z1337="","",MOD($AA1337-1,3)+1)</f>
        <v/>
      </c>
      <c r="AD1337" s="20">
        <f>IF($Z1337="","",Settings!$B$2+$AC1337-1)</f>
        <v/>
      </c>
      <c r="AE1337" s="21">
        <f>IF($Z1337="C",DATE(YEAR(INDEX(Contracts!$J$2:$J$151,$AB1337)),MONTH(INDEX(Contracts!$J$2:$J$151,$AB1337)),1),IF($Z1337="A",DATE(YEAR(INDEX(Fixed_Assets!$G$2:$G$201,$AB1337)),MONTH(INDEX(Fixed_Assets!$G$2:$G$201,$AB1337)),1),IF($Z1337="F",DATE(YEAR(MAX(N(INDEX(Workforce!$I$2:$I$151,MATCH(INDEX(FTE_Allocation!$A$2:$A$201,$AB1337),Workforce!$A$2:$A$151,0))),N(INDEX(FTE_Allocation!$I$2:$I$201,$AB1337)))),MONTH(MAX(N(INDEX(Workforce!$I$2:$I$151,MATCH(INDEX(FTE_Allocation!$A$2:$A$201,$AB1337),Workforce!$A$2:$A$151,0))),N(INDEX(FTE_Allocation!$I$2:$I$201,$AB1337)))),1),"")))</f>
        <v/>
      </c>
      <c r="AF1337" s="21">
        <f>IF($Z1337="C",IF(INDEX(Contracts!$I$2:$I$151,$AB1337)="PREPAID",EDATE(DATE(YEAR(INDEX(Contracts!$J$2:$J$151,$AB1337)),MONTH(INDEX(Contracts!$J$2:$J$151,$AB1337)),1),IF(INDEX(Contracts!$N$2:$N$151,$AB1337)="",12,INDEX(Contracts!$N$2:$N$151,$AB1337))-1),IF(INDEX(Contracts!$I$2:$I$151,$AB1337)="MONTHLY",IF(INDEX(Contracts!$K$2:$K$151,$AB1337)="",2958101,INDEX(Contracts!$K$2:$K$151,$AB1337)),0)),IF($Z1337="A",EDATE(DATE(YEAR(INDEX(Fixed_Assets!$G$2:$G$201,$AB1337)),MONTH(INDEX(Fixed_Assets!$G$2:$G$201,$AB1337)),1),INDEX(Fixed_Assets!$J$2:$J$201,$AB1337)-1),IF($Z1337="F",MIN(IF(INDEX(Workforce!$J$2:$J$151,MATCH(INDEX(FTE_Allocation!$A$2:$A$201,$AB1337),Workforce!$A$2:$A$151,0))="",2958101,INDEX(Workforce!$J$2:$J$151,MATCH(INDEX(FTE_Allocation!$A$2:$A$201,$AB1337),Workforce!$A$2:$A$151,0))),IF(INDEX(FTE_Allocation!$J$2:$J$201,$AB1337)="",2958101,INDEX(FTE_Allocation!$J$2:$J$201,$AB1337))),"")))</f>
        <v/>
      </c>
      <c r="AG1337" s="19">
        <f>IF($Z1337="C",IF(INDEX(Contracts!$I$2:$I$151,$AB1337)="PREPAID",INDEX(Contracts!$M$2:$M$151,$AB1337)/IF(INDEX(Contracts!$N$2:$N$151,$AB1337)="",12,INDEX(Contracts!$N$2:$N$151,$AB1337)),IF(INDEX(Contracts!$I$2:$I$151,$AB1337)="MONTHLY",INDEX(Contracts!$M$2:$M$151,$AB1337),0))*(1-N(INDEX(Contracts!$O$2:$O$151,$AB1337))),IF($Z1337="A",INDEX(Fixed_Assets!$H$2:$H$201,$AB1337)/INDEX(Fixed_Assets!$J$2:$J$201,$AB1337),IF($Z1337="F",INDEX(Workforce!$F$2:$F$151,MATCH(INDEX(FTE_Allocation!$A$2:$A$201,$AB1337),Workforce!$A$2:$A$151,0))*N(INDEX(FTE_Allocation!$F$2:$H$201,$AB1337,$AC1337)),"")))</f>
        <v/>
      </c>
    </row>
    <row r="1338">
      <c r="A1338" s="7">
        <f>IF($Z1338="","",$AD1338)</f>
        <v/>
      </c>
      <c r="B1338" s="7">
        <f>IF($Z1338="C",INDEX(Contracts!$D$2:$D$151,$AB1338)&amp;"",IF($Z1338="A",INDEX(Fixed_Assets!$C$2:$C$201,$AB1338)&amp;"",IF($Z1338="F",INDEX(Workforce!$B$2:$B$151,MATCH(INDEX(FTE_Allocation!$A$2:$A$201,$AB1338),Workforce!$A$2:$A$151,0))&amp;"","")))</f>
        <v/>
      </c>
      <c r="C1338" s="7">
        <f>IF($Z1338="C",INDEX(Contracts!$E$2:$E$151,$AB1338)&amp;"",IF($Z1338="A",INDEX(Fixed_Assets!$D$2:$D$201,$AB1338)&amp;"",IF($Z1338="F",INDEX(FTE_Allocation!$C$2:$C$201,$AB1338)&amp;"","")))</f>
        <v/>
      </c>
      <c r="D1338" s="7">
        <f>IF($Z1338="C",INDEX(Contracts!$B$2:$B$151,$AB1338)&amp;"",IF($Z1338="A",INDEX(Fixed_Assets!$B$2:$B$201,$AB1338)&amp;"",IF($Z1338="F",INDEX(FTE_Allocation!$B$2:$B$201,$AB1338)&amp;"","")))</f>
        <v/>
      </c>
      <c r="E1338" s="7">
        <f>IF($Z1338="C",INDEX(Contracts!$P$2:$P$151,$AB1338)&amp;"",IF($Z1338="A",INDEX(Fixed_Assets!$K$2:$K$201,$AB1338)&amp;"",IF($Z1338="F",IF(INDEX(FTE_Allocation!$D$2:$D$201,$AB1338)="PROJECT",IFERROR(INDEX(Projects!$D:$D,MATCH(INDEX(FTE_Allocation!$E$2:$E$201,$AB1338),Projects!$A:$A,0))&amp;"","#PROJECT?"),INDEX(FTE_Allocation!$E$2:$E$201,$AB1338)&amp;""),"")))</f>
        <v/>
      </c>
      <c r="F1338" s="7">
        <f>IF($Z1338="C",INDEX(Contracts!$Q$2:$Q$151,$AB1338)&amp;"",IF($Z1338="A",INDEX(Fixed_Assets!$L$2:$L$201,$AB1338)&amp;"",IF($Z1338="F",INDEX(Workforce!$K$2:$K$151,MATCH(INDEX(FTE_Allocation!$A$2:$A$201,$AB1338),Workforce!$A$2:$A$151,0))&amp;"","")))</f>
        <v/>
      </c>
      <c r="G1338" s="7">
        <f>IF($Z1338="C",INDEX(Contracts!$F$2:$F$151,$AB1338)&amp;" / "&amp;INDEX(Contracts!$G$2:$G$151,$AB1338),IF($Z1338="A",INDEX(Fixed_Assets!$E$2:$E$201,$AB1338)&amp;"",IF($Z1338="F","Personnel "&amp;INDEX(FTE_Allocation!$A$2:$A$201,$AB1338)&amp;IF(INDEX(FTE_Allocation!$D$2:$D$201,$AB1338)="PROJECT"," ("&amp;INDEX(FTE_Allocation!$E$2:$E$201,$AB1338)&amp;")",""),"")))</f>
        <v/>
      </c>
      <c r="H1338" s="7">
        <f>IF($Z1338="C","CONTRACT",IF($Z1338="A","ASSET",IF($Z1338="F","WORKFORCE","")))</f>
        <v/>
      </c>
      <c r="I1338" s="7">
        <f>IF($Z1338="C",INDEX(Contracts!$L$2:$L$151,$AB1338)&amp;"",IF($Z1338="A",INDEX(Fixed_Assets!$I$2:$I$201,$AB1338)&amp;"",IF($Z1338="F",INDEX(Workforce!$G$2:$G$151,MATCH(INDEX(FTE_Allocation!$A$2:$A$201,$AB1338),Workforce!$A$2:$A$151,0))&amp;"","")))</f>
        <v/>
      </c>
      <c r="J1338" s="18">
        <f>IF($Z1338="","",IF(AND(DATE($AD1338,1,1)&gt;=$AE1338,DATE($AD1338,1,1)&lt;=$AF1338),ROUND($AG1338,2),0))</f>
        <v/>
      </c>
      <c r="K1338" s="18">
        <f>IF($Z1338="","",IF(AND(DATE($AD1338,2,1)&gt;=$AE1338,DATE($AD1338,2,1)&lt;=$AF1338),ROUND($AG1338,2),0))</f>
        <v/>
      </c>
      <c r="L1338" s="18">
        <f>IF($Z1338="","",IF(AND(DATE($AD1338,3,1)&gt;=$AE1338,DATE($AD1338,3,1)&lt;=$AF1338),ROUND($AG1338,2),0))</f>
        <v/>
      </c>
      <c r="M1338" s="18">
        <f>IF($Z1338="","",IF(AND(DATE($AD1338,4,1)&gt;=$AE1338,DATE($AD1338,4,1)&lt;=$AF1338),ROUND($AG1338,2),0))</f>
        <v/>
      </c>
      <c r="N1338" s="18">
        <f>IF($Z1338="","",IF(AND(DATE($AD1338,5,1)&gt;=$AE1338,DATE($AD1338,5,1)&lt;=$AF1338),ROUND($AG1338,2),0))</f>
        <v/>
      </c>
      <c r="O1338" s="18">
        <f>IF($Z1338="","",IF(AND(DATE($AD1338,6,1)&gt;=$AE1338,DATE($AD1338,6,1)&lt;=$AF1338),ROUND($AG1338,2),0))</f>
        <v/>
      </c>
      <c r="P1338" s="18">
        <f>IF($Z1338="","",IF(AND(DATE($AD1338,7,1)&gt;=$AE1338,DATE($AD1338,7,1)&lt;=$AF1338),ROUND($AG1338,2),0))</f>
        <v/>
      </c>
      <c r="Q1338" s="18">
        <f>IF($Z1338="","",IF(AND(DATE($AD1338,8,1)&gt;=$AE1338,DATE($AD1338,8,1)&lt;=$AF1338),ROUND($AG1338,2),0))</f>
        <v/>
      </c>
      <c r="R1338" s="18">
        <f>IF($Z1338="","",IF(AND(DATE($AD1338,9,1)&gt;=$AE1338,DATE($AD1338,9,1)&lt;=$AF1338),ROUND($AG1338,2),0))</f>
        <v/>
      </c>
      <c r="S1338" s="18">
        <f>IF($Z1338="","",IF(AND(DATE($AD1338,10,1)&gt;=$AE1338,DATE($AD1338,10,1)&lt;=$AF1338),ROUND($AG1338,2),0))</f>
        <v/>
      </c>
      <c r="T1338" s="18">
        <f>IF($Z1338="","",IF(AND(DATE($AD1338,11,1)&gt;=$AE1338,DATE($AD1338,11,1)&lt;=$AF1338),ROUND($AG1338,2),0))</f>
        <v/>
      </c>
      <c r="U1338" s="18">
        <f>IF($Z1338="","",IF(AND(DATE($AD1338,12,1)&gt;=$AE1338,DATE($AD1338,12,1)&lt;=$AF1338),ROUND($AG1338,2),0))</f>
        <v/>
      </c>
      <c r="V1338" s="7">
        <f>IF($Z1338="C","Generated from "&amp;INDEX(Contracts!$A$2:$A$151,$AB1338),IF($Z1338="A","Generated from "&amp;INDEX(Fixed_Assets!$A$2:$A$201,$AB1338),IF($Z1338="F","Generated from "&amp;INDEX(FTE_Allocation!$A$2:$A$201,$AB1338),"")))</f>
        <v/>
      </c>
      <c r="X1338" s="19">
        <f>IF($Z1338="","",SUM(J1338:U1338))</f>
        <v/>
      </c>
      <c r="Y1338" s="20">
        <f>ROW()-1</f>
        <v/>
      </c>
      <c r="Z1338" s="20">
        <f>IF($Y1338&lt;=Settings!$B$4*3,"C",IF($Y1338&lt;=(Settings!$B$4+Settings!$B$5)*3,"A",IF($Y1338&lt;=(Settings!$B$4+Settings!$B$5+Settings!$B$6)*3,"F","")))</f>
        <v/>
      </c>
      <c r="AA1338" s="20">
        <f>IF($Z1338="C",$Y1338,IF($Z1338="A",$Y1338-Settings!$B$4*3,IF($Z1338="F",$Y1338-(Settings!$B$4+Settings!$B$5)*3,"")))</f>
        <v/>
      </c>
      <c r="AB1338" s="20">
        <f>IF($Z1338="","",INT(($AA1338-1)/3)+1)</f>
        <v/>
      </c>
      <c r="AC1338" s="20">
        <f>IF($Z1338="","",MOD($AA1338-1,3)+1)</f>
        <v/>
      </c>
      <c r="AD1338" s="20">
        <f>IF($Z1338="","",Settings!$B$2+$AC1338-1)</f>
        <v/>
      </c>
      <c r="AE1338" s="21">
        <f>IF($Z1338="C",DATE(YEAR(INDEX(Contracts!$J$2:$J$151,$AB1338)),MONTH(INDEX(Contracts!$J$2:$J$151,$AB1338)),1),IF($Z1338="A",DATE(YEAR(INDEX(Fixed_Assets!$G$2:$G$201,$AB1338)),MONTH(INDEX(Fixed_Assets!$G$2:$G$201,$AB1338)),1),IF($Z1338="F",DATE(YEAR(MAX(N(INDEX(Workforce!$I$2:$I$151,MATCH(INDEX(FTE_Allocation!$A$2:$A$201,$AB1338),Workforce!$A$2:$A$151,0))),N(INDEX(FTE_Allocation!$I$2:$I$201,$AB1338)))),MONTH(MAX(N(INDEX(Workforce!$I$2:$I$151,MATCH(INDEX(FTE_Allocation!$A$2:$A$201,$AB1338),Workforce!$A$2:$A$151,0))),N(INDEX(FTE_Allocation!$I$2:$I$201,$AB1338)))),1),"")))</f>
        <v/>
      </c>
      <c r="AF1338" s="21">
        <f>IF($Z1338="C",IF(INDEX(Contracts!$I$2:$I$151,$AB1338)="PREPAID",EDATE(DATE(YEAR(INDEX(Contracts!$J$2:$J$151,$AB1338)),MONTH(INDEX(Contracts!$J$2:$J$151,$AB1338)),1),IF(INDEX(Contracts!$N$2:$N$151,$AB1338)="",12,INDEX(Contracts!$N$2:$N$151,$AB1338))-1),IF(INDEX(Contracts!$I$2:$I$151,$AB1338)="MONTHLY",IF(INDEX(Contracts!$K$2:$K$151,$AB1338)="",2958101,INDEX(Contracts!$K$2:$K$151,$AB1338)),0)),IF($Z1338="A",EDATE(DATE(YEAR(INDEX(Fixed_Assets!$G$2:$G$201,$AB1338)),MONTH(INDEX(Fixed_Assets!$G$2:$G$201,$AB1338)),1),INDEX(Fixed_Assets!$J$2:$J$201,$AB1338)-1),IF($Z1338="F",MIN(IF(INDEX(Workforce!$J$2:$J$151,MATCH(INDEX(FTE_Allocation!$A$2:$A$201,$AB1338),Workforce!$A$2:$A$151,0))="",2958101,INDEX(Workforce!$J$2:$J$151,MATCH(INDEX(FTE_Allocation!$A$2:$A$201,$AB1338),Workforce!$A$2:$A$151,0))),IF(INDEX(FTE_Allocation!$J$2:$J$201,$AB1338)="",2958101,INDEX(FTE_Allocation!$J$2:$J$201,$AB1338))),"")))</f>
        <v/>
      </c>
      <c r="AG1338" s="19">
        <f>IF($Z1338="C",IF(INDEX(Contracts!$I$2:$I$151,$AB1338)="PREPAID",INDEX(Contracts!$M$2:$M$151,$AB1338)/IF(INDEX(Contracts!$N$2:$N$151,$AB1338)="",12,INDEX(Contracts!$N$2:$N$151,$AB1338)),IF(INDEX(Contracts!$I$2:$I$151,$AB1338)="MONTHLY",INDEX(Contracts!$M$2:$M$151,$AB1338),0))*(1-N(INDEX(Contracts!$O$2:$O$151,$AB1338))),IF($Z1338="A",INDEX(Fixed_Assets!$H$2:$H$201,$AB1338)/INDEX(Fixed_Assets!$J$2:$J$201,$AB1338),IF($Z1338="F",INDEX(Workforce!$F$2:$F$151,MATCH(INDEX(FTE_Allocation!$A$2:$A$201,$AB1338),Workforce!$A$2:$A$151,0))*N(INDEX(FTE_Allocation!$F$2:$H$201,$AB1338,$AC1338)),"")))</f>
        <v/>
      </c>
    </row>
    <row r="1339">
      <c r="A1339" s="7">
        <f>IF($Z1339="","",$AD1339)</f>
        <v/>
      </c>
      <c r="B1339" s="7">
        <f>IF($Z1339="C",INDEX(Contracts!$D$2:$D$151,$AB1339)&amp;"",IF($Z1339="A",INDEX(Fixed_Assets!$C$2:$C$201,$AB1339)&amp;"",IF($Z1339="F",INDEX(Workforce!$B$2:$B$151,MATCH(INDEX(FTE_Allocation!$A$2:$A$201,$AB1339),Workforce!$A$2:$A$151,0))&amp;"","")))</f>
        <v/>
      </c>
      <c r="C1339" s="7">
        <f>IF($Z1339="C",INDEX(Contracts!$E$2:$E$151,$AB1339)&amp;"",IF($Z1339="A",INDEX(Fixed_Assets!$D$2:$D$201,$AB1339)&amp;"",IF($Z1339="F",INDEX(FTE_Allocation!$C$2:$C$201,$AB1339)&amp;"","")))</f>
        <v/>
      </c>
      <c r="D1339" s="7">
        <f>IF($Z1339="C",INDEX(Contracts!$B$2:$B$151,$AB1339)&amp;"",IF($Z1339="A",INDEX(Fixed_Assets!$B$2:$B$201,$AB1339)&amp;"",IF($Z1339="F",INDEX(FTE_Allocation!$B$2:$B$201,$AB1339)&amp;"","")))</f>
        <v/>
      </c>
      <c r="E1339" s="7">
        <f>IF($Z1339="C",INDEX(Contracts!$P$2:$P$151,$AB1339)&amp;"",IF($Z1339="A",INDEX(Fixed_Assets!$K$2:$K$201,$AB1339)&amp;"",IF($Z1339="F",IF(INDEX(FTE_Allocation!$D$2:$D$201,$AB1339)="PROJECT",IFERROR(INDEX(Projects!$D:$D,MATCH(INDEX(FTE_Allocation!$E$2:$E$201,$AB1339),Projects!$A:$A,0))&amp;"","#PROJECT?"),INDEX(FTE_Allocation!$E$2:$E$201,$AB1339)&amp;""),"")))</f>
        <v/>
      </c>
      <c r="F1339" s="7">
        <f>IF($Z1339="C",INDEX(Contracts!$Q$2:$Q$151,$AB1339)&amp;"",IF($Z1339="A",INDEX(Fixed_Assets!$L$2:$L$201,$AB1339)&amp;"",IF($Z1339="F",INDEX(Workforce!$K$2:$K$151,MATCH(INDEX(FTE_Allocation!$A$2:$A$201,$AB1339),Workforce!$A$2:$A$151,0))&amp;"","")))</f>
        <v/>
      </c>
      <c r="G1339" s="7">
        <f>IF($Z1339="C",INDEX(Contracts!$F$2:$F$151,$AB1339)&amp;" / "&amp;INDEX(Contracts!$G$2:$G$151,$AB1339),IF($Z1339="A",INDEX(Fixed_Assets!$E$2:$E$201,$AB1339)&amp;"",IF($Z1339="F","Personnel "&amp;INDEX(FTE_Allocation!$A$2:$A$201,$AB1339)&amp;IF(INDEX(FTE_Allocation!$D$2:$D$201,$AB1339)="PROJECT"," ("&amp;INDEX(FTE_Allocation!$E$2:$E$201,$AB1339)&amp;")",""),"")))</f>
        <v/>
      </c>
      <c r="H1339" s="7">
        <f>IF($Z1339="C","CONTRACT",IF($Z1339="A","ASSET",IF($Z1339="F","WORKFORCE","")))</f>
        <v/>
      </c>
      <c r="I1339" s="7">
        <f>IF($Z1339="C",INDEX(Contracts!$L$2:$L$151,$AB1339)&amp;"",IF($Z1339="A",INDEX(Fixed_Assets!$I$2:$I$201,$AB1339)&amp;"",IF($Z1339="F",INDEX(Workforce!$G$2:$G$151,MATCH(INDEX(FTE_Allocation!$A$2:$A$201,$AB1339),Workforce!$A$2:$A$151,0))&amp;"","")))</f>
        <v/>
      </c>
      <c r="J1339" s="18">
        <f>IF($Z1339="","",IF(AND(DATE($AD1339,1,1)&gt;=$AE1339,DATE($AD1339,1,1)&lt;=$AF1339),ROUND($AG1339,2),0))</f>
        <v/>
      </c>
      <c r="K1339" s="18">
        <f>IF($Z1339="","",IF(AND(DATE($AD1339,2,1)&gt;=$AE1339,DATE($AD1339,2,1)&lt;=$AF1339),ROUND($AG1339,2),0))</f>
        <v/>
      </c>
      <c r="L1339" s="18">
        <f>IF($Z1339="","",IF(AND(DATE($AD1339,3,1)&gt;=$AE1339,DATE($AD1339,3,1)&lt;=$AF1339),ROUND($AG1339,2),0))</f>
        <v/>
      </c>
      <c r="M1339" s="18">
        <f>IF($Z1339="","",IF(AND(DATE($AD1339,4,1)&gt;=$AE1339,DATE($AD1339,4,1)&lt;=$AF1339),ROUND($AG1339,2),0))</f>
        <v/>
      </c>
      <c r="N1339" s="18">
        <f>IF($Z1339="","",IF(AND(DATE($AD1339,5,1)&gt;=$AE1339,DATE($AD1339,5,1)&lt;=$AF1339),ROUND($AG1339,2),0))</f>
        <v/>
      </c>
      <c r="O1339" s="18">
        <f>IF($Z1339="","",IF(AND(DATE($AD1339,6,1)&gt;=$AE1339,DATE($AD1339,6,1)&lt;=$AF1339),ROUND($AG1339,2),0))</f>
        <v/>
      </c>
      <c r="P1339" s="18">
        <f>IF($Z1339="","",IF(AND(DATE($AD1339,7,1)&gt;=$AE1339,DATE($AD1339,7,1)&lt;=$AF1339),ROUND($AG1339,2),0))</f>
        <v/>
      </c>
      <c r="Q1339" s="18">
        <f>IF($Z1339="","",IF(AND(DATE($AD1339,8,1)&gt;=$AE1339,DATE($AD1339,8,1)&lt;=$AF1339),ROUND($AG1339,2),0))</f>
        <v/>
      </c>
      <c r="R1339" s="18">
        <f>IF($Z1339="","",IF(AND(DATE($AD1339,9,1)&gt;=$AE1339,DATE($AD1339,9,1)&lt;=$AF1339),ROUND($AG1339,2),0))</f>
        <v/>
      </c>
      <c r="S1339" s="18">
        <f>IF($Z1339="","",IF(AND(DATE($AD1339,10,1)&gt;=$AE1339,DATE($AD1339,10,1)&lt;=$AF1339),ROUND($AG1339,2),0))</f>
        <v/>
      </c>
      <c r="T1339" s="18">
        <f>IF($Z1339="","",IF(AND(DATE($AD1339,11,1)&gt;=$AE1339,DATE($AD1339,11,1)&lt;=$AF1339),ROUND($AG1339,2),0))</f>
        <v/>
      </c>
      <c r="U1339" s="18">
        <f>IF($Z1339="","",IF(AND(DATE($AD1339,12,1)&gt;=$AE1339,DATE($AD1339,12,1)&lt;=$AF1339),ROUND($AG1339,2),0))</f>
        <v/>
      </c>
      <c r="V1339" s="7">
        <f>IF($Z1339="C","Generated from "&amp;INDEX(Contracts!$A$2:$A$151,$AB1339),IF($Z1339="A","Generated from "&amp;INDEX(Fixed_Assets!$A$2:$A$201,$AB1339),IF($Z1339="F","Generated from "&amp;INDEX(FTE_Allocation!$A$2:$A$201,$AB1339),"")))</f>
        <v/>
      </c>
      <c r="X1339" s="19">
        <f>IF($Z1339="","",SUM(J1339:U1339))</f>
        <v/>
      </c>
      <c r="Y1339" s="20">
        <f>ROW()-1</f>
        <v/>
      </c>
      <c r="Z1339" s="20">
        <f>IF($Y1339&lt;=Settings!$B$4*3,"C",IF($Y1339&lt;=(Settings!$B$4+Settings!$B$5)*3,"A",IF($Y1339&lt;=(Settings!$B$4+Settings!$B$5+Settings!$B$6)*3,"F","")))</f>
        <v/>
      </c>
      <c r="AA1339" s="20">
        <f>IF($Z1339="C",$Y1339,IF($Z1339="A",$Y1339-Settings!$B$4*3,IF($Z1339="F",$Y1339-(Settings!$B$4+Settings!$B$5)*3,"")))</f>
        <v/>
      </c>
      <c r="AB1339" s="20">
        <f>IF($Z1339="","",INT(($AA1339-1)/3)+1)</f>
        <v/>
      </c>
      <c r="AC1339" s="20">
        <f>IF($Z1339="","",MOD($AA1339-1,3)+1)</f>
        <v/>
      </c>
      <c r="AD1339" s="20">
        <f>IF($Z1339="","",Settings!$B$2+$AC1339-1)</f>
        <v/>
      </c>
      <c r="AE1339" s="21">
        <f>IF($Z1339="C",DATE(YEAR(INDEX(Contracts!$J$2:$J$151,$AB1339)),MONTH(INDEX(Contracts!$J$2:$J$151,$AB1339)),1),IF($Z1339="A",DATE(YEAR(INDEX(Fixed_Assets!$G$2:$G$201,$AB1339)),MONTH(INDEX(Fixed_Assets!$G$2:$G$201,$AB1339)),1),IF($Z1339="F",DATE(YEAR(MAX(N(INDEX(Workforce!$I$2:$I$151,MATCH(INDEX(FTE_Allocation!$A$2:$A$201,$AB1339),Workforce!$A$2:$A$151,0))),N(INDEX(FTE_Allocation!$I$2:$I$201,$AB1339)))),MONTH(MAX(N(INDEX(Workforce!$I$2:$I$151,MATCH(INDEX(FTE_Allocation!$A$2:$A$201,$AB1339),Workforce!$A$2:$A$151,0))),N(INDEX(FTE_Allocation!$I$2:$I$201,$AB1339)))),1),"")))</f>
        <v/>
      </c>
      <c r="AF1339" s="21">
        <f>IF($Z1339="C",IF(INDEX(Contracts!$I$2:$I$151,$AB1339)="PREPAID",EDATE(DATE(YEAR(INDEX(Contracts!$J$2:$J$151,$AB1339)),MONTH(INDEX(Contracts!$J$2:$J$151,$AB1339)),1),IF(INDEX(Contracts!$N$2:$N$151,$AB1339)="",12,INDEX(Contracts!$N$2:$N$151,$AB1339))-1),IF(INDEX(Contracts!$I$2:$I$151,$AB1339)="MONTHLY",IF(INDEX(Contracts!$K$2:$K$151,$AB1339)="",2958101,INDEX(Contracts!$K$2:$K$151,$AB1339)),0)),IF($Z1339="A",EDATE(DATE(YEAR(INDEX(Fixed_Assets!$G$2:$G$201,$AB1339)),MONTH(INDEX(Fixed_Assets!$G$2:$G$201,$AB1339)),1),INDEX(Fixed_Assets!$J$2:$J$201,$AB1339)-1),IF($Z1339="F",MIN(IF(INDEX(Workforce!$J$2:$J$151,MATCH(INDEX(FTE_Allocation!$A$2:$A$201,$AB1339),Workforce!$A$2:$A$151,0))="",2958101,INDEX(Workforce!$J$2:$J$151,MATCH(INDEX(FTE_Allocation!$A$2:$A$201,$AB1339),Workforce!$A$2:$A$151,0))),IF(INDEX(FTE_Allocation!$J$2:$J$201,$AB1339)="",2958101,INDEX(FTE_Allocation!$J$2:$J$201,$AB1339))),"")))</f>
        <v/>
      </c>
      <c r="AG1339" s="19">
        <f>IF($Z1339="C",IF(INDEX(Contracts!$I$2:$I$151,$AB1339)="PREPAID",INDEX(Contracts!$M$2:$M$151,$AB1339)/IF(INDEX(Contracts!$N$2:$N$151,$AB1339)="",12,INDEX(Contracts!$N$2:$N$151,$AB1339)),IF(INDEX(Contracts!$I$2:$I$151,$AB1339)="MONTHLY",INDEX(Contracts!$M$2:$M$151,$AB1339),0))*(1-N(INDEX(Contracts!$O$2:$O$151,$AB1339))),IF($Z1339="A",INDEX(Fixed_Assets!$H$2:$H$201,$AB1339)/INDEX(Fixed_Assets!$J$2:$J$201,$AB1339),IF($Z1339="F",INDEX(Workforce!$F$2:$F$151,MATCH(INDEX(FTE_Allocation!$A$2:$A$201,$AB1339),Workforce!$A$2:$A$151,0))*N(INDEX(FTE_Allocation!$F$2:$H$201,$AB1339,$AC1339)),"")))</f>
        <v/>
      </c>
    </row>
    <row r="1340">
      <c r="A1340" s="7">
        <f>IF($Z1340="","",$AD1340)</f>
        <v/>
      </c>
      <c r="B1340" s="7">
        <f>IF($Z1340="C",INDEX(Contracts!$D$2:$D$151,$AB1340)&amp;"",IF($Z1340="A",INDEX(Fixed_Assets!$C$2:$C$201,$AB1340)&amp;"",IF($Z1340="F",INDEX(Workforce!$B$2:$B$151,MATCH(INDEX(FTE_Allocation!$A$2:$A$201,$AB1340),Workforce!$A$2:$A$151,0))&amp;"","")))</f>
        <v/>
      </c>
      <c r="C1340" s="7">
        <f>IF($Z1340="C",INDEX(Contracts!$E$2:$E$151,$AB1340)&amp;"",IF($Z1340="A",INDEX(Fixed_Assets!$D$2:$D$201,$AB1340)&amp;"",IF($Z1340="F",INDEX(FTE_Allocation!$C$2:$C$201,$AB1340)&amp;"","")))</f>
        <v/>
      </c>
      <c r="D1340" s="7">
        <f>IF($Z1340="C",INDEX(Contracts!$B$2:$B$151,$AB1340)&amp;"",IF($Z1340="A",INDEX(Fixed_Assets!$B$2:$B$201,$AB1340)&amp;"",IF($Z1340="F",INDEX(FTE_Allocation!$B$2:$B$201,$AB1340)&amp;"","")))</f>
        <v/>
      </c>
      <c r="E1340" s="7">
        <f>IF($Z1340="C",INDEX(Contracts!$P$2:$P$151,$AB1340)&amp;"",IF($Z1340="A",INDEX(Fixed_Assets!$K$2:$K$201,$AB1340)&amp;"",IF($Z1340="F",IF(INDEX(FTE_Allocation!$D$2:$D$201,$AB1340)="PROJECT",IFERROR(INDEX(Projects!$D:$D,MATCH(INDEX(FTE_Allocation!$E$2:$E$201,$AB1340),Projects!$A:$A,0))&amp;"","#PROJECT?"),INDEX(FTE_Allocation!$E$2:$E$201,$AB1340)&amp;""),"")))</f>
        <v/>
      </c>
      <c r="F1340" s="7">
        <f>IF($Z1340="C",INDEX(Contracts!$Q$2:$Q$151,$AB1340)&amp;"",IF($Z1340="A",INDEX(Fixed_Assets!$L$2:$L$201,$AB1340)&amp;"",IF($Z1340="F",INDEX(Workforce!$K$2:$K$151,MATCH(INDEX(FTE_Allocation!$A$2:$A$201,$AB1340),Workforce!$A$2:$A$151,0))&amp;"","")))</f>
        <v/>
      </c>
      <c r="G1340" s="7">
        <f>IF($Z1340="C",INDEX(Contracts!$F$2:$F$151,$AB1340)&amp;" / "&amp;INDEX(Contracts!$G$2:$G$151,$AB1340),IF($Z1340="A",INDEX(Fixed_Assets!$E$2:$E$201,$AB1340)&amp;"",IF($Z1340="F","Personnel "&amp;INDEX(FTE_Allocation!$A$2:$A$201,$AB1340)&amp;IF(INDEX(FTE_Allocation!$D$2:$D$201,$AB1340)="PROJECT"," ("&amp;INDEX(FTE_Allocation!$E$2:$E$201,$AB1340)&amp;")",""),"")))</f>
        <v/>
      </c>
      <c r="H1340" s="7">
        <f>IF($Z1340="C","CONTRACT",IF($Z1340="A","ASSET",IF($Z1340="F","WORKFORCE","")))</f>
        <v/>
      </c>
      <c r="I1340" s="7">
        <f>IF($Z1340="C",INDEX(Contracts!$L$2:$L$151,$AB1340)&amp;"",IF($Z1340="A",INDEX(Fixed_Assets!$I$2:$I$201,$AB1340)&amp;"",IF($Z1340="F",INDEX(Workforce!$G$2:$G$151,MATCH(INDEX(FTE_Allocation!$A$2:$A$201,$AB1340),Workforce!$A$2:$A$151,0))&amp;"","")))</f>
        <v/>
      </c>
      <c r="J1340" s="18">
        <f>IF($Z1340="","",IF(AND(DATE($AD1340,1,1)&gt;=$AE1340,DATE($AD1340,1,1)&lt;=$AF1340),ROUND($AG1340,2),0))</f>
        <v/>
      </c>
      <c r="K1340" s="18">
        <f>IF($Z1340="","",IF(AND(DATE($AD1340,2,1)&gt;=$AE1340,DATE($AD1340,2,1)&lt;=$AF1340),ROUND($AG1340,2),0))</f>
        <v/>
      </c>
      <c r="L1340" s="18">
        <f>IF($Z1340="","",IF(AND(DATE($AD1340,3,1)&gt;=$AE1340,DATE($AD1340,3,1)&lt;=$AF1340),ROUND($AG1340,2),0))</f>
        <v/>
      </c>
      <c r="M1340" s="18">
        <f>IF($Z1340="","",IF(AND(DATE($AD1340,4,1)&gt;=$AE1340,DATE($AD1340,4,1)&lt;=$AF1340),ROUND($AG1340,2),0))</f>
        <v/>
      </c>
      <c r="N1340" s="18">
        <f>IF($Z1340="","",IF(AND(DATE($AD1340,5,1)&gt;=$AE1340,DATE($AD1340,5,1)&lt;=$AF1340),ROUND($AG1340,2),0))</f>
        <v/>
      </c>
      <c r="O1340" s="18">
        <f>IF($Z1340="","",IF(AND(DATE($AD1340,6,1)&gt;=$AE1340,DATE($AD1340,6,1)&lt;=$AF1340),ROUND($AG1340,2),0))</f>
        <v/>
      </c>
      <c r="P1340" s="18">
        <f>IF($Z1340="","",IF(AND(DATE($AD1340,7,1)&gt;=$AE1340,DATE($AD1340,7,1)&lt;=$AF1340),ROUND($AG1340,2),0))</f>
        <v/>
      </c>
      <c r="Q1340" s="18">
        <f>IF($Z1340="","",IF(AND(DATE($AD1340,8,1)&gt;=$AE1340,DATE($AD1340,8,1)&lt;=$AF1340),ROUND($AG1340,2),0))</f>
        <v/>
      </c>
      <c r="R1340" s="18">
        <f>IF($Z1340="","",IF(AND(DATE($AD1340,9,1)&gt;=$AE1340,DATE($AD1340,9,1)&lt;=$AF1340),ROUND($AG1340,2),0))</f>
        <v/>
      </c>
      <c r="S1340" s="18">
        <f>IF($Z1340="","",IF(AND(DATE($AD1340,10,1)&gt;=$AE1340,DATE($AD1340,10,1)&lt;=$AF1340),ROUND($AG1340,2),0))</f>
        <v/>
      </c>
      <c r="T1340" s="18">
        <f>IF($Z1340="","",IF(AND(DATE($AD1340,11,1)&gt;=$AE1340,DATE($AD1340,11,1)&lt;=$AF1340),ROUND($AG1340,2),0))</f>
        <v/>
      </c>
      <c r="U1340" s="18">
        <f>IF($Z1340="","",IF(AND(DATE($AD1340,12,1)&gt;=$AE1340,DATE($AD1340,12,1)&lt;=$AF1340),ROUND($AG1340,2),0))</f>
        <v/>
      </c>
      <c r="V1340" s="7">
        <f>IF($Z1340="C","Generated from "&amp;INDEX(Contracts!$A$2:$A$151,$AB1340),IF($Z1340="A","Generated from "&amp;INDEX(Fixed_Assets!$A$2:$A$201,$AB1340),IF($Z1340="F","Generated from "&amp;INDEX(FTE_Allocation!$A$2:$A$201,$AB1340),"")))</f>
        <v/>
      </c>
      <c r="X1340" s="19">
        <f>IF($Z1340="","",SUM(J1340:U1340))</f>
        <v/>
      </c>
      <c r="Y1340" s="20">
        <f>ROW()-1</f>
        <v/>
      </c>
      <c r="Z1340" s="20">
        <f>IF($Y1340&lt;=Settings!$B$4*3,"C",IF($Y1340&lt;=(Settings!$B$4+Settings!$B$5)*3,"A",IF($Y1340&lt;=(Settings!$B$4+Settings!$B$5+Settings!$B$6)*3,"F","")))</f>
        <v/>
      </c>
      <c r="AA1340" s="20">
        <f>IF($Z1340="C",$Y1340,IF($Z1340="A",$Y1340-Settings!$B$4*3,IF($Z1340="F",$Y1340-(Settings!$B$4+Settings!$B$5)*3,"")))</f>
        <v/>
      </c>
      <c r="AB1340" s="20">
        <f>IF($Z1340="","",INT(($AA1340-1)/3)+1)</f>
        <v/>
      </c>
      <c r="AC1340" s="20">
        <f>IF($Z1340="","",MOD($AA1340-1,3)+1)</f>
        <v/>
      </c>
      <c r="AD1340" s="20">
        <f>IF($Z1340="","",Settings!$B$2+$AC1340-1)</f>
        <v/>
      </c>
      <c r="AE1340" s="21">
        <f>IF($Z1340="C",DATE(YEAR(INDEX(Contracts!$J$2:$J$151,$AB1340)),MONTH(INDEX(Contracts!$J$2:$J$151,$AB1340)),1),IF($Z1340="A",DATE(YEAR(INDEX(Fixed_Assets!$G$2:$G$201,$AB1340)),MONTH(INDEX(Fixed_Assets!$G$2:$G$201,$AB1340)),1),IF($Z1340="F",DATE(YEAR(MAX(N(INDEX(Workforce!$I$2:$I$151,MATCH(INDEX(FTE_Allocation!$A$2:$A$201,$AB1340),Workforce!$A$2:$A$151,0))),N(INDEX(FTE_Allocation!$I$2:$I$201,$AB1340)))),MONTH(MAX(N(INDEX(Workforce!$I$2:$I$151,MATCH(INDEX(FTE_Allocation!$A$2:$A$201,$AB1340),Workforce!$A$2:$A$151,0))),N(INDEX(FTE_Allocation!$I$2:$I$201,$AB1340)))),1),"")))</f>
        <v/>
      </c>
      <c r="AF1340" s="21">
        <f>IF($Z1340="C",IF(INDEX(Contracts!$I$2:$I$151,$AB1340)="PREPAID",EDATE(DATE(YEAR(INDEX(Contracts!$J$2:$J$151,$AB1340)),MONTH(INDEX(Contracts!$J$2:$J$151,$AB1340)),1),IF(INDEX(Contracts!$N$2:$N$151,$AB1340)="",12,INDEX(Contracts!$N$2:$N$151,$AB1340))-1),IF(INDEX(Contracts!$I$2:$I$151,$AB1340)="MONTHLY",IF(INDEX(Contracts!$K$2:$K$151,$AB1340)="",2958101,INDEX(Contracts!$K$2:$K$151,$AB1340)),0)),IF($Z1340="A",EDATE(DATE(YEAR(INDEX(Fixed_Assets!$G$2:$G$201,$AB1340)),MONTH(INDEX(Fixed_Assets!$G$2:$G$201,$AB1340)),1),INDEX(Fixed_Assets!$J$2:$J$201,$AB1340)-1),IF($Z1340="F",MIN(IF(INDEX(Workforce!$J$2:$J$151,MATCH(INDEX(FTE_Allocation!$A$2:$A$201,$AB1340),Workforce!$A$2:$A$151,0))="",2958101,INDEX(Workforce!$J$2:$J$151,MATCH(INDEX(FTE_Allocation!$A$2:$A$201,$AB1340),Workforce!$A$2:$A$151,0))),IF(INDEX(FTE_Allocation!$J$2:$J$201,$AB1340)="",2958101,INDEX(FTE_Allocation!$J$2:$J$201,$AB1340))),"")))</f>
        <v/>
      </c>
      <c r="AG1340" s="19">
        <f>IF($Z1340="C",IF(INDEX(Contracts!$I$2:$I$151,$AB1340)="PREPAID",INDEX(Contracts!$M$2:$M$151,$AB1340)/IF(INDEX(Contracts!$N$2:$N$151,$AB1340)="",12,INDEX(Contracts!$N$2:$N$151,$AB1340)),IF(INDEX(Contracts!$I$2:$I$151,$AB1340)="MONTHLY",INDEX(Contracts!$M$2:$M$151,$AB1340),0))*(1-N(INDEX(Contracts!$O$2:$O$151,$AB1340))),IF($Z1340="A",INDEX(Fixed_Assets!$H$2:$H$201,$AB1340)/INDEX(Fixed_Assets!$J$2:$J$201,$AB1340),IF($Z1340="F",INDEX(Workforce!$F$2:$F$151,MATCH(INDEX(FTE_Allocation!$A$2:$A$201,$AB1340),Workforce!$A$2:$A$151,0))*N(INDEX(FTE_Allocation!$F$2:$H$201,$AB1340,$AC1340)),"")))</f>
        <v/>
      </c>
    </row>
    <row r="1341">
      <c r="A1341" s="7">
        <f>IF($Z1341="","",$AD1341)</f>
        <v/>
      </c>
      <c r="B1341" s="7">
        <f>IF($Z1341="C",INDEX(Contracts!$D$2:$D$151,$AB1341)&amp;"",IF($Z1341="A",INDEX(Fixed_Assets!$C$2:$C$201,$AB1341)&amp;"",IF($Z1341="F",INDEX(Workforce!$B$2:$B$151,MATCH(INDEX(FTE_Allocation!$A$2:$A$201,$AB1341),Workforce!$A$2:$A$151,0))&amp;"","")))</f>
        <v/>
      </c>
      <c r="C1341" s="7">
        <f>IF($Z1341="C",INDEX(Contracts!$E$2:$E$151,$AB1341)&amp;"",IF($Z1341="A",INDEX(Fixed_Assets!$D$2:$D$201,$AB1341)&amp;"",IF($Z1341="F",INDEX(FTE_Allocation!$C$2:$C$201,$AB1341)&amp;"","")))</f>
        <v/>
      </c>
      <c r="D1341" s="7">
        <f>IF($Z1341="C",INDEX(Contracts!$B$2:$B$151,$AB1341)&amp;"",IF($Z1341="A",INDEX(Fixed_Assets!$B$2:$B$201,$AB1341)&amp;"",IF($Z1341="F",INDEX(FTE_Allocation!$B$2:$B$201,$AB1341)&amp;"","")))</f>
        <v/>
      </c>
      <c r="E1341" s="7">
        <f>IF($Z1341="C",INDEX(Contracts!$P$2:$P$151,$AB1341)&amp;"",IF($Z1341="A",INDEX(Fixed_Assets!$K$2:$K$201,$AB1341)&amp;"",IF($Z1341="F",IF(INDEX(FTE_Allocation!$D$2:$D$201,$AB1341)="PROJECT",IFERROR(INDEX(Projects!$D:$D,MATCH(INDEX(FTE_Allocation!$E$2:$E$201,$AB1341),Projects!$A:$A,0))&amp;"","#PROJECT?"),INDEX(FTE_Allocation!$E$2:$E$201,$AB1341)&amp;""),"")))</f>
        <v/>
      </c>
      <c r="F1341" s="7">
        <f>IF($Z1341="C",INDEX(Contracts!$Q$2:$Q$151,$AB1341)&amp;"",IF($Z1341="A",INDEX(Fixed_Assets!$L$2:$L$201,$AB1341)&amp;"",IF($Z1341="F",INDEX(Workforce!$K$2:$K$151,MATCH(INDEX(FTE_Allocation!$A$2:$A$201,$AB1341),Workforce!$A$2:$A$151,0))&amp;"","")))</f>
        <v/>
      </c>
      <c r="G1341" s="7">
        <f>IF($Z1341="C",INDEX(Contracts!$F$2:$F$151,$AB1341)&amp;" / "&amp;INDEX(Contracts!$G$2:$G$151,$AB1341),IF($Z1341="A",INDEX(Fixed_Assets!$E$2:$E$201,$AB1341)&amp;"",IF($Z1341="F","Personnel "&amp;INDEX(FTE_Allocation!$A$2:$A$201,$AB1341)&amp;IF(INDEX(FTE_Allocation!$D$2:$D$201,$AB1341)="PROJECT"," ("&amp;INDEX(FTE_Allocation!$E$2:$E$201,$AB1341)&amp;")",""),"")))</f>
        <v/>
      </c>
      <c r="H1341" s="7">
        <f>IF($Z1341="C","CONTRACT",IF($Z1341="A","ASSET",IF($Z1341="F","WORKFORCE","")))</f>
        <v/>
      </c>
      <c r="I1341" s="7">
        <f>IF($Z1341="C",INDEX(Contracts!$L$2:$L$151,$AB1341)&amp;"",IF($Z1341="A",INDEX(Fixed_Assets!$I$2:$I$201,$AB1341)&amp;"",IF($Z1341="F",INDEX(Workforce!$G$2:$G$151,MATCH(INDEX(FTE_Allocation!$A$2:$A$201,$AB1341),Workforce!$A$2:$A$151,0))&amp;"","")))</f>
        <v/>
      </c>
      <c r="J1341" s="18">
        <f>IF($Z1341="","",IF(AND(DATE($AD1341,1,1)&gt;=$AE1341,DATE($AD1341,1,1)&lt;=$AF1341),ROUND($AG1341,2),0))</f>
        <v/>
      </c>
      <c r="K1341" s="18">
        <f>IF($Z1341="","",IF(AND(DATE($AD1341,2,1)&gt;=$AE1341,DATE($AD1341,2,1)&lt;=$AF1341),ROUND($AG1341,2),0))</f>
        <v/>
      </c>
      <c r="L1341" s="18">
        <f>IF($Z1341="","",IF(AND(DATE($AD1341,3,1)&gt;=$AE1341,DATE($AD1341,3,1)&lt;=$AF1341),ROUND($AG1341,2),0))</f>
        <v/>
      </c>
      <c r="M1341" s="18">
        <f>IF($Z1341="","",IF(AND(DATE($AD1341,4,1)&gt;=$AE1341,DATE($AD1341,4,1)&lt;=$AF1341),ROUND($AG1341,2),0))</f>
        <v/>
      </c>
      <c r="N1341" s="18">
        <f>IF($Z1341="","",IF(AND(DATE($AD1341,5,1)&gt;=$AE1341,DATE($AD1341,5,1)&lt;=$AF1341),ROUND($AG1341,2),0))</f>
        <v/>
      </c>
      <c r="O1341" s="18">
        <f>IF($Z1341="","",IF(AND(DATE($AD1341,6,1)&gt;=$AE1341,DATE($AD1341,6,1)&lt;=$AF1341),ROUND($AG1341,2),0))</f>
        <v/>
      </c>
      <c r="P1341" s="18">
        <f>IF($Z1341="","",IF(AND(DATE($AD1341,7,1)&gt;=$AE1341,DATE($AD1341,7,1)&lt;=$AF1341),ROUND($AG1341,2),0))</f>
        <v/>
      </c>
      <c r="Q1341" s="18">
        <f>IF($Z1341="","",IF(AND(DATE($AD1341,8,1)&gt;=$AE1341,DATE($AD1341,8,1)&lt;=$AF1341),ROUND($AG1341,2),0))</f>
        <v/>
      </c>
      <c r="R1341" s="18">
        <f>IF($Z1341="","",IF(AND(DATE($AD1341,9,1)&gt;=$AE1341,DATE($AD1341,9,1)&lt;=$AF1341),ROUND($AG1341,2),0))</f>
        <v/>
      </c>
      <c r="S1341" s="18">
        <f>IF($Z1341="","",IF(AND(DATE($AD1341,10,1)&gt;=$AE1341,DATE($AD1341,10,1)&lt;=$AF1341),ROUND($AG1341,2),0))</f>
        <v/>
      </c>
      <c r="T1341" s="18">
        <f>IF($Z1341="","",IF(AND(DATE($AD1341,11,1)&gt;=$AE1341,DATE($AD1341,11,1)&lt;=$AF1341),ROUND($AG1341,2),0))</f>
        <v/>
      </c>
      <c r="U1341" s="18">
        <f>IF($Z1341="","",IF(AND(DATE($AD1341,12,1)&gt;=$AE1341,DATE($AD1341,12,1)&lt;=$AF1341),ROUND($AG1341,2),0))</f>
        <v/>
      </c>
      <c r="V1341" s="7">
        <f>IF($Z1341="C","Generated from "&amp;INDEX(Contracts!$A$2:$A$151,$AB1341),IF($Z1341="A","Generated from "&amp;INDEX(Fixed_Assets!$A$2:$A$201,$AB1341),IF($Z1341="F","Generated from "&amp;INDEX(FTE_Allocation!$A$2:$A$201,$AB1341),"")))</f>
        <v/>
      </c>
      <c r="X1341" s="19">
        <f>IF($Z1341="","",SUM(J1341:U1341))</f>
        <v/>
      </c>
      <c r="Y1341" s="20">
        <f>ROW()-1</f>
        <v/>
      </c>
      <c r="Z1341" s="20">
        <f>IF($Y1341&lt;=Settings!$B$4*3,"C",IF($Y1341&lt;=(Settings!$B$4+Settings!$B$5)*3,"A",IF($Y1341&lt;=(Settings!$B$4+Settings!$B$5+Settings!$B$6)*3,"F","")))</f>
        <v/>
      </c>
      <c r="AA1341" s="20">
        <f>IF($Z1341="C",$Y1341,IF($Z1341="A",$Y1341-Settings!$B$4*3,IF($Z1341="F",$Y1341-(Settings!$B$4+Settings!$B$5)*3,"")))</f>
        <v/>
      </c>
      <c r="AB1341" s="20">
        <f>IF($Z1341="","",INT(($AA1341-1)/3)+1)</f>
        <v/>
      </c>
      <c r="AC1341" s="20">
        <f>IF($Z1341="","",MOD($AA1341-1,3)+1)</f>
        <v/>
      </c>
      <c r="AD1341" s="20">
        <f>IF($Z1341="","",Settings!$B$2+$AC1341-1)</f>
        <v/>
      </c>
      <c r="AE1341" s="21">
        <f>IF($Z1341="C",DATE(YEAR(INDEX(Contracts!$J$2:$J$151,$AB1341)),MONTH(INDEX(Contracts!$J$2:$J$151,$AB1341)),1),IF($Z1341="A",DATE(YEAR(INDEX(Fixed_Assets!$G$2:$G$201,$AB1341)),MONTH(INDEX(Fixed_Assets!$G$2:$G$201,$AB1341)),1),IF($Z1341="F",DATE(YEAR(MAX(N(INDEX(Workforce!$I$2:$I$151,MATCH(INDEX(FTE_Allocation!$A$2:$A$201,$AB1341),Workforce!$A$2:$A$151,0))),N(INDEX(FTE_Allocation!$I$2:$I$201,$AB1341)))),MONTH(MAX(N(INDEX(Workforce!$I$2:$I$151,MATCH(INDEX(FTE_Allocation!$A$2:$A$201,$AB1341),Workforce!$A$2:$A$151,0))),N(INDEX(FTE_Allocation!$I$2:$I$201,$AB1341)))),1),"")))</f>
        <v/>
      </c>
      <c r="AF1341" s="21">
        <f>IF($Z1341="C",IF(INDEX(Contracts!$I$2:$I$151,$AB1341)="PREPAID",EDATE(DATE(YEAR(INDEX(Contracts!$J$2:$J$151,$AB1341)),MONTH(INDEX(Contracts!$J$2:$J$151,$AB1341)),1),IF(INDEX(Contracts!$N$2:$N$151,$AB1341)="",12,INDEX(Contracts!$N$2:$N$151,$AB1341))-1),IF(INDEX(Contracts!$I$2:$I$151,$AB1341)="MONTHLY",IF(INDEX(Contracts!$K$2:$K$151,$AB1341)="",2958101,INDEX(Contracts!$K$2:$K$151,$AB1341)),0)),IF($Z1341="A",EDATE(DATE(YEAR(INDEX(Fixed_Assets!$G$2:$G$201,$AB1341)),MONTH(INDEX(Fixed_Assets!$G$2:$G$201,$AB1341)),1),INDEX(Fixed_Assets!$J$2:$J$201,$AB1341)-1),IF($Z1341="F",MIN(IF(INDEX(Workforce!$J$2:$J$151,MATCH(INDEX(FTE_Allocation!$A$2:$A$201,$AB1341),Workforce!$A$2:$A$151,0))="",2958101,INDEX(Workforce!$J$2:$J$151,MATCH(INDEX(FTE_Allocation!$A$2:$A$201,$AB1341),Workforce!$A$2:$A$151,0))),IF(INDEX(FTE_Allocation!$J$2:$J$201,$AB1341)="",2958101,INDEX(FTE_Allocation!$J$2:$J$201,$AB1341))),"")))</f>
        <v/>
      </c>
      <c r="AG1341" s="19">
        <f>IF($Z1341="C",IF(INDEX(Contracts!$I$2:$I$151,$AB1341)="PREPAID",INDEX(Contracts!$M$2:$M$151,$AB1341)/IF(INDEX(Contracts!$N$2:$N$151,$AB1341)="",12,INDEX(Contracts!$N$2:$N$151,$AB1341)),IF(INDEX(Contracts!$I$2:$I$151,$AB1341)="MONTHLY",INDEX(Contracts!$M$2:$M$151,$AB1341),0))*(1-N(INDEX(Contracts!$O$2:$O$151,$AB1341))),IF($Z1341="A",INDEX(Fixed_Assets!$H$2:$H$201,$AB1341)/INDEX(Fixed_Assets!$J$2:$J$201,$AB1341),IF($Z1341="F",INDEX(Workforce!$F$2:$F$151,MATCH(INDEX(FTE_Allocation!$A$2:$A$201,$AB1341),Workforce!$A$2:$A$151,0))*N(INDEX(FTE_Allocation!$F$2:$H$201,$AB1341,$AC1341)),"")))</f>
        <v/>
      </c>
    </row>
    <row r="1342">
      <c r="A1342" s="7">
        <f>IF($Z1342="","",$AD1342)</f>
        <v/>
      </c>
      <c r="B1342" s="7">
        <f>IF($Z1342="C",INDEX(Contracts!$D$2:$D$151,$AB1342)&amp;"",IF($Z1342="A",INDEX(Fixed_Assets!$C$2:$C$201,$AB1342)&amp;"",IF($Z1342="F",INDEX(Workforce!$B$2:$B$151,MATCH(INDEX(FTE_Allocation!$A$2:$A$201,$AB1342),Workforce!$A$2:$A$151,0))&amp;"","")))</f>
        <v/>
      </c>
      <c r="C1342" s="7">
        <f>IF($Z1342="C",INDEX(Contracts!$E$2:$E$151,$AB1342)&amp;"",IF($Z1342="A",INDEX(Fixed_Assets!$D$2:$D$201,$AB1342)&amp;"",IF($Z1342="F",INDEX(FTE_Allocation!$C$2:$C$201,$AB1342)&amp;"","")))</f>
        <v/>
      </c>
      <c r="D1342" s="7">
        <f>IF($Z1342="C",INDEX(Contracts!$B$2:$B$151,$AB1342)&amp;"",IF($Z1342="A",INDEX(Fixed_Assets!$B$2:$B$201,$AB1342)&amp;"",IF($Z1342="F",INDEX(FTE_Allocation!$B$2:$B$201,$AB1342)&amp;"","")))</f>
        <v/>
      </c>
      <c r="E1342" s="7">
        <f>IF($Z1342="C",INDEX(Contracts!$P$2:$P$151,$AB1342)&amp;"",IF($Z1342="A",INDEX(Fixed_Assets!$K$2:$K$201,$AB1342)&amp;"",IF($Z1342="F",IF(INDEX(FTE_Allocation!$D$2:$D$201,$AB1342)="PROJECT",IFERROR(INDEX(Projects!$D:$D,MATCH(INDEX(FTE_Allocation!$E$2:$E$201,$AB1342),Projects!$A:$A,0))&amp;"","#PROJECT?"),INDEX(FTE_Allocation!$E$2:$E$201,$AB1342)&amp;""),"")))</f>
        <v/>
      </c>
      <c r="F1342" s="7">
        <f>IF($Z1342="C",INDEX(Contracts!$Q$2:$Q$151,$AB1342)&amp;"",IF($Z1342="A",INDEX(Fixed_Assets!$L$2:$L$201,$AB1342)&amp;"",IF($Z1342="F",INDEX(Workforce!$K$2:$K$151,MATCH(INDEX(FTE_Allocation!$A$2:$A$201,$AB1342),Workforce!$A$2:$A$151,0))&amp;"","")))</f>
        <v/>
      </c>
      <c r="G1342" s="7">
        <f>IF($Z1342="C",INDEX(Contracts!$F$2:$F$151,$AB1342)&amp;" / "&amp;INDEX(Contracts!$G$2:$G$151,$AB1342),IF($Z1342="A",INDEX(Fixed_Assets!$E$2:$E$201,$AB1342)&amp;"",IF($Z1342="F","Personnel "&amp;INDEX(FTE_Allocation!$A$2:$A$201,$AB1342)&amp;IF(INDEX(FTE_Allocation!$D$2:$D$201,$AB1342)="PROJECT"," ("&amp;INDEX(FTE_Allocation!$E$2:$E$201,$AB1342)&amp;")",""),"")))</f>
        <v/>
      </c>
      <c r="H1342" s="7">
        <f>IF($Z1342="C","CONTRACT",IF($Z1342="A","ASSET",IF($Z1342="F","WORKFORCE","")))</f>
        <v/>
      </c>
      <c r="I1342" s="7">
        <f>IF($Z1342="C",INDEX(Contracts!$L$2:$L$151,$AB1342)&amp;"",IF($Z1342="A",INDEX(Fixed_Assets!$I$2:$I$201,$AB1342)&amp;"",IF($Z1342="F",INDEX(Workforce!$G$2:$G$151,MATCH(INDEX(FTE_Allocation!$A$2:$A$201,$AB1342),Workforce!$A$2:$A$151,0))&amp;"","")))</f>
        <v/>
      </c>
      <c r="J1342" s="18">
        <f>IF($Z1342="","",IF(AND(DATE($AD1342,1,1)&gt;=$AE1342,DATE($AD1342,1,1)&lt;=$AF1342),ROUND($AG1342,2),0))</f>
        <v/>
      </c>
      <c r="K1342" s="18">
        <f>IF($Z1342="","",IF(AND(DATE($AD1342,2,1)&gt;=$AE1342,DATE($AD1342,2,1)&lt;=$AF1342),ROUND($AG1342,2),0))</f>
        <v/>
      </c>
      <c r="L1342" s="18">
        <f>IF($Z1342="","",IF(AND(DATE($AD1342,3,1)&gt;=$AE1342,DATE($AD1342,3,1)&lt;=$AF1342),ROUND($AG1342,2),0))</f>
        <v/>
      </c>
      <c r="M1342" s="18">
        <f>IF($Z1342="","",IF(AND(DATE($AD1342,4,1)&gt;=$AE1342,DATE($AD1342,4,1)&lt;=$AF1342),ROUND($AG1342,2),0))</f>
        <v/>
      </c>
      <c r="N1342" s="18">
        <f>IF($Z1342="","",IF(AND(DATE($AD1342,5,1)&gt;=$AE1342,DATE($AD1342,5,1)&lt;=$AF1342),ROUND($AG1342,2),0))</f>
        <v/>
      </c>
      <c r="O1342" s="18">
        <f>IF($Z1342="","",IF(AND(DATE($AD1342,6,1)&gt;=$AE1342,DATE($AD1342,6,1)&lt;=$AF1342),ROUND($AG1342,2),0))</f>
        <v/>
      </c>
      <c r="P1342" s="18">
        <f>IF($Z1342="","",IF(AND(DATE($AD1342,7,1)&gt;=$AE1342,DATE($AD1342,7,1)&lt;=$AF1342),ROUND($AG1342,2),0))</f>
        <v/>
      </c>
      <c r="Q1342" s="18">
        <f>IF($Z1342="","",IF(AND(DATE($AD1342,8,1)&gt;=$AE1342,DATE($AD1342,8,1)&lt;=$AF1342),ROUND($AG1342,2),0))</f>
        <v/>
      </c>
      <c r="R1342" s="18">
        <f>IF($Z1342="","",IF(AND(DATE($AD1342,9,1)&gt;=$AE1342,DATE($AD1342,9,1)&lt;=$AF1342),ROUND($AG1342,2),0))</f>
        <v/>
      </c>
      <c r="S1342" s="18">
        <f>IF($Z1342="","",IF(AND(DATE($AD1342,10,1)&gt;=$AE1342,DATE($AD1342,10,1)&lt;=$AF1342),ROUND($AG1342,2),0))</f>
        <v/>
      </c>
      <c r="T1342" s="18">
        <f>IF($Z1342="","",IF(AND(DATE($AD1342,11,1)&gt;=$AE1342,DATE($AD1342,11,1)&lt;=$AF1342),ROUND($AG1342,2),0))</f>
        <v/>
      </c>
      <c r="U1342" s="18">
        <f>IF($Z1342="","",IF(AND(DATE($AD1342,12,1)&gt;=$AE1342,DATE($AD1342,12,1)&lt;=$AF1342),ROUND($AG1342,2),0))</f>
        <v/>
      </c>
      <c r="V1342" s="7">
        <f>IF($Z1342="C","Generated from "&amp;INDEX(Contracts!$A$2:$A$151,$AB1342),IF($Z1342="A","Generated from "&amp;INDEX(Fixed_Assets!$A$2:$A$201,$AB1342),IF($Z1342="F","Generated from "&amp;INDEX(FTE_Allocation!$A$2:$A$201,$AB1342),"")))</f>
        <v/>
      </c>
      <c r="X1342" s="19">
        <f>IF($Z1342="","",SUM(J1342:U1342))</f>
        <v/>
      </c>
      <c r="Y1342" s="20">
        <f>ROW()-1</f>
        <v/>
      </c>
      <c r="Z1342" s="20">
        <f>IF($Y1342&lt;=Settings!$B$4*3,"C",IF($Y1342&lt;=(Settings!$B$4+Settings!$B$5)*3,"A",IF($Y1342&lt;=(Settings!$B$4+Settings!$B$5+Settings!$B$6)*3,"F","")))</f>
        <v/>
      </c>
      <c r="AA1342" s="20">
        <f>IF($Z1342="C",$Y1342,IF($Z1342="A",$Y1342-Settings!$B$4*3,IF($Z1342="F",$Y1342-(Settings!$B$4+Settings!$B$5)*3,"")))</f>
        <v/>
      </c>
      <c r="AB1342" s="20">
        <f>IF($Z1342="","",INT(($AA1342-1)/3)+1)</f>
        <v/>
      </c>
      <c r="AC1342" s="20">
        <f>IF($Z1342="","",MOD($AA1342-1,3)+1)</f>
        <v/>
      </c>
      <c r="AD1342" s="20">
        <f>IF($Z1342="","",Settings!$B$2+$AC1342-1)</f>
        <v/>
      </c>
      <c r="AE1342" s="21">
        <f>IF($Z1342="C",DATE(YEAR(INDEX(Contracts!$J$2:$J$151,$AB1342)),MONTH(INDEX(Contracts!$J$2:$J$151,$AB1342)),1),IF($Z1342="A",DATE(YEAR(INDEX(Fixed_Assets!$G$2:$G$201,$AB1342)),MONTH(INDEX(Fixed_Assets!$G$2:$G$201,$AB1342)),1),IF($Z1342="F",DATE(YEAR(MAX(N(INDEX(Workforce!$I$2:$I$151,MATCH(INDEX(FTE_Allocation!$A$2:$A$201,$AB1342),Workforce!$A$2:$A$151,0))),N(INDEX(FTE_Allocation!$I$2:$I$201,$AB1342)))),MONTH(MAX(N(INDEX(Workforce!$I$2:$I$151,MATCH(INDEX(FTE_Allocation!$A$2:$A$201,$AB1342),Workforce!$A$2:$A$151,0))),N(INDEX(FTE_Allocation!$I$2:$I$201,$AB1342)))),1),"")))</f>
        <v/>
      </c>
      <c r="AF1342" s="21">
        <f>IF($Z1342="C",IF(INDEX(Contracts!$I$2:$I$151,$AB1342)="PREPAID",EDATE(DATE(YEAR(INDEX(Contracts!$J$2:$J$151,$AB1342)),MONTH(INDEX(Contracts!$J$2:$J$151,$AB1342)),1),IF(INDEX(Contracts!$N$2:$N$151,$AB1342)="",12,INDEX(Contracts!$N$2:$N$151,$AB1342))-1),IF(INDEX(Contracts!$I$2:$I$151,$AB1342)="MONTHLY",IF(INDEX(Contracts!$K$2:$K$151,$AB1342)="",2958101,INDEX(Contracts!$K$2:$K$151,$AB1342)),0)),IF($Z1342="A",EDATE(DATE(YEAR(INDEX(Fixed_Assets!$G$2:$G$201,$AB1342)),MONTH(INDEX(Fixed_Assets!$G$2:$G$201,$AB1342)),1),INDEX(Fixed_Assets!$J$2:$J$201,$AB1342)-1),IF($Z1342="F",MIN(IF(INDEX(Workforce!$J$2:$J$151,MATCH(INDEX(FTE_Allocation!$A$2:$A$201,$AB1342),Workforce!$A$2:$A$151,0))="",2958101,INDEX(Workforce!$J$2:$J$151,MATCH(INDEX(FTE_Allocation!$A$2:$A$201,$AB1342),Workforce!$A$2:$A$151,0))),IF(INDEX(FTE_Allocation!$J$2:$J$201,$AB1342)="",2958101,INDEX(FTE_Allocation!$J$2:$J$201,$AB1342))),"")))</f>
        <v/>
      </c>
      <c r="AG1342" s="19">
        <f>IF($Z1342="C",IF(INDEX(Contracts!$I$2:$I$151,$AB1342)="PREPAID",INDEX(Contracts!$M$2:$M$151,$AB1342)/IF(INDEX(Contracts!$N$2:$N$151,$AB1342)="",12,INDEX(Contracts!$N$2:$N$151,$AB1342)),IF(INDEX(Contracts!$I$2:$I$151,$AB1342)="MONTHLY",INDEX(Contracts!$M$2:$M$151,$AB1342),0))*(1-N(INDEX(Contracts!$O$2:$O$151,$AB1342))),IF($Z1342="A",INDEX(Fixed_Assets!$H$2:$H$201,$AB1342)/INDEX(Fixed_Assets!$J$2:$J$201,$AB1342),IF($Z1342="F",INDEX(Workforce!$F$2:$F$151,MATCH(INDEX(FTE_Allocation!$A$2:$A$201,$AB1342),Workforce!$A$2:$A$151,0))*N(INDEX(FTE_Allocation!$F$2:$H$201,$AB1342,$AC1342)),"")))</f>
        <v/>
      </c>
    </row>
    <row r="1343">
      <c r="A1343" s="7">
        <f>IF($Z1343="","",$AD1343)</f>
        <v/>
      </c>
      <c r="B1343" s="7">
        <f>IF($Z1343="C",INDEX(Contracts!$D$2:$D$151,$AB1343)&amp;"",IF($Z1343="A",INDEX(Fixed_Assets!$C$2:$C$201,$AB1343)&amp;"",IF($Z1343="F",INDEX(Workforce!$B$2:$B$151,MATCH(INDEX(FTE_Allocation!$A$2:$A$201,$AB1343),Workforce!$A$2:$A$151,0))&amp;"","")))</f>
        <v/>
      </c>
      <c r="C1343" s="7">
        <f>IF($Z1343="C",INDEX(Contracts!$E$2:$E$151,$AB1343)&amp;"",IF($Z1343="A",INDEX(Fixed_Assets!$D$2:$D$201,$AB1343)&amp;"",IF($Z1343="F",INDEX(FTE_Allocation!$C$2:$C$201,$AB1343)&amp;"","")))</f>
        <v/>
      </c>
      <c r="D1343" s="7">
        <f>IF($Z1343="C",INDEX(Contracts!$B$2:$B$151,$AB1343)&amp;"",IF($Z1343="A",INDEX(Fixed_Assets!$B$2:$B$201,$AB1343)&amp;"",IF($Z1343="F",INDEX(FTE_Allocation!$B$2:$B$201,$AB1343)&amp;"","")))</f>
        <v/>
      </c>
      <c r="E1343" s="7">
        <f>IF($Z1343="C",INDEX(Contracts!$P$2:$P$151,$AB1343)&amp;"",IF($Z1343="A",INDEX(Fixed_Assets!$K$2:$K$201,$AB1343)&amp;"",IF($Z1343="F",IF(INDEX(FTE_Allocation!$D$2:$D$201,$AB1343)="PROJECT",IFERROR(INDEX(Projects!$D:$D,MATCH(INDEX(FTE_Allocation!$E$2:$E$201,$AB1343),Projects!$A:$A,0))&amp;"","#PROJECT?"),INDEX(FTE_Allocation!$E$2:$E$201,$AB1343)&amp;""),"")))</f>
        <v/>
      </c>
      <c r="F1343" s="7">
        <f>IF($Z1343="C",INDEX(Contracts!$Q$2:$Q$151,$AB1343)&amp;"",IF($Z1343="A",INDEX(Fixed_Assets!$L$2:$L$201,$AB1343)&amp;"",IF($Z1343="F",INDEX(Workforce!$K$2:$K$151,MATCH(INDEX(FTE_Allocation!$A$2:$A$201,$AB1343),Workforce!$A$2:$A$151,0))&amp;"","")))</f>
        <v/>
      </c>
      <c r="G1343" s="7">
        <f>IF($Z1343="C",INDEX(Contracts!$F$2:$F$151,$AB1343)&amp;" / "&amp;INDEX(Contracts!$G$2:$G$151,$AB1343),IF($Z1343="A",INDEX(Fixed_Assets!$E$2:$E$201,$AB1343)&amp;"",IF($Z1343="F","Personnel "&amp;INDEX(FTE_Allocation!$A$2:$A$201,$AB1343)&amp;IF(INDEX(FTE_Allocation!$D$2:$D$201,$AB1343)="PROJECT"," ("&amp;INDEX(FTE_Allocation!$E$2:$E$201,$AB1343)&amp;")",""),"")))</f>
        <v/>
      </c>
      <c r="H1343" s="7">
        <f>IF($Z1343="C","CONTRACT",IF($Z1343="A","ASSET",IF($Z1343="F","WORKFORCE","")))</f>
        <v/>
      </c>
      <c r="I1343" s="7">
        <f>IF($Z1343="C",INDEX(Contracts!$L$2:$L$151,$AB1343)&amp;"",IF($Z1343="A",INDEX(Fixed_Assets!$I$2:$I$201,$AB1343)&amp;"",IF($Z1343="F",INDEX(Workforce!$G$2:$G$151,MATCH(INDEX(FTE_Allocation!$A$2:$A$201,$AB1343),Workforce!$A$2:$A$151,0))&amp;"","")))</f>
        <v/>
      </c>
      <c r="J1343" s="18">
        <f>IF($Z1343="","",IF(AND(DATE($AD1343,1,1)&gt;=$AE1343,DATE($AD1343,1,1)&lt;=$AF1343),ROUND($AG1343,2),0))</f>
        <v/>
      </c>
      <c r="K1343" s="18">
        <f>IF($Z1343="","",IF(AND(DATE($AD1343,2,1)&gt;=$AE1343,DATE($AD1343,2,1)&lt;=$AF1343),ROUND($AG1343,2),0))</f>
        <v/>
      </c>
      <c r="L1343" s="18">
        <f>IF($Z1343="","",IF(AND(DATE($AD1343,3,1)&gt;=$AE1343,DATE($AD1343,3,1)&lt;=$AF1343),ROUND($AG1343,2),0))</f>
        <v/>
      </c>
      <c r="M1343" s="18">
        <f>IF($Z1343="","",IF(AND(DATE($AD1343,4,1)&gt;=$AE1343,DATE($AD1343,4,1)&lt;=$AF1343),ROUND($AG1343,2),0))</f>
        <v/>
      </c>
      <c r="N1343" s="18">
        <f>IF($Z1343="","",IF(AND(DATE($AD1343,5,1)&gt;=$AE1343,DATE($AD1343,5,1)&lt;=$AF1343),ROUND($AG1343,2),0))</f>
        <v/>
      </c>
      <c r="O1343" s="18">
        <f>IF($Z1343="","",IF(AND(DATE($AD1343,6,1)&gt;=$AE1343,DATE($AD1343,6,1)&lt;=$AF1343),ROUND($AG1343,2),0))</f>
        <v/>
      </c>
      <c r="P1343" s="18">
        <f>IF($Z1343="","",IF(AND(DATE($AD1343,7,1)&gt;=$AE1343,DATE($AD1343,7,1)&lt;=$AF1343),ROUND($AG1343,2),0))</f>
        <v/>
      </c>
      <c r="Q1343" s="18">
        <f>IF($Z1343="","",IF(AND(DATE($AD1343,8,1)&gt;=$AE1343,DATE($AD1343,8,1)&lt;=$AF1343),ROUND($AG1343,2),0))</f>
        <v/>
      </c>
      <c r="R1343" s="18">
        <f>IF($Z1343="","",IF(AND(DATE($AD1343,9,1)&gt;=$AE1343,DATE($AD1343,9,1)&lt;=$AF1343),ROUND($AG1343,2),0))</f>
        <v/>
      </c>
      <c r="S1343" s="18">
        <f>IF($Z1343="","",IF(AND(DATE($AD1343,10,1)&gt;=$AE1343,DATE($AD1343,10,1)&lt;=$AF1343),ROUND($AG1343,2),0))</f>
        <v/>
      </c>
      <c r="T1343" s="18">
        <f>IF($Z1343="","",IF(AND(DATE($AD1343,11,1)&gt;=$AE1343,DATE($AD1343,11,1)&lt;=$AF1343),ROUND($AG1343,2),0))</f>
        <v/>
      </c>
      <c r="U1343" s="18">
        <f>IF($Z1343="","",IF(AND(DATE($AD1343,12,1)&gt;=$AE1343,DATE($AD1343,12,1)&lt;=$AF1343),ROUND($AG1343,2),0))</f>
        <v/>
      </c>
      <c r="V1343" s="7">
        <f>IF($Z1343="C","Generated from "&amp;INDEX(Contracts!$A$2:$A$151,$AB1343),IF($Z1343="A","Generated from "&amp;INDEX(Fixed_Assets!$A$2:$A$201,$AB1343),IF($Z1343="F","Generated from "&amp;INDEX(FTE_Allocation!$A$2:$A$201,$AB1343),"")))</f>
        <v/>
      </c>
      <c r="X1343" s="19">
        <f>IF($Z1343="","",SUM(J1343:U1343))</f>
        <v/>
      </c>
      <c r="Y1343" s="20">
        <f>ROW()-1</f>
        <v/>
      </c>
      <c r="Z1343" s="20">
        <f>IF($Y1343&lt;=Settings!$B$4*3,"C",IF($Y1343&lt;=(Settings!$B$4+Settings!$B$5)*3,"A",IF($Y1343&lt;=(Settings!$B$4+Settings!$B$5+Settings!$B$6)*3,"F","")))</f>
        <v/>
      </c>
      <c r="AA1343" s="20">
        <f>IF($Z1343="C",$Y1343,IF($Z1343="A",$Y1343-Settings!$B$4*3,IF($Z1343="F",$Y1343-(Settings!$B$4+Settings!$B$5)*3,"")))</f>
        <v/>
      </c>
      <c r="AB1343" s="20">
        <f>IF($Z1343="","",INT(($AA1343-1)/3)+1)</f>
        <v/>
      </c>
      <c r="AC1343" s="20">
        <f>IF($Z1343="","",MOD($AA1343-1,3)+1)</f>
        <v/>
      </c>
      <c r="AD1343" s="20">
        <f>IF($Z1343="","",Settings!$B$2+$AC1343-1)</f>
        <v/>
      </c>
      <c r="AE1343" s="21">
        <f>IF($Z1343="C",DATE(YEAR(INDEX(Contracts!$J$2:$J$151,$AB1343)),MONTH(INDEX(Contracts!$J$2:$J$151,$AB1343)),1),IF($Z1343="A",DATE(YEAR(INDEX(Fixed_Assets!$G$2:$G$201,$AB1343)),MONTH(INDEX(Fixed_Assets!$G$2:$G$201,$AB1343)),1),IF($Z1343="F",DATE(YEAR(MAX(N(INDEX(Workforce!$I$2:$I$151,MATCH(INDEX(FTE_Allocation!$A$2:$A$201,$AB1343),Workforce!$A$2:$A$151,0))),N(INDEX(FTE_Allocation!$I$2:$I$201,$AB1343)))),MONTH(MAX(N(INDEX(Workforce!$I$2:$I$151,MATCH(INDEX(FTE_Allocation!$A$2:$A$201,$AB1343),Workforce!$A$2:$A$151,0))),N(INDEX(FTE_Allocation!$I$2:$I$201,$AB1343)))),1),"")))</f>
        <v/>
      </c>
      <c r="AF1343" s="21">
        <f>IF($Z1343="C",IF(INDEX(Contracts!$I$2:$I$151,$AB1343)="PREPAID",EDATE(DATE(YEAR(INDEX(Contracts!$J$2:$J$151,$AB1343)),MONTH(INDEX(Contracts!$J$2:$J$151,$AB1343)),1),IF(INDEX(Contracts!$N$2:$N$151,$AB1343)="",12,INDEX(Contracts!$N$2:$N$151,$AB1343))-1),IF(INDEX(Contracts!$I$2:$I$151,$AB1343)="MONTHLY",IF(INDEX(Contracts!$K$2:$K$151,$AB1343)="",2958101,INDEX(Contracts!$K$2:$K$151,$AB1343)),0)),IF($Z1343="A",EDATE(DATE(YEAR(INDEX(Fixed_Assets!$G$2:$G$201,$AB1343)),MONTH(INDEX(Fixed_Assets!$G$2:$G$201,$AB1343)),1),INDEX(Fixed_Assets!$J$2:$J$201,$AB1343)-1),IF($Z1343="F",MIN(IF(INDEX(Workforce!$J$2:$J$151,MATCH(INDEX(FTE_Allocation!$A$2:$A$201,$AB1343),Workforce!$A$2:$A$151,0))="",2958101,INDEX(Workforce!$J$2:$J$151,MATCH(INDEX(FTE_Allocation!$A$2:$A$201,$AB1343),Workforce!$A$2:$A$151,0))),IF(INDEX(FTE_Allocation!$J$2:$J$201,$AB1343)="",2958101,INDEX(FTE_Allocation!$J$2:$J$201,$AB1343))),"")))</f>
        <v/>
      </c>
      <c r="AG1343" s="19">
        <f>IF($Z1343="C",IF(INDEX(Contracts!$I$2:$I$151,$AB1343)="PREPAID",INDEX(Contracts!$M$2:$M$151,$AB1343)/IF(INDEX(Contracts!$N$2:$N$151,$AB1343)="",12,INDEX(Contracts!$N$2:$N$151,$AB1343)),IF(INDEX(Contracts!$I$2:$I$151,$AB1343)="MONTHLY",INDEX(Contracts!$M$2:$M$151,$AB1343),0))*(1-N(INDEX(Contracts!$O$2:$O$151,$AB1343))),IF($Z1343="A",INDEX(Fixed_Assets!$H$2:$H$201,$AB1343)/INDEX(Fixed_Assets!$J$2:$J$201,$AB1343),IF($Z1343="F",INDEX(Workforce!$F$2:$F$151,MATCH(INDEX(FTE_Allocation!$A$2:$A$201,$AB1343),Workforce!$A$2:$A$151,0))*N(INDEX(FTE_Allocation!$F$2:$H$201,$AB1343,$AC1343)),"")))</f>
        <v/>
      </c>
    </row>
    <row r="1344">
      <c r="A1344" s="7">
        <f>IF($Z1344="","",$AD1344)</f>
        <v/>
      </c>
      <c r="B1344" s="7">
        <f>IF($Z1344="C",INDEX(Contracts!$D$2:$D$151,$AB1344)&amp;"",IF($Z1344="A",INDEX(Fixed_Assets!$C$2:$C$201,$AB1344)&amp;"",IF($Z1344="F",INDEX(Workforce!$B$2:$B$151,MATCH(INDEX(FTE_Allocation!$A$2:$A$201,$AB1344),Workforce!$A$2:$A$151,0))&amp;"","")))</f>
        <v/>
      </c>
      <c r="C1344" s="7">
        <f>IF($Z1344="C",INDEX(Contracts!$E$2:$E$151,$AB1344)&amp;"",IF($Z1344="A",INDEX(Fixed_Assets!$D$2:$D$201,$AB1344)&amp;"",IF($Z1344="F",INDEX(FTE_Allocation!$C$2:$C$201,$AB1344)&amp;"","")))</f>
        <v/>
      </c>
      <c r="D1344" s="7">
        <f>IF($Z1344="C",INDEX(Contracts!$B$2:$B$151,$AB1344)&amp;"",IF($Z1344="A",INDEX(Fixed_Assets!$B$2:$B$201,$AB1344)&amp;"",IF($Z1344="F",INDEX(FTE_Allocation!$B$2:$B$201,$AB1344)&amp;"","")))</f>
        <v/>
      </c>
      <c r="E1344" s="7">
        <f>IF($Z1344="C",INDEX(Contracts!$P$2:$P$151,$AB1344)&amp;"",IF($Z1344="A",INDEX(Fixed_Assets!$K$2:$K$201,$AB1344)&amp;"",IF($Z1344="F",IF(INDEX(FTE_Allocation!$D$2:$D$201,$AB1344)="PROJECT",IFERROR(INDEX(Projects!$D:$D,MATCH(INDEX(FTE_Allocation!$E$2:$E$201,$AB1344),Projects!$A:$A,0))&amp;"","#PROJECT?"),INDEX(FTE_Allocation!$E$2:$E$201,$AB1344)&amp;""),"")))</f>
        <v/>
      </c>
      <c r="F1344" s="7">
        <f>IF($Z1344="C",INDEX(Contracts!$Q$2:$Q$151,$AB1344)&amp;"",IF($Z1344="A",INDEX(Fixed_Assets!$L$2:$L$201,$AB1344)&amp;"",IF($Z1344="F",INDEX(Workforce!$K$2:$K$151,MATCH(INDEX(FTE_Allocation!$A$2:$A$201,$AB1344),Workforce!$A$2:$A$151,0))&amp;"","")))</f>
        <v/>
      </c>
      <c r="G1344" s="7">
        <f>IF($Z1344="C",INDEX(Contracts!$F$2:$F$151,$AB1344)&amp;" / "&amp;INDEX(Contracts!$G$2:$G$151,$AB1344),IF($Z1344="A",INDEX(Fixed_Assets!$E$2:$E$201,$AB1344)&amp;"",IF($Z1344="F","Personnel "&amp;INDEX(FTE_Allocation!$A$2:$A$201,$AB1344)&amp;IF(INDEX(FTE_Allocation!$D$2:$D$201,$AB1344)="PROJECT"," ("&amp;INDEX(FTE_Allocation!$E$2:$E$201,$AB1344)&amp;")",""),"")))</f>
        <v/>
      </c>
      <c r="H1344" s="7">
        <f>IF($Z1344="C","CONTRACT",IF($Z1344="A","ASSET",IF($Z1344="F","WORKFORCE","")))</f>
        <v/>
      </c>
      <c r="I1344" s="7">
        <f>IF($Z1344="C",INDEX(Contracts!$L$2:$L$151,$AB1344)&amp;"",IF($Z1344="A",INDEX(Fixed_Assets!$I$2:$I$201,$AB1344)&amp;"",IF($Z1344="F",INDEX(Workforce!$G$2:$G$151,MATCH(INDEX(FTE_Allocation!$A$2:$A$201,$AB1344),Workforce!$A$2:$A$151,0))&amp;"","")))</f>
        <v/>
      </c>
      <c r="J1344" s="18">
        <f>IF($Z1344="","",IF(AND(DATE($AD1344,1,1)&gt;=$AE1344,DATE($AD1344,1,1)&lt;=$AF1344),ROUND($AG1344,2),0))</f>
        <v/>
      </c>
      <c r="K1344" s="18">
        <f>IF($Z1344="","",IF(AND(DATE($AD1344,2,1)&gt;=$AE1344,DATE($AD1344,2,1)&lt;=$AF1344),ROUND($AG1344,2),0))</f>
        <v/>
      </c>
      <c r="L1344" s="18">
        <f>IF($Z1344="","",IF(AND(DATE($AD1344,3,1)&gt;=$AE1344,DATE($AD1344,3,1)&lt;=$AF1344),ROUND($AG1344,2),0))</f>
        <v/>
      </c>
      <c r="M1344" s="18">
        <f>IF($Z1344="","",IF(AND(DATE($AD1344,4,1)&gt;=$AE1344,DATE($AD1344,4,1)&lt;=$AF1344),ROUND($AG1344,2),0))</f>
        <v/>
      </c>
      <c r="N1344" s="18">
        <f>IF($Z1344="","",IF(AND(DATE($AD1344,5,1)&gt;=$AE1344,DATE($AD1344,5,1)&lt;=$AF1344),ROUND($AG1344,2),0))</f>
        <v/>
      </c>
      <c r="O1344" s="18">
        <f>IF($Z1344="","",IF(AND(DATE($AD1344,6,1)&gt;=$AE1344,DATE($AD1344,6,1)&lt;=$AF1344),ROUND($AG1344,2),0))</f>
        <v/>
      </c>
      <c r="P1344" s="18">
        <f>IF($Z1344="","",IF(AND(DATE($AD1344,7,1)&gt;=$AE1344,DATE($AD1344,7,1)&lt;=$AF1344),ROUND($AG1344,2),0))</f>
        <v/>
      </c>
      <c r="Q1344" s="18">
        <f>IF($Z1344="","",IF(AND(DATE($AD1344,8,1)&gt;=$AE1344,DATE($AD1344,8,1)&lt;=$AF1344),ROUND($AG1344,2),0))</f>
        <v/>
      </c>
      <c r="R1344" s="18">
        <f>IF($Z1344="","",IF(AND(DATE($AD1344,9,1)&gt;=$AE1344,DATE($AD1344,9,1)&lt;=$AF1344),ROUND($AG1344,2),0))</f>
        <v/>
      </c>
      <c r="S1344" s="18">
        <f>IF($Z1344="","",IF(AND(DATE($AD1344,10,1)&gt;=$AE1344,DATE($AD1344,10,1)&lt;=$AF1344),ROUND($AG1344,2),0))</f>
        <v/>
      </c>
      <c r="T1344" s="18">
        <f>IF($Z1344="","",IF(AND(DATE($AD1344,11,1)&gt;=$AE1344,DATE($AD1344,11,1)&lt;=$AF1344),ROUND($AG1344,2),0))</f>
        <v/>
      </c>
      <c r="U1344" s="18">
        <f>IF($Z1344="","",IF(AND(DATE($AD1344,12,1)&gt;=$AE1344,DATE($AD1344,12,1)&lt;=$AF1344),ROUND($AG1344,2),0))</f>
        <v/>
      </c>
      <c r="V1344" s="7">
        <f>IF($Z1344="C","Generated from "&amp;INDEX(Contracts!$A$2:$A$151,$AB1344),IF($Z1344="A","Generated from "&amp;INDEX(Fixed_Assets!$A$2:$A$201,$AB1344),IF($Z1344="F","Generated from "&amp;INDEX(FTE_Allocation!$A$2:$A$201,$AB1344),"")))</f>
        <v/>
      </c>
      <c r="X1344" s="19">
        <f>IF($Z1344="","",SUM(J1344:U1344))</f>
        <v/>
      </c>
      <c r="Y1344" s="20">
        <f>ROW()-1</f>
        <v/>
      </c>
      <c r="Z1344" s="20">
        <f>IF($Y1344&lt;=Settings!$B$4*3,"C",IF($Y1344&lt;=(Settings!$B$4+Settings!$B$5)*3,"A",IF($Y1344&lt;=(Settings!$B$4+Settings!$B$5+Settings!$B$6)*3,"F","")))</f>
        <v/>
      </c>
      <c r="AA1344" s="20">
        <f>IF($Z1344="C",$Y1344,IF($Z1344="A",$Y1344-Settings!$B$4*3,IF($Z1344="F",$Y1344-(Settings!$B$4+Settings!$B$5)*3,"")))</f>
        <v/>
      </c>
      <c r="AB1344" s="20">
        <f>IF($Z1344="","",INT(($AA1344-1)/3)+1)</f>
        <v/>
      </c>
      <c r="AC1344" s="20">
        <f>IF($Z1344="","",MOD($AA1344-1,3)+1)</f>
        <v/>
      </c>
      <c r="AD1344" s="20">
        <f>IF($Z1344="","",Settings!$B$2+$AC1344-1)</f>
        <v/>
      </c>
      <c r="AE1344" s="21">
        <f>IF($Z1344="C",DATE(YEAR(INDEX(Contracts!$J$2:$J$151,$AB1344)),MONTH(INDEX(Contracts!$J$2:$J$151,$AB1344)),1),IF($Z1344="A",DATE(YEAR(INDEX(Fixed_Assets!$G$2:$G$201,$AB1344)),MONTH(INDEX(Fixed_Assets!$G$2:$G$201,$AB1344)),1),IF($Z1344="F",DATE(YEAR(MAX(N(INDEX(Workforce!$I$2:$I$151,MATCH(INDEX(FTE_Allocation!$A$2:$A$201,$AB1344),Workforce!$A$2:$A$151,0))),N(INDEX(FTE_Allocation!$I$2:$I$201,$AB1344)))),MONTH(MAX(N(INDEX(Workforce!$I$2:$I$151,MATCH(INDEX(FTE_Allocation!$A$2:$A$201,$AB1344),Workforce!$A$2:$A$151,0))),N(INDEX(FTE_Allocation!$I$2:$I$201,$AB1344)))),1),"")))</f>
        <v/>
      </c>
      <c r="AF1344" s="21">
        <f>IF($Z1344="C",IF(INDEX(Contracts!$I$2:$I$151,$AB1344)="PREPAID",EDATE(DATE(YEAR(INDEX(Contracts!$J$2:$J$151,$AB1344)),MONTH(INDEX(Contracts!$J$2:$J$151,$AB1344)),1),IF(INDEX(Contracts!$N$2:$N$151,$AB1344)="",12,INDEX(Contracts!$N$2:$N$151,$AB1344))-1),IF(INDEX(Contracts!$I$2:$I$151,$AB1344)="MONTHLY",IF(INDEX(Contracts!$K$2:$K$151,$AB1344)="",2958101,INDEX(Contracts!$K$2:$K$151,$AB1344)),0)),IF($Z1344="A",EDATE(DATE(YEAR(INDEX(Fixed_Assets!$G$2:$G$201,$AB1344)),MONTH(INDEX(Fixed_Assets!$G$2:$G$201,$AB1344)),1),INDEX(Fixed_Assets!$J$2:$J$201,$AB1344)-1),IF($Z1344="F",MIN(IF(INDEX(Workforce!$J$2:$J$151,MATCH(INDEX(FTE_Allocation!$A$2:$A$201,$AB1344),Workforce!$A$2:$A$151,0))="",2958101,INDEX(Workforce!$J$2:$J$151,MATCH(INDEX(FTE_Allocation!$A$2:$A$201,$AB1344),Workforce!$A$2:$A$151,0))),IF(INDEX(FTE_Allocation!$J$2:$J$201,$AB1344)="",2958101,INDEX(FTE_Allocation!$J$2:$J$201,$AB1344))),"")))</f>
        <v/>
      </c>
      <c r="AG1344" s="19">
        <f>IF($Z1344="C",IF(INDEX(Contracts!$I$2:$I$151,$AB1344)="PREPAID",INDEX(Contracts!$M$2:$M$151,$AB1344)/IF(INDEX(Contracts!$N$2:$N$151,$AB1344)="",12,INDEX(Contracts!$N$2:$N$151,$AB1344)),IF(INDEX(Contracts!$I$2:$I$151,$AB1344)="MONTHLY",INDEX(Contracts!$M$2:$M$151,$AB1344),0))*(1-N(INDEX(Contracts!$O$2:$O$151,$AB1344))),IF($Z1344="A",INDEX(Fixed_Assets!$H$2:$H$201,$AB1344)/INDEX(Fixed_Assets!$J$2:$J$201,$AB1344),IF($Z1344="F",INDEX(Workforce!$F$2:$F$151,MATCH(INDEX(FTE_Allocation!$A$2:$A$201,$AB1344),Workforce!$A$2:$A$151,0))*N(INDEX(FTE_Allocation!$F$2:$H$201,$AB1344,$AC1344)),"")))</f>
        <v/>
      </c>
    </row>
    <row r="1345">
      <c r="A1345" s="7">
        <f>IF($Z1345="","",$AD1345)</f>
        <v/>
      </c>
      <c r="B1345" s="7">
        <f>IF($Z1345="C",INDEX(Contracts!$D$2:$D$151,$AB1345)&amp;"",IF($Z1345="A",INDEX(Fixed_Assets!$C$2:$C$201,$AB1345)&amp;"",IF($Z1345="F",INDEX(Workforce!$B$2:$B$151,MATCH(INDEX(FTE_Allocation!$A$2:$A$201,$AB1345),Workforce!$A$2:$A$151,0))&amp;"","")))</f>
        <v/>
      </c>
      <c r="C1345" s="7">
        <f>IF($Z1345="C",INDEX(Contracts!$E$2:$E$151,$AB1345)&amp;"",IF($Z1345="A",INDEX(Fixed_Assets!$D$2:$D$201,$AB1345)&amp;"",IF($Z1345="F",INDEX(FTE_Allocation!$C$2:$C$201,$AB1345)&amp;"","")))</f>
        <v/>
      </c>
      <c r="D1345" s="7">
        <f>IF($Z1345="C",INDEX(Contracts!$B$2:$B$151,$AB1345)&amp;"",IF($Z1345="A",INDEX(Fixed_Assets!$B$2:$B$201,$AB1345)&amp;"",IF($Z1345="F",INDEX(FTE_Allocation!$B$2:$B$201,$AB1345)&amp;"","")))</f>
        <v/>
      </c>
      <c r="E1345" s="7">
        <f>IF($Z1345="C",INDEX(Contracts!$P$2:$P$151,$AB1345)&amp;"",IF($Z1345="A",INDEX(Fixed_Assets!$K$2:$K$201,$AB1345)&amp;"",IF($Z1345="F",IF(INDEX(FTE_Allocation!$D$2:$D$201,$AB1345)="PROJECT",IFERROR(INDEX(Projects!$D:$D,MATCH(INDEX(FTE_Allocation!$E$2:$E$201,$AB1345),Projects!$A:$A,0))&amp;"","#PROJECT?"),INDEX(FTE_Allocation!$E$2:$E$201,$AB1345)&amp;""),"")))</f>
        <v/>
      </c>
      <c r="F1345" s="7">
        <f>IF($Z1345="C",INDEX(Contracts!$Q$2:$Q$151,$AB1345)&amp;"",IF($Z1345="A",INDEX(Fixed_Assets!$L$2:$L$201,$AB1345)&amp;"",IF($Z1345="F",INDEX(Workforce!$K$2:$K$151,MATCH(INDEX(FTE_Allocation!$A$2:$A$201,$AB1345),Workforce!$A$2:$A$151,0))&amp;"","")))</f>
        <v/>
      </c>
      <c r="G1345" s="7">
        <f>IF($Z1345="C",INDEX(Contracts!$F$2:$F$151,$AB1345)&amp;" / "&amp;INDEX(Contracts!$G$2:$G$151,$AB1345),IF($Z1345="A",INDEX(Fixed_Assets!$E$2:$E$201,$AB1345)&amp;"",IF($Z1345="F","Personnel "&amp;INDEX(FTE_Allocation!$A$2:$A$201,$AB1345)&amp;IF(INDEX(FTE_Allocation!$D$2:$D$201,$AB1345)="PROJECT"," ("&amp;INDEX(FTE_Allocation!$E$2:$E$201,$AB1345)&amp;")",""),"")))</f>
        <v/>
      </c>
      <c r="H1345" s="7">
        <f>IF($Z1345="C","CONTRACT",IF($Z1345="A","ASSET",IF($Z1345="F","WORKFORCE","")))</f>
        <v/>
      </c>
      <c r="I1345" s="7">
        <f>IF($Z1345="C",INDEX(Contracts!$L$2:$L$151,$AB1345)&amp;"",IF($Z1345="A",INDEX(Fixed_Assets!$I$2:$I$201,$AB1345)&amp;"",IF($Z1345="F",INDEX(Workforce!$G$2:$G$151,MATCH(INDEX(FTE_Allocation!$A$2:$A$201,$AB1345),Workforce!$A$2:$A$151,0))&amp;"","")))</f>
        <v/>
      </c>
      <c r="J1345" s="18">
        <f>IF($Z1345="","",IF(AND(DATE($AD1345,1,1)&gt;=$AE1345,DATE($AD1345,1,1)&lt;=$AF1345),ROUND($AG1345,2),0))</f>
        <v/>
      </c>
      <c r="K1345" s="18">
        <f>IF($Z1345="","",IF(AND(DATE($AD1345,2,1)&gt;=$AE1345,DATE($AD1345,2,1)&lt;=$AF1345),ROUND($AG1345,2),0))</f>
        <v/>
      </c>
      <c r="L1345" s="18">
        <f>IF($Z1345="","",IF(AND(DATE($AD1345,3,1)&gt;=$AE1345,DATE($AD1345,3,1)&lt;=$AF1345),ROUND($AG1345,2),0))</f>
        <v/>
      </c>
      <c r="M1345" s="18">
        <f>IF($Z1345="","",IF(AND(DATE($AD1345,4,1)&gt;=$AE1345,DATE($AD1345,4,1)&lt;=$AF1345),ROUND($AG1345,2),0))</f>
        <v/>
      </c>
      <c r="N1345" s="18">
        <f>IF($Z1345="","",IF(AND(DATE($AD1345,5,1)&gt;=$AE1345,DATE($AD1345,5,1)&lt;=$AF1345),ROUND($AG1345,2),0))</f>
        <v/>
      </c>
      <c r="O1345" s="18">
        <f>IF($Z1345="","",IF(AND(DATE($AD1345,6,1)&gt;=$AE1345,DATE($AD1345,6,1)&lt;=$AF1345),ROUND($AG1345,2),0))</f>
        <v/>
      </c>
      <c r="P1345" s="18">
        <f>IF($Z1345="","",IF(AND(DATE($AD1345,7,1)&gt;=$AE1345,DATE($AD1345,7,1)&lt;=$AF1345),ROUND($AG1345,2),0))</f>
        <v/>
      </c>
      <c r="Q1345" s="18">
        <f>IF($Z1345="","",IF(AND(DATE($AD1345,8,1)&gt;=$AE1345,DATE($AD1345,8,1)&lt;=$AF1345),ROUND($AG1345,2),0))</f>
        <v/>
      </c>
      <c r="R1345" s="18">
        <f>IF($Z1345="","",IF(AND(DATE($AD1345,9,1)&gt;=$AE1345,DATE($AD1345,9,1)&lt;=$AF1345),ROUND($AG1345,2),0))</f>
        <v/>
      </c>
      <c r="S1345" s="18">
        <f>IF($Z1345="","",IF(AND(DATE($AD1345,10,1)&gt;=$AE1345,DATE($AD1345,10,1)&lt;=$AF1345),ROUND($AG1345,2),0))</f>
        <v/>
      </c>
      <c r="T1345" s="18">
        <f>IF($Z1345="","",IF(AND(DATE($AD1345,11,1)&gt;=$AE1345,DATE($AD1345,11,1)&lt;=$AF1345),ROUND($AG1345,2),0))</f>
        <v/>
      </c>
      <c r="U1345" s="18">
        <f>IF($Z1345="","",IF(AND(DATE($AD1345,12,1)&gt;=$AE1345,DATE($AD1345,12,1)&lt;=$AF1345),ROUND($AG1345,2),0))</f>
        <v/>
      </c>
      <c r="V1345" s="7">
        <f>IF($Z1345="C","Generated from "&amp;INDEX(Contracts!$A$2:$A$151,$AB1345),IF($Z1345="A","Generated from "&amp;INDEX(Fixed_Assets!$A$2:$A$201,$AB1345),IF($Z1345="F","Generated from "&amp;INDEX(FTE_Allocation!$A$2:$A$201,$AB1345),"")))</f>
        <v/>
      </c>
      <c r="X1345" s="19">
        <f>IF($Z1345="","",SUM(J1345:U1345))</f>
        <v/>
      </c>
      <c r="Y1345" s="20">
        <f>ROW()-1</f>
        <v/>
      </c>
      <c r="Z1345" s="20">
        <f>IF($Y1345&lt;=Settings!$B$4*3,"C",IF($Y1345&lt;=(Settings!$B$4+Settings!$B$5)*3,"A",IF($Y1345&lt;=(Settings!$B$4+Settings!$B$5+Settings!$B$6)*3,"F","")))</f>
        <v/>
      </c>
      <c r="AA1345" s="20">
        <f>IF($Z1345="C",$Y1345,IF($Z1345="A",$Y1345-Settings!$B$4*3,IF($Z1345="F",$Y1345-(Settings!$B$4+Settings!$B$5)*3,"")))</f>
        <v/>
      </c>
      <c r="AB1345" s="20">
        <f>IF($Z1345="","",INT(($AA1345-1)/3)+1)</f>
        <v/>
      </c>
      <c r="AC1345" s="20">
        <f>IF($Z1345="","",MOD($AA1345-1,3)+1)</f>
        <v/>
      </c>
      <c r="AD1345" s="20">
        <f>IF($Z1345="","",Settings!$B$2+$AC1345-1)</f>
        <v/>
      </c>
      <c r="AE1345" s="21">
        <f>IF($Z1345="C",DATE(YEAR(INDEX(Contracts!$J$2:$J$151,$AB1345)),MONTH(INDEX(Contracts!$J$2:$J$151,$AB1345)),1),IF($Z1345="A",DATE(YEAR(INDEX(Fixed_Assets!$G$2:$G$201,$AB1345)),MONTH(INDEX(Fixed_Assets!$G$2:$G$201,$AB1345)),1),IF($Z1345="F",DATE(YEAR(MAX(N(INDEX(Workforce!$I$2:$I$151,MATCH(INDEX(FTE_Allocation!$A$2:$A$201,$AB1345),Workforce!$A$2:$A$151,0))),N(INDEX(FTE_Allocation!$I$2:$I$201,$AB1345)))),MONTH(MAX(N(INDEX(Workforce!$I$2:$I$151,MATCH(INDEX(FTE_Allocation!$A$2:$A$201,$AB1345),Workforce!$A$2:$A$151,0))),N(INDEX(FTE_Allocation!$I$2:$I$201,$AB1345)))),1),"")))</f>
        <v/>
      </c>
      <c r="AF1345" s="21">
        <f>IF($Z1345="C",IF(INDEX(Contracts!$I$2:$I$151,$AB1345)="PREPAID",EDATE(DATE(YEAR(INDEX(Contracts!$J$2:$J$151,$AB1345)),MONTH(INDEX(Contracts!$J$2:$J$151,$AB1345)),1),IF(INDEX(Contracts!$N$2:$N$151,$AB1345)="",12,INDEX(Contracts!$N$2:$N$151,$AB1345))-1),IF(INDEX(Contracts!$I$2:$I$151,$AB1345)="MONTHLY",IF(INDEX(Contracts!$K$2:$K$151,$AB1345)="",2958101,INDEX(Contracts!$K$2:$K$151,$AB1345)),0)),IF($Z1345="A",EDATE(DATE(YEAR(INDEX(Fixed_Assets!$G$2:$G$201,$AB1345)),MONTH(INDEX(Fixed_Assets!$G$2:$G$201,$AB1345)),1),INDEX(Fixed_Assets!$J$2:$J$201,$AB1345)-1),IF($Z1345="F",MIN(IF(INDEX(Workforce!$J$2:$J$151,MATCH(INDEX(FTE_Allocation!$A$2:$A$201,$AB1345),Workforce!$A$2:$A$151,0))="",2958101,INDEX(Workforce!$J$2:$J$151,MATCH(INDEX(FTE_Allocation!$A$2:$A$201,$AB1345),Workforce!$A$2:$A$151,0))),IF(INDEX(FTE_Allocation!$J$2:$J$201,$AB1345)="",2958101,INDEX(FTE_Allocation!$J$2:$J$201,$AB1345))),"")))</f>
        <v/>
      </c>
      <c r="AG1345" s="19">
        <f>IF($Z1345="C",IF(INDEX(Contracts!$I$2:$I$151,$AB1345)="PREPAID",INDEX(Contracts!$M$2:$M$151,$AB1345)/IF(INDEX(Contracts!$N$2:$N$151,$AB1345)="",12,INDEX(Contracts!$N$2:$N$151,$AB1345)),IF(INDEX(Contracts!$I$2:$I$151,$AB1345)="MONTHLY",INDEX(Contracts!$M$2:$M$151,$AB1345),0))*(1-N(INDEX(Contracts!$O$2:$O$151,$AB1345))),IF($Z1345="A",INDEX(Fixed_Assets!$H$2:$H$201,$AB1345)/INDEX(Fixed_Assets!$J$2:$J$201,$AB1345),IF($Z1345="F",INDEX(Workforce!$F$2:$F$151,MATCH(INDEX(FTE_Allocation!$A$2:$A$201,$AB1345),Workforce!$A$2:$A$151,0))*N(INDEX(FTE_Allocation!$F$2:$H$201,$AB1345,$AC1345)),"")))</f>
        <v/>
      </c>
    </row>
    <row r="1346">
      <c r="A1346" s="7">
        <f>IF($Z1346="","",$AD1346)</f>
        <v/>
      </c>
      <c r="B1346" s="7">
        <f>IF($Z1346="C",INDEX(Contracts!$D$2:$D$151,$AB1346)&amp;"",IF($Z1346="A",INDEX(Fixed_Assets!$C$2:$C$201,$AB1346)&amp;"",IF($Z1346="F",INDEX(Workforce!$B$2:$B$151,MATCH(INDEX(FTE_Allocation!$A$2:$A$201,$AB1346),Workforce!$A$2:$A$151,0))&amp;"","")))</f>
        <v/>
      </c>
      <c r="C1346" s="7">
        <f>IF($Z1346="C",INDEX(Contracts!$E$2:$E$151,$AB1346)&amp;"",IF($Z1346="A",INDEX(Fixed_Assets!$D$2:$D$201,$AB1346)&amp;"",IF($Z1346="F",INDEX(FTE_Allocation!$C$2:$C$201,$AB1346)&amp;"","")))</f>
        <v/>
      </c>
      <c r="D1346" s="7">
        <f>IF($Z1346="C",INDEX(Contracts!$B$2:$B$151,$AB1346)&amp;"",IF($Z1346="A",INDEX(Fixed_Assets!$B$2:$B$201,$AB1346)&amp;"",IF($Z1346="F",INDEX(FTE_Allocation!$B$2:$B$201,$AB1346)&amp;"","")))</f>
        <v/>
      </c>
      <c r="E1346" s="7">
        <f>IF($Z1346="C",INDEX(Contracts!$P$2:$P$151,$AB1346)&amp;"",IF($Z1346="A",INDEX(Fixed_Assets!$K$2:$K$201,$AB1346)&amp;"",IF($Z1346="F",IF(INDEX(FTE_Allocation!$D$2:$D$201,$AB1346)="PROJECT",IFERROR(INDEX(Projects!$D:$D,MATCH(INDEX(FTE_Allocation!$E$2:$E$201,$AB1346),Projects!$A:$A,0))&amp;"","#PROJECT?"),INDEX(FTE_Allocation!$E$2:$E$201,$AB1346)&amp;""),"")))</f>
        <v/>
      </c>
      <c r="F1346" s="7">
        <f>IF($Z1346="C",INDEX(Contracts!$Q$2:$Q$151,$AB1346)&amp;"",IF($Z1346="A",INDEX(Fixed_Assets!$L$2:$L$201,$AB1346)&amp;"",IF($Z1346="F",INDEX(Workforce!$K$2:$K$151,MATCH(INDEX(FTE_Allocation!$A$2:$A$201,$AB1346),Workforce!$A$2:$A$151,0))&amp;"","")))</f>
        <v/>
      </c>
      <c r="G1346" s="7">
        <f>IF($Z1346="C",INDEX(Contracts!$F$2:$F$151,$AB1346)&amp;" / "&amp;INDEX(Contracts!$G$2:$G$151,$AB1346),IF($Z1346="A",INDEX(Fixed_Assets!$E$2:$E$201,$AB1346)&amp;"",IF($Z1346="F","Personnel "&amp;INDEX(FTE_Allocation!$A$2:$A$201,$AB1346)&amp;IF(INDEX(FTE_Allocation!$D$2:$D$201,$AB1346)="PROJECT"," ("&amp;INDEX(FTE_Allocation!$E$2:$E$201,$AB1346)&amp;")",""),"")))</f>
        <v/>
      </c>
      <c r="H1346" s="7">
        <f>IF($Z1346="C","CONTRACT",IF($Z1346="A","ASSET",IF($Z1346="F","WORKFORCE","")))</f>
        <v/>
      </c>
      <c r="I1346" s="7">
        <f>IF($Z1346="C",INDEX(Contracts!$L$2:$L$151,$AB1346)&amp;"",IF($Z1346="A",INDEX(Fixed_Assets!$I$2:$I$201,$AB1346)&amp;"",IF($Z1346="F",INDEX(Workforce!$G$2:$G$151,MATCH(INDEX(FTE_Allocation!$A$2:$A$201,$AB1346),Workforce!$A$2:$A$151,0))&amp;"","")))</f>
        <v/>
      </c>
      <c r="J1346" s="18">
        <f>IF($Z1346="","",IF(AND(DATE($AD1346,1,1)&gt;=$AE1346,DATE($AD1346,1,1)&lt;=$AF1346),ROUND($AG1346,2),0))</f>
        <v/>
      </c>
      <c r="K1346" s="18">
        <f>IF($Z1346="","",IF(AND(DATE($AD1346,2,1)&gt;=$AE1346,DATE($AD1346,2,1)&lt;=$AF1346),ROUND($AG1346,2),0))</f>
        <v/>
      </c>
      <c r="L1346" s="18">
        <f>IF($Z1346="","",IF(AND(DATE($AD1346,3,1)&gt;=$AE1346,DATE($AD1346,3,1)&lt;=$AF1346),ROUND($AG1346,2),0))</f>
        <v/>
      </c>
      <c r="M1346" s="18">
        <f>IF($Z1346="","",IF(AND(DATE($AD1346,4,1)&gt;=$AE1346,DATE($AD1346,4,1)&lt;=$AF1346),ROUND($AG1346,2),0))</f>
        <v/>
      </c>
      <c r="N1346" s="18">
        <f>IF($Z1346="","",IF(AND(DATE($AD1346,5,1)&gt;=$AE1346,DATE($AD1346,5,1)&lt;=$AF1346),ROUND($AG1346,2),0))</f>
        <v/>
      </c>
      <c r="O1346" s="18">
        <f>IF($Z1346="","",IF(AND(DATE($AD1346,6,1)&gt;=$AE1346,DATE($AD1346,6,1)&lt;=$AF1346),ROUND($AG1346,2),0))</f>
        <v/>
      </c>
      <c r="P1346" s="18">
        <f>IF($Z1346="","",IF(AND(DATE($AD1346,7,1)&gt;=$AE1346,DATE($AD1346,7,1)&lt;=$AF1346),ROUND($AG1346,2),0))</f>
        <v/>
      </c>
      <c r="Q1346" s="18">
        <f>IF($Z1346="","",IF(AND(DATE($AD1346,8,1)&gt;=$AE1346,DATE($AD1346,8,1)&lt;=$AF1346),ROUND($AG1346,2),0))</f>
        <v/>
      </c>
      <c r="R1346" s="18">
        <f>IF($Z1346="","",IF(AND(DATE($AD1346,9,1)&gt;=$AE1346,DATE($AD1346,9,1)&lt;=$AF1346),ROUND($AG1346,2),0))</f>
        <v/>
      </c>
      <c r="S1346" s="18">
        <f>IF($Z1346="","",IF(AND(DATE($AD1346,10,1)&gt;=$AE1346,DATE($AD1346,10,1)&lt;=$AF1346),ROUND($AG1346,2),0))</f>
        <v/>
      </c>
      <c r="T1346" s="18">
        <f>IF($Z1346="","",IF(AND(DATE($AD1346,11,1)&gt;=$AE1346,DATE($AD1346,11,1)&lt;=$AF1346),ROUND($AG1346,2),0))</f>
        <v/>
      </c>
      <c r="U1346" s="18">
        <f>IF($Z1346="","",IF(AND(DATE($AD1346,12,1)&gt;=$AE1346,DATE($AD1346,12,1)&lt;=$AF1346),ROUND($AG1346,2),0))</f>
        <v/>
      </c>
      <c r="V1346" s="7">
        <f>IF($Z1346="C","Generated from "&amp;INDEX(Contracts!$A$2:$A$151,$AB1346),IF($Z1346="A","Generated from "&amp;INDEX(Fixed_Assets!$A$2:$A$201,$AB1346),IF($Z1346="F","Generated from "&amp;INDEX(FTE_Allocation!$A$2:$A$201,$AB1346),"")))</f>
        <v/>
      </c>
      <c r="X1346" s="19">
        <f>IF($Z1346="","",SUM(J1346:U1346))</f>
        <v/>
      </c>
      <c r="Y1346" s="20">
        <f>ROW()-1</f>
        <v/>
      </c>
      <c r="Z1346" s="20">
        <f>IF($Y1346&lt;=Settings!$B$4*3,"C",IF($Y1346&lt;=(Settings!$B$4+Settings!$B$5)*3,"A",IF($Y1346&lt;=(Settings!$B$4+Settings!$B$5+Settings!$B$6)*3,"F","")))</f>
        <v/>
      </c>
      <c r="AA1346" s="20">
        <f>IF($Z1346="C",$Y1346,IF($Z1346="A",$Y1346-Settings!$B$4*3,IF($Z1346="F",$Y1346-(Settings!$B$4+Settings!$B$5)*3,"")))</f>
        <v/>
      </c>
      <c r="AB1346" s="20">
        <f>IF($Z1346="","",INT(($AA1346-1)/3)+1)</f>
        <v/>
      </c>
      <c r="AC1346" s="20">
        <f>IF($Z1346="","",MOD($AA1346-1,3)+1)</f>
        <v/>
      </c>
      <c r="AD1346" s="20">
        <f>IF($Z1346="","",Settings!$B$2+$AC1346-1)</f>
        <v/>
      </c>
      <c r="AE1346" s="21">
        <f>IF($Z1346="C",DATE(YEAR(INDEX(Contracts!$J$2:$J$151,$AB1346)),MONTH(INDEX(Contracts!$J$2:$J$151,$AB1346)),1),IF($Z1346="A",DATE(YEAR(INDEX(Fixed_Assets!$G$2:$G$201,$AB1346)),MONTH(INDEX(Fixed_Assets!$G$2:$G$201,$AB1346)),1),IF($Z1346="F",DATE(YEAR(MAX(N(INDEX(Workforce!$I$2:$I$151,MATCH(INDEX(FTE_Allocation!$A$2:$A$201,$AB1346),Workforce!$A$2:$A$151,0))),N(INDEX(FTE_Allocation!$I$2:$I$201,$AB1346)))),MONTH(MAX(N(INDEX(Workforce!$I$2:$I$151,MATCH(INDEX(FTE_Allocation!$A$2:$A$201,$AB1346),Workforce!$A$2:$A$151,0))),N(INDEX(FTE_Allocation!$I$2:$I$201,$AB1346)))),1),"")))</f>
        <v/>
      </c>
      <c r="AF1346" s="21">
        <f>IF($Z1346="C",IF(INDEX(Contracts!$I$2:$I$151,$AB1346)="PREPAID",EDATE(DATE(YEAR(INDEX(Contracts!$J$2:$J$151,$AB1346)),MONTH(INDEX(Contracts!$J$2:$J$151,$AB1346)),1),IF(INDEX(Contracts!$N$2:$N$151,$AB1346)="",12,INDEX(Contracts!$N$2:$N$151,$AB1346))-1),IF(INDEX(Contracts!$I$2:$I$151,$AB1346)="MONTHLY",IF(INDEX(Contracts!$K$2:$K$151,$AB1346)="",2958101,INDEX(Contracts!$K$2:$K$151,$AB1346)),0)),IF($Z1346="A",EDATE(DATE(YEAR(INDEX(Fixed_Assets!$G$2:$G$201,$AB1346)),MONTH(INDEX(Fixed_Assets!$G$2:$G$201,$AB1346)),1),INDEX(Fixed_Assets!$J$2:$J$201,$AB1346)-1),IF($Z1346="F",MIN(IF(INDEX(Workforce!$J$2:$J$151,MATCH(INDEX(FTE_Allocation!$A$2:$A$201,$AB1346),Workforce!$A$2:$A$151,0))="",2958101,INDEX(Workforce!$J$2:$J$151,MATCH(INDEX(FTE_Allocation!$A$2:$A$201,$AB1346),Workforce!$A$2:$A$151,0))),IF(INDEX(FTE_Allocation!$J$2:$J$201,$AB1346)="",2958101,INDEX(FTE_Allocation!$J$2:$J$201,$AB1346))),"")))</f>
        <v/>
      </c>
      <c r="AG1346" s="19">
        <f>IF($Z1346="C",IF(INDEX(Contracts!$I$2:$I$151,$AB1346)="PREPAID",INDEX(Contracts!$M$2:$M$151,$AB1346)/IF(INDEX(Contracts!$N$2:$N$151,$AB1346)="",12,INDEX(Contracts!$N$2:$N$151,$AB1346)),IF(INDEX(Contracts!$I$2:$I$151,$AB1346)="MONTHLY",INDEX(Contracts!$M$2:$M$151,$AB1346),0))*(1-N(INDEX(Contracts!$O$2:$O$151,$AB1346))),IF($Z1346="A",INDEX(Fixed_Assets!$H$2:$H$201,$AB1346)/INDEX(Fixed_Assets!$J$2:$J$201,$AB1346),IF($Z1346="F",INDEX(Workforce!$F$2:$F$151,MATCH(INDEX(FTE_Allocation!$A$2:$A$201,$AB1346),Workforce!$A$2:$A$151,0))*N(INDEX(FTE_Allocation!$F$2:$H$201,$AB1346,$AC1346)),"")))</f>
        <v/>
      </c>
    </row>
    <row r="1347">
      <c r="A1347" s="7">
        <f>IF($Z1347="","",$AD1347)</f>
        <v/>
      </c>
      <c r="B1347" s="7">
        <f>IF($Z1347="C",INDEX(Contracts!$D$2:$D$151,$AB1347)&amp;"",IF($Z1347="A",INDEX(Fixed_Assets!$C$2:$C$201,$AB1347)&amp;"",IF($Z1347="F",INDEX(Workforce!$B$2:$B$151,MATCH(INDEX(FTE_Allocation!$A$2:$A$201,$AB1347),Workforce!$A$2:$A$151,0))&amp;"","")))</f>
        <v/>
      </c>
      <c r="C1347" s="7">
        <f>IF($Z1347="C",INDEX(Contracts!$E$2:$E$151,$AB1347)&amp;"",IF($Z1347="A",INDEX(Fixed_Assets!$D$2:$D$201,$AB1347)&amp;"",IF($Z1347="F",INDEX(FTE_Allocation!$C$2:$C$201,$AB1347)&amp;"","")))</f>
        <v/>
      </c>
      <c r="D1347" s="7">
        <f>IF($Z1347="C",INDEX(Contracts!$B$2:$B$151,$AB1347)&amp;"",IF($Z1347="A",INDEX(Fixed_Assets!$B$2:$B$201,$AB1347)&amp;"",IF($Z1347="F",INDEX(FTE_Allocation!$B$2:$B$201,$AB1347)&amp;"","")))</f>
        <v/>
      </c>
      <c r="E1347" s="7">
        <f>IF($Z1347="C",INDEX(Contracts!$P$2:$P$151,$AB1347)&amp;"",IF($Z1347="A",INDEX(Fixed_Assets!$K$2:$K$201,$AB1347)&amp;"",IF($Z1347="F",IF(INDEX(FTE_Allocation!$D$2:$D$201,$AB1347)="PROJECT",IFERROR(INDEX(Projects!$D:$D,MATCH(INDEX(FTE_Allocation!$E$2:$E$201,$AB1347),Projects!$A:$A,0))&amp;"","#PROJECT?"),INDEX(FTE_Allocation!$E$2:$E$201,$AB1347)&amp;""),"")))</f>
        <v/>
      </c>
      <c r="F1347" s="7">
        <f>IF($Z1347="C",INDEX(Contracts!$Q$2:$Q$151,$AB1347)&amp;"",IF($Z1347="A",INDEX(Fixed_Assets!$L$2:$L$201,$AB1347)&amp;"",IF($Z1347="F",INDEX(Workforce!$K$2:$K$151,MATCH(INDEX(FTE_Allocation!$A$2:$A$201,$AB1347),Workforce!$A$2:$A$151,0))&amp;"","")))</f>
        <v/>
      </c>
      <c r="G1347" s="7">
        <f>IF($Z1347="C",INDEX(Contracts!$F$2:$F$151,$AB1347)&amp;" / "&amp;INDEX(Contracts!$G$2:$G$151,$AB1347),IF($Z1347="A",INDEX(Fixed_Assets!$E$2:$E$201,$AB1347)&amp;"",IF($Z1347="F","Personnel "&amp;INDEX(FTE_Allocation!$A$2:$A$201,$AB1347)&amp;IF(INDEX(FTE_Allocation!$D$2:$D$201,$AB1347)="PROJECT"," ("&amp;INDEX(FTE_Allocation!$E$2:$E$201,$AB1347)&amp;")",""),"")))</f>
        <v/>
      </c>
      <c r="H1347" s="7">
        <f>IF($Z1347="C","CONTRACT",IF($Z1347="A","ASSET",IF($Z1347="F","WORKFORCE","")))</f>
        <v/>
      </c>
      <c r="I1347" s="7">
        <f>IF($Z1347="C",INDEX(Contracts!$L$2:$L$151,$AB1347)&amp;"",IF($Z1347="A",INDEX(Fixed_Assets!$I$2:$I$201,$AB1347)&amp;"",IF($Z1347="F",INDEX(Workforce!$G$2:$G$151,MATCH(INDEX(FTE_Allocation!$A$2:$A$201,$AB1347),Workforce!$A$2:$A$151,0))&amp;"","")))</f>
        <v/>
      </c>
      <c r="J1347" s="18">
        <f>IF($Z1347="","",IF(AND(DATE($AD1347,1,1)&gt;=$AE1347,DATE($AD1347,1,1)&lt;=$AF1347),ROUND($AG1347,2),0))</f>
        <v/>
      </c>
      <c r="K1347" s="18">
        <f>IF($Z1347="","",IF(AND(DATE($AD1347,2,1)&gt;=$AE1347,DATE($AD1347,2,1)&lt;=$AF1347),ROUND($AG1347,2),0))</f>
        <v/>
      </c>
      <c r="L1347" s="18">
        <f>IF($Z1347="","",IF(AND(DATE($AD1347,3,1)&gt;=$AE1347,DATE($AD1347,3,1)&lt;=$AF1347),ROUND($AG1347,2),0))</f>
        <v/>
      </c>
      <c r="M1347" s="18">
        <f>IF($Z1347="","",IF(AND(DATE($AD1347,4,1)&gt;=$AE1347,DATE($AD1347,4,1)&lt;=$AF1347),ROUND($AG1347,2),0))</f>
        <v/>
      </c>
      <c r="N1347" s="18">
        <f>IF($Z1347="","",IF(AND(DATE($AD1347,5,1)&gt;=$AE1347,DATE($AD1347,5,1)&lt;=$AF1347),ROUND($AG1347,2),0))</f>
        <v/>
      </c>
      <c r="O1347" s="18">
        <f>IF($Z1347="","",IF(AND(DATE($AD1347,6,1)&gt;=$AE1347,DATE($AD1347,6,1)&lt;=$AF1347),ROUND($AG1347,2),0))</f>
        <v/>
      </c>
      <c r="P1347" s="18">
        <f>IF($Z1347="","",IF(AND(DATE($AD1347,7,1)&gt;=$AE1347,DATE($AD1347,7,1)&lt;=$AF1347),ROUND($AG1347,2),0))</f>
        <v/>
      </c>
      <c r="Q1347" s="18">
        <f>IF($Z1347="","",IF(AND(DATE($AD1347,8,1)&gt;=$AE1347,DATE($AD1347,8,1)&lt;=$AF1347),ROUND($AG1347,2),0))</f>
        <v/>
      </c>
      <c r="R1347" s="18">
        <f>IF($Z1347="","",IF(AND(DATE($AD1347,9,1)&gt;=$AE1347,DATE($AD1347,9,1)&lt;=$AF1347),ROUND($AG1347,2),0))</f>
        <v/>
      </c>
      <c r="S1347" s="18">
        <f>IF($Z1347="","",IF(AND(DATE($AD1347,10,1)&gt;=$AE1347,DATE($AD1347,10,1)&lt;=$AF1347),ROUND($AG1347,2),0))</f>
        <v/>
      </c>
      <c r="T1347" s="18">
        <f>IF($Z1347="","",IF(AND(DATE($AD1347,11,1)&gt;=$AE1347,DATE($AD1347,11,1)&lt;=$AF1347),ROUND($AG1347,2),0))</f>
        <v/>
      </c>
      <c r="U1347" s="18">
        <f>IF($Z1347="","",IF(AND(DATE($AD1347,12,1)&gt;=$AE1347,DATE($AD1347,12,1)&lt;=$AF1347),ROUND($AG1347,2),0))</f>
        <v/>
      </c>
      <c r="V1347" s="7">
        <f>IF($Z1347="C","Generated from "&amp;INDEX(Contracts!$A$2:$A$151,$AB1347),IF($Z1347="A","Generated from "&amp;INDEX(Fixed_Assets!$A$2:$A$201,$AB1347),IF($Z1347="F","Generated from "&amp;INDEX(FTE_Allocation!$A$2:$A$201,$AB1347),"")))</f>
        <v/>
      </c>
      <c r="X1347" s="19">
        <f>IF($Z1347="","",SUM(J1347:U1347))</f>
        <v/>
      </c>
      <c r="Y1347" s="20">
        <f>ROW()-1</f>
        <v/>
      </c>
      <c r="Z1347" s="20">
        <f>IF($Y1347&lt;=Settings!$B$4*3,"C",IF($Y1347&lt;=(Settings!$B$4+Settings!$B$5)*3,"A",IF($Y1347&lt;=(Settings!$B$4+Settings!$B$5+Settings!$B$6)*3,"F","")))</f>
        <v/>
      </c>
      <c r="AA1347" s="20">
        <f>IF($Z1347="C",$Y1347,IF($Z1347="A",$Y1347-Settings!$B$4*3,IF($Z1347="F",$Y1347-(Settings!$B$4+Settings!$B$5)*3,"")))</f>
        <v/>
      </c>
      <c r="AB1347" s="20">
        <f>IF($Z1347="","",INT(($AA1347-1)/3)+1)</f>
        <v/>
      </c>
      <c r="AC1347" s="20">
        <f>IF($Z1347="","",MOD($AA1347-1,3)+1)</f>
        <v/>
      </c>
      <c r="AD1347" s="20">
        <f>IF($Z1347="","",Settings!$B$2+$AC1347-1)</f>
        <v/>
      </c>
      <c r="AE1347" s="21">
        <f>IF($Z1347="C",DATE(YEAR(INDEX(Contracts!$J$2:$J$151,$AB1347)),MONTH(INDEX(Contracts!$J$2:$J$151,$AB1347)),1),IF($Z1347="A",DATE(YEAR(INDEX(Fixed_Assets!$G$2:$G$201,$AB1347)),MONTH(INDEX(Fixed_Assets!$G$2:$G$201,$AB1347)),1),IF($Z1347="F",DATE(YEAR(MAX(N(INDEX(Workforce!$I$2:$I$151,MATCH(INDEX(FTE_Allocation!$A$2:$A$201,$AB1347),Workforce!$A$2:$A$151,0))),N(INDEX(FTE_Allocation!$I$2:$I$201,$AB1347)))),MONTH(MAX(N(INDEX(Workforce!$I$2:$I$151,MATCH(INDEX(FTE_Allocation!$A$2:$A$201,$AB1347),Workforce!$A$2:$A$151,0))),N(INDEX(FTE_Allocation!$I$2:$I$201,$AB1347)))),1),"")))</f>
        <v/>
      </c>
      <c r="AF1347" s="21">
        <f>IF($Z1347="C",IF(INDEX(Contracts!$I$2:$I$151,$AB1347)="PREPAID",EDATE(DATE(YEAR(INDEX(Contracts!$J$2:$J$151,$AB1347)),MONTH(INDEX(Contracts!$J$2:$J$151,$AB1347)),1),IF(INDEX(Contracts!$N$2:$N$151,$AB1347)="",12,INDEX(Contracts!$N$2:$N$151,$AB1347))-1),IF(INDEX(Contracts!$I$2:$I$151,$AB1347)="MONTHLY",IF(INDEX(Contracts!$K$2:$K$151,$AB1347)="",2958101,INDEX(Contracts!$K$2:$K$151,$AB1347)),0)),IF($Z1347="A",EDATE(DATE(YEAR(INDEX(Fixed_Assets!$G$2:$G$201,$AB1347)),MONTH(INDEX(Fixed_Assets!$G$2:$G$201,$AB1347)),1),INDEX(Fixed_Assets!$J$2:$J$201,$AB1347)-1),IF($Z1347="F",MIN(IF(INDEX(Workforce!$J$2:$J$151,MATCH(INDEX(FTE_Allocation!$A$2:$A$201,$AB1347),Workforce!$A$2:$A$151,0))="",2958101,INDEX(Workforce!$J$2:$J$151,MATCH(INDEX(FTE_Allocation!$A$2:$A$201,$AB1347),Workforce!$A$2:$A$151,0))),IF(INDEX(FTE_Allocation!$J$2:$J$201,$AB1347)="",2958101,INDEX(FTE_Allocation!$J$2:$J$201,$AB1347))),"")))</f>
        <v/>
      </c>
      <c r="AG1347" s="19">
        <f>IF($Z1347="C",IF(INDEX(Contracts!$I$2:$I$151,$AB1347)="PREPAID",INDEX(Contracts!$M$2:$M$151,$AB1347)/IF(INDEX(Contracts!$N$2:$N$151,$AB1347)="",12,INDEX(Contracts!$N$2:$N$151,$AB1347)),IF(INDEX(Contracts!$I$2:$I$151,$AB1347)="MONTHLY",INDEX(Contracts!$M$2:$M$151,$AB1347),0))*(1-N(INDEX(Contracts!$O$2:$O$151,$AB1347))),IF($Z1347="A",INDEX(Fixed_Assets!$H$2:$H$201,$AB1347)/INDEX(Fixed_Assets!$J$2:$J$201,$AB1347),IF($Z1347="F",INDEX(Workforce!$F$2:$F$151,MATCH(INDEX(FTE_Allocation!$A$2:$A$201,$AB1347),Workforce!$A$2:$A$151,0))*N(INDEX(FTE_Allocation!$F$2:$H$201,$AB1347,$AC1347)),"")))</f>
        <v/>
      </c>
    </row>
    <row r="1348">
      <c r="A1348" s="7">
        <f>IF($Z1348="","",$AD1348)</f>
        <v/>
      </c>
      <c r="B1348" s="7">
        <f>IF($Z1348="C",INDEX(Contracts!$D$2:$D$151,$AB1348)&amp;"",IF($Z1348="A",INDEX(Fixed_Assets!$C$2:$C$201,$AB1348)&amp;"",IF($Z1348="F",INDEX(Workforce!$B$2:$B$151,MATCH(INDEX(FTE_Allocation!$A$2:$A$201,$AB1348),Workforce!$A$2:$A$151,0))&amp;"","")))</f>
        <v/>
      </c>
      <c r="C1348" s="7">
        <f>IF($Z1348="C",INDEX(Contracts!$E$2:$E$151,$AB1348)&amp;"",IF($Z1348="A",INDEX(Fixed_Assets!$D$2:$D$201,$AB1348)&amp;"",IF($Z1348="F",INDEX(FTE_Allocation!$C$2:$C$201,$AB1348)&amp;"","")))</f>
        <v/>
      </c>
      <c r="D1348" s="7">
        <f>IF($Z1348="C",INDEX(Contracts!$B$2:$B$151,$AB1348)&amp;"",IF($Z1348="A",INDEX(Fixed_Assets!$B$2:$B$201,$AB1348)&amp;"",IF($Z1348="F",INDEX(FTE_Allocation!$B$2:$B$201,$AB1348)&amp;"","")))</f>
        <v/>
      </c>
      <c r="E1348" s="7">
        <f>IF($Z1348="C",INDEX(Contracts!$P$2:$P$151,$AB1348)&amp;"",IF($Z1348="A",INDEX(Fixed_Assets!$K$2:$K$201,$AB1348)&amp;"",IF($Z1348="F",IF(INDEX(FTE_Allocation!$D$2:$D$201,$AB1348)="PROJECT",IFERROR(INDEX(Projects!$D:$D,MATCH(INDEX(FTE_Allocation!$E$2:$E$201,$AB1348),Projects!$A:$A,0))&amp;"","#PROJECT?"),INDEX(FTE_Allocation!$E$2:$E$201,$AB1348)&amp;""),"")))</f>
        <v/>
      </c>
      <c r="F1348" s="7">
        <f>IF($Z1348="C",INDEX(Contracts!$Q$2:$Q$151,$AB1348)&amp;"",IF($Z1348="A",INDEX(Fixed_Assets!$L$2:$L$201,$AB1348)&amp;"",IF($Z1348="F",INDEX(Workforce!$K$2:$K$151,MATCH(INDEX(FTE_Allocation!$A$2:$A$201,$AB1348),Workforce!$A$2:$A$151,0))&amp;"","")))</f>
        <v/>
      </c>
      <c r="G1348" s="7">
        <f>IF($Z1348="C",INDEX(Contracts!$F$2:$F$151,$AB1348)&amp;" / "&amp;INDEX(Contracts!$G$2:$G$151,$AB1348),IF($Z1348="A",INDEX(Fixed_Assets!$E$2:$E$201,$AB1348)&amp;"",IF($Z1348="F","Personnel "&amp;INDEX(FTE_Allocation!$A$2:$A$201,$AB1348)&amp;IF(INDEX(FTE_Allocation!$D$2:$D$201,$AB1348)="PROJECT"," ("&amp;INDEX(FTE_Allocation!$E$2:$E$201,$AB1348)&amp;")",""),"")))</f>
        <v/>
      </c>
      <c r="H1348" s="7">
        <f>IF($Z1348="C","CONTRACT",IF($Z1348="A","ASSET",IF($Z1348="F","WORKFORCE","")))</f>
        <v/>
      </c>
      <c r="I1348" s="7">
        <f>IF($Z1348="C",INDEX(Contracts!$L$2:$L$151,$AB1348)&amp;"",IF($Z1348="A",INDEX(Fixed_Assets!$I$2:$I$201,$AB1348)&amp;"",IF($Z1348="F",INDEX(Workforce!$G$2:$G$151,MATCH(INDEX(FTE_Allocation!$A$2:$A$201,$AB1348),Workforce!$A$2:$A$151,0))&amp;"","")))</f>
        <v/>
      </c>
      <c r="J1348" s="18">
        <f>IF($Z1348="","",IF(AND(DATE($AD1348,1,1)&gt;=$AE1348,DATE($AD1348,1,1)&lt;=$AF1348),ROUND($AG1348,2),0))</f>
        <v/>
      </c>
      <c r="K1348" s="18">
        <f>IF($Z1348="","",IF(AND(DATE($AD1348,2,1)&gt;=$AE1348,DATE($AD1348,2,1)&lt;=$AF1348),ROUND($AG1348,2),0))</f>
        <v/>
      </c>
      <c r="L1348" s="18">
        <f>IF($Z1348="","",IF(AND(DATE($AD1348,3,1)&gt;=$AE1348,DATE($AD1348,3,1)&lt;=$AF1348),ROUND($AG1348,2),0))</f>
        <v/>
      </c>
      <c r="M1348" s="18">
        <f>IF($Z1348="","",IF(AND(DATE($AD1348,4,1)&gt;=$AE1348,DATE($AD1348,4,1)&lt;=$AF1348),ROUND($AG1348,2),0))</f>
        <v/>
      </c>
      <c r="N1348" s="18">
        <f>IF($Z1348="","",IF(AND(DATE($AD1348,5,1)&gt;=$AE1348,DATE($AD1348,5,1)&lt;=$AF1348),ROUND($AG1348,2),0))</f>
        <v/>
      </c>
      <c r="O1348" s="18">
        <f>IF($Z1348="","",IF(AND(DATE($AD1348,6,1)&gt;=$AE1348,DATE($AD1348,6,1)&lt;=$AF1348),ROUND($AG1348,2),0))</f>
        <v/>
      </c>
      <c r="P1348" s="18">
        <f>IF($Z1348="","",IF(AND(DATE($AD1348,7,1)&gt;=$AE1348,DATE($AD1348,7,1)&lt;=$AF1348),ROUND($AG1348,2),0))</f>
        <v/>
      </c>
      <c r="Q1348" s="18">
        <f>IF($Z1348="","",IF(AND(DATE($AD1348,8,1)&gt;=$AE1348,DATE($AD1348,8,1)&lt;=$AF1348),ROUND($AG1348,2),0))</f>
        <v/>
      </c>
      <c r="R1348" s="18">
        <f>IF($Z1348="","",IF(AND(DATE($AD1348,9,1)&gt;=$AE1348,DATE($AD1348,9,1)&lt;=$AF1348),ROUND($AG1348,2),0))</f>
        <v/>
      </c>
      <c r="S1348" s="18">
        <f>IF($Z1348="","",IF(AND(DATE($AD1348,10,1)&gt;=$AE1348,DATE($AD1348,10,1)&lt;=$AF1348),ROUND($AG1348,2),0))</f>
        <v/>
      </c>
      <c r="T1348" s="18">
        <f>IF($Z1348="","",IF(AND(DATE($AD1348,11,1)&gt;=$AE1348,DATE($AD1348,11,1)&lt;=$AF1348),ROUND($AG1348,2),0))</f>
        <v/>
      </c>
      <c r="U1348" s="18">
        <f>IF($Z1348="","",IF(AND(DATE($AD1348,12,1)&gt;=$AE1348,DATE($AD1348,12,1)&lt;=$AF1348),ROUND($AG1348,2),0))</f>
        <v/>
      </c>
      <c r="V1348" s="7">
        <f>IF($Z1348="C","Generated from "&amp;INDEX(Contracts!$A$2:$A$151,$AB1348),IF($Z1348="A","Generated from "&amp;INDEX(Fixed_Assets!$A$2:$A$201,$AB1348),IF($Z1348="F","Generated from "&amp;INDEX(FTE_Allocation!$A$2:$A$201,$AB1348),"")))</f>
        <v/>
      </c>
      <c r="X1348" s="19">
        <f>IF($Z1348="","",SUM(J1348:U1348))</f>
        <v/>
      </c>
      <c r="Y1348" s="20">
        <f>ROW()-1</f>
        <v/>
      </c>
      <c r="Z1348" s="20">
        <f>IF($Y1348&lt;=Settings!$B$4*3,"C",IF($Y1348&lt;=(Settings!$B$4+Settings!$B$5)*3,"A",IF($Y1348&lt;=(Settings!$B$4+Settings!$B$5+Settings!$B$6)*3,"F","")))</f>
        <v/>
      </c>
      <c r="AA1348" s="20">
        <f>IF($Z1348="C",$Y1348,IF($Z1348="A",$Y1348-Settings!$B$4*3,IF($Z1348="F",$Y1348-(Settings!$B$4+Settings!$B$5)*3,"")))</f>
        <v/>
      </c>
      <c r="AB1348" s="20">
        <f>IF($Z1348="","",INT(($AA1348-1)/3)+1)</f>
        <v/>
      </c>
      <c r="AC1348" s="20">
        <f>IF($Z1348="","",MOD($AA1348-1,3)+1)</f>
        <v/>
      </c>
      <c r="AD1348" s="20">
        <f>IF($Z1348="","",Settings!$B$2+$AC1348-1)</f>
        <v/>
      </c>
      <c r="AE1348" s="21">
        <f>IF($Z1348="C",DATE(YEAR(INDEX(Contracts!$J$2:$J$151,$AB1348)),MONTH(INDEX(Contracts!$J$2:$J$151,$AB1348)),1),IF($Z1348="A",DATE(YEAR(INDEX(Fixed_Assets!$G$2:$G$201,$AB1348)),MONTH(INDEX(Fixed_Assets!$G$2:$G$201,$AB1348)),1),IF($Z1348="F",DATE(YEAR(MAX(N(INDEX(Workforce!$I$2:$I$151,MATCH(INDEX(FTE_Allocation!$A$2:$A$201,$AB1348),Workforce!$A$2:$A$151,0))),N(INDEX(FTE_Allocation!$I$2:$I$201,$AB1348)))),MONTH(MAX(N(INDEX(Workforce!$I$2:$I$151,MATCH(INDEX(FTE_Allocation!$A$2:$A$201,$AB1348),Workforce!$A$2:$A$151,0))),N(INDEX(FTE_Allocation!$I$2:$I$201,$AB1348)))),1),"")))</f>
        <v/>
      </c>
      <c r="AF1348" s="21">
        <f>IF($Z1348="C",IF(INDEX(Contracts!$I$2:$I$151,$AB1348)="PREPAID",EDATE(DATE(YEAR(INDEX(Contracts!$J$2:$J$151,$AB1348)),MONTH(INDEX(Contracts!$J$2:$J$151,$AB1348)),1),IF(INDEX(Contracts!$N$2:$N$151,$AB1348)="",12,INDEX(Contracts!$N$2:$N$151,$AB1348))-1),IF(INDEX(Contracts!$I$2:$I$151,$AB1348)="MONTHLY",IF(INDEX(Contracts!$K$2:$K$151,$AB1348)="",2958101,INDEX(Contracts!$K$2:$K$151,$AB1348)),0)),IF($Z1348="A",EDATE(DATE(YEAR(INDEX(Fixed_Assets!$G$2:$G$201,$AB1348)),MONTH(INDEX(Fixed_Assets!$G$2:$G$201,$AB1348)),1),INDEX(Fixed_Assets!$J$2:$J$201,$AB1348)-1),IF($Z1348="F",MIN(IF(INDEX(Workforce!$J$2:$J$151,MATCH(INDEX(FTE_Allocation!$A$2:$A$201,$AB1348),Workforce!$A$2:$A$151,0))="",2958101,INDEX(Workforce!$J$2:$J$151,MATCH(INDEX(FTE_Allocation!$A$2:$A$201,$AB1348),Workforce!$A$2:$A$151,0))),IF(INDEX(FTE_Allocation!$J$2:$J$201,$AB1348)="",2958101,INDEX(FTE_Allocation!$J$2:$J$201,$AB1348))),"")))</f>
        <v/>
      </c>
      <c r="AG1348" s="19">
        <f>IF($Z1348="C",IF(INDEX(Contracts!$I$2:$I$151,$AB1348)="PREPAID",INDEX(Contracts!$M$2:$M$151,$AB1348)/IF(INDEX(Contracts!$N$2:$N$151,$AB1348)="",12,INDEX(Contracts!$N$2:$N$151,$AB1348)),IF(INDEX(Contracts!$I$2:$I$151,$AB1348)="MONTHLY",INDEX(Contracts!$M$2:$M$151,$AB1348),0))*(1-N(INDEX(Contracts!$O$2:$O$151,$AB1348))),IF($Z1348="A",INDEX(Fixed_Assets!$H$2:$H$201,$AB1348)/INDEX(Fixed_Assets!$J$2:$J$201,$AB1348),IF($Z1348="F",INDEX(Workforce!$F$2:$F$151,MATCH(INDEX(FTE_Allocation!$A$2:$A$201,$AB1348),Workforce!$A$2:$A$151,0))*N(INDEX(FTE_Allocation!$F$2:$H$201,$AB1348,$AC1348)),"")))</f>
        <v/>
      </c>
    </row>
    <row r="1349">
      <c r="A1349" s="7">
        <f>IF($Z1349="","",$AD1349)</f>
        <v/>
      </c>
      <c r="B1349" s="7">
        <f>IF($Z1349="C",INDEX(Contracts!$D$2:$D$151,$AB1349)&amp;"",IF($Z1349="A",INDEX(Fixed_Assets!$C$2:$C$201,$AB1349)&amp;"",IF($Z1349="F",INDEX(Workforce!$B$2:$B$151,MATCH(INDEX(FTE_Allocation!$A$2:$A$201,$AB1349),Workforce!$A$2:$A$151,0))&amp;"","")))</f>
        <v/>
      </c>
      <c r="C1349" s="7">
        <f>IF($Z1349="C",INDEX(Contracts!$E$2:$E$151,$AB1349)&amp;"",IF($Z1349="A",INDEX(Fixed_Assets!$D$2:$D$201,$AB1349)&amp;"",IF($Z1349="F",INDEX(FTE_Allocation!$C$2:$C$201,$AB1349)&amp;"","")))</f>
        <v/>
      </c>
      <c r="D1349" s="7">
        <f>IF($Z1349="C",INDEX(Contracts!$B$2:$B$151,$AB1349)&amp;"",IF($Z1349="A",INDEX(Fixed_Assets!$B$2:$B$201,$AB1349)&amp;"",IF($Z1349="F",INDEX(FTE_Allocation!$B$2:$B$201,$AB1349)&amp;"","")))</f>
        <v/>
      </c>
      <c r="E1349" s="7">
        <f>IF($Z1349="C",INDEX(Contracts!$P$2:$P$151,$AB1349)&amp;"",IF($Z1349="A",INDEX(Fixed_Assets!$K$2:$K$201,$AB1349)&amp;"",IF($Z1349="F",IF(INDEX(FTE_Allocation!$D$2:$D$201,$AB1349)="PROJECT",IFERROR(INDEX(Projects!$D:$D,MATCH(INDEX(FTE_Allocation!$E$2:$E$201,$AB1349),Projects!$A:$A,0))&amp;"","#PROJECT?"),INDEX(FTE_Allocation!$E$2:$E$201,$AB1349)&amp;""),"")))</f>
        <v/>
      </c>
      <c r="F1349" s="7">
        <f>IF($Z1349="C",INDEX(Contracts!$Q$2:$Q$151,$AB1349)&amp;"",IF($Z1349="A",INDEX(Fixed_Assets!$L$2:$L$201,$AB1349)&amp;"",IF($Z1349="F",INDEX(Workforce!$K$2:$K$151,MATCH(INDEX(FTE_Allocation!$A$2:$A$201,$AB1349),Workforce!$A$2:$A$151,0))&amp;"","")))</f>
        <v/>
      </c>
      <c r="G1349" s="7">
        <f>IF($Z1349="C",INDEX(Contracts!$F$2:$F$151,$AB1349)&amp;" / "&amp;INDEX(Contracts!$G$2:$G$151,$AB1349),IF($Z1349="A",INDEX(Fixed_Assets!$E$2:$E$201,$AB1349)&amp;"",IF($Z1349="F","Personnel "&amp;INDEX(FTE_Allocation!$A$2:$A$201,$AB1349)&amp;IF(INDEX(FTE_Allocation!$D$2:$D$201,$AB1349)="PROJECT"," ("&amp;INDEX(FTE_Allocation!$E$2:$E$201,$AB1349)&amp;")",""),"")))</f>
        <v/>
      </c>
      <c r="H1349" s="7">
        <f>IF($Z1349="C","CONTRACT",IF($Z1349="A","ASSET",IF($Z1349="F","WORKFORCE","")))</f>
        <v/>
      </c>
      <c r="I1349" s="7">
        <f>IF($Z1349="C",INDEX(Contracts!$L$2:$L$151,$AB1349)&amp;"",IF($Z1349="A",INDEX(Fixed_Assets!$I$2:$I$201,$AB1349)&amp;"",IF($Z1349="F",INDEX(Workforce!$G$2:$G$151,MATCH(INDEX(FTE_Allocation!$A$2:$A$201,$AB1349),Workforce!$A$2:$A$151,0))&amp;"","")))</f>
        <v/>
      </c>
      <c r="J1349" s="18">
        <f>IF($Z1349="","",IF(AND(DATE($AD1349,1,1)&gt;=$AE1349,DATE($AD1349,1,1)&lt;=$AF1349),ROUND($AG1349,2),0))</f>
        <v/>
      </c>
      <c r="K1349" s="18">
        <f>IF($Z1349="","",IF(AND(DATE($AD1349,2,1)&gt;=$AE1349,DATE($AD1349,2,1)&lt;=$AF1349),ROUND($AG1349,2),0))</f>
        <v/>
      </c>
      <c r="L1349" s="18">
        <f>IF($Z1349="","",IF(AND(DATE($AD1349,3,1)&gt;=$AE1349,DATE($AD1349,3,1)&lt;=$AF1349),ROUND($AG1349,2),0))</f>
        <v/>
      </c>
      <c r="M1349" s="18">
        <f>IF($Z1349="","",IF(AND(DATE($AD1349,4,1)&gt;=$AE1349,DATE($AD1349,4,1)&lt;=$AF1349),ROUND($AG1349,2),0))</f>
        <v/>
      </c>
      <c r="N1349" s="18">
        <f>IF($Z1349="","",IF(AND(DATE($AD1349,5,1)&gt;=$AE1349,DATE($AD1349,5,1)&lt;=$AF1349),ROUND($AG1349,2),0))</f>
        <v/>
      </c>
      <c r="O1349" s="18">
        <f>IF($Z1349="","",IF(AND(DATE($AD1349,6,1)&gt;=$AE1349,DATE($AD1349,6,1)&lt;=$AF1349),ROUND($AG1349,2),0))</f>
        <v/>
      </c>
      <c r="P1349" s="18">
        <f>IF($Z1349="","",IF(AND(DATE($AD1349,7,1)&gt;=$AE1349,DATE($AD1349,7,1)&lt;=$AF1349),ROUND($AG1349,2),0))</f>
        <v/>
      </c>
      <c r="Q1349" s="18">
        <f>IF($Z1349="","",IF(AND(DATE($AD1349,8,1)&gt;=$AE1349,DATE($AD1349,8,1)&lt;=$AF1349),ROUND($AG1349,2),0))</f>
        <v/>
      </c>
      <c r="R1349" s="18">
        <f>IF($Z1349="","",IF(AND(DATE($AD1349,9,1)&gt;=$AE1349,DATE($AD1349,9,1)&lt;=$AF1349),ROUND($AG1349,2),0))</f>
        <v/>
      </c>
      <c r="S1349" s="18">
        <f>IF($Z1349="","",IF(AND(DATE($AD1349,10,1)&gt;=$AE1349,DATE($AD1349,10,1)&lt;=$AF1349),ROUND($AG1349,2),0))</f>
        <v/>
      </c>
      <c r="T1349" s="18">
        <f>IF($Z1349="","",IF(AND(DATE($AD1349,11,1)&gt;=$AE1349,DATE($AD1349,11,1)&lt;=$AF1349),ROUND($AG1349,2),0))</f>
        <v/>
      </c>
      <c r="U1349" s="18">
        <f>IF($Z1349="","",IF(AND(DATE($AD1349,12,1)&gt;=$AE1349,DATE($AD1349,12,1)&lt;=$AF1349),ROUND($AG1349,2),0))</f>
        <v/>
      </c>
      <c r="V1349" s="7">
        <f>IF($Z1349="C","Generated from "&amp;INDEX(Contracts!$A$2:$A$151,$AB1349),IF($Z1349="A","Generated from "&amp;INDEX(Fixed_Assets!$A$2:$A$201,$AB1349),IF($Z1349="F","Generated from "&amp;INDEX(FTE_Allocation!$A$2:$A$201,$AB1349),"")))</f>
        <v/>
      </c>
      <c r="X1349" s="19">
        <f>IF($Z1349="","",SUM(J1349:U1349))</f>
        <v/>
      </c>
      <c r="Y1349" s="20">
        <f>ROW()-1</f>
        <v/>
      </c>
      <c r="Z1349" s="20">
        <f>IF($Y1349&lt;=Settings!$B$4*3,"C",IF($Y1349&lt;=(Settings!$B$4+Settings!$B$5)*3,"A",IF($Y1349&lt;=(Settings!$B$4+Settings!$B$5+Settings!$B$6)*3,"F","")))</f>
        <v/>
      </c>
      <c r="AA1349" s="20">
        <f>IF($Z1349="C",$Y1349,IF($Z1349="A",$Y1349-Settings!$B$4*3,IF($Z1349="F",$Y1349-(Settings!$B$4+Settings!$B$5)*3,"")))</f>
        <v/>
      </c>
      <c r="AB1349" s="20">
        <f>IF($Z1349="","",INT(($AA1349-1)/3)+1)</f>
        <v/>
      </c>
      <c r="AC1349" s="20">
        <f>IF($Z1349="","",MOD($AA1349-1,3)+1)</f>
        <v/>
      </c>
      <c r="AD1349" s="20">
        <f>IF($Z1349="","",Settings!$B$2+$AC1349-1)</f>
        <v/>
      </c>
      <c r="AE1349" s="21">
        <f>IF($Z1349="C",DATE(YEAR(INDEX(Contracts!$J$2:$J$151,$AB1349)),MONTH(INDEX(Contracts!$J$2:$J$151,$AB1349)),1),IF($Z1349="A",DATE(YEAR(INDEX(Fixed_Assets!$G$2:$G$201,$AB1349)),MONTH(INDEX(Fixed_Assets!$G$2:$G$201,$AB1349)),1),IF($Z1349="F",DATE(YEAR(MAX(N(INDEX(Workforce!$I$2:$I$151,MATCH(INDEX(FTE_Allocation!$A$2:$A$201,$AB1349),Workforce!$A$2:$A$151,0))),N(INDEX(FTE_Allocation!$I$2:$I$201,$AB1349)))),MONTH(MAX(N(INDEX(Workforce!$I$2:$I$151,MATCH(INDEX(FTE_Allocation!$A$2:$A$201,$AB1349),Workforce!$A$2:$A$151,0))),N(INDEX(FTE_Allocation!$I$2:$I$201,$AB1349)))),1),"")))</f>
        <v/>
      </c>
      <c r="AF1349" s="21">
        <f>IF($Z1349="C",IF(INDEX(Contracts!$I$2:$I$151,$AB1349)="PREPAID",EDATE(DATE(YEAR(INDEX(Contracts!$J$2:$J$151,$AB1349)),MONTH(INDEX(Contracts!$J$2:$J$151,$AB1349)),1),IF(INDEX(Contracts!$N$2:$N$151,$AB1349)="",12,INDEX(Contracts!$N$2:$N$151,$AB1349))-1),IF(INDEX(Contracts!$I$2:$I$151,$AB1349)="MONTHLY",IF(INDEX(Contracts!$K$2:$K$151,$AB1349)="",2958101,INDEX(Contracts!$K$2:$K$151,$AB1349)),0)),IF($Z1349="A",EDATE(DATE(YEAR(INDEX(Fixed_Assets!$G$2:$G$201,$AB1349)),MONTH(INDEX(Fixed_Assets!$G$2:$G$201,$AB1349)),1),INDEX(Fixed_Assets!$J$2:$J$201,$AB1349)-1),IF($Z1349="F",MIN(IF(INDEX(Workforce!$J$2:$J$151,MATCH(INDEX(FTE_Allocation!$A$2:$A$201,$AB1349),Workforce!$A$2:$A$151,0))="",2958101,INDEX(Workforce!$J$2:$J$151,MATCH(INDEX(FTE_Allocation!$A$2:$A$201,$AB1349),Workforce!$A$2:$A$151,0))),IF(INDEX(FTE_Allocation!$J$2:$J$201,$AB1349)="",2958101,INDEX(FTE_Allocation!$J$2:$J$201,$AB1349))),"")))</f>
        <v/>
      </c>
      <c r="AG1349" s="19">
        <f>IF($Z1349="C",IF(INDEX(Contracts!$I$2:$I$151,$AB1349)="PREPAID",INDEX(Contracts!$M$2:$M$151,$AB1349)/IF(INDEX(Contracts!$N$2:$N$151,$AB1349)="",12,INDEX(Contracts!$N$2:$N$151,$AB1349)),IF(INDEX(Contracts!$I$2:$I$151,$AB1349)="MONTHLY",INDEX(Contracts!$M$2:$M$151,$AB1349),0))*(1-N(INDEX(Contracts!$O$2:$O$151,$AB1349))),IF($Z1349="A",INDEX(Fixed_Assets!$H$2:$H$201,$AB1349)/INDEX(Fixed_Assets!$J$2:$J$201,$AB1349),IF($Z1349="F",INDEX(Workforce!$F$2:$F$151,MATCH(INDEX(FTE_Allocation!$A$2:$A$201,$AB1349),Workforce!$A$2:$A$151,0))*N(INDEX(FTE_Allocation!$F$2:$H$201,$AB1349,$AC1349)),"")))</f>
        <v/>
      </c>
    </row>
    <row r="1350">
      <c r="A1350" s="7">
        <f>IF($Z1350="","",$AD1350)</f>
        <v/>
      </c>
      <c r="B1350" s="7">
        <f>IF($Z1350="C",INDEX(Contracts!$D$2:$D$151,$AB1350)&amp;"",IF($Z1350="A",INDEX(Fixed_Assets!$C$2:$C$201,$AB1350)&amp;"",IF($Z1350="F",INDEX(Workforce!$B$2:$B$151,MATCH(INDEX(FTE_Allocation!$A$2:$A$201,$AB1350),Workforce!$A$2:$A$151,0))&amp;"","")))</f>
        <v/>
      </c>
      <c r="C1350" s="7">
        <f>IF($Z1350="C",INDEX(Contracts!$E$2:$E$151,$AB1350)&amp;"",IF($Z1350="A",INDEX(Fixed_Assets!$D$2:$D$201,$AB1350)&amp;"",IF($Z1350="F",INDEX(FTE_Allocation!$C$2:$C$201,$AB1350)&amp;"","")))</f>
        <v/>
      </c>
      <c r="D1350" s="7">
        <f>IF($Z1350="C",INDEX(Contracts!$B$2:$B$151,$AB1350)&amp;"",IF($Z1350="A",INDEX(Fixed_Assets!$B$2:$B$201,$AB1350)&amp;"",IF($Z1350="F",INDEX(FTE_Allocation!$B$2:$B$201,$AB1350)&amp;"","")))</f>
        <v/>
      </c>
      <c r="E1350" s="7">
        <f>IF($Z1350="C",INDEX(Contracts!$P$2:$P$151,$AB1350)&amp;"",IF($Z1350="A",INDEX(Fixed_Assets!$K$2:$K$201,$AB1350)&amp;"",IF($Z1350="F",IF(INDEX(FTE_Allocation!$D$2:$D$201,$AB1350)="PROJECT",IFERROR(INDEX(Projects!$D:$D,MATCH(INDEX(FTE_Allocation!$E$2:$E$201,$AB1350),Projects!$A:$A,0))&amp;"","#PROJECT?"),INDEX(FTE_Allocation!$E$2:$E$201,$AB1350)&amp;""),"")))</f>
        <v/>
      </c>
      <c r="F1350" s="7">
        <f>IF($Z1350="C",INDEX(Contracts!$Q$2:$Q$151,$AB1350)&amp;"",IF($Z1350="A",INDEX(Fixed_Assets!$L$2:$L$201,$AB1350)&amp;"",IF($Z1350="F",INDEX(Workforce!$K$2:$K$151,MATCH(INDEX(FTE_Allocation!$A$2:$A$201,$AB1350),Workforce!$A$2:$A$151,0))&amp;"","")))</f>
        <v/>
      </c>
      <c r="G1350" s="7">
        <f>IF($Z1350="C",INDEX(Contracts!$F$2:$F$151,$AB1350)&amp;" / "&amp;INDEX(Contracts!$G$2:$G$151,$AB1350),IF($Z1350="A",INDEX(Fixed_Assets!$E$2:$E$201,$AB1350)&amp;"",IF($Z1350="F","Personnel "&amp;INDEX(FTE_Allocation!$A$2:$A$201,$AB1350)&amp;IF(INDEX(FTE_Allocation!$D$2:$D$201,$AB1350)="PROJECT"," ("&amp;INDEX(FTE_Allocation!$E$2:$E$201,$AB1350)&amp;")",""),"")))</f>
        <v/>
      </c>
      <c r="H1350" s="7">
        <f>IF($Z1350="C","CONTRACT",IF($Z1350="A","ASSET",IF($Z1350="F","WORKFORCE","")))</f>
        <v/>
      </c>
      <c r="I1350" s="7">
        <f>IF($Z1350="C",INDEX(Contracts!$L$2:$L$151,$AB1350)&amp;"",IF($Z1350="A",INDEX(Fixed_Assets!$I$2:$I$201,$AB1350)&amp;"",IF($Z1350="F",INDEX(Workforce!$G$2:$G$151,MATCH(INDEX(FTE_Allocation!$A$2:$A$201,$AB1350),Workforce!$A$2:$A$151,0))&amp;"","")))</f>
        <v/>
      </c>
      <c r="J1350" s="18">
        <f>IF($Z1350="","",IF(AND(DATE($AD1350,1,1)&gt;=$AE1350,DATE($AD1350,1,1)&lt;=$AF1350),ROUND($AG1350,2),0))</f>
        <v/>
      </c>
      <c r="K1350" s="18">
        <f>IF($Z1350="","",IF(AND(DATE($AD1350,2,1)&gt;=$AE1350,DATE($AD1350,2,1)&lt;=$AF1350),ROUND($AG1350,2),0))</f>
        <v/>
      </c>
      <c r="L1350" s="18">
        <f>IF($Z1350="","",IF(AND(DATE($AD1350,3,1)&gt;=$AE1350,DATE($AD1350,3,1)&lt;=$AF1350),ROUND($AG1350,2),0))</f>
        <v/>
      </c>
      <c r="M1350" s="18">
        <f>IF($Z1350="","",IF(AND(DATE($AD1350,4,1)&gt;=$AE1350,DATE($AD1350,4,1)&lt;=$AF1350),ROUND($AG1350,2),0))</f>
        <v/>
      </c>
      <c r="N1350" s="18">
        <f>IF($Z1350="","",IF(AND(DATE($AD1350,5,1)&gt;=$AE1350,DATE($AD1350,5,1)&lt;=$AF1350),ROUND($AG1350,2),0))</f>
        <v/>
      </c>
      <c r="O1350" s="18">
        <f>IF($Z1350="","",IF(AND(DATE($AD1350,6,1)&gt;=$AE1350,DATE($AD1350,6,1)&lt;=$AF1350),ROUND($AG1350,2),0))</f>
        <v/>
      </c>
      <c r="P1350" s="18">
        <f>IF($Z1350="","",IF(AND(DATE($AD1350,7,1)&gt;=$AE1350,DATE($AD1350,7,1)&lt;=$AF1350),ROUND($AG1350,2),0))</f>
        <v/>
      </c>
      <c r="Q1350" s="18">
        <f>IF($Z1350="","",IF(AND(DATE($AD1350,8,1)&gt;=$AE1350,DATE($AD1350,8,1)&lt;=$AF1350),ROUND($AG1350,2),0))</f>
        <v/>
      </c>
      <c r="R1350" s="18">
        <f>IF($Z1350="","",IF(AND(DATE($AD1350,9,1)&gt;=$AE1350,DATE($AD1350,9,1)&lt;=$AF1350),ROUND($AG1350,2),0))</f>
        <v/>
      </c>
      <c r="S1350" s="18">
        <f>IF($Z1350="","",IF(AND(DATE($AD1350,10,1)&gt;=$AE1350,DATE($AD1350,10,1)&lt;=$AF1350),ROUND($AG1350,2),0))</f>
        <v/>
      </c>
      <c r="T1350" s="18">
        <f>IF($Z1350="","",IF(AND(DATE($AD1350,11,1)&gt;=$AE1350,DATE($AD1350,11,1)&lt;=$AF1350),ROUND($AG1350,2),0))</f>
        <v/>
      </c>
      <c r="U1350" s="18">
        <f>IF($Z1350="","",IF(AND(DATE($AD1350,12,1)&gt;=$AE1350,DATE($AD1350,12,1)&lt;=$AF1350),ROUND($AG1350,2),0))</f>
        <v/>
      </c>
      <c r="V1350" s="7">
        <f>IF($Z1350="C","Generated from "&amp;INDEX(Contracts!$A$2:$A$151,$AB1350),IF($Z1350="A","Generated from "&amp;INDEX(Fixed_Assets!$A$2:$A$201,$AB1350),IF($Z1350="F","Generated from "&amp;INDEX(FTE_Allocation!$A$2:$A$201,$AB1350),"")))</f>
        <v/>
      </c>
      <c r="X1350" s="19">
        <f>IF($Z1350="","",SUM(J1350:U1350))</f>
        <v/>
      </c>
      <c r="Y1350" s="20">
        <f>ROW()-1</f>
        <v/>
      </c>
      <c r="Z1350" s="20">
        <f>IF($Y1350&lt;=Settings!$B$4*3,"C",IF($Y1350&lt;=(Settings!$B$4+Settings!$B$5)*3,"A",IF($Y1350&lt;=(Settings!$B$4+Settings!$B$5+Settings!$B$6)*3,"F","")))</f>
        <v/>
      </c>
      <c r="AA1350" s="20">
        <f>IF($Z1350="C",$Y1350,IF($Z1350="A",$Y1350-Settings!$B$4*3,IF($Z1350="F",$Y1350-(Settings!$B$4+Settings!$B$5)*3,"")))</f>
        <v/>
      </c>
      <c r="AB1350" s="20">
        <f>IF($Z1350="","",INT(($AA1350-1)/3)+1)</f>
        <v/>
      </c>
      <c r="AC1350" s="20">
        <f>IF($Z1350="","",MOD($AA1350-1,3)+1)</f>
        <v/>
      </c>
      <c r="AD1350" s="20">
        <f>IF($Z1350="","",Settings!$B$2+$AC1350-1)</f>
        <v/>
      </c>
      <c r="AE1350" s="21">
        <f>IF($Z1350="C",DATE(YEAR(INDEX(Contracts!$J$2:$J$151,$AB1350)),MONTH(INDEX(Contracts!$J$2:$J$151,$AB1350)),1),IF($Z1350="A",DATE(YEAR(INDEX(Fixed_Assets!$G$2:$G$201,$AB1350)),MONTH(INDEX(Fixed_Assets!$G$2:$G$201,$AB1350)),1),IF($Z1350="F",DATE(YEAR(MAX(N(INDEX(Workforce!$I$2:$I$151,MATCH(INDEX(FTE_Allocation!$A$2:$A$201,$AB1350),Workforce!$A$2:$A$151,0))),N(INDEX(FTE_Allocation!$I$2:$I$201,$AB1350)))),MONTH(MAX(N(INDEX(Workforce!$I$2:$I$151,MATCH(INDEX(FTE_Allocation!$A$2:$A$201,$AB1350),Workforce!$A$2:$A$151,0))),N(INDEX(FTE_Allocation!$I$2:$I$201,$AB1350)))),1),"")))</f>
        <v/>
      </c>
      <c r="AF1350" s="21">
        <f>IF($Z1350="C",IF(INDEX(Contracts!$I$2:$I$151,$AB1350)="PREPAID",EDATE(DATE(YEAR(INDEX(Contracts!$J$2:$J$151,$AB1350)),MONTH(INDEX(Contracts!$J$2:$J$151,$AB1350)),1),IF(INDEX(Contracts!$N$2:$N$151,$AB1350)="",12,INDEX(Contracts!$N$2:$N$151,$AB1350))-1),IF(INDEX(Contracts!$I$2:$I$151,$AB1350)="MONTHLY",IF(INDEX(Contracts!$K$2:$K$151,$AB1350)="",2958101,INDEX(Contracts!$K$2:$K$151,$AB1350)),0)),IF($Z1350="A",EDATE(DATE(YEAR(INDEX(Fixed_Assets!$G$2:$G$201,$AB1350)),MONTH(INDEX(Fixed_Assets!$G$2:$G$201,$AB1350)),1),INDEX(Fixed_Assets!$J$2:$J$201,$AB1350)-1),IF($Z1350="F",MIN(IF(INDEX(Workforce!$J$2:$J$151,MATCH(INDEX(FTE_Allocation!$A$2:$A$201,$AB1350),Workforce!$A$2:$A$151,0))="",2958101,INDEX(Workforce!$J$2:$J$151,MATCH(INDEX(FTE_Allocation!$A$2:$A$201,$AB1350),Workforce!$A$2:$A$151,0))),IF(INDEX(FTE_Allocation!$J$2:$J$201,$AB1350)="",2958101,INDEX(FTE_Allocation!$J$2:$J$201,$AB1350))),"")))</f>
        <v/>
      </c>
      <c r="AG1350" s="19">
        <f>IF($Z1350="C",IF(INDEX(Contracts!$I$2:$I$151,$AB1350)="PREPAID",INDEX(Contracts!$M$2:$M$151,$AB1350)/IF(INDEX(Contracts!$N$2:$N$151,$AB1350)="",12,INDEX(Contracts!$N$2:$N$151,$AB1350)),IF(INDEX(Contracts!$I$2:$I$151,$AB1350)="MONTHLY",INDEX(Contracts!$M$2:$M$151,$AB1350),0))*(1-N(INDEX(Contracts!$O$2:$O$151,$AB1350))),IF($Z1350="A",INDEX(Fixed_Assets!$H$2:$H$201,$AB1350)/INDEX(Fixed_Assets!$J$2:$J$201,$AB1350),IF($Z1350="F",INDEX(Workforce!$F$2:$F$151,MATCH(INDEX(FTE_Allocation!$A$2:$A$201,$AB1350),Workforce!$A$2:$A$151,0))*N(INDEX(FTE_Allocation!$F$2:$H$201,$AB1350,$AC1350)),"")))</f>
        <v/>
      </c>
    </row>
    <row r="1351">
      <c r="A1351" s="7">
        <f>IF($Z1351="","",$AD1351)</f>
        <v/>
      </c>
      <c r="B1351" s="7">
        <f>IF($Z1351="C",INDEX(Contracts!$D$2:$D$151,$AB1351)&amp;"",IF($Z1351="A",INDEX(Fixed_Assets!$C$2:$C$201,$AB1351)&amp;"",IF($Z1351="F",INDEX(Workforce!$B$2:$B$151,MATCH(INDEX(FTE_Allocation!$A$2:$A$201,$AB1351),Workforce!$A$2:$A$151,0))&amp;"","")))</f>
        <v/>
      </c>
      <c r="C1351" s="7">
        <f>IF($Z1351="C",INDEX(Contracts!$E$2:$E$151,$AB1351)&amp;"",IF($Z1351="A",INDEX(Fixed_Assets!$D$2:$D$201,$AB1351)&amp;"",IF($Z1351="F",INDEX(FTE_Allocation!$C$2:$C$201,$AB1351)&amp;"","")))</f>
        <v/>
      </c>
      <c r="D1351" s="7">
        <f>IF($Z1351="C",INDEX(Contracts!$B$2:$B$151,$AB1351)&amp;"",IF($Z1351="A",INDEX(Fixed_Assets!$B$2:$B$201,$AB1351)&amp;"",IF($Z1351="F",INDEX(FTE_Allocation!$B$2:$B$201,$AB1351)&amp;"","")))</f>
        <v/>
      </c>
      <c r="E1351" s="7">
        <f>IF($Z1351="C",INDEX(Contracts!$P$2:$P$151,$AB1351)&amp;"",IF($Z1351="A",INDEX(Fixed_Assets!$K$2:$K$201,$AB1351)&amp;"",IF($Z1351="F",IF(INDEX(FTE_Allocation!$D$2:$D$201,$AB1351)="PROJECT",IFERROR(INDEX(Projects!$D:$D,MATCH(INDEX(FTE_Allocation!$E$2:$E$201,$AB1351),Projects!$A:$A,0))&amp;"","#PROJECT?"),INDEX(FTE_Allocation!$E$2:$E$201,$AB1351)&amp;""),"")))</f>
        <v/>
      </c>
      <c r="F1351" s="7">
        <f>IF($Z1351="C",INDEX(Contracts!$Q$2:$Q$151,$AB1351)&amp;"",IF($Z1351="A",INDEX(Fixed_Assets!$L$2:$L$201,$AB1351)&amp;"",IF($Z1351="F",INDEX(Workforce!$K$2:$K$151,MATCH(INDEX(FTE_Allocation!$A$2:$A$201,$AB1351),Workforce!$A$2:$A$151,0))&amp;"","")))</f>
        <v/>
      </c>
      <c r="G1351" s="7">
        <f>IF($Z1351="C",INDEX(Contracts!$F$2:$F$151,$AB1351)&amp;" / "&amp;INDEX(Contracts!$G$2:$G$151,$AB1351),IF($Z1351="A",INDEX(Fixed_Assets!$E$2:$E$201,$AB1351)&amp;"",IF($Z1351="F","Personnel "&amp;INDEX(FTE_Allocation!$A$2:$A$201,$AB1351)&amp;IF(INDEX(FTE_Allocation!$D$2:$D$201,$AB1351)="PROJECT"," ("&amp;INDEX(FTE_Allocation!$E$2:$E$201,$AB1351)&amp;")",""),"")))</f>
        <v/>
      </c>
      <c r="H1351" s="7">
        <f>IF($Z1351="C","CONTRACT",IF($Z1351="A","ASSET",IF($Z1351="F","WORKFORCE","")))</f>
        <v/>
      </c>
      <c r="I1351" s="7">
        <f>IF($Z1351="C",INDEX(Contracts!$L$2:$L$151,$AB1351)&amp;"",IF($Z1351="A",INDEX(Fixed_Assets!$I$2:$I$201,$AB1351)&amp;"",IF($Z1351="F",INDEX(Workforce!$G$2:$G$151,MATCH(INDEX(FTE_Allocation!$A$2:$A$201,$AB1351),Workforce!$A$2:$A$151,0))&amp;"","")))</f>
        <v/>
      </c>
      <c r="J1351" s="18">
        <f>IF($Z1351="","",IF(AND(DATE($AD1351,1,1)&gt;=$AE1351,DATE($AD1351,1,1)&lt;=$AF1351),ROUND($AG1351,2),0))</f>
        <v/>
      </c>
      <c r="K1351" s="18">
        <f>IF($Z1351="","",IF(AND(DATE($AD1351,2,1)&gt;=$AE1351,DATE($AD1351,2,1)&lt;=$AF1351),ROUND($AG1351,2),0))</f>
        <v/>
      </c>
      <c r="L1351" s="18">
        <f>IF($Z1351="","",IF(AND(DATE($AD1351,3,1)&gt;=$AE1351,DATE($AD1351,3,1)&lt;=$AF1351),ROUND($AG1351,2),0))</f>
        <v/>
      </c>
      <c r="M1351" s="18">
        <f>IF($Z1351="","",IF(AND(DATE($AD1351,4,1)&gt;=$AE1351,DATE($AD1351,4,1)&lt;=$AF1351),ROUND($AG1351,2),0))</f>
        <v/>
      </c>
      <c r="N1351" s="18">
        <f>IF($Z1351="","",IF(AND(DATE($AD1351,5,1)&gt;=$AE1351,DATE($AD1351,5,1)&lt;=$AF1351),ROUND($AG1351,2),0))</f>
        <v/>
      </c>
      <c r="O1351" s="18">
        <f>IF($Z1351="","",IF(AND(DATE($AD1351,6,1)&gt;=$AE1351,DATE($AD1351,6,1)&lt;=$AF1351),ROUND($AG1351,2),0))</f>
        <v/>
      </c>
      <c r="P1351" s="18">
        <f>IF($Z1351="","",IF(AND(DATE($AD1351,7,1)&gt;=$AE1351,DATE($AD1351,7,1)&lt;=$AF1351),ROUND($AG1351,2),0))</f>
        <v/>
      </c>
      <c r="Q1351" s="18">
        <f>IF($Z1351="","",IF(AND(DATE($AD1351,8,1)&gt;=$AE1351,DATE($AD1351,8,1)&lt;=$AF1351),ROUND($AG1351,2),0))</f>
        <v/>
      </c>
      <c r="R1351" s="18">
        <f>IF($Z1351="","",IF(AND(DATE($AD1351,9,1)&gt;=$AE1351,DATE($AD1351,9,1)&lt;=$AF1351),ROUND($AG1351,2),0))</f>
        <v/>
      </c>
      <c r="S1351" s="18">
        <f>IF($Z1351="","",IF(AND(DATE($AD1351,10,1)&gt;=$AE1351,DATE($AD1351,10,1)&lt;=$AF1351),ROUND($AG1351,2),0))</f>
        <v/>
      </c>
      <c r="T1351" s="18">
        <f>IF($Z1351="","",IF(AND(DATE($AD1351,11,1)&gt;=$AE1351,DATE($AD1351,11,1)&lt;=$AF1351),ROUND($AG1351,2),0))</f>
        <v/>
      </c>
      <c r="U1351" s="18">
        <f>IF($Z1351="","",IF(AND(DATE($AD1351,12,1)&gt;=$AE1351,DATE($AD1351,12,1)&lt;=$AF1351),ROUND($AG1351,2),0))</f>
        <v/>
      </c>
      <c r="V1351" s="7">
        <f>IF($Z1351="C","Generated from "&amp;INDEX(Contracts!$A$2:$A$151,$AB1351),IF($Z1351="A","Generated from "&amp;INDEX(Fixed_Assets!$A$2:$A$201,$AB1351),IF($Z1351="F","Generated from "&amp;INDEX(FTE_Allocation!$A$2:$A$201,$AB1351),"")))</f>
        <v/>
      </c>
      <c r="X1351" s="19">
        <f>IF($Z1351="","",SUM(J1351:U1351))</f>
        <v/>
      </c>
      <c r="Y1351" s="20">
        <f>ROW()-1</f>
        <v/>
      </c>
      <c r="Z1351" s="20">
        <f>IF($Y1351&lt;=Settings!$B$4*3,"C",IF($Y1351&lt;=(Settings!$B$4+Settings!$B$5)*3,"A",IF($Y1351&lt;=(Settings!$B$4+Settings!$B$5+Settings!$B$6)*3,"F","")))</f>
        <v/>
      </c>
      <c r="AA1351" s="20">
        <f>IF($Z1351="C",$Y1351,IF($Z1351="A",$Y1351-Settings!$B$4*3,IF($Z1351="F",$Y1351-(Settings!$B$4+Settings!$B$5)*3,"")))</f>
        <v/>
      </c>
      <c r="AB1351" s="20">
        <f>IF($Z1351="","",INT(($AA1351-1)/3)+1)</f>
        <v/>
      </c>
      <c r="AC1351" s="20">
        <f>IF($Z1351="","",MOD($AA1351-1,3)+1)</f>
        <v/>
      </c>
      <c r="AD1351" s="20">
        <f>IF($Z1351="","",Settings!$B$2+$AC1351-1)</f>
        <v/>
      </c>
      <c r="AE1351" s="21">
        <f>IF($Z1351="C",DATE(YEAR(INDEX(Contracts!$J$2:$J$151,$AB1351)),MONTH(INDEX(Contracts!$J$2:$J$151,$AB1351)),1),IF($Z1351="A",DATE(YEAR(INDEX(Fixed_Assets!$G$2:$G$201,$AB1351)),MONTH(INDEX(Fixed_Assets!$G$2:$G$201,$AB1351)),1),IF($Z1351="F",DATE(YEAR(MAX(N(INDEX(Workforce!$I$2:$I$151,MATCH(INDEX(FTE_Allocation!$A$2:$A$201,$AB1351),Workforce!$A$2:$A$151,0))),N(INDEX(FTE_Allocation!$I$2:$I$201,$AB1351)))),MONTH(MAX(N(INDEX(Workforce!$I$2:$I$151,MATCH(INDEX(FTE_Allocation!$A$2:$A$201,$AB1351),Workforce!$A$2:$A$151,0))),N(INDEX(FTE_Allocation!$I$2:$I$201,$AB1351)))),1),"")))</f>
        <v/>
      </c>
      <c r="AF1351" s="21">
        <f>IF($Z1351="C",IF(INDEX(Contracts!$I$2:$I$151,$AB1351)="PREPAID",EDATE(DATE(YEAR(INDEX(Contracts!$J$2:$J$151,$AB1351)),MONTH(INDEX(Contracts!$J$2:$J$151,$AB1351)),1),IF(INDEX(Contracts!$N$2:$N$151,$AB1351)="",12,INDEX(Contracts!$N$2:$N$151,$AB1351))-1),IF(INDEX(Contracts!$I$2:$I$151,$AB1351)="MONTHLY",IF(INDEX(Contracts!$K$2:$K$151,$AB1351)="",2958101,INDEX(Contracts!$K$2:$K$151,$AB1351)),0)),IF($Z1351="A",EDATE(DATE(YEAR(INDEX(Fixed_Assets!$G$2:$G$201,$AB1351)),MONTH(INDEX(Fixed_Assets!$G$2:$G$201,$AB1351)),1),INDEX(Fixed_Assets!$J$2:$J$201,$AB1351)-1),IF($Z1351="F",MIN(IF(INDEX(Workforce!$J$2:$J$151,MATCH(INDEX(FTE_Allocation!$A$2:$A$201,$AB1351),Workforce!$A$2:$A$151,0))="",2958101,INDEX(Workforce!$J$2:$J$151,MATCH(INDEX(FTE_Allocation!$A$2:$A$201,$AB1351),Workforce!$A$2:$A$151,0))),IF(INDEX(FTE_Allocation!$J$2:$J$201,$AB1351)="",2958101,INDEX(FTE_Allocation!$J$2:$J$201,$AB1351))),"")))</f>
        <v/>
      </c>
      <c r="AG1351" s="19">
        <f>IF($Z1351="C",IF(INDEX(Contracts!$I$2:$I$151,$AB1351)="PREPAID",INDEX(Contracts!$M$2:$M$151,$AB1351)/IF(INDEX(Contracts!$N$2:$N$151,$AB1351)="",12,INDEX(Contracts!$N$2:$N$151,$AB1351)),IF(INDEX(Contracts!$I$2:$I$151,$AB1351)="MONTHLY",INDEX(Contracts!$M$2:$M$151,$AB1351),0))*(1-N(INDEX(Contracts!$O$2:$O$151,$AB1351))),IF($Z1351="A",INDEX(Fixed_Assets!$H$2:$H$201,$AB1351)/INDEX(Fixed_Assets!$J$2:$J$201,$AB1351),IF($Z1351="F",INDEX(Workforce!$F$2:$F$151,MATCH(INDEX(FTE_Allocation!$A$2:$A$201,$AB1351),Workforce!$A$2:$A$151,0))*N(INDEX(FTE_Allocation!$F$2:$H$201,$AB1351,$AC1351)),"")))</f>
        <v/>
      </c>
    </row>
    <row r="1352">
      <c r="A1352" s="7">
        <f>IF($Z1352="","",$AD1352)</f>
        <v/>
      </c>
      <c r="B1352" s="7">
        <f>IF($Z1352="C",INDEX(Contracts!$D$2:$D$151,$AB1352)&amp;"",IF($Z1352="A",INDEX(Fixed_Assets!$C$2:$C$201,$AB1352)&amp;"",IF($Z1352="F",INDEX(Workforce!$B$2:$B$151,MATCH(INDEX(FTE_Allocation!$A$2:$A$201,$AB1352),Workforce!$A$2:$A$151,0))&amp;"","")))</f>
        <v/>
      </c>
      <c r="C1352" s="7">
        <f>IF($Z1352="C",INDEX(Contracts!$E$2:$E$151,$AB1352)&amp;"",IF($Z1352="A",INDEX(Fixed_Assets!$D$2:$D$201,$AB1352)&amp;"",IF($Z1352="F",INDEX(FTE_Allocation!$C$2:$C$201,$AB1352)&amp;"","")))</f>
        <v/>
      </c>
      <c r="D1352" s="7">
        <f>IF($Z1352="C",INDEX(Contracts!$B$2:$B$151,$AB1352)&amp;"",IF($Z1352="A",INDEX(Fixed_Assets!$B$2:$B$201,$AB1352)&amp;"",IF($Z1352="F",INDEX(FTE_Allocation!$B$2:$B$201,$AB1352)&amp;"","")))</f>
        <v/>
      </c>
      <c r="E1352" s="7">
        <f>IF($Z1352="C",INDEX(Contracts!$P$2:$P$151,$AB1352)&amp;"",IF($Z1352="A",INDEX(Fixed_Assets!$K$2:$K$201,$AB1352)&amp;"",IF($Z1352="F",IF(INDEX(FTE_Allocation!$D$2:$D$201,$AB1352)="PROJECT",IFERROR(INDEX(Projects!$D:$D,MATCH(INDEX(FTE_Allocation!$E$2:$E$201,$AB1352),Projects!$A:$A,0))&amp;"","#PROJECT?"),INDEX(FTE_Allocation!$E$2:$E$201,$AB1352)&amp;""),"")))</f>
        <v/>
      </c>
      <c r="F1352" s="7">
        <f>IF($Z1352="C",INDEX(Contracts!$Q$2:$Q$151,$AB1352)&amp;"",IF($Z1352="A",INDEX(Fixed_Assets!$L$2:$L$201,$AB1352)&amp;"",IF($Z1352="F",INDEX(Workforce!$K$2:$K$151,MATCH(INDEX(FTE_Allocation!$A$2:$A$201,$AB1352),Workforce!$A$2:$A$151,0))&amp;"","")))</f>
        <v/>
      </c>
      <c r="G1352" s="7">
        <f>IF($Z1352="C",INDEX(Contracts!$F$2:$F$151,$AB1352)&amp;" / "&amp;INDEX(Contracts!$G$2:$G$151,$AB1352),IF($Z1352="A",INDEX(Fixed_Assets!$E$2:$E$201,$AB1352)&amp;"",IF($Z1352="F","Personnel "&amp;INDEX(FTE_Allocation!$A$2:$A$201,$AB1352)&amp;IF(INDEX(FTE_Allocation!$D$2:$D$201,$AB1352)="PROJECT"," ("&amp;INDEX(FTE_Allocation!$E$2:$E$201,$AB1352)&amp;")",""),"")))</f>
        <v/>
      </c>
      <c r="H1352" s="7">
        <f>IF($Z1352="C","CONTRACT",IF($Z1352="A","ASSET",IF($Z1352="F","WORKFORCE","")))</f>
        <v/>
      </c>
      <c r="I1352" s="7">
        <f>IF($Z1352="C",INDEX(Contracts!$L$2:$L$151,$AB1352)&amp;"",IF($Z1352="A",INDEX(Fixed_Assets!$I$2:$I$201,$AB1352)&amp;"",IF($Z1352="F",INDEX(Workforce!$G$2:$G$151,MATCH(INDEX(FTE_Allocation!$A$2:$A$201,$AB1352),Workforce!$A$2:$A$151,0))&amp;"","")))</f>
        <v/>
      </c>
      <c r="J1352" s="18">
        <f>IF($Z1352="","",IF(AND(DATE($AD1352,1,1)&gt;=$AE1352,DATE($AD1352,1,1)&lt;=$AF1352),ROUND($AG1352,2),0))</f>
        <v/>
      </c>
      <c r="K1352" s="18">
        <f>IF($Z1352="","",IF(AND(DATE($AD1352,2,1)&gt;=$AE1352,DATE($AD1352,2,1)&lt;=$AF1352),ROUND($AG1352,2),0))</f>
        <v/>
      </c>
      <c r="L1352" s="18">
        <f>IF($Z1352="","",IF(AND(DATE($AD1352,3,1)&gt;=$AE1352,DATE($AD1352,3,1)&lt;=$AF1352),ROUND($AG1352,2),0))</f>
        <v/>
      </c>
      <c r="M1352" s="18">
        <f>IF($Z1352="","",IF(AND(DATE($AD1352,4,1)&gt;=$AE1352,DATE($AD1352,4,1)&lt;=$AF1352),ROUND($AG1352,2),0))</f>
        <v/>
      </c>
      <c r="N1352" s="18">
        <f>IF($Z1352="","",IF(AND(DATE($AD1352,5,1)&gt;=$AE1352,DATE($AD1352,5,1)&lt;=$AF1352),ROUND($AG1352,2),0))</f>
        <v/>
      </c>
      <c r="O1352" s="18">
        <f>IF($Z1352="","",IF(AND(DATE($AD1352,6,1)&gt;=$AE1352,DATE($AD1352,6,1)&lt;=$AF1352),ROUND($AG1352,2),0))</f>
        <v/>
      </c>
      <c r="P1352" s="18">
        <f>IF($Z1352="","",IF(AND(DATE($AD1352,7,1)&gt;=$AE1352,DATE($AD1352,7,1)&lt;=$AF1352),ROUND($AG1352,2),0))</f>
        <v/>
      </c>
      <c r="Q1352" s="18">
        <f>IF($Z1352="","",IF(AND(DATE($AD1352,8,1)&gt;=$AE1352,DATE($AD1352,8,1)&lt;=$AF1352),ROUND($AG1352,2),0))</f>
        <v/>
      </c>
      <c r="R1352" s="18">
        <f>IF($Z1352="","",IF(AND(DATE($AD1352,9,1)&gt;=$AE1352,DATE($AD1352,9,1)&lt;=$AF1352),ROUND($AG1352,2),0))</f>
        <v/>
      </c>
      <c r="S1352" s="18">
        <f>IF($Z1352="","",IF(AND(DATE($AD1352,10,1)&gt;=$AE1352,DATE($AD1352,10,1)&lt;=$AF1352),ROUND($AG1352,2),0))</f>
        <v/>
      </c>
      <c r="T1352" s="18">
        <f>IF($Z1352="","",IF(AND(DATE($AD1352,11,1)&gt;=$AE1352,DATE($AD1352,11,1)&lt;=$AF1352),ROUND($AG1352,2),0))</f>
        <v/>
      </c>
      <c r="U1352" s="18">
        <f>IF($Z1352="","",IF(AND(DATE($AD1352,12,1)&gt;=$AE1352,DATE($AD1352,12,1)&lt;=$AF1352),ROUND($AG1352,2),0))</f>
        <v/>
      </c>
      <c r="V1352" s="7">
        <f>IF($Z1352="C","Generated from "&amp;INDEX(Contracts!$A$2:$A$151,$AB1352),IF($Z1352="A","Generated from "&amp;INDEX(Fixed_Assets!$A$2:$A$201,$AB1352),IF($Z1352="F","Generated from "&amp;INDEX(FTE_Allocation!$A$2:$A$201,$AB1352),"")))</f>
        <v/>
      </c>
      <c r="X1352" s="19">
        <f>IF($Z1352="","",SUM(J1352:U1352))</f>
        <v/>
      </c>
      <c r="Y1352" s="20">
        <f>ROW()-1</f>
        <v/>
      </c>
      <c r="Z1352" s="20">
        <f>IF($Y1352&lt;=Settings!$B$4*3,"C",IF($Y1352&lt;=(Settings!$B$4+Settings!$B$5)*3,"A",IF($Y1352&lt;=(Settings!$B$4+Settings!$B$5+Settings!$B$6)*3,"F","")))</f>
        <v/>
      </c>
      <c r="AA1352" s="20">
        <f>IF($Z1352="C",$Y1352,IF($Z1352="A",$Y1352-Settings!$B$4*3,IF($Z1352="F",$Y1352-(Settings!$B$4+Settings!$B$5)*3,"")))</f>
        <v/>
      </c>
      <c r="AB1352" s="20">
        <f>IF($Z1352="","",INT(($AA1352-1)/3)+1)</f>
        <v/>
      </c>
      <c r="AC1352" s="20">
        <f>IF($Z1352="","",MOD($AA1352-1,3)+1)</f>
        <v/>
      </c>
      <c r="AD1352" s="20">
        <f>IF($Z1352="","",Settings!$B$2+$AC1352-1)</f>
        <v/>
      </c>
      <c r="AE1352" s="21">
        <f>IF($Z1352="C",DATE(YEAR(INDEX(Contracts!$J$2:$J$151,$AB1352)),MONTH(INDEX(Contracts!$J$2:$J$151,$AB1352)),1),IF($Z1352="A",DATE(YEAR(INDEX(Fixed_Assets!$G$2:$G$201,$AB1352)),MONTH(INDEX(Fixed_Assets!$G$2:$G$201,$AB1352)),1),IF($Z1352="F",DATE(YEAR(MAX(N(INDEX(Workforce!$I$2:$I$151,MATCH(INDEX(FTE_Allocation!$A$2:$A$201,$AB1352),Workforce!$A$2:$A$151,0))),N(INDEX(FTE_Allocation!$I$2:$I$201,$AB1352)))),MONTH(MAX(N(INDEX(Workforce!$I$2:$I$151,MATCH(INDEX(FTE_Allocation!$A$2:$A$201,$AB1352),Workforce!$A$2:$A$151,0))),N(INDEX(FTE_Allocation!$I$2:$I$201,$AB1352)))),1),"")))</f>
        <v/>
      </c>
      <c r="AF1352" s="21">
        <f>IF($Z1352="C",IF(INDEX(Contracts!$I$2:$I$151,$AB1352)="PREPAID",EDATE(DATE(YEAR(INDEX(Contracts!$J$2:$J$151,$AB1352)),MONTH(INDEX(Contracts!$J$2:$J$151,$AB1352)),1),IF(INDEX(Contracts!$N$2:$N$151,$AB1352)="",12,INDEX(Contracts!$N$2:$N$151,$AB1352))-1),IF(INDEX(Contracts!$I$2:$I$151,$AB1352)="MONTHLY",IF(INDEX(Contracts!$K$2:$K$151,$AB1352)="",2958101,INDEX(Contracts!$K$2:$K$151,$AB1352)),0)),IF($Z1352="A",EDATE(DATE(YEAR(INDEX(Fixed_Assets!$G$2:$G$201,$AB1352)),MONTH(INDEX(Fixed_Assets!$G$2:$G$201,$AB1352)),1),INDEX(Fixed_Assets!$J$2:$J$201,$AB1352)-1),IF($Z1352="F",MIN(IF(INDEX(Workforce!$J$2:$J$151,MATCH(INDEX(FTE_Allocation!$A$2:$A$201,$AB1352),Workforce!$A$2:$A$151,0))="",2958101,INDEX(Workforce!$J$2:$J$151,MATCH(INDEX(FTE_Allocation!$A$2:$A$201,$AB1352),Workforce!$A$2:$A$151,0))),IF(INDEX(FTE_Allocation!$J$2:$J$201,$AB1352)="",2958101,INDEX(FTE_Allocation!$J$2:$J$201,$AB1352))),"")))</f>
        <v/>
      </c>
      <c r="AG1352" s="19">
        <f>IF($Z1352="C",IF(INDEX(Contracts!$I$2:$I$151,$AB1352)="PREPAID",INDEX(Contracts!$M$2:$M$151,$AB1352)/IF(INDEX(Contracts!$N$2:$N$151,$AB1352)="",12,INDEX(Contracts!$N$2:$N$151,$AB1352)),IF(INDEX(Contracts!$I$2:$I$151,$AB1352)="MONTHLY",INDEX(Contracts!$M$2:$M$151,$AB1352),0))*(1-N(INDEX(Contracts!$O$2:$O$151,$AB1352))),IF($Z1352="A",INDEX(Fixed_Assets!$H$2:$H$201,$AB1352)/INDEX(Fixed_Assets!$J$2:$J$201,$AB1352),IF($Z1352="F",INDEX(Workforce!$F$2:$F$151,MATCH(INDEX(FTE_Allocation!$A$2:$A$201,$AB1352),Workforce!$A$2:$A$151,0))*N(INDEX(FTE_Allocation!$F$2:$H$201,$AB1352,$AC1352)),"")))</f>
        <v/>
      </c>
    </row>
    <row r="1353">
      <c r="A1353" s="7">
        <f>IF($Z1353="","",$AD1353)</f>
        <v/>
      </c>
      <c r="B1353" s="7">
        <f>IF($Z1353="C",INDEX(Contracts!$D$2:$D$151,$AB1353)&amp;"",IF($Z1353="A",INDEX(Fixed_Assets!$C$2:$C$201,$AB1353)&amp;"",IF($Z1353="F",INDEX(Workforce!$B$2:$B$151,MATCH(INDEX(FTE_Allocation!$A$2:$A$201,$AB1353),Workforce!$A$2:$A$151,0))&amp;"","")))</f>
        <v/>
      </c>
      <c r="C1353" s="7">
        <f>IF($Z1353="C",INDEX(Contracts!$E$2:$E$151,$AB1353)&amp;"",IF($Z1353="A",INDEX(Fixed_Assets!$D$2:$D$201,$AB1353)&amp;"",IF($Z1353="F",INDEX(FTE_Allocation!$C$2:$C$201,$AB1353)&amp;"","")))</f>
        <v/>
      </c>
      <c r="D1353" s="7">
        <f>IF($Z1353="C",INDEX(Contracts!$B$2:$B$151,$AB1353)&amp;"",IF($Z1353="A",INDEX(Fixed_Assets!$B$2:$B$201,$AB1353)&amp;"",IF($Z1353="F",INDEX(FTE_Allocation!$B$2:$B$201,$AB1353)&amp;"","")))</f>
        <v/>
      </c>
      <c r="E1353" s="7">
        <f>IF($Z1353="C",INDEX(Contracts!$P$2:$P$151,$AB1353)&amp;"",IF($Z1353="A",INDEX(Fixed_Assets!$K$2:$K$201,$AB1353)&amp;"",IF($Z1353="F",IF(INDEX(FTE_Allocation!$D$2:$D$201,$AB1353)="PROJECT",IFERROR(INDEX(Projects!$D:$D,MATCH(INDEX(FTE_Allocation!$E$2:$E$201,$AB1353),Projects!$A:$A,0))&amp;"","#PROJECT?"),INDEX(FTE_Allocation!$E$2:$E$201,$AB1353)&amp;""),"")))</f>
        <v/>
      </c>
      <c r="F1353" s="7">
        <f>IF($Z1353="C",INDEX(Contracts!$Q$2:$Q$151,$AB1353)&amp;"",IF($Z1353="A",INDEX(Fixed_Assets!$L$2:$L$201,$AB1353)&amp;"",IF($Z1353="F",INDEX(Workforce!$K$2:$K$151,MATCH(INDEX(FTE_Allocation!$A$2:$A$201,$AB1353),Workforce!$A$2:$A$151,0))&amp;"","")))</f>
        <v/>
      </c>
      <c r="G1353" s="7">
        <f>IF($Z1353="C",INDEX(Contracts!$F$2:$F$151,$AB1353)&amp;" / "&amp;INDEX(Contracts!$G$2:$G$151,$AB1353),IF($Z1353="A",INDEX(Fixed_Assets!$E$2:$E$201,$AB1353)&amp;"",IF($Z1353="F","Personnel "&amp;INDEX(FTE_Allocation!$A$2:$A$201,$AB1353)&amp;IF(INDEX(FTE_Allocation!$D$2:$D$201,$AB1353)="PROJECT"," ("&amp;INDEX(FTE_Allocation!$E$2:$E$201,$AB1353)&amp;")",""),"")))</f>
        <v/>
      </c>
      <c r="H1353" s="7">
        <f>IF($Z1353="C","CONTRACT",IF($Z1353="A","ASSET",IF($Z1353="F","WORKFORCE","")))</f>
        <v/>
      </c>
      <c r="I1353" s="7">
        <f>IF($Z1353="C",INDEX(Contracts!$L$2:$L$151,$AB1353)&amp;"",IF($Z1353="A",INDEX(Fixed_Assets!$I$2:$I$201,$AB1353)&amp;"",IF($Z1353="F",INDEX(Workforce!$G$2:$G$151,MATCH(INDEX(FTE_Allocation!$A$2:$A$201,$AB1353),Workforce!$A$2:$A$151,0))&amp;"","")))</f>
        <v/>
      </c>
      <c r="J1353" s="18">
        <f>IF($Z1353="","",IF(AND(DATE($AD1353,1,1)&gt;=$AE1353,DATE($AD1353,1,1)&lt;=$AF1353),ROUND($AG1353,2),0))</f>
        <v/>
      </c>
      <c r="K1353" s="18">
        <f>IF($Z1353="","",IF(AND(DATE($AD1353,2,1)&gt;=$AE1353,DATE($AD1353,2,1)&lt;=$AF1353),ROUND($AG1353,2),0))</f>
        <v/>
      </c>
      <c r="L1353" s="18">
        <f>IF($Z1353="","",IF(AND(DATE($AD1353,3,1)&gt;=$AE1353,DATE($AD1353,3,1)&lt;=$AF1353),ROUND($AG1353,2),0))</f>
        <v/>
      </c>
      <c r="M1353" s="18">
        <f>IF($Z1353="","",IF(AND(DATE($AD1353,4,1)&gt;=$AE1353,DATE($AD1353,4,1)&lt;=$AF1353),ROUND($AG1353,2),0))</f>
        <v/>
      </c>
      <c r="N1353" s="18">
        <f>IF($Z1353="","",IF(AND(DATE($AD1353,5,1)&gt;=$AE1353,DATE($AD1353,5,1)&lt;=$AF1353),ROUND($AG1353,2),0))</f>
        <v/>
      </c>
      <c r="O1353" s="18">
        <f>IF($Z1353="","",IF(AND(DATE($AD1353,6,1)&gt;=$AE1353,DATE($AD1353,6,1)&lt;=$AF1353),ROUND($AG1353,2),0))</f>
        <v/>
      </c>
      <c r="P1353" s="18">
        <f>IF($Z1353="","",IF(AND(DATE($AD1353,7,1)&gt;=$AE1353,DATE($AD1353,7,1)&lt;=$AF1353),ROUND($AG1353,2),0))</f>
        <v/>
      </c>
      <c r="Q1353" s="18">
        <f>IF($Z1353="","",IF(AND(DATE($AD1353,8,1)&gt;=$AE1353,DATE($AD1353,8,1)&lt;=$AF1353),ROUND($AG1353,2),0))</f>
        <v/>
      </c>
      <c r="R1353" s="18">
        <f>IF($Z1353="","",IF(AND(DATE($AD1353,9,1)&gt;=$AE1353,DATE($AD1353,9,1)&lt;=$AF1353),ROUND($AG1353,2),0))</f>
        <v/>
      </c>
      <c r="S1353" s="18">
        <f>IF($Z1353="","",IF(AND(DATE($AD1353,10,1)&gt;=$AE1353,DATE($AD1353,10,1)&lt;=$AF1353),ROUND($AG1353,2),0))</f>
        <v/>
      </c>
      <c r="T1353" s="18">
        <f>IF($Z1353="","",IF(AND(DATE($AD1353,11,1)&gt;=$AE1353,DATE($AD1353,11,1)&lt;=$AF1353),ROUND($AG1353,2),0))</f>
        <v/>
      </c>
      <c r="U1353" s="18">
        <f>IF($Z1353="","",IF(AND(DATE($AD1353,12,1)&gt;=$AE1353,DATE($AD1353,12,1)&lt;=$AF1353),ROUND($AG1353,2),0))</f>
        <v/>
      </c>
      <c r="V1353" s="7">
        <f>IF($Z1353="C","Generated from "&amp;INDEX(Contracts!$A$2:$A$151,$AB1353),IF($Z1353="A","Generated from "&amp;INDEX(Fixed_Assets!$A$2:$A$201,$AB1353),IF($Z1353="F","Generated from "&amp;INDEX(FTE_Allocation!$A$2:$A$201,$AB1353),"")))</f>
        <v/>
      </c>
      <c r="X1353" s="19">
        <f>IF($Z1353="","",SUM(J1353:U1353))</f>
        <v/>
      </c>
      <c r="Y1353" s="20">
        <f>ROW()-1</f>
        <v/>
      </c>
      <c r="Z1353" s="20">
        <f>IF($Y1353&lt;=Settings!$B$4*3,"C",IF($Y1353&lt;=(Settings!$B$4+Settings!$B$5)*3,"A",IF($Y1353&lt;=(Settings!$B$4+Settings!$B$5+Settings!$B$6)*3,"F","")))</f>
        <v/>
      </c>
      <c r="AA1353" s="20">
        <f>IF($Z1353="C",$Y1353,IF($Z1353="A",$Y1353-Settings!$B$4*3,IF($Z1353="F",$Y1353-(Settings!$B$4+Settings!$B$5)*3,"")))</f>
        <v/>
      </c>
      <c r="AB1353" s="20">
        <f>IF($Z1353="","",INT(($AA1353-1)/3)+1)</f>
        <v/>
      </c>
      <c r="AC1353" s="20">
        <f>IF($Z1353="","",MOD($AA1353-1,3)+1)</f>
        <v/>
      </c>
      <c r="AD1353" s="20">
        <f>IF($Z1353="","",Settings!$B$2+$AC1353-1)</f>
        <v/>
      </c>
      <c r="AE1353" s="21">
        <f>IF($Z1353="C",DATE(YEAR(INDEX(Contracts!$J$2:$J$151,$AB1353)),MONTH(INDEX(Contracts!$J$2:$J$151,$AB1353)),1),IF($Z1353="A",DATE(YEAR(INDEX(Fixed_Assets!$G$2:$G$201,$AB1353)),MONTH(INDEX(Fixed_Assets!$G$2:$G$201,$AB1353)),1),IF($Z1353="F",DATE(YEAR(MAX(N(INDEX(Workforce!$I$2:$I$151,MATCH(INDEX(FTE_Allocation!$A$2:$A$201,$AB1353),Workforce!$A$2:$A$151,0))),N(INDEX(FTE_Allocation!$I$2:$I$201,$AB1353)))),MONTH(MAX(N(INDEX(Workforce!$I$2:$I$151,MATCH(INDEX(FTE_Allocation!$A$2:$A$201,$AB1353),Workforce!$A$2:$A$151,0))),N(INDEX(FTE_Allocation!$I$2:$I$201,$AB1353)))),1),"")))</f>
        <v/>
      </c>
      <c r="AF1353" s="21">
        <f>IF($Z1353="C",IF(INDEX(Contracts!$I$2:$I$151,$AB1353)="PREPAID",EDATE(DATE(YEAR(INDEX(Contracts!$J$2:$J$151,$AB1353)),MONTH(INDEX(Contracts!$J$2:$J$151,$AB1353)),1),IF(INDEX(Contracts!$N$2:$N$151,$AB1353)="",12,INDEX(Contracts!$N$2:$N$151,$AB1353))-1),IF(INDEX(Contracts!$I$2:$I$151,$AB1353)="MONTHLY",IF(INDEX(Contracts!$K$2:$K$151,$AB1353)="",2958101,INDEX(Contracts!$K$2:$K$151,$AB1353)),0)),IF($Z1353="A",EDATE(DATE(YEAR(INDEX(Fixed_Assets!$G$2:$G$201,$AB1353)),MONTH(INDEX(Fixed_Assets!$G$2:$G$201,$AB1353)),1),INDEX(Fixed_Assets!$J$2:$J$201,$AB1353)-1),IF($Z1353="F",MIN(IF(INDEX(Workforce!$J$2:$J$151,MATCH(INDEX(FTE_Allocation!$A$2:$A$201,$AB1353),Workforce!$A$2:$A$151,0))="",2958101,INDEX(Workforce!$J$2:$J$151,MATCH(INDEX(FTE_Allocation!$A$2:$A$201,$AB1353),Workforce!$A$2:$A$151,0))),IF(INDEX(FTE_Allocation!$J$2:$J$201,$AB1353)="",2958101,INDEX(FTE_Allocation!$J$2:$J$201,$AB1353))),"")))</f>
        <v/>
      </c>
      <c r="AG1353" s="19">
        <f>IF($Z1353="C",IF(INDEX(Contracts!$I$2:$I$151,$AB1353)="PREPAID",INDEX(Contracts!$M$2:$M$151,$AB1353)/IF(INDEX(Contracts!$N$2:$N$151,$AB1353)="",12,INDEX(Contracts!$N$2:$N$151,$AB1353)),IF(INDEX(Contracts!$I$2:$I$151,$AB1353)="MONTHLY",INDEX(Contracts!$M$2:$M$151,$AB1353),0))*(1-N(INDEX(Contracts!$O$2:$O$151,$AB1353))),IF($Z1353="A",INDEX(Fixed_Assets!$H$2:$H$201,$AB1353)/INDEX(Fixed_Assets!$J$2:$J$201,$AB1353),IF($Z1353="F",INDEX(Workforce!$F$2:$F$151,MATCH(INDEX(FTE_Allocation!$A$2:$A$201,$AB1353),Workforce!$A$2:$A$151,0))*N(INDEX(FTE_Allocation!$F$2:$H$201,$AB1353,$AC1353)),"")))</f>
        <v/>
      </c>
    </row>
    <row r="1354">
      <c r="A1354" s="7">
        <f>IF($Z1354="","",$AD1354)</f>
        <v/>
      </c>
      <c r="B1354" s="7">
        <f>IF($Z1354="C",INDEX(Contracts!$D$2:$D$151,$AB1354)&amp;"",IF($Z1354="A",INDEX(Fixed_Assets!$C$2:$C$201,$AB1354)&amp;"",IF($Z1354="F",INDEX(Workforce!$B$2:$B$151,MATCH(INDEX(FTE_Allocation!$A$2:$A$201,$AB1354),Workforce!$A$2:$A$151,0))&amp;"","")))</f>
        <v/>
      </c>
      <c r="C1354" s="7">
        <f>IF($Z1354="C",INDEX(Contracts!$E$2:$E$151,$AB1354)&amp;"",IF($Z1354="A",INDEX(Fixed_Assets!$D$2:$D$201,$AB1354)&amp;"",IF($Z1354="F",INDEX(FTE_Allocation!$C$2:$C$201,$AB1354)&amp;"","")))</f>
        <v/>
      </c>
      <c r="D1354" s="7">
        <f>IF($Z1354="C",INDEX(Contracts!$B$2:$B$151,$AB1354)&amp;"",IF($Z1354="A",INDEX(Fixed_Assets!$B$2:$B$201,$AB1354)&amp;"",IF($Z1354="F",INDEX(FTE_Allocation!$B$2:$B$201,$AB1354)&amp;"","")))</f>
        <v/>
      </c>
      <c r="E1354" s="7">
        <f>IF($Z1354="C",INDEX(Contracts!$P$2:$P$151,$AB1354)&amp;"",IF($Z1354="A",INDEX(Fixed_Assets!$K$2:$K$201,$AB1354)&amp;"",IF($Z1354="F",IF(INDEX(FTE_Allocation!$D$2:$D$201,$AB1354)="PROJECT",IFERROR(INDEX(Projects!$D:$D,MATCH(INDEX(FTE_Allocation!$E$2:$E$201,$AB1354),Projects!$A:$A,0))&amp;"","#PROJECT?"),INDEX(FTE_Allocation!$E$2:$E$201,$AB1354)&amp;""),"")))</f>
        <v/>
      </c>
      <c r="F1354" s="7">
        <f>IF($Z1354="C",INDEX(Contracts!$Q$2:$Q$151,$AB1354)&amp;"",IF($Z1354="A",INDEX(Fixed_Assets!$L$2:$L$201,$AB1354)&amp;"",IF($Z1354="F",INDEX(Workforce!$K$2:$K$151,MATCH(INDEX(FTE_Allocation!$A$2:$A$201,$AB1354),Workforce!$A$2:$A$151,0))&amp;"","")))</f>
        <v/>
      </c>
      <c r="G1354" s="7">
        <f>IF($Z1354="C",INDEX(Contracts!$F$2:$F$151,$AB1354)&amp;" / "&amp;INDEX(Contracts!$G$2:$G$151,$AB1354),IF($Z1354="A",INDEX(Fixed_Assets!$E$2:$E$201,$AB1354)&amp;"",IF($Z1354="F","Personnel "&amp;INDEX(FTE_Allocation!$A$2:$A$201,$AB1354)&amp;IF(INDEX(FTE_Allocation!$D$2:$D$201,$AB1354)="PROJECT"," ("&amp;INDEX(FTE_Allocation!$E$2:$E$201,$AB1354)&amp;")",""),"")))</f>
        <v/>
      </c>
      <c r="H1354" s="7">
        <f>IF($Z1354="C","CONTRACT",IF($Z1354="A","ASSET",IF($Z1354="F","WORKFORCE","")))</f>
        <v/>
      </c>
      <c r="I1354" s="7">
        <f>IF($Z1354="C",INDEX(Contracts!$L$2:$L$151,$AB1354)&amp;"",IF($Z1354="A",INDEX(Fixed_Assets!$I$2:$I$201,$AB1354)&amp;"",IF($Z1354="F",INDEX(Workforce!$G$2:$G$151,MATCH(INDEX(FTE_Allocation!$A$2:$A$201,$AB1354),Workforce!$A$2:$A$151,0))&amp;"","")))</f>
        <v/>
      </c>
      <c r="J1354" s="18">
        <f>IF($Z1354="","",IF(AND(DATE($AD1354,1,1)&gt;=$AE1354,DATE($AD1354,1,1)&lt;=$AF1354),ROUND($AG1354,2),0))</f>
        <v/>
      </c>
      <c r="K1354" s="18">
        <f>IF($Z1354="","",IF(AND(DATE($AD1354,2,1)&gt;=$AE1354,DATE($AD1354,2,1)&lt;=$AF1354),ROUND($AG1354,2),0))</f>
        <v/>
      </c>
      <c r="L1354" s="18">
        <f>IF($Z1354="","",IF(AND(DATE($AD1354,3,1)&gt;=$AE1354,DATE($AD1354,3,1)&lt;=$AF1354),ROUND($AG1354,2),0))</f>
        <v/>
      </c>
      <c r="M1354" s="18">
        <f>IF($Z1354="","",IF(AND(DATE($AD1354,4,1)&gt;=$AE1354,DATE($AD1354,4,1)&lt;=$AF1354),ROUND($AG1354,2),0))</f>
        <v/>
      </c>
      <c r="N1354" s="18">
        <f>IF($Z1354="","",IF(AND(DATE($AD1354,5,1)&gt;=$AE1354,DATE($AD1354,5,1)&lt;=$AF1354),ROUND($AG1354,2),0))</f>
        <v/>
      </c>
      <c r="O1354" s="18">
        <f>IF($Z1354="","",IF(AND(DATE($AD1354,6,1)&gt;=$AE1354,DATE($AD1354,6,1)&lt;=$AF1354),ROUND($AG1354,2),0))</f>
        <v/>
      </c>
      <c r="P1354" s="18">
        <f>IF($Z1354="","",IF(AND(DATE($AD1354,7,1)&gt;=$AE1354,DATE($AD1354,7,1)&lt;=$AF1354),ROUND($AG1354,2),0))</f>
        <v/>
      </c>
      <c r="Q1354" s="18">
        <f>IF($Z1354="","",IF(AND(DATE($AD1354,8,1)&gt;=$AE1354,DATE($AD1354,8,1)&lt;=$AF1354),ROUND($AG1354,2),0))</f>
        <v/>
      </c>
      <c r="R1354" s="18">
        <f>IF($Z1354="","",IF(AND(DATE($AD1354,9,1)&gt;=$AE1354,DATE($AD1354,9,1)&lt;=$AF1354),ROUND($AG1354,2),0))</f>
        <v/>
      </c>
      <c r="S1354" s="18">
        <f>IF($Z1354="","",IF(AND(DATE($AD1354,10,1)&gt;=$AE1354,DATE($AD1354,10,1)&lt;=$AF1354),ROUND($AG1354,2),0))</f>
        <v/>
      </c>
      <c r="T1354" s="18">
        <f>IF($Z1354="","",IF(AND(DATE($AD1354,11,1)&gt;=$AE1354,DATE($AD1354,11,1)&lt;=$AF1354),ROUND($AG1354,2),0))</f>
        <v/>
      </c>
      <c r="U1354" s="18">
        <f>IF($Z1354="","",IF(AND(DATE($AD1354,12,1)&gt;=$AE1354,DATE($AD1354,12,1)&lt;=$AF1354),ROUND($AG1354,2),0))</f>
        <v/>
      </c>
      <c r="V1354" s="7">
        <f>IF($Z1354="C","Generated from "&amp;INDEX(Contracts!$A$2:$A$151,$AB1354),IF($Z1354="A","Generated from "&amp;INDEX(Fixed_Assets!$A$2:$A$201,$AB1354),IF($Z1354="F","Generated from "&amp;INDEX(FTE_Allocation!$A$2:$A$201,$AB1354),"")))</f>
        <v/>
      </c>
      <c r="X1354" s="19">
        <f>IF($Z1354="","",SUM(J1354:U1354))</f>
        <v/>
      </c>
      <c r="Y1354" s="20">
        <f>ROW()-1</f>
        <v/>
      </c>
      <c r="Z1354" s="20">
        <f>IF($Y1354&lt;=Settings!$B$4*3,"C",IF($Y1354&lt;=(Settings!$B$4+Settings!$B$5)*3,"A",IF($Y1354&lt;=(Settings!$B$4+Settings!$B$5+Settings!$B$6)*3,"F","")))</f>
        <v/>
      </c>
      <c r="AA1354" s="20">
        <f>IF($Z1354="C",$Y1354,IF($Z1354="A",$Y1354-Settings!$B$4*3,IF($Z1354="F",$Y1354-(Settings!$B$4+Settings!$B$5)*3,"")))</f>
        <v/>
      </c>
      <c r="AB1354" s="20">
        <f>IF($Z1354="","",INT(($AA1354-1)/3)+1)</f>
        <v/>
      </c>
      <c r="AC1354" s="20">
        <f>IF($Z1354="","",MOD($AA1354-1,3)+1)</f>
        <v/>
      </c>
      <c r="AD1354" s="20">
        <f>IF($Z1354="","",Settings!$B$2+$AC1354-1)</f>
        <v/>
      </c>
      <c r="AE1354" s="21">
        <f>IF($Z1354="C",DATE(YEAR(INDEX(Contracts!$J$2:$J$151,$AB1354)),MONTH(INDEX(Contracts!$J$2:$J$151,$AB1354)),1),IF($Z1354="A",DATE(YEAR(INDEX(Fixed_Assets!$G$2:$G$201,$AB1354)),MONTH(INDEX(Fixed_Assets!$G$2:$G$201,$AB1354)),1),IF($Z1354="F",DATE(YEAR(MAX(N(INDEX(Workforce!$I$2:$I$151,MATCH(INDEX(FTE_Allocation!$A$2:$A$201,$AB1354),Workforce!$A$2:$A$151,0))),N(INDEX(FTE_Allocation!$I$2:$I$201,$AB1354)))),MONTH(MAX(N(INDEX(Workforce!$I$2:$I$151,MATCH(INDEX(FTE_Allocation!$A$2:$A$201,$AB1354),Workforce!$A$2:$A$151,0))),N(INDEX(FTE_Allocation!$I$2:$I$201,$AB1354)))),1),"")))</f>
        <v/>
      </c>
      <c r="AF1354" s="21">
        <f>IF($Z1354="C",IF(INDEX(Contracts!$I$2:$I$151,$AB1354)="PREPAID",EDATE(DATE(YEAR(INDEX(Contracts!$J$2:$J$151,$AB1354)),MONTH(INDEX(Contracts!$J$2:$J$151,$AB1354)),1),IF(INDEX(Contracts!$N$2:$N$151,$AB1354)="",12,INDEX(Contracts!$N$2:$N$151,$AB1354))-1),IF(INDEX(Contracts!$I$2:$I$151,$AB1354)="MONTHLY",IF(INDEX(Contracts!$K$2:$K$151,$AB1354)="",2958101,INDEX(Contracts!$K$2:$K$151,$AB1354)),0)),IF($Z1354="A",EDATE(DATE(YEAR(INDEX(Fixed_Assets!$G$2:$G$201,$AB1354)),MONTH(INDEX(Fixed_Assets!$G$2:$G$201,$AB1354)),1),INDEX(Fixed_Assets!$J$2:$J$201,$AB1354)-1),IF($Z1354="F",MIN(IF(INDEX(Workforce!$J$2:$J$151,MATCH(INDEX(FTE_Allocation!$A$2:$A$201,$AB1354),Workforce!$A$2:$A$151,0))="",2958101,INDEX(Workforce!$J$2:$J$151,MATCH(INDEX(FTE_Allocation!$A$2:$A$201,$AB1354),Workforce!$A$2:$A$151,0))),IF(INDEX(FTE_Allocation!$J$2:$J$201,$AB1354)="",2958101,INDEX(FTE_Allocation!$J$2:$J$201,$AB1354))),"")))</f>
        <v/>
      </c>
      <c r="AG1354" s="19">
        <f>IF($Z1354="C",IF(INDEX(Contracts!$I$2:$I$151,$AB1354)="PREPAID",INDEX(Contracts!$M$2:$M$151,$AB1354)/IF(INDEX(Contracts!$N$2:$N$151,$AB1354)="",12,INDEX(Contracts!$N$2:$N$151,$AB1354)),IF(INDEX(Contracts!$I$2:$I$151,$AB1354)="MONTHLY",INDEX(Contracts!$M$2:$M$151,$AB1354),0))*(1-N(INDEX(Contracts!$O$2:$O$151,$AB1354))),IF($Z1354="A",INDEX(Fixed_Assets!$H$2:$H$201,$AB1354)/INDEX(Fixed_Assets!$J$2:$J$201,$AB1354),IF($Z1354="F",INDEX(Workforce!$F$2:$F$151,MATCH(INDEX(FTE_Allocation!$A$2:$A$201,$AB1354),Workforce!$A$2:$A$151,0))*N(INDEX(FTE_Allocation!$F$2:$H$201,$AB1354,$AC1354)),"")))</f>
        <v/>
      </c>
    </row>
    <row r="1355">
      <c r="A1355" s="7">
        <f>IF($Z1355="","",$AD1355)</f>
        <v/>
      </c>
      <c r="B1355" s="7">
        <f>IF($Z1355="C",INDEX(Contracts!$D$2:$D$151,$AB1355)&amp;"",IF($Z1355="A",INDEX(Fixed_Assets!$C$2:$C$201,$AB1355)&amp;"",IF($Z1355="F",INDEX(Workforce!$B$2:$B$151,MATCH(INDEX(FTE_Allocation!$A$2:$A$201,$AB1355),Workforce!$A$2:$A$151,0))&amp;"","")))</f>
        <v/>
      </c>
      <c r="C1355" s="7">
        <f>IF($Z1355="C",INDEX(Contracts!$E$2:$E$151,$AB1355)&amp;"",IF($Z1355="A",INDEX(Fixed_Assets!$D$2:$D$201,$AB1355)&amp;"",IF($Z1355="F",INDEX(FTE_Allocation!$C$2:$C$201,$AB1355)&amp;"","")))</f>
        <v/>
      </c>
      <c r="D1355" s="7">
        <f>IF($Z1355="C",INDEX(Contracts!$B$2:$B$151,$AB1355)&amp;"",IF($Z1355="A",INDEX(Fixed_Assets!$B$2:$B$201,$AB1355)&amp;"",IF($Z1355="F",INDEX(FTE_Allocation!$B$2:$B$201,$AB1355)&amp;"","")))</f>
        <v/>
      </c>
      <c r="E1355" s="7">
        <f>IF($Z1355="C",INDEX(Contracts!$P$2:$P$151,$AB1355)&amp;"",IF($Z1355="A",INDEX(Fixed_Assets!$K$2:$K$201,$AB1355)&amp;"",IF($Z1355="F",IF(INDEX(FTE_Allocation!$D$2:$D$201,$AB1355)="PROJECT",IFERROR(INDEX(Projects!$D:$D,MATCH(INDEX(FTE_Allocation!$E$2:$E$201,$AB1355),Projects!$A:$A,0))&amp;"","#PROJECT?"),INDEX(FTE_Allocation!$E$2:$E$201,$AB1355)&amp;""),"")))</f>
        <v/>
      </c>
      <c r="F1355" s="7">
        <f>IF($Z1355="C",INDEX(Contracts!$Q$2:$Q$151,$AB1355)&amp;"",IF($Z1355="A",INDEX(Fixed_Assets!$L$2:$L$201,$AB1355)&amp;"",IF($Z1355="F",INDEX(Workforce!$K$2:$K$151,MATCH(INDEX(FTE_Allocation!$A$2:$A$201,$AB1355),Workforce!$A$2:$A$151,0))&amp;"","")))</f>
        <v/>
      </c>
      <c r="G1355" s="7">
        <f>IF($Z1355="C",INDEX(Contracts!$F$2:$F$151,$AB1355)&amp;" / "&amp;INDEX(Contracts!$G$2:$G$151,$AB1355),IF($Z1355="A",INDEX(Fixed_Assets!$E$2:$E$201,$AB1355)&amp;"",IF($Z1355="F","Personnel "&amp;INDEX(FTE_Allocation!$A$2:$A$201,$AB1355)&amp;IF(INDEX(FTE_Allocation!$D$2:$D$201,$AB1355)="PROJECT"," ("&amp;INDEX(FTE_Allocation!$E$2:$E$201,$AB1355)&amp;")",""),"")))</f>
        <v/>
      </c>
      <c r="H1355" s="7">
        <f>IF($Z1355="C","CONTRACT",IF($Z1355="A","ASSET",IF($Z1355="F","WORKFORCE","")))</f>
        <v/>
      </c>
      <c r="I1355" s="7">
        <f>IF($Z1355="C",INDEX(Contracts!$L$2:$L$151,$AB1355)&amp;"",IF($Z1355="A",INDEX(Fixed_Assets!$I$2:$I$201,$AB1355)&amp;"",IF($Z1355="F",INDEX(Workforce!$G$2:$G$151,MATCH(INDEX(FTE_Allocation!$A$2:$A$201,$AB1355),Workforce!$A$2:$A$151,0))&amp;"","")))</f>
        <v/>
      </c>
      <c r="J1355" s="18">
        <f>IF($Z1355="","",IF(AND(DATE($AD1355,1,1)&gt;=$AE1355,DATE($AD1355,1,1)&lt;=$AF1355),ROUND($AG1355,2),0))</f>
        <v/>
      </c>
      <c r="K1355" s="18">
        <f>IF($Z1355="","",IF(AND(DATE($AD1355,2,1)&gt;=$AE1355,DATE($AD1355,2,1)&lt;=$AF1355),ROUND($AG1355,2),0))</f>
        <v/>
      </c>
      <c r="L1355" s="18">
        <f>IF($Z1355="","",IF(AND(DATE($AD1355,3,1)&gt;=$AE1355,DATE($AD1355,3,1)&lt;=$AF1355),ROUND($AG1355,2),0))</f>
        <v/>
      </c>
      <c r="M1355" s="18">
        <f>IF($Z1355="","",IF(AND(DATE($AD1355,4,1)&gt;=$AE1355,DATE($AD1355,4,1)&lt;=$AF1355),ROUND($AG1355,2),0))</f>
        <v/>
      </c>
      <c r="N1355" s="18">
        <f>IF($Z1355="","",IF(AND(DATE($AD1355,5,1)&gt;=$AE1355,DATE($AD1355,5,1)&lt;=$AF1355),ROUND($AG1355,2),0))</f>
        <v/>
      </c>
      <c r="O1355" s="18">
        <f>IF($Z1355="","",IF(AND(DATE($AD1355,6,1)&gt;=$AE1355,DATE($AD1355,6,1)&lt;=$AF1355),ROUND($AG1355,2),0))</f>
        <v/>
      </c>
      <c r="P1355" s="18">
        <f>IF($Z1355="","",IF(AND(DATE($AD1355,7,1)&gt;=$AE1355,DATE($AD1355,7,1)&lt;=$AF1355),ROUND($AG1355,2),0))</f>
        <v/>
      </c>
      <c r="Q1355" s="18">
        <f>IF($Z1355="","",IF(AND(DATE($AD1355,8,1)&gt;=$AE1355,DATE($AD1355,8,1)&lt;=$AF1355),ROUND($AG1355,2),0))</f>
        <v/>
      </c>
      <c r="R1355" s="18">
        <f>IF($Z1355="","",IF(AND(DATE($AD1355,9,1)&gt;=$AE1355,DATE($AD1355,9,1)&lt;=$AF1355),ROUND($AG1355,2),0))</f>
        <v/>
      </c>
      <c r="S1355" s="18">
        <f>IF($Z1355="","",IF(AND(DATE($AD1355,10,1)&gt;=$AE1355,DATE($AD1355,10,1)&lt;=$AF1355),ROUND($AG1355,2),0))</f>
        <v/>
      </c>
      <c r="T1355" s="18">
        <f>IF($Z1355="","",IF(AND(DATE($AD1355,11,1)&gt;=$AE1355,DATE($AD1355,11,1)&lt;=$AF1355),ROUND($AG1355,2),0))</f>
        <v/>
      </c>
      <c r="U1355" s="18">
        <f>IF($Z1355="","",IF(AND(DATE($AD1355,12,1)&gt;=$AE1355,DATE($AD1355,12,1)&lt;=$AF1355),ROUND($AG1355,2),0))</f>
        <v/>
      </c>
      <c r="V1355" s="7">
        <f>IF($Z1355="C","Generated from "&amp;INDEX(Contracts!$A$2:$A$151,$AB1355),IF($Z1355="A","Generated from "&amp;INDEX(Fixed_Assets!$A$2:$A$201,$AB1355),IF($Z1355="F","Generated from "&amp;INDEX(FTE_Allocation!$A$2:$A$201,$AB1355),"")))</f>
        <v/>
      </c>
      <c r="X1355" s="19">
        <f>IF($Z1355="","",SUM(J1355:U1355))</f>
        <v/>
      </c>
      <c r="Y1355" s="20">
        <f>ROW()-1</f>
        <v/>
      </c>
      <c r="Z1355" s="20">
        <f>IF($Y1355&lt;=Settings!$B$4*3,"C",IF($Y1355&lt;=(Settings!$B$4+Settings!$B$5)*3,"A",IF($Y1355&lt;=(Settings!$B$4+Settings!$B$5+Settings!$B$6)*3,"F","")))</f>
        <v/>
      </c>
      <c r="AA1355" s="20">
        <f>IF($Z1355="C",$Y1355,IF($Z1355="A",$Y1355-Settings!$B$4*3,IF($Z1355="F",$Y1355-(Settings!$B$4+Settings!$B$5)*3,"")))</f>
        <v/>
      </c>
      <c r="AB1355" s="20">
        <f>IF($Z1355="","",INT(($AA1355-1)/3)+1)</f>
        <v/>
      </c>
      <c r="AC1355" s="20">
        <f>IF($Z1355="","",MOD($AA1355-1,3)+1)</f>
        <v/>
      </c>
      <c r="AD1355" s="20">
        <f>IF($Z1355="","",Settings!$B$2+$AC1355-1)</f>
        <v/>
      </c>
      <c r="AE1355" s="21">
        <f>IF($Z1355="C",DATE(YEAR(INDEX(Contracts!$J$2:$J$151,$AB1355)),MONTH(INDEX(Contracts!$J$2:$J$151,$AB1355)),1),IF($Z1355="A",DATE(YEAR(INDEX(Fixed_Assets!$G$2:$G$201,$AB1355)),MONTH(INDEX(Fixed_Assets!$G$2:$G$201,$AB1355)),1),IF($Z1355="F",DATE(YEAR(MAX(N(INDEX(Workforce!$I$2:$I$151,MATCH(INDEX(FTE_Allocation!$A$2:$A$201,$AB1355),Workforce!$A$2:$A$151,0))),N(INDEX(FTE_Allocation!$I$2:$I$201,$AB1355)))),MONTH(MAX(N(INDEX(Workforce!$I$2:$I$151,MATCH(INDEX(FTE_Allocation!$A$2:$A$201,$AB1355),Workforce!$A$2:$A$151,0))),N(INDEX(FTE_Allocation!$I$2:$I$201,$AB1355)))),1),"")))</f>
        <v/>
      </c>
      <c r="AF1355" s="21">
        <f>IF($Z1355="C",IF(INDEX(Contracts!$I$2:$I$151,$AB1355)="PREPAID",EDATE(DATE(YEAR(INDEX(Contracts!$J$2:$J$151,$AB1355)),MONTH(INDEX(Contracts!$J$2:$J$151,$AB1355)),1),IF(INDEX(Contracts!$N$2:$N$151,$AB1355)="",12,INDEX(Contracts!$N$2:$N$151,$AB1355))-1),IF(INDEX(Contracts!$I$2:$I$151,$AB1355)="MONTHLY",IF(INDEX(Contracts!$K$2:$K$151,$AB1355)="",2958101,INDEX(Contracts!$K$2:$K$151,$AB1355)),0)),IF($Z1355="A",EDATE(DATE(YEAR(INDEX(Fixed_Assets!$G$2:$G$201,$AB1355)),MONTH(INDEX(Fixed_Assets!$G$2:$G$201,$AB1355)),1),INDEX(Fixed_Assets!$J$2:$J$201,$AB1355)-1),IF($Z1355="F",MIN(IF(INDEX(Workforce!$J$2:$J$151,MATCH(INDEX(FTE_Allocation!$A$2:$A$201,$AB1355),Workforce!$A$2:$A$151,0))="",2958101,INDEX(Workforce!$J$2:$J$151,MATCH(INDEX(FTE_Allocation!$A$2:$A$201,$AB1355),Workforce!$A$2:$A$151,0))),IF(INDEX(FTE_Allocation!$J$2:$J$201,$AB1355)="",2958101,INDEX(FTE_Allocation!$J$2:$J$201,$AB1355))),"")))</f>
        <v/>
      </c>
      <c r="AG1355" s="19">
        <f>IF($Z1355="C",IF(INDEX(Contracts!$I$2:$I$151,$AB1355)="PREPAID",INDEX(Contracts!$M$2:$M$151,$AB1355)/IF(INDEX(Contracts!$N$2:$N$151,$AB1355)="",12,INDEX(Contracts!$N$2:$N$151,$AB1355)),IF(INDEX(Contracts!$I$2:$I$151,$AB1355)="MONTHLY",INDEX(Contracts!$M$2:$M$151,$AB1355),0))*(1-N(INDEX(Contracts!$O$2:$O$151,$AB1355))),IF($Z1355="A",INDEX(Fixed_Assets!$H$2:$H$201,$AB1355)/INDEX(Fixed_Assets!$J$2:$J$201,$AB1355),IF($Z1355="F",INDEX(Workforce!$F$2:$F$151,MATCH(INDEX(FTE_Allocation!$A$2:$A$201,$AB1355),Workforce!$A$2:$A$151,0))*N(INDEX(FTE_Allocation!$F$2:$H$201,$AB1355,$AC1355)),"")))</f>
        <v/>
      </c>
    </row>
    <row r="1356">
      <c r="A1356" s="7">
        <f>IF($Z1356="","",$AD1356)</f>
        <v/>
      </c>
      <c r="B1356" s="7">
        <f>IF($Z1356="C",INDEX(Contracts!$D$2:$D$151,$AB1356)&amp;"",IF($Z1356="A",INDEX(Fixed_Assets!$C$2:$C$201,$AB1356)&amp;"",IF($Z1356="F",INDEX(Workforce!$B$2:$B$151,MATCH(INDEX(FTE_Allocation!$A$2:$A$201,$AB1356),Workforce!$A$2:$A$151,0))&amp;"","")))</f>
        <v/>
      </c>
      <c r="C1356" s="7">
        <f>IF($Z1356="C",INDEX(Contracts!$E$2:$E$151,$AB1356)&amp;"",IF($Z1356="A",INDEX(Fixed_Assets!$D$2:$D$201,$AB1356)&amp;"",IF($Z1356="F",INDEX(FTE_Allocation!$C$2:$C$201,$AB1356)&amp;"","")))</f>
        <v/>
      </c>
      <c r="D1356" s="7">
        <f>IF($Z1356="C",INDEX(Contracts!$B$2:$B$151,$AB1356)&amp;"",IF($Z1356="A",INDEX(Fixed_Assets!$B$2:$B$201,$AB1356)&amp;"",IF($Z1356="F",INDEX(FTE_Allocation!$B$2:$B$201,$AB1356)&amp;"","")))</f>
        <v/>
      </c>
      <c r="E1356" s="7">
        <f>IF($Z1356="C",INDEX(Contracts!$P$2:$P$151,$AB1356)&amp;"",IF($Z1356="A",INDEX(Fixed_Assets!$K$2:$K$201,$AB1356)&amp;"",IF($Z1356="F",IF(INDEX(FTE_Allocation!$D$2:$D$201,$AB1356)="PROJECT",IFERROR(INDEX(Projects!$D:$D,MATCH(INDEX(FTE_Allocation!$E$2:$E$201,$AB1356),Projects!$A:$A,0))&amp;"","#PROJECT?"),INDEX(FTE_Allocation!$E$2:$E$201,$AB1356)&amp;""),"")))</f>
        <v/>
      </c>
      <c r="F1356" s="7">
        <f>IF($Z1356="C",INDEX(Contracts!$Q$2:$Q$151,$AB1356)&amp;"",IF($Z1356="A",INDEX(Fixed_Assets!$L$2:$L$201,$AB1356)&amp;"",IF($Z1356="F",INDEX(Workforce!$K$2:$K$151,MATCH(INDEX(FTE_Allocation!$A$2:$A$201,$AB1356),Workforce!$A$2:$A$151,0))&amp;"","")))</f>
        <v/>
      </c>
      <c r="G1356" s="7">
        <f>IF($Z1356="C",INDEX(Contracts!$F$2:$F$151,$AB1356)&amp;" / "&amp;INDEX(Contracts!$G$2:$G$151,$AB1356),IF($Z1356="A",INDEX(Fixed_Assets!$E$2:$E$201,$AB1356)&amp;"",IF($Z1356="F","Personnel "&amp;INDEX(FTE_Allocation!$A$2:$A$201,$AB1356)&amp;IF(INDEX(FTE_Allocation!$D$2:$D$201,$AB1356)="PROJECT"," ("&amp;INDEX(FTE_Allocation!$E$2:$E$201,$AB1356)&amp;")",""),"")))</f>
        <v/>
      </c>
      <c r="H1356" s="7">
        <f>IF($Z1356="C","CONTRACT",IF($Z1356="A","ASSET",IF($Z1356="F","WORKFORCE","")))</f>
        <v/>
      </c>
      <c r="I1356" s="7">
        <f>IF($Z1356="C",INDEX(Contracts!$L$2:$L$151,$AB1356)&amp;"",IF($Z1356="A",INDEX(Fixed_Assets!$I$2:$I$201,$AB1356)&amp;"",IF($Z1356="F",INDEX(Workforce!$G$2:$G$151,MATCH(INDEX(FTE_Allocation!$A$2:$A$201,$AB1356),Workforce!$A$2:$A$151,0))&amp;"","")))</f>
        <v/>
      </c>
      <c r="J1356" s="18">
        <f>IF($Z1356="","",IF(AND(DATE($AD1356,1,1)&gt;=$AE1356,DATE($AD1356,1,1)&lt;=$AF1356),ROUND($AG1356,2),0))</f>
        <v/>
      </c>
      <c r="K1356" s="18">
        <f>IF($Z1356="","",IF(AND(DATE($AD1356,2,1)&gt;=$AE1356,DATE($AD1356,2,1)&lt;=$AF1356),ROUND($AG1356,2),0))</f>
        <v/>
      </c>
      <c r="L1356" s="18">
        <f>IF($Z1356="","",IF(AND(DATE($AD1356,3,1)&gt;=$AE1356,DATE($AD1356,3,1)&lt;=$AF1356),ROUND($AG1356,2),0))</f>
        <v/>
      </c>
      <c r="M1356" s="18">
        <f>IF($Z1356="","",IF(AND(DATE($AD1356,4,1)&gt;=$AE1356,DATE($AD1356,4,1)&lt;=$AF1356),ROUND($AG1356,2),0))</f>
        <v/>
      </c>
      <c r="N1356" s="18">
        <f>IF($Z1356="","",IF(AND(DATE($AD1356,5,1)&gt;=$AE1356,DATE($AD1356,5,1)&lt;=$AF1356),ROUND($AG1356,2),0))</f>
        <v/>
      </c>
      <c r="O1356" s="18">
        <f>IF($Z1356="","",IF(AND(DATE($AD1356,6,1)&gt;=$AE1356,DATE($AD1356,6,1)&lt;=$AF1356),ROUND($AG1356,2),0))</f>
        <v/>
      </c>
      <c r="P1356" s="18">
        <f>IF($Z1356="","",IF(AND(DATE($AD1356,7,1)&gt;=$AE1356,DATE($AD1356,7,1)&lt;=$AF1356),ROUND($AG1356,2),0))</f>
        <v/>
      </c>
      <c r="Q1356" s="18">
        <f>IF($Z1356="","",IF(AND(DATE($AD1356,8,1)&gt;=$AE1356,DATE($AD1356,8,1)&lt;=$AF1356),ROUND($AG1356,2),0))</f>
        <v/>
      </c>
      <c r="R1356" s="18">
        <f>IF($Z1356="","",IF(AND(DATE($AD1356,9,1)&gt;=$AE1356,DATE($AD1356,9,1)&lt;=$AF1356),ROUND($AG1356,2),0))</f>
        <v/>
      </c>
      <c r="S1356" s="18">
        <f>IF($Z1356="","",IF(AND(DATE($AD1356,10,1)&gt;=$AE1356,DATE($AD1356,10,1)&lt;=$AF1356),ROUND($AG1356,2),0))</f>
        <v/>
      </c>
      <c r="T1356" s="18">
        <f>IF($Z1356="","",IF(AND(DATE($AD1356,11,1)&gt;=$AE1356,DATE($AD1356,11,1)&lt;=$AF1356),ROUND($AG1356,2),0))</f>
        <v/>
      </c>
      <c r="U1356" s="18">
        <f>IF($Z1356="","",IF(AND(DATE($AD1356,12,1)&gt;=$AE1356,DATE($AD1356,12,1)&lt;=$AF1356),ROUND($AG1356,2),0))</f>
        <v/>
      </c>
      <c r="V1356" s="7">
        <f>IF($Z1356="C","Generated from "&amp;INDEX(Contracts!$A$2:$A$151,$AB1356),IF($Z1356="A","Generated from "&amp;INDEX(Fixed_Assets!$A$2:$A$201,$AB1356),IF($Z1356="F","Generated from "&amp;INDEX(FTE_Allocation!$A$2:$A$201,$AB1356),"")))</f>
        <v/>
      </c>
      <c r="X1356" s="19">
        <f>IF($Z1356="","",SUM(J1356:U1356))</f>
        <v/>
      </c>
      <c r="Y1356" s="20">
        <f>ROW()-1</f>
        <v/>
      </c>
      <c r="Z1356" s="20">
        <f>IF($Y1356&lt;=Settings!$B$4*3,"C",IF($Y1356&lt;=(Settings!$B$4+Settings!$B$5)*3,"A",IF($Y1356&lt;=(Settings!$B$4+Settings!$B$5+Settings!$B$6)*3,"F","")))</f>
        <v/>
      </c>
      <c r="AA1356" s="20">
        <f>IF($Z1356="C",$Y1356,IF($Z1356="A",$Y1356-Settings!$B$4*3,IF($Z1356="F",$Y1356-(Settings!$B$4+Settings!$B$5)*3,"")))</f>
        <v/>
      </c>
      <c r="AB1356" s="20">
        <f>IF($Z1356="","",INT(($AA1356-1)/3)+1)</f>
        <v/>
      </c>
      <c r="AC1356" s="20">
        <f>IF($Z1356="","",MOD($AA1356-1,3)+1)</f>
        <v/>
      </c>
      <c r="AD1356" s="20">
        <f>IF($Z1356="","",Settings!$B$2+$AC1356-1)</f>
        <v/>
      </c>
      <c r="AE1356" s="21">
        <f>IF($Z1356="C",DATE(YEAR(INDEX(Contracts!$J$2:$J$151,$AB1356)),MONTH(INDEX(Contracts!$J$2:$J$151,$AB1356)),1),IF($Z1356="A",DATE(YEAR(INDEX(Fixed_Assets!$G$2:$G$201,$AB1356)),MONTH(INDEX(Fixed_Assets!$G$2:$G$201,$AB1356)),1),IF($Z1356="F",DATE(YEAR(MAX(N(INDEX(Workforce!$I$2:$I$151,MATCH(INDEX(FTE_Allocation!$A$2:$A$201,$AB1356),Workforce!$A$2:$A$151,0))),N(INDEX(FTE_Allocation!$I$2:$I$201,$AB1356)))),MONTH(MAX(N(INDEX(Workforce!$I$2:$I$151,MATCH(INDEX(FTE_Allocation!$A$2:$A$201,$AB1356),Workforce!$A$2:$A$151,0))),N(INDEX(FTE_Allocation!$I$2:$I$201,$AB1356)))),1),"")))</f>
        <v/>
      </c>
      <c r="AF1356" s="21">
        <f>IF($Z1356="C",IF(INDEX(Contracts!$I$2:$I$151,$AB1356)="PREPAID",EDATE(DATE(YEAR(INDEX(Contracts!$J$2:$J$151,$AB1356)),MONTH(INDEX(Contracts!$J$2:$J$151,$AB1356)),1),IF(INDEX(Contracts!$N$2:$N$151,$AB1356)="",12,INDEX(Contracts!$N$2:$N$151,$AB1356))-1),IF(INDEX(Contracts!$I$2:$I$151,$AB1356)="MONTHLY",IF(INDEX(Contracts!$K$2:$K$151,$AB1356)="",2958101,INDEX(Contracts!$K$2:$K$151,$AB1356)),0)),IF($Z1356="A",EDATE(DATE(YEAR(INDEX(Fixed_Assets!$G$2:$G$201,$AB1356)),MONTH(INDEX(Fixed_Assets!$G$2:$G$201,$AB1356)),1),INDEX(Fixed_Assets!$J$2:$J$201,$AB1356)-1),IF($Z1356="F",MIN(IF(INDEX(Workforce!$J$2:$J$151,MATCH(INDEX(FTE_Allocation!$A$2:$A$201,$AB1356),Workforce!$A$2:$A$151,0))="",2958101,INDEX(Workforce!$J$2:$J$151,MATCH(INDEX(FTE_Allocation!$A$2:$A$201,$AB1356),Workforce!$A$2:$A$151,0))),IF(INDEX(FTE_Allocation!$J$2:$J$201,$AB1356)="",2958101,INDEX(FTE_Allocation!$J$2:$J$201,$AB1356))),"")))</f>
        <v/>
      </c>
      <c r="AG1356" s="19">
        <f>IF($Z1356="C",IF(INDEX(Contracts!$I$2:$I$151,$AB1356)="PREPAID",INDEX(Contracts!$M$2:$M$151,$AB1356)/IF(INDEX(Contracts!$N$2:$N$151,$AB1356)="",12,INDEX(Contracts!$N$2:$N$151,$AB1356)),IF(INDEX(Contracts!$I$2:$I$151,$AB1356)="MONTHLY",INDEX(Contracts!$M$2:$M$151,$AB1356),0))*(1-N(INDEX(Contracts!$O$2:$O$151,$AB1356))),IF($Z1356="A",INDEX(Fixed_Assets!$H$2:$H$201,$AB1356)/INDEX(Fixed_Assets!$J$2:$J$201,$AB1356),IF($Z1356="F",INDEX(Workforce!$F$2:$F$151,MATCH(INDEX(FTE_Allocation!$A$2:$A$201,$AB1356),Workforce!$A$2:$A$151,0))*N(INDEX(FTE_Allocation!$F$2:$H$201,$AB1356,$AC1356)),"")))</f>
        <v/>
      </c>
    </row>
    <row r="1357">
      <c r="A1357" s="7">
        <f>IF($Z1357="","",$AD1357)</f>
        <v/>
      </c>
      <c r="B1357" s="7">
        <f>IF($Z1357="C",INDEX(Contracts!$D$2:$D$151,$AB1357)&amp;"",IF($Z1357="A",INDEX(Fixed_Assets!$C$2:$C$201,$AB1357)&amp;"",IF($Z1357="F",INDEX(Workforce!$B$2:$B$151,MATCH(INDEX(FTE_Allocation!$A$2:$A$201,$AB1357),Workforce!$A$2:$A$151,0))&amp;"","")))</f>
        <v/>
      </c>
      <c r="C1357" s="7">
        <f>IF($Z1357="C",INDEX(Contracts!$E$2:$E$151,$AB1357)&amp;"",IF($Z1357="A",INDEX(Fixed_Assets!$D$2:$D$201,$AB1357)&amp;"",IF($Z1357="F",INDEX(FTE_Allocation!$C$2:$C$201,$AB1357)&amp;"","")))</f>
        <v/>
      </c>
      <c r="D1357" s="7">
        <f>IF($Z1357="C",INDEX(Contracts!$B$2:$B$151,$AB1357)&amp;"",IF($Z1357="A",INDEX(Fixed_Assets!$B$2:$B$201,$AB1357)&amp;"",IF($Z1357="F",INDEX(FTE_Allocation!$B$2:$B$201,$AB1357)&amp;"","")))</f>
        <v/>
      </c>
      <c r="E1357" s="7">
        <f>IF($Z1357="C",INDEX(Contracts!$P$2:$P$151,$AB1357)&amp;"",IF($Z1357="A",INDEX(Fixed_Assets!$K$2:$K$201,$AB1357)&amp;"",IF($Z1357="F",IF(INDEX(FTE_Allocation!$D$2:$D$201,$AB1357)="PROJECT",IFERROR(INDEX(Projects!$D:$D,MATCH(INDEX(FTE_Allocation!$E$2:$E$201,$AB1357),Projects!$A:$A,0))&amp;"","#PROJECT?"),INDEX(FTE_Allocation!$E$2:$E$201,$AB1357)&amp;""),"")))</f>
        <v/>
      </c>
      <c r="F1357" s="7">
        <f>IF($Z1357="C",INDEX(Contracts!$Q$2:$Q$151,$AB1357)&amp;"",IF($Z1357="A",INDEX(Fixed_Assets!$L$2:$L$201,$AB1357)&amp;"",IF($Z1357="F",INDEX(Workforce!$K$2:$K$151,MATCH(INDEX(FTE_Allocation!$A$2:$A$201,$AB1357),Workforce!$A$2:$A$151,0))&amp;"","")))</f>
        <v/>
      </c>
      <c r="G1357" s="7">
        <f>IF($Z1357="C",INDEX(Contracts!$F$2:$F$151,$AB1357)&amp;" / "&amp;INDEX(Contracts!$G$2:$G$151,$AB1357),IF($Z1357="A",INDEX(Fixed_Assets!$E$2:$E$201,$AB1357)&amp;"",IF($Z1357="F","Personnel "&amp;INDEX(FTE_Allocation!$A$2:$A$201,$AB1357)&amp;IF(INDEX(FTE_Allocation!$D$2:$D$201,$AB1357)="PROJECT"," ("&amp;INDEX(FTE_Allocation!$E$2:$E$201,$AB1357)&amp;")",""),"")))</f>
        <v/>
      </c>
      <c r="H1357" s="7">
        <f>IF($Z1357="C","CONTRACT",IF($Z1357="A","ASSET",IF($Z1357="F","WORKFORCE","")))</f>
        <v/>
      </c>
      <c r="I1357" s="7">
        <f>IF($Z1357="C",INDEX(Contracts!$L$2:$L$151,$AB1357)&amp;"",IF($Z1357="A",INDEX(Fixed_Assets!$I$2:$I$201,$AB1357)&amp;"",IF($Z1357="F",INDEX(Workforce!$G$2:$G$151,MATCH(INDEX(FTE_Allocation!$A$2:$A$201,$AB1357),Workforce!$A$2:$A$151,0))&amp;"","")))</f>
        <v/>
      </c>
      <c r="J1357" s="18">
        <f>IF($Z1357="","",IF(AND(DATE($AD1357,1,1)&gt;=$AE1357,DATE($AD1357,1,1)&lt;=$AF1357),ROUND($AG1357,2),0))</f>
        <v/>
      </c>
      <c r="K1357" s="18">
        <f>IF($Z1357="","",IF(AND(DATE($AD1357,2,1)&gt;=$AE1357,DATE($AD1357,2,1)&lt;=$AF1357),ROUND($AG1357,2),0))</f>
        <v/>
      </c>
      <c r="L1357" s="18">
        <f>IF($Z1357="","",IF(AND(DATE($AD1357,3,1)&gt;=$AE1357,DATE($AD1357,3,1)&lt;=$AF1357),ROUND($AG1357,2),0))</f>
        <v/>
      </c>
      <c r="M1357" s="18">
        <f>IF($Z1357="","",IF(AND(DATE($AD1357,4,1)&gt;=$AE1357,DATE($AD1357,4,1)&lt;=$AF1357),ROUND($AG1357,2),0))</f>
        <v/>
      </c>
      <c r="N1357" s="18">
        <f>IF($Z1357="","",IF(AND(DATE($AD1357,5,1)&gt;=$AE1357,DATE($AD1357,5,1)&lt;=$AF1357),ROUND($AG1357,2),0))</f>
        <v/>
      </c>
      <c r="O1357" s="18">
        <f>IF($Z1357="","",IF(AND(DATE($AD1357,6,1)&gt;=$AE1357,DATE($AD1357,6,1)&lt;=$AF1357),ROUND($AG1357,2),0))</f>
        <v/>
      </c>
      <c r="P1357" s="18">
        <f>IF($Z1357="","",IF(AND(DATE($AD1357,7,1)&gt;=$AE1357,DATE($AD1357,7,1)&lt;=$AF1357),ROUND($AG1357,2),0))</f>
        <v/>
      </c>
      <c r="Q1357" s="18">
        <f>IF($Z1357="","",IF(AND(DATE($AD1357,8,1)&gt;=$AE1357,DATE($AD1357,8,1)&lt;=$AF1357),ROUND($AG1357,2),0))</f>
        <v/>
      </c>
      <c r="R1357" s="18">
        <f>IF($Z1357="","",IF(AND(DATE($AD1357,9,1)&gt;=$AE1357,DATE($AD1357,9,1)&lt;=$AF1357),ROUND($AG1357,2),0))</f>
        <v/>
      </c>
      <c r="S1357" s="18">
        <f>IF($Z1357="","",IF(AND(DATE($AD1357,10,1)&gt;=$AE1357,DATE($AD1357,10,1)&lt;=$AF1357),ROUND($AG1357,2),0))</f>
        <v/>
      </c>
      <c r="T1357" s="18">
        <f>IF($Z1357="","",IF(AND(DATE($AD1357,11,1)&gt;=$AE1357,DATE($AD1357,11,1)&lt;=$AF1357),ROUND($AG1357,2),0))</f>
        <v/>
      </c>
      <c r="U1357" s="18">
        <f>IF($Z1357="","",IF(AND(DATE($AD1357,12,1)&gt;=$AE1357,DATE($AD1357,12,1)&lt;=$AF1357),ROUND($AG1357,2),0))</f>
        <v/>
      </c>
      <c r="V1357" s="7">
        <f>IF($Z1357="C","Generated from "&amp;INDEX(Contracts!$A$2:$A$151,$AB1357),IF($Z1357="A","Generated from "&amp;INDEX(Fixed_Assets!$A$2:$A$201,$AB1357),IF($Z1357="F","Generated from "&amp;INDEX(FTE_Allocation!$A$2:$A$201,$AB1357),"")))</f>
        <v/>
      </c>
      <c r="X1357" s="19">
        <f>IF($Z1357="","",SUM(J1357:U1357))</f>
        <v/>
      </c>
      <c r="Y1357" s="20">
        <f>ROW()-1</f>
        <v/>
      </c>
      <c r="Z1357" s="20">
        <f>IF($Y1357&lt;=Settings!$B$4*3,"C",IF($Y1357&lt;=(Settings!$B$4+Settings!$B$5)*3,"A",IF($Y1357&lt;=(Settings!$B$4+Settings!$B$5+Settings!$B$6)*3,"F","")))</f>
        <v/>
      </c>
      <c r="AA1357" s="20">
        <f>IF($Z1357="C",$Y1357,IF($Z1357="A",$Y1357-Settings!$B$4*3,IF($Z1357="F",$Y1357-(Settings!$B$4+Settings!$B$5)*3,"")))</f>
        <v/>
      </c>
      <c r="AB1357" s="20">
        <f>IF($Z1357="","",INT(($AA1357-1)/3)+1)</f>
        <v/>
      </c>
      <c r="AC1357" s="20">
        <f>IF($Z1357="","",MOD($AA1357-1,3)+1)</f>
        <v/>
      </c>
      <c r="AD1357" s="20">
        <f>IF($Z1357="","",Settings!$B$2+$AC1357-1)</f>
        <v/>
      </c>
      <c r="AE1357" s="21">
        <f>IF($Z1357="C",DATE(YEAR(INDEX(Contracts!$J$2:$J$151,$AB1357)),MONTH(INDEX(Contracts!$J$2:$J$151,$AB1357)),1),IF($Z1357="A",DATE(YEAR(INDEX(Fixed_Assets!$G$2:$G$201,$AB1357)),MONTH(INDEX(Fixed_Assets!$G$2:$G$201,$AB1357)),1),IF($Z1357="F",DATE(YEAR(MAX(N(INDEX(Workforce!$I$2:$I$151,MATCH(INDEX(FTE_Allocation!$A$2:$A$201,$AB1357),Workforce!$A$2:$A$151,0))),N(INDEX(FTE_Allocation!$I$2:$I$201,$AB1357)))),MONTH(MAX(N(INDEX(Workforce!$I$2:$I$151,MATCH(INDEX(FTE_Allocation!$A$2:$A$201,$AB1357),Workforce!$A$2:$A$151,0))),N(INDEX(FTE_Allocation!$I$2:$I$201,$AB1357)))),1),"")))</f>
        <v/>
      </c>
      <c r="AF1357" s="21">
        <f>IF($Z1357="C",IF(INDEX(Contracts!$I$2:$I$151,$AB1357)="PREPAID",EDATE(DATE(YEAR(INDEX(Contracts!$J$2:$J$151,$AB1357)),MONTH(INDEX(Contracts!$J$2:$J$151,$AB1357)),1),IF(INDEX(Contracts!$N$2:$N$151,$AB1357)="",12,INDEX(Contracts!$N$2:$N$151,$AB1357))-1),IF(INDEX(Contracts!$I$2:$I$151,$AB1357)="MONTHLY",IF(INDEX(Contracts!$K$2:$K$151,$AB1357)="",2958101,INDEX(Contracts!$K$2:$K$151,$AB1357)),0)),IF($Z1357="A",EDATE(DATE(YEAR(INDEX(Fixed_Assets!$G$2:$G$201,$AB1357)),MONTH(INDEX(Fixed_Assets!$G$2:$G$201,$AB1357)),1),INDEX(Fixed_Assets!$J$2:$J$201,$AB1357)-1),IF($Z1357="F",MIN(IF(INDEX(Workforce!$J$2:$J$151,MATCH(INDEX(FTE_Allocation!$A$2:$A$201,$AB1357),Workforce!$A$2:$A$151,0))="",2958101,INDEX(Workforce!$J$2:$J$151,MATCH(INDEX(FTE_Allocation!$A$2:$A$201,$AB1357),Workforce!$A$2:$A$151,0))),IF(INDEX(FTE_Allocation!$J$2:$J$201,$AB1357)="",2958101,INDEX(FTE_Allocation!$J$2:$J$201,$AB1357))),"")))</f>
        <v/>
      </c>
      <c r="AG1357" s="19">
        <f>IF($Z1357="C",IF(INDEX(Contracts!$I$2:$I$151,$AB1357)="PREPAID",INDEX(Contracts!$M$2:$M$151,$AB1357)/IF(INDEX(Contracts!$N$2:$N$151,$AB1357)="",12,INDEX(Contracts!$N$2:$N$151,$AB1357)),IF(INDEX(Contracts!$I$2:$I$151,$AB1357)="MONTHLY",INDEX(Contracts!$M$2:$M$151,$AB1357),0))*(1-N(INDEX(Contracts!$O$2:$O$151,$AB1357))),IF($Z1357="A",INDEX(Fixed_Assets!$H$2:$H$201,$AB1357)/INDEX(Fixed_Assets!$J$2:$J$201,$AB1357),IF($Z1357="F",INDEX(Workforce!$F$2:$F$151,MATCH(INDEX(FTE_Allocation!$A$2:$A$201,$AB1357),Workforce!$A$2:$A$151,0))*N(INDEX(FTE_Allocation!$F$2:$H$201,$AB1357,$AC1357)),"")))</f>
        <v/>
      </c>
    </row>
    <row r="1358">
      <c r="A1358" s="7">
        <f>IF($Z1358="","",$AD1358)</f>
        <v/>
      </c>
      <c r="B1358" s="7">
        <f>IF($Z1358="C",INDEX(Contracts!$D$2:$D$151,$AB1358)&amp;"",IF($Z1358="A",INDEX(Fixed_Assets!$C$2:$C$201,$AB1358)&amp;"",IF($Z1358="F",INDEX(Workforce!$B$2:$B$151,MATCH(INDEX(FTE_Allocation!$A$2:$A$201,$AB1358),Workforce!$A$2:$A$151,0))&amp;"","")))</f>
        <v/>
      </c>
      <c r="C1358" s="7">
        <f>IF($Z1358="C",INDEX(Contracts!$E$2:$E$151,$AB1358)&amp;"",IF($Z1358="A",INDEX(Fixed_Assets!$D$2:$D$201,$AB1358)&amp;"",IF($Z1358="F",INDEX(FTE_Allocation!$C$2:$C$201,$AB1358)&amp;"","")))</f>
        <v/>
      </c>
      <c r="D1358" s="7">
        <f>IF($Z1358="C",INDEX(Contracts!$B$2:$B$151,$AB1358)&amp;"",IF($Z1358="A",INDEX(Fixed_Assets!$B$2:$B$201,$AB1358)&amp;"",IF($Z1358="F",INDEX(FTE_Allocation!$B$2:$B$201,$AB1358)&amp;"","")))</f>
        <v/>
      </c>
      <c r="E1358" s="7">
        <f>IF($Z1358="C",INDEX(Contracts!$P$2:$P$151,$AB1358)&amp;"",IF($Z1358="A",INDEX(Fixed_Assets!$K$2:$K$201,$AB1358)&amp;"",IF($Z1358="F",IF(INDEX(FTE_Allocation!$D$2:$D$201,$AB1358)="PROJECT",IFERROR(INDEX(Projects!$D:$D,MATCH(INDEX(FTE_Allocation!$E$2:$E$201,$AB1358),Projects!$A:$A,0))&amp;"","#PROJECT?"),INDEX(FTE_Allocation!$E$2:$E$201,$AB1358)&amp;""),"")))</f>
        <v/>
      </c>
      <c r="F1358" s="7">
        <f>IF($Z1358="C",INDEX(Contracts!$Q$2:$Q$151,$AB1358)&amp;"",IF($Z1358="A",INDEX(Fixed_Assets!$L$2:$L$201,$AB1358)&amp;"",IF($Z1358="F",INDEX(Workforce!$K$2:$K$151,MATCH(INDEX(FTE_Allocation!$A$2:$A$201,$AB1358),Workforce!$A$2:$A$151,0))&amp;"","")))</f>
        <v/>
      </c>
      <c r="G1358" s="7">
        <f>IF($Z1358="C",INDEX(Contracts!$F$2:$F$151,$AB1358)&amp;" / "&amp;INDEX(Contracts!$G$2:$G$151,$AB1358),IF($Z1358="A",INDEX(Fixed_Assets!$E$2:$E$201,$AB1358)&amp;"",IF($Z1358="F","Personnel "&amp;INDEX(FTE_Allocation!$A$2:$A$201,$AB1358)&amp;IF(INDEX(FTE_Allocation!$D$2:$D$201,$AB1358)="PROJECT"," ("&amp;INDEX(FTE_Allocation!$E$2:$E$201,$AB1358)&amp;")",""),"")))</f>
        <v/>
      </c>
      <c r="H1358" s="7">
        <f>IF($Z1358="C","CONTRACT",IF($Z1358="A","ASSET",IF($Z1358="F","WORKFORCE","")))</f>
        <v/>
      </c>
      <c r="I1358" s="7">
        <f>IF($Z1358="C",INDEX(Contracts!$L$2:$L$151,$AB1358)&amp;"",IF($Z1358="A",INDEX(Fixed_Assets!$I$2:$I$201,$AB1358)&amp;"",IF($Z1358="F",INDEX(Workforce!$G$2:$G$151,MATCH(INDEX(FTE_Allocation!$A$2:$A$201,$AB1358),Workforce!$A$2:$A$151,0))&amp;"","")))</f>
        <v/>
      </c>
      <c r="J1358" s="18">
        <f>IF($Z1358="","",IF(AND(DATE($AD1358,1,1)&gt;=$AE1358,DATE($AD1358,1,1)&lt;=$AF1358),ROUND($AG1358,2),0))</f>
        <v/>
      </c>
      <c r="K1358" s="18">
        <f>IF($Z1358="","",IF(AND(DATE($AD1358,2,1)&gt;=$AE1358,DATE($AD1358,2,1)&lt;=$AF1358),ROUND($AG1358,2),0))</f>
        <v/>
      </c>
      <c r="L1358" s="18">
        <f>IF($Z1358="","",IF(AND(DATE($AD1358,3,1)&gt;=$AE1358,DATE($AD1358,3,1)&lt;=$AF1358),ROUND($AG1358,2),0))</f>
        <v/>
      </c>
      <c r="M1358" s="18">
        <f>IF($Z1358="","",IF(AND(DATE($AD1358,4,1)&gt;=$AE1358,DATE($AD1358,4,1)&lt;=$AF1358),ROUND($AG1358,2),0))</f>
        <v/>
      </c>
      <c r="N1358" s="18">
        <f>IF($Z1358="","",IF(AND(DATE($AD1358,5,1)&gt;=$AE1358,DATE($AD1358,5,1)&lt;=$AF1358),ROUND($AG1358,2),0))</f>
        <v/>
      </c>
      <c r="O1358" s="18">
        <f>IF($Z1358="","",IF(AND(DATE($AD1358,6,1)&gt;=$AE1358,DATE($AD1358,6,1)&lt;=$AF1358),ROUND($AG1358,2),0))</f>
        <v/>
      </c>
      <c r="P1358" s="18">
        <f>IF($Z1358="","",IF(AND(DATE($AD1358,7,1)&gt;=$AE1358,DATE($AD1358,7,1)&lt;=$AF1358),ROUND($AG1358,2),0))</f>
        <v/>
      </c>
      <c r="Q1358" s="18">
        <f>IF($Z1358="","",IF(AND(DATE($AD1358,8,1)&gt;=$AE1358,DATE($AD1358,8,1)&lt;=$AF1358),ROUND($AG1358,2),0))</f>
        <v/>
      </c>
      <c r="R1358" s="18">
        <f>IF($Z1358="","",IF(AND(DATE($AD1358,9,1)&gt;=$AE1358,DATE($AD1358,9,1)&lt;=$AF1358),ROUND($AG1358,2),0))</f>
        <v/>
      </c>
      <c r="S1358" s="18">
        <f>IF($Z1358="","",IF(AND(DATE($AD1358,10,1)&gt;=$AE1358,DATE($AD1358,10,1)&lt;=$AF1358),ROUND($AG1358,2),0))</f>
        <v/>
      </c>
      <c r="T1358" s="18">
        <f>IF($Z1358="","",IF(AND(DATE($AD1358,11,1)&gt;=$AE1358,DATE($AD1358,11,1)&lt;=$AF1358),ROUND($AG1358,2),0))</f>
        <v/>
      </c>
      <c r="U1358" s="18">
        <f>IF($Z1358="","",IF(AND(DATE($AD1358,12,1)&gt;=$AE1358,DATE($AD1358,12,1)&lt;=$AF1358),ROUND($AG1358,2),0))</f>
        <v/>
      </c>
      <c r="V1358" s="7">
        <f>IF($Z1358="C","Generated from "&amp;INDEX(Contracts!$A$2:$A$151,$AB1358),IF($Z1358="A","Generated from "&amp;INDEX(Fixed_Assets!$A$2:$A$201,$AB1358),IF($Z1358="F","Generated from "&amp;INDEX(FTE_Allocation!$A$2:$A$201,$AB1358),"")))</f>
        <v/>
      </c>
      <c r="X1358" s="19">
        <f>IF($Z1358="","",SUM(J1358:U1358))</f>
        <v/>
      </c>
      <c r="Y1358" s="20">
        <f>ROW()-1</f>
        <v/>
      </c>
      <c r="Z1358" s="20">
        <f>IF($Y1358&lt;=Settings!$B$4*3,"C",IF($Y1358&lt;=(Settings!$B$4+Settings!$B$5)*3,"A",IF($Y1358&lt;=(Settings!$B$4+Settings!$B$5+Settings!$B$6)*3,"F","")))</f>
        <v/>
      </c>
      <c r="AA1358" s="20">
        <f>IF($Z1358="C",$Y1358,IF($Z1358="A",$Y1358-Settings!$B$4*3,IF($Z1358="F",$Y1358-(Settings!$B$4+Settings!$B$5)*3,"")))</f>
        <v/>
      </c>
      <c r="AB1358" s="20">
        <f>IF($Z1358="","",INT(($AA1358-1)/3)+1)</f>
        <v/>
      </c>
      <c r="AC1358" s="20">
        <f>IF($Z1358="","",MOD($AA1358-1,3)+1)</f>
        <v/>
      </c>
      <c r="AD1358" s="20">
        <f>IF($Z1358="","",Settings!$B$2+$AC1358-1)</f>
        <v/>
      </c>
      <c r="AE1358" s="21">
        <f>IF($Z1358="C",DATE(YEAR(INDEX(Contracts!$J$2:$J$151,$AB1358)),MONTH(INDEX(Contracts!$J$2:$J$151,$AB1358)),1),IF($Z1358="A",DATE(YEAR(INDEX(Fixed_Assets!$G$2:$G$201,$AB1358)),MONTH(INDEX(Fixed_Assets!$G$2:$G$201,$AB1358)),1),IF($Z1358="F",DATE(YEAR(MAX(N(INDEX(Workforce!$I$2:$I$151,MATCH(INDEX(FTE_Allocation!$A$2:$A$201,$AB1358),Workforce!$A$2:$A$151,0))),N(INDEX(FTE_Allocation!$I$2:$I$201,$AB1358)))),MONTH(MAX(N(INDEX(Workforce!$I$2:$I$151,MATCH(INDEX(FTE_Allocation!$A$2:$A$201,$AB1358),Workforce!$A$2:$A$151,0))),N(INDEX(FTE_Allocation!$I$2:$I$201,$AB1358)))),1),"")))</f>
        <v/>
      </c>
      <c r="AF1358" s="21">
        <f>IF($Z1358="C",IF(INDEX(Contracts!$I$2:$I$151,$AB1358)="PREPAID",EDATE(DATE(YEAR(INDEX(Contracts!$J$2:$J$151,$AB1358)),MONTH(INDEX(Contracts!$J$2:$J$151,$AB1358)),1),IF(INDEX(Contracts!$N$2:$N$151,$AB1358)="",12,INDEX(Contracts!$N$2:$N$151,$AB1358))-1),IF(INDEX(Contracts!$I$2:$I$151,$AB1358)="MONTHLY",IF(INDEX(Contracts!$K$2:$K$151,$AB1358)="",2958101,INDEX(Contracts!$K$2:$K$151,$AB1358)),0)),IF($Z1358="A",EDATE(DATE(YEAR(INDEX(Fixed_Assets!$G$2:$G$201,$AB1358)),MONTH(INDEX(Fixed_Assets!$G$2:$G$201,$AB1358)),1),INDEX(Fixed_Assets!$J$2:$J$201,$AB1358)-1),IF($Z1358="F",MIN(IF(INDEX(Workforce!$J$2:$J$151,MATCH(INDEX(FTE_Allocation!$A$2:$A$201,$AB1358),Workforce!$A$2:$A$151,0))="",2958101,INDEX(Workforce!$J$2:$J$151,MATCH(INDEX(FTE_Allocation!$A$2:$A$201,$AB1358),Workforce!$A$2:$A$151,0))),IF(INDEX(FTE_Allocation!$J$2:$J$201,$AB1358)="",2958101,INDEX(FTE_Allocation!$J$2:$J$201,$AB1358))),"")))</f>
        <v/>
      </c>
      <c r="AG1358" s="19">
        <f>IF($Z1358="C",IF(INDEX(Contracts!$I$2:$I$151,$AB1358)="PREPAID",INDEX(Contracts!$M$2:$M$151,$AB1358)/IF(INDEX(Contracts!$N$2:$N$151,$AB1358)="",12,INDEX(Contracts!$N$2:$N$151,$AB1358)),IF(INDEX(Contracts!$I$2:$I$151,$AB1358)="MONTHLY",INDEX(Contracts!$M$2:$M$151,$AB1358),0))*(1-N(INDEX(Contracts!$O$2:$O$151,$AB1358))),IF($Z1358="A",INDEX(Fixed_Assets!$H$2:$H$201,$AB1358)/INDEX(Fixed_Assets!$J$2:$J$201,$AB1358),IF($Z1358="F",INDEX(Workforce!$F$2:$F$151,MATCH(INDEX(FTE_Allocation!$A$2:$A$201,$AB1358),Workforce!$A$2:$A$151,0))*N(INDEX(FTE_Allocation!$F$2:$H$201,$AB1358,$AC1358)),"")))</f>
        <v/>
      </c>
    </row>
    <row r="1359">
      <c r="A1359" s="7">
        <f>IF($Z1359="","",$AD1359)</f>
        <v/>
      </c>
      <c r="B1359" s="7">
        <f>IF($Z1359="C",INDEX(Contracts!$D$2:$D$151,$AB1359)&amp;"",IF($Z1359="A",INDEX(Fixed_Assets!$C$2:$C$201,$AB1359)&amp;"",IF($Z1359="F",INDEX(Workforce!$B$2:$B$151,MATCH(INDEX(FTE_Allocation!$A$2:$A$201,$AB1359),Workforce!$A$2:$A$151,0))&amp;"","")))</f>
        <v/>
      </c>
      <c r="C1359" s="7">
        <f>IF($Z1359="C",INDEX(Contracts!$E$2:$E$151,$AB1359)&amp;"",IF($Z1359="A",INDEX(Fixed_Assets!$D$2:$D$201,$AB1359)&amp;"",IF($Z1359="F",INDEX(FTE_Allocation!$C$2:$C$201,$AB1359)&amp;"","")))</f>
        <v/>
      </c>
      <c r="D1359" s="7">
        <f>IF($Z1359="C",INDEX(Contracts!$B$2:$B$151,$AB1359)&amp;"",IF($Z1359="A",INDEX(Fixed_Assets!$B$2:$B$201,$AB1359)&amp;"",IF($Z1359="F",INDEX(FTE_Allocation!$B$2:$B$201,$AB1359)&amp;"","")))</f>
        <v/>
      </c>
      <c r="E1359" s="7">
        <f>IF($Z1359="C",INDEX(Contracts!$P$2:$P$151,$AB1359)&amp;"",IF($Z1359="A",INDEX(Fixed_Assets!$K$2:$K$201,$AB1359)&amp;"",IF($Z1359="F",IF(INDEX(FTE_Allocation!$D$2:$D$201,$AB1359)="PROJECT",IFERROR(INDEX(Projects!$D:$D,MATCH(INDEX(FTE_Allocation!$E$2:$E$201,$AB1359),Projects!$A:$A,0))&amp;"","#PROJECT?"),INDEX(FTE_Allocation!$E$2:$E$201,$AB1359)&amp;""),"")))</f>
        <v/>
      </c>
      <c r="F1359" s="7">
        <f>IF($Z1359="C",INDEX(Contracts!$Q$2:$Q$151,$AB1359)&amp;"",IF($Z1359="A",INDEX(Fixed_Assets!$L$2:$L$201,$AB1359)&amp;"",IF($Z1359="F",INDEX(Workforce!$K$2:$K$151,MATCH(INDEX(FTE_Allocation!$A$2:$A$201,$AB1359),Workforce!$A$2:$A$151,0))&amp;"","")))</f>
        <v/>
      </c>
      <c r="G1359" s="7">
        <f>IF($Z1359="C",INDEX(Contracts!$F$2:$F$151,$AB1359)&amp;" / "&amp;INDEX(Contracts!$G$2:$G$151,$AB1359),IF($Z1359="A",INDEX(Fixed_Assets!$E$2:$E$201,$AB1359)&amp;"",IF($Z1359="F","Personnel "&amp;INDEX(FTE_Allocation!$A$2:$A$201,$AB1359)&amp;IF(INDEX(FTE_Allocation!$D$2:$D$201,$AB1359)="PROJECT"," ("&amp;INDEX(FTE_Allocation!$E$2:$E$201,$AB1359)&amp;")",""),"")))</f>
        <v/>
      </c>
      <c r="H1359" s="7">
        <f>IF($Z1359="C","CONTRACT",IF($Z1359="A","ASSET",IF($Z1359="F","WORKFORCE","")))</f>
        <v/>
      </c>
      <c r="I1359" s="7">
        <f>IF($Z1359="C",INDEX(Contracts!$L$2:$L$151,$AB1359)&amp;"",IF($Z1359="A",INDEX(Fixed_Assets!$I$2:$I$201,$AB1359)&amp;"",IF($Z1359="F",INDEX(Workforce!$G$2:$G$151,MATCH(INDEX(FTE_Allocation!$A$2:$A$201,$AB1359),Workforce!$A$2:$A$151,0))&amp;"","")))</f>
        <v/>
      </c>
      <c r="J1359" s="18">
        <f>IF($Z1359="","",IF(AND(DATE($AD1359,1,1)&gt;=$AE1359,DATE($AD1359,1,1)&lt;=$AF1359),ROUND($AG1359,2),0))</f>
        <v/>
      </c>
      <c r="K1359" s="18">
        <f>IF($Z1359="","",IF(AND(DATE($AD1359,2,1)&gt;=$AE1359,DATE($AD1359,2,1)&lt;=$AF1359),ROUND($AG1359,2),0))</f>
        <v/>
      </c>
      <c r="L1359" s="18">
        <f>IF($Z1359="","",IF(AND(DATE($AD1359,3,1)&gt;=$AE1359,DATE($AD1359,3,1)&lt;=$AF1359),ROUND($AG1359,2),0))</f>
        <v/>
      </c>
      <c r="M1359" s="18">
        <f>IF($Z1359="","",IF(AND(DATE($AD1359,4,1)&gt;=$AE1359,DATE($AD1359,4,1)&lt;=$AF1359),ROUND($AG1359,2),0))</f>
        <v/>
      </c>
      <c r="N1359" s="18">
        <f>IF($Z1359="","",IF(AND(DATE($AD1359,5,1)&gt;=$AE1359,DATE($AD1359,5,1)&lt;=$AF1359),ROUND($AG1359,2),0))</f>
        <v/>
      </c>
      <c r="O1359" s="18">
        <f>IF($Z1359="","",IF(AND(DATE($AD1359,6,1)&gt;=$AE1359,DATE($AD1359,6,1)&lt;=$AF1359),ROUND($AG1359,2),0))</f>
        <v/>
      </c>
      <c r="P1359" s="18">
        <f>IF($Z1359="","",IF(AND(DATE($AD1359,7,1)&gt;=$AE1359,DATE($AD1359,7,1)&lt;=$AF1359),ROUND($AG1359,2),0))</f>
        <v/>
      </c>
      <c r="Q1359" s="18">
        <f>IF($Z1359="","",IF(AND(DATE($AD1359,8,1)&gt;=$AE1359,DATE($AD1359,8,1)&lt;=$AF1359),ROUND($AG1359,2),0))</f>
        <v/>
      </c>
      <c r="R1359" s="18">
        <f>IF($Z1359="","",IF(AND(DATE($AD1359,9,1)&gt;=$AE1359,DATE($AD1359,9,1)&lt;=$AF1359),ROUND($AG1359,2),0))</f>
        <v/>
      </c>
      <c r="S1359" s="18">
        <f>IF($Z1359="","",IF(AND(DATE($AD1359,10,1)&gt;=$AE1359,DATE($AD1359,10,1)&lt;=$AF1359),ROUND($AG1359,2),0))</f>
        <v/>
      </c>
      <c r="T1359" s="18">
        <f>IF($Z1359="","",IF(AND(DATE($AD1359,11,1)&gt;=$AE1359,DATE($AD1359,11,1)&lt;=$AF1359),ROUND($AG1359,2),0))</f>
        <v/>
      </c>
      <c r="U1359" s="18">
        <f>IF($Z1359="","",IF(AND(DATE($AD1359,12,1)&gt;=$AE1359,DATE($AD1359,12,1)&lt;=$AF1359),ROUND($AG1359,2),0))</f>
        <v/>
      </c>
      <c r="V1359" s="7">
        <f>IF($Z1359="C","Generated from "&amp;INDEX(Contracts!$A$2:$A$151,$AB1359),IF($Z1359="A","Generated from "&amp;INDEX(Fixed_Assets!$A$2:$A$201,$AB1359),IF($Z1359="F","Generated from "&amp;INDEX(FTE_Allocation!$A$2:$A$201,$AB1359),"")))</f>
        <v/>
      </c>
      <c r="X1359" s="19">
        <f>IF($Z1359="","",SUM(J1359:U1359))</f>
        <v/>
      </c>
      <c r="Y1359" s="20">
        <f>ROW()-1</f>
        <v/>
      </c>
      <c r="Z1359" s="20">
        <f>IF($Y1359&lt;=Settings!$B$4*3,"C",IF($Y1359&lt;=(Settings!$B$4+Settings!$B$5)*3,"A",IF($Y1359&lt;=(Settings!$B$4+Settings!$B$5+Settings!$B$6)*3,"F","")))</f>
        <v/>
      </c>
      <c r="AA1359" s="20">
        <f>IF($Z1359="C",$Y1359,IF($Z1359="A",$Y1359-Settings!$B$4*3,IF($Z1359="F",$Y1359-(Settings!$B$4+Settings!$B$5)*3,"")))</f>
        <v/>
      </c>
      <c r="AB1359" s="20">
        <f>IF($Z1359="","",INT(($AA1359-1)/3)+1)</f>
        <v/>
      </c>
      <c r="AC1359" s="20">
        <f>IF($Z1359="","",MOD($AA1359-1,3)+1)</f>
        <v/>
      </c>
      <c r="AD1359" s="20">
        <f>IF($Z1359="","",Settings!$B$2+$AC1359-1)</f>
        <v/>
      </c>
      <c r="AE1359" s="21">
        <f>IF($Z1359="C",DATE(YEAR(INDEX(Contracts!$J$2:$J$151,$AB1359)),MONTH(INDEX(Contracts!$J$2:$J$151,$AB1359)),1),IF($Z1359="A",DATE(YEAR(INDEX(Fixed_Assets!$G$2:$G$201,$AB1359)),MONTH(INDEX(Fixed_Assets!$G$2:$G$201,$AB1359)),1),IF($Z1359="F",DATE(YEAR(MAX(N(INDEX(Workforce!$I$2:$I$151,MATCH(INDEX(FTE_Allocation!$A$2:$A$201,$AB1359),Workforce!$A$2:$A$151,0))),N(INDEX(FTE_Allocation!$I$2:$I$201,$AB1359)))),MONTH(MAX(N(INDEX(Workforce!$I$2:$I$151,MATCH(INDEX(FTE_Allocation!$A$2:$A$201,$AB1359),Workforce!$A$2:$A$151,0))),N(INDEX(FTE_Allocation!$I$2:$I$201,$AB1359)))),1),"")))</f>
        <v/>
      </c>
      <c r="AF1359" s="21">
        <f>IF($Z1359="C",IF(INDEX(Contracts!$I$2:$I$151,$AB1359)="PREPAID",EDATE(DATE(YEAR(INDEX(Contracts!$J$2:$J$151,$AB1359)),MONTH(INDEX(Contracts!$J$2:$J$151,$AB1359)),1),IF(INDEX(Contracts!$N$2:$N$151,$AB1359)="",12,INDEX(Contracts!$N$2:$N$151,$AB1359))-1),IF(INDEX(Contracts!$I$2:$I$151,$AB1359)="MONTHLY",IF(INDEX(Contracts!$K$2:$K$151,$AB1359)="",2958101,INDEX(Contracts!$K$2:$K$151,$AB1359)),0)),IF($Z1359="A",EDATE(DATE(YEAR(INDEX(Fixed_Assets!$G$2:$G$201,$AB1359)),MONTH(INDEX(Fixed_Assets!$G$2:$G$201,$AB1359)),1),INDEX(Fixed_Assets!$J$2:$J$201,$AB1359)-1),IF($Z1359="F",MIN(IF(INDEX(Workforce!$J$2:$J$151,MATCH(INDEX(FTE_Allocation!$A$2:$A$201,$AB1359),Workforce!$A$2:$A$151,0))="",2958101,INDEX(Workforce!$J$2:$J$151,MATCH(INDEX(FTE_Allocation!$A$2:$A$201,$AB1359),Workforce!$A$2:$A$151,0))),IF(INDEX(FTE_Allocation!$J$2:$J$201,$AB1359)="",2958101,INDEX(FTE_Allocation!$J$2:$J$201,$AB1359))),"")))</f>
        <v/>
      </c>
      <c r="AG1359" s="19">
        <f>IF($Z1359="C",IF(INDEX(Contracts!$I$2:$I$151,$AB1359)="PREPAID",INDEX(Contracts!$M$2:$M$151,$AB1359)/IF(INDEX(Contracts!$N$2:$N$151,$AB1359)="",12,INDEX(Contracts!$N$2:$N$151,$AB1359)),IF(INDEX(Contracts!$I$2:$I$151,$AB1359)="MONTHLY",INDEX(Contracts!$M$2:$M$151,$AB1359),0))*(1-N(INDEX(Contracts!$O$2:$O$151,$AB1359))),IF($Z1359="A",INDEX(Fixed_Assets!$H$2:$H$201,$AB1359)/INDEX(Fixed_Assets!$J$2:$J$201,$AB1359),IF($Z1359="F",INDEX(Workforce!$F$2:$F$151,MATCH(INDEX(FTE_Allocation!$A$2:$A$201,$AB1359),Workforce!$A$2:$A$151,0))*N(INDEX(FTE_Allocation!$F$2:$H$201,$AB1359,$AC1359)),"")))</f>
        <v/>
      </c>
    </row>
    <row r="1360">
      <c r="A1360" s="7">
        <f>IF($Z1360="","",$AD1360)</f>
        <v/>
      </c>
      <c r="B1360" s="7">
        <f>IF($Z1360="C",INDEX(Contracts!$D$2:$D$151,$AB1360)&amp;"",IF($Z1360="A",INDEX(Fixed_Assets!$C$2:$C$201,$AB1360)&amp;"",IF($Z1360="F",INDEX(Workforce!$B$2:$B$151,MATCH(INDEX(FTE_Allocation!$A$2:$A$201,$AB1360),Workforce!$A$2:$A$151,0))&amp;"","")))</f>
        <v/>
      </c>
      <c r="C1360" s="7">
        <f>IF($Z1360="C",INDEX(Contracts!$E$2:$E$151,$AB1360)&amp;"",IF($Z1360="A",INDEX(Fixed_Assets!$D$2:$D$201,$AB1360)&amp;"",IF($Z1360="F",INDEX(FTE_Allocation!$C$2:$C$201,$AB1360)&amp;"","")))</f>
        <v/>
      </c>
      <c r="D1360" s="7">
        <f>IF($Z1360="C",INDEX(Contracts!$B$2:$B$151,$AB1360)&amp;"",IF($Z1360="A",INDEX(Fixed_Assets!$B$2:$B$201,$AB1360)&amp;"",IF($Z1360="F",INDEX(FTE_Allocation!$B$2:$B$201,$AB1360)&amp;"","")))</f>
        <v/>
      </c>
      <c r="E1360" s="7">
        <f>IF($Z1360="C",INDEX(Contracts!$P$2:$P$151,$AB1360)&amp;"",IF($Z1360="A",INDEX(Fixed_Assets!$K$2:$K$201,$AB1360)&amp;"",IF($Z1360="F",IF(INDEX(FTE_Allocation!$D$2:$D$201,$AB1360)="PROJECT",IFERROR(INDEX(Projects!$D:$D,MATCH(INDEX(FTE_Allocation!$E$2:$E$201,$AB1360),Projects!$A:$A,0))&amp;"","#PROJECT?"),INDEX(FTE_Allocation!$E$2:$E$201,$AB1360)&amp;""),"")))</f>
        <v/>
      </c>
      <c r="F1360" s="7">
        <f>IF($Z1360="C",INDEX(Contracts!$Q$2:$Q$151,$AB1360)&amp;"",IF($Z1360="A",INDEX(Fixed_Assets!$L$2:$L$201,$AB1360)&amp;"",IF($Z1360="F",INDEX(Workforce!$K$2:$K$151,MATCH(INDEX(FTE_Allocation!$A$2:$A$201,$AB1360),Workforce!$A$2:$A$151,0))&amp;"","")))</f>
        <v/>
      </c>
      <c r="G1360" s="7">
        <f>IF($Z1360="C",INDEX(Contracts!$F$2:$F$151,$AB1360)&amp;" / "&amp;INDEX(Contracts!$G$2:$G$151,$AB1360),IF($Z1360="A",INDEX(Fixed_Assets!$E$2:$E$201,$AB1360)&amp;"",IF($Z1360="F","Personnel "&amp;INDEX(FTE_Allocation!$A$2:$A$201,$AB1360)&amp;IF(INDEX(FTE_Allocation!$D$2:$D$201,$AB1360)="PROJECT"," ("&amp;INDEX(FTE_Allocation!$E$2:$E$201,$AB1360)&amp;")",""),"")))</f>
        <v/>
      </c>
      <c r="H1360" s="7">
        <f>IF($Z1360="C","CONTRACT",IF($Z1360="A","ASSET",IF($Z1360="F","WORKFORCE","")))</f>
        <v/>
      </c>
      <c r="I1360" s="7">
        <f>IF($Z1360="C",INDEX(Contracts!$L$2:$L$151,$AB1360)&amp;"",IF($Z1360="A",INDEX(Fixed_Assets!$I$2:$I$201,$AB1360)&amp;"",IF($Z1360="F",INDEX(Workforce!$G$2:$G$151,MATCH(INDEX(FTE_Allocation!$A$2:$A$201,$AB1360),Workforce!$A$2:$A$151,0))&amp;"","")))</f>
        <v/>
      </c>
      <c r="J1360" s="18">
        <f>IF($Z1360="","",IF(AND(DATE($AD1360,1,1)&gt;=$AE1360,DATE($AD1360,1,1)&lt;=$AF1360),ROUND($AG1360,2),0))</f>
        <v/>
      </c>
      <c r="K1360" s="18">
        <f>IF($Z1360="","",IF(AND(DATE($AD1360,2,1)&gt;=$AE1360,DATE($AD1360,2,1)&lt;=$AF1360),ROUND($AG1360,2),0))</f>
        <v/>
      </c>
      <c r="L1360" s="18">
        <f>IF($Z1360="","",IF(AND(DATE($AD1360,3,1)&gt;=$AE1360,DATE($AD1360,3,1)&lt;=$AF1360),ROUND($AG1360,2),0))</f>
        <v/>
      </c>
      <c r="M1360" s="18">
        <f>IF($Z1360="","",IF(AND(DATE($AD1360,4,1)&gt;=$AE1360,DATE($AD1360,4,1)&lt;=$AF1360),ROUND($AG1360,2),0))</f>
        <v/>
      </c>
      <c r="N1360" s="18">
        <f>IF($Z1360="","",IF(AND(DATE($AD1360,5,1)&gt;=$AE1360,DATE($AD1360,5,1)&lt;=$AF1360),ROUND($AG1360,2),0))</f>
        <v/>
      </c>
      <c r="O1360" s="18">
        <f>IF($Z1360="","",IF(AND(DATE($AD1360,6,1)&gt;=$AE1360,DATE($AD1360,6,1)&lt;=$AF1360),ROUND($AG1360,2),0))</f>
        <v/>
      </c>
      <c r="P1360" s="18">
        <f>IF($Z1360="","",IF(AND(DATE($AD1360,7,1)&gt;=$AE1360,DATE($AD1360,7,1)&lt;=$AF1360),ROUND($AG1360,2),0))</f>
        <v/>
      </c>
      <c r="Q1360" s="18">
        <f>IF($Z1360="","",IF(AND(DATE($AD1360,8,1)&gt;=$AE1360,DATE($AD1360,8,1)&lt;=$AF1360),ROUND($AG1360,2),0))</f>
        <v/>
      </c>
      <c r="R1360" s="18">
        <f>IF($Z1360="","",IF(AND(DATE($AD1360,9,1)&gt;=$AE1360,DATE($AD1360,9,1)&lt;=$AF1360),ROUND($AG1360,2),0))</f>
        <v/>
      </c>
      <c r="S1360" s="18">
        <f>IF($Z1360="","",IF(AND(DATE($AD1360,10,1)&gt;=$AE1360,DATE($AD1360,10,1)&lt;=$AF1360),ROUND($AG1360,2),0))</f>
        <v/>
      </c>
      <c r="T1360" s="18">
        <f>IF($Z1360="","",IF(AND(DATE($AD1360,11,1)&gt;=$AE1360,DATE($AD1360,11,1)&lt;=$AF1360),ROUND($AG1360,2),0))</f>
        <v/>
      </c>
      <c r="U1360" s="18">
        <f>IF($Z1360="","",IF(AND(DATE($AD1360,12,1)&gt;=$AE1360,DATE($AD1360,12,1)&lt;=$AF1360),ROUND($AG1360,2),0))</f>
        <v/>
      </c>
      <c r="V1360" s="7">
        <f>IF($Z1360="C","Generated from "&amp;INDEX(Contracts!$A$2:$A$151,$AB1360),IF($Z1360="A","Generated from "&amp;INDEX(Fixed_Assets!$A$2:$A$201,$AB1360),IF($Z1360="F","Generated from "&amp;INDEX(FTE_Allocation!$A$2:$A$201,$AB1360),"")))</f>
        <v/>
      </c>
      <c r="X1360" s="19">
        <f>IF($Z1360="","",SUM(J1360:U1360))</f>
        <v/>
      </c>
      <c r="Y1360" s="20">
        <f>ROW()-1</f>
        <v/>
      </c>
      <c r="Z1360" s="20">
        <f>IF($Y1360&lt;=Settings!$B$4*3,"C",IF($Y1360&lt;=(Settings!$B$4+Settings!$B$5)*3,"A",IF($Y1360&lt;=(Settings!$B$4+Settings!$B$5+Settings!$B$6)*3,"F","")))</f>
        <v/>
      </c>
      <c r="AA1360" s="20">
        <f>IF($Z1360="C",$Y1360,IF($Z1360="A",$Y1360-Settings!$B$4*3,IF($Z1360="F",$Y1360-(Settings!$B$4+Settings!$B$5)*3,"")))</f>
        <v/>
      </c>
      <c r="AB1360" s="20">
        <f>IF($Z1360="","",INT(($AA1360-1)/3)+1)</f>
        <v/>
      </c>
      <c r="AC1360" s="20">
        <f>IF($Z1360="","",MOD($AA1360-1,3)+1)</f>
        <v/>
      </c>
      <c r="AD1360" s="20">
        <f>IF($Z1360="","",Settings!$B$2+$AC1360-1)</f>
        <v/>
      </c>
      <c r="AE1360" s="21">
        <f>IF($Z1360="C",DATE(YEAR(INDEX(Contracts!$J$2:$J$151,$AB1360)),MONTH(INDEX(Contracts!$J$2:$J$151,$AB1360)),1),IF($Z1360="A",DATE(YEAR(INDEX(Fixed_Assets!$G$2:$G$201,$AB1360)),MONTH(INDEX(Fixed_Assets!$G$2:$G$201,$AB1360)),1),IF($Z1360="F",DATE(YEAR(MAX(N(INDEX(Workforce!$I$2:$I$151,MATCH(INDEX(FTE_Allocation!$A$2:$A$201,$AB1360),Workforce!$A$2:$A$151,0))),N(INDEX(FTE_Allocation!$I$2:$I$201,$AB1360)))),MONTH(MAX(N(INDEX(Workforce!$I$2:$I$151,MATCH(INDEX(FTE_Allocation!$A$2:$A$201,$AB1360),Workforce!$A$2:$A$151,0))),N(INDEX(FTE_Allocation!$I$2:$I$201,$AB1360)))),1),"")))</f>
        <v/>
      </c>
      <c r="AF1360" s="21">
        <f>IF($Z1360="C",IF(INDEX(Contracts!$I$2:$I$151,$AB1360)="PREPAID",EDATE(DATE(YEAR(INDEX(Contracts!$J$2:$J$151,$AB1360)),MONTH(INDEX(Contracts!$J$2:$J$151,$AB1360)),1),IF(INDEX(Contracts!$N$2:$N$151,$AB1360)="",12,INDEX(Contracts!$N$2:$N$151,$AB1360))-1),IF(INDEX(Contracts!$I$2:$I$151,$AB1360)="MONTHLY",IF(INDEX(Contracts!$K$2:$K$151,$AB1360)="",2958101,INDEX(Contracts!$K$2:$K$151,$AB1360)),0)),IF($Z1360="A",EDATE(DATE(YEAR(INDEX(Fixed_Assets!$G$2:$G$201,$AB1360)),MONTH(INDEX(Fixed_Assets!$G$2:$G$201,$AB1360)),1),INDEX(Fixed_Assets!$J$2:$J$201,$AB1360)-1),IF($Z1360="F",MIN(IF(INDEX(Workforce!$J$2:$J$151,MATCH(INDEX(FTE_Allocation!$A$2:$A$201,$AB1360),Workforce!$A$2:$A$151,0))="",2958101,INDEX(Workforce!$J$2:$J$151,MATCH(INDEX(FTE_Allocation!$A$2:$A$201,$AB1360),Workforce!$A$2:$A$151,0))),IF(INDEX(FTE_Allocation!$J$2:$J$201,$AB1360)="",2958101,INDEX(FTE_Allocation!$J$2:$J$201,$AB1360))),"")))</f>
        <v/>
      </c>
      <c r="AG1360" s="19">
        <f>IF($Z1360="C",IF(INDEX(Contracts!$I$2:$I$151,$AB1360)="PREPAID",INDEX(Contracts!$M$2:$M$151,$AB1360)/IF(INDEX(Contracts!$N$2:$N$151,$AB1360)="",12,INDEX(Contracts!$N$2:$N$151,$AB1360)),IF(INDEX(Contracts!$I$2:$I$151,$AB1360)="MONTHLY",INDEX(Contracts!$M$2:$M$151,$AB1360),0))*(1-N(INDEX(Contracts!$O$2:$O$151,$AB1360))),IF($Z1360="A",INDEX(Fixed_Assets!$H$2:$H$201,$AB1360)/INDEX(Fixed_Assets!$J$2:$J$201,$AB1360),IF($Z1360="F",INDEX(Workforce!$F$2:$F$151,MATCH(INDEX(FTE_Allocation!$A$2:$A$201,$AB1360),Workforce!$A$2:$A$151,0))*N(INDEX(FTE_Allocation!$F$2:$H$201,$AB1360,$AC1360)),"")))</f>
        <v/>
      </c>
    </row>
    <row r="1361">
      <c r="A1361" s="7">
        <f>IF($Z1361="","",$AD1361)</f>
        <v/>
      </c>
      <c r="B1361" s="7">
        <f>IF($Z1361="C",INDEX(Contracts!$D$2:$D$151,$AB1361)&amp;"",IF($Z1361="A",INDEX(Fixed_Assets!$C$2:$C$201,$AB1361)&amp;"",IF($Z1361="F",INDEX(Workforce!$B$2:$B$151,MATCH(INDEX(FTE_Allocation!$A$2:$A$201,$AB1361),Workforce!$A$2:$A$151,0))&amp;"","")))</f>
        <v/>
      </c>
      <c r="C1361" s="7">
        <f>IF($Z1361="C",INDEX(Contracts!$E$2:$E$151,$AB1361)&amp;"",IF($Z1361="A",INDEX(Fixed_Assets!$D$2:$D$201,$AB1361)&amp;"",IF($Z1361="F",INDEX(FTE_Allocation!$C$2:$C$201,$AB1361)&amp;"","")))</f>
        <v/>
      </c>
      <c r="D1361" s="7">
        <f>IF($Z1361="C",INDEX(Contracts!$B$2:$B$151,$AB1361)&amp;"",IF($Z1361="A",INDEX(Fixed_Assets!$B$2:$B$201,$AB1361)&amp;"",IF($Z1361="F",INDEX(FTE_Allocation!$B$2:$B$201,$AB1361)&amp;"","")))</f>
        <v/>
      </c>
      <c r="E1361" s="7">
        <f>IF($Z1361="C",INDEX(Contracts!$P$2:$P$151,$AB1361)&amp;"",IF($Z1361="A",INDEX(Fixed_Assets!$K$2:$K$201,$AB1361)&amp;"",IF($Z1361="F",IF(INDEX(FTE_Allocation!$D$2:$D$201,$AB1361)="PROJECT",IFERROR(INDEX(Projects!$D:$D,MATCH(INDEX(FTE_Allocation!$E$2:$E$201,$AB1361),Projects!$A:$A,0))&amp;"","#PROJECT?"),INDEX(FTE_Allocation!$E$2:$E$201,$AB1361)&amp;""),"")))</f>
        <v/>
      </c>
      <c r="F1361" s="7">
        <f>IF($Z1361="C",INDEX(Contracts!$Q$2:$Q$151,$AB1361)&amp;"",IF($Z1361="A",INDEX(Fixed_Assets!$L$2:$L$201,$AB1361)&amp;"",IF($Z1361="F",INDEX(Workforce!$K$2:$K$151,MATCH(INDEX(FTE_Allocation!$A$2:$A$201,$AB1361),Workforce!$A$2:$A$151,0))&amp;"","")))</f>
        <v/>
      </c>
      <c r="G1361" s="7">
        <f>IF($Z1361="C",INDEX(Contracts!$F$2:$F$151,$AB1361)&amp;" / "&amp;INDEX(Contracts!$G$2:$G$151,$AB1361),IF($Z1361="A",INDEX(Fixed_Assets!$E$2:$E$201,$AB1361)&amp;"",IF($Z1361="F","Personnel "&amp;INDEX(FTE_Allocation!$A$2:$A$201,$AB1361)&amp;IF(INDEX(FTE_Allocation!$D$2:$D$201,$AB1361)="PROJECT"," ("&amp;INDEX(FTE_Allocation!$E$2:$E$201,$AB1361)&amp;")",""),"")))</f>
        <v/>
      </c>
      <c r="H1361" s="7">
        <f>IF($Z1361="C","CONTRACT",IF($Z1361="A","ASSET",IF($Z1361="F","WORKFORCE","")))</f>
        <v/>
      </c>
      <c r="I1361" s="7">
        <f>IF($Z1361="C",INDEX(Contracts!$L$2:$L$151,$AB1361)&amp;"",IF($Z1361="A",INDEX(Fixed_Assets!$I$2:$I$201,$AB1361)&amp;"",IF($Z1361="F",INDEX(Workforce!$G$2:$G$151,MATCH(INDEX(FTE_Allocation!$A$2:$A$201,$AB1361),Workforce!$A$2:$A$151,0))&amp;"","")))</f>
        <v/>
      </c>
      <c r="J1361" s="18">
        <f>IF($Z1361="","",IF(AND(DATE($AD1361,1,1)&gt;=$AE1361,DATE($AD1361,1,1)&lt;=$AF1361),ROUND($AG1361,2),0))</f>
        <v/>
      </c>
      <c r="K1361" s="18">
        <f>IF($Z1361="","",IF(AND(DATE($AD1361,2,1)&gt;=$AE1361,DATE($AD1361,2,1)&lt;=$AF1361),ROUND($AG1361,2),0))</f>
        <v/>
      </c>
      <c r="L1361" s="18">
        <f>IF($Z1361="","",IF(AND(DATE($AD1361,3,1)&gt;=$AE1361,DATE($AD1361,3,1)&lt;=$AF1361),ROUND($AG1361,2),0))</f>
        <v/>
      </c>
      <c r="M1361" s="18">
        <f>IF($Z1361="","",IF(AND(DATE($AD1361,4,1)&gt;=$AE1361,DATE($AD1361,4,1)&lt;=$AF1361),ROUND($AG1361,2),0))</f>
        <v/>
      </c>
      <c r="N1361" s="18">
        <f>IF($Z1361="","",IF(AND(DATE($AD1361,5,1)&gt;=$AE1361,DATE($AD1361,5,1)&lt;=$AF1361),ROUND($AG1361,2),0))</f>
        <v/>
      </c>
      <c r="O1361" s="18">
        <f>IF($Z1361="","",IF(AND(DATE($AD1361,6,1)&gt;=$AE1361,DATE($AD1361,6,1)&lt;=$AF1361),ROUND($AG1361,2),0))</f>
        <v/>
      </c>
      <c r="P1361" s="18">
        <f>IF($Z1361="","",IF(AND(DATE($AD1361,7,1)&gt;=$AE1361,DATE($AD1361,7,1)&lt;=$AF1361),ROUND($AG1361,2),0))</f>
        <v/>
      </c>
      <c r="Q1361" s="18">
        <f>IF($Z1361="","",IF(AND(DATE($AD1361,8,1)&gt;=$AE1361,DATE($AD1361,8,1)&lt;=$AF1361),ROUND($AG1361,2),0))</f>
        <v/>
      </c>
      <c r="R1361" s="18">
        <f>IF($Z1361="","",IF(AND(DATE($AD1361,9,1)&gt;=$AE1361,DATE($AD1361,9,1)&lt;=$AF1361),ROUND($AG1361,2),0))</f>
        <v/>
      </c>
      <c r="S1361" s="18">
        <f>IF($Z1361="","",IF(AND(DATE($AD1361,10,1)&gt;=$AE1361,DATE($AD1361,10,1)&lt;=$AF1361),ROUND($AG1361,2),0))</f>
        <v/>
      </c>
      <c r="T1361" s="18">
        <f>IF($Z1361="","",IF(AND(DATE($AD1361,11,1)&gt;=$AE1361,DATE($AD1361,11,1)&lt;=$AF1361),ROUND($AG1361,2),0))</f>
        <v/>
      </c>
      <c r="U1361" s="18">
        <f>IF($Z1361="","",IF(AND(DATE($AD1361,12,1)&gt;=$AE1361,DATE($AD1361,12,1)&lt;=$AF1361),ROUND($AG1361,2),0))</f>
        <v/>
      </c>
      <c r="V1361" s="7">
        <f>IF($Z1361="C","Generated from "&amp;INDEX(Contracts!$A$2:$A$151,$AB1361),IF($Z1361="A","Generated from "&amp;INDEX(Fixed_Assets!$A$2:$A$201,$AB1361),IF($Z1361="F","Generated from "&amp;INDEX(FTE_Allocation!$A$2:$A$201,$AB1361),"")))</f>
        <v/>
      </c>
      <c r="X1361" s="19">
        <f>IF($Z1361="","",SUM(J1361:U1361))</f>
        <v/>
      </c>
      <c r="Y1361" s="20">
        <f>ROW()-1</f>
        <v/>
      </c>
      <c r="Z1361" s="20">
        <f>IF($Y1361&lt;=Settings!$B$4*3,"C",IF($Y1361&lt;=(Settings!$B$4+Settings!$B$5)*3,"A",IF($Y1361&lt;=(Settings!$B$4+Settings!$B$5+Settings!$B$6)*3,"F","")))</f>
        <v/>
      </c>
      <c r="AA1361" s="20">
        <f>IF($Z1361="C",$Y1361,IF($Z1361="A",$Y1361-Settings!$B$4*3,IF($Z1361="F",$Y1361-(Settings!$B$4+Settings!$B$5)*3,"")))</f>
        <v/>
      </c>
      <c r="AB1361" s="20">
        <f>IF($Z1361="","",INT(($AA1361-1)/3)+1)</f>
        <v/>
      </c>
      <c r="AC1361" s="20">
        <f>IF($Z1361="","",MOD($AA1361-1,3)+1)</f>
        <v/>
      </c>
      <c r="AD1361" s="20">
        <f>IF($Z1361="","",Settings!$B$2+$AC1361-1)</f>
        <v/>
      </c>
      <c r="AE1361" s="21">
        <f>IF($Z1361="C",DATE(YEAR(INDEX(Contracts!$J$2:$J$151,$AB1361)),MONTH(INDEX(Contracts!$J$2:$J$151,$AB1361)),1),IF($Z1361="A",DATE(YEAR(INDEX(Fixed_Assets!$G$2:$G$201,$AB1361)),MONTH(INDEX(Fixed_Assets!$G$2:$G$201,$AB1361)),1),IF($Z1361="F",DATE(YEAR(MAX(N(INDEX(Workforce!$I$2:$I$151,MATCH(INDEX(FTE_Allocation!$A$2:$A$201,$AB1361),Workforce!$A$2:$A$151,0))),N(INDEX(FTE_Allocation!$I$2:$I$201,$AB1361)))),MONTH(MAX(N(INDEX(Workforce!$I$2:$I$151,MATCH(INDEX(FTE_Allocation!$A$2:$A$201,$AB1361),Workforce!$A$2:$A$151,0))),N(INDEX(FTE_Allocation!$I$2:$I$201,$AB1361)))),1),"")))</f>
        <v/>
      </c>
      <c r="AF1361" s="21">
        <f>IF($Z1361="C",IF(INDEX(Contracts!$I$2:$I$151,$AB1361)="PREPAID",EDATE(DATE(YEAR(INDEX(Contracts!$J$2:$J$151,$AB1361)),MONTH(INDEX(Contracts!$J$2:$J$151,$AB1361)),1),IF(INDEX(Contracts!$N$2:$N$151,$AB1361)="",12,INDEX(Contracts!$N$2:$N$151,$AB1361))-1),IF(INDEX(Contracts!$I$2:$I$151,$AB1361)="MONTHLY",IF(INDEX(Contracts!$K$2:$K$151,$AB1361)="",2958101,INDEX(Contracts!$K$2:$K$151,$AB1361)),0)),IF($Z1361="A",EDATE(DATE(YEAR(INDEX(Fixed_Assets!$G$2:$G$201,$AB1361)),MONTH(INDEX(Fixed_Assets!$G$2:$G$201,$AB1361)),1),INDEX(Fixed_Assets!$J$2:$J$201,$AB1361)-1),IF($Z1361="F",MIN(IF(INDEX(Workforce!$J$2:$J$151,MATCH(INDEX(FTE_Allocation!$A$2:$A$201,$AB1361),Workforce!$A$2:$A$151,0))="",2958101,INDEX(Workforce!$J$2:$J$151,MATCH(INDEX(FTE_Allocation!$A$2:$A$201,$AB1361),Workforce!$A$2:$A$151,0))),IF(INDEX(FTE_Allocation!$J$2:$J$201,$AB1361)="",2958101,INDEX(FTE_Allocation!$J$2:$J$201,$AB1361))),"")))</f>
        <v/>
      </c>
      <c r="AG1361" s="19">
        <f>IF($Z1361="C",IF(INDEX(Contracts!$I$2:$I$151,$AB1361)="PREPAID",INDEX(Contracts!$M$2:$M$151,$AB1361)/IF(INDEX(Contracts!$N$2:$N$151,$AB1361)="",12,INDEX(Contracts!$N$2:$N$151,$AB1361)),IF(INDEX(Contracts!$I$2:$I$151,$AB1361)="MONTHLY",INDEX(Contracts!$M$2:$M$151,$AB1361),0))*(1-N(INDEX(Contracts!$O$2:$O$151,$AB1361))),IF($Z1361="A",INDEX(Fixed_Assets!$H$2:$H$201,$AB1361)/INDEX(Fixed_Assets!$J$2:$J$201,$AB1361),IF($Z1361="F",INDEX(Workforce!$F$2:$F$151,MATCH(INDEX(FTE_Allocation!$A$2:$A$201,$AB1361),Workforce!$A$2:$A$151,0))*N(INDEX(FTE_Allocation!$F$2:$H$201,$AB1361,$AC1361)),"")))</f>
        <v/>
      </c>
    </row>
    <row r="1362">
      <c r="A1362" s="7">
        <f>IF($Z1362="","",$AD1362)</f>
        <v/>
      </c>
      <c r="B1362" s="7">
        <f>IF($Z1362="C",INDEX(Contracts!$D$2:$D$151,$AB1362)&amp;"",IF($Z1362="A",INDEX(Fixed_Assets!$C$2:$C$201,$AB1362)&amp;"",IF($Z1362="F",INDEX(Workforce!$B$2:$B$151,MATCH(INDEX(FTE_Allocation!$A$2:$A$201,$AB1362),Workforce!$A$2:$A$151,0))&amp;"","")))</f>
        <v/>
      </c>
      <c r="C1362" s="7">
        <f>IF($Z1362="C",INDEX(Contracts!$E$2:$E$151,$AB1362)&amp;"",IF($Z1362="A",INDEX(Fixed_Assets!$D$2:$D$201,$AB1362)&amp;"",IF($Z1362="F",INDEX(FTE_Allocation!$C$2:$C$201,$AB1362)&amp;"","")))</f>
        <v/>
      </c>
      <c r="D1362" s="7">
        <f>IF($Z1362="C",INDEX(Contracts!$B$2:$B$151,$AB1362)&amp;"",IF($Z1362="A",INDEX(Fixed_Assets!$B$2:$B$201,$AB1362)&amp;"",IF($Z1362="F",INDEX(FTE_Allocation!$B$2:$B$201,$AB1362)&amp;"","")))</f>
        <v/>
      </c>
      <c r="E1362" s="7">
        <f>IF($Z1362="C",INDEX(Contracts!$P$2:$P$151,$AB1362)&amp;"",IF($Z1362="A",INDEX(Fixed_Assets!$K$2:$K$201,$AB1362)&amp;"",IF($Z1362="F",IF(INDEX(FTE_Allocation!$D$2:$D$201,$AB1362)="PROJECT",IFERROR(INDEX(Projects!$D:$D,MATCH(INDEX(FTE_Allocation!$E$2:$E$201,$AB1362),Projects!$A:$A,0))&amp;"","#PROJECT?"),INDEX(FTE_Allocation!$E$2:$E$201,$AB1362)&amp;""),"")))</f>
        <v/>
      </c>
      <c r="F1362" s="7">
        <f>IF($Z1362="C",INDEX(Contracts!$Q$2:$Q$151,$AB1362)&amp;"",IF($Z1362="A",INDEX(Fixed_Assets!$L$2:$L$201,$AB1362)&amp;"",IF($Z1362="F",INDEX(Workforce!$K$2:$K$151,MATCH(INDEX(FTE_Allocation!$A$2:$A$201,$AB1362),Workforce!$A$2:$A$151,0))&amp;"","")))</f>
        <v/>
      </c>
      <c r="G1362" s="7">
        <f>IF($Z1362="C",INDEX(Contracts!$F$2:$F$151,$AB1362)&amp;" / "&amp;INDEX(Contracts!$G$2:$G$151,$AB1362),IF($Z1362="A",INDEX(Fixed_Assets!$E$2:$E$201,$AB1362)&amp;"",IF($Z1362="F","Personnel "&amp;INDEX(FTE_Allocation!$A$2:$A$201,$AB1362)&amp;IF(INDEX(FTE_Allocation!$D$2:$D$201,$AB1362)="PROJECT"," ("&amp;INDEX(FTE_Allocation!$E$2:$E$201,$AB1362)&amp;")",""),"")))</f>
        <v/>
      </c>
      <c r="H1362" s="7">
        <f>IF($Z1362="C","CONTRACT",IF($Z1362="A","ASSET",IF($Z1362="F","WORKFORCE","")))</f>
        <v/>
      </c>
      <c r="I1362" s="7">
        <f>IF($Z1362="C",INDEX(Contracts!$L$2:$L$151,$AB1362)&amp;"",IF($Z1362="A",INDEX(Fixed_Assets!$I$2:$I$201,$AB1362)&amp;"",IF($Z1362="F",INDEX(Workforce!$G$2:$G$151,MATCH(INDEX(FTE_Allocation!$A$2:$A$201,$AB1362),Workforce!$A$2:$A$151,0))&amp;"","")))</f>
        <v/>
      </c>
      <c r="J1362" s="18">
        <f>IF($Z1362="","",IF(AND(DATE($AD1362,1,1)&gt;=$AE1362,DATE($AD1362,1,1)&lt;=$AF1362),ROUND($AG1362,2),0))</f>
        <v/>
      </c>
      <c r="K1362" s="18">
        <f>IF($Z1362="","",IF(AND(DATE($AD1362,2,1)&gt;=$AE1362,DATE($AD1362,2,1)&lt;=$AF1362),ROUND($AG1362,2),0))</f>
        <v/>
      </c>
      <c r="L1362" s="18">
        <f>IF($Z1362="","",IF(AND(DATE($AD1362,3,1)&gt;=$AE1362,DATE($AD1362,3,1)&lt;=$AF1362),ROUND($AG1362,2),0))</f>
        <v/>
      </c>
      <c r="M1362" s="18">
        <f>IF($Z1362="","",IF(AND(DATE($AD1362,4,1)&gt;=$AE1362,DATE($AD1362,4,1)&lt;=$AF1362),ROUND($AG1362,2),0))</f>
        <v/>
      </c>
      <c r="N1362" s="18">
        <f>IF($Z1362="","",IF(AND(DATE($AD1362,5,1)&gt;=$AE1362,DATE($AD1362,5,1)&lt;=$AF1362),ROUND($AG1362,2),0))</f>
        <v/>
      </c>
      <c r="O1362" s="18">
        <f>IF($Z1362="","",IF(AND(DATE($AD1362,6,1)&gt;=$AE1362,DATE($AD1362,6,1)&lt;=$AF1362),ROUND($AG1362,2),0))</f>
        <v/>
      </c>
      <c r="P1362" s="18">
        <f>IF($Z1362="","",IF(AND(DATE($AD1362,7,1)&gt;=$AE1362,DATE($AD1362,7,1)&lt;=$AF1362),ROUND($AG1362,2),0))</f>
        <v/>
      </c>
      <c r="Q1362" s="18">
        <f>IF($Z1362="","",IF(AND(DATE($AD1362,8,1)&gt;=$AE1362,DATE($AD1362,8,1)&lt;=$AF1362),ROUND($AG1362,2),0))</f>
        <v/>
      </c>
      <c r="R1362" s="18">
        <f>IF($Z1362="","",IF(AND(DATE($AD1362,9,1)&gt;=$AE1362,DATE($AD1362,9,1)&lt;=$AF1362),ROUND($AG1362,2),0))</f>
        <v/>
      </c>
      <c r="S1362" s="18">
        <f>IF($Z1362="","",IF(AND(DATE($AD1362,10,1)&gt;=$AE1362,DATE($AD1362,10,1)&lt;=$AF1362),ROUND($AG1362,2),0))</f>
        <v/>
      </c>
      <c r="T1362" s="18">
        <f>IF($Z1362="","",IF(AND(DATE($AD1362,11,1)&gt;=$AE1362,DATE($AD1362,11,1)&lt;=$AF1362),ROUND($AG1362,2),0))</f>
        <v/>
      </c>
      <c r="U1362" s="18">
        <f>IF($Z1362="","",IF(AND(DATE($AD1362,12,1)&gt;=$AE1362,DATE($AD1362,12,1)&lt;=$AF1362),ROUND($AG1362,2),0))</f>
        <v/>
      </c>
      <c r="V1362" s="7">
        <f>IF($Z1362="C","Generated from "&amp;INDEX(Contracts!$A$2:$A$151,$AB1362),IF($Z1362="A","Generated from "&amp;INDEX(Fixed_Assets!$A$2:$A$201,$AB1362),IF($Z1362="F","Generated from "&amp;INDEX(FTE_Allocation!$A$2:$A$201,$AB1362),"")))</f>
        <v/>
      </c>
      <c r="X1362" s="19">
        <f>IF($Z1362="","",SUM(J1362:U1362))</f>
        <v/>
      </c>
      <c r="Y1362" s="20">
        <f>ROW()-1</f>
        <v/>
      </c>
      <c r="Z1362" s="20">
        <f>IF($Y1362&lt;=Settings!$B$4*3,"C",IF($Y1362&lt;=(Settings!$B$4+Settings!$B$5)*3,"A",IF($Y1362&lt;=(Settings!$B$4+Settings!$B$5+Settings!$B$6)*3,"F","")))</f>
        <v/>
      </c>
      <c r="AA1362" s="20">
        <f>IF($Z1362="C",$Y1362,IF($Z1362="A",$Y1362-Settings!$B$4*3,IF($Z1362="F",$Y1362-(Settings!$B$4+Settings!$B$5)*3,"")))</f>
        <v/>
      </c>
      <c r="AB1362" s="20">
        <f>IF($Z1362="","",INT(($AA1362-1)/3)+1)</f>
        <v/>
      </c>
      <c r="AC1362" s="20">
        <f>IF($Z1362="","",MOD($AA1362-1,3)+1)</f>
        <v/>
      </c>
      <c r="AD1362" s="20">
        <f>IF($Z1362="","",Settings!$B$2+$AC1362-1)</f>
        <v/>
      </c>
      <c r="AE1362" s="21">
        <f>IF($Z1362="C",DATE(YEAR(INDEX(Contracts!$J$2:$J$151,$AB1362)),MONTH(INDEX(Contracts!$J$2:$J$151,$AB1362)),1),IF($Z1362="A",DATE(YEAR(INDEX(Fixed_Assets!$G$2:$G$201,$AB1362)),MONTH(INDEX(Fixed_Assets!$G$2:$G$201,$AB1362)),1),IF($Z1362="F",DATE(YEAR(MAX(N(INDEX(Workforce!$I$2:$I$151,MATCH(INDEX(FTE_Allocation!$A$2:$A$201,$AB1362),Workforce!$A$2:$A$151,0))),N(INDEX(FTE_Allocation!$I$2:$I$201,$AB1362)))),MONTH(MAX(N(INDEX(Workforce!$I$2:$I$151,MATCH(INDEX(FTE_Allocation!$A$2:$A$201,$AB1362),Workforce!$A$2:$A$151,0))),N(INDEX(FTE_Allocation!$I$2:$I$201,$AB1362)))),1),"")))</f>
        <v/>
      </c>
      <c r="AF1362" s="21">
        <f>IF($Z1362="C",IF(INDEX(Contracts!$I$2:$I$151,$AB1362)="PREPAID",EDATE(DATE(YEAR(INDEX(Contracts!$J$2:$J$151,$AB1362)),MONTH(INDEX(Contracts!$J$2:$J$151,$AB1362)),1),IF(INDEX(Contracts!$N$2:$N$151,$AB1362)="",12,INDEX(Contracts!$N$2:$N$151,$AB1362))-1),IF(INDEX(Contracts!$I$2:$I$151,$AB1362)="MONTHLY",IF(INDEX(Contracts!$K$2:$K$151,$AB1362)="",2958101,INDEX(Contracts!$K$2:$K$151,$AB1362)),0)),IF($Z1362="A",EDATE(DATE(YEAR(INDEX(Fixed_Assets!$G$2:$G$201,$AB1362)),MONTH(INDEX(Fixed_Assets!$G$2:$G$201,$AB1362)),1),INDEX(Fixed_Assets!$J$2:$J$201,$AB1362)-1),IF($Z1362="F",MIN(IF(INDEX(Workforce!$J$2:$J$151,MATCH(INDEX(FTE_Allocation!$A$2:$A$201,$AB1362),Workforce!$A$2:$A$151,0))="",2958101,INDEX(Workforce!$J$2:$J$151,MATCH(INDEX(FTE_Allocation!$A$2:$A$201,$AB1362),Workforce!$A$2:$A$151,0))),IF(INDEX(FTE_Allocation!$J$2:$J$201,$AB1362)="",2958101,INDEX(FTE_Allocation!$J$2:$J$201,$AB1362))),"")))</f>
        <v/>
      </c>
      <c r="AG1362" s="19">
        <f>IF($Z1362="C",IF(INDEX(Contracts!$I$2:$I$151,$AB1362)="PREPAID",INDEX(Contracts!$M$2:$M$151,$AB1362)/IF(INDEX(Contracts!$N$2:$N$151,$AB1362)="",12,INDEX(Contracts!$N$2:$N$151,$AB1362)),IF(INDEX(Contracts!$I$2:$I$151,$AB1362)="MONTHLY",INDEX(Contracts!$M$2:$M$151,$AB1362),0))*(1-N(INDEX(Contracts!$O$2:$O$151,$AB1362))),IF($Z1362="A",INDEX(Fixed_Assets!$H$2:$H$201,$AB1362)/INDEX(Fixed_Assets!$J$2:$J$201,$AB1362),IF($Z1362="F",INDEX(Workforce!$F$2:$F$151,MATCH(INDEX(FTE_Allocation!$A$2:$A$201,$AB1362),Workforce!$A$2:$A$151,0))*N(INDEX(FTE_Allocation!$F$2:$H$201,$AB1362,$AC1362)),"")))</f>
        <v/>
      </c>
    </row>
    <row r="1363">
      <c r="A1363" s="7">
        <f>IF($Z1363="","",$AD1363)</f>
        <v/>
      </c>
      <c r="B1363" s="7">
        <f>IF($Z1363="C",INDEX(Contracts!$D$2:$D$151,$AB1363)&amp;"",IF($Z1363="A",INDEX(Fixed_Assets!$C$2:$C$201,$AB1363)&amp;"",IF($Z1363="F",INDEX(Workforce!$B$2:$B$151,MATCH(INDEX(FTE_Allocation!$A$2:$A$201,$AB1363),Workforce!$A$2:$A$151,0))&amp;"","")))</f>
        <v/>
      </c>
      <c r="C1363" s="7">
        <f>IF($Z1363="C",INDEX(Contracts!$E$2:$E$151,$AB1363)&amp;"",IF($Z1363="A",INDEX(Fixed_Assets!$D$2:$D$201,$AB1363)&amp;"",IF($Z1363="F",INDEX(FTE_Allocation!$C$2:$C$201,$AB1363)&amp;"","")))</f>
        <v/>
      </c>
      <c r="D1363" s="7">
        <f>IF($Z1363="C",INDEX(Contracts!$B$2:$B$151,$AB1363)&amp;"",IF($Z1363="A",INDEX(Fixed_Assets!$B$2:$B$201,$AB1363)&amp;"",IF($Z1363="F",INDEX(FTE_Allocation!$B$2:$B$201,$AB1363)&amp;"","")))</f>
        <v/>
      </c>
      <c r="E1363" s="7">
        <f>IF($Z1363="C",INDEX(Contracts!$P$2:$P$151,$AB1363)&amp;"",IF($Z1363="A",INDEX(Fixed_Assets!$K$2:$K$201,$AB1363)&amp;"",IF($Z1363="F",IF(INDEX(FTE_Allocation!$D$2:$D$201,$AB1363)="PROJECT",IFERROR(INDEX(Projects!$D:$D,MATCH(INDEX(FTE_Allocation!$E$2:$E$201,$AB1363),Projects!$A:$A,0))&amp;"","#PROJECT?"),INDEX(FTE_Allocation!$E$2:$E$201,$AB1363)&amp;""),"")))</f>
        <v/>
      </c>
      <c r="F1363" s="7">
        <f>IF($Z1363="C",INDEX(Contracts!$Q$2:$Q$151,$AB1363)&amp;"",IF($Z1363="A",INDEX(Fixed_Assets!$L$2:$L$201,$AB1363)&amp;"",IF($Z1363="F",INDEX(Workforce!$K$2:$K$151,MATCH(INDEX(FTE_Allocation!$A$2:$A$201,$AB1363),Workforce!$A$2:$A$151,0))&amp;"","")))</f>
        <v/>
      </c>
      <c r="G1363" s="7">
        <f>IF($Z1363="C",INDEX(Contracts!$F$2:$F$151,$AB1363)&amp;" / "&amp;INDEX(Contracts!$G$2:$G$151,$AB1363),IF($Z1363="A",INDEX(Fixed_Assets!$E$2:$E$201,$AB1363)&amp;"",IF($Z1363="F","Personnel "&amp;INDEX(FTE_Allocation!$A$2:$A$201,$AB1363)&amp;IF(INDEX(FTE_Allocation!$D$2:$D$201,$AB1363)="PROJECT"," ("&amp;INDEX(FTE_Allocation!$E$2:$E$201,$AB1363)&amp;")",""),"")))</f>
        <v/>
      </c>
      <c r="H1363" s="7">
        <f>IF($Z1363="C","CONTRACT",IF($Z1363="A","ASSET",IF($Z1363="F","WORKFORCE","")))</f>
        <v/>
      </c>
      <c r="I1363" s="7">
        <f>IF($Z1363="C",INDEX(Contracts!$L$2:$L$151,$AB1363)&amp;"",IF($Z1363="A",INDEX(Fixed_Assets!$I$2:$I$201,$AB1363)&amp;"",IF($Z1363="F",INDEX(Workforce!$G$2:$G$151,MATCH(INDEX(FTE_Allocation!$A$2:$A$201,$AB1363),Workforce!$A$2:$A$151,0))&amp;"","")))</f>
        <v/>
      </c>
      <c r="J1363" s="18">
        <f>IF($Z1363="","",IF(AND(DATE($AD1363,1,1)&gt;=$AE1363,DATE($AD1363,1,1)&lt;=$AF1363),ROUND($AG1363,2),0))</f>
        <v/>
      </c>
      <c r="K1363" s="18">
        <f>IF($Z1363="","",IF(AND(DATE($AD1363,2,1)&gt;=$AE1363,DATE($AD1363,2,1)&lt;=$AF1363),ROUND($AG1363,2),0))</f>
        <v/>
      </c>
      <c r="L1363" s="18">
        <f>IF($Z1363="","",IF(AND(DATE($AD1363,3,1)&gt;=$AE1363,DATE($AD1363,3,1)&lt;=$AF1363),ROUND($AG1363,2),0))</f>
        <v/>
      </c>
      <c r="M1363" s="18">
        <f>IF($Z1363="","",IF(AND(DATE($AD1363,4,1)&gt;=$AE1363,DATE($AD1363,4,1)&lt;=$AF1363),ROUND($AG1363,2),0))</f>
        <v/>
      </c>
      <c r="N1363" s="18">
        <f>IF($Z1363="","",IF(AND(DATE($AD1363,5,1)&gt;=$AE1363,DATE($AD1363,5,1)&lt;=$AF1363),ROUND($AG1363,2),0))</f>
        <v/>
      </c>
      <c r="O1363" s="18">
        <f>IF($Z1363="","",IF(AND(DATE($AD1363,6,1)&gt;=$AE1363,DATE($AD1363,6,1)&lt;=$AF1363),ROUND($AG1363,2),0))</f>
        <v/>
      </c>
      <c r="P1363" s="18">
        <f>IF($Z1363="","",IF(AND(DATE($AD1363,7,1)&gt;=$AE1363,DATE($AD1363,7,1)&lt;=$AF1363),ROUND($AG1363,2),0))</f>
        <v/>
      </c>
      <c r="Q1363" s="18">
        <f>IF($Z1363="","",IF(AND(DATE($AD1363,8,1)&gt;=$AE1363,DATE($AD1363,8,1)&lt;=$AF1363),ROUND($AG1363,2),0))</f>
        <v/>
      </c>
      <c r="R1363" s="18">
        <f>IF($Z1363="","",IF(AND(DATE($AD1363,9,1)&gt;=$AE1363,DATE($AD1363,9,1)&lt;=$AF1363),ROUND($AG1363,2),0))</f>
        <v/>
      </c>
      <c r="S1363" s="18">
        <f>IF($Z1363="","",IF(AND(DATE($AD1363,10,1)&gt;=$AE1363,DATE($AD1363,10,1)&lt;=$AF1363),ROUND($AG1363,2),0))</f>
        <v/>
      </c>
      <c r="T1363" s="18">
        <f>IF($Z1363="","",IF(AND(DATE($AD1363,11,1)&gt;=$AE1363,DATE($AD1363,11,1)&lt;=$AF1363),ROUND($AG1363,2),0))</f>
        <v/>
      </c>
      <c r="U1363" s="18">
        <f>IF($Z1363="","",IF(AND(DATE($AD1363,12,1)&gt;=$AE1363,DATE($AD1363,12,1)&lt;=$AF1363),ROUND($AG1363,2),0))</f>
        <v/>
      </c>
      <c r="V1363" s="7">
        <f>IF($Z1363="C","Generated from "&amp;INDEX(Contracts!$A$2:$A$151,$AB1363),IF($Z1363="A","Generated from "&amp;INDEX(Fixed_Assets!$A$2:$A$201,$AB1363),IF($Z1363="F","Generated from "&amp;INDEX(FTE_Allocation!$A$2:$A$201,$AB1363),"")))</f>
        <v/>
      </c>
      <c r="X1363" s="19">
        <f>IF($Z1363="","",SUM(J1363:U1363))</f>
        <v/>
      </c>
      <c r="Y1363" s="20">
        <f>ROW()-1</f>
        <v/>
      </c>
      <c r="Z1363" s="20">
        <f>IF($Y1363&lt;=Settings!$B$4*3,"C",IF($Y1363&lt;=(Settings!$B$4+Settings!$B$5)*3,"A",IF($Y1363&lt;=(Settings!$B$4+Settings!$B$5+Settings!$B$6)*3,"F","")))</f>
        <v/>
      </c>
      <c r="AA1363" s="20">
        <f>IF($Z1363="C",$Y1363,IF($Z1363="A",$Y1363-Settings!$B$4*3,IF($Z1363="F",$Y1363-(Settings!$B$4+Settings!$B$5)*3,"")))</f>
        <v/>
      </c>
      <c r="AB1363" s="20">
        <f>IF($Z1363="","",INT(($AA1363-1)/3)+1)</f>
        <v/>
      </c>
      <c r="AC1363" s="20">
        <f>IF($Z1363="","",MOD($AA1363-1,3)+1)</f>
        <v/>
      </c>
      <c r="AD1363" s="20">
        <f>IF($Z1363="","",Settings!$B$2+$AC1363-1)</f>
        <v/>
      </c>
      <c r="AE1363" s="21">
        <f>IF($Z1363="C",DATE(YEAR(INDEX(Contracts!$J$2:$J$151,$AB1363)),MONTH(INDEX(Contracts!$J$2:$J$151,$AB1363)),1),IF($Z1363="A",DATE(YEAR(INDEX(Fixed_Assets!$G$2:$G$201,$AB1363)),MONTH(INDEX(Fixed_Assets!$G$2:$G$201,$AB1363)),1),IF($Z1363="F",DATE(YEAR(MAX(N(INDEX(Workforce!$I$2:$I$151,MATCH(INDEX(FTE_Allocation!$A$2:$A$201,$AB1363),Workforce!$A$2:$A$151,0))),N(INDEX(FTE_Allocation!$I$2:$I$201,$AB1363)))),MONTH(MAX(N(INDEX(Workforce!$I$2:$I$151,MATCH(INDEX(FTE_Allocation!$A$2:$A$201,$AB1363),Workforce!$A$2:$A$151,0))),N(INDEX(FTE_Allocation!$I$2:$I$201,$AB1363)))),1),"")))</f>
        <v/>
      </c>
      <c r="AF1363" s="21">
        <f>IF($Z1363="C",IF(INDEX(Contracts!$I$2:$I$151,$AB1363)="PREPAID",EDATE(DATE(YEAR(INDEX(Contracts!$J$2:$J$151,$AB1363)),MONTH(INDEX(Contracts!$J$2:$J$151,$AB1363)),1),IF(INDEX(Contracts!$N$2:$N$151,$AB1363)="",12,INDEX(Contracts!$N$2:$N$151,$AB1363))-1),IF(INDEX(Contracts!$I$2:$I$151,$AB1363)="MONTHLY",IF(INDEX(Contracts!$K$2:$K$151,$AB1363)="",2958101,INDEX(Contracts!$K$2:$K$151,$AB1363)),0)),IF($Z1363="A",EDATE(DATE(YEAR(INDEX(Fixed_Assets!$G$2:$G$201,$AB1363)),MONTH(INDEX(Fixed_Assets!$G$2:$G$201,$AB1363)),1),INDEX(Fixed_Assets!$J$2:$J$201,$AB1363)-1),IF($Z1363="F",MIN(IF(INDEX(Workforce!$J$2:$J$151,MATCH(INDEX(FTE_Allocation!$A$2:$A$201,$AB1363),Workforce!$A$2:$A$151,0))="",2958101,INDEX(Workforce!$J$2:$J$151,MATCH(INDEX(FTE_Allocation!$A$2:$A$201,$AB1363),Workforce!$A$2:$A$151,0))),IF(INDEX(FTE_Allocation!$J$2:$J$201,$AB1363)="",2958101,INDEX(FTE_Allocation!$J$2:$J$201,$AB1363))),"")))</f>
        <v/>
      </c>
      <c r="AG1363" s="19">
        <f>IF($Z1363="C",IF(INDEX(Contracts!$I$2:$I$151,$AB1363)="PREPAID",INDEX(Contracts!$M$2:$M$151,$AB1363)/IF(INDEX(Contracts!$N$2:$N$151,$AB1363)="",12,INDEX(Contracts!$N$2:$N$151,$AB1363)),IF(INDEX(Contracts!$I$2:$I$151,$AB1363)="MONTHLY",INDEX(Contracts!$M$2:$M$151,$AB1363),0))*(1-N(INDEX(Contracts!$O$2:$O$151,$AB1363))),IF($Z1363="A",INDEX(Fixed_Assets!$H$2:$H$201,$AB1363)/INDEX(Fixed_Assets!$J$2:$J$201,$AB1363),IF($Z1363="F",INDEX(Workforce!$F$2:$F$151,MATCH(INDEX(FTE_Allocation!$A$2:$A$201,$AB1363),Workforce!$A$2:$A$151,0))*N(INDEX(FTE_Allocation!$F$2:$H$201,$AB1363,$AC1363)),"")))</f>
        <v/>
      </c>
    </row>
    <row r="1364">
      <c r="A1364" s="7">
        <f>IF($Z1364="","",$AD1364)</f>
        <v/>
      </c>
      <c r="B1364" s="7">
        <f>IF($Z1364="C",INDEX(Contracts!$D$2:$D$151,$AB1364)&amp;"",IF($Z1364="A",INDEX(Fixed_Assets!$C$2:$C$201,$AB1364)&amp;"",IF($Z1364="F",INDEX(Workforce!$B$2:$B$151,MATCH(INDEX(FTE_Allocation!$A$2:$A$201,$AB1364),Workforce!$A$2:$A$151,0))&amp;"","")))</f>
        <v/>
      </c>
      <c r="C1364" s="7">
        <f>IF($Z1364="C",INDEX(Contracts!$E$2:$E$151,$AB1364)&amp;"",IF($Z1364="A",INDEX(Fixed_Assets!$D$2:$D$201,$AB1364)&amp;"",IF($Z1364="F",INDEX(FTE_Allocation!$C$2:$C$201,$AB1364)&amp;"","")))</f>
        <v/>
      </c>
      <c r="D1364" s="7">
        <f>IF($Z1364="C",INDEX(Contracts!$B$2:$B$151,$AB1364)&amp;"",IF($Z1364="A",INDEX(Fixed_Assets!$B$2:$B$201,$AB1364)&amp;"",IF($Z1364="F",INDEX(FTE_Allocation!$B$2:$B$201,$AB1364)&amp;"","")))</f>
        <v/>
      </c>
      <c r="E1364" s="7">
        <f>IF($Z1364="C",INDEX(Contracts!$P$2:$P$151,$AB1364)&amp;"",IF($Z1364="A",INDEX(Fixed_Assets!$K$2:$K$201,$AB1364)&amp;"",IF($Z1364="F",IF(INDEX(FTE_Allocation!$D$2:$D$201,$AB1364)="PROJECT",IFERROR(INDEX(Projects!$D:$D,MATCH(INDEX(FTE_Allocation!$E$2:$E$201,$AB1364),Projects!$A:$A,0))&amp;"","#PROJECT?"),INDEX(FTE_Allocation!$E$2:$E$201,$AB1364)&amp;""),"")))</f>
        <v/>
      </c>
      <c r="F1364" s="7">
        <f>IF($Z1364="C",INDEX(Contracts!$Q$2:$Q$151,$AB1364)&amp;"",IF($Z1364="A",INDEX(Fixed_Assets!$L$2:$L$201,$AB1364)&amp;"",IF($Z1364="F",INDEX(Workforce!$K$2:$K$151,MATCH(INDEX(FTE_Allocation!$A$2:$A$201,$AB1364),Workforce!$A$2:$A$151,0))&amp;"","")))</f>
        <v/>
      </c>
      <c r="G1364" s="7">
        <f>IF($Z1364="C",INDEX(Contracts!$F$2:$F$151,$AB1364)&amp;" / "&amp;INDEX(Contracts!$G$2:$G$151,$AB1364),IF($Z1364="A",INDEX(Fixed_Assets!$E$2:$E$201,$AB1364)&amp;"",IF($Z1364="F","Personnel "&amp;INDEX(FTE_Allocation!$A$2:$A$201,$AB1364)&amp;IF(INDEX(FTE_Allocation!$D$2:$D$201,$AB1364)="PROJECT"," ("&amp;INDEX(FTE_Allocation!$E$2:$E$201,$AB1364)&amp;")",""),"")))</f>
        <v/>
      </c>
      <c r="H1364" s="7">
        <f>IF($Z1364="C","CONTRACT",IF($Z1364="A","ASSET",IF($Z1364="F","WORKFORCE","")))</f>
        <v/>
      </c>
      <c r="I1364" s="7">
        <f>IF($Z1364="C",INDEX(Contracts!$L$2:$L$151,$AB1364)&amp;"",IF($Z1364="A",INDEX(Fixed_Assets!$I$2:$I$201,$AB1364)&amp;"",IF($Z1364="F",INDEX(Workforce!$G$2:$G$151,MATCH(INDEX(FTE_Allocation!$A$2:$A$201,$AB1364),Workforce!$A$2:$A$151,0))&amp;"","")))</f>
        <v/>
      </c>
      <c r="J1364" s="18">
        <f>IF($Z1364="","",IF(AND(DATE($AD1364,1,1)&gt;=$AE1364,DATE($AD1364,1,1)&lt;=$AF1364),ROUND($AG1364,2),0))</f>
        <v/>
      </c>
      <c r="K1364" s="18">
        <f>IF($Z1364="","",IF(AND(DATE($AD1364,2,1)&gt;=$AE1364,DATE($AD1364,2,1)&lt;=$AF1364),ROUND($AG1364,2),0))</f>
        <v/>
      </c>
      <c r="L1364" s="18">
        <f>IF($Z1364="","",IF(AND(DATE($AD1364,3,1)&gt;=$AE1364,DATE($AD1364,3,1)&lt;=$AF1364),ROUND($AG1364,2),0))</f>
        <v/>
      </c>
      <c r="M1364" s="18">
        <f>IF($Z1364="","",IF(AND(DATE($AD1364,4,1)&gt;=$AE1364,DATE($AD1364,4,1)&lt;=$AF1364),ROUND($AG1364,2),0))</f>
        <v/>
      </c>
      <c r="N1364" s="18">
        <f>IF($Z1364="","",IF(AND(DATE($AD1364,5,1)&gt;=$AE1364,DATE($AD1364,5,1)&lt;=$AF1364),ROUND($AG1364,2),0))</f>
        <v/>
      </c>
      <c r="O1364" s="18">
        <f>IF($Z1364="","",IF(AND(DATE($AD1364,6,1)&gt;=$AE1364,DATE($AD1364,6,1)&lt;=$AF1364),ROUND($AG1364,2),0))</f>
        <v/>
      </c>
      <c r="P1364" s="18">
        <f>IF($Z1364="","",IF(AND(DATE($AD1364,7,1)&gt;=$AE1364,DATE($AD1364,7,1)&lt;=$AF1364),ROUND($AG1364,2),0))</f>
        <v/>
      </c>
      <c r="Q1364" s="18">
        <f>IF($Z1364="","",IF(AND(DATE($AD1364,8,1)&gt;=$AE1364,DATE($AD1364,8,1)&lt;=$AF1364),ROUND($AG1364,2),0))</f>
        <v/>
      </c>
      <c r="R1364" s="18">
        <f>IF($Z1364="","",IF(AND(DATE($AD1364,9,1)&gt;=$AE1364,DATE($AD1364,9,1)&lt;=$AF1364),ROUND($AG1364,2),0))</f>
        <v/>
      </c>
      <c r="S1364" s="18">
        <f>IF($Z1364="","",IF(AND(DATE($AD1364,10,1)&gt;=$AE1364,DATE($AD1364,10,1)&lt;=$AF1364),ROUND($AG1364,2),0))</f>
        <v/>
      </c>
      <c r="T1364" s="18">
        <f>IF($Z1364="","",IF(AND(DATE($AD1364,11,1)&gt;=$AE1364,DATE($AD1364,11,1)&lt;=$AF1364),ROUND($AG1364,2),0))</f>
        <v/>
      </c>
      <c r="U1364" s="18">
        <f>IF($Z1364="","",IF(AND(DATE($AD1364,12,1)&gt;=$AE1364,DATE($AD1364,12,1)&lt;=$AF1364),ROUND($AG1364,2),0))</f>
        <v/>
      </c>
      <c r="V1364" s="7">
        <f>IF($Z1364="C","Generated from "&amp;INDEX(Contracts!$A$2:$A$151,$AB1364),IF($Z1364="A","Generated from "&amp;INDEX(Fixed_Assets!$A$2:$A$201,$AB1364),IF($Z1364="F","Generated from "&amp;INDEX(FTE_Allocation!$A$2:$A$201,$AB1364),"")))</f>
        <v/>
      </c>
      <c r="X1364" s="19">
        <f>IF($Z1364="","",SUM(J1364:U1364))</f>
        <v/>
      </c>
      <c r="Y1364" s="20">
        <f>ROW()-1</f>
        <v/>
      </c>
      <c r="Z1364" s="20">
        <f>IF($Y1364&lt;=Settings!$B$4*3,"C",IF($Y1364&lt;=(Settings!$B$4+Settings!$B$5)*3,"A",IF($Y1364&lt;=(Settings!$B$4+Settings!$B$5+Settings!$B$6)*3,"F","")))</f>
        <v/>
      </c>
      <c r="AA1364" s="20">
        <f>IF($Z1364="C",$Y1364,IF($Z1364="A",$Y1364-Settings!$B$4*3,IF($Z1364="F",$Y1364-(Settings!$B$4+Settings!$B$5)*3,"")))</f>
        <v/>
      </c>
      <c r="AB1364" s="20">
        <f>IF($Z1364="","",INT(($AA1364-1)/3)+1)</f>
        <v/>
      </c>
      <c r="AC1364" s="20">
        <f>IF($Z1364="","",MOD($AA1364-1,3)+1)</f>
        <v/>
      </c>
      <c r="AD1364" s="20">
        <f>IF($Z1364="","",Settings!$B$2+$AC1364-1)</f>
        <v/>
      </c>
      <c r="AE1364" s="21">
        <f>IF($Z1364="C",DATE(YEAR(INDEX(Contracts!$J$2:$J$151,$AB1364)),MONTH(INDEX(Contracts!$J$2:$J$151,$AB1364)),1),IF($Z1364="A",DATE(YEAR(INDEX(Fixed_Assets!$G$2:$G$201,$AB1364)),MONTH(INDEX(Fixed_Assets!$G$2:$G$201,$AB1364)),1),IF($Z1364="F",DATE(YEAR(MAX(N(INDEX(Workforce!$I$2:$I$151,MATCH(INDEX(FTE_Allocation!$A$2:$A$201,$AB1364),Workforce!$A$2:$A$151,0))),N(INDEX(FTE_Allocation!$I$2:$I$201,$AB1364)))),MONTH(MAX(N(INDEX(Workforce!$I$2:$I$151,MATCH(INDEX(FTE_Allocation!$A$2:$A$201,$AB1364),Workforce!$A$2:$A$151,0))),N(INDEX(FTE_Allocation!$I$2:$I$201,$AB1364)))),1),"")))</f>
        <v/>
      </c>
      <c r="AF1364" s="21">
        <f>IF($Z1364="C",IF(INDEX(Contracts!$I$2:$I$151,$AB1364)="PREPAID",EDATE(DATE(YEAR(INDEX(Contracts!$J$2:$J$151,$AB1364)),MONTH(INDEX(Contracts!$J$2:$J$151,$AB1364)),1),IF(INDEX(Contracts!$N$2:$N$151,$AB1364)="",12,INDEX(Contracts!$N$2:$N$151,$AB1364))-1),IF(INDEX(Contracts!$I$2:$I$151,$AB1364)="MONTHLY",IF(INDEX(Contracts!$K$2:$K$151,$AB1364)="",2958101,INDEX(Contracts!$K$2:$K$151,$AB1364)),0)),IF($Z1364="A",EDATE(DATE(YEAR(INDEX(Fixed_Assets!$G$2:$G$201,$AB1364)),MONTH(INDEX(Fixed_Assets!$G$2:$G$201,$AB1364)),1),INDEX(Fixed_Assets!$J$2:$J$201,$AB1364)-1),IF($Z1364="F",MIN(IF(INDEX(Workforce!$J$2:$J$151,MATCH(INDEX(FTE_Allocation!$A$2:$A$201,$AB1364),Workforce!$A$2:$A$151,0))="",2958101,INDEX(Workforce!$J$2:$J$151,MATCH(INDEX(FTE_Allocation!$A$2:$A$201,$AB1364),Workforce!$A$2:$A$151,0))),IF(INDEX(FTE_Allocation!$J$2:$J$201,$AB1364)="",2958101,INDEX(FTE_Allocation!$J$2:$J$201,$AB1364))),"")))</f>
        <v/>
      </c>
      <c r="AG1364" s="19">
        <f>IF($Z1364="C",IF(INDEX(Contracts!$I$2:$I$151,$AB1364)="PREPAID",INDEX(Contracts!$M$2:$M$151,$AB1364)/IF(INDEX(Contracts!$N$2:$N$151,$AB1364)="",12,INDEX(Contracts!$N$2:$N$151,$AB1364)),IF(INDEX(Contracts!$I$2:$I$151,$AB1364)="MONTHLY",INDEX(Contracts!$M$2:$M$151,$AB1364),0))*(1-N(INDEX(Contracts!$O$2:$O$151,$AB1364))),IF($Z1364="A",INDEX(Fixed_Assets!$H$2:$H$201,$AB1364)/INDEX(Fixed_Assets!$J$2:$J$201,$AB1364),IF($Z1364="F",INDEX(Workforce!$F$2:$F$151,MATCH(INDEX(FTE_Allocation!$A$2:$A$201,$AB1364),Workforce!$A$2:$A$151,0))*N(INDEX(FTE_Allocation!$F$2:$H$201,$AB1364,$AC1364)),"")))</f>
        <v/>
      </c>
    </row>
    <row r="1365">
      <c r="A1365" s="7">
        <f>IF($Z1365="","",$AD1365)</f>
        <v/>
      </c>
      <c r="B1365" s="7">
        <f>IF($Z1365="C",INDEX(Contracts!$D$2:$D$151,$AB1365)&amp;"",IF($Z1365="A",INDEX(Fixed_Assets!$C$2:$C$201,$AB1365)&amp;"",IF($Z1365="F",INDEX(Workforce!$B$2:$B$151,MATCH(INDEX(FTE_Allocation!$A$2:$A$201,$AB1365),Workforce!$A$2:$A$151,0))&amp;"","")))</f>
        <v/>
      </c>
      <c r="C1365" s="7">
        <f>IF($Z1365="C",INDEX(Contracts!$E$2:$E$151,$AB1365)&amp;"",IF($Z1365="A",INDEX(Fixed_Assets!$D$2:$D$201,$AB1365)&amp;"",IF($Z1365="F",INDEX(FTE_Allocation!$C$2:$C$201,$AB1365)&amp;"","")))</f>
        <v/>
      </c>
      <c r="D1365" s="7">
        <f>IF($Z1365="C",INDEX(Contracts!$B$2:$B$151,$AB1365)&amp;"",IF($Z1365="A",INDEX(Fixed_Assets!$B$2:$B$201,$AB1365)&amp;"",IF($Z1365="F",INDEX(FTE_Allocation!$B$2:$B$201,$AB1365)&amp;"","")))</f>
        <v/>
      </c>
      <c r="E1365" s="7">
        <f>IF($Z1365="C",INDEX(Contracts!$P$2:$P$151,$AB1365)&amp;"",IF($Z1365="A",INDEX(Fixed_Assets!$K$2:$K$201,$AB1365)&amp;"",IF($Z1365="F",IF(INDEX(FTE_Allocation!$D$2:$D$201,$AB1365)="PROJECT",IFERROR(INDEX(Projects!$D:$D,MATCH(INDEX(FTE_Allocation!$E$2:$E$201,$AB1365),Projects!$A:$A,0))&amp;"","#PROJECT?"),INDEX(FTE_Allocation!$E$2:$E$201,$AB1365)&amp;""),"")))</f>
        <v/>
      </c>
      <c r="F1365" s="7">
        <f>IF($Z1365="C",INDEX(Contracts!$Q$2:$Q$151,$AB1365)&amp;"",IF($Z1365="A",INDEX(Fixed_Assets!$L$2:$L$201,$AB1365)&amp;"",IF($Z1365="F",INDEX(Workforce!$K$2:$K$151,MATCH(INDEX(FTE_Allocation!$A$2:$A$201,$AB1365),Workforce!$A$2:$A$151,0))&amp;"","")))</f>
        <v/>
      </c>
      <c r="G1365" s="7">
        <f>IF($Z1365="C",INDEX(Contracts!$F$2:$F$151,$AB1365)&amp;" / "&amp;INDEX(Contracts!$G$2:$G$151,$AB1365),IF($Z1365="A",INDEX(Fixed_Assets!$E$2:$E$201,$AB1365)&amp;"",IF($Z1365="F","Personnel "&amp;INDEX(FTE_Allocation!$A$2:$A$201,$AB1365)&amp;IF(INDEX(FTE_Allocation!$D$2:$D$201,$AB1365)="PROJECT"," ("&amp;INDEX(FTE_Allocation!$E$2:$E$201,$AB1365)&amp;")",""),"")))</f>
        <v/>
      </c>
      <c r="H1365" s="7">
        <f>IF($Z1365="C","CONTRACT",IF($Z1365="A","ASSET",IF($Z1365="F","WORKFORCE","")))</f>
        <v/>
      </c>
      <c r="I1365" s="7">
        <f>IF($Z1365="C",INDEX(Contracts!$L$2:$L$151,$AB1365)&amp;"",IF($Z1365="A",INDEX(Fixed_Assets!$I$2:$I$201,$AB1365)&amp;"",IF($Z1365="F",INDEX(Workforce!$G$2:$G$151,MATCH(INDEX(FTE_Allocation!$A$2:$A$201,$AB1365),Workforce!$A$2:$A$151,0))&amp;"","")))</f>
        <v/>
      </c>
      <c r="J1365" s="18">
        <f>IF($Z1365="","",IF(AND(DATE($AD1365,1,1)&gt;=$AE1365,DATE($AD1365,1,1)&lt;=$AF1365),ROUND($AG1365,2),0))</f>
        <v/>
      </c>
      <c r="K1365" s="18">
        <f>IF($Z1365="","",IF(AND(DATE($AD1365,2,1)&gt;=$AE1365,DATE($AD1365,2,1)&lt;=$AF1365),ROUND($AG1365,2),0))</f>
        <v/>
      </c>
      <c r="L1365" s="18">
        <f>IF($Z1365="","",IF(AND(DATE($AD1365,3,1)&gt;=$AE1365,DATE($AD1365,3,1)&lt;=$AF1365),ROUND($AG1365,2),0))</f>
        <v/>
      </c>
      <c r="M1365" s="18">
        <f>IF($Z1365="","",IF(AND(DATE($AD1365,4,1)&gt;=$AE1365,DATE($AD1365,4,1)&lt;=$AF1365),ROUND($AG1365,2),0))</f>
        <v/>
      </c>
      <c r="N1365" s="18">
        <f>IF($Z1365="","",IF(AND(DATE($AD1365,5,1)&gt;=$AE1365,DATE($AD1365,5,1)&lt;=$AF1365),ROUND($AG1365,2),0))</f>
        <v/>
      </c>
      <c r="O1365" s="18">
        <f>IF($Z1365="","",IF(AND(DATE($AD1365,6,1)&gt;=$AE1365,DATE($AD1365,6,1)&lt;=$AF1365),ROUND($AG1365,2),0))</f>
        <v/>
      </c>
      <c r="P1365" s="18">
        <f>IF($Z1365="","",IF(AND(DATE($AD1365,7,1)&gt;=$AE1365,DATE($AD1365,7,1)&lt;=$AF1365),ROUND($AG1365,2),0))</f>
        <v/>
      </c>
      <c r="Q1365" s="18">
        <f>IF($Z1365="","",IF(AND(DATE($AD1365,8,1)&gt;=$AE1365,DATE($AD1365,8,1)&lt;=$AF1365),ROUND($AG1365,2),0))</f>
        <v/>
      </c>
      <c r="R1365" s="18">
        <f>IF($Z1365="","",IF(AND(DATE($AD1365,9,1)&gt;=$AE1365,DATE($AD1365,9,1)&lt;=$AF1365),ROUND($AG1365,2),0))</f>
        <v/>
      </c>
      <c r="S1365" s="18">
        <f>IF($Z1365="","",IF(AND(DATE($AD1365,10,1)&gt;=$AE1365,DATE($AD1365,10,1)&lt;=$AF1365),ROUND($AG1365,2),0))</f>
        <v/>
      </c>
      <c r="T1365" s="18">
        <f>IF($Z1365="","",IF(AND(DATE($AD1365,11,1)&gt;=$AE1365,DATE($AD1365,11,1)&lt;=$AF1365),ROUND($AG1365,2),0))</f>
        <v/>
      </c>
      <c r="U1365" s="18">
        <f>IF($Z1365="","",IF(AND(DATE($AD1365,12,1)&gt;=$AE1365,DATE($AD1365,12,1)&lt;=$AF1365),ROUND($AG1365,2),0))</f>
        <v/>
      </c>
      <c r="V1365" s="7">
        <f>IF($Z1365="C","Generated from "&amp;INDEX(Contracts!$A$2:$A$151,$AB1365),IF($Z1365="A","Generated from "&amp;INDEX(Fixed_Assets!$A$2:$A$201,$AB1365),IF($Z1365="F","Generated from "&amp;INDEX(FTE_Allocation!$A$2:$A$201,$AB1365),"")))</f>
        <v/>
      </c>
      <c r="X1365" s="19">
        <f>IF($Z1365="","",SUM(J1365:U1365))</f>
        <v/>
      </c>
      <c r="Y1365" s="20">
        <f>ROW()-1</f>
        <v/>
      </c>
      <c r="Z1365" s="20">
        <f>IF($Y1365&lt;=Settings!$B$4*3,"C",IF($Y1365&lt;=(Settings!$B$4+Settings!$B$5)*3,"A",IF($Y1365&lt;=(Settings!$B$4+Settings!$B$5+Settings!$B$6)*3,"F","")))</f>
        <v/>
      </c>
      <c r="AA1365" s="20">
        <f>IF($Z1365="C",$Y1365,IF($Z1365="A",$Y1365-Settings!$B$4*3,IF($Z1365="F",$Y1365-(Settings!$B$4+Settings!$B$5)*3,"")))</f>
        <v/>
      </c>
      <c r="AB1365" s="20">
        <f>IF($Z1365="","",INT(($AA1365-1)/3)+1)</f>
        <v/>
      </c>
      <c r="AC1365" s="20">
        <f>IF($Z1365="","",MOD($AA1365-1,3)+1)</f>
        <v/>
      </c>
      <c r="AD1365" s="20">
        <f>IF($Z1365="","",Settings!$B$2+$AC1365-1)</f>
        <v/>
      </c>
      <c r="AE1365" s="21">
        <f>IF($Z1365="C",DATE(YEAR(INDEX(Contracts!$J$2:$J$151,$AB1365)),MONTH(INDEX(Contracts!$J$2:$J$151,$AB1365)),1),IF($Z1365="A",DATE(YEAR(INDEX(Fixed_Assets!$G$2:$G$201,$AB1365)),MONTH(INDEX(Fixed_Assets!$G$2:$G$201,$AB1365)),1),IF($Z1365="F",DATE(YEAR(MAX(N(INDEX(Workforce!$I$2:$I$151,MATCH(INDEX(FTE_Allocation!$A$2:$A$201,$AB1365),Workforce!$A$2:$A$151,0))),N(INDEX(FTE_Allocation!$I$2:$I$201,$AB1365)))),MONTH(MAX(N(INDEX(Workforce!$I$2:$I$151,MATCH(INDEX(FTE_Allocation!$A$2:$A$201,$AB1365),Workforce!$A$2:$A$151,0))),N(INDEX(FTE_Allocation!$I$2:$I$201,$AB1365)))),1),"")))</f>
        <v/>
      </c>
      <c r="AF1365" s="21">
        <f>IF($Z1365="C",IF(INDEX(Contracts!$I$2:$I$151,$AB1365)="PREPAID",EDATE(DATE(YEAR(INDEX(Contracts!$J$2:$J$151,$AB1365)),MONTH(INDEX(Contracts!$J$2:$J$151,$AB1365)),1),IF(INDEX(Contracts!$N$2:$N$151,$AB1365)="",12,INDEX(Contracts!$N$2:$N$151,$AB1365))-1),IF(INDEX(Contracts!$I$2:$I$151,$AB1365)="MONTHLY",IF(INDEX(Contracts!$K$2:$K$151,$AB1365)="",2958101,INDEX(Contracts!$K$2:$K$151,$AB1365)),0)),IF($Z1365="A",EDATE(DATE(YEAR(INDEX(Fixed_Assets!$G$2:$G$201,$AB1365)),MONTH(INDEX(Fixed_Assets!$G$2:$G$201,$AB1365)),1),INDEX(Fixed_Assets!$J$2:$J$201,$AB1365)-1),IF($Z1365="F",MIN(IF(INDEX(Workforce!$J$2:$J$151,MATCH(INDEX(FTE_Allocation!$A$2:$A$201,$AB1365),Workforce!$A$2:$A$151,0))="",2958101,INDEX(Workforce!$J$2:$J$151,MATCH(INDEX(FTE_Allocation!$A$2:$A$201,$AB1365),Workforce!$A$2:$A$151,0))),IF(INDEX(FTE_Allocation!$J$2:$J$201,$AB1365)="",2958101,INDEX(FTE_Allocation!$J$2:$J$201,$AB1365))),"")))</f>
        <v/>
      </c>
      <c r="AG1365" s="19">
        <f>IF($Z1365="C",IF(INDEX(Contracts!$I$2:$I$151,$AB1365)="PREPAID",INDEX(Contracts!$M$2:$M$151,$AB1365)/IF(INDEX(Contracts!$N$2:$N$151,$AB1365)="",12,INDEX(Contracts!$N$2:$N$151,$AB1365)),IF(INDEX(Contracts!$I$2:$I$151,$AB1365)="MONTHLY",INDEX(Contracts!$M$2:$M$151,$AB1365),0))*(1-N(INDEX(Contracts!$O$2:$O$151,$AB1365))),IF($Z1365="A",INDEX(Fixed_Assets!$H$2:$H$201,$AB1365)/INDEX(Fixed_Assets!$J$2:$J$201,$AB1365),IF($Z1365="F",INDEX(Workforce!$F$2:$F$151,MATCH(INDEX(FTE_Allocation!$A$2:$A$201,$AB1365),Workforce!$A$2:$A$151,0))*N(INDEX(FTE_Allocation!$F$2:$H$201,$AB1365,$AC1365)),"")))</f>
        <v/>
      </c>
    </row>
    <row r="1366">
      <c r="A1366" s="7">
        <f>IF($Z1366="","",$AD1366)</f>
        <v/>
      </c>
      <c r="B1366" s="7">
        <f>IF($Z1366="C",INDEX(Contracts!$D$2:$D$151,$AB1366)&amp;"",IF($Z1366="A",INDEX(Fixed_Assets!$C$2:$C$201,$AB1366)&amp;"",IF($Z1366="F",INDEX(Workforce!$B$2:$B$151,MATCH(INDEX(FTE_Allocation!$A$2:$A$201,$AB1366),Workforce!$A$2:$A$151,0))&amp;"","")))</f>
        <v/>
      </c>
      <c r="C1366" s="7">
        <f>IF($Z1366="C",INDEX(Contracts!$E$2:$E$151,$AB1366)&amp;"",IF($Z1366="A",INDEX(Fixed_Assets!$D$2:$D$201,$AB1366)&amp;"",IF($Z1366="F",INDEX(FTE_Allocation!$C$2:$C$201,$AB1366)&amp;"","")))</f>
        <v/>
      </c>
      <c r="D1366" s="7">
        <f>IF($Z1366="C",INDEX(Contracts!$B$2:$B$151,$AB1366)&amp;"",IF($Z1366="A",INDEX(Fixed_Assets!$B$2:$B$201,$AB1366)&amp;"",IF($Z1366="F",INDEX(FTE_Allocation!$B$2:$B$201,$AB1366)&amp;"","")))</f>
        <v/>
      </c>
      <c r="E1366" s="7">
        <f>IF($Z1366="C",INDEX(Contracts!$P$2:$P$151,$AB1366)&amp;"",IF($Z1366="A",INDEX(Fixed_Assets!$K$2:$K$201,$AB1366)&amp;"",IF($Z1366="F",IF(INDEX(FTE_Allocation!$D$2:$D$201,$AB1366)="PROJECT",IFERROR(INDEX(Projects!$D:$D,MATCH(INDEX(FTE_Allocation!$E$2:$E$201,$AB1366),Projects!$A:$A,0))&amp;"","#PROJECT?"),INDEX(FTE_Allocation!$E$2:$E$201,$AB1366)&amp;""),"")))</f>
        <v/>
      </c>
      <c r="F1366" s="7">
        <f>IF($Z1366="C",INDEX(Contracts!$Q$2:$Q$151,$AB1366)&amp;"",IF($Z1366="A",INDEX(Fixed_Assets!$L$2:$L$201,$AB1366)&amp;"",IF($Z1366="F",INDEX(Workforce!$K$2:$K$151,MATCH(INDEX(FTE_Allocation!$A$2:$A$201,$AB1366),Workforce!$A$2:$A$151,0))&amp;"","")))</f>
        <v/>
      </c>
      <c r="G1366" s="7">
        <f>IF($Z1366="C",INDEX(Contracts!$F$2:$F$151,$AB1366)&amp;" / "&amp;INDEX(Contracts!$G$2:$G$151,$AB1366),IF($Z1366="A",INDEX(Fixed_Assets!$E$2:$E$201,$AB1366)&amp;"",IF($Z1366="F","Personnel "&amp;INDEX(FTE_Allocation!$A$2:$A$201,$AB1366)&amp;IF(INDEX(FTE_Allocation!$D$2:$D$201,$AB1366)="PROJECT"," ("&amp;INDEX(FTE_Allocation!$E$2:$E$201,$AB1366)&amp;")",""),"")))</f>
        <v/>
      </c>
      <c r="H1366" s="7">
        <f>IF($Z1366="C","CONTRACT",IF($Z1366="A","ASSET",IF($Z1366="F","WORKFORCE","")))</f>
        <v/>
      </c>
      <c r="I1366" s="7">
        <f>IF($Z1366="C",INDEX(Contracts!$L$2:$L$151,$AB1366)&amp;"",IF($Z1366="A",INDEX(Fixed_Assets!$I$2:$I$201,$AB1366)&amp;"",IF($Z1366="F",INDEX(Workforce!$G$2:$G$151,MATCH(INDEX(FTE_Allocation!$A$2:$A$201,$AB1366),Workforce!$A$2:$A$151,0))&amp;"","")))</f>
        <v/>
      </c>
      <c r="J1366" s="18">
        <f>IF($Z1366="","",IF(AND(DATE($AD1366,1,1)&gt;=$AE1366,DATE($AD1366,1,1)&lt;=$AF1366),ROUND($AG1366,2),0))</f>
        <v/>
      </c>
      <c r="K1366" s="18">
        <f>IF($Z1366="","",IF(AND(DATE($AD1366,2,1)&gt;=$AE1366,DATE($AD1366,2,1)&lt;=$AF1366),ROUND($AG1366,2),0))</f>
        <v/>
      </c>
      <c r="L1366" s="18">
        <f>IF($Z1366="","",IF(AND(DATE($AD1366,3,1)&gt;=$AE1366,DATE($AD1366,3,1)&lt;=$AF1366),ROUND($AG1366,2),0))</f>
        <v/>
      </c>
      <c r="M1366" s="18">
        <f>IF($Z1366="","",IF(AND(DATE($AD1366,4,1)&gt;=$AE1366,DATE($AD1366,4,1)&lt;=$AF1366),ROUND($AG1366,2),0))</f>
        <v/>
      </c>
      <c r="N1366" s="18">
        <f>IF($Z1366="","",IF(AND(DATE($AD1366,5,1)&gt;=$AE1366,DATE($AD1366,5,1)&lt;=$AF1366),ROUND($AG1366,2),0))</f>
        <v/>
      </c>
      <c r="O1366" s="18">
        <f>IF($Z1366="","",IF(AND(DATE($AD1366,6,1)&gt;=$AE1366,DATE($AD1366,6,1)&lt;=$AF1366),ROUND($AG1366,2),0))</f>
        <v/>
      </c>
      <c r="P1366" s="18">
        <f>IF($Z1366="","",IF(AND(DATE($AD1366,7,1)&gt;=$AE1366,DATE($AD1366,7,1)&lt;=$AF1366),ROUND($AG1366,2),0))</f>
        <v/>
      </c>
      <c r="Q1366" s="18">
        <f>IF($Z1366="","",IF(AND(DATE($AD1366,8,1)&gt;=$AE1366,DATE($AD1366,8,1)&lt;=$AF1366),ROUND($AG1366,2),0))</f>
        <v/>
      </c>
      <c r="R1366" s="18">
        <f>IF($Z1366="","",IF(AND(DATE($AD1366,9,1)&gt;=$AE1366,DATE($AD1366,9,1)&lt;=$AF1366),ROUND($AG1366,2),0))</f>
        <v/>
      </c>
      <c r="S1366" s="18">
        <f>IF($Z1366="","",IF(AND(DATE($AD1366,10,1)&gt;=$AE1366,DATE($AD1366,10,1)&lt;=$AF1366),ROUND($AG1366,2),0))</f>
        <v/>
      </c>
      <c r="T1366" s="18">
        <f>IF($Z1366="","",IF(AND(DATE($AD1366,11,1)&gt;=$AE1366,DATE($AD1366,11,1)&lt;=$AF1366),ROUND($AG1366,2),0))</f>
        <v/>
      </c>
      <c r="U1366" s="18">
        <f>IF($Z1366="","",IF(AND(DATE($AD1366,12,1)&gt;=$AE1366,DATE($AD1366,12,1)&lt;=$AF1366),ROUND($AG1366,2),0))</f>
        <v/>
      </c>
      <c r="V1366" s="7">
        <f>IF($Z1366="C","Generated from "&amp;INDEX(Contracts!$A$2:$A$151,$AB1366),IF($Z1366="A","Generated from "&amp;INDEX(Fixed_Assets!$A$2:$A$201,$AB1366),IF($Z1366="F","Generated from "&amp;INDEX(FTE_Allocation!$A$2:$A$201,$AB1366),"")))</f>
        <v/>
      </c>
      <c r="X1366" s="19">
        <f>IF($Z1366="","",SUM(J1366:U1366))</f>
        <v/>
      </c>
      <c r="Y1366" s="20">
        <f>ROW()-1</f>
        <v/>
      </c>
      <c r="Z1366" s="20">
        <f>IF($Y1366&lt;=Settings!$B$4*3,"C",IF($Y1366&lt;=(Settings!$B$4+Settings!$B$5)*3,"A",IF($Y1366&lt;=(Settings!$B$4+Settings!$B$5+Settings!$B$6)*3,"F","")))</f>
        <v/>
      </c>
      <c r="AA1366" s="20">
        <f>IF($Z1366="C",$Y1366,IF($Z1366="A",$Y1366-Settings!$B$4*3,IF($Z1366="F",$Y1366-(Settings!$B$4+Settings!$B$5)*3,"")))</f>
        <v/>
      </c>
      <c r="AB1366" s="20">
        <f>IF($Z1366="","",INT(($AA1366-1)/3)+1)</f>
        <v/>
      </c>
      <c r="AC1366" s="20">
        <f>IF($Z1366="","",MOD($AA1366-1,3)+1)</f>
        <v/>
      </c>
      <c r="AD1366" s="20">
        <f>IF($Z1366="","",Settings!$B$2+$AC1366-1)</f>
        <v/>
      </c>
      <c r="AE1366" s="21">
        <f>IF($Z1366="C",DATE(YEAR(INDEX(Contracts!$J$2:$J$151,$AB1366)),MONTH(INDEX(Contracts!$J$2:$J$151,$AB1366)),1),IF($Z1366="A",DATE(YEAR(INDEX(Fixed_Assets!$G$2:$G$201,$AB1366)),MONTH(INDEX(Fixed_Assets!$G$2:$G$201,$AB1366)),1),IF($Z1366="F",DATE(YEAR(MAX(N(INDEX(Workforce!$I$2:$I$151,MATCH(INDEX(FTE_Allocation!$A$2:$A$201,$AB1366),Workforce!$A$2:$A$151,0))),N(INDEX(FTE_Allocation!$I$2:$I$201,$AB1366)))),MONTH(MAX(N(INDEX(Workforce!$I$2:$I$151,MATCH(INDEX(FTE_Allocation!$A$2:$A$201,$AB1366),Workforce!$A$2:$A$151,0))),N(INDEX(FTE_Allocation!$I$2:$I$201,$AB1366)))),1),"")))</f>
        <v/>
      </c>
      <c r="AF1366" s="21">
        <f>IF($Z1366="C",IF(INDEX(Contracts!$I$2:$I$151,$AB1366)="PREPAID",EDATE(DATE(YEAR(INDEX(Contracts!$J$2:$J$151,$AB1366)),MONTH(INDEX(Contracts!$J$2:$J$151,$AB1366)),1),IF(INDEX(Contracts!$N$2:$N$151,$AB1366)="",12,INDEX(Contracts!$N$2:$N$151,$AB1366))-1),IF(INDEX(Contracts!$I$2:$I$151,$AB1366)="MONTHLY",IF(INDEX(Contracts!$K$2:$K$151,$AB1366)="",2958101,INDEX(Contracts!$K$2:$K$151,$AB1366)),0)),IF($Z1366="A",EDATE(DATE(YEAR(INDEX(Fixed_Assets!$G$2:$G$201,$AB1366)),MONTH(INDEX(Fixed_Assets!$G$2:$G$201,$AB1366)),1),INDEX(Fixed_Assets!$J$2:$J$201,$AB1366)-1),IF($Z1366="F",MIN(IF(INDEX(Workforce!$J$2:$J$151,MATCH(INDEX(FTE_Allocation!$A$2:$A$201,$AB1366),Workforce!$A$2:$A$151,0))="",2958101,INDEX(Workforce!$J$2:$J$151,MATCH(INDEX(FTE_Allocation!$A$2:$A$201,$AB1366),Workforce!$A$2:$A$151,0))),IF(INDEX(FTE_Allocation!$J$2:$J$201,$AB1366)="",2958101,INDEX(FTE_Allocation!$J$2:$J$201,$AB1366))),"")))</f>
        <v/>
      </c>
      <c r="AG1366" s="19">
        <f>IF($Z1366="C",IF(INDEX(Contracts!$I$2:$I$151,$AB1366)="PREPAID",INDEX(Contracts!$M$2:$M$151,$AB1366)/IF(INDEX(Contracts!$N$2:$N$151,$AB1366)="",12,INDEX(Contracts!$N$2:$N$151,$AB1366)),IF(INDEX(Contracts!$I$2:$I$151,$AB1366)="MONTHLY",INDEX(Contracts!$M$2:$M$151,$AB1366),0))*(1-N(INDEX(Contracts!$O$2:$O$151,$AB1366))),IF($Z1366="A",INDEX(Fixed_Assets!$H$2:$H$201,$AB1366)/INDEX(Fixed_Assets!$J$2:$J$201,$AB1366),IF($Z1366="F",INDEX(Workforce!$F$2:$F$151,MATCH(INDEX(FTE_Allocation!$A$2:$A$201,$AB1366),Workforce!$A$2:$A$151,0))*N(INDEX(FTE_Allocation!$F$2:$H$201,$AB1366,$AC1366)),"")))</f>
        <v/>
      </c>
    </row>
    <row r="1367">
      <c r="A1367" s="7">
        <f>IF($Z1367="","",$AD1367)</f>
        <v/>
      </c>
      <c r="B1367" s="7">
        <f>IF($Z1367="C",INDEX(Contracts!$D$2:$D$151,$AB1367)&amp;"",IF($Z1367="A",INDEX(Fixed_Assets!$C$2:$C$201,$AB1367)&amp;"",IF($Z1367="F",INDEX(Workforce!$B$2:$B$151,MATCH(INDEX(FTE_Allocation!$A$2:$A$201,$AB1367),Workforce!$A$2:$A$151,0))&amp;"","")))</f>
        <v/>
      </c>
      <c r="C1367" s="7">
        <f>IF($Z1367="C",INDEX(Contracts!$E$2:$E$151,$AB1367)&amp;"",IF($Z1367="A",INDEX(Fixed_Assets!$D$2:$D$201,$AB1367)&amp;"",IF($Z1367="F",INDEX(FTE_Allocation!$C$2:$C$201,$AB1367)&amp;"","")))</f>
        <v/>
      </c>
      <c r="D1367" s="7">
        <f>IF($Z1367="C",INDEX(Contracts!$B$2:$B$151,$AB1367)&amp;"",IF($Z1367="A",INDEX(Fixed_Assets!$B$2:$B$201,$AB1367)&amp;"",IF($Z1367="F",INDEX(FTE_Allocation!$B$2:$B$201,$AB1367)&amp;"","")))</f>
        <v/>
      </c>
      <c r="E1367" s="7">
        <f>IF($Z1367="C",INDEX(Contracts!$P$2:$P$151,$AB1367)&amp;"",IF($Z1367="A",INDEX(Fixed_Assets!$K$2:$K$201,$AB1367)&amp;"",IF($Z1367="F",IF(INDEX(FTE_Allocation!$D$2:$D$201,$AB1367)="PROJECT",IFERROR(INDEX(Projects!$D:$D,MATCH(INDEX(FTE_Allocation!$E$2:$E$201,$AB1367),Projects!$A:$A,0))&amp;"","#PROJECT?"),INDEX(FTE_Allocation!$E$2:$E$201,$AB1367)&amp;""),"")))</f>
        <v/>
      </c>
      <c r="F1367" s="7">
        <f>IF($Z1367="C",INDEX(Contracts!$Q$2:$Q$151,$AB1367)&amp;"",IF($Z1367="A",INDEX(Fixed_Assets!$L$2:$L$201,$AB1367)&amp;"",IF($Z1367="F",INDEX(Workforce!$K$2:$K$151,MATCH(INDEX(FTE_Allocation!$A$2:$A$201,$AB1367),Workforce!$A$2:$A$151,0))&amp;"","")))</f>
        <v/>
      </c>
      <c r="G1367" s="7">
        <f>IF($Z1367="C",INDEX(Contracts!$F$2:$F$151,$AB1367)&amp;" / "&amp;INDEX(Contracts!$G$2:$G$151,$AB1367),IF($Z1367="A",INDEX(Fixed_Assets!$E$2:$E$201,$AB1367)&amp;"",IF($Z1367="F","Personnel "&amp;INDEX(FTE_Allocation!$A$2:$A$201,$AB1367)&amp;IF(INDEX(FTE_Allocation!$D$2:$D$201,$AB1367)="PROJECT"," ("&amp;INDEX(FTE_Allocation!$E$2:$E$201,$AB1367)&amp;")",""),"")))</f>
        <v/>
      </c>
      <c r="H1367" s="7">
        <f>IF($Z1367="C","CONTRACT",IF($Z1367="A","ASSET",IF($Z1367="F","WORKFORCE","")))</f>
        <v/>
      </c>
      <c r="I1367" s="7">
        <f>IF($Z1367="C",INDEX(Contracts!$L$2:$L$151,$AB1367)&amp;"",IF($Z1367="A",INDEX(Fixed_Assets!$I$2:$I$201,$AB1367)&amp;"",IF($Z1367="F",INDEX(Workforce!$G$2:$G$151,MATCH(INDEX(FTE_Allocation!$A$2:$A$201,$AB1367),Workforce!$A$2:$A$151,0))&amp;"","")))</f>
        <v/>
      </c>
      <c r="J1367" s="18">
        <f>IF($Z1367="","",IF(AND(DATE($AD1367,1,1)&gt;=$AE1367,DATE($AD1367,1,1)&lt;=$AF1367),ROUND($AG1367,2),0))</f>
        <v/>
      </c>
      <c r="K1367" s="18">
        <f>IF($Z1367="","",IF(AND(DATE($AD1367,2,1)&gt;=$AE1367,DATE($AD1367,2,1)&lt;=$AF1367),ROUND($AG1367,2),0))</f>
        <v/>
      </c>
      <c r="L1367" s="18">
        <f>IF($Z1367="","",IF(AND(DATE($AD1367,3,1)&gt;=$AE1367,DATE($AD1367,3,1)&lt;=$AF1367),ROUND($AG1367,2),0))</f>
        <v/>
      </c>
      <c r="M1367" s="18">
        <f>IF($Z1367="","",IF(AND(DATE($AD1367,4,1)&gt;=$AE1367,DATE($AD1367,4,1)&lt;=$AF1367),ROUND($AG1367,2),0))</f>
        <v/>
      </c>
      <c r="N1367" s="18">
        <f>IF($Z1367="","",IF(AND(DATE($AD1367,5,1)&gt;=$AE1367,DATE($AD1367,5,1)&lt;=$AF1367),ROUND($AG1367,2),0))</f>
        <v/>
      </c>
      <c r="O1367" s="18">
        <f>IF($Z1367="","",IF(AND(DATE($AD1367,6,1)&gt;=$AE1367,DATE($AD1367,6,1)&lt;=$AF1367),ROUND($AG1367,2),0))</f>
        <v/>
      </c>
      <c r="P1367" s="18">
        <f>IF($Z1367="","",IF(AND(DATE($AD1367,7,1)&gt;=$AE1367,DATE($AD1367,7,1)&lt;=$AF1367),ROUND($AG1367,2),0))</f>
        <v/>
      </c>
      <c r="Q1367" s="18">
        <f>IF($Z1367="","",IF(AND(DATE($AD1367,8,1)&gt;=$AE1367,DATE($AD1367,8,1)&lt;=$AF1367),ROUND($AG1367,2),0))</f>
        <v/>
      </c>
      <c r="R1367" s="18">
        <f>IF($Z1367="","",IF(AND(DATE($AD1367,9,1)&gt;=$AE1367,DATE($AD1367,9,1)&lt;=$AF1367),ROUND($AG1367,2),0))</f>
        <v/>
      </c>
      <c r="S1367" s="18">
        <f>IF($Z1367="","",IF(AND(DATE($AD1367,10,1)&gt;=$AE1367,DATE($AD1367,10,1)&lt;=$AF1367),ROUND($AG1367,2),0))</f>
        <v/>
      </c>
      <c r="T1367" s="18">
        <f>IF($Z1367="","",IF(AND(DATE($AD1367,11,1)&gt;=$AE1367,DATE($AD1367,11,1)&lt;=$AF1367),ROUND($AG1367,2),0))</f>
        <v/>
      </c>
      <c r="U1367" s="18">
        <f>IF($Z1367="","",IF(AND(DATE($AD1367,12,1)&gt;=$AE1367,DATE($AD1367,12,1)&lt;=$AF1367),ROUND($AG1367,2),0))</f>
        <v/>
      </c>
      <c r="V1367" s="7">
        <f>IF($Z1367="C","Generated from "&amp;INDEX(Contracts!$A$2:$A$151,$AB1367),IF($Z1367="A","Generated from "&amp;INDEX(Fixed_Assets!$A$2:$A$201,$AB1367),IF($Z1367="F","Generated from "&amp;INDEX(FTE_Allocation!$A$2:$A$201,$AB1367),"")))</f>
        <v/>
      </c>
      <c r="X1367" s="19">
        <f>IF($Z1367="","",SUM(J1367:U1367))</f>
        <v/>
      </c>
      <c r="Y1367" s="20">
        <f>ROW()-1</f>
        <v/>
      </c>
      <c r="Z1367" s="20">
        <f>IF($Y1367&lt;=Settings!$B$4*3,"C",IF($Y1367&lt;=(Settings!$B$4+Settings!$B$5)*3,"A",IF($Y1367&lt;=(Settings!$B$4+Settings!$B$5+Settings!$B$6)*3,"F","")))</f>
        <v/>
      </c>
      <c r="AA1367" s="20">
        <f>IF($Z1367="C",$Y1367,IF($Z1367="A",$Y1367-Settings!$B$4*3,IF($Z1367="F",$Y1367-(Settings!$B$4+Settings!$B$5)*3,"")))</f>
        <v/>
      </c>
      <c r="AB1367" s="20">
        <f>IF($Z1367="","",INT(($AA1367-1)/3)+1)</f>
        <v/>
      </c>
      <c r="AC1367" s="20">
        <f>IF($Z1367="","",MOD($AA1367-1,3)+1)</f>
        <v/>
      </c>
      <c r="AD1367" s="20">
        <f>IF($Z1367="","",Settings!$B$2+$AC1367-1)</f>
        <v/>
      </c>
      <c r="AE1367" s="21">
        <f>IF($Z1367="C",DATE(YEAR(INDEX(Contracts!$J$2:$J$151,$AB1367)),MONTH(INDEX(Contracts!$J$2:$J$151,$AB1367)),1),IF($Z1367="A",DATE(YEAR(INDEX(Fixed_Assets!$G$2:$G$201,$AB1367)),MONTH(INDEX(Fixed_Assets!$G$2:$G$201,$AB1367)),1),IF($Z1367="F",DATE(YEAR(MAX(N(INDEX(Workforce!$I$2:$I$151,MATCH(INDEX(FTE_Allocation!$A$2:$A$201,$AB1367),Workforce!$A$2:$A$151,0))),N(INDEX(FTE_Allocation!$I$2:$I$201,$AB1367)))),MONTH(MAX(N(INDEX(Workforce!$I$2:$I$151,MATCH(INDEX(FTE_Allocation!$A$2:$A$201,$AB1367),Workforce!$A$2:$A$151,0))),N(INDEX(FTE_Allocation!$I$2:$I$201,$AB1367)))),1),"")))</f>
        <v/>
      </c>
      <c r="AF1367" s="21">
        <f>IF($Z1367="C",IF(INDEX(Contracts!$I$2:$I$151,$AB1367)="PREPAID",EDATE(DATE(YEAR(INDEX(Contracts!$J$2:$J$151,$AB1367)),MONTH(INDEX(Contracts!$J$2:$J$151,$AB1367)),1),IF(INDEX(Contracts!$N$2:$N$151,$AB1367)="",12,INDEX(Contracts!$N$2:$N$151,$AB1367))-1),IF(INDEX(Contracts!$I$2:$I$151,$AB1367)="MONTHLY",IF(INDEX(Contracts!$K$2:$K$151,$AB1367)="",2958101,INDEX(Contracts!$K$2:$K$151,$AB1367)),0)),IF($Z1367="A",EDATE(DATE(YEAR(INDEX(Fixed_Assets!$G$2:$G$201,$AB1367)),MONTH(INDEX(Fixed_Assets!$G$2:$G$201,$AB1367)),1),INDEX(Fixed_Assets!$J$2:$J$201,$AB1367)-1),IF($Z1367="F",MIN(IF(INDEX(Workforce!$J$2:$J$151,MATCH(INDEX(FTE_Allocation!$A$2:$A$201,$AB1367),Workforce!$A$2:$A$151,0))="",2958101,INDEX(Workforce!$J$2:$J$151,MATCH(INDEX(FTE_Allocation!$A$2:$A$201,$AB1367),Workforce!$A$2:$A$151,0))),IF(INDEX(FTE_Allocation!$J$2:$J$201,$AB1367)="",2958101,INDEX(FTE_Allocation!$J$2:$J$201,$AB1367))),"")))</f>
        <v/>
      </c>
      <c r="AG1367" s="19">
        <f>IF($Z1367="C",IF(INDEX(Contracts!$I$2:$I$151,$AB1367)="PREPAID",INDEX(Contracts!$M$2:$M$151,$AB1367)/IF(INDEX(Contracts!$N$2:$N$151,$AB1367)="",12,INDEX(Contracts!$N$2:$N$151,$AB1367)),IF(INDEX(Contracts!$I$2:$I$151,$AB1367)="MONTHLY",INDEX(Contracts!$M$2:$M$151,$AB1367),0))*(1-N(INDEX(Contracts!$O$2:$O$151,$AB1367))),IF($Z1367="A",INDEX(Fixed_Assets!$H$2:$H$201,$AB1367)/INDEX(Fixed_Assets!$J$2:$J$201,$AB1367),IF($Z1367="F",INDEX(Workforce!$F$2:$F$151,MATCH(INDEX(FTE_Allocation!$A$2:$A$201,$AB1367),Workforce!$A$2:$A$151,0))*N(INDEX(FTE_Allocation!$F$2:$H$201,$AB1367,$AC1367)),"")))</f>
        <v/>
      </c>
    </row>
    <row r="1368">
      <c r="A1368" s="7">
        <f>IF($Z1368="","",$AD1368)</f>
        <v/>
      </c>
      <c r="B1368" s="7">
        <f>IF($Z1368="C",INDEX(Contracts!$D$2:$D$151,$AB1368)&amp;"",IF($Z1368="A",INDEX(Fixed_Assets!$C$2:$C$201,$AB1368)&amp;"",IF($Z1368="F",INDEX(Workforce!$B$2:$B$151,MATCH(INDEX(FTE_Allocation!$A$2:$A$201,$AB1368),Workforce!$A$2:$A$151,0))&amp;"","")))</f>
        <v/>
      </c>
      <c r="C1368" s="7">
        <f>IF($Z1368="C",INDEX(Contracts!$E$2:$E$151,$AB1368)&amp;"",IF($Z1368="A",INDEX(Fixed_Assets!$D$2:$D$201,$AB1368)&amp;"",IF($Z1368="F",INDEX(FTE_Allocation!$C$2:$C$201,$AB1368)&amp;"","")))</f>
        <v/>
      </c>
      <c r="D1368" s="7">
        <f>IF($Z1368="C",INDEX(Contracts!$B$2:$B$151,$AB1368)&amp;"",IF($Z1368="A",INDEX(Fixed_Assets!$B$2:$B$201,$AB1368)&amp;"",IF($Z1368="F",INDEX(FTE_Allocation!$B$2:$B$201,$AB1368)&amp;"","")))</f>
        <v/>
      </c>
      <c r="E1368" s="7">
        <f>IF($Z1368="C",INDEX(Contracts!$P$2:$P$151,$AB1368)&amp;"",IF($Z1368="A",INDEX(Fixed_Assets!$K$2:$K$201,$AB1368)&amp;"",IF($Z1368="F",IF(INDEX(FTE_Allocation!$D$2:$D$201,$AB1368)="PROJECT",IFERROR(INDEX(Projects!$D:$D,MATCH(INDEX(FTE_Allocation!$E$2:$E$201,$AB1368),Projects!$A:$A,0))&amp;"","#PROJECT?"),INDEX(FTE_Allocation!$E$2:$E$201,$AB1368)&amp;""),"")))</f>
        <v/>
      </c>
      <c r="F1368" s="7">
        <f>IF($Z1368="C",INDEX(Contracts!$Q$2:$Q$151,$AB1368)&amp;"",IF($Z1368="A",INDEX(Fixed_Assets!$L$2:$L$201,$AB1368)&amp;"",IF($Z1368="F",INDEX(Workforce!$K$2:$K$151,MATCH(INDEX(FTE_Allocation!$A$2:$A$201,$AB1368),Workforce!$A$2:$A$151,0))&amp;"","")))</f>
        <v/>
      </c>
      <c r="G1368" s="7">
        <f>IF($Z1368="C",INDEX(Contracts!$F$2:$F$151,$AB1368)&amp;" / "&amp;INDEX(Contracts!$G$2:$G$151,$AB1368),IF($Z1368="A",INDEX(Fixed_Assets!$E$2:$E$201,$AB1368)&amp;"",IF($Z1368="F","Personnel "&amp;INDEX(FTE_Allocation!$A$2:$A$201,$AB1368)&amp;IF(INDEX(FTE_Allocation!$D$2:$D$201,$AB1368)="PROJECT"," ("&amp;INDEX(FTE_Allocation!$E$2:$E$201,$AB1368)&amp;")",""),"")))</f>
        <v/>
      </c>
      <c r="H1368" s="7">
        <f>IF($Z1368="C","CONTRACT",IF($Z1368="A","ASSET",IF($Z1368="F","WORKFORCE","")))</f>
        <v/>
      </c>
      <c r="I1368" s="7">
        <f>IF($Z1368="C",INDEX(Contracts!$L$2:$L$151,$AB1368)&amp;"",IF($Z1368="A",INDEX(Fixed_Assets!$I$2:$I$201,$AB1368)&amp;"",IF($Z1368="F",INDEX(Workforce!$G$2:$G$151,MATCH(INDEX(FTE_Allocation!$A$2:$A$201,$AB1368),Workforce!$A$2:$A$151,0))&amp;"","")))</f>
        <v/>
      </c>
      <c r="J1368" s="18">
        <f>IF($Z1368="","",IF(AND(DATE($AD1368,1,1)&gt;=$AE1368,DATE($AD1368,1,1)&lt;=$AF1368),ROUND($AG1368,2),0))</f>
        <v/>
      </c>
      <c r="K1368" s="18">
        <f>IF($Z1368="","",IF(AND(DATE($AD1368,2,1)&gt;=$AE1368,DATE($AD1368,2,1)&lt;=$AF1368),ROUND($AG1368,2),0))</f>
        <v/>
      </c>
      <c r="L1368" s="18">
        <f>IF($Z1368="","",IF(AND(DATE($AD1368,3,1)&gt;=$AE1368,DATE($AD1368,3,1)&lt;=$AF1368),ROUND($AG1368,2),0))</f>
        <v/>
      </c>
      <c r="M1368" s="18">
        <f>IF($Z1368="","",IF(AND(DATE($AD1368,4,1)&gt;=$AE1368,DATE($AD1368,4,1)&lt;=$AF1368),ROUND($AG1368,2),0))</f>
        <v/>
      </c>
      <c r="N1368" s="18">
        <f>IF($Z1368="","",IF(AND(DATE($AD1368,5,1)&gt;=$AE1368,DATE($AD1368,5,1)&lt;=$AF1368),ROUND($AG1368,2),0))</f>
        <v/>
      </c>
      <c r="O1368" s="18">
        <f>IF($Z1368="","",IF(AND(DATE($AD1368,6,1)&gt;=$AE1368,DATE($AD1368,6,1)&lt;=$AF1368),ROUND($AG1368,2),0))</f>
        <v/>
      </c>
      <c r="P1368" s="18">
        <f>IF($Z1368="","",IF(AND(DATE($AD1368,7,1)&gt;=$AE1368,DATE($AD1368,7,1)&lt;=$AF1368),ROUND($AG1368,2),0))</f>
        <v/>
      </c>
      <c r="Q1368" s="18">
        <f>IF($Z1368="","",IF(AND(DATE($AD1368,8,1)&gt;=$AE1368,DATE($AD1368,8,1)&lt;=$AF1368),ROUND($AG1368,2),0))</f>
        <v/>
      </c>
      <c r="R1368" s="18">
        <f>IF($Z1368="","",IF(AND(DATE($AD1368,9,1)&gt;=$AE1368,DATE($AD1368,9,1)&lt;=$AF1368),ROUND($AG1368,2),0))</f>
        <v/>
      </c>
      <c r="S1368" s="18">
        <f>IF($Z1368="","",IF(AND(DATE($AD1368,10,1)&gt;=$AE1368,DATE($AD1368,10,1)&lt;=$AF1368),ROUND($AG1368,2),0))</f>
        <v/>
      </c>
      <c r="T1368" s="18">
        <f>IF($Z1368="","",IF(AND(DATE($AD1368,11,1)&gt;=$AE1368,DATE($AD1368,11,1)&lt;=$AF1368),ROUND($AG1368,2),0))</f>
        <v/>
      </c>
      <c r="U1368" s="18">
        <f>IF($Z1368="","",IF(AND(DATE($AD1368,12,1)&gt;=$AE1368,DATE($AD1368,12,1)&lt;=$AF1368),ROUND($AG1368,2),0))</f>
        <v/>
      </c>
      <c r="V1368" s="7">
        <f>IF($Z1368="C","Generated from "&amp;INDEX(Contracts!$A$2:$A$151,$AB1368),IF($Z1368="A","Generated from "&amp;INDEX(Fixed_Assets!$A$2:$A$201,$AB1368),IF($Z1368="F","Generated from "&amp;INDEX(FTE_Allocation!$A$2:$A$201,$AB1368),"")))</f>
        <v/>
      </c>
      <c r="X1368" s="19">
        <f>IF($Z1368="","",SUM(J1368:U1368))</f>
        <v/>
      </c>
      <c r="Y1368" s="20">
        <f>ROW()-1</f>
        <v/>
      </c>
      <c r="Z1368" s="20">
        <f>IF($Y1368&lt;=Settings!$B$4*3,"C",IF($Y1368&lt;=(Settings!$B$4+Settings!$B$5)*3,"A",IF($Y1368&lt;=(Settings!$B$4+Settings!$B$5+Settings!$B$6)*3,"F","")))</f>
        <v/>
      </c>
      <c r="AA1368" s="20">
        <f>IF($Z1368="C",$Y1368,IF($Z1368="A",$Y1368-Settings!$B$4*3,IF($Z1368="F",$Y1368-(Settings!$B$4+Settings!$B$5)*3,"")))</f>
        <v/>
      </c>
      <c r="AB1368" s="20">
        <f>IF($Z1368="","",INT(($AA1368-1)/3)+1)</f>
        <v/>
      </c>
      <c r="AC1368" s="20">
        <f>IF($Z1368="","",MOD($AA1368-1,3)+1)</f>
        <v/>
      </c>
      <c r="AD1368" s="20">
        <f>IF($Z1368="","",Settings!$B$2+$AC1368-1)</f>
        <v/>
      </c>
      <c r="AE1368" s="21">
        <f>IF($Z1368="C",DATE(YEAR(INDEX(Contracts!$J$2:$J$151,$AB1368)),MONTH(INDEX(Contracts!$J$2:$J$151,$AB1368)),1),IF($Z1368="A",DATE(YEAR(INDEX(Fixed_Assets!$G$2:$G$201,$AB1368)),MONTH(INDEX(Fixed_Assets!$G$2:$G$201,$AB1368)),1),IF($Z1368="F",DATE(YEAR(MAX(N(INDEX(Workforce!$I$2:$I$151,MATCH(INDEX(FTE_Allocation!$A$2:$A$201,$AB1368),Workforce!$A$2:$A$151,0))),N(INDEX(FTE_Allocation!$I$2:$I$201,$AB1368)))),MONTH(MAX(N(INDEX(Workforce!$I$2:$I$151,MATCH(INDEX(FTE_Allocation!$A$2:$A$201,$AB1368),Workforce!$A$2:$A$151,0))),N(INDEX(FTE_Allocation!$I$2:$I$201,$AB1368)))),1),"")))</f>
        <v/>
      </c>
      <c r="AF1368" s="21">
        <f>IF($Z1368="C",IF(INDEX(Contracts!$I$2:$I$151,$AB1368)="PREPAID",EDATE(DATE(YEAR(INDEX(Contracts!$J$2:$J$151,$AB1368)),MONTH(INDEX(Contracts!$J$2:$J$151,$AB1368)),1),IF(INDEX(Contracts!$N$2:$N$151,$AB1368)="",12,INDEX(Contracts!$N$2:$N$151,$AB1368))-1),IF(INDEX(Contracts!$I$2:$I$151,$AB1368)="MONTHLY",IF(INDEX(Contracts!$K$2:$K$151,$AB1368)="",2958101,INDEX(Contracts!$K$2:$K$151,$AB1368)),0)),IF($Z1368="A",EDATE(DATE(YEAR(INDEX(Fixed_Assets!$G$2:$G$201,$AB1368)),MONTH(INDEX(Fixed_Assets!$G$2:$G$201,$AB1368)),1),INDEX(Fixed_Assets!$J$2:$J$201,$AB1368)-1),IF($Z1368="F",MIN(IF(INDEX(Workforce!$J$2:$J$151,MATCH(INDEX(FTE_Allocation!$A$2:$A$201,$AB1368),Workforce!$A$2:$A$151,0))="",2958101,INDEX(Workforce!$J$2:$J$151,MATCH(INDEX(FTE_Allocation!$A$2:$A$201,$AB1368),Workforce!$A$2:$A$151,0))),IF(INDEX(FTE_Allocation!$J$2:$J$201,$AB1368)="",2958101,INDEX(FTE_Allocation!$J$2:$J$201,$AB1368))),"")))</f>
        <v/>
      </c>
      <c r="AG1368" s="19">
        <f>IF($Z1368="C",IF(INDEX(Contracts!$I$2:$I$151,$AB1368)="PREPAID",INDEX(Contracts!$M$2:$M$151,$AB1368)/IF(INDEX(Contracts!$N$2:$N$151,$AB1368)="",12,INDEX(Contracts!$N$2:$N$151,$AB1368)),IF(INDEX(Contracts!$I$2:$I$151,$AB1368)="MONTHLY",INDEX(Contracts!$M$2:$M$151,$AB1368),0))*(1-N(INDEX(Contracts!$O$2:$O$151,$AB1368))),IF($Z1368="A",INDEX(Fixed_Assets!$H$2:$H$201,$AB1368)/INDEX(Fixed_Assets!$J$2:$J$201,$AB1368),IF($Z1368="F",INDEX(Workforce!$F$2:$F$151,MATCH(INDEX(FTE_Allocation!$A$2:$A$201,$AB1368),Workforce!$A$2:$A$151,0))*N(INDEX(FTE_Allocation!$F$2:$H$201,$AB1368,$AC1368)),"")))</f>
        <v/>
      </c>
    </row>
    <row r="1369">
      <c r="A1369" s="7">
        <f>IF($Z1369="","",$AD1369)</f>
        <v/>
      </c>
      <c r="B1369" s="7">
        <f>IF($Z1369="C",INDEX(Contracts!$D$2:$D$151,$AB1369)&amp;"",IF($Z1369="A",INDEX(Fixed_Assets!$C$2:$C$201,$AB1369)&amp;"",IF($Z1369="F",INDEX(Workforce!$B$2:$B$151,MATCH(INDEX(FTE_Allocation!$A$2:$A$201,$AB1369),Workforce!$A$2:$A$151,0))&amp;"","")))</f>
        <v/>
      </c>
      <c r="C1369" s="7">
        <f>IF($Z1369="C",INDEX(Contracts!$E$2:$E$151,$AB1369)&amp;"",IF($Z1369="A",INDEX(Fixed_Assets!$D$2:$D$201,$AB1369)&amp;"",IF($Z1369="F",INDEX(FTE_Allocation!$C$2:$C$201,$AB1369)&amp;"","")))</f>
        <v/>
      </c>
      <c r="D1369" s="7">
        <f>IF($Z1369="C",INDEX(Contracts!$B$2:$B$151,$AB1369)&amp;"",IF($Z1369="A",INDEX(Fixed_Assets!$B$2:$B$201,$AB1369)&amp;"",IF($Z1369="F",INDEX(FTE_Allocation!$B$2:$B$201,$AB1369)&amp;"","")))</f>
        <v/>
      </c>
      <c r="E1369" s="7">
        <f>IF($Z1369="C",INDEX(Contracts!$P$2:$P$151,$AB1369)&amp;"",IF($Z1369="A",INDEX(Fixed_Assets!$K$2:$K$201,$AB1369)&amp;"",IF($Z1369="F",IF(INDEX(FTE_Allocation!$D$2:$D$201,$AB1369)="PROJECT",IFERROR(INDEX(Projects!$D:$D,MATCH(INDEX(FTE_Allocation!$E$2:$E$201,$AB1369),Projects!$A:$A,0))&amp;"","#PROJECT?"),INDEX(FTE_Allocation!$E$2:$E$201,$AB1369)&amp;""),"")))</f>
        <v/>
      </c>
      <c r="F1369" s="7">
        <f>IF($Z1369="C",INDEX(Contracts!$Q$2:$Q$151,$AB1369)&amp;"",IF($Z1369="A",INDEX(Fixed_Assets!$L$2:$L$201,$AB1369)&amp;"",IF($Z1369="F",INDEX(Workforce!$K$2:$K$151,MATCH(INDEX(FTE_Allocation!$A$2:$A$201,$AB1369),Workforce!$A$2:$A$151,0))&amp;"","")))</f>
        <v/>
      </c>
      <c r="G1369" s="7">
        <f>IF($Z1369="C",INDEX(Contracts!$F$2:$F$151,$AB1369)&amp;" / "&amp;INDEX(Contracts!$G$2:$G$151,$AB1369),IF($Z1369="A",INDEX(Fixed_Assets!$E$2:$E$201,$AB1369)&amp;"",IF($Z1369="F","Personnel "&amp;INDEX(FTE_Allocation!$A$2:$A$201,$AB1369)&amp;IF(INDEX(FTE_Allocation!$D$2:$D$201,$AB1369)="PROJECT"," ("&amp;INDEX(FTE_Allocation!$E$2:$E$201,$AB1369)&amp;")",""),"")))</f>
        <v/>
      </c>
      <c r="H1369" s="7">
        <f>IF($Z1369="C","CONTRACT",IF($Z1369="A","ASSET",IF($Z1369="F","WORKFORCE","")))</f>
        <v/>
      </c>
      <c r="I1369" s="7">
        <f>IF($Z1369="C",INDEX(Contracts!$L$2:$L$151,$AB1369)&amp;"",IF($Z1369="A",INDEX(Fixed_Assets!$I$2:$I$201,$AB1369)&amp;"",IF($Z1369="F",INDEX(Workforce!$G$2:$G$151,MATCH(INDEX(FTE_Allocation!$A$2:$A$201,$AB1369),Workforce!$A$2:$A$151,0))&amp;"","")))</f>
        <v/>
      </c>
      <c r="J1369" s="18">
        <f>IF($Z1369="","",IF(AND(DATE($AD1369,1,1)&gt;=$AE1369,DATE($AD1369,1,1)&lt;=$AF1369),ROUND($AG1369,2),0))</f>
        <v/>
      </c>
      <c r="K1369" s="18">
        <f>IF($Z1369="","",IF(AND(DATE($AD1369,2,1)&gt;=$AE1369,DATE($AD1369,2,1)&lt;=$AF1369),ROUND($AG1369,2),0))</f>
        <v/>
      </c>
      <c r="L1369" s="18">
        <f>IF($Z1369="","",IF(AND(DATE($AD1369,3,1)&gt;=$AE1369,DATE($AD1369,3,1)&lt;=$AF1369),ROUND($AG1369,2),0))</f>
        <v/>
      </c>
      <c r="M1369" s="18">
        <f>IF($Z1369="","",IF(AND(DATE($AD1369,4,1)&gt;=$AE1369,DATE($AD1369,4,1)&lt;=$AF1369),ROUND($AG1369,2),0))</f>
        <v/>
      </c>
      <c r="N1369" s="18">
        <f>IF($Z1369="","",IF(AND(DATE($AD1369,5,1)&gt;=$AE1369,DATE($AD1369,5,1)&lt;=$AF1369),ROUND($AG1369,2),0))</f>
        <v/>
      </c>
      <c r="O1369" s="18">
        <f>IF($Z1369="","",IF(AND(DATE($AD1369,6,1)&gt;=$AE1369,DATE($AD1369,6,1)&lt;=$AF1369),ROUND($AG1369,2),0))</f>
        <v/>
      </c>
      <c r="P1369" s="18">
        <f>IF($Z1369="","",IF(AND(DATE($AD1369,7,1)&gt;=$AE1369,DATE($AD1369,7,1)&lt;=$AF1369),ROUND($AG1369,2),0))</f>
        <v/>
      </c>
      <c r="Q1369" s="18">
        <f>IF($Z1369="","",IF(AND(DATE($AD1369,8,1)&gt;=$AE1369,DATE($AD1369,8,1)&lt;=$AF1369),ROUND($AG1369,2),0))</f>
        <v/>
      </c>
      <c r="R1369" s="18">
        <f>IF($Z1369="","",IF(AND(DATE($AD1369,9,1)&gt;=$AE1369,DATE($AD1369,9,1)&lt;=$AF1369),ROUND($AG1369,2),0))</f>
        <v/>
      </c>
      <c r="S1369" s="18">
        <f>IF($Z1369="","",IF(AND(DATE($AD1369,10,1)&gt;=$AE1369,DATE($AD1369,10,1)&lt;=$AF1369),ROUND($AG1369,2),0))</f>
        <v/>
      </c>
      <c r="T1369" s="18">
        <f>IF($Z1369="","",IF(AND(DATE($AD1369,11,1)&gt;=$AE1369,DATE($AD1369,11,1)&lt;=$AF1369),ROUND($AG1369,2),0))</f>
        <v/>
      </c>
      <c r="U1369" s="18">
        <f>IF($Z1369="","",IF(AND(DATE($AD1369,12,1)&gt;=$AE1369,DATE($AD1369,12,1)&lt;=$AF1369),ROUND($AG1369,2),0))</f>
        <v/>
      </c>
      <c r="V1369" s="7">
        <f>IF($Z1369="C","Generated from "&amp;INDEX(Contracts!$A$2:$A$151,$AB1369),IF($Z1369="A","Generated from "&amp;INDEX(Fixed_Assets!$A$2:$A$201,$AB1369),IF($Z1369="F","Generated from "&amp;INDEX(FTE_Allocation!$A$2:$A$201,$AB1369),"")))</f>
        <v/>
      </c>
      <c r="X1369" s="19">
        <f>IF($Z1369="","",SUM(J1369:U1369))</f>
        <v/>
      </c>
      <c r="Y1369" s="20">
        <f>ROW()-1</f>
        <v/>
      </c>
      <c r="Z1369" s="20">
        <f>IF($Y1369&lt;=Settings!$B$4*3,"C",IF($Y1369&lt;=(Settings!$B$4+Settings!$B$5)*3,"A",IF($Y1369&lt;=(Settings!$B$4+Settings!$B$5+Settings!$B$6)*3,"F","")))</f>
        <v/>
      </c>
      <c r="AA1369" s="20">
        <f>IF($Z1369="C",$Y1369,IF($Z1369="A",$Y1369-Settings!$B$4*3,IF($Z1369="F",$Y1369-(Settings!$B$4+Settings!$B$5)*3,"")))</f>
        <v/>
      </c>
      <c r="AB1369" s="20">
        <f>IF($Z1369="","",INT(($AA1369-1)/3)+1)</f>
        <v/>
      </c>
      <c r="AC1369" s="20">
        <f>IF($Z1369="","",MOD($AA1369-1,3)+1)</f>
        <v/>
      </c>
      <c r="AD1369" s="20">
        <f>IF($Z1369="","",Settings!$B$2+$AC1369-1)</f>
        <v/>
      </c>
      <c r="AE1369" s="21">
        <f>IF($Z1369="C",DATE(YEAR(INDEX(Contracts!$J$2:$J$151,$AB1369)),MONTH(INDEX(Contracts!$J$2:$J$151,$AB1369)),1),IF($Z1369="A",DATE(YEAR(INDEX(Fixed_Assets!$G$2:$G$201,$AB1369)),MONTH(INDEX(Fixed_Assets!$G$2:$G$201,$AB1369)),1),IF($Z1369="F",DATE(YEAR(MAX(N(INDEX(Workforce!$I$2:$I$151,MATCH(INDEX(FTE_Allocation!$A$2:$A$201,$AB1369),Workforce!$A$2:$A$151,0))),N(INDEX(FTE_Allocation!$I$2:$I$201,$AB1369)))),MONTH(MAX(N(INDEX(Workforce!$I$2:$I$151,MATCH(INDEX(FTE_Allocation!$A$2:$A$201,$AB1369),Workforce!$A$2:$A$151,0))),N(INDEX(FTE_Allocation!$I$2:$I$201,$AB1369)))),1),"")))</f>
        <v/>
      </c>
      <c r="AF1369" s="21">
        <f>IF($Z1369="C",IF(INDEX(Contracts!$I$2:$I$151,$AB1369)="PREPAID",EDATE(DATE(YEAR(INDEX(Contracts!$J$2:$J$151,$AB1369)),MONTH(INDEX(Contracts!$J$2:$J$151,$AB1369)),1),IF(INDEX(Contracts!$N$2:$N$151,$AB1369)="",12,INDEX(Contracts!$N$2:$N$151,$AB1369))-1),IF(INDEX(Contracts!$I$2:$I$151,$AB1369)="MONTHLY",IF(INDEX(Contracts!$K$2:$K$151,$AB1369)="",2958101,INDEX(Contracts!$K$2:$K$151,$AB1369)),0)),IF($Z1369="A",EDATE(DATE(YEAR(INDEX(Fixed_Assets!$G$2:$G$201,$AB1369)),MONTH(INDEX(Fixed_Assets!$G$2:$G$201,$AB1369)),1),INDEX(Fixed_Assets!$J$2:$J$201,$AB1369)-1),IF($Z1369="F",MIN(IF(INDEX(Workforce!$J$2:$J$151,MATCH(INDEX(FTE_Allocation!$A$2:$A$201,$AB1369),Workforce!$A$2:$A$151,0))="",2958101,INDEX(Workforce!$J$2:$J$151,MATCH(INDEX(FTE_Allocation!$A$2:$A$201,$AB1369),Workforce!$A$2:$A$151,0))),IF(INDEX(FTE_Allocation!$J$2:$J$201,$AB1369)="",2958101,INDEX(FTE_Allocation!$J$2:$J$201,$AB1369))),"")))</f>
        <v/>
      </c>
      <c r="AG1369" s="19">
        <f>IF($Z1369="C",IF(INDEX(Contracts!$I$2:$I$151,$AB1369)="PREPAID",INDEX(Contracts!$M$2:$M$151,$AB1369)/IF(INDEX(Contracts!$N$2:$N$151,$AB1369)="",12,INDEX(Contracts!$N$2:$N$151,$AB1369)),IF(INDEX(Contracts!$I$2:$I$151,$AB1369)="MONTHLY",INDEX(Contracts!$M$2:$M$151,$AB1369),0))*(1-N(INDEX(Contracts!$O$2:$O$151,$AB1369))),IF($Z1369="A",INDEX(Fixed_Assets!$H$2:$H$201,$AB1369)/INDEX(Fixed_Assets!$J$2:$J$201,$AB1369),IF($Z1369="F",INDEX(Workforce!$F$2:$F$151,MATCH(INDEX(FTE_Allocation!$A$2:$A$201,$AB1369),Workforce!$A$2:$A$151,0))*N(INDEX(FTE_Allocation!$F$2:$H$201,$AB1369,$AC1369)),"")))</f>
        <v/>
      </c>
    </row>
    <row r="1370">
      <c r="A1370" s="7">
        <f>IF($Z1370="","",$AD1370)</f>
        <v/>
      </c>
      <c r="B1370" s="7">
        <f>IF($Z1370="C",INDEX(Contracts!$D$2:$D$151,$AB1370)&amp;"",IF($Z1370="A",INDEX(Fixed_Assets!$C$2:$C$201,$AB1370)&amp;"",IF($Z1370="F",INDEX(Workforce!$B$2:$B$151,MATCH(INDEX(FTE_Allocation!$A$2:$A$201,$AB1370),Workforce!$A$2:$A$151,0))&amp;"","")))</f>
        <v/>
      </c>
      <c r="C1370" s="7">
        <f>IF($Z1370="C",INDEX(Contracts!$E$2:$E$151,$AB1370)&amp;"",IF($Z1370="A",INDEX(Fixed_Assets!$D$2:$D$201,$AB1370)&amp;"",IF($Z1370="F",INDEX(FTE_Allocation!$C$2:$C$201,$AB1370)&amp;"","")))</f>
        <v/>
      </c>
      <c r="D1370" s="7">
        <f>IF($Z1370="C",INDEX(Contracts!$B$2:$B$151,$AB1370)&amp;"",IF($Z1370="A",INDEX(Fixed_Assets!$B$2:$B$201,$AB1370)&amp;"",IF($Z1370="F",INDEX(FTE_Allocation!$B$2:$B$201,$AB1370)&amp;"","")))</f>
        <v/>
      </c>
      <c r="E1370" s="7">
        <f>IF($Z1370="C",INDEX(Contracts!$P$2:$P$151,$AB1370)&amp;"",IF($Z1370="A",INDEX(Fixed_Assets!$K$2:$K$201,$AB1370)&amp;"",IF($Z1370="F",IF(INDEX(FTE_Allocation!$D$2:$D$201,$AB1370)="PROJECT",IFERROR(INDEX(Projects!$D:$D,MATCH(INDEX(FTE_Allocation!$E$2:$E$201,$AB1370),Projects!$A:$A,0))&amp;"","#PROJECT?"),INDEX(FTE_Allocation!$E$2:$E$201,$AB1370)&amp;""),"")))</f>
        <v/>
      </c>
      <c r="F1370" s="7">
        <f>IF($Z1370="C",INDEX(Contracts!$Q$2:$Q$151,$AB1370)&amp;"",IF($Z1370="A",INDEX(Fixed_Assets!$L$2:$L$201,$AB1370)&amp;"",IF($Z1370="F",INDEX(Workforce!$K$2:$K$151,MATCH(INDEX(FTE_Allocation!$A$2:$A$201,$AB1370),Workforce!$A$2:$A$151,0))&amp;"","")))</f>
        <v/>
      </c>
      <c r="G1370" s="7">
        <f>IF($Z1370="C",INDEX(Contracts!$F$2:$F$151,$AB1370)&amp;" / "&amp;INDEX(Contracts!$G$2:$G$151,$AB1370),IF($Z1370="A",INDEX(Fixed_Assets!$E$2:$E$201,$AB1370)&amp;"",IF($Z1370="F","Personnel "&amp;INDEX(FTE_Allocation!$A$2:$A$201,$AB1370)&amp;IF(INDEX(FTE_Allocation!$D$2:$D$201,$AB1370)="PROJECT"," ("&amp;INDEX(FTE_Allocation!$E$2:$E$201,$AB1370)&amp;")",""),"")))</f>
        <v/>
      </c>
      <c r="H1370" s="7">
        <f>IF($Z1370="C","CONTRACT",IF($Z1370="A","ASSET",IF($Z1370="F","WORKFORCE","")))</f>
        <v/>
      </c>
      <c r="I1370" s="7">
        <f>IF($Z1370="C",INDEX(Contracts!$L$2:$L$151,$AB1370)&amp;"",IF($Z1370="A",INDEX(Fixed_Assets!$I$2:$I$201,$AB1370)&amp;"",IF($Z1370="F",INDEX(Workforce!$G$2:$G$151,MATCH(INDEX(FTE_Allocation!$A$2:$A$201,$AB1370),Workforce!$A$2:$A$151,0))&amp;"","")))</f>
        <v/>
      </c>
      <c r="J1370" s="18">
        <f>IF($Z1370="","",IF(AND(DATE($AD1370,1,1)&gt;=$AE1370,DATE($AD1370,1,1)&lt;=$AF1370),ROUND($AG1370,2),0))</f>
        <v/>
      </c>
      <c r="K1370" s="18">
        <f>IF($Z1370="","",IF(AND(DATE($AD1370,2,1)&gt;=$AE1370,DATE($AD1370,2,1)&lt;=$AF1370),ROUND($AG1370,2),0))</f>
        <v/>
      </c>
      <c r="L1370" s="18">
        <f>IF($Z1370="","",IF(AND(DATE($AD1370,3,1)&gt;=$AE1370,DATE($AD1370,3,1)&lt;=$AF1370),ROUND($AG1370,2),0))</f>
        <v/>
      </c>
      <c r="M1370" s="18">
        <f>IF($Z1370="","",IF(AND(DATE($AD1370,4,1)&gt;=$AE1370,DATE($AD1370,4,1)&lt;=$AF1370),ROUND($AG1370,2),0))</f>
        <v/>
      </c>
      <c r="N1370" s="18">
        <f>IF($Z1370="","",IF(AND(DATE($AD1370,5,1)&gt;=$AE1370,DATE($AD1370,5,1)&lt;=$AF1370),ROUND($AG1370,2),0))</f>
        <v/>
      </c>
      <c r="O1370" s="18">
        <f>IF($Z1370="","",IF(AND(DATE($AD1370,6,1)&gt;=$AE1370,DATE($AD1370,6,1)&lt;=$AF1370),ROUND($AG1370,2),0))</f>
        <v/>
      </c>
      <c r="P1370" s="18">
        <f>IF($Z1370="","",IF(AND(DATE($AD1370,7,1)&gt;=$AE1370,DATE($AD1370,7,1)&lt;=$AF1370),ROUND($AG1370,2),0))</f>
        <v/>
      </c>
      <c r="Q1370" s="18">
        <f>IF($Z1370="","",IF(AND(DATE($AD1370,8,1)&gt;=$AE1370,DATE($AD1370,8,1)&lt;=$AF1370),ROUND($AG1370,2),0))</f>
        <v/>
      </c>
      <c r="R1370" s="18">
        <f>IF($Z1370="","",IF(AND(DATE($AD1370,9,1)&gt;=$AE1370,DATE($AD1370,9,1)&lt;=$AF1370),ROUND($AG1370,2),0))</f>
        <v/>
      </c>
      <c r="S1370" s="18">
        <f>IF($Z1370="","",IF(AND(DATE($AD1370,10,1)&gt;=$AE1370,DATE($AD1370,10,1)&lt;=$AF1370),ROUND($AG1370,2),0))</f>
        <v/>
      </c>
      <c r="T1370" s="18">
        <f>IF($Z1370="","",IF(AND(DATE($AD1370,11,1)&gt;=$AE1370,DATE($AD1370,11,1)&lt;=$AF1370),ROUND($AG1370,2),0))</f>
        <v/>
      </c>
      <c r="U1370" s="18">
        <f>IF($Z1370="","",IF(AND(DATE($AD1370,12,1)&gt;=$AE1370,DATE($AD1370,12,1)&lt;=$AF1370),ROUND($AG1370,2),0))</f>
        <v/>
      </c>
      <c r="V1370" s="7">
        <f>IF($Z1370="C","Generated from "&amp;INDEX(Contracts!$A$2:$A$151,$AB1370),IF($Z1370="A","Generated from "&amp;INDEX(Fixed_Assets!$A$2:$A$201,$AB1370),IF($Z1370="F","Generated from "&amp;INDEX(FTE_Allocation!$A$2:$A$201,$AB1370),"")))</f>
        <v/>
      </c>
      <c r="X1370" s="19">
        <f>IF($Z1370="","",SUM(J1370:U1370))</f>
        <v/>
      </c>
      <c r="Y1370" s="20">
        <f>ROW()-1</f>
        <v/>
      </c>
      <c r="Z1370" s="20">
        <f>IF($Y1370&lt;=Settings!$B$4*3,"C",IF($Y1370&lt;=(Settings!$B$4+Settings!$B$5)*3,"A",IF($Y1370&lt;=(Settings!$B$4+Settings!$B$5+Settings!$B$6)*3,"F","")))</f>
        <v/>
      </c>
      <c r="AA1370" s="20">
        <f>IF($Z1370="C",$Y1370,IF($Z1370="A",$Y1370-Settings!$B$4*3,IF($Z1370="F",$Y1370-(Settings!$B$4+Settings!$B$5)*3,"")))</f>
        <v/>
      </c>
      <c r="AB1370" s="20">
        <f>IF($Z1370="","",INT(($AA1370-1)/3)+1)</f>
        <v/>
      </c>
      <c r="AC1370" s="20">
        <f>IF($Z1370="","",MOD($AA1370-1,3)+1)</f>
        <v/>
      </c>
      <c r="AD1370" s="20">
        <f>IF($Z1370="","",Settings!$B$2+$AC1370-1)</f>
        <v/>
      </c>
      <c r="AE1370" s="21">
        <f>IF($Z1370="C",DATE(YEAR(INDEX(Contracts!$J$2:$J$151,$AB1370)),MONTH(INDEX(Contracts!$J$2:$J$151,$AB1370)),1),IF($Z1370="A",DATE(YEAR(INDEX(Fixed_Assets!$G$2:$G$201,$AB1370)),MONTH(INDEX(Fixed_Assets!$G$2:$G$201,$AB1370)),1),IF($Z1370="F",DATE(YEAR(MAX(N(INDEX(Workforce!$I$2:$I$151,MATCH(INDEX(FTE_Allocation!$A$2:$A$201,$AB1370),Workforce!$A$2:$A$151,0))),N(INDEX(FTE_Allocation!$I$2:$I$201,$AB1370)))),MONTH(MAX(N(INDEX(Workforce!$I$2:$I$151,MATCH(INDEX(FTE_Allocation!$A$2:$A$201,$AB1370),Workforce!$A$2:$A$151,0))),N(INDEX(FTE_Allocation!$I$2:$I$201,$AB1370)))),1),"")))</f>
        <v/>
      </c>
      <c r="AF1370" s="21">
        <f>IF($Z1370="C",IF(INDEX(Contracts!$I$2:$I$151,$AB1370)="PREPAID",EDATE(DATE(YEAR(INDEX(Contracts!$J$2:$J$151,$AB1370)),MONTH(INDEX(Contracts!$J$2:$J$151,$AB1370)),1),IF(INDEX(Contracts!$N$2:$N$151,$AB1370)="",12,INDEX(Contracts!$N$2:$N$151,$AB1370))-1),IF(INDEX(Contracts!$I$2:$I$151,$AB1370)="MONTHLY",IF(INDEX(Contracts!$K$2:$K$151,$AB1370)="",2958101,INDEX(Contracts!$K$2:$K$151,$AB1370)),0)),IF($Z1370="A",EDATE(DATE(YEAR(INDEX(Fixed_Assets!$G$2:$G$201,$AB1370)),MONTH(INDEX(Fixed_Assets!$G$2:$G$201,$AB1370)),1),INDEX(Fixed_Assets!$J$2:$J$201,$AB1370)-1),IF($Z1370="F",MIN(IF(INDEX(Workforce!$J$2:$J$151,MATCH(INDEX(FTE_Allocation!$A$2:$A$201,$AB1370),Workforce!$A$2:$A$151,0))="",2958101,INDEX(Workforce!$J$2:$J$151,MATCH(INDEX(FTE_Allocation!$A$2:$A$201,$AB1370),Workforce!$A$2:$A$151,0))),IF(INDEX(FTE_Allocation!$J$2:$J$201,$AB1370)="",2958101,INDEX(FTE_Allocation!$J$2:$J$201,$AB1370))),"")))</f>
        <v/>
      </c>
      <c r="AG1370" s="19">
        <f>IF($Z1370="C",IF(INDEX(Contracts!$I$2:$I$151,$AB1370)="PREPAID",INDEX(Contracts!$M$2:$M$151,$AB1370)/IF(INDEX(Contracts!$N$2:$N$151,$AB1370)="",12,INDEX(Contracts!$N$2:$N$151,$AB1370)),IF(INDEX(Contracts!$I$2:$I$151,$AB1370)="MONTHLY",INDEX(Contracts!$M$2:$M$151,$AB1370),0))*(1-N(INDEX(Contracts!$O$2:$O$151,$AB1370))),IF($Z1370="A",INDEX(Fixed_Assets!$H$2:$H$201,$AB1370)/INDEX(Fixed_Assets!$J$2:$J$201,$AB1370),IF($Z1370="F",INDEX(Workforce!$F$2:$F$151,MATCH(INDEX(FTE_Allocation!$A$2:$A$201,$AB1370),Workforce!$A$2:$A$151,0))*N(INDEX(FTE_Allocation!$F$2:$H$201,$AB1370,$AC1370)),"")))</f>
        <v/>
      </c>
    </row>
    <row r="1371">
      <c r="A1371" s="7">
        <f>IF($Z1371="","",$AD1371)</f>
        <v/>
      </c>
      <c r="B1371" s="7">
        <f>IF($Z1371="C",INDEX(Contracts!$D$2:$D$151,$AB1371)&amp;"",IF($Z1371="A",INDEX(Fixed_Assets!$C$2:$C$201,$AB1371)&amp;"",IF($Z1371="F",INDEX(Workforce!$B$2:$B$151,MATCH(INDEX(FTE_Allocation!$A$2:$A$201,$AB1371),Workforce!$A$2:$A$151,0))&amp;"","")))</f>
        <v/>
      </c>
      <c r="C1371" s="7">
        <f>IF($Z1371="C",INDEX(Contracts!$E$2:$E$151,$AB1371)&amp;"",IF($Z1371="A",INDEX(Fixed_Assets!$D$2:$D$201,$AB1371)&amp;"",IF($Z1371="F",INDEX(FTE_Allocation!$C$2:$C$201,$AB1371)&amp;"","")))</f>
        <v/>
      </c>
      <c r="D1371" s="7">
        <f>IF($Z1371="C",INDEX(Contracts!$B$2:$B$151,$AB1371)&amp;"",IF($Z1371="A",INDEX(Fixed_Assets!$B$2:$B$201,$AB1371)&amp;"",IF($Z1371="F",INDEX(FTE_Allocation!$B$2:$B$201,$AB1371)&amp;"","")))</f>
        <v/>
      </c>
      <c r="E1371" s="7">
        <f>IF($Z1371="C",INDEX(Contracts!$P$2:$P$151,$AB1371)&amp;"",IF($Z1371="A",INDEX(Fixed_Assets!$K$2:$K$201,$AB1371)&amp;"",IF($Z1371="F",IF(INDEX(FTE_Allocation!$D$2:$D$201,$AB1371)="PROJECT",IFERROR(INDEX(Projects!$D:$D,MATCH(INDEX(FTE_Allocation!$E$2:$E$201,$AB1371),Projects!$A:$A,0))&amp;"","#PROJECT?"),INDEX(FTE_Allocation!$E$2:$E$201,$AB1371)&amp;""),"")))</f>
        <v/>
      </c>
      <c r="F1371" s="7">
        <f>IF($Z1371="C",INDEX(Contracts!$Q$2:$Q$151,$AB1371)&amp;"",IF($Z1371="A",INDEX(Fixed_Assets!$L$2:$L$201,$AB1371)&amp;"",IF($Z1371="F",INDEX(Workforce!$K$2:$K$151,MATCH(INDEX(FTE_Allocation!$A$2:$A$201,$AB1371),Workforce!$A$2:$A$151,0))&amp;"","")))</f>
        <v/>
      </c>
      <c r="G1371" s="7">
        <f>IF($Z1371="C",INDEX(Contracts!$F$2:$F$151,$AB1371)&amp;" / "&amp;INDEX(Contracts!$G$2:$G$151,$AB1371),IF($Z1371="A",INDEX(Fixed_Assets!$E$2:$E$201,$AB1371)&amp;"",IF($Z1371="F","Personnel "&amp;INDEX(FTE_Allocation!$A$2:$A$201,$AB1371)&amp;IF(INDEX(FTE_Allocation!$D$2:$D$201,$AB1371)="PROJECT"," ("&amp;INDEX(FTE_Allocation!$E$2:$E$201,$AB1371)&amp;")",""),"")))</f>
        <v/>
      </c>
      <c r="H1371" s="7">
        <f>IF($Z1371="C","CONTRACT",IF($Z1371="A","ASSET",IF($Z1371="F","WORKFORCE","")))</f>
        <v/>
      </c>
      <c r="I1371" s="7">
        <f>IF($Z1371="C",INDEX(Contracts!$L$2:$L$151,$AB1371)&amp;"",IF($Z1371="A",INDEX(Fixed_Assets!$I$2:$I$201,$AB1371)&amp;"",IF($Z1371="F",INDEX(Workforce!$G$2:$G$151,MATCH(INDEX(FTE_Allocation!$A$2:$A$201,$AB1371),Workforce!$A$2:$A$151,0))&amp;"","")))</f>
        <v/>
      </c>
      <c r="J1371" s="18">
        <f>IF($Z1371="","",IF(AND(DATE($AD1371,1,1)&gt;=$AE1371,DATE($AD1371,1,1)&lt;=$AF1371),ROUND($AG1371,2),0))</f>
        <v/>
      </c>
      <c r="K1371" s="18">
        <f>IF($Z1371="","",IF(AND(DATE($AD1371,2,1)&gt;=$AE1371,DATE($AD1371,2,1)&lt;=$AF1371),ROUND($AG1371,2),0))</f>
        <v/>
      </c>
      <c r="L1371" s="18">
        <f>IF($Z1371="","",IF(AND(DATE($AD1371,3,1)&gt;=$AE1371,DATE($AD1371,3,1)&lt;=$AF1371),ROUND($AG1371,2),0))</f>
        <v/>
      </c>
      <c r="M1371" s="18">
        <f>IF($Z1371="","",IF(AND(DATE($AD1371,4,1)&gt;=$AE1371,DATE($AD1371,4,1)&lt;=$AF1371),ROUND($AG1371,2),0))</f>
        <v/>
      </c>
      <c r="N1371" s="18">
        <f>IF($Z1371="","",IF(AND(DATE($AD1371,5,1)&gt;=$AE1371,DATE($AD1371,5,1)&lt;=$AF1371),ROUND($AG1371,2),0))</f>
        <v/>
      </c>
      <c r="O1371" s="18">
        <f>IF($Z1371="","",IF(AND(DATE($AD1371,6,1)&gt;=$AE1371,DATE($AD1371,6,1)&lt;=$AF1371),ROUND($AG1371,2),0))</f>
        <v/>
      </c>
      <c r="P1371" s="18">
        <f>IF($Z1371="","",IF(AND(DATE($AD1371,7,1)&gt;=$AE1371,DATE($AD1371,7,1)&lt;=$AF1371),ROUND($AG1371,2),0))</f>
        <v/>
      </c>
      <c r="Q1371" s="18">
        <f>IF($Z1371="","",IF(AND(DATE($AD1371,8,1)&gt;=$AE1371,DATE($AD1371,8,1)&lt;=$AF1371),ROUND($AG1371,2),0))</f>
        <v/>
      </c>
      <c r="R1371" s="18">
        <f>IF($Z1371="","",IF(AND(DATE($AD1371,9,1)&gt;=$AE1371,DATE($AD1371,9,1)&lt;=$AF1371),ROUND($AG1371,2),0))</f>
        <v/>
      </c>
      <c r="S1371" s="18">
        <f>IF($Z1371="","",IF(AND(DATE($AD1371,10,1)&gt;=$AE1371,DATE($AD1371,10,1)&lt;=$AF1371),ROUND($AG1371,2),0))</f>
        <v/>
      </c>
      <c r="T1371" s="18">
        <f>IF($Z1371="","",IF(AND(DATE($AD1371,11,1)&gt;=$AE1371,DATE($AD1371,11,1)&lt;=$AF1371),ROUND($AG1371,2),0))</f>
        <v/>
      </c>
      <c r="U1371" s="18">
        <f>IF($Z1371="","",IF(AND(DATE($AD1371,12,1)&gt;=$AE1371,DATE($AD1371,12,1)&lt;=$AF1371),ROUND($AG1371,2),0))</f>
        <v/>
      </c>
      <c r="V1371" s="7">
        <f>IF($Z1371="C","Generated from "&amp;INDEX(Contracts!$A$2:$A$151,$AB1371),IF($Z1371="A","Generated from "&amp;INDEX(Fixed_Assets!$A$2:$A$201,$AB1371),IF($Z1371="F","Generated from "&amp;INDEX(FTE_Allocation!$A$2:$A$201,$AB1371),"")))</f>
        <v/>
      </c>
      <c r="X1371" s="19">
        <f>IF($Z1371="","",SUM(J1371:U1371))</f>
        <v/>
      </c>
      <c r="Y1371" s="20">
        <f>ROW()-1</f>
        <v/>
      </c>
      <c r="Z1371" s="20">
        <f>IF($Y1371&lt;=Settings!$B$4*3,"C",IF($Y1371&lt;=(Settings!$B$4+Settings!$B$5)*3,"A",IF($Y1371&lt;=(Settings!$B$4+Settings!$B$5+Settings!$B$6)*3,"F","")))</f>
        <v/>
      </c>
      <c r="AA1371" s="20">
        <f>IF($Z1371="C",$Y1371,IF($Z1371="A",$Y1371-Settings!$B$4*3,IF($Z1371="F",$Y1371-(Settings!$B$4+Settings!$B$5)*3,"")))</f>
        <v/>
      </c>
      <c r="AB1371" s="20">
        <f>IF($Z1371="","",INT(($AA1371-1)/3)+1)</f>
        <v/>
      </c>
      <c r="AC1371" s="20">
        <f>IF($Z1371="","",MOD($AA1371-1,3)+1)</f>
        <v/>
      </c>
      <c r="AD1371" s="20">
        <f>IF($Z1371="","",Settings!$B$2+$AC1371-1)</f>
        <v/>
      </c>
      <c r="AE1371" s="21">
        <f>IF($Z1371="C",DATE(YEAR(INDEX(Contracts!$J$2:$J$151,$AB1371)),MONTH(INDEX(Contracts!$J$2:$J$151,$AB1371)),1),IF($Z1371="A",DATE(YEAR(INDEX(Fixed_Assets!$G$2:$G$201,$AB1371)),MONTH(INDEX(Fixed_Assets!$G$2:$G$201,$AB1371)),1),IF($Z1371="F",DATE(YEAR(MAX(N(INDEX(Workforce!$I$2:$I$151,MATCH(INDEX(FTE_Allocation!$A$2:$A$201,$AB1371),Workforce!$A$2:$A$151,0))),N(INDEX(FTE_Allocation!$I$2:$I$201,$AB1371)))),MONTH(MAX(N(INDEX(Workforce!$I$2:$I$151,MATCH(INDEX(FTE_Allocation!$A$2:$A$201,$AB1371),Workforce!$A$2:$A$151,0))),N(INDEX(FTE_Allocation!$I$2:$I$201,$AB1371)))),1),"")))</f>
        <v/>
      </c>
      <c r="AF1371" s="21">
        <f>IF($Z1371="C",IF(INDEX(Contracts!$I$2:$I$151,$AB1371)="PREPAID",EDATE(DATE(YEAR(INDEX(Contracts!$J$2:$J$151,$AB1371)),MONTH(INDEX(Contracts!$J$2:$J$151,$AB1371)),1),IF(INDEX(Contracts!$N$2:$N$151,$AB1371)="",12,INDEX(Contracts!$N$2:$N$151,$AB1371))-1),IF(INDEX(Contracts!$I$2:$I$151,$AB1371)="MONTHLY",IF(INDEX(Contracts!$K$2:$K$151,$AB1371)="",2958101,INDEX(Contracts!$K$2:$K$151,$AB1371)),0)),IF($Z1371="A",EDATE(DATE(YEAR(INDEX(Fixed_Assets!$G$2:$G$201,$AB1371)),MONTH(INDEX(Fixed_Assets!$G$2:$G$201,$AB1371)),1),INDEX(Fixed_Assets!$J$2:$J$201,$AB1371)-1),IF($Z1371="F",MIN(IF(INDEX(Workforce!$J$2:$J$151,MATCH(INDEX(FTE_Allocation!$A$2:$A$201,$AB1371),Workforce!$A$2:$A$151,0))="",2958101,INDEX(Workforce!$J$2:$J$151,MATCH(INDEX(FTE_Allocation!$A$2:$A$201,$AB1371),Workforce!$A$2:$A$151,0))),IF(INDEX(FTE_Allocation!$J$2:$J$201,$AB1371)="",2958101,INDEX(FTE_Allocation!$J$2:$J$201,$AB1371))),"")))</f>
        <v/>
      </c>
      <c r="AG1371" s="19">
        <f>IF($Z1371="C",IF(INDEX(Contracts!$I$2:$I$151,$AB1371)="PREPAID",INDEX(Contracts!$M$2:$M$151,$AB1371)/IF(INDEX(Contracts!$N$2:$N$151,$AB1371)="",12,INDEX(Contracts!$N$2:$N$151,$AB1371)),IF(INDEX(Contracts!$I$2:$I$151,$AB1371)="MONTHLY",INDEX(Contracts!$M$2:$M$151,$AB1371),0))*(1-N(INDEX(Contracts!$O$2:$O$151,$AB1371))),IF($Z1371="A",INDEX(Fixed_Assets!$H$2:$H$201,$AB1371)/INDEX(Fixed_Assets!$J$2:$J$201,$AB1371),IF($Z1371="F",INDEX(Workforce!$F$2:$F$151,MATCH(INDEX(FTE_Allocation!$A$2:$A$201,$AB1371),Workforce!$A$2:$A$151,0))*N(INDEX(FTE_Allocation!$F$2:$H$201,$AB1371,$AC1371)),"")))</f>
        <v/>
      </c>
    </row>
    <row r="1372">
      <c r="A1372" s="7">
        <f>IF($Z1372="","",$AD1372)</f>
        <v/>
      </c>
      <c r="B1372" s="7">
        <f>IF($Z1372="C",INDEX(Contracts!$D$2:$D$151,$AB1372)&amp;"",IF($Z1372="A",INDEX(Fixed_Assets!$C$2:$C$201,$AB1372)&amp;"",IF($Z1372="F",INDEX(Workforce!$B$2:$B$151,MATCH(INDEX(FTE_Allocation!$A$2:$A$201,$AB1372),Workforce!$A$2:$A$151,0))&amp;"","")))</f>
        <v/>
      </c>
      <c r="C1372" s="7">
        <f>IF($Z1372="C",INDEX(Contracts!$E$2:$E$151,$AB1372)&amp;"",IF($Z1372="A",INDEX(Fixed_Assets!$D$2:$D$201,$AB1372)&amp;"",IF($Z1372="F",INDEX(FTE_Allocation!$C$2:$C$201,$AB1372)&amp;"","")))</f>
        <v/>
      </c>
      <c r="D1372" s="7">
        <f>IF($Z1372="C",INDEX(Contracts!$B$2:$B$151,$AB1372)&amp;"",IF($Z1372="A",INDEX(Fixed_Assets!$B$2:$B$201,$AB1372)&amp;"",IF($Z1372="F",INDEX(FTE_Allocation!$B$2:$B$201,$AB1372)&amp;"","")))</f>
        <v/>
      </c>
      <c r="E1372" s="7">
        <f>IF($Z1372="C",INDEX(Contracts!$P$2:$P$151,$AB1372)&amp;"",IF($Z1372="A",INDEX(Fixed_Assets!$K$2:$K$201,$AB1372)&amp;"",IF($Z1372="F",IF(INDEX(FTE_Allocation!$D$2:$D$201,$AB1372)="PROJECT",IFERROR(INDEX(Projects!$D:$D,MATCH(INDEX(FTE_Allocation!$E$2:$E$201,$AB1372),Projects!$A:$A,0))&amp;"","#PROJECT?"),INDEX(FTE_Allocation!$E$2:$E$201,$AB1372)&amp;""),"")))</f>
        <v/>
      </c>
      <c r="F1372" s="7">
        <f>IF($Z1372="C",INDEX(Contracts!$Q$2:$Q$151,$AB1372)&amp;"",IF($Z1372="A",INDEX(Fixed_Assets!$L$2:$L$201,$AB1372)&amp;"",IF($Z1372="F",INDEX(Workforce!$K$2:$K$151,MATCH(INDEX(FTE_Allocation!$A$2:$A$201,$AB1372),Workforce!$A$2:$A$151,0))&amp;"","")))</f>
        <v/>
      </c>
      <c r="G1372" s="7">
        <f>IF($Z1372="C",INDEX(Contracts!$F$2:$F$151,$AB1372)&amp;" / "&amp;INDEX(Contracts!$G$2:$G$151,$AB1372),IF($Z1372="A",INDEX(Fixed_Assets!$E$2:$E$201,$AB1372)&amp;"",IF($Z1372="F","Personnel "&amp;INDEX(FTE_Allocation!$A$2:$A$201,$AB1372)&amp;IF(INDEX(FTE_Allocation!$D$2:$D$201,$AB1372)="PROJECT"," ("&amp;INDEX(FTE_Allocation!$E$2:$E$201,$AB1372)&amp;")",""),"")))</f>
        <v/>
      </c>
      <c r="H1372" s="7">
        <f>IF($Z1372="C","CONTRACT",IF($Z1372="A","ASSET",IF($Z1372="F","WORKFORCE","")))</f>
        <v/>
      </c>
      <c r="I1372" s="7">
        <f>IF($Z1372="C",INDEX(Contracts!$L$2:$L$151,$AB1372)&amp;"",IF($Z1372="A",INDEX(Fixed_Assets!$I$2:$I$201,$AB1372)&amp;"",IF($Z1372="F",INDEX(Workforce!$G$2:$G$151,MATCH(INDEX(FTE_Allocation!$A$2:$A$201,$AB1372),Workforce!$A$2:$A$151,0))&amp;"","")))</f>
        <v/>
      </c>
      <c r="J1372" s="18">
        <f>IF($Z1372="","",IF(AND(DATE($AD1372,1,1)&gt;=$AE1372,DATE($AD1372,1,1)&lt;=$AF1372),ROUND($AG1372,2),0))</f>
        <v/>
      </c>
      <c r="K1372" s="18">
        <f>IF($Z1372="","",IF(AND(DATE($AD1372,2,1)&gt;=$AE1372,DATE($AD1372,2,1)&lt;=$AF1372),ROUND($AG1372,2),0))</f>
        <v/>
      </c>
      <c r="L1372" s="18">
        <f>IF($Z1372="","",IF(AND(DATE($AD1372,3,1)&gt;=$AE1372,DATE($AD1372,3,1)&lt;=$AF1372),ROUND($AG1372,2),0))</f>
        <v/>
      </c>
      <c r="M1372" s="18">
        <f>IF($Z1372="","",IF(AND(DATE($AD1372,4,1)&gt;=$AE1372,DATE($AD1372,4,1)&lt;=$AF1372),ROUND($AG1372,2),0))</f>
        <v/>
      </c>
      <c r="N1372" s="18">
        <f>IF($Z1372="","",IF(AND(DATE($AD1372,5,1)&gt;=$AE1372,DATE($AD1372,5,1)&lt;=$AF1372),ROUND($AG1372,2),0))</f>
        <v/>
      </c>
      <c r="O1372" s="18">
        <f>IF($Z1372="","",IF(AND(DATE($AD1372,6,1)&gt;=$AE1372,DATE($AD1372,6,1)&lt;=$AF1372),ROUND($AG1372,2),0))</f>
        <v/>
      </c>
      <c r="P1372" s="18">
        <f>IF($Z1372="","",IF(AND(DATE($AD1372,7,1)&gt;=$AE1372,DATE($AD1372,7,1)&lt;=$AF1372),ROUND($AG1372,2),0))</f>
        <v/>
      </c>
      <c r="Q1372" s="18">
        <f>IF($Z1372="","",IF(AND(DATE($AD1372,8,1)&gt;=$AE1372,DATE($AD1372,8,1)&lt;=$AF1372),ROUND($AG1372,2),0))</f>
        <v/>
      </c>
      <c r="R1372" s="18">
        <f>IF($Z1372="","",IF(AND(DATE($AD1372,9,1)&gt;=$AE1372,DATE($AD1372,9,1)&lt;=$AF1372),ROUND($AG1372,2),0))</f>
        <v/>
      </c>
      <c r="S1372" s="18">
        <f>IF($Z1372="","",IF(AND(DATE($AD1372,10,1)&gt;=$AE1372,DATE($AD1372,10,1)&lt;=$AF1372),ROUND($AG1372,2),0))</f>
        <v/>
      </c>
      <c r="T1372" s="18">
        <f>IF($Z1372="","",IF(AND(DATE($AD1372,11,1)&gt;=$AE1372,DATE($AD1372,11,1)&lt;=$AF1372),ROUND($AG1372,2),0))</f>
        <v/>
      </c>
      <c r="U1372" s="18">
        <f>IF($Z1372="","",IF(AND(DATE($AD1372,12,1)&gt;=$AE1372,DATE($AD1372,12,1)&lt;=$AF1372),ROUND($AG1372,2),0))</f>
        <v/>
      </c>
      <c r="V1372" s="7">
        <f>IF($Z1372="C","Generated from "&amp;INDEX(Contracts!$A$2:$A$151,$AB1372),IF($Z1372="A","Generated from "&amp;INDEX(Fixed_Assets!$A$2:$A$201,$AB1372),IF($Z1372="F","Generated from "&amp;INDEX(FTE_Allocation!$A$2:$A$201,$AB1372),"")))</f>
        <v/>
      </c>
      <c r="X1372" s="19">
        <f>IF($Z1372="","",SUM(J1372:U1372))</f>
        <v/>
      </c>
      <c r="Y1372" s="20">
        <f>ROW()-1</f>
        <v/>
      </c>
      <c r="Z1372" s="20">
        <f>IF($Y1372&lt;=Settings!$B$4*3,"C",IF($Y1372&lt;=(Settings!$B$4+Settings!$B$5)*3,"A",IF($Y1372&lt;=(Settings!$B$4+Settings!$B$5+Settings!$B$6)*3,"F","")))</f>
        <v/>
      </c>
      <c r="AA1372" s="20">
        <f>IF($Z1372="C",$Y1372,IF($Z1372="A",$Y1372-Settings!$B$4*3,IF($Z1372="F",$Y1372-(Settings!$B$4+Settings!$B$5)*3,"")))</f>
        <v/>
      </c>
      <c r="AB1372" s="20">
        <f>IF($Z1372="","",INT(($AA1372-1)/3)+1)</f>
        <v/>
      </c>
      <c r="AC1372" s="20">
        <f>IF($Z1372="","",MOD($AA1372-1,3)+1)</f>
        <v/>
      </c>
      <c r="AD1372" s="20">
        <f>IF($Z1372="","",Settings!$B$2+$AC1372-1)</f>
        <v/>
      </c>
      <c r="AE1372" s="21">
        <f>IF($Z1372="C",DATE(YEAR(INDEX(Contracts!$J$2:$J$151,$AB1372)),MONTH(INDEX(Contracts!$J$2:$J$151,$AB1372)),1),IF($Z1372="A",DATE(YEAR(INDEX(Fixed_Assets!$G$2:$G$201,$AB1372)),MONTH(INDEX(Fixed_Assets!$G$2:$G$201,$AB1372)),1),IF($Z1372="F",DATE(YEAR(MAX(N(INDEX(Workforce!$I$2:$I$151,MATCH(INDEX(FTE_Allocation!$A$2:$A$201,$AB1372),Workforce!$A$2:$A$151,0))),N(INDEX(FTE_Allocation!$I$2:$I$201,$AB1372)))),MONTH(MAX(N(INDEX(Workforce!$I$2:$I$151,MATCH(INDEX(FTE_Allocation!$A$2:$A$201,$AB1372),Workforce!$A$2:$A$151,0))),N(INDEX(FTE_Allocation!$I$2:$I$201,$AB1372)))),1),"")))</f>
        <v/>
      </c>
      <c r="AF1372" s="21">
        <f>IF($Z1372="C",IF(INDEX(Contracts!$I$2:$I$151,$AB1372)="PREPAID",EDATE(DATE(YEAR(INDEX(Contracts!$J$2:$J$151,$AB1372)),MONTH(INDEX(Contracts!$J$2:$J$151,$AB1372)),1),IF(INDEX(Contracts!$N$2:$N$151,$AB1372)="",12,INDEX(Contracts!$N$2:$N$151,$AB1372))-1),IF(INDEX(Contracts!$I$2:$I$151,$AB1372)="MONTHLY",IF(INDEX(Contracts!$K$2:$K$151,$AB1372)="",2958101,INDEX(Contracts!$K$2:$K$151,$AB1372)),0)),IF($Z1372="A",EDATE(DATE(YEAR(INDEX(Fixed_Assets!$G$2:$G$201,$AB1372)),MONTH(INDEX(Fixed_Assets!$G$2:$G$201,$AB1372)),1),INDEX(Fixed_Assets!$J$2:$J$201,$AB1372)-1),IF($Z1372="F",MIN(IF(INDEX(Workforce!$J$2:$J$151,MATCH(INDEX(FTE_Allocation!$A$2:$A$201,$AB1372),Workforce!$A$2:$A$151,0))="",2958101,INDEX(Workforce!$J$2:$J$151,MATCH(INDEX(FTE_Allocation!$A$2:$A$201,$AB1372),Workforce!$A$2:$A$151,0))),IF(INDEX(FTE_Allocation!$J$2:$J$201,$AB1372)="",2958101,INDEX(FTE_Allocation!$J$2:$J$201,$AB1372))),"")))</f>
        <v/>
      </c>
      <c r="AG1372" s="19">
        <f>IF($Z1372="C",IF(INDEX(Contracts!$I$2:$I$151,$AB1372)="PREPAID",INDEX(Contracts!$M$2:$M$151,$AB1372)/IF(INDEX(Contracts!$N$2:$N$151,$AB1372)="",12,INDEX(Contracts!$N$2:$N$151,$AB1372)),IF(INDEX(Contracts!$I$2:$I$151,$AB1372)="MONTHLY",INDEX(Contracts!$M$2:$M$151,$AB1372),0))*(1-N(INDEX(Contracts!$O$2:$O$151,$AB1372))),IF($Z1372="A",INDEX(Fixed_Assets!$H$2:$H$201,$AB1372)/INDEX(Fixed_Assets!$J$2:$J$201,$AB1372),IF($Z1372="F",INDEX(Workforce!$F$2:$F$151,MATCH(INDEX(FTE_Allocation!$A$2:$A$201,$AB1372),Workforce!$A$2:$A$151,0))*N(INDEX(FTE_Allocation!$F$2:$H$201,$AB1372,$AC1372)),"")))</f>
        <v/>
      </c>
    </row>
    <row r="1373">
      <c r="A1373" s="7">
        <f>IF($Z1373="","",$AD1373)</f>
        <v/>
      </c>
      <c r="B1373" s="7">
        <f>IF($Z1373="C",INDEX(Contracts!$D$2:$D$151,$AB1373)&amp;"",IF($Z1373="A",INDEX(Fixed_Assets!$C$2:$C$201,$AB1373)&amp;"",IF($Z1373="F",INDEX(Workforce!$B$2:$B$151,MATCH(INDEX(FTE_Allocation!$A$2:$A$201,$AB1373),Workforce!$A$2:$A$151,0))&amp;"","")))</f>
        <v/>
      </c>
      <c r="C1373" s="7">
        <f>IF($Z1373="C",INDEX(Contracts!$E$2:$E$151,$AB1373)&amp;"",IF($Z1373="A",INDEX(Fixed_Assets!$D$2:$D$201,$AB1373)&amp;"",IF($Z1373="F",INDEX(FTE_Allocation!$C$2:$C$201,$AB1373)&amp;"","")))</f>
        <v/>
      </c>
      <c r="D1373" s="7">
        <f>IF($Z1373="C",INDEX(Contracts!$B$2:$B$151,$AB1373)&amp;"",IF($Z1373="A",INDEX(Fixed_Assets!$B$2:$B$201,$AB1373)&amp;"",IF($Z1373="F",INDEX(FTE_Allocation!$B$2:$B$201,$AB1373)&amp;"","")))</f>
        <v/>
      </c>
      <c r="E1373" s="7">
        <f>IF($Z1373="C",INDEX(Contracts!$P$2:$P$151,$AB1373)&amp;"",IF($Z1373="A",INDEX(Fixed_Assets!$K$2:$K$201,$AB1373)&amp;"",IF($Z1373="F",IF(INDEX(FTE_Allocation!$D$2:$D$201,$AB1373)="PROJECT",IFERROR(INDEX(Projects!$D:$D,MATCH(INDEX(FTE_Allocation!$E$2:$E$201,$AB1373),Projects!$A:$A,0))&amp;"","#PROJECT?"),INDEX(FTE_Allocation!$E$2:$E$201,$AB1373)&amp;""),"")))</f>
        <v/>
      </c>
      <c r="F1373" s="7">
        <f>IF($Z1373="C",INDEX(Contracts!$Q$2:$Q$151,$AB1373)&amp;"",IF($Z1373="A",INDEX(Fixed_Assets!$L$2:$L$201,$AB1373)&amp;"",IF($Z1373="F",INDEX(Workforce!$K$2:$K$151,MATCH(INDEX(FTE_Allocation!$A$2:$A$201,$AB1373),Workforce!$A$2:$A$151,0))&amp;"","")))</f>
        <v/>
      </c>
      <c r="G1373" s="7">
        <f>IF($Z1373="C",INDEX(Contracts!$F$2:$F$151,$AB1373)&amp;" / "&amp;INDEX(Contracts!$G$2:$G$151,$AB1373),IF($Z1373="A",INDEX(Fixed_Assets!$E$2:$E$201,$AB1373)&amp;"",IF($Z1373="F","Personnel "&amp;INDEX(FTE_Allocation!$A$2:$A$201,$AB1373)&amp;IF(INDEX(FTE_Allocation!$D$2:$D$201,$AB1373)="PROJECT"," ("&amp;INDEX(FTE_Allocation!$E$2:$E$201,$AB1373)&amp;")",""),"")))</f>
        <v/>
      </c>
      <c r="H1373" s="7">
        <f>IF($Z1373="C","CONTRACT",IF($Z1373="A","ASSET",IF($Z1373="F","WORKFORCE","")))</f>
        <v/>
      </c>
      <c r="I1373" s="7">
        <f>IF($Z1373="C",INDEX(Contracts!$L$2:$L$151,$AB1373)&amp;"",IF($Z1373="A",INDEX(Fixed_Assets!$I$2:$I$201,$AB1373)&amp;"",IF($Z1373="F",INDEX(Workforce!$G$2:$G$151,MATCH(INDEX(FTE_Allocation!$A$2:$A$201,$AB1373),Workforce!$A$2:$A$151,0))&amp;"","")))</f>
        <v/>
      </c>
      <c r="J1373" s="18">
        <f>IF($Z1373="","",IF(AND(DATE($AD1373,1,1)&gt;=$AE1373,DATE($AD1373,1,1)&lt;=$AF1373),ROUND($AG1373,2),0))</f>
        <v/>
      </c>
      <c r="K1373" s="18">
        <f>IF($Z1373="","",IF(AND(DATE($AD1373,2,1)&gt;=$AE1373,DATE($AD1373,2,1)&lt;=$AF1373),ROUND($AG1373,2),0))</f>
        <v/>
      </c>
      <c r="L1373" s="18">
        <f>IF($Z1373="","",IF(AND(DATE($AD1373,3,1)&gt;=$AE1373,DATE($AD1373,3,1)&lt;=$AF1373),ROUND($AG1373,2),0))</f>
        <v/>
      </c>
      <c r="M1373" s="18">
        <f>IF($Z1373="","",IF(AND(DATE($AD1373,4,1)&gt;=$AE1373,DATE($AD1373,4,1)&lt;=$AF1373),ROUND($AG1373,2),0))</f>
        <v/>
      </c>
      <c r="N1373" s="18">
        <f>IF($Z1373="","",IF(AND(DATE($AD1373,5,1)&gt;=$AE1373,DATE($AD1373,5,1)&lt;=$AF1373),ROUND($AG1373,2),0))</f>
        <v/>
      </c>
      <c r="O1373" s="18">
        <f>IF($Z1373="","",IF(AND(DATE($AD1373,6,1)&gt;=$AE1373,DATE($AD1373,6,1)&lt;=$AF1373),ROUND($AG1373,2),0))</f>
        <v/>
      </c>
      <c r="P1373" s="18">
        <f>IF($Z1373="","",IF(AND(DATE($AD1373,7,1)&gt;=$AE1373,DATE($AD1373,7,1)&lt;=$AF1373),ROUND($AG1373,2),0))</f>
        <v/>
      </c>
      <c r="Q1373" s="18">
        <f>IF($Z1373="","",IF(AND(DATE($AD1373,8,1)&gt;=$AE1373,DATE($AD1373,8,1)&lt;=$AF1373),ROUND($AG1373,2),0))</f>
        <v/>
      </c>
      <c r="R1373" s="18">
        <f>IF($Z1373="","",IF(AND(DATE($AD1373,9,1)&gt;=$AE1373,DATE($AD1373,9,1)&lt;=$AF1373),ROUND($AG1373,2),0))</f>
        <v/>
      </c>
      <c r="S1373" s="18">
        <f>IF($Z1373="","",IF(AND(DATE($AD1373,10,1)&gt;=$AE1373,DATE($AD1373,10,1)&lt;=$AF1373),ROUND($AG1373,2),0))</f>
        <v/>
      </c>
      <c r="T1373" s="18">
        <f>IF($Z1373="","",IF(AND(DATE($AD1373,11,1)&gt;=$AE1373,DATE($AD1373,11,1)&lt;=$AF1373),ROUND($AG1373,2),0))</f>
        <v/>
      </c>
      <c r="U1373" s="18">
        <f>IF($Z1373="","",IF(AND(DATE($AD1373,12,1)&gt;=$AE1373,DATE($AD1373,12,1)&lt;=$AF1373),ROUND($AG1373,2),0))</f>
        <v/>
      </c>
      <c r="V1373" s="7">
        <f>IF($Z1373="C","Generated from "&amp;INDEX(Contracts!$A$2:$A$151,$AB1373),IF($Z1373="A","Generated from "&amp;INDEX(Fixed_Assets!$A$2:$A$201,$AB1373),IF($Z1373="F","Generated from "&amp;INDEX(FTE_Allocation!$A$2:$A$201,$AB1373),"")))</f>
        <v/>
      </c>
      <c r="X1373" s="19">
        <f>IF($Z1373="","",SUM(J1373:U1373))</f>
        <v/>
      </c>
      <c r="Y1373" s="20">
        <f>ROW()-1</f>
        <v/>
      </c>
      <c r="Z1373" s="20">
        <f>IF($Y1373&lt;=Settings!$B$4*3,"C",IF($Y1373&lt;=(Settings!$B$4+Settings!$B$5)*3,"A",IF($Y1373&lt;=(Settings!$B$4+Settings!$B$5+Settings!$B$6)*3,"F","")))</f>
        <v/>
      </c>
      <c r="AA1373" s="20">
        <f>IF($Z1373="C",$Y1373,IF($Z1373="A",$Y1373-Settings!$B$4*3,IF($Z1373="F",$Y1373-(Settings!$B$4+Settings!$B$5)*3,"")))</f>
        <v/>
      </c>
      <c r="AB1373" s="20">
        <f>IF($Z1373="","",INT(($AA1373-1)/3)+1)</f>
        <v/>
      </c>
      <c r="AC1373" s="20">
        <f>IF($Z1373="","",MOD($AA1373-1,3)+1)</f>
        <v/>
      </c>
      <c r="AD1373" s="20">
        <f>IF($Z1373="","",Settings!$B$2+$AC1373-1)</f>
        <v/>
      </c>
      <c r="AE1373" s="21">
        <f>IF($Z1373="C",DATE(YEAR(INDEX(Contracts!$J$2:$J$151,$AB1373)),MONTH(INDEX(Contracts!$J$2:$J$151,$AB1373)),1),IF($Z1373="A",DATE(YEAR(INDEX(Fixed_Assets!$G$2:$G$201,$AB1373)),MONTH(INDEX(Fixed_Assets!$G$2:$G$201,$AB1373)),1),IF($Z1373="F",DATE(YEAR(MAX(N(INDEX(Workforce!$I$2:$I$151,MATCH(INDEX(FTE_Allocation!$A$2:$A$201,$AB1373),Workforce!$A$2:$A$151,0))),N(INDEX(FTE_Allocation!$I$2:$I$201,$AB1373)))),MONTH(MAX(N(INDEX(Workforce!$I$2:$I$151,MATCH(INDEX(FTE_Allocation!$A$2:$A$201,$AB1373),Workforce!$A$2:$A$151,0))),N(INDEX(FTE_Allocation!$I$2:$I$201,$AB1373)))),1),"")))</f>
        <v/>
      </c>
      <c r="AF1373" s="21">
        <f>IF($Z1373="C",IF(INDEX(Contracts!$I$2:$I$151,$AB1373)="PREPAID",EDATE(DATE(YEAR(INDEX(Contracts!$J$2:$J$151,$AB1373)),MONTH(INDEX(Contracts!$J$2:$J$151,$AB1373)),1),IF(INDEX(Contracts!$N$2:$N$151,$AB1373)="",12,INDEX(Contracts!$N$2:$N$151,$AB1373))-1),IF(INDEX(Contracts!$I$2:$I$151,$AB1373)="MONTHLY",IF(INDEX(Contracts!$K$2:$K$151,$AB1373)="",2958101,INDEX(Contracts!$K$2:$K$151,$AB1373)),0)),IF($Z1373="A",EDATE(DATE(YEAR(INDEX(Fixed_Assets!$G$2:$G$201,$AB1373)),MONTH(INDEX(Fixed_Assets!$G$2:$G$201,$AB1373)),1),INDEX(Fixed_Assets!$J$2:$J$201,$AB1373)-1),IF($Z1373="F",MIN(IF(INDEX(Workforce!$J$2:$J$151,MATCH(INDEX(FTE_Allocation!$A$2:$A$201,$AB1373),Workforce!$A$2:$A$151,0))="",2958101,INDEX(Workforce!$J$2:$J$151,MATCH(INDEX(FTE_Allocation!$A$2:$A$201,$AB1373),Workforce!$A$2:$A$151,0))),IF(INDEX(FTE_Allocation!$J$2:$J$201,$AB1373)="",2958101,INDEX(FTE_Allocation!$J$2:$J$201,$AB1373))),"")))</f>
        <v/>
      </c>
      <c r="AG1373" s="19">
        <f>IF($Z1373="C",IF(INDEX(Contracts!$I$2:$I$151,$AB1373)="PREPAID",INDEX(Contracts!$M$2:$M$151,$AB1373)/IF(INDEX(Contracts!$N$2:$N$151,$AB1373)="",12,INDEX(Contracts!$N$2:$N$151,$AB1373)),IF(INDEX(Contracts!$I$2:$I$151,$AB1373)="MONTHLY",INDEX(Contracts!$M$2:$M$151,$AB1373),0))*(1-N(INDEX(Contracts!$O$2:$O$151,$AB1373))),IF($Z1373="A",INDEX(Fixed_Assets!$H$2:$H$201,$AB1373)/INDEX(Fixed_Assets!$J$2:$J$201,$AB1373),IF($Z1373="F",INDEX(Workforce!$F$2:$F$151,MATCH(INDEX(FTE_Allocation!$A$2:$A$201,$AB1373),Workforce!$A$2:$A$151,0))*N(INDEX(FTE_Allocation!$F$2:$H$201,$AB1373,$AC1373)),"")))</f>
        <v/>
      </c>
    </row>
    <row r="1374">
      <c r="A1374" s="7">
        <f>IF($Z1374="","",$AD1374)</f>
        <v/>
      </c>
      <c r="B1374" s="7">
        <f>IF($Z1374="C",INDEX(Contracts!$D$2:$D$151,$AB1374)&amp;"",IF($Z1374="A",INDEX(Fixed_Assets!$C$2:$C$201,$AB1374)&amp;"",IF($Z1374="F",INDEX(Workforce!$B$2:$B$151,MATCH(INDEX(FTE_Allocation!$A$2:$A$201,$AB1374),Workforce!$A$2:$A$151,0))&amp;"","")))</f>
        <v/>
      </c>
      <c r="C1374" s="7">
        <f>IF($Z1374="C",INDEX(Contracts!$E$2:$E$151,$AB1374)&amp;"",IF($Z1374="A",INDEX(Fixed_Assets!$D$2:$D$201,$AB1374)&amp;"",IF($Z1374="F",INDEX(FTE_Allocation!$C$2:$C$201,$AB1374)&amp;"","")))</f>
        <v/>
      </c>
      <c r="D1374" s="7">
        <f>IF($Z1374="C",INDEX(Contracts!$B$2:$B$151,$AB1374)&amp;"",IF($Z1374="A",INDEX(Fixed_Assets!$B$2:$B$201,$AB1374)&amp;"",IF($Z1374="F",INDEX(FTE_Allocation!$B$2:$B$201,$AB1374)&amp;"","")))</f>
        <v/>
      </c>
      <c r="E1374" s="7">
        <f>IF($Z1374="C",INDEX(Contracts!$P$2:$P$151,$AB1374)&amp;"",IF($Z1374="A",INDEX(Fixed_Assets!$K$2:$K$201,$AB1374)&amp;"",IF($Z1374="F",IF(INDEX(FTE_Allocation!$D$2:$D$201,$AB1374)="PROJECT",IFERROR(INDEX(Projects!$D:$D,MATCH(INDEX(FTE_Allocation!$E$2:$E$201,$AB1374),Projects!$A:$A,0))&amp;"","#PROJECT?"),INDEX(FTE_Allocation!$E$2:$E$201,$AB1374)&amp;""),"")))</f>
        <v/>
      </c>
      <c r="F1374" s="7">
        <f>IF($Z1374="C",INDEX(Contracts!$Q$2:$Q$151,$AB1374)&amp;"",IF($Z1374="A",INDEX(Fixed_Assets!$L$2:$L$201,$AB1374)&amp;"",IF($Z1374="F",INDEX(Workforce!$K$2:$K$151,MATCH(INDEX(FTE_Allocation!$A$2:$A$201,$AB1374),Workforce!$A$2:$A$151,0))&amp;"","")))</f>
        <v/>
      </c>
      <c r="G1374" s="7">
        <f>IF($Z1374="C",INDEX(Contracts!$F$2:$F$151,$AB1374)&amp;" / "&amp;INDEX(Contracts!$G$2:$G$151,$AB1374),IF($Z1374="A",INDEX(Fixed_Assets!$E$2:$E$201,$AB1374)&amp;"",IF($Z1374="F","Personnel "&amp;INDEX(FTE_Allocation!$A$2:$A$201,$AB1374)&amp;IF(INDEX(FTE_Allocation!$D$2:$D$201,$AB1374)="PROJECT"," ("&amp;INDEX(FTE_Allocation!$E$2:$E$201,$AB1374)&amp;")",""),"")))</f>
        <v/>
      </c>
      <c r="H1374" s="7">
        <f>IF($Z1374="C","CONTRACT",IF($Z1374="A","ASSET",IF($Z1374="F","WORKFORCE","")))</f>
        <v/>
      </c>
      <c r="I1374" s="7">
        <f>IF($Z1374="C",INDEX(Contracts!$L$2:$L$151,$AB1374)&amp;"",IF($Z1374="A",INDEX(Fixed_Assets!$I$2:$I$201,$AB1374)&amp;"",IF($Z1374="F",INDEX(Workforce!$G$2:$G$151,MATCH(INDEX(FTE_Allocation!$A$2:$A$201,$AB1374),Workforce!$A$2:$A$151,0))&amp;"","")))</f>
        <v/>
      </c>
      <c r="J1374" s="18">
        <f>IF($Z1374="","",IF(AND(DATE($AD1374,1,1)&gt;=$AE1374,DATE($AD1374,1,1)&lt;=$AF1374),ROUND($AG1374,2),0))</f>
        <v/>
      </c>
      <c r="K1374" s="18">
        <f>IF($Z1374="","",IF(AND(DATE($AD1374,2,1)&gt;=$AE1374,DATE($AD1374,2,1)&lt;=$AF1374),ROUND($AG1374,2),0))</f>
        <v/>
      </c>
      <c r="L1374" s="18">
        <f>IF($Z1374="","",IF(AND(DATE($AD1374,3,1)&gt;=$AE1374,DATE($AD1374,3,1)&lt;=$AF1374),ROUND($AG1374,2),0))</f>
        <v/>
      </c>
      <c r="M1374" s="18">
        <f>IF($Z1374="","",IF(AND(DATE($AD1374,4,1)&gt;=$AE1374,DATE($AD1374,4,1)&lt;=$AF1374),ROUND($AG1374,2),0))</f>
        <v/>
      </c>
      <c r="N1374" s="18">
        <f>IF($Z1374="","",IF(AND(DATE($AD1374,5,1)&gt;=$AE1374,DATE($AD1374,5,1)&lt;=$AF1374),ROUND($AG1374,2),0))</f>
        <v/>
      </c>
      <c r="O1374" s="18">
        <f>IF($Z1374="","",IF(AND(DATE($AD1374,6,1)&gt;=$AE1374,DATE($AD1374,6,1)&lt;=$AF1374),ROUND($AG1374,2),0))</f>
        <v/>
      </c>
      <c r="P1374" s="18">
        <f>IF($Z1374="","",IF(AND(DATE($AD1374,7,1)&gt;=$AE1374,DATE($AD1374,7,1)&lt;=$AF1374),ROUND($AG1374,2),0))</f>
        <v/>
      </c>
      <c r="Q1374" s="18">
        <f>IF($Z1374="","",IF(AND(DATE($AD1374,8,1)&gt;=$AE1374,DATE($AD1374,8,1)&lt;=$AF1374),ROUND($AG1374,2),0))</f>
        <v/>
      </c>
      <c r="R1374" s="18">
        <f>IF($Z1374="","",IF(AND(DATE($AD1374,9,1)&gt;=$AE1374,DATE($AD1374,9,1)&lt;=$AF1374),ROUND($AG1374,2),0))</f>
        <v/>
      </c>
      <c r="S1374" s="18">
        <f>IF($Z1374="","",IF(AND(DATE($AD1374,10,1)&gt;=$AE1374,DATE($AD1374,10,1)&lt;=$AF1374),ROUND($AG1374,2),0))</f>
        <v/>
      </c>
      <c r="T1374" s="18">
        <f>IF($Z1374="","",IF(AND(DATE($AD1374,11,1)&gt;=$AE1374,DATE($AD1374,11,1)&lt;=$AF1374),ROUND($AG1374,2),0))</f>
        <v/>
      </c>
      <c r="U1374" s="18">
        <f>IF($Z1374="","",IF(AND(DATE($AD1374,12,1)&gt;=$AE1374,DATE($AD1374,12,1)&lt;=$AF1374),ROUND($AG1374,2),0))</f>
        <v/>
      </c>
      <c r="V1374" s="7">
        <f>IF($Z1374="C","Generated from "&amp;INDEX(Contracts!$A$2:$A$151,$AB1374),IF($Z1374="A","Generated from "&amp;INDEX(Fixed_Assets!$A$2:$A$201,$AB1374),IF($Z1374="F","Generated from "&amp;INDEX(FTE_Allocation!$A$2:$A$201,$AB1374),"")))</f>
        <v/>
      </c>
      <c r="X1374" s="19">
        <f>IF($Z1374="","",SUM(J1374:U1374))</f>
        <v/>
      </c>
      <c r="Y1374" s="20">
        <f>ROW()-1</f>
        <v/>
      </c>
      <c r="Z1374" s="20">
        <f>IF($Y1374&lt;=Settings!$B$4*3,"C",IF($Y1374&lt;=(Settings!$B$4+Settings!$B$5)*3,"A",IF($Y1374&lt;=(Settings!$B$4+Settings!$B$5+Settings!$B$6)*3,"F","")))</f>
        <v/>
      </c>
      <c r="AA1374" s="20">
        <f>IF($Z1374="C",$Y1374,IF($Z1374="A",$Y1374-Settings!$B$4*3,IF($Z1374="F",$Y1374-(Settings!$B$4+Settings!$B$5)*3,"")))</f>
        <v/>
      </c>
      <c r="AB1374" s="20">
        <f>IF($Z1374="","",INT(($AA1374-1)/3)+1)</f>
        <v/>
      </c>
      <c r="AC1374" s="20">
        <f>IF($Z1374="","",MOD($AA1374-1,3)+1)</f>
        <v/>
      </c>
      <c r="AD1374" s="20">
        <f>IF($Z1374="","",Settings!$B$2+$AC1374-1)</f>
        <v/>
      </c>
      <c r="AE1374" s="21">
        <f>IF($Z1374="C",DATE(YEAR(INDEX(Contracts!$J$2:$J$151,$AB1374)),MONTH(INDEX(Contracts!$J$2:$J$151,$AB1374)),1),IF($Z1374="A",DATE(YEAR(INDEX(Fixed_Assets!$G$2:$G$201,$AB1374)),MONTH(INDEX(Fixed_Assets!$G$2:$G$201,$AB1374)),1),IF($Z1374="F",DATE(YEAR(MAX(N(INDEX(Workforce!$I$2:$I$151,MATCH(INDEX(FTE_Allocation!$A$2:$A$201,$AB1374),Workforce!$A$2:$A$151,0))),N(INDEX(FTE_Allocation!$I$2:$I$201,$AB1374)))),MONTH(MAX(N(INDEX(Workforce!$I$2:$I$151,MATCH(INDEX(FTE_Allocation!$A$2:$A$201,$AB1374),Workforce!$A$2:$A$151,0))),N(INDEX(FTE_Allocation!$I$2:$I$201,$AB1374)))),1),"")))</f>
        <v/>
      </c>
      <c r="AF1374" s="21">
        <f>IF($Z1374="C",IF(INDEX(Contracts!$I$2:$I$151,$AB1374)="PREPAID",EDATE(DATE(YEAR(INDEX(Contracts!$J$2:$J$151,$AB1374)),MONTH(INDEX(Contracts!$J$2:$J$151,$AB1374)),1),IF(INDEX(Contracts!$N$2:$N$151,$AB1374)="",12,INDEX(Contracts!$N$2:$N$151,$AB1374))-1),IF(INDEX(Contracts!$I$2:$I$151,$AB1374)="MONTHLY",IF(INDEX(Contracts!$K$2:$K$151,$AB1374)="",2958101,INDEX(Contracts!$K$2:$K$151,$AB1374)),0)),IF($Z1374="A",EDATE(DATE(YEAR(INDEX(Fixed_Assets!$G$2:$G$201,$AB1374)),MONTH(INDEX(Fixed_Assets!$G$2:$G$201,$AB1374)),1),INDEX(Fixed_Assets!$J$2:$J$201,$AB1374)-1),IF($Z1374="F",MIN(IF(INDEX(Workforce!$J$2:$J$151,MATCH(INDEX(FTE_Allocation!$A$2:$A$201,$AB1374),Workforce!$A$2:$A$151,0))="",2958101,INDEX(Workforce!$J$2:$J$151,MATCH(INDEX(FTE_Allocation!$A$2:$A$201,$AB1374),Workforce!$A$2:$A$151,0))),IF(INDEX(FTE_Allocation!$J$2:$J$201,$AB1374)="",2958101,INDEX(FTE_Allocation!$J$2:$J$201,$AB1374))),"")))</f>
        <v/>
      </c>
      <c r="AG1374" s="19">
        <f>IF($Z1374="C",IF(INDEX(Contracts!$I$2:$I$151,$AB1374)="PREPAID",INDEX(Contracts!$M$2:$M$151,$AB1374)/IF(INDEX(Contracts!$N$2:$N$151,$AB1374)="",12,INDEX(Contracts!$N$2:$N$151,$AB1374)),IF(INDEX(Contracts!$I$2:$I$151,$AB1374)="MONTHLY",INDEX(Contracts!$M$2:$M$151,$AB1374),0))*(1-N(INDEX(Contracts!$O$2:$O$151,$AB1374))),IF($Z1374="A",INDEX(Fixed_Assets!$H$2:$H$201,$AB1374)/INDEX(Fixed_Assets!$J$2:$J$201,$AB1374),IF($Z1374="F",INDEX(Workforce!$F$2:$F$151,MATCH(INDEX(FTE_Allocation!$A$2:$A$201,$AB1374),Workforce!$A$2:$A$151,0))*N(INDEX(FTE_Allocation!$F$2:$H$201,$AB1374,$AC1374)),"")))</f>
        <v/>
      </c>
    </row>
    <row r="1375">
      <c r="A1375" s="7">
        <f>IF($Z1375="","",$AD1375)</f>
        <v/>
      </c>
      <c r="B1375" s="7">
        <f>IF($Z1375="C",INDEX(Contracts!$D$2:$D$151,$AB1375)&amp;"",IF($Z1375="A",INDEX(Fixed_Assets!$C$2:$C$201,$AB1375)&amp;"",IF($Z1375="F",INDEX(Workforce!$B$2:$B$151,MATCH(INDEX(FTE_Allocation!$A$2:$A$201,$AB1375),Workforce!$A$2:$A$151,0))&amp;"","")))</f>
        <v/>
      </c>
      <c r="C1375" s="7">
        <f>IF($Z1375="C",INDEX(Contracts!$E$2:$E$151,$AB1375)&amp;"",IF($Z1375="A",INDEX(Fixed_Assets!$D$2:$D$201,$AB1375)&amp;"",IF($Z1375="F",INDEX(FTE_Allocation!$C$2:$C$201,$AB1375)&amp;"","")))</f>
        <v/>
      </c>
      <c r="D1375" s="7">
        <f>IF($Z1375="C",INDEX(Contracts!$B$2:$B$151,$AB1375)&amp;"",IF($Z1375="A",INDEX(Fixed_Assets!$B$2:$B$201,$AB1375)&amp;"",IF($Z1375="F",INDEX(FTE_Allocation!$B$2:$B$201,$AB1375)&amp;"","")))</f>
        <v/>
      </c>
      <c r="E1375" s="7">
        <f>IF($Z1375="C",INDEX(Contracts!$P$2:$P$151,$AB1375)&amp;"",IF($Z1375="A",INDEX(Fixed_Assets!$K$2:$K$201,$AB1375)&amp;"",IF($Z1375="F",IF(INDEX(FTE_Allocation!$D$2:$D$201,$AB1375)="PROJECT",IFERROR(INDEX(Projects!$D:$D,MATCH(INDEX(FTE_Allocation!$E$2:$E$201,$AB1375),Projects!$A:$A,0))&amp;"","#PROJECT?"),INDEX(FTE_Allocation!$E$2:$E$201,$AB1375)&amp;""),"")))</f>
        <v/>
      </c>
      <c r="F1375" s="7">
        <f>IF($Z1375="C",INDEX(Contracts!$Q$2:$Q$151,$AB1375)&amp;"",IF($Z1375="A",INDEX(Fixed_Assets!$L$2:$L$201,$AB1375)&amp;"",IF($Z1375="F",INDEX(Workforce!$K$2:$K$151,MATCH(INDEX(FTE_Allocation!$A$2:$A$201,$AB1375),Workforce!$A$2:$A$151,0))&amp;"","")))</f>
        <v/>
      </c>
      <c r="G1375" s="7">
        <f>IF($Z1375="C",INDEX(Contracts!$F$2:$F$151,$AB1375)&amp;" / "&amp;INDEX(Contracts!$G$2:$G$151,$AB1375),IF($Z1375="A",INDEX(Fixed_Assets!$E$2:$E$201,$AB1375)&amp;"",IF($Z1375="F","Personnel "&amp;INDEX(FTE_Allocation!$A$2:$A$201,$AB1375)&amp;IF(INDEX(FTE_Allocation!$D$2:$D$201,$AB1375)="PROJECT"," ("&amp;INDEX(FTE_Allocation!$E$2:$E$201,$AB1375)&amp;")",""),"")))</f>
        <v/>
      </c>
      <c r="H1375" s="7">
        <f>IF($Z1375="C","CONTRACT",IF($Z1375="A","ASSET",IF($Z1375="F","WORKFORCE","")))</f>
        <v/>
      </c>
      <c r="I1375" s="7">
        <f>IF($Z1375="C",INDEX(Contracts!$L$2:$L$151,$AB1375)&amp;"",IF($Z1375="A",INDEX(Fixed_Assets!$I$2:$I$201,$AB1375)&amp;"",IF($Z1375="F",INDEX(Workforce!$G$2:$G$151,MATCH(INDEX(FTE_Allocation!$A$2:$A$201,$AB1375),Workforce!$A$2:$A$151,0))&amp;"","")))</f>
        <v/>
      </c>
      <c r="J1375" s="18">
        <f>IF($Z1375="","",IF(AND(DATE($AD1375,1,1)&gt;=$AE1375,DATE($AD1375,1,1)&lt;=$AF1375),ROUND($AG1375,2),0))</f>
        <v/>
      </c>
      <c r="K1375" s="18">
        <f>IF($Z1375="","",IF(AND(DATE($AD1375,2,1)&gt;=$AE1375,DATE($AD1375,2,1)&lt;=$AF1375),ROUND($AG1375,2),0))</f>
        <v/>
      </c>
      <c r="L1375" s="18">
        <f>IF($Z1375="","",IF(AND(DATE($AD1375,3,1)&gt;=$AE1375,DATE($AD1375,3,1)&lt;=$AF1375),ROUND($AG1375,2),0))</f>
        <v/>
      </c>
      <c r="M1375" s="18">
        <f>IF($Z1375="","",IF(AND(DATE($AD1375,4,1)&gt;=$AE1375,DATE($AD1375,4,1)&lt;=$AF1375),ROUND($AG1375,2),0))</f>
        <v/>
      </c>
      <c r="N1375" s="18">
        <f>IF($Z1375="","",IF(AND(DATE($AD1375,5,1)&gt;=$AE1375,DATE($AD1375,5,1)&lt;=$AF1375),ROUND($AG1375,2),0))</f>
        <v/>
      </c>
      <c r="O1375" s="18">
        <f>IF($Z1375="","",IF(AND(DATE($AD1375,6,1)&gt;=$AE1375,DATE($AD1375,6,1)&lt;=$AF1375),ROUND($AG1375,2),0))</f>
        <v/>
      </c>
      <c r="P1375" s="18">
        <f>IF($Z1375="","",IF(AND(DATE($AD1375,7,1)&gt;=$AE1375,DATE($AD1375,7,1)&lt;=$AF1375),ROUND($AG1375,2),0))</f>
        <v/>
      </c>
      <c r="Q1375" s="18">
        <f>IF($Z1375="","",IF(AND(DATE($AD1375,8,1)&gt;=$AE1375,DATE($AD1375,8,1)&lt;=$AF1375),ROUND($AG1375,2),0))</f>
        <v/>
      </c>
      <c r="R1375" s="18">
        <f>IF($Z1375="","",IF(AND(DATE($AD1375,9,1)&gt;=$AE1375,DATE($AD1375,9,1)&lt;=$AF1375),ROUND($AG1375,2),0))</f>
        <v/>
      </c>
      <c r="S1375" s="18">
        <f>IF($Z1375="","",IF(AND(DATE($AD1375,10,1)&gt;=$AE1375,DATE($AD1375,10,1)&lt;=$AF1375),ROUND($AG1375,2),0))</f>
        <v/>
      </c>
      <c r="T1375" s="18">
        <f>IF($Z1375="","",IF(AND(DATE($AD1375,11,1)&gt;=$AE1375,DATE($AD1375,11,1)&lt;=$AF1375),ROUND($AG1375,2),0))</f>
        <v/>
      </c>
      <c r="U1375" s="18">
        <f>IF($Z1375="","",IF(AND(DATE($AD1375,12,1)&gt;=$AE1375,DATE($AD1375,12,1)&lt;=$AF1375),ROUND($AG1375,2),0))</f>
        <v/>
      </c>
      <c r="V1375" s="7">
        <f>IF($Z1375="C","Generated from "&amp;INDEX(Contracts!$A$2:$A$151,$AB1375),IF($Z1375="A","Generated from "&amp;INDEX(Fixed_Assets!$A$2:$A$201,$AB1375),IF($Z1375="F","Generated from "&amp;INDEX(FTE_Allocation!$A$2:$A$201,$AB1375),"")))</f>
        <v/>
      </c>
      <c r="X1375" s="19">
        <f>IF($Z1375="","",SUM(J1375:U1375))</f>
        <v/>
      </c>
      <c r="Y1375" s="20">
        <f>ROW()-1</f>
        <v/>
      </c>
      <c r="Z1375" s="20">
        <f>IF($Y1375&lt;=Settings!$B$4*3,"C",IF($Y1375&lt;=(Settings!$B$4+Settings!$B$5)*3,"A",IF($Y1375&lt;=(Settings!$B$4+Settings!$B$5+Settings!$B$6)*3,"F","")))</f>
        <v/>
      </c>
      <c r="AA1375" s="20">
        <f>IF($Z1375="C",$Y1375,IF($Z1375="A",$Y1375-Settings!$B$4*3,IF($Z1375="F",$Y1375-(Settings!$B$4+Settings!$B$5)*3,"")))</f>
        <v/>
      </c>
      <c r="AB1375" s="20">
        <f>IF($Z1375="","",INT(($AA1375-1)/3)+1)</f>
        <v/>
      </c>
      <c r="AC1375" s="20">
        <f>IF($Z1375="","",MOD($AA1375-1,3)+1)</f>
        <v/>
      </c>
      <c r="AD1375" s="20">
        <f>IF($Z1375="","",Settings!$B$2+$AC1375-1)</f>
        <v/>
      </c>
      <c r="AE1375" s="21">
        <f>IF($Z1375="C",DATE(YEAR(INDEX(Contracts!$J$2:$J$151,$AB1375)),MONTH(INDEX(Contracts!$J$2:$J$151,$AB1375)),1),IF($Z1375="A",DATE(YEAR(INDEX(Fixed_Assets!$G$2:$G$201,$AB1375)),MONTH(INDEX(Fixed_Assets!$G$2:$G$201,$AB1375)),1),IF($Z1375="F",DATE(YEAR(MAX(N(INDEX(Workforce!$I$2:$I$151,MATCH(INDEX(FTE_Allocation!$A$2:$A$201,$AB1375),Workforce!$A$2:$A$151,0))),N(INDEX(FTE_Allocation!$I$2:$I$201,$AB1375)))),MONTH(MAX(N(INDEX(Workforce!$I$2:$I$151,MATCH(INDEX(FTE_Allocation!$A$2:$A$201,$AB1375),Workforce!$A$2:$A$151,0))),N(INDEX(FTE_Allocation!$I$2:$I$201,$AB1375)))),1),"")))</f>
        <v/>
      </c>
      <c r="AF1375" s="21">
        <f>IF($Z1375="C",IF(INDEX(Contracts!$I$2:$I$151,$AB1375)="PREPAID",EDATE(DATE(YEAR(INDEX(Contracts!$J$2:$J$151,$AB1375)),MONTH(INDEX(Contracts!$J$2:$J$151,$AB1375)),1),IF(INDEX(Contracts!$N$2:$N$151,$AB1375)="",12,INDEX(Contracts!$N$2:$N$151,$AB1375))-1),IF(INDEX(Contracts!$I$2:$I$151,$AB1375)="MONTHLY",IF(INDEX(Contracts!$K$2:$K$151,$AB1375)="",2958101,INDEX(Contracts!$K$2:$K$151,$AB1375)),0)),IF($Z1375="A",EDATE(DATE(YEAR(INDEX(Fixed_Assets!$G$2:$G$201,$AB1375)),MONTH(INDEX(Fixed_Assets!$G$2:$G$201,$AB1375)),1),INDEX(Fixed_Assets!$J$2:$J$201,$AB1375)-1),IF($Z1375="F",MIN(IF(INDEX(Workforce!$J$2:$J$151,MATCH(INDEX(FTE_Allocation!$A$2:$A$201,$AB1375),Workforce!$A$2:$A$151,0))="",2958101,INDEX(Workforce!$J$2:$J$151,MATCH(INDEX(FTE_Allocation!$A$2:$A$201,$AB1375),Workforce!$A$2:$A$151,0))),IF(INDEX(FTE_Allocation!$J$2:$J$201,$AB1375)="",2958101,INDEX(FTE_Allocation!$J$2:$J$201,$AB1375))),"")))</f>
        <v/>
      </c>
      <c r="AG1375" s="19">
        <f>IF($Z1375="C",IF(INDEX(Contracts!$I$2:$I$151,$AB1375)="PREPAID",INDEX(Contracts!$M$2:$M$151,$AB1375)/IF(INDEX(Contracts!$N$2:$N$151,$AB1375)="",12,INDEX(Contracts!$N$2:$N$151,$AB1375)),IF(INDEX(Contracts!$I$2:$I$151,$AB1375)="MONTHLY",INDEX(Contracts!$M$2:$M$151,$AB1375),0))*(1-N(INDEX(Contracts!$O$2:$O$151,$AB1375))),IF($Z1375="A",INDEX(Fixed_Assets!$H$2:$H$201,$AB1375)/INDEX(Fixed_Assets!$J$2:$J$201,$AB1375),IF($Z1375="F",INDEX(Workforce!$F$2:$F$151,MATCH(INDEX(FTE_Allocation!$A$2:$A$201,$AB1375),Workforce!$A$2:$A$151,0))*N(INDEX(FTE_Allocation!$F$2:$H$201,$AB1375,$AC1375)),"")))</f>
        <v/>
      </c>
    </row>
    <row r="1376">
      <c r="A1376" s="7">
        <f>IF($Z1376="","",$AD1376)</f>
        <v/>
      </c>
      <c r="B1376" s="7">
        <f>IF($Z1376="C",INDEX(Contracts!$D$2:$D$151,$AB1376)&amp;"",IF($Z1376="A",INDEX(Fixed_Assets!$C$2:$C$201,$AB1376)&amp;"",IF($Z1376="F",INDEX(Workforce!$B$2:$B$151,MATCH(INDEX(FTE_Allocation!$A$2:$A$201,$AB1376),Workforce!$A$2:$A$151,0))&amp;"","")))</f>
        <v/>
      </c>
      <c r="C1376" s="7">
        <f>IF($Z1376="C",INDEX(Contracts!$E$2:$E$151,$AB1376)&amp;"",IF($Z1376="A",INDEX(Fixed_Assets!$D$2:$D$201,$AB1376)&amp;"",IF($Z1376="F",INDEX(FTE_Allocation!$C$2:$C$201,$AB1376)&amp;"","")))</f>
        <v/>
      </c>
      <c r="D1376" s="7">
        <f>IF($Z1376="C",INDEX(Contracts!$B$2:$B$151,$AB1376)&amp;"",IF($Z1376="A",INDEX(Fixed_Assets!$B$2:$B$201,$AB1376)&amp;"",IF($Z1376="F",INDEX(FTE_Allocation!$B$2:$B$201,$AB1376)&amp;"","")))</f>
        <v/>
      </c>
      <c r="E1376" s="7">
        <f>IF($Z1376="C",INDEX(Contracts!$P$2:$P$151,$AB1376)&amp;"",IF($Z1376="A",INDEX(Fixed_Assets!$K$2:$K$201,$AB1376)&amp;"",IF($Z1376="F",IF(INDEX(FTE_Allocation!$D$2:$D$201,$AB1376)="PROJECT",IFERROR(INDEX(Projects!$D:$D,MATCH(INDEX(FTE_Allocation!$E$2:$E$201,$AB1376),Projects!$A:$A,0))&amp;"","#PROJECT?"),INDEX(FTE_Allocation!$E$2:$E$201,$AB1376)&amp;""),"")))</f>
        <v/>
      </c>
      <c r="F1376" s="7">
        <f>IF($Z1376="C",INDEX(Contracts!$Q$2:$Q$151,$AB1376)&amp;"",IF($Z1376="A",INDEX(Fixed_Assets!$L$2:$L$201,$AB1376)&amp;"",IF($Z1376="F",INDEX(Workforce!$K$2:$K$151,MATCH(INDEX(FTE_Allocation!$A$2:$A$201,$AB1376),Workforce!$A$2:$A$151,0))&amp;"","")))</f>
        <v/>
      </c>
      <c r="G1376" s="7">
        <f>IF($Z1376="C",INDEX(Contracts!$F$2:$F$151,$AB1376)&amp;" / "&amp;INDEX(Contracts!$G$2:$G$151,$AB1376),IF($Z1376="A",INDEX(Fixed_Assets!$E$2:$E$201,$AB1376)&amp;"",IF($Z1376="F","Personnel "&amp;INDEX(FTE_Allocation!$A$2:$A$201,$AB1376)&amp;IF(INDEX(FTE_Allocation!$D$2:$D$201,$AB1376)="PROJECT"," ("&amp;INDEX(FTE_Allocation!$E$2:$E$201,$AB1376)&amp;")",""),"")))</f>
        <v/>
      </c>
      <c r="H1376" s="7">
        <f>IF($Z1376="C","CONTRACT",IF($Z1376="A","ASSET",IF($Z1376="F","WORKFORCE","")))</f>
        <v/>
      </c>
      <c r="I1376" s="7">
        <f>IF($Z1376="C",INDEX(Contracts!$L$2:$L$151,$AB1376)&amp;"",IF($Z1376="A",INDEX(Fixed_Assets!$I$2:$I$201,$AB1376)&amp;"",IF($Z1376="F",INDEX(Workforce!$G$2:$G$151,MATCH(INDEX(FTE_Allocation!$A$2:$A$201,$AB1376),Workforce!$A$2:$A$151,0))&amp;"","")))</f>
        <v/>
      </c>
      <c r="J1376" s="18">
        <f>IF($Z1376="","",IF(AND(DATE($AD1376,1,1)&gt;=$AE1376,DATE($AD1376,1,1)&lt;=$AF1376),ROUND($AG1376,2),0))</f>
        <v/>
      </c>
      <c r="K1376" s="18">
        <f>IF($Z1376="","",IF(AND(DATE($AD1376,2,1)&gt;=$AE1376,DATE($AD1376,2,1)&lt;=$AF1376),ROUND($AG1376,2),0))</f>
        <v/>
      </c>
      <c r="L1376" s="18">
        <f>IF($Z1376="","",IF(AND(DATE($AD1376,3,1)&gt;=$AE1376,DATE($AD1376,3,1)&lt;=$AF1376),ROUND($AG1376,2),0))</f>
        <v/>
      </c>
      <c r="M1376" s="18">
        <f>IF($Z1376="","",IF(AND(DATE($AD1376,4,1)&gt;=$AE1376,DATE($AD1376,4,1)&lt;=$AF1376),ROUND($AG1376,2),0))</f>
        <v/>
      </c>
      <c r="N1376" s="18">
        <f>IF($Z1376="","",IF(AND(DATE($AD1376,5,1)&gt;=$AE1376,DATE($AD1376,5,1)&lt;=$AF1376),ROUND($AG1376,2),0))</f>
        <v/>
      </c>
      <c r="O1376" s="18">
        <f>IF($Z1376="","",IF(AND(DATE($AD1376,6,1)&gt;=$AE1376,DATE($AD1376,6,1)&lt;=$AF1376),ROUND($AG1376,2),0))</f>
        <v/>
      </c>
      <c r="P1376" s="18">
        <f>IF($Z1376="","",IF(AND(DATE($AD1376,7,1)&gt;=$AE1376,DATE($AD1376,7,1)&lt;=$AF1376),ROUND($AG1376,2),0))</f>
        <v/>
      </c>
      <c r="Q1376" s="18">
        <f>IF($Z1376="","",IF(AND(DATE($AD1376,8,1)&gt;=$AE1376,DATE($AD1376,8,1)&lt;=$AF1376),ROUND($AG1376,2),0))</f>
        <v/>
      </c>
      <c r="R1376" s="18">
        <f>IF($Z1376="","",IF(AND(DATE($AD1376,9,1)&gt;=$AE1376,DATE($AD1376,9,1)&lt;=$AF1376),ROUND($AG1376,2),0))</f>
        <v/>
      </c>
      <c r="S1376" s="18">
        <f>IF($Z1376="","",IF(AND(DATE($AD1376,10,1)&gt;=$AE1376,DATE($AD1376,10,1)&lt;=$AF1376),ROUND($AG1376,2),0))</f>
        <v/>
      </c>
      <c r="T1376" s="18">
        <f>IF($Z1376="","",IF(AND(DATE($AD1376,11,1)&gt;=$AE1376,DATE($AD1376,11,1)&lt;=$AF1376),ROUND($AG1376,2),0))</f>
        <v/>
      </c>
      <c r="U1376" s="18">
        <f>IF($Z1376="","",IF(AND(DATE($AD1376,12,1)&gt;=$AE1376,DATE($AD1376,12,1)&lt;=$AF1376),ROUND($AG1376,2),0))</f>
        <v/>
      </c>
      <c r="V1376" s="7">
        <f>IF($Z1376="C","Generated from "&amp;INDEX(Contracts!$A$2:$A$151,$AB1376),IF($Z1376="A","Generated from "&amp;INDEX(Fixed_Assets!$A$2:$A$201,$AB1376),IF($Z1376="F","Generated from "&amp;INDEX(FTE_Allocation!$A$2:$A$201,$AB1376),"")))</f>
        <v/>
      </c>
      <c r="X1376" s="19">
        <f>IF($Z1376="","",SUM(J1376:U1376))</f>
        <v/>
      </c>
      <c r="Y1376" s="20">
        <f>ROW()-1</f>
        <v/>
      </c>
      <c r="Z1376" s="20">
        <f>IF($Y1376&lt;=Settings!$B$4*3,"C",IF($Y1376&lt;=(Settings!$B$4+Settings!$B$5)*3,"A",IF($Y1376&lt;=(Settings!$B$4+Settings!$B$5+Settings!$B$6)*3,"F","")))</f>
        <v/>
      </c>
      <c r="AA1376" s="20">
        <f>IF($Z1376="C",$Y1376,IF($Z1376="A",$Y1376-Settings!$B$4*3,IF($Z1376="F",$Y1376-(Settings!$B$4+Settings!$B$5)*3,"")))</f>
        <v/>
      </c>
      <c r="AB1376" s="20">
        <f>IF($Z1376="","",INT(($AA1376-1)/3)+1)</f>
        <v/>
      </c>
      <c r="AC1376" s="20">
        <f>IF($Z1376="","",MOD($AA1376-1,3)+1)</f>
        <v/>
      </c>
      <c r="AD1376" s="20">
        <f>IF($Z1376="","",Settings!$B$2+$AC1376-1)</f>
        <v/>
      </c>
      <c r="AE1376" s="21">
        <f>IF($Z1376="C",DATE(YEAR(INDEX(Contracts!$J$2:$J$151,$AB1376)),MONTH(INDEX(Contracts!$J$2:$J$151,$AB1376)),1),IF($Z1376="A",DATE(YEAR(INDEX(Fixed_Assets!$G$2:$G$201,$AB1376)),MONTH(INDEX(Fixed_Assets!$G$2:$G$201,$AB1376)),1),IF($Z1376="F",DATE(YEAR(MAX(N(INDEX(Workforce!$I$2:$I$151,MATCH(INDEX(FTE_Allocation!$A$2:$A$201,$AB1376),Workforce!$A$2:$A$151,0))),N(INDEX(FTE_Allocation!$I$2:$I$201,$AB1376)))),MONTH(MAX(N(INDEX(Workforce!$I$2:$I$151,MATCH(INDEX(FTE_Allocation!$A$2:$A$201,$AB1376),Workforce!$A$2:$A$151,0))),N(INDEX(FTE_Allocation!$I$2:$I$201,$AB1376)))),1),"")))</f>
        <v/>
      </c>
      <c r="AF1376" s="21">
        <f>IF($Z1376="C",IF(INDEX(Contracts!$I$2:$I$151,$AB1376)="PREPAID",EDATE(DATE(YEAR(INDEX(Contracts!$J$2:$J$151,$AB1376)),MONTH(INDEX(Contracts!$J$2:$J$151,$AB1376)),1),IF(INDEX(Contracts!$N$2:$N$151,$AB1376)="",12,INDEX(Contracts!$N$2:$N$151,$AB1376))-1),IF(INDEX(Contracts!$I$2:$I$151,$AB1376)="MONTHLY",IF(INDEX(Contracts!$K$2:$K$151,$AB1376)="",2958101,INDEX(Contracts!$K$2:$K$151,$AB1376)),0)),IF($Z1376="A",EDATE(DATE(YEAR(INDEX(Fixed_Assets!$G$2:$G$201,$AB1376)),MONTH(INDEX(Fixed_Assets!$G$2:$G$201,$AB1376)),1),INDEX(Fixed_Assets!$J$2:$J$201,$AB1376)-1),IF($Z1376="F",MIN(IF(INDEX(Workforce!$J$2:$J$151,MATCH(INDEX(FTE_Allocation!$A$2:$A$201,$AB1376),Workforce!$A$2:$A$151,0))="",2958101,INDEX(Workforce!$J$2:$J$151,MATCH(INDEX(FTE_Allocation!$A$2:$A$201,$AB1376),Workforce!$A$2:$A$151,0))),IF(INDEX(FTE_Allocation!$J$2:$J$201,$AB1376)="",2958101,INDEX(FTE_Allocation!$J$2:$J$201,$AB1376))),"")))</f>
        <v/>
      </c>
      <c r="AG1376" s="19">
        <f>IF($Z1376="C",IF(INDEX(Contracts!$I$2:$I$151,$AB1376)="PREPAID",INDEX(Contracts!$M$2:$M$151,$AB1376)/IF(INDEX(Contracts!$N$2:$N$151,$AB1376)="",12,INDEX(Contracts!$N$2:$N$151,$AB1376)),IF(INDEX(Contracts!$I$2:$I$151,$AB1376)="MONTHLY",INDEX(Contracts!$M$2:$M$151,$AB1376),0))*(1-N(INDEX(Contracts!$O$2:$O$151,$AB1376))),IF($Z1376="A",INDEX(Fixed_Assets!$H$2:$H$201,$AB1376)/INDEX(Fixed_Assets!$J$2:$J$201,$AB1376),IF($Z1376="F",INDEX(Workforce!$F$2:$F$151,MATCH(INDEX(FTE_Allocation!$A$2:$A$201,$AB1376),Workforce!$A$2:$A$151,0))*N(INDEX(FTE_Allocation!$F$2:$H$201,$AB1376,$AC1376)),"")))</f>
        <v/>
      </c>
    </row>
    <row r="1377">
      <c r="A1377" s="7">
        <f>IF($Z1377="","",$AD1377)</f>
        <v/>
      </c>
      <c r="B1377" s="7">
        <f>IF($Z1377="C",INDEX(Contracts!$D$2:$D$151,$AB1377)&amp;"",IF($Z1377="A",INDEX(Fixed_Assets!$C$2:$C$201,$AB1377)&amp;"",IF($Z1377="F",INDEX(Workforce!$B$2:$B$151,MATCH(INDEX(FTE_Allocation!$A$2:$A$201,$AB1377),Workforce!$A$2:$A$151,0))&amp;"","")))</f>
        <v/>
      </c>
      <c r="C1377" s="7">
        <f>IF($Z1377="C",INDEX(Contracts!$E$2:$E$151,$AB1377)&amp;"",IF($Z1377="A",INDEX(Fixed_Assets!$D$2:$D$201,$AB1377)&amp;"",IF($Z1377="F",INDEX(FTE_Allocation!$C$2:$C$201,$AB1377)&amp;"","")))</f>
        <v/>
      </c>
      <c r="D1377" s="7">
        <f>IF($Z1377="C",INDEX(Contracts!$B$2:$B$151,$AB1377)&amp;"",IF($Z1377="A",INDEX(Fixed_Assets!$B$2:$B$201,$AB1377)&amp;"",IF($Z1377="F",INDEX(FTE_Allocation!$B$2:$B$201,$AB1377)&amp;"","")))</f>
        <v/>
      </c>
      <c r="E1377" s="7">
        <f>IF($Z1377="C",INDEX(Contracts!$P$2:$P$151,$AB1377)&amp;"",IF($Z1377="A",INDEX(Fixed_Assets!$K$2:$K$201,$AB1377)&amp;"",IF($Z1377="F",IF(INDEX(FTE_Allocation!$D$2:$D$201,$AB1377)="PROJECT",IFERROR(INDEX(Projects!$D:$D,MATCH(INDEX(FTE_Allocation!$E$2:$E$201,$AB1377),Projects!$A:$A,0))&amp;"","#PROJECT?"),INDEX(FTE_Allocation!$E$2:$E$201,$AB1377)&amp;""),"")))</f>
        <v/>
      </c>
      <c r="F1377" s="7">
        <f>IF($Z1377="C",INDEX(Contracts!$Q$2:$Q$151,$AB1377)&amp;"",IF($Z1377="A",INDEX(Fixed_Assets!$L$2:$L$201,$AB1377)&amp;"",IF($Z1377="F",INDEX(Workforce!$K$2:$K$151,MATCH(INDEX(FTE_Allocation!$A$2:$A$201,$AB1377),Workforce!$A$2:$A$151,0))&amp;"","")))</f>
        <v/>
      </c>
      <c r="G1377" s="7">
        <f>IF($Z1377="C",INDEX(Contracts!$F$2:$F$151,$AB1377)&amp;" / "&amp;INDEX(Contracts!$G$2:$G$151,$AB1377),IF($Z1377="A",INDEX(Fixed_Assets!$E$2:$E$201,$AB1377)&amp;"",IF($Z1377="F","Personnel "&amp;INDEX(FTE_Allocation!$A$2:$A$201,$AB1377)&amp;IF(INDEX(FTE_Allocation!$D$2:$D$201,$AB1377)="PROJECT"," ("&amp;INDEX(FTE_Allocation!$E$2:$E$201,$AB1377)&amp;")",""),"")))</f>
        <v/>
      </c>
      <c r="H1377" s="7">
        <f>IF($Z1377="C","CONTRACT",IF($Z1377="A","ASSET",IF($Z1377="F","WORKFORCE","")))</f>
        <v/>
      </c>
      <c r="I1377" s="7">
        <f>IF($Z1377="C",INDEX(Contracts!$L$2:$L$151,$AB1377)&amp;"",IF($Z1377="A",INDEX(Fixed_Assets!$I$2:$I$201,$AB1377)&amp;"",IF($Z1377="F",INDEX(Workforce!$G$2:$G$151,MATCH(INDEX(FTE_Allocation!$A$2:$A$201,$AB1377),Workforce!$A$2:$A$151,0))&amp;"","")))</f>
        <v/>
      </c>
      <c r="J1377" s="18">
        <f>IF($Z1377="","",IF(AND(DATE($AD1377,1,1)&gt;=$AE1377,DATE($AD1377,1,1)&lt;=$AF1377),ROUND($AG1377,2),0))</f>
        <v/>
      </c>
      <c r="K1377" s="18">
        <f>IF($Z1377="","",IF(AND(DATE($AD1377,2,1)&gt;=$AE1377,DATE($AD1377,2,1)&lt;=$AF1377),ROUND($AG1377,2),0))</f>
        <v/>
      </c>
      <c r="L1377" s="18">
        <f>IF($Z1377="","",IF(AND(DATE($AD1377,3,1)&gt;=$AE1377,DATE($AD1377,3,1)&lt;=$AF1377),ROUND($AG1377,2),0))</f>
        <v/>
      </c>
      <c r="M1377" s="18">
        <f>IF($Z1377="","",IF(AND(DATE($AD1377,4,1)&gt;=$AE1377,DATE($AD1377,4,1)&lt;=$AF1377),ROUND($AG1377,2),0))</f>
        <v/>
      </c>
      <c r="N1377" s="18">
        <f>IF($Z1377="","",IF(AND(DATE($AD1377,5,1)&gt;=$AE1377,DATE($AD1377,5,1)&lt;=$AF1377),ROUND($AG1377,2),0))</f>
        <v/>
      </c>
      <c r="O1377" s="18">
        <f>IF($Z1377="","",IF(AND(DATE($AD1377,6,1)&gt;=$AE1377,DATE($AD1377,6,1)&lt;=$AF1377),ROUND($AG1377,2),0))</f>
        <v/>
      </c>
      <c r="P1377" s="18">
        <f>IF($Z1377="","",IF(AND(DATE($AD1377,7,1)&gt;=$AE1377,DATE($AD1377,7,1)&lt;=$AF1377),ROUND($AG1377,2),0))</f>
        <v/>
      </c>
      <c r="Q1377" s="18">
        <f>IF($Z1377="","",IF(AND(DATE($AD1377,8,1)&gt;=$AE1377,DATE($AD1377,8,1)&lt;=$AF1377),ROUND($AG1377,2),0))</f>
        <v/>
      </c>
      <c r="R1377" s="18">
        <f>IF($Z1377="","",IF(AND(DATE($AD1377,9,1)&gt;=$AE1377,DATE($AD1377,9,1)&lt;=$AF1377),ROUND($AG1377,2),0))</f>
        <v/>
      </c>
      <c r="S1377" s="18">
        <f>IF($Z1377="","",IF(AND(DATE($AD1377,10,1)&gt;=$AE1377,DATE($AD1377,10,1)&lt;=$AF1377),ROUND($AG1377,2),0))</f>
        <v/>
      </c>
      <c r="T1377" s="18">
        <f>IF($Z1377="","",IF(AND(DATE($AD1377,11,1)&gt;=$AE1377,DATE($AD1377,11,1)&lt;=$AF1377),ROUND($AG1377,2),0))</f>
        <v/>
      </c>
      <c r="U1377" s="18">
        <f>IF($Z1377="","",IF(AND(DATE($AD1377,12,1)&gt;=$AE1377,DATE($AD1377,12,1)&lt;=$AF1377),ROUND($AG1377,2),0))</f>
        <v/>
      </c>
      <c r="V1377" s="7">
        <f>IF($Z1377="C","Generated from "&amp;INDEX(Contracts!$A$2:$A$151,$AB1377),IF($Z1377="A","Generated from "&amp;INDEX(Fixed_Assets!$A$2:$A$201,$AB1377),IF($Z1377="F","Generated from "&amp;INDEX(FTE_Allocation!$A$2:$A$201,$AB1377),"")))</f>
        <v/>
      </c>
      <c r="X1377" s="19">
        <f>IF($Z1377="","",SUM(J1377:U1377))</f>
        <v/>
      </c>
      <c r="Y1377" s="20">
        <f>ROW()-1</f>
        <v/>
      </c>
      <c r="Z1377" s="20">
        <f>IF($Y1377&lt;=Settings!$B$4*3,"C",IF($Y1377&lt;=(Settings!$B$4+Settings!$B$5)*3,"A",IF($Y1377&lt;=(Settings!$B$4+Settings!$B$5+Settings!$B$6)*3,"F","")))</f>
        <v/>
      </c>
      <c r="AA1377" s="20">
        <f>IF($Z1377="C",$Y1377,IF($Z1377="A",$Y1377-Settings!$B$4*3,IF($Z1377="F",$Y1377-(Settings!$B$4+Settings!$B$5)*3,"")))</f>
        <v/>
      </c>
      <c r="AB1377" s="20">
        <f>IF($Z1377="","",INT(($AA1377-1)/3)+1)</f>
        <v/>
      </c>
      <c r="AC1377" s="20">
        <f>IF($Z1377="","",MOD($AA1377-1,3)+1)</f>
        <v/>
      </c>
      <c r="AD1377" s="20">
        <f>IF($Z1377="","",Settings!$B$2+$AC1377-1)</f>
        <v/>
      </c>
      <c r="AE1377" s="21">
        <f>IF($Z1377="C",DATE(YEAR(INDEX(Contracts!$J$2:$J$151,$AB1377)),MONTH(INDEX(Contracts!$J$2:$J$151,$AB1377)),1),IF($Z1377="A",DATE(YEAR(INDEX(Fixed_Assets!$G$2:$G$201,$AB1377)),MONTH(INDEX(Fixed_Assets!$G$2:$G$201,$AB1377)),1),IF($Z1377="F",DATE(YEAR(MAX(N(INDEX(Workforce!$I$2:$I$151,MATCH(INDEX(FTE_Allocation!$A$2:$A$201,$AB1377),Workforce!$A$2:$A$151,0))),N(INDEX(FTE_Allocation!$I$2:$I$201,$AB1377)))),MONTH(MAX(N(INDEX(Workforce!$I$2:$I$151,MATCH(INDEX(FTE_Allocation!$A$2:$A$201,$AB1377),Workforce!$A$2:$A$151,0))),N(INDEX(FTE_Allocation!$I$2:$I$201,$AB1377)))),1),"")))</f>
        <v/>
      </c>
      <c r="AF1377" s="21">
        <f>IF($Z1377="C",IF(INDEX(Contracts!$I$2:$I$151,$AB1377)="PREPAID",EDATE(DATE(YEAR(INDEX(Contracts!$J$2:$J$151,$AB1377)),MONTH(INDEX(Contracts!$J$2:$J$151,$AB1377)),1),IF(INDEX(Contracts!$N$2:$N$151,$AB1377)="",12,INDEX(Contracts!$N$2:$N$151,$AB1377))-1),IF(INDEX(Contracts!$I$2:$I$151,$AB1377)="MONTHLY",IF(INDEX(Contracts!$K$2:$K$151,$AB1377)="",2958101,INDEX(Contracts!$K$2:$K$151,$AB1377)),0)),IF($Z1377="A",EDATE(DATE(YEAR(INDEX(Fixed_Assets!$G$2:$G$201,$AB1377)),MONTH(INDEX(Fixed_Assets!$G$2:$G$201,$AB1377)),1),INDEX(Fixed_Assets!$J$2:$J$201,$AB1377)-1),IF($Z1377="F",MIN(IF(INDEX(Workforce!$J$2:$J$151,MATCH(INDEX(FTE_Allocation!$A$2:$A$201,$AB1377),Workforce!$A$2:$A$151,0))="",2958101,INDEX(Workforce!$J$2:$J$151,MATCH(INDEX(FTE_Allocation!$A$2:$A$201,$AB1377),Workforce!$A$2:$A$151,0))),IF(INDEX(FTE_Allocation!$J$2:$J$201,$AB1377)="",2958101,INDEX(FTE_Allocation!$J$2:$J$201,$AB1377))),"")))</f>
        <v/>
      </c>
      <c r="AG1377" s="19">
        <f>IF($Z1377="C",IF(INDEX(Contracts!$I$2:$I$151,$AB1377)="PREPAID",INDEX(Contracts!$M$2:$M$151,$AB1377)/IF(INDEX(Contracts!$N$2:$N$151,$AB1377)="",12,INDEX(Contracts!$N$2:$N$151,$AB1377)),IF(INDEX(Contracts!$I$2:$I$151,$AB1377)="MONTHLY",INDEX(Contracts!$M$2:$M$151,$AB1377),0))*(1-N(INDEX(Contracts!$O$2:$O$151,$AB1377))),IF($Z1377="A",INDEX(Fixed_Assets!$H$2:$H$201,$AB1377)/INDEX(Fixed_Assets!$J$2:$J$201,$AB1377),IF($Z1377="F",INDEX(Workforce!$F$2:$F$151,MATCH(INDEX(FTE_Allocation!$A$2:$A$201,$AB1377),Workforce!$A$2:$A$151,0))*N(INDEX(FTE_Allocation!$F$2:$H$201,$AB1377,$AC1377)),"")))</f>
        <v/>
      </c>
    </row>
    <row r="1378">
      <c r="A1378" s="7">
        <f>IF($Z1378="","",$AD1378)</f>
        <v/>
      </c>
      <c r="B1378" s="7">
        <f>IF($Z1378="C",INDEX(Contracts!$D$2:$D$151,$AB1378)&amp;"",IF($Z1378="A",INDEX(Fixed_Assets!$C$2:$C$201,$AB1378)&amp;"",IF($Z1378="F",INDEX(Workforce!$B$2:$B$151,MATCH(INDEX(FTE_Allocation!$A$2:$A$201,$AB1378),Workforce!$A$2:$A$151,0))&amp;"","")))</f>
        <v/>
      </c>
      <c r="C1378" s="7">
        <f>IF($Z1378="C",INDEX(Contracts!$E$2:$E$151,$AB1378)&amp;"",IF($Z1378="A",INDEX(Fixed_Assets!$D$2:$D$201,$AB1378)&amp;"",IF($Z1378="F",INDEX(FTE_Allocation!$C$2:$C$201,$AB1378)&amp;"","")))</f>
        <v/>
      </c>
      <c r="D1378" s="7">
        <f>IF($Z1378="C",INDEX(Contracts!$B$2:$B$151,$AB1378)&amp;"",IF($Z1378="A",INDEX(Fixed_Assets!$B$2:$B$201,$AB1378)&amp;"",IF($Z1378="F",INDEX(FTE_Allocation!$B$2:$B$201,$AB1378)&amp;"","")))</f>
        <v/>
      </c>
      <c r="E1378" s="7">
        <f>IF($Z1378="C",INDEX(Contracts!$P$2:$P$151,$AB1378)&amp;"",IF($Z1378="A",INDEX(Fixed_Assets!$K$2:$K$201,$AB1378)&amp;"",IF($Z1378="F",IF(INDEX(FTE_Allocation!$D$2:$D$201,$AB1378)="PROJECT",IFERROR(INDEX(Projects!$D:$D,MATCH(INDEX(FTE_Allocation!$E$2:$E$201,$AB1378),Projects!$A:$A,0))&amp;"","#PROJECT?"),INDEX(FTE_Allocation!$E$2:$E$201,$AB1378)&amp;""),"")))</f>
        <v/>
      </c>
      <c r="F1378" s="7">
        <f>IF($Z1378="C",INDEX(Contracts!$Q$2:$Q$151,$AB1378)&amp;"",IF($Z1378="A",INDEX(Fixed_Assets!$L$2:$L$201,$AB1378)&amp;"",IF($Z1378="F",INDEX(Workforce!$K$2:$K$151,MATCH(INDEX(FTE_Allocation!$A$2:$A$201,$AB1378),Workforce!$A$2:$A$151,0))&amp;"","")))</f>
        <v/>
      </c>
      <c r="G1378" s="7">
        <f>IF($Z1378="C",INDEX(Contracts!$F$2:$F$151,$AB1378)&amp;" / "&amp;INDEX(Contracts!$G$2:$G$151,$AB1378),IF($Z1378="A",INDEX(Fixed_Assets!$E$2:$E$201,$AB1378)&amp;"",IF($Z1378="F","Personnel "&amp;INDEX(FTE_Allocation!$A$2:$A$201,$AB1378)&amp;IF(INDEX(FTE_Allocation!$D$2:$D$201,$AB1378)="PROJECT"," ("&amp;INDEX(FTE_Allocation!$E$2:$E$201,$AB1378)&amp;")",""),"")))</f>
        <v/>
      </c>
      <c r="H1378" s="7">
        <f>IF($Z1378="C","CONTRACT",IF($Z1378="A","ASSET",IF($Z1378="F","WORKFORCE","")))</f>
        <v/>
      </c>
      <c r="I1378" s="7">
        <f>IF($Z1378="C",INDEX(Contracts!$L$2:$L$151,$AB1378)&amp;"",IF($Z1378="A",INDEX(Fixed_Assets!$I$2:$I$201,$AB1378)&amp;"",IF($Z1378="F",INDEX(Workforce!$G$2:$G$151,MATCH(INDEX(FTE_Allocation!$A$2:$A$201,$AB1378),Workforce!$A$2:$A$151,0))&amp;"","")))</f>
        <v/>
      </c>
      <c r="J1378" s="18">
        <f>IF($Z1378="","",IF(AND(DATE($AD1378,1,1)&gt;=$AE1378,DATE($AD1378,1,1)&lt;=$AF1378),ROUND($AG1378,2),0))</f>
        <v/>
      </c>
      <c r="K1378" s="18">
        <f>IF($Z1378="","",IF(AND(DATE($AD1378,2,1)&gt;=$AE1378,DATE($AD1378,2,1)&lt;=$AF1378),ROUND($AG1378,2),0))</f>
        <v/>
      </c>
      <c r="L1378" s="18">
        <f>IF($Z1378="","",IF(AND(DATE($AD1378,3,1)&gt;=$AE1378,DATE($AD1378,3,1)&lt;=$AF1378),ROUND($AG1378,2),0))</f>
        <v/>
      </c>
      <c r="M1378" s="18">
        <f>IF($Z1378="","",IF(AND(DATE($AD1378,4,1)&gt;=$AE1378,DATE($AD1378,4,1)&lt;=$AF1378),ROUND($AG1378,2),0))</f>
        <v/>
      </c>
      <c r="N1378" s="18">
        <f>IF($Z1378="","",IF(AND(DATE($AD1378,5,1)&gt;=$AE1378,DATE($AD1378,5,1)&lt;=$AF1378),ROUND($AG1378,2),0))</f>
        <v/>
      </c>
      <c r="O1378" s="18">
        <f>IF($Z1378="","",IF(AND(DATE($AD1378,6,1)&gt;=$AE1378,DATE($AD1378,6,1)&lt;=$AF1378),ROUND($AG1378,2),0))</f>
        <v/>
      </c>
      <c r="P1378" s="18">
        <f>IF($Z1378="","",IF(AND(DATE($AD1378,7,1)&gt;=$AE1378,DATE($AD1378,7,1)&lt;=$AF1378),ROUND($AG1378,2),0))</f>
        <v/>
      </c>
      <c r="Q1378" s="18">
        <f>IF($Z1378="","",IF(AND(DATE($AD1378,8,1)&gt;=$AE1378,DATE($AD1378,8,1)&lt;=$AF1378),ROUND($AG1378,2),0))</f>
        <v/>
      </c>
      <c r="R1378" s="18">
        <f>IF($Z1378="","",IF(AND(DATE($AD1378,9,1)&gt;=$AE1378,DATE($AD1378,9,1)&lt;=$AF1378),ROUND($AG1378,2),0))</f>
        <v/>
      </c>
      <c r="S1378" s="18">
        <f>IF($Z1378="","",IF(AND(DATE($AD1378,10,1)&gt;=$AE1378,DATE($AD1378,10,1)&lt;=$AF1378),ROUND($AG1378,2),0))</f>
        <v/>
      </c>
      <c r="T1378" s="18">
        <f>IF($Z1378="","",IF(AND(DATE($AD1378,11,1)&gt;=$AE1378,DATE($AD1378,11,1)&lt;=$AF1378),ROUND($AG1378,2),0))</f>
        <v/>
      </c>
      <c r="U1378" s="18">
        <f>IF($Z1378="","",IF(AND(DATE($AD1378,12,1)&gt;=$AE1378,DATE($AD1378,12,1)&lt;=$AF1378),ROUND($AG1378,2),0))</f>
        <v/>
      </c>
      <c r="V1378" s="7">
        <f>IF($Z1378="C","Generated from "&amp;INDEX(Contracts!$A$2:$A$151,$AB1378),IF($Z1378="A","Generated from "&amp;INDEX(Fixed_Assets!$A$2:$A$201,$AB1378),IF($Z1378="F","Generated from "&amp;INDEX(FTE_Allocation!$A$2:$A$201,$AB1378),"")))</f>
        <v/>
      </c>
      <c r="X1378" s="19">
        <f>IF($Z1378="","",SUM(J1378:U1378))</f>
        <v/>
      </c>
      <c r="Y1378" s="20">
        <f>ROW()-1</f>
        <v/>
      </c>
      <c r="Z1378" s="20">
        <f>IF($Y1378&lt;=Settings!$B$4*3,"C",IF($Y1378&lt;=(Settings!$B$4+Settings!$B$5)*3,"A",IF($Y1378&lt;=(Settings!$B$4+Settings!$B$5+Settings!$B$6)*3,"F","")))</f>
        <v/>
      </c>
      <c r="AA1378" s="20">
        <f>IF($Z1378="C",$Y1378,IF($Z1378="A",$Y1378-Settings!$B$4*3,IF($Z1378="F",$Y1378-(Settings!$B$4+Settings!$B$5)*3,"")))</f>
        <v/>
      </c>
      <c r="AB1378" s="20">
        <f>IF($Z1378="","",INT(($AA1378-1)/3)+1)</f>
        <v/>
      </c>
      <c r="AC1378" s="20">
        <f>IF($Z1378="","",MOD($AA1378-1,3)+1)</f>
        <v/>
      </c>
      <c r="AD1378" s="20">
        <f>IF($Z1378="","",Settings!$B$2+$AC1378-1)</f>
        <v/>
      </c>
      <c r="AE1378" s="21">
        <f>IF($Z1378="C",DATE(YEAR(INDEX(Contracts!$J$2:$J$151,$AB1378)),MONTH(INDEX(Contracts!$J$2:$J$151,$AB1378)),1),IF($Z1378="A",DATE(YEAR(INDEX(Fixed_Assets!$G$2:$G$201,$AB1378)),MONTH(INDEX(Fixed_Assets!$G$2:$G$201,$AB1378)),1),IF($Z1378="F",DATE(YEAR(MAX(N(INDEX(Workforce!$I$2:$I$151,MATCH(INDEX(FTE_Allocation!$A$2:$A$201,$AB1378),Workforce!$A$2:$A$151,0))),N(INDEX(FTE_Allocation!$I$2:$I$201,$AB1378)))),MONTH(MAX(N(INDEX(Workforce!$I$2:$I$151,MATCH(INDEX(FTE_Allocation!$A$2:$A$201,$AB1378),Workforce!$A$2:$A$151,0))),N(INDEX(FTE_Allocation!$I$2:$I$201,$AB1378)))),1),"")))</f>
        <v/>
      </c>
      <c r="AF1378" s="21">
        <f>IF($Z1378="C",IF(INDEX(Contracts!$I$2:$I$151,$AB1378)="PREPAID",EDATE(DATE(YEAR(INDEX(Contracts!$J$2:$J$151,$AB1378)),MONTH(INDEX(Contracts!$J$2:$J$151,$AB1378)),1),IF(INDEX(Contracts!$N$2:$N$151,$AB1378)="",12,INDEX(Contracts!$N$2:$N$151,$AB1378))-1),IF(INDEX(Contracts!$I$2:$I$151,$AB1378)="MONTHLY",IF(INDEX(Contracts!$K$2:$K$151,$AB1378)="",2958101,INDEX(Contracts!$K$2:$K$151,$AB1378)),0)),IF($Z1378="A",EDATE(DATE(YEAR(INDEX(Fixed_Assets!$G$2:$G$201,$AB1378)),MONTH(INDEX(Fixed_Assets!$G$2:$G$201,$AB1378)),1),INDEX(Fixed_Assets!$J$2:$J$201,$AB1378)-1),IF($Z1378="F",MIN(IF(INDEX(Workforce!$J$2:$J$151,MATCH(INDEX(FTE_Allocation!$A$2:$A$201,$AB1378),Workforce!$A$2:$A$151,0))="",2958101,INDEX(Workforce!$J$2:$J$151,MATCH(INDEX(FTE_Allocation!$A$2:$A$201,$AB1378),Workforce!$A$2:$A$151,0))),IF(INDEX(FTE_Allocation!$J$2:$J$201,$AB1378)="",2958101,INDEX(FTE_Allocation!$J$2:$J$201,$AB1378))),"")))</f>
        <v/>
      </c>
      <c r="AG1378" s="19">
        <f>IF($Z1378="C",IF(INDEX(Contracts!$I$2:$I$151,$AB1378)="PREPAID",INDEX(Contracts!$M$2:$M$151,$AB1378)/IF(INDEX(Contracts!$N$2:$N$151,$AB1378)="",12,INDEX(Contracts!$N$2:$N$151,$AB1378)),IF(INDEX(Contracts!$I$2:$I$151,$AB1378)="MONTHLY",INDEX(Contracts!$M$2:$M$151,$AB1378),0))*(1-N(INDEX(Contracts!$O$2:$O$151,$AB1378))),IF($Z1378="A",INDEX(Fixed_Assets!$H$2:$H$201,$AB1378)/INDEX(Fixed_Assets!$J$2:$J$201,$AB1378),IF($Z1378="F",INDEX(Workforce!$F$2:$F$151,MATCH(INDEX(FTE_Allocation!$A$2:$A$201,$AB1378),Workforce!$A$2:$A$151,0))*N(INDEX(FTE_Allocation!$F$2:$H$201,$AB1378,$AC1378)),"")))</f>
        <v/>
      </c>
    </row>
    <row r="1379">
      <c r="A1379" s="7">
        <f>IF($Z1379="","",$AD1379)</f>
        <v/>
      </c>
      <c r="B1379" s="7">
        <f>IF($Z1379="C",INDEX(Contracts!$D$2:$D$151,$AB1379)&amp;"",IF($Z1379="A",INDEX(Fixed_Assets!$C$2:$C$201,$AB1379)&amp;"",IF($Z1379="F",INDEX(Workforce!$B$2:$B$151,MATCH(INDEX(FTE_Allocation!$A$2:$A$201,$AB1379),Workforce!$A$2:$A$151,0))&amp;"","")))</f>
        <v/>
      </c>
      <c r="C1379" s="7">
        <f>IF($Z1379="C",INDEX(Contracts!$E$2:$E$151,$AB1379)&amp;"",IF($Z1379="A",INDEX(Fixed_Assets!$D$2:$D$201,$AB1379)&amp;"",IF($Z1379="F",INDEX(FTE_Allocation!$C$2:$C$201,$AB1379)&amp;"","")))</f>
        <v/>
      </c>
      <c r="D1379" s="7">
        <f>IF($Z1379="C",INDEX(Contracts!$B$2:$B$151,$AB1379)&amp;"",IF($Z1379="A",INDEX(Fixed_Assets!$B$2:$B$201,$AB1379)&amp;"",IF($Z1379="F",INDEX(FTE_Allocation!$B$2:$B$201,$AB1379)&amp;"","")))</f>
        <v/>
      </c>
      <c r="E1379" s="7">
        <f>IF($Z1379="C",INDEX(Contracts!$P$2:$P$151,$AB1379)&amp;"",IF($Z1379="A",INDEX(Fixed_Assets!$K$2:$K$201,$AB1379)&amp;"",IF($Z1379="F",IF(INDEX(FTE_Allocation!$D$2:$D$201,$AB1379)="PROJECT",IFERROR(INDEX(Projects!$D:$D,MATCH(INDEX(FTE_Allocation!$E$2:$E$201,$AB1379),Projects!$A:$A,0))&amp;"","#PROJECT?"),INDEX(FTE_Allocation!$E$2:$E$201,$AB1379)&amp;""),"")))</f>
        <v/>
      </c>
      <c r="F1379" s="7">
        <f>IF($Z1379="C",INDEX(Contracts!$Q$2:$Q$151,$AB1379)&amp;"",IF($Z1379="A",INDEX(Fixed_Assets!$L$2:$L$201,$AB1379)&amp;"",IF($Z1379="F",INDEX(Workforce!$K$2:$K$151,MATCH(INDEX(FTE_Allocation!$A$2:$A$201,$AB1379),Workforce!$A$2:$A$151,0))&amp;"","")))</f>
        <v/>
      </c>
      <c r="G1379" s="7">
        <f>IF($Z1379="C",INDEX(Contracts!$F$2:$F$151,$AB1379)&amp;" / "&amp;INDEX(Contracts!$G$2:$G$151,$AB1379),IF($Z1379="A",INDEX(Fixed_Assets!$E$2:$E$201,$AB1379)&amp;"",IF($Z1379="F","Personnel "&amp;INDEX(FTE_Allocation!$A$2:$A$201,$AB1379)&amp;IF(INDEX(FTE_Allocation!$D$2:$D$201,$AB1379)="PROJECT"," ("&amp;INDEX(FTE_Allocation!$E$2:$E$201,$AB1379)&amp;")",""),"")))</f>
        <v/>
      </c>
      <c r="H1379" s="7">
        <f>IF($Z1379="C","CONTRACT",IF($Z1379="A","ASSET",IF($Z1379="F","WORKFORCE","")))</f>
        <v/>
      </c>
      <c r="I1379" s="7">
        <f>IF($Z1379="C",INDEX(Contracts!$L$2:$L$151,$AB1379)&amp;"",IF($Z1379="A",INDEX(Fixed_Assets!$I$2:$I$201,$AB1379)&amp;"",IF($Z1379="F",INDEX(Workforce!$G$2:$G$151,MATCH(INDEX(FTE_Allocation!$A$2:$A$201,$AB1379),Workforce!$A$2:$A$151,0))&amp;"","")))</f>
        <v/>
      </c>
      <c r="J1379" s="18">
        <f>IF($Z1379="","",IF(AND(DATE($AD1379,1,1)&gt;=$AE1379,DATE($AD1379,1,1)&lt;=$AF1379),ROUND($AG1379,2),0))</f>
        <v/>
      </c>
      <c r="K1379" s="18">
        <f>IF($Z1379="","",IF(AND(DATE($AD1379,2,1)&gt;=$AE1379,DATE($AD1379,2,1)&lt;=$AF1379),ROUND($AG1379,2),0))</f>
        <v/>
      </c>
      <c r="L1379" s="18">
        <f>IF($Z1379="","",IF(AND(DATE($AD1379,3,1)&gt;=$AE1379,DATE($AD1379,3,1)&lt;=$AF1379),ROUND($AG1379,2),0))</f>
        <v/>
      </c>
      <c r="M1379" s="18">
        <f>IF($Z1379="","",IF(AND(DATE($AD1379,4,1)&gt;=$AE1379,DATE($AD1379,4,1)&lt;=$AF1379),ROUND($AG1379,2),0))</f>
        <v/>
      </c>
      <c r="N1379" s="18">
        <f>IF($Z1379="","",IF(AND(DATE($AD1379,5,1)&gt;=$AE1379,DATE($AD1379,5,1)&lt;=$AF1379),ROUND($AG1379,2),0))</f>
        <v/>
      </c>
      <c r="O1379" s="18">
        <f>IF($Z1379="","",IF(AND(DATE($AD1379,6,1)&gt;=$AE1379,DATE($AD1379,6,1)&lt;=$AF1379),ROUND($AG1379,2),0))</f>
        <v/>
      </c>
      <c r="P1379" s="18">
        <f>IF($Z1379="","",IF(AND(DATE($AD1379,7,1)&gt;=$AE1379,DATE($AD1379,7,1)&lt;=$AF1379),ROUND($AG1379,2),0))</f>
        <v/>
      </c>
      <c r="Q1379" s="18">
        <f>IF($Z1379="","",IF(AND(DATE($AD1379,8,1)&gt;=$AE1379,DATE($AD1379,8,1)&lt;=$AF1379),ROUND($AG1379,2),0))</f>
        <v/>
      </c>
      <c r="R1379" s="18">
        <f>IF($Z1379="","",IF(AND(DATE($AD1379,9,1)&gt;=$AE1379,DATE($AD1379,9,1)&lt;=$AF1379),ROUND($AG1379,2),0))</f>
        <v/>
      </c>
      <c r="S1379" s="18">
        <f>IF($Z1379="","",IF(AND(DATE($AD1379,10,1)&gt;=$AE1379,DATE($AD1379,10,1)&lt;=$AF1379),ROUND($AG1379,2),0))</f>
        <v/>
      </c>
      <c r="T1379" s="18">
        <f>IF($Z1379="","",IF(AND(DATE($AD1379,11,1)&gt;=$AE1379,DATE($AD1379,11,1)&lt;=$AF1379),ROUND($AG1379,2),0))</f>
        <v/>
      </c>
      <c r="U1379" s="18">
        <f>IF($Z1379="","",IF(AND(DATE($AD1379,12,1)&gt;=$AE1379,DATE($AD1379,12,1)&lt;=$AF1379),ROUND($AG1379,2),0))</f>
        <v/>
      </c>
      <c r="V1379" s="7">
        <f>IF($Z1379="C","Generated from "&amp;INDEX(Contracts!$A$2:$A$151,$AB1379),IF($Z1379="A","Generated from "&amp;INDEX(Fixed_Assets!$A$2:$A$201,$AB1379),IF($Z1379="F","Generated from "&amp;INDEX(FTE_Allocation!$A$2:$A$201,$AB1379),"")))</f>
        <v/>
      </c>
      <c r="X1379" s="19">
        <f>IF($Z1379="","",SUM(J1379:U1379))</f>
        <v/>
      </c>
      <c r="Y1379" s="20">
        <f>ROW()-1</f>
        <v/>
      </c>
      <c r="Z1379" s="20">
        <f>IF($Y1379&lt;=Settings!$B$4*3,"C",IF($Y1379&lt;=(Settings!$B$4+Settings!$B$5)*3,"A",IF($Y1379&lt;=(Settings!$B$4+Settings!$B$5+Settings!$B$6)*3,"F","")))</f>
        <v/>
      </c>
      <c r="AA1379" s="20">
        <f>IF($Z1379="C",$Y1379,IF($Z1379="A",$Y1379-Settings!$B$4*3,IF($Z1379="F",$Y1379-(Settings!$B$4+Settings!$B$5)*3,"")))</f>
        <v/>
      </c>
      <c r="AB1379" s="20">
        <f>IF($Z1379="","",INT(($AA1379-1)/3)+1)</f>
        <v/>
      </c>
      <c r="AC1379" s="20">
        <f>IF($Z1379="","",MOD($AA1379-1,3)+1)</f>
        <v/>
      </c>
      <c r="AD1379" s="20">
        <f>IF($Z1379="","",Settings!$B$2+$AC1379-1)</f>
        <v/>
      </c>
      <c r="AE1379" s="21">
        <f>IF($Z1379="C",DATE(YEAR(INDEX(Contracts!$J$2:$J$151,$AB1379)),MONTH(INDEX(Contracts!$J$2:$J$151,$AB1379)),1),IF($Z1379="A",DATE(YEAR(INDEX(Fixed_Assets!$G$2:$G$201,$AB1379)),MONTH(INDEX(Fixed_Assets!$G$2:$G$201,$AB1379)),1),IF($Z1379="F",DATE(YEAR(MAX(N(INDEX(Workforce!$I$2:$I$151,MATCH(INDEX(FTE_Allocation!$A$2:$A$201,$AB1379),Workforce!$A$2:$A$151,0))),N(INDEX(FTE_Allocation!$I$2:$I$201,$AB1379)))),MONTH(MAX(N(INDEX(Workforce!$I$2:$I$151,MATCH(INDEX(FTE_Allocation!$A$2:$A$201,$AB1379),Workforce!$A$2:$A$151,0))),N(INDEX(FTE_Allocation!$I$2:$I$201,$AB1379)))),1),"")))</f>
        <v/>
      </c>
      <c r="AF1379" s="21">
        <f>IF($Z1379="C",IF(INDEX(Contracts!$I$2:$I$151,$AB1379)="PREPAID",EDATE(DATE(YEAR(INDEX(Contracts!$J$2:$J$151,$AB1379)),MONTH(INDEX(Contracts!$J$2:$J$151,$AB1379)),1),IF(INDEX(Contracts!$N$2:$N$151,$AB1379)="",12,INDEX(Contracts!$N$2:$N$151,$AB1379))-1),IF(INDEX(Contracts!$I$2:$I$151,$AB1379)="MONTHLY",IF(INDEX(Contracts!$K$2:$K$151,$AB1379)="",2958101,INDEX(Contracts!$K$2:$K$151,$AB1379)),0)),IF($Z1379="A",EDATE(DATE(YEAR(INDEX(Fixed_Assets!$G$2:$G$201,$AB1379)),MONTH(INDEX(Fixed_Assets!$G$2:$G$201,$AB1379)),1),INDEX(Fixed_Assets!$J$2:$J$201,$AB1379)-1),IF($Z1379="F",MIN(IF(INDEX(Workforce!$J$2:$J$151,MATCH(INDEX(FTE_Allocation!$A$2:$A$201,$AB1379),Workforce!$A$2:$A$151,0))="",2958101,INDEX(Workforce!$J$2:$J$151,MATCH(INDEX(FTE_Allocation!$A$2:$A$201,$AB1379),Workforce!$A$2:$A$151,0))),IF(INDEX(FTE_Allocation!$J$2:$J$201,$AB1379)="",2958101,INDEX(FTE_Allocation!$J$2:$J$201,$AB1379))),"")))</f>
        <v/>
      </c>
      <c r="AG1379" s="19">
        <f>IF($Z1379="C",IF(INDEX(Contracts!$I$2:$I$151,$AB1379)="PREPAID",INDEX(Contracts!$M$2:$M$151,$AB1379)/IF(INDEX(Contracts!$N$2:$N$151,$AB1379)="",12,INDEX(Contracts!$N$2:$N$151,$AB1379)),IF(INDEX(Contracts!$I$2:$I$151,$AB1379)="MONTHLY",INDEX(Contracts!$M$2:$M$151,$AB1379),0))*(1-N(INDEX(Contracts!$O$2:$O$151,$AB1379))),IF($Z1379="A",INDEX(Fixed_Assets!$H$2:$H$201,$AB1379)/INDEX(Fixed_Assets!$J$2:$J$201,$AB1379),IF($Z1379="F",INDEX(Workforce!$F$2:$F$151,MATCH(INDEX(FTE_Allocation!$A$2:$A$201,$AB1379),Workforce!$A$2:$A$151,0))*N(INDEX(FTE_Allocation!$F$2:$H$201,$AB1379,$AC1379)),"")))</f>
        <v/>
      </c>
    </row>
    <row r="1380">
      <c r="A1380" s="7">
        <f>IF($Z1380="","",$AD1380)</f>
        <v/>
      </c>
      <c r="B1380" s="7">
        <f>IF($Z1380="C",INDEX(Contracts!$D$2:$D$151,$AB1380)&amp;"",IF($Z1380="A",INDEX(Fixed_Assets!$C$2:$C$201,$AB1380)&amp;"",IF($Z1380="F",INDEX(Workforce!$B$2:$B$151,MATCH(INDEX(FTE_Allocation!$A$2:$A$201,$AB1380),Workforce!$A$2:$A$151,0))&amp;"","")))</f>
        <v/>
      </c>
      <c r="C1380" s="7">
        <f>IF($Z1380="C",INDEX(Contracts!$E$2:$E$151,$AB1380)&amp;"",IF($Z1380="A",INDEX(Fixed_Assets!$D$2:$D$201,$AB1380)&amp;"",IF($Z1380="F",INDEX(FTE_Allocation!$C$2:$C$201,$AB1380)&amp;"","")))</f>
        <v/>
      </c>
      <c r="D1380" s="7">
        <f>IF($Z1380="C",INDEX(Contracts!$B$2:$B$151,$AB1380)&amp;"",IF($Z1380="A",INDEX(Fixed_Assets!$B$2:$B$201,$AB1380)&amp;"",IF($Z1380="F",INDEX(FTE_Allocation!$B$2:$B$201,$AB1380)&amp;"","")))</f>
        <v/>
      </c>
      <c r="E1380" s="7">
        <f>IF($Z1380="C",INDEX(Contracts!$P$2:$P$151,$AB1380)&amp;"",IF($Z1380="A",INDEX(Fixed_Assets!$K$2:$K$201,$AB1380)&amp;"",IF($Z1380="F",IF(INDEX(FTE_Allocation!$D$2:$D$201,$AB1380)="PROJECT",IFERROR(INDEX(Projects!$D:$D,MATCH(INDEX(FTE_Allocation!$E$2:$E$201,$AB1380),Projects!$A:$A,0))&amp;"","#PROJECT?"),INDEX(FTE_Allocation!$E$2:$E$201,$AB1380)&amp;""),"")))</f>
        <v/>
      </c>
      <c r="F1380" s="7">
        <f>IF($Z1380="C",INDEX(Contracts!$Q$2:$Q$151,$AB1380)&amp;"",IF($Z1380="A",INDEX(Fixed_Assets!$L$2:$L$201,$AB1380)&amp;"",IF($Z1380="F",INDEX(Workforce!$K$2:$K$151,MATCH(INDEX(FTE_Allocation!$A$2:$A$201,$AB1380),Workforce!$A$2:$A$151,0))&amp;"","")))</f>
        <v/>
      </c>
      <c r="G1380" s="7">
        <f>IF($Z1380="C",INDEX(Contracts!$F$2:$F$151,$AB1380)&amp;" / "&amp;INDEX(Contracts!$G$2:$G$151,$AB1380),IF($Z1380="A",INDEX(Fixed_Assets!$E$2:$E$201,$AB1380)&amp;"",IF($Z1380="F","Personnel "&amp;INDEX(FTE_Allocation!$A$2:$A$201,$AB1380)&amp;IF(INDEX(FTE_Allocation!$D$2:$D$201,$AB1380)="PROJECT"," ("&amp;INDEX(FTE_Allocation!$E$2:$E$201,$AB1380)&amp;")",""),"")))</f>
        <v/>
      </c>
      <c r="H1380" s="7">
        <f>IF($Z1380="C","CONTRACT",IF($Z1380="A","ASSET",IF($Z1380="F","WORKFORCE","")))</f>
        <v/>
      </c>
      <c r="I1380" s="7">
        <f>IF($Z1380="C",INDEX(Contracts!$L$2:$L$151,$AB1380)&amp;"",IF($Z1380="A",INDEX(Fixed_Assets!$I$2:$I$201,$AB1380)&amp;"",IF($Z1380="F",INDEX(Workforce!$G$2:$G$151,MATCH(INDEX(FTE_Allocation!$A$2:$A$201,$AB1380),Workforce!$A$2:$A$151,0))&amp;"","")))</f>
        <v/>
      </c>
      <c r="J1380" s="18">
        <f>IF($Z1380="","",IF(AND(DATE($AD1380,1,1)&gt;=$AE1380,DATE($AD1380,1,1)&lt;=$AF1380),ROUND($AG1380,2),0))</f>
        <v/>
      </c>
      <c r="K1380" s="18">
        <f>IF($Z1380="","",IF(AND(DATE($AD1380,2,1)&gt;=$AE1380,DATE($AD1380,2,1)&lt;=$AF1380),ROUND($AG1380,2),0))</f>
        <v/>
      </c>
      <c r="L1380" s="18">
        <f>IF($Z1380="","",IF(AND(DATE($AD1380,3,1)&gt;=$AE1380,DATE($AD1380,3,1)&lt;=$AF1380),ROUND($AG1380,2),0))</f>
        <v/>
      </c>
      <c r="M1380" s="18">
        <f>IF($Z1380="","",IF(AND(DATE($AD1380,4,1)&gt;=$AE1380,DATE($AD1380,4,1)&lt;=$AF1380),ROUND($AG1380,2),0))</f>
        <v/>
      </c>
      <c r="N1380" s="18">
        <f>IF($Z1380="","",IF(AND(DATE($AD1380,5,1)&gt;=$AE1380,DATE($AD1380,5,1)&lt;=$AF1380),ROUND($AG1380,2),0))</f>
        <v/>
      </c>
      <c r="O1380" s="18">
        <f>IF($Z1380="","",IF(AND(DATE($AD1380,6,1)&gt;=$AE1380,DATE($AD1380,6,1)&lt;=$AF1380),ROUND($AG1380,2),0))</f>
        <v/>
      </c>
      <c r="P1380" s="18">
        <f>IF($Z1380="","",IF(AND(DATE($AD1380,7,1)&gt;=$AE1380,DATE($AD1380,7,1)&lt;=$AF1380),ROUND($AG1380,2),0))</f>
        <v/>
      </c>
      <c r="Q1380" s="18">
        <f>IF($Z1380="","",IF(AND(DATE($AD1380,8,1)&gt;=$AE1380,DATE($AD1380,8,1)&lt;=$AF1380),ROUND($AG1380,2),0))</f>
        <v/>
      </c>
      <c r="R1380" s="18">
        <f>IF($Z1380="","",IF(AND(DATE($AD1380,9,1)&gt;=$AE1380,DATE($AD1380,9,1)&lt;=$AF1380),ROUND($AG1380,2),0))</f>
        <v/>
      </c>
      <c r="S1380" s="18">
        <f>IF($Z1380="","",IF(AND(DATE($AD1380,10,1)&gt;=$AE1380,DATE($AD1380,10,1)&lt;=$AF1380),ROUND($AG1380,2),0))</f>
        <v/>
      </c>
      <c r="T1380" s="18">
        <f>IF($Z1380="","",IF(AND(DATE($AD1380,11,1)&gt;=$AE1380,DATE($AD1380,11,1)&lt;=$AF1380),ROUND($AG1380,2),0))</f>
        <v/>
      </c>
      <c r="U1380" s="18">
        <f>IF($Z1380="","",IF(AND(DATE($AD1380,12,1)&gt;=$AE1380,DATE($AD1380,12,1)&lt;=$AF1380),ROUND($AG1380,2),0))</f>
        <v/>
      </c>
      <c r="V1380" s="7">
        <f>IF($Z1380="C","Generated from "&amp;INDEX(Contracts!$A$2:$A$151,$AB1380),IF($Z1380="A","Generated from "&amp;INDEX(Fixed_Assets!$A$2:$A$201,$AB1380),IF($Z1380="F","Generated from "&amp;INDEX(FTE_Allocation!$A$2:$A$201,$AB1380),"")))</f>
        <v/>
      </c>
      <c r="X1380" s="19">
        <f>IF($Z1380="","",SUM(J1380:U1380))</f>
        <v/>
      </c>
      <c r="Y1380" s="20">
        <f>ROW()-1</f>
        <v/>
      </c>
      <c r="Z1380" s="20">
        <f>IF($Y1380&lt;=Settings!$B$4*3,"C",IF($Y1380&lt;=(Settings!$B$4+Settings!$B$5)*3,"A",IF($Y1380&lt;=(Settings!$B$4+Settings!$B$5+Settings!$B$6)*3,"F","")))</f>
        <v/>
      </c>
      <c r="AA1380" s="20">
        <f>IF($Z1380="C",$Y1380,IF($Z1380="A",$Y1380-Settings!$B$4*3,IF($Z1380="F",$Y1380-(Settings!$B$4+Settings!$B$5)*3,"")))</f>
        <v/>
      </c>
      <c r="AB1380" s="20">
        <f>IF($Z1380="","",INT(($AA1380-1)/3)+1)</f>
        <v/>
      </c>
      <c r="AC1380" s="20">
        <f>IF($Z1380="","",MOD($AA1380-1,3)+1)</f>
        <v/>
      </c>
      <c r="AD1380" s="20">
        <f>IF($Z1380="","",Settings!$B$2+$AC1380-1)</f>
        <v/>
      </c>
      <c r="AE1380" s="21">
        <f>IF($Z1380="C",DATE(YEAR(INDEX(Contracts!$J$2:$J$151,$AB1380)),MONTH(INDEX(Contracts!$J$2:$J$151,$AB1380)),1),IF($Z1380="A",DATE(YEAR(INDEX(Fixed_Assets!$G$2:$G$201,$AB1380)),MONTH(INDEX(Fixed_Assets!$G$2:$G$201,$AB1380)),1),IF($Z1380="F",DATE(YEAR(MAX(N(INDEX(Workforce!$I$2:$I$151,MATCH(INDEX(FTE_Allocation!$A$2:$A$201,$AB1380),Workforce!$A$2:$A$151,0))),N(INDEX(FTE_Allocation!$I$2:$I$201,$AB1380)))),MONTH(MAX(N(INDEX(Workforce!$I$2:$I$151,MATCH(INDEX(FTE_Allocation!$A$2:$A$201,$AB1380),Workforce!$A$2:$A$151,0))),N(INDEX(FTE_Allocation!$I$2:$I$201,$AB1380)))),1),"")))</f>
        <v/>
      </c>
      <c r="AF1380" s="21">
        <f>IF($Z1380="C",IF(INDEX(Contracts!$I$2:$I$151,$AB1380)="PREPAID",EDATE(DATE(YEAR(INDEX(Contracts!$J$2:$J$151,$AB1380)),MONTH(INDEX(Contracts!$J$2:$J$151,$AB1380)),1),IF(INDEX(Contracts!$N$2:$N$151,$AB1380)="",12,INDEX(Contracts!$N$2:$N$151,$AB1380))-1),IF(INDEX(Contracts!$I$2:$I$151,$AB1380)="MONTHLY",IF(INDEX(Contracts!$K$2:$K$151,$AB1380)="",2958101,INDEX(Contracts!$K$2:$K$151,$AB1380)),0)),IF($Z1380="A",EDATE(DATE(YEAR(INDEX(Fixed_Assets!$G$2:$G$201,$AB1380)),MONTH(INDEX(Fixed_Assets!$G$2:$G$201,$AB1380)),1),INDEX(Fixed_Assets!$J$2:$J$201,$AB1380)-1),IF($Z1380="F",MIN(IF(INDEX(Workforce!$J$2:$J$151,MATCH(INDEX(FTE_Allocation!$A$2:$A$201,$AB1380),Workforce!$A$2:$A$151,0))="",2958101,INDEX(Workforce!$J$2:$J$151,MATCH(INDEX(FTE_Allocation!$A$2:$A$201,$AB1380),Workforce!$A$2:$A$151,0))),IF(INDEX(FTE_Allocation!$J$2:$J$201,$AB1380)="",2958101,INDEX(FTE_Allocation!$J$2:$J$201,$AB1380))),"")))</f>
        <v/>
      </c>
      <c r="AG1380" s="19">
        <f>IF($Z1380="C",IF(INDEX(Contracts!$I$2:$I$151,$AB1380)="PREPAID",INDEX(Contracts!$M$2:$M$151,$AB1380)/IF(INDEX(Contracts!$N$2:$N$151,$AB1380)="",12,INDEX(Contracts!$N$2:$N$151,$AB1380)),IF(INDEX(Contracts!$I$2:$I$151,$AB1380)="MONTHLY",INDEX(Contracts!$M$2:$M$151,$AB1380),0))*(1-N(INDEX(Contracts!$O$2:$O$151,$AB1380))),IF($Z1380="A",INDEX(Fixed_Assets!$H$2:$H$201,$AB1380)/INDEX(Fixed_Assets!$J$2:$J$201,$AB1380),IF($Z1380="F",INDEX(Workforce!$F$2:$F$151,MATCH(INDEX(FTE_Allocation!$A$2:$A$201,$AB1380),Workforce!$A$2:$A$151,0))*N(INDEX(FTE_Allocation!$F$2:$H$201,$AB1380,$AC1380)),"")))</f>
        <v/>
      </c>
    </row>
    <row r="1381">
      <c r="A1381" s="7">
        <f>IF($Z1381="","",$AD1381)</f>
        <v/>
      </c>
      <c r="B1381" s="7">
        <f>IF($Z1381="C",INDEX(Contracts!$D$2:$D$151,$AB1381)&amp;"",IF($Z1381="A",INDEX(Fixed_Assets!$C$2:$C$201,$AB1381)&amp;"",IF($Z1381="F",INDEX(Workforce!$B$2:$B$151,MATCH(INDEX(FTE_Allocation!$A$2:$A$201,$AB1381),Workforce!$A$2:$A$151,0))&amp;"","")))</f>
        <v/>
      </c>
      <c r="C1381" s="7">
        <f>IF($Z1381="C",INDEX(Contracts!$E$2:$E$151,$AB1381)&amp;"",IF($Z1381="A",INDEX(Fixed_Assets!$D$2:$D$201,$AB1381)&amp;"",IF($Z1381="F",INDEX(FTE_Allocation!$C$2:$C$201,$AB1381)&amp;"","")))</f>
        <v/>
      </c>
      <c r="D1381" s="7">
        <f>IF($Z1381="C",INDEX(Contracts!$B$2:$B$151,$AB1381)&amp;"",IF($Z1381="A",INDEX(Fixed_Assets!$B$2:$B$201,$AB1381)&amp;"",IF($Z1381="F",INDEX(FTE_Allocation!$B$2:$B$201,$AB1381)&amp;"","")))</f>
        <v/>
      </c>
      <c r="E1381" s="7">
        <f>IF($Z1381="C",INDEX(Contracts!$P$2:$P$151,$AB1381)&amp;"",IF($Z1381="A",INDEX(Fixed_Assets!$K$2:$K$201,$AB1381)&amp;"",IF($Z1381="F",IF(INDEX(FTE_Allocation!$D$2:$D$201,$AB1381)="PROJECT",IFERROR(INDEX(Projects!$D:$D,MATCH(INDEX(FTE_Allocation!$E$2:$E$201,$AB1381),Projects!$A:$A,0))&amp;"","#PROJECT?"),INDEX(FTE_Allocation!$E$2:$E$201,$AB1381)&amp;""),"")))</f>
        <v/>
      </c>
      <c r="F1381" s="7">
        <f>IF($Z1381="C",INDEX(Contracts!$Q$2:$Q$151,$AB1381)&amp;"",IF($Z1381="A",INDEX(Fixed_Assets!$L$2:$L$201,$AB1381)&amp;"",IF($Z1381="F",INDEX(Workforce!$K$2:$K$151,MATCH(INDEX(FTE_Allocation!$A$2:$A$201,$AB1381),Workforce!$A$2:$A$151,0))&amp;"","")))</f>
        <v/>
      </c>
      <c r="G1381" s="7">
        <f>IF($Z1381="C",INDEX(Contracts!$F$2:$F$151,$AB1381)&amp;" / "&amp;INDEX(Contracts!$G$2:$G$151,$AB1381),IF($Z1381="A",INDEX(Fixed_Assets!$E$2:$E$201,$AB1381)&amp;"",IF($Z1381="F","Personnel "&amp;INDEX(FTE_Allocation!$A$2:$A$201,$AB1381)&amp;IF(INDEX(FTE_Allocation!$D$2:$D$201,$AB1381)="PROJECT"," ("&amp;INDEX(FTE_Allocation!$E$2:$E$201,$AB1381)&amp;")",""),"")))</f>
        <v/>
      </c>
      <c r="H1381" s="7">
        <f>IF($Z1381="C","CONTRACT",IF($Z1381="A","ASSET",IF($Z1381="F","WORKFORCE","")))</f>
        <v/>
      </c>
      <c r="I1381" s="7">
        <f>IF($Z1381="C",INDEX(Contracts!$L$2:$L$151,$AB1381)&amp;"",IF($Z1381="A",INDEX(Fixed_Assets!$I$2:$I$201,$AB1381)&amp;"",IF($Z1381="F",INDEX(Workforce!$G$2:$G$151,MATCH(INDEX(FTE_Allocation!$A$2:$A$201,$AB1381),Workforce!$A$2:$A$151,0))&amp;"","")))</f>
        <v/>
      </c>
      <c r="J1381" s="18">
        <f>IF($Z1381="","",IF(AND(DATE($AD1381,1,1)&gt;=$AE1381,DATE($AD1381,1,1)&lt;=$AF1381),ROUND($AG1381,2),0))</f>
        <v/>
      </c>
      <c r="K1381" s="18">
        <f>IF($Z1381="","",IF(AND(DATE($AD1381,2,1)&gt;=$AE1381,DATE($AD1381,2,1)&lt;=$AF1381),ROUND($AG1381,2),0))</f>
        <v/>
      </c>
      <c r="L1381" s="18">
        <f>IF($Z1381="","",IF(AND(DATE($AD1381,3,1)&gt;=$AE1381,DATE($AD1381,3,1)&lt;=$AF1381),ROUND($AG1381,2),0))</f>
        <v/>
      </c>
      <c r="M1381" s="18">
        <f>IF($Z1381="","",IF(AND(DATE($AD1381,4,1)&gt;=$AE1381,DATE($AD1381,4,1)&lt;=$AF1381),ROUND($AG1381,2),0))</f>
        <v/>
      </c>
      <c r="N1381" s="18">
        <f>IF($Z1381="","",IF(AND(DATE($AD1381,5,1)&gt;=$AE1381,DATE($AD1381,5,1)&lt;=$AF1381),ROUND($AG1381,2),0))</f>
        <v/>
      </c>
      <c r="O1381" s="18">
        <f>IF($Z1381="","",IF(AND(DATE($AD1381,6,1)&gt;=$AE1381,DATE($AD1381,6,1)&lt;=$AF1381),ROUND($AG1381,2),0))</f>
        <v/>
      </c>
      <c r="P1381" s="18">
        <f>IF($Z1381="","",IF(AND(DATE($AD1381,7,1)&gt;=$AE1381,DATE($AD1381,7,1)&lt;=$AF1381),ROUND($AG1381,2),0))</f>
        <v/>
      </c>
      <c r="Q1381" s="18">
        <f>IF($Z1381="","",IF(AND(DATE($AD1381,8,1)&gt;=$AE1381,DATE($AD1381,8,1)&lt;=$AF1381),ROUND($AG1381,2),0))</f>
        <v/>
      </c>
      <c r="R1381" s="18">
        <f>IF($Z1381="","",IF(AND(DATE($AD1381,9,1)&gt;=$AE1381,DATE($AD1381,9,1)&lt;=$AF1381),ROUND($AG1381,2),0))</f>
        <v/>
      </c>
      <c r="S1381" s="18">
        <f>IF($Z1381="","",IF(AND(DATE($AD1381,10,1)&gt;=$AE1381,DATE($AD1381,10,1)&lt;=$AF1381),ROUND($AG1381,2),0))</f>
        <v/>
      </c>
      <c r="T1381" s="18">
        <f>IF($Z1381="","",IF(AND(DATE($AD1381,11,1)&gt;=$AE1381,DATE($AD1381,11,1)&lt;=$AF1381),ROUND($AG1381,2),0))</f>
        <v/>
      </c>
      <c r="U1381" s="18">
        <f>IF($Z1381="","",IF(AND(DATE($AD1381,12,1)&gt;=$AE1381,DATE($AD1381,12,1)&lt;=$AF1381),ROUND($AG1381,2),0))</f>
        <v/>
      </c>
      <c r="V1381" s="7">
        <f>IF($Z1381="C","Generated from "&amp;INDEX(Contracts!$A$2:$A$151,$AB1381),IF($Z1381="A","Generated from "&amp;INDEX(Fixed_Assets!$A$2:$A$201,$AB1381),IF($Z1381="F","Generated from "&amp;INDEX(FTE_Allocation!$A$2:$A$201,$AB1381),"")))</f>
        <v/>
      </c>
      <c r="X1381" s="19">
        <f>IF($Z1381="","",SUM(J1381:U1381))</f>
        <v/>
      </c>
      <c r="Y1381" s="20">
        <f>ROW()-1</f>
        <v/>
      </c>
      <c r="Z1381" s="20">
        <f>IF($Y1381&lt;=Settings!$B$4*3,"C",IF($Y1381&lt;=(Settings!$B$4+Settings!$B$5)*3,"A",IF($Y1381&lt;=(Settings!$B$4+Settings!$B$5+Settings!$B$6)*3,"F","")))</f>
        <v/>
      </c>
      <c r="AA1381" s="20">
        <f>IF($Z1381="C",$Y1381,IF($Z1381="A",$Y1381-Settings!$B$4*3,IF($Z1381="F",$Y1381-(Settings!$B$4+Settings!$B$5)*3,"")))</f>
        <v/>
      </c>
      <c r="AB1381" s="20">
        <f>IF($Z1381="","",INT(($AA1381-1)/3)+1)</f>
        <v/>
      </c>
      <c r="AC1381" s="20">
        <f>IF($Z1381="","",MOD($AA1381-1,3)+1)</f>
        <v/>
      </c>
      <c r="AD1381" s="20">
        <f>IF($Z1381="","",Settings!$B$2+$AC1381-1)</f>
        <v/>
      </c>
      <c r="AE1381" s="21">
        <f>IF($Z1381="C",DATE(YEAR(INDEX(Contracts!$J$2:$J$151,$AB1381)),MONTH(INDEX(Contracts!$J$2:$J$151,$AB1381)),1),IF($Z1381="A",DATE(YEAR(INDEX(Fixed_Assets!$G$2:$G$201,$AB1381)),MONTH(INDEX(Fixed_Assets!$G$2:$G$201,$AB1381)),1),IF($Z1381="F",DATE(YEAR(MAX(N(INDEX(Workforce!$I$2:$I$151,MATCH(INDEX(FTE_Allocation!$A$2:$A$201,$AB1381),Workforce!$A$2:$A$151,0))),N(INDEX(FTE_Allocation!$I$2:$I$201,$AB1381)))),MONTH(MAX(N(INDEX(Workforce!$I$2:$I$151,MATCH(INDEX(FTE_Allocation!$A$2:$A$201,$AB1381),Workforce!$A$2:$A$151,0))),N(INDEX(FTE_Allocation!$I$2:$I$201,$AB1381)))),1),"")))</f>
        <v/>
      </c>
      <c r="AF1381" s="21">
        <f>IF($Z1381="C",IF(INDEX(Contracts!$I$2:$I$151,$AB1381)="PREPAID",EDATE(DATE(YEAR(INDEX(Contracts!$J$2:$J$151,$AB1381)),MONTH(INDEX(Contracts!$J$2:$J$151,$AB1381)),1),IF(INDEX(Contracts!$N$2:$N$151,$AB1381)="",12,INDEX(Contracts!$N$2:$N$151,$AB1381))-1),IF(INDEX(Contracts!$I$2:$I$151,$AB1381)="MONTHLY",IF(INDEX(Contracts!$K$2:$K$151,$AB1381)="",2958101,INDEX(Contracts!$K$2:$K$151,$AB1381)),0)),IF($Z1381="A",EDATE(DATE(YEAR(INDEX(Fixed_Assets!$G$2:$G$201,$AB1381)),MONTH(INDEX(Fixed_Assets!$G$2:$G$201,$AB1381)),1),INDEX(Fixed_Assets!$J$2:$J$201,$AB1381)-1),IF($Z1381="F",MIN(IF(INDEX(Workforce!$J$2:$J$151,MATCH(INDEX(FTE_Allocation!$A$2:$A$201,$AB1381),Workforce!$A$2:$A$151,0))="",2958101,INDEX(Workforce!$J$2:$J$151,MATCH(INDEX(FTE_Allocation!$A$2:$A$201,$AB1381),Workforce!$A$2:$A$151,0))),IF(INDEX(FTE_Allocation!$J$2:$J$201,$AB1381)="",2958101,INDEX(FTE_Allocation!$J$2:$J$201,$AB1381))),"")))</f>
        <v/>
      </c>
      <c r="AG1381" s="19">
        <f>IF($Z1381="C",IF(INDEX(Contracts!$I$2:$I$151,$AB1381)="PREPAID",INDEX(Contracts!$M$2:$M$151,$AB1381)/IF(INDEX(Contracts!$N$2:$N$151,$AB1381)="",12,INDEX(Contracts!$N$2:$N$151,$AB1381)),IF(INDEX(Contracts!$I$2:$I$151,$AB1381)="MONTHLY",INDEX(Contracts!$M$2:$M$151,$AB1381),0))*(1-N(INDEX(Contracts!$O$2:$O$151,$AB1381))),IF($Z1381="A",INDEX(Fixed_Assets!$H$2:$H$201,$AB1381)/INDEX(Fixed_Assets!$J$2:$J$201,$AB1381),IF($Z1381="F",INDEX(Workforce!$F$2:$F$151,MATCH(INDEX(FTE_Allocation!$A$2:$A$201,$AB1381),Workforce!$A$2:$A$151,0))*N(INDEX(FTE_Allocation!$F$2:$H$201,$AB1381,$AC1381)),"")))</f>
        <v/>
      </c>
    </row>
    <row r="1382">
      <c r="A1382" s="7">
        <f>IF($Z1382="","",$AD1382)</f>
        <v/>
      </c>
      <c r="B1382" s="7">
        <f>IF($Z1382="C",INDEX(Contracts!$D$2:$D$151,$AB1382)&amp;"",IF($Z1382="A",INDEX(Fixed_Assets!$C$2:$C$201,$AB1382)&amp;"",IF($Z1382="F",INDEX(Workforce!$B$2:$B$151,MATCH(INDEX(FTE_Allocation!$A$2:$A$201,$AB1382),Workforce!$A$2:$A$151,0))&amp;"","")))</f>
        <v/>
      </c>
      <c r="C1382" s="7">
        <f>IF($Z1382="C",INDEX(Contracts!$E$2:$E$151,$AB1382)&amp;"",IF($Z1382="A",INDEX(Fixed_Assets!$D$2:$D$201,$AB1382)&amp;"",IF($Z1382="F",INDEX(FTE_Allocation!$C$2:$C$201,$AB1382)&amp;"","")))</f>
        <v/>
      </c>
      <c r="D1382" s="7">
        <f>IF($Z1382="C",INDEX(Contracts!$B$2:$B$151,$AB1382)&amp;"",IF($Z1382="A",INDEX(Fixed_Assets!$B$2:$B$201,$AB1382)&amp;"",IF($Z1382="F",INDEX(FTE_Allocation!$B$2:$B$201,$AB1382)&amp;"","")))</f>
        <v/>
      </c>
      <c r="E1382" s="7">
        <f>IF($Z1382="C",INDEX(Contracts!$P$2:$P$151,$AB1382)&amp;"",IF($Z1382="A",INDEX(Fixed_Assets!$K$2:$K$201,$AB1382)&amp;"",IF($Z1382="F",IF(INDEX(FTE_Allocation!$D$2:$D$201,$AB1382)="PROJECT",IFERROR(INDEX(Projects!$D:$D,MATCH(INDEX(FTE_Allocation!$E$2:$E$201,$AB1382),Projects!$A:$A,0))&amp;"","#PROJECT?"),INDEX(FTE_Allocation!$E$2:$E$201,$AB1382)&amp;""),"")))</f>
        <v/>
      </c>
      <c r="F1382" s="7">
        <f>IF($Z1382="C",INDEX(Contracts!$Q$2:$Q$151,$AB1382)&amp;"",IF($Z1382="A",INDEX(Fixed_Assets!$L$2:$L$201,$AB1382)&amp;"",IF($Z1382="F",INDEX(Workforce!$K$2:$K$151,MATCH(INDEX(FTE_Allocation!$A$2:$A$201,$AB1382),Workforce!$A$2:$A$151,0))&amp;"","")))</f>
        <v/>
      </c>
      <c r="G1382" s="7">
        <f>IF($Z1382="C",INDEX(Contracts!$F$2:$F$151,$AB1382)&amp;" / "&amp;INDEX(Contracts!$G$2:$G$151,$AB1382),IF($Z1382="A",INDEX(Fixed_Assets!$E$2:$E$201,$AB1382)&amp;"",IF($Z1382="F","Personnel "&amp;INDEX(FTE_Allocation!$A$2:$A$201,$AB1382)&amp;IF(INDEX(FTE_Allocation!$D$2:$D$201,$AB1382)="PROJECT"," ("&amp;INDEX(FTE_Allocation!$E$2:$E$201,$AB1382)&amp;")",""),"")))</f>
        <v/>
      </c>
      <c r="H1382" s="7">
        <f>IF($Z1382="C","CONTRACT",IF($Z1382="A","ASSET",IF($Z1382="F","WORKFORCE","")))</f>
        <v/>
      </c>
      <c r="I1382" s="7">
        <f>IF($Z1382="C",INDEX(Contracts!$L$2:$L$151,$AB1382)&amp;"",IF($Z1382="A",INDEX(Fixed_Assets!$I$2:$I$201,$AB1382)&amp;"",IF($Z1382="F",INDEX(Workforce!$G$2:$G$151,MATCH(INDEX(FTE_Allocation!$A$2:$A$201,$AB1382),Workforce!$A$2:$A$151,0))&amp;"","")))</f>
        <v/>
      </c>
      <c r="J1382" s="18">
        <f>IF($Z1382="","",IF(AND(DATE($AD1382,1,1)&gt;=$AE1382,DATE($AD1382,1,1)&lt;=$AF1382),ROUND($AG1382,2),0))</f>
        <v/>
      </c>
      <c r="K1382" s="18">
        <f>IF($Z1382="","",IF(AND(DATE($AD1382,2,1)&gt;=$AE1382,DATE($AD1382,2,1)&lt;=$AF1382),ROUND($AG1382,2),0))</f>
        <v/>
      </c>
      <c r="L1382" s="18">
        <f>IF($Z1382="","",IF(AND(DATE($AD1382,3,1)&gt;=$AE1382,DATE($AD1382,3,1)&lt;=$AF1382),ROUND($AG1382,2),0))</f>
        <v/>
      </c>
      <c r="M1382" s="18">
        <f>IF($Z1382="","",IF(AND(DATE($AD1382,4,1)&gt;=$AE1382,DATE($AD1382,4,1)&lt;=$AF1382),ROUND($AG1382,2),0))</f>
        <v/>
      </c>
      <c r="N1382" s="18">
        <f>IF($Z1382="","",IF(AND(DATE($AD1382,5,1)&gt;=$AE1382,DATE($AD1382,5,1)&lt;=$AF1382),ROUND($AG1382,2),0))</f>
        <v/>
      </c>
      <c r="O1382" s="18">
        <f>IF($Z1382="","",IF(AND(DATE($AD1382,6,1)&gt;=$AE1382,DATE($AD1382,6,1)&lt;=$AF1382),ROUND($AG1382,2),0))</f>
        <v/>
      </c>
      <c r="P1382" s="18">
        <f>IF($Z1382="","",IF(AND(DATE($AD1382,7,1)&gt;=$AE1382,DATE($AD1382,7,1)&lt;=$AF1382),ROUND($AG1382,2),0))</f>
        <v/>
      </c>
      <c r="Q1382" s="18">
        <f>IF($Z1382="","",IF(AND(DATE($AD1382,8,1)&gt;=$AE1382,DATE($AD1382,8,1)&lt;=$AF1382),ROUND($AG1382,2),0))</f>
        <v/>
      </c>
      <c r="R1382" s="18">
        <f>IF($Z1382="","",IF(AND(DATE($AD1382,9,1)&gt;=$AE1382,DATE($AD1382,9,1)&lt;=$AF1382),ROUND($AG1382,2),0))</f>
        <v/>
      </c>
      <c r="S1382" s="18">
        <f>IF($Z1382="","",IF(AND(DATE($AD1382,10,1)&gt;=$AE1382,DATE($AD1382,10,1)&lt;=$AF1382),ROUND($AG1382,2),0))</f>
        <v/>
      </c>
      <c r="T1382" s="18">
        <f>IF($Z1382="","",IF(AND(DATE($AD1382,11,1)&gt;=$AE1382,DATE($AD1382,11,1)&lt;=$AF1382),ROUND($AG1382,2),0))</f>
        <v/>
      </c>
      <c r="U1382" s="18">
        <f>IF($Z1382="","",IF(AND(DATE($AD1382,12,1)&gt;=$AE1382,DATE($AD1382,12,1)&lt;=$AF1382),ROUND($AG1382,2),0))</f>
        <v/>
      </c>
      <c r="V1382" s="7">
        <f>IF($Z1382="C","Generated from "&amp;INDEX(Contracts!$A$2:$A$151,$AB1382),IF($Z1382="A","Generated from "&amp;INDEX(Fixed_Assets!$A$2:$A$201,$AB1382),IF($Z1382="F","Generated from "&amp;INDEX(FTE_Allocation!$A$2:$A$201,$AB1382),"")))</f>
        <v/>
      </c>
      <c r="X1382" s="19">
        <f>IF($Z1382="","",SUM(J1382:U1382))</f>
        <v/>
      </c>
      <c r="Y1382" s="20">
        <f>ROW()-1</f>
        <v/>
      </c>
      <c r="Z1382" s="20">
        <f>IF($Y1382&lt;=Settings!$B$4*3,"C",IF($Y1382&lt;=(Settings!$B$4+Settings!$B$5)*3,"A",IF($Y1382&lt;=(Settings!$B$4+Settings!$B$5+Settings!$B$6)*3,"F","")))</f>
        <v/>
      </c>
      <c r="AA1382" s="20">
        <f>IF($Z1382="C",$Y1382,IF($Z1382="A",$Y1382-Settings!$B$4*3,IF($Z1382="F",$Y1382-(Settings!$B$4+Settings!$B$5)*3,"")))</f>
        <v/>
      </c>
      <c r="AB1382" s="20">
        <f>IF($Z1382="","",INT(($AA1382-1)/3)+1)</f>
        <v/>
      </c>
      <c r="AC1382" s="20">
        <f>IF($Z1382="","",MOD($AA1382-1,3)+1)</f>
        <v/>
      </c>
      <c r="AD1382" s="20">
        <f>IF($Z1382="","",Settings!$B$2+$AC1382-1)</f>
        <v/>
      </c>
      <c r="AE1382" s="21">
        <f>IF($Z1382="C",DATE(YEAR(INDEX(Contracts!$J$2:$J$151,$AB1382)),MONTH(INDEX(Contracts!$J$2:$J$151,$AB1382)),1),IF($Z1382="A",DATE(YEAR(INDEX(Fixed_Assets!$G$2:$G$201,$AB1382)),MONTH(INDEX(Fixed_Assets!$G$2:$G$201,$AB1382)),1),IF($Z1382="F",DATE(YEAR(MAX(N(INDEX(Workforce!$I$2:$I$151,MATCH(INDEX(FTE_Allocation!$A$2:$A$201,$AB1382),Workforce!$A$2:$A$151,0))),N(INDEX(FTE_Allocation!$I$2:$I$201,$AB1382)))),MONTH(MAX(N(INDEX(Workforce!$I$2:$I$151,MATCH(INDEX(FTE_Allocation!$A$2:$A$201,$AB1382),Workforce!$A$2:$A$151,0))),N(INDEX(FTE_Allocation!$I$2:$I$201,$AB1382)))),1),"")))</f>
        <v/>
      </c>
      <c r="AF1382" s="21">
        <f>IF($Z1382="C",IF(INDEX(Contracts!$I$2:$I$151,$AB1382)="PREPAID",EDATE(DATE(YEAR(INDEX(Contracts!$J$2:$J$151,$AB1382)),MONTH(INDEX(Contracts!$J$2:$J$151,$AB1382)),1),IF(INDEX(Contracts!$N$2:$N$151,$AB1382)="",12,INDEX(Contracts!$N$2:$N$151,$AB1382))-1),IF(INDEX(Contracts!$I$2:$I$151,$AB1382)="MONTHLY",IF(INDEX(Contracts!$K$2:$K$151,$AB1382)="",2958101,INDEX(Contracts!$K$2:$K$151,$AB1382)),0)),IF($Z1382="A",EDATE(DATE(YEAR(INDEX(Fixed_Assets!$G$2:$G$201,$AB1382)),MONTH(INDEX(Fixed_Assets!$G$2:$G$201,$AB1382)),1),INDEX(Fixed_Assets!$J$2:$J$201,$AB1382)-1),IF($Z1382="F",MIN(IF(INDEX(Workforce!$J$2:$J$151,MATCH(INDEX(FTE_Allocation!$A$2:$A$201,$AB1382),Workforce!$A$2:$A$151,0))="",2958101,INDEX(Workforce!$J$2:$J$151,MATCH(INDEX(FTE_Allocation!$A$2:$A$201,$AB1382),Workforce!$A$2:$A$151,0))),IF(INDEX(FTE_Allocation!$J$2:$J$201,$AB1382)="",2958101,INDEX(FTE_Allocation!$J$2:$J$201,$AB1382))),"")))</f>
        <v/>
      </c>
      <c r="AG1382" s="19">
        <f>IF($Z1382="C",IF(INDEX(Contracts!$I$2:$I$151,$AB1382)="PREPAID",INDEX(Contracts!$M$2:$M$151,$AB1382)/IF(INDEX(Contracts!$N$2:$N$151,$AB1382)="",12,INDEX(Contracts!$N$2:$N$151,$AB1382)),IF(INDEX(Contracts!$I$2:$I$151,$AB1382)="MONTHLY",INDEX(Contracts!$M$2:$M$151,$AB1382),0))*(1-N(INDEX(Contracts!$O$2:$O$151,$AB1382))),IF($Z1382="A",INDEX(Fixed_Assets!$H$2:$H$201,$AB1382)/INDEX(Fixed_Assets!$J$2:$J$201,$AB1382),IF($Z1382="F",INDEX(Workforce!$F$2:$F$151,MATCH(INDEX(FTE_Allocation!$A$2:$A$201,$AB1382),Workforce!$A$2:$A$151,0))*N(INDEX(FTE_Allocation!$F$2:$H$201,$AB1382,$AC1382)),"")))</f>
        <v/>
      </c>
    </row>
    <row r="1383">
      <c r="A1383" s="7">
        <f>IF($Z1383="","",$AD1383)</f>
        <v/>
      </c>
      <c r="B1383" s="7">
        <f>IF($Z1383="C",INDEX(Contracts!$D$2:$D$151,$AB1383)&amp;"",IF($Z1383="A",INDEX(Fixed_Assets!$C$2:$C$201,$AB1383)&amp;"",IF($Z1383="F",INDEX(Workforce!$B$2:$B$151,MATCH(INDEX(FTE_Allocation!$A$2:$A$201,$AB1383),Workforce!$A$2:$A$151,0))&amp;"","")))</f>
        <v/>
      </c>
      <c r="C1383" s="7">
        <f>IF($Z1383="C",INDEX(Contracts!$E$2:$E$151,$AB1383)&amp;"",IF($Z1383="A",INDEX(Fixed_Assets!$D$2:$D$201,$AB1383)&amp;"",IF($Z1383="F",INDEX(FTE_Allocation!$C$2:$C$201,$AB1383)&amp;"","")))</f>
        <v/>
      </c>
      <c r="D1383" s="7">
        <f>IF($Z1383="C",INDEX(Contracts!$B$2:$B$151,$AB1383)&amp;"",IF($Z1383="A",INDEX(Fixed_Assets!$B$2:$B$201,$AB1383)&amp;"",IF($Z1383="F",INDEX(FTE_Allocation!$B$2:$B$201,$AB1383)&amp;"","")))</f>
        <v/>
      </c>
      <c r="E1383" s="7">
        <f>IF($Z1383="C",INDEX(Contracts!$P$2:$P$151,$AB1383)&amp;"",IF($Z1383="A",INDEX(Fixed_Assets!$K$2:$K$201,$AB1383)&amp;"",IF($Z1383="F",IF(INDEX(FTE_Allocation!$D$2:$D$201,$AB1383)="PROJECT",IFERROR(INDEX(Projects!$D:$D,MATCH(INDEX(FTE_Allocation!$E$2:$E$201,$AB1383),Projects!$A:$A,0))&amp;"","#PROJECT?"),INDEX(FTE_Allocation!$E$2:$E$201,$AB1383)&amp;""),"")))</f>
        <v/>
      </c>
      <c r="F1383" s="7">
        <f>IF($Z1383="C",INDEX(Contracts!$Q$2:$Q$151,$AB1383)&amp;"",IF($Z1383="A",INDEX(Fixed_Assets!$L$2:$L$201,$AB1383)&amp;"",IF($Z1383="F",INDEX(Workforce!$K$2:$K$151,MATCH(INDEX(FTE_Allocation!$A$2:$A$201,$AB1383),Workforce!$A$2:$A$151,0))&amp;"","")))</f>
        <v/>
      </c>
      <c r="G1383" s="7">
        <f>IF($Z1383="C",INDEX(Contracts!$F$2:$F$151,$AB1383)&amp;" / "&amp;INDEX(Contracts!$G$2:$G$151,$AB1383),IF($Z1383="A",INDEX(Fixed_Assets!$E$2:$E$201,$AB1383)&amp;"",IF($Z1383="F","Personnel "&amp;INDEX(FTE_Allocation!$A$2:$A$201,$AB1383)&amp;IF(INDEX(FTE_Allocation!$D$2:$D$201,$AB1383)="PROJECT"," ("&amp;INDEX(FTE_Allocation!$E$2:$E$201,$AB1383)&amp;")",""),"")))</f>
        <v/>
      </c>
      <c r="H1383" s="7">
        <f>IF($Z1383="C","CONTRACT",IF($Z1383="A","ASSET",IF($Z1383="F","WORKFORCE","")))</f>
        <v/>
      </c>
      <c r="I1383" s="7">
        <f>IF($Z1383="C",INDEX(Contracts!$L$2:$L$151,$AB1383)&amp;"",IF($Z1383="A",INDEX(Fixed_Assets!$I$2:$I$201,$AB1383)&amp;"",IF($Z1383="F",INDEX(Workforce!$G$2:$G$151,MATCH(INDEX(FTE_Allocation!$A$2:$A$201,$AB1383),Workforce!$A$2:$A$151,0))&amp;"","")))</f>
        <v/>
      </c>
      <c r="J1383" s="18">
        <f>IF($Z1383="","",IF(AND(DATE($AD1383,1,1)&gt;=$AE1383,DATE($AD1383,1,1)&lt;=$AF1383),ROUND($AG1383,2),0))</f>
        <v/>
      </c>
      <c r="K1383" s="18">
        <f>IF($Z1383="","",IF(AND(DATE($AD1383,2,1)&gt;=$AE1383,DATE($AD1383,2,1)&lt;=$AF1383),ROUND($AG1383,2),0))</f>
        <v/>
      </c>
      <c r="L1383" s="18">
        <f>IF($Z1383="","",IF(AND(DATE($AD1383,3,1)&gt;=$AE1383,DATE($AD1383,3,1)&lt;=$AF1383),ROUND($AG1383,2),0))</f>
        <v/>
      </c>
      <c r="M1383" s="18">
        <f>IF($Z1383="","",IF(AND(DATE($AD1383,4,1)&gt;=$AE1383,DATE($AD1383,4,1)&lt;=$AF1383),ROUND($AG1383,2),0))</f>
        <v/>
      </c>
      <c r="N1383" s="18">
        <f>IF($Z1383="","",IF(AND(DATE($AD1383,5,1)&gt;=$AE1383,DATE($AD1383,5,1)&lt;=$AF1383),ROUND($AG1383,2),0))</f>
        <v/>
      </c>
      <c r="O1383" s="18">
        <f>IF($Z1383="","",IF(AND(DATE($AD1383,6,1)&gt;=$AE1383,DATE($AD1383,6,1)&lt;=$AF1383),ROUND($AG1383,2),0))</f>
        <v/>
      </c>
      <c r="P1383" s="18">
        <f>IF($Z1383="","",IF(AND(DATE($AD1383,7,1)&gt;=$AE1383,DATE($AD1383,7,1)&lt;=$AF1383),ROUND($AG1383,2),0))</f>
        <v/>
      </c>
      <c r="Q1383" s="18">
        <f>IF($Z1383="","",IF(AND(DATE($AD1383,8,1)&gt;=$AE1383,DATE($AD1383,8,1)&lt;=$AF1383),ROUND($AG1383,2),0))</f>
        <v/>
      </c>
      <c r="R1383" s="18">
        <f>IF($Z1383="","",IF(AND(DATE($AD1383,9,1)&gt;=$AE1383,DATE($AD1383,9,1)&lt;=$AF1383),ROUND($AG1383,2),0))</f>
        <v/>
      </c>
      <c r="S1383" s="18">
        <f>IF($Z1383="","",IF(AND(DATE($AD1383,10,1)&gt;=$AE1383,DATE($AD1383,10,1)&lt;=$AF1383),ROUND($AG1383,2),0))</f>
        <v/>
      </c>
      <c r="T1383" s="18">
        <f>IF($Z1383="","",IF(AND(DATE($AD1383,11,1)&gt;=$AE1383,DATE($AD1383,11,1)&lt;=$AF1383),ROUND($AG1383,2),0))</f>
        <v/>
      </c>
      <c r="U1383" s="18">
        <f>IF($Z1383="","",IF(AND(DATE($AD1383,12,1)&gt;=$AE1383,DATE($AD1383,12,1)&lt;=$AF1383),ROUND($AG1383,2),0))</f>
        <v/>
      </c>
      <c r="V1383" s="7">
        <f>IF($Z1383="C","Generated from "&amp;INDEX(Contracts!$A$2:$A$151,$AB1383),IF($Z1383="A","Generated from "&amp;INDEX(Fixed_Assets!$A$2:$A$201,$AB1383),IF($Z1383="F","Generated from "&amp;INDEX(FTE_Allocation!$A$2:$A$201,$AB1383),"")))</f>
        <v/>
      </c>
      <c r="X1383" s="19">
        <f>IF($Z1383="","",SUM(J1383:U1383))</f>
        <v/>
      </c>
      <c r="Y1383" s="20">
        <f>ROW()-1</f>
        <v/>
      </c>
      <c r="Z1383" s="20">
        <f>IF($Y1383&lt;=Settings!$B$4*3,"C",IF($Y1383&lt;=(Settings!$B$4+Settings!$B$5)*3,"A",IF($Y1383&lt;=(Settings!$B$4+Settings!$B$5+Settings!$B$6)*3,"F","")))</f>
        <v/>
      </c>
      <c r="AA1383" s="20">
        <f>IF($Z1383="C",$Y1383,IF($Z1383="A",$Y1383-Settings!$B$4*3,IF($Z1383="F",$Y1383-(Settings!$B$4+Settings!$B$5)*3,"")))</f>
        <v/>
      </c>
      <c r="AB1383" s="20">
        <f>IF($Z1383="","",INT(($AA1383-1)/3)+1)</f>
        <v/>
      </c>
      <c r="AC1383" s="20">
        <f>IF($Z1383="","",MOD($AA1383-1,3)+1)</f>
        <v/>
      </c>
      <c r="AD1383" s="20">
        <f>IF($Z1383="","",Settings!$B$2+$AC1383-1)</f>
        <v/>
      </c>
      <c r="AE1383" s="21">
        <f>IF($Z1383="C",DATE(YEAR(INDEX(Contracts!$J$2:$J$151,$AB1383)),MONTH(INDEX(Contracts!$J$2:$J$151,$AB1383)),1),IF($Z1383="A",DATE(YEAR(INDEX(Fixed_Assets!$G$2:$G$201,$AB1383)),MONTH(INDEX(Fixed_Assets!$G$2:$G$201,$AB1383)),1),IF($Z1383="F",DATE(YEAR(MAX(N(INDEX(Workforce!$I$2:$I$151,MATCH(INDEX(FTE_Allocation!$A$2:$A$201,$AB1383),Workforce!$A$2:$A$151,0))),N(INDEX(FTE_Allocation!$I$2:$I$201,$AB1383)))),MONTH(MAX(N(INDEX(Workforce!$I$2:$I$151,MATCH(INDEX(FTE_Allocation!$A$2:$A$201,$AB1383),Workforce!$A$2:$A$151,0))),N(INDEX(FTE_Allocation!$I$2:$I$201,$AB1383)))),1),"")))</f>
        <v/>
      </c>
      <c r="AF1383" s="21">
        <f>IF($Z1383="C",IF(INDEX(Contracts!$I$2:$I$151,$AB1383)="PREPAID",EDATE(DATE(YEAR(INDEX(Contracts!$J$2:$J$151,$AB1383)),MONTH(INDEX(Contracts!$J$2:$J$151,$AB1383)),1),IF(INDEX(Contracts!$N$2:$N$151,$AB1383)="",12,INDEX(Contracts!$N$2:$N$151,$AB1383))-1),IF(INDEX(Contracts!$I$2:$I$151,$AB1383)="MONTHLY",IF(INDEX(Contracts!$K$2:$K$151,$AB1383)="",2958101,INDEX(Contracts!$K$2:$K$151,$AB1383)),0)),IF($Z1383="A",EDATE(DATE(YEAR(INDEX(Fixed_Assets!$G$2:$G$201,$AB1383)),MONTH(INDEX(Fixed_Assets!$G$2:$G$201,$AB1383)),1),INDEX(Fixed_Assets!$J$2:$J$201,$AB1383)-1),IF($Z1383="F",MIN(IF(INDEX(Workforce!$J$2:$J$151,MATCH(INDEX(FTE_Allocation!$A$2:$A$201,$AB1383),Workforce!$A$2:$A$151,0))="",2958101,INDEX(Workforce!$J$2:$J$151,MATCH(INDEX(FTE_Allocation!$A$2:$A$201,$AB1383),Workforce!$A$2:$A$151,0))),IF(INDEX(FTE_Allocation!$J$2:$J$201,$AB1383)="",2958101,INDEX(FTE_Allocation!$J$2:$J$201,$AB1383))),"")))</f>
        <v/>
      </c>
      <c r="AG1383" s="19">
        <f>IF($Z1383="C",IF(INDEX(Contracts!$I$2:$I$151,$AB1383)="PREPAID",INDEX(Contracts!$M$2:$M$151,$AB1383)/IF(INDEX(Contracts!$N$2:$N$151,$AB1383)="",12,INDEX(Contracts!$N$2:$N$151,$AB1383)),IF(INDEX(Contracts!$I$2:$I$151,$AB1383)="MONTHLY",INDEX(Contracts!$M$2:$M$151,$AB1383),0))*(1-N(INDEX(Contracts!$O$2:$O$151,$AB1383))),IF($Z1383="A",INDEX(Fixed_Assets!$H$2:$H$201,$AB1383)/INDEX(Fixed_Assets!$J$2:$J$201,$AB1383),IF($Z1383="F",INDEX(Workforce!$F$2:$F$151,MATCH(INDEX(FTE_Allocation!$A$2:$A$201,$AB1383),Workforce!$A$2:$A$151,0))*N(INDEX(FTE_Allocation!$F$2:$H$201,$AB1383,$AC1383)),"")))</f>
        <v/>
      </c>
    </row>
    <row r="1384">
      <c r="A1384" s="7">
        <f>IF($Z1384="","",$AD1384)</f>
        <v/>
      </c>
      <c r="B1384" s="7">
        <f>IF($Z1384="C",INDEX(Contracts!$D$2:$D$151,$AB1384)&amp;"",IF($Z1384="A",INDEX(Fixed_Assets!$C$2:$C$201,$AB1384)&amp;"",IF($Z1384="F",INDEX(Workforce!$B$2:$B$151,MATCH(INDEX(FTE_Allocation!$A$2:$A$201,$AB1384),Workforce!$A$2:$A$151,0))&amp;"","")))</f>
        <v/>
      </c>
      <c r="C1384" s="7">
        <f>IF($Z1384="C",INDEX(Contracts!$E$2:$E$151,$AB1384)&amp;"",IF($Z1384="A",INDEX(Fixed_Assets!$D$2:$D$201,$AB1384)&amp;"",IF($Z1384="F",INDEX(FTE_Allocation!$C$2:$C$201,$AB1384)&amp;"","")))</f>
        <v/>
      </c>
      <c r="D1384" s="7">
        <f>IF($Z1384="C",INDEX(Contracts!$B$2:$B$151,$AB1384)&amp;"",IF($Z1384="A",INDEX(Fixed_Assets!$B$2:$B$201,$AB1384)&amp;"",IF($Z1384="F",INDEX(FTE_Allocation!$B$2:$B$201,$AB1384)&amp;"","")))</f>
        <v/>
      </c>
      <c r="E1384" s="7">
        <f>IF($Z1384="C",INDEX(Contracts!$P$2:$P$151,$AB1384)&amp;"",IF($Z1384="A",INDEX(Fixed_Assets!$K$2:$K$201,$AB1384)&amp;"",IF($Z1384="F",IF(INDEX(FTE_Allocation!$D$2:$D$201,$AB1384)="PROJECT",IFERROR(INDEX(Projects!$D:$D,MATCH(INDEX(FTE_Allocation!$E$2:$E$201,$AB1384),Projects!$A:$A,0))&amp;"","#PROJECT?"),INDEX(FTE_Allocation!$E$2:$E$201,$AB1384)&amp;""),"")))</f>
        <v/>
      </c>
      <c r="F1384" s="7">
        <f>IF($Z1384="C",INDEX(Contracts!$Q$2:$Q$151,$AB1384)&amp;"",IF($Z1384="A",INDEX(Fixed_Assets!$L$2:$L$201,$AB1384)&amp;"",IF($Z1384="F",INDEX(Workforce!$K$2:$K$151,MATCH(INDEX(FTE_Allocation!$A$2:$A$201,$AB1384),Workforce!$A$2:$A$151,0))&amp;"","")))</f>
        <v/>
      </c>
      <c r="G1384" s="7">
        <f>IF($Z1384="C",INDEX(Contracts!$F$2:$F$151,$AB1384)&amp;" / "&amp;INDEX(Contracts!$G$2:$G$151,$AB1384),IF($Z1384="A",INDEX(Fixed_Assets!$E$2:$E$201,$AB1384)&amp;"",IF($Z1384="F","Personnel "&amp;INDEX(FTE_Allocation!$A$2:$A$201,$AB1384)&amp;IF(INDEX(FTE_Allocation!$D$2:$D$201,$AB1384)="PROJECT"," ("&amp;INDEX(FTE_Allocation!$E$2:$E$201,$AB1384)&amp;")",""),"")))</f>
        <v/>
      </c>
      <c r="H1384" s="7">
        <f>IF($Z1384="C","CONTRACT",IF($Z1384="A","ASSET",IF($Z1384="F","WORKFORCE","")))</f>
        <v/>
      </c>
      <c r="I1384" s="7">
        <f>IF($Z1384="C",INDEX(Contracts!$L$2:$L$151,$AB1384)&amp;"",IF($Z1384="A",INDEX(Fixed_Assets!$I$2:$I$201,$AB1384)&amp;"",IF($Z1384="F",INDEX(Workforce!$G$2:$G$151,MATCH(INDEX(FTE_Allocation!$A$2:$A$201,$AB1384),Workforce!$A$2:$A$151,0))&amp;"","")))</f>
        <v/>
      </c>
      <c r="J1384" s="18">
        <f>IF($Z1384="","",IF(AND(DATE($AD1384,1,1)&gt;=$AE1384,DATE($AD1384,1,1)&lt;=$AF1384),ROUND($AG1384,2),0))</f>
        <v/>
      </c>
      <c r="K1384" s="18">
        <f>IF($Z1384="","",IF(AND(DATE($AD1384,2,1)&gt;=$AE1384,DATE($AD1384,2,1)&lt;=$AF1384),ROUND($AG1384,2),0))</f>
        <v/>
      </c>
      <c r="L1384" s="18">
        <f>IF($Z1384="","",IF(AND(DATE($AD1384,3,1)&gt;=$AE1384,DATE($AD1384,3,1)&lt;=$AF1384),ROUND($AG1384,2),0))</f>
        <v/>
      </c>
      <c r="M1384" s="18">
        <f>IF($Z1384="","",IF(AND(DATE($AD1384,4,1)&gt;=$AE1384,DATE($AD1384,4,1)&lt;=$AF1384),ROUND($AG1384,2),0))</f>
        <v/>
      </c>
      <c r="N1384" s="18">
        <f>IF($Z1384="","",IF(AND(DATE($AD1384,5,1)&gt;=$AE1384,DATE($AD1384,5,1)&lt;=$AF1384),ROUND($AG1384,2),0))</f>
        <v/>
      </c>
      <c r="O1384" s="18">
        <f>IF($Z1384="","",IF(AND(DATE($AD1384,6,1)&gt;=$AE1384,DATE($AD1384,6,1)&lt;=$AF1384),ROUND($AG1384,2),0))</f>
        <v/>
      </c>
      <c r="P1384" s="18">
        <f>IF($Z1384="","",IF(AND(DATE($AD1384,7,1)&gt;=$AE1384,DATE($AD1384,7,1)&lt;=$AF1384),ROUND($AG1384,2),0))</f>
        <v/>
      </c>
      <c r="Q1384" s="18">
        <f>IF($Z1384="","",IF(AND(DATE($AD1384,8,1)&gt;=$AE1384,DATE($AD1384,8,1)&lt;=$AF1384),ROUND($AG1384,2),0))</f>
        <v/>
      </c>
      <c r="R1384" s="18">
        <f>IF($Z1384="","",IF(AND(DATE($AD1384,9,1)&gt;=$AE1384,DATE($AD1384,9,1)&lt;=$AF1384),ROUND($AG1384,2),0))</f>
        <v/>
      </c>
      <c r="S1384" s="18">
        <f>IF($Z1384="","",IF(AND(DATE($AD1384,10,1)&gt;=$AE1384,DATE($AD1384,10,1)&lt;=$AF1384),ROUND($AG1384,2),0))</f>
        <v/>
      </c>
      <c r="T1384" s="18">
        <f>IF($Z1384="","",IF(AND(DATE($AD1384,11,1)&gt;=$AE1384,DATE($AD1384,11,1)&lt;=$AF1384),ROUND($AG1384,2),0))</f>
        <v/>
      </c>
      <c r="U1384" s="18">
        <f>IF($Z1384="","",IF(AND(DATE($AD1384,12,1)&gt;=$AE1384,DATE($AD1384,12,1)&lt;=$AF1384),ROUND($AG1384,2),0))</f>
        <v/>
      </c>
      <c r="V1384" s="7">
        <f>IF($Z1384="C","Generated from "&amp;INDEX(Contracts!$A$2:$A$151,$AB1384),IF($Z1384="A","Generated from "&amp;INDEX(Fixed_Assets!$A$2:$A$201,$AB1384),IF($Z1384="F","Generated from "&amp;INDEX(FTE_Allocation!$A$2:$A$201,$AB1384),"")))</f>
        <v/>
      </c>
      <c r="X1384" s="19">
        <f>IF($Z1384="","",SUM(J1384:U1384))</f>
        <v/>
      </c>
      <c r="Y1384" s="20">
        <f>ROW()-1</f>
        <v/>
      </c>
      <c r="Z1384" s="20">
        <f>IF($Y1384&lt;=Settings!$B$4*3,"C",IF($Y1384&lt;=(Settings!$B$4+Settings!$B$5)*3,"A",IF($Y1384&lt;=(Settings!$B$4+Settings!$B$5+Settings!$B$6)*3,"F","")))</f>
        <v/>
      </c>
      <c r="AA1384" s="20">
        <f>IF($Z1384="C",$Y1384,IF($Z1384="A",$Y1384-Settings!$B$4*3,IF($Z1384="F",$Y1384-(Settings!$B$4+Settings!$B$5)*3,"")))</f>
        <v/>
      </c>
      <c r="AB1384" s="20">
        <f>IF($Z1384="","",INT(($AA1384-1)/3)+1)</f>
        <v/>
      </c>
      <c r="AC1384" s="20">
        <f>IF($Z1384="","",MOD($AA1384-1,3)+1)</f>
        <v/>
      </c>
      <c r="AD1384" s="20">
        <f>IF($Z1384="","",Settings!$B$2+$AC1384-1)</f>
        <v/>
      </c>
      <c r="AE1384" s="21">
        <f>IF($Z1384="C",DATE(YEAR(INDEX(Contracts!$J$2:$J$151,$AB1384)),MONTH(INDEX(Contracts!$J$2:$J$151,$AB1384)),1),IF($Z1384="A",DATE(YEAR(INDEX(Fixed_Assets!$G$2:$G$201,$AB1384)),MONTH(INDEX(Fixed_Assets!$G$2:$G$201,$AB1384)),1),IF($Z1384="F",DATE(YEAR(MAX(N(INDEX(Workforce!$I$2:$I$151,MATCH(INDEX(FTE_Allocation!$A$2:$A$201,$AB1384),Workforce!$A$2:$A$151,0))),N(INDEX(FTE_Allocation!$I$2:$I$201,$AB1384)))),MONTH(MAX(N(INDEX(Workforce!$I$2:$I$151,MATCH(INDEX(FTE_Allocation!$A$2:$A$201,$AB1384),Workforce!$A$2:$A$151,0))),N(INDEX(FTE_Allocation!$I$2:$I$201,$AB1384)))),1),"")))</f>
        <v/>
      </c>
      <c r="AF1384" s="21">
        <f>IF($Z1384="C",IF(INDEX(Contracts!$I$2:$I$151,$AB1384)="PREPAID",EDATE(DATE(YEAR(INDEX(Contracts!$J$2:$J$151,$AB1384)),MONTH(INDEX(Contracts!$J$2:$J$151,$AB1384)),1),IF(INDEX(Contracts!$N$2:$N$151,$AB1384)="",12,INDEX(Contracts!$N$2:$N$151,$AB1384))-1),IF(INDEX(Contracts!$I$2:$I$151,$AB1384)="MONTHLY",IF(INDEX(Contracts!$K$2:$K$151,$AB1384)="",2958101,INDEX(Contracts!$K$2:$K$151,$AB1384)),0)),IF($Z1384="A",EDATE(DATE(YEAR(INDEX(Fixed_Assets!$G$2:$G$201,$AB1384)),MONTH(INDEX(Fixed_Assets!$G$2:$G$201,$AB1384)),1),INDEX(Fixed_Assets!$J$2:$J$201,$AB1384)-1),IF($Z1384="F",MIN(IF(INDEX(Workforce!$J$2:$J$151,MATCH(INDEX(FTE_Allocation!$A$2:$A$201,$AB1384),Workforce!$A$2:$A$151,0))="",2958101,INDEX(Workforce!$J$2:$J$151,MATCH(INDEX(FTE_Allocation!$A$2:$A$201,$AB1384),Workforce!$A$2:$A$151,0))),IF(INDEX(FTE_Allocation!$J$2:$J$201,$AB1384)="",2958101,INDEX(FTE_Allocation!$J$2:$J$201,$AB1384))),"")))</f>
        <v/>
      </c>
      <c r="AG1384" s="19">
        <f>IF($Z1384="C",IF(INDEX(Contracts!$I$2:$I$151,$AB1384)="PREPAID",INDEX(Contracts!$M$2:$M$151,$AB1384)/IF(INDEX(Contracts!$N$2:$N$151,$AB1384)="",12,INDEX(Contracts!$N$2:$N$151,$AB1384)),IF(INDEX(Contracts!$I$2:$I$151,$AB1384)="MONTHLY",INDEX(Contracts!$M$2:$M$151,$AB1384),0))*(1-N(INDEX(Contracts!$O$2:$O$151,$AB1384))),IF($Z1384="A",INDEX(Fixed_Assets!$H$2:$H$201,$AB1384)/INDEX(Fixed_Assets!$J$2:$J$201,$AB1384),IF($Z1384="F",INDEX(Workforce!$F$2:$F$151,MATCH(INDEX(FTE_Allocation!$A$2:$A$201,$AB1384),Workforce!$A$2:$A$151,0))*N(INDEX(FTE_Allocation!$F$2:$H$201,$AB1384,$AC1384)),"")))</f>
        <v/>
      </c>
    </row>
    <row r="1385">
      <c r="A1385" s="7">
        <f>IF($Z1385="","",$AD1385)</f>
        <v/>
      </c>
      <c r="B1385" s="7">
        <f>IF($Z1385="C",INDEX(Contracts!$D$2:$D$151,$AB1385)&amp;"",IF($Z1385="A",INDEX(Fixed_Assets!$C$2:$C$201,$AB1385)&amp;"",IF($Z1385="F",INDEX(Workforce!$B$2:$B$151,MATCH(INDEX(FTE_Allocation!$A$2:$A$201,$AB1385),Workforce!$A$2:$A$151,0))&amp;"","")))</f>
        <v/>
      </c>
      <c r="C1385" s="7">
        <f>IF($Z1385="C",INDEX(Contracts!$E$2:$E$151,$AB1385)&amp;"",IF($Z1385="A",INDEX(Fixed_Assets!$D$2:$D$201,$AB1385)&amp;"",IF($Z1385="F",INDEX(FTE_Allocation!$C$2:$C$201,$AB1385)&amp;"","")))</f>
        <v/>
      </c>
      <c r="D1385" s="7">
        <f>IF($Z1385="C",INDEX(Contracts!$B$2:$B$151,$AB1385)&amp;"",IF($Z1385="A",INDEX(Fixed_Assets!$B$2:$B$201,$AB1385)&amp;"",IF($Z1385="F",INDEX(FTE_Allocation!$B$2:$B$201,$AB1385)&amp;"","")))</f>
        <v/>
      </c>
      <c r="E1385" s="7">
        <f>IF($Z1385="C",INDEX(Contracts!$P$2:$P$151,$AB1385)&amp;"",IF($Z1385="A",INDEX(Fixed_Assets!$K$2:$K$201,$AB1385)&amp;"",IF($Z1385="F",IF(INDEX(FTE_Allocation!$D$2:$D$201,$AB1385)="PROJECT",IFERROR(INDEX(Projects!$D:$D,MATCH(INDEX(FTE_Allocation!$E$2:$E$201,$AB1385),Projects!$A:$A,0))&amp;"","#PROJECT?"),INDEX(FTE_Allocation!$E$2:$E$201,$AB1385)&amp;""),"")))</f>
        <v/>
      </c>
      <c r="F1385" s="7">
        <f>IF($Z1385="C",INDEX(Contracts!$Q$2:$Q$151,$AB1385)&amp;"",IF($Z1385="A",INDEX(Fixed_Assets!$L$2:$L$201,$AB1385)&amp;"",IF($Z1385="F",INDEX(Workforce!$K$2:$K$151,MATCH(INDEX(FTE_Allocation!$A$2:$A$201,$AB1385),Workforce!$A$2:$A$151,0))&amp;"","")))</f>
        <v/>
      </c>
      <c r="G1385" s="7">
        <f>IF($Z1385="C",INDEX(Contracts!$F$2:$F$151,$AB1385)&amp;" / "&amp;INDEX(Contracts!$G$2:$G$151,$AB1385),IF($Z1385="A",INDEX(Fixed_Assets!$E$2:$E$201,$AB1385)&amp;"",IF($Z1385="F","Personnel "&amp;INDEX(FTE_Allocation!$A$2:$A$201,$AB1385)&amp;IF(INDEX(FTE_Allocation!$D$2:$D$201,$AB1385)="PROJECT"," ("&amp;INDEX(FTE_Allocation!$E$2:$E$201,$AB1385)&amp;")",""),"")))</f>
        <v/>
      </c>
      <c r="H1385" s="7">
        <f>IF($Z1385="C","CONTRACT",IF($Z1385="A","ASSET",IF($Z1385="F","WORKFORCE","")))</f>
        <v/>
      </c>
      <c r="I1385" s="7">
        <f>IF($Z1385="C",INDEX(Contracts!$L$2:$L$151,$AB1385)&amp;"",IF($Z1385="A",INDEX(Fixed_Assets!$I$2:$I$201,$AB1385)&amp;"",IF($Z1385="F",INDEX(Workforce!$G$2:$G$151,MATCH(INDEX(FTE_Allocation!$A$2:$A$201,$AB1385),Workforce!$A$2:$A$151,0))&amp;"","")))</f>
        <v/>
      </c>
      <c r="J1385" s="18">
        <f>IF($Z1385="","",IF(AND(DATE($AD1385,1,1)&gt;=$AE1385,DATE($AD1385,1,1)&lt;=$AF1385),ROUND($AG1385,2),0))</f>
        <v/>
      </c>
      <c r="K1385" s="18">
        <f>IF($Z1385="","",IF(AND(DATE($AD1385,2,1)&gt;=$AE1385,DATE($AD1385,2,1)&lt;=$AF1385),ROUND($AG1385,2),0))</f>
        <v/>
      </c>
      <c r="L1385" s="18">
        <f>IF($Z1385="","",IF(AND(DATE($AD1385,3,1)&gt;=$AE1385,DATE($AD1385,3,1)&lt;=$AF1385),ROUND($AG1385,2),0))</f>
        <v/>
      </c>
      <c r="M1385" s="18">
        <f>IF($Z1385="","",IF(AND(DATE($AD1385,4,1)&gt;=$AE1385,DATE($AD1385,4,1)&lt;=$AF1385),ROUND($AG1385,2),0))</f>
        <v/>
      </c>
      <c r="N1385" s="18">
        <f>IF($Z1385="","",IF(AND(DATE($AD1385,5,1)&gt;=$AE1385,DATE($AD1385,5,1)&lt;=$AF1385),ROUND($AG1385,2),0))</f>
        <v/>
      </c>
      <c r="O1385" s="18">
        <f>IF($Z1385="","",IF(AND(DATE($AD1385,6,1)&gt;=$AE1385,DATE($AD1385,6,1)&lt;=$AF1385),ROUND($AG1385,2),0))</f>
        <v/>
      </c>
      <c r="P1385" s="18">
        <f>IF($Z1385="","",IF(AND(DATE($AD1385,7,1)&gt;=$AE1385,DATE($AD1385,7,1)&lt;=$AF1385),ROUND($AG1385,2),0))</f>
        <v/>
      </c>
      <c r="Q1385" s="18">
        <f>IF($Z1385="","",IF(AND(DATE($AD1385,8,1)&gt;=$AE1385,DATE($AD1385,8,1)&lt;=$AF1385),ROUND($AG1385,2),0))</f>
        <v/>
      </c>
      <c r="R1385" s="18">
        <f>IF($Z1385="","",IF(AND(DATE($AD1385,9,1)&gt;=$AE1385,DATE($AD1385,9,1)&lt;=$AF1385),ROUND($AG1385,2),0))</f>
        <v/>
      </c>
      <c r="S1385" s="18">
        <f>IF($Z1385="","",IF(AND(DATE($AD1385,10,1)&gt;=$AE1385,DATE($AD1385,10,1)&lt;=$AF1385),ROUND($AG1385,2),0))</f>
        <v/>
      </c>
      <c r="T1385" s="18">
        <f>IF($Z1385="","",IF(AND(DATE($AD1385,11,1)&gt;=$AE1385,DATE($AD1385,11,1)&lt;=$AF1385),ROUND($AG1385,2),0))</f>
        <v/>
      </c>
      <c r="U1385" s="18">
        <f>IF($Z1385="","",IF(AND(DATE($AD1385,12,1)&gt;=$AE1385,DATE($AD1385,12,1)&lt;=$AF1385),ROUND($AG1385,2),0))</f>
        <v/>
      </c>
      <c r="V1385" s="7">
        <f>IF($Z1385="C","Generated from "&amp;INDEX(Contracts!$A$2:$A$151,$AB1385),IF($Z1385="A","Generated from "&amp;INDEX(Fixed_Assets!$A$2:$A$201,$AB1385),IF($Z1385="F","Generated from "&amp;INDEX(FTE_Allocation!$A$2:$A$201,$AB1385),"")))</f>
        <v/>
      </c>
      <c r="X1385" s="19">
        <f>IF($Z1385="","",SUM(J1385:U1385))</f>
        <v/>
      </c>
      <c r="Y1385" s="20">
        <f>ROW()-1</f>
        <v/>
      </c>
      <c r="Z1385" s="20">
        <f>IF($Y1385&lt;=Settings!$B$4*3,"C",IF($Y1385&lt;=(Settings!$B$4+Settings!$B$5)*3,"A",IF($Y1385&lt;=(Settings!$B$4+Settings!$B$5+Settings!$B$6)*3,"F","")))</f>
        <v/>
      </c>
      <c r="AA1385" s="20">
        <f>IF($Z1385="C",$Y1385,IF($Z1385="A",$Y1385-Settings!$B$4*3,IF($Z1385="F",$Y1385-(Settings!$B$4+Settings!$B$5)*3,"")))</f>
        <v/>
      </c>
      <c r="AB1385" s="20">
        <f>IF($Z1385="","",INT(($AA1385-1)/3)+1)</f>
        <v/>
      </c>
      <c r="AC1385" s="20">
        <f>IF($Z1385="","",MOD($AA1385-1,3)+1)</f>
        <v/>
      </c>
      <c r="AD1385" s="20">
        <f>IF($Z1385="","",Settings!$B$2+$AC1385-1)</f>
        <v/>
      </c>
      <c r="AE1385" s="21">
        <f>IF($Z1385="C",DATE(YEAR(INDEX(Contracts!$J$2:$J$151,$AB1385)),MONTH(INDEX(Contracts!$J$2:$J$151,$AB1385)),1),IF($Z1385="A",DATE(YEAR(INDEX(Fixed_Assets!$G$2:$G$201,$AB1385)),MONTH(INDEX(Fixed_Assets!$G$2:$G$201,$AB1385)),1),IF($Z1385="F",DATE(YEAR(MAX(N(INDEX(Workforce!$I$2:$I$151,MATCH(INDEX(FTE_Allocation!$A$2:$A$201,$AB1385),Workforce!$A$2:$A$151,0))),N(INDEX(FTE_Allocation!$I$2:$I$201,$AB1385)))),MONTH(MAX(N(INDEX(Workforce!$I$2:$I$151,MATCH(INDEX(FTE_Allocation!$A$2:$A$201,$AB1385),Workforce!$A$2:$A$151,0))),N(INDEX(FTE_Allocation!$I$2:$I$201,$AB1385)))),1),"")))</f>
        <v/>
      </c>
      <c r="AF1385" s="21">
        <f>IF($Z1385="C",IF(INDEX(Contracts!$I$2:$I$151,$AB1385)="PREPAID",EDATE(DATE(YEAR(INDEX(Contracts!$J$2:$J$151,$AB1385)),MONTH(INDEX(Contracts!$J$2:$J$151,$AB1385)),1),IF(INDEX(Contracts!$N$2:$N$151,$AB1385)="",12,INDEX(Contracts!$N$2:$N$151,$AB1385))-1),IF(INDEX(Contracts!$I$2:$I$151,$AB1385)="MONTHLY",IF(INDEX(Contracts!$K$2:$K$151,$AB1385)="",2958101,INDEX(Contracts!$K$2:$K$151,$AB1385)),0)),IF($Z1385="A",EDATE(DATE(YEAR(INDEX(Fixed_Assets!$G$2:$G$201,$AB1385)),MONTH(INDEX(Fixed_Assets!$G$2:$G$201,$AB1385)),1),INDEX(Fixed_Assets!$J$2:$J$201,$AB1385)-1),IF($Z1385="F",MIN(IF(INDEX(Workforce!$J$2:$J$151,MATCH(INDEX(FTE_Allocation!$A$2:$A$201,$AB1385),Workforce!$A$2:$A$151,0))="",2958101,INDEX(Workforce!$J$2:$J$151,MATCH(INDEX(FTE_Allocation!$A$2:$A$201,$AB1385),Workforce!$A$2:$A$151,0))),IF(INDEX(FTE_Allocation!$J$2:$J$201,$AB1385)="",2958101,INDEX(FTE_Allocation!$J$2:$J$201,$AB1385))),"")))</f>
        <v/>
      </c>
      <c r="AG1385" s="19">
        <f>IF($Z1385="C",IF(INDEX(Contracts!$I$2:$I$151,$AB1385)="PREPAID",INDEX(Contracts!$M$2:$M$151,$AB1385)/IF(INDEX(Contracts!$N$2:$N$151,$AB1385)="",12,INDEX(Contracts!$N$2:$N$151,$AB1385)),IF(INDEX(Contracts!$I$2:$I$151,$AB1385)="MONTHLY",INDEX(Contracts!$M$2:$M$151,$AB1385),0))*(1-N(INDEX(Contracts!$O$2:$O$151,$AB1385))),IF($Z1385="A",INDEX(Fixed_Assets!$H$2:$H$201,$AB1385)/INDEX(Fixed_Assets!$J$2:$J$201,$AB1385),IF($Z1385="F",INDEX(Workforce!$F$2:$F$151,MATCH(INDEX(FTE_Allocation!$A$2:$A$201,$AB1385),Workforce!$A$2:$A$151,0))*N(INDEX(FTE_Allocation!$F$2:$H$201,$AB1385,$AC1385)),"")))</f>
        <v/>
      </c>
    </row>
    <row r="1386">
      <c r="A1386" s="7">
        <f>IF($Z1386="","",$AD1386)</f>
        <v/>
      </c>
      <c r="B1386" s="7">
        <f>IF($Z1386="C",INDEX(Contracts!$D$2:$D$151,$AB1386)&amp;"",IF($Z1386="A",INDEX(Fixed_Assets!$C$2:$C$201,$AB1386)&amp;"",IF($Z1386="F",INDEX(Workforce!$B$2:$B$151,MATCH(INDEX(FTE_Allocation!$A$2:$A$201,$AB1386),Workforce!$A$2:$A$151,0))&amp;"","")))</f>
        <v/>
      </c>
      <c r="C1386" s="7">
        <f>IF($Z1386="C",INDEX(Contracts!$E$2:$E$151,$AB1386)&amp;"",IF($Z1386="A",INDEX(Fixed_Assets!$D$2:$D$201,$AB1386)&amp;"",IF($Z1386="F",INDEX(FTE_Allocation!$C$2:$C$201,$AB1386)&amp;"","")))</f>
        <v/>
      </c>
      <c r="D1386" s="7">
        <f>IF($Z1386="C",INDEX(Contracts!$B$2:$B$151,$AB1386)&amp;"",IF($Z1386="A",INDEX(Fixed_Assets!$B$2:$B$201,$AB1386)&amp;"",IF($Z1386="F",INDEX(FTE_Allocation!$B$2:$B$201,$AB1386)&amp;"","")))</f>
        <v/>
      </c>
      <c r="E1386" s="7">
        <f>IF($Z1386="C",INDEX(Contracts!$P$2:$P$151,$AB1386)&amp;"",IF($Z1386="A",INDEX(Fixed_Assets!$K$2:$K$201,$AB1386)&amp;"",IF($Z1386="F",IF(INDEX(FTE_Allocation!$D$2:$D$201,$AB1386)="PROJECT",IFERROR(INDEX(Projects!$D:$D,MATCH(INDEX(FTE_Allocation!$E$2:$E$201,$AB1386),Projects!$A:$A,0))&amp;"","#PROJECT?"),INDEX(FTE_Allocation!$E$2:$E$201,$AB1386)&amp;""),"")))</f>
        <v/>
      </c>
      <c r="F1386" s="7">
        <f>IF($Z1386="C",INDEX(Contracts!$Q$2:$Q$151,$AB1386)&amp;"",IF($Z1386="A",INDEX(Fixed_Assets!$L$2:$L$201,$AB1386)&amp;"",IF($Z1386="F",INDEX(Workforce!$K$2:$K$151,MATCH(INDEX(FTE_Allocation!$A$2:$A$201,$AB1386),Workforce!$A$2:$A$151,0))&amp;"","")))</f>
        <v/>
      </c>
      <c r="G1386" s="7">
        <f>IF($Z1386="C",INDEX(Contracts!$F$2:$F$151,$AB1386)&amp;" / "&amp;INDEX(Contracts!$G$2:$G$151,$AB1386),IF($Z1386="A",INDEX(Fixed_Assets!$E$2:$E$201,$AB1386)&amp;"",IF($Z1386="F","Personnel "&amp;INDEX(FTE_Allocation!$A$2:$A$201,$AB1386)&amp;IF(INDEX(FTE_Allocation!$D$2:$D$201,$AB1386)="PROJECT"," ("&amp;INDEX(FTE_Allocation!$E$2:$E$201,$AB1386)&amp;")",""),"")))</f>
        <v/>
      </c>
      <c r="H1386" s="7">
        <f>IF($Z1386="C","CONTRACT",IF($Z1386="A","ASSET",IF($Z1386="F","WORKFORCE","")))</f>
        <v/>
      </c>
      <c r="I1386" s="7">
        <f>IF($Z1386="C",INDEX(Contracts!$L$2:$L$151,$AB1386)&amp;"",IF($Z1386="A",INDEX(Fixed_Assets!$I$2:$I$201,$AB1386)&amp;"",IF($Z1386="F",INDEX(Workforce!$G$2:$G$151,MATCH(INDEX(FTE_Allocation!$A$2:$A$201,$AB1386),Workforce!$A$2:$A$151,0))&amp;"","")))</f>
        <v/>
      </c>
      <c r="J1386" s="18">
        <f>IF($Z1386="","",IF(AND(DATE($AD1386,1,1)&gt;=$AE1386,DATE($AD1386,1,1)&lt;=$AF1386),ROUND($AG1386,2),0))</f>
        <v/>
      </c>
      <c r="K1386" s="18">
        <f>IF($Z1386="","",IF(AND(DATE($AD1386,2,1)&gt;=$AE1386,DATE($AD1386,2,1)&lt;=$AF1386),ROUND($AG1386,2),0))</f>
        <v/>
      </c>
      <c r="L1386" s="18">
        <f>IF($Z1386="","",IF(AND(DATE($AD1386,3,1)&gt;=$AE1386,DATE($AD1386,3,1)&lt;=$AF1386),ROUND($AG1386,2),0))</f>
        <v/>
      </c>
      <c r="M1386" s="18">
        <f>IF($Z1386="","",IF(AND(DATE($AD1386,4,1)&gt;=$AE1386,DATE($AD1386,4,1)&lt;=$AF1386),ROUND($AG1386,2),0))</f>
        <v/>
      </c>
      <c r="N1386" s="18">
        <f>IF($Z1386="","",IF(AND(DATE($AD1386,5,1)&gt;=$AE1386,DATE($AD1386,5,1)&lt;=$AF1386),ROUND($AG1386,2),0))</f>
        <v/>
      </c>
      <c r="O1386" s="18">
        <f>IF($Z1386="","",IF(AND(DATE($AD1386,6,1)&gt;=$AE1386,DATE($AD1386,6,1)&lt;=$AF1386),ROUND($AG1386,2),0))</f>
        <v/>
      </c>
      <c r="P1386" s="18">
        <f>IF($Z1386="","",IF(AND(DATE($AD1386,7,1)&gt;=$AE1386,DATE($AD1386,7,1)&lt;=$AF1386),ROUND($AG1386,2),0))</f>
        <v/>
      </c>
      <c r="Q1386" s="18">
        <f>IF($Z1386="","",IF(AND(DATE($AD1386,8,1)&gt;=$AE1386,DATE($AD1386,8,1)&lt;=$AF1386),ROUND($AG1386,2),0))</f>
        <v/>
      </c>
      <c r="R1386" s="18">
        <f>IF($Z1386="","",IF(AND(DATE($AD1386,9,1)&gt;=$AE1386,DATE($AD1386,9,1)&lt;=$AF1386),ROUND($AG1386,2),0))</f>
        <v/>
      </c>
      <c r="S1386" s="18">
        <f>IF($Z1386="","",IF(AND(DATE($AD1386,10,1)&gt;=$AE1386,DATE($AD1386,10,1)&lt;=$AF1386),ROUND($AG1386,2),0))</f>
        <v/>
      </c>
      <c r="T1386" s="18">
        <f>IF($Z1386="","",IF(AND(DATE($AD1386,11,1)&gt;=$AE1386,DATE($AD1386,11,1)&lt;=$AF1386),ROUND($AG1386,2),0))</f>
        <v/>
      </c>
      <c r="U1386" s="18">
        <f>IF($Z1386="","",IF(AND(DATE($AD1386,12,1)&gt;=$AE1386,DATE($AD1386,12,1)&lt;=$AF1386),ROUND($AG1386,2),0))</f>
        <v/>
      </c>
      <c r="V1386" s="7">
        <f>IF($Z1386="C","Generated from "&amp;INDEX(Contracts!$A$2:$A$151,$AB1386),IF($Z1386="A","Generated from "&amp;INDEX(Fixed_Assets!$A$2:$A$201,$AB1386),IF($Z1386="F","Generated from "&amp;INDEX(FTE_Allocation!$A$2:$A$201,$AB1386),"")))</f>
        <v/>
      </c>
      <c r="X1386" s="19">
        <f>IF($Z1386="","",SUM(J1386:U1386))</f>
        <v/>
      </c>
      <c r="Y1386" s="20">
        <f>ROW()-1</f>
        <v/>
      </c>
      <c r="Z1386" s="20">
        <f>IF($Y1386&lt;=Settings!$B$4*3,"C",IF($Y1386&lt;=(Settings!$B$4+Settings!$B$5)*3,"A",IF($Y1386&lt;=(Settings!$B$4+Settings!$B$5+Settings!$B$6)*3,"F","")))</f>
        <v/>
      </c>
      <c r="AA1386" s="20">
        <f>IF($Z1386="C",$Y1386,IF($Z1386="A",$Y1386-Settings!$B$4*3,IF($Z1386="F",$Y1386-(Settings!$B$4+Settings!$B$5)*3,"")))</f>
        <v/>
      </c>
      <c r="AB1386" s="20">
        <f>IF($Z1386="","",INT(($AA1386-1)/3)+1)</f>
        <v/>
      </c>
      <c r="AC1386" s="20">
        <f>IF($Z1386="","",MOD($AA1386-1,3)+1)</f>
        <v/>
      </c>
      <c r="AD1386" s="20">
        <f>IF($Z1386="","",Settings!$B$2+$AC1386-1)</f>
        <v/>
      </c>
      <c r="AE1386" s="21">
        <f>IF($Z1386="C",DATE(YEAR(INDEX(Contracts!$J$2:$J$151,$AB1386)),MONTH(INDEX(Contracts!$J$2:$J$151,$AB1386)),1),IF($Z1386="A",DATE(YEAR(INDEX(Fixed_Assets!$G$2:$G$201,$AB1386)),MONTH(INDEX(Fixed_Assets!$G$2:$G$201,$AB1386)),1),IF($Z1386="F",DATE(YEAR(MAX(N(INDEX(Workforce!$I$2:$I$151,MATCH(INDEX(FTE_Allocation!$A$2:$A$201,$AB1386),Workforce!$A$2:$A$151,0))),N(INDEX(FTE_Allocation!$I$2:$I$201,$AB1386)))),MONTH(MAX(N(INDEX(Workforce!$I$2:$I$151,MATCH(INDEX(FTE_Allocation!$A$2:$A$201,$AB1386),Workforce!$A$2:$A$151,0))),N(INDEX(FTE_Allocation!$I$2:$I$201,$AB1386)))),1),"")))</f>
        <v/>
      </c>
      <c r="AF1386" s="21">
        <f>IF($Z1386="C",IF(INDEX(Contracts!$I$2:$I$151,$AB1386)="PREPAID",EDATE(DATE(YEAR(INDEX(Contracts!$J$2:$J$151,$AB1386)),MONTH(INDEX(Contracts!$J$2:$J$151,$AB1386)),1),IF(INDEX(Contracts!$N$2:$N$151,$AB1386)="",12,INDEX(Contracts!$N$2:$N$151,$AB1386))-1),IF(INDEX(Contracts!$I$2:$I$151,$AB1386)="MONTHLY",IF(INDEX(Contracts!$K$2:$K$151,$AB1386)="",2958101,INDEX(Contracts!$K$2:$K$151,$AB1386)),0)),IF($Z1386="A",EDATE(DATE(YEAR(INDEX(Fixed_Assets!$G$2:$G$201,$AB1386)),MONTH(INDEX(Fixed_Assets!$G$2:$G$201,$AB1386)),1),INDEX(Fixed_Assets!$J$2:$J$201,$AB1386)-1),IF($Z1386="F",MIN(IF(INDEX(Workforce!$J$2:$J$151,MATCH(INDEX(FTE_Allocation!$A$2:$A$201,$AB1386),Workforce!$A$2:$A$151,0))="",2958101,INDEX(Workforce!$J$2:$J$151,MATCH(INDEX(FTE_Allocation!$A$2:$A$201,$AB1386),Workforce!$A$2:$A$151,0))),IF(INDEX(FTE_Allocation!$J$2:$J$201,$AB1386)="",2958101,INDEX(FTE_Allocation!$J$2:$J$201,$AB1386))),"")))</f>
        <v/>
      </c>
      <c r="AG1386" s="19">
        <f>IF($Z1386="C",IF(INDEX(Contracts!$I$2:$I$151,$AB1386)="PREPAID",INDEX(Contracts!$M$2:$M$151,$AB1386)/IF(INDEX(Contracts!$N$2:$N$151,$AB1386)="",12,INDEX(Contracts!$N$2:$N$151,$AB1386)),IF(INDEX(Contracts!$I$2:$I$151,$AB1386)="MONTHLY",INDEX(Contracts!$M$2:$M$151,$AB1386),0))*(1-N(INDEX(Contracts!$O$2:$O$151,$AB1386))),IF($Z1386="A",INDEX(Fixed_Assets!$H$2:$H$201,$AB1386)/INDEX(Fixed_Assets!$J$2:$J$201,$AB1386),IF($Z1386="F",INDEX(Workforce!$F$2:$F$151,MATCH(INDEX(FTE_Allocation!$A$2:$A$201,$AB1386),Workforce!$A$2:$A$151,0))*N(INDEX(FTE_Allocation!$F$2:$H$201,$AB1386,$AC1386)),"")))</f>
        <v/>
      </c>
    </row>
    <row r="1387">
      <c r="A1387" s="7">
        <f>IF($Z1387="","",$AD1387)</f>
        <v/>
      </c>
      <c r="B1387" s="7">
        <f>IF($Z1387="C",INDEX(Contracts!$D$2:$D$151,$AB1387)&amp;"",IF($Z1387="A",INDEX(Fixed_Assets!$C$2:$C$201,$AB1387)&amp;"",IF($Z1387="F",INDEX(Workforce!$B$2:$B$151,MATCH(INDEX(FTE_Allocation!$A$2:$A$201,$AB1387),Workforce!$A$2:$A$151,0))&amp;"","")))</f>
        <v/>
      </c>
      <c r="C1387" s="7">
        <f>IF($Z1387="C",INDEX(Contracts!$E$2:$E$151,$AB1387)&amp;"",IF($Z1387="A",INDEX(Fixed_Assets!$D$2:$D$201,$AB1387)&amp;"",IF($Z1387="F",INDEX(FTE_Allocation!$C$2:$C$201,$AB1387)&amp;"","")))</f>
        <v/>
      </c>
      <c r="D1387" s="7">
        <f>IF($Z1387="C",INDEX(Contracts!$B$2:$B$151,$AB1387)&amp;"",IF($Z1387="A",INDEX(Fixed_Assets!$B$2:$B$201,$AB1387)&amp;"",IF($Z1387="F",INDEX(FTE_Allocation!$B$2:$B$201,$AB1387)&amp;"","")))</f>
        <v/>
      </c>
      <c r="E1387" s="7">
        <f>IF($Z1387="C",INDEX(Contracts!$P$2:$P$151,$AB1387)&amp;"",IF($Z1387="A",INDEX(Fixed_Assets!$K$2:$K$201,$AB1387)&amp;"",IF($Z1387="F",IF(INDEX(FTE_Allocation!$D$2:$D$201,$AB1387)="PROJECT",IFERROR(INDEX(Projects!$D:$D,MATCH(INDEX(FTE_Allocation!$E$2:$E$201,$AB1387),Projects!$A:$A,0))&amp;"","#PROJECT?"),INDEX(FTE_Allocation!$E$2:$E$201,$AB1387)&amp;""),"")))</f>
        <v/>
      </c>
      <c r="F1387" s="7">
        <f>IF($Z1387="C",INDEX(Contracts!$Q$2:$Q$151,$AB1387)&amp;"",IF($Z1387="A",INDEX(Fixed_Assets!$L$2:$L$201,$AB1387)&amp;"",IF($Z1387="F",INDEX(Workforce!$K$2:$K$151,MATCH(INDEX(FTE_Allocation!$A$2:$A$201,$AB1387),Workforce!$A$2:$A$151,0))&amp;"","")))</f>
        <v/>
      </c>
      <c r="G1387" s="7">
        <f>IF($Z1387="C",INDEX(Contracts!$F$2:$F$151,$AB1387)&amp;" / "&amp;INDEX(Contracts!$G$2:$G$151,$AB1387),IF($Z1387="A",INDEX(Fixed_Assets!$E$2:$E$201,$AB1387)&amp;"",IF($Z1387="F","Personnel "&amp;INDEX(FTE_Allocation!$A$2:$A$201,$AB1387)&amp;IF(INDEX(FTE_Allocation!$D$2:$D$201,$AB1387)="PROJECT"," ("&amp;INDEX(FTE_Allocation!$E$2:$E$201,$AB1387)&amp;")",""),"")))</f>
        <v/>
      </c>
      <c r="H1387" s="7">
        <f>IF($Z1387="C","CONTRACT",IF($Z1387="A","ASSET",IF($Z1387="F","WORKFORCE","")))</f>
        <v/>
      </c>
      <c r="I1387" s="7">
        <f>IF($Z1387="C",INDEX(Contracts!$L$2:$L$151,$AB1387)&amp;"",IF($Z1387="A",INDEX(Fixed_Assets!$I$2:$I$201,$AB1387)&amp;"",IF($Z1387="F",INDEX(Workforce!$G$2:$G$151,MATCH(INDEX(FTE_Allocation!$A$2:$A$201,$AB1387),Workforce!$A$2:$A$151,0))&amp;"","")))</f>
        <v/>
      </c>
      <c r="J1387" s="18">
        <f>IF($Z1387="","",IF(AND(DATE($AD1387,1,1)&gt;=$AE1387,DATE($AD1387,1,1)&lt;=$AF1387),ROUND($AG1387,2),0))</f>
        <v/>
      </c>
      <c r="K1387" s="18">
        <f>IF($Z1387="","",IF(AND(DATE($AD1387,2,1)&gt;=$AE1387,DATE($AD1387,2,1)&lt;=$AF1387),ROUND($AG1387,2),0))</f>
        <v/>
      </c>
      <c r="L1387" s="18">
        <f>IF($Z1387="","",IF(AND(DATE($AD1387,3,1)&gt;=$AE1387,DATE($AD1387,3,1)&lt;=$AF1387),ROUND($AG1387,2),0))</f>
        <v/>
      </c>
      <c r="M1387" s="18">
        <f>IF($Z1387="","",IF(AND(DATE($AD1387,4,1)&gt;=$AE1387,DATE($AD1387,4,1)&lt;=$AF1387),ROUND($AG1387,2),0))</f>
        <v/>
      </c>
      <c r="N1387" s="18">
        <f>IF($Z1387="","",IF(AND(DATE($AD1387,5,1)&gt;=$AE1387,DATE($AD1387,5,1)&lt;=$AF1387),ROUND($AG1387,2),0))</f>
        <v/>
      </c>
      <c r="O1387" s="18">
        <f>IF($Z1387="","",IF(AND(DATE($AD1387,6,1)&gt;=$AE1387,DATE($AD1387,6,1)&lt;=$AF1387),ROUND($AG1387,2),0))</f>
        <v/>
      </c>
      <c r="P1387" s="18">
        <f>IF($Z1387="","",IF(AND(DATE($AD1387,7,1)&gt;=$AE1387,DATE($AD1387,7,1)&lt;=$AF1387),ROUND($AG1387,2),0))</f>
        <v/>
      </c>
      <c r="Q1387" s="18">
        <f>IF($Z1387="","",IF(AND(DATE($AD1387,8,1)&gt;=$AE1387,DATE($AD1387,8,1)&lt;=$AF1387),ROUND($AG1387,2),0))</f>
        <v/>
      </c>
      <c r="R1387" s="18">
        <f>IF($Z1387="","",IF(AND(DATE($AD1387,9,1)&gt;=$AE1387,DATE($AD1387,9,1)&lt;=$AF1387),ROUND($AG1387,2),0))</f>
        <v/>
      </c>
      <c r="S1387" s="18">
        <f>IF($Z1387="","",IF(AND(DATE($AD1387,10,1)&gt;=$AE1387,DATE($AD1387,10,1)&lt;=$AF1387),ROUND($AG1387,2),0))</f>
        <v/>
      </c>
      <c r="T1387" s="18">
        <f>IF($Z1387="","",IF(AND(DATE($AD1387,11,1)&gt;=$AE1387,DATE($AD1387,11,1)&lt;=$AF1387),ROUND($AG1387,2),0))</f>
        <v/>
      </c>
      <c r="U1387" s="18">
        <f>IF($Z1387="","",IF(AND(DATE($AD1387,12,1)&gt;=$AE1387,DATE($AD1387,12,1)&lt;=$AF1387),ROUND($AG1387,2),0))</f>
        <v/>
      </c>
      <c r="V1387" s="7">
        <f>IF($Z1387="C","Generated from "&amp;INDEX(Contracts!$A$2:$A$151,$AB1387),IF($Z1387="A","Generated from "&amp;INDEX(Fixed_Assets!$A$2:$A$201,$AB1387),IF($Z1387="F","Generated from "&amp;INDEX(FTE_Allocation!$A$2:$A$201,$AB1387),"")))</f>
        <v/>
      </c>
      <c r="X1387" s="19">
        <f>IF($Z1387="","",SUM(J1387:U1387))</f>
        <v/>
      </c>
      <c r="Y1387" s="20">
        <f>ROW()-1</f>
        <v/>
      </c>
      <c r="Z1387" s="20">
        <f>IF($Y1387&lt;=Settings!$B$4*3,"C",IF($Y1387&lt;=(Settings!$B$4+Settings!$B$5)*3,"A",IF($Y1387&lt;=(Settings!$B$4+Settings!$B$5+Settings!$B$6)*3,"F","")))</f>
        <v/>
      </c>
      <c r="AA1387" s="20">
        <f>IF($Z1387="C",$Y1387,IF($Z1387="A",$Y1387-Settings!$B$4*3,IF($Z1387="F",$Y1387-(Settings!$B$4+Settings!$B$5)*3,"")))</f>
        <v/>
      </c>
      <c r="AB1387" s="20">
        <f>IF($Z1387="","",INT(($AA1387-1)/3)+1)</f>
        <v/>
      </c>
      <c r="AC1387" s="20">
        <f>IF($Z1387="","",MOD($AA1387-1,3)+1)</f>
        <v/>
      </c>
      <c r="AD1387" s="20">
        <f>IF($Z1387="","",Settings!$B$2+$AC1387-1)</f>
        <v/>
      </c>
      <c r="AE1387" s="21">
        <f>IF($Z1387="C",DATE(YEAR(INDEX(Contracts!$J$2:$J$151,$AB1387)),MONTH(INDEX(Contracts!$J$2:$J$151,$AB1387)),1),IF($Z1387="A",DATE(YEAR(INDEX(Fixed_Assets!$G$2:$G$201,$AB1387)),MONTH(INDEX(Fixed_Assets!$G$2:$G$201,$AB1387)),1),IF($Z1387="F",DATE(YEAR(MAX(N(INDEX(Workforce!$I$2:$I$151,MATCH(INDEX(FTE_Allocation!$A$2:$A$201,$AB1387),Workforce!$A$2:$A$151,0))),N(INDEX(FTE_Allocation!$I$2:$I$201,$AB1387)))),MONTH(MAX(N(INDEX(Workforce!$I$2:$I$151,MATCH(INDEX(FTE_Allocation!$A$2:$A$201,$AB1387),Workforce!$A$2:$A$151,0))),N(INDEX(FTE_Allocation!$I$2:$I$201,$AB1387)))),1),"")))</f>
        <v/>
      </c>
      <c r="AF1387" s="21">
        <f>IF($Z1387="C",IF(INDEX(Contracts!$I$2:$I$151,$AB1387)="PREPAID",EDATE(DATE(YEAR(INDEX(Contracts!$J$2:$J$151,$AB1387)),MONTH(INDEX(Contracts!$J$2:$J$151,$AB1387)),1),IF(INDEX(Contracts!$N$2:$N$151,$AB1387)="",12,INDEX(Contracts!$N$2:$N$151,$AB1387))-1),IF(INDEX(Contracts!$I$2:$I$151,$AB1387)="MONTHLY",IF(INDEX(Contracts!$K$2:$K$151,$AB1387)="",2958101,INDEX(Contracts!$K$2:$K$151,$AB1387)),0)),IF($Z1387="A",EDATE(DATE(YEAR(INDEX(Fixed_Assets!$G$2:$G$201,$AB1387)),MONTH(INDEX(Fixed_Assets!$G$2:$G$201,$AB1387)),1),INDEX(Fixed_Assets!$J$2:$J$201,$AB1387)-1),IF($Z1387="F",MIN(IF(INDEX(Workforce!$J$2:$J$151,MATCH(INDEX(FTE_Allocation!$A$2:$A$201,$AB1387),Workforce!$A$2:$A$151,0))="",2958101,INDEX(Workforce!$J$2:$J$151,MATCH(INDEX(FTE_Allocation!$A$2:$A$201,$AB1387),Workforce!$A$2:$A$151,0))),IF(INDEX(FTE_Allocation!$J$2:$J$201,$AB1387)="",2958101,INDEX(FTE_Allocation!$J$2:$J$201,$AB1387))),"")))</f>
        <v/>
      </c>
      <c r="AG1387" s="19">
        <f>IF($Z1387="C",IF(INDEX(Contracts!$I$2:$I$151,$AB1387)="PREPAID",INDEX(Contracts!$M$2:$M$151,$AB1387)/IF(INDEX(Contracts!$N$2:$N$151,$AB1387)="",12,INDEX(Contracts!$N$2:$N$151,$AB1387)),IF(INDEX(Contracts!$I$2:$I$151,$AB1387)="MONTHLY",INDEX(Contracts!$M$2:$M$151,$AB1387),0))*(1-N(INDEX(Contracts!$O$2:$O$151,$AB1387))),IF($Z1387="A",INDEX(Fixed_Assets!$H$2:$H$201,$AB1387)/INDEX(Fixed_Assets!$J$2:$J$201,$AB1387),IF($Z1387="F",INDEX(Workforce!$F$2:$F$151,MATCH(INDEX(FTE_Allocation!$A$2:$A$201,$AB1387),Workforce!$A$2:$A$151,0))*N(INDEX(FTE_Allocation!$F$2:$H$201,$AB1387,$AC1387)),"")))</f>
        <v/>
      </c>
    </row>
    <row r="1388">
      <c r="A1388" s="7">
        <f>IF($Z1388="","",$AD1388)</f>
        <v/>
      </c>
      <c r="B1388" s="7">
        <f>IF($Z1388="C",INDEX(Contracts!$D$2:$D$151,$AB1388)&amp;"",IF($Z1388="A",INDEX(Fixed_Assets!$C$2:$C$201,$AB1388)&amp;"",IF($Z1388="F",INDEX(Workforce!$B$2:$B$151,MATCH(INDEX(FTE_Allocation!$A$2:$A$201,$AB1388),Workforce!$A$2:$A$151,0))&amp;"","")))</f>
        <v/>
      </c>
      <c r="C1388" s="7">
        <f>IF($Z1388="C",INDEX(Contracts!$E$2:$E$151,$AB1388)&amp;"",IF($Z1388="A",INDEX(Fixed_Assets!$D$2:$D$201,$AB1388)&amp;"",IF($Z1388="F",INDEX(FTE_Allocation!$C$2:$C$201,$AB1388)&amp;"","")))</f>
        <v/>
      </c>
      <c r="D1388" s="7">
        <f>IF($Z1388="C",INDEX(Contracts!$B$2:$B$151,$AB1388)&amp;"",IF($Z1388="A",INDEX(Fixed_Assets!$B$2:$B$201,$AB1388)&amp;"",IF($Z1388="F",INDEX(FTE_Allocation!$B$2:$B$201,$AB1388)&amp;"","")))</f>
        <v/>
      </c>
      <c r="E1388" s="7">
        <f>IF($Z1388="C",INDEX(Contracts!$P$2:$P$151,$AB1388)&amp;"",IF($Z1388="A",INDEX(Fixed_Assets!$K$2:$K$201,$AB1388)&amp;"",IF($Z1388="F",IF(INDEX(FTE_Allocation!$D$2:$D$201,$AB1388)="PROJECT",IFERROR(INDEX(Projects!$D:$D,MATCH(INDEX(FTE_Allocation!$E$2:$E$201,$AB1388),Projects!$A:$A,0))&amp;"","#PROJECT?"),INDEX(FTE_Allocation!$E$2:$E$201,$AB1388)&amp;""),"")))</f>
        <v/>
      </c>
      <c r="F1388" s="7">
        <f>IF($Z1388="C",INDEX(Contracts!$Q$2:$Q$151,$AB1388)&amp;"",IF($Z1388="A",INDEX(Fixed_Assets!$L$2:$L$201,$AB1388)&amp;"",IF($Z1388="F",INDEX(Workforce!$K$2:$K$151,MATCH(INDEX(FTE_Allocation!$A$2:$A$201,$AB1388),Workforce!$A$2:$A$151,0))&amp;"","")))</f>
        <v/>
      </c>
      <c r="G1388" s="7">
        <f>IF($Z1388="C",INDEX(Contracts!$F$2:$F$151,$AB1388)&amp;" / "&amp;INDEX(Contracts!$G$2:$G$151,$AB1388),IF($Z1388="A",INDEX(Fixed_Assets!$E$2:$E$201,$AB1388)&amp;"",IF($Z1388="F","Personnel "&amp;INDEX(FTE_Allocation!$A$2:$A$201,$AB1388)&amp;IF(INDEX(FTE_Allocation!$D$2:$D$201,$AB1388)="PROJECT"," ("&amp;INDEX(FTE_Allocation!$E$2:$E$201,$AB1388)&amp;")",""),"")))</f>
        <v/>
      </c>
      <c r="H1388" s="7">
        <f>IF($Z1388="C","CONTRACT",IF($Z1388="A","ASSET",IF($Z1388="F","WORKFORCE","")))</f>
        <v/>
      </c>
      <c r="I1388" s="7">
        <f>IF($Z1388="C",INDEX(Contracts!$L$2:$L$151,$AB1388)&amp;"",IF($Z1388="A",INDEX(Fixed_Assets!$I$2:$I$201,$AB1388)&amp;"",IF($Z1388="F",INDEX(Workforce!$G$2:$G$151,MATCH(INDEX(FTE_Allocation!$A$2:$A$201,$AB1388),Workforce!$A$2:$A$151,0))&amp;"","")))</f>
        <v/>
      </c>
      <c r="J1388" s="18">
        <f>IF($Z1388="","",IF(AND(DATE($AD1388,1,1)&gt;=$AE1388,DATE($AD1388,1,1)&lt;=$AF1388),ROUND($AG1388,2),0))</f>
        <v/>
      </c>
      <c r="K1388" s="18">
        <f>IF($Z1388="","",IF(AND(DATE($AD1388,2,1)&gt;=$AE1388,DATE($AD1388,2,1)&lt;=$AF1388),ROUND($AG1388,2),0))</f>
        <v/>
      </c>
      <c r="L1388" s="18">
        <f>IF($Z1388="","",IF(AND(DATE($AD1388,3,1)&gt;=$AE1388,DATE($AD1388,3,1)&lt;=$AF1388),ROUND($AG1388,2),0))</f>
        <v/>
      </c>
      <c r="M1388" s="18">
        <f>IF($Z1388="","",IF(AND(DATE($AD1388,4,1)&gt;=$AE1388,DATE($AD1388,4,1)&lt;=$AF1388),ROUND($AG1388,2),0))</f>
        <v/>
      </c>
      <c r="N1388" s="18">
        <f>IF($Z1388="","",IF(AND(DATE($AD1388,5,1)&gt;=$AE1388,DATE($AD1388,5,1)&lt;=$AF1388),ROUND($AG1388,2),0))</f>
        <v/>
      </c>
      <c r="O1388" s="18">
        <f>IF($Z1388="","",IF(AND(DATE($AD1388,6,1)&gt;=$AE1388,DATE($AD1388,6,1)&lt;=$AF1388),ROUND($AG1388,2),0))</f>
        <v/>
      </c>
      <c r="P1388" s="18">
        <f>IF($Z1388="","",IF(AND(DATE($AD1388,7,1)&gt;=$AE1388,DATE($AD1388,7,1)&lt;=$AF1388),ROUND($AG1388,2),0))</f>
        <v/>
      </c>
      <c r="Q1388" s="18">
        <f>IF($Z1388="","",IF(AND(DATE($AD1388,8,1)&gt;=$AE1388,DATE($AD1388,8,1)&lt;=$AF1388),ROUND($AG1388,2),0))</f>
        <v/>
      </c>
      <c r="R1388" s="18">
        <f>IF($Z1388="","",IF(AND(DATE($AD1388,9,1)&gt;=$AE1388,DATE($AD1388,9,1)&lt;=$AF1388),ROUND($AG1388,2),0))</f>
        <v/>
      </c>
      <c r="S1388" s="18">
        <f>IF($Z1388="","",IF(AND(DATE($AD1388,10,1)&gt;=$AE1388,DATE($AD1388,10,1)&lt;=$AF1388),ROUND($AG1388,2),0))</f>
        <v/>
      </c>
      <c r="T1388" s="18">
        <f>IF($Z1388="","",IF(AND(DATE($AD1388,11,1)&gt;=$AE1388,DATE($AD1388,11,1)&lt;=$AF1388),ROUND($AG1388,2),0))</f>
        <v/>
      </c>
      <c r="U1388" s="18">
        <f>IF($Z1388="","",IF(AND(DATE($AD1388,12,1)&gt;=$AE1388,DATE($AD1388,12,1)&lt;=$AF1388),ROUND($AG1388,2),0))</f>
        <v/>
      </c>
      <c r="V1388" s="7">
        <f>IF($Z1388="C","Generated from "&amp;INDEX(Contracts!$A$2:$A$151,$AB1388),IF($Z1388="A","Generated from "&amp;INDEX(Fixed_Assets!$A$2:$A$201,$AB1388),IF($Z1388="F","Generated from "&amp;INDEX(FTE_Allocation!$A$2:$A$201,$AB1388),"")))</f>
        <v/>
      </c>
      <c r="X1388" s="19">
        <f>IF($Z1388="","",SUM(J1388:U1388))</f>
        <v/>
      </c>
      <c r="Y1388" s="20">
        <f>ROW()-1</f>
        <v/>
      </c>
      <c r="Z1388" s="20">
        <f>IF($Y1388&lt;=Settings!$B$4*3,"C",IF($Y1388&lt;=(Settings!$B$4+Settings!$B$5)*3,"A",IF($Y1388&lt;=(Settings!$B$4+Settings!$B$5+Settings!$B$6)*3,"F","")))</f>
        <v/>
      </c>
      <c r="AA1388" s="20">
        <f>IF($Z1388="C",$Y1388,IF($Z1388="A",$Y1388-Settings!$B$4*3,IF($Z1388="F",$Y1388-(Settings!$B$4+Settings!$B$5)*3,"")))</f>
        <v/>
      </c>
      <c r="AB1388" s="20">
        <f>IF($Z1388="","",INT(($AA1388-1)/3)+1)</f>
        <v/>
      </c>
      <c r="AC1388" s="20">
        <f>IF($Z1388="","",MOD($AA1388-1,3)+1)</f>
        <v/>
      </c>
      <c r="AD1388" s="20">
        <f>IF($Z1388="","",Settings!$B$2+$AC1388-1)</f>
        <v/>
      </c>
      <c r="AE1388" s="21">
        <f>IF($Z1388="C",DATE(YEAR(INDEX(Contracts!$J$2:$J$151,$AB1388)),MONTH(INDEX(Contracts!$J$2:$J$151,$AB1388)),1),IF($Z1388="A",DATE(YEAR(INDEX(Fixed_Assets!$G$2:$G$201,$AB1388)),MONTH(INDEX(Fixed_Assets!$G$2:$G$201,$AB1388)),1),IF($Z1388="F",DATE(YEAR(MAX(N(INDEX(Workforce!$I$2:$I$151,MATCH(INDEX(FTE_Allocation!$A$2:$A$201,$AB1388),Workforce!$A$2:$A$151,0))),N(INDEX(FTE_Allocation!$I$2:$I$201,$AB1388)))),MONTH(MAX(N(INDEX(Workforce!$I$2:$I$151,MATCH(INDEX(FTE_Allocation!$A$2:$A$201,$AB1388),Workforce!$A$2:$A$151,0))),N(INDEX(FTE_Allocation!$I$2:$I$201,$AB1388)))),1),"")))</f>
        <v/>
      </c>
      <c r="AF1388" s="21">
        <f>IF($Z1388="C",IF(INDEX(Contracts!$I$2:$I$151,$AB1388)="PREPAID",EDATE(DATE(YEAR(INDEX(Contracts!$J$2:$J$151,$AB1388)),MONTH(INDEX(Contracts!$J$2:$J$151,$AB1388)),1),IF(INDEX(Contracts!$N$2:$N$151,$AB1388)="",12,INDEX(Contracts!$N$2:$N$151,$AB1388))-1),IF(INDEX(Contracts!$I$2:$I$151,$AB1388)="MONTHLY",IF(INDEX(Contracts!$K$2:$K$151,$AB1388)="",2958101,INDEX(Contracts!$K$2:$K$151,$AB1388)),0)),IF($Z1388="A",EDATE(DATE(YEAR(INDEX(Fixed_Assets!$G$2:$G$201,$AB1388)),MONTH(INDEX(Fixed_Assets!$G$2:$G$201,$AB1388)),1),INDEX(Fixed_Assets!$J$2:$J$201,$AB1388)-1),IF($Z1388="F",MIN(IF(INDEX(Workforce!$J$2:$J$151,MATCH(INDEX(FTE_Allocation!$A$2:$A$201,$AB1388),Workforce!$A$2:$A$151,0))="",2958101,INDEX(Workforce!$J$2:$J$151,MATCH(INDEX(FTE_Allocation!$A$2:$A$201,$AB1388),Workforce!$A$2:$A$151,0))),IF(INDEX(FTE_Allocation!$J$2:$J$201,$AB1388)="",2958101,INDEX(FTE_Allocation!$J$2:$J$201,$AB1388))),"")))</f>
        <v/>
      </c>
      <c r="AG1388" s="19">
        <f>IF($Z1388="C",IF(INDEX(Contracts!$I$2:$I$151,$AB1388)="PREPAID",INDEX(Contracts!$M$2:$M$151,$AB1388)/IF(INDEX(Contracts!$N$2:$N$151,$AB1388)="",12,INDEX(Contracts!$N$2:$N$151,$AB1388)),IF(INDEX(Contracts!$I$2:$I$151,$AB1388)="MONTHLY",INDEX(Contracts!$M$2:$M$151,$AB1388),0))*(1-N(INDEX(Contracts!$O$2:$O$151,$AB1388))),IF($Z1388="A",INDEX(Fixed_Assets!$H$2:$H$201,$AB1388)/INDEX(Fixed_Assets!$J$2:$J$201,$AB1388),IF($Z1388="F",INDEX(Workforce!$F$2:$F$151,MATCH(INDEX(FTE_Allocation!$A$2:$A$201,$AB1388),Workforce!$A$2:$A$151,0))*N(INDEX(FTE_Allocation!$F$2:$H$201,$AB1388,$AC1388)),"")))</f>
        <v/>
      </c>
    </row>
    <row r="1389">
      <c r="A1389" s="7">
        <f>IF($Z1389="","",$AD1389)</f>
        <v/>
      </c>
      <c r="B1389" s="7">
        <f>IF($Z1389="C",INDEX(Contracts!$D$2:$D$151,$AB1389)&amp;"",IF($Z1389="A",INDEX(Fixed_Assets!$C$2:$C$201,$AB1389)&amp;"",IF($Z1389="F",INDEX(Workforce!$B$2:$B$151,MATCH(INDEX(FTE_Allocation!$A$2:$A$201,$AB1389),Workforce!$A$2:$A$151,0))&amp;"","")))</f>
        <v/>
      </c>
      <c r="C1389" s="7">
        <f>IF($Z1389="C",INDEX(Contracts!$E$2:$E$151,$AB1389)&amp;"",IF($Z1389="A",INDEX(Fixed_Assets!$D$2:$D$201,$AB1389)&amp;"",IF($Z1389="F",INDEX(FTE_Allocation!$C$2:$C$201,$AB1389)&amp;"","")))</f>
        <v/>
      </c>
      <c r="D1389" s="7">
        <f>IF($Z1389="C",INDEX(Contracts!$B$2:$B$151,$AB1389)&amp;"",IF($Z1389="A",INDEX(Fixed_Assets!$B$2:$B$201,$AB1389)&amp;"",IF($Z1389="F",INDEX(FTE_Allocation!$B$2:$B$201,$AB1389)&amp;"","")))</f>
        <v/>
      </c>
      <c r="E1389" s="7">
        <f>IF($Z1389="C",INDEX(Contracts!$P$2:$P$151,$AB1389)&amp;"",IF($Z1389="A",INDEX(Fixed_Assets!$K$2:$K$201,$AB1389)&amp;"",IF($Z1389="F",IF(INDEX(FTE_Allocation!$D$2:$D$201,$AB1389)="PROJECT",IFERROR(INDEX(Projects!$D:$D,MATCH(INDEX(FTE_Allocation!$E$2:$E$201,$AB1389),Projects!$A:$A,0))&amp;"","#PROJECT?"),INDEX(FTE_Allocation!$E$2:$E$201,$AB1389)&amp;""),"")))</f>
        <v/>
      </c>
      <c r="F1389" s="7">
        <f>IF($Z1389="C",INDEX(Contracts!$Q$2:$Q$151,$AB1389)&amp;"",IF($Z1389="A",INDEX(Fixed_Assets!$L$2:$L$201,$AB1389)&amp;"",IF($Z1389="F",INDEX(Workforce!$K$2:$K$151,MATCH(INDEX(FTE_Allocation!$A$2:$A$201,$AB1389),Workforce!$A$2:$A$151,0))&amp;"","")))</f>
        <v/>
      </c>
      <c r="G1389" s="7">
        <f>IF($Z1389="C",INDEX(Contracts!$F$2:$F$151,$AB1389)&amp;" / "&amp;INDEX(Contracts!$G$2:$G$151,$AB1389),IF($Z1389="A",INDEX(Fixed_Assets!$E$2:$E$201,$AB1389)&amp;"",IF($Z1389="F","Personnel "&amp;INDEX(FTE_Allocation!$A$2:$A$201,$AB1389)&amp;IF(INDEX(FTE_Allocation!$D$2:$D$201,$AB1389)="PROJECT"," ("&amp;INDEX(FTE_Allocation!$E$2:$E$201,$AB1389)&amp;")",""),"")))</f>
        <v/>
      </c>
      <c r="H1389" s="7">
        <f>IF($Z1389="C","CONTRACT",IF($Z1389="A","ASSET",IF($Z1389="F","WORKFORCE","")))</f>
        <v/>
      </c>
      <c r="I1389" s="7">
        <f>IF($Z1389="C",INDEX(Contracts!$L$2:$L$151,$AB1389)&amp;"",IF($Z1389="A",INDEX(Fixed_Assets!$I$2:$I$201,$AB1389)&amp;"",IF($Z1389="F",INDEX(Workforce!$G$2:$G$151,MATCH(INDEX(FTE_Allocation!$A$2:$A$201,$AB1389),Workforce!$A$2:$A$151,0))&amp;"","")))</f>
        <v/>
      </c>
      <c r="J1389" s="18">
        <f>IF($Z1389="","",IF(AND(DATE($AD1389,1,1)&gt;=$AE1389,DATE($AD1389,1,1)&lt;=$AF1389),ROUND($AG1389,2),0))</f>
        <v/>
      </c>
      <c r="K1389" s="18">
        <f>IF($Z1389="","",IF(AND(DATE($AD1389,2,1)&gt;=$AE1389,DATE($AD1389,2,1)&lt;=$AF1389),ROUND($AG1389,2),0))</f>
        <v/>
      </c>
      <c r="L1389" s="18">
        <f>IF($Z1389="","",IF(AND(DATE($AD1389,3,1)&gt;=$AE1389,DATE($AD1389,3,1)&lt;=$AF1389),ROUND($AG1389,2),0))</f>
        <v/>
      </c>
      <c r="M1389" s="18">
        <f>IF($Z1389="","",IF(AND(DATE($AD1389,4,1)&gt;=$AE1389,DATE($AD1389,4,1)&lt;=$AF1389),ROUND($AG1389,2),0))</f>
        <v/>
      </c>
      <c r="N1389" s="18">
        <f>IF($Z1389="","",IF(AND(DATE($AD1389,5,1)&gt;=$AE1389,DATE($AD1389,5,1)&lt;=$AF1389),ROUND($AG1389,2),0))</f>
        <v/>
      </c>
      <c r="O1389" s="18">
        <f>IF($Z1389="","",IF(AND(DATE($AD1389,6,1)&gt;=$AE1389,DATE($AD1389,6,1)&lt;=$AF1389),ROUND($AG1389,2),0))</f>
        <v/>
      </c>
      <c r="P1389" s="18">
        <f>IF($Z1389="","",IF(AND(DATE($AD1389,7,1)&gt;=$AE1389,DATE($AD1389,7,1)&lt;=$AF1389),ROUND($AG1389,2),0))</f>
        <v/>
      </c>
      <c r="Q1389" s="18">
        <f>IF($Z1389="","",IF(AND(DATE($AD1389,8,1)&gt;=$AE1389,DATE($AD1389,8,1)&lt;=$AF1389),ROUND($AG1389,2),0))</f>
        <v/>
      </c>
      <c r="R1389" s="18">
        <f>IF($Z1389="","",IF(AND(DATE($AD1389,9,1)&gt;=$AE1389,DATE($AD1389,9,1)&lt;=$AF1389),ROUND($AG1389,2),0))</f>
        <v/>
      </c>
      <c r="S1389" s="18">
        <f>IF($Z1389="","",IF(AND(DATE($AD1389,10,1)&gt;=$AE1389,DATE($AD1389,10,1)&lt;=$AF1389),ROUND($AG1389,2),0))</f>
        <v/>
      </c>
      <c r="T1389" s="18">
        <f>IF($Z1389="","",IF(AND(DATE($AD1389,11,1)&gt;=$AE1389,DATE($AD1389,11,1)&lt;=$AF1389),ROUND($AG1389,2),0))</f>
        <v/>
      </c>
      <c r="U1389" s="18">
        <f>IF($Z1389="","",IF(AND(DATE($AD1389,12,1)&gt;=$AE1389,DATE($AD1389,12,1)&lt;=$AF1389),ROUND($AG1389,2),0))</f>
        <v/>
      </c>
      <c r="V1389" s="7">
        <f>IF($Z1389="C","Generated from "&amp;INDEX(Contracts!$A$2:$A$151,$AB1389),IF($Z1389="A","Generated from "&amp;INDEX(Fixed_Assets!$A$2:$A$201,$AB1389),IF($Z1389="F","Generated from "&amp;INDEX(FTE_Allocation!$A$2:$A$201,$AB1389),"")))</f>
        <v/>
      </c>
      <c r="X1389" s="19">
        <f>IF($Z1389="","",SUM(J1389:U1389))</f>
        <v/>
      </c>
      <c r="Y1389" s="20">
        <f>ROW()-1</f>
        <v/>
      </c>
      <c r="Z1389" s="20">
        <f>IF($Y1389&lt;=Settings!$B$4*3,"C",IF($Y1389&lt;=(Settings!$B$4+Settings!$B$5)*3,"A",IF($Y1389&lt;=(Settings!$B$4+Settings!$B$5+Settings!$B$6)*3,"F","")))</f>
        <v/>
      </c>
      <c r="AA1389" s="20">
        <f>IF($Z1389="C",$Y1389,IF($Z1389="A",$Y1389-Settings!$B$4*3,IF($Z1389="F",$Y1389-(Settings!$B$4+Settings!$B$5)*3,"")))</f>
        <v/>
      </c>
      <c r="AB1389" s="20">
        <f>IF($Z1389="","",INT(($AA1389-1)/3)+1)</f>
        <v/>
      </c>
      <c r="AC1389" s="20">
        <f>IF($Z1389="","",MOD($AA1389-1,3)+1)</f>
        <v/>
      </c>
      <c r="AD1389" s="20">
        <f>IF($Z1389="","",Settings!$B$2+$AC1389-1)</f>
        <v/>
      </c>
      <c r="AE1389" s="21">
        <f>IF($Z1389="C",DATE(YEAR(INDEX(Contracts!$J$2:$J$151,$AB1389)),MONTH(INDEX(Contracts!$J$2:$J$151,$AB1389)),1),IF($Z1389="A",DATE(YEAR(INDEX(Fixed_Assets!$G$2:$G$201,$AB1389)),MONTH(INDEX(Fixed_Assets!$G$2:$G$201,$AB1389)),1),IF($Z1389="F",DATE(YEAR(MAX(N(INDEX(Workforce!$I$2:$I$151,MATCH(INDEX(FTE_Allocation!$A$2:$A$201,$AB1389),Workforce!$A$2:$A$151,0))),N(INDEX(FTE_Allocation!$I$2:$I$201,$AB1389)))),MONTH(MAX(N(INDEX(Workforce!$I$2:$I$151,MATCH(INDEX(FTE_Allocation!$A$2:$A$201,$AB1389),Workforce!$A$2:$A$151,0))),N(INDEX(FTE_Allocation!$I$2:$I$201,$AB1389)))),1),"")))</f>
        <v/>
      </c>
      <c r="AF1389" s="21">
        <f>IF($Z1389="C",IF(INDEX(Contracts!$I$2:$I$151,$AB1389)="PREPAID",EDATE(DATE(YEAR(INDEX(Contracts!$J$2:$J$151,$AB1389)),MONTH(INDEX(Contracts!$J$2:$J$151,$AB1389)),1),IF(INDEX(Contracts!$N$2:$N$151,$AB1389)="",12,INDEX(Contracts!$N$2:$N$151,$AB1389))-1),IF(INDEX(Contracts!$I$2:$I$151,$AB1389)="MONTHLY",IF(INDEX(Contracts!$K$2:$K$151,$AB1389)="",2958101,INDEX(Contracts!$K$2:$K$151,$AB1389)),0)),IF($Z1389="A",EDATE(DATE(YEAR(INDEX(Fixed_Assets!$G$2:$G$201,$AB1389)),MONTH(INDEX(Fixed_Assets!$G$2:$G$201,$AB1389)),1),INDEX(Fixed_Assets!$J$2:$J$201,$AB1389)-1),IF($Z1389="F",MIN(IF(INDEX(Workforce!$J$2:$J$151,MATCH(INDEX(FTE_Allocation!$A$2:$A$201,$AB1389),Workforce!$A$2:$A$151,0))="",2958101,INDEX(Workforce!$J$2:$J$151,MATCH(INDEX(FTE_Allocation!$A$2:$A$201,$AB1389),Workforce!$A$2:$A$151,0))),IF(INDEX(FTE_Allocation!$J$2:$J$201,$AB1389)="",2958101,INDEX(FTE_Allocation!$J$2:$J$201,$AB1389))),"")))</f>
        <v/>
      </c>
      <c r="AG1389" s="19">
        <f>IF($Z1389="C",IF(INDEX(Contracts!$I$2:$I$151,$AB1389)="PREPAID",INDEX(Contracts!$M$2:$M$151,$AB1389)/IF(INDEX(Contracts!$N$2:$N$151,$AB1389)="",12,INDEX(Contracts!$N$2:$N$151,$AB1389)),IF(INDEX(Contracts!$I$2:$I$151,$AB1389)="MONTHLY",INDEX(Contracts!$M$2:$M$151,$AB1389),0))*(1-N(INDEX(Contracts!$O$2:$O$151,$AB1389))),IF($Z1389="A",INDEX(Fixed_Assets!$H$2:$H$201,$AB1389)/INDEX(Fixed_Assets!$J$2:$J$201,$AB1389),IF($Z1389="F",INDEX(Workforce!$F$2:$F$151,MATCH(INDEX(FTE_Allocation!$A$2:$A$201,$AB1389),Workforce!$A$2:$A$151,0))*N(INDEX(FTE_Allocation!$F$2:$H$201,$AB1389,$AC1389)),"")))</f>
        <v/>
      </c>
    </row>
    <row r="1390">
      <c r="A1390" s="7">
        <f>IF($Z1390="","",$AD1390)</f>
        <v/>
      </c>
      <c r="B1390" s="7">
        <f>IF($Z1390="C",INDEX(Contracts!$D$2:$D$151,$AB1390)&amp;"",IF($Z1390="A",INDEX(Fixed_Assets!$C$2:$C$201,$AB1390)&amp;"",IF($Z1390="F",INDEX(Workforce!$B$2:$B$151,MATCH(INDEX(FTE_Allocation!$A$2:$A$201,$AB1390),Workforce!$A$2:$A$151,0))&amp;"","")))</f>
        <v/>
      </c>
      <c r="C1390" s="7">
        <f>IF($Z1390="C",INDEX(Contracts!$E$2:$E$151,$AB1390)&amp;"",IF($Z1390="A",INDEX(Fixed_Assets!$D$2:$D$201,$AB1390)&amp;"",IF($Z1390="F",INDEX(FTE_Allocation!$C$2:$C$201,$AB1390)&amp;"","")))</f>
        <v/>
      </c>
      <c r="D1390" s="7">
        <f>IF($Z1390="C",INDEX(Contracts!$B$2:$B$151,$AB1390)&amp;"",IF($Z1390="A",INDEX(Fixed_Assets!$B$2:$B$201,$AB1390)&amp;"",IF($Z1390="F",INDEX(FTE_Allocation!$B$2:$B$201,$AB1390)&amp;"","")))</f>
        <v/>
      </c>
      <c r="E1390" s="7">
        <f>IF($Z1390="C",INDEX(Contracts!$P$2:$P$151,$AB1390)&amp;"",IF($Z1390="A",INDEX(Fixed_Assets!$K$2:$K$201,$AB1390)&amp;"",IF($Z1390="F",IF(INDEX(FTE_Allocation!$D$2:$D$201,$AB1390)="PROJECT",IFERROR(INDEX(Projects!$D:$D,MATCH(INDEX(FTE_Allocation!$E$2:$E$201,$AB1390),Projects!$A:$A,0))&amp;"","#PROJECT?"),INDEX(FTE_Allocation!$E$2:$E$201,$AB1390)&amp;""),"")))</f>
        <v/>
      </c>
      <c r="F1390" s="7">
        <f>IF($Z1390="C",INDEX(Contracts!$Q$2:$Q$151,$AB1390)&amp;"",IF($Z1390="A",INDEX(Fixed_Assets!$L$2:$L$201,$AB1390)&amp;"",IF($Z1390="F",INDEX(Workforce!$K$2:$K$151,MATCH(INDEX(FTE_Allocation!$A$2:$A$201,$AB1390),Workforce!$A$2:$A$151,0))&amp;"","")))</f>
        <v/>
      </c>
      <c r="G1390" s="7">
        <f>IF($Z1390="C",INDEX(Contracts!$F$2:$F$151,$AB1390)&amp;" / "&amp;INDEX(Contracts!$G$2:$G$151,$AB1390),IF($Z1390="A",INDEX(Fixed_Assets!$E$2:$E$201,$AB1390)&amp;"",IF($Z1390="F","Personnel "&amp;INDEX(FTE_Allocation!$A$2:$A$201,$AB1390)&amp;IF(INDEX(FTE_Allocation!$D$2:$D$201,$AB1390)="PROJECT"," ("&amp;INDEX(FTE_Allocation!$E$2:$E$201,$AB1390)&amp;")",""),"")))</f>
        <v/>
      </c>
      <c r="H1390" s="7">
        <f>IF($Z1390="C","CONTRACT",IF($Z1390="A","ASSET",IF($Z1390="F","WORKFORCE","")))</f>
        <v/>
      </c>
      <c r="I1390" s="7">
        <f>IF($Z1390="C",INDEX(Contracts!$L$2:$L$151,$AB1390)&amp;"",IF($Z1390="A",INDEX(Fixed_Assets!$I$2:$I$201,$AB1390)&amp;"",IF($Z1390="F",INDEX(Workforce!$G$2:$G$151,MATCH(INDEX(FTE_Allocation!$A$2:$A$201,$AB1390),Workforce!$A$2:$A$151,0))&amp;"","")))</f>
        <v/>
      </c>
      <c r="J1390" s="18">
        <f>IF($Z1390="","",IF(AND(DATE($AD1390,1,1)&gt;=$AE1390,DATE($AD1390,1,1)&lt;=$AF1390),ROUND($AG1390,2),0))</f>
        <v/>
      </c>
      <c r="K1390" s="18">
        <f>IF($Z1390="","",IF(AND(DATE($AD1390,2,1)&gt;=$AE1390,DATE($AD1390,2,1)&lt;=$AF1390),ROUND($AG1390,2),0))</f>
        <v/>
      </c>
      <c r="L1390" s="18">
        <f>IF($Z1390="","",IF(AND(DATE($AD1390,3,1)&gt;=$AE1390,DATE($AD1390,3,1)&lt;=$AF1390),ROUND($AG1390,2),0))</f>
        <v/>
      </c>
      <c r="M1390" s="18">
        <f>IF($Z1390="","",IF(AND(DATE($AD1390,4,1)&gt;=$AE1390,DATE($AD1390,4,1)&lt;=$AF1390),ROUND($AG1390,2),0))</f>
        <v/>
      </c>
      <c r="N1390" s="18">
        <f>IF($Z1390="","",IF(AND(DATE($AD1390,5,1)&gt;=$AE1390,DATE($AD1390,5,1)&lt;=$AF1390),ROUND($AG1390,2),0))</f>
        <v/>
      </c>
      <c r="O1390" s="18">
        <f>IF($Z1390="","",IF(AND(DATE($AD1390,6,1)&gt;=$AE1390,DATE($AD1390,6,1)&lt;=$AF1390),ROUND($AG1390,2),0))</f>
        <v/>
      </c>
      <c r="P1390" s="18">
        <f>IF($Z1390="","",IF(AND(DATE($AD1390,7,1)&gt;=$AE1390,DATE($AD1390,7,1)&lt;=$AF1390),ROUND($AG1390,2),0))</f>
        <v/>
      </c>
      <c r="Q1390" s="18">
        <f>IF($Z1390="","",IF(AND(DATE($AD1390,8,1)&gt;=$AE1390,DATE($AD1390,8,1)&lt;=$AF1390),ROUND($AG1390,2),0))</f>
        <v/>
      </c>
      <c r="R1390" s="18">
        <f>IF($Z1390="","",IF(AND(DATE($AD1390,9,1)&gt;=$AE1390,DATE($AD1390,9,1)&lt;=$AF1390),ROUND($AG1390,2),0))</f>
        <v/>
      </c>
      <c r="S1390" s="18">
        <f>IF($Z1390="","",IF(AND(DATE($AD1390,10,1)&gt;=$AE1390,DATE($AD1390,10,1)&lt;=$AF1390),ROUND($AG1390,2),0))</f>
        <v/>
      </c>
      <c r="T1390" s="18">
        <f>IF($Z1390="","",IF(AND(DATE($AD1390,11,1)&gt;=$AE1390,DATE($AD1390,11,1)&lt;=$AF1390),ROUND($AG1390,2),0))</f>
        <v/>
      </c>
      <c r="U1390" s="18">
        <f>IF($Z1390="","",IF(AND(DATE($AD1390,12,1)&gt;=$AE1390,DATE($AD1390,12,1)&lt;=$AF1390),ROUND($AG1390,2),0))</f>
        <v/>
      </c>
      <c r="V1390" s="7">
        <f>IF($Z1390="C","Generated from "&amp;INDEX(Contracts!$A$2:$A$151,$AB1390),IF($Z1390="A","Generated from "&amp;INDEX(Fixed_Assets!$A$2:$A$201,$AB1390),IF($Z1390="F","Generated from "&amp;INDEX(FTE_Allocation!$A$2:$A$201,$AB1390),"")))</f>
        <v/>
      </c>
      <c r="X1390" s="19">
        <f>IF($Z1390="","",SUM(J1390:U1390))</f>
        <v/>
      </c>
      <c r="Y1390" s="20">
        <f>ROW()-1</f>
        <v/>
      </c>
      <c r="Z1390" s="20">
        <f>IF($Y1390&lt;=Settings!$B$4*3,"C",IF($Y1390&lt;=(Settings!$B$4+Settings!$B$5)*3,"A",IF($Y1390&lt;=(Settings!$B$4+Settings!$B$5+Settings!$B$6)*3,"F","")))</f>
        <v/>
      </c>
      <c r="AA1390" s="20">
        <f>IF($Z1390="C",$Y1390,IF($Z1390="A",$Y1390-Settings!$B$4*3,IF($Z1390="F",$Y1390-(Settings!$B$4+Settings!$B$5)*3,"")))</f>
        <v/>
      </c>
      <c r="AB1390" s="20">
        <f>IF($Z1390="","",INT(($AA1390-1)/3)+1)</f>
        <v/>
      </c>
      <c r="AC1390" s="20">
        <f>IF($Z1390="","",MOD($AA1390-1,3)+1)</f>
        <v/>
      </c>
      <c r="AD1390" s="20">
        <f>IF($Z1390="","",Settings!$B$2+$AC1390-1)</f>
        <v/>
      </c>
      <c r="AE1390" s="21">
        <f>IF($Z1390="C",DATE(YEAR(INDEX(Contracts!$J$2:$J$151,$AB1390)),MONTH(INDEX(Contracts!$J$2:$J$151,$AB1390)),1),IF($Z1390="A",DATE(YEAR(INDEX(Fixed_Assets!$G$2:$G$201,$AB1390)),MONTH(INDEX(Fixed_Assets!$G$2:$G$201,$AB1390)),1),IF($Z1390="F",DATE(YEAR(MAX(N(INDEX(Workforce!$I$2:$I$151,MATCH(INDEX(FTE_Allocation!$A$2:$A$201,$AB1390),Workforce!$A$2:$A$151,0))),N(INDEX(FTE_Allocation!$I$2:$I$201,$AB1390)))),MONTH(MAX(N(INDEX(Workforce!$I$2:$I$151,MATCH(INDEX(FTE_Allocation!$A$2:$A$201,$AB1390),Workforce!$A$2:$A$151,0))),N(INDEX(FTE_Allocation!$I$2:$I$201,$AB1390)))),1),"")))</f>
        <v/>
      </c>
      <c r="AF1390" s="21">
        <f>IF($Z1390="C",IF(INDEX(Contracts!$I$2:$I$151,$AB1390)="PREPAID",EDATE(DATE(YEAR(INDEX(Contracts!$J$2:$J$151,$AB1390)),MONTH(INDEX(Contracts!$J$2:$J$151,$AB1390)),1),IF(INDEX(Contracts!$N$2:$N$151,$AB1390)="",12,INDEX(Contracts!$N$2:$N$151,$AB1390))-1),IF(INDEX(Contracts!$I$2:$I$151,$AB1390)="MONTHLY",IF(INDEX(Contracts!$K$2:$K$151,$AB1390)="",2958101,INDEX(Contracts!$K$2:$K$151,$AB1390)),0)),IF($Z1390="A",EDATE(DATE(YEAR(INDEX(Fixed_Assets!$G$2:$G$201,$AB1390)),MONTH(INDEX(Fixed_Assets!$G$2:$G$201,$AB1390)),1),INDEX(Fixed_Assets!$J$2:$J$201,$AB1390)-1),IF($Z1390="F",MIN(IF(INDEX(Workforce!$J$2:$J$151,MATCH(INDEX(FTE_Allocation!$A$2:$A$201,$AB1390),Workforce!$A$2:$A$151,0))="",2958101,INDEX(Workforce!$J$2:$J$151,MATCH(INDEX(FTE_Allocation!$A$2:$A$201,$AB1390),Workforce!$A$2:$A$151,0))),IF(INDEX(FTE_Allocation!$J$2:$J$201,$AB1390)="",2958101,INDEX(FTE_Allocation!$J$2:$J$201,$AB1390))),"")))</f>
        <v/>
      </c>
      <c r="AG1390" s="19">
        <f>IF($Z1390="C",IF(INDEX(Contracts!$I$2:$I$151,$AB1390)="PREPAID",INDEX(Contracts!$M$2:$M$151,$AB1390)/IF(INDEX(Contracts!$N$2:$N$151,$AB1390)="",12,INDEX(Contracts!$N$2:$N$151,$AB1390)),IF(INDEX(Contracts!$I$2:$I$151,$AB1390)="MONTHLY",INDEX(Contracts!$M$2:$M$151,$AB1390),0))*(1-N(INDEX(Contracts!$O$2:$O$151,$AB1390))),IF($Z1390="A",INDEX(Fixed_Assets!$H$2:$H$201,$AB1390)/INDEX(Fixed_Assets!$J$2:$J$201,$AB1390),IF($Z1390="F",INDEX(Workforce!$F$2:$F$151,MATCH(INDEX(FTE_Allocation!$A$2:$A$201,$AB1390),Workforce!$A$2:$A$151,0))*N(INDEX(FTE_Allocation!$F$2:$H$201,$AB1390,$AC1390)),"")))</f>
        <v/>
      </c>
    </row>
    <row r="1391">
      <c r="A1391" s="7">
        <f>IF($Z1391="","",$AD1391)</f>
        <v/>
      </c>
      <c r="B1391" s="7">
        <f>IF($Z1391="C",INDEX(Contracts!$D$2:$D$151,$AB1391)&amp;"",IF($Z1391="A",INDEX(Fixed_Assets!$C$2:$C$201,$AB1391)&amp;"",IF($Z1391="F",INDEX(Workforce!$B$2:$B$151,MATCH(INDEX(FTE_Allocation!$A$2:$A$201,$AB1391),Workforce!$A$2:$A$151,0))&amp;"","")))</f>
        <v/>
      </c>
      <c r="C1391" s="7">
        <f>IF($Z1391="C",INDEX(Contracts!$E$2:$E$151,$AB1391)&amp;"",IF($Z1391="A",INDEX(Fixed_Assets!$D$2:$D$201,$AB1391)&amp;"",IF($Z1391="F",INDEX(FTE_Allocation!$C$2:$C$201,$AB1391)&amp;"","")))</f>
        <v/>
      </c>
      <c r="D1391" s="7">
        <f>IF($Z1391="C",INDEX(Contracts!$B$2:$B$151,$AB1391)&amp;"",IF($Z1391="A",INDEX(Fixed_Assets!$B$2:$B$201,$AB1391)&amp;"",IF($Z1391="F",INDEX(FTE_Allocation!$B$2:$B$201,$AB1391)&amp;"","")))</f>
        <v/>
      </c>
      <c r="E1391" s="7">
        <f>IF($Z1391="C",INDEX(Contracts!$P$2:$P$151,$AB1391)&amp;"",IF($Z1391="A",INDEX(Fixed_Assets!$K$2:$K$201,$AB1391)&amp;"",IF($Z1391="F",IF(INDEX(FTE_Allocation!$D$2:$D$201,$AB1391)="PROJECT",IFERROR(INDEX(Projects!$D:$D,MATCH(INDEX(FTE_Allocation!$E$2:$E$201,$AB1391),Projects!$A:$A,0))&amp;"","#PROJECT?"),INDEX(FTE_Allocation!$E$2:$E$201,$AB1391)&amp;""),"")))</f>
        <v/>
      </c>
      <c r="F1391" s="7">
        <f>IF($Z1391="C",INDEX(Contracts!$Q$2:$Q$151,$AB1391)&amp;"",IF($Z1391="A",INDEX(Fixed_Assets!$L$2:$L$201,$AB1391)&amp;"",IF($Z1391="F",INDEX(Workforce!$K$2:$K$151,MATCH(INDEX(FTE_Allocation!$A$2:$A$201,$AB1391),Workforce!$A$2:$A$151,0))&amp;"","")))</f>
        <v/>
      </c>
      <c r="G1391" s="7">
        <f>IF($Z1391="C",INDEX(Contracts!$F$2:$F$151,$AB1391)&amp;" / "&amp;INDEX(Contracts!$G$2:$G$151,$AB1391),IF($Z1391="A",INDEX(Fixed_Assets!$E$2:$E$201,$AB1391)&amp;"",IF($Z1391="F","Personnel "&amp;INDEX(FTE_Allocation!$A$2:$A$201,$AB1391)&amp;IF(INDEX(FTE_Allocation!$D$2:$D$201,$AB1391)="PROJECT"," ("&amp;INDEX(FTE_Allocation!$E$2:$E$201,$AB1391)&amp;")",""),"")))</f>
        <v/>
      </c>
      <c r="H1391" s="7">
        <f>IF($Z1391="C","CONTRACT",IF($Z1391="A","ASSET",IF($Z1391="F","WORKFORCE","")))</f>
        <v/>
      </c>
      <c r="I1391" s="7">
        <f>IF($Z1391="C",INDEX(Contracts!$L$2:$L$151,$AB1391)&amp;"",IF($Z1391="A",INDEX(Fixed_Assets!$I$2:$I$201,$AB1391)&amp;"",IF($Z1391="F",INDEX(Workforce!$G$2:$G$151,MATCH(INDEX(FTE_Allocation!$A$2:$A$201,$AB1391),Workforce!$A$2:$A$151,0))&amp;"","")))</f>
        <v/>
      </c>
      <c r="J1391" s="18">
        <f>IF($Z1391="","",IF(AND(DATE($AD1391,1,1)&gt;=$AE1391,DATE($AD1391,1,1)&lt;=$AF1391),ROUND($AG1391,2),0))</f>
        <v/>
      </c>
      <c r="K1391" s="18">
        <f>IF($Z1391="","",IF(AND(DATE($AD1391,2,1)&gt;=$AE1391,DATE($AD1391,2,1)&lt;=$AF1391),ROUND($AG1391,2),0))</f>
        <v/>
      </c>
      <c r="L1391" s="18">
        <f>IF($Z1391="","",IF(AND(DATE($AD1391,3,1)&gt;=$AE1391,DATE($AD1391,3,1)&lt;=$AF1391),ROUND($AG1391,2),0))</f>
        <v/>
      </c>
      <c r="M1391" s="18">
        <f>IF($Z1391="","",IF(AND(DATE($AD1391,4,1)&gt;=$AE1391,DATE($AD1391,4,1)&lt;=$AF1391),ROUND($AG1391,2),0))</f>
        <v/>
      </c>
      <c r="N1391" s="18">
        <f>IF($Z1391="","",IF(AND(DATE($AD1391,5,1)&gt;=$AE1391,DATE($AD1391,5,1)&lt;=$AF1391),ROUND($AG1391,2),0))</f>
        <v/>
      </c>
      <c r="O1391" s="18">
        <f>IF($Z1391="","",IF(AND(DATE($AD1391,6,1)&gt;=$AE1391,DATE($AD1391,6,1)&lt;=$AF1391),ROUND($AG1391,2),0))</f>
        <v/>
      </c>
      <c r="P1391" s="18">
        <f>IF($Z1391="","",IF(AND(DATE($AD1391,7,1)&gt;=$AE1391,DATE($AD1391,7,1)&lt;=$AF1391),ROUND($AG1391,2),0))</f>
        <v/>
      </c>
      <c r="Q1391" s="18">
        <f>IF($Z1391="","",IF(AND(DATE($AD1391,8,1)&gt;=$AE1391,DATE($AD1391,8,1)&lt;=$AF1391),ROUND($AG1391,2),0))</f>
        <v/>
      </c>
      <c r="R1391" s="18">
        <f>IF($Z1391="","",IF(AND(DATE($AD1391,9,1)&gt;=$AE1391,DATE($AD1391,9,1)&lt;=$AF1391),ROUND($AG1391,2),0))</f>
        <v/>
      </c>
      <c r="S1391" s="18">
        <f>IF($Z1391="","",IF(AND(DATE($AD1391,10,1)&gt;=$AE1391,DATE($AD1391,10,1)&lt;=$AF1391),ROUND($AG1391,2),0))</f>
        <v/>
      </c>
      <c r="T1391" s="18">
        <f>IF($Z1391="","",IF(AND(DATE($AD1391,11,1)&gt;=$AE1391,DATE($AD1391,11,1)&lt;=$AF1391),ROUND($AG1391,2),0))</f>
        <v/>
      </c>
      <c r="U1391" s="18">
        <f>IF($Z1391="","",IF(AND(DATE($AD1391,12,1)&gt;=$AE1391,DATE($AD1391,12,1)&lt;=$AF1391),ROUND($AG1391,2),0))</f>
        <v/>
      </c>
      <c r="V1391" s="7">
        <f>IF($Z1391="C","Generated from "&amp;INDEX(Contracts!$A$2:$A$151,$AB1391),IF($Z1391="A","Generated from "&amp;INDEX(Fixed_Assets!$A$2:$A$201,$AB1391),IF($Z1391="F","Generated from "&amp;INDEX(FTE_Allocation!$A$2:$A$201,$AB1391),"")))</f>
        <v/>
      </c>
      <c r="X1391" s="19">
        <f>IF($Z1391="","",SUM(J1391:U1391))</f>
        <v/>
      </c>
      <c r="Y1391" s="20">
        <f>ROW()-1</f>
        <v/>
      </c>
      <c r="Z1391" s="20">
        <f>IF($Y1391&lt;=Settings!$B$4*3,"C",IF($Y1391&lt;=(Settings!$B$4+Settings!$B$5)*3,"A",IF($Y1391&lt;=(Settings!$B$4+Settings!$B$5+Settings!$B$6)*3,"F","")))</f>
        <v/>
      </c>
      <c r="AA1391" s="20">
        <f>IF($Z1391="C",$Y1391,IF($Z1391="A",$Y1391-Settings!$B$4*3,IF($Z1391="F",$Y1391-(Settings!$B$4+Settings!$B$5)*3,"")))</f>
        <v/>
      </c>
      <c r="AB1391" s="20">
        <f>IF($Z1391="","",INT(($AA1391-1)/3)+1)</f>
        <v/>
      </c>
      <c r="AC1391" s="20">
        <f>IF($Z1391="","",MOD($AA1391-1,3)+1)</f>
        <v/>
      </c>
      <c r="AD1391" s="20">
        <f>IF($Z1391="","",Settings!$B$2+$AC1391-1)</f>
        <v/>
      </c>
      <c r="AE1391" s="21">
        <f>IF($Z1391="C",DATE(YEAR(INDEX(Contracts!$J$2:$J$151,$AB1391)),MONTH(INDEX(Contracts!$J$2:$J$151,$AB1391)),1),IF($Z1391="A",DATE(YEAR(INDEX(Fixed_Assets!$G$2:$G$201,$AB1391)),MONTH(INDEX(Fixed_Assets!$G$2:$G$201,$AB1391)),1),IF($Z1391="F",DATE(YEAR(MAX(N(INDEX(Workforce!$I$2:$I$151,MATCH(INDEX(FTE_Allocation!$A$2:$A$201,$AB1391),Workforce!$A$2:$A$151,0))),N(INDEX(FTE_Allocation!$I$2:$I$201,$AB1391)))),MONTH(MAX(N(INDEX(Workforce!$I$2:$I$151,MATCH(INDEX(FTE_Allocation!$A$2:$A$201,$AB1391),Workforce!$A$2:$A$151,0))),N(INDEX(FTE_Allocation!$I$2:$I$201,$AB1391)))),1),"")))</f>
        <v/>
      </c>
      <c r="AF1391" s="21">
        <f>IF($Z1391="C",IF(INDEX(Contracts!$I$2:$I$151,$AB1391)="PREPAID",EDATE(DATE(YEAR(INDEX(Contracts!$J$2:$J$151,$AB1391)),MONTH(INDEX(Contracts!$J$2:$J$151,$AB1391)),1),IF(INDEX(Contracts!$N$2:$N$151,$AB1391)="",12,INDEX(Contracts!$N$2:$N$151,$AB1391))-1),IF(INDEX(Contracts!$I$2:$I$151,$AB1391)="MONTHLY",IF(INDEX(Contracts!$K$2:$K$151,$AB1391)="",2958101,INDEX(Contracts!$K$2:$K$151,$AB1391)),0)),IF($Z1391="A",EDATE(DATE(YEAR(INDEX(Fixed_Assets!$G$2:$G$201,$AB1391)),MONTH(INDEX(Fixed_Assets!$G$2:$G$201,$AB1391)),1),INDEX(Fixed_Assets!$J$2:$J$201,$AB1391)-1),IF($Z1391="F",MIN(IF(INDEX(Workforce!$J$2:$J$151,MATCH(INDEX(FTE_Allocation!$A$2:$A$201,$AB1391),Workforce!$A$2:$A$151,0))="",2958101,INDEX(Workforce!$J$2:$J$151,MATCH(INDEX(FTE_Allocation!$A$2:$A$201,$AB1391),Workforce!$A$2:$A$151,0))),IF(INDEX(FTE_Allocation!$J$2:$J$201,$AB1391)="",2958101,INDEX(FTE_Allocation!$J$2:$J$201,$AB1391))),"")))</f>
        <v/>
      </c>
      <c r="AG1391" s="19">
        <f>IF($Z1391="C",IF(INDEX(Contracts!$I$2:$I$151,$AB1391)="PREPAID",INDEX(Contracts!$M$2:$M$151,$AB1391)/IF(INDEX(Contracts!$N$2:$N$151,$AB1391)="",12,INDEX(Contracts!$N$2:$N$151,$AB1391)),IF(INDEX(Contracts!$I$2:$I$151,$AB1391)="MONTHLY",INDEX(Contracts!$M$2:$M$151,$AB1391),0))*(1-N(INDEX(Contracts!$O$2:$O$151,$AB1391))),IF($Z1391="A",INDEX(Fixed_Assets!$H$2:$H$201,$AB1391)/INDEX(Fixed_Assets!$J$2:$J$201,$AB1391),IF($Z1391="F",INDEX(Workforce!$F$2:$F$151,MATCH(INDEX(FTE_Allocation!$A$2:$A$201,$AB1391),Workforce!$A$2:$A$151,0))*N(INDEX(FTE_Allocation!$F$2:$H$201,$AB1391,$AC1391)),"")))</f>
        <v/>
      </c>
    </row>
    <row r="1392">
      <c r="A1392" s="7">
        <f>IF($Z1392="","",$AD1392)</f>
        <v/>
      </c>
      <c r="B1392" s="7">
        <f>IF($Z1392="C",INDEX(Contracts!$D$2:$D$151,$AB1392)&amp;"",IF($Z1392="A",INDEX(Fixed_Assets!$C$2:$C$201,$AB1392)&amp;"",IF($Z1392="F",INDEX(Workforce!$B$2:$B$151,MATCH(INDEX(FTE_Allocation!$A$2:$A$201,$AB1392),Workforce!$A$2:$A$151,0))&amp;"","")))</f>
        <v/>
      </c>
      <c r="C1392" s="7">
        <f>IF($Z1392="C",INDEX(Contracts!$E$2:$E$151,$AB1392)&amp;"",IF($Z1392="A",INDEX(Fixed_Assets!$D$2:$D$201,$AB1392)&amp;"",IF($Z1392="F",INDEX(FTE_Allocation!$C$2:$C$201,$AB1392)&amp;"","")))</f>
        <v/>
      </c>
      <c r="D1392" s="7">
        <f>IF($Z1392="C",INDEX(Contracts!$B$2:$B$151,$AB1392)&amp;"",IF($Z1392="A",INDEX(Fixed_Assets!$B$2:$B$201,$AB1392)&amp;"",IF($Z1392="F",INDEX(FTE_Allocation!$B$2:$B$201,$AB1392)&amp;"","")))</f>
        <v/>
      </c>
      <c r="E1392" s="7">
        <f>IF($Z1392="C",INDEX(Contracts!$P$2:$P$151,$AB1392)&amp;"",IF($Z1392="A",INDEX(Fixed_Assets!$K$2:$K$201,$AB1392)&amp;"",IF($Z1392="F",IF(INDEX(FTE_Allocation!$D$2:$D$201,$AB1392)="PROJECT",IFERROR(INDEX(Projects!$D:$D,MATCH(INDEX(FTE_Allocation!$E$2:$E$201,$AB1392),Projects!$A:$A,0))&amp;"","#PROJECT?"),INDEX(FTE_Allocation!$E$2:$E$201,$AB1392)&amp;""),"")))</f>
        <v/>
      </c>
      <c r="F1392" s="7">
        <f>IF($Z1392="C",INDEX(Contracts!$Q$2:$Q$151,$AB1392)&amp;"",IF($Z1392="A",INDEX(Fixed_Assets!$L$2:$L$201,$AB1392)&amp;"",IF($Z1392="F",INDEX(Workforce!$K$2:$K$151,MATCH(INDEX(FTE_Allocation!$A$2:$A$201,$AB1392),Workforce!$A$2:$A$151,0))&amp;"","")))</f>
        <v/>
      </c>
      <c r="G1392" s="7">
        <f>IF($Z1392="C",INDEX(Contracts!$F$2:$F$151,$AB1392)&amp;" / "&amp;INDEX(Contracts!$G$2:$G$151,$AB1392),IF($Z1392="A",INDEX(Fixed_Assets!$E$2:$E$201,$AB1392)&amp;"",IF($Z1392="F","Personnel "&amp;INDEX(FTE_Allocation!$A$2:$A$201,$AB1392)&amp;IF(INDEX(FTE_Allocation!$D$2:$D$201,$AB1392)="PROJECT"," ("&amp;INDEX(FTE_Allocation!$E$2:$E$201,$AB1392)&amp;")",""),"")))</f>
        <v/>
      </c>
      <c r="H1392" s="7">
        <f>IF($Z1392="C","CONTRACT",IF($Z1392="A","ASSET",IF($Z1392="F","WORKFORCE","")))</f>
        <v/>
      </c>
      <c r="I1392" s="7">
        <f>IF($Z1392="C",INDEX(Contracts!$L$2:$L$151,$AB1392)&amp;"",IF($Z1392="A",INDEX(Fixed_Assets!$I$2:$I$201,$AB1392)&amp;"",IF($Z1392="F",INDEX(Workforce!$G$2:$G$151,MATCH(INDEX(FTE_Allocation!$A$2:$A$201,$AB1392),Workforce!$A$2:$A$151,0))&amp;"","")))</f>
        <v/>
      </c>
      <c r="J1392" s="18">
        <f>IF($Z1392="","",IF(AND(DATE($AD1392,1,1)&gt;=$AE1392,DATE($AD1392,1,1)&lt;=$AF1392),ROUND($AG1392,2),0))</f>
        <v/>
      </c>
      <c r="K1392" s="18">
        <f>IF($Z1392="","",IF(AND(DATE($AD1392,2,1)&gt;=$AE1392,DATE($AD1392,2,1)&lt;=$AF1392),ROUND($AG1392,2),0))</f>
        <v/>
      </c>
      <c r="L1392" s="18">
        <f>IF($Z1392="","",IF(AND(DATE($AD1392,3,1)&gt;=$AE1392,DATE($AD1392,3,1)&lt;=$AF1392),ROUND($AG1392,2),0))</f>
        <v/>
      </c>
      <c r="M1392" s="18">
        <f>IF($Z1392="","",IF(AND(DATE($AD1392,4,1)&gt;=$AE1392,DATE($AD1392,4,1)&lt;=$AF1392),ROUND($AG1392,2),0))</f>
        <v/>
      </c>
      <c r="N1392" s="18">
        <f>IF($Z1392="","",IF(AND(DATE($AD1392,5,1)&gt;=$AE1392,DATE($AD1392,5,1)&lt;=$AF1392),ROUND($AG1392,2),0))</f>
        <v/>
      </c>
      <c r="O1392" s="18">
        <f>IF($Z1392="","",IF(AND(DATE($AD1392,6,1)&gt;=$AE1392,DATE($AD1392,6,1)&lt;=$AF1392),ROUND($AG1392,2),0))</f>
        <v/>
      </c>
      <c r="P1392" s="18">
        <f>IF($Z1392="","",IF(AND(DATE($AD1392,7,1)&gt;=$AE1392,DATE($AD1392,7,1)&lt;=$AF1392),ROUND($AG1392,2),0))</f>
        <v/>
      </c>
      <c r="Q1392" s="18">
        <f>IF($Z1392="","",IF(AND(DATE($AD1392,8,1)&gt;=$AE1392,DATE($AD1392,8,1)&lt;=$AF1392),ROUND($AG1392,2),0))</f>
        <v/>
      </c>
      <c r="R1392" s="18">
        <f>IF($Z1392="","",IF(AND(DATE($AD1392,9,1)&gt;=$AE1392,DATE($AD1392,9,1)&lt;=$AF1392),ROUND($AG1392,2),0))</f>
        <v/>
      </c>
      <c r="S1392" s="18">
        <f>IF($Z1392="","",IF(AND(DATE($AD1392,10,1)&gt;=$AE1392,DATE($AD1392,10,1)&lt;=$AF1392),ROUND($AG1392,2),0))</f>
        <v/>
      </c>
      <c r="T1392" s="18">
        <f>IF($Z1392="","",IF(AND(DATE($AD1392,11,1)&gt;=$AE1392,DATE($AD1392,11,1)&lt;=$AF1392),ROUND($AG1392,2),0))</f>
        <v/>
      </c>
      <c r="U1392" s="18">
        <f>IF($Z1392="","",IF(AND(DATE($AD1392,12,1)&gt;=$AE1392,DATE($AD1392,12,1)&lt;=$AF1392),ROUND($AG1392,2),0))</f>
        <v/>
      </c>
      <c r="V1392" s="7">
        <f>IF($Z1392="C","Generated from "&amp;INDEX(Contracts!$A$2:$A$151,$AB1392),IF($Z1392="A","Generated from "&amp;INDEX(Fixed_Assets!$A$2:$A$201,$AB1392),IF($Z1392="F","Generated from "&amp;INDEX(FTE_Allocation!$A$2:$A$201,$AB1392),"")))</f>
        <v/>
      </c>
      <c r="X1392" s="19">
        <f>IF($Z1392="","",SUM(J1392:U1392))</f>
        <v/>
      </c>
      <c r="Y1392" s="20">
        <f>ROW()-1</f>
        <v/>
      </c>
      <c r="Z1392" s="20">
        <f>IF($Y1392&lt;=Settings!$B$4*3,"C",IF($Y1392&lt;=(Settings!$B$4+Settings!$B$5)*3,"A",IF($Y1392&lt;=(Settings!$B$4+Settings!$B$5+Settings!$B$6)*3,"F","")))</f>
        <v/>
      </c>
      <c r="AA1392" s="20">
        <f>IF($Z1392="C",$Y1392,IF($Z1392="A",$Y1392-Settings!$B$4*3,IF($Z1392="F",$Y1392-(Settings!$B$4+Settings!$B$5)*3,"")))</f>
        <v/>
      </c>
      <c r="AB1392" s="20">
        <f>IF($Z1392="","",INT(($AA1392-1)/3)+1)</f>
        <v/>
      </c>
      <c r="AC1392" s="20">
        <f>IF($Z1392="","",MOD($AA1392-1,3)+1)</f>
        <v/>
      </c>
      <c r="AD1392" s="20">
        <f>IF($Z1392="","",Settings!$B$2+$AC1392-1)</f>
        <v/>
      </c>
      <c r="AE1392" s="21">
        <f>IF($Z1392="C",DATE(YEAR(INDEX(Contracts!$J$2:$J$151,$AB1392)),MONTH(INDEX(Contracts!$J$2:$J$151,$AB1392)),1),IF($Z1392="A",DATE(YEAR(INDEX(Fixed_Assets!$G$2:$G$201,$AB1392)),MONTH(INDEX(Fixed_Assets!$G$2:$G$201,$AB1392)),1),IF($Z1392="F",DATE(YEAR(MAX(N(INDEX(Workforce!$I$2:$I$151,MATCH(INDEX(FTE_Allocation!$A$2:$A$201,$AB1392),Workforce!$A$2:$A$151,0))),N(INDEX(FTE_Allocation!$I$2:$I$201,$AB1392)))),MONTH(MAX(N(INDEX(Workforce!$I$2:$I$151,MATCH(INDEX(FTE_Allocation!$A$2:$A$201,$AB1392),Workforce!$A$2:$A$151,0))),N(INDEX(FTE_Allocation!$I$2:$I$201,$AB1392)))),1),"")))</f>
        <v/>
      </c>
      <c r="AF1392" s="21">
        <f>IF($Z1392="C",IF(INDEX(Contracts!$I$2:$I$151,$AB1392)="PREPAID",EDATE(DATE(YEAR(INDEX(Contracts!$J$2:$J$151,$AB1392)),MONTH(INDEX(Contracts!$J$2:$J$151,$AB1392)),1),IF(INDEX(Contracts!$N$2:$N$151,$AB1392)="",12,INDEX(Contracts!$N$2:$N$151,$AB1392))-1),IF(INDEX(Contracts!$I$2:$I$151,$AB1392)="MONTHLY",IF(INDEX(Contracts!$K$2:$K$151,$AB1392)="",2958101,INDEX(Contracts!$K$2:$K$151,$AB1392)),0)),IF($Z1392="A",EDATE(DATE(YEAR(INDEX(Fixed_Assets!$G$2:$G$201,$AB1392)),MONTH(INDEX(Fixed_Assets!$G$2:$G$201,$AB1392)),1),INDEX(Fixed_Assets!$J$2:$J$201,$AB1392)-1),IF($Z1392="F",MIN(IF(INDEX(Workforce!$J$2:$J$151,MATCH(INDEX(FTE_Allocation!$A$2:$A$201,$AB1392),Workforce!$A$2:$A$151,0))="",2958101,INDEX(Workforce!$J$2:$J$151,MATCH(INDEX(FTE_Allocation!$A$2:$A$201,$AB1392),Workforce!$A$2:$A$151,0))),IF(INDEX(FTE_Allocation!$J$2:$J$201,$AB1392)="",2958101,INDEX(FTE_Allocation!$J$2:$J$201,$AB1392))),"")))</f>
        <v/>
      </c>
      <c r="AG1392" s="19">
        <f>IF($Z1392="C",IF(INDEX(Contracts!$I$2:$I$151,$AB1392)="PREPAID",INDEX(Contracts!$M$2:$M$151,$AB1392)/IF(INDEX(Contracts!$N$2:$N$151,$AB1392)="",12,INDEX(Contracts!$N$2:$N$151,$AB1392)),IF(INDEX(Contracts!$I$2:$I$151,$AB1392)="MONTHLY",INDEX(Contracts!$M$2:$M$151,$AB1392),0))*(1-N(INDEX(Contracts!$O$2:$O$151,$AB1392))),IF($Z1392="A",INDEX(Fixed_Assets!$H$2:$H$201,$AB1392)/INDEX(Fixed_Assets!$J$2:$J$201,$AB1392),IF($Z1392="F",INDEX(Workforce!$F$2:$F$151,MATCH(INDEX(FTE_Allocation!$A$2:$A$201,$AB1392),Workforce!$A$2:$A$151,0))*N(INDEX(FTE_Allocation!$F$2:$H$201,$AB1392,$AC1392)),"")))</f>
        <v/>
      </c>
    </row>
    <row r="1393">
      <c r="A1393" s="7">
        <f>IF($Z1393="","",$AD1393)</f>
        <v/>
      </c>
      <c r="B1393" s="7">
        <f>IF($Z1393="C",INDEX(Contracts!$D$2:$D$151,$AB1393)&amp;"",IF($Z1393="A",INDEX(Fixed_Assets!$C$2:$C$201,$AB1393)&amp;"",IF($Z1393="F",INDEX(Workforce!$B$2:$B$151,MATCH(INDEX(FTE_Allocation!$A$2:$A$201,$AB1393),Workforce!$A$2:$A$151,0))&amp;"","")))</f>
        <v/>
      </c>
      <c r="C1393" s="7">
        <f>IF($Z1393="C",INDEX(Contracts!$E$2:$E$151,$AB1393)&amp;"",IF($Z1393="A",INDEX(Fixed_Assets!$D$2:$D$201,$AB1393)&amp;"",IF($Z1393="F",INDEX(FTE_Allocation!$C$2:$C$201,$AB1393)&amp;"","")))</f>
        <v/>
      </c>
      <c r="D1393" s="7">
        <f>IF($Z1393="C",INDEX(Contracts!$B$2:$B$151,$AB1393)&amp;"",IF($Z1393="A",INDEX(Fixed_Assets!$B$2:$B$201,$AB1393)&amp;"",IF($Z1393="F",INDEX(FTE_Allocation!$B$2:$B$201,$AB1393)&amp;"","")))</f>
        <v/>
      </c>
      <c r="E1393" s="7">
        <f>IF($Z1393="C",INDEX(Contracts!$P$2:$P$151,$AB1393)&amp;"",IF($Z1393="A",INDEX(Fixed_Assets!$K$2:$K$201,$AB1393)&amp;"",IF($Z1393="F",IF(INDEX(FTE_Allocation!$D$2:$D$201,$AB1393)="PROJECT",IFERROR(INDEX(Projects!$D:$D,MATCH(INDEX(FTE_Allocation!$E$2:$E$201,$AB1393),Projects!$A:$A,0))&amp;"","#PROJECT?"),INDEX(FTE_Allocation!$E$2:$E$201,$AB1393)&amp;""),"")))</f>
        <v/>
      </c>
      <c r="F1393" s="7">
        <f>IF($Z1393="C",INDEX(Contracts!$Q$2:$Q$151,$AB1393)&amp;"",IF($Z1393="A",INDEX(Fixed_Assets!$L$2:$L$201,$AB1393)&amp;"",IF($Z1393="F",INDEX(Workforce!$K$2:$K$151,MATCH(INDEX(FTE_Allocation!$A$2:$A$201,$AB1393),Workforce!$A$2:$A$151,0))&amp;"","")))</f>
        <v/>
      </c>
      <c r="G1393" s="7">
        <f>IF($Z1393="C",INDEX(Contracts!$F$2:$F$151,$AB1393)&amp;" / "&amp;INDEX(Contracts!$G$2:$G$151,$AB1393),IF($Z1393="A",INDEX(Fixed_Assets!$E$2:$E$201,$AB1393)&amp;"",IF($Z1393="F","Personnel "&amp;INDEX(FTE_Allocation!$A$2:$A$201,$AB1393)&amp;IF(INDEX(FTE_Allocation!$D$2:$D$201,$AB1393)="PROJECT"," ("&amp;INDEX(FTE_Allocation!$E$2:$E$201,$AB1393)&amp;")",""),"")))</f>
        <v/>
      </c>
      <c r="H1393" s="7">
        <f>IF($Z1393="C","CONTRACT",IF($Z1393="A","ASSET",IF($Z1393="F","WORKFORCE","")))</f>
        <v/>
      </c>
      <c r="I1393" s="7">
        <f>IF($Z1393="C",INDEX(Contracts!$L$2:$L$151,$AB1393)&amp;"",IF($Z1393="A",INDEX(Fixed_Assets!$I$2:$I$201,$AB1393)&amp;"",IF($Z1393="F",INDEX(Workforce!$G$2:$G$151,MATCH(INDEX(FTE_Allocation!$A$2:$A$201,$AB1393),Workforce!$A$2:$A$151,0))&amp;"","")))</f>
        <v/>
      </c>
      <c r="J1393" s="18">
        <f>IF($Z1393="","",IF(AND(DATE($AD1393,1,1)&gt;=$AE1393,DATE($AD1393,1,1)&lt;=$AF1393),ROUND($AG1393,2),0))</f>
        <v/>
      </c>
      <c r="K1393" s="18">
        <f>IF($Z1393="","",IF(AND(DATE($AD1393,2,1)&gt;=$AE1393,DATE($AD1393,2,1)&lt;=$AF1393),ROUND($AG1393,2),0))</f>
        <v/>
      </c>
      <c r="L1393" s="18">
        <f>IF($Z1393="","",IF(AND(DATE($AD1393,3,1)&gt;=$AE1393,DATE($AD1393,3,1)&lt;=$AF1393),ROUND($AG1393,2),0))</f>
        <v/>
      </c>
      <c r="M1393" s="18">
        <f>IF($Z1393="","",IF(AND(DATE($AD1393,4,1)&gt;=$AE1393,DATE($AD1393,4,1)&lt;=$AF1393),ROUND($AG1393,2),0))</f>
        <v/>
      </c>
      <c r="N1393" s="18">
        <f>IF($Z1393="","",IF(AND(DATE($AD1393,5,1)&gt;=$AE1393,DATE($AD1393,5,1)&lt;=$AF1393),ROUND($AG1393,2),0))</f>
        <v/>
      </c>
      <c r="O1393" s="18">
        <f>IF($Z1393="","",IF(AND(DATE($AD1393,6,1)&gt;=$AE1393,DATE($AD1393,6,1)&lt;=$AF1393),ROUND($AG1393,2),0))</f>
        <v/>
      </c>
      <c r="P1393" s="18">
        <f>IF($Z1393="","",IF(AND(DATE($AD1393,7,1)&gt;=$AE1393,DATE($AD1393,7,1)&lt;=$AF1393),ROUND($AG1393,2),0))</f>
        <v/>
      </c>
      <c r="Q1393" s="18">
        <f>IF($Z1393="","",IF(AND(DATE($AD1393,8,1)&gt;=$AE1393,DATE($AD1393,8,1)&lt;=$AF1393),ROUND($AG1393,2),0))</f>
        <v/>
      </c>
      <c r="R1393" s="18">
        <f>IF($Z1393="","",IF(AND(DATE($AD1393,9,1)&gt;=$AE1393,DATE($AD1393,9,1)&lt;=$AF1393),ROUND($AG1393,2),0))</f>
        <v/>
      </c>
      <c r="S1393" s="18">
        <f>IF($Z1393="","",IF(AND(DATE($AD1393,10,1)&gt;=$AE1393,DATE($AD1393,10,1)&lt;=$AF1393),ROUND($AG1393,2),0))</f>
        <v/>
      </c>
      <c r="T1393" s="18">
        <f>IF($Z1393="","",IF(AND(DATE($AD1393,11,1)&gt;=$AE1393,DATE($AD1393,11,1)&lt;=$AF1393),ROUND($AG1393,2),0))</f>
        <v/>
      </c>
      <c r="U1393" s="18">
        <f>IF($Z1393="","",IF(AND(DATE($AD1393,12,1)&gt;=$AE1393,DATE($AD1393,12,1)&lt;=$AF1393),ROUND($AG1393,2),0))</f>
        <v/>
      </c>
      <c r="V1393" s="7">
        <f>IF($Z1393="C","Generated from "&amp;INDEX(Contracts!$A$2:$A$151,$AB1393),IF($Z1393="A","Generated from "&amp;INDEX(Fixed_Assets!$A$2:$A$201,$AB1393),IF($Z1393="F","Generated from "&amp;INDEX(FTE_Allocation!$A$2:$A$201,$AB1393),"")))</f>
        <v/>
      </c>
      <c r="X1393" s="19">
        <f>IF($Z1393="","",SUM(J1393:U1393))</f>
        <v/>
      </c>
      <c r="Y1393" s="20">
        <f>ROW()-1</f>
        <v/>
      </c>
      <c r="Z1393" s="20">
        <f>IF($Y1393&lt;=Settings!$B$4*3,"C",IF($Y1393&lt;=(Settings!$B$4+Settings!$B$5)*3,"A",IF($Y1393&lt;=(Settings!$B$4+Settings!$B$5+Settings!$B$6)*3,"F","")))</f>
        <v/>
      </c>
      <c r="AA1393" s="20">
        <f>IF($Z1393="C",$Y1393,IF($Z1393="A",$Y1393-Settings!$B$4*3,IF($Z1393="F",$Y1393-(Settings!$B$4+Settings!$B$5)*3,"")))</f>
        <v/>
      </c>
      <c r="AB1393" s="20">
        <f>IF($Z1393="","",INT(($AA1393-1)/3)+1)</f>
        <v/>
      </c>
      <c r="AC1393" s="20">
        <f>IF($Z1393="","",MOD($AA1393-1,3)+1)</f>
        <v/>
      </c>
      <c r="AD1393" s="20">
        <f>IF($Z1393="","",Settings!$B$2+$AC1393-1)</f>
        <v/>
      </c>
      <c r="AE1393" s="21">
        <f>IF($Z1393="C",DATE(YEAR(INDEX(Contracts!$J$2:$J$151,$AB1393)),MONTH(INDEX(Contracts!$J$2:$J$151,$AB1393)),1),IF($Z1393="A",DATE(YEAR(INDEX(Fixed_Assets!$G$2:$G$201,$AB1393)),MONTH(INDEX(Fixed_Assets!$G$2:$G$201,$AB1393)),1),IF($Z1393="F",DATE(YEAR(MAX(N(INDEX(Workforce!$I$2:$I$151,MATCH(INDEX(FTE_Allocation!$A$2:$A$201,$AB1393),Workforce!$A$2:$A$151,0))),N(INDEX(FTE_Allocation!$I$2:$I$201,$AB1393)))),MONTH(MAX(N(INDEX(Workforce!$I$2:$I$151,MATCH(INDEX(FTE_Allocation!$A$2:$A$201,$AB1393),Workforce!$A$2:$A$151,0))),N(INDEX(FTE_Allocation!$I$2:$I$201,$AB1393)))),1),"")))</f>
        <v/>
      </c>
      <c r="AF1393" s="21">
        <f>IF($Z1393="C",IF(INDEX(Contracts!$I$2:$I$151,$AB1393)="PREPAID",EDATE(DATE(YEAR(INDEX(Contracts!$J$2:$J$151,$AB1393)),MONTH(INDEX(Contracts!$J$2:$J$151,$AB1393)),1),IF(INDEX(Contracts!$N$2:$N$151,$AB1393)="",12,INDEX(Contracts!$N$2:$N$151,$AB1393))-1),IF(INDEX(Contracts!$I$2:$I$151,$AB1393)="MONTHLY",IF(INDEX(Contracts!$K$2:$K$151,$AB1393)="",2958101,INDEX(Contracts!$K$2:$K$151,$AB1393)),0)),IF($Z1393="A",EDATE(DATE(YEAR(INDEX(Fixed_Assets!$G$2:$G$201,$AB1393)),MONTH(INDEX(Fixed_Assets!$G$2:$G$201,$AB1393)),1),INDEX(Fixed_Assets!$J$2:$J$201,$AB1393)-1),IF($Z1393="F",MIN(IF(INDEX(Workforce!$J$2:$J$151,MATCH(INDEX(FTE_Allocation!$A$2:$A$201,$AB1393),Workforce!$A$2:$A$151,0))="",2958101,INDEX(Workforce!$J$2:$J$151,MATCH(INDEX(FTE_Allocation!$A$2:$A$201,$AB1393),Workforce!$A$2:$A$151,0))),IF(INDEX(FTE_Allocation!$J$2:$J$201,$AB1393)="",2958101,INDEX(FTE_Allocation!$J$2:$J$201,$AB1393))),"")))</f>
        <v/>
      </c>
      <c r="AG1393" s="19">
        <f>IF($Z1393="C",IF(INDEX(Contracts!$I$2:$I$151,$AB1393)="PREPAID",INDEX(Contracts!$M$2:$M$151,$AB1393)/IF(INDEX(Contracts!$N$2:$N$151,$AB1393)="",12,INDEX(Contracts!$N$2:$N$151,$AB1393)),IF(INDEX(Contracts!$I$2:$I$151,$AB1393)="MONTHLY",INDEX(Contracts!$M$2:$M$151,$AB1393),0))*(1-N(INDEX(Contracts!$O$2:$O$151,$AB1393))),IF($Z1393="A",INDEX(Fixed_Assets!$H$2:$H$201,$AB1393)/INDEX(Fixed_Assets!$J$2:$J$201,$AB1393),IF($Z1393="F",INDEX(Workforce!$F$2:$F$151,MATCH(INDEX(FTE_Allocation!$A$2:$A$201,$AB1393),Workforce!$A$2:$A$151,0))*N(INDEX(FTE_Allocation!$F$2:$H$201,$AB1393,$AC1393)),"")))</f>
        <v/>
      </c>
    </row>
    <row r="1394">
      <c r="A1394" s="7">
        <f>IF($Z1394="","",$AD1394)</f>
        <v/>
      </c>
      <c r="B1394" s="7">
        <f>IF($Z1394="C",INDEX(Contracts!$D$2:$D$151,$AB1394)&amp;"",IF($Z1394="A",INDEX(Fixed_Assets!$C$2:$C$201,$AB1394)&amp;"",IF($Z1394="F",INDEX(Workforce!$B$2:$B$151,MATCH(INDEX(FTE_Allocation!$A$2:$A$201,$AB1394),Workforce!$A$2:$A$151,0))&amp;"","")))</f>
        <v/>
      </c>
      <c r="C1394" s="7">
        <f>IF($Z1394="C",INDEX(Contracts!$E$2:$E$151,$AB1394)&amp;"",IF($Z1394="A",INDEX(Fixed_Assets!$D$2:$D$201,$AB1394)&amp;"",IF($Z1394="F",INDEX(FTE_Allocation!$C$2:$C$201,$AB1394)&amp;"","")))</f>
        <v/>
      </c>
      <c r="D1394" s="7">
        <f>IF($Z1394="C",INDEX(Contracts!$B$2:$B$151,$AB1394)&amp;"",IF($Z1394="A",INDEX(Fixed_Assets!$B$2:$B$201,$AB1394)&amp;"",IF($Z1394="F",INDEX(FTE_Allocation!$B$2:$B$201,$AB1394)&amp;"","")))</f>
        <v/>
      </c>
      <c r="E1394" s="7">
        <f>IF($Z1394="C",INDEX(Contracts!$P$2:$P$151,$AB1394)&amp;"",IF($Z1394="A",INDEX(Fixed_Assets!$K$2:$K$201,$AB1394)&amp;"",IF($Z1394="F",IF(INDEX(FTE_Allocation!$D$2:$D$201,$AB1394)="PROJECT",IFERROR(INDEX(Projects!$D:$D,MATCH(INDEX(FTE_Allocation!$E$2:$E$201,$AB1394),Projects!$A:$A,0))&amp;"","#PROJECT?"),INDEX(FTE_Allocation!$E$2:$E$201,$AB1394)&amp;""),"")))</f>
        <v/>
      </c>
      <c r="F1394" s="7">
        <f>IF($Z1394="C",INDEX(Contracts!$Q$2:$Q$151,$AB1394)&amp;"",IF($Z1394="A",INDEX(Fixed_Assets!$L$2:$L$201,$AB1394)&amp;"",IF($Z1394="F",INDEX(Workforce!$K$2:$K$151,MATCH(INDEX(FTE_Allocation!$A$2:$A$201,$AB1394),Workforce!$A$2:$A$151,0))&amp;"","")))</f>
        <v/>
      </c>
      <c r="G1394" s="7">
        <f>IF($Z1394="C",INDEX(Contracts!$F$2:$F$151,$AB1394)&amp;" / "&amp;INDEX(Contracts!$G$2:$G$151,$AB1394),IF($Z1394="A",INDEX(Fixed_Assets!$E$2:$E$201,$AB1394)&amp;"",IF($Z1394="F","Personnel "&amp;INDEX(FTE_Allocation!$A$2:$A$201,$AB1394)&amp;IF(INDEX(FTE_Allocation!$D$2:$D$201,$AB1394)="PROJECT"," ("&amp;INDEX(FTE_Allocation!$E$2:$E$201,$AB1394)&amp;")",""),"")))</f>
        <v/>
      </c>
      <c r="H1394" s="7">
        <f>IF($Z1394="C","CONTRACT",IF($Z1394="A","ASSET",IF($Z1394="F","WORKFORCE","")))</f>
        <v/>
      </c>
      <c r="I1394" s="7">
        <f>IF($Z1394="C",INDEX(Contracts!$L$2:$L$151,$AB1394)&amp;"",IF($Z1394="A",INDEX(Fixed_Assets!$I$2:$I$201,$AB1394)&amp;"",IF($Z1394="F",INDEX(Workforce!$G$2:$G$151,MATCH(INDEX(FTE_Allocation!$A$2:$A$201,$AB1394),Workforce!$A$2:$A$151,0))&amp;"","")))</f>
        <v/>
      </c>
      <c r="J1394" s="18">
        <f>IF($Z1394="","",IF(AND(DATE($AD1394,1,1)&gt;=$AE1394,DATE($AD1394,1,1)&lt;=$AF1394),ROUND($AG1394,2),0))</f>
        <v/>
      </c>
      <c r="K1394" s="18">
        <f>IF($Z1394="","",IF(AND(DATE($AD1394,2,1)&gt;=$AE1394,DATE($AD1394,2,1)&lt;=$AF1394),ROUND($AG1394,2),0))</f>
        <v/>
      </c>
      <c r="L1394" s="18">
        <f>IF($Z1394="","",IF(AND(DATE($AD1394,3,1)&gt;=$AE1394,DATE($AD1394,3,1)&lt;=$AF1394),ROUND($AG1394,2),0))</f>
        <v/>
      </c>
      <c r="M1394" s="18">
        <f>IF($Z1394="","",IF(AND(DATE($AD1394,4,1)&gt;=$AE1394,DATE($AD1394,4,1)&lt;=$AF1394),ROUND($AG1394,2),0))</f>
        <v/>
      </c>
      <c r="N1394" s="18">
        <f>IF($Z1394="","",IF(AND(DATE($AD1394,5,1)&gt;=$AE1394,DATE($AD1394,5,1)&lt;=$AF1394),ROUND($AG1394,2),0))</f>
        <v/>
      </c>
      <c r="O1394" s="18">
        <f>IF($Z1394="","",IF(AND(DATE($AD1394,6,1)&gt;=$AE1394,DATE($AD1394,6,1)&lt;=$AF1394),ROUND($AG1394,2),0))</f>
        <v/>
      </c>
      <c r="P1394" s="18">
        <f>IF($Z1394="","",IF(AND(DATE($AD1394,7,1)&gt;=$AE1394,DATE($AD1394,7,1)&lt;=$AF1394),ROUND($AG1394,2),0))</f>
        <v/>
      </c>
      <c r="Q1394" s="18">
        <f>IF($Z1394="","",IF(AND(DATE($AD1394,8,1)&gt;=$AE1394,DATE($AD1394,8,1)&lt;=$AF1394),ROUND($AG1394,2),0))</f>
        <v/>
      </c>
      <c r="R1394" s="18">
        <f>IF($Z1394="","",IF(AND(DATE($AD1394,9,1)&gt;=$AE1394,DATE($AD1394,9,1)&lt;=$AF1394),ROUND($AG1394,2),0))</f>
        <v/>
      </c>
      <c r="S1394" s="18">
        <f>IF($Z1394="","",IF(AND(DATE($AD1394,10,1)&gt;=$AE1394,DATE($AD1394,10,1)&lt;=$AF1394),ROUND($AG1394,2),0))</f>
        <v/>
      </c>
      <c r="T1394" s="18">
        <f>IF($Z1394="","",IF(AND(DATE($AD1394,11,1)&gt;=$AE1394,DATE($AD1394,11,1)&lt;=$AF1394),ROUND($AG1394,2),0))</f>
        <v/>
      </c>
      <c r="U1394" s="18">
        <f>IF($Z1394="","",IF(AND(DATE($AD1394,12,1)&gt;=$AE1394,DATE($AD1394,12,1)&lt;=$AF1394),ROUND($AG1394,2),0))</f>
        <v/>
      </c>
      <c r="V1394" s="7">
        <f>IF($Z1394="C","Generated from "&amp;INDEX(Contracts!$A$2:$A$151,$AB1394),IF($Z1394="A","Generated from "&amp;INDEX(Fixed_Assets!$A$2:$A$201,$AB1394),IF($Z1394="F","Generated from "&amp;INDEX(FTE_Allocation!$A$2:$A$201,$AB1394),"")))</f>
        <v/>
      </c>
      <c r="X1394" s="19">
        <f>IF($Z1394="","",SUM(J1394:U1394))</f>
        <v/>
      </c>
      <c r="Y1394" s="20">
        <f>ROW()-1</f>
        <v/>
      </c>
      <c r="Z1394" s="20">
        <f>IF($Y1394&lt;=Settings!$B$4*3,"C",IF($Y1394&lt;=(Settings!$B$4+Settings!$B$5)*3,"A",IF($Y1394&lt;=(Settings!$B$4+Settings!$B$5+Settings!$B$6)*3,"F","")))</f>
        <v/>
      </c>
      <c r="AA1394" s="20">
        <f>IF($Z1394="C",$Y1394,IF($Z1394="A",$Y1394-Settings!$B$4*3,IF($Z1394="F",$Y1394-(Settings!$B$4+Settings!$B$5)*3,"")))</f>
        <v/>
      </c>
      <c r="AB1394" s="20">
        <f>IF($Z1394="","",INT(($AA1394-1)/3)+1)</f>
        <v/>
      </c>
      <c r="AC1394" s="20">
        <f>IF($Z1394="","",MOD($AA1394-1,3)+1)</f>
        <v/>
      </c>
      <c r="AD1394" s="20">
        <f>IF($Z1394="","",Settings!$B$2+$AC1394-1)</f>
        <v/>
      </c>
      <c r="AE1394" s="21">
        <f>IF($Z1394="C",DATE(YEAR(INDEX(Contracts!$J$2:$J$151,$AB1394)),MONTH(INDEX(Contracts!$J$2:$J$151,$AB1394)),1),IF($Z1394="A",DATE(YEAR(INDEX(Fixed_Assets!$G$2:$G$201,$AB1394)),MONTH(INDEX(Fixed_Assets!$G$2:$G$201,$AB1394)),1),IF($Z1394="F",DATE(YEAR(MAX(N(INDEX(Workforce!$I$2:$I$151,MATCH(INDEX(FTE_Allocation!$A$2:$A$201,$AB1394),Workforce!$A$2:$A$151,0))),N(INDEX(FTE_Allocation!$I$2:$I$201,$AB1394)))),MONTH(MAX(N(INDEX(Workforce!$I$2:$I$151,MATCH(INDEX(FTE_Allocation!$A$2:$A$201,$AB1394),Workforce!$A$2:$A$151,0))),N(INDEX(FTE_Allocation!$I$2:$I$201,$AB1394)))),1),"")))</f>
        <v/>
      </c>
      <c r="AF1394" s="21">
        <f>IF($Z1394="C",IF(INDEX(Contracts!$I$2:$I$151,$AB1394)="PREPAID",EDATE(DATE(YEAR(INDEX(Contracts!$J$2:$J$151,$AB1394)),MONTH(INDEX(Contracts!$J$2:$J$151,$AB1394)),1),IF(INDEX(Contracts!$N$2:$N$151,$AB1394)="",12,INDEX(Contracts!$N$2:$N$151,$AB1394))-1),IF(INDEX(Contracts!$I$2:$I$151,$AB1394)="MONTHLY",IF(INDEX(Contracts!$K$2:$K$151,$AB1394)="",2958101,INDEX(Contracts!$K$2:$K$151,$AB1394)),0)),IF($Z1394="A",EDATE(DATE(YEAR(INDEX(Fixed_Assets!$G$2:$G$201,$AB1394)),MONTH(INDEX(Fixed_Assets!$G$2:$G$201,$AB1394)),1),INDEX(Fixed_Assets!$J$2:$J$201,$AB1394)-1),IF($Z1394="F",MIN(IF(INDEX(Workforce!$J$2:$J$151,MATCH(INDEX(FTE_Allocation!$A$2:$A$201,$AB1394),Workforce!$A$2:$A$151,0))="",2958101,INDEX(Workforce!$J$2:$J$151,MATCH(INDEX(FTE_Allocation!$A$2:$A$201,$AB1394),Workforce!$A$2:$A$151,0))),IF(INDEX(FTE_Allocation!$J$2:$J$201,$AB1394)="",2958101,INDEX(FTE_Allocation!$J$2:$J$201,$AB1394))),"")))</f>
        <v/>
      </c>
      <c r="AG1394" s="19">
        <f>IF($Z1394="C",IF(INDEX(Contracts!$I$2:$I$151,$AB1394)="PREPAID",INDEX(Contracts!$M$2:$M$151,$AB1394)/IF(INDEX(Contracts!$N$2:$N$151,$AB1394)="",12,INDEX(Contracts!$N$2:$N$151,$AB1394)),IF(INDEX(Contracts!$I$2:$I$151,$AB1394)="MONTHLY",INDEX(Contracts!$M$2:$M$151,$AB1394),0))*(1-N(INDEX(Contracts!$O$2:$O$151,$AB1394))),IF($Z1394="A",INDEX(Fixed_Assets!$H$2:$H$201,$AB1394)/INDEX(Fixed_Assets!$J$2:$J$201,$AB1394),IF($Z1394="F",INDEX(Workforce!$F$2:$F$151,MATCH(INDEX(FTE_Allocation!$A$2:$A$201,$AB1394),Workforce!$A$2:$A$151,0))*N(INDEX(FTE_Allocation!$F$2:$H$201,$AB1394,$AC1394)),"")))</f>
        <v/>
      </c>
    </row>
    <row r="1395">
      <c r="A1395" s="7">
        <f>IF($Z1395="","",$AD1395)</f>
        <v/>
      </c>
      <c r="B1395" s="7">
        <f>IF($Z1395="C",INDEX(Contracts!$D$2:$D$151,$AB1395)&amp;"",IF($Z1395="A",INDEX(Fixed_Assets!$C$2:$C$201,$AB1395)&amp;"",IF($Z1395="F",INDEX(Workforce!$B$2:$B$151,MATCH(INDEX(FTE_Allocation!$A$2:$A$201,$AB1395),Workforce!$A$2:$A$151,0))&amp;"","")))</f>
        <v/>
      </c>
      <c r="C1395" s="7">
        <f>IF($Z1395="C",INDEX(Contracts!$E$2:$E$151,$AB1395)&amp;"",IF($Z1395="A",INDEX(Fixed_Assets!$D$2:$D$201,$AB1395)&amp;"",IF($Z1395="F",INDEX(FTE_Allocation!$C$2:$C$201,$AB1395)&amp;"","")))</f>
        <v/>
      </c>
      <c r="D1395" s="7">
        <f>IF($Z1395="C",INDEX(Contracts!$B$2:$B$151,$AB1395)&amp;"",IF($Z1395="A",INDEX(Fixed_Assets!$B$2:$B$201,$AB1395)&amp;"",IF($Z1395="F",INDEX(FTE_Allocation!$B$2:$B$201,$AB1395)&amp;"","")))</f>
        <v/>
      </c>
      <c r="E1395" s="7">
        <f>IF($Z1395="C",INDEX(Contracts!$P$2:$P$151,$AB1395)&amp;"",IF($Z1395="A",INDEX(Fixed_Assets!$K$2:$K$201,$AB1395)&amp;"",IF($Z1395="F",IF(INDEX(FTE_Allocation!$D$2:$D$201,$AB1395)="PROJECT",IFERROR(INDEX(Projects!$D:$D,MATCH(INDEX(FTE_Allocation!$E$2:$E$201,$AB1395),Projects!$A:$A,0))&amp;"","#PROJECT?"),INDEX(FTE_Allocation!$E$2:$E$201,$AB1395)&amp;""),"")))</f>
        <v/>
      </c>
      <c r="F1395" s="7">
        <f>IF($Z1395="C",INDEX(Contracts!$Q$2:$Q$151,$AB1395)&amp;"",IF($Z1395="A",INDEX(Fixed_Assets!$L$2:$L$201,$AB1395)&amp;"",IF($Z1395="F",INDEX(Workforce!$K$2:$K$151,MATCH(INDEX(FTE_Allocation!$A$2:$A$201,$AB1395),Workforce!$A$2:$A$151,0))&amp;"","")))</f>
        <v/>
      </c>
      <c r="G1395" s="7">
        <f>IF($Z1395="C",INDEX(Contracts!$F$2:$F$151,$AB1395)&amp;" / "&amp;INDEX(Contracts!$G$2:$G$151,$AB1395),IF($Z1395="A",INDEX(Fixed_Assets!$E$2:$E$201,$AB1395)&amp;"",IF($Z1395="F","Personnel "&amp;INDEX(FTE_Allocation!$A$2:$A$201,$AB1395)&amp;IF(INDEX(FTE_Allocation!$D$2:$D$201,$AB1395)="PROJECT"," ("&amp;INDEX(FTE_Allocation!$E$2:$E$201,$AB1395)&amp;")",""),"")))</f>
        <v/>
      </c>
      <c r="H1395" s="7">
        <f>IF($Z1395="C","CONTRACT",IF($Z1395="A","ASSET",IF($Z1395="F","WORKFORCE","")))</f>
        <v/>
      </c>
      <c r="I1395" s="7">
        <f>IF($Z1395="C",INDEX(Contracts!$L$2:$L$151,$AB1395)&amp;"",IF($Z1395="A",INDEX(Fixed_Assets!$I$2:$I$201,$AB1395)&amp;"",IF($Z1395="F",INDEX(Workforce!$G$2:$G$151,MATCH(INDEX(FTE_Allocation!$A$2:$A$201,$AB1395),Workforce!$A$2:$A$151,0))&amp;"","")))</f>
        <v/>
      </c>
      <c r="J1395" s="18">
        <f>IF($Z1395="","",IF(AND(DATE($AD1395,1,1)&gt;=$AE1395,DATE($AD1395,1,1)&lt;=$AF1395),ROUND($AG1395,2),0))</f>
        <v/>
      </c>
      <c r="K1395" s="18">
        <f>IF($Z1395="","",IF(AND(DATE($AD1395,2,1)&gt;=$AE1395,DATE($AD1395,2,1)&lt;=$AF1395),ROUND($AG1395,2),0))</f>
        <v/>
      </c>
      <c r="L1395" s="18">
        <f>IF($Z1395="","",IF(AND(DATE($AD1395,3,1)&gt;=$AE1395,DATE($AD1395,3,1)&lt;=$AF1395),ROUND($AG1395,2),0))</f>
        <v/>
      </c>
      <c r="M1395" s="18">
        <f>IF($Z1395="","",IF(AND(DATE($AD1395,4,1)&gt;=$AE1395,DATE($AD1395,4,1)&lt;=$AF1395),ROUND($AG1395,2),0))</f>
        <v/>
      </c>
      <c r="N1395" s="18">
        <f>IF($Z1395="","",IF(AND(DATE($AD1395,5,1)&gt;=$AE1395,DATE($AD1395,5,1)&lt;=$AF1395),ROUND($AG1395,2),0))</f>
        <v/>
      </c>
      <c r="O1395" s="18">
        <f>IF($Z1395="","",IF(AND(DATE($AD1395,6,1)&gt;=$AE1395,DATE($AD1395,6,1)&lt;=$AF1395),ROUND($AG1395,2),0))</f>
        <v/>
      </c>
      <c r="P1395" s="18">
        <f>IF($Z1395="","",IF(AND(DATE($AD1395,7,1)&gt;=$AE1395,DATE($AD1395,7,1)&lt;=$AF1395),ROUND($AG1395,2),0))</f>
        <v/>
      </c>
      <c r="Q1395" s="18">
        <f>IF($Z1395="","",IF(AND(DATE($AD1395,8,1)&gt;=$AE1395,DATE($AD1395,8,1)&lt;=$AF1395),ROUND($AG1395,2),0))</f>
        <v/>
      </c>
      <c r="R1395" s="18">
        <f>IF($Z1395="","",IF(AND(DATE($AD1395,9,1)&gt;=$AE1395,DATE($AD1395,9,1)&lt;=$AF1395),ROUND($AG1395,2),0))</f>
        <v/>
      </c>
      <c r="S1395" s="18">
        <f>IF($Z1395="","",IF(AND(DATE($AD1395,10,1)&gt;=$AE1395,DATE($AD1395,10,1)&lt;=$AF1395),ROUND($AG1395,2),0))</f>
        <v/>
      </c>
      <c r="T1395" s="18">
        <f>IF($Z1395="","",IF(AND(DATE($AD1395,11,1)&gt;=$AE1395,DATE($AD1395,11,1)&lt;=$AF1395),ROUND($AG1395,2),0))</f>
        <v/>
      </c>
      <c r="U1395" s="18">
        <f>IF($Z1395="","",IF(AND(DATE($AD1395,12,1)&gt;=$AE1395,DATE($AD1395,12,1)&lt;=$AF1395),ROUND($AG1395,2),0))</f>
        <v/>
      </c>
      <c r="V1395" s="7">
        <f>IF($Z1395="C","Generated from "&amp;INDEX(Contracts!$A$2:$A$151,$AB1395),IF($Z1395="A","Generated from "&amp;INDEX(Fixed_Assets!$A$2:$A$201,$AB1395),IF($Z1395="F","Generated from "&amp;INDEX(FTE_Allocation!$A$2:$A$201,$AB1395),"")))</f>
        <v/>
      </c>
      <c r="X1395" s="19">
        <f>IF($Z1395="","",SUM(J1395:U1395))</f>
        <v/>
      </c>
      <c r="Y1395" s="20">
        <f>ROW()-1</f>
        <v/>
      </c>
      <c r="Z1395" s="20">
        <f>IF($Y1395&lt;=Settings!$B$4*3,"C",IF($Y1395&lt;=(Settings!$B$4+Settings!$B$5)*3,"A",IF($Y1395&lt;=(Settings!$B$4+Settings!$B$5+Settings!$B$6)*3,"F","")))</f>
        <v/>
      </c>
      <c r="AA1395" s="20">
        <f>IF($Z1395="C",$Y1395,IF($Z1395="A",$Y1395-Settings!$B$4*3,IF($Z1395="F",$Y1395-(Settings!$B$4+Settings!$B$5)*3,"")))</f>
        <v/>
      </c>
      <c r="AB1395" s="20">
        <f>IF($Z1395="","",INT(($AA1395-1)/3)+1)</f>
        <v/>
      </c>
      <c r="AC1395" s="20">
        <f>IF($Z1395="","",MOD($AA1395-1,3)+1)</f>
        <v/>
      </c>
      <c r="AD1395" s="20">
        <f>IF($Z1395="","",Settings!$B$2+$AC1395-1)</f>
        <v/>
      </c>
      <c r="AE1395" s="21">
        <f>IF($Z1395="C",DATE(YEAR(INDEX(Contracts!$J$2:$J$151,$AB1395)),MONTH(INDEX(Contracts!$J$2:$J$151,$AB1395)),1),IF($Z1395="A",DATE(YEAR(INDEX(Fixed_Assets!$G$2:$G$201,$AB1395)),MONTH(INDEX(Fixed_Assets!$G$2:$G$201,$AB1395)),1),IF($Z1395="F",DATE(YEAR(MAX(N(INDEX(Workforce!$I$2:$I$151,MATCH(INDEX(FTE_Allocation!$A$2:$A$201,$AB1395),Workforce!$A$2:$A$151,0))),N(INDEX(FTE_Allocation!$I$2:$I$201,$AB1395)))),MONTH(MAX(N(INDEX(Workforce!$I$2:$I$151,MATCH(INDEX(FTE_Allocation!$A$2:$A$201,$AB1395),Workforce!$A$2:$A$151,0))),N(INDEX(FTE_Allocation!$I$2:$I$201,$AB1395)))),1),"")))</f>
        <v/>
      </c>
      <c r="AF1395" s="21">
        <f>IF($Z1395="C",IF(INDEX(Contracts!$I$2:$I$151,$AB1395)="PREPAID",EDATE(DATE(YEAR(INDEX(Contracts!$J$2:$J$151,$AB1395)),MONTH(INDEX(Contracts!$J$2:$J$151,$AB1395)),1),IF(INDEX(Contracts!$N$2:$N$151,$AB1395)="",12,INDEX(Contracts!$N$2:$N$151,$AB1395))-1),IF(INDEX(Contracts!$I$2:$I$151,$AB1395)="MONTHLY",IF(INDEX(Contracts!$K$2:$K$151,$AB1395)="",2958101,INDEX(Contracts!$K$2:$K$151,$AB1395)),0)),IF($Z1395="A",EDATE(DATE(YEAR(INDEX(Fixed_Assets!$G$2:$G$201,$AB1395)),MONTH(INDEX(Fixed_Assets!$G$2:$G$201,$AB1395)),1),INDEX(Fixed_Assets!$J$2:$J$201,$AB1395)-1),IF($Z1395="F",MIN(IF(INDEX(Workforce!$J$2:$J$151,MATCH(INDEX(FTE_Allocation!$A$2:$A$201,$AB1395),Workforce!$A$2:$A$151,0))="",2958101,INDEX(Workforce!$J$2:$J$151,MATCH(INDEX(FTE_Allocation!$A$2:$A$201,$AB1395),Workforce!$A$2:$A$151,0))),IF(INDEX(FTE_Allocation!$J$2:$J$201,$AB1395)="",2958101,INDEX(FTE_Allocation!$J$2:$J$201,$AB1395))),"")))</f>
        <v/>
      </c>
      <c r="AG1395" s="19">
        <f>IF($Z1395="C",IF(INDEX(Contracts!$I$2:$I$151,$AB1395)="PREPAID",INDEX(Contracts!$M$2:$M$151,$AB1395)/IF(INDEX(Contracts!$N$2:$N$151,$AB1395)="",12,INDEX(Contracts!$N$2:$N$151,$AB1395)),IF(INDEX(Contracts!$I$2:$I$151,$AB1395)="MONTHLY",INDEX(Contracts!$M$2:$M$151,$AB1395),0))*(1-N(INDEX(Contracts!$O$2:$O$151,$AB1395))),IF($Z1395="A",INDEX(Fixed_Assets!$H$2:$H$201,$AB1395)/INDEX(Fixed_Assets!$J$2:$J$201,$AB1395),IF($Z1395="F",INDEX(Workforce!$F$2:$F$151,MATCH(INDEX(FTE_Allocation!$A$2:$A$201,$AB1395),Workforce!$A$2:$A$151,0))*N(INDEX(FTE_Allocation!$F$2:$H$201,$AB1395,$AC1395)),"")))</f>
        <v/>
      </c>
    </row>
    <row r="1396">
      <c r="A1396" s="7">
        <f>IF($Z1396="","",$AD1396)</f>
        <v/>
      </c>
      <c r="B1396" s="7">
        <f>IF($Z1396="C",INDEX(Contracts!$D$2:$D$151,$AB1396)&amp;"",IF($Z1396="A",INDEX(Fixed_Assets!$C$2:$C$201,$AB1396)&amp;"",IF($Z1396="F",INDEX(Workforce!$B$2:$B$151,MATCH(INDEX(FTE_Allocation!$A$2:$A$201,$AB1396),Workforce!$A$2:$A$151,0))&amp;"","")))</f>
        <v/>
      </c>
      <c r="C1396" s="7">
        <f>IF($Z1396="C",INDEX(Contracts!$E$2:$E$151,$AB1396)&amp;"",IF($Z1396="A",INDEX(Fixed_Assets!$D$2:$D$201,$AB1396)&amp;"",IF($Z1396="F",INDEX(FTE_Allocation!$C$2:$C$201,$AB1396)&amp;"","")))</f>
        <v/>
      </c>
      <c r="D1396" s="7">
        <f>IF($Z1396="C",INDEX(Contracts!$B$2:$B$151,$AB1396)&amp;"",IF($Z1396="A",INDEX(Fixed_Assets!$B$2:$B$201,$AB1396)&amp;"",IF($Z1396="F",INDEX(FTE_Allocation!$B$2:$B$201,$AB1396)&amp;"","")))</f>
        <v/>
      </c>
      <c r="E1396" s="7">
        <f>IF($Z1396="C",INDEX(Contracts!$P$2:$P$151,$AB1396)&amp;"",IF($Z1396="A",INDEX(Fixed_Assets!$K$2:$K$201,$AB1396)&amp;"",IF($Z1396="F",IF(INDEX(FTE_Allocation!$D$2:$D$201,$AB1396)="PROJECT",IFERROR(INDEX(Projects!$D:$D,MATCH(INDEX(FTE_Allocation!$E$2:$E$201,$AB1396),Projects!$A:$A,0))&amp;"","#PROJECT?"),INDEX(FTE_Allocation!$E$2:$E$201,$AB1396)&amp;""),"")))</f>
        <v/>
      </c>
      <c r="F1396" s="7">
        <f>IF($Z1396="C",INDEX(Contracts!$Q$2:$Q$151,$AB1396)&amp;"",IF($Z1396="A",INDEX(Fixed_Assets!$L$2:$L$201,$AB1396)&amp;"",IF($Z1396="F",INDEX(Workforce!$K$2:$K$151,MATCH(INDEX(FTE_Allocation!$A$2:$A$201,$AB1396),Workforce!$A$2:$A$151,0))&amp;"","")))</f>
        <v/>
      </c>
      <c r="G1396" s="7">
        <f>IF($Z1396="C",INDEX(Contracts!$F$2:$F$151,$AB1396)&amp;" / "&amp;INDEX(Contracts!$G$2:$G$151,$AB1396),IF($Z1396="A",INDEX(Fixed_Assets!$E$2:$E$201,$AB1396)&amp;"",IF($Z1396="F","Personnel "&amp;INDEX(FTE_Allocation!$A$2:$A$201,$AB1396)&amp;IF(INDEX(FTE_Allocation!$D$2:$D$201,$AB1396)="PROJECT"," ("&amp;INDEX(FTE_Allocation!$E$2:$E$201,$AB1396)&amp;")",""),"")))</f>
        <v/>
      </c>
      <c r="H1396" s="7">
        <f>IF($Z1396="C","CONTRACT",IF($Z1396="A","ASSET",IF($Z1396="F","WORKFORCE","")))</f>
        <v/>
      </c>
      <c r="I1396" s="7">
        <f>IF($Z1396="C",INDEX(Contracts!$L$2:$L$151,$AB1396)&amp;"",IF($Z1396="A",INDEX(Fixed_Assets!$I$2:$I$201,$AB1396)&amp;"",IF($Z1396="F",INDEX(Workforce!$G$2:$G$151,MATCH(INDEX(FTE_Allocation!$A$2:$A$201,$AB1396),Workforce!$A$2:$A$151,0))&amp;"","")))</f>
        <v/>
      </c>
      <c r="J1396" s="18">
        <f>IF($Z1396="","",IF(AND(DATE($AD1396,1,1)&gt;=$AE1396,DATE($AD1396,1,1)&lt;=$AF1396),ROUND($AG1396,2),0))</f>
        <v/>
      </c>
      <c r="K1396" s="18">
        <f>IF($Z1396="","",IF(AND(DATE($AD1396,2,1)&gt;=$AE1396,DATE($AD1396,2,1)&lt;=$AF1396),ROUND($AG1396,2),0))</f>
        <v/>
      </c>
      <c r="L1396" s="18">
        <f>IF($Z1396="","",IF(AND(DATE($AD1396,3,1)&gt;=$AE1396,DATE($AD1396,3,1)&lt;=$AF1396),ROUND($AG1396,2),0))</f>
        <v/>
      </c>
      <c r="M1396" s="18">
        <f>IF($Z1396="","",IF(AND(DATE($AD1396,4,1)&gt;=$AE1396,DATE($AD1396,4,1)&lt;=$AF1396),ROUND($AG1396,2),0))</f>
        <v/>
      </c>
      <c r="N1396" s="18">
        <f>IF($Z1396="","",IF(AND(DATE($AD1396,5,1)&gt;=$AE1396,DATE($AD1396,5,1)&lt;=$AF1396),ROUND($AG1396,2),0))</f>
        <v/>
      </c>
      <c r="O1396" s="18">
        <f>IF($Z1396="","",IF(AND(DATE($AD1396,6,1)&gt;=$AE1396,DATE($AD1396,6,1)&lt;=$AF1396),ROUND($AG1396,2),0))</f>
        <v/>
      </c>
      <c r="P1396" s="18">
        <f>IF($Z1396="","",IF(AND(DATE($AD1396,7,1)&gt;=$AE1396,DATE($AD1396,7,1)&lt;=$AF1396),ROUND($AG1396,2),0))</f>
        <v/>
      </c>
      <c r="Q1396" s="18">
        <f>IF($Z1396="","",IF(AND(DATE($AD1396,8,1)&gt;=$AE1396,DATE($AD1396,8,1)&lt;=$AF1396),ROUND($AG1396,2),0))</f>
        <v/>
      </c>
      <c r="R1396" s="18">
        <f>IF($Z1396="","",IF(AND(DATE($AD1396,9,1)&gt;=$AE1396,DATE($AD1396,9,1)&lt;=$AF1396),ROUND($AG1396,2),0))</f>
        <v/>
      </c>
      <c r="S1396" s="18">
        <f>IF($Z1396="","",IF(AND(DATE($AD1396,10,1)&gt;=$AE1396,DATE($AD1396,10,1)&lt;=$AF1396),ROUND($AG1396,2),0))</f>
        <v/>
      </c>
      <c r="T1396" s="18">
        <f>IF($Z1396="","",IF(AND(DATE($AD1396,11,1)&gt;=$AE1396,DATE($AD1396,11,1)&lt;=$AF1396),ROUND($AG1396,2),0))</f>
        <v/>
      </c>
      <c r="U1396" s="18">
        <f>IF($Z1396="","",IF(AND(DATE($AD1396,12,1)&gt;=$AE1396,DATE($AD1396,12,1)&lt;=$AF1396),ROUND($AG1396,2),0))</f>
        <v/>
      </c>
      <c r="V1396" s="7">
        <f>IF($Z1396="C","Generated from "&amp;INDEX(Contracts!$A$2:$A$151,$AB1396),IF($Z1396="A","Generated from "&amp;INDEX(Fixed_Assets!$A$2:$A$201,$AB1396),IF($Z1396="F","Generated from "&amp;INDEX(FTE_Allocation!$A$2:$A$201,$AB1396),"")))</f>
        <v/>
      </c>
      <c r="X1396" s="19">
        <f>IF($Z1396="","",SUM(J1396:U1396))</f>
        <v/>
      </c>
      <c r="Y1396" s="20">
        <f>ROW()-1</f>
        <v/>
      </c>
      <c r="Z1396" s="20">
        <f>IF($Y1396&lt;=Settings!$B$4*3,"C",IF($Y1396&lt;=(Settings!$B$4+Settings!$B$5)*3,"A",IF($Y1396&lt;=(Settings!$B$4+Settings!$B$5+Settings!$B$6)*3,"F","")))</f>
        <v/>
      </c>
      <c r="AA1396" s="20">
        <f>IF($Z1396="C",$Y1396,IF($Z1396="A",$Y1396-Settings!$B$4*3,IF($Z1396="F",$Y1396-(Settings!$B$4+Settings!$B$5)*3,"")))</f>
        <v/>
      </c>
      <c r="AB1396" s="20">
        <f>IF($Z1396="","",INT(($AA1396-1)/3)+1)</f>
        <v/>
      </c>
      <c r="AC1396" s="20">
        <f>IF($Z1396="","",MOD($AA1396-1,3)+1)</f>
        <v/>
      </c>
      <c r="AD1396" s="20">
        <f>IF($Z1396="","",Settings!$B$2+$AC1396-1)</f>
        <v/>
      </c>
      <c r="AE1396" s="21">
        <f>IF($Z1396="C",DATE(YEAR(INDEX(Contracts!$J$2:$J$151,$AB1396)),MONTH(INDEX(Contracts!$J$2:$J$151,$AB1396)),1),IF($Z1396="A",DATE(YEAR(INDEX(Fixed_Assets!$G$2:$G$201,$AB1396)),MONTH(INDEX(Fixed_Assets!$G$2:$G$201,$AB1396)),1),IF($Z1396="F",DATE(YEAR(MAX(N(INDEX(Workforce!$I$2:$I$151,MATCH(INDEX(FTE_Allocation!$A$2:$A$201,$AB1396),Workforce!$A$2:$A$151,0))),N(INDEX(FTE_Allocation!$I$2:$I$201,$AB1396)))),MONTH(MAX(N(INDEX(Workforce!$I$2:$I$151,MATCH(INDEX(FTE_Allocation!$A$2:$A$201,$AB1396),Workforce!$A$2:$A$151,0))),N(INDEX(FTE_Allocation!$I$2:$I$201,$AB1396)))),1),"")))</f>
        <v/>
      </c>
      <c r="AF1396" s="21">
        <f>IF($Z1396="C",IF(INDEX(Contracts!$I$2:$I$151,$AB1396)="PREPAID",EDATE(DATE(YEAR(INDEX(Contracts!$J$2:$J$151,$AB1396)),MONTH(INDEX(Contracts!$J$2:$J$151,$AB1396)),1),IF(INDEX(Contracts!$N$2:$N$151,$AB1396)="",12,INDEX(Contracts!$N$2:$N$151,$AB1396))-1),IF(INDEX(Contracts!$I$2:$I$151,$AB1396)="MONTHLY",IF(INDEX(Contracts!$K$2:$K$151,$AB1396)="",2958101,INDEX(Contracts!$K$2:$K$151,$AB1396)),0)),IF($Z1396="A",EDATE(DATE(YEAR(INDEX(Fixed_Assets!$G$2:$G$201,$AB1396)),MONTH(INDEX(Fixed_Assets!$G$2:$G$201,$AB1396)),1),INDEX(Fixed_Assets!$J$2:$J$201,$AB1396)-1),IF($Z1396="F",MIN(IF(INDEX(Workforce!$J$2:$J$151,MATCH(INDEX(FTE_Allocation!$A$2:$A$201,$AB1396),Workforce!$A$2:$A$151,0))="",2958101,INDEX(Workforce!$J$2:$J$151,MATCH(INDEX(FTE_Allocation!$A$2:$A$201,$AB1396),Workforce!$A$2:$A$151,0))),IF(INDEX(FTE_Allocation!$J$2:$J$201,$AB1396)="",2958101,INDEX(FTE_Allocation!$J$2:$J$201,$AB1396))),"")))</f>
        <v/>
      </c>
      <c r="AG1396" s="19">
        <f>IF($Z1396="C",IF(INDEX(Contracts!$I$2:$I$151,$AB1396)="PREPAID",INDEX(Contracts!$M$2:$M$151,$AB1396)/IF(INDEX(Contracts!$N$2:$N$151,$AB1396)="",12,INDEX(Contracts!$N$2:$N$151,$AB1396)),IF(INDEX(Contracts!$I$2:$I$151,$AB1396)="MONTHLY",INDEX(Contracts!$M$2:$M$151,$AB1396),0))*(1-N(INDEX(Contracts!$O$2:$O$151,$AB1396))),IF($Z1396="A",INDEX(Fixed_Assets!$H$2:$H$201,$AB1396)/INDEX(Fixed_Assets!$J$2:$J$201,$AB1396),IF($Z1396="F",INDEX(Workforce!$F$2:$F$151,MATCH(INDEX(FTE_Allocation!$A$2:$A$201,$AB1396),Workforce!$A$2:$A$151,0))*N(INDEX(FTE_Allocation!$F$2:$H$201,$AB1396,$AC1396)),"")))</f>
        <v/>
      </c>
    </row>
    <row r="1397">
      <c r="A1397" s="7">
        <f>IF($Z1397="","",$AD1397)</f>
        <v/>
      </c>
      <c r="B1397" s="7">
        <f>IF($Z1397="C",INDEX(Contracts!$D$2:$D$151,$AB1397)&amp;"",IF($Z1397="A",INDEX(Fixed_Assets!$C$2:$C$201,$AB1397)&amp;"",IF($Z1397="F",INDEX(Workforce!$B$2:$B$151,MATCH(INDEX(FTE_Allocation!$A$2:$A$201,$AB1397),Workforce!$A$2:$A$151,0))&amp;"","")))</f>
        <v/>
      </c>
      <c r="C1397" s="7">
        <f>IF($Z1397="C",INDEX(Contracts!$E$2:$E$151,$AB1397)&amp;"",IF($Z1397="A",INDEX(Fixed_Assets!$D$2:$D$201,$AB1397)&amp;"",IF($Z1397="F",INDEX(FTE_Allocation!$C$2:$C$201,$AB1397)&amp;"","")))</f>
        <v/>
      </c>
      <c r="D1397" s="7">
        <f>IF($Z1397="C",INDEX(Contracts!$B$2:$B$151,$AB1397)&amp;"",IF($Z1397="A",INDEX(Fixed_Assets!$B$2:$B$201,$AB1397)&amp;"",IF($Z1397="F",INDEX(FTE_Allocation!$B$2:$B$201,$AB1397)&amp;"","")))</f>
        <v/>
      </c>
      <c r="E1397" s="7">
        <f>IF($Z1397="C",INDEX(Contracts!$P$2:$P$151,$AB1397)&amp;"",IF($Z1397="A",INDEX(Fixed_Assets!$K$2:$K$201,$AB1397)&amp;"",IF($Z1397="F",IF(INDEX(FTE_Allocation!$D$2:$D$201,$AB1397)="PROJECT",IFERROR(INDEX(Projects!$D:$D,MATCH(INDEX(FTE_Allocation!$E$2:$E$201,$AB1397),Projects!$A:$A,0))&amp;"","#PROJECT?"),INDEX(FTE_Allocation!$E$2:$E$201,$AB1397)&amp;""),"")))</f>
        <v/>
      </c>
      <c r="F1397" s="7">
        <f>IF($Z1397="C",INDEX(Contracts!$Q$2:$Q$151,$AB1397)&amp;"",IF($Z1397="A",INDEX(Fixed_Assets!$L$2:$L$201,$AB1397)&amp;"",IF($Z1397="F",INDEX(Workforce!$K$2:$K$151,MATCH(INDEX(FTE_Allocation!$A$2:$A$201,$AB1397),Workforce!$A$2:$A$151,0))&amp;"","")))</f>
        <v/>
      </c>
      <c r="G1397" s="7">
        <f>IF($Z1397="C",INDEX(Contracts!$F$2:$F$151,$AB1397)&amp;" / "&amp;INDEX(Contracts!$G$2:$G$151,$AB1397),IF($Z1397="A",INDEX(Fixed_Assets!$E$2:$E$201,$AB1397)&amp;"",IF($Z1397="F","Personnel "&amp;INDEX(FTE_Allocation!$A$2:$A$201,$AB1397)&amp;IF(INDEX(FTE_Allocation!$D$2:$D$201,$AB1397)="PROJECT"," ("&amp;INDEX(FTE_Allocation!$E$2:$E$201,$AB1397)&amp;")",""),"")))</f>
        <v/>
      </c>
      <c r="H1397" s="7">
        <f>IF($Z1397="C","CONTRACT",IF($Z1397="A","ASSET",IF($Z1397="F","WORKFORCE","")))</f>
        <v/>
      </c>
      <c r="I1397" s="7">
        <f>IF($Z1397="C",INDEX(Contracts!$L$2:$L$151,$AB1397)&amp;"",IF($Z1397="A",INDEX(Fixed_Assets!$I$2:$I$201,$AB1397)&amp;"",IF($Z1397="F",INDEX(Workforce!$G$2:$G$151,MATCH(INDEX(FTE_Allocation!$A$2:$A$201,$AB1397),Workforce!$A$2:$A$151,0))&amp;"","")))</f>
        <v/>
      </c>
      <c r="J1397" s="18">
        <f>IF($Z1397="","",IF(AND(DATE($AD1397,1,1)&gt;=$AE1397,DATE($AD1397,1,1)&lt;=$AF1397),ROUND($AG1397,2),0))</f>
        <v/>
      </c>
      <c r="K1397" s="18">
        <f>IF($Z1397="","",IF(AND(DATE($AD1397,2,1)&gt;=$AE1397,DATE($AD1397,2,1)&lt;=$AF1397),ROUND($AG1397,2),0))</f>
        <v/>
      </c>
      <c r="L1397" s="18">
        <f>IF($Z1397="","",IF(AND(DATE($AD1397,3,1)&gt;=$AE1397,DATE($AD1397,3,1)&lt;=$AF1397),ROUND($AG1397,2),0))</f>
        <v/>
      </c>
      <c r="M1397" s="18">
        <f>IF($Z1397="","",IF(AND(DATE($AD1397,4,1)&gt;=$AE1397,DATE($AD1397,4,1)&lt;=$AF1397),ROUND($AG1397,2),0))</f>
        <v/>
      </c>
      <c r="N1397" s="18">
        <f>IF($Z1397="","",IF(AND(DATE($AD1397,5,1)&gt;=$AE1397,DATE($AD1397,5,1)&lt;=$AF1397),ROUND($AG1397,2),0))</f>
        <v/>
      </c>
      <c r="O1397" s="18">
        <f>IF($Z1397="","",IF(AND(DATE($AD1397,6,1)&gt;=$AE1397,DATE($AD1397,6,1)&lt;=$AF1397),ROUND($AG1397,2),0))</f>
        <v/>
      </c>
      <c r="P1397" s="18">
        <f>IF($Z1397="","",IF(AND(DATE($AD1397,7,1)&gt;=$AE1397,DATE($AD1397,7,1)&lt;=$AF1397),ROUND($AG1397,2),0))</f>
        <v/>
      </c>
      <c r="Q1397" s="18">
        <f>IF($Z1397="","",IF(AND(DATE($AD1397,8,1)&gt;=$AE1397,DATE($AD1397,8,1)&lt;=$AF1397),ROUND($AG1397,2),0))</f>
        <v/>
      </c>
      <c r="R1397" s="18">
        <f>IF($Z1397="","",IF(AND(DATE($AD1397,9,1)&gt;=$AE1397,DATE($AD1397,9,1)&lt;=$AF1397),ROUND($AG1397,2),0))</f>
        <v/>
      </c>
      <c r="S1397" s="18">
        <f>IF($Z1397="","",IF(AND(DATE($AD1397,10,1)&gt;=$AE1397,DATE($AD1397,10,1)&lt;=$AF1397),ROUND($AG1397,2),0))</f>
        <v/>
      </c>
      <c r="T1397" s="18">
        <f>IF($Z1397="","",IF(AND(DATE($AD1397,11,1)&gt;=$AE1397,DATE($AD1397,11,1)&lt;=$AF1397),ROUND($AG1397,2),0))</f>
        <v/>
      </c>
      <c r="U1397" s="18">
        <f>IF($Z1397="","",IF(AND(DATE($AD1397,12,1)&gt;=$AE1397,DATE($AD1397,12,1)&lt;=$AF1397),ROUND($AG1397,2),0))</f>
        <v/>
      </c>
      <c r="V1397" s="7">
        <f>IF($Z1397="C","Generated from "&amp;INDEX(Contracts!$A$2:$A$151,$AB1397),IF($Z1397="A","Generated from "&amp;INDEX(Fixed_Assets!$A$2:$A$201,$AB1397),IF($Z1397="F","Generated from "&amp;INDEX(FTE_Allocation!$A$2:$A$201,$AB1397),"")))</f>
        <v/>
      </c>
      <c r="X1397" s="19">
        <f>IF($Z1397="","",SUM(J1397:U1397))</f>
        <v/>
      </c>
      <c r="Y1397" s="20">
        <f>ROW()-1</f>
        <v/>
      </c>
      <c r="Z1397" s="20">
        <f>IF($Y1397&lt;=Settings!$B$4*3,"C",IF($Y1397&lt;=(Settings!$B$4+Settings!$B$5)*3,"A",IF($Y1397&lt;=(Settings!$B$4+Settings!$B$5+Settings!$B$6)*3,"F","")))</f>
        <v/>
      </c>
      <c r="AA1397" s="20">
        <f>IF($Z1397="C",$Y1397,IF($Z1397="A",$Y1397-Settings!$B$4*3,IF($Z1397="F",$Y1397-(Settings!$B$4+Settings!$B$5)*3,"")))</f>
        <v/>
      </c>
      <c r="AB1397" s="20">
        <f>IF($Z1397="","",INT(($AA1397-1)/3)+1)</f>
        <v/>
      </c>
      <c r="AC1397" s="20">
        <f>IF($Z1397="","",MOD($AA1397-1,3)+1)</f>
        <v/>
      </c>
      <c r="AD1397" s="20">
        <f>IF($Z1397="","",Settings!$B$2+$AC1397-1)</f>
        <v/>
      </c>
      <c r="AE1397" s="21">
        <f>IF($Z1397="C",DATE(YEAR(INDEX(Contracts!$J$2:$J$151,$AB1397)),MONTH(INDEX(Contracts!$J$2:$J$151,$AB1397)),1),IF($Z1397="A",DATE(YEAR(INDEX(Fixed_Assets!$G$2:$G$201,$AB1397)),MONTH(INDEX(Fixed_Assets!$G$2:$G$201,$AB1397)),1),IF($Z1397="F",DATE(YEAR(MAX(N(INDEX(Workforce!$I$2:$I$151,MATCH(INDEX(FTE_Allocation!$A$2:$A$201,$AB1397),Workforce!$A$2:$A$151,0))),N(INDEX(FTE_Allocation!$I$2:$I$201,$AB1397)))),MONTH(MAX(N(INDEX(Workforce!$I$2:$I$151,MATCH(INDEX(FTE_Allocation!$A$2:$A$201,$AB1397),Workforce!$A$2:$A$151,0))),N(INDEX(FTE_Allocation!$I$2:$I$201,$AB1397)))),1),"")))</f>
        <v/>
      </c>
      <c r="AF1397" s="21">
        <f>IF($Z1397="C",IF(INDEX(Contracts!$I$2:$I$151,$AB1397)="PREPAID",EDATE(DATE(YEAR(INDEX(Contracts!$J$2:$J$151,$AB1397)),MONTH(INDEX(Contracts!$J$2:$J$151,$AB1397)),1),IF(INDEX(Contracts!$N$2:$N$151,$AB1397)="",12,INDEX(Contracts!$N$2:$N$151,$AB1397))-1),IF(INDEX(Contracts!$I$2:$I$151,$AB1397)="MONTHLY",IF(INDEX(Contracts!$K$2:$K$151,$AB1397)="",2958101,INDEX(Contracts!$K$2:$K$151,$AB1397)),0)),IF($Z1397="A",EDATE(DATE(YEAR(INDEX(Fixed_Assets!$G$2:$G$201,$AB1397)),MONTH(INDEX(Fixed_Assets!$G$2:$G$201,$AB1397)),1),INDEX(Fixed_Assets!$J$2:$J$201,$AB1397)-1),IF($Z1397="F",MIN(IF(INDEX(Workforce!$J$2:$J$151,MATCH(INDEX(FTE_Allocation!$A$2:$A$201,$AB1397),Workforce!$A$2:$A$151,0))="",2958101,INDEX(Workforce!$J$2:$J$151,MATCH(INDEX(FTE_Allocation!$A$2:$A$201,$AB1397),Workforce!$A$2:$A$151,0))),IF(INDEX(FTE_Allocation!$J$2:$J$201,$AB1397)="",2958101,INDEX(FTE_Allocation!$J$2:$J$201,$AB1397))),"")))</f>
        <v/>
      </c>
      <c r="AG1397" s="19">
        <f>IF($Z1397="C",IF(INDEX(Contracts!$I$2:$I$151,$AB1397)="PREPAID",INDEX(Contracts!$M$2:$M$151,$AB1397)/IF(INDEX(Contracts!$N$2:$N$151,$AB1397)="",12,INDEX(Contracts!$N$2:$N$151,$AB1397)),IF(INDEX(Contracts!$I$2:$I$151,$AB1397)="MONTHLY",INDEX(Contracts!$M$2:$M$151,$AB1397),0))*(1-N(INDEX(Contracts!$O$2:$O$151,$AB1397))),IF($Z1397="A",INDEX(Fixed_Assets!$H$2:$H$201,$AB1397)/INDEX(Fixed_Assets!$J$2:$J$201,$AB1397),IF($Z1397="F",INDEX(Workforce!$F$2:$F$151,MATCH(INDEX(FTE_Allocation!$A$2:$A$201,$AB1397),Workforce!$A$2:$A$151,0))*N(INDEX(FTE_Allocation!$F$2:$H$201,$AB1397,$AC1397)),"")))</f>
        <v/>
      </c>
    </row>
    <row r="1398">
      <c r="A1398" s="7">
        <f>IF($Z1398="","",$AD1398)</f>
        <v/>
      </c>
      <c r="B1398" s="7">
        <f>IF($Z1398="C",INDEX(Contracts!$D$2:$D$151,$AB1398)&amp;"",IF($Z1398="A",INDEX(Fixed_Assets!$C$2:$C$201,$AB1398)&amp;"",IF($Z1398="F",INDEX(Workforce!$B$2:$B$151,MATCH(INDEX(FTE_Allocation!$A$2:$A$201,$AB1398),Workforce!$A$2:$A$151,0))&amp;"","")))</f>
        <v/>
      </c>
      <c r="C1398" s="7">
        <f>IF($Z1398="C",INDEX(Contracts!$E$2:$E$151,$AB1398)&amp;"",IF($Z1398="A",INDEX(Fixed_Assets!$D$2:$D$201,$AB1398)&amp;"",IF($Z1398="F",INDEX(FTE_Allocation!$C$2:$C$201,$AB1398)&amp;"","")))</f>
        <v/>
      </c>
      <c r="D1398" s="7">
        <f>IF($Z1398="C",INDEX(Contracts!$B$2:$B$151,$AB1398)&amp;"",IF($Z1398="A",INDEX(Fixed_Assets!$B$2:$B$201,$AB1398)&amp;"",IF($Z1398="F",INDEX(FTE_Allocation!$B$2:$B$201,$AB1398)&amp;"","")))</f>
        <v/>
      </c>
      <c r="E1398" s="7">
        <f>IF($Z1398="C",INDEX(Contracts!$P$2:$P$151,$AB1398)&amp;"",IF($Z1398="A",INDEX(Fixed_Assets!$K$2:$K$201,$AB1398)&amp;"",IF($Z1398="F",IF(INDEX(FTE_Allocation!$D$2:$D$201,$AB1398)="PROJECT",IFERROR(INDEX(Projects!$D:$D,MATCH(INDEX(FTE_Allocation!$E$2:$E$201,$AB1398),Projects!$A:$A,0))&amp;"","#PROJECT?"),INDEX(FTE_Allocation!$E$2:$E$201,$AB1398)&amp;""),"")))</f>
        <v/>
      </c>
      <c r="F1398" s="7">
        <f>IF($Z1398="C",INDEX(Contracts!$Q$2:$Q$151,$AB1398)&amp;"",IF($Z1398="A",INDEX(Fixed_Assets!$L$2:$L$201,$AB1398)&amp;"",IF($Z1398="F",INDEX(Workforce!$K$2:$K$151,MATCH(INDEX(FTE_Allocation!$A$2:$A$201,$AB1398),Workforce!$A$2:$A$151,0))&amp;"","")))</f>
        <v/>
      </c>
      <c r="G1398" s="7">
        <f>IF($Z1398="C",INDEX(Contracts!$F$2:$F$151,$AB1398)&amp;" / "&amp;INDEX(Contracts!$G$2:$G$151,$AB1398),IF($Z1398="A",INDEX(Fixed_Assets!$E$2:$E$201,$AB1398)&amp;"",IF($Z1398="F","Personnel "&amp;INDEX(FTE_Allocation!$A$2:$A$201,$AB1398)&amp;IF(INDEX(FTE_Allocation!$D$2:$D$201,$AB1398)="PROJECT"," ("&amp;INDEX(FTE_Allocation!$E$2:$E$201,$AB1398)&amp;")",""),"")))</f>
        <v/>
      </c>
      <c r="H1398" s="7">
        <f>IF($Z1398="C","CONTRACT",IF($Z1398="A","ASSET",IF($Z1398="F","WORKFORCE","")))</f>
        <v/>
      </c>
      <c r="I1398" s="7">
        <f>IF($Z1398="C",INDEX(Contracts!$L$2:$L$151,$AB1398)&amp;"",IF($Z1398="A",INDEX(Fixed_Assets!$I$2:$I$201,$AB1398)&amp;"",IF($Z1398="F",INDEX(Workforce!$G$2:$G$151,MATCH(INDEX(FTE_Allocation!$A$2:$A$201,$AB1398),Workforce!$A$2:$A$151,0))&amp;"","")))</f>
        <v/>
      </c>
      <c r="J1398" s="18">
        <f>IF($Z1398="","",IF(AND(DATE($AD1398,1,1)&gt;=$AE1398,DATE($AD1398,1,1)&lt;=$AF1398),ROUND($AG1398,2),0))</f>
        <v/>
      </c>
      <c r="K1398" s="18">
        <f>IF($Z1398="","",IF(AND(DATE($AD1398,2,1)&gt;=$AE1398,DATE($AD1398,2,1)&lt;=$AF1398),ROUND($AG1398,2),0))</f>
        <v/>
      </c>
      <c r="L1398" s="18">
        <f>IF($Z1398="","",IF(AND(DATE($AD1398,3,1)&gt;=$AE1398,DATE($AD1398,3,1)&lt;=$AF1398),ROUND($AG1398,2),0))</f>
        <v/>
      </c>
      <c r="M1398" s="18">
        <f>IF($Z1398="","",IF(AND(DATE($AD1398,4,1)&gt;=$AE1398,DATE($AD1398,4,1)&lt;=$AF1398),ROUND($AG1398,2),0))</f>
        <v/>
      </c>
      <c r="N1398" s="18">
        <f>IF($Z1398="","",IF(AND(DATE($AD1398,5,1)&gt;=$AE1398,DATE($AD1398,5,1)&lt;=$AF1398),ROUND($AG1398,2),0))</f>
        <v/>
      </c>
      <c r="O1398" s="18">
        <f>IF($Z1398="","",IF(AND(DATE($AD1398,6,1)&gt;=$AE1398,DATE($AD1398,6,1)&lt;=$AF1398),ROUND($AG1398,2),0))</f>
        <v/>
      </c>
      <c r="P1398" s="18">
        <f>IF($Z1398="","",IF(AND(DATE($AD1398,7,1)&gt;=$AE1398,DATE($AD1398,7,1)&lt;=$AF1398),ROUND($AG1398,2),0))</f>
        <v/>
      </c>
      <c r="Q1398" s="18">
        <f>IF($Z1398="","",IF(AND(DATE($AD1398,8,1)&gt;=$AE1398,DATE($AD1398,8,1)&lt;=$AF1398),ROUND($AG1398,2),0))</f>
        <v/>
      </c>
      <c r="R1398" s="18">
        <f>IF($Z1398="","",IF(AND(DATE($AD1398,9,1)&gt;=$AE1398,DATE($AD1398,9,1)&lt;=$AF1398),ROUND($AG1398,2),0))</f>
        <v/>
      </c>
      <c r="S1398" s="18">
        <f>IF($Z1398="","",IF(AND(DATE($AD1398,10,1)&gt;=$AE1398,DATE($AD1398,10,1)&lt;=$AF1398),ROUND($AG1398,2),0))</f>
        <v/>
      </c>
      <c r="T1398" s="18">
        <f>IF($Z1398="","",IF(AND(DATE($AD1398,11,1)&gt;=$AE1398,DATE($AD1398,11,1)&lt;=$AF1398),ROUND($AG1398,2),0))</f>
        <v/>
      </c>
      <c r="U1398" s="18">
        <f>IF($Z1398="","",IF(AND(DATE($AD1398,12,1)&gt;=$AE1398,DATE($AD1398,12,1)&lt;=$AF1398),ROUND($AG1398,2),0))</f>
        <v/>
      </c>
      <c r="V1398" s="7">
        <f>IF($Z1398="C","Generated from "&amp;INDEX(Contracts!$A$2:$A$151,$AB1398),IF($Z1398="A","Generated from "&amp;INDEX(Fixed_Assets!$A$2:$A$201,$AB1398),IF($Z1398="F","Generated from "&amp;INDEX(FTE_Allocation!$A$2:$A$201,$AB1398),"")))</f>
        <v/>
      </c>
      <c r="X1398" s="19">
        <f>IF($Z1398="","",SUM(J1398:U1398))</f>
        <v/>
      </c>
      <c r="Y1398" s="20">
        <f>ROW()-1</f>
        <v/>
      </c>
      <c r="Z1398" s="20">
        <f>IF($Y1398&lt;=Settings!$B$4*3,"C",IF($Y1398&lt;=(Settings!$B$4+Settings!$B$5)*3,"A",IF($Y1398&lt;=(Settings!$B$4+Settings!$B$5+Settings!$B$6)*3,"F","")))</f>
        <v/>
      </c>
      <c r="AA1398" s="20">
        <f>IF($Z1398="C",$Y1398,IF($Z1398="A",$Y1398-Settings!$B$4*3,IF($Z1398="F",$Y1398-(Settings!$B$4+Settings!$B$5)*3,"")))</f>
        <v/>
      </c>
      <c r="AB1398" s="20">
        <f>IF($Z1398="","",INT(($AA1398-1)/3)+1)</f>
        <v/>
      </c>
      <c r="AC1398" s="20">
        <f>IF($Z1398="","",MOD($AA1398-1,3)+1)</f>
        <v/>
      </c>
      <c r="AD1398" s="20">
        <f>IF($Z1398="","",Settings!$B$2+$AC1398-1)</f>
        <v/>
      </c>
      <c r="AE1398" s="21">
        <f>IF($Z1398="C",DATE(YEAR(INDEX(Contracts!$J$2:$J$151,$AB1398)),MONTH(INDEX(Contracts!$J$2:$J$151,$AB1398)),1),IF($Z1398="A",DATE(YEAR(INDEX(Fixed_Assets!$G$2:$G$201,$AB1398)),MONTH(INDEX(Fixed_Assets!$G$2:$G$201,$AB1398)),1),IF($Z1398="F",DATE(YEAR(MAX(N(INDEX(Workforce!$I$2:$I$151,MATCH(INDEX(FTE_Allocation!$A$2:$A$201,$AB1398),Workforce!$A$2:$A$151,0))),N(INDEX(FTE_Allocation!$I$2:$I$201,$AB1398)))),MONTH(MAX(N(INDEX(Workforce!$I$2:$I$151,MATCH(INDEX(FTE_Allocation!$A$2:$A$201,$AB1398),Workforce!$A$2:$A$151,0))),N(INDEX(FTE_Allocation!$I$2:$I$201,$AB1398)))),1),"")))</f>
        <v/>
      </c>
      <c r="AF1398" s="21">
        <f>IF($Z1398="C",IF(INDEX(Contracts!$I$2:$I$151,$AB1398)="PREPAID",EDATE(DATE(YEAR(INDEX(Contracts!$J$2:$J$151,$AB1398)),MONTH(INDEX(Contracts!$J$2:$J$151,$AB1398)),1),IF(INDEX(Contracts!$N$2:$N$151,$AB1398)="",12,INDEX(Contracts!$N$2:$N$151,$AB1398))-1),IF(INDEX(Contracts!$I$2:$I$151,$AB1398)="MONTHLY",IF(INDEX(Contracts!$K$2:$K$151,$AB1398)="",2958101,INDEX(Contracts!$K$2:$K$151,$AB1398)),0)),IF($Z1398="A",EDATE(DATE(YEAR(INDEX(Fixed_Assets!$G$2:$G$201,$AB1398)),MONTH(INDEX(Fixed_Assets!$G$2:$G$201,$AB1398)),1),INDEX(Fixed_Assets!$J$2:$J$201,$AB1398)-1),IF($Z1398="F",MIN(IF(INDEX(Workforce!$J$2:$J$151,MATCH(INDEX(FTE_Allocation!$A$2:$A$201,$AB1398),Workforce!$A$2:$A$151,0))="",2958101,INDEX(Workforce!$J$2:$J$151,MATCH(INDEX(FTE_Allocation!$A$2:$A$201,$AB1398),Workforce!$A$2:$A$151,0))),IF(INDEX(FTE_Allocation!$J$2:$J$201,$AB1398)="",2958101,INDEX(FTE_Allocation!$J$2:$J$201,$AB1398))),"")))</f>
        <v/>
      </c>
      <c r="AG1398" s="19">
        <f>IF($Z1398="C",IF(INDEX(Contracts!$I$2:$I$151,$AB1398)="PREPAID",INDEX(Contracts!$M$2:$M$151,$AB1398)/IF(INDEX(Contracts!$N$2:$N$151,$AB1398)="",12,INDEX(Contracts!$N$2:$N$151,$AB1398)),IF(INDEX(Contracts!$I$2:$I$151,$AB1398)="MONTHLY",INDEX(Contracts!$M$2:$M$151,$AB1398),0))*(1-N(INDEX(Contracts!$O$2:$O$151,$AB1398))),IF($Z1398="A",INDEX(Fixed_Assets!$H$2:$H$201,$AB1398)/INDEX(Fixed_Assets!$J$2:$J$201,$AB1398),IF($Z1398="F",INDEX(Workforce!$F$2:$F$151,MATCH(INDEX(FTE_Allocation!$A$2:$A$201,$AB1398),Workforce!$A$2:$A$151,0))*N(INDEX(FTE_Allocation!$F$2:$H$201,$AB1398,$AC1398)),"")))</f>
        <v/>
      </c>
    </row>
    <row r="1399">
      <c r="A1399" s="7">
        <f>IF($Z1399="","",$AD1399)</f>
        <v/>
      </c>
      <c r="B1399" s="7">
        <f>IF($Z1399="C",INDEX(Contracts!$D$2:$D$151,$AB1399)&amp;"",IF($Z1399="A",INDEX(Fixed_Assets!$C$2:$C$201,$AB1399)&amp;"",IF($Z1399="F",INDEX(Workforce!$B$2:$B$151,MATCH(INDEX(FTE_Allocation!$A$2:$A$201,$AB1399),Workforce!$A$2:$A$151,0))&amp;"","")))</f>
        <v/>
      </c>
      <c r="C1399" s="7">
        <f>IF($Z1399="C",INDEX(Contracts!$E$2:$E$151,$AB1399)&amp;"",IF($Z1399="A",INDEX(Fixed_Assets!$D$2:$D$201,$AB1399)&amp;"",IF($Z1399="F",INDEX(FTE_Allocation!$C$2:$C$201,$AB1399)&amp;"","")))</f>
        <v/>
      </c>
      <c r="D1399" s="7">
        <f>IF($Z1399="C",INDEX(Contracts!$B$2:$B$151,$AB1399)&amp;"",IF($Z1399="A",INDEX(Fixed_Assets!$B$2:$B$201,$AB1399)&amp;"",IF($Z1399="F",INDEX(FTE_Allocation!$B$2:$B$201,$AB1399)&amp;"","")))</f>
        <v/>
      </c>
      <c r="E1399" s="7">
        <f>IF($Z1399="C",INDEX(Contracts!$P$2:$P$151,$AB1399)&amp;"",IF($Z1399="A",INDEX(Fixed_Assets!$K$2:$K$201,$AB1399)&amp;"",IF($Z1399="F",IF(INDEX(FTE_Allocation!$D$2:$D$201,$AB1399)="PROJECT",IFERROR(INDEX(Projects!$D:$D,MATCH(INDEX(FTE_Allocation!$E$2:$E$201,$AB1399),Projects!$A:$A,0))&amp;"","#PROJECT?"),INDEX(FTE_Allocation!$E$2:$E$201,$AB1399)&amp;""),"")))</f>
        <v/>
      </c>
      <c r="F1399" s="7">
        <f>IF($Z1399="C",INDEX(Contracts!$Q$2:$Q$151,$AB1399)&amp;"",IF($Z1399="A",INDEX(Fixed_Assets!$L$2:$L$201,$AB1399)&amp;"",IF($Z1399="F",INDEX(Workforce!$K$2:$K$151,MATCH(INDEX(FTE_Allocation!$A$2:$A$201,$AB1399),Workforce!$A$2:$A$151,0))&amp;"","")))</f>
        <v/>
      </c>
      <c r="G1399" s="7">
        <f>IF($Z1399="C",INDEX(Contracts!$F$2:$F$151,$AB1399)&amp;" / "&amp;INDEX(Contracts!$G$2:$G$151,$AB1399),IF($Z1399="A",INDEX(Fixed_Assets!$E$2:$E$201,$AB1399)&amp;"",IF($Z1399="F","Personnel "&amp;INDEX(FTE_Allocation!$A$2:$A$201,$AB1399)&amp;IF(INDEX(FTE_Allocation!$D$2:$D$201,$AB1399)="PROJECT"," ("&amp;INDEX(FTE_Allocation!$E$2:$E$201,$AB1399)&amp;")",""),"")))</f>
        <v/>
      </c>
      <c r="H1399" s="7">
        <f>IF($Z1399="C","CONTRACT",IF($Z1399="A","ASSET",IF($Z1399="F","WORKFORCE","")))</f>
        <v/>
      </c>
      <c r="I1399" s="7">
        <f>IF($Z1399="C",INDEX(Contracts!$L$2:$L$151,$AB1399)&amp;"",IF($Z1399="A",INDEX(Fixed_Assets!$I$2:$I$201,$AB1399)&amp;"",IF($Z1399="F",INDEX(Workforce!$G$2:$G$151,MATCH(INDEX(FTE_Allocation!$A$2:$A$201,$AB1399),Workforce!$A$2:$A$151,0))&amp;"","")))</f>
        <v/>
      </c>
      <c r="J1399" s="18">
        <f>IF($Z1399="","",IF(AND(DATE($AD1399,1,1)&gt;=$AE1399,DATE($AD1399,1,1)&lt;=$AF1399),ROUND($AG1399,2),0))</f>
        <v/>
      </c>
      <c r="K1399" s="18">
        <f>IF($Z1399="","",IF(AND(DATE($AD1399,2,1)&gt;=$AE1399,DATE($AD1399,2,1)&lt;=$AF1399),ROUND($AG1399,2),0))</f>
        <v/>
      </c>
      <c r="L1399" s="18">
        <f>IF($Z1399="","",IF(AND(DATE($AD1399,3,1)&gt;=$AE1399,DATE($AD1399,3,1)&lt;=$AF1399),ROUND($AG1399,2),0))</f>
        <v/>
      </c>
      <c r="M1399" s="18">
        <f>IF($Z1399="","",IF(AND(DATE($AD1399,4,1)&gt;=$AE1399,DATE($AD1399,4,1)&lt;=$AF1399),ROUND($AG1399,2),0))</f>
        <v/>
      </c>
      <c r="N1399" s="18">
        <f>IF($Z1399="","",IF(AND(DATE($AD1399,5,1)&gt;=$AE1399,DATE($AD1399,5,1)&lt;=$AF1399),ROUND($AG1399,2),0))</f>
        <v/>
      </c>
      <c r="O1399" s="18">
        <f>IF($Z1399="","",IF(AND(DATE($AD1399,6,1)&gt;=$AE1399,DATE($AD1399,6,1)&lt;=$AF1399),ROUND($AG1399,2),0))</f>
        <v/>
      </c>
      <c r="P1399" s="18">
        <f>IF($Z1399="","",IF(AND(DATE($AD1399,7,1)&gt;=$AE1399,DATE($AD1399,7,1)&lt;=$AF1399),ROUND($AG1399,2),0))</f>
        <v/>
      </c>
      <c r="Q1399" s="18">
        <f>IF($Z1399="","",IF(AND(DATE($AD1399,8,1)&gt;=$AE1399,DATE($AD1399,8,1)&lt;=$AF1399),ROUND($AG1399,2),0))</f>
        <v/>
      </c>
      <c r="R1399" s="18">
        <f>IF($Z1399="","",IF(AND(DATE($AD1399,9,1)&gt;=$AE1399,DATE($AD1399,9,1)&lt;=$AF1399),ROUND($AG1399,2),0))</f>
        <v/>
      </c>
      <c r="S1399" s="18">
        <f>IF($Z1399="","",IF(AND(DATE($AD1399,10,1)&gt;=$AE1399,DATE($AD1399,10,1)&lt;=$AF1399),ROUND($AG1399,2),0))</f>
        <v/>
      </c>
      <c r="T1399" s="18">
        <f>IF($Z1399="","",IF(AND(DATE($AD1399,11,1)&gt;=$AE1399,DATE($AD1399,11,1)&lt;=$AF1399),ROUND($AG1399,2),0))</f>
        <v/>
      </c>
      <c r="U1399" s="18">
        <f>IF($Z1399="","",IF(AND(DATE($AD1399,12,1)&gt;=$AE1399,DATE($AD1399,12,1)&lt;=$AF1399),ROUND($AG1399,2),0))</f>
        <v/>
      </c>
      <c r="V1399" s="7">
        <f>IF($Z1399="C","Generated from "&amp;INDEX(Contracts!$A$2:$A$151,$AB1399),IF($Z1399="A","Generated from "&amp;INDEX(Fixed_Assets!$A$2:$A$201,$AB1399),IF($Z1399="F","Generated from "&amp;INDEX(FTE_Allocation!$A$2:$A$201,$AB1399),"")))</f>
        <v/>
      </c>
      <c r="X1399" s="19">
        <f>IF($Z1399="","",SUM(J1399:U1399))</f>
        <v/>
      </c>
      <c r="Y1399" s="20">
        <f>ROW()-1</f>
        <v/>
      </c>
      <c r="Z1399" s="20">
        <f>IF($Y1399&lt;=Settings!$B$4*3,"C",IF($Y1399&lt;=(Settings!$B$4+Settings!$B$5)*3,"A",IF($Y1399&lt;=(Settings!$B$4+Settings!$B$5+Settings!$B$6)*3,"F","")))</f>
        <v/>
      </c>
      <c r="AA1399" s="20">
        <f>IF($Z1399="C",$Y1399,IF($Z1399="A",$Y1399-Settings!$B$4*3,IF($Z1399="F",$Y1399-(Settings!$B$4+Settings!$B$5)*3,"")))</f>
        <v/>
      </c>
      <c r="AB1399" s="20">
        <f>IF($Z1399="","",INT(($AA1399-1)/3)+1)</f>
        <v/>
      </c>
      <c r="AC1399" s="20">
        <f>IF($Z1399="","",MOD($AA1399-1,3)+1)</f>
        <v/>
      </c>
      <c r="AD1399" s="20">
        <f>IF($Z1399="","",Settings!$B$2+$AC1399-1)</f>
        <v/>
      </c>
      <c r="AE1399" s="21">
        <f>IF($Z1399="C",DATE(YEAR(INDEX(Contracts!$J$2:$J$151,$AB1399)),MONTH(INDEX(Contracts!$J$2:$J$151,$AB1399)),1),IF($Z1399="A",DATE(YEAR(INDEX(Fixed_Assets!$G$2:$G$201,$AB1399)),MONTH(INDEX(Fixed_Assets!$G$2:$G$201,$AB1399)),1),IF($Z1399="F",DATE(YEAR(MAX(N(INDEX(Workforce!$I$2:$I$151,MATCH(INDEX(FTE_Allocation!$A$2:$A$201,$AB1399),Workforce!$A$2:$A$151,0))),N(INDEX(FTE_Allocation!$I$2:$I$201,$AB1399)))),MONTH(MAX(N(INDEX(Workforce!$I$2:$I$151,MATCH(INDEX(FTE_Allocation!$A$2:$A$201,$AB1399),Workforce!$A$2:$A$151,0))),N(INDEX(FTE_Allocation!$I$2:$I$201,$AB1399)))),1),"")))</f>
        <v/>
      </c>
      <c r="AF1399" s="21">
        <f>IF($Z1399="C",IF(INDEX(Contracts!$I$2:$I$151,$AB1399)="PREPAID",EDATE(DATE(YEAR(INDEX(Contracts!$J$2:$J$151,$AB1399)),MONTH(INDEX(Contracts!$J$2:$J$151,$AB1399)),1),IF(INDEX(Contracts!$N$2:$N$151,$AB1399)="",12,INDEX(Contracts!$N$2:$N$151,$AB1399))-1),IF(INDEX(Contracts!$I$2:$I$151,$AB1399)="MONTHLY",IF(INDEX(Contracts!$K$2:$K$151,$AB1399)="",2958101,INDEX(Contracts!$K$2:$K$151,$AB1399)),0)),IF($Z1399="A",EDATE(DATE(YEAR(INDEX(Fixed_Assets!$G$2:$G$201,$AB1399)),MONTH(INDEX(Fixed_Assets!$G$2:$G$201,$AB1399)),1),INDEX(Fixed_Assets!$J$2:$J$201,$AB1399)-1),IF($Z1399="F",MIN(IF(INDEX(Workforce!$J$2:$J$151,MATCH(INDEX(FTE_Allocation!$A$2:$A$201,$AB1399),Workforce!$A$2:$A$151,0))="",2958101,INDEX(Workforce!$J$2:$J$151,MATCH(INDEX(FTE_Allocation!$A$2:$A$201,$AB1399),Workforce!$A$2:$A$151,0))),IF(INDEX(FTE_Allocation!$J$2:$J$201,$AB1399)="",2958101,INDEX(FTE_Allocation!$J$2:$J$201,$AB1399))),"")))</f>
        <v/>
      </c>
      <c r="AG1399" s="19">
        <f>IF($Z1399="C",IF(INDEX(Contracts!$I$2:$I$151,$AB1399)="PREPAID",INDEX(Contracts!$M$2:$M$151,$AB1399)/IF(INDEX(Contracts!$N$2:$N$151,$AB1399)="",12,INDEX(Contracts!$N$2:$N$151,$AB1399)),IF(INDEX(Contracts!$I$2:$I$151,$AB1399)="MONTHLY",INDEX(Contracts!$M$2:$M$151,$AB1399),0))*(1-N(INDEX(Contracts!$O$2:$O$151,$AB1399))),IF($Z1399="A",INDEX(Fixed_Assets!$H$2:$H$201,$AB1399)/INDEX(Fixed_Assets!$J$2:$J$201,$AB1399),IF($Z1399="F",INDEX(Workforce!$F$2:$F$151,MATCH(INDEX(FTE_Allocation!$A$2:$A$201,$AB1399),Workforce!$A$2:$A$151,0))*N(INDEX(FTE_Allocation!$F$2:$H$201,$AB1399,$AC1399)),"")))</f>
        <v/>
      </c>
    </row>
    <row r="1400">
      <c r="A1400" s="7">
        <f>IF($Z1400="","",$AD1400)</f>
        <v/>
      </c>
      <c r="B1400" s="7">
        <f>IF($Z1400="C",INDEX(Contracts!$D$2:$D$151,$AB1400)&amp;"",IF($Z1400="A",INDEX(Fixed_Assets!$C$2:$C$201,$AB1400)&amp;"",IF($Z1400="F",INDEX(Workforce!$B$2:$B$151,MATCH(INDEX(FTE_Allocation!$A$2:$A$201,$AB1400),Workforce!$A$2:$A$151,0))&amp;"","")))</f>
        <v/>
      </c>
      <c r="C1400" s="7">
        <f>IF($Z1400="C",INDEX(Contracts!$E$2:$E$151,$AB1400)&amp;"",IF($Z1400="A",INDEX(Fixed_Assets!$D$2:$D$201,$AB1400)&amp;"",IF($Z1400="F",INDEX(FTE_Allocation!$C$2:$C$201,$AB1400)&amp;"","")))</f>
        <v/>
      </c>
      <c r="D1400" s="7">
        <f>IF($Z1400="C",INDEX(Contracts!$B$2:$B$151,$AB1400)&amp;"",IF($Z1400="A",INDEX(Fixed_Assets!$B$2:$B$201,$AB1400)&amp;"",IF($Z1400="F",INDEX(FTE_Allocation!$B$2:$B$201,$AB1400)&amp;"","")))</f>
        <v/>
      </c>
      <c r="E1400" s="7">
        <f>IF($Z1400="C",INDEX(Contracts!$P$2:$P$151,$AB1400)&amp;"",IF($Z1400="A",INDEX(Fixed_Assets!$K$2:$K$201,$AB1400)&amp;"",IF($Z1400="F",IF(INDEX(FTE_Allocation!$D$2:$D$201,$AB1400)="PROJECT",IFERROR(INDEX(Projects!$D:$D,MATCH(INDEX(FTE_Allocation!$E$2:$E$201,$AB1400),Projects!$A:$A,0))&amp;"","#PROJECT?"),INDEX(FTE_Allocation!$E$2:$E$201,$AB1400)&amp;""),"")))</f>
        <v/>
      </c>
      <c r="F1400" s="7">
        <f>IF($Z1400="C",INDEX(Contracts!$Q$2:$Q$151,$AB1400)&amp;"",IF($Z1400="A",INDEX(Fixed_Assets!$L$2:$L$201,$AB1400)&amp;"",IF($Z1400="F",INDEX(Workforce!$K$2:$K$151,MATCH(INDEX(FTE_Allocation!$A$2:$A$201,$AB1400),Workforce!$A$2:$A$151,0))&amp;"","")))</f>
        <v/>
      </c>
      <c r="G1400" s="7">
        <f>IF($Z1400="C",INDEX(Contracts!$F$2:$F$151,$AB1400)&amp;" / "&amp;INDEX(Contracts!$G$2:$G$151,$AB1400),IF($Z1400="A",INDEX(Fixed_Assets!$E$2:$E$201,$AB1400)&amp;"",IF($Z1400="F","Personnel "&amp;INDEX(FTE_Allocation!$A$2:$A$201,$AB1400)&amp;IF(INDEX(FTE_Allocation!$D$2:$D$201,$AB1400)="PROJECT"," ("&amp;INDEX(FTE_Allocation!$E$2:$E$201,$AB1400)&amp;")",""),"")))</f>
        <v/>
      </c>
      <c r="H1400" s="7">
        <f>IF($Z1400="C","CONTRACT",IF($Z1400="A","ASSET",IF($Z1400="F","WORKFORCE","")))</f>
        <v/>
      </c>
      <c r="I1400" s="7">
        <f>IF($Z1400="C",INDEX(Contracts!$L$2:$L$151,$AB1400)&amp;"",IF($Z1400="A",INDEX(Fixed_Assets!$I$2:$I$201,$AB1400)&amp;"",IF($Z1400="F",INDEX(Workforce!$G$2:$G$151,MATCH(INDEX(FTE_Allocation!$A$2:$A$201,$AB1400),Workforce!$A$2:$A$151,0))&amp;"","")))</f>
        <v/>
      </c>
      <c r="J1400" s="18">
        <f>IF($Z1400="","",IF(AND(DATE($AD1400,1,1)&gt;=$AE1400,DATE($AD1400,1,1)&lt;=$AF1400),ROUND($AG1400,2),0))</f>
        <v/>
      </c>
      <c r="K1400" s="18">
        <f>IF($Z1400="","",IF(AND(DATE($AD1400,2,1)&gt;=$AE1400,DATE($AD1400,2,1)&lt;=$AF1400),ROUND($AG1400,2),0))</f>
        <v/>
      </c>
      <c r="L1400" s="18">
        <f>IF($Z1400="","",IF(AND(DATE($AD1400,3,1)&gt;=$AE1400,DATE($AD1400,3,1)&lt;=$AF1400),ROUND($AG1400,2),0))</f>
        <v/>
      </c>
      <c r="M1400" s="18">
        <f>IF($Z1400="","",IF(AND(DATE($AD1400,4,1)&gt;=$AE1400,DATE($AD1400,4,1)&lt;=$AF1400),ROUND($AG1400,2),0))</f>
        <v/>
      </c>
      <c r="N1400" s="18">
        <f>IF($Z1400="","",IF(AND(DATE($AD1400,5,1)&gt;=$AE1400,DATE($AD1400,5,1)&lt;=$AF1400),ROUND($AG1400,2),0))</f>
        <v/>
      </c>
      <c r="O1400" s="18">
        <f>IF($Z1400="","",IF(AND(DATE($AD1400,6,1)&gt;=$AE1400,DATE($AD1400,6,1)&lt;=$AF1400),ROUND($AG1400,2),0))</f>
        <v/>
      </c>
      <c r="P1400" s="18">
        <f>IF($Z1400="","",IF(AND(DATE($AD1400,7,1)&gt;=$AE1400,DATE($AD1400,7,1)&lt;=$AF1400),ROUND($AG1400,2),0))</f>
        <v/>
      </c>
      <c r="Q1400" s="18">
        <f>IF($Z1400="","",IF(AND(DATE($AD1400,8,1)&gt;=$AE1400,DATE($AD1400,8,1)&lt;=$AF1400),ROUND($AG1400,2),0))</f>
        <v/>
      </c>
      <c r="R1400" s="18">
        <f>IF($Z1400="","",IF(AND(DATE($AD1400,9,1)&gt;=$AE1400,DATE($AD1400,9,1)&lt;=$AF1400),ROUND($AG1400,2),0))</f>
        <v/>
      </c>
      <c r="S1400" s="18">
        <f>IF($Z1400="","",IF(AND(DATE($AD1400,10,1)&gt;=$AE1400,DATE($AD1400,10,1)&lt;=$AF1400),ROUND($AG1400,2),0))</f>
        <v/>
      </c>
      <c r="T1400" s="18">
        <f>IF($Z1400="","",IF(AND(DATE($AD1400,11,1)&gt;=$AE1400,DATE($AD1400,11,1)&lt;=$AF1400),ROUND($AG1400,2),0))</f>
        <v/>
      </c>
      <c r="U1400" s="18">
        <f>IF($Z1400="","",IF(AND(DATE($AD1400,12,1)&gt;=$AE1400,DATE($AD1400,12,1)&lt;=$AF1400),ROUND($AG1400,2),0))</f>
        <v/>
      </c>
      <c r="V1400" s="7">
        <f>IF($Z1400="C","Generated from "&amp;INDEX(Contracts!$A$2:$A$151,$AB1400),IF($Z1400="A","Generated from "&amp;INDEX(Fixed_Assets!$A$2:$A$201,$AB1400),IF($Z1400="F","Generated from "&amp;INDEX(FTE_Allocation!$A$2:$A$201,$AB1400),"")))</f>
        <v/>
      </c>
      <c r="X1400" s="19">
        <f>IF($Z1400="","",SUM(J1400:U1400))</f>
        <v/>
      </c>
      <c r="Y1400" s="20">
        <f>ROW()-1</f>
        <v/>
      </c>
      <c r="Z1400" s="20">
        <f>IF($Y1400&lt;=Settings!$B$4*3,"C",IF($Y1400&lt;=(Settings!$B$4+Settings!$B$5)*3,"A",IF($Y1400&lt;=(Settings!$B$4+Settings!$B$5+Settings!$B$6)*3,"F","")))</f>
        <v/>
      </c>
      <c r="AA1400" s="20">
        <f>IF($Z1400="C",$Y1400,IF($Z1400="A",$Y1400-Settings!$B$4*3,IF($Z1400="F",$Y1400-(Settings!$B$4+Settings!$B$5)*3,"")))</f>
        <v/>
      </c>
      <c r="AB1400" s="20">
        <f>IF($Z1400="","",INT(($AA1400-1)/3)+1)</f>
        <v/>
      </c>
      <c r="AC1400" s="20">
        <f>IF($Z1400="","",MOD($AA1400-1,3)+1)</f>
        <v/>
      </c>
      <c r="AD1400" s="20">
        <f>IF($Z1400="","",Settings!$B$2+$AC1400-1)</f>
        <v/>
      </c>
      <c r="AE1400" s="21">
        <f>IF($Z1400="C",DATE(YEAR(INDEX(Contracts!$J$2:$J$151,$AB1400)),MONTH(INDEX(Contracts!$J$2:$J$151,$AB1400)),1),IF($Z1400="A",DATE(YEAR(INDEX(Fixed_Assets!$G$2:$G$201,$AB1400)),MONTH(INDEX(Fixed_Assets!$G$2:$G$201,$AB1400)),1),IF($Z1400="F",DATE(YEAR(MAX(N(INDEX(Workforce!$I$2:$I$151,MATCH(INDEX(FTE_Allocation!$A$2:$A$201,$AB1400),Workforce!$A$2:$A$151,0))),N(INDEX(FTE_Allocation!$I$2:$I$201,$AB1400)))),MONTH(MAX(N(INDEX(Workforce!$I$2:$I$151,MATCH(INDEX(FTE_Allocation!$A$2:$A$201,$AB1400),Workforce!$A$2:$A$151,0))),N(INDEX(FTE_Allocation!$I$2:$I$201,$AB1400)))),1),"")))</f>
        <v/>
      </c>
      <c r="AF1400" s="21">
        <f>IF($Z1400="C",IF(INDEX(Contracts!$I$2:$I$151,$AB1400)="PREPAID",EDATE(DATE(YEAR(INDEX(Contracts!$J$2:$J$151,$AB1400)),MONTH(INDEX(Contracts!$J$2:$J$151,$AB1400)),1),IF(INDEX(Contracts!$N$2:$N$151,$AB1400)="",12,INDEX(Contracts!$N$2:$N$151,$AB1400))-1),IF(INDEX(Contracts!$I$2:$I$151,$AB1400)="MONTHLY",IF(INDEX(Contracts!$K$2:$K$151,$AB1400)="",2958101,INDEX(Contracts!$K$2:$K$151,$AB1400)),0)),IF($Z1400="A",EDATE(DATE(YEAR(INDEX(Fixed_Assets!$G$2:$G$201,$AB1400)),MONTH(INDEX(Fixed_Assets!$G$2:$G$201,$AB1400)),1),INDEX(Fixed_Assets!$J$2:$J$201,$AB1400)-1),IF($Z1400="F",MIN(IF(INDEX(Workforce!$J$2:$J$151,MATCH(INDEX(FTE_Allocation!$A$2:$A$201,$AB1400),Workforce!$A$2:$A$151,0))="",2958101,INDEX(Workforce!$J$2:$J$151,MATCH(INDEX(FTE_Allocation!$A$2:$A$201,$AB1400),Workforce!$A$2:$A$151,0))),IF(INDEX(FTE_Allocation!$J$2:$J$201,$AB1400)="",2958101,INDEX(FTE_Allocation!$J$2:$J$201,$AB1400))),"")))</f>
        <v/>
      </c>
      <c r="AG1400" s="19">
        <f>IF($Z1400="C",IF(INDEX(Contracts!$I$2:$I$151,$AB1400)="PREPAID",INDEX(Contracts!$M$2:$M$151,$AB1400)/IF(INDEX(Contracts!$N$2:$N$151,$AB1400)="",12,INDEX(Contracts!$N$2:$N$151,$AB1400)),IF(INDEX(Contracts!$I$2:$I$151,$AB1400)="MONTHLY",INDEX(Contracts!$M$2:$M$151,$AB1400),0))*(1-N(INDEX(Contracts!$O$2:$O$151,$AB1400))),IF($Z1400="A",INDEX(Fixed_Assets!$H$2:$H$201,$AB1400)/INDEX(Fixed_Assets!$J$2:$J$201,$AB1400),IF($Z1400="F",INDEX(Workforce!$F$2:$F$151,MATCH(INDEX(FTE_Allocation!$A$2:$A$201,$AB1400),Workforce!$A$2:$A$151,0))*N(INDEX(FTE_Allocation!$F$2:$H$201,$AB1400,$AC1400)),"")))</f>
        <v/>
      </c>
    </row>
    <row r="1401">
      <c r="A1401" s="7">
        <f>IF($Z1401="","",$AD1401)</f>
        <v/>
      </c>
      <c r="B1401" s="7">
        <f>IF($Z1401="C",INDEX(Contracts!$D$2:$D$151,$AB1401)&amp;"",IF($Z1401="A",INDEX(Fixed_Assets!$C$2:$C$201,$AB1401)&amp;"",IF($Z1401="F",INDEX(Workforce!$B$2:$B$151,MATCH(INDEX(FTE_Allocation!$A$2:$A$201,$AB1401),Workforce!$A$2:$A$151,0))&amp;"","")))</f>
        <v/>
      </c>
      <c r="C1401" s="7">
        <f>IF($Z1401="C",INDEX(Contracts!$E$2:$E$151,$AB1401)&amp;"",IF($Z1401="A",INDEX(Fixed_Assets!$D$2:$D$201,$AB1401)&amp;"",IF($Z1401="F",INDEX(FTE_Allocation!$C$2:$C$201,$AB1401)&amp;"","")))</f>
        <v/>
      </c>
      <c r="D1401" s="7">
        <f>IF($Z1401="C",INDEX(Contracts!$B$2:$B$151,$AB1401)&amp;"",IF($Z1401="A",INDEX(Fixed_Assets!$B$2:$B$201,$AB1401)&amp;"",IF($Z1401="F",INDEX(FTE_Allocation!$B$2:$B$201,$AB1401)&amp;"","")))</f>
        <v/>
      </c>
      <c r="E1401" s="7">
        <f>IF($Z1401="C",INDEX(Contracts!$P$2:$P$151,$AB1401)&amp;"",IF($Z1401="A",INDEX(Fixed_Assets!$K$2:$K$201,$AB1401)&amp;"",IF($Z1401="F",IF(INDEX(FTE_Allocation!$D$2:$D$201,$AB1401)="PROJECT",IFERROR(INDEX(Projects!$D:$D,MATCH(INDEX(FTE_Allocation!$E$2:$E$201,$AB1401),Projects!$A:$A,0))&amp;"","#PROJECT?"),INDEX(FTE_Allocation!$E$2:$E$201,$AB1401)&amp;""),"")))</f>
        <v/>
      </c>
      <c r="F1401" s="7">
        <f>IF($Z1401="C",INDEX(Contracts!$Q$2:$Q$151,$AB1401)&amp;"",IF($Z1401="A",INDEX(Fixed_Assets!$L$2:$L$201,$AB1401)&amp;"",IF($Z1401="F",INDEX(Workforce!$K$2:$K$151,MATCH(INDEX(FTE_Allocation!$A$2:$A$201,$AB1401),Workforce!$A$2:$A$151,0))&amp;"","")))</f>
        <v/>
      </c>
      <c r="G1401" s="7">
        <f>IF($Z1401="C",INDEX(Contracts!$F$2:$F$151,$AB1401)&amp;" / "&amp;INDEX(Contracts!$G$2:$G$151,$AB1401),IF($Z1401="A",INDEX(Fixed_Assets!$E$2:$E$201,$AB1401)&amp;"",IF($Z1401="F","Personnel "&amp;INDEX(FTE_Allocation!$A$2:$A$201,$AB1401)&amp;IF(INDEX(FTE_Allocation!$D$2:$D$201,$AB1401)="PROJECT"," ("&amp;INDEX(FTE_Allocation!$E$2:$E$201,$AB1401)&amp;")",""),"")))</f>
        <v/>
      </c>
      <c r="H1401" s="7">
        <f>IF($Z1401="C","CONTRACT",IF($Z1401="A","ASSET",IF($Z1401="F","WORKFORCE","")))</f>
        <v/>
      </c>
      <c r="I1401" s="7">
        <f>IF($Z1401="C",INDEX(Contracts!$L$2:$L$151,$AB1401)&amp;"",IF($Z1401="A",INDEX(Fixed_Assets!$I$2:$I$201,$AB1401)&amp;"",IF($Z1401="F",INDEX(Workforce!$G$2:$G$151,MATCH(INDEX(FTE_Allocation!$A$2:$A$201,$AB1401),Workforce!$A$2:$A$151,0))&amp;"","")))</f>
        <v/>
      </c>
      <c r="J1401" s="18">
        <f>IF($Z1401="","",IF(AND(DATE($AD1401,1,1)&gt;=$AE1401,DATE($AD1401,1,1)&lt;=$AF1401),ROUND($AG1401,2),0))</f>
        <v/>
      </c>
      <c r="K1401" s="18">
        <f>IF($Z1401="","",IF(AND(DATE($AD1401,2,1)&gt;=$AE1401,DATE($AD1401,2,1)&lt;=$AF1401),ROUND($AG1401,2),0))</f>
        <v/>
      </c>
      <c r="L1401" s="18">
        <f>IF($Z1401="","",IF(AND(DATE($AD1401,3,1)&gt;=$AE1401,DATE($AD1401,3,1)&lt;=$AF1401),ROUND($AG1401,2),0))</f>
        <v/>
      </c>
      <c r="M1401" s="18">
        <f>IF($Z1401="","",IF(AND(DATE($AD1401,4,1)&gt;=$AE1401,DATE($AD1401,4,1)&lt;=$AF1401),ROUND($AG1401,2),0))</f>
        <v/>
      </c>
      <c r="N1401" s="18">
        <f>IF($Z1401="","",IF(AND(DATE($AD1401,5,1)&gt;=$AE1401,DATE($AD1401,5,1)&lt;=$AF1401),ROUND($AG1401,2),0))</f>
        <v/>
      </c>
      <c r="O1401" s="18">
        <f>IF($Z1401="","",IF(AND(DATE($AD1401,6,1)&gt;=$AE1401,DATE($AD1401,6,1)&lt;=$AF1401),ROUND($AG1401,2),0))</f>
        <v/>
      </c>
      <c r="P1401" s="18">
        <f>IF($Z1401="","",IF(AND(DATE($AD1401,7,1)&gt;=$AE1401,DATE($AD1401,7,1)&lt;=$AF1401),ROUND($AG1401,2),0))</f>
        <v/>
      </c>
      <c r="Q1401" s="18">
        <f>IF($Z1401="","",IF(AND(DATE($AD1401,8,1)&gt;=$AE1401,DATE($AD1401,8,1)&lt;=$AF1401),ROUND($AG1401,2),0))</f>
        <v/>
      </c>
      <c r="R1401" s="18">
        <f>IF($Z1401="","",IF(AND(DATE($AD1401,9,1)&gt;=$AE1401,DATE($AD1401,9,1)&lt;=$AF1401),ROUND($AG1401,2),0))</f>
        <v/>
      </c>
      <c r="S1401" s="18">
        <f>IF($Z1401="","",IF(AND(DATE($AD1401,10,1)&gt;=$AE1401,DATE($AD1401,10,1)&lt;=$AF1401),ROUND($AG1401,2),0))</f>
        <v/>
      </c>
      <c r="T1401" s="18">
        <f>IF($Z1401="","",IF(AND(DATE($AD1401,11,1)&gt;=$AE1401,DATE($AD1401,11,1)&lt;=$AF1401),ROUND($AG1401,2),0))</f>
        <v/>
      </c>
      <c r="U1401" s="18">
        <f>IF($Z1401="","",IF(AND(DATE($AD1401,12,1)&gt;=$AE1401,DATE($AD1401,12,1)&lt;=$AF1401),ROUND($AG1401,2),0))</f>
        <v/>
      </c>
      <c r="V1401" s="7">
        <f>IF($Z1401="C","Generated from "&amp;INDEX(Contracts!$A$2:$A$151,$AB1401),IF($Z1401="A","Generated from "&amp;INDEX(Fixed_Assets!$A$2:$A$201,$AB1401),IF($Z1401="F","Generated from "&amp;INDEX(FTE_Allocation!$A$2:$A$201,$AB1401),"")))</f>
        <v/>
      </c>
      <c r="X1401" s="19">
        <f>IF($Z1401="","",SUM(J1401:U1401))</f>
        <v/>
      </c>
      <c r="Y1401" s="20">
        <f>ROW()-1</f>
        <v/>
      </c>
      <c r="Z1401" s="20">
        <f>IF($Y1401&lt;=Settings!$B$4*3,"C",IF($Y1401&lt;=(Settings!$B$4+Settings!$B$5)*3,"A",IF($Y1401&lt;=(Settings!$B$4+Settings!$B$5+Settings!$B$6)*3,"F","")))</f>
        <v/>
      </c>
      <c r="AA1401" s="20">
        <f>IF($Z1401="C",$Y1401,IF($Z1401="A",$Y1401-Settings!$B$4*3,IF($Z1401="F",$Y1401-(Settings!$B$4+Settings!$B$5)*3,"")))</f>
        <v/>
      </c>
      <c r="AB1401" s="20">
        <f>IF($Z1401="","",INT(($AA1401-1)/3)+1)</f>
        <v/>
      </c>
      <c r="AC1401" s="20">
        <f>IF($Z1401="","",MOD($AA1401-1,3)+1)</f>
        <v/>
      </c>
      <c r="AD1401" s="20">
        <f>IF($Z1401="","",Settings!$B$2+$AC1401-1)</f>
        <v/>
      </c>
      <c r="AE1401" s="21">
        <f>IF($Z1401="C",DATE(YEAR(INDEX(Contracts!$J$2:$J$151,$AB1401)),MONTH(INDEX(Contracts!$J$2:$J$151,$AB1401)),1),IF($Z1401="A",DATE(YEAR(INDEX(Fixed_Assets!$G$2:$G$201,$AB1401)),MONTH(INDEX(Fixed_Assets!$G$2:$G$201,$AB1401)),1),IF($Z1401="F",DATE(YEAR(MAX(N(INDEX(Workforce!$I$2:$I$151,MATCH(INDEX(FTE_Allocation!$A$2:$A$201,$AB1401),Workforce!$A$2:$A$151,0))),N(INDEX(FTE_Allocation!$I$2:$I$201,$AB1401)))),MONTH(MAX(N(INDEX(Workforce!$I$2:$I$151,MATCH(INDEX(FTE_Allocation!$A$2:$A$201,$AB1401),Workforce!$A$2:$A$151,0))),N(INDEX(FTE_Allocation!$I$2:$I$201,$AB1401)))),1),"")))</f>
        <v/>
      </c>
      <c r="AF1401" s="21">
        <f>IF($Z1401="C",IF(INDEX(Contracts!$I$2:$I$151,$AB1401)="PREPAID",EDATE(DATE(YEAR(INDEX(Contracts!$J$2:$J$151,$AB1401)),MONTH(INDEX(Contracts!$J$2:$J$151,$AB1401)),1),IF(INDEX(Contracts!$N$2:$N$151,$AB1401)="",12,INDEX(Contracts!$N$2:$N$151,$AB1401))-1),IF(INDEX(Contracts!$I$2:$I$151,$AB1401)="MONTHLY",IF(INDEX(Contracts!$K$2:$K$151,$AB1401)="",2958101,INDEX(Contracts!$K$2:$K$151,$AB1401)),0)),IF($Z1401="A",EDATE(DATE(YEAR(INDEX(Fixed_Assets!$G$2:$G$201,$AB1401)),MONTH(INDEX(Fixed_Assets!$G$2:$G$201,$AB1401)),1),INDEX(Fixed_Assets!$J$2:$J$201,$AB1401)-1),IF($Z1401="F",MIN(IF(INDEX(Workforce!$J$2:$J$151,MATCH(INDEX(FTE_Allocation!$A$2:$A$201,$AB1401),Workforce!$A$2:$A$151,0))="",2958101,INDEX(Workforce!$J$2:$J$151,MATCH(INDEX(FTE_Allocation!$A$2:$A$201,$AB1401),Workforce!$A$2:$A$151,0))),IF(INDEX(FTE_Allocation!$J$2:$J$201,$AB1401)="",2958101,INDEX(FTE_Allocation!$J$2:$J$201,$AB1401))),"")))</f>
        <v/>
      </c>
      <c r="AG1401" s="19">
        <f>IF($Z1401="C",IF(INDEX(Contracts!$I$2:$I$151,$AB1401)="PREPAID",INDEX(Contracts!$M$2:$M$151,$AB1401)/IF(INDEX(Contracts!$N$2:$N$151,$AB1401)="",12,INDEX(Contracts!$N$2:$N$151,$AB1401)),IF(INDEX(Contracts!$I$2:$I$151,$AB1401)="MONTHLY",INDEX(Contracts!$M$2:$M$151,$AB1401),0))*(1-N(INDEX(Contracts!$O$2:$O$151,$AB1401))),IF($Z1401="A",INDEX(Fixed_Assets!$H$2:$H$201,$AB1401)/INDEX(Fixed_Assets!$J$2:$J$201,$AB1401),IF($Z1401="F",INDEX(Workforce!$F$2:$F$151,MATCH(INDEX(FTE_Allocation!$A$2:$A$201,$AB1401),Workforce!$A$2:$A$151,0))*N(INDEX(FTE_Allocation!$F$2:$H$201,$AB1401,$AC1401)),"")))</f>
        <v/>
      </c>
    </row>
    <row r="1402">
      <c r="A1402" s="7">
        <f>IF($Z1402="","",$AD1402)</f>
        <v/>
      </c>
      <c r="B1402" s="7">
        <f>IF($Z1402="C",INDEX(Contracts!$D$2:$D$151,$AB1402)&amp;"",IF($Z1402="A",INDEX(Fixed_Assets!$C$2:$C$201,$AB1402)&amp;"",IF($Z1402="F",INDEX(Workforce!$B$2:$B$151,MATCH(INDEX(FTE_Allocation!$A$2:$A$201,$AB1402),Workforce!$A$2:$A$151,0))&amp;"","")))</f>
        <v/>
      </c>
      <c r="C1402" s="7">
        <f>IF($Z1402="C",INDEX(Contracts!$E$2:$E$151,$AB1402)&amp;"",IF($Z1402="A",INDEX(Fixed_Assets!$D$2:$D$201,$AB1402)&amp;"",IF($Z1402="F",INDEX(FTE_Allocation!$C$2:$C$201,$AB1402)&amp;"","")))</f>
        <v/>
      </c>
      <c r="D1402" s="7">
        <f>IF($Z1402="C",INDEX(Contracts!$B$2:$B$151,$AB1402)&amp;"",IF($Z1402="A",INDEX(Fixed_Assets!$B$2:$B$201,$AB1402)&amp;"",IF($Z1402="F",INDEX(FTE_Allocation!$B$2:$B$201,$AB1402)&amp;"","")))</f>
        <v/>
      </c>
      <c r="E1402" s="7">
        <f>IF($Z1402="C",INDEX(Contracts!$P$2:$P$151,$AB1402)&amp;"",IF($Z1402="A",INDEX(Fixed_Assets!$K$2:$K$201,$AB1402)&amp;"",IF($Z1402="F",IF(INDEX(FTE_Allocation!$D$2:$D$201,$AB1402)="PROJECT",IFERROR(INDEX(Projects!$D:$D,MATCH(INDEX(FTE_Allocation!$E$2:$E$201,$AB1402),Projects!$A:$A,0))&amp;"","#PROJECT?"),INDEX(FTE_Allocation!$E$2:$E$201,$AB1402)&amp;""),"")))</f>
        <v/>
      </c>
      <c r="F1402" s="7">
        <f>IF($Z1402="C",INDEX(Contracts!$Q$2:$Q$151,$AB1402)&amp;"",IF($Z1402="A",INDEX(Fixed_Assets!$L$2:$L$201,$AB1402)&amp;"",IF($Z1402="F",INDEX(Workforce!$K$2:$K$151,MATCH(INDEX(FTE_Allocation!$A$2:$A$201,$AB1402),Workforce!$A$2:$A$151,0))&amp;"","")))</f>
        <v/>
      </c>
      <c r="G1402" s="7">
        <f>IF($Z1402="C",INDEX(Contracts!$F$2:$F$151,$AB1402)&amp;" / "&amp;INDEX(Contracts!$G$2:$G$151,$AB1402),IF($Z1402="A",INDEX(Fixed_Assets!$E$2:$E$201,$AB1402)&amp;"",IF($Z1402="F","Personnel "&amp;INDEX(FTE_Allocation!$A$2:$A$201,$AB1402)&amp;IF(INDEX(FTE_Allocation!$D$2:$D$201,$AB1402)="PROJECT"," ("&amp;INDEX(FTE_Allocation!$E$2:$E$201,$AB1402)&amp;")",""),"")))</f>
        <v/>
      </c>
      <c r="H1402" s="7">
        <f>IF($Z1402="C","CONTRACT",IF($Z1402="A","ASSET",IF($Z1402="F","WORKFORCE","")))</f>
        <v/>
      </c>
      <c r="I1402" s="7">
        <f>IF($Z1402="C",INDEX(Contracts!$L$2:$L$151,$AB1402)&amp;"",IF($Z1402="A",INDEX(Fixed_Assets!$I$2:$I$201,$AB1402)&amp;"",IF($Z1402="F",INDEX(Workforce!$G$2:$G$151,MATCH(INDEX(FTE_Allocation!$A$2:$A$201,$AB1402),Workforce!$A$2:$A$151,0))&amp;"","")))</f>
        <v/>
      </c>
      <c r="J1402" s="18">
        <f>IF($Z1402="","",IF(AND(DATE($AD1402,1,1)&gt;=$AE1402,DATE($AD1402,1,1)&lt;=$AF1402),ROUND($AG1402,2),0))</f>
        <v/>
      </c>
      <c r="K1402" s="18">
        <f>IF($Z1402="","",IF(AND(DATE($AD1402,2,1)&gt;=$AE1402,DATE($AD1402,2,1)&lt;=$AF1402),ROUND($AG1402,2),0))</f>
        <v/>
      </c>
      <c r="L1402" s="18">
        <f>IF($Z1402="","",IF(AND(DATE($AD1402,3,1)&gt;=$AE1402,DATE($AD1402,3,1)&lt;=$AF1402),ROUND($AG1402,2),0))</f>
        <v/>
      </c>
      <c r="M1402" s="18">
        <f>IF($Z1402="","",IF(AND(DATE($AD1402,4,1)&gt;=$AE1402,DATE($AD1402,4,1)&lt;=$AF1402),ROUND($AG1402,2),0))</f>
        <v/>
      </c>
      <c r="N1402" s="18">
        <f>IF($Z1402="","",IF(AND(DATE($AD1402,5,1)&gt;=$AE1402,DATE($AD1402,5,1)&lt;=$AF1402),ROUND($AG1402,2),0))</f>
        <v/>
      </c>
      <c r="O1402" s="18">
        <f>IF($Z1402="","",IF(AND(DATE($AD1402,6,1)&gt;=$AE1402,DATE($AD1402,6,1)&lt;=$AF1402),ROUND($AG1402,2),0))</f>
        <v/>
      </c>
      <c r="P1402" s="18">
        <f>IF($Z1402="","",IF(AND(DATE($AD1402,7,1)&gt;=$AE1402,DATE($AD1402,7,1)&lt;=$AF1402),ROUND($AG1402,2),0))</f>
        <v/>
      </c>
      <c r="Q1402" s="18">
        <f>IF($Z1402="","",IF(AND(DATE($AD1402,8,1)&gt;=$AE1402,DATE($AD1402,8,1)&lt;=$AF1402),ROUND($AG1402,2),0))</f>
        <v/>
      </c>
      <c r="R1402" s="18">
        <f>IF($Z1402="","",IF(AND(DATE($AD1402,9,1)&gt;=$AE1402,DATE($AD1402,9,1)&lt;=$AF1402),ROUND($AG1402,2),0))</f>
        <v/>
      </c>
      <c r="S1402" s="18">
        <f>IF($Z1402="","",IF(AND(DATE($AD1402,10,1)&gt;=$AE1402,DATE($AD1402,10,1)&lt;=$AF1402),ROUND($AG1402,2),0))</f>
        <v/>
      </c>
      <c r="T1402" s="18">
        <f>IF($Z1402="","",IF(AND(DATE($AD1402,11,1)&gt;=$AE1402,DATE($AD1402,11,1)&lt;=$AF1402),ROUND($AG1402,2),0))</f>
        <v/>
      </c>
      <c r="U1402" s="18">
        <f>IF($Z1402="","",IF(AND(DATE($AD1402,12,1)&gt;=$AE1402,DATE($AD1402,12,1)&lt;=$AF1402),ROUND($AG1402,2),0))</f>
        <v/>
      </c>
      <c r="V1402" s="7">
        <f>IF($Z1402="C","Generated from "&amp;INDEX(Contracts!$A$2:$A$151,$AB1402),IF($Z1402="A","Generated from "&amp;INDEX(Fixed_Assets!$A$2:$A$201,$AB1402),IF($Z1402="F","Generated from "&amp;INDEX(FTE_Allocation!$A$2:$A$201,$AB1402),"")))</f>
        <v/>
      </c>
      <c r="X1402" s="19">
        <f>IF($Z1402="","",SUM(J1402:U1402))</f>
        <v/>
      </c>
      <c r="Y1402" s="20">
        <f>ROW()-1</f>
        <v/>
      </c>
      <c r="Z1402" s="20">
        <f>IF($Y1402&lt;=Settings!$B$4*3,"C",IF($Y1402&lt;=(Settings!$B$4+Settings!$B$5)*3,"A",IF($Y1402&lt;=(Settings!$B$4+Settings!$B$5+Settings!$B$6)*3,"F","")))</f>
        <v/>
      </c>
      <c r="AA1402" s="20">
        <f>IF($Z1402="C",$Y1402,IF($Z1402="A",$Y1402-Settings!$B$4*3,IF($Z1402="F",$Y1402-(Settings!$B$4+Settings!$B$5)*3,"")))</f>
        <v/>
      </c>
      <c r="AB1402" s="20">
        <f>IF($Z1402="","",INT(($AA1402-1)/3)+1)</f>
        <v/>
      </c>
      <c r="AC1402" s="20">
        <f>IF($Z1402="","",MOD($AA1402-1,3)+1)</f>
        <v/>
      </c>
      <c r="AD1402" s="20">
        <f>IF($Z1402="","",Settings!$B$2+$AC1402-1)</f>
        <v/>
      </c>
      <c r="AE1402" s="21">
        <f>IF($Z1402="C",DATE(YEAR(INDEX(Contracts!$J$2:$J$151,$AB1402)),MONTH(INDEX(Contracts!$J$2:$J$151,$AB1402)),1),IF($Z1402="A",DATE(YEAR(INDEX(Fixed_Assets!$G$2:$G$201,$AB1402)),MONTH(INDEX(Fixed_Assets!$G$2:$G$201,$AB1402)),1),IF($Z1402="F",DATE(YEAR(MAX(N(INDEX(Workforce!$I$2:$I$151,MATCH(INDEX(FTE_Allocation!$A$2:$A$201,$AB1402),Workforce!$A$2:$A$151,0))),N(INDEX(FTE_Allocation!$I$2:$I$201,$AB1402)))),MONTH(MAX(N(INDEX(Workforce!$I$2:$I$151,MATCH(INDEX(FTE_Allocation!$A$2:$A$201,$AB1402),Workforce!$A$2:$A$151,0))),N(INDEX(FTE_Allocation!$I$2:$I$201,$AB1402)))),1),"")))</f>
        <v/>
      </c>
      <c r="AF1402" s="21">
        <f>IF($Z1402="C",IF(INDEX(Contracts!$I$2:$I$151,$AB1402)="PREPAID",EDATE(DATE(YEAR(INDEX(Contracts!$J$2:$J$151,$AB1402)),MONTH(INDEX(Contracts!$J$2:$J$151,$AB1402)),1),IF(INDEX(Contracts!$N$2:$N$151,$AB1402)="",12,INDEX(Contracts!$N$2:$N$151,$AB1402))-1),IF(INDEX(Contracts!$I$2:$I$151,$AB1402)="MONTHLY",IF(INDEX(Contracts!$K$2:$K$151,$AB1402)="",2958101,INDEX(Contracts!$K$2:$K$151,$AB1402)),0)),IF($Z1402="A",EDATE(DATE(YEAR(INDEX(Fixed_Assets!$G$2:$G$201,$AB1402)),MONTH(INDEX(Fixed_Assets!$G$2:$G$201,$AB1402)),1),INDEX(Fixed_Assets!$J$2:$J$201,$AB1402)-1),IF($Z1402="F",MIN(IF(INDEX(Workforce!$J$2:$J$151,MATCH(INDEX(FTE_Allocation!$A$2:$A$201,$AB1402),Workforce!$A$2:$A$151,0))="",2958101,INDEX(Workforce!$J$2:$J$151,MATCH(INDEX(FTE_Allocation!$A$2:$A$201,$AB1402),Workforce!$A$2:$A$151,0))),IF(INDEX(FTE_Allocation!$J$2:$J$201,$AB1402)="",2958101,INDEX(FTE_Allocation!$J$2:$J$201,$AB1402))),"")))</f>
        <v/>
      </c>
      <c r="AG1402" s="19">
        <f>IF($Z1402="C",IF(INDEX(Contracts!$I$2:$I$151,$AB1402)="PREPAID",INDEX(Contracts!$M$2:$M$151,$AB1402)/IF(INDEX(Contracts!$N$2:$N$151,$AB1402)="",12,INDEX(Contracts!$N$2:$N$151,$AB1402)),IF(INDEX(Contracts!$I$2:$I$151,$AB1402)="MONTHLY",INDEX(Contracts!$M$2:$M$151,$AB1402),0))*(1-N(INDEX(Contracts!$O$2:$O$151,$AB1402))),IF($Z1402="A",INDEX(Fixed_Assets!$H$2:$H$201,$AB1402)/INDEX(Fixed_Assets!$J$2:$J$201,$AB1402),IF($Z1402="F",INDEX(Workforce!$F$2:$F$151,MATCH(INDEX(FTE_Allocation!$A$2:$A$201,$AB1402),Workforce!$A$2:$A$151,0))*N(INDEX(FTE_Allocation!$F$2:$H$201,$AB1402,$AC1402)),"")))</f>
        <v/>
      </c>
    </row>
    <row r="1403">
      <c r="A1403" s="7">
        <f>IF($Z1403="","",$AD1403)</f>
        <v/>
      </c>
      <c r="B1403" s="7">
        <f>IF($Z1403="C",INDEX(Contracts!$D$2:$D$151,$AB1403)&amp;"",IF($Z1403="A",INDEX(Fixed_Assets!$C$2:$C$201,$AB1403)&amp;"",IF($Z1403="F",INDEX(Workforce!$B$2:$B$151,MATCH(INDEX(FTE_Allocation!$A$2:$A$201,$AB1403),Workforce!$A$2:$A$151,0))&amp;"","")))</f>
        <v/>
      </c>
      <c r="C1403" s="7">
        <f>IF($Z1403="C",INDEX(Contracts!$E$2:$E$151,$AB1403)&amp;"",IF($Z1403="A",INDEX(Fixed_Assets!$D$2:$D$201,$AB1403)&amp;"",IF($Z1403="F",INDEX(FTE_Allocation!$C$2:$C$201,$AB1403)&amp;"","")))</f>
        <v/>
      </c>
      <c r="D1403" s="7">
        <f>IF($Z1403="C",INDEX(Contracts!$B$2:$B$151,$AB1403)&amp;"",IF($Z1403="A",INDEX(Fixed_Assets!$B$2:$B$201,$AB1403)&amp;"",IF($Z1403="F",INDEX(FTE_Allocation!$B$2:$B$201,$AB1403)&amp;"","")))</f>
        <v/>
      </c>
      <c r="E1403" s="7">
        <f>IF($Z1403="C",INDEX(Contracts!$P$2:$P$151,$AB1403)&amp;"",IF($Z1403="A",INDEX(Fixed_Assets!$K$2:$K$201,$AB1403)&amp;"",IF($Z1403="F",IF(INDEX(FTE_Allocation!$D$2:$D$201,$AB1403)="PROJECT",IFERROR(INDEX(Projects!$D:$D,MATCH(INDEX(FTE_Allocation!$E$2:$E$201,$AB1403),Projects!$A:$A,0))&amp;"","#PROJECT?"),INDEX(FTE_Allocation!$E$2:$E$201,$AB1403)&amp;""),"")))</f>
        <v/>
      </c>
      <c r="F1403" s="7">
        <f>IF($Z1403="C",INDEX(Contracts!$Q$2:$Q$151,$AB1403)&amp;"",IF($Z1403="A",INDEX(Fixed_Assets!$L$2:$L$201,$AB1403)&amp;"",IF($Z1403="F",INDEX(Workforce!$K$2:$K$151,MATCH(INDEX(FTE_Allocation!$A$2:$A$201,$AB1403),Workforce!$A$2:$A$151,0))&amp;"","")))</f>
        <v/>
      </c>
      <c r="G1403" s="7">
        <f>IF($Z1403="C",INDEX(Contracts!$F$2:$F$151,$AB1403)&amp;" / "&amp;INDEX(Contracts!$G$2:$G$151,$AB1403),IF($Z1403="A",INDEX(Fixed_Assets!$E$2:$E$201,$AB1403)&amp;"",IF($Z1403="F","Personnel "&amp;INDEX(FTE_Allocation!$A$2:$A$201,$AB1403)&amp;IF(INDEX(FTE_Allocation!$D$2:$D$201,$AB1403)="PROJECT"," ("&amp;INDEX(FTE_Allocation!$E$2:$E$201,$AB1403)&amp;")",""),"")))</f>
        <v/>
      </c>
      <c r="H1403" s="7">
        <f>IF($Z1403="C","CONTRACT",IF($Z1403="A","ASSET",IF($Z1403="F","WORKFORCE","")))</f>
        <v/>
      </c>
      <c r="I1403" s="7">
        <f>IF($Z1403="C",INDEX(Contracts!$L$2:$L$151,$AB1403)&amp;"",IF($Z1403="A",INDEX(Fixed_Assets!$I$2:$I$201,$AB1403)&amp;"",IF($Z1403="F",INDEX(Workforce!$G$2:$G$151,MATCH(INDEX(FTE_Allocation!$A$2:$A$201,$AB1403),Workforce!$A$2:$A$151,0))&amp;"","")))</f>
        <v/>
      </c>
      <c r="J1403" s="18">
        <f>IF($Z1403="","",IF(AND(DATE($AD1403,1,1)&gt;=$AE1403,DATE($AD1403,1,1)&lt;=$AF1403),ROUND($AG1403,2),0))</f>
        <v/>
      </c>
      <c r="K1403" s="18">
        <f>IF($Z1403="","",IF(AND(DATE($AD1403,2,1)&gt;=$AE1403,DATE($AD1403,2,1)&lt;=$AF1403),ROUND($AG1403,2),0))</f>
        <v/>
      </c>
      <c r="L1403" s="18">
        <f>IF($Z1403="","",IF(AND(DATE($AD1403,3,1)&gt;=$AE1403,DATE($AD1403,3,1)&lt;=$AF1403),ROUND($AG1403,2),0))</f>
        <v/>
      </c>
      <c r="M1403" s="18">
        <f>IF($Z1403="","",IF(AND(DATE($AD1403,4,1)&gt;=$AE1403,DATE($AD1403,4,1)&lt;=$AF1403),ROUND($AG1403,2),0))</f>
        <v/>
      </c>
      <c r="N1403" s="18">
        <f>IF($Z1403="","",IF(AND(DATE($AD1403,5,1)&gt;=$AE1403,DATE($AD1403,5,1)&lt;=$AF1403),ROUND($AG1403,2),0))</f>
        <v/>
      </c>
      <c r="O1403" s="18">
        <f>IF($Z1403="","",IF(AND(DATE($AD1403,6,1)&gt;=$AE1403,DATE($AD1403,6,1)&lt;=$AF1403),ROUND($AG1403,2),0))</f>
        <v/>
      </c>
      <c r="P1403" s="18">
        <f>IF($Z1403="","",IF(AND(DATE($AD1403,7,1)&gt;=$AE1403,DATE($AD1403,7,1)&lt;=$AF1403),ROUND($AG1403,2),0))</f>
        <v/>
      </c>
      <c r="Q1403" s="18">
        <f>IF($Z1403="","",IF(AND(DATE($AD1403,8,1)&gt;=$AE1403,DATE($AD1403,8,1)&lt;=$AF1403),ROUND($AG1403,2),0))</f>
        <v/>
      </c>
      <c r="R1403" s="18">
        <f>IF($Z1403="","",IF(AND(DATE($AD1403,9,1)&gt;=$AE1403,DATE($AD1403,9,1)&lt;=$AF1403),ROUND($AG1403,2),0))</f>
        <v/>
      </c>
      <c r="S1403" s="18">
        <f>IF($Z1403="","",IF(AND(DATE($AD1403,10,1)&gt;=$AE1403,DATE($AD1403,10,1)&lt;=$AF1403),ROUND($AG1403,2),0))</f>
        <v/>
      </c>
      <c r="T1403" s="18">
        <f>IF($Z1403="","",IF(AND(DATE($AD1403,11,1)&gt;=$AE1403,DATE($AD1403,11,1)&lt;=$AF1403),ROUND($AG1403,2),0))</f>
        <v/>
      </c>
      <c r="U1403" s="18">
        <f>IF($Z1403="","",IF(AND(DATE($AD1403,12,1)&gt;=$AE1403,DATE($AD1403,12,1)&lt;=$AF1403),ROUND($AG1403,2),0))</f>
        <v/>
      </c>
      <c r="V1403" s="7">
        <f>IF($Z1403="C","Generated from "&amp;INDEX(Contracts!$A$2:$A$151,$AB1403),IF($Z1403="A","Generated from "&amp;INDEX(Fixed_Assets!$A$2:$A$201,$AB1403),IF($Z1403="F","Generated from "&amp;INDEX(FTE_Allocation!$A$2:$A$201,$AB1403),"")))</f>
        <v/>
      </c>
      <c r="X1403" s="19">
        <f>IF($Z1403="","",SUM(J1403:U1403))</f>
        <v/>
      </c>
      <c r="Y1403" s="20">
        <f>ROW()-1</f>
        <v/>
      </c>
      <c r="Z1403" s="20">
        <f>IF($Y1403&lt;=Settings!$B$4*3,"C",IF($Y1403&lt;=(Settings!$B$4+Settings!$B$5)*3,"A",IF($Y1403&lt;=(Settings!$B$4+Settings!$B$5+Settings!$B$6)*3,"F","")))</f>
        <v/>
      </c>
      <c r="AA1403" s="20">
        <f>IF($Z1403="C",$Y1403,IF($Z1403="A",$Y1403-Settings!$B$4*3,IF($Z1403="F",$Y1403-(Settings!$B$4+Settings!$B$5)*3,"")))</f>
        <v/>
      </c>
      <c r="AB1403" s="20">
        <f>IF($Z1403="","",INT(($AA1403-1)/3)+1)</f>
        <v/>
      </c>
      <c r="AC1403" s="20">
        <f>IF($Z1403="","",MOD($AA1403-1,3)+1)</f>
        <v/>
      </c>
      <c r="AD1403" s="20">
        <f>IF($Z1403="","",Settings!$B$2+$AC1403-1)</f>
        <v/>
      </c>
      <c r="AE1403" s="21">
        <f>IF($Z1403="C",DATE(YEAR(INDEX(Contracts!$J$2:$J$151,$AB1403)),MONTH(INDEX(Contracts!$J$2:$J$151,$AB1403)),1),IF($Z1403="A",DATE(YEAR(INDEX(Fixed_Assets!$G$2:$G$201,$AB1403)),MONTH(INDEX(Fixed_Assets!$G$2:$G$201,$AB1403)),1),IF($Z1403="F",DATE(YEAR(MAX(N(INDEX(Workforce!$I$2:$I$151,MATCH(INDEX(FTE_Allocation!$A$2:$A$201,$AB1403),Workforce!$A$2:$A$151,0))),N(INDEX(FTE_Allocation!$I$2:$I$201,$AB1403)))),MONTH(MAX(N(INDEX(Workforce!$I$2:$I$151,MATCH(INDEX(FTE_Allocation!$A$2:$A$201,$AB1403),Workforce!$A$2:$A$151,0))),N(INDEX(FTE_Allocation!$I$2:$I$201,$AB1403)))),1),"")))</f>
        <v/>
      </c>
      <c r="AF1403" s="21">
        <f>IF($Z1403="C",IF(INDEX(Contracts!$I$2:$I$151,$AB1403)="PREPAID",EDATE(DATE(YEAR(INDEX(Contracts!$J$2:$J$151,$AB1403)),MONTH(INDEX(Contracts!$J$2:$J$151,$AB1403)),1),IF(INDEX(Contracts!$N$2:$N$151,$AB1403)="",12,INDEX(Contracts!$N$2:$N$151,$AB1403))-1),IF(INDEX(Contracts!$I$2:$I$151,$AB1403)="MONTHLY",IF(INDEX(Contracts!$K$2:$K$151,$AB1403)="",2958101,INDEX(Contracts!$K$2:$K$151,$AB1403)),0)),IF($Z1403="A",EDATE(DATE(YEAR(INDEX(Fixed_Assets!$G$2:$G$201,$AB1403)),MONTH(INDEX(Fixed_Assets!$G$2:$G$201,$AB1403)),1),INDEX(Fixed_Assets!$J$2:$J$201,$AB1403)-1),IF($Z1403="F",MIN(IF(INDEX(Workforce!$J$2:$J$151,MATCH(INDEX(FTE_Allocation!$A$2:$A$201,$AB1403),Workforce!$A$2:$A$151,0))="",2958101,INDEX(Workforce!$J$2:$J$151,MATCH(INDEX(FTE_Allocation!$A$2:$A$201,$AB1403),Workforce!$A$2:$A$151,0))),IF(INDEX(FTE_Allocation!$J$2:$J$201,$AB1403)="",2958101,INDEX(FTE_Allocation!$J$2:$J$201,$AB1403))),"")))</f>
        <v/>
      </c>
      <c r="AG1403" s="19">
        <f>IF($Z1403="C",IF(INDEX(Contracts!$I$2:$I$151,$AB1403)="PREPAID",INDEX(Contracts!$M$2:$M$151,$AB1403)/IF(INDEX(Contracts!$N$2:$N$151,$AB1403)="",12,INDEX(Contracts!$N$2:$N$151,$AB1403)),IF(INDEX(Contracts!$I$2:$I$151,$AB1403)="MONTHLY",INDEX(Contracts!$M$2:$M$151,$AB1403),0))*(1-N(INDEX(Contracts!$O$2:$O$151,$AB1403))),IF($Z1403="A",INDEX(Fixed_Assets!$H$2:$H$201,$AB1403)/INDEX(Fixed_Assets!$J$2:$J$201,$AB1403),IF($Z1403="F",INDEX(Workforce!$F$2:$F$151,MATCH(INDEX(FTE_Allocation!$A$2:$A$201,$AB1403),Workforce!$A$2:$A$151,0))*N(INDEX(FTE_Allocation!$F$2:$H$201,$AB1403,$AC1403)),"")))</f>
        <v/>
      </c>
    </row>
    <row r="1404">
      <c r="A1404" s="7">
        <f>IF($Z1404="","",$AD1404)</f>
        <v/>
      </c>
      <c r="B1404" s="7">
        <f>IF($Z1404="C",INDEX(Contracts!$D$2:$D$151,$AB1404)&amp;"",IF($Z1404="A",INDEX(Fixed_Assets!$C$2:$C$201,$AB1404)&amp;"",IF($Z1404="F",INDEX(Workforce!$B$2:$B$151,MATCH(INDEX(FTE_Allocation!$A$2:$A$201,$AB1404),Workforce!$A$2:$A$151,0))&amp;"","")))</f>
        <v/>
      </c>
      <c r="C1404" s="7">
        <f>IF($Z1404="C",INDEX(Contracts!$E$2:$E$151,$AB1404)&amp;"",IF($Z1404="A",INDEX(Fixed_Assets!$D$2:$D$201,$AB1404)&amp;"",IF($Z1404="F",INDEX(FTE_Allocation!$C$2:$C$201,$AB1404)&amp;"","")))</f>
        <v/>
      </c>
      <c r="D1404" s="7">
        <f>IF($Z1404="C",INDEX(Contracts!$B$2:$B$151,$AB1404)&amp;"",IF($Z1404="A",INDEX(Fixed_Assets!$B$2:$B$201,$AB1404)&amp;"",IF($Z1404="F",INDEX(FTE_Allocation!$B$2:$B$201,$AB1404)&amp;"","")))</f>
        <v/>
      </c>
      <c r="E1404" s="7">
        <f>IF($Z1404="C",INDEX(Contracts!$P$2:$P$151,$AB1404)&amp;"",IF($Z1404="A",INDEX(Fixed_Assets!$K$2:$K$201,$AB1404)&amp;"",IF($Z1404="F",IF(INDEX(FTE_Allocation!$D$2:$D$201,$AB1404)="PROJECT",IFERROR(INDEX(Projects!$D:$D,MATCH(INDEX(FTE_Allocation!$E$2:$E$201,$AB1404),Projects!$A:$A,0))&amp;"","#PROJECT?"),INDEX(FTE_Allocation!$E$2:$E$201,$AB1404)&amp;""),"")))</f>
        <v/>
      </c>
      <c r="F1404" s="7">
        <f>IF($Z1404="C",INDEX(Contracts!$Q$2:$Q$151,$AB1404)&amp;"",IF($Z1404="A",INDEX(Fixed_Assets!$L$2:$L$201,$AB1404)&amp;"",IF($Z1404="F",INDEX(Workforce!$K$2:$K$151,MATCH(INDEX(FTE_Allocation!$A$2:$A$201,$AB1404),Workforce!$A$2:$A$151,0))&amp;"","")))</f>
        <v/>
      </c>
      <c r="G1404" s="7">
        <f>IF($Z1404="C",INDEX(Contracts!$F$2:$F$151,$AB1404)&amp;" / "&amp;INDEX(Contracts!$G$2:$G$151,$AB1404),IF($Z1404="A",INDEX(Fixed_Assets!$E$2:$E$201,$AB1404)&amp;"",IF($Z1404="F","Personnel "&amp;INDEX(FTE_Allocation!$A$2:$A$201,$AB1404)&amp;IF(INDEX(FTE_Allocation!$D$2:$D$201,$AB1404)="PROJECT"," ("&amp;INDEX(FTE_Allocation!$E$2:$E$201,$AB1404)&amp;")",""),"")))</f>
        <v/>
      </c>
      <c r="H1404" s="7">
        <f>IF($Z1404="C","CONTRACT",IF($Z1404="A","ASSET",IF($Z1404="F","WORKFORCE","")))</f>
        <v/>
      </c>
      <c r="I1404" s="7">
        <f>IF($Z1404="C",INDEX(Contracts!$L$2:$L$151,$AB1404)&amp;"",IF($Z1404="A",INDEX(Fixed_Assets!$I$2:$I$201,$AB1404)&amp;"",IF($Z1404="F",INDEX(Workforce!$G$2:$G$151,MATCH(INDEX(FTE_Allocation!$A$2:$A$201,$AB1404),Workforce!$A$2:$A$151,0))&amp;"","")))</f>
        <v/>
      </c>
      <c r="J1404" s="18">
        <f>IF($Z1404="","",IF(AND(DATE($AD1404,1,1)&gt;=$AE1404,DATE($AD1404,1,1)&lt;=$AF1404),ROUND($AG1404,2),0))</f>
        <v/>
      </c>
      <c r="K1404" s="18">
        <f>IF($Z1404="","",IF(AND(DATE($AD1404,2,1)&gt;=$AE1404,DATE($AD1404,2,1)&lt;=$AF1404),ROUND($AG1404,2),0))</f>
        <v/>
      </c>
      <c r="L1404" s="18">
        <f>IF($Z1404="","",IF(AND(DATE($AD1404,3,1)&gt;=$AE1404,DATE($AD1404,3,1)&lt;=$AF1404),ROUND($AG1404,2),0))</f>
        <v/>
      </c>
      <c r="M1404" s="18">
        <f>IF($Z1404="","",IF(AND(DATE($AD1404,4,1)&gt;=$AE1404,DATE($AD1404,4,1)&lt;=$AF1404),ROUND($AG1404,2),0))</f>
        <v/>
      </c>
      <c r="N1404" s="18">
        <f>IF($Z1404="","",IF(AND(DATE($AD1404,5,1)&gt;=$AE1404,DATE($AD1404,5,1)&lt;=$AF1404),ROUND($AG1404,2),0))</f>
        <v/>
      </c>
      <c r="O1404" s="18">
        <f>IF($Z1404="","",IF(AND(DATE($AD1404,6,1)&gt;=$AE1404,DATE($AD1404,6,1)&lt;=$AF1404),ROUND($AG1404,2),0))</f>
        <v/>
      </c>
      <c r="P1404" s="18">
        <f>IF($Z1404="","",IF(AND(DATE($AD1404,7,1)&gt;=$AE1404,DATE($AD1404,7,1)&lt;=$AF1404),ROUND($AG1404,2),0))</f>
        <v/>
      </c>
      <c r="Q1404" s="18">
        <f>IF($Z1404="","",IF(AND(DATE($AD1404,8,1)&gt;=$AE1404,DATE($AD1404,8,1)&lt;=$AF1404),ROUND($AG1404,2),0))</f>
        <v/>
      </c>
      <c r="R1404" s="18">
        <f>IF($Z1404="","",IF(AND(DATE($AD1404,9,1)&gt;=$AE1404,DATE($AD1404,9,1)&lt;=$AF1404),ROUND($AG1404,2),0))</f>
        <v/>
      </c>
      <c r="S1404" s="18">
        <f>IF($Z1404="","",IF(AND(DATE($AD1404,10,1)&gt;=$AE1404,DATE($AD1404,10,1)&lt;=$AF1404),ROUND($AG1404,2),0))</f>
        <v/>
      </c>
      <c r="T1404" s="18">
        <f>IF($Z1404="","",IF(AND(DATE($AD1404,11,1)&gt;=$AE1404,DATE($AD1404,11,1)&lt;=$AF1404),ROUND($AG1404,2),0))</f>
        <v/>
      </c>
      <c r="U1404" s="18">
        <f>IF($Z1404="","",IF(AND(DATE($AD1404,12,1)&gt;=$AE1404,DATE($AD1404,12,1)&lt;=$AF1404),ROUND($AG1404,2),0))</f>
        <v/>
      </c>
      <c r="V1404" s="7">
        <f>IF($Z1404="C","Generated from "&amp;INDEX(Contracts!$A$2:$A$151,$AB1404),IF($Z1404="A","Generated from "&amp;INDEX(Fixed_Assets!$A$2:$A$201,$AB1404),IF($Z1404="F","Generated from "&amp;INDEX(FTE_Allocation!$A$2:$A$201,$AB1404),"")))</f>
        <v/>
      </c>
      <c r="X1404" s="19">
        <f>IF($Z1404="","",SUM(J1404:U1404))</f>
        <v/>
      </c>
      <c r="Y1404" s="20">
        <f>ROW()-1</f>
        <v/>
      </c>
      <c r="Z1404" s="20">
        <f>IF($Y1404&lt;=Settings!$B$4*3,"C",IF($Y1404&lt;=(Settings!$B$4+Settings!$B$5)*3,"A",IF($Y1404&lt;=(Settings!$B$4+Settings!$B$5+Settings!$B$6)*3,"F","")))</f>
        <v/>
      </c>
      <c r="AA1404" s="20">
        <f>IF($Z1404="C",$Y1404,IF($Z1404="A",$Y1404-Settings!$B$4*3,IF($Z1404="F",$Y1404-(Settings!$B$4+Settings!$B$5)*3,"")))</f>
        <v/>
      </c>
      <c r="AB1404" s="20">
        <f>IF($Z1404="","",INT(($AA1404-1)/3)+1)</f>
        <v/>
      </c>
      <c r="AC1404" s="20">
        <f>IF($Z1404="","",MOD($AA1404-1,3)+1)</f>
        <v/>
      </c>
      <c r="AD1404" s="20">
        <f>IF($Z1404="","",Settings!$B$2+$AC1404-1)</f>
        <v/>
      </c>
      <c r="AE1404" s="21">
        <f>IF($Z1404="C",DATE(YEAR(INDEX(Contracts!$J$2:$J$151,$AB1404)),MONTH(INDEX(Contracts!$J$2:$J$151,$AB1404)),1),IF($Z1404="A",DATE(YEAR(INDEX(Fixed_Assets!$G$2:$G$201,$AB1404)),MONTH(INDEX(Fixed_Assets!$G$2:$G$201,$AB1404)),1),IF($Z1404="F",DATE(YEAR(MAX(N(INDEX(Workforce!$I$2:$I$151,MATCH(INDEX(FTE_Allocation!$A$2:$A$201,$AB1404),Workforce!$A$2:$A$151,0))),N(INDEX(FTE_Allocation!$I$2:$I$201,$AB1404)))),MONTH(MAX(N(INDEX(Workforce!$I$2:$I$151,MATCH(INDEX(FTE_Allocation!$A$2:$A$201,$AB1404),Workforce!$A$2:$A$151,0))),N(INDEX(FTE_Allocation!$I$2:$I$201,$AB1404)))),1),"")))</f>
        <v/>
      </c>
      <c r="AF1404" s="21">
        <f>IF($Z1404="C",IF(INDEX(Contracts!$I$2:$I$151,$AB1404)="PREPAID",EDATE(DATE(YEAR(INDEX(Contracts!$J$2:$J$151,$AB1404)),MONTH(INDEX(Contracts!$J$2:$J$151,$AB1404)),1),IF(INDEX(Contracts!$N$2:$N$151,$AB1404)="",12,INDEX(Contracts!$N$2:$N$151,$AB1404))-1),IF(INDEX(Contracts!$I$2:$I$151,$AB1404)="MONTHLY",IF(INDEX(Contracts!$K$2:$K$151,$AB1404)="",2958101,INDEX(Contracts!$K$2:$K$151,$AB1404)),0)),IF($Z1404="A",EDATE(DATE(YEAR(INDEX(Fixed_Assets!$G$2:$G$201,$AB1404)),MONTH(INDEX(Fixed_Assets!$G$2:$G$201,$AB1404)),1),INDEX(Fixed_Assets!$J$2:$J$201,$AB1404)-1),IF($Z1404="F",MIN(IF(INDEX(Workforce!$J$2:$J$151,MATCH(INDEX(FTE_Allocation!$A$2:$A$201,$AB1404),Workforce!$A$2:$A$151,0))="",2958101,INDEX(Workforce!$J$2:$J$151,MATCH(INDEX(FTE_Allocation!$A$2:$A$201,$AB1404),Workforce!$A$2:$A$151,0))),IF(INDEX(FTE_Allocation!$J$2:$J$201,$AB1404)="",2958101,INDEX(FTE_Allocation!$J$2:$J$201,$AB1404))),"")))</f>
        <v/>
      </c>
      <c r="AG1404" s="19">
        <f>IF($Z1404="C",IF(INDEX(Contracts!$I$2:$I$151,$AB1404)="PREPAID",INDEX(Contracts!$M$2:$M$151,$AB1404)/IF(INDEX(Contracts!$N$2:$N$151,$AB1404)="",12,INDEX(Contracts!$N$2:$N$151,$AB1404)),IF(INDEX(Contracts!$I$2:$I$151,$AB1404)="MONTHLY",INDEX(Contracts!$M$2:$M$151,$AB1404),0))*(1-N(INDEX(Contracts!$O$2:$O$151,$AB1404))),IF($Z1404="A",INDEX(Fixed_Assets!$H$2:$H$201,$AB1404)/INDEX(Fixed_Assets!$J$2:$J$201,$AB1404),IF($Z1404="F",INDEX(Workforce!$F$2:$F$151,MATCH(INDEX(FTE_Allocation!$A$2:$A$201,$AB1404),Workforce!$A$2:$A$151,0))*N(INDEX(FTE_Allocation!$F$2:$H$201,$AB1404,$AC1404)),"")))</f>
        <v/>
      </c>
    </row>
    <row r="1405">
      <c r="A1405" s="7">
        <f>IF($Z1405="","",$AD1405)</f>
        <v/>
      </c>
      <c r="B1405" s="7">
        <f>IF($Z1405="C",INDEX(Contracts!$D$2:$D$151,$AB1405)&amp;"",IF($Z1405="A",INDEX(Fixed_Assets!$C$2:$C$201,$AB1405)&amp;"",IF($Z1405="F",INDEX(Workforce!$B$2:$B$151,MATCH(INDEX(FTE_Allocation!$A$2:$A$201,$AB1405),Workforce!$A$2:$A$151,0))&amp;"","")))</f>
        <v/>
      </c>
      <c r="C1405" s="7">
        <f>IF($Z1405="C",INDEX(Contracts!$E$2:$E$151,$AB1405)&amp;"",IF($Z1405="A",INDEX(Fixed_Assets!$D$2:$D$201,$AB1405)&amp;"",IF($Z1405="F",INDEX(FTE_Allocation!$C$2:$C$201,$AB1405)&amp;"","")))</f>
        <v/>
      </c>
      <c r="D1405" s="7">
        <f>IF($Z1405="C",INDEX(Contracts!$B$2:$B$151,$AB1405)&amp;"",IF($Z1405="A",INDEX(Fixed_Assets!$B$2:$B$201,$AB1405)&amp;"",IF($Z1405="F",INDEX(FTE_Allocation!$B$2:$B$201,$AB1405)&amp;"","")))</f>
        <v/>
      </c>
      <c r="E1405" s="7">
        <f>IF($Z1405="C",INDEX(Contracts!$P$2:$P$151,$AB1405)&amp;"",IF($Z1405="A",INDEX(Fixed_Assets!$K$2:$K$201,$AB1405)&amp;"",IF($Z1405="F",IF(INDEX(FTE_Allocation!$D$2:$D$201,$AB1405)="PROJECT",IFERROR(INDEX(Projects!$D:$D,MATCH(INDEX(FTE_Allocation!$E$2:$E$201,$AB1405),Projects!$A:$A,0))&amp;"","#PROJECT?"),INDEX(FTE_Allocation!$E$2:$E$201,$AB1405)&amp;""),"")))</f>
        <v/>
      </c>
      <c r="F1405" s="7">
        <f>IF($Z1405="C",INDEX(Contracts!$Q$2:$Q$151,$AB1405)&amp;"",IF($Z1405="A",INDEX(Fixed_Assets!$L$2:$L$201,$AB1405)&amp;"",IF($Z1405="F",INDEX(Workforce!$K$2:$K$151,MATCH(INDEX(FTE_Allocation!$A$2:$A$201,$AB1405),Workforce!$A$2:$A$151,0))&amp;"","")))</f>
        <v/>
      </c>
      <c r="G1405" s="7">
        <f>IF($Z1405="C",INDEX(Contracts!$F$2:$F$151,$AB1405)&amp;" / "&amp;INDEX(Contracts!$G$2:$G$151,$AB1405),IF($Z1405="A",INDEX(Fixed_Assets!$E$2:$E$201,$AB1405)&amp;"",IF($Z1405="F","Personnel "&amp;INDEX(FTE_Allocation!$A$2:$A$201,$AB1405)&amp;IF(INDEX(FTE_Allocation!$D$2:$D$201,$AB1405)="PROJECT"," ("&amp;INDEX(FTE_Allocation!$E$2:$E$201,$AB1405)&amp;")",""),"")))</f>
        <v/>
      </c>
      <c r="H1405" s="7">
        <f>IF($Z1405="C","CONTRACT",IF($Z1405="A","ASSET",IF($Z1405="F","WORKFORCE","")))</f>
        <v/>
      </c>
      <c r="I1405" s="7">
        <f>IF($Z1405="C",INDEX(Contracts!$L$2:$L$151,$AB1405)&amp;"",IF($Z1405="A",INDEX(Fixed_Assets!$I$2:$I$201,$AB1405)&amp;"",IF($Z1405="F",INDEX(Workforce!$G$2:$G$151,MATCH(INDEX(FTE_Allocation!$A$2:$A$201,$AB1405),Workforce!$A$2:$A$151,0))&amp;"","")))</f>
        <v/>
      </c>
      <c r="J1405" s="18">
        <f>IF($Z1405="","",IF(AND(DATE($AD1405,1,1)&gt;=$AE1405,DATE($AD1405,1,1)&lt;=$AF1405),ROUND($AG1405,2),0))</f>
        <v/>
      </c>
      <c r="K1405" s="18">
        <f>IF($Z1405="","",IF(AND(DATE($AD1405,2,1)&gt;=$AE1405,DATE($AD1405,2,1)&lt;=$AF1405),ROUND($AG1405,2),0))</f>
        <v/>
      </c>
      <c r="L1405" s="18">
        <f>IF($Z1405="","",IF(AND(DATE($AD1405,3,1)&gt;=$AE1405,DATE($AD1405,3,1)&lt;=$AF1405),ROUND($AG1405,2),0))</f>
        <v/>
      </c>
      <c r="M1405" s="18">
        <f>IF($Z1405="","",IF(AND(DATE($AD1405,4,1)&gt;=$AE1405,DATE($AD1405,4,1)&lt;=$AF1405),ROUND($AG1405,2),0))</f>
        <v/>
      </c>
      <c r="N1405" s="18">
        <f>IF($Z1405="","",IF(AND(DATE($AD1405,5,1)&gt;=$AE1405,DATE($AD1405,5,1)&lt;=$AF1405),ROUND($AG1405,2),0))</f>
        <v/>
      </c>
      <c r="O1405" s="18">
        <f>IF($Z1405="","",IF(AND(DATE($AD1405,6,1)&gt;=$AE1405,DATE($AD1405,6,1)&lt;=$AF1405),ROUND($AG1405,2),0))</f>
        <v/>
      </c>
      <c r="P1405" s="18">
        <f>IF($Z1405="","",IF(AND(DATE($AD1405,7,1)&gt;=$AE1405,DATE($AD1405,7,1)&lt;=$AF1405),ROUND($AG1405,2),0))</f>
        <v/>
      </c>
      <c r="Q1405" s="18">
        <f>IF($Z1405="","",IF(AND(DATE($AD1405,8,1)&gt;=$AE1405,DATE($AD1405,8,1)&lt;=$AF1405),ROUND($AG1405,2),0))</f>
        <v/>
      </c>
      <c r="R1405" s="18">
        <f>IF($Z1405="","",IF(AND(DATE($AD1405,9,1)&gt;=$AE1405,DATE($AD1405,9,1)&lt;=$AF1405),ROUND($AG1405,2),0))</f>
        <v/>
      </c>
      <c r="S1405" s="18">
        <f>IF($Z1405="","",IF(AND(DATE($AD1405,10,1)&gt;=$AE1405,DATE($AD1405,10,1)&lt;=$AF1405),ROUND($AG1405,2),0))</f>
        <v/>
      </c>
      <c r="T1405" s="18">
        <f>IF($Z1405="","",IF(AND(DATE($AD1405,11,1)&gt;=$AE1405,DATE($AD1405,11,1)&lt;=$AF1405),ROUND($AG1405,2),0))</f>
        <v/>
      </c>
      <c r="U1405" s="18">
        <f>IF($Z1405="","",IF(AND(DATE($AD1405,12,1)&gt;=$AE1405,DATE($AD1405,12,1)&lt;=$AF1405),ROUND($AG1405,2),0))</f>
        <v/>
      </c>
      <c r="V1405" s="7">
        <f>IF($Z1405="C","Generated from "&amp;INDEX(Contracts!$A$2:$A$151,$AB1405),IF($Z1405="A","Generated from "&amp;INDEX(Fixed_Assets!$A$2:$A$201,$AB1405),IF($Z1405="F","Generated from "&amp;INDEX(FTE_Allocation!$A$2:$A$201,$AB1405),"")))</f>
        <v/>
      </c>
      <c r="X1405" s="19">
        <f>IF($Z1405="","",SUM(J1405:U1405))</f>
        <v/>
      </c>
      <c r="Y1405" s="20">
        <f>ROW()-1</f>
        <v/>
      </c>
      <c r="Z1405" s="20">
        <f>IF($Y1405&lt;=Settings!$B$4*3,"C",IF($Y1405&lt;=(Settings!$B$4+Settings!$B$5)*3,"A",IF($Y1405&lt;=(Settings!$B$4+Settings!$B$5+Settings!$B$6)*3,"F","")))</f>
        <v/>
      </c>
      <c r="AA1405" s="20">
        <f>IF($Z1405="C",$Y1405,IF($Z1405="A",$Y1405-Settings!$B$4*3,IF($Z1405="F",$Y1405-(Settings!$B$4+Settings!$B$5)*3,"")))</f>
        <v/>
      </c>
      <c r="AB1405" s="20">
        <f>IF($Z1405="","",INT(($AA1405-1)/3)+1)</f>
        <v/>
      </c>
      <c r="AC1405" s="20">
        <f>IF($Z1405="","",MOD($AA1405-1,3)+1)</f>
        <v/>
      </c>
      <c r="AD1405" s="20">
        <f>IF($Z1405="","",Settings!$B$2+$AC1405-1)</f>
        <v/>
      </c>
      <c r="AE1405" s="21">
        <f>IF($Z1405="C",DATE(YEAR(INDEX(Contracts!$J$2:$J$151,$AB1405)),MONTH(INDEX(Contracts!$J$2:$J$151,$AB1405)),1),IF($Z1405="A",DATE(YEAR(INDEX(Fixed_Assets!$G$2:$G$201,$AB1405)),MONTH(INDEX(Fixed_Assets!$G$2:$G$201,$AB1405)),1),IF($Z1405="F",DATE(YEAR(MAX(N(INDEX(Workforce!$I$2:$I$151,MATCH(INDEX(FTE_Allocation!$A$2:$A$201,$AB1405),Workforce!$A$2:$A$151,0))),N(INDEX(FTE_Allocation!$I$2:$I$201,$AB1405)))),MONTH(MAX(N(INDEX(Workforce!$I$2:$I$151,MATCH(INDEX(FTE_Allocation!$A$2:$A$201,$AB1405),Workforce!$A$2:$A$151,0))),N(INDEX(FTE_Allocation!$I$2:$I$201,$AB1405)))),1),"")))</f>
        <v/>
      </c>
      <c r="AF1405" s="21">
        <f>IF($Z1405="C",IF(INDEX(Contracts!$I$2:$I$151,$AB1405)="PREPAID",EDATE(DATE(YEAR(INDEX(Contracts!$J$2:$J$151,$AB1405)),MONTH(INDEX(Contracts!$J$2:$J$151,$AB1405)),1),IF(INDEX(Contracts!$N$2:$N$151,$AB1405)="",12,INDEX(Contracts!$N$2:$N$151,$AB1405))-1),IF(INDEX(Contracts!$I$2:$I$151,$AB1405)="MONTHLY",IF(INDEX(Contracts!$K$2:$K$151,$AB1405)="",2958101,INDEX(Contracts!$K$2:$K$151,$AB1405)),0)),IF($Z1405="A",EDATE(DATE(YEAR(INDEX(Fixed_Assets!$G$2:$G$201,$AB1405)),MONTH(INDEX(Fixed_Assets!$G$2:$G$201,$AB1405)),1),INDEX(Fixed_Assets!$J$2:$J$201,$AB1405)-1),IF($Z1405="F",MIN(IF(INDEX(Workforce!$J$2:$J$151,MATCH(INDEX(FTE_Allocation!$A$2:$A$201,$AB1405),Workforce!$A$2:$A$151,0))="",2958101,INDEX(Workforce!$J$2:$J$151,MATCH(INDEX(FTE_Allocation!$A$2:$A$201,$AB1405),Workforce!$A$2:$A$151,0))),IF(INDEX(FTE_Allocation!$J$2:$J$201,$AB1405)="",2958101,INDEX(FTE_Allocation!$J$2:$J$201,$AB1405))),"")))</f>
        <v/>
      </c>
      <c r="AG1405" s="19">
        <f>IF($Z1405="C",IF(INDEX(Contracts!$I$2:$I$151,$AB1405)="PREPAID",INDEX(Contracts!$M$2:$M$151,$AB1405)/IF(INDEX(Contracts!$N$2:$N$151,$AB1405)="",12,INDEX(Contracts!$N$2:$N$151,$AB1405)),IF(INDEX(Contracts!$I$2:$I$151,$AB1405)="MONTHLY",INDEX(Contracts!$M$2:$M$151,$AB1405),0))*(1-N(INDEX(Contracts!$O$2:$O$151,$AB1405))),IF($Z1405="A",INDEX(Fixed_Assets!$H$2:$H$201,$AB1405)/INDEX(Fixed_Assets!$J$2:$J$201,$AB1405),IF($Z1405="F",INDEX(Workforce!$F$2:$F$151,MATCH(INDEX(FTE_Allocation!$A$2:$A$201,$AB1405),Workforce!$A$2:$A$151,0))*N(INDEX(FTE_Allocation!$F$2:$H$201,$AB1405,$AC1405)),"")))</f>
        <v/>
      </c>
    </row>
    <row r="1406">
      <c r="A1406" s="7">
        <f>IF($Z1406="","",$AD1406)</f>
        <v/>
      </c>
      <c r="B1406" s="7">
        <f>IF($Z1406="C",INDEX(Contracts!$D$2:$D$151,$AB1406)&amp;"",IF($Z1406="A",INDEX(Fixed_Assets!$C$2:$C$201,$AB1406)&amp;"",IF($Z1406="F",INDEX(Workforce!$B$2:$B$151,MATCH(INDEX(FTE_Allocation!$A$2:$A$201,$AB1406),Workforce!$A$2:$A$151,0))&amp;"","")))</f>
        <v/>
      </c>
      <c r="C1406" s="7">
        <f>IF($Z1406="C",INDEX(Contracts!$E$2:$E$151,$AB1406)&amp;"",IF($Z1406="A",INDEX(Fixed_Assets!$D$2:$D$201,$AB1406)&amp;"",IF($Z1406="F",INDEX(FTE_Allocation!$C$2:$C$201,$AB1406)&amp;"","")))</f>
        <v/>
      </c>
      <c r="D1406" s="7">
        <f>IF($Z1406="C",INDEX(Contracts!$B$2:$B$151,$AB1406)&amp;"",IF($Z1406="A",INDEX(Fixed_Assets!$B$2:$B$201,$AB1406)&amp;"",IF($Z1406="F",INDEX(FTE_Allocation!$B$2:$B$201,$AB1406)&amp;"","")))</f>
        <v/>
      </c>
      <c r="E1406" s="7">
        <f>IF($Z1406="C",INDEX(Contracts!$P$2:$P$151,$AB1406)&amp;"",IF($Z1406="A",INDEX(Fixed_Assets!$K$2:$K$201,$AB1406)&amp;"",IF($Z1406="F",IF(INDEX(FTE_Allocation!$D$2:$D$201,$AB1406)="PROJECT",IFERROR(INDEX(Projects!$D:$D,MATCH(INDEX(FTE_Allocation!$E$2:$E$201,$AB1406),Projects!$A:$A,0))&amp;"","#PROJECT?"),INDEX(FTE_Allocation!$E$2:$E$201,$AB1406)&amp;""),"")))</f>
        <v/>
      </c>
      <c r="F1406" s="7">
        <f>IF($Z1406="C",INDEX(Contracts!$Q$2:$Q$151,$AB1406)&amp;"",IF($Z1406="A",INDEX(Fixed_Assets!$L$2:$L$201,$AB1406)&amp;"",IF($Z1406="F",INDEX(Workforce!$K$2:$K$151,MATCH(INDEX(FTE_Allocation!$A$2:$A$201,$AB1406),Workforce!$A$2:$A$151,0))&amp;"","")))</f>
        <v/>
      </c>
      <c r="G1406" s="7">
        <f>IF($Z1406="C",INDEX(Contracts!$F$2:$F$151,$AB1406)&amp;" / "&amp;INDEX(Contracts!$G$2:$G$151,$AB1406),IF($Z1406="A",INDEX(Fixed_Assets!$E$2:$E$201,$AB1406)&amp;"",IF($Z1406="F","Personnel "&amp;INDEX(FTE_Allocation!$A$2:$A$201,$AB1406)&amp;IF(INDEX(FTE_Allocation!$D$2:$D$201,$AB1406)="PROJECT"," ("&amp;INDEX(FTE_Allocation!$E$2:$E$201,$AB1406)&amp;")",""),"")))</f>
        <v/>
      </c>
      <c r="H1406" s="7">
        <f>IF($Z1406="C","CONTRACT",IF($Z1406="A","ASSET",IF($Z1406="F","WORKFORCE","")))</f>
        <v/>
      </c>
      <c r="I1406" s="7">
        <f>IF($Z1406="C",INDEX(Contracts!$L$2:$L$151,$AB1406)&amp;"",IF($Z1406="A",INDEX(Fixed_Assets!$I$2:$I$201,$AB1406)&amp;"",IF($Z1406="F",INDEX(Workforce!$G$2:$G$151,MATCH(INDEX(FTE_Allocation!$A$2:$A$201,$AB1406),Workforce!$A$2:$A$151,0))&amp;"","")))</f>
        <v/>
      </c>
      <c r="J1406" s="18">
        <f>IF($Z1406="","",IF(AND(DATE($AD1406,1,1)&gt;=$AE1406,DATE($AD1406,1,1)&lt;=$AF1406),ROUND($AG1406,2),0))</f>
        <v/>
      </c>
      <c r="K1406" s="18">
        <f>IF($Z1406="","",IF(AND(DATE($AD1406,2,1)&gt;=$AE1406,DATE($AD1406,2,1)&lt;=$AF1406),ROUND($AG1406,2),0))</f>
        <v/>
      </c>
      <c r="L1406" s="18">
        <f>IF($Z1406="","",IF(AND(DATE($AD1406,3,1)&gt;=$AE1406,DATE($AD1406,3,1)&lt;=$AF1406),ROUND($AG1406,2),0))</f>
        <v/>
      </c>
      <c r="M1406" s="18">
        <f>IF($Z1406="","",IF(AND(DATE($AD1406,4,1)&gt;=$AE1406,DATE($AD1406,4,1)&lt;=$AF1406),ROUND($AG1406,2),0))</f>
        <v/>
      </c>
      <c r="N1406" s="18">
        <f>IF($Z1406="","",IF(AND(DATE($AD1406,5,1)&gt;=$AE1406,DATE($AD1406,5,1)&lt;=$AF1406),ROUND($AG1406,2),0))</f>
        <v/>
      </c>
      <c r="O1406" s="18">
        <f>IF($Z1406="","",IF(AND(DATE($AD1406,6,1)&gt;=$AE1406,DATE($AD1406,6,1)&lt;=$AF1406),ROUND($AG1406,2),0))</f>
        <v/>
      </c>
      <c r="P1406" s="18">
        <f>IF($Z1406="","",IF(AND(DATE($AD1406,7,1)&gt;=$AE1406,DATE($AD1406,7,1)&lt;=$AF1406),ROUND($AG1406,2),0))</f>
        <v/>
      </c>
      <c r="Q1406" s="18">
        <f>IF($Z1406="","",IF(AND(DATE($AD1406,8,1)&gt;=$AE1406,DATE($AD1406,8,1)&lt;=$AF1406),ROUND($AG1406,2),0))</f>
        <v/>
      </c>
      <c r="R1406" s="18">
        <f>IF($Z1406="","",IF(AND(DATE($AD1406,9,1)&gt;=$AE1406,DATE($AD1406,9,1)&lt;=$AF1406),ROUND($AG1406,2),0))</f>
        <v/>
      </c>
      <c r="S1406" s="18">
        <f>IF($Z1406="","",IF(AND(DATE($AD1406,10,1)&gt;=$AE1406,DATE($AD1406,10,1)&lt;=$AF1406),ROUND($AG1406,2),0))</f>
        <v/>
      </c>
      <c r="T1406" s="18">
        <f>IF($Z1406="","",IF(AND(DATE($AD1406,11,1)&gt;=$AE1406,DATE($AD1406,11,1)&lt;=$AF1406),ROUND($AG1406,2),0))</f>
        <v/>
      </c>
      <c r="U1406" s="18">
        <f>IF($Z1406="","",IF(AND(DATE($AD1406,12,1)&gt;=$AE1406,DATE($AD1406,12,1)&lt;=$AF1406),ROUND($AG1406,2),0))</f>
        <v/>
      </c>
      <c r="V1406" s="7">
        <f>IF($Z1406="C","Generated from "&amp;INDEX(Contracts!$A$2:$A$151,$AB1406),IF($Z1406="A","Generated from "&amp;INDEX(Fixed_Assets!$A$2:$A$201,$AB1406),IF($Z1406="F","Generated from "&amp;INDEX(FTE_Allocation!$A$2:$A$201,$AB1406),"")))</f>
        <v/>
      </c>
      <c r="X1406" s="19">
        <f>IF($Z1406="","",SUM(J1406:U1406))</f>
        <v/>
      </c>
      <c r="Y1406" s="20">
        <f>ROW()-1</f>
        <v/>
      </c>
      <c r="Z1406" s="20">
        <f>IF($Y1406&lt;=Settings!$B$4*3,"C",IF($Y1406&lt;=(Settings!$B$4+Settings!$B$5)*3,"A",IF($Y1406&lt;=(Settings!$B$4+Settings!$B$5+Settings!$B$6)*3,"F","")))</f>
        <v/>
      </c>
      <c r="AA1406" s="20">
        <f>IF($Z1406="C",$Y1406,IF($Z1406="A",$Y1406-Settings!$B$4*3,IF($Z1406="F",$Y1406-(Settings!$B$4+Settings!$B$5)*3,"")))</f>
        <v/>
      </c>
      <c r="AB1406" s="20">
        <f>IF($Z1406="","",INT(($AA1406-1)/3)+1)</f>
        <v/>
      </c>
      <c r="AC1406" s="20">
        <f>IF($Z1406="","",MOD($AA1406-1,3)+1)</f>
        <v/>
      </c>
      <c r="AD1406" s="20">
        <f>IF($Z1406="","",Settings!$B$2+$AC1406-1)</f>
        <v/>
      </c>
      <c r="AE1406" s="21">
        <f>IF($Z1406="C",DATE(YEAR(INDEX(Contracts!$J$2:$J$151,$AB1406)),MONTH(INDEX(Contracts!$J$2:$J$151,$AB1406)),1),IF($Z1406="A",DATE(YEAR(INDEX(Fixed_Assets!$G$2:$G$201,$AB1406)),MONTH(INDEX(Fixed_Assets!$G$2:$G$201,$AB1406)),1),IF($Z1406="F",DATE(YEAR(MAX(N(INDEX(Workforce!$I$2:$I$151,MATCH(INDEX(FTE_Allocation!$A$2:$A$201,$AB1406),Workforce!$A$2:$A$151,0))),N(INDEX(FTE_Allocation!$I$2:$I$201,$AB1406)))),MONTH(MAX(N(INDEX(Workforce!$I$2:$I$151,MATCH(INDEX(FTE_Allocation!$A$2:$A$201,$AB1406),Workforce!$A$2:$A$151,0))),N(INDEX(FTE_Allocation!$I$2:$I$201,$AB1406)))),1),"")))</f>
        <v/>
      </c>
      <c r="AF1406" s="21">
        <f>IF($Z1406="C",IF(INDEX(Contracts!$I$2:$I$151,$AB1406)="PREPAID",EDATE(DATE(YEAR(INDEX(Contracts!$J$2:$J$151,$AB1406)),MONTH(INDEX(Contracts!$J$2:$J$151,$AB1406)),1),IF(INDEX(Contracts!$N$2:$N$151,$AB1406)="",12,INDEX(Contracts!$N$2:$N$151,$AB1406))-1),IF(INDEX(Contracts!$I$2:$I$151,$AB1406)="MONTHLY",IF(INDEX(Contracts!$K$2:$K$151,$AB1406)="",2958101,INDEX(Contracts!$K$2:$K$151,$AB1406)),0)),IF($Z1406="A",EDATE(DATE(YEAR(INDEX(Fixed_Assets!$G$2:$G$201,$AB1406)),MONTH(INDEX(Fixed_Assets!$G$2:$G$201,$AB1406)),1),INDEX(Fixed_Assets!$J$2:$J$201,$AB1406)-1),IF($Z1406="F",MIN(IF(INDEX(Workforce!$J$2:$J$151,MATCH(INDEX(FTE_Allocation!$A$2:$A$201,$AB1406),Workforce!$A$2:$A$151,0))="",2958101,INDEX(Workforce!$J$2:$J$151,MATCH(INDEX(FTE_Allocation!$A$2:$A$201,$AB1406),Workforce!$A$2:$A$151,0))),IF(INDEX(FTE_Allocation!$J$2:$J$201,$AB1406)="",2958101,INDEX(FTE_Allocation!$J$2:$J$201,$AB1406))),"")))</f>
        <v/>
      </c>
      <c r="AG1406" s="19">
        <f>IF($Z1406="C",IF(INDEX(Contracts!$I$2:$I$151,$AB1406)="PREPAID",INDEX(Contracts!$M$2:$M$151,$AB1406)/IF(INDEX(Contracts!$N$2:$N$151,$AB1406)="",12,INDEX(Contracts!$N$2:$N$151,$AB1406)),IF(INDEX(Contracts!$I$2:$I$151,$AB1406)="MONTHLY",INDEX(Contracts!$M$2:$M$151,$AB1406),0))*(1-N(INDEX(Contracts!$O$2:$O$151,$AB1406))),IF($Z1406="A",INDEX(Fixed_Assets!$H$2:$H$201,$AB1406)/INDEX(Fixed_Assets!$J$2:$J$201,$AB1406),IF($Z1406="F",INDEX(Workforce!$F$2:$F$151,MATCH(INDEX(FTE_Allocation!$A$2:$A$201,$AB1406),Workforce!$A$2:$A$151,0))*N(INDEX(FTE_Allocation!$F$2:$H$201,$AB1406,$AC1406)),"")))</f>
        <v/>
      </c>
    </row>
    <row r="1407">
      <c r="A1407" s="7">
        <f>IF($Z1407="","",$AD1407)</f>
        <v/>
      </c>
      <c r="B1407" s="7">
        <f>IF($Z1407="C",INDEX(Contracts!$D$2:$D$151,$AB1407)&amp;"",IF($Z1407="A",INDEX(Fixed_Assets!$C$2:$C$201,$AB1407)&amp;"",IF($Z1407="F",INDEX(Workforce!$B$2:$B$151,MATCH(INDEX(FTE_Allocation!$A$2:$A$201,$AB1407),Workforce!$A$2:$A$151,0))&amp;"","")))</f>
        <v/>
      </c>
      <c r="C1407" s="7">
        <f>IF($Z1407="C",INDEX(Contracts!$E$2:$E$151,$AB1407)&amp;"",IF($Z1407="A",INDEX(Fixed_Assets!$D$2:$D$201,$AB1407)&amp;"",IF($Z1407="F",INDEX(FTE_Allocation!$C$2:$C$201,$AB1407)&amp;"","")))</f>
        <v/>
      </c>
      <c r="D1407" s="7">
        <f>IF($Z1407="C",INDEX(Contracts!$B$2:$B$151,$AB1407)&amp;"",IF($Z1407="A",INDEX(Fixed_Assets!$B$2:$B$201,$AB1407)&amp;"",IF($Z1407="F",INDEX(FTE_Allocation!$B$2:$B$201,$AB1407)&amp;"","")))</f>
        <v/>
      </c>
      <c r="E1407" s="7">
        <f>IF($Z1407="C",INDEX(Contracts!$P$2:$P$151,$AB1407)&amp;"",IF($Z1407="A",INDEX(Fixed_Assets!$K$2:$K$201,$AB1407)&amp;"",IF($Z1407="F",IF(INDEX(FTE_Allocation!$D$2:$D$201,$AB1407)="PROJECT",IFERROR(INDEX(Projects!$D:$D,MATCH(INDEX(FTE_Allocation!$E$2:$E$201,$AB1407),Projects!$A:$A,0))&amp;"","#PROJECT?"),INDEX(FTE_Allocation!$E$2:$E$201,$AB1407)&amp;""),"")))</f>
        <v/>
      </c>
      <c r="F1407" s="7">
        <f>IF($Z1407="C",INDEX(Contracts!$Q$2:$Q$151,$AB1407)&amp;"",IF($Z1407="A",INDEX(Fixed_Assets!$L$2:$L$201,$AB1407)&amp;"",IF($Z1407="F",INDEX(Workforce!$K$2:$K$151,MATCH(INDEX(FTE_Allocation!$A$2:$A$201,$AB1407),Workforce!$A$2:$A$151,0))&amp;"","")))</f>
        <v/>
      </c>
      <c r="G1407" s="7">
        <f>IF($Z1407="C",INDEX(Contracts!$F$2:$F$151,$AB1407)&amp;" / "&amp;INDEX(Contracts!$G$2:$G$151,$AB1407),IF($Z1407="A",INDEX(Fixed_Assets!$E$2:$E$201,$AB1407)&amp;"",IF($Z1407="F","Personnel "&amp;INDEX(FTE_Allocation!$A$2:$A$201,$AB1407)&amp;IF(INDEX(FTE_Allocation!$D$2:$D$201,$AB1407)="PROJECT"," ("&amp;INDEX(FTE_Allocation!$E$2:$E$201,$AB1407)&amp;")",""),"")))</f>
        <v/>
      </c>
      <c r="H1407" s="7">
        <f>IF($Z1407="C","CONTRACT",IF($Z1407="A","ASSET",IF($Z1407="F","WORKFORCE","")))</f>
        <v/>
      </c>
      <c r="I1407" s="7">
        <f>IF($Z1407="C",INDEX(Contracts!$L$2:$L$151,$AB1407)&amp;"",IF($Z1407="A",INDEX(Fixed_Assets!$I$2:$I$201,$AB1407)&amp;"",IF($Z1407="F",INDEX(Workforce!$G$2:$G$151,MATCH(INDEX(FTE_Allocation!$A$2:$A$201,$AB1407),Workforce!$A$2:$A$151,0))&amp;"","")))</f>
        <v/>
      </c>
      <c r="J1407" s="18">
        <f>IF($Z1407="","",IF(AND(DATE($AD1407,1,1)&gt;=$AE1407,DATE($AD1407,1,1)&lt;=$AF1407),ROUND($AG1407,2),0))</f>
        <v/>
      </c>
      <c r="K1407" s="18">
        <f>IF($Z1407="","",IF(AND(DATE($AD1407,2,1)&gt;=$AE1407,DATE($AD1407,2,1)&lt;=$AF1407),ROUND($AG1407,2),0))</f>
        <v/>
      </c>
      <c r="L1407" s="18">
        <f>IF($Z1407="","",IF(AND(DATE($AD1407,3,1)&gt;=$AE1407,DATE($AD1407,3,1)&lt;=$AF1407),ROUND($AG1407,2),0))</f>
        <v/>
      </c>
      <c r="M1407" s="18">
        <f>IF($Z1407="","",IF(AND(DATE($AD1407,4,1)&gt;=$AE1407,DATE($AD1407,4,1)&lt;=$AF1407),ROUND($AG1407,2),0))</f>
        <v/>
      </c>
      <c r="N1407" s="18">
        <f>IF($Z1407="","",IF(AND(DATE($AD1407,5,1)&gt;=$AE1407,DATE($AD1407,5,1)&lt;=$AF1407),ROUND($AG1407,2),0))</f>
        <v/>
      </c>
      <c r="O1407" s="18">
        <f>IF($Z1407="","",IF(AND(DATE($AD1407,6,1)&gt;=$AE1407,DATE($AD1407,6,1)&lt;=$AF1407),ROUND($AG1407,2),0))</f>
        <v/>
      </c>
      <c r="P1407" s="18">
        <f>IF($Z1407="","",IF(AND(DATE($AD1407,7,1)&gt;=$AE1407,DATE($AD1407,7,1)&lt;=$AF1407),ROUND($AG1407,2),0))</f>
        <v/>
      </c>
      <c r="Q1407" s="18">
        <f>IF($Z1407="","",IF(AND(DATE($AD1407,8,1)&gt;=$AE1407,DATE($AD1407,8,1)&lt;=$AF1407),ROUND($AG1407,2),0))</f>
        <v/>
      </c>
      <c r="R1407" s="18">
        <f>IF($Z1407="","",IF(AND(DATE($AD1407,9,1)&gt;=$AE1407,DATE($AD1407,9,1)&lt;=$AF1407),ROUND($AG1407,2),0))</f>
        <v/>
      </c>
      <c r="S1407" s="18">
        <f>IF($Z1407="","",IF(AND(DATE($AD1407,10,1)&gt;=$AE1407,DATE($AD1407,10,1)&lt;=$AF1407),ROUND($AG1407,2),0))</f>
        <v/>
      </c>
      <c r="T1407" s="18">
        <f>IF($Z1407="","",IF(AND(DATE($AD1407,11,1)&gt;=$AE1407,DATE($AD1407,11,1)&lt;=$AF1407),ROUND($AG1407,2),0))</f>
        <v/>
      </c>
      <c r="U1407" s="18">
        <f>IF($Z1407="","",IF(AND(DATE($AD1407,12,1)&gt;=$AE1407,DATE($AD1407,12,1)&lt;=$AF1407),ROUND($AG1407,2),0))</f>
        <v/>
      </c>
      <c r="V1407" s="7">
        <f>IF($Z1407="C","Generated from "&amp;INDEX(Contracts!$A$2:$A$151,$AB1407),IF($Z1407="A","Generated from "&amp;INDEX(Fixed_Assets!$A$2:$A$201,$AB1407),IF($Z1407="F","Generated from "&amp;INDEX(FTE_Allocation!$A$2:$A$201,$AB1407),"")))</f>
        <v/>
      </c>
      <c r="X1407" s="19">
        <f>IF($Z1407="","",SUM(J1407:U1407))</f>
        <v/>
      </c>
      <c r="Y1407" s="20">
        <f>ROW()-1</f>
        <v/>
      </c>
      <c r="Z1407" s="20">
        <f>IF($Y1407&lt;=Settings!$B$4*3,"C",IF($Y1407&lt;=(Settings!$B$4+Settings!$B$5)*3,"A",IF($Y1407&lt;=(Settings!$B$4+Settings!$B$5+Settings!$B$6)*3,"F","")))</f>
        <v/>
      </c>
      <c r="AA1407" s="20">
        <f>IF($Z1407="C",$Y1407,IF($Z1407="A",$Y1407-Settings!$B$4*3,IF($Z1407="F",$Y1407-(Settings!$B$4+Settings!$B$5)*3,"")))</f>
        <v/>
      </c>
      <c r="AB1407" s="20">
        <f>IF($Z1407="","",INT(($AA1407-1)/3)+1)</f>
        <v/>
      </c>
      <c r="AC1407" s="20">
        <f>IF($Z1407="","",MOD($AA1407-1,3)+1)</f>
        <v/>
      </c>
      <c r="AD1407" s="20">
        <f>IF($Z1407="","",Settings!$B$2+$AC1407-1)</f>
        <v/>
      </c>
      <c r="AE1407" s="21">
        <f>IF($Z1407="C",DATE(YEAR(INDEX(Contracts!$J$2:$J$151,$AB1407)),MONTH(INDEX(Contracts!$J$2:$J$151,$AB1407)),1),IF($Z1407="A",DATE(YEAR(INDEX(Fixed_Assets!$G$2:$G$201,$AB1407)),MONTH(INDEX(Fixed_Assets!$G$2:$G$201,$AB1407)),1),IF($Z1407="F",DATE(YEAR(MAX(N(INDEX(Workforce!$I$2:$I$151,MATCH(INDEX(FTE_Allocation!$A$2:$A$201,$AB1407),Workforce!$A$2:$A$151,0))),N(INDEX(FTE_Allocation!$I$2:$I$201,$AB1407)))),MONTH(MAX(N(INDEX(Workforce!$I$2:$I$151,MATCH(INDEX(FTE_Allocation!$A$2:$A$201,$AB1407),Workforce!$A$2:$A$151,0))),N(INDEX(FTE_Allocation!$I$2:$I$201,$AB1407)))),1),"")))</f>
        <v/>
      </c>
      <c r="AF1407" s="21">
        <f>IF($Z1407="C",IF(INDEX(Contracts!$I$2:$I$151,$AB1407)="PREPAID",EDATE(DATE(YEAR(INDEX(Contracts!$J$2:$J$151,$AB1407)),MONTH(INDEX(Contracts!$J$2:$J$151,$AB1407)),1),IF(INDEX(Contracts!$N$2:$N$151,$AB1407)="",12,INDEX(Contracts!$N$2:$N$151,$AB1407))-1),IF(INDEX(Contracts!$I$2:$I$151,$AB1407)="MONTHLY",IF(INDEX(Contracts!$K$2:$K$151,$AB1407)="",2958101,INDEX(Contracts!$K$2:$K$151,$AB1407)),0)),IF($Z1407="A",EDATE(DATE(YEAR(INDEX(Fixed_Assets!$G$2:$G$201,$AB1407)),MONTH(INDEX(Fixed_Assets!$G$2:$G$201,$AB1407)),1),INDEX(Fixed_Assets!$J$2:$J$201,$AB1407)-1),IF($Z1407="F",MIN(IF(INDEX(Workforce!$J$2:$J$151,MATCH(INDEX(FTE_Allocation!$A$2:$A$201,$AB1407),Workforce!$A$2:$A$151,0))="",2958101,INDEX(Workforce!$J$2:$J$151,MATCH(INDEX(FTE_Allocation!$A$2:$A$201,$AB1407),Workforce!$A$2:$A$151,0))),IF(INDEX(FTE_Allocation!$J$2:$J$201,$AB1407)="",2958101,INDEX(FTE_Allocation!$J$2:$J$201,$AB1407))),"")))</f>
        <v/>
      </c>
      <c r="AG1407" s="19">
        <f>IF($Z1407="C",IF(INDEX(Contracts!$I$2:$I$151,$AB1407)="PREPAID",INDEX(Contracts!$M$2:$M$151,$AB1407)/IF(INDEX(Contracts!$N$2:$N$151,$AB1407)="",12,INDEX(Contracts!$N$2:$N$151,$AB1407)),IF(INDEX(Contracts!$I$2:$I$151,$AB1407)="MONTHLY",INDEX(Contracts!$M$2:$M$151,$AB1407),0))*(1-N(INDEX(Contracts!$O$2:$O$151,$AB1407))),IF($Z1407="A",INDEX(Fixed_Assets!$H$2:$H$201,$AB1407)/INDEX(Fixed_Assets!$J$2:$J$201,$AB1407),IF($Z1407="F",INDEX(Workforce!$F$2:$F$151,MATCH(INDEX(FTE_Allocation!$A$2:$A$201,$AB1407),Workforce!$A$2:$A$151,0))*N(INDEX(FTE_Allocation!$F$2:$H$201,$AB1407,$AC1407)),"")))</f>
        <v/>
      </c>
    </row>
    <row r="1408">
      <c r="A1408" s="7">
        <f>IF($Z1408="","",$AD1408)</f>
        <v/>
      </c>
      <c r="B1408" s="7">
        <f>IF($Z1408="C",INDEX(Contracts!$D$2:$D$151,$AB1408)&amp;"",IF($Z1408="A",INDEX(Fixed_Assets!$C$2:$C$201,$AB1408)&amp;"",IF($Z1408="F",INDEX(Workforce!$B$2:$B$151,MATCH(INDEX(FTE_Allocation!$A$2:$A$201,$AB1408),Workforce!$A$2:$A$151,0))&amp;"","")))</f>
        <v/>
      </c>
      <c r="C1408" s="7">
        <f>IF($Z1408="C",INDEX(Contracts!$E$2:$E$151,$AB1408)&amp;"",IF($Z1408="A",INDEX(Fixed_Assets!$D$2:$D$201,$AB1408)&amp;"",IF($Z1408="F",INDEX(FTE_Allocation!$C$2:$C$201,$AB1408)&amp;"","")))</f>
        <v/>
      </c>
      <c r="D1408" s="7">
        <f>IF($Z1408="C",INDEX(Contracts!$B$2:$B$151,$AB1408)&amp;"",IF($Z1408="A",INDEX(Fixed_Assets!$B$2:$B$201,$AB1408)&amp;"",IF($Z1408="F",INDEX(FTE_Allocation!$B$2:$B$201,$AB1408)&amp;"","")))</f>
        <v/>
      </c>
      <c r="E1408" s="7">
        <f>IF($Z1408="C",INDEX(Contracts!$P$2:$P$151,$AB1408)&amp;"",IF($Z1408="A",INDEX(Fixed_Assets!$K$2:$K$201,$AB1408)&amp;"",IF($Z1408="F",IF(INDEX(FTE_Allocation!$D$2:$D$201,$AB1408)="PROJECT",IFERROR(INDEX(Projects!$D:$D,MATCH(INDEX(FTE_Allocation!$E$2:$E$201,$AB1408),Projects!$A:$A,0))&amp;"","#PROJECT?"),INDEX(FTE_Allocation!$E$2:$E$201,$AB1408)&amp;""),"")))</f>
        <v/>
      </c>
      <c r="F1408" s="7">
        <f>IF($Z1408="C",INDEX(Contracts!$Q$2:$Q$151,$AB1408)&amp;"",IF($Z1408="A",INDEX(Fixed_Assets!$L$2:$L$201,$AB1408)&amp;"",IF($Z1408="F",INDEX(Workforce!$K$2:$K$151,MATCH(INDEX(FTE_Allocation!$A$2:$A$201,$AB1408),Workforce!$A$2:$A$151,0))&amp;"","")))</f>
        <v/>
      </c>
      <c r="G1408" s="7">
        <f>IF($Z1408="C",INDEX(Contracts!$F$2:$F$151,$AB1408)&amp;" / "&amp;INDEX(Contracts!$G$2:$G$151,$AB1408),IF($Z1408="A",INDEX(Fixed_Assets!$E$2:$E$201,$AB1408)&amp;"",IF($Z1408="F","Personnel "&amp;INDEX(FTE_Allocation!$A$2:$A$201,$AB1408)&amp;IF(INDEX(FTE_Allocation!$D$2:$D$201,$AB1408)="PROJECT"," ("&amp;INDEX(FTE_Allocation!$E$2:$E$201,$AB1408)&amp;")",""),"")))</f>
        <v/>
      </c>
      <c r="H1408" s="7">
        <f>IF($Z1408="C","CONTRACT",IF($Z1408="A","ASSET",IF($Z1408="F","WORKFORCE","")))</f>
        <v/>
      </c>
      <c r="I1408" s="7">
        <f>IF($Z1408="C",INDEX(Contracts!$L$2:$L$151,$AB1408)&amp;"",IF($Z1408="A",INDEX(Fixed_Assets!$I$2:$I$201,$AB1408)&amp;"",IF($Z1408="F",INDEX(Workforce!$G$2:$G$151,MATCH(INDEX(FTE_Allocation!$A$2:$A$201,$AB1408),Workforce!$A$2:$A$151,0))&amp;"","")))</f>
        <v/>
      </c>
      <c r="J1408" s="18">
        <f>IF($Z1408="","",IF(AND(DATE($AD1408,1,1)&gt;=$AE1408,DATE($AD1408,1,1)&lt;=$AF1408),ROUND($AG1408,2),0))</f>
        <v/>
      </c>
      <c r="K1408" s="18">
        <f>IF($Z1408="","",IF(AND(DATE($AD1408,2,1)&gt;=$AE1408,DATE($AD1408,2,1)&lt;=$AF1408),ROUND($AG1408,2),0))</f>
        <v/>
      </c>
      <c r="L1408" s="18">
        <f>IF($Z1408="","",IF(AND(DATE($AD1408,3,1)&gt;=$AE1408,DATE($AD1408,3,1)&lt;=$AF1408),ROUND($AG1408,2),0))</f>
        <v/>
      </c>
      <c r="M1408" s="18">
        <f>IF($Z1408="","",IF(AND(DATE($AD1408,4,1)&gt;=$AE1408,DATE($AD1408,4,1)&lt;=$AF1408),ROUND($AG1408,2),0))</f>
        <v/>
      </c>
      <c r="N1408" s="18">
        <f>IF($Z1408="","",IF(AND(DATE($AD1408,5,1)&gt;=$AE1408,DATE($AD1408,5,1)&lt;=$AF1408),ROUND($AG1408,2),0))</f>
        <v/>
      </c>
      <c r="O1408" s="18">
        <f>IF($Z1408="","",IF(AND(DATE($AD1408,6,1)&gt;=$AE1408,DATE($AD1408,6,1)&lt;=$AF1408),ROUND($AG1408,2),0))</f>
        <v/>
      </c>
      <c r="P1408" s="18">
        <f>IF($Z1408="","",IF(AND(DATE($AD1408,7,1)&gt;=$AE1408,DATE($AD1408,7,1)&lt;=$AF1408),ROUND($AG1408,2),0))</f>
        <v/>
      </c>
      <c r="Q1408" s="18">
        <f>IF($Z1408="","",IF(AND(DATE($AD1408,8,1)&gt;=$AE1408,DATE($AD1408,8,1)&lt;=$AF1408),ROUND($AG1408,2),0))</f>
        <v/>
      </c>
      <c r="R1408" s="18">
        <f>IF($Z1408="","",IF(AND(DATE($AD1408,9,1)&gt;=$AE1408,DATE($AD1408,9,1)&lt;=$AF1408),ROUND($AG1408,2),0))</f>
        <v/>
      </c>
      <c r="S1408" s="18">
        <f>IF($Z1408="","",IF(AND(DATE($AD1408,10,1)&gt;=$AE1408,DATE($AD1408,10,1)&lt;=$AF1408),ROUND($AG1408,2),0))</f>
        <v/>
      </c>
      <c r="T1408" s="18">
        <f>IF($Z1408="","",IF(AND(DATE($AD1408,11,1)&gt;=$AE1408,DATE($AD1408,11,1)&lt;=$AF1408),ROUND($AG1408,2),0))</f>
        <v/>
      </c>
      <c r="U1408" s="18">
        <f>IF($Z1408="","",IF(AND(DATE($AD1408,12,1)&gt;=$AE1408,DATE($AD1408,12,1)&lt;=$AF1408),ROUND($AG1408,2),0))</f>
        <v/>
      </c>
      <c r="V1408" s="7">
        <f>IF($Z1408="C","Generated from "&amp;INDEX(Contracts!$A$2:$A$151,$AB1408),IF($Z1408="A","Generated from "&amp;INDEX(Fixed_Assets!$A$2:$A$201,$AB1408),IF($Z1408="F","Generated from "&amp;INDEX(FTE_Allocation!$A$2:$A$201,$AB1408),"")))</f>
        <v/>
      </c>
      <c r="X1408" s="19">
        <f>IF($Z1408="","",SUM(J1408:U1408))</f>
        <v/>
      </c>
      <c r="Y1408" s="20">
        <f>ROW()-1</f>
        <v/>
      </c>
      <c r="Z1408" s="20">
        <f>IF($Y1408&lt;=Settings!$B$4*3,"C",IF($Y1408&lt;=(Settings!$B$4+Settings!$B$5)*3,"A",IF($Y1408&lt;=(Settings!$B$4+Settings!$B$5+Settings!$B$6)*3,"F","")))</f>
        <v/>
      </c>
      <c r="AA1408" s="20">
        <f>IF($Z1408="C",$Y1408,IF($Z1408="A",$Y1408-Settings!$B$4*3,IF($Z1408="F",$Y1408-(Settings!$B$4+Settings!$B$5)*3,"")))</f>
        <v/>
      </c>
      <c r="AB1408" s="20">
        <f>IF($Z1408="","",INT(($AA1408-1)/3)+1)</f>
        <v/>
      </c>
      <c r="AC1408" s="20">
        <f>IF($Z1408="","",MOD($AA1408-1,3)+1)</f>
        <v/>
      </c>
      <c r="AD1408" s="20">
        <f>IF($Z1408="","",Settings!$B$2+$AC1408-1)</f>
        <v/>
      </c>
      <c r="AE1408" s="21">
        <f>IF($Z1408="C",DATE(YEAR(INDEX(Contracts!$J$2:$J$151,$AB1408)),MONTH(INDEX(Contracts!$J$2:$J$151,$AB1408)),1),IF($Z1408="A",DATE(YEAR(INDEX(Fixed_Assets!$G$2:$G$201,$AB1408)),MONTH(INDEX(Fixed_Assets!$G$2:$G$201,$AB1408)),1),IF($Z1408="F",DATE(YEAR(MAX(N(INDEX(Workforce!$I$2:$I$151,MATCH(INDEX(FTE_Allocation!$A$2:$A$201,$AB1408),Workforce!$A$2:$A$151,0))),N(INDEX(FTE_Allocation!$I$2:$I$201,$AB1408)))),MONTH(MAX(N(INDEX(Workforce!$I$2:$I$151,MATCH(INDEX(FTE_Allocation!$A$2:$A$201,$AB1408),Workforce!$A$2:$A$151,0))),N(INDEX(FTE_Allocation!$I$2:$I$201,$AB1408)))),1),"")))</f>
        <v/>
      </c>
      <c r="AF1408" s="21">
        <f>IF($Z1408="C",IF(INDEX(Contracts!$I$2:$I$151,$AB1408)="PREPAID",EDATE(DATE(YEAR(INDEX(Contracts!$J$2:$J$151,$AB1408)),MONTH(INDEX(Contracts!$J$2:$J$151,$AB1408)),1),IF(INDEX(Contracts!$N$2:$N$151,$AB1408)="",12,INDEX(Contracts!$N$2:$N$151,$AB1408))-1),IF(INDEX(Contracts!$I$2:$I$151,$AB1408)="MONTHLY",IF(INDEX(Contracts!$K$2:$K$151,$AB1408)="",2958101,INDEX(Contracts!$K$2:$K$151,$AB1408)),0)),IF($Z1408="A",EDATE(DATE(YEAR(INDEX(Fixed_Assets!$G$2:$G$201,$AB1408)),MONTH(INDEX(Fixed_Assets!$G$2:$G$201,$AB1408)),1),INDEX(Fixed_Assets!$J$2:$J$201,$AB1408)-1),IF($Z1408="F",MIN(IF(INDEX(Workforce!$J$2:$J$151,MATCH(INDEX(FTE_Allocation!$A$2:$A$201,$AB1408),Workforce!$A$2:$A$151,0))="",2958101,INDEX(Workforce!$J$2:$J$151,MATCH(INDEX(FTE_Allocation!$A$2:$A$201,$AB1408),Workforce!$A$2:$A$151,0))),IF(INDEX(FTE_Allocation!$J$2:$J$201,$AB1408)="",2958101,INDEX(FTE_Allocation!$J$2:$J$201,$AB1408))),"")))</f>
        <v/>
      </c>
      <c r="AG1408" s="19">
        <f>IF($Z1408="C",IF(INDEX(Contracts!$I$2:$I$151,$AB1408)="PREPAID",INDEX(Contracts!$M$2:$M$151,$AB1408)/IF(INDEX(Contracts!$N$2:$N$151,$AB1408)="",12,INDEX(Contracts!$N$2:$N$151,$AB1408)),IF(INDEX(Contracts!$I$2:$I$151,$AB1408)="MONTHLY",INDEX(Contracts!$M$2:$M$151,$AB1408),0))*(1-N(INDEX(Contracts!$O$2:$O$151,$AB1408))),IF($Z1408="A",INDEX(Fixed_Assets!$H$2:$H$201,$AB1408)/INDEX(Fixed_Assets!$J$2:$J$201,$AB1408),IF($Z1408="F",INDEX(Workforce!$F$2:$F$151,MATCH(INDEX(FTE_Allocation!$A$2:$A$201,$AB1408),Workforce!$A$2:$A$151,0))*N(INDEX(FTE_Allocation!$F$2:$H$201,$AB1408,$AC1408)),"")))</f>
        <v/>
      </c>
    </row>
    <row r="1409">
      <c r="A1409" s="7">
        <f>IF($Z1409="","",$AD1409)</f>
        <v/>
      </c>
      <c r="B1409" s="7">
        <f>IF($Z1409="C",INDEX(Contracts!$D$2:$D$151,$AB1409)&amp;"",IF($Z1409="A",INDEX(Fixed_Assets!$C$2:$C$201,$AB1409)&amp;"",IF($Z1409="F",INDEX(Workforce!$B$2:$B$151,MATCH(INDEX(FTE_Allocation!$A$2:$A$201,$AB1409),Workforce!$A$2:$A$151,0))&amp;"","")))</f>
        <v/>
      </c>
      <c r="C1409" s="7">
        <f>IF($Z1409="C",INDEX(Contracts!$E$2:$E$151,$AB1409)&amp;"",IF($Z1409="A",INDEX(Fixed_Assets!$D$2:$D$201,$AB1409)&amp;"",IF($Z1409="F",INDEX(FTE_Allocation!$C$2:$C$201,$AB1409)&amp;"","")))</f>
        <v/>
      </c>
      <c r="D1409" s="7">
        <f>IF($Z1409="C",INDEX(Contracts!$B$2:$B$151,$AB1409)&amp;"",IF($Z1409="A",INDEX(Fixed_Assets!$B$2:$B$201,$AB1409)&amp;"",IF($Z1409="F",INDEX(FTE_Allocation!$B$2:$B$201,$AB1409)&amp;"","")))</f>
        <v/>
      </c>
      <c r="E1409" s="7">
        <f>IF($Z1409="C",INDEX(Contracts!$P$2:$P$151,$AB1409)&amp;"",IF($Z1409="A",INDEX(Fixed_Assets!$K$2:$K$201,$AB1409)&amp;"",IF($Z1409="F",IF(INDEX(FTE_Allocation!$D$2:$D$201,$AB1409)="PROJECT",IFERROR(INDEX(Projects!$D:$D,MATCH(INDEX(FTE_Allocation!$E$2:$E$201,$AB1409),Projects!$A:$A,0))&amp;"","#PROJECT?"),INDEX(FTE_Allocation!$E$2:$E$201,$AB1409)&amp;""),"")))</f>
        <v/>
      </c>
      <c r="F1409" s="7">
        <f>IF($Z1409="C",INDEX(Contracts!$Q$2:$Q$151,$AB1409)&amp;"",IF($Z1409="A",INDEX(Fixed_Assets!$L$2:$L$201,$AB1409)&amp;"",IF($Z1409="F",INDEX(Workforce!$K$2:$K$151,MATCH(INDEX(FTE_Allocation!$A$2:$A$201,$AB1409),Workforce!$A$2:$A$151,0))&amp;"","")))</f>
        <v/>
      </c>
      <c r="G1409" s="7">
        <f>IF($Z1409="C",INDEX(Contracts!$F$2:$F$151,$AB1409)&amp;" / "&amp;INDEX(Contracts!$G$2:$G$151,$AB1409),IF($Z1409="A",INDEX(Fixed_Assets!$E$2:$E$201,$AB1409)&amp;"",IF($Z1409="F","Personnel "&amp;INDEX(FTE_Allocation!$A$2:$A$201,$AB1409)&amp;IF(INDEX(FTE_Allocation!$D$2:$D$201,$AB1409)="PROJECT"," ("&amp;INDEX(FTE_Allocation!$E$2:$E$201,$AB1409)&amp;")",""),"")))</f>
        <v/>
      </c>
      <c r="H1409" s="7">
        <f>IF($Z1409="C","CONTRACT",IF($Z1409="A","ASSET",IF($Z1409="F","WORKFORCE","")))</f>
        <v/>
      </c>
      <c r="I1409" s="7">
        <f>IF($Z1409="C",INDEX(Contracts!$L$2:$L$151,$AB1409)&amp;"",IF($Z1409="A",INDEX(Fixed_Assets!$I$2:$I$201,$AB1409)&amp;"",IF($Z1409="F",INDEX(Workforce!$G$2:$G$151,MATCH(INDEX(FTE_Allocation!$A$2:$A$201,$AB1409),Workforce!$A$2:$A$151,0))&amp;"","")))</f>
        <v/>
      </c>
      <c r="J1409" s="18">
        <f>IF($Z1409="","",IF(AND(DATE($AD1409,1,1)&gt;=$AE1409,DATE($AD1409,1,1)&lt;=$AF1409),ROUND($AG1409,2),0))</f>
        <v/>
      </c>
      <c r="K1409" s="18">
        <f>IF($Z1409="","",IF(AND(DATE($AD1409,2,1)&gt;=$AE1409,DATE($AD1409,2,1)&lt;=$AF1409),ROUND($AG1409,2),0))</f>
        <v/>
      </c>
      <c r="L1409" s="18">
        <f>IF($Z1409="","",IF(AND(DATE($AD1409,3,1)&gt;=$AE1409,DATE($AD1409,3,1)&lt;=$AF1409),ROUND($AG1409,2),0))</f>
        <v/>
      </c>
      <c r="M1409" s="18">
        <f>IF($Z1409="","",IF(AND(DATE($AD1409,4,1)&gt;=$AE1409,DATE($AD1409,4,1)&lt;=$AF1409),ROUND($AG1409,2),0))</f>
        <v/>
      </c>
      <c r="N1409" s="18">
        <f>IF($Z1409="","",IF(AND(DATE($AD1409,5,1)&gt;=$AE1409,DATE($AD1409,5,1)&lt;=$AF1409),ROUND($AG1409,2),0))</f>
        <v/>
      </c>
      <c r="O1409" s="18">
        <f>IF($Z1409="","",IF(AND(DATE($AD1409,6,1)&gt;=$AE1409,DATE($AD1409,6,1)&lt;=$AF1409),ROUND($AG1409,2),0))</f>
        <v/>
      </c>
      <c r="P1409" s="18">
        <f>IF($Z1409="","",IF(AND(DATE($AD1409,7,1)&gt;=$AE1409,DATE($AD1409,7,1)&lt;=$AF1409),ROUND($AG1409,2),0))</f>
        <v/>
      </c>
      <c r="Q1409" s="18">
        <f>IF($Z1409="","",IF(AND(DATE($AD1409,8,1)&gt;=$AE1409,DATE($AD1409,8,1)&lt;=$AF1409),ROUND($AG1409,2),0))</f>
        <v/>
      </c>
      <c r="R1409" s="18">
        <f>IF($Z1409="","",IF(AND(DATE($AD1409,9,1)&gt;=$AE1409,DATE($AD1409,9,1)&lt;=$AF1409),ROUND($AG1409,2),0))</f>
        <v/>
      </c>
      <c r="S1409" s="18">
        <f>IF($Z1409="","",IF(AND(DATE($AD1409,10,1)&gt;=$AE1409,DATE($AD1409,10,1)&lt;=$AF1409),ROUND($AG1409,2),0))</f>
        <v/>
      </c>
      <c r="T1409" s="18">
        <f>IF($Z1409="","",IF(AND(DATE($AD1409,11,1)&gt;=$AE1409,DATE($AD1409,11,1)&lt;=$AF1409),ROUND($AG1409,2),0))</f>
        <v/>
      </c>
      <c r="U1409" s="18">
        <f>IF($Z1409="","",IF(AND(DATE($AD1409,12,1)&gt;=$AE1409,DATE($AD1409,12,1)&lt;=$AF1409),ROUND($AG1409,2),0))</f>
        <v/>
      </c>
      <c r="V1409" s="7">
        <f>IF($Z1409="C","Generated from "&amp;INDEX(Contracts!$A$2:$A$151,$AB1409),IF($Z1409="A","Generated from "&amp;INDEX(Fixed_Assets!$A$2:$A$201,$AB1409),IF($Z1409="F","Generated from "&amp;INDEX(FTE_Allocation!$A$2:$A$201,$AB1409),"")))</f>
        <v/>
      </c>
      <c r="X1409" s="19">
        <f>IF($Z1409="","",SUM(J1409:U1409))</f>
        <v/>
      </c>
      <c r="Y1409" s="20">
        <f>ROW()-1</f>
        <v/>
      </c>
      <c r="Z1409" s="20">
        <f>IF($Y1409&lt;=Settings!$B$4*3,"C",IF($Y1409&lt;=(Settings!$B$4+Settings!$B$5)*3,"A",IF($Y1409&lt;=(Settings!$B$4+Settings!$B$5+Settings!$B$6)*3,"F","")))</f>
        <v/>
      </c>
      <c r="AA1409" s="20">
        <f>IF($Z1409="C",$Y1409,IF($Z1409="A",$Y1409-Settings!$B$4*3,IF($Z1409="F",$Y1409-(Settings!$B$4+Settings!$B$5)*3,"")))</f>
        <v/>
      </c>
      <c r="AB1409" s="20">
        <f>IF($Z1409="","",INT(($AA1409-1)/3)+1)</f>
        <v/>
      </c>
      <c r="AC1409" s="20">
        <f>IF($Z1409="","",MOD($AA1409-1,3)+1)</f>
        <v/>
      </c>
      <c r="AD1409" s="20">
        <f>IF($Z1409="","",Settings!$B$2+$AC1409-1)</f>
        <v/>
      </c>
      <c r="AE1409" s="21">
        <f>IF($Z1409="C",DATE(YEAR(INDEX(Contracts!$J$2:$J$151,$AB1409)),MONTH(INDEX(Contracts!$J$2:$J$151,$AB1409)),1),IF($Z1409="A",DATE(YEAR(INDEX(Fixed_Assets!$G$2:$G$201,$AB1409)),MONTH(INDEX(Fixed_Assets!$G$2:$G$201,$AB1409)),1),IF($Z1409="F",DATE(YEAR(MAX(N(INDEX(Workforce!$I$2:$I$151,MATCH(INDEX(FTE_Allocation!$A$2:$A$201,$AB1409),Workforce!$A$2:$A$151,0))),N(INDEX(FTE_Allocation!$I$2:$I$201,$AB1409)))),MONTH(MAX(N(INDEX(Workforce!$I$2:$I$151,MATCH(INDEX(FTE_Allocation!$A$2:$A$201,$AB1409),Workforce!$A$2:$A$151,0))),N(INDEX(FTE_Allocation!$I$2:$I$201,$AB1409)))),1),"")))</f>
        <v/>
      </c>
      <c r="AF1409" s="21">
        <f>IF($Z1409="C",IF(INDEX(Contracts!$I$2:$I$151,$AB1409)="PREPAID",EDATE(DATE(YEAR(INDEX(Contracts!$J$2:$J$151,$AB1409)),MONTH(INDEX(Contracts!$J$2:$J$151,$AB1409)),1),IF(INDEX(Contracts!$N$2:$N$151,$AB1409)="",12,INDEX(Contracts!$N$2:$N$151,$AB1409))-1),IF(INDEX(Contracts!$I$2:$I$151,$AB1409)="MONTHLY",IF(INDEX(Contracts!$K$2:$K$151,$AB1409)="",2958101,INDEX(Contracts!$K$2:$K$151,$AB1409)),0)),IF($Z1409="A",EDATE(DATE(YEAR(INDEX(Fixed_Assets!$G$2:$G$201,$AB1409)),MONTH(INDEX(Fixed_Assets!$G$2:$G$201,$AB1409)),1),INDEX(Fixed_Assets!$J$2:$J$201,$AB1409)-1),IF($Z1409="F",MIN(IF(INDEX(Workforce!$J$2:$J$151,MATCH(INDEX(FTE_Allocation!$A$2:$A$201,$AB1409),Workforce!$A$2:$A$151,0))="",2958101,INDEX(Workforce!$J$2:$J$151,MATCH(INDEX(FTE_Allocation!$A$2:$A$201,$AB1409),Workforce!$A$2:$A$151,0))),IF(INDEX(FTE_Allocation!$J$2:$J$201,$AB1409)="",2958101,INDEX(FTE_Allocation!$J$2:$J$201,$AB1409))),"")))</f>
        <v/>
      </c>
      <c r="AG1409" s="19">
        <f>IF($Z1409="C",IF(INDEX(Contracts!$I$2:$I$151,$AB1409)="PREPAID",INDEX(Contracts!$M$2:$M$151,$AB1409)/IF(INDEX(Contracts!$N$2:$N$151,$AB1409)="",12,INDEX(Contracts!$N$2:$N$151,$AB1409)),IF(INDEX(Contracts!$I$2:$I$151,$AB1409)="MONTHLY",INDEX(Contracts!$M$2:$M$151,$AB1409),0))*(1-N(INDEX(Contracts!$O$2:$O$151,$AB1409))),IF($Z1409="A",INDEX(Fixed_Assets!$H$2:$H$201,$AB1409)/INDEX(Fixed_Assets!$J$2:$J$201,$AB1409),IF($Z1409="F",INDEX(Workforce!$F$2:$F$151,MATCH(INDEX(FTE_Allocation!$A$2:$A$201,$AB1409),Workforce!$A$2:$A$151,0))*N(INDEX(FTE_Allocation!$F$2:$H$201,$AB1409,$AC1409)),"")))</f>
        <v/>
      </c>
    </row>
    <row r="1410">
      <c r="A1410" s="7">
        <f>IF($Z1410="","",$AD1410)</f>
        <v/>
      </c>
      <c r="B1410" s="7">
        <f>IF($Z1410="C",INDEX(Contracts!$D$2:$D$151,$AB1410)&amp;"",IF($Z1410="A",INDEX(Fixed_Assets!$C$2:$C$201,$AB1410)&amp;"",IF($Z1410="F",INDEX(Workforce!$B$2:$B$151,MATCH(INDEX(FTE_Allocation!$A$2:$A$201,$AB1410),Workforce!$A$2:$A$151,0))&amp;"","")))</f>
        <v/>
      </c>
      <c r="C1410" s="7">
        <f>IF($Z1410="C",INDEX(Contracts!$E$2:$E$151,$AB1410)&amp;"",IF($Z1410="A",INDEX(Fixed_Assets!$D$2:$D$201,$AB1410)&amp;"",IF($Z1410="F",INDEX(FTE_Allocation!$C$2:$C$201,$AB1410)&amp;"","")))</f>
        <v/>
      </c>
      <c r="D1410" s="7">
        <f>IF($Z1410="C",INDEX(Contracts!$B$2:$B$151,$AB1410)&amp;"",IF($Z1410="A",INDEX(Fixed_Assets!$B$2:$B$201,$AB1410)&amp;"",IF($Z1410="F",INDEX(FTE_Allocation!$B$2:$B$201,$AB1410)&amp;"","")))</f>
        <v/>
      </c>
      <c r="E1410" s="7">
        <f>IF($Z1410="C",INDEX(Contracts!$P$2:$P$151,$AB1410)&amp;"",IF($Z1410="A",INDEX(Fixed_Assets!$K$2:$K$201,$AB1410)&amp;"",IF($Z1410="F",IF(INDEX(FTE_Allocation!$D$2:$D$201,$AB1410)="PROJECT",IFERROR(INDEX(Projects!$D:$D,MATCH(INDEX(FTE_Allocation!$E$2:$E$201,$AB1410),Projects!$A:$A,0))&amp;"","#PROJECT?"),INDEX(FTE_Allocation!$E$2:$E$201,$AB1410)&amp;""),"")))</f>
        <v/>
      </c>
      <c r="F1410" s="7">
        <f>IF($Z1410="C",INDEX(Contracts!$Q$2:$Q$151,$AB1410)&amp;"",IF($Z1410="A",INDEX(Fixed_Assets!$L$2:$L$201,$AB1410)&amp;"",IF($Z1410="F",INDEX(Workforce!$K$2:$K$151,MATCH(INDEX(FTE_Allocation!$A$2:$A$201,$AB1410),Workforce!$A$2:$A$151,0))&amp;"","")))</f>
        <v/>
      </c>
      <c r="G1410" s="7">
        <f>IF($Z1410="C",INDEX(Contracts!$F$2:$F$151,$AB1410)&amp;" / "&amp;INDEX(Contracts!$G$2:$G$151,$AB1410),IF($Z1410="A",INDEX(Fixed_Assets!$E$2:$E$201,$AB1410)&amp;"",IF($Z1410="F","Personnel "&amp;INDEX(FTE_Allocation!$A$2:$A$201,$AB1410)&amp;IF(INDEX(FTE_Allocation!$D$2:$D$201,$AB1410)="PROJECT"," ("&amp;INDEX(FTE_Allocation!$E$2:$E$201,$AB1410)&amp;")",""),"")))</f>
        <v/>
      </c>
      <c r="H1410" s="7">
        <f>IF($Z1410="C","CONTRACT",IF($Z1410="A","ASSET",IF($Z1410="F","WORKFORCE","")))</f>
        <v/>
      </c>
      <c r="I1410" s="7">
        <f>IF($Z1410="C",INDEX(Contracts!$L$2:$L$151,$AB1410)&amp;"",IF($Z1410="A",INDEX(Fixed_Assets!$I$2:$I$201,$AB1410)&amp;"",IF($Z1410="F",INDEX(Workforce!$G$2:$G$151,MATCH(INDEX(FTE_Allocation!$A$2:$A$201,$AB1410),Workforce!$A$2:$A$151,0))&amp;"","")))</f>
        <v/>
      </c>
      <c r="J1410" s="18">
        <f>IF($Z1410="","",IF(AND(DATE($AD1410,1,1)&gt;=$AE1410,DATE($AD1410,1,1)&lt;=$AF1410),ROUND($AG1410,2),0))</f>
        <v/>
      </c>
      <c r="K1410" s="18">
        <f>IF($Z1410="","",IF(AND(DATE($AD1410,2,1)&gt;=$AE1410,DATE($AD1410,2,1)&lt;=$AF1410),ROUND($AG1410,2),0))</f>
        <v/>
      </c>
      <c r="L1410" s="18">
        <f>IF($Z1410="","",IF(AND(DATE($AD1410,3,1)&gt;=$AE1410,DATE($AD1410,3,1)&lt;=$AF1410),ROUND($AG1410,2),0))</f>
        <v/>
      </c>
      <c r="M1410" s="18">
        <f>IF($Z1410="","",IF(AND(DATE($AD1410,4,1)&gt;=$AE1410,DATE($AD1410,4,1)&lt;=$AF1410),ROUND($AG1410,2),0))</f>
        <v/>
      </c>
      <c r="N1410" s="18">
        <f>IF($Z1410="","",IF(AND(DATE($AD1410,5,1)&gt;=$AE1410,DATE($AD1410,5,1)&lt;=$AF1410),ROUND($AG1410,2),0))</f>
        <v/>
      </c>
      <c r="O1410" s="18">
        <f>IF($Z1410="","",IF(AND(DATE($AD1410,6,1)&gt;=$AE1410,DATE($AD1410,6,1)&lt;=$AF1410),ROUND($AG1410,2),0))</f>
        <v/>
      </c>
      <c r="P1410" s="18">
        <f>IF($Z1410="","",IF(AND(DATE($AD1410,7,1)&gt;=$AE1410,DATE($AD1410,7,1)&lt;=$AF1410),ROUND($AG1410,2),0))</f>
        <v/>
      </c>
      <c r="Q1410" s="18">
        <f>IF($Z1410="","",IF(AND(DATE($AD1410,8,1)&gt;=$AE1410,DATE($AD1410,8,1)&lt;=$AF1410),ROUND($AG1410,2),0))</f>
        <v/>
      </c>
      <c r="R1410" s="18">
        <f>IF($Z1410="","",IF(AND(DATE($AD1410,9,1)&gt;=$AE1410,DATE($AD1410,9,1)&lt;=$AF1410),ROUND($AG1410,2),0))</f>
        <v/>
      </c>
      <c r="S1410" s="18">
        <f>IF($Z1410="","",IF(AND(DATE($AD1410,10,1)&gt;=$AE1410,DATE($AD1410,10,1)&lt;=$AF1410),ROUND($AG1410,2),0))</f>
        <v/>
      </c>
      <c r="T1410" s="18">
        <f>IF($Z1410="","",IF(AND(DATE($AD1410,11,1)&gt;=$AE1410,DATE($AD1410,11,1)&lt;=$AF1410),ROUND($AG1410,2),0))</f>
        <v/>
      </c>
      <c r="U1410" s="18">
        <f>IF($Z1410="","",IF(AND(DATE($AD1410,12,1)&gt;=$AE1410,DATE($AD1410,12,1)&lt;=$AF1410),ROUND($AG1410,2),0))</f>
        <v/>
      </c>
      <c r="V1410" s="7">
        <f>IF($Z1410="C","Generated from "&amp;INDEX(Contracts!$A$2:$A$151,$AB1410),IF($Z1410="A","Generated from "&amp;INDEX(Fixed_Assets!$A$2:$A$201,$AB1410),IF($Z1410="F","Generated from "&amp;INDEX(FTE_Allocation!$A$2:$A$201,$AB1410),"")))</f>
        <v/>
      </c>
      <c r="X1410" s="19">
        <f>IF($Z1410="","",SUM(J1410:U1410))</f>
        <v/>
      </c>
      <c r="Y1410" s="20">
        <f>ROW()-1</f>
        <v/>
      </c>
      <c r="Z1410" s="20">
        <f>IF($Y1410&lt;=Settings!$B$4*3,"C",IF($Y1410&lt;=(Settings!$B$4+Settings!$B$5)*3,"A",IF($Y1410&lt;=(Settings!$B$4+Settings!$B$5+Settings!$B$6)*3,"F","")))</f>
        <v/>
      </c>
      <c r="AA1410" s="20">
        <f>IF($Z1410="C",$Y1410,IF($Z1410="A",$Y1410-Settings!$B$4*3,IF($Z1410="F",$Y1410-(Settings!$B$4+Settings!$B$5)*3,"")))</f>
        <v/>
      </c>
      <c r="AB1410" s="20">
        <f>IF($Z1410="","",INT(($AA1410-1)/3)+1)</f>
        <v/>
      </c>
      <c r="AC1410" s="20">
        <f>IF($Z1410="","",MOD($AA1410-1,3)+1)</f>
        <v/>
      </c>
      <c r="AD1410" s="20">
        <f>IF($Z1410="","",Settings!$B$2+$AC1410-1)</f>
        <v/>
      </c>
      <c r="AE1410" s="21">
        <f>IF($Z1410="C",DATE(YEAR(INDEX(Contracts!$J$2:$J$151,$AB1410)),MONTH(INDEX(Contracts!$J$2:$J$151,$AB1410)),1),IF($Z1410="A",DATE(YEAR(INDEX(Fixed_Assets!$G$2:$G$201,$AB1410)),MONTH(INDEX(Fixed_Assets!$G$2:$G$201,$AB1410)),1),IF($Z1410="F",DATE(YEAR(MAX(N(INDEX(Workforce!$I$2:$I$151,MATCH(INDEX(FTE_Allocation!$A$2:$A$201,$AB1410),Workforce!$A$2:$A$151,0))),N(INDEX(FTE_Allocation!$I$2:$I$201,$AB1410)))),MONTH(MAX(N(INDEX(Workforce!$I$2:$I$151,MATCH(INDEX(FTE_Allocation!$A$2:$A$201,$AB1410),Workforce!$A$2:$A$151,0))),N(INDEX(FTE_Allocation!$I$2:$I$201,$AB1410)))),1),"")))</f>
        <v/>
      </c>
      <c r="AF1410" s="21">
        <f>IF($Z1410="C",IF(INDEX(Contracts!$I$2:$I$151,$AB1410)="PREPAID",EDATE(DATE(YEAR(INDEX(Contracts!$J$2:$J$151,$AB1410)),MONTH(INDEX(Contracts!$J$2:$J$151,$AB1410)),1),IF(INDEX(Contracts!$N$2:$N$151,$AB1410)="",12,INDEX(Contracts!$N$2:$N$151,$AB1410))-1),IF(INDEX(Contracts!$I$2:$I$151,$AB1410)="MONTHLY",IF(INDEX(Contracts!$K$2:$K$151,$AB1410)="",2958101,INDEX(Contracts!$K$2:$K$151,$AB1410)),0)),IF($Z1410="A",EDATE(DATE(YEAR(INDEX(Fixed_Assets!$G$2:$G$201,$AB1410)),MONTH(INDEX(Fixed_Assets!$G$2:$G$201,$AB1410)),1),INDEX(Fixed_Assets!$J$2:$J$201,$AB1410)-1),IF($Z1410="F",MIN(IF(INDEX(Workforce!$J$2:$J$151,MATCH(INDEX(FTE_Allocation!$A$2:$A$201,$AB1410),Workforce!$A$2:$A$151,0))="",2958101,INDEX(Workforce!$J$2:$J$151,MATCH(INDEX(FTE_Allocation!$A$2:$A$201,$AB1410),Workforce!$A$2:$A$151,0))),IF(INDEX(FTE_Allocation!$J$2:$J$201,$AB1410)="",2958101,INDEX(FTE_Allocation!$J$2:$J$201,$AB1410))),"")))</f>
        <v/>
      </c>
      <c r="AG1410" s="19">
        <f>IF($Z1410="C",IF(INDEX(Contracts!$I$2:$I$151,$AB1410)="PREPAID",INDEX(Contracts!$M$2:$M$151,$AB1410)/IF(INDEX(Contracts!$N$2:$N$151,$AB1410)="",12,INDEX(Contracts!$N$2:$N$151,$AB1410)),IF(INDEX(Contracts!$I$2:$I$151,$AB1410)="MONTHLY",INDEX(Contracts!$M$2:$M$151,$AB1410),0))*(1-N(INDEX(Contracts!$O$2:$O$151,$AB1410))),IF($Z1410="A",INDEX(Fixed_Assets!$H$2:$H$201,$AB1410)/INDEX(Fixed_Assets!$J$2:$J$201,$AB1410),IF($Z1410="F",INDEX(Workforce!$F$2:$F$151,MATCH(INDEX(FTE_Allocation!$A$2:$A$201,$AB1410),Workforce!$A$2:$A$151,0))*N(INDEX(FTE_Allocation!$F$2:$H$201,$AB1410,$AC1410)),"")))</f>
        <v/>
      </c>
    </row>
    <row r="1411">
      <c r="A1411" s="7">
        <f>IF($Z1411="","",$AD1411)</f>
        <v/>
      </c>
      <c r="B1411" s="7">
        <f>IF($Z1411="C",INDEX(Contracts!$D$2:$D$151,$AB1411)&amp;"",IF($Z1411="A",INDEX(Fixed_Assets!$C$2:$C$201,$AB1411)&amp;"",IF($Z1411="F",INDEX(Workforce!$B$2:$B$151,MATCH(INDEX(FTE_Allocation!$A$2:$A$201,$AB1411),Workforce!$A$2:$A$151,0))&amp;"","")))</f>
        <v/>
      </c>
      <c r="C1411" s="7">
        <f>IF($Z1411="C",INDEX(Contracts!$E$2:$E$151,$AB1411)&amp;"",IF($Z1411="A",INDEX(Fixed_Assets!$D$2:$D$201,$AB1411)&amp;"",IF($Z1411="F",INDEX(FTE_Allocation!$C$2:$C$201,$AB1411)&amp;"","")))</f>
        <v/>
      </c>
      <c r="D1411" s="7">
        <f>IF($Z1411="C",INDEX(Contracts!$B$2:$B$151,$AB1411)&amp;"",IF($Z1411="A",INDEX(Fixed_Assets!$B$2:$B$201,$AB1411)&amp;"",IF($Z1411="F",INDEX(FTE_Allocation!$B$2:$B$201,$AB1411)&amp;"","")))</f>
        <v/>
      </c>
      <c r="E1411" s="7">
        <f>IF($Z1411="C",INDEX(Contracts!$P$2:$P$151,$AB1411)&amp;"",IF($Z1411="A",INDEX(Fixed_Assets!$K$2:$K$201,$AB1411)&amp;"",IF($Z1411="F",IF(INDEX(FTE_Allocation!$D$2:$D$201,$AB1411)="PROJECT",IFERROR(INDEX(Projects!$D:$D,MATCH(INDEX(FTE_Allocation!$E$2:$E$201,$AB1411),Projects!$A:$A,0))&amp;"","#PROJECT?"),INDEX(FTE_Allocation!$E$2:$E$201,$AB1411)&amp;""),"")))</f>
        <v/>
      </c>
      <c r="F1411" s="7">
        <f>IF($Z1411="C",INDEX(Contracts!$Q$2:$Q$151,$AB1411)&amp;"",IF($Z1411="A",INDEX(Fixed_Assets!$L$2:$L$201,$AB1411)&amp;"",IF($Z1411="F",INDEX(Workforce!$K$2:$K$151,MATCH(INDEX(FTE_Allocation!$A$2:$A$201,$AB1411),Workforce!$A$2:$A$151,0))&amp;"","")))</f>
        <v/>
      </c>
      <c r="G1411" s="7">
        <f>IF($Z1411="C",INDEX(Contracts!$F$2:$F$151,$AB1411)&amp;" / "&amp;INDEX(Contracts!$G$2:$G$151,$AB1411),IF($Z1411="A",INDEX(Fixed_Assets!$E$2:$E$201,$AB1411)&amp;"",IF($Z1411="F","Personnel "&amp;INDEX(FTE_Allocation!$A$2:$A$201,$AB1411)&amp;IF(INDEX(FTE_Allocation!$D$2:$D$201,$AB1411)="PROJECT"," ("&amp;INDEX(FTE_Allocation!$E$2:$E$201,$AB1411)&amp;")",""),"")))</f>
        <v/>
      </c>
      <c r="H1411" s="7">
        <f>IF($Z1411="C","CONTRACT",IF($Z1411="A","ASSET",IF($Z1411="F","WORKFORCE","")))</f>
        <v/>
      </c>
      <c r="I1411" s="7">
        <f>IF($Z1411="C",INDEX(Contracts!$L$2:$L$151,$AB1411)&amp;"",IF($Z1411="A",INDEX(Fixed_Assets!$I$2:$I$201,$AB1411)&amp;"",IF($Z1411="F",INDEX(Workforce!$G$2:$G$151,MATCH(INDEX(FTE_Allocation!$A$2:$A$201,$AB1411),Workforce!$A$2:$A$151,0))&amp;"","")))</f>
        <v/>
      </c>
      <c r="J1411" s="18">
        <f>IF($Z1411="","",IF(AND(DATE($AD1411,1,1)&gt;=$AE1411,DATE($AD1411,1,1)&lt;=$AF1411),ROUND($AG1411,2),0))</f>
        <v/>
      </c>
      <c r="K1411" s="18">
        <f>IF($Z1411="","",IF(AND(DATE($AD1411,2,1)&gt;=$AE1411,DATE($AD1411,2,1)&lt;=$AF1411),ROUND($AG1411,2),0))</f>
        <v/>
      </c>
      <c r="L1411" s="18">
        <f>IF($Z1411="","",IF(AND(DATE($AD1411,3,1)&gt;=$AE1411,DATE($AD1411,3,1)&lt;=$AF1411),ROUND($AG1411,2),0))</f>
        <v/>
      </c>
      <c r="M1411" s="18">
        <f>IF($Z1411="","",IF(AND(DATE($AD1411,4,1)&gt;=$AE1411,DATE($AD1411,4,1)&lt;=$AF1411),ROUND($AG1411,2),0))</f>
        <v/>
      </c>
      <c r="N1411" s="18">
        <f>IF($Z1411="","",IF(AND(DATE($AD1411,5,1)&gt;=$AE1411,DATE($AD1411,5,1)&lt;=$AF1411),ROUND($AG1411,2),0))</f>
        <v/>
      </c>
      <c r="O1411" s="18">
        <f>IF($Z1411="","",IF(AND(DATE($AD1411,6,1)&gt;=$AE1411,DATE($AD1411,6,1)&lt;=$AF1411),ROUND($AG1411,2),0))</f>
        <v/>
      </c>
      <c r="P1411" s="18">
        <f>IF($Z1411="","",IF(AND(DATE($AD1411,7,1)&gt;=$AE1411,DATE($AD1411,7,1)&lt;=$AF1411),ROUND($AG1411,2),0))</f>
        <v/>
      </c>
      <c r="Q1411" s="18">
        <f>IF($Z1411="","",IF(AND(DATE($AD1411,8,1)&gt;=$AE1411,DATE($AD1411,8,1)&lt;=$AF1411),ROUND($AG1411,2),0))</f>
        <v/>
      </c>
      <c r="R1411" s="18">
        <f>IF($Z1411="","",IF(AND(DATE($AD1411,9,1)&gt;=$AE1411,DATE($AD1411,9,1)&lt;=$AF1411),ROUND($AG1411,2),0))</f>
        <v/>
      </c>
      <c r="S1411" s="18">
        <f>IF($Z1411="","",IF(AND(DATE($AD1411,10,1)&gt;=$AE1411,DATE($AD1411,10,1)&lt;=$AF1411),ROUND($AG1411,2),0))</f>
        <v/>
      </c>
      <c r="T1411" s="18">
        <f>IF($Z1411="","",IF(AND(DATE($AD1411,11,1)&gt;=$AE1411,DATE($AD1411,11,1)&lt;=$AF1411),ROUND($AG1411,2),0))</f>
        <v/>
      </c>
      <c r="U1411" s="18">
        <f>IF($Z1411="","",IF(AND(DATE($AD1411,12,1)&gt;=$AE1411,DATE($AD1411,12,1)&lt;=$AF1411),ROUND($AG1411,2),0))</f>
        <v/>
      </c>
      <c r="V1411" s="7">
        <f>IF($Z1411="C","Generated from "&amp;INDEX(Contracts!$A$2:$A$151,$AB1411),IF($Z1411="A","Generated from "&amp;INDEX(Fixed_Assets!$A$2:$A$201,$AB1411),IF($Z1411="F","Generated from "&amp;INDEX(FTE_Allocation!$A$2:$A$201,$AB1411),"")))</f>
        <v/>
      </c>
      <c r="X1411" s="19">
        <f>IF($Z1411="","",SUM(J1411:U1411))</f>
        <v/>
      </c>
      <c r="Y1411" s="20">
        <f>ROW()-1</f>
        <v/>
      </c>
      <c r="Z1411" s="20">
        <f>IF($Y1411&lt;=Settings!$B$4*3,"C",IF($Y1411&lt;=(Settings!$B$4+Settings!$B$5)*3,"A",IF($Y1411&lt;=(Settings!$B$4+Settings!$B$5+Settings!$B$6)*3,"F","")))</f>
        <v/>
      </c>
      <c r="AA1411" s="20">
        <f>IF($Z1411="C",$Y1411,IF($Z1411="A",$Y1411-Settings!$B$4*3,IF($Z1411="F",$Y1411-(Settings!$B$4+Settings!$B$5)*3,"")))</f>
        <v/>
      </c>
      <c r="AB1411" s="20">
        <f>IF($Z1411="","",INT(($AA1411-1)/3)+1)</f>
        <v/>
      </c>
      <c r="AC1411" s="20">
        <f>IF($Z1411="","",MOD($AA1411-1,3)+1)</f>
        <v/>
      </c>
      <c r="AD1411" s="20">
        <f>IF($Z1411="","",Settings!$B$2+$AC1411-1)</f>
        <v/>
      </c>
      <c r="AE1411" s="21">
        <f>IF($Z1411="C",DATE(YEAR(INDEX(Contracts!$J$2:$J$151,$AB1411)),MONTH(INDEX(Contracts!$J$2:$J$151,$AB1411)),1),IF($Z1411="A",DATE(YEAR(INDEX(Fixed_Assets!$G$2:$G$201,$AB1411)),MONTH(INDEX(Fixed_Assets!$G$2:$G$201,$AB1411)),1),IF($Z1411="F",DATE(YEAR(MAX(N(INDEX(Workforce!$I$2:$I$151,MATCH(INDEX(FTE_Allocation!$A$2:$A$201,$AB1411),Workforce!$A$2:$A$151,0))),N(INDEX(FTE_Allocation!$I$2:$I$201,$AB1411)))),MONTH(MAX(N(INDEX(Workforce!$I$2:$I$151,MATCH(INDEX(FTE_Allocation!$A$2:$A$201,$AB1411),Workforce!$A$2:$A$151,0))),N(INDEX(FTE_Allocation!$I$2:$I$201,$AB1411)))),1),"")))</f>
        <v/>
      </c>
      <c r="AF1411" s="21">
        <f>IF($Z1411="C",IF(INDEX(Contracts!$I$2:$I$151,$AB1411)="PREPAID",EDATE(DATE(YEAR(INDEX(Contracts!$J$2:$J$151,$AB1411)),MONTH(INDEX(Contracts!$J$2:$J$151,$AB1411)),1),IF(INDEX(Contracts!$N$2:$N$151,$AB1411)="",12,INDEX(Contracts!$N$2:$N$151,$AB1411))-1),IF(INDEX(Contracts!$I$2:$I$151,$AB1411)="MONTHLY",IF(INDEX(Contracts!$K$2:$K$151,$AB1411)="",2958101,INDEX(Contracts!$K$2:$K$151,$AB1411)),0)),IF($Z1411="A",EDATE(DATE(YEAR(INDEX(Fixed_Assets!$G$2:$G$201,$AB1411)),MONTH(INDEX(Fixed_Assets!$G$2:$G$201,$AB1411)),1),INDEX(Fixed_Assets!$J$2:$J$201,$AB1411)-1),IF($Z1411="F",MIN(IF(INDEX(Workforce!$J$2:$J$151,MATCH(INDEX(FTE_Allocation!$A$2:$A$201,$AB1411),Workforce!$A$2:$A$151,0))="",2958101,INDEX(Workforce!$J$2:$J$151,MATCH(INDEX(FTE_Allocation!$A$2:$A$201,$AB1411),Workforce!$A$2:$A$151,0))),IF(INDEX(FTE_Allocation!$J$2:$J$201,$AB1411)="",2958101,INDEX(FTE_Allocation!$J$2:$J$201,$AB1411))),"")))</f>
        <v/>
      </c>
      <c r="AG1411" s="19">
        <f>IF($Z1411="C",IF(INDEX(Contracts!$I$2:$I$151,$AB1411)="PREPAID",INDEX(Contracts!$M$2:$M$151,$AB1411)/IF(INDEX(Contracts!$N$2:$N$151,$AB1411)="",12,INDEX(Contracts!$N$2:$N$151,$AB1411)),IF(INDEX(Contracts!$I$2:$I$151,$AB1411)="MONTHLY",INDEX(Contracts!$M$2:$M$151,$AB1411),0))*(1-N(INDEX(Contracts!$O$2:$O$151,$AB1411))),IF($Z1411="A",INDEX(Fixed_Assets!$H$2:$H$201,$AB1411)/INDEX(Fixed_Assets!$J$2:$J$201,$AB1411),IF($Z1411="F",INDEX(Workforce!$F$2:$F$151,MATCH(INDEX(FTE_Allocation!$A$2:$A$201,$AB1411),Workforce!$A$2:$A$151,0))*N(INDEX(FTE_Allocation!$F$2:$H$201,$AB1411,$AC1411)),"")))</f>
        <v/>
      </c>
    </row>
    <row r="1412">
      <c r="A1412" s="7">
        <f>IF($Z1412="","",$AD1412)</f>
        <v/>
      </c>
      <c r="B1412" s="7">
        <f>IF($Z1412="C",INDEX(Contracts!$D$2:$D$151,$AB1412)&amp;"",IF($Z1412="A",INDEX(Fixed_Assets!$C$2:$C$201,$AB1412)&amp;"",IF($Z1412="F",INDEX(Workforce!$B$2:$B$151,MATCH(INDEX(FTE_Allocation!$A$2:$A$201,$AB1412),Workforce!$A$2:$A$151,0))&amp;"","")))</f>
        <v/>
      </c>
      <c r="C1412" s="7">
        <f>IF($Z1412="C",INDEX(Contracts!$E$2:$E$151,$AB1412)&amp;"",IF($Z1412="A",INDEX(Fixed_Assets!$D$2:$D$201,$AB1412)&amp;"",IF($Z1412="F",INDEX(FTE_Allocation!$C$2:$C$201,$AB1412)&amp;"","")))</f>
        <v/>
      </c>
      <c r="D1412" s="7">
        <f>IF($Z1412="C",INDEX(Contracts!$B$2:$B$151,$AB1412)&amp;"",IF($Z1412="A",INDEX(Fixed_Assets!$B$2:$B$201,$AB1412)&amp;"",IF($Z1412="F",INDEX(FTE_Allocation!$B$2:$B$201,$AB1412)&amp;"","")))</f>
        <v/>
      </c>
      <c r="E1412" s="7">
        <f>IF($Z1412="C",INDEX(Contracts!$P$2:$P$151,$AB1412)&amp;"",IF($Z1412="A",INDEX(Fixed_Assets!$K$2:$K$201,$AB1412)&amp;"",IF($Z1412="F",IF(INDEX(FTE_Allocation!$D$2:$D$201,$AB1412)="PROJECT",IFERROR(INDEX(Projects!$D:$D,MATCH(INDEX(FTE_Allocation!$E$2:$E$201,$AB1412),Projects!$A:$A,0))&amp;"","#PROJECT?"),INDEX(FTE_Allocation!$E$2:$E$201,$AB1412)&amp;""),"")))</f>
        <v/>
      </c>
      <c r="F1412" s="7">
        <f>IF($Z1412="C",INDEX(Contracts!$Q$2:$Q$151,$AB1412)&amp;"",IF($Z1412="A",INDEX(Fixed_Assets!$L$2:$L$201,$AB1412)&amp;"",IF($Z1412="F",INDEX(Workforce!$K$2:$K$151,MATCH(INDEX(FTE_Allocation!$A$2:$A$201,$AB1412),Workforce!$A$2:$A$151,0))&amp;"","")))</f>
        <v/>
      </c>
      <c r="G1412" s="7">
        <f>IF($Z1412="C",INDEX(Contracts!$F$2:$F$151,$AB1412)&amp;" / "&amp;INDEX(Contracts!$G$2:$G$151,$AB1412),IF($Z1412="A",INDEX(Fixed_Assets!$E$2:$E$201,$AB1412)&amp;"",IF($Z1412="F","Personnel "&amp;INDEX(FTE_Allocation!$A$2:$A$201,$AB1412)&amp;IF(INDEX(FTE_Allocation!$D$2:$D$201,$AB1412)="PROJECT"," ("&amp;INDEX(FTE_Allocation!$E$2:$E$201,$AB1412)&amp;")",""),"")))</f>
        <v/>
      </c>
      <c r="H1412" s="7">
        <f>IF($Z1412="C","CONTRACT",IF($Z1412="A","ASSET",IF($Z1412="F","WORKFORCE","")))</f>
        <v/>
      </c>
      <c r="I1412" s="7">
        <f>IF($Z1412="C",INDEX(Contracts!$L$2:$L$151,$AB1412)&amp;"",IF($Z1412="A",INDEX(Fixed_Assets!$I$2:$I$201,$AB1412)&amp;"",IF($Z1412="F",INDEX(Workforce!$G$2:$G$151,MATCH(INDEX(FTE_Allocation!$A$2:$A$201,$AB1412),Workforce!$A$2:$A$151,0))&amp;"","")))</f>
        <v/>
      </c>
      <c r="J1412" s="18">
        <f>IF($Z1412="","",IF(AND(DATE($AD1412,1,1)&gt;=$AE1412,DATE($AD1412,1,1)&lt;=$AF1412),ROUND($AG1412,2),0))</f>
        <v/>
      </c>
      <c r="K1412" s="18">
        <f>IF($Z1412="","",IF(AND(DATE($AD1412,2,1)&gt;=$AE1412,DATE($AD1412,2,1)&lt;=$AF1412),ROUND($AG1412,2),0))</f>
        <v/>
      </c>
      <c r="L1412" s="18">
        <f>IF($Z1412="","",IF(AND(DATE($AD1412,3,1)&gt;=$AE1412,DATE($AD1412,3,1)&lt;=$AF1412),ROUND($AG1412,2),0))</f>
        <v/>
      </c>
      <c r="M1412" s="18">
        <f>IF($Z1412="","",IF(AND(DATE($AD1412,4,1)&gt;=$AE1412,DATE($AD1412,4,1)&lt;=$AF1412),ROUND($AG1412,2),0))</f>
        <v/>
      </c>
      <c r="N1412" s="18">
        <f>IF($Z1412="","",IF(AND(DATE($AD1412,5,1)&gt;=$AE1412,DATE($AD1412,5,1)&lt;=$AF1412),ROUND($AG1412,2),0))</f>
        <v/>
      </c>
      <c r="O1412" s="18">
        <f>IF($Z1412="","",IF(AND(DATE($AD1412,6,1)&gt;=$AE1412,DATE($AD1412,6,1)&lt;=$AF1412),ROUND($AG1412,2),0))</f>
        <v/>
      </c>
      <c r="P1412" s="18">
        <f>IF($Z1412="","",IF(AND(DATE($AD1412,7,1)&gt;=$AE1412,DATE($AD1412,7,1)&lt;=$AF1412),ROUND($AG1412,2),0))</f>
        <v/>
      </c>
      <c r="Q1412" s="18">
        <f>IF($Z1412="","",IF(AND(DATE($AD1412,8,1)&gt;=$AE1412,DATE($AD1412,8,1)&lt;=$AF1412),ROUND($AG1412,2),0))</f>
        <v/>
      </c>
      <c r="R1412" s="18">
        <f>IF($Z1412="","",IF(AND(DATE($AD1412,9,1)&gt;=$AE1412,DATE($AD1412,9,1)&lt;=$AF1412),ROUND($AG1412,2),0))</f>
        <v/>
      </c>
      <c r="S1412" s="18">
        <f>IF($Z1412="","",IF(AND(DATE($AD1412,10,1)&gt;=$AE1412,DATE($AD1412,10,1)&lt;=$AF1412),ROUND($AG1412,2),0))</f>
        <v/>
      </c>
      <c r="T1412" s="18">
        <f>IF($Z1412="","",IF(AND(DATE($AD1412,11,1)&gt;=$AE1412,DATE($AD1412,11,1)&lt;=$AF1412),ROUND($AG1412,2),0))</f>
        <v/>
      </c>
      <c r="U1412" s="18">
        <f>IF($Z1412="","",IF(AND(DATE($AD1412,12,1)&gt;=$AE1412,DATE($AD1412,12,1)&lt;=$AF1412),ROUND($AG1412,2),0))</f>
        <v/>
      </c>
      <c r="V1412" s="7">
        <f>IF($Z1412="C","Generated from "&amp;INDEX(Contracts!$A$2:$A$151,$AB1412),IF($Z1412="A","Generated from "&amp;INDEX(Fixed_Assets!$A$2:$A$201,$AB1412),IF($Z1412="F","Generated from "&amp;INDEX(FTE_Allocation!$A$2:$A$201,$AB1412),"")))</f>
        <v/>
      </c>
      <c r="X1412" s="19">
        <f>IF($Z1412="","",SUM(J1412:U1412))</f>
        <v/>
      </c>
      <c r="Y1412" s="20">
        <f>ROW()-1</f>
        <v/>
      </c>
      <c r="Z1412" s="20">
        <f>IF($Y1412&lt;=Settings!$B$4*3,"C",IF($Y1412&lt;=(Settings!$B$4+Settings!$B$5)*3,"A",IF($Y1412&lt;=(Settings!$B$4+Settings!$B$5+Settings!$B$6)*3,"F","")))</f>
        <v/>
      </c>
      <c r="AA1412" s="20">
        <f>IF($Z1412="C",$Y1412,IF($Z1412="A",$Y1412-Settings!$B$4*3,IF($Z1412="F",$Y1412-(Settings!$B$4+Settings!$B$5)*3,"")))</f>
        <v/>
      </c>
      <c r="AB1412" s="20">
        <f>IF($Z1412="","",INT(($AA1412-1)/3)+1)</f>
        <v/>
      </c>
      <c r="AC1412" s="20">
        <f>IF($Z1412="","",MOD($AA1412-1,3)+1)</f>
        <v/>
      </c>
      <c r="AD1412" s="20">
        <f>IF($Z1412="","",Settings!$B$2+$AC1412-1)</f>
        <v/>
      </c>
      <c r="AE1412" s="21">
        <f>IF($Z1412="C",DATE(YEAR(INDEX(Contracts!$J$2:$J$151,$AB1412)),MONTH(INDEX(Contracts!$J$2:$J$151,$AB1412)),1),IF($Z1412="A",DATE(YEAR(INDEX(Fixed_Assets!$G$2:$G$201,$AB1412)),MONTH(INDEX(Fixed_Assets!$G$2:$G$201,$AB1412)),1),IF($Z1412="F",DATE(YEAR(MAX(N(INDEX(Workforce!$I$2:$I$151,MATCH(INDEX(FTE_Allocation!$A$2:$A$201,$AB1412),Workforce!$A$2:$A$151,0))),N(INDEX(FTE_Allocation!$I$2:$I$201,$AB1412)))),MONTH(MAX(N(INDEX(Workforce!$I$2:$I$151,MATCH(INDEX(FTE_Allocation!$A$2:$A$201,$AB1412),Workforce!$A$2:$A$151,0))),N(INDEX(FTE_Allocation!$I$2:$I$201,$AB1412)))),1),"")))</f>
        <v/>
      </c>
      <c r="AF1412" s="21">
        <f>IF($Z1412="C",IF(INDEX(Contracts!$I$2:$I$151,$AB1412)="PREPAID",EDATE(DATE(YEAR(INDEX(Contracts!$J$2:$J$151,$AB1412)),MONTH(INDEX(Contracts!$J$2:$J$151,$AB1412)),1),IF(INDEX(Contracts!$N$2:$N$151,$AB1412)="",12,INDEX(Contracts!$N$2:$N$151,$AB1412))-1),IF(INDEX(Contracts!$I$2:$I$151,$AB1412)="MONTHLY",IF(INDEX(Contracts!$K$2:$K$151,$AB1412)="",2958101,INDEX(Contracts!$K$2:$K$151,$AB1412)),0)),IF($Z1412="A",EDATE(DATE(YEAR(INDEX(Fixed_Assets!$G$2:$G$201,$AB1412)),MONTH(INDEX(Fixed_Assets!$G$2:$G$201,$AB1412)),1),INDEX(Fixed_Assets!$J$2:$J$201,$AB1412)-1),IF($Z1412="F",MIN(IF(INDEX(Workforce!$J$2:$J$151,MATCH(INDEX(FTE_Allocation!$A$2:$A$201,$AB1412),Workforce!$A$2:$A$151,0))="",2958101,INDEX(Workforce!$J$2:$J$151,MATCH(INDEX(FTE_Allocation!$A$2:$A$201,$AB1412),Workforce!$A$2:$A$151,0))),IF(INDEX(FTE_Allocation!$J$2:$J$201,$AB1412)="",2958101,INDEX(FTE_Allocation!$J$2:$J$201,$AB1412))),"")))</f>
        <v/>
      </c>
      <c r="AG1412" s="19">
        <f>IF($Z1412="C",IF(INDEX(Contracts!$I$2:$I$151,$AB1412)="PREPAID",INDEX(Contracts!$M$2:$M$151,$AB1412)/IF(INDEX(Contracts!$N$2:$N$151,$AB1412)="",12,INDEX(Contracts!$N$2:$N$151,$AB1412)),IF(INDEX(Contracts!$I$2:$I$151,$AB1412)="MONTHLY",INDEX(Contracts!$M$2:$M$151,$AB1412),0))*(1-N(INDEX(Contracts!$O$2:$O$151,$AB1412))),IF($Z1412="A",INDEX(Fixed_Assets!$H$2:$H$201,$AB1412)/INDEX(Fixed_Assets!$J$2:$J$201,$AB1412),IF($Z1412="F",INDEX(Workforce!$F$2:$F$151,MATCH(INDEX(FTE_Allocation!$A$2:$A$201,$AB1412),Workforce!$A$2:$A$151,0))*N(INDEX(FTE_Allocation!$F$2:$H$201,$AB1412,$AC1412)),"")))</f>
        <v/>
      </c>
    </row>
    <row r="1413">
      <c r="A1413" s="7">
        <f>IF($Z1413="","",$AD1413)</f>
        <v/>
      </c>
      <c r="B1413" s="7">
        <f>IF($Z1413="C",INDEX(Contracts!$D$2:$D$151,$AB1413)&amp;"",IF($Z1413="A",INDEX(Fixed_Assets!$C$2:$C$201,$AB1413)&amp;"",IF($Z1413="F",INDEX(Workforce!$B$2:$B$151,MATCH(INDEX(FTE_Allocation!$A$2:$A$201,$AB1413),Workforce!$A$2:$A$151,0))&amp;"","")))</f>
        <v/>
      </c>
      <c r="C1413" s="7">
        <f>IF($Z1413="C",INDEX(Contracts!$E$2:$E$151,$AB1413)&amp;"",IF($Z1413="A",INDEX(Fixed_Assets!$D$2:$D$201,$AB1413)&amp;"",IF($Z1413="F",INDEX(FTE_Allocation!$C$2:$C$201,$AB1413)&amp;"","")))</f>
        <v/>
      </c>
      <c r="D1413" s="7">
        <f>IF($Z1413="C",INDEX(Contracts!$B$2:$B$151,$AB1413)&amp;"",IF($Z1413="A",INDEX(Fixed_Assets!$B$2:$B$201,$AB1413)&amp;"",IF($Z1413="F",INDEX(FTE_Allocation!$B$2:$B$201,$AB1413)&amp;"","")))</f>
        <v/>
      </c>
      <c r="E1413" s="7">
        <f>IF($Z1413="C",INDEX(Contracts!$P$2:$P$151,$AB1413)&amp;"",IF($Z1413="A",INDEX(Fixed_Assets!$K$2:$K$201,$AB1413)&amp;"",IF($Z1413="F",IF(INDEX(FTE_Allocation!$D$2:$D$201,$AB1413)="PROJECT",IFERROR(INDEX(Projects!$D:$D,MATCH(INDEX(FTE_Allocation!$E$2:$E$201,$AB1413),Projects!$A:$A,0))&amp;"","#PROJECT?"),INDEX(FTE_Allocation!$E$2:$E$201,$AB1413)&amp;""),"")))</f>
        <v/>
      </c>
      <c r="F1413" s="7">
        <f>IF($Z1413="C",INDEX(Contracts!$Q$2:$Q$151,$AB1413)&amp;"",IF($Z1413="A",INDEX(Fixed_Assets!$L$2:$L$201,$AB1413)&amp;"",IF($Z1413="F",INDEX(Workforce!$K$2:$K$151,MATCH(INDEX(FTE_Allocation!$A$2:$A$201,$AB1413),Workforce!$A$2:$A$151,0))&amp;"","")))</f>
        <v/>
      </c>
      <c r="G1413" s="7">
        <f>IF($Z1413="C",INDEX(Contracts!$F$2:$F$151,$AB1413)&amp;" / "&amp;INDEX(Contracts!$G$2:$G$151,$AB1413),IF($Z1413="A",INDEX(Fixed_Assets!$E$2:$E$201,$AB1413)&amp;"",IF($Z1413="F","Personnel "&amp;INDEX(FTE_Allocation!$A$2:$A$201,$AB1413)&amp;IF(INDEX(FTE_Allocation!$D$2:$D$201,$AB1413)="PROJECT"," ("&amp;INDEX(FTE_Allocation!$E$2:$E$201,$AB1413)&amp;")",""),"")))</f>
        <v/>
      </c>
      <c r="H1413" s="7">
        <f>IF($Z1413="C","CONTRACT",IF($Z1413="A","ASSET",IF($Z1413="F","WORKFORCE","")))</f>
        <v/>
      </c>
      <c r="I1413" s="7">
        <f>IF($Z1413="C",INDEX(Contracts!$L$2:$L$151,$AB1413)&amp;"",IF($Z1413="A",INDEX(Fixed_Assets!$I$2:$I$201,$AB1413)&amp;"",IF($Z1413="F",INDEX(Workforce!$G$2:$G$151,MATCH(INDEX(FTE_Allocation!$A$2:$A$201,$AB1413),Workforce!$A$2:$A$151,0))&amp;"","")))</f>
        <v/>
      </c>
      <c r="J1413" s="18">
        <f>IF($Z1413="","",IF(AND(DATE($AD1413,1,1)&gt;=$AE1413,DATE($AD1413,1,1)&lt;=$AF1413),ROUND($AG1413,2),0))</f>
        <v/>
      </c>
      <c r="K1413" s="18">
        <f>IF($Z1413="","",IF(AND(DATE($AD1413,2,1)&gt;=$AE1413,DATE($AD1413,2,1)&lt;=$AF1413),ROUND($AG1413,2),0))</f>
        <v/>
      </c>
      <c r="L1413" s="18">
        <f>IF($Z1413="","",IF(AND(DATE($AD1413,3,1)&gt;=$AE1413,DATE($AD1413,3,1)&lt;=$AF1413),ROUND($AG1413,2),0))</f>
        <v/>
      </c>
      <c r="M1413" s="18">
        <f>IF($Z1413="","",IF(AND(DATE($AD1413,4,1)&gt;=$AE1413,DATE($AD1413,4,1)&lt;=$AF1413),ROUND($AG1413,2),0))</f>
        <v/>
      </c>
      <c r="N1413" s="18">
        <f>IF($Z1413="","",IF(AND(DATE($AD1413,5,1)&gt;=$AE1413,DATE($AD1413,5,1)&lt;=$AF1413),ROUND($AG1413,2),0))</f>
        <v/>
      </c>
      <c r="O1413" s="18">
        <f>IF($Z1413="","",IF(AND(DATE($AD1413,6,1)&gt;=$AE1413,DATE($AD1413,6,1)&lt;=$AF1413),ROUND($AG1413,2),0))</f>
        <v/>
      </c>
      <c r="P1413" s="18">
        <f>IF($Z1413="","",IF(AND(DATE($AD1413,7,1)&gt;=$AE1413,DATE($AD1413,7,1)&lt;=$AF1413),ROUND($AG1413,2),0))</f>
        <v/>
      </c>
      <c r="Q1413" s="18">
        <f>IF($Z1413="","",IF(AND(DATE($AD1413,8,1)&gt;=$AE1413,DATE($AD1413,8,1)&lt;=$AF1413),ROUND($AG1413,2),0))</f>
        <v/>
      </c>
      <c r="R1413" s="18">
        <f>IF($Z1413="","",IF(AND(DATE($AD1413,9,1)&gt;=$AE1413,DATE($AD1413,9,1)&lt;=$AF1413),ROUND($AG1413,2),0))</f>
        <v/>
      </c>
      <c r="S1413" s="18">
        <f>IF($Z1413="","",IF(AND(DATE($AD1413,10,1)&gt;=$AE1413,DATE($AD1413,10,1)&lt;=$AF1413),ROUND($AG1413,2),0))</f>
        <v/>
      </c>
      <c r="T1413" s="18">
        <f>IF($Z1413="","",IF(AND(DATE($AD1413,11,1)&gt;=$AE1413,DATE($AD1413,11,1)&lt;=$AF1413),ROUND($AG1413,2),0))</f>
        <v/>
      </c>
      <c r="U1413" s="18">
        <f>IF($Z1413="","",IF(AND(DATE($AD1413,12,1)&gt;=$AE1413,DATE($AD1413,12,1)&lt;=$AF1413),ROUND($AG1413,2),0))</f>
        <v/>
      </c>
      <c r="V1413" s="7">
        <f>IF($Z1413="C","Generated from "&amp;INDEX(Contracts!$A$2:$A$151,$AB1413),IF($Z1413="A","Generated from "&amp;INDEX(Fixed_Assets!$A$2:$A$201,$AB1413),IF($Z1413="F","Generated from "&amp;INDEX(FTE_Allocation!$A$2:$A$201,$AB1413),"")))</f>
        <v/>
      </c>
      <c r="X1413" s="19">
        <f>IF($Z1413="","",SUM(J1413:U1413))</f>
        <v/>
      </c>
      <c r="Y1413" s="20">
        <f>ROW()-1</f>
        <v/>
      </c>
      <c r="Z1413" s="20">
        <f>IF($Y1413&lt;=Settings!$B$4*3,"C",IF($Y1413&lt;=(Settings!$B$4+Settings!$B$5)*3,"A",IF($Y1413&lt;=(Settings!$B$4+Settings!$B$5+Settings!$B$6)*3,"F","")))</f>
        <v/>
      </c>
      <c r="AA1413" s="20">
        <f>IF($Z1413="C",$Y1413,IF($Z1413="A",$Y1413-Settings!$B$4*3,IF($Z1413="F",$Y1413-(Settings!$B$4+Settings!$B$5)*3,"")))</f>
        <v/>
      </c>
      <c r="AB1413" s="20">
        <f>IF($Z1413="","",INT(($AA1413-1)/3)+1)</f>
        <v/>
      </c>
      <c r="AC1413" s="20">
        <f>IF($Z1413="","",MOD($AA1413-1,3)+1)</f>
        <v/>
      </c>
      <c r="AD1413" s="20">
        <f>IF($Z1413="","",Settings!$B$2+$AC1413-1)</f>
        <v/>
      </c>
      <c r="AE1413" s="21">
        <f>IF($Z1413="C",DATE(YEAR(INDEX(Contracts!$J$2:$J$151,$AB1413)),MONTH(INDEX(Contracts!$J$2:$J$151,$AB1413)),1),IF($Z1413="A",DATE(YEAR(INDEX(Fixed_Assets!$G$2:$G$201,$AB1413)),MONTH(INDEX(Fixed_Assets!$G$2:$G$201,$AB1413)),1),IF($Z1413="F",DATE(YEAR(MAX(N(INDEX(Workforce!$I$2:$I$151,MATCH(INDEX(FTE_Allocation!$A$2:$A$201,$AB1413),Workforce!$A$2:$A$151,0))),N(INDEX(FTE_Allocation!$I$2:$I$201,$AB1413)))),MONTH(MAX(N(INDEX(Workforce!$I$2:$I$151,MATCH(INDEX(FTE_Allocation!$A$2:$A$201,$AB1413),Workforce!$A$2:$A$151,0))),N(INDEX(FTE_Allocation!$I$2:$I$201,$AB1413)))),1),"")))</f>
        <v/>
      </c>
      <c r="AF1413" s="21">
        <f>IF($Z1413="C",IF(INDEX(Contracts!$I$2:$I$151,$AB1413)="PREPAID",EDATE(DATE(YEAR(INDEX(Contracts!$J$2:$J$151,$AB1413)),MONTH(INDEX(Contracts!$J$2:$J$151,$AB1413)),1),IF(INDEX(Contracts!$N$2:$N$151,$AB1413)="",12,INDEX(Contracts!$N$2:$N$151,$AB1413))-1),IF(INDEX(Contracts!$I$2:$I$151,$AB1413)="MONTHLY",IF(INDEX(Contracts!$K$2:$K$151,$AB1413)="",2958101,INDEX(Contracts!$K$2:$K$151,$AB1413)),0)),IF($Z1413="A",EDATE(DATE(YEAR(INDEX(Fixed_Assets!$G$2:$G$201,$AB1413)),MONTH(INDEX(Fixed_Assets!$G$2:$G$201,$AB1413)),1),INDEX(Fixed_Assets!$J$2:$J$201,$AB1413)-1),IF($Z1413="F",MIN(IF(INDEX(Workforce!$J$2:$J$151,MATCH(INDEX(FTE_Allocation!$A$2:$A$201,$AB1413),Workforce!$A$2:$A$151,0))="",2958101,INDEX(Workforce!$J$2:$J$151,MATCH(INDEX(FTE_Allocation!$A$2:$A$201,$AB1413),Workforce!$A$2:$A$151,0))),IF(INDEX(FTE_Allocation!$J$2:$J$201,$AB1413)="",2958101,INDEX(FTE_Allocation!$J$2:$J$201,$AB1413))),"")))</f>
        <v/>
      </c>
      <c r="AG1413" s="19">
        <f>IF($Z1413="C",IF(INDEX(Contracts!$I$2:$I$151,$AB1413)="PREPAID",INDEX(Contracts!$M$2:$M$151,$AB1413)/IF(INDEX(Contracts!$N$2:$N$151,$AB1413)="",12,INDEX(Contracts!$N$2:$N$151,$AB1413)),IF(INDEX(Contracts!$I$2:$I$151,$AB1413)="MONTHLY",INDEX(Contracts!$M$2:$M$151,$AB1413),0))*(1-N(INDEX(Contracts!$O$2:$O$151,$AB1413))),IF($Z1413="A",INDEX(Fixed_Assets!$H$2:$H$201,$AB1413)/INDEX(Fixed_Assets!$J$2:$J$201,$AB1413),IF($Z1413="F",INDEX(Workforce!$F$2:$F$151,MATCH(INDEX(FTE_Allocation!$A$2:$A$201,$AB1413),Workforce!$A$2:$A$151,0))*N(INDEX(FTE_Allocation!$F$2:$H$201,$AB1413,$AC1413)),"")))</f>
        <v/>
      </c>
    </row>
    <row r="1414">
      <c r="A1414" s="7">
        <f>IF($Z1414="","",$AD1414)</f>
        <v/>
      </c>
      <c r="B1414" s="7">
        <f>IF($Z1414="C",INDEX(Contracts!$D$2:$D$151,$AB1414)&amp;"",IF($Z1414="A",INDEX(Fixed_Assets!$C$2:$C$201,$AB1414)&amp;"",IF($Z1414="F",INDEX(Workforce!$B$2:$B$151,MATCH(INDEX(FTE_Allocation!$A$2:$A$201,$AB1414),Workforce!$A$2:$A$151,0))&amp;"","")))</f>
        <v/>
      </c>
      <c r="C1414" s="7">
        <f>IF($Z1414="C",INDEX(Contracts!$E$2:$E$151,$AB1414)&amp;"",IF($Z1414="A",INDEX(Fixed_Assets!$D$2:$D$201,$AB1414)&amp;"",IF($Z1414="F",INDEX(FTE_Allocation!$C$2:$C$201,$AB1414)&amp;"","")))</f>
        <v/>
      </c>
      <c r="D1414" s="7">
        <f>IF($Z1414="C",INDEX(Contracts!$B$2:$B$151,$AB1414)&amp;"",IF($Z1414="A",INDEX(Fixed_Assets!$B$2:$B$201,$AB1414)&amp;"",IF($Z1414="F",INDEX(FTE_Allocation!$B$2:$B$201,$AB1414)&amp;"","")))</f>
        <v/>
      </c>
      <c r="E1414" s="7">
        <f>IF($Z1414="C",INDEX(Contracts!$P$2:$P$151,$AB1414)&amp;"",IF($Z1414="A",INDEX(Fixed_Assets!$K$2:$K$201,$AB1414)&amp;"",IF($Z1414="F",IF(INDEX(FTE_Allocation!$D$2:$D$201,$AB1414)="PROJECT",IFERROR(INDEX(Projects!$D:$D,MATCH(INDEX(FTE_Allocation!$E$2:$E$201,$AB1414),Projects!$A:$A,0))&amp;"","#PROJECT?"),INDEX(FTE_Allocation!$E$2:$E$201,$AB1414)&amp;""),"")))</f>
        <v/>
      </c>
      <c r="F1414" s="7">
        <f>IF($Z1414="C",INDEX(Contracts!$Q$2:$Q$151,$AB1414)&amp;"",IF($Z1414="A",INDEX(Fixed_Assets!$L$2:$L$201,$AB1414)&amp;"",IF($Z1414="F",INDEX(Workforce!$K$2:$K$151,MATCH(INDEX(FTE_Allocation!$A$2:$A$201,$AB1414),Workforce!$A$2:$A$151,0))&amp;"","")))</f>
        <v/>
      </c>
      <c r="G1414" s="7">
        <f>IF($Z1414="C",INDEX(Contracts!$F$2:$F$151,$AB1414)&amp;" / "&amp;INDEX(Contracts!$G$2:$G$151,$AB1414),IF($Z1414="A",INDEX(Fixed_Assets!$E$2:$E$201,$AB1414)&amp;"",IF($Z1414="F","Personnel "&amp;INDEX(FTE_Allocation!$A$2:$A$201,$AB1414)&amp;IF(INDEX(FTE_Allocation!$D$2:$D$201,$AB1414)="PROJECT"," ("&amp;INDEX(FTE_Allocation!$E$2:$E$201,$AB1414)&amp;")",""),"")))</f>
        <v/>
      </c>
      <c r="H1414" s="7">
        <f>IF($Z1414="C","CONTRACT",IF($Z1414="A","ASSET",IF($Z1414="F","WORKFORCE","")))</f>
        <v/>
      </c>
      <c r="I1414" s="7">
        <f>IF($Z1414="C",INDEX(Contracts!$L$2:$L$151,$AB1414)&amp;"",IF($Z1414="A",INDEX(Fixed_Assets!$I$2:$I$201,$AB1414)&amp;"",IF($Z1414="F",INDEX(Workforce!$G$2:$G$151,MATCH(INDEX(FTE_Allocation!$A$2:$A$201,$AB1414),Workforce!$A$2:$A$151,0))&amp;"","")))</f>
        <v/>
      </c>
      <c r="J1414" s="18">
        <f>IF($Z1414="","",IF(AND(DATE($AD1414,1,1)&gt;=$AE1414,DATE($AD1414,1,1)&lt;=$AF1414),ROUND($AG1414,2),0))</f>
        <v/>
      </c>
      <c r="K1414" s="18">
        <f>IF($Z1414="","",IF(AND(DATE($AD1414,2,1)&gt;=$AE1414,DATE($AD1414,2,1)&lt;=$AF1414),ROUND($AG1414,2),0))</f>
        <v/>
      </c>
      <c r="L1414" s="18">
        <f>IF($Z1414="","",IF(AND(DATE($AD1414,3,1)&gt;=$AE1414,DATE($AD1414,3,1)&lt;=$AF1414),ROUND($AG1414,2),0))</f>
        <v/>
      </c>
      <c r="M1414" s="18">
        <f>IF($Z1414="","",IF(AND(DATE($AD1414,4,1)&gt;=$AE1414,DATE($AD1414,4,1)&lt;=$AF1414),ROUND($AG1414,2),0))</f>
        <v/>
      </c>
      <c r="N1414" s="18">
        <f>IF($Z1414="","",IF(AND(DATE($AD1414,5,1)&gt;=$AE1414,DATE($AD1414,5,1)&lt;=$AF1414),ROUND($AG1414,2),0))</f>
        <v/>
      </c>
      <c r="O1414" s="18">
        <f>IF($Z1414="","",IF(AND(DATE($AD1414,6,1)&gt;=$AE1414,DATE($AD1414,6,1)&lt;=$AF1414),ROUND($AG1414,2),0))</f>
        <v/>
      </c>
      <c r="P1414" s="18">
        <f>IF($Z1414="","",IF(AND(DATE($AD1414,7,1)&gt;=$AE1414,DATE($AD1414,7,1)&lt;=$AF1414),ROUND($AG1414,2),0))</f>
        <v/>
      </c>
      <c r="Q1414" s="18">
        <f>IF($Z1414="","",IF(AND(DATE($AD1414,8,1)&gt;=$AE1414,DATE($AD1414,8,1)&lt;=$AF1414),ROUND($AG1414,2),0))</f>
        <v/>
      </c>
      <c r="R1414" s="18">
        <f>IF($Z1414="","",IF(AND(DATE($AD1414,9,1)&gt;=$AE1414,DATE($AD1414,9,1)&lt;=$AF1414),ROUND($AG1414,2),0))</f>
        <v/>
      </c>
      <c r="S1414" s="18">
        <f>IF($Z1414="","",IF(AND(DATE($AD1414,10,1)&gt;=$AE1414,DATE($AD1414,10,1)&lt;=$AF1414),ROUND($AG1414,2),0))</f>
        <v/>
      </c>
      <c r="T1414" s="18">
        <f>IF($Z1414="","",IF(AND(DATE($AD1414,11,1)&gt;=$AE1414,DATE($AD1414,11,1)&lt;=$AF1414),ROUND($AG1414,2),0))</f>
        <v/>
      </c>
      <c r="U1414" s="18">
        <f>IF($Z1414="","",IF(AND(DATE($AD1414,12,1)&gt;=$AE1414,DATE($AD1414,12,1)&lt;=$AF1414),ROUND($AG1414,2),0))</f>
        <v/>
      </c>
      <c r="V1414" s="7">
        <f>IF($Z1414="C","Generated from "&amp;INDEX(Contracts!$A$2:$A$151,$AB1414),IF($Z1414="A","Generated from "&amp;INDEX(Fixed_Assets!$A$2:$A$201,$AB1414),IF($Z1414="F","Generated from "&amp;INDEX(FTE_Allocation!$A$2:$A$201,$AB1414),"")))</f>
        <v/>
      </c>
      <c r="X1414" s="19">
        <f>IF($Z1414="","",SUM(J1414:U1414))</f>
        <v/>
      </c>
      <c r="Y1414" s="20">
        <f>ROW()-1</f>
        <v/>
      </c>
      <c r="Z1414" s="20">
        <f>IF($Y1414&lt;=Settings!$B$4*3,"C",IF($Y1414&lt;=(Settings!$B$4+Settings!$B$5)*3,"A",IF($Y1414&lt;=(Settings!$B$4+Settings!$B$5+Settings!$B$6)*3,"F","")))</f>
        <v/>
      </c>
      <c r="AA1414" s="20">
        <f>IF($Z1414="C",$Y1414,IF($Z1414="A",$Y1414-Settings!$B$4*3,IF($Z1414="F",$Y1414-(Settings!$B$4+Settings!$B$5)*3,"")))</f>
        <v/>
      </c>
      <c r="AB1414" s="20">
        <f>IF($Z1414="","",INT(($AA1414-1)/3)+1)</f>
        <v/>
      </c>
      <c r="AC1414" s="20">
        <f>IF($Z1414="","",MOD($AA1414-1,3)+1)</f>
        <v/>
      </c>
      <c r="AD1414" s="20">
        <f>IF($Z1414="","",Settings!$B$2+$AC1414-1)</f>
        <v/>
      </c>
      <c r="AE1414" s="21">
        <f>IF($Z1414="C",DATE(YEAR(INDEX(Contracts!$J$2:$J$151,$AB1414)),MONTH(INDEX(Contracts!$J$2:$J$151,$AB1414)),1),IF($Z1414="A",DATE(YEAR(INDEX(Fixed_Assets!$G$2:$G$201,$AB1414)),MONTH(INDEX(Fixed_Assets!$G$2:$G$201,$AB1414)),1),IF($Z1414="F",DATE(YEAR(MAX(N(INDEX(Workforce!$I$2:$I$151,MATCH(INDEX(FTE_Allocation!$A$2:$A$201,$AB1414),Workforce!$A$2:$A$151,0))),N(INDEX(FTE_Allocation!$I$2:$I$201,$AB1414)))),MONTH(MAX(N(INDEX(Workforce!$I$2:$I$151,MATCH(INDEX(FTE_Allocation!$A$2:$A$201,$AB1414),Workforce!$A$2:$A$151,0))),N(INDEX(FTE_Allocation!$I$2:$I$201,$AB1414)))),1),"")))</f>
        <v/>
      </c>
      <c r="AF1414" s="21">
        <f>IF($Z1414="C",IF(INDEX(Contracts!$I$2:$I$151,$AB1414)="PREPAID",EDATE(DATE(YEAR(INDEX(Contracts!$J$2:$J$151,$AB1414)),MONTH(INDEX(Contracts!$J$2:$J$151,$AB1414)),1),IF(INDEX(Contracts!$N$2:$N$151,$AB1414)="",12,INDEX(Contracts!$N$2:$N$151,$AB1414))-1),IF(INDEX(Contracts!$I$2:$I$151,$AB1414)="MONTHLY",IF(INDEX(Contracts!$K$2:$K$151,$AB1414)="",2958101,INDEX(Contracts!$K$2:$K$151,$AB1414)),0)),IF($Z1414="A",EDATE(DATE(YEAR(INDEX(Fixed_Assets!$G$2:$G$201,$AB1414)),MONTH(INDEX(Fixed_Assets!$G$2:$G$201,$AB1414)),1),INDEX(Fixed_Assets!$J$2:$J$201,$AB1414)-1),IF($Z1414="F",MIN(IF(INDEX(Workforce!$J$2:$J$151,MATCH(INDEX(FTE_Allocation!$A$2:$A$201,$AB1414),Workforce!$A$2:$A$151,0))="",2958101,INDEX(Workforce!$J$2:$J$151,MATCH(INDEX(FTE_Allocation!$A$2:$A$201,$AB1414),Workforce!$A$2:$A$151,0))),IF(INDEX(FTE_Allocation!$J$2:$J$201,$AB1414)="",2958101,INDEX(FTE_Allocation!$J$2:$J$201,$AB1414))),"")))</f>
        <v/>
      </c>
      <c r="AG1414" s="19">
        <f>IF($Z1414="C",IF(INDEX(Contracts!$I$2:$I$151,$AB1414)="PREPAID",INDEX(Contracts!$M$2:$M$151,$AB1414)/IF(INDEX(Contracts!$N$2:$N$151,$AB1414)="",12,INDEX(Contracts!$N$2:$N$151,$AB1414)),IF(INDEX(Contracts!$I$2:$I$151,$AB1414)="MONTHLY",INDEX(Contracts!$M$2:$M$151,$AB1414),0))*(1-N(INDEX(Contracts!$O$2:$O$151,$AB1414))),IF($Z1414="A",INDEX(Fixed_Assets!$H$2:$H$201,$AB1414)/INDEX(Fixed_Assets!$J$2:$J$201,$AB1414),IF($Z1414="F",INDEX(Workforce!$F$2:$F$151,MATCH(INDEX(FTE_Allocation!$A$2:$A$201,$AB1414),Workforce!$A$2:$A$151,0))*N(INDEX(FTE_Allocation!$F$2:$H$201,$AB1414,$AC1414)),"")))</f>
        <v/>
      </c>
    </row>
    <row r="1415">
      <c r="A1415" s="7">
        <f>IF($Z1415="","",$AD1415)</f>
        <v/>
      </c>
      <c r="B1415" s="7">
        <f>IF($Z1415="C",INDEX(Contracts!$D$2:$D$151,$AB1415)&amp;"",IF($Z1415="A",INDEX(Fixed_Assets!$C$2:$C$201,$AB1415)&amp;"",IF($Z1415="F",INDEX(Workforce!$B$2:$B$151,MATCH(INDEX(FTE_Allocation!$A$2:$A$201,$AB1415),Workforce!$A$2:$A$151,0))&amp;"","")))</f>
        <v/>
      </c>
      <c r="C1415" s="7">
        <f>IF($Z1415="C",INDEX(Contracts!$E$2:$E$151,$AB1415)&amp;"",IF($Z1415="A",INDEX(Fixed_Assets!$D$2:$D$201,$AB1415)&amp;"",IF($Z1415="F",INDEX(FTE_Allocation!$C$2:$C$201,$AB1415)&amp;"","")))</f>
        <v/>
      </c>
      <c r="D1415" s="7">
        <f>IF($Z1415="C",INDEX(Contracts!$B$2:$B$151,$AB1415)&amp;"",IF($Z1415="A",INDEX(Fixed_Assets!$B$2:$B$201,$AB1415)&amp;"",IF($Z1415="F",INDEX(FTE_Allocation!$B$2:$B$201,$AB1415)&amp;"","")))</f>
        <v/>
      </c>
      <c r="E1415" s="7">
        <f>IF($Z1415="C",INDEX(Contracts!$P$2:$P$151,$AB1415)&amp;"",IF($Z1415="A",INDEX(Fixed_Assets!$K$2:$K$201,$AB1415)&amp;"",IF($Z1415="F",IF(INDEX(FTE_Allocation!$D$2:$D$201,$AB1415)="PROJECT",IFERROR(INDEX(Projects!$D:$D,MATCH(INDEX(FTE_Allocation!$E$2:$E$201,$AB1415),Projects!$A:$A,0))&amp;"","#PROJECT?"),INDEX(FTE_Allocation!$E$2:$E$201,$AB1415)&amp;""),"")))</f>
        <v/>
      </c>
      <c r="F1415" s="7">
        <f>IF($Z1415="C",INDEX(Contracts!$Q$2:$Q$151,$AB1415)&amp;"",IF($Z1415="A",INDEX(Fixed_Assets!$L$2:$L$201,$AB1415)&amp;"",IF($Z1415="F",INDEX(Workforce!$K$2:$K$151,MATCH(INDEX(FTE_Allocation!$A$2:$A$201,$AB1415),Workforce!$A$2:$A$151,0))&amp;"","")))</f>
        <v/>
      </c>
      <c r="G1415" s="7">
        <f>IF($Z1415="C",INDEX(Contracts!$F$2:$F$151,$AB1415)&amp;" / "&amp;INDEX(Contracts!$G$2:$G$151,$AB1415),IF($Z1415="A",INDEX(Fixed_Assets!$E$2:$E$201,$AB1415)&amp;"",IF($Z1415="F","Personnel "&amp;INDEX(FTE_Allocation!$A$2:$A$201,$AB1415)&amp;IF(INDEX(FTE_Allocation!$D$2:$D$201,$AB1415)="PROJECT"," ("&amp;INDEX(FTE_Allocation!$E$2:$E$201,$AB1415)&amp;")",""),"")))</f>
        <v/>
      </c>
      <c r="H1415" s="7">
        <f>IF($Z1415="C","CONTRACT",IF($Z1415="A","ASSET",IF($Z1415="F","WORKFORCE","")))</f>
        <v/>
      </c>
      <c r="I1415" s="7">
        <f>IF($Z1415="C",INDEX(Contracts!$L$2:$L$151,$AB1415)&amp;"",IF($Z1415="A",INDEX(Fixed_Assets!$I$2:$I$201,$AB1415)&amp;"",IF($Z1415="F",INDEX(Workforce!$G$2:$G$151,MATCH(INDEX(FTE_Allocation!$A$2:$A$201,$AB1415),Workforce!$A$2:$A$151,0))&amp;"","")))</f>
        <v/>
      </c>
      <c r="J1415" s="18">
        <f>IF($Z1415="","",IF(AND(DATE($AD1415,1,1)&gt;=$AE1415,DATE($AD1415,1,1)&lt;=$AF1415),ROUND($AG1415,2),0))</f>
        <v/>
      </c>
      <c r="K1415" s="18">
        <f>IF($Z1415="","",IF(AND(DATE($AD1415,2,1)&gt;=$AE1415,DATE($AD1415,2,1)&lt;=$AF1415),ROUND($AG1415,2),0))</f>
        <v/>
      </c>
      <c r="L1415" s="18">
        <f>IF($Z1415="","",IF(AND(DATE($AD1415,3,1)&gt;=$AE1415,DATE($AD1415,3,1)&lt;=$AF1415),ROUND($AG1415,2),0))</f>
        <v/>
      </c>
      <c r="M1415" s="18">
        <f>IF($Z1415="","",IF(AND(DATE($AD1415,4,1)&gt;=$AE1415,DATE($AD1415,4,1)&lt;=$AF1415),ROUND($AG1415,2),0))</f>
        <v/>
      </c>
      <c r="N1415" s="18">
        <f>IF($Z1415="","",IF(AND(DATE($AD1415,5,1)&gt;=$AE1415,DATE($AD1415,5,1)&lt;=$AF1415),ROUND($AG1415,2),0))</f>
        <v/>
      </c>
      <c r="O1415" s="18">
        <f>IF($Z1415="","",IF(AND(DATE($AD1415,6,1)&gt;=$AE1415,DATE($AD1415,6,1)&lt;=$AF1415),ROUND($AG1415,2),0))</f>
        <v/>
      </c>
      <c r="P1415" s="18">
        <f>IF($Z1415="","",IF(AND(DATE($AD1415,7,1)&gt;=$AE1415,DATE($AD1415,7,1)&lt;=$AF1415),ROUND($AG1415,2),0))</f>
        <v/>
      </c>
      <c r="Q1415" s="18">
        <f>IF($Z1415="","",IF(AND(DATE($AD1415,8,1)&gt;=$AE1415,DATE($AD1415,8,1)&lt;=$AF1415),ROUND($AG1415,2),0))</f>
        <v/>
      </c>
      <c r="R1415" s="18">
        <f>IF($Z1415="","",IF(AND(DATE($AD1415,9,1)&gt;=$AE1415,DATE($AD1415,9,1)&lt;=$AF1415),ROUND($AG1415,2),0))</f>
        <v/>
      </c>
      <c r="S1415" s="18">
        <f>IF($Z1415="","",IF(AND(DATE($AD1415,10,1)&gt;=$AE1415,DATE($AD1415,10,1)&lt;=$AF1415),ROUND($AG1415,2),0))</f>
        <v/>
      </c>
      <c r="T1415" s="18">
        <f>IF($Z1415="","",IF(AND(DATE($AD1415,11,1)&gt;=$AE1415,DATE($AD1415,11,1)&lt;=$AF1415),ROUND($AG1415,2),0))</f>
        <v/>
      </c>
      <c r="U1415" s="18">
        <f>IF($Z1415="","",IF(AND(DATE($AD1415,12,1)&gt;=$AE1415,DATE($AD1415,12,1)&lt;=$AF1415),ROUND($AG1415,2),0))</f>
        <v/>
      </c>
      <c r="V1415" s="7">
        <f>IF($Z1415="C","Generated from "&amp;INDEX(Contracts!$A$2:$A$151,$AB1415),IF($Z1415="A","Generated from "&amp;INDEX(Fixed_Assets!$A$2:$A$201,$AB1415),IF($Z1415="F","Generated from "&amp;INDEX(FTE_Allocation!$A$2:$A$201,$AB1415),"")))</f>
        <v/>
      </c>
      <c r="X1415" s="19">
        <f>IF($Z1415="","",SUM(J1415:U1415))</f>
        <v/>
      </c>
      <c r="Y1415" s="20">
        <f>ROW()-1</f>
        <v/>
      </c>
      <c r="Z1415" s="20">
        <f>IF($Y1415&lt;=Settings!$B$4*3,"C",IF($Y1415&lt;=(Settings!$B$4+Settings!$B$5)*3,"A",IF($Y1415&lt;=(Settings!$B$4+Settings!$B$5+Settings!$B$6)*3,"F","")))</f>
        <v/>
      </c>
      <c r="AA1415" s="20">
        <f>IF($Z1415="C",$Y1415,IF($Z1415="A",$Y1415-Settings!$B$4*3,IF($Z1415="F",$Y1415-(Settings!$B$4+Settings!$B$5)*3,"")))</f>
        <v/>
      </c>
      <c r="AB1415" s="20">
        <f>IF($Z1415="","",INT(($AA1415-1)/3)+1)</f>
        <v/>
      </c>
      <c r="AC1415" s="20">
        <f>IF($Z1415="","",MOD($AA1415-1,3)+1)</f>
        <v/>
      </c>
      <c r="AD1415" s="20">
        <f>IF($Z1415="","",Settings!$B$2+$AC1415-1)</f>
        <v/>
      </c>
      <c r="AE1415" s="21">
        <f>IF($Z1415="C",DATE(YEAR(INDEX(Contracts!$J$2:$J$151,$AB1415)),MONTH(INDEX(Contracts!$J$2:$J$151,$AB1415)),1),IF($Z1415="A",DATE(YEAR(INDEX(Fixed_Assets!$G$2:$G$201,$AB1415)),MONTH(INDEX(Fixed_Assets!$G$2:$G$201,$AB1415)),1),IF($Z1415="F",DATE(YEAR(MAX(N(INDEX(Workforce!$I$2:$I$151,MATCH(INDEX(FTE_Allocation!$A$2:$A$201,$AB1415),Workforce!$A$2:$A$151,0))),N(INDEX(FTE_Allocation!$I$2:$I$201,$AB1415)))),MONTH(MAX(N(INDEX(Workforce!$I$2:$I$151,MATCH(INDEX(FTE_Allocation!$A$2:$A$201,$AB1415),Workforce!$A$2:$A$151,0))),N(INDEX(FTE_Allocation!$I$2:$I$201,$AB1415)))),1),"")))</f>
        <v/>
      </c>
      <c r="AF1415" s="21">
        <f>IF($Z1415="C",IF(INDEX(Contracts!$I$2:$I$151,$AB1415)="PREPAID",EDATE(DATE(YEAR(INDEX(Contracts!$J$2:$J$151,$AB1415)),MONTH(INDEX(Contracts!$J$2:$J$151,$AB1415)),1),IF(INDEX(Contracts!$N$2:$N$151,$AB1415)="",12,INDEX(Contracts!$N$2:$N$151,$AB1415))-1),IF(INDEX(Contracts!$I$2:$I$151,$AB1415)="MONTHLY",IF(INDEX(Contracts!$K$2:$K$151,$AB1415)="",2958101,INDEX(Contracts!$K$2:$K$151,$AB1415)),0)),IF($Z1415="A",EDATE(DATE(YEAR(INDEX(Fixed_Assets!$G$2:$G$201,$AB1415)),MONTH(INDEX(Fixed_Assets!$G$2:$G$201,$AB1415)),1),INDEX(Fixed_Assets!$J$2:$J$201,$AB1415)-1),IF($Z1415="F",MIN(IF(INDEX(Workforce!$J$2:$J$151,MATCH(INDEX(FTE_Allocation!$A$2:$A$201,$AB1415),Workforce!$A$2:$A$151,0))="",2958101,INDEX(Workforce!$J$2:$J$151,MATCH(INDEX(FTE_Allocation!$A$2:$A$201,$AB1415),Workforce!$A$2:$A$151,0))),IF(INDEX(FTE_Allocation!$J$2:$J$201,$AB1415)="",2958101,INDEX(FTE_Allocation!$J$2:$J$201,$AB1415))),"")))</f>
        <v/>
      </c>
      <c r="AG1415" s="19">
        <f>IF($Z1415="C",IF(INDEX(Contracts!$I$2:$I$151,$AB1415)="PREPAID",INDEX(Contracts!$M$2:$M$151,$AB1415)/IF(INDEX(Contracts!$N$2:$N$151,$AB1415)="",12,INDEX(Contracts!$N$2:$N$151,$AB1415)),IF(INDEX(Contracts!$I$2:$I$151,$AB1415)="MONTHLY",INDEX(Contracts!$M$2:$M$151,$AB1415),0))*(1-N(INDEX(Contracts!$O$2:$O$151,$AB1415))),IF($Z1415="A",INDEX(Fixed_Assets!$H$2:$H$201,$AB1415)/INDEX(Fixed_Assets!$J$2:$J$201,$AB1415),IF($Z1415="F",INDEX(Workforce!$F$2:$F$151,MATCH(INDEX(FTE_Allocation!$A$2:$A$201,$AB1415),Workforce!$A$2:$A$151,0))*N(INDEX(FTE_Allocation!$F$2:$H$201,$AB1415,$AC1415)),"")))</f>
        <v/>
      </c>
    </row>
    <row r="1416">
      <c r="A1416" s="7">
        <f>IF($Z1416="","",$AD1416)</f>
        <v/>
      </c>
      <c r="B1416" s="7">
        <f>IF($Z1416="C",INDEX(Contracts!$D$2:$D$151,$AB1416)&amp;"",IF($Z1416="A",INDEX(Fixed_Assets!$C$2:$C$201,$AB1416)&amp;"",IF($Z1416="F",INDEX(Workforce!$B$2:$B$151,MATCH(INDEX(FTE_Allocation!$A$2:$A$201,$AB1416),Workforce!$A$2:$A$151,0))&amp;"","")))</f>
        <v/>
      </c>
      <c r="C1416" s="7">
        <f>IF($Z1416="C",INDEX(Contracts!$E$2:$E$151,$AB1416)&amp;"",IF($Z1416="A",INDEX(Fixed_Assets!$D$2:$D$201,$AB1416)&amp;"",IF($Z1416="F",INDEX(FTE_Allocation!$C$2:$C$201,$AB1416)&amp;"","")))</f>
        <v/>
      </c>
      <c r="D1416" s="7">
        <f>IF($Z1416="C",INDEX(Contracts!$B$2:$B$151,$AB1416)&amp;"",IF($Z1416="A",INDEX(Fixed_Assets!$B$2:$B$201,$AB1416)&amp;"",IF($Z1416="F",INDEX(FTE_Allocation!$B$2:$B$201,$AB1416)&amp;"","")))</f>
        <v/>
      </c>
      <c r="E1416" s="7">
        <f>IF($Z1416="C",INDEX(Contracts!$P$2:$P$151,$AB1416)&amp;"",IF($Z1416="A",INDEX(Fixed_Assets!$K$2:$K$201,$AB1416)&amp;"",IF($Z1416="F",IF(INDEX(FTE_Allocation!$D$2:$D$201,$AB1416)="PROJECT",IFERROR(INDEX(Projects!$D:$D,MATCH(INDEX(FTE_Allocation!$E$2:$E$201,$AB1416),Projects!$A:$A,0))&amp;"","#PROJECT?"),INDEX(FTE_Allocation!$E$2:$E$201,$AB1416)&amp;""),"")))</f>
        <v/>
      </c>
      <c r="F1416" s="7">
        <f>IF($Z1416="C",INDEX(Contracts!$Q$2:$Q$151,$AB1416)&amp;"",IF($Z1416="A",INDEX(Fixed_Assets!$L$2:$L$201,$AB1416)&amp;"",IF($Z1416="F",INDEX(Workforce!$K$2:$K$151,MATCH(INDEX(FTE_Allocation!$A$2:$A$201,$AB1416),Workforce!$A$2:$A$151,0))&amp;"","")))</f>
        <v/>
      </c>
      <c r="G1416" s="7">
        <f>IF($Z1416="C",INDEX(Contracts!$F$2:$F$151,$AB1416)&amp;" / "&amp;INDEX(Contracts!$G$2:$G$151,$AB1416),IF($Z1416="A",INDEX(Fixed_Assets!$E$2:$E$201,$AB1416)&amp;"",IF($Z1416="F","Personnel "&amp;INDEX(FTE_Allocation!$A$2:$A$201,$AB1416)&amp;IF(INDEX(FTE_Allocation!$D$2:$D$201,$AB1416)="PROJECT"," ("&amp;INDEX(FTE_Allocation!$E$2:$E$201,$AB1416)&amp;")",""),"")))</f>
        <v/>
      </c>
      <c r="H1416" s="7">
        <f>IF($Z1416="C","CONTRACT",IF($Z1416="A","ASSET",IF($Z1416="F","WORKFORCE","")))</f>
        <v/>
      </c>
      <c r="I1416" s="7">
        <f>IF($Z1416="C",INDEX(Contracts!$L$2:$L$151,$AB1416)&amp;"",IF($Z1416="A",INDEX(Fixed_Assets!$I$2:$I$201,$AB1416)&amp;"",IF($Z1416="F",INDEX(Workforce!$G$2:$G$151,MATCH(INDEX(FTE_Allocation!$A$2:$A$201,$AB1416),Workforce!$A$2:$A$151,0))&amp;"","")))</f>
        <v/>
      </c>
      <c r="J1416" s="18">
        <f>IF($Z1416="","",IF(AND(DATE($AD1416,1,1)&gt;=$AE1416,DATE($AD1416,1,1)&lt;=$AF1416),ROUND($AG1416,2),0))</f>
        <v/>
      </c>
      <c r="K1416" s="18">
        <f>IF($Z1416="","",IF(AND(DATE($AD1416,2,1)&gt;=$AE1416,DATE($AD1416,2,1)&lt;=$AF1416),ROUND($AG1416,2),0))</f>
        <v/>
      </c>
      <c r="L1416" s="18">
        <f>IF($Z1416="","",IF(AND(DATE($AD1416,3,1)&gt;=$AE1416,DATE($AD1416,3,1)&lt;=$AF1416),ROUND($AG1416,2),0))</f>
        <v/>
      </c>
      <c r="M1416" s="18">
        <f>IF($Z1416="","",IF(AND(DATE($AD1416,4,1)&gt;=$AE1416,DATE($AD1416,4,1)&lt;=$AF1416),ROUND($AG1416,2),0))</f>
        <v/>
      </c>
      <c r="N1416" s="18">
        <f>IF($Z1416="","",IF(AND(DATE($AD1416,5,1)&gt;=$AE1416,DATE($AD1416,5,1)&lt;=$AF1416),ROUND($AG1416,2),0))</f>
        <v/>
      </c>
      <c r="O1416" s="18">
        <f>IF($Z1416="","",IF(AND(DATE($AD1416,6,1)&gt;=$AE1416,DATE($AD1416,6,1)&lt;=$AF1416),ROUND($AG1416,2),0))</f>
        <v/>
      </c>
      <c r="P1416" s="18">
        <f>IF($Z1416="","",IF(AND(DATE($AD1416,7,1)&gt;=$AE1416,DATE($AD1416,7,1)&lt;=$AF1416),ROUND($AG1416,2),0))</f>
        <v/>
      </c>
      <c r="Q1416" s="18">
        <f>IF($Z1416="","",IF(AND(DATE($AD1416,8,1)&gt;=$AE1416,DATE($AD1416,8,1)&lt;=$AF1416),ROUND($AG1416,2),0))</f>
        <v/>
      </c>
      <c r="R1416" s="18">
        <f>IF($Z1416="","",IF(AND(DATE($AD1416,9,1)&gt;=$AE1416,DATE($AD1416,9,1)&lt;=$AF1416),ROUND($AG1416,2),0))</f>
        <v/>
      </c>
      <c r="S1416" s="18">
        <f>IF($Z1416="","",IF(AND(DATE($AD1416,10,1)&gt;=$AE1416,DATE($AD1416,10,1)&lt;=$AF1416),ROUND($AG1416,2),0))</f>
        <v/>
      </c>
      <c r="T1416" s="18">
        <f>IF($Z1416="","",IF(AND(DATE($AD1416,11,1)&gt;=$AE1416,DATE($AD1416,11,1)&lt;=$AF1416),ROUND($AG1416,2),0))</f>
        <v/>
      </c>
      <c r="U1416" s="18">
        <f>IF($Z1416="","",IF(AND(DATE($AD1416,12,1)&gt;=$AE1416,DATE($AD1416,12,1)&lt;=$AF1416),ROUND($AG1416,2),0))</f>
        <v/>
      </c>
      <c r="V1416" s="7">
        <f>IF($Z1416="C","Generated from "&amp;INDEX(Contracts!$A$2:$A$151,$AB1416),IF($Z1416="A","Generated from "&amp;INDEX(Fixed_Assets!$A$2:$A$201,$AB1416),IF($Z1416="F","Generated from "&amp;INDEX(FTE_Allocation!$A$2:$A$201,$AB1416),"")))</f>
        <v/>
      </c>
      <c r="X1416" s="19">
        <f>IF($Z1416="","",SUM(J1416:U1416))</f>
        <v/>
      </c>
      <c r="Y1416" s="20">
        <f>ROW()-1</f>
        <v/>
      </c>
      <c r="Z1416" s="20">
        <f>IF($Y1416&lt;=Settings!$B$4*3,"C",IF($Y1416&lt;=(Settings!$B$4+Settings!$B$5)*3,"A",IF($Y1416&lt;=(Settings!$B$4+Settings!$B$5+Settings!$B$6)*3,"F","")))</f>
        <v/>
      </c>
      <c r="AA1416" s="20">
        <f>IF($Z1416="C",$Y1416,IF($Z1416="A",$Y1416-Settings!$B$4*3,IF($Z1416="F",$Y1416-(Settings!$B$4+Settings!$B$5)*3,"")))</f>
        <v/>
      </c>
      <c r="AB1416" s="20">
        <f>IF($Z1416="","",INT(($AA1416-1)/3)+1)</f>
        <v/>
      </c>
      <c r="AC1416" s="20">
        <f>IF($Z1416="","",MOD($AA1416-1,3)+1)</f>
        <v/>
      </c>
      <c r="AD1416" s="20">
        <f>IF($Z1416="","",Settings!$B$2+$AC1416-1)</f>
        <v/>
      </c>
      <c r="AE1416" s="21">
        <f>IF($Z1416="C",DATE(YEAR(INDEX(Contracts!$J$2:$J$151,$AB1416)),MONTH(INDEX(Contracts!$J$2:$J$151,$AB1416)),1),IF($Z1416="A",DATE(YEAR(INDEX(Fixed_Assets!$G$2:$G$201,$AB1416)),MONTH(INDEX(Fixed_Assets!$G$2:$G$201,$AB1416)),1),IF($Z1416="F",DATE(YEAR(MAX(N(INDEX(Workforce!$I$2:$I$151,MATCH(INDEX(FTE_Allocation!$A$2:$A$201,$AB1416),Workforce!$A$2:$A$151,0))),N(INDEX(FTE_Allocation!$I$2:$I$201,$AB1416)))),MONTH(MAX(N(INDEX(Workforce!$I$2:$I$151,MATCH(INDEX(FTE_Allocation!$A$2:$A$201,$AB1416),Workforce!$A$2:$A$151,0))),N(INDEX(FTE_Allocation!$I$2:$I$201,$AB1416)))),1),"")))</f>
        <v/>
      </c>
      <c r="AF1416" s="21">
        <f>IF($Z1416="C",IF(INDEX(Contracts!$I$2:$I$151,$AB1416)="PREPAID",EDATE(DATE(YEAR(INDEX(Contracts!$J$2:$J$151,$AB1416)),MONTH(INDEX(Contracts!$J$2:$J$151,$AB1416)),1),IF(INDEX(Contracts!$N$2:$N$151,$AB1416)="",12,INDEX(Contracts!$N$2:$N$151,$AB1416))-1),IF(INDEX(Contracts!$I$2:$I$151,$AB1416)="MONTHLY",IF(INDEX(Contracts!$K$2:$K$151,$AB1416)="",2958101,INDEX(Contracts!$K$2:$K$151,$AB1416)),0)),IF($Z1416="A",EDATE(DATE(YEAR(INDEX(Fixed_Assets!$G$2:$G$201,$AB1416)),MONTH(INDEX(Fixed_Assets!$G$2:$G$201,$AB1416)),1),INDEX(Fixed_Assets!$J$2:$J$201,$AB1416)-1),IF($Z1416="F",MIN(IF(INDEX(Workforce!$J$2:$J$151,MATCH(INDEX(FTE_Allocation!$A$2:$A$201,$AB1416),Workforce!$A$2:$A$151,0))="",2958101,INDEX(Workforce!$J$2:$J$151,MATCH(INDEX(FTE_Allocation!$A$2:$A$201,$AB1416),Workforce!$A$2:$A$151,0))),IF(INDEX(FTE_Allocation!$J$2:$J$201,$AB1416)="",2958101,INDEX(FTE_Allocation!$J$2:$J$201,$AB1416))),"")))</f>
        <v/>
      </c>
      <c r="AG1416" s="19">
        <f>IF($Z1416="C",IF(INDEX(Contracts!$I$2:$I$151,$AB1416)="PREPAID",INDEX(Contracts!$M$2:$M$151,$AB1416)/IF(INDEX(Contracts!$N$2:$N$151,$AB1416)="",12,INDEX(Contracts!$N$2:$N$151,$AB1416)),IF(INDEX(Contracts!$I$2:$I$151,$AB1416)="MONTHLY",INDEX(Contracts!$M$2:$M$151,$AB1416),0))*(1-N(INDEX(Contracts!$O$2:$O$151,$AB1416))),IF($Z1416="A",INDEX(Fixed_Assets!$H$2:$H$201,$AB1416)/INDEX(Fixed_Assets!$J$2:$J$201,$AB1416),IF($Z1416="F",INDEX(Workforce!$F$2:$F$151,MATCH(INDEX(FTE_Allocation!$A$2:$A$201,$AB1416),Workforce!$A$2:$A$151,0))*N(INDEX(FTE_Allocation!$F$2:$H$201,$AB1416,$AC1416)),"")))</f>
        <v/>
      </c>
    </row>
    <row r="1417">
      <c r="A1417" s="7">
        <f>IF($Z1417="","",$AD1417)</f>
        <v/>
      </c>
      <c r="B1417" s="7">
        <f>IF($Z1417="C",INDEX(Contracts!$D$2:$D$151,$AB1417)&amp;"",IF($Z1417="A",INDEX(Fixed_Assets!$C$2:$C$201,$AB1417)&amp;"",IF($Z1417="F",INDEX(Workforce!$B$2:$B$151,MATCH(INDEX(FTE_Allocation!$A$2:$A$201,$AB1417),Workforce!$A$2:$A$151,0))&amp;"","")))</f>
        <v/>
      </c>
      <c r="C1417" s="7">
        <f>IF($Z1417="C",INDEX(Contracts!$E$2:$E$151,$AB1417)&amp;"",IF($Z1417="A",INDEX(Fixed_Assets!$D$2:$D$201,$AB1417)&amp;"",IF($Z1417="F",INDEX(FTE_Allocation!$C$2:$C$201,$AB1417)&amp;"","")))</f>
        <v/>
      </c>
      <c r="D1417" s="7">
        <f>IF($Z1417="C",INDEX(Contracts!$B$2:$B$151,$AB1417)&amp;"",IF($Z1417="A",INDEX(Fixed_Assets!$B$2:$B$201,$AB1417)&amp;"",IF($Z1417="F",INDEX(FTE_Allocation!$B$2:$B$201,$AB1417)&amp;"","")))</f>
        <v/>
      </c>
      <c r="E1417" s="7">
        <f>IF($Z1417="C",INDEX(Contracts!$P$2:$P$151,$AB1417)&amp;"",IF($Z1417="A",INDEX(Fixed_Assets!$K$2:$K$201,$AB1417)&amp;"",IF($Z1417="F",IF(INDEX(FTE_Allocation!$D$2:$D$201,$AB1417)="PROJECT",IFERROR(INDEX(Projects!$D:$D,MATCH(INDEX(FTE_Allocation!$E$2:$E$201,$AB1417),Projects!$A:$A,0))&amp;"","#PROJECT?"),INDEX(FTE_Allocation!$E$2:$E$201,$AB1417)&amp;""),"")))</f>
        <v/>
      </c>
      <c r="F1417" s="7">
        <f>IF($Z1417="C",INDEX(Contracts!$Q$2:$Q$151,$AB1417)&amp;"",IF($Z1417="A",INDEX(Fixed_Assets!$L$2:$L$201,$AB1417)&amp;"",IF($Z1417="F",INDEX(Workforce!$K$2:$K$151,MATCH(INDEX(FTE_Allocation!$A$2:$A$201,$AB1417),Workforce!$A$2:$A$151,0))&amp;"","")))</f>
        <v/>
      </c>
      <c r="G1417" s="7">
        <f>IF($Z1417="C",INDEX(Contracts!$F$2:$F$151,$AB1417)&amp;" / "&amp;INDEX(Contracts!$G$2:$G$151,$AB1417),IF($Z1417="A",INDEX(Fixed_Assets!$E$2:$E$201,$AB1417)&amp;"",IF($Z1417="F","Personnel "&amp;INDEX(FTE_Allocation!$A$2:$A$201,$AB1417)&amp;IF(INDEX(FTE_Allocation!$D$2:$D$201,$AB1417)="PROJECT"," ("&amp;INDEX(FTE_Allocation!$E$2:$E$201,$AB1417)&amp;")",""),"")))</f>
        <v/>
      </c>
      <c r="H1417" s="7">
        <f>IF($Z1417="C","CONTRACT",IF($Z1417="A","ASSET",IF($Z1417="F","WORKFORCE","")))</f>
        <v/>
      </c>
      <c r="I1417" s="7">
        <f>IF($Z1417="C",INDEX(Contracts!$L$2:$L$151,$AB1417)&amp;"",IF($Z1417="A",INDEX(Fixed_Assets!$I$2:$I$201,$AB1417)&amp;"",IF($Z1417="F",INDEX(Workforce!$G$2:$G$151,MATCH(INDEX(FTE_Allocation!$A$2:$A$201,$AB1417),Workforce!$A$2:$A$151,0))&amp;"","")))</f>
        <v/>
      </c>
      <c r="J1417" s="18">
        <f>IF($Z1417="","",IF(AND(DATE($AD1417,1,1)&gt;=$AE1417,DATE($AD1417,1,1)&lt;=$AF1417),ROUND($AG1417,2),0))</f>
        <v/>
      </c>
      <c r="K1417" s="18">
        <f>IF($Z1417="","",IF(AND(DATE($AD1417,2,1)&gt;=$AE1417,DATE($AD1417,2,1)&lt;=$AF1417),ROUND($AG1417,2),0))</f>
        <v/>
      </c>
      <c r="L1417" s="18">
        <f>IF($Z1417="","",IF(AND(DATE($AD1417,3,1)&gt;=$AE1417,DATE($AD1417,3,1)&lt;=$AF1417),ROUND($AG1417,2),0))</f>
        <v/>
      </c>
      <c r="M1417" s="18">
        <f>IF($Z1417="","",IF(AND(DATE($AD1417,4,1)&gt;=$AE1417,DATE($AD1417,4,1)&lt;=$AF1417),ROUND($AG1417,2),0))</f>
        <v/>
      </c>
      <c r="N1417" s="18">
        <f>IF($Z1417="","",IF(AND(DATE($AD1417,5,1)&gt;=$AE1417,DATE($AD1417,5,1)&lt;=$AF1417),ROUND($AG1417,2),0))</f>
        <v/>
      </c>
      <c r="O1417" s="18">
        <f>IF($Z1417="","",IF(AND(DATE($AD1417,6,1)&gt;=$AE1417,DATE($AD1417,6,1)&lt;=$AF1417),ROUND($AG1417,2),0))</f>
        <v/>
      </c>
      <c r="P1417" s="18">
        <f>IF($Z1417="","",IF(AND(DATE($AD1417,7,1)&gt;=$AE1417,DATE($AD1417,7,1)&lt;=$AF1417),ROUND($AG1417,2),0))</f>
        <v/>
      </c>
      <c r="Q1417" s="18">
        <f>IF($Z1417="","",IF(AND(DATE($AD1417,8,1)&gt;=$AE1417,DATE($AD1417,8,1)&lt;=$AF1417),ROUND($AG1417,2),0))</f>
        <v/>
      </c>
      <c r="R1417" s="18">
        <f>IF($Z1417="","",IF(AND(DATE($AD1417,9,1)&gt;=$AE1417,DATE($AD1417,9,1)&lt;=$AF1417),ROUND($AG1417,2),0))</f>
        <v/>
      </c>
      <c r="S1417" s="18">
        <f>IF($Z1417="","",IF(AND(DATE($AD1417,10,1)&gt;=$AE1417,DATE($AD1417,10,1)&lt;=$AF1417),ROUND($AG1417,2),0))</f>
        <v/>
      </c>
      <c r="T1417" s="18">
        <f>IF($Z1417="","",IF(AND(DATE($AD1417,11,1)&gt;=$AE1417,DATE($AD1417,11,1)&lt;=$AF1417),ROUND($AG1417,2),0))</f>
        <v/>
      </c>
      <c r="U1417" s="18">
        <f>IF($Z1417="","",IF(AND(DATE($AD1417,12,1)&gt;=$AE1417,DATE($AD1417,12,1)&lt;=$AF1417),ROUND($AG1417,2),0))</f>
        <v/>
      </c>
      <c r="V1417" s="7">
        <f>IF($Z1417="C","Generated from "&amp;INDEX(Contracts!$A$2:$A$151,$AB1417),IF($Z1417="A","Generated from "&amp;INDEX(Fixed_Assets!$A$2:$A$201,$AB1417),IF($Z1417="F","Generated from "&amp;INDEX(FTE_Allocation!$A$2:$A$201,$AB1417),"")))</f>
        <v/>
      </c>
      <c r="X1417" s="19">
        <f>IF($Z1417="","",SUM(J1417:U1417))</f>
        <v/>
      </c>
      <c r="Y1417" s="20">
        <f>ROW()-1</f>
        <v/>
      </c>
      <c r="Z1417" s="20">
        <f>IF($Y1417&lt;=Settings!$B$4*3,"C",IF($Y1417&lt;=(Settings!$B$4+Settings!$B$5)*3,"A",IF($Y1417&lt;=(Settings!$B$4+Settings!$B$5+Settings!$B$6)*3,"F","")))</f>
        <v/>
      </c>
      <c r="AA1417" s="20">
        <f>IF($Z1417="C",$Y1417,IF($Z1417="A",$Y1417-Settings!$B$4*3,IF($Z1417="F",$Y1417-(Settings!$B$4+Settings!$B$5)*3,"")))</f>
        <v/>
      </c>
      <c r="AB1417" s="20">
        <f>IF($Z1417="","",INT(($AA1417-1)/3)+1)</f>
        <v/>
      </c>
      <c r="AC1417" s="20">
        <f>IF($Z1417="","",MOD($AA1417-1,3)+1)</f>
        <v/>
      </c>
      <c r="AD1417" s="20">
        <f>IF($Z1417="","",Settings!$B$2+$AC1417-1)</f>
        <v/>
      </c>
      <c r="AE1417" s="21">
        <f>IF($Z1417="C",DATE(YEAR(INDEX(Contracts!$J$2:$J$151,$AB1417)),MONTH(INDEX(Contracts!$J$2:$J$151,$AB1417)),1),IF($Z1417="A",DATE(YEAR(INDEX(Fixed_Assets!$G$2:$G$201,$AB1417)),MONTH(INDEX(Fixed_Assets!$G$2:$G$201,$AB1417)),1),IF($Z1417="F",DATE(YEAR(MAX(N(INDEX(Workforce!$I$2:$I$151,MATCH(INDEX(FTE_Allocation!$A$2:$A$201,$AB1417),Workforce!$A$2:$A$151,0))),N(INDEX(FTE_Allocation!$I$2:$I$201,$AB1417)))),MONTH(MAX(N(INDEX(Workforce!$I$2:$I$151,MATCH(INDEX(FTE_Allocation!$A$2:$A$201,$AB1417),Workforce!$A$2:$A$151,0))),N(INDEX(FTE_Allocation!$I$2:$I$201,$AB1417)))),1),"")))</f>
        <v/>
      </c>
      <c r="AF1417" s="21">
        <f>IF($Z1417="C",IF(INDEX(Contracts!$I$2:$I$151,$AB1417)="PREPAID",EDATE(DATE(YEAR(INDEX(Contracts!$J$2:$J$151,$AB1417)),MONTH(INDEX(Contracts!$J$2:$J$151,$AB1417)),1),IF(INDEX(Contracts!$N$2:$N$151,$AB1417)="",12,INDEX(Contracts!$N$2:$N$151,$AB1417))-1),IF(INDEX(Contracts!$I$2:$I$151,$AB1417)="MONTHLY",IF(INDEX(Contracts!$K$2:$K$151,$AB1417)="",2958101,INDEX(Contracts!$K$2:$K$151,$AB1417)),0)),IF($Z1417="A",EDATE(DATE(YEAR(INDEX(Fixed_Assets!$G$2:$G$201,$AB1417)),MONTH(INDEX(Fixed_Assets!$G$2:$G$201,$AB1417)),1),INDEX(Fixed_Assets!$J$2:$J$201,$AB1417)-1),IF($Z1417="F",MIN(IF(INDEX(Workforce!$J$2:$J$151,MATCH(INDEX(FTE_Allocation!$A$2:$A$201,$AB1417),Workforce!$A$2:$A$151,0))="",2958101,INDEX(Workforce!$J$2:$J$151,MATCH(INDEX(FTE_Allocation!$A$2:$A$201,$AB1417),Workforce!$A$2:$A$151,0))),IF(INDEX(FTE_Allocation!$J$2:$J$201,$AB1417)="",2958101,INDEX(FTE_Allocation!$J$2:$J$201,$AB1417))),"")))</f>
        <v/>
      </c>
      <c r="AG1417" s="19">
        <f>IF($Z1417="C",IF(INDEX(Contracts!$I$2:$I$151,$AB1417)="PREPAID",INDEX(Contracts!$M$2:$M$151,$AB1417)/IF(INDEX(Contracts!$N$2:$N$151,$AB1417)="",12,INDEX(Contracts!$N$2:$N$151,$AB1417)),IF(INDEX(Contracts!$I$2:$I$151,$AB1417)="MONTHLY",INDEX(Contracts!$M$2:$M$151,$AB1417),0))*(1-N(INDEX(Contracts!$O$2:$O$151,$AB1417))),IF($Z1417="A",INDEX(Fixed_Assets!$H$2:$H$201,$AB1417)/INDEX(Fixed_Assets!$J$2:$J$201,$AB1417),IF($Z1417="F",INDEX(Workforce!$F$2:$F$151,MATCH(INDEX(FTE_Allocation!$A$2:$A$201,$AB1417),Workforce!$A$2:$A$151,0))*N(INDEX(FTE_Allocation!$F$2:$H$201,$AB1417,$AC1417)),"")))</f>
        <v/>
      </c>
    </row>
    <row r="1418">
      <c r="A1418" s="7">
        <f>IF($Z1418="","",$AD1418)</f>
        <v/>
      </c>
      <c r="B1418" s="7">
        <f>IF($Z1418="C",INDEX(Contracts!$D$2:$D$151,$AB1418)&amp;"",IF($Z1418="A",INDEX(Fixed_Assets!$C$2:$C$201,$AB1418)&amp;"",IF($Z1418="F",INDEX(Workforce!$B$2:$B$151,MATCH(INDEX(FTE_Allocation!$A$2:$A$201,$AB1418),Workforce!$A$2:$A$151,0))&amp;"","")))</f>
        <v/>
      </c>
      <c r="C1418" s="7">
        <f>IF($Z1418="C",INDEX(Contracts!$E$2:$E$151,$AB1418)&amp;"",IF($Z1418="A",INDEX(Fixed_Assets!$D$2:$D$201,$AB1418)&amp;"",IF($Z1418="F",INDEX(FTE_Allocation!$C$2:$C$201,$AB1418)&amp;"","")))</f>
        <v/>
      </c>
      <c r="D1418" s="7">
        <f>IF($Z1418="C",INDEX(Contracts!$B$2:$B$151,$AB1418)&amp;"",IF($Z1418="A",INDEX(Fixed_Assets!$B$2:$B$201,$AB1418)&amp;"",IF($Z1418="F",INDEX(FTE_Allocation!$B$2:$B$201,$AB1418)&amp;"","")))</f>
        <v/>
      </c>
      <c r="E1418" s="7">
        <f>IF($Z1418="C",INDEX(Contracts!$P$2:$P$151,$AB1418)&amp;"",IF($Z1418="A",INDEX(Fixed_Assets!$K$2:$K$201,$AB1418)&amp;"",IF($Z1418="F",IF(INDEX(FTE_Allocation!$D$2:$D$201,$AB1418)="PROJECT",IFERROR(INDEX(Projects!$D:$D,MATCH(INDEX(FTE_Allocation!$E$2:$E$201,$AB1418),Projects!$A:$A,0))&amp;"","#PROJECT?"),INDEX(FTE_Allocation!$E$2:$E$201,$AB1418)&amp;""),"")))</f>
        <v/>
      </c>
      <c r="F1418" s="7">
        <f>IF($Z1418="C",INDEX(Contracts!$Q$2:$Q$151,$AB1418)&amp;"",IF($Z1418="A",INDEX(Fixed_Assets!$L$2:$L$201,$AB1418)&amp;"",IF($Z1418="F",INDEX(Workforce!$K$2:$K$151,MATCH(INDEX(FTE_Allocation!$A$2:$A$201,$AB1418),Workforce!$A$2:$A$151,0))&amp;"","")))</f>
        <v/>
      </c>
      <c r="G1418" s="7">
        <f>IF($Z1418="C",INDEX(Contracts!$F$2:$F$151,$AB1418)&amp;" / "&amp;INDEX(Contracts!$G$2:$G$151,$AB1418),IF($Z1418="A",INDEX(Fixed_Assets!$E$2:$E$201,$AB1418)&amp;"",IF($Z1418="F","Personnel "&amp;INDEX(FTE_Allocation!$A$2:$A$201,$AB1418)&amp;IF(INDEX(FTE_Allocation!$D$2:$D$201,$AB1418)="PROJECT"," ("&amp;INDEX(FTE_Allocation!$E$2:$E$201,$AB1418)&amp;")",""),"")))</f>
        <v/>
      </c>
      <c r="H1418" s="7">
        <f>IF($Z1418="C","CONTRACT",IF($Z1418="A","ASSET",IF($Z1418="F","WORKFORCE","")))</f>
        <v/>
      </c>
      <c r="I1418" s="7">
        <f>IF($Z1418="C",INDEX(Contracts!$L$2:$L$151,$AB1418)&amp;"",IF($Z1418="A",INDEX(Fixed_Assets!$I$2:$I$201,$AB1418)&amp;"",IF($Z1418="F",INDEX(Workforce!$G$2:$G$151,MATCH(INDEX(FTE_Allocation!$A$2:$A$201,$AB1418),Workforce!$A$2:$A$151,0))&amp;"","")))</f>
        <v/>
      </c>
      <c r="J1418" s="18">
        <f>IF($Z1418="","",IF(AND(DATE($AD1418,1,1)&gt;=$AE1418,DATE($AD1418,1,1)&lt;=$AF1418),ROUND($AG1418,2),0))</f>
        <v/>
      </c>
      <c r="K1418" s="18">
        <f>IF($Z1418="","",IF(AND(DATE($AD1418,2,1)&gt;=$AE1418,DATE($AD1418,2,1)&lt;=$AF1418),ROUND($AG1418,2),0))</f>
        <v/>
      </c>
      <c r="L1418" s="18">
        <f>IF($Z1418="","",IF(AND(DATE($AD1418,3,1)&gt;=$AE1418,DATE($AD1418,3,1)&lt;=$AF1418),ROUND($AG1418,2),0))</f>
        <v/>
      </c>
      <c r="M1418" s="18">
        <f>IF($Z1418="","",IF(AND(DATE($AD1418,4,1)&gt;=$AE1418,DATE($AD1418,4,1)&lt;=$AF1418),ROUND($AG1418,2),0))</f>
        <v/>
      </c>
      <c r="N1418" s="18">
        <f>IF($Z1418="","",IF(AND(DATE($AD1418,5,1)&gt;=$AE1418,DATE($AD1418,5,1)&lt;=$AF1418),ROUND($AG1418,2),0))</f>
        <v/>
      </c>
      <c r="O1418" s="18">
        <f>IF($Z1418="","",IF(AND(DATE($AD1418,6,1)&gt;=$AE1418,DATE($AD1418,6,1)&lt;=$AF1418),ROUND($AG1418,2),0))</f>
        <v/>
      </c>
      <c r="P1418" s="18">
        <f>IF($Z1418="","",IF(AND(DATE($AD1418,7,1)&gt;=$AE1418,DATE($AD1418,7,1)&lt;=$AF1418),ROUND($AG1418,2),0))</f>
        <v/>
      </c>
      <c r="Q1418" s="18">
        <f>IF($Z1418="","",IF(AND(DATE($AD1418,8,1)&gt;=$AE1418,DATE($AD1418,8,1)&lt;=$AF1418),ROUND($AG1418,2),0))</f>
        <v/>
      </c>
      <c r="R1418" s="18">
        <f>IF($Z1418="","",IF(AND(DATE($AD1418,9,1)&gt;=$AE1418,DATE($AD1418,9,1)&lt;=$AF1418),ROUND($AG1418,2),0))</f>
        <v/>
      </c>
      <c r="S1418" s="18">
        <f>IF($Z1418="","",IF(AND(DATE($AD1418,10,1)&gt;=$AE1418,DATE($AD1418,10,1)&lt;=$AF1418),ROUND($AG1418,2),0))</f>
        <v/>
      </c>
      <c r="T1418" s="18">
        <f>IF($Z1418="","",IF(AND(DATE($AD1418,11,1)&gt;=$AE1418,DATE($AD1418,11,1)&lt;=$AF1418),ROUND($AG1418,2),0))</f>
        <v/>
      </c>
      <c r="U1418" s="18">
        <f>IF($Z1418="","",IF(AND(DATE($AD1418,12,1)&gt;=$AE1418,DATE($AD1418,12,1)&lt;=$AF1418),ROUND($AG1418,2),0))</f>
        <v/>
      </c>
      <c r="V1418" s="7">
        <f>IF($Z1418="C","Generated from "&amp;INDEX(Contracts!$A$2:$A$151,$AB1418),IF($Z1418="A","Generated from "&amp;INDEX(Fixed_Assets!$A$2:$A$201,$AB1418),IF($Z1418="F","Generated from "&amp;INDEX(FTE_Allocation!$A$2:$A$201,$AB1418),"")))</f>
        <v/>
      </c>
      <c r="X1418" s="19">
        <f>IF($Z1418="","",SUM(J1418:U1418))</f>
        <v/>
      </c>
      <c r="Y1418" s="20">
        <f>ROW()-1</f>
        <v/>
      </c>
      <c r="Z1418" s="20">
        <f>IF($Y1418&lt;=Settings!$B$4*3,"C",IF($Y1418&lt;=(Settings!$B$4+Settings!$B$5)*3,"A",IF($Y1418&lt;=(Settings!$B$4+Settings!$B$5+Settings!$B$6)*3,"F","")))</f>
        <v/>
      </c>
      <c r="AA1418" s="20">
        <f>IF($Z1418="C",$Y1418,IF($Z1418="A",$Y1418-Settings!$B$4*3,IF($Z1418="F",$Y1418-(Settings!$B$4+Settings!$B$5)*3,"")))</f>
        <v/>
      </c>
      <c r="AB1418" s="20">
        <f>IF($Z1418="","",INT(($AA1418-1)/3)+1)</f>
        <v/>
      </c>
      <c r="AC1418" s="20">
        <f>IF($Z1418="","",MOD($AA1418-1,3)+1)</f>
        <v/>
      </c>
      <c r="AD1418" s="20">
        <f>IF($Z1418="","",Settings!$B$2+$AC1418-1)</f>
        <v/>
      </c>
      <c r="AE1418" s="21">
        <f>IF($Z1418="C",DATE(YEAR(INDEX(Contracts!$J$2:$J$151,$AB1418)),MONTH(INDEX(Contracts!$J$2:$J$151,$AB1418)),1),IF($Z1418="A",DATE(YEAR(INDEX(Fixed_Assets!$G$2:$G$201,$AB1418)),MONTH(INDEX(Fixed_Assets!$G$2:$G$201,$AB1418)),1),IF($Z1418="F",DATE(YEAR(MAX(N(INDEX(Workforce!$I$2:$I$151,MATCH(INDEX(FTE_Allocation!$A$2:$A$201,$AB1418),Workforce!$A$2:$A$151,0))),N(INDEX(FTE_Allocation!$I$2:$I$201,$AB1418)))),MONTH(MAX(N(INDEX(Workforce!$I$2:$I$151,MATCH(INDEX(FTE_Allocation!$A$2:$A$201,$AB1418),Workforce!$A$2:$A$151,0))),N(INDEX(FTE_Allocation!$I$2:$I$201,$AB1418)))),1),"")))</f>
        <v/>
      </c>
      <c r="AF1418" s="21">
        <f>IF($Z1418="C",IF(INDEX(Contracts!$I$2:$I$151,$AB1418)="PREPAID",EDATE(DATE(YEAR(INDEX(Contracts!$J$2:$J$151,$AB1418)),MONTH(INDEX(Contracts!$J$2:$J$151,$AB1418)),1),IF(INDEX(Contracts!$N$2:$N$151,$AB1418)="",12,INDEX(Contracts!$N$2:$N$151,$AB1418))-1),IF(INDEX(Contracts!$I$2:$I$151,$AB1418)="MONTHLY",IF(INDEX(Contracts!$K$2:$K$151,$AB1418)="",2958101,INDEX(Contracts!$K$2:$K$151,$AB1418)),0)),IF($Z1418="A",EDATE(DATE(YEAR(INDEX(Fixed_Assets!$G$2:$G$201,$AB1418)),MONTH(INDEX(Fixed_Assets!$G$2:$G$201,$AB1418)),1),INDEX(Fixed_Assets!$J$2:$J$201,$AB1418)-1),IF($Z1418="F",MIN(IF(INDEX(Workforce!$J$2:$J$151,MATCH(INDEX(FTE_Allocation!$A$2:$A$201,$AB1418),Workforce!$A$2:$A$151,0))="",2958101,INDEX(Workforce!$J$2:$J$151,MATCH(INDEX(FTE_Allocation!$A$2:$A$201,$AB1418),Workforce!$A$2:$A$151,0))),IF(INDEX(FTE_Allocation!$J$2:$J$201,$AB1418)="",2958101,INDEX(FTE_Allocation!$J$2:$J$201,$AB1418))),"")))</f>
        <v/>
      </c>
      <c r="AG1418" s="19">
        <f>IF($Z1418="C",IF(INDEX(Contracts!$I$2:$I$151,$AB1418)="PREPAID",INDEX(Contracts!$M$2:$M$151,$AB1418)/IF(INDEX(Contracts!$N$2:$N$151,$AB1418)="",12,INDEX(Contracts!$N$2:$N$151,$AB1418)),IF(INDEX(Contracts!$I$2:$I$151,$AB1418)="MONTHLY",INDEX(Contracts!$M$2:$M$151,$AB1418),0))*(1-N(INDEX(Contracts!$O$2:$O$151,$AB1418))),IF($Z1418="A",INDEX(Fixed_Assets!$H$2:$H$201,$AB1418)/INDEX(Fixed_Assets!$J$2:$J$201,$AB1418),IF($Z1418="F",INDEX(Workforce!$F$2:$F$151,MATCH(INDEX(FTE_Allocation!$A$2:$A$201,$AB1418),Workforce!$A$2:$A$151,0))*N(INDEX(FTE_Allocation!$F$2:$H$201,$AB1418,$AC1418)),"")))</f>
        <v/>
      </c>
    </row>
    <row r="1419">
      <c r="A1419" s="7">
        <f>IF($Z1419="","",$AD1419)</f>
        <v/>
      </c>
      <c r="B1419" s="7">
        <f>IF($Z1419="C",INDEX(Contracts!$D$2:$D$151,$AB1419)&amp;"",IF($Z1419="A",INDEX(Fixed_Assets!$C$2:$C$201,$AB1419)&amp;"",IF($Z1419="F",INDEX(Workforce!$B$2:$B$151,MATCH(INDEX(FTE_Allocation!$A$2:$A$201,$AB1419),Workforce!$A$2:$A$151,0))&amp;"","")))</f>
        <v/>
      </c>
      <c r="C1419" s="7">
        <f>IF($Z1419="C",INDEX(Contracts!$E$2:$E$151,$AB1419)&amp;"",IF($Z1419="A",INDEX(Fixed_Assets!$D$2:$D$201,$AB1419)&amp;"",IF($Z1419="F",INDEX(FTE_Allocation!$C$2:$C$201,$AB1419)&amp;"","")))</f>
        <v/>
      </c>
      <c r="D1419" s="7">
        <f>IF($Z1419="C",INDEX(Contracts!$B$2:$B$151,$AB1419)&amp;"",IF($Z1419="A",INDEX(Fixed_Assets!$B$2:$B$201,$AB1419)&amp;"",IF($Z1419="F",INDEX(FTE_Allocation!$B$2:$B$201,$AB1419)&amp;"","")))</f>
        <v/>
      </c>
      <c r="E1419" s="7">
        <f>IF($Z1419="C",INDEX(Contracts!$P$2:$P$151,$AB1419)&amp;"",IF($Z1419="A",INDEX(Fixed_Assets!$K$2:$K$201,$AB1419)&amp;"",IF($Z1419="F",IF(INDEX(FTE_Allocation!$D$2:$D$201,$AB1419)="PROJECT",IFERROR(INDEX(Projects!$D:$D,MATCH(INDEX(FTE_Allocation!$E$2:$E$201,$AB1419),Projects!$A:$A,0))&amp;"","#PROJECT?"),INDEX(FTE_Allocation!$E$2:$E$201,$AB1419)&amp;""),"")))</f>
        <v/>
      </c>
      <c r="F1419" s="7">
        <f>IF($Z1419="C",INDEX(Contracts!$Q$2:$Q$151,$AB1419)&amp;"",IF($Z1419="A",INDEX(Fixed_Assets!$L$2:$L$201,$AB1419)&amp;"",IF($Z1419="F",INDEX(Workforce!$K$2:$K$151,MATCH(INDEX(FTE_Allocation!$A$2:$A$201,$AB1419),Workforce!$A$2:$A$151,0))&amp;"","")))</f>
        <v/>
      </c>
      <c r="G1419" s="7">
        <f>IF($Z1419="C",INDEX(Contracts!$F$2:$F$151,$AB1419)&amp;" / "&amp;INDEX(Contracts!$G$2:$G$151,$AB1419),IF($Z1419="A",INDEX(Fixed_Assets!$E$2:$E$201,$AB1419)&amp;"",IF($Z1419="F","Personnel "&amp;INDEX(FTE_Allocation!$A$2:$A$201,$AB1419)&amp;IF(INDEX(FTE_Allocation!$D$2:$D$201,$AB1419)="PROJECT"," ("&amp;INDEX(FTE_Allocation!$E$2:$E$201,$AB1419)&amp;")",""),"")))</f>
        <v/>
      </c>
      <c r="H1419" s="7">
        <f>IF($Z1419="C","CONTRACT",IF($Z1419="A","ASSET",IF($Z1419="F","WORKFORCE","")))</f>
        <v/>
      </c>
      <c r="I1419" s="7">
        <f>IF($Z1419="C",INDEX(Contracts!$L$2:$L$151,$AB1419)&amp;"",IF($Z1419="A",INDEX(Fixed_Assets!$I$2:$I$201,$AB1419)&amp;"",IF($Z1419="F",INDEX(Workforce!$G$2:$G$151,MATCH(INDEX(FTE_Allocation!$A$2:$A$201,$AB1419),Workforce!$A$2:$A$151,0))&amp;"","")))</f>
        <v/>
      </c>
      <c r="J1419" s="18">
        <f>IF($Z1419="","",IF(AND(DATE($AD1419,1,1)&gt;=$AE1419,DATE($AD1419,1,1)&lt;=$AF1419),ROUND($AG1419,2),0))</f>
        <v/>
      </c>
      <c r="K1419" s="18">
        <f>IF($Z1419="","",IF(AND(DATE($AD1419,2,1)&gt;=$AE1419,DATE($AD1419,2,1)&lt;=$AF1419),ROUND($AG1419,2),0))</f>
        <v/>
      </c>
      <c r="L1419" s="18">
        <f>IF($Z1419="","",IF(AND(DATE($AD1419,3,1)&gt;=$AE1419,DATE($AD1419,3,1)&lt;=$AF1419),ROUND($AG1419,2),0))</f>
        <v/>
      </c>
      <c r="M1419" s="18">
        <f>IF($Z1419="","",IF(AND(DATE($AD1419,4,1)&gt;=$AE1419,DATE($AD1419,4,1)&lt;=$AF1419),ROUND($AG1419,2),0))</f>
        <v/>
      </c>
      <c r="N1419" s="18">
        <f>IF($Z1419="","",IF(AND(DATE($AD1419,5,1)&gt;=$AE1419,DATE($AD1419,5,1)&lt;=$AF1419),ROUND($AG1419,2),0))</f>
        <v/>
      </c>
      <c r="O1419" s="18">
        <f>IF($Z1419="","",IF(AND(DATE($AD1419,6,1)&gt;=$AE1419,DATE($AD1419,6,1)&lt;=$AF1419),ROUND($AG1419,2),0))</f>
        <v/>
      </c>
      <c r="P1419" s="18">
        <f>IF($Z1419="","",IF(AND(DATE($AD1419,7,1)&gt;=$AE1419,DATE($AD1419,7,1)&lt;=$AF1419),ROUND($AG1419,2),0))</f>
        <v/>
      </c>
      <c r="Q1419" s="18">
        <f>IF($Z1419="","",IF(AND(DATE($AD1419,8,1)&gt;=$AE1419,DATE($AD1419,8,1)&lt;=$AF1419),ROUND($AG1419,2),0))</f>
        <v/>
      </c>
      <c r="R1419" s="18">
        <f>IF($Z1419="","",IF(AND(DATE($AD1419,9,1)&gt;=$AE1419,DATE($AD1419,9,1)&lt;=$AF1419),ROUND($AG1419,2),0))</f>
        <v/>
      </c>
      <c r="S1419" s="18">
        <f>IF($Z1419="","",IF(AND(DATE($AD1419,10,1)&gt;=$AE1419,DATE($AD1419,10,1)&lt;=$AF1419),ROUND($AG1419,2),0))</f>
        <v/>
      </c>
      <c r="T1419" s="18">
        <f>IF($Z1419="","",IF(AND(DATE($AD1419,11,1)&gt;=$AE1419,DATE($AD1419,11,1)&lt;=$AF1419),ROUND($AG1419,2),0))</f>
        <v/>
      </c>
      <c r="U1419" s="18">
        <f>IF($Z1419="","",IF(AND(DATE($AD1419,12,1)&gt;=$AE1419,DATE($AD1419,12,1)&lt;=$AF1419),ROUND($AG1419,2),0))</f>
        <v/>
      </c>
      <c r="V1419" s="7">
        <f>IF($Z1419="C","Generated from "&amp;INDEX(Contracts!$A$2:$A$151,$AB1419),IF($Z1419="A","Generated from "&amp;INDEX(Fixed_Assets!$A$2:$A$201,$AB1419),IF($Z1419="F","Generated from "&amp;INDEX(FTE_Allocation!$A$2:$A$201,$AB1419),"")))</f>
        <v/>
      </c>
      <c r="X1419" s="19">
        <f>IF($Z1419="","",SUM(J1419:U1419))</f>
        <v/>
      </c>
      <c r="Y1419" s="20">
        <f>ROW()-1</f>
        <v/>
      </c>
      <c r="Z1419" s="20">
        <f>IF($Y1419&lt;=Settings!$B$4*3,"C",IF($Y1419&lt;=(Settings!$B$4+Settings!$B$5)*3,"A",IF($Y1419&lt;=(Settings!$B$4+Settings!$B$5+Settings!$B$6)*3,"F","")))</f>
        <v/>
      </c>
      <c r="AA1419" s="20">
        <f>IF($Z1419="C",$Y1419,IF($Z1419="A",$Y1419-Settings!$B$4*3,IF($Z1419="F",$Y1419-(Settings!$B$4+Settings!$B$5)*3,"")))</f>
        <v/>
      </c>
      <c r="AB1419" s="20">
        <f>IF($Z1419="","",INT(($AA1419-1)/3)+1)</f>
        <v/>
      </c>
      <c r="AC1419" s="20">
        <f>IF($Z1419="","",MOD($AA1419-1,3)+1)</f>
        <v/>
      </c>
      <c r="AD1419" s="20">
        <f>IF($Z1419="","",Settings!$B$2+$AC1419-1)</f>
        <v/>
      </c>
      <c r="AE1419" s="21">
        <f>IF($Z1419="C",DATE(YEAR(INDEX(Contracts!$J$2:$J$151,$AB1419)),MONTH(INDEX(Contracts!$J$2:$J$151,$AB1419)),1),IF($Z1419="A",DATE(YEAR(INDEX(Fixed_Assets!$G$2:$G$201,$AB1419)),MONTH(INDEX(Fixed_Assets!$G$2:$G$201,$AB1419)),1),IF($Z1419="F",DATE(YEAR(MAX(N(INDEX(Workforce!$I$2:$I$151,MATCH(INDEX(FTE_Allocation!$A$2:$A$201,$AB1419),Workforce!$A$2:$A$151,0))),N(INDEX(FTE_Allocation!$I$2:$I$201,$AB1419)))),MONTH(MAX(N(INDEX(Workforce!$I$2:$I$151,MATCH(INDEX(FTE_Allocation!$A$2:$A$201,$AB1419),Workforce!$A$2:$A$151,0))),N(INDEX(FTE_Allocation!$I$2:$I$201,$AB1419)))),1),"")))</f>
        <v/>
      </c>
      <c r="AF1419" s="21">
        <f>IF($Z1419="C",IF(INDEX(Contracts!$I$2:$I$151,$AB1419)="PREPAID",EDATE(DATE(YEAR(INDEX(Contracts!$J$2:$J$151,$AB1419)),MONTH(INDEX(Contracts!$J$2:$J$151,$AB1419)),1),IF(INDEX(Contracts!$N$2:$N$151,$AB1419)="",12,INDEX(Contracts!$N$2:$N$151,$AB1419))-1),IF(INDEX(Contracts!$I$2:$I$151,$AB1419)="MONTHLY",IF(INDEX(Contracts!$K$2:$K$151,$AB1419)="",2958101,INDEX(Contracts!$K$2:$K$151,$AB1419)),0)),IF($Z1419="A",EDATE(DATE(YEAR(INDEX(Fixed_Assets!$G$2:$G$201,$AB1419)),MONTH(INDEX(Fixed_Assets!$G$2:$G$201,$AB1419)),1),INDEX(Fixed_Assets!$J$2:$J$201,$AB1419)-1),IF($Z1419="F",MIN(IF(INDEX(Workforce!$J$2:$J$151,MATCH(INDEX(FTE_Allocation!$A$2:$A$201,$AB1419),Workforce!$A$2:$A$151,0))="",2958101,INDEX(Workforce!$J$2:$J$151,MATCH(INDEX(FTE_Allocation!$A$2:$A$201,$AB1419),Workforce!$A$2:$A$151,0))),IF(INDEX(FTE_Allocation!$J$2:$J$201,$AB1419)="",2958101,INDEX(FTE_Allocation!$J$2:$J$201,$AB1419))),"")))</f>
        <v/>
      </c>
      <c r="AG1419" s="19">
        <f>IF($Z1419="C",IF(INDEX(Contracts!$I$2:$I$151,$AB1419)="PREPAID",INDEX(Contracts!$M$2:$M$151,$AB1419)/IF(INDEX(Contracts!$N$2:$N$151,$AB1419)="",12,INDEX(Contracts!$N$2:$N$151,$AB1419)),IF(INDEX(Contracts!$I$2:$I$151,$AB1419)="MONTHLY",INDEX(Contracts!$M$2:$M$151,$AB1419),0))*(1-N(INDEX(Contracts!$O$2:$O$151,$AB1419))),IF($Z1419="A",INDEX(Fixed_Assets!$H$2:$H$201,$AB1419)/INDEX(Fixed_Assets!$J$2:$J$201,$AB1419),IF($Z1419="F",INDEX(Workforce!$F$2:$F$151,MATCH(INDEX(FTE_Allocation!$A$2:$A$201,$AB1419),Workforce!$A$2:$A$151,0))*N(INDEX(FTE_Allocation!$F$2:$H$201,$AB1419,$AC1419)),"")))</f>
        <v/>
      </c>
    </row>
    <row r="1420">
      <c r="A1420" s="7">
        <f>IF($Z1420="","",$AD1420)</f>
        <v/>
      </c>
      <c r="B1420" s="7">
        <f>IF($Z1420="C",INDEX(Contracts!$D$2:$D$151,$AB1420)&amp;"",IF($Z1420="A",INDEX(Fixed_Assets!$C$2:$C$201,$AB1420)&amp;"",IF($Z1420="F",INDEX(Workforce!$B$2:$B$151,MATCH(INDEX(FTE_Allocation!$A$2:$A$201,$AB1420),Workforce!$A$2:$A$151,0))&amp;"","")))</f>
        <v/>
      </c>
      <c r="C1420" s="7">
        <f>IF($Z1420="C",INDEX(Contracts!$E$2:$E$151,$AB1420)&amp;"",IF($Z1420="A",INDEX(Fixed_Assets!$D$2:$D$201,$AB1420)&amp;"",IF($Z1420="F",INDEX(FTE_Allocation!$C$2:$C$201,$AB1420)&amp;"","")))</f>
        <v/>
      </c>
      <c r="D1420" s="7">
        <f>IF($Z1420="C",INDEX(Contracts!$B$2:$B$151,$AB1420)&amp;"",IF($Z1420="A",INDEX(Fixed_Assets!$B$2:$B$201,$AB1420)&amp;"",IF($Z1420="F",INDEX(FTE_Allocation!$B$2:$B$201,$AB1420)&amp;"","")))</f>
        <v/>
      </c>
      <c r="E1420" s="7">
        <f>IF($Z1420="C",INDEX(Contracts!$P$2:$P$151,$AB1420)&amp;"",IF($Z1420="A",INDEX(Fixed_Assets!$K$2:$K$201,$AB1420)&amp;"",IF($Z1420="F",IF(INDEX(FTE_Allocation!$D$2:$D$201,$AB1420)="PROJECT",IFERROR(INDEX(Projects!$D:$D,MATCH(INDEX(FTE_Allocation!$E$2:$E$201,$AB1420),Projects!$A:$A,0))&amp;"","#PROJECT?"),INDEX(FTE_Allocation!$E$2:$E$201,$AB1420)&amp;""),"")))</f>
        <v/>
      </c>
      <c r="F1420" s="7">
        <f>IF($Z1420="C",INDEX(Contracts!$Q$2:$Q$151,$AB1420)&amp;"",IF($Z1420="A",INDEX(Fixed_Assets!$L$2:$L$201,$AB1420)&amp;"",IF($Z1420="F",INDEX(Workforce!$K$2:$K$151,MATCH(INDEX(FTE_Allocation!$A$2:$A$201,$AB1420),Workforce!$A$2:$A$151,0))&amp;"","")))</f>
        <v/>
      </c>
      <c r="G1420" s="7">
        <f>IF($Z1420="C",INDEX(Contracts!$F$2:$F$151,$AB1420)&amp;" / "&amp;INDEX(Contracts!$G$2:$G$151,$AB1420),IF($Z1420="A",INDEX(Fixed_Assets!$E$2:$E$201,$AB1420)&amp;"",IF($Z1420="F","Personnel "&amp;INDEX(FTE_Allocation!$A$2:$A$201,$AB1420)&amp;IF(INDEX(FTE_Allocation!$D$2:$D$201,$AB1420)="PROJECT"," ("&amp;INDEX(FTE_Allocation!$E$2:$E$201,$AB1420)&amp;")",""),"")))</f>
        <v/>
      </c>
      <c r="H1420" s="7">
        <f>IF($Z1420="C","CONTRACT",IF($Z1420="A","ASSET",IF($Z1420="F","WORKFORCE","")))</f>
        <v/>
      </c>
      <c r="I1420" s="7">
        <f>IF($Z1420="C",INDEX(Contracts!$L$2:$L$151,$AB1420)&amp;"",IF($Z1420="A",INDEX(Fixed_Assets!$I$2:$I$201,$AB1420)&amp;"",IF($Z1420="F",INDEX(Workforce!$G$2:$G$151,MATCH(INDEX(FTE_Allocation!$A$2:$A$201,$AB1420),Workforce!$A$2:$A$151,0))&amp;"","")))</f>
        <v/>
      </c>
      <c r="J1420" s="18">
        <f>IF($Z1420="","",IF(AND(DATE($AD1420,1,1)&gt;=$AE1420,DATE($AD1420,1,1)&lt;=$AF1420),ROUND($AG1420,2),0))</f>
        <v/>
      </c>
      <c r="K1420" s="18">
        <f>IF($Z1420="","",IF(AND(DATE($AD1420,2,1)&gt;=$AE1420,DATE($AD1420,2,1)&lt;=$AF1420),ROUND($AG1420,2),0))</f>
        <v/>
      </c>
      <c r="L1420" s="18">
        <f>IF($Z1420="","",IF(AND(DATE($AD1420,3,1)&gt;=$AE1420,DATE($AD1420,3,1)&lt;=$AF1420),ROUND($AG1420,2),0))</f>
        <v/>
      </c>
      <c r="M1420" s="18">
        <f>IF($Z1420="","",IF(AND(DATE($AD1420,4,1)&gt;=$AE1420,DATE($AD1420,4,1)&lt;=$AF1420),ROUND($AG1420,2),0))</f>
        <v/>
      </c>
      <c r="N1420" s="18">
        <f>IF($Z1420="","",IF(AND(DATE($AD1420,5,1)&gt;=$AE1420,DATE($AD1420,5,1)&lt;=$AF1420),ROUND($AG1420,2),0))</f>
        <v/>
      </c>
      <c r="O1420" s="18">
        <f>IF($Z1420="","",IF(AND(DATE($AD1420,6,1)&gt;=$AE1420,DATE($AD1420,6,1)&lt;=$AF1420),ROUND($AG1420,2),0))</f>
        <v/>
      </c>
      <c r="P1420" s="18">
        <f>IF($Z1420="","",IF(AND(DATE($AD1420,7,1)&gt;=$AE1420,DATE($AD1420,7,1)&lt;=$AF1420),ROUND($AG1420,2),0))</f>
        <v/>
      </c>
      <c r="Q1420" s="18">
        <f>IF($Z1420="","",IF(AND(DATE($AD1420,8,1)&gt;=$AE1420,DATE($AD1420,8,1)&lt;=$AF1420),ROUND($AG1420,2),0))</f>
        <v/>
      </c>
      <c r="R1420" s="18">
        <f>IF($Z1420="","",IF(AND(DATE($AD1420,9,1)&gt;=$AE1420,DATE($AD1420,9,1)&lt;=$AF1420),ROUND($AG1420,2),0))</f>
        <v/>
      </c>
      <c r="S1420" s="18">
        <f>IF($Z1420="","",IF(AND(DATE($AD1420,10,1)&gt;=$AE1420,DATE($AD1420,10,1)&lt;=$AF1420),ROUND($AG1420,2),0))</f>
        <v/>
      </c>
      <c r="T1420" s="18">
        <f>IF($Z1420="","",IF(AND(DATE($AD1420,11,1)&gt;=$AE1420,DATE($AD1420,11,1)&lt;=$AF1420),ROUND($AG1420,2),0))</f>
        <v/>
      </c>
      <c r="U1420" s="18">
        <f>IF($Z1420="","",IF(AND(DATE($AD1420,12,1)&gt;=$AE1420,DATE($AD1420,12,1)&lt;=$AF1420),ROUND($AG1420,2),0))</f>
        <v/>
      </c>
      <c r="V1420" s="7">
        <f>IF($Z1420="C","Generated from "&amp;INDEX(Contracts!$A$2:$A$151,$AB1420),IF($Z1420="A","Generated from "&amp;INDEX(Fixed_Assets!$A$2:$A$201,$AB1420),IF($Z1420="F","Generated from "&amp;INDEX(FTE_Allocation!$A$2:$A$201,$AB1420),"")))</f>
        <v/>
      </c>
      <c r="X1420" s="19">
        <f>IF($Z1420="","",SUM(J1420:U1420))</f>
        <v/>
      </c>
      <c r="Y1420" s="20">
        <f>ROW()-1</f>
        <v/>
      </c>
      <c r="Z1420" s="20">
        <f>IF($Y1420&lt;=Settings!$B$4*3,"C",IF($Y1420&lt;=(Settings!$B$4+Settings!$B$5)*3,"A",IF($Y1420&lt;=(Settings!$B$4+Settings!$B$5+Settings!$B$6)*3,"F","")))</f>
        <v/>
      </c>
      <c r="AA1420" s="20">
        <f>IF($Z1420="C",$Y1420,IF($Z1420="A",$Y1420-Settings!$B$4*3,IF($Z1420="F",$Y1420-(Settings!$B$4+Settings!$B$5)*3,"")))</f>
        <v/>
      </c>
      <c r="AB1420" s="20">
        <f>IF($Z1420="","",INT(($AA1420-1)/3)+1)</f>
        <v/>
      </c>
      <c r="AC1420" s="20">
        <f>IF($Z1420="","",MOD($AA1420-1,3)+1)</f>
        <v/>
      </c>
      <c r="AD1420" s="20">
        <f>IF($Z1420="","",Settings!$B$2+$AC1420-1)</f>
        <v/>
      </c>
      <c r="AE1420" s="21">
        <f>IF($Z1420="C",DATE(YEAR(INDEX(Contracts!$J$2:$J$151,$AB1420)),MONTH(INDEX(Contracts!$J$2:$J$151,$AB1420)),1),IF($Z1420="A",DATE(YEAR(INDEX(Fixed_Assets!$G$2:$G$201,$AB1420)),MONTH(INDEX(Fixed_Assets!$G$2:$G$201,$AB1420)),1),IF($Z1420="F",DATE(YEAR(MAX(N(INDEX(Workforce!$I$2:$I$151,MATCH(INDEX(FTE_Allocation!$A$2:$A$201,$AB1420),Workforce!$A$2:$A$151,0))),N(INDEX(FTE_Allocation!$I$2:$I$201,$AB1420)))),MONTH(MAX(N(INDEX(Workforce!$I$2:$I$151,MATCH(INDEX(FTE_Allocation!$A$2:$A$201,$AB1420),Workforce!$A$2:$A$151,0))),N(INDEX(FTE_Allocation!$I$2:$I$201,$AB1420)))),1),"")))</f>
        <v/>
      </c>
      <c r="AF1420" s="21">
        <f>IF($Z1420="C",IF(INDEX(Contracts!$I$2:$I$151,$AB1420)="PREPAID",EDATE(DATE(YEAR(INDEX(Contracts!$J$2:$J$151,$AB1420)),MONTH(INDEX(Contracts!$J$2:$J$151,$AB1420)),1),IF(INDEX(Contracts!$N$2:$N$151,$AB1420)="",12,INDEX(Contracts!$N$2:$N$151,$AB1420))-1),IF(INDEX(Contracts!$I$2:$I$151,$AB1420)="MONTHLY",IF(INDEX(Contracts!$K$2:$K$151,$AB1420)="",2958101,INDEX(Contracts!$K$2:$K$151,$AB1420)),0)),IF($Z1420="A",EDATE(DATE(YEAR(INDEX(Fixed_Assets!$G$2:$G$201,$AB1420)),MONTH(INDEX(Fixed_Assets!$G$2:$G$201,$AB1420)),1),INDEX(Fixed_Assets!$J$2:$J$201,$AB1420)-1),IF($Z1420="F",MIN(IF(INDEX(Workforce!$J$2:$J$151,MATCH(INDEX(FTE_Allocation!$A$2:$A$201,$AB1420),Workforce!$A$2:$A$151,0))="",2958101,INDEX(Workforce!$J$2:$J$151,MATCH(INDEX(FTE_Allocation!$A$2:$A$201,$AB1420),Workforce!$A$2:$A$151,0))),IF(INDEX(FTE_Allocation!$J$2:$J$201,$AB1420)="",2958101,INDEX(FTE_Allocation!$J$2:$J$201,$AB1420))),"")))</f>
        <v/>
      </c>
      <c r="AG1420" s="19">
        <f>IF($Z1420="C",IF(INDEX(Contracts!$I$2:$I$151,$AB1420)="PREPAID",INDEX(Contracts!$M$2:$M$151,$AB1420)/IF(INDEX(Contracts!$N$2:$N$151,$AB1420)="",12,INDEX(Contracts!$N$2:$N$151,$AB1420)),IF(INDEX(Contracts!$I$2:$I$151,$AB1420)="MONTHLY",INDEX(Contracts!$M$2:$M$151,$AB1420),0))*(1-N(INDEX(Contracts!$O$2:$O$151,$AB1420))),IF($Z1420="A",INDEX(Fixed_Assets!$H$2:$H$201,$AB1420)/INDEX(Fixed_Assets!$J$2:$J$201,$AB1420),IF($Z1420="F",INDEX(Workforce!$F$2:$F$151,MATCH(INDEX(FTE_Allocation!$A$2:$A$201,$AB1420),Workforce!$A$2:$A$151,0))*N(INDEX(FTE_Allocation!$F$2:$H$201,$AB1420,$AC1420)),"")))</f>
        <v/>
      </c>
    </row>
    <row r="1421">
      <c r="A1421" s="7">
        <f>IF($Z1421="","",$AD1421)</f>
        <v/>
      </c>
      <c r="B1421" s="7">
        <f>IF($Z1421="C",INDEX(Contracts!$D$2:$D$151,$AB1421)&amp;"",IF($Z1421="A",INDEX(Fixed_Assets!$C$2:$C$201,$AB1421)&amp;"",IF($Z1421="F",INDEX(Workforce!$B$2:$B$151,MATCH(INDEX(FTE_Allocation!$A$2:$A$201,$AB1421),Workforce!$A$2:$A$151,0))&amp;"","")))</f>
        <v/>
      </c>
      <c r="C1421" s="7">
        <f>IF($Z1421="C",INDEX(Contracts!$E$2:$E$151,$AB1421)&amp;"",IF($Z1421="A",INDEX(Fixed_Assets!$D$2:$D$201,$AB1421)&amp;"",IF($Z1421="F",INDEX(FTE_Allocation!$C$2:$C$201,$AB1421)&amp;"","")))</f>
        <v/>
      </c>
      <c r="D1421" s="7">
        <f>IF($Z1421="C",INDEX(Contracts!$B$2:$B$151,$AB1421)&amp;"",IF($Z1421="A",INDEX(Fixed_Assets!$B$2:$B$201,$AB1421)&amp;"",IF($Z1421="F",INDEX(FTE_Allocation!$B$2:$B$201,$AB1421)&amp;"","")))</f>
        <v/>
      </c>
      <c r="E1421" s="7">
        <f>IF($Z1421="C",INDEX(Contracts!$P$2:$P$151,$AB1421)&amp;"",IF($Z1421="A",INDEX(Fixed_Assets!$K$2:$K$201,$AB1421)&amp;"",IF($Z1421="F",IF(INDEX(FTE_Allocation!$D$2:$D$201,$AB1421)="PROJECT",IFERROR(INDEX(Projects!$D:$D,MATCH(INDEX(FTE_Allocation!$E$2:$E$201,$AB1421),Projects!$A:$A,0))&amp;"","#PROJECT?"),INDEX(FTE_Allocation!$E$2:$E$201,$AB1421)&amp;""),"")))</f>
        <v/>
      </c>
      <c r="F1421" s="7">
        <f>IF($Z1421="C",INDEX(Contracts!$Q$2:$Q$151,$AB1421)&amp;"",IF($Z1421="A",INDEX(Fixed_Assets!$L$2:$L$201,$AB1421)&amp;"",IF($Z1421="F",INDEX(Workforce!$K$2:$K$151,MATCH(INDEX(FTE_Allocation!$A$2:$A$201,$AB1421),Workforce!$A$2:$A$151,0))&amp;"","")))</f>
        <v/>
      </c>
      <c r="G1421" s="7">
        <f>IF($Z1421="C",INDEX(Contracts!$F$2:$F$151,$AB1421)&amp;" / "&amp;INDEX(Contracts!$G$2:$G$151,$AB1421),IF($Z1421="A",INDEX(Fixed_Assets!$E$2:$E$201,$AB1421)&amp;"",IF($Z1421="F","Personnel "&amp;INDEX(FTE_Allocation!$A$2:$A$201,$AB1421)&amp;IF(INDEX(FTE_Allocation!$D$2:$D$201,$AB1421)="PROJECT"," ("&amp;INDEX(FTE_Allocation!$E$2:$E$201,$AB1421)&amp;")",""),"")))</f>
        <v/>
      </c>
      <c r="H1421" s="7">
        <f>IF($Z1421="C","CONTRACT",IF($Z1421="A","ASSET",IF($Z1421="F","WORKFORCE","")))</f>
        <v/>
      </c>
      <c r="I1421" s="7">
        <f>IF($Z1421="C",INDEX(Contracts!$L$2:$L$151,$AB1421)&amp;"",IF($Z1421="A",INDEX(Fixed_Assets!$I$2:$I$201,$AB1421)&amp;"",IF($Z1421="F",INDEX(Workforce!$G$2:$G$151,MATCH(INDEX(FTE_Allocation!$A$2:$A$201,$AB1421),Workforce!$A$2:$A$151,0))&amp;"","")))</f>
        <v/>
      </c>
      <c r="J1421" s="18">
        <f>IF($Z1421="","",IF(AND(DATE($AD1421,1,1)&gt;=$AE1421,DATE($AD1421,1,1)&lt;=$AF1421),ROUND($AG1421,2),0))</f>
        <v/>
      </c>
      <c r="K1421" s="18">
        <f>IF($Z1421="","",IF(AND(DATE($AD1421,2,1)&gt;=$AE1421,DATE($AD1421,2,1)&lt;=$AF1421),ROUND($AG1421,2),0))</f>
        <v/>
      </c>
      <c r="L1421" s="18">
        <f>IF($Z1421="","",IF(AND(DATE($AD1421,3,1)&gt;=$AE1421,DATE($AD1421,3,1)&lt;=$AF1421),ROUND($AG1421,2),0))</f>
        <v/>
      </c>
      <c r="M1421" s="18">
        <f>IF($Z1421="","",IF(AND(DATE($AD1421,4,1)&gt;=$AE1421,DATE($AD1421,4,1)&lt;=$AF1421),ROUND($AG1421,2),0))</f>
        <v/>
      </c>
      <c r="N1421" s="18">
        <f>IF($Z1421="","",IF(AND(DATE($AD1421,5,1)&gt;=$AE1421,DATE($AD1421,5,1)&lt;=$AF1421),ROUND($AG1421,2),0))</f>
        <v/>
      </c>
      <c r="O1421" s="18">
        <f>IF($Z1421="","",IF(AND(DATE($AD1421,6,1)&gt;=$AE1421,DATE($AD1421,6,1)&lt;=$AF1421),ROUND($AG1421,2),0))</f>
        <v/>
      </c>
      <c r="P1421" s="18">
        <f>IF($Z1421="","",IF(AND(DATE($AD1421,7,1)&gt;=$AE1421,DATE($AD1421,7,1)&lt;=$AF1421),ROUND($AG1421,2),0))</f>
        <v/>
      </c>
      <c r="Q1421" s="18">
        <f>IF($Z1421="","",IF(AND(DATE($AD1421,8,1)&gt;=$AE1421,DATE($AD1421,8,1)&lt;=$AF1421),ROUND($AG1421,2),0))</f>
        <v/>
      </c>
      <c r="R1421" s="18">
        <f>IF($Z1421="","",IF(AND(DATE($AD1421,9,1)&gt;=$AE1421,DATE($AD1421,9,1)&lt;=$AF1421),ROUND($AG1421,2),0))</f>
        <v/>
      </c>
      <c r="S1421" s="18">
        <f>IF($Z1421="","",IF(AND(DATE($AD1421,10,1)&gt;=$AE1421,DATE($AD1421,10,1)&lt;=$AF1421),ROUND($AG1421,2),0))</f>
        <v/>
      </c>
      <c r="T1421" s="18">
        <f>IF($Z1421="","",IF(AND(DATE($AD1421,11,1)&gt;=$AE1421,DATE($AD1421,11,1)&lt;=$AF1421),ROUND($AG1421,2),0))</f>
        <v/>
      </c>
      <c r="U1421" s="18">
        <f>IF($Z1421="","",IF(AND(DATE($AD1421,12,1)&gt;=$AE1421,DATE($AD1421,12,1)&lt;=$AF1421),ROUND($AG1421,2),0))</f>
        <v/>
      </c>
      <c r="V1421" s="7">
        <f>IF($Z1421="C","Generated from "&amp;INDEX(Contracts!$A$2:$A$151,$AB1421),IF($Z1421="A","Generated from "&amp;INDEX(Fixed_Assets!$A$2:$A$201,$AB1421),IF($Z1421="F","Generated from "&amp;INDEX(FTE_Allocation!$A$2:$A$201,$AB1421),"")))</f>
        <v/>
      </c>
      <c r="X1421" s="19">
        <f>IF($Z1421="","",SUM(J1421:U1421))</f>
        <v/>
      </c>
      <c r="Y1421" s="20">
        <f>ROW()-1</f>
        <v/>
      </c>
      <c r="Z1421" s="20">
        <f>IF($Y1421&lt;=Settings!$B$4*3,"C",IF($Y1421&lt;=(Settings!$B$4+Settings!$B$5)*3,"A",IF($Y1421&lt;=(Settings!$B$4+Settings!$B$5+Settings!$B$6)*3,"F","")))</f>
        <v/>
      </c>
      <c r="AA1421" s="20">
        <f>IF($Z1421="C",$Y1421,IF($Z1421="A",$Y1421-Settings!$B$4*3,IF($Z1421="F",$Y1421-(Settings!$B$4+Settings!$B$5)*3,"")))</f>
        <v/>
      </c>
      <c r="AB1421" s="20">
        <f>IF($Z1421="","",INT(($AA1421-1)/3)+1)</f>
        <v/>
      </c>
      <c r="AC1421" s="20">
        <f>IF($Z1421="","",MOD($AA1421-1,3)+1)</f>
        <v/>
      </c>
      <c r="AD1421" s="20">
        <f>IF($Z1421="","",Settings!$B$2+$AC1421-1)</f>
        <v/>
      </c>
      <c r="AE1421" s="21">
        <f>IF($Z1421="C",DATE(YEAR(INDEX(Contracts!$J$2:$J$151,$AB1421)),MONTH(INDEX(Contracts!$J$2:$J$151,$AB1421)),1),IF($Z1421="A",DATE(YEAR(INDEX(Fixed_Assets!$G$2:$G$201,$AB1421)),MONTH(INDEX(Fixed_Assets!$G$2:$G$201,$AB1421)),1),IF($Z1421="F",DATE(YEAR(MAX(N(INDEX(Workforce!$I$2:$I$151,MATCH(INDEX(FTE_Allocation!$A$2:$A$201,$AB1421),Workforce!$A$2:$A$151,0))),N(INDEX(FTE_Allocation!$I$2:$I$201,$AB1421)))),MONTH(MAX(N(INDEX(Workforce!$I$2:$I$151,MATCH(INDEX(FTE_Allocation!$A$2:$A$201,$AB1421),Workforce!$A$2:$A$151,0))),N(INDEX(FTE_Allocation!$I$2:$I$201,$AB1421)))),1),"")))</f>
        <v/>
      </c>
      <c r="AF1421" s="21">
        <f>IF($Z1421="C",IF(INDEX(Contracts!$I$2:$I$151,$AB1421)="PREPAID",EDATE(DATE(YEAR(INDEX(Contracts!$J$2:$J$151,$AB1421)),MONTH(INDEX(Contracts!$J$2:$J$151,$AB1421)),1),IF(INDEX(Contracts!$N$2:$N$151,$AB1421)="",12,INDEX(Contracts!$N$2:$N$151,$AB1421))-1),IF(INDEX(Contracts!$I$2:$I$151,$AB1421)="MONTHLY",IF(INDEX(Contracts!$K$2:$K$151,$AB1421)="",2958101,INDEX(Contracts!$K$2:$K$151,$AB1421)),0)),IF($Z1421="A",EDATE(DATE(YEAR(INDEX(Fixed_Assets!$G$2:$G$201,$AB1421)),MONTH(INDEX(Fixed_Assets!$G$2:$G$201,$AB1421)),1),INDEX(Fixed_Assets!$J$2:$J$201,$AB1421)-1),IF($Z1421="F",MIN(IF(INDEX(Workforce!$J$2:$J$151,MATCH(INDEX(FTE_Allocation!$A$2:$A$201,$AB1421),Workforce!$A$2:$A$151,0))="",2958101,INDEX(Workforce!$J$2:$J$151,MATCH(INDEX(FTE_Allocation!$A$2:$A$201,$AB1421),Workforce!$A$2:$A$151,0))),IF(INDEX(FTE_Allocation!$J$2:$J$201,$AB1421)="",2958101,INDEX(FTE_Allocation!$J$2:$J$201,$AB1421))),"")))</f>
        <v/>
      </c>
      <c r="AG1421" s="19">
        <f>IF($Z1421="C",IF(INDEX(Contracts!$I$2:$I$151,$AB1421)="PREPAID",INDEX(Contracts!$M$2:$M$151,$AB1421)/IF(INDEX(Contracts!$N$2:$N$151,$AB1421)="",12,INDEX(Contracts!$N$2:$N$151,$AB1421)),IF(INDEX(Contracts!$I$2:$I$151,$AB1421)="MONTHLY",INDEX(Contracts!$M$2:$M$151,$AB1421),0))*(1-N(INDEX(Contracts!$O$2:$O$151,$AB1421))),IF($Z1421="A",INDEX(Fixed_Assets!$H$2:$H$201,$AB1421)/INDEX(Fixed_Assets!$J$2:$J$201,$AB1421),IF($Z1421="F",INDEX(Workforce!$F$2:$F$151,MATCH(INDEX(FTE_Allocation!$A$2:$A$201,$AB1421),Workforce!$A$2:$A$151,0))*N(INDEX(FTE_Allocation!$F$2:$H$201,$AB1421,$AC1421)),"")))</f>
        <v/>
      </c>
    </row>
    <row r="1422">
      <c r="A1422" s="7">
        <f>IF($Z1422="","",$AD1422)</f>
        <v/>
      </c>
      <c r="B1422" s="7">
        <f>IF($Z1422="C",INDEX(Contracts!$D$2:$D$151,$AB1422)&amp;"",IF($Z1422="A",INDEX(Fixed_Assets!$C$2:$C$201,$AB1422)&amp;"",IF($Z1422="F",INDEX(Workforce!$B$2:$B$151,MATCH(INDEX(FTE_Allocation!$A$2:$A$201,$AB1422),Workforce!$A$2:$A$151,0))&amp;"","")))</f>
        <v/>
      </c>
      <c r="C1422" s="7">
        <f>IF($Z1422="C",INDEX(Contracts!$E$2:$E$151,$AB1422)&amp;"",IF($Z1422="A",INDEX(Fixed_Assets!$D$2:$D$201,$AB1422)&amp;"",IF($Z1422="F",INDEX(FTE_Allocation!$C$2:$C$201,$AB1422)&amp;"","")))</f>
        <v/>
      </c>
      <c r="D1422" s="7">
        <f>IF($Z1422="C",INDEX(Contracts!$B$2:$B$151,$AB1422)&amp;"",IF($Z1422="A",INDEX(Fixed_Assets!$B$2:$B$201,$AB1422)&amp;"",IF($Z1422="F",INDEX(FTE_Allocation!$B$2:$B$201,$AB1422)&amp;"","")))</f>
        <v/>
      </c>
      <c r="E1422" s="7">
        <f>IF($Z1422="C",INDEX(Contracts!$P$2:$P$151,$AB1422)&amp;"",IF($Z1422="A",INDEX(Fixed_Assets!$K$2:$K$201,$AB1422)&amp;"",IF($Z1422="F",IF(INDEX(FTE_Allocation!$D$2:$D$201,$AB1422)="PROJECT",IFERROR(INDEX(Projects!$D:$D,MATCH(INDEX(FTE_Allocation!$E$2:$E$201,$AB1422),Projects!$A:$A,0))&amp;"","#PROJECT?"),INDEX(FTE_Allocation!$E$2:$E$201,$AB1422)&amp;""),"")))</f>
        <v/>
      </c>
      <c r="F1422" s="7">
        <f>IF($Z1422="C",INDEX(Contracts!$Q$2:$Q$151,$AB1422)&amp;"",IF($Z1422="A",INDEX(Fixed_Assets!$L$2:$L$201,$AB1422)&amp;"",IF($Z1422="F",INDEX(Workforce!$K$2:$K$151,MATCH(INDEX(FTE_Allocation!$A$2:$A$201,$AB1422),Workforce!$A$2:$A$151,0))&amp;"","")))</f>
        <v/>
      </c>
      <c r="G1422" s="7">
        <f>IF($Z1422="C",INDEX(Contracts!$F$2:$F$151,$AB1422)&amp;" / "&amp;INDEX(Contracts!$G$2:$G$151,$AB1422),IF($Z1422="A",INDEX(Fixed_Assets!$E$2:$E$201,$AB1422)&amp;"",IF($Z1422="F","Personnel "&amp;INDEX(FTE_Allocation!$A$2:$A$201,$AB1422)&amp;IF(INDEX(FTE_Allocation!$D$2:$D$201,$AB1422)="PROJECT"," ("&amp;INDEX(FTE_Allocation!$E$2:$E$201,$AB1422)&amp;")",""),"")))</f>
        <v/>
      </c>
      <c r="H1422" s="7">
        <f>IF($Z1422="C","CONTRACT",IF($Z1422="A","ASSET",IF($Z1422="F","WORKFORCE","")))</f>
        <v/>
      </c>
      <c r="I1422" s="7">
        <f>IF($Z1422="C",INDEX(Contracts!$L$2:$L$151,$AB1422)&amp;"",IF($Z1422="A",INDEX(Fixed_Assets!$I$2:$I$201,$AB1422)&amp;"",IF($Z1422="F",INDEX(Workforce!$G$2:$G$151,MATCH(INDEX(FTE_Allocation!$A$2:$A$201,$AB1422),Workforce!$A$2:$A$151,0))&amp;"","")))</f>
        <v/>
      </c>
      <c r="J1422" s="18">
        <f>IF($Z1422="","",IF(AND(DATE($AD1422,1,1)&gt;=$AE1422,DATE($AD1422,1,1)&lt;=$AF1422),ROUND($AG1422,2),0))</f>
        <v/>
      </c>
      <c r="K1422" s="18">
        <f>IF($Z1422="","",IF(AND(DATE($AD1422,2,1)&gt;=$AE1422,DATE($AD1422,2,1)&lt;=$AF1422),ROUND($AG1422,2),0))</f>
        <v/>
      </c>
      <c r="L1422" s="18">
        <f>IF($Z1422="","",IF(AND(DATE($AD1422,3,1)&gt;=$AE1422,DATE($AD1422,3,1)&lt;=$AF1422),ROUND($AG1422,2),0))</f>
        <v/>
      </c>
      <c r="M1422" s="18">
        <f>IF($Z1422="","",IF(AND(DATE($AD1422,4,1)&gt;=$AE1422,DATE($AD1422,4,1)&lt;=$AF1422),ROUND($AG1422,2),0))</f>
        <v/>
      </c>
      <c r="N1422" s="18">
        <f>IF($Z1422="","",IF(AND(DATE($AD1422,5,1)&gt;=$AE1422,DATE($AD1422,5,1)&lt;=$AF1422),ROUND($AG1422,2),0))</f>
        <v/>
      </c>
      <c r="O1422" s="18">
        <f>IF($Z1422="","",IF(AND(DATE($AD1422,6,1)&gt;=$AE1422,DATE($AD1422,6,1)&lt;=$AF1422),ROUND($AG1422,2),0))</f>
        <v/>
      </c>
      <c r="P1422" s="18">
        <f>IF($Z1422="","",IF(AND(DATE($AD1422,7,1)&gt;=$AE1422,DATE($AD1422,7,1)&lt;=$AF1422),ROUND($AG1422,2),0))</f>
        <v/>
      </c>
      <c r="Q1422" s="18">
        <f>IF($Z1422="","",IF(AND(DATE($AD1422,8,1)&gt;=$AE1422,DATE($AD1422,8,1)&lt;=$AF1422),ROUND($AG1422,2),0))</f>
        <v/>
      </c>
      <c r="R1422" s="18">
        <f>IF($Z1422="","",IF(AND(DATE($AD1422,9,1)&gt;=$AE1422,DATE($AD1422,9,1)&lt;=$AF1422),ROUND($AG1422,2),0))</f>
        <v/>
      </c>
      <c r="S1422" s="18">
        <f>IF($Z1422="","",IF(AND(DATE($AD1422,10,1)&gt;=$AE1422,DATE($AD1422,10,1)&lt;=$AF1422),ROUND($AG1422,2),0))</f>
        <v/>
      </c>
      <c r="T1422" s="18">
        <f>IF($Z1422="","",IF(AND(DATE($AD1422,11,1)&gt;=$AE1422,DATE($AD1422,11,1)&lt;=$AF1422),ROUND($AG1422,2),0))</f>
        <v/>
      </c>
      <c r="U1422" s="18">
        <f>IF($Z1422="","",IF(AND(DATE($AD1422,12,1)&gt;=$AE1422,DATE($AD1422,12,1)&lt;=$AF1422),ROUND($AG1422,2),0))</f>
        <v/>
      </c>
      <c r="V1422" s="7">
        <f>IF($Z1422="C","Generated from "&amp;INDEX(Contracts!$A$2:$A$151,$AB1422),IF($Z1422="A","Generated from "&amp;INDEX(Fixed_Assets!$A$2:$A$201,$AB1422),IF($Z1422="F","Generated from "&amp;INDEX(FTE_Allocation!$A$2:$A$201,$AB1422),"")))</f>
        <v/>
      </c>
      <c r="X1422" s="19">
        <f>IF($Z1422="","",SUM(J1422:U1422))</f>
        <v/>
      </c>
      <c r="Y1422" s="20">
        <f>ROW()-1</f>
        <v/>
      </c>
      <c r="Z1422" s="20">
        <f>IF($Y1422&lt;=Settings!$B$4*3,"C",IF($Y1422&lt;=(Settings!$B$4+Settings!$B$5)*3,"A",IF($Y1422&lt;=(Settings!$B$4+Settings!$B$5+Settings!$B$6)*3,"F","")))</f>
        <v/>
      </c>
      <c r="AA1422" s="20">
        <f>IF($Z1422="C",$Y1422,IF($Z1422="A",$Y1422-Settings!$B$4*3,IF($Z1422="F",$Y1422-(Settings!$B$4+Settings!$B$5)*3,"")))</f>
        <v/>
      </c>
      <c r="AB1422" s="20">
        <f>IF($Z1422="","",INT(($AA1422-1)/3)+1)</f>
        <v/>
      </c>
      <c r="AC1422" s="20">
        <f>IF($Z1422="","",MOD($AA1422-1,3)+1)</f>
        <v/>
      </c>
      <c r="AD1422" s="20">
        <f>IF($Z1422="","",Settings!$B$2+$AC1422-1)</f>
        <v/>
      </c>
      <c r="AE1422" s="21">
        <f>IF($Z1422="C",DATE(YEAR(INDEX(Contracts!$J$2:$J$151,$AB1422)),MONTH(INDEX(Contracts!$J$2:$J$151,$AB1422)),1),IF($Z1422="A",DATE(YEAR(INDEX(Fixed_Assets!$G$2:$G$201,$AB1422)),MONTH(INDEX(Fixed_Assets!$G$2:$G$201,$AB1422)),1),IF($Z1422="F",DATE(YEAR(MAX(N(INDEX(Workforce!$I$2:$I$151,MATCH(INDEX(FTE_Allocation!$A$2:$A$201,$AB1422),Workforce!$A$2:$A$151,0))),N(INDEX(FTE_Allocation!$I$2:$I$201,$AB1422)))),MONTH(MAX(N(INDEX(Workforce!$I$2:$I$151,MATCH(INDEX(FTE_Allocation!$A$2:$A$201,$AB1422),Workforce!$A$2:$A$151,0))),N(INDEX(FTE_Allocation!$I$2:$I$201,$AB1422)))),1),"")))</f>
        <v/>
      </c>
      <c r="AF1422" s="21">
        <f>IF($Z1422="C",IF(INDEX(Contracts!$I$2:$I$151,$AB1422)="PREPAID",EDATE(DATE(YEAR(INDEX(Contracts!$J$2:$J$151,$AB1422)),MONTH(INDEX(Contracts!$J$2:$J$151,$AB1422)),1),IF(INDEX(Contracts!$N$2:$N$151,$AB1422)="",12,INDEX(Contracts!$N$2:$N$151,$AB1422))-1),IF(INDEX(Contracts!$I$2:$I$151,$AB1422)="MONTHLY",IF(INDEX(Contracts!$K$2:$K$151,$AB1422)="",2958101,INDEX(Contracts!$K$2:$K$151,$AB1422)),0)),IF($Z1422="A",EDATE(DATE(YEAR(INDEX(Fixed_Assets!$G$2:$G$201,$AB1422)),MONTH(INDEX(Fixed_Assets!$G$2:$G$201,$AB1422)),1),INDEX(Fixed_Assets!$J$2:$J$201,$AB1422)-1),IF($Z1422="F",MIN(IF(INDEX(Workforce!$J$2:$J$151,MATCH(INDEX(FTE_Allocation!$A$2:$A$201,$AB1422),Workforce!$A$2:$A$151,0))="",2958101,INDEX(Workforce!$J$2:$J$151,MATCH(INDEX(FTE_Allocation!$A$2:$A$201,$AB1422),Workforce!$A$2:$A$151,0))),IF(INDEX(FTE_Allocation!$J$2:$J$201,$AB1422)="",2958101,INDEX(FTE_Allocation!$J$2:$J$201,$AB1422))),"")))</f>
        <v/>
      </c>
      <c r="AG1422" s="19">
        <f>IF($Z1422="C",IF(INDEX(Contracts!$I$2:$I$151,$AB1422)="PREPAID",INDEX(Contracts!$M$2:$M$151,$AB1422)/IF(INDEX(Contracts!$N$2:$N$151,$AB1422)="",12,INDEX(Contracts!$N$2:$N$151,$AB1422)),IF(INDEX(Contracts!$I$2:$I$151,$AB1422)="MONTHLY",INDEX(Contracts!$M$2:$M$151,$AB1422),0))*(1-N(INDEX(Contracts!$O$2:$O$151,$AB1422))),IF($Z1422="A",INDEX(Fixed_Assets!$H$2:$H$201,$AB1422)/INDEX(Fixed_Assets!$J$2:$J$201,$AB1422),IF($Z1422="F",INDEX(Workforce!$F$2:$F$151,MATCH(INDEX(FTE_Allocation!$A$2:$A$201,$AB1422),Workforce!$A$2:$A$151,0))*N(INDEX(FTE_Allocation!$F$2:$H$201,$AB1422,$AC1422)),"")))</f>
        <v/>
      </c>
    </row>
    <row r="1423">
      <c r="A1423" s="7">
        <f>IF($Z1423="","",$AD1423)</f>
        <v/>
      </c>
      <c r="B1423" s="7">
        <f>IF($Z1423="C",INDEX(Contracts!$D$2:$D$151,$AB1423)&amp;"",IF($Z1423="A",INDEX(Fixed_Assets!$C$2:$C$201,$AB1423)&amp;"",IF($Z1423="F",INDEX(Workforce!$B$2:$B$151,MATCH(INDEX(FTE_Allocation!$A$2:$A$201,$AB1423),Workforce!$A$2:$A$151,0))&amp;"","")))</f>
        <v/>
      </c>
      <c r="C1423" s="7">
        <f>IF($Z1423="C",INDEX(Contracts!$E$2:$E$151,$AB1423)&amp;"",IF($Z1423="A",INDEX(Fixed_Assets!$D$2:$D$201,$AB1423)&amp;"",IF($Z1423="F",INDEX(FTE_Allocation!$C$2:$C$201,$AB1423)&amp;"","")))</f>
        <v/>
      </c>
      <c r="D1423" s="7">
        <f>IF($Z1423="C",INDEX(Contracts!$B$2:$B$151,$AB1423)&amp;"",IF($Z1423="A",INDEX(Fixed_Assets!$B$2:$B$201,$AB1423)&amp;"",IF($Z1423="F",INDEX(FTE_Allocation!$B$2:$B$201,$AB1423)&amp;"","")))</f>
        <v/>
      </c>
      <c r="E1423" s="7">
        <f>IF($Z1423="C",INDEX(Contracts!$P$2:$P$151,$AB1423)&amp;"",IF($Z1423="A",INDEX(Fixed_Assets!$K$2:$K$201,$AB1423)&amp;"",IF($Z1423="F",IF(INDEX(FTE_Allocation!$D$2:$D$201,$AB1423)="PROJECT",IFERROR(INDEX(Projects!$D:$D,MATCH(INDEX(FTE_Allocation!$E$2:$E$201,$AB1423),Projects!$A:$A,0))&amp;"","#PROJECT?"),INDEX(FTE_Allocation!$E$2:$E$201,$AB1423)&amp;""),"")))</f>
        <v/>
      </c>
      <c r="F1423" s="7">
        <f>IF($Z1423="C",INDEX(Contracts!$Q$2:$Q$151,$AB1423)&amp;"",IF($Z1423="A",INDEX(Fixed_Assets!$L$2:$L$201,$AB1423)&amp;"",IF($Z1423="F",INDEX(Workforce!$K$2:$K$151,MATCH(INDEX(FTE_Allocation!$A$2:$A$201,$AB1423),Workforce!$A$2:$A$151,0))&amp;"","")))</f>
        <v/>
      </c>
      <c r="G1423" s="7">
        <f>IF($Z1423="C",INDEX(Contracts!$F$2:$F$151,$AB1423)&amp;" / "&amp;INDEX(Contracts!$G$2:$G$151,$AB1423),IF($Z1423="A",INDEX(Fixed_Assets!$E$2:$E$201,$AB1423)&amp;"",IF($Z1423="F","Personnel "&amp;INDEX(FTE_Allocation!$A$2:$A$201,$AB1423)&amp;IF(INDEX(FTE_Allocation!$D$2:$D$201,$AB1423)="PROJECT"," ("&amp;INDEX(FTE_Allocation!$E$2:$E$201,$AB1423)&amp;")",""),"")))</f>
        <v/>
      </c>
      <c r="H1423" s="7">
        <f>IF($Z1423="C","CONTRACT",IF($Z1423="A","ASSET",IF($Z1423="F","WORKFORCE","")))</f>
        <v/>
      </c>
      <c r="I1423" s="7">
        <f>IF($Z1423="C",INDEX(Contracts!$L$2:$L$151,$AB1423)&amp;"",IF($Z1423="A",INDEX(Fixed_Assets!$I$2:$I$201,$AB1423)&amp;"",IF($Z1423="F",INDEX(Workforce!$G$2:$G$151,MATCH(INDEX(FTE_Allocation!$A$2:$A$201,$AB1423),Workforce!$A$2:$A$151,0))&amp;"","")))</f>
        <v/>
      </c>
      <c r="J1423" s="18">
        <f>IF($Z1423="","",IF(AND(DATE($AD1423,1,1)&gt;=$AE1423,DATE($AD1423,1,1)&lt;=$AF1423),ROUND($AG1423,2),0))</f>
        <v/>
      </c>
      <c r="K1423" s="18">
        <f>IF($Z1423="","",IF(AND(DATE($AD1423,2,1)&gt;=$AE1423,DATE($AD1423,2,1)&lt;=$AF1423),ROUND($AG1423,2),0))</f>
        <v/>
      </c>
      <c r="L1423" s="18">
        <f>IF($Z1423="","",IF(AND(DATE($AD1423,3,1)&gt;=$AE1423,DATE($AD1423,3,1)&lt;=$AF1423),ROUND($AG1423,2),0))</f>
        <v/>
      </c>
      <c r="M1423" s="18">
        <f>IF($Z1423="","",IF(AND(DATE($AD1423,4,1)&gt;=$AE1423,DATE($AD1423,4,1)&lt;=$AF1423),ROUND($AG1423,2),0))</f>
        <v/>
      </c>
      <c r="N1423" s="18">
        <f>IF($Z1423="","",IF(AND(DATE($AD1423,5,1)&gt;=$AE1423,DATE($AD1423,5,1)&lt;=$AF1423),ROUND($AG1423,2),0))</f>
        <v/>
      </c>
      <c r="O1423" s="18">
        <f>IF($Z1423="","",IF(AND(DATE($AD1423,6,1)&gt;=$AE1423,DATE($AD1423,6,1)&lt;=$AF1423),ROUND($AG1423,2),0))</f>
        <v/>
      </c>
      <c r="P1423" s="18">
        <f>IF($Z1423="","",IF(AND(DATE($AD1423,7,1)&gt;=$AE1423,DATE($AD1423,7,1)&lt;=$AF1423),ROUND($AG1423,2),0))</f>
        <v/>
      </c>
      <c r="Q1423" s="18">
        <f>IF($Z1423="","",IF(AND(DATE($AD1423,8,1)&gt;=$AE1423,DATE($AD1423,8,1)&lt;=$AF1423),ROUND($AG1423,2),0))</f>
        <v/>
      </c>
      <c r="R1423" s="18">
        <f>IF($Z1423="","",IF(AND(DATE($AD1423,9,1)&gt;=$AE1423,DATE($AD1423,9,1)&lt;=$AF1423),ROUND($AG1423,2),0))</f>
        <v/>
      </c>
      <c r="S1423" s="18">
        <f>IF($Z1423="","",IF(AND(DATE($AD1423,10,1)&gt;=$AE1423,DATE($AD1423,10,1)&lt;=$AF1423),ROUND($AG1423,2),0))</f>
        <v/>
      </c>
      <c r="T1423" s="18">
        <f>IF($Z1423="","",IF(AND(DATE($AD1423,11,1)&gt;=$AE1423,DATE($AD1423,11,1)&lt;=$AF1423),ROUND($AG1423,2),0))</f>
        <v/>
      </c>
      <c r="U1423" s="18">
        <f>IF($Z1423="","",IF(AND(DATE($AD1423,12,1)&gt;=$AE1423,DATE($AD1423,12,1)&lt;=$AF1423),ROUND($AG1423,2),0))</f>
        <v/>
      </c>
      <c r="V1423" s="7">
        <f>IF($Z1423="C","Generated from "&amp;INDEX(Contracts!$A$2:$A$151,$AB1423),IF($Z1423="A","Generated from "&amp;INDEX(Fixed_Assets!$A$2:$A$201,$AB1423),IF($Z1423="F","Generated from "&amp;INDEX(FTE_Allocation!$A$2:$A$201,$AB1423),"")))</f>
        <v/>
      </c>
      <c r="X1423" s="19">
        <f>IF($Z1423="","",SUM(J1423:U1423))</f>
        <v/>
      </c>
      <c r="Y1423" s="20">
        <f>ROW()-1</f>
        <v/>
      </c>
      <c r="Z1423" s="20">
        <f>IF($Y1423&lt;=Settings!$B$4*3,"C",IF($Y1423&lt;=(Settings!$B$4+Settings!$B$5)*3,"A",IF($Y1423&lt;=(Settings!$B$4+Settings!$B$5+Settings!$B$6)*3,"F","")))</f>
        <v/>
      </c>
      <c r="AA1423" s="20">
        <f>IF($Z1423="C",$Y1423,IF($Z1423="A",$Y1423-Settings!$B$4*3,IF($Z1423="F",$Y1423-(Settings!$B$4+Settings!$B$5)*3,"")))</f>
        <v/>
      </c>
      <c r="AB1423" s="20">
        <f>IF($Z1423="","",INT(($AA1423-1)/3)+1)</f>
        <v/>
      </c>
      <c r="AC1423" s="20">
        <f>IF($Z1423="","",MOD($AA1423-1,3)+1)</f>
        <v/>
      </c>
      <c r="AD1423" s="20">
        <f>IF($Z1423="","",Settings!$B$2+$AC1423-1)</f>
        <v/>
      </c>
      <c r="AE1423" s="21">
        <f>IF($Z1423="C",DATE(YEAR(INDEX(Contracts!$J$2:$J$151,$AB1423)),MONTH(INDEX(Contracts!$J$2:$J$151,$AB1423)),1),IF($Z1423="A",DATE(YEAR(INDEX(Fixed_Assets!$G$2:$G$201,$AB1423)),MONTH(INDEX(Fixed_Assets!$G$2:$G$201,$AB1423)),1),IF($Z1423="F",DATE(YEAR(MAX(N(INDEX(Workforce!$I$2:$I$151,MATCH(INDEX(FTE_Allocation!$A$2:$A$201,$AB1423),Workforce!$A$2:$A$151,0))),N(INDEX(FTE_Allocation!$I$2:$I$201,$AB1423)))),MONTH(MAX(N(INDEX(Workforce!$I$2:$I$151,MATCH(INDEX(FTE_Allocation!$A$2:$A$201,$AB1423),Workforce!$A$2:$A$151,0))),N(INDEX(FTE_Allocation!$I$2:$I$201,$AB1423)))),1),"")))</f>
        <v/>
      </c>
      <c r="AF1423" s="21">
        <f>IF($Z1423="C",IF(INDEX(Contracts!$I$2:$I$151,$AB1423)="PREPAID",EDATE(DATE(YEAR(INDEX(Contracts!$J$2:$J$151,$AB1423)),MONTH(INDEX(Contracts!$J$2:$J$151,$AB1423)),1),IF(INDEX(Contracts!$N$2:$N$151,$AB1423)="",12,INDEX(Contracts!$N$2:$N$151,$AB1423))-1),IF(INDEX(Contracts!$I$2:$I$151,$AB1423)="MONTHLY",IF(INDEX(Contracts!$K$2:$K$151,$AB1423)="",2958101,INDEX(Contracts!$K$2:$K$151,$AB1423)),0)),IF($Z1423="A",EDATE(DATE(YEAR(INDEX(Fixed_Assets!$G$2:$G$201,$AB1423)),MONTH(INDEX(Fixed_Assets!$G$2:$G$201,$AB1423)),1),INDEX(Fixed_Assets!$J$2:$J$201,$AB1423)-1),IF($Z1423="F",MIN(IF(INDEX(Workforce!$J$2:$J$151,MATCH(INDEX(FTE_Allocation!$A$2:$A$201,$AB1423),Workforce!$A$2:$A$151,0))="",2958101,INDEX(Workforce!$J$2:$J$151,MATCH(INDEX(FTE_Allocation!$A$2:$A$201,$AB1423),Workforce!$A$2:$A$151,0))),IF(INDEX(FTE_Allocation!$J$2:$J$201,$AB1423)="",2958101,INDEX(FTE_Allocation!$J$2:$J$201,$AB1423))),"")))</f>
        <v/>
      </c>
      <c r="AG1423" s="19">
        <f>IF($Z1423="C",IF(INDEX(Contracts!$I$2:$I$151,$AB1423)="PREPAID",INDEX(Contracts!$M$2:$M$151,$AB1423)/IF(INDEX(Contracts!$N$2:$N$151,$AB1423)="",12,INDEX(Contracts!$N$2:$N$151,$AB1423)),IF(INDEX(Contracts!$I$2:$I$151,$AB1423)="MONTHLY",INDEX(Contracts!$M$2:$M$151,$AB1423),0))*(1-N(INDEX(Contracts!$O$2:$O$151,$AB1423))),IF($Z1423="A",INDEX(Fixed_Assets!$H$2:$H$201,$AB1423)/INDEX(Fixed_Assets!$J$2:$J$201,$AB1423),IF($Z1423="F",INDEX(Workforce!$F$2:$F$151,MATCH(INDEX(FTE_Allocation!$A$2:$A$201,$AB1423),Workforce!$A$2:$A$151,0))*N(INDEX(FTE_Allocation!$F$2:$H$201,$AB1423,$AC1423)),"")))</f>
        <v/>
      </c>
    </row>
    <row r="1424">
      <c r="A1424" s="7">
        <f>IF($Z1424="","",$AD1424)</f>
        <v/>
      </c>
      <c r="B1424" s="7">
        <f>IF($Z1424="C",INDEX(Contracts!$D$2:$D$151,$AB1424)&amp;"",IF($Z1424="A",INDEX(Fixed_Assets!$C$2:$C$201,$AB1424)&amp;"",IF($Z1424="F",INDEX(Workforce!$B$2:$B$151,MATCH(INDEX(FTE_Allocation!$A$2:$A$201,$AB1424),Workforce!$A$2:$A$151,0))&amp;"","")))</f>
        <v/>
      </c>
      <c r="C1424" s="7">
        <f>IF($Z1424="C",INDEX(Contracts!$E$2:$E$151,$AB1424)&amp;"",IF($Z1424="A",INDEX(Fixed_Assets!$D$2:$D$201,$AB1424)&amp;"",IF($Z1424="F",INDEX(FTE_Allocation!$C$2:$C$201,$AB1424)&amp;"","")))</f>
        <v/>
      </c>
      <c r="D1424" s="7">
        <f>IF($Z1424="C",INDEX(Contracts!$B$2:$B$151,$AB1424)&amp;"",IF($Z1424="A",INDEX(Fixed_Assets!$B$2:$B$201,$AB1424)&amp;"",IF($Z1424="F",INDEX(FTE_Allocation!$B$2:$B$201,$AB1424)&amp;"","")))</f>
        <v/>
      </c>
      <c r="E1424" s="7">
        <f>IF($Z1424="C",INDEX(Contracts!$P$2:$P$151,$AB1424)&amp;"",IF($Z1424="A",INDEX(Fixed_Assets!$K$2:$K$201,$AB1424)&amp;"",IF($Z1424="F",IF(INDEX(FTE_Allocation!$D$2:$D$201,$AB1424)="PROJECT",IFERROR(INDEX(Projects!$D:$D,MATCH(INDEX(FTE_Allocation!$E$2:$E$201,$AB1424),Projects!$A:$A,0))&amp;"","#PROJECT?"),INDEX(FTE_Allocation!$E$2:$E$201,$AB1424)&amp;""),"")))</f>
        <v/>
      </c>
      <c r="F1424" s="7">
        <f>IF($Z1424="C",INDEX(Contracts!$Q$2:$Q$151,$AB1424)&amp;"",IF($Z1424="A",INDEX(Fixed_Assets!$L$2:$L$201,$AB1424)&amp;"",IF($Z1424="F",INDEX(Workforce!$K$2:$K$151,MATCH(INDEX(FTE_Allocation!$A$2:$A$201,$AB1424),Workforce!$A$2:$A$151,0))&amp;"","")))</f>
        <v/>
      </c>
      <c r="G1424" s="7">
        <f>IF($Z1424="C",INDEX(Contracts!$F$2:$F$151,$AB1424)&amp;" / "&amp;INDEX(Contracts!$G$2:$G$151,$AB1424),IF($Z1424="A",INDEX(Fixed_Assets!$E$2:$E$201,$AB1424)&amp;"",IF($Z1424="F","Personnel "&amp;INDEX(FTE_Allocation!$A$2:$A$201,$AB1424)&amp;IF(INDEX(FTE_Allocation!$D$2:$D$201,$AB1424)="PROJECT"," ("&amp;INDEX(FTE_Allocation!$E$2:$E$201,$AB1424)&amp;")",""),"")))</f>
        <v/>
      </c>
      <c r="H1424" s="7">
        <f>IF($Z1424="C","CONTRACT",IF($Z1424="A","ASSET",IF($Z1424="F","WORKFORCE","")))</f>
        <v/>
      </c>
      <c r="I1424" s="7">
        <f>IF($Z1424="C",INDEX(Contracts!$L$2:$L$151,$AB1424)&amp;"",IF($Z1424="A",INDEX(Fixed_Assets!$I$2:$I$201,$AB1424)&amp;"",IF($Z1424="F",INDEX(Workforce!$G$2:$G$151,MATCH(INDEX(FTE_Allocation!$A$2:$A$201,$AB1424),Workforce!$A$2:$A$151,0))&amp;"","")))</f>
        <v/>
      </c>
      <c r="J1424" s="18">
        <f>IF($Z1424="","",IF(AND(DATE($AD1424,1,1)&gt;=$AE1424,DATE($AD1424,1,1)&lt;=$AF1424),ROUND($AG1424,2),0))</f>
        <v/>
      </c>
      <c r="K1424" s="18">
        <f>IF($Z1424="","",IF(AND(DATE($AD1424,2,1)&gt;=$AE1424,DATE($AD1424,2,1)&lt;=$AF1424),ROUND($AG1424,2),0))</f>
        <v/>
      </c>
      <c r="L1424" s="18">
        <f>IF($Z1424="","",IF(AND(DATE($AD1424,3,1)&gt;=$AE1424,DATE($AD1424,3,1)&lt;=$AF1424),ROUND($AG1424,2),0))</f>
        <v/>
      </c>
      <c r="M1424" s="18">
        <f>IF($Z1424="","",IF(AND(DATE($AD1424,4,1)&gt;=$AE1424,DATE($AD1424,4,1)&lt;=$AF1424),ROUND($AG1424,2),0))</f>
        <v/>
      </c>
      <c r="N1424" s="18">
        <f>IF($Z1424="","",IF(AND(DATE($AD1424,5,1)&gt;=$AE1424,DATE($AD1424,5,1)&lt;=$AF1424),ROUND($AG1424,2),0))</f>
        <v/>
      </c>
      <c r="O1424" s="18">
        <f>IF($Z1424="","",IF(AND(DATE($AD1424,6,1)&gt;=$AE1424,DATE($AD1424,6,1)&lt;=$AF1424),ROUND($AG1424,2),0))</f>
        <v/>
      </c>
      <c r="P1424" s="18">
        <f>IF($Z1424="","",IF(AND(DATE($AD1424,7,1)&gt;=$AE1424,DATE($AD1424,7,1)&lt;=$AF1424),ROUND($AG1424,2),0))</f>
        <v/>
      </c>
      <c r="Q1424" s="18">
        <f>IF($Z1424="","",IF(AND(DATE($AD1424,8,1)&gt;=$AE1424,DATE($AD1424,8,1)&lt;=$AF1424),ROUND($AG1424,2),0))</f>
        <v/>
      </c>
      <c r="R1424" s="18">
        <f>IF($Z1424="","",IF(AND(DATE($AD1424,9,1)&gt;=$AE1424,DATE($AD1424,9,1)&lt;=$AF1424),ROUND($AG1424,2),0))</f>
        <v/>
      </c>
      <c r="S1424" s="18">
        <f>IF($Z1424="","",IF(AND(DATE($AD1424,10,1)&gt;=$AE1424,DATE($AD1424,10,1)&lt;=$AF1424),ROUND($AG1424,2),0))</f>
        <v/>
      </c>
      <c r="T1424" s="18">
        <f>IF($Z1424="","",IF(AND(DATE($AD1424,11,1)&gt;=$AE1424,DATE($AD1424,11,1)&lt;=$AF1424),ROUND($AG1424,2),0))</f>
        <v/>
      </c>
      <c r="U1424" s="18">
        <f>IF($Z1424="","",IF(AND(DATE($AD1424,12,1)&gt;=$AE1424,DATE($AD1424,12,1)&lt;=$AF1424),ROUND($AG1424,2),0))</f>
        <v/>
      </c>
      <c r="V1424" s="7">
        <f>IF($Z1424="C","Generated from "&amp;INDEX(Contracts!$A$2:$A$151,$AB1424),IF($Z1424="A","Generated from "&amp;INDEX(Fixed_Assets!$A$2:$A$201,$AB1424),IF($Z1424="F","Generated from "&amp;INDEX(FTE_Allocation!$A$2:$A$201,$AB1424),"")))</f>
        <v/>
      </c>
      <c r="X1424" s="19">
        <f>IF($Z1424="","",SUM(J1424:U1424))</f>
        <v/>
      </c>
      <c r="Y1424" s="20">
        <f>ROW()-1</f>
        <v/>
      </c>
      <c r="Z1424" s="20">
        <f>IF($Y1424&lt;=Settings!$B$4*3,"C",IF($Y1424&lt;=(Settings!$B$4+Settings!$B$5)*3,"A",IF($Y1424&lt;=(Settings!$B$4+Settings!$B$5+Settings!$B$6)*3,"F","")))</f>
        <v/>
      </c>
      <c r="AA1424" s="20">
        <f>IF($Z1424="C",$Y1424,IF($Z1424="A",$Y1424-Settings!$B$4*3,IF($Z1424="F",$Y1424-(Settings!$B$4+Settings!$B$5)*3,"")))</f>
        <v/>
      </c>
      <c r="AB1424" s="20">
        <f>IF($Z1424="","",INT(($AA1424-1)/3)+1)</f>
        <v/>
      </c>
      <c r="AC1424" s="20">
        <f>IF($Z1424="","",MOD($AA1424-1,3)+1)</f>
        <v/>
      </c>
      <c r="AD1424" s="20">
        <f>IF($Z1424="","",Settings!$B$2+$AC1424-1)</f>
        <v/>
      </c>
      <c r="AE1424" s="21">
        <f>IF($Z1424="C",DATE(YEAR(INDEX(Contracts!$J$2:$J$151,$AB1424)),MONTH(INDEX(Contracts!$J$2:$J$151,$AB1424)),1),IF($Z1424="A",DATE(YEAR(INDEX(Fixed_Assets!$G$2:$G$201,$AB1424)),MONTH(INDEX(Fixed_Assets!$G$2:$G$201,$AB1424)),1),IF($Z1424="F",DATE(YEAR(MAX(N(INDEX(Workforce!$I$2:$I$151,MATCH(INDEX(FTE_Allocation!$A$2:$A$201,$AB1424),Workforce!$A$2:$A$151,0))),N(INDEX(FTE_Allocation!$I$2:$I$201,$AB1424)))),MONTH(MAX(N(INDEX(Workforce!$I$2:$I$151,MATCH(INDEX(FTE_Allocation!$A$2:$A$201,$AB1424),Workforce!$A$2:$A$151,0))),N(INDEX(FTE_Allocation!$I$2:$I$201,$AB1424)))),1),"")))</f>
        <v/>
      </c>
      <c r="AF1424" s="21">
        <f>IF($Z1424="C",IF(INDEX(Contracts!$I$2:$I$151,$AB1424)="PREPAID",EDATE(DATE(YEAR(INDEX(Contracts!$J$2:$J$151,$AB1424)),MONTH(INDEX(Contracts!$J$2:$J$151,$AB1424)),1),IF(INDEX(Contracts!$N$2:$N$151,$AB1424)="",12,INDEX(Contracts!$N$2:$N$151,$AB1424))-1),IF(INDEX(Contracts!$I$2:$I$151,$AB1424)="MONTHLY",IF(INDEX(Contracts!$K$2:$K$151,$AB1424)="",2958101,INDEX(Contracts!$K$2:$K$151,$AB1424)),0)),IF($Z1424="A",EDATE(DATE(YEAR(INDEX(Fixed_Assets!$G$2:$G$201,$AB1424)),MONTH(INDEX(Fixed_Assets!$G$2:$G$201,$AB1424)),1),INDEX(Fixed_Assets!$J$2:$J$201,$AB1424)-1),IF($Z1424="F",MIN(IF(INDEX(Workforce!$J$2:$J$151,MATCH(INDEX(FTE_Allocation!$A$2:$A$201,$AB1424),Workforce!$A$2:$A$151,0))="",2958101,INDEX(Workforce!$J$2:$J$151,MATCH(INDEX(FTE_Allocation!$A$2:$A$201,$AB1424),Workforce!$A$2:$A$151,0))),IF(INDEX(FTE_Allocation!$J$2:$J$201,$AB1424)="",2958101,INDEX(FTE_Allocation!$J$2:$J$201,$AB1424))),"")))</f>
        <v/>
      </c>
      <c r="AG1424" s="19">
        <f>IF($Z1424="C",IF(INDEX(Contracts!$I$2:$I$151,$AB1424)="PREPAID",INDEX(Contracts!$M$2:$M$151,$AB1424)/IF(INDEX(Contracts!$N$2:$N$151,$AB1424)="",12,INDEX(Contracts!$N$2:$N$151,$AB1424)),IF(INDEX(Contracts!$I$2:$I$151,$AB1424)="MONTHLY",INDEX(Contracts!$M$2:$M$151,$AB1424),0))*(1-N(INDEX(Contracts!$O$2:$O$151,$AB1424))),IF($Z1424="A",INDEX(Fixed_Assets!$H$2:$H$201,$AB1424)/INDEX(Fixed_Assets!$J$2:$J$201,$AB1424),IF($Z1424="F",INDEX(Workforce!$F$2:$F$151,MATCH(INDEX(FTE_Allocation!$A$2:$A$201,$AB1424),Workforce!$A$2:$A$151,0))*N(INDEX(FTE_Allocation!$F$2:$H$201,$AB1424,$AC1424)),"")))</f>
        <v/>
      </c>
    </row>
    <row r="1425">
      <c r="A1425" s="7">
        <f>IF($Z1425="","",$AD1425)</f>
        <v/>
      </c>
      <c r="B1425" s="7">
        <f>IF($Z1425="C",INDEX(Contracts!$D$2:$D$151,$AB1425)&amp;"",IF($Z1425="A",INDEX(Fixed_Assets!$C$2:$C$201,$AB1425)&amp;"",IF($Z1425="F",INDEX(Workforce!$B$2:$B$151,MATCH(INDEX(FTE_Allocation!$A$2:$A$201,$AB1425),Workforce!$A$2:$A$151,0))&amp;"","")))</f>
        <v/>
      </c>
      <c r="C1425" s="7">
        <f>IF($Z1425="C",INDEX(Contracts!$E$2:$E$151,$AB1425)&amp;"",IF($Z1425="A",INDEX(Fixed_Assets!$D$2:$D$201,$AB1425)&amp;"",IF($Z1425="F",INDEX(FTE_Allocation!$C$2:$C$201,$AB1425)&amp;"","")))</f>
        <v/>
      </c>
      <c r="D1425" s="7">
        <f>IF($Z1425="C",INDEX(Contracts!$B$2:$B$151,$AB1425)&amp;"",IF($Z1425="A",INDEX(Fixed_Assets!$B$2:$B$201,$AB1425)&amp;"",IF($Z1425="F",INDEX(FTE_Allocation!$B$2:$B$201,$AB1425)&amp;"","")))</f>
        <v/>
      </c>
      <c r="E1425" s="7">
        <f>IF($Z1425="C",INDEX(Contracts!$P$2:$P$151,$AB1425)&amp;"",IF($Z1425="A",INDEX(Fixed_Assets!$K$2:$K$201,$AB1425)&amp;"",IF($Z1425="F",IF(INDEX(FTE_Allocation!$D$2:$D$201,$AB1425)="PROJECT",IFERROR(INDEX(Projects!$D:$D,MATCH(INDEX(FTE_Allocation!$E$2:$E$201,$AB1425),Projects!$A:$A,0))&amp;"","#PROJECT?"),INDEX(FTE_Allocation!$E$2:$E$201,$AB1425)&amp;""),"")))</f>
        <v/>
      </c>
      <c r="F1425" s="7">
        <f>IF($Z1425="C",INDEX(Contracts!$Q$2:$Q$151,$AB1425)&amp;"",IF($Z1425="A",INDEX(Fixed_Assets!$L$2:$L$201,$AB1425)&amp;"",IF($Z1425="F",INDEX(Workforce!$K$2:$K$151,MATCH(INDEX(FTE_Allocation!$A$2:$A$201,$AB1425),Workforce!$A$2:$A$151,0))&amp;"","")))</f>
        <v/>
      </c>
      <c r="G1425" s="7">
        <f>IF($Z1425="C",INDEX(Contracts!$F$2:$F$151,$AB1425)&amp;" / "&amp;INDEX(Contracts!$G$2:$G$151,$AB1425),IF($Z1425="A",INDEX(Fixed_Assets!$E$2:$E$201,$AB1425)&amp;"",IF($Z1425="F","Personnel "&amp;INDEX(FTE_Allocation!$A$2:$A$201,$AB1425)&amp;IF(INDEX(FTE_Allocation!$D$2:$D$201,$AB1425)="PROJECT"," ("&amp;INDEX(FTE_Allocation!$E$2:$E$201,$AB1425)&amp;")",""),"")))</f>
        <v/>
      </c>
      <c r="H1425" s="7">
        <f>IF($Z1425="C","CONTRACT",IF($Z1425="A","ASSET",IF($Z1425="F","WORKFORCE","")))</f>
        <v/>
      </c>
      <c r="I1425" s="7">
        <f>IF($Z1425="C",INDEX(Contracts!$L$2:$L$151,$AB1425)&amp;"",IF($Z1425="A",INDEX(Fixed_Assets!$I$2:$I$201,$AB1425)&amp;"",IF($Z1425="F",INDEX(Workforce!$G$2:$G$151,MATCH(INDEX(FTE_Allocation!$A$2:$A$201,$AB1425),Workforce!$A$2:$A$151,0))&amp;"","")))</f>
        <v/>
      </c>
      <c r="J1425" s="18">
        <f>IF($Z1425="","",IF(AND(DATE($AD1425,1,1)&gt;=$AE1425,DATE($AD1425,1,1)&lt;=$AF1425),ROUND($AG1425,2),0))</f>
        <v/>
      </c>
      <c r="K1425" s="18">
        <f>IF($Z1425="","",IF(AND(DATE($AD1425,2,1)&gt;=$AE1425,DATE($AD1425,2,1)&lt;=$AF1425),ROUND($AG1425,2),0))</f>
        <v/>
      </c>
      <c r="L1425" s="18">
        <f>IF($Z1425="","",IF(AND(DATE($AD1425,3,1)&gt;=$AE1425,DATE($AD1425,3,1)&lt;=$AF1425),ROUND($AG1425,2),0))</f>
        <v/>
      </c>
      <c r="M1425" s="18">
        <f>IF($Z1425="","",IF(AND(DATE($AD1425,4,1)&gt;=$AE1425,DATE($AD1425,4,1)&lt;=$AF1425),ROUND($AG1425,2),0))</f>
        <v/>
      </c>
      <c r="N1425" s="18">
        <f>IF($Z1425="","",IF(AND(DATE($AD1425,5,1)&gt;=$AE1425,DATE($AD1425,5,1)&lt;=$AF1425),ROUND($AG1425,2),0))</f>
        <v/>
      </c>
      <c r="O1425" s="18">
        <f>IF($Z1425="","",IF(AND(DATE($AD1425,6,1)&gt;=$AE1425,DATE($AD1425,6,1)&lt;=$AF1425),ROUND($AG1425,2),0))</f>
        <v/>
      </c>
      <c r="P1425" s="18">
        <f>IF($Z1425="","",IF(AND(DATE($AD1425,7,1)&gt;=$AE1425,DATE($AD1425,7,1)&lt;=$AF1425),ROUND($AG1425,2),0))</f>
        <v/>
      </c>
      <c r="Q1425" s="18">
        <f>IF($Z1425="","",IF(AND(DATE($AD1425,8,1)&gt;=$AE1425,DATE($AD1425,8,1)&lt;=$AF1425),ROUND($AG1425,2),0))</f>
        <v/>
      </c>
      <c r="R1425" s="18">
        <f>IF($Z1425="","",IF(AND(DATE($AD1425,9,1)&gt;=$AE1425,DATE($AD1425,9,1)&lt;=$AF1425),ROUND($AG1425,2),0))</f>
        <v/>
      </c>
      <c r="S1425" s="18">
        <f>IF($Z1425="","",IF(AND(DATE($AD1425,10,1)&gt;=$AE1425,DATE($AD1425,10,1)&lt;=$AF1425),ROUND($AG1425,2),0))</f>
        <v/>
      </c>
      <c r="T1425" s="18">
        <f>IF($Z1425="","",IF(AND(DATE($AD1425,11,1)&gt;=$AE1425,DATE($AD1425,11,1)&lt;=$AF1425),ROUND($AG1425,2),0))</f>
        <v/>
      </c>
      <c r="U1425" s="18">
        <f>IF($Z1425="","",IF(AND(DATE($AD1425,12,1)&gt;=$AE1425,DATE($AD1425,12,1)&lt;=$AF1425),ROUND($AG1425,2),0))</f>
        <v/>
      </c>
      <c r="V1425" s="7">
        <f>IF($Z1425="C","Generated from "&amp;INDEX(Contracts!$A$2:$A$151,$AB1425),IF($Z1425="A","Generated from "&amp;INDEX(Fixed_Assets!$A$2:$A$201,$AB1425),IF($Z1425="F","Generated from "&amp;INDEX(FTE_Allocation!$A$2:$A$201,$AB1425),"")))</f>
        <v/>
      </c>
      <c r="X1425" s="19">
        <f>IF($Z1425="","",SUM(J1425:U1425))</f>
        <v/>
      </c>
      <c r="Y1425" s="20">
        <f>ROW()-1</f>
        <v/>
      </c>
      <c r="Z1425" s="20">
        <f>IF($Y1425&lt;=Settings!$B$4*3,"C",IF($Y1425&lt;=(Settings!$B$4+Settings!$B$5)*3,"A",IF($Y1425&lt;=(Settings!$B$4+Settings!$B$5+Settings!$B$6)*3,"F","")))</f>
        <v/>
      </c>
      <c r="AA1425" s="20">
        <f>IF($Z1425="C",$Y1425,IF($Z1425="A",$Y1425-Settings!$B$4*3,IF($Z1425="F",$Y1425-(Settings!$B$4+Settings!$B$5)*3,"")))</f>
        <v/>
      </c>
      <c r="AB1425" s="20">
        <f>IF($Z1425="","",INT(($AA1425-1)/3)+1)</f>
        <v/>
      </c>
      <c r="AC1425" s="20">
        <f>IF($Z1425="","",MOD($AA1425-1,3)+1)</f>
        <v/>
      </c>
      <c r="AD1425" s="20">
        <f>IF($Z1425="","",Settings!$B$2+$AC1425-1)</f>
        <v/>
      </c>
      <c r="AE1425" s="21">
        <f>IF($Z1425="C",DATE(YEAR(INDEX(Contracts!$J$2:$J$151,$AB1425)),MONTH(INDEX(Contracts!$J$2:$J$151,$AB1425)),1),IF($Z1425="A",DATE(YEAR(INDEX(Fixed_Assets!$G$2:$G$201,$AB1425)),MONTH(INDEX(Fixed_Assets!$G$2:$G$201,$AB1425)),1),IF($Z1425="F",DATE(YEAR(MAX(N(INDEX(Workforce!$I$2:$I$151,MATCH(INDEX(FTE_Allocation!$A$2:$A$201,$AB1425),Workforce!$A$2:$A$151,0))),N(INDEX(FTE_Allocation!$I$2:$I$201,$AB1425)))),MONTH(MAX(N(INDEX(Workforce!$I$2:$I$151,MATCH(INDEX(FTE_Allocation!$A$2:$A$201,$AB1425),Workforce!$A$2:$A$151,0))),N(INDEX(FTE_Allocation!$I$2:$I$201,$AB1425)))),1),"")))</f>
        <v/>
      </c>
      <c r="AF1425" s="21">
        <f>IF($Z1425="C",IF(INDEX(Contracts!$I$2:$I$151,$AB1425)="PREPAID",EDATE(DATE(YEAR(INDEX(Contracts!$J$2:$J$151,$AB1425)),MONTH(INDEX(Contracts!$J$2:$J$151,$AB1425)),1),IF(INDEX(Contracts!$N$2:$N$151,$AB1425)="",12,INDEX(Contracts!$N$2:$N$151,$AB1425))-1),IF(INDEX(Contracts!$I$2:$I$151,$AB1425)="MONTHLY",IF(INDEX(Contracts!$K$2:$K$151,$AB1425)="",2958101,INDEX(Contracts!$K$2:$K$151,$AB1425)),0)),IF($Z1425="A",EDATE(DATE(YEAR(INDEX(Fixed_Assets!$G$2:$G$201,$AB1425)),MONTH(INDEX(Fixed_Assets!$G$2:$G$201,$AB1425)),1),INDEX(Fixed_Assets!$J$2:$J$201,$AB1425)-1),IF($Z1425="F",MIN(IF(INDEX(Workforce!$J$2:$J$151,MATCH(INDEX(FTE_Allocation!$A$2:$A$201,$AB1425),Workforce!$A$2:$A$151,0))="",2958101,INDEX(Workforce!$J$2:$J$151,MATCH(INDEX(FTE_Allocation!$A$2:$A$201,$AB1425),Workforce!$A$2:$A$151,0))),IF(INDEX(FTE_Allocation!$J$2:$J$201,$AB1425)="",2958101,INDEX(FTE_Allocation!$J$2:$J$201,$AB1425))),"")))</f>
        <v/>
      </c>
      <c r="AG1425" s="19">
        <f>IF($Z1425="C",IF(INDEX(Contracts!$I$2:$I$151,$AB1425)="PREPAID",INDEX(Contracts!$M$2:$M$151,$AB1425)/IF(INDEX(Contracts!$N$2:$N$151,$AB1425)="",12,INDEX(Contracts!$N$2:$N$151,$AB1425)),IF(INDEX(Contracts!$I$2:$I$151,$AB1425)="MONTHLY",INDEX(Contracts!$M$2:$M$151,$AB1425),0))*(1-N(INDEX(Contracts!$O$2:$O$151,$AB1425))),IF($Z1425="A",INDEX(Fixed_Assets!$H$2:$H$201,$AB1425)/INDEX(Fixed_Assets!$J$2:$J$201,$AB1425),IF($Z1425="F",INDEX(Workforce!$F$2:$F$151,MATCH(INDEX(FTE_Allocation!$A$2:$A$201,$AB1425),Workforce!$A$2:$A$151,0))*N(INDEX(FTE_Allocation!$F$2:$H$201,$AB1425,$AC1425)),"")))</f>
        <v/>
      </c>
    </row>
    <row r="1426">
      <c r="A1426" s="7">
        <f>IF($Z1426="","",$AD1426)</f>
        <v/>
      </c>
      <c r="B1426" s="7">
        <f>IF($Z1426="C",INDEX(Contracts!$D$2:$D$151,$AB1426)&amp;"",IF($Z1426="A",INDEX(Fixed_Assets!$C$2:$C$201,$AB1426)&amp;"",IF($Z1426="F",INDEX(Workforce!$B$2:$B$151,MATCH(INDEX(FTE_Allocation!$A$2:$A$201,$AB1426),Workforce!$A$2:$A$151,0))&amp;"","")))</f>
        <v/>
      </c>
      <c r="C1426" s="7">
        <f>IF($Z1426="C",INDEX(Contracts!$E$2:$E$151,$AB1426)&amp;"",IF($Z1426="A",INDEX(Fixed_Assets!$D$2:$D$201,$AB1426)&amp;"",IF($Z1426="F",INDEX(FTE_Allocation!$C$2:$C$201,$AB1426)&amp;"","")))</f>
        <v/>
      </c>
      <c r="D1426" s="7">
        <f>IF($Z1426="C",INDEX(Contracts!$B$2:$B$151,$AB1426)&amp;"",IF($Z1426="A",INDEX(Fixed_Assets!$B$2:$B$201,$AB1426)&amp;"",IF($Z1426="F",INDEX(FTE_Allocation!$B$2:$B$201,$AB1426)&amp;"","")))</f>
        <v/>
      </c>
      <c r="E1426" s="7">
        <f>IF($Z1426="C",INDEX(Contracts!$P$2:$P$151,$AB1426)&amp;"",IF($Z1426="A",INDEX(Fixed_Assets!$K$2:$K$201,$AB1426)&amp;"",IF($Z1426="F",IF(INDEX(FTE_Allocation!$D$2:$D$201,$AB1426)="PROJECT",IFERROR(INDEX(Projects!$D:$D,MATCH(INDEX(FTE_Allocation!$E$2:$E$201,$AB1426),Projects!$A:$A,0))&amp;"","#PROJECT?"),INDEX(FTE_Allocation!$E$2:$E$201,$AB1426)&amp;""),"")))</f>
        <v/>
      </c>
      <c r="F1426" s="7">
        <f>IF($Z1426="C",INDEX(Contracts!$Q$2:$Q$151,$AB1426)&amp;"",IF($Z1426="A",INDEX(Fixed_Assets!$L$2:$L$201,$AB1426)&amp;"",IF($Z1426="F",INDEX(Workforce!$K$2:$K$151,MATCH(INDEX(FTE_Allocation!$A$2:$A$201,$AB1426),Workforce!$A$2:$A$151,0))&amp;"","")))</f>
        <v/>
      </c>
      <c r="G1426" s="7">
        <f>IF($Z1426="C",INDEX(Contracts!$F$2:$F$151,$AB1426)&amp;" / "&amp;INDEX(Contracts!$G$2:$G$151,$AB1426),IF($Z1426="A",INDEX(Fixed_Assets!$E$2:$E$201,$AB1426)&amp;"",IF($Z1426="F","Personnel "&amp;INDEX(FTE_Allocation!$A$2:$A$201,$AB1426)&amp;IF(INDEX(FTE_Allocation!$D$2:$D$201,$AB1426)="PROJECT"," ("&amp;INDEX(FTE_Allocation!$E$2:$E$201,$AB1426)&amp;")",""),"")))</f>
        <v/>
      </c>
      <c r="H1426" s="7">
        <f>IF($Z1426="C","CONTRACT",IF($Z1426="A","ASSET",IF($Z1426="F","WORKFORCE","")))</f>
        <v/>
      </c>
      <c r="I1426" s="7">
        <f>IF($Z1426="C",INDEX(Contracts!$L$2:$L$151,$AB1426)&amp;"",IF($Z1426="A",INDEX(Fixed_Assets!$I$2:$I$201,$AB1426)&amp;"",IF($Z1426="F",INDEX(Workforce!$G$2:$G$151,MATCH(INDEX(FTE_Allocation!$A$2:$A$201,$AB1426),Workforce!$A$2:$A$151,0))&amp;"","")))</f>
        <v/>
      </c>
      <c r="J1426" s="18">
        <f>IF($Z1426="","",IF(AND(DATE($AD1426,1,1)&gt;=$AE1426,DATE($AD1426,1,1)&lt;=$AF1426),ROUND($AG1426,2),0))</f>
        <v/>
      </c>
      <c r="K1426" s="18">
        <f>IF($Z1426="","",IF(AND(DATE($AD1426,2,1)&gt;=$AE1426,DATE($AD1426,2,1)&lt;=$AF1426),ROUND($AG1426,2),0))</f>
        <v/>
      </c>
      <c r="L1426" s="18">
        <f>IF($Z1426="","",IF(AND(DATE($AD1426,3,1)&gt;=$AE1426,DATE($AD1426,3,1)&lt;=$AF1426),ROUND($AG1426,2),0))</f>
        <v/>
      </c>
      <c r="M1426" s="18">
        <f>IF($Z1426="","",IF(AND(DATE($AD1426,4,1)&gt;=$AE1426,DATE($AD1426,4,1)&lt;=$AF1426),ROUND($AG1426,2),0))</f>
        <v/>
      </c>
      <c r="N1426" s="18">
        <f>IF($Z1426="","",IF(AND(DATE($AD1426,5,1)&gt;=$AE1426,DATE($AD1426,5,1)&lt;=$AF1426),ROUND($AG1426,2),0))</f>
        <v/>
      </c>
      <c r="O1426" s="18">
        <f>IF($Z1426="","",IF(AND(DATE($AD1426,6,1)&gt;=$AE1426,DATE($AD1426,6,1)&lt;=$AF1426),ROUND($AG1426,2),0))</f>
        <v/>
      </c>
      <c r="P1426" s="18">
        <f>IF($Z1426="","",IF(AND(DATE($AD1426,7,1)&gt;=$AE1426,DATE($AD1426,7,1)&lt;=$AF1426),ROUND($AG1426,2),0))</f>
        <v/>
      </c>
      <c r="Q1426" s="18">
        <f>IF($Z1426="","",IF(AND(DATE($AD1426,8,1)&gt;=$AE1426,DATE($AD1426,8,1)&lt;=$AF1426),ROUND($AG1426,2),0))</f>
        <v/>
      </c>
      <c r="R1426" s="18">
        <f>IF($Z1426="","",IF(AND(DATE($AD1426,9,1)&gt;=$AE1426,DATE($AD1426,9,1)&lt;=$AF1426),ROUND($AG1426,2),0))</f>
        <v/>
      </c>
      <c r="S1426" s="18">
        <f>IF($Z1426="","",IF(AND(DATE($AD1426,10,1)&gt;=$AE1426,DATE($AD1426,10,1)&lt;=$AF1426),ROUND($AG1426,2),0))</f>
        <v/>
      </c>
      <c r="T1426" s="18">
        <f>IF($Z1426="","",IF(AND(DATE($AD1426,11,1)&gt;=$AE1426,DATE($AD1426,11,1)&lt;=$AF1426),ROUND($AG1426,2),0))</f>
        <v/>
      </c>
      <c r="U1426" s="18">
        <f>IF($Z1426="","",IF(AND(DATE($AD1426,12,1)&gt;=$AE1426,DATE($AD1426,12,1)&lt;=$AF1426),ROUND($AG1426,2),0))</f>
        <v/>
      </c>
      <c r="V1426" s="7">
        <f>IF($Z1426="C","Generated from "&amp;INDEX(Contracts!$A$2:$A$151,$AB1426),IF($Z1426="A","Generated from "&amp;INDEX(Fixed_Assets!$A$2:$A$201,$AB1426),IF($Z1426="F","Generated from "&amp;INDEX(FTE_Allocation!$A$2:$A$201,$AB1426),"")))</f>
        <v/>
      </c>
      <c r="X1426" s="19">
        <f>IF($Z1426="","",SUM(J1426:U1426))</f>
        <v/>
      </c>
      <c r="Y1426" s="20">
        <f>ROW()-1</f>
        <v/>
      </c>
      <c r="Z1426" s="20">
        <f>IF($Y1426&lt;=Settings!$B$4*3,"C",IF($Y1426&lt;=(Settings!$B$4+Settings!$B$5)*3,"A",IF($Y1426&lt;=(Settings!$B$4+Settings!$B$5+Settings!$B$6)*3,"F","")))</f>
        <v/>
      </c>
      <c r="AA1426" s="20">
        <f>IF($Z1426="C",$Y1426,IF($Z1426="A",$Y1426-Settings!$B$4*3,IF($Z1426="F",$Y1426-(Settings!$B$4+Settings!$B$5)*3,"")))</f>
        <v/>
      </c>
      <c r="AB1426" s="20">
        <f>IF($Z1426="","",INT(($AA1426-1)/3)+1)</f>
        <v/>
      </c>
      <c r="AC1426" s="20">
        <f>IF($Z1426="","",MOD($AA1426-1,3)+1)</f>
        <v/>
      </c>
      <c r="AD1426" s="20">
        <f>IF($Z1426="","",Settings!$B$2+$AC1426-1)</f>
        <v/>
      </c>
      <c r="AE1426" s="21">
        <f>IF($Z1426="C",DATE(YEAR(INDEX(Contracts!$J$2:$J$151,$AB1426)),MONTH(INDEX(Contracts!$J$2:$J$151,$AB1426)),1),IF($Z1426="A",DATE(YEAR(INDEX(Fixed_Assets!$G$2:$G$201,$AB1426)),MONTH(INDEX(Fixed_Assets!$G$2:$G$201,$AB1426)),1),IF($Z1426="F",DATE(YEAR(MAX(N(INDEX(Workforce!$I$2:$I$151,MATCH(INDEX(FTE_Allocation!$A$2:$A$201,$AB1426),Workforce!$A$2:$A$151,0))),N(INDEX(FTE_Allocation!$I$2:$I$201,$AB1426)))),MONTH(MAX(N(INDEX(Workforce!$I$2:$I$151,MATCH(INDEX(FTE_Allocation!$A$2:$A$201,$AB1426),Workforce!$A$2:$A$151,0))),N(INDEX(FTE_Allocation!$I$2:$I$201,$AB1426)))),1),"")))</f>
        <v/>
      </c>
      <c r="AF1426" s="21">
        <f>IF($Z1426="C",IF(INDEX(Contracts!$I$2:$I$151,$AB1426)="PREPAID",EDATE(DATE(YEAR(INDEX(Contracts!$J$2:$J$151,$AB1426)),MONTH(INDEX(Contracts!$J$2:$J$151,$AB1426)),1),IF(INDEX(Contracts!$N$2:$N$151,$AB1426)="",12,INDEX(Contracts!$N$2:$N$151,$AB1426))-1),IF(INDEX(Contracts!$I$2:$I$151,$AB1426)="MONTHLY",IF(INDEX(Contracts!$K$2:$K$151,$AB1426)="",2958101,INDEX(Contracts!$K$2:$K$151,$AB1426)),0)),IF($Z1426="A",EDATE(DATE(YEAR(INDEX(Fixed_Assets!$G$2:$G$201,$AB1426)),MONTH(INDEX(Fixed_Assets!$G$2:$G$201,$AB1426)),1),INDEX(Fixed_Assets!$J$2:$J$201,$AB1426)-1),IF($Z1426="F",MIN(IF(INDEX(Workforce!$J$2:$J$151,MATCH(INDEX(FTE_Allocation!$A$2:$A$201,$AB1426),Workforce!$A$2:$A$151,0))="",2958101,INDEX(Workforce!$J$2:$J$151,MATCH(INDEX(FTE_Allocation!$A$2:$A$201,$AB1426),Workforce!$A$2:$A$151,0))),IF(INDEX(FTE_Allocation!$J$2:$J$201,$AB1426)="",2958101,INDEX(FTE_Allocation!$J$2:$J$201,$AB1426))),"")))</f>
        <v/>
      </c>
      <c r="AG1426" s="19">
        <f>IF($Z1426="C",IF(INDEX(Contracts!$I$2:$I$151,$AB1426)="PREPAID",INDEX(Contracts!$M$2:$M$151,$AB1426)/IF(INDEX(Contracts!$N$2:$N$151,$AB1426)="",12,INDEX(Contracts!$N$2:$N$151,$AB1426)),IF(INDEX(Contracts!$I$2:$I$151,$AB1426)="MONTHLY",INDEX(Contracts!$M$2:$M$151,$AB1426),0))*(1-N(INDEX(Contracts!$O$2:$O$151,$AB1426))),IF($Z1426="A",INDEX(Fixed_Assets!$H$2:$H$201,$AB1426)/INDEX(Fixed_Assets!$J$2:$J$201,$AB1426),IF($Z1426="F",INDEX(Workforce!$F$2:$F$151,MATCH(INDEX(FTE_Allocation!$A$2:$A$201,$AB1426),Workforce!$A$2:$A$151,0))*N(INDEX(FTE_Allocation!$F$2:$H$201,$AB1426,$AC1426)),"")))</f>
        <v/>
      </c>
    </row>
    <row r="1427">
      <c r="A1427" s="7">
        <f>IF($Z1427="","",$AD1427)</f>
        <v/>
      </c>
      <c r="B1427" s="7">
        <f>IF($Z1427="C",INDEX(Contracts!$D$2:$D$151,$AB1427)&amp;"",IF($Z1427="A",INDEX(Fixed_Assets!$C$2:$C$201,$AB1427)&amp;"",IF($Z1427="F",INDEX(Workforce!$B$2:$B$151,MATCH(INDEX(FTE_Allocation!$A$2:$A$201,$AB1427),Workforce!$A$2:$A$151,0))&amp;"","")))</f>
        <v/>
      </c>
      <c r="C1427" s="7">
        <f>IF($Z1427="C",INDEX(Contracts!$E$2:$E$151,$AB1427)&amp;"",IF($Z1427="A",INDEX(Fixed_Assets!$D$2:$D$201,$AB1427)&amp;"",IF($Z1427="F",INDEX(FTE_Allocation!$C$2:$C$201,$AB1427)&amp;"","")))</f>
        <v/>
      </c>
      <c r="D1427" s="7">
        <f>IF($Z1427="C",INDEX(Contracts!$B$2:$B$151,$AB1427)&amp;"",IF($Z1427="A",INDEX(Fixed_Assets!$B$2:$B$201,$AB1427)&amp;"",IF($Z1427="F",INDEX(FTE_Allocation!$B$2:$B$201,$AB1427)&amp;"","")))</f>
        <v/>
      </c>
      <c r="E1427" s="7">
        <f>IF($Z1427="C",INDEX(Contracts!$P$2:$P$151,$AB1427)&amp;"",IF($Z1427="A",INDEX(Fixed_Assets!$K$2:$K$201,$AB1427)&amp;"",IF($Z1427="F",IF(INDEX(FTE_Allocation!$D$2:$D$201,$AB1427)="PROJECT",IFERROR(INDEX(Projects!$D:$D,MATCH(INDEX(FTE_Allocation!$E$2:$E$201,$AB1427),Projects!$A:$A,0))&amp;"","#PROJECT?"),INDEX(FTE_Allocation!$E$2:$E$201,$AB1427)&amp;""),"")))</f>
        <v/>
      </c>
      <c r="F1427" s="7">
        <f>IF($Z1427="C",INDEX(Contracts!$Q$2:$Q$151,$AB1427)&amp;"",IF($Z1427="A",INDEX(Fixed_Assets!$L$2:$L$201,$AB1427)&amp;"",IF($Z1427="F",INDEX(Workforce!$K$2:$K$151,MATCH(INDEX(FTE_Allocation!$A$2:$A$201,$AB1427),Workforce!$A$2:$A$151,0))&amp;"","")))</f>
        <v/>
      </c>
      <c r="G1427" s="7">
        <f>IF($Z1427="C",INDEX(Contracts!$F$2:$F$151,$AB1427)&amp;" / "&amp;INDEX(Contracts!$G$2:$G$151,$AB1427),IF($Z1427="A",INDEX(Fixed_Assets!$E$2:$E$201,$AB1427)&amp;"",IF($Z1427="F","Personnel "&amp;INDEX(FTE_Allocation!$A$2:$A$201,$AB1427)&amp;IF(INDEX(FTE_Allocation!$D$2:$D$201,$AB1427)="PROJECT"," ("&amp;INDEX(FTE_Allocation!$E$2:$E$201,$AB1427)&amp;")",""),"")))</f>
        <v/>
      </c>
      <c r="H1427" s="7">
        <f>IF($Z1427="C","CONTRACT",IF($Z1427="A","ASSET",IF($Z1427="F","WORKFORCE","")))</f>
        <v/>
      </c>
      <c r="I1427" s="7">
        <f>IF($Z1427="C",INDEX(Contracts!$L$2:$L$151,$AB1427)&amp;"",IF($Z1427="A",INDEX(Fixed_Assets!$I$2:$I$201,$AB1427)&amp;"",IF($Z1427="F",INDEX(Workforce!$G$2:$G$151,MATCH(INDEX(FTE_Allocation!$A$2:$A$201,$AB1427),Workforce!$A$2:$A$151,0))&amp;"","")))</f>
        <v/>
      </c>
      <c r="J1427" s="18">
        <f>IF($Z1427="","",IF(AND(DATE($AD1427,1,1)&gt;=$AE1427,DATE($AD1427,1,1)&lt;=$AF1427),ROUND($AG1427,2),0))</f>
        <v/>
      </c>
      <c r="K1427" s="18">
        <f>IF($Z1427="","",IF(AND(DATE($AD1427,2,1)&gt;=$AE1427,DATE($AD1427,2,1)&lt;=$AF1427),ROUND($AG1427,2),0))</f>
        <v/>
      </c>
      <c r="L1427" s="18">
        <f>IF($Z1427="","",IF(AND(DATE($AD1427,3,1)&gt;=$AE1427,DATE($AD1427,3,1)&lt;=$AF1427),ROUND($AG1427,2),0))</f>
        <v/>
      </c>
      <c r="M1427" s="18">
        <f>IF($Z1427="","",IF(AND(DATE($AD1427,4,1)&gt;=$AE1427,DATE($AD1427,4,1)&lt;=$AF1427),ROUND($AG1427,2),0))</f>
        <v/>
      </c>
      <c r="N1427" s="18">
        <f>IF($Z1427="","",IF(AND(DATE($AD1427,5,1)&gt;=$AE1427,DATE($AD1427,5,1)&lt;=$AF1427),ROUND($AG1427,2),0))</f>
        <v/>
      </c>
      <c r="O1427" s="18">
        <f>IF($Z1427="","",IF(AND(DATE($AD1427,6,1)&gt;=$AE1427,DATE($AD1427,6,1)&lt;=$AF1427),ROUND($AG1427,2),0))</f>
        <v/>
      </c>
      <c r="P1427" s="18">
        <f>IF($Z1427="","",IF(AND(DATE($AD1427,7,1)&gt;=$AE1427,DATE($AD1427,7,1)&lt;=$AF1427),ROUND($AG1427,2),0))</f>
        <v/>
      </c>
      <c r="Q1427" s="18">
        <f>IF($Z1427="","",IF(AND(DATE($AD1427,8,1)&gt;=$AE1427,DATE($AD1427,8,1)&lt;=$AF1427),ROUND($AG1427,2),0))</f>
        <v/>
      </c>
      <c r="R1427" s="18">
        <f>IF($Z1427="","",IF(AND(DATE($AD1427,9,1)&gt;=$AE1427,DATE($AD1427,9,1)&lt;=$AF1427),ROUND($AG1427,2),0))</f>
        <v/>
      </c>
      <c r="S1427" s="18">
        <f>IF($Z1427="","",IF(AND(DATE($AD1427,10,1)&gt;=$AE1427,DATE($AD1427,10,1)&lt;=$AF1427),ROUND($AG1427,2),0))</f>
        <v/>
      </c>
      <c r="T1427" s="18">
        <f>IF($Z1427="","",IF(AND(DATE($AD1427,11,1)&gt;=$AE1427,DATE($AD1427,11,1)&lt;=$AF1427),ROUND($AG1427,2),0))</f>
        <v/>
      </c>
      <c r="U1427" s="18">
        <f>IF($Z1427="","",IF(AND(DATE($AD1427,12,1)&gt;=$AE1427,DATE($AD1427,12,1)&lt;=$AF1427),ROUND($AG1427,2),0))</f>
        <v/>
      </c>
      <c r="V1427" s="7">
        <f>IF($Z1427="C","Generated from "&amp;INDEX(Contracts!$A$2:$A$151,$AB1427),IF($Z1427="A","Generated from "&amp;INDEX(Fixed_Assets!$A$2:$A$201,$AB1427),IF($Z1427="F","Generated from "&amp;INDEX(FTE_Allocation!$A$2:$A$201,$AB1427),"")))</f>
        <v/>
      </c>
      <c r="X1427" s="19">
        <f>IF($Z1427="","",SUM(J1427:U1427))</f>
        <v/>
      </c>
      <c r="Y1427" s="20">
        <f>ROW()-1</f>
        <v/>
      </c>
      <c r="Z1427" s="20">
        <f>IF($Y1427&lt;=Settings!$B$4*3,"C",IF($Y1427&lt;=(Settings!$B$4+Settings!$B$5)*3,"A",IF($Y1427&lt;=(Settings!$B$4+Settings!$B$5+Settings!$B$6)*3,"F","")))</f>
        <v/>
      </c>
      <c r="AA1427" s="20">
        <f>IF($Z1427="C",$Y1427,IF($Z1427="A",$Y1427-Settings!$B$4*3,IF($Z1427="F",$Y1427-(Settings!$B$4+Settings!$B$5)*3,"")))</f>
        <v/>
      </c>
      <c r="AB1427" s="20">
        <f>IF($Z1427="","",INT(($AA1427-1)/3)+1)</f>
        <v/>
      </c>
      <c r="AC1427" s="20">
        <f>IF($Z1427="","",MOD($AA1427-1,3)+1)</f>
        <v/>
      </c>
      <c r="AD1427" s="20">
        <f>IF($Z1427="","",Settings!$B$2+$AC1427-1)</f>
        <v/>
      </c>
      <c r="AE1427" s="21">
        <f>IF($Z1427="C",DATE(YEAR(INDEX(Contracts!$J$2:$J$151,$AB1427)),MONTH(INDEX(Contracts!$J$2:$J$151,$AB1427)),1),IF($Z1427="A",DATE(YEAR(INDEX(Fixed_Assets!$G$2:$G$201,$AB1427)),MONTH(INDEX(Fixed_Assets!$G$2:$G$201,$AB1427)),1),IF($Z1427="F",DATE(YEAR(MAX(N(INDEX(Workforce!$I$2:$I$151,MATCH(INDEX(FTE_Allocation!$A$2:$A$201,$AB1427),Workforce!$A$2:$A$151,0))),N(INDEX(FTE_Allocation!$I$2:$I$201,$AB1427)))),MONTH(MAX(N(INDEX(Workforce!$I$2:$I$151,MATCH(INDEX(FTE_Allocation!$A$2:$A$201,$AB1427),Workforce!$A$2:$A$151,0))),N(INDEX(FTE_Allocation!$I$2:$I$201,$AB1427)))),1),"")))</f>
        <v/>
      </c>
      <c r="AF1427" s="21">
        <f>IF($Z1427="C",IF(INDEX(Contracts!$I$2:$I$151,$AB1427)="PREPAID",EDATE(DATE(YEAR(INDEX(Contracts!$J$2:$J$151,$AB1427)),MONTH(INDEX(Contracts!$J$2:$J$151,$AB1427)),1),IF(INDEX(Contracts!$N$2:$N$151,$AB1427)="",12,INDEX(Contracts!$N$2:$N$151,$AB1427))-1),IF(INDEX(Contracts!$I$2:$I$151,$AB1427)="MONTHLY",IF(INDEX(Contracts!$K$2:$K$151,$AB1427)="",2958101,INDEX(Contracts!$K$2:$K$151,$AB1427)),0)),IF($Z1427="A",EDATE(DATE(YEAR(INDEX(Fixed_Assets!$G$2:$G$201,$AB1427)),MONTH(INDEX(Fixed_Assets!$G$2:$G$201,$AB1427)),1),INDEX(Fixed_Assets!$J$2:$J$201,$AB1427)-1),IF($Z1427="F",MIN(IF(INDEX(Workforce!$J$2:$J$151,MATCH(INDEX(FTE_Allocation!$A$2:$A$201,$AB1427),Workforce!$A$2:$A$151,0))="",2958101,INDEX(Workforce!$J$2:$J$151,MATCH(INDEX(FTE_Allocation!$A$2:$A$201,$AB1427),Workforce!$A$2:$A$151,0))),IF(INDEX(FTE_Allocation!$J$2:$J$201,$AB1427)="",2958101,INDEX(FTE_Allocation!$J$2:$J$201,$AB1427))),"")))</f>
        <v/>
      </c>
      <c r="AG1427" s="19">
        <f>IF($Z1427="C",IF(INDEX(Contracts!$I$2:$I$151,$AB1427)="PREPAID",INDEX(Contracts!$M$2:$M$151,$AB1427)/IF(INDEX(Contracts!$N$2:$N$151,$AB1427)="",12,INDEX(Contracts!$N$2:$N$151,$AB1427)),IF(INDEX(Contracts!$I$2:$I$151,$AB1427)="MONTHLY",INDEX(Contracts!$M$2:$M$151,$AB1427),0))*(1-N(INDEX(Contracts!$O$2:$O$151,$AB1427))),IF($Z1427="A",INDEX(Fixed_Assets!$H$2:$H$201,$AB1427)/INDEX(Fixed_Assets!$J$2:$J$201,$AB1427),IF($Z1427="F",INDEX(Workforce!$F$2:$F$151,MATCH(INDEX(FTE_Allocation!$A$2:$A$201,$AB1427),Workforce!$A$2:$A$151,0))*N(INDEX(FTE_Allocation!$F$2:$H$201,$AB1427,$AC1427)),"")))</f>
        <v/>
      </c>
    </row>
    <row r="1428">
      <c r="A1428" s="7">
        <f>IF($Z1428="","",$AD1428)</f>
        <v/>
      </c>
      <c r="B1428" s="7">
        <f>IF($Z1428="C",INDEX(Contracts!$D$2:$D$151,$AB1428)&amp;"",IF($Z1428="A",INDEX(Fixed_Assets!$C$2:$C$201,$AB1428)&amp;"",IF($Z1428="F",INDEX(Workforce!$B$2:$B$151,MATCH(INDEX(FTE_Allocation!$A$2:$A$201,$AB1428),Workforce!$A$2:$A$151,0))&amp;"","")))</f>
        <v/>
      </c>
      <c r="C1428" s="7">
        <f>IF($Z1428="C",INDEX(Contracts!$E$2:$E$151,$AB1428)&amp;"",IF($Z1428="A",INDEX(Fixed_Assets!$D$2:$D$201,$AB1428)&amp;"",IF($Z1428="F",INDEX(FTE_Allocation!$C$2:$C$201,$AB1428)&amp;"","")))</f>
        <v/>
      </c>
      <c r="D1428" s="7">
        <f>IF($Z1428="C",INDEX(Contracts!$B$2:$B$151,$AB1428)&amp;"",IF($Z1428="A",INDEX(Fixed_Assets!$B$2:$B$201,$AB1428)&amp;"",IF($Z1428="F",INDEX(FTE_Allocation!$B$2:$B$201,$AB1428)&amp;"","")))</f>
        <v/>
      </c>
      <c r="E1428" s="7">
        <f>IF($Z1428="C",INDEX(Contracts!$P$2:$P$151,$AB1428)&amp;"",IF($Z1428="A",INDEX(Fixed_Assets!$K$2:$K$201,$AB1428)&amp;"",IF($Z1428="F",IF(INDEX(FTE_Allocation!$D$2:$D$201,$AB1428)="PROJECT",IFERROR(INDEX(Projects!$D:$D,MATCH(INDEX(FTE_Allocation!$E$2:$E$201,$AB1428),Projects!$A:$A,0))&amp;"","#PROJECT?"),INDEX(FTE_Allocation!$E$2:$E$201,$AB1428)&amp;""),"")))</f>
        <v/>
      </c>
      <c r="F1428" s="7">
        <f>IF($Z1428="C",INDEX(Contracts!$Q$2:$Q$151,$AB1428)&amp;"",IF($Z1428="A",INDEX(Fixed_Assets!$L$2:$L$201,$AB1428)&amp;"",IF($Z1428="F",INDEX(Workforce!$K$2:$K$151,MATCH(INDEX(FTE_Allocation!$A$2:$A$201,$AB1428),Workforce!$A$2:$A$151,0))&amp;"","")))</f>
        <v/>
      </c>
      <c r="G1428" s="7">
        <f>IF($Z1428="C",INDEX(Contracts!$F$2:$F$151,$AB1428)&amp;" / "&amp;INDEX(Contracts!$G$2:$G$151,$AB1428),IF($Z1428="A",INDEX(Fixed_Assets!$E$2:$E$201,$AB1428)&amp;"",IF($Z1428="F","Personnel "&amp;INDEX(FTE_Allocation!$A$2:$A$201,$AB1428)&amp;IF(INDEX(FTE_Allocation!$D$2:$D$201,$AB1428)="PROJECT"," ("&amp;INDEX(FTE_Allocation!$E$2:$E$201,$AB1428)&amp;")",""),"")))</f>
        <v/>
      </c>
      <c r="H1428" s="7">
        <f>IF($Z1428="C","CONTRACT",IF($Z1428="A","ASSET",IF($Z1428="F","WORKFORCE","")))</f>
        <v/>
      </c>
      <c r="I1428" s="7">
        <f>IF($Z1428="C",INDEX(Contracts!$L$2:$L$151,$AB1428)&amp;"",IF($Z1428="A",INDEX(Fixed_Assets!$I$2:$I$201,$AB1428)&amp;"",IF($Z1428="F",INDEX(Workforce!$G$2:$G$151,MATCH(INDEX(FTE_Allocation!$A$2:$A$201,$AB1428),Workforce!$A$2:$A$151,0))&amp;"","")))</f>
        <v/>
      </c>
      <c r="J1428" s="18">
        <f>IF($Z1428="","",IF(AND(DATE($AD1428,1,1)&gt;=$AE1428,DATE($AD1428,1,1)&lt;=$AF1428),ROUND($AG1428,2),0))</f>
        <v/>
      </c>
      <c r="K1428" s="18">
        <f>IF($Z1428="","",IF(AND(DATE($AD1428,2,1)&gt;=$AE1428,DATE($AD1428,2,1)&lt;=$AF1428),ROUND($AG1428,2),0))</f>
        <v/>
      </c>
      <c r="L1428" s="18">
        <f>IF($Z1428="","",IF(AND(DATE($AD1428,3,1)&gt;=$AE1428,DATE($AD1428,3,1)&lt;=$AF1428),ROUND($AG1428,2),0))</f>
        <v/>
      </c>
      <c r="M1428" s="18">
        <f>IF($Z1428="","",IF(AND(DATE($AD1428,4,1)&gt;=$AE1428,DATE($AD1428,4,1)&lt;=$AF1428),ROUND($AG1428,2),0))</f>
        <v/>
      </c>
      <c r="N1428" s="18">
        <f>IF($Z1428="","",IF(AND(DATE($AD1428,5,1)&gt;=$AE1428,DATE($AD1428,5,1)&lt;=$AF1428),ROUND($AG1428,2),0))</f>
        <v/>
      </c>
      <c r="O1428" s="18">
        <f>IF($Z1428="","",IF(AND(DATE($AD1428,6,1)&gt;=$AE1428,DATE($AD1428,6,1)&lt;=$AF1428),ROUND($AG1428,2),0))</f>
        <v/>
      </c>
      <c r="P1428" s="18">
        <f>IF($Z1428="","",IF(AND(DATE($AD1428,7,1)&gt;=$AE1428,DATE($AD1428,7,1)&lt;=$AF1428),ROUND($AG1428,2),0))</f>
        <v/>
      </c>
      <c r="Q1428" s="18">
        <f>IF($Z1428="","",IF(AND(DATE($AD1428,8,1)&gt;=$AE1428,DATE($AD1428,8,1)&lt;=$AF1428),ROUND($AG1428,2),0))</f>
        <v/>
      </c>
      <c r="R1428" s="18">
        <f>IF($Z1428="","",IF(AND(DATE($AD1428,9,1)&gt;=$AE1428,DATE($AD1428,9,1)&lt;=$AF1428),ROUND($AG1428,2),0))</f>
        <v/>
      </c>
      <c r="S1428" s="18">
        <f>IF($Z1428="","",IF(AND(DATE($AD1428,10,1)&gt;=$AE1428,DATE($AD1428,10,1)&lt;=$AF1428),ROUND($AG1428,2),0))</f>
        <v/>
      </c>
      <c r="T1428" s="18">
        <f>IF($Z1428="","",IF(AND(DATE($AD1428,11,1)&gt;=$AE1428,DATE($AD1428,11,1)&lt;=$AF1428),ROUND($AG1428,2),0))</f>
        <v/>
      </c>
      <c r="U1428" s="18">
        <f>IF($Z1428="","",IF(AND(DATE($AD1428,12,1)&gt;=$AE1428,DATE($AD1428,12,1)&lt;=$AF1428),ROUND($AG1428,2),0))</f>
        <v/>
      </c>
      <c r="V1428" s="7">
        <f>IF($Z1428="C","Generated from "&amp;INDEX(Contracts!$A$2:$A$151,$AB1428),IF($Z1428="A","Generated from "&amp;INDEX(Fixed_Assets!$A$2:$A$201,$AB1428),IF($Z1428="F","Generated from "&amp;INDEX(FTE_Allocation!$A$2:$A$201,$AB1428),"")))</f>
        <v/>
      </c>
      <c r="X1428" s="19">
        <f>IF($Z1428="","",SUM(J1428:U1428))</f>
        <v/>
      </c>
      <c r="Y1428" s="20">
        <f>ROW()-1</f>
        <v/>
      </c>
      <c r="Z1428" s="20">
        <f>IF($Y1428&lt;=Settings!$B$4*3,"C",IF($Y1428&lt;=(Settings!$B$4+Settings!$B$5)*3,"A",IF($Y1428&lt;=(Settings!$B$4+Settings!$B$5+Settings!$B$6)*3,"F","")))</f>
        <v/>
      </c>
      <c r="AA1428" s="20">
        <f>IF($Z1428="C",$Y1428,IF($Z1428="A",$Y1428-Settings!$B$4*3,IF($Z1428="F",$Y1428-(Settings!$B$4+Settings!$B$5)*3,"")))</f>
        <v/>
      </c>
      <c r="AB1428" s="20">
        <f>IF($Z1428="","",INT(($AA1428-1)/3)+1)</f>
        <v/>
      </c>
      <c r="AC1428" s="20">
        <f>IF($Z1428="","",MOD($AA1428-1,3)+1)</f>
        <v/>
      </c>
      <c r="AD1428" s="20">
        <f>IF($Z1428="","",Settings!$B$2+$AC1428-1)</f>
        <v/>
      </c>
      <c r="AE1428" s="21">
        <f>IF($Z1428="C",DATE(YEAR(INDEX(Contracts!$J$2:$J$151,$AB1428)),MONTH(INDEX(Contracts!$J$2:$J$151,$AB1428)),1),IF($Z1428="A",DATE(YEAR(INDEX(Fixed_Assets!$G$2:$G$201,$AB1428)),MONTH(INDEX(Fixed_Assets!$G$2:$G$201,$AB1428)),1),IF($Z1428="F",DATE(YEAR(MAX(N(INDEX(Workforce!$I$2:$I$151,MATCH(INDEX(FTE_Allocation!$A$2:$A$201,$AB1428),Workforce!$A$2:$A$151,0))),N(INDEX(FTE_Allocation!$I$2:$I$201,$AB1428)))),MONTH(MAX(N(INDEX(Workforce!$I$2:$I$151,MATCH(INDEX(FTE_Allocation!$A$2:$A$201,$AB1428),Workforce!$A$2:$A$151,0))),N(INDEX(FTE_Allocation!$I$2:$I$201,$AB1428)))),1),"")))</f>
        <v/>
      </c>
      <c r="AF1428" s="21">
        <f>IF($Z1428="C",IF(INDEX(Contracts!$I$2:$I$151,$AB1428)="PREPAID",EDATE(DATE(YEAR(INDEX(Contracts!$J$2:$J$151,$AB1428)),MONTH(INDEX(Contracts!$J$2:$J$151,$AB1428)),1),IF(INDEX(Contracts!$N$2:$N$151,$AB1428)="",12,INDEX(Contracts!$N$2:$N$151,$AB1428))-1),IF(INDEX(Contracts!$I$2:$I$151,$AB1428)="MONTHLY",IF(INDEX(Contracts!$K$2:$K$151,$AB1428)="",2958101,INDEX(Contracts!$K$2:$K$151,$AB1428)),0)),IF($Z1428="A",EDATE(DATE(YEAR(INDEX(Fixed_Assets!$G$2:$G$201,$AB1428)),MONTH(INDEX(Fixed_Assets!$G$2:$G$201,$AB1428)),1),INDEX(Fixed_Assets!$J$2:$J$201,$AB1428)-1),IF($Z1428="F",MIN(IF(INDEX(Workforce!$J$2:$J$151,MATCH(INDEX(FTE_Allocation!$A$2:$A$201,$AB1428),Workforce!$A$2:$A$151,0))="",2958101,INDEX(Workforce!$J$2:$J$151,MATCH(INDEX(FTE_Allocation!$A$2:$A$201,$AB1428),Workforce!$A$2:$A$151,0))),IF(INDEX(FTE_Allocation!$J$2:$J$201,$AB1428)="",2958101,INDEX(FTE_Allocation!$J$2:$J$201,$AB1428))),"")))</f>
        <v/>
      </c>
      <c r="AG1428" s="19">
        <f>IF($Z1428="C",IF(INDEX(Contracts!$I$2:$I$151,$AB1428)="PREPAID",INDEX(Contracts!$M$2:$M$151,$AB1428)/IF(INDEX(Contracts!$N$2:$N$151,$AB1428)="",12,INDEX(Contracts!$N$2:$N$151,$AB1428)),IF(INDEX(Contracts!$I$2:$I$151,$AB1428)="MONTHLY",INDEX(Contracts!$M$2:$M$151,$AB1428),0))*(1-N(INDEX(Contracts!$O$2:$O$151,$AB1428))),IF($Z1428="A",INDEX(Fixed_Assets!$H$2:$H$201,$AB1428)/INDEX(Fixed_Assets!$J$2:$J$201,$AB1428),IF($Z1428="F",INDEX(Workforce!$F$2:$F$151,MATCH(INDEX(FTE_Allocation!$A$2:$A$201,$AB1428),Workforce!$A$2:$A$151,0))*N(INDEX(FTE_Allocation!$F$2:$H$201,$AB1428,$AC1428)),"")))</f>
        <v/>
      </c>
    </row>
    <row r="1429">
      <c r="A1429" s="7">
        <f>IF($Z1429="","",$AD1429)</f>
        <v/>
      </c>
      <c r="B1429" s="7">
        <f>IF($Z1429="C",INDEX(Contracts!$D$2:$D$151,$AB1429)&amp;"",IF($Z1429="A",INDEX(Fixed_Assets!$C$2:$C$201,$AB1429)&amp;"",IF($Z1429="F",INDEX(Workforce!$B$2:$B$151,MATCH(INDEX(FTE_Allocation!$A$2:$A$201,$AB1429),Workforce!$A$2:$A$151,0))&amp;"","")))</f>
        <v/>
      </c>
      <c r="C1429" s="7">
        <f>IF($Z1429="C",INDEX(Contracts!$E$2:$E$151,$AB1429)&amp;"",IF($Z1429="A",INDEX(Fixed_Assets!$D$2:$D$201,$AB1429)&amp;"",IF($Z1429="F",INDEX(FTE_Allocation!$C$2:$C$201,$AB1429)&amp;"","")))</f>
        <v/>
      </c>
      <c r="D1429" s="7">
        <f>IF($Z1429="C",INDEX(Contracts!$B$2:$B$151,$AB1429)&amp;"",IF($Z1429="A",INDEX(Fixed_Assets!$B$2:$B$201,$AB1429)&amp;"",IF($Z1429="F",INDEX(FTE_Allocation!$B$2:$B$201,$AB1429)&amp;"","")))</f>
        <v/>
      </c>
      <c r="E1429" s="7">
        <f>IF($Z1429="C",INDEX(Contracts!$P$2:$P$151,$AB1429)&amp;"",IF($Z1429="A",INDEX(Fixed_Assets!$K$2:$K$201,$AB1429)&amp;"",IF($Z1429="F",IF(INDEX(FTE_Allocation!$D$2:$D$201,$AB1429)="PROJECT",IFERROR(INDEX(Projects!$D:$D,MATCH(INDEX(FTE_Allocation!$E$2:$E$201,$AB1429),Projects!$A:$A,0))&amp;"","#PROJECT?"),INDEX(FTE_Allocation!$E$2:$E$201,$AB1429)&amp;""),"")))</f>
        <v/>
      </c>
      <c r="F1429" s="7">
        <f>IF($Z1429="C",INDEX(Contracts!$Q$2:$Q$151,$AB1429)&amp;"",IF($Z1429="A",INDEX(Fixed_Assets!$L$2:$L$201,$AB1429)&amp;"",IF($Z1429="F",INDEX(Workforce!$K$2:$K$151,MATCH(INDEX(FTE_Allocation!$A$2:$A$201,$AB1429),Workforce!$A$2:$A$151,0))&amp;"","")))</f>
        <v/>
      </c>
      <c r="G1429" s="7">
        <f>IF($Z1429="C",INDEX(Contracts!$F$2:$F$151,$AB1429)&amp;" / "&amp;INDEX(Contracts!$G$2:$G$151,$AB1429),IF($Z1429="A",INDEX(Fixed_Assets!$E$2:$E$201,$AB1429)&amp;"",IF($Z1429="F","Personnel "&amp;INDEX(FTE_Allocation!$A$2:$A$201,$AB1429)&amp;IF(INDEX(FTE_Allocation!$D$2:$D$201,$AB1429)="PROJECT"," ("&amp;INDEX(FTE_Allocation!$E$2:$E$201,$AB1429)&amp;")",""),"")))</f>
        <v/>
      </c>
      <c r="H1429" s="7">
        <f>IF($Z1429="C","CONTRACT",IF($Z1429="A","ASSET",IF($Z1429="F","WORKFORCE","")))</f>
        <v/>
      </c>
      <c r="I1429" s="7">
        <f>IF($Z1429="C",INDEX(Contracts!$L$2:$L$151,$AB1429)&amp;"",IF($Z1429="A",INDEX(Fixed_Assets!$I$2:$I$201,$AB1429)&amp;"",IF($Z1429="F",INDEX(Workforce!$G$2:$G$151,MATCH(INDEX(FTE_Allocation!$A$2:$A$201,$AB1429),Workforce!$A$2:$A$151,0))&amp;"","")))</f>
        <v/>
      </c>
      <c r="J1429" s="18">
        <f>IF($Z1429="","",IF(AND(DATE($AD1429,1,1)&gt;=$AE1429,DATE($AD1429,1,1)&lt;=$AF1429),ROUND($AG1429,2),0))</f>
        <v/>
      </c>
      <c r="K1429" s="18">
        <f>IF($Z1429="","",IF(AND(DATE($AD1429,2,1)&gt;=$AE1429,DATE($AD1429,2,1)&lt;=$AF1429),ROUND($AG1429,2),0))</f>
        <v/>
      </c>
      <c r="L1429" s="18">
        <f>IF($Z1429="","",IF(AND(DATE($AD1429,3,1)&gt;=$AE1429,DATE($AD1429,3,1)&lt;=$AF1429),ROUND($AG1429,2),0))</f>
        <v/>
      </c>
      <c r="M1429" s="18">
        <f>IF($Z1429="","",IF(AND(DATE($AD1429,4,1)&gt;=$AE1429,DATE($AD1429,4,1)&lt;=$AF1429),ROUND($AG1429,2),0))</f>
        <v/>
      </c>
      <c r="N1429" s="18">
        <f>IF($Z1429="","",IF(AND(DATE($AD1429,5,1)&gt;=$AE1429,DATE($AD1429,5,1)&lt;=$AF1429),ROUND($AG1429,2),0))</f>
        <v/>
      </c>
      <c r="O1429" s="18">
        <f>IF($Z1429="","",IF(AND(DATE($AD1429,6,1)&gt;=$AE1429,DATE($AD1429,6,1)&lt;=$AF1429),ROUND($AG1429,2),0))</f>
        <v/>
      </c>
      <c r="P1429" s="18">
        <f>IF($Z1429="","",IF(AND(DATE($AD1429,7,1)&gt;=$AE1429,DATE($AD1429,7,1)&lt;=$AF1429),ROUND($AG1429,2),0))</f>
        <v/>
      </c>
      <c r="Q1429" s="18">
        <f>IF($Z1429="","",IF(AND(DATE($AD1429,8,1)&gt;=$AE1429,DATE($AD1429,8,1)&lt;=$AF1429),ROUND($AG1429,2),0))</f>
        <v/>
      </c>
      <c r="R1429" s="18">
        <f>IF($Z1429="","",IF(AND(DATE($AD1429,9,1)&gt;=$AE1429,DATE($AD1429,9,1)&lt;=$AF1429),ROUND($AG1429,2),0))</f>
        <v/>
      </c>
      <c r="S1429" s="18">
        <f>IF($Z1429="","",IF(AND(DATE($AD1429,10,1)&gt;=$AE1429,DATE($AD1429,10,1)&lt;=$AF1429),ROUND($AG1429,2),0))</f>
        <v/>
      </c>
      <c r="T1429" s="18">
        <f>IF($Z1429="","",IF(AND(DATE($AD1429,11,1)&gt;=$AE1429,DATE($AD1429,11,1)&lt;=$AF1429),ROUND($AG1429,2),0))</f>
        <v/>
      </c>
      <c r="U1429" s="18">
        <f>IF($Z1429="","",IF(AND(DATE($AD1429,12,1)&gt;=$AE1429,DATE($AD1429,12,1)&lt;=$AF1429),ROUND($AG1429,2),0))</f>
        <v/>
      </c>
      <c r="V1429" s="7">
        <f>IF($Z1429="C","Generated from "&amp;INDEX(Contracts!$A$2:$A$151,$AB1429),IF($Z1429="A","Generated from "&amp;INDEX(Fixed_Assets!$A$2:$A$201,$AB1429),IF($Z1429="F","Generated from "&amp;INDEX(FTE_Allocation!$A$2:$A$201,$AB1429),"")))</f>
        <v/>
      </c>
      <c r="X1429" s="19">
        <f>IF($Z1429="","",SUM(J1429:U1429))</f>
        <v/>
      </c>
      <c r="Y1429" s="20">
        <f>ROW()-1</f>
        <v/>
      </c>
      <c r="Z1429" s="20">
        <f>IF($Y1429&lt;=Settings!$B$4*3,"C",IF($Y1429&lt;=(Settings!$B$4+Settings!$B$5)*3,"A",IF($Y1429&lt;=(Settings!$B$4+Settings!$B$5+Settings!$B$6)*3,"F","")))</f>
        <v/>
      </c>
      <c r="AA1429" s="20">
        <f>IF($Z1429="C",$Y1429,IF($Z1429="A",$Y1429-Settings!$B$4*3,IF($Z1429="F",$Y1429-(Settings!$B$4+Settings!$B$5)*3,"")))</f>
        <v/>
      </c>
      <c r="AB1429" s="20">
        <f>IF($Z1429="","",INT(($AA1429-1)/3)+1)</f>
        <v/>
      </c>
      <c r="AC1429" s="20">
        <f>IF($Z1429="","",MOD($AA1429-1,3)+1)</f>
        <v/>
      </c>
      <c r="AD1429" s="20">
        <f>IF($Z1429="","",Settings!$B$2+$AC1429-1)</f>
        <v/>
      </c>
      <c r="AE1429" s="21">
        <f>IF($Z1429="C",DATE(YEAR(INDEX(Contracts!$J$2:$J$151,$AB1429)),MONTH(INDEX(Contracts!$J$2:$J$151,$AB1429)),1),IF($Z1429="A",DATE(YEAR(INDEX(Fixed_Assets!$G$2:$G$201,$AB1429)),MONTH(INDEX(Fixed_Assets!$G$2:$G$201,$AB1429)),1),IF($Z1429="F",DATE(YEAR(MAX(N(INDEX(Workforce!$I$2:$I$151,MATCH(INDEX(FTE_Allocation!$A$2:$A$201,$AB1429),Workforce!$A$2:$A$151,0))),N(INDEX(FTE_Allocation!$I$2:$I$201,$AB1429)))),MONTH(MAX(N(INDEX(Workforce!$I$2:$I$151,MATCH(INDEX(FTE_Allocation!$A$2:$A$201,$AB1429),Workforce!$A$2:$A$151,0))),N(INDEX(FTE_Allocation!$I$2:$I$201,$AB1429)))),1),"")))</f>
        <v/>
      </c>
      <c r="AF1429" s="21">
        <f>IF($Z1429="C",IF(INDEX(Contracts!$I$2:$I$151,$AB1429)="PREPAID",EDATE(DATE(YEAR(INDEX(Contracts!$J$2:$J$151,$AB1429)),MONTH(INDEX(Contracts!$J$2:$J$151,$AB1429)),1),IF(INDEX(Contracts!$N$2:$N$151,$AB1429)="",12,INDEX(Contracts!$N$2:$N$151,$AB1429))-1),IF(INDEX(Contracts!$I$2:$I$151,$AB1429)="MONTHLY",IF(INDEX(Contracts!$K$2:$K$151,$AB1429)="",2958101,INDEX(Contracts!$K$2:$K$151,$AB1429)),0)),IF($Z1429="A",EDATE(DATE(YEAR(INDEX(Fixed_Assets!$G$2:$G$201,$AB1429)),MONTH(INDEX(Fixed_Assets!$G$2:$G$201,$AB1429)),1),INDEX(Fixed_Assets!$J$2:$J$201,$AB1429)-1),IF($Z1429="F",MIN(IF(INDEX(Workforce!$J$2:$J$151,MATCH(INDEX(FTE_Allocation!$A$2:$A$201,$AB1429),Workforce!$A$2:$A$151,0))="",2958101,INDEX(Workforce!$J$2:$J$151,MATCH(INDEX(FTE_Allocation!$A$2:$A$201,$AB1429),Workforce!$A$2:$A$151,0))),IF(INDEX(FTE_Allocation!$J$2:$J$201,$AB1429)="",2958101,INDEX(FTE_Allocation!$J$2:$J$201,$AB1429))),"")))</f>
        <v/>
      </c>
      <c r="AG1429" s="19">
        <f>IF($Z1429="C",IF(INDEX(Contracts!$I$2:$I$151,$AB1429)="PREPAID",INDEX(Contracts!$M$2:$M$151,$AB1429)/IF(INDEX(Contracts!$N$2:$N$151,$AB1429)="",12,INDEX(Contracts!$N$2:$N$151,$AB1429)),IF(INDEX(Contracts!$I$2:$I$151,$AB1429)="MONTHLY",INDEX(Contracts!$M$2:$M$151,$AB1429),0))*(1-N(INDEX(Contracts!$O$2:$O$151,$AB1429))),IF($Z1429="A",INDEX(Fixed_Assets!$H$2:$H$201,$AB1429)/INDEX(Fixed_Assets!$J$2:$J$201,$AB1429),IF($Z1429="F",INDEX(Workforce!$F$2:$F$151,MATCH(INDEX(FTE_Allocation!$A$2:$A$201,$AB1429),Workforce!$A$2:$A$151,0))*N(INDEX(FTE_Allocation!$F$2:$H$201,$AB1429,$AC1429)),"")))</f>
        <v/>
      </c>
    </row>
    <row r="1430">
      <c r="A1430" s="7">
        <f>IF($Z1430="","",$AD1430)</f>
        <v/>
      </c>
      <c r="B1430" s="7">
        <f>IF($Z1430="C",INDEX(Contracts!$D$2:$D$151,$AB1430)&amp;"",IF($Z1430="A",INDEX(Fixed_Assets!$C$2:$C$201,$AB1430)&amp;"",IF($Z1430="F",INDEX(Workforce!$B$2:$B$151,MATCH(INDEX(FTE_Allocation!$A$2:$A$201,$AB1430),Workforce!$A$2:$A$151,0))&amp;"","")))</f>
        <v/>
      </c>
      <c r="C1430" s="7">
        <f>IF($Z1430="C",INDEX(Contracts!$E$2:$E$151,$AB1430)&amp;"",IF($Z1430="A",INDEX(Fixed_Assets!$D$2:$D$201,$AB1430)&amp;"",IF($Z1430="F",INDEX(FTE_Allocation!$C$2:$C$201,$AB1430)&amp;"","")))</f>
        <v/>
      </c>
      <c r="D1430" s="7">
        <f>IF($Z1430="C",INDEX(Contracts!$B$2:$B$151,$AB1430)&amp;"",IF($Z1430="A",INDEX(Fixed_Assets!$B$2:$B$201,$AB1430)&amp;"",IF($Z1430="F",INDEX(FTE_Allocation!$B$2:$B$201,$AB1430)&amp;"","")))</f>
        <v/>
      </c>
      <c r="E1430" s="7">
        <f>IF($Z1430="C",INDEX(Contracts!$P$2:$P$151,$AB1430)&amp;"",IF($Z1430="A",INDEX(Fixed_Assets!$K$2:$K$201,$AB1430)&amp;"",IF($Z1430="F",IF(INDEX(FTE_Allocation!$D$2:$D$201,$AB1430)="PROJECT",IFERROR(INDEX(Projects!$D:$D,MATCH(INDEX(FTE_Allocation!$E$2:$E$201,$AB1430),Projects!$A:$A,0))&amp;"","#PROJECT?"),INDEX(FTE_Allocation!$E$2:$E$201,$AB1430)&amp;""),"")))</f>
        <v/>
      </c>
      <c r="F1430" s="7">
        <f>IF($Z1430="C",INDEX(Contracts!$Q$2:$Q$151,$AB1430)&amp;"",IF($Z1430="A",INDEX(Fixed_Assets!$L$2:$L$201,$AB1430)&amp;"",IF($Z1430="F",INDEX(Workforce!$K$2:$K$151,MATCH(INDEX(FTE_Allocation!$A$2:$A$201,$AB1430),Workforce!$A$2:$A$151,0))&amp;"","")))</f>
        <v/>
      </c>
      <c r="G1430" s="7">
        <f>IF($Z1430="C",INDEX(Contracts!$F$2:$F$151,$AB1430)&amp;" / "&amp;INDEX(Contracts!$G$2:$G$151,$AB1430),IF($Z1430="A",INDEX(Fixed_Assets!$E$2:$E$201,$AB1430)&amp;"",IF($Z1430="F","Personnel "&amp;INDEX(FTE_Allocation!$A$2:$A$201,$AB1430)&amp;IF(INDEX(FTE_Allocation!$D$2:$D$201,$AB1430)="PROJECT"," ("&amp;INDEX(FTE_Allocation!$E$2:$E$201,$AB1430)&amp;")",""),"")))</f>
        <v/>
      </c>
      <c r="H1430" s="7">
        <f>IF($Z1430="C","CONTRACT",IF($Z1430="A","ASSET",IF($Z1430="F","WORKFORCE","")))</f>
        <v/>
      </c>
      <c r="I1430" s="7">
        <f>IF($Z1430="C",INDEX(Contracts!$L$2:$L$151,$AB1430)&amp;"",IF($Z1430="A",INDEX(Fixed_Assets!$I$2:$I$201,$AB1430)&amp;"",IF($Z1430="F",INDEX(Workforce!$G$2:$G$151,MATCH(INDEX(FTE_Allocation!$A$2:$A$201,$AB1430),Workforce!$A$2:$A$151,0))&amp;"","")))</f>
        <v/>
      </c>
      <c r="J1430" s="18">
        <f>IF($Z1430="","",IF(AND(DATE($AD1430,1,1)&gt;=$AE1430,DATE($AD1430,1,1)&lt;=$AF1430),ROUND($AG1430,2),0))</f>
        <v/>
      </c>
      <c r="K1430" s="18">
        <f>IF($Z1430="","",IF(AND(DATE($AD1430,2,1)&gt;=$AE1430,DATE($AD1430,2,1)&lt;=$AF1430),ROUND($AG1430,2),0))</f>
        <v/>
      </c>
      <c r="L1430" s="18">
        <f>IF($Z1430="","",IF(AND(DATE($AD1430,3,1)&gt;=$AE1430,DATE($AD1430,3,1)&lt;=$AF1430),ROUND($AG1430,2),0))</f>
        <v/>
      </c>
      <c r="M1430" s="18">
        <f>IF($Z1430="","",IF(AND(DATE($AD1430,4,1)&gt;=$AE1430,DATE($AD1430,4,1)&lt;=$AF1430),ROUND($AG1430,2),0))</f>
        <v/>
      </c>
      <c r="N1430" s="18">
        <f>IF($Z1430="","",IF(AND(DATE($AD1430,5,1)&gt;=$AE1430,DATE($AD1430,5,1)&lt;=$AF1430),ROUND($AG1430,2),0))</f>
        <v/>
      </c>
      <c r="O1430" s="18">
        <f>IF($Z1430="","",IF(AND(DATE($AD1430,6,1)&gt;=$AE1430,DATE($AD1430,6,1)&lt;=$AF1430),ROUND($AG1430,2),0))</f>
        <v/>
      </c>
      <c r="P1430" s="18">
        <f>IF($Z1430="","",IF(AND(DATE($AD1430,7,1)&gt;=$AE1430,DATE($AD1430,7,1)&lt;=$AF1430),ROUND($AG1430,2),0))</f>
        <v/>
      </c>
      <c r="Q1430" s="18">
        <f>IF($Z1430="","",IF(AND(DATE($AD1430,8,1)&gt;=$AE1430,DATE($AD1430,8,1)&lt;=$AF1430),ROUND($AG1430,2),0))</f>
        <v/>
      </c>
      <c r="R1430" s="18">
        <f>IF($Z1430="","",IF(AND(DATE($AD1430,9,1)&gt;=$AE1430,DATE($AD1430,9,1)&lt;=$AF1430),ROUND($AG1430,2),0))</f>
        <v/>
      </c>
      <c r="S1430" s="18">
        <f>IF($Z1430="","",IF(AND(DATE($AD1430,10,1)&gt;=$AE1430,DATE($AD1430,10,1)&lt;=$AF1430),ROUND($AG1430,2),0))</f>
        <v/>
      </c>
      <c r="T1430" s="18">
        <f>IF($Z1430="","",IF(AND(DATE($AD1430,11,1)&gt;=$AE1430,DATE($AD1430,11,1)&lt;=$AF1430),ROUND($AG1430,2),0))</f>
        <v/>
      </c>
      <c r="U1430" s="18">
        <f>IF($Z1430="","",IF(AND(DATE($AD1430,12,1)&gt;=$AE1430,DATE($AD1430,12,1)&lt;=$AF1430),ROUND($AG1430,2),0))</f>
        <v/>
      </c>
      <c r="V1430" s="7">
        <f>IF($Z1430="C","Generated from "&amp;INDEX(Contracts!$A$2:$A$151,$AB1430),IF($Z1430="A","Generated from "&amp;INDEX(Fixed_Assets!$A$2:$A$201,$AB1430),IF($Z1430="F","Generated from "&amp;INDEX(FTE_Allocation!$A$2:$A$201,$AB1430),"")))</f>
        <v/>
      </c>
      <c r="X1430" s="19">
        <f>IF($Z1430="","",SUM(J1430:U1430))</f>
        <v/>
      </c>
      <c r="Y1430" s="20">
        <f>ROW()-1</f>
        <v/>
      </c>
      <c r="Z1430" s="20">
        <f>IF($Y1430&lt;=Settings!$B$4*3,"C",IF($Y1430&lt;=(Settings!$B$4+Settings!$B$5)*3,"A",IF($Y1430&lt;=(Settings!$B$4+Settings!$B$5+Settings!$B$6)*3,"F","")))</f>
        <v/>
      </c>
      <c r="AA1430" s="20">
        <f>IF($Z1430="C",$Y1430,IF($Z1430="A",$Y1430-Settings!$B$4*3,IF($Z1430="F",$Y1430-(Settings!$B$4+Settings!$B$5)*3,"")))</f>
        <v/>
      </c>
      <c r="AB1430" s="20">
        <f>IF($Z1430="","",INT(($AA1430-1)/3)+1)</f>
        <v/>
      </c>
      <c r="AC1430" s="20">
        <f>IF($Z1430="","",MOD($AA1430-1,3)+1)</f>
        <v/>
      </c>
      <c r="AD1430" s="20">
        <f>IF($Z1430="","",Settings!$B$2+$AC1430-1)</f>
        <v/>
      </c>
      <c r="AE1430" s="21">
        <f>IF($Z1430="C",DATE(YEAR(INDEX(Contracts!$J$2:$J$151,$AB1430)),MONTH(INDEX(Contracts!$J$2:$J$151,$AB1430)),1),IF($Z1430="A",DATE(YEAR(INDEX(Fixed_Assets!$G$2:$G$201,$AB1430)),MONTH(INDEX(Fixed_Assets!$G$2:$G$201,$AB1430)),1),IF($Z1430="F",DATE(YEAR(MAX(N(INDEX(Workforce!$I$2:$I$151,MATCH(INDEX(FTE_Allocation!$A$2:$A$201,$AB1430),Workforce!$A$2:$A$151,0))),N(INDEX(FTE_Allocation!$I$2:$I$201,$AB1430)))),MONTH(MAX(N(INDEX(Workforce!$I$2:$I$151,MATCH(INDEX(FTE_Allocation!$A$2:$A$201,$AB1430),Workforce!$A$2:$A$151,0))),N(INDEX(FTE_Allocation!$I$2:$I$201,$AB1430)))),1),"")))</f>
        <v/>
      </c>
      <c r="AF1430" s="21">
        <f>IF($Z1430="C",IF(INDEX(Contracts!$I$2:$I$151,$AB1430)="PREPAID",EDATE(DATE(YEAR(INDEX(Contracts!$J$2:$J$151,$AB1430)),MONTH(INDEX(Contracts!$J$2:$J$151,$AB1430)),1),IF(INDEX(Contracts!$N$2:$N$151,$AB1430)="",12,INDEX(Contracts!$N$2:$N$151,$AB1430))-1),IF(INDEX(Contracts!$I$2:$I$151,$AB1430)="MONTHLY",IF(INDEX(Contracts!$K$2:$K$151,$AB1430)="",2958101,INDEX(Contracts!$K$2:$K$151,$AB1430)),0)),IF($Z1430="A",EDATE(DATE(YEAR(INDEX(Fixed_Assets!$G$2:$G$201,$AB1430)),MONTH(INDEX(Fixed_Assets!$G$2:$G$201,$AB1430)),1),INDEX(Fixed_Assets!$J$2:$J$201,$AB1430)-1),IF($Z1430="F",MIN(IF(INDEX(Workforce!$J$2:$J$151,MATCH(INDEX(FTE_Allocation!$A$2:$A$201,$AB1430),Workforce!$A$2:$A$151,0))="",2958101,INDEX(Workforce!$J$2:$J$151,MATCH(INDEX(FTE_Allocation!$A$2:$A$201,$AB1430),Workforce!$A$2:$A$151,0))),IF(INDEX(FTE_Allocation!$J$2:$J$201,$AB1430)="",2958101,INDEX(FTE_Allocation!$J$2:$J$201,$AB1430))),"")))</f>
        <v/>
      </c>
      <c r="AG1430" s="19">
        <f>IF($Z1430="C",IF(INDEX(Contracts!$I$2:$I$151,$AB1430)="PREPAID",INDEX(Contracts!$M$2:$M$151,$AB1430)/IF(INDEX(Contracts!$N$2:$N$151,$AB1430)="",12,INDEX(Contracts!$N$2:$N$151,$AB1430)),IF(INDEX(Contracts!$I$2:$I$151,$AB1430)="MONTHLY",INDEX(Contracts!$M$2:$M$151,$AB1430),0))*(1-N(INDEX(Contracts!$O$2:$O$151,$AB1430))),IF($Z1430="A",INDEX(Fixed_Assets!$H$2:$H$201,$AB1430)/INDEX(Fixed_Assets!$J$2:$J$201,$AB1430),IF($Z1430="F",INDEX(Workforce!$F$2:$F$151,MATCH(INDEX(FTE_Allocation!$A$2:$A$201,$AB1430),Workforce!$A$2:$A$151,0))*N(INDEX(FTE_Allocation!$F$2:$H$201,$AB1430,$AC1430)),"")))</f>
        <v/>
      </c>
    </row>
    <row r="1431">
      <c r="A1431" s="7">
        <f>IF($Z1431="","",$AD1431)</f>
        <v/>
      </c>
      <c r="B1431" s="7">
        <f>IF($Z1431="C",INDEX(Contracts!$D$2:$D$151,$AB1431)&amp;"",IF($Z1431="A",INDEX(Fixed_Assets!$C$2:$C$201,$AB1431)&amp;"",IF($Z1431="F",INDEX(Workforce!$B$2:$B$151,MATCH(INDEX(FTE_Allocation!$A$2:$A$201,$AB1431),Workforce!$A$2:$A$151,0))&amp;"","")))</f>
        <v/>
      </c>
      <c r="C1431" s="7">
        <f>IF($Z1431="C",INDEX(Contracts!$E$2:$E$151,$AB1431)&amp;"",IF($Z1431="A",INDEX(Fixed_Assets!$D$2:$D$201,$AB1431)&amp;"",IF($Z1431="F",INDEX(FTE_Allocation!$C$2:$C$201,$AB1431)&amp;"","")))</f>
        <v/>
      </c>
      <c r="D1431" s="7">
        <f>IF($Z1431="C",INDEX(Contracts!$B$2:$B$151,$AB1431)&amp;"",IF($Z1431="A",INDEX(Fixed_Assets!$B$2:$B$201,$AB1431)&amp;"",IF($Z1431="F",INDEX(FTE_Allocation!$B$2:$B$201,$AB1431)&amp;"","")))</f>
        <v/>
      </c>
      <c r="E1431" s="7">
        <f>IF($Z1431="C",INDEX(Contracts!$P$2:$P$151,$AB1431)&amp;"",IF($Z1431="A",INDEX(Fixed_Assets!$K$2:$K$201,$AB1431)&amp;"",IF($Z1431="F",IF(INDEX(FTE_Allocation!$D$2:$D$201,$AB1431)="PROJECT",IFERROR(INDEX(Projects!$D:$D,MATCH(INDEX(FTE_Allocation!$E$2:$E$201,$AB1431),Projects!$A:$A,0))&amp;"","#PROJECT?"),INDEX(FTE_Allocation!$E$2:$E$201,$AB1431)&amp;""),"")))</f>
        <v/>
      </c>
      <c r="F1431" s="7">
        <f>IF($Z1431="C",INDEX(Contracts!$Q$2:$Q$151,$AB1431)&amp;"",IF($Z1431="A",INDEX(Fixed_Assets!$L$2:$L$201,$AB1431)&amp;"",IF($Z1431="F",INDEX(Workforce!$K$2:$K$151,MATCH(INDEX(FTE_Allocation!$A$2:$A$201,$AB1431),Workforce!$A$2:$A$151,0))&amp;"","")))</f>
        <v/>
      </c>
      <c r="G1431" s="7">
        <f>IF($Z1431="C",INDEX(Contracts!$F$2:$F$151,$AB1431)&amp;" / "&amp;INDEX(Contracts!$G$2:$G$151,$AB1431),IF($Z1431="A",INDEX(Fixed_Assets!$E$2:$E$201,$AB1431)&amp;"",IF($Z1431="F","Personnel "&amp;INDEX(FTE_Allocation!$A$2:$A$201,$AB1431)&amp;IF(INDEX(FTE_Allocation!$D$2:$D$201,$AB1431)="PROJECT"," ("&amp;INDEX(FTE_Allocation!$E$2:$E$201,$AB1431)&amp;")",""),"")))</f>
        <v/>
      </c>
      <c r="H1431" s="7">
        <f>IF($Z1431="C","CONTRACT",IF($Z1431="A","ASSET",IF($Z1431="F","WORKFORCE","")))</f>
        <v/>
      </c>
      <c r="I1431" s="7">
        <f>IF($Z1431="C",INDEX(Contracts!$L$2:$L$151,$AB1431)&amp;"",IF($Z1431="A",INDEX(Fixed_Assets!$I$2:$I$201,$AB1431)&amp;"",IF($Z1431="F",INDEX(Workforce!$G$2:$G$151,MATCH(INDEX(FTE_Allocation!$A$2:$A$201,$AB1431),Workforce!$A$2:$A$151,0))&amp;"","")))</f>
        <v/>
      </c>
      <c r="J1431" s="18">
        <f>IF($Z1431="","",IF(AND(DATE($AD1431,1,1)&gt;=$AE1431,DATE($AD1431,1,1)&lt;=$AF1431),ROUND($AG1431,2),0))</f>
        <v/>
      </c>
      <c r="K1431" s="18">
        <f>IF($Z1431="","",IF(AND(DATE($AD1431,2,1)&gt;=$AE1431,DATE($AD1431,2,1)&lt;=$AF1431),ROUND($AG1431,2),0))</f>
        <v/>
      </c>
      <c r="L1431" s="18">
        <f>IF($Z1431="","",IF(AND(DATE($AD1431,3,1)&gt;=$AE1431,DATE($AD1431,3,1)&lt;=$AF1431),ROUND($AG1431,2),0))</f>
        <v/>
      </c>
      <c r="M1431" s="18">
        <f>IF($Z1431="","",IF(AND(DATE($AD1431,4,1)&gt;=$AE1431,DATE($AD1431,4,1)&lt;=$AF1431),ROUND($AG1431,2),0))</f>
        <v/>
      </c>
      <c r="N1431" s="18">
        <f>IF($Z1431="","",IF(AND(DATE($AD1431,5,1)&gt;=$AE1431,DATE($AD1431,5,1)&lt;=$AF1431),ROUND($AG1431,2),0))</f>
        <v/>
      </c>
      <c r="O1431" s="18">
        <f>IF($Z1431="","",IF(AND(DATE($AD1431,6,1)&gt;=$AE1431,DATE($AD1431,6,1)&lt;=$AF1431),ROUND($AG1431,2),0))</f>
        <v/>
      </c>
      <c r="P1431" s="18">
        <f>IF($Z1431="","",IF(AND(DATE($AD1431,7,1)&gt;=$AE1431,DATE($AD1431,7,1)&lt;=$AF1431),ROUND($AG1431,2),0))</f>
        <v/>
      </c>
      <c r="Q1431" s="18">
        <f>IF($Z1431="","",IF(AND(DATE($AD1431,8,1)&gt;=$AE1431,DATE($AD1431,8,1)&lt;=$AF1431),ROUND($AG1431,2),0))</f>
        <v/>
      </c>
      <c r="R1431" s="18">
        <f>IF($Z1431="","",IF(AND(DATE($AD1431,9,1)&gt;=$AE1431,DATE($AD1431,9,1)&lt;=$AF1431),ROUND($AG1431,2),0))</f>
        <v/>
      </c>
      <c r="S1431" s="18">
        <f>IF($Z1431="","",IF(AND(DATE($AD1431,10,1)&gt;=$AE1431,DATE($AD1431,10,1)&lt;=$AF1431),ROUND($AG1431,2),0))</f>
        <v/>
      </c>
      <c r="T1431" s="18">
        <f>IF($Z1431="","",IF(AND(DATE($AD1431,11,1)&gt;=$AE1431,DATE($AD1431,11,1)&lt;=$AF1431),ROUND($AG1431,2),0))</f>
        <v/>
      </c>
      <c r="U1431" s="18">
        <f>IF($Z1431="","",IF(AND(DATE($AD1431,12,1)&gt;=$AE1431,DATE($AD1431,12,1)&lt;=$AF1431),ROUND($AG1431,2),0))</f>
        <v/>
      </c>
      <c r="V1431" s="7">
        <f>IF($Z1431="C","Generated from "&amp;INDEX(Contracts!$A$2:$A$151,$AB1431),IF($Z1431="A","Generated from "&amp;INDEX(Fixed_Assets!$A$2:$A$201,$AB1431),IF($Z1431="F","Generated from "&amp;INDEX(FTE_Allocation!$A$2:$A$201,$AB1431),"")))</f>
        <v/>
      </c>
      <c r="X1431" s="19">
        <f>IF($Z1431="","",SUM(J1431:U1431))</f>
        <v/>
      </c>
      <c r="Y1431" s="20">
        <f>ROW()-1</f>
        <v/>
      </c>
      <c r="Z1431" s="20">
        <f>IF($Y1431&lt;=Settings!$B$4*3,"C",IF($Y1431&lt;=(Settings!$B$4+Settings!$B$5)*3,"A",IF($Y1431&lt;=(Settings!$B$4+Settings!$B$5+Settings!$B$6)*3,"F","")))</f>
        <v/>
      </c>
      <c r="AA1431" s="20">
        <f>IF($Z1431="C",$Y1431,IF($Z1431="A",$Y1431-Settings!$B$4*3,IF($Z1431="F",$Y1431-(Settings!$B$4+Settings!$B$5)*3,"")))</f>
        <v/>
      </c>
      <c r="AB1431" s="20">
        <f>IF($Z1431="","",INT(($AA1431-1)/3)+1)</f>
        <v/>
      </c>
      <c r="AC1431" s="20">
        <f>IF($Z1431="","",MOD($AA1431-1,3)+1)</f>
        <v/>
      </c>
      <c r="AD1431" s="20">
        <f>IF($Z1431="","",Settings!$B$2+$AC1431-1)</f>
        <v/>
      </c>
      <c r="AE1431" s="21">
        <f>IF($Z1431="C",DATE(YEAR(INDEX(Contracts!$J$2:$J$151,$AB1431)),MONTH(INDEX(Contracts!$J$2:$J$151,$AB1431)),1),IF($Z1431="A",DATE(YEAR(INDEX(Fixed_Assets!$G$2:$G$201,$AB1431)),MONTH(INDEX(Fixed_Assets!$G$2:$G$201,$AB1431)),1),IF($Z1431="F",DATE(YEAR(MAX(N(INDEX(Workforce!$I$2:$I$151,MATCH(INDEX(FTE_Allocation!$A$2:$A$201,$AB1431),Workforce!$A$2:$A$151,0))),N(INDEX(FTE_Allocation!$I$2:$I$201,$AB1431)))),MONTH(MAX(N(INDEX(Workforce!$I$2:$I$151,MATCH(INDEX(FTE_Allocation!$A$2:$A$201,$AB1431),Workforce!$A$2:$A$151,0))),N(INDEX(FTE_Allocation!$I$2:$I$201,$AB1431)))),1),"")))</f>
        <v/>
      </c>
      <c r="AF1431" s="21">
        <f>IF($Z1431="C",IF(INDEX(Contracts!$I$2:$I$151,$AB1431)="PREPAID",EDATE(DATE(YEAR(INDEX(Contracts!$J$2:$J$151,$AB1431)),MONTH(INDEX(Contracts!$J$2:$J$151,$AB1431)),1),IF(INDEX(Contracts!$N$2:$N$151,$AB1431)="",12,INDEX(Contracts!$N$2:$N$151,$AB1431))-1),IF(INDEX(Contracts!$I$2:$I$151,$AB1431)="MONTHLY",IF(INDEX(Contracts!$K$2:$K$151,$AB1431)="",2958101,INDEX(Contracts!$K$2:$K$151,$AB1431)),0)),IF($Z1431="A",EDATE(DATE(YEAR(INDEX(Fixed_Assets!$G$2:$G$201,$AB1431)),MONTH(INDEX(Fixed_Assets!$G$2:$G$201,$AB1431)),1),INDEX(Fixed_Assets!$J$2:$J$201,$AB1431)-1),IF($Z1431="F",MIN(IF(INDEX(Workforce!$J$2:$J$151,MATCH(INDEX(FTE_Allocation!$A$2:$A$201,$AB1431),Workforce!$A$2:$A$151,0))="",2958101,INDEX(Workforce!$J$2:$J$151,MATCH(INDEX(FTE_Allocation!$A$2:$A$201,$AB1431),Workforce!$A$2:$A$151,0))),IF(INDEX(FTE_Allocation!$J$2:$J$201,$AB1431)="",2958101,INDEX(FTE_Allocation!$J$2:$J$201,$AB1431))),"")))</f>
        <v/>
      </c>
      <c r="AG1431" s="19">
        <f>IF($Z1431="C",IF(INDEX(Contracts!$I$2:$I$151,$AB1431)="PREPAID",INDEX(Contracts!$M$2:$M$151,$AB1431)/IF(INDEX(Contracts!$N$2:$N$151,$AB1431)="",12,INDEX(Contracts!$N$2:$N$151,$AB1431)),IF(INDEX(Contracts!$I$2:$I$151,$AB1431)="MONTHLY",INDEX(Contracts!$M$2:$M$151,$AB1431),0))*(1-N(INDEX(Contracts!$O$2:$O$151,$AB1431))),IF($Z1431="A",INDEX(Fixed_Assets!$H$2:$H$201,$AB1431)/INDEX(Fixed_Assets!$J$2:$J$201,$AB1431),IF($Z1431="F",INDEX(Workforce!$F$2:$F$151,MATCH(INDEX(FTE_Allocation!$A$2:$A$201,$AB1431),Workforce!$A$2:$A$151,0))*N(INDEX(FTE_Allocation!$F$2:$H$201,$AB1431,$AC1431)),"")))</f>
        <v/>
      </c>
    </row>
    <row r="1432">
      <c r="A1432" s="7">
        <f>IF($Z1432="","",$AD1432)</f>
        <v/>
      </c>
      <c r="B1432" s="7">
        <f>IF($Z1432="C",INDEX(Contracts!$D$2:$D$151,$AB1432)&amp;"",IF($Z1432="A",INDEX(Fixed_Assets!$C$2:$C$201,$AB1432)&amp;"",IF($Z1432="F",INDEX(Workforce!$B$2:$B$151,MATCH(INDEX(FTE_Allocation!$A$2:$A$201,$AB1432),Workforce!$A$2:$A$151,0))&amp;"","")))</f>
        <v/>
      </c>
      <c r="C1432" s="7">
        <f>IF($Z1432="C",INDEX(Contracts!$E$2:$E$151,$AB1432)&amp;"",IF($Z1432="A",INDEX(Fixed_Assets!$D$2:$D$201,$AB1432)&amp;"",IF($Z1432="F",INDEX(FTE_Allocation!$C$2:$C$201,$AB1432)&amp;"","")))</f>
        <v/>
      </c>
      <c r="D1432" s="7">
        <f>IF($Z1432="C",INDEX(Contracts!$B$2:$B$151,$AB1432)&amp;"",IF($Z1432="A",INDEX(Fixed_Assets!$B$2:$B$201,$AB1432)&amp;"",IF($Z1432="F",INDEX(FTE_Allocation!$B$2:$B$201,$AB1432)&amp;"","")))</f>
        <v/>
      </c>
      <c r="E1432" s="7">
        <f>IF($Z1432="C",INDEX(Contracts!$P$2:$P$151,$AB1432)&amp;"",IF($Z1432="A",INDEX(Fixed_Assets!$K$2:$K$201,$AB1432)&amp;"",IF($Z1432="F",IF(INDEX(FTE_Allocation!$D$2:$D$201,$AB1432)="PROJECT",IFERROR(INDEX(Projects!$D:$D,MATCH(INDEX(FTE_Allocation!$E$2:$E$201,$AB1432),Projects!$A:$A,0))&amp;"","#PROJECT?"),INDEX(FTE_Allocation!$E$2:$E$201,$AB1432)&amp;""),"")))</f>
        <v/>
      </c>
      <c r="F1432" s="7">
        <f>IF($Z1432="C",INDEX(Contracts!$Q$2:$Q$151,$AB1432)&amp;"",IF($Z1432="A",INDEX(Fixed_Assets!$L$2:$L$201,$AB1432)&amp;"",IF($Z1432="F",INDEX(Workforce!$K$2:$K$151,MATCH(INDEX(FTE_Allocation!$A$2:$A$201,$AB1432),Workforce!$A$2:$A$151,0))&amp;"","")))</f>
        <v/>
      </c>
      <c r="G1432" s="7">
        <f>IF($Z1432="C",INDEX(Contracts!$F$2:$F$151,$AB1432)&amp;" / "&amp;INDEX(Contracts!$G$2:$G$151,$AB1432),IF($Z1432="A",INDEX(Fixed_Assets!$E$2:$E$201,$AB1432)&amp;"",IF($Z1432="F","Personnel "&amp;INDEX(FTE_Allocation!$A$2:$A$201,$AB1432)&amp;IF(INDEX(FTE_Allocation!$D$2:$D$201,$AB1432)="PROJECT"," ("&amp;INDEX(FTE_Allocation!$E$2:$E$201,$AB1432)&amp;")",""),"")))</f>
        <v/>
      </c>
      <c r="H1432" s="7">
        <f>IF($Z1432="C","CONTRACT",IF($Z1432="A","ASSET",IF($Z1432="F","WORKFORCE","")))</f>
        <v/>
      </c>
      <c r="I1432" s="7">
        <f>IF($Z1432="C",INDEX(Contracts!$L$2:$L$151,$AB1432)&amp;"",IF($Z1432="A",INDEX(Fixed_Assets!$I$2:$I$201,$AB1432)&amp;"",IF($Z1432="F",INDEX(Workforce!$G$2:$G$151,MATCH(INDEX(FTE_Allocation!$A$2:$A$201,$AB1432),Workforce!$A$2:$A$151,0))&amp;"","")))</f>
        <v/>
      </c>
      <c r="J1432" s="18">
        <f>IF($Z1432="","",IF(AND(DATE($AD1432,1,1)&gt;=$AE1432,DATE($AD1432,1,1)&lt;=$AF1432),ROUND($AG1432,2),0))</f>
        <v/>
      </c>
      <c r="K1432" s="18">
        <f>IF($Z1432="","",IF(AND(DATE($AD1432,2,1)&gt;=$AE1432,DATE($AD1432,2,1)&lt;=$AF1432),ROUND($AG1432,2),0))</f>
        <v/>
      </c>
      <c r="L1432" s="18">
        <f>IF($Z1432="","",IF(AND(DATE($AD1432,3,1)&gt;=$AE1432,DATE($AD1432,3,1)&lt;=$AF1432),ROUND($AG1432,2),0))</f>
        <v/>
      </c>
      <c r="M1432" s="18">
        <f>IF($Z1432="","",IF(AND(DATE($AD1432,4,1)&gt;=$AE1432,DATE($AD1432,4,1)&lt;=$AF1432),ROUND($AG1432,2),0))</f>
        <v/>
      </c>
      <c r="N1432" s="18">
        <f>IF($Z1432="","",IF(AND(DATE($AD1432,5,1)&gt;=$AE1432,DATE($AD1432,5,1)&lt;=$AF1432),ROUND($AG1432,2),0))</f>
        <v/>
      </c>
      <c r="O1432" s="18">
        <f>IF($Z1432="","",IF(AND(DATE($AD1432,6,1)&gt;=$AE1432,DATE($AD1432,6,1)&lt;=$AF1432),ROUND($AG1432,2),0))</f>
        <v/>
      </c>
      <c r="P1432" s="18">
        <f>IF($Z1432="","",IF(AND(DATE($AD1432,7,1)&gt;=$AE1432,DATE($AD1432,7,1)&lt;=$AF1432),ROUND($AG1432,2),0))</f>
        <v/>
      </c>
      <c r="Q1432" s="18">
        <f>IF($Z1432="","",IF(AND(DATE($AD1432,8,1)&gt;=$AE1432,DATE($AD1432,8,1)&lt;=$AF1432),ROUND($AG1432,2),0))</f>
        <v/>
      </c>
      <c r="R1432" s="18">
        <f>IF($Z1432="","",IF(AND(DATE($AD1432,9,1)&gt;=$AE1432,DATE($AD1432,9,1)&lt;=$AF1432),ROUND($AG1432,2),0))</f>
        <v/>
      </c>
      <c r="S1432" s="18">
        <f>IF($Z1432="","",IF(AND(DATE($AD1432,10,1)&gt;=$AE1432,DATE($AD1432,10,1)&lt;=$AF1432),ROUND($AG1432,2),0))</f>
        <v/>
      </c>
      <c r="T1432" s="18">
        <f>IF($Z1432="","",IF(AND(DATE($AD1432,11,1)&gt;=$AE1432,DATE($AD1432,11,1)&lt;=$AF1432),ROUND($AG1432,2),0))</f>
        <v/>
      </c>
      <c r="U1432" s="18">
        <f>IF($Z1432="","",IF(AND(DATE($AD1432,12,1)&gt;=$AE1432,DATE($AD1432,12,1)&lt;=$AF1432),ROUND($AG1432,2),0))</f>
        <v/>
      </c>
      <c r="V1432" s="7">
        <f>IF($Z1432="C","Generated from "&amp;INDEX(Contracts!$A$2:$A$151,$AB1432),IF($Z1432="A","Generated from "&amp;INDEX(Fixed_Assets!$A$2:$A$201,$AB1432),IF($Z1432="F","Generated from "&amp;INDEX(FTE_Allocation!$A$2:$A$201,$AB1432),"")))</f>
        <v/>
      </c>
      <c r="X1432" s="19">
        <f>IF($Z1432="","",SUM(J1432:U1432))</f>
        <v/>
      </c>
      <c r="Y1432" s="20">
        <f>ROW()-1</f>
        <v/>
      </c>
      <c r="Z1432" s="20">
        <f>IF($Y1432&lt;=Settings!$B$4*3,"C",IF($Y1432&lt;=(Settings!$B$4+Settings!$B$5)*3,"A",IF($Y1432&lt;=(Settings!$B$4+Settings!$B$5+Settings!$B$6)*3,"F","")))</f>
        <v/>
      </c>
      <c r="AA1432" s="20">
        <f>IF($Z1432="C",$Y1432,IF($Z1432="A",$Y1432-Settings!$B$4*3,IF($Z1432="F",$Y1432-(Settings!$B$4+Settings!$B$5)*3,"")))</f>
        <v/>
      </c>
      <c r="AB1432" s="20">
        <f>IF($Z1432="","",INT(($AA1432-1)/3)+1)</f>
        <v/>
      </c>
      <c r="AC1432" s="20">
        <f>IF($Z1432="","",MOD($AA1432-1,3)+1)</f>
        <v/>
      </c>
      <c r="AD1432" s="20">
        <f>IF($Z1432="","",Settings!$B$2+$AC1432-1)</f>
        <v/>
      </c>
      <c r="AE1432" s="21">
        <f>IF($Z1432="C",DATE(YEAR(INDEX(Contracts!$J$2:$J$151,$AB1432)),MONTH(INDEX(Contracts!$J$2:$J$151,$AB1432)),1),IF($Z1432="A",DATE(YEAR(INDEX(Fixed_Assets!$G$2:$G$201,$AB1432)),MONTH(INDEX(Fixed_Assets!$G$2:$G$201,$AB1432)),1),IF($Z1432="F",DATE(YEAR(MAX(N(INDEX(Workforce!$I$2:$I$151,MATCH(INDEX(FTE_Allocation!$A$2:$A$201,$AB1432),Workforce!$A$2:$A$151,0))),N(INDEX(FTE_Allocation!$I$2:$I$201,$AB1432)))),MONTH(MAX(N(INDEX(Workforce!$I$2:$I$151,MATCH(INDEX(FTE_Allocation!$A$2:$A$201,$AB1432),Workforce!$A$2:$A$151,0))),N(INDEX(FTE_Allocation!$I$2:$I$201,$AB1432)))),1),"")))</f>
        <v/>
      </c>
      <c r="AF1432" s="21">
        <f>IF($Z1432="C",IF(INDEX(Contracts!$I$2:$I$151,$AB1432)="PREPAID",EDATE(DATE(YEAR(INDEX(Contracts!$J$2:$J$151,$AB1432)),MONTH(INDEX(Contracts!$J$2:$J$151,$AB1432)),1),IF(INDEX(Contracts!$N$2:$N$151,$AB1432)="",12,INDEX(Contracts!$N$2:$N$151,$AB1432))-1),IF(INDEX(Contracts!$I$2:$I$151,$AB1432)="MONTHLY",IF(INDEX(Contracts!$K$2:$K$151,$AB1432)="",2958101,INDEX(Contracts!$K$2:$K$151,$AB1432)),0)),IF($Z1432="A",EDATE(DATE(YEAR(INDEX(Fixed_Assets!$G$2:$G$201,$AB1432)),MONTH(INDEX(Fixed_Assets!$G$2:$G$201,$AB1432)),1),INDEX(Fixed_Assets!$J$2:$J$201,$AB1432)-1),IF($Z1432="F",MIN(IF(INDEX(Workforce!$J$2:$J$151,MATCH(INDEX(FTE_Allocation!$A$2:$A$201,$AB1432),Workforce!$A$2:$A$151,0))="",2958101,INDEX(Workforce!$J$2:$J$151,MATCH(INDEX(FTE_Allocation!$A$2:$A$201,$AB1432),Workforce!$A$2:$A$151,0))),IF(INDEX(FTE_Allocation!$J$2:$J$201,$AB1432)="",2958101,INDEX(FTE_Allocation!$J$2:$J$201,$AB1432))),"")))</f>
        <v/>
      </c>
      <c r="AG1432" s="19">
        <f>IF($Z1432="C",IF(INDEX(Contracts!$I$2:$I$151,$AB1432)="PREPAID",INDEX(Contracts!$M$2:$M$151,$AB1432)/IF(INDEX(Contracts!$N$2:$N$151,$AB1432)="",12,INDEX(Contracts!$N$2:$N$151,$AB1432)),IF(INDEX(Contracts!$I$2:$I$151,$AB1432)="MONTHLY",INDEX(Contracts!$M$2:$M$151,$AB1432),0))*(1-N(INDEX(Contracts!$O$2:$O$151,$AB1432))),IF($Z1432="A",INDEX(Fixed_Assets!$H$2:$H$201,$AB1432)/INDEX(Fixed_Assets!$J$2:$J$201,$AB1432),IF($Z1432="F",INDEX(Workforce!$F$2:$F$151,MATCH(INDEX(FTE_Allocation!$A$2:$A$201,$AB1432),Workforce!$A$2:$A$151,0))*N(INDEX(FTE_Allocation!$F$2:$H$201,$AB1432,$AC1432)),"")))</f>
        <v/>
      </c>
    </row>
    <row r="1433">
      <c r="A1433" s="7">
        <f>IF($Z1433="","",$AD1433)</f>
        <v/>
      </c>
      <c r="B1433" s="7">
        <f>IF($Z1433="C",INDEX(Contracts!$D$2:$D$151,$AB1433)&amp;"",IF($Z1433="A",INDEX(Fixed_Assets!$C$2:$C$201,$AB1433)&amp;"",IF($Z1433="F",INDEX(Workforce!$B$2:$B$151,MATCH(INDEX(FTE_Allocation!$A$2:$A$201,$AB1433),Workforce!$A$2:$A$151,0))&amp;"","")))</f>
        <v/>
      </c>
      <c r="C1433" s="7">
        <f>IF($Z1433="C",INDEX(Contracts!$E$2:$E$151,$AB1433)&amp;"",IF($Z1433="A",INDEX(Fixed_Assets!$D$2:$D$201,$AB1433)&amp;"",IF($Z1433="F",INDEX(FTE_Allocation!$C$2:$C$201,$AB1433)&amp;"","")))</f>
        <v/>
      </c>
      <c r="D1433" s="7">
        <f>IF($Z1433="C",INDEX(Contracts!$B$2:$B$151,$AB1433)&amp;"",IF($Z1433="A",INDEX(Fixed_Assets!$B$2:$B$201,$AB1433)&amp;"",IF($Z1433="F",INDEX(FTE_Allocation!$B$2:$B$201,$AB1433)&amp;"","")))</f>
        <v/>
      </c>
      <c r="E1433" s="7">
        <f>IF($Z1433="C",INDEX(Contracts!$P$2:$P$151,$AB1433)&amp;"",IF($Z1433="A",INDEX(Fixed_Assets!$K$2:$K$201,$AB1433)&amp;"",IF($Z1433="F",IF(INDEX(FTE_Allocation!$D$2:$D$201,$AB1433)="PROJECT",IFERROR(INDEX(Projects!$D:$D,MATCH(INDEX(FTE_Allocation!$E$2:$E$201,$AB1433),Projects!$A:$A,0))&amp;"","#PROJECT?"),INDEX(FTE_Allocation!$E$2:$E$201,$AB1433)&amp;""),"")))</f>
        <v/>
      </c>
      <c r="F1433" s="7">
        <f>IF($Z1433="C",INDEX(Contracts!$Q$2:$Q$151,$AB1433)&amp;"",IF($Z1433="A",INDEX(Fixed_Assets!$L$2:$L$201,$AB1433)&amp;"",IF($Z1433="F",INDEX(Workforce!$K$2:$K$151,MATCH(INDEX(FTE_Allocation!$A$2:$A$201,$AB1433),Workforce!$A$2:$A$151,0))&amp;"","")))</f>
        <v/>
      </c>
      <c r="G1433" s="7">
        <f>IF($Z1433="C",INDEX(Contracts!$F$2:$F$151,$AB1433)&amp;" / "&amp;INDEX(Contracts!$G$2:$G$151,$AB1433),IF($Z1433="A",INDEX(Fixed_Assets!$E$2:$E$201,$AB1433)&amp;"",IF($Z1433="F","Personnel "&amp;INDEX(FTE_Allocation!$A$2:$A$201,$AB1433)&amp;IF(INDEX(FTE_Allocation!$D$2:$D$201,$AB1433)="PROJECT"," ("&amp;INDEX(FTE_Allocation!$E$2:$E$201,$AB1433)&amp;")",""),"")))</f>
        <v/>
      </c>
      <c r="H1433" s="7">
        <f>IF($Z1433="C","CONTRACT",IF($Z1433="A","ASSET",IF($Z1433="F","WORKFORCE","")))</f>
        <v/>
      </c>
      <c r="I1433" s="7">
        <f>IF($Z1433="C",INDEX(Contracts!$L$2:$L$151,$AB1433)&amp;"",IF($Z1433="A",INDEX(Fixed_Assets!$I$2:$I$201,$AB1433)&amp;"",IF($Z1433="F",INDEX(Workforce!$G$2:$G$151,MATCH(INDEX(FTE_Allocation!$A$2:$A$201,$AB1433),Workforce!$A$2:$A$151,0))&amp;"","")))</f>
        <v/>
      </c>
      <c r="J1433" s="18">
        <f>IF($Z1433="","",IF(AND(DATE($AD1433,1,1)&gt;=$AE1433,DATE($AD1433,1,1)&lt;=$AF1433),ROUND($AG1433,2),0))</f>
        <v/>
      </c>
      <c r="K1433" s="18">
        <f>IF($Z1433="","",IF(AND(DATE($AD1433,2,1)&gt;=$AE1433,DATE($AD1433,2,1)&lt;=$AF1433),ROUND($AG1433,2),0))</f>
        <v/>
      </c>
      <c r="L1433" s="18">
        <f>IF($Z1433="","",IF(AND(DATE($AD1433,3,1)&gt;=$AE1433,DATE($AD1433,3,1)&lt;=$AF1433),ROUND($AG1433,2),0))</f>
        <v/>
      </c>
      <c r="M1433" s="18">
        <f>IF($Z1433="","",IF(AND(DATE($AD1433,4,1)&gt;=$AE1433,DATE($AD1433,4,1)&lt;=$AF1433),ROUND($AG1433,2),0))</f>
        <v/>
      </c>
      <c r="N1433" s="18">
        <f>IF($Z1433="","",IF(AND(DATE($AD1433,5,1)&gt;=$AE1433,DATE($AD1433,5,1)&lt;=$AF1433),ROUND($AG1433,2),0))</f>
        <v/>
      </c>
      <c r="O1433" s="18">
        <f>IF($Z1433="","",IF(AND(DATE($AD1433,6,1)&gt;=$AE1433,DATE($AD1433,6,1)&lt;=$AF1433),ROUND($AG1433,2),0))</f>
        <v/>
      </c>
      <c r="P1433" s="18">
        <f>IF($Z1433="","",IF(AND(DATE($AD1433,7,1)&gt;=$AE1433,DATE($AD1433,7,1)&lt;=$AF1433),ROUND($AG1433,2),0))</f>
        <v/>
      </c>
      <c r="Q1433" s="18">
        <f>IF($Z1433="","",IF(AND(DATE($AD1433,8,1)&gt;=$AE1433,DATE($AD1433,8,1)&lt;=$AF1433),ROUND($AG1433,2),0))</f>
        <v/>
      </c>
      <c r="R1433" s="18">
        <f>IF($Z1433="","",IF(AND(DATE($AD1433,9,1)&gt;=$AE1433,DATE($AD1433,9,1)&lt;=$AF1433),ROUND($AG1433,2),0))</f>
        <v/>
      </c>
      <c r="S1433" s="18">
        <f>IF($Z1433="","",IF(AND(DATE($AD1433,10,1)&gt;=$AE1433,DATE($AD1433,10,1)&lt;=$AF1433),ROUND($AG1433,2),0))</f>
        <v/>
      </c>
      <c r="T1433" s="18">
        <f>IF($Z1433="","",IF(AND(DATE($AD1433,11,1)&gt;=$AE1433,DATE($AD1433,11,1)&lt;=$AF1433),ROUND($AG1433,2),0))</f>
        <v/>
      </c>
      <c r="U1433" s="18">
        <f>IF($Z1433="","",IF(AND(DATE($AD1433,12,1)&gt;=$AE1433,DATE($AD1433,12,1)&lt;=$AF1433),ROUND($AG1433,2),0))</f>
        <v/>
      </c>
      <c r="V1433" s="7">
        <f>IF($Z1433="C","Generated from "&amp;INDEX(Contracts!$A$2:$A$151,$AB1433),IF($Z1433="A","Generated from "&amp;INDEX(Fixed_Assets!$A$2:$A$201,$AB1433),IF($Z1433="F","Generated from "&amp;INDEX(FTE_Allocation!$A$2:$A$201,$AB1433),"")))</f>
        <v/>
      </c>
      <c r="X1433" s="19">
        <f>IF($Z1433="","",SUM(J1433:U1433))</f>
        <v/>
      </c>
      <c r="Y1433" s="20">
        <f>ROW()-1</f>
        <v/>
      </c>
      <c r="Z1433" s="20">
        <f>IF($Y1433&lt;=Settings!$B$4*3,"C",IF($Y1433&lt;=(Settings!$B$4+Settings!$B$5)*3,"A",IF($Y1433&lt;=(Settings!$B$4+Settings!$B$5+Settings!$B$6)*3,"F","")))</f>
        <v/>
      </c>
      <c r="AA1433" s="20">
        <f>IF($Z1433="C",$Y1433,IF($Z1433="A",$Y1433-Settings!$B$4*3,IF($Z1433="F",$Y1433-(Settings!$B$4+Settings!$B$5)*3,"")))</f>
        <v/>
      </c>
      <c r="AB1433" s="20">
        <f>IF($Z1433="","",INT(($AA1433-1)/3)+1)</f>
        <v/>
      </c>
      <c r="AC1433" s="20">
        <f>IF($Z1433="","",MOD($AA1433-1,3)+1)</f>
        <v/>
      </c>
      <c r="AD1433" s="20">
        <f>IF($Z1433="","",Settings!$B$2+$AC1433-1)</f>
        <v/>
      </c>
      <c r="AE1433" s="21">
        <f>IF($Z1433="C",DATE(YEAR(INDEX(Contracts!$J$2:$J$151,$AB1433)),MONTH(INDEX(Contracts!$J$2:$J$151,$AB1433)),1),IF($Z1433="A",DATE(YEAR(INDEX(Fixed_Assets!$G$2:$G$201,$AB1433)),MONTH(INDEX(Fixed_Assets!$G$2:$G$201,$AB1433)),1),IF($Z1433="F",DATE(YEAR(MAX(N(INDEX(Workforce!$I$2:$I$151,MATCH(INDEX(FTE_Allocation!$A$2:$A$201,$AB1433),Workforce!$A$2:$A$151,0))),N(INDEX(FTE_Allocation!$I$2:$I$201,$AB1433)))),MONTH(MAX(N(INDEX(Workforce!$I$2:$I$151,MATCH(INDEX(FTE_Allocation!$A$2:$A$201,$AB1433),Workforce!$A$2:$A$151,0))),N(INDEX(FTE_Allocation!$I$2:$I$201,$AB1433)))),1),"")))</f>
        <v/>
      </c>
      <c r="AF1433" s="21">
        <f>IF($Z1433="C",IF(INDEX(Contracts!$I$2:$I$151,$AB1433)="PREPAID",EDATE(DATE(YEAR(INDEX(Contracts!$J$2:$J$151,$AB1433)),MONTH(INDEX(Contracts!$J$2:$J$151,$AB1433)),1),IF(INDEX(Contracts!$N$2:$N$151,$AB1433)="",12,INDEX(Contracts!$N$2:$N$151,$AB1433))-1),IF(INDEX(Contracts!$I$2:$I$151,$AB1433)="MONTHLY",IF(INDEX(Contracts!$K$2:$K$151,$AB1433)="",2958101,INDEX(Contracts!$K$2:$K$151,$AB1433)),0)),IF($Z1433="A",EDATE(DATE(YEAR(INDEX(Fixed_Assets!$G$2:$G$201,$AB1433)),MONTH(INDEX(Fixed_Assets!$G$2:$G$201,$AB1433)),1),INDEX(Fixed_Assets!$J$2:$J$201,$AB1433)-1),IF($Z1433="F",MIN(IF(INDEX(Workforce!$J$2:$J$151,MATCH(INDEX(FTE_Allocation!$A$2:$A$201,$AB1433),Workforce!$A$2:$A$151,0))="",2958101,INDEX(Workforce!$J$2:$J$151,MATCH(INDEX(FTE_Allocation!$A$2:$A$201,$AB1433),Workforce!$A$2:$A$151,0))),IF(INDEX(FTE_Allocation!$J$2:$J$201,$AB1433)="",2958101,INDEX(FTE_Allocation!$J$2:$J$201,$AB1433))),"")))</f>
        <v/>
      </c>
      <c r="AG1433" s="19">
        <f>IF($Z1433="C",IF(INDEX(Contracts!$I$2:$I$151,$AB1433)="PREPAID",INDEX(Contracts!$M$2:$M$151,$AB1433)/IF(INDEX(Contracts!$N$2:$N$151,$AB1433)="",12,INDEX(Contracts!$N$2:$N$151,$AB1433)),IF(INDEX(Contracts!$I$2:$I$151,$AB1433)="MONTHLY",INDEX(Contracts!$M$2:$M$151,$AB1433),0))*(1-N(INDEX(Contracts!$O$2:$O$151,$AB1433))),IF($Z1433="A",INDEX(Fixed_Assets!$H$2:$H$201,$AB1433)/INDEX(Fixed_Assets!$J$2:$J$201,$AB1433),IF($Z1433="F",INDEX(Workforce!$F$2:$F$151,MATCH(INDEX(FTE_Allocation!$A$2:$A$201,$AB1433),Workforce!$A$2:$A$151,0))*N(INDEX(FTE_Allocation!$F$2:$H$201,$AB1433,$AC1433)),"")))</f>
        <v/>
      </c>
    </row>
    <row r="1434">
      <c r="A1434" s="7">
        <f>IF($Z1434="","",$AD1434)</f>
        <v/>
      </c>
      <c r="B1434" s="7">
        <f>IF($Z1434="C",INDEX(Contracts!$D$2:$D$151,$AB1434)&amp;"",IF($Z1434="A",INDEX(Fixed_Assets!$C$2:$C$201,$AB1434)&amp;"",IF($Z1434="F",INDEX(Workforce!$B$2:$B$151,MATCH(INDEX(FTE_Allocation!$A$2:$A$201,$AB1434),Workforce!$A$2:$A$151,0))&amp;"","")))</f>
        <v/>
      </c>
      <c r="C1434" s="7">
        <f>IF($Z1434="C",INDEX(Contracts!$E$2:$E$151,$AB1434)&amp;"",IF($Z1434="A",INDEX(Fixed_Assets!$D$2:$D$201,$AB1434)&amp;"",IF($Z1434="F",INDEX(FTE_Allocation!$C$2:$C$201,$AB1434)&amp;"","")))</f>
        <v/>
      </c>
      <c r="D1434" s="7">
        <f>IF($Z1434="C",INDEX(Contracts!$B$2:$B$151,$AB1434)&amp;"",IF($Z1434="A",INDEX(Fixed_Assets!$B$2:$B$201,$AB1434)&amp;"",IF($Z1434="F",INDEX(FTE_Allocation!$B$2:$B$201,$AB1434)&amp;"","")))</f>
        <v/>
      </c>
      <c r="E1434" s="7">
        <f>IF($Z1434="C",INDEX(Contracts!$P$2:$P$151,$AB1434)&amp;"",IF($Z1434="A",INDEX(Fixed_Assets!$K$2:$K$201,$AB1434)&amp;"",IF($Z1434="F",IF(INDEX(FTE_Allocation!$D$2:$D$201,$AB1434)="PROJECT",IFERROR(INDEX(Projects!$D:$D,MATCH(INDEX(FTE_Allocation!$E$2:$E$201,$AB1434),Projects!$A:$A,0))&amp;"","#PROJECT?"),INDEX(FTE_Allocation!$E$2:$E$201,$AB1434)&amp;""),"")))</f>
        <v/>
      </c>
      <c r="F1434" s="7">
        <f>IF($Z1434="C",INDEX(Contracts!$Q$2:$Q$151,$AB1434)&amp;"",IF($Z1434="A",INDEX(Fixed_Assets!$L$2:$L$201,$AB1434)&amp;"",IF($Z1434="F",INDEX(Workforce!$K$2:$K$151,MATCH(INDEX(FTE_Allocation!$A$2:$A$201,$AB1434),Workforce!$A$2:$A$151,0))&amp;"","")))</f>
        <v/>
      </c>
      <c r="G1434" s="7">
        <f>IF($Z1434="C",INDEX(Contracts!$F$2:$F$151,$AB1434)&amp;" / "&amp;INDEX(Contracts!$G$2:$G$151,$AB1434),IF($Z1434="A",INDEX(Fixed_Assets!$E$2:$E$201,$AB1434)&amp;"",IF($Z1434="F","Personnel "&amp;INDEX(FTE_Allocation!$A$2:$A$201,$AB1434)&amp;IF(INDEX(FTE_Allocation!$D$2:$D$201,$AB1434)="PROJECT"," ("&amp;INDEX(FTE_Allocation!$E$2:$E$201,$AB1434)&amp;")",""),"")))</f>
        <v/>
      </c>
      <c r="H1434" s="7">
        <f>IF($Z1434="C","CONTRACT",IF($Z1434="A","ASSET",IF($Z1434="F","WORKFORCE","")))</f>
        <v/>
      </c>
      <c r="I1434" s="7">
        <f>IF($Z1434="C",INDEX(Contracts!$L$2:$L$151,$AB1434)&amp;"",IF($Z1434="A",INDEX(Fixed_Assets!$I$2:$I$201,$AB1434)&amp;"",IF($Z1434="F",INDEX(Workforce!$G$2:$G$151,MATCH(INDEX(FTE_Allocation!$A$2:$A$201,$AB1434),Workforce!$A$2:$A$151,0))&amp;"","")))</f>
        <v/>
      </c>
      <c r="J1434" s="18">
        <f>IF($Z1434="","",IF(AND(DATE($AD1434,1,1)&gt;=$AE1434,DATE($AD1434,1,1)&lt;=$AF1434),ROUND($AG1434,2),0))</f>
        <v/>
      </c>
      <c r="K1434" s="18">
        <f>IF($Z1434="","",IF(AND(DATE($AD1434,2,1)&gt;=$AE1434,DATE($AD1434,2,1)&lt;=$AF1434),ROUND($AG1434,2),0))</f>
        <v/>
      </c>
      <c r="L1434" s="18">
        <f>IF($Z1434="","",IF(AND(DATE($AD1434,3,1)&gt;=$AE1434,DATE($AD1434,3,1)&lt;=$AF1434),ROUND($AG1434,2),0))</f>
        <v/>
      </c>
      <c r="M1434" s="18">
        <f>IF($Z1434="","",IF(AND(DATE($AD1434,4,1)&gt;=$AE1434,DATE($AD1434,4,1)&lt;=$AF1434),ROUND($AG1434,2),0))</f>
        <v/>
      </c>
      <c r="N1434" s="18">
        <f>IF($Z1434="","",IF(AND(DATE($AD1434,5,1)&gt;=$AE1434,DATE($AD1434,5,1)&lt;=$AF1434),ROUND($AG1434,2),0))</f>
        <v/>
      </c>
      <c r="O1434" s="18">
        <f>IF($Z1434="","",IF(AND(DATE($AD1434,6,1)&gt;=$AE1434,DATE($AD1434,6,1)&lt;=$AF1434),ROUND($AG1434,2),0))</f>
        <v/>
      </c>
      <c r="P1434" s="18">
        <f>IF($Z1434="","",IF(AND(DATE($AD1434,7,1)&gt;=$AE1434,DATE($AD1434,7,1)&lt;=$AF1434),ROUND($AG1434,2),0))</f>
        <v/>
      </c>
      <c r="Q1434" s="18">
        <f>IF($Z1434="","",IF(AND(DATE($AD1434,8,1)&gt;=$AE1434,DATE($AD1434,8,1)&lt;=$AF1434),ROUND($AG1434,2),0))</f>
        <v/>
      </c>
      <c r="R1434" s="18">
        <f>IF($Z1434="","",IF(AND(DATE($AD1434,9,1)&gt;=$AE1434,DATE($AD1434,9,1)&lt;=$AF1434),ROUND($AG1434,2),0))</f>
        <v/>
      </c>
      <c r="S1434" s="18">
        <f>IF($Z1434="","",IF(AND(DATE($AD1434,10,1)&gt;=$AE1434,DATE($AD1434,10,1)&lt;=$AF1434),ROUND($AG1434,2),0))</f>
        <v/>
      </c>
      <c r="T1434" s="18">
        <f>IF($Z1434="","",IF(AND(DATE($AD1434,11,1)&gt;=$AE1434,DATE($AD1434,11,1)&lt;=$AF1434),ROUND($AG1434,2),0))</f>
        <v/>
      </c>
      <c r="U1434" s="18">
        <f>IF($Z1434="","",IF(AND(DATE($AD1434,12,1)&gt;=$AE1434,DATE($AD1434,12,1)&lt;=$AF1434),ROUND($AG1434,2),0))</f>
        <v/>
      </c>
      <c r="V1434" s="7">
        <f>IF($Z1434="C","Generated from "&amp;INDEX(Contracts!$A$2:$A$151,$AB1434),IF($Z1434="A","Generated from "&amp;INDEX(Fixed_Assets!$A$2:$A$201,$AB1434),IF($Z1434="F","Generated from "&amp;INDEX(FTE_Allocation!$A$2:$A$201,$AB1434),"")))</f>
        <v/>
      </c>
      <c r="X1434" s="19">
        <f>IF($Z1434="","",SUM(J1434:U1434))</f>
        <v/>
      </c>
      <c r="Y1434" s="20">
        <f>ROW()-1</f>
        <v/>
      </c>
      <c r="Z1434" s="20">
        <f>IF($Y1434&lt;=Settings!$B$4*3,"C",IF($Y1434&lt;=(Settings!$B$4+Settings!$B$5)*3,"A",IF($Y1434&lt;=(Settings!$B$4+Settings!$B$5+Settings!$B$6)*3,"F","")))</f>
        <v/>
      </c>
      <c r="AA1434" s="20">
        <f>IF($Z1434="C",$Y1434,IF($Z1434="A",$Y1434-Settings!$B$4*3,IF($Z1434="F",$Y1434-(Settings!$B$4+Settings!$B$5)*3,"")))</f>
        <v/>
      </c>
      <c r="AB1434" s="20">
        <f>IF($Z1434="","",INT(($AA1434-1)/3)+1)</f>
        <v/>
      </c>
      <c r="AC1434" s="20">
        <f>IF($Z1434="","",MOD($AA1434-1,3)+1)</f>
        <v/>
      </c>
      <c r="AD1434" s="20">
        <f>IF($Z1434="","",Settings!$B$2+$AC1434-1)</f>
        <v/>
      </c>
      <c r="AE1434" s="21">
        <f>IF($Z1434="C",DATE(YEAR(INDEX(Contracts!$J$2:$J$151,$AB1434)),MONTH(INDEX(Contracts!$J$2:$J$151,$AB1434)),1),IF($Z1434="A",DATE(YEAR(INDEX(Fixed_Assets!$G$2:$G$201,$AB1434)),MONTH(INDEX(Fixed_Assets!$G$2:$G$201,$AB1434)),1),IF($Z1434="F",DATE(YEAR(MAX(N(INDEX(Workforce!$I$2:$I$151,MATCH(INDEX(FTE_Allocation!$A$2:$A$201,$AB1434),Workforce!$A$2:$A$151,0))),N(INDEX(FTE_Allocation!$I$2:$I$201,$AB1434)))),MONTH(MAX(N(INDEX(Workforce!$I$2:$I$151,MATCH(INDEX(FTE_Allocation!$A$2:$A$201,$AB1434),Workforce!$A$2:$A$151,0))),N(INDEX(FTE_Allocation!$I$2:$I$201,$AB1434)))),1),"")))</f>
        <v/>
      </c>
      <c r="AF1434" s="21">
        <f>IF($Z1434="C",IF(INDEX(Contracts!$I$2:$I$151,$AB1434)="PREPAID",EDATE(DATE(YEAR(INDEX(Contracts!$J$2:$J$151,$AB1434)),MONTH(INDEX(Contracts!$J$2:$J$151,$AB1434)),1),IF(INDEX(Contracts!$N$2:$N$151,$AB1434)="",12,INDEX(Contracts!$N$2:$N$151,$AB1434))-1),IF(INDEX(Contracts!$I$2:$I$151,$AB1434)="MONTHLY",IF(INDEX(Contracts!$K$2:$K$151,$AB1434)="",2958101,INDEX(Contracts!$K$2:$K$151,$AB1434)),0)),IF($Z1434="A",EDATE(DATE(YEAR(INDEX(Fixed_Assets!$G$2:$G$201,$AB1434)),MONTH(INDEX(Fixed_Assets!$G$2:$G$201,$AB1434)),1),INDEX(Fixed_Assets!$J$2:$J$201,$AB1434)-1),IF($Z1434="F",MIN(IF(INDEX(Workforce!$J$2:$J$151,MATCH(INDEX(FTE_Allocation!$A$2:$A$201,$AB1434),Workforce!$A$2:$A$151,0))="",2958101,INDEX(Workforce!$J$2:$J$151,MATCH(INDEX(FTE_Allocation!$A$2:$A$201,$AB1434),Workforce!$A$2:$A$151,0))),IF(INDEX(FTE_Allocation!$J$2:$J$201,$AB1434)="",2958101,INDEX(FTE_Allocation!$J$2:$J$201,$AB1434))),"")))</f>
        <v/>
      </c>
      <c r="AG1434" s="19">
        <f>IF($Z1434="C",IF(INDEX(Contracts!$I$2:$I$151,$AB1434)="PREPAID",INDEX(Contracts!$M$2:$M$151,$AB1434)/IF(INDEX(Contracts!$N$2:$N$151,$AB1434)="",12,INDEX(Contracts!$N$2:$N$151,$AB1434)),IF(INDEX(Contracts!$I$2:$I$151,$AB1434)="MONTHLY",INDEX(Contracts!$M$2:$M$151,$AB1434),0))*(1-N(INDEX(Contracts!$O$2:$O$151,$AB1434))),IF($Z1434="A",INDEX(Fixed_Assets!$H$2:$H$201,$AB1434)/INDEX(Fixed_Assets!$J$2:$J$201,$AB1434),IF($Z1434="F",INDEX(Workforce!$F$2:$F$151,MATCH(INDEX(FTE_Allocation!$A$2:$A$201,$AB1434),Workforce!$A$2:$A$151,0))*N(INDEX(FTE_Allocation!$F$2:$H$201,$AB1434,$AC1434)),"")))</f>
        <v/>
      </c>
    </row>
    <row r="1435">
      <c r="A1435" s="7">
        <f>IF($Z1435="","",$AD1435)</f>
        <v/>
      </c>
      <c r="B1435" s="7">
        <f>IF($Z1435="C",INDEX(Contracts!$D$2:$D$151,$AB1435)&amp;"",IF($Z1435="A",INDEX(Fixed_Assets!$C$2:$C$201,$AB1435)&amp;"",IF($Z1435="F",INDEX(Workforce!$B$2:$B$151,MATCH(INDEX(FTE_Allocation!$A$2:$A$201,$AB1435),Workforce!$A$2:$A$151,0))&amp;"","")))</f>
        <v/>
      </c>
      <c r="C1435" s="7">
        <f>IF($Z1435="C",INDEX(Contracts!$E$2:$E$151,$AB1435)&amp;"",IF($Z1435="A",INDEX(Fixed_Assets!$D$2:$D$201,$AB1435)&amp;"",IF($Z1435="F",INDEX(FTE_Allocation!$C$2:$C$201,$AB1435)&amp;"","")))</f>
        <v/>
      </c>
      <c r="D1435" s="7">
        <f>IF($Z1435="C",INDEX(Contracts!$B$2:$B$151,$AB1435)&amp;"",IF($Z1435="A",INDEX(Fixed_Assets!$B$2:$B$201,$AB1435)&amp;"",IF($Z1435="F",INDEX(FTE_Allocation!$B$2:$B$201,$AB1435)&amp;"","")))</f>
        <v/>
      </c>
      <c r="E1435" s="7">
        <f>IF($Z1435="C",INDEX(Contracts!$P$2:$P$151,$AB1435)&amp;"",IF($Z1435="A",INDEX(Fixed_Assets!$K$2:$K$201,$AB1435)&amp;"",IF($Z1435="F",IF(INDEX(FTE_Allocation!$D$2:$D$201,$AB1435)="PROJECT",IFERROR(INDEX(Projects!$D:$D,MATCH(INDEX(FTE_Allocation!$E$2:$E$201,$AB1435),Projects!$A:$A,0))&amp;"","#PROJECT?"),INDEX(FTE_Allocation!$E$2:$E$201,$AB1435)&amp;""),"")))</f>
        <v/>
      </c>
      <c r="F1435" s="7">
        <f>IF($Z1435="C",INDEX(Contracts!$Q$2:$Q$151,$AB1435)&amp;"",IF($Z1435="A",INDEX(Fixed_Assets!$L$2:$L$201,$AB1435)&amp;"",IF($Z1435="F",INDEX(Workforce!$K$2:$K$151,MATCH(INDEX(FTE_Allocation!$A$2:$A$201,$AB1435),Workforce!$A$2:$A$151,0))&amp;"","")))</f>
        <v/>
      </c>
      <c r="G1435" s="7">
        <f>IF($Z1435="C",INDEX(Contracts!$F$2:$F$151,$AB1435)&amp;" / "&amp;INDEX(Contracts!$G$2:$G$151,$AB1435),IF($Z1435="A",INDEX(Fixed_Assets!$E$2:$E$201,$AB1435)&amp;"",IF($Z1435="F","Personnel "&amp;INDEX(FTE_Allocation!$A$2:$A$201,$AB1435)&amp;IF(INDEX(FTE_Allocation!$D$2:$D$201,$AB1435)="PROJECT"," ("&amp;INDEX(FTE_Allocation!$E$2:$E$201,$AB1435)&amp;")",""),"")))</f>
        <v/>
      </c>
      <c r="H1435" s="7">
        <f>IF($Z1435="C","CONTRACT",IF($Z1435="A","ASSET",IF($Z1435="F","WORKFORCE","")))</f>
        <v/>
      </c>
      <c r="I1435" s="7">
        <f>IF($Z1435="C",INDEX(Contracts!$L$2:$L$151,$AB1435)&amp;"",IF($Z1435="A",INDEX(Fixed_Assets!$I$2:$I$201,$AB1435)&amp;"",IF($Z1435="F",INDEX(Workforce!$G$2:$G$151,MATCH(INDEX(FTE_Allocation!$A$2:$A$201,$AB1435),Workforce!$A$2:$A$151,0))&amp;"","")))</f>
        <v/>
      </c>
      <c r="J1435" s="18">
        <f>IF($Z1435="","",IF(AND(DATE($AD1435,1,1)&gt;=$AE1435,DATE($AD1435,1,1)&lt;=$AF1435),ROUND($AG1435,2),0))</f>
        <v/>
      </c>
      <c r="K1435" s="18">
        <f>IF($Z1435="","",IF(AND(DATE($AD1435,2,1)&gt;=$AE1435,DATE($AD1435,2,1)&lt;=$AF1435),ROUND($AG1435,2),0))</f>
        <v/>
      </c>
      <c r="L1435" s="18">
        <f>IF($Z1435="","",IF(AND(DATE($AD1435,3,1)&gt;=$AE1435,DATE($AD1435,3,1)&lt;=$AF1435),ROUND($AG1435,2),0))</f>
        <v/>
      </c>
      <c r="M1435" s="18">
        <f>IF($Z1435="","",IF(AND(DATE($AD1435,4,1)&gt;=$AE1435,DATE($AD1435,4,1)&lt;=$AF1435),ROUND($AG1435,2),0))</f>
        <v/>
      </c>
      <c r="N1435" s="18">
        <f>IF($Z1435="","",IF(AND(DATE($AD1435,5,1)&gt;=$AE1435,DATE($AD1435,5,1)&lt;=$AF1435),ROUND($AG1435,2),0))</f>
        <v/>
      </c>
      <c r="O1435" s="18">
        <f>IF($Z1435="","",IF(AND(DATE($AD1435,6,1)&gt;=$AE1435,DATE($AD1435,6,1)&lt;=$AF1435),ROUND($AG1435,2),0))</f>
        <v/>
      </c>
      <c r="P1435" s="18">
        <f>IF($Z1435="","",IF(AND(DATE($AD1435,7,1)&gt;=$AE1435,DATE($AD1435,7,1)&lt;=$AF1435),ROUND($AG1435,2),0))</f>
        <v/>
      </c>
      <c r="Q1435" s="18">
        <f>IF($Z1435="","",IF(AND(DATE($AD1435,8,1)&gt;=$AE1435,DATE($AD1435,8,1)&lt;=$AF1435),ROUND($AG1435,2),0))</f>
        <v/>
      </c>
      <c r="R1435" s="18">
        <f>IF($Z1435="","",IF(AND(DATE($AD1435,9,1)&gt;=$AE1435,DATE($AD1435,9,1)&lt;=$AF1435),ROUND($AG1435,2),0))</f>
        <v/>
      </c>
      <c r="S1435" s="18">
        <f>IF($Z1435="","",IF(AND(DATE($AD1435,10,1)&gt;=$AE1435,DATE($AD1435,10,1)&lt;=$AF1435),ROUND($AG1435,2),0))</f>
        <v/>
      </c>
      <c r="T1435" s="18">
        <f>IF($Z1435="","",IF(AND(DATE($AD1435,11,1)&gt;=$AE1435,DATE($AD1435,11,1)&lt;=$AF1435),ROUND($AG1435,2),0))</f>
        <v/>
      </c>
      <c r="U1435" s="18">
        <f>IF($Z1435="","",IF(AND(DATE($AD1435,12,1)&gt;=$AE1435,DATE($AD1435,12,1)&lt;=$AF1435),ROUND($AG1435,2),0))</f>
        <v/>
      </c>
      <c r="V1435" s="7">
        <f>IF($Z1435="C","Generated from "&amp;INDEX(Contracts!$A$2:$A$151,$AB1435),IF($Z1435="A","Generated from "&amp;INDEX(Fixed_Assets!$A$2:$A$201,$AB1435),IF($Z1435="F","Generated from "&amp;INDEX(FTE_Allocation!$A$2:$A$201,$AB1435),"")))</f>
        <v/>
      </c>
      <c r="X1435" s="19">
        <f>IF($Z1435="","",SUM(J1435:U1435))</f>
        <v/>
      </c>
      <c r="Y1435" s="20">
        <f>ROW()-1</f>
        <v/>
      </c>
      <c r="Z1435" s="20">
        <f>IF($Y1435&lt;=Settings!$B$4*3,"C",IF($Y1435&lt;=(Settings!$B$4+Settings!$B$5)*3,"A",IF($Y1435&lt;=(Settings!$B$4+Settings!$B$5+Settings!$B$6)*3,"F","")))</f>
        <v/>
      </c>
      <c r="AA1435" s="20">
        <f>IF($Z1435="C",$Y1435,IF($Z1435="A",$Y1435-Settings!$B$4*3,IF($Z1435="F",$Y1435-(Settings!$B$4+Settings!$B$5)*3,"")))</f>
        <v/>
      </c>
      <c r="AB1435" s="20">
        <f>IF($Z1435="","",INT(($AA1435-1)/3)+1)</f>
        <v/>
      </c>
      <c r="AC1435" s="20">
        <f>IF($Z1435="","",MOD($AA1435-1,3)+1)</f>
        <v/>
      </c>
      <c r="AD1435" s="20">
        <f>IF($Z1435="","",Settings!$B$2+$AC1435-1)</f>
        <v/>
      </c>
      <c r="AE1435" s="21">
        <f>IF($Z1435="C",DATE(YEAR(INDEX(Contracts!$J$2:$J$151,$AB1435)),MONTH(INDEX(Contracts!$J$2:$J$151,$AB1435)),1),IF($Z1435="A",DATE(YEAR(INDEX(Fixed_Assets!$G$2:$G$201,$AB1435)),MONTH(INDEX(Fixed_Assets!$G$2:$G$201,$AB1435)),1),IF($Z1435="F",DATE(YEAR(MAX(N(INDEX(Workforce!$I$2:$I$151,MATCH(INDEX(FTE_Allocation!$A$2:$A$201,$AB1435),Workforce!$A$2:$A$151,0))),N(INDEX(FTE_Allocation!$I$2:$I$201,$AB1435)))),MONTH(MAX(N(INDEX(Workforce!$I$2:$I$151,MATCH(INDEX(FTE_Allocation!$A$2:$A$201,$AB1435),Workforce!$A$2:$A$151,0))),N(INDEX(FTE_Allocation!$I$2:$I$201,$AB1435)))),1),"")))</f>
        <v/>
      </c>
      <c r="AF1435" s="21">
        <f>IF($Z1435="C",IF(INDEX(Contracts!$I$2:$I$151,$AB1435)="PREPAID",EDATE(DATE(YEAR(INDEX(Contracts!$J$2:$J$151,$AB1435)),MONTH(INDEX(Contracts!$J$2:$J$151,$AB1435)),1),IF(INDEX(Contracts!$N$2:$N$151,$AB1435)="",12,INDEX(Contracts!$N$2:$N$151,$AB1435))-1),IF(INDEX(Contracts!$I$2:$I$151,$AB1435)="MONTHLY",IF(INDEX(Contracts!$K$2:$K$151,$AB1435)="",2958101,INDEX(Contracts!$K$2:$K$151,$AB1435)),0)),IF($Z1435="A",EDATE(DATE(YEAR(INDEX(Fixed_Assets!$G$2:$G$201,$AB1435)),MONTH(INDEX(Fixed_Assets!$G$2:$G$201,$AB1435)),1),INDEX(Fixed_Assets!$J$2:$J$201,$AB1435)-1),IF($Z1435="F",MIN(IF(INDEX(Workforce!$J$2:$J$151,MATCH(INDEX(FTE_Allocation!$A$2:$A$201,$AB1435),Workforce!$A$2:$A$151,0))="",2958101,INDEX(Workforce!$J$2:$J$151,MATCH(INDEX(FTE_Allocation!$A$2:$A$201,$AB1435),Workforce!$A$2:$A$151,0))),IF(INDEX(FTE_Allocation!$J$2:$J$201,$AB1435)="",2958101,INDEX(FTE_Allocation!$J$2:$J$201,$AB1435))),"")))</f>
        <v/>
      </c>
      <c r="AG1435" s="19">
        <f>IF($Z1435="C",IF(INDEX(Contracts!$I$2:$I$151,$AB1435)="PREPAID",INDEX(Contracts!$M$2:$M$151,$AB1435)/IF(INDEX(Contracts!$N$2:$N$151,$AB1435)="",12,INDEX(Contracts!$N$2:$N$151,$AB1435)),IF(INDEX(Contracts!$I$2:$I$151,$AB1435)="MONTHLY",INDEX(Contracts!$M$2:$M$151,$AB1435),0))*(1-N(INDEX(Contracts!$O$2:$O$151,$AB1435))),IF($Z1435="A",INDEX(Fixed_Assets!$H$2:$H$201,$AB1435)/INDEX(Fixed_Assets!$J$2:$J$201,$AB1435),IF($Z1435="F",INDEX(Workforce!$F$2:$F$151,MATCH(INDEX(FTE_Allocation!$A$2:$A$201,$AB1435),Workforce!$A$2:$A$151,0))*N(INDEX(FTE_Allocation!$F$2:$H$201,$AB1435,$AC1435)),"")))</f>
        <v/>
      </c>
    </row>
    <row r="1436">
      <c r="A1436" s="7">
        <f>IF($Z1436="","",$AD1436)</f>
        <v/>
      </c>
      <c r="B1436" s="7">
        <f>IF($Z1436="C",INDEX(Contracts!$D$2:$D$151,$AB1436)&amp;"",IF($Z1436="A",INDEX(Fixed_Assets!$C$2:$C$201,$AB1436)&amp;"",IF($Z1436="F",INDEX(Workforce!$B$2:$B$151,MATCH(INDEX(FTE_Allocation!$A$2:$A$201,$AB1436),Workforce!$A$2:$A$151,0))&amp;"","")))</f>
        <v/>
      </c>
      <c r="C1436" s="7">
        <f>IF($Z1436="C",INDEX(Contracts!$E$2:$E$151,$AB1436)&amp;"",IF($Z1436="A",INDEX(Fixed_Assets!$D$2:$D$201,$AB1436)&amp;"",IF($Z1436="F",INDEX(FTE_Allocation!$C$2:$C$201,$AB1436)&amp;"","")))</f>
        <v/>
      </c>
      <c r="D1436" s="7">
        <f>IF($Z1436="C",INDEX(Contracts!$B$2:$B$151,$AB1436)&amp;"",IF($Z1436="A",INDEX(Fixed_Assets!$B$2:$B$201,$AB1436)&amp;"",IF($Z1436="F",INDEX(FTE_Allocation!$B$2:$B$201,$AB1436)&amp;"","")))</f>
        <v/>
      </c>
      <c r="E1436" s="7">
        <f>IF($Z1436="C",INDEX(Contracts!$P$2:$P$151,$AB1436)&amp;"",IF($Z1436="A",INDEX(Fixed_Assets!$K$2:$K$201,$AB1436)&amp;"",IF($Z1436="F",IF(INDEX(FTE_Allocation!$D$2:$D$201,$AB1436)="PROJECT",IFERROR(INDEX(Projects!$D:$D,MATCH(INDEX(FTE_Allocation!$E$2:$E$201,$AB1436),Projects!$A:$A,0))&amp;"","#PROJECT?"),INDEX(FTE_Allocation!$E$2:$E$201,$AB1436)&amp;""),"")))</f>
        <v/>
      </c>
      <c r="F1436" s="7">
        <f>IF($Z1436="C",INDEX(Contracts!$Q$2:$Q$151,$AB1436)&amp;"",IF($Z1436="A",INDEX(Fixed_Assets!$L$2:$L$201,$AB1436)&amp;"",IF($Z1436="F",INDEX(Workforce!$K$2:$K$151,MATCH(INDEX(FTE_Allocation!$A$2:$A$201,$AB1436),Workforce!$A$2:$A$151,0))&amp;"","")))</f>
        <v/>
      </c>
      <c r="G1436" s="7">
        <f>IF($Z1436="C",INDEX(Contracts!$F$2:$F$151,$AB1436)&amp;" / "&amp;INDEX(Contracts!$G$2:$G$151,$AB1436),IF($Z1436="A",INDEX(Fixed_Assets!$E$2:$E$201,$AB1436)&amp;"",IF($Z1436="F","Personnel "&amp;INDEX(FTE_Allocation!$A$2:$A$201,$AB1436)&amp;IF(INDEX(FTE_Allocation!$D$2:$D$201,$AB1436)="PROJECT"," ("&amp;INDEX(FTE_Allocation!$E$2:$E$201,$AB1436)&amp;")",""),"")))</f>
        <v/>
      </c>
      <c r="H1436" s="7">
        <f>IF($Z1436="C","CONTRACT",IF($Z1436="A","ASSET",IF($Z1436="F","WORKFORCE","")))</f>
        <v/>
      </c>
      <c r="I1436" s="7">
        <f>IF($Z1436="C",INDEX(Contracts!$L$2:$L$151,$AB1436)&amp;"",IF($Z1436="A",INDEX(Fixed_Assets!$I$2:$I$201,$AB1436)&amp;"",IF($Z1436="F",INDEX(Workforce!$G$2:$G$151,MATCH(INDEX(FTE_Allocation!$A$2:$A$201,$AB1436),Workforce!$A$2:$A$151,0))&amp;"","")))</f>
        <v/>
      </c>
      <c r="J1436" s="18">
        <f>IF($Z1436="","",IF(AND(DATE($AD1436,1,1)&gt;=$AE1436,DATE($AD1436,1,1)&lt;=$AF1436),ROUND($AG1436,2),0))</f>
        <v/>
      </c>
      <c r="K1436" s="18">
        <f>IF($Z1436="","",IF(AND(DATE($AD1436,2,1)&gt;=$AE1436,DATE($AD1436,2,1)&lt;=$AF1436),ROUND($AG1436,2),0))</f>
        <v/>
      </c>
      <c r="L1436" s="18">
        <f>IF($Z1436="","",IF(AND(DATE($AD1436,3,1)&gt;=$AE1436,DATE($AD1436,3,1)&lt;=$AF1436),ROUND($AG1436,2),0))</f>
        <v/>
      </c>
      <c r="M1436" s="18">
        <f>IF($Z1436="","",IF(AND(DATE($AD1436,4,1)&gt;=$AE1436,DATE($AD1436,4,1)&lt;=$AF1436),ROUND($AG1436,2),0))</f>
        <v/>
      </c>
      <c r="N1436" s="18">
        <f>IF($Z1436="","",IF(AND(DATE($AD1436,5,1)&gt;=$AE1436,DATE($AD1436,5,1)&lt;=$AF1436),ROUND($AG1436,2),0))</f>
        <v/>
      </c>
      <c r="O1436" s="18">
        <f>IF($Z1436="","",IF(AND(DATE($AD1436,6,1)&gt;=$AE1436,DATE($AD1436,6,1)&lt;=$AF1436),ROUND($AG1436,2),0))</f>
        <v/>
      </c>
      <c r="P1436" s="18">
        <f>IF($Z1436="","",IF(AND(DATE($AD1436,7,1)&gt;=$AE1436,DATE($AD1436,7,1)&lt;=$AF1436),ROUND($AG1436,2),0))</f>
        <v/>
      </c>
      <c r="Q1436" s="18">
        <f>IF($Z1436="","",IF(AND(DATE($AD1436,8,1)&gt;=$AE1436,DATE($AD1436,8,1)&lt;=$AF1436),ROUND($AG1436,2),0))</f>
        <v/>
      </c>
      <c r="R1436" s="18">
        <f>IF($Z1436="","",IF(AND(DATE($AD1436,9,1)&gt;=$AE1436,DATE($AD1436,9,1)&lt;=$AF1436),ROUND($AG1436,2),0))</f>
        <v/>
      </c>
      <c r="S1436" s="18">
        <f>IF($Z1436="","",IF(AND(DATE($AD1436,10,1)&gt;=$AE1436,DATE($AD1436,10,1)&lt;=$AF1436),ROUND($AG1436,2),0))</f>
        <v/>
      </c>
      <c r="T1436" s="18">
        <f>IF($Z1436="","",IF(AND(DATE($AD1436,11,1)&gt;=$AE1436,DATE($AD1436,11,1)&lt;=$AF1436),ROUND($AG1436,2),0))</f>
        <v/>
      </c>
      <c r="U1436" s="18">
        <f>IF($Z1436="","",IF(AND(DATE($AD1436,12,1)&gt;=$AE1436,DATE($AD1436,12,1)&lt;=$AF1436),ROUND($AG1436,2),0))</f>
        <v/>
      </c>
      <c r="V1436" s="7">
        <f>IF($Z1436="C","Generated from "&amp;INDEX(Contracts!$A$2:$A$151,$AB1436),IF($Z1436="A","Generated from "&amp;INDEX(Fixed_Assets!$A$2:$A$201,$AB1436),IF($Z1436="F","Generated from "&amp;INDEX(FTE_Allocation!$A$2:$A$201,$AB1436),"")))</f>
        <v/>
      </c>
      <c r="X1436" s="19">
        <f>IF($Z1436="","",SUM(J1436:U1436))</f>
        <v/>
      </c>
      <c r="Y1436" s="20">
        <f>ROW()-1</f>
        <v/>
      </c>
      <c r="Z1436" s="20">
        <f>IF($Y1436&lt;=Settings!$B$4*3,"C",IF($Y1436&lt;=(Settings!$B$4+Settings!$B$5)*3,"A",IF($Y1436&lt;=(Settings!$B$4+Settings!$B$5+Settings!$B$6)*3,"F","")))</f>
        <v/>
      </c>
      <c r="AA1436" s="20">
        <f>IF($Z1436="C",$Y1436,IF($Z1436="A",$Y1436-Settings!$B$4*3,IF($Z1436="F",$Y1436-(Settings!$B$4+Settings!$B$5)*3,"")))</f>
        <v/>
      </c>
      <c r="AB1436" s="20">
        <f>IF($Z1436="","",INT(($AA1436-1)/3)+1)</f>
        <v/>
      </c>
      <c r="AC1436" s="20">
        <f>IF($Z1436="","",MOD($AA1436-1,3)+1)</f>
        <v/>
      </c>
      <c r="AD1436" s="20">
        <f>IF($Z1436="","",Settings!$B$2+$AC1436-1)</f>
        <v/>
      </c>
      <c r="AE1436" s="21">
        <f>IF($Z1436="C",DATE(YEAR(INDEX(Contracts!$J$2:$J$151,$AB1436)),MONTH(INDEX(Contracts!$J$2:$J$151,$AB1436)),1),IF($Z1436="A",DATE(YEAR(INDEX(Fixed_Assets!$G$2:$G$201,$AB1436)),MONTH(INDEX(Fixed_Assets!$G$2:$G$201,$AB1436)),1),IF($Z1436="F",DATE(YEAR(MAX(N(INDEX(Workforce!$I$2:$I$151,MATCH(INDEX(FTE_Allocation!$A$2:$A$201,$AB1436),Workforce!$A$2:$A$151,0))),N(INDEX(FTE_Allocation!$I$2:$I$201,$AB1436)))),MONTH(MAX(N(INDEX(Workforce!$I$2:$I$151,MATCH(INDEX(FTE_Allocation!$A$2:$A$201,$AB1436),Workforce!$A$2:$A$151,0))),N(INDEX(FTE_Allocation!$I$2:$I$201,$AB1436)))),1),"")))</f>
        <v/>
      </c>
      <c r="AF1436" s="21">
        <f>IF($Z1436="C",IF(INDEX(Contracts!$I$2:$I$151,$AB1436)="PREPAID",EDATE(DATE(YEAR(INDEX(Contracts!$J$2:$J$151,$AB1436)),MONTH(INDEX(Contracts!$J$2:$J$151,$AB1436)),1),IF(INDEX(Contracts!$N$2:$N$151,$AB1436)="",12,INDEX(Contracts!$N$2:$N$151,$AB1436))-1),IF(INDEX(Contracts!$I$2:$I$151,$AB1436)="MONTHLY",IF(INDEX(Contracts!$K$2:$K$151,$AB1436)="",2958101,INDEX(Contracts!$K$2:$K$151,$AB1436)),0)),IF($Z1436="A",EDATE(DATE(YEAR(INDEX(Fixed_Assets!$G$2:$G$201,$AB1436)),MONTH(INDEX(Fixed_Assets!$G$2:$G$201,$AB1436)),1),INDEX(Fixed_Assets!$J$2:$J$201,$AB1436)-1),IF($Z1436="F",MIN(IF(INDEX(Workforce!$J$2:$J$151,MATCH(INDEX(FTE_Allocation!$A$2:$A$201,$AB1436),Workforce!$A$2:$A$151,0))="",2958101,INDEX(Workforce!$J$2:$J$151,MATCH(INDEX(FTE_Allocation!$A$2:$A$201,$AB1436),Workforce!$A$2:$A$151,0))),IF(INDEX(FTE_Allocation!$J$2:$J$201,$AB1436)="",2958101,INDEX(FTE_Allocation!$J$2:$J$201,$AB1436))),"")))</f>
        <v/>
      </c>
      <c r="AG1436" s="19">
        <f>IF($Z1436="C",IF(INDEX(Contracts!$I$2:$I$151,$AB1436)="PREPAID",INDEX(Contracts!$M$2:$M$151,$AB1436)/IF(INDEX(Contracts!$N$2:$N$151,$AB1436)="",12,INDEX(Contracts!$N$2:$N$151,$AB1436)),IF(INDEX(Contracts!$I$2:$I$151,$AB1436)="MONTHLY",INDEX(Contracts!$M$2:$M$151,$AB1436),0))*(1-N(INDEX(Contracts!$O$2:$O$151,$AB1436))),IF($Z1436="A",INDEX(Fixed_Assets!$H$2:$H$201,$AB1436)/INDEX(Fixed_Assets!$J$2:$J$201,$AB1436),IF($Z1436="F",INDEX(Workforce!$F$2:$F$151,MATCH(INDEX(FTE_Allocation!$A$2:$A$201,$AB1436),Workforce!$A$2:$A$151,0))*N(INDEX(FTE_Allocation!$F$2:$H$201,$AB1436,$AC1436)),"")))</f>
        <v/>
      </c>
    </row>
    <row r="1437">
      <c r="A1437" s="7">
        <f>IF($Z1437="","",$AD1437)</f>
        <v/>
      </c>
      <c r="B1437" s="7">
        <f>IF($Z1437="C",INDEX(Contracts!$D$2:$D$151,$AB1437)&amp;"",IF($Z1437="A",INDEX(Fixed_Assets!$C$2:$C$201,$AB1437)&amp;"",IF($Z1437="F",INDEX(Workforce!$B$2:$B$151,MATCH(INDEX(FTE_Allocation!$A$2:$A$201,$AB1437),Workforce!$A$2:$A$151,0))&amp;"","")))</f>
        <v/>
      </c>
      <c r="C1437" s="7">
        <f>IF($Z1437="C",INDEX(Contracts!$E$2:$E$151,$AB1437)&amp;"",IF($Z1437="A",INDEX(Fixed_Assets!$D$2:$D$201,$AB1437)&amp;"",IF($Z1437="F",INDEX(FTE_Allocation!$C$2:$C$201,$AB1437)&amp;"","")))</f>
        <v/>
      </c>
      <c r="D1437" s="7">
        <f>IF($Z1437="C",INDEX(Contracts!$B$2:$B$151,$AB1437)&amp;"",IF($Z1437="A",INDEX(Fixed_Assets!$B$2:$B$201,$AB1437)&amp;"",IF($Z1437="F",INDEX(FTE_Allocation!$B$2:$B$201,$AB1437)&amp;"","")))</f>
        <v/>
      </c>
      <c r="E1437" s="7">
        <f>IF($Z1437="C",INDEX(Contracts!$P$2:$P$151,$AB1437)&amp;"",IF($Z1437="A",INDEX(Fixed_Assets!$K$2:$K$201,$AB1437)&amp;"",IF($Z1437="F",IF(INDEX(FTE_Allocation!$D$2:$D$201,$AB1437)="PROJECT",IFERROR(INDEX(Projects!$D:$D,MATCH(INDEX(FTE_Allocation!$E$2:$E$201,$AB1437),Projects!$A:$A,0))&amp;"","#PROJECT?"),INDEX(FTE_Allocation!$E$2:$E$201,$AB1437)&amp;""),"")))</f>
        <v/>
      </c>
      <c r="F1437" s="7">
        <f>IF($Z1437="C",INDEX(Contracts!$Q$2:$Q$151,$AB1437)&amp;"",IF($Z1437="A",INDEX(Fixed_Assets!$L$2:$L$201,$AB1437)&amp;"",IF($Z1437="F",INDEX(Workforce!$K$2:$K$151,MATCH(INDEX(FTE_Allocation!$A$2:$A$201,$AB1437),Workforce!$A$2:$A$151,0))&amp;"","")))</f>
        <v/>
      </c>
      <c r="G1437" s="7">
        <f>IF($Z1437="C",INDEX(Contracts!$F$2:$F$151,$AB1437)&amp;" / "&amp;INDEX(Contracts!$G$2:$G$151,$AB1437),IF($Z1437="A",INDEX(Fixed_Assets!$E$2:$E$201,$AB1437)&amp;"",IF($Z1437="F","Personnel "&amp;INDEX(FTE_Allocation!$A$2:$A$201,$AB1437)&amp;IF(INDEX(FTE_Allocation!$D$2:$D$201,$AB1437)="PROJECT"," ("&amp;INDEX(FTE_Allocation!$E$2:$E$201,$AB1437)&amp;")",""),"")))</f>
        <v/>
      </c>
      <c r="H1437" s="7">
        <f>IF($Z1437="C","CONTRACT",IF($Z1437="A","ASSET",IF($Z1437="F","WORKFORCE","")))</f>
        <v/>
      </c>
      <c r="I1437" s="7">
        <f>IF($Z1437="C",INDEX(Contracts!$L$2:$L$151,$AB1437)&amp;"",IF($Z1437="A",INDEX(Fixed_Assets!$I$2:$I$201,$AB1437)&amp;"",IF($Z1437="F",INDEX(Workforce!$G$2:$G$151,MATCH(INDEX(FTE_Allocation!$A$2:$A$201,$AB1437),Workforce!$A$2:$A$151,0))&amp;"","")))</f>
        <v/>
      </c>
      <c r="J1437" s="18">
        <f>IF($Z1437="","",IF(AND(DATE($AD1437,1,1)&gt;=$AE1437,DATE($AD1437,1,1)&lt;=$AF1437),ROUND($AG1437,2),0))</f>
        <v/>
      </c>
      <c r="K1437" s="18">
        <f>IF($Z1437="","",IF(AND(DATE($AD1437,2,1)&gt;=$AE1437,DATE($AD1437,2,1)&lt;=$AF1437),ROUND($AG1437,2),0))</f>
        <v/>
      </c>
      <c r="L1437" s="18">
        <f>IF($Z1437="","",IF(AND(DATE($AD1437,3,1)&gt;=$AE1437,DATE($AD1437,3,1)&lt;=$AF1437),ROUND($AG1437,2),0))</f>
        <v/>
      </c>
      <c r="M1437" s="18">
        <f>IF($Z1437="","",IF(AND(DATE($AD1437,4,1)&gt;=$AE1437,DATE($AD1437,4,1)&lt;=$AF1437),ROUND($AG1437,2),0))</f>
        <v/>
      </c>
      <c r="N1437" s="18">
        <f>IF($Z1437="","",IF(AND(DATE($AD1437,5,1)&gt;=$AE1437,DATE($AD1437,5,1)&lt;=$AF1437),ROUND($AG1437,2),0))</f>
        <v/>
      </c>
      <c r="O1437" s="18">
        <f>IF($Z1437="","",IF(AND(DATE($AD1437,6,1)&gt;=$AE1437,DATE($AD1437,6,1)&lt;=$AF1437),ROUND($AG1437,2),0))</f>
        <v/>
      </c>
      <c r="P1437" s="18">
        <f>IF($Z1437="","",IF(AND(DATE($AD1437,7,1)&gt;=$AE1437,DATE($AD1437,7,1)&lt;=$AF1437),ROUND($AG1437,2),0))</f>
        <v/>
      </c>
      <c r="Q1437" s="18">
        <f>IF($Z1437="","",IF(AND(DATE($AD1437,8,1)&gt;=$AE1437,DATE($AD1437,8,1)&lt;=$AF1437),ROUND($AG1437,2),0))</f>
        <v/>
      </c>
      <c r="R1437" s="18">
        <f>IF($Z1437="","",IF(AND(DATE($AD1437,9,1)&gt;=$AE1437,DATE($AD1437,9,1)&lt;=$AF1437),ROUND($AG1437,2),0))</f>
        <v/>
      </c>
      <c r="S1437" s="18">
        <f>IF($Z1437="","",IF(AND(DATE($AD1437,10,1)&gt;=$AE1437,DATE($AD1437,10,1)&lt;=$AF1437),ROUND($AG1437,2),0))</f>
        <v/>
      </c>
      <c r="T1437" s="18">
        <f>IF($Z1437="","",IF(AND(DATE($AD1437,11,1)&gt;=$AE1437,DATE($AD1437,11,1)&lt;=$AF1437),ROUND($AG1437,2),0))</f>
        <v/>
      </c>
      <c r="U1437" s="18">
        <f>IF($Z1437="","",IF(AND(DATE($AD1437,12,1)&gt;=$AE1437,DATE($AD1437,12,1)&lt;=$AF1437),ROUND($AG1437,2),0))</f>
        <v/>
      </c>
      <c r="V1437" s="7">
        <f>IF($Z1437="C","Generated from "&amp;INDEX(Contracts!$A$2:$A$151,$AB1437),IF($Z1437="A","Generated from "&amp;INDEX(Fixed_Assets!$A$2:$A$201,$AB1437),IF($Z1437="F","Generated from "&amp;INDEX(FTE_Allocation!$A$2:$A$201,$AB1437),"")))</f>
        <v/>
      </c>
      <c r="X1437" s="19">
        <f>IF($Z1437="","",SUM(J1437:U1437))</f>
        <v/>
      </c>
      <c r="Y1437" s="20">
        <f>ROW()-1</f>
        <v/>
      </c>
      <c r="Z1437" s="20">
        <f>IF($Y1437&lt;=Settings!$B$4*3,"C",IF($Y1437&lt;=(Settings!$B$4+Settings!$B$5)*3,"A",IF($Y1437&lt;=(Settings!$B$4+Settings!$B$5+Settings!$B$6)*3,"F","")))</f>
        <v/>
      </c>
      <c r="AA1437" s="20">
        <f>IF($Z1437="C",$Y1437,IF($Z1437="A",$Y1437-Settings!$B$4*3,IF($Z1437="F",$Y1437-(Settings!$B$4+Settings!$B$5)*3,"")))</f>
        <v/>
      </c>
      <c r="AB1437" s="20">
        <f>IF($Z1437="","",INT(($AA1437-1)/3)+1)</f>
        <v/>
      </c>
      <c r="AC1437" s="20">
        <f>IF($Z1437="","",MOD($AA1437-1,3)+1)</f>
        <v/>
      </c>
      <c r="AD1437" s="20">
        <f>IF($Z1437="","",Settings!$B$2+$AC1437-1)</f>
        <v/>
      </c>
      <c r="AE1437" s="21">
        <f>IF($Z1437="C",DATE(YEAR(INDEX(Contracts!$J$2:$J$151,$AB1437)),MONTH(INDEX(Contracts!$J$2:$J$151,$AB1437)),1),IF($Z1437="A",DATE(YEAR(INDEX(Fixed_Assets!$G$2:$G$201,$AB1437)),MONTH(INDEX(Fixed_Assets!$G$2:$G$201,$AB1437)),1),IF($Z1437="F",DATE(YEAR(MAX(N(INDEX(Workforce!$I$2:$I$151,MATCH(INDEX(FTE_Allocation!$A$2:$A$201,$AB1437),Workforce!$A$2:$A$151,0))),N(INDEX(FTE_Allocation!$I$2:$I$201,$AB1437)))),MONTH(MAX(N(INDEX(Workforce!$I$2:$I$151,MATCH(INDEX(FTE_Allocation!$A$2:$A$201,$AB1437),Workforce!$A$2:$A$151,0))),N(INDEX(FTE_Allocation!$I$2:$I$201,$AB1437)))),1),"")))</f>
        <v/>
      </c>
      <c r="AF1437" s="21">
        <f>IF($Z1437="C",IF(INDEX(Contracts!$I$2:$I$151,$AB1437)="PREPAID",EDATE(DATE(YEAR(INDEX(Contracts!$J$2:$J$151,$AB1437)),MONTH(INDEX(Contracts!$J$2:$J$151,$AB1437)),1),IF(INDEX(Contracts!$N$2:$N$151,$AB1437)="",12,INDEX(Contracts!$N$2:$N$151,$AB1437))-1),IF(INDEX(Contracts!$I$2:$I$151,$AB1437)="MONTHLY",IF(INDEX(Contracts!$K$2:$K$151,$AB1437)="",2958101,INDEX(Contracts!$K$2:$K$151,$AB1437)),0)),IF($Z1437="A",EDATE(DATE(YEAR(INDEX(Fixed_Assets!$G$2:$G$201,$AB1437)),MONTH(INDEX(Fixed_Assets!$G$2:$G$201,$AB1437)),1),INDEX(Fixed_Assets!$J$2:$J$201,$AB1437)-1),IF($Z1437="F",MIN(IF(INDEX(Workforce!$J$2:$J$151,MATCH(INDEX(FTE_Allocation!$A$2:$A$201,$AB1437),Workforce!$A$2:$A$151,0))="",2958101,INDEX(Workforce!$J$2:$J$151,MATCH(INDEX(FTE_Allocation!$A$2:$A$201,$AB1437),Workforce!$A$2:$A$151,0))),IF(INDEX(FTE_Allocation!$J$2:$J$201,$AB1437)="",2958101,INDEX(FTE_Allocation!$J$2:$J$201,$AB1437))),"")))</f>
        <v/>
      </c>
      <c r="AG1437" s="19">
        <f>IF($Z1437="C",IF(INDEX(Contracts!$I$2:$I$151,$AB1437)="PREPAID",INDEX(Contracts!$M$2:$M$151,$AB1437)/IF(INDEX(Contracts!$N$2:$N$151,$AB1437)="",12,INDEX(Contracts!$N$2:$N$151,$AB1437)),IF(INDEX(Contracts!$I$2:$I$151,$AB1437)="MONTHLY",INDEX(Contracts!$M$2:$M$151,$AB1437),0))*(1-N(INDEX(Contracts!$O$2:$O$151,$AB1437))),IF($Z1437="A",INDEX(Fixed_Assets!$H$2:$H$201,$AB1437)/INDEX(Fixed_Assets!$J$2:$J$201,$AB1437),IF($Z1437="F",INDEX(Workforce!$F$2:$F$151,MATCH(INDEX(FTE_Allocation!$A$2:$A$201,$AB1437),Workforce!$A$2:$A$151,0))*N(INDEX(FTE_Allocation!$F$2:$H$201,$AB1437,$AC1437)),"")))</f>
        <v/>
      </c>
    </row>
    <row r="1438">
      <c r="A1438" s="7">
        <f>IF($Z1438="","",$AD1438)</f>
        <v/>
      </c>
      <c r="B1438" s="7">
        <f>IF($Z1438="C",INDEX(Contracts!$D$2:$D$151,$AB1438)&amp;"",IF($Z1438="A",INDEX(Fixed_Assets!$C$2:$C$201,$AB1438)&amp;"",IF($Z1438="F",INDEX(Workforce!$B$2:$B$151,MATCH(INDEX(FTE_Allocation!$A$2:$A$201,$AB1438),Workforce!$A$2:$A$151,0))&amp;"","")))</f>
        <v/>
      </c>
      <c r="C1438" s="7">
        <f>IF($Z1438="C",INDEX(Contracts!$E$2:$E$151,$AB1438)&amp;"",IF($Z1438="A",INDEX(Fixed_Assets!$D$2:$D$201,$AB1438)&amp;"",IF($Z1438="F",INDEX(FTE_Allocation!$C$2:$C$201,$AB1438)&amp;"","")))</f>
        <v/>
      </c>
      <c r="D1438" s="7">
        <f>IF($Z1438="C",INDEX(Contracts!$B$2:$B$151,$AB1438)&amp;"",IF($Z1438="A",INDEX(Fixed_Assets!$B$2:$B$201,$AB1438)&amp;"",IF($Z1438="F",INDEX(FTE_Allocation!$B$2:$B$201,$AB1438)&amp;"","")))</f>
        <v/>
      </c>
      <c r="E1438" s="7">
        <f>IF($Z1438="C",INDEX(Contracts!$P$2:$P$151,$AB1438)&amp;"",IF($Z1438="A",INDEX(Fixed_Assets!$K$2:$K$201,$AB1438)&amp;"",IF($Z1438="F",IF(INDEX(FTE_Allocation!$D$2:$D$201,$AB1438)="PROJECT",IFERROR(INDEX(Projects!$D:$D,MATCH(INDEX(FTE_Allocation!$E$2:$E$201,$AB1438),Projects!$A:$A,0))&amp;"","#PROJECT?"),INDEX(FTE_Allocation!$E$2:$E$201,$AB1438)&amp;""),"")))</f>
        <v/>
      </c>
      <c r="F1438" s="7">
        <f>IF($Z1438="C",INDEX(Contracts!$Q$2:$Q$151,$AB1438)&amp;"",IF($Z1438="A",INDEX(Fixed_Assets!$L$2:$L$201,$AB1438)&amp;"",IF($Z1438="F",INDEX(Workforce!$K$2:$K$151,MATCH(INDEX(FTE_Allocation!$A$2:$A$201,$AB1438),Workforce!$A$2:$A$151,0))&amp;"","")))</f>
        <v/>
      </c>
      <c r="G1438" s="7">
        <f>IF($Z1438="C",INDEX(Contracts!$F$2:$F$151,$AB1438)&amp;" / "&amp;INDEX(Contracts!$G$2:$G$151,$AB1438),IF($Z1438="A",INDEX(Fixed_Assets!$E$2:$E$201,$AB1438)&amp;"",IF($Z1438="F","Personnel "&amp;INDEX(FTE_Allocation!$A$2:$A$201,$AB1438)&amp;IF(INDEX(FTE_Allocation!$D$2:$D$201,$AB1438)="PROJECT"," ("&amp;INDEX(FTE_Allocation!$E$2:$E$201,$AB1438)&amp;")",""),"")))</f>
        <v/>
      </c>
      <c r="H1438" s="7">
        <f>IF($Z1438="C","CONTRACT",IF($Z1438="A","ASSET",IF($Z1438="F","WORKFORCE","")))</f>
        <v/>
      </c>
      <c r="I1438" s="7">
        <f>IF($Z1438="C",INDEX(Contracts!$L$2:$L$151,$AB1438)&amp;"",IF($Z1438="A",INDEX(Fixed_Assets!$I$2:$I$201,$AB1438)&amp;"",IF($Z1438="F",INDEX(Workforce!$G$2:$G$151,MATCH(INDEX(FTE_Allocation!$A$2:$A$201,$AB1438),Workforce!$A$2:$A$151,0))&amp;"","")))</f>
        <v/>
      </c>
      <c r="J1438" s="18">
        <f>IF($Z1438="","",IF(AND(DATE($AD1438,1,1)&gt;=$AE1438,DATE($AD1438,1,1)&lt;=$AF1438),ROUND($AG1438,2),0))</f>
        <v/>
      </c>
      <c r="K1438" s="18">
        <f>IF($Z1438="","",IF(AND(DATE($AD1438,2,1)&gt;=$AE1438,DATE($AD1438,2,1)&lt;=$AF1438),ROUND($AG1438,2),0))</f>
        <v/>
      </c>
      <c r="L1438" s="18">
        <f>IF($Z1438="","",IF(AND(DATE($AD1438,3,1)&gt;=$AE1438,DATE($AD1438,3,1)&lt;=$AF1438),ROUND($AG1438,2),0))</f>
        <v/>
      </c>
      <c r="M1438" s="18">
        <f>IF($Z1438="","",IF(AND(DATE($AD1438,4,1)&gt;=$AE1438,DATE($AD1438,4,1)&lt;=$AF1438),ROUND($AG1438,2),0))</f>
        <v/>
      </c>
      <c r="N1438" s="18">
        <f>IF($Z1438="","",IF(AND(DATE($AD1438,5,1)&gt;=$AE1438,DATE($AD1438,5,1)&lt;=$AF1438),ROUND($AG1438,2),0))</f>
        <v/>
      </c>
      <c r="O1438" s="18">
        <f>IF($Z1438="","",IF(AND(DATE($AD1438,6,1)&gt;=$AE1438,DATE($AD1438,6,1)&lt;=$AF1438),ROUND($AG1438,2),0))</f>
        <v/>
      </c>
      <c r="P1438" s="18">
        <f>IF($Z1438="","",IF(AND(DATE($AD1438,7,1)&gt;=$AE1438,DATE($AD1438,7,1)&lt;=$AF1438),ROUND($AG1438,2),0))</f>
        <v/>
      </c>
      <c r="Q1438" s="18">
        <f>IF($Z1438="","",IF(AND(DATE($AD1438,8,1)&gt;=$AE1438,DATE($AD1438,8,1)&lt;=$AF1438),ROUND($AG1438,2),0))</f>
        <v/>
      </c>
      <c r="R1438" s="18">
        <f>IF($Z1438="","",IF(AND(DATE($AD1438,9,1)&gt;=$AE1438,DATE($AD1438,9,1)&lt;=$AF1438),ROUND($AG1438,2),0))</f>
        <v/>
      </c>
      <c r="S1438" s="18">
        <f>IF($Z1438="","",IF(AND(DATE($AD1438,10,1)&gt;=$AE1438,DATE($AD1438,10,1)&lt;=$AF1438),ROUND($AG1438,2),0))</f>
        <v/>
      </c>
      <c r="T1438" s="18">
        <f>IF($Z1438="","",IF(AND(DATE($AD1438,11,1)&gt;=$AE1438,DATE($AD1438,11,1)&lt;=$AF1438),ROUND($AG1438,2),0))</f>
        <v/>
      </c>
      <c r="U1438" s="18">
        <f>IF($Z1438="","",IF(AND(DATE($AD1438,12,1)&gt;=$AE1438,DATE($AD1438,12,1)&lt;=$AF1438),ROUND($AG1438,2),0))</f>
        <v/>
      </c>
      <c r="V1438" s="7">
        <f>IF($Z1438="C","Generated from "&amp;INDEX(Contracts!$A$2:$A$151,$AB1438),IF($Z1438="A","Generated from "&amp;INDEX(Fixed_Assets!$A$2:$A$201,$AB1438),IF($Z1438="F","Generated from "&amp;INDEX(FTE_Allocation!$A$2:$A$201,$AB1438),"")))</f>
        <v/>
      </c>
      <c r="X1438" s="19">
        <f>IF($Z1438="","",SUM(J1438:U1438))</f>
        <v/>
      </c>
      <c r="Y1438" s="20">
        <f>ROW()-1</f>
        <v/>
      </c>
      <c r="Z1438" s="20">
        <f>IF($Y1438&lt;=Settings!$B$4*3,"C",IF($Y1438&lt;=(Settings!$B$4+Settings!$B$5)*3,"A",IF($Y1438&lt;=(Settings!$B$4+Settings!$B$5+Settings!$B$6)*3,"F","")))</f>
        <v/>
      </c>
      <c r="AA1438" s="20">
        <f>IF($Z1438="C",$Y1438,IF($Z1438="A",$Y1438-Settings!$B$4*3,IF($Z1438="F",$Y1438-(Settings!$B$4+Settings!$B$5)*3,"")))</f>
        <v/>
      </c>
      <c r="AB1438" s="20">
        <f>IF($Z1438="","",INT(($AA1438-1)/3)+1)</f>
        <v/>
      </c>
      <c r="AC1438" s="20">
        <f>IF($Z1438="","",MOD($AA1438-1,3)+1)</f>
        <v/>
      </c>
      <c r="AD1438" s="20">
        <f>IF($Z1438="","",Settings!$B$2+$AC1438-1)</f>
        <v/>
      </c>
      <c r="AE1438" s="21">
        <f>IF($Z1438="C",DATE(YEAR(INDEX(Contracts!$J$2:$J$151,$AB1438)),MONTH(INDEX(Contracts!$J$2:$J$151,$AB1438)),1),IF($Z1438="A",DATE(YEAR(INDEX(Fixed_Assets!$G$2:$G$201,$AB1438)),MONTH(INDEX(Fixed_Assets!$G$2:$G$201,$AB1438)),1),IF($Z1438="F",DATE(YEAR(MAX(N(INDEX(Workforce!$I$2:$I$151,MATCH(INDEX(FTE_Allocation!$A$2:$A$201,$AB1438),Workforce!$A$2:$A$151,0))),N(INDEX(FTE_Allocation!$I$2:$I$201,$AB1438)))),MONTH(MAX(N(INDEX(Workforce!$I$2:$I$151,MATCH(INDEX(FTE_Allocation!$A$2:$A$201,$AB1438),Workforce!$A$2:$A$151,0))),N(INDEX(FTE_Allocation!$I$2:$I$201,$AB1438)))),1),"")))</f>
        <v/>
      </c>
      <c r="AF1438" s="21">
        <f>IF($Z1438="C",IF(INDEX(Contracts!$I$2:$I$151,$AB1438)="PREPAID",EDATE(DATE(YEAR(INDEX(Contracts!$J$2:$J$151,$AB1438)),MONTH(INDEX(Contracts!$J$2:$J$151,$AB1438)),1),IF(INDEX(Contracts!$N$2:$N$151,$AB1438)="",12,INDEX(Contracts!$N$2:$N$151,$AB1438))-1),IF(INDEX(Contracts!$I$2:$I$151,$AB1438)="MONTHLY",IF(INDEX(Contracts!$K$2:$K$151,$AB1438)="",2958101,INDEX(Contracts!$K$2:$K$151,$AB1438)),0)),IF($Z1438="A",EDATE(DATE(YEAR(INDEX(Fixed_Assets!$G$2:$G$201,$AB1438)),MONTH(INDEX(Fixed_Assets!$G$2:$G$201,$AB1438)),1),INDEX(Fixed_Assets!$J$2:$J$201,$AB1438)-1),IF($Z1438="F",MIN(IF(INDEX(Workforce!$J$2:$J$151,MATCH(INDEX(FTE_Allocation!$A$2:$A$201,$AB1438),Workforce!$A$2:$A$151,0))="",2958101,INDEX(Workforce!$J$2:$J$151,MATCH(INDEX(FTE_Allocation!$A$2:$A$201,$AB1438),Workforce!$A$2:$A$151,0))),IF(INDEX(FTE_Allocation!$J$2:$J$201,$AB1438)="",2958101,INDEX(FTE_Allocation!$J$2:$J$201,$AB1438))),"")))</f>
        <v/>
      </c>
      <c r="AG1438" s="19">
        <f>IF($Z1438="C",IF(INDEX(Contracts!$I$2:$I$151,$AB1438)="PREPAID",INDEX(Contracts!$M$2:$M$151,$AB1438)/IF(INDEX(Contracts!$N$2:$N$151,$AB1438)="",12,INDEX(Contracts!$N$2:$N$151,$AB1438)),IF(INDEX(Contracts!$I$2:$I$151,$AB1438)="MONTHLY",INDEX(Contracts!$M$2:$M$151,$AB1438),0))*(1-N(INDEX(Contracts!$O$2:$O$151,$AB1438))),IF($Z1438="A",INDEX(Fixed_Assets!$H$2:$H$201,$AB1438)/INDEX(Fixed_Assets!$J$2:$J$201,$AB1438),IF($Z1438="F",INDEX(Workforce!$F$2:$F$151,MATCH(INDEX(FTE_Allocation!$A$2:$A$201,$AB1438),Workforce!$A$2:$A$151,0))*N(INDEX(FTE_Allocation!$F$2:$H$201,$AB1438,$AC1438)),"")))</f>
        <v/>
      </c>
    </row>
    <row r="1439">
      <c r="A1439" s="7">
        <f>IF($Z1439="","",$AD1439)</f>
        <v/>
      </c>
      <c r="B1439" s="7">
        <f>IF($Z1439="C",INDEX(Contracts!$D$2:$D$151,$AB1439)&amp;"",IF($Z1439="A",INDEX(Fixed_Assets!$C$2:$C$201,$AB1439)&amp;"",IF($Z1439="F",INDEX(Workforce!$B$2:$B$151,MATCH(INDEX(FTE_Allocation!$A$2:$A$201,$AB1439),Workforce!$A$2:$A$151,0))&amp;"","")))</f>
        <v/>
      </c>
      <c r="C1439" s="7">
        <f>IF($Z1439="C",INDEX(Contracts!$E$2:$E$151,$AB1439)&amp;"",IF($Z1439="A",INDEX(Fixed_Assets!$D$2:$D$201,$AB1439)&amp;"",IF($Z1439="F",INDEX(FTE_Allocation!$C$2:$C$201,$AB1439)&amp;"","")))</f>
        <v/>
      </c>
      <c r="D1439" s="7">
        <f>IF($Z1439="C",INDEX(Contracts!$B$2:$B$151,$AB1439)&amp;"",IF($Z1439="A",INDEX(Fixed_Assets!$B$2:$B$201,$AB1439)&amp;"",IF($Z1439="F",INDEX(FTE_Allocation!$B$2:$B$201,$AB1439)&amp;"","")))</f>
        <v/>
      </c>
      <c r="E1439" s="7">
        <f>IF($Z1439="C",INDEX(Contracts!$P$2:$P$151,$AB1439)&amp;"",IF($Z1439="A",INDEX(Fixed_Assets!$K$2:$K$201,$AB1439)&amp;"",IF($Z1439="F",IF(INDEX(FTE_Allocation!$D$2:$D$201,$AB1439)="PROJECT",IFERROR(INDEX(Projects!$D:$D,MATCH(INDEX(FTE_Allocation!$E$2:$E$201,$AB1439),Projects!$A:$A,0))&amp;"","#PROJECT?"),INDEX(FTE_Allocation!$E$2:$E$201,$AB1439)&amp;""),"")))</f>
        <v/>
      </c>
      <c r="F1439" s="7">
        <f>IF($Z1439="C",INDEX(Contracts!$Q$2:$Q$151,$AB1439)&amp;"",IF($Z1439="A",INDEX(Fixed_Assets!$L$2:$L$201,$AB1439)&amp;"",IF($Z1439="F",INDEX(Workforce!$K$2:$K$151,MATCH(INDEX(FTE_Allocation!$A$2:$A$201,$AB1439),Workforce!$A$2:$A$151,0))&amp;"","")))</f>
        <v/>
      </c>
      <c r="G1439" s="7">
        <f>IF($Z1439="C",INDEX(Contracts!$F$2:$F$151,$AB1439)&amp;" / "&amp;INDEX(Contracts!$G$2:$G$151,$AB1439),IF($Z1439="A",INDEX(Fixed_Assets!$E$2:$E$201,$AB1439)&amp;"",IF($Z1439="F","Personnel "&amp;INDEX(FTE_Allocation!$A$2:$A$201,$AB1439)&amp;IF(INDEX(FTE_Allocation!$D$2:$D$201,$AB1439)="PROJECT"," ("&amp;INDEX(FTE_Allocation!$E$2:$E$201,$AB1439)&amp;")",""),"")))</f>
        <v/>
      </c>
      <c r="H1439" s="7">
        <f>IF($Z1439="C","CONTRACT",IF($Z1439="A","ASSET",IF($Z1439="F","WORKFORCE","")))</f>
        <v/>
      </c>
      <c r="I1439" s="7">
        <f>IF($Z1439="C",INDEX(Contracts!$L$2:$L$151,$AB1439)&amp;"",IF($Z1439="A",INDEX(Fixed_Assets!$I$2:$I$201,$AB1439)&amp;"",IF($Z1439="F",INDEX(Workforce!$G$2:$G$151,MATCH(INDEX(FTE_Allocation!$A$2:$A$201,$AB1439),Workforce!$A$2:$A$151,0))&amp;"","")))</f>
        <v/>
      </c>
      <c r="J1439" s="18">
        <f>IF($Z1439="","",IF(AND(DATE($AD1439,1,1)&gt;=$AE1439,DATE($AD1439,1,1)&lt;=$AF1439),ROUND($AG1439,2),0))</f>
        <v/>
      </c>
      <c r="K1439" s="18">
        <f>IF($Z1439="","",IF(AND(DATE($AD1439,2,1)&gt;=$AE1439,DATE($AD1439,2,1)&lt;=$AF1439),ROUND($AG1439,2),0))</f>
        <v/>
      </c>
      <c r="L1439" s="18">
        <f>IF($Z1439="","",IF(AND(DATE($AD1439,3,1)&gt;=$AE1439,DATE($AD1439,3,1)&lt;=$AF1439),ROUND($AG1439,2),0))</f>
        <v/>
      </c>
      <c r="M1439" s="18">
        <f>IF($Z1439="","",IF(AND(DATE($AD1439,4,1)&gt;=$AE1439,DATE($AD1439,4,1)&lt;=$AF1439),ROUND($AG1439,2),0))</f>
        <v/>
      </c>
      <c r="N1439" s="18">
        <f>IF($Z1439="","",IF(AND(DATE($AD1439,5,1)&gt;=$AE1439,DATE($AD1439,5,1)&lt;=$AF1439),ROUND($AG1439,2),0))</f>
        <v/>
      </c>
      <c r="O1439" s="18">
        <f>IF($Z1439="","",IF(AND(DATE($AD1439,6,1)&gt;=$AE1439,DATE($AD1439,6,1)&lt;=$AF1439),ROUND($AG1439,2),0))</f>
        <v/>
      </c>
      <c r="P1439" s="18">
        <f>IF($Z1439="","",IF(AND(DATE($AD1439,7,1)&gt;=$AE1439,DATE($AD1439,7,1)&lt;=$AF1439),ROUND($AG1439,2),0))</f>
        <v/>
      </c>
      <c r="Q1439" s="18">
        <f>IF($Z1439="","",IF(AND(DATE($AD1439,8,1)&gt;=$AE1439,DATE($AD1439,8,1)&lt;=$AF1439),ROUND($AG1439,2),0))</f>
        <v/>
      </c>
      <c r="R1439" s="18">
        <f>IF($Z1439="","",IF(AND(DATE($AD1439,9,1)&gt;=$AE1439,DATE($AD1439,9,1)&lt;=$AF1439),ROUND($AG1439,2),0))</f>
        <v/>
      </c>
      <c r="S1439" s="18">
        <f>IF($Z1439="","",IF(AND(DATE($AD1439,10,1)&gt;=$AE1439,DATE($AD1439,10,1)&lt;=$AF1439),ROUND($AG1439,2),0))</f>
        <v/>
      </c>
      <c r="T1439" s="18">
        <f>IF($Z1439="","",IF(AND(DATE($AD1439,11,1)&gt;=$AE1439,DATE($AD1439,11,1)&lt;=$AF1439),ROUND($AG1439,2),0))</f>
        <v/>
      </c>
      <c r="U1439" s="18">
        <f>IF($Z1439="","",IF(AND(DATE($AD1439,12,1)&gt;=$AE1439,DATE($AD1439,12,1)&lt;=$AF1439),ROUND($AG1439,2),0))</f>
        <v/>
      </c>
      <c r="V1439" s="7">
        <f>IF($Z1439="C","Generated from "&amp;INDEX(Contracts!$A$2:$A$151,$AB1439),IF($Z1439="A","Generated from "&amp;INDEX(Fixed_Assets!$A$2:$A$201,$AB1439),IF($Z1439="F","Generated from "&amp;INDEX(FTE_Allocation!$A$2:$A$201,$AB1439),"")))</f>
        <v/>
      </c>
      <c r="X1439" s="19">
        <f>IF($Z1439="","",SUM(J1439:U1439))</f>
        <v/>
      </c>
      <c r="Y1439" s="20">
        <f>ROW()-1</f>
        <v/>
      </c>
      <c r="Z1439" s="20">
        <f>IF($Y1439&lt;=Settings!$B$4*3,"C",IF($Y1439&lt;=(Settings!$B$4+Settings!$B$5)*3,"A",IF($Y1439&lt;=(Settings!$B$4+Settings!$B$5+Settings!$B$6)*3,"F","")))</f>
        <v/>
      </c>
      <c r="AA1439" s="20">
        <f>IF($Z1439="C",$Y1439,IF($Z1439="A",$Y1439-Settings!$B$4*3,IF($Z1439="F",$Y1439-(Settings!$B$4+Settings!$B$5)*3,"")))</f>
        <v/>
      </c>
      <c r="AB1439" s="20">
        <f>IF($Z1439="","",INT(($AA1439-1)/3)+1)</f>
        <v/>
      </c>
      <c r="AC1439" s="20">
        <f>IF($Z1439="","",MOD($AA1439-1,3)+1)</f>
        <v/>
      </c>
      <c r="AD1439" s="20">
        <f>IF($Z1439="","",Settings!$B$2+$AC1439-1)</f>
        <v/>
      </c>
      <c r="AE1439" s="21">
        <f>IF($Z1439="C",DATE(YEAR(INDEX(Contracts!$J$2:$J$151,$AB1439)),MONTH(INDEX(Contracts!$J$2:$J$151,$AB1439)),1),IF($Z1439="A",DATE(YEAR(INDEX(Fixed_Assets!$G$2:$G$201,$AB1439)),MONTH(INDEX(Fixed_Assets!$G$2:$G$201,$AB1439)),1),IF($Z1439="F",DATE(YEAR(MAX(N(INDEX(Workforce!$I$2:$I$151,MATCH(INDEX(FTE_Allocation!$A$2:$A$201,$AB1439),Workforce!$A$2:$A$151,0))),N(INDEX(FTE_Allocation!$I$2:$I$201,$AB1439)))),MONTH(MAX(N(INDEX(Workforce!$I$2:$I$151,MATCH(INDEX(FTE_Allocation!$A$2:$A$201,$AB1439),Workforce!$A$2:$A$151,0))),N(INDEX(FTE_Allocation!$I$2:$I$201,$AB1439)))),1),"")))</f>
        <v/>
      </c>
      <c r="AF1439" s="21">
        <f>IF($Z1439="C",IF(INDEX(Contracts!$I$2:$I$151,$AB1439)="PREPAID",EDATE(DATE(YEAR(INDEX(Contracts!$J$2:$J$151,$AB1439)),MONTH(INDEX(Contracts!$J$2:$J$151,$AB1439)),1),IF(INDEX(Contracts!$N$2:$N$151,$AB1439)="",12,INDEX(Contracts!$N$2:$N$151,$AB1439))-1),IF(INDEX(Contracts!$I$2:$I$151,$AB1439)="MONTHLY",IF(INDEX(Contracts!$K$2:$K$151,$AB1439)="",2958101,INDEX(Contracts!$K$2:$K$151,$AB1439)),0)),IF($Z1439="A",EDATE(DATE(YEAR(INDEX(Fixed_Assets!$G$2:$G$201,$AB1439)),MONTH(INDEX(Fixed_Assets!$G$2:$G$201,$AB1439)),1),INDEX(Fixed_Assets!$J$2:$J$201,$AB1439)-1),IF($Z1439="F",MIN(IF(INDEX(Workforce!$J$2:$J$151,MATCH(INDEX(FTE_Allocation!$A$2:$A$201,$AB1439),Workforce!$A$2:$A$151,0))="",2958101,INDEX(Workforce!$J$2:$J$151,MATCH(INDEX(FTE_Allocation!$A$2:$A$201,$AB1439),Workforce!$A$2:$A$151,0))),IF(INDEX(FTE_Allocation!$J$2:$J$201,$AB1439)="",2958101,INDEX(FTE_Allocation!$J$2:$J$201,$AB1439))),"")))</f>
        <v/>
      </c>
      <c r="AG1439" s="19">
        <f>IF($Z1439="C",IF(INDEX(Contracts!$I$2:$I$151,$AB1439)="PREPAID",INDEX(Contracts!$M$2:$M$151,$AB1439)/IF(INDEX(Contracts!$N$2:$N$151,$AB1439)="",12,INDEX(Contracts!$N$2:$N$151,$AB1439)),IF(INDEX(Contracts!$I$2:$I$151,$AB1439)="MONTHLY",INDEX(Contracts!$M$2:$M$151,$AB1439),0))*(1-N(INDEX(Contracts!$O$2:$O$151,$AB1439))),IF($Z1439="A",INDEX(Fixed_Assets!$H$2:$H$201,$AB1439)/INDEX(Fixed_Assets!$J$2:$J$201,$AB1439),IF($Z1439="F",INDEX(Workforce!$F$2:$F$151,MATCH(INDEX(FTE_Allocation!$A$2:$A$201,$AB1439),Workforce!$A$2:$A$151,0))*N(INDEX(FTE_Allocation!$F$2:$H$201,$AB1439,$AC1439)),"")))</f>
        <v/>
      </c>
    </row>
    <row r="1440">
      <c r="A1440" s="7">
        <f>IF($Z1440="","",$AD1440)</f>
        <v/>
      </c>
      <c r="B1440" s="7">
        <f>IF($Z1440="C",INDEX(Contracts!$D$2:$D$151,$AB1440)&amp;"",IF($Z1440="A",INDEX(Fixed_Assets!$C$2:$C$201,$AB1440)&amp;"",IF($Z1440="F",INDEX(Workforce!$B$2:$B$151,MATCH(INDEX(FTE_Allocation!$A$2:$A$201,$AB1440),Workforce!$A$2:$A$151,0))&amp;"","")))</f>
        <v/>
      </c>
      <c r="C1440" s="7">
        <f>IF($Z1440="C",INDEX(Contracts!$E$2:$E$151,$AB1440)&amp;"",IF($Z1440="A",INDEX(Fixed_Assets!$D$2:$D$201,$AB1440)&amp;"",IF($Z1440="F",INDEX(FTE_Allocation!$C$2:$C$201,$AB1440)&amp;"","")))</f>
        <v/>
      </c>
      <c r="D1440" s="7">
        <f>IF($Z1440="C",INDEX(Contracts!$B$2:$B$151,$AB1440)&amp;"",IF($Z1440="A",INDEX(Fixed_Assets!$B$2:$B$201,$AB1440)&amp;"",IF($Z1440="F",INDEX(FTE_Allocation!$B$2:$B$201,$AB1440)&amp;"","")))</f>
        <v/>
      </c>
      <c r="E1440" s="7">
        <f>IF($Z1440="C",INDEX(Contracts!$P$2:$P$151,$AB1440)&amp;"",IF($Z1440="A",INDEX(Fixed_Assets!$K$2:$K$201,$AB1440)&amp;"",IF($Z1440="F",IF(INDEX(FTE_Allocation!$D$2:$D$201,$AB1440)="PROJECT",IFERROR(INDEX(Projects!$D:$D,MATCH(INDEX(FTE_Allocation!$E$2:$E$201,$AB1440),Projects!$A:$A,0))&amp;"","#PROJECT?"),INDEX(FTE_Allocation!$E$2:$E$201,$AB1440)&amp;""),"")))</f>
        <v/>
      </c>
      <c r="F1440" s="7">
        <f>IF($Z1440="C",INDEX(Contracts!$Q$2:$Q$151,$AB1440)&amp;"",IF($Z1440="A",INDEX(Fixed_Assets!$L$2:$L$201,$AB1440)&amp;"",IF($Z1440="F",INDEX(Workforce!$K$2:$K$151,MATCH(INDEX(FTE_Allocation!$A$2:$A$201,$AB1440),Workforce!$A$2:$A$151,0))&amp;"","")))</f>
        <v/>
      </c>
      <c r="G1440" s="7">
        <f>IF($Z1440="C",INDEX(Contracts!$F$2:$F$151,$AB1440)&amp;" / "&amp;INDEX(Contracts!$G$2:$G$151,$AB1440),IF($Z1440="A",INDEX(Fixed_Assets!$E$2:$E$201,$AB1440)&amp;"",IF($Z1440="F","Personnel "&amp;INDEX(FTE_Allocation!$A$2:$A$201,$AB1440)&amp;IF(INDEX(FTE_Allocation!$D$2:$D$201,$AB1440)="PROJECT"," ("&amp;INDEX(FTE_Allocation!$E$2:$E$201,$AB1440)&amp;")",""),"")))</f>
        <v/>
      </c>
      <c r="H1440" s="7">
        <f>IF($Z1440="C","CONTRACT",IF($Z1440="A","ASSET",IF($Z1440="F","WORKFORCE","")))</f>
        <v/>
      </c>
      <c r="I1440" s="7">
        <f>IF($Z1440="C",INDEX(Contracts!$L$2:$L$151,$AB1440)&amp;"",IF($Z1440="A",INDEX(Fixed_Assets!$I$2:$I$201,$AB1440)&amp;"",IF($Z1440="F",INDEX(Workforce!$G$2:$G$151,MATCH(INDEX(FTE_Allocation!$A$2:$A$201,$AB1440),Workforce!$A$2:$A$151,0))&amp;"","")))</f>
        <v/>
      </c>
      <c r="J1440" s="18">
        <f>IF($Z1440="","",IF(AND(DATE($AD1440,1,1)&gt;=$AE1440,DATE($AD1440,1,1)&lt;=$AF1440),ROUND($AG1440,2),0))</f>
        <v/>
      </c>
      <c r="K1440" s="18">
        <f>IF($Z1440="","",IF(AND(DATE($AD1440,2,1)&gt;=$AE1440,DATE($AD1440,2,1)&lt;=$AF1440),ROUND($AG1440,2),0))</f>
        <v/>
      </c>
      <c r="L1440" s="18">
        <f>IF($Z1440="","",IF(AND(DATE($AD1440,3,1)&gt;=$AE1440,DATE($AD1440,3,1)&lt;=$AF1440),ROUND($AG1440,2),0))</f>
        <v/>
      </c>
      <c r="M1440" s="18">
        <f>IF($Z1440="","",IF(AND(DATE($AD1440,4,1)&gt;=$AE1440,DATE($AD1440,4,1)&lt;=$AF1440),ROUND($AG1440,2),0))</f>
        <v/>
      </c>
      <c r="N1440" s="18">
        <f>IF($Z1440="","",IF(AND(DATE($AD1440,5,1)&gt;=$AE1440,DATE($AD1440,5,1)&lt;=$AF1440),ROUND($AG1440,2),0))</f>
        <v/>
      </c>
      <c r="O1440" s="18">
        <f>IF($Z1440="","",IF(AND(DATE($AD1440,6,1)&gt;=$AE1440,DATE($AD1440,6,1)&lt;=$AF1440),ROUND($AG1440,2),0))</f>
        <v/>
      </c>
      <c r="P1440" s="18">
        <f>IF($Z1440="","",IF(AND(DATE($AD1440,7,1)&gt;=$AE1440,DATE($AD1440,7,1)&lt;=$AF1440),ROUND($AG1440,2),0))</f>
        <v/>
      </c>
      <c r="Q1440" s="18">
        <f>IF($Z1440="","",IF(AND(DATE($AD1440,8,1)&gt;=$AE1440,DATE($AD1440,8,1)&lt;=$AF1440),ROUND($AG1440,2),0))</f>
        <v/>
      </c>
      <c r="R1440" s="18">
        <f>IF($Z1440="","",IF(AND(DATE($AD1440,9,1)&gt;=$AE1440,DATE($AD1440,9,1)&lt;=$AF1440),ROUND($AG1440,2),0))</f>
        <v/>
      </c>
      <c r="S1440" s="18">
        <f>IF($Z1440="","",IF(AND(DATE($AD1440,10,1)&gt;=$AE1440,DATE($AD1440,10,1)&lt;=$AF1440),ROUND($AG1440,2),0))</f>
        <v/>
      </c>
      <c r="T1440" s="18">
        <f>IF($Z1440="","",IF(AND(DATE($AD1440,11,1)&gt;=$AE1440,DATE($AD1440,11,1)&lt;=$AF1440),ROUND($AG1440,2),0))</f>
        <v/>
      </c>
      <c r="U1440" s="18">
        <f>IF($Z1440="","",IF(AND(DATE($AD1440,12,1)&gt;=$AE1440,DATE($AD1440,12,1)&lt;=$AF1440),ROUND($AG1440,2),0))</f>
        <v/>
      </c>
      <c r="V1440" s="7">
        <f>IF($Z1440="C","Generated from "&amp;INDEX(Contracts!$A$2:$A$151,$AB1440),IF($Z1440="A","Generated from "&amp;INDEX(Fixed_Assets!$A$2:$A$201,$AB1440),IF($Z1440="F","Generated from "&amp;INDEX(FTE_Allocation!$A$2:$A$201,$AB1440),"")))</f>
        <v/>
      </c>
      <c r="X1440" s="19">
        <f>IF($Z1440="","",SUM(J1440:U1440))</f>
        <v/>
      </c>
      <c r="Y1440" s="20">
        <f>ROW()-1</f>
        <v/>
      </c>
      <c r="Z1440" s="20">
        <f>IF($Y1440&lt;=Settings!$B$4*3,"C",IF($Y1440&lt;=(Settings!$B$4+Settings!$B$5)*3,"A",IF($Y1440&lt;=(Settings!$B$4+Settings!$B$5+Settings!$B$6)*3,"F","")))</f>
        <v/>
      </c>
      <c r="AA1440" s="20">
        <f>IF($Z1440="C",$Y1440,IF($Z1440="A",$Y1440-Settings!$B$4*3,IF($Z1440="F",$Y1440-(Settings!$B$4+Settings!$B$5)*3,"")))</f>
        <v/>
      </c>
      <c r="AB1440" s="20">
        <f>IF($Z1440="","",INT(($AA1440-1)/3)+1)</f>
        <v/>
      </c>
      <c r="AC1440" s="20">
        <f>IF($Z1440="","",MOD($AA1440-1,3)+1)</f>
        <v/>
      </c>
      <c r="AD1440" s="20">
        <f>IF($Z1440="","",Settings!$B$2+$AC1440-1)</f>
        <v/>
      </c>
      <c r="AE1440" s="21">
        <f>IF($Z1440="C",DATE(YEAR(INDEX(Contracts!$J$2:$J$151,$AB1440)),MONTH(INDEX(Contracts!$J$2:$J$151,$AB1440)),1),IF($Z1440="A",DATE(YEAR(INDEX(Fixed_Assets!$G$2:$G$201,$AB1440)),MONTH(INDEX(Fixed_Assets!$G$2:$G$201,$AB1440)),1),IF($Z1440="F",DATE(YEAR(MAX(N(INDEX(Workforce!$I$2:$I$151,MATCH(INDEX(FTE_Allocation!$A$2:$A$201,$AB1440),Workforce!$A$2:$A$151,0))),N(INDEX(FTE_Allocation!$I$2:$I$201,$AB1440)))),MONTH(MAX(N(INDEX(Workforce!$I$2:$I$151,MATCH(INDEX(FTE_Allocation!$A$2:$A$201,$AB1440),Workforce!$A$2:$A$151,0))),N(INDEX(FTE_Allocation!$I$2:$I$201,$AB1440)))),1),"")))</f>
        <v/>
      </c>
      <c r="AF1440" s="21">
        <f>IF($Z1440="C",IF(INDEX(Contracts!$I$2:$I$151,$AB1440)="PREPAID",EDATE(DATE(YEAR(INDEX(Contracts!$J$2:$J$151,$AB1440)),MONTH(INDEX(Contracts!$J$2:$J$151,$AB1440)),1),IF(INDEX(Contracts!$N$2:$N$151,$AB1440)="",12,INDEX(Contracts!$N$2:$N$151,$AB1440))-1),IF(INDEX(Contracts!$I$2:$I$151,$AB1440)="MONTHLY",IF(INDEX(Contracts!$K$2:$K$151,$AB1440)="",2958101,INDEX(Contracts!$K$2:$K$151,$AB1440)),0)),IF($Z1440="A",EDATE(DATE(YEAR(INDEX(Fixed_Assets!$G$2:$G$201,$AB1440)),MONTH(INDEX(Fixed_Assets!$G$2:$G$201,$AB1440)),1),INDEX(Fixed_Assets!$J$2:$J$201,$AB1440)-1),IF($Z1440="F",MIN(IF(INDEX(Workforce!$J$2:$J$151,MATCH(INDEX(FTE_Allocation!$A$2:$A$201,$AB1440),Workforce!$A$2:$A$151,0))="",2958101,INDEX(Workforce!$J$2:$J$151,MATCH(INDEX(FTE_Allocation!$A$2:$A$201,$AB1440),Workforce!$A$2:$A$151,0))),IF(INDEX(FTE_Allocation!$J$2:$J$201,$AB1440)="",2958101,INDEX(FTE_Allocation!$J$2:$J$201,$AB1440))),"")))</f>
        <v/>
      </c>
      <c r="AG1440" s="19">
        <f>IF($Z1440="C",IF(INDEX(Contracts!$I$2:$I$151,$AB1440)="PREPAID",INDEX(Contracts!$M$2:$M$151,$AB1440)/IF(INDEX(Contracts!$N$2:$N$151,$AB1440)="",12,INDEX(Contracts!$N$2:$N$151,$AB1440)),IF(INDEX(Contracts!$I$2:$I$151,$AB1440)="MONTHLY",INDEX(Contracts!$M$2:$M$151,$AB1440),0))*(1-N(INDEX(Contracts!$O$2:$O$151,$AB1440))),IF($Z1440="A",INDEX(Fixed_Assets!$H$2:$H$201,$AB1440)/INDEX(Fixed_Assets!$J$2:$J$201,$AB1440),IF($Z1440="F",INDEX(Workforce!$F$2:$F$151,MATCH(INDEX(FTE_Allocation!$A$2:$A$201,$AB1440),Workforce!$A$2:$A$151,0))*N(INDEX(FTE_Allocation!$F$2:$H$201,$AB1440,$AC1440)),"")))</f>
        <v/>
      </c>
    </row>
    <row r="1441">
      <c r="A1441" s="7">
        <f>IF($Z1441="","",$AD1441)</f>
        <v/>
      </c>
      <c r="B1441" s="7">
        <f>IF($Z1441="C",INDEX(Contracts!$D$2:$D$151,$AB1441)&amp;"",IF($Z1441="A",INDEX(Fixed_Assets!$C$2:$C$201,$AB1441)&amp;"",IF($Z1441="F",INDEX(Workforce!$B$2:$B$151,MATCH(INDEX(FTE_Allocation!$A$2:$A$201,$AB1441),Workforce!$A$2:$A$151,0))&amp;"","")))</f>
        <v/>
      </c>
      <c r="C1441" s="7">
        <f>IF($Z1441="C",INDEX(Contracts!$E$2:$E$151,$AB1441)&amp;"",IF($Z1441="A",INDEX(Fixed_Assets!$D$2:$D$201,$AB1441)&amp;"",IF($Z1441="F",INDEX(FTE_Allocation!$C$2:$C$201,$AB1441)&amp;"","")))</f>
        <v/>
      </c>
      <c r="D1441" s="7">
        <f>IF($Z1441="C",INDEX(Contracts!$B$2:$B$151,$AB1441)&amp;"",IF($Z1441="A",INDEX(Fixed_Assets!$B$2:$B$201,$AB1441)&amp;"",IF($Z1441="F",INDEX(FTE_Allocation!$B$2:$B$201,$AB1441)&amp;"","")))</f>
        <v/>
      </c>
      <c r="E1441" s="7">
        <f>IF($Z1441="C",INDEX(Contracts!$P$2:$P$151,$AB1441)&amp;"",IF($Z1441="A",INDEX(Fixed_Assets!$K$2:$K$201,$AB1441)&amp;"",IF($Z1441="F",IF(INDEX(FTE_Allocation!$D$2:$D$201,$AB1441)="PROJECT",IFERROR(INDEX(Projects!$D:$D,MATCH(INDEX(FTE_Allocation!$E$2:$E$201,$AB1441),Projects!$A:$A,0))&amp;"","#PROJECT?"),INDEX(FTE_Allocation!$E$2:$E$201,$AB1441)&amp;""),"")))</f>
        <v/>
      </c>
      <c r="F1441" s="7">
        <f>IF($Z1441="C",INDEX(Contracts!$Q$2:$Q$151,$AB1441)&amp;"",IF($Z1441="A",INDEX(Fixed_Assets!$L$2:$L$201,$AB1441)&amp;"",IF($Z1441="F",INDEX(Workforce!$K$2:$K$151,MATCH(INDEX(FTE_Allocation!$A$2:$A$201,$AB1441),Workforce!$A$2:$A$151,0))&amp;"","")))</f>
        <v/>
      </c>
      <c r="G1441" s="7">
        <f>IF($Z1441="C",INDEX(Contracts!$F$2:$F$151,$AB1441)&amp;" / "&amp;INDEX(Contracts!$G$2:$G$151,$AB1441),IF($Z1441="A",INDEX(Fixed_Assets!$E$2:$E$201,$AB1441)&amp;"",IF($Z1441="F","Personnel "&amp;INDEX(FTE_Allocation!$A$2:$A$201,$AB1441)&amp;IF(INDEX(FTE_Allocation!$D$2:$D$201,$AB1441)="PROJECT"," ("&amp;INDEX(FTE_Allocation!$E$2:$E$201,$AB1441)&amp;")",""),"")))</f>
        <v/>
      </c>
      <c r="H1441" s="7">
        <f>IF($Z1441="C","CONTRACT",IF($Z1441="A","ASSET",IF($Z1441="F","WORKFORCE","")))</f>
        <v/>
      </c>
      <c r="I1441" s="7">
        <f>IF($Z1441="C",INDEX(Contracts!$L$2:$L$151,$AB1441)&amp;"",IF($Z1441="A",INDEX(Fixed_Assets!$I$2:$I$201,$AB1441)&amp;"",IF($Z1441="F",INDEX(Workforce!$G$2:$G$151,MATCH(INDEX(FTE_Allocation!$A$2:$A$201,$AB1441),Workforce!$A$2:$A$151,0))&amp;"","")))</f>
        <v/>
      </c>
      <c r="J1441" s="18">
        <f>IF($Z1441="","",IF(AND(DATE($AD1441,1,1)&gt;=$AE1441,DATE($AD1441,1,1)&lt;=$AF1441),ROUND($AG1441,2),0))</f>
        <v/>
      </c>
      <c r="K1441" s="18">
        <f>IF($Z1441="","",IF(AND(DATE($AD1441,2,1)&gt;=$AE1441,DATE($AD1441,2,1)&lt;=$AF1441),ROUND($AG1441,2),0))</f>
        <v/>
      </c>
      <c r="L1441" s="18">
        <f>IF($Z1441="","",IF(AND(DATE($AD1441,3,1)&gt;=$AE1441,DATE($AD1441,3,1)&lt;=$AF1441),ROUND($AG1441,2),0))</f>
        <v/>
      </c>
      <c r="M1441" s="18">
        <f>IF($Z1441="","",IF(AND(DATE($AD1441,4,1)&gt;=$AE1441,DATE($AD1441,4,1)&lt;=$AF1441),ROUND($AG1441,2),0))</f>
        <v/>
      </c>
      <c r="N1441" s="18">
        <f>IF($Z1441="","",IF(AND(DATE($AD1441,5,1)&gt;=$AE1441,DATE($AD1441,5,1)&lt;=$AF1441),ROUND($AG1441,2),0))</f>
        <v/>
      </c>
      <c r="O1441" s="18">
        <f>IF($Z1441="","",IF(AND(DATE($AD1441,6,1)&gt;=$AE1441,DATE($AD1441,6,1)&lt;=$AF1441),ROUND($AG1441,2),0))</f>
        <v/>
      </c>
      <c r="P1441" s="18">
        <f>IF($Z1441="","",IF(AND(DATE($AD1441,7,1)&gt;=$AE1441,DATE($AD1441,7,1)&lt;=$AF1441),ROUND($AG1441,2),0))</f>
        <v/>
      </c>
      <c r="Q1441" s="18">
        <f>IF($Z1441="","",IF(AND(DATE($AD1441,8,1)&gt;=$AE1441,DATE($AD1441,8,1)&lt;=$AF1441),ROUND($AG1441,2),0))</f>
        <v/>
      </c>
      <c r="R1441" s="18">
        <f>IF($Z1441="","",IF(AND(DATE($AD1441,9,1)&gt;=$AE1441,DATE($AD1441,9,1)&lt;=$AF1441),ROUND($AG1441,2),0))</f>
        <v/>
      </c>
      <c r="S1441" s="18">
        <f>IF($Z1441="","",IF(AND(DATE($AD1441,10,1)&gt;=$AE1441,DATE($AD1441,10,1)&lt;=$AF1441),ROUND($AG1441,2),0))</f>
        <v/>
      </c>
      <c r="T1441" s="18">
        <f>IF($Z1441="","",IF(AND(DATE($AD1441,11,1)&gt;=$AE1441,DATE($AD1441,11,1)&lt;=$AF1441),ROUND($AG1441,2),0))</f>
        <v/>
      </c>
      <c r="U1441" s="18">
        <f>IF($Z1441="","",IF(AND(DATE($AD1441,12,1)&gt;=$AE1441,DATE($AD1441,12,1)&lt;=$AF1441),ROUND($AG1441,2),0))</f>
        <v/>
      </c>
      <c r="V1441" s="7">
        <f>IF($Z1441="C","Generated from "&amp;INDEX(Contracts!$A$2:$A$151,$AB1441),IF($Z1441="A","Generated from "&amp;INDEX(Fixed_Assets!$A$2:$A$201,$AB1441),IF($Z1441="F","Generated from "&amp;INDEX(FTE_Allocation!$A$2:$A$201,$AB1441),"")))</f>
        <v/>
      </c>
      <c r="X1441" s="19">
        <f>IF($Z1441="","",SUM(J1441:U1441))</f>
        <v/>
      </c>
      <c r="Y1441" s="20">
        <f>ROW()-1</f>
        <v/>
      </c>
      <c r="Z1441" s="20">
        <f>IF($Y1441&lt;=Settings!$B$4*3,"C",IF($Y1441&lt;=(Settings!$B$4+Settings!$B$5)*3,"A",IF($Y1441&lt;=(Settings!$B$4+Settings!$B$5+Settings!$B$6)*3,"F","")))</f>
        <v/>
      </c>
      <c r="AA1441" s="20">
        <f>IF($Z1441="C",$Y1441,IF($Z1441="A",$Y1441-Settings!$B$4*3,IF($Z1441="F",$Y1441-(Settings!$B$4+Settings!$B$5)*3,"")))</f>
        <v/>
      </c>
      <c r="AB1441" s="20">
        <f>IF($Z1441="","",INT(($AA1441-1)/3)+1)</f>
        <v/>
      </c>
      <c r="AC1441" s="20">
        <f>IF($Z1441="","",MOD($AA1441-1,3)+1)</f>
        <v/>
      </c>
      <c r="AD1441" s="20">
        <f>IF($Z1441="","",Settings!$B$2+$AC1441-1)</f>
        <v/>
      </c>
      <c r="AE1441" s="21">
        <f>IF($Z1441="C",DATE(YEAR(INDEX(Contracts!$J$2:$J$151,$AB1441)),MONTH(INDEX(Contracts!$J$2:$J$151,$AB1441)),1),IF($Z1441="A",DATE(YEAR(INDEX(Fixed_Assets!$G$2:$G$201,$AB1441)),MONTH(INDEX(Fixed_Assets!$G$2:$G$201,$AB1441)),1),IF($Z1441="F",DATE(YEAR(MAX(N(INDEX(Workforce!$I$2:$I$151,MATCH(INDEX(FTE_Allocation!$A$2:$A$201,$AB1441),Workforce!$A$2:$A$151,0))),N(INDEX(FTE_Allocation!$I$2:$I$201,$AB1441)))),MONTH(MAX(N(INDEX(Workforce!$I$2:$I$151,MATCH(INDEX(FTE_Allocation!$A$2:$A$201,$AB1441),Workforce!$A$2:$A$151,0))),N(INDEX(FTE_Allocation!$I$2:$I$201,$AB1441)))),1),"")))</f>
        <v/>
      </c>
      <c r="AF1441" s="21">
        <f>IF($Z1441="C",IF(INDEX(Contracts!$I$2:$I$151,$AB1441)="PREPAID",EDATE(DATE(YEAR(INDEX(Contracts!$J$2:$J$151,$AB1441)),MONTH(INDEX(Contracts!$J$2:$J$151,$AB1441)),1),IF(INDEX(Contracts!$N$2:$N$151,$AB1441)="",12,INDEX(Contracts!$N$2:$N$151,$AB1441))-1),IF(INDEX(Contracts!$I$2:$I$151,$AB1441)="MONTHLY",IF(INDEX(Contracts!$K$2:$K$151,$AB1441)="",2958101,INDEX(Contracts!$K$2:$K$151,$AB1441)),0)),IF($Z1441="A",EDATE(DATE(YEAR(INDEX(Fixed_Assets!$G$2:$G$201,$AB1441)),MONTH(INDEX(Fixed_Assets!$G$2:$G$201,$AB1441)),1),INDEX(Fixed_Assets!$J$2:$J$201,$AB1441)-1),IF($Z1441="F",MIN(IF(INDEX(Workforce!$J$2:$J$151,MATCH(INDEX(FTE_Allocation!$A$2:$A$201,$AB1441),Workforce!$A$2:$A$151,0))="",2958101,INDEX(Workforce!$J$2:$J$151,MATCH(INDEX(FTE_Allocation!$A$2:$A$201,$AB1441),Workforce!$A$2:$A$151,0))),IF(INDEX(FTE_Allocation!$J$2:$J$201,$AB1441)="",2958101,INDEX(FTE_Allocation!$J$2:$J$201,$AB1441))),"")))</f>
        <v/>
      </c>
      <c r="AG1441" s="19">
        <f>IF($Z1441="C",IF(INDEX(Contracts!$I$2:$I$151,$AB1441)="PREPAID",INDEX(Contracts!$M$2:$M$151,$AB1441)/IF(INDEX(Contracts!$N$2:$N$151,$AB1441)="",12,INDEX(Contracts!$N$2:$N$151,$AB1441)),IF(INDEX(Contracts!$I$2:$I$151,$AB1441)="MONTHLY",INDEX(Contracts!$M$2:$M$151,$AB1441),0))*(1-N(INDEX(Contracts!$O$2:$O$151,$AB1441))),IF($Z1441="A",INDEX(Fixed_Assets!$H$2:$H$201,$AB1441)/INDEX(Fixed_Assets!$J$2:$J$201,$AB1441),IF($Z1441="F",INDEX(Workforce!$F$2:$F$151,MATCH(INDEX(FTE_Allocation!$A$2:$A$201,$AB1441),Workforce!$A$2:$A$151,0))*N(INDEX(FTE_Allocation!$F$2:$H$201,$AB1441,$AC1441)),"")))</f>
        <v/>
      </c>
    </row>
    <row r="1442">
      <c r="A1442" s="7">
        <f>IF($Z1442="","",$AD1442)</f>
        <v/>
      </c>
      <c r="B1442" s="7">
        <f>IF($Z1442="C",INDEX(Contracts!$D$2:$D$151,$AB1442)&amp;"",IF($Z1442="A",INDEX(Fixed_Assets!$C$2:$C$201,$AB1442)&amp;"",IF($Z1442="F",INDEX(Workforce!$B$2:$B$151,MATCH(INDEX(FTE_Allocation!$A$2:$A$201,$AB1442),Workforce!$A$2:$A$151,0))&amp;"","")))</f>
        <v/>
      </c>
      <c r="C1442" s="7">
        <f>IF($Z1442="C",INDEX(Contracts!$E$2:$E$151,$AB1442)&amp;"",IF($Z1442="A",INDEX(Fixed_Assets!$D$2:$D$201,$AB1442)&amp;"",IF($Z1442="F",INDEX(FTE_Allocation!$C$2:$C$201,$AB1442)&amp;"","")))</f>
        <v/>
      </c>
      <c r="D1442" s="7">
        <f>IF($Z1442="C",INDEX(Contracts!$B$2:$B$151,$AB1442)&amp;"",IF($Z1442="A",INDEX(Fixed_Assets!$B$2:$B$201,$AB1442)&amp;"",IF($Z1442="F",INDEX(FTE_Allocation!$B$2:$B$201,$AB1442)&amp;"","")))</f>
        <v/>
      </c>
      <c r="E1442" s="7">
        <f>IF($Z1442="C",INDEX(Contracts!$P$2:$P$151,$AB1442)&amp;"",IF($Z1442="A",INDEX(Fixed_Assets!$K$2:$K$201,$AB1442)&amp;"",IF($Z1442="F",IF(INDEX(FTE_Allocation!$D$2:$D$201,$AB1442)="PROJECT",IFERROR(INDEX(Projects!$D:$D,MATCH(INDEX(FTE_Allocation!$E$2:$E$201,$AB1442),Projects!$A:$A,0))&amp;"","#PROJECT?"),INDEX(FTE_Allocation!$E$2:$E$201,$AB1442)&amp;""),"")))</f>
        <v/>
      </c>
      <c r="F1442" s="7">
        <f>IF($Z1442="C",INDEX(Contracts!$Q$2:$Q$151,$AB1442)&amp;"",IF($Z1442="A",INDEX(Fixed_Assets!$L$2:$L$201,$AB1442)&amp;"",IF($Z1442="F",INDEX(Workforce!$K$2:$K$151,MATCH(INDEX(FTE_Allocation!$A$2:$A$201,$AB1442),Workforce!$A$2:$A$151,0))&amp;"","")))</f>
        <v/>
      </c>
      <c r="G1442" s="7">
        <f>IF($Z1442="C",INDEX(Contracts!$F$2:$F$151,$AB1442)&amp;" / "&amp;INDEX(Contracts!$G$2:$G$151,$AB1442),IF($Z1442="A",INDEX(Fixed_Assets!$E$2:$E$201,$AB1442)&amp;"",IF($Z1442="F","Personnel "&amp;INDEX(FTE_Allocation!$A$2:$A$201,$AB1442)&amp;IF(INDEX(FTE_Allocation!$D$2:$D$201,$AB1442)="PROJECT"," ("&amp;INDEX(FTE_Allocation!$E$2:$E$201,$AB1442)&amp;")",""),"")))</f>
        <v/>
      </c>
      <c r="H1442" s="7">
        <f>IF($Z1442="C","CONTRACT",IF($Z1442="A","ASSET",IF($Z1442="F","WORKFORCE","")))</f>
        <v/>
      </c>
      <c r="I1442" s="7">
        <f>IF($Z1442="C",INDEX(Contracts!$L$2:$L$151,$AB1442)&amp;"",IF($Z1442="A",INDEX(Fixed_Assets!$I$2:$I$201,$AB1442)&amp;"",IF($Z1442="F",INDEX(Workforce!$G$2:$G$151,MATCH(INDEX(FTE_Allocation!$A$2:$A$201,$AB1442),Workforce!$A$2:$A$151,0))&amp;"","")))</f>
        <v/>
      </c>
      <c r="J1442" s="18">
        <f>IF($Z1442="","",IF(AND(DATE($AD1442,1,1)&gt;=$AE1442,DATE($AD1442,1,1)&lt;=$AF1442),ROUND($AG1442,2),0))</f>
        <v/>
      </c>
      <c r="K1442" s="18">
        <f>IF($Z1442="","",IF(AND(DATE($AD1442,2,1)&gt;=$AE1442,DATE($AD1442,2,1)&lt;=$AF1442),ROUND($AG1442,2),0))</f>
        <v/>
      </c>
      <c r="L1442" s="18">
        <f>IF($Z1442="","",IF(AND(DATE($AD1442,3,1)&gt;=$AE1442,DATE($AD1442,3,1)&lt;=$AF1442),ROUND($AG1442,2),0))</f>
        <v/>
      </c>
      <c r="M1442" s="18">
        <f>IF($Z1442="","",IF(AND(DATE($AD1442,4,1)&gt;=$AE1442,DATE($AD1442,4,1)&lt;=$AF1442),ROUND($AG1442,2),0))</f>
        <v/>
      </c>
      <c r="N1442" s="18">
        <f>IF($Z1442="","",IF(AND(DATE($AD1442,5,1)&gt;=$AE1442,DATE($AD1442,5,1)&lt;=$AF1442),ROUND($AG1442,2),0))</f>
        <v/>
      </c>
      <c r="O1442" s="18">
        <f>IF($Z1442="","",IF(AND(DATE($AD1442,6,1)&gt;=$AE1442,DATE($AD1442,6,1)&lt;=$AF1442),ROUND($AG1442,2),0))</f>
        <v/>
      </c>
      <c r="P1442" s="18">
        <f>IF($Z1442="","",IF(AND(DATE($AD1442,7,1)&gt;=$AE1442,DATE($AD1442,7,1)&lt;=$AF1442),ROUND($AG1442,2),0))</f>
        <v/>
      </c>
      <c r="Q1442" s="18">
        <f>IF($Z1442="","",IF(AND(DATE($AD1442,8,1)&gt;=$AE1442,DATE($AD1442,8,1)&lt;=$AF1442),ROUND($AG1442,2),0))</f>
        <v/>
      </c>
      <c r="R1442" s="18">
        <f>IF($Z1442="","",IF(AND(DATE($AD1442,9,1)&gt;=$AE1442,DATE($AD1442,9,1)&lt;=$AF1442),ROUND($AG1442,2),0))</f>
        <v/>
      </c>
      <c r="S1442" s="18">
        <f>IF($Z1442="","",IF(AND(DATE($AD1442,10,1)&gt;=$AE1442,DATE($AD1442,10,1)&lt;=$AF1442),ROUND($AG1442,2),0))</f>
        <v/>
      </c>
      <c r="T1442" s="18">
        <f>IF($Z1442="","",IF(AND(DATE($AD1442,11,1)&gt;=$AE1442,DATE($AD1442,11,1)&lt;=$AF1442),ROUND($AG1442,2),0))</f>
        <v/>
      </c>
      <c r="U1442" s="18">
        <f>IF($Z1442="","",IF(AND(DATE($AD1442,12,1)&gt;=$AE1442,DATE($AD1442,12,1)&lt;=$AF1442),ROUND($AG1442,2),0))</f>
        <v/>
      </c>
      <c r="V1442" s="7">
        <f>IF($Z1442="C","Generated from "&amp;INDEX(Contracts!$A$2:$A$151,$AB1442),IF($Z1442="A","Generated from "&amp;INDEX(Fixed_Assets!$A$2:$A$201,$AB1442),IF($Z1442="F","Generated from "&amp;INDEX(FTE_Allocation!$A$2:$A$201,$AB1442),"")))</f>
        <v/>
      </c>
      <c r="X1442" s="19">
        <f>IF($Z1442="","",SUM(J1442:U1442))</f>
        <v/>
      </c>
      <c r="Y1442" s="20">
        <f>ROW()-1</f>
        <v/>
      </c>
      <c r="Z1442" s="20">
        <f>IF($Y1442&lt;=Settings!$B$4*3,"C",IF($Y1442&lt;=(Settings!$B$4+Settings!$B$5)*3,"A",IF($Y1442&lt;=(Settings!$B$4+Settings!$B$5+Settings!$B$6)*3,"F","")))</f>
        <v/>
      </c>
      <c r="AA1442" s="20">
        <f>IF($Z1442="C",$Y1442,IF($Z1442="A",$Y1442-Settings!$B$4*3,IF($Z1442="F",$Y1442-(Settings!$B$4+Settings!$B$5)*3,"")))</f>
        <v/>
      </c>
      <c r="AB1442" s="20">
        <f>IF($Z1442="","",INT(($AA1442-1)/3)+1)</f>
        <v/>
      </c>
      <c r="AC1442" s="20">
        <f>IF($Z1442="","",MOD($AA1442-1,3)+1)</f>
        <v/>
      </c>
      <c r="AD1442" s="20">
        <f>IF($Z1442="","",Settings!$B$2+$AC1442-1)</f>
        <v/>
      </c>
      <c r="AE1442" s="21">
        <f>IF($Z1442="C",DATE(YEAR(INDEX(Contracts!$J$2:$J$151,$AB1442)),MONTH(INDEX(Contracts!$J$2:$J$151,$AB1442)),1),IF($Z1442="A",DATE(YEAR(INDEX(Fixed_Assets!$G$2:$G$201,$AB1442)),MONTH(INDEX(Fixed_Assets!$G$2:$G$201,$AB1442)),1),IF($Z1442="F",DATE(YEAR(MAX(N(INDEX(Workforce!$I$2:$I$151,MATCH(INDEX(FTE_Allocation!$A$2:$A$201,$AB1442),Workforce!$A$2:$A$151,0))),N(INDEX(FTE_Allocation!$I$2:$I$201,$AB1442)))),MONTH(MAX(N(INDEX(Workforce!$I$2:$I$151,MATCH(INDEX(FTE_Allocation!$A$2:$A$201,$AB1442),Workforce!$A$2:$A$151,0))),N(INDEX(FTE_Allocation!$I$2:$I$201,$AB1442)))),1),"")))</f>
        <v/>
      </c>
      <c r="AF1442" s="21">
        <f>IF($Z1442="C",IF(INDEX(Contracts!$I$2:$I$151,$AB1442)="PREPAID",EDATE(DATE(YEAR(INDEX(Contracts!$J$2:$J$151,$AB1442)),MONTH(INDEX(Contracts!$J$2:$J$151,$AB1442)),1),IF(INDEX(Contracts!$N$2:$N$151,$AB1442)="",12,INDEX(Contracts!$N$2:$N$151,$AB1442))-1),IF(INDEX(Contracts!$I$2:$I$151,$AB1442)="MONTHLY",IF(INDEX(Contracts!$K$2:$K$151,$AB1442)="",2958101,INDEX(Contracts!$K$2:$K$151,$AB1442)),0)),IF($Z1442="A",EDATE(DATE(YEAR(INDEX(Fixed_Assets!$G$2:$G$201,$AB1442)),MONTH(INDEX(Fixed_Assets!$G$2:$G$201,$AB1442)),1),INDEX(Fixed_Assets!$J$2:$J$201,$AB1442)-1),IF($Z1442="F",MIN(IF(INDEX(Workforce!$J$2:$J$151,MATCH(INDEX(FTE_Allocation!$A$2:$A$201,$AB1442),Workforce!$A$2:$A$151,0))="",2958101,INDEX(Workforce!$J$2:$J$151,MATCH(INDEX(FTE_Allocation!$A$2:$A$201,$AB1442),Workforce!$A$2:$A$151,0))),IF(INDEX(FTE_Allocation!$J$2:$J$201,$AB1442)="",2958101,INDEX(FTE_Allocation!$J$2:$J$201,$AB1442))),"")))</f>
        <v/>
      </c>
      <c r="AG1442" s="19">
        <f>IF($Z1442="C",IF(INDEX(Contracts!$I$2:$I$151,$AB1442)="PREPAID",INDEX(Contracts!$M$2:$M$151,$AB1442)/IF(INDEX(Contracts!$N$2:$N$151,$AB1442)="",12,INDEX(Contracts!$N$2:$N$151,$AB1442)),IF(INDEX(Contracts!$I$2:$I$151,$AB1442)="MONTHLY",INDEX(Contracts!$M$2:$M$151,$AB1442),0))*(1-N(INDEX(Contracts!$O$2:$O$151,$AB1442))),IF($Z1442="A",INDEX(Fixed_Assets!$H$2:$H$201,$AB1442)/INDEX(Fixed_Assets!$J$2:$J$201,$AB1442),IF($Z1442="F",INDEX(Workforce!$F$2:$F$151,MATCH(INDEX(FTE_Allocation!$A$2:$A$201,$AB1442),Workforce!$A$2:$A$151,0))*N(INDEX(FTE_Allocation!$F$2:$H$201,$AB1442,$AC1442)),"")))</f>
        <v/>
      </c>
    </row>
    <row r="1443">
      <c r="A1443" s="7">
        <f>IF($Z1443="","",$AD1443)</f>
        <v/>
      </c>
      <c r="B1443" s="7">
        <f>IF($Z1443="C",INDEX(Contracts!$D$2:$D$151,$AB1443)&amp;"",IF($Z1443="A",INDEX(Fixed_Assets!$C$2:$C$201,$AB1443)&amp;"",IF($Z1443="F",INDEX(Workforce!$B$2:$B$151,MATCH(INDEX(FTE_Allocation!$A$2:$A$201,$AB1443),Workforce!$A$2:$A$151,0))&amp;"","")))</f>
        <v/>
      </c>
      <c r="C1443" s="7">
        <f>IF($Z1443="C",INDEX(Contracts!$E$2:$E$151,$AB1443)&amp;"",IF($Z1443="A",INDEX(Fixed_Assets!$D$2:$D$201,$AB1443)&amp;"",IF($Z1443="F",INDEX(FTE_Allocation!$C$2:$C$201,$AB1443)&amp;"","")))</f>
        <v/>
      </c>
      <c r="D1443" s="7">
        <f>IF($Z1443="C",INDEX(Contracts!$B$2:$B$151,$AB1443)&amp;"",IF($Z1443="A",INDEX(Fixed_Assets!$B$2:$B$201,$AB1443)&amp;"",IF($Z1443="F",INDEX(FTE_Allocation!$B$2:$B$201,$AB1443)&amp;"","")))</f>
        <v/>
      </c>
      <c r="E1443" s="7">
        <f>IF($Z1443="C",INDEX(Contracts!$P$2:$P$151,$AB1443)&amp;"",IF($Z1443="A",INDEX(Fixed_Assets!$K$2:$K$201,$AB1443)&amp;"",IF($Z1443="F",IF(INDEX(FTE_Allocation!$D$2:$D$201,$AB1443)="PROJECT",IFERROR(INDEX(Projects!$D:$D,MATCH(INDEX(FTE_Allocation!$E$2:$E$201,$AB1443),Projects!$A:$A,0))&amp;"","#PROJECT?"),INDEX(FTE_Allocation!$E$2:$E$201,$AB1443)&amp;""),"")))</f>
        <v/>
      </c>
      <c r="F1443" s="7">
        <f>IF($Z1443="C",INDEX(Contracts!$Q$2:$Q$151,$AB1443)&amp;"",IF($Z1443="A",INDEX(Fixed_Assets!$L$2:$L$201,$AB1443)&amp;"",IF($Z1443="F",INDEX(Workforce!$K$2:$K$151,MATCH(INDEX(FTE_Allocation!$A$2:$A$201,$AB1443),Workforce!$A$2:$A$151,0))&amp;"","")))</f>
        <v/>
      </c>
      <c r="G1443" s="7">
        <f>IF($Z1443="C",INDEX(Contracts!$F$2:$F$151,$AB1443)&amp;" / "&amp;INDEX(Contracts!$G$2:$G$151,$AB1443),IF($Z1443="A",INDEX(Fixed_Assets!$E$2:$E$201,$AB1443)&amp;"",IF($Z1443="F","Personnel "&amp;INDEX(FTE_Allocation!$A$2:$A$201,$AB1443)&amp;IF(INDEX(FTE_Allocation!$D$2:$D$201,$AB1443)="PROJECT"," ("&amp;INDEX(FTE_Allocation!$E$2:$E$201,$AB1443)&amp;")",""),"")))</f>
        <v/>
      </c>
      <c r="H1443" s="7">
        <f>IF($Z1443="C","CONTRACT",IF($Z1443="A","ASSET",IF($Z1443="F","WORKFORCE","")))</f>
        <v/>
      </c>
      <c r="I1443" s="7">
        <f>IF($Z1443="C",INDEX(Contracts!$L$2:$L$151,$AB1443)&amp;"",IF($Z1443="A",INDEX(Fixed_Assets!$I$2:$I$201,$AB1443)&amp;"",IF($Z1443="F",INDEX(Workforce!$G$2:$G$151,MATCH(INDEX(FTE_Allocation!$A$2:$A$201,$AB1443),Workforce!$A$2:$A$151,0))&amp;"","")))</f>
        <v/>
      </c>
      <c r="J1443" s="18">
        <f>IF($Z1443="","",IF(AND(DATE($AD1443,1,1)&gt;=$AE1443,DATE($AD1443,1,1)&lt;=$AF1443),ROUND($AG1443,2),0))</f>
        <v/>
      </c>
      <c r="K1443" s="18">
        <f>IF($Z1443="","",IF(AND(DATE($AD1443,2,1)&gt;=$AE1443,DATE($AD1443,2,1)&lt;=$AF1443),ROUND($AG1443,2),0))</f>
        <v/>
      </c>
      <c r="L1443" s="18">
        <f>IF($Z1443="","",IF(AND(DATE($AD1443,3,1)&gt;=$AE1443,DATE($AD1443,3,1)&lt;=$AF1443),ROUND($AG1443,2),0))</f>
        <v/>
      </c>
      <c r="M1443" s="18">
        <f>IF($Z1443="","",IF(AND(DATE($AD1443,4,1)&gt;=$AE1443,DATE($AD1443,4,1)&lt;=$AF1443),ROUND($AG1443,2),0))</f>
        <v/>
      </c>
      <c r="N1443" s="18">
        <f>IF($Z1443="","",IF(AND(DATE($AD1443,5,1)&gt;=$AE1443,DATE($AD1443,5,1)&lt;=$AF1443),ROUND($AG1443,2),0))</f>
        <v/>
      </c>
      <c r="O1443" s="18">
        <f>IF($Z1443="","",IF(AND(DATE($AD1443,6,1)&gt;=$AE1443,DATE($AD1443,6,1)&lt;=$AF1443),ROUND($AG1443,2),0))</f>
        <v/>
      </c>
      <c r="P1443" s="18">
        <f>IF($Z1443="","",IF(AND(DATE($AD1443,7,1)&gt;=$AE1443,DATE($AD1443,7,1)&lt;=$AF1443),ROUND($AG1443,2),0))</f>
        <v/>
      </c>
      <c r="Q1443" s="18">
        <f>IF($Z1443="","",IF(AND(DATE($AD1443,8,1)&gt;=$AE1443,DATE($AD1443,8,1)&lt;=$AF1443),ROUND($AG1443,2),0))</f>
        <v/>
      </c>
      <c r="R1443" s="18">
        <f>IF($Z1443="","",IF(AND(DATE($AD1443,9,1)&gt;=$AE1443,DATE($AD1443,9,1)&lt;=$AF1443),ROUND($AG1443,2),0))</f>
        <v/>
      </c>
      <c r="S1443" s="18">
        <f>IF($Z1443="","",IF(AND(DATE($AD1443,10,1)&gt;=$AE1443,DATE($AD1443,10,1)&lt;=$AF1443),ROUND($AG1443,2),0))</f>
        <v/>
      </c>
      <c r="T1443" s="18">
        <f>IF($Z1443="","",IF(AND(DATE($AD1443,11,1)&gt;=$AE1443,DATE($AD1443,11,1)&lt;=$AF1443),ROUND($AG1443,2),0))</f>
        <v/>
      </c>
      <c r="U1443" s="18">
        <f>IF($Z1443="","",IF(AND(DATE($AD1443,12,1)&gt;=$AE1443,DATE($AD1443,12,1)&lt;=$AF1443),ROUND($AG1443,2),0))</f>
        <v/>
      </c>
      <c r="V1443" s="7">
        <f>IF($Z1443="C","Generated from "&amp;INDEX(Contracts!$A$2:$A$151,$AB1443),IF($Z1443="A","Generated from "&amp;INDEX(Fixed_Assets!$A$2:$A$201,$AB1443),IF($Z1443="F","Generated from "&amp;INDEX(FTE_Allocation!$A$2:$A$201,$AB1443),"")))</f>
        <v/>
      </c>
      <c r="X1443" s="19">
        <f>IF($Z1443="","",SUM(J1443:U1443))</f>
        <v/>
      </c>
      <c r="Y1443" s="20">
        <f>ROW()-1</f>
        <v/>
      </c>
      <c r="Z1443" s="20">
        <f>IF($Y1443&lt;=Settings!$B$4*3,"C",IF($Y1443&lt;=(Settings!$B$4+Settings!$B$5)*3,"A",IF($Y1443&lt;=(Settings!$B$4+Settings!$B$5+Settings!$B$6)*3,"F","")))</f>
        <v/>
      </c>
      <c r="AA1443" s="20">
        <f>IF($Z1443="C",$Y1443,IF($Z1443="A",$Y1443-Settings!$B$4*3,IF($Z1443="F",$Y1443-(Settings!$B$4+Settings!$B$5)*3,"")))</f>
        <v/>
      </c>
      <c r="AB1443" s="20">
        <f>IF($Z1443="","",INT(($AA1443-1)/3)+1)</f>
        <v/>
      </c>
      <c r="AC1443" s="20">
        <f>IF($Z1443="","",MOD($AA1443-1,3)+1)</f>
        <v/>
      </c>
      <c r="AD1443" s="20">
        <f>IF($Z1443="","",Settings!$B$2+$AC1443-1)</f>
        <v/>
      </c>
      <c r="AE1443" s="21">
        <f>IF($Z1443="C",DATE(YEAR(INDEX(Contracts!$J$2:$J$151,$AB1443)),MONTH(INDEX(Contracts!$J$2:$J$151,$AB1443)),1),IF($Z1443="A",DATE(YEAR(INDEX(Fixed_Assets!$G$2:$G$201,$AB1443)),MONTH(INDEX(Fixed_Assets!$G$2:$G$201,$AB1443)),1),IF($Z1443="F",DATE(YEAR(MAX(N(INDEX(Workforce!$I$2:$I$151,MATCH(INDEX(FTE_Allocation!$A$2:$A$201,$AB1443),Workforce!$A$2:$A$151,0))),N(INDEX(FTE_Allocation!$I$2:$I$201,$AB1443)))),MONTH(MAX(N(INDEX(Workforce!$I$2:$I$151,MATCH(INDEX(FTE_Allocation!$A$2:$A$201,$AB1443),Workforce!$A$2:$A$151,0))),N(INDEX(FTE_Allocation!$I$2:$I$201,$AB1443)))),1),"")))</f>
        <v/>
      </c>
      <c r="AF1443" s="21">
        <f>IF($Z1443="C",IF(INDEX(Contracts!$I$2:$I$151,$AB1443)="PREPAID",EDATE(DATE(YEAR(INDEX(Contracts!$J$2:$J$151,$AB1443)),MONTH(INDEX(Contracts!$J$2:$J$151,$AB1443)),1),IF(INDEX(Contracts!$N$2:$N$151,$AB1443)="",12,INDEX(Contracts!$N$2:$N$151,$AB1443))-1),IF(INDEX(Contracts!$I$2:$I$151,$AB1443)="MONTHLY",IF(INDEX(Contracts!$K$2:$K$151,$AB1443)="",2958101,INDEX(Contracts!$K$2:$K$151,$AB1443)),0)),IF($Z1443="A",EDATE(DATE(YEAR(INDEX(Fixed_Assets!$G$2:$G$201,$AB1443)),MONTH(INDEX(Fixed_Assets!$G$2:$G$201,$AB1443)),1),INDEX(Fixed_Assets!$J$2:$J$201,$AB1443)-1),IF($Z1443="F",MIN(IF(INDEX(Workforce!$J$2:$J$151,MATCH(INDEX(FTE_Allocation!$A$2:$A$201,$AB1443),Workforce!$A$2:$A$151,0))="",2958101,INDEX(Workforce!$J$2:$J$151,MATCH(INDEX(FTE_Allocation!$A$2:$A$201,$AB1443),Workforce!$A$2:$A$151,0))),IF(INDEX(FTE_Allocation!$J$2:$J$201,$AB1443)="",2958101,INDEX(FTE_Allocation!$J$2:$J$201,$AB1443))),"")))</f>
        <v/>
      </c>
      <c r="AG1443" s="19">
        <f>IF($Z1443="C",IF(INDEX(Contracts!$I$2:$I$151,$AB1443)="PREPAID",INDEX(Contracts!$M$2:$M$151,$AB1443)/IF(INDEX(Contracts!$N$2:$N$151,$AB1443)="",12,INDEX(Contracts!$N$2:$N$151,$AB1443)),IF(INDEX(Contracts!$I$2:$I$151,$AB1443)="MONTHLY",INDEX(Contracts!$M$2:$M$151,$AB1443),0))*(1-N(INDEX(Contracts!$O$2:$O$151,$AB1443))),IF($Z1443="A",INDEX(Fixed_Assets!$H$2:$H$201,$AB1443)/INDEX(Fixed_Assets!$J$2:$J$201,$AB1443),IF($Z1443="F",INDEX(Workforce!$F$2:$F$151,MATCH(INDEX(FTE_Allocation!$A$2:$A$201,$AB1443),Workforce!$A$2:$A$151,0))*N(INDEX(FTE_Allocation!$F$2:$H$201,$AB1443,$AC1443)),"")))</f>
        <v/>
      </c>
    </row>
    <row r="1444">
      <c r="A1444" s="7">
        <f>IF($Z1444="","",$AD1444)</f>
        <v/>
      </c>
      <c r="B1444" s="7">
        <f>IF($Z1444="C",INDEX(Contracts!$D$2:$D$151,$AB1444)&amp;"",IF($Z1444="A",INDEX(Fixed_Assets!$C$2:$C$201,$AB1444)&amp;"",IF($Z1444="F",INDEX(Workforce!$B$2:$B$151,MATCH(INDEX(FTE_Allocation!$A$2:$A$201,$AB1444),Workforce!$A$2:$A$151,0))&amp;"","")))</f>
        <v/>
      </c>
      <c r="C1444" s="7">
        <f>IF($Z1444="C",INDEX(Contracts!$E$2:$E$151,$AB1444)&amp;"",IF($Z1444="A",INDEX(Fixed_Assets!$D$2:$D$201,$AB1444)&amp;"",IF($Z1444="F",INDEX(FTE_Allocation!$C$2:$C$201,$AB1444)&amp;"","")))</f>
        <v/>
      </c>
      <c r="D1444" s="7">
        <f>IF($Z1444="C",INDEX(Contracts!$B$2:$B$151,$AB1444)&amp;"",IF($Z1444="A",INDEX(Fixed_Assets!$B$2:$B$201,$AB1444)&amp;"",IF($Z1444="F",INDEX(FTE_Allocation!$B$2:$B$201,$AB1444)&amp;"","")))</f>
        <v/>
      </c>
      <c r="E1444" s="7">
        <f>IF($Z1444="C",INDEX(Contracts!$P$2:$P$151,$AB1444)&amp;"",IF($Z1444="A",INDEX(Fixed_Assets!$K$2:$K$201,$AB1444)&amp;"",IF($Z1444="F",IF(INDEX(FTE_Allocation!$D$2:$D$201,$AB1444)="PROJECT",IFERROR(INDEX(Projects!$D:$D,MATCH(INDEX(FTE_Allocation!$E$2:$E$201,$AB1444),Projects!$A:$A,0))&amp;"","#PROJECT?"),INDEX(FTE_Allocation!$E$2:$E$201,$AB1444)&amp;""),"")))</f>
        <v/>
      </c>
      <c r="F1444" s="7">
        <f>IF($Z1444="C",INDEX(Contracts!$Q$2:$Q$151,$AB1444)&amp;"",IF($Z1444="A",INDEX(Fixed_Assets!$L$2:$L$201,$AB1444)&amp;"",IF($Z1444="F",INDEX(Workforce!$K$2:$K$151,MATCH(INDEX(FTE_Allocation!$A$2:$A$201,$AB1444),Workforce!$A$2:$A$151,0))&amp;"","")))</f>
        <v/>
      </c>
      <c r="G1444" s="7">
        <f>IF($Z1444="C",INDEX(Contracts!$F$2:$F$151,$AB1444)&amp;" / "&amp;INDEX(Contracts!$G$2:$G$151,$AB1444),IF($Z1444="A",INDEX(Fixed_Assets!$E$2:$E$201,$AB1444)&amp;"",IF($Z1444="F","Personnel "&amp;INDEX(FTE_Allocation!$A$2:$A$201,$AB1444)&amp;IF(INDEX(FTE_Allocation!$D$2:$D$201,$AB1444)="PROJECT"," ("&amp;INDEX(FTE_Allocation!$E$2:$E$201,$AB1444)&amp;")",""),"")))</f>
        <v/>
      </c>
      <c r="H1444" s="7">
        <f>IF($Z1444="C","CONTRACT",IF($Z1444="A","ASSET",IF($Z1444="F","WORKFORCE","")))</f>
        <v/>
      </c>
      <c r="I1444" s="7">
        <f>IF($Z1444="C",INDEX(Contracts!$L$2:$L$151,$AB1444)&amp;"",IF($Z1444="A",INDEX(Fixed_Assets!$I$2:$I$201,$AB1444)&amp;"",IF($Z1444="F",INDEX(Workforce!$G$2:$G$151,MATCH(INDEX(FTE_Allocation!$A$2:$A$201,$AB1444),Workforce!$A$2:$A$151,0))&amp;"","")))</f>
        <v/>
      </c>
      <c r="J1444" s="18">
        <f>IF($Z1444="","",IF(AND(DATE($AD1444,1,1)&gt;=$AE1444,DATE($AD1444,1,1)&lt;=$AF1444),ROUND($AG1444,2),0))</f>
        <v/>
      </c>
      <c r="K1444" s="18">
        <f>IF($Z1444="","",IF(AND(DATE($AD1444,2,1)&gt;=$AE1444,DATE($AD1444,2,1)&lt;=$AF1444),ROUND($AG1444,2),0))</f>
        <v/>
      </c>
      <c r="L1444" s="18">
        <f>IF($Z1444="","",IF(AND(DATE($AD1444,3,1)&gt;=$AE1444,DATE($AD1444,3,1)&lt;=$AF1444),ROUND($AG1444,2),0))</f>
        <v/>
      </c>
      <c r="M1444" s="18">
        <f>IF($Z1444="","",IF(AND(DATE($AD1444,4,1)&gt;=$AE1444,DATE($AD1444,4,1)&lt;=$AF1444),ROUND($AG1444,2),0))</f>
        <v/>
      </c>
      <c r="N1444" s="18">
        <f>IF($Z1444="","",IF(AND(DATE($AD1444,5,1)&gt;=$AE1444,DATE($AD1444,5,1)&lt;=$AF1444),ROUND($AG1444,2),0))</f>
        <v/>
      </c>
      <c r="O1444" s="18">
        <f>IF($Z1444="","",IF(AND(DATE($AD1444,6,1)&gt;=$AE1444,DATE($AD1444,6,1)&lt;=$AF1444),ROUND($AG1444,2),0))</f>
        <v/>
      </c>
      <c r="P1444" s="18">
        <f>IF($Z1444="","",IF(AND(DATE($AD1444,7,1)&gt;=$AE1444,DATE($AD1444,7,1)&lt;=$AF1444),ROUND($AG1444,2),0))</f>
        <v/>
      </c>
      <c r="Q1444" s="18">
        <f>IF($Z1444="","",IF(AND(DATE($AD1444,8,1)&gt;=$AE1444,DATE($AD1444,8,1)&lt;=$AF1444),ROUND($AG1444,2),0))</f>
        <v/>
      </c>
      <c r="R1444" s="18">
        <f>IF($Z1444="","",IF(AND(DATE($AD1444,9,1)&gt;=$AE1444,DATE($AD1444,9,1)&lt;=$AF1444),ROUND($AG1444,2),0))</f>
        <v/>
      </c>
      <c r="S1444" s="18">
        <f>IF($Z1444="","",IF(AND(DATE($AD1444,10,1)&gt;=$AE1444,DATE($AD1444,10,1)&lt;=$AF1444),ROUND($AG1444,2),0))</f>
        <v/>
      </c>
      <c r="T1444" s="18">
        <f>IF($Z1444="","",IF(AND(DATE($AD1444,11,1)&gt;=$AE1444,DATE($AD1444,11,1)&lt;=$AF1444),ROUND($AG1444,2),0))</f>
        <v/>
      </c>
      <c r="U1444" s="18">
        <f>IF($Z1444="","",IF(AND(DATE($AD1444,12,1)&gt;=$AE1444,DATE($AD1444,12,1)&lt;=$AF1444),ROUND($AG1444,2),0))</f>
        <v/>
      </c>
      <c r="V1444" s="7">
        <f>IF($Z1444="C","Generated from "&amp;INDEX(Contracts!$A$2:$A$151,$AB1444),IF($Z1444="A","Generated from "&amp;INDEX(Fixed_Assets!$A$2:$A$201,$AB1444),IF($Z1444="F","Generated from "&amp;INDEX(FTE_Allocation!$A$2:$A$201,$AB1444),"")))</f>
        <v/>
      </c>
      <c r="X1444" s="19">
        <f>IF($Z1444="","",SUM(J1444:U1444))</f>
        <v/>
      </c>
      <c r="Y1444" s="20">
        <f>ROW()-1</f>
        <v/>
      </c>
      <c r="Z1444" s="20">
        <f>IF($Y1444&lt;=Settings!$B$4*3,"C",IF($Y1444&lt;=(Settings!$B$4+Settings!$B$5)*3,"A",IF($Y1444&lt;=(Settings!$B$4+Settings!$B$5+Settings!$B$6)*3,"F","")))</f>
        <v/>
      </c>
      <c r="AA1444" s="20">
        <f>IF($Z1444="C",$Y1444,IF($Z1444="A",$Y1444-Settings!$B$4*3,IF($Z1444="F",$Y1444-(Settings!$B$4+Settings!$B$5)*3,"")))</f>
        <v/>
      </c>
      <c r="AB1444" s="20">
        <f>IF($Z1444="","",INT(($AA1444-1)/3)+1)</f>
        <v/>
      </c>
      <c r="AC1444" s="20">
        <f>IF($Z1444="","",MOD($AA1444-1,3)+1)</f>
        <v/>
      </c>
      <c r="AD1444" s="20">
        <f>IF($Z1444="","",Settings!$B$2+$AC1444-1)</f>
        <v/>
      </c>
      <c r="AE1444" s="21">
        <f>IF($Z1444="C",DATE(YEAR(INDEX(Contracts!$J$2:$J$151,$AB1444)),MONTH(INDEX(Contracts!$J$2:$J$151,$AB1444)),1),IF($Z1444="A",DATE(YEAR(INDEX(Fixed_Assets!$G$2:$G$201,$AB1444)),MONTH(INDEX(Fixed_Assets!$G$2:$G$201,$AB1444)),1),IF($Z1444="F",DATE(YEAR(MAX(N(INDEX(Workforce!$I$2:$I$151,MATCH(INDEX(FTE_Allocation!$A$2:$A$201,$AB1444),Workforce!$A$2:$A$151,0))),N(INDEX(FTE_Allocation!$I$2:$I$201,$AB1444)))),MONTH(MAX(N(INDEX(Workforce!$I$2:$I$151,MATCH(INDEX(FTE_Allocation!$A$2:$A$201,$AB1444),Workforce!$A$2:$A$151,0))),N(INDEX(FTE_Allocation!$I$2:$I$201,$AB1444)))),1),"")))</f>
        <v/>
      </c>
      <c r="AF1444" s="21">
        <f>IF($Z1444="C",IF(INDEX(Contracts!$I$2:$I$151,$AB1444)="PREPAID",EDATE(DATE(YEAR(INDEX(Contracts!$J$2:$J$151,$AB1444)),MONTH(INDEX(Contracts!$J$2:$J$151,$AB1444)),1),IF(INDEX(Contracts!$N$2:$N$151,$AB1444)="",12,INDEX(Contracts!$N$2:$N$151,$AB1444))-1),IF(INDEX(Contracts!$I$2:$I$151,$AB1444)="MONTHLY",IF(INDEX(Contracts!$K$2:$K$151,$AB1444)="",2958101,INDEX(Contracts!$K$2:$K$151,$AB1444)),0)),IF($Z1444="A",EDATE(DATE(YEAR(INDEX(Fixed_Assets!$G$2:$G$201,$AB1444)),MONTH(INDEX(Fixed_Assets!$G$2:$G$201,$AB1444)),1),INDEX(Fixed_Assets!$J$2:$J$201,$AB1444)-1),IF($Z1444="F",MIN(IF(INDEX(Workforce!$J$2:$J$151,MATCH(INDEX(FTE_Allocation!$A$2:$A$201,$AB1444),Workforce!$A$2:$A$151,0))="",2958101,INDEX(Workforce!$J$2:$J$151,MATCH(INDEX(FTE_Allocation!$A$2:$A$201,$AB1444),Workforce!$A$2:$A$151,0))),IF(INDEX(FTE_Allocation!$J$2:$J$201,$AB1444)="",2958101,INDEX(FTE_Allocation!$J$2:$J$201,$AB1444))),"")))</f>
        <v/>
      </c>
      <c r="AG1444" s="19">
        <f>IF($Z1444="C",IF(INDEX(Contracts!$I$2:$I$151,$AB1444)="PREPAID",INDEX(Contracts!$M$2:$M$151,$AB1444)/IF(INDEX(Contracts!$N$2:$N$151,$AB1444)="",12,INDEX(Contracts!$N$2:$N$151,$AB1444)),IF(INDEX(Contracts!$I$2:$I$151,$AB1444)="MONTHLY",INDEX(Contracts!$M$2:$M$151,$AB1444),0))*(1-N(INDEX(Contracts!$O$2:$O$151,$AB1444))),IF($Z1444="A",INDEX(Fixed_Assets!$H$2:$H$201,$AB1444)/INDEX(Fixed_Assets!$J$2:$J$201,$AB1444),IF($Z1444="F",INDEX(Workforce!$F$2:$F$151,MATCH(INDEX(FTE_Allocation!$A$2:$A$201,$AB1444),Workforce!$A$2:$A$151,0))*N(INDEX(FTE_Allocation!$F$2:$H$201,$AB1444,$AC1444)),"")))</f>
        <v/>
      </c>
    </row>
    <row r="1445">
      <c r="A1445" s="7">
        <f>IF($Z1445="","",$AD1445)</f>
        <v/>
      </c>
      <c r="B1445" s="7">
        <f>IF($Z1445="C",INDEX(Contracts!$D$2:$D$151,$AB1445)&amp;"",IF($Z1445="A",INDEX(Fixed_Assets!$C$2:$C$201,$AB1445)&amp;"",IF($Z1445="F",INDEX(Workforce!$B$2:$B$151,MATCH(INDEX(FTE_Allocation!$A$2:$A$201,$AB1445),Workforce!$A$2:$A$151,0))&amp;"","")))</f>
        <v/>
      </c>
      <c r="C1445" s="7">
        <f>IF($Z1445="C",INDEX(Contracts!$E$2:$E$151,$AB1445)&amp;"",IF($Z1445="A",INDEX(Fixed_Assets!$D$2:$D$201,$AB1445)&amp;"",IF($Z1445="F",INDEX(FTE_Allocation!$C$2:$C$201,$AB1445)&amp;"","")))</f>
        <v/>
      </c>
      <c r="D1445" s="7">
        <f>IF($Z1445="C",INDEX(Contracts!$B$2:$B$151,$AB1445)&amp;"",IF($Z1445="A",INDEX(Fixed_Assets!$B$2:$B$201,$AB1445)&amp;"",IF($Z1445="F",INDEX(FTE_Allocation!$B$2:$B$201,$AB1445)&amp;"","")))</f>
        <v/>
      </c>
      <c r="E1445" s="7">
        <f>IF($Z1445="C",INDEX(Contracts!$P$2:$P$151,$AB1445)&amp;"",IF($Z1445="A",INDEX(Fixed_Assets!$K$2:$K$201,$AB1445)&amp;"",IF($Z1445="F",IF(INDEX(FTE_Allocation!$D$2:$D$201,$AB1445)="PROJECT",IFERROR(INDEX(Projects!$D:$D,MATCH(INDEX(FTE_Allocation!$E$2:$E$201,$AB1445),Projects!$A:$A,0))&amp;"","#PROJECT?"),INDEX(FTE_Allocation!$E$2:$E$201,$AB1445)&amp;""),"")))</f>
        <v/>
      </c>
      <c r="F1445" s="7">
        <f>IF($Z1445="C",INDEX(Contracts!$Q$2:$Q$151,$AB1445)&amp;"",IF($Z1445="A",INDEX(Fixed_Assets!$L$2:$L$201,$AB1445)&amp;"",IF($Z1445="F",INDEX(Workforce!$K$2:$K$151,MATCH(INDEX(FTE_Allocation!$A$2:$A$201,$AB1445),Workforce!$A$2:$A$151,0))&amp;"","")))</f>
        <v/>
      </c>
      <c r="G1445" s="7">
        <f>IF($Z1445="C",INDEX(Contracts!$F$2:$F$151,$AB1445)&amp;" / "&amp;INDEX(Contracts!$G$2:$G$151,$AB1445),IF($Z1445="A",INDEX(Fixed_Assets!$E$2:$E$201,$AB1445)&amp;"",IF($Z1445="F","Personnel "&amp;INDEX(FTE_Allocation!$A$2:$A$201,$AB1445)&amp;IF(INDEX(FTE_Allocation!$D$2:$D$201,$AB1445)="PROJECT"," ("&amp;INDEX(FTE_Allocation!$E$2:$E$201,$AB1445)&amp;")",""),"")))</f>
        <v/>
      </c>
      <c r="H1445" s="7">
        <f>IF($Z1445="C","CONTRACT",IF($Z1445="A","ASSET",IF($Z1445="F","WORKFORCE","")))</f>
        <v/>
      </c>
      <c r="I1445" s="7">
        <f>IF($Z1445="C",INDEX(Contracts!$L$2:$L$151,$AB1445)&amp;"",IF($Z1445="A",INDEX(Fixed_Assets!$I$2:$I$201,$AB1445)&amp;"",IF($Z1445="F",INDEX(Workforce!$G$2:$G$151,MATCH(INDEX(FTE_Allocation!$A$2:$A$201,$AB1445),Workforce!$A$2:$A$151,0))&amp;"","")))</f>
        <v/>
      </c>
      <c r="J1445" s="18">
        <f>IF($Z1445="","",IF(AND(DATE($AD1445,1,1)&gt;=$AE1445,DATE($AD1445,1,1)&lt;=$AF1445),ROUND($AG1445,2),0))</f>
        <v/>
      </c>
      <c r="K1445" s="18">
        <f>IF($Z1445="","",IF(AND(DATE($AD1445,2,1)&gt;=$AE1445,DATE($AD1445,2,1)&lt;=$AF1445),ROUND($AG1445,2),0))</f>
        <v/>
      </c>
      <c r="L1445" s="18">
        <f>IF($Z1445="","",IF(AND(DATE($AD1445,3,1)&gt;=$AE1445,DATE($AD1445,3,1)&lt;=$AF1445),ROUND($AG1445,2),0))</f>
        <v/>
      </c>
      <c r="M1445" s="18">
        <f>IF($Z1445="","",IF(AND(DATE($AD1445,4,1)&gt;=$AE1445,DATE($AD1445,4,1)&lt;=$AF1445),ROUND($AG1445,2),0))</f>
        <v/>
      </c>
      <c r="N1445" s="18">
        <f>IF($Z1445="","",IF(AND(DATE($AD1445,5,1)&gt;=$AE1445,DATE($AD1445,5,1)&lt;=$AF1445),ROUND($AG1445,2),0))</f>
        <v/>
      </c>
      <c r="O1445" s="18">
        <f>IF($Z1445="","",IF(AND(DATE($AD1445,6,1)&gt;=$AE1445,DATE($AD1445,6,1)&lt;=$AF1445),ROUND($AG1445,2),0))</f>
        <v/>
      </c>
      <c r="P1445" s="18">
        <f>IF($Z1445="","",IF(AND(DATE($AD1445,7,1)&gt;=$AE1445,DATE($AD1445,7,1)&lt;=$AF1445),ROUND($AG1445,2),0))</f>
        <v/>
      </c>
      <c r="Q1445" s="18">
        <f>IF($Z1445="","",IF(AND(DATE($AD1445,8,1)&gt;=$AE1445,DATE($AD1445,8,1)&lt;=$AF1445),ROUND($AG1445,2),0))</f>
        <v/>
      </c>
      <c r="R1445" s="18">
        <f>IF($Z1445="","",IF(AND(DATE($AD1445,9,1)&gt;=$AE1445,DATE($AD1445,9,1)&lt;=$AF1445),ROUND($AG1445,2),0))</f>
        <v/>
      </c>
      <c r="S1445" s="18">
        <f>IF($Z1445="","",IF(AND(DATE($AD1445,10,1)&gt;=$AE1445,DATE($AD1445,10,1)&lt;=$AF1445),ROUND($AG1445,2),0))</f>
        <v/>
      </c>
      <c r="T1445" s="18">
        <f>IF($Z1445="","",IF(AND(DATE($AD1445,11,1)&gt;=$AE1445,DATE($AD1445,11,1)&lt;=$AF1445),ROUND($AG1445,2),0))</f>
        <v/>
      </c>
      <c r="U1445" s="18">
        <f>IF($Z1445="","",IF(AND(DATE($AD1445,12,1)&gt;=$AE1445,DATE($AD1445,12,1)&lt;=$AF1445),ROUND($AG1445,2),0))</f>
        <v/>
      </c>
      <c r="V1445" s="7">
        <f>IF($Z1445="C","Generated from "&amp;INDEX(Contracts!$A$2:$A$151,$AB1445),IF($Z1445="A","Generated from "&amp;INDEX(Fixed_Assets!$A$2:$A$201,$AB1445),IF($Z1445="F","Generated from "&amp;INDEX(FTE_Allocation!$A$2:$A$201,$AB1445),"")))</f>
        <v/>
      </c>
      <c r="X1445" s="19">
        <f>IF($Z1445="","",SUM(J1445:U1445))</f>
        <v/>
      </c>
      <c r="Y1445" s="20">
        <f>ROW()-1</f>
        <v/>
      </c>
      <c r="Z1445" s="20">
        <f>IF($Y1445&lt;=Settings!$B$4*3,"C",IF($Y1445&lt;=(Settings!$B$4+Settings!$B$5)*3,"A",IF($Y1445&lt;=(Settings!$B$4+Settings!$B$5+Settings!$B$6)*3,"F","")))</f>
        <v/>
      </c>
      <c r="AA1445" s="20">
        <f>IF($Z1445="C",$Y1445,IF($Z1445="A",$Y1445-Settings!$B$4*3,IF($Z1445="F",$Y1445-(Settings!$B$4+Settings!$B$5)*3,"")))</f>
        <v/>
      </c>
      <c r="AB1445" s="20">
        <f>IF($Z1445="","",INT(($AA1445-1)/3)+1)</f>
        <v/>
      </c>
      <c r="AC1445" s="20">
        <f>IF($Z1445="","",MOD($AA1445-1,3)+1)</f>
        <v/>
      </c>
      <c r="AD1445" s="20">
        <f>IF($Z1445="","",Settings!$B$2+$AC1445-1)</f>
        <v/>
      </c>
      <c r="AE1445" s="21">
        <f>IF($Z1445="C",DATE(YEAR(INDEX(Contracts!$J$2:$J$151,$AB1445)),MONTH(INDEX(Contracts!$J$2:$J$151,$AB1445)),1),IF($Z1445="A",DATE(YEAR(INDEX(Fixed_Assets!$G$2:$G$201,$AB1445)),MONTH(INDEX(Fixed_Assets!$G$2:$G$201,$AB1445)),1),IF($Z1445="F",DATE(YEAR(MAX(N(INDEX(Workforce!$I$2:$I$151,MATCH(INDEX(FTE_Allocation!$A$2:$A$201,$AB1445),Workforce!$A$2:$A$151,0))),N(INDEX(FTE_Allocation!$I$2:$I$201,$AB1445)))),MONTH(MAX(N(INDEX(Workforce!$I$2:$I$151,MATCH(INDEX(FTE_Allocation!$A$2:$A$201,$AB1445),Workforce!$A$2:$A$151,0))),N(INDEX(FTE_Allocation!$I$2:$I$201,$AB1445)))),1),"")))</f>
        <v/>
      </c>
      <c r="AF1445" s="21">
        <f>IF($Z1445="C",IF(INDEX(Contracts!$I$2:$I$151,$AB1445)="PREPAID",EDATE(DATE(YEAR(INDEX(Contracts!$J$2:$J$151,$AB1445)),MONTH(INDEX(Contracts!$J$2:$J$151,$AB1445)),1),IF(INDEX(Contracts!$N$2:$N$151,$AB1445)="",12,INDEX(Contracts!$N$2:$N$151,$AB1445))-1),IF(INDEX(Contracts!$I$2:$I$151,$AB1445)="MONTHLY",IF(INDEX(Contracts!$K$2:$K$151,$AB1445)="",2958101,INDEX(Contracts!$K$2:$K$151,$AB1445)),0)),IF($Z1445="A",EDATE(DATE(YEAR(INDEX(Fixed_Assets!$G$2:$G$201,$AB1445)),MONTH(INDEX(Fixed_Assets!$G$2:$G$201,$AB1445)),1),INDEX(Fixed_Assets!$J$2:$J$201,$AB1445)-1),IF($Z1445="F",MIN(IF(INDEX(Workforce!$J$2:$J$151,MATCH(INDEX(FTE_Allocation!$A$2:$A$201,$AB1445),Workforce!$A$2:$A$151,0))="",2958101,INDEX(Workforce!$J$2:$J$151,MATCH(INDEX(FTE_Allocation!$A$2:$A$201,$AB1445),Workforce!$A$2:$A$151,0))),IF(INDEX(FTE_Allocation!$J$2:$J$201,$AB1445)="",2958101,INDEX(FTE_Allocation!$J$2:$J$201,$AB1445))),"")))</f>
        <v/>
      </c>
      <c r="AG1445" s="19">
        <f>IF($Z1445="C",IF(INDEX(Contracts!$I$2:$I$151,$AB1445)="PREPAID",INDEX(Contracts!$M$2:$M$151,$AB1445)/IF(INDEX(Contracts!$N$2:$N$151,$AB1445)="",12,INDEX(Contracts!$N$2:$N$151,$AB1445)),IF(INDEX(Contracts!$I$2:$I$151,$AB1445)="MONTHLY",INDEX(Contracts!$M$2:$M$151,$AB1445),0))*(1-N(INDEX(Contracts!$O$2:$O$151,$AB1445))),IF($Z1445="A",INDEX(Fixed_Assets!$H$2:$H$201,$AB1445)/INDEX(Fixed_Assets!$J$2:$J$201,$AB1445),IF($Z1445="F",INDEX(Workforce!$F$2:$F$151,MATCH(INDEX(FTE_Allocation!$A$2:$A$201,$AB1445),Workforce!$A$2:$A$151,0))*N(INDEX(FTE_Allocation!$F$2:$H$201,$AB1445,$AC1445)),"")))</f>
        <v/>
      </c>
    </row>
    <row r="1446">
      <c r="A1446" s="7">
        <f>IF($Z1446="","",$AD1446)</f>
        <v/>
      </c>
      <c r="B1446" s="7">
        <f>IF($Z1446="C",INDEX(Contracts!$D$2:$D$151,$AB1446)&amp;"",IF($Z1446="A",INDEX(Fixed_Assets!$C$2:$C$201,$AB1446)&amp;"",IF($Z1446="F",INDEX(Workforce!$B$2:$B$151,MATCH(INDEX(FTE_Allocation!$A$2:$A$201,$AB1446),Workforce!$A$2:$A$151,0))&amp;"","")))</f>
        <v/>
      </c>
      <c r="C1446" s="7">
        <f>IF($Z1446="C",INDEX(Contracts!$E$2:$E$151,$AB1446)&amp;"",IF($Z1446="A",INDEX(Fixed_Assets!$D$2:$D$201,$AB1446)&amp;"",IF($Z1446="F",INDEX(FTE_Allocation!$C$2:$C$201,$AB1446)&amp;"","")))</f>
        <v/>
      </c>
      <c r="D1446" s="7">
        <f>IF($Z1446="C",INDEX(Contracts!$B$2:$B$151,$AB1446)&amp;"",IF($Z1446="A",INDEX(Fixed_Assets!$B$2:$B$201,$AB1446)&amp;"",IF($Z1446="F",INDEX(FTE_Allocation!$B$2:$B$201,$AB1446)&amp;"","")))</f>
        <v/>
      </c>
      <c r="E1446" s="7">
        <f>IF($Z1446="C",INDEX(Contracts!$P$2:$P$151,$AB1446)&amp;"",IF($Z1446="A",INDEX(Fixed_Assets!$K$2:$K$201,$AB1446)&amp;"",IF($Z1446="F",IF(INDEX(FTE_Allocation!$D$2:$D$201,$AB1446)="PROJECT",IFERROR(INDEX(Projects!$D:$D,MATCH(INDEX(FTE_Allocation!$E$2:$E$201,$AB1446),Projects!$A:$A,0))&amp;"","#PROJECT?"),INDEX(FTE_Allocation!$E$2:$E$201,$AB1446)&amp;""),"")))</f>
        <v/>
      </c>
      <c r="F1446" s="7">
        <f>IF($Z1446="C",INDEX(Contracts!$Q$2:$Q$151,$AB1446)&amp;"",IF($Z1446="A",INDEX(Fixed_Assets!$L$2:$L$201,$AB1446)&amp;"",IF($Z1446="F",INDEX(Workforce!$K$2:$K$151,MATCH(INDEX(FTE_Allocation!$A$2:$A$201,$AB1446),Workforce!$A$2:$A$151,0))&amp;"","")))</f>
        <v/>
      </c>
      <c r="G1446" s="7">
        <f>IF($Z1446="C",INDEX(Contracts!$F$2:$F$151,$AB1446)&amp;" / "&amp;INDEX(Contracts!$G$2:$G$151,$AB1446),IF($Z1446="A",INDEX(Fixed_Assets!$E$2:$E$201,$AB1446)&amp;"",IF($Z1446="F","Personnel "&amp;INDEX(FTE_Allocation!$A$2:$A$201,$AB1446)&amp;IF(INDEX(FTE_Allocation!$D$2:$D$201,$AB1446)="PROJECT"," ("&amp;INDEX(FTE_Allocation!$E$2:$E$201,$AB1446)&amp;")",""),"")))</f>
        <v/>
      </c>
      <c r="H1446" s="7">
        <f>IF($Z1446="C","CONTRACT",IF($Z1446="A","ASSET",IF($Z1446="F","WORKFORCE","")))</f>
        <v/>
      </c>
      <c r="I1446" s="7">
        <f>IF($Z1446="C",INDEX(Contracts!$L$2:$L$151,$AB1446)&amp;"",IF($Z1446="A",INDEX(Fixed_Assets!$I$2:$I$201,$AB1446)&amp;"",IF($Z1446="F",INDEX(Workforce!$G$2:$G$151,MATCH(INDEX(FTE_Allocation!$A$2:$A$201,$AB1446),Workforce!$A$2:$A$151,0))&amp;"","")))</f>
        <v/>
      </c>
      <c r="J1446" s="18">
        <f>IF($Z1446="","",IF(AND(DATE($AD1446,1,1)&gt;=$AE1446,DATE($AD1446,1,1)&lt;=$AF1446),ROUND($AG1446,2),0))</f>
        <v/>
      </c>
      <c r="K1446" s="18">
        <f>IF($Z1446="","",IF(AND(DATE($AD1446,2,1)&gt;=$AE1446,DATE($AD1446,2,1)&lt;=$AF1446),ROUND($AG1446,2),0))</f>
        <v/>
      </c>
      <c r="L1446" s="18">
        <f>IF($Z1446="","",IF(AND(DATE($AD1446,3,1)&gt;=$AE1446,DATE($AD1446,3,1)&lt;=$AF1446),ROUND($AG1446,2),0))</f>
        <v/>
      </c>
      <c r="M1446" s="18">
        <f>IF($Z1446="","",IF(AND(DATE($AD1446,4,1)&gt;=$AE1446,DATE($AD1446,4,1)&lt;=$AF1446),ROUND($AG1446,2),0))</f>
        <v/>
      </c>
      <c r="N1446" s="18">
        <f>IF($Z1446="","",IF(AND(DATE($AD1446,5,1)&gt;=$AE1446,DATE($AD1446,5,1)&lt;=$AF1446),ROUND($AG1446,2),0))</f>
        <v/>
      </c>
      <c r="O1446" s="18">
        <f>IF($Z1446="","",IF(AND(DATE($AD1446,6,1)&gt;=$AE1446,DATE($AD1446,6,1)&lt;=$AF1446),ROUND($AG1446,2),0))</f>
        <v/>
      </c>
      <c r="P1446" s="18">
        <f>IF($Z1446="","",IF(AND(DATE($AD1446,7,1)&gt;=$AE1446,DATE($AD1446,7,1)&lt;=$AF1446),ROUND($AG1446,2),0))</f>
        <v/>
      </c>
      <c r="Q1446" s="18">
        <f>IF($Z1446="","",IF(AND(DATE($AD1446,8,1)&gt;=$AE1446,DATE($AD1446,8,1)&lt;=$AF1446),ROUND($AG1446,2),0))</f>
        <v/>
      </c>
      <c r="R1446" s="18">
        <f>IF($Z1446="","",IF(AND(DATE($AD1446,9,1)&gt;=$AE1446,DATE($AD1446,9,1)&lt;=$AF1446),ROUND($AG1446,2),0))</f>
        <v/>
      </c>
      <c r="S1446" s="18">
        <f>IF($Z1446="","",IF(AND(DATE($AD1446,10,1)&gt;=$AE1446,DATE($AD1446,10,1)&lt;=$AF1446),ROUND($AG1446,2),0))</f>
        <v/>
      </c>
      <c r="T1446" s="18">
        <f>IF($Z1446="","",IF(AND(DATE($AD1446,11,1)&gt;=$AE1446,DATE($AD1446,11,1)&lt;=$AF1446),ROUND($AG1446,2),0))</f>
        <v/>
      </c>
      <c r="U1446" s="18">
        <f>IF($Z1446="","",IF(AND(DATE($AD1446,12,1)&gt;=$AE1446,DATE($AD1446,12,1)&lt;=$AF1446),ROUND($AG1446,2),0))</f>
        <v/>
      </c>
      <c r="V1446" s="7">
        <f>IF($Z1446="C","Generated from "&amp;INDEX(Contracts!$A$2:$A$151,$AB1446),IF($Z1446="A","Generated from "&amp;INDEX(Fixed_Assets!$A$2:$A$201,$AB1446),IF($Z1446="F","Generated from "&amp;INDEX(FTE_Allocation!$A$2:$A$201,$AB1446),"")))</f>
        <v/>
      </c>
      <c r="X1446" s="19">
        <f>IF($Z1446="","",SUM(J1446:U1446))</f>
        <v/>
      </c>
      <c r="Y1446" s="20">
        <f>ROW()-1</f>
        <v/>
      </c>
      <c r="Z1446" s="20">
        <f>IF($Y1446&lt;=Settings!$B$4*3,"C",IF($Y1446&lt;=(Settings!$B$4+Settings!$B$5)*3,"A",IF($Y1446&lt;=(Settings!$B$4+Settings!$B$5+Settings!$B$6)*3,"F","")))</f>
        <v/>
      </c>
      <c r="AA1446" s="20">
        <f>IF($Z1446="C",$Y1446,IF($Z1446="A",$Y1446-Settings!$B$4*3,IF($Z1446="F",$Y1446-(Settings!$B$4+Settings!$B$5)*3,"")))</f>
        <v/>
      </c>
      <c r="AB1446" s="20">
        <f>IF($Z1446="","",INT(($AA1446-1)/3)+1)</f>
        <v/>
      </c>
      <c r="AC1446" s="20">
        <f>IF($Z1446="","",MOD($AA1446-1,3)+1)</f>
        <v/>
      </c>
      <c r="AD1446" s="20">
        <f>IF($Z1446="","",Settings!$B$2+$AC1446-1)</f>
        <v/>
      </c>
      <c r="AE1446" s="21">
        <f>IF($Z1446="C",DATE(YEAR(INDEX(Contracts!$J$2:$J$151,$AB1446)),MONTH(INDEX(Contracts!$J$2:$J$151,$AB1446)),1),IF($Z1446="A",DATE(YEAR(INDEX(Fixed_Assets!$G$2:$G$201,$AB1446)),MONTH(INDEX(Fixed_Assets!$G$2:$G$201,$AB1446)),1),IF($Z1446="F",DATE(YEAR(MAX(N(INDEX(Workforce!$I$2:$I$151,MATCH(INDEX(FTE_Allocation!$A$2:$A$201,$AB1446),Workforce!$A$2:$A$151,0))),N(INDEX(FTE_Allocation!$I$2:$I$201,$AB1446)))),MONTH(MAX(N(INDEX(Workforce!$I$2:$I$151,MATCH(INDEX(FTE_Allocation!$A$2:$A$201,$AB1446),Workforce!$A$2:$A$151,0))),N(INDEX(FTE_Allocation!$I$2:$I$201,$AB1446)))),1),"")))</f>
        <v/>
      </c>
      <c r="AF1446" s="21">
        <f>IF($Z1446="C",IF(INDEX(Contracts!$I$2:$I$151,$AB1446)="PREPAID",EDATE(DATE(YEAR(INDEX(Contracts!$J$2:$J$151,$AB1446)),MONTH(INDEX(Contracts!$J$2:$J$151,$AB1446)),1),IF(INDEX(Contracts!$N$2:$N$151,$AB1446)="",12,INDEX(Contracts!$N$2:$N$151,$AB1446))-1),IF(INDEX(Contracts!$I$2:$I$151,$AB1446)="MONTHLY",IF(INDEX(Contracts!$K$2:$K$151,$AB1446)="",2958101,INDEX(Contracts!$K$2:$K$151,$AB1446)),0)),IF($Z1446="A",EDATE(DATE(YEAR(INDEX(Fixed_Assets!$G$2:$G$201,$AB1446)),MONTH(INDEX(Fixed_Assets!$G$2:$G$201,$AB1446)),1),INDEX(Fixed_Assets!$J$2:$J$201,$AB1446)-1),IF($Z1446="F",MIN(IF(INDEX(Workforce!$J$2:$J$151,MATCH(INDEX(FTE_Allocation!$A$2:$A$201,$AB1446),Workforce!$A$2:$A$151,0))="",2958101,INDEX(Workforce!$J$2:$J$151,MATCH(INDEX(FTE_Allocation!$A$2:$A$201,$AB1446),Workforce!$A$2:$A$151,0))),IF(INDEX(FTE_Allocation!$J$2:$J$201,$AB1446)="",2958101,INDEX(FTE_Allocation!$J$2:$J$201,$AB1446))),"")))</f>
        <v/>
      </c>
      <c r="AG1446" s="19">
        <f>IF($Z1446="C",IF(INDEX(Contracts!$I$2:$I$151,$AB1446)="PREPAID",INDEX(Contracts!$M$2:$M$151,$AB1446)/IF(INDEX(Contracts!$N$2:$N$151,$AB1446)="",12,INDEX(Contracts!$N$2:$N$151,$AB1446)),IF(INDEX(Contracts!$I$2:$I$151,$AB1446)="MONTHLY",INDEX(Contracts!$M$2:$M$151,$AB1446),0))*(1-N(INDEX(Contracts!$O$2:$O$151,$AB1446))),IF($Z1446="A",INDEX(Fixed_Assets!$H$2:$H$201,$AB1446)/INDEX(Fixed_Assets!$J$2:$J$201,$AB1446),IF($Z1446="F",INDEX(Workforce!$F$2:$F$151,MATCH(INDEX(FTE_Allocation!$A$2:$A$201,$AB1446),Workforce!$A$2:$A$151,0))*N(INDEX(FTE_Allocation!$F$2:$H$201,$AB1446,$AC1446)),"")))</f>
        <v/>
      </c>
    </row>
    <row r="1447">
      <c r="A1447" s="7">
        <f>IF($Z1447="","",$AD1447)</f>
        <v/>
      </c>
      <c r="B1447" s="7">
        <f>IF($Z1447="C",INDEX(Contracts!$D$2:$D$151,$AB1447)&amp;"",IF($Z1447="A",INDEX(Fixed_Assets!$C$2:$C$201,$AB1447)&amp;"",IF($Z1447="F",INDEX(Workforce!$B$2:$B$151,MATCH(INDEX(FTE_Allocation!$A$2:$A$201,$AB1447),Workforce!$A$2:$A$151,0))&amp;"","")))</f>
        <v/>
      </c>
      <c r="C1447" s="7">
        <f>IF($Z1447="C",INDEX(Contracts!$E$2:$E$151,$AB1447)&amp;"",IF($Z1447="A",INDEX(Fixed_Assets!$D$2:$D$201,$AB1447)&amp;"",IF($Z1447="F",INDEX(FTE_Allocation!$C$2:$C$201,$AB1447)&amp;"","")))</f>
        <v/>
      </c>
      <c r="D1447" s="7">
        <f>IF($Z1447="C",INDEX(Contracts!$B$2:$B$151,$AB1447)&amp;"",IF($Z1447="A",INDEX(Fixed_Assets!$B$2:$B$201,$AB1447)&amp;"",IF($Z1447="F",INDEX(FTE_Allocation!$B$2:$B$201,$AB1447)&amp;"","")))</f>
        <v/>
      </c>
      <c r="E1447" s="7">
        <f>IF($Z1447="C",INDEX(Contracts!$P$2:$P$151,$AB1447)&amp;"",IF($Z1447="A",INDEX(Fixed_Assets!$K$2:$K$201,$AB1447)&amp;"",IF($Z1447="F",IF(INDEX(FTE_Allocation!$D$2:$D$201,$AB1447)="PROJECT",IFERROR(INDEX(Projects!$D:$D,MATCH(INDEX(FTE_Allocation!$E$2:$E$201,$AB1447),Projects!$A:$A,0))&amp;"","#PROJECT?"),INDEX(FTE_Allocation!$E$2:$E$201,$AB1447)&amp;""),"")))</f>
        <v/>
      </c>
      <c r="F1447" s="7">
        <f>IF($Z1447="C",INDEX(Contracts!$Q$2:$Q$151,$AB1447)&amp;"",IF($Z1447="A",INDEX(Fixed_Assets!$L$2:$L$201,$AB1447)&amp;"",IF($Z1447="F",INDEX(Workforce!$K$2:$K$151,MATCH(INDEX(FTE_Allocation!$A$2:$A$201,$AB1447),Workforce!$A$2:$A$151,0))&amp;"","")))</f>
        <v/>
      </c>
      <c r="G1447" s="7">
        <f>IF($Z1447="C",INDEX(Contracts!$F$2:$F$151,$AB1447)&amp;" / "&amp;INDEX(Contracts!$G$2:$G$151,$AB1447),IF($Z1447="A",INDEX(Fixed_Assets!$E$2:$E$201,$AB1447)&amp;"",IF($Z1447="F","Personnel "&amp;INDEX(FTE_Allocation!$A$2:$A$201,$AB1447)&amp;IF(INDEX(FTE_Allocation!$D$2:$D$201,$AB1447)="PROJECT"," ("&amp;INDEX(FTE_Allocation!$E$2:$E$201,$AB1447)&amp;")",""),"")))</f>
        <v/>
      </c>
      <c r="H1447" s="7">
        <f>IF($Z1447="C","CONTRACT",IF($Z1447="A","ASSET",IF($Z1447="F","WORKFORCE","")))</f>
        <v/>
      </c>
      <c r="I1447" s="7">
        <f>IF($Z1447="C",INDEX(Contracts!$L$2:$L$151,$AB1447)&amp;"",IF($Z1447="A",INDEX(Fixed_Assets!$I$2:$I$201,$AB1447)&amp;"",IF($Z1447="F",INDEX(Workforce!$G$2:$G$151,MATCH(INDEX(FTE_Allocation!$A$2:$A$201,$AB1447),Workforce!$A$2:$A$151,0))&amp;"","")))</f>
        <v/>
      </c>
      <c r="J1447" s="18">
        <f>IF($Z1447="","",IF(AND(DATE($AD1447,1,1)&gt;=$AE1447,DATE($AD1447,1,1)&lt;=$AF1447),ROUND($AG1447,2),0))</f>
        <v/>
      </c>
      <c r="K1447" s="18">
        <f>IF($Z1447="","",IF(AND(DATE($AD1447,2,1)&gt;=$AE1447,DATE($AD1447,2,1)&lt;=$AF1447),ROUND($AG1447,2),0))</f>
        <v/>
      </c>
      <c r="L1447" s="18">
        <f>IF($Z1447="","",IF(AND(DATE($AD1447,3,1)&gt;=$AE1447,DATE($AD1447,3,1)&lt;=$AF1447),ROUND($AG1447,2),0))</f>
        <v/>
      </c>
      <c r="M1447" s="18">
        <f>IF($Z1447="","",IF(AND(DATE($AD1447,4,1)&gt;=$AE1447,DATE($AD1447,4,1)&lt;=$AF1447),ROUND($AG1447,2),0))</f>
        <v/>
      </c>
      <c r="N1447" s="18">
        <f>IF($Z1447="","",IF(AND(DATE($AD1447,5,1)&gt;=$AE1447,DATE($AD1447,5,1)&lt;=$AF1447),ROUND($AG1447,2),0))</f>
        <v/>
      </c>
      <c r="O1447" s="18">
        <f>IF($Z1447="","",IF(AND(DATE($AD1447,6,1)&gt;=$AE1447,DATE($AD1447,6,1)&lt;=$AF1447),ROUND($AG1447,2),0))</f>
        <v/>
      </c>
      <c r="P1447" s="18">
        <f>IF($Z1447="","",IF(AND(DATE($AD1447,7,1)&gt;=$AE1447,DATE($AD1447,7,1)&lt;=$AF1447),ROUND($AG1447,2),0))</f>
        <v/>
      </c>
      <c r="Q1447" s="18">
        <f>IF($Z1447="","",IF(AND(DATE($AD1447,8,1)&gt;=$AE1447,DATE($AD1447,8,1)&lt;=$AF1447),ROUND($AG1447,2),0))</f>
        <v/>
      </c>
      <c r="R1447" s="18">
        <f>IF($Z1447="","",IF(AND(DATE($AD1447,9,1)&gt;=$AE1447,DATE($AD1447,9,1)&lt;=$AF1447),ROUND($AG1447,2),0))</f>
        <v/>
      </c>
      <c r="S1447" s="18">
        <f>IF($Z1447="","",IF(AND(DATE($AD1447,10,1)&gt;=$AE1447,DATE($AD1447,10,1)&lt;=$AF1447),ROUND($AG1447,2),0))</f>
        <v/>
      </c>
      <c r="T1447" s="18">
        <f>IF($Z1447="","",IF(AND(DATE($AD1447,11,1)&gt;=$AE1447,DATE($AD1447,11,1)&lt;=$AF1447),ROUND($AG1447,2),0))</f>
        <v/>
      </c>
      <c r="U1447" s="18">
        <f>IF($Z1447="","",IF(AND(DATE($AD1447,12,1)&gt;=$AE1447,DATE($AD1447,12,1)&lt;=$AF1447),ROUND($AG1447,2),0))</f>
        <v/>
      </c>
      <c r="V1447" s="7">
        <f>IF($Z1447="C","Generated from "&amp;INDEX(Contracts!$A$2:$A$151,$AB1447),IF($Z1447="A","Generated from "&amp;INDEX(Fixed_Assets!$A$2:$A$201,$AB1447),IF($Z1447="F","Generated from "&amp;INDEX(FTE_Allocation!$A$2:$A$201,$AB1447),"")))</f>
        <v/>
      </c>
      <c r="X1447" s="19">
        <f>IF($Z1447="","",SUM(J1447:U1447))</f>
        <v/>
      </c>
      <c r="Y1447" s="20">
        <f>ROW()-1</f>
        <v/>
      </c>
      <c r="Z1447" s="20">
        <f>IF($Y1447&lt;=Settings!$B$4*3,"C",IF($Y1447&lt;=(Settings!$B$4+Settings!$B$5)*3,"A",IF($Y1447&lt;=(Settings!$B$4+Settings!$B$5+Settings!$B$6)*3,"F","")))</f>
        <v/>
      </c>
      <c r="AA1447" s="20">
        <f>IF($Z1447="C",$Y1447,IF($Z1447="A",$Y1447-Settings!$B$4*3,IF($Z1447="F",$Y1447-(Settings!$B$4+Settings!$B$5)*3,"")))</f>
        <v/>
      </c>
      <c r="AB1447" s="20">
        <f>IF($Z1447="","",INT(($AA1447-1)/3)+1)</f>
        <v/>
      </c>
      <c r="AC1447" s="20">
        <f>IF($Z1447="","",MOD($AA1447-1,3)+1)</f>
        <v/>
      </c>
      <c r="AD1447" s="20">
        <f>IF($Z1447="","",Settings!$B$2+$AC1447-1)</f>
        <v/>
      </c>
      <c r="AE1447" s="21">
        <f>IF($Z1447="C",DATE(YEAR(INDEX(Contracts!$J$2:$J$151,$AB1447)),MONTH(INDEX(Contracts!$J$2:$J$151,$AB1447)),1),IF($Z1447="A",DATE(YEAR(INDEX(Fixed_Assets!$G$2:$G$201,$AB1447)),MONTH(INDEX(Fixed_Assets!$G$2:$G$201,$AB1447)),1),IF($Z1447="F",DATE(YEAR(MAX(N(INDEX(Workforce!$I$2:$I$151,MATCH(INDEX(FTE_Allocation!$A$2:$A$201,$AB1447),Workforce!$A$2:$A$151,0))),N(INDEX(FTE_Allocation!$I$2:$I$201,$AB1447)))),MONTH(MAX(N(INDEX(Workforce!$I$2:$I$151,MATCH(INDEX(FTE_Allocation!$A$2:$A$201,$AB1447),Workforce!$A$2:$A$151,0))),N(INDEX(FTE_Allocation!$I$2:$I$201,$AB1447)))),1),"")))</f>
        <v/>
      </c>
      <c r="AF1447" s="21">
        <f>IF($Z1447="C",IF(INDEX(Contracts!$I$2:$I$151,$AB1447)="PREPAID",EDATE(DATE(YEAR(INDEX(Contracts!$J$2:$J$151,$AB1447)),MONTH(INDEX(Contracts!$J$2:$J$151,$AB1447)),1),IF(INDEX(Contracts!$N$2:$N$151,$AB1447)="",12,INDEX(Contracts!$N$2:$N$151,$AB1447))-1),IF(INDEX(Contracts!$I$2:$I$151,$AB1447)="MONTHLY",IF(INDEX(Contracts!$K$2:$K$151,$AB1447)="",2958101,INDEX(Contracts!$K$2:$K$151,$AB1447)),0)),IF($Z1447="A",EDATE(DATE(YEAR(INDEX(Fixed_Assets!$G$2:$G$201,$AB1447)),MONTH(INDEX(Fixed_Assets!$G$2:$G$201,$AB1447)),1),INDEX(Fixed_Assets!$J$2:$J$201,$AB1447)-1),IF($Z1447="F",MIN(IF(INDEX(Workforce!$J$2:$J$151,MATCH(INDEX(FTE_Allocation!$A$2:$A$201,$AB1447),Workforce!$A$2:$A$151,0))="",2958101,INDEX(Workforce!$J$2:$J$151,MATCH(INDEX(FTE_Allocation!$A$2:$A$201,$AB1447),Workforce!$A$2:$A$151,0))),IF(INDEX(FTE_Allocation!$J$2:$J$201,$AB1447)="",2958101,INDEX(FTE_Allocation!$J$2:$J$201,$AB1447))),"")))</f>
        <v/>
      </c>
      <c r="AG1447" s="19">
        <f>IF($Z1447="C",IF(INDEX(Contracts!$I$2:$I$151,$AB1447)="PREPAID",INDEX(Contracts!$M$2:$M$151,$AB1447)/IF(INDEX(Contracts!$N$2:$N$151,$AB1447)="",12,INDEX(Contracts!$N$2:$N$151,$AB1447)),IF(INDEX(Contracts!$I$2:$I$151,$AB1447)="MONTHLY",INDEX(Contracts!$M$2:$M$151,$AB1447),0))*(1-N(INDEX(Contracts!$O$2:$O$151,$AB1447))),IF($Z1447="A",INDEX(Fixed_Assets!$H$2:$H$201,$AB1447)/INDEX(Fixed_Assets!$J$2:$J$201,$AB1447),IF($Z1447="F",INDEX(Workforce!$F$2:$F$151,MATCH(INDEX(FTE_Allocation!$A$2:$A$201,$AB1447),Workforce!$A$2:$A$151,0))*N(INDEX(FTE_Allocation!$F$2:$H$201,$AB1447,$AC1447)),"")))</f>
        <v/>
      </c>
    </row>
    <row r="1448">
      <c r="A1448" s="7">
        <f>IF($Z1448="","",$AD1448)</f>
        <v/>
      </c>
      <c r="B1448" s="7">
        <f>IF($Z1448="C",INDEX(Contracts!$D$2:$D$151,$AB1448)&amp;"",IF($Z1448="A",INDEX(Fixed_Assets!$C$2:$C$201,$AB1448)&amp;"",IF($Z1448="F",INDEX(Workforce!$B$2:$B$151,MATCH(INDEX(FTE_Allocation!$A$2:$A$201,$AB1448),Workforce!$A$2:$A$151,0))&amp;"","")))</f>
        <v/>
      </c>
      <c r="C1448" s="7">
        <f>IF($Z1448="C",INDEX(Contracts!$E$2:$E$151,$AB1448)&amp;"",IF($Z1448="A",INDEX(Fixed_Assets!$D$2:$D$201,$AB1448)&amp;"",IF($Z1448="F",INDEX(FTE_Allocation!$C$2:$C$201,$AB1448)&amp;"","")))</f>
        <v/>
      </c>
      <c r="D1448" s="7">
        <f>IF($Z1448="C",INDEX(Contracts!$B$2:$B$151,$AB1448)&amp;"",IF($Z1448="A",INDEX(Fixed_Assets!$B$2:$B$201,$AB1448)&amp;"",IF($Z1448="F",INDEX(FTE_Allocation!$B$2:$B$201,$AB1448)&amp;"","")))</f>
        <v/>
      </c>
      <c r="E1448" s="7">
        <f>IF($Z1448="C",INDEX(Contracts!$P$2:$P$151,$AB1448)&amp;"",IF($Z1448="A",INDEX(Fixed_Assets!$K$2:$K$201,$AB1448)&amp;"",IF($Z1448="F",IF(INDEX(FTE_Allocation!$D$2:$D$201,$AB1448)="PROJECT",IFERROR(INDEX(Projects!$D:$D,MATCH(INDEX(FTE_Allocation!$E$2:$E$201,$AB1448),Projects!$A:$A,0))&amp;"","#PROJECT?"),INDEX(FTE_Allocation!$E$2:$E$201,$AB1448)&amp;""),"")))</f>
        <v/>
      </c>
      <c r="F1448" s="7">
        <f>IF($Z1448="C",INDEX(Contracts!$Q$2:$Q$151,$AB1448)&amp;"",IF($Z1448="A",INDEX(Fixed_Assets!$L$2:$L$201,$AB1448)&amp;"",IF($Z1448="F",INDEX(Workforce!$K$2:$K$151,MATCH(INDEX(FTE_Allocation!$A$2:$A$201,$AB1448),Workforce!$A$2:$A$151,0))&amp;"","")))</f>
        <v/>
      </c>
      <c r="G1448" s="7">
        <f>IF($Z1448="C",INDEX(Contracts!$F$2:$F$151,$AB1448)&amp;" / "&amp;INDEX(Contracts!$G$2:$G$151,$AB1448),IF($Z1448="A",INDEX(Fixed_Assets!$E$2:$E$201,$AB1448)&amp;"",IF($Z1448="F","Personnel "&amp;INDEX(FTE_Allocation!$A$2:$A$201,$AB1448)&amp;IF(INDEX(FTE_Allocation!$D$2:$D$201,$AB1448)="PROJECT"," ("&amp;INDEX(FTE_Allocation!$E$2:$E$201,$AB1448)&amp;")",""),"")))</f>
        <v/>
      </c>
      <c r="H1448" s="7">
        <f>IF($Z1448="C","CONTRACT",IF($Z1448="A","ASSET",IF($Z1448="F","WORKFORCE","")))</f>
        <v/>
      </c>
      <c r="I1448" s="7">
        <f>IF($Z1448="C",INDEX(Contracts!$L$2:$L$151,$AB1448)&amp;"",IF($Z1448="A",INDEX(Fixed_Assets!$I$2:$I$201,$AB1448)&amp;"",IF($Z1448="F",INDEX(Workforce!$G$2:$G$151,MATCH(INDEX(FTE_Allocation!$A$2:$A$201,$AB1448),Workforce!$A$2:$A$151,0))&amp;"","")))</f>
        <v/>
      </c>
      <c r="J1448" s="18">
        <f>IF($Z1448="","",IF(AND(DATE($AD1448,1,1)&gt;=$AE1448,DATE($AD1448,1,1)&lt;=$AF1448),ROUND($AG1448,2),0))</f>
        <v/>
      </c>
      <c r="K1448" s="18">
        <f>IF($Z1448="","",IF(AND(DATE($AD1448,2,1)&gt;=$AE1448,DATE($AD1448,2,1)&lt;=$AF1448),ROUND($AG1448,2),0))</f>
        <v/>
      </c>
      <c r="L1448" s="18">
        <f>IF($Z1448="","",IF(AND(DATE($AD1448,3,1)&gt;=$AE1448,DATE($AD1448,3,1)&lt;=$AF1448),ROUND($AG1448,2),0))</f>
        <v/>
      </c>
      <c r="M1448" s="18">
        <f>IF($Z1448="","",IF(AND(DATE($AD1448,4,1)&gt;=$AE1448,DATE($AD1448,4,1)&lt;=$AF1448),ROUND($AG1448,2),0))</f>
        <v/>
      </c>
      <c r="N1448" s="18">
        <f>IF($Z1448="","",IF(AND(DATE($AD1448,5,1)&gt;=$AE1448,DATE($AD1448,5,1)&lt;=$AF1448),ROUND($AG1448,2),0))</f>
        <v/>
      </c>
      <c r="O1448" s="18">
        <f>IF($Z1448="","",IF(AND(DATE($AD1448,6,1)&gt;=$AE1448,DATE($AD1448,6,1)&lt;=$AF1448),ROUND($AG1448,2),0))</f>
        <v/>
      </c>
      <c r="P1448" s="18">
        <f>IF($Z1448="","",IF(AND(DATE($AD1448,7,1)&gt;=$AE1448,DATE($AD1448,7,1)&lt;=$AF1448),ROUND($AG1448,2),0))</f>
        <v/>
      </c>
      <c r="Q1448" s="18">
        <f>IF($Z1448="","",IF(AND(DATE($AD1448,8,1)&gt;=$AE1448,DATE($AD1448,8,1)&lt;=$AF1448),ROUND($AG1448,2),0))</f>
        <v/>
      </c>
      <c r="R1448" s="18">
        <f>IF($Z1448="","",IF(AND(DATE($AD1448,9,1)&gt;=$AE1448,DATE($AD1448,9,1)&lt;=$AF1448),ROUND($AG1448,2),0))</f>
        <v/>
      </c>
      <c r="S1448" s="18">
        <f>IF($Z1448="","",IF(AND(DATE($AD1448,10,1)&gt;=$AE1448,DATE($AD1448,10,1)&lt;=$AF1448),ROUND($AG1448,2),0))</f>
        <v/>
      </c>
      <c r="T1448" s="18">
        <f>IF($Z1448="","",IF(AND(DATE($AD1448,11,1)&gt;=$AE1448,DATE($AD1448,11,1)&lt;=$AF1448),ROUND($AG1448,2),0))</f>
        <v/>
      </c>
      <c r="U1448" s="18">
        <f>IF($Z1448="","",IF(AND(DATE($AD1448,12,1)&gt;=$AE1448,DATE($AD1448,12,1)&lt;=$AF1448),ROUND($AG1448,2),0))</f>
        <v/>
      </c>
      <c r="V1448" s="7">
        <f>IF($Z1448="C","Generated from "&amp;INDEX(Contracts!$A$2:$A$151,$AB1448),IF($Z1448="A","Generated from "&amp;INDEX(Fixed_Assets!$A$2:$A$201,$AB1448),IF($Z1448="F","Generated from "&amp;INDEX(FTE_Allocation!$A$2:$A$201,$AB1448),"")))</f>
        <v/>
      </c>
      <c r="X1448" s="19">
        <f>IF($Z1448="","",SUM(J1448:U1448))</f>
        <v/>
      </c>
      <c r="Y1448" s="20">
        <f>ROW()-1</f>
        <v/>
      </c>
      <c r="Z1448" s="20">
        <f>IF($Y1448&lt;=Settings!$B$4*3,"C",IF($Y1448&lt;=(Settings!$B$4+Settings!$B$5)*3,"A",IF($Y1448&lt;=(Settings!$B$4+Settings!$B$5+Settings!$B$6)*3,"F","")))</f>
        <v/>
      </c>
      <c r="AA1448" s="20">
        <f>IF($Z1448="C",$Y1448,IF($Z1448="A",$Y1448-Settings!$B$4*3,IF($Z1448="F",$Y1448-(Settings!$B$4+Settings!$B$5)*3,"")))</f>
        <v/>
      </c>
      <c r="AB1448" s="20">
        <f>IF($Z1448="","",INT(($AA1448-1)/3)+1)</f>
        <v/>
      </c>
      <c r="AC1448" s="20">
        <f>IF($Z1448="","",MOD($AA1448-1,3)+1)</f>
        <v/>
      </c>
      <c r="AD1448" s="20">
        <f>IF($Z1448="","",Settings!$B$2+$AC1448-1)</f>
        <v/>
      </c>
      <c r="AE1448" s="21">
        <f>IF($Z1448="C",DATE(YEAR(INDEX(Contracts!$J$2:$J$151,$AB1448)),MONTH(INDEX(Contracts!$J$2:$J$151,$AB1448)),1),IF($Z1448="A",DATE(YEAR(INDEX(Fixed_Assets!$G$2:$G$201,$AB1448)),MONTH(INDEX(Fixed_Assets!$G$2:$G$201,$AB1448)),1),IF($Z1448="F",DATE(YEAR(MAX(N(INDEX(Workforce!$I$2:$I$151,MATCH(INDEX(FTE_Allocation!$A$2:$A$201,$AB1448),Workforce!$A$2:$A$151,0))),N(INDEX(FTE_Allocation!$I$2:$I$201,$AB1448)))),MONTH(MAX(N(INDEX(Workforce!$I$2:$I$151,MATCH(INDEX(FTE_Allocation!$A$2:$A$201,$AB1448),Workforce!$A$2:$A$151,0))),N(INDEX(FTE_Allocation!$I$2:$I$201,$AB1448)))),1),"")))</f>
        <v/>
      </c>
      <c r="AF1448" s="21">
        <f>IF($Z1448="C",IF(INDEX(Contracts!$I$2:$I$151,$AB1448)="PREPAID",EDATE(DATE(YEAR(INDEX(Contracts!$J$2:$J$151,$AB1448)),MONTH(INDEX(Contracts!$J$2:$J$151,$AB1448)),1),IF(INDEX(Contracts!$N$2:$N$151,$AB1448)="",12,INDEX(Contracts!$N$2:$N$151,$AB1448))-1),IF(INDEX(Contracts!$I$2:$I$151,$AB1448)="MONTHLY",IF(INDEX(Contracts!$K$2:$K$151,$AB1448)="",2958101,INDEX(Contracts!$K$2:$K$151,$AB1448)),0)),IF($Z1448="A",EDATE(DATE(YEAR(INDEX(Fixed_Assets!$G$2:$G$201,$AB1448)),MONTH(INDEX(Fixed_Assets!$G$2:$G$201,$AB1448)),1),INDEX(Fixed_Assets!$J$2:$J$201,$AB1448)-1),IF($Z1448="F",MIN(IF(INDEX(Workforce!$J$2:$J$151,MATCH(INDEX(FTE_Allocation!$A$2:$A$201,$AB1448),Workforce!$A$2:$A$151,0))="",2958101,INDEX(Workforce!$J$2:$J$151,MATCH(INDEX(FTE_Allocation!$A$2:$A$201,$AB1448),Workforce!$A$2:$A$151,0))),IF(INDEX(FTE_Allocation!$J$2:$J$201,$AB1448)="",2958101,INDEX(FTE_Allocation!$J$2:$J$201,$AB1448))),"")))</f>
        <v/>
      </c>
      <c r="AG1448" s="19">
        <f>IF($Z1448="C",IF(INDEX(Contracts!$I$2:$I$151,$AB1448)="PREPAID",INDEX(Contracts!$M$2:$M$151,$AB1448)/IF(INDEX(Contracts!$N$2:$N$151,$AB1448)="",12,INDEX(Contracts!$N$2:$N$151,$AB1448)),IF(INDEX(Contracts!$I$2:$I$151,$AB1448)="MONTHLY",INDEX(Contracts!$M$2:$M$151,$AB1448),0))*(1-N(INDEX(Contracts!$O$2:$O$151,$AB1448))),IF($Z1448="A",INDEX(Fixed_Assets!$H$2:$H$201,$AB1448)/INDEX(Fixed_Assets!$J$2:$J$201,$AB1448),IF($Z1448="F",INDEX(Workforce!$F$2:$F$151,MATCH(INDEX(FTE_Allocation!$A$2:$A$201,$AB1448),Workforce!$A$2:$A$151,0))*N(INDEX(FTE_Allocation!$F$2:$H$201,$AB1448,$AC1448)),"")))</f>
        <v/>
      </c>
    </row>
    <row r="1449">
      <c r="A1449" s="7">
        <f>IF($Z1449="","",$AD1449)</f>
        <v/>
      </c>
      <c r="B1449" s="7">
        <f>IF($Z1449="C",INDEX(Contracts!$D$2:$D$151,$AB1449)&amp;"",IF($Z1449="A",INDEX(Fixed_Assets!$C$2:$C$201,$AB1449)&amp;"",IF($Z1449="F",INDEX(Workforce!$B$2:$B$151,MATCH(INDEX(FTE_Allocation!$A$2:$A$201,$AB1449),Workforce!$A$2:$A$151,0))&amp;"","")))</f>
        <v/>
      </c>
      <c r="C1449" s="7">
        <f>IF($Z1449="C",INDEX(Contracts!$E$2:$E$151,$AB1449)&amp;"",IF($Z1449="A",INDEX(Fixed_Assets!$D$2:$D$201,$AB1449)&amp;"",IF($Z1449="F",INDEX(FTE_Allocation!$C$2:$C$201,$AB1449)&amp;"","")))</f>
        <v/>
      </c>
      <c r="D1449" s="7">
        <f>IF($Z1449="C",INDEX(Contracts!$B$2:$B$151,$AB1449)&amp;"",IF($Z1449="A",INDEX(Fixed_Assets!$B$2:$B$201,$AB1449)&amp;"",IF($Z1449="F",INDEX(FTE_Allocation!$B$2:$B$201,$AB1449)&amp;"","")))</f>
        <v/>
      </c>
      <c r="E1449" s="7">
        <f>IF($Z1449="C",INDEX(Contracts!$P$2:$P$151,$AB1449)&amp;"",IF($Z1449="A",INDEX(Fixed_Assets!$K$2:$K$201,$AB1449)&amp;"",IF($Z1449="F",IF(INDEX(FTE_Allocation!$D$2:$D$201,$AB1449)="PROJECT",IFERROR(INDEX(Projects!$D:$D,MATCH(INDEX(FTE_Allocation!$E$2:$E$201,$AB1449),Projects!$A:$A,0))&amp;"","#PROJECT?"),INDEX(FTE_Allocation!$E$2:$E$201,$AB1449)&amp;""),"")))</f>
        <v/>
      </c>
      <c r="F1449" s="7">
        <f>IF($Z1449="C",INDEX(Contracts!$Q$2:$Q$151,$AB1449)&amp;"",IF($Z1449="A",INDEX(Fixed_Assets!$L$2:$L$201,$AB1449)&amp;"",IF($Z1449="F",INDEX(Workforce!$K$2:$K$151,MATCH(INDEX(FTE_Allocation!$A$2:$A$201,$AB1449),Workforce!$A$2:$A$151,0))&amp;"","")))</f>
        <v/>
      </c>
      <c r="G1449" s="7">
        <f>IF($Z1449="C",INDEX(Contracts!$F$2:$F$151,$AB1449)&amp;" / "&amp;INDEX(Contracts!$G$2:$G$151,$AB1449),IF($Z1449="A",INDEX(Fixed_Assets!$E$2:$E$201,$AB1449)&amp;"",IF($Z1449="F","Personnel "&amp;INDEX(FTE_Allocation!$A$2:$A$201,$AB1449)&amp;IF(INDEX(FTE_Allocation!$D$2:$D$201,$AB1449)="PROJECT"," ("&amp;INDEX(FTE_Allocation!$E$2:$E$201,$AB1449)&amp;")",""),"")))</f>
        <v/>
      </c>
      <c r="H1449" s="7">
        <f>IF($Z1449="C","CONTRACT",IF($Z1449="A","ASSET",IF($Z1449="F","WORKFORCE","")))</f>
        <v/>
      </c>
      <c r="I1449" s="7">
        <f>IF($Z1449="C",INDEX(Contracts!$L$2:$L$151,$AB1449)&amp;"",IF($Z1449="A",INDEX(Fixed_Assets!$I$2:$I$201,$AB1449)&amp;"",IF($Z1449="F",INDEX(Workforce!$G$2:$G$151,MATCH(INDEX(FTE_Allocation!$A$2:$A$201,$AB1449),Workforce!$A$2:$A$151,0))&amp;"","")))</f>
        <v/>
      </c>
      <c r="J1449" s="18">
        <f>IF($Z1449="","",IF(AND(DATE($AD1449,1,1)&gt;=$AE1449,DATE($AD1449,1,1)&lt;=$AF1449),ROUND($AG1449,2),0))</f>
        <v/>
      </c>
      <c r="K1449" s="18">
        <f>IF($Z1449="","",IF(AND(DATE($AD1449,2,1)&gt;=$AE1449,DATE($AD1449,2,1)&lt;=$AF1449),ROUND($AG1449,2),0))</f>
        <v/>
      </c>
      <c r="L1449" s="18">
        <f>IF($Z1449="","",IF(AND(DATE($AD1449,3,1)&gt;=$AE1449,DATE($AD1449,3,1)&lt;=$AF1449),ROUND($AG1449,2),0))</f>
        <v/>
      </c>
      <c r="M1449" s="18">
        <f>IF($Z1449="","",IF(AND(DATE($AD1449,4,1)&gt;=$AE1449,DATE($AD1449,4,1)&lt;=$AF1449),ROUND($AG1449,2),0))</f>
        <v/>
      </c>
      <c r="N1449" s="18">
        <f>IF($Z1449="","",IF(AND(DATE($AD1449,5,1)&gt;=$AE1449,DATE($AD1449,5,1)&lt;=$AF1449),ROUND($AG1449,2),0))</f>
        <v/>
      </c>
      <c r="O1449" s="18">
        <f>IF($Z1449="","",IF(AND(DATE($AD1449,6,1)&gt;=$AE1449,DATE($AD1449,6,1)&lt;=$AF1449),ROUND($AG1449,2),0))</f>
        <v/>
      </c>
      <c r="P1449" s="18">
        <f>IF($Z1449="","",IF(AND(DATE($AD1449,7,1)&gt;=$AE1449,DATE($AD1449,7,1)&lt;=$AF1449),ROUND($AG1449,2),0))</f>
        <v/>
      </c>
      <c r="Q1449" s="18">
        <f>IF($Z1449="","",IF(AND(DATE($AD1449,8,1)&gt;=$AE1449,DATE($AD1449,8,1)&lt;=$AF1449),ROUND($AG1449,2),0))</f>
        <v/>
      </c>
      <c r="R1449" s="18">
        <f>IF($Z1449="","",IF(AND(DATE($AD1449,9,1)&gt;=$AE1449,DATE($AD1449,9,1)&lt;=$AF1449),ROUND($AG1449,2),0))</f>
        <v/>
      </c>
      <c r="S1449" s="18">
        <f>IF($Z1449="","",IF(AND(DATE($AD1449,10,1)&gt;=$AE1449,DATE($AD1449,10,1)&lt;=$AF1449),ROUND($AG1449,2),0))</f>
        <v/>
      </c>
      <c r="T1449" s="18">
        <f>IF($Z1449="","",IF(AND(DATE($AD1449,11,1)&gt;=$AE1449,DATE($AD1449,11,1)&lt;=$AF1449),ROUND($AG1449,2),0))</f>
        <v/>
      </c>
      <c r="U1449" s="18">
        <f>IF($Z1449="","",IF(AND(DATE($AD1449,12,1)&gt;=$AE1449,DATE($AD1449,12,1)&lt;=$AF1449),ROUND($AG1449,2),0))</f>
        <v/>
      </c>
      <c r="V1449" s="7">
        <f>IF($Z1449="C","Generated from "&amp;INDEX(Contracts!$A$2:$A$151,$AB1449),IF($Z1449="A","Generated from "&amp;INDEX(Fixed_Assets!$A$2:$A$201,$AB1449),IF($Z1449="F","Generated from "&amp;INDEX(FTE_Allocation!$A$2:$A$201,$AB1449),"")))</f>
        <v/>
      </c>
      <c r="X1449" s="19">
        <f>IF($Z1449="","",SUM(J1449:U1449))</f>
        <v/>
      </c>
      <c r="Y1449" s="20">
        <f>ROW()-1</f>
        <v/>
      </c>
      <c r="Z1449" s="20">
        <f>IF($Y1449&lt;=Settings!$B$4*3,"C",IF($Y1449&lt;=(Settings!$B$4+Settings!$B$5)*3,"A",IF($Y1449&lt;=(Settings!$B$4+Settings!$B$5+Settings!$B$6)*3,"F","")))</f>
        <v/>
      </c>
      <c r="AA1449" s="20">
        <f>IF($Z1449="C",$Y1449,IF($Z1449="A",$Y1449-Settings!$B$4*3,IF($Z1449="F",$Y1449-(Settings!$B$4+Settings!$B$5)*3,"")))</f>
        <v/>
      </c>
      <c r="AB1449" s="20">
        <f>IF($Z1449="","",INT(($AA1449-1)/3)+1)</f>
        <v/>
      </c>
      <c r="AC1449" s="20">
        <f>IF($Z1449="","",MOD($AA1449-1,3)+1)</f>
        <v/>
      </c>
      <c r="AD1449" s="20">
        <f>IF($Z1449="","",Settings!$B$2+$AC1449-1)</f>
        <v/>
      </c>
      <c r="AE1449" s="21">
        <f>IF($Z1449="C",DATE(YEAR(INDEX(Contracts!$J$2:$J$151,$AB1449)),MONTH(INDEX(Contracts!$J$2:$J$151,$AB1449)),1),IF($Z1449="A",DATE(YEAR(INDEX(Fixed_Assets!$G$2:$G$201,$AB1449)),MONTH(INDEX(Fixed_Assets!$G$2:$G$201,$AB1449)),1),IF($Z1449="F",DATE(YEAR(MAX(N(INDEX(Workforce!$I$2:$I$151,MATCH(INDEX(FTE_Allocation!$A$2:$A$201,$AB1449),Workforce!$A$2:$A$151,0))),N(INDEX(FTE_Allocation!$I$2:$I$201,$AB1449)))),MONTH(MAX(N(INDEX(Workforce!$I$2:$I$151,MATCH(INDEX(FTE_Allocation!$A$2:$A$201,$AB1449),Workforce!$A$2:$A$151,0))),N(INDEX(FTE_Allocation!$I$2:$I$201,$AB1449)))),1),"")))</f>
        <v/>
      </c>
      <c r="AF1449" s="21">
        <f>IF($Z1449="C",IF(INDEX(Contracts!$I$2:$I$151,$AB1449)="PREPAID",EDATE(DATE(YEAR(INDEX(Contracts!$J$2:$J$151,$AB1449)),MONTH(INDEX(Contracts!$J$2:$J$151,$AB1449)),1),IF(INDEX(Contracts!$N$2:$N$151,$AB1449)="",12,INDEX(Contracts!$N$2:$N$151,$AB1449))-1),IF(INDEX(Contracts!$I$2:$I$151,$AB1449)="MONTHLY",IF(INDEX(Contracts!$K$2:$K$151,$AB1449)="",2958101,INDEX(Contracts!$K$2:$K$151,$AB1449)),0)),IF($Z1449="A",EDATE(DATE(YEAR(INDEX(Fixed_Assets!$G$2:$G$201,$AB1449)),MONTH(INDEX(Fixed_Assets!$G$2:$G$201,$AB1449)),1),INDEX(Fixed_Assets!$J$2:$J$201,$AB1449)-1),IF($Z1449="F",MIN(IF(INDEX(Workforce!$J$2:$J$151,MATCH(INDEX(FTE_Allocation!$A$2:$A$201,$AB1449),Workforce!$A$2:$A$151,0))="",2958101,INDEX(Workforce!$J$2:$J$151,MATCH(INDEX(FTE_Allocation!$A$2:$A$201,$AB1449),Workforce!$A$2:$A$151,0))),IF(INDEX(FTE_Allocation!$J$2:$J$201,$AB1449)="",2958101,INDEX(FTE_Allocation!$J$2:$J$201,$AB1449))),"")))</f>
        <v/>
      </c>
      <c r="AG1449" s="19">
        <f>IF($Z1449="C",IF(INDEX(Contracts!$I$2:$I$151,$AB1449)="PREPAID",INDEX(Contracts!$M$2:$M$151,$AB1449)/IF(INDEX(Contracts!$N$2:$N$151,$AB1449)="",12,INDEX(Contracts!$N$2:$N$151,$AB1449)),IF(INDEX(Contracts!$I$2:$I$151,$AB1449)="MONTHLY",INDEX(Contracts!$M$2:$M$151,$AB1449),0))*(1-N(INDEX(Contracts!$O$2:$O$151,$AB1449))),IF($Z1449="A",INDEX(Fixed_Assets!$H$2:$H$201,$AB1449)/INDEX(Fixed_Assets!$J$2:$J$201,$AB1449),IF($Z1449="F",INDEX(Workforce!$F$2:$F$151,MATCH(INDEX(FTE_Allocation!$A$2:$A$201,$AB1449),Workforce!$A$2:$A$151,0))*N(INDEX(FTE_Allocation!$F$2:$H$201,$AB1449,$AC1449)),"")))</f>
        <v/>
      </c>
    </row>
    <row r="1450">
      <c r="A1450" s="7">
        <f>IF($Z1450="","",$AD1450)</f>
        <v/>
      </c>
      <c r="B1450" s="7">
        <f>IF($Z1450="C",INDEX(Contracts!$D$2:$D$151,$AB1450)&amp;"",IF($Z1450="A",INDEX(Fixed_Assets!$C$2:$C$201,$AB1450)&amp;"",IF($Z1450="F",INDEX(Workforce!$B$2:$B$151,MATCH(INDEX(FTE_Allocation!$A$2:$A$201,$AB1450),Workforce!$A$2:$A$151,0))&amp;"","")))</f>
        <v/>
      </c>
      <c r="C1450" s="7">
        <f>IF($Z1450="C",INDEX(Contracts!$E$2:$E$151,$AB1450)&amp;"",IF($Z1450="A",INDEX(Fixed_Assets!$D$2:$D$201,$AB1450)&amp;"",IF($Z1450="F",INDEX(FTE_Allocation!$C$2:$C$201,$AB1450)&amp;"","")))</f>
        <v/>
      </c>
      <c r="D1450" s="7">
        <f>IF($Z1450="C",INDEX(Contracts!$B$2:$B$151,$AB1450)&amp;"",IF($Z1450="A",INDEX(Fixed_Assets!$B$2:$B$201,$AB1450)&amp;"",IF($Z1450="F",INDEX(FTE_Allocation!$B$2:$B$201,$AB1450)&amp;"","")))</f>
        <v/>
      </c>
      <c r="E1450" s="7">
        <f>IF($Z1450="C",INDEX(Contracts!$P$2:$P$151,$AB1450)&amp;"",IF($Z1450="A",INDEX(Fixed_Assets!$K$2:$K$201,$AB1450)&amp;"",IF($Z1450="F",IF(INDEX(FTE_Allocation!$D$2:$D$201,$AB1450)="PROJECT",IFERROR(INDEX(Projects!$D:$D,MATCH(INDEX(FTE_Allocation!$E$2:$E$201,$AB1450),Projects!$A:$A,0))&amp;"","#PROJECT?"),INDEX(FTE_Allocation!$E$2:$E$201,$AB1450)&amp;""),"")))</f>
        <v/>
      </c>
      <c r="F1450" s="7">
        <f>IF($Z1450="C",INDEX(Contracts!$Q$2:$Q$151,$AB1450)&amp;"",IF($Z1450="A",INDEX(Fixed_Assets!$L$2:$L$201,$AB1450)&amp;"",IF($Z1450="F",INDEX(Workforce!$K$2:$K$151,MATCH(INDEX(FTE_Allocation!$A$2:$A$201,$AB1450),Workforce!$A$2:$A$151,0))&amp;"","")))</f>
        <v/>
      </c>
      <c r="G1450" s="7">
        <f>IF($Z1450="C",INDEX(Contracts!$F$2:$F$151,$AB1450)&amp;" / "&amp;INDEX(Contracts!$G$2:$G$151,$AB1450),IF($Z1450="A",INDEX(Fixed_Assets!$E$2:$E$201,$AB1450)&amp;"",IF($Z1450="F","Personnel "&amp;INDEX(FTE_Allocation!$A$2:$A$201,$AB1450)&amp;IF(INDEX(FTE_Allocation!$D$2:$D$201,$AB1450)="PROJECT"," ("&amp;INDEX(FTE_Allocation!$E$2:$E$201,$AB1450)&amp;")",""),"")))</f>
        <v/>
      </c>
      <c r="H1450" s="7">
        <f>IF($Z1450="C","CONTRACT",IF($Z1450="A","ASSET",IF($Z1450="F","WORKFORCE","")))</f>
        <v/>
      </c>
      <c r="I1450" s="7">
        <f>IF($Z1450="C",INDEX(Contracts!$L$2:$L$151,$AB1450)&amp;"",IF($Z1450="A",INDEX(Fixed_Assets!$I$2:$I$201,$AB1450)&amp;"",IF($Z1450="F",INDEX(Workforce!$G$2:$G$151,MATCH(INDEX(FTE_Allocation!$A$2:$A$201,$AB1450),Workforce!$A$2:$A$151,0))&amp;"","")))</f>
        <v/>
      </c>
      <c r="J1450" s="18">
        <f>IF($Z1450="","",IF(AND(DATE($AD1450,1,1)&gt;=$AE1450,DATE($AD1450,1,1)&lt;=$AF1450),ROUND($AG1450,2),0))</f>
        <v/>
      </c>
      <c r="K1450" s="18">
        <f>IF($Z1450="","",IF(AND(DATE($AD1450,2,1)&gt;=$AE1450,DATE($AD1450,2,1)&lt;=$AF1450),ROUND($AG1450,2),0))</f>
        <v/>
      </c>
      <c r="L1450" s="18">
        <f>IF($Z1450="","",IF(AND(DATE($AD1450,3,1)&gt;=$AE1450,DATE($AD1450,3,1)&lt;=$AF1450),ROUND($AG1450,2),0))</f>
        <v/>
      </c>
      <c r="M1450" s="18">
        <f>IF($Z1450="","",IF(AND(DATE($AD1450,4,1)&gt;=$AE1450,DATE($AD1450,4,1)&lt;=$AF1450),ROUND($AG1450,2),0))</f>
        <v/>
      </c>
      <c r="N1450" s="18">
        <f>IF($Z1450="","",IF(AND(DATE($AD1450,5,1)&gt;=$AE1450,DATE($AD1450,5,1)&lt;=$AF1450),ROUND($AG1450,2),0))</f>
        <v/>
      </c>
      <c r="O1450" s="18">
        <f>IF($Z1450="","",IF(AND(DATE($AD1450,6,1)&gt;=$AE1450,DATE($AD1450,6,1)&lt;=$AF1450),ROUND($AG1450,2),0))</f>
        <v/>
      </c>
      <c r="P1450" s="18">
        <f>IF($Z1450="","",IF(AND(DATE($AD1450,7,1)&gt;=$AE1450,DATE($AD1450,7,1)&lt;=$AF1450),ROUND($AG1450,2),0))</f>
        <v/>
      </c>
      <c r="Q1450" s="18">
        <f>IF($Z1450="","",IF(AND(DATE($AD1450,8,1)&gt;=$AE1450,DATE($AD1450,8,1)&lt;=$AF1450),ROUND($AG1450,2),0))</f>
        <v/>
      </c>
      <c r="R1450" s="18">
        <f>IF($Z1450="","",IF(AND(DATE($AD1450,9,1)&gt;=$AE1450,DATE($AD1450,9,1)&lt;=$AF1450),ROUND($AG1450,2),0))</f>
        <v/>
      </c>
      <c r="S1450" s="18">
        <f>IF($Z1450="","",IF(AND(DATE($AD1450,10,1)&gt;=$AE1450,DATE($AD1450,10,1)&lt;=$AF1450),ROUND($AG1450,2),0))</f>
        <v/>
      </c>
      <c r="T1450" s="18">
        <f>IF($Z1450="","",IF(AND(DATE($AD1450,11,1)&gt;=$AE1450,DATE($AD1450,11,1)&lt;=$AF1450),ROUND($AG1450,2),0))</f>
        <v/>
      </c>
      <c r="U1450" s="18">
        <f>IF($Z1450="","",IF(AND(DATE($AD1450,12,1)&gt;=$AE1450,DATE($AD1450,12,1)&lt;=$AF1450),ROUND($AG1450,2),0))</f>
        <v/>
      </c>
      <c r="V1450" s="7">
        <f>IF($Z1450="C","Generated from "&amp;INDEX(Contracts!$A$2:$A$151,$AB1450),IF($Z1450="A","Generated from "&amp;INDEX(Fixed_Assets!$A$2:$A$201,$AB1450),IF($Z1450="F","Generated from "&amp;INDEX(FTE_Allocation!$A$2:$A$201,$AB1450),"")))</f>
        <v/>
      </c>
      <c r="X1450" s="19">
        <f>IF($Z1450="","",SUM(J1450:U1450))</f>
        <v/>
      </c>
      <c r="Y1450" s="20">
        <f>ROW()-1</f>
        <v/>
      </c>
      <c r="Z1450" s="20">
        <f>IF($Y1450&lt;=Settings!$B$4*3,"C",IF($Y1450&lt;=(Settings!$B$4+Settings!$B$5)*3,"A",IF($Y1450&lt;=(Settings!$B$4+Settings!$B$5+Settings!$B$6)*3,"F","")))</f>
        <v/>
      </c>
      <c r="AA1450" s="20">
        <f>IF($Z1450="C",$Y1450,IF($Z1450="A",$Y1450-Settings!$B$4*3,IF($Z1450="F",$Y1450-(Settings!$B$4+Settings!$B$5)*3,"")))</f>
        <v/>
      </c>
      <c r="AB1450" s="20">
        <f>IF($Z1450="","",INT(($AA1450-1)/3)+1)</f>
        <v/>
      </c>
      <c r="AC1450" s="20">
        <f>IF($Z1450="","",MOD($AA1450-1,3)+1)</f>
        <v/>
      </c>
      <c r="AD1450" s="20">
        <f>IF($Z1450="","",Settings!$B$2+$AC1450-1)</f>
        <v/>
      </c>
      <c r="AE1450" s="21">
        <f>IF($Z1450="C",DATE(YEAR(INDEX(Contracts!$J$2:$J$151,$AB1450)),MONTH(INDEX(Contracts!$J$2:$J$151,$AB1450)),1),IF($Z1450="A",DATE(YEAR(INDEX(Fixed_Assets!$G$2:$G$201,$AB1450)),MONTH(INDEX(Fixed_Assets!$G$2:$G$201,$AB1450)),1),IF($Z1450="F",DATE(YEAR(MAX(N(INDEX(Workforce!$I$2:$I$151,MATCH(INDEX(FTE_Allocation!$A$2:$A$201,$AB1450),Workforce!$A$2:$A$151,0))),N(INDEX(FTE_Allocation!$I$2:$I$201,$AB1450)))),MONTH(MAX(N(INDEX(Workforce!$I$2:$I$151,MATCH(INDEX(FTE_Allocation!$A$2:$A$201,$AB1450),Workforce!$A$2:$A$151,0))),N(INDEX(FTE_Allocation!$I$2:$I$201,$AB1450)))),1),"")))</f>
        <v/>
      </c>
      <c r="AF1450" s="21">
        <f>IF($Z1450="C",IF(INDEX(Contracts!$I$2:$I$151,$AB1450)="PREPAID",EDATE(DATE(YEAR(INDEX(Contracts!$J$2:$J$151,$AB1450)),MONTH(INDEX(Contracts!$J$2:$J$151,$AB1450)),1),IF(INDEX(Contracts!$N$2:$N$151,$AB1450)="",12,INDEX(Contracts!$N$2:$N$151,$AB1450))-1),IF(INDEX(Contracts!$I$2:$I$151,$AB1450)="MONTHLY",IF(INDEX(Contracts!$K$2:$K$151,$AB1450)="",2958101,INDEX(Contracts!$K$2:$K$151,$AB1450)),0)),IF($Z1450="A",EDATE(DATE(YEAR(INDEX(Fixed_Assets!$G$2:$G$201,$AB1450)),MONTH(INDEX(Fixed_Assets!$G$2:$G$201,$AB1450)),1),INDEX(Fixed_Assets!$J$2:$J$201,$AB1450)-1),IF($Z1450="F",MIN(IF(INDEX(Workforce!$J$2:$J$151,MATCH(INDEX(FTE_Allocation!$A$2:$A$201,$AB1450),Workforce!$A$2:$A$151,0))="",2958101,INDEX(Workforce!$J$2:$J$151,MATCH(INDEX(FTE_Allocation!$A$2:$A$201,$AB1450),Workforce!$A$2:$A$151,0))),IF(INDEX(FTE_Allocation!$J$2:$J$201,$AB1450)="",2958101,INDEX(FTE_Allocation!$J$2:$J$201,$AB1450))),"")))</f>
        <v/>
      </c>
      <c r="AG1450" s="19">
        <f>IF($Z1450="C",IF(INDEX(Contracts!$I$2:$I$151,$AB1450)="PREPAID",INDEX(Contracts!$M$2:$M$151,$AB1450)/IF(INDEX(Contracts!$N$2:$N$151,$AB1450)="",12,INDEX(Contracts!$N$2:$N$151,$AB1450)),IF(INDEX(Contracts!$I$2:$I$151,$AB1450)="MONTHLY",INDEX(Contracts!$M$2:$M$151,$AB1450),0))*(1-N(INDEX(Contracts!$O$2:$O$151,$AB1450))),IF($Z1450="A",INDEX(Fixed_Assets!$H$2:$H$201,$AB1450)/INDEX(Fixed_Assets!$J$2:$J$201,$AB1450),IF($Z1450="F",INDEX(Workforce!$F$2:$F$151,MATCH(INDEX(FTE_Allocation!$A$2:$A$201,$AB1450),Workforce!$A$2:$A$151,0))*N(INDEX(FTE_Allocation!$F$2:$H$201,$AB1450,$AC1450)),"")))</f>
        <v/>
      </c>
    </row>
    <row r="1451">
      <c r="A1451" s="7">
        <f>IF($Z1451="","",$AD1451)</f>
        <v/>
      </c>
      <c r="B1451" s="7">
        <f>IF($Z1451="C",INDEX(Contracts!$D$2:$D$151,$AB1451)&amp;"",IF($Z1451="A",INDEX(Fixed_Assets!$C$2:$C$201,$AB1451)&amp;"",IF($Z1451="F",INDEX(Workforce!$B$2:$B$151,MATCH(INDEX(FTE_Allocation!$A$2:$A$201,$AB1451),Workforce!$A$2:$A$151,0))&amp;"","")))</f>
        <v/>
      </c>
      <c r="C1451" s="7">
        <f>IF($Z1451="C",INDEX(Contracts!$E$2:$E$151,$AB1451)&amp;"",IF($Z1451="A",INDEX(Fixed_Assets!$D$2:$D$201,$AB1451)&amp;"",IF($Z1451="F",INDEX(FTE_Allocation!$C$2:$C$201,$AB1451)&amp;"","")))</f>
        <v/>
      </c>
      <c r="D1451" s="7">
        <f>IF($Z1451="C",INDEX(Contracts!$B$2:$B$151,$AB1451)&amp;"",IF($Z1451="A",INDEX(Fixed_Assets!$B$2:$B$201,$AB1451)&amp;"",IF($Z1451="F",INDEX(FTE_Allocation!$B$2:$B$201,$AB1451)&amp;"","")))</f>
        <v/>
      </c>
      <c r="E1451" s="7">
        <f>IF($Z1451="C",INDEX(Contracts!$P$2:$P$151,$AB1451)&amp;"",IF($Z1451="A",INDEX(Fixed_Assets!$K$2:$K$201,$AB1451)&amp;"",IF($Z1451="F",IF(INDEX(FTE_Allocation!$D$2:$D$201,$AB1451)="PROJECT",IFERROR(INDEX(Projects!$D:$D,MATCH(INDEX(FTE_Allocation!$E$2:$E$201,$AB1451),Projects!$A:$A,0))&amp;"","#PROJECT?"),INDEX(FTE_Allocation!$E$2:$E$201,$AB1451)&amp;""),"")))</f>
        <v/>
      </c>
      <c r="F1451" s="7">
        <f>IF($Z1451="C",INDEX(Contracts!$Q$2:$Q$151,$AB1451)&amp;"",IF($Z1451="A",INDEX(Fixed_Assets!$L$2:$L$201,$AB1451)&amp;"",IF($Z1451="F",INDEX(Workforce!$K$2:$K$151,MATCH(INDEX(FTE_Allocation!$A$2:$A$201,$AB1451),Workforce!$A$2:$A$151,0))&amp;"","")))</f>
        <v/>
      </c>
      <c r="G1451" s="7">
        <f>IF($Z1451="C",INDEX(Contracts!$F$2:$F$151,$AB1451)&amp;" / "&amp;INDEX(Contracts!$G$2:$G$151,$AB1451),IF($Z1451="A",INDEX(Fixed_Assets!$E$2:$E$201,$AB1451)&amp;"",IF($Z1451="F","Personnel "&amp;INDEX(FTE_Allocation!$A$2:$A$201,$AB1451)&amp;IF(INDEX(FTE_Allocation!$D$2:$D$201,$AB1451)="PROJECT"," ("&amp;INDEX(FTE_Allocation!$E$2:$E$201,$AB1451)&amp;")",""),"")))</f>
        <v/>
      </c>
      <c r="H1451" s="7">
        <f>IF($Z1451="C","CONTRACT",IF($Z1451="A","ASSET",IF($Z1451="F","WORKFORCE","")))</f>
        <v/>
      </c>
      <c r="I1451" s="7">
        <f>IF($Z1451="C",INDEX(Contracts!$L$2:$L$151,$AB1451)&amp;"",IF($Z1451="A",INDEX(Fixed_Assets!$I$2:$I$201,$AB1451)&amp;"",IF($Z1451="F",INDEX(Workforce!$G$2:$G$151,MATCH(INDEX(FTE_Allocation!$A$2:$A$201,$AB1451),Workforce!$A$2:$A$151,0))&amp;"","")))</f>
        <v/>
      </c>
      <c r="J1451" s="18">
        <f>IF($Z1451="","",IF(AND(DATE($AD1451,1,1)&gt;=$AE1451,DATE($AD1451,1,1)&lt;=$AF1451),ROUND($AG1451,2),0))</f>
        <v/>
      </c>
      <c r="K1451" s="18">
        <f>IF($Z1451="","",IF(AND(DATE($AD1451,2,1)&gt;=$AE1451,DATE($AD1451,2,1)&lt;=$AF1451),ROUND($AG1451,2),0))</f>
        <v/>
      </c>
      <c r="L1451" s="18">
        <f>IF($Z1451="","",IF(AND(DATE($AD1451,3,1)&gt;=$AE1451,DATE($AD1451,3,1)&lt;=$AF1451),ROUND($AG1451,2),0))</f>
        <v/>
      </c>
      <c r="M1451" s="18">
        <f>IF($Z1451="","",IF(AND(DATE($AD1451,4,1)&gt;=$AE1451,DATE($AD1451,4,1)&lt;=$AF1451),ROUND($AG1451,2),0))</f>
        <v/>
      </c>
      <c r="N1451" s="18">
        <f>IF($Z1451="","",IF(AND(DATE($AD1451,5,1)&gt;=$AE1451,DATE($AD1451,5,1)&lt;=$AF1451),ROUND($AG1451,2),0))</f>
        <v/>
      </c>
      <c r="O1451" s="18">
        <f>IF($Z1451="","",IF(AND(DATE($AD1451,6,1)&gt;=$AE1451,DATE($AD1451,6,1)&lt;=$AF1451),ROUND($AG1451,2),0))</f>
        <v/>
      </c>
      <c r="P1451" s="18">
        <f>IF($Z1451="","",IF(AND(DATE($AD1451,7,1)&gt;=$AE1451,DATE($AD1451,7,1)&lt;=$AF1451),ROUND($AG1451,2),0))</f>
        <v/>
      </c>
      <c r="Q1451" s="18">
        <f>IF($Z1451="","",IF(AND(DATE($AD1451,8,1)&gt;=$AE1451,DATE($AD1451,8,1)&lt;=$AF1451),ROUND($AG1451,2),0))</f>
        <v/>
      </c>
      <c r="R1451" s="18">
        <f>IF($Z1451="","",IF(AND(DATE($AD1451,9,1)&gt;=$AE1451,DATE($AD1451,9,1)&lt;=$AF1451),ROUND($AG1451,2),0))</f>
        <v/>
      </c>
      <c r="S1451" s="18">
        <f>IF($Z1451="","",IF(AND(DATE($AD1451,10,1)&gt;=$AE1451,DATE($AD1451,10,1)&lt;=$AF1451),ROUND($AG1451,2),0))</f>
        <v/>
      </c>
      <c r="T1451" s="18">
        <f>IF($Z1451="","",IF(AND(DATE($AD1451,11,1)&gt;=$AE1451,DATE($AD1451,11,1)&lt;=$AF1451),ROUND($AG1451,2),0))</f>
        <v/>
      </c>
      <c r="U1451" s="18">
        <f>IF($Z1451="","",IF(AND(DATE($AD1451,12,1)&gt;=$AE1451,DATE($AD1451,12,1)&lt;=$AF1451),ROUND($AG1451,2),0))</f>
        <v/>
      </c>
      <c r="V1451" s="7">
        <f>IF($Z1451="C","Generated from "&amp;INDEX(Contracts!$A$2:$A$151,$AB1451),IF($Z1451="A","Generated from "&amp;INDEX(Fixed_Assets!$A$2:$A$201,$AB1451),IF($Z1451="F","Generated from "&amp;INDEX(FTE_Allocation!$A$2:$A$201,$AB1451),"")))</f>
        <v/>
      </c>
      <c r="X1451" s="19">
        <f>IF($Z1451="","",SUM(J1451:U1451))</f>
        <v/>
      </c>
      <c r="Y1451" s="20">
        <f>ROW()-1</f>
        <v/>
      </c>
      <c r="Z1451" s="20">
        <f>IF($Y1451&lt;=Settings!$B$4*3,"C",IF($Y1451&lt;=(Settings!$B$4+Settings!$B$5)*3,"A",IF($Y1451&lt;=(Settings!$B$4+Settings!$B$5+Settings!$B$6)*3,"F","")))</f>
        <v/>
      </c>
      <c r="AA1451" s="20">
        <f>IF($Z1451="C",$Y1451,IF($Z1451="A",$Y1451-Settings!$B$4*3,IF($Z1451="F",$Y1451-(Settings!$B$4+Settings!$B$5)*3,"")))</f>
        <v/>
      </c>
      <c r="AB1451" s="20">
        <f>IF($Z1451="","",INT(($AA1451-1)/3)+1)</f>
        <v/>
      </c>
      <c r="AC1451" s="20">
        <f>IF($Z1451="","",MOD($AA1451-1,3)+1)</f>
        <v/>
      </c>
      <c r="AD1451" s="20">
        <f>IF($Z1451="","",Settings!$B$2+$AC1451-1)</f>
        <v/>
      </c>
      <c r="AE1451" s="21">
        <f>IF($Z1451="C",DATE(YEAR(INDEX(Contracts!$J$2:$J$151,$AB1451)),MONTH(INDEX(Contracts!$J$2:$J$151,$AB1451)),1),IF($Z1451="A",DATE(YEAR(INDEX(Fixed_Assets!$G$2:$G$201,$AB1451)),MONTH(INDEX(Fixed_Assets!$G$2:$G$201,$AB1451)),1),IF($Z1451="F",DATE(YEAR(MAX(N(INDEX(Workforce!$I$2:$I$151,MATCH(INDEX(FTE_Allocation!$A$2:$A$201,$AB1451),Workforce!$A$2:$A$151,0))),N(INDEX(FTE_Allocation!$I$2:$I$201,$AB1451)))),MONTH(MAX(N(INDEX(Workforce!$I$2:$I$151,MATCH(INDEX(FTE_Allocation!$A$2:$A$201,$AB1451),Workforce!$A$2:$A$151,0))),N(INDEX(FTE_Allocation!$I$2:$I$201,$AB1451)))),1),"")))</f>
        <v/>
      </c>
      <c r="AF1451" s="21">
        <f>IF($Z1451="C",IF(INDEX(Contracts!$I$2:$I$151,$AB1451)="PREPAID",EDATE(DATE(YEAR(INDEX(Contracts!$J$2:$J$151,$AB1451)),MONTH(INDEX(Contracts!$J$2:$J$151,$AB1451)),1),IF(INDEX(Contracts!$N$2:$N$151,$AB1451)="",12,INDEX(Contracts!$N$2:$N$151,$AB1451))-1),IF(INDEX(Contracts!$I$2:$I$151,$AB1451)="MONTHLY",IF(INDEX(Contracts!$K$2:$K$151,$AB1451)="",2958101,INDEX(Contracts!$K$2:$K$151,$AB1451)),0)),IF($Z1451="A",EDATE(DATE(YEAR(INDEX(Fixed_Assets!$G$2:$G$201,$AB1451)),MONTH(INDEX(Fixed_Assets!$G$2:$G$201,$AB1451)),1),INDEX(Fixed_Assets!$J$2:$J$201,$AB1451)-1),IF($Z1451="F",MIN(IF(INDEX(Workforce!$J$2:$J$151,MATCH(INDEX(FTE_Allocation!$A$2:$A$201,$AB1451),Workforce!$A$2:$A$151,0))="",2958101,INDEX(Workforce!$J$2:$J$151,MATCH(INDEX(FTE_Allocation!$A$2:$A$201,$AB1451),Workforce!$A$2:$A$151,0))),IF(INDEX(FTE_Allocation!$J$2:$J$201,$AB1451)="",2958101,INDEX(FTE_Allocation!$J$2:$J$201,$AB1451))),"")))</f>
        <v/>
      </c>
      <c r="AG1451" s="19">
        <f>IF($Z1451="C",IF(INDEX(Contracts!$I$2:$I$151,$AB1451)="PREPAID",INDEX(Contracts!$M$2:$M$151,$AB1451)/IF(INDEX(Contracts!$N$2:$N$151,$AB1451)="",12,INDEX(Contracts!$N$2:$N$151,$AB1451)),IF(INDEX(Contracts!$I$2:$I$151,$AB1451)="MONTHLY",INDEX(Contracts!$M$2:$M$151,$AB1451),0))*(1-N(INDEX(Contracts!$O$2:$O$151,$AB1451))),IF($Z1451="A",INDEX(Fixed_Assets!$H$2:$H$201,$AB1451)/INDEX(Fixed_Assets!$J$2:$J$201,$AB1451),IF($Z1451="F",INDEX(Workforce!$F$2:$F$151,MATCH(INDEX(FTE_Allocation!$A$2:$A$201,$AB1451),Workforce!$A$2:$A$151,0))*N(INDEX(FTE_Allocation!$F$2:$H$201,$AB1451,$AC1451)),"")))</f>
        <v/>
      </c>
    </row>
    <row r="1452">
      <c r="A1452" s="7">
        <f>IF($Z1452="","",$AD1452)</f>
        <v/>
      </c>
      <c r="B1452" s="7">
        <f>IF($Z1452="C",INDEX(Contracts!$D$2:$D$151,$AB1452)&amp;"",IF($Z1452="A",INDEX(Fixed_Assets!$C$2:$C$201,$AB1452)&amp;"",IF($Z1452="F",INDEX(Workforce!$B$2:$B$151,MATCH(INDEX(FTE_Allocation!$A$2:$A$201,$AB1452),Workforce!$A$2:$A$151,0))&amp;"","")))</f>
        <v/>
      </c>
      <c r="C1452" s="7">
        <f>IF($Z1452="C",INDEX(Contracts!$E$2:$E$151,$AB1452)&amp;"",IF($Z1452="A",INDEX(Fixed_Assets!$D$2:$D$201,$AB1452)&amp;"",IF($Z1452="F",INDEX(FTE_Allocation!$C$2:$C$201,$AB1452)&amp;"","")))</f>
        <v/>
      </c>
      <c r="D1452" s="7">
        <f>IF($Z1452="C",INDEX(Contracts!$B$2:$B$151,$AB1452)&amp;"",IF($Z1452="A",INDEX(Fixed_Assets!$B$2:$B$201,$AB1452)&amp;"",IF($Z1452="F",INDEX(FTE_Allocation!$B$2:$B$201,$AB1452)&amp;"","")))</f>
        <v/>
      </c>
      <c r="E1452" s="7">
        <f>IF($Z1452="C",INDEX(Contracts!$P$2:$P$151,$AB1452)&amp;"",IF($Z1452="A",INDEX(Fixed_Assets!$K$2:$K$201,$AB1452)&amp;"",IF($Z1452="F",IF(INDEX(FTE_Allocation!$D$2:$D$201,$AB1452)="PROJECT",IFERROR(INDEX(Projects!$D:$D,MATCH(INDEX(FTE_Allocation!$E$2:$E$201,$AB1452),Projects!$A:$A,0))&amp;"","#PROJECT?"),INDEX(FTE_Allocation!$E$2:$E$201,$AB1452)&amp;""),"")))</f>
        <v/>
      </c>
      <c r="F1452" s="7">
        <f>IF($Z1452="C",INDEX(Contracts!$Q$2:$Q$151,$AB1452)&amp;"",IF($Z1452="A",INDEX(Fixed_Assets!$L$2:$L$201,$AB1452)&amp;"",IF($Z1452="F",INDEX(Workforce!$K$2:$K$151,MATCH(INDEX(FTE_Allocation!$A$2:$A$201,$AB1452),Workforce!$A$2:$A$151,0))&amp;"","")))</f>
        <v/>
      </c>
      <c r="G1452" s="7">
        <f>IF($Z1452="C",INDEX(Contracts!$F$2:$F$151,$AB1452)&amp;" / "&amp;INDEX(Contracts!$G$2:$G$151,$AB1452),IF($Z1452="A",INDEX(Fixed_Assets!$E$2:$E$201,$AB1452)&amp;"",IF($Z1452="F","Personnel "&amp;INDEX(FTE_Allocation!$A$2:$A$201,$AB1452)&amp;IF(INDEX(FTE_Allocation!$D$2:$D$201,$AB1452)="PROJECT"," ("&amp;INDEX(FTE_Allocation!$E$2:$E$201,$AB1452)&amp;")",""),"")))</f>
        <v/>
      </c>
      <c r="H1452" s="7">
        <f>IF($Z1452="C","CONTRACT",IF($Z1452="A","ASSET",IF($Z1452="F","WORKFORCE","")))</f>
        <v/>
      </c>
      <c r="I1452" s="7">
        <f>IF($Z1452="C",INDEX(Contracts!$L$2:$L$151,$AB1452)&amp;"",IF($Z1452="A",INDEX(Fixed_Assets!$I$2:$I$201,$AB1452)&amp;"",IF($Z1452="F",INDEX(Workforce!$G$2:$G$151,MATCH(INDEX(FTE_Allocation!$A$2:$A$201,$AB1452),Workforce!$A$2:$A$151,0))&amp;"","")))</f>
        <v/>
      </c>
      <c r="J1452" s="18">
        <f>IF($Z1452="","",IF(AND(DATE($AD1452,1,1)&gt;=$AE1452,DATE($AD1452,1,1)&lt;=$AF1452),ROUND($AG1452,2),0))</f>
        <v/>
      </c>
      <c r="K1452" s="18">
        <f>IF($Z1452="","",IF(AND(DATE($AD1452,2,1)&gt;=$AE1452,DATE($AD1452,2,1)&lt;=$AF1452),ROUND($AG1452,2),0))</f>
        <v/>
      </c>
      <c r="L1452" s="18">
        <f>IF($Z1452="","",IF(AND(DATE($AD1452,3,1)&gt;=$AE1452,DATE($AD1452,3,1)&lt;=$AF1452),ROUND($AG1452,2),0))</f>
        <v/>
      </c>
      <c r="M1452" s="18">
        <f>IF($Z1452="","",IF(AND(DATE($AD1452,4,1)&gt;=$AE1452,DATE($AD1452,4,1)&lt;=$AF1452),ROUND($AG1452,2),0))</f>
        <v/>
      </c>
      <c r="N1452" s="18">
        <f>IF($Z1452="","",IF(AND(DATE($AD1452,5,1)&gt;=$AE1452,DATE($AD1452,5,1)&lt;=$AF1452),ROUND($AG1452,2),0))</f>
        <v/>
      </c>
      <c r="O1452" s="18">
        <f>IF($Z1452="","",IF(AND(DATE($AD1452,6,1)&gt;=$AE1452,DATE($AD1452,6,1)&lt;=$AF1452),ROUND($AG1452,2),0))</f>
        <v/>
      </c>
      <c r="P1452" s="18">
        <f>IF($Z1452="","",IF(AND(DATE($AD1452,7,1)&gt;=$AE1452,DATE($AD1452,7,1)&lt;=$AF1452),ROUND($AG1452,2),0))</f>
        <v/>
      </c>
      <c r="Q1452" s="18">
        <f>IF($Z1452="","",IF(AND(DATE($AD1452,8,1)&gt;=$AE1452,DATE($AD1452,8,1)&lt;=$AF1452),ROUND($AG1452,2),0))</f>
        <v/>
      </c>
      <c r="R1452" s="18">
        <f>IF($Z1452="","",IF(AND(DATE($AD1452,9,1)&gt;=$AE1452,DATE($AD1452,9,1)&lt;=$AF1452),ROUND($AG1452,2),0))</f>
        <v/>
      </c>
      <c r="S1452" s="18">
        <f>IF($Z1452="","",IF(AND(DATE($AD1452,10,1)&gt;=$AE1452,DATE($AD1452,10,1)&lt;=$AF1452),ROUND($AG1452,2),0))</f>
        <v/>
      </c>
      <c r="T1452" s="18">
        <f>IF($Z1452="","",IF(AND(DATE($AD1452,11,1)&gt;=$AE1452,DATE($AD1452,11,1)&lt;=$AF1452),ROUND($AG1452,2),0))</f>
        <v/>
      </c>
      <c r="U1452" s="18">
        <f>IF($Z1452="","",IF(AND(DATE($AD1452,12,1)&gt;=$AE1452,DATE($AD1452,12,1)&lt;=$AF1452),ROUND($AG1452,2),0))</f>
        <v/>
      </c>
      <c r="V1452" s="7">
        <f>IF($Z1452="C","Generated from "&amp;INDEX(Contracts!$A$2:$A$151,$AB1452),IF($Z1452="A","Generated from "&amp;INDEX(Fixed_Assets!$A$2:$A$201,$AB1452),IF($Z1452="F","Generated from "&amp;INDEX(FTE_Allocation!$A$2:$A$201,$AB1452),"")))</f>
        <v/>
      </c>
      <c r="X1452" s="19">
        <f>IF($Z1452="","",SUM(J1452:U1452))</f>
        <v/>
      </c>
      <c r="Y1452" s="20">
        <f>ROW()-1</f>
        <v/>
      </c>
      <c r="Z1452" s="20">
        <f>IF($Y1452&lt;=Settings!$B$4*3,"C",IF($Y1452&lt;=(Settings!$B$4+Settings!$B$5)*3,"A",IF($Y1452&lt;=(Settings!$B$4+Settings!$B$5+Settings!$B$6)*3,"F","")))</f>
        <v/>
      </c>
      <c r="AA1452" s="20">
        <f>IF($Z1452="C",$Y1452,IF($Z1452="A",$Y1452-Settings!$B$4*3,IF($Z1452="F",$Y1452-(Settings!$B$4+Settings!$B$5)*3,"")))</f>
        <v/>
      </c>
      <c r="AB1452" s="20">
        <f>IF($Z1452="","",INT(($AA1452-1)/3)+1)</f>
        <v/>
      </c>
      <c r="AC1452" s="20">
        <f>IF($Z1452="","",MOD($AA1452-1,3)+1)</f>
        <v/>
      </c>
      <c r="AD1452" s="20">
        <f>IF($Z1452="","",Settings!$B$2+$AC1452-1)</f>
        <v/>
      </c>
      <c r="AE1452" s="21">
        <f>IF($Z1452="C",DATE(YEAR(INDEX(Contracts!$J$2:$J$151,$AB1452)),MONTH(INDEX(Contracts!$J$2:$J$151,$AB1452)),1),IF($Z1452="A",DATE(YEAR(INDEX(Fixed_Assets!$G$2:$G$201,$AB1452)),MONTH(INDEX(Fixed_Assets!$G$2:$G$201,$AB1452)),1),IF($Z1452="F",DATE(YEAR(MAX(N(INDEX(Workforce!$I$2:$I$151,MATCH(INDEX(FTE_Allocation!$A$2:$A$201,$AB1452),Workforce!$A$2:$A$151,0))),N(INDEX(FTE_Allocation!$I$2:$I$201,$AB1452)))),MONTH(MAX(N(INDEX(Workforce!$I$2:$I$151,MATCH(INDEX(FTE_Allocation!$A$2:$A$201,$AB1452),Workforce!$A$2:$A$151,0))),N(INDEX(FTE_Allocation!$I$2:$I$201,$AB1452)))),1),"")))</f>
        <v/>
      </c>
      <c r="AF1452" s="21">
        <f>IF($Z1452="C",IF(INDEX(Contracts!$I$2:$I$151,$AB1452)="PREPAID",EDATE(DATE(YEAR(INDEX(Contracts!$J$2:$J$151,$AB1452)),MONTH(INDEX(Contracts!$J$2:$J$151,$AB1452)),1),IF(INDEX(Contracts!$N$2:$N$151,$AB1452)="",12,INDEX(Contracts!$N$2:$N$151,$AB1452))-1),IF(INDEX(Contracts!$I$2:$I$151,$AB1452)="MONTHLY",IF(INDEX(Contracts!$K$2:$K$151,$AB1452)="",2958101,INDEX(Contracts!$K$2:$K$151,$AB1452)),0)),IF($Z1452="A",EDATE(DATE(YEAR(INDEX(Fixed_Assets!$G$2:$G$201,$AB1452)),MONTH(INDEX(Fixed_Assets!$G$2:$G$201,$AB1452)),1),INDEX(Fixed_Assets!$J$2:$J$201,$AB1452)-1),IF($Z1452="F",MIN(IF(INDEX(Workforce!$J$2:$J$151,MATCH(INDEX(FTE_Allocation!$A$2:$A$201,$AB1452),Workforce!$A$2:$A$151,0))="",2958101,INDEX(Workforce!$J$2:$J$151,MATCH(INDEX(FTE_Allocation!$A$2:$A$201,$AB1452),Workforce!$A$2:$A$151,0))),IF(INDEX(FTE_Allocation!$J$2:$J$201,$AB1452)="",2958101,INDEX(FTE_Allocation!$J$2:$J$201,$AB1452))),"")))</f>
        <v/>
      </c>
      <c r="AG1452" s="19">
        <f>IF($Z1452="C",IF(INDEX(Contracts!$I$2:$I$151,$AB1452)="PREPAID",INDEX(Contracts!$M$2:$M$151,$AB1452)/IF(INDEX(Contracts!$N$2:$N$151,$AB1452)="",12,INDEX(Contracts!$N$2:$N$151,$AB1452)),IF(INDEX(Contracts!$I$2:$I$151,$AB1452)="MONTHLY",INDEX(Contracts!$M$2:$M$151,$AB1452),0))*(1-N(INDEX(Contracts!$O$2:$O$151,$AB1452))),IF($Z1452="A",INDEX(Fixed_Assets!$H$2:$H$201,$AB1452)/INDEX(Fixed_Assets!$J$2:$J$201,$AB1452),IF($Z1452="F",INDEX(Workforce!$F$2:$F$151,MATCH(INDEX(FTE_Allocation!$A$2:$A$201,$AB1452),Workforce!$A$2:$A$151,0))*N(INDEX(FTE_Allocation!$F$2:$H$201,$AB1452,$AC1452)),"")))</f>
        <v/>
      </c>
    </row>
    <row r="1453">
      <c r="A1453" s="7">
        <f>IF($Z1453="","",$AD1453)</f>
        <v/>
      </c>
      <c r="B1453" s="7">
        <f>IF($Z1453="C",INDEX(Contracts!$D$2:$D$151,$AB1453)&amp;"",IF($Z1453="A",INDEX(Fixed_Assets!$C$2:$C$201,$AB1453)&amp;"",IF($Z1453="F",INDEX(Workforce!$B$2:$B$151,MATCH(INDEX(FTE_Allocation!$A$2:$A$201,$AB1453),Workforce!$A$2:$A$151,0))&amp;"","")))</f>
        <v/>
      </c>
      <c r="C1453" s="7">
        <f>IF($Z1453="C",INDEX(Contracts!$E$2:$E$151,$AB1453)&amp;"",IF($Z1453="A",INDEX(Fixed_Assets!$D$2:$D$201,$AB1453)&amp;"",IF($Z1453="F",INDEX(FTE_Allocation!$C$2:$C$201,$AB1453)&amp;"","")))</f>
        <v/>
      </c>
      <c r="D1453" s="7">
        <f>IF($Z1453="C",INDEX(Contracts!$B$2:$B$151,$AB1453)&amp;"",IF($Z1453="A",INDEX(Fixed_Assets!$B$2:$B$201,$AB1453)&amp;"",IF($Z1453="F",INDEX(FTE_Allocation!$B$2:$B$201,$AB1453)&amp;"","")))</f>
        <v/>
      </c>
      <c r="E1453" s="7">
        <f>IF($Z1453="C",INDEX(Contracts!$P$2:$P$151,$AB1453)&amp;"",IF($Z1453="A",INDEX(Fixed_Assets!$K$2:$K$201,$AB1453)&amp;"",IF($Z1453="F",IF(INDEX(FTE_Allocation!$D$2:$D$201,$AB1453)="PROJECT",IFERROR(INDEX(Projects!$D:$D,MATCH(INDEX(FTE_Allocation!$E$2:$E$201,$AB1453),Projects!$A:$A,0))&amp;"","#PROJECT?"),INDEX(FTE_Allocation!$E$2:$E$201,$AB1453)&amp;""),"")))</f>
        <v/>
      </c>
      <c r="F1453" s="7">
        <f>IF($Z1453="C",INDEX(Contracts!$Q$2:$Q$151,$AB1453)&amp;"",IF($Z1453="A",INDEX(Fixed_Assets!$L$2:$L$201,$AB1453)&amp;"",IF($Z1453="F",INDEX(Workforce!$K$2:$K$151,MATCH(INDEX(FTE_Allocation!$A$2:$A$201,$AB1453),Workforce!$A$2:$A$151,0))&amp;"","")))</f>
        <v/>
      </c>
      <c r="G1453" s="7">
        <f>IF($Z1453="C",INDEX(Contracts!$F$2:$F$151,$AB1453)&amp;" / "&amp;INDEX(Contracts!$G$2:$G$151,$AB1453),IF($Z1453="A",INDEX(Fixed_Assets!$E$2:$E$201,$AB1453)&amp;"",IF($Z1453="F","Personnel "&amp;INDEX(FTE_Allocation!$A$2:$A$201,$AB1453)&amp;IF(INDEX(FTE_Allocation!$D$2:$D$201,$AB1453)="PROJECT"," ("&amp;INDEX(FTE_Allocation!$E$2:$E$201,$AB1453)&amp;")",""),"")))</f>
        <v/>
      </c>
      <c r="H1453" s="7">
        <f>IF($Z1453="C","CONTRACT",IF($Z1453="A","ASSET",IF($Z1453="F","WORKFORCE","")))</f>
        <v/>
      </c>
      <c r="I1453" s="7">
        <f>IF($Z1453="C",INDEX(Contracts!$L$2:$L$151,$AB1453)&amp;"",IF($Z1453="A",INDEX(Fixed_Assets!$I$2:$I$201,$AB1453)&amp;"",IF($Z1453="F",INDEX(Workforce!$G$2:$G$151,MATCH(INDEX(FTE_Allocation!$A$2:$A$201,$AB1453),Workforce!$A$2:$A$151,0))&amp;"","")))</f>
        <v/>
      </c>
      <c r="J1453" s="18">
        <f>IF($Z1453="","",IF(AND(DATE($AD1453,1,1)&gt;=$AE1453,DATE($AD1453,1,1)&lt;=$AF1453),ROUND($AG1453,2),0))</f>
        <v/>
      </c>
      <c r="K1453" s="18">
        <f>IF($Z1453="","",IF(AND(DATE($AD1453,2,1)&gt;=$AE1453,DATE($AD1453,2,1)&lt;=$AF1453),ROUND($AG1453,2),0))</f>
        <v/>
      </c>
      <c r="L1453" s="18">
        <f>IF($Z1453="","",IF(AND(DATE($AD1453,3,1)&gt;=$AE1453,DATE($AD1453,3,1)&lt;=$AF1453),ROUND($AG1453,2),0))</f>
        <v/>
      </c>
      <c r="M1453" s="18">
        <f>IF($Z1453="","",IF(AND(DATE($AD1453,4,1)&gt;=$AE1453,DATE($AD1453,4,1)&lt;=$AF1453),ROUND($AG1453,2),0))</f>
        <v/>
      </c>
      <c r="N1453" s="18">
        <f>IF($Z1453="","",IF(AND(DATE($AD1453,5,1)&gt;=$AE1453,DATE($AD1453,5,1)&lt;=$AF1453),ROUND($AG1453,2),0))</f>
        <v/>
      </c>
      <c r="O1453" s="18">
        <f>IF($Z1453="","",IF(AND(DATE($AD1453,6,1)&gt;=$AE1453,DATE($AD1453,6,1)&lt;=$AF1453),ROUND($AG1453,2),0))</f>
        <v/>
      </c>
      <c r="P1453" s="18">
        <f>IF($Z1453="","",IF(AND(DATE($AD1453,7,1)&gt;=$AE1453,DATE($AD1453,7,1)&lt;=$AF1453),ROUND($AG1453,2),0))</f>
        <v/>
      </c>
      <c r="Q1453" s="18">
        <f>IF($Z1453="","",IF(AND(DATE($AD1453,8,1)&gt;=$AE1453,DATE($AD1453,8,1)&lt;=$AF1453),ROUND($AG1453,2),0))</f>
        <v/>
      </c>
      <c r="R1453" s="18">
        <f>IF($Z1453="","",IF(AND(DATE($AD1453,9,1)&gt;=$AE1453,DATE($AD1453,9,1)&lt;=$AF1453),ROUND($AG1453,2),0))</f>
        <v/>
      </c>
      <c r="S1453" s="18">
        <f>IF($Z1453="","",IF(AND(DATE($AD1453,10,1)&gt;=$AE1453,DATE($AD1453,10,1)&lt;=$AF1453),ROUND($AG1453,2),0))</f>
        <v/>
      </c>
      <c r="T1453" s="18">
        <f>IF($Z1453="","",IF(AND(DATE($AD1453,11,1)&gt;=$AE1453,DATE($AD1453,11,1)&lt;=$AF1453),ROUND($AG1453,2),0))</f>
        <v/>
      </c>
      <c r="U1453" s="18">
        <f>IF($Z1453="","",IF(AND(DATE($AD1453,12,1)&gt;=$AE1453,DATE($AD1453,12,1)&lt;=$AF1453),ROUND($AG1453,2),0))</f>
        <v/>
      </c>
      <c r="V1453" s="7">
        <f>IF($Z1453="C","Generated from "&amp;INDEX(Contracts!$A$2:$A$151,$AB1453),IF($Z1453="A","Generated from "&amp;INDEX(Fixed_Assets!$A$2:$A$201,$AB1453),IF($Z1453="F","Generated from "&amp;INDEX(FTE_Allocation!$A$2:$A$201,$AB1453),"")))</f>
        <v/>
      </c>
      <c r="X1453" s="19">
        <f>IF($Z1453="","",SUM(J1453:U1453))</f>
        <v/>
      </c>
      <c r="Y1453" s="20">
        <f>ROW()-1</f>
        <v/>
      </c>
      <c r="Z1453" s="20">
        <f>IF($Y1453&lt;=Settings!$B$4*3,"C",IF($Y1453&lt;=(Settings!$B$4+Settings!$B$5)*3,"A",IF($Y1453&lt;=(Settings!$B$4+Settings!$B$5+Settings!$B$6)*3,"F","")))</f>
        <v/>
      </c>
      <c r="AA1453" s="20">
        <f>IF($Z1453="C",$Y1453,IF($Z1453="A",$Y1453-Settings!$B$4*3,IF($Z1453="F",$Y1453-(Settings!$B$4+Settings!$B$5)*3,"")))</f>
        <v/>
      </c>
      <c r="AB1453" s="20">
        <f>IF($Z1453="","",INT(($AA1453-1)/3)+1)</f>
        <v/>
      </c>
      <c r="AC1453" s="20">
        <f>IF($Z1453="","",MOD($AA1453-1,3)+1)</f>
        <v/>
      </c>
      <c r="AD1453" s="20">
        <f>IF($Z1453="","",Settings!$B$2+$AC1453-1)</f>
        <v/>
      </c>
      <c r="AE1453" s="21">
        <f>IF($Z1453="C",DATE(YEAR(INDEX(Contracts!$J$2:$J$151,$AB1453)),MONTH(INDEX(Contracts!$J$2:$J$151,$AB1453)),1),IF($Z1453="A",DATE(YEAR(INDEX(Fixed_Assets!$G$2:$G$201,$AB1453)),MONTH(INDEX(Fixed_Assets!$G$2:$G$201,$AB1453)),1),IF($Z1453="F",DATE(YEAR(MAX(N(INDEX(Workforce!$I$2:$I$151,MATCH(INDEX(FTE_Allocation!$A$2:$A$201,$AB1453),Workforce!$A$2:$A$151,0))),N(INDEX(FTE_Allocation!$I$2:$I$201,$AB1453)))),MONTH(MAX(N(INDEX(Workforce!$I$2:$I$151,MATCH(INDEX(FTE_Allocation!$A$2:$A$201,$AB1453),Workforce!$A$2:$A$151,0))),N(INDEX(FTE_Allocation!$I$2:$I$201,$AB1453)))),1),"")))</f>
        <v/>
      </c>
      <c r="AF1453" s="21">
        <f>IF($Z1453="C",IF(INDEX(Contracts!$I$2:$I$151,$AB1453)="PREPAID",EDATE(DATE(YEAR(INDEX(Contracts!$J$2:$J$151,$AB1453)),MONTH(INDEX(Contracts!$J$2:$J$151,$AB1453)),1),IF(INDEX(Contracts!$N$2:$N$151,$AB1453)="",12,INDEX(Contracts!$N$2:$N$151,$AB1453))-1),IF(INDEX(Contracts!$I$2:$I$151,$AB1453)="MONTHLY",IF(INDEX(Contracts!$K$2:$K$151,$AB1453)="",2958101,INDEX(Contracts!$K$2:$K$151,$AB1453)),0)),IF($Z1453="A",EDATE(DATE(YEAR(INDEX(Fixed_Assets!$G$2:$G$201,$AB1453)),MONTH(INDEX(Fixed_Assets!$G$2:$G$201,$AB1453)),1),INDEX(Fixed_Assets!$J$2:$J$201,$AB1453)-1),IF($Z1453="F",MIN(IF(INDEX(Workforce!$J$2:$J$151,MATCH(INDEX(FTE_Allocation!$A$2:$A$201,$AB1453),Workforce!$A$2:$A$151,0))="",2958101,INDEX(Workforce!$J$2:$J$151,MATCH(INDEX(FTE_Allocation!$A$2:$A$201,$AB1453),Workforce!$A$2:$A$151,0))),IF(INDEX(FTE_Allocation!$J$2:$J$201,$AB1453)="",2958101,INDEX(FTE_Allocation!$J$2:$J$201,$AB1453))),"")))</f>
        <v/>
      </c>
      <c r="AG1453" s="19">
        <f>IF($Z1453="C",IF(INDEX(Contracts!$I$2:$I$151,$AB1453)="PREPAID",INDEX(Contracts!$M$2:$M$151,$AB1453)/IF(INDEX(Contracts!$N$2:$N$151,$AB1453)="",12,INDEX(Contracts!$N$2:$N$151,$AB1453)),IF(INDEX(Contracts!$I$2:$I$151,$AB1453)="MONTHLY",INDEX(Contracts!$M$2:$M$151,$AB1453),0))*(1-N(INDEX(Contracts!$O$2:$O$151,$AB1453))),IF($Z1453="A",INDEX(Fixed_Assets!$H$2:$H$201,$AB1453)/INDEX(Fixed_Assets!$J$2:$J$201,$AB1453),IF($Z1453="F",INDEX(Workforce!$F$2:$F$151,MATCH(INDEX(FTE_Allocation!$A$2:$A$201,$AB1453),Workforce!$A$2:$A$151,0))*N(INDEX(FTE_Allocation!$F$2:$H$201,$AB1453,$AC1453)),"")))</f>
        <v/>
      </c>
    </row>
    <row r="1454">
      <c r="A1454" s="7">
        <f>IF($Z1454="","",$AD1454)</f>
        <v/>
      </c>
      <c r="B1454" s="7">
        <f>IF($Z1454="C",INDEX(Contracts!$D$2:$D$151,$AB1454)&amp;"",IF($Z1454="A",INDEX(Fixed_Assets!$C$2:$C$201,$AB1454)&amp;"",IF($Z1454="F",INDEX(Workforce!$B$2:$B$151,MATCH(INDEX(FTE_Allocation!$A$2:$A$201,$AB1454),Workforce!$A$2:$A$151,0))&amp;"","")))</f>
        <v/>
      </c>
      <c r="C1454" s="7">
        <f>IF($Z1454="C",INDEX(Contracts!$E$2:$E$151,$AB1454)&amp;"",IF($Z1454="A",INDEX(Fixed_Assets!$D$2:$D$201,$AB1454)&amp;"",IF($Z1454="F",INDEX(FTE_Allocation!$C$2:$C$201,$AB1454)&amp;"","")))</f>
        <v/>
      </c>
      <c r="D1454" s="7">
        <f>IF($Z1454="C",INDEX(Contracts!$B$2:$B$151,$AB1454)&amp;"",IF($Z1454="A",INDEX(Fixed_Assets!$B$2:$B$201,$AB1454)&amp;"",IF($Z1454="F",INDEX(FTE_Allocation!$B$2:$B$201,$AB1454)&amp;"","")))</f>
        <v/>
      </c>
      <c r="E1454" s="7">
        <f>IF($Z1454="C",INDEX(Contracts!$P$2:$P$151,$AB1454)&amp;"",IF($Z1454="A",INDEX(Fixed_Assets!$K$2:$K$201,$AB1454)&amp;"",IF($Z1454="F",IF(INDEX(FTE_Allocation!$D$2:$D$201,$AB1454)="PROJECT",IFERROR(INDEX(Projects!$D:$D,MATCH(INDEX(FTE_Allocation!$E$2:$E$201,$AB1454),Projects!$A:$A,0))&amp;"","#PROJECT?"),INDEX(FTE_Allocation!$E$2:$E$201,$AB1454)&amp;""),"")))</f>
        <v/>
      </c>
      <c r="F1454" s="7">
        <f>IF($Z1454="C",INDEX(Contracts!$Q$2:$Q$151,$AB1454)&amp;"",IF($Z1454="A",INDEX(Fixed_Assets!$L$2:$L$201,$AB1454)&amp;"",IF($Z1454="F",INDEX(Workforce!$K$2:$K$151,MATCH(INDEX(FTE_Allocation!$A$2:$A$201,$AB1454),Workforce!$A$2:$A$151,0))&amp;"","")))</f>
        <v/>
      </c>
      <c r="G1454" s="7">
        <f>IF($Z1454="C",INDEX(Contracts!$F$2:$F$151,$AB1454)&amp;" / "&amp;INDEX(Contracts!$G$2:$G$151,$AB1454),IF($Z1454="A",INDEX(Fixed_Assets!$E$2:$E$201,$AB1454)&amp;"",IF($Z1454="F","Personnel "&amp;INDEX(FTE_Allocation!$A$2:$A$201,$AB1454)&amp;IF(INDEX(FTE_Allocation!$D$2:$D$201,$AB1454)="PROJECT"," ("&amp;INDEX(FTE_Allocation!$E$2:$E$201,$AB1454)&amp;")",""),"")))</f>
        <v/>
      </c>
      <c r="H1454" s="7">
        <f>IF($Z1454="C","CONTRACT",IF($Z1454="A","ASSET",IF($Z1454="F","WORKFORCE","")))</f>
        <v/>
      </c>
      <c r="I1454" s="7">
        <f>IF($Z1454="C",INDEX(Contracts!$L$2:$L$151,$AB1454)&amp;"",IF($Z1454="A",INDEX(Fixed_Assets!$I$2:$I$201,$AB1454)&amp;"",IF($Z1454="F",INDEX(Workforce!$G$2:$G$151,MATCH(INDEX(FTE_Allocation!$A$2:$A$201,$AB1454),Workforce!$A$2:$A$151,0))&amp;"","")))</f>
        <v/>
      </c>
      <c r="J1454" s="18">
        <f>IF($Z1454="","",IF(AND(DATE($AD1454,1,1)&gt;=$AE1454,DATE($AD1454,1,1)&lt;=$AF1454),ROUND($AG1454,2),0))</f>
        <v/>
      </c>
      <c r="K1454" s="18">
        <f>IF($Z1454="","",IF(AND(DATE($AD1454,2,1)&gt;=$AE1454,DATE($AD1454,2,1)&lt;=$AF1454),ROUND($AG1454,2),0))</f>
        <v/>
      </c>
      <c r="L1454" s="18">
        <f>IF($Z1454="","",IF(AND(DATE($AD1454,3,1)&gt;=$AE1454,DATE($AD1454,3,1)&lt;=$AF1454),ROUND($AG1454,2),0))</f>
        <v/>
      </c>
      <c r="M1454" s="18">
        <f>IF($Z1454="","",IF(AND(DATE($AD1454,4,1)&gt;=$AE1454,DATE($AD1454,4,1)&lt;=$AF1454),ROUND($AG1454,2),0))</f>
        <v/>
      </c>
      <c r="N1454" s="18">
        <f>IF($Z1454="","",IF(AND(DATE($AD1454,5,1)&gt;=$AE1454,DATE($AD1454,5,1)&lt;=$AF1454),ROUND($AG1454,2),0))</f>
        <v/>
      </c>
      <c r="O1454" s="18">
        <f>IF($Z1454="","",IF(AND(DATE($AD1454,6,1)&gt;=$AE1454,DATE($AD1454,6,1)&lt;=$AF1454),ROUND($AG1454,2),0))</f>
        <v/>
      </c>
      <c r="P1454" s="18">
        <f>IF($Z1454="","",IF(AND(DATE($AD1454,7,1)&gt;=$AE1454,DATE($AD1454,7,1)&lt;=$AF1454),ROUND($AG1454,2),0))</f>
        <v/>
      </c>
      <c r="Q1454" s="18">
        <f>IF($Z1454="","",IF(AND(DATE($AD1454,8,1)&gt;=$AE1454,DATE($AD1454,8,1)&lt;=$AF1454),ROUND($AG1454,2),0))</f>
        <v/>
      </c>
      <c r="R1454" s="18">
        <f>IF($Z1454="","",IF(AND(DATE($AD1454,9,1)&gt;=$AE1454,DATE($AD1454,9,1)&lt;=$AF1454),ROUND($AG1454,2),0))</f>
        <v/>
      </c>
      <c r="S1454" s="18">
        <f>IF($Z1454="","",IF(AND(DATE($AD1454,10,1)&gt;=$AE1454,DATE($AD1454,10,1)&lt;=$AF1454),ROUND($AG1454,2),0))</f>
        <v/>
      </c>
      <c r="T1454" s="18">
        <f>IF($Z1454="","",IF(AND(DATE($AD1454,11,1)&gt;=$AE1454,DATE($AD1454,11,1)&lt;=$AF1454),ROUND($AG1454,2),0))</f>
        <v/>
      </c>
      <c r="U1454" s="18">
        <f>IF($Z1454="","",IF(AND(DATE($AD1454,12,1)&gt;=$AE1454,DATE($AD1454,12,1)&lt;=$AF1454),ROUND($AG1454,2),0))</f>
        <v/>
      </c>
      <c r="V1454" s="7">
        <f>IF($Z1454="C","Generated from "&amp;INDEX(Contracts!$A$2:$A$151,$AB1454),IF($Z1454="A","Generated from "&amp;INDEX(Fixed_Assets!$A$2:$A$201,$AB1454),IF($Z1454="F","Generated from "&amp;INDEX(FTE_Allocation!$A$2:$A$201,$AB1454),"")))</f>
        <v/>
      </c>
      <c r="X1454" s="19">
        <f>IF($Z1454="","",SUM(J1454:U1454))</f>
        <v/>
      </c>
      <c r="Y1454" s="20">
        <f>ROW()-1</f>
        <v/>
      </c>
      <c r="Z1454" s="20">
        <f>IF($Y1454&lt;=Settings!$B$4*3,"C",IF($Y1454&lt;=(Settings!$B$4+Settings!$B$5)*3,"A",IF($Y1454&lt;=(Settings!$B$4+Settings!$B$5+Settings!$B$6)*3,"F","")))</f>
        <v/>
      </c>
      <c r="AA1454" s="20">
        <f>IF($Z1454="C",$Y1454,IF($Z1454="A",$Y1454-Settings!$B$4*3,IF($Z1454="F",$Y1454-(Settings!$B$4+Settings!$B$5)*3,"")))</f>
        <v/>
      </c>
      <c r="AB1454" s="20">
        <f>IF($Z1454="","",INT(($AA1454-1)/3)+1)</f>
        <v/>
      </c>
      <c r="AC1454" s="20">
        <f>IF($Z1454="","",MOD($AA1454-1,3)+1)</f>
        <v/>
      </c>
      <c r="AD1454" s="20">
        <f>IF($Z1454="","",Settings!$B$2+$AC1454-1)</f>
        <v/>
      </c>
      <c r="AE1454" s="21">
        <f>IF($Z1454="C",DATE(YEAR(INDEX(Contracts!$J$2:$J$151,$AB1454)),MONTH(INDEX(Contracts!$J$2:$J$151,$AB1454)),1),IF($Z1454="A",DATE(YEAR(INDEX(Fixed_Assets!$G$2:$G$201,$AB1454)),MONTH(INDEX(Fixed_Assets!$G$2:$G$201,$AB1454)),1),IF($Z1454="F",DATE(YEAR(MAX(N(INDEX(Workforce!$I$2:$I$151,MATCH(INDEX(FTE_Allocation!$A$2:$A$201,$AB1454),Workforce!$A$2:$A$151,0))),N(INDEX(FTE_Allocation!$I$2:$I$201,$AB1454)))),MONTH(MAX(N(INDEX(Workforce!$I$2:$I$151,MATCH(INDEX(FTE_Allocation!$A$2:$A$201,$AB1454),Workforce!$A$2:$A$151,0))),N(INDEX(FTE_Allocation!$I$2:$I$201,$AB1454)))),1),"")))</f>
        <v/>
      </c>
      <c r="AF1454" s="21">
        <f>IF($Z1454="C",IF(INDEX(Contracts!$I$2:$I$151,$AB1454)="PREPAID",EDATE(DATE(YEAR(INDEX(Contracts!$J$2:$J$151,$AB1454)),MONTH(INDEX(Contracts!$J$2:$J$151,$AB1454)),1),IF(INDEX(Contracts!$N$2:$N$151,$AB1454)="",12,INDEX(Contracts!$N$2:$N$151,$AB1454))-1),IF(INDEX(Contracts!$I$2:$I$151,$AB1454)="MONTHLY",IF(INDEX(Contracts!$K$2:$K$151,$AB1454)="",2958101,INDEX(Contracts!$K$2:$K$151,$AB1454)),0)),IF($Z1454="A",EDATE(DATE(YEAR(INDEX(Fixed_Assets!$G$2:$G$201,$AB1454)),MONTH(INDEX(Fixed_Assets!$G$2:$G$201,$AB1454)),1),INDEX(Fixed_Assets!$J$2:$J$201,$AB1454)-1),IF($Z1454="F",MIN(IF(INDEX(Workforce!$J$2:$J$151,MATCH(INDEX(FTE_Allocation!$A$2:$A$201,$AB1454),Workforce!$A$2:$A$151,0))="",2958101,INDEX(Workforce!$J$2:$J$151,MATCH(INDEX(FTE_Allocation!$A$2:$A$201,$AB1454),Workforce!$A$2:$A$151,0))),IF(INDEX(FTE_Allocation!$J$2:$J$201,$AB1454)="",2958101,INDEX(FTE_Allocation!$J$2:$J$201,$AB1454))),"")))</f>
        <v/>
      </c>
      <c r="AG1454" s="19">
        <f>IF($Z1454="C",IF(INDEX(Contracts!$I$2:$I$151,$AB1454)="PREPAID",INDEX(Contracts!$M$2:$M$151,$AB1454)/IF(INDEX(Contracts!$N$2:$N$151,$AB1454)="",12,INDEX(Contracts!$N$2:$N$151,$AB1454)),IF(INDEX(Contracts!$I$2:$I$151,$AB1454)="MONTHLY",INDEX(Contracts!$M$2:$M$151,$AB1454),0))*(1-N(INDEX(Contracts!$O$2:$O$151,$AB1454))),IF($Z1454="A",INDEX(Fixed_Assets!$H$2:$H$201,$AB1454)/INDEX(Fixed_Assets!$J$2:$J$201,$AB1454),IF($Z1454="F",INDEX(Workforce!$F$2:$F$151,MATCH(INDEX(FTE_Allocation!$A$2:$A$201,$AB1454),Workforce!$A$2:$A$151,0))*N(INDEX(FTE_Allocation!$F$2:$H$201,$AB1454,$AC1454)),"")))</f>
        <v/>
      </c>
    </row>
    <row r="1455">
      <c r="A1455" s="7">
        <f>IF($Z1455="","",$AD1455)</f>
        <v/>
      </c>
      <c r="B1455" s="7">
        <f>IF($Z1455="C",INDEX(Contracts!$D$2:$D$151,$AB1455)&amp;"",IF($Z1455="A",INDEX(Fixed_Assets!$C$2:$C$201,$AB1455)&amp;"",IF($Z1455="F",INDEX(Workforce!$B$2:$B$151,MATCH(INDEX(FTE_Allocation!$A$2:$A$201,$AB1455),Workforce!$A$2:$A$151,0))&amp;"","")))</f>
        <v/>
      </c>
      <c r="C1455" s="7">
        <f>IF($Z1455="C",INDEX(Contracts!$E$2:$E$151,$AB1455)&amp;"",IF($Z1455="A",INDEX(Fixed_Assets!$D$2:$D$201,$AB1455)&amp;"",IF($Z1455="F",INDEX(FTE_Allocation!$C$2:$C$201,$AB1455)&amp;"","")))</f>
        <v/>
      </c>
      <c r="D1455" s="7">
        <f>IF($Z1455="C",INDEX(Contracts!$B$2:$B$151,$AB1455)&amp;"",IF($Z1455="A",INDEX(Fixed_Assets!$B$2:$B$201,$AB1455)&amp;"",IF($Z1455="F",INDEX(FTE_Allocation!$B$2:$B$201,$AB1455)&amp;"","")))</f>
        <v/>
      </c>
      <c r="E1455" s="7">
        <f>IF($Z1455="C",INDEX(Contracts!$P$2:$P$151,$AB1455)&amp;"",IF($Z1455="A",INDEX(Fixed_Assets!$K$2:$K$201,$AB1455)&amp;"",IF($Z1455="F",IF(INDEX(FTE_Allocation!$D$2:$D$201,$AB1455)="PROJECT",IFERROR(INDEX(Projects!$D:$D,MATCH(INDEX(FTE_Allocation!$E$2:$E$201,$AB1455),Projects!$A:$A,0))&amp;"","#PROJECT?"),INDEX(FTE_Allocation!$E$2:$E$201,$AB1455)&amp;""),"")))</f>
        <v/>
      </c>
      <c r="F1455" s="7">
        <f>IF($Z1455="C",INDEX(Contracts!$Q$2:$Q$151,$AB1455)&amp;"",IF($Z1455="A",INDEX(Fixed_Assets!$L$2:$L$201,$AB1455)&amp;"",IF($Z1455="F",INDEX(Workforce!$K$2:$K$151,MATCH(INDEX(FTE_Allocation!$A$2:$A$201,$AB1455),Workforce!$A$2:$A$151,0))&amp;"","")))</f>
        <v/>
      </c>
      <c r="G1455" s="7">
        <f>IF($Z1455="C",INDEX(Contracts!$F$2:$F$151,$AB1455)&amp;" / "&amp;INDEX(Contracts!$G$2:$G$151,$AB1455),IF($Z1455="A",INDEX(Fixed_Assets!$E$2:$E$201,$AB1455)&amp;"",IF($Z1455="F","Personnel "&amp;INDEX(FTE_Allocation!$A$2:$A$201,$AB1455)&amp;IF(INDEX(FTE_Allocation!$D$2:$D$201,$AB1455)="PROJECT"," ("&amp;INDEX(FTE_Allocation!$E$2:$E$201,$AB1455)&amp;")",""),"")))</f>
        <v/>
      </c>
      <c r="H1455" s="7">
        <f>IF($Z1455="C","CONTRACT",IF($Z1455="A","ASSET",IF($Z1455="F","WORKFORCE","")))</f>
        <v/>
      </c>
      <c r="I1455" s="7">
        <f>IF($Z1455="C",INDEX(Contracts!$L$2:$L$151,$AB1455)&amp;"",IF($Z1455="A",INDEX(Fixed_Assets!$I$2:$I$201,$AB1455)&amp;"",IF($Z1455="F",INDEX(Workforce!$G$2:$G$151,MATCH(INDEX(FTE_Allocation!$A$2:$A$201,$AB1455),Workforce!$A$2:$A$151,0))&amp;"","")))</f>
        <v/>
      </c>
      <c r="J1455" s="18">
        <f>IF($Z1455="","",IF(AND(DATE($AD1455,1,1)&gt;=$AE1455,DATE($AD1455,1,1)&lt;=$AF1455),ROUND($AG1455,2),0))</f>
        <v/>
      </c>
      <c r="K1455" s="18">
        <f>IF($Z1455="","",IF(AND(DATE($AD1455,2,1)&gt;=$AE1455,DATE($AD1455,2,1)&lt;=$AF1455),ROUND($AG1455,2),0))</f>
        <v/>
      </c>
      <c r="L1455" s="18">
        <f>IF($Z1455="","",IF(AND(DATE($AD1455,3,1)&gt;=$AE1455,DATE($AD1455,3,1)&lt;=$AF1455),ROUND($AG1455,2),0))</f>
        <v/>
      </c>
      <c r="M1455" s="18">
        <f>IF($Z1455="","",IF(AND(DATE($AD1455,4,1)&gt;=$AE1455,DATE($AD1455,4,1)&lt;=$AF1455),ROUND($AG1455,2),0))</f>
        <v/>
      </c>
      <c r="N1455" s="18">
        <f>IF($Z1455="","",IF(AND(DATE($AD1455,5,1)&gt;=$AE1455,DATE($AD1455,5,1)&lt;=$AF1455),ROUND($AG1455,2),0))</f>
        <v/>
      </c>
      <c r="O1455" s="18">
        <f>IF($Z1455="","",IF(AND(DATE($AD1455,6,1)&gt;=$AE1455,DATE($AD1455,6,1)&lt;=$AF1455),ROUND($AG1455,2),0))</f>
        <v/>
      </c>
      <c r="P1455" s="18">
        <f>IF($Z1455="","",IF(AND(DATE($AD1455,7,1)&gt;=$AE1455,DATE($AD1455,7,1)&lt;=$AF1455),ROUND($AG1455,2),0))</f>
        <v/>
      </c>
      <c r="Q1455" s="18">
        <f>IF($Z1455="","",IF(AND(DATE($AD1455,8,1)&gt;=$AE1455,DATE($AD1455,8,1)&lt;=$AF1455),ROUND($AG1455,2),0))</f>
        <v/>
      </c>
      <c r="R1455" s="18">
        <f>IF($Z1455="","",IF(AND(DATE($AD1455,9,1)&gt;=$AE1455,DATE($AD1455,9,1)&lt;=$AF1455),ROUND($AG1455,2),0))</f>
        <v/>
      </c>
      <c r="S1455" s="18">
        <f>IF($Z1455="","",IF(AND(DATE($AD1455,10,1)&gt;=$AE1455,DATE($AD1455,10,1)&lt;=$AF1455),ROUND($AG1455,2),0))</f>
        <v/>
      </c>
      <c r="T1455" s="18">
        <f>IF($Z1455="","",IF(AND(DATE($AD1455,11,1)&gt;=$AE1455,DATE($AD1455,11,1)&lt;=$AF1455),ROUND($AG1455,2),0))</f>
        <v/>
      </c>
      <c r="U1455" s="18">
        <f>IF($Z1455="","",IF(AND(DATE($AD1455,12,1)&gt;=$AE1455,DATE($AD1455,12,1)&lt;=$AF1455),ROUND($AG1455,2),0))</f>
        <v/>
      </c>
      <c r="V1455" s="7">
        <f>IF($Z1455="C","Generated from "&amp;INDEX(Contracts!$A$2:$A$151,$AB1455),IF($Z1455="A","Generated from "&amp;INDEX(Fixed_Assets!$A$2:$A$201,$AB1455),IF($Z1455="F","Generated from "&amp;INDEX(FTE_Allocation!$A$2:$A$201,$AB1455),"")))</f>
        <v/>
      </c>
      <c r="X1455" s="19">
        <f>IF($Z1455="","",SUM(J1455:U1455))</f>
        <v/>
      </c>
      <c r="Y1455" s="20">
        <f>ROW()-1</f>
        <v/>
      </c>
      <c r="Z1455" s="20">
        <f>IF($Y1455&lt;=Settings!$B$4*3,"C",IF($Y1455&lt;=(Settings!$B$4+Settings!$B$5)*3,"A",IF($Y1455&lt;=(Settings!$B$4+Settings!$B$5+Settings!$B$6)*3,"F","")))</f>
        <v/>
      </c>
      <c r="AA1455" s="20">
        <f>IF($Z1455="C",$Y1455,IF($Z1455="A",$Y1455-Settings!$B$4*3,IF($Z1455="F",$Y1455-(Settings!$B$4+Settings!$B$5)*3,"")))</f>
        <v/>
      </c>
      <c r="AB1455" s="20">
        <f>IF($Z1455="","",INT(($AA1455-1)/3)+1)</f>
        <v/>
      </c>
      <c r="AC1455" s="20">
        <f>IF($Z1455="","",MOD($AA1455-1,3)+1)</f>
        <v/>
      </c>
      <c r="AD1455" s="20">
        <f>IF($Z1455="","",Settings!$B$2+$AC1455-1)</f>
        <v/>
      </c>
      <c r="AE1455" s="21">
        <f>IF($Z1455="C",DATE(YEAR(INDEX(Contracts!$J$2:$J$151,$AB1455)),MONTH(INDEX(Contracts!$J$2:$J$151,$AB1455)),1),IF($Z1455="A",DATE(YEAR(INDEX(Fixed_Assets!$G$2:$G$201,$AB1455)),MONTH(INDEX(Fixed_Assets!$G$2:$G$201,$AB1455)),1),IF($Z1455="F",DATE(YEAR(MAX(N(INDEX(Workforce!$I$2:$I$151,MATCH(INDEX(FTE_Allocation!$A$2:$A$201,$AB1455),Workforce!$A$2:$A$151,0))),N(INDEX(FTE_Allocation!$I$2:$I$201,$AB1455)))),MONTH(MAX(N(INDEX(Workforce!$I$2:$I$151,MATCH(INDEX(FTE_Allocation!$A$2:$A$201,$AB1455),Workforce!$A$2:$A$151,0))),N(INDEX(FTE_Allocation!$I$2:$I$201,$AB1455)))),1),"")))</f>
        <v/>
      </c>
      <c r="AF1455" s="21">
        <f>IF($Z1455="C",IF(INDEX(Contracts!$I$2:$I$151,$AB1455)="PREPAID",EDATE(DATE(YEAR(INDEX(Contracts!$J$2:$J$151,$AB1455)),MONTH(INDEX(Contracts!$J$2:$J$151,$AB1455)),1),IF(INDEX(Contracts!$N$2:$N$151,$AB1455)="",12,INDEX(Contracts!$N$2:$N$151,$AB1455))-1),IF(INDEX(Contracts!$I$2:$I$151,$AB1455)="MONTHLY",IF(INDEX(Contracts!$K$2:$K$151,$AB1455)="",2958101,INDEX(Contracts!$K$2:$K$151,$AB1455)),0)),IF($Z1455="A",EDATE(DATE(YEAR(INDEX(Fixed_Assets!$G$2:$G$201,$AB1455)),MONTH(INDEX(Fixed_Assets!$G$2:$G$201,$AB1455)),1),INDEX(Fixed_Assets!$J$2:$J$201,$AB1455)-1),IF($Z1455="F",MIN(IF(INDEX(Workforce!$J$2:$J$151,MATCH(INDEX(FTE_Allocation!$A$2:$A$201,$AB1455),Workforce!$A$2:$A$151,0))="",2958101,INDEX(Workforce!$J$2:$J$151,MATCH(INDEX(FTE_Allocation!$A$2:$A$201,$AB1455),Workforce!$A$2:$A$151,0))),IF(INDEX(FTE_Allocation!$J$2:$J$201,$AB1455)="",2958101,INDEX(FTE_Allocation!$J$2:$J$201,$AB1455))),"")))</f>
        <v/>
      </c>
      <c r="AG1455" s="19">
        <f>IF($Z1455="C",IF(INDEX(Contracts!$I$2:$I$151,$AB1455)="PREPAID",INDEX(Contracts!$M$2:$M$151,$AB1455)/IF(INDEX(Contracts!$N$2:$N$151,$AB1455)="",12,INDEX(Contracts!$N$2:$N$151,$AB1455)),IF(INDEX(Contracts!$I$2:$I$151,$AB1455)="MONTHLY",INDEX(Contracts!$M$2:$M$151,$AB1455),0))*(1-N(INDEX(Contracts!$O$2:$O$151,$AB1455))),IF($Z1455="A",INDEX(Fixed_Assets!$H$2:$H$201,$AB1455)/INDEX(Fixed_Assets!$J$2:$J$201,$AB1455),IF($Z1455="F",INDEX(Workforce!$F$2:$F$151,MATCH(INDEX(FTE_Allocation!$A$2:$A$201,$AB1455),Workforce!$A$2:$A$151,0))*N(INDEX(FTE_Allocation!$F$2:$H$201,$AB1455,$AC1455)),"")))</f>
        <v/>
      </c>
    </row>
    <row r="1456">
      <c r="A1456" s="7">
        <f>IF($Z1456="","",$AD1456)</f>
        <v/>
      </c>
      <c r="B1456" s="7">
        <f>IF($Z1456="C",INDEX(Contracts!$D$2:$D$151,$AB1456)&amp;"",IF($Z1456="A",INDEX(Fixed_Assets!$C$2:$C$201,$AB1456)&amp;"",IF($Z1456="F",INDEX(Workforce!$B$2:$B$151,MATCH(INDEX(FTE_Allocation!$A$2:$A$201,$AB1456),Workforce!$A$2:$A$151,0))&amp;"","")))</f>
        <v/>
      </c>
      <c r="C1456" s="7">
        <f>IF($Z1456="C",INDEX(Contracts!$E$2:$E$151,$AB1456)&amp;"",IF($Z1456="A",INDEX(Fixed_Assets!$D$2:$D$201,$AB1456)&amp;"",IF($Z1456="F",INDEX(FTE_Allocation!$C$2:$C$201,$AB1456)&amp;"","")))</f>
        <v/>
      </c>
      <c r="D1456" s="7">
        <f>IF($Z1456="C",INDEX(Contracts!$B$2:$B$151,$AB1456)&amp;"",IF($Z1456="A",INDEX(Fixed_Assets!$B$2:$B$201,$AB1456)&amp;"",IF($Z1456="F",INDEX(FTE_Allocation!$B$2:$B$201,$AB1456)&amp;"","")))</f>
        <v/>
      </c>
      <c r="E1456" s="7">
        <f>IF($Z1456="C",INDEX(Contracts!$P$2:$P$151,$AB1456)&amp;"",IF($Z1456="A",INDEX(Fixed_Assets!$K$2:$K$201,$AB1456)&amp;"",IF($Z1456="F",IF(INDEX(FTE_Allocation!$D$2:$D$201,$AB1456)="PROJECT",IFERROR(INDEX(Projects!$D:$D,MATCH(INDEX(FTE_Allocation!$E$2:$E$201,$AB1456),Projects!$A:$A,0))&amp;"","#PROJECT?"),INDEX(FTE_Allocation!$E$2:$E$201,$AB1456)&amp;""),"")))</f>
        <v/>
      </c>
      <c r="F1456" s="7">
        <f>IF($Z1456="C",INDEX(Contracts!$Q$2:$Q$151,$AB1456)&amp;"",IF($Z1456="A",INDEX(Fixed_Assets!$L$2:$L$201,$AB1456)&amp;"",IF($Z1456="F",INDEX(Workforce!$K$2:$K$151,MATCH(INDEX(FTE_Allocation!$A$2:$A$201,$AB1456),Workforce!$A$2:$A$151,0))&amp;"","")))</f>
        <v/>
      </c>
      <c r="G1456" s="7">
        <f>IF($Z1456="C",INDEX(Contracts!$F$2:$F$151,$AB1456)&amp;" / "&amp;INDEX(Contracts!$G$2:$G$151,$AB1456),IF($Z1456="A",INDEX(Fixed_Assets!$E$2:$E$201,$AB1456)&amp;"",IF($Z1456="F","Personnel "&amp;INDEX(FTE_Allocation!$A$2:$A$201,$AB1456)&amp;IF(INDEX(FTE_Allocation!$D$2:$D$201,$AB1456)="PROJECT"," ("&amp;INDEX(FTE_Allocation!$E$2:$E$201,$AB1456)&amp;")",""),"")))</f>
        <v/>
      </c>
      <c r="H1456" s="7">
        <f>IF($Z1456="C","CONTRACT",IF($Z1456="A","ASSET",IF($Z1456="F","WORKFORCE","")))</f>
        <v/>
      </c>
      <c r="I1456" s="7">
        <f>IF($Z1456="C",INDEX(Contracts!$L$2:$L$151,$AB1456)&amp;"",IF($Z1456="A",INDEX(Fixed_Assets!$I$2:$I$201,$AB1456)&amp;"",IF($Z1456="F",INDEX(Workforce!$G$2:$G$151,MATCH(INDEX(FTE_Allocation!$A$2:$A$201,$AB1456),Workforce!$A$2:$A$151,0))&amp;"","")))</f>
        <v/>
      </c>
      <c r="J1456" s="18">
        <f>IF($Z1456="","",IF(AND(DATE($AD1456,1,1)&gt;=$AE1456,DATE($AD1456,1,1)&lt;=$AF1456),ROUND($AG1456,2),0))</f>
        <v/>
      </c>
      <c r="K1456" s="18">
        <f>IF($Z1456="","",IF(AND(DATE($AD1456,2,1)&gt;=$AE1456,DATE($AD1456,2,1)&lt;=$AF1456),ROUND($AG1456,2),0))</f>
        <v/>
      </c>
      <c r="L1456" s="18">
        <f>IF($Z1456="","",IF(AND(DATE($AD1456,3,1)&gt;=$AE1456,DATE($AD1456,3,1)&lt;=$AF1456),ROUND($AG1456,2),0))</f>
        <v/>
      </c>
      <c r="M1456" s="18">
        <f>IF($Z1456="","",IF(AND(DATE($AD1456,4,1)&gt;=$AE1456,DATE($AD1456,4,1)&lt;=$AF1456),ROUND($AG1456,2),0))</f>
        <v/>
      </c>
      <c r="N1456" s="18">
        <f>IF($Z1456="","",IF(AND(DATE($AD1456,5,1)&gt;=$AE1456,DATE($AD1456,5,1)&lt;=$AF1456),ROUND($AG1456,2),0))</f>
        <v/>
      </c>
      <c r="O1456" s="18">
        <f>IF($Z1456="","",IF(AND(DATE($AD1456,6,1)&gt;=$AE1456,DATE($AD1456,6,1)&lt;=$AF1456),ROUND($AG1456,2),0))</f>
        <v/>
      </c>
      <c r="P1456" s="18">
        <f>IF($Z1456="","",IF(AND(DATE($AD1456,7,1)&gt;=$AE1456,DATE($AD1456,7,1)&lt;=$AF1456),ROUND($AG1456,2),0))</f>
        <v/>
      </c>
      <c r="Q1456" s="18">
        <f>IF($Z1456="","",IF(AND(DATE($AD1456,8,1)&gt;=$AE1456,DATE($AD1456,8,1)&lt;=$AF1456),ROUND($AG1456,2),0))</f>
        <v/>
      </c>
      <c r="R1456" s="18">
        <f>IF($Z1456="","",IF(AND(DATE($AD1456,9,1)&gt;=$AE1456,DATE($AD1456,9,1)&lt;=$AF1456),ROUND($AG1456,2),0))</f>
        <v/>
      </c>
      <c r="S1456" s="18">
        <f>IF($Z1456="","",IF(AND(DATE($AD1456,10,1)&gt;=$AE1456,DATE($AD1456,10,1)&lt;=$AF1456),ROUND($AG1456,2),0))</f>
        <v/>
      </c>
      <c r="T1456" s="18">
        <f>IF($Z1456="","",IF(AND(DATE($AD1456,11,1)&gt;=$AE1456,DATE($AD1456,11,1)&lt;=$AF1456),ROUND($AG1456,2),0))</f>
        <v/>
      </c>
      <c r="U1456" s="18">
        <f>IF($Z1456="","",IF(AND(DATE($AD1456,12,1)&gt;=$AE1456,DATE($AD1456,12,1)&lt;=$AF1456),ROUND($AG1456,2),0))</f>
        <v/>
      </c>
      <c r="V1456" s="7">
        <f>IF($Z1456="C","Generated from "&amp;INDEX(Contracts!$A$2:$A$151,$AB1456),IF($Z1456="A","Generated from "&amp;INDEX(Fixed_Assets!$A$2:$A$201,$AB1456),IF($Z1456="F","Generated from "&amp;INDEX(FTE_Allocation!$A$2:$A$201,$AB1456),"")))</f>
        <v/>
      </c>
      <c r="X1456" s="19">
        <f>IF($Z1456="","",SUM(J1456:U1456))</f>
        <v/>
      </c>
      <c r="Y1456" s="20">
        <f>ROW()-1</f>
        <v/>
      </c>
      <c r="Z1456" s="20">
        <f>IF($Y1456&lt;=Settings!$B$4*3,"C",IF($Y1456&lt;=(Settings!$B$4+Settings!$B$5)*3,"A",IF($Y1456&lt;=(Settings!$B$4+Settings!$B$5+Settings!$B$6)*3,"F","")))</f>
        <v/>
      </c>
      <c r="AA1456" s="20">
        <f>IF($Z1456="C",$Y1456,IF($Z1456="A",$Y1456-Settings!$B$4*3,IF($Z1456="F",$Y1456-(Settings!$B$4+Settings!$B$5)*3,"")))</f>
        <v/>
      </c>
      <c r="AB1456" s="20">
        <f>IF($Z1456="","",INT(($AA1456-1)/3)+1)</f>
        <v/>
      </c>
      <c r="AC1456" s="20">
        <f>IF($Z1456="","",MOD($AA1456-1,3)+1)</f>
        <v/>
      </c>
      <c r="AD1456" s="20">
        <f>IF($Z1456="","",Settings!$B$2+$AC1456-1)</f>
        <v/>
      </c>
      <c r="AE1456" s="21">
        <f>IF($Z1456="C",DATE(YEAR(INDEX(Contracts!$J$2:$J$151,$AB1456)),MONTH(INDEX(Contracts!$J$2:$J$151,$AB1456)),1),IF($Z1456="A",DATE(YEAR(INDEX(Fixed_Assets!$G$2:$G$201,$AB1456)),MONTH(INDEX(Fixed_Assets!$G$2:$G$201,$AB1456)),1),IF($Z1456="F",DATE(YEAR(MAX(N(INDEX(Workforce!$I$2:$I$151,MATCH(INDEX(FTE_Allocation!$A$2:$A$201,$AB1456),Workforce!$A$2:$A$151,0))),N(INDEX(FTE_Allocation!$I$2:$I$201,$AB1456)))),MONTH(MAX(N(INDEX(Workforce!$I$2:$I$151,MATCH(INDEX(FTE_Allocation!$A$2:$A$201,$AB1456),Workforce!$A$2:$A$151,0))),N(INDEX(FTE_Allocation!$I$2:$I$201,$AB1456)))),1),"")))</f>
        <v/>
      </c>
      <c r="AF1456" s="21">
        <f>IF($Z1456="C",IF(INDEX(Contracts!$I$2:$I$151,$AB1456)="PREPAID",EDATE(DATE(YEAR(INDEX(Contracts!$J$2:$J$151,$AB1456)),MONTH(INDEX(Contracts!$J$2:$J$151,$AB1456)),1),IF(INDEX(Contracts!$N$2:$N$151,$AB1456)="",12,INDEX(Contracts!$N$2:$N$151,$AB1456))-1),IF(INDEX(Contracts!$I$2:$I$151,$AB1456)="MONTHLY",IF(INDEX(Contracts!$K$2:$K$151,$AB1456)="",2958101,INDEX(Contracts!$K$2:$K$151,$AB1456)),0)),IF($Z1456="A",EDATE(DATE(YEAR(INDEX(Fixed_Assets!$G$2:$G$201,$AB1456)),MONTH(INDEX(Fixed_Assets!$G$2:$G$201,$AB1456)),1),INDEX(Fixed_Assets!$J$2:$J$201,$AB1456)-1),IF($Z1456="F",MIN(IF(INDEX(Workforce!$J$2:$J$151,MATCH(INDEX(FTE_Allocation!$A$2:$A$201,$AB1456),Workforce!$A$2:$A$151,0))="",2958101,INDEX(Workforce!$J$2:$J$151,MATCH(INDEX(FTE_Allocation!$A$2:$A$201,$AB1456),Workforce!$A$2:$A$151,0))),IF(INDEX(FTE_Allocation!$J$2:$J$201,$AB1456)="",2958101,INDEX(FTE_Allocation!$J$2:$J$201,$AB1456))),"")))</f>
        <v/>
      </c>
      <c r="AG1456" s="19">
        <f>IF($Z1456="C",IF(INDEX(Contracts!$I$2:$I$151,$AB1456)="PREPAID",INDEX(Contracts!$M$2:$M$151,$AB1456)/IF(INDEX(Contracts!$N$2:$N$151,$AB1456)="",12,INDEX(Contracts!$N$2:$N$151,$AB1456)),IF(INDEX(Contracts!$I$2:$I$151,$AB1456)="MONTHLY",INDEX(Contracts!$M$2:$M$151,$AB1456),0))*(1-N(INDEX(Contracts!$O$2:$O$151,$AB1456))),IF($Z1456="A",INDEX(Fixed_Assets!$H$2:$H$201,$AB1456)/INDEX(Fixed_Assets!$J$2:$J$201,$AB1456),IF($Z1456="F",INDEX(Workforce!$F$2:$F$151,MATCH(INDEX(FTE_Allocation!$A$2:$A$201,$AB1456),Workforce!$A$2:$A$151,0))*N(INDEX(FTE_Allocation!$F$2:$H$201,$AB1456,$AC1456)),"")))</f>
        <v/>
      </c>
    </row>
    <row r="1457">
      <c r="A1457" s="7">
        <f>IF($Z1457="","",$AD1457)</f>
        <v/>
      </c>
      <c r="B1457" s="7">
        <f>IF($Z1457="C",INDEX(Contracts!$D$2:$D$151,$AB1457)&amp;"",IF($Z1457="A",INDEX(Fixed_Assets!$C$2:$C$201,$AB1457)&amp;"",IF($Z1457="F",INDEX(Workforce!$B$2:$B$151,MATCH(INDEX(FTE_Allocation!$A$2:$A$201,$AB1457),Workforce!$A$2:$A$151,0))&amp;"","")))</f>
        <v/>
      </c>
      <c r="C1457" s="7">
        <f>IF($Z1457="C",INDEX(Contracts!$E$2:$E$151,$AB1457)&amp;"",IF($Z1457="A",INDEX(Fixed_Assets!$D$2:$D$201,$AB1457)&amp;"",IF($Z1457="F",INDEX(FTE_Allocation!$C$2:$C$201,$AB1457)&amp;"","")))</f>
        <v/>
      </c>
      <c r="D1457" s="7">
        <f>IF($Z1457="C",INDEX(Contracts!$B$2:$B$151,$AB1457)&amp;"",IF($Z1457="A",INDEX(Fixed_Assets!$B$2:$B$201,$AB1457)&amp;"",IF($Z1457="F",INDEX(FTE_Allocation!$B$2:$B$201,$AB1457)&amp;"","")))</f>
        <v/>
      </c>
      <c r="E1457" s="7">
        <f>IF($Z1457="C",INDEX(Contracts!$P$2:$P$151,$AB1457)&amp;"",IF($Z1457="A",INDEX(Fixed_Assets!$K$2:$K$201,$AB1457)&amp;"",IF($Z1457="F",IF(INDEX(FTE_Allocation!$D$2:$D$201,$AB1457)="PROJECT",IFERROR(INDEX(Projects!$D:$D,MATCH(INDEX(FTE_Allocation!$E$2:$E$201,$AB1457),Projects!$A:$A,0))&amp;"","#PROJECT?"),INDEX(FTE_Allocation!$E$2:$E$201,$AB1457)&amp;""),"")))</f>
        <v/>
      </c>
      <c r="F1457" s="7">
        <f>IF($Z1457="C",INDEX(Contracts!$Q$2:$Q$151,$AB1457)&amp;"",IF($Z1457="A",INDEX(Fixed_Assets!$L$2:$L$201,$AB1457)&amp;"",IF($Z1457="F",INDEX(Workforce!$K$2:$K$151,MATCH(INDEX(FTE_Allocation!$A$2:$A$201,$AB1457),Workforce!$A$2:$A$151,0))&amp;"","")))</f>
        <v/>
      </c>
      <c r="G1457" s="7">
        <f>IF($Z1457="C",INDEX(Contracts!$F$2:$F$151,$AB1457)&amp;" / "&amp;INDEX(Contracts!$G$2:$G$151,$AB1457),IF($Z1457="A",INDEX(Fixed_Assets!$E$2:$E$201,$AB1457)&amp;"",IF($Z1457="F","Personnel "&amp;INDEX(FTE_Allocation!$A$2:$A$201,$AB1457)&amp;IF(INDEX(FTE_Allocation!$D$2:$D$201,$AB1457)="PROJECT"," ("&amp;INDEX(FTE_Allocation!$E$2:$E$201,$AB1457)&amp;")",""),"")))</f>
        <v/>
      </c>
      <c r="H1457" s="7">
        <f>IF($Z1457="C","CONTRACT",IF($Z1457="A","ASSET",IF($Z1457="F","WORKFORCE","")))</f>
        <v/>
      </c>
      <c r="I1457" s="7">
        <f>IF($Z1457="C",INDEX(Contracts!$L$2:$L$151,$AB1457)&amp;"",IF($Z1457="A",INDEX(Fixed_Assets!$I$2:$I$201,$AB1457)&amp;"",IF($Z1457="F",INDEX(Workforce!$G$2:$G$151,MATCH(INDEX(FTE_Allocation!$A$2:$A$201,$AB1457),Workforce!$A$2:$A$151,0))&amp;"","")))</f>
        <v/>
      </c>
      <c r="J1457" s="18">
        <f>IF($Z1457="","",IF(AND(DATE($AD1457,1,1)&gt;=$AE1457,DATE($AD1457,1,1)&lt;=$AF1457),ROUND($AG1457,2),0))</f>
        <v/>
      </c>
      <c r="K1457" s="18">
        <f>IF($Z1457="","",IF(AND(DATE($AD1457,2,1)&gt;=$AE1457,DATE($AD1457,2,1)&lt;=$AF1457),ROUND($AG1457,2),0))</f>
        <v/>
      </c>
      <c r="L1457" s="18">
        <f>IF($Z1457="","",IF(AND(DATE($AD1457,3,1)&gt;=$AE1457,DATE($AD1457,3,1)&lt;=$AF1457),ROUND($AG1457,2),0))</f>
        <v/>
      </c>
      <c r="M1457" s="18">
        <f>IF($Z1457="","",IF(AND(DATE($AD1457,4,1)&gt;=$AE1457,DATE($AD1457,4,1)&lt;=$AF1457),ROUND($AG1457,2),0))</f>
        <v/>
      </c>
      <c r="N1457" s="18">
        <f>IF($Z1457="","",IF(AND(DATE($AD1457,5,1)&gt;=$AE1457,DATE($AD1457,5,1)&lt;=$AF1457),ROUND($AG1457,2),0))</f>
        <v/>
      </c>
      <c r="O1457" s="18">
        <f>IF($Z1457="","",IF(AND(DATE($AD1457,6,1)&gt;=$AE1457,DATE($AD1457,6,1)&lt;=$AF1457),ROUND($AG1457,2),0))</f>
        <v/>
      </c>
      <c r="P1457" s="18">
        <f>IF($Z1457="","",IF(AND(DATE($AD1457,7,1)&gt;=$AE1457,DATE($AD1457,7,1)&lt;=$AF1457),ROUND($AG1457,2),0))</f>
        <v/>
      </c>
      <c r="Q1457" s="18">
        <f>IF($Z1457="","",IF(AND(DATE($AD1457,8,1)&gt;=$AE1457,DATE($AD1457,8,1)&lt;=$AF1457),ROUND($AG1457,2),0))</f>
        <v/>
      </c>
      <c r="R1457" s="18">
        <f>IF($Z1457="","",IF(AND(DATE($AD1457,9,1)&gt;=$AE1457,DATE($AD1457,9,1)&lt;=$AF1457),ROUND($AG1457,2),0))</f>
        <v/>
      </c>
      <c r="S1457" s="18">
        <f>IF($Z1457="","",IF(AND(DATE($AD1457,10,1)&gt;=$AE1457,DATE($AD1457,10,1)&lt;=$AF1457),ROUND($AG1457,2),0))</f>
        <v/>
      </c>
      <c r="T1457" s="18">
        <f>IF($Z1457="","",IF(AND(DATE($AD1457,11,1)&gt;=$AE1457,DATE($AD1457,11,1)&lt;=$AF1457),ROUND($AG1457,2),0))</f>
        <v/>
      </c>
      <c r="U1457" s="18">
        <f>IF($Z1457="","",IF(AND(DATE($AD1457,12,1)&gt;=$AE1457,DATE($AD1457,12,1)&lt;=$AF1457),ROUND($AG1457,2),0))</f>
        <v/>
      </c>
      <c r="V1457" s="7">
        <f>IF($Z1457="C","Generated from "&amp;INDEX(Contracts!$A$2:$A$151,$AB1457),IF($Z1457="A","Generated from "&amp;INDEX(Fixed_Assets!$A$2:$A$201,$AB1457),IF($Z1457="F","Generated from "&amp;INDEX(FTE_Allocation!$A$2:$A$201,$AB1457),"")))</f>
        <v/>
      </c>
      <c r="X1457" s="19">
        <f>IF($Z1457="","",SUM(J1457:U1457))</f>
        <v/>
      </c>
      <c r="Y1457" s="20">
        <f>ROW()-1</f>
        <v/>
      </c>
      <c r="Z1457" s="20">
        <f>IF($Y1457&lt;=Settings!$B$4*3,"C",IF($Y1457&lt;=(Settings!$B$4+Settings!$B$5)*3,"A",IF($Y1457&lt;=(Settings!$B$4+Settings!$B$5+Settings!$B$6)*3,"F","")))</f>
        <v/>
      </c>
      <c r="AA1457" s="20">
        <f>IF($Z1457="C",$Y1457,IF($Z1457="A",$Y1457-Settings!$B$4*3,IF($Z1457="F",$Y1457-(Settings!$B$4+Settings!$B$5)*3,"")))</f>
        <v/>
      </c>
      <c r="AB1457" s="20">
        <f>IF($Z1457="","",INT(($AA1457-1)/3)+1)</f>
        <v/>
      </c>
      <c r="AC1457" s="20">
        <f>IF($Z1457="","",MOD($AA1457-1,3)+1)</f>
        <v/>
      </c>
      <c r="AD1457" s="20">
        <f>IF($Z1457="","",Settings!$B$2+$AC1457-1)</f>
        <v/>
      </c>
      <c r="AE1457" s="21">
        <f>IF($Z1457="C",DATE(YEAR(INDEX(Contracts!$J$2:$J$151,$AB1457)),MONTH(INDEX(Contracts!$J$2:$J$151,$AB1457)),1),IF($Z1457="A",DATE(YEAR(INDEX(Fixed_Assets!$G$2:$G$201,$AB1457)),MONTH(INDEX(Fixed_Assets!$G$2:$G$201,$AB1457)),1),IF($Z1457="F",DATE(YEAR(MAX(N(INDEX(Workforce!$I$2:$I$151,MATCH(INDEX(FTE_Allocation!$A$2:$A$201,$AB1457),Workforce!$A$2:$A$151,0))),N(INDEX(FTE_Allocation!$I$2:$I$201,$AB1457)))),MONTH(MAX(N(INDEX(Workforce!$I$2:$I$151,MATCH(INDEX(FTE_Allocation!$A$2:$A$201,$AB1457),Workforce!$A$2:$A$151,0))),N(INDEX(FTE_Allocation!$I$2:$I$201,$AB1457)))),1),"")))</f>
        <v/>
      </c>
      <c r="AF1457" s="21">
        <f>IF($Z1457="C",IF(INDEX(Contracts!$I$2:$I$151,$AB1457)="PREPAID",EDATE(DATE(YEAR(INDEX(Contracts!$J$2:$J$151,$AB1457)),MONTH(INDEX(Contracts!$J$2:$J$151,$AB1457)),1),IF(INDEX(Contracts!$N$2:$N$151,$AB1457)="",12,INDEX(Contracts!$N$2:$N$151,$AB1457))-1),IF(INDEX(Contracts!$I$2:$I$151,$AB1457)="MONTHLY",IF(INDEX(Contracts!$K$2:$K$151,$AB1457)="",2958101,INDEX(Contracts!$K$2:$K$151,$AB1457)),0)),IF($Z1457="A",EDATE(DATE(YEAR(INDEX(Fixed_Assets!$G$2:$G$201,$AB1457)),MONTH(INDEX(Fixed_Assets!$G$2:$G$201,$AB1457)),1),INDEX(Fixed_Assets!$J$2:$J$201,$AB1457)-1),IF($Z1457="F",MIN(IF(INDEX(Workforce!$J$2:$J$151,MATCH(INDEX(FTE_Allocation!$A$2:$A$201,$AB1457),Workforce!$A$2:$A$151,0))="",2958101,INDEX(Workforce!$J$2:$J$151,MATCH(INDEX(FTE_Allocation!$A$2:$A$201,$AB1457),Workforce!$A$2:$A$151,0))),IF(INDEX(FTE_Allocation!$J$2:$J$201,$AB1457)="",2958101,INDEX(FTE_Allocation!$J$2:$J$201,$AB1457))),"")))</f>
        <v/>
      </c>
      <c r="AG1457" s="19">
        <f>IF($Z1457="C",IF(INDEX(Contracts!$I$2:$I$151,$AB1457)="PREPAID",INDEX(Contracts!$M$2:$M$151,$AB1457)/IF(INDEX(Contracts!$N$2:$N$151,$AB1457)="",12,INDEX(Contracts!$N$2:$N$151,$AB1457)),IF(INDEX(Contracts!$I$2:$I$151,$AB1457)="MONTHLY",INDEX(Contracts!$M$2:$M$151,$AB1457),0))*(1-N(INDEX(Contracts!$O$2:$O$151,$AB1457))),IF($Z1457="A",INDEX(Fixed_Assets!$H$2:$H$201,$AB1457)/INDEX(Fixed_Assets!$J$2:$J$201,$AB1457),IF($Z1457="F",INDEX(Workforce!$F$2:$F$151,MATCH(INDEX(FTE_Allocation!$A$2:$A$201,$AB1457),Workforce!$A$2:$A$151,0))*N(INDEX(FTE_Allocation!$F$2:$H$201,$AB1457,$AC1457)),"")))</f>
        <v/>
      </c>
    </row>
    <row r="1458">
      <c r="A1458" s="7">
        <f>IF($Z1458="","",$AD1458)</f>
        <v/>
      </c>
      <c r="B1458" s="7">
        <f>IF($Z1458="C",INDEX(Contracts!$D$2:$D$151,$AB1458)&amp;"",IF($Z1458="A",INDEX(Fixed_Assets!$C$2:$C$201,$AB1458)&amp;"",IF($Z1458="F",INDEX(Workforce!$B$2:$B$151,MATCH(INDEX(FTE_Allocation!$A$2:$A$201,$AB1458),Workforce!$A$2:$A$151,0))&amp;"","")))</f>
        <v/>
      </c>
      <c r="C1458" s="7">
        <f>IF($Z1458="C",INDEX(Contracts!$E$2:$E$151,$AB1458)&amp;"",IF($Z1458="A",INDEX(Fixed_Assets!$D$2:$D$201,$AB1458)&amp;"",IF($Z1458="F",INDEX(FTE_Allocation!$C$2:$C$201,$AB1458)&amp;"","")))</f>
        <v/>
      </c>
      <c r="D1458" s="7">
        <f>IF($Z1458="C",INDEX(Contracts!$B$2:$B$151,$AB1458)&amp;"",IF($Z1458="A",INDEX(Fixed_Assets!$B$2:$B$201,$AB1458)&amp;"",IF($Z1458="F",INDEX(FTE_Allocation!$B$2:$B$201,$AB1458)&amp;"","")))</f>
        <v/>
      </c>
      <c r="E1458" s="7">
        <f>IF($Z1458="C",INDEX(Contracts!$P$2:$P$151,$AB1458)&amp;"",IF($Z1458="A",INDEX(Fixed_Assets!$K$2:$K$201,$AB1458)&amp;"",IF($Z1458="F",IF(INDEX(FTE_Allocation!$D$2:$D$201,$AB1458)="PROJECT",IFERROR(INDEX(Projects!$D:$D,MATCH(INDEX(FTE_Allocation!$E$2:$E$201,$AB1458),Projects!$A:$A,0))&amp;"","#PROJECT?"),INDEX(FTE_Allocation!$E$2:$E$201,$AB1458)&amp;""),"")))</f>
        <v/>
      </c>
      <c r="F1458" s="7">
        <f>IF($Z1458="C",INDEX(Contracts!$Q$2:$Q$151,$AB1458)&amp;"",IF($Z1458="A",INDEX(Fixed_Assets!$L$2:$L$201,$AB1458)&amp;"",IF($Z1458="F",INDEX(Workforce!$K$2:$K$151,MATCH(INDEX(FTE_Allocation!$A$2:$A$201,$AB1458),Workforce!$A$2:$A$151,0))&amp;"","")))</f>
        <v/>
      </c>
      <c r="G1458" s="7">
        <f>IF($Z1458="C",INDEX(Contracts!$F$2:$F$151,$AB1458)&amp;" / "&amp;INDEX(Contracts!$G$2:$G$151,$AB1458),IF($Z1458="A",INDEX(Fixed_Assets!$E$2:$E$201,$AB1458)&amp;"",IF($Z1458="F","Personnel "&amp;INDEX(FTE_Allocation!$A$2:$A$201,$AB1458)&amp;IF(INDEX(FTE_Allocation!$D$2:$D$201,$AB1458)="PROJECT"," ("&amp;INDEX(FTE_Allocation!$E$2:$E$201,$AB1458)&amp;")",""),"")))</f>
        <v/>
      </c>
      <c r="H1458" s="7">
        <f>IF($Z1458="C","CONTRACT",IF($Z1458="A","ASSET",IF($Z1458="F","WORKFORCE","")))</f>
        <v/>
      </c>
      <c r="I1458" s="7">
        <f>IF($Z1458="C",INDEX(Contracts!$L$2:$L$151,$AB1458)&amp;"",IF($Z1458="A",INDEX(Fixed_Assets!$I$2:$I$201,$AB1458)&amp;"",IF($Z1458="F",INDEX(Workforce!$G$2:$G$151,MATCH(INDEX(FTE_Allocation!$A$2:$A$201,$AB1458),Workforce!$A$2:$A$151,0))&amp;"","")))</f>
        <v/>
      </c>
      <c r="J1458" s="18">
        <f>IF($Z1458="","",IF(AND(DATE($AD1458,1,1)&gt;=$AE1458,DATE($AD1458,1,1)&lt;=$AF1458),ROUND($AG1458,2),0))</f>
        <v/>
      </c>
      <c r="K1458" s="18">
        <f>IF($Z1458="","",IF(AND(DATE($AD1458,2,1)&gt;=$AE1458,DATE($AD1458,2,1)&lt;=$AF1458),ROUND($AG1458,2),0))</f>
        <v/>
      </c>
      <c r="L1458" s="18">
        <f>IF($Z1458="","",IF(AND(DATE($AD1458,3,1)&gt;=$AE1458,DATE($AD1458,3,1)&lt;=$AF1458),ROUND($AG1458,2),0))</f>
        <v/>
      </c>
      <c r="M1458" s="18">
        <f>IF($Z1458="","",IF(AND(DATE($AD1458,4,1)&gt;=$AE1458,DATE($AD1458,4,1)&lt;=$AF1458),ROUND($AG1458,2),0))</f>
        <v/>
      </c>
      <c r="N1458" s="18">
        <f>IF($Z1458="","",IF(AND(DATE($AD1458,5,1)&gt;=$AE1458,DATE($AD1458,5,1)&lt;=$AF1458),ROUND($AG1458,2),0))</f>
        <v/>
      </c>
      <c r="O1458" s="18">
        <f>IF($Z1458="","",IF(AND(DATE($AD1458,6,1)&gt;=$AE1458,DATE($AD1458,6,1)&lt;=$AF1458),ROUND($AG1458,2),0))</f>
        <v/>
      </c>
      <c r="P1458" s="18">
        <f>IF($Z1458="","",IF(AND(DATE($AD1458,7,1)&gt;=$AE1458,DATE($AD1458,7,1)&lt;=$AF1458),ROUND($AG1458,2),0))</f>
        <v/>
      </c>
      <c r="Q1458" s="18">
        <f>IF($Z1458="","",IF(AND(DATE($AD1458,8,1)&gt;=$AE1458,DATE($AD1458,8,1)&lt;=$AF1458),ROUND($AG1458,2),0))</f>
        <v/>
      </c>
      <c r="R1458" s="18">
        <f>IF($Z1458="","",IF(AND(DATE($AD1458,9,1)&gt;=$AE1458,DATE($AD1458,9,1)&lt;=$AF1458),ROUND($AG1458,2),0))</f>
        <v/>
      </c>
      <c r="S1458" s="18">
        <f>IF($Z1458="","",IF(AND(DATE($AD1458,10,1)&gt;=$AE1458,DATE($AD1458,10,1)&lt;=$AF1458),ROUND($AG1458,2),0))</f>
        <v/>
      </c>
      <c r="T1458" s="18">
        <f>IF($Z1458="","",IF(AND(DATE($AD1458,11,1)&gt;=$AE1458,DATE($AD1458,11,1)&lt;=$AF1458),ROUND($AG1458,2),0))</f>
        <v/>
      </c>
      <c r="U1458" s="18">
        <f>IF($Z1458="","",IF(AND(DATE($AD1458,12,1)&gt;=$AE1458,DATE($AD1458,12,1)&lt;=$AF1458),ROUND($AG1458,2),0))</f>
        <v/>
      </c>
      <c r="V1458" s="7">
        <f>IF($Z1458="C","Generated from "&amp;INDEX(Contracts!$A$2:$A$151,$AB1458),IF($Z1458="A","Generated from "&amp;INDEX(Fixed_Assets!$A$2:$A$201,$AB1458),IF($Z1458="F","Generated from "&amp;INDEX(FTE_Allocation!$A$2:$A$201,$AB1458),"")))</f>
        <v/>
      </c>
      <c r="X1458" s="19">
        <f>IF($Z1458="","",SUM(J1458:U1458))</f>
        <v/>
      </c>
      <c r="Y1458" s="20">
        <f>ROW()-1</f>
        <v/>
      </c>
      <c r="Z1458" s="20">
        <f>IF($Y1458&lt;=Settings!$B$4*3,"C",IF($Y1458&lt;=(Settings!$B$4+Settings!$B$5)*3,"A",IF($Y1458&lt;=(Settings!$B$4+Settings!$B$5+Settings!$B$6)*3,"F","")))</f>
        <v/>
      </c>
      <c r="AA1458" s="20">
        <f>IF($Z1458="C",$Y1458,IF($Z1458="A",$Y1458-Settings!$B$4*3,IF($Z1458="F",$Y1458-(Settings!$B$4+Settings!$B$5)*3,"")))</f>
        <v/>
      </c>
      <c r="AB1458" s="20">
        <f>IF($Z1458="","",INT(($AA1458-1)/3)+1)</f>
        <v/>
      </c>
      <c r="AC1458" s="20">
        <f>IF($Z1458="","",MOD($AA1458-1,3)+1)</f>
        <v/>
      </c>
      <c r="AD1458" s="20">
        <f>IF($Z1458="","",Settings!$B$2+$AC1458-1)</f>
        <v/>
      </c>
      <c r="AE1458" s="21">
        <f>IF($Z1458="C",DATE(YEAR(INDEX(Contracts!$J$2:$J$151,$AB1458)),MONTH(INDEX(Contracts!$J$2:$J$151,$AB1458)),1),IF($Z1458="A",DATE(YEAR(INDEX(Fixed_Assets!$G$2:$G$201,$AB1458)),MONTH(INDEX(Fixed_Assets!$G$2:$G$201,$AB1458)),1),IF($Z1458="F",DATE(YEAR(MAX(N(INDEX(Workforce!$I$2:$I$151,MATCH(INDEX(FTE_Allocation!$A$2:$A$201,$AB1458),Workforce!$A$2:$A$151,0))),N(INDEX(FTE_Allocation!$I$2:$I$201,$AB1458)))),MONTH(MAX(N(INDEX(Workforce!$I$2:$I$151,MATCH(INDEX(FTE_Allocation!$A$2:$A$201,$AB1458),Workforce!$A$2:$A$151,0))),N(INDEX(FTE_Allocation!$I$2:$I$201,$AB1458)))),1),"")))</f>
        <v/>
      </c>
      <c r="AF1458" s="21">
        <f>IF($Z1458="C",IF(INDEX(Contracts!$I$2:$I$151,$AB1458)="PREPAID",EDATE(DATE(YEAR(INDEX(Contracts!$J$2:$J$151,$AB1458)),MONTH(INDEX(Contracts!$J$2:$J$151,$AB1458)),1),IF(INDEX(Contracts!$N$2:$N$151,$AB1458)="",12,INDEX(Contracts!$N$2:$N$151,$AB1458))-1),IF(INDEX(Contracts!$I$2:$I$151,$AB1458)="MONTHLY",IF(INDEX(Contracts!$K$2:$K$151,$AB1458)="",2958101,INDEX(Contracts!$K$2:$K$151,$AB1458)),0)),IF($Z1458="A",EDATE(DATE(YEAR(INDEX(Fixed_Assets!$G$2:$G$201,$AB1458)),MONTH(INDEX(Fixed_Assets!$G$2:$G$201,$AB1458)),1),INDEX(Fixed_Assets!$J$2:$J$201,$AB1458)-1),IF($Z1458="F",MIN(IF(INDEX(Workforce!$J$2:$J$151,MATCH(INDEX(FTE_Allocation!$A$2:$A$201,$AB1458),Workforce!$A$2:$A$151,0))="",2958101,INDEX(Workforce!$J$2:$J$151,MATCH(INDEX(FTE_Allocation!$A$2:$A$201,$AB1458),Workforce!$A$2:$A$151,0))),IF(INDEX(FTE_Allocation!$J$2:$J$201,$AB1458)="",2958101,INDEX(FTE_Allocation!$J$2:$J$201,$AB1458))),"")))</f>
        <v/>
      </c>
      <c r="AG1458" s="19">
        <f>IF($Z1458="C",IF(INDEX(Contracts!$I$2:$I$151,$AB1458)="PREPAID",INDEX(Contracts!$M$2:$M$151,$AB1458)/IF(INDEX(Contracts!$N$2:$N$151,$AB1458)="",12,INDEX(Contracts!$N$2:$N$151,$AB1458)),IF(INDEX(Contracts!$I$2:$I$151,$AB1458)="MONTHLY",INDEX(Contracts!$M$2:$M$151,$AB1458),0))*(1-N(INDEX(Contracts!$O$2:$O$151,$AB1458))),IF($Z1458="A",INDEX(Fixed_Assets!$H$2:$H$201,$AB1458)/INDEX(Fixed_Assets!$J$2:$J$201,$AB1458),IF($Z1458="F",INDEX(Workforce!$F$2:$F$151,MATCH(INDEX(FTE_Allocation!$A$2:$A$201,$AB1458),Workforce!$A$2:$A$151,0))*N(INDEX(FTE_Allocation!$F$2:$H$201,$AB1458,$AC1458)),"")))</f>
        <v/>
      </c>
    </row>
    <row r="1459">
      <c r="A1459" s="7">
        <f>IF($Z1459="","",$AD1459)</f>
        <v/>
      </c>
      <c r="B1459" s="7">
        <f>IF($Z1459="C",INDEX(Contracts!$D$2:$D$151,$AB1459)&amp;"",IF($Z1459="A",INDEX(Fixed_Assets!$C$2:$C$201,$AB1459)&amp;"",IF($Z1459="F",INDEX(Workforce!$B$2:$B$151,MATCH(INDEX(FTE_Allocation!$A$2:$A$201,$AB1459),Workforce!$A$2:$A$151,0))&amp;"","")))</f>
        <v/>
      </c>
      <c r="C1459" s="7">
        <f>IF($Z1459="C",INDEX(Contracts!$E$2:$E$151,$AB1459)&amp;"",IF($Z1459="A",INDEX(Fixed_Assets!$D$2:$D$201,$AB1459)&amp;"",IF($Z1459="F",INDEX(FTE_Allocation!$C$2:$C$201,$AB1459)&amp;"","")))</f>
        <v/>
      </c>
      <c r="D1459" s="7">
        <f>IF($Z1459="C",INDEX(Contracts!$B$2:$B$151,$AB1459)&amp;"",IF($Z1459="A",INDEX(Fixed_Assets!$B$2:$B$201,$AB1459)&amp;"",IF($Z1459="F",INDEX(FTE_Allocation!$B$2:$B$201,$AB1459)&amp;"","")))</f>
        <v/>
      </c>
      <c r="E1459" s="7">
        <f>IF($Z1459="C",INDEX(Contracts!$P$2:$P$151,$AB1459)&amp;"",IF($Z1459="A",INDEX(Fixed_Assets!$K$2:$K$201,$AB1459)&amp;"",IF($Z1459="F",IF(INDEX(FTE_Allocation!$D$2:$D$201,$AB1459)="PROJECT",IFERROR(INDEX(Projects!$D:$D,MATCH(INDEX(FTE_Allocation!$E$2:$E$201,$AB1459),Projects!$A:$A,0))&amp;"","#PROJECT?"),INDEX(FTE_Allocation!$E$2:$E$201,$AB1459)&amp;""),"")))</f>
        <v/>
      </c>
      <c r="F1459" s="7">
        <f>IF($Z1459="C",INDEX(Contracts!$Q$2:$Q$151,$AB1459)&amp;"",IF($Z1459="A",INDEX(Fixed_Assets!$L$2:$L$201,$AB1459)&amp;"",IF($Z1459="F",INDEX(Workforce!$K$2:$K$151,MATCH(INDEX(FTE_Allocation!$A$2:$A$201,$AB1459),Workforce!$A$2:$A$151,0))&amp;"","")))</f>
        <v/>
      </c>
      <c r="G1459" s="7">
        <f>IF($Z1459="C",INDEX(Contracts!$F$2:$F$151,$AB1459)&amp;" / "&amp;INDEX(Contracts!$G$2:$G$151,$AB1459),IF($Z1459="A",INDEX(Fixed_Assets!$E$2:$E$201,$AB1459)&amp;"",IF($Z1459="F","Personnel "&amp;INDEX(FTE_Allocation!$A$2:$A$201,$AB1459)&amp;IF(INDEX(FTE_Allocation!$D$2:$D$201,$AB1459)="PROJECT"," ("&amp;INDEX(FTE_Allocation!$E$2:$E$201,$AB1459)&amp;")",""),"")))</f>
        <v/>
      </c>
      <c r="H1459" s="7">
        <f>IF($Z1459="C","CONTRACT",IF($Z1459="A","ASSET",IF($Z1459="F","WORKFORCE","")))</f>
        <v/>
      </c>
      <c r="I1459" s="7">
        <f>IF($Z1459="C",INDEX(Contracts!$L$2:$L$151,$AB1459)&amp;"",IF($Z1459="A",INDEX(Fixed_Assets!$I$2:$I$201,$AB1459)&amp;"",IF($Z1459="F",INDEX(Workforce!$G$2:$G$151,MATCH(INDEX(FTE_Allocation!$A$2:$A$201,$AB1459),Workforce!$A$2:$A$151,0))&amp;"","")))</f>
        <v/>
      </c>
      <c r="J1459" s="18">
        <f>IF($Z1459="","",IF(AND(DATE($AD1459,1,1)&gt;=$AE1459,DATE($AD1459,1,1)&lt;=$AF1459),ROUND($AG1459,2),0))</f>
        <v/>
      </c>
      <c r="K1459" s="18">
        <f>IF($Z1459="","",IF(AND(DATE($AD1459,2,1)&gt;=$AE1459,DATE($AD1459,2,1)&lt;=$AF1459),ROUND($AG1459,2),0))</f>
        <v/>
      </c>
      <c r="L1459" s="18">
        <f>IF($Z1459="","",IF(AND(DATE($AD1459,3,1)&gt;=$AE1459,DATE($AD1459,3,1)&lt;=$AF1459),ROUND($AG1459,2),0))</f>
        <v/>
      </c>
      <c r="M1459" s="18">
        <f>IF($Z1459="","",IF(AND(DATE($AD1459,4,1)&gt;=$AE1459,DATE($AD1459,4,1)&lt;=$AF1459),ROUND($AG1459,2),0))</f>
        <v/>
      </c>
      <c r="N1459" s="18">
        <f>IF($Z1459="","",IF(AND(DATE($AD1459,5,1)&gt;=$AE1459,DATE($AD1459,5,1)&lt;=$AF1459),ROUND($AG1459,2),0))</f>
        <v/>
      </c>
      <c r="O1459" s="18">
        <f>IF($Z1459="","",IF(AND(DATE($AD1459,6,1)&gt;=$AE1459,DATE($AD1459,6,1)&lt;=$AF1459),ROUND($AG1459,2),0))</f>
        <v/>
      </c>
      <c r="P1459" s="18">
        <f>IF($Z1459="","",IF(AND(DATE($AD1459,7,1)&gt;=$AE1459,DATE($AD1459,7,1)&lt;=$AF1459),ROUND($AG1459,2),0))</f>
        <v/>
      </c>
      <c r="Q1459" s="18">
        <f>IF($Z1459="","",IF(AND(DATE($AD1459,8,1)&gt;=$AE1459,DATE($AD1459,8,1)&lt;=$AF1459),ROUND($AG1459,2),0))</f>
        <v/>
      </c>
      <c r="R1459" s="18">
        <f>IF($Z1459="","",IF(AND(DATE($AD1459,9,1)&gt;=$AE1459,DATE($AD1459,9,1)&lt;=$AF1459),ROUND($AG1459,2),0))</f>
        <v/>
      </c>
      <c r="S1459" s="18">
        <f>IF($Z1459="","",IF(AND(DATE($AD1459,10,1)&gt;=$AE1459,DATE($AD1459,10,1)&lt;=$AF1459),ROUND($AG1459,2),0))</f>
        <v/>
      </c>
      <c r="T1459" s="18">
        <f>IF($Z1459="","",IF(AND(DATE($AD1459,11,1)&gt;=$AE1459,DATE($AD1459,11,1)&lt;=$AF1459),ROUND($AG1459,2),0))</f>
        <v/>
      </c>
      <c r="U1459" s="18">
        <f>IF($Z1459="","",IF(AND(DATE($AD1459,12,1)&gt;=$AE1459,DATE($AD1459,12,1)&lt;=$AF1459),ROUND($AG1459,2),0))</f>
        <v/>
      </c>
      <c r="V1459" s="7">
        <f>IF($Z1459="C","Generated from "&amp;INDEX(Contracts!$A$2:$A$151,$AB1459),IF($Z1459="A","Generated from "&amp;INDEX(Fixed_Assets!$A$2:$A$201,$AB1459),IF($Z1459="F","Generated from "&amp;INDEX(FTE_Allocation!$A$2:$A$201,$AB1459),"")))</f>
        <v/>
      </c>
      <c r="X1459" s="19">
        <f>IF($Z1459="","",SUM(J1459:U1459))</f>
        <v/>
      </c>
      <c r="Y1459" s="20">
        <f>ROW()-1</f>
        <v/>
      </c>
      <c r="Z1459" s="20">
        <f>IF($Y1459&lt;=Settings!$B$4*3,"C",IF($Y1459&lt;=(Settings!$B$4+Settings!$B$5)*3,"A",IF($Y1459&lt;=(Settings!$B$4+Settings!$B$5+Settings!$B$6)*3,"F","")))</f>
        <v/>
      </c>
      <c r="AA1459" s="20">
        <f>IF($Z1459="C",$Y1459,IF($Z1459="A",$Y1459-Settings!$B$4*3,IF($Z1459="F",$Y1459-(Settings!$B$4+Settings!$B$5)*3,"")))</f>
        <v/>
      </c>
      <c r="AB1459" s="20">
        <f>IF($Z1459="","",INT(($AA1459-1)/3)+1)</f>
        <v/>
      </c>
      <c r="AC1459" s="20">
        <f>IF($Z1459="","",MOD($AA1459-1,3)+1)</f>
        <v/>
      </c>
      <c r="AD1459" s="20">
        <f>IF($Z1459="","",Settings!$B$2+$AC1459-1)</f>
        <v/>
      </c>
      <c r="AE1459" s="21">
        <f>IF($Z1459="C",DATE(YEAR(INDEX(Contracts!$J$2:$J$151,$AB1459)),MONTH(INDEX(Contracts!$J$2:$J$151,$AB1459)),1),IF($Z1459="A",DATE(YEAR(INDEX(Fixed_Assets!$G$2:$G$201,$AB1459)),MONTH(INDEX(Fixed_Assets!$G$2:$G$201,$AB1459)),1),IF($Z1459="F",DATE(YEAR(MAX(N(INDEX(Workforce!$I$2:$I$151,MATCH(INDEX(FTE_Allocation!$A$2:$A$201,$AB1459),Workforce!$A$2:$A$151,0))),N(INDEX(FTE_Allocation!$I$2:$I$201,$AB1459)))),MONTH(MAX(N(INDEX(Workforce!$I$2:$I$151,MATCH(INDEX(FTE_Allocation!$A$2:$A$201,$AB1459),Workforce!$A$2:$A$151,0))),N(INDEX(FTE_Allocation!$I$2:$I$201,$AB1459)))),1),"")))</f>
        <v/>
      </c>
      <c r="AF1459" s="21">
        <f>IF($Z1459="C",IF(INDEX(Contracts!$I$2:$I$151,$AB1459)="PREPAID",EDATE(DATE(YEAR(INDEX(Contracts!$J$2:$J$151,$AB1459)),MONTH(INDEX(Contracts!$J$2:$J$151,$AB1459)),1),IF(INDEX(Contracts!$N$2:$N$151,$AB1459)="",12,INDEX(Contracts!$N$2:$N$151,$AB1459))-1),IF(INDEX(Contracts!$I$2:$I$151,$AB1459)="MONTHLY",IF(INDEX(Contracts!$K$2:$K$151,$AB1459)="",2958101,INDEX(Contracts!$K$2:$K$151,$AB1459)),0)),IF($Z1459="A",EDATE(DATE(YEAR(INDEX(Fixed_Assets!$G$2:$G$201,$AB1459)),MONTH(INDEX(Fixed_Assets!$G$2:$G$201,$AB1459)),1),INDEX(Fixed_Assets!$J$2:$J$201,$AB1459)-1),IF($Z1459="F",MIN(IF(INDEX(Workforce!$J$2:$J$151,MATCH(INDEX(FTE_Allocation!$A$2:$A$201,$AB1459),Workforce!$A$2:$A$151,0))="",2958101,INDEX(Workforce!$J$2:$J$151,MATCH(INDEX(FTE_Allocation!$A$2:$A$201,$AB1459),Workforce!$A$2:$A$151,0))),IF(INDEX(FTE_Allocation!$J$2:$J$201,$AB1459)="",2958101,INDEX(FTE_Allocation!$J$2:$J$201,$AB1459))),"")))</f>
        <v/>
      </c>
      <c r="AG1459" s="19">
        <f>IF($Z1459="C",IF(INDEX(Contracts!$I$2:$I$151,$AB1459)="PREPAID",INDEX(Contracts!$M$2:$M$151,$AB1459)/IF(INDEX(Contracts!$N$2:$N$151,$AB1459)="",12,INDEX(Contracts!$N$2:$N$151,$AB1459)),IF(INDEX(Contracts!$I$2:$I$151,$AB1459)="MONTHLY",INDEX(Contracts!$M$2:$M$151,$AB1459),0))*(1-N(INDEX(Contracts!$O$2:$O$151,$AB1459))),IF($Z1459="A",INDEX(Fixed_Assets!$H$2:$H$201,$AB1459)/INDEX(Fixed_Assets!$J$2:$J$201,$AB1459),IF($Z1459="F",INDEX(Workforce!$F$2:$F$151,MATCH(INDEX(FTE_Allocation!$A$2:$A$201,$AB1459),Workforce!$A$2:$A$151,0))*N(INDEX(FTE_Allocation!$F$2:$H$201,$AB1459,$AC1459)),"")))</f>
        <v/>
      </c>
    </row>
    <row r="1460">
      <c r="A1460" s="7">
        <f>IF($Z1460="","",$AD1460)</f>
        <v/>
      </c>
      <c r="B1460" s="7">
        <f>IF($Z1460="C",INDEX(Contracts!$D$2:$D$151,$AB1460)&amp;"",IF($Z1460="A",INDEX(Fixed_Assets!$C$2:$C$201,$AB1460)&amp;"",IF($Z1460="F",INDEX(Workforce!$B$2:$B$151,MATCH(INDEX(FTE_Allocation!$A$2:$A$201,$AB1460),Workforce!$A$2:$A$151,0))&amp;"","")))</f>
        <v/>
      </c>
      <c r="C1460" s="7">
        <f>IF($Z1460="C",INDEX(Contracts!$E$2:$E$151,$AB1460)&amp;"",IF($Z1460="A",INDEX(Fixed_Assets!$D$2:$D$201,$AB1460)&amp;"",IF($Z1460="F",INDEX(FTE_Allocation!$C$2:$C$201,$AB1460)&amp;"","")))</f>
        <v/>
      </c>
      <c r="D1460" s="7">
        <f>IF($Z1460="C",INDEX(Contracts!$B$2:$B$151,$AB1460)&amp;"",IF($Z1460="A",INDEX(Fixed_Assets!$B$2:$B$201,$AB1460)&amp;"",IF($Z1460="F",INDEX(FTE_Allocation!$B$2:$B$201,$AB1460)&amp;"","")))</f>
        <v/>
      </c>
      <c r="E1460" s="7">
        <f>IF($Z1460="C",INDEX(Contracts!$P$2:$P$151,$AB1460)&amp;"",IF($Z1460="A",INDEX(Fixed_Assets!$K$2:$K$201,$AB1460)&amp;"",IF($Z1460="F",IF(INDEX(FTE_Allocation!$D$2:$D$201,$AB1460)="PROJECT",IFERROR(INDEX(Projects!$D:$D,MATCH(INDEX(FTE_Allocation!$E$2:$E$201,$AB1460),Projects!$A:$A,0))&amp;"","#PROJECT?"),INDEX(FTE_Allocation!$E$2:$E$201,$AB1460)&amp;""),"")))</f>
        <v/>
      </c>
      <c r="F1460" s="7">
        <f>IF($Z1460="C",INDEX(Contracts!$Q$2:$Q$151,$AB1460)&amp;"",IF($Z1460="A",INDEX(Fixed_Assets!$L$2:$L$201,$AB1460)&amp;"",IF($Z1460="F",INDEX(Workforce!$K$2:$K$151,MATCH(INDEX(FTE_Allocation!$A$2:$A$201,$AB1460),Workforce!$A$2:$A$151,0))&amp;"","")))</f>
        <v/>
      </c>
      <c r="G1460" s="7">
        <f>IF($Z1460="C",INDEX(Contracts!$F$2:$F$151,$AB1460)&amp;" / "&amp;INDEX(Contracts!$G$2:$G$151,$AB1460),IF($Z1460="A",INDEX(Fixed_Assets!$E$2:$E$201,$AB1460)&amp;"",IF($Z1460="F","Personnel "&amp;INDEX(FTE_Allocation!$A$2:$A$201,$AB1460)&amp;IF(INDEX(FTE_Allocation!$D$2:$D$201,$AB1460)="PROJECT"," ("&amp;INDEX(FTE_Allocation!$E$2:$E$201,$AB1460)&amp;")",""),"")))</f>
        <v/>
      </c>
      <c r="H1460" s="7">
        <f>IF($Z1460="C","CONTRACT",IF($Z1460="A","ASSET",IF($Z1460="F","WORKFORCE","")))</f>
        <v/>
      </c>
      <c r="I1460" s="7">
        <f>IF($Z1460="C",INDEX(Contracts!$L$2:$L$151,$AB1460)&amp;"",IF($Z1460="A",INDEX(Fixed_Assets!$I$2:$I$201,$AB1460)&amp;"",IF($Z1460="F",INDEX(Workforce!$G$2:$G$151,MATCH(INDEX(FTE_Allocation!$A$2:$A$201,$AB1460),Workforce!$A$2:$A$151,0))&amp;"","")))</f>
        <v/>
      </c>
      <c r="J1460" s="18">
        <f>IF($Z1460="","",IF(AND(DATE($AD1460,1,1)&gt;=$AE1460,DATE($AD1460,1,1)&lt;=$AF1460),ROUND($AG1460,2),0))</f>
        <v/>
      </c>
      <c r="K1460" s="18">
        <f>IF($Z1460="","",IF(AND(DATE($AD1460,2,1)&gt;=$AE1460,DATE($AD1460,2,1)&lt;=$AF1460),ROUND($AG1460,2),0))</f>
        <v/>
      </c>
      <c r="L1460" s="18">
        <f>IF($Z1460="","",IF(AND(DATE($AD1460,3,1)&gt;=$AE1460,DATE($AD1460,3,1)&lt;=$AF1460),ROUND($AG1460,2),0))</f>
        <v/>
      </c>
      <c r="M1460" s="18">
        <f>IF($Z1460="","",IF(AND(DATE($AD1460,4,1)&gt;=$AE1460,DATE($AD1460,4,1)&lt;=$AF1460),ROUND($AG1460,2),0))</f>
        <v/>
      </c>
      <c r="N1460" s="18">
        <f>IF($Z1460="","",IF(AND(DATE($AD1460,5,1)&gt;=$AE1460,DATE($AD1460,5,1)&lt;=$AF1460),ROUND($AG1460,2),0))</f>
        <v/>
      </c>
      <c r="O1460" s="18">
        <f>IF($Z1460="","",IF(AND(DATE($AD1460,6,1)&gt;=$AE1460,DATE($AD1460,6,1)&lt;=$AF1460),ROUND($AG1460,2),0))</f>
        <v/>
      </c>
      <c r="P1460" s="18">
        <f>IF($Z1460="","",IF(AND(DATE($AD1460,7,1)&gt;=$AE1460,DATE($AD1460,7,1)&lt;=$AF1460),ROUND($AG1460,2),0))</f>
        <v/>
      </c>
      <c r="Q1460" s="18">
        <f>IF($Z1460="","",IF(AND(DATE($AD1460,8,1)&gt;=$AE1460,DATE($AD1460,8,1)&lt;=$AF1460),ROUND($AG1460,2),0))</f>
        <v/>
      </c>
      <c r="R1460" s="18">
        <f>IF($Z1460="","",IF(AND(DATE($AD1460,9,1)&gt;=$AE1460,DATE($AD1460,9,1)&lt;=$AF1460),ROUND($AG1460,2),0))</f>
        <v/>
      </c>
      <c r="S1460" s="18">
        <f>IF($Z1460="","",IF(AND(DATE($AD1460,10,1)&gt;=$AE1460,DATE($AD1460,10,1)&lt;=$AF1460),ROUND($AG1460,2),0))</f>
        <v/>
      </c>
      <c r="T1460" s="18">
        <f>IF($Z1460="","",IF(AND(DATE($AD1460,11,1)&gt;=$AE1460,DATE($AD1460,11,1)&lt;=$AF1460),ROUND($AG1460,2),0))</f>
        <v/>
      </c>
      <c r="U1460" s="18">
        <f>IF($Z1460="","",IF(AND(DATE($AD1460,12,1)&gt;=$AE1460,DATE($AD1460,12,1)&lt;=$AF1460),ROUND($AG1460,2),0))</f>
        <v/>
      </c>
      <c r="V1460" s="7">
        <f>IF($Z1460="C","Generated from "&amp;INDEX(Contracts!$A$2:$A$151,$AB1460),IF($Z1460="A","Generated from "&amp;INDEX(Fixed_Assets!$A$2:$A$201,$AB1460),IF($Z1460="F","Generated from "&amp;INDEX(FTE_Allocation!$A$2:$A$201,$AB1460),"")))</f>
        <v/>
      </c>
      <c r="X1460" s="19">
        <f>IF($Z1460="","",SUM(J1460:U1460))</f>
        <v/>
      </c>
      <c r="Y1460" s="20">
        <f>ROW()-1</f>
        <v/>
      </c>
      <c r="Z1460" s="20">
        <f>IF($Y1460&lt;=Settings!$B$4*3,"C",IF($Y1460&lt;=(Settings!$B$4+Settings!$B$5)*3,"A",IF($Y1460&lt;=(Settings!$B$4+Settings!$B$5+Settings!$B$6)*3,"F","")))</f>
        <v/>
      </c>
      <c r="AA1460" s="20">
        <f>IF($Z1460="C",$Y1460,IF($Z1460="A",$Y1460-Settings!$B$4*3,IF($Z1460="F",$Y1460-(Settings!$B$4+Settings!$B$5)*3,"")))</f>
        <v/>
      </c>
      <c r="AB1460" s="20">
        <f>IF($Z1460="","",INT(($AA1460-1)/3)+1)</f>
        <v/>
      </c>
      <c r="AC1460" s="20">
        <f>IF($Z1460="","",MOD($AA1460-1,3)+1)</f>
        <v/>
      </c>
      <c r="AD1460" s="20">
        <f>IF($Z1460="","",Settings!$B$2+$AC1460-1)</f>
        <v/>
      </c>
      <c r="AE1460" s="21">
        <f>IF($Z1460="C",DATE(YEAR(INDEX(Contracts!$J$2:$J$151,$AB1460)),MONTH(INDEX(Contracts!$J$2:$J$151,$AB1460)),1),IF($Z1460="A",DATE(YEAR(INDEX(Fixed_Assets!$G$2:$G$201,$AB1460)),MONTH(INDEX(Fixed_Assets!$G$2:$G$201,$AB1460)),1),IF($Z1460="F",DATE(YEAR(MAX(N(INDEX(Workforce!$I$2:$I$151,MATCH(INDEX(FTE_Allocation!$A$2:$A$201,$AB1460),Workforce!$A$2:$A$151,0))),N(INDEX(FTE_Allocation!$I$2:$I$201,$AB1460)))),MONTH(MAX(N(INDEX(Workforce!$I$2:$I$151,MATCH(INDEX(FTE_Allocation!$A$2:$A$201,$AB1460),Workforce!$A$2:$A$151,0))),N(INDEX(FTE_Allocation!$I$2:$I$201,$AB1460)))),1),"")))</f>
        <v/>
      </c>
      <c r="AF1460" s="21">
        <f>IF($Z1460="C",IF(INDEX(Contracts!$I$2:$I$151,$AB1460)="PREPAID",EDATE(DATE(YEAR(INDEX(Contracts!$J$2:$J$151,$AB1460)),MONTH(INDEX(Contracts!$J$2:$J$151,$AB1460)),1),IF(INDEX(Contracts!$N$2:$N$151,$AB1460)="",12,INDEX(Contracts!$N$2:$N$151,$AB1460))-1),IF(INDEX(Contracts!$I$2:$I$151,$AB1460)="MONTHLY",IF(INDEX(Contracts!$K$2:$K$151,$AB1460)="",2958101,INDEX(Contracts!$K$2:$K$151,$AB1460)),0)),IF($Z1460="A",EDATE(DATE(YEAR(INDEX(Fixed_Assets!$G$2:$G$201,$AB1460)),MONTH(INDEX(Fixed_Assets!$G$2:$G$201,$AB1460)),1),INDEX(Fixed_Assets!$J$2:$J$201,$AB1460)-1),IF($Z1460="F",MIN(IF(INDEX(Workforce!$J$2:$J$151,MATCH(INDEX(FTE_Allocation!$A$2:$A$201,$AB1460),Workforce!$A$2:$A$151,0))="",2958101,INDEX(Workforce!$J$2:$J$151,MATCH(INDEX(FTE_Allocation!$A$2:$A$201,$AB1460),Workforce!$A$2:$A$151,0))),IF(INDEX(FTE_Allocation!$J$2:$J$201,$AB1460)="",2958101,INDEX(FTE_Allocation!$J$2:$J$201,$AB1460))),"")))</f>
        <v/>
      </c>
      <c r="AG1460" s="19">
        <f>IF($Z1460="C",IF(INDEX(Contracts!$I$2:$I$151,$AB1460)="PREPAID",INDEX(Contracts!$M$2:$M$151,$AB1460)/IF(INDEX(Contracts!$N$2:$N$151,$AB1460)="",12,INDEX(Contracts!$N$2:$N$151,$AB1460)),IF(INDEX(Contracts!$I$2:$I$151,$AB1460)="MONTHLY",INDEX(Contracts!$M$2:$M$151,$AB1460),0))*(1-N(INDEX(Contracts!$O$2:$O$151,$AB1460))),IF($Z1460="A",INDEX(Fixed_Assets!$H$2:$H$201,$AB1460)/INDEX(Fixed_Assets!$J$2:$J$201,$AB1460),IF($Z1460="F",INDEX(Workforce!$F$2:$F$151,MATCH(INDEX(FTE_Allocation!$A$2:$A$201,$AB1460),Workforce!$A$2:$A$151,0))*N(INDEX(FTE_Allocation!$F$2:$H$201,$AB1460,$AC1460)),"")))</f>
        <v/>
      </c>
    </row>
    <row r="1461">
      <c r="A1461" s="7">
        <f>IF($Z1461="","",$AD1461)</f>
        <v/>
      </c>
      <c r="B1461" s="7">
        <f>IF($Z1461="C",INDEX(Contracts!$D$2:$D$151,$AB1461)&amp;"",IF($Z1461="A",INDEX(Fixed_Assets!$C$2:$C$201,$AB1461)&amp;"",IF($Z1461="F",INDEX(Workforce!$B$2:$B$151,MATCH(INDEX(FTE_Allocation!$A$2:$A$201,$AB1461),Workforce!$A$2:$A$151,0))&amp;"","")))</f>
        <v/>
      </c>
      <c r="C1461" s="7">
        <f>IF($Z1461="C",INDEX(Contracts!$E$2:$E$151,$AB1461)&amp;"",IF($Z1461="A",INDEX(Fixed_Assets!$D$2:$D$201,$AB1461)&amp;"",IF($Z1461="F",INDEX(FTE_Allocation!$C$2:$C$201,$AB1461)&amp;"","")))</f>
        <v/>
      </c>
      <c r="D1461" s="7">
        <f>IF($Z1461="C",INDEX(Contracts!$B$2:$B$151,$AB1461)&amp;"",IF($Z1461="A",INDEX(Fixed_Assets!$B$2:$B$201,$AB1461)&amp;"",IF($Z1461="F",INDEX(FTE_Allocation!$B$2:$B$201,$AB1461)&amp;"","")))</f>
        <v/>
      </c>
      <c r="E1461" s="7">
        <f>IF($Z1461="C",INDEX(Contracts!$P$2:$P$151,$AB1461)&amp;"",IF($Z1461="A",INDEX(Fixed_Assets!$K$2:$K$201,$AB1461)&amp;"",IF($Z1461="F",IF(INDEX(FTE_Allocation!$D$2:$D$201,$AB1461)="PROJECT",IFERROR(INDEX(Projects!$D:$D,MATCH(INDEX(FTE_Allocation!$E$2:$E$201,$AB1461),Projects!$A:$A,0))&amp;"","#PROJECT?"),INDEX(FTE_Allocation!$E$2:$E$201,$AB1461)&amp;""),"")))</f>
        <v/>
      </c>
      <c r="F1461" s="7">
        <f>IF($Z1461="C",INDEX(Contracts!$Q$2:$Q$151,$AB1461)&amp;"",IF($Z1461="A",INDEX(Fixed_Assets!$L$2:$L$201,$AB1461)&amp;"",IF($Z1461="F",INDEX(Workforce!$K$2:$K$151,MATCH(INDEX(FTE_Allocation!$A$2:$A$201,$AB1461),Workforce!$A$2:$A$151,0))&amp;"","")))</f>
        <v/>
      </c>
      <c r="G1461" s="7">
        <f>IF($Z1461="C",INDEX(Contracts!$F$2:$F$151,$AB1461)&amp;" / "&amp;INDEX(Contracts!$G$2:$G$151,$AB1461),IF($Z1461="A",INDEX(Fixed_Assets!$E$2:$E$201,$AB1461)&amp;"",IF($Z1461="F","Personnel "&amp;INDEX(FTE_Allocation!$A$2:$A$201,$AB1461)&amp;IF(INDEX(FTE_Allocation!$D$2:$D$201,$AB1461)="PROJECT"," ("&amp;INDEX(FTE_Allocation!$E$2:$E$201,$AB1461)&amp;")",""),"")))</f>
        <v/>
      </c>
      <c r="H1461" s="7">
        <f>IF($Z1461="C","CONTRACT",IF($Z1461="A","ASSET",IF($Z1461="F","WORKFORCE","")))</f>
        <v/>
      </c>
      <c r="I1461" s="7">
        <f>IF($Z1461="C",INDEX(Contracts!$L$2:$L$151,$AB1461)&amp;"",IF($Z1461="A",INDEX(Fixed_Assets!$I$2:$I$201,$AB1461)&amp;"",IF($Z1461="F",INDEX(Workforce!$G$2:$G$151,MATCH(INDEX(FTE_Allocation!$A$2:$A$201,$AB1461),Workforce!$A$2:$A$151,0))&amp;"","")))</f>
        <v/>
      </c>
      <c r="J1461" s="18">
        <f>IF($Z1461="","",IF(AND(DATE($AD1461,1,1)&gt;=$AE1461,DATE($AD1461,1,1)&lt;=$AF1461),ROUND($AG1461,2),0))</f>
        <v/>
      </c>
      <c r="K1461" s="18">
        <f>IF($Z1461="","",IF(AND(DATE($AD1461,2,1)&gt;=$AE1461,DATE($AD1461,2,1)&lt;=$AF1461),ROUND($AG1461,2),0))</f>
        <v/>
      </c>
      <c r="L1461" s="18">
        <f>IF($Z1461="","",IF(AND(DATE($AD1461,3,1)&gt;=$AE1461,DATE($AD1461,3,1)&lt;=$AF1461),ROUND($AG1461,2),0))</f>
        <v/>
      </c>
      <c r="M1461" s="18">
        <f>IF($Z1461="","",IF(AND(DATE($AD1461,4,1)&gt;=$AE1461,DATE($AD1461,4,1)&lt;=$AF1461),ROUND($AG1461,2),0))</f>
        <v/>
      </c>
      <c r="N1461" s="18">
        <f>IF($Z1461="","",IF(AND(DATE($AD1461,5,1)&gt;=$AE1461,DATE($AD1461,5,1)&lt;=$AF1461),ROUND($AG1461,2),0))</f>
        <v/>
      </c>
      <c r="O1461" s="18">
        <f>IF($Z1461="","",IF(AND(DATE($AD1461,6,1)&gt;=$AE1461,DATE($AD1461,6,1)&lt;=$AF1461),ROUND($AG1461,2),0))</f>
        <v/>
      </c>
      <c r="P1461" s="18">
        <f>IF($Z1461="","",IF(AND(DATE($AD1461,7,1)&gt;=$AE1461,DATE($AD1461,7,1)&lt;=$AF1461),ROUND($AG1461,2),0))</f>
        <v/>
      </c>
      <c r="Q1461" s="18">
        <f>IF($Z1461="","",IF(AND(DATE($AD1461,8,1)&gt;=$AE1461,DATE($AD1461,8,1)&lt;=$AF1461),ROUND($AG1461,2),0))</f>
        <v/>
      </c>
      <c r="R1461" s="18">
        <f>IF($Z1461="","",IF(AND(DATE($AD1461,9,1)&gt;=$AE1461,DATE($AD1461,9,1)&lt;=$AF1461),ROUND($AG1461,2),0))</f>
        <v/>
      </c>
      <c r="S1461" s="18">
        <f>IF($Z1461="","",IF(AND(DATE($AD1461,10,1)&gt;=$AE1461,DATE($AD1461,10,1)&lt;=$AF1461),ROUND($AG1461,2),0))</f>
        <v/>
      </c>
      <c r="T1461" s="18">
        <f>IF($Z1461="","",IF(AND(DATE($AD1461,11,1)&gt;=$AE1461,DATE($AD1461,11,1)&lt;=$AF1461),ROUND($AG1461,2),0))</f>
        <v/>
      </c>
      <c r="U1461" s="18">
        <f>IF($Z1461="","",IF(AND(DATE($AD1461,12,1)&gt;=$AE1461,DATE($AD1461,12,1)&lt;=$AF1461),ROUND($AG1461,2),0))</f>
        <v/>
      </c>
      <c r="V1461" s="7">
        <f>IF($Z1461="C","Generated from "&amp;INDEX(Contracts!$A$2:$A$151,$AB1461),IF($Z1461="A","Generated from "&amp;INDEX(Fixed_Assets!$A$2:$A$201,$AB1461),IF($Z1461="F","Generated from "&amp;INDEX(FTE_Allocation!$A$2:$A$201,$AB1461),"")))</f>
        <v/>
      </c>
      <c r="X1461" s="19">
        <f>IF($Z1461="","",SUM(J1461:U1461))</f>
        <v/>
      </c>
      <c r="Y1461" s="20">
        <f>ROW()-1</f>
        <v/>
      </c>
      <c r="Z1461" s="20">
        <f>IF($Y1461&lt;=Settings!$B$4*3,"C",IF($Y1461&lt;=(Settings!$B$4+Settings!$B$5)*3,"A",IF($Y1461&lt;=(Settings!$B$4+Settings!$B$5+Settings!$B$6)*3,"F","")))</f>
        <v/>
      </c>
      <c r="AA1461" s="20">
        <f>IF($Z1461="C",$Y1461,IF($Z1461="A",$Y1461-Settings!$B$4*3,IF($Z1461="F",$Y1461-(Settings!$B$4+Settings!$B$5)*3,"")))</f>
        <v/>
      </c>
      <c r="AB1461" s="20">
        <f>IF($Z1461="","",INT(($AA1461-1)/3)+1)</f>
        <v/>
      </c>
      <c r="AC1461" s="20">
        <f>IF($Z1461="","",MOD($AA1461-1,3)+1)</f>
        <v/>
      </c>
      <c r="AD1461" s="20">
        <f>IF($Z1461="","",Settings!$B$2+$AC1461-1)</f>
        <v/>
      </c>
      <c r="AE1461" s="21">
        <f>IF($Z1461="C",DATE(YEAR(INDEX(Contracts!$J$2:$J$151,$AB1461)),MONTH(INDEX(Contracts!$J$2:$J$151,$AB1461)),1),IF($Z1461="A",DATE(YEAR(INDEX(Fixed_Assets!$G$2:$G$201,$AB1461)),MONTH(INDEX(Fixed_Assets!$G$2:$G$201,$AB1461)),1),IF($Z1461="F",DATE(YEAR(MAX(N(INDEX(Workforce!$I$2:$I$151,MATCH(INDEX(FTE_Allocation!$A$2:$A$201,$AB1461),Workforce!$A$2:$A$151,0))),N(INDEX(FTE_Allocation!$I$2:$I$201,$AB1461)))),MONTH(MAX(N(INDEX(Workforce!$I$2:$I$151,MATCH(INDEX(FTE_Allocation!$A$2:$A$201,$AB1461),Workforce!$A$2:$A$151,0))),N(INDEX(FTE_Allocation!$I$2:$I$201,$AB1461)))),1),"")))</f>
        <v/>
      </c>
      <c r="AF1461" s="21">
        <f>IF($Z1461="C",IF(INDEX(Contracts!$I$2:$I$151,$AB1461)="PREPAID",EDATE(DATE(YEAR(INDEX(Contracts!$J$2:$J$151,$AB1461)),MONTH(INDEX(Contracts!$J$2:$J$151,$AB1461)),1),IF(INDEX(Contracts!$N$2:$N$151,$AB1461)="",12,INDEX(Contracts!$N$2:$N$151,$AB1461))-1),IF(INDEX(Contracts!$I$2:$I$151,$AB1461)="MONTHLY",IF(INDEX(Contracts!$K$2:$K$151,$AB1461)="",2958101,INDEX(Contracts!$K$2:$K$151,$AB1461)),0)),IF($Z1461="A",EDATE(DATE(YEAR(INDEX(Fixed_Assets!$G$2:$G$201,$AB1461)),MONTH(INDEX(Fixed_Assets!$G$2:$G$201,$AB1461)),1),INDEX(Fixed_Assets!$J$2:$J$201,$AB1461)-1),IF($Z1461="F",MIN(IF(INDEX(Workforce!$J$2:$J$151,MATCH(INDEX(FTE_Allocation!$A$2:$A$201,$AB1461),Workforce!$A$2:$A$151,0))="",2958101,INDEX(Workforce!$J$2:$J$151,MATCH(INDEX(FTE_Allocation!$A$2:$A$201,$AB1461),Workforce!$A$2:$A$151,0))),IF(INDEX(FTE_Allocation!$J$2:$J$201,$AB1461)="",2958101,INDEX(FTE_Allocation!$J$2:$J$201,$AB1461))),"")))</f>
        <v/>
      </c>
      <c r="AG1461" s="19">
        <f>IF($Z1461="C",IF(INDEX(Contracts!$I$2:$I$151,$AB1461)="PREPAID",INDEX(Contracts!$M$2:$M$151,$AB1461)/IF(INDEX(Contracts!$N$2:$N$151,$AB1461)="",12,INDEX(Contracts!$N$2:$N$151,$AB1461)),IF(INDEX(Contracts!$I$2:$I$151,$AB1461)="MONTHLY",INDEX(Contracts!$M$2:$M$151,$AB1461),0))*(1-N(INDEX(Contracts!$O$2:$O$151,$AB1461))),IF($Z1461="A",INDEX(Fixed_Assets!$H$2:$H$201,$AB1461)/INDEX(Fixed_Assets!$J$2:$J$201,$AB1461),IF($Z1461="F",INDEX(Workforce!$F$2:$F$151,MATCH(INDEX(FTE_Allocation!$A$2:$A$201,$AB1461),Workforce!$A$2:$A$151,0))*N(INDEX(FTE_Allocation!$F$2:$H$201,$AB1461,$AC1461)),"")))</f>
        <v/>
      </c>
    </row>
    <row r="1462">
      <c r="A1462" s="7">
        <f>IF($Z1462="","",$AD1462)</f>
        <v/>
      </c>
      <c r="B1462" s="7">
        <f>IF($Z1462="C",INDEX(Contracts!$D$2:$D$151,$AB1462)&amp;"",IF($Z1462="A",INDEX(Fixed_Assets!$C$2:$C$201,$AB1462)&amp;"",IF($Z1462="F",INDEX(Workforce!$B$2:$B$151,MATCH(INDEX(FTE_Allocation!$A$2:$A$201,$AB1462),Workforce!$A$2:$A$151,0))&amp;"","")))</f>
        <v/>
      </c>
      <c r="C1462" s="7">
        <f>IF($Z1462="C",INDEX(Contracts!$E$2:$E$151,$AB1462)&amp;"",IF($Z1462="A",INDEX(Fixed_Assets!$D$2:$D$201,$AB1462)&amp;"",IF($Z1462="F",INDEX(FTE_Allocation!$C$2:$C$201,$AB1462)&amp;"","")))</f>
        <v/>
      </c>
      <c r="D1462" s="7">
        <f>IF($Z1462="C",INDEX(Contracts!$B$2:$B$151,$AB1462)&amp;"",IF($Z1462="A",INDEX(Fixed_Assets!$B$2:$B$201,$AB1462)&amp;"",IF($Z1462="F",INDEX(FTE_Allocation!$B$2:$B$201,$AB1462)&amp;"","")))</f>
        <v/>
      </c>
      <c r="E1462" s="7">
        <f>IF($Z1462="C",INDEX(Contracts!$P$2:$P$151,$AB1462)&amp;"",IF($Z1462="A",INDEX(Fixed_Assets!$K$2:$K$201,$AB1462)&amp;"",IF($Z1462="F",IF(INDEX(FTE_Allocation!$D$2:$D$201,$AB1462)="PROJECT",IFERROR(INDEX(Projects!$D:$D,MATCH(INDEX(FTE_Allocation!$E$2:$E$201,$AB1462),Projects!$A:$A,0))&amp;"","#PROJECT?"),INDEX(FTE_Allocation!$E$2:$E$201,$AB1462)&amp;""),"")))</f>
        <v/>
      </c>
      <c r="F1462" s="7">
        <f>IF($Z1462="C",INDEX(Contracts!$Q$2:$Q$151,$AB1462)&amp;"",IF($Z1462="A",INDEX(Fixed_Assets!$L$2:$L$201,$AB1462)&amp;"",IF($Z1462="F",INDEX(Workforce!$K$2:$K$151,MATCH(INDEX(FTE_Allocation!$A$2:$A$201,$AB1462),Workforce!$A$2:$A$151,0))&amp;"","")))</f>
        <v/>
      </c>
      <c r="G1462" s="7">
        <f>IF($Z1462="C",INDEX(Contracts!$F$2:$F$151,$AB1462)&amp;" / "&amp;INDEX(Contracts!$G$2:$G$151,$AB1462),IF($Z1462="A",INDEX(Fixed_Assets!$E$2:$E$201,$AB1462)&amp;"",IF($Z1462="F","Personnel "&amp;INDEX(FTE_Allocation!$A$2:$A$201,$AB1462)&amp;IF(INDEX(FTE_Allocation!$D$2:$D$201,$AB1462)="PROJECT"," ("&amp;INDEX(FTE_Allocation!$E$2:$E$201,$AB1462)&amp;")",""),"")))</f>
        <v/>
      </c>
      <c r="H1462" s="7">
        <f>IF($Z1462="C","CONTRACT",IF($Z1462="A","ASSET",IF($Z1462="F","WORKFORCE","")))</f>
        <v/>
      </c>
      <c r="I1462" s="7">
        <f>IF($Z1462="C",INDEX(Contracts!$L$2:$L$151,$AB1462)&amp;"",IF($Z1462="A",INDEX(Fixed_Assets!$I$2:$I$201,$AB1462)&amp;"",IF($Z1462="F",INDEX(Workforce!$G$2:$G$151,MATCH(INDEX(FTE_Allocation!$A$2:$A$201,$AB1462),Workforce!$A$2:$A$151,0))&amp;"","")))</f>
        <v/>
      </c>
      <c r="J1462" s="18">
        <f>IF($Z1462="","",IF(AND(DATE($AD1462,1,1)&gt;=$AE1462,DATE($AD1462,1,1)&lt;=$AF1462),ROUND($AG1462,2),0))</f>
        <v/>
      </c>
      <c r="K1462" s="18">
        <f>IF($Z1462="","",IF(AND(DATE($AD1462,2,1)&gt;=$AE1462,DATE($AD1462,2,1)&lt;=$AF1462),ROUND($AG1462,2),0))</f>
        <v/>
      </c>
      <c r="L1462" s="18">
        <f>IF($Z1462="","",IF(AND(DATE($AD1462,3,1)&gt;=$AE1462,DATE($AD1462,3,1)&lt;=$AF1462),ROUND($AG1462,2),0))</f>
        <v/>
      </c>
      <c r="M1462" s="18">
        <f>IF($Z1462="","",IF(AND(DATE($AD1462,4,1)&gt;=$AE1462,DATE($AD1462,4,1)&lt;=$AF1462),ROUND($AG1462,2),0))</f>
        <v/>
      </c>
      <c r="N1462" s="18">
        <f>IF($Z1462="","",IF(AND(DATE($AD1462,5,1)&gt;=$AE1462,DATE($AD1462,5,1)&lt;=$AF1462),ROUND($AG1462,2),0))</f>
        <v/>
      </c>
      <c r="O1462" s="18">
        <f>IF($Z1462="","",IF(AND(DATE($AD1462,6,1)&gt;=$AE1462,DATE($AD1462,6,1)&lt;=$AF1462),ROUND($AG1462,2),0))</f>
        <v/>
      </c>
      <c r="P1462" s="18">
        <f>IF($Z1462="","",IF(AND(DATE($AD1462,7,1)&gt;=$AE1462,DATE($AD1462,7,1)&lt;=$AF1462),ROUND($AG1462,2),0))</f>
        <v/>
      </c>
      <c r="Q1462" s="18">
        <f>IF($Z1462="","",IF(AND(DATE($AD1462,8,1)&gt;=$AE1462,DATE($AD1462,8,1)&lt;=$AF1462),ROUND($AG1462,2),0))</f>
        <v/>
      </c>
      <c r="R1462" s="18">
        <f>IF($Z1462="","",IF(AND(DATE($AD1462,9,1)&gt;=$AE1462,DATE($AD1462,9,1)&lt;=$AF1462),ROUND($AG1462,2),0))</f>
        <v/>
      </c>
      <c r="S1462" s="18">
        <f>IF($Z1462="","",IF(AND(DATE($AD1462,10,1)&gt;=$AE1462,DATE($AD1462,10,1)&lt;=$AF1462),ROUND($AG1462,2),0))</f>
        <v/>
      </c>
      <c r="T1462" s="18">
        <f>IF($Z1462="","",IF(AND(DATE($AD1462,11,1)&gt;=$AE1462,DATE($AD1462,11,1)&lt;=$AF1462),ROUND($AG1462,2),0))</f>
        <v/>
      </c>
      <c r="U1462" s="18">
        <f>IF($Z1462="","",IF(AND(DATE($AD1462,12,1)&gt;=$AE1462,DATE($AD1462,12,1)&lt;=$AF1462),ROUND($AG1462,2),0))</f>
        <v/>
      </c>
      <c r="V1462" s="7">
        <f>IF($Z1462="C","Generated from "&amp;INDEX(Contracts!$A$2:$A$151,$AB1462),IF($Z1462="A","Generated from "&amp;INDEX(Fixed_Assets!$A$2:$A$201,$AB1462),IF($Z1462="F","Generated from "&amp;INDEX(FTE_Allocation!$A$2:$A$201,$AB1462),"")))</f>
        <v/>
      </c>
      <c r="X1462" s="19">
        <f>IF($Z1462="","",SUM(J1462:U1462))</f>
        <v/>
      </c>
      <c r="Y1462" s="20">
        <f>ROW()-1</f>
        <v/>
      </c>
      <c r="Z1462" s="20">
        <f>IF($Y1462&lt;=Settings!$B$4*3,"C",IF($Y1462&lt;=(Settings!$B$4+Settings!$B$5)*3,"A",IF($Y1462&lt;=(Settings!$B$4+Settings!$B$5+Settings!$B$6)*3,"F","")))</f>
        <v/>
      </c>
      <c r="AA1462" s="20">
        <f>IF($Z1462="C",$Y1462,IF($Z1462="A",$Y1462-Settings!$B$4*3,IF($Z1462="F",$Y1462-(Settings!$B$4+Settings!$B$5)*3,"")))</f>
        <v/>
      </c>
      <c r="AB1462" s="20">
        <f>IF($Z1462="","",INT(($AA1462-1)/3)+1)</f>
        <v/>
      </c>
      <c r="AC1462" s="20">
        <f>IF($Z1462="","",MOD($AA1462-1,3)+1)</f>
        <v/>
      </c>
      <c r="AD1462" s="20">
        <f>IF($Z1462="","",Settings!$B$2+$AC1462-1)</f>
        <v/>
      </c>
      <c r="AE1462" s="21">
        <f>IF($Z1462="C",DATE(YEAR(INDEX(Contracts!$J$2:$J$151,$AB1462)),MONTH(INDEX(Contracts!$J$2:$J$151,$AB1462)),1),IF($Z1462="A",DATE(YEAR(INDEX(Fixed_Assets!$G$2:$G$201,$AB1462)),MONTH(INDEX(Fixed_Assets!$G$2:$G$201,$AB1462)),1),IF($Z1462="F",DATE(YEAR(MAX(N(INDEX(Workforce!$I$2:$I$151,MATCH(INDEX(FTE_Allocation!$A$2:$A$201,$AB1462),Workforce!$A$2:$A$151,0))),N(INDEX(FTE_Allocation!$I$2:$I$201,$AB1462)))),MONTH(MAX(N(INDEX(Workforce!$I$2:$I$151,MATCH(INDEX(FTE_Allocation!$A$2:$A$201,$AB1462),Workforce!$A$2:$A$151,0))),N(INDEX(FTE_Allocation!$I$2:$I$201,$AB1462)))),1),"")))</f>
        <v/>
      </c>
      <c r="AF1462" s="21">
        <f>IF($Z1462="C",IF(INDEX(Contracts!$I$2:$I$151,$AB1462)="PREPAID",EDATE(DATE(YEAR(INDEX(Contracts!$J$2:$J$151,$AB1462)),MONTH(INDEX(Contracts!$J$2:$J$151,$AB1462)),1),IF(INDEX(Contracts!$N$2:$N$151,$AB1462)="",12,INDEX(Contracts!$N$2:$N$151,$AB1462))-1),IF(INDEX(Contracts!$I$2:$I$151,$AB1462)="MONTHLY",IF(INDEX(Contracts!$K$2:$K$151,$AB1462)="",2958101,INDEX(Contracts!$K$2:$K$151,$AB1462)),0)),IF($Z1462="A",EDATE(DATE(YEAR(INDEX(Fixed_Assets!$G$2:$G$201,$AB1462)),MONTH(INDEX(Fixed_Assets!$G$2:$G$201,$AB1462)),1),INDEX(Fixed_Assets!$J$2:$J$201,$AB1462)-1),IF($Z1462="F",MIN(IF(INDEX(Workforce!$J$2:$J$151,MATCH(INDEX(FTE_Allocation!$A$2:$A$201,$AB1462),Workforce!$A$2:$A$151,0))="",2958101,INDEX(Workforce!$J$2:$J$151,MATCH(INDEX(FTE_Allocation!$A$2:$A$201,$AB1462),Workforce!$A$2:$A$151,0))),IF(INDEX(FTE_Allocation!$J$2:$J$201,$AB1462)="",2958101,INDEX(FTE_Allocation!$J$2:$J$201,$AB1462))),"")))</f>
        <v/>
      </c>
      <c r="AG1462" s="19">
        <f>IF($Z1462="C",IF(INDEX(Contracts!$I$2:$I$151,$AB1462)="PREPAID",INDEX(Contracts!$M$2:$M$151,$AB1462)/IF(INDEX(Contracts!$N$2:$N$151,$AB1462)="",12,INDEX(Contracts!$N$2:$N$151,$AB1462)),IF(INDEX(Contracts!$I$2:$I$151,$AB1462)="MONTHLY",INDEX(Contracts!$M$2:$M$151,$AB1462),0))*(1-N(INDEX(Contracts!$O$2:$O$151,$AB1462))),IF($Z1462="A",INDEX(Fixed_Assets!$H$2:$H$201,$AB1462)/INDEX(Fixed_Assets!$J$2:$J$201,$AB1462),IF($Z1462="F",INDEX(Workforce!$F$2:$F$151,MATCH(INDEX(FTE_Allocation!$A$2:$A$201,$AB1462),Workforce!$A$2:$A$151,0))*N(INDEX(FTE_Allocation!$F$2:$H$201,$AB1462,$AC1462)),"")))</f>
        <v/>
      </c>
    </row>
    <row r="1463">
      <c r="A1463" s="7">
        <f>IF($Z1463="","",$AD1463)</f>
        <v/>
      </c>
      <c r="B1463" s="7">
        <f>IF($Z1463="C",INDEX(Contracts!$D$2:$D$151,$AB1463)&amp;"",IF($Z1463="A",INDEX(Fixed_Assets!$C$2:$C$201,$AB1463)&amp;"",IF($Z1463="F",INDEX(Workforce!$B$2:$B$151,MATCH(INDEX(FTE_Allocation!$A$2:$A$201,$AB1463),Workforce!$A$2:$A$151,0))&amp;"","")))</f>
        <v/>
      </c>
      <c r="C1463" s="7">
        <f>IF($Z1463="C",INDEX(Contracts!$E$2:$E$151,$AB1463)&amp;"",IF($Z1463="A",INDEX(Fixed_Assets!$D$2:$D$201,$AB1463)&amp;"",IF($Z1463="F",INDEX(FTE_Allocation!$C$2:$C$201,$AB1463)&amp;"","")))</f>
        <v/>
      </c>
      <c r="D1463" s="7">
        <f>IF($Z1463="C",INDEX(Contracts!$B$2:$B$151,$AB1463)&amp;"",IF($Z1463="A",INDEX(Fixed_Assets!$B$2:$B$201,$AB1463)&amp;"",IF($Z1463="F",INDEX(FTE_Allocation!$B$2:$B$201,$AB1463)&amp;"","")))</f>
        <v/>
      </c>
      <c r="E1463" s="7">
        <f>IF($Z1463="C",INDEX(Contracts!$P$2:$P$151,$AB1463)&amp;"",IF($Z1463="A",INDEX(Fixed_Assets!$K$2:$K$201,$AB1463)&amp;"",IF($Z1463="F",IF(INDEX(FTE_Allocation!$D$2:$D$201,$AB1463)="PROJECT",IFERROR(INDEX(Projects!$D:$D,MATCH(INDEX(FTE_Allocation!$E$2:$E$201,$AB1463),Projects!$A:$A,0))&amp;"","#PROJECT?"),INDEX(FTE_Allocation!$E$2:$E$201,$AB1463)&amp;""),"")))</f>
        <v/>
      </c>
      <c r="F1463" s="7">
        <f>IF($Z1463="C",INDEX(Contracts!$Q$2:$Q$151,$AB1463)&amp;"",IF($Z1463="A",INDEX(Fixed_Assets!$L$2:$L$201,$AB1463)&amp;"",IF($Z1463="F",INDEX(Workforce!$K$2:$K$151,MATCH(INDEX(FTE_Allocation!$A$2:$A$201,$AB1463),Workforce!$A$2:$A$151,0))&amp;"","")))</f>
        <v/>
      </c>
      <c r="G1463" s="7">
        <f>IF($Z1463="C",INDEX(Contracts!$F$2:$F$151,$AB1463)&amp;" / "&amp;INDEX(Contracts!$G$2:$G$151,$AB1463),IF($Z1463="A",INDEX(Fixed_Assets!$E$2:$E$201,$AB1463)&amp;"",IF($Z1463="F","Personnel "&amp;INDEX(FTE_Allocation!$A$2:$A$201,$AB1463)&amp;IF(INDEX(FTE_Allocation!$D$2:$D$201,$AB1463)="PROJECT"," ("&amp;INDEX(FTE_Allocation!$E$2:$E$201,$AB1463)&amp;")",""),"")))</f>
        <v/>
      </c>
      <c r="H1463" s="7">
        <f>IF($Z1463="C","CONTRACT",IF($Z1463="A","ASSET",IF($Z1463="F","WORKFORCE","")))</f>
        <v/>
      </c>
      <c r="I1463" s="7">
        <f>IF($Z1463="C",INDEX(Contracts!$L$2:$L$151,$AB1463)&amp;"",IF($Z1463="A",INDEX(Fixed_Assets!$I$2:$I$201,$AB1463)&amp;"",IF($Z1463="F",INDEX(Workforce!$G$2:$G$151,MATCH(INDEX(FTE_Allocation!$A$2:$A$201,$AB1463),Workforce!$A$2:$A$151,0))&amp;"","")))</f>
        <v/>
      </c>
      <c r="J1463" s="18">
        <f>IF($Z1463="","",IF(AND(DATE($AD1463,1,1)&gt;=$AE1463,DATE($AD1463,1,1)&lt;=$AF1463),ROUND($AG1463,2),0))</f>
        <v/>
      </c>
      <c r="K1463" s="18">
        <f>IF($Z1463="","",IF(AND(DATE($AD1463,2,1)&gt;=$AE1463,DATE($AD1463,2,1)&lt;=$AF1463),ROUND($AG1463,2),0))</f>
        <v/>
      </c>
      <c r="L1463" s="18">
        <f>IF($Z1463="","",IF(AND(DATE($AD1463,3,1)&gt;=$AE1463,DATE($AD1463,3,1)&lt;=$AF1463),ROUND($AG1463,2),0))</f>
        <v/>
      </c>
      <c r="M1463" s="18">
        <f>IF($Z1463="","",IF(AND(DATE($AD1463,4,1)&gt;=$AE1463,DATE($AD1463,4,1)&lt;=$AF1463),ROUND($AG1463,2),0))</f>
        <v/>
      </c>
      <c r="N1463" s="18">
        <f>IF($Z1463="","",IF(AND(DATE($AD1463,5,1)&gt;=$AE1463,DATE($AD1463,5,1)&lt;=$AF1463),ROUND($AG1463,2),0))</f>
        <v/>
      </c>
      <c r="O1463" s="18">
        <f>IF($Z1463="","",IF(AND(DATE($AD1463,6,1)&gt;=$AE1463,DATE($AD1463,6,1)&lt;=$AF1463),ROUND($AG1463,2),0))</f>
        <v/>
      </c>
      <c r="P1463" s="18">
        <f>IF($Z1463="","",IF(AND(DATE($AD1463,7,1)&gt;=$AE1463,DATE($AD1463,7,1)&lt;=$AF1463),ROUND($AG1463,2),0))</f>
        <v/>
      </c>
      <c r="Q1463" s="18">
        <f>IF($Z1463="","",IF(AND(DATE($AD1463,8,1)&gt;=$AE1463,DATE($AD1463,8,1)&lt;=$AF1463),ROUND($AG1463,2),0))</f>
        <v/>
      </c>
      <c r="R1463" s="18">
        <f>IF($Z1463="","",IF(AND(DATE($AD1463,9,1)&gt;=$AE1463,DATE($AD1463,9,1)&lt;=$AF1463),ROUND($AG1463,2),0))</f>
        <v/>
      </c>
      <c r="S1463" s="18">
        <f>IF($Z1463="","",IF(AND(DATE($AD1463,10,1)&gt;=$AE1463,DATE($AD1463,10,1)&lt;=$AF1463),ROUND($AG1463,2),0))</f>
        <v/>
      </c>
      <c r="T1463" s="18">
        <f>IF($Z1463="","",IF(AND(DATE($AD1463,11,1)&gt;=$AE1463,DATE($AD1463,11,1)&lt;=$AF1463),ROUND($AG1463,2),0))</f>
        <v/>
      </c>
      <c r="U1463" s="18">
        <f>IF($Z1463="","",IF(AND(DATE($AD1463,12,1)&gt;=$AE1463,DATE($AD1463,12,1)&lt;=$AF1463),ROUND($AG1463,2),0))</f>
        <v/>
      </c>
      <c r="V1463" s="7">
        <f>IF($Z1463="C","Generated from "&amp;INDEX(Contracts!$A$2:$A$151,$AB1463),IF($Z1463="A","Generated from "&amp;INDEX(Fixed_Assets!$A$2:$A$201,$AB1463),IF($Z1463="F","Generated from "&amp;INDEX(FTE_Allocation!$A$2:$A$201,$AB1463),"")))</f>
        <v/>
      </c>
      <c r="X1463" s="19">
        <f>IF($Z1463="","",SUM(J1463:U1463))</f>
        <v/>
      </c>
      <c r="Y1463" s="20">
        <f>ROW()-1</f>
        <v/>
      </c>
      <c r="Z1463" s="20">
        <f>IF($Y1463&lt;=Settings!$B$4*3,"C",IF($Y1463&lt;=(Settings!$B$4+Settings!$B$5)*3,"A",IF($Y1463&lt;=(Settings!$B$4+Settings!$B$5+Settings!$B$6)*3,"F","")))</f>
        <v/>
      </c>
      <c r="AA1463" s="20">
        <f>IF($Z1463="C",$Y1463,IF($Z1463="A",$Y1463-Settings!$B$4*3,IF($Z1463="F",$Y1463-(Settings!$B$4+Settings!$B$5)*3,"")))</f>
        <v/>
      </c>
      <c r="AB1463" s="20">
        <f>IF($Z1463="","",INT(($AA1463-1)/3)+1)</f>
        <v/>
      </c>
      <c r="AC1463" s="20">
        <f>IF($Z1463="","",MOD($AA1463-1,3)+1)</f>
        <v/>
      </c>
      <c r="AD1463" s="20">
        <f>IF($Z1463="","",Settings!$B$2+$AC1463-1)</f>
        <v/>
      </c>
      <c r="AE1463" s="21">
        <f>IF($Z1463="C",DATE(YEAR(INDEX(Contracts!$J$2:$J$151,$AB1463)),MONTH(INDEX(Contracts!$J$2:$J$151,$AB1463)),1),IF($Z1463="A",DATE(YEAR(INDEX(Fixed_Assets!$G$2:$G$201,$AB1463)),MONTH(INDEX(Fixed_Assets!$G$2:$G$201,$AB1463)),1),IF($Z1463="F",DATE(YEAR(MAX(N(INDEX(Workforce!$I$2:$I$151,MATCH(INDEX(FTE_Allocation!$A$2:$A$201,$AB1463),Workforce!$A$2:$A$151,0))),N(INDEX(FTE_Allocation!$I$2:$I$201,$AB1463)))),MONTH(MAX(N(INDEX(Workforce!$I$2:$I$151,MATCH(INDEX(FTE_Allocation!$A$2:$A$201,$AB1463),Workforce!$A$2:$A$151,0))),N(INDEX(FTE_Allocation!$I$2:$I$201,$AB1463)))),1),"")))</f>
        <v/>
      </c>
      <c r="AF1463" s="21">
        <f>IF($Z1463="C",IF(INDEX(Contracts!$I$2:$I$151,$AB1463)="PREPAID",EDATE(DATE(YEAR(INDEX(Contracts!$J$2:$J$151,$AB1463)),MONTH(INDEX(Contracts!$J$2:$J$151,$AB1463)),1),IF(INDEX(Contracts!$N$2:$N$151,$AB1463)="",12,INDEX(Contracts!$N$2:$N$151,$AB1463))-1),IF(INDEX(Contracts!$I$2:$I$151,$AB1463)="MONTHLY",IF(INDEX(Contracts!$K$2:$K$151,$AB1463)="",2958101,INDEX(Contracts!$K$2:$K$151,$AB1463)),0)),IF($Z1463="A",EDATE(DATE(YEAR(INDEX(Fixed_Assets!$G$2:$G$201,$AB1463)),MONTH(INDEX(Fixed_Assets!$G$2:$G$201,$AB1463)),1),INDEX(Fixed_Assets!$J$2:$J$201,$AB1463)-1),IF($Z1463="F",MIN(IF(INDEX(Workforce!$J$2:$J$151,MATCH(INDEX(FTE_Allocation!$A$2:$A$201,$AB1463),Workforce!$A$2:$A$151,0))="",2958101,INDEX(Workforce!$J$2:$J$151,MATCH(INDEX(FTE_Allocation!$A$2:$A$201,$AB1463),Workforce!$A$2:$A$151,0))),IF(INDEX(FTE_Allocation!$J$2:$J$201,$AB1463)="",2958101,INDEX(FTE_Allocation!$J$2:$J$201,$AB1463))),"")))</f>
        <v/>
      </c>
      <c r="AG1463" s="19">
        <f>IF($Z1463="C",IF(INDEX(Contracts!$I$2:$I$151,$AB1463)="PREPAID",INDEX(Contracts!$M$2:$M$151,$AB1463)/IF(INDEX(Contracts!$N$2:$N$151,$AB1463)="",12,INDEX(Contracts!$N$2:$N$151,$AB1463)),IF(INDEX(Contracts!$I$2:$I$151,$AB1463)="MONTHLY",INDEX(Contracts!$M$2:$M$151,$AB1463),0))*(1-N(INDEX(Contracts!$O$2:$O$151,$AB1463))),IF($Z1463="A",INDEX(Fixed_Assets!$H$2:$H$201,$AB1463)/INDEX(Fixed_Assets!$J$2:$J$201,$AB1463),IF($Z1463="F",INDEX(Workforce!$F$2:$F$151,MATCH(INDEX(FTE_Allocation!$A$2:$A$201,$AB1463),Workforce!$A$2:$A$151,0))*N(INDEX(FTE_Allocation!$F$2:$H$201,$AB1463,$AC1463)),"")))</f>
        <v/>
      </c>
    </row>
    <row r="1464">
      <c r="A1464" s="7">
        <f>IF($Z1464="","",$AD1464)</f>
        <v/>
      </c>
      <c r="B1464" s="7">
        <f>IF($Z1464="C",INDEX(Contracts!$D$2:$D$151,$AB1464)&amp;"",IF($Z1464="A",INDEX(Fixed_Assets!$C$2:$C$201,$AB1464)&amp;"",IF($Z1464="F",INDEX(Workforce!$B$2:$B$151,MATCH(INDEX(FTE_Allocation!$A$2:$A$201,$AB1464),Workforce!$A$2:$A$151,0))&amp;"","")))</f>
        <v/>
      </c>
      <c r="C1464" s="7">
        <f>IF($Z1464="C",INDEX(Contracts!$E$2:$E$151,$AB1464)&amp;"",IF($Z1464="A",INDEX(Fixed_Assets!$D$2:$D$201,$AB1464)&amp;"",IF($Z1464="F",INDEX(FTE_Allocation!$C$2:$C$201,$AB1464)&amp;"","")))</f>
        <v/>
      </c>
      <c r="D1464" s="7">
        <f>IF($Z1464="C",INDEX(Contracts!$B$2:$B$151,$AB1464)&amp;"",IF($Z1464="A",INDEX(Fixed_Assets!$B$2:$B$201,$AB1464)&amp;"",IF($Z1464="F",INDEX(FTE_Allocation!$B$2:$B$201,$AB1464)&amp;"","")))</f>
        <v/>
      </c>
      <c r="E1464" s="7">
        <f>IF($Z1464="C",INDEX(Contracts!$P$2:$P$151,$AB1464)&amp;"",IF($Z1464="A",INDEX(Fixed_Assets!$K$2:$K$201,$AB1464)&amp;"",IF($Z1464="F",IF(INDEX(FTE_Allocation!$D$2:$D$201,$AB1464)="PROJECT",IFERROR(INDEX(Projects!$D:$D,MATCH(INDEX(FTE_Allocation!$E$2:$E$201,$AB1464),Projects!$A:$A,0))&amp;"","#PROJECT?"),INDEX(FTE_Allocation!$E$2:$E$201,$AB1464)&amp;""),"")))</f>
        <v/>
      </c>
      <c r="F1464" s="7">
        <f>IF($Z1464="C",INDEX(Contracts!$Q$2:$Q$151,$AB1464)&amp;"",IF($Z1464="A",INDEX(Fixed_Assets!$L$2:$L$201,$AB1464)&amp;"",IF($Z1464="F",INDEX(Workforce!$K$2:$K$151,MATCH(INDEX(FTE_Allocation!$A$2:$A$201,$AB1464),Workforce!$A$2:$A$151,0))&amp;"","")))</f>
        <v/>
      </c>
      <c r="G1464" s="7">
        <f>IF($Z1464="C",INDEX(Contracts!$F$2:$F$151,$AB1464)&amp;" / "&amp;INDEX(Contracts!$G$2:$G$151,$AB1464),IF($Z1464="A",INDEX(Fixed_Assets!$E$2:$E$201,$AB1464)&amp;"",IF($Z1464="F","Personnel "&amp;INDEX(FTE_Allocation!$A$2:$A$201,$AB1464)&amp;IF(INDEX(FTE_Allocation!$D$2:$D$201,$AB1464)="PROJECT"," ("&amp;INDEX(FTE_Allocation!$E$2:$E$201,$AB1464)&amp;")",""),"")))</f>
        <v/>
      </c>
      <c r="H1464" s="7">
        <f>IF($Z1464="C","CONTRACT",IF($Z1464="A","ASSET",IF($Z1464="F","WORKFORCE","")))</f>
        <v/>
      </c>
      <c r="I1464" s="7">
        <f>IF($Z1464="C",INDEX(Contracts!$L$2:$L$151,$AB1464)&amp;"",IF($Z1464="A",INDEX(Fixed_Assets!$I$2:$I$201,$AB1464)&amp;"",IF($Z1464="F",INDEX(Workforce!$G$2:$G$151,MATCH(INDEX(FTE_Allocation!$A$2:$A$201,$AB1464),Workforce!$A$2:$A$151,0))&amp;"","")))</f>
        <v/>
      </c>
      <c r="J1464" s="18">
        <f>IF($Z1464="","",IF(AND(DATE($AD1464,1,1)&gt;=$AE1464,DATE($AD1464,1,1)&lt;=$AF1464),ROUND($AG1464,2),0))</f>
        <v/>
      </c>
      <c r="K1464" s="18">
        <f>IF($Z1464="","",IF(AND(DATE($AD1464,2,1)&gt;=$AE1464,DATE($AD1464,2,1)&lt;=$AF1464),ROUND($AG1464,2),0))</f>
        <v/>
      </c>
      <c r="L1464" s="18">
        <f>IF($Z1464="","",IF(AND(DATE($AD1464,3,1)&gt;=$AE1464,DATE($AD1464,3,1)&lt;=$AF1464),ROUND($AG1464,2),0))</f>
        <v/>
      </c>
      <c r="M1464" s="18">
        <f>IF($Z1464="","",IF(AND(DATE($AD1464,4,1)&gt;=$AE1464,DATE($AD1464,4,1)&lt;=$AF1464),ROUND($AG1464,2),0))</f>
        <v/>
      </c>
      <c r="N1464" s="18">
        <f>IF($Z1464="","",IF(AND(DATE($AD1464,5,1)&gt;=$AE1464,DATE($AD1464,5,1)&lt;=$AF1464),ROUND($AG1464,2),0))</f>
        <v/>
      </c>
      <c r="O1464" s="18">
        <f>IF($Z1464="","",IF(AND(DATE($AD1464,6,1)&gt;=$AE1464,DATE($AD1464,6,1)&lt;=$AF1464),ROUND($AG1464,2),0))</f>
        <v/>
      </c>
      <c r="P1464" s="18">
        <f>IF($Z1464="","",IF(AND(DATE($AD1464,7,1)&gt;=$AE1464,DATE($AD1464,7,1)&lt;=$AF1464),ROUND($AG1464,2),0))</f>
        <v/>
      </c>
      <c r="Q1464" s="18">
        <f>IF($Z1464="","",IF(AND(DATE($AD1464,8,1)&gt;=$AE1464,DATE($AD1464,8,1)&lt;=$AF1464),ROUND($AG1464,2),0))</f>
        <v/>
      </c>
      <c r="R1464" s="18">
        <f>IF($Z1464="","",IF(AND(DATE($AD1464,9,1)&gt;=$AE1464,DATE($AD1464,9,1)&lt;=$AF1464),ROUND($AG1464,2),0))</f>
        <v/>
      </c>
      <c r="S1464" s="18">
        <f>IF($Z1464="","",IF(AND(DATE($AD1464,10,1)&gt;=$AE1464,DATE($AD1464,10,1)&lt;=$AF1464),ROUND($AG1464,2),0))</f>
        <v/>
      </c>
      <c r="T1464" s="18">
        <f>IF($Z1464="","",IF(AND(DATE($AD1464,11,1)&gt;=$AE1464,DATE($AD1464,11,1)&lt;=$AF1464),ROUND($AG1464,2),0))</f>
        <v/>
      </c>
      <c r="U1464" s="18">
        <f>IF($Z1464="","",IF(AND(DATE($AD1464,12,1)&gt;=$AE1464,DATE($AD1464,12,1)&lt;=$AF1464),ROUND($AG1464,2),0))</f>
        <v/>
      </c>
      <c r="V1464" s="7">
        <f>IF($Z1464="C","Generated from "&amp;INDEX(Contracts!$A$2:$A$151,$AB1464),IF($Z1464="A","Generated from "&amp;INDEX(Fixed_Assets!$A$2:$A$201,$AB1464),IF($Z1464="F","Generated from "&amp;INDEX(FTE_Allocation!$A$2:$A$201,$AB1464),"")))</f>
        <v/>
      </c>
      <c r="X1464" s="19">
        <f>IF($Z1464="","",SUM(J1464:U1464))</f>
        <v/>
      </c>
      <c r="Y1464" s="20">
        <f>ROW()-1</f>
        <v/>
      </c>
      <c r="Z1464" s="20">
        <f>IF($Y1464&lt;=Settings!$B$4*3,"C",IF($Y1464&lt;=(Settings!$B$4+Settings!$B$5)*3,"A",IF($Y1464&lt;=(Settings!$B$4+Settings!$B$5+Settings!$B$6)*3,"F","")))</f>
        <v/>
      </c>
      <c r="AA1464" s="20">
        <f>IF($Z1464="C",$Y1464,IF($Z1464="A",$Y1464-Settings!$B$4*3,IF($Z1464="F",$Y1464-(Settings!$B$4+Settings!$B$5)*3,"")))</f>
        <v/>
      </c>
      <c r="AB1464" s="20">
        <f>IF($Z1464="","",INT(($AA1464-1)/3)+1)</f>
        <v/>
      </c>
      <c r="AC1464" s="20">
        <f>IF($Z1464="","",MOD($AA1464-1,3)+1)</f>
        <v/>
      </c>
      <c r="AD1464" s="20">
        <f>IF($Z1464="","",Settings!$B$2+$AC1464-1)</f>
        <v/>
      </c>
      <c r="AE1464" s="21">
        <f>IF($Z1464="C",DATE(YEAR(INDEX(Contracts!$J$2:$J$151,$AB1464)),MONTH(INDEX(Contracts!$J$2:$J$151,$AB1464)),1),IF($Z1464="A",DATE(YEAR(INDEX(Fixed_Assets!$G$2:$G$201,$AB1464)),MONTH(INDEX(Fixed_Assets!$G$2:$G$201,$AB1464)),1),IF($Z1464="F",DATE(YEAR(MAX(N(INDEX(Workforce!$I$2:$I$151,MATCH(INDEX(FTE_Allocation!$A$2:$A$201,$AB1464),Workforce!$A$2:$A$151,0))),N(INDEX(FTE_Allocation!$I$2:$I$201,$AB1464)))),MONTH(MAX(N(INDEX(Workforce!$I$2:$I$151,MATCH(INDEX(FTE_Allocation!$A$2:$A$201,$AB1464),Workforce!$A$2:$A$151,0))),N(INDEX(FTE_Allocation!$I$2:$I$201,$AB1464)))),1),"")))</f>
        <v/>
      </c>
      <c r="AF1464" s="21">
        <f>IF($Z1464="C",IF(INDEX(Contracts!$I$2:$I$151,$AB1464)="PREPAID",EDATE(DATE(YEAR(INDEX(Contracts!$J$2:$J$151,$AB1464)),MONTH(INDEX(Contracts!$J$2:$J$151,$AB1464)),1),IF(INDEX(Contracts!$N$2:$N$151,$AB1464)="",12,INDEX(Contracts!$N$2:$N$151,$AB1464))-1),IF(INDEX(Contracts!$I$2:$I$151,$AB1464)="MONTHLY",IF(INDEX(Contracts!$K$2:$K$151,$AB1464)="",2958101,INDEX(Contracts!$K$2:$K$151,$AB1464)),0)),IF($Z1464="A",EDATE(DATE(YEAR(INDEX(Fixed_Assets!$G$2:$G$201,$AB1464)),MONTH(INDEX(Fixed_Assets!$G$2:$G$201,$AB1464)),1),INDEX(Fixed_Assets!$J$2:$J$201,$AB1464)-1),IF($Z1464="F",MIN(IF(INDEX(Workforce!$J$2:$J$151,MATCH(INDEX(FTE_Allocation!$A$2:$A$201,$AB1464),Workforce!$A$2:$A$151,0))="",2958101,INDEX(Workforce!$J$2:$J$151,MATCH(INDEX(FTE_Allocation!$A$2:$A$201,$AB1464),Workforce!$A$2:$A$151,0))),IF(INDEX(FTE_Allocation!$J$2:$J$201,$AB1464)="",2958101,INDEX(FTE_Allocation!$J$2:$J$201,$AB1464))),"")))</f>
        <v/>
      </c>
      <c r="AG1464" s="19">
        <f>IF($Z1464="C",IF(INDEX(Contracts!$I$2:$I$151,$AB1464)="PREPAID",INDEX(Contracts!$M$2:$M$151,$AB1464)/IF(INDEX(Contracts!$N$2:$N$151,$AB1464)="",12,INDEX(Contracts!$N$2:$N$151,$AB1464)),IF(INDEX(Contracts!$I$2:$I$151,$AB1464)="MONTHLY",INDEX(Contracts!$M$2:$M$151,$AB1464),0))*(1-N(INDEX(Contracts!$O$2:$O$151,$AB1464))),IF($Z1464="A",INDEX(Fixed_Assets!$H$2:$H$201,$AB1464)/INDEX(Fixed_Assets!$J$2:$J$201,$AB1464),IF($Z1464="F",INDEX(Workforce!$F$2:$F$151,MATCH(INDEX(FTE_Allocation!$A$2:$A$201,$AB1464),Workforce!$A$2:$A$151,0))*N(INDEX(FTE_Allocation!$F$2:$H$201,$AB1464,$AC1464)),"")))</f>
        <v/>
      </c>
    </row>
    <row r="1465">
      <c r="A1465" s="7">
        <f>IF($Z1465="","",$AD1465)</f>
        <v/>
      </c>
      <c r="B1465" s="7">
        <f>IF($Z1465="C",INDEX(Contracts!$D$2:$D$151,$AB1465)&amp;"",IF($Z1465="A",INDEX(Fixed_Assets!$C$2:$C$201,$AB1465)&amp;"",IF($Z1465="F",INDEX(Workforce!$B$2:$B$151,MATCH(INDEX(FTE_Allocation!$A$2:$A$201,$AB1465),Workforce!$A$2:$A$151,0))&amp;"","")))</f>
        <v/>
      </c>
      <c r="C1465" s="7">
        <f>IF($Z1465="C",INDEX(Contracts!$E$2:$E$151,$AB1465)&amp;"",IF($Z1465="A",INDEX(Fixed_Assets!$D$2:$D$201,$AB1465)&amp;"",IF($Z1465="F",INDEX(FTE_Allocation!$C$2:$C$201,$AB1465)&amp;"","")))</f>
        <v/>
      </c>
      <c r="D1465" s="7">
        <f>IF($Z1465="C",INDEX(Contracts!$B$2:$B$151,$AB1465)&amp;"",IF($Z1465="A",INDEX(Fixed_Assets!$B$2:$B$201,$AB1465)&amp;"",IF($Z1465="F",INDEX(FTE_Allocation!$B$2:$B$201,$AB1465)&amp;"","")))</f>
        <v/>
      </c>
      <c r="E1465" s="7">
        <f>IF($Z1465="C",INDEX(Contracts!$P$2:$P$151,$AB1465)&amp;"",IF($Z1465="A",INDEX(Fixed_Assets!$K$2:$K$201,$AB1465)&amp;"",IF($Z1465="F",IF(INDEX(FTE_Allocation!$D$2:$D$201,$AB1465)="PROJECT",IFERROR(INDEX(Projects!$D:$D,MATCH(INDEX(FTE_Allocation!$E$2:$E$201,$AB1465),Projects!$A:$A,0))&amp;"","#PROJECT?"),INDEX(FTE_Allocation!$E$2:$E$201,$AB1465)&amp;""),"")))</f>
        <v/>
      </c>
      <c r="F1465" s="7">
        <f>IF($Z1465="C",INDEX(Contracts!$Q$2:$Q$151,$AB1465)&amp;"",IF($Z1465="A",INDEX(Fixed_Assets!$L$2:$L$201,$AB1465)&amp;"",IF($Z1465="F",INDEX(Workforce!$K$2:$K$151,MATCH(INDEX(FTE_Allocation!$A$2:$A$201,$AB1465),Workforce!$A$2:$A$151,0))&amp;"","")))</f>
        <v/>
      </c>
      <c r="G1465" s="7">
        <f>IF($Z1465="C",INDEX(Contracts!$F$2:$F$151,$AB1465)&amp;" / "&amp;INDEX(Contracts!$G$2:$G$151,$AB1465),IF($Z1465="A",INDEX(Fixed_Assets!$E$2:$E$201,$AB1465)&amp;"",IF($Z1465="F","Personnel "&amp;INDEX(FTE_Allocation!$A$2:$A$201,$AB1465)&amp;IF(INDEX(FTE_Allocation!$D$2:$D$201,$AB1465)="PROJECT"," ("&amp;INDEX(FTE_Allocation!$E$2:$E$201,$AB1465)&amp;")",""),"")))</f>
        <v/>
      </c>
      <c r="H1465" s="7">
        <f>IF($Z1465="C","CONTRACT",IF($Z1465="A","ASSET",IF($Z1465="F","WORKFORCE","")))</f>
        <v/>
      </c>
      <c r="I1465" s="7">
        <f>IF($Z1465="C",INDEX(Contracts!$L$2:$L$151,$AB1465)&amp;"",IF($Z1465="A",INDEX(Fixed_Assets!$I$2:$I$201,$AB1465)&amp;"",IF($Z1465="F",INDEX(Workforce!$G$2:$G$151,MATCH(INDEX(FTE_Allocation!$A$2:$A$201,$AB1465),Workforce!$A$2:$A$151,0))&amp;"","")))</f>
        <v/>
      </c>
      <c r="J1465" s="18">
        <f>IF($Z1465="","",IF(AND(DATE($AD1465,1,1)&gt;=$AE1465,DATE($AD1465,1,1)&lt;=$AF1465),ROUND($AG1465,2),0))</f>
        <v/>
      </c>
      <c r="K1465" s="18">
        <f>IF($Z1465="","",IF(AND(DATE($AD1465,2,1)&gt;=$AE1465,DATE($AD1465,2,1)&lt;=$AF1465),ROUND($AG1465,2),0))</f>
        <v/>
      </c>
      <c r="L1465" s="18">
        <f>IF($Z1465="","",IF(AND(DATE($AD1465,3,1)&gt;=$AE1465,DATE($AD1465,3,1)&lt;=$AF1465),ROUND($AG1465,2),0))</f>
        <v/>
      </c>
      <c r="M1465" s="18">
        <f>IF($Z1465="","",IF(AND(DATE($AD1465,4,1)&gt;=$AE1465,DATE($AD1465,4,1)&lt;=$AF1465),ROUND($AG1465,2),0))</f>
        <v/>
      </c>
      <c r="N1465" s="18">
        <f>IF($Z1465="","",IF(AND(DATE($AD1465,5,1)&gt;=$AE1465,DATE($AD1465,5,1)&lt;=$AF1465),ROUND($AG1465,2),0))</f>
        <v/>
      </c>
      <c r="O1465" s="18">
        <f>IF($Z1465="","",IF(AND(DATE($AD1465,6,1)&gt;=$AE1465,DATE($AD1465,6,1)&lt;=$AF1465),ROUND($AG1465,2),0))</f>
        <v/>
      </c>
      <c r="P1465" s="18">
        <f>IF($Z1465="","",IF(AND(DATE($AD1465,7,1)&gt;=$AE1465,DATE($AD1465,7,1)&lt;=$AF1465),ROUND($AG1465,2),0))</f>
        <v/>
      </c>
      <c r="Q1465" s="18">
        <f>IF($Z1465="","",IF(AND(DATE($AD1465,8,1)&gt;=$AE1465,DATE($AD1465,8,1)&lt;=$AF1465),ROUND($AG1465,2),0))</f>
        <v/>
      </c>
      <c r="R1465" s="18">
        <f>IF($Z1465="","",IF(AND(DATE($AD1465,9,1)&gt;=$AE1465,DATE($AD1465,9,1)&lt;=$AF1465),ROUND($AG1465,2),0))</f>
        <v/>
      </c>
      <c r="S1465" s="18">
        <f>IF($Z1465="","",IF(AND(DATE($AD1465,10,1)&gt;=$AE1465,DATE($AD1465,10,1)&lt;=$AF1465),ROUND($AG1465,2),0))</f>
        <v/>
      </c>
      <c r="T1465" s="18">
        <f>IF($Z1465="","",IF(AND(DATE($AD1465,11,1)&gt;=$AE1465,DATE($AD1465,11,1)&lt;=$AF1465),ROUND($AG1465,2),0))</f>
        <v/>
      </c>
      <c r="U1465" s="18">
        <f>IF($Z1465="","",IF(AND(DATE($AD1465,12,1)&gt;=$AE1465,DATE($AD1465,12,1)&lt;=$AF1465),ROUND($AG1465,2),0))</f>
        <v/>
      </c>
      <c r="V1465" s="7">
        <f>IF($Z1465="C","Generated from "&amp;INDEX(Contracts!$A$2:$A$151,$AB1465),IF($Z1465="A","Generated from "&amp;INDEX(Fixed_Assets!$A$2:$A$201,$AB1465),IF($Z1465="F","Generated from "&amp;INDEX(FTE_Allocation!$A$2:$A$201,$AB1465),"")))</f>
        <v/>
      </c>
      <c r="X1465" s="19">
        <f>IF($Z1465="","",SUM(J1465:U1465))</f>
        <v/>
      </c>
      <c r="Y1465" s="20">
        <f>ROW()-1</f>
        <v/>
      </c>
      <c r="Z1465" s="20">
        <f>IF($Y1465&lt;=Settings!$B$4*3,"C",IF($Y1465&lt;=(Settings!$B$4+Settings!$B$5)*3,"A",IF($Y1465&lt;=(Settings!$B$4+Settings!$B$5+Settings!$B$6)*3,"F","")))</f>
        <v/>
      </c>
      <c r="AA1465" s="20">
        <f>IF($Z1465="C",$Y1465,IF($Z1465="A",$Y1465-Settings!$B$4*3,IF($Z1465="F",$Y1465-(Settings!$B$4+Settings!$B$5)*3,"")))</f>
        <v/>
      </c>
      <c r="AB1465" s="20">
        <f>IF($Z1465="","",INT(($AA1465-1)/3)+1)</f>
        <v/>
      </c>
      <c r="AC1465" s="20">
        <f>IF($Z1465="","",MOD($AA1465-1,3)+1)</f>
        <v/>
      </c>
      <c r="AD1465" s="20">
        <f>IF($Z1465="","",Settings!$B$2+$AC1465-1)</f>
        <v/>
      </c>
      <c r="AE1465" s="21">
        <f>IF($Z1465="C",DATE(YEAR(INDEX(Contracts!$J$2:$J$151,$AB1465)),MONTH(INDEX(Contracts!$J$2:$J$151,$AB1465)),1),IF($Z1465="A",DATE(YEAR(INDEX(Fixed_Assets!$G$2:$G$201,$AB1465)),MONTH(INDEX(Fixed_Assets!$G$2:$G$201,$AB1465)),1),IF($Z1465="F",DATE(YEAR(MAX(N(INDEX(Workforce!$I$2:$I$151,MATCH(INDEX(FTE_Allocation!$A$2:$A$201,$AB1465),Workforce!$A$2:$A$151,0))),N(INDEX(FTE_Allocation!$I$2:$I$201,$AB1465)))),MONTH(MAX(N(INDEX(Workforce!$I$2:$I$151,MATCH(INDEX(FTE_Allocation!$A$2:$A$201,$AB1465),Workforce!$A$2:$A$151,0))),N(INDEX(FTE_Allocation!$I$2:$I$201,$AB1465)))),1),"")))</f>
        <v/>
      </c>
      <c r="AF1465" s="21">
        <f>IF($Z1465="C",IF(INDEX(Contracts!$I$2:$I$151,$AB1465)="PREPAID",EDATE(DATE(YEAR(INDEX(Contracts!$J$2:$J$151,$AB1465)),MONTH(INDEX(Contracts!$J$2:$J$151,$AB1465)),1),IF(INDEX(Contracts!$N$2:$N$151,$AB1465)="",12,INDEX(Contracts!$N$2:$N$151,$AB1465))-1),IF(INDEX(Contracts!$I$2:$I$151,$AB1465)="MONTHLY",IF(INDEX(Contracts!$K$2:$K$151,$AB1465)="",2958101,INDEX(Contracts!$K$2:$K$151,$AB1465)),0)),IF($Z1465="A",EDATE(DATE(YEAR(INDEX(Fixed_Assets!$G$2:$G$201,$AB1465)),MONTH(INDEX(Fixed_Assets!$G$2:$G$201,$AB1465)),1),INDEX(Fixed_Assets!$J$2:$J$201,$AB1465)-1),IF($Z1465="F",MIN(IF(INDEX(Workforce!$J$2:$J$151,MATCH(INDEX(FTE_Allocation!$A$2:$A$201,$AB1465),Workforce!$A$2:$A$151,0))="",2958101,INDEX(Workforce!$J$2:$J$151,MATCH(INDEX(FTE_Allocation!$A$2:$A$201,$AB1465),Workforce!$A$2:$A$151,0))),IF(INDEX(FTE_Allocation!$J$2:$J$201,$AB1465)="",2958101,INDEX(FTE_Allocation!$J$2:$J$201,$AB1465))),"")))</f>
        <v/>
      </c>
      <c r="AG1465" s="19">
        <f>IF($Z1465="C",IF(INDEX(Contracts!$I$2:$I$151,$AB1465)="PREPAID",INDEX(Contracts!$M$2:$M$151,$AB1465)/IF(INDEX(Contracts!$N$2:$N$151,$AB1465)="",12,INDEX(Contracts!$N$2:$N$151,$AB1465)),IF(INDEX(Contracts!$I$2:$I$151,$AB1465)="MONTHLY",INDEX(Contracts!$M$2:$M$151,$AB1465),0))*(1-N(INDEX(Contracts!$O$2:$O$151,$AB1465))),IF($Z1465="A",INDEX(Fixed_Assets!$H$2:$H$201,$AB1465)/INDEX(Fixed_Assets!$J$2:$J$201,$AB1465),IF($Z1465="F",INDEX(Workforce!$F$2:$F$151,MATCH(INDEX(FTE_Allocation!$A$2:$A$201,$AB1465),Workforce!$A$2:$A$151,0))*N(INDEX(FTE_Allocation!$F$2:$H$201,$AB1465,$AC1465)),"")))</f>
        <v/>
      </c>
    </row>
    <row r="1466">
      <c r="A1466" s="7">
        <f>IF($Z1466="","",$AD1466)</f>
        <v/>
      </c>
      <c r="B1466" s="7">
        <f>IF($Z1466="C",INDEX(Contracts!$D$2:$D$151,$AB1466)&amp;"",IF($Z1466="A",INDEX(Fixed_Assets!$C$2:$C$201,$AB1466)&amp;"",IF($Z1466="F",INDEX(Workforce!$B$2:$B$151,MATCH(INDEX(FTE_Allocation!$A$2:$A$201,$AB1466),Workforce!$A$2:$A$151,0))&amp;"","")))</f>
        <v/>
      </c>
      <c r="C1466" s="7">
        <f>IF($Z1466="C",INDEX(Contracts!$E$2:$E$151,$AB1466)&amp;"",IF($Z1466="A",INDEX(Fixed_Assets!$D$2:$D$201,$AB1466)&amp;"",IF($Z1466="F",INDEX(FTE_Allocation!$C$2:$C$201,$AB1466)&amp;"","")))</f>
        <v/>
      </c>
      <c r="D1466" s="7">
        <f>IF($Z1466="C",INDEX(Contracts!$B$2:$B$151,$AB1466)&amp;"",IF($Z1466="A",INDEX(Fixed_Assets!$B$2:$B$201,$AB1466)&amp;"",IF($Z1466="F",INDEX(FTE_Allocation!$B$2:$B$201,$AB1466)&amp;"","")))</f>
        <v/>
      </c>
      <c r="E1466" s="7">
        <f>IF($Z1466="C",INDEX(Contracts!$P$2:$P$151,$AB1466)&amp;"",IF($Z1466="A",INDEX(Fixed_Assets!$K$2:$K$201,$AB1466)&amp;"",IF($Z1466="F",IF(INDEX(FTE_Allocation!$D$2:$D$201,$AB1466)="PROJECT",IFERROR(INDEX(Projects!$D:$D,MATCH(INDEX(FTE_Allocation!$E$2:$E$201,$AB1466),Projects!$A:$A,0))&amp;"","#PROJECT?"),INDEX(FTE_Allocation!$E$2:$E$201,$AB1466)&amp;""),"")))</f>
        <v/>
      </c>
      <c r="F1466" s="7">
        <f>IF($Z1466="C",INDEX(Contracts!$Q$2:$Q$151,$AB1466)&amp;"",IF($Z1466="A",INDEX(Fixed_Assets!$L$2:$L$201,$AB1466)&amp;"",IF($Z1466="F",INDEX(Workforce!$K$2:$K$151,MATCH(INDEX(FTE_Allocation!$A$2:$A$201,$AB1466),Workforce!$A$2:$A$151,0))&amp;"","")))</f>
        <v/>
      </c>
      <c r="G1466" s="7">
        <f>IF($Z1466="C",INDEX(Contracts!$F$2:$F$151,$AB1466)&amp;" / "&amp;INDEX(Contracts!$G$2:$G$151,$AB1466),IF($Z1466="A",INDEX(Fixed_Assets!$E$2:$E$201,$AB1466)&amp;"",IF($Z1466="F","Personnel "&amp;INDEX(FTE_Allocation!$A$2:$A$201,$AB1466)&amp;IF(INDEX(FTE_Allocation!$D$2:$D$201,$AB1466)="PROJECT"," ("&amp;INDEX(FTE_Allocation!$E$2:$E$201,$AB1466)&amp;")",""),"")))</f>
        <v/>
      </c>
      <c r="H1466" s="7">
        <f>IF($Z1466="C","CONTRACT",IF($Z1466="A","ASSET",IF($Z1466="F","WORKFORCE","")))</f>
        <v/>
      </c>
      <c r="I1466" s="7">
        <f>IF($Z1466="C",INDEX(Contracts!$L$2:$L$151,$AB1466)&amp;"",IF($Z1466="A",INDEX(Fixed_Assets!$I$2:$I$201,$AB1466)&amp;"",IF($Z1466="F",INDEX(Workforce!$G$2:$G$151,MATCH(INDEX(FTE_Allocation!$A$2:$A$201,$AB1466),Workforce!$A$2:$A$151,0))&amp;"","")))</f>
        <v/>
      </c>
      <c r="J1466" s="18">
        <f>IF($Z1466="","",IF(AND(DATE($AD1466,1,1)&gt;=$AE1466,DATE($AD1466,1,1)&lt;=$AF1466),ROUND($AG1466,2),0))</f>
        <v/>
      </c>
      <c r="K1466" s="18">
        <f>IF($Z1466="","",IF(AND(DATE($AD1466,2,1)&gt;=$AE1466,DATE($AD1466,2,1)&lt;=$AF1466),ROUND($AG1466,2),0))</f>
        <v/>
      </c>
      <c r="L1466" s="18">
        <f>IF($Z1466="","",IF(AND(DATE($AD1466,3,1)&gt;=$AE1466,DATE($AD1466,3,1)&lt;=$AF1466),ROUND($AG1466,2),0))</f>
        <v/>
      </c>
      <c r="M1466" s="18">
        <f>IF($Z1466="","",IF(AND(DATE($AD1466,4,1)&gt;=$AE1466,DATE($AD1466,4,1)&lt;=$AF1466),ROUND($AG1466,2),0))</f>
        <v/>
      </c>
      <c r="N1466" s="18">
        <f>IF($Z1466="","",IF(AND(DATE($AD1466,5,1)&gt;=$AE1466,DATE($AD1466,5,1)&lt;=$AF1466),ROUND($AG1466,2),0))</f>
        <v/>
      </c>
      <c r="O1466" s="18">
        <f>IF($Z1466="","",IF(AND(DATE($AD1466,6,1)&gt;=$AE1466,DATE($AD1466,6,1)&lt;=$AF1466),ROUND($AG1466,2),0))</f>
        <v/>
      </c>
      <c r="P1466" s="18">
        <f>IF($Z1466="","",IF(AND(DATE($AD1466,7,1)&gt;=$AE1466,DATE($AD1466,7,1)&lt;=$AF1466),ROUND($AG1466,2),0))</f>
        <v/>
      </c>
      <c r="Q1466" s="18">
        <f>IF($Z1466="","",IF(AND(DATE($AD1466,8,1)&gt;=$AE1466,DATE($AD1466,8,1)&lt;=$AF1466),ROUND($AG1466,2),0))</f>
        <v/>
      </c>
      <c r="R1466" s="18">
        <f>IF($Z1466="","",IF(AND(DATE($AD1466,9,1)&gt;=$AE1466,DATE($AD1466,9,1)&lt;=$AF1466),ROUND($AG1466,2),0))</f>
        <v/>
      </c>
      <c r="S1466" s="18">
        <f>IF($Z1466="","",IF(AND(DATE($AD1466,10,1)&gt;=$AE1466,DATE($AD1466,10,1)&lt;=$AF1466),ROUND($AG1466,2),0))</f>
        <v/>
      </c>
      <c r="T1466" s="18">
        <f>IF($Z1466="","",IF(AND(DATE($AD1466,11,1)&gt;=$AE1466,DATE($AD1466,11,1)&lt;=$AF1466),ROUND($AG1466,2),0))</f>
        <v/>
      </c>
      <c r="U1466" s="18">
        <f>IF($Z1466="","",IF(AND(DATE($AD1466,12,1)&gt;=$AE1466,DATE($AD1466,12,1)&lt;=$AF1466),ROUND($AG1466,2),0))</f>
        <v/>
      </c>
      <c r="V1466" s="7">
        <f>IF($Z1466="C","Generated from "&amp;INDEX(Contracts!$A$2:$A$151,$AB1466),IF($Z1466="A","Generated from "&amp;INDEX(Fixed_Assets!$A$2:$A$201,$AB1466),IF($Z1466="F","Generated from "&amp;INDEX(FTE_Allocation!$A$2:$A$201,$AB1466),"")))</f>
        <v/>
      </c>
      <c r="X1466" s="19">
        <f>IF($Z1466="","",SUM(J1466:U1466))</f>
        <v/>
      </c>
      <c r="Y1466" s="20">
        <f>ROW()-1</f>
        <v/>
      </c>
      <c r="Z1466" s="20">
        <f>IF($Y1466&lt;=Settings!$B$4*3,"C",IF($Y1466&lt;=(Settings!$B$4+Settings!$B$5)*3,"A",IF($Y1466&lt;=(Settings!$B$4+Settings!$B$5+Settings!$B$6)*3,"F","")))</f>
        <v/>
      </c>
      <c r="AA1466" s="20">
        <f>IF($Z1466="C",$Y1466,IF($Z1466="A",$Y1466-Settings!$B$4*3,IF($Z1466="F",$Y1466-(Settings!$B$4+Settings!$B$5)*3,"")))</f>
        <v/>
      </c>
      <c r="AB1466" s="20">
        <f>IF($Z1466="","",INT(($AA1466-1)/3)+1)</f>
        <v/>
      </c>
      <c r="AC1466" s="20">
        <f>IF($Z1466="","",MOD($AA1466-1,3)+1)</f>
        <v/>
      </c>
      <c r="AD1466" s="20">
        <f>IF($Z1466="","",Settings!$B$2+$AC1466-1)</f>
        <v/>
      </c>
      <c r="AE1466" s="21">
        <f>IF($Z1466="C",DATE(YEAR(INDEX(Contracts!$J$2:$J$151,$AB1466)),MONTH(INDEX(Contracts!$J$2:$J$151,$AB1466)),1),IF($Z1466="A",DATE(YEAR(INDEX(Fixed_Assets!$G$2:$G$201,$AB1466)),MONTH(INDEX(Fixed_Assets!$G$2:$G$201,$AB1466)),1),IF($Z1466="F",DATE(YEAR(MAX(N(INDEX(Workforce!$I$2:$I$151,MATCH(INDEX(FTE_Allocation!$A$2:$A$201,$AB1466),Workforce!$A$2:$A$151,0))),N(INDEX(FTE_Allocation!$I$2:$I$201,$AB1466)))),MONTH(MAX(N(INDEX(Workforce!$I$2:$I$151,MATCH(INDEX(FTE_Allocation!$A$2:$A$201,$AB1466),Workforce!$A$2:$A$151,0))),N(INDEX(FTE_Allocation!$I$2:$I$201,$AB1466)))),1),"")))</f>
        <v/>
      </c>
      <c r="AF1466" s="21">
        <f>IF($Z1466="C",IF(INDEX(Contracts!$I$2:$I$151,$AB1466)="PREPAID",EDATE(DATE(YEAR(INDEX(Contracts!$J$2:$J$151,$AB1466)),MONTH(INDEX(Contracts!$J$2:$J$151,$AB1466)),1),IF(INDEX(Contracts!$N$2:$N$151,$AB1466)="",12,INDEX(Contracts!$N$2:$N$151,$AB1466))-1),IF(INDEX(Contracts!$I$2:$I$151,$AB1466)="MONTHLY",IF(INDEX(Contracts!$K$2:$K$151,$AB1466)="",2958101,INDEX(Contracts!$K$2:$K$151,$AB1466)),0)),IF($Z1466="A",EDATE(DATE(YEAR(INDEX(Fixed_Assets!$G$2:$G$201,$AB1466)),MONTH(INDEX(Fixed_Assets!$G$2:$G$201,$AB1466)),1),INDEX(Fixed_Assets!$J$2:$J$201,$AB1466)-1),IF($Z1466="F",MIN(IF(INDEX(Workforce!$J$2:$J$151,MATCH(INDEX(FTE_Allocation!$A$2:$A$201,$AB1466),Workforce!$A$2:$A$151,0))="",2958101,INDEX(Workforce!$J$2:$J$151,MATCH(INDEX(FTE_Allocation!$A$2:$A$201,$AB1466),Workforce!$A$2:$A$151,0))),IF(INDEX(FTE_Allocation!$J$2:$J$201,$AB1466)="",2958101,INDEX(FTE_Allocation!$J$2:$J$201,$AB1466))),"")))</f>
        <v/>
      </c>
      <c r="AG1466" s="19">
        <f>IF($Z1466="C",IF(INDEX(Contracts!$I$2:$I$151,$AB1466)="PREPAID",INDEX(Contracts!$M$2:$M$151,$AB1466)/IF(INDEX(Contracts!$N$2:$N$151,$AB1466)="",12,INDEX(Contracts!$N$2:$N$151,$AB1466)),IF(INDEX(Contracts!$I$2:$I$151,$AB1466)="MONTHLY",INDEX(Contracts!$M$2:$M$151,$AB1466),0))*(1-N(INDEX(Contracts!$O$2:$O$151,$AB1466))),IF($Z1466="A",INDEX(Fixed_Assets!$H$2:$H$201,$AB1466)/INDEX(Fixed_Assets!$J$2:$J$201,$AB1466),IF($Z1466="F",INDEX(Workforce!$F$2:$F$151,MATCH(INDEX(FTE_Allocation!$A$2:$A$201,$AB1466),Workforce!$A$2:$A$151,0))*N(INDEX(FTE_Allocation!$F$2:$H$201,$AB1466,$AC1466)),"")))</f>
        <v/>
      </c>
    </row>
    <row r="1467">
      <c r="A1467" s="7">
        <f>IF($Z1467="","",$AD1467)</f>
        <v/>
      </c>
      <c r="B1467" s="7">
        <f>IF($Z1467="C",INDEX(Contracts!$D$2:$D$151,$AB1467)&amp;"",IF($Z1467="A",INDEX(Fixed_Assets!$C$2:$C$201,$AB1467)&amp;"",IF($Z1467="F",INDEX(Workforce!$B$2:$B$151,MATCH(INDEX(FTE_Allocation!$A$2:$A$201,$AB1467),Workforce!$A$2:$A$151,0))&amp;"","")))</f>
        <v/>
      </c>
      <c r="C1467" s="7">
        <f>IF($Z1467="C",INDEX(Contracts!$E$2:$E$151,$AB1467)&amp;"",IF($Z1467="A",INDEX(Fixed_Assets!$D$2:$D$201,$AB1467)&amp;"",IF($Z1467="F",INDEX(FTE_Allocation!$C$2:$C$201,$AB1467)&amp;"","")))</f>
        <v/>
      </c>
      <c r="D1467" s="7">
        <f>IF($Z1467="C",INDEX(Contracts!$B$2:$B$151,$AB1467)&amp;"",IF($Z1467="A",INDEX(Fixed_Assets!$B$2:$B$201,$AB1467)&amp;"",IF($Z1467="F",INDEX(FTE_Allocation!$B$2:$B$201,$AB1467)&amp;"","")))</f>
        <v/>
      </c>
      <c r="E1467" s="7">
        <f>IF($Z1467="C",INDEX(Contracts!$P$2:$P$151,$AB1467)&amp;"",IF($Z1467="A",INDEX(Fixed_Assets!$K$2:$K$201,$AB1467)&amp;"",IF($Z1467="F",IF(INDEX(FTE_Allocation!$D$2:$D$201,$AB1467)="PROJECT",IFERROR(INDEX(Projects!$D:$D,MATCH(INDEX(FTE_Allocation!$E$2:$E$201,$AB1467),Projects!$A:$A,0))&amp;"","#PROJECT?"),INDEX(FTE_Allocation!$E$2:$E$201,$AB1467)&amp;""),"")))</f>
        <v/>
      </c>
      <c r="F1467" s="7">
        <f>IF($Z1467="C",INDEX(Contracts!$Q$2:$Q$151,$AB1467)&amp;"",IF($Z1467="A",INDEX(Fixed_Assets!$L$2:$L$201,$AB1467)&amp;"",IF($Z1467="F",INDEX(Workforce!$K$2:$K$151,MATCH(INDEX(FTE_Allocation!$A$2:$A$201,$AB1467),Workforce!$A$2:$A$151,0))&amp;"","")))</f>
        <v/>
      </c>
      <c r="G1467" s="7">
        <f>IF($Z1467="C",INDEX(Contracts!$F$2:$F$151,$AB1467)&amp;" / "&amp;INDEX(Contracts!$G$2:$G$151,$AB1467),IF($Z1467="A",INDEX(Fixed_Assets!$E$2:$E$201,$AB1467)&amp;"",IF($Z1467="F","Personnel "&amp;INDEX(FTE_Allocation!$A$2:$A$201,$AB1467)&amp;IF(INDEX(FTE_Allocation!$D$2:$D$201,$AB1467)="PROJECT"," ("&amp;INDEX(FTE_Allocation!$E$2:$E$201,$AB1467)&amp;")",""),"")))</f>
        <v/>
      </c>
      <c r="H1467" s="7">
        <f>IF($Z1467="C","CONTRACT",IF($Z1467="A","ASSET",IF($Z1467="F","WORKFORCE","")))</f>
        <v/>
      </c>
      <c r="I1467" s="7">
        <f>IF($Z1467="C",INDEX(Contracts!$L$2:$L$151,$AB1467)&amp;"",IF($Z1467="A",INDEX(Fixed_Assets!$I$2:$I$201,$AB1467)&amp;"",IF($Z1467="F",INDEX(Workforce!$G$2:$G$151,MATCH(INDEX(FTE_Allocation!$A$2:$A$201,$AB1467),Workforce!$A$2:$A$151,0))&amp;"","")))</f>
        <v/>
      </c>
      <c r="J1467" s="18">
        <f>IF($Z1467="","",IF(AND(DATE($AD1467,1,1)&gt;=$AE1467,DATE($AD1467,1,1)&lt;=$AF1467),ROUND($AG1467,2),0))</f>
        <v/>
      </c>
      <c r="K1467" s="18">
        <f>IF($Z1467="","",IF(AND(DATE($AD1467,2,1)&gt;=$AE1467,DATE($AD1467,2,1)&lt;=$AF1467),ROUND($AG1467,2),0))</f>
        <v/>
      </c>
      <c r="L1467" s="18">
        <f>IF($Z1467="","",IF(AND(DATE($AD1467,3,1)&gt;=$AE1467,DATE($AD1467,3,1)&lt;=$AF1467),ROUND($AG1467,2),0))</f>
        <v/>
      </c>
      <c r="M1467" s="18">
        <f>IF($Z1467="","",IF(AND(DATE($AD1467,4,1)&gt;=$AE1467,DATE($AD1467,4,1)&lt;=$AF1467),ROUND($AG1467,2),0))</f>
        <v/>
      </c>
      <c r="N1467" s="18">
        <f>IF($Z1467="","",IF(AND(DATE($AD1467,5,1)&gt;=$AE1467,DATE($AD1467,5,1)&lt;=$AF1467),ROUND($AG1467,2),0))</f>
        <v/>
      </c>
      <c r="O1467" s="18">
        <f>IF($Z1467="","",IF(AND(DATE($AD1467,6,1)&gt;=$AE1467,DATE($AD1467,6,1)&lt;=$AF1467),ROUND($AG1467,2),0))</f>
        <v/>
      </c>
      <c r="P1467" s="18">
        <f>IF($Z1467="","",IF(AND(DATE($AD1467,7,1)&gt;=$AE1467,DATE($AD1467,7,1)&lt;=$AF1467),ROUND($AG1467,2),0))</f>
        <v/>
      </c>
      <c r="Q1467" s="18">
        <f>IF($Z1467="","",IF(AND(DATE($AD1467,8,1)&gt;=$AE1467,DATE($AD1467,8,1)&lt;=$AF1467),ROUND($AG1467,2),0))</f>
        <v/>
      </c>
      <c r="R1467" s="18">
        <f>IF($Z1467="","",IF(AND(DATE($AD1467,9,1)&gt;=$AE1467,DATE($AD1467,9,1)&lt;=$AF1467),ROUND($AG1467,2),0))</f>
        <v/>
      </c>
      <c r="S1467" s="18">
        <f>IF($Z1467="","",IF(AND(DATE($AD1467,10,1)&gt;=$AE1467,DATE($AD1467,10,1)&lt;=$AF1467),ROUND($AG1467,2),0))</f>
        <v/>
      </c>
      <c r="T1467" s="18">
        <f>IF($Z1467="","",IF(AND(DATE($AD1467,11,1)&gt;=$AE1467,DATE($AD1467,11,1)&lt;=$AF1467),ROUND($AG1467,2),0))</f>
        <v/>
      </c>
      <c r="U1467" s="18">
        <f>IF($Z1467="","",IF(AND(DATE($AD1467,12,1)&gt;=$AE1467,DATE($AD1467,12,1)&lt;=$AF1467),ROUND($AG1467,2),0))</f>
        <v/>
      </c>
      <c r="V1467" s="7">
        <f>IF($Z1467="C","Generated from "&amp;INDEX(Contracts!$A$2:$A$151,$AB1467),IF($Z1467="A","Generated from "&amp;INDEX(Fixed_Assets!$A$2:$A$201,$AB1467),IF($Z1467="F","Generated from "&amp;INDEX(FTE_Allocation!$A$2:$A$201,$AB1467),"")))</f>
        <v/>
      </c>
      <c r="X1467" s="19">
        <f>IF($Z1467="","",SUM(J1467:U1467))</f>
        <v/>
      </c>
      <c r="Y1467" s="20">
        <f>ROW()-1</f>
        <v/>
      </c>
      <c r="Z1467" s="20">
        <f>IF($Y1467&lt;=Settings!$B$4*3,"C",IF($Y1467&lt;=(Settings!$B$4+Settings!$B$5)*3,"A",IF($Y1467&lt;=(Settings!$B$4+Settings!$B$5+Settings!$B$6)*3,"F","")))</f>
        <v/>
      </c>
      <c r="AA1467" s="20">
        <f>IF($Z1467="C",$Y1467,IF($Z1467="A",$Y1467-Settings!$B$4*3,IF($Z1467="F",$Y1467-(Settings!$B$4+Settings!$B$5)*3,"")))</f>
        <v/>
      </c>
      <c r="AB1467" s="20">
        <f>IF($Z1467="","",INT(($AA1467-1)/3)+1)</f>
        <v/>
      </c>
      <c r="AC1467" s="20">
        <f>IF($Z1467="","",MOD($AA1467-1,3)+1)</f>
        <v/>
      </c>
      <c r="AD1467" s="20">
        <f>IF($Z1467="","",Settings!$B$2+$AC1467-1)</f>
        <v/>
      </c>
      <c r="AE1467" s="21">
        <f>IF($Z1467="C",DATE(YEAR(INDEX(Contracts!$J$2:$J$151,$AB1467)),MONTH(INDEX(Contracts!$J$2:$J$151,$AB1467)),1),IF($Z1467="A",DATE(YEAR(INDEX(Fixed_Assets!$G$2:$G$201,$AB1467)),MONTH(INDEX(Fixed_Assets!$G$2:$G$201,$AB1467)),1),IF($Z1467="F",DATE(YEAR(MAX(N(INDEX(Workforce!$I$2:$I$151,MATCH(INDEX(FTE_Allocation!$A$2:$A$201,$AB1467),Workforce!$A$2:$A$151,0))),N(INDEX(FTE_Allocation!$I$2:$I$201,$AB1467)))),MONTH(MAX(N(INDEX(Workforce!$I$2:$I$151,MATCH(INDEX(FTE_Allocation!$A$2:$A$201,$AB1467),Workforce!$A$2:$A$151,0))),N(INDEX(FTE_Allocation!$I$2:$I$201,$AB1467)))),1),"")))</f>
        <v/>
      </c>
      <c r="AF1467" s="21">
        <f>IF($Z1467="C",IF(INDEX(Contracts!$I$2:$I$151,$AB1467)="PREPAID",EDATE(DATE(YEAR(INDEX(Contracts!$J$2:$J$151,$AB1467)),MONTH(INDEX(Contracts!$J$2:$J$151,$AB1467)),1),IF(INDEX(Contracts!$N$2:$N$151,$AB1467)="",12,INDEX(Contracts!$N$2:$N$151,$AB1467))-1),IF(INDEX(Contracts!$I$2:$I$151,$AB1467)="MONTHLY",IF(INDEX(Contracts!$K$2:$K$151,$AB1467)="",2958101,INDEX(Contracts!$K$2:$K$151,$AB1467)),0)),IF($Z1467="A",EDATE(DATE(YEAR(INDEX(Fixed_Assets!$G$2:$G$201,$AB1467)),MONTH(INDEX(Fixed_Assets!$G$2:$G$201,$AB1467)),1),INDEX(Fixed_Assets!$J$2:$J$201,$AB1467)-1),IF($Z1467="F",MIN(IF(INDEX(Workforce!$J$2:$J$151,MATCH(INDEX(FTE_Allocation!$A$2:$A$201,$AB1467),Workforce!$A$2:$A$151,0))="",2958101,INDEX(Workforce!$J$2:$J$151,MATCH(INDEX(FTE_Allocation!$A$2:$A$201,$AB1467),Workforce!$A$2:$A$151,0))),IF(INDEX(FTE_Allocation!$J$2:$J$201,$AB1467)="",2958101,INDEX(FTE_Allocation!$J$2:$J$201,$AB1467))),"")))</f>
        <v/>
      </c>
      <c r="AG1467" s="19">
        <f>IF($Z1467="C",IF(INDEX(Contracts!$I$2:$I$151,$AB1467)="PREPAID",INDEX(Contracts!$M$2:$M$151,$AB1467)/IF(INDEX(Contracts!$N$2:$N$151,$AB1467)="",12,INDEX(Contracts!$N$2:$N$151,$AB1467)),IF(INDEX(Contracts!$I$2:$I$151,$AB1467)="MONTHLY",INDEX(Contracts!$M$2:$M$151,$AB1467),0))*(1-N(INDEX(Contracts!$O$2:$O$151,$AB1467))),IF($Z1467="A",INDEX(Fixed_Assets!$H$2:$H$201,$AB1467)/INDEX(Fixed_Assets!$J$2:$J$201,$AB1467),IF($Z1467="F",INDEX(Workforce!$F$2:$F$151,MATCH(INDEX(FTE_Allocation!$A$2:$A$201,$AB1467),Workforce!$A$2:$A$151,0))*N(INDEX(FTE_Allocation!$F$2:$H$201,$AB1467,$AC1467)),"")))</f>
        <v/>
      </c>
    </row>
    <row r="1468">
      <c r="A1468" s="7">
        <f>IF($Z1468="","",$AD1468)</f>
        <v/>
      </c>
      <c r="B1468" s="7">
        <f>IF($Z1468="C",INDEX(Contracts!$D$2:$D$151,$AB1468)&amp;"",IF($Z1468="A",INDEX(Fixed_Assets!$C$2:$C$201,$AB1468)&amp;"",IF($Z1468="F",INDEX(Workforce!$B$2:$B$151,MATCH(INDEX(FTE_Allocation!$A$2:$A$201,$AB1468),Workforce!$A$2:$A$151,0))&amp;"","")))</f>
        <v/>
      </c>
      <c r="C1468" s="7">
        <f>IF($Z1468="C",INDEX(Contracts!$E$2:$E$151,$AB1468)&amp;"",IF($Z1468="A",INDEX(Fixed_Assets!$D$2:$D$201,$AB1468)&amp;"",IF($Z1468="F",INDEX(FTE_Allocation!$C$2:$C$201,$AB1468)&amp;"","")))</f>
        <v/>
      </c>
      <c r="D1468" s="7">
        <f>IF($Z1468="C",INDEX(Contracts!$B$2:$B$151,$AB1468)&amp;"",IF($Z1468="A",INDEX(Fixed_Assets!$B$2:$B$201,$AB1468)&amp;"",IF($Z1468="F",INDEX(FTE_Allocation!$B$2:$B$201,$AB1468)&amp;"","")))</f>
        <v/>
      </c>
      <c r="E1468" s="7">
        <f>IF($Z1468="C",INDEX(Contracts!$P$2:$P$151,$AB1468)&amp;"",IF($Z1468="A",INDEX(Fixed_Assets!$K$2:$K$201,$AB1468)&amp;"",IF($Z1468="F",IF(INDEX(FTE_Allocation!$D$2:$D$201,$AB1468)="PROJECT",IFERROR(INDEX(Projects!$D:$D,MATCH(INDEX(FTE_Allocation!$E$2:$E$201,$AB1468),Projects!$A:$A,0))&amp;"","#PROJECT?"),INDEX(FTE_Allocation!$E$2:$E$201,$AB1468)&amp;""),"")))</f>
        <v/>
      </c>
      <c r="F1468" s="7">
        <f>IF($Z1468="C",INDEX(Contracts!$Q$2:$Q$151,$AB1468)&amp;"",IF($Z1468="A",INDEX(Fixed_Assets!$L$2:$L$201,$AB1468)&amp;"",IF($Z1468="F",INDEX(Workforce!$K$2:$K$151,MATCH(INDEX(FTE_Allocation!$A$2:$A$201,$AB1468),Workforce!$A$2:$A$151,0))&amp;"","")))</f>
        <v/>
      </c>
      <c r="G1468" s="7">
        <f>IF($Z1468="C",INDEX(Contracts!$F$2:$F$151,$AB1468)&amp;" / "&amp;INDEX(Contracts!$G$2:$G$151,$AB1468),IF($Z1468="A",INDEX(Fixed_Assets!$E$2:$E$201,$AB1468)&amp;"",IF($Z1468="F","Personnel "&amp;INDEX(FTE_Allocation!$A$2:$A$201,$AB1468)&amp;IF(INDEX(FTE_Allocation!$D$2:$D$201,$AB1468)="PROJECT"," ("&amp;INDEX(FTE_Allocation!$E$2:$E$201,$AB1468)&amp;")",""),"")))</f>
        <v/>
      </c>
      <c r="H1468" s="7">
        <f>IF($Z1468="C","CONTRACT",IF($Z1468="A","ASSET",IF($Z1468="F","WORKFORCE","")))</f>
        <v/>
      </c>
      <c r="I1468" s="7">
        <f>IF($Z1468="C",INDEX(Contracts!$L$2:$L$151,$AB1468)&amp;"",IF($Z1468="A",INDEX(Fixed_Assets!$I$2:$I$201,$AB1468)&amp;"",IF($Z1468="F",INDEX(Workforce!$G$2:$G$151,MATCH(INDEX(FTE_Allocation!$A$2:$A$201,$AB1468),Workforce!$A$2:$A$151,0))&amp;"","")))</f>
        <v/>
      </c>
      <c r="J1468" s="18">
        <f>IF($Z1468="","",IF(AND(DATE($AD1468,1,1)&gt;=$AE1468,DATE($AD1468,1,1)&lt;=$AF1468),ROUND($AG1468,2),0))</f>
        <v/>
      </c>
      <c r="K1468" s="18">
        <f>IF($Z1468="","",IF(AND(DATE($AD1468,2,1)&gt;=$AE1468,DATE($AD1468,2,1)&lt;=$AF1468),ROUND($AG1468,2),0))</f>
        <v/>
      </c>
      <c r="L1468" s="18">
        <f>IF($Z1468="","",IF(AND(DATE($AD1468,3,1)&gt;=$AE1468,DATE($AD1468,3,1)&lt;=$AF1468),ROUND($AG1468,2),0))</f>
        <v/>
      </c>
      <c r="M1468" s="18">
        <f>IF($Z1468="","",IF(AND(DATE($AD1468,4,1)&gt;=$AE1468,DATE($AD1468,4,1)&lt;=$AF1468),ROUND($AG1468,2),0))</f>
        <v/>
      </c>
      <c r="N1468" s="18">
        <f>IF($Z1468="","",IF(AND(DATE($AD1468,5,1)&gt;=$AE1468,DATE($AD1468,5,1)&lt;=$AF1468),ROUND($AG1468,2),0))</f>
        <v/>
      </c>
      <c r="O1468" s="18">
        <f>IF($Z1468="","",IF(AND(DATE($AD1468,6,1)&gt;=$AE1468,DATE($AD1468,6,1)&lt;=$AF1468),ROUND($AG1468,2),0))</f>
        <v/>
      </c>
      <c r="P1468" s="18">
        <f>IF($Z1468="","",IF(AND(DATE($AD1468,7,1)&gt;=$AE1468,DATE($AD1468,7,1)&lt;=$AF1468),ROUND($AG1468,2),0))</f>
        <v/>
      </c>
      <c r="Q1468" s="18">
        <f>IF($Z1468="","",IF(AND(DATE($AD1468,8,1)&gt;=$AE1468,DATE($AD1468,8,1)&lt;=$AF1468),ROUND($AG1468,2),0))</f>
        <v/>
      </c>
      <c r="R1468" s="18">
        <f>IF($Z1468="","",IF(AND(DATE($AD1468,9,1)&gt;=$AE1468,DATE($AD1468,9,1)&lt;=$AF1468),ROUND($AG1468,2),0))</f>
        <v/>
      </c>
      <c r="S1468" s="18">
        <f>IF($Z1468="","",IF(AND(DATE($AD1468,10,1)&gt;=$AE1468,DATE($AD1468,10,1)&lt;=$AF1468),ROUND($AG1468,2),0))</f>
        <v/>
      </c>
      <c r="T1468" s="18">
        <f>IF($Z1468="","",IF(AND(DATE($AD1468,11,1)&gt;=$AE1468,DATE($AD1468,11,1)&lt;=$AF1468),ROUND($AG1468,2),0))</f>
        <v/>
      </c>
      <c r="U1468" s="18">
        <f>IF($Z1468="","",IF(AND(DATE($AD1468,12,1)&gt;=$AE1468,DATE($AD1468,12,1)&lt;=$AF1468),ROUND($AG1468,2),0))</f>
        <v/>
      </c>
      <c r="V1468" s="7">
        <f>IF($Z1468="C","Generated from "&amp;INDEX(Contracts!$A$2:$A$151,$AB1468),IF($Z1468="A","Generated from "&amp;INDEX(Fixed_Assets!$A$2:$A$201,$AB1468),IF($Z1468="F","Generated from "&amp;INDEX(FTE_Allocation!$A$2:$A$201,$AB1468),"")))</f>
        <v/>
      </c>
      <c r="X1468" s="19">
        <f>IF($Z1468="","",SUM(J1468:U1468))</f>
        <v/>
      </c>
      <c r="Y1468" s="20">
        <f>ROW()-1</f>
        <v/>
      </c>
      <c r="Z1468" s="20">
        <f>IF($Y1468&lt;=Settings!$B$4*3,"C",IF($Y1468&lt;=(Settings!$B$4+Settings!$B$5)*3,"A",IF($Y1468&lt;=(Settings!$B$4+Settings!$B$5+Settings!$B$6)*3,"F","")))</f>
        <v/>
      </c>
      <c r="AA1468" s="20">
        <f>IF($Z1468="C",$Y1468,IF($Z1468="A",$Y1468-Settings!$B$4*3,IF($Z1468="F",$Y1468-(Settings!$B$4+Settings!$B$5)*3,"")))</f>
        <v/>
      </c>
      <c r="AB1468" s="20">
        <f>IF($Z1468="","",INT(($AA1468-1)/3)+1)</f>
        <v/>
      </c>
      <c r="AC1468" s="20">
        <f>IF($Z1468="","",MOD($AA1468-1,3)+1)</f>
        <v/>
      </c>
      <c r="AD1468" s="20">
        <f>IF($Z1468="","",Settings!$B$2+$AC1468-1)</f>
        <v/>
      </c>
      <c r="AE1468" s="21">
        <f>IF($Z1468="C",DATE(YEAR(INDEX(Contracts!$J$2:$J$151,$AB1468)),MONTH(INDEX(Contracts!$J$2:$J$151,$AB1468)),1),IF($Z1468="A",DATE(YEAR(INDEX(Fixed_Assets!$G$2:$G$201,$AB1468)),MONTH(INDEX(Fixed_Assets!$G$2:$G$201,$AB1468)),1),IF($Z1468="F",DATE(YEAR(MAX(N(INDEX(Workforce!$I$2:$I$151,MATCH(INDEX(FTE_Allocation!$A$2:$A$201,$AB1468),Workforce!$A$2:$A$151,0))),N(INDEX(FTE_Allocation!$I$2:$I$201,$AB1468)))),MONTH(MAX(N(INDEX(Workforce!$I$2:$I$151,MATCH(INDEX(FTE_Allocation!$A$2:$A$201,$AB1468),Workforce!$A$2:$A$151,0))),N(INDEX(FTE_Allocation!$I$2:$I$201,$AB1468)))),1),"")))</f>
        <v/>
      </c>
      <c r="AF1468" s="21">
        <f>IF($Z1468="C",IF(INDEX(Contracts!$I$2:$I$151,$AB1468)="PREPAID",EDATE(DATE(YEAR(INDEX(Contracts!$J$2:$J$151,$AB1468)),MONTH(INDEX(Contracts!$J$2:$J$151,$AB1468)),1),IF(INDEX(Contracts!$N$2:$N$151,$AB1468)="",12,INDEX(Contracts!$N$2:$N$151,$AB1468))-1),IF(INDEX(Contracts!$I$2:$I$151,$AB1468)="MONTHLY",IF(INDEX(Contracts!$K$2:$K$151,$AB1468)="",2958101,INDEX(Contracts!$K$2:$K$151,$AB1468)),0)),IF($Z1468="A",EDATE(DATE(YEAR(INDEX(Fixed_Assets!$G$2:$G$201,$AB1468)),MONTH(INDEX(Fixed_Assets!$G$2:$G$201,$AB1468)),1),INDEX(Fixed_Assets!$J$2:$J$201,$AB1468)-1),IF($Z1468="F",MIN(IF(INDEX(Workforce!$J$2:$J$151,MATCH(INDEX(FTE_Allocation!$A$2:$A$201,$AB1468),Workforce!$A$2:$A$151,0))="",2958101,INDEX(Workforce!$J$2:$J$151,MATCH(INDEX(FTE_Allocation!$A$2:$A$201,$AB1468),Workforce!$A$2:$A$151,0))),IF(INDEX(FTE_Allocation!$J$2:$J$201,$AB1468)="",2958101,INDEX(FTE_Allocation!$J$2:$J$201,$AB1468))),"")))</f>
        <v/>
      </c>
      <c r="AG1468" s="19">
        <f>IF($Z1468="C",IF(INDEX(Contracts!$I$2:$I$151,$AB1468)="PREPAID",INDEX(Contracts!$M$2:$M$151,$AB1468)/IF(INDEX(Contracts!$N$2:$N$151,$AB1468)="",12,INDEX(Contracts!$N$2:$N$151,$AB1468)),IF(INDEX(Contracts!$I$2:$I$151,$AB1468)="MONTHLY",INDEX(Contracts!$M$2:$M$151,$AB1468),0))*(1-N(INDEX(Contracts!$O$2:$O$151,$AB1468))),IF($Z1468="A",INDEX(Fixed_Assets!$H$2:$H$201,$AB1468)/INDEX(Fixed_Assets!$J$2:$J$201,$AB1468),IF($Z1468="F",INDEX(Workforce!$F$2:$F$151,MATCH(INDEX(FTE_Allocation!$A$2:$A$201,$AB1468),Workforce!$A$2:$A$151,0))*N(INDEX(FTE_Allocation!$F$2:$H$201,$AB1468,$AC1468)),"")))</f>
        <v/>
      </c>
    </row>
    <row r="1469">
      <c r="A1469" s="7">
        <f>IF($Z1469="","",$AD1469)</f>
        <v/>
      </c>
      <c r="B1469" s="7">
        <f>IF($Z1469="C",INDEX(Contracts!$D$2:$D$151,$AB1469)&amp;"",IF($Z1469="A",INDEX(Fixed_Assets!$C$2:$C$201,$AB1469)&amp;"",IF($Z1469="F",INDEX(Workforce!$B$2:$B$151,MATCH(INDEX(FTE_Allocation!$A$2:$A$201,$AB1469),Workforce!$A$2:$A$151,0))&amp;"","")))</f>
        <v/>
      </c>
      <c r="C1469" s="7">
        <f>IF($Z1469="C",INDEX(Contracts!$E$2:$E$151,$AB1469)&amp;"",IF($Z1469="A",INDEX(Fixed_Assets!$D$2:$D$201,$AB1469)&amp;"",IF($Z1469="F",INDEX(FTE_Allocation!$C$2:$C$201,$AB1469)&amp;"","")))</f>
        <v/>
      </c>
      <c r="D1469" s="7">
        <f>IF($Z1469="C",INDEX(Contracts!$B$2:$B$151,$AB1469)&amp;"",IF($Z1469="A",INDEX(Fixed_Assets!$B$2:$B$201,$AB1469)&amp;"",IF($Z1469="F",INDEX(FTE_Allocation!$B$2:$B$201,$AB1469)&amp;"","")))</f>
        <v/>
      </c>
      <c r="E1469" s="7">
        <f>IF($Z1469="C",INDEX(Contracts!$P$2:$P$151,$AB1469)&amp;"",IF($Z1469="A",INDEX(Fixed_Assets!$K$2:$K$201,$AB1469)&amp;"",IF($Z1469="F",IF(INDEX(FTE_Allocation!$D$2:$D$201,$AB1469)="PROJECT",IFERROR(INDEX(Projects!$D:$D,MATCH(INDEX(FTE_Allocation!$E$2:$E$201,$AB1469),Projects!$A:$A,0))&amp;"","#PROJECT?"),INDEX(FTE_Allocation!$E$2:$E$201,$AB1469)&amp;""),"")))</f>
        <v/>
      </c>
      <c r="F1469" s="7">
        <f>IF($Z1469="C",INDEX(Contracts!$Q$2:$Q$151,$AB1469)&amp;"",IF($Z1469="A",INDEX(Fixed_Assets!$L$2:$L$201,$AB1469)&amp;"",IF($Z1469="F",INDEX(Workforce!$K$2:$K$151,MATCH(INDEX(FTE_Allocation!$A$2:$A$201,$AB1469),Workforce!$A$2:$A$151,0))&amp;"","")))</f>
        <v/>
      </c>
      <c r="G1469" s="7">
        <f>IF($Z1469="C",INDEX(Contracts!$F$2:$F$151,$AB1469)&amp;" / "&amp;INDEX(Contracts!$G$2:$G$151,$AB1469),IF($Z1469="A",INDEX(Fixed_Assets!$E$2:$E$201,$AB1469)&amp;"",IF($Z1469="F","Personnel "&amp;INDEX(FTE_Allocation!$A$2:$A$201,$AB1469)&amp;IF(INDEX(FTE_Allocation!$D$2:$D$201,$AB1469)="PROJECT"," ("&amp;INDEX(FTE_Allocation!$E$2:$E$201,$AB1469)&amp;")",""),"")))</f>
        <v/>
      </c>
      <c r="H1469" s="7">
        <f>IF($Z1469="C","CONTRACT",IF($Z1469="A","ASSET",IF($Z1469="F","WORKFORCE","")))</f>
        <v/>
      </c>
      <c r="I1469" s="7">
        <f>IF($Z1469="C",INDEX(Contracts!$L$2:$L$151,$AB1469)&amp;"",IF($Z1469="A",INDEX(Fixed_Assets!$I$2:$I$201,$AB1469)&amp;"",IF($Z1469="F",INDEX(Workforce!$G$2:$G$151,MATCH(INDEX(FTE_Allocation!$A$2:$A$201,$AB1469),Workforce!$A$2:$A$151,0))&amp;"","")))</f>
        <v/>
      </c>
      <c r="J1469" s="18">
        <f>IF($Z1469="","",IF(AND(DATE($AD1469,1,1)&gt;=$AE1469,DATE($AD1469,1,1)&lt;=$AF1469),ROUND($AG1469,2),0))</f>
        <v/>
      </c>
      <c r="K1469" s="18">
        <f>IF($Z1469="","",IF(AND(DATE($AD1469,2,1)&gt;=$AE1469,DATE($AD1469,2,1)&lt;=$AF1469),ROUND($AG1469,2),0))</f>
        <v/>
      </c>
      <c r="L1469" s="18">
        <f>IF($Z1469="","",IF(AND(DATE($AD1469,3,1)&gt;=$AE1469,DATE($AD1469,3,1)&lt;=$AF1469),ROUND($AG1469,2),0))</f>
        <v/>
      </c>
      <c r="M1469" s="18">
        <f>IF($Z1469="","",IF(AND(DATE($AD1469,4,1)&gt;=$AE1469,DATE($AD1469,4,1)&lt;=$AF1469),ROUND($AG1469,2),0))</f>
        <v/>
      </c>
      <c r="N1469" s="18">
        <f>IF($Z1469="","",IF(AND(DATE($AD1469,5,1)&gt;=$AE1469,DATE($AD1469,5,1)&lt;=$AF1469),ROUND($AG1469,2),0))</f>
        <v/>
      </c>
      <c r="O1469" s="18">
        <f>IF($Z1469="","",IF(AND(DATE($AD1469,6,1)&gt;=$AE1469,DATE($AD1469,6,1)&lt;=$AF1469),ROUND($AG1469,2),0))</f>
        <v/>
      </c>
      <c r="P1469" s="18">
        <f>IF($Z1469="","",IF(AND(DATE($AD1469,7,1)&gt;=$AE1469,DATE($AD1469,7,1)&lt;=$AF1469),ROUND($AG1469,2),0))</f>
        <v/>
      </c>
      <c r="Q1469" s="18">
        <f>IF($Z1469="","",IF(AND(DATE($AD1469,8,1)&gt;=$AE1469,DATE($AD1469,8,1)&lt;=$AF1469),ROUND($AG1469,2),0))</f>
        <v/>
      </c>
      <c r="R1469" s="18">
        <f>IF($Z1469="","",IF(AND(DATE($AD1469,9,1)&gt;=$AE1469,DATE($AD1469,9,1)&lt;=$AF1469),ROUND($AG1469,2),0))</f>
        <v/>
      </c>
      <c r="S1469" s="18">
        <f>IF($Z1469="","",IF(AND(DATE($AD1469,10,1)&gt;=$AE1469,DATE($AD1469,10,1)&lt;=$AF1469),ROUND($AG1469,2),0))</f>
        <v/>
      </c>
      <c r="T1469" s="18">
        <f>IF($Z1469="","",IF(AND(DATE($AD1469,11,1)&gt;=$AE1469,DATE($AD1469,11,1)&lt;=$AF1469),ROUND($AG1469,2),0))</f>
        <v/>
      </c>
      <c r="U1469" s="18">
        <f>IF($Z1469="","",IF(AND(DATE($AD1469,12,1)&gt;=$AE1469,DATE($AD1469,12,1)&lt;=$AF1469),ROUND($AG1469,2),0))</f>
        <v/>
      </c>
      <c r="V1469" s="7">
        <f>IF($Z1469="C","Generated from "&amp;INDEX(Contracts!$A$2:$A$151,$AB1469),IF($Z1469="A","Generated from "&amp;INDEX(Fixed_Assets!$A$2:$A$201,$AB1469),IF($Z1469="F","Generated from "&amp;INDEX(FTE_Allocation!$A$2:$A$201,$AB1469),"")))</f>
        <v/>
      </c>
      <c r="X1469" s="19">
        <f>IF($Z1469="","",SUM(J1469:U1469))</f>
        <v/>
      </c>
      <c r="Y1469" s="20">
        <f>ROW()-1</f>
        <v/>
      </c>
      <c r="Z1469" s="20">
        <f>IF($Y1469&lt;=Settings!$B$4*3,"C",IF($Y1469&lt;=(Settings!$B$4+Settings!$B$5)*3,"A",IF($Y1469&lt;=(Settings!$B$4+Settings!$B$5+Settings!$B$6)*3,"F","")))</f>
        <v/>
      </c>
      <c r="AA1469" s="20">
        <f>IF($Z1469="C",$Y1469,IF($Z1469="A",$Y1469-Settings!$B$4*3,IF($Z1469="F",$Y1469-(Settings!$B$4+Settings!$B$5)*3,"")))</f>
        <v/>
      </c>
      <c r="AB1469" s="20">
        <f>IF($Z1469="","",INT(($AA1469-1)/3)+1)</f>
        <v/>
      </c>
      <c r="AC1469" s="20">
        <f>IF($Z1469="","",MOD($AA1469-1,3)+1)</f>
        <v/>
      </c>
      <c r="AD1469" s="20">
        <f>IF($Z1469="","",Settings!$B$2+$AC1469-1)</f>
        <v/>
      </c>
      <c r="AE1469" s="21">
        <f>IF($Z1469="C",DATE(YEAR(INDEX(Contracts!$J$2:$J$151,$AB1469)),MONTH(INDEX(Contracts!$J$2:$J$151,$AB1469)),1),IF($Z1469="A",DATE(YEAR(INDEX(Fixed_Assets!$G$2:$G$201,$AB1469)),MONTH(INDEX(Fixed_Assets!$G$2:$G$201,$AB1469)),1),IF($Z1469="F",DATE(YEAR(MAX(N(INDEX(Workforce!$I$2:$I$151,MATCH(INDEX(FTE_Allocation!$A$2:$A$201,$AB1469),Workforce!$A$2:$A$151,0))),N(INDEX(FTE_Allocation!$I$2:$I$201,$AB1469)))),MONTH(MAX(N(INDEX(Workforce!$I$2:$I$151,MATCH(INDEX(FTE_Allocation!$A$2:$A$201,$AB1469),Workforce!$A$2:$A$151,0))),N(INDEX(FTE_Allocation!$I$2:$I$201,$AB1469)))),1),"")))</f>
        <v/>
      </c>
      <c r="AF1469" s="21">
        <f>IF($Z1469="C",IF(INDEX(Contracts!$I$2:$I$151,$AB1469)="PREPAID",EDATE(DATE(YEAR(INDEX(Contracts!$J$2:$J$151,$AB1469)),MONTH(INDEX(Contracts!$J$2:$J$151,$AB1469)),1),IF(INDEX(Contracts!$N$2:$N$151,$AB1469)="",12,INDEX(Contracts!$N$2:$N$151,$AB1469))-1),IF(INDEX(Contracts!$I$2:$I$151,$AB1469)="MONTHLY",IF(INDEX(Contracts!$K$2:$K$151,$AB1469)="",2958101,INDEX(Contracts!$K$2:$K$151,$AB1469)),0)),IF($Z1469="A",EDATE(DATE(YEAR(INDEX(Fixed_Assets!$G$2:$G$201,$AB1469)),MONTH(INDEX(Fixed_Assets!$G$2:$G$201,$AB1469)),1),INDEX(Fixed_Assets!$J$2:$J$201,$AB1469)-1),IF($Z1469="F",MIN(IF(INDEX(Workforce!$J$2:$J$151,MATCH(INDEX(FTE_Allocation!$A$2:$A$201,$AB1469),Workforce!$A$2:$A$151,0))="",2958101,INDEX(Workforce!$J$2:$J$151,MATCH(INDEX(FTE_Allocation!$A$2:$A$201,$AB1469),Workforce!$A$2:$A$151,0))),IF(INDEX(FTE_Allocation!$J$2:$J$201,$AB1469)="",2958101,INDEX(FTE_Allocation!$J$2:$J$201,$AB1469))),"")))</f>
        <v/>
      </c>
      <c r="AG1469" s="19">
        <f>IF($Z1469="C",IF(INDEX(Contracts!$I$2:$I$151,$AB1469)="PREPAID",INDEX(Contracts!$M$2:$M$151,$AB1469)/IF(INDEX(Contracts!$N$2:$N$151,$AB1469)="",12,INDEX(Contracts!$N$2:$N$151,$AB1469)),IF(INDEX(Contracts!$I$2:$I$151,$AB1469)="MONTHLY",INDEX(Contracts!$M$2:$M$151,$AB1469),0))*(1-N(INDEX(Contracts!$O$2:$O$151,$AB1469))),IF($Z1469="A",INDEX(Fixed_Assets!$H$2:$H$201,$AB1469)/INDEX(Fixed_Assets!$J$2:$J$201,$AB1469),IF($Z1469="F",INDEX(Workforce!$F$2:$F$151,MATCH(INDEX(FTE_Allocation!$A$2:$A$201,$AB1469),Workforce!$A$2:$A$151,0))*N(INDEX(FTE_Allocation!$F$2:$H$201,$AB1469,$AC1469)),"")))</f>
        <v/>
      </c>
    </row>
    <row r="1470">
      <c r="A1470" s="7">
        <f>IF($Z1470="","",$AD1470)</f>
        <v/>
      </c>
      <c r="B1470" s="7">
        <f>IF($Z1470="C",INDEX(Contracts!$D$2:$D$151,$AB1470)&amp;"",IF($Z1470="A",INDEX(Fixed_Assets!$C$2:$C$201,$AB1470)&amp;"",IF($Z1470="F",INDEX(Workforce!$B$2:$B$151,MATCH(INDEX(FTE_Allocation!$A$2:$A$201,$AB1470),Workforce!$A$2:$A$151,0))&amp;"","")))</f>
        <v/>
      </c>
      <c r="C1470" s="7">
        <f>IF($Z1470="C",INDEX(Contracts!$E$2:$E$151,$AB1470)&amp;"",IF($Z1470="A",INDEX(Fixed_Assets!$D$2:$D$201,$AB1470)&amp;"",IF($Z1470="F",INDEX(FTE_Allocation!$C$2:$C$201,$AB1470)&amp;"","")))</f>
        <v/>
      </c>
      <c r="D1470" s="7">
        <f>IF($Z1470="C",INDEX(Contracts!$B$2:$B$151,$AB1470)&amp;"",IF($Z1470="A",INDEX(Fixed_Assets!$B$2:$B$201,$AB1470)&amp;"",IF($Z1470="F",INDEX(FTE_Allocation!$B$2:$B$201,$AB1470)&amp;"","")))</f>
        <v/>
      </c>
      <c r="E1470" s="7">
        <f>IF($Z1470="C",INDEX(Contracts!$P$2:$P$151,$AB1470)&amp;"",IF($Z1470="A",INDEX(Fixed_Assets!$K$2:$K$201,$AB1470)&amp;"",IF($Z1470="F",IF(INDEX(FTE_Allocation!$D$2:$D$201,$AB1470)="PROJECT",IFERROR(INDEX(Projects!$D:$D,MATCH(INDEX(FTE_Allocation!$E$2:$E$201,$AB1470),Projects!$A:$A,0))&amp;"","#PROJECT?"),INDEX(FTE_Allocation!$E$2:$E$201,$AB1470)&amp;""),"")))</f>
        <v/>
      </c>
      <c r="F1470" s="7">
        <f>IF($Z1470="C",INDEX(Contracts!$Q$2:$Q$151,$AB1470)&amp;"",IF($Z1470="A",INDEX(Fixed_Assets!$L$2:$L$201,$AB1470)&amp;"",IF($Z1470="F",INDEX(Workforce!$K$2:$K$151,MATCH(INDEX(FTE_Allocation!$A$2:$A$201,$AB1470),Workforce!$A$2:$A$151,0))&amp;"","")))</f>
        <v/>
      </c>
      <c r="G1470" s="7">
        <f>IF($Z1470="C",INDEX(Contracts!$F$2:$F$151,$AB1470)&amp;" / "&amp;INDEX(Contracts!$G$2:$G$151,$AB1470),IF($Z1470="A",INDEX(Fixed_Assets!$E$2:$E$201,$AB1470)&amp;"",IF($Z1470="F","Personnel "&amp;INDEX(FTE_Allocation!$A$2:$A$201,$AB1470)&amp;IF(INDEX(FTE_Allocation!$D$2:$D$201,$AB1470)="PROJECT"," ("&amp;INDEX(FTE_Allocation!$E$2:$E$201,$AB1470)&amp;")",""),"")))</f>
        <v/>
      </c>
      <c r="H1470" s="7">
        <f>IF($Z1470="C","CONTRACT",IF($Z1470="A","ASSET",IF($Z1470="F","WORKFORCE","")))</f>
        <v/>
      </c>
      <c r="I1470" s="7">
        <f>IF($Z1470="C",INDEX(Contracts!$L$2:$L$151,$AB1470)&amp;"",IF($Z1470="A",INDEX(Fixed_Assets!$I$2:$I$201,$AB1470)&amp;"",IF($Z1470="F",INDEX(Workforce!$G$2:$G$151,MATCH(INDEX(FTE_Allocation!$A$2:$A$201,$AB1470),Workforce!$A$2:$A$151,0))&amp;"","")))</f>
        <v/>
      </c>
      <c r="J1470" s="18">
        <f>IF($Z1470="","",IF(AND(DATE($AD1470,1,1)&gt;=$AE1470,DATE($AD1470,1,1)&lt;=$AF1470),ROUND($AG1470,2),0))</f>
        <v/>
      </c>
      <c r="K1470" s="18">
        <f>IF($Z1470="","",IF(AND(DATE($AD1470,2,1)&gt;=$AE1470,DATE($AD1470,2,1)&lt;=$AF1470),ROUND($AG1470,2),0))</f>
        <v/>
      </c>
      <c r="L1470" s="18">
        <f>IF($Z1470="","",IF(AND(DATE($AD1470,3,1)&gt;=$AE1470,DATE($AD1470,3,1)&lt;=$AF1470),ROUND($AG1470,2),0))</f>
        <v/>
      </c>
      <c r="M1470" s="18">
        <f>IF($Z1470="","",IF(AND(DATE($AD1470,4,1)&gt;=$AE1470,DATE($AD1470,4,1)&lt;=$AF1470),ROUND($AG1470,2),0))</f>
        <v/>
      </c>
      <c r="N1470" s="18">
        <f>IF($Z1470="","",IF(AND(DATE($AD1470,5,1)&gt;=$AE1470,DATE($AD1470,5,1)&lt;=$AF1470),ROUND($AG1470,2),0))</f>
        <v/>
      </c>
      <c r="O1470" s="18">
        <f>IF($Z1470="","",IF(AND(DATE($AD1470,6,1)&gt;=$AE1470,DATE($AD1470,6,1)&lt;=$AF1470),ROUND($AG1470,2),0))</f>
        <v/>
      </c>
      <c r="P1470" s="18">
        <f>IF($Z1470="","",IF(AND(DATE($AD1470,7,1)&gt;=$AE1470,DATE($AD1470,7,1)&lt;=$AF1470),ROUND($AG1470,2),0))</f>
        <v/>
      </c>
      <c r="Q1470" s="18">
        <f>IF($Z1470="","",IF(AND(DATE($AD1470,8,1)&gt;=$AE1470,DATE($AD1470,8,1)&lt;=$AF1470),ROUND($AG1470,2),0))</f>
        <v/>
      </c>
      <c r="R1470" s="18">
        <f>IF($Z1470="","",IF(AND(DATE($AD1470,9,1)&gt;=$AE1470,DATE($AD1470,9,1)&lt;=$AF1470),ROUND($AG1470,2),0))</f>
        <v/>
      </c>
      <c r="S1470" s="18">
        <f>IF($Z1470="","",IF(AND(DATE($AD1470,10,1)&gt;=$AE1470,DATE($AD1470,10,1)&lt;=$AF1470),ROUND($AG1470,2),0))</f>
        <v/>
      </c>
      <c r="T1470" s="18">
        <f>IF($Z1470="","",IF(AND(DATE($AD1470,11,1)&gt;=$AE1470,DATE($AD1470,11,1)&lt;=$AF1470),ROUND($AG1470,2),0))</f>
        <v/>
      </c>
      <c r="U1470" s="18">
        <f>IF($Z1470="","",IF(AND(DATE($AD1470,12,1)&gt;=$AE1470,DATE($AD1470,12,1)&lt;=$AF1470),ROUND($AG1470,2),0))</f>
        <v/>
      </c>
      <c r="V1470" s="7">
        <f>IF($Z1470="C","Generated from "&amp;INDEX(Contracts!$A$2:$A$151,$AB1470),IF($Z1470="A","Generated from "&amp;INDEX(Fixed_Assets!$A$2:$A$201,$AB1470),IF($Z1470="F","Generated from "&amp;INDEX(FTE_Allocation!$A$2:$A$201,$AB1470),"")))</f>
        <v/>
      </c>
      <c r="X1470" s="19">
        <f>IF($Z1470="","",SUM(J1470:U1470))</f>
        <v/>
      </c>
      <c r="Y1470" s="20">
        <f>ROW()-1</f>
        <v/>
      </c>
      <c r="Z1470" s="20">
        <f>IF($Y1470&lt;=Settings!$B$4*3,"C",IF($Y1470&lt;=(Settings!$B$4+Settings!$B$5)*3,"A",IF($Y1470&lt;=(Settings!$B$4+Settings!$B$5+Settings!$B$6)*3,"F","")))</f>
        <v/>
      </c>
      <c r="AA1470" s="20">
        <f>IF($Z1470="C",$Y1470,IF($Z1470="A",$Y1470-Settings!$B$4*3,IF($Z1470="F",$Y1470-(Settings!$B$4+Settings!$B$5)*3,"")))</f>
        <v/>
      </c>
      <c r="AB1470" s="20">
        <f>IF($Z1470="","",INT(($AA1470-1)/3)+1)</f>
        <v/>
      </c>
      <c r="AC1470" s="20">
        <f>IF($Z1470="","",MOD($AA1470-1,3)+1)</f>
        <v/>
      </c>
      <c r="AD1470" s="20">
        <f>IF($Z1470="","",Settings!$B$2+$AC1470-1)</f>
        <v/>
      </c>
      <c r="AE1470" s="21">
        <f>IF($Z1470="C",DATE(YEAR(INDEX(Contracts!$J$2:$J$151,$AB1470)),MONTH(INDEX(Contracts!$J$2:$J$151,$AB1470)),1),IF($Z1470="A",DATE(YEAR(INDEX(Fixed_Assets!$G$2:$G$201,$AB1470)),MONTH(INDEX(Fixed_Assets!$G$2:$G$201,$AB1470)),1),IF($Z1470="F",DATE(YEAR(MAX(N(INDEX(Workforce!$I$2:$I$151,MATCH(INDEX(FTE_Allocation!$A$2:$A$201,$AB1470),Workforce!$A$2:$A$151,0))),N(INDEX(FTE_Allocation!$I$2:$I$201,$AB1470)))),MONTH(MAX(N(INDEX(Workforce!$I$2:$I$151,MATCH(INDEX(FTE_Allocation!$A$2:$A$201,$AB1470),Workforce!$A$2:$A$151,0))),N(INDEX(FTE_Allocation!$I$2:$I$201,$AB1470)))),1),"")))</f>
        <v/>
      </c>
      <c r="AF1470" s="21">
        <f>IF($Z1470="C",IF(INDEX(Contracts!$I$2:$I$151,$AB1470)="PREPAID",EDATE(DATE(YEAR(INDEX(Contracts!$J$2:$J$151,$AB1470)),MONTH(INDEX(Contracts!$J$2:$J$151,$AB1470)),1),IF(INDEX(Contracts!$N$2:$N$151,$AB1470)="",12,INDEX(Contracts!$N$2:$N$151,$AB1470))-1),IF(INDEX(Contracts!$I$2:$I$151,$AB1470)="MONTHLY",IF(INDEX(Contracts!$K$2:$K$151,$AB1470)="",2958101,INDEX(Contracts!$K$2:$K$151,$AB1470)),0)),IF($Z1470="A",EDATE(DATE(YEAR(INDEX(Fixed_Assets!$G$2:$G$201,$AB1470)),MONTH(INDEX(Fixed_Assets!$G$2:$G$201,$AB1470)),1),INDEX(Fixed_Assets!$J$2:$J$201,$AB1470)-1),IF($Z1470="F",MIN(IF(INDEX(Workforce!$J$2:$J$151,MATCH(INDEX(FTE_Allocation!$A$2:$A$201,$AB1470),Workforce!$A$2:$A$151,0))="",2958101,INDEX(Workforce!$J$2:$J$151,MATCH(INDEX(FTE_Allocation!$A$2:$A$201,$AB1470),Workforce!$A$2:$A$151,0))),IF(INDEX(FTE_Allocation!$J$2:$J$201,$AB1470)="",2958101,INDEX(FTE_Allocation!$J$2:$J$201,$AB1470))),"")))</f>
        <v/>
      </c>
      <c r="AG1470" s="19">
        <f>IF($Z1470="C",IF(INDEX(Contracts!$I$2:$I$151,$AB1470)="PREPAID",INDEX(Contracts!$M$2:$M$151,$AB1470)/IF(INDEX(Contracts!$N$2:$N$151,$AB1470)="",12,INDEX(Contracts!$N$2:$N$151,$AB1470)),IF(INDEX(Contracts!$I$2:$I$151,$AB1470)="MONTHLY",INDEX(Contracts!$M$2:$M$151,$AB1470),0))*(1-N(INDEX(Contracts!$O$2:$O$151,$AB1470))),IF($Z1470="A",INDEX(Fixed_Assets!$H$2:$H$201,$AB1470)/INDEX(Fixed_Assets!$J$2:$J$201,$AB1470),IF($Z1470="F",INDEX(Workforce!$F$2:$F$151,MATCH(INDEX(FTE_Allocation!$A$2:$A$201,$AB1470),Workforce!$A$2:$A$151,0))*N(INDEX(FTE_Allocation!$F$2:$H$201,$AB1470,$AC1470)),"")))</f>
        <v/>
      </c>
    </row>
    <row r="1471">
      <c r="A1471" s="7">
        <f>IF($Z1471="","",$AD1471)</f>
        <v/>
      </c>
      <c r="B1471" s="7">
        <f>IF($Z1471="C",INDEX(Contracts!$D$2:$D$151,$AB1471)&amp;"",IF($Z1471="A",INDEX(Fixed_Assets!$C$2:$C$201,$AB1471)&amp;"",IF($Z1471="F",INDEX(Workforce!$B$2:$B$151,MATCH(INDEX(FTE_Allocation!$A$2:$A$201,$AB1471),Workforce!$A$2:$A$151,0))&amp;"","")))</f>
        <v/>
      </c>
      <c r="C1471" s="7">
        <f>IF($Z1471="C",INDEX(Contracts!$E$2:$E$151,$AB1471)&amp;"",IF($Z1471="A",INDEX(Fixed_Assets!$D$2:$D$201,$AB1471)&amp;"",IF($Z1471="F",INDEX(FTE_Allocation!$C$2:$C$201,$AB1471)&amp;"","")))</f>
        <v/>
      </c>
      <c r="D1471" s="7">
        <f>IF($Z1471="C",INDEX(Contracts!$B$2:$B$151,$AB1471)&amp;"",IF($Z1471="A",INDEX(Fixed_Assets!$B$2:$B$201,$AB1471)&amp;"",IF($Z1471="F",INDEX(FTE_Allocation!$B$2:$B$201,$AB1471)&amp;"","")))</f>
        <v/>
      </c>
      <c r="E1471" s="7">
        <f>IF($Z1471="C",INDEX(Contracts!$P$2:$P$151,$AB1471)&amp;"",IF($Z1471="A",INDEX(Fixed_Assets!$K$2:$K$201,$AB1471)&amp;"",IF($Z1471="F",IF(INDEX(FTE_Allocation!$D$2:$D$201,$AB1471)="PROJECT",IFERROR(INDEX(Projects!$D:$D,MATCH(INDEX(FTE_Allocation!$E$2:$E$201,$AB1471),Projects!$A:$A,0))&amp;"","#PROJECT?"),INDEX(FTE_Allocation!$E$2:$E$201,$AB1471)&amp;""),"")))</f>
        <v/>
      </c>
      <c r="F1471" s="7">
        <f>IF($Z1471="C",INDEX(Contracts!$Q$2:$Q$151,$AB1471)&amp;"",IF($Z1471="A",INDEX(Fixed_Assets!$L$2:$L$201,$AB1471)&amp;"",IF($Z1471="F",INDEX(Workforce!$K$2:$K$151,MATCH(INDEX(FTE_Allocation!$A$2:$A$201,$AB1471),Workforce!$A$2:$A$151,0))&amp;"","")))</f>
        <v/>
      </c>
      <c r="G1471" s="7">
        <f>IF($Z1471="C",INDEX(Contracts!$F$2:$F$151,$AB1471)&amp;" / "&amp;INDEX(Contracts!$G$2:$G$151,$AB1471),IF($Z1471="A",INDEX(Fixed_Assets!$E$2:$E$201,$AB1471)&amp;"",IF($Z1471="F","Personnel "&amp;INDEX(FTE_Allocation!$A$2:$A$201,$AB1471)&amp;IF(INDEX(FTE_Allocation!$D$2:$D$201,$AB1471)="PROJECT"," ("&amp;INDEX(FTE_Allocation!$E$2:$E$201,$AB1471)&amp;")",""),"")))</f>
        <v/>
      </c>
      <c r="H1471" s="7">
        <f>IF($Z1471="C","CONTRACT",IF($Z1471="A","ASSET",IF($Z1471="F","WORKFORCE","")))</f>
        <v/>
      </c>
      <c r="I1471" s="7">
        <f>IF($Z1471="C",INDEX(Contracts!$L$2:$L$151,$AB1471)&amp;"",IF($Z1471="A",INDEX(Fixed_Assets!$I$2:$I$201,$AB1471)&amp;"",IF($Z1471="F",INDEX(Workforce!$G$2:$G$151,MATCH(INDEX(FTE_Allocation!$A$2:$A$201,$AB1471),Workforce!$A$2:$A$151,0))&amp;"","")))</f>
        <v/>
      </c>
      <c r="J1471" s="18">
        <f>IF($Z1471="","",IF(AND(DATE($AD1471,1,1)&gt;=$AE1471,DATE($AD1471,1,1)&lt;=$AF1471),ROUND($AG1471,2),0))</f>
        <v/>
      </c>
      <c r="K1471" s="18">
        <f>IF($Z1471="","",IF(AND(DATE($AD1471,2,1)&gt;=$AE1471,DATE($AD1471,2,1)&lt;=$AF1471),ROUND($AG1471,2),0))</f>
        <v/>
      </c>
      <c r="L1471" s="18">
        <f>IF($Z1471="","",IF(AND(DATE($AD1471,3,1)&gt;=$AE1471,DATE($AD1471,3,1)&lt;=$AF1471),ROUND($AG1471,2),0))</f>
        <v/>
      </c>
      <c r="M1471" s="18">
        <f>IF($Z1471="","",IF(AND(DATE($AD1471,4,1)&gt;=$AE1471,DATE($AD1471,4,1)&lt;=$AF1471),ROUND($AG1471,2),0))</f>
        <v/>
      </c>
      <c r="N1471" s="18">
        <f>IF($Z1471="","",IF(AND(DATE($AD1471,5,1)&gt;=$AE1471,DATE($AD1471,5,1)&lt;=$AF1471),ROUND($AG1471,2),0))</f>
        <v/>
      </c>
      <c r="O1471" s="18">
        <f>IF($Z1471="","",IF(AND(DATE($AD1471,6,1)&gt;=$AE1471,DATE($AD1471,6,1)&lt;=$AF1471),ROUND($AG1471,2),0))</f>
        <v/>
      </c>
      <c r="P1471" s="18">
        <f>IF($Z1471="","",IF(AND(DATE($AD1471,7,1)&gt;=$AE1471,DATE($AD1471,7,1)&lt;=$AF1471),ROUND($AG1471,2),0))</f>
        <v/>
      </c>
      <c r="Q1471" s="18">
        <f>IF($Z1471="","",IF(AND(DATE($AD1471,8,1)&gt;=$AE1471,DATE($AD1471,8,1)&lt;=$AF1471),ROUND($AG1471,2),0))</f>
        <v/>
      </c>
      <c r="R1471" s="18">
        <f>IF($Z1471="","",IF(AND(DATE($AD1471,9,1)&gt;=$AE1471,DATE($AD1471,9,1)&lt;=$AF1471),ROUND($AG1471,2),0))</f>
        <v/>
      </c>
      <c r="S1471" s="18">
        <f>IF($Z1471="","",IF(AND(DATE($AD1471,10,1)&gt;=$AE1471,DATE($AD1471,10,1)&lt;=$AF1471),ROUND($AG1471,2),0))</f>
        <v/>
      </c>
      <c r="T1471" s="18">
        <f>IF($Z1471="","",IF(AND(DATE($AD1471,11,1)&gt;=$AE1471,DATE($AD1471,11,1)&lt;=$AF1471),ROUND($AG1471,2),0))</f>
        <v/>
      </c>
      <c r="U1471" s="18">
        <f>IF($Z1471="","",IF(AND(DATE($AD1471,12,1)&gt;=$AE1471,DATE($AD1471,12,1)&lt;=$AF1471),ROUND($AG1471,2),0))</f>
        <v/>
      </c>
      <c r="V1471" s="7">
        <f>IF($Z1471="C","Generated from "&amp;INDEX(Contracts!$A$2:$A$151,$AB1471),IF($Z1471="A","Generated from "&amp;INDEX(Fixed_Assets!$A$2:$A$201,$AB1471),IF($Z1471="F","Generated from "&amp;INDEX(FTE_Allocation!$A$2:$A$201,$AB1471),"")))</f>
        <v/>
      </c>
      <c r="X1471" s="19">
        <f>IF($Z1471="","",SUM(J1471:U1471))</f>
        <v/>
      </c>
      <c r="Y1471" s="20">
        <f>ROW()-1</f>
        <v/>
      </c>
      <c r="Z1471" s="20">
        <f>IF($Y1471&lt;=Settings!$B$4*3,"C",IF($Y1471&lt;=(Settings!$B$4+Settings!$B$5)*3,"A",IF($Y1471&lt;=(Settings!$B$4+Settings!$B$5+Settings!$B$6)*3,"F","")))</f>
        <v/>
      </c>
      <c r="AA1471" s="20">
        <f>IF($Z1471="C",$Y1471,IF($Z1471="A",$Y1471-Settings!$B$4*3,IF($Z1471="F",$Y1471-(Settings!$B$4+Settings!$B$5)*3,"")))</f>
        <v/>
      </c>
      <c r="AB1471" s="20">
        <f>IF($Z1471="","",INT(($AA1471-1)/3)+1)</f>
        <v/>
      </c>
      <c r="AC1471" s="20">
        <f>IF($Z1471="","",MOD($AA1471-1,3)+1)</f>
        <v/>
      </c>
      <c r="AD1471" s="20">
        <f>IF($Z1471="","",Settings!$B$2+$AC1471-1)</f>
        <v/>
      </c>
      <c r="AE1471" s="21">
        <f>IF($Z1471="C",DATE(YEAR(INDEX(Contracts!$J$2:$J$151,$AB1471)),MONTH(INDEX(Contracts!$J$2:$J$151,$AB1471)),1),IF($Z1471="A",DATE(YEAR(INDEX(Fixed_Assets!$G$2:$G$201,$AB1471)),MONTH(INDEX(Fixed_Assets!$G$2:$G$201,$AB1471)),1),IF($Z1471="F",DATE(YEAR(MAX(N(INDEX(Workforce!$I$2:$I$151,MATCH(INDEX(FTE_Allocation!$A$2:$A$201,$AB1471),Workforce!$A$2:$A$151,0))),N(INDEX(FTE_Allocation!$I$2:$I$201,$AB1471)))),MONTH(MAX(N(INDEX(Workforce!$I$2:$I$151,MATCH(INDEX(FTE_Allocation!$A$2:$A$201,$AB1471),Workforce!$A$2:$A$151,0))),N(INDEX(FTE_Allocation!$I$2:$I$201,$AB1471)))),1),"")))</f>
        <v/>
      </c>
      <c r="AF1471" s="21">
        <f>IF($Z1471="C",IF(INDEX(Contracts!$I$2:$I$151,$AB1471)="PREPAID",EDATE(DATE(YEAR(INDEX(Contracts!$J$2:$J$151,$AB1471)),MONTH(INDEX(Contracts!$J$2:$J$151,$AB1471)),1),IF(INDEX(Contracts!$N$2:$N$151,$AB1471)="",12,INDEX(Contracts!$N$2:$N$151,$AB1471))-1),IF(INDEX(Contracts!$I$2:$I$151,$AB1471)="MONTHLY",IF(INDEX(Contracts!$K$2:$K$151,$AB1471)="",2958101,INDEX(Contracts!$K$2:$K$151,$AB1471)),0)),IF($Z1471="A",EDATE(DATE(YEAR(INDEX(Fixed_Assets!$G$2:$G$201,$AB1471)),MONTH(INDEX(Fixed_Assets!$G$2:$G$201,$AB1471)),1),INDEX(Fixed_Assets!$J$2:$J$201,$AB1471)-1),IF($Z1471="F",MIN(IF(INDEX(Workforce!$J$2:$J$151,MATCH(INDEX(FTE_Allocation!$A$2:$A$201,$AB1471),Workforce!$A$2:$A$151,0))="",2958101,INDEX(Workforce!$J$2:$J$151,MATCH(INDEX(FTE_Allocation!$A$2:$A$201,$AB1471),Workforce!$A$2:$A$151,0))),IF(INDEX(FTE_Allocation!$J$2:$J$201,$AB1471)="",2958101,INDEX(FTE_Allocation!$J$2:$J$201,$AB1471))),"")))</f>
        <v/>
      </c>
      <c r="AG1471" s="19">
        <f>IF($Z1471="C",IF(INDEX(Contracts!$I$2:$I$151,$AB1471)="PREPAID",INDEX(Contracts!$M$2:$M$151,$AB1471)/IF(INDEX(Contracts!$N$2:$N$151,$AB1471)="",12,INDEX(Contracts!$N$2:$N$151,$AB1471)),IF(INDEX(Contracts!$I$2:$I$151,$AB1471)="MONTHLY",INDEX(Contracts!$M$2:$M$151,$AB1471),0))*(1-N(INDEX(Contracts!$O$2:$O$151,$AB1471))),IF($Z1471="A",INDEX(Fixed_Assets!$H$2:$H$201,$AB1471)/INDEX(Fixed_Assets!$J$2:$J$201,$AB1471),IF($Z1471="F",INDEX(Workforce!$F$2:$F$151,MATCH(INDEX(FTE_Allocation!$A$2:$A$201,$AB1471),Workforce!$A$2:$A$151,0))*N(INDEX(FTE_Allocation!$F$2:$H$201,$AB1471,$AC1471)),"")))</f>
        <v/>
      </c>
    </row>
    <row r="1472">
      <c r="A1472" s="7">
        <f>IF($Z1472="","",$AD1472)</f>
        <v/>
      </c>
      <c r="B1472" s="7">
        <f>IF($Z1472="C",INDEX(Contracts!$D$2:$D$151,$AB1472)&amp;"",IF($Z1472="A",INDEX(Fixed_Assets!$C$2:$C$201,$AB1472)&amp;"",IF($Z1472="F",INDEX(Workforce!$B$2:$B$151,MATCH(INDEX(FTE_Allocation!$A$2:$A$201,$AB1472),Workforce!$A$2:$A$151,0))&amp;"","")))</f>
        <v/>
      </c>
      <c r="C1472" s="7">
        <f>IF($Z1472="C",INDEX(Contracts!$E$2:$E$151,$AB1472)&amp;"",IF($Z1472="A",INDEX(Fixed_Assets!$D$2:$D$201,$AB1472)&amp;"",IF($Z1472="F",INDEX(FTE_Allocation!$C$2:$C$201,$AB1472)&amp;"","")))</f>
        <v/>
      </c>
      <c r="D1472" s="7">
        <f>IF($Z1472="C",INDEX(Contracts!$B$2:$B$151,$AB1472)&amp;"",IF($Z1472="A",INDEX(Fixed_Assets!$B$2:$B$201,$AB1472)&amp;"",IF($Z1472="F",INDEX(FTE_Allocation!$B$2:$B$201,$AB1472)&amp;"","")))</f>
        <v/>
      </c>
      <c r="E1472" s="7">
        <f>IF($Z1472="C",INDEX(Contracts!$P$2:$P$151,$AB1472)&amp;"",IF($Z1472="A",INDEX(Fixed_Assets!$K$2:$K$201,$AB1472)&amp;"",IF($Z1472="F",IF(INDEX(FTE_Allocation!$D$2:$D$201,$AB1472)="PROJECT",IFERROR(INDEX(Projects!$D:$D,MATCH(INDEX(FTE_Allocation!$E$2:$E$201,$AB1472),Projects!$A:$A,0))&amp;"","#PROJECT?"),INDEX(FTE_Allocation!$E$2:$E$201,$AB1472)&amp;""),"")))</f>
        <v/>
      </c>
      <c r="F1472" s="7">
        <f>IF($Z1472="C",INDEX(Contracts!$Q$2:$Q$151,$AB1472)&amp;"",IF($Z1472="A",INDEX(Fixed_Assets!$L$2:$L$201,$AB1472)&amp;"",IF($Z1472="F",INDEX(Workforce!$K$2:$K$151,MATCH(INDEX(FTE_Allocation!$A$2:$A$201,$AB1472),Workforce!$A$2:$A$151,0))&amp;"","")))</f>
        <v/>
      </c>
      <c r="G1472" s="7">
        <f>IF($Z1472="C",INDEX(Contracts!$F$2:$F$151,$AB1472)&amp;" / "&amp;INDEX(Contracts!$G$2:$G$151,$AB1472),IF($Z1472="A",INDEX(Fixed_Assets!$E$2:$E$201,$AB1472)&amp;"",IF($Z1472="F","Personnel "&amp;INDEX(FTE_Allocation!$A$2:$A$201,$AB1472)&amp;IF(INDEX(FTE_Allocation!$D$2:$D$201,$AB1472)="PROJECT"," ("&amp;INDEX(FTE_Allocation!$E$2:$E$201,$AB1472)&amp;")",""),"")))</f>
        <v/>
      </c>
      <c r="H1472" s="7">
        <f>IF($Z1472="C","CONTRACT",IF($Z1472="A","ASSET",IF($Z1472="F","WORKFORCE","")))</f>
        <v/>
      </c>
      <c r="I1472" s="7">
        <f>IF($Z1472="C",INDEX(Contracts!$L$2:$L$151,$AB1472)&amp;"",IF($Z1472="A",INDEX(Fixed_Assets!$I$2:$I$201,$AB1472)&amp;"",IF($Z1472="F",INDEX(Workforce!$G$2:$G$151,MATCH(INDEX(FTE_Allocation!$A$2:$A$201,$AB1472),Workforce!$A$2:$A$151,0))&amp;"","")))</f>
        <v/>
      </c>
      <c r="J1472" s="18">
        <f>IF($Z1472="","",IF(AND(DATE($AD1472,1,1)&gt;=$AE1472,DATE($AD1472,1,1)&lt;=$AF1472),ROUND($AG1472,2),0))</f>
        <v/>
      </c>
      <c r="K1472" s="18">
        <f>IF($Z1472="","",IF(AND(DATE($AD1472,2,1)&gt;=$AE1472,DATE($AD1472,2,1)&lt;=$AF1472),ROUND($AG1472,2),0))</f>
        <v/>
      </c>
      <c r="L1472" s="18">
        <f>IF($Z1472="","",IF(AND(DATE($AD1472,3,1)&gt;=$AE1472,DATE($AD1472,3,1)&lt;=$AF1472),ROUND($AG1472,2),0))</f>
        <v/>
      </c>
      <c r="M1472" s="18">
        <f>IF($Z1472="","",IF(AND(DATE($AD1472,4,1)&gt;=$AE1472,DATE($AD1472,4,1)&lt;=$AF1472),ROUND($AG1472,2),0))</f>
        <v/>
      </c>
      <c r="N1472" s="18">
        <f>IF($Z1472="","",IF(AND(DATE($AD1472,5,1)&gt;=$AE1472,DATE($AD1472,5,1)&lt;=$AF1472),ROUND($AG1472,2),0))</f>
        <v/>
      </c>
      <c r="O1472" s="18">
        <f>IF($Z1472="","",IF(AND(DATE($AD1472,6,1)&gt;=$AE1472,DATE($AD1472,6,1)&lt;=$AF1472),ROUND($AG1472,2),0))</f>
        <v/>
      </c>
      <c r="P1472" s="18">
        <f>IF($Z1472="","",IF(AND(DATE($AD1472,7,1)&gt;=$AE1472,DATE($AD1472,7,1)&lt;=$AF1472),ROUND($AG1472,2),0))</f>
        <v/>
      </c>
      <c r="Q1472" s="18">
        <f>IF($Z1472="","",IF(AND(DATE($AD1472,8,1)&gt;=$AE1472,DATE($AD1472,8,1)&lt;=$AF1472),ROUND($AG1472,2),0))</f>
        <v/>
      </c>
      <c r="R1472" s="18">
        <f>IF($Z1472="","",IF(AND(DATE($AD1472,9,1)&gt;=$AE1472,DATE($AD1472,9,1)&lt;=$AF1472),ROUND($AG1472,2),0))</f>
        <v/>
      </c>
      <c r="S1472" s="18">
        <f>IF($Z1472="","",IF(AND(DATE($AD1472,10,1)&gt;=$AE1472,DATE($AD1472,10,1)&lt;=$AF1472),ROUND($AG1472,2),0))</f>
        <v/>
      </c>
      <c r="T1472" s="18">
        <f>IF($Z1472="","",IF(AND(DATE($AD1472,11,1)&gt;=$AE1472,DATE($AD1472,11,1)&lt;=$AF1472),ROUND($AG1472,2),0))</f>
        <v/>
      </c>
      <c r="U1472" s="18">
        <f>IF($Z1472="","",IF(AND(DATE($AD1472,12,1)&gt;=$AE1472,DATE($AD1472,12,1)&lt;=$AF1472),ROUND($AG1472,2),0))</f>
        <v/>
      </c>
      <c r="V1472" s="7">
        <f>IF($Z1472="C","Generated from "&amp;INDEX(Contracts!$A$2:$A$151,$AB1472),IF($Z1472="A","Generated from "&amp;INDEX(Fixed_Assets!$A$2:$A$201,$AB1472),IF($Z1472="F","Generated from "&amp;INDEX(FTE_Allocation!$A$2:$A$201,$AB1472),"")))</f>
        <v/>
      </c>
      <c r="X1472" s="19">
        <f>IF($Z1472="","",SUM(J1472:U1472))</f>
        <v/>
      </c>
      <c r="Y1472" s="20">
        <f>ROW()-1</f>
        <v/>
      </c>
      <c r="Z1472" s="20">
        <f>IF($Y1472&lt;=Settings!$B$4*3,"C",IF($Y1472&lt;=(Settings!$B$4+Settings!$B$5)*3,"A",IF($Y1472&lt;=(Settings!$B$4+Settings!$B$5+Settings!$B$6)*3,"F","")))</f>
        <v/>
      </c>
      <c r="AA1472" s="20">
        <f>IF($Z1472="C",$Y1472,IF($Z1472="A",$Y1472-Settings!$B$4*3,IF($Z1472="F",$Y1472-(Settings!$B$4+Settings!$B$5)*3,"")))</f>
        <v/>
      </c>
      <c r="AB1472" s="20">
        <f>IF($Z1472="","",INT(($AA1472-1)/3)+1)</f>
        <v/>
      </c>
      <c r="AC1472" s="20">
        <f>IF($Z1472="","",MOD($AA1472-1,3)+1)</f>
        <v/>
      </c>
      <c r="AD1472" s="20">
        <f>IF($Z1472="","",Settings!$B$2+$AC1472-1)</f>
        <v/>
      </c>
      <c r="AE1472" s="21">
        <f>IF($Z1472="C",DATE(YEAR(INDEX(Contracts!$J$2:$J$151,$AB1472)),MONTH(INDEX(Contracts!$J$2:$J$151,$AB1472)),1),IF($Z1472="A",DATE(YEAR(INDEX(Fixed_Assets!$G$2:$G$201,$AB1472)),MONTH(INDEX(Fixed_Assets!$G$2:$G$201,$AB1472)),1),IF($Z1472="F",DATE(YEAR(MAX(N(INDEX(Workforce!$I$2:$I$151,MATCH(INDEX(FTE_Allocation!$A$2:$A$201,$AB1472),Workforce!$A$2:$A$151,0))),N(INDEX(FTE_Allocation!$I$2:$I$201,$AB1472)))),MONTH(MAX(N(INDEX(Workforce!$I$2:$I$151,MATCH(INDEX(FTE_Allocation!$A$2:$A$201,$AB1472),Workforce!$A$2:$A$151,0))),N(INDEX(FTE_Allocation!$I$2:$I$201,$AB1472)))),1),"")))</f>
        <v/>
      </c>
      <c r="AF1472" s="21">
        <f>IF($Z1472="C",IF(INDEX(Contracts!$I$2:$I$151,$AB1472)="PREPAID",EDATE(DATE(YEAR(INDEX(Contracts!$J$2:$J$151,$AB1472)),MONTH(INDEX(Contracts!$J$2:$J$151,$AB1472)),1),IF(INDEX(Contracts!$N$2:$N$151,$AB1472)="",12,INDEX(Contracts!$N$2:$N$151,$AB1472))-1),IF(INDEX(Contracts!$I$2:$I$151,$AB1472)="MONTHLY",IF(INDEX(Contracts!$K$2:$K$151,$AB1472)="",2958101,INDEX(Contracts!$K$2:$K$151,$AB1472)),0)),IF($Z1472="A",EDATE(DATE(YEAR(INDEX(Fixed_Assets!$G$2:$G$201,$AB1472)),MONTH(INDEX(Fixed_Assets!$G$2:$G$201,$AB1472)),1),INDEX(Fixed_Assets!$J$2:$J$201,$AB1472)-1),IF($Z1472="F",MIN(IF(INDEX(Workforce!$J$2:$J$151,MATCH(INDEX(FTE_Allocation!$A$2:$A$201,$AB1472),Workforce!$A$2:$A$151,0))="",2958101,INDEX(Workforce!$J$2:$J$151,MATCH(INDEX(FTE_Allocation!$A$2:$A$201,$AB1472),Workforce!$A$2:$A$151,0))),IF(INDEX(FTE_Allocation!$J$2:$J$201,$AB1472)="",2958101,INDEX(FTE_Allocation!$J$2:$J$201,$AB1472))),"")))</f>
        <v/>
      </c>
      <c r="AG1472" s="19">
        <f>IF($Z1472="C",IF(INDEX(Contracts!$I$2:$I$151,$AB1472)="PREPAID",INDEX(Contracts!$M$2:$M$151,$AB1472)/IF(INDEX(Contracts!$N$2:$N$151,$AB1472)="",12,INDEX(Contracts!$N$2:$N$151,$AB1472)),IF(INDEX(Contracts!$I$2:$I$151,$AB1472)="MONTHLY",INDEX(Contracts!$M$2:$M$151,$AB1472),0))*(1-N(INDEX(Contracts!$O$2:$O$151,$AB1472))),IF($Z1472="A",INDEX(Fixed_Assets!$H$2:$H$201,$AB1472)/INDEX(Fixed_Assets!$J$2:$J$201,$AB1472),IF($Z1472="F",INDEX(Workforce!$F$2:$F$151,MATCH(INDEX(FTE_Allocation!$A$2:$A$201,$AB1472),Workforce!$A$2:$A$151,0))*N(INDEX(FTE_Allocation!$F$2:$H$201,$AB1472,$AC1472)),"")))</f>
        <v/>
      </c>
    </row>
    <row r="1473">
      <c r="A1473" s="7">
        <f>IF($Z1473="","",$AD1473)</f>
        <v/>
      </c>
      <c r="B1473" s="7">
        <f>IF($Z1473="C",INDEX(Contracts!$D$2:$D$151,$AB1473)&amp;"",IF($Z1473="A",INDEX(Fixed_Assets!$C$2:$C$201,$AB1473)&amp;"",IF($Z1473="F",INDEX(Workforce!$B$2:$B$151,MATCH(INDEX(FTE_Allocation!$A$2:$A$201,$AB1473),Workforce!$A$2:$A$151,0))&amp;"","")))</f>
        <v/>
      </c>
      <c r="C1473" s="7">
        <f>IF($Z1473="C",INDEX(Contracts!$E$2:$E$151,$AB1473)&amp;"",IF($Z1473="A",INDEX(Fixed_Assets!$D$2:$D$201,$AB1473)&amp;"",IF($Z1473="F",INDEX(FTE_Allocation!$C$2:$C$201,$AB1473)&amp;"","")))</f>
        <v/>
      </c>
      <c r="D1473" s="7">
        <f>IF($Z1473="C",INDEX(Contracts!$B$2:$B$151,$AB1473)&amp;"",IF($Z1473="A",INDEX(Fixed_Assets!$B$2:$B$201,$AB1473)&amp;"",IF($Z1473="F",INDEX(FTE_Allocation!$B$2:$B$201,$AB1473)&amp;"","")))</f>
        <v/>
      </c>
      <c r="E1473" s="7">
        <f>IF($Z1473="C",INDEX(Contracts!$P$2:$P$151,$AB1473)&amp;"",IF($Z1473="A",INDEX(Fixed_Assets!$K$2:$K$201,$AB1473)&amp;"",IF($Z1473="F",IF(INDEX(FTE_Allocation!$D$2:$D$201,$AB1473)="PROJECT",IFERROR(INDEX(Projects!$D:$D,MATCH(INDEX(FTE_Allocation!$E$2:$E$201,$AB1473),Projects!$A:$A,0))&amp;"","#PROJECT?"),INDEX(FTE_Allocation!$E$2:$E$201,$AB1473)&amp;""),"")))</f>
        <v/>
      </c>
      <c r="F1473" s="7">
        <f>IF($Z1473="C",INDEX(Contracts!$Q$2:$Q$151,$AB1473)&amp;"",IF($Z1473="A",INDEX(Fixed_Assets!$L$2:$L$201,$AB1473)&amp;"",IF($Z1473="F",INDEX(Workforce!$K$2:$K$151,MATCH(INDEX(FTE_Allocation!$A$2:$A$201,$AB1473),Workforce!$A$2:$A$151,0))&amp;"","")))</f>
        <v/>
      </c>
      <c r="G1473" s="7">
        <f>IF($Z1473="C",INDEX(Contracts!$F$2:$F$151,$AB1473)&amp;" / "&amp;INDEX(Contracts!$G$2:$G$151,$AB1473),IF($Z1473="A",INDEX(Fixed_Assets!$E$2:$E$201,$AB1473)&amp;"",IF($Z1473="F","Personnel "&amp;INDEX(FTE_Allocation!$A$2:$A$201,$AB1473)&amp;IF(INDEX(FTE_Allocation!$D$2:$D$201,$AB1473)="PROJECT"," ("&amp;INDEX(FTE_Allocation!$E$2:$E$201,$AB1473)&amp;")",""),"")))</f>
        <v/>
      </c>
      <c r="H1473" s="7">
        <f>IF($Z1473="C","CONTRACT",IF($Z1473="A","ASSET",IF($Z1473="F","WORKFORCE","")))</f>
        <v/>
      </c>
      <c r="I1473" s="7">
        <f>IF($Z1473="C",INDEX(Contracts!$L$2:$L$151,$AB1473)&amp;"",IF($Z1473="A",INDEX(Fixed_Assets!$I$2:$I$201,$AB1473)&amp;"",IF($Z1473="F",INDEX(Workforce!$G$2:$G$151,MATCH(INDEX(FTE_Allocation!$A$2:$A$201,$AB1473),Workforce!$A$2:$A$151,0))&amp;"","")))</f>
        <v/>
      </c>
      <c r="J1473" s="18">
        <f>IF($Z1473="","",IF(AND(DATE($AD1473,1,1)&gt;=$AE1473,DATE($AD1473,1,1)&lt;=$AF1473),ROUND($AG1473,2),0))</f>
        <v/>
      </c>
      <c r="K1473" s="18">
        <f>IF($Z1473="","",IF(AND(DATE($AD1473,2,1)&gt;=$AE1473,DATE($AD1473,2,1)&lt;=$AF1473),ROUND($AG1473,2),0))</f>
        <v/>
      </c>
      <c r="L1473" s="18">
        <f>IF($Z1473="","",IF(AND(DATE($AD1473,3,1)&gt;=$AE1473,DATE($AD1473,3,1)&lt;=$AF1473),ROUND($AG1473,2),0))</f>
        <v/>
      </c>
      <c r="M1473" s="18">
        <f>IF($Z1473="","",IF(AND(DATE($AD1473,4,1)&gt;=$AE1473,DATE($AD1473,4,1)&lt;=$AF1473),ROUND($AG1473,2),0))</f>
        <v/>
      </c>
      <c r="N1473" s="18">
        <f>IF($Z1473="","",IF(AND(DATE($AD1473,5,1)&gt;=$AE1473,DATE($AD1473,5,1)&lt;=$AF1473),ROUND($AG1473,2),0))</f>
        <v/>
      </c>
      <c r="O1473" s="18">
        <f>IF($Z1473="","",IF(AND(DATE($AD1473,6,1)&gt;=$AE1473,DATE($AD1473,6,1)&lt;=$AF1473),ROUND($AG1473,2),0))</f>
        <v/>
      </c>
      <c r="P1473" s="18">
        <f>IF($Z1473="","",IF(AND(DATE($AD1473,7,1)&gt;=$AE1473,DATE($AD1473,7,1)&lt;=$AF1473),ROUND($AG1473,2),0))</f>
        <v/>
      </c>
      <c r="Q1473" s="18">
        <f>IF($Z1473="","",IF(AND(DATE($AD1473,8,1)&gt;=$AE1473,DATE($AD1473,8,1)&lt;=$AF1473),ROUND($AG1473,2),0))</f>
        <v/>
      </c>
      <c r="R1473" s="18">
        <f>IF($Z1473="","",IF(AND(DATE($AD1473,9,1)&gt;=$AE1473,DATE($AD1473,9,1)&lt;=$AF1473),ROUND($AG1473,2),0))</f>
        <v/>
      </c>
      <c r="S1473" s="18">
        <f>IF($Z1473="","",IF(AND(DATE($AD1473,10,1)&gt;=$AE1473,DATE($AD1473,10,1)&lt;=$AF1473),ROUND($AG1473,2),0))</f>
        <v/>
      </c>
      <c r="T1473" s="18">
        <f>IF($Z1473="","",IF(AND(DATE($AD1473,11,1)&gt;=$AE1473,DATE($AD1473,11,1)&lt;=$AF1473),ROUND($AG1473,2),0))</f>
        <v/>
      </c>
      <c r="U1473" s="18">
        <f>IF($Z1473="","",IF(AND(DATE($AD1473,12,1)&gt;=$AE1473,DATE($AD1473,12,1)&lt;=$AF1473),ROUND($AG1473,2),0))</f>
        <v/>
      </c>
      <c r="V1473" s="7">
        <f>IF($Z1473="C","Generated from "&amp;INDEX(Contracts!$A$2:$A$151,$AB1473),IF($Z1473="A","Generated from "&amp;INDEX(Fixed_Assets!$A$2:$A$201,$AB1473),IF($Z1473="F","Generated from "&amp;INDEX(FTE_Allocation!$A$2:$A$201,$AB1473),"")))</f>
        <v/>
      </c>
      <c r="X1473" s="19">
        <f>IF($Z1473="","",SUM(J1473:U1473))</f>
        <v/>
      </c>
      <c r="Y1473" s="20">
        <f>ROW()-1</f>
        <v/>
      </c>
      <c r="Z1473" s="20">
        <f>IF($Y1473&lt;=Settings!$B$4*3,"C",IF($Y1473&lt;=(Settings!$B$4+Settings!$B$5)*3,"A",IF($Y1473&lt;=(Settings!$B$4+Settings!$B$5+Settings!$B$6)*3,"F","")))</f>
        <v/>
      </c>
      <c r="AA1473" s="20">
        <f>IF($Z1473="C",$Y1473,IF($Z1473="A",$Y1473-Settings!$B$4*3,IF($Z1473="F",$Y1473-(Settings!$B$4+Settings!$B$5)*3,"")))</f>
        <v/>
      </c>
      <c r="AB1473" s="20">
        <f>IF($Z1473="","",INT(($AA1473-1)/3)+1)</f>
        <v/>
      </c>
      <c r="AC1473" s="20">
        <f>IF($Z1473="","",MOD($AA1473-1,3)+1)</f>
        <v/>
      </c>
      <c r="AD1473" s="20">
        <f>IF($Z1473="","",Settings!$B$2+$AC1473-1)</f>
        <v/>
      </c>
      <c r="AE1473" s="21">
        <f>IF($Z1473="C",DATE(YEAR(INDEX(Contracts!$J$2:$J$151,$AB1473)),MONTH(INDEX(Contracts!$J$2:$J$151,$AB1473)),1),IF($Z1473="A",DATE(YEAR(INDEX(Fixed_Assets!$G$2:$G$201,$AB1473)),MONTH(INDEX(Fixed_Assets!$G$2:$G$201,$AB1473)),1),IF($Z1473="F",DATE(YEAR(MAX(N(INDEX(Workforce!$I$2:$I$151,MATCH(INDEX(FTE_Allocation!$A$2:$A$201,$AB1473),Workforce!$A$2:$A$151,0))),N(INDEX(FTE_Allocation!$I$2:$I$201,$AB1473)))),MONTH(MAX(N(INDEX(Workforce!$I$2:$I$151,MATCH(INDEX(FTE_Allocation!$A$2:$A$201,$AB1473),Workforce!$A$2:$A$151,0))),N(INDEX(FTE_Allocation!$I$2:$I$201,$AB1473)))),1),"")))</f>
        <v/>
      </c>
      <c r="AF1473" s="21">
        <f>IF($Z1473="C",IF(INDEX(Contracts!$I$2:$I$151,$AB1473)="PREPAID",EDATE(DATE(YEAR(INDEX(Contracts!$J$2:$J$151,$AB1473)),MONTH(INDEX(Contracts!$J$2:$J$151,$AB1473)),1),IF(INDEX(Contracts!$N$2:$N$151,$AB1473)="",12,INDEX(Contracts!$N$2:$N$151,$AB1473))-1),IF(INDEX(Contracts!$I$2:$I$151,$AB1473)="MONTHLY",IF(INDEX(Contracts!$K$2:$K$151,$AB1473)="",2958101,INDEX(Contracts!$K$2:$K$151,$AB1473)),0)),IF($Z1473="A",EDATE(DATE(YEAR(INDEX(Fixed_Assets!$G$2:$G$201,$AB1473)),MONTH(INDEX(Fixed_Assets!$G$2:$G$201,$AB1473)),1),INDEX(Fixed_Assets!$J$2:$J$201,$AB1473)-1),IF($Z1473="F",MIN(IF(INDEX(Workforce!$J$2:$J$151,MATCH(INDEX(FTE_Allocation!$A$2:$A$201,$AB1473),Workforce!$A$2:$A$151,0))="",2958101,INDEX(Workforce!$J$2:$J$151,MATCH(INDEX(FTE_Allocation!$A$2:$A$201,$AB1473),Workforce!$A$2:$A$151,0))),IF(INDEX(FTE_Allocation!$J$2:$J$201,$AB1473)="",2958101,INDEX(FTE_Allocation!$J$2:$J$201,$AB1473))),"")))</f>
        <v/>
      </c>
      <c r="AG1473" s="19">
        <f>IF($Z1473="C",IF(INDEX(Contracts!$I$2:$I$151,$AB1473)="PREPAID",INDEX(Contracts!$M$2:$M$151,$AB1473)/IF(INDEX(Contracts!$N$2:$N$151,$AB1473)="",12,INDEX(Contracts!$N$2:$N$151,$AB1473)),IF(INDEX(Contracts!$I$2:$I$151,$AB1473)="MONTHLY",INDEX(Contracts!$M$2:$M$151,$AB1473),0))*(1-N(INDEX(Contracts!$O$2:$O$151,$AB1473))),IF($Z1473="A",INDEX(Fixed_Assets!$H$2:$H$201,$AB1473)/INDEX(Fixed_Assets!$J$2:$J$201,$AB1473),IF($Z1473="F",INDEX(Workforce!$F$2:$F$151,MATCH(INDEX(FTE_Allocation!$A$2:$A$201,$AB1473),Workforce!$A$2:$A$151,0))*N(INDEX(FTE_Allocation!$F$2:$H$201,$AB1473,$AC1473)),"")))</f>
        <v/>
      </c>
    </row>
    <row r="1474">
      <c r="A1474" s="7">
        <f>IF($Z1474="","",$AD1474)</f>
        <v/>
      </c>
      <c r="B1474" s="7">
        <f>IF($Z1474="C",INDEX(Contracts!$D$2:$D$151,$AB1474)&amp;"",IF($Z1474="A",INDEX(Fixed_Assets!$C$2:$C$201,$AB1474)&amp;"",IF($Z1474="F",INDEX(Workforce!$B$2:$B$151,MATCH(INDEX(FTE_Allocation!$A$2:$A$201,$AB1474),Workforce!$A$2:$A$151,0))&amp;"","")))</f>
        <v/>
      </c>
      <c r="C1474" s="7">
        <f>IF($Z1474="C",INDEX(Contracts!$E$2:$E$151,$AB1474)&amp;"",IF($Z1474="A",INDEX(Fixed_Assets!$D$2:$D$201,$AB1474)&amp;"",IF($Z1474="F",INDEX(FTE_Allocation!$C$2:$C$201,$AB1474)&amp;"","")))</f>
        <v/>
      </c>
      <c r="D1474" s="7">
        <f>IF($Z1474="C",INDEX(Contracts!$B$2:$B$151,$AB1474)&amp;"",IF($Z1474="A",INDEX(Fixed_Assets!$B$2:$B$201,$AB1474)&amp;"",IF($Z1474="F",INDEX(FTE_Allocation!$B$2:$B$201,$AB1474)&amp;"","")))</f>
        <v/>
      </c>
      <c r="E1474" s="7">
        <f>IF($Z1474="C",INDEX(Contracts!$P$2:$P$151,$AB1474)&amp;"",IF($Z1474="A",INDEX(Fixed_Assets!$K$2:$K$201,$AB1474)&amp;"",IF($Z1474="F",IF(INDEX(FTE_Allocation!$D$2:$D$201,$AB1474)="PROJECT",IFERROR(INDEX(Projects!$D:$D,MATCH(INDEX(FTE_Allocation!$E$2:$E$201,$AB1474),Projects!$A:$A,0))&amp;"","#PROJECT?"),INDEX(FTE_Allocation!$E$2:$E$201,$AB1474)&amp;""),"")))</f>
        <v/>
      </c>
      <c r="F1474" s="7">
        <f>IF($Z1474="C",INDEX(Contracts!$Q$2:$Q$151,$AB1474)&amp;"",IF($Z1474="A",INDEX(Fixed_Assets!$L$2:$L$201,$AB1474)&amp;"",IF($Z1474="F",INDEX(Workforce!$K$2:$K$151,MATCH(INDEX(FTE_Allocation!$A$2:$A$201,$AB1474),Workforce!$A$2:$A$151,0))&amp;"","")))</f>
        <v/>
      </c>
      <c r="G1474" s="7">
        <f>IF($Z1474="C",INDEX(Contracts!$F$2:$F$151,$AB1474)&amp;" / "&amp;INDEX(Contracts!$G$2:$G$151,$AB1474),IF($Z1474="A",INDEX(Fixed_Assets!$E$2:$E$201,$AB1474)&amp;"",IF($Z1474="F","Personnel "&amp;INDEX(FTE_Allocation!$A$2:$A$201,$AB1474)&amp;IF(INDEX(FTE_Allocation!$D$2:$D$201,$AB1474)="PROJECT"," ("&amp;INDEX(FTE_Allocation!$E$2:$E$201,$AB1474)&amp;")",""),"")))</f>
        <v/>
      </c>
      <c r="H1474" s="7">
        <f>IF($Z1474="C","CONTRACT",IF($Z1474="A","ASSET",IF($Z1474="F","WORKFORCE","")))</f>
        <v/>
      </c>
      <c r="I1474" s="7">
        <f>IF($Z1474="C",INDEX(Contracts!$L$2:$L$151,$AB1474)&amp;"",IF($Z1474="A",INDEX(Fixed_Assets!$I$2:$I$201,$AB1474)&amp;"",IF($Z1474="F",INDEX(Workforce!$G$2:$G$151,MATCH(INDEX(FTE_Allocation!$A$2:$A$201,$AB1474),Workforce!$A$2:$A$151,0))&amp;"","")))</f>
        <v/>
      </c>
      <c r="J1474" s="18">
        <f>IF($Z1474="","",IF(AND(DATE($AD1474,1,1)&gt;=$AE1474,DATE($AD1474,1,1)&lt;=$AF1474),ROUND($AG1474,2),0))</f>
        <v/>
      </c>
      <c r="K1474" s="18">
        <f>IF($Z1474="","",IF(AND(DATE($AD1474,2,1)&gt;=$AE1474,DATE($AD1474,2,1)&lt;=$AF1474),ROUND($AG1474,2),0))</f>
        <v/>
      </c>
      <c r="L1474" s="18">
        <f>IF($Z1474="","",IF(AND(DATE($AD1474,3,1)&gt;=$AE1474,DATE($AD1474,3,1)&lt;=$AF1474),ROUND($AG1474,2),0))</f>
        <v/>
      </c>
      <c r="M1474" s="18">
        <f>IF($Z1474="","",IF(AND(DATE($AD1474,4,1)&gt;=$AE1474,DATE($AD1474,4,1)&lt;=$AF1474),ROUND($AG1474,2),0))</f>
        <v/>
      </c>
      <c r="N1474" s="18">
        <f>IF($Z1474="","",IF(AND(DATE($AD1474,5,1)&gt;=$AE1474,DATE($AD1474,5,1)&lt;=$AF1474),ROUND($AG1474,2),0))</f>
        <v/>
      </c>
      <c r="O1474" s="18">
        <f>IF($Z1474="","",IF(AND(DATE($AD1474,6,1)&gt;=$AE1474,DATE($AD1474,6,1)&lt;=$AF1474),ROUND($AG1474,2),0))</f>
        <v/>
      </c>
      <c r="P1474" s="18">
        <f>IF($Z1474="","",IF(AND(DATE($AD1474,7,1)&gt;=$AE1474,DATE($AD1474,7,1)&lt;=$AF1474),ROUND($AG1474,2),0))</f>
        <v/>
      </c>
      <c r="Q1474" s="18">
        <f>IF($Z1474="","",IF(AND(DATE($AD1474,8,1)&gt;=$AE1474,DATE($AD1474,8,1)&lt;=$AF1474),ROUND($AG1474,2),0))</f>
        <v/>
      </c>
      <c r="R1474" s="18">
        <f>IF($Z1474="","",IF(AND(DATE($AD1474,9,1)&gt;=$AE1474,DATE($AD1474,9,1)&lt;=$AF1474),ROUND($AG1474,2),0))</f>
        <v/>
      </c>
      <c r="S1474" s="18">
        <f>IF($Z1474="","",IF(AND(DATE($AD1474,10,1)&gt;=$AE1474,DATE($AD1474,10,1)&lt;=$AF1474),ROUND($AG1474,2),0))</f>
        <v/>
      </c>
      <c r="T1474" s="18">
        <f>IF($Z1474="","",IF(AND(DATE($AD1474,11,1)&gt;=$AE1474,DATE($AD1474,11,1)&lt;=$AF1474),ROUND($AG1474,2),0))</f>
        <v/>
      </c>
      <c r="U1474" s="18">
        <f>IF($Z1474="","",IF(AND(DATE($AD1474,12,1)&gt;=$AE1474,DATE($AD1474,12,1)&lt;=$AF1474),ROUND($AG1474,2),0))</f>
        <v/>
      </c>
      <c r="V1474" s="7">
        <f>IF($Z1474="C","Generated from "&amp;INDEX(Contracts!$A$2:$A$151,$AB1474),IF($Z1474="A","Generated from "&amp;INDEX(Fixed_Assets!$A$2:$A$201,$AB1474),IF($Z1474="F","Generated from "&amp;INDEX(FTE_Allocation!$A$2:$A$201,$AB1474),"")))</f>
        <v/>
      </c>
      <c r="X1474" s="19">
        <f>IF($Z1474="","",SUM(J1474:U1474))</f>
        <v/>
      </c>
      <c r="Y1474" s="20">
        <f>ROW()-1</f>
        <v/>
      </c>
      <c r="Z1474" s="20">
        <f>IF($Y1474&lt;=Settings!$B$4*3,"C",IF($Y1474&lt;=(Settings!$B$4+Settings!$B$5)*3,"A",IF($Y1474&lt;=(Settings!$B$4+Settings!$B$5+Settings!$B$6)*3,"F","")))</f>
        <v/>
      </c>
      <c r="AA1474" s="20">
        <f>IF($Z1474="C",$Y1474,IF($Z1474="A",$Y1474-Settings!$B$4*3,IF($Z1474="F",$Y1474-(Settings!$B$4+Settings!$B$5)*3,"")))</f>
        <v/>
      </c>
      <c r="AB1474" s="20">
        <f>IF($Z1474="","",INT(($AA1474-1)/3)+1)</f>
        <v/>
      </c>
      <c r="AC1474" s="20">
        <f>IF($Z1474="","",MOD($AA1474-1,3)+1)</f>
        <v/>
      </c>
      <c r="AD1474" s="20">
        <f>IF($Z1474="","",Settings!$B$2+$AC1474-1)</f>
        <v/>
      </c>
      <c r="AE1474" s="21">
        <f>IF($Z1474="C",DATE(YEAR(INDEX(Contracts!$J$2:$J$151,$AB1474)),MONTH(INDEX(Contracts!$J$2:$J$151,$AB1474)),1),IF($Z1474="A",DATE(YEAR(INDEX(Fixed_Assets!$G$2:$G$201,$AB1474)),MONTH(INDEX(Fixed_Assets!$G$2:$G$201,$AB1474)),1),IF($Z1474="F",DATE(YEAR(MAX(N(INDEX(Workforce!$I$2:$I$151,MATCH(INDEX(FTE_Allocation!$A$2:$A$201,$AB1474),Workforce!$A$2:$A$151,0))),N(INDEX(FTE_Allocation!$I$2:$I$201,$AB1474)))),MONTH(MAX(N(INDEX(Workforce!$I$2:$I$151,MATCH(INDEX(FTE_Allocation!$A$2:$A$201,$AB1474),Workforce!$A$2:$A$151,0))),N(INDEX(FTE_Allocation!$I$2:$I$201,$AB1474)))),1),"")))</f>
        <v/>
      </c>
      <c r="AF1474" s="21">
        <f>IF($Z1474="C",IF(INDEX(Contracts!$I$2:$I$151,$AB1474)="PREPAID",EDATE(DATE(YEAR(INDEX(Contracts!$J$2:$J$151,$AB1474)),MONTH(INDEX(Contracts!$J$2:$J$151,$AB1474)),1),IF(INDEX(Contracts!$N$2:$N$151,$AB1474)="",12,INDEX(Contracts!$N$2:$N$151,$AB1474))-1),IF(INDEX(Contracts!$I$2:$I$151,$AB1474)="MONTHLY",IF(INDEX(Contracts!$K$2:$K$151,$AB1474)="",2958101,INDEX(Contracts!$K$2:$K$151,$AB1474)),0)),IF($Z1474="A",EDATE(DATE(YEAR(INDEX(Fixed_Assets!$G$2:$G$201,$AB1474)),MONTH(INDEX(Fixed_Assets!$G$2:$G$201,$AB1474)),1),INDEX(Fixed_Assets!$J$2:$J$201,$AB1474)-1),IF($Z1474="F",MIN(IF(INDEX(Workforce!$J$2:$J$151,MATCH(INDEX(FTE_Allocation!$A$2:$A$201,$AB1474),Workforce!$A$2:$A$151,0))="",2958101,INDEX(Workforce!$J$2:$J$151,MATCH(INDEX(FTE_Allocation!$A$2:$A$201,$AB1474),Workforce!$A$2:$A$151,0))),IF(INDEX(FTE_Allocation!$J$2:$J$201,$AB1474)="",2958101,INDEX(FTE_Allocation!$J$2:$J$201,$AB1474))),"")))</f>
        <v/>
      </c>
      <c r="AG1474" s="19">
        <f>IF($Z1474="C",IF(INDEX(Contracts!$I$2:$I$151,$AB1474)="PREPAID",INDEX(Contracts!$M$2:$M$151,$AB1474)/IF(INDEX(Contracts!$N$2:$N$151,$AB1474)="",12,INDEX(Contracts!$N$2:$N$151,$AB1474)),IF(INDEX(Contracts!$I$2:$I$151,$AB1474)="MONTHLY",INDEX(Contracts!$M$2:$M$151,$AB1474),0))*(1-N(INDEX(Contracts!$O$2:$O$151,$AB1474))),IF($Z1474="A",INDEX(Fixed_Assets!$H$2:$H$201,$AB1474)/INDEX(Fixed_Assets!$J$2:$J$201,$AB1474),IF($Z1474="F",INDEX(Workforce!$F$2:$F$151,MATCH(INDEX(FTE_Allocation!$A$2:$A$201,$AB1474),Workforce!$A$2:$A$151,0))*N(INDEX(FTE_Allocation!$F$2:$H$201,$AB1474,$AC1474)),"")))</f>
        <v/>
      </c>
    </row>
    <row r="1475">
      <c r="A1475" s="7">
        <f>IF($Z1475="","",$AD1475)</f>
        <v/>
      </c>
      <c r="B1475" s="7">
        <f>IF($Z1475="C",INDEX(Contracts!$D$2:$D$151,$AB1475)&amp;"",IF($Z1475="A",INDEX(Fixed_Assets!$C$2:$C$201,$AB1475)&amp;"",IF($Z1475="F",INDEX(Workforce!$B$2:$B$151,MATCH(INDEX(FTE_Allocation!$A$2:$A$201,$AB1475),Workforce!$A$2:$A$151,0))&amp;"","")))</f>
        <v/>
      </c>
      <c r="C1475" s="7">
        <f>IF($Z1475="C",INDEX(Contracts!$E$2:$E$151,$AB1475)&amp;"",IF($Z1475="A",INDEX(Fixed_Assets!$D$2:$D$201,$AB1475)&amp;"",IF($Z1475="F",INDEX(FTE_Allocation!$C$2:$C$201,$AB1475)&amp;"","")))</f>
        <v/>
      </c>
      <c r="D1475" s="7">
        <f>IF($Z1475="C",INDEX(Contracts!$B$2:$B$151,$AB1475)&amp;"",IF($Z1475="A",INDEX(Fixed_Assets!$B$2:$B$201,$AB1475)&amp;"",IF($Z1475="F",INDEX(FTE_Allocation!$B$2:$B$201,$AB1475)&amp;"","")))</f>
        <v/>
      </c>
      <c r="E1475" s="7">
        <f>IF($Z1475="C",INDEX(Contracts!$P$2:$P$151,$AB1475)&amp;"",IF($Z1475="A",INDEX(Fixed_Assets!$K$2:$K$201,$AB1475)&amp;"",IF($Z1475="F",IF(INDEX(FTE_Allocation!$D$2:$D$201,$AB1475)="PROJECT",IFERROR(INDEX(Projects!$D:$D,MATCH(INDEX(FTE_Allocation!$E$2:$E$201,$AB1475),Projects!$A:$A,0))&amp;"","#PROJECT?"),INDEX(FTE_Allocation!$E$2:$E$201,$AB1475)&amp;""),"")))</f>
        <v/>
      </c>
      <c r="F1475" s="7">
        <f>IF($Z1475="C",INDEX(Contracts!$Q$2:$Q$151,$AB1475)&amp;"",IF($Z1475="A",INDEX(Fixed_Assets!$L$2:$L$201,$AB1475)&amp;"",IF($Z1475="F",INDEX(Workforce!$K$2:$K$151,MATCH(INDEX(FTE_Allocation!$A$2:$A$201,$AB1475),Workforce!$A$2:$A$151,0))&amp;"","")))</f>
        <v/>
      </c>
      <c r="G1475" s="7">
        <f>IF($Z1475="C",INDEX(Contracts!$F$2:$F$151,$AB1475)&amp;" / "&amp;INDEX(Contracts!$G$2:$G$151,$AB1475),IF($Z1475="A",INDEX(Fixed_Assets!$E$2:$E$201,$AB1475)&amp;"",IF($Z1475="F","Personnel "&amp;INDEX(FTE_Allocation!$A$2:$A$201,$AB1475)&amp;IF(INDEX(FTE_Allocation!$D$2:$D$201,$AB1475)="PROJECT"," ("&amp;INDEX(FTE_Allocation!$E$2:$E$201,$AB1475)&amp;")",""),"")))</f>
        <v/>
      </c>
      <c r="H1475" s="7">
        <f>IF($Z1475="C","CONTRACT",IF($Z1475="A","ASSET",IF($Z1475="F","WORKFORCE","")))</f>
        <v/>
      </c>
      <c r="I1475" s="7">
        <f>IF($Z1475="C",INDEX(Contracts!$L$2:$L$151,$AB1475)&amp;"",IF($Z1475="A",INDEX(Fixed_Assets!$I$2:$I$201,$AB1475)&amp;"",IF($Z1475="F",INDEX(Workforce!$G$2:$G$151,MATCH(INDEX(FTE_Allocation!$A$2:$A$201,$AB1475),Workforce!$A$2:$A$151,0))&amp;"","")))</f>
        <v/>
      </c>
      <c r="J1475" s="18">
        <f>IF($Z1475="","",IF(AND(DATE($AD1475,1,1)&gt;=$AE1475,DATE($AD1475,1,1)&lt;=$AF1475),ROUND($AG1475,2),0))</f>
        <v/>
      </c>
      <c r="K1475" s="18">
        <f>IF($Z1475="","",IF(AND(DATE($AD1475,2,1)&gt;=$AE1475,DATE($AD1475,2,1)&lt;=$AF1475),ROUND($AG1475,2),0))</f>
        <v/>
      </c>
      <c r="L1475" s="18">
        <f>IF($Z1475="","",IF(AND(DATE($AD1475,3,1)&gt;=$AE1475,DATE($AD1475,3,1)&lt;=$AF1475),ROUND($AG1475,2),0))</f>
        <v/>
      </c>
      <c r="M1475" s="18">
        <f>IF($Z1475="","",IF(AND(DATE($AD1475,4,1)&gt;=$AE1475,DATE($AD1475,4,1)&lt;=$AF1475),ROUND($AG1475,2),0))</f>
        <v/>
      </c>
      <c r="N1475" s="18">
        <f>IF($Z1475="","",IF(AND(DATE($AD1475,5,1)&gt;=$AE1475,DATE($AD1475,5,1)&lt;=$AF1475),ROUND($AG1475,2),0))</f>
        <v/>
      </c>
      <c r="O1475" s="18">
        <f>IF($Z1475="","",IF(AND(DATE($AD1475,6,1)&gt;=$AE1475,DATE($AD1475,6,1)&lt;=$AF1475),ROUND($AG1475,2),0))</f>
        <v/>
      </c>
      <c r="P1475" s="18">
        <f>IF($Z1475="","",IF(AND(DATE($AD1475,7,1)&gt;=$AE1475,DATE($AD1475,7,1)&lt;=$AF1475),ROUND($AG1475,2),0))</f>
        <v/>
      </c>
      <c r="Q1475" s="18">
        <f>IF($Z1475="","",IF(AND(DATE($AD1475,8,1)&gt;=$AE1475,DATE($AD1475,8,1)&lt;=$AF1475),ROUND($AG1475,2),0))</f>
        <v/>
      </c>
      <c r="R1475" s="18">
        <f>IF($Z1475="","",IF(AND(DATE($AD1475,9,1)&gt;=$AE1475,DATE($AD1475,9,1)&lt;=$AF1475),ROUND($AG1475,2),0))</f>
        <v/>
      </c>
      <c r="S1475" s="18">
        <f>IF($Z1475="","",IF(AND(DATE($AD1475,10,1)&gt;=$AE1475,DATE($AD1475,10,1)&lt;=$AF1475),ROUND($AG1475,2),0))</f>
        <v/>
      </c>
      <c r="T1475" s="18">
        <f>IF($Z1475="","",IF(AND(DATE($AD1475,11,1)&gt;=$AE1475,DATE($AD1475,11,1)&lt;=$AF1475),ROUND($AG1475,2),0))</f>
        <v/>
      </c>
      <c r="U1475" s="18">
        <f>IF($Z1475="","",IF(AND(DATE($AD1475,12,1)&gt;=$AE1475,DATE($AD1475,12,1)&lt;=$AF1475),ROUND($AG1475,2),0))</f>
        <v/>
      </c>
      <c r="V1475" s="7">
        <f>IF($Z1475="C","Generated from "&amp;INDEX(Contracts!$A$2:$A$151,$AB1475),IF($Z1475="A","Generated from "&amp;INDEX(Fixed_Assets!$A$2:$A$201,$AB1475),IF($Z1475="F","Generated from "&amp;INDEX(FTE_Allocation!$A$2:$A$201,$AB1475),"")))</f>
        <v/>
      </c>
      <c r="X1475" s="19">
        <f>IF($Z1475="","",SUM(J1475:U1475))</f>
        <v/>
      </c>
      <c r="Y1475" s="20">
        <f>ROW()-1</f>
        <v/>
      </c>
      <c r="Z1475" s="20">
        <f>IF($Y1475&lt;=Settings!$B$4*3,"C",IF($Y1475&lt;=(Settings!$B$4+Settings!$B$5)*3,"A",IF($Y1475&lt;=(Settings!$B$4+Settings!$B$5+Settings!$B$6)*3,"F","")))</f>
        <v/>
      </c>
      <c r="AA1475" s="20">
        <f>IF($Z1475="C",$Y1475,IF($Z1475="A",$Y1475-Settings!$B$4*3,IF($Z1475="F",$Y1475-(Settings!$B$4+Settings!$B$5)*3,"")))</f>
        <v/>
      </c>
      <c r="AB1475" s="20">
        <f>IF($Z1475="","",INT(($AA1475-1)/3)+1)</f>
        <v/>
      </c>
      <c r="AC1475" s="20">
        <f>IF($Z1475="","",MOD($AA1475-1,3)+1)</f>
        <v/>
      </c>
      <c r="AD1475" s="20">
        <f>IF($Z1475="","",Settings!$B$2+$AC1475-1)</f>
        <v/>
      </c>
      <c r="AE1475" s="21">
        <f>IF($Z1475="C",DATE(YEAR(INDEX(Contracts!$J$2:$J$151,$AB1475)),MONTH(INDEX(Contracts!$J$2:$J$151,$AB1475)),1),IF($Z1475="A",DATE(YEAR(INDEX(Fixed_Assets!$G$2:$G$201,$AB1475)),MONTH(INDEX(Fixed_Assets!$G$2:$G$201,$AB1475)),1),IF($Z1475="F",DATE(YEAR(MAX(N(INDEX(Workforce!$I$2:$I$151,MATCH(INDEX(FTE_Allocation!$A$2:$A$201,$AB1475),Workforce!$A$2:$A$151,0))),N(INDEX(FTE_Allocation!$I$2:$I$201,$AB1475)))),MONTH(MAX(N(INDEX(Workforce!$I$2:$I$151,MATCH(INDEX(FTE_Allocation!$A$2:$A$201,$AB1475),Workforce!$A$2:$A$151,0))),N(INDEX(FTE_Allocation!$I$2:$I$201,$AB1475)))),1),"")))</f>
        <v/>
      </c>
      <c r="AF1475" s="21">
        <f>IF($Z1475="C",IF(INDEX(Contracts!$I$2:$I$151,$AB1475)="PREPAID",EDATE(DATE(YEAR(INDEX(Contracts!$J$2:$J$151,$AB1475)),MONTH(INDEX(Contracts!$J$2:$J$151,$AB1475)),1),IF(INDEX(Contracts!$N$2:$N$151,$AB1475)="",12,INDEX(Contracts!$N$2:$N$151,$AB1475))-1),IF(INDEX(Contracts!$I$2:$I$151,$AB1475)="MONTHLY",IF(INDEX(Contracts!$K$2:$K$151,$AB1475)="",2958101,INDEX(Contracts!$K$2:$K$151,$AB1475)),0)),IF($Z1475="A",EDATE(DATE(YEAR(INDEX(Fixed_Assets!$G$2:$G$201,$AB1475)),MONTH(INDEX(Fixed_Assets!$G$2:$G$201,$AB1475)),1),INDEX(Fixed_Assets!$J$2:$J$201,$AB1475)-1),IF($Z1475="F",MIN(IF(INDEX(Workforce!$J$2:$J$151,MATCH(INDEX(FTE_Allocation!$A$2:$A$201,$AB1475),Workforce!$A$2:$A$151,0))="",2958101,INDEX(Workforce!$J$2:$J$151,MATCH(INDEX(FTE_Allocation!$A$2:$A$201,$AB1475),Workforce!$A$2:$A$151,0))),IF(INDEX(FTE_Allocation!$J$2:$J$201,$AB1475)="",2958101,INDEX(FTE_Allocation!$J$2:$J$201,$AB1475))),"")))</f>
        <v/>
      </c>
      <c r="AG1475" s="19">
        <f>IF($Z1475="C",IF(INDEX(Contracts!$I$2:$I$151,$AB1475)="PREPAID",INDEX(Contracts!$M$2:$M$151,$AB1475)/IF(INDEX(Contracts!$N$2:$N$151,$AB1475)="",12,INDEX(Contracts!$N$2:$N$151,$AB1475)),IF(INDEX(Contracts!$I$2:$I$151,$AB1475)="MONTHLY",INDEX(Contracts!$M$2:$M$151,$AB1475),0))*(1-N(INDEX(Contracts!$O$2:$O$151,$AB1475))),IF($Z1475="A",INDEX(Fixed_Assets!$H$2:$H$201,$AB1475)/INDEX(Fixed_Assets!$J$2:$J$201,$AB1475),IF($Z1475="F",INDEX(Workforce!$F$2:$F$151,MATCH(INDEX(FTE_Allocation!$A$2:$A$201,$AB1475),Workforce!$A$2:$A$151,0))*N(INDEX(FTE_Allocation!$F$2:$H$201,$AB1475,$AC1475)),"")))</f>
        <v/>
      </c>
    </row>
    <row r="1476">
      <c r="A1476" s="7">
        <f>IF($Z1476="","",$AD1476)</f>
        <v/>
      </c>
      <c r="B1476" s="7">
        <f>IF($Z1476="C",INDEX(Contracts!$D$2:$D$151,$AB1476)&amp;"",IF($Z1476="A",INDEX(Fixed_Assets!$C$2:$C$201,$AB1476)&amp;"",IF($Z1476="F",INDEX(Workforce!$B$2:$B$151,MATCH(INDEX(FTE_Allocation!$A$2:$A$201,$AB1476),Workforce!$A$2:$A$151,0))&amp;"","")))</f>
        <v/>
      </c>
      <c r="C1476" s="7">
        <f>IF($Z1476="C",INDEX(Contracts!$E$2:$E$151,$AB1476)&amp;"",IF($Z1476="A",INDEX(Fixed_Assets!$D$2:$D$201,$AB1476)&amp;"",IF($Z1476="F",INDEX(FTE_Allocation!$C$2:$C$201,$AB1476)&amp;"","")))</f>
        <v/>
      </c>
      <c r="D1476" s="7">
        <f>IF($Z1476="C",INDEX(Contracts!$B$2:$B$151,$AB1476)&amp;"",IF($Z1476="A",INDEX(Fixed_Assets!$B$2:$B$201,$AB1476)&amp;"",IF($Z1476="F",INDEX(FTE_Allocation!$B$2:$B$201,$AB1476)&amp;"","")))</f>
        <v/>
      </c>
      <c r="E1476" s="7">
        <f>IF($Z1476="C",INDEX(Contracts!$P$2:$P$151,$AB1476)&amp;"",IF($Z1476="A",INDEX(Fixed_Assets!$K$2:$K$201,$AB1476)&amp;"",IF($Z1476="F",IF(INDEX(FTE_Allocation!$D$2:$D$201,$AB1476)="PROJECT",IFERROR(INDEX(Projects!$D:$D,MATCH(INDEX(FTE_Allocation!$E$2:$E$201,$AB1476),Projects!$A:$A,0))&amp;"","#PROJECT?"),INDEX(FTE_Allocation!$E$2:$E$201,$AB1476)&amp;""),"")))</f>
        <v/>
      </c>
      <c r="F1476" s="7">
        <f>IF($Z1476="C",INDEX(Contracts!$Q$2:$Q$151,$AB1476)&amp;"",IF($Z1476="A",INDEX(Fixed_Assets!$L$2:$L$201,$AB1476)&amp;"",IF($Z1476="F",INDEX(Workforce!$K$2:$K$151,MATCH(INDEX(FTE_Allocation!$A$2:$A$201,$AB1476),Workforce!$A$2:$A$151,0))&amp;"","")))</f>
        <v/>
      </c>
      <c r="G1476" s="7">
        <f>IF($Z1476="C",INDEX(Contracts!$F$2:$F$151,$AB1476)&amp;" / "&amp;INDEX(Contracts!$G$2:$G$151,$AB1476),IF($Z1476="A",INDEX(Fixed_Assets!$E$2:$E$201,$AB1476)&amp;"",IF($Z1476="F","Personnel "&amp;INDEX(FTE_Allocation!$A$2:$A$201,$AB1476)&amp;IF(INDEX(FTE_Allocation!$D$2:$D$201,$AB1476)="PROJECT"," ("&amp;INDEX(FTE_Allocation!$E$2:$E$201,$AB1476)&amp;")",""),"")))</f>
        <v/>
      </c>
      <c r="H1476" s="7">
        <f>IF($Z1476="C","CONTRACT",IF($Z1476="A","ASSET",IF($Z1476="F","WORKFORCE","")))</f>
        <v/>
      </c>
      <c r="I1476" s="7">
        <f>IF($Z1476="C",INDEX(Contracts!$L$2:$L$151,$AB1476)&amp;"",IF($Z1476="A",INDEX(Fixed_Assets!$I$2:$I$201,$AB1476)&amp;"",IF($Z1476="F",INDEX(Workforce!$G$2:$G$151,MATCH(INDEX(FTE_Allocation!$A$2:$A$201,$AB1476),Workforce!$A$2:$A$151,0))&amp;"","")))</f>
        <v/>
      </c>
      <c r="J1476" s="18">
        <f>IF($Z1476="","",IF(AND(DATE($AD1476,1,1)&gt;=$AE1476,DATE($AD1476,1,1)&lt;=$AF1476),ROUND($AG1476,2),0))</f>
        <v/>
      </c>
      <c r="K1476" s="18">
        <f>IF($Z1476="","",IF(AND(DATE($AD1476,2,1)&gt;=$AE1476,DATE($AD1476,2,1)&lt;=$AF1476),ROUND($AG1476,2),0))</f>
        <v/>
      </c>
      <c r="L1476" s="18">
        <f>IF($Z1476="","",IF(AND(DATE($AD1476,3,1)&gt;=$AE1476,DATE($AD1476,3,1)&lt;=$AF1476),ROUND($AG1476,2),0))</f>
        <v/>
      </c>
      <c r="M1476" s="18">
        <f>IF($Z1476="","",IF(AND(DATE($AD1476,4,1)&gt;=$AE1476,DATE($AD1476,4,1)&lt;=$AF1476),ROUND($AG1476,2),0))</f>
        <v/>
      </c>
      <c r="N1476" s="18">
        <f>IF($Z1476="","",IF(AND(DATE($AD1476,5,1)&gt;=$AE1476,DATE($AD1476,5,1)&lt;=$AF1476),ROUND($AG1476,2),0))</f>
        <v/>
      </c>
      <c r="O1476" s="18">
        <f>IF($Z1476="","",IF(AND(DATE($AD1476,6,1)&gt;=$AE1476,DATE($AD1476,6,1)&lt;=$AF1476),ROUND($AG1476,2),0))</f>
        <v/>
      </c>
      <c r="P1476" s="18">
        <f>IF($Z1476="","",IF(AND(DATE($AD1476,7,1)&gt;=$AE1476,DATE($AD1476,7,1)&lt;=$AF1476),ROUND($AG1476,2),0))</f>
        <v/>
      </c>
      <c r="Q1476" s="18">
        <f>IF($Z1476="","",IF(AND(DATE($AD1476,8,1)&gt;=$AE1476,DATE($AD1476,8,1)&lt;=$AF1476),ROUND($AG1476,2),0))</f>
        <v/>
      </c>
      <c r="R1476" s="18">
        <f>IF($Z1476="","",IF(AND(DATE($AD1476,9,1)&gt;=$AE1476,DATE($AD1476,9,1)&lt;=$AF1476),ROUND($AG1476,2),0))</f>
        <v/>
      </c>
      <c r="S1476" s="18">
        <f>IF($Z1476="","",IF(AND(DATE($AD1476,10,1)&gt;=$AE1476,DATE($AD1476,10,1)&lt;=$AF1476),ROUND($AG1476,2),0))</f>
        <v/>
      </c>
      <c r="T1476" s="18">
        <f>IF($Z1476="","",IF(AND(DATE($AD1476,11,1)&gt;=$AE1476,DATE($AD1476,11,1)&lt;=$AF1476),ROUND($AG1476,2),0))</f>
        <v/>
      </c>
      <c r="U1476" s="18">
        <f>IF($Z1476="","",IF(AND(DATE($AD1476,12,1)&gt;=$AE1476,DATE($AD1476,12,1)&lt;=$AF1476),ROUND($AG1476,2),0))</f>
        <v/>
      </c>
      <c r="V1476" s="7">
        <f>IF($Z1476="C","Generated from "&amp;INDEX(Contracts!$A$2:$A$151,$AB1476),IF($Z1476="A","Generated from "&amp;INDEX(Fixed_Assets!$A$2:$A$201,$AB1476),IF($Z1476="F","Generated from "&amp;INDEX(FTE_Allocation!$A$2:$A$201,$AB1476),"")))</f>
        <v/>
      </c>
      <c r="X1476" s="19">
        <f>IF($Z1476="","",SUM(J1476:U1476))</f>
        <v/>
      </c>
      <c r="Y1476" s="20">
        <f>ROW()-1</f>
        <v/>
      </c>
      <c r="Z1476" s="20">
        <f>IF($Y1476&lt;=Settings!$B$4*3,"C",IF($Y1476&lt;=(Settings!$B$4+Settings!$B$5)*3,"A",IF($Y1476&lt;=(Settings!$B$4+Settings!$B$5+Settings!$B$6)*3,"F","")))</f>
        <v/>
      </c>
      <c r="AA1476" s="20">
        <f>IF($Z1476="C",$Y1476,IF($Z1476="A",$Y1476-Settings!$B$4*3,IF($Z1476="F",$Y1476-(Settings!$B$4+Settings!$B$5)*3,"")))</f>
        <v/>
      </c>
      <c r="AB1476" s="20">
        <f>IF($Z1476="","",INT(($AA1476-1)/3)+1)</f>
        <v/>
      </c>
      <c r="AC1476" s="20">
        <f>IF($Z1476="","",MOD($AA1476-1,3)+1)</f>
        <v/>
      </c>
      <c r="AD1476" s="20">
        <f>IF($Z1476="","",Settings!$B$2+$AC1476-1)</f>
        <v/>
      </c>
      <c r="AE1476" s="21">
        <f>IF($Z1476="C",DATE(YEAR(INDEX(Contracts!$J$2:$J$151,$AB1476)),MONTH(INDEX(Contracts!$J$2:$J$151,$AB1476)),1),IF($Z1476="A",DATE(YEAR(INDEX(Fixed_Assets!$G$2:$G$201,$AB1476)),MONTH(INDEX(Fixed_Assets!$G$2:$G$201,$AB1476)),1),IF($Z1476="F",DATE(YEAR(MAX(N(INDEX(Workforce!$I$2:$I$151,MATCH(INDEX(FTE_Allocation!$A$2:$A$201,$AB1476),Workforce!$A$2:$A$151,0))),N(INDEX(FTE_Allocation!$I$2:$I$201,$AB1476)))),MONTH(MAX(N(INDEX(Workforce!$I$2:$I$151,MATCH(INDEX(FTE_Allocation!$A$2:$A$201,$AB1476),Workforce!$A$2:$A$151,0))),N(INDEX(FTE_Allocation!$I$2:$I$201,$AB1476)))),1),"")))</f>
        <v/>
      </c>
      <c r="AF1476" s="21">
        <f>IF($Z1476="C",IF(INDEX(Contracts!$I$2:$I$151,$AB1476)="PREPAID",EDATE(DATE(YEAR(INDEX(Contracts!$J$2:$J$151,$AB1476)),MONTH(INDEX(Contracts!$J$2:$J$151,$AB1476)),1),IF(INDEX(Contracts!$N$2:$N$151,$AB1476)="",12,INDEX(Contracts!$N$2:$N$151,$AB1476))-1),IF(INDEX(Contracts!$I$2:$I$151,$AB1476)="MONTHLY",IF(INDEX(Contracts!$K$2:$K$151,$AB1476)="",2958101,INDEX(Contracts!$K$2:$K$151,$AB1476)),0)),IF($Z1476="A",EDATE(DATE(YEAR(INDEX(Fixed_Assets!$G$2:$G$201,$AB1476)),MONTH(INDEX(Fixed_Assets!$G$2:$G$201,$AB1476)),1),INDEX(Fixed_Assets!$J$2:$J$201,$AB1476)-1),IF($Z1476="F",MIN(IF(INDEX(Workforce!$J$2:$J$151,MATCH(INDEX(FTE_Allocation!$A$2:$A$201,$AB1476),Workforce!$A$2:$A$151,0))="",2958101,INDEX(Workforce!$J$2:$J$151,MATCH(INDEX(FTE_Allocation!$A$2:$A$201,$AB1476),Workforce!$A$2:$A$151,0))),IF(INDEX(FTE_Allocation!$J$2:$J$201,$AB1476)="",2958101,INDEX(FTE_Allocation!$J$2:$J$201,$AB1476))),"")))</f>
        <v/>
      </c>
      <c r="AG1476" s="19">
        <f>IF($Z1476="C",IF(INDEX(Contracts!$I$2:$I$151,$AB1476)="PREPAID",INDEX(Contracts!$M$2:$M$151,$AB1476)/IF(INDEX(Contracts!$N$2:$N$151,$AB1476)="",12,INDEX(Contracts!$N$2:$N$151,$AB1476)),IF(INDEX(Contracts!$I$2:$I$151,$AB1476)="MONTHLY",INDEX(Contracts!$M$2:$M$151,$AB1476),0))*(1-N(INDEX(Contracts!$O$2:$O$151,$AB1476))),IF($Z1476="A",INDEX(Fixed_Assets!$H$2:$H$201,$AB1476)/INDEX(Fixed_Assets!$J$2:$J$201,$AB1476),IF($Z1476="F",INDEX(Workforce!$F$2:$F$151,MATCH(INDEX(FTE_Allocation!$A$2:$A$201,$AB1476),Workforce!$A$2:$A$151,0))*N(INDEX(FTE_Allocation!$F$2:$H$201,$AB1476,$AC1476)),"")))</f>
        <v/>
      </c>
    </row>
    <row r="1477">
      <c r="A1477" s="7">
        <f>IF($Z1477="","",$AD1477)</f>
        <v/>
      </c>
      <c r="B1477" s="7">
        <f>IF($Z1477="C",INDEX(Contracts!$D$2:$D$151,$AB1477)&amp;"",IF($Z1477="A",INDEX(Fixed_Assets!$C$2:$C$201,$AB1477)&amp;"",IF($Z1477="F",INDEX(Workforce!$B$2:$B$151,MATCH(INDEX(FTE_Allocation!$A$2:$A$201,$AB1477),Workforce!$A$2:$A$151,0))&amp;"","")))</f>
        <v/>
      </c>
      <c r="C1477" s="7">
        <f>IF($Z1477="C",INDEX(Contracts!$E$2:$E$151,$AB1477)&amp;"",IF($Z1477="A",INDEX(Fixed_Assets!$D$2:$D$201,$AB1477)&amp;"",IF($Z1477="F",INDEX(FTE_Allocation!$C$2:$C$201,$AB1477)&amp;"","")))</f>
        <v/>
      </c>
      <c r="D1477" s="7">
        <f>IF($Z1477="C",INDEX(Contracts!$B$2:$B$151,$AB1477)&amp;"",IF($Z1477="A",INDEX(Fixed_Assets!$B$2:$B$201,$AB1477)&amp;"",IF($Z1477="F",INDEX(FTE_Allocation!$B$2:$B$201,$AB1477)&amp;"","")))</f>
        <v/>
      </c>
      <c r="E1477" s="7">
        <f>IF($Z1477="C",INDEX(Contracts!$P$2:$P$151,$AB1477)&amp;"",IF($Z1477="A",INDEX(Fixed_Assets!$K$2:$K$201,$AB1477)&amp;"",IF($Z1477="F",IF(INDEX(FTE_Allocation!$D$2:$D$201,$AB1477)="PROJECT",IFERROR(INDEX(Projects!$D:$D,MATCH(INDEX(FTE_Allocation!$E$2:$E$201,$AB1477),Projects!$A:$A,0))&amp;"","#PROJECT?"),INDEX(FTE_Allocation!$E$2:$E$201,$AB1477)&amp;""),"")))</f>
        <v/>
      </c>
      <c r="F1477" s="7">
        <f>IF($Z1477="C",INDEX(Contracts!$Q$2:$Q$151,$AB1477)&amp;"",IF($Z1477="A",INDEX(Fixed_Assets!$L$2:$L$201,$AB1477)&amp;"",IF($Z1477="F",INDEX(Workforce!$K$2:$K$151,MATCH(INDEX(FTE_Allocation!$A$2:$A$201,$AB1477),Workforce!$A$2:$A$151,0))&amp;"","")))</f>
        <v/>
      </c>
      <c r="G1477" s="7">
        <f>IF($Z1477="C",INDEX(Contracts!$F$2:$F$151,$AB1477)&amp;" / "&amp;INDEX(Contracts!$G$2:$G$151,$AB1477),IF($Z1477="A",INDEX(Fixed_Assets!$E$2:$E$201,$AB1477)&amp;"",IF($Z1477="F","Personnel "&amp;INDEX(FTE_Allocation!$A$2:$A$201,$AB1477)&amp;IF(INDEX(FTE_Allocation!$D$2:$D$201,$AB1477)="PROJECT"," ("&amp;INDEX(FTE_Allocation!$E$2:$E$201,$AB1477)&amp;")",""),"")))</f>
        <v/>
      </c>
      <c r="H1477" s="7">
        <f>IF($Z1477="C","CONTRACT",IF($Z1477="A","ASSET",IF($Z1477="F","WORKFORCE","")))</f>
        <v/>
      </c>
      <c r="I1477" s="7">
        <f>IF($Z1477="C",INDEX(Contracts!$L$2:$L$151,$AB1477)&amp;"",IF($Z1477="A",INDEX(Fixed_Assets!$I$2:$I$201,$AB1477)&amp;"",IF($Z1477="F",INDEX(Workforce!$G$2:$G$151,MATCH(INDEX(FTE_Allocation!$A$2:$A$201,$AB1477),Workforce!$A$2:$A$151,0))&amp;"","")))</f>
        <v/>
      </c>
      <c r="J1477" s="18">
        <f>IF($Z1477="","",IF(AND(DATE($AD1477,1,1)&gt;=$AE1477,DATE($AD1477,1,1)&lt;=$AF1477),ROUND($AG1477,2),0))</f>
        <v/>
      </c>
      <c r="K1477" s="18">
        <f>IF($Z1477="","",IF(AND(DATE($AD1477,2,1)&gt;=$AE1477,DATE($AD1477,2,1)&lt;=$AF1477),ROUND($AG1477,2),0))</f>
        <v/>
      </c>
      <c r="L1477" s="18">
        <f>IF($Z1477="","",IF(AND(DATE($AD1477,3,1)&gt;=$AE1477,DATE($AD1477,3,1)&lt;=$AF1477),ROUND($AG1477,2),0))</f>
        <v/>
      </c>
      <c r="M1477" s="18">
        <f>IF($Z1477="","",IF(AND(DATE($AD1477,4,1)&gt;=$AE1477,DATE($AD1477,4,1)&lt;=$AF1477),ROUND($AG1477,2),0))</f>
        <v/>
      </c>
      <c r="N1477" s="18">
        <f>IF($Z1477="","",IF(AND(DATE($AD1477,5,1)&gt;=$AE1477,DATE($AD1477,5,1)&lt;=$AF1477),ROUND($AG1477,2),0))</f>
        <v/>
      </c>
      <c r="O1477" s="18">
        <f>IF($Z1477="","",IF(AND(DATE($AD1477,6,1)&gt;=$AE1477,DATE($AD1477,6,1)&lt;=$AF1477),ROUND($AG1477,2),0))</f>
        <v/>
      </c>
      <c r="P1477" s="18">
        <f>IF($Z1477="","",IF(AND(DATE($AD1477,7,1)&gt;=$AE1477,DATE($AD1477,7,1)&lt;=$AF1477),ROUND($AG1477,2),0))</f>
        <v/>
      </c>
      <c r="Q1477" s="18">
        <f>IF($Z1477="","",IF(AND(DATE($AD1477,8,1)&gt;=$AE1477,DATE($AD1477,8,1)&lt;=$AF1477),ROUND($AG1477,2),0))</f>
        <v/>
      </c>
      <c r="R1477" s="18">
        <f>IF($Z1477="","",IF(AND(DATE($AD1477,9,1)&gt;=$AE1477,DATE($AD1477,9,1)&lt;=$AF1477),ROUND($AG1477,2),0))</f>
        <v/>
      </c>
      <c r="S1477" s="18">
        <f>IF($Z1477="","",IF(AND(DATE($AD1477,10,1)&gt;=$AE1477,DATE($AD1477,10,1)&lt;=$AF1477),ROUND($AG1477,2),0))</f>
        <v/>
      </c>
      <c r="T1477" s="18">
        <f>IF($Z1477="","",IF(AND(DATE($AD1477,11,1)&gt;=$AE1477,DATE($AD1477,11,1)&lt;=$AF1477),ROUND($AG1477,2),0))</f>
        <v/>
      </c>
      <c r="U1477" s="18">
        <f>IF($Z1477="","",IF(AND(DATE($AD1477,12,1)&gt;=$AE1477,DATE($AD1477,12,1)&lt;=$AF1477),ROUND($AG1477,2),0))</f>
        <v/>
      </c>
      <c r="V1477" s="7">
        <f>IF($Z1477="C","Generated from "&amp;INDEX(Contracts!$A$2:$A$151,$AB1477),IF($Z1477="A","Generated from "&amp;INDEX(Fixed_Assets!$A$2:$A$201,$AB1477),IF($Z1477="F","Generated from "&amp;INDEX(FTE_Allocation!$A$2:$A$201,$AB1477),"")))</f>
        <v/>
      </c>
      <c r="X1477" s="19">
        <f>IF($Z1477="","",SUM(J1477:U1477))</f>
        <v/>
      </c>
      <c r="Y1477" s="20">
        <f>ROW()-1</f>
        <v/>
      </c>
      <c r="Z1477" s="20">
        <f>IF($Y1477&lt;=Settings!$B$4*3,"C",IF($Y1477&lt;=(Settings!$B$4+Settings!$B$5)*3,"A",IF($Y1477&lt;=(Settings!$B$4+Settings!$B$5+Settings!$B$6)*3,"F","")))</f>
        <v/>
      </c>
      <c r="AA1477" s="20">
        <f>IF($Z1477="C",$Y1477,IF($Z1477="A",$Y1477-Settings!$B$4*3,IF($Z1477="F",$Y1477-(Settings!$B$4+Settings!$B$5)*3,"")))</f>
        <v/>
      </c>
      <c r="AB1477" s="20">
        <f>IF($Z1477="","",INT(($AA1477-1)/3)+1)</f>
        <v/>
      </c>
      <c r="AC1477" s="20">
        <f>IF($Z1477="","",MOD($AA1477-1,3)+1)</f>
        <v/>
      </c>
      <c r="AD1477" s="20">
        <f>IF($Z1477="","",Settings!$B$2+$AC1477-1)</f>
        <v/>
      </c>
      <c r="AE1477" s="21">
        <f>IF($Z1477="C",DATE(YEAR(INDEX(Contracts!$J$2:$J$151,$AB1477)),MONTH(INDEX(Contracts!$J$2:$J$151,$AB1477)),1),IF($Z1477="A",DATE(YEAR(INDEX(Fixed_Assets!$G$2:$G$201,$AB1477)),MONTH(INDEX(Fixed_Assets!$G$2:$G$201,$AB1477)),1),IF($Z1477="F",DATE(YEAR(MAX(N(INDEX(Workforce!$I$2:$I$151,MATCH(INDEX(FTE_Allocation!$A$2:$A$201,$AB1477),Workforce!$A$2:$A$151,0))),N(INDEX(FTE_Allocation!$I$2:$I$201,$AB1477)))),MONTH(MAX(N(INDEX(Workforce!$I$2:$I$151,MATCH(INDEX(FTE_Allocation!$A$2:$A$201,$AB1477),Workforce!$A$2:$A$151,0))),N(INDEX(FTE_Allocation!$I$2:$I$201,$AB1477)))),1),"")))</f>
        <v/>
      </c>
      <c r="AF1477" s="21">
        <f>IF($Z1477="C",IF(INDEX(Contracts!$I$2:$I$151,$AB1477)="PREPAID",EDATE(DATE(YEAR(INDEX(Contracts!$J$2:$J$151,$AB1477)),MONTH(INDEX(Contracts!$J$2:$J$151,$AB1477)),1),IF(INDEX(Contracts!$N$2:$N$151,$AB1477)="",12,INDEX(Contracts!$N$2:$N$151,$AB1477))-1),IF(INDEX(Contracts!$I$2:$I$151,$AB1477)="MONTHLY",IF(INDEX(Contracts!$K$2:$K$151,$AB1477)="",2958101,INDEX(Contracts!$K$2:$K$151,$AB1477)),0)),IF($Z1477="A",EDATE(DATE(YEAR(INDEX(Fixed_Assets!$G$2:$G$201,$AB1477)),MONTH(INDEX(Fixed_Assets!$G$2:$G$201,$AB1477)),1),INDEX(Fixed_Assets!$J$2:$J$201,$AB1477)-1),IF($Z1477="F",MIN(IF(INDEX(Workforce!$J$2:$J$151,MATCH(INDEX(FTE_Allocation!$A$2:$A$201,$AB1477),Workforce!$A$2:$A$151,0))="",2958101,INDEX(Workforce!$J$2:$J$151,MATCH(INDEX(FTE_Allocation!$A$2:$A$201,$AB1477),Workforce!$A$2:$A$151,0))),IF(INDEX(FTE_Allocation!$J$2:$J$201,$AB1477)="",2958101,INDEX(FTE_Allocation!$J$2:$J$201,$AB1477))),"")))</f>
        <v/>
      </c>
      <c r="AG1477" s="19">
        <f>IF($Z1477="C",IF(INDEX(Contracts!$I$2:$I$151,$AB1477)="PREPAID",INDEX(Contracts!$M$2:$M$151,$AB1477)/IF(INDEX(Contracts!$N$2:$N$151,$AB1477)="",12,INDEX(Contracts!$N$2:$N$151,$AB1477)),IF(INDEX(Contracts!$I$2:$I$151,$AB1477)="MONTHLY",INDEX(Contracts!$M$2:$M$151,$AB1477),0))*(1-N(INDEX(Contracts!$O$2:$O$151,$AB1477))),IF($Z1477="A",INDEX(Fixed_Assets!$H$2:$H$201,$AB1477)/INDEX(Fixed_Assets!$J$2:$J$201,$AB1477),IF($Z1477="F",INDEX(Workforce!$F$2:$F$151,MATCH(INDEX(FTE_Allocation!$A$2:$A$201,$AB1477),Workforce!$A$2:$A$151,0))*N(INDEX(FTE_Allocation!$F$2:$H$201,$AB1477,$AC1477)),"")))</f>
        <v/>
      </c>
    </row>
    <row r="1478">
      <c r="A1478" s="7">
        <f>IF($Z1478="","",$AD1478)</f>
        <v/>
      </c>
      <c r="B1478" s="7">
        <f>IF($Z1478="C",INDEX(Contracts!$D$2:$D$151,$AB1478)&amp;"",IF($Z1478="A",INDEX(Fixed_Assets!$C$2:$C$201,$AB1478)&amp;"",IF($Z1478="F",INDEX(Workforce!$B$2:$B$151,MATCH(INDEX(FTE_Allocation!$A$2:$A$201,$AB1478),Workforce!$A$2:$A$151,0))&amp;"","")))</f>
        <v/>
      </c>
      <c r="C1478" s="7">
        <f>IF($Z1478="C",INDEX(Contracts!$E$2:$E$151,$AB1478)&amp;"",IF($Z1478="A",INDEX(Fixed_Assets!$D$2:$D$201,$AB1478)&amp;"",IF($Z1478="F",INDEX(FTE_Allocation!$C$2:$C$201,$AB1478)&amp;"","")))</f>
        <v/>
      </c>
      <c r="D1478" s="7">
        <f>IF($Z1478="C",INDEX(Contracts!$B$2:$B$151,$AB1478)&amp;"",IF($Z1478="A",INDEX(Fixed_Assets!$B$2:$B$201,$AB1478)&amp;"",IF($Z1478="F",INDEX(FTE_Allocation!$B$2:$B$201,$AB1478)&amp;"","")))</f>
        <v/>
      </c>
      <c r="E1478" s="7">
        <f>IF($Z1478="C",INDEX(Contracts!$P$2:$P$151,$AB1478)&amp;"",IF($Z1478="A",INDEX(Fixed_Assets!$K$2:$K$201,$AB1478)&amp;"",IF($Z1478="F",IF(INDEX(FTE_Allocation!$D$2:$D$201,$AB1478)="PROJECT",IFERROR(INDEX(Projects!$D:$D,MATCH(INDEX(FTE_Allocation!$E$2:$E$201,$AB1478),Projects!$A:$A,0))&amp;"","#PROJECT?"),INDEX(FTE_Allocation!$E$2:$E$201,$AB1478)&amp;""),"")))</f>
        <v/>
      </c>
      <c r="F1478" s="7">
        <f>IF($Z1478="C",INDEX(Contracts!$Q$2:$Q$151,$AB1478)&amp;"",IF($Z1478="A",INDEX(Fixed_Assets!$L$2:$L$201,$AB1478)&amp;"",IF($Z1478="F",INDEX(Workforce!$K$2:$K$151,MATCH(INDEX(FTE_Allocation!$A$2:$A$201,$AB1478),Workforce!$A$2:$A$151,0))&amp;"","")))</f>
        <v/>
      </c>
      <c r="G1478" s="7">
        <f>IF($Z1478="C",INDEX(Contracts!$F$2:$F$151,$AB1478)&amp;" / "&amp;INDEX(Contracts!$G$2:$G$151,$AB1478),IF($Z1478="A",INDEX(Fixed_Assets!$E$2:$E$201,$AB1478)&amp;"",IF($Z1478="F","Personnel "&amp;INDEX(FTE_Allocation!$A$2:$A$201,$AB1478)&amp;IF(INDEX(FTE_Allocation!$D$2:$D$201,$AB1478)="PROJECT"," ("&amp;INDEX(FTE_Allocation!$E$2:$E$201,$AB1478)&amp;")",""),"")))</f>
        <v/>
      </c>
      <c r="H1478" s="7">
        <f>IF($Z1478="C","CONTRACT",IF($Z1478="A","ASSET",IF($Z1478="F","WORKFORCE","")))</f>
        <v/>
      </c>
      <c r="I1478" s="7">
        <f>IF($Z1478="C",INDEX(Contracts!$L$2:$L$151,$AB1478)&amp;"",IF($Z1478="A",INDEX(Fixed_Assets!$I$2:$I$201,$AB1478)&amp;"",IF($Z1478="F",INDEX(Workforce!$G$2:$G$151,MATCH(INDEX(FTE_Allocation!$A$2:$A$201,$AB1478),Workforce!$A$2:$A$151,0))&amp;"","")))</f>
        <v/>
      </c>
      <c r="J1478" s="18">
        <f>IF($Z1478="","",IF(AND(DATE($AD1478,1,1)&gt;=$AE1478,DATE($AD1478,1,1)&lt;=$AF1478),ROUND($AG1478,2),0))</f>
        <v/>
      </c>
      <c r="K1478" s="18">
        <f>IF($Z1478="","",IF(AND(DATE($AD1478,2,1)&gt;=$AE1478,DATE($AD1478,2,1)&lt;=$AF1478),ROUND($AG1478,2),0))</f>
        <v/>
      </c>
      <c r="L1478" s="18">
        <f>IF($Z1478="","",IF(AND(DATE($AD1478,3,1)&gt;=$AE1478,DATE($AD1478,3,1)&lt;=$AF1478),ROUND($AG1478,2),0))</f>
        <v/>
      </c>
      <c r="M1478" s="18">
        <f>IF($Z1478="","",IF(AND(DATE($AD1478,4,1)&gt;=$AE1478,DATE($AD1478,4,1)&lt;=$AF1478),ROUND($AG1478,2),0))</f>
        <v/>
      </c>
      <c r="N1478" s="18">
        <f>IF($Z1478="","",IF(AND(DATE($AD1478,5,1)&gt;=$AE1478,DATE($AD1478,5,1)&lt;=$AF1478),ROUND($AG1478,2),0))</f>
        <v/>
      </c>
      <c r="O1478" s="18">
        <f>IF($Z1478="","",IF(AND(DATE($AD1478,6,1)&gt;=$AE1478,DATE($AD1478,6,1)&lt;=$AF1478),ROUND($AG1478,2),0))</f>
        <v/>
      </c>
      <c r="P1478" s="18">
        <f>IF($Z1478="","",IF(AND(DATE($AD1478,7,1)&gt;=$AE1478,DATE($AD1478,7,1)&lt;=$AF1478),ROUND($AG1478,2),0))</f>
        <v/>
      </c>
      <c r="Q1478" s="18">
        <f>IF($Z1478="","",IF(AND(DATE($AD1478,8,1)&gt;=$AE1478,DATE($AD1478,8,1)&lt;=$AF1478),ROUND($AG1478,2),0))</f>
        <v/>
      </c>
      <c r="R1478" s="18">
        <f>IF($Z1478="","",IF(AND(DATE($AD1478,9,1)&gt;=$AE1478,DATE($AD1478,9,1)&lt;=$AF1478),ROUND($AG1478,2),0))</f>
        <v/>
      </c>
      <c r="S1478" s="18">
        <f>IF($Z1478="","",IF(AND(DATE($AD1478,10,1)&gt;=$AE1478,DATE($AD1478,10,1)&lt;=$AF1478),ROUND($AG1478,2),0))</f>
        <v/>
      </c>
      <c r="T1478" s="18">
        <f>IF($Z1478="","",IF(AND(DATE($AD1478,11,1)&gt;=$AE1478,DATE($AD1478,11,1)&lt;=$AF1478),ROUND($AG1478,2),0))</f>
        <v/>
      </c>
      <c r="U1478" s="18">
        <f>IF($Z1478="","",IF(AND(DATE($AD1478,12,1)&gt;=$AE1478,DATE($AD1478,12,1)&lt;=$AF1478),ROUND($AG1478,2),0))</f>
        <v/>
      </c>
      <c r="V1478" s="7">
        <f>IF($Z1478="C","Generated from "&amp;INDEX(Contracts!$A$2:$A$151,$AB1478),IF($Z1478="A","Generated from "&amp;INDEX(Fixed_Assets!$A$2:$A$201,$AB1478),IF($Z1478="F","Generated from "&amp;INDEX(FTE_Allocation!$A$2:$A$201,$AB1478),"")))</f>
        <v/>
      </c>
      <c r="X1478" s="19">
        <f>IF($Z1478="","",SUM(J1478:U1478))</f>
        <v/>
      </c>
      <c r="Y1478" s="20">
        <f>ROW()-1</f>
        <v/>
      </c>
      <c r="Z1478" s="20">
        <f>IF($Y1478&lt;=Settings!$B$4*3,"C",IF($Y1478&lt;=(Settings!$B$4+Settings!$B$5)*3,"A",IF($Y1478&lt;=(Settings!$B$4+Settings!$B$5+Settings!$B$6)*3,"F","")))</f>
        <v/>
      </c>
      <c r="AA1478" s="20">
        <f>IF($Z1478="C",$Y1478,IF($Z1478="A",$Y1478-Settings!$B$4*3,IF($Z1478="F",$Y1478-(Settings!$B$4+Settings!$B$5)*3,"")))</f>
        <v/>
      </c>
      <c r="AB1478" s="20">
        <f>IF($Z1478="","",INT(($AA1478-1)/3)+1)</f>
        <v/>
      </c>
      <c r="AC1478" s="20">
        <f>IF($Z1478="","",MOD($AA1478-1,3)+1)</f>
        <v/>
      </c>
      <c r="AD1478" s="20">
        <f>IF($Z1478="","",Settings!$B$2+$AC1478-1)</f>
        <v/>
      </c>
      <c r="AE1478" s="21">
        <f>IF($Z1478="C",DATE(YEAR(INDEX(Contracts!$J$2:$J$151,$AB1478)),MONTH(INDEX(Contracts!$J$2:$J$151,$AB1478)),1),IF($Z1478="A",DATE(YEAR(INDEX(Fixed_Assets!$G$2:$G$201,$AB1478)),MONTH(INDEX(Fixed_Assets!$G$2:$G$201,$AB1478)),1),IF($Z1478="F",DATE(YEAR(MAX(N(INDEX(Workforce!$I$2:$I$151,MATCH(INDEX(FTE_Allocation!$A$2:$A$201,$AB1478),Workforce!$A$2:$A$151,0))),N(INDEX(FTE_Allocation!$I$2:$I$201,$AB1478)))),MONTH(MAX(N(INDEX(Workforce!$I$2:$I$151,MATCH(INDEX(FTE_Allocation!$A$2:$A$201,$AB1478),Workforce!$A$2:$A$151,0))),N(INDEX(FTE_Allocation!$I$2:$I$201,$AB1478)))),1),"")))</f>
        <v/>
      </c>
      <c r="AF1478" s="21">
        <f>IF($Z1478="C",IF(INDEX(Contracts!$I$2:$I$151,$AB1478)="PREPAID",EDATE(DATE(YEAR(INDEX(Contracts!$J$2:$J$151,$AB1478)),MONTH(INDEX(Contracts!$J$2:$J$151,$AB1478)),1),IF(INDEX(Contracts!$N$2:$N$151,$AB1478)="",12,INDEX(Contracts!$N$2:$N$151,$AB1478))-1),IF(INDEX(Contracts!$I$2:$I$151,$AB1478)="MONTHLY",IF(INDEX(Contracts!$K$2:$K$151,$AB1478)="",2958101,INDEX(Contracts!$K$2:$K$151,$AB1478)),0)),IF($Z1478="A",EDATE(DATE(YEAR(INDEX(Fixed_Assets!$G$2:$G$201,$AB1478)),MONTH(INDEX(Fixed_Assets!$G$2:$G$201,$AB1478)),1),INDEX(Fixed_Assets!$J$2:$J$201,$AB1478)-1),IF($Z1478="F",MIN(IF(INDEX(Workforce!$J$2:$J$151,MATCH(INDEX(FTE_Allocation!$A$2:$A$201,$AB1478),Workforce!$A$2:$A$151,0))="",2958101,INDEX(Workforce!$J$2:$J$151,MATCH(INDEX(FTE_Allocation!$A$2:$A$201,$AB1478),Workforce!$A$2:$A$151,0))),IF(INDEX(FTE_Allocation!$J$2:$J$201,$AB1478)="",2958101,INDEX(FTE_Allocation!$J$2:$J$201,$AB1478))),"")))</f>
        <v/>
      </c>
      <c r="AG1478" s="19">
        <f>IF($Z1478="C",IF(INDEX(Contracts!$I$2:$I$151,$AB1478)="PREPAID",INDEX(Contracts!$M$2:$M$151,$AB1478)/IF(INDEX(Contracts!$N$2:$N$151,$AB1478)="",12,INDEX(Contracts!$N$2:$N$151,$AB1478)),IF(INDEX(Contracts!$I$2:$I$151,$AB1478)="MONTHLY",INDEX(Contracts!$M$2:$M$151,$AB1478),0))*(1-N(INDEX(Contracts!$O$2:$O$151,$AB1478))),IF($Z1478="A",INDEX(Fixed_Assets!$H$2:$H$201,$AB1478)/INDEX(Fixed_Assets!$J$2:$J$201,$AB1478),IF($Z1478="F",INDEX(Workforce!$F$2:$F$151,MATCH(INDEX(FTE_Allocation!$A$2:$A$201,$AB1478),Workforce!$A$2:$A$151,0))*N(INDEX(FTE_Allocation!$F$2:$H$201,$AB1478,$AC1478)),"")))</f>
        <v/>
      </c>
    </row>
    <row r="1479">
      <c r="A1479" s="7">
        <f>IF($Z1479="","",$AD1479)</f>
        <v/>
      </c>
      <c r="B1479" s="7">
        <f>IF($Z1479="C",INDEX(Contracts!$D$2:$D$151,$AB1479)&amp;"",IF($Z1479="A",INDEX(Fixed_Assets!$C$2:$C$201,$AB1479)&amp;"",IF($Z1479="F",INDEX(Workforce!$B$2:$B$151,MATCH(INDEX(FTE_Allocation!$A$2:$A$201,$AB1479),Workforce!$A$2:$A$151,0))&amp;"","")))</f>
        <v/>
      </c>
      <c r="C1479" s="7">
        <f>IF($Z1479="C",INDEX(Contracts!$E$2:$E$151,$AB1479)&amp;"",IF($Z1479="A",INDEX(Fixed_Assets!$D$2:$D$201,$AB1479)&amp;"",IF($Z1479="F",INDEX(FTE_Allocation!$C$2:$C$201,$AB1479)&amp;"","")))</f>
        <v/>
      </c>
      <c r="D1479" s="7">
        <f>IF($Z1479="C",INDEX(Contracts!$B$2:$B$151,$AB1479)&amp;"",IF($Z1479="A",INDEX(Fixed_Assets!$B$2:$B$201,$AB1479)&amp;"",IF($Z1479="F",INDEX(FTE_Allocation!$B$2:$B$201,$AB1479)&amp;"","")))</f>
        <v/>
      </c>
      <c r="E1479" s="7">
        <f>IF($Z1479="C",INDEX(Contracts!$P$2:$P$151,$AB1479)&amp;"",IF($Z1479="A",INDEX(Fixed_Assets!$K$2:$K$201,$AB1479)&amp;"",IF($Z1479="F",IF(INDEX(FTE_Allocation!$D$2:$D$201,$AB1479)="PROJECT",IFERROR(INDEX(Projects!$D:$D,MATCH(INDEX(FTE_Allocation!$E$2:$E$201,$AB1479),Projects!$A:$A,0))&amp;"","#PROJECT?"),INDEX(FTE_Allocation!$E$2:$E$201,$AB1479)&amp;""),"")))</f>
        <v/>
      </c>
      <c r="F1479" s="7">
        <f>IF($Z1479="C",INDEX(Contracts!$Q$2:$Q$151,$AB1479)&amp;"",IF($Z1479="A",INDEX(Fixed_Assets!$L$2:$L$201,$AB1479)&amp;"",IF($Z1479="F",INDEX(Workforce!$K$2:$K$151,MATCH(INDEX(FTE_Allocation!$A$2:$A$201,$AB1479),Workforce!$A$2:$A$151,0))&amp;"","")))</f>
        <v/>
      </c>
      <c r="G1479" s="7">
        <f>IF($Z1479="C",INDEX(Contracts!$F$2:$F$151,$AB1479)&amp;" / "&amp;INDEX(Contracts!$G$2:$G$151,$AB1479),IF($Z1479="A",INDEX(Fixed_Assets!$E$2:$E$201,$AB1479)&amp;"",IF($Z1479="F","Personnel "&amp;INDEX(FTE_Allocation!$A$2:$A$201,$AB1479)&amp;IF(INDEX(FTE_Allocation!$D$2:$D$201,$AB1479)="PROJECT"," ("&amp;INDEX(FTE_Allocation!$E$2:$E$201,$AB1479)&amp;")",""),"")))</f>
        <v/>
      </c>
      <c r="H1479" s="7">
        <f>IF($Z1479="C","CONTRACT",IF($Z1479="A","ASSET",IF($Z1479="F","WORKFORCE","")))</f>
        <v/>
      </c>
      <c r="I1479" s="7">
        <f>IF($Z1479="C",INDEX(Contracts!$L$2:$L$151,$AB1479)&amp;"",IF($Z1479="A",INDEX(Fixed_Assets!$I$2:$I$201,$AB1479)&amp;"",IF($Z1479="F",INDEX(Workforce!$G$2:$G$151,MATCH(INDEX(FTE_Allocation!$A$2:$A$201,$AB1479),Workforce!$A$2:$A$151,0))&amp;"","")))</f>
        <v/>
      </c>
      <c r="J1479" s="18">
        <f>IF($Z1479="","",IF(AND(DATE($AD1479,1,1)&gt;=$AE1479,DATE($AD1479,1,1)&lt;=$AF1479),ROUND($AG1479,2),0))</f>
        <v/>
      </c>
      <c r="K1479" s="18">
        <f>IF($Z1479="","",IF(AND(DATE($AD1479,2,1)&gt;=$AE1479,DATE($AD1479,2,1)&lt;=$AF1479),ROUND($AG1479,2),0))</f>
        <v/>
      </c>
      <c r="L1479" s="18">
        <f>IF($Z1479="","",IF(AND(DATE($AD1479,3,1)&gt;=$AE1479,DATE($AD1479,3,1)&lt;=$AF1479),ROUND($AG1479,2),0))</f>
        <v/>
      </c>
      <c r="M1479" s="18">
        <f>IF($Z1479="","",IF(AND(DATE($AD1479,4,1)&gt;=$AE1479,DATE($AD1479,4,1)&lt;=$AF1479),ROUND($AG1479,2),0))</f>
        <v/>
      </c>
      <c r="N1479" s="18">
        <f>IF($Z1479="","",IF(AND(DATE($AD1479,5,1)&gt;=$AE1479,DATE($AD1479,5,1)&lt;=$AF1479),ROUND($AG1479,2),0))</f>
        <v/>
      </c>
      <c r="O1479" s="18">
        <f>IF($Z1479="","",IF(AND(DATE($AD1479,6,1)&gt;=$AE1479,DATE($AD1479,6,1)&lt;=$AF1479),ROUND($AG1479,2),0))</f>
        <v/>
      </c>
      <c r="P1479" s="18">
        <f>IF($Z1479="","",IF(AND(DATE($AD1479,7,1)&gt;=$AE1479,DATE($AD1479,7,1)&lt;=$AF1479),ROUND($AG1479,2),0))</f>
        <v/>
      </c>
      <c r="Q1479" s="18">
        <f>IF($Z1479="","",IF(AND(DATE($AD1479,8,1)&gt;=$AE1479,DATE($AD1479,8,1)&lt;=$AF1479),ROUND($AG1479,2),0))</f>
        <v/>
      </c>
      <c r="R1479" s="18">
        <f>IF($Z1479="","",IF(AND(DATE($AD1479,9,1)&gt;=$AE1479,DATE($AD1479,9,1)&lt;=$AF1479),ROUND($AG1479,2),0))</f>
        <v/>
      </c>
      <c r="S1479" s="18">
        <f>IF($Z1479="","",IF(AND(DATE($AD1479,10,1)&gt;=$AE1479,DATE($AD1479,10,1)&lt;=$AF1479),ROUND($AG1479,2),0))</f>
        <v/>
      </c>
      <c r="T1479" s="18">
        <f>IF($Z1479="","",IF(AND(DATE($AD1479,11,1)&gt;=$AE1479,DATE($AD1479,11,1)&lt;=$AF1479),ROUND($AG1479,2),0))</f>
        <v/>
      </c>
      <c r="U1479" s="18">
        <f>IF($Z1479="","",IF(AND(DATE($AD1479,12,1)&gt;=$AE1479,DATE($AD1479,12,1)&lt;=$AF1479),ROUND($AG1479,2),0))</f>
        <v/>
      </c>
      <c r="V1479" s="7">
        <f>IF($Z1479="C","Generated from "&amp;INDEX(Contracts!$A$2:$A$151,$AB1479),IF($Z1479="A","Generated from "&amp;INDEX(Fixed_Assets!$A$2:$A$201,$AB1479),IF($Z1479="F","Generated from "&amp;INDEX(FTE_Allocation!$A$2:$A$201,$AB1479),"")))</f>
        <v/>
      </c>
      <c r="X1479" s="19">
        <f>IF($Z1479="","",SUM(J1479:U1479))</f>
        <v/>
      </c>
      <c r="Y1479" s="20">
        <f>ROW()-1</f>
        <v/>
      </c>
      <c r="Z1479" s="20">
        <f>IF($Y1479&lt;=Settings!$B$4*3,"C",IF($Y1479&lt;=(Settings!$B$4+Settings!$B$5)*3,"A",IF($Y1479&lt;=(Settings!$B$4+Settings!$B$5+Settings!$B$6)*3,"F","")))</f>
        <v/>
      </c>
      <c r="AA1479" s="20">
        <f>IF($Z1479="C",$Y1479,IF($Z1479="A",$Y1479-Settings!$B$4*3,IF($Z1479="F",$Y1479-(Settings!$B$4+Settings!$B$5)*3,"")))</f>
        <v/>
      </c>
      <c r="AB1479" s="20">
        <f>IF($Z1479="","",INT(($AA1479-1)/3)+1)</f>
        <v/>
      </c>
      <c r="AC1479" s="20">
        <f>IF($Z1479="","",MOD($AA1479-1,3)+1)</f>
        <v/>
      </c>
      <c r="AD1479" s="20">
        <f>IF($Z1479="","",Settings!$B$2+$AC1479-1)</f>
        <v/>
      </c>
      <c r="AE1479" s="21">
        <f>IF($Z1479="C",DATE(YEAR(INDEX(Contracts!$J$2:$J$151,$AB1479)),MONTH(INDEX(Contracts!$J$2:$J$151,$AB1479)),1),IF($Z1479="A",DATE(YEAR(INDEX(Fixed_Assets!$G$2:$G$201,$AB1479)),MONTH(INDEX(Fixed_Assets!$G$2:$G$201,$AB1479)),1),IF($Z1479="F",DATE(YEAR(MAX(N(INDEX(Workforce!$I$2:$I$151,MATCH(INDEX(FTE_Allocation!$A$2:$A$201,$AB1479),Workforce!$A$2:$A$151,0))),N(INDEX(FTE_Allocation!$I$2:$I$201,$AB1479)))),MONTH(MAX(N(INDEX(Workforce!$I$2:$I$151,MATCH(INDEX(FTE_Allocation!$A$2:$A$201,$AB1479),Workforce!$A$2:$A$151,0))),N(INDEX(FTE_Allocation!$I$2:$I$201,$AB1479)))),1),"")))</f>
        <v/>
      </c>
      <c r="AF1479" s="21">
        <f>IF($Z1479="C",IF(INDEX(Contracts!$I$2:$I$151,$AB1479)="PREPAID",EDATE(DATE(YEAR(INDEX(Contracts!$J$2:$J$151,$AB1479)),MONTH(INDEX(Contracts!$J$2:$J$151,$AB1479)),1),IF(INDEX(Contracts!$N$2:$N$151,$AB1479)="",12,INDEX(Contracts!$N$2:$N$151,$AB1479))-1),IF(INDEX(Contracts!$I$2:$I$151,$AB1479)="MONTHLY",IF(INDEX(Contracts!$K$2:$K$151,$AB1479)="",2958101,INDEX(Contracts!$K$2:$K$151,$AB1479)),0)),IF($Z1479="A",EDATE(DATE(YEAR(INDEX(Fixed_Assets!$G$2:$G$201,$AB1479)),MONTH(INDEX(Fixed_Assets!$G$2:$G$201,$AB1479)),1),INDEX(Fixed_Assets!$J$2:$J$201,$AB1479)-1),IF($Z1479="F",MIN(IF(INDEX(Workforce!$J$2:$J$151,MATCH(INDEX(FTE_Allocation!$A$2:$A$201,$AB1479),Workforce!$A$2:$A$151,0))="",2958101,INDEX(Workforce!$J$2:$J$151,MATCH(INDEX(FTE_Allocation!$A$2:$A$201,$AB1479),Workforce!$A$2:$A$151,0))),IF(INDEX(FTE_Allocation!$J$2:$J$201,$AB1479)="",2958101,INDEX(FTE_Allocation!$J$2:$J$201,$AB1479))),"")))</f>
        <v/>
      </c>
      <c r="AG1479" s="19">
        <f>IF($Z1479="C",IF(INDEX(Contracts!$I$2:$I$151,$AB1479)="PREPAID",INDEX(Contracts!$M$2:$M$151,$AB1479)/IF(INDEX(Contracts!$N$2:$N$151,$AB1479)="",12,INDEX(Contracts!$N$2:$N$151,$AB1479)),IF(INDEX(Contracts!$I$2:$I$151,$AB1479)="MONTHLY",INDEX(Contracts!$M$2:$M$151,$AB1479),0))*(1-N(INDEX(Contracts!$O$2:$O$151,$AB1479))),IF($Z1479="A",INDEX(Fixed_Assets!$H$2:$H$201,$AB1479)/INDEX(Fixed_Assets!$J$2:$J$201,$AB1479),IF($Z1479="F",INDEX(Workforce!$F$2:$F$151,MATCH(INDEX(FTE_Allocation!$A$2:$A$201,$AB1479),Workforce!$A$2:$A$151,0))*N(INDEX(FTE_Allocation!$F$2:$H$201,$AB1479,$AC1479)),"")))</f>
        <v/>
      </c>
    </row>
    <row r="1480">
      <c r="A1480" s="7">
        <f>IF($Z1480="","",$AD1480)</f>
        <v/>
      </c>
      <c r="B1480" s="7">
        <f>IF($Z1480="C",INDEX(Contracts!$D$2:$D$151,$AB1480)&amp;"",IF($Z1480="A",INDEX(Fixed_Assets!$C$2:$C$201,$AB1480)&amp;"",IF($Z1480="F",INDEX(Workforce!$B$2:$B$151,MATCH(INDEX(FTE_Allocation!$A$2:$A$201,$AB1480),Workforce!$A$2:$A$151,0))&amp;"","")))</f>
        <v/>
      </c>
      <c r="C1480" s="7">
        <f>IF($Z1480="C",INDEX(Contracts!$E$2:$E$151,$AB1480)&amp;"",IF($Z1480="A",INDEX(Fixed_Assets!$D$2:$D$201,$AB1480)&amp;"",IF($Z1480="F",INDEX(FTE_Allocation!$C$2:$C$201,$AB1480)&amp;"","")))</f>
        <v/>
      </c>
      <c r="D1480" s="7">
        <f>IF($Z1480="C",INDEX(Contracts!$B$2:$B$151,$AB1480)&amp;"",IF($Z1480="A",INDEX(Fixed_Assets!$B$2:$B$201,$AB1480)&amp;"",IF($Z1480="F",INDEX(FTE_Allocation!$B$2:$B$201,$AB1480)&amp;"","")))</f>
        <v/>
      </c>
      <c r="E1480" s="7">
        <f>IF($Z1480="C",INDEX(Contracts!$P$2:$P$151,$AB1480)&amp;"",IF($Z1480="A",INDEX(Fixed_Assets!$K$2:$K$201,$AB1480)&amp;"",IF($Z1480="F",IF(INDEX(FTE_Allocation!$D$2:$D$201,$AB1480)="PROJECT",IFERROR(INDEX(Projects!$D:$D,MATCH(INDEX(FTE_Allocation!$E$2:$E$201,$AB1480),Projects!$A:$A,0))&amp;"","#PROJECT?"),INDEX(FTE_Allocation!$E$2:$E$201,$AB1480)&amp;""),"")))</f>
        <v/>
      </c>
      <c r="F1480" s="7">
        <f>IF($Z1480="C",INDEX(Contracts!$Q$2:$Q$151,$AB1480)&amp;"",IF($Z1480="A",INDEX(Fixed_Assets!$L$2:$L$201,$AB1480)&amp;"",IF($Z1480="F",INDEX(Workforce!$K$2:$K$151,MATCH(INDEX(FTE_Allocation!$A$2:$A$201,$AB1480),Workforce!$A$2:$A$151,0))&amp;"","")))</f>
        <v/>
      </c>
      <c r="G1480" s="7">
        <f>IF($Z1480="C",INDEX(Contracts!$F$2:$F$151,$AB1480)&amp;" / "&amp;INDEX(Contracts!$G$2:$G$151,$AB1480),IF($Z1480="A",INDEX(Fixed_Assets!$E$2:$E$201,$AB1480)&amp;"",IF($Z1480="F","Personnel "&amp;INDEX(FTE_Allocation!$A$2:$A$201,$AB1480)&amp;IF(INDEX(FTE_Allocation!$D$2:$D$201,$AB1480)="PROJECT"," ("&amp;INDEX(FTE_Allocation!$E$2:$E$201,$AB1480)&amp;")",""),"")))</f>
        <v/>
      </c>
      <c r="H1480" s="7">
        <f>IF($Z1480="C","CONTRACT",IF($Z1480="A","ASSET",IF($Z1480="F","WORKFORCE","")))</f>
        <v/>
      </c>
      <c r="I1480" s="7">
        <f>IF($Z1480="C",INDEX(Contracts!$L$2:$L$151,$AB1480)&amp;"",IF($Z1480="A",INDEX(Fixed_Assets!$I$2:$I$201,$AB1480)&amp;"",IF($Z1480="F",INDEX(Workforce!$G$2:$G$151,MATCH(INDEX(FTE_Allocation!$A$2:$A$201,$AB1480),Workforce!$A$2:$A$151,0))&amp;"","")))</f>
        <v/>
      </c>
      <c r="J1480" s="18">
        <f>IF($Z1480="","",IF(AND(DATE($AD1480,1,1)&gt;=$AE1480,DATE($AD1480,1,1)&lt;=$AF1480),ROUND($AG1480,2),0))</f>
        <v/>
      </c>
      <c r="K1480" s="18">
        <f>IF($Z1480="","",IF(AND(DATE($AD1480,2,1)&gt;=$AE1480,DATE($AD1480,2,1)&lt;=$AF1480),ROUND($AG1480,2),0))</f>
        <v/>
      </c>
      <c r="L1480" s="18">
        <f>IF($Z1480="","",IF(AND(DATE($AD1480,3,1)&gt;=$AE1480,DATE($AD1480,3,1)&lt;=$AF1480),ROUND($AG1480,2),0))</f>
        <v/>
      </c>
      <c r="M1480" s="18">
        <f>IF($Z1480="","",IF(AND(DATE($AD1480,4,1)&gt;=$AE1480,DATE($AD1480,4,1)&lt;=$AF1480),ROUND($AG1480,2),0))</f>
        <v/>
      </c>
      <c r="N1480" s="18">
        <f>IF($Z1480="","",IF(AND(DATE($AD1480,5,1)&gt;=$AE1480,DATE($AD1480,5,1)&lt;=$AF1480),ROUND($AG1480,2),0))</f>
        <v/>
      </c>
      <c r="O1480" s="18">
        <f>IF($Z1480="","",IF(AND(DATE($AD1480,6,1)&gt;=$AE1480,DATE($AD1480,6,1)&lt;=$AF1480),ROUND($AG1480,2),0))</f>
        <v/>
      </c>
      <c r="P1480" s="18">
        <f>IF($Z1480="","",IF(AND(DATE($AD1480,7,1)&gt;=$AE1480,DATE($AD1480,7,1)&lt;=$AF1480),ROUND($AG1480,2),0))</f>
        <v/>
      </c>
      <c r="Q1480" s="18">
        <f>IF($Z1480="","",IF(AND(DATE($AD1480,8,1)&gt;=$AE1480,DATE($AD1480,8,1)&lt;=$AF1480),ROUND($AG1480,2),0))</f>
        <v/>
      </c>
      <c r="R1480" s="18">
        <f>IF($Z1480="","",IF(AND(DATE($AD1480,9,1)&gt;=$AE1480,DATE($AD1480,9,1)&lt;=$AF1480),ROUND($AG1480,2),0))</f>
        <v/>
      </c>
      <c r="S1480" s="18">
        <f>IF($Z1480="","",IF(AND(DATE($AD1480,10,1)&gt;=$AE1480,DATE($AD1480,10,1)&lt;=$AF1480),ROUND($AG1480,2),0))</f>
        <v/>
      </c>
      <c r="T1480" s="18">
        <f>IF($Z1480="","",IF(AND(DATE($AD1480,11,1)&gt;=$AE1480,DATE($AD1480,11,1)&lt;=$AF1480),ROUND($AG1480,2),0))</f>
        <v/>
      </c>
      <c r="U1480" s="18">
        <f>IF($Z1480="","",IF(AND(DATE($AD1480,12,1)&gt;=$AE1480,DATE($AD1480,12,1)&lt;=$AF1480),ROUND($AG1480,2),0))</f>
        <v/>
      </c>
      <c r="V1480" s="7">
        <f>IF($Z1480="C","Generated from "&amp;INDEX(Contracts!$A$2:$A$151,$AB1480),IF($Z1480="A","Generated from "&amp;INDEX(Fixed_Assets!$A$2:$A$201,$AB1480),IF($Z1480="F","Generated from "&amp;INDEX(FTE_Allocation!$A$2:$A$201,$AB1480),"")))</f>
        <v/>
      </c>
      <c r="X1480" s="19">
        <f>IF($Z1480="","",SUM(J1480:U1480))</f>
        <v/>
      </c>
      <c r="Y1480" s="20">
        <f>ROW()-1</f>
        <v/>
      </c>
      <c r="Z1480" s="20">
        <f>IF($Y1480&lt;=Settings!$B$4*3,"C",IF($Y1480&lt;=(Settings!$B$4+Settings!$B$5)*3,"A",IF($Y1480&lt;=(Settings!$B$4+Settings!$B$5+Settings!$B$6)*3,"F","")))</f>
        <v/>
      </c>
      <c r="AA1480" s="20">
        <f>IF($Z1480="C",$Y1480,IF($Z1480="A",$Y1480-Settings!$B$4*3,IF($Z1480="F",$Y1480-(Settings!$B$4+Settings!$B$5)*3,"")))</f>
        <v/>
      </c>
      <c r="AB1480" s="20">
        <f>IF($Z1480="","",INT(($AA1480-1)/3)+1)</f>
        <v/>
      </c>
      <c r="AC1480" s="20">
        <f>IF($Z1480="","",MOD($AA1480-1,3)+1)</f>
        <v/>
      </c>
      <c r="AD1480" s="20">
        <f>IF($Z1480="","",Settings!$B$2+$AC1480-1)</f>
        <v/>
      </c>
      <c r="AE1480" s="21">
        <f>IF($Z1480="C",DATE(YEAR(INDEX(Contracts!$J$2:$J$151,$AB1480)),MONTH(INDEX(Contracts!$J$2:$J$151,$AB1480)),1),IF($Z1480="A",DATE(YEAR(INDEX(Fixed_Assets!$G$2:$G$201,$AB1480)),MONTH(INDEX(Fixed_Assets!$G$2:$G$201,$AB1480)),1),IF($Z1480="F",DATE(YEAR(MAX(N(INDEX(Workforce!$I$2:$I$151,MATCH(INDEX(FTE_Allocation!$A$2:$A$201,$AB1480),Workforce!$A$2:$A$151,0))),N(INDEX(FTE_Allocation!$I$2:$I$201,$AB1480)))),MONTH(MAX(N(INDEX(Workforce!$I$2:$I$151,MATCH(INDEX(FTE_Allocation!$A$2:$A$201,$AB1480),Workforce!$A$2:$A$151,0))),N(INDEX(FTE_Allocation!$I$2:$I$201,$AB1480)))),1),"")))</f>
        <v/>
      </c>
      <c r="AF1480" s="21">
        <f>IF($Z1480="C",IF(INDEX(Contracts!$I$2:$I$151,$AB1480)="PREPAID",EDATE(DATE(YEAR(INDEX(Contracts!$J$2:$J$151,$AB1480)),MONTH(INDEX(Contracts!$J$2:$J$151,$AB1480)),1),IF(INDEX(Contracts!$N$2:$N$151,$AB1480)="",12,INDEX(Contracts!$N$2:$N$151,$AB1480))-1),IF(INDEX(Contracts!$I$2:$I$151,$AB1480)="MONTHLY",IF(INDEX(Contracts!$K$2:$K$151,$AB1480)="",2958101,INDEX(Contracts!$K$2:$K$151,$AB1480)),0)),IF($Z1480="A",EDATE(DATE(YEAR(INDEX(Fixed_Assets!$G$2:$G$201,$AB1480)),MONTH(INDEX(Fixed_Assets!$G$2:$G$201,$AB1480)),1),INDEX(Fixed_Assets!$J$2:$J$201,$AB1480)-1),IF($Z1480="F",MIN(IF(INDEX(Workforce!$J$2:$J$151,MATCH(INDEX(FTE_Allocation!$A$2:$A$201,$AB1480),Workforce!$A$2:$A$151,0))="",2958101,INDEX(Workforce!$J$2:$J$151,MATCH(INDEX(FTE_Allocation!$A$2:$A$201,$AB1480),Workforce!$A$2:$A$151,0))),IF(INDEX(FTE_Allocation!$J$2:$J$201,$AB1480)="",2958101,INDEX(FTE_Allocation!$J$2:$J$201,$AB1480))),"")))</f>
        <v/>
      </c>
      <c r="AG1480" s="19">
        <f>IF($Z1480="C",IF(INDEX(Contracts!$I$2:$I$151,$AB1480)="PREPAID",INDEX(Contracts!$M$2:$M$151,$AB1480)/IF(INDEX(Contracts!$N$2:$N$151,$AB1480)="",12,INDEX(Contracts!$N$2:$N$151,$AB1480)),IF(INDEX(Contracts!$I$2:$I$151,$AB1480)="MONTHLY",INDEX(Contracts!$M$2:$M$151,$AB1480),0))*(1-N(INDEX(Contracts!$O$2:$O$151,$AB1480))),IF($Z1480="A",INDEX(Fixed_Assets!$H$2:$H$201,$AB1480)/INDEX(Fixed_Assets!$J$2:$J$201,$AB1480),IF($Z1480="F",INDEX(Workforce!$F$2:$F$151,MATCH(INDEX(FTE_Allocation!$A$2:$A$201,$AB1480),Workforce!$A$2:$A$151,0))*N(INDEX(FTE_Allocation!$F$2:$H$201,$AB1480,$AC1480)),"")))</f>
        <v/>
      </c>
    </row>
    <row r="1481">
      <c r="A1481" s="7">
        <f>IF($Z1481="","",$AD1481)</f>
        <v/>
      </c>
      <c r="B1481" s="7">
        <f>IF($Z1481="C",INDEX(Contracts!$D$2:$D$151,$AB1481)&amp;"",IF($Z1481="A",INDEX(Fixed_Assets!$C$2:$C$201,$AB1481)&amp;"",IF($Z1481="F",INDEX(Workforce!$B$2:$B$151,MATCH(INDEX(FTE_Allocation!$A$2:$A$201,$AB1481),Workforce!$A$2:$A$151,0))&amp;"","")))</f>
        <v/>
      </c>
      <c r="C1481" s="7">
        <f>IF($Z1481="C",INDEX(Contracts!$E$2:$E$151,$AB1481)&amp;"",IF($Z1481="A",INDEX(Fixed_Assets!$D$2:$D$201,$AB1481)&amp;"",IF($Z1481="F",INDEX(FTE_Allocation!$C$2:$C$201,$AB1481)&amp;"","")))</f>
        <v/>
      </c>
      <c r="D1481" s="7">
        <f>IF($Z1481="C",INDEX(Contracts!$B$2:$B$151,$AB1481)&amp;"",IF($Z1481="A",INDEX(Fixed_Assets!$B$2:$B$201,$AB1481)&amp;"",IF($Z1481="F",INDEX(FTE_Allocation!$B$2:$B$201,$AB1481)&amp;"","")))</f>
        <v/>
      </c>
      <c r="E1481" s="7">
        <f>IF($Z1481="C",INDEX(Contracts!$P$2:$P$151,$AB1481)&amp;"",IF($Z1481="A",INDEX(Fixed_Assets!$K$2:$K$201,$AB1481)&amp;"",IF($Z1481="F",IF(INDEX(FTE_Allocation!$D$2:$D$201,$AB1481)="PROJECT",IFERROR(INDEX(Projects!$D:$D,MATCH(INDEX(FTE_Allocation!$E$2:$E$201,$AB1481),Projects!$A:$A,0))&amp;"","#PROJECT?"),INDEX(FTE_Allocation!$E$2:$E$201,$AB1481)&amp;""),"")))</f>
        <v/>
      </c>
      <c r="F1481" s="7">
        <f>IF($Z1481="C",INDEX(Contracts!$Q$2:$Q$151,$AB1481)&amp;"",IF($Z1481="A",INDEX(Fixed_Assets!$L$2:$L$201,$AB1481)&amp;"",IF($Z1481="F",INDEX(Workforce!$K$2:$K$151,MATCH(INDEX(FTE_Allocation!$A$2:$A$201,$AB1481),Workforce!$A$2:$A$151,0))&amp;"","")))</f>
        <v/>
      </c>
      <c r="G1481" s="7">
        <f>IF($Z1481="C",INDEX(Contracts!$F$2:$F$151,$AB1481)&amp;" / "&amp;INDEX(Contracts!$G$2:$G$151,$AB1481),IF($Z1481="A",INDEX(Fixed_Assets!$E$2:$E$201,$AB1481)&amp;"",IF($Z1481="F","Personnel "&amp;INDEX(FTE_Allocation!$A$2:$A$201,$AB1481)&amp;IF(INDEX(FTE_Allocation!$D$2:$D$201,$AB1481)="PROJECT"," ("&amp;INDEX(FTE_Allocation!$E$2:$E$201,$AB1481)&amp;")",""),"")))</f>
        <v/>
      </c>
      <c r="H1481" s="7">
        <f>IF($Z1481="C","CONTRACT",IF($Z1481="A","ASSET",IF($Z1481="F","WORKFORCE","")))</f>
        <v/>
      </c>
      <c r="I1481" s="7">
        <f>IF($Z1481="C",INDEX(Contracts!$L$2:$L$151,$AB1481)&amp;"",IF($Z1481="A",INDEX(Fixed_Assets!$I$2:$I$201,$AB1481)&amp;"",IF($Z1481="F",INDEX(Workforce!$G$2:$G$151,MATCH(INDEX(FTE_Allocation!$A$2:$A$201,$AB1481),Workforce!$A$2:$A$151,0))&amp;"","")))</f>
        <v/>
      </c>
      <c r="J1481" s="18">
        <f>IF($Z1481="","",IF(AND(DATE($AD1481,1,1)&gt;=$AE1481,DATE($AD1481,1,1)&lt;=$AF1481),ROUND($AG1481,2),0))</f>
        <v/>
      </c>
      <c r="K1481" s="18">
        <f>IF($Z1481="","",IF(AND(DATE($AD1481,2,1)&gt;=$AE1481,DATE($AD1481,2,1)&lt;=$AF1481),ROUND($AG1481,2),0))</f>
        <v/>
      </c>
      <c r="L1481" s="18">
        <f>IF($Z1481="","",IF(AND(DATE($AD1481,3,1)&gt;=$AE1481,DATE($AD1481,3,1)&lt;=$AF1481),ROUND($AG1481,2),0))</f>
        <v/>
      </c>
      <c r="M1481" s="18">
        <f>IF($Z1481="","",IF(AND(DATE($AD1481,4,1)&gt;=$AE1481,DATE($AD1481,4,1)&lt;=$AF1481),ROUND($AG1481,2),0))</f>
        <v/>
      </c>
      <c r="N1481" s="18">
        <f>IF($Z1481="","",IF(AND(DATE($AD1481,5,1)&gt;=$AE1481,DATE($AD1481,5,1)&lt;=$AF1481),ROUND($AG1481,2),0))</f>
        <v/>
      </c>
      <c r="O1481" s="18">
        <f>IF($Z1481="","",IF(AND(DATE($AD1481,6,1)&gt;=$AE1481,DATE($AD1481,6,1)&lt;=$AF1481),ROUND($AG1481,2),0))</f>
        <v/>
      </c>
      <c r="P1481" s="18">
        <f>IF($Z1481="","",IF(AND(DATE($AD1481,7,1)&gt;=$AE1481,DATE($AD1481,7,1)&lt;=$AF1481),ROUND($AG1481,2),0))</f>
        <v/>
      </c>
      <c r="Q1481" s="18">
        <f>IF($Z1481="","",IF(AND(DATE($AD1481,8,1)&gt;=$AE1481,DATE($AD1481,8,1)&lt;=$AF1481),ROUND($AG1481,2),0))</f>
        <v/>
      </c>
      <c r="R1481" s="18">
        <f>IF($Z1481="","",IF(AND(DATE($AD1481,9,1)&gt;=$AE1481,DATE($AD1481,9,1)&lt;=$AF1481),ROUND($AG1481,2),0))</f>
        <v/>
      </c>
      <c r="S1481" s="18">
        <f>IF($Z1481="","",IF(AND(DATE($AD1481,10,1)&gt;=$AE1481,DATE($AD1481,10,1)&lt;=$AF1481),ROUND($AG1481,2),0))</f>
        <v/>
      </c>
      <c r="T1481" s="18">
        <f>IF($Z1481="","",IF(AND(DATE($AD1481,11,1)&gt;=$AE1481,DATE($AD1481,11,1)&lt;=$AF1481),ROUND($AG1481,2),0))</f>
        <v/>
      </c>
      <c r="U1481" s="18">
        <f>IF($Z1481="","",IF(AND(DATE($AD1481,12,1)&gt;=$AE1481,DATE($AD1481,12,1)&lt;=$AF1481),ROUND($AG1481,2),0))</f>
        <v/>
      </c>
      <c r="V1481" s="7">
        <f>IF($Z1481="C","Generated from "&amp;INDEX(Contracts!$A$2:$A$151,$AB1481),IF($Z1481="A","Generated from "&amp;INDEX(Fixed_Assets!$A$2:$A$201,$AB1481),IF($Z1481="F","Generated from "&amp;INDEX(FTE_Allocation!$A$2:$A$201,$AB1481),"")))</f>
        <v/>
      </c>
      <c r="X1481" s="19">
        <f>IF($Z1481="","",SUM(J1481:U1481))</f>
        <v/>
      </c>
      <c r="Y1481" s="20">
        <f>ROW()-1</f>
        <v/>
      </c>
      <c r="Z1481" s="20">
        <f>IF($Y1481&lt;=Settings!$B$4*3,"C",IF($Y1481&lt;=(Settings!$B$4+Settings!$B$5)*3,"A",IF($Y1481&lt;=(Settings!$B$4+Settings!$B$5+Settings!$B$6)*3,"F","")))</f>
        <v/>
      </c>
      <c r="AA1481" s="20">
        <f>IF($Z1481="C",$Y1481,IF($Z1481="A",$Y1481-Settings!$B$4*3,IF($Z1481="F",$Y1481-(Settings!$B$4+Settings!$B$5)*3,"")))</f>
        <v/>
      </c>
      <c r="AB1481" s="20">
        <f>IF($Z1481="","",INT(($AA1481-1)/3)+1)</f>
        <v/>
      </c>
      <c r="AC1481" s="20">
        <f>IF($Z1481="","",MOD($AA1481-1,3)+1)</f>
        <v/>
      </c>
      <c r="AD1481" s="20">
        <f>IF($Z1481="","",Settings!$B$2+$AC1481-1)</f>
        <v/>
      </c>
      <c r="AE1481" s="21">
        <f>IF($Z1481="C",DATE(YEAR(INDEX(Contracts!$J$2:$J$151,$AB1481)),MONTH(INDEX(Contracts!$J$2:$J$151,$AB1481)),1),IF($Z1481="A",DATE(YEAR(INDEX(Fixed_Assets!$G$2:$G$201,$AB1481)),MONTH(INDEX(Fixed_Assets!$G$2:$G$201,$AB1481)),1),IF($Z1481="F",DATE(YEAR(MAX(N(INDEX(Workforce!$I$2:$I$151,MATCH(INDEX(FTE_Allocation!$A$2:$A$201,$AB1481),Workforce!$A$2:$A$151,0))),N(INDEX(FTE_Allocation!$I$2:$I$201,$AB1481)))),MONTH(MAX(N(INDEX(Workforce!$I$2:$I$151,MATCH(INDEX(FTE_Allocation!$A$2:$A$201,$AB1481),Workforce!$A$2:$A$151,0))),N(INDEX(FTE_Allocation!$I$2:$I$201,$AB1481)))),1),"")))</f>
        <v/>
      </c>
      <c r="AF1481" s="21">
        <f>IF($Z1481="C",IF(INDEX(Contracts!$I$2:$I$151,$AB1481)="PREPAID",EDATE(DATE(YEAR(INDEX(Contracts!$J$2:$J$151,$AB1481)),MONTH(INDEX(Contracts!$J$2:$J$151,$AB1481)),1),IF(INDEX(Contracts!$N$2:$N$151,$AB1481)="",12,INDEX(Contracts!$N$2:$N$151,$AB1481))-1),IF(INDEX(Contracts!$I$2:$I$151,$AB1481)="MONTHLY",IF(INDEX(Contracts!$K$2:$K$151,$AB1481)="",2958101,INDEX(Contracts!$K$2:$K$151,$AB1481)),0)),IF($Z1481="A",EDATE(DATE(YEAR(INDEX(Fixed_Assets!$G$2:$G$201,$AB1481)),MONTH(INDEX(Fixed_Assets!$G$2:$G$201,$AB1481)),1),INDEX(Fixed_Assets!$J$2:$J$201,$AB1481)-1),IF($Z1481="F",MIN(IF(INDEX(Workforce!$J$2:$J$151,MATCH(INDEX(FTE_Allocation!$A$2:$A$201,$AB1481),Workforce!$A$2:$A$151,0))="",2958101,INDEX(Workforce!$J$2:$J$151,MATCH(INDEX(FTE_Allocation!$A$2:$A$201,$AB1481),Workforce!$A$2:$A$151,0))),IF(INDEX(FTE_Allocation!$J$2:$J$201,$AB1481)="",2958101,INDEX(FTE_Allocation!$J$2:$J$201,$AB1481))),"")))</f>
        <v/>
      </c>
      <c r="AG1481" s="19">
        <f>IF($Z1481="C",IF(INDEX(Contracts!$I$2:$I$151,$AB1481)="PREPAID",INDEX(Contracts!$M$2:$M$151,$AB1481)/IF(INDEX(Contracts!$N$2:$N$151,$AB1481)="",12,INDEX(Contracts!$N$2:$N$151,$AB1481)),IF(INDEX(Contracts!$I$2:$I$151,$AB1481)="MONTHLY",INDEX(Contracts!$M$2:$M$151,$AB1481),0))*(1-N(INDEX(Contracts!$O$2:$O$151,$AB1481))),IF($Z1481="A",INDEX(Fixed_Assets!$H$2:$H$201,$AB1481)/INDEX(Fixed_Assets!$J$2:$J$201,$AB1481),IF($Z1481="F",INDEX(Workforce!$F$2:$F$151,MATCH(INDEX(FTE_Allocation!$A$2:$A$201,$AB1481),Workforce!$A$2:$A$151,0))*N(INDEX(FTE_Allocation!$F$2:$H$201,$AB1481,$AC1481)),"")))</f>
        <v/>
      </c>
    </row>
    <row r="1482">
      <c r="A1482" s="7">
        <f>IF($Z1482="","",$AD1482)</f>
        <v/>
      </c>
      <c r="B1482" s="7">
        <f>IF($Z1482="C",INDEX(Contracts!$D$2:$D$151,$AB1482)&amp;"",IF($Z1482="A",INDEX(Fixed_Assets!$C$2:$C$201,$AB1482)&amp;"",IF($Z1482="F",INDEX(Workforce!$B$2:$B$151,MATCH(INDEX(FTE_Allocation!$A$2:$A$201,$AB1482),Workforce!$A$2:$A$151,0))&amp;"","")))</f>
        <v/>
      </c>
      <c r="C1482" s="7">
        <f>IF($Z1482="C",INDEX(Contracts!$E$2:$E$151,$AB1482)&amp;"",IF($Z1482="A",INDEX(Fixed_Assets!$D$2:$D$201,$AB1482)&amp;"",IF($Z1482="F",INDEX(FTE_Allocation!$C$2:$C$201,$AB1482)&amp;"","")))</f>
        <v/>
      </c>
      <c r="D1482" s="7">
        <f>IF($Z1482="C",INDEX(Contracts!$B$2:$B$151,$AB1482)&amp;"",IF($Z1482="A",INDEX(Fixed_Assets!$B$2:$B$201,$AB1482)&amp;"",IF($Z1482="F",INDEX(FTE_Allocation!$B$2:$B$201,$AB1482)&amp;"","")))</f>
        <v/>
      </c>
      <c r="E1482" s="7">
        <f>IF($Z1482="C",INDEX(Contracts!$P$2:$P$151,$AB1482)&amp;"",IF($Z1482="A",INDEX(Fixed_Assets!$K$2:$K$201,$AB1482)&amp;"",IF($Z1482="F",IF(INDEX(FTE_Allocation!$D$2:$D$201,$AB1482)="PROJECT",IFERROR(INDEX(Projects!$D:$D,MATCH(INDEX(FTE_Allocation!$E$2:$E$201,$AB1482),Projects!$A:$A,0))&amp;"","#PROJECT?"),INDEX(FTE_Allocation!$E$2:$E$201,$AB1482)&amp;""),"")))</f>
        <v/>
      </c>
      <c r="F1482" s="7">
        <f>IF($Z1482="C",INDEX(Contracts!$Q$2:$Q$151,$AB1482)&amp;"",IF($Z1482="A",INDEX(Fixed_Assets!$L$2:$L$201,$AB1482)&amp;"",IF($Z1482="F",INDEX(Workforce!$K$2:$K$151,MATCH(INDEX(FTE_Allocation!$A$2:$A$201,$AB1482),Workforce!$A$2:$A$151,0))&amp;"","")))</f>
        <v/>
      </c>
      <c r="G1482" s="7">
        <f>IF($Z1482="C",INDEX(Contracts!$F$2:$F$151,$AB1482)&amp;" / "&amp;INDEX(Contracts!$G$2:$G$151,$AB1482),IF($Z1482="A",INDEX(Fixed_Assets!$E$2:$E$201,$AB1482)&amp;"",IF($Z1482="F","Personnel "&amp;INDEX(FTE_Allocation!$A$2:$A$201,$AB1482)&amp;IF(INDEX(FTE_Allocation!$D$2:$D$201,$AB1482)="PROJECT"," ("&amp;INDEX(FTE_Allocation!$E$2:$E$201,$AB1482)&amp;")",""),"")))</f>
        <v/>
      </c>
      <c r="H1482" s="7">
        <f>IF($Z1482="C","CONTRACT",IF($Z1482="A","ASSET",IF($Z1482="F","WORKFORCE","")))</f>
        <v/>
      </c>
      <c r="I1482" s="7">
        <f>IF($Z1482="C",INDEX(Contracts!$L$2:$L$151,$AB1482)&amp;"",IF($Z1482="A",INDEX(Fixed_Assets!$I$2:$I$201,$AB1482)&amp;"",IF($Z1482="F",INDEX(Workforce!$G$2:$G$151,MATCH(INDEX(FTE_Allocation!$A$2:$A$201,$AB1482),Workforce!$A$2:$A$151,0))&amp;"","")))</f>
        <v/>
      </c>
      <c r="J1482" s="18">
        <f>IF($Z1482="","",IF(AND(DATE($AD1482,1,1)&gt;=$AE1482,DATE($AD1482,1,1)&lt;=$AF1482),ROUND($AG1482,2),0))</f>
        <v/>
      </c>
      <c r="K1482" s="18">
        <f>IF($Z1482="","",IF(AND(DATE($AD1482,2,1)&gt;=$AE1482,DATE($AD1482,2,1)&lt;=$AF1482),ROUND($AG1482,2),0))</f>
        <v/>
      </c>
      <c r="L1482" s="18">
        <f>IF($Z1482="","",IF(AND(DATE($AD1482,3,1)&gt;=$AE1482,DATE($AD1482,3,1)&lt;=$AF1482),ROUND($AG1482,2),0))</f>
        <v/>
      </c>
      <c r="M1482" s="18">
        <f>IF($Z1482="","",IF(AND(DATE($AD1482,4,1)&gt;=$AE1482,DATE($AD1482,4,1)&lt;=$AF1482),ROUND($AG1482,2),0))</f>
        <v/>
      </c>
      <c r="N1482" s="18">
        <f>IF($Z1482="","",IF(AND(DATE($AD1482,5,1)&gt;=$AE1482,DATE($AD1482,5,1)&lt;=$AF1482),ROUND($AG1482,2),0))</f>
        <v/>
      </c>
      <c r="O1482" s="18">
        <f>IF($Z1482="","",IF(AND(DATE($AD1482,6,1)&gt;=$AE1482,DATE($AD1482,6,1)&lt;=$AF1482),ROUND($AG1482,2),0))</f>
        <v/>
      </c>
      <c r="P1482" s="18">
        <f>IF($Z1482="","",IF(AND(DATE($AD1482,7,1)&gt;=$AE1482,DATE($AD1482,7,1)&lt;=$AF1482),ROUND($AG1482,2),0))</f>
        <v/>
      </c>
      <c r="Q1482" s="18">
        <f>IF($Z1482="","",IF(AND(DATE($AD1482,8,1)&gt;=$AE1482,DATE($AD1482,8,1)&lt;=$AF1482),ROUND($AG1482,2),0))</f>
        <v/>
      </c>
      <c r="R1482" s="18">
        <f>IF($Z1482="","",IF(AND(DATE($AD1482,9,1)&gt;=$AE1482,DATE($AD1482,9,1)&lt;=$AF1482),ROUND($AG1482,2),0))</f>
        <v/>
      </c>
      <c r="S1482" s="18">
        <f>IF($Z1482="","",IF(AND(DATE($AD1482,10,1)&gt;=$AE1482,DATE($AD1482,10,1)&lt;=$AF1482),ROUND($AG1482,2),0))</f>
        <v/>
      </c>
      <c r="T1482" s="18">
        <f>IF($Z1482="","",IF(AND(DATE($AD1482,11,1)&gt;=$AE1482,DATE($AD1482,11,1)&lt;=$AF1482),ROUND($AG1482,2),0))</f>
        <v/>
      </c>
      <c r="U1482" s="18">
        <f>IF($Z1482="","",IF(AND(DATE($AD1482,12,1)&gt;=$AE1482,DATE($AD1482,12,1)&lt;=$AF1482),ROUND($AG1482,2),0))</f>
        <v/>
      </c>
      <c r="V1482" s="7">
        <f>IF($Z1482="C","Generated from "&amp;INDEX(Contracts!$A$2:$A$151,$AB1482),IF($Z1482="A","Generated from "&amp;INDEX(Fixed_Assets!$A$2:$A$201,$AB1482),IF($Z1482="F","Generated from "&amp;INDEX(FTE_Allocation!$A$2:$A$201,$AB1482),"")))</f>
        <v/>
      </c>
      <c r="X1482" s="19">
        <f>IF($Z1482="","",SUM(J1482:U1482))</f>
        <v/>
      </c>
      <c r="Y1482" s="20">
        <f>ROW()-1</f>
        <v/>
      </c>
      <c r="Z1482" s="20">
        <f>IF($Y1482&lt;=Settings!$B$4*3,"C",IF($Y1482&lt;=(Settings!$B$4+Settings!$B$5)*3,"A",IF($Y1482&lt;=(Settings!$B$4+Settings!$B$5+Settings!$B$6)*3,"F","")))</f>
        <v/>
      </c>
      <c r="AA1482" s="20">
        <f>IF($Z1482="C",$Y1482,IF($Z1482="A",$Y1482-Settings!$B$4*3,IF($Z1482="F",$Y1482-(Settings!$B$4+Settings!$B$5)*3,"")))</f>
        <v/>
      </c>
      <c r="AB1482" s="20">
        <f>IF($Z1482="","",INT(($AA1482-1)/3)+1)</f>
        <v/>
      </c>
      <c r="AC1482" s="20">
        <f>IF($Z1482="","",MOD($AA1482-1,3)+1)</f>
        <v/>
      </c>
      <c r="AD1482" s="20">
        <f>IF($Z1482="","",Settings!$B$2+$AC1482-1)</f>
        <v/>
      </c>
      <c r="AE1482" s="21">
        <f>IF($Z1482="C",DATE(YEAR(INDEX(Contracts!$J$2:$J$151,$AB1482)),MONTH(INDEX(Contracts!$J$2:$J$151,$AB1482)),1),IF($Z1482="A",DATE(YEAR(INDEX(Fixed_Assets!$G$2:$G$201,$AB1482)),MONTH(INDEX(Fixed_Assets!$G$2:$G$201,$AB1482)),1),IF($Z1482="F",DATE(YEAR(MAX(N(INDEX(Workforce!$I$2:$I$151,MATCH(INDEX(FTE_Allocation!$A$2:$A$201,$AB1482),Workforce!$A$2:$A$151,0))),N(INDEX(FTE_Allocation!$I$2:$I$201,$AB1482)))),MONTH(MAX(N(INDEX(Workforce!$I$2:$I$151,MATCH(INDEX(FTE_Allocation!$A$2:$A$201,$AB1482),Workforce!$A$2:$A$151,0))),N(INDEX(FTE_Allocation!$I$2:$I$201,$AB1482)))),1),"")))</f>
        <v/>
      </c>
      <c r="AF1482" s="21">
        <f>IF($Z1482="C",IF(INDEX(Contracts!$I$2:$I$151,$AB1482)="PREPAID",EDATE(DATE(YEAR(INDEX(Contracts!$J$2:$J$151,$AB1482)),MONTH(INDEX(Contracts!$J$2:$J$151,$AB1482)),1),IF(INDEX(Contracts!$N$2:$N$151,$AB1482)="",12,INDEX(Contracts!$N$2:$N$151,$AB1482))-1),IF(INDEX(Contracts!$I$2:$I$151,$AB1482)="MONTHLY",IF(INDEX(Contracts!$K$2:$K$151,$AB1482)="",2958101,INDEX(Contracts!$K$2:$K$151,$AB1482)),0)),IF($Z1482="A",EDATE(DATE(YEAR(INDEX(Fixed_Assets!$G$2:$G$201,$AB1482)),MONTH(INDEX(Fixed_Assets!$G$2:$G$201,$AB1482)),1),INDEX(Fixed_Assets!$J$2:$J$201,$AB1482)-1),IF($Z1482="F",MIN(IF(INDEX(Workforce!$J$2:$J$151,MATCH(INDEX(FTE_Allocation!$A$2:$A$201,$AB1482),Workforce!$A$2:$A$151,0))="",2958101,INDEX(Workforce!$J$2:$J$151,MATCH(INDEX(FTE_Allocation!$A$2:$A$201,$AB1482),Workforce!$A$2:$A$151,0))),IF(INDEX(FTE_Allocation!$J$2:$J$201,$AB1482)="",2958101,INDEX(FTE_Allocation!$J$2:$J$201,$AB1482))),"")))</f>
        <v/>
      </c>
      <c r="AG1482" s="19">
        <f>IF($Z1482="C",IF(INDEX(Contracts!$I$2:$I$151,$AB1482)="PREPAID",INDEX(Contracts!$M$2:$M$151,$AB1482)/IF(INDEX(Contracts!$N$2:$N$151,$AB1482)="",12,INDEX(Contracts!$N$2:$N$151,$AB1482)),IF(INDEX(Contracts!$I$2:$I$151,$AB1482)="MONTHLY",INDEX(Contracts!$M$2:$M$151,$AB1482),0))*(1-N(INDEX(Contracts!$O$2:$O$151,$AB1482))),IF($Z1482="A",INDEX(Fixed_Assets!$H$2:$H$201,$AB1482)/INDEX(Fixed_Assets!$J$2:$J$201,$AB1482),IF($Z1482="F",INDEX(Workforce!$F$2:$F$151,MATCH(INDEX(FTE_Allocation!$A$2:$A$201,$AB1482),Workforce!$A$2:$A$151,0))*N(INDEX(FTE_Allocation!$F$2:$H$201,$AB1482,$AC1482)),"")))</f>
        <v/>
      </c>
    </row>
    <row r="1483">
      <c r="A1483" s="7">
        <f>IF($Z1483="","",$AD1483)</f>
        <v/>
      </c>
      <c r="B1483" s="7">
        <f>IF($Z1483="C",INDEX(Contracts!$D$2:$D$151,$AB1483)&amp;"",IF($Z1483="A",INDEX(Fixed_Assets!$C$2:$C$201,$AB1483)&amp;"",IF($Z1483="F",INDEX(Workforce!$B$2:$B$151,MATCH(INDEX(FTE_Allocation!$A$2:$A$201,$AB1483),Workforce!$A$2:$A$151,0))&amp;"","")))</f>
        <v/>
      </c>
      <c r="C1483" s="7">
        <f>IF($Z1483="C",INDEX(Contracts!$E$2:$E$151,$AB1483)&amp;"",IF($Z1483="A",INDEX(Fixed_Assets!$D$2:$D$201,$AB1483)&amp;"",IF($Z1483="F",INDEX(FTE_Allocation!$C$2:$C$201,$AB1483)&amp;"","")))</f>
        <v/>
      </c>
      <c r="D1483" s="7">
        <f>IF($Z1483="C",INDEX(Contracts!$B$2:$B$151,$AB1483)&amp;"",IF($Z1483="A",INDEX(Fixed_Assets!$B$2:$B$201,$AB1483)&amp;"",IF($Z1483="F",INDEX(FTE_Allocation!$B$2:$B$201,$AB1483)&amp;"","")))</f>
        <v/>
      </c>
      <c r="E1483" s="7">
        <f>IF($Z1483="C",INDEX(Contracts!$P$2:$P$151,$AB1483)&amp;"",IF($Z1483="A",INDEX(Fixed_Assets!$K$2:$K$201,$AB1483)&amp;"",IF($Z1483="F",IF(INDEX(FTE_Allocation!$D$2:$D$201,$AB1483)="PROJECT",IFERROR(INDEX(Projects!$D:$D,MATCH(INDEX(FTE_Allocation!$E$2:$E$201,$AB1483),Projects!$A:$A,0))&amp;"","#PROJECT?"),INDEX(FTE_Allocation!$E$2:$E$201,$AB1483)&amp;""),"")))</f>
        <v/>
      </c>
      <c r="F1483" s="7">
        <f>IF($Z1483="C",INDEX(Contracts!$Q$2:$Q$151,$AB1483)&amp;"",IF($Z1483="A",INDEX(Fixed_Assets!$L$2:$L$201,$AB1483)&amp;"",IF($Z1483="F",INDEX(Workforce!$K$2:$K$151,MATCH(INDEX(FTE_Allocation!$A$2:$A$201,$AB1483),Workforce!$A$2:$A$151,0))&amp;"","")))</f>
        <v/>
      </c>
      <c r="G1483" s="7">
        <f>IF($Z1483="C",INDEX(Contracts!$F$2:$F$151,$AB1483)&amp;" / "&amp;INDEX(Contracts!$G$2:$G$151,$AB1483),IF($Z1483="A",INDEX(Fixed_Assets!$E$2:$E$201,$AB1483)&amp;"",IF($Z1483="F","Personnel "&amp;INDEX(FTE_Allocation!$A$2:$A$201,$AB1483)&amp;IF(INDEX(FTE_Allocation!$D$2:$D$201,$AB1483)="PROJECT"," ("&amp;INDEX(FTE_Allocation!$E$2:$E$201,$AB1483)&amp;")",""),"")))</f>
        <v/>
      </c>
      <c r="H1483" s="7">
        <f>IF($Z1483="C","CONTRACT",IF($Z1483="A","ASSET",IF($Z1483="F","WORKFORCE","")))</f>
        <v/>
      </c>
      <c r="I1483" s="7">
        <f>IF($Z1483="C",INDEX(Contracts!$L$2:$L$151,$AB1483)&amp;"",IF($Z1483="A",INDEX(Fixed_Assets!$I$2:$I$201,$AB1483)&amp;"",IF($Z1483="F",INDEX(Workforce!$G$2:$G$151,MATCH(INDEX(FTE_Allocation!$A$2:$A$201,$AB1483),Workforce!$A$2:$A$151,0))&amp;"","")))</f>
        <v/>
      </c>
      <c r="J1483" s="18">
        <f>IF($Z1483="","",IF(AND(DATE($AD1483,1,1)&gt;=$AE1483,DATE($AD1483,1,1)&lt;=$AF1483),ROUND($AG1483,2),0))</f>
        <v/>
      </c>
      <c r="K1483" s="18">
        <f>IF($Z1483="","",IF(AND(DATE($AD1483,2,1)&gt;=$AE1483,DATE($AD1483,2,1)&lt;=$AF1483),ROUND($AG1483,2),0))</f>
        <v/>
      </c>
      <c r="L1483" s="18">
        <f>IF($Z1483="","",IF(AND(DATE($AD1483,3,1)&gt;=$AE1483,DATE($AD1483,3,1)&lt;=$AF1483),ROUND($AG1483,2),0))</f>
        <v/>
      </c>
      <c r="M1483" s="18">
        <f>IF($Z1483="","",IF(AND(DATE($AD1483,4,1)&gt;=$AE1483,DATE($AD1483,4,1)&lt;=$AF1483),ROUND($AG1483,2),0))</f>
        <v/>
      </c>
      <c r="N1483" s="18">
        <f>IF($Z1483="","",IF(AND(DATE($AD1483,5,1)&gt;=$AE1483,DATE($AD1483,5,1)&lt;=$AF1483),ROUND($AG1483,2),0))</f>
        <v/>
      </c>
      <c r="O1483" s="18">
        <f>IF($Z1483="","",IF(AND(DATE($AD1483,6,1)&gt;=$AE1483,DATE($AD1483,6,1)&lt;=$AF1483),ROUND($AG1483,2),0))</f>
        <v/>
      </c>
      <c r="P1483" s="18">
        <f>IF($Z1483="","",IF(AND(DATE($AD1483,7,1)&gt;=$AE1483,DATE($AD1483,7,1)&lt;=$AF1483),ROUND($AG1483,2),0))</f>
        <v/>
      </c>
      <c r="Q1483" s="18">
        <f>IF($Z1483="","",IF(AND(DATE($AD1483,8,1)&gt;=$AE1483,DATE($AD1483,8,1)&lt;=$AF1483),ROUND($AG1483,2),0))</f>
        <v/>
      </c>
      <c r="R1483" s="18">
        <f>IF($Z1483="","",IF(AND(DATE($AD1483,9,1)&gt;=$AE1483,DATE($AD1483,9,1)&lt;=$AF1483),ROUND($AG1483,2),0))</f>
        <v/>
      </c>
      <c r="S1483" s="18">
        <f>IF($Z1483="","",IF(AND(DATE($AD1483,10,1)&gt;=$AE1483,DATE($AD1483,10,1)&lt;=$AF1483),ROUND($AG1483,2),0))</f>
        <v/>
      </c>
      <c r="T1483" s="18">
        <f>IF($Z1483="","",IF(AND(DATE($AD1483,11,1)&gt;=$AE1483,DATE($AD1483,11,1)&lt;=$AF1483),ROUND($AG1483,2),0))</f>
        <v/>
      </c>
      <c r="U1483" s="18">
        <f>IF($Z1483="","",IF(AND(DATE($AD1483,12,1)&gt;=$AE1483,DATE($AD1483,12,1)&lt;=$AF1483),ROUND($AG1483,2),0))</f>
        <v/>
      </c>
      <c r="V1483" s="7">
        <f>IF($Z1483="C","Generated from "&amp;INDEX(Contracts!$A$2:$A$151,$AB1483),IF($Z1483="A","Generated from "&amp;INDEX(Fixed_Assets!$A$2:$A$201,$AB1483),IF($Z1483="F","Generated from "&amp;INDEX(FTE_Allocation!$A$2:$A$201,$AB1483),"")))</f>
        <v/>
      </c>
      <c r="X1483" s="19">
        <f>IF($Z1483="","",SUM(J1483:U1483))</f>
        <v/>
      </c>
      <c r="Y1483" s="20">
        <f>ROW()-1</f>
        <v/>
      </c>
      <c r="Z1483" s="20">
        <f>IF($Y1483&lt;=Settings!$B$4*3,"C",IF($Y1483&lt;=(Settings!$B$4+Settings!$B$5)*3,"A",IF($Y1483&lt;=(Settings!$B$4+Settings!$B$5+Settings!$B$6)*3,"F","")))</f>
        <v/>
      </c>
      <c r="AA1483" s="20">
        <f>IF($Z1483="C",$Y1483,IF($Z1483="A",$Y1483-Settings!$B$4*3,IF($Z1483="F",$Y1483-(Settings!$B$4+Settings!$B$5)*3,"")))</f>
        <v/>
      </c>
      <c r="AB1483" s="20">
        <f>IF($Z1483="","",INT(($AA1483-1)/3)+1)</f>
        <v/>
      </c>
      <c r="AC1483" s="20">
        <f>IF($Z1483="","",MOD($AA1483-1,3)+1)</f>
        <v/>
      </c>
      <c r="AD1483" s="20">
        <f>IF($Z1483="","",Settings!$B$2+$AC1483-1)</f>
        <v/>
      </c>
      <c r="AE1483" s="21">
        <f>IF($Z1483="C",DATE(YEAR(INDEX(Contracts!$J$2:$J$151,$AB1483)),MONTH(INDEX(Contracts!$J$2:$J$151,$AB1483)),1),IF($Z1483="A",DATE(YEAR(INDEX(Fixed_Assets!$G$2:$G$201,$AB1483)),MONTH(INDEX(Fixed_Assets!$G$2:$G$201,$AB1483)),1),IF($Z1483="F",DATE(YEAR(MAX(N(INDEX(Workforce!$I$2:$I$151,MATCH(INDEX(FTE_Allocation!$A$2:$A$201,$AB1483),Workforce!$A$2:$A$151,0))),N(INDEX(FTE_Allocation!$I$2:$I$201,$AB1483)))),MONTH(MAX(N(INDEX(Workforce!$I$2:$I$151,MATCH(INDEX(FTE_Allocation!$A$2:$A$201,$AB1483),Workforce!$A$2:$A$151,0))),N(INDEX(FTE_Allocation!$I$2:$I$201,$AB1483)))),1),"")))</f>
        <v/>
      </c>
      <c r="AF1483" s="21">
        <f>IF($Z1483="C",IF(INDEX(Contracts!$I$2:$I$151,$AB1483)="PREPAID",EDATE(DATE(YEAR(INDEX(Contracts!$J$2:$J$151,$AB1483)),MONTH(INDEX(Contracts!$J$2:$J$151,$AB1483)),1),IF(INDEX(Contracts!$N$2:$N$151,$AB1483)="",12,INDEX(Contracts!$N$2:$N$151,$AB1483))-1),IF(INDEX(Contracts!$I$2:$I$151,$AB1483)="MONTHLY",IF(INDEX(Contracts!$K$2:$K$151,$AB1483)="",2958101,INDEX(Contracts!$K$2:$K$151,$AB1483)),0)),IF($Z1483="A",EDATE(DATE(YEAR(INDEX(Fixed_Assets!$G$2:$G$201,$AB1483)),MONTH(INDEX(Fixed_Assets!$G$2:$G$201,$AB1483)),1),INDEX(Fixed_Assets!$J$2:$J$201,$AB1483)-1),IF($Z1483="F",MIN(IF(INDEX(Workforce!$J$2:$J$151,MATCH(INDEX(FTE_Allocation!$A$2:$A$201,$AB1483),Workforce!$A$2:$A$151,0))="",2958101,INDEX(Workforce!$J$2:$J$151,MATCH(INDEX(FTE_Allocation!$A$2:$A$201,$AB1483),Workforce!$A$2:$A$151,0))),IF(INDEX(FTE_Allocation!$J$2:$J$201,$AB1483)="",2958101,INDEX(FTE_Allocation!$J$2:$J$201,$AB1483))),"")))</f>
        <v/>
      </c>
      <c r="AG1483" s="19">
        <f>IF($Z1483="C",IF(INDEX(Contracts!$I$2:$I$151,$AB1483)="PREPAID",INDEX(Contracts!$M$2:$M$151,$AB1483)/IF(INDEX(Contracts!$N$2:$N$151,$AB1483)="",12,INDEX(Contracts!$N$2:$N$151,$AB1483)),IF(INDEX(Contracts!$I$2:$I$151,$AB1483)="MONTHLY",INDEX(Contracts!$M$2:$M$151,$AB1483),0))*(1-N(INDEX(Contracts!$O$2:$O$151,$AB1483))),IF($Z1483="A",INDEX(Fixed_Assets!$H$2:$H$201,$AB1483)/INDEX(Fixed_Assets!$J$2:$J$201,$AB1483),IF($Z1483="F",INDEX(Workforce!$F$2:$F$151,MATCH(INDEX(FTE_Allocation!$A$2:$A$201,$AB1483),Workforce!$A$2:$A$151,0))*N(INDEX(FTE_Allocation!$F$2:$H$201,$AB1483,$AC1483)),"")))</f>
        <v/>
      </c>
    </row>
    <row r="1484">
      <c r="A1484" s="7">
        <f>IF($Z1484="","",$AD1484)</f>
        <v/>
      </c>
      <c r="B1484" s="7">
        <f>IF($Z1484="C",INDEX(Contracts!$D$2:$D$151,$AB1484)&amp;"",IF($Z1484="A",INDEX(Fixed_Assets!$C$2:$C$201,$AB1484)&amp;"",IF($Z1484="F",INDEX(Workforce!$B$2:$B$151,MATCH(INDEX(FTE_Allocation!$A$2:$A$201,$AB1484),Workforce!$A$2:$A$151,0))&amp;"","")))</f>
        <v/>
      </c>
      <c r="C1484" s="7">
        <f>IF($Z1484="C",INDEX(Contracts!$E$2:$E$151,$AB1484)&amp;"",IF($Z1484="A",INDEX(Fixed_Assets!$D$2:$D$201,$AB1484)&amp;"",IF($Z1484="F",INDEX(FTE_Allocation!$C$2:$C$201,$AB1484)&amp;"","")))</f>
        <v/>
      </c>
      <c r="D1484" s="7">
        <f>IF($Z1484="C",INDEX(Contracts!$B$2:$B$151,$AB1484)&amp;"",IF($Z1484="A",INDEX(Fixed_Assets!$B$2:$B$201,$AB1484)&amp;"",IF($Z1484="F",INDEX(FTE_Allocation!$B$2:$B$201,$AB1484)&amp;"","")))</f>
        <v/>
      </c>
      <c r="E1484" s="7">
        <f>IF($Z1484="C",INDEX(Contracts!$P$2:$P$151,$AB1484)&amp;"",IF($Z1484="A",INDEX(Fixed_Assets!$K$2:$K$201,$AB1484)&amp;"",IF($Z1484="F",IF(INDEX(FTE_Allocation!$D$2:$D$201,$AB1484)="PROJECT",IFERROR(INDEX(Projects!$D:$D,MATCH(INDEX(FTE_Allocation!$E$2:$E$201,$AB1484),Projects!$A:$A,0))&amp;"","#PROJECT?"),INDEX(FTE_Allocation!$E$2:$E$201,$AB1484)&amp;""),"")))</f>
        <v/>
      </c>
      <c r="F1484" s="7">
        <f>IF($Z1484="C",INDEX(Contracts!$Q$2:$Q$151,$AB1484)&amp;"",IF($Z1484="A",INDEX(Fixed_Assets!$L$2:$L$201,$AB1484)&amp;"",IF($Z1484="F",INDEX(Workforce!$K$2:$K$151,MATCH(INDEX(FTE_Allocation!$A$2:$A$201,$AB1484),Workforce!$A$2:$A$151,0))&amp;"","")))</f>
        <v/>
      </c>
      <c r="G1484" s="7">
        <f>IF($Z1484="C",INDEX(Contracts!$F$2:$F$151,$AB1484)&amp;" / "&amp;INDEX(Contracts!$G$2:$G$151,$AB1484),IF($Z1484="A",INDEX(Fixed_Assets!$E$2:$E$201,$AB1484)&amp;"",IF($Z1484="F","Personnel "&amp;INDEX(FTE_Allocation!$A$2:$A$201,$AB1484)&amp;IF(INDEX(FTE_Allocation!$D$2:$D$201,$AB1484)="PROJECT"," ("&amp;INDEX(FTE_Allocation!$E$2:$E$201,$AB1484)&amp;")",""),"")))</f>
        <v/>
      </c>
      <c r="H1484" s="7">
        <f>IF($Z1484="C","CONTRACT",IF($Z1484="A","ASSET",IF($Z1484="F","WORKFORCE","")))</f>
        <v/>
      </c>
      <c r="I1484" s="7">
        <f>IF($Z1484="C",INDEX(Contracts!$L$2:$L$151,$AB1484)&amp;"",IF($Z1484="A",INDEX(Fixed_Assets!$I$2:$I$201,$AB1484)&amp;"",IF($Z1484="F",INDEX(Workforce!$G$2:$G$151,MATCH(INDEX(FTE_Allocation!$A$2:$A$201,$AB1484),Workforce!$A$2:$A$151,0))&amp;"","")))</f>
        <v/>
      </c>
      <c r="J1484" s="18">
        <f>IF($Z1484="","",IF(AND(DATE($AD1484,1,1)&gt;=$AE1484,DATE($AD1484,1,1)&lt;=$AF1484),ROUND($AG1484,2),0))</f>
        <v/>
      </c>
      <c r="K1484" s="18">
        <f>IF($Z1484="","",IF(AND(DATE($AD1484,2,1)&gt;=$AE1484,DATE($AD1484,2,1)&lt;=$AF1484),ROUND($AG1484,2),0))</f>
        <v/>
      </c>
      <c r="L1484" s="18">
        <f>IF($Z1484="","",IF(AND(DATE($AD1484,3,1)&gt;=$AE1484,DATE($AD1484,3,1)&lt;=$AF1484),ROUND($AG1484,2),0))</f>
        <v/>
      </c>
      <c r="M1484" s="18">
        <f>IF($Z1484="","",IF(AND(DATE($AD1484,4,1)&gt;=$AE1484,DATE($AD1484,4,1)&lt;=$AF1484),ROUND($AG1484,2),0))</f>
        <v/>
      </c>
      <c r="N1484" s="18">
        <f>IF($Z1484="","",IF(AND(DATE($AD1484,5,1)&gt;=$AE1484,DATE($AD1484,5,1)&lt;=$AF1484),ROUND($AG1484,2),0))</f>
        <v/>
      </c>
      <c r="O1484" s="18">
        <f>IF($Z1484="","",IF(AND(DATE($AD1484,6,1)&gt;=$AE1484,DATE($AD1484,6,1)&lt;=$AF1484),ROUND($AG1484,2),0))</f>
        <v/>
      </c>
      <c r="P1484" s="18">
        <f>IF($Z1484="","",IF(AND(DATE($AD1484,7,1)&gt;=$AE1484,DATE($AD1484,7,1)&lt;=$AF1484),ROUND($AG1484,2),0))</f>
        <v/>
      </c>
      <c r="Q1484" s="18">
        <f>IF($Z1484="","",IF(AND(DATE($AD1484,8,1)&gt;=$AE1484,DATE($AD1484,8,1)&lt;=$AF1484),ROUND($AG1484,2),0))</f>
        <v/>
      </c>
      <c r="R1484" s="18">
        <f>IF($Z1484="","",IF(AND(DATE($AD1484,9,1)&gt;=$AE1484,DATE($AD1484,9,1)&lt;=$AF1484),ROUND($AG1484,2),0))</f>
        <v/>
      </c>
      <c r="S1484" s="18">
        <f>IF($Z1484="","",IF(AND(DATE($AD1484,10,1)&gt;=$AE1484,DATE($AD1484,10,1)&lt;=$AF1484),ROUND($AG1484,2),0))</f>
        <v/>
      </c>
      <c r="T1484" s="18">
        <f>IF($Z1484="","",IF(AND(DATE($AD1484,11,1)&gt;=$AE1484,DATE($AD1484,11,1)&lt;=$AF1484),ROUND($AG1484,2),0))</f>
        <v/>
      </c>
      <c r="U1484" s="18">
        <f>IF($Z1484="","",IF(AND(DATE($AD1484,12,1)&gt;=$AE1484,DATE($AD1484,12,1)&lt;=$AF1484),ROUND($AG1484,2),0))</f>
        <v/>
      </c>
      <c r="V1484" s="7">
        <f>IF($Z1484="C","Generated from "&amp;INDEX(Contracts!$A$2:$A$151,$AB1484),IF($Z1484="A","Generated from "&amp;INDEX(Fixed_Assets!$A$2:$A$201,$AB1484),IF($Z1484="F","Generated from "&amp;INDEX(FTE_Allocation!$A$2:$A$201,$AB1484),"")))</f>
        <v/>
      </c>
      <c r="X1484" s="19">
        <f>IF($Z1484="","",SUM(J1484:U1484))</f>
        <v/>
      </c>
      <c r="Y1484" s="20">
        <f>ROW()-1</f>
        <v/>
      </c>
      <c r="Z1484" s="20">
        <f>IF($Y1484&lt;=Settings!$B$4*3,"C",IF($Y1484&lt;=(Settings!$B$4+Settings!$B$5)*3,"A",IF($Y1484&lt;=(Settings!$B$4+Settings!$B$5+Settings!$B$6)*3,"F","")))</f>
        <v/>
      </c>
      <c r="AA1484" s="20">
        <f>IF($Z1484="C",$Y1484,IF($Z1484="A",$Y1484-Settings!$B$4*3,IF($Z1484="F",$Y1484-(Settings!$B$4+Settings!$B$5)*3,"")))</f>
        <v/>
      </c>
      <c r="AB1484" s="20">
        <f>IF($Z1484="","",INT(($AA1484-1)/3)+1)</f>
        <v/>
      </c>
      <c r="AC1484" s="20">
        <f>IF($Z1484="","",MOD($AA1484-1,3)+1)</f>
        <v/>
      </c>
      <c r="AD1484" s="20">
        <f>IF($Z1484="","",Settings!$B$2+$AC1484-1)</f>
        <v/>
      </c>
      <c r="AE1484" s="21">
        <f>IF($Z1484="C",DATE(YEAR(INDEX(Contracts!$J$2:$J$151,$AB1484)),MONTH(INDEX(Contracts!$J$2:$J$151,$AB1484)),1),IF($Z1484="A",DATE(YEAR(INDEX(Fixed_Assets!$G$2:$G$201,$AB1484)),MONTH(INDEX(Fixed_Assets!$G$2:$G$201,$AB1484)),1),IF($Z1484="F",DATE(YEAR(MAX(N(INDEX(Workforce!$I$2:$I$151,MATCH(INDEX(FTE_Allocation!$A$2:$A$201,$AB1484),Workforce!$A$2:$A$151,0))),N(INDEX(FTE_Allocation!$I$2:$I$201,$AB1484)))),MONTH(MAX(N(INDEX(Workforce!$I$2:$I$151,MATCH(INDEX(FTE_Allocation!$A$2:$A$201,$AB1484),Workforce!$A$2:$A$151,0))),N(INDEX(FTE_Allocation!$I$2:$I$201,$AB1484)))),1),"")))</f>
        <v/>
      </c>
      <c r="AF1484" s="21">
        <f>IF($Z1484="C",IF(INDEX(Contracts!$I$2:$I$151,$AB1484)="PREPAID",EDATE(DATE(YEAR(INDEX(Contracts!$J$2:$J$151,$AB1484)),MONTH(INDEX(Contracts!$J$2:$J$151,$AB1484)),1),IF(INDEX(Contracts!$N$2:$N$151,$AB1484)="",12,INDEX(Contracts!$N$2:$N$151,$AB1484))-1),IF(INDEX(Contracts!$I$2:$I$151,$AB1484)="MONTHLY",IF(INDEX(Contracts!$K$2:$K$151,$AB1484)="",2958101,INDEX(Contracts!$K$2:$K$151,$AB1484)),0)),IF($Z1484="A",EDATE(DATE(YEAR(INDEX(Fixed_Assets!$G$2:$G$201,$AB1484)),MONTH(INDEX(Fixed_Assets!$G$2:$G$201,$AB1484)),1),INDEX(Fixed_Assets!$J$2:$J$201,$AB1484)-1),IF($Z1484="F",MIN(IF(INDEX(Workforce!$J$2:$J$151,MATCH(INDEX(FTE_Allocation!$A$2:$A$201,$AB1484),Workforce!$A$2:$A$151,0))="",2958101,INDEX(Workforce!$J$2:$J$151,MATCH(INDEX(FTE_Allocation!$A$2:$A$201,$AB1484),Workforce!$A$2:$A$151,0))),IF(INDEX(FTE_Allocation!$J$2:$J$201,$AB1484)="",2958101,INDEX(FTE_Allocation!$J$2:$J$201,$AB1484))),"")))</f>
        <v/>
      </c>
      <c r="AG1484" s="19">
        <f>IF($Z1484="C",IF(INDEX(Contracts!$I$2:$I$151,$AB1484)="PREPAID",INDEX(Contracts!$M$2:$M$151,$AB1484)/IF(INDEX(Contracts!$N$2:$N$151,$AB1484)="",12,INDEX(Contracts!$N$2:$N$151,$AB1484)),IF(INDEX(Contracts!$I$2:$I$151,$AB1484)="MONTHLY",INDEX(Contracts!$M$2:$M$151,$AB1484),0))*(1-N(INDEX(Contracts!$O$2:$O$151,$AB1484))),IF($Z1484="A",INDEX(Fixed_Assets!$H$2:$H$201,$AB1484)/INDEX(Fixed_Assets!$J$2:$J$201,$AB1484),IF($Z1484="F",INDEX(Workforce!$F$2:$F$151,MATCH(INDEX(FTE_Allocation!$A$2:$A$201,$AB1484),Workforce!$A$2:$A$151,0))*N(INDEX(FTE_Allocation!$F$2:$H$201,$AB1484,$AC1484)),"")))</f>
        <v/>
      </c>
    </row>
    <row r="1485">
      <c r="A1485" s="7">
        <f>IF($Z1485="","",$AD1485)</f>
        <v/>
      </c>
      <c r="B1485" s="7">
        <f>IF($Z1485="C",INDEX(Contracts!$D$2:$D$151,$AB1485)&amp;"",IF($Z1485="A",INDEX(Fixed_Assets!$C$2:$C$201,$AB1485)&amp;"",IF($Z1485="F",INDEX(Workforce!$B$2:$B$151,MATCH(INDEX(FTE_Allocation!$A$2:$A$201,$AB1485),Workforce!$A$2:$A$151,0))&amp;"","")))</f>
        <v/>
      </c>
      <c r="C1485" s="7">
        <f>IF($Z1485="C",INDEX(Contracts!$E$2:$E$151,$AB1485)&amp;"",IF($Z1485="A",INDEX(Fixed_Assets!$D$2:$D$201,$AB1485)&amp;"",IF($Z1485="F",INDEX(FTE_Allocation!$C$2:$C$201,$AB1485)&amp;"","")))</f>
        <v/>
      </c>
      <c r="D1485" s="7">
        <f>IF($Z1485="C",INDEX(Contracts!$B$2:$B$151,$AB1485)&amp;"",IF($Z1485="A",INDEX(Fixed_Assets!$B$2:$B$201,$AB1485)&amp;"",IF($Z1485="F",INDEX(FTE_Allocation!$B$2:$B$201,$AB1485)&amp;"","")))</f>
        <v/>
      </c>
      <c r="E1485" s="7">
        <f>IF($Z1485="C",INDEX(Contracts!$P$2:$P$151,$AB1485)&amp;"",IF($Z1485="A",INDEX(Fixed_Assets!$K$2:$K$201,$AB1485)&amp;"",IF($Z1485="F",IF(INDEX(FTE_Allocation!$D$2:$D$201,$AB1485)="PROJECT",IFERROR(INDEX(Projects!$D:$D,MATCH(INDEX(FTE_Allocation!$E$2:$E$201,$AB1485),Projects!$A:$A,0))&amp;"","#PROJECT?"),INDEX(FTE_Allocation!$E$2:$E$201,$AB1485)&amp;""),"")))</f>
        <v/>
      </c>
      <c r="F1485" s="7">
        <f>IF($Z1485="C",INDEX(Contracts!$Q$2:$Q$151,$AB1485)&amp;"",IF($Z1485="A",INDEX(Fixed_Assets!$L$2:$L$201,$AB1485)&amp;"",IF($Z1485="F",INDEX(Workforce!$K$2:$K$151,MATCH(INDEX(FTE_Allocation!$A$2:$A$201,$AB1485),Workforce!$A$2:$A$151,0))&amp;"","")))</f>
        <v/>
      </c>
      <c r="G1485" s="7">
        <f>IF($Z1485="C",INDEX(Contracts!$F$2:$F$151,$AB1485)&amp;" / "&amp;INDEX(Contracts!$G$2:$G$151,$AB1485),IF($Z1485="A",INDEX(Fixed_Assets!$E$2:$E$201,$AB1485)&amp;"",IF($Z1485="F","Personnel "&amp;INDEX(FTE_Allocation!$A$2:$A$201,$AB1485)&amp;IF(INDEX(FTE_Allocation!$D$2:$D$201,$AB1485)="PROJECT"," ("&amp;INDEX(FTE_Allocation!$E$2:$E$201,$AB1485)&amp;")",""),"")))</f>
        <v/>
      </c>
      <c r="H1485" s="7">
        <f>IF($Z1485="C","CONTRACT",IF($Z1485="A","ASSET",IF($Z1485="F","WORKFORCE","")))</f>
        <v/>
      </c>
      <c r="I1485" s="7">
        <f>IF($Z1485="C",INDEX(Contracts!$L$2:$L$151,$AB1485)&amp;"",IF($Z1485="A",INDEX(Fixed_Assets!$I$2:$I$201,$AB1485)&amp;"",IF($Z1485="F",INDEX(Workforce!$G$2:$G$151,MATCH(INDEX(FTE_Allocation!$A$2:$A$201,$AB1485),Workforce!$A$2:$A$151,0))&amp;"","")))</f>
        <v/>
      </c>
      <c r="J1485" s="18">
        <f>IF($Z1485="","",IF(AND(DATE($AD1485,1,1)&gt;=$AE1485,DATE($AD1485,1,1)&lt;=$AF1485),ROUND($AG1485,2),0))</f>
        <v/>
      </c>
      <c r="K1485" s="18">
        <f>IF($Z1485="","",IF(AND(DATE($AD1485,2,1)&gt;=$AE1485,DATE($AD1485,2,1)&lt;=$AF1485),ROUND($AG1485,2),0))</f>
        <v/>
      </c>
      <c r="L1485" s="18">
        <f>IF($Z1485="","",IF(AND(DATE($AD1485,3,1)&gt;=$AE1485,DATE($AD1485,3,1)&lt;=$AF1485),ROUND($AG1485,2),0))</f>
        <v/>
      </c>
      <c r="M1485" s="18">
        <f>IF($Z1485="","",IF(AND(DATE($AD1485,4,1)&gt;=$AE1485,DATE($AD1485,4,1)&lt;=$AF1485),ROUND($AG1485,2),0))</f>
        <v/>
      </c>
      <c r="N1485" s="18">
        <f>IF($Z1485="","",IF(AND(DATE($AD1485,5,1)&gt;=$AE1485,DATE($AD1485,5,1)&lt;=$AF1485),ROUND($AG1485,2),0))</f>
        <v/>
      </c>
      <c r="O1485" s="18">
        <f>IF($Z1485="","",IF(AND(DATE($AD1485,6,1)&gt;=$AE1485,DATE($AD1485,6,1)&lt;=$AF1485),ROUND($AG1485,2),0))</f>
        <v/>
      </c>
      <c r="P1485" s="18">
        <f>IF($Z1485="","",IF(AND(DATE($AD1485,7,1)&gt;=$AE1485,DATE($AD1485,7,1)&lt;=$AF1485),ROUND($AG1485,2),0))</f>
        <v/>
      </c>
      <c r="Q1485" s="18">
        <f>IF($Z1485="","",IF(AND(DATE($AD1485,8,1)&gt;=$AE1485,DATE($AD1485,8,1)&lt;=$AF1485),ROUND($AG1485,2),0))</f>
        <v/>
      </c>
      <c r="R1485" s="18">
        <f>IF($Z1485="","",IF(AND(DATE($AD1485,9,1)&gt;=$AE1485,DATE($AD1485,9,1)&lt;=$AF1485),ROUND($AG1485,2),0))</f>
        <v/>
      </c>
      <c r="S1485" s="18">
        <f>IF($Z1485="","",IF(AND(DATE($AD1485,10,1)&gt;=$AE1485,DATE($AD1485,10,1)&lt;=$AF1485),ROUND($AG1485,2),0))</f>
        <v/>
      </c>
      <c r="T1485" s="18">
        <f>IF($Z1485="","",IF(AND(DATE($AD1485,11,1)&gt;=$AE1485,DATE($AD1485,11,1)&lt;=$AF1485),ROUND($AG1485,2),0))</f>
        <v/>
      </c>
      <c r="U1485" s="18">
        <f>IF($Z1485="","",IF(AND(DATE($AD1485,12,1)&gt;=$AE1485,DATE($AD1485,12,1)&lt;=$AF1485),ROUND($AG1485,2),0))</f>
        <v/>
      </c>
      <c r="V1485" s="7">
        <f>IF($Z1485="C","Generated from "&amp;INDEX(Contracts!$A$2:$A$151,$AB1485),IF($Z1485="A","Generated from "&amp;INDEX(Fixed_Assets!$A$2:$A$201,$AB1485),IF($Z1485="F","Generated from "&amp;INDEX(FTE_Allocation!$A$2:$A$201,$AB1485),"")))</f>
        <v/>
      </c>
      <c r="X1485" s="19">
        <f>IF($Z1485="","",SUM(J1485:U1485))</f>
        <v/>
      </c>
      <c r="Y1485" s="20">
        <f>ROW()-1</f>
        <v/>
      </c>
      <c r="Z1485" s="20">
        <f>IF($Y1485&lt;=Settings!$B$4*3,"C",IF($Y1485&lt;=(Settings!$B$4+Settings!$B$5)*3,"A",IF($Y1485&lt;=(Settings!$B$4+Settings!$B$5+Settings!$B$6)*3,"F","")))</f>
        <v/>
      </c>
      <c r="AA1485" s="20">
        <f>IF($Z1485="C",$Y1485,IF($Z1485="A",$Y1485-Settings!$B$4*3,IF($Z1485="F",$Y1485-(Settings!$B$4+Settings!$B$5)*3,"")))</f>
        <v/>
      </c>
      <c r="AB1485" s="20">
        <f>IF($Z1485="","",INT(($AA1485-1)/3)+1)</f>
        <v/>
      </c>
      <c r="AC1485" s="20">
        <f>IF($Z1485="","",MOD($AA1485-1,3)+1)</f>
        <v/>
      </c>
      <c r="AD1485" s="20">
        <f>IF($Z1485="","",Settings!$B$2+$AC1485-1)</f>
        <v/>
      </c>
      <c r="AE1485" s="21">
        <f>IF($Z1485="C",DATE(YEAR(INDEX(Contracts!$J$2:$J$151,$AB1485)),MONTH(INDEX(Contracts!$J$2:$J$151,$AB1485)),1),IF($Z1485="A",DATE(YEAR(INDEX(Fixed_Assets!$G$2:$G$201,$AB1485)),MONTH(INDEX(Fixed_Assets!$G$2:$G$201,$AB1485)),1),IF($Z1485="F",DATE(YEAR(MAX(N(INDEX(Workforce!$I$2:$I$151,MATCH(INDEX(FTE_Allocation!$A$2:$A$201,$AB1485),Workforce!$A$2:$A$151,0))),N(INDEX(FTE_Allocation!$I$2:$I$201,$AB1485)))),MONTH(MAX(N(INDEX(Workforce!$I$2:$I$151,MATCH(INDEX(FTE_Allocation!$A$2:$A$201,$AB1485),Workforce!$A$2:$A$151,0))),N(INDEX(FTE_Allocation!$I$2:$I$201,$AB1485)))),1),"")))</f>
        <v/>
      </c>
      <c r="AF1485" s="21">
        <f>IF($Z1485="C",IF(INDEX(Contracts!$I$2:$I$151,$AB1485)="PREPAID",EDATE(DATE(YEAR(INDEX(Contracts!$J$2:$J$151,$AB1485)),MONTH(INDEX(Contracts!$J$2:$J$151,$AB1485)),1),IF(INDEX(Contracts!$N$2:$N$151,$AB1485)="",12,INDEX(Contracts!$N$2:$N$151,$AB1485))-1),IF(INDEX(Contracts!$I$2:$I$151,$AB1485)="MONTHLY",IF(INDEX(Contracts!$K$2:$K$151,$AB1485)="",2958101,INDEX(Contracts!$K$2:$K$151,$AB1485)),0)),IF($Z1485="A",EDATE(DATE(YEAR(INDEX(Fixed_Assets!$G$2:$G$201,$AB1485)),MONTH(INDEX(Fixed_Assets!$G$2:$G$201,$AB1485)),1),INDEX(Fixed_Assets!$J$2:$J$201,$AB1485)-1),IF($Z1485="F",MIN(IF(INDEX(Workforce!$J$2:$J$151,MATCH(INDEX(FTE_Allocation!$A$2:$A$201,$AB1485),Workforce!$A$2:$A$151,0))="",2958101,INDEX(Workforce!$J$2:$J$151,MATCH(INDEX(FTE_Allocation!$A$2:$A$201,$AB1485),Workforce!$A$2:$A$151,0))),IF(INDEX(FTE_Allocation!$J$2:$J$201,$AB1485)="",2958101,INDEX(FTE_Allocation!$J$2:$J$201,$AB1485))),"")))</f>
        <v/>
      </c>
      <c r="AG1485" s="19">
        <f>IF($Z1485="C",IF(INDEX(Contracts!$I$2:$I$151,$AB1485)="PREPAID",INDEX(Contracts!$M$2:$M$151,$AB1485)/IF(INDEX(Contracts!$N$2:$N$151,$AB1485)="",12,INDEX(Contracts!$N$2:$N$151,$AB1485)),IF(INDEX(Contracts!$I$2:$I$151,$AB1485)="MONTHLY",INDEX(Contracts!$M$2:$M$151,$AB1485),0))*(1-N(INDEX(Contracts!$O$2:$O$151,$AB1485))),IF($Z1485="A",INDEX(Fixed_Assets!$H$2:$H$201,$AB1485)/INDEX(Fixed_Assets!$J$2:$J$201,$AB1485),IF($Z1485="F",INDEX(Workforce!$F$2:$F$151,MATCH(INDEX(FTE_Allocation!$A$2:$A$201,$AB1485),Workforce!$A$2:$A$151,0))*N(INDEX(FTE_Allocation!$F$2:$H$201,$AB1485,$AC1485)),"")))</f>
        <v/>
      </c>
    </row>
    <row r="1486">
      <c r="A1486" s="7">
        <f>IF($Z1486="","",$AD1486)</f>
        <v/>
      </c>
      <c r="B1486" s="7">
        <f>IF($Z1486="C",INDEX(Contracts!$D$2:$D$151,$AB1486)&amp;"",IF($Z1486="A",INDEX(Fixed_Assets!$C$2:$C$201,$AB1486)&amp;"",IF($Z1486="F",INDEX(Workforce!$B$2:$B$151,MATCH(INDEX(FTE_Allocation!$A$2:$A$201,$AB1486),Workforce!$A$2:$A$151,0))&amp;"","")))</f>
        <v/>
      </c>
      <c r="C1486" s="7">
        <f>IF($Z1486="C",INDEX(Contracts!$E$2:$E$151,$AB1486)&amp;"",IF($Z1486="A",INDEX(Fixed_Assets!$D$2:$D$201,$AB1486)&amp;"",IF($Z1486="F",INDEX(FTE_Allocation!$C$2:$C$201,$AB1486)&amp;"","")))</f>
        <v/>
      </c>
      <c r="D1486" s="7">
        <f>IF($Z1486="C",INDEX(Contracts!$B$2:$B$151,$AB1486)&amp;"",IF($Z1486="A",INDEX(Fixed_Assets!$B$2:$B$201,$AB1486)&amp;"",IF($Z1486="F",INDEX(FTE_Allocation!$B$2:$B$201,$AB1486)&amp;"","")))</f>
        <v/>
      </c>
      <c r="E1486" s="7">
        <f>IF($Z1486="C",INDEX(Contracts!$P$2:$P$151,$AB1486)&amp;"",IF($Z1486="A",INDEX(Fixed_Assets!$K$2:$K$201,$AB1486)&amp;"",IF($Z1486="F",IF(INDEX(FTE_Allocation!$D$2:$D$201,$AB1486)="PROJECT",IFERROR(INDEX(Projects!$D:$D,MATCH(INDEX(FTE_Allocation!$E$2:$E$201,$AB1486),Projects!$A:$A,0))&amp;"","#PROJECT?"),INDEX(FTE_Allocation!$E$2:$E$201,$AB1486)&amp;""),"")))</f>
        <v/>
      </c>
      <c r="F1486" s="7">
        <f>IF($Z1486="C",INDEX(Contracts!$Q$2:$Q$151,$AB1486)&amp;"",IF($Z1486="A",INDEX(Fixed_Assets!$L$2:$L$201,$AB1486)&amp;"",IF($Z1486="F",INDEX(Workforce!$K$2:$K$151,MATCH(INDEX(FTE_Allocation!$A$2:$A$201,$AB1486),Workforce!$A$2:$A$151,0))&amp;"","")))</f>
        <v/>
      </c>
      <c r="G1486" s="7">
        <f>IF($Z1486="C",INDEX(Contracts!$F$2:$F$151,$AB1486)&amp;" / "&amp;INDEX(Contracts!$G$2:$G$151,$AB1486),IF($Z1486="A",INDEX(Fixed_Assets!$E$2:$E$201,$AB1486)&amp;"",IF($Z1486="F","Personnel "&amp;INDEX(FTE_Allocation!$A$2:$A$201,$AB1486)&amp;IF(INDEX(FTE_Allocation!$D$2:$D$201,$AB1486)="PROJECT"," ("&amp;INDEX(FTE_Allocation!$E$2:$E$201,$AB1486)&amp;")",""),"")))</f>
        <v/>
      </c>
      <c r="H1486" s="7">
        <f>IF($Z1486="C","CONTRACT",IF($Z1486="A","ASSET",IF($Z1486="F","WORKFORCE","")))</f>
        <v/>
      </c>
      <c r="I1486" s="7">
        <f>IF($Z1486="C",INDEX(Contracts!$L$2:$L$151,$AB1486)&amp;"",IF($Z1486="A",INDEX(Fixed_Assets!$I$2:$I$201,$AB1486)&amp;"",IF($Z1486="F",INDEX(Workforce!$G$2:$G$151,MATCH(INDEX(FTE_Allocation!$A$2:$A$201,$AB1486),Workforce!$A$2:$A$151,0))&amp;"","")))</f>
        <v/>
      </c>
      <c r="J1486" s="18">
        <f>IF($Z1486="","",IF(AND(DATE($AD1486,1,1)&gt;=$AE1486,DATE($AD1486,1,1)&lt;=$AF1486),ROUND($AG1486,2),0))</f>
        <v/>
      </c>
      <c r="K1486" s="18">
        <f>IF($Z1486="","",IF(AND(DATE($AD1486,2,1)&gt;=$AE1486,DATE($AD1486,2,1)&lt;=$AF1486),ROUND($AG1486,2),0))</f>
        <v/>
      </c>
      <c r="L1486" s="18">
        <f>IF($Z1486="","",IF(AND(DATE($AD1486,3,1)&gt;=$AE1486,DATE($AD1486,3,1)&lt;=$AF1486),ROUND($AG1486,2),0))</f>
        <v/>
      </c>
      <c r="M1486" s="18">
        <f>IF($Z1486="","",IF(AND(DATE($AD1486,4,1)&gt;=$AE1486,DATE($AD1486,4,1)&lt;=$AF1486),ROUND($AG1486,2),0))</f>
        <v/>
      </c>
      <c r="N1486" s="18">
        <f>IF($Z1486="","",IF(AND(DATE($AD1486,5,1)&gt;=$AE1486,DATE($AD1486,5,1)&lt;=$AF1486),ROUND($AG1486,2),0))</f>
        <v/>
      </c>
      <c r="O1486" s="18">
        <f>IF($Z1486="","",IF(AND(DATE($AD1486,6,1)&gt;=$AE1486,DATE($AD1486,6,1)&lt;=$AF1486),ROUND($AG1486,2),0))</f>
        <v/>
      </c>
      <c r="P1486" s="18">
        <f>IF($Z1486="","",IF(AND(DATE($AD1486,7,1)&gt;=$AE1486,DATE($AD1486,7,1)&lt;=$AF1486),ROUND($AG1486,2),0))</f>
        <v/>
      </c>
      <c r="Q1486" s="18">
        <f>IF($Z1486="","",IF(AND(DATE($AD1486,8,1)&gt;=$AE1486,DATE($AD1486,8,1)&lt;=$AF1486),ROUND($AG1486,2),0))</f>
        <v/>
      </c>
      <c r="R1486" s="18">
        <f>IF($Z1486="","",IF(AND(DATE($AD1486,9,1)&gt;=$AE1486,DATE($AD1486,9,1)&lt;=$AF1486),ROUND($AG1486,2),0))</f>
        <v/>
      </c>
      <c r="S1486" s="18">
        <f>IF($Z1486="","",IF(AND(DATE($AD1486,10,1)&gt;=$AE1486,DATE($AD1486,10,1)&lt;=$AF1486),ROUND($AG1486,2),0))</f>
        <v/>
      </c>
      <c r="T1486" s="18">
        <f>IF($Z1486="","",IF(AND(DATE($AD1486,11,1)&gt;=$AE1486,DATE($AD1486,11,1)&lt;=$AF1486),ROUND($AG1486,2),0))</f>
        <v/>
      </c>
      <c r="U1486" s="18">
        <f>IF($Z1486="","",IF(AND(DATE($AD1486,12,1)&gt;=$AE1486,DATE($AD1486,12,1)&lt;=$AF1486),ROUND($AG1486,2),0))</f>
        <v/>
      </c>
      <c r="V1486" s="7">
        <f>IF($Z1486="C","Generated from "&amp;INDEX(Contracts!$A$2:$A$151,$AB1486),IF($Z1486="A","Generated from "&amp;INDEX(Fixed_Assets!$A$2:$A$201,$AB1486),IF($Z1486="F","Generated from "&amp;INDEX(FTE_Allocation!$A$2:$A$201,$AB1486),"")))</f>
        <v/>
      </c>
      <c r="X1486" s="19">
        <f>IF($Z1486="","",SUM(J1486:U1486))</f>
        <v/>
      </c>
      <c r="Y1486" s="20">
        <f>ROW()-1</f>
        <v/>
      </c>
      <c r="Z1486" s="20">
        <f>IF($Y1486&lt;=Settings!$B$4*3,"C",IF($Y1486&lt;=(Settings!$B$4+Settings!$B$5)*3,"A",IF($Y1486&lt;=(Settings!$B$4+Settings!$B$5+Settings!$B$6)*3,"F","")))</f>
        <v/>
      </c>
      <c r="AA1486" s="20">
        <f>IF($Z1486="C",$Y1486,IF($Z1486="A",$Y1486-Settings!$B$4*3,IF($Z1486="F",$Y1486-(Settings!$B$4+Settings!$B$5)*3,"")))</f>
        <v/>
      </c>
      <c r="AB1486" s="20">
        <f>IF($Z1486="","",INT(($AA1486-1)/3)+1)</f>
        <v/>
      </c>
      <c r="AC1486" s="20">
        <f>IF($Z1486="","",MOD($AA1486-1,3)+1)</f>
        <v/>
      </c>
      <c r="AD1486" s="20">
        <f>IF($Z1486="","",Settings!$B$2+$AC1486-1)</f>
        <v/>
      </c>
      <c r="AE1486" s="21">
        <f>IF($Z1486="C",DATE(YEAR(INDEX(Contracts!$J$2:$J$151,$AB1486)),MONTH(INDEX(Contracts!$J$2:$J$151,$AB1486)),1),IF($Z1486="A",DATE(YEAR(INDEX(Fixed_Assets!$G$2:$G$201,$AB1486)),MONTH(INDEX(Fixed_Assets!$G$2:$G$201,$AB1486)),1),IF($Z1486="F",DATE(YEAR(MAX(N(INDEX(Workforce!$I$2:$I$151,MATCH(INDEX(FTE_Allocation!$A$2:$A$201,$AB1486),Workforce!$A$2:$A$151,0))),N(INDEX(FTE_Allocation!$I$2:$I$201,$AB1486)))),MONTH(MAX(N(INDEX(Workforce!$I$2:$I$151,MATCH(INDEX(FTE_Allocation!$A$2:$A$201,$AB1486),Workforce!$A$2:$A$151,0))),N(INDEX(FTE_Allocation!$I$2:$I$201,$AB1486)))),1),"")))</f>
        <v/>
      </c>
      <c r="AF1486" s="21">
        <f>IF($Z1486="C",IF(INDEX(Contracts!$I$2:$I$151,$AB1486)="PREPAID",EDATE(DATE(YEAR(INDEX(Contracts!$J$2:$J$151,$AB1486)),MONTH(INDEX(Contracts!$J$2:$J$151,$AB1486)),1),IF(INDEX(Contracts!$N$2:$N$151,$AB1486)="",12,INDEX(Contracts!$N$2:$N$151,$AB1486))-1),IF(INDEX(Contracts!$I$2:$I$151,$AB1486)="MONTHLY",IF(INDEX(Contracts!$K$2:$K$151,$AB1486)="",2958101,INDEX(Contracts!$K$2:$K$151,$AB1486)),0)),IF($Z1486="A",EDATE(DATE(YEAR(INDEX(Fixed_Assets!$G$2:$G$201,$AB1486)),MONTH(INDEX(Fixed_Assets!$G$2:$G$201,$AB1486)),1),INDEX(Fixed_Assets!$J$2:$J$201,$AB1486)-1),IF($Z1486="F",MIN(IF(INDEX(Workforce!$J$2:$J$151,MATCH(INDEX(FTE_Allocation!$A$2:$A$201,$AB1486),Workforce!$A$2:$A$151,0))="",2958101,INDEX(Workforce!$J$2:$J$151,MATCH(INDEX(FTE_Allocation!$A$2:$A$201,$AB1486),Workforce!$A$2:$A$151,0))),IF(INDEX(FTE_Allocation!$J$2:$J$201,$AB1486)="",2958101,INDEX(FTE_Allocation!$J$2:$J$201,$AB1486))),"")))</f>
        <v/>
      </c>
      <c r="AG1486" s="19">
        <f>IF($Z1486="C",IF(INDEX(Contracts!$I$2:$I$151,$AB1486)="PREPAID",INDEX(Contracts!$M$2:$M$151,$AB1486)/IF(INDEX(Contracts!$N$2:$N$151,$AB1486)="",12,INDEX(Contracts!$N$2:$N$151,$AB1486)),IF(INDEX(Contracts!$I$2:$I$151,$AB1486)="MONTHLY",INDEX(Contracts!$M$2:$M$151,$AB1486),0))*(1-N(INDEX(Contracts!$O$2:$O$151,$AB1486))),IF($Z1486="A",INDEX(Fixed_Assets!$H$2:$H$201,$AB1486)/INDEX(Fixed_Assets!$J$2:$J$201,$AB1486),IF($Z1486="F",INDEX(Workforce!$F$2:$F$151,MATCH(INDEX(FTE_Allocation!$A$2:$A$201,$AB1486),Workforce!$A$2:$A$151,0))*N(INDEX(FTE_Allocation!$F$2:$H$201,$AB1486,$AC1486)),"")))</f>
        <v/>
      </c>
    </row>
    <row r="1487">
      <c r="A1487" s="7">
        <f>IF($Z1487="","",$AD1487)</f>
        <v/>
      </c>
      <c r="B1487" s="7">
        <f>IF($Z1487="C",INDEX(Contracts!$D$2:$D$151,$AB1487)&amp;"",IF($Z1487="A",INDEX(Fixed_Assets!$C$2:$C$201,$AB1487)&amp;"",IF($Z1487="F",INDEX(Workforce!$B$2:$B$151,MATCH(INDEX(FTE_Allocation!$A$2:$A$201,$AB1487),Workforce!$A$2:$A$151,0))&amp;"","")))</f>
        <v/>
      </c>
      <c r="C1487" s="7">
        <f>IF($Z1487="C",INDEX(Contracts!$E$2:$E$151,$AB1487)&amp;"",IF($Z1487="A",INDEX(Fixed_Assets!$D$2:$D$201,$AB1487)&amp;"",IF($Z1487="F",INDEX(FTE_Allocation!$C$2:$C$201,$AB1487)&amp;"","")))</f>
        <v/>
      </c>
      <c r="D1487" s="7">
        <f>IF($Z1487="C",INDEX(Contracts!$B$2:$B$151,$AB1487)&amp;"",IF($Z1487="A",INDEX(Fixed_Assets!$B$2:$B$201,$AB1487)&amp;"",IF($Z1487="F",INDEX(FTE_Allocation!$B$2:$B$201,$AB1487)&amp;"","")))</f>
        <v/>
      </c>
      <c r="E1487" s="7">
        <f>IF($Z1487="C",INDEX(Contracts!$P$2:$P$151,$AB1487)&amp;"",IF($Z1487="A",INDEX(Fixed_Assets!$K$2:$K$201,$AB1487)&amp;"",IF($Z1487="F",IF(INDEX(FTE_Allocation!$D$2:$D$201,$AB1487)="PROJECT",IFERROR(INDEX(Projects!$D:$D,MATCH(INDEX(FTE_Allocation!$E$2:$E$201,$AB1487),Projects!$A:$A,0))&amp;"","#PROJECT?"),INDEX(FTE_Allocation!$E$2:$E$201,$AB1487)&amp;""),"")))</f>
        <v/>
      </c>
      <c r="F1487" s="7">
        <f>IF($Z1487="C",INDEX(Contracts!$Q$2:$Q$151,$AB1487)&amp;"",IF($Z1487="A",INDEX(Fixed_Assets!$L$2:$L$201,$AB1487)&amp;"",IF($Z1487="F",INDEX(Workforce!$K$2:$K$151,MATCH(INDEX(FTE_Allocation!$A$2:$A$201,$AB1487),Workforce!$A$2:$A$151,0))&amp;"","")))</f>
        <v/>
      </c>
      <c r="G1487" s="7">
        <f>IF($Z1487="C",INDEX(Contracts!$F$2:$F$151,$AB1487)&amp;" / "&amp;INDEX(Contracts!$G$2:$G$151,$AB1487),IF($Z1487="A",INDEX(Fixed_Assets!$E$2:$E$201,$AB1487)&amp;"",IF($Z1487="F","Personnel "&amp;INDEX(FTE_Allocation!$A$2:$A$201,$AB1487)&amp;IF(INDEX(FTE_Allocation!$D$2:$D$201,$AB1487)="PROJECT"," ("&amp;INDEX(FTE_Allocation!$E$2:$E$201,$AB1487)&amp;")",""),"")))</f>
        <v/>
      </c>
      <c r="H1487" s="7">
        <f>IF($Z1487="C","CONTRACT",IF($Z1487="A","ASSET",IF($Z1487="F","WORKFORCE","")))</f>
        <v/>
      </c>
      <c r="I1487" s="7">
        <f>IF($Z1487="C",INDEX(Contracts!$L$2:$L$151,$AB1487)&amp;"",IF($Z1487="A",INDEX(Fixed_Assets!$I$2:$I$201,$AB1487)&amp;"",IF($Z1487="F",INDEX(Workforce!$G$2:$G$151,MATCH(INDEX(FTE_Allocation!$A$2:$A$201,$AB1487),Workforce!$A$2:$A$151,0))&amp;"","")))</f>
        <v/>
      </c>
      <c r="J1487" s="18">
        <f>IF($Z1487="","",IF(AND(DATE($AD1487,1,1)&gt;=$AE1487,DATE($AD1487,1,1)&lt;=$AF1487),ROUND($AG1487,2),0))</f>
        <v/>
      </c>
      <c r="K1487" s="18">
        <f>IF($Z1487="","",IF(AND(DATE($AD1487,2,1)&gt;=$AE1487,DATE($AD1487,2,1)&lt;=$AF1487),ROUND($AG1487,2),0))</f>
        <v/>
      </c>
      <c r="L1487" s="18">
        <f>IF($Z1487="","",IF(AND(DATE($AD1487,3,1)&gt;=$AE1487,DATE($AD1487,3,1)&lt;=$AF1487),ROUND($AG1487,2),0))</f>
        <v/>
      </c>
      <c r="M1487" s="18">
        <f>IF($Z1487="","",IF(AND(DATE($AD1487,4,1)&gt;=$AE1487,DATE($AD1487,4,1)&lt;=$AF1487),ROUND($AG1487,2),0))</f>
        <v/>
      </c>
      <c r="N1487" s="18">
        <f>IF($Z1487="","",IF(AND(DATE($AD1487,5,1)&gt;=$AE1487,DATE($AD1487,5,1)&lt;=$AF1487),ROUND($AG1487,2),0))</f>
        <v/>
      </c>
      <c r="O1487" s="18">
        <f>IF($Z1487="","",IF(AND(DATE($AD1487,6,1)&gt;=$AE1487,DATE($AD1487,6,1)&lt;=$AF1487),ROUND($AG1487,2),0))</f>
        <v/>
      </c>
      <c r="P1487" s="18">
        <f>IF($Z1487="","",IF(AND(DATE($AD1487,7,1)&gt;=$AE1487,DATE($AD1487,7,1)&lt;=$AF1487),ROUND($AG1487,2),0))</f>
        <v/>
      </c>
      <c r="Q1487" s="18">
        <f>IF($Z1487="","",IF(AND(DATE($AD1487,8,1)&gt;=$AE1487,DATE($AD1487,8,1)&lt;=$AF1487),ROUND($AG1487,2),0))</f>
        <v/>
      </c>
      <c r="R1487" s="18">
        <f>IF($Z1487="","",IF(AND(DATE($AD1487,9,1)&gt;=$AE1487,DATE($AD1487,9,1)&lt;=$AF1487),ROUND($AG1487,2),0))</f>
        <v/>
      </c>
      <c r="S1487" s="18">
        <f>IF($Z1487="","",IF(AND(DATE($AD1487,10,1)&gt;=$AE1487,DATE($AD1487,10,1)&lt;=$AF1487),ROUND($AG1487,2),0))</f>
        <v/>
      </c>
      <c r="T1487" s="18">
        <f>IF($Z1487="","",IF(AND(DATE($AD1487,11,1)&gt;=$AE1487,DATE($AD1487,11,1)&lt;=$AF1487),ROUND($AG1487,2),0))</f>
        <v/>
      </c>
      <c r="U1487" s="18">
        <f>IF($Z1487="","",IF(AND(DATE($AD1487,12,1)&gt;=$AE1487,DATE($AD1487,12,1)&lt;=$AF1487),ROUND($AG1487,2),0))</f>
        <v/>
      </c>
      <c r="V1487" s="7">
        <f>IF($Z1487="C","Generated from "&amp;INDEX(Contracts!$A$2:$A$151,$AB1487),IF($Z1487="A","Generated from "&amp;INDEX(Fixed_Assets!$A$2:$A$201,$AB1487),IF($Z1487="F","Generated from "&amp;INDEX(FTE_Allocation!$A$2:$A$201,$AB1487),"")))</f>
        <v/>
      </c>
      <c r="X1487" s="19">
        <f>IF($Z1487="","",SUM(J1487:U1487))</f>
        <v/>
      </c>
      <c r="Y1487" s="20">
        <f>ROW()-1</f>
        <v/>
      </c>
      <c r="Z1487" s="20">
        <f>IF($Y1487&lt;=Settings!$B$4*3,"C",IF($Y1487&lt;=(Settings!$B$4+Settings!$B$5)*3,"A",IF($Y1487&lt;=(Settings!$B$4+Settings!$B$5+Settings!$B$6)*3,"F","")))</f>
        <v/>
      </c>
      <c r="AA1487" s="20">
        <f>IF($Z1487="C",$Y1487,IF($Z1487="A",$Y1487-Settings!$B$4*3,IF($Z1487="F",$Y1487-(Settings!$B$4+Settings!$B$5)*3,"")))</f>
        <v/>
      </c>
      <c r="AB1487" s="20">
        <f>IF($Z1487="","",INT(($AA1487-1)/3)+1)</f>
        <v/>
      </c>
      <c r="AC1487" s="20">
        <f>IF($Z1487="","",MOD($AA1487-1,3)+1)</f>
        <v/>
      </c>
      <c r="AD1487" s="20">
        <f>IF($Z1487="","",Settings!$B$2+$AC1487-1)</f>
        <v/>
      </c>
      <c r="AE1487" s="21">
        <f>IF($Z1487="C",DATE(YEAR(INDEX(Contracts!$J$2:$J$151,$AB1487)),MONTH(INDEX(Contracts!$J$2:$J$151,$AB1487)),1),IF($Z1487="A",DATE(YEAR(INDEX(Fixed_Assets!$G$2:$G$201,$AB1487)),MONTH(INDEX(Fixed_Assets!$G$2:$G$201,$AB1487)),1),IF($Z1487="F",DATE(YEAR(MAX(N(INDEX(Workforce!$I$2:$I$151,MATCH(INDEX(FTE_Allocation!$A$2:$A$201,$AB1487),Workforce!$A$2:$A$151,0))),N(INDEX(FTE_Allocation!$I$2:$I$201,$AB1487)))),MONTH(MAX(N(INDEX(Workforce!$I$2:$I$151,MATCH(INDEX(FTE_Allocation!$A$2:$A$201,$AB1487),Workforce!$A$2:$A$151,0))),N(INDEX(FTE_Allocation!$I$2:$I$201,$AB1487)))),1),"")))</f>
        <v/>
      </c>
      <c r="AF1487" s="21">
        <f>IF($Z1487="C",IF(INDEX(Contracts!$I$2:$I$151,$AB1487)="PREPAID",EDATE(DATE(YEAR(INDEX(Contracts!$J$2:$J$151,$AB1487)),MONTH(INDEX(Contracts!$J$2:$J$151,$AB1487)),1),IF(INDEX(Contracts!$N$2:$N$151,$AB1487)="",12,INDEX(Contracts!$N$2:$N$151,$AB1487))-1),IF(INDEX(Contracts!$I$2:$I$151,$AB1487)="MONTHLY",IF(INDEX(Contracts!$K$2:$K$151,$AB1487)="",2958101,INDEX(Contracts!$K$2:$K$151,$AB1487)),0)),IF($Z1487="A",EDATE(DATE(YEAR(INDEX(Fixed_Assets!$G$2:$G$201,$AB1487)),MONTH(INDEX(Fixed_Assets!$G$2:$G$201,$AB1487)),1),INDEX(Fixed_Assets!$J$2:$J$201,$AB1487)-1),IF($Z1487="F",MIN(IF(INDEX(Workforce!$J$2:$J$151,MATCH(INDEX(FTE_Allocation!$A$2:$A$201,$AB1487),Workforce!$A$2:$A$151,0))="",2958101,INDEX(Workforce!$J$2:$J$151,MATCH(INDEX(FTE_Allocation!$A$2:$A$201,$AB1487),Workforce!$A$2:$A$151,0))),IF(INDEX(FTE_Allocation!$J$2:$J$201,$AB1487)="",2958101,INDEX(FTE_Allocation!$J$2:$J$201,$AB1487))),"")))</f>
        <v/>
      </c>
      <c r="AG1487" s="19">
        <f>IF($Z1487="C",IF(INDEX(Contracts!$I$2:$I$151,$AB1487)="PREPAID",INDEX(Contracts!$M$2:$M$151,$AB1487)/IF(INDEX(Contracts!$N$2:$N$151,$AB1487)="",12,INDEX(Contracts!$N$2:$N$151,$AB1487)),IF(INDEX(Contracts!$I$2:$I$151,$AB1487)="MONTHLY",INDEX(Contracts!$M$2:$M$151,$AB1487),0))*(1-N(INDEX(Contracts!$O$2:$O$151,$AB1487))),IF($Z1487="A",INDEX(Fixed_Assets!$H$2:$H$201,$AB1487)/INDEX(Fixed_Assets!$J$2:$J$201,$AB1487),IF($Z1487="F",INDEX(Workforce!$F$2:$F$151,MATCH(INDEX(FTE_Allocation!$A$2:$A$201,$AB1487),Workforce!$A$2:$A$151,0))*N(INDEX(FTE_Allocation!$F$2:$H$201,$AB1487,$AC1487)),"")))</f>
        <v/>
      </c>
    </row>
    <row r="1488">
      <c r="A1488" s="7">
        <f>IF($Z1488="","",$AD1488)</f>
        <v/>
      </c>
      <c r="B1488" s="7">
        <f>IF($Z1488="C",INDEX(Contracts!$D$2:$D$151,$AB1488)&amp;"",IF($Z1488="A",INDEX(Fixed_Assets!$C$2:$C$201,$AB1488)&amp;"",IF($Z1488="F",INDEX(Workforce!$B$2:$B$151,MATCH(INDEX(FTE_Allocation!$A$2:$A$201,$AB1488),Workforce!$A$2:$A$151,0))&amp;"","")))</f>
        <v/>
      </c>
      <c r="C1488" s="7">
        <f>IF($Z1488="C",INDEX(Contracts!$E$2:$E$151,$AB1488)&amp;"",IF($Z1488="A",INDEX(Fixed_Assets!$D$2:$D$201,$AB1488)&amp;"",IF($Z1488="F",INDEX(FTE_Allocation!$C$2:$C$201,$AB1488)&amp;"","")))</f>
        <v/>
      </c>
      <c r="D1488" s="7">
        <f>IF($Z1488="C",INDEX(Contracts!$B$2:$B$151,$AB1488)&amp;"",IF($Z1488="A",INDEX(Fixed_Assets!$B$2:$B$201,$AB1488)&amp;"",IF($Z1488="F",INDEX(FTE_Allocation!$B$2:$B$201,$AB1488)&amp;"","")))</f>
        <v/>
      </c>
      <c r="E1488" s="7">
        <f>IF($Z1488="C",INDEX(Contracts!$P$2:$P$151,$AB1488)&amp;"",IF($Z1488="A",INDEX(Fixed_Assets!$K$2:$K$201,$AB1488)&amp;"",IF($Z1488="F",IF(INDEX(FTE_Allocation!$D$2:$D$201,$AB1488)="PROJECT",IFERROR(INDEX(Projects!$D:$D,MATCH(INDEX(FTE_Allocation!$E$2:$E$201,$AB1488),Projects!$A:$A,0))&amp;"","#PROJECT?"),INDEX(FTE_Allocation!$E$2:$E$201,$AB1488)&amp;""),"")))</f>
        <v/>
      </c>
      <c r="F1488" s="7">
        <f>IF($Z1488="C",INDEX(Contracts!$Q$2:$Q$151,$AB1488)&amp;"",IF($Z1488="A",INDEX(Fixed_Assets!$L$2:$L$201,$AB1488)&amp;"",IF($Z1488="F",INDEX(Workforce!$K$2:$K$151,MATCH(INDEX(FTE_Allocation!$A$2:$A$201,$AB1488),Workforce!$A$2:$A$151,0))&amp;"","")))</f>
        <v/>
      </c>
      <c r="G1488" s="7">
        <f>IF($Z1488="C",INDEX(Contracts!$F$2:$F$151,$AB1488)&amp;" / "&amp;INDEX(Contracts!$G$2:$G$151,$AB1488),IF($Z1488="A",INDEX(Fixed_Assets!$E$2:$E$201,$AB1488)&amp;"",IF($Z1488="F","Personnel "&amp;INDEX(FTE_Allocation!$A$2:$A$201,$AB1488)&amp;IF(INDEX(FTE_Allocation!$D$2:$D$201,$AB1488)="PROJECT"," ("&amp;INDEX(FTE_Allocation!$E$2:$E$201,$AB1488)&amp;")",""),"")))</f>
        <v/>
      </c>
      <c r="H1488" s="7">
        <f>IF($Z1488="C","CONTRACT",IF($Z1488="A","ASSET",IF($Z1488="F","WORKFORCE","")))</f>
        <v/>
      </c>
      <c r="I1488" s="7">
        <f>IF($Z1488="C",INDEX(Contracts!$L$2:$L$151,$AB1488)&amp;"",IF($Z1488="A",INDEX(Fixed_Assets!$I$2:$I$201,$AB1488)&amp;"",IF($Z1488="F",INDEX(Workforce!$G$2:$G$151,MATCH(INDEX(FTE_Allocation!$A$2:$A$201,$AB1488),Workforce!$A$2:$A$151,0))&amp;"","")))</f>
        <v/>
      </c>
      <c r="J1488" s="18">
        <f>IF($Z1488="","",IF(AND(DATE($AD1488,1,1)&gt;=$AE1488,DATE($AD1488,1,1)&lt;=$AF1488),ROUND($AG1488,2),0))</f>
        <v/>
      </c>
      <c r="K1488" s="18">
        <f>IF($Z1488="","",IF(AND(DATE($AD1488,2,1)&gt;=$AE1488,DATE($AD1488,2,1)&lt;=$AF1488),ROUND($AG1488,2),0))</f>
        <v/>
      </c>
      <c r="L1488" s="18">
        <f>IF($Z1488="","",IF(AND(DATE($AD1488,3,1)&gt;=$AE1488,DATE($AD1488,3,1)&lt;=$AF1488),ROUND($AG1488,2),0))</f>
        <v/>
      </c>
      <c r="M1488" s="18">
        <f>IF($Z1488="","",IF(AND(DATE($AD1488,4,1)&gt;=$AE1488,DATE($AD1488,4,1)&lt;=$AF1488),ROUND($AG1488,2),0))</f>
        <v/>
      </c>
      <c r="N1488" s="18">
        <f>IF($Z1488="","",IF(AND(DATE($AD1488,5,1)&gt;=$AE1488,DATE($AD1488,5,1)&lt;=$AF1488),ROUND($AG1488,2),0))</f>
        <v/>
      </c>
      <c r="O1488" s="18">
        <f>IF($Z1488="","",IF(AND(DATE($AD1488,6,1)&gt;=$AE1488,DATE($AD1488,6,1)&lt;=$AF1488),ROUND($AG1488,2),0))</f>
        <v/>
      </c>
      <c r="P1488" s="18">
        <f>IF($Z1488="","",IF(AND(DATE($AD1488,7,1)&gt;=$AE1488,DATE($AD1488,7,1)&lt;=$AF1488),ROUND($AG1488,2),0))</f>
        <v/>
      </c>
      <c r="Q1488" s="18">
        <f>IF($Z1488="","",IF(AND(DATE($AD1488,8,1)&gt;=$AE1488,DATE($AD1488,8,1)&lt;=$AF1488),ROUND($AG1488,2),0))</f>
        <v/>
      </c>
      <c r="R1488" s="18">
        <f>IF($Z1488="","",IF(AND(DATE($AD1488,9,1)&gt;=$AE1488,DATE($AD1488,9,1)&lt;=$AF1488),ROUND($AG1488,2),0))</f>
        <v/>
      </c>
      <c r="S1488" s="18">
        <f>IF($Z1488="","",IF(AND(DATE($AD1488,10,1)&gt;=$AE1488,DATE($AD1488,10,1)&lt;=$AF1488),ROUND($AG1488,2),0))</f>
        <v/>
      </c>
      <c r="T1488" s="18">
        <f>IF($Z1488="","",IF(AND(DATE($AD1488,11,1)&gt;=$AE1488,DATE($AD1488,11,1)&lt;=$AF1488),ROUND($AG1488,2),0))</f>
        <v/>
      </c>
      <c r="U1488" s="18">
        <f>IF($Z1488="","",IF(AND(DATE($AD1488,12,1)&gt;=$AE1488,DATE($AD1488,12,1)&lt;=$AF1488),ROUND($AG1488,2),0))</f>
        <v/>
      </c>
      <c r="V1488" s="7">
        <f>IF($Z1488="C","Generated from "&amp;INDEX(Contracts!$A$2:$A$151,$AB1488),IF($Z1488="A","Generated from "&amp;INDEX(Fixed_Assets!$A$2:$A$201,$AB1488),IF($Z1488="F","Generated from "&amp;INDEX(FTE_Allocation!$A$2:$A$201,$AB1488),"")))</f>
        <v/>
      </c>
      <c r="X1488" s="19">
        <f>IF($Z1488="","",SUM(J1488:U1488))</f>
        <v/>
      </c>
      <c r="Y1488" s="20">
        <f>ROW()-1</f>
        <v/>
      </c>
      <c r="Z1488" s="20">
        <f>IF($Y1488&lt;=Settings!$B$4*3,"C",IF($Y1488&lt;=(Settings!$B$4+Settings!$B$5)*3,"A",IF($Y1488&lt;=(Settings!$B$4+Settings!$B$5+Settings!$B$6)*3,"F","")))</f>
        <v/>
      </c>
      <c r="AA1488" s="20">
        <f>IF($Z1488="C",$Y1488,IF($Z1488="A",$Y1488-Settings!$B$4*3,IF($Z1488="F",$Y1488-(Settings!$B$4+Settings!$B$5)*3,"")))</f>
        <v/>
      </c>
      <c r="AB1488" s="20">
        <f>IF($Z1488="","",INT(($AA1488-1)/3)+1)</f>
        <v/>
      </c>
      <c r="AC1488" s="20">
        <f>IF($Z1488="","",MOD($AA1488-1,3)+1)</f>
        <v/>
      </c>
      <c r="AD1488" s="20">
        <f>IF($Z1488="","",Settings!$B$2+$AC1488-1)</f>
        <v/>
      </c>
      <c r="AE1488" s="21">
        <f>IF($Z1488="C",DATE(YEAR(INDEX(Contracts!$J$2:$J$151,$AB1488)),MONTH(INDEX(Contracts!$J$2:$J$151,$AB1488)),1),IF($Z1488="A",DATE(YEAR(INDEX(Fixed_Assets!$G$2:$G$201,$AB1488)),MONTH(INDEX(Fixed_Assets!$G$2:$G$201,$AB1488)),1),IF($Z1488="F",DATE(YEAR(MAX(N(INDEX(Workforce!$I$2:$I$151,MATCH(INDEX(FTE_Allocation!$A$2:$A$201,$AB1488),Workforce!$A$2:$A$151,0))),N(INDEX(FTE_Allocation!$I$2:$I$201,$AB1488)))),MONTH(MAX(N(INDEX(Workforce!$I$2:$I$151,MATCH(INDEX(FTE_Allocation!$A$2:$A$201,$AB1488),Workforce!$A$2:$A$151,0))),N(INDEX(FTE_Allocation!$I$2:$I$201,$AB1488)))),1),"")))</f>
        <v/>
      </c>
      <c r="AF1488" s="21">
        <f>IF($Z1488="C",IF(INDEX(Contracts!$I$2:$I$151,$AB1488)="PREPAID",EDATE(DATE(YEAR(INDEX(Contracts!$J$2:$J$151,$AB1488)),MONTH(INDEX(Contracts!$J$2:$J$151,$AB1488)),1),IF(INDEX(Contracts!$N$2:$N$151,$AB1488)="",12,INDEX(Contracts!$N$2:$N$151,$AB1488))-1),IF(INDEX(Contracts!$I$2:$I$151,$AB1488)="MONTHLY",IF(INDEX(Contracts!$K$2:$K$151,$AB1488)="",2958101,INDEX(Contracts!$K$2:$K$151,$AB1488)),0)),IF($Z1488="A",EDATE(DATE(YEAR(INDEX(Fixed_Assets!$G$2:$G$201,$AB1488)),MONTH(INDEX(Fixed_Assets!$G$2:$G$201,$AB1488)),1),INDEX(Fixed_Assets!$J$2:$J$201,$AB1488)-1),IF($Z1488="F",MIN(IF(INDEX(Workforce!$J$2:$J$151,MATCH(INDEX(FTE_Allocation!$A$2:$A$201,$AB1488),Workforce!$A$2:$A$151,0))="",2958101,INDEX(Workforce!$J$2:$J$151,MATCH(INDEX(FTE_Allocation!$A$2:$A$201,$AB1488),Workforce!$A$2:$A$151,0))),IF(INDEX(FTE_Allocation!$J$2:$J$201,$AB1488)="",2958101,INDEX(FTE_Allocation!$J$2:$J$201,$AB1488))),"")))</f>
        <v/>
      </c>
      <c r="AG1488" s="19">
        <f>IF($Z1488="C",IF(INDEX(Contracts!$I$2:$I$151,$AB1488)="PREPAID",INDEX(Contracts!$M$2:$M$151,$AB1488)/IF(INDEX(Contracts!$N$2:$N$151,$AB1488)="",12,INDEX(Contracts!$N$2:$N$151,$AB1488)),IF(INDEX(Contracts!$I$2:$I$151,$AB1488)="MONTHLY",INDEX(Contracts!$M$2:$M$151,$AB1488),0))*(1-N(INDEX(Contracts!$O$2:$O$151,$AB1488))),IF($Z1488="A",INDEX(Fixed_Assets!$H$2:$H$201,$AB1488)/INDEX(Fixed_Assets!$J$2:$J$201,$AB1488),IF($Z1488="F",INDEX(Workforce!$F$2:$F$151,MATCH(INDEX(FTE_Allocation!$A$2:$A$201,$AB1488),Workforce!$A$2:$A$151,0))*N(INDEX(FTE_Allocation!$F$2:$H$201,$AB1488,$AC1488)),"")))</f>
        <v/>
      </c>
    </row>
    <row r="1489">
      <c r="A1489" s="7">
        <f>IF($Z1489="","",$AD1489)</f>
        <v/>
      </c>
      <c r="B1489" s="7">
        <f>IF($Z1489="C",INDEX(Contracts!$D$2:$D$151,$AB1489)&amp;"",IF($Z1489="A",INDEX(Fixed_Assets!$C$2:$C$201,$AB1489)&amp;"",IF($Z1489="F",INDEX(Workforce!$B$2:$B$151,MATCH(INDEX(FTE_Allocation!$A$2:$A$201,$AB1489),Workforce!$A$2:$A$151,0))&amp;"","")))</f>
        <v/>
      </c>
      <c r="C1489" s="7">
        <f>IF($Z1489="C",INDEX(Contracts!$E$2:$E$151,$AB1489)&amp;"",IF($Z1489="A",INDEX(Fixed_Assets!$D$2:$D$201,$AB1489)&amp;"",IF($Z1489="F",INDEX(FTE_Allocation!$C$2:$C$201,$AB1489)&amp;"","")))</f>
        <v/>
      </c>
      <c r="D1489" s="7">
        <f>IF($Z1489="C",INDEX(Contracts!$B$2:$B$151,$AB1489)&amp;"",IF($Z1489="A",INDEX(Fixed_Assets!$B$2:$B$201,$AB1489)&amp;"",IF($Z1489="F",INDEX(FTE_Allocation!$B$2:$B$201,$AB1489)&amp;"","")))</f>
        <v/>
      </c>
      <c r="E1489" s="7">
        <f>IF($Z1489="C",INDEX(Contracts!$P$2:$P$151,$AB1489)&amp;"",IF($Z1489="A",INDEX(Fixed_Assets!$K$2:$K$201,$AB1489)&amp;"",IF($Z1489="F",IF(INDEX(FTE_Allocation!$D$2:$D$201,$AB1489)="PROJECT",IFERROR(INDEX(Projects!$D:$D,MATCH(INDEX(FTE_Allocation!$E$2:$E$201,$AB1489),Projects!$A:$A,0))&amp;"","#PROJECT?"),INDEX(FTE_Allocation!$E$2:$E$201,$AB1489)&amp;""),"")))</f>
        <v/>
      </c>
      <c r="F1489" s="7">
        <f>IF($Z1489="C",INDEX(Contracts!$Q$2:$Q$151,$AB1489)&amp;"",IF($Z1489="A",INDEX(Fixed_Assets!$L$2:$L$201,$AB1489)&amp;"",IF($Z1489="F",INDEX(Workforce!$K$2:$K$151,MATCH(INDEX(FTE_Allocation!$A$2:$A$201,$AB1489),Workforce!$A$2:$A$151,0))&amp;"","")))</f>
        <v/>
      </c>
      <c r="G1489" s="7">
        <f>IF($Z1489="C",INDEX(Contracts!$F$2:$F$151,$AB1489)&amp;" / "&amp;INDEX(Contracts!$G$2:$G$151,$AB1489),IF($Z1489="A",INDEX(Fixed_Assets!$E$2:$E$201,$AB1489)&amp;"",IF($Z1489="F","Personnel "&amp;INDEX(FTE_Allocation!$A$2:$A$201,$AB1489)&amp;IF(INDEX(FTE_Allocation!$D$2:$D$201,$AB1489)="PROJECT"," ("&amp;INDEX(FTE_Allocation!$E$2:$E$201,$AB1489)&amp;")",""),"")))</f>
        <v/>
      </c>
      <c r="H1489" s="7">
        <f>IF($Z1489="C","CONTRACT",IF($Z1489="A","ASSET",IF($Z1489="F","WORKFORCE","")))</f>
        <v/>
      </c>
      <c r="I1489" s="7">
        <f>IF($Z1489="C",INDEX(Contracts!$L$2:$L$151,$AB1489)&amp;"",IF($Z1489="A",INDEX(Fixed_Assets!$I$2:$I$201,$AB1489)&amp;"",IF($Z1489="F",INDEX(Workforce!$G$2:$G$151,MATCH(INDEX(FTE_Allocation!$A$2:$A$201,$AB1489),Workforce!$A$2:$A$151,0))&amp;"","")))</f>
        <v/>
      </c>
      <c r="J1489" s="18">
        <f>IF($Z1489="","",IF(AND(DATE($AD1489,1,1)&gt;=$AE1489,DATE($AD1489,1,1)&lt;=$AF1489),ROUND($AG1489,2),0))</f>
        <v/>
      </c>
      <c r="K1489" s="18">
        <f>IF($Z1489="","",IF(AND(DATE($AD1489,2,1)&gt;=$AE1489,DATE($AD1489,2,1)&lt;=$AF1489),ROUND($AG1489,2),0))</f>
        <v/>
      </c>
      <c r="L1489" s="18">
        <f>IF($Z1489="","",IF(AND(DATE($AD1489,3,1)&gt;=$AE1489,DATE($AD1489,3,1)&lt;=$AF1489),ROUND($AG1489,2),0))</f>
        <v/>
      </c>
      <c r="M1489" s="18">
        <f>IF($Z1489="","",IF(AND(DATE($AD1489,4,1)&gt;=$AE1489,DATE($AD1489,4,1)&lt;=$AF1489),ROUND($AG1489,2),0))</f>
        <v/>
      </c>
      <c r="N1489" s="18">
        <f>IF($Z1489="","",IF(AND(DATE($AD1489,5,1)&gt;=$AE1489,DATE($AD1489,5,1)&lt;=$AF1489),ROUND($AG1489,2),0))</f>
        <v/>
      </c>
      <c r="O1489" s="18">
        <f>IF($Z1489="","",IF(AND(DATE($AD1489,6,1)&gt;=$AE1489,DATE($AD1489,6,1)&lt;=$AF1489),ROUND($AG1489,2),0))</f>
        <v/>
      </c>
      <c r="P1489" s="18">
        <f>IF($Z1489="","",IF(AND(DATE($AD1489,7,1)&gt;=$AE1489,DATE($AD1489,7,1)&lt;=$AF1489),ROUND($AG1489,2),0))</f>
        <v/>
      </c>
      <c r="Q1489" s="18">
        <f>IF($Z1489="","",IF(AND(DATE($AD1489,8,1)&gt;=$AE1489,DATE($AD1489,8,1)&lt;=$AF1489),ROUND($AG1489,2),0))</f>
        <v/>
      </c>
      <c r="R1489" s="18">
        <f>IF($Z1489="","",IF(AND(DATE($AD1489,9,1)&gt;=$AE1489,DATE($AD1489,9,1)&lt;=$AF1489),ROUND($AG1489,2),0))</f>
        <v/>
      </c>
      <c r="S1489" s="18">
        <f>IF($Z1489="","",IF(AND(DATE($AD1489,10,1)&gt;=$AE1489,DATE($AD1489,10,1)&lt;=$AF1489),ROUND($AG1489,2),0))</f>
        <v/>
      </c>
      <c r="T1489" s="18">
        <f>IF($Z1489="","",IF(AND(DATE($AD1489,11,1)&gt;=$AE1489,DATE($AD1489,11,1)&lt;=$AF1489),ROUND($AG1489,2),0))</f>
        <v/>
      </c>
      <c r="U1489" s="18">
        <f>IF($Z1489="","",IF(AND(DATE($AD1489,12,1)&gt;=$AE1489,DATE($AD1489,12,1)&lt;=$AF1489),ROUND($AG1489,2),0))</f>
        <v/>
      </c>
      <c r="V1489" s="7">
        <f>IF($Z1489="C","Generated from "&amp;INDEX(Contracts!$A$2:$A$151,$AB1489),IF($Z1489="A","Generated from "&amp;INDEX(Fixed_Assets!$A$2:$A$201,$AB1489),IF($Z1489="F","Generated from "&amp;INDEX(FTE_Allocation!$A$2:$A$201,$AB1489),"")))</f>
        <v/>
      </c>
      <c r="X1489" s="19">
        <f>IF($Z1489="","",SUM(J1489:U1489))</f>
        <v/>
      </c>
      <c r="Y1489" s="20">
        <f>ROW()-1</f>
        <v/>
      </c>
      <c r="Z1489" s="20">
        <f>IF($Y1489&lt;=Settings!$B$4*3,"C",IF($Y1489&lt;=(Settings!$B$4+Settings!$B$5)*3,"A",IF($Y1489&lt;=(Settings!$B$4+Settings!$B$5+Settings!$B$6)*3,"F","")))</f>
        <v/>
      </c>
      <c r="AA1489" s="20">
        <f>IF($Z1489="C",$Y1489,IF($Z1489="A",$Y1489-Settings!$B$4*3,IF($Z1489="F",$Y1489-(Settings!$B$4+Settings!$B$5)*3,"")))</f>
        <v/>
      </c>
      <c r="AB1489" s="20">
        <f>IF($Z1489="","",INT(($AA1489-1)/3)+1)</f>
        <v/>
      </c>
      <c r="AC1489" s="20">
        <f>IF($Z1489="","",MOD($AA1489-1,3)+1)</f>
        <v/>
      </c>
      <c r="AD1489" s="20">
        <f>IF($Z1489="","",Settings!$B$2+$AC1489-1)</f>
        <v/>
      </c>
      <c r="AE1489" s="21">
        <f>IF($Z1489="C",DATE(YEAR(INDEX(Contracts!$J$2:$J$151,$AB1489)),MONTH(INDEX(Contracts!$J$2:$J$151,$AB1489)),1),IF($Z1489="A",DATE(YEAR(INDEX(Fixed_Assets!$G$2:$G$201,$AB1489)),MONTH(INDEX(Fixed_Assets!$G$2:$G$201,$AB1489)),1),IF($Z1489="F",DATE(YEAR(MAX(N(INDEX(Workforce!$I$2:$I$151,MATCH(INDEX(FTE_Allocation!$A$2:$A$201,$AB1489),Workforce!$A$2:$A$151,0))),N(INDEX(FTE_Allocation!$I$2:$I$201,$AB1489)))),MONTH(MAX(N(INDEX(Workforce!$I$2:$I$151,MATCH(INDEX(FTE_Allocation!$A$2:$A$201,$AB1489),Workforce!$A$2:$A$151,0))),N(INDEX(FTE_Allocation!$I$2:$I$201,$AB1489)))),1),"")))</f>
        <v/>
      </c>
      <c r="AF1489" s="21">
        <f>IF($Z1489="C",IF(INDEX(Contracts!$I$2:$I$151,$AB1489)="PREPAID",EDATE(DATE(YEAR(INDEX(Contracts!$J$2:$J$151,$AB1489)),MONTH(INDEX(Contracts!$J$2:$J$151,$AB1489)),1),IF(INDEX(Contracts!$N$2:$N$151,$AB1489)="",12,INDEX(Contracts!$N$2:$N$151,$AB1489))-1),IF(INDEX(Contracts!$I$2:$I$151,$AB1489)="MONTHLY",IF(INDEX(Contracts!$K$2:$K$151,$AB1489)="",2958101,INDEX(Contracts!$K$2:$K$151,$AB1489)),0)),IF($Z1489="A",EDATE(DATE(YEAR(INDEX(Fixed_Assets!$G$2:$G$201,$AB1489)),MONTH(INDEX(Fixed_Assets!$G$2:$G$201,$AB1489)),1),INDEX(Fixed_Assets!$J$2:$J$201,$AB1489)-1),IF($Z1489="F",MIN(IF(INDEX(Workforce!$J$2:$J$151,MATCH(INDEX(FTE_Allocation!$A$2:$A$201,$AB1489),Workforce!$A$2:$A$151,0))="",2958101,INDEX(Workforce!$J$2:$J$151,MATCH(INDEX(FTE_Allocation!$A$2:$A$201,$AB1489),Workforce!$A$2:$A$151,0))),IF(INDEX(FTE_Allocation!$J$2:$J$201,$AB1489)="",2958101,INDEX(FTE_Allocation!$J$2:$J$201,$AB1489))),"")))</f>
        <v/>
      </c>
      <c r="AG1489" s="19">
        <f>IF($Z1489="C",IF(INDEX(Contracts!$I$2:$I$151,$AB1489)="PREPAID",INDEX(Contracts!$M$2:$M$151,$AB1489)/IF(INDEX(Contracts!$N$2:$N$151,$AB1489)="",12,INDEX(Contracts!$N$2:$N$151,$AB1489)),IF(INDEX(Contracts!$I$2:$I$151,$AB1489)="MONTHLY",INDEX(Contracts!$M$2:$M$151,$AB1489),0))*(1-N(INDEX(Contracts!$O$2:$O$151,$AB1489))),IF($Z1489="A",INDEX(Fixed_Assets!$H$2:$H$201,$AB1489)/INDEX(Fixed_Assets!$J$2:$J$201,$AB1489),IF($Z1489="F",INDEX(Workforce!$F$2:$F$151,MATCH(INDEX(FTE_Allocation!$A$2:$A$201,$AB1489),Workforce!$A$2:$A$151,0))*N(INDEX(FTE_Allocation!$F$2:$H$201,$AB1489,$AC1489)),"")))</f>
        <v/>
      </c>
    </row>
    <row r="1490">
      <c r="A1490" s="7">
        <f>IF($Z1490="","",$AD1490)</f>
        <v/>
      </c>
      <c r="B1490" s="7">
        <f>IF($Z1490="C",INDEX(Contracts!$D$2:$D$151,$AB1490)&amp;"",IF($Z1490="A",INDEX(Fixed_Assets!$C$2:$C$201,$AB1490)&amp;"",IF($Z1490="F",INDEX(Workforce!$B$2:$B$151,MATCH(INDEX(FTE_Allocation!$A$2:$A$201,$AB1490),Workforce!$A$2:$A$151,0))&amp;"","")))</f>
        <v/>
      </c>
      <c r="C1490" s="7">
        <f>IF($Z1490="C",INDEX(Contracts!$E$2:$E$151,$AB1490)&amp;"",IF($Z1490="A",INDEX(Fixed_Assets!$D$2:$D$201,$AB1490)&amp;"",IF($Z1490="F",INDEX(FTE_Allocation!$C$2:$C$201,$AB1490)&amp;"","")))</f>
        <v/>
      </c>
      <c r="D1490" s="7">
        <f>IF($Z1490="C",INDEX(Contracts!$B$2:$B$151,$AB1490)&amp;"",IF($Z1490="A",INDEX(Fixed_Assets!$B$2:$B$201,$AB1490)&amp;"",IF($Z1490="F",INDEX(FTE_Allocation!$B$2:$B$201,$AB1490)&amp;"","")))</f>
        <v/>
      </c>
      <c r="E1490" s="7">
        <f>IF($Z1490="C",INDEX(Contracts!$P$2:$P$151,$AB1490)&amp;"",IF($Z1490="A",INDEX(Fixed_Assets!$K$2:$K$201,$AB1490)&amp;"",IF($Z1490="F",IF(INDEX(FTE_Allocation!$D$2:$D$201,$AB1490)="PROJECT",IFERROR(INDEX(Projects!$D:$D,MATCH(INDEX(FTE_Allocation!$E$2:$E$201,$AB1490),Projects!$A:$A,0))&amp;"","#PROJECT?"),INDEX(FTE_Allocation!$E$2:$E$201,$AB1490)&amp;""),"")))</f>
        <v/>
      </c>
      <c r="F1490" s="7">
        <f>IF($Z1490="C",INDEX(Contracts!$Q$2:$Q$151,$AB1490)&amp;"",IF($Z1490="A",INDEX(Fixed_Assets!$L$2:$L$201,$AB1490)&amp;"",IF($Z1490="F",INDEX(Workforce!$K$2:$K$151,MATCH(INDEX(FTE_Allocation!$A$2:$A$201,$AB1490),Workforce!$A$2:$A$151,0))&amp;"","")))</f>
        <v/>
      </c>
      <c r="G1490" s="7">
        <f>IF($Z1490="C",INDEX(Contracts!$F$2:$F$151,$AB1490)&amp;" / "&amp;INDEX(Contracts!$G$2:$G$151,$AB1490),IF($Z1490="A",INDEX(Fixed_Assets!$E$2:$E$201,$AB1490)&amp;"",IF($Z1490="F","Personnel "&amp;INDEX(FTE_Allocation!$A$2:$A$201,$AB1490)&amp;IF(INDEX(FTE_Allocation!$D$2:$D$201,$AB1490)="PROJECT"," ("&amp;INDEX(FTE_Allocation!$E$2:$E$201,$AB1490)&amp;")",""),"")))</f>
        <v/>
      </c>
      <c r="H1490" s="7">
        <f>IF($Z1490="C","CONTRACT",IF($Z1490="A","ASSET",IF($Z1490="F","WORKFORCE","")))</f>
        <v/>
      </c>
      <c r="I1490" s="7">
        <f>IF($Z1490="C",INDEX(Contracts!$L$2:$L$151,$AB1490)&amp;"",IF($Z1490="A",INDEX(Fixed_Assets!$I$2:$I$201,$AB1490)&amp;"",IF($Z1490="F",INDEX(Workforce!$G$2:$G$151,MATCH(INDEX(FTE_Allocation!$A$2:$A$201,$AB1490),Workforce!$A$2:$A$151,0))&amp;"","")))</f>
        <v/>
      </c>
      <c r="J1490" s="18">
        <f>IF($Z1490="","",IF(AND(DATE($AD1490,1,1)&gt;=$AE1490,DATE($AD1490,1,1)&lt;=$AF1490),ROUND($AG1490,2),0))</f>
        <v/>
      </c>
      <c r="K1490" s="18">
        <f>IF($Z1490="","",IF(AND(DATE($AD1490,2,1)&gt;=$AE1490,DATE($AD1490,2,1)&lt;=$AF1490),ROUND($AG1490,2),0))</f>
        <v/>
      </c>
      <c r="L1490" s="18">
        <f>IF($Z1490="","",IF(AND(DATE($AD1490,3,1)&gt;=$AE1490,DATE($AD1490,3,1)&lt;=$AF1490),ROUND($AG1490,2),0))</f>
        <v/>
      </c>
      <c r="M1490" s="18">
        <f>IF($Z1490="","",IF(AND(DATE($AD1490,4,1)&gt;=$AE1490,DATE($AD1490,4,1)&lt;=$AF1490),ROUND($AG1490,2),0))</f>
        <v/>
      </c>
      <c r="N1490" s="18">
        <f>IF($Z1490="","",IF(AND(DATE($AD1490,5,1)&gt;=$AE1490,DATE($AD1490,5,1)&lt;=$AF1490),ROUND($AG1490,2),0))</f>
        <v/>
      </c>
      <c r="O1490" s="18">
        <f>IF($Z1490="","",IF(AND(DATE($AD1490,6,1)&gt;=$AE1490,DATE($AD1490,6,1)&lt;=$AF1490),ROUND($AG1490,2),0))</f>
        <v/>
      </c>
      <c r="P1490" s="18">
        <f>IF($Z1490="","",IF(AND(DATE($AD1490,7,1)&gt;=$AE1490,DATE($AD1490,7,1)&lt;=$AF1490),ROUND($AG1490,2),0))</f>
        <v/>
      </c>
      <c r="Q1490" s="18">
        <f>IF($Z1490="","",IF(AND(DATE($AD1490,8,1)&gt;=$AE1490,DATE($AD1490,8,1)&lt;=$AF1490),ROUND($AG1490,2),0))</f>
        <v/>
      </c>
      <c r="R1490" s="18">
        <f>IF($Z1490="","",IF(AND(DATE($AD1490,9,1)&gt;=$AE1490,DATE($AD1490,9,1)&lt;=$AF1490),ROUND($AG1490,2),0))</f>
        <v/>
      </c>
      <c r="S1490" s="18">
        <f>IF($Z1490="","",IF(AND(DATE($AD1490,10,1)&gt;=$AE1490,DATE($AD1490,10,1)&lt;=$AF1490),ROUND($AG1490,2),0))</f>
        <v/>
      </c>
      <c r="T1490" s="18">
        <f>IF($Z1490="","",IF(AND(DATE($AD1490,11,1)&gt;=$AE1490,DATE($AD1490,11,1)&lt;=$AF1490),ROUND($AG1490,2),0))</f>
        <v/>
      </c>
      <c r="U1490" s="18">
        <f>IF($Z1490="","",IF(AND(DATE($AD1490,12,1)&gt;=$AE1490,DATE($AD1490,12,1)&lt;=$AF1490),ROUND($AG1490,2),0))</f>
        <v/>
      </c>
      <c r="V1490" s="7">
        <f>IF($Z1490="C","Generated from "&amp;INDEX(Contracts!$A$2:$A$151,$AB1490),IF($Z1490="A","Generated from "&amp;INDEX(Fixed_Assets!$A$2:$A$201,$AB1490),IF($Z1490="F","Generated from "&amp;INDEX(FTE_Allocation!$A$2:$A$201,$AB1490),"")))</f>
        <v/>
      </c>
      <c r="X1490" s="19">
        <f>IF($Z1490="","",SUM(J1490:U1490))</f>
        <v/>
      </c>
      <c r="Y1490" s="20">
        <f>ROW()-1</f>
        <v/>
      </c>
      <c r="Z1490" s="20">
        <f>IF($Y1490&lt;=Settings!$B$4*3,"C",IF($Y1490&lt;=(Settings!$B$4+Settings!$B$5)*3,"A",IF($Y1490&lt;=(Settings!$B$4+Settings!$B$5+Settings!$B$6)*3,"F","")))</f>
        <v/>
      </c>
      <c r="AA1490" s="20">
        <f>IF($Z1490="C",$Y1490,IF($Z1490="A",$Y1490-Settings!$B$4*3,IF($Z1490="F",$Y1490-(Settings!$B$4+Settings!$B$5)*3,"")))</f>
        <v/>
      </c>
      <c r="AB1490" s="20">
        <f>IF($Z1490="","",INT(($AA1490-1)/3)+1)</f>
        <v/>
      </c>
      <c r="AC1490" s="20">
        <f>IF($Z1490="","",MOD($AA1490-1,3)+1)</f>
        <v/>
      </c>
      <c r="AD1490" s="20">
        <f>IF($Z1490="","",Settings!$B$2+$AC1490-1)</f>
        <v/>
      </c>
      <c r="AE1490" s="21">
        <f>IF($Z1490="C",DATE(YEAR(INDEX(Contracts!$J$2:$J$151,$AB1490)),MONTH(INDEX(Contracts!$J$2:$J$151,$AB1490)),1),IF($Z1490="A",DATE(YEAR(INDEX(Fixed_Assets!$G$2:$G$201,$AB1490)),MONTH(INDEX(Fixed_Assets!$G$2:$G$201,$AB1490)),1),IF($Z1490="F",DATE(YEAR(MAX(N(INDEX(Workforce!$I$2:$I$151,MATCH(INDEX(FTE_Allocation!$A$2:$A$201,$AB1490),Workforce!$A$2:$A$151,0))),N(INDEX(FTE_Allocation!$I$2:$I$201,$AB1490)))),MONTH(MAX(N(INDEX(Workforce!$I$2:$I$151,MATCH(INDEX(FTE_Allocation!$A$2:$A$201,$AB1490),Workforce!$A$2:$A$151,0))),N(INDEX(FTE_Allocation!$I$2:$I$201,$AB1490)))),1),"")))</f>
        <v/>
      </c>
      <c r="AF1490" s="21">
        <f>IF($Z1490="C",IF(INDEX(Contracts!$I$2:$I$151,$AB1490)="PREPAID",EDATE(DATE(YEAR(INDEX(Contracts!$J$2:$J$151,$AB1490)),MONTH(INDEX(Contracts!$J$2:$J$151,$AB1490)),1),IF(INDEX(Contracts!$N$2:$N$151,$AB1490)="",12,INDEX(Contracts!$N$2:$N$151,$AB1490))-1),IF(INDEX(Contracts!$I$2:$I$151,$AB1490)="MONTHLY",IF(INDEX(Contracts!$K$2:$K$151,$AB1490)="",2958101,INDEX(Contracts!$K$2:$K$151,$AB1490)),0)),IF($Z1490="A",EDATE(DATE(YEAR(INDEX(Fixed_Assets!$G$2:$G$201,$AB1490)),MONTH(INDEX(Fixed_Assets!$G$2:$G$201,$AB1490)),1),INDEX(Fixed_Assets!$J$2:$J$201,$AB1490)-1),IF($Z1490="F",MIN(IF(INDEX(Workforce!$J$2:$J$151,MATCH(INDEX(FTE_Allocation!$A$2:$A$201,$AB1490),Workforce!$A$2:$A$151,0))="",2958101,INDEX(Workforce!$J$2:$J$151,MATCH(INDEX(FTE_Allocation!$A$2:$A$201,$AB1490),Workforce!$A$2:$A$151,0))),IF(INDEX(FTE_Allocation!$J$2:$J$201,$AB1490)="",2958101,INDEX(FTE_Allocation!$J$2:$J$201,$AB1490))),"")))</f>
        <v/>
      </c>
      <c r="AG1490" s="19">
        <f>IF($Z1490="C",IF(INDEX(Contracts!$I$2:$I$151,$AB1490)="PREPAID",INDEX(Contracts!$M$2:$M$151,$AB1490)/IF(INDEX(Contracts!$N$2:$N$151,$AB1490)="",12,INDEX(Contracts!$N$2:$N$151,$AB1490)),IF(INDEX(Contracts!$I$2:$I$151,$AB1490)="MONTHLY",INDEX(Contracts!$M$2:$M$151,$AB1490),0))*(1-N(INDEX(Contracts!$O$2:$O$151,$AB1490))),IF($Z1490="A",INDEX(Fixed_Assets!$H$2:$H$201,$AB1490)/INDEX(Fixed_Assets!$J$2:$J$201,$AB1490),IF($Z1490="F",INDEX(Workforce!$F$2:$F$151,MATCH(INDEX(FTE_Allocation!$A$2:$A$201,$AB1490),Workforce!$A$2:$A$151,0))*N(INDEX(FTE_Allocation!$F$2:$H$201,$AB1490,$AC1490)),"")))</f>
        <v/>
      </c>
    </row>
    <row r="1491">
      <c r="A1491" s="7">
        <f>IF($Z1491="","",$AD1491)</f>
        <v/>
      </c>
      <c r="B1491" s="7">
        <f>IF($Z1491="C",INDEX(Contracts!$D$2:$D$151,$AB1491)&amp;"",IF($Z1491="A",INDEX(Fixed_Assets!$C$2:$C$201,$AB1491)&amp;"",IF($Z1491="F",INDEX(Workforce!$B$2:$B$151,MATCH(INDEX(FTE_Allocation!$A$2:$A$201,$AB1491),Workforce!$A$2:$A$151,0))&amp;"","")))</f>
        <v/>
      </c>
      <c r="C1491" s="7">
        <f>IF($Z1491="C",INDEX(Contracts!$E$2:$E$151,$AB1491)&amp;"",IF($Z1491="A",INDEX(Fixed_Assets!$D$2:$D$201,$AB1491)&amp;"",IF($Z1491="F",INDEX(FTE_Allocation!$C$2:$C$201,$AB1491)&amp;"","")))</f>
        <v/>
      </c>
      <c r="D1491" s="7">
        <f>IF($Z1491="C",INDEX(Contracts!$B$2:$B$151,$AB1491)&amp;"",IF($Z1491="A",INDEX(Fixed_Assets!$B$2:$B$201,$AB1491)&amp;"",IF($Z1491="F",INDEX(FTE_Allocation!$B$2:$B$201,$AB1491)&amp;"","")))</f>
        <v/>
      </c>
      <c r="E1491" s="7">
        <f>IF($Z1491="C",INDEX(Contracts!$P$2:$P$151,$AB1491)&amp;"",IF($Z1491="A",INDEX(Fixed_Assets!$K$2:$K$201,$AB1491)&amp;"",IF($Z1491="F",IF(INDEX(FTE_Allocation!$D$2:$D$201,$AB1491)="PROJECT",IFERROR(INDEX(Projects!$D:$D,MATCH(INDEX(FTE_Allocation!$E$2:$E$201,$AB1491),Projects!$A:$A,0))&amp;"","#PROJECT?"),INDEX(FTE_Allocation!$E$2:$E$201,$AB1491)&amp;""),"")))</f>
        <v/>
      </c>
      <c r="F1491" s="7">
        <f>IF($Z1491="C",INDEX(Contracts!$Q$2:$Q$151,$AB1491)&amp;"",IF($Z1491="A",INDEX(Fixed_Assets!$L$2:$L$201,$AB1491)&amp;"",IF($Z1491="F",INDEX(Workforce!$K$2:$K$151,MATCH(INDEX(FTE_Allocation!$A$2:$A$201,$AB1491),Workforce!$A$2:$A$151,0))&amp;"","")))</f>
        <v/>
      </c>
      <c r="G1491" s="7">
        <f>IF($Z1491="C",INDEX(Contracts!$F$2:$F$151,$AB1491)&amp;" / "&amp;INDEX(Contracts!$G$2:$G$151,$AB1491),IF($Z1491="A",INDEX(Fixed_Assets!$E$2:$E$201,$AB1491)&amp;"",IF($Z1491="F","Personnel "&amp;INDEX(FTE_Allocation!$A$2:$A$201,$AB1491)&amp;IF(INDEX(FTE_Allocation!$D$2:$D$201,$AB1491)="PROJECT"," ("&amp;INDEX(FTE_Allocation!$E$2:$E$201,$AB1491)&amp;")",""),"")))</f>
        <v/>
      </c>
      <c r="H1491" s="7">
        <f>IF($Z1491="C","CONTRACT",IF($Z1491="A","ASSET",IF($Z1491="F","WORKFORCE","")))</f>
        <v/>
      </c>
      <c r="I1491" s="7">
        <f>IF($Z1491="C",INDEX(Contracts!$L$2:$L$151,$AB1491)&amp;"",IF($Z1491="A",INDEX(Fixed_Assets!$I$2:$I$201,$AB1491)&amp;"",IF($Z1491="F",INDEX(Workforce!$G$2:$G$151,MATCH(INDEX(FTE_Allocation!$A$2:$A$201,$AB1491),Workforce!$A$2:$A$151,0))&amp;"","")))</f>
        <v/>
      </c>
      <c r="J1491" s="18">
        <f>IF($Z1491="","",IF(AND(DATE($AD1491,1,1)&gt;=$AE1491,DATE($AD1491,1,1)&lt;=$AF1491),ROUND($AG1491,2),0))</f>
        <v/>
      </c>
      <c r="K1491" s="18">
        <f>IF($Z1491="","",IF(AND(DATE($AD1491,2,1)&gt;=$AE1491,DATE($AD1491,2,1)&lt;=$AF1491),ROUND($AG1491,2),0))</f>
        <v/>
      </c>
      <c r="L1491" s="18">
        <f>IF($Z1491="","",IF(AND(DATE($AD1491,3,1)&gt;=$AE1491,DATE($AD1491,3,1)&lt;=$AF1491),ROUND($AG1491,2),0))</f>
        <v/>
      </c>
      <c r="M1491" s="18">
        <f>IF($Z1491="","",IF(AND(DATE($AD1491,4,1)&gt;=$AE1491,DATE($AD1491,4,1)&lt;=$AF1491),ROUND($AG1491,2),0))</f>
        <v/>
      </c>
      <c r="N1491" s="18">
        <f>IF($Z1491="","",IF(AND(DATE($AD1491,5,1)&gt;=$AE1491,DATE($AD1491,5,1)&lt;=$AF1491),ROUND($AG1491,2),0))</f>
        <v/>
      </c>
      <c r="O1491" s="18">
        <f>IF($Z1491="","",IF(AND(DATE($AD1491,6,1)&gt;=$AE1491,DATE($AD1491,6,1)&lt;=$AF1491),ROUND($AG1491,2),0))</f>
        <v/>
      </c>
      <c r="P1491" s="18">
        <f>IF($Z1491="","",IF(AND(DATE($AD1491,7,1)&gt;=$AE1491,DATE($AD1491,7,1)&lt;=$AF1491),ROUND($AG1491,2),0))</f>
        <v/>
      </c>
      <c r="Q1491" s="18">
        <f>IF($Z1491="","",IF(AND(DATE($AD1491,8,1)&gt;=$AE1491,DATE($AD1491,8,1)&lt;=$AF1491),ROUND($AG1491,2),0))</f>
        <v/>
      </c>
      <c r="R1491" s="18">
        <f>IF($Z1491="","",IF(AND(DATE($AD1491,9,1)&gt;=$AE1491,DATE($AD1491,9,1)&lt;=$AF1491),ROUND($AG1491,2),0))</f>
        <v/>
      </c>
      <c r="S1491" s="18">
        <f>IF($Z1491="","",IF(AND(DATE($AD1491,10,1)&gt;=$AE1491,DATE($AD1491,10,1)&lt;=$AF1491),ROUND($AG1491,2),0))</f>
        <v/>
      </c>
      <c r="T1491" s="18">
        <f>IF($Z1491="","",IF(AND(DATE($AD1491,11,1)&gt;=$AE1491,DATE($AD1491,11,1)&lt;=$AF1491),ROUND($AG1491,2),0))</f>
        <v/>
      </c>
      <c r="U1491" s="18">
        <f>IF($Z1491="","",IF(AND(DATE($AD1491,12,1)&gt;=$AE1491,DATE($AD1491,12,1)&lt;=$AF1491),ROUND($AG1491,2),0))</f>
        <v/>
      </c>
      <c r="V1491" s="7">
        <f>IF($Z1491="C","Generated from "&amp;INDEX(Contracts!$A$2:$A$151,$AB1491),IF($Z1491="A","Generated from "&amp;INDEX(Fixed_Assets!$A$2:$A$201,$AB1491),IF($Z1491="F","Generated from "&amp;INDEX(FTE_Allocation!$A$2:$A$201,$AB1491),"")))</f>
        <v/>
      </c>
      <c r="X1491" s="19">
        <f>IF($Z1491="","",SUM(J1491:U1491))</f>
        <v/>
      </c>
      <c r="Y1491" s="20">
        <f>ROW()-1</f>
        <v/>
      </c>
      <c r="Z1491" s="20">
        <f>IF($Y1491&lt;=Settings!$B$4*3,"C",IF($Y1491&lt;=(Settings!$B$4+Settings!$B$5)*3,"A",IF($Y1491&lt;=(Settings!$B$4+Settings!$B$5+Settings!$B$6)*3,"F","")))</f>
        <v/>
      </c>
      <c r="AA1491" s="20">
        <f>IF($Z1491="C",$Y1491,IF($Z1491="A",$Y1491-Settings!$B$4*3,IF($Z1491="F",$Y1491-(Settings!$B$4+Settings!$B$5)*3,"")))</f>
        <v/>
      </c>
      <c r="AB1491" s="20">
        <f>IF($Z1491="","",INT(($AA1491-1)/3)+1)</f>
        <v/>
      </c>
      <c r="AC1491" s="20">
        <f>IF($Z1491="","",MOD($AA1491-1,3)+1)</f>
        <v/>
      </c>
      <c r="AD1491" s="20">
        <f>IF($Z1491="","",Settings!$B$2+$AC1491-1)</f>
        <v/>
      </c>
      <c r="AE1491" s="21">
        <f>IF($Z1491="C",DATE(YEAR(INDEX(Contracts!$J$2:$J$151,$AB1491)),MONTH(INDEX(Contracts!$J$2:$J$151,$AB1491)),1),IF($Z1491="A",DATE(YEAR(INDEX(Fixed_Assets!$G$2:$G$201,$AB1491)),MONTH(INDEX(Fixed_Assets!$G$2:$G$201,$AB1491)),1),IF($Z1491="F",DATE(YEAR(MAX(N(INDEX(Workforce!$I$2:$I$151,MATCH(INDEX(FTE_Allocation!$A$2:$A$201,$AB1491),Workforce!$A$2:$A$151,0))),N(INDEX(FTE_Allocation!$I$2:$I$201,$AB1491)))),MONTH(MAX(N(INDEX(Workforce!$I$2:$I$151,MATCH(INDEX(FTE_Allocation!$A$2:$A$201,$AB1491),Workforce!$A$2:$A$151,0))),N(INDEX(FTE_Allocation!$I$2:$I$201,$AB1491)))),1),"")))</f>
        <v/>
      </c>
      <c r="AF1491" s="21">
        <f>IF($Z1491="C",IF(INDEX(Contracts!$I$2:$I$151,$AB1491)="PREPAID",EDATE(DATE(YEAR(INDEX(Contracts!$J$2:$J$151,$AB1491)),MONTH(INDEX(Contracts!$J$2:$J$151,$AB1491)),1),IF(INDEX(Contracts!$N$2:$N$151,$AB1491)="",12,INDEX(Contracts!$N$2:$N$151,$AB1491))-1),IF(INDEX(Contracts!$I$2:$I$151,$AB1491)="MONTHLY",IF(INDEX(Contracts!$K$2:$K$151,$AB1491)="",2958101,INDEX(Contracts!$K$2:$K$151,$AB1491)),0)),IF($Z1491="A",EDATE(DATE(YEAR(INDEX(Fixed_Assets!$G$2:$G$201,$AB1491)),MONTH(INDEX(Fixed_Assets!$G$2:$G$201,$AB1491)),1),INDEX(Fixed_Assets!$J$2:$J$201,$AB1491)-1),IF($Z1491="F",MIN(IF(INDEX(Workforce!$J$2:$J$151,MATCH(INDEX(FTE_Allocation!$A$2:$A$201,$AB1491),Workforce!$A$2:$A$151,0))="",2958101,INDEX(Workforce!$J$2:$J$151,MATCH(INDEX(FTE_Allocation!$A$2:$A$201,$AB1491),Workforce!$A$2:$A$151,0))),IF(INDEX(FTE_Allocation!$J$2:$J$201,$AB1491)="",2958101,INDEX(FTE_Allocation!$J$2:$J$201,$AB1491))),"")))</f>
        <v/>
      </c>
      <c r="AG1491" s="19">
        <f>IF($Z1491="C",IF(INDEX(Contracts!$I$2:$I$151,$AB1491)="PREPAID",INDEX(Contracts!$M$2:$M$151,$AB1491)/IF(INDEX(Contracts!$N$2:$N$151,$AB1491)="",12,INDEX(Contracts!$N$2:$N$151,$AB1491)),IF(INDEX(Contracts!$I$2:$I$151,$AB1491)="MONTHLY",INDEX(Contracts!$M$2:$M$151,$AB1491),0))*(1-N(INDEX(Contracts!$O$2:$O$151,$AB1491))),IF($Z1491="A",INDEX(Fixed_Assets!$H$2:$H$201,$AB1491)/INDEX(Fixed_Assets!$J$2:$J$201,$AB1491),IF($Z1491="F",INDEX(Workforce!$F$2:$F$151,MATCH(INDEX(FTE_Allocation!$A$2:$A$201,$AB1491),Workforce!$A$2:$A$151,0))*N(INDEX(FTE_Allocation!$F$2:$H$201,$AB1491,$AC1491)),"")))</f>
        <v/>
      </c>
    </row>
    <row r="1492">
      <c r="A1492" s="7">
        <f>IF($Z1492="","",$AD1492)</f>
        <v/>
      </c>
      <c r="B1492" s="7">
        <f>IF($Z1492="C",INDEX(Contracts!$D$2:$D$151,$AB1492)&amp;"",IF($Z1492="A",INDEX(Fixed_Assets!$C$2:$C$201,$AB1492)&amp;"",IF($Z1492="F",INDEX(Workforce!$B$2:$B$151,MATCH(INDEX(FTE_Allocation!$A$2:$A$201,$AB1492),Workforce!$A$2:$A$151,0))&amp;"","")))</f>
        <v/>
      </c>
      <c r="C1492" s="7">
        <f>IF($Z1492="C",INDEX(Contracts!$E$2:$E$151,$AB1492)&amp;"",IF($Z1492="A",INDEX(Fixed_Assets!$D$2:$D$201,$AB1492)&amp;"",IF($Z1492="F",INDEX(FTE_Allocation!$C$2:$C$201,$AB1492)&amp;"","")))</f>
        <v/>
      </c>
      <c r="D1492" s="7">
        <f>IF($Z1492="C",INDEX(Contracts!$B$2:$B$151,$AB1492)&amp;"",IF($Z1492="A",INDEX(Fixed_Assets!$B$2:$B$201,$AB1492)&amp;"",IF($Z1492="F",INDEX(FTE_Allocation!$B$2:$B$201,$AB1492)&amp;"","")))</f>
        <v/>
      </c>
      <c r="E1492" s="7">
        <f>IF($Z1492="C",INDEX(Contracts!$P$2:$P$151,$AB1492)&amp;"",IF($Z1492="A",INDEX(Fixed_Assets!$K$2:$K$201,$AB1492)&amp;"",IF($Z1492="F",IF(INDEX(FTE_Allocation!$D$2:$D$201,$AB1492)="PROJECT",IFERROR(INDEX(Projects!$D:$D,MATCH(INDEX(FTE_Allocation!$E$2:$E$201,$AB1492),Projects!$A:$A,0))&amp;"","#PROJECT?"),INDEX(FTE_Allocation!$E$2:$E$201,$AB1492)&amp;""),"")))</f>
        <v/>
      </c>
      <c r="F1492" s="7">
        <f>IF($Z1492="C",INDEX(Contracts!$Q$2:$Q$151,$AB1492)&amp;"",IF($Z1492="A",INDEX(Fixed_Assets!$L$2:$L$201,$AB1492)&amp;"",IF($Z1492="F",INDEX(Workforce!$K$2:$K$151,MATCH(INDEX(FTE_Allocation!$A$2:$A$201,$AB1492),Workforce!$A$2:$A$151,0))&amp;"","")))</f>
        <v/>
      </c>
      <c r="G1492" s="7">
        <f>IF($Z1492="C",INDEX(Contracts!$F$2:$F$151,$AB1492)&amp;" / "&amp;INDEX(Contracts!$G$2:$G$151,$AB1492),IF($Z1492="A",INDEX(Fixed_Assets!$E$2:$E$201,$AB1492)&amp;"",IF($Z1492="F","Personnel "&amp;INDEX(FTE_Allocation!$A$2:$A$201,$AB1492)&amp;IF(INDEX(FTE_Allocation!$D$2:$D$201,$AB1492)="PROJECT"," ("&amp;INDEX(FTE_Allocation!$E$2:$E$201,$AB1492)&amp;")",""),"")))</f>
        <v/>
      </c>
      <c r="H1492" s="7">
        <f>IF($Z1492="C","CONTRACT",IF($Z1492="A","ASSET",IF($Z1492="F","WORKFORCE","")))</f>
        <v/>
      </c>
      <c r="I1492" s="7">
        <f>IF($Z1492="C",INDEX(Contracts!$L$2:$L$151,$AB1492)&amp;"",IF($Z1492="A",INDEX(Fixed_Assets!$I$2:$I$201,$AB1492)&amp;"",IF($Z1492="F",INDEX(Workforce!$G$2:$G$151,MATCH(INDEX(FTE_Allocation!$A$2:$A$201,$AB1492),Workforce!$A$2:$A$151,0))&amp;"","")))</f>
        <v/>
      </c>
      <c r="J1492" s="18">
        <f>IF($Z1492="","",IF(AND(DATE($AD1492,1,1)&gt;=$AE1492,DATE($AD1492,1,1)&lt;=$AF1492),ROUND($AG1492,2),0))</f>
        <v/>
      </c>
      <c r="K1492" s="18">
        <f>IF($Z1492="","",IF(AND(DATE($AD1492,2,1)&gt;=$AE1492,DATE($AD1492,2,1)&lt;=$AF1492),ROUND($AG1492,2),0))</f>
        <v/>
      </c>
      <c r="L1492" s="18">
        <f>IF($Z1492="","",IF(AND(DATE($AD1492,3,1)&gt;=$AE1492,DATE($AD1492,3,1)&lt;=$AF1492),ROUND($AG1492,2),0))</f>
        <v/>
      </c>
      <c r="M1492" s="18">
        <f>IF($Z1492="","",IF(AND(DATE($AD1492,4,1)&gt;=$AE1492,DATE($AD1492,4,1)&lt;=$AF1492),ROUND($AG1492,2),0))</f>
        <v/>
      </c>
      <c r="N1492" s="18">
        <f>IF($Z1492="","",IF(AND(DATE($AD1492,5,1)&gt;=$AE1492,DATE($AD1492,5,1)&lt;=$AF1492),ROUND($AG1492,2),0))</f>
        <v/>
      </c>
      <c r="O1492" s="18">
        <f>IF($Z1492="","",IF(AND(DATE($AD1492,6,1)&gt;=$AE1492,DATE($AD1492,6,1)&lt;=$AF1492),ROUND($AG1492,2),0))</f>
        <v/>
      </c>
      <c r="P1492" s="18">
        <f>IF($Z1492="","",IF(AND(DATE($AD1492,7,1)&gt;=$AE1492,DATE($AD1492,7,1)&lt;=$AF1492),ROUND($AG1492,2),0))</f>
        <v/>
      </c>
      <c r="Q1492" s="18">
        <f>IF($Z1492="","",IF(AND(DATE($AD1492,8,1)&gt;=$AE1492,DATE($AD1492,8,1)&lt;=$AF1492),ROUND($AG1492,2),0))</f>
        <v/>
      </c>
      <c r="R1492" s="18">
        <f>IF($Z1492="","",IF(AND(DATE($AD1492,9,1)&gt;=$AE1492,DATE($AD1492,9,1)&lt;=$AF1492),ROUND($AG1492,2),0))</f>
        <v/>
      </c>
      <c r="S1492" s="18">
        <f>IF($Z1492="","",IF(AND(DATE($AD1492,10,1)&gt;=$AE1492,DATE($AD1492,10,1)&lt;=$AF1492),ROUND($AG1492,2),0))</f>
        <v/>
      </c>
      <c r="T1492" s="18">
        <f>IF($Z1492="","",IF(AND(DATE($AD1492,11,1)&gt;=$AE1492,DATE($AD1492,11,1)&lt;=$AF1492),ROUND($AG1492,2),0))</f>
        <v/>
      </c>
      <c r="U1492" s="18">
        <f>IF($Z1492="","",IF(AND(DATE($AD1492,12,1)&gt;=$AE1492,DATE($AD1492,12,1)&lt;=$AF1492),ROUND($AG1492,2),0))</f>
        <v/>
      </c>
      <c r="V1492" s="7">
        <f>IF($Z1492="C","Generated from "&amp;INDEX(Contracts!$A$2:$A$151,$AB1492),IF($Z1492="A","Generated from "&amp;INDEX(Fixed_Assets!$A$2:$A$201,$AB1492),IF($Z1492="F","Generated from "&amp;INDEX(FTE_Allocation!$A$2:$A$201,$AB1492),"")))</f>
        <v/>
      </c>
      <c r="X1492" s="19">
        <f>IF($Z1492="","",SUM(J1492:U1492))</f>
        <v/>
      </c>
      <c r="Y1492" s="20">
        <f>ROW()-1</f>
        <v/>
      </c>
      <c r="Z1492" s="20">
        <f>IF($Y1492&lt;=Settings!$B$4*3,"C",IF($Y1492&lt;=(Settings!$B$4+Settings!$B$5)*3,"A",IF($Y1492&lt;=(Settings!$B$4+Settings!$B$5+Settings!$B$6)*3,"F","")))</f>
        <v/>
      </c>
      <c r="AA1492" s="20">
        <f>IF($Z1492="C",$Y1492,IF($Z1492="A",$Y1492-Settings!$B$4*3,IF($Z1492="F",$Y1492-(Settings!$B$4+Settings!$B$5)*3,"")))</f>
        <v/>
      </c>
      <c r="AB1492" s="20">
        <f>IF($Z1492="","",INT(($AA1492-1)/3)+1)</f>
        <v/>
      </c>
      <c r="AC1492" s="20">
        <f>IF($Z1492="","",MOD($AA1492-1,3)+1)</f>
        <v/>
      </c>
      <c r="AD1492" s="20">
        <f>IF($Z1492="","",Settings!$B$2+$AC1492-1)</f>
        <v/>
      </c>
      <c r="AE1492" s="21">
        <f>IF($Z1492="C",DATE(YEAR(INDEX(Contracts!$J$2:$J$151,$AB1492)),MONTH(INDEX(Contracts!$J$2:$J$151,$AB1492)),1),IF($Z1492="A",DATE(YEAR(INDEX(Fixed_Assets!$G$2:$G$201,$AB1492)),MONTH(INDEX(Fixed_Assets!$G$2:$G$201,$AB1492)),1),IF($Z1492="F",DATE(YEAR(MAX(N(INDEX(Workforce!$I$2:$I$151,MATCH(INDEX(FTE_Allocation!$A$2:$A$201,$AB1492),Workforce!$A$2:$A$151,0))),N(INDEX(FTE_Allocation!$I$2:$I$201,$AB1492)))),MONTH(MAX(N(INDEX(Workforce!$I$2:$I$151,MATCH(INDEX(FTE_Allocation!$A$2:$A$201,$AB1492),Workforce!$A$2:$A$151,0))),N(INDEX(FTE_Allocation!$I$2:$I$201,$AB1492)))),1),"")))</f>
        <v/>
      </c>
      <c r="AF1492" s="21">
        <f>IF($Z1492="C",IF(INDEX(Contracts!$I$2:$I$151,$AB1492)="PREPAID",EDATE(DATE(YEAR(INDEX(Contracts!$J$2:$J$151,$AB1492)),MONTH(INDEX(Contracts!$J$2:$J$151,$AB1492)),1),IF(INDEX(Contracts!$N$2:$N$151,$AB1492)="",12,INDEX(Contracts!$N$2:$N$151,$AB1492))-1),IF(INDEX(Contracts!$I$2:$I$151,$AB1492)="MONTHLY",IF(INDEX(Contracts!$K$2:$K$151,$AB1492)="",2958101,INDEX(Contracts!$K$2:$K$151,$AB1492)),0)),IF($Z1492="A",EDATE(DATE(YEAR(INDEX(Fixed_Assets!$G$2:$G$201,$AB1492)),MONTH(INDEX(Fixed_Assets!$G$2:$G$201,$AB1492)),1),INDEX(Fixed_Assets!$J$2:$J$201,$AB1492)-1),IF($Z1492="F",MIN(IF(INDEX(Workforce!$J$2:$J$151,MATCH(INDEX(FTE_Allocation!$A$2:$A$201,$AB1492),Workforce!$A$2:$A$151,0))="",2958101,INDEX(Workforce!$J$2:$J$151,MATCH(INDEX(FTE_Allocation!$A$2:$A$201,$AB1492),Workforce!$A$2:$A$151,0))),IF(INDEX(FTE_Allocation!$J$2:$J$201,$AB1492)="",2958101,INDEX(FTE_Allocation!$J$2:$J$201,$AB1492))),"")))</f>
        <v/>
      </c>
      <c r="AG1492" s="19">
        <f>IF($Z1492="C",IF(INDEX(Contracts!$I$2:$I$151,$AB1492)="PREPAID",INDEX(Contracts!$M$2:$M$151,$AB1492)/IF(INDEX(Contracts!$N$2:$N$151,$AB1492)="",12,INDEX(Contracts!$N$2:$N$151,$AB1492)),IF(INDEX(Contracts!$I$2:$I$151,$AB1492)="MONTHLY",INDEX(Contracts!$M$2:$M$151,$AB1492),0))*(1-N(INDEX(Contracts!$O$2:$O$151,$AB1492))),IF($Z1492="A",INDEX(Fixed_Assets!$H$2:$H$201,$AB1492)/INDEX(Fixed_Assets!$J$2:$J$201,$AB1492),IF($Z1492="F",INDEX(Workforce!$F$2:$F$151,MATCH(INDEX(FTE_Allocation!$A$2:$A$201,$AB1492),Workforce!$A$2:$A$151,0))*N(INDEX(FTE_Allocation!$F$2:$H$201,$AB1492,$AC1492)),"")))</f>
        <v/>
      </c>
    </row>
    <row r="1493">
      <c r="A1493" s="7">
        <f>IF($Z1493="","",$AD1493)</f>
        <v/>
      </c>
      <c r="B1493" s="7">
        <f>IF($Z1493="C",INDEX(Contracts!$D$2:$D$151,$AB1493)&amp;"",IF($Z1493="A",INDEX(Fixed_Assets!$C$2:$C$201,$AB1493)&amp;"",IF($Z1493="F",INDEX(Workforce!$B$2:$B$151,MATCH(INDEX(FTE_Allocation!$A$2:$A$201,$AB1493),Workforce!$A$2:$A$151,0))&amp;"","")))</f>
        <v/>
      </c>
      <c r="C1493" s="7">
        <f>IF($Z1493="C",INDEX(Contracts!$E$2:$E$151,$AB1493)&amp;"",IF($Z1493="A",INDEX(Fixed_Assets!$D$2:$D$201,$AB1493)&amp;"",IF($Z1493="F",INDEX(FTE_Allocation!$C$2:$C$201,$AB1493)&amp;"","")))</f>
        <v/>
      </c>
      <c r="D1493" s="7">
        <f>IF($Z1493="C",INDEX(Contracts!$B$2:$B$151,$AB1493)&amp;"",IF($Z1493="A",INDEX(Fixed_Assets!$B$2:$B$201,$AB1493)&amp;"",IF($Z1493="F",INDEX(FTE_Allocation!$B$2:$B$201,$AB1493)&amp;"","")))</f>
        <v/>
      </c>
      <c r="E1493" s="7">
        <f>IF($Z1493="C",INDEX(Contracts!$P$2:$P$151,$AB1493)&amp;"",IF($Z1493="A",INDEX(Fixed_Assets!$K$2:$K$201,$AB1493)&amp;"",IF($Z1493="F",IF(INDEX(FTE_Allocation!$D$2:$D$201,$AB1493)="PROJECT",IFERROR(INDEX(Projects!$D:$D,MATCH(INDEX(FTE_Allocation!$E$2:$E$201,$AB1493),Projects!$A:$A,0))&amp;"","#PROJECT?"),INDEX(FTE_Allocation!$E$2:$E$201,$AB1493)&amp;""),"")))</f>
        <v/>
      </c>
      <c r="F1493" s="7">
        <f>IF($Z1493="C",INDEX(Contracts!$Q$2:$Q$151,$AB1493)&amp;"",IF($Z1493="A",INDEX(Fixed_Assets!$L$2:$L$201,$AB1493)&amp;"",IF($Z1493="F",INDEX(Workforce!$K$2:$K$151,MATCH(INDEX(FTE_Allocation!$A$2:$A$201,$AB1493),Workforce!$A$2:$A$151,0))&amp;"","")))</f>
        <v/>
      </c>
      <c r="G1493" s="7">
        <f>IF($Z1493="C",INDEX(Contracts!$F$2:$F$151,$AB1493)&amp;" / "&amp;INDEX(Contracts!$G$2:$G$151,$AB1493),IF($Z1493="A",INDEX(Fixed_Assets!$E$2:$E$201,$AB1493)&amp;"",IF($Z1493="F","Personnel "&amp;INDEX(FTE_Allocation!$A$2:$A$201,$AB1493)&amp;IF(INDEX(FTE_Allocation!$D$2:$D$201,$AB1493)="PROJECT"," ("&amp;INDEX(FTE_Allocation!$E$2:$E$201,$AB1493)&amp;")",""),"")))</f>
        <v/>
      </c>
      <c r="H1493" s="7">
        <f>IF($Z1493="C","CONTRACT",IF($Z1493="A","ASSET",IF($Z1493="F","WORKFORCE","")))</f>
        <v/>
      </c>
      <c r="I1493" s="7">
        <f>IF($Z1493="C",INDEX(Contracts!$L$2:$L$151,$AB1493)&amp;"",IF($Z1493="A",INDEX(Fixed_Assets!$I$2:$I$201,$AB1493)&amp;"",IF($Z1493="F",INDEX(Workforce!$G$2:$G$151,MATCH(INDEX(FTE_Allocation!$A$2:$A$201,$AB1493),Workforce!$A$2:$A$151,0))&amp;"","")))</f>
        <v/>
      </c>
      <c r="J1493" s="18">
        <f>IF($Z1493="","",IF(AND(DATE($AD1493,1,1)&gt;=$AE1493,DATE($AD1493,1,1)&lt;=$AF1493),ROUND($AG1493,2),0))</f>
        <v/>
      </c>
      <c r="K1493" s="18">
        <f>IF($Z1493="","",IF(AND(DATE($AD1493,2,1)&gt;=$AE1493,DATE($AD1493,2,1)&lt;=$AF1493),ROUND($AG1493,2),0))</f>
        <v/>
      </c>
      <c r="L1493" s="18">
        <f>IF($Z1493="","",IF(AND(DATE($AD1493,3,1)&gt;=$AE1493,DATE($AD1493,3,1)&lt;=$AF1493),ROUND($AG1493,2),0))</f>
        <v/>
      </c>
      <c r="M1493" s="18">
        <f>IF($Z1493="","",IF(AND(DATE($AD1493,4,1)&gt;=$AE1493,DATE($AD1493,4,1)&lt;=$AF1493),ROUND($AG1493,2),0))</f>
        <v/>
      </c>
      <c r="N1493" s="18">
        <f>IF($Z1493="","",IF(AND(DATE($AD1493,5,1)&gt;=$AE1493,DATE($AD1493,5,1)&lt;=$AF1493),ROUND($AG1493,2),0))</f>
        <v/>
      </c>
      <c r="O1493" s="18">
        <f>IF($Z1493="","",IF(AND(DATE($AD1493,6,1)&gt;=$AE1493,DATE($AD1493,6,1)&lt;=$AF1493),ROUND($AG1493,2),0))</f>
        <v/>
      </c>
      <c r="P1493" s="18">
        <f>IF($Z1493="","",IF(AND(DATE($AD1493,7,1)&gt;=$AE1493,DATE($AD1493,7,1)&lt;=$AF1493),ROUND($AG1493,2),0))</f>
        <v/>
      </c>
      <c r="Q1493" s="18">
        <f>IF($Z1493="","",IF(AND(DATE($AD1493,8,1)&gt;=$AE1493,DATE($AD1493,8,1)&lt;=$AF1493),ROUND($AG1493,2),0))</f>
        <v/>
      </c>
      <c r="R1493" s="18">
        <f>IF($Z1493="","",IF(AND(DATE($AD1493,9,1)&gt;=$AE1493,DATE($AD1493,9,1)&lt;=$AF1493),ROUND($AG1493,2),0))</f>
        <v/>
      </c>
      <c r="S1493" s="18">
        <f>IF($Z1493="","",IF(AND(DATE($AD1493,10,1)&gt;=$AE1493,DATE($AD1493,10,1)&lt;=$AF1493),ROUND($AG1493,2),0))</f>
        <v/>
      </c>
      <c r="T1493" s="18">
        <f>IF($Z1493="","",IF(AND(DATE($AD1493,11,1)&gt;=$AE1493,DATE($AD1493,11,1)&lt;=$AF1493),ROUND($AG1493,2),0))</f>
        <v/>
      </c>
      <c r="U1493" s="18">
        <f>IF($Z1493="","",IF(AND(DATE($AD1493,12,1)&gt;=$AE1493,DATE($AD1493,12,1)&lt;=$AF1493),ROUND($AG1493,2),0))</f>
        <v/>
      </c>
      <c r="V1493" s="7">
        <f>IF($Z1493="C","Generated from "&amp;INDEX(Contracts!$A$2:$A$151,$AB1493),IF($Z1493="A","Generated from "&amp;INDEX(Fixed_Assets!$A$2:$A$201,$AB1493),IF($Z1493="F","Generated from "&amp;INDEX(FTE_Allocation!$A$2:$A$201,$AB1493),"")))</f>
        <v/>
      </c>
      <c r="X1493" s="19">
        <f>IF($Z1493="","",SUM(J1493:U1493))</f>
        <v/>
      </c>
      <c r="Y1493" s="20">
        <f>ROW()-1</f>
        <v/>
      </c>
      <c r="Z1493" s="20">
        <f>IF($Y1493&lt;=Settings!$B$4*3,"C",IF($Y1493&lt;=(Settings!$B$4+Settings!$B$5)*3,"A",IF($Y1493&lt;=(Settings!$B$4+Settings!$B$5+Settings!$B$6)*3,"F","")))</f>
        <v/>
      </c>
      <c r="AA1493" s="20">
        <f>IF($Z1493="C",$Y1493,IF($Z1493="A",$Y1493-Settings!$B$4*3,IF($Z1493="F",$Y1493-(Settings!$B$4+Settings!$B$5)*3,"")))</f>
        <v/>
      </c>
      <c r="AB1493" s="20">
        <f>IF($Z1493="","",INT(($AA1493-1)/3)+1)</f>
        <v/>
      </c>
      <c r="AC1493" s="20">
        <f>IF($Z1493="","",MOD($AA1493-1,3)+1)</f>
        <v/>
      </c>
      <c r="AD1493" s="20">
        <f>IF($Z1493="","",Settings!$B$2+$AC1493-1)</f>
        <v/>
      </c>
      <c r="AE1493" s="21">
        <f>IF($Z1493="C",DATE(YEAR(INDEX(Contracts!$J$2:$J$151,$AB1493)),MONTH(INDEX(Contracts!$J$2:$J$151,$AB1493)),1),IF($Z1493="A",DATE(YEAR(INDEX(Fixed_Assets!$G$2:$G$201,$AB1493)),MONTH(INDEX(Fixed_Assets!$G$2:$G$201,$AB1493)),1),IF($Z1493="F",DATE(YEAR(MAX(N(INDEX(Workforce!$I$2:$I$151,MATCH(INDEX(FTE_Allocation!$A$2:$A$201,$AB1493),Workforce!$A$2:$A$151,0))),N(INDEX(FTE_Allocation!$I$2:$I$201,$AB1493)))),MONTH(MAX(N(INDEX(Workforce!$I$2:$I$151,MATCH(INDEX(FTE_Allocation!$A$2:$A$201,$AB1493),Workforce!$A$2:$A$151,0))),N(INDEX(FTE_Allocation!$I$2:$I$201,$AB1493)))),1),"")))</f>
        <v/>
      </c>
      <c r="AF1493" s="21">
        <f>IF($Z1493="C",IF(INDEX(Contracts!$I$2:$I$151,$AB1493)="PREPAID",EDATE(DATE(YEAR(INDEX(Contracts!$J$2:$J$151,$AB1493)),MONTH(INDEX(Contracts!$J$2:$J$151,$AB1493)),1),IF(INDEX(Contracts!$N$2:$N$151,$AB1493)="",12,INDEX(Contracts!$N$2:$N$151,$AB1493))-1),IF(INDEX(Contracts!$I$2:$I$151,$AB1493)="MONTHLY",IF(INDEX(Contracts!$K$2:$K$151,$AB1493)="",2958101,INDEX(Contracts!$K$2:$K$151,$AB1493)),0)),IF($Z1493="A",EDATE(DATE(YEAR(INDEX(Fixed_Assets!$G$2:$G$201,$AB1493)),MONTH(INDEX(Fixed_Assets!$G$2:$G$201,$AB1493)),1),INDEX(Fixed_Assets!$J$2:$J$201,$AB1493)-1),IF($Z1493="F",MIN(IF(INDEX(Workforce!$J$2:$J$151,MATCH(INDEX(FTE_Allocation!$A$2:$A$201,$AB1493),Workforce!$A$2:$A$151,0))="",2958101,INDEX(Workforce!$J$2:$J$151,MATCH(INDEX(FTE_Allocation!$A$2:$A$201,$AB1493),Workforce!$A$2:$A$151,0))),IF(INDEX(FTE_Allocation!$J$2:$J$201,$AB1493)="",2958101,INDEX(FTE_Allocation!$J$2:$J$201,$AB1493))),"")))</f>
        <v/>
      </c>
      <c r="AG1493" s="19">
        <f>IF($Z1493="C",IF(INDEX(Contracts!$I$2:$I$151,$AB1493)="PREPAID",INDEX(Contracts!$M$2:$M$151,$AB1493)/IF(INDEX(Contracts!$N$2:$N$151,$AB1493)="",12,INDEX(Contracts!$N$2:$N$151,$AB1493)),IF(INDEX(Contracts!$I$2:$I$151,$AB1493)="MONTHLY",INDEX(Contracts!$M$2:$M$151,$AB1493),0))*(1-N(INDEX(Contracts!$O$2:$O$151,$AB1493))),IF($Z1493="A",INDEX(Fixed_Assets!$H$2:$H$201,$AB1493)/INDEX(Fixed_Assets!$J$2:$J$201,$AB1493),IF($Z1493="F",INDEX(Workforce!$F$2:$F$151,MATCH(INDEX(FTE_Allocation!$A$2:$A$201,$AB1493),Workforce!$A$2:$A$151,0))*N(INDEX(FTE_Allocation!$F$2:$H$201,$AB1493,$AC1493)),"")))</f>
        <v/>
      </c>
    </row>
    <row r="1494">
      <c r="A1494" s="7">
        <f>IF($Z1494="","",$AD1494)</f>
        <v/>
      </c>
      <c r="B1494" s="7">
        <f>IF($Z1494="C",INDEX(Contracts!$D$2:$D$151,$AB1494)&amp;"",IF($Z1494="A",INDEX(Fixed_Assets!$C$2:$C$201,$AB1494)&amp;"",IF($Z1494="F",INDEX(Workforce!$B$2:$B$151,MATCH(INDEX(FTE_Allocation!$A$2:$A$201,$AB1494),Workforce!$A$2:$A$151,0))&amp;"","")))</f>
        <v/>
      </c>
      <c r="C1494" s="7">
        <f>IF($Z1494="C",INDEX(Contracts!$E$2:$E$151,$AB1494)&amp;"",IF($Z1494="A",INDEX(Fixed_Assets!$D$2:$D$201,$AB1494)&amp;"",IF($Z1494="F",INDEX(FTE_Allocation!$C$2:$C$201,$AB1494)&amp;"","")))</f>
        <v/>
      </c>
      <c r="D1494" s="7">
        <f>IF($Z1494="C",INDEX(Contracts!$B$2:$B$151,$AB1494)&amp;"",IF($Z1494="A",INDEX(Fixed_Assets!$B$2:$B$201,$AB1494)&amp;"",IF($Z1494="F",INDEX(FTE_Allocation!$B$2:$B$201,$AB1494)&amp;"","")))</f>
        <v/>
      </c>
      <c r="E1494" s="7">
        <f>IF($Z1494="C",INDEX(Contracts!$P$2:$P$151,$AB1494)&amp;"",IF($Z1494="A",INDEX(Fixed_Assets!$K$2:$K$201,$AB1494)&amp;"",IF($Z1494="F",IF(INDEX(FTE_Allocation!$D$2:$D$201,$AB1494)="PROJECT",IFERROR(INDEX(Projects!$D:$D,MATCH(INDEX(FTE_Allocation!$E$2:$E$201,$AB1494),Projects!$A:$A,0))&amp;"","#PROJECT?"),INDEX(FTE_Allocation!$E$2:$E$201,$AB1494)&amp;""),"")))</f>
        <v/>
      </c>
      <c r="F1494" s="7">
        <f>IF($Z1494="C",INDEX(Contracts!$Q$2:$Q$151,$AB1494)&amp;"",IF($Z1494="A",INDEX(Fixed_Assets!$L$2:$L$201,$AB1494)&amp;"",IF($Z1494="F",INDEX(Workforce!$K$2:$K$151,MATCH(INDEX(FTE_Allocation!$A$2:$A$201,$AB1494),Workforce!$A$2:$A$151,0))&amp;"","")))</f>
        <v/>
      </c>
      <c r="G1494" s="7">
        <f>IF($Z1494="C",INDEX(Contracts!$F$2:$F$151,$AB1494)&amp;" / "&amp;INDEX(Contracts!$G$2:$G$151,$AB1494),IF($Z1494="A",INDEX(Fixed_Assets!$E$2:$E$201,$AB1494)&amp;"",IF($Z1494="F","Personnel "&amp;INDEX(FTE_Allocation!$A$2:$A$201,$AB1494)&amp;IF(INDEX(FTE_Allocation!$D$2:$D$201,$AB1494)="PROJECT"," ("&amp;INDEX(FTE_Allocation!$E$2:$E$201,$AB1494)&amp;")",""),"")))</f>
        <v/>
      </c>
      <c r="H1494" s="7">
        <f>IF($Z1494="C","CONTRACT",IF($Z1494="A","ASSET",IF($Z1494="F","WORKFORCE","")))</f>
        <v/>
      </c>
      <c r="I1494" s="7">
        <f>IF($Z1494="C",INDEX(Contracts!$L$2:$L$151,$AB1494)&amp;"",IF($Z1494="A",INDEX(Fixed_Assets!$I$2:$I$201,$AB1494)&amp;"",IF($Z1494="F",INDEX(Workforce!$G$2:$G$151,MATCH(INDEX(FTE_Allocation!$A$2:$A$201,$AB1494),Workforce!$A$2:$A$151,0))&amp;"","")))</f>
        <v/>
      </c>
      <c r="J1494" s="18">
        <f>IF($Z1494="","",IF(AND(DATE($AD1494,1,1)&gt;=$AE1494,DATE($AD1494,1,1)&lt;=$AF1494),ROUND($AG1494,2),0))</f>
        <v/>
      </c>
      <c r="K1494" s="18">
        <f>IF($Z1494="","",IF(AND(DATE($AD1494,2,1)&gt;=$AE1494,DATE($AD1494,2,1)&lt;=$AF1494),ROUND($AG1494,2),0))</f>
        <v/>
      </c>
      <c r="L1494" s="18">
        <f>IF($Z1494="","",IF(AND(DATE($AD1494,3,1)&gt;=$AE1494,DATE($AD1494,3,1)&lt;=$AF1494),ROUND($AG1494,2),0))</f>
        <v/>
      </c>
      <c r="M1494" s="18">
        <f>IF($Z1494="","",IF(AND(DATE($AD1494,4,1)&gt;=$AE1494,DATE($AD1494,4,1)&lt;=$AF1494),ROUND($AG1494,2),0))</f>
        <v/>
      </c>
      <c r="N1494" s="18">
        <f>IF($Z1494="","",IF(AND(DATE($AD1494,5,1)&gt;=$AE1494,DATE($AD1494,5,1)&lt;=$AF1494),ROUND($AG1494,2),0))</f>
        <v/>
      </c>
      <c r="O1494" s="18">
        <f>IF($Z1494="","",IF(AND(DATE($AD1494,6,1)&gt;=$AE1494,DATE($AD1494,6,1)&lt;=$AF1494),ROUND($AG1494,2),0))</f>
        <v/>
      </c>
      <c r="P1494" s="18">
        <f>IF($Z1494="","",IF(AND(DATE($AD1494,7,1)&gt;=$AE1494,DATE($AD1494,7,1)&lt;=$AF1494),ROUND($AG1494,2),0))</f>
        <v/>
      </c>
      <c r="Q1494" s="18">
        <f>IF($Z1494="","",IF(AND(DATE($AD1494,8,1)&gt;=$AE1494,DATE($AD1494,8,1)&lt;=$AF1494),ROUND($AG1494,2),0))</f>
        <v/>
      </c>
      <c r="R1494" s="18">
        <f>IF($Z1494="","",IF(AND(DATE($AD1494,9,1)&gt;=$AE1494,DATE($AD1494,9,1)&lt;=$AF1494),ROUND($AG1494,2),0))</f>
        <v/>
      </c>
      <c r="S1494" s="18">
        <f>IF($Z1494="","",IF(AND(DATE($AD1494,10,1)&gt;=$AE1494,DATE($AD1494,10,1)&lt;=$AF1494),ROUND($AG1494,2),0))</f>
        <v/>
      </c>
      <c r="T1494" s="18">
        <f>IF($Z1494="","",IF(AND(DATE($AD1494,11,1)&gt;=$AE1494,DATE($AD1494,11,1)&lt;=$AF1494),ROUND($AG1494,2),0))</f>
        <v/>
      </c>
      <c r="U1494" s="18">
        <f>IF($Z1494="","",IF(AND(DATE($AD1494,12,1)&gt;=$AE1494,DATE($AD1494,12,1)&lt;=$AF1494),ROUND($AG1494,2),0))</f>
        <v/>
      </c>
      <c r="V1494" s="7">
        <f>IF($Z1494="C","Generated from "&amp;INDEX(Contracts!$A$2:$A$151,$AB1494),IF($Z1494="A","Generated from "&amp;INDEX(Fixed_Assets!$A$2:$A$201,$AB1494),IF($Z1494="F","Generated from "&amp;INDEX(FTE_Allocation!$A$2:$A$201,$AB1494),"")))</f>
        <v/>
      </c>
      <c r="X1494" s="19">
        <f>IF($Z1494="","",SUM(J1494:U1494))</f>
        <v/>
      </c>
      <c r="Y1494" s="20">
        <f>ROW()-1</f>
        <v/>
      </c>
      <c r="Z1494" s="20">
        <f>IF($Y1494&lt;=Settings!$B$4*3,"C",IF($Y1494&lt;=(Settings!$B$4+Settings!$B$5)*3,"A",IF($Y1494&lt;=(Settings!$B$4+Settings!$B$5+Settings!$B$6)*3,"F","")))</f>
        <v/>
      </c>
      <c r="AA1494" s="20">
        <f>IF($Z1494="C",$Y1494,IF($Z1494="A",$Y1494-Settings!$B$4*3,IF($Z1494="F",$Y1494-(Settings!$B$4+Settings!$B$5)*3,"")))</f>
        <v/>
      </c>
      <c r="AB1494" s="20">
        <f>IF($Z1494="","",INT(($AA1494-1)/3)+1)</f>
        <v/>
      </c>
      <c r="AC1494" s="20">
        <f>IF($Z1494="","",MOD($AA1494-1,3)+1)</f>
        <v/>
      </c>
      <c r="AD1494" s="20">
        <f>IF($Z1494="","",Settings!$B$2+$AC1494-1)</f>
        <v/>
      </c>
      <c r="AE1494" s="21">
        <f>IF($Z1494="C",DATE(YEAR(INDEX(Contracts!$J$2:$J$151,$AB1494)),MONTH(INDEX(Contracts!$J$2:$J$151,$AB1494)),1),IF($Z1494="A",DATE(YEAR(INDEX(Fixed_Assets!$G$2:$G$201,$AB1494)),MONTH(INDEX(Fixed_Assets!$G$2:$G$201,$AB1494)),1),IF($Z1494="F",DATE(YEAR(MAX(N(INDEX(Workforce!$I$2:$I$151,MATCH(INDEX(FTE_Allocation!$A$2:$A$201,$AB1494),Workforce!$A$2:$A$151,0))),N(INDEX(FTE_Allocation!$I$2:$I$201,$AB1494)))),MONTH(MAX(N(INDEX(Workforce!$I$2:$I$151,MATCH(INDEX(FTE_Allocation!$A$2:$A$201,$AB1494),Workforce!$A$2:$A$151,0))),N(INDEX(FTE_Allocation!$I$2:$I$201,$AB1494)))),1),"")))</f>
        <v/>
      </c>
      <c r="AF1494" s="21">
        <f>IF($Z1494="C",IF(INDEX(Contracts!$I$2:$I$151,$AB1494)="PREPAID",EDATE(DATE(YEAR(INDEX(Contracts!$J$2:$J$151,$AB1494)),MONTH(INDEX(Contracts!$J$2:$J$151,$AB1494)),1),IF(INDEX(Contracts!$N$2:$N$151,$AB1494)="",12,INDEX(Contracts!$N$2:$N$151,$AB1494))-1),IF(INDEX(Contracts!$I$2:$I$151,$AB1494)="MONTHLY",IF(INDEX(Contracts!$K$2:$K$151,$AB1494)="",2958101,INDEX(Contracts!$K$2:$K$151,$AB1494)),0)),IF($Z1494="A",EDATE(DATE(YEAR(INDEX(Fixed_Assets!$G$2:$G$201,$AB1494)),MONTH(INDEX(Fixed_Assets!$G$2:$G$201,$AB1494)),1),INDEX(Fixed_Assets!$J$2:$J$201,$AB1494)-1),IF($Z1494="F",MIN(IF(INDEX(Workforce!$J$2:$J$151,MATCH(INDEX(FTE_Allocation!$A$2:$A$201,$AB1494),Workforce!$A$2:$A$151,0))="",2958101,INDEX(Workforce!$J$2:$J$151,MATCH(INDEX(FTE_Allocation!$A$2:$A$201,$AB1494),Workforce!$A$2:$A$151,0))),IF(INDEX(FTE_Allocation!$J$2:$J$201,$AB1494)="",2958101,INDEX(FTE_Allocation!$J$2:$J$201,$AB1494))),"")))</f>
        <v/>
      </c>
      <c r="AG1494" s="19">
        <f>IF($Z1494="C",IF(INDEX(Contracts!$I$2:$I$151,$AB1494)="PREPAID",INDEX(Contracts!$M$2:$M$151,$AB1494)/IF(INDEX(Contracts!$N$2:$N$151,$AB1494)="",12,INDEX(Contracts!$N$2:$N$151,$AB1494)),IF(INDEX(Contracts!$I$2:$I$151,$AB1494)="MONTHLY",INDEX(Contracts!$M$2:$M$151,$AB1494),0))*(1-N(INDEX(Contracts!$O$2:$O$151,$AB1494))),IF($Z1494="A",INDEX(Fixed_Assets!$H$2:$H$201,$AB1494)/INDEX(Fixed_Assets!$J$2:$J$201,$AB1494),IF($Z1494="F",INDEX(Workforce!$F$2:$F$151,MATCH(INDEX(FTE_Allocation!$A$2:$A$201,$AB1494),Workforce!$A$2:$A$151,0))*N(INDEX(FTE_Allocation!$F$2:$H$201,$AB1494,$AC1494)),"")))</f>
        <v/>
      </c>
    </row>
    <row r="1495">
      <c r="A1495" s="7">
        <f>IF($Z1495="","",$AD1495)</f>
        <v/>
      </c>
      <c r="B1495" s="7">
        <f>IF($Z1495="C",INDEX(Contracts!$D$2:$D$151,$AB1495)&amp;"",IF($Z1495="A",INDEX(Fixed_Assets!$C$2:$C$201,$AB1495)&amp;"",IF($Z1495="F",INDEX(Workforce!$B$2:$B$151,MATCH(INDEX(FTE_Allocation!$A$2:$A$201,$AB1495),Workforce!$A$2:$A$151,0))&amp;"","")))</f>
        <v/>
      </c>
      <c r="C1495" s="7">
        <f>IF($Z1495="C",INDEX(Contracts!$E$2:$E$151,$AB1495)&amp;"",IF($Z1495="A",INDEX(Fixed_Assets!$D$2:$D$201,$AB1495)&amp;"",IF($Z1495="F",INDEX(FTE_Allocation!$C$2:$C$201,$AB1495)&amp;"","")))</f>
        <v/>
      </c>
      <c r="D1495" s="7">
        <f>IF($Z1495="C",INDEX(Contracts!$B$2:$B$151,$AB1495)&amp;"",IF($Z1495="A",INDEX(Fixed_Assets!$B$2:$B$201,$AB1495)&amp;"",IF($Z1495="F",INDEX(FTE_Allocation!$B$2:$B$201,$AB1495)&amp;"","")))</f>
        <v/>
      </c>
      <c r="E1495" s="7">
        <f>IF($Z1495="C",INDEX(Contracts!$P$2:$P$151,$AB1495)&amp;"",IF($Z1495="A",INDEX(Fixed_Assets!$K$2:$K$201,$AB1495)&amp;"",IF($Z1495="F",IF(INDEX(FTE_Allocation!$D$2:$D$201,$AB1495)="PROJECT",IFERROR(INDEX(Projects!$D:$D,MATCH(INDEX(FTE_Allocation!$E$2:$E$201,$AB1495),Projects!$A:$A,0))&amp;"","#PROJECT?"),INDEX(FTE_Allocation!$E$2:$E$201,$AB1495)&amp;""),"")))</f>
        <v/>
      </c>
      <c r="F1495" s="7">
        <f>IF($Z1495="C",INDEX(Contracts!$Q$2:$Q$151,$AB1495)&amp;"",IF($Z1495="A",INDEX(Fixed_Assets!$L$2:$L$201,$AB1495)&amp;"",IF($Z1495="F",INDEX(Workforce!$K$2:$K$151,MATCH(INDEX(FTE_Allocation!$A$2:$A$201,$AB1495),Workforce!$A$2:$A$151,0))&amp;"","")))</f>
        <v/>
      </c>
      <c r="G1495" s="7">
        <f>IF($Z1495="C",INDEX(Contracts!$F$2:$F$151,$AB1495)&amp;" / "&amp;INDEX(Contracts!$G$2:$G$151,$AB1495),IF($Z1495="A",INDEX(Fixed_Assets!$E$2:$E$201,$AB1495)&amp;"",IF($Z1495="F","Personnel "&amp;INDEX(FTE_Allocation!$A$2:$A$201,$AB1495)&amp;IF(INDEX(FTE_Allocation!$D$2:$D$201,$AB1495)="PROJECT"," ("&amp;INDEX(FTE_Allocation!$E$2:$E$201,$AB1495)&amp;")",""),"")))</f>
        <v/>
      </c>
      <c r="H1495" s="7">
        <f>IF($Z1495="C","CONTRACT",IF($Z1495="A","ASSET",IF($Z1495="F","WORKFORCE","")))</f>
        <v/>
      </c>
      <c r="I1495" s="7">
        <f>IF($Z1495="C",INDEX(Contracts!$L$2:$L$151,$AB1495)&amp;"",IF($Z1495="A",INDEX(Fixed_Assets!$I$2:$I$201,$AB1495)&amp;"",IF($Z1495="F",INDEX(Workforce!$G$2:$G$151,MATCH(INDEX(FTE_Allocation!$A$2:$A$201,$AB1495),Workforce!$A$2:$A$151,0))&amp;"","")))</f>
        <v/>
      </c>
      <c r="J1495" s="18">
        <f>IF($Z1495="","",IF(AND(DATE($AD1495,1,1)&gt;=$AE1495,DATE($AD1495,1,1)&lt;=$AF1495),ROUND($AG1495,2),0))</f>
        <v/>
      </c>
      <c r="K1495" s="18">
        <f>IF($Z1495="","",IF(AND(DATE($AD1495,2,1)&gt;=$AE1495,DATE($AD1495,2,1)&lt;=$AF1495),ROUND($AG1495,2),0))</f>
        <v/>
      </c>
      <c r="L1495" s="18">
        <f>IF($Z1495="","",IF(AND(DATE($AD1495,3,1)&gt;=$AE1495,DATE($AD1495,3,1)&lt;=$AF1495),ROUND($AG1495,2),0))</f>
        <v/>
      </c>
      <c r="M1495" s="18">
        <f>IF($Z1495="","",IF(AND(DATE($AD1495,4,1)&gt;=$AE1495,DATE($AD1495,4,1)&lt;=$AF1495),ROUND($AG1495,2),0))</f>
        <v/>
      </c>
      <c r="N1495" s="18">
        <f>IF($Z1495="","",IF(AND(DATE($AD1495,5,1)&gt;=$AE1495,DATE($AD1495,5,1)&lt;=$AF1495),ROUND($AG1495,2),0))</f>
        <v/>
      </c>
      <c r="O1495" s="18">
        <f>IF($Z1495="","",IF(AND(DATE($AD1495,6,1)&gt;=$AE1495,DATE($AD1495,6,1)&lt;=$AF1495),ROUND($AG1495,2),0))</f>
        <v/>
      </c>
      <c r="P1495" s="18">
        <f>IF($Z1495="","",IF(AND(DATE($AD1495,7,1)&gt;=$AE1495,DATE($AD1495,7,1)&lt;=$AF1495),ROUND($AG1495,2),0))</f>
        <v/>
      </c>
      <c r="Q1495" s="18">
        <f>IF($Z1495="","",IF(AND(DATE($AD1495,8,1)&gt;=$AE1495,DATE($AD1495,8,1)&lt;=$AF1495),ROUND($AG1495,2),0))</f>
        <v/>
      </c>
      <c r="R1495" s="18">
        <f>IF($Z1495="","",IF(AND(DATE($AD1495,9,1)&gt;=$AE1495,DATE($AD1495,9,1)&lt;=$AF1495),ROUND($AG1495,2),0))</f>
        <v/>
      </c>
      <c r="S1495" s="18">
        <f>IF($Z1495="","",IF(AND(DATE($AD1495,10,1)&gt;=$AE1495,DATE($AD1495,10,1)&lt;=$AF1495),ROUND($AG1495,2),0))</f>
        <v/>
      </c>
      <c r="T1495" s="18">
        <f>IF($Z1495="","",IF(AND(DATE($AD1495,11,1)&gt;=$AE1495,DATE($AD1495,11,1)&lt;=$AF1495),ROUND($AG1495,2),0))</f>
        <v/>
      </c>
      <c r="U1495" s="18">
        <f>IF($Z1495="","",IF(AND(DATE($AD1495,12,1)&gt;=$AE1495,DATE($AD1495,12,1)&lt;=$AF1495),ROUND($AG1495,2),0))</f>
        <v/>
      </c>
      <c r="V1495" s="7">
        <f>IF($Z1495="C","Generated from "&amp;INDEX(Contracts!$A$2:$A$151,$AB1495),IF($Z1495="A","Generated from "&amp;INDEX(Fixed_Assets!$A$2:$A$201,$AB1495),IF($Z1495="F","Generated from "&amp;INDEX(FTE_Allocation!$A$2:$A$201,$AB1495),"")))</f>
        <v/>
      </c>
      <c r="X1495" s="19">
        <f>IF($Z1495="","",SUM(J1495:U1495))</f>
        <v/>
      </c>
      <c r="Y1495" s="20">
        <f>ROW()-1</f>
        <v/>
      </c>
      <c r="Z1495" s="20">
        <f>IF($Y1495&lt;=Settings!$B$4*3,"C",IF($Y1495&lt;=(Settings!$B$4+Settings!$B$5)*3,"A",IF($Y1495&lt;=(Settings!$B$4+Settings!$B$5+Settings!$B$6)*3,"F","")))</f>
        <v/>
      </c>
      <c r="AA1495" s="20">
        <f>IF($Z1495="C",$Y1495,IF($Z1495="A",$Y1495-Settings!$B$4*3,IF($Z1495="F",$Y1495-(Settings!$B$4+Settings!$B$5)*3,"")))</f>
        <v/>
      </c>
      <c r="AB1495" s="20">
        <f>IF($Z1495="","",INT(($AA1495-1)/3)+1)</f>
        <v/>
      </c>
      <c r="AC1495" s="20">
        <f>IF($Z1495="","",MOD($AA1495-1,3)+1)</f>
        <v/>
      </c>
      <c r="AD1495" s="20">
        <f>IF($Z1495="","",Settings!$B$2+$AC1495-1)</f>
        <v/>
      </c>
      <c r="AE1495" s="21">
        <f>IF($Z1495="C",DATE(YEAR(INDEX(Contracts!$J$2:$J$151,$AB1495)),MONTH(INDEX(Contracts!$J$2:$J$151,$AB1495)),1),IF($Z1495="A",DATE(YEAR(INDEX(Fixed_Assets!$G$2:$G$201,$AB1495)),MONTH(INDEX(Fixed_Assets!$G$2:$G$201,$AB1495)),1),IF($Z1495="F",DATE(YEAR(MAX(N(INDEX(Workforce!$I$2:$I$151,MATCH(INDEX(FTE_Allocation!$A$2:$A$201,$AB1495),Workforce!$A$2:$A$151,0))),N(INDEX(FTE_Allocation!$I$2:$I$201,$AB1495)))),MONTH(MAX(N(INDEX(Workforce!$I$2:$I$151,MATCH(INDEX(FTE_Allocation!$A$2:$A$201,$AB1495),Workforce!$A$2:$A$151,0))),N(INDEX(FTE_Allocation!$I$2:$I$201,$AB1495)))),1),"")))</f>
        <v/>
      </c>
      <c r="AF1495" s="21">
        <f>IF($Z1495="C",IF(INDEX(Contracts!$I$2:$I$151,$AB1495)="PREPAID",EDATE(DATE(YEAR(INDEX(Contracts!$J$2:$J$151,$AB1495)),MONTH(INDEX(Contracts!$J$2:$J$151,$AB1495)),1),IF(INDEX(Contracts!$N$2:$N$151,$AB1495)="",12,INDEX(Contracts!$N$2:$N$151,$AB1495))-1),IF(INDEX(Contracts!$I$2:$I$151,$AB1495)="MONTHLY",IF(INDEX(Contracts!$K$2:$K$151,$AB1495)="",2958101,INDEX(Contracts!$K$2:$K$151,$AB1495)),0)),IF($Z1495="A",EDATE(DATE(YEAR(INDEX(Fixed_Assets!$G$2:$G$201,$AB1495)),MONTH(INDEX(Fixed_Assets!$G$2:$G$201,$AB1495)),1),INDEX(Fixed_Assets!$J$2:$J$201,$AB1495)-1),IF($Z1495="F",MIN(IF(INDEX(Workforce!$J$2:$J$151,MATCH(INDEX(FTE_Allocation!$A$2:$A$201,$AB1495),Workforce!$A$2:$A$151,0))="",2958101,INDEX(Workforce!$J$2:$J$151,MATCH(INDEX(FTE_Allocation!$A$2:$A$201,$AB1495),Workforce!$A$2:$A$151,0))),IF(INDEX(FTE_Allocation!$J$2:$J$201,$AB1495)="",2958101,INDEX(FTE_Allocation!$J$2:$J$201,$AB1495))),"")))</f>
        <v/>
      </c>
      <c r="AG1495" s="19">
        <f>IF($Z1495="C",IF(INDEX(Contracts!$I$2:$I$151,$AB1495)="PREPAID",INDEX(Contracts!$M$2:$M$151,$AB1495)/IF(INDEX(Contracts!$N$2:$N$151,$AB1495)="",12,INDEX(Contracts!$N$2:$N$151,$AB1495)),IF(INDEX(Contracts!$I$2:$I$151,$AB1495)="MONTHLY",INDEX(Contracts!$M$2:$M$151,$AB1495),0))*(1-N(INDEX(Contracts!$O$2:$O$151,$AB1495))),IF($Z1495="A",INDEX(Fixed_Assets!$H$2:$H$201,$AB1495)/INDEX(Fixed_Assets!$J$2:$J$201,$AB1495),IF($Z1495="F",INDEX(Workforce!$F$2:$F$151,MATCH(INDEX(FTE_Allocation!$A$2:$A$201,$AB1495),Workforce!$A$2:$A$151,0))*N(INDEX(FTE_Allocation!$F$2:$H$201,$AB1495,$AC1495)),"")))</f>
        <v/>
      </c>
    </row>
    <row r="1496">
      <c r="A1496" s="7">
        <f>IF($Z1496="","",$AD1496)</f>
        <v/>
      </c>
      <c r="B1496" s="7">
        <f>IF($Z1496="C",INDEX(Contracts!$D$2:$D$151,$AB1496)&amp;"",IF($Z1496="A",INDEX(Fixed_Assets!$C$2:$C$201,$AB1496)&amp;"",IF($Z1496="F",INDEX(Workforce!$B$2:$B$151,MATCH(INDEX(FTE_Allocation!$A$2:$A$201,$AB1496),Workforce!$A$2:$A$151,0))&amp;"","")))</f>
        <v/>
      </c>
      <c r="C1496" s="7">
        <f>IF($Z1496="C",INDEX(Contracts!$E$2:$E$151,$AB1496)&amp;"",IF($Z1496="A",INDEX(Fixed_Assets!$D$2:$D$201,$AB1496)&amp;"",IF($Z1496="F",INDEX(FTE_Allocation!$C$2:$C$201,$AB1496)&amp;"","")))</f>
        <v/>
      </c>
      <c r="D1496" s="7">
        <f>IF($Z1496="C",INDEX(Contracts!$B$2:$B$151,$AB1496)&amp;"",IF($Z1496="A",INDEX(Fixed_Assets!$B$2:$B$201,$AB1496)&amp;"",IF($Z1496="F",INDEX(FTE_Allocation!$B$2:$B$201,$AB1496)&amp;"","")))</f>
        <v/>
      </c>
      <c r="E1496" s="7">
        <f>IF($Z1496="C",INDEX(Contracts!$P$2:$P$151,$AB1496)&amp;"",IF($Z1496="A",INDEX(Fixed_Assets!$K$2:$K$201,$AB1496)&amp;"",IF($Z1496="F",IF(INDEX(FTE_Allocation!$D$2:$D$201,$AB1496)="PROJECT",IFERROR(INDEX(Projects!$D:$D,MATCH(INDEX(FTE_Allocation!$E$2:$E$201,$AB1496),Projects!$A:$A,0))&amp;"","#PROJECT?"),INDEX(FTE_Allocation!$E$2:$E$201,$AB1496)&amp;""),"")))</f>
        <v/>
      </c>
      <c r="F1496" s="7">
        <f>IF($Z1496="C",INDEX(Contracts!$Q$2:$Q$151,$AB1496)&amp;"",IF($Z1496="A",INDEX(Fixed_Assets!$L$2:$L$201,$AB1496)&amp;"",IF($Z1496="F",INDEX(Workforce!$K$2:$K$151,MATCH(INDEX(FTE_Allocation!$A$2:$A$201,$AB1496),Workforce!$A$2:$A$151,0))&amp;"","")))</f>
        <v/>
      </c>
      <c r="G1496" s="7">
        <f>IF($Z1496="C",INDEX(Contracts!$F$2:$F$151,$AB1496)&amp;" / "&amp;INDEX(Contracts!$G$2:$G$151,$AB1496),IF($Z1496="A",INDEX(Fixed_Assets!$E$2:$E$201,$AB1496)&amp;"",IF($Z1496="F","Personnel "&amp;INDEX(FTE_Allocation!$A$2:$A$201,$AB1496)&amp;IF(INDEX(FTE_Allocation!$D$2:$D$201,$AB1496)="PROJECT"," ("&amp;INDEX(FTE_Allocation!$E$2:$E$201,$AB1496)&amp;")",""),"")))</f>
        <v/>
      </c>
      <c r="H1496" s="7">
        <f>IF($Z1496="C","CONTRACT",IF($Z1496="A","ASSET",IF($Z1496="F","WORKFORCE","")))</f>
        <v/>
      </c>
      <c r="I1496" s="7">
        <f>IF($Z1496="C",INDEX(Contracts!$L$2:$L$151,$AB1496)&amp;"",IF($Z1496="A",INDEX(Fixed_Assets!$I$2:$I$201,$AB1496)&amp;"",IF($Z1496="F",INDEX(Workforce!$G$2:$G$151,MATCH(INDEX(FTE_Allocation!$A$2:$A$201,$AB1496),Workforce!$A$2:$A$151,0))&amp;"","")))</f>
        <v/>
      </c>
      <c r="J1496" s="18">
        <f>IF($Z1496="","",IF(AND(DATE($AD1496,1,1)&gt;=$AE1496,DATE($AD1496,1,1)&lt;=$AF1496),ROUND($AG1496,2),0))</f>
        <v/>
      </c>
      <c r="K1496" s="18">
        <f>IF($Z1496="","",IF(AND(DATE($AD1496,2,1)&gt;=$AE1496,DATE($AD1496,2,1)&lt;=$AF1496),ROUND($AG1496,2),0))</f>
        <v/>
      </c>
      <c r="L1496" s="18">
        <f>IF($Z1496="","",IF(AND(DATE($AD1496,3,1)&gt;=$AE1496,DATE($AD1496,3,1)&lt;=$AF1496),ROUND($AG1496,2),0))</f>
        <v/>
      </c>
      <c r="M1496" s="18">
        <f>IF($Z1496="","",IF(AND(DATE($AD1496,4,1)&gt;=$AE1496,DATE($AD1496,4,1)&lt;=$AF1496),ROUND($AG1496,2),0))</f>
        <v/>
      </c>
      <c r="N1496" s="18">
        <f>IF($Z1496="","",IF(AND(DATE($AD1496,5,1)&gt;=$AE1496,DATE($AD1496,5,1)&lt;=$AF1496),ROUND($AG1496,2),0))</f>
        <v/>
      </c>
      <c r="O1496" s="18">
        <f>IF($Z1496="","",IF(AND(DATE($AD1496,6,1)&gt;=$AE1496,DATE($AD1496,6,1)&lt;=$AF1496),ROUND($AG1496,2),0))</f>
        <v/>
      </c>
      <c r="P1496" s="18">
        <f>IF($Z1496="","",IF(AND(DATE($AD1496,7,1)&gt;=$AE1496,DATE($AD1496,7,1)&lt;=$AF1496),ROUND($AG1496,2),0))</f>
        <v/>
      </c>
      <c r="Q1496" s="18">
        <f>IF($Z1496="","",IF(AND(DATE($AD1496,8,1)&gt;=$AE1496,DATE($AD1496,8,1)&lt;=$AF1496),ROUND($AG1496,2),0))</f>
        <v/>
      </c>
      <c r="R1496" s="18">
        <f>IF($Z1496="","",IF(AND(DATE($AD1496,9,1)&gt;=$AE1496,DATE($AD1496,9,1)&lt;=$AF1496),ROUND($AG1496,2),0))</f>
        <v/>
      </c>
      <c r="S1496" s="18">
        <f>IF($Z1496="","",IF(AND(DATE($AD1496,10,1)&gt;=$AE1496,DATE($AD1496,10,1)&lt;=$AF1496),ROUND($AG1496,2),0))</f>
        <v/>
      </c>
      <c r="T1496" s="18">
        <f>IF($Z1496="","",IF(AND(DATE($AD1496,11,1)&gt;=$AE1496,DATE($AD1496,11,1)&lt;=$AF1496),ROUND($AG1496,2),0))</f>
        <v/>
      </c>
      <c r="U1496" s="18">
        <f>IF($Z1496="","",IF(AND(DATE($AD1496,12,1)&gt;=$AE1496,DATE($AD1496,12,1)&lt;=$AF1496),ROUND($AG1496,2),0))</f>
        <v/>
      </c>
      <c r="V1496" s="7">
        <f>IF($Z1496="C","Generated from "&amp;INDEX(Contracts!$A$2:$A$151,$AB1496),IF($Z1496="A","Generated from "&amp;INDEX(Fixed_Assets!$A$2:$A$201,$AB1496),IF($Z1496="F","Generated from "&amp;INDEX(FTE_Allocation!$A$2:$A$201,$AB1496),"")))</f>
        <v/>
      </c>
      <c r="X1496" s="19">
        <f>IF($Z1496="","",SUM(J1496:U1496))</f>
        <v/>
      </c>
      <c r="Y1496" s="20">
        <f>ROW()-1</f>
        <v/>
      </c>
      <c r="Z1496" s="20">
        <f>IF($Y1496&lt;=Settings!$B$4*3,"C",IF($Y1496&lt;=(Settings!$B$4+Settings!$B$5)*3,"A",IF($Y1496&lt;=(Settings!$B$4+Settings!$B$5+Settings!$B$6)*3,"F","")))</f>
        <v/>
      </c>
      <c r="AA1496" s="20">
        <f>IF($Z1496="C",$Y1496,IF($Z1496="A",$Y1496-Settings!$B$4*3,IF($Z1496="F",$Y1496-(Settings!$B$4+Settings!$B$5)*3,"")))</f>
        <v/>
      </c>
      <c r="AB1496" s="20">
        <f>IF($Z1496="","",INT(($AA1496-1)/3)+1)</f>
        <v/>
      </c>
      <c r="AC1496" s="20">
        <f>IF($Z1496="","",MOD($AA1496-1,3)+1)</f>
        <v/>
      </c>
      <c r="AD1496" s="20">
        <f>IF($Z1496="","",Settings!$B$2+$AC1496-1)</f>
        <v/>
      </c>
      <c r="AE1496" s="21">
        <f>IF($Z1496="C",DATE(YEAR(INDEX(Contracts!$J$2:$J$151,$AB1496)),MONTH(INDEX(Contracts!$J$2:$J$151,$AB1496)),1),IF($Z1496="A",DATE(YEAR(INDEX(Fixed_Assets!$G$2:$G$201,$AB1496)),MONTH(INDEX(Fixed_Assets!$G$2:$G$201,$AB1496)),1),IF($Z1496="F",DATE(YEAR(MAX(N(INDEX(Workforce!$I$2:$I$151,MATCH(INDEX(FTE_Allocation!$A$2:$A$201,$AB1496),Workforce!$A$2:$A$151,0))),N(INDEX(FTE_Allocation!$I$2:$I$201,$AB1496)))),MONTH(MAX(N(INDEX(Workforce!$I$2:$I$151,MATCH(INDEX(FTE_Allocation!$A$2:$A$201,$AB1496),Workforce!$A$2:$A$151,0))),N(INDEX(FTE_Allocation!$I$2:$I$201,$AB1496)))),1),"")))</f>
        <v/>
      </c>
      <c r="AF1496" s="21">
        <f>IF($Z1496="C",IF(INDEX(Contracts!$I$2:$I$151,$AB1496)="PREPAID",EDATE(DATE(YEAR(INDEX(Contracts!$J$2:$J$151,$AB1496)),MONTH(INDEX(Contracts!$J$2:$J$151,$AB1496)),1),IF(INDEX(Contracts!$N$2:$N$151,$AB1496)="",12,INDEX(Contracts!$N$2:$N$151,$AB1496))-1),IF(INDEX(Contracts!$I$2:$I$151,$AB1496)="MONTHLY",IF(INDEX(Contracts!$K$2:$K$151,$AB1496)="",2958101,INDEX(Contracts!$K$2:$K$151,$AB1496)),0)),IF($Z1496="A",EDATE(DATE(YEAR(INDEX(Fixed_Assets!$G$2:$G$201,$AB1496)),MONTH(INDEX(Fixed_Assets!$G$2:$G$201,$AB1496)),1),INDEX(Fixed_Assets!$J$2:$J$201,$AB1496)-1),IF($Z1496="F",MIN(IF(INDEX(Workforce!$J$2:$J$151,MATCH(INDEX(FTE_Allocation!$A$2:$A$201,$AB1496),Workforce!$A$2:$A$151,0))="",2958101,INDEX(Workforce!$J$2:$J$151,MATCH(INDEX(FTE_Allocation!$A$2:$A$201,$AB1496),Workforce!$A$2:$A$151,0))),IF(INDEX(FTE_Allocation!$J$2:$J$201,$AB1496)="",2958101,INDEX(FTE_Allocation!$J$2:$J$201,$AB1496))),"")))</f>
        <v/>
      </c>
      <c r="AG1496" s="19">
        <f>IF($Z1496="C",IF(INDEX(Contracts!$I$2:$I$151,$AB1496)="PREPAID",INDEX(Contracts!$M$2:$M$151,$AB1496)/IF(INDEX(Contracts!$N$2:$N$151,$AB1496)="",12,INDEX(Contracts!$N$2:$N$151,$AB1496)),IF(INDEX(Contracts!$I$2:$I$151,$AB1496)="MONTHLY",INDEX(Contracts!$M$2:$M$151,$AB1496),0))*(1-N(INDEX(Contracts!$O$2:$O$151,$AB1496))),IF($Z1496="A",INDEX(Fixed_Assets!$H$2:$H$201,$AB1496)/INDEX(Fixed_Assets!$J$2:$J$201,$AB1496),IF($Z1496="F",INDEX(Workforce!$F$2:$F$151,MATCH(INDEX(FTE_Allocation!$A$2:$A$201,$AB1496),Workforce!$A$2:$A$151,0))*N(INDEX(FTE_Allocation!$F$2:$H$201,$AB1496,$AC1496)),"")))</f>
        <v/>
      </c>
    </row>
    <row r="1497">
      <c r="A1497" s="7">
        <f>IF($Z1497="","",$AD1497)</f>
        <v/>
      </c>
      <c r="B1497" s="7">
        <f>IF($Z1497="C",INDEX(Contracts!$D$2:$D$151,$AB1497)&amp;"",IF($Z1497="A",INDEX(Fixed_Assets!$C$2:$C$201,$AB1497)&amp;"",IF($Z1497="F",INDEX(Workforce!$B$2:$B$151,MATCH(INDEX(FTE_Allocation!$A$2:$A$201,$AB1497),Workforce!$A$2:$A$151,0))&amp;"","")))</f>
        <v/>
      </c>
      <c r="C1497" s="7">
        <f>IF($Z1497="C",INDEX(Contracts!$E$2:$E$151,$AB1497)&amp;"",IF($Z1497="A",INDEX(Fixed_Assets!$D$2:$D$201,$AB1497)&amp;"",IF($Z1497="F",INDEX(FTE_Allocation!$C$2:$C$201,$AB1497)&amp;"","")))</f>
        <v/>
      </c>
      <c r="D1497" s="7">
        <f>IF($Z1497="C",INDEX(Contracts!$B$2:$B$151,$AB1497)&amp;"",IF($Z1497="A",INDEX(Fixed_Assets!$B$2:$B$201,$AB1497)&amp;"",IF($Z1497="F",INDEX(FTE_Allocation!$B$2:$B$201,$AB1497)&amp;"","")))</f>
        <v/>
      </c>
      <c r="E1497" s="7">
        <f>IF($Z1497="C",INDEX(Contracts!$P$2:$P$151,$AB1497)&amp;"",IF($Z1497="A",INDEX(Fixed_Assets!$K$2:$K$201,$AB1497)&amp;"",IF($Z1497="F",IF(INDEX(FTE_Allocation!$D$2:$D$201,$AB1497)="PROJECT",IFERROR(INDEX(Projects!$D:$D,MATCH(INDEX(FTE_Allocation!$E$2:$E$201,$AB1497),Projects!$A:$A,0))&amp;"","#PROJECT?"),INDEX(FTE_Allocation!$E$2:$E$201,$AB1497)&amp;""),"")))</f>
        <v/>
      </c>
      <c r="F1497" s="7">
        <f>IF($Z1497="C",INDEX(Contracts!$Q$2:$Q$151,$AB1497)&amp;"",IF($Z1497="A",INDEX(Fixed_Assets!$L$2:$L$201,$AB1497)&amp;"",IF($Z1497="F",INDEX(Workforce!$K$2:$K$151,MATCH(INDEX(FTE_Allocation!$A$2:$A$201,$AB1497),Workforce!$A$2:$A$151,0))&amp;"","")))</f>
        <v/>
      </c>
      <c r="G1497" s="7">
        <f>IF($Z1497="C",INDEX(Contracts!$F$2:$F$151,$AB1497)&amp;" / "&amp;INDEX(Contracts!$G$2:$G$151,$AB1497),IF($Z1497="A",INDEX(Fixed_Assets!$E$2:$E$201,$AB1497)&amp;"",IF($Z1497="F","Personnel "&amp;INDEX(FTE_Allocation!$A$2:$A$201,$AB1497)&amp;IF(INDEX(FTE_Allocation!$D$2:$D$201,$AB1497)="PROJECT"," ("&amp;INDEX(FTE_Allocation!$E$2:$E$201,$AB1497)&amp;")",""),"")))</f>
        <v/>
      </c>
      <c r="H1497" s="7">
        <f>IF($Z1497="C","CONTRACT",IF($Z1497="A","ASSET",IF($Z1497="F","WORKFORCE","")))</f>
        <v/>
      </c>
      <c r="I1497" s="7">
        <f>IF($Z1497="C",INDEX(Contracts!$L$2:$L$151,$AB1497)&amp;"",IF($Z1497="A",INDEX(Fixed_Assets!$I$2:$I$201,$AB1497)&amp;"",IF($Z1497="F",INDEX(Workforce!$G$2:$G$151,MATCH(INDEX(FTE_Allocation!$A$2:$A$201,$AB1497),Workforce!$A$2:$A$151,0))&amp;"","")))</f>
        <v/>
      </c>
      <c r="J1497" s="18">
        <f>IF($Z1497="","",IF(AND(DATE($AD1497,1,1)&gt;=$AE1497,DATE($AD1497,1,1)&lt;=$AF1497),ROUND($AG1497,2),0))</f>
        <v/>
      </c>
      <c r="K1497" s="18">
        <f>IF($Z1497="","",IF(AND(DATE($AD1497,2,1)&gt;=$AE1497,DATE($AD1497,2,1)&lt;=$AF1497),ROUND($AG1497,2),0))</f>
        <v/>
      </c>
      <c r="L1497" s="18">
        <f>IF($Z1497="","",IF(AND(DATE($AD1497,3,1)&gt;=$AE1497,DATE($AD1497,3,1)&lt;=$AF1497),ROUND($AG1497,2),0))</f>
        <v/>
      </c>
      <c r="M1497" s="18">
        <f>IF($Z1497="","",IF(AND(DATE($AD1497,4,1)&gt;=$AE1497,DATE($AD1497,4,1)&lt;=$AF1497),ROUND($AG1497,2),0))</f>
        <v/>
      </c>
      <c r="N1497" s="18">
        <f>IF($Z1497="","",IF(AND(DATE($AD1497,5,1)&gt;=$AE1497,DATE($AD1497,5,1)&lt;=$AF1497),ROUND($AG1497,2),0))</f>
        <v/>
      </c>
      <c r="O1497" s="18">
        <f>IF($Z1497="","",IF(AND(DATE($AD1497,6,1)&gt;=$AE1497,DATE($AD1497,6,1)&lt;=$AF1497),ROUND($AG1497,2),0))</f>
        <v/>
      </c>
      <c r="P1497" s="18">
        <f>IF($Z1497="","",IF(AND(DATE($AD1497,7,1)&gt;=$AE1497,DATE($AD1497,7,1)&lt;=$AF1497),ROUND($AG1497,2),0))</f>
        <v/>
      </c>
      <c r="Q1497" s="18">
        <f>IF($Z1497="","",IF(AND(DATE($AD1497,8,1)&gt;=$AE1497,DATE($AD1497,8,1)&lt;=$AF1497),ROUND($AG1497,2),0))</f>
        <v/>
      </c>
      <c r="R1497" s="18">
        <f>IF($Z1497="","",IF(AND(DATE($AD1497,9,1)&gt;=$AE1497,DATE($AD1497,9,1)&lt;=$AF1497),ROUND($AG1497,2),0))</f>
        <v/>
      </c>
      <c r="S1497" s="18">
        <f>IF($Z1497="","",IF(AND(DATE($AD1497,10,1)&gt;=$AE1497,DATE($AD1497,10,1)&lt;=$AF1497),ROUND($AG1497,2),0))</f>
        <v/>
      </c>
      <c r="T1497" s="18">
        <f>IF($Z1497="","",IF(AND(DATE($AD1497,11,1)&gt;=$AE1497,DATE($AD1497,11,1)&lt;=$AF1497),ROUND($AG1497,2),0))</f>
        <v/>
      </c>
      <c r="U1497" s="18">
        <f>IF($Z1497="","",IF(AND(DATE($AD1497,12,1)&gt;=$AE1497,DATE($AD1497,12,1)&lt;=$AF1497),ROUND($AG1497,2),0))</f>
        <v/>
      </c>
      <c r="V1497" s="7">
        <f>IF($Z1497="C","Generated from "&amp;INDEX(Contracts!$A$2:$A$151,$AB1497),IF($Z1497="A","Generated from "&amp;INDEX(Fixed_Assets!$A$2:$A$201,$AB1497),IF($Z1497="F","Generated from "&amp;INDEX(FTE_Allocation!$A$2:$A$201,$AB1497),"")))</f>
        <v/>
      </c>
      <c r="X1497" s="19">
        <f>IF($Z1497="","",SUM(J1497:U1497))</f>
        <v/>
      </c>
      <c r="Y1497" s="20">
        <f>ROW()-1</f>
        <v/>
      </c>
      <c r="Z1497" s="20">
        <f>IF($Y1497&lt;=Settings!$B$4*3,"C",IF($Y1497&lt;=(Settings!$B$4+Settings!$B$5)*3,"A",IF($Y1497&lt;=(Settings!$B$4+Settings!$B$5+Settings!$B$6)*3,"F","")))</f>
        <v/>
      </c>
      <c r="AA1497" s="20">
        <f>IF($Z1497="C",$Y1497,IF($Z1497="A",$Y1497-Settings!$B$4*3,IF($Z1497="F",$Y1497-(Settings!$B$4+Settings!$B$5)*3,"")))</f>
        <v/>
      </c>
      <c r="AB1497" s="20">
        <f>IF($Z1497="","",INT(($AA1497-1)/3)+1)</f>
        <v/>
      </c>
      <c r="AC1497" s="20">
        <f>IF($Z1497="","",MOD($AA1497-1,3)+1)</f>
        <v/>
      </c>
      <c r="AD1497" s="20">
        <f>IF($Z1497="","",Settings!$B$2+$AC1497-1)</f>
        <v/>
      </c>
      <c r="AE1497" s="21">
        <f>IF($Z1497="C",DATE(YEAR(INDEX(Contracts!$J$2:$J$151,$AB1497)),MONTH(INDEX(Contracts!$J$2:$J$151,$AB1497)),1),IF($Z1497="A",DATE(YEAR(INDEX(Fixed_Assets!$G$2:$G$201,$AB1497)),MONTH(INDEX(Fixed_Assets!$G$2:$G$201,$AB1497)),1),IF($Z1497="F",DATE(YEAR(MAX(N(INDEX(Workforce!$I$2:$I$151,MATCH(INDEX(FTE_Allocation!$A$2:$A$201,$AB1497),Workforce!$A$2:$A$151,0))),N(INDEX(FTE_Allocation!$I$2:$I$201,$AB1497)))),MONTH(MAX(N(INDEX(Workforce!$I$2:$I$151,MATCH(INDEX(FTE_Allocation!$A$2:$A$201,$AB1497),Workforce!$A$2:$A$151,0))),N(INDEX(FTE_Allocation!$I$2:$I$201,$AB1497)))),1),"")))</f>
        <v/>
      </c>
      <c r="AF1497" s="21">
        <f>IF($Z1497="C",IF(INDEX(Contracts!$I$2:$I$151,$AB1497)="PREPAID",EDATE(DATE(YEAR(INDEX(Contracts!$J$2:$J$151,$AB1497)),MONTH(INDEX(Contracts!$J$2:$J$151,$AB1497)),1),IF(INDEX(Contracts!$N$2:$N$151,$AB1497)="",12,INDEX(Contracts!$N$2:$N$151,$AB1497))-1),IF(INDEX(Contracts!$I$2:$I$151,$AB1497)="MONTHLY",IF(INDEX(Contracts!$K$2:$K$151,$AB1497)="",2958101,INDEX(Contracts!$K$2:$K$151,$AB1497)),0)),IF($Z1497="A",EDATE(DATE(YEAR(INDEX(Fixed_Assets!$G$2:$G$201,$AB1497)),MONTH(INDEX(Fixed_Assets!$G$2:$G$201,$AB1497)),1),INDEX(Fixed_Assets!$J$2:$J$201,$AB1497)-1),IF($Z1497="F",MIN(IF(INDEX(Workforce!$J$2:$J$151,MATCH(INDEX(FTE_Allocation!$A$2:$A$201,$AB1497),Workforce!$A$2:$A$151,0))="",2958101,INDEX(Workforce!$J$2:$J$151,MATCH(INDEX(FTE_Allocation!$A$2:$A$201,$AB1497),Workforce!$A$2:$A$151,0))),IF(INDEX(FTE_Allocation!$J$2:$J$201,$AB1497)="",2958101,INDEX(FTE_Allocation!$J$2:$J$201,$AB1497))),"")))</f>
        <v/>
      </c>
      <c r="AG1497" s="19">
        <f>IF($Z1497="C",IF(INDEX(Contracts!$I$2:$I$151,$AB1497)="PREPAID",INDEX(Contracts!$M$2:$M$151,$AB1497)/IF(INDEX(Contracts!$N$2:$N$151,$AB1497)="",12,INDEX(Contracts!$N$2:$N$151,$AB1497)),IF(INDEX(Contracts!$I$2:$I$151,$AB1497)="MONTHLY",INDEX(Contracts!$M$2:$M$151,$AB1497),0))*(1-N(INDEX(Contracts!$O$2:$O$151,$AB1497))),IF($Z1497="A",INDEX(Fixed_Assets!$H$2:$H$201,$AB1497)/INDEX(Fixed_Assets!$J$2:$J$201,$AB1497),IF($Z1497="F",INDEX(Workforce!$F$2:$F$151,MATCH(INDEX(FTE_Allocation!$A$2:$A$201,$AB1497),Workforce!$A$2:$A$151,0))*N(INDEX(FTE_Allocation!$F$2:$H$201,$AB1497,$AC1497)),"")))</f>
        <v/>
      </c>
    </row>
    <row r="1498">
      <c r="A1498" s="7">
        <f>IF($Z1498="","",$AD1498)</f>
        <v/>
      </c>
      <c r="B1498" s="7">
        <f>IF($Z1498="C",INDEX(Contracts!$D$2:$D$151,$AB1498)&amp;"",IF($Z1498="A",INDEX(Fixed_Assets!$C$2:$C$201,$AB1498)&amp;"",IF($Z1498="F",INDEX(Workforce!$B$2:$B$151,MATCH(INDEX(FTE_Allocation!$A$2:$A$201,$AB1498),Workforce!$A$2:$A$151,0))&amp;"","")))</f>
        <v/>
      </c>
      <c r="C1498" s="7">
        <f>IF($Z1498="C",INDEX(Contracts!$E$2:$E$151,$AB1498)&amp;"",IF($Z1498="A",INDEX(Fixed_Assets!$D$2:$D$201,$AB1498)&amp;"",IF($Z1498="F",INDEX(FTE_Allocation!$C$2:$C$201,$AB1498)&amp;"","")))</f>
        <v/>
      </c>
      <c r="D1498" s="7">
        <f>IF($Z1498="C",INDEX(Contracts!$B$2:$B$151,$AB1498)&amp;"",IF($Z1498="A",INDEX(Fixed_Assets!$B$2:$B$201,$AB1498)&amp;"",IF($Z1498="F",INDEX(FTE_Allocation!$B$2:$B$201,$AB1498)&amp;"","")))</f>
        <v/>
      </c>
      <c r="E1498" s="7">
        <f>IF($Z1498="C",INDEX(Contracts!$P$2:$P$151,$AB1498)&amp;"",IF($Z1498="A",INDEX(Fixed_Assets!$K$2:$K$201,$AB1498)&amp;"",IF($Z1498="F",IF(INDEX(FTE_Allocation!$D$2:$D$201,$AB1498)="PROJECT",IFERROR(INDEX(Projects!$D:$D,MATCH(INDEX(FTE_Allocation!$E$2:$E$201,$AB1498),Projects!$A:$A,0))&amp;"","#PROJECT?"),INDEX(FTE_Allocation!$E$2:$E$201,$AB1498)&amp;""),"")))</f>
        <v/>
      </c>
      <c r="F1498" s="7">
        <f>IF($Z1498="C",INDEX(Contracts!$Q$2:$Q$151,$AB1498)&amp;"",IF($Z1498="A",INDEX(Fixed_Assets!$L$2:$L$201,$AB1498)&amp;"",IF($Z1498="F",INDEX(Workforce!$K$2:$K$151,MATCH(INDEX(FTE_Allocation!$A$2:$A$201,$AB1498),Workforce!$A$2:$A$151,0))&amp;"","")))</f>
        <v/>
      </c>
      <c r="G1498" s="7">
        <f>IF($Z1498="C",INDEX(Contracts!$F$2:$F$151,$AB1498)&amp;" / "&amp;INDEX(Contracts!$G$2:$G$151,$AB1498),IF($Z1498="A",INDEX(Fixed_Assets!$E$2:$E$201,$AB1498)&amp;"",IF($Z1498="F","Personnel "&amp;INDEX(FTE_Allocation!$A$2:$A$201,$AB1498)&amp;IF(INDEX(FTE_Allocation!$D$2:$D$201,$AB1498)="PROJECT"," ("&amp;INDEX(FTE_Allocation!$E$2:$E$201,$AB1498)&amp;")",""),"")))</f>
        <v/>
      </c>
      <c r="H1498" s="7">
        <f>IF($Z1498="C","CONTRACT",IF($Z1498="A","ASSET",IF($Z1498="F","WORKFORCE","")))</f>
        <v/>
      </c>
      <c r="I1498" s="7">
        <f>IF($Z1498="C",INDEX(Contracts!$L$2:$L$151,$AB1498)&amp;"",IF($Z1498="A",INDEX(Fixed_Assets!$I$2:$I$201,$AB1498)&amp;"",IF($Z1498="F",INDEX(Workforce!$G$2:$G$151,MATCH(INDEX(FTE_Allocation!$A$2:$A$201,$AB1498),Workforce!$A$2:$A$151,0))&amp;"","")))</f>
        <v/>
      </c>
      <c r="J1498" s="18">
        <f>IF($Z1498="","",IF(AND(DATE($AD1498,1,1)&gt;=$AE1498,DATE($AD1498,1,1)&lt;=$AF1498),ROUND($AG1498,2),0))</f>
        <v/>
      </c>
      <c r="K1498" s="18">
        <f>IF($Z1498="","",IF(AND(DATE($AD1498,2,1)&gt;=$AE1498,DATE($AD1498,2,1)&lt;=$AF1498),ROUND($AG1498,2),0))</f>
        <v/>
      </c>
      <c r="L1498" s="18">
        <f>IF($Z1498="","",IF(AND(DATE($AD1498,3,1)&gt;=$AE1498,DATE($AD1498,3,1)&lt;=$AF1498),ROUND($AG1498,2),0))</f>
        <v/>
      </c>
      <c r="M1498" s="18">
        <f>IF($Z1498="","",IF(AND(DATE($AD1498,4,1)&gt;=$AE1498,DATE($AD1498,4,1)&lt;=$AF1498),ROUND($AG1498,2),0))</f>
        <v/>
      </c>
      <c r="N1498" s="18">
        <f>IF($Z1498="","",IF(AND(DATE($AD1498,5,1)&gt;=$AE1498,DATE($AD1498,5,1)&lt;=$AF1498),ROUND($AG1498,2),0))</f>
        <v/>
      </c>
      <c r="O1498" s="18">
        <f>IF($Z1498="","",IF(AND(DATE($AD1498,6,1)&gt;=$AE1498,DATE($AD1498,6,1)&lt;=$AF1498),ROUND($AG1498,2),0))</f>
        <v/>
      </c>
      <c r="P1498" s="18">
        <f>IF($Z1498="","",IF(AND(DATE($AD1498,7,1)&gt;=$AE1498,DATE($AD1498,7,1)&lt;=$AF1498),ROUND($AG1498,2),0))</f>
        <v/>
      </c>
      <c r="Q1498" s="18">
        <f>IF($Z1498="","",IF(AND(DATE($AD1498,8,1)&gt;=$AE1498,DATE($AD1498,8,1)&lt;=$AF1498),ROUND($AG1498,2),0))</f>
        <v/>
      </c>
      <c r="R1498" s="18">
        <f>IF($Z1498="","",IF(AND(DATE($AD1498,9,1)&gt;=$AE1498,DATE($AD1498,9,1)&lt;=$AF1498),ROUND($AG1498,2),0))</f>
        <v/>
      </c>
      <c r="S1498" s="18">
        <f>IF($Z1498="","",IF(AND(DATE($AD1498,10,1)&gt;=$AE1498,DATE($AD1498,10,1)&lt;=$AF1498),ROUND($AG1498,2),0))</f>
        <v/>
      </c>
      <c r="T1498" s="18">
        <f>IF($Z1498="","",IF(AND(DATE($AD1498,11,1)&gt;=$AE1498,DATE($AD1498,11,1)&lt;=$AF1498),ROUND($AG1498,2),0))</f>
        <v/>
      </c>
      <c r="U1498" s="18">
        <f>IF($Z1498="","",IF(AND(DATE($AD1498,12,1)&gt;=$AE1498,DATE($AD1498,12,1)&lt;=$AF1498),ROUND($AG1498,2),0))</f>
        <v/>
      </c>
      <c r="V1498" s="7">
        <f>IF($Z1498="C","Generated from "&amp;INDEX(Contracts!$A$2:$A$151,$AB1498),IF($Z1498="A","Generated from "&amp;INDEX(Fixed_Assets!$A$2:$A$201,$AB1498),IF($Z1498="F","Generated from "&amp;INDEX(FTE_Allocation!$A$2:$A$201,$AB1498),"")))</f>
        <v/>
      </c>
      <c r="X1498" s="19">
        <f>IF($Z1498="","",SUM(J1498:U1498))</f>
        <v/>
      </c>
      <c r="Y1498" s="20">
        <f>ROW()-1</f>
        <v/>
      </c>
      <c r="Z1498" s="20">
        <f>IF($Y1498&lt;=Settings!$B$4*3,"C",IF($Y1498&lt;=(Settings!$B$4+Settings!$B$5)*3,"A",IF($Y1498&lt;=(Settings!$B$4+Settings!$B$5+Settings!$B$6)*3,"F","")))</f>
        <v/>
      </c>
      <c r="AA1498" s="20">
        <f>IF($Z1498="C",$Y1498,IF($Z1498="A",$Y1498-Settings!$B$4*3,IF($Z1498="F",$Y1498-(Settings!$B$4+Settings!$B$5)*3,"")))</f>
        <v/>
      </c>
      <c r="AB1498" s="20">
        <f>IF($Z1498="","",INT(($AA1498-1)/3)+1)</f>
        <v/>
      </c>
      <c r="AC1498" s="20">
        <f>IF($Z1498="","",MOD($AA1498-1,3)+1)</f>
        <v/>
      </c>
      <c r="AD1498" s="20">
        <f>IF($Z1498="","",Settings!$B$2+$AC1498-1)</f>
        <v/>
      </c>
      <c r="AE1498" s="21">
        <f>IF($Z1498="C",DATE(YEAR(INDEX(Contracts!$J$2:$J$151,$AB1498)),MONTH(INDEX(Contracts!$J$2:$J$151,$AB1498)),1),IF($Z1498="A",DATE(YEAR(INDEX(Fixed_Assets!$G$2:$G$201,$AB1498)),MONTH(INDEX(Fixed_Assets!$G$2:$G$201,$AB1498)),1),IF($Z1498="F",DATE(YEAR(MAX(N(INDEX(Workforce!$I$2:$I$151,MATCH(INDEX(FTE_Allocation!$A$2:$A$201,$AB1498),Workforce!$A$2:$A$151,0))),N(INDEX(FTE_Allocation!$I$2:$I$201,$AB1498)))),MONTH(MAX(N(INDEX(Workforce!$I$2:$I$151,MATCH(INDEX(FTE_Allocation!$A$2:$A$201,$AB1498),Workforce!$A$2:$A$151,0))),N(INDEX(FTE_Allocation!$I$2:$I$201,$AB1498)))),1),"")))</f>
        <v/>
      </c>
      <c r="AF1498" s="21">
        <f>IF($Z1498="C",IF(INDEX(Contracts!$I$2:$I$151,$AB1498)="PREPAID",EDATE(DATE(YEAR(INDEX(Contracts!$J$2:$J$151,$AB1498)),MONTH(INDEX(Contracts!$J$2:$J$151,$AB1498)),1),IF(INDEX(Contracts!$N$2:$N$151,$AB1498)="",12,INDEX(Contracts!$N$2:$N$151,$AB1498))-1),IF(INDEX(Contracts!$I$2:$I$151,$AB1498)="MONTHLY",IF(INDEX(Contracts!$K$2:$K$151,$AB1498)="",2958101,INDEX(Contracts!$K$2:$K$151,$AB1498)),0)),IF($Z1498="A",EDATE(DATE(YEAR(INDEX(Fixed_Assets!$G$2:$G$201,$AB1498)),MONTH(INDEX(Fixed_Assets!$G$2:$G$201,$AB1498)),1),INDEX(Fixed_Assets!$J$2:$J$201,$AB1498)-1),IF($Z1498="F",MIN(IF(INDEX(Workforce!$J$2:$J$151,MATCH(INDEX(FTE_Allocation!$A$2:$A$201,$AB1498),Workforce!$A$2:$A$151,0))="",2958101,INDEX(Workforce!$J$2:$J$151,MATCH(INDEX(FTE_Allocation!$A$2:$A$201,$AB1498),Workforce!$A$2:$A$151,0))),IF(INDEX(FTE_Allocation!$J$2:$J$201,$AB1498)="",2958101,INDEX(FTE_Allocation!$J$2:$J$201,$AB1498))),"")))</f>
        <v/>
      </c>
      <c r="AG1498" s="19">
        <f>IF($Z1498="C",IF(INDEX(Contracts!$I$2:$I$151,$AB1498)="PREPAID",INDEX(Contracts!$M$2:$M$151,$AB1498)/IF(INDEX(Contracts!$N$2:$N$151,$AB1498)="",12,INDEX(Contracts!$N$2:$N$151,$AB1498)),IF(INDEX(Contracts!$I$2:$I$151,$AB1498)="MONTHLY",INDEX(Contracts!$M$2:$M$151,$AB1498),0))*(1-N(INDEX(Contracts!$O$2:$O$151,$AB1498))),IF($Z1498="A",INDEX(Fixed_Assets!$H$2:$H$201,$AB1498)/INDEX(Fixed_Assets!$J$2:$J$201,$AB1498),IF($Z1498="F",INDEX(Workforce!$F$2:$F$151,MATCH(INDEX(FTE_Allocation!$A$2:$A$201,$AB1498),Workforce!$A$2:$A$151,0))*N(INDEX(FTE_Allocation!$F$2:$H$201,$AB1498,$AC1498)),"")))</f>
        <v/>
      </c>
    </row>
    <row r="1499">
      <c r="A1499" s="7">
        <f>IF($Z1499="","",$AD1499)</f>
        <v/>
      </c>
      <c r="B1499" s="7">
        <f>IF($Z1499="C",INDEX(Contracts!$D$2:$D$151,$AB1499)&amp;"",IF($Z1499="A",INDEX(Fixed_Assets!$C$2:$C$201,$AB1499)&amp;"",IF($Z1499="F",INDEX(Workforce!$B$2:$B$151,MATCH(INDEX(FTE_Allocation!$A$2:$A$201,$AB1499),Workforce!$A$2:$A$151,0))&amp;"","")))</f>
        <v/>
      </c>
      <c r="C1499" s="7">
        <f>IF($Z1499="C",INDEX(Contracts!$E$2:$E$151,$AB1499)&amp;"",IF($Z1499="A",INDEX(Fixed_Assets!$D$2:$D$201,$AB1499)&amp;"",IF($Z1499="F",INDEX(FTE_Allocation!$C$2:$C$201,$AB1499)&amp;"","")))</f>
        <v/>
      </c>
      <c r="D1499" s="7">
        <f>IF($Z1499="C",INDEX(Contracts!$B$2:$B$151,$AB1499)&amp;"",IF($Z1499="A",INDEX(Fixed_Assets!$B$2:$B$201,$AB1499)&amp;"",IF($Z1499="F",INDEX(FTE_Allocation!$B$2:$B$201,$AB1499)&amp;"","")))</f>
        <v/>
      </c>
      <c r="E1499" s="7">
        <f>IF($Z1499="C",INDEX(Contracts!$P$2:$P$151,$AB1499)&amp;"",IF($Z1499="A",INDEX(Fixed_Assets!$K$2:$K$201,$AB1499)&amp;"",IF($Z1499="F",IF(INDEX(FTE_Allocation!$D$2:$D$201,$AB1499)="PROJECT",IFERROR(INDEX(Projects!$D:$D,MATCH(INDEX(FTE_Allocation!$E$2:$E$201,$AB1499),Projects!$A:$A,0))&amp;"","#PROJECT?"),INDEX(FTE_Allocation!$E$2:$E$201,$AB1499)&amp;""),"")))</f>
        <v/>
      </c>
      <c r="F1499" s="7">
        <f>IF($Z1499="C",INDEX(Contracts!$Q$2:$Q$151,$AB1499)&amp;"",IF($Z1499="A",INDEX(Fixed_Assets!$L$2:$L$201,$AB1499)&amp;"",IF($Z1499="F",INDEX(Workforce!$K$2:$K$151,MATCH(INDEX(FTE_Allocation!$A$2:$A$201,$AB1499),Workforce!$A$2:$A$151,0))&amp;"","")))</f>
        <v/>
      </c>
      <c r="G1499" s="7">
        <f>IF($Z1499="C",INDEX(Contracts!$F$2:$F$151,$AB1499)&amp;" / "&amp;INDEX(Contracts!$G$2:$G$151,$AB1499),IF($Z1499="A",INDEX(Fixed_Assets!$E$2:$E$201,$AB1499)&amp;"",IF($Z1499="F","Personnel "&amp;INDEX(FTE_Allocation!$A$2:$A$201,$AB1499)&amp;IF(INDEX(FTE_Allocation!$D$2:$D$201,$AB1499)="PROJECT"," ("&amp;INDEX(FTE_Allocation!$E$2:$E$201,$AB1499)&amp;")",""),"")))</f>
        <v/>
      </c>
      <c r="H1499" s="7">
        <f>IF($Z1499="C","CONTRACT",IF($Z1499="A","ASSET",IF($Z1499="F","WORKFORCE","")))</f>
        <v/>
      </c>
      <c r="I1499" s="7">
        <f>IF($Z1499="C",INDEX(Contracts!$L$2:$L$151,$AB1499)&amp;"",IF($Z1499="A",INDEX(Fixed_Assets!$I$2:$I$201,$AB1499)&amp;"",IF($Z1499="F",INDEX(Workforce!$G$2:$G$151,MATCH(INDEX(FTE_Allocation!$A$2:$A$201,$AB1499),Workforce!$A$2:$A$151,0))&amp;"","")))</f>
        <v/>
      </c>
      <c r="J1499" s="18">
        <f>IF($Z1499="","",IF(AND(DATE($AD1499,1,1)&gt;=$AE1499,DATE($AD1499,1,1)&lt;=$AF1499),ROUND($AG1499,2),0))</f>
        <v/>
      </c>
      <c r="K1499" s="18">
        <f>IF($Z1499="","",IF(AND(DATE($AD1499,2,1)&gt;=$AE1499,DATE($AD1499,2,1)&lt;=$AF1499),ROUND($AG1499,2),0))</f>
        <v/>
      </c>
      <c r="L1499" s="18">
        <f>IF($Z1499="","",IF(AND(DATE($AD1499,3,1)&gt;=$AE1499,DATE($AD1499,3,1)&lt;=$AF1499),ROUND($AG1499,2),0))</f>
        <v/>
      </c>
      <c r="M1499" s="18">
        <f>IF($Z1499="","",IF(AND(DATE($AD1499,4,1)&gt;=$AE1499,DATE($AD1499,4,1)&lt;=$AF1499),ROUND($AG1499,2),0))</f>
        <v/>
      </c>
      <c r="N1499" s="18">
        <f>IF($Z1499="","",IF(AND(DATE($AD1499,5,1)&gt;=$AE1499,DATE($AD1499,5,1)&lt;=$AF1499),ROUND($AG1499,2),0))</f>
        <v/>
      </c>
      <c r="O1499" s="18">
        <f>IF($Z1499="","",IF(AND(DATE($AD1499,6,1)&gt;=$AE1499,DATE($AD1499,6,1)&lt;=$AF1499),ROUND($AG1499,2),0))</f>
        <v/>
      </c>
      <c r="P1499" s="18">
        <f>IF($Z1499="","",IF(AND(DATE($AD1499,7,1)&gt;=$AE1499,DATE($AD1499,7,1)&lt;=$AF1499),ROUND($AG1499,2),0))</f>
        <v/>
      </c>
      <c r="Q1499" s="18">
        <f>IF($Z1499="","",IF(AND(DATE($AD1499,8,1)&gt;=$AE1499,DATE($AD1499,8,1)&lt;=$AF1499),ROUND($AG1499,2),0))</f>
        <v/>
      </c>
      <c r="R1499" s="18">
        <f>IF($Z1499="","",IF(AND(DATE($AD1499,9,1)&gt;=$AE1499,DATE($AD1499,9,1)&lt;=$AF1499),ROUND($AG1499,2),0))</f>
        <v/>
      </c>
      <c r="S1499" s="18">
        <f>IF($Z1499="","",IF(AND(DATE($AD1499,10,1)&gt;=$AE1499,DATE($AD1499,10,1)&lt;=$AF1499),ROUND($AG1499,2),0))</f>
        <v/>
      </c>
      <c r="T1499" s="18">
        <f>IF($Z1499="","",IF(AND(DATE($AD1499,11,1)&gt;=$AE1499,DATE($AD1499,11,1)&lt;=$AF1499),ROUND($AG1499,2),0))</f>
        <v/>
      </c>
      <c r="U1499" s="18">
        <f>IF($Z1499="","",IF(AND(DATE($AD1499,12,1)&gt;=$AE1499,DATE($AD1499,12,1)&lt;=$AF1499),ROUND($AG1499,2),0))</f>
        <v/>
      </c>
      <c r="V1499" s="7">
        <f>IF($Z1499="C","Generated from "&amp;INDEX(Contracts!$A$2:$A$151,$AB1499),IF($Z1499="A","Generated from "&amp;INDEX(Fixed_Assets!$A$2:$A$201,$AB1499),IF($Z1499="F","Generated from "&amp;INDEX(FTE_Allocation!$A$2:$A$201,$AB1499),"")))</f>
        <v/>
      </c>
      <c r="X1499" s="19">
        <f>IF($Z1499="","",SUM(J1499:U1499))</f>
        <v/>
      </c>
      <c r="Y1499" s="20">
        <f>ROW()-1</f>
        <v/>
      </c>
      <c r="Z1499" s="20">
        <f>IF($Y1499&lt;=Settings!$B$4*3,"C",IF($Y1499&lt;=(Settings!$B$4+Settings!$B$5)*3,"A",IF($Y1499&lt;=(Settings!$B$4+Settings!$B$5+Settings!$B$6)*3,"F","")))</f>
        <v/>
      </c>
      <c r="AA1499" s="20">
        <f>IF($Z1499="C",$Y1499,IF($Z1499="A",$Y1499-Settings!$B$4*3,IF($Z1499="F",$Y1499-(Settings!$B$4+Settings!$B$5)*3,"")))</f>
        <v/>
      </c>
      <c r="AB1499" s="20">
        <f>IF($Z1499="","",INT(($AA1499-1)/3)+1)</f>
        <v/>
      </c>
      <c r="AC1499" s="20">
        <f>IF($Z1499="","",MOD($AA1499-1,3)+1)</f>
        <v/>
      </c>
      <c r="AD1499" s="20">
        <f>IF($Z1499="","",Settings!$B$2+$AC1499-1)</f>
        <v/>
      </c>
      <c r="AE1499" s="21">
        <f>IF($Z1499="C",DATE(YEAR(INDEX(Contracts!$J$2:$J$151,$AB1499)),MONTH(INDEX(Contracts!$J$2:$J$151,$AB1499)),1),IF($Z1499="A",DATE(YEAR(INDEX(Fixed_Assets!$G$2:$G$201,$AB1499)),MONTH(INDEX(Fixed_Assets!$G$2:$G$201,$AB1499)),1),IF($Z1499="F",DATE(YEAR(MAX(N(INDEX(Workforce!$I$2:$I$151,MATCH(INDEX(FTE_Allocation!$A$2:$A$201,$AB1499),Workforce!$A$2:$A$151,0))),N(INDEX(FTE_Allocation!$I$2:$I$201,$AB1499)))),MONTH(MAX(N(INDEX(Workforce!$I$2:$I$151,MATCH(INDEX(FTE_Allocation!$A$2:$A$201,$AB1499),Workforce!$A$2:$A$151,0))),N(INDEX(FTE_Allocation!$I$2:$I$201,$AB1499)))),1),"")))</f>
        <v/>
      </c>
      <c r="AF1499" s="21">
        <f>IF($Z1499="C",IF(INDEX(Contracts!$I$2:$I$151,$AB1499)="PREPAID",EDATE(DATE(YEAR(INDEX(Contracts!$J$2:$J$151,$AB1499)),MONTH(INDEX(Contracts!$J$2:$J$151,$AB1499)),1),IF(INDEX(Contracts!$N$2:$N$151,$AB1499)="",12,INDEX(Contracts!$N$2:$N$151,$AB1499))-1),IF(INDEX(Contracts!$I$2:$I$151,$AB1499)="MONTHLY",IF(INDEX(Contracts!$K$2:$K$151,$AB1499)="",2958101,INDEX(Contracts!$K$2:$K$151,$AB1499)),0)),IF($Z1499="A",EDATE(DATE(YEAR(INDEX(Fixed_Assets!$G$2:$G$201,$AB1499)),MONTH(INDEX(Fixed_Assets!$G$2:$G$201,$AB1499)),1),INDEX(Fixed_Assets!$J$2:$J$201,$AB1499)-1),IF($Z1499="F",MIN(IF(INDEX(Workforce!$J$2:$J$151,MATCH(INDEX(FTE_Allocation!$A$2:$A$201,$AB1499),Workforce!$A$2:$A$151,0))="",2958101,INDEX(Workforce!$J$2:$J$151,MATCH(INDEX(FTE_Allocation!$A$2:$A$201,$AB1499),Workforce!$A$2:$A$151,0))),IF(INDEX(FTE_Allocation!$J$2:$J$201,$AB1499)="",2958101,INDEX(FTE_Allocation!$J$2:$J$201,$AB1499))),"")))</f>
        <v/>
      </c>
      <c r="AG1499" s="19">
        <f>IF($Z1499="C",IF(INDEX(Contracts!$I$2:$I$151,$AB1499)="PREPAID",INDEX(Contracts!$M$2:$M$151,$AB1499)/IF(INDEX(Contracts!$N$2:$N$151,$AB1499)="",12,INDEX(Contracts!$N$2:$N$151,$AB1499)),IF(INDEX(Contracts!$I$2:$I$151,$AB1499)="MONTHLY",INDEX(Contracts!$M$2:$M$151,$AB1499),0))*(1-N(INDEX(Contracts!$O$2:$O$151,$AB1499))),IF($Z1499="A",INDEX(Fixed_Assets!$H$2:$H$201,$AB1499)/INDEX(Fixed_Assets!$J$2:$J$201,$AB1499),IF($Z1499="F",INDEX(Workforce!$F$2:$F$151,MATCH(INDEX(FTE_Allocation!$A$2:$A$201,$AB1499),Workforce!$A$2:$A$151,0))*N(INDEX(FTE_Allocation!$F$2:$H$201,$AB1499,$AC1499)),"")))</f>
        <v/>
      </c>
    </row>
    <row r="1500">
      <c r="A1500" s="7">
        <f>IF($Z1500="","",$AD1500)</f>
        <v/>
      </c>
      <c r="B1500" s="7">
        <f>IF($Z1500="C",INDEX(Contracts!$D$2:$D$151,$AB1500)&amp;"",IF($Z1500="A",INDEX(Fixed_Assets!$C$2:$C$201,$AB1500)&amp;"",IF($Z1500="F",INDEX(Workforce!$B$2:$B$151,MATCH(INDEX(FTE_Allocation!$A$2:$A$201,$AB1500),Workforce!$A$2:$A$151,0))&amp;"","")))</f>
        <v/>
      </c>
      <c r="C1500" s="7">
        <f>IF($Z1500="C",INDEX(Contracts!$E$2:$E$151,$AB1500)&amp;"",IF($Z1500="A",INDEX(Fixed_Assets!$D$2:$D$201,$AB1500)&amp;"",IF($Z1500="F",INDEX(FTE_Allocation!$C$2:$C$201,$AB1500)&amp;"","")))</f>
        <v/>
      </c>
      <c r="D1500" s="7">
        <f>IF($Z1500="C",INDEX(Contracts!$B$2:$B$151,$AB1500)&amp;"",IF($Z1500="A",INDEX(Fixed_Assets!$B$2:$B$201,$AB1500)&amp;"",IF($Z1500="F",INDEX(FTE_Allocation!$B$2:$B$201,$AB1500)&amp;"","")))</f>
        <v/>
      </c>
      <c r="E1500" s="7">
        <f>IF($Z1500="C",INDEX(Contracts!$P$2:$P$151,$AB1500)&amp;"",IF($Z1500="A",INDEX(Fixed_Assets!$K$2:$K$201,$AB1500)&amp;"",IF($Z1500="F",IF(INDEX(FTE_Allocation!$D$2:$D$201,$AB1500)="PROJECT",IFERROR(INDEX(Projects!$D:$D,MATCH(INDEX(FTE_Allocation!$E$2:$E$201,$AB1500),Projects!$A:$A,0))&amp;"","#PROJECT?"),INDEX(FTE_Allocation!$E$2:$E$201,$AB1500)&amp;""),"")))</f>
        <v/>
      </c>
      <c r="F1500" s="7">
        <f>IF($Z1500="C",INDEX(Contracts!$Q$2:$Q$151,$AB1500)&amp;"",IF($Z1500="A",INDEX(Fixed_Assets!$L$2:$L$201,$AB1500)&amp;"",IF($Z1500="F",INDEX(Workforce!$K$2:$K$151,MATCH(INDEX(FTE_Allocation!$A$2:$A$201,$AB1500),Workforce!$A$2:$A$151,0))&amp;"","")))</f>
        <v/>
      </c>
      <c r="G1500" s="7">
        <f>IF($Z1500="C",INDEX(Contracts!$F$2:$F$151,$AB1500)&amp;" / "&amp;INDEX(Contracts!$G$2:$G$151,$AB1500),IF($Z1500="A",INDEX(Fixed_Assets!$E$2:$E$201,$AB1500)&amp;"",IF($Z1500="F","Personnel "&amp;INDEX(FTE_Allocation!$A$2:$A$201,$AB1500)&amp;IF(INDEX(FTE_Allocation!$D$2:$D$201,$AB1500)="PROJECT"," ("&amp;INDEX(FTE_Allocation!$E$2:$E$201,$AB1500)&amp;")",""),"")))</f>
        <v/>
      </c>
      <c r="H1500" s="7">
        <f>IF($Z1500="C","CONTRACT",IF($Z1500="A","ASSET",IF($Z1500="F","WORKFORCE","")))</f>
        <v/>
      </c>
      <c r="I1500" s="7">
        <f>IF($Z1500="C",INDEX(Contracts!$L$2:$L$151,$AB1500)&amp;"",IF($Z1500="A",INDEX(Fixed_Assets!$I$2:$I$201,$AB1500)&amp;"",IF($Z1500="F",INDEX(Workforce!$G$2:$G$151,MATCH(INDEX(FTE_Allocation!$A$2:$A$201,$AB1500),Workforce!$A$2:$A$151,0))&amp;"","")))</f>
        <v/>
      </c>
      <c r="J1500" s="18">
        <f>IF($Z1500="","",IF(AND(DATE($AD1500,1,1)&gt;=$AE1500,DATE($AD1500,1,1)&lt;=$AF1500),ROUND($AG1500,2),0))</f>
        <v/>
      </c>
      <c r="K1500" s="18">
        <f>IF($Z1500="","",IF(AND(DATE($AD1500,2,1)&gt;=$AE1500,DATE($AD1500,2,1)&lt;=$AF1500),ROUND($AG1500,2),0))</f>
        <v/>
      </c>
      <c r="L1500" s="18">
        <f>IF($Z1500="","",IF(AND(DATE($AD1500,3,1)&gt;=$AE1500,DATE($AD1500,3,1)&lt;=$AF1500),ROUND($AG1500,2),0))</f>
        <v/>
      </c>
      <c r="M1500" s="18">
        <f>IF($Z1500="","",IF(AND(DATE($AD1500,4,1)&gt;=$AE1500,DATE($AD1500,4,1)&lt;=$AF1500),ROUND($AG1500,2),0))</f>
        <v/>
      </c>
      <c r="N1500" s="18">
        <f>IF($Z1500="","",IF(AND(DATE($AD1500,5,1)&gt;=$AE1500,DATE($AD1500,5,1)&lt;=$AF1500),ROUND($AG1500,2),0))</f>
        <v/>
      </c>
      <c r="O1500" s="18">
        <f>IF($Z1500="","",IF(AND(DATE($AD1500,6,1)&gt;=$AE1500,DATE($AD1500,6,1)&lt;=$AF1500),ROUND($AG1500,2),0))</f>
        <v/>
      </c>
      <c r="P1500" s="18">
        <f>IF($Z1500="","",IF(AND(DATE($AD1500,7,1)&gt;=$AE1500,DATE($AD1500,7,1)&lt;=$AF1500),ROUND($AG1500,2),0))</f>
        <v/>
      </c>
      <c r="Q1500" s="18">
        <f>IF($Z1500="","",IF(AND(DATE($AD1500,8,1)&gt;=$AE1500,DATE($AD1500,8,1)&lt;=$AF1500),ROUND($AG1500,2),0))</f>
        <v/>
      </c>
      <c r="R1500" s="18">
        <f>IF($Z1500="","",IF(AND(DATE($AD1500,9,1)&gt;=$AE1500,DATE($AD1500,9,1)&lt;=$AF1500),ROUND($AG1500,2),0))</f>
        <v/>
      </c>
      <c r="S1500" s="18">
        <f>IF($Z1500="","",IF(AND(DATE($AD1500,10,1)&gt;=$AE1500,DATE($AD1500,10,1)&lt;=$AF1500),ROUND($AG1500,2),0))</f>
        <v/>
      </c>
      <c r="T1500" s="18">
        <f>IF($Z1500="","",IF(AND(DATE($AD1500,11,1)&gt;=$AE1500,DATE($AD1500,11,1)&lt;=$AF1500),ROUND($AG1500,2),0))</f>
        <v/>
      </c>
      <c r="U1500" s="18">
        <f>IF($Z1500="","",IF(AND(DATE($AD1500,12,1)&gt;=$AE1500,DATE($AD1500,12,1)&lt;=$AF1500),ROUND($AG1500,2),0))</f>
        <v/>
      </c>
      <c r="V1500" s="7">
        <f>IF($Z1500="C","Generated from "&amp;INDEX(Contracts!$A$2:$A$151,$AB1500),IF($Z1500="A","Generated from "&amp;INDEX(Fixed_Assets!$A$2:$A$201,$AB1500),IF($Z1500="F","Generated from "&amp;INDEX(FTE_Allocation!$A$2:$A$201,$AB1500),"")))</f>
        <v/>
      </c>
      <c r="X1500" s="19">
        <f>IF($Z1500="","",SUM(J1500:U1500))</f>
        <v/>
      </c>
      <c r="Y1500" s="20">
        <f>ROW()-1</f>
        <v/>
      </c>
      <c r="Z1500" s="20">
        <f>IF($Y1500&lt;=Settings!$B$4*3,"C",IF($Y1500&lt;=(Settings!$B$4+Settings!$B$5)*3,"A",IF($Y1500&lt;=(Settings!$B$4+Settings!$B$5+Settings!$B$6)*3,"F","")))</f>
        <v/>
      </c>
      <c r="AA1500" s="20">
        <f>IF($Z1500="C",$Y1500,IF($Z1500="A",$Y1500-Settings!$B$4*3,IF($Z1500="F",$Y1500-(Settings!$B$4+Settings!$B$5)*3,"")))</f>
        <v/>
      </c>
      <c r="AB1500" s="20">
        <f>IF($Z1500="","",INT(($AA1500-1)/3)+1)</f>
        <v/>
      </c>
      <c r="AC1500" s="20">
        <f>IF($Z1500="","",MOD($AA1500-1,3)+1)</f>
        <v/>
      </c>
      <c r="AD1500" s="20">
        <f>IF($Z1500="","",Settings!$B$2+$AC1500-1)</f>
        <v/>
      </c>
      <c r="AE1500" s="21">
        <f>IF($Z1500="C",DATE(YEAR(INDEX(Contracts!$J$2:$J$151,$AB1500)),MONTH(INDEX(Contracts!$J$2:$J$151,$AB1500)),1),IF($Z1500="A",DATE(YEAR(INDEX(Fixed_Assets!$G$2:$G$201,$AB1500)),MONTH(INDEX(Fixed_Assets!$G$2:$G$201,$AB1500)),1),IF($Z1500="F",DATE(YEAR(MAX(N(INDEX(Workforce!$I$2:$I$151,MATCH(INDEX(FTE_Allocation!$A$2:$A$201,$AB1500),Workforce!$A$2:$A$151,0))),N(INDEX(FTE_Allocation!$I$2:$I$201,$AB1500)))),MONTH(MAX(N(INDEX(Workforce!$I$2:$I$151,MATCH(INDEX(FTE_Allocation!$A$2:$A$201,$AB1500),Workforce!$A$2:$A$151,0))),N(INDEX(FTE_Allocation!$I$2:$I$201,$AB1500)))),1),"")))</f>
        <v/>
      </c>
      <c r="AF1500" s="21">
        <f>IF($Z1500="C",IF(INDEX(Contracts!$I$2:$I$151,$AB1500)="PREPAID",EDATE(DATE(YEAR(INDEX(Contracts!$J$2:$J$151,$AB1500)),MONTH(INDEX(Contracts!$J$2:$J$151,$AB1500)),1),IF(INDEX(Contracts!$N$2:$N$151,$AB1500)="",12,INDEX(Contracts!$N$2:$N$151,$AB1500))-1),IF(INDEX(Contracts!$I$2:$I$151,$AB1500)="MONTHLY",IF(INDEX(Contracts!$K$2:$K$151,$AB1500)="",2958101,INDEX(Contracts!$K$2:$K$151,$AB1500)),0)),IF($Z1500="A",EDATE(DATE(YEAR(INDEX(Fixed_Assets!$G$2:$G$201,$AB1500)),MONTH(INDEX(Fixed_Assets!$G$2:$G$201,$AB1500)),1),INDEX(Fixed_Assets!$J$2:$J$201,$AB1500)-1),IF($Z1500="F",MIN(IF(INDEX(Workforce!$J$2:$J$151,MATCH(INDEX(FTE_Allocation!$A$2:$A$201,$AB1500),Workforce!$A$2:$A$151,0))="",2958101,INDEX(Workforce!$J$2:$J$151,MATCH(INDEX(FTE_Allocation!$A$2:$A$201,$AB1500),Workforce!$A$2:$A$151,0))),IF(INDEX(FTE_Allocation!$J$2:$J$201,$AB1500)="",2958101,INDEX(FTE_Allocation!$J$2:$J$201,$AB1500))),"")))</f>
        <v/>
      </c>
      <c r="AG1500" s="19">
        <f>IF($Z1500="C",IF(INDEX(Contracts!$I$2:$I$151,$AB1500)="PREPAID",INDEX(Contracts!$M$2:$M$151,$AB1500)/IF(INDEX(Contracts!$N$2:$N$151,$AB1500)="",12,INDEX(Contracts!$N$2:$N$151,$AB1500)),IF(INDEX(Contracts!$I$2:$I$151,$AB1500)="MONTHLY",INDEX(Contracts!$M$2:$M$151,$AB1500),0))*(1-N(INDEX(Contracts!$O$2:$O$151,$AB1500))),IF($Z1500="A",INDEX(Fixed_Assets!$H$2:$H$201,$AB1500)/INDEX(Fixed_Assets!$J$2:$J$201,$AB1500),IF($Z1500="F",INDEX(Workforce!$F$2:$F$151,MATCH(INDEX(FTE_Allocation!$A$2:$A$201,$AB1500),Workforce!$A$2:$A$151,0))*N(INDEX(FTE_Allocation!$F$2:$H$201,$AB1500,$AC1500)),"")))</f>
        <v/>
      </c>
    </row>
    <row r="1501">
      <c r="A1501" s="7">
        <f>IF($Z1501="","",$AD1501)</f>
        <v/>
      </c>
      <c r="B1501" s="7">
        <f>IF($Z1501="C",INDEX(Contracts!$D$2:$D$151,$AB1501)&amp;"",IF($Z1501="A",INDEX(Fixed_Assets!$C$2:$C$201,$AB1501)&amp;"",IF($Z1501="F",INDEX(Workforce!$B$2:$B$151,MATCH(INDEX(FTE_Allocation!$A$2:$A$201,$AB1501),Workforce!$A$2:$A$151,0))&amp;"","")))</f>
        <v/>
      </c>
      <c r="C1501" s="7">
        <f>IF($Z1501="C",INDEX(Contracts!$E$2:$E$151,$AB1501)&amp;"",IF($Z1501="A",INDEX(Fixed_Assets!$D$2:$D$201,$AB1501)&amp;"",IF($Z1501="F",INDEX(FTE_Allocation!$C$2:$C$201,$AB1501)&amp;"","")))</f>
        <v/>
      </c>
      <c r="D1501" s="7">
        <f>IF($Z1501="C",INDEX(Contracts!$B$2:$B$151,$AB1501)&amp;"",IF($Z1501="A",INDEX(Fixed_Assets!$B$2:$B$201,$AB1501)&amp;"",IF($Z1501="F",INDEX(FTE_Allocation!$B$2:$B$201,$AB1501)&amp;"","")))</f>
        <v/>
      </c>
      <c r="E1501" s="7">
        <f>IF($Z1501="C",INDEX(Contracts!$P$2:$P$151,$AB1501)&amp;"",IF($Z1501="A",INDEX(Fixed_Assets!$K$2:$K$201,$AB1501)&amp;"",IF($Z1501="F",IF(INDEX(FTE_Allocation!$D$2:$D$201,$AB1501)="PROJECT",IFERROR(INDEX(Projects!$D:$D,MATCH(INDEX(FTE_Allocation!$E$2:$E$201,$AB1501),Projects!$A:$A,0))&amp;"","#PROJECT?"),INDEX(FTE_Allocation!$E$2:$E$201,$AB1501)&amp;""),"")))</f>
        <v/>
      </c>
      <c r="F1501" s="7">
        <f>IF($Z1501="C",INDEX(Contracts!$Q$2:$Q$151,$AB1501)&amp;"",IF($Z1501="A",INDEX(Fixed_Assets!$L$2:$L$201,$AB1501)&amp;"",IF($Z1501="F",INDEX(Workforce!$K$2:$K$151,MATCH(INDEX(FTE_Allocation!$A$2:$A$201,$AB1501),Workforce!$A$2:$A$151,0))&amp;"","")))</f>
        <v/>
      </c>
      <c r="G1501" s="7">
        <f>IF($Z1501="C",INDEX(Contracts!$F$2:$F$151,$AB1501)&amp;" / "&amp;INDEX(Contracts!$G$2:$G$151,$AB1501),IF($Z1501="A",INDEX(Fixed_Assets!$E$2:$E$201,$AB1501)&amp;"",IF($Z1501="F","Personnel "&amp;INDEX(FTE_Allocation!$A$2:$A$201,$AB1501)&amp;IF(INDEX(FTE_Allocation!$D$2:$D$201,$AB1501)="PROJECT"," ("&amp;INDEX(FTE_Allocation!$E$2:$E$201,$AB1501)&amp;")",""),"")))</f>
        <v/>
      </c>
      <c r="H1501" s="7">
        <f>IF($Z1501="C","CONTRACT",IF($Z1501="A","ASSET",IF($Z1501="F","WORKFORCE","")))</f>
        <v/>
      </c>
      <c r="I1501" s="7">
        <f>IF($Z1501="C",INDEX(Contracts!$L$2:$L$151,$AB1501)&amp;"",IF($Z1501="A",INDEX(Fixed_Assets!$I$2:$I$201,$AB1501)&amp;"",IF($Z1501="F",INDEX(Workforce!$G$2:$G$151,MATCH(INDEX(FTE_Allocation!$A$2:$A$201,$AB1501),Workforce!$A$2:$A$151,0))&amp;"","")))</f>
        <v/>
      </c>
      <c r="J1501" s="18">
        <f>IF($Z1501="","",IF(AND(DATE($AD1501,1,1)&gt;=$AE1501,DATE($AD1501,1,1)&lt;=$AF1501),ROUND($AG1501,2),0))</f>
        <v/>
      </c>
      <c r="K1501" s="18">
        <f>IF($Z1501="","",IF(AND(DATE($AD1501,2,1)&gt;=$AE1501,DATE($AD1501,2,1)&lt;=$AF1501),ROUND($AG1501,2),0))</f>
        <v/>
      </c>
      <c r="L1501" s="18">
        <f>IF($Z1501="","",IF(AND(DATE($AD1501,3,1)&gt;=$AE1501,DATE($AD1501,3,1)&lt;=$AF1501),ROUND($AG1501,2),0))</f>
        <v/>
      </c>
      <c r="M1501" s="18">
        <f>IF($Z1501="","",IF(AND(DATE($AD1501,4,1)&gt;=$AE1501,DATE($AD1501,4,1)&lt;=$AF1501),ROUND($AG1501,2),0))</f>
        <v/>
      </c>
      <c r="N1501" s="18">
        <f>IF($Z1501="","",IF(AND(DATE($AD1501,5,1)&gt;=$AE1501,DATE($AD1501,5,1)&lt;=$AF1501),ROUND($AG1501,2),0))</f>
        <v/>
      </c>
      <c r="O1501" s="18">
        <f>IF($Z1501="","",IF(AND(DATE($AD1501,6,1)&gt;=$AE1501,DATE($AD1501,6,1)&lt;=$AF1501),ROUND($AG1501,2),0))</f>
        <v/>
      </c>
      <c r="P1501" s="18">
        <f>IF($Z1501="","",IF(AND(DATE($AD1501,7,1)&gt;=$AE1501,DATE($AD1501,7,1)&lt;=$AF1501),ROUND($AG1501,2),0))</f>
        <v/>
      </c>
      <c r="Q1501" s="18">
        <f>IF($Z1501="","",IF(AND(DATE($AD1501,8,1)&gt;=$AE1501,DATE($AD1501,8,1)&lt;=$AF1501),ROUND($AG1501,2),0))</f>
        <v/>
      </c>
      <c r="R1501" s="18">
        <f>IF($Z1501="","",IF(AND(DATE($AD1501,9,1)&gt;=$AE1501,DATE($AD1501,9,1)&lt;=$AF1501),ROUND($AG1501,2),0))</f>
        <v/>
      </c>
      <c r="S1501" s="18">
        <f>IF($Z1501="","",IF(AND(DATE($AD1501,10,1)&gt;=$AE1501,DATE($AD1501,10,1)&lt;=$AF1501),ROUND($AG1501,2),0))</f>
        <v/>
      </c>
      <c r="T1501" s="18">
        <f>IF($Z1501="","",IF(AND(DATE($AD1501,11,1)&gt;=$AE1501,DATE($AD1501,11,1)&lt;=$AF1501),ROUND($AG1501,2),0))</f>
        <v/>
      </c>
      <c r="U1501" s="18">
        <f>IF($Z1501="","",IF(AND(DATE($AD1501,12,1)&gt;=$AE1501,DATE($AD1501,12,1)&lt;=$AF1501),ROUND($AG1501,2),0))</f>
        <v/>
      </c>
      <c r="V1501" s="7">
        <f>IF($Z1501="C","Generated from "&amp;INDEX(Contracts!$A$2:$A$151,$AB1501),IF($Z1501="A","Generated from "&amp;INDEX(Fixed_Assets!$A$2:$A$201,$AB1501),IF($Z1501="F","Generated from "&amp;INDEX(FTE_Allocation!$A$2:$A$201,$AB1501),"")))</f>
        <v/>
      </c>
      <c r="X1501" s="19">
        <f>IF($Z1501="","",SUM(J1501:U1501))</f>
        <v/>
      </c>
      <c r="Y1501" s="20">
        <f>ROW()-1</f>
        <v/>
      </c>
      <c r="Z1501" s="20">
        <f>IF($Y1501&lt;=Settings!$B$4*3,"C",IF($Y1501&lt;=(Settings!$B$4+Settings!$B$5)*3,"A",IF($Y1501&lt;=(Settings!$B$4+Settings!$B$5+Settings!$B$6)*3,"F","")))</f>
        <v/>
      </c>
      <c r="AA1501" s="20">
        <f>IF($Z1501="C",$Y1501,IF($Z1501="A",$Y1501-Settings!$B$4*3,IF($Z1501="F",$Y1501-(Settings!$B$4+Settings!$B$5)*3,"")))</f>
        <v/>
      </c>
      <c r="AB1501" s="20">
        <f>IF($Z1501="","",INT(($AA1501-1)/3)+1)</f>
        <v/>
      </c>
      <c r="AC1501" s="20">
        <f>IF($Z1501="","",MOD($AA1501-1,3)+1)</f>
        <v/>
      </c>
      <c r="AD1501" s="20">
        <f>IF($Z1501="","",Settings!$B$2+$AC1501-1)</f>
        <v/>
      </c>
      <c r="AE1501" s="21">
        <f>IF($Z1501="C",DATE(YEAR(INDEX(Contracts!$J$2:$J$151,$AB1501)),MONTH(INDEX(Contracts!$J$2:$J$151,$AB1501)),1),IF($Z1501="A",DATE(YEAR(INDEX(Fixed_Assets!$G$2:$G$201,$AB1501)),MONTH(INDEX(Fixed_Assets!$G$2:$G$201,$AB1501)),1),IF($Z1501="F",DATE(YEAR(MAX(N(INDEX(Workforce!$I$2:$I$151,MATCH(INDEX(FTE_Allocation!$A$2:$A$201,$AB1501),Workforce!$A$2:$A$151,0))),N(INDEX(FTE_Allocation!$I$2:$I$201,$AB1501)))),MONTH(MAX(N(INDEX(Workforce!$I$2:$I$151,MATCH(INDEX(FTE_Allocation!$A$2:$A$201,$AB1501),Workforce!$A$2:$A$151,0))),N(INDEX(FTE_Allocation!$I$2:$I$201,$AB1501)))),1),"")))</f>
        <v/>
      </c>
      <c r="AF1501" s="21">
        <f>IF($Z1501="C",IF(INDEX(Contracts!$I$2:$I$151,$AB1501)="PREPAID",EDATE(DATE(YEAR(INDEX(Contracts!$J$2:$J$151,$AB1501)),MONTH(INDEX(Contracts!$J$2:$J$151,$AB1501)),1),IF(INDEX(Contracts!$N$2:$N$151,$AB1501)="",12,INDEX(Contracts!$N$2:$N$151,$AB1501))-1),IF(INDEX(Contracts!$I$2:$I$151,$AB1501)="MONTHLY",IF(INDEX(Contracts!$K$2:$K$151,$AB1501)="",2958101,INDEX(Contracts!$K$2:$K$151,$AB1501)),0)),IF($Z1501="A",EDATE(DATE(YEAR(INDEX(Fixed_Assets!$G$2:$G$201,$AB1501)),MONTH(INDEX(Fixed_Assets!$G$2:$G$201,$AB1501)),1),INDEX(Fixed_Assets!$J$2:$J$201,$AB1501)-1),IF($Z1501="F",MIN(IF(INDEX(Workforce!$J$2:$J$151,MATCH(INDEX(FTE_Allocation!$A$2:$A$201,$AB1501),Workforce!$A$2:$A$151,0))="",2958101,INDEX(Workforce!$J$2:$J$151,MATCH(INDEX(FTE_Allocation!$A$2:$A$201,$AB1501),Workforce!$A$2:$A$151,0))),IF(INDEX(FTE_Allocation!$J$2:$J$201,$AB1501)="",2958101,INDEX(FTE_Allocation!$J$2:$J$201,$AB1501))),"")))</f>
        <v/>
      </c>
      <c r="AG1501" s="19">
        <f>IF($Z1501="C",IF(INDEX(Contracts!$I$2:$I$151,$AB1501)="PREPAID",INDEX(Contracts!$M$2:$M$151,$AB1501)/IF(INDEX(Contracts!$N$2:$N$151,$AB1501)="",12,INDEX(Contracts!$N$2:$N$151,$AB1501)),IF(INDEX(Contracts!$I$2:$I$151,$AB1501)="MONTHLY",INDEX(Contracts!$M$2:$M$151,$AB1501),0))*(1-N(INDEX(Contracts!$O$2:$O$151,$AB1501))),IF($Z1501="A",INDEX(Fixed_Assets!$H$2:$H$201,$AB1501)/INDEX(Fixed_Assets!$J$2:$J$201,$AB1501),IF($Z1501="F",INDEX(Workforce!$F$2:$F$151,MATCH(INDEX(FTE_Allocation!$A$2:$A$201,$AB1501),Workforce!$A$2:$A$151,0))*N(INDEX(FTE_Allocation!$F$2:$H$201,$AB1501,$AC1501)),"")))</f>
        <v/>
      </c>
    </row>
    <row r="1502">
      <c r="A1502" s="7">
        <f>IF($Z1502="","",$AD1502)</f>
        <v/>
      </c>
      <c r="B1502" s="7">
        <f>IF($Z1502="C",INDEX(Contracts!$D$2:$D$151,$AB1502)&amp;"",IF($Z1502="A",INDEX(Fixed_Assets!$C$2:$C$201,$AB1502)&amp;"",IF($Z1502="F",INDEX(Workforce!$B$2:$B$151,MATCH(INDEX(FTE_Allocation!$A$2:$A$201,$AB1502),Workforce!$A$2:$A$151,0))&amp;"","")))</f>
        <v/>
      </c>
      <c r="C1502" s="7">
        <f>IF($Z1502="C",INDEX(Contracts!$E$2:$E$151,$AB1502)&amp;"",IF($Z1502="A",INDEX(Fixed_Assets!$D$2:$D$201,$AB1502)&amp;"",IF($Z1502="F",INDEX(FTE_Allocation!$C$2:$C$201,$AB1502)&amp;"","")))</f>
        <v/>
      </c>
      <c r="D1502" s="7">
        <f>IF($Z1502="C",INDEX(Contracts!$B$2:$B$151,$AB1502)&amp;"",IF($Z1502="A",INDEX(Fixed_Assets!$B$2:$B$201,$AB1502)&amp;"",IF($Z1502="F",INDEX(FTE_Allocation!$B$2:$B$201,$AB1502)&amp;"","")))</f>
        <v/>
      </c>
      <c r="E1502" s="7">
        <f>IF($Z1502="C",INDEX(Contracts!$P$2:$P$151,$AB1502)&amp;"",IF($Z1502="A",INDEX(Fixed_Assets!$K$2:$K$201,$AB1502)&amp;"",IF($Z1502="F",IF(INDEX(FTE_Allocation!$D$2:$D$201,$AB1502)="PROJECT",IFERROR(INDEX(Projects!$D:$D,MATCH(INDEX(FTE_Allocation!$E$2:$E$201,$AB1502),Projects!$A:$A,0))&amp;"","#PROJECT?"),INDEX(FTE_Allocation!$E$2:$E$201,$AB1502)&amp;""),"")))</f>
        <v/>
      </c>
      <c r="F1502" s="7">
        <f>IF($Z1502="C",INDEX(Contracts!$Q$2:$Q$151,$AB1502)&amp;"",IF($Z1502="A",INDEX(Fixed_Assets!$L$2:$L$201,$AB1502)&amp;"",IF($Z1502="F",INDEX(Workforce!$K$2:$K$151,MATCH(INDEX(FTE_Allocation!$A$2:$A$201,$AB1502),Workforce!$A$2:$A$151,0))&amp;"","")))</f>
        <v/>
      </c>
      <c r="G1502" s="7">
        <f>IF($Z1502="C",INDEX(Contracts!$F$2:$F$151,$AB1502)&amp;" / "&amp;INDEX(Contracts!$G$2:$G$151,$AB1502),IF($Z1502="A",INDEX(Fixed_Assets!$E$2:$E$201,$AB1502)&amp;"",IF($Z1502="F","Personnel "&amp;INDEX(FTE_Allocation!$A$2:$A$201,$AB1502)&amp;IF(INDEX(FTE_Allocation!$D$2:$D$201,$AB1502)="PROJECT"," ("&amp;INDEX(FTE_Allocation!$E$2:$E$201,$AB1502)&amp;")",""),"")))</f>
        <v/>
      </c>
      <c r="H1502" s="7">
        <f>IF($Z1502="C","CONTRACT",IF($Z1502="A","ASSET",IF($Z1502="F","WORKFORCE","")))</f>
        <v/>
      </c>
      <c r="I1502" s="7">
        <f>IF($Z1502="C",INDEX(Contracts!$L$2:$L$151,$AB1502)&amp;"",IF($Z1502="A",INDEX(Fixed_Assets!$I$2:$I$201,$AB1502)&amp;"",IF($Z1502="F",INDEX(Workforce!$G$2:$G$151,MATCH(INDEX(FTE_Allocation!$A$2:$A$201,$AB1502),Workforce!$A$2:$A$151,0))&amp;"","")))</f>
        <v/>
      </c>
      <c r="J1502" s="18">
        <f>IF($Z1502="","",IF(AND(DATE($AD1502,1,1)&gt;=$AE1502,DATE($AD1502,1,1)&lt;=$AF1502),ROUND($AG1502,2),0))</f>
        <v/>
      </c>
      <c r="K1502" s="18">
        <f>IF($Z1502="","",IF(AND(DATE($AD1502,2,1)&gt;=$AE1502,DATE($AD1502,2,1)&lt;=$AF1502),ROUND($AG1502,2),0))</f>
        <v/>
      </c>
      <c r="L1502" s="18">
        <f>IF($Z1502="","",IF(AND(DATE($AD1502,3,1)&gt;=$AE1502,DATE($AD1502,3,1)&lt;=$AF1502),ROUND($AG1502,2),0))</f>
        <v/>
      </c>
      <c r="M1502" s="18">
        <f>IF($Z1502="","",IF(AND(DATE($AD1502,4,1)&gt;=$AE1502,DATE($AD1502,4,1)&lt;=$AF1502),ROUND($AG1502,2),0))</f>
        <v/>
      </c>
      <c r="N1502" s="18">
        <f>IF($Z1502="","",IF(AND(DATE($AD1502,5,1)&gt;=$AE1502,DATE($AD1502,5,1)&lt;=$AF1502),ROUND($AG1502,2),0))</f>
        <v/>
      </c>
      <c r="O1502" s="18">
        <f>IF($Z1502="","",IF(AND(DATE($AD1502,6,1)&gt;=$AE1502,DATE($AD1502,6,1)&lt;=$AF1502),ROUND($AG1502,2),0))</f>
        <v/>
      </c>
      <c r="P1502" s="18">
        <f>IF($Z1502="","",IF(AND(DATE($AD1502,7,1)&gt;=$AE1502,DATE($AD1502,7,1)&lt;=$AF1502),ROUND($AG1502,2),0))</f>
        <v/>
      </c>
      <c r="Q1502" s="18">
        <f>IF($Z1502="","",IF(AND(DATE($AD1502,8,1)&gt;=$AE1502,DATE($AD1502,8,1)&lt;=$AF1502),ROUND($AG1502,2),0))</f>
        <v/>
      </c>
      <c r="R1502" s="18">
        <f>IF($Z1502="","",IF(AND(DATE($AD1502,9,1)&gt;=$AE1502,DATE($AD1502,9,1)&lt;=$AF1502),ROUND($AG1502,2),0))</f>
        <v/>
      </c>
      <c r="S1502" s="18">
        <f>IF($Z1502="","",IF(AND(DATE($AD1502,10,1)&gt;=$AE1502,DATE($AD1502,10,1)&lt;=$AF1502),ROUND($AG1502,2),0))</f>
        <v/>
      </c>
      <c r="T1502" s="18">
        <f>IF($Z1502="","",IF(AND(DATE($AD1502,11,1)&gt;=$AE1502,DATE($AD1502,11,1)&lt;=$AF1502),ROUND($AG1502,2),0))</f>
        <v/>
      </c>
      <c r="U1502" s="18">
        <f>IF($Z1502="","",IF(AND(DATE($AD1502,12,1)&gt;=$AE1502,DATE($AD1502,12,1)&lt;=$AF1502),ROUND($AG1502,2),0))</f>
        <v/>
      </c>
      <c r="V1502" s="7">
        <f>IF($Z1502="C","Generated from "&amp;INDEX(Contracts!$A$2:$A$151,$AB1502),IF($Z1502="A","Generated from "&amp;INDEX(Fixed_Assets!$A$2:$A$201,$AB1502),IF($Z1502="F","Generated from "&amp;INDEX(FTE_Allocation!$A$2:$A$201,$AB1502),"")))</f>
        <v/>
      </c>
      <c r="X1502" s="19">
        <f>IF($Z1502="","",SUM(J1502:U1502))</f>
        <v/>
      </c>
      <c r="Y1502" s="20">
        <f>ROW()-1</f>
        <v/>
      </c>
      <c r="Z1502" s="20">
        <f>IF($Y1502&lt;=Settings!$B$4*3,"C",IF($Y1502&lt;=(Settings!$B$4+Settings!$B$5)*3,"A",IF($Y1502&lt;=(Settings!$B$4+Settings!$B$5+Settings!$B$6)*3,"F","")))</f>
        <v/>
      </c>
      <c r="AA1502" s="20">
        <f>IF($Z1502="C",$Y1502,IF($Z1502="A",$Y1502-Settings!$B$4*3,IF($Z1502="F",$Y1502-(Settings!$B$4+Settings!$B$5)*3,"")))</f>
        <v/>
      </c>
      <c r="AB1502" s="20">
        <f>IF($Z1502="","",INT(($AA1502-1)/3)+1)</f>
        <v/>
      </c>
      <c r="AC1502" s="20">
        <f>IF($Z1502="","",MOD($AA1502-1,3)+1)</f>
        <v/>
      </c>
      <c r="AD1502" s="20">
        <f>IF($Z1502="","",Settings!$B$2+$AC1502-1)</f>
        <v/>
      </c>
      <c r="AE1502" s="21">
        <f>IF($Z1502="C",DATE(YEAR(INDEX(Contracts!$J$2:$J$151,$AB1502)),MONTH(INDEX(Contracts!$J$2:$J$151,$AB1502)),1),IF($Z1502="A",DATE(YEAR(INDEX(Fixed_Assets!$G$2:$G$201,$AB1502)),MONTH(INDEX(Fixed_Assets!$G$2:$G$201,$AB1502)),1),IF($Z1502="F",DATE(YEAR(MAX(N(INDEX(Workforce!$I$2:$I$151,MATCH(INDEX(FTE_Allocation!$A$2:$A$201,$AB1502),Workforce!$A$2:$A$151,0))),N(INDEX(FTE_Allocation!$I$2:$I$201,$AB1502)))),MONTH(MAX(N(INDEX(Workforce!$I$2:$I$151,MATCH(INDEX(FTE_Allocation!$A$2:$A$201,$AB1502),Workforce!$A$2:$A$151,0))),N(INDEX(FTE_Allocation!$I$2:$I$201,$AB1502)))),1),"")))</f>
        <v/>
      </c>
      <c r="AF1502" s="21">
        <f>IF($Z1502="C",IF(INDEX(Contracts!$I$2:$I$151,$AB1502)="PREPAID",EDATE(DATE(YEAR(INDEX(Contracts!$J$2:$J$151,$AB1502)),MONTH(INDEX(Contracts!$J$2:$J$151,$AB1502)),1),IF(INDEX(Contracts!$N$2:$N$151,$AB1502)="",12,INDEX(Contracts!$N$2:$N$151,$AB1502))-1),IF(INDEX(Contracts!$I$2:$I$151,$AB1502)="MONTHLY",IF(INDEX(Contracts!$K$2:$K$151,$AB1502)="",2958101,INDEX(Contracts!$K$2:$K$151,$AB1502)),0)),IF($Z1502="A",EDATE(DATE(YEAR(INDEX(Fixed_Assets!$G$2:$G$201,$AB1502)),MONTH(INDEX(Fixed_Assets!$G$2:$G$201,$AB1502)),1),INDEX(Fixed_Assets!$J$2:$J$201,$AB1502)-1),IF($Z1502="F",MIN(IF(INDEX(Workforce!$J$2:$J$151,MATCH(INDEX(FTE_Allocation!$A$2:$A$201,$AB1502),Workforce!$A$2:$A$151,0))="",2958101,INDEX(Workforce!$J$2:$J$151,MATCH(INDEX(FTE_Allocation!$A$2:$A$201,$AB1502),Workforce!$A$2:$A$151,0))),IF(INDEX(FTE_Allocation!$J$2:$J$201,$AB1502)="",2958101,INDEX(FTE_Allocation!$J$2:$J$201,$AB1502))),"")))</f>
        <v/>
      </c>
      <c r="AG1502" s="19">
        <f>IF($Z1502="C",IF(INDEX(Contracts!$I$2:$I$151,$AB1502)="PREPAID",INDEX(Contracts!$M$2:$M$151,$AB1502)/IF(INDEX(Contracts!$N$2:$N$151,$AB1502)="",12,INDEX(Contracts!$N$2:$N$151,$AB1502)),IF(INDEX(Contracts!$I$2:$I$151,$AB1502)="MONTHLY",INDEX(Contracts!$M$2:$M$151,$AB1502),0))*(1-N(INDEX(Contracts!$O$2:$O$151,$AB1502))),IF($Z1502="A",INDEX(Fixed_Assets!$H$2:$H$201,$AB1502)/INDEX(Fixed_Assets!$J$2:$J$201,$AB1502),IF($Z1502="F",INDEX(Workforce!$F$2:$F$151,MATCH(INDEX(FTE_Allocation!$A$2:$A$201,$AB1502),Workforce!$A$2:$A$151,0))*N(INDEX(FTE_Allocation!$F$2:$H$201,$AB1502,$AC1502)),"")))</f>
        <v/>
      </c>
    </row>
    <row r="1503">
      <c r="A1503" s="7">
        <f>IF($Z1503="","",$AD1503)</f>
        <v/>
      </c>
      <c r="B1503" s="7">
        <f>IF($Z1503="C",INDEX(Contracts!$D$2:$D$151,$AB1503)&amp;"",IF($Z1503="A",INDEX(Fixed_Assets!$C$2:$C$201,$AB1503)&amp;"",IF($Z1503="F",INDEX(Workforce!$B$2:$B$151,MATCH(INDEX(FTE_Allocation!$A$2:$A$201,$AB1503),Workforce!$A$2:$A$151,0))&amp;"","")))</f>
        <v/>
      </c>
      <c r="C1503" s="7">
        <f>IF($Z1503="C",INDEX(Contracts!$E$2:$E$151,$AB1503)&amp;"",IF($Z1503="A",INDEX(Fixed_Assets!$D$2:$D$201,$AB1503)&amp;"",IF($Z1503="F",INDEX(FTE_Allocation!$C$2:$C$201,$AB1503)&amp;"","")))</f>
        <v/>
      </c>
      <c r="D1503" s="7">
        <f>IF($Z1503="C",INDEX(Contracts!$B$2:$B$151,$AB1503)&amp;"",IF($Z1503="A",INDEX(Fixed_Assets!$B$2:$B$201,$AB1503)&amp;"",IF($Z1503="F",INDEX(FTE_Allocation!$B$2:$B$201,$AB1503)&amp;"","")))</f>
        <v/>
      </c>
      <c r="E1503" s="7">
        <f>IF($Z1503="C",INDEX(Contracts!$P$2:$P$151,$AB1503)&amp;"",IF($Z1503="A",INDEX(Fixed_Assets!$K$2:$K$201,$AB1503)&amp;"",IF($Z1503="F",IF(INDEX(FTE_Allocation!$D$2:$D$201,$AB1503)="PROJECT",IFERROR(INDEX(Projects!$D:$D,MATCH(INDEX(FTE_Allocation!$E$2:$E$201,$AB1503),Projects!$A:$A,0))&amp;"","#PROJECT?"),INDEX(FTE_Allocation!$E$2:$E$201,$AB1503)&amp;""),"")))</f>
        <v/>
      </c>
      <c r="F1503" s="7">
        <f>IF($Z1503="C",INDEX(Contracts!$Q$2:$Q$151,$AB1503)&amp;"",IF($Z1503="A",INDEX(Fixed_Assets!$L$2:$L$201,$AB1503)&amp;"",IF($Z1503="F",INDEX(Workforce!$K$2:$K$151,MATCH(INDEX(FTE_Allocation!$A$2:$A$201,$AB1503),Workforce!$A$2:$A$151,0))&amp;"","")))</f>
        <v/>
      </c>
      <c r="G1503" s="7">
        <f>IF($Z1503="C",INDEX(Contracts!$F$2:$F$151,$AB1503)&amp;" / "&amp;INDEX(Contracts!$G$2:$G$151,$AB1503),IF($Z1503="A",INDEX(Fixed_Assets!$E$2:$E$201,$AB1503)&amp;"",IF($Z1503="F","Personnel "&amp;INDEX(FTE_Allocation!$A$2:$A$201,$AB1503)&amp;IF(INDEX(FTE_Allocation!$D$2:$D$201,$AB1503)="PROJECT"," ("&amp;INDEX(FTE_Allocation!$E$2:$E$201,$AB1503)&amp;")",""),"")))</f>
        <v/>
      </c>
      <c r="H1503" s="7">
        <f>IF($Z1503="C","CONTRACT",IF($Z1503="A","ASSET",IF($Z1503="F","WORKFORCE","")))</f>
        <v/>
      </c>
      <c r="I1503" s="7">
        <f>IF($Z1503="C",INDEX(Contracts!$L$2:$L$151,$AB1503)&amp;"",IF($Z1503="A",INDEX(Fixed_Assets!$I$2:$I$201,$AB1503)&amp;"",IF($Z1503="F",INDEX(Workforce!$G$2:$G$151,MATCH(INDEX(FTE_Allocation!$A$2:$A$201,$AB1503),Workforce!$A$2:$A$151,0))&amp;"","")))</f>
        <v/>
      </c>
      <c r="J1503" s="18">
        <f>IF($Z1503="","",IF(AND(DATE($AD1503,1,1)&gt;=$AE1503,DATE($AD1503,1,1)&lt;=$AF1503),ROUND($AG1503,2),0))</f>
        <v/>
      </c>
      <c r="K1503" s="18">
        <f>IF($Z1503="","",IF(AND(DATE($AD1503,2,1)&gt;=$AE1503,DATE($AD1503,2,1)&lt;=$AF1503),ROUND($AG1503,2),0))</f>
        <v/>
      </c>
      <c r="L1503" s="18">
        <f>IF($Z1503="","",IF(AND(DATE($AD1503,3,1)&gt;=$AE1503,DATE($AD1503,3,1)&lt;=$AF1503),ROUND($AG1503,2),0))</f>
        <v/>
      </c>
      <c r="M1503" s="18">
        <f>IF($Z1503="","",IF(AND(DATE($AD1503,4,1)&gt;=$AE1503,DATE($AD1503,4,1)&lt;=$AF1503),ROUND($AG1503,2),0))</f>
        <v/>
      </c>
      <c r="N1503" s="18">
        <f>IF($Z1503="","",IF(AND(DATE($AD1503,5,1)&gt;=$AE1503,DATE($AD1503,5,1)&lt;=$AF1503),ROUND($AG1503,2),0))</f>
        <v/>
      </c>
      <c r="O1503" s="18">
        <f>IF($Z1503="","",IF(AND(DATE($AD1503,6,1)&gt;=$AE1503,DATE($AD1503,6,1)&lt;=$AF1503),ROUND($AG1503,2),0))</f>
        <v/>
      </c>
      <c r="P1503" s="18">
        <f>IF($Z1503="","",IF(AND(DATE($AD1503,7,1)&gt;=$AE1503,DATE($AD1503,7,1)&lt;=$AF1503),ROUND($AG1503,2),0))</f>
        <v/>
      </c>
      <c r="Q1503" s="18">
        <f>IF($Z1503="","",IF(AND(DATE($AD1503,8,1)&gt;=$AE1503,DATE($AD1503,8,1)&lt;=$AF1503),ROUND($AG1503,2),0))</f>
        <v/>
      </c>
      <c r="R1503" s="18">
        <f>IF($Z1503="","",IF(AND(DATE($AD1503,9,1)&gt;=$AE1503,DATE($AD1503,9,1)&lt;=$AF1503),ROUND($AG1503,2),0))</f>
        <v/>
      </c>
      <c r="S1503" s="18">
        <f>IF($Z1503="","",IF(AND(DATE($AD1503,10,1)&gt;=$AE1503,DATE($AD1503,10,1)&lt;=$AF1503),ROUND($AG1503,2),0))</f>
        <v/>
      </c>
      <c r="T1503" s="18">
        <f>IF($Z1503="","",IF(AND(DATE($AD1503,11,1)&gt;=$AE1503,DATE($AD1503,11,1)&lt;=$AF1503),ROUND($AG1503,2),0))</f>
        <v/>
      </c>
      <c r="U1503" s="18">
        <f>IF($Z1503="","",IF(AND(DATE($AD1503,12,1)&gt;=$AE1503,DATE($AD1503,12,1)&lt;=$AF1503),ROUND($AG1503,2),0))</f>
        <v/>
      </c>
      <c r="V1503" s="7">
        <f>IF($Z1503="C","Generated from "&amp;INDEX(Contracts!$A$2:$A$151,$AB1503),IF($Z1503="A","Generated from "&amp;INDEX(Fixed_Assets!$A$2:$A$201,$AB1503),IF($Z1503="F","Generated from "&amp;INDEX(FTE_Allocation!$A$2:$A$201,$AB1503),"")))</f>
        <v/>
      </c>
      <c r="X1503" s="19">
        <f>IF($Z1503="","",SUM(J1503:U1503))</f>
        <v/>
      </c>
      <c r="Y1503" s="20">
        <f>ROW()-1</f>
        <v/>
      </c>
      <c r="Z1503" s="20">
        <f>IF($Y1503&lt;=Settings!$B$4*3,"C",IF($Y1503&lt;=(Settings!$B$4+Settings!$B$5)*3,"A",IF($Y1503&lt;=(Settings!$B$4+Settings!$B$5+Settings!$B$6)*3,"F","")))</f>
        <v/>
      </c>
      <c r="AA1503" s="20">
        <f>IF($Z1503="C",$Y1503,IF($Z1503="A",$Y1503-Settings!$B$4*3,IF($Z1503="F",$Y1503-(Settings!$B$4+Settings!$B$5)*3,"")))</f>
        <v/>
      </c>
      <c r="AB1503" s="20">
        <f>IF($Z1503="","",INT(($AA1503-1)/3)+1)</f>
        <v/>
      </c>
      <c r="AC1503" s="20">
        <f>IF($Z1503="","",MOD($AA1503-1,3)+1)</f>
        <v/>
      </c>
      <c r="AD1503" s="20">
        <f>IF($Z1503="","",Settings!$B$2+$AC1503-1)</f>
        <v/>
      </c>
      <c r="AE1503" s="21">
        <f>IF($Z1503="C",DATE(YEAR(INDEX(Contracts!$J$2:$J$151,$AB1503)),MONTH(INDEX(Contracts!$J$2:$J$151,$AB1503)),1),IF($Z1503="A",DATE(YEAR(INDEX(Fixed_Assets!$G$2:$G$201,$AB1503)),MONTH(INDEX(Fixed_Assets!$G$2:$G$201,$AB1503)),1),IF($Z1503="F",DATE(YEAR(MAX(N(INDEX(Workforce!$I$2:$I$151,MATCH(INDEX(FTE_Allocation!$A$2:$A$201,$AB1503),Workforce!$A$2:$A$151,0))),N(INDEX(FTE_Allocation!$I$2:$I$201,$AB1503)))),MONTH(MAX(N(INDEX(Workforce!$I$2:$I$151,MATCH(INDEX(FTE_Allocation!$A$2:$A$201,$AB1503),Workforce!$A$2:$A$151,0))),N(INDEX(FTE_Allocation!$I$2:$I$201,$AB1503)))),1),"")))</f>
        <v/>
      </c>
      <c r="AF1503" s="21">
        <f>IF($Z1503="C",IF(INDEX(Contracts!$I$2:$I$151,$AB1503)="PREPAID",EDATE(DATE(YEAR(INDEX(Contracts!$J$2:$J$151,$AB1503)),MONTH(INDEX(Contracts!$J$2:$J$151,$AB1503)),1),IF(INDEX(Contracts!$N$2:$N$151,$AB1503)="",12,INDEX(Contracts!$N$2:$N$151,$AB1503))-1),IF(INDEX(Contracts!$I$2:$I$151,$AB1503)="MONTHLY",IF(INDEX(Contracts!$K$2:$K$151,$AB1503)="",2958101,INDEX(Contracts!$K$2:$K$151,$AB1503)),0)),IF($Z1503="A",EDATE(DATE(YEAR(INDEX(Fixed_Assets!$G$2:$G$201,$AB1503)),MONTH(INDEX(Fixed_Assets!$G$2:$G$201,$AB1503)),1),INDEX(Fixed_Assets!$J$2:$J$201,$AB1503)-1),IF($Z1503="F",MIN(IF(INDEX(Workforce!$J$2:$J$151,MATCH(INDEX(FTE_Allocation!$A$2:$A$201,$AB1503),Workforce!$A$2:$A$151,0))="",2958101,INDEX(Workforce!$J$2:$J$151,MATCH(INDEX(FTE_Allocation!$A$2:$A$201,$AB1503),Workforce!$A$2:$A$151,0))),IF(INDEX(FTE_Allocation!$J$2:$J$201,$AB1503)="",2958101,INDEX(FTE_Allocation!$J$2:$J$201,$AB1503))),"")))</f>
        <v/>
      </c>
      <c r="AG1503" s="19">
        <f>IF($Z1503="C",IF(INDEX(Contracts!$I$2:$I$151,$AB1503)="PREPAID",INDEX(Contracts!$M$2:$M$151,$AB1503)/IF(INDEX(Contracts!$N$2:$N$151,$AB1503)="",12,INDEX(Contracts!$N$2:$N$151,$AB1503)),IF(INDEX(Contracts!$I$2:$I$151,$AB1503)="MONTHLY",INDEX(Contracts!$M$2:$M$151,$AB1503),0))*(1-N(INDEX(Contracts!$O$2:$O$151,$AB1503))),IF($Z1503="A",INDEX(Fixed_Assets!$H$2:$H$201,$AB1503)/INDEX(Fixed_Assets!$J$2:$J$201,$AB1503),IF($Z1503="F",INDEX(Workforce!$F$2:$F$151,MATCH(INDEX(FTE_Allocation!$A$2:$A$201,$AB1503),Workforce!$A$2:$A$151,0))*N(INDEX(FTE_Allocation!$F$2:$H$201,$AB1503,$AC1503)),"")))</f>
        <v/>
      </c>
    </row>
    <row r="1504">
      <c r="A1504" s="7">
        <f>IF($Z1504="","",$AD1504)</f>
        <v/>
      </c>
      <c r="B1504" s="7">
        <f>IF($Z1504="C",INDEX(Contracts!$D$2:$D$151,$AB1504)&amp;"",IF($Z1504="A",INDEX(Fixed_Assets!$C$2:$C$201,$AB1504)&amp;"",IF($Z1504="F",INDEX(Workforce!$B$2:$B$151,MATCH(INDEX(FTE_Allocation!$A$2:$A$201,$AB1504),Workforce!$A$2:$A$151,0))&amp;"","")))</f>
        <v/>
      </c>
      <c r="C1504" s="7">
        <f>IF($Z1504="C",INDEX(Contracts!$E$2:$E$151,$AB1504)&amp;"",IF($Z1504="A",INDEX(Fixed_Assets!$D$2:$D$201,$AB1504)&amp;"",IF($Z1504="F",INDEX(FTE_Allocation!$C$2:$C$201,$AB1504)&amp;"","")))</f>
        <v/>
      </c>
      <c r="D1504" s="7">
        <f>IF($Z1504="C",INDEX(Contracts!$B$2:$B$151,$AB1504)&amp;"",IF($Z1504="A",INDEX(Fixed_Assets!$B$2:$B$201,$AB1504)&amp;"",IF($Z1504="F",INDEX(FTE_Allocation!$B$2:$B$201,$AB1504)&amp;"","")))</f>
        <v/>
      </c>
      <c r="E1504" s="7">
        <f>IF($Z1504="C",INDEX(Contracts!$P$2:$P$151,$AB1504)&amp;"",IF($Z1504="A",INDEX(Fixed_Assets!$K$2:$K$201,$AB1504)&amp;"",IF($Z1504="F",IF(INDEX(FTE_Allocation!$D$2:$D$201,$AB1504)="PROJECT",IFERROR(INDEX(Projects!$D:$D,MATCH(INDEX(FTE_Allocation!$E$2:$E$201,$AB1504),Projects!$A:$A,0))&amp;"","#PROJECT?"),INDEX(FTE_Allocation!$E$2:$E$201,$AB1504)&amp;""),"")))</f>
        <v/>
      </c>
      <c r="F1504" s="7">
        <f>IF($Z1504="C",INDEX(Contracts!$Q$2:$Q$151,$AB1504)&amp;"",IF($Z1504="A",INDEX(Fixed_Assets!$L$2:$L$201,$AB1504)&amp;"",IF($Z1504="F",INDEX(Workforce!$K$2:$K$151,MATCH(INDEX(FTE_Allocation!$A$2:$A$201,$AB1504),Workforce!$A$2:$A$151,0))&amp;"","")))</f>
        <v/>
      </c>
      <c r="G1504" s="7">
        <f>IF($Z1504="C",INDEX(Contracts!$F$2:$F$151,$AB1504)&amp;" / "&amp;INDEX(Contracts!$G$2:$G$151,$AB1504),IF($Z1504="A",INDEX(Fixed_Assets!$E$2:$E$201,$AB1504)&amp;"",IF($Z1504="F","Personnel "&amp;INDEX(FTE_Allocation!$A$2:$A$201,$AB1504)&amp;IF(INDEX(FTE_Allocation!$D$2:$D$201,$AB1504)="PROJECT"," ("&amp;INDEX(FTE_Allocation!$E$2:$E$201,$AB1504)&amp;")",""),"")))</f>
        <v/>
      </c>
      <c r="H1504" s="7">
        <f>IF($Z1504="C","CONTRACT",IF($Z1504="A","ASSET",IF($Z1504="F","WORKFORCE","")))</f>
        <v/>
      </c>
      <c r="I1504" s="7">
        <f>IF($Z1504="C",INDEX(Contracts!$L$2:$L$151,$AB1504)&amp;"",IF($Z1504="A",INDEX(Fixed_Assets!$I$2:$I$201,$AB1504)&amp;"",IF($Z1504="F",INDEX(Workforce!$G$2:$G$151,MATCH(INDEX(FTE_Allocation!$A$2:$A$201,$AB1504),Workforce!$A$2:$A$151,0))&amp;"","")))</f>
        <v/>
      </c>
      <c r="J1504" s="18">
        <f>IF($Z1504="","",IF(AND(DATE($AD1504,1,1)&gt;=$AE1504,DATE($AD1504,1,1)&lt;=$AF1504),ROUND($AG1504,2),0))</f>
        <v/>
      </c>
      <c r="K1504" s="18">
        <f>IF($Z1504="","",IF(AND(DATE($AD1504,2,1)&gt;=$AE1504,DATE($AD1504,2,1)&lt;=$AF1504),ROUND($AG1504,2),0))</f>
        <v/>
      </c>
      <c r="L1504" s="18">
        <f>IF($Z1504="","",IF(AND(DATE($AD1504,3,1)&gt;=$AE1504,DATE($AD1504,3,1)&lt;=$AF1504),ROUND($AG1504,2),0))</f>
        <v/>
      </c>
      <c r="M1504" s="18">
        <f>IF($Z1504="","",IF(AND(DATE($AD1504,4,1)&gt;=$AE1504,DATE($AD1504,4,1)&lt;=$AF1504),ROUND($AG1504,2),0))</f>
        <v/>
      </c>
      <c r="N1504" s="18">
        <f>IF($Z1504="","",IF(AND(DATE($AD1504,5,1)&gt;=$AE1504,DATE($AD1504,5,1)&lt;=$AF1504),ROUND($AG1504,2),0))</f>
        <v/>
      </c>
      <c r="O1504" s="18">
        <f>IF($Z1504="","",IF(AND(DATE($AD1504,6,1)&gt;=$AE1504,DATE($AD1504,6,1)&lt;=$AF1504),ROUND($AG1504,2),0))</f>
        <v/>
      </c>
      <c r="P1504" s="18">
        <f>IF($Z1504="","",IF(AND(DATE($AD1504,7,1)&gt;=$AE1504,DATE($AD1504,7,1)&lt;=$AF1504),ROUND($AG1504,2),0))</f>
        <v/>
      </c>
      <c r="Q1504" s="18">
        <f>IF($Z1504="","",IF(AND(DATE($AD1504,8,1)&gt;=$AE1504,DATE($AD1504,8,1)&lt;=$AF1504),ROUND($AG1504,2),0))</f>
        <v/>
      </c>
      <c r="R1504" s="18">
        <f>IF($Z1504="","",IF(AND(DATE($AD1504,9,1)&gt;=$AE1504,DATE($AD1504,9,1)&lt;=$AF1504),ROUND($AG1504,2),0))</f>
        <v/>
      </c>
      <c r="S1504" s="18">
        <f>IF($Z1504="","",IF(AND(DATE($AD1504,10,1)&gt;=$AE1504,DATE($AD1504,10,1)&lt;=$AF1504),ROUND($AG1504,2),0))</f>
        <v/>
      </c>
      <c r="T1504" s="18">
        <f>IF($Z1504="","",IF(AND(DATE($AD1504,11,1)&gt;=$AE1504,DATE($AD1504,11,1)&lt;=$AF1504),ROUND($AG1504,2),0))</f>
        <v/>
      </c>
      <c r="U1504" s="18">
        <f>IF($Z1504="","",IF(AND(DATE($AD1504,12,1)&gt;=$AE1504,DATE($AD1504,12,1)&lt;=$AF1504),ROUND($AG1504,2),0))</f>
        <v/>
      </c>
      <c r="V1504" s="7">
        <f>IF($Z1504="C","Generated from "&amp;INDEX(Contracts!$A$2:$A$151,$AB1504),IF($Z1504="A","Generated from "&amp;INDEX(Fixed_Assets!$A$2:$A$201,$AB1504),IF($Z1504="F","Generated from "&amp;INDEX(FTE_Allocation!$A$2:$A$201,$AB1504),"")))</f>
        <v/>
      </c>
      <c r="X1504" s="19">
        <f>IF($Z1504="","",SUM(J1504:U1504))</f>
        <v/>
      </c>
      <c r="Y1504" s="20">
        <f>ROW()-1</f>
        <v/>
      </c>
      <c r="Z1504" s="20">
        <f>IF($Y1504&lt;=Settings!$B$4*3,"C",IF($Y1504&lt;=(Settings!$B$4+Settings!$B$5)*3,"A",IF($Y1504&lt;=(Settings!$B$4+Settings!$B$5+Settings!$B$6)*3,"F","")))</f>
        <v/>
      </c>
      <c r="AA1504" s="20">
        <f>IF($Z1504="C",$Y1504,IF($Z1504="A",$Y1504-Settings!$B$4*3,IF($Z1504="F",$Y1504-(Settings!$B$4+Settings!$B$5)*3,"")))</f>
        <v/>
      </c>
      <c r="AB1504" s="20">
        <f>IF($Z1504="","",INT(($AA1504-1)/3)+1)</f>
        <v/>
      </c>
      <c r="AC1504" s="20">
        <f>IF($Z1504="","",MOD($AA1504-1,3)+1)</f>
        <v/>
      </c>
      <c r="AD1504" s="20">
        <f>IF($Z1504="","",Settings!$B$2+$AC1504-1)</f>
        <v/>
      </c>
      <c r="AE1504" s="21">
        <f>IF($Z1504="C",DATE(YEAR(INDEX(Contracts!$J$2:$J$151,$AB1504)),MONTH(INDEX(Contracts!$J$2:$J$151,$AB1504)),1),IF($Z1504="A",DATE(YEAR(INDEX(Fixed_Assets!$G$2:$G$201,$AB1504)),MONTH(INDEX(Fixed_Assets!$G$2:$G$201,$AB1504)),1),IF($Z1504="F",DATE(YEAR(MAX(N(INDEX(Workforce!$I$2:$I$151,MATCH(INDEX(FTE_Allocation!$A$2:$A$201,$AB1504),Workforce!$A$2:$A$151,0))),N(INDEX(FTE_Allocation!$I$2:$I$201,$AB1504)))),MONTH(MAX(N(INDEX(Workforce!$I$2:$I$151,MATCH(INDEX(FTE_Allocation!$A$2:$A$201,$AB1504),Workforce!$A$2:$A$151,0))),N(INDEX(FTE_Allocation!$I$2:$I$201,$AB1504)))),1),"")))</f>
        <v/>
      </c>
      <c r="AF1504" s="21">
        <f>IF($Z1504="C",IF(INDEX(Contracts!$I$2:$I$151,$AB1504)="PREPAID",EDATE(DATE(YEAR(INDEX(Contracts!$J$2:$J$151,$AB1504)),MONTH(INDEX(Contracts!$J$2:$J$151,$AB1504)),1),IF(INDEX(Contracts!$N$2:$N$151,$AB1504)="",12,INDEX(Contracts!$N$2:$N$151,$AB1504))-1),IF(INDEX(Contracts!$I$2:$I$151,$AB1504)="MONTHLY",IF(INDEX(Contracts!$K$2:$K$151,$AB1504)="",2958101,INDEX(Contracts!$K$2:$K$151,$AB1504)),0)),IF($Z1504="A",EDATE(DATE(YEAR(INDEX(Fixed_Assets!$G$2:$G$201,$AB1504)),MONTH(INDEX(Fixed_Assets!$G$2:$G$201,$AB1504)),1),INDEX(Fixed_Assets!$J$2:$J$201,$AB1504)-1),IF($Z1504="F",MIN(IF(INDEX(Workforce!$J$2:$J$151,MATCH(INDEX(FTE_Allocation!$A$2:$A$201,$AB1504),Workforce!$A$2:$A$151,0))="",2958101,INDEX(Workforce!$J$2:$J$151,MATCH(INDEX(FTE_Allocation!$A$2:$A$201,$AB1504),Workforce!$A$2:$A$151,0))),IF(INDEX(FTE_Allocation!$J$2:$J$201,$AB1504)="",2958101,INDEX(FTE_Allocation!$J$2:$J$201,$AB1504))),"")))</f>
        <v/>
      </c>
      <c r="AG1504" s="19">
        <f>IF($Z1504="C",IF(INDEX(Contracts!$I$2:$I$151,$AB1504)="PREPAID",INDEX(Contracts!$M$2:$M$151,$AB1504)/IF(INDEX(Contracts!$N$2:$N$151,$AB1504)="",12,INDEX(Contracts!$N$2:$N$151,$AB1504)),IF(INDEX(Contracts!$I$2:$I$151,$AB1504)="MONTHLY",INDEX(Contracts!$M$2:$M$151,$AB1504),0))*(1-N(INDEX(Contracts!$O$2:$O$151,$AB1504))),IF($Z1504="A",INDEX(Fixed_Assets!$H$2:$H$201,$AB1504)/INDEX(Fixed_Assets!$J$2:$J$201,$AB1504),IF($Z1504="F",INDEX(Workforce!$F$2:$F$151,MATCH(INDEX(FTE_Allocation!$A$2:$A$201,$AB1504),Workforce!$A$2:$A$151,0))*N(INDEX(FTE_Allocation!$F$2:$H$201,$AB1504,$AC1504)),"")))</f>
        <v/>
      </c>
    </row>
    <row r="1505">
      <c r="A1505" s="7">
        <f>IF($Z1505="","",$AD1505)</f>
        <v/>
      </c>
      <c r="B1505" s="7">
        <f>IF($Z1505="C",INDEX(Contracts!$D$2:$D$151,$AB1505)&amp;"",IF($Z1505="A",INDEX(Fixed_Assets!$C$2:$C$201,$AB1505)&amp;"",IF($Z1505="F",INDEX(Workforce!$B$2:$B$151,MATCH(INDEX(FTE_Allocation!$A$2:$A$201,$AB1505),Workforce!$A$2:$A$151,0))&amp;"","")))</f>
        <v/>
      </c>
      <c r="C1505" s="7">
        <f>IF($Z1505="C",INDEX(Contracts!$E$2:$E$151,$AB1505)&amp;"",IF($Z1505="A",INDEX(Fixed_Assets!$D$2:$D$201,$AB1505)&amp;"",IF($Z1505="F",INDEX(FTE_Allocation!$C$2:$C$201,$AB1505)&amp;"","")))</f>
        <v/>
      </c>
      <c r="D1505" s="7">
        <f>IF($Z1505="C",INDEX(Contracts!$B$2:$B$151,$AB1505)&amp;"",IF($Z1505="A",INDEX(Fixed_Assets!$B$2:$B$201,$AB1505)&amp;"",IF($Z1505="F",INDEX(FTE_Allocation!$B$2:$B$201,$AB1505)&amp;"","")))</f>
        <v/>
      </c>
      <c r="E1505" s="7">
        <f>IF($Z1505="C",INDEX(Contracts!$P$2:$P$151,$AB1505)&amp;"",IF($Z1505="A",INDEX(Fixed_Assets!$K$2:$K$201,$AB1505)&amp;"",IF($Z1505="F",IF(INDEX(FTE_Allocation!$D$2:$D$201,$AB1505)="PROJECT",IFERROR(INDEX(Projects!$D:$D,MATCH(INDEX(FTE_Allocation!$E$2:$E$201,$AB1505),Projects!$A:$A,0))&amp;"","#PROJECT?"),INDEX(FTE_Allocation!$E$2:$E$201,$AB1505)&amp;""),"")))</f>
        <v/>
      </c>
      <c r="F1505" s="7">
        <f>IF($Z1505="C",INDEX(Contracts!$Q$2:$Q$151,$AB1505)&amp;"",IF($Z1505="A",INDEX(Fixed_Assets!$L$2:$L$201,$AB1505)&amp;"",IF($Z1505="F",INDEX(Workforce!$K$2:$K$151,MATCH(INDEX(FTE_Allocation!$A$2:$A$201,$AB1505),Workforce!$A$2:$A$151,0))&amp;"","")))</f>
        <v/>
      </c>
      <c r="G1505" s="7">
        <f>IF($Z1505="C",INDEX(Contracts!$F$2:$F$151,$AB1505)&amp;" / "&amp;INDEX(Contracts!$G$2:$G$151,$AB1505),IF($Z1505="A",INDEX(Fixed_Assets!$E$2:$E$201,$AB1505)&amp;"",IF($Z1505="F","Personnel "&amp;INDEX(FTE_Allocation!$A$2:$A$201,$AB1505)&amp;IF(INDEX(FTE_Allocation!$D$2:$D$201,$AB1505)="PROJECT"," ("&amp;INDEX(FTE_Allocation!$E$2:$E$201,$AB1505)&amp;")",""),"")))</f>
        <v/>
      </c>
      <c r="H1505" s="7">
        <f>IF($Z1505="C","CONTRACT",IF($Z1505="A","ASSET",IF($Z1505="F","WORKFORCE","")))</f>
        <v/>
      </c>
      <c r="I1505" s="7">
        <f>IF($Z1505="C",INDEX(Contracts!$L$2:$L$151,$AB1505)&amp;"",IF($Z1505="A",INDEX(Fixed_Assets!$I$2:$I$201,$AB1505)&amp;"",IF($Z1505="F",INDEX(Workforce!$G$2:$G$151,MATCH(INDEX(FTE_Allocation!$A$2:$A$201,$AB1505),Workforce!$A$2:$A$151,0))&amp;"","")))</f>
        <v/>
      </c>
      <c r="J1505" s="18">
        <f>IF($Z1505="","",IF(AND(DATE($AD1505,1,1)&gt;=$AE1505,DATE($AD1505,1,1)&lt;=$AF1505),ROUND($AG1505,2),0))</f>
        <v/>
      </c>
      <c r="K1505" s="18">
        <f>IF($Z1505="","",IF(AND(DATE($AD1505,2,1)&gt;=$AE1505,DATE($AD1505,2,1)&lt;=$AF1505),ROUND($AG1505,2),0))</f>
        <v/>
      </c>
      <c r="L1505" s="18">
        <f>IF($Z1505="","",IF(AND(DATE($AD1505,3,1)&gt;=$AE1505,DATE($AD1505,3,1)&lt;=$AF1505),ROUND($AG1505,2),0))</f>
        <v/>
      </c>
      <c r="M1505" s="18">
        <f>IF($Z1505="","",IF(AND(DATE($AD1505,4,1)&gt;=$AE1505,DATE($AD1505,4,1)&lt;=$AF1505),ROUND($AG1505,2),0))</f>
        <v/>
      </c>
      <c r="N1505" s="18">
        <f>IF($Z1505="","",IF(AND(DATE($AD1505,5,1)&gt;=$AE1505,DATE($AD1505,5,1)&lt;=$AF1505),ROUND($AG1505,2),0))</f>
        <v/>
      </c>
      <c r="O1505" s="18">
        <f>IF($Z1505="","",IF(AND(DATE($AD1505,6,1)&gt;=$AE1505,DATE($AD1505,6,1)&lt;=$AF1505),ROUND($AG1505,2),0))</f>
        <v/>
      </c>
      <c r="P1505" s="18">
        <f>IF($Z1505="","",IF(AND(DATE($AD1505,7,1)&gt;=$AE1505,DATE($AD1505,7,1)&lt;=$AF1505),ROUND($AG1505,2),0))</f>
        <v/>
      </c>
      <c r="Q1505" s="18">
        <f>IF($Z1505="","",IF(AND(DATE($AD1505,8,1)&gt;=$AE1505,DATE($AD1505,8,1)&lt;=$AF1505),ROUND($AG1505,2),0))</f>
        <v/>
      </c>
      <c r="R1505" s="18">
        <f>IF($Z1505="","",IF(AND(DATE($AD1505,9,1)&gt;=$AE1505,DATE($AD1505,9,1)&lt;=$AF1505),ROUND($AG1505,2),0))</f>
        <v/>
      </c>
      <c r="S1505" s="18">
        <f>IF($Z1505="","",IF(AND(DATE($AD1505,10,1)&gt;=$AE1505,DATE($AD1505,10,1)&lt;=$AF1505),ROUND($AG1505,2),0))</f>
        <v/>
      </c>
      <c r="T1505" s="18">
        <f>IF($Z1505="","",IF(AND(DATE($AD1505,11,1)&gt;=$AE1505,DATE($AD1505,11,1)&lt;=$AF1505),ROUND($AG1505,2),0))</f>
        <v/>
      </c>
      <c r="U1505" s="18">
        <f>IF($Z1505="","",IF(AND(DATE($AD1505,12,1)&gt;=$AE1505,DATE($AD1505,12,1)&lt;=$AF1505),ROUND($AG1505,2),0))</f>
        <v/>
      </c>
      <c r="V1505" s="7">
        <f>IF($Z1505="C","Generated from "&amp;INDEX(Contracts!$A$2:$A$151,$AB1505),IF($Z1505="A","Generated from "&amp;INDEX(Fixed_Assets!$A$2:$A$201,$AB1505),IF($Z1505="F","Generated from "&amp;INDEX(FTE_Allocation!$A$2:$A$201,$AB1505),"")))</f>
        <v/>
      </c>
      <c r="X1505" s="19">
        <f>IF($Z1505="","",SUM(J1505:U1505))</f>
        <v/>
      </c>
      <c r="Y1505" s="20">
        <f>ROW()-1</f>
        <v/>
      </c>
      <c r="Z1505" s="20">
        <f>IF($Y1505&lt;=Settings!$B$4*3,"C",IF($Y1505&lt;=(Settings!$B$4+Settings!$B$5)*3,"A",IF($Y1505&lt;=(Settings!$B$4+Settings!$B$5+Settings!$B$6)*3,"F","")))</f>
        <v/>
      </c>
      <c r="AA1505" s="20">
        <f>IF($Z1505="C",$Y1505,IF($Z1505="A",$Y1505-Settings!$B$4*3,IF($Z1505="F",$Y1505-(Settings!$B$4+Settings!$B$5)*3,"")))</f>
        <v/>
      </c>
      <c r="AB1505" s="20">
        <f>IF($Z1505="","",INT(($AA1505-1)/3)+1)</f>
        <v/>
      </c>
      <c r="AC1505" s="20">
        <f>IF($Z1505="","",MOD($AA1505-1,3)+1)</f>
        <v/>
      </c>
      <c r="AD1505" s="20">
        <f>IF($Z1505="","",Settings!$B$2+$AC1505-1)</f>
        <v/>
      </c>
      <c r="AE1505" s="21">
        <f>IF($Z1505="C",DATE(YEAR(INDEX(Contracts!$J$2:$J$151,$AB1505)),MONTH(INDEX(Contracts!$J$2:$J$151,$AB1505)),1),IF($Z1505="A",DATE(YEAR(INDEX(Fixed_Assets!$G$2:$G$201,$AB1505)),MONTH(INDEX(Fixed_Assets!$G$2:$G$201,$AB1505)),1),IF($Z1505="F",DATE(YEAR(MAX(N(INDEX(Workforce!$I$2:$I$151,MATCH(INDEX(FTE_Allocation!$A$2:$A$201,$AB1505),Workforce!$A$2:$A$151,0))),N(INDEX(FTE_Allocation!$I$2:$I$201,$AB1505)))),MONTH(MAX(N(INDEX(Workforce!$I$2:$I$151,MATCH(INDEX(FTE_Allocation!$A$2:$A$201,$AB1505),Workforce!$A$2:$A$151,0))),N(INDEX(FTE_Allocation!$I$2:$I$201,$AB1505)))),1),"")))</f>
        <v/>
      </c>
      <c r="AF1505" s="21">
        <f>IF($Z1505="C",IF(INDEX(Contracts!$I$2:$I$151,$AB1505)="PREPAID",EDATE(DATE(YEAR(INDEX(Contracts!$J$2:$J$151,$AB1505)),MONTH(INDEX(Contracts!$J$2:$J$151,$AB1505)),1),IF(INDEX(Contracts!$N$2:$N$151,$AB1505)="",12,INDEX(Contracts!$N$2:$N$151,$AB1505))-1),IF(INDEX(Contracts!$I$2:$I$151,$AB1505)="MONTHLY",IF(INDEX(Contracts!$K$2:$K$151,$AB1505)="",2958101,INDEX(Contracts!$K$2:$K$151,$AB1505)),0)),IF($Z1505="A",EDATE(DATE(YEAR(INDEX(Fixed_Assets!$G$2:$G$201,$AB1505)),MONTH(INDEX(Fixed_Assets!$G$2:$G$201,$AB1505)),1),INDEX(Fixed_Assets!$J$2:$J$201,$AB1505)-1),IF($Z1505="F",MIN(IF(INDEX(Workforce!$J$2:$J$151,MATCH(INDEX(FTE_Allocation!$A$2:$A$201,$AB1505),Workforce!$A$2:$A$151,0))="",2958101,INDEX(Workforce!$J$2:$J$151,MATCH(INDEX(FTE_Allocation!$A$2:$A$201,$AB1505),Workforce!$A$2:$A$151,0))),IF(INDEX(FTE_Allocation!$J$2:$J$201,$AB1505)="",2958101,INDEX(FTE_Allocation!$J$2:$J$201,$AB1505))),"")))</f>
        <v/>
      </c>
      <c r="AG1505" s="19">
        <f>IF($Z1505="C",IF(INDEX(Contracts!$I$2:$I$151,$AB1505)="PREPAID",INDEX(Contracts!$M$2:$M$151,$AB1505)/IF(INDEX(Contracts!$N$2:$N$151,$AB1505)="",12,INDEX(Contracts!$N$2:$N$151,$AB1505)),IF(INDEX(Contracts!$I$2:$I$151,$AB1505)="MONTHLY",INDEX(Contracts!$M$2:$M$151,$AB1505),0))*(1-N(INDEX(Contracts!$O$2:$O$151,$AB1505))),IF($Z1505="A",INDEX(Fixed_Assets!$H$2:$H$201,$AB1505)/INDEX(Fixed_Assets!$J$2:$J$201,$AB1505),IF($Z1505="F",INDEX(Workforce!$F$2:$F$151,MATCH(INDEX(FTE_Allocation!$A$2:$A$201,$AB1505),Workforce!$A$2:$A$151,0))*N(INDEX(FTE_Allocation!$F$2:$H$201,$AB1505,$AC1505)),"")))</f>
        <v/>
      </c>
    </row>
    <row r="1506">
      <c r="A1506" s="7">
        <f>IF($Z1506="","",$AD1506)</f>
        <v/>
      </c>
      <c r="B1506" s="7">
        <f>IF($Z1506="C",INDEX(Contracts!$D$2:$D$151,$AB1506)&amp;"",IF($Z1506="A",INDEX(Fixed_Assets!$C$2:$C$201,$AB1506)&amp;"",IF($Z1506="F",INDEX(Workforce!$B$2:$B$151,MATCH(INDEX(FTE_Allocation!$A$2:$A$201,$AB1506),Workforce!$A$2:$A$151,0))&amp;"","")))</f>
        <v/>
      </c>
      <c r="C1506" s="7">
        <f>IF($Z1506="C",INDEX(Contracts!$E$2:$E$151,$AB1506)&amp;"",IF($Z1506="A",INDEX(Fixed_Assets!$D$2:$D$201,$AB1506)&amp;"",IF($Z1506="F",INDEX(FTE_Allocation!$C$2:$C$201,$AB1506)&amp;"","")))</f>
        <v/>
      </c>
      <c r="D1506" s="7">
        <f>IF($Z1506="C",INDEX(Contracts!$B$2:$B$151,$AB1506)&amp;"",IF($Z1506="A",INDEX(Fixed_Assets!$B$2:$B$201,$AB1506)&amp;"",IF($Z1506="F",INDEX(FTE_Allocation!$B$2:$B$201,$AB1506)&amp;"","")))</f>
        <v/>
      </c>
      <c r="E1506" s="7">
        <f>IF($Z1506="C",INDEX(Contracts!$P$2:$P$151,$AB1506)&amp;"",IF($Z1506="A",INDEX(Fixed_Assets!$K$2:$K$201,$AB1506)&amp;"",IF($Z1506="F",IF(INDEX(FTE_Allocation!$D$2:$D$201,$AB1506)="PROJECT",IFERROR(INDEX(Projects!$D:$D,MATCH(INDEX(FTE_Allocation!$E$2:$E$201,$AB1506),Projects!$A:$A,0))&amp;"","#PROJECT?"),INDEX(FTE_Allocation!$E$2:$E$201,$AB1506)&amp;""),"")))</f>
        <v/>
      </c>
      <c r="F1506" s="7">
        <f>IF($Z1506="C",INDEX(Contracts!$Q$2:$Q$151,$AB1506)&amp;"",IF($Z1506="A",INDEX(Fixed_Assets!$L$2:$L$201,$AB1506)&amp;"",IF($Z1506="F",INDEX(Workforce!$K$2:$K$151,MATCH(INDEX(FTE_Allocation!$A$2:$A$201,$AB1506),Workforce!$A$2:$A$151,0))&amp;"","")))</f>
        <v/>
      </c>
      <c r="G1506" s="7">
        <f>IF($Z1506="C",INDEX(Contracts!$F$2:$F$151,$AB1506)&amp;" / "&amp;INDEX(Contracts!$G$2:$G$151,$AB1506),IF($Z1506="A",INDEX(Fixed_Assets!$E$2:$E$201,$AB1506)&amp;"",IF($Z1506="F","Personnel "&amp;INDEX(FTE_Allocation!$A$2:$A$201,$AB1506)&amp;IF(INDEX(FTE_Allocation!$D$2:$D$201,$AB1506)="PROJECT"," ("&amp;INDEX(FTE_Allocation!$E$2:$E$201,$AB1506)&amp;")",""),"")))</f>
        <v/>
      </c>
      <c r="H1506" s="7">
        <f>IF($Z1506="C","CONTRACT",IF($Z1506="A","ASSET",IF($Z1506="F","WORKFORCE","")))</f>
        <v/>
      </c>
      <c r="I1506" s="7">
        <f>IF($Z1506="C",INDEX(Contracts!$L$2:$L$151,$AB1506)&amp;"",IF($Z1506="A",INDEX(Fixed_Assets!$I$2:$I$201,$AB1506)&amp;"",IF($Z1506="F",INDEX(Workforce!$G$2:$G$151,MATCH(INDEX(FTE_Allocation!$A$2:$A$201,$AB1506),Workforce!$A$2:$A$151,0))&amp;"","")))</f>
        <v/>
      </c>
      <c r="J1506" s="18">
        <f>IF($Z1506="","",IF(AND(DATE($AD1506,1,1)&gt;=$AE1506,DATE($AD1506,1,1)&lt;=$AF1506),ROUND($AG1506,2),0))</f>
        <v/>
      </c>
      <c r="K1506" s="18">
        <f>IF($Z1506="","",IF(AND(DATE($AD1506,2,1)&gt;=$AE1506,DATE($AD1506,2,1)&lt;=$AF1506),ROUND($AG1506,2),0))</f>
        <v/>
      </c>
      <c r="L1506" s="18">
        <f>IF($Z1506="","",IF(AND(DATE($AD1506,3,1)&gt;=$AE1506,DATE($AD1506,3,1)&lt;=$AF1506),ROUND($AG1506,2),0))</f>
        <v/>
      </c>
      <c r="M1506" s="18">
        <f>IF($Z1506="","",IF(AND(DATE($AD1506,4,1)&gt;=$AE1506,DATE($AD1506,4,1)&lt;=$AF1506),ROUND($AG1506,2),0))</f>
        <v/>
      </c>
      <c r="N1506" s="18">
        <f>IF($Z1506="","",IF(AND(DATE($AD1506,5,1)&gt;=$AE1506,DATE($AD1506,5,1)&lt;=$AF1506),ROUND($AG1506,2),0))</f>
        <v/>
      </c>
      <c r="O1506" s="18">
        <f>IF($Z1506="","",IF(AND(DATE($AD1506,6,1)&gt;=$AE1506,DATE($AD1506,6,1)&lt;=$AF1506),ROUND($AG1506,2),0))</f>
        <v/>
      </c>
      <c r="P1506" s="18">
        <f>IF($Z1506="","",IF(AND(DATE($AD1506,7,1)&gt;=$AE1506,DATE($AD1506,7,1)&lt;=$AF1506),ROUND($AG1506,2),0))</f>
        <v/>
      </c>
      <c r="Q1506" s="18">
        <f>IF($Z1506="","",IF(AND(DATE($AD1506,8,1)&gt;=$AE1506,DATE($AD1506,8,1)&lt;=$AF1506),ROUND($AG1506,2),0))</f>
        <v/>
      </c>
      <c r="R1506" s="18">
        <f>IF($Z1506="","",IF(AND(DATE($AD1506,9,1)&gt;=$AE1506,DATE($AD1506,9,1)&lt;=$AF1506),ROUND($AG1506,2),0))</f>
        <v/>
      </c>
      <c r="S1506" s="18">
        <f>IF($Z1506="","",IF(AND(DATE($AD1506,10,1)&gt;=$AE1506,DATE($AD1506,10,1)&lt;=$AF1506),ROUND($AG1506,2),0))</f>
        <v/>
      </c>
      <c r="T1506" s="18">
        <f>IF($Z1506="","",IF(AND(DATE($AD1506,11,1)&gt;=$AE1506,DATE($AD1506,11,1)&lt;=$AF1506),ROUND($AG1506,2),0))</f>
        <v/>
      </c>
      <c r="U1506" s="18">
        <f>IF($Z1506="","",IF(AND(DATE($AD1506,12,1)&gt;=$AE1506,DATE($AD1506,12,1)&lt;=$AF1506),ROUND($AG1506,2),0))</f>
        <v/>
      </c>
      <c r="V1506" s="7">
        <f>IF($Z1506="C","Generated from "&amp;INDEX(Contracts!$A$2:$A$151,$AB1506),IF($Z1506="A","Generated from "&amp;INDEX(Fixed_Assets!$A$2:$A$201,$AB1506),IF($Z1506="F","Generated from "&amp;INDEX(FTE_Allocation!$A$2:$A$201,$AB1506),"")))</f>
        <v/>
      </c>
      <c r="X1506" s="19">
        <f>IF($Z1506="","",SUM(J1506:U1506))</f>
        <v/>
      </c>
      <c r="Y1506" s="20">
        <f>ROW()-1</f>
        <v/>
      </c>
      <c r="Z1506" s="20">
        <f>IF($Y1506&lt;=Settings!$B$4*3,"C",IF($Y1506&lt;=(Settings!$B$4+Settings!$B$5)*3,"A",IF($Y1506&lt;=(Settings!$B$4+Settings!$B$5+Settings!$B$6)*3,"F","")))</f>
        <v/>
      </c>
      <c r="AA1506" s="20">
        <f>IF($Z1506="C",$Y1506,IF($Z1506="A",$Y1506-Settings!$B$4*3,IF($Z1506="F",$Y1506-(Settings!$B$4+Settings!$B$5)*3,"")))</f>
        <v/>
      </c>
      <c r="AB1506" s="20">
        <f>IF($Z1506="","",INT(($AA1506-1)/3)+1)</f>
        <v/>
      </c>
      <c r="AC1506" s="20">
        <f>IF($Z1506="","",MOD($AA1506-1,3)+1)</f>
        <v/>
      </c>
      <c r="AD1506" s="20">
        <f>IF($Z1506="","",Settings!$B$2+$AC1506-1)</f>
        <v/>
      </c>
      <c r="AE1506" s="21">
        <f>IF($Z1506="C",DATE(YEAR(INDEX(Contracts!$J$2:$J$151,$AB1506)),MONTH(INDEX(Contracts!$J$2:$J$151,$AB1506)),1),IF($Z1506="A",DATE(YEAR(INDEX(Fixed_Assets!$G$2:$G$201,$AB1506)),MONTH(INDEX(Fixed_Assets!$G$2:$G$201,$AB1506)),1),IF($Z1506="F",DATE(YEAR(MAX(N(INDEX(Workforce!$I$2:$I$151,MATCH(INDEX(FTE_Allocation!$A$2:$A$201,$AB1506),Workforce!$A$2:$A$151,0))),N(INDEX(FTE_Allocation!$I$2:$I$201,$AB1506)))),MONTH(MAX(N(INDEX(Workforce!$I$2:$I$151,MATCH(INDEX(FTE_Allocation!$A$2:$A$201,$AB1506),Workforce!$A$2:$A$151,0))),N(INDEX(FTE_Allocation!$I$2:$I$201,$AB1506)))),1),"")))</f>
        <v/>
      </c>
      <c r="AF1506" s="21">
        <f>IF($Z1506="C",IF(INDEX(Contracts!$I$2:$I$151,$AB1506)="PREPAID",EDATE(DATE(YEAR(INDEX(Contracts!$J$2:$J$151,$AB1506)),MONTH(INDEX(Contracts!$J$2:$J$151,$AB1506)),1),IF(INDEX(Contracts!$N$2:$N$151,$AB1506)="",12,INDEX(Contracts!$N$2:$N$151,$AB1506))-1),IF(INDEX(Contracts!$I$2:$I$151,$AB1506)="MONTHLY",IF(INDEX(Contracts!$K$2:$K$151,$AB1506)="",2958101,INDEX(Contracts!$K$2:$K$151,$AB1506)),0)),IF($Z1506="A",EDATE(DATE(YEAR(INDEX(Fixed_Assets!$G$2:$G$201,$AB1506)),MONTH(INDEX(Fixed_Assets!$G$2:$G$201,$AB1506)),1),INDEX(Fixed_Assets!$J$2:$J$201,$AB1506)-1),IF($Z1506="F",MIN(IF(INDEX(Workforce!$J$2:$J$151,MATCH(INDEX(FTE_Allocation!$A$2:$A$201,$AB1506),Workforce!$A$2:$A$151,0))="",2958101,INDEX(Workforce!$J$2:$J$151,MATCH(INDEX(FTE_Allocation!$A$2:$A$201,$AB1506),Workforce!$A$2:$A$151,0))),IF(INDEX(FTE_Allocation!$J$2:$J$201,$AB1506)="",2958101,INDEX(FTE_Allocation!$J$2:$J$201,$AB1506))),"")))</f>
        <v/>
      </c>
      <c r="AG1506" s="19">
        <f>IF($Z1506="C",IF(INDEX(Contracts!$I$2:$I$151,$AB1506)="PREPAID",INDEX(Contracts!$M$2:$M$151,$AB1506)/IF(INDEX(Contracts!$N$2:$N$151,$AB1506)="",12,INDEX(Contracts!$N$2:$N$151,$AB1506)),IF(INDEX(Contracts!$I$2:$I$151,$AB1506)="MONTHLY",INDEX(Contracts!$M$2:$M$151,$AB1506),0))*(1-N(INDEX(Contracts!$O$2:$O$151,$AB1506))),IF($Z1506="A",INDEX(Fixed_Assets!$H$2:$H$201,$AB1506)/INDEX(Fixed_Assets!$J$2:$J$201,$AB1506),IF($Z1506="F",INDEX(Workforce!$F$2:$F$151,MATCH(INDEX(FTE_Allocation!$A$2:$A$201,$AB1506),Workforce!$A$2:$A$151,0))*N(INDEX(FTE_Allocation!$F$2:$H$201,$AB1506,$AC1506)),"")))</f>
        <v/>
      </c>
    </row>
    <row r="1507">
      <c r="A1507" s="7">
        <f>IF($Z1507="","",$AD1507)</f>
        <v/>
      </c>
      <c r="B1507" s="7">
        <f>IF($Z1507="C",INDEX(Contracts!$D$2:$D$151,$AB1507)&amp;"",IF($Z1507="A",INDEX(Fixed_Assets!$C$2:$C$201,$AB1507)&amp;"",IF($Z1507="F",INDEX(Workforce!$B$2:$B$151,MATCH(INDEX(FTE_Allocation!$A$2:$A$201,$AB1507),Workforce!$A$2:$A$151,0))&amp;"","")))</f>
        <v/>
      </c>
      <c r="C1507" s="7">
        <f>IF($Z1507="C",INDEX(Contracts!$E$2:$E$151,$AB1507)&amp;"",IF($Z1507="A",INDEX(Fixed_Assets!$D$2:$D$201,$AB1507)&amp;"",IF($Z1507="F",INDEX(FTE_Allocation!$C$2:$C$201,$AB1507)&amp;"","")))</f>
        <v/>
      </c>
      <c r="D1507" s="7">
        <f>IF($Z1507="C",INDEX(Contracts!$B$2:$B$151,$AB1507)&amp;"",IF($Z1507="A",INDEX(Fixed_Assets!$B$2:$B$201,$AB1507)&amp;"",IF($Z1507="F",INDEX(FTE_Allocation!$B$2:$B$201,$AB1507)&amp;"","")))</f>
        <v/>
      </c>
      <c r="E1507" s="7">
        <f>IF($Z1507="C",INDEX(Contracts!$P$2:$P$151,$AB1507)&amp;"",IF($Z1507="A",INDEX(Fixed_Assets!$K$2:$K$201,$AB1507)&amp;"",IF($Z1507="F",IF(INDEX(FTE_Allocation!$D$2:$D$201,$AB1507)="PROJECT",IFERROR(INDEX(Projects!$D:$D,MATCH(INDEX(FTE_Allocation!$E$2:$E$201,$AB1507),Projects!$A:$A,0))&amp;"","#PROJECT?"),INDEX(FTE_Allocation!$E$2:$E$201,$AB1507)&amp;""),"")))</f>
        <v/>
      </c>
      <c r="F1507" s="7">
        <f>IF($Z1507="C",INDEX(Contracts!$Q$2:$Q$151,$AB1507)&amp;"",IF($Z1507="A",INDEX(Fixed_Assets!$L$2:$L$201,$AB1507)&amp;"",IF($Z1507="F",INDEX(Workforce!$K$2:$K$151,MATCH(INDEX(FTE_Allocation!$A$2:$A$201,$AB1507),Workforce!$A$2:$A$151,0))&amp;"","")))</f>
        <v/>
      </c>
      <c r="G1507" s="7">
        <f>IF($Z1507="C",INDEX(Contracts!$F$2:$F$151,$AB1507)&amp;" / "&amp;INDEX(Contracts!$G$2:$G$151,$AB1507),IF($Z1507="A",INDEX(Fixed_Assets!$E$2:$E$201,$AB1507)&amp;"",IF($Z1507="F","Personnel "&amp;INDEX(FTE_Allocation!$A$2:$A$201,$AB1507)&amp;IF(INDEX(FTE_Allocation!$D$2:$D$201,$AB1507)="PROJECT"," ("&amp;INDEX(FTE_Allocation!$E$2:$E$201,$AB1507)&amp;")",""),"")))</f>
        <v/>
      </c>
      <c r="H1507" s="7">
        <f>IF($Z1507="C","CONTRACT",IF($Z1507="A","ASSET",IF($Z1507="F","WORKFORCE","")))</f>
        <v/>
      </c>
      <c r="I1507" s="7">
        <f>IF($Z1507="C",INDEX(Contracts!$L$2:$L$151,$AB1507)&amp;"",IF($Z1507="A",INDEX(Fixed_Assets!$I$2:$I$201,$AB1507)&amp;"",IF($Z1507="F",INDEX(Workforce!$G$2:$G$151,MATCH(INDEX(FTE_Allocation!$A$2:$A$201,$AB1507),Workforce!$A$2:$A$151,0))&amp;"","")))</f>
        <v/>
      </c>
      <c r="J1507" s="18">
        <f>IF($Z1507="","",IF(AND(DATE($AD1507,1,1)&gt;=$AE1507,DATE($AD1507,1,1)&lt;=$AF1507),ROUND($AG1507,2),0))</f>
        <v/>
      </c>
      <c r="K1507" s="18">
        <f>IF($Z1507="","",IF(AND(DATE($AD1507,2,1)&gt;=$AE1507,DATE($AD1507,2,1)&lt;=$AF1507),ROUND($AG1507,2),0))</f>
        <v/>
      </c>
      <c r="L1507" s="18">
        <f>IF($Z1507="","",IF(AND(DATE($AD1507,3,1)&gt;=$AE1507,DATE($AD1507,3,1)&lt;=$AF1507),ROUND($AG1507,2),0))</f>
        <v/>
      </c>
      <c r="M1507" s="18">
        <f>IF($Z1507="","",IF(AND(DATE($AD1507,4,1)&gt;=$AE1507,DATE($AD1507,4,1)&lt;=$AF1507),ROUND($AG1507,2),0))</f>
        <v/>
      </c>
      <c r="N1507" s="18">
        <f>IF($Z1507="","",IF(AND(DATE($AD1507,5,1)&gt;=$AE1507,DATE($AD1507,5,1)&lt;=$AF1507),ROUND($AG1507,2),0))</f>
        <v/>
      </c>
      <c r="O1507" s="18">
        <f>IF($Z1507="","",IF(AND(DATE($AD1507,6,1)&gt;=$AE1507,DATE($AD1507,6,1)&lt;=$AF1507),ROUND($AG1507,2),0))</f>
        <v/>
      </c>
      <c r="P1507" s="18">
        <f>IF($Z1507="","",IF(AND(DATE($AD1507,7,1)&gt;=$AE1507,DATE($AD1507,7,1)&lt;=$AF1507),ROUND($AG1507,2),0))</f>
        <v/>
      </c>
      <c r="Q1507" s="18">
        <f>IF($Z1507="","",IF(AND(DATE($AD1507,8,1)&gt;=$AE1507,DATE($AD1507,8,1)&lt;=$AF1507),ROUND($AG1507,2),0))</f>
        <v/>
      </c>
      <c r="R1507" s="18">
        <f>IF($Z1507="","",IF(AND(DATE($AD1507,9,1)&gt;=$AE1507,DATE($AD1507,9,1)&lt;=$AF1507),ROUND($AG1507,2),0))</f>
        <v/>
      </c>
      <c r="S1507" s="18">
        <f>IF($Z1507="","",IF(AND(DATE($AD1507,10,1)&gt;=$AE1507,DATE($AD1507,10,1)&lt;=$AF1507),ROUND($AG1507,2),0))</f>
        <v/>
      </c>
      <c r="T1507" s="18">
        <f>IF($Z1507="","",IF(AND(DATE($AD1507,11,1)&gt;=$AE1507,DATE($AD1507,11,1)&lt;=$AF1507),ROUND($AG1507,2),0))</f>
        <v/>
      </c>
      <c r="U1507" s="18">
        <f>IF($Z1507="","",IF(AND(DATE($AD1507,12,1)&gt;=$AE1507,DATE($AD1507,12,1)&lt;=$AF1507),ROUND($AG1507,2),0))</f>
        <v/>
      </c>
      <c r="V1507" s="7">
        <f>IF($Z1507="C","Generated from "&amp;INDEX(Contracts!$A$2:$A$151,$AB1507),IF($Z1507="A","Generated from "&amp;INDEX(Fixed_Assets!$A$2:$A$201,$AB1507),IF($Z1507="F","Generated from "&amp;INDEX(FTE_Allocation!$A$2:$A$201,$AB1507),"")))</f>
        <v/>
      </c>
      <c r="X1507" s="19">
        <f>IF($Z1507="","",SUM(J1507:U1507))</f>
        <v/>
      </c>
      <c r="Y1507" s="20">
        <f>ROW()-1</f>
        <v/>
      </c>
      <c r="Z1507" s="20">
        <f>IF($Y1507&lt;=Settings!$B$4*3,"C",IF($Y1507&lt;=(Settings!$B$4+Settings!$B$5)*3,"A",IF($Y1507&lt;=(Settings!$B$4+Settings!$B$5+Settings!$B$6)*3,"F","")))</f>
        <v/>
      </c>
      <c r="AA1507" s="20">
        <f>IF($Z1507="C",$Y1507,IF($Z1507="A",$Y1507-Settings!$B$4*3,IF($Z1507="F",$Y1507-(Settings!$B$4+Settings!$B$5)*3,"")))</f>
        <v/>
      </c>
      <c r="AB1507" s="20">
        <f>IF($Z1507="","",INT(($AA1507-1)/3)+1)</f>
        <v/>
      </c>
      <c r="AC1507" s="20">
        <f>IF($Z1507="","",MOD($AA1507-1,3)+1)</f>
        <v/>
      </c>
      <c r="AD1507" s="20">
        <f>IF($Z1507="","",Settings!$B$2+$AC1507-1)</f>
        <v/>
      </c>
      <c r="AE1507" s="21">
        <f>IF($Z1507="C",DATE(YEAR(INDEX(Contracts!$J$2:$J$151,$AB1507)),MONTH(INDEX(Contracts!$J$2:$J$151,$AB1507)),1),IF($Z1507="A",DATE(YEAR(INDEX(Fixed_Assets!$G$2:$G$201,$AB1507)),MONTH(INDEX(Fixed_Assets!$G$2:$G$201,$AB1507)),1),IF($Z1507="F",DATE(YEAR(MAX(N(INDEX(Workforce!$I$2:$I$151,MATCH(INDEX(FTE_Allocation!$A$2:$A$201,$AB1507),Workforce!$A$2:$A$151,0))),N(INDEX(FTE_Allocation!$I$2:$I$201,$AB1507)))),MONTH(MAX(N(INDEX(Workforce!$I$2:$I$151,MATCH(INDEX(FTE_Allocation!$A$2:$A$201,$AB1507),Workforce!$A$2:$A$151,0))),N(INDEX(FTE_Allocation!$I$2:$I$201,$AB1507)))),1),"")))</f>
        <v/>
      </c>
      <c r="AF1507" s="21">
        <f>IF($Z1507="C",IF(INDEX(Contracts!$I$2:$I$151,$AB1507)="PREPAID",EDATE(DATE(YEAR(INDEX(Contracts!$J$2:$J$151,$AB1507)),MONTH(INDEX(Contracts!$J$2:$J$151,$AB1507)),1),IF(INDEX(Contracts!$N$2:$N$151,$AB1507)="",12,INDEX(Contracts!$N$2:$N$151,$AB1507))-1),IF(INDEX(Contracts!$I$2:$I$151,$AB1507)="MONTHLY",IF(INDEX(Contracts!$K$2:$K$151,$AB1507)="",2958101,INDEX(Contracts!$K$2:$K$151,$AB1507)),0)),IF($Z1507="A",EDATE(DATE(YEAR(INDEX(Fixed_Assets!$G$2:$G$201,$AB1507)),MONTH(INDEX(Fixed_Assets!$G$2:$G$201,$AB1507)),1),INDEX(Fixed_Assets!$J$2:$J$201,$AB1507)-1),IF($Z1507="F",MIN(IF(INDEX(Workforce!$J$2:$J$151,MATCH(INDEX(FTE_Allocation!$A$2:$A$201,$AB1507),Workforce!$A$2:$A$151,0))="",2958101,INDEX(Workforce!$J$2:$J$151,MATCH(INDEX(FTE_Allocation!$A$2:$A$201,$AB1507),Workforce!$A$2:$A$151,0))),IF(INDEX(FTE_Allocation!$J$2:$J$201,$AB1507)="",2958101,INDEX(FTE_Allocation!$J$2:$J$201,$AB1507))),"")))</f>
        <v/>
      </c>
      <c r="AG1507" s="19">
        <f>IF($Z1507="C",IF(INDEX(Contracts!$I$2:$I$151,$AB1507)="PREPAID",INDEX(Contracts!$M$2:$M$151,$AB1507)/IF(INDEX(Contracts!$N$2:$N$151,$AB1507)="",12,INDEX(Contracts!$N$2:$N$151,$AB1507)),IF(INDEX(Contracts!$I$2:$I$151,$AB1507)="MONTHLY",INDEX(Contracts!$M$2:$M$151,$AB1507),0))*(1-N(INDEX(Contracts!$O$2:$O$151,$AB1507))),IF($Z1507="A",INDEX(Fixed_Assets!$H$2:$H$201,$AB1507)/INDEX(Fixed_Assets!$J$2:$J$201,$AB1507),IF($Z1507="F",INDEX(Workforce!$F$2:$F$151,MATCH(INDEX(FTE_Allocation!$A$2:$A$201,$AB1507),Workforce!$A$2:$A$151,0))*N(INDEX(FTE_Allocation!$F$2:$H$201,$AB1507,$AC1507)),"")))</f>
        <v/>
      </c>
    </row>
    <row r="1508">
      <c r="A1508" s="7">
        <f>IF($Z1508="","",$AD1508)</f>
        <v/>
      </c>
      <c r="B1508" s="7">
        <f>IF($Z1508="C",INDEX(Contracts!$D$2:$D$151,$AB1508)&amp;"",IF($Z1508="A",INDEX(Fixed_Assets!$C$2:$C$201,$AB1508)&amp;"",IF($Z1508="F",INDEX(Workforce!$B$2:$B$151,MATCH(INDEX(FTE_Allocation!$A$2:$A$201,$AB1508),Workforce!$A$2:$A$151,0))&amp;"","")))</f>
        <v/>
      </c>
      <c r="C1508" s="7">
        <f>IF($Z1508="C",INDEX(Contracts!$E$2:$E$151,$AB1508)&amp;"",IF($Z1508="A",INDEX(Fixed_Assets!$D$2:$D$201,$AB1508)&amp;"",IF($Z1508="F",INDEX(FTE_Allocation!$C$2:$C$201,$AB1508)&amp;"","")))</f>
        <v/>
      </c>
      <c r="D1508" s="7">
        <f>IF($Z1508="C",INDEX(Contracts!$B$2:$B$151,$AB1508)&amp;"",IF($Z1508="A",INDEX(Fixed_Assets!$B$2:$B$201,$AB1508)&amp;"",IF($Z1508="F",INDEX(FTE_Allocation!$B$2:$B$201,$AB1508)&amp;"","")))</f>
        <v/>
      </c>
      <c r="E1508" s="7">
        <f>IF($Z1508="C",INDEX(Contracts!$P$2:$P$151,$AB1508)&amp;"",IF($Z1508="A",INDEX(Fixed_Assets!$K$2:$K$201,$AB1508)&amp;"",IF($Z1508="F",IF(INDEX(FTE_Allocation!$D$2:$D$201,$AB1508)="PROJECT",IFERROR(INDEX(Projects!$D:$D,MATCH(INDEX(FTE_Allocation!$E$2:$E$201,$AB1508),Projects!$A:$A,0))&amp;"","#PROJECT?"),INDEX(FTE_Allocation!$E$2:$E$201,$AB1508)&amp;""),"")))</f>
        <v/>
      </c>
      <c r="F1508" s="7">
        <f>IF($Z1508="C",INDEX(Contracts!$Q$2:$Q$151,$AB1508)&amp;"",IF($Z1508="A",INDEX(Fixed_Assets!$L$2:$L$201,$AB1508)&amp;"",IF($Z1508="F",INDEX(Workforce!$K$2:$K$151,MATCH(INDEX(FTE_Allocation!$A$2:$A$201,$AB1508),Workforce!$A$2:$A$151,0))&amp;"","")))</f>
        <v/>
      </c>
      <c r="G1508" s="7">
        <f>IF($Z1508="C",INDEX(Contracts!$F$2:$F$151,$AB1508)&amp;" / "&amp;INDEX(Contracts!$G$2:$G$151,$AB1508),IF($Z1508="A",INDEX(Fixed_Assets!$E$2:$E$201,$AB1508)&amp;"",IF($Z1508="F","Personnel "&amp;INDEX(FTE_Allocation!$A$2:$A$201,$AB1508)&amp;IF(INDEX(FTE_Allocation!$D$2:$D$201,$AB1508)="PROJECT"," ("&amp;INDEX(FTE_Allocation!$E$2:$E$201,$AB1508)&amp;")",""),"")))</f>
        <v/>
      </c>
      <c r="H1508" s="7">
        <f>IF($Z1508="C","CONTRACT",IF($Z1508="A","ASSET",IF($Z1508="F","WORKFORCE","")))</f>
        <v/>
      </c>
      <c r="I1508" s="7">
        <f>IF($Z1508="C",INDEX(Contracts!$L$2:$L$151,$AB1508)&amp;"",IF($Z1508="A",INDEX(Fixed_Assets!$I$2:$I$201,$AB1508)&amp;"",IF($Z1508="F",INDEX(Workforce!$G$2:$G$151,MATCH(INDEX(FTE_Allocation!$A$2:$A$201,$AB1508),Workforce!$A$2:$A$151,0))&amp;"","")))</f>
        <v/>
      </c>
      <c r="J1508" s="18">
        <f>IF($Z1508="","",IF(AND(DATE($AD1508,1,1)&gt;=$AE1508,DATE($AD1508,1,1)&lt;=$AF1508),ROUND($AG1508,2),0))</f>
        <v/>
      </c>
      <c r="K1508" s="18">
        <f>IF($Z1508="","",IF(AND(DATE($AD1508,2,1)&gt;=$AE1508,DATE($AD1508,2,1)&lt;=$AF1508),ROUND($AG1508,2),0))</f>
        <v/>
      </c>
      <c r="L1508" s="18">
        <f>IF($Z1508="","",IF(AND(DATE($AD1508,3,1)&gt;=$AE1508,DATE($AD1508,3,1)&lt;=$AF1508),ROUND($AG1508,2),0))</f>
        <v/>
      </c>
      <c r="M1508" s="18">
        <f>IF($Z1508="","",IF(AND(DATE($AD1508,4,1)&gt;=$AE1508,DATE($AD1508,4,1)&lt;=$AF1508),ROUND($AG1508,2),0))</f>
        <v/>
      </c>
      <c r="N1508" s="18">
        <f>IF($Z1508="","",IF(AND(DATE($AD1508,5,1)&gt;=$AE1508,DATE($AD1508,5,1)&lt;=$AF1508),ROUND($AG1508,2),0))</f>
        <v/>
      </c>
      <c r="O1508" s="18">
        <f>IF($Z1508="","",IF(AND(DATE($AD1508,6,1)&gt;=$AE1508,DATE($AD1508,6,1)&lt;=$AF1508),ROUND($AG1508,2),0))</f>
        <v/>
      </c>
      <c r="P1508" s="18">
        <f>IF($Z1508="","",IF(AND(DATE($AD1508,7,1)&gt;=$AE1508,DATE($AD1508,7,1)&lt;=$AF1508),ROUND($AG1508,2),0))</f>
        <v/>
      </c>
      <c r="Q1508" s="18">
        <f>IF($Z1508="","",IF(AND(DATE($AD1508,8,1)&gt;=$AE1508,DATE($AD1508,8,1)&lt;=$AF1508),ROUND($AG1508,2),0))</f>
        <v/>
      </c>
      <c r="R1508" s="18">
        <f>IF($Z1508="","",IF(AND(DATE($AD1508,9,1)&gt;=$AE1508,DATE($AD1508,9,1)&lt;=$AF1508),ROUND($AG1508,2),0))</f>
        <v/>
      </c>
      <c r="S1508" s="18">
        <f>IF($Z1508="","",IF(AND(DATE($AD1508,10,1)&gt;=$AE1508,DATE($AD1508,10,1)&lt;=$AF1508),ROUND($AG1508,2),0))</f>
        <v/>
      </c>
      <c r="T1508" s="18">
        <f>IF($Z1508="","",IF(AND(DATE($AD1508,11,1)&gt;=$AE1508,DATE($AD1508,11,1)&lt;=$AF1508),ROUND($AG1508,2),0))</f>
        <v/>
      </c>
      <c r="U1508" s="18">
        <f>IF($Z1508="","",IF(AND(DATE($AD1508,12,1)&gt;=$AE1508,DATE($AD1508,12,1)&lt;=$AF1508),ROUND($AG1508,2),0))</f>
        <v/>
      </c>
      <c r="V1508" s="7">
        <f>IF($Z1508="C","Generated from "&amp;INDEX(Contracts!$A$2:$A$151,$AB1508),IF($Z1508="A","Generated from "&amp;INDEX(Fixed_Assets!$A$2:$A$201,$AB1508),IF($Z1508="F","Generated from "&amp;INDEX(FTE_Allocation!$A$2:$A$201,$AB1508),"")))</f>
        <v/>
      </c>
      <c r="X1508" s="19">
        <f>IF($Z1508="","",SUM(J1508:U1508))</f>
        <v/>
      </c>
      <c r="Y1508" s="20">
        <f>ROW()-1</f>
        <v/>
      </c>
      <c r="Z1508" s="20">
        <f>IF($Y1508&lt;=Settings!$B$4*3,"C",IF($Y1508&lt;=(Settings!$B$4+Settings!$B$5)*3,"A",IF($Y1508&lt;=(Settings!$B$4+Settings!$B$5+Settings!$B$6)*3,"F","")))</f>
        <v/>
      </c>
      <c r="AA1508" s="20">
        <f>IF($Z1508="C",$Y1508,IF($Z1508="A",$Y1508-Settings!$B$4*3,IF($Z1508="F",$Y1508-(Settings!$B$4+Settings!$B$5)*3,"")))</f>
        <v/>
      </c>
      <c r="AB1508" s="20">
        <f>IF($Z1508="","",INT(($AA1508-1)/3)+1)</f>
        <v/>
      </c>
      <c r="AC1508" s="20">
        <f>IF($Z1508="","",MOD($AA1508-1,3)+1)</f>
        <v/>
      </c>
      <c r="AD1508" s="20">
        <f>IF($Z1508="","",Settings!$B$2+$AC1508-1)</f>
        <v/>
      </c>
      <c r="AE1508" s="21">
        <f>IF($Z1508="C",DATE(YEAR(INDEX(Contracts!$J$2:$J$151,$AB1508)),MONTH(INDEX(Contracts!$J$2:$J$151,$AB1508)),1),IF($Z1508="A",DATE(YEAR(INDEX(Fixed_Assets!$G$2:$G$201,$AB1508)),MONTH(INDEX(Fixed_Assets!$G$2:$G$201,$AB1508)),1),IF($Z1508="F",DATE(YEAR(MAX(N(INDEX(Workforce!$I$2:$I$151,MATCH(INDEX(FTE_Allocation!$A$2:$A$201,$AB1508),Workforce!$A$2:$A$151,0))),N(INDEX(FTE_Allocation!$I$2:$I$201,$AB1508)))),MONTH(MAX(N(INDEX(Workforce!$I$2:$I$151,MATCH(INDEX(FTE_Allocation!$A$2:$A$201,$AB1508),Workforce!$A$2:$A$151,0))),N(INDEX(FTE_Allocation!$I$2:$I$201,$AB1508)))),1),"")))</f>
        <v/>
      </c>
      <c r="AF1508" s="21">
        <f>IF($Z1508="C",IF(INDEX(Contracts!$I$2:$I$151,$AB1508)="PREPAID",EDATE(DATE(YEAR(INDEX(Contracts!$J$2:$J$151,$AB1508)),MONTH(INDEX(Contracts!$J$2:$J$151,$AB1508)),1),IF(INDEX(Contracts!$N$2:$N$151,$AB1508)="",12,INDEX(Contracts!$N$2:$N$151,$AB1508))-1),IF(INDEX(Contracts!$I$2:$I$151,$AB1508)="MONTHLY",IF(INDEX(Contracts!$K$2:$K$151,$AB1508)="",2958101,INDEX(Contracts!$K$2:$K$151,$AB1508)),0)),IF($Z1508="A",EDATE(DATE(YEAR(INDEX(Fixed_Assets!$G$2:$G$201,$AB1508)),MONTH(INDEX(Fixed_Assets!$G$2:$G$201,$AB1508)),1),INDEX(Fixed_Assets!$J$2:$J$201,$AB1508)-1),IF($Z1508="F",MIN(IF(INDEX(Workforce!$J$2:$J$151,MATCH(INDEX(FTE_Allocation!$A$2:$A$201,$AB1508),Workforce!$A$2:$A$151,0))="",2958101,INDEX(Workforce!$J$2:$J$151,MATCH(INDEX(FTE_Allocation!$A$2:$A$201,$AB1508),Workforce!$A$2:$A$151,0))),IF(INDEX(FTE_Allocation!$J$2:$J$201,$AB1508)="",2958101,INDEX(FTE_Allocation!$J$2:$J$201,$AB1508))),"")))</f>
        <v/>
      </c>
      <c r="AG1508" s="19">
        <f>IF($Z1508="C",IF(INDEX(Contracts!$I$2:$I$151,$AB1508)="PREPAID",INDEX(Contracts!$M$2:$M$151,$AB1508)/IF(INDEX(Contracts!$N$2:$N$151,$AB1508)="",12,INDEX(Contracts!$N$2:$N$151,$AB1508)),IF(INDEX(Contracts!$I$2:$I$151,$AB1508)="MONTHLY",INDEX(Contracts!$M$2:$M$151,$AB1508),0))*(1-N(INDEX(Contracts!$O$2:$O$151,$AB1508))),IF($Z1508="A",INDEX(Fixed_Assets!$H$2:$H$201,$AB1508)/INDEX(Fixed_Assets!$J$2:$J$201,$AB1508),IF($Z1508="F",INDEX(Workforce!$F$2:$F$151,MATCH(INDEX(FTE_Allocation!$A$2:$A$201,$AB1508),Workforce!$A$2:$A$151,0))*N(INDEX(FTE_Allocation!$F$2:$H$201,$AB1508,$AC1508)),"")))</f>
        <v/>
      </c>
    </row>
    <row r="1509">
      <c r="A1509" s="7">
        <f>IF($Z1509="","",$AD1509)</f>
        <v/>
      </c>
      <c r="B1509" s="7">
        <f>IF($Z1509="C",INDEX(Contracts!$D$2:$D$151,$AB1509)&amp;"",IF($Z1509="A",INDEX(Fixed_Assets!$C$2:$C$201,$AB1509)&amp;"",IF($Z1509="F",INDEX(Workforce!$B$2:$B$151,MATCH(INDEX(FTE_Allocation!$A$2:$A$201,$AB1509),Workforce!$A$2:$A$151,0))&amp;"","")))</f>
        <v/>
      </c>
      <c r="C1509" s="7">
        <f>IF($Z1509="C",INDEX(Contracts!$E$2:$E$151,$AB1509)&amp;"",IF($Z1509="A",INDEX(Fixed_Assets!$D$2:$D$201,$AB1509)&amp;"",IF($Z1509="F",INDEX(FTE_Allocation!$C$2:$C$201,$AB1509)&amp;"","")))</f>
        <v/>
      </c>
      <c r="D1509" s="7">
        <f>IF($Z1509="C",INDEX(Contracts!$B$2:$B$151,$AB1509)&amp;"",IF($Z1509="A",INDEX(Fixed_Assets!$B$2:$B$201,$AB1509)&amp;"",IF($Z1509="F",INDEX(FTE_Allocation!$B$2:$B$201,$AB1509)&amp;"","")))</f>
        <v/>
      </c>
      <c r="E1509" s="7">
        <f>IF($Z1509="C",INDEX(Contracts!$P$2:$P$151,$AB1509)&amp;"",IF($Z1509="A",INDEX(Fixed_Assets!$K$2:$K$201,$AB1509)&amp;"",IF($Z1509="F",IF(INDEX(FTE_Allocation!$D$2:$D$201,$AB1509)="PROJECT",IFERROR(INDEX(Projects!$D:$D,MATCH(INDEX(FTE_Allocation!$E$2:$E$201,$AB1509),Projects!$A:$A,0))&amp;"","#PROJECT?"),INDEX(FTE_Allocation!$E$2:$E$201,$AB1509)&amp;""),"")))</f>
        <v/>
      </c>
      <c r="F1509" s="7">
        <f>IF($Z1509="C",INDEX(Contracts!$Q$2:$Q$151,$AB1509)&amp;"",IF($Z1509="A",INDEX(Fixed_Assets!$L$2:$L$201,$AB1509)&amp;"",IF($Z1509="F",INDEX(Workforce!$K$2:$K$151,MATCH(INDEX(FTE_Allocation!$A$2:$A$201,$AB1509),Workforce!$A$2:$A$151,0))&amp;"","")))</f>
        <v/>
      </c>
      <c r="G1509" s="7">
        <f>IF($Z1509="C",INDEX(Contracts!$F$2:$F$151,$AB1509)&amp;" / "&amp;INDEX(Contracts!$G$2:$G$151,$AB1509),IF($Z1509="A",INDEX(Fixed_Assets!$E$2:$E$201,$AB1509)&amp;"",IF($Z1509="F","Personnel "&amp;INDEX(FTE_Allocation!$A$2:$A$201,$AB1509)&amp;IF(INDEX(FTE_Allocation!$D$2:$D$201,$AB1509)="PROJECT"," ("&amp;INDEX(FTE_Allocation!$E$2:$E$201,$AB1509)&amp;")",""),"")))</f>
        <v/>
      </c>
      <c r="H1509" s="7">
        <f>IF($Z1509="C","CONTRACT",IF($Z1509="A","ASSET",IF($Z1509="F","WORKFORCE","")))</f>
        <v/>
      </c>
      <c r="I1509" s="7">
        <f>IF($Z1509="C",INDEX(Contracts!$L$2:$L$151,$AB1509)&amp;"",IF($Z1509="A",INDEX(Fixed_Assets!$I$2:$I$201,$AB1509)&amp;"",IF($Z1509="F",INDEX(Workforce!$G$2:$G$151,MATCH(INDEX(FTE_Allocation!$A$2:$A$201,$AB1509),Workforce!$A$2:$A$151,0))&amp;"","")))</f>
        <v/>
      </c>
      <c r="J1509" s="18">
        <f>IF($Z1509="","",IF(AND(DATE($AD1509,1,1)&gt;=$AE1509,DATE($AD1509,1,1)&lt;=$AF1509),ROUND($AG1509,2),0))</f>
        <v/>
      </c>
      <c r="K1509" s="18">
        <f>IF($Z1509="","",IF(AND(DATE($AD1509,2,1)&gt;=$AE1509,DATE($AD1509,2,1)&lt;=$AF1509),ROUND($AG1509,2),0))</f>
        <v/>
      </c>
      <c r="L1509" s="18">
        <f>IF($Z1509="","",IF(AND(DATE($AD1509,3,1)&gt;=$AE1509,DATE($AD1509,3,1)&lt;=$AF1509),ROUND($AG1509,2),0))</f>
        <v/>
      </c>
      <c r="M1509" s="18">
        <f>IF($Z1509="","",IF(AND(DATE($AD1509,4,1)&gt;=$AE1509,DATE($AD1509,4,1)&lt;=$AF1509),ROUND($AG1509,2),0))</f>
        <v/>
      </c>
      <c r="N1509" s="18">
        <f>IF($Z1509="","",IF(AND(DATE($AD1509,5,1)&gt;=$AE1509,DATE($AD1509,5,1)&lt;=$AF1509),ROUND($AG1509,2),0))</f>
        <v/>
      </c>
      <c r="O1509" s="18">
        <f>IF($Z1509="","",IF(AND(DATE($AD1509,6,1)&gt;=$AE1509,DATE($AD1509,6,1)&lt;=$AF1509),ROUND($AG1509,2),0))</f>
        <v/>
      </c>
      <c r="P1509" s="18">
        <f>IF($Z1509="","",IF(AND(DATE($AD1509,7,1)&gt;=$AE1509,DATE($AD1509,7,1)&lt;=$AF1509),ROUND($AG1509,2),0))</f>
        <v/>
      </c>
      <c r="Q1509" s="18">
        <f>IF($Z1509="","",IF(AND(DATE($AD1509,8,1)&gt;=$AE1509,DATE($AD1509,8,1)&lt;=$AF1509),ROUND($AG1509,2),0))</f>
        <v/>
      </c>
      <c r="R1509" s="18">
        <f>IF($Z1509="","",IF(AND(DATE($AD1509,9,1)&gt;=$AE1509,DATE($AD1509,9,1)&lt;=$AF1509),ROUND($AG1509,2),0))</f>
        <v/>
      </c>
      <c r="S1509" s="18">
        <f>IF($Z1509="","",IF(AND(DATE($AD1509,10,1)&gt;=$AE1509,DATE($AD1509,10,1)&lt;=$AF1509),ROUND($AG1509,2),0))</f>
        <v/>
      </c>
      <c r="T1509" s="18">
        <f>IF($Z1509="","",IF(AND(DATE($AD1509,11,1)&gt;=$AE1509,DATE($AD1509,11,1)&lt;=$AF1509),ROUND($AG1509,2),0))</f>
        <v/>
      </c>
      <c r="U1509" s="18">
        <f>IF($Z1509="","",IF(AND(DATE($AD1509,12,1)&gt;=$AE1509,DATE($AD1509,12,1)&lt;=$AF1509),ROUND($AG1509,2),0))</f>
        <v/>
      </c>
      <c r="V1509" s="7">
        <f>IF($Z1509="C","Generated from "&amp;INDEX(Contracts!$A$2:$A$151,$AB1509),IF($Z1509="A","Generated from "&amp;INDEX(Fixed_Assets!$A$2:$A$201,$AB1509),IF($Z1509="F","Generated from "&amp;INDEX(FTE_Allocation!$A$2:$A$201,$AB1509),"")))</f>
        <v/>
      </c>
      <c r="X1509" s="19">
        <f>IF($Z1509="","",SUM(J1509:U1509))</f>
        <v/>
      </c>
      <c r="Y1509" s="20">
        <f>ROW()-1</f>
        <v/>
      </c>
      <c r="Z1509" s="20">
        <f>IF($Y1509&lt;=Settings!$B$4*3,"C",IF($Y1509&lt;=(Settings!$B$4+Settings!$B$5)*3,"A",IF($Y1509&lt;=(Settings!$B$4+Settings!$B$5+Settings!$B$6)*3,"F","")))</f>
        <v/>
      </c>
      <c r="AA1509" s="20">
        <f>IF($Z1509="C",$Y1509,IF($Z1509="A",$Y1509-Settings!$B$4*3,IF($Z1509="F",$Y1509-(Settings!$B$4+Settings!$B$5)*3,"")))</f>
        <v/>
      </c>
      <c r="AB1509" s="20">
        <f>IF($Z1509="","",INT(($AA1509-1)/3)+1)</f>
        <v/>
      </c>
      <c r="AC1509" s="20">
        <f>IF($Z1509="","",MOD($AA1509-1,3)+1)</f>
        <v/>
      </c>
      <c r="AD1509" s="20">
        <f>IF($Z1509="","",Settings!$B$2+$AC1509-1)</f>
        <v/>
      </c>
      <c r="AE1509" s="21">
        <f>IF($Z1509="C",DATE(YEAR(INDEX(Contracts!$J$2:$J$151,$AB1509)),MONTH(INDEX(Contracts!$J$2:$J$151,$AB1509)),1),IF($Z1509="A",DATE(YEAR(INDEX(Fixed_Assets!$G$2:$G$201,$AB1509)),MONTH(INDEX(Fixed_Assets!$G$2:$G$201,$AB1509)),1),IF($Z1509="F",DATE(YEAR(MAX(N(INDEX(Workforce!$I$2:$I$151,MATCH(INDEX(FTE_Allocation!$A$2:$A$201,$AB1509),Workforce!$A$2:$A$151,0))),N(INDEX(FTE_Allocation!$I$2:$I$201,$AB1509)))),MONTH(MAX(N(INDEX(Workforce!$I$2:$I$151,MATCH(INDEX(FTE_Allocation!$A$2:$A$201,$AB1509),Workforce!$A$2:$A$151,0))),N(INDEX(FTE_Allocation!$I$2:$I$201,$AB1509)))),1),"")))</f>
        <v/>
      </c>
      <c r="AF1509" s="21">
        <f>IF($Z1509="C",IF(INDEX(Contracts!$I$2:$I$151,$AB1509)="PREPAID",EDATE(DATE(YEAR(INDEX(Contracts!$J$2:$J$151,$AB1509)),MONTH(INDEX(Contracts!$J$2:$J$151,$AB1509)),1),IF(INDEX(Contracts!$N$2:$N$151,$AB1509)="",12,INDEX(Contracts!$N$2:$N$151,$AB1509))-1),IF(INDEX(Contracts!$I$2:$I$151,$AB1509)="MONTHLY",IF(INDEX(Contracts!$K$2:$K$151,$AB1509)="",2958101,INDEX(Contracts!$K$2:$K$151,$AB1509)),0)),IF($Z1509="A",EDATE(DATE(YEAR(INDEX(Fixed_Assets!$G$2:$G$201,$AB1509)),MONTH(INDEX(Fixed_Assets!$G$2:$G$201,$AB1509)),1),INDEX(Fixed_Assets!$J$2:$J$201,$AB1509)-1),IF($Z1509="F",MIN(IF(INDEX(Workforce!$J$2:$J$151,MATCH(INDEX(FTE_Allocation!$A$2:$A$201,$AB1509),Workforce!$A$2:$A$151,0))="",2958101,INDEX(Workforce!$J$2:$J$151,MATCH(INDEX(FTE_Allocation!$A$2:$A$201,$AB1509),Workforce!$A$2:$A$151,0))),IF(INDEX(FTE_Allocation!$J$2:$J$201,$AB1509)="",2958101,INDEX(FTE_Allocation!$J$2:$J$201,$AB1509))),"")))</f>
        <v/>
      </c>
      <c r="AG1509" s="19">
        <f>IF($Z1509="C",IF(INDEX(Contracts!$I$2:$I$151,$AB1509)="PREPAID",INDEX(Contracts!$M$2:$M$151,$AB1509)/IF(INDEX(Contracts!$N$2:$N$151,$AB1509)="",12,INDEX(Contracts!$N$2:$N$151,$AB1509)),IF(INDEX(Contracts!$I$2:$I$151,$AB1509)="MONTHLY",INDEX(Contracts!$M$2:$M$151,$AB1509),0))*(1-N(INDEX(Contracts!$O$2:$O$151,$AB1509))),IF($Z1509="A",INDEX(Fixed_Assets!$H$2:$H$201,$AB1509)/INDEX(Fixed_Assets!$J$2:$J$201,$AB1509),IF($Z1509="F",INDEX(Workforce!$F$2:$F$151,MATCH(INDEX(FTE_Allocation!$A$2:$A$201,$AB1509),Workforce!$A$2:$A$151,0))*N(INDEX(FTE_Allocation!$F$2:$H$201,$AB1509,$AC1509)),"")))</f>
        <v/>
      </c>
    </row>
    <row r="1510">
      <c r="A1510" s="7">
        <f>IF($Z1510="","",$AD1510)</f>
        <v/>
      </c>
      <c r="B1510" s="7">
        <f>IF($Z1510="C",INDEX(Contracts!$D$2:$D$151,$AB1510)&amp;"",IF($Z1510="A",INDEX(Fixed_Assets!$C$2:$C$201,$AB1510)&amp;"",IF($Z1510="F",INDEX(Workforce!$B$2:$B$151,MATCH(INDEX(FTE_Allocation!$A$2:$A$201,$AB1510),Workforce!$A$2:$A$151,0))&amp;"","")))</f>
        <v/>
      </c>
      <c r="C1510" s="7">
        <f>IF($Z1510="C",INDEX(Contracts!$E$2:$E$151,$AB1510)&amp;"",IF($Z1510="A",INDEX(Fixed_Assets!$D$2:$D$201,$AB1510)&amp;"",IF($Z1510="F",INDEX(FTE_Allocation!$C$2:$C$201,$AB1510)&amp;"","")))</f>
        <v/>
      </c>
      <c r="D1510" s="7">
        <f>IF($Z1510="C",INDEX(Contracts!$B$2:$B$151,$AB1510)&amp;"",IF($Z1510="A",INDEX(Fixed_Assets!$B$2:$B$201,$AB1510)&amp;"",IF($Z1510="F",INDEX(FTE_Allocation!$B$2:$B$201,$AB1510)&amp;"","")))</f>
        <v/>
      </c>
      <c r="E1510" s="7">
        <f>IF($Z1510="C",INDEX(Contracts!$P$2:$P$151,$AB1510)&amp;"",IF($Z1510="A",INDEX(Fixed_Assets!$K$2:$K$201,$AB1510)&amp;"",IF($Z1510="F",IF(INDEX(FTE_Allocation!$D$2:$D$201,$AB1510)="PROJECT",IFERROR(INDEX(Projects!$D:$D,MATCH(INDEX(FTE_Allocation!$E$2:$E$201,$AB1510),Projects!$A:$A,0))&amp;"","#PROJECT?"),INDEX(FTE_Allocation!$E$2:$E$201,$AB1510)&amp;""),"")))</f>
        <v/>
      </c>
      <c r="F1510" s="7">
        <f>IF($Z1510="C",INDEX(Contracts!$Q$2:$Q$151,$AB1510)&amp;"",IF($Z1510="A",INDEX(Fixed_Assets!$L$2:$L$201,$AB1510)&amp;"",IF($Z1510="F",INDEX(Workforce!$K$2:$K$151,MATCH(INDEX(FTE_Allocation!$A$2:$A$201,$AB1510),Workforce!$A$2:$A$151,0))&amp;"","")))</f>
        <v/>
      </c>
      <c r="G1510" s="7">
        <f>IF($Z1510="C",INDEX(Contracts!$F$2:$F$151,$AB1510)&amp;" / "&amp;INDEX(Contracts!$G$2:$G$151,$AB1510),IF($Z1510="A",INDEX(Fixed_Assets!$E$2:$E$201,$AB1510)&amp;"",IF($Z1510="F","Personnel "&amp;INDEX(FTE_Allocation!$A$2:$A$201,$AB1510)&amp;IF(INDEX(FTE_Allocation!$D$2:$D$201,$AB1510)="PROJECT"," ("&amp;INDEX(FTE_Allocation!$E$2:$E$201,$AB1510)&amp;")",""),"")))</f>
        <v/>
      </c>
      <c r="H1510" s="7">
        <f>IF($Z1510="C","CONTRACT",IF($Z1510="A","ASSET",IF($Z1510="F","WORKFORCE","")))</f>
        <v/>
      </c>
      <c r="I1510" s="7">
        <f>IF($Z1510="C",INDEX(Contracts!$L$2:$L$151,$AB1510)&amp;"",IF($Z1510="A",INDEX(Fixed_Assets!$I$2:$I$201,$AB1510)&amp;"",IF($Z1510="F",INDEX(Workforce!$G$2:$G$151,MATCH(INDEX(FTE_Allocation!$A$2:$A$201,$AB1510),Workforce!$A$2:$A$151,0))&amp;"","")))</f>
        <v/>
      </c>
      <c r="J1510" s="18">
        <f>IF($Z1510="","",IF(AND(DATE($AD1510,1,1)&gt;=$AE1510,DATE($AD1510,1,1)&lt;=$AF1510),ROUND($AG1510,2),0))</f>
        <v/>
      </c>
      <c r="K1510" s="18">
        <f>IF($Z1510="","",IF(AND(DATE($AD1510,2,1)&gt;=$AE1510,DATE($AD1510,2,1)&lt;=$AF1510),ROUND($AG1510,2),0))</f>
        <v/>
      </c>
      <c r="L1510" s="18">
        <f>IF($Z1510="","",IF(AND(DATE($AD1510,3,1)&gt;=$AE1510,DATE($AD1510,3,1)&lt;=$AF1510),ROUND($AG1510,2),0))</f>
        <v/>
      </c>
      <c r="M1510" s="18">
        <f>IF($Z1510="","",IF(AND(DATE($AD1510,4,1)&gt;=$AE1510,DATE($AD1510,4,1)&lt;=$AF1510),ROUND($AG1510,2),0))</f>
        <v/>
      </c>
      <c r="N1510" s="18">
        <f>IF($Z1510="","",IF(AND(DATE($AD1510,5,1)&gt;=$AE1510,DATE($AD1510,5,1)&lt;=$AF1510),ROUND($AG1510,2),0))</f>
        <v/>
      </c>
      <c r="O1510" s="18">
        <f>IF($Z1510="","",IF(AND(DATE($AD1510,6,1)&gt;=$AE1510,DATE($AD1510,6,1)&lt;=$AF1510),ROUND($AG1510,2),0))</f>
        <v/>
      </c>
      <c r="P1510" s="18">
        <f>IF($Z1510="","",IF(AND(DATE($AD1510,7,1)&gt;=$AE1510,DATE($AD1510,7,1)&lt;=$AF1510),ROUND($AG1510,2),0))</f>
        <v/>
      </c>
      <c r="Q1510" s="18">
        <f>IF($Z1510="","",IF(AND(DATE($AD1510,8,1)&gt;=$AE1510,DATE($AD1510,8,1)&lt;=$AF1510),ROUND($AG1510,2),0))</f>
        <v/>
      </c>
      <c r="R1510" s="18">
        <f>IF($Z1510="","",IF(AND(DATE($AD1510,9,1)&gt;=$AE1510,DATE($AD1510,9,1)&lt;=$AF1510),ROUND($AG1510,2),0))</f>
        <v/>
      </c>
      <c r="S1510" s="18">
        <f>IF($Z1510="","",IF(AND(DATE($AD1510,10,1)&gt;=$AE1510,DATE($AD1510,10,1)&lt;=$AF1510),ROUND($AG1510,2),0))</f>
        <v/>
      </c>
      <c r="T1510" s="18">
        <f>IF($Z1510="","",IF(AND(DATE($AD1510,11,1)&gt;=$AE1510,DATE($AD1510,11,1)&lt;=$AF1510),ROUND($AG1510,2),0))</f>
        <v/>
      </c>
      <c r="U1510" s="18">
        <f>IF($Z1510="","",IF(AND(DATE($AD1510,12,1)&gt;=$AE1510,DATE($AD1510,12,1)&lt;=$AF1510),ROUND($AG1510,2),0))</f>
        <v/>
      </c>
      <c r="V1510" s="7">
        <f>IF($Z1510="C","Generated from "&amp;INDEX(Contracts!$A$2:$A$151,$AB1510),IF($Z1510="A","Generated from "&amp;INDEX(Fixed_Assets!$A$2:$A$201,$AB1510),IF($Z1510="F","Generated from "&amp;INDEX(FTE_Allocation!$A$2:$A$201,$AB1510),"")))</f>
        <v/>
      </c>
      <c r="X1510" s="19">
        <f>IF($Z1510="","",SUM(J1510:U1510))</f>
        <v/>
      </c>
      <c r="Y1510" s="20">
        <f>ROW()-1</f>
        <v/>
      </c>
      <c r="Z1510" s="20">
        <f>IF($Y1510&lt;=Settings!$B$4*3,"C",IF($Y1510&lt;=(Settings!$B$4+Settings!$B$5)*3,"A",IF($Y1510&lt;=(Settings!$B$4+Settings!$B$5+Settings!$B$6)*3,"F","")))</f>
        <v/>
      </c>
      <c r="AA1510" s="20">
        <f>IF($Z1510="C",$Y1510,IF($Z1510="A",$Y1510-Settings!$B$4*3,IF($Z1510="F",$Y1510-(Settings!$B$4+Settings!$B$5)*3,"")))</f>
        <v/>
      </c>
      <c r="AB1510" s="20">
        <f>IF($Z1510="","",INT(($AA1510-1)/3)+1)</f>
        <v/>
      </c>
      <c r="AC1510" s="20">
        <f>IF($Z1510="","",MOD($AA1510-1,3)+1)</f>
        <v/>
      </c>
      <c r="AD1510" s="20">
        <f>IF($Z1510="","",Settings!$B$2+$AC1510-1)</f>
        <v/>
      </c>
      <c r="AE1510" s="21">
        <f>IF($Z1510="C",DATE(YEAR(INDEX(Contracts!$J$2:$J$151,$AB1510)),MONTH(INDEX(Contracts!$J$2:$J$151,$AB1510)),1),IF($Z1510="A",DATE(YEAR(INDEX(Fixed_Assets!$G$2:$G$201,$AB1510)),MONTH(INDEX(Fixed_Assets!$G$2:$G$201,$AB1510)),1),IF($Z1510="F",DATE(YEAR(MAX(N(INDEX(Workforce!$I$2:$I$151,MATCH(INDEX(FTE_Allocation!$A$2:$A$201,$AB1510),Workforce!$A$2:$A$151,0))),N(INDEX(FTE_Allocation!$I$2:$I$201,$AB1510)))),MONTH(MAX(N(INDEX(Workforce!$I$2:$I$151,MATCH(INDEX(FTE_Allocation!$A$2:$A$201,$AB1510),Workforce!$A$2:$A$151,0))),N(INDEX(FTE_Allocation!$I$2:$I$201,$AB1510)))),1),"")))</f>
        <v/>
      </c>
      <c r="AF1510" s="21">
        <f>IF($Z1510="C",IF(INDEX(Contracts!$I$2:$I$151,$AB1510)="PREPAID",EDATE(DATE(YEAR(INDEX(Contracts!$J$2:$J$151,$AB1510)),MONTH(INDEX(Contracts!$J$2:$J$151,$AB1510)),1),IF(INDEX(Contracts!$N$2:$N$151,$AB1510)="",12,INDEX(Contracts!$N$2:$N$151,$AB1510))-1),IF(INDEX(Contracts!$I$2:$I$151,$AB1510)="MONTHLY",IF(INDEX(Contracts!$K$2:$K$151,$AB1510)="",2958101,INDEX(Contracts!$K$2:$K$151,$AB1510)),0)),IF($Z1510="A",EDATE(DATE(YEAR(INDEX(Fixed_Assets!$G$2:$G$201,$AB1510)),MONTH(INDEX(Fixed_Assets!$G$2:$G$201,$AB1510)),1),INDEX(Fixed_Assets!$J$2:$J$201,$AB1510)-1),IF($Z1510="F",MIN(IF(INDEX(Workforce!$J$2:$J$151,MATCH(INDEX(FTE_Allocation!$A$2:$A$201,$AB1510),Workforce!$A$2:$A$151,0))="",2958101,INDEX(Workforce!$J$2:$J$151,MATCH(INDEX(FTE_Allocation!$A$2:$A$201,$AB1510),Workforce!$A$2:$A$151,0))),IF(INDEX(FTE_Allocation!$J$2:$J$201,$AB1510)="",2958101,INDEX(FTE_Allocation!$J$2:$J$201,$AB1510))),"")))</f>
        <v/>
      </c>
      <c r="AG1510" s="19">
        <f>IF($Z1510="C",IF(INDEX(Contracts!$I$2:$I$151,$AB1510)="PREPAID",INDEX(Contracts!$M$2:$M$151,$AB1510)/IF(INDEX(Contracts!$N$2:$N$151,$AB1510)="",12,INDEX(Contracts!$N$2:$N$151,$AB1510)),IF(INDEX(Contracts!$I$2:$I$151,$AB1510)="MONTHLY",INDEX(Contracts!$M$2:$M$151,$AB1510),0))*(1-N(INDEX(Contracts!$O$2:$O$151,$AB1510))),IF($Z1510="A",INDEX(Fixed_Assets!$H$2:$H$201,$AB1510)/INDEX(Fixed_Assets!$J$2:$J$201,$AB1510),IF($Z1510="F",INDEX(Workforce!$F$2:$F$151,MATCH(INDEX(FTE_Allocation!$A$2:$A$201,$AB1510),Workforce!$A$2:$A$151,0))*N(INDEX(FTE_Allocation!$F$2:$H$201,$AB1510,$AC1510)),"")))</f>
        <v/>
      </c>
    </row>
    <row r="1511">
      <c r="A1511" s="7">
        <f>IF($Z1511="","",$AD1511)</f>
        <v/>
      </c>
      <c r="B1511" s="7">
        <f>IF($Z1511="C",INDEX(Contracts!$D$2:$D$151,$AB1511)&amp;"",IF($Z1511="A",INDEX(Fixed_Assets!$C$2:$C$201,$AB1511)&amp;"",IF($Z1511="F",INDEX(Workforce!$B$2:$B$151,MATCH(INDEX(FTE_Allocation!$A$2:$A$201,$AB1511),Workforce!$A$2:$A$151,0))&amp;"","")))</f>
        <v/>
      </c>
      <c r="C1511" s="7">
        <f>IF($Z1511="C",INDEX(Contracts!$E$2:$E$151,$AB1511)&amp;"",IF($Z1511="A",INDEX(Fixed_Assets!$D$2:$D$201,$AB1511)&amp;"",IF($Z1511="F",INDEX(FTE_Allocation!$C$2:$C$201,$AB1511)&amp;"","")))</f>
        <v/>
      </c>
      <c r="D1511" s="7">
        <f>IF($Z1511="C",INDEX(Contracts!$B$2:$B$151,$AB1511)&amp;"",IF($Z1511="A",INDEX(Fixed_Assets!$B$2:$B$201,$AB1511)&amp;"",IF($Z1511="F",INDEX(FTE_Allocation!$B$2:$B$201,$AB1511)&amp;"","")))</f>
        <v/>
      </c>
      <c r="E1511" s="7">
        <f>IF($Z1511="C",INDEX(Contracts!$P$2:$P$151,$AB1511)&amp;"",IF($Z1511="A",INDEX(Fixed_Assets!$K$2:$K$201,$AB1511)&amp;"",IF($Z1511="F",IF(INDEX(FTE_Allocation!$D$2:$D$201,$AB1511)="PROJECT",IFERROR(INDEX(Projects!$D:$D,MATCH(INDEX(FTE_Allocation!$E$2:$E$201,$AB1511),Projects!$A:$A,0))&amp;"","#PROJECT?"),INDEX(FTE_Allocation!$E$2:$E$201,$AB1511)&amp;""),"")))</f>
        <v/>
      </c>
      <c r="F1511" s="7">
        <f>IF($Z1511="C",INDEX(Contracts!$Q$2:$Q$151,$AB1511)&amp;"",IF($Z1511="A",INDEX(Fixed_Assets!$L$2:$L$201,$AB1511)&amp;"",IF($Z1511="F",INDEX(Workforce!$K$2:$K$151,MATCH(INDEX(FTE_Allocation!$A$2:$A$201,$AB1511),Workforce!$A$2:$A$151,0))&amp;"","")))</f>
        <v/>
      </c>
      <c r="G1511" s="7">
        <f>IF($Z1511="C",INDEX(Contracts!$F$2:$F$151,$AB1511)&amp;" / "&amp;INDEX(Contracts!$G$2:$G$151,$AB1511),IF($Z1511="A",INDEX(Fixed_Assets!$E$2:$E$201,$AB1511)&amp;"",IF($Z1511="F","Personnel "&amp;INDEX(FTE_Allocation!$A$2:$A$201,$AB1511)&amp;IF(INDEX(FTE_Allocation!$D$2:$D$201,$AB1511)="PROJECT"," ("&amp;INDEX(FTE_Allocation!$E$2:$E$201,$AB1511)&amp;")",""),"")))</f>
        <v/>
      </c>
      <c r="H1511" s="7">
        <f>IF($Z1511="C","CONTRACT",IF($Z1511="A","ASSET",IF($Z1511="F","WORKFORCE","")))</f>
        <v/>
      </c>
      <c r="I1511" s="7">
        <f>IF($Z1511="C",INDEX(Contracts!$L$2:$L$151,$AB1511)&amp;"",IF($Z1511="A",INDEX(Fixed_Assets!$I$2:$I$201,$AB1511)&amp;"",IF($Z1511="F",INDEX(Workforce!$G$2:$G$151,MATCH(INDEX(FTE_Allocation!$A$2:$A$201,$AB1511),Workforce!$A$2:$A$151,0))&amp;"","")))</f>
        <v/>
      </c>
      <c r="J1511" s="18">
        <f>IF($Z1511="","",IF(AND(DATE($AD1511,1,1)&gt;=$AE1511,DATE($AD1511,1,1)&lt;=$AF1511),ROUND($AG1511,2),0))</f>
        <v/>
      </c>
      <c r="K1511" s="18">
        <f>IF($Z1511="","",IF(AND(DATE($AD1511,2,1)&gt;=$AE1511,DATE($AD1511,2,1)&lt;=$AF1511),ROUND($AG1511,2),0))</f>
        <v/>
      </c>
      <c r="L1511" s="18">
        <f>IF($Z1511="","",IF(AND(DATE($AD1511,3,1)&gt;=$AE1511,DATE($AD1511,3,1)&lt;=$AF1511),ROUND($AG1511,2),0))</f>
        <v/>
      </c>
      <c r="M1511" s="18">
        <f>IF($Z1511="","",IF(AND(DATE($AD1511,4,1)&gt;=$AE1511,DATE($AD1511,4,1)&lt;=$AF1511),ROUND($AG1511,2),0))</f>
        <v/>
      </c>
      <c r="N1511" s="18">
        <f>IF($Z1511="","",IF(AND(DATE($AD1511,5,1)&gt;=$AE1511,DATE($AD1511,5,1)&lt;=$AF1511),ROUND($AG1511,2),0))</f>
        <v/>
      </c>
      <c r="O1511" s="18">
        <f>IF($Z1511="","",IF(AND(DATE($AD1511,6,1)&gt;=$AE1511,DATE($AD1511,6,1)&lt;=$AF1511),ROUND($AG1511,2),0))</f>
        <v/>
      </c>
      <c r="P1511" s="18">
        <f>IF($Z1511="","",IF(AND(DATE($AD1511,7,1)&gt;=$AE1511,DATE($AD1511,7,1)&lt;=$AF1511),ROUND($AG1511,2),0))</f>
        <v/>
      </c>
      <c r="Q1511" s="18">
        <f>IF($Z1511="","",IF(AND(DATE($AD1511,8,1)&gt;=$AE1511,DATE($AD1511,8,1)&lt;=$AF1511),ROUND($AG1511,2),0))</f>
        <v/>
      </c>
      <c r="R1511" s="18">
        <f>IF($Z1511="","",IF(AND(DATE($AD1511,9,1)&gt;=$AE1511,DATE($AD1511,9,1)&lt;=$AF1511),ROUND($AG1511,2),0))</f>
        <v/>
      </c>
      <c r="S1511" s="18">
        <f>IF($Z1511="","",IF(AND(DATE($AD1511,10,1)&gt;=$AE1511,DATE($AD1511,10,1)&lt;=$AF1511),ROUND($AG1511,2),0))</f>
        <v/>
      </c>
      <c r="T1511" s="18">
        <f>IF($Z1511="","",IF(AND(DATE($AD1511,11,1)&gt;=$AE1511,DATE($AD1511,11,1)&lt;=$AF1511),ROUND($AG1511,2),0))</f>
        <v/>
      </c>
      <c r="U1511" s="18">
        <f>IF($Z1511="","",IF(AND(DATE($AD1511,12,1)&gt;=$AE1511,DATE($AD1511,12,1)&lt;=$AF1511),ROUND($AG1511,2),0))</f>
        <v/>
      </c>
      <c r="V1511" s="7">
        <f>IF($Z1511="C","Generated from "&amp;INDEX(Contracts!$A$2:$A$151,$AB1511),IF($Z1511="A","Generated from "&amp;INDEX(Fixed_Assets!$A$2:$A$201,$AB1511),IF($Z1511="F","Generated from "&amp;INDEX(FTE_Allocation!$A$2:$A$201,$AB1511),"")))</f>
        <v/>
      </c>
      <c r="X1511" s="19">
        <f>IF($Z1511="","",SUM(J1511:U1511))</f>
        <v/>
      </c>
      <c r="Y1511" s="20">
        <f>ROW()-1</f>
        <v/>
      </c>
      <c r="Z1511" s="20">
        <f>IF($Y1511&lt;=Settings!$B$4*3,"C",IF($Y1511&lt;=(Settings!$B$4+Settings!$B$5)*3,"A",IF($Y1511&lt;=(Settings!$B$4+Settings!$B$5+Settings!$B$6)*3,"F","")))</f>
        <v/>
      </c>
      <c r="AA1511" s="20">
        <f>IF($Z1511="C",$Y1511,IF($Z1511="A",$Y1511-Settings!$B$4*3,IF($Z1511="F",$Y1511-(Settings!$B$4+Settings!$B$5)*3,"")))</f>
        <v/>
      </c>
      <c r="AB1511" s="20">
        <f>IF($Z1511="","",INT(($AA1511-1)/3)+1)</f>
        <v/>
      </c>
      <c r="AC1511" s="20">
        <f>IF($Z1511="","",MOD($AA1511-1,3)+1)</f>
        <v/>
      </c>
      <c r="AD1511" s="20">
        <f>IF($Z1511="","",Settings!$B$2+$AC1511-1)</f>
        <v/>
      </c>
      <c r="AE1511" s="21">
        <f>IF($Z1511="C",DATE(YEAR(INDEX(Contracts!$J$2:$J$151,$AB1511)),MONTH(INDEX(Contracts!$J$2:$J$151,$AB1511)),1),IF($Z1511="A",DATE(YEAR(INDEX(Fixed_Assets!$G$2:$G$201,$AB1511)),MONTH(INDEX(Fixed_Assets!$G$2:$G$201,$AB1511)),1),IF($Z1511="F",DATE(YEAR(MAX(N(INDEX(Workforce!$I$2:$I$151,MATCH(INDEX(FTE_Allocation!$A$2:$A$201,$AB1511),Workforce!$A$2:$A$151,0))),N(INDEX(FTE_Allocation!$I$2:$I$201,$AB1511)))),MONTH(MAX(N(INDEX(Workforce!$I$2:$I$151,MATCH(INDEX(FTE_Allocation!$A$2:$A$201,$AB1511),Workforce!$A$2:$A$151,0))),N(INDEX(FTE_Allocation!$I$2:$I$201,$AB1511)))),1),"")))</f>
        <v/>
      </c>
      <c r="AF1511" s="21">
        <f>IF($Z1511="C",IF(INDEX(Contracts!$I$2:$I$151,$AB1511)="PREPAID",EDATE(DATE(YEAR(INDEX(Contracts!$J$2:$J$151,$AB1511)),MONTH(INDEX(Contracts!$J$2:$J$151,$AB1511)),1),IF(INDEX(Contracts!$N$2:$N$151,$AB1511)="",12,INDEX(Contracts!$N$2:$N$151,$AB1511))-1),IF(INDEX(Contracts!$I$2:$I$151,$AB1511)="MONTHLY",IF(INDEX(Contracts!$K$2:$K$151,$AB1511)="",2958101,INDEX(Contracts!$K$2:$K$151,$AB1511)),0)),IF($Z1511="A",EDATE(DATE(YEAR(INDEX(Fixed_Assets!$G$2:$G$201,$AB1511)),MONTH(INDEX(Fixed_Assets!$G$2:$G$201,$AB1511)),1),INDEX(Fixed_Assets!$J$2:$J$201,$AB1511)-1),IF($Z1511="F",MIN(IF(INDEX(Workforce!$J$2:$J$151,MATCH(INDEX(FTE_Allocation!$A$2:$A$201,$AB1511),Workforce!$A$2:$A$151,0))="",2958101,INDEX(Workforce!$J$2:$J$151,MATCH(INDEX(FTE_Allocation!$A$2:$A$201,$AB1511),Workforce!$A$2:$A$151,0))),IF(INDEX(FTE_Allocation!$J$2:$J$201,$AB1511)="",2958101,INDEX(FTE_Allocation!$J$2:$J$201,$AB1511))),"")))</f>
        <v/>
      </c>
      <c r="AG1511" s="19">
        <f>IF($Z1511="C",IF(INDEX(Contracts!$I$2:$I$151,$AB1511)="PREPAID",INDEX(Contracts!$M$2:$M$151,$AB1511)/IF(INDEX(Contracts!$N$2:$N$151,$AB1511)="",12,INDEX(Contracts!$N$2:$N$151,$AB1511)),IF(INDEX(Contracts!$I$2:$I$151,$AB1511)="MONTHLY",INDEX(Contracts!$M$2:$M$151,$AB1511),0))*(1-N(INDEX(Contracts!$O$2:$O$151,$AB1511))),IF($Z1511="A",INDEX(Fixed_Assets!$H$2:$H$201,$AB1511)/INDEX(Fixed_Assets!$J$2:$J$201,$AB1511),IF($Z1511="F",INDEX(Workforce!$F$2:$F$151,MATCH(INDEX(FTE_Allocation!$A$2:$A$201,$AB1511),Workforce!$A$2:$A$151,0))*N(INDEX(FTE_Allocation!$F$2:$H$201,$AB1511,$AC1511)),"")))</f>
        <v/>
      </c>
    </row>
    <row r="1512">
      <c r="A1512" s="7">
        <f>IF($Z1512="","",$AD1512)</f>
        <v/>
      </c>
      <c r="B1512" s="7">
        <f>IF($Z1512="C",INDEX(Contracts!$D$2:$D$151,$AB1512)&amp;"",IF($Z1512="A",INDEX(Fixed_Assets!$C$2:$C$201,$AB1512)&amp;"",IF($Z1512="F",INDEX(Workforce!$B$2:$B$151,MATCH(INDEX(FTE_Allocation!$A$2:$A$201,$AB1512),Workforce!$A$2:$A$151,0))&amp;"","")))</f>
        <v/>
      </c>
      <c r="C1512" s="7">
        <f>IF($Z1512="C",INDEX(Contracts!$E$2:$E$151,$AB1512)&amp;"",IF($Z1512="A",INDEX(Fixed_Assets!$D$2:$D$201,$AB1512)&amp;"",IF($Z1512="F",INDEX(FTE_Allocation!$C$2:$C$201,$AB1512)&amp;"","")))</f>
        <v/>
      </c>
      <c r="D1512" s="7">
        <f>IF($Z1512="C",INDEX(Contracts!$B$2:$B$151,$AB1512)&amp;"",IF($Z1512="A",INDEX(Fixed_Assets!$B$2:$B$201,$AB1512)&amp;"",IF($Z1512="F",INDEX(FTE_Allocation!$B$2:$B$201,$AB1512)&amp;"","")))</f>
        <v/>
      </c>
      <c r="E1512" s="7">
        <f>IF($Z1512="C",INDEX(Contracts!$P$2:$P$151,$AB1512)&amp;"",IF($Z1512="A",INDEX(Fixed_Assets!$K$2:$K$201,$AB1512)&amp;"",IF($Z1512="F",IF(INDEX(FTE_Allocation!$D$2:$D$201,$AB1512)="PROJECT",IFERROR(INDEX(Projects!$D:$D,MATCH(INDEX(FTE_Allocation!$E$2:$E$201,$AB1512),Projects!$A:$A,0))&amp;"","#PROJECT?"),INDEX(FTE_Allocation!$E$2:$E$201,$AB1512)&amp;""),"")))</f>
        <v/>
      </c>
      <c r="F1512" s="7">
        <f>IF($Z1512="C",INDEX(Contracts!$Q$2:$Q$151,$AB1512)&amp;"",IF($Z1512="A",INDEX(Fixed_Assets!$L$2:$L$201,$AB1512)&amp;"",IF($Z1512="F",INDEX(Workforce!$K$2:$K$151,MATCH(INDEX(FTE_Allocation!$A$2:$A$201,$AB1512),Workforce!$A$2:$A$151,0))&amp;"","")))</f>
        <v/>
      </c>
      <c r="G1512" s="7">
        <f>IF($Z1512="C",INDEX(Contracts!$F$2:$F$151,$AB1512)&amp;" / "&amp;INDEX(Contracts!$G$2:$G$151,$AB1512),IF($Z1512="A",INDEX(Fixed_Assets!$E$2:$E$201,$AB1512)&amp;"",IF($Z1512="F","Personnel "&amp;INDEX(FTE_Allocation!$A$2:$A$201,$AB1512)&amp;IF(INDEX(FTE_Allocation!$D$2:$D$201,$AB1512)="PROJECT"," ("&amp;INDEX(FTE_Allocation!$E$2:$E$201,$AB1512)&amp;")",""),"")))</f>
        <v/>
      </c>
      <c r="H1512" s="7">
        <f>IF($Z1512="C","CONTRACT",IF($Z1512="A","ASSET",IF($Z1512="F","WORKFORCE","")))</f>
        <v/>
      </c>
      <c r="I1512" s="7">
        <f>IF($Z1512="C",INDEX(Contracts!$L$2:$L$151,$AB1512)&amp;"",IF($Z1512="A",INDEX(Fixed_Assets!$I$2:$I$201,$AB1512)&amp;"",IF($Z1512="F",INDEX(Workforce!$G$2:$G$151,MATCH(INDEX(FTE_Allocation!$A$2:$A$201,$AB1512),Workforce!$A$2:$A$151,0))&amp;"","")))</f>
        <v/>
      </c>
      <c r="J1512" s="18">
        <f>IF($Z1512="","",IF(AND(DATE($AD1512,1,1)&gt;=$AE1512,DATE($AD1512,1,1)&lt;=$AF1512),ROUND($AG1512,2),0))</f>
        <v/>
      </c>
      <c r="K1512" s="18">
        <f>IF($Z1512="","",IF(AND(DATE($AD1512,2,1)&gt;=$AE1512,DATE($AD1512,2,1)&lt;=$AF1512),ROUND($AG1512,2),0))</f>
        <v/>
      </c>
      <c r="L1512" s="18">
        <f>IF($Z1512="","",IF(AND(DATE($AD1512,3,1)&gt;=$AE1512,DATE($AD1512,3,1)&lt;=$AF1512),ROUND($AG1512,2),0))</f>
        <v/>
      </c>
      <c r="M1512" s="18">
        <f>IF($Z1512="","",IF(AND(DATE($AD1512,4,1)&gt;=$AE1512,DATE($AD1512,4,1)&lt;=$AF1512),ROUND($AG1512,2),0))</f>
        <v/>
      </c>
      <c r="N1512" s="18">
        <f>IF($Z1512="","",IF(AND(DATE($AD1512,5,1)&gt;=$AE1512,DATE($AD1512,5,1)&lt;=$AF1512),ROUND($AG1512,2),0))</f>
        <v/>
      </c>
      <c r="O1512" s="18">
        <f>IF($Z1512="","",IF(AND(DATE($AD1512,6,1)&gt;=$AE1512,DATE($AD1512,6,1)&lt;=$AF1512),ROUND($AG1512,2),0))</f>
        <v/>
      </c>
      <c r="P1512" s="18">
        <f>IF($Z1512="","",IF(AND(DATE($AD1512,7,1)&gt;=$AE1512,DATE($AD1512,7,1)&lt;=$AF1512),ROUND($AG1512,2),0))</f>
        <v/>
      </c>
      <c r="Q1512" s="18">
        <f>IF($Z1512="","",IF(AND(DATE($AD1512,8,1)&gt;=$AE1512,DATE($AD1512,8,1)&lt;=$AF1512),ROUND($AG1512,2),0))</f>
        <v/>
      </c>
      <c r="R1512" s="18">
        <f>IF($Z1512="","",IF(AND(DATE($AD1512,9,1)&gt;=$AE1512,DATE($AD1512,9,1)&lt;=$AF1512),ROUND($AG1512,2),0))</f>
        <v/>
      </c>
      <c r="S1512" s="18">
        <f>IF($Z1512="","",IF(AND(DATE($AD1512,10,1)&gt;=$AE1512,DATE($AD1512,10,1)&lt;=$AF1512),ROUND($AG1512,2),0))</f>
        <v/>
      </c>
      <c r="T1512" s="18">
        <f>IF($Z1512="","",IF(AND(DATE($AD1512,11,1)&gt;=$AE1512,DATE($AD1512,11,1)&lt;=$AF1512),ROUND($AG1512,2),0))</f>
        <v/>
      </c>
      <c r="U1512" s="18">
        <f>IF($Z1512="","",IF(AND(DATE($AD1512,12,1)&gt;=$AE1512,DATE($AD1512,12,1)&lt;=$AF1512),ROUND($AG1512,2),0))</f>
        <v/>
      </c>
      <c r="V1512" s="7">
        <f>IF($Z1512="C","Generated from "&amp;INDEX(Contracts!$A$2:$A$151,$AB1512),IF($Z1512="A","Generated from "&amp;INDEX(Fixed_Assets!$A$2:$A$201,$AB1512),IF($Z1512="F","Generated from "&amp;INDEX(FTE_Allocation!$A$2:$A$201,$AB1512),"")))</f>
        <v/>
      </c>
      <c r="X1512" s="19">
        <f>IF($Z1512="","",SUM(J1512:U1512))</f>
        <v/>
      </c>
      <c r="Y1512" s="20">
        <f>ROW()-1</f>
        <v/>
      </c>
      <c r="Z1512" s="20">
        <f>IF($Y1512&lt;=Settings!$B$4*3,"C",IF($Y1512&lt;=(Settings!$B$4+Settings!$B$5)*3,"A",IF($Y1512&lt;=(Settings!$B$4+Settings!$B$5+Settings!$B$6)*3,"F","")))</f>
        <v/>
      </c>
      <c r="AA1512" s="20">
        <f>IF($Z1512="C",$Y1512,IF($Z1512="A",$Y1512-Settings!$B$4*3,IF($Z1512="F",$Y1512-(Settings!$B$4+Settings!$B$5)*3,"")))</f>
        <v/>
      </c>
      <c r="AB1512" s="20">
        <f>IF($Z1512="","",INT(($AA1512-1)/3)+1)</f>
        <v/>
      </c>
      <c r="AC1512" s="20">
        <f>IF($Z1512="","",MOD($AA1512-1,3)+1)</f>
        <v/>
      </c>
      <c r="AD1512" s="20">
        <f>IF($Z1512="","",Settings!$B$2+$AC1512-1)</f>
        <v/>
      </c>
      <c r="AE1512" s="21">
        <f>IF($Z1512="C",DATE(YEAR(INDEX(Contracts!$J$2:$J$151,$AB1512)),MONTH(INDEX(Contracts!$J$2:$J$151,$AB1512)),1),IF($Z1512="A",DATE(YEAR(INDEX(Fixed_Assets!$G$2:$G$201,$AB1512)),MONTH(INDEX(Fixed_Assets!$G$2:$G$201,$AB1512)),1),IF($Z1512="F",DATE(YEAR(MAX(N(INDEX(Workforce!$I$2:$I$151,MATCH(INDEX(FTE_Allocation!$A$2:$A$201,$AB1512),Workforce!$A$2:$A$151,0))),N(INDEX(FTE_Allocation!$I$2:$I$201,$AB1512)))),MONTH(MAX(N(INDEX(Workforce!$I$2:$I$151,MATCH(INDEX(FTE_Allocation!$A$2:$A$201,$AB1512),Workforce!$A$2:$A$151,0))),N(INDEX(FTE_Allocation!$I$2:$I$201,$AB1512)))),1),"")))</f>
        <v/>
      </c>
      <c r="AF1512" s="21">
        <f>IF($Z1512="C",IF(INDEX(Contracts!$I$2:$I$151,$AB1512)="PREPAID",EDATE(DATE(YEAR(INDEX(Contracts!$J$2:$J$151,$AB1512)),MONTH(INDEX(Contracts!$J$2:$J$151,$AB1512)),1),IF(INDEX(Contracts!$N$2:$N$151,$AB1512)="",12,INDEX(Contracts!$N$2:$N$151,$AB1512))-1),IF(INDEX(Contracts!$I$2:$I$151,$AB1512)="MONTHLY",IF(INDEX(Contracts!$K$2:$K$151,$AB1512)="",2958101,INDEX(Contracts!$K$2:$K$151,$AB1512)),0)),IF($Z1512="A",EDATE(DATE(YEAR(INDEX(Fixed_Assets!$G$2:$G$201,$AB1512)),MONTH(INDEX(Fixed_Assets!$G$2:$G$201,$AB1512)),1),INDEX(Fixed_Assets!$J$2:$J$201,$AB1512)-1),IF($Z1512="F",MIN(IF(INDEX(Workforce!$J$2:$J$151,MATCH(INDEX(FTE_Allocation!$A$2:$A$201,$AB1512),Workforce!$A$2:$A$151,0))="",2958101,INDEX(Workforce!$J$2:$J$151,MATCH(INDEX(FTE_Allocation!$A$2:$A$201,$AB1512),Workforce!$A$2:$A$151,0))),IF(INDEX(FTE_Allocation!$J$2:$J$201,$AB1512)="",2958101,INDEX(FTE_Allocation!$J$2:$J$201,$AB1512))),"")))</f>
        <v/>
      </c>
      <c r="AG1512" s="19">
        <f>IF($Z1512="C",IF(INDEX(Contracts!$I$2:$I$151,$AB1512)="PREPAID",INDEX(Contracts!$M$2:$M$151,$AB1512)/IF(INDEX(Contracts!$N$2:$N$151,$AB1512)="",12,INDEX(Contracts!$N$2:$N$151,$AB1512)),IF(INDEX(Contracts!$I$2:$I$151,$AB1512)="MONTHLY",INDEX(Contracts!$M$2:$M$151,$AB1512),0))*(1-N(INDEX(Contracts!$O$2:$O$151,$AB1512))),IF($Z1512="A",INDEX(Fixed_Assets!$H$2:$H$201,$AB1512)/INDEX(Fixed_Assets!$J$2:$J$201,$AB1512),IF($Z1512="F",INDEX(Workforce!$F$2:$F$151,MATCH(INDEX(FTE_Allocation!$A$2:$A$201,$AB1512),Workforce!$A$2:$A$151,0))*N(INDEX(FTE_Allocation!$F$2:$H$201,$AB1512,$AC1512)),"")))</f>
        <v/>
      </c>
    </row>
    <row r="1513">
      <c r="A1513" s="7">
        <f>IF($Z1513="","",$AD1513)</f>
        <v/>
      </c>
      <c r="B1513" s="7">
        <f>IF($Z1513="C",INDEX(Contracts!$D$2:$D$151,$AB1513)&amp;"",IF($Z1513="A",INDEX(Fixed_Assets!$C$2:$C$201,$AB1513)&amp;"",IF($Z1513="F",INDEX(Workforce!$B$2:$B$151,MATCH(INDEX(FTE_Allocation!$A$2:$A$201,$AB1513),Workforce!$A$2:$A$151,0))&amp;"","")))</f>
        <v/>
      </c>
      <c r="C1513" s="7">
        <f>IF($Z1513="C",INDEX(Contracts!$E$2:$E$151,$AB1513)&amp;"",IF($Z1513="A",INDEX(Fixed_Assets!$D$2:$D$201,$AB1513)&amp;"",IF($Z1513="F",INDEX(FTE_Allocation!$C$2:$C$201,$AB1513)&amp;"","")))</f>
        <v/>
      </c>
      <c r="D1513" s="7">
        <f>IF($Z1513="C",INDEX(Contracts!$B$2:$B$151,$AB1513)&amp;"",IF($Z1513="A",INDEX(Fixed_Assets!$B$2:$B$201,$AB1513)&amp;"",IF($Z1513="F",INDEX(FTE_Allocation!$B$2:$B$201,$AB1513)&amp;"","")))</f>
        <v/>
      </c>
      <c r="E1513" s="7">
        <f>IF($Z1513="C",INDEX(Contracts!$P$2:$P$151,$AB1513)&amp;"",IF($Z1513="A",INDEX(Fixed_Assets!$K$2:$K$201,$AB1513)&amp;"",IF($Z1513="F",IF(INDEX(FTE_Allocation!$D$2:$D$201,$AB1513)="PROJECT",IFERROR(INDEX(Projects!$D:$D,MATCH(INDEX(FTE_Allocation!$E$2:$E$201,$AB1513),Projects!$A:$A,0))&amp;"","#PROJECT?"),INDEX(FTE_Allocation!$E$2:$E$201,$AB1513)&amp;""),"")))</f>
        <v/>
      </c>
      <c r="F1513" s="7">
        <f>IF($Z1513="C",INDEX(Contracts!$Q$2:$Q$151,$AB1513)&amp;"",IF($Z1513="A",INDEX(Fixed_Assets!$L$2:$L$201,$AB1513)&amp;"",IF($Z1513="F",INDEX(Workforce!$K$2:$K$151,MATCH(INDEX(FTE_Allocation!$A$2:$A$201,$AB1513),Workforce!$A$2:$A$151,0))&amp;"","")))</f>
        <v/>
      </c>
      <c r="G1513" s="7">
        <f>IF($Z1513="C",INDEX(Contracts!$F$2:$F$151,$AB1513)&amp;" / "&amp;INDEX(Contracts!$G$2:$G$151,$AB1513),IF($Z1513="A",INDEX(Fixed_Assets!$E$2:$E$201,$AB1513)&amp;"",IF($Z1513="F","Personnel "&amp;INDEX(FTE_Allocation!$A$2:$A$201,$AB1513)&amp;IF(INDEX(FTE_Allocation!$D$2:$D$201,$AB1513)="PROJECT"," ("&amp;INDEX(FTE_Allocation!$E$2:$E$201,$AB1513)&amp;")",""),"")))</f>
        <v/>
      </c>
      <c r="H1513" s="7">
        <f>IF($Z1513="C","CONTRACT",IF($Z1513="A","ASSET",IF($Z1513="F","WORKFORCE","")))</f>
        <v/>
      </c>
      <c r="I1513" s="7">
        <f>IF($Z1513="C",INDEX(Contracts!$L$2:$L$151,$AB1513)&amp;"",IF($Z1513="A",INDEX(Fixed_Assets!$I$2:$I$201,$AB1513)&amp;"",IF($Z1513="F",INDEX(Workforce!$G$2:$G$151,MATCH(INDEX(FTE_Allocation!$A$2:$A$201,$AB1513),Workforce!$A$2:$A$151,0))&amp;"","")))</f>
        <v/>
      </c>
      <c r="J1513" s="18">
        <f>IF($Z1513="","",IF(AND(DATE($AD1513,1,1)&gt;=$AE1513,DATE($AD1513,1,1)&lt;=$AF1513),ROUND($AG1513,2),0))</f>
        <v/>
      </c>
      <c r="K1513" s="18">
        <f>IF($Z1513="","",IF(AND(DATE($AD1513,2,1)&gt;=$AE1513,DATE($AD1513,2,1)&lt;=$AF1513),ROUND($AG1513,2),0))</f>
        <v/>
      </c>
      <c r="L1513" s="18">
        <f>IF($Z1513="","",IF(AND(DATE($AD1513,3,1)&gt;=$AE1513,DATE($AD1513,3,1)&lt;=$AF1513),ROUND($AG1513,2),0))</f>
        <v/>
      </c>
      <c r="M1513" s="18">
        <f>IF($Z1513="","",IF(AND(DATE($AD1513,4,1)&gt;=$AE1513,DATE($AD1513,4,1)&lt;=$AF1513),ROUND($AG1513,2),0))</f>
        <v/>
      </c>
      <c r="N1513" s="18">
        <f>IF($Z1513="","",IF(AND(DATE($AD1513,5,1)&gt;=$AE1513,DATE($AD1513,5,1)&lt;=$AF1513),ROUND($AG1513,2),0))</f>
        <v/>
      </c>
      <c r="O1513" s="18">
        <f>IF($Z1513="","",IF(AND(DATE($AD1513,6,1)&gt;=$AE1513,DATE($AD1513,6,1)&lt;=$AF1513),ROUND($AG1513,2),0))</f>
        <v/>
      </c>
      <c r="P1513" s="18">
        <f>IF($Z1513="","",IF(AND(DATE($AD1513,7,1)&gt;=$AE1513,DATE($AD1513,7,1)&lt;=$AF1513),ROUND($AG1513,2),0))</f>
        <v/>
      </c>
      <c r="Q1513" s="18">
        <f>IF($Z1513="","",IF(AND(DATE($AD1513,8,1)&gt;=$AE1513,DATE($AD1513,8,1)&lt;=$AF1513),ROUND($AG1513,2),0))</f>
        <v/>
      </c>
      <c r="R1513" s="18">
        <f>IF($Z1513="","",IF(AND(DATE($AD1513,9,1)&gt;=$AE1513,DATE($AD1513,9,1)&lt;=$AF1513),ROUND($AG1513,2),0))</f>
        <v/>
      </c>
      <c r="S1513" s="18">
        <f>IF($Z1513="","",IF(AND(DATE($AD1513,10,1)&gt;=$AE1513,DATE($AD1513,10,1)&lt;=$AF1513),ROUND($AG1513,2),0))</f>
        <v/>
      </c>
      <c r="T1513" s="18">
        <f>IF($Z1513="","",IF(AND(DATE($AD1513,11,1)&gt;=$AE1513,DATE($AD1513,11,1)&lt;=$AF1513),ROUND($AG1513,2),0))</f>
        <v/>
      </c>
      <c r="U1513" s="18">
        <f>IF($Z1513="","",IF(AND(DATE($AD1513,12,1)&gt;=$AE1513,DATE($AD1513,12,1)&lt;=$AF1513),ROUND($AG1513,2),0))</f>
        <v/>
      </c>
      <c r="V1513" s="7">
        <f>IF($Z1513="C","Generated from "&amp;INDEX(Contracts!$A$2:$A$151,$AB1513),IF($Z1513="A","Generated from "&amp;INDEX(Fixed_Assets!$A$2:$A$201,$AB1513),IF($Z1513="F","Generated from "&amp;INDEX(FTE_Allocation!$A$2:$A$201,$AB1513),"")))</f>
        <v/>
      </c>
      <c r="X1513" s="19">
        <f>IF($Z1513="","",SUM(J1513:U1513))</f>
        <v/>
      </c>
      <c r="Y1513" s="20">
        <f>ROW()-1</f>
        <v/>
      </c>
      <c r="Z1513" s="20">
        <f>IF($Y1513&lt;=Settings!$B$4*3,"C",IF($Y1513&lt;=(Settings!$B$4+Settings!$B$5)*3,"A",IF($Y1513&lt;=(Settings!$B$4+Settings!$B$5+Settings!$B$6)*3,"F","")))</f>
        <v/>
      </c>
      <c r="AA1513" s="20">
        <f>IF($Z1513="C",$Y1513,IF($Z1513="A",$Y1513-Settings!$B$4*3,IF($Z1513="F",$Y1513-(Settings!$B$4+Settings!$B$5)*3,"")))</f>
        <v/>
      </c>
      <c r="AB1513" s="20">
        <f>IF($Z1513="","",INT(($AA1513-1)/3)+1)</f>
        <v/>
      </c>
      <c r="AC1513" s="20">
        <f>IF($Z1513="","",MOD($AA1513-1,3)+1)</f>
        <v/>
      </c>
      <c r="AD1513" s="20">
        <f>IF($Z1513="","",Settings!$B$2+$AC1513-1)</f>
        <v/>
      </c>
      <c r="AE1513" s="21">
        <f>IF($Z1513="C",DATE(YEAR(INDEX(Contracts!$J$2:$J$151,$AB1513)),MONTH(INDEX(Contracts!$J$2:$J$151,$AB1513)),1),IF($Z1513="A",DATE(YEAR(INDEX(Fixed_Assets!$G$2:$G$201,$AB1513)),MONTH(INDEX(Fixed_Assets!$G$2:$G$201,$AB1513)),1),IF($Z1513="F",DATE(YEAR(MAX(N(INDEX(Workforce!$I$2:$I$151,MATCH(INDEX(FTE_Allocation!$A$2:$A$201,$AB1513),Workforce!$A$2:$A$151,0))),N(INDEX(FTE_Allocation!$I$2:$I$201,$AB1513)))),MONTH(MAX(N(INDEX(Workforce!$I$2:$I$151,MATCH(INDEX(FTE_Allocation!$A$2:$A$201,$AB1513),Workforce!$A$2:$A$151,0))),N(INDEX(FTE_Allocation!$I$2:$I$201,$AB1513)))),1),"")))</f>
        <v/>
      </c>
      <c r="AF1513" s="21">
        <f>IF($Z1513="C",IF(INDEX(Contracts!$I$2:$I$151,$AB1513)="PREPAID",EDATE(DATE(YEAR(INDEX(Contracts!$J$2:$J$151,$AB1513)),MONTH(INDEX(Contracts!$J$2:$J$151,$AB1513)),1),IF(INDEX(Contracts!$N$2:$N$151,$AB1513)="",12,INDEX(Contracts!$N$2:$N$151,$AB1513))-1),IF(INDEX(Contracts!$I$2:$I$151,$AB1513)="MONTHLY",IF(INDEX(Contracts!$K$2:$K$151,$AB1513)="",2958101,INDEX(Contracts!$K$2:$K$151,$AB1513)),0)),IF($Z1513="A",EDATE(DATE(YEAR(INDEX(Fixed_Assets!$G$2:$G$201,$AB1513)),MONTH(INDEX(Fixed_Assets!$G$2:$G$201,$AB1513)),1),INDEX(Fixed_Assets!$J$2:$J$201,$AB1513)-1),IF($Z1513="F",MIN(IF(INDEX(Workforce!$J$2:$J$151,MATCH(INDEX(FTE_Allocation!$A$2:$A$201,$AB1513),Workforce!$A$2:$A$151,0))="",2958101,INDEX(Workforce!$J$2:$J$151,MATCH(INDEX(FTE_Allocation!$A$2:$A$201,$AB1513),Workforce!$A$2:$A$151,0))),IF(INDEX(FTE_Allocation!$J$2:$J$201,$AB1513)="",2958101,INDEX(FTE_Allocation!$J$2:$J$201,$AB1513))),"")))</f>
        <v/>
      </c>
      <c r="AG1513" s="19">
        <f>IF($Z1513="C",IF(INDEX(Contracts!$I$2:$I$151,$AB1513)="PREPAID",INDEX(Contracts!$M$2:$M$151,$AB1513)/IF(INDEX(Contracts!$N$2:$N$151,$AB1513)="",12,INDEX(Contracts!$N$2:$N$151,$AB1513)),IF(INDEX(Contracts!$I$2:$I$151,$AB1513)="MONTHLY",INDEX(Contracts!$M$2:$M$151,$AB1513),0))*(1-N(INDEX(Contracts!$O$2:$O$151,$AB1513))),IF($Z1513="A",INDEX(Fixed_Assets!$H$2:$H$201,$AB1513)/INDEX(Fixed_Assets!$J$2:$J$201,$AB1513),IF($Z1513="F",INDEX(Workforce!$F$2:$F$151,MATCH(INDEX(FTE_Allocation!$A$2:$A$201,$AB1513),Workforce!$A$2:$A$151,0))*N(INDEX(FTE_Allocation!$F$2:$H$201,$AB1513,$AC1513)),"")))</f>
        <v/>
      </c>
    </row>
    <row r="1514">
      <c r="A1514" s="7">
        <f>IF($Z1514="","",$AD1514)</f>
        <v/>
      </c>
      <c r="B1514" s="7">
        <f>IF($Z1514="C",INDEX(Contracts!$D$2:$D$151,$AB1514)&amp;"",IF($Z1514="A",INDEX(Fixed_Assets!$C$2:$C$201,$AB1514)&amp;"",IF($Z1514="F",INDEX(Workforce!$B$2:$B$151,MATCH(INDEX(FTE_Allocation!$A$2:$A$201,$AB1514),Workforce!$A$2:$A$151,0))&amp;"","")))</f>
        <v/>
      </c>
      <c r="C1514" s="7">
        <f>IF($Z1514="C",INDEX(Contracts!$E$2:$E$151,$AB1514)&amp;"",IF($Z1514="A",INDEX(Fixed_Assets!$D$2:$D$201,$AB1514)&amp;"",IF($Z1514="F",INDEX(FTE_Allocation!$C$2:$C$201,$AB1514)&amp;"","")))</f>
        <v/>
      </c>
      <c r="D1514" s="7">
        <f>IF($Z1514="C",INDEX(Contracts!$B$2:$B$151,$AB1514)&amp;"",IF($Z1514="A",INDEX(Fixed_Assets!$B$2:$B$201,$AB1514)&amp;"",IF($Z1514="F",INDEX(FTE_Allocation!$B$2:$B$201,$AB1514)&amp;"","")))</f>
        <v/>
      </c>
      <c r="E1514" s="7">
        <f>IF($Z1514="C",INDEX(Contracts!$P$2:$P$151,$AB1514)&amp;"",IF($Z1514="A",INDEX(Fixed_Assets!$K$2:$K$201,$AB1514)&amp;"",IF($Z1514="F",IF(INDEX(FTE_Allocation!$D$2:$D$201,$AB1514)="PROJECT",IFERROR(INDEX(Projects!$D:$D,MATCH(INDEX(FTE_Allocation!$E$2:$E$201,$AB1514),Projects!$A:$A,0))&amp;"","#PROJECT?"),INDEX(FTE_Allocation!$E$2:$E$201,$AB1514)&amp;""),"")))</f>
        <v/>
      </c>
      <c r="F1514" s="7">
        <f>IF($Z1514="C",INDEX(Contracts!$Q$2:$Q$151,$AB1514)&amp;"",IF($Z1514="A",INDEX(Fixed_Assets!$L$2:$L$201,$AB1514)&amp;"",IF($Z1514="F",INDEX(Workforce!$K$2:$K$151,MATCH(INDEX(FTE_Allocation!$A$2:$A$201,$AB1514),Workforce!$A$2:$A$151,0))&amp;"","")))</f>
        <v/>
      </c>
      <c r="G1514" s="7">
        <f>IF($Z1514="C",INDEX(Contracts!$F$2:$F$151,$AB1514)&amp;" / "&amp;INDEX(Contracts!$G$2:$G$151,$AB1514),IF($Z1514="A",INDEX(Fixed_Assets!$E$2:$E$201,$AB1514)&amp;"",IF($Z1514="F","Personnel "&amp;INDEX(FTE_Allocation!$A$2:$A$201,$AB1514)&amp;IF(INDEX(FTE_Allocation!$D$2:$D$201,$AB1514)="PROJECT"," ("&amp;INDEX(FTE_Allocation!$E$2:$E$201,$AB1514)&amp;")",""),"")))</f>
        <v/>
      </c>
      <c r="H1514" s="7">
        <f>IF($Z1514="C","CONTRACT",IF($Z1514="A","ASSET",IF($Z1514="F","WORKFORCE","")))</f>
        <v/>
      </c>
      <c r="I1514" s="7">
        <f>IF($Z1514="C",INDEX(Contracts!$L$2:$L$151,$AB1514)&amp;"",IF($Z1514="A",INDEX(Fixed_Assets!$I$2:$I$201,$AB1514)&amp;"",IF($Z1514="F",INDEX(Workforce!$G$2:$G$151,MATCH(INDEX(FTE_Allocation!$A$2:$A$201,$AB1514),Workforce!$A$2:$A$151,0))&amp;"","")))</f>
        <v/>
      </c>
      <c r="J1514" s="18">
        <f>IF($Z1514="","",IF(AND(DATE($AD1514,1,1)&gt;=$AE1514,DATE($AD1514,1,1)&lt;=$AF1514),ROUND($AG1514,2),0))</f>
        <v/>
      </c>
      <c r="K1514" s="18">
        <f>IF($Z1514="","",IF(AND(DATE($AD1514,2,1)&gt;=$AE1514,DATE($AD1514,2,1)&lt;=$AF1514),ROUND($AG1514,2),0))</f>
        <v/>
      </c>
      <c r="L1514" s="18">
        <f>IF($Z1514="","",IF(AND(DATE($AD1514,3,1)&gt;=$AE1514,DATE($AD1514,3,1)&lt;=$AF1514),ROUND($AG1514,2),0))</f>
        <v/>
      </c>
      <c r="M1514" s="18">
        <f>IF($Z1514="","",IF(AND(DATE($AD1514,4,1)&gt;=$AE1514,DATE($AD1514,4,1)&lt;=$AF1514),ROUND($AG1514,2),0))</f>
        <v/>
      </c>
      <c r="N1514" s="18">
        <f>IF($Z1514="","",IF(AND(DATE($AD1514,5,1)&gt;=$AE1514,DATE($AD1514,5,1)&lt;=$AF1514),ROUND($AG1514,2),0))</f>
        <v/>
      </c>
      <c r="O1514" s="18">
        <f>IF($Z1514="","",IF(AND(DATE($AD1514,6,1)&gt;=$AE1514,DATE($AD1514,6,1)&lt;=$AF1514),ROUND($AG1514,2),0))</f>
        <v/>
      </c>
      <c r="P1514" s="18">
        <f>IF($Z1514="","",IF(AND(DATE($AD1514,7,1)&gt;=$AE1514,DATE($AD1514,7,1)&lt;=$AF1514),ROUND($AG1514,2),0))</f>
        <v/>
      </c>
      <c r="Q1514" s="18">
        <f>IF($Z1514="","",IF(AND(DATE($AD1514,8,1)&gt;=$AE1514,DATE($AD1514,8,1)&lt;=$AF1514),ROUND($AG1514,2),0))</f>
        <v/>
      </c>
      <c r="R1514" s="18">
        <f>IF($Z1514="","",IF(AND(DATE($AD1514,9,1)&gt;=$AE1514,DATE($AD1514,9,1)&lt;=$AF1514),ROUND($AG1514,2),0))</f>
        <v/>
      </c>
      <c r="S1514" s="18">
        <f>IF($Z1514="","",IF(AND(DATE($AD1514,10,1)&gt;=$AE1514,DATE($AD1514,10,1)&lt;=$AF1514),ROUND($AG1514,2),0))</f>
        <v/>
      </c>
      <c r="T1514" s="18">
        <f>IF($Z1514="","",IF(AND(DATE($AD1514,11,1)&gt;=$AE1514,DATE($AD1514,11,1)&lt;=$AF1514),ROUND($AG1514,2),0))</f>
        <v/>
      </c>
      <c r="U1514" s="18">
        <f>IF($Z1514="","",IF(AND(DATE($AD1514,12,1)&gt;=$AE1514,DATE($AD1514,12,1)&lt;=$AF1514),ROUND($AG1514,2),0))</f>
        <v/>
      </c>
      <c r="V1514" s="7">
        <f>IF($Z1514="C","Generated from "&amp;INDEX(Contracts!$A$2:$A$151,$AB1514),IF($Z1514="A","Generated from "&amp;INDEX(Fixed_Assets!$A$2:$A$201,$AB1514),IF($Z1514="F","Generated from "&amp;INDEX(FTE_Allocation!$A$2:$A$201,$AB1514),"")))</f>
        <v/>
      </c>
      <c r="X1514" s="19">
        <f>IF($Z1514="","",SUM(J1514:U1514))</f>
        <v/>
      </c>
      <c r="Y1514" s="20">
        <f>ROW()-1</f>
        <v/>
      </c>
      <c r="Z1514" s="20">
        <f>IF($Y1514&lt;=Settings!$B$4*3,"C",IF($Y1514&lt;=(Settings!$B$4+Settings!$B$5)*3,"A",IF($Y1514&lt;=(Settings!$B$4+Settings!$B$5+Settings!$B$6)*3,"F","")))</f>
        <v/>
      </c>
      <c r="AA1514" s="20">
        <f>IF($Z1514="C",$Y1514,IF($Z1514="A",$Y1514-Settings!$B$4*3,IF($Z1514="F",$Y1514-(Settings!$B$4+Settings!$B$5)*3,"")))</f>
        <v/>
      </c>
      <c r="AB1514" s="20">
        <f>IF($Z1514="","",INT(($AA1514-1)/3)+1)</f>
        <v/>
      </c>
      <c r="AC1514" s="20">
        <f>IF($Z1514="","",MOD($AA1514-1,3)+1)</f>
        <v/>
      </c>
      <c r="AD1514" s="20">
        <f>IF($Z1514="","",Settings!$B$2+$AC1514-1)</f>
        <v/>
      </c>
      <c r="AE1514" s="21">
        <f>IF($Z1514="C",DATE(YEAR(INDEX(Contracts!$J$2:$J$151,$AB1514)),MONTH(INDEX(Contracts!$J$2:$J$151,$AB1514)),1),IF($Z1514="A",DATE(YEAR(INDEX(Fixed_Assets!$G$2:$G$201,$AB1514)),MONTH(INDEX(Fixed_Assets!$G$2:$G$201,$AB1514)),1),IF($Z1514="F",DATE(YEAR(MAX(N(INDEX(Workforce!$I$2:$I$151,MATCH(INDEX(FTE_Allocation!$A$2:$A$201,$AB1514),Workforce!$A$2:$A$151,0))),N(INDEX(FTE_Allocation!$I$2:$I$201,$AB1514)))),MONTH(MAX(N(INDEX(Workforce!$I$2:$I$151,MATCH(INDEX(FTE_Allocation!$A$2:$A$201,$AB1514),Workforce!$A$2:$A$151,0))),N(INDEX(FTE_Allocation!$I$2:$I$201,$AB1514)))),1),"")))</f>
        <v/>
      </c>
      <c r="AF1514" s="21">
        <f>IF($Z1514="C",IF(INDEX(Contracts!$I$2:$I$151,$AB1514)="PREPAID",EDATE(DATE(YEAR(INDEX(Contracts!$J$2:$J$151,$AB1514)),MONTH(INDEX(Contracts!$J$2:$J$151,$AB1514)),1),IF(INDEX(Contracts!$N$2:$N$151,$AB1514)="",12,INDEX(Contracts!$N$2:$N$151,$AB1514))-1),IF(INDEX(Contracts!$I$2:$I$151,$AB1514)="MONTHLY",IF(INDEX(Contracts!$K$2:$K$151,$AB1514)="",2958101,INDEX(Contracts!$K$2:$K$151,$AB1514)),0)),IF($Z1514="A",EDATE(DATE(YEAR(INDEX(Fixed_Assets!$G$2:$G$201,$AB1514)),MONTH(INDEX(Fixed_Assets!$G$2:$G$201,$AB1514)),1),INDEX(Fixed_Assets!$J$2:$J$201,$AB1514)-1),IF($Z1514="F",MIN(IF(INDEX(Workforce!$J$2:$J$151,MATCH(INDEX(FTE_Allocation!$A$2:$A$201,$AB1514),Workforce!$A$2:$A$151,0))="",2958101,INDEX(Workforce!$J$2:$J$151,MATCH(INDEX(FTE_Allocation!$A$2:$A$201,$AB1514),Workforce!$A$2:$A$151,0))),IF(INDEX(FTE_Allocation!$J$2:$J$201,$AB1514)="",2958101,INDEX(FTE_Allocation!$J$2:$J$201,$AB1514))),"")))</f>
        <v/>
      </c>
      <c r="AG1514" s="19">
        <f>IF($Z1514="C",IF(INDEX(Contracts!$I$2:$I$151,$AB1514)="PREPAID",INDEX(Contracts!$M$2:$M$151,$AB1514)/IF(INDEX(Contracts!$N$2:$N$151,$AB1514)="",12,INDEX(Contracts!$N$2:$N$151,$AB1514)),IF(INDEX(Contracts!$I$2:$I$151,$AB1514)="MONTHLY",INDEX(Contracts!$M$2:$M$151,$AB1514),0))*(1-N(INDEX(Contracts!$O$2:$O$151,$AB1514))),IF($Z1514="A",INDEX(Fixed_Assets!$H$2:$H$201,$AB1514)/INDEX(Fixed_Assets!$J$2:$J$201,$AB1514),IF($Z1514="F",INDEX(Workforce!$F$2:$F$151,MATCH(INDEX(FTE_Allocation!$A$2:$A$201,$AB1514),Workforce!$A$2:$A$151,0))*N(INDEX(FTE_Allocation!$F$2:$H$201,$AB1514,$AC1514)),"")))</f>
        <v/>
      </c>
    </row>
    <row r="1515">
      <c r="A1515" s="7">
        <f>IF($Z1515="","",$AD1515)</f>
        <v/>
      </c>
      <c r="B1515" s="7">
        <f>IF($Z1515="C",INDEX(Contracts!$D$2:$D$151,$AB1515)&amp;"",IF($Z1515="A",INDEX(Fixed_Assets!$C$2:$C$201,$AB1515)&amp;"",IF($Z1515="F",INDEX(Workforce!$B$2:$B$151,MATCH(INDEX(FTE_Allocation!$A$2:$A$201,$AB1515),Workforce!$A$2:$A$151,0))&amp;"","")))</f>
        <v/>
      </c>
      <c r="C1515" s="7">
        <f>IF($Z1515="C",INDEX(Contracts!$E$2:$E$151,$AB1515)&amp;"",IF($Z1515="A",INDEX(Fixed_Assets!$D$2:$D$201,$AB1515)&amp;"",IF($Z1515="F",INDEX(FTE_Allocation!$C$2:$C$201,$AB1515)&amp;"","")))</f>
        <v/>
      </c>
      <c r="D1515" s="7">
        <f>IF($Z1515="C",INDEX(Contracts!$B$2:$B$151,$AB1515)&amp;"",IF($Z1515="A",INDEX(Fixed_Assets!$B$2:$B$201,$AB1515)&amp;"",IF($Z1515="F",INDEX(FTE_Allocation!$B$2:$B$201,$AB1515)&amp;"","")))</f>
        <v/>
      </c>
      <c r="E1515" s="7">
        <f>IF($Z1515="C",INDEX(Contracts!$P$2:$P$151,$AB1515)&amp;"",IF($Z1515="A",INDEX(Fixed_Assets!$K$2:$K$201,$AB1515)&amp;"",IF($Z1515="F",IF(INDEX(FTE_Allocation!$D$2:$D$201,$AB1515)="PROJECT",IFERROR(INDEX(Projects!$D:$D,MATCH(INDEX(FTE_Allocation!$E$2:$E$201,$AB1515),Projects!$A:$A,0))&amp;"","#PROJECT?"),INDEX(FTE_Allocation!$E$2:$E$201,$AB1515)&amp;""),"")))</f>
        <v/>
      </c>
      <c r="F1515" s="7">
        <f>IF($Z1515="C",INDEX(Contracts!$Q$2:$Q$151,$AB1515)&amp;"",IF($Z1515="A",INDEX(Fixed_Assets!$L$2:$L$201,$AB1515)&amp;"",IF($Z1515="F",INDEX(Workforce!$K$2:$K$151,MATCH(INDEX(FTE_Allocation!$A$2:$A$201,$AB1515),Workforce!$A$2:$A$151,0))&amp;"","")))</f>
        <v/>
      </c>
      <c r="G1515" s="7">
        <f>IF($Z1515="C",INDEX(Contracts!$F$2:$F$151,$AB1515)&amp;" / "&amp;INDEX(Contracts!$G$2:$G$151,$AB1515),IF($Z1515="A",INDEX(Fixed_Assets!$E$2:$E$201,$AB1515)&amp;"",IF($Z1515="F","Personnel "&amp;INDEX(FTE_Allocation!$A$2:$A$201,$AB1515)&amp;IF(INDEX(FTE_Allocation!$D$2:$D$201,$AB1515)="PROJECT"," ("&amp;INDEX(FTE_Allocation!$E$2:$E$201,$AB1515)&amp;")",""),"")))</f>
        <v/>
      </c>
      <c r="H1515" s="7">
        <f>IF($Z1515="C","CONTRACT",IF($Z1515="A","ASSET",IF($Z1515="F","WORKFORCE","")))</f>
        <v/>
      </c>
      <c r="I1515" s="7">
        <f>IF($Z1515="C",INDEX(Contracts!$L$2:$L$151,$AB1515)&amp;"",IF($Z1515="A",INDEX(Fixed_Assets!$I$2:$I$201,$AB1515)&amp;"",IF($Z1515="F",INDEX(Workforce!$G$2:$G$151,MATCH(INDEX(FTE_Allocation!$A$2:$A$201,$AB1515),Workforce!$A$2:$A$151,0))&amp;"","")))</f>
        <v/>
      </c>
      <c r="J1515" s="18">
        <f>IF($Z1515="","",IF(AND(DATE($AD1515,1,1)&gt;=$AE1515,DATE($AD1515,1,1)&lt;=$AF1515),ROUND($AG1515,2),0))</f>
        <v/>
      </c>
      <c r="K1515" s="18">
        <f>IF($Z1515="","",IF(AND(DATE($AD1515,2,1)&gt;=$AE1515,DATE($AD1515,2,1)&lt;=$AF1515),ROUND($AG1515,2),0))</f>
        <v/>
      </c>
      <c r="L1515" s="18">
        <f>IF($Z1515="","",IF(AND(DATE($AD1515,3,1)&gt;=$AE1515,DATE($AD1515,3,1)&lt;=$AF1515),ROUND($AG1515,2),0))</f>
        <v/>
      </c>
      <c r="M1515" s="18">
        <f>IF($Z1515="","",IF(AND(DATE($AD1515,4,1)&gt;=$AE1515,DATE($AD1515,4,1)&lt;=$AF1515),ROUND($AG1515,2),0))</f>
        <v/>
      </c>
      <c r="N1515" s="18">
        <f>IF($Z1515="","",IF(AND(DATE($AD1515,5,1)&gt;=$AE1515,DATE($AD1515,5,1)&lt;=$AF1515),ROUND($AG1515,2),0))</f>
        <v/>
      </c>
      <c r="O1515" s="18">
        <f>IF($Z1515="","",IF(AND(DATE($AD1515,6,1)&gt;=$AE1515,DATE($AD1515,6,1)&lt;=$AF1515),ROUND($AG1515,2),0))</f>
        <v/>
      </c>
      <c r="P1515" s="18">
        <f>IF($Z1515="","",IF(AND(DATE($AD1515,7,1)&gt;=$AE1515,DATE($AD1515,7,1)&lt;=$AF1515),ROUND($AG1515,2),0))</f>
        <v/>
      </c>
      <c r="Q1515" s="18">
        <f>IF($Z1515="","",IF(AND(DATE($AD1515,8,1)&gt;=$AE1515,DATE($AD1515,8,1)&lt;=$AF1515),ROUND($AG1515,2),0))</f>
        <v/>
      </c>
      <c r="R1515" s="18">
        <f>IF($Z1515="","",IF(AND(DATE($AD1515,9,1)&gt;=$AE1515,DATE($AD1515,9,1)&lt;=$AF1515),ROUND($AG1515,2),0))</f>
        <v/>
      </c>
      <c r="S1515" s="18">
        <f>IF($Z1515="","",IF(AND(DATE($AD1515,10,1)&gt;=$AE1515,DATE($AD1515,10,1)&lt;=$AF1515),ROUND($AG1515,2),0))</f>
        <v/>
      </c>
      <c r="T1515" s="18">
        <f>IF($Z1515="","",IF(AND(DATE($AD1515,11,1)&gt;=$AE1515,DATE($AD1515,11,1)&lt;=$AF1515),ROUND($AG1515,2),0))</f>
        <v/>
      </c>
      <c r="U1515" s="18">
        <f>IF($Z1515="","",IF(AND(DATE($AD1515,12,1)&gt;=$AE1515,DATE($AD1515,12,1)&lt;=$AF1515),ROUND($AG1515,2),0))</f>
        <v/>
      </c>
      <c r="V1515" s="7">
        <f>IF($Z1515="C","Generated from "&amp;INDEX(Contracts!$A$2:$A$151,$AB1515),IF($Z1515="A","Generated from "&amp;INDEX(Fixed_Assets!$A$2:$A$201,$AB1515),IF($Z1515="F","Generated from "&amp;INDEX(FTE_Allocation!$A$2:$A$201,$AB1515),"")))</f>
        <v/>
      </c>
      <c r="X1515" s="19">
        <f>IF($Z1515="","",SUM(J1515:U1515))</f>
        <v/>
      </c>
      <c r="Y1515" s="20">
        <f>ROW()-1</f>
        <v/>
      </c>
      <c r="Z1515" s="20">
        <f>IF($Y1515&lt;=Settings!$B$4*3,"C",IF($Y1515&lt;=(Settings!$B$4+Settings!$B$5)*3,"A",IF($Y1515&lt;=(Settings!$B$4+Settings!$B$5+Settings!$B$6)*3,"F","")))</f>
        <v/>
      </c>
      <c r="AA1515" s="20">
        <f>IF($Z1515="C",$Y1515,IF($Z1515="A",$Y1515-Settings!$B$4*3,IF($Z1515="F",$Y1515-(Settings!$B$4+Settings!$B$5)*3,"")))</f>
        <v/>
      </c>
      <c r="AB1515" s="20">
        <f>IF($Z1515="","",INT(($AA1515-1)/3)+1)</f>
        <v/>
      </c>
      <c r="AC1515" s="20">
        <f>IF($Z1515="","",MOD($AA1515-1,3)+1)</f>
        <v/>
      </c>
      <c r="AD1515" s="20">
        <f>IF($Z1515="","",Settings!$B$2+$AC1515-1)</f>
        <v/>
      </c>
      <c r="AE1515" s="21">
        <f>IF($Z1515="C",DATE(YEAR(INDEX(Contracts!$J$2:$J$151,$AB1515)),MONTH(INDEX(Contracts!$J$2:$J$151,$AB1515)),1),IF($Z1515="A",DATE(YEAR(INDEX(Fixed_Assets!$G$2:$G$201,$AB1515)),MONTH(INDEX(Fixed_Assets!$G$2:$G$201,$AB1515)),1),IF($Z1515="F",DATE(YEAR(MAX(N(INDEX(Workforce!$I$2:$I$151,MATCH(INDEX(FTE_Allocation!$A$2:$A$201,$AB1515),Workforce!$A$2:$A$151,0))),N(INDEX(FTE_Allocation!$I$2:$I$201,$AB1515)))),MONTH(MAX(N(INDEX(Workforce!$I$2:$I$151,MATCH(INDEX(FTE_Allocation!$A$2:$A$201,$AB1515),Workforce!$A$2:$A$151,0))),N(INDEX(FTE_Allocation!$I$2:$I$201,$AB1515)))),1),"")))</f>
        <v/>
      </c>
      <c r="AF1515" s="21">
        <f>IF($Z1515="C",IF(INDEX(Contracts!$I$2:$I$151,$AB1515)="PREPAID",EDATE(DATE(YEAR(INDEX(Contracts!$J$2:$J$151,$AB1515)),MONTH(INDEX(Contracts!$J$2:$J$151,$AB1515)),1),IF(INDEX(Contracts!$N$2:$N$151,$AB1515)="",12,INDEX(Contracts!$N$2:$N$151,$AB1515))-1),IF(INDEX(Contracts!$I$2:$I$151,$AB1515)="MONTHLY",IF(INDEX(Contracts!$K$2:$K$151,$AB1515)="",2958101,INDEX(Contracts!$K$2:$K$151,$AB1515)),0)),IF($Z1515="A",EDATE(DATE(YEAR(INDEX(Fixed_Assets!$G$2:$G$201,$AB1515)),MONTH(INDEX(Fixed_Assets!$G$2:$G$201,$AB1515)),1),INDEX(Fixed_Assets!$J$2:$J$201,$AB1515)-1),IF($Z1515="F",MIN(IF(INDEX(Workforce!$J$2:$J$151,MATCH(INDEX(FTE_Allocation!$A$2:$A$201,$AB1515),Workforce!$A$2:$A$151,0))="",2958101,INDEX(Workforce!$J$2:$J$151,MATCH(INDEX(FTE_Allocation!$A$2:$A$201,$AB1515),Workforce!$A$2:$A$151,0))),IF(INDEX(FTE_Allocation!$J$2:$J$201,$AB1515)="",2958101,INDEX(FTE_Allocation!$J$2:$J$201,$AB1515))),"")))</f>
        <v/>
      </c>
      <c r="AG1515" s="19">
        <f>IF($Z1515="C",IF(INDEX(Contracts!$I$2:$I$151,$AB1515)="PREPAID",INDEX(Contracts!$M$2:$M$151,$AB1515)/IF(INDEX(Contracts!$N$2:$N$151,$AB1515)="",12,INDEX(Contracts!$N$2:$N$151,$AB1515)),IF(INDEX(Contracts!$I$2:$I$151,$AB1515)="MONTHLY",INDEX(Contracts!$M$2:$M$151,$AB1515),0))*(1-N(INDEX(Contracts!$O$2:$O$151,$AB1515))),IF($Z1515="A",INDEX(Fixed_Assets!$H$2:$H$201,$AB1515)/INDEX(Fixed_Assets!$J$2:$J$201,$AB1515),IF($Z1515="F",INDEX(Workforce!$F$2:$F$151,MATCH(INDEX(FTE_Allocation!$A$2:$A$201,$AB1515),Workforce!$A$2:$A$151,0))*N(INDEX(FTE_Allocation!$F$2:$H$201,$AB1515,$AC1515)),"")))</f>
        <v/>
      </c>
    </row>
    <row r="1516">
      <c r="A1516" s="7">
        <f>IF($Z1516="","",$AD1516)</f>
        <v/>
      </c>
      <c r="B1516" s="7">
        <f>IF($Z1516="C",INDEX(Contracts!$D$2:$D$151,$AB1516)&amp;"",IF($Z1516="A",INDEX(Fixed_Assets!$C$2:$C$201,$AB1516)&amp;"",IF($Z1516="F",INDEX(Workforce!$B$2:$B$151,MATCH(INDEX(FTE_Allocation!$A$2:$A$201,$AB1516),Workforce!$A$2:$A$151,0))&amp;"","")))</f>
        <v/>
      </c>
      <c r="C1516" s="7">
        <f>IF($Z1516="C",INDEX(Contracts!$E$2:$E$151,$AB1516)&amp;"",IF($Z1516="A",INDEX(Fixed_Assets!$D$2:$D$201,$AB1516)&amp;"",IF($Z1516="F",INDEX(FTE_Allocation!$C$2:$C$201,$AB1516)&amp;"","")))</f>
        <v/>
      </c>
      <c r="D1516" s="7">
        <f>IF($Z1516="C",INDEX(Contracts!$B$2:$B$151,$AB1516)&amp;"",IF($Z1516="A",INDEX(Fixed_Assets!$B$2:$B$201,$AB1516)&amp;"",IF($Z1516="F",INDEX(FTE_Allocation!$B$2:$B$201,$AB1516)&amp;"","")))</f>
        <v/>
      </c>
      <c r="E1516" s="7">
        <f>IF($Z1516="C",INDEX(Contracts!$P$2:$P$151,$AB1516)&amp;"",IF($Z1516="A",INDEX(Fixed_Assets!$K$2:$K$201,$AB1516)&amp;"",IF($Z1516="F",IF(INDEX(FTE_Allocation!$D$2:$D$201,$AB1516)="PROJECT",IFERROR(INDEX(Projects!$D:$D,MATCH(INDEX(FTE_Allocation!$E$2:$E$201,$AB1516),Projects!$A:$A,0))&amp;"","#PROJECT?"),INDEX(FTE_Allocation!$E$2:$E$201,$AB1516)&amp;""),"")))</f>
        <v/>
      </c>
      <c r="F1516" s="7">
        <f>IF($Z1516="C",INDEX(Contracts!$Q$2:$Q$151,$AB1516)&amp;"",IF($Z1516="A",INDEX(Fixed_Assets!$L$2:$L$201,$AB1516)&amp;"",IF($Z1516="F",INDEX(Workforce!$K$2:$K$151,MATCH(INDEX(FTE_Allocation!$A$2:$A$201,$AB1516),Workforce!$A$2:$A$151,0))&amp;"","")))</f>
        <v/>
      </c>
      <c r="G1516" s="7">
        <f>IF($Z1516="C",INDEX(Contracts!$F$2:$F$151,$AB1516)&amp;" / "&amp;INDEX(Contracts!$G$2:$G$151,$AB1516),IF($Z1516="A",INDEX(Fixed_Assets!$E$2:$E$201,$AB1516)&amp;"",IF($Z1516="F","Personnel "&amp;INDEX(FTE_Allocation!$A$2:$A$201,$AB1516)&amp;IF(INDEX(FTE_Allocation!$D$2:$D$201,$AB1516)="PROJECT"," ("&amp;INDEX(FTE_Allocation!$E$2:$E$201,$AB1516)&amp;")",""),"")))</f>
        <v/>
      </c>
      <c r="H1516" s="7">
        <f>IF($Z1516="C","CONTRACT",IF($Z1516="A","ASSET",IF($Z1516="F","WORKFORCE","")))</f>
        <v/>
      </c>
      <c r="I1516" s="7">
        <f>IF($Z1516="C",INDEX(Contracts!$L$2:$L$151,$AB1516)&amp;"",IF($Z1516="A",INDEX(Fixed_Assets!$I$2:$I$201,$AB1516)&amp;"",IF($Z1516="F",INDEX(Workforce!$G$2:$G$151,MATCH(INDEX(FTE_Allocation!$A$2:$A$201,$AB1516),Workforce!$A$2:$A$151,0))&amp;"","")))</f>
        <v/>
      </c>
      <c r="J1516" s="18">
        <f>IF($Z1516="","",IF(AND(DATE($AD1516,1,1)&gt;=$AE1516,DATE($AD1516,1,1)&lt;=$AF1516),ROUND($AG1516,2),0))</f>
        <v/>
      </c>
      <c r="K1516" s="18">
        <f>IF($Z1516="","",IF(AND(DATE($AD1516,2,1)&gt;=$AE1516,DATE($AD1516,2,1)&lt;=$AF1516),ROUND($AG1516,2),0))</f>
        <v/>
      </c>
      <c r="L1516" s="18">
        <f>IF($Z1516="","",IF(AND(DATE($AD1516,3,1)&gt;=$AE1516,DATE($AD1516,3,1)&lt;=$AF1516),ROUND($AG1516,2),0))</f>
        <v/>
      </c>
      <c r="M1516" s="18">
        <f>IF($Z1516="","",IF(AND(DATE($AD1516,4,1)&gt;=$AE1516,DATE($AD1516,4,1)&lt;=$AF1516),ROUND($AG1516,2),0))</f>
        <v/>
      </c>
      <c r="N1516" s="18">
        <f>IF($Z1516="","",IF(AND(DATE($AD1516,5,1)&gt;=$AE1516,DATE($AD1516,5,1)&lt;=$AF1516),ROUND($AG1516,2),0))</f>
        <v/>
      </c>
      <c r="O1516" s="18">
        <f>IF($Z1516="","",IF(AND(DATE($AD1516,6,1)&gt;=$AE1516,DATE($AD1516,6,1)&lt;=$AF1516),ROUND($AG1516,2),0))</f>
        <v/>
      </c>
      <c r="P1516" s="18">
        <f>IF($Z1516="","",IF(AND(DATE($AD1516,7,1)&gt;=$AE1516,DATE($AD1516,7,1)&lt;=$AF1516),ROUND($AG1516,2),0))</f>
        <v/>
      </c>
      <c r="Q1516" s="18">
        <f>IF($Z1516="","",IF(AND(DATE($AD1516,8,1)&gt;=$AE1516,DATE($AD1516,8,1)&lt;=$AF1516),ROUND($AG1516,2),0))</f>
        <v/>
      </c>
      <c r="R1516" s="18">
        <f>IF($Z1516="","",IF(AND(DATE($AD1516,9,1)&gt;=$AE1516,DATE($AD1516,9,1)&lt;=$AF1516),ROUND($AG1516,2),0))</f>
        <v/>
      </c>
      <c r="S1516" s="18">
        <f>IF($Z1516="","",IF(AND(DATE($AD1516,10,1)&gt;=$AE1516,DATE($AD1516,10,1)&lt;=$AF1516),ROUND($AG1516,2),0))</f>
        <v/>
      </c>
      <c r="T1516" s="18">
        <f>IF($Z1516="","",IF(AND(DATE($AD1516,11,1)&gt;=$AE1516,DATE($AD1516,11,1)&lt;=$AF1516),ROUND($AG1516,2),0))</f>
        <v/>
      </c>
      <c r="U1516" s="18">
        <f>IF($Z1516="","",IF(AND(DATE($AD1516,12,1)&gt;=$AE1516,DATE($AD1516,12,1)&lt;=$AF1516),ROUND($AG1516,2),0))</f>
        <v/>
      </c>
      <c r="V1516" s="7">
        <f>IF($Z1516="C","Generated from "&amp;INDEX(Contracts!$A$2:$A$151,$AB1516),IF($Z1516="A","Generated from "&amp;INDEX(Fixed_Assets!$A$2:$A$201,$AB1516),IF($Z1516="F","Generated from "&amp;INDEX(FTE_Allocation!$A$2:$A$201,$AB1516),"")))</f>
        <v/>
      </c>
      <c r="X1516" s="19">
        <f>IF($Z1516="","",SUM(J1516:U1516))</f>
        <v/>
      </c>
      <c r="Y1516" s="20">
        <f>ROW()-1</f>
        <v/>
      </c>
      <c r="Z1516" s="20">
        <f>IF($Y1516&lt;=Settings!$B$4*3,"C",IF($Y1516&lt;=(Settings!$B$4+Settings!$B$5)*3,"A",IF($Y1516&lt;=(Settings!$B$4+Settings!$B$5+Settings!$B$6)*3,"F","")))</f>
        <v/>
      </c>
      <c r="AA1516" s="20">
        <f>IF($Z1516="C",$Y1516,IF($Z1516="A",$Y1516-Settings!$B$4*3,IF($Z1516="F",$Y1516-(Settings!$B$4+Settings!$B$5)*3,"")))</f>
        <v/>
      </c>
      <c r="AB1516" s="20">
        <f>IF($Z1516="","",INT(($AA1516-1)/3)+1)</f>
        <v/>
      </c>
      <c r="AC1516" s="20">
        <f>IF($Z1516="","",MOD($AA1516-1,3)+1)</f>
        <v/>
      </c>
      <c r="AD1516" s="20">
        <f>IF($Z1516="","",Settings!$B$2+$AC1516-1)</f>
        <v/>
      </c>
      <c r="AE1516" s="21">
        <f>IF($Z1516="C",DATE(YEAR(INDEX(Contracts!$J$2:$J$151,$AB1516)),MONTH(INDEX(Contracts!$J$2:$J$151,$AB1516)),1),IF($Z1516="A",DATE(YEAR(INDEX(Fixed_Assets!$G$2:$G$201,$AB1516)),MONTH(INDEX(Fixed_Assets!$G$2:$G$201,$AB1516)),1),IF($Z1516="F",DATE(YEAR(MAX(N(INDEX(Workforce!$I$2:$I$151,MATCH(INDEX(FTE_Allocation!$A$2:$A$201,$AB1516),Workforce!$A$2:$A$151,0))),N(INDEX(FTE_Allocation!$I$2:$I$201,$AB1516)))),MONTH(MAX(N(INDEX(Workforce!$I$2:$I$151,MATCH(INDEX(FTE_Allocation!$A$2:$A$201,$AB1516),Workforce!$A$2:$A$151,0))),N(INDEX(FTE_Allocation!$I$2:$I$201,$AB1516)))),1),"")))</f>
        <v/>
      </c>
      <c r="AF1516" s="21">
        <f>IF($Z1516="C",IF(INDEX(Contracts!$I$2:$I$151,$AB1516)="PREPAID",EDATE(DATE(YEAR(INDEX(Contracts!$J$2:$J$151,$AB1516)),MONTH(INDEX(Contracts!$J$2:$J$151,$AB1516)),1),IF(INDEX(Contracts!$N$2:$N$151,$AB1516)="",12,INDEX(Contracts!$N$2:$N$151,$AB1516))-1),IF(INDEX(Contracts!$I$2:$I$151,$AB1516)="MONTHLY",IF(INDEX(Contracts!$K$2:$K$151,$AB1516)="",2958101,INDEX(Contracts!$K$2:$K$151,$AB1516)),0)),IF($Z1516="A",EDATE(DATE(YEAR(INDEX(Fixed_Assets!$G$2:$G$201,$AB1516)),MONTH(INDEX(Fixed_Assets!$G$2:$G$201,$AB1516)),1),INDEX(Fixed_Assets!$J$2:$J$201,$AB1516)-1),IF($Z1516="F",MIN(IF(INDEX(Workforce!$J$2:$J$151,MATCH(INDEX(FTE_Allocation!$A$2:$A$201,$AB1516),Workforce!$A$2:$A$151,0))="",2958101,INDEX(Workforce!$J$2:$J$151,MATCH(INDEX(FTE_Allocation!$A$2:$A$201,$AB1516),Workforce!$A$2:$A$151,0))),IF(INDEX(FTE_Allocation!$J$2:$J$201,$AB1516)="",2958101,INDEX(FTE_Allocation!$J$2:$J$201,$AB1516))),"")))</f>
        <v/>
      </c>
      <c r="AG1516" s="19">
        <f>IF($Z1516="C",IF(INDEX(Contracts!$I$2:$I$151,$AB1516)="PREPAID",INDEX(Contracts!$M$2:$M$151,$AB1516)/IF(INDEX(Contracts!$N$2:$N$151,$AB1516)="",12,INDEX(Contracts!$N$2:$N$151,$AB1516)),IF(INDEX(Contracts!$I$2:$I$151,$AB1516)="MONTHLY",INDEX(Contracts!$M$2:$M$151,$AB1516),0))*(1-N(INDEX(Contracts!$O$2:$O$151,$AB1516))),IF($Z1516="A",INDEX(Fixed_Assets!$H$2:$H$201,$AB1516)/INDEX(Fixed_Assets!$J$2:$J$201,$AB1516),IF($Z1516="F",INDEX(Workforce!$F$2:$F$151,MATCH(INDEX(FTE_Allocation!$A$2:$A$201,$AB1516),Workforce!$A$2:$A$151,0))*N(INDEX(FTE_Allocation!$F$2:$H$201,$AB1516,$AC1516)),"")))</f>
        <v/>
      </c>
    </row>
    <row r="1517">
      <c r="A1517" s="7">
        <f>IF($Z1517="","",$AD1517)</f>
        <v/>
      </c>
      <c r="B1517" s="7">
        <f>IF($Z1517="C",INDEX(Contracts!$D$2:$D$151,$AB1517)&amp;"",IF($Z1517="A",INDEX(Fixed_Assets!$C$2:$C$201,$AB1517)&amp;"",IF($Z1517="F",INDEX(Workforce!$B$2:$B$151,MATCH(INDEX(FTE_Allocation!$A$2:$A$201,$AB1517),Workforce!$A$2:$A$151,0))&amp;"","")))</f>
        <v/>
      </c>
      <c r="C1517" s="7">
        <f>IF($Z1517="C",INDEX(Contracts!$E$2:$E$151,$AB1517)&amp;"",IF($Z1517="A",INDEX(Fixed_Assets!$D$2:$D$201,$AB1517)&amp;"",IF($Z1517="F",INDEX(FTE_Allocation!$C$2:$C$201,$AB1517)&amp;"","")))</f>
        <v/>
      </c>
      <c r="D1517" s="7">
        <f>IF($Z1517="C",INDEX(Contracts!$B$2:$B$151,$AB1517)&amp;"",IF($Z1517="A",INDEX(Fixed_Assets!$B$2:$B$201,$AB1517)&amp;"",IF($Z1517="F",INDEX(FTE_Allocation!$B$2:$B$201,$AB1517)&amp;"","")))</f>
        <v/>
      </c>
      <c r="E1517" s="7">
        <f>IF($Z1517="C",INDEX(Contracts!$P$2:$P$151,$AB1517)&amp;"",IF($Z1517="A",INDEX(Fixed_Assets!$K$2:$K$201,$AB1517)&amp;"",IF($Z1517="F",IF(INDEX(FTE_Allocation!$D$2:$D$201,$AB1517)="PROJECT",IFERROR(INDEX(Projects!$D:$D,MATCH(INDEX(FTE_Allocation!$E$2:$E$201,$AB1517),Projects!$A:$A,0))&amp;"","#PROJECT?"),INDEX(FTE_Allocation!$E$2:$E$201,$AB1517)&amp;""),"")))</f>
        <v/>
      </c>
      <c r="F1517" s="7">
        <f>IF($Z1517="C",INDEX(Contracts!$Q$2:$Q$151,$AB1517)&amp;"",IF($Z1517="A",INDEX(Fixed_Assets!$L$2:$L$201,$AB1517)&amp;"",IF($Z1517="F",INDEX(Workforce!$K$2:$K$151,MATCH(INDEX(FTE_Allocation!$A$2:$A$201,$AB1517),Workforce!$A$2:$A$151,0))&amp;"","")))</f>
        <v/>
      </c>
      <c r="G1517" s="7">
        <f>IF($Z1517="C",INDEX(Contracts!$F$2:$F$151,$AB1517)&amp;" / "&amp;INDEX(Contracts!$G$2:$G$151,$AB1517),IF($Z1517="A",INDEX(Fixed_Assets!$E$2:$E$201,$AB1517)&amp;"",IF($Z1517="F","Personnel "&amp;INDEX(FTE_Allocation!$A$2:$A$201,$AB1517)&amp;IF(INDEX(FTE_Allocation!$D$2:$D$201,$AB1517)="PROJECT"," ("&amp;INDEX(FTE_Allocation!$E$2:$E$201,$AB1517)&amp;")",""),"")))</f>
        <v/>
      </c>
      <c r="H1517" s="7">
        <f>IF($Z1517="C","CONTRACT",IF($Z1517="A","ASSET",IF($Z1517="F","WORKFORCE","")))</f>
        <v/>
      </c>
      <c r="I1517" s="7">
        <f>IF($Z1517="C",INDEX(Contracts!$L$2:$L$151,$AB1517)&amp;"",IF($Z1517="A",INDEX(Fixed_Assets!$I$2:$I$201,$AB1517)&amp;"",IF($Z1517="F",INDEX(Workforce!$G$2:$G$151,MATCH(INDEX(FTE_Allocation!$A$2:$A$201,$AB1517),Workforce!$A$2:$A$151,0))&amp;"","")))</f>
        <v/>
      </c>
      <c r="J1517" s="18">
        <f>IF($Z1517="","",IF(AND(DATE($AD1517,1,1)&gt;=$AE1517,DATE($AD1517,1,1)&lt;=$AF1517),ROUND($AG1517,2),0))</f>
        <v/>
      </c>
      <c r="K1517" s="18">
        <f>IF($Z1517="","",IF(AND(DATE($AD1517,2,1)&gt;=$AE1517,DATE($AD1517,2,1)&lt;=$AF1517),ROUND($AG1517,2),0))</f>
        <v/>
      </c>
      <c r="L1517" s="18">
        <f>IF($Z1517="","",IF(AND(DATE($AD1517,3,1)&gt;=$AE1517,DATE($AD1517,3,1)&lt;=$AF1517),ROUND($AG1517,2),0))</f>
        <v/>
      </c>
      <c r="M1517" s="18">
        <f>IF($Z1517="","",IF(AND(DATE($AD1517,4,1)&gt;=$AE1517,DATE($AD1517,4,1)&lt;=$AF1517),ROUND($AG1517,2),0))</f>
        <v/>
      </c>
      <c r="N1517" s="18">
        <f>IF($Z1517="","",IF(AND(DATE($AD1517,5,1)&gt;=$AE1517,DATE($AD1517,5,1)&lt;=$AF1517),ROUND($AG1517,2),0))</f>
        <v/>
      </c>
      <c r="O1517" s="18">
        <f>IF($Z1517="","",IF(AND(DATE($AD1517,6,1)&gt;=$AE1517,DATE($AD1517,6,1)&lt;=$AF1517),ROUND($AG1517,2),0))</f>
        <v/>
      </c>
      <c r="P1517" s="18">
        <f>IF($Z1517="","",IF(AND(DATE($AD1517,7,1)&gt;=$AE1517,DATE($AD1517,7,1)&lt;=$AF1517),ROUND($AG1517,2),0))</f>
        <v/>
      </c>
      <c r="Q1517" s="18">
        <f>IF($Z1517="","",IF(AND(DATE($AD1517,8,1)&gt;=$AE1517,DATE($AD1517,8,1)&lt;=$AF1517),ROUND($AG1517,2),0))</f>
        <v/>
      </c>
      <c r="R1517" s="18">
        <f>IF($Z1517="","",IF(AND(DATE($AD1517,9,1)&gt;=$AE1517,DATE($AD1517,9,1)&lt;=$AF1517),ROUND($AG1517,2),0))</f>
        <v/>
      </c>
      <c r="S1517" s="18">
        <f>IF($Z1517="","",IF(AND(DATE($AD1517,10,1)&gt;=$AE1517,DATE($AD1517,10,1)&lt;=$AF1517),ROUND($AG1517,2),0))</f>
        <v/>
      </c>
      <c r="T1517" s="18">
        <f>IF($Z1517="","",IF(AND(DATE($AD1517,11,1)&gt;=$AE1517,DATE($AD1517,11,1)&lt;=$AF1517),ROUND($AG1517,2),0))</f>
        <v/>
      </c>
      <c r="U1517" s="18">
        <f>IF($Z1517="","",IF(AND(DATE($AD1517,12,1)&gt;=$AE1517,DATE($AD1517,12,1)&lt;=$AF1517),ROUND($AG1517,2),0))</f>
        <v/>
      </c>
      <c r="V1517" s="7">
        <f>IF($Z1517="C","Generated from "&amp;INDEX(Contracts!$A$2:$A$151,$AB1517),IF($Z1517="A","Generated from "&amp;INDEX(Fixed_Assets!$A$2:$A$201,$AB1517),IF($Z1517="F","Generated from "&amp;INDEX(FTE_Allocation!$A$2:$A$201,$AB1517),"")))</f>
        <v/>
      </c>
      <c r="X1517" s="19">
        <f>IF($Z1517="","",SUM(J1517:U1517))</f>
        <v/>
      </c>
      <c r="Y1517" s="20">
        <f>ROW()-1</f>
        <v/>
      </c>
      <c r="Z1517" s="20">
        <f>IF($Y1517&lt;=Settings!$B$4*3,"C",IF($Y1517&lt;=(Settings!$B$4+Settings!$B$5)*3,"A",IF($Y1517&lt;=(Settings!$B$4+Settings!$B$5+Settings!$B$6)*3,"F","")))</f>
        <v/>
      </c>
      <c r="AA1517" s="20">
        <f>IF($Z1517="C",$Y1517,IF($Z1517="A",$Y1517-Settings!$B$4*3,IF($Z1517="F",$Y1517-(Settings!$B$4+Settings!$B$5)*3,"")))</f>
        <v/>
      </c>
      <c r="AB1517" s="20">
        <f>IF($Z1517="","",INT(($AA1517-1)/3)+1)</f>
        <v/>
      </c>
      <c r="AC1517" s="20">
        <f>IF($Z1517="","",MOD($AA1517-1,3)+1)</f>
        <v/>
      </c>
      <c r="AD1517" s="20">
        <f>IF($Z1517="","",Settings!$B$2+$AC1517-1)</f>
        <v/>
      </c>
      <c r="AE1517" s="21">
        <f>IF($Z1517="C",DATE(YEAR(INDEX(Contracts!$J$2:$J$151,$AB1517)),MONTH(INDEX(Contracts!$J$2:$J$151,$AB1517)),1),IF($Z1517="A",DATE(YEAR(INDEX(Fixed_Assets!$G$2:$G$201,$AB1517)),MONTH(INDEX(Fixed_Assets!$G$2:$G$201,$AB1517)),1),IF($Z1517="F",DATE(YEAR(MAX(N(INDEX(Workforce!$I$2:$I$151,MATCH(INDEX(FTE_Allocation!$A$2:$A$201,$AB1517),Workforce!$A$2:$A$151,0))),N(INDEX(FTE_Allocation!$I$2:$I$201,$AB1517)))),MONTH(MAX(N(INDEX(Workforce!$I$2:$I$151,MATCH(INDEX(FTE_Allocation!$A$2:$A$201,$AB1517),Workforce!$A$2:$A$151,0))),N(INDEX(FTE_Allocation!$I$2:$I$201,$AB1517)))),1),"")))</f>
        <v/>
      </c>
      <c r="AF1517" s="21">
        <f>IF($Z1517="C",IF(INDEX(Contracts!$I$2:$I$151,$AB1517)="PREPAID",EDATE(DATE(YEAR(INDEX(Contracts!$J$2:$J$151,$AB1517)),MONTH(INDEX(Contracts!$J$2:$J$151,$AB1517)),1),IF(INDEX(Contracts!$N$2:$N$151,$AB1517)="",12,INDEX(Contracts!$N$2:$N$151,$AB1517))-1),IF(INDEX(Contracts!$I$2:$I$151,$AB1517)="MONTHLY",IF(INDEX(Contracts!$K$2:$K$151,$AB1517)="",2958101,INDEX(Contracts!$K$2:$K$151,$AB1517)),0)),IF($Z1517="A",EDATE(DATE(YEAR(INDEX(Fixed_Assets!$G$2:$G$201,$AB1517)),MONTH(INDEX(Fixed_Assets!$G$2:$G$201,$AB1517)),1),INDEX(Fixed_Assets!$J$2:$J$201,$AB1517)-1),IF($Z1517="F",MIN(IF(INDEX(Workforce!$J$2:$J$151,MATCH(INDEX(FTE_Allocation!$A$2:$A$201,$AB1517),Workforce!$A$2:$A$151,0))="",2958101,INDEX(Workforce!$J$2:$J$151,MATCH(INDEX(FTE_Allocation!$A$2:$A$201,$AB1517),Workforce!$A$2:$A$151,0))),IF(INDEX(FTE_Allocation!$J$2:$J$201,$AB1517)="",2958101,INDEX(FTE_Allocation!$J$2:$J$201,$AB1517))),"")))</f>
        <v/>
      </c>
      <c r="AG1517" s="19">
        <f>IF($Z1517="C",IF(INDEX(Contracts!$I$2:$I$151,$AB1517)="PREPAID",INDEX(Contracts!$M$2:$M$151,$AB1517)/IF(INDEX(Contracts!$N$2:$N$151,$AB1517)="",12,INDEX(Contracts!$N$2:$N$151,$AB1517)),IF(INDEX(Contracts!$I$2:$I$151,$AB1517)="MONTHLY",INDEX(Contracts!$M$2:$M$151,$AB1517),0))*(1-N(INDEX(Contracts!$O$2:$O$151,$AB1517))),IF($Z1517="A",INDEX(Fixed_Assets!$H$2:$H$201,$AB1517)/INDEX(Fixed_Assets!$J$2:$J$201,$AB1517),IF($Z1517="F",INDEX(Workforce!$F$2:$F$151,MATCH(INDEX(FTE_Allocation!$A$2:$A$201,$AB1517),Workforce!$A$2:$A$151,0))*N(INDEX(FTE_Allocation!$F$2:$H$201,$AB1517,$AC1517)),"")))</f>
        <v/>
      </c>
    </row>
    <row r="1518">
      <c r="A1518" s="7">
        <f>IF($Z1518="","",$AD1518)</f>
        <v/>
      </c>
      <c r="B1518" s="7">
        <f>IF($Z1518="C",INDEX(Contracts!$D$2:$D$151,$AB1518)&amp;"",IF($Z1518="A",INDEX(Fixed_Assets!$C$2:$C$201,$AB1518)&amp;"",IF($Z1518="F",INDEX(Workforce!$B$2:$B$151,MATCH(INDEX(FTE_Allocation!$A$2:$A$201,$AB1518),Workforce!$A$2:$A$151,0))&amp;"","")))</f>
        <v/>
      </c>
      <c r="C1518" s="7">
        <f>IF($Z1518="C",INDEX(Contracts!$E$2:$E$151,$AB1518)&amp;"",IF($Z1518="A",INDEX(Fixed_Assets!$D$2:$D$201,$AB1518)&amp;"",IF($Z1518="F",INDEX(FTE_Allocation!$C$2:$C$201,$AB1518)&amp;"","")))</f>
        <v/>
      </c>
      <c r="D1518" s="7">
        <f>IF($Z1518="C",INDEX(Contracts!$B$2:$B$151,$AB1518)&amp;"",IF($Z1518="A",INDEX(Fixed_Assets!$B$2:$B$201,$AB1518)&amp;"",IF($Z1518="F",INDEX(FTE_Allocation!$B$2:$B$201,$AB1518)&amp;"","")))</f>
        <v/>
      </c>
      <c r="E1518" s="7">
        <f>IF($Z1518="C",INDEX(Contracts!$P$2:$P$151,$AB1518)&amp;"",IF($Z1518="A",INDEX(Fixed_Assets!$K$2:$K$201,$AB1518)&amp;"",IF($Z1518="F",IF(INDEX(FTE_Allocation!$D$2:$D$201,$AB1518)="PROJECT",IFERROR(INDEX(Projects!$D:$D,MATCH(INDEX(FTE_Allocation!$E$2:$E$201,$AB1518),Projects!$A:$A,0))&amp;"","#PROJECT?"),INDEX(FTE_Allocation!$E$2:$E$201,$AB1518)&amp;""),"")))</f>
        <v/>
      </c>
      <c r="F1518" s="7">
        <f>IF($Z1518="C",INDEX(Contracts!$Q$2:$Q$151,$AB1518)&amp;"",IF($Z1518="A",INDEX(Fixed_Assets!$L$2:$L$201,$AB1518)&amp;"",IF($Z1518="F",INDEX(Workforce!$K$2:$K$151,MATCH(INDEX(FTE_Allocation!$A$2:$A$201,$AB1518),Workforce!$A$2:$A$151,0))&amp;"","")))</f>
        <v/>
      </c>
      <c r="G1518" s="7">
        <f>IF($Z1518="C",INDEX(Contracts!$F$2:$F$151,$AB1518)&amp;" / "&amp;INDEX(Contracts!$G$2:$G$151,$AB1518),IF($Z1518="A",INDEX(Fixed_Assets!$E$2:$E$201,$AB1518)&amp;"",IF($Z1518="F","Personnel "&amp;INDEX(FTE_Allocation!$A$2:$A$201,$AB1518)&amp;IF(INDEX(FTE_Allocation!$D$2:$D$201,$AB1518)="PROJECT"," ("&amp;INDEX(FTE_Allocation!$E$2:$E$201,$AB1518)&amp;")",""),"")))</f>
        <v/>
      </c>
      <c r="H1518" s="7">
        <f>IF($Z1518="C","CONTRACT",IF($Z1518="A","ASSET",IF($Z1518="F","WORKFORCE","")))</f>
        <v/>
      </c>
      <c r="I1518" s="7">
        <f>IF($Z1518="C",INDEX(Contracts!$L$2:$L$151,$AB1518)&amp;"",IF($Z1518="A",INDEX(Fixed_Assets!$I$2:$I$201,$AB1518)&amp;"",IF($Z1518="F",INDEX(Workforce!$G$2:$G$151,MATCH(INDEX(FTE_Allocation!$A$2:$A$201,$AB1518),Workforce!$A$2:$A$151,0))&amp;"","")))</f>
        <v/>
      </c>
      <c r="J1518" s="18">
        <f>IF($Z1518="","",IF(AND(DATE($AD1518,1,1)&gt;=$AE1518,DATE($AD1518,1,1)&lt;=$AF1518),ROUND($AG1518,2),0))</f>
        <v/>
      </c>
      <c r="K1518" s="18">
        <f>IF($Z1518="","",IF(AND(DATE($AD1518,2,1)&gt;=$AE1518,DATE($AD1518,2,1)&lt;=$AF1518),ROUND($AG1518,2),0))</f>
        <v/>
      </c>
      <c r="L1518" s="18">
        <f>IF($Z1518="","",IF(AND(DATE($AD1518,3,1)&gt;=$AE1518,DATE($AD1518,3,1)&lt;=$AF1518),ROUND($AG1518,2),0))</f>
        <v/>
      </c>
      <c r="M1518" s="18">
        <f>IF($Z1518="","",IF(AND(DATE($AD1518,4,1)&gt;=$AE1518,DATE($AD1518,4,1)&lt;=$AF1518),ROUND($AG1518,2),0))</f>
        <v/>
      </c>
      <c r="N1518" s="18">
        <f>IF($Z1518="","",IF(AND(DATE($AD1518,5,1)&gt;=$AE1518,DATE($AD1518,5,1)&lt;=$AF1518),ROUND($AG1518,2),0))</f>
        <v/>
      </c>
      <c r="O1518" s="18">
        <f>IF($Z1518="","",IF(AND(DATE($AD1518,6,1)&gt;=$AE1518,DATE($AD1518,6,1)&lt;=$AF1518),ROUND($AG1518,2),0))</f>
        <v/>
      </c>
      <c r="P1518" s="18">
        <f>IF($Z1518="","",IF(AND(DATE($AD1518,7,1)&gt;=$AE1518,DATE($AD1518,7,1)&lt;=$AF1518),ROUND($AG1518,2),0))</f>
        <v/>
      </c>
      <c r="Q1518" s="18">
        <f>IF($Z1518="","",IF(AND(DATE($AD1518,8,1)&gt;=$AE1518,DATE($AD1518,8,1)&lt;=$AF1518),ROUND($AG1518,2),0))</f>
        <v/>
      </c>
      <c r="R1518" s="18">
        <f>IF($Z1518="","",IF(AND(DATE($AD1518,9,1)&gt;=$AE1518,DATE($AD1518,9,1)&lt;=$AF1518),ROUND($AG1518,2),0))</f>
        <v/>
      </c>
      <c r="S1518" s="18">
        <f>IF($Z1518="","",IF(AND(DATE($AD1518,10,1)&gt;=$AE1518,DATE($AD1518,10,1)&lt;=$AF1518),ROUND($AG1518,2),0))</f>
        <v/>
      </c>
      <c r="T1518" s="18">
        <f>IF($Z1518="","",IF(AND(DATE($AD1518,11,1)&gt;=$AE1518,DATE($AD1518,11,1)&lt;=$AF1518),ROUND($AG1518,2),0))</f>
        <v/>
      </c>
      <c r="U1518" s="18">
        <f>IF($Z1518="","",IF(AND(DATE($AD1518,12,1)&gt;=$AE1518,DATE($AD1518,12,1)&lt;=$AF1518),ROUND($AG1518,2),0))</f>
        <v/>
      </c>
      <c r="V1518" s="7">
        <f>IF($Z1518="C","Generated from "&amp;INDEX(Contracts!$A$2:$A$151,$AB1518),IF($Z1518="A","Generated from "&amp;INDEX(Fixed_Assets!$A$2:$A$201,$AB1518),IF($Z1518="F","Generated from "&amp;INDEX(FTE_Allocation!$A$2:$A$201,$AB1518),"")))</f>
        <v/>
      </c>
      <c r="X1518" s="19">
        <f>IF($Z1518="","",SUM(J1518:U1518))</f>
        <v/>
      </c>
      <c r="Y1518" s="20">
        <f>ROW()-1</f>
        <v/>
      </c>
      <c r="Z1518" s="20">
        <f>IF($Y1518&lt;=Settings!$B$4*3,"C",IF($Y1518&lt;=(Settings!$B$4+Settings!$B$5)*3,"A",IF($Y1518&lt;=(Settings!$B$4+Settings!$B$5+Settings!$B$6)*3,"F","")))</f>
        <v/>
      </c>
      <c r="AA1518" s="20">
        <f>IF($Z1518="C",$Y1518,IF($Z1518="A",$Y1518-Settings!$B$4*3,IF($Z1518="F",$Y1518-(Settings!$B$4+Settings!$B$5)*3,"")))</f>
        <v/>
      </c>
      <c r="AB1518" s="20">
        <f>IF($Z1518="","",INT(($AA1518-1)/3)+1)</f>
        <v/>
      </c>
      <c r="AC1518" s="20">
        <f>IF($Z1518="","",MOD($AA1518-1,3)+1)</f>
        <v/>
      </c>
      <c r="AD1518" s="20">
        <f>IF($Z1518="","",Settings!$B$2+$AC1518-1)</f>
        <v/>
      </c>
      <c r="AE1518" s="21">
        <f>IF($Z1518="C",DATE(YEAR(INDEX(Contracts!$J$2:$J$151,$AB1518)),MONTH(INDEX(Contracts!$J$2:$J$151,$AB1518)),1),IF($Z1518="A",DATE(YEAR(INDEX(Fixed_Assets!$G$2:$G$201,$AB1518)),MONTH(INDEX(Fixed_Assets!$G$2:$G$201,$AB1518)),1),IF($Z1518="F",DATE(YEAR(MAX(N(INDEX(Workforce!$I$2:$I$151,MATCH(INDEX(FTE_Allocation!$A$2:$A$201,$AB1518),Workforce!$A$2:$A$151,0))),N(INDEX(FTE_Allocation!$I$2:$I$201,$AB1518)))),MONTH(MAX(N(INDEX(Workforce!$I$2:$I$151,MATCH(INDEX(FTE_Allocation!$A$2:$A$201,$AB1518),Workforce!$A$2:$A$151,0))),N(INDEX(FTE_Allocation!$I$2:$I$201,$AB1518)))),1),"")))</f>
        <v/>
      </c>
      <c r="AF1518" s="21">
        <f>IF($Z1518="C",IF(INDEX(Contracts!$I$2:$I$151,$AB1518)="PREPAID",EDATE(DATE(YEAR(INDEX(Contracts!$J$2:$J$151,$AB1518)),MONTH(INDEX(Contracts!$J$2:$J$151,$AB1518)),1),IF(INDEX(Contracts!$N$2:$N$151,$AB1518)="",12,INDEX(Contracts!$N$2:$N$151,$AB1518))-1),IF(INDEX(Contracts!$I$2:$I$151,$AB1518)="MONTHLY",IF(INDEX(Contracts!$K$2:$K$151,$AB1518)="",2958101,INDEX(Contracts!$K$2:$K$151,$AB1518)),0)),IF($Z1518="A",EDATE(DATE(YEAR(INDEX(Fixed_Assets!$G$2:$G$201,$AB1518)),MONTH(INDEX(Fixed_Assets!$G$2:$G$201,$AB1518)),1),INDEX(Fixed_Assets!$J$2:$J$201,$AB1518)-1),IF($Z1518="F",MIN(IF(INDEX(Workforce!$J$2:$J$151,MATCH(INDEX(FTE_Allocation!$A$2:$A$201,$AB1518),Workforce!$A$2:$A$151,0))="",2958101,INDEX(Workforce!$J$2:$J$151,MATCH(INDEX(FTE_Allocation!$A$2:$A$201,$AB1518),Workforce!$A$2:$A$151,0))),IF(INDEX(FTE_Allocation!$J$2:$J$201,$AB1518)="",2958101,INDEX(FTE_Allocation!$J$2:$J$201,$AB1518))),"")))</f>
        <v/>
      </c>
      <c r="AG1518" s="19">
        <f>IF($Z1518="C",IF(INDEX(Contracts!$I$2:$I$151,$AB1518)="PREPAID",INDEX(Contracts!$M$2:$M$151,$AB1518)/IF(INDEX(Contracts!$N$2:$N$151,$AB1518)="",12,INDEX(Contracts!$N$2:$N$151,$AB1518)),IF(INDEX(Contracts!$I$2:$I$151,$AB1518)="MONTHLY",INDEX(Contracts!$M$2:$M$151,$AB1518),0))*(1-N(INDEX(Contracts!$O$2:$O$151,$AB1518))),IF($Z1518="A",INDEX(Fixed_Assets!$H$2:$H$201,$AB1518)/INDEX(Fixed_Assets!$J$2:$J$201,$AB1518),IF($Z1518="F",INDEX(Workforce!$F$2:$F$151,MATCH(INDEX(FTE_Allocation!$A$2:$A$201,$AB1518),Workforce!$A$2:$A$151,0))*N(INDEX(FTE_Allocation!$F$2:$H$201,$AB1518,$AC1518)),"")))</f>
        <v/>
      </c>
    </row>
    <row r="1519">
      <c r="A1519" s="7">
        <f>IF($Z1519="","",$AD1519)</f>
        <v/>
      </c>
      <c r="B1519" s="7">
        <f>IF($Z1519="C",INDEX(Contracts!$D$2:$D$151,$AB1519)&amp;"",IF($Z1519="A",INDEX(Fixed_Assets!$C$2:$C$201,$AB1519)&amp;"",IF($Z1519="F",INDEX(Workforce!$B$2:$B$151,MATCH(INDEX(FTE_Allocation!$A$2:$A$201,$AB1519),Workforce!$A$2:$A$151,0))&amp;"","")))</f>
        <v/>
      </c>
      <c r="C1519" s="7">
        <f>IF($Z1519="C",INDEX(Contracts!$E$2:$E$151,$AB1519)&amp;"",IF($Z1519="A",INDEX(Fixed_Assets!$D$2:$D$201,$AB1519)&amp;"",IF($Z1519="F",INDEX(FTE_Allocation!$C$2:$C$201,$AB1519)&amp;"","")))</f>
        <v/>
      </c>
      <c r="D1519" s="7">
        <f>IF($Z1519="C",INDEX(Contracts!$B$2:$B$151,$AB1519)&amp;"",IF($Z1519="A",INDEX(Fixed_Assets!$B$2:$B$201,$AB1519)&amp;"",IF($Z1519="F",INDEX(FTE_Allocation!$B$2:$B$201,$AB1519)&amp;"","")))</f>
        <v/>
      </c>
      <c r="E1519" s="7">
        <f>IF($Z1519="C",INDEX(Contracts!$P$2:$P$151,$AB1519)&amp;"",IF($Z1519="A",INDEX(Fixed_Assets!$K$2:$K$201,$AB1519)&amp;"",IF($Z1519="F",IF(INDEX(FTE_Allocation!$D$2:$D$201,$AB1519)="PROJECT",IFERROR(INDEX(Projects!$D:$D,MATCH(INDEX(FTE_Allocation!$E$2:$E$201,$AB1519),Projects!$A:$A,0))&amp;"","#PROJECT?"),INDEX(FTE_Allocation!$E$2:$E$201,$AB1519)&amp;""),"")))</f>
        <v/>
      </c>
      <c r="F1519" s="7">
        <f>IF($Z1519="C",INDEX(Contracts!$Q$2:$Q$151,$AB1519)&amp;"",IF($Z1519="A",INDEX(Fixed_Assets!$L$2:$L$201,$AB1519)&amp;"",IF($Z1519="F",INDEX(Workforce!$K$2:$K$151,MATCH(INDEX(FTE_Allocation!$A$2:$A$201,$AB1519),Workforce!$A$2:$A$151,0))&amp;"","")))</f>
        <v/>
      </c>
      <c r="G1519" s="7">
        <f>IF($Z1519="C",INDEX(Contracts!$F$2:$F$151,$AB1519)&amp;" / "&amp;INDEX(Contracts!$G$2:$G$151,$AB1519),IF($Z1519="A",INDEX(Fixed_Assets!$E$2:$E$201,$AB1519)&amp;"",IF($Z1519="F","Personnel "&amp;INDEX(FTE_Allocation!$A$2:$A$201,$AB1519)&amp;IF(INDEX(FTE_Allocation!$D$2:$D$201,$AB1519)="PROJECT"," ("&amp;INDEX(FTE_Allocation!$E$2:$E$201,$AB1519)&amp;")",""),"")))</f>
        <v/>
      </c>
      <c r="H1519" s="7">
        <f>IF($Z1519="C","CONTRACT",IF($Z1519="A","ASSET",IF($Z1519="F","WORKFORCE","")))</f>
        <v/>
      </c>
      <c r="I1519" s="7">
        <f>IF($Z1519="C",INDEX(Contracts!$L$2:$L$151,$AB1519)&amp;"",IF($Z1519="A",INDEX(Fixed_Assets!$I$2:$I$201,$AB1519)&amp;"",IF($Z1519="F",INDEX(Workforce!$G$2:$G$151,MATCH(INDEX(FTE_Allocation!$A$2:$A$201,$AB1519),Workforce!$A$2:$A$151,0))&amp;"","")))</f>
        <v/>
      </c>
      <c r="J1519" s="18">
        <f>IF($Z1519="","",IF(AND(DATE($AD1519,1,1)&gt;=$AE1519,DATE($AD1519,1,1)&lt;=$AF1519),ROUND($AG1519,2),0))</f>
        <v/>
      </c>
      <c r="K1519" s="18">
        <f>IF($Z1519="","",IF(AND(DATE($AD1519,2,1)&gt;=$AE1519,DATE($AD1519,2,1)&lt;=$AF1519),ROUND($AG1519,2),0))</f>
        <v/>
      </c>
      <c r="L1519" s="18">
        <f>IF($Z1519="","",IF(AND(DATE($AD1519,3,1)&gt;=$AE1519,DATE($AD1519,3,1)&lt;=$AF1519),ROUND($AG1519,2),0))</f>
        <v/>
      </c>
      <c r="M1519" s="18">
        <f>IF($Z1519="","",IF(AND(DATE($AD1519,4,1)&gt;=$AE1519,DATE($AD1519,4,1)&lt;=$AF1519),ROUND($AG1519,2),0))</f>
        <v/>
      </c>
      <c r="N1519" s="18">
        <f>IF($Z1519="","",IF(AND(DATE($AD1519,5,1)&gt;=$AE1519,DATE($AD1519,5,1)&lt;=$AF1519),ROUND($AG1519,2),0))</f>
        <v/>
      </c>
      <c r="O1519" s="18">
        <f>IF($Z1519="","",IF(AND(DATE($AD1519,6,1)&gt;=$AE1519,DATE($AD1519,6,1)&lt;=$AF1519),ROUND($AG1519,2),0))</f>
        <v/>
      </c>
      <c r="P1519" s="18">
        <f>IF($Z1519="","",IF(AND(DATE($AD1519,7,1)&gt;=$AE1519,DATE($AD1519,7,1)&lt;=$AF1519),ROUND($AG1519,2),0))</f>
        <v/>
      </c>
      <c r="Q1519" s="18">
        <f>IF($Z1519="","",IF(AND(DATE($AD1519,8,1)&gt;=$AE1519,DATE($AD1519,8,1)&lt;=$AF1519),ROUND($AG1519,2),0))</f>
        <v/>
      </c>
      <c r="R1519" s="18">
        <f>IF($Z1519="","",IF(AND(DATE($AD1519,9,1)&gt;=$AE1519,DATE($AD1519,9,1)&lt;=$AF1519),ROUND($AG1519,2),0))</f>
        <v/>
      </c>
      <c r="S1519" s="18">
        <f>IF($Z1519="","",IF(AND(DATE($AD1519,10,1)&gt;=$AE1519,DATE($AD1519,10,1)&lt;=$AF1519),ROUND($AG1519,2),0))</f>
        <v/>
      </c>
      <c r="T1519" s="18">
        <f>IF($Z1519="","",IF(AND(DATE($AD1519,11,1)&gt;=$AE1519,DATE($AD1519,11,1)&lt;=$AF1519),ROUND($AG1519,2),0))</f>
        <v/>
      </c>
      <c r="U1519" s="18">
        <f>IF($Z1519="","",IF(AND(DATE($AD1519,12,1)&gt;=$AE1519,DATE($AD1519,12,1)&lt;=$AF1519),ROUND($AG1519,2),0))</f>
        <v/>
      </c>
      <c r="V1519" s="7">
        <f>IF($Z1519="C","Generated from "&amp;INDEX(Contracts!$A$2:$A$151,$AB1519),IF($Z1519="A","Generated from "&amp;INDEX(Fixed_Assets!$A$2:$A$201,$AB1519),IF($Z1519="F","Generated from "&amp;INDEX(FTE_Allocation!$A$2:$A$201,$AB1519),"")))</f>
        <v/>
      </c>
      <c r="X1519" s="19">
        <f>IF($Z1519="","",SUM(J1519:U1519))</f>
        <v/>
      </c>
      <c r="Y1519" s="20">
        <f>ROW()-1</f>
        <v/>
      </c>
      <c r="Z1519" s="20">
        <f>IF($Y1519&lt;=Settings!$B$4*3,"C",IF($Y1519&lt;=(Settings!$B$4+Settings!$B$5)*3,"A",IF($Y1519&lt;=(Settings!$B$4+Settings!$B$5+Settings!$B$6)*3,"F","")))</f>
        <v/>
      </c>
      <c r="AA1519" s="20">
        <f>IF($Z1519="C",$Y1519,IF($Z1519="A",$Y1519-Settings!$B$4*3,IF($Z1519="F",$Y1519-(Settings!$B$4+Settings!$B$5)*3,"")))</f>
        <v/>
      </c>
      <c r="AB1519" s="20">
        <f>IF($Z1519="","",INT(($AA1519-1)/3)+1)</f>
        <v/>
      </c>
      <c r="AC1519" s="20">
        <f>IF($Z1519="","",MOD($AA1519-1,3)+1)</f>
        <v/>
      </c>
      <c r="AD1519" s="20">
        <f>IF($Z1519="","",Settings!$B$2+$AC1519-1)</f>
        <v/>
      </c>
      <c r="AE1519" s="21">
        <f>IF($Z1519="C",DATE(YEAR(INDEX(Contracts!$J$2:$J$151,$AB1519)),MONTH(INDEX(Contracts!$J$2:$J$151,$AB1519)),1),IF($Z1519="A",DATE(YEAR(INDEX(Fixed_Assets!$G$2:$G$201,$AB1519)),MONTH(INDEX(Fixed_Assets!$G$2:$G$201,$AB1519)),1),IF($Z1519="F",DATE(YEAR(MAX(N(INDEX(Workforce!$I$2:$I$151,MATCH(INDEX(FTE_Allocation!$A$2:$A$201,$AB1519),Workforce!$A$2:$A$151,0))),N(INDEX(FTE_Allocation!$I$2:$I$201,$AB1519)))),MONTH(MAX(N(INDEX(Workforce!$I$2:$I$151,MATCH(INDEX(FTE_Allocation!$A$2:$A$201,$AB1519),Workforce!$A$2:$A$151,0))),N(INDEX(FTE_Allocation!$I$2:$I$201,$AB1519)))),1),"")))</f>
        <v/>
      </c>
      <c r="AF1519" s="21">
        <f>IF($Z1519="C",IF(INDEX(Contracts!$I$2:$I$151,$AB1519)="PREPAID",EDATE(DATE(YEAR(INDEX(Contracts!$J$2:$J$151,$AB1519)),MONTH(INDEX(Contracts!$J$2:$J$151,$AB1519)),1),IF(INDEX(Contracts!$N$2:$N$151,$AB1519)="",12,INDEX(Contracts!$N$2:$N$151,$AB1519))-1),IF(INDEX(Contracts!$I$2:$I$151,$AB1519)="MONTHLY",IF(INDEX(Contracts!$K$2:$K$151,$AB1519)="",2958101,INDEX(Contracts!$K$2:$K$151,$AB1519)),0)),IF($Z1519="A",EDATE(DATE(YEAR(INDEX(Fixed_Assets!$G$2:$G$201,$AB1519)),MONTH(INDEX(Fixed_Assets!$G$2:$G$201,$AB1519)),1),INDEX(Fixed_Assets!$J$2:$J$201,$AB1519)-1),IF($Z1519="F",MIN(IF(INDEX(Workforce!$J$2:$J$151,MATCH(INDEX(FTE_Allocation!$A$2:$A$201,$AB1519),Workforce!$A$2:$A$151,0))="",2958101,INDEX(Workforce!$J$2:$J$151,MATCH(INDEX(FTE_Allocation!$A$2:$A$201,$AB1519),Workforce!$A$2:$A$151,0))),IF(INDEX(FTE_Allocation!$J$2:$J$201,$AB1519)="",2958101,INDEX(FTE_Allocation!$J$2:$J$201,$AB1519))),"")))</f>
        <v/>
      </c>
      <c r="AG1519" s="19">
        <f>IF($Z1519="C",IF(INDEX(Contracts!$I$2:$I$151,$AB1519)="PREPAID",INDEX(Contracts!$M$2:$M$151,$AB1519)/IF(INDEX(Contracts!$N$2:$N$151,$AB1519)="",12,INDEX(Contracts!$N$2:$N$151,$AB1519)),IF(INDEX(Contracts!$I$2:$I$151,$AB1519)="MONTHLY",INDEX(Contracts!$M$2:$M$151,$AB1519),0))*(1-N(INDEX(Contracts!$O$2:$O$151,$AB1519))),IF($Z1519="A",INDEX(Fixed_Assets!$H$2:$H$201,$AB1519)/INDEX(Fixed_Assets!$J$2:$J$201,$AB1519),IF($Z1519="F",INDEX(Workforce!$F$2:$F$151,MATCH(INDEX(FTE_Allocation!$A$2:$A$201,$AB1519),Workforce!$A$2:$A$151,0))*N(INDEX(FTE_Allocation!$F$2:$H$201,$AB1519,$AC1519)),"")))</f>
        <v/>
      </c>
    </row>
    <row r="1520">
      <c r="A1520" s="7">
        <f>IF($Z1520="","",$AD1520)</f>
        <v/>
      </c>
      <c r="B1520" s="7">
        <f>IF($Z1520="C",INDEX(Contracts!$D$2:$D$151,$AB1520)&amp;"",IF($Z1520="A",INDEX(Fixed_Assets!$C$2:$C$201,$AB1520)&amp;"",IF($Z1520="F",INDEX(Workforce!$B$2:$B$151,MATCH(INDEX(FTE_Allocation!$A$2:$A$201,$AB1520),Workforce!$A$2:$A$151,0))&amp;"","")))</f>
        <v/>
      </c>
      <c r="C1520" s="7">
        <f>IF($Z1520="C",INDEX(Contracts!$E$2:$E$151,$AB1520)&amp;"",IF($Z1520="A",INDEX(Fixed_Assets!$D$2:$D$201,$AB1520)&amp;"",IF($Z1520="F",INDEX(FTE_Allocation!$C$2:$C$201,$AB1520)&amp;"","")))</f>
        <v/>
      </c>
      <c r="D1520" s="7">
        <f>IF($Z1520="C",INDEX(Contracts!$B$2:$B$151,$AB1520)&amp;"",IF($Z1520="A",INDEX(Fixed_Assets!$B$2:$B$201,$AB1520)&amp;"",IF($Z1520="F",INDEX(FTE_Allocation!$B$2:$B$201,$AB1520)&amp;"","")))</f>
        <v/>
      </c>
      <c r="E1520" s="7">
        <f>IF($Z1520="C",INDEX(Contracts!$P$2:$P$151,$AB1520)&amp;"",IF($Z1520="A",INDEX(Fixed_Assets!$K$2:$K$201,$AB1520)&amp;"",IF($Z1520="F",IF(INDEX(FTE_Allocation!$D$2:$D$201,$AB1520)="PROJECT",IFERROR(INDEX(Projects!$D:$D,MATCH(INDEX(FTE_Allocation!$E$2:$E$201,$AB1520),Projects!$A:$A,0))&amp;"","#PROJECT?"),INDEX(FTE_Allocation!$E$2:$E$201,$AB1520)&amp;""),"")))</f>
        <v/>
      </c>
      <c r="F1520" s="7">
        <f>IF($Z1520="C",INDEX(Contracts!$Q$2:$Q$151,$AB1520)&amp;"",IF($Z1520="A",INDEX(Fixed_Assets!$L$2:$L$201,$AB1520)&amp;"",IF($Z1520="F",INDEX(Workforce!$K$2:$K$151,MATCH(INDEX(FTE_Allocation!$A$2:$A$201,$AB1520),Workforce!$A$2:$A$151,0))&amp;"","")))</f>
        <v/>
      </c>
      <c r="G1520" s="7">
        <f>IF($Z1520="C",INDEX(Contracts!$F$2:$F$151,$AB1520)&amp;" / "&amp;INDEX(Contracts!$G$2:$G$151,$AB1520),IF($Z1520="A",INDEX(Fixed_Assets!$E$2:$E$201,$AB1520)&amp;"",IF($Z1520="F","Personnel "&amp;INDEX(FTE_Allocation!$A$2:$A$201,$AB1520)&amp;IF(INDEX(FTE_Allocation!$D$2:$D$201,$AB1520)="PROJECT"," ("&amp;INDEX(FTE_Allocation!$E$2:$E$201,$AB1520)&amp;")",""),"")))</f>
        <v/>
      </c>
      <c r="H1520" s="7">
        <f>IF($Z1520="C","CONTRACT",IF($Z1520="A","ASSET",IF($Z1520="F","WORKFORCE","")))</f>
        <v/>
      </c>
      <c r="I1520" s="7">
        <f>IF($Z1520="C",INDEX(Contracts!$L$2:$L$151,$AB1520)&amp;"",IF($Z1520="A",INDEX(Fixed_Assets!$I$2:$I$201,$AB1520)&amp;"",IF($Z1520="F",INDEX(Workforce!$G$2:$G$151,MATCH(INDEX(FTE_Allocation!$A$2:$A$201,$AB1520),Workforce!$A$2:$A$151,0))&amp;"","")))</f>
        <v/>
      </c>
      <c r="J1520" s="18">
        <f>IF($Z1520="","",IF(AND(DATE($AD1520,1,1)&gt;=$AE1520,DATE($AD1520,1,1)&lt;=$AF1520),ROUND($AG1520,2),0))</f>
        <v/>
      </c>
      <c r="K1520" s="18">
        <f>IF($Z1520="","",IF(AND(DATE($AD1520,2,1)&gt;=$AE1520,DATE($AD1520,2,1)&lt;=$AF1520),ROUND($AG1520,2),0))</f>
        <v/>
      </c>
      <c r="L1520" s="18">
        <f>IF($Z1520="","",IF(AND(DATE($AD1520,3,1)&gt;=$AE1520,DATE($AD1520,3,1)&lt;=$AF1520),ROUND($AG1520,2),0))</f>
        <v/>
      </c>
      <c r="M1520" s="18">
        <f>IF($Z1520="","",IF(AND(DATE($AD1520,4,1)&gt;=$AE1520,DATE($AD1520,4,1)&lt;=$AF1520),ROUND($AG1520,2),0))</f>
        <v/>
      </c>
      <c r="N1520" s="18">
        <f>IF($Z1520="","",IF(AND(DATE($AD1520,5,1)&gt;=$AE1520,DATE($AD1520,5,1)&lt;=$AF1520),ROUND($AG1520,2),0))</f>
        <v/>
      </c>
      <c r="O1520" s="18">
        <f>IF($Z1520="","",IF(AND(DATE($AD1520,6,1)&gt;=$AE1520,DATE($AD1520,6,1)&lt;=$AF1520),ROUND($AG1520,2),0))</f>
        <v/>
      </c>
      <c r="P1520" s="18">
        <f>IF($Z1520="","",IF(AND(DATE($AD1520,7,1)&gt;=$AE1520,DATE($AD1520,7,1)&lt;=$AF1520),ROUND($AG1520,2),0))</f>
        <v/>
      </c>
      <c r="Q1520" s="18">
        <f>IF($Z1520="","",IF(AND(DATE($AD1520,8,1)&gt;=$AE1520,DATE($AD1520,8,1)&lt;=$AF1520),ROUND($AG1520,2),0))</f>
        <v/>
      </c>
      <c r="R1520" s="18">
        <f>IF($Z1520="","",IF(AND(DATE($AD1520,9,1)&gt;=$AE1520,DATE($AD1520,9,1)&lt;=$AF1520),ROUND($AG1520,2),0))</f>
        <v/>
      </c>
      <c r="S1520" s="18">
        <f>IF($Z1520="","",IF(AND(DATE($AD1520,10,1)&gt;=$AE1520,DATE($AD1520,10,1)&lt;=$AF1520),ROUND($AG1520,2),0))</f>
        <v/>
      </c>
      <c r="T1520" s="18">
        <f>IF($Z1520="","",IF(AND(DATE($AD1520,11,1)&gt;=$AE1520,DATE($AD1520,11,1)&lt;=$AF1520),ROUND($AG1520,2),0))</f>
        <v/>
      </c>
      <c r="U1520" s="18">
        <f>IF($Z1520="","",IF(AND(DATE($AD1520,12,1)&gt;=$AE1520,DATE($AD1520,12,1)&lt;=$AF1520),ROUND($AG1520,2),0))</f>
        <v/>
      </c>
      <c r="V1520" s="7">
        <f>IF($Z1520="C","Generated from "&amp;INDEX(Contracts!$A$2:$A$151,$AB1520),IF($Z1520="A","Generated from "&amp;INDEX(Fixed_Assets!$A$2:$A$201,$AB1520),IF($Z1520="F","Generated from "&amp;INDEX(FTE_Allocation!$A$2:$A$201,$AB1520),"")))</f>
        <v/>
      </c>
      <c r="X1520" s="19">
        <f>IF($Z1520="","",SUM(J1520:U1520))</f>
        <v/>
      </c>
      <c r="Y1520" s="20">
        <f>ROW()-1</f>
        <v/>
      </c>
      <c r="Z1520" s="20">
        <f>IF($Y1520&lt;=Settings!$B$4*3,"C",IF($Y1520&lt;=(Settings!$B$4+Settings!$B$5)*3,"A",IF($Y1520&lt;=(Settings!$B$4+Settings!$B$5+Settings!$B$6)*3,"F","")))</f>
        <v/>
      </c>
      <c r="AA1520" s="20">
        <f>IF($Z1520="C",$Y1520,IF($Z1520="A",$Y1520-Settings!$B$4*3,IF($Z1520="F",$Y1520-(Settings!$B$4+Settings!$B$5)*3,"")))</f>
        <v/>
      </c>
      <c r="AB1520" s="20">
        <f>IF($Z1520="","",INT(($AA1520-1)/3)+1)</f>
        <v/>
      </c>
      <c r="AC1520" s="20">
        <f>IF($Z1520="","",MOD($AA1520-1,3)+1)</f>
        <v/>
      </c>
      <c r="AD1520" s="20">
        <f>IF($Z1520="","",Settings!$B$2+$AC1520-1)</f>
        <v/>
      </c>
      <c r="AE1520" s="21">
        <f>IF($Z1520="C",DATE(YEAR(INDEX(Contracts!$J$2:$J$151,$AB1520)),MONTH(INDEX(Contracts!$J$2:$J$151,$AB1520)),1),IF($Z1520="A",DATE(YEAR(INDEX(Fixed_Assets!$G$2:$G$201,$AB1520)),MONTH(INDEX(Fixed_Assets!$G$2:$G$201,$AB1520)),1),IF($Z1520="F",DATE(YEAR(MAX(N(INDEX(Workforce!$I$2:$I$151,MATCH(INDEX(FTE_Allocation!$A$2:$A$201,$AB1520),Workforce!$A$2:$A$151,0))),N(INDEX(FTE_Allocation!$I$2:$I$201,$AB1520)))),MONTH(MAX(N(INDEX(Workforce!$I$2:$I$151,MATCH(INDEX(FTE_Allocation!$A$2:$A$201,$AB1520),Workforce!$A$2:$A$151,0))),N(INDEX(FTE_Allocation!$I$2:$I$201,$AB1520)))),1),"")))</f>
        <v/>
      </c>
      <c r="AF1520" s="21">
        <f>IF($Z1520="C",IF(INDEX(Contracts!$I$2:$I$151,$AB1520)="PREPAID",EDATE(DATE(YEAR(INDEX(Contracts!$J$2:$J$151,$AB1520)),MONTH(INDEX(Contracts!$J$2:$J$151,$AB1520)),1),IF(INDEX(Contracts!$N$2:$N$151,$AB1520)="",12,INDEX(Contracts!$N$2:$N$151,$AB1520))-1),IF(INDEX(Contracts!$I$2:$I$151,$AB1520)="MONTHLY",IF(INDEX(Contracts!$K$2:$K$151,$AB1520)="",2958101,INDEX(Contracts!$K$2:$K$151,$AB1520)),0)),IF($Z1520="A",EDATE(DATE(YEAR(INDEX(Fixed_Assets!$G$2:$G$201,$AB1520)),MONTH(INDEX(Fixed_Assets!$G$2:$G$201,$AB1520)),1),INDEX(Fixed_Assets!$J$2:$J$201,$AB1520)-1),IF($Z1520="F",MIN(IF(INDEX(Workforce!$J$2:$J$151,MATCH(INDEX(FTE_Allocation!$A$2:$A$201,$AB1520),Workforce!$A$2:$A$151,0))="",2958101,INDEX(Workforce!$J$2:$J$151,MATCH(INDEX(FTE_Allocation!$A$2:$A$201,$AB1520),Workforce!$A$2:$A$151,0))),IF(INDEX(FTE_Allocation!$J$2:$J$201,$AB1520)="",2958101,INDEX(FTE_Allocation!$J$2:$J$201,$AB1520))),"")))</f>
        <v/>
      </c>
      <c r="AG1520" s="19">
        <f>IF($Z1520="C",IF(INDEX(Contracts!$I$2:$I$151,$AB1520)="PREPAID",INDEX(Contracts!$M$2:$M$151,$AB1520)/IF(INDEX(Contracts!$N$2:$N$151,$AB1520)="",12,INDEX(Contracts!$N$2:$N$151,$AB1520)),IF(INDEX(Contracts!$I$2:$I$151,$AB1520)="MONTHLY",INDEX(Contracts!$M$2:$M$151,$AB1520),0))*(1-N(INDEX(Contracts!$O$2:$O$151,$AB1520))),IF($Z1520="A",INDEX(Fixed_Assets!$H$2:$H$201,$AB1520)/INDEX(Fixed_Assets!$J$2:$J$201,$AB1520),IF($Z1520="F",INDEX(Workforce!$F$2:$F$151,MATCH(INDEX(FTE_Allocation!$A$2:$A$201,$AB1520),Workforce!$A$2:$A$151,0))*N(INDEX(FTE_Allocation!$F$2:$H$201,$AB1520,$AC1520)),"")))</f>
        <v/>
      </c>
    </row>
    <row r="1521">
      <c r="A1521" s="7">
        <f>IF($Z1521="","",$AD1521)</f>
        <v/>
      </c>
      <c r="B1521" s="7">
        <f>IF($Z1521="C",INDEX(Contracts!$D$2:$D$151,$AB1521)&amp;"",IF($Z1521="A",INDEX(Fixed_Assets!$C$2:$C$201,$AB1521)&amp;"",IF($Z1521="F",INDEX(Workforce!$B$2:$B$151,MATCH(INDEX(FTE_Allocation!$A$2:$A$201,$AB1521),Workforce!$A$2:$A$151,0))&amp;"","")))</f>
        <v/>
      </c>
      <c r="C1521" s="7">
        <f>IF($Z1521="C",INDEX(Contracts!$E$2:$E$151,$AB1521)&amp;"",IF($Z1521="A",INDEX(Fixed_Assets!$D$2:$D$201,$AB1521)&amp;"",IF($Z1521="F",INDEX(FTE_Allocation!$C$2:$C$201,$AB1521)&amp;"","")))</f>
        <v/>
      </c>
      <c r="D1521" s="7">
        <f>IF($Z1521="C",INDEX(Contracts!$B$2:$B$151,$AB1521)&amp;"",IF($Z1521="A",INDEX(Fixed_Assets!$B$2:$B$201,$AB1521)&amp;"",IF($Z1521="F",INDEX(FTE_Allocation!$B$2:$B$201,$AB1521)&amp;"","")))</f>
        <v/>
      </c>
      <c r="E1521" s="7">
        <f>IF($Z1521="C",INDEX(Contracts!$P$2:$P$151,$AB1521)&amp;"",IF($Z1521="A",INDEX(Fixed_Assets!$K$2:$K$201,$AB1521)&amp;"",IF($Z1521="F",IF(INDEX(FTE_Allocation!$D$2:$D$201,$AB1521)="PROJECT",IFERROR(INDEX(Projects!$D:$D,MATCH(INDEX(FTE_Allocation!$E$2:$E$201,$AB1521),Projects!$A:$A,0))&amp;"","#PROJECT?"),INDEX(FTE_Allocation!$E$2:$E$201,$AB1521)&amp;""),"")))</f>
        <v/>
      </c>
      <c r="F1521" s="7">
        <f>IF($Z1521="C",INDEX(Contracts!$Q$2:$Q$151,$AB1521)&amp;"",IF($Z1521="A",INDEX(Fixed_Assets!$L$2:$L$201,$AB1521)&amp;"",IF($Z1521="F",INDEX(Workforce!$K$2:$K$151,MATCH(INDEX(FTE_Allocation!$A$2:$A$201,$AB1521),Workforce!$A$2:$A$151,0))&amp;"","")))</f>
        <v/>
      </c>
      <c r="G1521" s="7">
        <f>IF($Z1521="C",INDEX(Contracts!$F$2:$F$151,$AB1521)&amp;" / "&amp;INDEX(Contracts!$G$2:$G$151,$AB1521),IF($Z1521="A",INDEX(Fixed_Assets!$E$2:$E$201,$AB1521)&amp;"",IF($Z1521="F","Personnel "&amp;INDEX(FTE_Allocation!$A$2:$A$201,$AB1521)&amp;IF(INDEX(FTE_Allocation!$D$2:$D$201,$AB1521)="PROJECT"," ("&amp;INDEX(FTE_Allocation!$E$2:$E$201,$AB1521)&amp;")",""),"")))</f>
        <v/>
      </c>
      <c r="H1521" s="7">
        <f>IF($Z1521="C","CONTRACT",IF($Z1521="A","ASSET",IF($Z1521="F","WORKFORCE","")))</f>
        <v/>
      </c>
      <c r="I1521" s="7">
        <f>IF($Z1521="C",INDEX(Contracts!$L$2:$L$151,$AB1521)&amp;"",IF($Z1521="A",INDEX(Fixed_Assets!$I$2:$I$201,$AB1521)&amp;"",IF($Z1521="F",INDEX(Workforce!$G$2:$G$151,MATCH(INDEX(FTE_Allocation!$A$2:$A$201,$AB1521),Workforce!$A$2:$A$151,0))&amp;"","")))</f>
        <v/>
      </c>
      <c r="J1521" s="18">
        <f>IF($Z1521="","",IF(AND(DATE($AD1521,1,1)&gt;=$AE1521,DATE($AD1521,1,1)&lt;=$AF1521),ROUND($AG1521,2),0))</f>
        <v/>
      </c>
      <c r="K1521" s="18">
        <f>IF($Z1521="","",IF(AND(DATE($AD1521,2,1)&gt;=$AE1521,DATE($AD1521,2,1)&lt;=$AF1521),ROUND($AG1521,2),0))</f>
        <v/>
      </c>
      <c r="L1521" s="18">
        <f>IF($Z1521="","",IF(AND(DATE($AD1521,3,1)&gt;=$AE1521,DATE($AD1521,3,1)&lt;=$AF1521),ROUND($AG1521,2),0))</f>
        <v/>
      </c>
      <c r="M1521" s="18">
        <f>IF($Z1521="","",IF(AND(DATE($AD1521,4,1)&gt;=$AE1521,DATE($AD1521,4,1)&lt;=$AF1521),ROUND($AG1521,2),0))</f>
        <v/>
      </c>
      <c r="N1521" s="18">
        <f>IF($Z1521="","",IF(AND(DATE($AD1521,5,1)&gt;=$AE1521,DATE($AD1521,5,1)&lt;=$AF1521),ROUND($AG1521,2),0))</f>
        <v/>
      </c>
      <c r="O1521" s="18">
        <f>IF($Z1521="","",IF(AND(DATE($AD1521,6,1)&gt;=$AE1521,DATE($AD1521,6,1)&lt;=$AF1521),ROUND($AG1521,2),0))</f>
        <v/>
      </c>
      <c r="P1521" s="18">
        <f>IF($Z1521="","",IF(AND(DATE($AD1521,7,1)&gt;=$AE1521,DATE($AD1521,7,1)&lt;=$AF1521),ROUND($AG1521,2),0))</f>
        <v/>
      </c>
      <c r="Q1521" s="18">
        <f>IF($Z1521="","",IF(AND(DATE($AD1521,8,1)&gt;=$AE1521,DATE($AD1521,8,1)&lt;=$AF1521),ROUND($AG1521,2),0))</f>
        <v/>
      </c>
      <c r="R1521" s="18">
        <f>IF($Z1521="","",IF(AND(DATE($AD1521,9,1)&gt;=$AE1521,DATE($AD1521,9,1)&lt;=$AF1521),ROUND($AG1521,2),0))</f>
        <v/>
      </c>
      <c r="S1521" s="18">
        <f>IF($Z1521="","",IF(AND(DATE($AD1521,10,1)&gt;=$AE1521,DATE($AD1521,10,1)&lt;=$AF1521),ROUND($AG1521,2),0))</f>
        <v/>
      </c>
      <c r="T1521" s="18">
        <f>IF($Z1521="","",IF(AND(DATE($AD1521,11,1)&gt;=$AE1521,DATE($AD1521,11,1)&lt;=$AF1521),ROUND($AG1521,2),0))</f>
        <v/>
      </c>
      <c r="U1521" s="18">
        <f>IF($Z1521="","",IF(AND(DATE($AD1521,12,1)&gt;=$AE1521,DATE($AD1521,12,1)&lt;=$AF1521),ROUND($AG1521,2),0))</f>
        <v/>
      </c>
      <c r="V1521" s="7">
        <f>IF($Z1521="C","Generated from "&amp;INDEX(Contracts!$A$2:$A$151,$AB1521),IF($Z1521="A","Generated from "&amp;INDEX(Fixed_Assets!$A$2:$A$201,$AB1521),IF($Z1521="F","Generated from "&amp;INDEX(FTE_Allocation!$A$2:$A$201,$AB1521),"")))</f>
        <v/>
      </c>
      <c r="X1521" s="19">
        <f>IF($Z1521="","",SUM(J1521:U1521))</f>
        <v/>
      </c>
      <c r="Y1521" s="20">
        <f>ROW()-1</f>
        <v/>
      </c>
      <c r="Z1521" s="20">
        <f>IF($Y1521&lt;=Settings!$B$4*3,"C",IF($Y1521&lt;=(Settings!$B$4+Settings!$B$5)*3,"A",IF($Y1521&lt;=(Settings!$B$4+Settings!$B$5+Settings!$B$6)*3,"F","")))</f>
        <v/>
      </c>
      <c r="AA1521" s="20">
        <f>IF($Z1521="C",$Y1521,IF($Z1521="A",$Y1521-Settings!$B$4*3,IF($Z1521="F",$Y1521-(Settings!$B$4+Settings!$B$5)*3,"")))</f>
        <v/>
      </c>
      <c r="AB1521" s="20">
        <f>IF($Z1521="","",INT(($AA1521-1)/3)+1)</f>
        <v/>
      </c>
      <c r="AC1521" s="20">
        <f>IF($Z1521="","",MOD($AA1521-1,3)+1)</f>
        <v/>
      </c>
      <c r="AD1521" s="20">
        <f>IF($Z1521="","",Settings!$B$2+$AC1521-1)</f>
        <v/>
      </c>
      <c r="AE1521" s="21">
        <f>IF($Z1521="C",DATE(YEAR(INDEX(Contracts!$J$2:$J$151,$AB1521)),MONTH(INDEX(Contracts!$J$2:$J$151,$AB1521)),1),IF($Z1521="A",DATE(YEAR(INDEX(Fixed_Assets!$G$2:$G$201,$AB1521)),MONTH(INDEX(Fixed_Assets!$G$2:$G$201,$AB1521)),1),IF($Z1521="F",DATE(YEAR(MAX(N(INDEX(Workforce!$I$2:$I$151,MATCH(INDEX(FTE_Allocation!$A$2:$A$201,$AB1521),Workforce!$A$2:$A$151,0))),N(INDEX(FTE_Allocation!$I$2:$I$201,$AB1521)))),MONTH(MAX(N(INDEX(Workforce!$I$2:$I$151,MATCH(INDEX(FTE_Allocation!$A$2:$A$201,$AB1521),Workforce!$A$2:$A$151,0))),N(INDEX(FTE_Allocation!$I$2:$I$201,$AB1521)))),1),"")))</f>
        <v/>
      </c>
      <c r="AF1521" s="21">
        <f>IF($Z1521="C",IF(INDEX(Contracts!$I$2:$I$151,$AB1521)="PREPAID",EDATE(DATE(YEAR(INDEX(Contracts!$J$2:$J$151,$AB1521)),MONTH(INDEX(Contracts!$J$2:$J$151,$AB1521)),1),IF(INDEX(Contracts!$N$2:$N$151,$AB1521)="",12,INDEX(Contracts!$N$2:$N$151,$AB1521))-1),IF(INDEX(Contracts!$I$2:$I$151,$AB1521)="MONTHLY",IF(INDEX(Contracts!$K$2:$K$151,$AB1521)="",2958101,INDEX(Contracts!$K$2:$K$151,$AB1521)),0)),IF($Z1521="A",EDATE(DATE(YEAR(INDEX(Fixed_Assets!$G$2:$G$201,$AB1521)),MONTH(INDEX(Fixed_Assets!$G$2:$G$201,$AB1521)),1),INDEX(Fixed_Assets!$J$2:$J$201,$AB1521)-1),IF($Z1521="F",MIN(IF(INDEX(Workforce!$J$2:$J$151,MATCH(INDEX(FTE_Allocation!$A$2:$A$201,$AB1521),Workforce!$A$2:$A$151,0))="",2958101,INDEX(Workforce!$J$2:$J$151,MATCH(INDEX(FTE_Allocation!$A$2:$A$201,$AB1521),Workforce!$A$2:$A$151,0))),IF(INDEX(FTE_Allocation!$J$2:$J$201,$AB1521)="",2958101,INDEX(FTE_Allocation!$J$2:$J$201,$AB1521))),"")))</f>
        <v/>
      </c>
      <c r="AG1521" s="19">
        <f>IF($Z1521="C",IF(INDEX(Contracts!$I$2:$I$151,$AB1521)="PREPAID",INDEX(Contracts!$M$2:$M$151,$AB1521)/IF(INDEX(Contracts!$N$2:$N$151,$AB1521)="",12,INDEX(Contracts!$N$2:$N$151,$AB1521)),IF(INDEX(Contracts!$I$2:$I$151,$AB1521)="MONTHLY",INDEX(Contracts!$M$2:$M$151,$AB1521),0))*(1-N(INDEX(Contracts!$O$2:$O$151,$AB1521))),IF($Z1521="A",INDEX(Fixed_Assets!$H$2:$H$201,$AB1521)/INDEX(Fixed_Assets!$J$2:$J$201,$AB1521),IF($Z1521="F",INDEX(Workforce!$F$2:$F$151,MATCH(INDEX(FTE_Allocation!$A$2:$A$201,$AB1521),Workforce!$A$2:$A$151,0))*N(INDEX(FTE_Allocation!$F$2:$H$201,$AB1521,$AC1521)),"")))</f>
        <v/>
      </c>
    </row>
    <row r="1522">
      <c r="A1522" s="7">
        <f>IF($Z1522="","",$AD1522)</f>
        <v/>
      </c>
      <c r="B1522" s="7">
        <f>IF($Z1522="C",INDEX(Contracts!$D$2:$D$151,$AB1522)&amp;"",IF($Z1522="A",INDEX(Fixed_Assets!$C$2:$C$201,$AB1522)&amp;"",IF($Z1522="F",INDEX(Workforce!$B$2:$B$151,MATCH(INDEX(FTE_Allocation!$A$2:$A$201,$AB1522),Workforce!$A$2:$A$151,0))&amp;"","")))</f>
        <v/>
      </c>
      <c r="C1522" s="7">
        <f>IF($Z1522="C",INDEX(Contracts!$E$2:$E$151,$AB1522)&amp;"",IF($Z1522="A",INDEX(Fixed_Assets!$D$2:$D$201,$AB1522)&amp;"",IF($Z1522="F",INDEX(FTE_Allocation!$C$2:$C$201,$AB1522)&amp;"","")))</f>
        <v/>
      </c>
      <c r="D1522" s="7">
        <f>IF($Z1522="C",INDEX(Contracts!$B$2:$B$151,$AB1522)&amp;"",IF($Z1522="A",INDEX(Fixed_Assets!$B$2:$B$201,$AB1522)&amp;"",IF($Z1522="F",INDEX(FTE_Allocation!$B$2:$B$201,$AB1522)&amp;"","")))</f>
        <v/>
      </c>
      <c r="E1522" s="7">
        <f>IF($Z1522="C",INDEX(Contracts!$P$2:$P$151,$AB1522)&amp;"",IF($Z1522="A",INDEX(Fixed_Assets!$K$2:$K$201,$AB1522)&amp;"",IF($Z1522="F",IF(INDEX(FTE_Allocation!$D$2:$D$201,$AB1522)="PROJECT",IFERROR(INDEX(Projects!$D:$D,MATCH(INDEX(FTE_Allocation!$E$2:$E$201,$AB1522),Projects!$A:$A,0))&amp;"","#PROJECT?"),INDEX(FTE_Allocation!$E$2:$E$201,$AB1522)&amp;""),"")))</f>
        <v/>
      </c>
      <c r="F1522" s="7">
        <f>IF($Z1522="C",INDEX(Contracts!$Q$2:$Q$151,$AB1522)&amp;"",IF($Z1522="A",INDEX(Fixed_Assets!$L$2:$L$201,$AB1522)&amp;"",IF($Z1522="F",INDEX(Workforce!$K$2:$K$151,MATCH(INDEX(FTE_Allocation!$A$2:$A$201,$AB1522),Workforce!$A$2:$A$151,0))&amp;"","")))</f>
        <v/>
      </c>
      <c r="G1522" s="7">
        <f>IF($Z1522="C",INDEX(Contracts!$F$2:$F$151,$AB1522)&amp;" / "&amp;INDEX(Contracts!$G$2:$G$151,$AB1522),IF($Z1522="A",INDEX(Fixed_Assets!$E$2:$E$201,$AB1522)&amp;"",IF($Z1522="F","Personnel "&amp;INDEX(FTE_Allocation!$A$2:$A$201,$AB1522)&amp;IF(INDEX(FTE_Allocation!$D$2:$D$201,$AB1522)="PROJECT"," ("&amp;INDEX(FTE_Allocation!$E$2:$E$201,$AB1522)&amp;")",""),"")))</f>
        <v/>
      </c>
      <c r="H1522" s="7">
        <f>IF($Z1522="C","CONTRACT",IF($Z1522="A","ASSET",IF($Z1522="F","WORKFORCE","")))</f>
        <v/>
      </c>
      <c r="I1522" s="7">
        <f>IF($Z1522="C",INDEX(Contracts!$L$2:$L$151,$AB1522)&amp;"",IF($Z1522="A",INDEX(Fixed_Assets!$I$2:$I$201,$AB1522)&amp;"",IF($Z1522="F",INDEX(Workforce!$G$2:$G$151,MATCH(INDEX(FTE_Allocation!$A$2:$A$201,$AB1522),Workforce!$A$2:$A$151,0))&amp;"","")))</f>
        <v/>
      </c>
      <c r="J1522" s="18">
        <f>IF($Z1522="","",IF(AND(DATE($AD1522,1,1)&gt;=$AE1522,DATE($AD1522,1,1)&lt;=$AF1522),ROUND($AG1522,2),0))</f>
        <v/>
      </c>
      <c r="K1522" s="18">
        <f>IF($Z1522="","",IF(AND(DATE($AD1522,2,1)&gt;=$AE1522,DATE($AD1522,2,1)&lt;=$AF1522),ROUND($AG1522,2),0))</f>
        <v/>
      </c>
      <c r="L1522" s="18">
        <f>IF($Z1522="","",IF(AND(DATE($AD1522,3,1)&gt;=$AE1522,DATE($AD1522,3,1)&lt;=$AF1522),ROUND($AG1522,2),0))</f>
        <v/>
      </c>
      <c r="M1522" s="18">
        <f>IF($Z1522="","",IF(AND(DATE($AD1522,4,1)&gt;=$AE1522,DATE($AD1522,4,1)&lt;=$AF1522),ROUND($AG1522,2),0))</f>
        <v/>
      </c>
      <c r="N1522" s="18">
        <f>IF($Z1522="","",IF(AND(DATE($AD1522,5,1)&gt;=$AE1522,DATE($AD1522,5,1)&lt;=$AF1522),ROUND($AG1522,2),0))</f>
        <v/>
      </c>
      <c r="O1522" s="18">
        <f>IF($Z1522="","",IF(AND(DATE($AD1522,6,1)&gt;=$AE1522,DATE($AD1522,6,1)&lt;=$AF1522),ROUND($AG1522,2),0))</f>
        <v/>
      </c>
      <c r="P1522" s="18">
        <f>IF($Z1522="","",IF(AND(DATE($AD1522,7,1)&gt;=$AE1522,DATE($AD1522,7,1)&lt;=$AF1522),ROUND($AG1522,2),0))</f>
        <v/>
      </c>
      <c r="Q1522" s="18">
        <f>IF($Z1522="","",IF(AND(DATE($AD1522,8,1)&gt;=$AE1522,DATE($AD1522,8,1)&lt;=$AF1522),ROUND($AG1522,2),0))</f>
        <v/>
      </c>
      <c r="R1522" s="18">
        <f>IF($Z1522="","",IF(AND(DATE($AD1522,9,1)&gt;=$AE1522,DATE($AD1522,9,1)&lt;=$AF1522),ROUND($AG1522,2),0))</f>
        <v/>
      </c>
      <c r="S1522" s="18">
        <f>IF($Z1522="","",IF(AND(DATE($AD1522,10,1)&gt;=$AE1522,DATE($AD1522,10,1)&lt;=$AF1522),ROUND($AG1522,2),0))</f>
        <v/>
      </c>
      <c r="T1522" s="18">
        <f>IF($Z1522="","",IF(AND(DATE($AD1522,11,1)&gt;=$AE1522,DATE($AD1522,11,1)&lt;=$AF1522),ROUND($AG1522,2),0))</f>
        <v/>
      </c>
      <c r="U1522" s="18">
        <f>IF($Z1522="","",IF(AND(DATE($AD1522,12,1)&gt;=$AE1522,DATE($AD1522,12,1)&lt;=$AF1522),ROUND($AG1522,2),0))</f>
        <v/>
      </c>
      <c r="V1522" s="7">
        <f>IF($Z1522="C","Generated from "&amp;INDEX(Contracts!$A$2:$A$151,$AB1522),IF($Z1522="A","Generated from "&amp;INDEX(Fixed_Assets!$A$2:$A$201,$AB1522),IF($Z1522="F","Generated from "&amp;INDEX(FTE_Allocation!$A$2:$A$201,$AB1522),"")))</f>
        <v/>
      </c>
      <c r="X1522" s="19">
        <f>IF($Z1522="","",SUM(J1522:U1522))</f>
        <v/>
      </c>
      <c r="Y1522" s="20">
        <f>ROW()-1</f>
        <v/>
      </c>
      <c r="Z1522" s="20">
        <f>IF($Y1522&lt;=Settings!$B$4*3,"C",IF($Y1522&lt;=(Settings!$B$4+Settings!$B$5)*3,"A",IF($Y1522&lt;=(Settings!$B$4+Settings!$B$5+Settings!$B$6)*3,"F","")))</f>
        <v/>
      </c>
      <c r="AA1522" s="20">
        <f>IF($Z1522="C",$Y1522,IF($Z1522="A",$Y1522-Settings!$B$4*3,IF($Z1522="F",$Y1522-(Settings!$B$4+Settings!$B$5)*3,"")))</f>
        <v/>
      </c>
      <c r="AB1522" s="20">
        <f>IF($Z1522="","",INT(($AA1522-1)/3)+1)</f>
        <v/>
      </c>
      <c r="AC1522" s="20">
        <f>IF($Z1522="","",MOD($AA1522-1,3)+1)</f>
        <v/>
      </c>
      <c r="AD1522" s="20">
        <f>IF($Z1522="","",Settings!$B$2+$AC1522-1)</f>
        <v/>
      </c>
      <c r="AE1522" s="21">
        <f>IF($Z1522="C",DATE(YEAR(INDEX(Contracts!$J$2:$J$151,$AB1522)),MONTH(INDEX(Contracts!$J$2:$J$151,$AB1522)),1),IF($Z1522="A",DATE(YEAR(INDEX(Fixed_Assets!$G$2:$G$201,$AB1522)),MONTH(INDEX(Fixed_Assets!$G$2:$G$201,$AB1522)),1),IF($Z1522="F",DATE(YEAR(MAX(N(INDEX(Workforce!$I$2:$I$151,MATCH(INDEX(FTE_Allocation!$A$2:$A$201,$AB1522),Workforce!$A$2:$A$151,0))),N(INDEX(FTE_Allocation!$I$2:$I$201,$AB1522)))),MONTH(MAX(N(INDEX(Workforce!$I$2:$I$151,MATCH(INDEX(FTE_Allocation!$A$2:$A$201,$AB1522),Workforce!$A$2:$A$151,0))),N(INDEX(FTE_Allocation!$I$2:$I$201,$AB1522)))),1),"")))</f>
        <v/>
      </c>
      <c r="AF1522" s="21">
        <f>IF($Z1522="C",IF(INDEX(Contracts!$I$2:$I$151,$AB1522)="PREPAID",EDATE(DATE(YEAR(INDEX(Contracts!$J$2:$J$151,$AB1522)),MONTH(INDEX(Contracts!$J$2:$J$151,$AB1522)),1),IF(INDEX(Contracts!$N$2:$N$151,$AB1522)="",12,INDEX(Contracts!$N$2:$N$151,$AB1522))-1),IF(INDEX(Contracts!$I$2:$I$151,$AB1522)="MONTHLY",IF(INDEX(Contracts!$K$2:$K$151,$AB1522)="",2958101,INDEX(Contracts!$K$2:$K$151,$AB1522)),0)),IF($Z1522="A",EDATE(DATE(YEAR(INDEX(Fixed_Assets!$G$2:$G$201,$AB1522)),MONTH(INDEX(Fixed_Assets!$G$2:$G$201,$AB1522)),1),INDEX(Fixed_Assets!$J$2:$J$201,$AB1522)-1),IF($Z1522="F",MIN(IF(INDEX(Workforce!$J$2:$J$151,MATCH(INDEX(FTE_Allocation!$A$2:$A$201,$AB1522),Workforce!$A$2:$A$151,0))="",2958101,INDEX(Workforce!$J$2:$J$151,MATCH(INDEX(FTE_Allocation!$A$2:$A$201,$AB1522),Workforce!$A$2:$A$151,0))),IF(INDEX(FTE_Allocation!$J$2:$J$201,$AB1522)="",2958101,INDEX(FTE_Allocation!$J$2:$J$201,$AB1522))),"")))</f>
        <v/>
      </c>
      <c r="AG1522" s="19">
        <f>IF($Z1522="C",IF(INDEX(Contracts!$I$2:$I$151,$AB1522)="PREPAID",INDEX(Contracts!$M$2:$M$151,$AB1522)/IF(INDEX(Contracts!$N$2:$N$151,$AB1522)="",12,INDEX(Contracts!$N$2:$N$151,$AB1522)),IF(INDEX(Contracts!$I$2:$I$151,$AB1522)="MONTHLY",INDEX(Contracts!$M$2:$M$151,$AB1522),0))*(1-N(INDEX(Contracts!$O$2:$O$151,$AB1522))),IF($Z1522="A",INDEX(Fixed_Assets!$H$2:$H$201,$AB1522)/INDEX(Fixed_Assets!$J$2:$J$201,$AB1522),IF($Z1522="F",INDEX(Workforce!$F$2:$F$151,MATCH(INDEX(FTE_Allocation!$A$2:$A$201,$AB1522),Workforce!$A$2:$A$151,0))*N(INDEX(FTE_Allocation!$F$2:$H$201,$AB1522,$AC1522)),"")))</f>
        <v/>
      </c>
    </row>
    <row r="1523">
      <c r="A1523" s="7">
        <f>IF($Z1523="","",$AD1523)</f>
        <v/>
      </c>
      <c r="B1523" s="7">
        <f>IF($Z1523="C",INDEX(Contracts!$D$2:$D$151,$AB1523)&amp;"",IF($Z1523="A",INDEX(Fixed_Assets!$C$2:$C$201,$AB1523)&amp;"",IF($Z1523="F",INDEX(Workforce!$B$2:$B$151,MATCH(INDEX(FTE_Allocation!$A$2:$A$201,$AB1523),Workforce!$A$2:$A$151,0))&amp;"","")))</f>
        <v/>
      </c>
      <c r="C1523" s="7">
        <f>IF($Z1523="C",INDEX(Contracts!$E$2:$E$151,$AB1523)&amp;"",IF($Z1523="A",INDEX(Fixed_Assets!$D$2:$D$201,$AB1523)&amp;"",IF($Z1523="F",INDEX(FTE_Allocation!$C$2:$C$201,$AB1523)&amp;"","")))</f>
        <v/>
      </c>
      <c r="D1523" s="7">
        <f>IF($Z1523="C",INDEX(Contracts!$B$2:$B$151,$AB1523)&amp;"",IF($Z1523="A",INDEX(Fixed_Assets!$B$2:$B$201,$AB1523)&amp;"",IF($Z1523="F",INDEX(FTE_Allocation!$B$2:$B$201,$AB1523)&amp;"","")))</f>
        <v/>
      </c>
      <c r="E1523" s="7">
        <f>IF($Z1523="C",INDEX(Contracts!$P$2:$P$151,$AB1523)&amp;"",IF($Z1523="A",INDEX(Fixed_Assets!$K$2:$K$201,$AB1523)&amp;"",IF($Z1523="F",IF(INDEX(FTE_Allocation!$D$2:$D$201,$AB1523)="PROJECT",IFERROR(INDEX(Projects!$D:$D,MATCH(INDEX(FTE_Allocation!$E$2:$E$201,$AB1523),Projects!$A:$A,0))&amp;"","#PROJECT?"),INDEX(FTE_Allocation!$E$2:$E$201,$AB1523)&amp;""),"")))</f>
        <v/>
      </c>
      <c r="F1523" s="7">
        <f>IF($Z1523="C",INDEX(Contracts!$Q$2:$Q$151,$AB1523)&amp;"",IF($Z1523="A",INDEX(Fixed_Assets!$L$2:$L$201,$AB1523)&amp;"",IF($Z1523="F",INDEX(Workforce!$K$2:$K$151,MATCH(INDEX(FTE_Allocation!$A$2:$A$201,$AB1523),Workforce!$A$2:$A$151,0))&amp;"","")))</f>
        <v/>
      </c>
      <c r="G1523" s="7">
        <f>IF($Z1523="C",INDEX(Contracts!$F$2:$F$151,$AB1523)&amp;" / "&amp;INDEX(Contracts!$G$2:$G$151,$AB1523),IF($Z1523="A",INDEX(Fixed_Assets!$E$2:$E$201,$AB1523)&amp;"",IF($Z1523="F","Personnel "&amp;INDEX(FTE_Allocation!$A$2:$A$201,$AB1523)&amp;IF(INDEX(FTE_Allocation!$D$2:$D$201,$AB1523)="PROJECT"," ("&amp;INDEX(FTE_Allocation!$E$2:$E$201,$AB1523)&amp;")",""),"")))</f>
        <v/>
      </c>
      <c r="H1523" s="7">
        <f>IF($Z1523="C","CONTRACT",IF($Z1523="A","ASSET",IF($Z1523="F","WORKFORCE","")))</f>
        <v/>
      </c>
      <c r="I1523" s="7">
        <f>IF($Z1523="C",INDEX(Contracts!$L$2:$L$151,$AB1523)&amp;"",IF($Z1523="A",INDEX(Fixed_Assets!$I$2:$I$201,$AB1523)&amp;"",IF($Z1523="F",INDEX(Workforce!$G$2:$G$151,MATCH(INDEX(FTE_Allocation!$A$2:$A$201,$AB1523),Workforce!$A$2:$A$151,0))&amp;"","")))</f>
        <v/>
      </c>
      <c r="J1523" s="18">
        <f>IF($Z1523="","",IF(AND(DATE($AD1523,1,1)&gt;=$AE1523,DATE($AD1523,1,1)&lt;=$AF1523),ROUND($AG1523,2),0))</f>
        <v/>
      </c>
      <c r="K1523" s="18">
        <f>IF($Z1523="","",IF(AND(DATE($AD1523,2,1)&gt;=$AE1523,DATE($AD1523,2,1)&lt;=$AF1523),ROUND($AG1523,2),0))</f>
        <v/>
      </c>
      <c r="L1523" s="18">
        <f>IF($Z1523="","",IF(AND(DATE($AD1523,3,1)&gt;=$AE1523,DATE($AD1523,3,1)&lt;=$AF1523),ROUND($AG1523,2),0))</f>
        <v/>
      </c>
      <c r="M1523" s="18">
        <f>IF($Z1523="","",IF(AND(DATE($AD1523,4,1)&gt;=$AE1523,DATE($AD1523,4,1)&lt;=$AF1523),ROUND($AG1523,2),0))</f>
        <v/>
      </c>
      <c r="N1523" s="18">
        <f>IF($Z1523="","",IF(AND(DATE($AD1523,5,1)&gt;=$AE1523,DATE($AD1523,5,1)&lt;=$AF1523),ROUND($AG1523,2),0))</f>
        <v/>
      </c>
      <c r="O1523" s="18">
        <f>IF($Z1523="","",IF(AND(DATE($AD1523,6,1)&gt;=$AE1523,DATE($AD1523,6,1)&lt;=$AF1523),ROUND($AG1523,2),0))</f>
        <v/>
      </c>
      <c r="P1523" s="18">
        <f>IF($Z1523="","",IF(AND(DATE($AD1523,7,1)&gt;=$AE1523,DATE($AD1523,7,1)&lt;=$AF1523),ROUND($AG1523,2),0))</f>
        <v/>
      </c>
      <c r="Q1523" s="18">
        <f>IF($Z1523="","",IF(AND(DATE($AD1523,8,1)&gt;=$AE1523,DATE($AD1523,8,1)&lt;=$AF1523),ROUND($AG1523,2),0))</f>
        <v/>
      </c>
      <c r="R1523" s="18">
        <f>IF($Z1523="","",IF(AND(DATE($AD1523,9,1)&gt;=$AE1523,DATE($AD1523,9,1)&lt;=$AF1523),ROUND($AG1523,2),0))</f>
        <v/>
      </c>
      <c r="S1523" s="18">
        <f>IF($Z1523="","",IF(AND(DATE($AD1523,10,1)&gt;=$AE1523,DATE($AD1523,10,1)&lt;=$AF1523),ROUND($AG1523,2),0))</f>
        <v/>
      </c>
      <c r="T1523" s="18">
        <f>IF($Z1523="","",IF(AND(DATE($AD1523,11,1)&gt;=$AE1523,DATE($AD1523,11,1)&lt;=$AF1523),ROUND($AG1523,2),0))</f>
        <v/>
      </c>
      <c r="U1523" s="18">
        <f>IF($Z1523="","",IF(AND(DATE($AD1523,12,1)&gt;=$AE1523,DATE($AD1523,12,1)&lt;=$AF1523),ROUND($AG1523,2),0))</f>
        <v/>
      </c>
      <c r="V1523" s="7">
        <f>IF($Z1523="C","Generated from "&amp;INDEX(Contracts!$A$2:$A$151,$AB1523),IF($Z1523="A","Generated from "&amp;INDEX(Fixed_Assets!$A$2:$A$201,$AB1523),IF($Z1523="F","Generated from "&amp;INDEX(FTE_Allocation!$A$2:$A$201,$AB1523),"")))</f>
        <v/>
      </c>
      <c r="X1523" s="19">
        <f>IF($Z1523="","",SUM(J1523:U1523))</f>
        <v/>
      </c>
      <c r="Y1523" s="20">
        <f>ROW()-1</f>
        <v/>
      </c>
      <c r="Z1523" s="20">
        <f>IF($Y1523&lt;=Settings!$B$4*3,"C",IF($Y1523&lt;=(Settings!$B$4+Settings!$B$5)*3,"A",IF($Y1523&lt;=(Settings!$B$4+Settings!$B$5+Settings!$B$6)*3,"F","")))</f>
        <v/>
      </c>
      <c r="AA1523" s="20">
        <f>IF($Z1523="C",$Y1523,IF($Z1523="A",$Y1523-Settings!$B$4*3,IF($Z1523="F",$Y1523-(Settings!$B$4+Settings!$B$5)*3,"")))</f>
        <v/>
      </c>
      <c r="AB1523" s="20">
        <f>IF($Z1523="","",INT(($AA1523-1)/3)+1)</f>
        <v/>
      </c>
      <c r="AC1523" s="20">
        <f>IF($Z1523="","",MOD($AA1523-1,3)+1)</f>
        <v/>
      </c>
      <c r="AD1523" s="20">
        <f>IF($Z1523="","",Settings!$B$2+$AC1523-1)</f>
        <v/>
      </c>
      <c r="AE1523" s="21">
        <f>IF($Z1523="C",DATE(YEAR(INDEX(Contracts!$J$2:$J$151,$AB1523)),MONTH(INDEX(Contracts!$J$2:$J$151,$AB1523)),1),IF($Z1523="A",DATE(YEAR(INDEX(Fixed_Assets!$G$2:$G$201,$AB1523)),MONTH(INDEX(Fixed_Assets!$G$2:$G$201,$AB1523)),1),IF($Z1523="F",DATE(YEAR(MAX(N(INDEX(Workforce!$I$2:$I$151,MATCH(INDEX(FTE_Allocation!$A$2:$A$201,$AB1523),Workforce!$A$2:$A$151,0))),N(INDEX(FTE_Allocation!$I$2:$I$201,$AB1523)))),MONTH(MAX(N(INDEX(Workforce!$I$2:$I$151,MATCH(INDEX(FTE_Allocation!$A$2:$A$201,$AB1523),Workforce!$A$2:$A$151,0))),N(INDEX(FTE_Allocation!$I$2:$I$201,$AB1523)))),1),"")))</f>
        <v/>
      </c>
      <c r="AF1523" s="21">
        <f>IF($Z1523="C",IF(INDEX(Contracts!$I$2:$I$151,$AB1523)="PREPAID",EDATE(DATE(YEAR(INDEX(Contracts!$J$2:$J$151,$AB1523)),MONTH(INDEX(Contracts!$J$2:$J$151,$AB1523)),1),IF(INDEX(Contracts!$N$2:$N$151,$AB1523)="",12,INDEX(Contracts!$N$2:$N$151,$AB1523))-1),IF(INDEX(Contracts!$I$2:$I$151,$AB1523)="MONTHLY",IF(INDEX(Contracts!$K$2:$K$151,$AB1523)="",2958101,INDEX(Contracts!$K$2:$K$151,$AB1523)),0)),IF($Z1523="A",EDATE(DATE(YEAR(INDEX(Fixed_Assets!$G$2:$G$201,$AB1523)),MONTH(INDEX(Fixed_Assets!$G$2:$G$201,$AB1523)),1),INDEX(Fixed_Assets!$J$2:$J$201,$AB1523)-1),IF($Z1523="F",MIN(IF(INDEX(Workforce!$J$2:$J$151,MATCH(INDEX(FTE_Allocation!$A$2:$A$201,$AB1523),Workforce!$A$2:$A$151,0))="",2958101,INDEX(Workforce!$J$2:$J$151,MATCH(INDEX(FTE_Allocation!$A$2:$A$201,$AB1523),Workforce!$A$2:$A$151,0))),IF(INDEX(FTE_Allocation!$J$2:$J$201,$AB1523)="",2958101,INDEX(FTE_Allocation!$J$2:$J$201,$AB1523))),"")))</f>
        <v/>
      </c>
      <c r="AG1523" s="19">
        <f>IF($Z1523="C",IF(INDEX(Contracts!$I$2:$I$151,$AB1523)="PREPAID",INDEX(Contracts!$M$2:$M$151,$AB1523)/IF(INDEX(Contracts!$N$2:$N$151,$AB1523)="",12,INDEX(Contracts!$N$2:$N$151,$AB1523)),IF(INDEX(Contracts!$I$2:$I$151,$AB1523)="MONTHLY",INDEX(Contracts!$M$2:$M$151,$AB1523),0))*(1-N(INDEX(Contracts!$O$2:$O$151,$AB1523))),IF($Z1523="A",INDEX(Fixed_Assets!$H$2:$H$201,$AB1523)/INDEX(Fixed_Assets!$J$2:$J$201,$AB1523),IF($Z1523="F",INDEX(Workforce!$F$2:$F$151,MATCH(INDEX(FTE_Allocation!$A$2:$A$201,$AB1523),Workforce!$A$2:$A$151,0))*N(INDEX(FTE_Allocation!$F$2:$H$201,$AB1523,$AC1523)),"")))</f>
        <v/>
      </c>
    </row>
    <row r="1524">
      <c r="A1524" s="7">
        <f>IF($Z1524="","",$AD1524)</f>
        <v/>
      </c>
      <c r="B1524" s="7">
        <f>IF($Z1524="C",INDEX(Contracts!$D$2:$D$151,$AB1524)&amp;"",IF($Z1524="A",INDEX(Fixed_Assets!$C$2:$C$201,$AB1524)&amp;"",IF($Z1524="F",INDEX(Workforce!$B$2:$B$151,MATCH(INDEX(FTE_Allocation!$A$2:$A$201,$AB1524),Workforce!$A$2:$A$151,0))&amp;"","")))</f>
        <v/>
      </c>
      <c r="C1524" s="7">
        <f>IF($Z1524="C",INDEX(Contracts!$E$2:$E$151,$AB1524)&amp;"",IF($Z1524="A",INDEX(Fixed_Assets!$D$2:$D$201,$AB1524)&amp;"",IF($Z1524="F",INDEX(FTE_Allocation!$C$2:$C$201,$AB1524)&amp;"","")))</f>
        <v/>
      </c>
      <c r="D1524" s="7">
        <f>IF($Z1524="C",INDEX(Contracts!$B$2:$B$151,$AB1524)&amp;"",IF($Z1524="A",INDEX(Fixed_Assets!$B$2:$B$201,$AB1524)&amp;"",IF($Z1524="F",INDEX(FTE_Allocation!$B$2:$B$201,$AB1524)&amp;"","")))</f>
        <v/>
      </c>
      <c r="E1524" s="7">
        <f>IF($Z1524="C",INDEX(Contracts!$P$2:$P$151,$AB1524)&amp;"",IF($Z1524="A",INDEX(Fixed_Assets!$K$2:$K$201,$AB1524)&amp;"",IF($Z1524="F",IF(INDEX(FTE_Allocation!$D$2:$D$201,$AB1524)="PROJECT",IFERROR(INDEX(Projects!$D:$D,MATCH(INDEX(FTE_Allocation!$E$2:$E$201,$AB1524),Projects!$A:$A,0))&amp;"","#PROJECT?"),INDEX(FTE_Allocation!$E$2:$E$201,$AB1524)&amp;""),"")))</f>
        <v/>
      </c>
      <c r="F1524" s="7">
        <f>IF($Z1524="C",INDEX(Contracts!$Q$2:$Q$151,$AB1524)&amp;"",IF($Z1524="A",INDEX(Fixed_Assets!$L$2:$L$201,$AB1524)&amp;"",IF($Z1524="F",INDEX(Workforce!$K$2:$K$151,MATCH(INDEX(FTE_Allocation!$A$2:$A$201,$AB1524),Workforce!$A$2:$A$151,0))&amp;"","")))</f>
        <v/>
      </c>
      <c r="G1524" s="7">
        <f>IF($Z1524="C",INDEX(Contracts!$F$2:$F$151,$AB1524)&amp;" / "&amp;INDEX(Contracts!$G$2:$G$151,$AB1524),IF($Z1524="A",INDEX(Fixed_Assets!$E$2:$E$201,$AB1524)&amp;"",IF($Z1524="F","Personnel "&amp;INDEX(FTE_Allocation!$A$2:$A$201,$AB1524)&amp;IF(INDEX(FTE_Allocation!$D$2:$D$201,$AB1524)="PROJECT"," ("&amp;INDEX(FTE_Allocation!$E$2:$E$201,$AB1524)&amp;")",""),"")))</f>
        <v/>
      </c>
      <c r="H1524" s="7">
        <f>IF($Z1524="C","CONTRACT",IF($Z1524="A","ASSET",IF($Z1524="F","WORKFORCE","")))</f>
        <v/>
      </c>
      <c r="I1524" s="7">
        <f>IF($Z1524="C",INDEX(Contracts!$L$2:$L$151,$AB1524)&amp;"",IF($Z1524="A",INDEX(Fixed_Assets!$I$2:$I$201,$AB1524)&amp;"",IF($Z1524="F",INDEX(Workforce!$G$2:$G$151,MATCH(INDEX(FTE_Allocation!$A$2:$A$201,$AB1524),Workforce!$A$2:$A$151,0))&amp;"","")))</f>
        <v/>
      </c>
      <c r="J1524" s="18">
        <f>IF($Z1524="","",IF(AND(DATE($AD1524,1,1)&gt;=$AE1524,DATE($AD1524,1,1)&lt;=$AF1524),ROUND($AG1524,2),0))</f>
        <v/>
      </c>
      <c r="K1524" s="18">
        <f>IF($Z1524="","",IF(AND(DATE($AD1524,2,1)&gt;=$AE1524,DATE($AD1524,2,1)&lt;=$AF1524),ROUND($AG1524,2),0))</f>
        <v/>
      </c>
      <c r="L1524" s="18">
        <f>IF($Z1524="","",IF(AND(DATE($AD1524,3,1)&gt;=$AE1524,DATE($AD1524,3,1)&lt;=$AF1524),ROUND($AG1524,2),0))</f>
        <v/>
      </c>
      <c r="M1524" s="18">
        <f>IF($Z1524="","",IF(AND(DATE($AD1524,4,1)&gt;=$AE1524,DATE($AD1524,4,1)&lt;=$AF1524),ROUND($AG1524,2),0))</f>
        <v/>
      </c>
      <c r="N1524" s="18">
        <f>IF($Z1524="","",IF(AND(DATE($AD1524,5,1)&gt;=$AE1524,DATE($AD1524,5,1)&lt;=$AF1524),ROUND($AG1524,2),0))</f>
        <v/>
      </c>
      <c r="O1524" s="18">
        <f>IF($Z1524="","",IF(AND(DATE($AD1524,6,1)&gt;=$AE1524,DATE($AD1524,6,1)&lt;=$AF1524),ROUND($AG1524,2),0))</f>
        <v/>
      </c>
      <c r="P1524" s="18">
        <f>IF($Z1524="","",IF(AND(DATE($AD1524,7,1)&gt;=$AE1524,DATE($AD1524,7,1)&lt;=$AF1524),ROUND($AG1524,2),0))</f>
        <v/>
      </c>
      <c r="Q1524" s="18">
        <f>IF($Z1524="","",IF(AND(DATE($AD1524,8,1)&gt;=$AE1524,DATE($AD1524,8,1)&lt;=$AF1524),ROUND($AG1524,2),0))</f>
        <v/>
      </c>
      <c r="R1524" s="18">
        <f>IF($Z1524="","",IF(AND(DATE($AD1524,9,1)&gt;=$AE1524,DATE($AD1524,9,1)&lt;=$AF1524),ROUND($AG1524,2),0))</f>
        <v/>
      </c>
      <c r="S1524" s="18">
        <f>IF($Z1524="","",IF(AND(DATE($AD1524,10,1)&gt;=$AE1524,DATE($AD1524,10,1)&lt;=$AF1524),ROUND($AG1524,2),0))</f>
        <v/>
      </c>
      <c r="T1524" s="18">
        <f>IF($Z1524="","",IF(AND(DATE($AD1524,11,1)&gt;=$AE1524,DATE($AD1524,11,1)&lt;=$AF1524),ROUND($AG1524,2),0))</f>
        <v/>
      </c>
      <c r="U1524" s="18">
        <f>IF($Z1524="","",IF(AND(DATE($AD1524,12,1)&gt;=$AE1524,DATE($AD1524,12,1)&lt;=$AF1524),ROUND($AG1524,2),0))</f>
        <v/>
      </c>
      <c r="V1524" s="7">
        <f>IF($Z1524="C","Generated from "&amp;INDEX(Contracts!$A$2:$A$151,$AB1524),IF($Z1524="A","Generated from "&amp;INDEX(Fixed_Assets!$A$2:$A$201,$AB1524),IF($Z1524="F","Generated from "&amp;INDEX(FTE_Allocation!$A$2:$A$201,$AB1524),"")))</f>
        <v/>
      </c>
      <c r="X1524" s="19">
        <f>IF($Z1524="","",SUM(J1524:U1524))</f>
        <v/>
      </c>
      <c r="Y1524" s="20">
        <f>ROW()-1</f>
        <v/>
      </c>
      <c r="Z1524" s="20">
        <f>IF($Y1524&lt;=Settings!$B$4*3,"C",IF($Y1524&lt;=(Settings!$B$4+Settings!$B$5)*3,"A",IF($Y1524&lt;=(Settings!$B$4+Settings!$B$5+Settings!$B$6)*3,"F","")))</f>
        <v/>
      </c>
      <c r="AA1524" s="20">
        <f>IF($Z1524="C",$Y1524,IF($Z1524="A",$Y1524-Settings!$B$4*3,IF($Z1524="F",$Y1524-(Settings!$B$4+Settings!$B$5)*3,"")))</f>
        <v/>
      </c>
      <c r="AB1524" s="20">
        <f>IF($Z1524="","",INT(($AA1524-1)/3)+1)</f>
        <v/>
      </c>
      <c r="AC1524" s="20">
        <f>IF($Z1524="","",MOD($AA1524-1,3)+1)</f>
        <v/>
      </c>
      <c r="AD1524" s="20">
        <f>IF($Z1524="","",Settings!$B$2+$AC1524-1)</f>
        <v/>
      </c>
      <c r="AE1524" s="21">
        <f>IF($Z1524="C",DATE(YEAR(INDEX(Contracts!$J$2:$J$151,$AB1524)),MONTH(INDEX(Contracts!$J$2:$J$151,$AB1524)),1),IF($Z1524="A",DATE(YEAR(INDEX(Fixed_Assets!$G$2:$G$201,$AB1524)),MONTH(INDEX(Fixed_Assets!$G$2:$G$201,$AB1524)),1),IF($Z1524="F",DATE(YEAR(MAX(N(INDEX(Workforce!$I$2:$I$151,MATCH(INDEX(FTE_Allocation!$A$2:$A$201,$AB1524),Workforce!$A$2:$A$151,0))),N(INDEX(FTE_Allocation!$I$2:$I$201,$AB1524)))),MONTH(MAX(N(INDEX(Workforce!$I$2:$I$151,MATCH(INDEX(FTE_Allocation!$A$2:$A$201,$AB1524),Workforce!$A$2:$A$151,0))),N(INDEX(FTE_Allocation!$I$2:$I$201,$AB1524)))),1),"")))</f>
        <v/>
      </c>
      <c r="AF1524" s="21">
        <f>IF($Z1524="C",IF(INDEX(Contracts!$I$2:$I$151,$AB1524)="PREPAID",EDATE(DATE(YEAR(INDEX(Contracts!$J$2:$J$151,$AB1524)),MONTH(INDEX(Contracts!$J$2:$J$151,$AB1524)),1),IF(INDEX(Contracts!$N$2:$N$151,$AB1524)="",12,INDEX(Contracts!$N$2:$N$151,$AB1524))-1),IF(INDEX(Contracts!$I$2:$I$151,$AB1524)="MONTHLY",IF(INDEX(Contracts!$K$2:$K$151,$AB1524)="",2958101,INDEX(Contracts!$K$2:$K$151,$AB1524)),0)),IF($Z1524="A",EDATE(DATE(YEAR(INDEX(Fixed_Assets!$G$2:$G$201,$AB1524)),MONTH(INDEX(Fixed_Assets!$G$2:$G$201,$AB1524)),1),INDEX(Fixed_Assets!$J$2:$J$201,$AB1524)-1),IF($Z1524="F",MIN(IF(INDEX(Workforce!$J$2:$J$151,MATCH(INDEX(FTE_Allocation!$A$2:$A$201,$AB1524),Workforce!$A$2:$A$151,0))="",2958101,INDEX(Workforce!$J$2:$J$151,MATCH(INDEX(FTE_Allocation!$A$2:$A$201,$AB1524),Workforce!$A$2:$A$151,0))),IF(INDEX(FTE_Allocation!$J$2:$J$201,$AB1524)="",2958101,INDEX(FTE_Allocation!$J$2:$J$201,$AB1524))),"")))</f>
        <v/>
      </c>
      <c r="AG1524" s="19">
        <f>IF($Z1524="C",IF(INDEX(Contracts!$I$2:$I$151,$AB1524)="PREPAID",INDEX(Contracts!$M$2:$M$151,$AB1524)/IF(INDEX(Contracts!$N$2:$N$151,$AB1524)="",12,INDEX(Contracts!$N$2:$N$151,$AB1524)),IF(INDEX(Contracts!$I$2:$I$151,$AB1524)="MONTHLY",INDEX(Contracts!$M$2:$M$151,$AB1524),0))*(1-N(INDEX(Contracts!$O$2:$O$151,$AB1524))),IF($Z1524="A",INDEX(Fixed_Assets!$H$2:$H$201,$AB1524)/INDEX(Fixed_Assets!$J$2:$J$201,$AB1524),IF($Z1524="F",INDEX(Workforce!$F$2:$F$151,MATCH(INDEX(FTE_Allocation!$A$2:$A$201,$AB1524),Workforce!$A$2:$A$151,0))*N(INDEX(FTE_Allocation!$F$2:$H$201,$AB1524,$AC1524)),"")))</f>
        <v/>
      </c>
    </row>
    <row r="1525">
      <c r="A1525" s="7">
        <f>IF($Z1525="","",$AD1525)</f>
        <v/>
      </c>
      <c r="B1525" s="7">
        <f>IF($Z1525="C",INDEX(Contracts!$D$2:$D$151,$AB1525)&amp;"",IF($Z1525="A",INDEX(Fixed_Assets!$C$2:$C$201,$AB1525)&amp;"",IF($Z1525="F",INDEX(Workforce!$B$2:$B$151,MATCH(INDEX(FTE_Allocation!$A$2:$A$201,$AB1525),Workforce!$A$2:$A$151,0))&amp;"","")))</f>
        <v/>
      </c>
      <c r="C1525" s="7">
        <f>IF($Z1525="C",INDEX(Contracts!$E$2:$E$151,$AB1525)&amp;"",IF($Z1525="A",INDEX(Fixed_Assets!$D$2:$D$201,$AB1525)&amp;"",IF($Z1525="F",INDEX(FTE_Allocation!$C$2:$C$201,$AB1525)&amp;"","")))</f>
        <v/>
      </c>
      <c r="D1525" s="7">
        <f>IF($Z1525="C",INDEX(Contracts!$B$2:$B$151,$AB1525)&amp;"",IF($Z1525="A",INDEX(Fixed_Assets!$B$2:$B$201,$AB1525)&amp;"",IF($Z1525="F",INDEX(FTE_Allocation!$B$2:$B$201,$AB1525)&amp;"","")))</f>
        <v/>
      </c>
      <c r="E1525" s="7">
        <f>IF($Z1525="C",INDEX(Contracts!$P$2:$P$151,$AB1525)&amp;"",IF($Z1525="A",INDEX(Fixed_Assets!$K$2:$K$201,$AB1525)&amp;"",IF($Z1525="F",IF(INDEX(FTE_Allocation!$D$2:$D$201,$AB1525)="PROJECT",IFERROR(INDEX(Projects!$D:$D,MATCH(INDEX(FTE_Allocation!$E$2:$E$201,$AB1525),Projects!$A:$A,0))&amp;"","#PROJECT?"),INDEX(FTE_Allocation!$E$2:$E$201,$AB1525)&amp;""),"")))</f>
        <v/>
      </c>
      <c r="F1525" s="7">
        <f>IF($Z1525="C",INDEX(Contracts!$Q$2:$Q$151,$AB1525)&amp;"",IF($Z1525="A",INDEX(Fixed_Assets!$L$2:$L$201,$AB1525)&amp;"",IF($Z1525="F",INDEX(Workforce!$K$2:$K$151,MATCH(INDEX(FTE_Allocation!$A$2:$A$201,$AB1525),Workforce!$A$2:$A$151,0))&amp;"","")))</f>
        <v/>
      </c>
      <c r="G1525" s="7">
        <f>IF($Z1525="C",INDEX(Contracts!$F$2:$F$151,$AB1525)&amp;" / "&amp;INDEX(Contracts!$G$2:$G$151,$AB1525),IF($Z1525="A",INDEX(Fixed_Assets!$E$2:$E$201,$AB1525)&amp;"",IF($Z1525="F","Personnel "&amp;INDEX(FTE_Allocation!$A$2:$A$201,$AB1525)&amp;IF(INDEX(FTE_Allocation!$D$2:$D$201,$AB1525)="PROJECT"," ("&amp;INDEX(FTE_Allocation!$E$2:$E$201,$AB1525)&amp;")",""),"")))</f>
        <v/>
      </c>
      <c r="H1525" s="7">
        <f>IF($Z1525="C","CONTRACT",IF($Z1525="A","ASSET",IF($Z1525="F","WORKFORCE","")))</f>
        <v/>
      </c>
      <c r="I1525" s="7">
        <f>IF($Z1525="C",INDEX(Contracts!$L$2:$L$151,$AB1525)&amp;"",IF($Z1525="A",INDEX(Fixed_Assets!$I$2:$I$201,$AB1525)&amp;"",IF($Z1525="F",INDEX(Workforce!$G$2:$G$151,MATCH(INDEX(FTE_Allocation!$A$2:$A$201,$AB1525),Workforce!$A$2:$A$151,0))&amp;"","")))</f>
        <v/>
      </c>
      <c r="J1525" s="18">
        <f>IF($Z1525="","",IF(AND(DATE($AD1525,1,1)&gt;=$AE1525,DATE($AD1525,1,1)&lt;=$AF1525),ROUND($AG1525,2),0))</f>
        <v/>
      </c>
      <c r="K1525" s="18">
        <f>IF($Z1525="","",IF(AND(DATE($AD1525,2,1)&gt;=$AE1525,DATE($AD1525,2,1)&lt;=$AF1525),ROUND($AG1525,2),0))</f>
        <v/>
      </c>
      <c r="L1525" s="18">
        <f>IF($Z1525="","",IF(AND(DATE($AD1525,3,1)&gt;=$AE1525,DATE($AD1525,3,1)&lt;=$AF1525),ROUND($AG1525,2),0))</f>
        <v/>
      </c>
      <c r="M1525" s="18">
        <f>IF($Z1525="","",IF(AND(DATE($AD1525,4,1)&gt;=$AE1525,DATE($AD1525,4,1)&lt;=$AF1525),ROUND($AG1525,2),0))</f>
        <v/>
      </c>
      <c r="N1525" s="18">
        <f>IF($Z1525="","",IF(AND(DATE($AD1525,5,1)&gt;=$AE1525,DATE($AD1525,5,1)&lt;=$AF1525),ROUND($AG1525,2),0))</f>
        <v/>
      </c>
      <c r="O1525" s="18">
        <f>IF($Z1525="","",IF(AND(DATE($AD1525,6,1)&gt;=$AE1525,DATE($AD1525,6,1)&lt;=$AF1525),ROUND($AG1525,2),0))</f>
        <v/>
      </c>
      <c r="P1525" s="18">
        <f>IF($Z1525="","",IF(AND(DATE($AD1525,7,1)&gt;=$AE1525,DATE($AD1525,7,1)&lt;=$AF1525),ROUND($AG1525,2),0))</f>
        <v/>
      </c>
      <c r="Q1525" s="18">
        <f>IF($Z1525="","",IF(AND(DATE($AD1525,8,1)&gt;=$AE1525,DATE($AD1525,8,1)&lt;=$AF1525),ROUND($AG1525,2),0))</f>
        <v/>
      </c>
      <c r="R1525" s="18">
        <f>IF($Z1525="","",IF(AND(DATE($AD1525,9,1)&gt;=$AE1525,DATE($AD1525,9,1)&lt;=$AF1525),ROUND($AG1525,2),0))</f>
        <v/>
      </c>
      <c r="S1525" s="18">
        <f>IF($Z1525="","",IF(AND(DATE($AD1525,10,1)&gt;=$AE1525,DATE($AD1525,10,1)&lt;=$AF1525),ROUND($AG1525,2),0))</f>
        <v/>
      </c>
      <c r="T1525" s="18">
        <f>IF($Z1525="","",IF(AND(DATE($AD1525,11,1)&gt;=$AE1525,DATE($AD1525,11,1)&lt;=$AF1525),ROUND($AG1525,2),0))</f>
        <v/>
      </c>
      <c r="U1525" s="18">
        <f>IF($Z1525="","",IF(AND(DATE($AD1525,12,1)&gt;=$AE1525,DATE($AD1525,12,1)&lt;=$AF1525),ROUND($AG1525,2),0))</f>
        <v/>
      </c>
      <c r="V1525" s="7">
        <f>IF($Z1525="C","Generated from "&amp;INDEX(Contracts!$A$2:$A$151,$AB1525),IF($Z1525="A","Generated from "&amp;INDEX(Fixed_Assets!$A$2:$A$201,$AB1525),IF($Z1525="F","Generated from "&amp;INDEX(FTE_Allocation!$A$2:$A$201,$AB1525),"")))</f>
        <v/>
      </c>
      <c r="X1525" s="19">
        <f>IF($Z1525="","",SUM(J1525:U1525))</f>
        <v/>
      </c>
      <c r="Y1525" s="20">
        <f>ROW()-1</f>
        <v/>
      </c>
      <c r="Z1525" s="20">
        <f>IF($Y1525&lt;=Settings!$B$4*3,"C",IF($Y1525&lt;=(Settings!$B$4+Settings!$B$5)*3,"A",IF($Y1525&lt;=(Settings!$B$4+Settings!$B$5+Settings!$B$6)*3,"F","")))</f>
        <v/>
      </c>
      <c r="AA1525" s="20">
        <f>IF($Z1525="C",$Y1525,IF($Z1525="A",$Y1525-Settings!$B$4*3,IF($Z1525="F",$Y1525-(Settings!$B$4+Settings!$B$5)*3,"")))</f>
        <v/>
      </c>
      <c r="AB1525" s="20">
        <f>IF($Z1525="","",INT(($AA1525-1)/3)+1)</f>
        <v/>
      </c>
      <c r="AC1525" s="20">
        <f>IF($Z1525="","",MOD($AA1525-1,3)+1)</f>
        <v/>
      </c>
      <c r="AD1525" s="20">
        <f>IF($Z1525="","",Settings!$B$2+$AC1525-1)</f>
        <v/>
      </c>
      <c r="AE1525" s="21">
        <f>IF($Z1525="C",DATE(YEAR(INDEX(Contracts!$J$2:$J$151,$AB1525)),MONTH(INDEX(Contracts!$J$2:$J$151,$AB1525)),1),IF($Z1525="A",DATE(YEAR(INDEX(Fixed_Assets!$G$2:$G$201,$AB1525)),MONTH(INDEX(Fixed_Assets!$G$2:$G$201,$AB1525)),1),IF($Z1525="F",DATE(YEAR(MAX(N(INDEX(Workforce!$I$2:$I$151,MATCH(INDEX(FTE_Allocation!$A$2:$A$201,$AB1525),Workforce!$A$2:$A$151,0))),N(INDEX(FTE_Allocation!$I$2:$I$201,$AB1525)))),MONTH(MAX(N(INDEX(Workforce!$I$2:$I$151,MATCH(INDEX(FTE_Allocation!$A$2:$A$201,$AB1525),Workforce!$A$2:$A$151,0))),N(INDEX(FTE_Allocation!$I$2:$I$201,$AB1525)))),1),"")))</f>
        <v/>
      </c>
      <c r="AF1525" s="21">
        <f>IF($Z1525="C",IF(INDEX(Contracts!$I$2:$I$151,$AB1525)="PREPAID",EDATE(DATE(YEAR(INDEX(Contracts!$J$2:$J$151,$AB1525)),MONTH(INDEX(Contracts!$J$2:$J$151,$AB1525)),1),IF(INDEX(Contracts!$N$2:$N$151,$AB1525)="",12,INDEX(Contracts!$N$2:$N$151,$AB1525))-1),IF(INDEX(Contracts!$I$2:$I$151,$AB1525)="MONTHLY",IF(INDEX(Contracts!$K$2:$K$151,$AB1525)="",2958101,INDEX(Contracts!$K$2:$K$151,$AB1525)),0)),IF($Z1525="A",EDATE(DATE(YEAR(INDEX(Fixed_Assets!$G$2:$G$201,$AB1525)),MONTH(INDEX(Fixed_Assets!$G$2:$G$201,$AB1525)),1),INDEX(Fixed_Assets!$J$2:$J$201,$AB1525)-1),IF($Z1525="F",MIN(IF(INDEX(Workforce!$J$2:$J$151,MATCH(INDEX(FTE_Allocation!$A$2:$A$201,$AB1525),Workforce!$A$2:$A$151,0))="",2958101,INDEX(Workforce!$J$2:$J$151,MATCH(INDEX(FTE_Allocation!$A$2:$A$201,$AB1525),Workforce!$A$2:$A$151,0))),IF(INDEX(FTE_Allocation!$J$2:$J$201,$AB1525)="",2958101,INDEX(FTE_Allocation!$J$2:$J$201,$AB1525))),"")))</f>
        <v/>
      </c>
      <c r="AG1525" s="19">
        <f>IF($Z1525="C",IF(INDEX(Contracts!$I$2:$I$151,$AB1525)="PREPAID",INDEX(Contracts!$M$2:$M$151,$AB1525)/IF(INDEX(Contracts!$N$2:$N$151,$AB1525)="",12,INDEX(Contracts!$N$2:$N$151,$AB1525)),IF(INDEX(Contracts!$I$2:$I$151,$AB1525)="MONTHLY",INDEX(Contracts!$M$2:$M$151,$AB1525),0))*(1-N(INDEX(Contracts!$O$2:$O$151,$AB1525))),IF($Z1525="A",INDEX(Fixed_Assets!$H$2:$H$201,$AB1525)/INDEX(Fixed_Assets!$J$2:$J$201,$AB1525),IF($Z1525="F",INDEX(Workforce!$F$2:$F$151,MATCH(INDEX(FTE_Allocation!$A$2:$A$201,$AB1525),Workforce!$A$2:$A$151,0))*N(INDEX(FTE_Allocation!$F$2:$H$201,$AB1525,$AC1525)),"")))</f>
        <v/>
      </c>
    </row>
    <row r="1526">
      <c r="A1526" s="7">
        <f>IF($Z1526="","",$AD1526)</f>
        <v/>
      </c>
      <c r="B1526" s="7">
        <f>IF($Z1526="C",INDEX(Contracts!$D$2:$D$151,$AB1526)&amp;"",IF($Z1526="A",INDEX(Fixed_Assets!$C$2:$C$201,$AB1526)&amp;"",IF($Z1526="F",INDEX(Workforce!$B$2:$B$151,MATCH(INDEX(FTE_Allocation!$A$2:$A$201,$AB1526),Workforce!$A$2:$A$151,0))&amp;"","")))</f>
        <v/>
      </c>
      <c r="C1526" s="7">
        <f>IF($Z1526="C",INDEX(Contracts!$E$2:$E$151,$AB1526)&amp;"",IF($Z1526="A",INDEX(Fixed_Assets!$D$2:$D$201,$AB1526)&amp;"",IF($Z1526="F",INDEX(FTE_Allocation!$C$2:$C$201,$AB1526)&amp;"","")))</f>
        <v/>
      </c>
      <c r="D1526" s="7">
        <f>IF($Z1526="C",INDEX(Contracts!$B$2:$B$151,$AB1526)&amp;"",IF($Z1526="A",INDEX(Fixed_Assets!$B$2:$B$201,$AB1526)&amp;"",IF($Z1526="F",INDEX(FTE_Allocation!$B$2:$B$201,$AB1526)&amp;"","")))</f>
        <v/>
      </c>
      <c r="E1526" s="7">
        <f>IF($Z1526="C",INDEX(Contracts!$P$2:$P$151,$AB1526)&amp;"",IF($Z1526="A",INDEX(Fixed_Assets!$K$2:$K$201,$AB1526)&amp;"",IF($Z1526="F",IF(INDEX(FTE_Allocation!$D$2:$D$201,$AB1526)="PROJECT",IFERROR(INDEX(Projects!$D:$D,MATCH(INDEX(FTE_Allocation!$E$2:$E$201,$AB1526),Projects!$A:$A,0))&amp;"","#PROJECT?"),INDEX(FTE_Allocation!$E$2:$E$201,$AB1526)&amp;""),"")))</f>
        <v/>
      </c>
      <c r="F1526" s="7">
        <f>IF($Z1526="C",INDEX(Contracts!$Q$2:$Q$151,$AB1526)&amp;"",IF($Z1526="A",INDEX(Fixed_Assets!$L$2:$L$201,$AB1526)&amp;"",IF($Z1526="F",INDEX(Workforce!$K$2:$K$151,MATCH(INDEX(FTE_Allocation!$A$2:$A$201,$AB1526),Workforce!$A$2:$A$151,0))&amp;"","")))</f>
        <v/>
      </c>
      <c r="G1526" s="7">
        <f>IF($Z1526="C",INDEX(Contracts!$F$2:$F$151,$AB1526)&amp;" / "&amp;INDEX(Contracts!$G$2:$G$151,$AB1526),IF($Z1526="A",INDEX(Fixed_Assets!$E$2:$E$201,$AB1526)&amp;"",IF($Z1526="F","Personnel "&amp;INDEX(FTE_Allocation!$A$2:$A$201,$AB1526)&amp;IF(INDEX(FTE_Allocation!$D$2:$D$201,$AB1526)="PROJECT"," ("&amp;INDEX(FTE_Allocation!$E$2:$E$201,$AB1526)&amp;")",""),"")))</f>
        <v/>
      </c>
      <c r="H1526" s="7">
        <f>IF($Z1526="C","CONTRACT",IF($Z1526="A","ASSET",IF($Z1526="F","WORKFORCE","")))</f>
        <v/>
      </c>
      <c r="I1526" s="7">
        <f>IF($Z1526="C",INDEX(Contracts!$L$2:$L$151,$AB1526)&amp;"",IF($Z1526="A",INDEX(Fixed_Assets!$I$2:$I$201,$AB1526)&amp;"",IF($Z1526="F",INDEX(Workforce!$G$2:$G$151,MATCH(INDEX(FTE_Allocation!$A$2:$A$201,$AB1526),Workforce!$A$2:$A$151,0))&amp;"","")))</f>
        <v/>
      </c>
      <c r="J1526" s="18">
        <f>IF($Z1526="","",IF(AND(DATE($AD1526,1,1)&gt;=$AE1526,DATE($AD1526,1,1)&lt;=$AF1526),ROUND($AG1526,2),0))</f>
        <v/>
      </c>
      <c r="K1526" s="18">
        <f>IF($Z1526="","",IF(AND(DATE($AD1526,2,1)&gt;=$AE1526,DATE($AD1526,2,1)&lt;=$AF1526),ROUND($AG1526,2),0))</f>
        <v/>
      </c>
      <c r="L1526" s="18">
        <f>IF($Z1526="","",IF(AND(DATE($AD1526,3,1)&gt;=$AE1526,DATE($AD1526,3,1)&lt;=$AF1526),ROUND($AG1526,2),0))</f>
        <v/>
      </c>
      <c r="M1526" s="18">
        <f>IF($Z1526="","",IF(AND(DATE($AD1526,4,1)&gt;=$AE1526,DATE($AD1526,4,1)&lt;=$AF1526),ROUND($AG1526,2),0))</f>
        <v/>
      </c>
      <c r="N1526" s="18">
        <f>IF($Z1526="","",IF(AND(DATE($AD1526,5,1)&gt;=$AE1526,DATE($AD1526,5,1)&lt;=$AF1526),ROUND($AG1526,2),0))</f>
        <v/>
      </c>
      <c r="O1526" s="18">
        <f>IF($Z1526="","",IF(AND(DATE($AD1526,6,1)&gt;=$AE1526,DATE($AD1526,6,1)&lt;=$AF1526),ROUND($AG1526,2),0))</f>
        <v/>
      </c>
      <c r="P1526" s="18">
        <f>IF($Z1526="","",IF(AND(DATE($AD1526,7,1)&gt;=$AE1526,DATE($AD1526,7,1)&lt;=$AF1526),ROUND($AG1526,2),0))</f>
        <v/>
      </c>
      <c r="Q1526" s="18">
        <f>IF($Z1526="","",IF(AND(DATE($AD1526,8,1)&gt;=$AE1526,DATE($AD1526,8,1)&lt;=$AF1526),ROUND($AG1526,2),0))</f>
        <v/>
      </c>
      <c r="R1526" s="18">
        <f>IF($Z1526="","",IF(AND(DATE($AD1526,9,1)&gt;=$AE1526,DATE($AD1526,9,1)&lt;=$AF1526),ROUND($AG1526,2),0))</f>
        <v/>
      </c>
      <c r="S1526" s="18">
        <f>IF($Z1526="","",IF(AND(DATE($AD1526,10,1)&gt;=$AE1526,DATE($AD1526,10,1)&lt;=$AF1526),ROUND($AG1526,2),0))</f>
        <v/>
      </c>
      <c r="T1526" s="18">
        <f>IF($Z1526="","",IF(AND(DATE($AD1526,11,1)&gt;=$AE1526,DATE($AD1526,11,1)&lt;=$AF1526),ROUND($AG1526,2),0))</f>
        <v/>
      </c>
      <c r="U1526" s="18">
        <f>IF($Z1526="","",IF(AND(DATE($AD1526,12,1)&gt;=$AE1526,DATE($AD1526,12,1)&lt;=$AF1526),ROUND($AG1526,2),0))</f>
        <v/>
      </c>
      <c r="V1526" s="7">
        <f>IF($Z1526="C","Generated from "&amp;INDEX(Contracts!$A$2:$A$151,$AB1526),IF($Z1526="A","Generated from "&amp;INDEX(Fixed_Assets!$A$2:$A$201,$AB1526),IF($Z1526="F","Generated from "&amp;INDEX(FTE_Allocation!$A$2:$A$201,$AB1526),"")))</f>
        <v/>
      </c>
      <c r="X1526" s="19">
        <f>IF($Z1526="","",SUM(J1526:U1526))</f>
        <v/>
      </c>
      <c r="Y1526" s="20">
        <f>ROW()-1</f>
        <v/>
      </c>
      <c r="Z1526" s="20">
        <f>IF($Y1526&lt;=Settings!$B$4*3,"C",IF($Y1526&lt;=(Settings!$B$4+Settings!$B$5)*3,"A",IF($Y1526&lt;=(Settings!$B$4+Settings!$B$5+Settings!$B$6)*3,"F","")))</f>
        <v/>
      </c>
      <c r="AA1526" s="20">
        <f>IF($Z1526="C",$Y1526,IF($Z1526="A",$Y1526-Settings!$B$4*3,IF($Z1526="F",$Y1526-(Settings!$B$4+Settings!$B$5)*3,"")))</f>
        <v/>
      </c>
      <c r="AB1526" s="20">
        <f>IF($Z1526="","",INT(($AA1526-1)/3)+1)</f>
        <v/>
      </c>
      <c r="AC1526" s="20">
        <f>IF($Z1526="","",MOD($AA1526-1,3)+1)</f>
        <v/>
      </c>
      <c r="AD1526" s="20">
        <f>IF($Z1526="","",Settings!$B$2+$AC1526-1)</f>
        <v/>
      </c>
      <c r="AE1526" s="21">
        <f>IF($Z1526="C",DATE(YEAR(INDEX(Contracts!$J$2:$J$151,$AB1526)),MONTH(INDEX(Contracts!$J$2:$J$151,$AB1526)),1),IF($Z1526="A",DATE(YEAR(INDEX(Fixed_Assets!$G$2:$G$201,$AB1526)),MONTH(INDEX(Fixed_Assets!$G$2:$G$201,$AB1526)),1),IF($Z1526="F",DATE(YEAR(MAX(N(INDEX(Workforce!$I$2:$I$151,MATCH(INDEX(FTE_Allocation!$A$2:$A$201,$AB1526),Workforce!$A$2:$A$151,0))),N(INDEX(FTE_Allocation!$I$2:$I$201,$AB1526)))),MONTH(MAX(N(INDEX(Workforce!$I$2:$I$151,MATCH(INDEX(FTE_Allocation!$A$2:$A$201,$AB1526),Workforce!$A$2:$A$151,0))),N(INDEX(FTE_Allocation!$I$2:$I$201,$AB1526)))),1),"")))</f>
        <v/>
      </c>
      <c r="AF1526" s="21">
        <f>IF($Z1526="C",IF(INDEX(Contracts!$I$2:$I$151,$AB1526)="PREPAID",EDATE(DATE(YEAR(INDEX(Contracts!$J$2:$J$151,$AB1526)),MONTH(INDEX(Contracts!$J$2:$J$151,$AB1526)),1),IF(INDEX(Contracts!$N$2:$N$151,$AB1526)="",12,INDEX(Contracts!$N$2:$N$151,$AB1526))-1),IF(INDEX(Contracts!$I$2:$I$151,$AB1526)="MONTHLY",IF(INDEX(Contracts!$K$2:$K$151,$AB1526)="",2958101,INDEX(Contracts!$K$2:$K$151,$AB1526)),0)),IF($Z1526="A",EDATE(DATE(YEAR(INDEX(Fixed_Assets!$G$2:$G$201,$AB1526)),MONTH(INDEX(Fixed_Assets!$G$2:$G$201,$AB1526)),1),INDEX(Fixed_Assets!$J$2:$J$201,$AB1526)-1),IF($Z1526="F",MIN(IF(INDEX(Workforce!$J$2:$J$151,MATCH(INDEX(FTE_Allocation!$A$2:$A$201,$AB1526),Workforce!$A$2:$A$151,0))="",2958101,INDEX(Workforce!$J$2:$J$151,MATCH(INDEX(FTE_Allocation!$A$2:$A$201,$AB1526),Workforce!$A$2:$A$151,0))),IF(INDEX(FTE_Allocation!$J$2:$J$201,$AB1526)="",2958101,INDEX(FTE_Allocation!$J$2:$J$201,$AB1526))),"")))</f>
        <v/>
      </c>
      <c r="AG1526" s="19">
        <f>IF($Z1526="C",IF(INDEX(Contracts!$I$2:$I$151,$AB1526)="PREPAID",INDEX(Contracts!$M$2:$M$151,$AB1526)/IF(INDEX(Contracts!$N$2:$N$151,$AB1526)="",12,INDEX(Contracts!$N$2:$N$151,$AB1526)),IF(INDEX(Contracts!$I$2:$I$151,$AB1526)="MONTHLY",INDEX(Contracts!$M$2:$M$151,$AB1526),0))*(1-N(INDEX(Contracts!$O$2:$O$151,$AB1526))),IF($Z1526="A",INDEX(Fixed_Assets!$H$2:$H$201,$AB1526)/INDEX(Fixed_Assets!$J$2:$J$201,$AB1526),IF($Z1526="F",INDEX(Workforce!$F$2:$F$151,MATCH(INDEX(FTE_Allocation!$A$2:$A$201,$AB1526),Workforce!$A$2:$A$151,0))*N(INDEX(FTE_Allocation!$F$2:$H$201,$AB1526,$AC1526)),"")))</f>
        <v/>
      </c>
    </row>
    <row r="1527">
      <c r="A1527" s="7">
        <f>IF($Z1527="","",$AD1527)</f>
        <v/>
      </c>
      <c r="B1527" s="7">
        <f>IF($Z1527="C",INDEX(Contracts!$D$2:$D$151,$AB1527)&amp;"",IF($Z1527="A",INDEX(Fixed_Assets!$C$2:$C$201,$AB1527)&amp;"",IF($Z1527="F",INDEX(Workforce!$B$2:$B$151,MATCH(INDEX(FTE_Allocation!$A$2:$A$201,$AB1527),Workforce!$A$2:$A$151,0))&amp;"","")))</f>
        <v/>
      </c>
      <c r="C1527" s="7">
        <f>IF($Z1527="C",INDEX(Contracts!$E$2:$E$151,$AB1527)&amp;"",IF($Z1527="A",INDEX(Fixed_Assets!$D$2:$D$201,$AB1527)&amp;"",IF($Z1527="F",INDEX(FTE_Allocation!$C$2:$C$201,$AB1527)&amp;"","")))</f>
        <v/>
      </c>
      <c r="D1527" s="7">
        <f>IF($Z1527="C",INDEX(Contracts!$B$2:$B$151,$AB1527)&amp;"",IF($Z1527="A",INDEX(Fixed_Assets!$B$2:$B$201,$AB1527)&amp;"",IF($Z1527="F",INDEX(FTE_Allocation!$B$2:$B$201,$AB1527)&amp;"","")))</f>
        <v/>
      </c>
      <c r="E1527" s="7">
        <f>IF($Z1527="C",INDEX(Contracts!$P$2:$P$151,$AB1527)&amp;"",IF($Z1527="A",INDEX(Fixed_Assets!$K$2:$K$201,$AB1527)&amp;"",IF($Z1527="F",IF(INDEX(FTE_Allocation!$D$2:$D$201,$AB1527)="PROJECT",IFERROR(INDEX(Projects!$D:$D,MATCH(INDEX(FTE_Allocation!$E$2:$E$201,$AB1527),Projects!$A:$A,0))&amp;"","#PROJECT?"),INDEX(FTE_Allocation!$E$2:$E$201,$AB1527)&amp;""),"")))</f>
        <v/>
      </c>
      <c r="F1527" s="7">
        <f>IF($Z1527="C",INDEX(Contracts!$Q$2:$Q$151,$AB1527)&amp;"",IF($Z1527="A",INDEX(Fixed_Assets!$L$2:$L$201,$AB1527)&amp;"",IF($Z1527="F",INDEX(Workforce!$K$2:$K$151,MATCH(INDEX(FTE_Allocation!$A$2:$A$201,$AB1527),Workforce!$A$2:$A$151,0))&amp;"","")))</f>
        <v/>
      </c>
      <c r="G1527" s="7">
        <f>IF($Z1527="C",INDEX(Contracts!$F$2:$F$151,$AB1527)&amp;" / "&amp;INDEX(Contracts!$G$2:$G$151,$AB1527),IF($Z1527="A",INDEX(Fixed_Assets!$E$2:$E$201,$AB1527)&amp;"",IF($Z1527="F","Personnel "&amp;INDEX(FTE_Allocation!$A$2:$A$201,$AB1527)&amp;IF(INDEX(FTE_Allocation!$D$2:$D$201,$AB1527)="PROJECT"," ("&amp;INDEX(FTE_Allocation!$E$2:$E$201,$AB1527)&amp;")",""),"")))</f>
        <v/>
      </c>
      <c r="H1527" s="7">
        <f>IF($Z1527="C","CONTRACT",IF($Z1527="A","ASSET",IF($Z1527="F","WORKFORCE","")))</f>
        <v/>
      </c>
      <c r="I1527" s="7">
        <f>IF($Z1527="C",INDEX(Contracts!$L$2:$L$151,$AB1527)&amp;"",IF($Z1527="A",INDEX(Fixed_Assets!$I$2:$I$201,$AB1527)&amp;"",IF($Z1527="F",INDEX(Workforce!$G$2:$G$151,MATCH(INDEX(FTE_Allocation!$A$2:$A$201,$AB1527),Workforce!$A$2:$A$151,0))&amp;"","")))</f>
        <v/>
      </c>
      <c r="J1527" s="18">
        <f>IF($Z1527="","",IF(AND(DATE($AD1527,1,1)&gt;=$AE1527,DATE($AD1527,1,1)&lt;=$AF1527),ROUND($AG1527,2),0))</f>
        <v/>
      </c>
      <c r="K1527" s="18">
        <f>IF($Z1527="","",IF(AND(DATE($AD1527,2,1)&gt;=$AE1527,DATE($AD1527,2,1)&lt;=$AF1527),ROUND($AG1527,2),0))</f>
        <v/>
      </c>
      <c r="L1527" s="18">
        <f>IF($Z1527="","",IF(AND(DATE($AD1527,3,1)&gt;=$AE1527,DATE($AD1527,3,1)&lt;=$AF1527),ROUND($AG1527,2),0))</f>
        <v/>
      </c>
      <c r="M1527" s="18">
        <f>IF($Z1527="","",IF(AND(DATE($AD1527,4,1)&gt;=$AE1527,DATE($AD1527,4,1)&lt;=$AF1527),ROUND($AG1527,2),0))</f>
        <v/>
      </c>
      <c r="N1527" s="18">
        <f>IF($Z1527="","",IF(AND(DATE($AD1527,5,1)&gt;=$AE1527,DATE($AD1527,5,1)&lt;=$AF1527),ROUND($AG1527,2),0))</f>
        <v/>
      </c>
      <c r="O1527" s="18">
        <f>IF($Z1527="","",IF(AND(DATE($AD1527,6,1)&gt;=$AE1527,DATE($AD1527,6,1)&lt;=$AF1527),ROUND($AG1527,2),0))</f>
        <v/>
      </c>
      <c r="P1527" s="18">
        <f>IF($Z1527="","",IF(AND(DATE($AD1527,7,1)&gt;=$AE1527,DATE($AD1527,7,1)&lt;=$AF1527),ROUND($AG1527,2),0))</f>
        <v/>
      </c>
      <c r="Q1527" s="18">
        <f>IF($Z1527="","",IF(AND(DATE($AD1527,8,1)&gt;=$AE1527,DATE($AD1527,8,1)&lt;=$AF1527),ROUND($AG1527,2),0))</f>
        <v/>
      </c>
      <c r="R1527" s="18">
        <f>IF($Z1527="","",IF(AND(DATE($AD1527,9,1)&gt;=$AE1527,DATE($AD1527,9,1)&lt;=$AF1527),ROUND($AG1527,2),0))</f>
        <v/>
      </c>
      <c r="S1527" s="18">
        <f>IF($Z1527="","",IF(AND(DATE($AD1527,10,1)&gt;=$AE1527,DATE($AD1527,10,1)&lt;=$AF1527),ROUND($AG1527,2),0))</f>
        <v/>
      </c>
      <c r="T1527" s="18">
        <f>IF($Z1527="","",IF(AND(DATE($AD1527,11,1)&gt;=$AE1527,DATE($AD1527,11,1)&lt;=$AF1527),ROUND($AG1527,2),0))</f>
        <v/>
      </c>
      <c r="U1527" s="18">
        <f>IF($Z1527="","",IF(AND(DATE($AD1527,12,1)&gt;=$AE1527,DATE($AD1527,12,1)&lt;=$AF1527),ROUND($AG1527,2),0))</f>
        <v/>
      </c>
      <c r="V1527" s="7">
        <f>IF($Z1527="C","Generated from "&amp;INDEX(Contracts!$A$2:$A$151,$AB1527),IF($Z1527="A","Generated from "&amp;INDEX(Fixed_Assets!$A$2:$A$201,$AB1527),IF($Z1527="F","Generated from "&amp;INDEX(FTE_Allocation!$A$2:$A$201,$AB1527),"")))</f>
        <v/>
      </c>
      <c r="X1527" s="19">
        <f>IF($Z1527="","",SUM(J1527:U1527))</f>
        <v/>
      </c>
      <c r="Y1527" s="20">
        <f>ROW()-1</f>
        <v/>
      </c>
      <c r="Z1527" s="20">
        <f>IF($Y1527&lt;=Settings!$B$4*3,"C",IF($Y1527&lt;=(Settings!$B$4+Settings!$B$5)*3,"A",IF($Y1527&lt;=(Settings!$B$4+Settings!$B$5+Settings!$B$6)*3,"F","")))</f>
        <v/>
      </c>
      <c r="AA1527" s="20">
        <f>IF($Z1527="C",$Y1527,IF($Z1527="A",$Y1527-Settings!$B$4*3,IF($Z1527="F",$Y1527-(Settings!$B$4+Settings!$B$5)*3,"")))</f>
        <v/>
      </c>
      <c r="AB1527" s="20">
        <f>IF($Z1527="","",INT(($AA1527-1)/3)+1)</f>
        <v/>
      </c>
      <c r="AC1527" s="20">
        <f>IF($Z1527="","",MOD($AA1527-1,3)+1)</f>
        <v/>
      </c>
      <c r="AD1527" s="20">
        <f>IF($Z1527="","",Settings!$B$2+$AC1527-1)</f>
        <v/>
      </c>
      <c r="AE1527" s="21">
        <f>IF($Z1527="C",DATE(YEAR(INDEX(Contracts!$J$2:$J$151,$AB1527)),MONTH(INDEX(Contracts!$J$2:$J$151,$AB1527)),1),IF($Z1527="A",DATE(YEAR(INDEX(Fixed_Assets!$G$2:$G$201,$AB1527)),MONTH(INDEX(Fixed_Assets!$G$2:$G$201,$AB1527)),1),IF($Z1527="F",DATE(YEAR(MAX(N(INDEX(Workforce!$I$2:$I$151,MATCH(INDEX(FTE_Allocation!$A$2:$A$201,$AB1527),Workforce!$A$2:$A$151,0))),N(INDEX(FTE_Allocation!$I$2:$I$201,$AB1527)))),MONTH(MAX(N(INDEX(Workforce!$I$2:$I$151,MATCH(INDEX(FTE_Allocation!$A$2:$A$201,$AB1527),Workforce!$A$2:$A$151,0))),N(INDEX(FTE_Allocation!$I$2:$I$201,$AB1527)))),1),"")))</f>
        <v/>
      </c>
      <c r="AF1527" s="21">
        <f>IF($Z1527="C",IF(INDEX(Contracts!$I$2:$I$151,$AB1527)="PREPAID",EDATE(DATE(YEAR(INDEX(Contracts!$J$2:$J$151,$AB1527)),MONTH(INDEX(Contracts!$J$2:$J$151,$AB1527)),1),IF(INDEX(Contracts!$N$2:$N$151,$AB1527)="",12,INDEX(Contracts!$N$2:$N$151,$AB1527))-1),IF(INDEX(Contracts!$I$2:$I$151,$AB1527)="MONTHLY",IF(INDEX(Contracts!$K$2:$K$151,$AB1527)="",2958101,INDEX(Contracts!$K$2:$K$151,$AB1527)),0)),IF($Z1527="A",EDATE(DATE(YEAR(INDEX(Fixed_Assets!$G$2:$G$201,$AB1527)),MONTH(INDEX(Fixed_Assets!$G$2:$G$201,$AB1527)),1),INDEX(Fixed_Assets!$J$2:$J$201,$AB1527)-1),IF($Z1527="F",MIN(IF(INDEX(Workforce!$J$2:$J$151,MATCH(INDEX(FTE_Allocation!$A$2:$A$201,$AB1527),Workforce!$A$2:$A$151,0))="",2958101,INDEX(Workforce!$J$2:$J$151,MATCH(INDEX(FTE_Allocation!$A$2:$A$201,$AB1527),Workforce!$A$2:$A$151,0))),IF(INDEX(FTE_Allocation!$J$2:$J$201,$AB1527)="",2958101,INDEX(FTE_Allocation!$J$2:$J$201,$AB1527))),"")))</f>
        <v/>
      </c>
      <c r="AG1527" s="19">
        <f>IF($Z1527="C",IF(INDEX(Contracts!$I$2:$I$151,$AB1527)="PREPAID",INDEX(Contracts!$M$2:$M$151,$AB1527)/IF(INDEX(Contracts!$N$2:$N$151,$AB1527)="",12,INDEX(Contracts!$N$2:$N$151,$AB1527)),IF(INDEX(Contracts!$I$2:$I$151,$AB1527)="MONTHLY",INDEX(Contracts!$M$2:$M$151,$AB1527),0))*(1-N(INDEX(Contracts!$O$2:$O$151,$AB1527))),IF($Z1527="A",INDEX(Fixed_Assets!$H$2:$H$201,$AB1527)/INDEX(Fixed_Assets!$J$2:$J$201,$AB1527),IF($Z1527="F",INDEX(Workforce!$F$2:$F$151,MATCH(INDEX(FTE_Allocation!$A$2:$A$201,$AB1527),Workforce!$A$2:$A$151,0))*N(INDEX(FTE_Allocation!$F$2:$H$201,$AB1527,$AC1527)),"")))</f>
        <v/>
      </c>
    </row>
    <row r="1528">
      <c r="A1528" s="7">
        <f>IF($Z1528="","",$AD1528)</f>
        <v/>
      </c>
      <c r="B1528" s="7">
        <f>IF($Z1528="C",INDEX(Contracts!$D$2:$D$151,$AB1528)&amp;"",IF($Z1528="A",INDEX(Fixed_Assets!$C$2:$C$201,$AB1528)&amp;"",IF($Z1528="F",INDEX(Workforce!$B$2:$B$151,MATCH(INDEX(FTE_Allocation!$A$2:$A$201,$AB1528),Workforce!$A$2:$A$151,0))&amp;"","")))</f>
        <v/>
      </c>
      <c r="C1528" s="7">
        <f>IF($Z1528="C",INDEX(Contracts!$E$2:$E$151,$AB1528)&amp;"",IF($Z1528="A",INDEX(Fixed_Assets!$D$2:$D$201,$AB1528)&amp;"",IF($Z1528="F",INDEX(FTE_Allocation!$C$2:$C$201,$AB1528)&amp;"","")))</f>
        <v/>
      </c>
      <c r="D1528" s="7">
        <f>IF($Z1528="C",INDEX(Contracts!$B$2:$B$151,$AB1528)&amp;"",IF($Z1528="A",INDEX(Fixed_Assets!$B$2:$B$201,$AB1528)&amp;"",IF($Z1528="F",INDEX(FTE_Allocation!$B$2:$B$201,$AB1528)&amp;"","")))</f>
        <v/>
      </c>
      <c r="E1528" s="7">
        <f>IF($Z1528="C",INDEX(Contracts!$P$2:$P$151,$AB1528)&amp;"",IF($Z1528="A",INDEX(Fixed_Assets!$K$2:$K$201,$AB1528)&amp;"",IF($Z1528="F",IF(INDEX(FTE_Allocation!$D$2:$D$201,$AB1528)="PROJECT",IFERROR(INDEX(Projects!$D:$D,MATCH(INDEX(FTE_Allocation!$E$2:$E$201,$AB1528),Projects!$A:$A,0))&amp;"","#PROJECT?"),INDEX(FTE_Allocation!$E$2:$E$201,$AB1528)&amp;""),"")))</f>
        <v/>
      </c>
      <c r="F1528" s="7">
        <f>IF($Z1528="C",INDEX(Contracts!$Q$2:$Q$151,$AB1528)&amp;"",IF($Z1528="A",INDEX(Fixed_Assets!$L$2:$L$201,$AB1528)&amp;"",IF($Z1528="F",INDEX(Workforce!$K$2:$K$151,MATCH(INDEX(FTE_Allocation!$A$2:$A$201,$AB1528),Workforce!$A$2:$A$151,0))&amp;"","")))</f>
        <v/>
      </c>
      <c r="G1528" s="7">
        <f>IF($Z1528="C",INDEX(Contracts!$F$2:$F$151,$AB1528)&amp;" / "&amp;INDEX(Contracts!$G$2:$G$151,$AB1528),IF($Z1528="A",INDEX(Fixed_Assets!$E$2:$E$201,$AB1528)&amp;"",IF($Z1528="F","Personnel "&amp;INDEX(FTE_Allocation!$A$2:$A$201,$AB1528)&amp;IF(INDEX(FTE_Allocation!$D$2:$D$201,$AB1528)="PROJECT"," ("&amp;INDEX(FTE_Allocation!$E$2:$E$201,$AB1528)&amp;")",""),"")))</f>
        <v/>
      </c>
      <c r="H1528" s="7">
        <f>IF($Z1528="C","CONTRACT",IF($Z1528="A","ASSET",IF($Z1528="F","WORKFORCE","")))</f>
        <v/>
      </c>
      <c r="I1528" s="7">
        <f>IF($Z1528="C",INDEX(Contracts!$L$2:$L$151,$AB1528)&amp;"",IF($Z1528="A",INDEX(Fixed_Assets!$I$2:$I$201,$AB1528)&amp;"",IF($Z1528="F",INDEX(Workforce!$G$2:$G$151,MATCH(INDEX(FTE_Allocation!$A$2:$A$201,$AB1528),Workforce!$A$2:$A$151,0))&amp;"","")))</f>
        <v/>
      </c>
      <c r="J1528" s="18">
        <f>IF($Z1528="","",IF(AND(DATE($AD1528,1,1)&gt;=$AE1528,DATE($AD1528,1,1)&lt;=$AF1528),ROUND($AG1528,2),0))</f>
        <v/>
      </c>
      <c r="K1528" s="18">
        <f>IF($Z1528="","",IF(AND(DATE($AD1528,2,1)&gt;=$AE1528,DATE($AD1528,2,1)&lt;=$AF1528),ROUND($AG1528,2),0))</f>
        <v/>
      </c>
      <c r="L1528" s="18">
        <f>IF($Z1528="","",IF(AND(DATE($AD1528,3,1)&gt;=$AE1528,DATE($AD1528,3,1)&lt;=$AF1528),ROUND($AG1528,2),0))</f>
        <v/>
      </c>
      <c r="M1528" s="18">
        <f>IF($Z1528="","",IF(AND(DATE($AD1528,4,1)&gt;=$AE1528,DATE($AD1528,4,1)&lt;=$AF1528),ROUND($AG1528,2),0))</f>
        <v/>
      </c>
      <c r="N1528" s="18">
        <f>IF($Z1528="","",IF(AND(DATE($AD1528,5,1)&gt;=$AE1528,DATE($AD1528,5,1)&lt;=$AF1528),ROUND($AG1528,2),0))</f>
        <v/>
      </c>
      <c r="O1528" s="18">
        <f>IF($Z1528="","",IF(AND(DATE($AD1528,6,1)&gt;=$AE1528,DATE($AD1528,6,1)&lt;=$AF1528),ROUND($AG1528,2),0))</f>
        <v/>
      </c>
      <c r="P1528" s="18">
        <f>IF($Z1528="","",IF(AND(DATE($AD1528,7,1)&gt;=$AE1528,DATE($AD1528,7,1)&lt;=$AF1528),ROUND($AG1528,2),0))</f>
        <v/>
      </c>
      <c r="Q1528" s="18">
        <f>IF($Z1528="","",IF(AND(DATE($AD1528,8,1)&gt;=$AE1528,DATE($AD1528,8,1)&lt;=$AF1528),ROUND($AG1528,2),0))</f>
        <v/>
      </c>
      <c r="R1528" s="18">
        <f>IF($Z1528="","",IF(AND(DATE($AD1528,9,1)&gt;=$AE1528,DATE($AD1528,9,1)&lt;=$AF1528),ROUND($AG1528,2),0))</f>
        <v/>
      </c>
      <c r="S1528" s="18">
        <f>IF($Z1528="","",IF(AND(DATE($AD1528,10,1)&gt;=$AE1528,DATE($AD1528,10,1)&lt;=$AF1528),ROUND($AG1528,2),0))</f>
        <v/>
      </c>
      <c r="T1528" s="18">
        <f>IF($Z1528="","",IF(AND(DATE($AD1528,11,1)&gt;=$AE1528,DATE($AD1528,11,1)&lt;=$AF1528),ROUND($AG1528,2),0))</f>
        <v/>
      </c>
      <c r="U1528" s="18">
        <f>IF($Z1528="","",IF(AND(DATE($AD1528,12,1)&gt;=$AE1528,DATE($AD1528,12,1)&lt;=$AF1528),ROUND($AG1528,2),0))</f>
        <v/>
      </c>
      <c r="V1528" s="7">
        <f>IF($Z1528="C","Generated from "&amp;INDEX(Contracts!$A$2:$A$151,$AB1528),IF($Z1528="A","Generated from "&amp;INDEX(Fixed_Assets!$A$2:$A$201,$AB1528),IF($Z1528="F","Generated from "&amp;INDEX(FTE_Allocation!$A$2:$A$201,$AB1528),"")))</f>
        <v/>
      </c>
      <c r="X1528" s="19">
        <f>IF($Z1528="","",SUM(J1528:U1528))</f>
        <v/>
      </c>
      <c r="Y1528" s="20">
        <f>ROW()-1</f>
        <v/>
      </c>
      <c r="Z1528" s="20">
        <f>IF($Y1528&lt;=Settings!$B$4*3,"C",IF($Y1528&lt;=(Settings!$B$4+Settings!$B$5)*3,"A",IF($Y1528&lt;=(Settings!$B$4+Settings!$B$5+Settings!$B$6)*3,"F","")))</f>
        <v/>
      </c>
      <c r="AA1528" s="20">
        <f>IF($Z1528="C",$Y1528,IF($Z1528="A",$Y1528-Settings!$B$4*3,IF($Z1528="F",$Y1528-(Settings!$B$4+Settings!$B$5)*3,"")))</f>
        <v/>
      </c>
      <c r="AB1528" s="20">
        <f>IF($Z1528="","",INT(($AA1528-1)/3)+1)</f>
        <v/>
      </c>
      <c r="AC1528" s="20">
        <f>IF($Z1528="","",MOD($AA1528-1,3)+1)</f>
        <v/>
      </c>
      <c r="AD1528" s="20">
        <f>IF($Z1528="","",Settings!$B$2+$AC1528-1)</f>
        <v/>
      </c>
      <c r="AE1528" s="21">
        <f>IF($Z1528="C",DATE(YEAR(INDEX(Contracts!$J$2:$J$151,$AB1528)),MONTH(INDEX(Contracts!$J$2:$J$151,$AB1528)),1),IF($Z1528="A",DATE(YEAR(INDEX(Fixed_Assets!$G$2:$G$201,$AB1528)),MONTH(INDEX(Fixed_Assets!$G$2:$G$201,$AB1528)),1),IF($Z1528="F",DATE(YEAR(MAX(N(INDEX(Workforce!$I$2:$I$151,MATCH(INDEX(FTE_Allocation!$A$2:$A$201,$AB1528),Workforce!$A$2:$A$151,0))),N(INDEX(FTE_Allocation!$I$2:$I$201,$AB1528)))),MONTH(MAX(N(INDEX(Workforce!$I$2:$I$151,MATCH(INDEX(FTE_Allocation!$A$2:$A$201,$AB1528),Workforce!$A$2:$A$151,0))),N(INDEX(FTE_Allocation!$I$2:$I$201,$AB1528)))),1),"")))</f>
        <v/>
      </c>
      <c r="AF1528" s="21">
        <f>IF($Z1528="C",IF(INDEX(Contracts!$I$2:$I$151,$AB1528)="PREPAID",EDATE(DATE(YEAR(INDEX(Contracts!$J$2:$J$151,$AB1528)),MONTH(INDEX(Contracts!$J$2:$J$151,$AB1528)),1),IF(INDEX(Contracts!$N$2:$N$151,$AB1528)="",12,INDEX(Contracts!$N$2:$N$151,$AB1528))-1),IF(INDEX(Contracts!$I$2:$I$151,$AB1528)="MONTHLY",IF(INDEX(Contracts!$K$2:$K$151,$AB1528)="",2958101,INDEX(Contracts!$K$2:$K$151,$AB1528)),0)),IF($Z1528="A",EDATE(DATE(YEAR(INDEX(Fixed_Assets!$G$2:$G$201,$AB1528)),MONTH(INDEX(Fixed_Assets!$G$2:$G$201,$AB1528)),1),INDEX(Fixed_Assets!$J$2:$J$201,$AB1528)-1),IF($Z1528="F",MIN(IF(INDEX(Workforce!$J$2:$J$151,MATCH(INDEX(FTE_Allocation!$A$2:$A$201,$AB1528),Workforce!$A$2:$A$151,0))="",2958101,INDEX(Workforce!$J$2:$J$151,MATCH(INDEX(FTE_Allocation!$A$2:$A$201,$AB1528),Workforce!$A$2:$A$151,0))),IF(INDEX(FTE_Allocation!$J$2:$J$201,$AB1528)="",2958101,INDEX(FTE_Allocation!$J$2:$J$201,$AB1528))),"")))</f>
        <v/>
      </c>
      <c r="AG1528" s="19">
        <f>IF($Z1528="C",IF(INDEX(Contracts!$I$2:$I$151,$AB1528)="PREPAID",INDEX(Contracts!$M$2:$M$151,$AB1528)/IF(INDEX(Contracts!$N$2:$N$151,$AB1528)="",12,INDEX(Contracts!$N$2:$N$151,$AB1528)),IF(INDEX(Contracts!$I$2:$I$151,$AB1528)="MONTHLY",INDEX(Contracts!$M$2:$M$151,$AB1528),0))*(1-N(INDEX(Contracts!$O$2:$O$151,$AB1528))),IF($Z1528="A",INDEX(Fixed_Assets!$H$2:$H$201,$AB1528)/INDEX(Fixed_Assets!$J$2:$J$201,$AB1528),IF($Z1528="F",INDEX(Workforce!$F$2:$F$151,MATCH(INDEX(FTE_Allocation!$A$2:$A$201,$AB1528),Workforce!$A$2:$A$151,0))*N(INDEX(FTE_Allocation!$F$2:$H$201,$AB1528,$AC1528)),"")))</f>
        <v/>
      </c>
    </row>
    <row r="1529">
      <c r="A1529" s="7">
        <f>IF($Z1529="","",$AD1529)</f>
        <v/>
      </c>
      <c r="B1529" s="7">
        <f>IF($Z1529="C",INDEX(Contracts!$D$2:$D$151,$AB1529)&amp;"",IF($Z1529="A",INDEX(Fixed_Assets!$C$2:$C$201,$AB1529)&amp;"",IF($Z1529="F",INDEX(Workforce!$B$2:$B$151,MATCH(INDEX(FTE_Allocation!$A$2:$A$201,$AB1529),Workforce!$A$2:$A$151,0))&amp;"","")))</f>
        <v/>
      </c>
      <c r="C1529" s="7">
        <f>IF($Z1529="C",INDEX(Contracts!$E$2:$E$151,$AB1529)&amp;"",IF($Z1529="A",INDEX(Fixed_Assets!$D$2:$D$201,$AB1529)&amp;"",IF($Z1529="F",INDEX(FTE_Allocation!$C$2:$C$201,$AB1529)&amp;"","")))</f>
        <v/>
      </c>
      <c r="D1529" s="7">
        <f>IF($Z1529="C",INDEX(Contracts!$B$2:$B$151,$AB1529)&amp;"",IF($Z1529="A",INDEX(Fixed_Assets!$B$2:$B$201,$AB1529)&amp;"",IF($Z1529="F",INDEX(FTE_Allocation!$B$2:$B$201,$AB1529)&amp;"","")))</f>
        <v/>
      </c>
      <c r="E1529" s="7">
        <f>IF($Z1529="C",INDEX(Contracts!$P$2:$P$151,$AB1529)&amp;"",IF($Z1529="A",INDEX(Fixed_Assets!$K$2:$K$201,$AB1529)&amp;"",IF($Z1529="F",IF(INDEX(FTE_Allocation!$D$2:$D$201,$AB1529)="PROJECT",IFERROR(INDEX(Projects!$D:$D,MATCH(INDEX(FTE_Allocation!$E$2:$E$201,$AB1529),Projects!$A:$A,0))&amp;"","#PROJECT?"),INDEX(FTE_Allocation!$E$2:$E$201,$AB1529)&amp;""),"")))</f>
        <v/>
      </c>
      <c r="F1529" s="7">
        <f>IF($Z1529="C",INDEX(Contracts!$Q$2:$Q$151,$AB1529)&amp;"",IF($Z1529="A",INDEX(Fixed_Assets!$L$2:$L$201,$AB1529)&amp;"",IF($Z1529="F",INDEX(Workforce!$K$2:$K$151,MATCH(INDEX(FTE_Allocation!$A$2:$A$201,$AB1529),Workforce!$A$2:$A$151,0))&amp;"","")))</f>
        <v/>
      </c>
      <c r="G1529" s="7">
        <f>IF($Z1529="C",INDEX(Contracts!$F$2:$F$151,$AB1529)&amp;" / "&amp;INDEX(Contracts!$G$2:$G$151,$AB1529),IF($Z1529="A",INDEX(Fixed_Assets!$E$2:$E$201,$AB1529)&amp;"",IF($Z1529="F","Personnel "&amp;INDEX(FTE_Allocation!$A$2:$A$201,$AB1529)&amp;IF(INDEX(FTE_Allocation!$D$2:$D$201,$AB1529)="PROJECT"," ("&amp;INDEX(FTE_Allocation!$E$2:$E$201,$AB1529)&amp;")",""),"")))</f>
        <v/>
      </c>
      <c r="H1529" s="7">
        <f>IF($Z1529="C","CONTRACT",IF($Z1529="A","ASSET",IF($Z1529="F","WORKFORCE","")))</f>
        <v/>
      </c>
      <c r="I1529" s="7">
        <f>IF($Z1529="C",INDEX(Contracts!$L$2:$L$151,$AB1529)&amp;"",IF($Z1529="A",INDEX(Fixed_Assets!$I$2:$I$201,$AB1529)&amp;"",IF($Z1529="F",INDEX(Workforce!$G$2:$G$151,MATCH(INDEX(FTE_Allocation!$A$2:$A$201,$AB1529),Workforce!$A$2:$A$151,0))&amp;"","")))</f>
        <v/>
      </c>
      <c r="J1529" s="18">
        <f>IF($Z1529="","",IF(AND(DATE($AD1529,1,1)&gt;=$AE1529,DATE($AD1529,1,1)&lt;=$AF1529),ROUND($AG1529,2),0))</f>
        <v/>
      </c>
      <c r="K1529" s="18">
        <f>IF($Z1529="","",IF(AND(DATE($AD1529,2,1)&gt;=$AE1529,DATE($AD1529,2,1)&lt;=$AF1529),ROUND($AG1529,2),0))</f>
        <v/>
      </c>
      <c r="L1529" s="18">
        <f>IF($Z1529="","",IF(AND(DATE($AD1529,3,1)&gt;=$AE1529,DATE($AD1529,3,1)&lt;=$AF1529),ROUND($AG1529,2),0))</f>
        <v/>
      </c>
      <c r="M1529" s="18">
        <f>IF($Z1529="","",IF(AND(DATE($AD1529,4,1)&gt;=$AE1529,DATE($AD1529,4,1)&lt;=$AF1529),ROUND($AG1529,2),0))</f>
        <v/>
      </c>
      <c r="N1529" s="18">
        <f>IF($Z1529="","",IF(AND(DATE($AD1529,5,1)&gt;=$AE1529,DATE($AD1529,5,1)&lt;=$AF1529),ROUND($AG1529,2),0))</f>
        <v/>
      </c>
      <c r="O1529" s="18">
        <f>IF($Z1529="","",IF(AND(DATE($AD1529,6,1)&gt;=$AE1529,DATE($AD1529,6,1)&lt;=$AF1529),ROUND($AG1529,2),0))</f>
        <v/>
      </c>
      <c r="P1529" s="18">
        <f>IF($Z1529="","",IF(AND(DATE($AD1529,7,1)&gt;=$AE1529,DATE($AD1529,7,1)&lt;=$AF1529),ROUND($AG1529,2),0))</f>
        <v/>
      </c>
      <c r="Q1529" s="18">
        <f>IF($Z1529="","",IF(AND(DATE($AD1529,8,1)&gt;=$AE1529,DATE($AD1529,8,1)&lt;=$AF1529),ROUND($AG1529,2),0))</f>
        <v/>
      </c>
      <c r="R1529" s="18">
        <f>IF($Z1529="","",IF(AND(DATE($AD1529,9,1)&gt;=$AE1529,DATE($AD1529,9,1)&lt;=$AF1529),ROUND($AG1529,2),0))</f>
        <v/>
      </c>
      <c r="S1529" s="18">
        <f>IF($Z1529="","",IF(AND(DATE($AD1529,10,1)&gt;=$AE1529,DATE($AD1529,10,1)&lt;=$AF1529),ROUND($AG1529,2),0))</f>
        <v/>
      </c>
      <c r="T1529" s="18">
        <f>IF($Z1529="","",IF(AND(DATE($AD1529,11,1)&gt;=$AE1529,DATE($AD1529,11,1)&lt;=$AF1529),ROUND($AG1529,2),0))</f>
        <v/>
      </c>
      <c r="U1529" s="18">
        <f>IF($Z1529="","",IF(AND(DATE($AD1529,12,1)&gt;=$AE1529,DATE($AD1529,12,1)&lt;=$AF1529),ROUND($AG1529,2),0))</f>
        <v/>
      </c>
      <c r="V1529" s="7">
        <f>IF($Z1529="C","Generated from "&amp;INDEX(Contracts!$A$2:$A$151,$AB1529),IF($Z1529="A","Generated from "&amp;INDEX(Fixed_Assets!$A$2:$A$201,$AB1529),IF($Z1529="F","Generated from "&amp;INDEX(FTE_Allocation!$A$2:$A$201,$AB1529),"")))</f>
        <v/>
      </c>
      <c r="X1529" s="19">
        <f>IF($Z1529="","",SUM(J1529:U1529))</f>
        <v/>
      </c>
      <c r="Y1529" s="20">
        <f>ROW()-1</f>
        <v/>
      </c>
      <c r="Z1529" s="20">
        <f>IF($Y1529&lt;=Settings!$B$4*3,"C",IF($Y1529&lt;=(Settings!$B$4+Settings!$B$5)*3,"A",IF($Y1529&lt;=(Settings!$B$4+Settings!$B$5+Settings!$B$6)*3,"F","")))</f>
        <v/>
      </c>
      <c r="AA1529" s="20">
        <f>IF($Z1529="C",$Y1529,IF($Z1529="A",$Y1529-Settings!$B$4*3,IF($Z1529="F",$Y1529-(Settings!$B$4+Settings!$B$5)*3,"")))</f>
        <v/>
      </c>
      <c r="AB1529" s="20">
        <f>IF($Z1529="","",INT(($AA1529-1)/3)+1)</f>
        <v/>
      </c>
      <c r="AC1529" s="20">
        <f>IF($Z1529="","",MOD($AA1529-1,3)+1)</f>
        <v/>
      </c>
      <c r="AD1529" s="20">
        <f>IF($Z1529="","",Settings!$B$2+$AC1529-1)</f>
        <v/>
      </c>
      <c r="AE1529" s="21">
        <f>IF($Z1529="C",DATE(YEAR(INDEX(Contracts!$J$2:$J$151,$AB1529)),MONTH(INDEX(Contracts!$J$2:$J$151,$AB1529)),1),IF($Z1529="A",DATE(YEAR(INDEX(Fixed_Assets!$G$2:$G$201,$AB1529)),MONTH(INDEX(Fixed_Assets!$G$2:$G$201,$AB1529)),1),IF($Z1529="F",DATE(YEAR(MAX(N(INDEX(Workforce!$I$2:$I$151,MATCH(INDEX(FTE_Allocation!$A$2:$A$201,$AB1529),Workforce!$A$2:$A$151,0))),N(INDEX(FTE_Allocation!$I$2:$I$201,$AB1529)))),MONTH(MAX(N(INDEX(Workforce!$I$2:$I$151,MATCH(INDEX(FTE_Allocation!$A$2:$A$201,$AB1529),Workforce!$A$2:$A$151,0))),N(INDEX(FTE_Allocation!$I$2:$I$201,$AB1529)))),1),"")))</f>
        <v/>
      </c>
      <c r="AF1529" s="21">
        <f>IF($Z1529="C",IF(INDEX(Contracts!$I$2:$I$151,$AB1529)="PREPAID",EDATE(DATE(YEAR(INDEX(Contracts!$J$2:$J$151,$AB1529)),MONTH(INDEX(Contracts!$J$2:$J$151,$AB1529)),1),IF(INDEX(Contracts!$N$2:$N$151,$AB1529)="",12,INDEX(Contracts!$N$2:$N$151,$AB1529))-1),IF(INDEX(Contracts!$I$2:$I$151,$AB1529)="MONTHLY",IF(INDEX(Contracts!$K$2:$K$151,$AB1529)="",2958101,INDEX(Contracts!$K$2:$K$151,$AB1529)),0)),IF($Z1529="A",EDATE(DATE(YEAR(INDEX(Fixed_Assets!$G$2:$G$201,$AB1529)),MONTH(INDEX(Fixed_Assets!$G$2:$G$201,$AB1529)),1),INDEX(Fixed_Assets!$J$2:$J$201,$AB1529)-1),IF($Z1529="F",MIN(IF(INDEX(Workforce!$J$2:$J$151,MATCH(INDEX(FTE_Allocation!$A$2:$A$201,$AB1529),Workforce!$A$2:$A$151,0))="",2958101,INDEX(Workforce!$J$2:$J$151,MATCH(INDEX(FTE_Allocation!$A$2:$A$201,$AB1529),Workforce!$A$2:$A$151,0))),IF(INDEX(FTE_Allocation!$J$2:$J$201,$AB1529)="",2958101,INDEX(FTE_Allocation!$J$2:$J$201,$AB1529))),"")))</f>
        <v/>
      </c>
      <c r="AG1529" s="19">
        <f>IF($Z1529="C",IF(INDEX(Contracts!$I$2:$I$151,$AB1529)="PREPAID",INDEX(Contracts!$M$2:$M$151,$AB1529)/IF(INDEX(Contracts!$N$2:$N$151,$AB1529)="",12,INDEX(Contracts!$N$2:$N$151,$AB1529)),IF(INDEX(Contracts!$I$2:$I$151,$AB1529)="MONTHLY",INDEX(Contracts!$M$2:$M$151,$AB1529),0))*(1-N(INDEX(Contracts!$O$2:$O$151,$AB1529))),IF($Z1529="A",INDEX(Fixed_Assets!$H$2:$H$201,$AB1529)/INDEX(Fixed_Assets!$J$2:$J$201,$AB1529),IF($Z1529="F",INDEX(Workforce!$F$2:$F$151,MATCH(INDEX(FTE_Allocation!$A$2:$A$201,$AB1529),Workforce!$A$2:$A$151,0))*N(INDEX(FTE_Allocation!$F$2:$H$201,$AB1529,$AC1529)),"")))</f>
        <v/>
      </c>
    </row>
    <row r="1530">
      <c r="A1530" s="7">
        <f>IF($Z1530="","",$AD1530)</f>
        <v/>
      </c>
      <c r="B1530" s="7">
        <f>IF($Z1530="C",INDEX(Contracts!$D$2:$D$151,$AB1530)&amp;"",IF($Z1530="A",INDEX(Fixed_Assets!$C$2:$C$201,$AB1530)&amp;"",IF($Z1530="F",INDEX(Workforce!$B$2:$B$151,MATCH(INDEX(FTE_Allocation!$A$2:$A$201,$AB1530),Workforce!$A$2:$A$151,0))&amp;"","")))</f>
        <v/>
      </c>
      <c r="C1530" s="7">
        <f>IF($Z1530="C",INDEX(Contracts!$E$2:$E$151,$AB1530)&amp;"",IF($Z1530="A",INDEX(Fixed_Assets!$D$2:$D$201,$AB1530)&amp;"",IF($Z1530="F",INDEX(FTE_Allocation!$C$2:$C$201,$AB1530)&amp;"","")))</f>
        <v/>
      </c>
      <c r="D1530" s="7">
        <f>IF($Z1530="C",INDEX(Contracts!$B$2:$B$151,$AB1530)&amp;"",IF($Z1530="A",INDEX(Fixed_Assets!$B$2:$B$201,$AB1530)&amp;"",IF($Z1530="F",INDEX(FTE_Allocation!$B$2:$B$201,$AB1530)&amp;"","")))</f>
        <v/>
      </c>
      <c r="E1530" s="7">
        <f>IF($Z1530="C",INDEX(Contracts!$P$2:$P$151,$AB1530)&amp;"",IF($Z1530="A",INDEX(Fixed_Assets!$K$2:$K$201,$AB1530)&amp;"",IF($Z1530="F",IF(INDEX(FTE_Allocation!$D$2:$D$201,$AB1530)="PROJECT",IFERROR(INDEX(Projects!$D:$D,MATCH(INDEX(FTE_Allocation!$E$2:$E$201,$AB1530),Projects!$A:$A,0))&amp;"","#PROJECT?"),INDEX(FTE_Allocation!$E$2:$E$201,$AB1530)&amp;""),"")))</f>
        <v/>
      </c>
      <c r="F1530" s="7">
        <f>IF($Z1530="C",INDEX(Contracts!$Q$2:$Q$151,$AB1530)&amp;"",IF($Z1530="A",INDEX(Fixed_Assets!$L$2:$L$201,$AB1530)&amp;"",IF($Z1530="F",INDEX(Workforce!$K$2:$K$151,MATCH(INDEX(FTE_Allocation!$A$2:$A$201,$AB1530),Workforce!$A$2:$A$151,0))&amp;"","")))</f>
        <v/>
      </c>
      <c r="G1530" s="7">
        <f>IF($Z1530="C",INDEX(Contracts!$F$2:$F$151,$AB1530)&amp;" / "&amp;INDEX(Contracts!$G$2:$G$151,$AB1530),IF($Z1530="A",INDEX(Fixed_Assets!$E$2:$E$201,$AB1530)&amp;"",IF($Z1530="F","Personnel "&amp;INDEX(FTE_Allocation!$A$2:$A$201,$AB1530)&amp;IF(INDEX(FTE_Allocation!$D$2:$D$201,$AB1530)="PROJECT"," ("&amp;INDEX(FTE_Allocation!$E$2:$E$201,$AB1530)&amp;")",""),"")))</f>
        <v/>
      </c>
      <c r="H1530" s="7">
        <f>IF($Z1530="C","CONTRACT",IF($Z1530="A","ASSET",IF($Z1530="F","WORKFORCE","")))</f>
        <v/>
      </c>
      <c r="I1530" s="7">
        <f>IF($Z1530="C",INDEX(Contracts!$L$2:$L$151,$AB1530)&amp;"",IF($Z1530="A",INDEX(Fixed_Assets!$I$2:$I$201,$AB1530)&amp;"",IF($Z1530="F",INDEX(Workforce!$G$2:$G$151,MATCH(INDEX(FTE_Allocation!$A$2:$A$201,$AB1530),Workforce!$A$2:$A$151,0))&amp;"","")))</f>
        <v/>
      </c>
      <c r="J1530" s="18">
        <f>IF($Z1530="","",IF(AND(DATE($AD1530,1,1)&gt;=$AE1530,DATE($AD1530,1,1)&lt;=$AF1530),ROUND($AG1530,2),0))</f>
        <v/>
      </c>
      <c r="K1530" s="18">
        <f>IF($Z1530="","",IF(AND(DATE($AD1530,2,1)&gt;=$AE1530,DATE($AD1530,2,1)&lt;=$AF1530),ROUND($AG1530,2),0))</f>
        <v/>
      </c>
      <c r="L1530" s="18">
        <f>IF($Z1530="","",IF(AND(DATE($AD1530,3,1)&gt;=$AE1530,DATE($AD1530,3,1)&lt;=$AF1530),ROUND($AG1530,2),0))</f>
        <v/>
      </c>
      <c r="M1530" s="18">
        <f>IF($Z1530="","",IF(AND(DATE($AD1530,4,1)&gt;=$AE1530,DATE($AD1530,4,1)&lt;=$AF1530),ROUND($AG1530,2),0))</f>
        <v/>
      </c>
      <c r="N1530" s="18">
        <f>IF($Z1530="","",IF(AND(DATE($AD1530,5,1)&gt;=$AE1530,DATE($AD1530,5,1)&lt;=$AF1530),ROUND($AG1530,2),0))</f>
        <v/>
      </c>
      <c r="O1530" s="18">
        <f>IF($Z1530="","",IF(AND(DATE($AD1530,6,1)&gt;=$AE1530,DATE($AD1530,6,1)&lt;=$AF1530),ROUND($AG1530,2),0))</f>
        <v/>
      </c>
      <c r="P1530" s="18">
        <f>IF($Z1530="","",IF(AND(DATE($AD1530,7,1)&gt;=$AE1530,DATE($AD1530,7,1)&lt;=$AF1530),ROUND($AG1530,2),0))</f>
        <v/>
      </c>
      <c r="Q1530" s="18">
        <f>IF($Z1530="","",IF(AND(DATE($AD1530,8,1)&gt;=$AE1530,DATE($AD1530,8,1)&lt;=$AF1530),ROUND($AG1530,2),0))</f>
        <v/>
      </c>
      <c r="R1530" s="18">
        <f>IF($Z1530="","",IF(AND(DATE($AD1530,9,1)&gt;=$AE1530,DATE($AD1530,9,1)&lt;=$AF1530),ROUND($AG1530,2),0))</f>
        <v/>
      </c>
      <c r="S1530" s="18">
        <f>IF($Z1530="","",IF(AND(DATE($AD1530,10,1)&gt;=$AE1530,DATE($AD1530,10,1)&lt;=$AF1530),ROUND($AG1530,2),0))</f>
        <v/>
      </c>
      <c r="T1530" s="18">
        <f>IF($Z1530="","",IF(AND(DATE($AD1530,11,1)&gt;=$AE1530,DATE($AD1530,11,1)&lt;=$AF1530),ROUND($AG1530,2),0))</f>
        <v/>
      </c>
      <c r="U1530" s="18">
        <f>IF($Z1530="","",IF(AND(DATE($AD1530,12,1)&gt;=$AE1530,DATE($AD1530,12,1)&lt;=$AF1530),ROUND($AG1530,2),0))</f>
        <v/>
      </c>
      <c r="V1530" s="7">
        <f>IF($Z1530="C","Generated from "&amp;INDEX(Contracts!$A$2:$A$151,$AB1530),IF($Z1530="A","Generated from "&amp;INDEX(Fixed_Assets!$A$2:$A$201,$AB1530),IF($Z1530="F","Generated from "&amp;INDEX(FTE_Allocation!$A$2:$A$201,$AB1530),"")))</f>
        <v/>
      </c>
      <c r="X1530" s="19">
        <f>IF($Z1530="","",SUM(J1530:U1530))</f>
        <v/>
      </c>
      <c r="Y1530" s="20">
        <f>ROW()-1</f>
        <v/>
      </c>
      <c r="Z1530" s="20">
        <f>IF($Y1530&lt;=Settings!$B$4*3,"C",IF($Y1530&lt;=(Settings!$B$4+Settings!$B$5)*3,"A",IF($Y1530&lt;=(Settings!$B$4+Settings!$B$5+Settings!$B$6)*3,"F","")))</f>
        <v/>
      </c>
      <c r="AA1530" s="20">
        <f>IF($Z1530="C",$Y1530,IF($Z1530="A",$Y1530-Settings!$B$4*3,IF($Z1530="F",$Y1530-(Settings!$B$4+Settings!$B$5)*3,"")))</f>
        <v/>
      </c>
      <c r="AB1530" s="20">
        <f>IF($Z1530="","",INT(($AA1530-1)/3)+1)</f>
        <v/>
      </c>
      <c r="AC1530" s="20">
        <f>IF($Z1530="","",MOD($AA1530-1,3)+1)</f>
        <v/>
      </c>
      <c r="AD1530" s="20">
        <f>IF($Z1530="","",Settings!$B$2+$AC1530-1)</f>
        <v/>
      </c>
      <c r="AE1530" s="21">
        <f>IF($Z1530="C",DATE(YEAR(INDEX(Contracts!$J$2:$J$151,$AB1530)),MONTH(INDEX(Contracts!$J$2:$J$151,$AB1530)),1),IF($Z1530="A",DATE(YEAR(INDEX(Fixed_Assets!$G$2:$G$201,$AB1530)),MONTH(INDEX(Fixed_Assets!$G$2:$G$201,$AB1530)),1),IF($Z1530="F",DATE(YEAR(MAX(N(INDEX(Workforce!$I$2:$I$151,MATCH(INDEX(FTE_Allocation!$A$2:$A$201,$AB1530),Workforce!$A$2:$A$151,0))),N(INDEX(FTE_Allocation!$I$2:$I$201,$AB1530)))),MONTH(MAX(N(INDEX(Workforce!$I$2:$I$151,MATCH(INDEX(FTE_Allocation!$A$2:$A$201,$AB1530),Workforce!$A$2:$A$151,0))),N(INDEX(FTE_Allocation!$I$2:$I$201,$AB1530)))),1),"")))</f>
        <v/>
      </c>
      <c r="AF1530" s="21">
        <f>IF($Z1530="C",IF(INDEX(Contracts!$I$2:$I$151,$AB1530)="PREPAID",EDATE(DATE(YEAR(INDEX(Contracts!$J$2:$J$151,$AB1530)),MONTH(INDEX(Contracts!$J$2:$J$151,$AB1530)),1),IF(INDEX(Contracts!$N$2:$N$151,$AB1530)="",12,INDEX(Contracts!$N$2:$N$151,$AB1530))-1),IF(INDEX(Contracts!$I$2:$I$151,$AB1530)="MONTHLY",IF(INDEX(Contracts!$K$2:$K$151,$AB1530)="",2958101,INDEX(Contracts!$K$2:$K$151,$AB1530)),0)),IF($Z1530="A",EDATE(DATE(YEAR(INDEX(Fixed_Assets!$G$2:$G$201,$AB1530)),MONTH(INDEX(Fixed_Assets!$G$2:$G$201,$AB1530)),1),INDEX(Fixed_Assets!$J$2:$J$201,$AB1530)-1),IF($Z1530="F",MIN(IF(INDEX(Workforce!$J$2:$J$151,MATCH(INDEX(FTE_Allocation!$A$2:$A$201,$AB1530),Workforce!$A$2:$A$151,0))="",2958101,INDEX(Workforce!$J$2:$J$151,MATCH(INDEX(FTE_Allocation!$A$2:$A$201,$AB1530),Workforce!$A$2:$A$151,0))),IF(INDEX(FTE_Allocation!$J$2:$J$201,$AB1530)="",2958101,INDEX(FTE_Allocation!$J$2:$J$201,$AB1530))),"")))</f>
        <v/>
      </c>
      <c r="AG1530" s="19">
        <f>IF($Z1530="C",IF(INDEX(Contracts!$I$2:$I$151,$AB1530)="PREPAID",INDEX(Contracts!$M$2:$M$151,$AB1530)/IF(INDEX(Contracts!$N$2:$N$151,$AB1530)="",12,INDEX(Contracts!$N$2:$N$151,$AB1530)),IF(INDEX(Contracts!$I$2:$I$151,$AB1530)="MONTHLY",INDEX(Contracts!$M$2:$M$151,$AB1530),0))*(1-N(INDEX(Contracts!$O$2:$O$151,$AB1530))),IF($Z1530="A",INDEX(Fixed_Assets!$H$2:$H$201,$AB1530)/INDEX(Fixed_Assets!$J$2:$J$201,$AB1530),IF($Z1530="F",INDEX(Workforce!$F$2:$F$151,MATCH(INDEX(FTE_Allocation!$A$2:$A$201,$AB1530),Workforce!$A$2:$A$151,0))*N(INDEX(FTE_Allocation!$F$2:$H$201,$AB1530,$AC1530)),"")))</f>
        <v/>
      </c>
    </row>
    <row r="1531">
      <c r="A1531" s="7">
        <f>IF($Z1531="","",$AD1531)</f>
        <v/>
      </c>
      <c r="B1531" s="7">
        <f>IF($Z1531="C",INDEX(Contracts!$D$2:$D$151,$AB1531)&amp;"",IF($Z1531="A",INDEX(Fixed_Assets!$C$2:$C$201,$AB1531)&amp;"",IF($Z1531="F",INDEX(Workforce!$B$2:$B$151,MATCH(INDEX(FTE_Allocation!$A$2:$A$201,$AB1531),Workforce!$A$2:$A$151,0))&amp;"","")))</f>
        <v/>
      </c>
      <c r="C1531" s="7">
        <f>IF($Z1531="C",INDEX(Contracts!$E$2:$E$151,$AB1531)&amp;"",IF($Z1531="A",INDEX(Fixed_Assets!$D$2:$D$201,$AB1531)&amp;"",IF($Z1531="F",INDEX(FTE_Allocation!$C$2:$C$201,$AB1531)&amp;"","")))</f>
        <v/>
      </c>
      <c r="D1531" s="7">
        <f>IF($Z1531="C",INDEX(Contracts!$B$2:$B$151,$AB1531)&amp;"",IF($Z1531="A",INDEX(Fixed_Assets!$B$2:$B$201,$AB1531)&amp;"",IF($Z1531="F",INDEX(FTE_Allocation!$B$2:$B$201,$AB1531)&amp;"","")))</f>
        <v/>
      </c>
      <c r="E1531" s="7">
        <f>IF($Z1531="C",INDEX(Contracts!$P$2:$P$151,$AB1531)&amp;"",IF($Z1531="A",INDEX(Fixed_Assets!$K$2:$K$201,$AB1531)&amp;"",IF($Z1531="F",IF(INDEX(FTE_Allocation!$D$2:$D$201,$AB1531)="PROJECT",IFERROR(INDEX(Projects!$D:$D,MATCH(INDEX(FTE_Allocation!$E$2:$E$201,$AB1531),Projects!$A:$A,0))&amp;"","#PROJECT?"),INDEX(FTE_Allocation!$E$2:$E$201,$AB1531)&amp;""),"")))</f>
        <v/>
      </c>
      <c r="F1531" s="7">
        <f>IF($Z1531="C",INDEX(Contracts!$Q$2:$Q$151,$AB1531)&amp;"",IF($Z1531="A",INDEX(Fixed_Assets!$L$2:$L$201,$AB1531)&amp;"",IF($Z1531="F",INDEX(Workforce!$K$2:$K$151,MATCH(INDEX(FTE_Allocation!$A$2:$A$201,$AB1531),Workforce!$A$2:$A$151,0))&amp;"","")))</f>
        <v/>
      </c>
      <c r="G1531" s="7">
        <f>IF($Z1531="C",INDEX(Contracts!$F$2:$F$151,$AB1531)&amp;" / "&amp;INDEX(Contracts!$G$2:$G$151,$AB1531),IF($Z1531="A",INDEX(Fixed_Assets!$E$2:$E$201,$AB1531)&amp;"",IF($Z1531="F","Personnel "&amp;INDEX(FTE_Allocation!$A$2:$A$201,$AB1531)&amp;IF(INDEX(FTE_Allocation!$D$2:$D$201,$AB1531)="PROJECT"," ("&amp;INDEX(FTE_Allocation!$E$2:$E$201,$AB1531)&amp;")",""),"")))</f>
        <v/>
      </c>
      <c r="H1531" s="7">
        <f>IF($Z1531="C","CONTRACT",IF($Z1531="A","ASSET",IF($Z1531="F","WORKFORCE","")))</f>
        <v/>
      </c>
      <c r="I1531" s="7">
        <f>IF($Z1531="C",INDEX(Contracts!$L$2:$L$151,$AB1531)&amp;"",IF($Z1531="A",INDEX(Fixed_Assets!$I$2:$I$201,$AB1531)&amp;"",IF($Z1531="F",INDEX(Workforce!$G$2:$G$151,MATCH(INDEX(FTE_Allocation!$A$2:$A$201,$AB1531),Workforce!$A$2:$A$151,0))&amp;"","")))</f>
        <v/>
      </c>
      <c r="J1531" s="18">
        <f>IF($Z1531="","",IF(AND(DATE($AD1531,1,1)&gt;=$AE1531,DATE($AD1531,1,1)&lt;=$AF1531),ROUND($AG1531,2),0))</f>
        <v/>
      </c>
      <c r="K1531" s="18">
        <f>IF($Z1531="","",IF(AND(DATE($AD1531,2,1)&gt;=$AE1531,DATE($AD1531,2,1)&lt;=$AF1531),ROUND($AG1531,2),0))</f>
        <v/>
      </c>
      <c r="L1531" s="18">
        <f>IF($Z1531="","",IF(AND(DATE($AD1531,3,1)&gt;=$AE1531,DATE($AD1531,3,1)&lt;=$AF1531),ROUND($AG1531,2),0))</f>
        <v/>
      </c>
      <c r="M1531" s="18">
        <f>IF($Z1531="","",IF(AND(DATE($AD1531,4,1)&gt;=$AE1531,DATE($AD1531,4,1)&lt;=$AF1531),ROUND($AG1531,2),0))</f>
        <v/>
      </c>
      <c r="N1531" s="18">
        <f>IF($Z1531="","",IF(AND(DATE($AD1531,5,1)&gt;=$AE1531,DATE($AD1531,5,1)&lt;=$AF1531),ROUND($AG1531,2),0))</f>
        <v/>
      </c>
      <c r="O1531" s="18">
        <f>IF($Z1531="","",IF(AND(DATE($AD1531,6,1)&gt;=$AE1531,DATE($AD1531,6,1)&lt;=$AF1531),ROUND($AG1531,2),0))</f>
        <v/>
      </c>
      <c r="P1531" s="18">
        <f>IF($Z1531="","",IF(AND(DATE($AD1531,7,1)&gt;=$AE1531,DATE($AD1531,7,1)&lt;=$AF1531),ROUND($AG1531,2),0))</f>
        <v/>
      </c>
      <c r="Q1531" s="18">
        <f>IF($Z1531="","",IF(AND(DATE($AD1531,8,1)&gt;=$AE1531,DATE($AD1531,8,1)&lt;=$AF1531),ROUND($AG1531,2),0))</f>
        <v/>
      </c>
      <c r="R1531" s="18">
        <f>IF($Z1531="","",IF(AND(DATE($AD1531,9,1)&gt;=$AE1531,DATE($AD1531,9,1)&lt;=$AF1531),ROUND($AG1531,2),0))</f>
        <v/>
      </c>
      <c r="S1531" s="18">
        <f>IF($Z1531="","",IF(AND(DATE($AD1531,10,1)&gt;=$AE1531,DATE($AD1531,10,1)&lt;=$AF1531),ROUND($AG1531,2),0))</f>
        <v/>
      </c>
      <c r="T1531" s="18">
        <f>IF($Z1531="","",IF(AND(DATE($AD1531,11,1)&gt;=$AE1531,DATE($AD1531,11,1)&lt;=$AF1531),ROUND($AG1531,2),0))</f>
        <v/>
      </c>
      <c r="U1531" s="18">
        <f>IF($Z1531="","",IF(AND(DATE($AD1531,12,1)&gt;=$AE1531,DATE($AD1531,12,1)&lt;=$AF1531),ROUND($AG1531,2),0))</f>
        <v/>
      </c>
      <c r="V1531" s="7">
        <f>IF($Z1531="C","Generated from "&amp;INDEX(Contracts!$A$2:$A$151,$AB1531),IF($Z1531="A","Generated from "&amp;INDEX(Fixed_Assets!$A$2:$A$201,$AB1531),IF($Z1531="F","Generated from "&amp;INDEX(FTE_Allocation!$A$2:$A$201,$AB1531),"")))</f>
        <v/>
      </c>
      <c r="X1531" s="19">
        <f>IF($Z1531="","",SUM(J1531:U1531))</f>
        <v/>
      </c>
      <c r="Y1531" s="20">
        <f>ROW()-1</f>
        <v/>
      </c>
      <c r="Z1531" s="20">
        <f>IF($Y1531&lt;=Settings!$B$4*3,"C",IF($Y1531&lt;=(Settings!$B$4+Settings!$B$5)*3,"A",IF($Y1531&lt;=(Settings!$B$4+Settings!$B$5+Settings!$B$6)*3,"F","")))</f>
        <v/>
      </c>
      <c r="AA1531" s="20">
        <f>IF($Z1531="C",$Y1531,IF($Z1531="A",$Y1531-Settings!$B$4*3,IF($Z1531="F",$Y1531-(Settings!$B$4+Settings!$B$5)*3,"")))</f>
        <v/>
      </c>
      <c r="AB1531" s="20">
        <f>IF($Z1531="","",INT(($AA1531-1)/3)+1)</f>
        <v/>
      </c>
      <c r="AC1531" s="20">
        <f>IF($Z1531="","",MOD($AA1531-1,3)+1)</f>
        <v/>
      </c>
      <c r="AD1531" s="20">
        <f>IF($Z1531="","",Settings!$B$2+$AC1531-1)</f>
        <v/>
      </c>
      <c r="AE1531" s="21">
        <f>IF($Z1531="C",DATE(YEAR(INDEX(Contracts!$J$2:$J$151,$AB1531)),MONTH(INDEX(Contracts!$J$2:$J$151,$AB1531)),1),IF($Z1531="A",DATE(YEAR(INDEX(Fixed_Assets!$G$2:$G$201,$AB1531)),MONTH(INDEX(Fixed_Assets!$G$2:$G$201,$AB1531)),1),IF($Z1531="F",DATE(YEAR(MAX(N(INDEX(Workforce!$I$2:$I$151,MATCH(INDEX(FTE_Allocation!$A$2:$A$201,$AB1531),Workforce!$A$2:$A$151,0))),N(INDEX(FTE_Allocation!$I$2:$I$201,$AB1531)))),MONTH(MAX(N(INDEX(Workforce!$I$2:$I$151,MATCH(INDEX(FTE_Allocation!$A$2:$A$201,$AB1531),Workforce!$A$2:$A$151,0))),N(INDEX(FTE_Allocation!$I$2:$I$201,$AB1531)))),1),"")))</f>
        <v/>
      </c>
      <c r="AF1531" s="21">
        <f>IF($Z1531="C",IF(INDEX(Contracts!$I$2:$I$151,$AB1531)="PREPAID",EDATE(DATE(YEAR(INDEX(Contracts!$J$2:$J$151,$AB1531)),MONTH(INDEX(Contracts!$J$2:$J$151,$AB1531)),1),IF(INDEX(Contracts!$N$2:$N$151,$AB1531)="",12,INDEX(Contracts!$N$2:$N$151,$AB1531))-1),IF(INDEX(Contracts!$I$2:$I$151,$AB1531)="MONTHLY",IF(INDEX(Contracts!$K$2:$K$151,$AB1531)="",2958101,INDEX(Contracts!$K$2:$K$151,$AB1531)),0)),IF($Z1531="A",EDATE(DATE(YEAR(INDEX(Fixed_Assets!$G$2:$G$201,$AB1531)),MONTH(INDEX(Fixed_Assets!$G$2:$G$201,$AB1531)),1),INDEX(Fixed_Assets!$J$2:$J$201,$AB1531)-1),IF($Z1531="F",MIN(IF(INDEX(Workforce!$J$2:$J$151,MATCH(INDEX(FTE_Allocation!$A$2:$A$201,$AB1531),Workforce!$A$2:$A$151,0))="",2958101,INDEX(Workforce!$J$2:$J$151,MATCH(INDEX(FTE_Allocation!$A$2:$A$201,$AB1531),Workforce!$A$2:$A$151,0))),IF(INDEX(FTE_Allocation!$J$2:$J$201,$AB1531)="",2958101,INDEX(FTE_Allocation!$J$2:$J$201,$AB1531))),"")))</f>
        <v/>
      </c>
      <c r="AG1531" s="19">
        <f>IF($Z1531="C",IF(INDEX(Contracts!$I$2:$I$151,$AB1531)="PREPAID",INDEX(Contracts!$M$2:$M$151,$AB1531)/IF(INDEX(Contracts!$N$2:$N$151,$AB1531)="",12,INDEX(Contracts!$N$2:$N$151,$AB1531)),IF(INDEX(Contracts!$I$2:$I$151,$AB1531)="MONTHLY",INDEX(Contracts!$M$2:$M$151,$AB1531),0))*(1-N(INDEX(Contracts!$O$2:$O$151,$AB1531))),IF($Z1531="A",INDEX(Fixed_Assets!$H$2:$H$201,$AB1531)/INDEX(Fixed_Assets!$J$2:$J$201,$AB1531),IF($Z1531="F",INDEX(Workforce!$F$2:$F$151,MATCH(INDEX(FTE_Allocation!$A$2:$A$201,$AB1531),Workforce!$A$2:$A$151,0))*N(INDEX(FTE_Allocation!$F$2:$H$201,$AB1531,$AC1531)),"")))</f>
        <v/>
      </c>
    </row>
    <row r="1532">
      <c r="A1532" s="7">
        <f>IF($Z1532="","",$AD1532)</f>
        <v/>
      </c>
      <c r="B1532" s="7">
        <f>IF($Z1532="C",INDEX(Contracts!$D$2:$D$151,$AB1532)&amp;"",IF($Z1532="A",INDEX(Fixed_Assets!$C$2:$C$201,$AB1532)&amp;"",IF($Z1532="F",INDEX(Workforce!$B$2:$B$151,MATCH(INDEX(FTE_Allocation!$A$2:$A$201,$AB1532),Workforce!$A$2:$A$151,0))&amp;"","")))</f>
        <v/>
      </c>
      <c r="C1532" s="7">
        <f>IF($Z1532="C",INDEX(Contracts!$E$2:$E$151,$AB1532)&amp;"",IF($Z1532="A",INDEX(Fixed_Assets!$D$2:$D$201,$AB1532)&amp;"",IF($Z1532="F",INDEX(FTE_Allocation!$C$2:$C$201,$AB1532)&amp;"","")))</f>
        <v/>
      </c>
      <c r="D1532" s="7">
        <f>IF($Z1532="C",INDEX(Contracts!$B$2:$B$151,$AB1532)&amp;"",IF($Z1532="A",INDEX(Fixed_Assets!$B$2:$B$201,$AB1532)&amp;"",IF($Z1532="F",INDEX(FTE_Allocation!$B$2:$B$201,$AB1532)&amp;"","")))</f>
        <v/>
      </c>
      <c r="E1532" s="7">
        <f>IF($Z1532="C",INDEX(Contracts!$P$2:$P$151,$AB1532)&amp;"",IF($Z1532="A",INDEX(Fixed_Assets!$K$2:$K$201,$AB1532)&amp;"",IF($Z1532="F",IF(INDEX(FTE_Allocation!$D$2:$D$201,$AB1532)="PROJECT",IFERROR(INDEX(Projects!$D:$D,MATCH(INDEX(FTE_Allocation!$E$2:$E$201,$AB1532),Projects!$A:$A,0))&amp;"","#PROJECT?"),INDEX(FTE_Allocation!$E$2:$E$201,$AB1532)&amp;""),"")))</f>
        <v/>
      </c>
      <c r="F1532" s="7">
        <f>IF($Z1532="C",INDEX(Contracts!$Q$2:$Q$151,$AB1532)&amp;"",IF($Z1532="A",INDEX(Fixed_Assets!$L$2:$L$201,$AB1532)&amp;"",IF($Z1532="F",INDEX(Workforce!$K$2:$K$151,MATCH(INDEX(FTE_Allocation!$A$2:$A$201,$AB1532),Workforce!$A$2:$A$151,0))&amp;"","")))</f>
        <v/>
      </c>
      <c r="G1532" s="7">
        <f>IF($Z1532="C",INDEX(Contracts!$F$2:$F$151,$AB1532)&amp;" / "&amp;INDEX(Contracts!$G$2:$G$151,$AB1532),IF($Z1532="A",INDEX(Fixed_Assets!$E$2:$E$201,$AB1532)&amp;"",IF($Z1532="F","Personnel "&amp;INDEX(FTE_Allocation!$A$2:$A$201,$AB1532)&amp;IF(INDEX(FTE_Allocation!$D$2:$D$201,$AB1532)="PROJECT"," ("&amp;INDEX(FTE_Allocation!$E$2:$E$201,$AB1532)&amp;")",""),"")))</f>
        <v/>
      </c>
      <c r="H1532" s="7">
        <f>IF($Z1532="C","CONTRACT",IF($Z1532="A","ASSET",IF($Z1532="F","WORKFORCE","")))</f>
        <v/>
      </c>
      <c r="I1532" s="7">
        <f>IF($Z1532="C",INDEX(Contracts!$L$2:$L$151,$AB1532)&amp;"",IF($Z1532="A",INDEX(Fixed_Assets!$I$2:$I$201,$AB1532)&amp;"",IF($Z1532="F",INDEX(Workforce!$G$2:$G$151,MATCH(INDEX(FTE_Allocation!$A$2:$A$201,$AB1532),Workforce!$A$2:$A$151,0))&amp;"","")))</f>
        <v/>
      </c>
      <c r="J1532" s="18">
        <f>IF($Z1532="","",IF(AND(DATE($AD1532,1,1)&gt;=$AE1532,DATE($AD1532,1,1)&lt;=$AF1532),ROUND($AG1532,2),0))</f>
        <v/>
      </c>
      <c r="K1532" s="18">
        <f>IF($Z1532="","",IF(AND(DATE($AD1532,2,1)&gt;=$AE1532,DATE($AD1532,2,1)&lt;=$AF1532),ROUND($AG1532,2),0))</f>
        <v/>
      </c>
      <c r="L1532" s="18">
        <f>IF($Z1532="","",IF(AND(DATE($AD1532,3,1)&gt;=$AE1532,DATE($AD1532,3,1)&lt;=$AF1532),ROUND($AG1532,2),0))</f>
        <v/>
      </c>
      <c r="M1532" s="18">
        <f>IF($Z1532="","",IF(AND(DATE($AD1532,4,1)&gt;=$AE1532,DATE($AD1532,4,1)&lt;=$AF1532),ROUND($AG1532,2),0))</f>
        <v/>
      </c>
      <c r="N1532" s="18">
        <f>IF($Z1532="","",IF(AND(DATE($AD1532,5,1)&gt;=$AE1532,DATE($AD1532,5,1)&lt;=$AF1532),ROUND($AG1532,2),0))</f>
        <v/>
      </c>
      <c r="O1532" s="18">
        <f>IF($Z1532="","",IF(AND(DATE($AD1532,6,1)&gt;=$AE1532,DATE($AD1532,6,1)&lt;=$AF1532),ROUND($AG1532,2),0))</f>
        <v/>
      </c>
      <c r="P1532" s="18">
        <f>IF($Z1532="","",IF(AND(DATE($AD1532,7,1)&gt;=$AE1532,DATE($AD1532,7,1)&lt;=$AF1532),ROUND($AG1532,2),0))</f>
        <v/>
      </c>
      <c r="Q1532" s="18">
        <f>IF($Z1532="","",IF(AND(DATE($AD1532,8,1)&gt;=$AE1532,DATE($AD1532,8,1)&lt;=$AF1532),ROUND($AG1532,2),0))</f>
        <v/>
      </c>
      <c r="R1532" s="18">
        <f>IF($Z1532="","",IF(AND(DATE($AD1532,9,1)&gt;=$AE1532,DATE($AD1532,9,1)&lt;=$AF1532),ROUND($AG1532,2),0))</f>
        <v/>
      </c>
      <c r="S1532" s="18">
        <f>IF($Z1532="","",IF(AND(DATE($AD1532,10,1)&gt;=$AE1532,DATE($AD1532,10,1)&lt;=$AF1532),ROUND($AG1532,2),0))</f>
        <v/>
      </c>
      <c r="T1532" s="18">
        <f>IF($Z1532="","",IF(AND(DATE($AD1532,11,1)&gt;=$AE1532,DATE($AD1532,11,1)&lt;=$AF1532),ROUND($AG1532,2),0))</f>
        <v/>
      </c>
      <c r="U1532" s="18">
        <f>IF($Z1532="","",IF(AND(DATE($AD1532,12,1)&gt;=$AE1532,DATE($AD1532,12,1)&lt;=$AF1532),ROUND($AG1532,2),0))</f>
        <v/>
      </c>
      <c r="V1532" s="7">
        <f>IF($Z1532="C","Generated from "&amp;INDEX(Contracts!$A$2:$A$151,$AB1532),IF($Z1532="A","Generated from "&amp;INDEX(Fixed_Assets!$A$2:$A$201,$AB1532),IF($Z1532="F","Generated from "&amp;INDEX(FTE_Allocation!$A$2:$A$201,$AB1532),"")))</f>
        <v/>
      </c>
      <c r="X1532" s="19">
        <f>IF($Z1532="","",SUM(J1532:U1532))</f>
        <v/>
      </c>
      <c r="Y1532" s="20">
        <f>ROW()-1</f>
        <v/>
      </c>
      <c r="Z1532" s="20">
        <f>IF($Y1532&lt;=Settings!$B$4*3,"C",IF($Y1532&lt;=(Settings!$B$4+Settings!$B$5)*3,"A",IF($Y1532&lt;=(Settings!$B$4+Settings!$B$5+Settings!$B$6)*3,"F","")))</f>
        <v/>
      </c>
      <c r="AA1532" s="20">
        <f>IF($Z1532="C",$Y1532,IF($Z1532="A",$Y1532-Settings!$B$4*3,IF($Z1532="F",$Y1532-(Settings!$B$4+Settings!$B$5)*3,"")))</f>
        <v/>
      </c>
      <c r="AB1532" s="20">
        <f>IF($Z1532="","",INT(($AA1532-1)/3)+1)</f>
        <v/>
      </c>
      <c r="AC1532" s="20">
        <f>IF($Z1532="","",MOD($AA1532-1,3)+1)</f>
        <v/>
      </c>
      <c r="AD1532" s="20">
        <f>IF($Z1532="","",Settings!$B$2+$AC1532-1)</f>
        <v/>
      </c>
      <c r="AE1532" s="21">
        <f>IF($Z1532="C",DATE(YEAR(INDEX(Contracts!$J$2:$J$151,$AB1532)),MONTH(INDEX(Contracts!$J$2:$J$151,$AB1532)),1),IF($Z1532="A",DATE(YEAR(INDEX(Fixed_Assets!$G$2:$G$201,$AB1532)),MONTH(INDEX(Fixed_Assets!$G$2:$G$201,$AB1532)),1),IF($Z1532="F",DATE(YEAR(MAX(N(INDEX(Workforce!$I$2:$I$151,MATCH(INDEX(FTE_Allocation!$A$2:$A$201,$AB1532),Workforce!$A$2:$A$151,0))),N(INDEX(FTE_Allocation!$I$2:$I$201,$AB1532)))),MONTH(MAX(N(INDEX(Workforce!$I$2:$I$151,MATCH(INDEX(FTE_Allocation!$A$2:$A$201,$AB1532),Workforce!$A$2:$A$151,0))),N(INDEX(FTE_Allocation!$I$2:$I$201,$AB1532)))),1),"")))</f>
        <v/>
      </c>
      <c r="AF1532" s="21">
        <f>IF($Z1532="C",IF(INDEX(Contracts!$I$2:$I$151,$AB1532)="PREPAID",EDATE(DATE(YEAR(INDEX(Contracts!$J$2:$J$151,$AB1532)),MONTH(INDEX(Contracts!$J$2:$J$151,$AB1532)),1),IF(INDEX(Contracts!$N$2:$N$151,$AB1532)="",12,INDEX(Contracts!$N$2:$N$151,$AB1532))-1),IF(INDEX(Contracts!$I$2:$I$151,$AB1532)="MONTHLY",IF(INDEX(Contracts!$K$2:$K$151,$AB1532)="",2958101,INDEX(Contracts!$K$2:$K$151,$AB1532)),0)),IF($Z1532="A",EDATE(DATE(YEAR(INDEX(Fixed_Assets!$G$2:$G$201,$AB1532)),MONTH(INDEX(Fixed_Assets!$G$2:$G$201,$AB1532)),1),INDEX(Fixed_Assets!$J$2:$J$201,$AB1532)-1),IF($Z1532="F",MIN(IF(INDEX(Workforce!$J$2:$J$151,MATCH(INDEX(FTE_Allocation!$A$2:$A$201,$AB1532),Workforce!$A$2:$A$151,0))="",2958101,INDEX(Workforce!$J$2:$J$151,MATCH(INDEX(FTE_Allocation!$A$2:$A$201,$AB1532),Workforce!$A$2:$A$151,0))),IF(INDEX(FTE_Allocation!$J$2:$J$201,$AB1532)="",2958101,INDEX(FTE_Allocation!$J$2:$J$201,$AB1532))),"")))</f>
        <v/>
      </c>
      <c r="AG1532" s="19">
        <f>IF($Z1532="C",IF(INDEX(Contracts!$I$2:$I$151,$AB1532)="PREPAID",INDEX(Contracts!$M$2:$M$151,$AB1532)/IF(INDEX(Contracts!$N$2:$N$151,$AB1532)="",12,INDEX(Contracts!$N$2:$N$151,$AB1532)),IF(INDEX(Contracts!$I$2:$I$151,$AB1532)="MONTHLY",INDEX(Contracts!$M$2:$M$151,$AB1532),0))*(1-N(INDEX(Contracts!$O$2:$O$151,$AB1532))),IF($Z1532="A",INDEX(Fixed_Assets!$H$2:$H$201,$AB1532)/INDEX(Fixed_Assets!$J$2:$J$201,$AB1532),IF($Z1532="F",INDEX(Workforce!$F$2:$F$151,MATCH(INDEX(FTE_Allocation!$A$2:$A$201,$AB1532),Workforce!$A$2:$A$151,0))*N(INDEX(FTE_Allocation!$F$2:$H$201,$AB1532,$AC1532)),"")))</f>
        <v/>
      </c>
    </row>
    <row r="1533">
      <c r="A1533" s="7">
        <f>IF($Z1533="","",$AD1533)</f>
        <v/>
      </c>
      <c r="B1533" s="7">
        <f>IF($Z1533="C",INDEX(Contracts!$D$2:$D$151,$AB1533)&amp;"",IF($Z1533="A",INDEX(Fixed_Assets!$C$2:$C$201,$AB1533)&amp;"",IF($Z1533="F",INDEX(Workforce!$B$2:$B$151,MATCH(INDEX(FTE_Allocation!$A$2:$A$201,$AB1533),Workforce!$A$2:$A$151,0))&amp;"","")))</f>
        <v/>
      </c>
      <c r="C1533" s="7">
        <f>IF($Z1533="C",INDEX(Contracts!$E$2:$E$151,$AB1533)&amp;"",IF($Z1533="A",INDEX(Fixed_Assets!$D$2:$D$201,$AB1533)&amp;"",IF($Z1533="F",INDEX(FTE_Allocation!$C$2:$C$201,$AB1533)&amp;"","")))</f>
        <v/>
      </c>
      <c r="D1533" s="7">
        <f>IF($Z1533="C",INDEX(Contracts!$B$2:$B$151,$AB1533)&amp;"",IF($Z1533="A",INDEX(Fixed_Assets!$B$2:$B$201,$AB1533)&amp;"",IF($Z1533="F",INDEX(FTE_Allocation!$B$2:$B$201,$AB1533)&amp;"","")))</f>
        <v/>
      </c>
      <c r="E1533" s="7">
        <f>IF($Z1533="C",INDEX(Contracts!$P$2:$P$151,$AB1533)&amp;"",IF($Z1533="A",INDEX(Fixed_Assets!$K$2:$K$201,$AB1533)&amp;"",IF($Z1533="F",IF(INDEX(FTE_Allocation!$D$2:$D$201,$AB1533)="PROJECT",IFERROR(INDEX(Projects!$D:$D,MATCH(INDEX(FTE_Allocation!$E$2:$E$201,$AB1533),Projects!$A:$A,0))&amp;"","#PROJECT?"),INDEX(FTE_Allocation!$E$2:$E$201,$AB1533)&amp;""),"")))</f>
        <v/>
      </c>
      <c r="F1533" s="7">
        <f>IF($Z1533="C",INDEX(Contracts!$Q$2:$Q$151,$AB1533)&amp;"",IF($Z1533="A",INDEX(Fixed_Assets!$L$2:$L$201,$AB1533)&amp;"",IF($Z1533="F",INDEX(Workforce!$K$2:$K$151,MATCH(INDEX(FTE_Allocation!$A$2:$A$201,$AB1533),Workforce!$A$2:$A$151,0))&amp;"","")))</f>
        <v/>
      </c>
      <c r="G1533" s="7">
        <f>IF($Z1533="C",INDEX(Contracts!$F$2:$F$151,$AB1533)&amp;" / "&amp;INDEX(Contracts!$G$2:$G$151,$AB1533),IF($Z1533="A",INDEX(Fixed_Assets!$E$2:$E$201,$AB1533)&amp;"",IF($Z1533="F","Personnel "&amp;INDEX(FTE_Allocation!$A$2:$A$201,$AB1533)&amp;IF(INDEX(FTE_Allocation!$D$2:$D$201,$AB1533)="PROJECT"," ("&amp;INDEX(FTE_Allocation!$E$2:$E$201,$AB1533)&amp;")",""),"")))</f>
        <v/>
      </c>
      <c r="H1533" s="7">
        <f>IF($Z1533="C","CONTRACT",IF($Z1533="A","ASSET",IF($Z1533="F","WORKFORCE","")))</f>
        <v/>
      </c>
      <c r="I1533" s="7">
        <f>IF($Z1533="C",INDEX(Contracts!$L$2:$L$151,$AB1533)&amp;"",IF($Z1533="A",INDEX(Fixed_Assets!$I$2:$I$201,$AB1533)&amp;"",IF($Z1533="F",INDEX(Workforce!$G$2:$G$151,MATCH(INDEX(FTE_Allocation!$A$2:$A$201,$AB1533),Workforce!$A$2:$A$151,0))&amp;"","")))</f>
        <v/>
      </c>
      <c r="J1533" s="18">
        <f>IF($Z1533="","",IF(AND(DATE($AD1533,1,1)&gt;=$AE1533,DATE($AD1533,1,1)&lt;=$AF1533),ROUND($AG1533,2),0))</f>
        <v/>
      </c>
      <c r="K1533" s="18">
        <f>IF($Z1533="","",IF(AND(DATE($AD1533,2,1)&gt;=$AE1533,DATE($AD1533,2,1)&lt;=$AF1533),ROUND($AG1533,2),0))</f>
        <v/>
      </c>
      <c r="L1533" s="18">
        <f>IF($Z1533="","",IF(AND(DATE($AD1533,3,1)&gt;=$AE1533,DATE($AD1533,3,1)&lt;=$AF1533),ROUND($AG1533,2),0))</f>
        <v/>
      </c>
      <c r="M1533" s="18">
        <f>IF($Z1533="","",IF(AND(DATE($AD1533,4,1)&gt;=$AE1533,DATE($AD1533,4,1)&lt;=$AF1533),ROUND($AG1533,2),0))</f>
        <v/>
      </c>
      <c r="N1533" s="18">
        <f>IF($Z1533="","",IF(AND(DATE($AD1533,5,1)&gt;=$AE1533,DATE($AD1533,5,1)&lt;=$AF1533),ROUND($AG1533,2),0))</f>
        <v/>
      </c>
      <c r="O1533" s="18">
        <f>IF($Z1533="","",IF(AND(DATE($AD1533,6,1)&gt;=$AE1533,DATE($AD1533,6,1)&lt;=$AF1533),ROUND($AG1533,2),0))</f>
        <v/>
      </c>
      <c r="P1533" s="18">
        <f>IF($Z1533="","",IF(AND(DATE($AD1533,7,1)&gt;=$AE1533,DATE($AD1533,7,1)&lt;=$AF1533),ROUND($AG1533,2),0))</f>
        <v/>
      </c>
      <c r="Q1533" s="18">
        <f>IF($Z1533="","",IF(AND(DATE($AD1533,8,1)&gt;=$AE1533,DATE($AD1533,8,1)&lt;=$AF1533),ROUND($AG1533,2),0))</f>
        <v/>
      </c>
      <c r="R1533" s="18">
        <f>IF($Z1533="","",IF(AND(DATE($AD1533,9,1)&gt;=$AE1533,DATE($AD1533,9,1)&lt;=$AF1533),ROUND($AG1533,2),0))</f>
        <v/>
      </c>
      <c r="S1533" s="18">
        <f>IF($Z1533="","",IF(AND(DATE($AD1533,10,1)&gt;=$AE1533,DATE($AD1533,10,1)&lt;=$AF1533),ROUND($AG1533,2),0))</f>
        <v/>
      </c>
      <c r="T1533" s="18">
        <f>IF($Z1533="","",IF(AND(DATE($AD1533,11,1)&gt;=$AE1533,DATE($AD1533,11,1)&lt;=$AF1533),ROUND($AG1533,2),0))</f>
        <v/>
      </c>
      <c r="U1533" s="18">
        <f>IF($Z1533="","",IF(AND(DATE($AD1533,12,1)&gt;=$AE1533,DATE($AD1533,12,1)&lt;=$AF1533),ROUND($AG1533,2),0))</f>
        <v/>
      </c>
      <c r="V1533" s="7">
        <f>IF($Z1533="C","Generated from "&amp;INDEX(Contracts!$A$2:$A$151,$AB1533),IF($Z1533="A","Generated from "&amp;INDEX(Fixed_Assets!$A$2:$A$201,$AB1533),IF($Z1533="F","Generated from "&amp;INDEX(FTE_Allocation!$A$2:$A$201,$AB1533),"")))</f>
        <v/>
      </c>
      <c r="X1533" s="19">
        <f>IF($Z1533="","",SUM(J1533:U1533))</f>
        <v/>
      </c>
      <c r="Y1533" s="20">
        <f>ROW()-1</f>
        <v/>
      </c>
      <c r="Z1533" s="20">
        <f>IF($Y1533&lt;=Settings!$B$4*3,"C",IF($Y1533&lt;=(Settings!$B$4+Settings!$B$5)*3,"A",IF($Y1533&lt;=(Settings!$B$4+Settings!$B$5+Settings!$B$6)*3,"F","")))</f>
        <v/>
      </c>
      <c r="AA1533" s="20">
        <f>IF($Z1533="C",$Y1533,IF($Z1533="A",$Y1533-Settings!$B$4*3,IF($Z1533="F",$Y1533-(Settings!$B$4+Settings!$B$5)*3,"")))</f>
        <v/>
      </c>
      <c r="AB1533" s="20">
        <f>IF($Z1533="","",INT(($AA1533-1)/3)+1)</f>
        <v/>
      </c>
      <c r="AC1533" s="20">
        <f>IF($Z1533="","",MOD($AA1533-1,3)+1)</f>
        <v/>
      </c>
      <c r="AD1533" s="20">
        <f>IF($Z1533="","",Settings!$B$2+$AC1533-1)</f>
        <v/>
      </c>
      <c r="AE1533" s="21">
        <f>IF($Z1533="C",DATE(YEAR(INDEX(Contracts!$J$2:$J$151,$AB1533)),MONTH(INDEX(Contracts!$J$2:$J$151,$AB1533)),1),IF($Z1533="A",DATE(YEAR(INDEX(Fixed_Assets!$G$2:$G$201,$AB1533)),MONTH(INDEX(Fixed_Assets!$G$2:$G$201,$AB1533)),1),IF($Z1533="F",DATE(YEAR(MAX(N(INDEX(Workforce!$I$2:$I$151,MATCH(INDEX(FTE_Allocation!$A$2:$A$201,$AB1533),Workforce!$A$2:$A$151,0))),N(INDEX(FTE_Allocation!$I$2:$I$201,$AB1533)))),MONTH(MAX(N(INDEX(Workforce!$I$2:$I$151,MATCH(INDEX(FTE_Allocation!$A$2:$A$201,$AB1533),Workforce!$A$2:$A$151,0))),N(INDEX(FTE_Allocation!$I$2:$I$201,$AB1533)))),1),"")))</f>
        <v/>
      </c>
      <c r="AF1533" s="21">
        <f>IF($Z1533="C",IF(INDEX(Contracts!$I$2:$I$151,$AB1533)="PREPAID",EDATE(DATE(YEAR(INDEX(Contracts!$J$2:$J$151,$AB1533)),MONTH(INDEX(Contracts!$J$2:$J$151,$AB1533)),1),IF(INDEX(Contracts!$N$2:$N$151,$AB1533)="",12,INDEX(Contracts!$N$2:$N$151,$AB1533))-1),IF(INDEX(Contracts!$I$2:$I$151,$AB1533)="MONTHLY",IF(INDEX(Contracts!$K$2:$K$151,$AB1533)="",2958101,INDEX(Contracts!$K$2:$K$151,$AB1533)),0)),IF($Z1533="A",EDATE(DATE(YEAR(INDEX(Fixed_Assets!$G$2:$G$201,$AB1533)),MONTH(INDEX(Fixed_Assets!$G$2:$G$201,$AB1533)),1),INDEX(Fixed_Assets!$J$2:$J$201,$AB1533)-1),IF($Z1533="F",MIN(IF(INDEX(Workforce!$J$2:$J$151,MATCH(INDEX(FTE_Allocation!$A$2:$A$201,$AB1533),Workforce!$A$2:$A$151,0))="",2958101,INDEX(Workforce!$J$2:$J$151,MATCH(INDEX(FTE_Allocation!$A$2:$A$201,$AB1533),Workforce!$A$2:$A$151,0))),IF(INDEX(FTE_Allocation!$J$2:$J$201,$AB1533)="",2958101,INDEX(FTE_Allocation!$J$2:$J$201,$AB1533))),"")))</f>
        <v/>
      </c>
      <c r="AG1533" s="19">
        <f>IF($Z1533="C",IF(INDEX(Contracts!$I$2:$I$151,$AB1533)="PREPAID",INDEX(Contracts!$M$2:$M$151,$AB1533)/IF(INDEX(Contracts!$N$2:$N$151,$AB1533)="",12,INDEX(Contracts!$N$2:$N$151,$AB1533)),IF(INDEX(Contracts!$I$2:$I$151,$AB1533)="MONTHLY",INDEX(Contracts!$M$2:$M$151,$AB1533),0))*(1-N(INDEX(Contracts!$O$2:$O$151,$AB1533))),IF($Z1533="A",INDEX(Fixed_Assets!$H$2:$H$201,$AB1533)/INDEX(Fixed_Assets!$J$2:$J$201,$AB1533),IF($Z1533="F",INDEX(Workforce!$F$2:$F$151,MATCH(INDEX(FTE_Allocation!$A$2:$A$201,$AB1533),Workforce!$A$2:$A$151,0))*N(INDEX(FTE_Allocation!$F$2:$H$201,$AB1533,$AC1533)),"")))</f>
        <v/>
      </c>
    </row>
    <row r="1534">
      <c r="A1534" s="7">
        <f>IF($Z1534="","",$AD1534)</f>
        <v/>
      </c>
      <c r="B1534" s="7">
        <f>IF($Z1534="C",INDEX(Contracts!$D$2:$D$151,$AB1534)&amp;"",IF($Z1534="A",INDEX(Fixed_Assets!$C$2:$C$201,$AB1534)&amp;"",IF($Z1534="F",INDEX(Workforce!$B$2:$B$151,MATCH(INDEX(FTE_Allocation!$A$2:$A$201,$AB1534),Workforce!$A$2:$A$151,0))&amp;"","")))</f>
        <v/>
      </c>
      <c r="C1534" s="7">
        <f>IF($Z1534="C",INDEX(Contracts!$E$2:$E$151,$AB1534)&amp;"",IF($Z1534="A",INDEX(Fixed_Assets!$D$2:$D$201,$AB1534)&amp;"",IF($Z1534="F",INDEX(FTE_Allocation!$C$2:$C$201,$AB1534)&amp;"","")))</f>
        <v/>
      </c>
      <c r="D1534" s="7">
        <f>IF($Z1534="C",INDEX(Contracts!$B$2:$B$151,$AB1534)&amp;"",IF($Z1534="A",INDEX(Fixed_Assets!$B$2:$B$201,$AB1534)&amp;"",IF($Z1534="F",INDEX(FTE_Allocation!$B$2:$B$201,$AB1534)&amp;"","")))</f>
        <v/>
      </c>
      <c r="E1534" s="7">
        <f>IF($Z1534="C",INDEX(Contracts!$P$2:$P$151,$AB1534)&amp;"",IF($Z1534="A",INDEX(Fixed_Assets!$K$2:$K$201,$AB1534)&amp;"",IF($Z1534="F",IF(INDEX(FTE_Allocation!$D$2:$D$201,$AB1534)="PROJECT",IFERROR(INDEX(Projects!$D:$D,MATCH(INDEX(FTE_Allocation!$E$2:$E$201,$AB1534),Projects!$A:$A,0))&amp;"","#PROJECT?"),INDEX(FTE_Allocation!$E$2:$E$201,$AB1534)&amp;""),"")))</f>
        <v/>
      </c>
      <c r="F1534" s="7">
        <f>IF($Z1534="C",INDEX(Contracts!$Q$2:$Q$151,$AB1534)&amp;"",IF($Z1534="A",INDEX(Fixed_Assets!$L$2:$L$201,$AB1534)&amp;"",IF($Z1534="F",INDEX(Workforce!$K$2:$K$151,MATCH(INDEX(FTE_Allocation!$A$2:$A$201,$AB1534),Workforce!$A$2:$A$151,0))&amp;"","")))</f>
        <v/>
      </c>
      <c r="G1534" s="7">
        <f>IF($Z1534="C",INDEX(Contracts!$F$2:$F$151,$AB1534)&amp;" / "&amp;INDEX(Contracts!$G$2:$G$151,$AB1534),IF($Z1534="A",INDEX(Fixed_Assets!$E$2:$E$201,$AB1534)&amp;"",IF($Z1534="F","Personnel "&amp;INDEX(FTE_Allocation!$A$2:$A$201,$AB1534)&amp;IF(INDEX(FTE_Allocation!$D$2:$D$201,$AB1534)="PROJECT"," ("&amp;INDEX(FTE_Allocation!$E$2:$E$201,$AB1534)&amp;")",""),"")))</f>
        <v/>
      </c>
      <c r="H1534" s="7">
        <f>IF($Z1534="C","CONTRACT",IF($Z1534="A","ASSET",IF($Z1534="F","WORKFORCE","")))</f>
        <v/>
      </c>
      <c r="I1534" s="7">
        <f>IF($Z1534="C",INDEX(Contracts!$L$2:$L$151,$AB1534)&amp;"",IF($Z1534="A",INDEX(Fixed_Assets!$I$2:$I$201,$AB1534)&amp;"",IF($Z1534="F",INDEX(Workforce!$G$2:$G$151,MATCH(INDEX(FTE_Allocation!$A$2:$A$201,$AB1534),Workforce!$A$2:$A$151,0))&amp;"","")))</f>
        <v/>
      </c>
      <c r="J1534" s="18">
        <f>IF($Z1534="","",IF(AND(DATE($AD1534,1,1)&gt;=$AE1534,DATE($AD1534,1,1)&lt;=$AF1534),ROUND($AG1534,2),0))</f>
        <v/>
      </c>
      <c r="K1534" s="18">
        <f>IF($Z1534="","",IF(AND(DATE($AD1534,2,1)&gt;=$AE1534,DATE($AD1534,2,1)&lt;=$AF1534),ROUND($AG1534,2),0))</f>
        <v/>
      </c>
      <c r="L1534" s="18">
        <f>IF($Z1534="","",IF(AND(DATE($AD1534,3,1)&gt;=$AE1534,DATE($AD1534,3,1)&lt;=$AF1534),ROUND($AG1534,2),0))</f>
        <v/>
      </c>
      <c r="M1534" s="18">
        <f>IF($Z1534="","",IF(AND(DATE($AD1534,4,1)&gt;=$AE1534,DATE($AD1534,4,1)&lt;=$AF1534),ROUND($AG1534,2),0))</f>
        <v/>
      </c>
      <c r="N1534" s="18">
        <f>IF($Z1534="","",IF(AND(DATE($AD1534,5,1)&gt;=$AE1534,DATE($AD1534,5,1)&lt;=$AF1534),ROUND($AG1534,2),0))</f>
        <v/>
      </c>
      <c r="O1534" s="18">
        <f>IF($Z1534="","",IF(AND(DATE($AD1534,6,1)&gt;=$AE1534,DATE($AD1534,6,1)&lt;=$AF1534),ROUND($AG1534,2),0))</f>
        <v/>
      </c>
      <c r="P1534" s="18">
        <f>IF($Z1534="","",IF(AND(DATE($AD1534,7,1)&gt;=$AE1534,DATE($AD1534,7,1)&lt;=$AF1534),ROUND($AG1534,2),0))</f>
        <v/>
      </c>
      <c r="Q1534" s="18">
        <f>IF($Z1534="","",IF(AND(DATE($AD1534,8,1)&gt;=$AE1534,DATE($AD1534,8,1)&lt;=$AF1534),ROUND($AG1534,2),0))</f>
        <v/>
      </c>
      <c r="R1534" s="18">
        <f>IF($Z1534="","",IF(AND(DATE($AD1534,9,1)&gt;=$AE1534,DATE($AD1534,9,1)&lt;=$AF1534),ROUND($AG1534,2),0))</f>
        <v/>
      </c>
      <c r="S1534" s="18">
        <f>IF($Z1534="","",IF(AND(DATE($AD1534,10,1)&gt;=$AE1534,DATE($AD1534,10,1)&lt;=$AF1534),ROUND($AG1534,2),0))</f>
        <v/>
      </c>
      <c r="T1534" s="18">
        <f>IF($Z1534="","",IF(AND(DATE($AD1534,11,1)&gt;=$AE1534,DATE($AD1534,11,1)&lt;=$AF1534),ROUND($AG1534,2),0))</f>
        <v/>
      </c>
      <c r="U1534" s="18">
        <f>IF($Z1534="","",IF(AND(DATE($AD1534,12,1)&gt;=$AE1534,DATE($AD1534,12,1)&lt;=$AF1534),ROUND($AG1534,2),0))</f>
        <v/>
      </c>
      <c r="V1534" s="7">
        <f>IF($Z1534="C","Generated from "&amp;INDEX(Contracts!$A$2:$A$151,$AB1534),IF($Z1534="A","Generated from "&amp;INDEX(Fixed_Assets!$A$2:$A$201,$AB1534),IF($Z1534="F","Generated from "&amp;INDEX(FTE_Allocation!$A$2:$A$201,$AB1534),"")))</f>
        <v/>
      </c>
      <c r="X1534" s="19">
        <f>IF($Z1534="","",SUM(J1534:U1534))</f>
        <v/>
      </c>
      <c r="Y1534" s="20">
        <f>ROW()-1</f>
        <v/>
      </c>
      <c r="Z1534" s="20">
        <f>IF($Y1534&lt;=Settings!$B$4*3,"C",IF($Y1534&lt;=(Settings!$B$4+Settings!$B$5)*3,"A",IF($Y1534&lt;=(Settings!$B$4+Settings!$B$5+Settings!$B$6)*3,"F","")))</f>
        <v/>
      </c>
      <c r="AA1534" s="20">
        <f>IF($Z1534="C",$Y1534,IF($Z1534="A",$Y1534-Settings!$B$4*3,IF($Z1534="F",$Y1534-(Settings!$B$4+Settings!$B$5)*3,"")))</f>
        <v/>
      </c>
      <c r="AB1534" s="20">
        <f>IF($Z1534="","",INT(($AA1534-1)/3)+1)</f>
        <v/>
      </c>
      <c r="AC1534" s="20">
        <f>IF($Z1534="","",MOD($AA1534-1,3)+1)</f>
        <v/>
      </c>
      <c r="AD1534" s="20">
        <f>IF($Z1534="","",Settings!$B$2+$AC1534-1)</f>
        <v/>
      </c>
      <c r="AE1534" s="21">
        <f>IF($Z1534="C",DATE(YEAR(INDEX(Contracts!$J$2:$J$151,$AB1534)),MONTH(INDEX(Contracts!$J$2:$J$151,$AB1534)),1),IF($Z1534="A",DATE(YEAR(INDEX(Fixed_Assets!$G$2:$G$201,$AB1534)),MONTH(INDEX(Fixed_Assets!$G$2:$G$201,$AB1534)),1),IF($Z1534="F",DATE(YEAR(MAX(N(INDEX(Workforce!$I$2:$I$151,MATCH(INDEX(FTE_Allocation!$A$2:$A$201,$AB1534),Workforce!$A$2:$A$151,0))),N(INDEX(FTE_Allocation!$I$2:$I$201,$AB1534)))),MONTH(MAX(N(INDEX(Workforce!$I$2:$I$151,MATCH(INDEX(FTE_Allocation!$A$2:$A$201,$AB1534),Workforce!$A$2:$A$151,0))),N(INDEX(FTE_Allocation!$I$2:$I$201,$AB1534)))),1),"")))</f>
        <v/>
      </c>
      <c r="AF1534" s="21">
        <f>IF($Z1534="C",IF(INDEX(Contracts!$I$2:$I$151,$AB1534)="PREPAID",EDATE(DATE(YEAR(INDEX(Contracts!$J$2:$J$151,$AB1534)),MONTH(INDEX(Contracts!$J$2:$J$151,$AB1534)),1),IF(INDEX(Contracts!$N$2:$N$151,$AB1534)="",12,INDEX(Contracts!$N$2:$N$151,$AB1534))-1),IF(INDEX(Contracts!$I$2:$I$151,$AB1534)="MONTHLY",IF(INDEX(Contracts!$K$2:$K$151,$AB1534)="",2958101,INDEX(Contracts!$K$2:$K$151,$AB1534)),0)),IF($Z1534="A",EDATE(DATE(YEAR(INDEX(Fixed_Assets!$G$2:$G$201,$AB1534)),MONTH(INDEX(Fixed_Assets!$G$2:$G$201,$AB1534)),1),INDEX(Fixed_Assets!$J$2:$J$201,$AB1534)-1),IF($Z1534="F",MIN(IF(INDEX(Workforce!$J$2:$J$151,MATCH(INDEX(FTE_Allocation!$A$2:$A$201,$AB1534),Workforce!$A$2:$A$151,0))="",2958101,INDEX(Workforce!$J$2:$J$151,MATCH(INDEX(FTE_Allocation!$A$2:$A$201,$AB1534),Workforce!$A$2:$A$151,0))),IF(INDEX(FTE_Allocation!$J$2:$J$201,$AB1534)="",2958101,INDEX(FTE_Allocation!$J$2:$J$201,$AB1534))),"")))</f>
        <v/>
      </c>
      <c r="AG1534" s="19">
        <f>IF($Z1534="C",IF(INDEX(Contracts!$I$2:$I$151,$AB1534)="PREPAID",INDEX(Contracts!$M$2:$M$151,$AB1534)/IF(INDEX(Contracts!$N$2:$N$151,$AB1534)="",12,INDEX(Contracts!$N$2:$N$151,$AB1534)),IF(INDEX(Contracts!$I$2:$I$151,$AB1534)="MONTHLY",INDEX(Contracts!$M$2:$M$151,$AB1534),0))*(1-N(INDEX(Contracts!$O$2:$O$151,$AB1534))),IF($Z1534="A",INDEX(Fixed_Assets!$H$2:$H$201,$AB1534)/INDEX(Fixed_Assets!$J$2:$J$201,$AB1534),IF($Z1534="F",INDEX(Workforce!$F$2:$F$151,MATCH(INDEX(FTE_Allocation!$A$2:$A$201,$AB1534),Workforce!$A$2:$A$151,0))*N(INDEX(FTE_Allocation!$F$2:$H$201,$AB1534,$AC1534)),"")))</f>
        <v/>
      </c>
    </row>
    <row r="1535">
      <c r="A1535" s="7">
        <f>IF($Z1535="","",$AD1535)</f>
        <v/>
      </c>
      <c r="B1535" s="7">
        <f>IF($Z1535="C",INDEX(Contracts!$D$2:$D$151,$AB1535)&amp;"",IF($Z1535="A",INDEX(Fixed_Assets!$C$2:$C$201,$AB1535)&amp;"",IF($Z1535="F",INDEX(Workforce!$B$2:$B$151,MATCH(INDEX(FTE_Allocation!$A$2:$A$201,$AB1535),Workforce!$A$2:$A$151,0))&amp;"","")))</f>
        <v/>
      </c>
      <c r="C1535" s="7">
        <f>IF($Z1535="C",INDEX(Contracts!$E$2:$E$151,$AB1535)&amp;"",IF($Z1535="A",INDEX(Fixed_Assets!$D$2:$D$201,$AB1535)&amp;"",IF($Z1535="F",INDEX(FTE_Allocation!$C$2:$C$201,$AB1535)&amp;"","")))</f>
        <v/>
      </c>
      <c r="D1535" s="7">
        <f>IF($Z1535="C",INDEX(Contracts!$B$2:$B$151,$AB1535)&amp;"",IF($Z1535="A",INDEX(Fixed_Assets!$B$2:$B$201,$AB1535)&amp;"",IF($Z1535="F",INDEX(FTE_Allocation!$B$2:$B$201,$AB1535)&amp;"","")))</f>
        <v/>
      </c>
      <c r="E1535" s="7">
        <f>IF($Z1535="C",INDEX(Contracts!$P$2:$P$151,$AB1535)&amp;"",IF($Z1535="A",INDEX(Fixed_Assets!$K$2:$K$201,$AB1535)&amp;"",IF($Z1535="F",IF(INDEX(FTE_Allocation!$D$2:$D$201,$AB1535)="PROJECT",IFERROR(INDEX(Projects!$D:$D,MATCH(INDEX(FTE_Allocation!$E$2:$E$201,$AB1535),Projects!$A:$A,0))&amp;"","#PROJECT?"),INDEX(FTE_Allocation!$E$2:$E$201,$AB1535)&amp;""),"")))</f>
        <v/>
      </c>
      <c r="F1535" s="7">
        <f>IF($Z1535="C",INDEX(Contracts!$Q$2:$Q$151,$AB1535)&amp;"",IF($Z1535="A",INDEX(Fixed_Assets!$L$2:$L$201,$AB1535)&amp;"",IF($Z1535="F",INDEX(Workforce!$K$2:$K$151,MATCH(INDEX(FTE_Allocation!$A$2:$A$201,$AB1535),Workforce!$A$2:$A$151,0))&amp;"","")))</f>
        <v/>
      </c>
      <c r="G1535" s="7">
        <f>IF($Z1535="C",INDEX(Contracts!$F$2:$F$151,$AB1535)&amp;" / "&amp;INDEX(Contracts!$G$2:$G$151,$AB1535),IF($Z1535="A",INDEX(Fixed_Assets!$E$2:$E$201,$AB1535)&amp;"",IF($Z1535="F","Personnel "&amp;INDEX(FTE_Allocation!$A$2:$A$201,$AB1535)&amp;IF(INDEX(FTE_Allocation!$D$2:$D$201,$AB1535)="PROJECT"," ("&amp;INDEX(FTE_Allocation!$E$2:$E$201,$AB1535)&amp;")",""),"")))</f>
        <v/>
      </c>
      <c r="H1535" s="7">
        <f>IF($Z1535="C","CONTRACT",IF($Z1535="A","ASSET",IF($Z1535="F","WORKFORCE","")))</f>
        <v/>
      </c>
      <c r="I1535" s="7">
        <f>IF($Z1535="C",INDEX(Contracts!$L$2:$L$151,$AB1535)&amp;"",IF($Z1535="A",INDEX(Fixed_Assets!$I$2:$I$201,$AB1535)&amp;"",IF($Z1535="F",INDEX(Workforce!$G$2:$G$151,MATCH(INDEX(FTE_Allocation!$A$2:$A$201,$AB1535),Workforce!$A$2:$A$151,0))&amp;"","")))</f>
        <v/>
      </c>
      <c r="J1535" s="18">
        <f>IF($Z1535="","",IF(AND(DATE($AD1535,1,1)&gt;=$AE1535,DATE($AD1535,1,1)&lt;=$AF1535),ROUND($AG1535,2),0))</f>
        <v/>
      </c>
      <c r="K1535" s="18">
        <f>IF($Z1535="","",IF(AND(DATE($AD1535,2,1)&gt;=$AE1535,DATE($AD1535,2,1)&lt;=$AF1535),ROUND($AG1535,2),0))</f>
        <v/>
      </c>
      <c r="L1535" s="18">
        <f>IF($Z1535="","",IF(AND(DATE($AD1535,3,1)&gt;=$AE1535,DATE($AD1535,3,1)&lt;=$AF1535),ROUND($AG1535,2),0))</f>
        <v/>
      </c>
      <c r="M1535" s="18">
        <f>IF($Z1535="","",IF(AND(DATE($AD1535,4,1)&gt;=$AE1535,DATE($AD1535,4,1)&lt;=$AF1535),ROUND($AG1535,2),0))</f>
        <v/>
      </c>
      <c r="N1535" s="18">
        <f>IF($Z1535="","",IF(AND(DATE($AD1535,5,1)&gt;=$AE1535,DATE($AD1535,5,1)&lt;=$AF1535),ROUND($AG1535,2),0))</f>
        <v/>
      </c>
      <c r="O1535" s="18">
        <f>IF($Z1535="","",IF(AND(DATE($AD1535,6,1)&gt;=$AE1535,DATE($AD1535,6,1)&lt;=$AF1535),ROUND($AG1535,2),0))</f>
        <v/>
      </c>
      <c r="P1535" s="18">
        <f>IF($Z1535="","",IF(AND(DATE($AD1535,7,1)&gt;=$AE1535,DATE($AD1535,7,1)&lt;=$AF1535),ROUND($AG1535,2),0))</f>
        <v/>
      </c>
      <c r="Q1535" s="18">
        <f>IF($Z1535="","",IF(AND(DATE($AD1535,8,1)&gt;=$AE1535,DATE($AD1535,8,1)&lt;=$AF1535),ROUND($AG1535,2),0))</f>
        <v/>
      </c>
      <c r="R1535" s="18">
        <f>IF($Z1535="","",IF(AND(DATE($AD1535,9,1)&gt;=$AE1535,DATE($AD1535,9,1)&lt;=$AF1535),ROUND($AG1535,2),0))</f>
        <v/>
      </c>
      <c r="S1535" s="18">
        <f>IF($Z1535="","",IF(AND(DATE($AD1535,10,1)&gt;=$AE1535,DATE($AD1535,10,1)&lt;=$AF1535),ROUND($AG1535,2),0))</f>
        <v/>
      </c>
      <c r="T1535" s="18">
        <f>IF($Z1535="","",IF(AND(DATE($AD1535,11,1)&gt;=$AE1535,DATE($AD1535,11,1)&lt;=$AF1535),ROUND($AG1535,2),0))</f>
        <v/>
      </c>
      <c r="U1535" s="18">
        <f>IF($Z1535="","",IF(AND(DATE($AD1535,12,1)&gt;=$AE1535,DATE($AD1535,12,1)&lt;=$AF1535),ROUND($AG1535,2),0))</f>
        <v/>
      </c>
      <c r="V1535" s="7">
        <f>IF($Z1535="C","Generated from "&amp;INDEX(Contracts!$A$2:$A$151,$AB1535),IF($Z1535="A","Generated from "&amp;INDEX(Fixed_Assets!$A$2:$A$201,$AB1535),IF($Z1535="F","Generated from "&amp;INDEX(FTE_Allocation!$A$2:$A$201,$AB1535),"")))</f>
        <v/>
      </c>
      <c r="X1535" s="19">
        <f>IF($Z1535="","",SUM(J1535:U1535))</f>
        <v/>
      </c>
      <c r="Y1535" s="20">
        <f>ROW()-1</f>
        <v/>
      </c>
      <c r="Z1535" s="20">
        <f>IF($Y1535&lt;=Settings!$B$4*3,"C",IF($Y1535&lt;=(Settings!$B$4+Settings!$B$5)*3,"A",IF($Y1535&lt;=(Settings!$B$4+Settings!$B$5+Settings!$B$6)*3,"F","")))</f>
        <v/>
      </c>
      <c r="AA1535" s="20">
        <f>IF($Z1535="C",$Y1535,IF($Z1535="A",$Y1535-Settings!$B$4*3,IF($Z1535="F",$Y1535-(Settings!$B$4+Settings!$B$5)*3,"")))</f>
        <v/>
      </c>
      <c r="AB1535" s="20">
        <f>IF($Z1535="","",INT(($AA1535-1)/3)+1)</f>
        <v/>
      </c>
      <c r="AC1535" s="20">
        <f>IF($Z1535="","",MOD($AA1535-1,3)+1)</f>
        <v/>
      </c>
      <c r="AD1535" s="20">
        <f>IF($Z1535="","",Settings!$B$2+$AC1535-1)</f>
        <v/>
      </c>
      <c r="AE1535" s="21">
        <f>IF($Z1535="C",DATE(YEAR(INDEX(Contracts!$J$2:$J$151,$AB1535)),MONTH(INDEX(Contracts!$J$2:$J$151,$AB1535)),1),IF($Z1535="A",DATE(YEAR(INDEX(Fixed_Assets!$G$2:$G$201,$AB1535)),MONTH(INDEX(Fixed_Assets!$G$2:$G$201,$AB1535)),1),IF($Z1535="F",DATE(YEAR(MAX(N(INDEX(Workforce!$I$2:$I$151,MATCH(INDEX(FTE_Allocation!$A$2:$A$201,$AB1535),Workforce!$A$2:$A$151,0))),N(INDEX(FTE_Allocation!$I$2:$I$201,$AB1535)))),MONTH(MAX(N(INDEX(Workforce!$I$2:$I$151,MATCH(INDEX(FTE_Allocation!$A$2:$A$201,$AB1535),Workforce!$A$2:$A$151,0))),N(INDEX(FTE_Allocation!$I$2:$I$201,$AB1535)))),1),"")))</f>
        <v/>
      </c>
      <c r="AF1535" s="21">
        <f>IF($Z1535="C",IF(INDEX(Contracts!$I$2:$I$151,$AB1535)="PREPAID",EDATE(DATE(YEAR(INDEX(Contracts!$J$2:$J$151,$AB1535)),MONTH(INDEX(Contracts!$J$2:$J$151,$AB1535)),1),IF(INDEX(Contracts!$N$2:$N$151,$AB1535)="",12,INDEX(Contracts!$N$2:$N$151,$AB1535))-1),IF(INDEX(Contracts!$I$2:$I$151,$AB1535)="MONTHLY",IF(INDEX(Contracts!$K$2:$K$151,$AB1535)="",2958101,INDEX(Contracts!$K$2:$K$151,$AB1535)),0)),IF($Z1535="A",EDATE(DATE(YEAR(INDEX(Fixed_Assets!$G$2:$G$201,$AB1535)),MONTH(INDEX(Fixed_Assets!$G$2:$G$201,$AB1535)),1),INDEX(Fixed_Assets!$J$2:$J$201,$AB1535)-1),IF($Z1535="F",MIN(IF(INDEX(Workforce!$J$2:$J$151,MATCH(INDEX(FTE_Allocation!$A$2:$A$201,$AB1535),Workforce!$A$2:$A$151,0))="",2958101,INDEX(Workforce!$J$2:$J$151,MATCH(INDEX(FTE_Allocation!$A$2:$A$201,$AB1535),Workforce!$A$2:$A$151,0))),IF(INDEX(FTE_Allocation!$J$2:$J$201,$AB1535)="",2958101,INDEX(FTE_Allocation!$J$2:$J$201,$AB1535))),"")))</f>
        <v/>
      </c>
      <c r="AG1535" s="19">
        <f>IF($Z1535="C",IF(INDEX(Contracts!$I$2:$I$151,$AB1535)="PREPAID",INDEX(Contracts!$M$2:$M$151,$AB1535)/IF(INDEX(Contracts!$N$2:$N$151,$AB1535)="",12,INDEX(Contracts!$N$2:$N$151,$AB1535)),IF(INDEX(Contracts!$I$2:$I$151,$AB1535)="MONTHLY",INDEX(Contracts!$M$2:$M$151,$AB1535),0))*(1-N(INDEX(Contracts!$O$2:$O$151,$AB1535))),IF($Z1535="A",INDEX(Fixed_Assets!$H$2:$H$201,$AB1535)/INDEX(Fixed_Assets!$J$2:$J$201,$AB1535),IF($Z1535="F",INDEX(Workforce!$F$2:$F$151,MATCH(INDEX(FTE_Allocation!$A$2:$A$201,$AB1535),Workforce!$A$2:$A$151,0))*N(INDEX(FTE_Allocation!$F$2:$H$201,$AB1535,$AC1535)),"")))</f>
        <v/>
      </c>
    </row>
    <row r="1536">
      <c r="A1536" s="7">
        <f>IF($Z1536="","",$AD1536)</f>
        <v/>
      </c>
      <c r="B1536" s="7">
        <f>IF($Z1536="C",INDEX(Contracts!$D$2:$D$151,$AB1536)&amp;"",IF($Z1536="A",INDEX(Fixed_Assets!$C$2:$C$201,$AB1536)&amp;"",IF($Z1536="F",INDEX(Workforce!$B$2:$B$151,MATCH(INDEX(FTE_Allocation!$A$2:$A$201,$AB1536),Workforce!$A$2:$A$151,0))&amp;"","")))</f>
        <v/>
      </c>
      <c r="C1536" s="7">
        <f>IF($Z1536="C",INDEX(Contracts!$E$2:$E$151,$AB1536)&amp;"",IF($Z1536="A",INDEX(Fixed_Assets!$D$2:$D$201,$AB1536)&amp;"",IF($Z1536="F",INDEX(FTE_Allocation!$C$2:$C$201,$AB1536)&amp;"","")))</f>
        <v/>
      </c>
      <c r="D1536" s="7">
        <f>IF($Z1536="C",INDEX(Contracts!$B$2:$B$151,$AB1536)&amp;"",IF($Z1536="A",INDEX(Fixed_Assets!$B$2:$B$201,$AB1536)&amp;"",IF($Z1536="F",INDEX(FTE_Allocation!$B$2:$B$201,$AB1536)&amp;"","")))</f>
        <v/>
      </c>
      <c r="E1536" s="7">
        <f>IF($Z1536="C",INDEX(Contracts!$P$2:$P$151,$AB1536)&amp;"",IF($Z1536="A",INDEX(Fixed_Assets!$K$2:$K$201,$AB1536)&amp;"",IF($Z1536="F",IF(INDEX(FTE_Allocation!$D$2:$D$201,$AB1536)="PROJECT",IFERROR(INDEX(Projects!$D:$D,MATCH(INDEX(FTE_Allocation!$E$2:$E$201,$AB1536),Projects!$A:$A,0))&amp;"","#PROJECT?"),INDEX(FTE_Allocation!$E$2:$E$201,$AB1536)&amp;""),"")))</f>
        <v/>
      </c>
      <c r="F1536" s="7">
        <f>IF($Z1536="C",INDEX(Contracts!$Q$2:$Q$151,$AB1536)&amp;"",IF($Z1536="A",INDEX(Fixed_Assets!$L$2:$L$201,$AB1536)&amp;"",IF($Z1536="F",INDEX(Workforce!$K$2:$K$151,MATCH(INDEX(FTE_Allocation!$A$2:$A$201,$AB1536),Workforce!$A$2:$A$151,0))&amp;"","")))</f>
        <v/>
      </c>
      <c r="G1536" s="7">
        <f>IF($Z1536="C",INDEX(Contracts!$F$2:$F$151,$AB1536)&amp;" / "&amp;INDEX(Contracts!$G$2:$G$151,$AB1536),IF($Z1536="A",INDEX(Fixed_Assets!$E$2:$E$201,$AB1536)&amp;"",IF($Z1536="F","Personnel "&amp;INDEX(FTE_Allocation!$A$2:$A$201,$AB1536)&amp;IF(INDEX(FTE_Allocation!$D$2:$D$201,$AB1536)="PROJECT"," ("&amp;INDEX(FTE_Allocation!$E$2:$E$201,$AB1536)&amp;")",""),"")))</f>
        <v/>
      </c>
      <c r="H1536" s="7">
        <f>IF($Z1536="C","CONTRACT",IF($Z1536="A","ASSET",IF($Z1536="F","WORKFORCE","")))</f>
        <v/>
      </c>
      <c r="I1536" s="7">
        <f>IF($Z1536="C",INDEX(Contracts!$L$2:$L$151,$AB1536)&amp;"",IF($Z1536="A",INDEX(Fixed_Assets!$I$2:$I$201,$AB1536)&amp;"",IF($Z1536="F",INDEX(Workforce!$G$2:$G$151,MATCH(INDEX(FTE_Allocation!$A$2:$A$201,$AB1536),Workforce!$A$2:$A$151,0))&amp;"","")))</f>
        <v/>
      </c>
      <c r="J1536" s="18">
        <f>IF($Z1536="","",IF(AND(DATE($AD1536,1,1)&gt;=$AE1536,DATE($AD1536,1,1)&lt;=$AF1536),ROUND($AG1536,2),0))</f>
        <v/>
      </c>
      <c r="K1536" s="18">
        <f>IF($Z1536="","",IF(AND(DATE($AD1536,2,1)&gt;=$AE1536,DATE($AD1536,2,1)&lt;=$AF1536),ROUND($AG1536,2),0))</f>
        <v/>
      </c>
      <c r="L1536" s="18">
        <f>IF($Z1536="","",IF(AND(DATE($AD1536,3,1)&gt;=$AE1536,DATE($AD1536,3,1)&lt;=$AF1536),ROUND($AG1536,2),0))</f>
        <v/>
      </c>
      <c r="M1536" s="18">
        <f>IF($Z1536="","",IF(AND(DATE($AD1536,4,1)&gt;=$AE1536,DATE($AD1536,4,1)&lt;=$AF1536),ROUND($AG1536,2),0))</f>
        <v/>
      </c>
      <c r="N1536" s="18">
        <f>IF($Z1536="","",IF(AND(DATE($AD1536,5,1)&gt;=$AE1536,DATE($AD1536,5,1)&lt;=$AF1536),ROUND($AG1536,2),0))</f>
        <v/>
      </c>
      <c r="O1536" s="18">
        <f>IF($Z1536="","",IF(AND(DATE($AD1536,6,1)&gt;=$AE1536,DATE($AD1536,6,1)&lt;=$AF1536),ROUND($AG1536,2),0))</f>
        <v/>
      </c>
      <c r="P1536" s="18">
        <f>IF($Z1536="","",IF(AND(DATE($AD1536,7,1)&gt;=$AE1536,DATE($AD1536,7,1)&lt;=$AF1536),ROUND($AG1536,2),0))</f>
        <v/>
      </c>
      <c r="Q1536" s="18">
        <f>IF($Z1536="","",IF(AND(DATE($AD1536,8,1)&gt;=$AE1536,DATE($AD1536,8,1)&lt;=$AF1536),ROUND($AG1536,2),0))</f>
        <v/>
      </c>
      <c r="R1536" s="18">
        <f>IF($Z1536="","",IF(AND(DATE($AD1536,9,1)&gt;=$AE1536,DATE($AD1536,9,1)&lt;=$AF1536),ROUND($AG1536,2),0))</f>
        <v/>
      </c>
      <c r="S1536" s="18">
        <f>IF($Z1536="","",IF(AND(DATE($AD1536,10,1)&gt;=$AE1536,DATE($AD1536,10,1)&lt;=$AF1536),ROUND($AG1536,2),0))</f>
        <v/>
      </c>
      <c r="T1536" s="18">
        <f>IF($Z1536="","",IF(AND(DATE($AD1536,11,1)&gt;=$AE1536,DATE($AD1536,11,1)&lt;=$AF1536),ROUND($AG1536,2),0))</f>
        <v/>
      </c>
      <c r="U1536" s="18">
        <f>IF($Z1536="","",IF(AND(DATE($AD1536,12,1)&gt;=$AE1536,DATE($AD1536,12,1)&lt;=$AF1536),ROUND($AG1536,2),0))</f>
        <v/>
      </c>
      <c r="V1536" s="7">
        <f>IF($Z1536="C","Generated from "&amp;INDEX(Contracts!$A$2:$A$151,$AB1536),IF($Z1536="A","Generated from "&amp;INDEX(Fixed_Assets!$A$2:$A$201,$AB1536),IF($Z1536="F","Generated from "&amp;INDEX(FTE_Allocation!$A$2:$A$201,$AB1536),"")))</f>
        <v/>
      </c>
      <c r="X1536" s="19">
        <f>IF($Z1536="","",SUM(J1536:U1536))</f>
        <v/>
      </c>
      <c r="Y1536" s="20">
        <f>ROW()-1</f>
        <v/>
      </c>
      <c r="Z1536" s="20">
        <f>IF($Y1536&lt;=Settings!$B$4*3,"C",IF($Y1536&lt;=(Settings!$B$4+Settings!$B$5)*3,"A",IF($Y1536&lt;=(Settings!$B$4+Settings!$B$5+Settings!$B$6)*3,"F","")))</f>
        <v/>
      </c>
      <c r="AA1536" s="20">
        <f>IF($Z1536="C",$Y1536,IF($Z1536="A",$Y1536-Settings!$B$4*3,IF($Z1536="F",$Y1536-(Settings!$B$4+Settings!$B$5)*3,"")))</f>
        <v/>
      </c>
      <c r="AB1536" s="20">
        <f>IF($Z1536="","",INT(($AA1536-1)/3)+1)</f>
        <v/>
      </c>
      <c r="AC1536" s="20">
        <f>IF($Z1536="","",MOD($AA1536-1,3)+1)</f>
        <v/>
      </c>
      <c r="AD1536" s="20">
        <f>IF($Z1536="","",Settings!$B$2+$AC1536-1)</f>
        <v/>
      </c>
      <c r="AE1536" s="21">
        <f>IF($Z1536="C",DATE(YEAR(INDEX(Contracts!$J$2:$J$151,$AB1536)),MONTH(INDEX(Contracts!$J$2:$J$151,$AB1536)),1),IF($Z1536="A",DATE(YEAR(INDEX(Fixed_Assets!$G$2:$G$201,$AB1536)),MONTH(INDEX(Fixed_Assets!$G$2:$G$201,$AB1536)),1),IF($Z1536="F",DATE(YEAR(MAX(N(INDEX(Workforce!$I$2:$I$151,MATCH(INDEX(FTE_Allocation!$A$2:$A$201,$AB1536),Workforce!$A$2:$A$151,0))),N(INDEX(FTE_Allocation!$I$2:$I$201,$AB1536)))),MONTH(MAX(N(INDEX(Workforce!$I$2:$I$151,MATCH(INDEX(FTE_Allocation!$A$2:$A$201,$AB1536),Workforce!$A$2:$A$151,0))),N(INDEX(FTE_Allocation!$I$2:$I$201,$AB1536)))),1),"")))</f>
        <v/>
      </c>
      <c r="AF1536" s="21">
        <f>IF($Z1536="C",IF(INDEX(Contracts!$I$2:$I$151,$AB1536)="PREPAID",EDATE(DATE(YEAR(INDEX(Contracts!$J$2:$J$151,$AB1536)),MONTH(INDEX(Contracts!$J$2:$J$151,$AB1536)),1),IF(INDEX(Contracts!$N$2:$N$151,$AB1536)="",12,INDEX(Contracts!$N$2:$N$151,$AB1536))-1),IF(INDEX(Contracts!$I$2:$I$151,$AB1536)="MONTHLY",IF(INDEX(Contracts!$K$2:$K$151,$AB1536)="",2958101,INDEX(Contracts!$K$2:$K$151,$AB1536)),0)),IF($Z1536="A",EDATE(DATE(YEAR(INDEX(Fixed_Assets!$G$2:$G$201,$AB1536)),MONTH(INDEX(Fixed_Assets!$G$2:$G$201,$AB1536)),1),INDEX(Fixed_Assets!$J$2:$J$201,$AB1536)-1),IF($Z1536="F",MIN(IF(INDEX(Workforce!$J$2:$J$151,MATCH(INDEX(FTE_Allocation!$A$2:$A$201,$AB1536),Workforce!$A$2:$A$151,0))="",2958101,INDEX(Workforce!$J$2:$J$151,MATCH(INDEX(FTE_Allocation!$A$2:$A$201,$AB1536),Workforce!$A$2:$A$151,0))),IF(INDEX(FTE_Allocation!$J$2:$J$201,$AB1536)="",2958101,INDEX(FTE_Allocation!$J$2:$J$201,$AB1536))),"")))</f>
        <v/>
      </c>
      <c r="AG1536" s="19">
        <f>IF($Z1536="C",IF(INDEX(Contracts!$I$2:$I$151,$AB1536)="PREPAID",INDEX(Contracts!$M$2:$M$151,$AB1536)/IF(INDEX(Contracts!$N$2:$N$151,$AB1536)="",12,INDEX(Contracts!$N$2:$N$151,$AB1536)),IF(INDEX(Contracts!$I$2:$I$151,$AB1536)="MONTHLY",INDEX(Contracts!$M$2:$M$151,$AB1536),0))*(1-N(INDEX(Contracts!$O$2:$O$151,$AB1536))),IF($Z1536="A",INDEX(Fixed_Assets!$H$2:$H$201,$AB1536)/INDEX(Fixed_Assets!$J$2:$J$201,$AB1536),IF($Z1536="F",INDEX(Workforce!$F$2:$F$151,MATCH(INDEX(FTE_Allocation!$A$2:$A$201,$AB1536),Workforce!$A$2:$A$151,0))*N(INDEX(FTE_Allocation!$F$2:$H$201,$AB1536,$AC1536)),"")))</f>
        <v/>
      </c>
    </row>
    <row r="1537">
      <c r="A1537" s="7">
        <f>IF($Z1537="","",$AD1537)</f>
        <v/>
      </c>
      <c r="B1537" s="7">
        <f>IF($Z1537="C",INDEX(Contracts!$D$2:$D$151,$AB1537)&amp;"",IF($Z1537="A",INDEX(Fixed_Assets!$C$2:$C$201,$AB1537)&amp;"",IF($Z1537="F",INDEX(Workforce!$B$2:$B$151,MATCH(INDEX(FTE_Allocation!$A$2:$A$201,$AB1537),Workforce!$A$2:$A$151,0))&amp;"","")))</f>
        <v/>
      </c>
      <c r="C1537" s="7">
        <f>IF($Z1537="C",INDEX(Contracts!$E$2:$E$151,$AB1537)&amp;"",IF($Z1537="A",INDEX(Fixed_Assets!$D$2:$D$201,$AB1537)&amp;"",IF($Z1537="F",INDEX(FTE_Allocation!$C$2:$C$201,$AB1537)&amp;"","")))</f>
        <v/>
      </c>
      <c r="D1537" s="7">
        <f>IF($Z1537="C",INDEX(Contracts!$B$2:$B$151,$AB1537)&amp;"",IF($Z1537="A",INDEX(Fixed_Assets!$B$2:$B$201,$AB1537)&amp;"",IF($Z1537="F",INDEX(FTE_Allocation!$B$2:$B$201,$AB1537)&amp;"","")))</f>
        <v/>
      </c>
      <c r="E1537" s="7">
        <f>IF($Z1537="C",INDEX(Contracts!$P$2:$P$151,$AB1537)&amp;"",IF($Z1537="A",INDEX(Fixed_Assets!$K$2:$K$201,$AB1537)&amp;"",IF($Z1537="F",IF(INDEX(FTE_Allocation!$D$2:$D$201,$AB1537)="PROJECT",IFERROR(INDEX(Projects!$D:$D,MATCH(INDEX(FTE_Allocation!$E$2:$E$201,$AB1537),Projects!$A:$A,0))&amp;"","#PROJECT?"),INDEX(FTE_Allocation!$E$2:$E$201,$AB1537)&amp;""),"")))</f>
        <v/>
      </c>
      <c r="F1537" s="7">
        <f>IF($Z1537="C",INDEX(Contracts!$Q$2:$Q$151,$AB1537)&amp;"",IF($Z1537="A",INDEX(Fixed_Assets!$L$2:$L$201,$AB1537)&amp;"",IF($Z1537="F",INDEX(Workforce!$K$2:$K$151,MATCH(INDEX(FTE_Allocation!$A$2:$A$201,$AB1537),Workforce!$A$2:$A$151,0))&amp;"","")))</f>
        <v/>
      </c>
      <c r="G1537" s="7">
        <f>IF($Z1537="C",INDEX(Contracts!$F$2:$F$151,$AB1537)&amp;" / "&amp;INDEX(Contracts!$G$2:$G$151,$AB1537),IF($Z1537="A",INDEX(Fixed_Assets!$E$2:$E$201,$AB1537)&amp;"",IF($Z1537="F","Personnel "&amp;INDEX(FTE_Allocation!$A$2:$A$201,$AB1537)&amp;IF(INDEX(FTE_Allocation!$D$2:$D$201,$AB1537)="PROJECT"," ("&amp;INDEX(FTE_Allocation!$E$2:$E$201,$AB1537)&amp;")",""),"")))</f>
        <v/>
      </c>
      <c r="H1537" s="7">
        <f>IF($Z1537="C","CONTRACT",IF($Z1537="A","ASSET",IF($Z1537="F","WORKFORCE","")))</f>
        <v/>
      </c>
      <c r="I1537" s="7">
        <f>IF($Z1537="C",INDEX(Contracts!$L$2:$L$151,$AB1537)&amp;"",IF($Z1537="A",INDEX(Fixed_Assets!$I$2:$I$201,$AB1537)&amp;"",IF($Z1537="F",INDEX(Workforce!$G$2:$G$151,MATCH(INDEX(FTE_Allocation!$A$2:$A$201,$AB1537),Workforce!$A$2:$A$151,0))&amp;"","")))</f>
        <v/>
      </c>
      <c r="J1537" s="18">
        <f>IF($Z1537="","",IF(AND(DATE($AD1537,1,1)&gt;=$AE1537,DATE($AD1537,1,1)&lt;=$AF1537),ROUND($AG1537,2),0))</f>
        <v/>
      </c>
      <c r="K1537" s="18">
        <f>IF($Z1537="","",IF(AND(DATE($AD1537,2,1)&gt;=$AE1537,DATE($AD1537,2,1)&lt;=$AF1537),ROUND($AG1537,2),0))</f>
        <v/>
      </c>
      <c r="L1537" s="18">
        <f>IF($Z1537="","",IF(AND(DATE($AD1537,3,1)&gt;=$AE1537,DATE($AD1537,3,1)&lt;=$AF1537),ROUND($AG1537,2),0))</f>
        <v/>
      </c>
      <c r="M1537" s="18">
        <f>IF($Z1537="","",IF(AND(DATE($AD1537,4,1)&gt;=$AE1537,DATE($AD1537,4,1)&lt;=$AF1537),ROUND($AG1537,2),0))</f>
        <v/>
      </c>
      <c r="N1537" s="18">
        <f>IF($Z1537="","",IF(AND(DATE($AD1537,5,1)&gt;=$AE1537,DATE($AD1537,5,1)&lt;=$AF1537),ROUND($AG1537,2),0))</f>
        <v/>
      </c>
      <c r="O1537" s="18">
        <f>IF($Z1537="","",IF(AND(DATE($AD1537,6,1)&gt;=$AE1537,DATE($AD1537,6,1)&lt;=$AF1537),ROUND($AG1537,2),0))</f>
        <v/>
      </c>
      <c r="P1537" s="18">
        <f>IF($Z1537="","",IF(AND(DATE($AD1537,7,1)&gt;=$AE1537,DATE($AD1537,7,1)&lt;=$AF1537),ROUND($AG1537,2),0))</f>
        <v/>
      </c>
      <c r="Q1537" s="18">
        <f>IF($Z1537="","",IF(AND(DATE($AD1537,8,1)&gt;=$AE1537,DATE($AD1537,8,1)&lt;=$AF1537),ROUND($AG1537,2),0))</f>
        <v/>
      </c>
      <c r="R1537" s="18">
        <f>IF($Z1537="","",IF(AND(DATE($AD1537,9,1)&gt;=$AE1537,DATE($AD1537,9,1)&lt;=$AF1537),ROUND($AG1537,2),0))</f>
        <v/>
      </c>
      <c r="S1537" s="18">
        <f>IF($Z1537="","",IF(AND(DATE($AD1537,10,1)&gt;=$AE1537,DATE($AD1537,10,1)&lt;=$AF1537),ROUND($AG1537,2),0))</f>
        <v/>
      </c>
      <c r="T1537" s="18">
        <f>IF($Z1537="","",IF(AND(DATE($AD1537,11,1)&gt;=$AE1537,DATE($AD1537,11,1)&lt;=$AF1537),ROUND($AG1537,2),0))</f>
        <v/>
      </c>
      <c r="U1537" s="18">
        <f>IF($Z1537="","",IF(AND(DATE($AD1537,12,1)&gt;=$AE1537,DATE($AD1537,12,1)&lt;=$AF1537),ROUND($AG1537,2),0))</f>
        <v/>
      </c>
      <c r="V1537" s="7">
        <f>IF($Z1537="C","Generated from "&amp;INDEX(Contracts!$A$2:$A$151,$AB1537),IF($Z1537="A","Generated from "&amp;INDEX(Fixed_Assets!$A$2:$A$201,$AB1537),IF($Z1537="F","Generated from "&amp;INDEX(FTE_Allocation!$A$2:$A$201,$AB1537),"")))</f>
        <v/>
      </c>
      <c r="X1537" s="19">
        <f>IF($Z1537="","",SUM(J1537:U1537))</f>
        <v/>
      </c>
      <c r="Y1537" s="20">
        <f>ROW()-1</f>
        <v/>
      </c>
      <c r="Z1537" s="20">
        <f>IF($Y1537&lt;=Settings!$B$4*3,"C",IF($Y1537&lt;=(Settings!$B$4+Settings!$B$5)*3,"A",IF($Y1537&lt;=(Settings!$B$4+Settings!$B$5+Settings!$B$6)*3,"F","")))</f>
        <v/>
      </c>
      <c r="AA1537" s="20">
        <f>IF($Z1537="C",$Y1537,IF($Z1537="A",$Y1537-Settings!$B$4*3,IF($Z1537="F",$Y1537-(Settings!$B$4+Settings!$B$5)*3,"")))</f>
        <v/>
      </c>
      <c r="AB1537" s="20">
        <f>IF($Z1537="","",INT(($AA1537-1)/3)+1)</f>
        <v/>
      </c>
      <c r="AC1537" s="20">
        <f>IF($Z1537="","",MOD($AA1537-1,3)+1)</f>
        <v/>
      </c>
      <c r="AD1537" s="20">
        <f>IF($Z1537="","",Settings!$B$2+$AC1537-1)</f>
        <v/>
      </c>
      <c r="AE1537" s="21">
        <f>IF($Z1537="C",DATE(YEAR(INDEX(Contracts!$J$2:$J$151,$AB1537)),MONTH(INDEX(Contracts!$J$2:$J$151,$AB1537)),1),IF($Z1537="A",DATE(YEAR(INDEX(Fixed_Assets!$G$2:$G$201,$AB1537)),MONTH(INDEX(Fixed_Assets!$G$2:$G$201,$AB1537)),1),IF($Z1537="F",DATE(YEAR(MAX(N(INDEX(Workforce!$I$2:$I$151,MATCH(INDEX(FTE_Allocation!$A$2:$A$201,$AB1537),Workforce!$A$2:$A$151,0))),N(INDEX(FTE_Allocation!$I$2:$I$201,$AB1537)))),MONTH(MAX(N(INDEX(Workforce!$I$2:$I$151,MATCH(INDEX(FTE_Allocation!$A$2:$A$201,$AB1537),Workforce!$A$2:$A$151,0))),N(INDEX(FTE_Allocation!$I$2:$I$201,$AB1537)))),1),"")))</f>
        <v/>
      </c>
      <c r="AF1537" s="21">
        <f>IF($Z1537="C",IF(INDEX(Contracts!$I$2:$I$151,$AB1537)="PREPAID",EDATE(DATE(YEAR(INDEX(Contracts!$J$2:$J$151,$AB1537)),MONTH(INDEX(Contracts!$J$2:$J$151,$AB1537)),1),IF(INDEX(Contracts!$N$2:$N$151,$AB1537)="",12,INDEX(Contracts!$N$2:$N$151,$AB1537))-1),IF(INDEX(Contracts!$I$2:$I$151,$AB1537)="MONTHLY",IF(INDEX(Contracts!$K$2:$K$151,$AB1537)="",2958101,INDEX(Contracts!$K$2:$K$151,$AB1537)),0)),IF($Z1537="A",EDATE(DATE(YEAR(INDEX(Fixed_Assets!$G$2:$G$201,$AB1537)),MONTH(INDEX(Fixed_Assets!$G$2:$G$201,$AB1537)),1),INDEX(Fixed_Assets!$J$2:$J$201,$AB1537)-1),IF($Z1537="F",MIN(IF(INDEX(Workforce!$J$2:$J$151,MATCH(INDEX(FTE_Allocation!$A$2:$A$201,$AB1537),Workforce!$A$2:$A$151,0))="",2958101,INDEX(Workforce!$J$2:$J$151,MATCH(INDEX(FTE_Allocation!$A$2:$A$201,$AB1537),Workforce!$A$2:$A$151,0))),IF(INDEX(FTE_Allocation!$J$2:$J$201,$AB1537)="",2958101,INDEX(FTE_Allocation!$J$2:$J$201,$AB1537))),"")))</f>
        <v/>
      </c>
      <c r="AG1537" s="19">
        <f>IF($Z1537="C",IF(INDEX(Contracts!$I$2:$I$151,$AB1537)="PREPAID",INDEX(Contracts!$M$2:$M$151,$AB1537)/IF(INDEX(Contracts!$N$2:$N$151,$AB1537)="",12,INDEX(Contracts!$N$2:$N$151,$AB1537)),IF(INDEX(Contracts!$I$2:$I$151,$AB1537)="MONTHLY",INDEX(Contracts!$M$2:$M$151,$AB1537),0))*(1-N(INDEX(Contracts!$O$2:$O$151,$AB1537))),IF($Z1537="A",INDEX(Fixed_Assets!$H$2:$H$201,$AB1537)/INDEX(Fixed_Assets!$J$2:$J$201,$AB1537),IF($Z1537="F",INDEX(Workforce!$F$2:$F$151,MATCH(INDEX(FTE_Allocation!$A$2:$A$201,$AB1537),Workforce!$A$2:$A$151,0))*N(INDEX(FTE_Allocation!$F$2:$H$201,$AB1537,$AC1537)),"")))</f>
        <v/>
      </c>
    </row>
    <row r="1538">
      <c r="A1538" s="7">
        <f>IF($Z1538="","",$AD1538)</f>
        <v/>
      </c>
      <c r="B1538" s="7">
        <f>IF($Z1538="C",INDEX(Contracts!$D$2:$D$151,$AB1538)&amp;"",IF($Z1538="A",INDEX(Fixed_Assets!$C$2:$C$201,$AB1538)&amp;"",IF($Z1538="F",INDEX(Workforce!$B$2:$B$151,MATCH(INDEX(FTE_Allocation!$A$2:$A$201,$AB1538),Workforce!$A$2:$A$151,0))&amp;"","")))</f>
        <v/>
      </c>
      <c r="C1538" s="7">
        <f>IF($Z1538="C",INDEX(Contracts!$E$2:$E$151,$AB1538)&amp;"",IF($Z1538="A",INDEX(Fixed_Assets!$D$2:$D$201,$AB1538)&amp;"",IF($Z1538="F",INDEX(FTE_Allocation!$C$2:$C$201,$AB1538)&amp;"","")))</f>
        <v/>
      </c>
      <c r="D1538" s="7">
        <f>IF($Z1538="C",INDEX(Contracts!$B$2:$B$151,$AB1538)&amp;"",IF($Z1538="A",INDEX(Fixed_Assets!$B$2:$B$201,$AB1538)&amp;"",IF($Z1538="F",INDEX(FTE_Allocation!$B$2:$B$201,$AB1538)&amp;"","")))</f>
        <v/>
      </c>
      <c r="E1538" s="7">
        <f>IF($Z1538="C",INDEX(Contracts!$P$2:$P$151,$AB1538)&amp;"",IF($Z1538="A",INDEX(Fixed_Assets!$K$2:$K$201,$AB1538)&amp;"",IF($Z1538="F",IF(INDEX(FTE_Allocation!$D$2:$D$201,$AB1538)="PROJECT",IFERROR(INDEX(Projects!$D:$D,MATCH(INDEX(FTE_Allocation!$E$2:$E$201,$AB1538),Projects!$A:$A,0))&amp;"","#PROJECT?"),INDEX(FTE_Allocation!$E$2:$E$201,$AB1538)&amp;""),"")))</f>
        <v/>
      </c>
      <c r="F1538" s="7">
        <f>IF($Z1538="C",INDEX(Contracts!$Q$2:$Q$151,$AB1538)&amp;"",IF($Z1538="A",INDEX(Fixed_Assets!$L$2:$L$201,$AB1538)&amp;"",IF($Z1538="F",INDEX(Workforce!$K$2:$K$151,MATCH(INDEX(FTE_Allocation!$A$2:$A$201,$AB1538),Workforce!$A$2:$A$151,0))&amp;"","")))</f>
        <v/>
      </c>
      <c r="G1538" s="7">
        <f>IF($Z1538="C",INDEX(Contracts!$F$2:$F$151,$AB1538)&amp;" / "&amp;INDEX(Contracts!$G$2:$G$151,$AB1538),IF($Z1538="A",INDEX(Fixed_Assets!$E$2:$E$201,$AB1538)&amp;"",IF($Z1538="F","Personnel "&amp;INDEX(FTE_Allocation!$A$2:$A$201,$AB1538)&amp;IF(INDEX(FTE_Allocation!$D$2:$D$201,$AB1538)="PROJECT"," ("&amp;INDEX(FTE_Allocation!$E$2:$E$201,$AB1538)&amp;")",""),"")))</f>
        <v/>
      </c>
      <c r="H1538" s="7">
        <f>IF($Z1538="C","CONTRACT",IF($Z1538="A","ASSET",IF($Z1538="F","WORKFORCE","")))</f>
        <v/>
      </c>
      <c r="I1538" s="7">
        <f>IF($Z1538="C",INDEX(Contracts!$L$2:$L$151,$AB1538)&amp;"",IF($Z1538="A",INDEX(Fixed_Assets!$I$2:$I$201,$AB1538)&amp;"",IF($Z1538="F",INDEX(Workforce!$G$2:$G$151,MATCH(INDEX(FTE_Allocation!$A$2:$A$201,$AB1538),Workforce!$A$2:$A$151,0))&amp;"","")))</f>
        <v/>
      </c>
      <c r="J1538" s="18">
        <f>IF($Z1538="","",IF(AND(DATE($AD1538,1,1)&gt;=$AE1538,DATE($AD1538,1,1)&lt;=$AF1538),ROUND($AG1538,2),0))</f>
        <v/>
      </c>
      <c r="K1538" s="18">
        <f>IF($Z1538="","",IF(AND(DATE($AD1538,2,1)&gt;=$AE1538,DATE($AD1538,2,1)&lt;=$AF1538),ROUND($AG1538,2),0))</f>
        <v/>
      </c>
      <c r="L1538" s="18">
        <f>IF($Z1538="","",IF(AND(DATE($AD1538,3,1)&gt;=$AE1538,DATE($AD1538,3,1)&lt;=$AF1538),ROUND($AG1538,2),0))</f>
        <v/>
      </c>
      <c r="M1538" s="18">
        <f>IF($Z1538="","",IF(AND(DATE($AD1538,4,1)&gt;=$AE1538,DATE($AD1538,4,1)&lt;=$AF1538),ROUND($AG1538,2),0))</f>
        <v/>
      </c>
      <c r="N1538" s="18">
        <f>IF($Z1538="","",IF(AND(DATE($AD1538,5,1)&gt;=$AE1538,DATE($AD1538,5,1)&lt;=$AF1538),ROUND($AG1538,2),0))</f>
        <v/>
      </c>
      <c r="O1538" s="18">
        <f>IF($Z1538="","",IF(AND(DATE($AD1538,6,1)&gt;=$AE1538,DATE($AD1538,6,1)&lt;=$AF1538),ROUND($AG1538,2),0))</f>
        <v/>
      </c>
      <c r="P1538" s="18">
        <f>IF($Z1538="","",IF(AND(DATE($AD1538,7,1)&gt;=$AE1538,DATE($AD1538,7,1)&lt;=$AF1538),ROUND($AG1538,2),0))</f>
        <v/>
      </c>
      <c r="Q1538" s="18">
        <f>IF($Z1538="","",IF(AND(DATE($AD1538,8,1)&gt;=$AE1538,DATE($AD1538,8,1)&lt;=$AF1538),ROUND($AG1538,2),0))</f>
        <v/>
      </c>
      <c r="R1538" s="18">
        <f>IF($Z1538="","",IF(AND(DATE($AD1538,9,1)&gt;=$AE1538,DATE($AD1538,9,1)&lt;=$AF1538),ROUND($AG1538,2),0))</f>
        <v/>
      </c>
      <c r="S1538" s="18">
        <f>IF($Z1538="","",IF(AND(DATE($AD1538,10,1)&gt;=$AE1538,DATE($AD1538,10,1)&lt;=$AF1538),ROUND($AG1538,2),0))</f>
        <v/>
      </c>
      <c r="T1538" s="18">
        <f>IF($Z1538="","",IF(AND(DATE($AD1538,11,1)&gt;=$AE1538,DATE($AD1538,11,1)&lt;=$AF1538),ROUND($AG1538,2),0))</f>
        <v/>
      </c>
      <c r="U1538" s="18">
        <f>IF($Z1538="","",IF(AND(DATE($AD1538,12,1)&gt;=$AE1538,DATE($AD1538,12,1)&lt;=$AF1538),ROUND($AG1538,2),0))</f>
        <v/>
      </c>
      <c r="V1538" s="7">
        <f>IF($Z1538="C","Generated from "&amp;INDEX(Contracts!$A$2:$A$151,$AB1538),IF($Z1538="A","Generated from "&amp;INDEX(Fixed_Assets!$A$2:$A$201,$AB1538),IF($Z1538="F","Generated from "&amp;INDEX(FTE_Allocation!$A$2:$A$201,$AB1538),"")))</f>
        <v/>
      </c>
      <c r="X1538" s="19">
        <f>IF($Z1538="","",SUM(J1538:U1538))</f>
        <v/>
      </c>
      <c r="Y1538" s="20">
        <f>ROW()-1</f>
        <v/>
      </c>
      <c r="Z1538" s="20">
        <f>IF($Y1538&lt;=Settings!$B$4*3,"C",IF($Y1538&lt;=(Settings!$B$4+Settings!$B$5)*3,"A",IF($Y1538&lt;=(Settings!$B$4+Settings!$B$5+Settings!$B$6)*3,"F","")))</f>
        <v/>
      </c>
      <c r="AA1538" s="20">
        <f>IF($Z1538="C",$Y1538,IF($Z1538="A",$Y1538-Settings!$B$4*3,IF($Z1538="F",$Y1538-(Settings!$B$4+Settings!$B$5)*3,"")))</f>
        <v/>
      </c>
      <c r="AB1538" s="20">
        <f>IF($Z1538="","",INT(($AA1538-1)/3)+1)</f>
        <v/>
      </c>
      <c r="AC1538" s="20">
        <f>IF($Z1538="","",MOD($AA1538-1,3)+1)</f>
        <v/>
      </c>
      <c r="AD1538" s="20">
        <f>IF($Z1538="","",Settings!$B$2+$AC1538-1)</f>
        <v/>
      </c>
      <c r="AE1538" s="21">
        <f>IF($Z1538="C",DATE(YEAR(INDEX(Contracts!$J$2:$J$151,$AB1538)),MONTH(INDEX(Contracts!$J$2:$J$151,$AB1538)),1),IF($Z1538="A",DATE(YEAR(INDEX(Fixed_Assets!$G$2:$G$201,$AB1538)),MONTH(INDEX(Fixed_Assets!$G$2:$G$201,$AB1538)),1),IF($Z1538="F",DATE(YEAR(MAX(N(INDEX(Workforce!$I$2:$I$151,MATCH(INDEX(FTE_Allocation!$A$2:$A$201,$AB1538),Workforce!$A$2:$A$151,0))),N(INDEX(FTE_Allocation!$I$2:$I$201,$AB1538)))),MONTH(MAX(N(INDEX(Workforce!$I$2:$I$151,MATCH(INDEX(FTE_Allocation!$A$2:$A$201,$AB1538),Workforce!$A$2:$A$151,0))),N(INDEX(FTE_Allocation!$I$2:$I$201,$AB1538)))),1),"")))</f>
        <v/>
      </c>
      <c r="AF1538" s="21">
        <f>IF($Z1538="C",IF(INDEX(Contracts!$I$2:$I$151,$AB1538)="PREPAID",EDATE(DATE(YEAR(INDEX(Contracts!$J$2:$J$151,$AB1538)),MONTH(INDEX(Contracts!$J$2:$J$151,$AB1538)),1),IF(INDEX(Contracts!$N$2:$N$151,$AB1538)="",12,INDEX(Contracts!$N$2:$N$151,$AB1538))-1),IF(INDEX(Contracts!$I$2:$I$151,$AB1538)="MONTHLY",IF(INDEX(Contracts!$K$2:$K$151,$AB1538)="",2958101,INDEX(Contracts!$K$2:$K$151,$AB1538)),0)),IF($Z1538="A",EDATE(DATE(YEAR(INDEX(Fixed_Assets!$G$2:$G$201,$AB1538)),MONTH(INDEX(Fixed_Assets!$G$2:$G$201,$AB1538)),1),INDEX(Fixed_Assets!$J$2:$J$201,$AB1538)-1),IF($Z1538="F",MIN(IF(INDEX(Workforce!$J$2:$J$151,MATCH(INDEX(FTE_Allocation!$A$2:$A$201,$AB1538),Workforce!$A$2:$A$151,0))="",2958101,INDEX(Workforce!$J$2:$J$151,MATCH(INDEX(FTE_Allocation!$A$2:$A$201,$AB1538),Workforce!$A$2:$A$151,0))),IF(INDEX(FTE_Allocation!$J$2:$J$201,$AB1538)="",2958101,INDEX(FTE_Allocation!$J$2:$J$201,$AB1538))),"")))</f>
        <v/>
      </c>
      <c r="AG1538" s="19">
        <f>IF($Z1538="C",IF(INDEX(Contracts!$I$2:$I$151,$AB1538)="PREPAID",INDEX(Contracts!$M$2:$M$151,$AB1538)/IF(INDEX(Contracts!$N$2:$N$151,$AB1538)="",12,INDEX(Contracts!$N$2:$N$151,$AB1538)),IF(INDEX(Contracts!$I$2:$I$151,$AB1538)="MONTHLY",INDEX(Contracts!$M$2:$M$151,$AB1538),0))*(1-N(INDEX(Contracts!$O$2:$O$151,$AB1538))),IF($Z1538="A",INDEX(Fixed_Assets!$H$2:$H$201,$AB1538)/INDEX(Fixed_Assets!$J$2:$J$201,$AB1538),IF($Z1538="F",INDEX(Workforce!$F$2:$F$151,MATCH(INDEX(FTE_Allocation!$A$2:$A$201,$AB1538),Workforce!$A$2:$A$151,0))*N(INDEX(FTE_Allocation!$F$2:$H$201,$AB1538,$AC1538)),"")))</f>
        <v/>
      </c>
    </row>
    <row r="1539">
      <c r="A1539" s="7">
        <f>IF($Z1539="","",$AD1539)</f>
        <v/>
      </c>
      <c r="B1539" s="7">
        <f>IF($Z1539="C",INDEX(Contracts!$D$2:$D$151,$AB1539)&amp;"",IF($Z1539="A",INDEX(Fixed_Assets!$C$2:$C$201,$AB1539)&amp;"",IF($Z1539="F",INDEX(Workforce!$B$2:$B$151,MATCH(INDEX(FTE_Allocation!$A$2:$A$201,$AB1539),Workforce!$A$2:$A$151,0))&amp;"","")))</f>
        <v/>
      </c>
      <c r="C1539" s="7">
        <f>IF($Z1539="C",INDEX(Contracts!$E$2:$E$151,$AB1539)&amp;"",IF($Z1539="A",INDEX(Fixed_Assets!$D$2:$D$201,$AB1539)&amp;"",IF($Z1539="F",INDEX(FTE_Allocation!$C$2:$C$201,$AB1539)&amp;"","")))</f>
        <v/>
      </c>
      <c r="D1539" s="7">
        <f>IF($Z1539="C",INDEX(Contracts!$B$2:$B$151,$AB1539)&amp;"",IF($Z1539="A",INDEX(Fixed_Assets!$B$2:$B$201,$AB1539)&amp;"",IF($Z1539="F",INDEX(FTE_Allocation!$B$2:$B$201,$AB1539)&amp;"","")))</f>
        <v/>
      </c>
      <c r="E1539" s="7">
        <f>IF($Z1539="C",INDEX(Contracts!$P$2:$P$151,$AB1539)&amp;"",IF($Z1539="A",INDEX(Fixed_Assets!$K$2:$K$201,$AB1539)&amp;"",IF($Z1539="F",IF(INDEX(FTE_Allocation!$D$2:$D$201,$AB1539)="PROJECT",IFERROR(INDEX(Projects!$D:$D,MATCH(INDEX(FTE_Allocation!$E$2:$E$201,$AB1539),Projects!$A:$A,0))&amp;"","#PROJECT?"),INDEX(FTE_Allocation!$E$2:$E$201,$AB1539)&amp;""),"")))</f>
        <v/>
      </c>
      <c r="F1539" s="7">
        <f>IF($Z1539="C",INDEX(Contracts!$Q$2:$Q$151,$AB1539)&amp;"",IF($Z1539="A",INDEX(Fixed_Assets!$L$2:$L$201,$AB1539)&amp;"",IF($Z1539="F",INDEX(Workforce!$K$2:$K$151,MATCH(INDEX(FTE_Allocation!$A$2:$A$201,$AB1539),Workforce!$A$2:$A$151,0))&amp;"","")))</f>
        <v/>
      </c>
      <c r="G1539" s="7">
        <f>IF($Z1539="C",INDEX(Contracts!$F$2:$F$151,$AB1539)&amp;" / "&amp;INDEX(Contracts!$G$2:$G$151,$AB1539),IF($Z1539="A",INDEX(Fixed_Assets!$E$2:$E$201,$AB1539)&amp;"",IF($Z1539="F","Personnel "&amp;INDEX(FTE_Allocation!$A$2:$A$201,$AB1539)&amp;IF(INDEX(FTE_Allocation!$D$2:$D$201,$AB1539)="PROJECT"," ("&amp;INDEX(FTE_Allocation!$E$2:$E$201,$AB1539)&amp;")",""),"")))</f>
        <v/>
      </c>
      <c r="H1539" s="7">
        <f>IF($Z1539="C","CONTRACT",IF($Z1539="A","ASSET",IF($Z1539="F","WORKFORCE","")))</f>
        <v/>
      </c>
      <c r="I1539" s="7">
        <f>IF($Z1539="C",INDEX(Contracts!$L$2:$L$151,$AB1539)&amp;"",IF($Z1539="A",INDEX(Fixed_Assets!$I$2:$I$201,$AB1539)&amp;"",IF($Z1539="F",INDEX(Workforce!$G$2:$G$151,MATCH(INDEX(FTE_Allocation!$A$2:$A$201,$AB1539),Workforce!$A$2:$A$151,0))&amp;"","")))</f>
        <v/>
      </c>
      <c r="J1539" s="18">
        <f>IF($Z1539="","",IF(AND(DATE($AD1539,1,1)&gt;=$AE1539,DATE($AD1539,1,1)&lt;=$AF1539),ROUND($AG1539,2),0))</f>
        <v/>
      </c>
      <c r="K1539" s="18">
        <f>IF($Z1539="","",IF(AND(DATE($AD1539,2,1)&gt;=$AE1539,DATE($AD1539,2,1)&lt;=$AF1539),ROUND($AG1539,2),0))</f>
        <v/>
      </c>
      <c r="L1539" s="18">
        <f>IF($Z1539="","",IF(AND(DATE($AD1539,3,1)&gt;=$AE1539,DATE($AD1539,3,1)&lt;=$AF1539),ROUND($AG1539,2),0))</f>
        <v/>
      </c>
      <c r="M1539" s="18">
        <f>IF($Z1539="","",IF(AND(DATE($AD1539,4,1)&gt;=$AE1539,DATE($AD1539,4,1)&lt;=$AF1539),ROUND($AG1539,2),0))</f>
        <v/>
      </c>
      <c r="N1539" s="18">
        <f>IF($Z1539="","",IF(AND(DATE($AD1539,5,1)&gt;=$AE1539,DATE($AD1539,5,1)&lt;=$AF1539),ROUND($AG1539,2),0))</f>
        <v/>
      </c>
      <c r="O1539" s="18">
        <f>IF($Z1539="","",IF(AND(DATE($AD1539,6,1)&gt;=$AE1539,DATE($AD1539,6,1)&lt;=$AF1539),ROUND($AG1539,2),0))</f>
        <v/>
      </c>
      <c r="P1539" s="18">
        <f>IF($Z1539="","",IF(AND(DATE($AD1539,7,1)&gt;=$AE1539,DATE($AD1539,7,1)&lt;=$AF1539),ROUND($AG1539,2),0))</f>
        <v/>
      </c>
      <c r="Q1539" s="18">
        <f>IF($Z1539="","",IF(AND(DATE($AD1539,8,1)&gt;=$AE1539,DATE($AD1539,8,1)&lt;=$AF1539),ROUND($AG1539,2),0))</f>
        <v/>
      </c>
      <c r="R1539" s="18">
        <f>IF($Z1539="","",IF(AND(DATE($AD1539,9,1)&gt;=$AE1539,DATE($AD1539,9,1)&lt;=$AF1539),ROUND($AG1539,2),0))</f>
        <v/>
      </c>
      <c r="S1539" s="18">
        <f>IF($Z1539="","",IF(AND(DATE($AD1539,10,1)&gt;=$AE1539,DATE($AD1539,10,1)&lt;=$AF1539),ROUND($AG1539,2),0))</f>
        <v/>
      </c>
      <c r="T1539" s="18">
        <f>IF($Z1539="","",IF(AND(DATE($AD1539,11,1)&gt;=$AE1539,DATE($AD1539,11,1)&lt;=$AF1539),ROUND($AG1539,2),0))</f>
        <v/>
      </c>
      <c r="U1539" s="18">
        <f>IF($Z1539="","",IF(AND(DATE($AD1539,12,1)&gt;=$AE1539,DATE($AD1539,12,1)&lt;=$AF1539),ROUND($AG1539,2),0))</f>
        <v/>
      </c>
      <c r="V1539" s="7">
        <f>IF($Z1539="C","Generated from "&amp;INDEX(Contracts!$A$2:$A$151,$AB1539),IF($Z1539="A","Generated from "&amp;INDEX(Fixed_Assets!$A$2:$A$201,$AB1539),IF($Z1539="F","Generated from "&amp;INDEX(FTE_Allocation!$A$2:$A$201,$AB1539),"")))</f>
        <v/>
      </c>
      <c r="X1539" s="19">
        <f>IF($Z1539="","",SUM(J1539:U1539))</f>
        <v/>
      </c>
      <c r="Y1539" s="20">
        <f>ROW()-1</f>
        <v/>
      </c>
      <c r="Z1539" s="20">
        <f>IF($Y1539&lt;=Settings!$B$4*3,"C",IF($Y1539&lt;=(Settings!$B$4+Settings!$B$5)*3,"A",IF($Y1539&lt;=(Settings!$B$4+Settings!$B$5+Settings!$B$6)*3,"F","")))</f>
        <v/>
      </c>
      <c r="AA1539" s="20">
        <f>IF($Z1539="C",$Y1539,IF($Z1539="A",$Y1539-Settings!$B$4*3,IF($Z1539="F",$Y1539-(Settings!$B$4+Settings!$B$5)*3,"")))</f>
        <v/>
      </c>
      <c r="AB1539" s="20">
        <f>IF($Z1539="","",INT(($AA1539-1)/3)+1)</f>
        <v/>
      </c>
      <c r="AC1539" s="20">
        <f>IF($Z1539="","",MOD($AA1539-1,3)+1)</f>
        <v/>
      </c>
      <c r="AD1539" s="20">
        <f>IF($Z1539="","",Settings!$B$2+$AC1539-1)</f>
        <v/>
      </c>
      <c r="AE1539" s="21">
        <f>IF($Z1539="C",DATE(YEAR(INDEX(Contracts!$J$2:$J$151,$AB1539)),MONTH(INDEX(Contracts!$J$2:$J$151,$AB1539)),1),IF($Z1539="A",DATE(YEAR(INDEX(Fixed_Assets!$G$2:$G$201,$AB1539)),MONTH(INDEX(Fixed_Assets!$G$2:$G$201,$AB1539)),1),IF($Z1539="F",DATE(YEAR(MAX(N(INDEX(Workforce!$I$2:$I$151,MATCH(INDEX(FTE_Allocation!$A$2:$A$201,$AB1539),Workforce!$A$2:$A$151,0))),N(INDEX(FTE_Allocation!$I$2:$I$201,$AB1539)))),MONTH(MAX(N(INDEX(Workforce!$I$2:$I$151,MATCH(INDEX(FTE_Allocation!$A$2:$A$201,$AB1539),Workforce!$A$2:$A$151,0))),N(INDEX(FTE_Allocation!$I$2:$I$201,$AB1539)))),1),"")))</f>
        <v/>
      </c>
      <c r="AF1539" s="21">
        <f>IF($Z1539="C",IF(INDEX(Contracts!$I$2:$I$151,$AB1539)="PREPAID",EDATE(DATE(YEAR(INDEX(Contracts!$J$2:$J$151,$AB1539)),MONTH(INDEX(Contracts!$J$2:$J$151,$AB1539)),1),IF(INDEX(Contracts!$N$2:$N$151,$AB1539)="",12,INDEX(Contracts!$N$2:$N$151,$AB1539))-1),IF(INDEX(Contracts!$I$2:$I$151,$AB1539)="MONTHLY",IF(INDEX(Contracts!$K$2:$K$151,$AB1539)="",2958101,INDEX(Contracts!$K$2:$K$151,$AB1539)),0)),IF($Z1539="A",EDATE(DATE(YEAR(INDEX(Fixed_Assets!$G$2:$G$201,$AB1539)),MONTH(INDEX(Fixed_Assets!$G$2:$G$201,$AB1539)),1),INDEX(Fixed_Assets!$J$2:$J$201,$AB1539)-1),IF($Z1539="F",MIN(IF(INDEX(Workforce!$J$2:$J$151,MATCH(INDEX(FTE_Allocation!$A$2:$A$201,$AB1539),Workforce!$A$2:$A$151,0))="",2958101,INDEX(Workforce!$J$2:$J$151,MATCH(INDEX(FTE_Allocation!$A$2:$A$201,$AB1539),Workforce!$A$2:$A$151,0))),IF(INDEX(FTE_Allocation!$J$2:$J$201,$AB1539)="",2958101,INDEX(FTE_Allocation!$J$2:$J$201,$AB1539))),"")))</f>
        <v/>
      </c>
      <c r="AG1539" s="19">
        <f>IF($Z1539="C",IF(INDEX(Contracts!$I$2:$I$151,$AB1539)="PREPAID",INDEX(Contracts!$M$2:$M$151,$AB1539)/IF(INDEX(Contracts!$N$2:$N$151,$AB1539)="",12,INDEX(Contracts!$N$2:$N$151,$AB1539)),IF(INDEX(Contracts!$I$2:$I$151,$AB1539)="MONTHLY",INDEX(Contracts!$M$2:$M$151,$AB1539),0))*(1-N(INDEX(Contracts!$O$2:$O$151,$AB1539))),IF($Z1539="A",INDEX(Fixed_Assets!$H$2:$H$201,$AB1539)/INDEX(Fixed_Assets!$J$2:$J$201,$AB1539),IF($Z1539="F",INDEX(Workforce!$F$2:$F$151,MATCH(INDEX(FTE_Allocation!$A$2:$A$201,$AB1539),Workforce!$A$2:$A$151,0))*N(INDEX(FTE_Allocation!$F$2:$H$201,$AB1539,$AC1539)),"")))</f>
        <v/>
      </c>
    </row>
    <row r="1540">
      <c r="A1540" s="7">
        <f>IF($Z1540="","",$AD1540)</f>
        <v/>
      </c>
      <c r="B1540" s="7">
        <f>IF($Z1540="C",INDEX(Contracts!$D$2:$D$151,$AB1540)&amp;"",IF($Z1540="A",INDEX(Fixed_Assets!$C$2:$C$201,$AB1540)&amp;"",IF($Z1540="F",INDEX(Workforce!$B$2:$B$151,MATCH(INDEX(FTE_Allocation!$A$2:$A$201,$AB1540),Workforce!$A$2:$A$151,0))&amp;"","")))</f>
        <v/>
      </c>
      <c r="C1540" s="7">
        <f>IF($Z1540="C",INDEX(Contracts!$E$2:$E$151,$AB1540)&amp;"",IF($Z1540="A",INDEX(Fixed_Assets!$D$2:$D$201,$AB1540)&amp;"",IF($Z1540="F",INDEX(FTE_Allocation!$C$2:$C$201,$AB1540)&amp;"","")))</f>
        <v/>
      </c>
      <c r="D1540" s="7">
        <f>IF($Z1540="C",INDEX(Contracts!$B$2:$B$151,$AB1540)&amp;"",IF($Z1540="A",INDEX(Fixed_Assets!$B$2:$B$201,$AB1540)&amp;"",IF($Z1540="F",INDEX(FTE_Allocation!$B$2:$B$201,$AB1540)&amp;"","")))</f>
        <v/>
      </c>
      <c r="E1540" s="7">
        <f>IF($Z1540="C",INDEX(Contracts!$P$2:$P$151,$AB1540)&amp;"",IF($Z1540="A",INDEX(Fixed_Assets!$K$2:$K$201,$AB1540)&amp;"",IF($Z1540="F",IF(INDEX(FTE_Allocation!$D$2:$D$201,$AB1540)="PROJECT",IFERROR(INDEX(Projects!$D:$D,MATCH(INDEX(FTE_Allocation!$E$2:$E$201,$AB1540),Projects!$A:$A,0))&amp;"","#PROJECT?"),INDEX(FTE_Allocation!$E$2:$E$201,$AB1540)&amp;""),"")))</f>
        <v/>
      </c>
      <c r="F1540" s="7">
        <f>IF($Z1540="C",INDEX(Contracts!$Q$2:$Q$151,$AB1540)&amp;"",IF($Z1540="A",INDEX(Fixed_Assets!$L$2:$L$201,$AB1540)&amp;"",IF($Z1540="F",INDEX(Workforce!$K$2:$K$151,MATCH(INDEX(FTE_Allocation!$A$2:$A$201,$AB1540),Workforce!$A$2:$A$151,0))&amp;"","")))</f>
        <v/>
      </c>
      <c r="G1540" s="7">
        <f>IF($Z1540="C",INDEX(Contracts!$F$2:$F$151,$AB1540)&amp;" / "&amp;INDEX(Contracts!$G$2:$G$151,$AB1540),IF($Z1540="A",INDEX(Fixed_Assets!$E$2:$E$201,$AB1540)&amp;"",IF($Z1540="F","Personnel "&amp;INDEX(FTE_Allocation!$A$2:$A$201,$AB1540)&amp;IF(INDEX(FTE_Allocation!$D$2:$D$201,$AB1540)="PROJECT"," ("&amp;INDEX(FTE_Allocation!$E$2:$E$201,$AB1540)&amp;")",""),"")))</f>
        <v/>
      </c>
      <c r="H1540" s="7">
        <f>IF($Z1540="C","CONTRACT",IF($Z1540="A","ASSET",IF($Z1540="F","WORKFORCE","")))</f>
        <v/>
      </c>
      <c r="I1540" s="7">
        <f>IF($Z1540="C",INDEX(Contracts!$L$2:$L$151,$AB1540)&amp;"",IF($Z1540="A",INDEX(Fixed_Assets!$I$2:$I$201,$AB1540)&amp;"",IF($Z1540="F",INDEX(Workforce!$G$2:$G$151,MATCH(INDEX(FTE_Allocation!$A$2:$A$201,$AB1540),Workforce!$A$2:$A$151,0))&amp;"","")))</f>
        <v/>
      </c>
      <c r="J1540" s="18">
        <f>IF($Z1540="","",IF(AND(DATE($AD1540,1,1)&gt;=$AE1540,DATE($AD1540,1,1)&lt;=$AF1540),ROUND($AG1540,2),0))</f>
        <v/>
      </c>
      <c r="K1540" s="18">
        <f>IF($Z1540="","",IF(AND(DATE($AD1540,2,1)&gt;=$AE1540,DATE($AD1540,2,1)&lt;=$AF1540),ROUND($AG1540,2),0))</f>
        <v/>
      </c>
      <c r="L1540" s="18">
        <f>IF($Z1540="","",IF(AND(DATE($AD1540,3,1)&gt;=$AE1540,DATE($AD1540,3,1)&lt;=$AF1540),ROUND($AG1540,2),0))</f>
        <v/>
      </c>
      <c r="M1540" s="18">
        <f>IF($Z1540="","",IF(AND(DATE($AD1540,4,1)&gt;=$AE1540,DATE($AD1540,4,1)&lt;=$AF1540),ROUND($AG1540,2),0))</f>
        <v/>
      </c>
      <c r="N1540" s="18">
        <f>IF($Z1540="","",IF(AND(DATE($AD1540,5,1)&gt;=$AE1540,DATE($AD1540,5,1)&lt;=$AF1540),ROUND($AG1540,2),0))</f>
        <v/>
      </c>
      <c r="O1540" s="18">
        <f>IF($Z1540="","",IF(AND(DATE($AD1540,6,1)&gt;=$AE1540,DATE($AD1540,6,1)&lt;=$AF1540),ROUND($AG1540,2),0))</f>
        <v/>
      </c>
      <c r="P1540" s="18">
        <f>IF($Z1540="","",IF(AND(DATE($AD1540,7,1)&gt;=$AE1540,DATE($AD1540,7,1)&lt;=$AF1540),ROUND($AG1540,2),0))</f>
        <v/>
      </c>
      <c r="Q1540" s="18">
        <f>IF($Z1540="","",IF(AND(DATE($AD1540,8,1)&gt;=$AE1540,DATE($AD1540,8,1)&lt;=$AF1540),ROUND($AG1540,2),0))</f>
        <v/>
      </c>
      <c r="R1540" s="18">
        <f>IF($Z1540="","",IF(AND(DATE($AD1540,9,1)&gt;=$AE1540,DATE($AD1540,9,1)&lt;=$AF1540),ROUND($AG1540,2),0))</f>
        <v/>
      </c>
      <c r="S1540" s="18">
        <f>IF($Z1540="","",IF(AND(DATE($AD1540,10,1)&gt;=$AE1540,DATE($AD1540,10,1)&lt;=$AF1540),ROUND($AG1540,2),0))</f>
        <v/>
      </c>
      <c r="T1540" s="18">
        <f>IF($Z1540="","",IF(AND(DATE($AD1540,11,1)&gt;=$AE1540,DATE($AD1540,11,1)&lt;=$AF1540),ROUND($AG1540,2),0))</f>
        <v/>
      </c>
      <c r="U1540" s="18">
        <f>IF($Z1540="","",IF(AND(DATE($AD1540,12,1)&gt;=$AE1540,DATE($AD1540,12,1)&lt;=$AF1540),ROUND($AG1540,2),0))</f>
        <v/>
      </c>
      <c r="V1540" s="7">
        <f>IF($Z1540="C","Generated from "&amp;INDEX(Contracts!$A$2:$A$151,$AB1540),IF($Z1540="A","Generated from "&amp;INDEX(Fixed_Assets!$A$2:$A$201,$AB1540),IF($Z1540="F","Generated from "&amp;INDEX(FTE_Allocation!$A$2:$A$201,$AB1540),"")))</f>
        <v/>
      </c>
      <c r="X1540" s="19">
        <f>IF($Z1540="","",SUM(J1540:U1540))</f>
        <v/>
      </c>
      <c r="Y1540" s="20">
        <f>ROW()-1</f>
        <v/>
      </c>
      <c r="Z1540" s="20">
        <f>IF($Y1540&lt;=Settings!$B$4*3,"C",IF($Y1540&lt;=(Settings!$B$4+Settings!$B$5)*3,"A",IF($Y1540&lt;=(Settings!$B$4+Settings!$B$5+Settings!$B$6)*3,"F","")))</f>
        <v/>
      </c>
      <c r="AA1540" s="20">
        <f>IF($Z1540="C",$Y1540,IF($Z1540="A",$Y1540-Settings!$B$4*3,IF($Z1540="F",$Y1540-(Settings!$B$4+Settings!$B$5)*3,"")))</f>
        <v/>
      </c>
      <c r="AB1540" s="20">
        <f>IF($Z1540="","",INT(($AA1540-1)/3)+1)</f>
        <v/>
      </c>
      <c r="AC1540" s="20">
        <f>IF($Z1540="","",MOD($AA1540-1,3)+1)</f>
        <v/>
      </c>
      <c r="AD1540" s="20">
        <f>IF($Z1540="","",Settings!$B$2+$AC1540-1)</f>
        <v/>
      </c>
      <c r="AE1540" s="21">
        <f>IF($Z1540="C",DATE(YEAR(INDEX(Contracts!$J$2:$J$151,$AB1540)),MONTH(INDEX(Contracts!$J$2:$J$151,$AB1540)),1),IF($Z1540="A",DATE(YEAR(INDEX(Fixed_Assets!$G$2:$G$201,$AB1540)),MONTH(INDEX(Fixed_Assets!$G$2:$G$201,$AB1540)),1),IF($Z1540="F",DATE(YEAR(MAX(N(INDEX(Workforce!$I$2:$I$151,MATCH(INDEX(FTE_Allocation!$A$2:$A$201,$AB1540),Workforce!$A$2:$A$151,0))),N(INDEX(FTE_Allocation!$I$2:$I$201,$AB1540)))),MONTH(MAX(N(INDEX(Workforce!$I$2:$I$151,MATCH(INDEX(FTE_Allocation!$A$2:$A$201,$AB1540),Workforce!$A$2:$A$151,0))),N(INDEX(FTE_Allocation!$I$2:$I$201,$AB1540)))),1),"")))</f>
        <v/>
      </c>
      <c r="AF1540" s="21">
        <f>IF($Z1540="C",IF(INDEX(Contracts!$I$2:$I$151,$AB1540)="PREPAID",EDATE(DATE(YEAR(INDEX(Contracts!$J$2:$J$151,$AB1540)),MONTH(INDEX(Contracts!$J$2:$J$151,$AB1540)),1),IF(INDEX(Contracts!$N$2:$N$151,$AB1540)="",12,INDEX(Contracts!$N$2:$N$151,$AB1540))-1),IF(INDEX(Contracts!$I$2:$I$151,$AB1540)="MONTHLY",IF(INDEX(Contracts!$K$2:$K$151,$AB1540)="",2958101,INDEX(Contracts!$K$2:$K$151,$AB1540)),0)),IF($Z1540="A",EDATE(DATE(YEAR(INDEX(Fixed_Assets!$G$2:$G$201,$AB1540)),MONTH(INDEX(Fixed_Assets!$G$2:$G$201,$AB1540)),1),INDEX(Fixed_Assets!$J$2:$J$201,$AB1540)-1),IF($Z1540="F",MIN(IF(INDEX(Workforce!$J$2:$J$151,MATCH(INDEX(FTE_Allocation!$A$2:$A$201,$AB1540),Workforce!$A$2:$A$151,0))="",2958101,INDEX(Workforce!$J$2:$J$151,MATCH(INDEX(FTE_Allocation!$A$2:$A$201,$AB1540),Workforce!$A$2:$A$151,0))),IF(INDEX(FTE_Allocation!$J$2:$J$201,$AB1540)="",2958101,INDEX(FTE_Allocation!$J$2:$J$201,$AB1540))),"")))</f>
        <v/>
      </c>
      <c r="AG1540" s="19">
        <f>IF($Z1540="C",IF(INDEX(Contracts!$I$2:$I$151,$AB1540)="PREPAID",INDEX(Contracts!$M$2:$M$151,$AB1540)/IF(INDEX(Contracts!$N$2:$N$151,$AB1540)="",12,INDEX(Contracts!$N$2:$N$151,$AB1540)),IF(INDEX(Contracts!$I$2:$I$151,$AB1540)="MONTHLY",INDEX(Contracts!$M$2:$M$151,$AB1540),0))*(1-N(INDEX(Contracts!$O$2:$O$151,$AB1540))),IF($Z1540="A",INDEX(Fixed_Assets!$H$2:$H$201,$AB1540)/INDEX(Fixed_Assets!$J$2:$J$201,$AB1540),IF($Z1540="F",INDEX(Workforce!$F$2:$F$151,MATCH(INDEX(FTE_Allocation!$A$2:$A$201,$AB1540),Workforce!$A$2:$A$151,0))*N(INDEX(FTE_Allocation!$F$2:$H$201,$AB1540,$AC1540)),"")))</f>
        <v/>
      </c>
    </row>
    <row r="1541">
      <c r="A1541" s="7">
        <f>IF($Z1541="","",$AD1541)</f>
        <v/>
      </c>
      <c r="B1541" s="7">
        <f>IF($Z1541="C",INDEX(Contracts!$D$2:$D$151,$AB1541)&amp;"",IF($Z1541="A",INDEX(Fixed_Assets!$C$2:$C$201,$AB1541)&amp;"",IF($Z1541="F",INDEX(Workforce!$B$2:$B$151,MATCH(INDEX(FTE_Allocation!$A$2:$A$201,$AB1541),Workforce!$A$2:$A$151,0))&amp;"","")))</f>
        <v/>
      </c>
      <c r="C1541" s="7">
        <f>IF($Z1541="C",INDEX(Contracts!$E$2:$E$151,$AB1541)&amp;"",IF($Z1541="A",INDEX(Fixed_Assets!$D$2:$D$201,$AB1541)&amp;"",IF($Z1541="F",INDEX(FTE_Allocation!$C$2:$C$201,$AB1541)&amp;"","")))</f>
        <v/>
      </c>
      <c r="D1541" s="7">
        <f>IF($Z1541="C",INDEX(Contracts!$B$2:$B$151,$AB1541)&amp;"",IF($Z1541="A",INDEX(Fixed_Assets!$B$2:$B$201,$AB1541)&amp;"",IF($Z1541="F",INDEX(FTE_Allocation!$B$2:$B$201,$AB1541)&amp;"","")))</f>
        <v/>
      </c>
      <c r="E1541" s="7">
        <f>IF($Z1541="C",INDEX(Contracts!$P$2:$P$151,$AB1541)&amp;"",IF($Z1541="A",INDEX(Fixed_Assets!$K$2:$K$201,$AB1541)&amp;"",IF($Z1541="F",IF(INDEX(FTE_Allocation!$D$2:$D$201,$AB1541)="PROJECT",IFERROR(INDEX(Projects!$D:$D,MATCH(INDEX(FTE_Allocation!$E$2:$E$201,$AB1541),Projects!$A:$A,0))&amp;"","#PROJECT?"),INDEX(FTE_Allocation!$E$2:$E$201,$AB1541)&amp;""),"")))</f>
        <v/>
      </c>
      <c r="F1541" s="7">
        <f>IF($Z1541="C",INDEX(Contracts!$Q$2:$Q$151,$AB1541)&amp;"",IF($Z1541="A",INDEX(Fixed_Assets!$L$2:$L$201,$AB1541)&amp;"",IF($Z1541="F",INDEX(Workforce!$K$2:$K$151,MATCH(INDEX(FTE_Allocation!$A$2:$A$201,$AB1541),Workforce!$A$2:$A$151,0))&amp;"","")))</f>
        <v/>
      </c>
      <c r="G1541" s="7">
        <f>IF($Z1541="C",INDEX(Contracts!$F$2:$F$151,$AB1541)&amp;" / "&amp;INDEX(Contracts!$G$2:$G$151,$AB1541),IF($Z1541="A",INDEX(Fixed_Assets!$E$2:$E$201,$AB1541)&amp;"",IF($Z1541="F","Personnel "&amp;INDEX(FTE_Allocation!$A$2:$A$201,$AB1541)&amp;IF(INDEX(FTE_Allocation!$D$2:$D$201,$AB1541)="PROJECT"," ("&amp;INDEX(FTE_Allocation!$E$2:$E$201,$AB1541)&amp;")",""),"")))</f>
        <v/>
      </c>
      <c r="H1541" s="7">
        <f>IF($Z1541="C","CONTRACT",IF($Z1541="A","ASSET",IF($Z1541="F","WORKFORCE","")))</f>
        <v/>
      </c>
      <c r="I1541" s="7">
        <f>IF($Z1541="C",INDEX(Contracts!$L$2:$L$151,$AB1541)&amp;"",IF($Z1541="A",INDEX(Fixed_Assets!$I$2:$I$201,$AB1541)&amp;"",IF($Z1541="F",INDEX(Workforce!$G$2:$G$151,MATCH(INDEX(FTE_Allocation!$A$2:$A$201,$AB1541),Workforce!$A$2:$A$151,0))&amp;"","")))</f>
        <v/>
      </c>
      <c r="J1541" s="18">
        <f>IF($Z1541="","",IF(AND(DATE($AD1541,1,1)&gt;=$AE1541,DATE($AD1541,1,1)&lt;=$AF1541),ROUND($AG1541,2),0))</f>
        <v/>
      </c>
      <c r="K1541" s="18">
        <f>IF($Z1541="","",IF(AND(DATE($AD1541,2,1)&gt;=$AE1541,DATE($AD1541,2,1)&lt;=$AF1541),ROUND($AG1541,2),0))</f>
        <v/>
      </c>
      <c r="L1541" s="18">
        <f>IF($Z1541="","",IF(AND(DATE($AD1541,3,1)&gt;=$AE1541,DATE($AD1541,3,1)&lt;=$AF1541),ROUND($AG1541,2),0))</f>
        <v/>
      </c>
      <c r="M1541" s="18">
        <f>IF($Z1541="","",IF(AND(DATE($AD1541,4,1)&gt;=$AE1541,DATE($AD1541,4,1)&lt;=$AF1541),ROUND($AG1541,2),0))</f>
        <v/>
      </c>
      <c r="N1541" s="18">
        <f>IF($Z1541="","",IF(AND(DATE($AD1541,5,1)&gt;=$AE1541,DATE($AD1541,5,1)&lt;=$AF1541),ROUND($AG1541,2),0))</f>
        <v/>
      </c>
      <c r="O1541" s="18">
        <f>IF($Z1541="","",IF(AND(DATE($AD1541,6,1)&gt;=$AE1541,DATE($AD1541,6,1)&lt;=$AF1541),ROUND($AG1541,2),0))</f>
        <v/>
      </c>
      <c r="P1541" s="18">
        <f>IF($Z1541="","",IF(AND(DATE($AD1541,7,1)&gt;=$AE1541,DATE($AD1541,7,1)&lt;=$AF1541),ROUND($AG1541,2),0))</f>
        <v/>
      </c>
      <c r="Q1541" s="18">
        <f>IF($Z1541="","",IF(AND(DATE($AD1541,8,1)&gt;=$AE1541,DATE($AD1541,8,1)&lt;=$AF1541),ROUND($AG1541,2),0))</f>
        <v/>
      </c>
      <c r="R1541" s="18">
        <f>IF($Z1541="","",IF(AND(DATE($AD1541,9,1)&gt;=$AE1541,DATE($AD1541,9,1)&lt;=$AF1541),ROUND($AG1541,2),0))</f>
        <v/>
      </c>
      <c r="S1541" s="18">
        <f>IF($Z1541="","",IF(AND(DATE($AD1541,10,1)&gt;=$AE1541,DATE($AD1541,10,1)&lt;=$AF1541),ROUND($AG1541,2),0))</f>
        <v/>
      </c>
      <c r="T1541" s="18">
        <f>IF($Z1541="","",IF(AND(DATE($AD1541,11,1)&gt;=$AE1541,DATE($AD1541,11,1)&lt;=$AF1541),ROUND($AG1541,2),0))</f>
        <v/>
      </c>
      <c r="U1541" s="18">
        <f>IF($Z1541="","",IF(AND(DATE($AD1541,12,1)&gt;=$AE1541,DATE($AD1541,12,1)&lt;=$AF1541),ROUND($AG1541,2),0))</f>
        <v/>
      </c>
      <c r="V1541" s="7">
        <f>IF($Z1541="C","Generated from "&amp;INDEX(Contracts!$A$2:$A$151,$AB1541),IF($Z1541="A","Generated from "&amp;INDEX(Fixed_Assets!$A$2:$A$201,$AB1541),IF($Z1541="F","Generated from "&amp;INDEX(FTE_Allocation!$A$2:$A$201,$AB1541),"")))</f>
        <v/>
      </c>
      <c r="X1541" s="19">
        <f>IF($Z1541="","",SUM(J1541:U1541))</f>
        <v/>
      </c>
      <c r="Y1541" s="20">
        <f>ROW()-1</f>
        <v/>
      </c>
      <c r="Z1541" s="20">
        <f>IF($Y1541&lt;=Settings!$B$4*3,"C",IF($Y1541&lt;=(Settings!$B$4+Settings!$B$5)*3,"A",IF($Y1541&lt;=(Settings!$B$4+Settings!$B$5+Settings!$B$6)*3,"F","")))</f>
        <v/>
      </c>
      <c r="AA1541" s="20">
        <f>IF($Z1541="C",$Y1541,IF($Z1541="A",$Y1541-Settings!$B$4*3,IF($Z1541="F",$Y1541-(Settings!$B$4+Settings!$B$5)*3,"")))</f>
        <v/>
      </c>
      <c r="AB1541" s="20">
        <f>IF($Z1541="","",INT(($AA1541-1)/3)+1)</f>
        <v/>
      </c>
      <c r="AC1541" s="20">
        <f>IF($Z1541="","",MOD($AA1541-1,3)+1)</f>
        <v/>
      </c>
      <c r="AD1541" s="20">
        <f>IF($Z1541="","",Settings!$B$2+$AC1541-1)</f>
        <v/>
      </c>
      <c r="AE1541" s="21">
        <f>IF($Z1541="C",DATE(YEAR(INDEX(Contracts!$J$2:$J$151,$AB1541)),MONTH(INDEX(Contracts!$J$2:$J$151,$AB1541)),1),IF($Z1541="A",DATE(YEAR(INDEX(Fixed_Assets!$G$2:$G$201,$AB1541)),MONTH(INDEX(Fixed_Assets!$G$2:$G$201,$AB1541)),1),IF($Z1541="F",DATE(YEAR(MAX(N(INDEX(Workforce!$I$2:$I$151,MATCH(INDEX(FTE_Allocation!$A$2:$A$201,$AB1541),Workforce!$A$2:$A$151,0))),N(INDEX(FTE_Allocation!$I$2:$I$201,$AB1541)))),MONTH(MAX(N(INDEX(Workforce!$I$2:$I$151,MATCH(INDEX(FTE_Allocation!$A$2:$A$201,$AB1541),Workforce!$A$2:$A$151,0))),N(INDEX(FTE_Allocation!$I$2:$I$201,$AB1541)))),1),"")))</f>
        <v/>
      </c>
      <c r="AF1541" s="21">
        <f>IF($Z1541="C",IF(INDEX(Contracts!$I$2:$I$151,$AB1541)="PREPAID",EDATE(DATE(YEAR(INDEX(Contracts!$J$2:$J$151,$AB1541)),MONTH(INDEX(Contracts!$J$2:$J$151,$AB1541)),1),IF(INDEX(Contracts!$N$2:$N$151,$AB1541)="",12,INDEX(Contracts!$N$2:$N$151,$AB1541))-1),IF(INDEX(Contracts!$I$2:$I$151,$AB1541)="MONTHLY",IF(INDEX(Contracts!$K$2:$K$151,$AB1541)="",2958101,INDEX(Contracts!$K$2:$K$151,$AB1541)),0)),IF($Z1541="A",EDATE(DATE(YEAR(INDEX(Fixed_Assets!$G$2:$G$201,$AB1541)),MONTH(INDEX(Fixed_Assets!$G$2:$G$201,$AB1541)),1),INDEX(Fixed_Assets!$J$2:$J$201,$AB1541)-1),IF($Z1541="F",MIN(IF(INDEX(Workforce!$J$2:$J$151,MATCH(INDEX(FTE_Allocation!$A$2:$A$201,$AB1541),Workforce!$A$2:$A$151,0))="",2958101,INDEX(Workforce!$J$2:$J$151,MATCH(INDEX(FTE_Allocation!$A$2:$A$201,$AB1541),Workforce!$A$2:$A$151,0))),IF(INDEX(FTE_Allocation!$J$2:$J$201,$AB1541)="",2958101,INDEX(FTE_Allocation!$J$2:$J$201,$AB1541))),"")))</f>
        <v/>
      </c>
      <c r="AG1541" s="19">
        <f>IF($Z1541="C",IF(INDEX(Contracts!$I$2:$I$151,$AB1541)="PREPAID",INDEX(Contracts!$M$2:$M$151,$AB1541)/IF(INDEX(Contracts!$N$2:$N$151,$AB1541)="",12,INDEX(Contracts!$N$2:$N$151,$AB1541)),IF(INDEX(Contracts!$I$2:$I$151,$AB1541)="MONTHLY",INDEX(Contracts!$M$2:$M$151,$AB1541),0))*(1-N(INDEX(Contracts!$O$2:$O$151,$AB1541))),IF($Z1541="A",INDEX(Fixed_Assets!$H$2:$H$201,$AB1541)/INDEX(Fixed_Assets!$J$2:$J$201,$AB1541),IF($Z1541="F",INDEX(Workforce!$F$2:$F$151,MATCH(INDEX(FTE_Allocation!$A$2:$A$201,$AB1541),Workforce!$A$2:$A$151,0))*N(INDEX(FTE_Allocation!$F$2:$H$201,$AB1541,$AC1541)),"")))</f>
        <v/>
      </c>
    </row>
    <row r="1542">
      <c r="A1542" s="7">
        <f>IF($Z1542="","",$AD1542)</f>
        <v/>
      </c>
      <c r="B1542" s="7">
        <f>IF($Z1542="C",INDEX(Contracts!$D$2:$D$151,$AB1542)&amp;"",IF($Z1542="A",INDEX(Fixed_Assets!$C$2:$C$201,$AB1542)&amp;"",IF($Z1542="F",INDEX(Workforce!$B$2:$B$151,MATCH(INDEX(FTE_Allocation!$A$2:$A$201,$AB1542),Workforce!$A$2:$A$151,0))&amp;"","")))</f>
        <v/>
      </c>
      <c r="C1542" s="7">
        <f>IF($Z1542="C",INDEX(Contracts!$E$2:$E$151,$AB1542)&amp;"",IF($Z1542="A",INDEX(Fixed_Assets!$D$2:$D$201,$AB1542)&amp;"",IF($Z1542="F",INDEX(FTE_Allocation!$C$2:$C$201,$AB1542)&amp;"","")))</f>
        <v/>
      </c>
      <c r="D1542" s="7">
        <f>IF($Z1542="C",INDEX(Contracts!$B$2:$B$151,$AB1542)&amp;"",IF($Z1542="A",INDEX(Fixed_Assets!$B$2:$B$201,$AB1542)&amp;"",IF($Z1542="F",INDEX(FTE_Allocation!$B$2:$B$201,$AB1542)&amp;"","")))</f>
        <v/>
      </c>
      <c r="E1542" s="7">
        <f>IF($Z1542="C",INDEX(Contracts!$P$2:$P$151,$AB1542)&amp;"",IF($Z1542="A",INDEX(Fixed_Assets!$K$2:$K$201,$AB1542)&amp;"",IF($Z1542="F",IF(INDEX(FTE_Allocation!$D$2:$D$201,$AB1542)="PROJECT",IFERROR(INDEX(Projects!$D:$D,MATCH(INDEX(FTE_Allocation!$E$2:$E$201,$AB1542),Projects!$A:$A,0))&amp;"","#PROJECT?"),INDEX(FTE_Allocation!$E$2:$E$201,$AB1542)&amp;""),"")))</f>
        <v/>
      </c>
      <c r="F1542" s="7">
        <f>IF($Z1542="C",INDEX(Contracts!$Q$2:$Q$151,$AB1542)&amp;"",IF($Z1542="A",INDEX(Fixed_Assets!$L$2:$L$201,$AB1542)&amp;"",IF($Z1542="F",INDEX(Workforce!$K$2:$K$151,MATCH(INDEX(FTE_Allocation!$A$2:$A$201,$AB1542),Workforce!$A$2:$A$151,0))&amp;"","")))</f>
        <v/>
      </c>
      <c r="G1542" s="7">
        <f>IF($Z1542="C",INDEX(Contracts!$F$2:$F$151,$AB1542)&amp;" / "&amp;INDEX(Contracts!$G$2:$G$151,$AB1542),IF($Z1542="A",INDEX(Fixed_Assets!$E$2:$E$201,$AB1542)&amp;"",IF($Z1542="F","Personnel "&amp;INDEX(FTE_Allocation!$A$2:$A$201,$AB1542)&amp;IF(INDEX(FTE_Allocation!$D$2:$D$201,$AB1542)="PROJECT"," ("&amp;INDEX(FTE_Allocation!$E$2:$E$201,$AB1542)&amp;")",""),"")))</f>
        <v/>
      </c>
      <c r="H1542" s="7">
        <f>IF($Z1542="C","CONTRACT",IF($Z1542="A","ASSET",IF($Z1542="F","WORKFORCE","")))</f>
        <v/>
      </c>
      <c r="I1542" s="7">
        <f>IF($Z1542="C",INDEX(Contracts!$L$2:$L$151,$AB1542)&amp;"",IF($Z1542="A",INDEX(Fixed_Assets!$I$2:$I$201,$AB1542)&amp;"",IF($Z1542="F",INDEX(Workforce!$G$2:$G$151,MATCH(INDEX(FTE_Allocation!$A$2:$A$201,$AB1542),Workforce!$A$2:$A$151,0))&amp;"","")))</f>
        <v/>
      </c>
      <c r="J1542" s="18">
        <f>IF($Z1542="","",IF(AND(DATE($AD1542,1,1)&gt;=$AE1542,DATE($AD1542,1,1)&lt;=$AF1542),ROUND($AG1542,2),0))</f>
        <v/>
      </c>
      <c r="K1542" s="18">
        <f>IF($Z1542="","",IF(AND(DATE($AD1542,2,1)&gt;=$AE1542,DATE($AD1542,2,1)&lt;=$AF1542),ROUND($AG1542,2),0))</f>
        <v/>
      </c>
      <c r="L1542" s="18">
        <f>IF($Z1542="","",IF(AND(DATE($AD1542,3,1)&gt;=$AE1542,DATE($AD1542,3,1)&lt;=$AF1542),ROUND($AG1542,2),0))</f>
        <v/>
      </c>
      <c r="M1542" s="18">
        <f>IF($Z1542="","",IF(AND(DATE($AD1542,4,1)&gt;=$AE1542,DATE($AD1542,4,1)&lt;=$AF1542),ROUND($AG1542,2),0))</f>
        <v/>
      </c>
      <c r="N1542" s="18">
        <f>IF($Z1542="","",IF(AND(DATE($AD1542,5,1)&gt;=$AE1542,DATE($AD1542,5,1)&lt;=$AF1542),ROUND($AG1542,2),0))</f>
        <v/>
      </c>
      <c r="O1542" s="18">
        <f>IF($Z1542="","",IF(AND(DATE($AD1542,6,1)&gt;=$AE1542,DATE($AD1542,6,1)&lt;=$AF1542),ROUND($AG1542,2),0))</f>
        <v/>
      </c>
      <c r="P1542" s="18">
        <f>IF($Z1542="","",IF(AND(DATE($AD1542,7,1)&gt;=$AE1542,DATE($AD1542,7,1)&lt;=$AF1542),ROUND($AG1542,2),0))</f>
        <v/>
      </c>
      <c r="Q1542" s="18">
        <f>IF($Z1542="","",IF(AND(DATE($AD1542,8,1)&gt;=$AE1542,DATE($AD1542,8,1)&lt;=$AF1542),ROUND($AG1542,2),0))</f>
        <v/>
      </c>
      <c r="R1542" s="18">
        <f>IF($Z1542="","",IF(AND(DATE($AD1542,9,1)&gt;=$AE1542,DATE($AD1542,9,1)&lt;=$AF1542),ROUND($AG1542,2),0))</f>
        <v/>
      </c>
      <c r="S1542" s="18">
        <f>IF($Z1542="","",IF(AND(DATE($AD1542,10,1)&gt;=$AE1542,DATE($AD1542,10,1)&lt;=$AF1542),ROUND($AG1542,2),0))</f>
        <v/>
      </c>
      <c r="T1542" s="18">
        <f>IF($Z1542="","",IF(AND(DATE($AD1542,11,1)&gt;=$AE1542,DATE($AD1542,11,1)&lt;=$AF1542),ROUND($AG1542,2),0))</f>
        <v/>
      </c>
      <c r="U1542" s="18">
        <f>IF($Z1542="","",IF(AND(DATE($AD1542,12,1)&gt;=$AE1542,DATE($AD1542,12,1)&lt;=$AF1542),ROUND($AG1542,2),0))</f>
        <v/>
      </c>
      <c r="V1542" s="7">
        <f>IF($Z1542="C","Generated from "&amp;INDEX(Contracts!$A$2:$A$151,$AB1542),IF($Z1542="A","Generated from "&amp;INDEX(Fixed_Assets!$A$2:$A$201,$AB1542),IF($Z1542="F","Generated from "&amp;INDEX(FTE_Allocation!$A$2:$A$201,$AB1542),"")))</f>
        <v/>
      </c>
      <c r="X1542" s="19">
        <f>IF($Z1542="","",SUM(J1542:U1542))</f>
        <v/>
      </c>
      <c r="Y1542" s="20">
        <f>ROW()-1</f>
        <v/>
      </c>
      <c r="Z1542" s="20">
        <f>IF($Y1542&lt;=Settings!$B$4*3,"C",IF($Y1542&lt;=(Settings!$B$4+Settings!$B$5)*3,"A",IF($Y1542&lt;=(Settings!$B$4+Settings!$B$5+Settings!$B$6)*3,"F","")))</f>
        <v/>
      </c>
      <c r="AA1542" s="20">
        <f>IF($Z1542="C",$Y1542,IF($Z1542="A",$Y1542-Settings!$B$4*3,IF($Z1542="F",$Y1542-(Settings!$B$4+Settings!$B$5)*3,"")))</f>
        <v/>
      </c>
      <c r="AB1542" s="20">
        <f>IF($Z1542="","",INT(($AA1542-1)/3)+1)</f>
        <v/>
      </c>
      <c r="AC1542" s="20">
        <f>IF($Z1542="","",MOD($AA1542-1,3)+1)</f>
        <v/>
      </c>
      <c r="AD1542" s="20">
        <f>IF($Z1542="","",Settings!$B$2+$AC1542-1)</f>
        <v/>
      </c>
      <c r="AE1542" s="21">
        <f>IF($Z1542="C",DATE(YEAR(INDEX(Contracts!$J$2:$J$151,$AB1542)),MONTH(INDEX(Contracts!$J$2:$J$151,$AB1542)),1),IF($Z1542="A",DATE(YEAR(INDEX(Fixed_Assets!$G$2:$G$201,$AB1542)),MONTH(INDEX(Fixed_Assets!$G$2:$G$201,$AB1542)),1),IF($Z1542="F",DATE(YEAR(MAX(N(INDEX(Workforce!$I$2:$I$151,MATCH(INDEX(FTE_Allocation!$A$2:$A$201,$AB1542),Workforce!$A$2:$A$151,0))),N(INDEX(FTE_Allocation!$I$2:$I$201,$AB1542)))),MONTH(MAX(N(INDEX(Workforce!$I$2:$I$151,MATCH(INDEX(FTE_Allocation!$A$2:$A$201,$AB1542),Workforce!$A$2:$A$151,0))),N(INDEX(FTE_Allocation!$I$2:$I$201,$AB1542)))),1),"")))</f>
        <v/>
      </c>
      <c r="AF1542" s="21">
        <f>IF($Z1542="C",IF(INDEX(Contracts!$I$2:$I$151,$AB1542)="PREPAID",EDATE(DATE(YEAR(INDEX(Contracts!$J$2:$J$151,$AB1542)),MONTH(INDEX(Contracts!$J$2:$J$151,$AB1542)),1),IF(INDEX(Contracts!$N$2:$N$151,$AB1542)="",12,INDEX(Contracts!$N$2:$N$151,$AB1542))-1),IF(INDEX(Contracts!$I$2:$I$151,$AB1542)="MONTHLY",IF(INDEX(Contracts!$K$2:$K$151,$AB1542)="",2958101,INDEX(Contracts!$K$2:$K$151,$AB1542)),0)),IF($Z1542="A",EDATE(DATE(YEAR(INDEX(Fixed_Assets!$G$2:$G$201,$AB1542)),MONTH(INDEX(Fixed_Assets!$G$2:$G$201,$AB1542)),1),INDEX(Fixed_Assets!$J$2:$J$201,$AB1542)-1),IF($Z1542="F",MIN(IF(INDEX(Workforce!$J$2:$J$151,MATCH(INDEX(FTE_Allocation!$A$2:$A$201,$AB1542),Workforce!$A$2:$A$151,0))="",2958101,INDEX(Workforce!$J$2:$J$151,MATCH(INDEX(FTE_Allocation!$A$2:$A$201,$AB1542),Workforce!$A$2:$A$151,0))),IF(INDEX(FTE_Allocation!$J$2:$J$201,$AB1542)="",2958101,INDEX(FTE_Allocation!$J$2:$J$201,$AB1542))),"")))</f>
        <v/>
      </c>
      <c r="AG1542" s="19">
        <f>IF($Z1542="C",IF(INDEX(Contracts!$I$2:$I$151,$AB1542)="PREPAID",INDEX(Contracts!$M$2:$M$151,$AB1542)/IF(INDEX(Contracts!$N$2:$N$151,$AB1542)="",12,INDEX(Contracts!$N$2:$N$151,$AB1542)),IF(INDEX(Contracts!$I$2:$I$151,$AB1542)="MONTHLY",INDEX(Contracts!$M$2:$M$151,$AB1542),0))*(1-N(INDEX(Contracts!$O$2:$O$151,$AB1542))),IF($Z1542="A",INDEX(Fixed_Assets!$H$2:$H$201,$AB1542)/INDEX(Fixed_Assets!$J$2:$J$201,$AB1542),IF($Z1542="F",INDEX(Workforce!$F$2:$F$151,MATCH(INDEX(FTE_Allocation!$A$2:$A$201,$AB1542),Workforce!$A$2:$A$151,0))*N(INDEX(FTE_Allocation!$F$2:$H$201,$AB1542,$AC1542)),"")))</f>
        <v/>
      </c>
    </row>
    <row r="1543">
      <c r="A1543" s="7">
        <f>IF($Z1543="","",$AD1543)</f>
        <v/>
      </c>
      <c r="B1543" s="7">
        <f>IF($Z1543="C",INDEX(Contracts!$D$2:$D$151,$AB1543)&amp;"",IF($Z1543="A",INDEX(Fixed_Assets!$C$2:$C$201,$AB1543)&amp;"",IF($Z1543="F",INDEX(Workforce!$B$2:$B$151,MATCH(INDEX(FTE_Allocation!$A$2:$A$201,$AB1543),Workforce!$A$2:$A$151,0))&amp;"","")))</f>
        <v/>
      </c>
      <c r="C1543" s="7">
        <f>IF($Z1543="C",INDEX(Contracts!$E$2:$E$151,$AB1543)&amp;"",IF($Z1543="A",INDEX(Fixed_Assets!$D$2:$D$201,$AB1543)&amp;"",IF($Z1543="F",INDEX(FTE_Allocation!$C$2:$C$201,$AB1543)&amp;"","")))</f>
        <v/>
      </c>
      <c r="D1543" s="7">
        <f>IF($Z1543="C",INDEX(Contracts!$B$2:$B$151,$AB1543)&amp;"",IF($Z1543="A",INDEX(Fixed_Assets!$B$2:$B$201,$AB1543)&amp;"",IF($Z1543="F",INDEX(FTE_Allocation!$B$2:$B$201,$AB1543)&amp;"","")))</f>
        <v/>
      </c>
      <c r="E1543" s="7">
        <f>IF($Z1543="C",INDEX(Contracts!$P$2:$P$151,$AB1543)&amp;"",IF($Z1543="A",INDEX(Fixed_Assets!$K$2:$K$201,$AB1543)&amp;"",IF($Z1543="F",IF(INDEX(FTE_Allocation!$D$2:$D$201,$AB1543)="PROJECT",IFERROR(INDEX(Projects!$D:$D,MATCH(INDEX(FTE_Allocation!$E$2:$E$201,$AB1543),Projects!$A:$A,0))&amp;"","#PROJECT?"),INDEX(FTE_Allocation!$E$2:$E$201,$AB1543)&amp;""),"")))</f>
        <v/>
      </c>
      <c r="F1543" s="7">
        <f>IF($Z1543="C",INDEX(Contracts!$Q$2:$Q$151,$AB1543)&amp;"",IF($Z1543="A",INDEX(Fixed_Assets!$L$2:$L$201,$AB1543)&amp;"",IF($Z1543="F",INDEX(Workforce!$K$2:$K$151,MATCH(INDEX(FTE_Allocation!$A$2:$A$201,$AB1543),Workforce!$A$2:$A$151,0))&amp;"","")))</f>
        <v/>
      </c>
      <c r="G1543" s="7">
        <f>IF($Z1543="C",INDEX(Contracts!$F$2:$F$151,$AB1543)&amp;" / "&amp;INDEX(Contracts!$G$2:$G$151,$AB1543),IF($Z1543="A",INDEX(Fixed_Assets!$E$2:$E$201,$AB1543)&amp;"",IF($Z1543="F","Personnel "&amp;INDEX(FTE_Allocation!$A$2:$A$201,$AB1543)&amp;IF(INDEX(FTE_Allocation!$D$2:$D$201,$AB1543)="PROJECT"," ("&amp;INDEX(FTE_Allocation!$E$2:$E$201,$AB1543)&amp;")",""),"")))</f>
        <v/>
      </c>
      <c r="H1543" s="7">
        <f>IF($Z1543="C","CONTRACT",IF($Z1543="A","ASSET",IF($Z1543="F","WORKFORCE","")))</f>
        <v/>
      </c>
      <c r="I1543" s="7">
        <f>IF($Z1543="C",INDEX(Contracts!$L$2:$L$151,$AB1543)&amp;"",IF($Z1543="A",INDEX(Fixed_Assets!$I$2:$I$201,$AB1543)&amp;"",IF($Z1543="F",INDEX(Workforce!$G$2:$G$151,MATCH(INDEX(FTE_Allocation!$A$2:$A$201,$AB1543),Workforce!$A$2:$A$151,0))&amp;"","")))</f>
        <v/>
      </c>
      <c r="J1543" s="18">
        <f>IF($Z1543="","",IF(AND(DATE($AD1543,1,1)&gt;=$AE1543,DATE($AD1543,1,1)&lt;=$AF1543),ROUND($AG1543,2),0))</f>
        <v/>
      </c>
      <c r="K1543" s="18">
        <f>IF($Z1543="","",IF(AND(DATE($AD1543,2,1)&gt;=$AE1543,DATE($AD1543,2,1)&lt;=$AF1543),ROUND($AG1543,2),0))</f>
        <v/>
      </c>
      <c r="L1543" s="18">
        <f>IF($Z1543="","",IF(AND(DATE($AD1543,3,1)&gt;=$AE1543,DATE($AD1543,3,1)&lt;=$AF1543),ROUND($AG1543,2),0))</f>
        <v/>
      </c>
      <c r="M1543" s="18">
        <f>IF($Z1543="","",IF(AND(DATE($AD1543,4,1)&gt;=$AE1543,DATE($AD1543,4,1)&lt;=$AF1543),ROUND($AG1543,2),0))</f>
        <v/>
      </c>
      <c r="N1543" s="18">
        <f>IF($Z1543="","",IF(AND(DATE($AD1543,5,1)&gt;=$AE1543,DATE($AD1543,5,1)&lt;=$AF1543),ROUND($AG1543,2),0))</f>
        <v/>
      </c>
      <c r="O1543" s="18">
        <f>IF($Z1543="","",IF(AND(DATE($AD1543,6,1)&gt;=$AE1543,DATE($AD1543,6,1)&lt;=$AF1543),ROUND($AG1543,2),0))</f>
        <v/>
      </c>
      <c r="P1543" s="18">
        <f>IF($Z1543="","",IF(AND(DATE($AD1543,7,1)&gt;=$AE1543,DATE($AD1543,7,1)&lt;=$AF1543),ROUND($AG1543,2),0))</f>
        <v/>
      </c>
      <c r="Q1543" s="18">
        <f>IF($Z1543="","",IF(AND(DATE($AD1543,8,1)&gt;=$AE1543,DATE($AD1543,8,1)&lt;=$AF1543),ROUND($AG1543,2),0))</f>
        <v/>
      </c>
      <c r="R1543" s="18">
        <f>IF($Z1543="","",IF(AND(DATE($AD1543,9,1)&gt;=$AE1543,DATE($AD1543,9,1)&lt;=$AF1543),ROUND($AG1543,2),0))</f>
        <v/>
      </c>
      <c r="S1543" s="18">
        <f>IF($Z1543="","",IF(AND(DATE($AD1543,10,1)&gt;=$AE1543,DATE($AD1543,10,1)&lt;=$AF1543),ROUND($AG1543,2),0))</f>
        <v/>
      </c>
      <c r="T1543" s="18">
        <f>IF($Z1543="","",IF(AND(DATE($AD1543,11,1)&gt;=$AE1543,DATE($AD1543,11,1)&lt;=$AF1543),ROUND($AG1543,2),0))</f>
        <v/>
      </c>
      <c r="U1543" s="18">
        <f>IF($Z1543="","",IF(AND(DATE($AD1543,12,1)&gt;=$AE1543,DATE($AD1543,12,1)&lt;=$AF1543),ROUND($AG1543,2),0))</f>
        <v/>
      </c>
      <c r="V1543" s="7">
        <f>IF($Z1543="C","Generated from "&amp;INDEX(Contracts!$A$2:$A$151,$AB1543),IF($Z1543="A","Generated from "&amp;INDEX(Fixed_Assets!$A$2:$A$201,$AB1543),IF($Z1543="F","Generated from "&amp;INDEX(FTE_Allocation!$A$2:$A$201,$AB1543),"")))</f>
        <v/>
      </c>
      <c r="X1543" s="19">
        <f>IF($Z1543="","",SUM(J1543:U1543))</f>
        <v/>
      </c>
      <c r="Y1543" s="20">
        <f>ROW()-1</f>
        <v/>
      </c>
      <c r="Z1543" s="20">
        <f>IF($Y1543&lt;=Settings!$B$4*3,"C",IF($Y1543&lt;=(Settings!$B$4+Settings!$B$5)*3,"A",IF($Y1543&lt;=(Settings!$B$4+Settings!$B$5+Settings!$B$6)*3,"F","")))</f>
        <v/>
      </c>
      <c r="AA1543" s="20">
        <f>IF($Z1543="C",$Y1543,IF($Z1543="A",$Y1543-Settings!$B$4*3,IF($Z1543="F",$Y1543-(Settings!$B$4+Settings!$B$5)*3,"")))</f>
        <v/>
      </c>
      <c r="AB1543" s="20">
        <f>IF($Z1543="","",INT(($AA1543-1)/3)+1)</f>
        <v/>
      </c>
      <c r="AC1543" s="20">
        <f>IF($Z1543="","",MOD($AA1543-1,3)+1)</f>
        <v/>
      </c>
      <c r="AD1543" s="20">
        <f>IF($Z1543="","",Settings!$B$2+$AC1543-1)</f>
        <v/>
      </c>
      <c r="AE1543" s="21">
        <f>IF($Z1543="C",DATE(YEAR(INDEX(Contracts!$J$2:$J$151,$AB1543)),MONTH(INDEX(Contracts!$J$2:$J$151,$AB1543)),1),IF($Z1543="A",DATE(YEAR(INDEX(Fixed_Assets!$G$2:$G$201,$AB1543)),MONTH(INDEX(Fixed_Assets!$G$2:$G$201,$AB1543)),1),IF($Z1543="F",DATE(YEAR(MAX(N(INDEX(Workforce!$I$2:$I$151,MATCH(INDEX(FTE_Allocation!$A$2:$A$201,$AB1543),Workforce!$A$2:$A$151,0))),N(INDEX(FTE_Allocation!$I$2:$I$201,$AB1543)))),MONTH(MAX(N(INDEX(Workforce!$I$2:$I$151,MATCH(INDEX(FTE_Allocation!$A$2:$A$201,$AB1543),Workforce!$A$2:$A$151,0))),N(INDEX(FTE_Allocation!$I$2:$I$201,$AB1543)))),1),"")))</f>
        <v/>
      </c>
      <c r="AF1543" s="21">
        <f>IF($Z1543="C",IF(INDEX(Contracts!$I$2:$I$151,$AB1543)="PREPAID",EDATE(DATE(YEAR(INDEX(Contracts!$J$2:$J$151,$AB1543)),MONTH(INDEX(Contracts!$J$2:$J$151,$AB1543)),1),IF(INDEX(Contracts!$N$2:$N$151,$AB1543)="",12,INDEX(Contracts!$N$2:$N$151,$AB1543))-1),IF(INDEX(Contracts!$I$2:$I$151,$AB1543)="MONTHLY",IF(INDEX(Contracts!$K$2:$K$151,$AB1543)="",2958101,INDEX(Contracts!$K$2:$K$151,$AB1543)),0)),IF($Z1543="A",EDATE(DATE(YEAR(INDEX(Fixed_Assets!$G$2:$G$201,$AB1543)),MONTH(INDEX(Fixed_Assets!$G$2:$G$201,$AB1543)),1),INDEX(Fixed_Assets!$J$2:$J$201,$AB1543)-1),IF($Z1543="F",MIN(IF(INDEX(Workforce!$J$2:$J$151,MATCH(INDEX(FTE_Allocation!$A$2:$A$201,$AB1543),Workforce!$A$2:$A$151,0))="",2958101,INDEX(Workforce!$J$2:$J$151,MATCH(INDEX(FTE_Allocation!$A$2:$A$201,$AB1543),Workforce!$A$2:$A$151,0))),IF(INDEX(FTE_Allocation!$J$2:$J$201,$AB1543)="",2958101,INDEX(FTE_Allocation!$J$2:$J$201,$AB1543))),"")))</f>
        <v/>
      </c>
      <c r="AG1543" s="19">
        <f>IF($Z1543="C",IF(INDEX(Contracts!$I$2:$I$151,$AB1543)="PREPAID",INDEX(Contracts!$M$2:$M$151,$AB1543)/IF(INDEX(Contracts!$N$2:$N$151,$AB1543)="",12,INDEX(Contracts!$N$2:$N$151,$AB1543)),IF(INDEX(Contracts!$I$2:$I$151,$AB1543)="MONTHLY",INDEX(Contracts!$M$2:$M$151,$AB1543),0))*(1-N(INDEX(Contracts!$O$2:$O$151,$AB1543))),IF($Z1543="A",INDEX(Fixed_Assets!$H$2:$H$201,$AB1543)/INDEX(Fixed_Assets!$J$2:$J$201,$AB1543),IF($Z1543="F",INDEX(Workforce!$F$2:$F$151,MATCH(INDEX(FTE_Allocation!$A$2:$A$201,$AB1543),Workforce!$A$2:$A$151,0))*N(INDEX(FTE_Allocation!$F$2:$H$201,$AB1543,$AC1543)),"")))</f>
        <v/>
      </c>
    </row>
    <row r="1544">
      <c r="A1544" s="7">
        <f>IF($Z1544="","",$AD1544)</f>
        <v/>
      </c>
      <c r="B1544" s="7">
        <f>IF($Z1544="C",INDEX(Contracts!$D$2:$D$151,$AB1544)&amp;"",IF($Z1544="A",INDEX(Fixed_Assets!$C$2:$C$201,$AB1544)&amp;"",IF($Z1544="F",INDEX(Workforce!$B$2:$B$151,MATCH(INDEX(FTE_Allocation!$A$2:$A$201,$AB1544),Workforce!$A$2:$A$151,0))&amp;"","")))</f>
        <v/>
      </c>
      <c r="C1544" s="7">
        <f>IF($Z1544="C",INDEX(Contracts!$E$2:$E$151,$AB1544)&amp;"",IF($Z1544="A",INDEX(Fixed_Assets!$D$2:$D$201,$AB1544)&amp;"",IF($Z1544="F",INDEX(FTE_Allocation!$C$2:$C$201,$AB1544)&amp;"","")))</f>
        <v/>
      </c>
      <c r="D1544" s="7">
        <f>IF($Z1544="C",INDEX(Contracts!$B$2:$B$151,$AB1544)&amp;"",IF($Z1544="A",INDEX(Fixed_Assets!$B$2:$B$201,$AB1544)&amp;"",IF($Z1544="F",INDEX(FTE_Allocation!$B$2:$B$201,$AB1544)&amp;"","")))</f>
        <v/>
      </c>
      <c r="E1544" s="7">
        <f>IF($Z1544="C",INDEX(Contracts!$P$2:$P$151,$AB1544)&amp;"",IF($Z1544="A",INDEX(Fixed_Assets!$K$2:$K$201,$AB1544)&amp;"",IF($Z1544="F",IF(INDEX(FTE_Allocation!$D$2:$D$201,$AB1544)="PROJECT",IFERROR(INDEX(Projects!$D:$D,MATCH(INDEX(FTE_Allocation!$E$2:$E$201,$AB1544),Projects!$A:$A,0))&amp;"","#PROJECT?"),INDEX(FTE_Allocation!$E$2:$E$201,$AB1544)&amp;""),"")))</f>
        <v/>
      </c>
      <c r="F1544" s="7">
        <f>IF($Z1544="C",INDEX(Contracts!$Q$2:$Q$151,$AB1544)&amp;"",IF($Z1544="A",INDEX(Fixed_Assets!$L$2:$L$201,$AB1544)&amp;"",IF($Z1544="F",INDEX(Workforce!$K$2:$K$151,MATCH(INDEX(FTE_Allocation!$A$2:$A$201,$AB1544),Workforce!$A$2:$A$151,0))&amp;"","")))</f>
        <v/>
      </c>
      <c r="G1544" s="7">
        <f>IF($Z1544="C",INDEX(Contracts!$F$2:$F$151,$AB1544)&amp;" / "&amp;INDEX(Contracts!$G$2:$G$151,$AB1544),IF($Z1544="A",INDEX(Fixed_Assets!$E$2:$E$201,$AB1544)&amp;"",IF($Z1544="F","Personnel "&amp;INDEX(FTE_Allocation!$A$2:$A$201,$AB1544)&amp;IF(INDEX(FTE_Allocation!$D$2:$D$201,$AB1544)="PROJECT"," ("&amp;INDEX(FTE_Allocation!$E$2:$E$201,$AB1544)&amp;")",""),"")))</f>
        <v/>
      </c>
      <c r="H1544" s="7">
        <f>IF($Z1544="C","CONTRACT",IF($Z1544="A","ASSET",IF($Z1544="F","WORKFORCE","")))</f>
        <v/>
      </c>
      <c r="I1544" s="7">
        <f>IF($Z1544="C",INDEX(Contracts!$L$2:$L$151,$AB1544)&amp;"",IF($Z1544="A",INDEX(Fixed_Assets!$I$2:$I$201,$AB1544)&amp;"",IF($Z1544="F",INDEX(Workforce!$G$2:$G$151,MATCH(INDEX(FTE_Allocation!$A$2:$A$201,$AB1544),Workforce!$A$2:$A$151,0))&amp;"","")))</f>
        <v/>
      </c>
      <c r="J1544" s="18">
        <f>IF($Z1544="","",IF(AND(DATE($AD1544,1,1)&gt;=$AE1544,DATE($AD1544,1,1)&lt;=$AF1544),ROUND($AG1544,2),0))</f>
        <v/>
      </c>
      <c r="K1544" s="18">
        <f>IF($Z1544="","",IF(AND(DATE($AD1544,2,1)&gt;=$AE1544,DATE($AD1544,2,1)&lt;=$AF1544),ROUND($AG1544,2),0))</f>
        <v/>
      </c>
      <c r="L1544" s="18">
        <f>IF($Z1544="","",IF(AND(DATE($AD1544,3,1)&gt;=$AE1544,DATE($AD1544,3,1)&lt;=$AF1544),ROUND($AG1544,2),0))</f>
        <v/>
      </c>
      <c r="M1544" s="18">
        <f>IF($Z1544="","",IF(AND(DATE($AD1544,4,1)&gt;=$AE1544,DATE($AD1544,4,1)&lt;=$AF1544),ROUND($AG1544,2),0))</f>
        <v/>
      </c>
      <c r="N1544" s="18">
        <f>IF($Z1544="","",IF(AND(DATE($AD1544,5,1)&gt;=$AE1544,DATE($AD1544,5,1)&lt;=$AF1544),ROUND($AG1544,2),0))</f>
        <v/>
      </c>
      <c r="O1544" s="18">
        <f>IF($Z1544="","",IF(AND(DATE($AD1544,6,1)&gt;=$AE1544,DATE($AD1544,6,1)&lt;=$AF1544),ROUND($AG1544,2),0))</f>
        <v/>
      </c>
      <c r="P1544" s="18">
        <f>IF($Z1544="","",IF(AND(DATE($AD1544,7,1)&gt;=$AE1544,DATE($AD1544,7,1)&lt;=$AF1544),ROUND($AG1544,2),0))</f>
        <v/>
      </c>
      <c r="Q1544" s="18">
        <f>IF($Z1544="","",IF(AND(DATE($AD1544,8,1)&gt;=$AE1544,DATE($AD1544,8,1)&lt;=$AF1544),ROUND($AG1544,2),0))</f>
        <v/>
      </c>
      <c r="R1544" s="18">
        <f>IF($Z1544="","",IF(AND(DATE($AD1544,9,1)&gt;=$AE1544,DATE($AD1544,9,1)&lt;=$AF1544),ROUND($AG1544,2),0))</f>
        <v/>
      </c>
      <c r="S1544" s="18">
        <f>IF($Z1544="","",IF(AND(DATE($AD1544,10,1)&gt;=$AE1544,DATE($AD1544,10,1)&lt;=$AF1544),ROUND($AG1544,2),0))</f>
        <v/>
      </c>
      <c r="T1544" s="18">
        <f>IF($Z1544="","",IF(AND(DATE($AD1544,11,1)&gt;=$AE1544,DATE($AD1544,11,1)&lt;=$AF1544),ROUND($AG1544,2),0))</f>
        <v/>
      </c>
      <c r="U1544" s="18">
        <f>IF($Z1544="","",IF(AND(DATE($AD1544,12,1)&gt;=$AE1544,DATE($AD1544,12,1)&lt;=$AF1544),ROUND($AG1544,2),0))</f>
        <v/>
      </c>
      <c r="V1544" s="7">
        <f>IF($Z1544="C","Generated from "&amp;INDEX(Contracts!$A$2:$A$151,$AB1544),IF($Z1544="A","Generated from "&amp;INDEX(Fixed_Assets!$A$2:$A$201,$AB1544),IF($Z1544="F","Generated from "&amp;INDEX(FTE_Allocation!$A$2:$A$201,$AB1544),"")))</f>
        <v/>
      </c>
      <c r="X1544" s="19">
        <f>IF($Z1544="","",SUM(J1544:U1544))</f>
        <v/>
      </c>
      <c r="Y1544" s="20">
        <f>ROW()-1</f>
        <v/>
      </c>
      <c r="Z1544" s="20">
        <f>IF($Y1544&lt;=Settings!$B$4*3,"C",IF($Y1544&lt;=(Settings!$B$4+Settings!$B$5)*3,"A",IF($Y1544&lt;=(Settings!$B$4+Settings!$B$5+Settings!$B$6)*3,"F","")))</f>
        <v/>
      </c>
      <c r="AA1544" s="20">
        <f>IF($Z1544="C",$Y1544,IF($Z1544="A",$Y1544-Settings!$B$4*3,IF($Z1544="F",$Y1544-(Settings!$B$4+Settings!$B$5)*3,"")))</f>
        <v/>
      </c>
      <c r="AB1544" s="20">
        <f>IF($Z1544="","",INT(($AA1544-1)/3)+1)</f>
        <v/>
      </c>
      <c r="AC1544" s="20">
        <f>IF($Z1544="","",MOD($AA1544-1,3)+1)</f>
        <v/>
      </c>
      <c r="AD1544" s="20">
        <f>IF($Z1544="","",Settings!$B$2+$AC1544-1)</f>
        <v/>
      </c>
      <c r="AE1544" s="21">
        <f>IF($Z1544="C",DATE(YEAR(INDEX(Contracts!$J$2:$J$151,$AB1544)),MONTH(INDEX(Contracts!$J$2:$J$151,$AB1544)),1),IF($Z1544="A",DATE(YEAR(INDEX(Fixed_Assets!$G$2:$G$201,$AB1544)),MONTH(INDEX(Fixed_Assets!$G$2:$G$201,$AB1544)),1),IF($Z1544="F",DATE(YEAR(MAX(N(INDEX(Workforce!$I$2:$I$151,MATCH(INDEX(FTE_Allocation!$A$2:$A$201,$AB1544),Workforce!$A$2:$A$151,0))),N(INDEX(FTE_Allocation!$I$2:$I$201,$AB1544)))),MONTH(MAX(N(INDEX(Workforce!$I$2:$I$151,MATCH(INDEX(FTE_Allocation!$A$2:$A$201,$AB1544),Workforce!$A$2:$A$151,0))),N(INDEX(FTE_Allocation!$I$2:$I$201,$AB1544)))),1),"")))</f>
        <v/>
      </c>
      <c r="AF1544" s="21">
        <f>IF($Z1544="C",IF(INDEX(Contracts!$I$2:$I$151,$AB1544)="PREPAID",EDATE(DATE(YEAR(INDEX(Contracts!$J$2:$J$151,$AB1544)),MONTH(INDEX(Contracts!$J$2:$J$151,$AB1544)),1),IF(INDEX(Contracts!$N$2:$N$151,$AB1544)="",12,INDEX(Contracts!$N$2:$N$151,$AB1544))-1),IF(INDEX(Contracts!$I$2:$I$151,$AB1544)="MONTHLY",IF(INDEX(Contracts!$K$2:$K$151,$AB1544)="",2958101,INDEX(Contracts!$K$2:$K$151,$AB1544)),0)),IF($Z1544="A",EDATE(DATE(YEAR(INDEX(Fixed_Assets!$G$2:$G$201,$AB1544)),MONTH(INDEX(Fixed_Assets!$G$2:$G$201,$AB1544)),1),INDEX(Fixed_Assets!$J$2:$J$201,$AB1544)-1),IF($Z1544="F",MIN(IF(INDEX(Workforce!$J$2:$J$151,MATCH(INDEX(FTE_Allocation!$A$2:$A$201,$AB1544),Workforce!$A$2:$A$151,0))="",2958101,INDEX(Workforce!$J$2:$J$151,MATCH(INDEX(FTE_Allocation!$A$2:$A$201,$AB1544),Workforce!$A$2:$A$151,0))),IF(INDEX(FTE_Allocation!$J$2:$J$201,$AB1544)="",2958101,INDEX(FTE_Allocation!$J$2:$J$201,$AB1544))),"")))</f>
        <v/>
      </c>
      <c r="AG1544" s="19">
        <f>IF($Z1544="C",IF(INDEX(Contracts!$I$2:$I$151,$AB1544)="PREPAID",INDEX(Contracts!$M$2:$M$151,$AB1544)/IF(INDEX(Contracts!$N$2:$N$151,$AB1544)="",12,INDEX(Contracts!$N$2:$N$151,$AB1544)),IF(INDEX(Contracts!$I$2:$I$151,$AB1544)="MONTHLY",INDEX(Contracts!$M$2:$M$151,$AB1544),0))*(1-N(INDEX(Contracts!$O$2:$O$151,$AB1544))),IF($Z1544="A",INDEX(Fixed_Assets!$H$2:$H$201,$AB1544)/INDEX(Fixed_Assets!$J$2:$J$201,$AB1544),IF($Z1544="F",INDEX(Workforce!$F$2:$F$151,MATCH(INDEX(FTE_Allocation!$A$2:$A$201,$AB1544),Workforce!$A$2:$A$151,0))*N(INDEX(FTE_Allocation!$F$2:$H$201,$AB1544,$AC1544)),"")))</f>
        <v/>
      </c>
    </row>
    <row r="1545">
      <c r="A1545" s="7">
        <f>IF($Z1545="","",$AD1545)</f>
        <v/>
      </c>
      <c r="B1545" s="7">
        <f>IF($Z1545="C",INDEX(Contracts!$D$2:$D$151,$AB1545)&amp;"",IF($Z1545="A",INDEX(Fixed_Assets!$C$2:$C$201,$AB1545)&amp;"",IF($Z1545="F",INDEX(Workforce!$B$2:$B$151,MATCH(INDEX(FTE_Allocation!$A$2:$A$201,$AB1545),Workforce!$A$2:$A$151,0))&amp;"","")))</f>
        <v/>
      </c>
      <c r="C1545" s="7">
        <f>IF($Z1545="C",INDEX(Contracts!$E$2:$E$151,$AB1545)&amp;"",IF($Z1545="A",INDEX(Fixed_Assets!$D$2:$D$201,$AB1545)&amp;"",IF($Z1545="F",INDEX(FTE_Allocation!$C$2:$C$201,$AB1545)&amp;"","")))</f>
        <v/>
      </c>
      <c r="D1545" s="7">
        <f>IF($Z1545="C",INDEX(Contracts!$B$2:$B$151,$AB1545)&amp;"",IF($Z1545="A",INDEX(Fixed_Assets!$B$2:$B$201,$AB1545)&amp;"",IF($Z1545="F",INDEX(FTE_Allocation!$B$2:$B$201,$AB1545)&amp;"","")))</f>
        <v/>
      </c>
      <c r="E1545" s="7">
        <f>IF($Z1545="C",INDEX(Contracts!$P$2:$P$151,$AB1545)&amp;"",IF($Z1545="A",INDEX(Fixed_Assets!$K$2:$K$201,$AB1545)&amp;"",IF($Z1545="F",IF(INDEX(FTE_Allocation!$D$2:$D$201,$AB1545)="PROJECT",IFERROR(INDEX(Projects!$D:$D,MATCH(INDEX(FTE_Allocation!$E$2:$E$201,$AB1545),Projects!$A:$A,0))&amp;"","#PROJECT?"),INDEX(FTE_Allocation!$E$2:$E$201,$AB1545)&amp;""),"")))</f>
        <v/>
      </c>
      <c r="F1545" s="7">
        <f>IF($Z1545="C",INDEX(Contracts!$Q$2:$Q$151,$AB1545)&amp;"",IF($Z1545="A",INDEX(Fixed_Assets!$L$2:$L$201,$AB1545)&amp;"",IF($Z1545="F",INDEX(Workforce!$K$2:$K$151,MATCH(INDEX(FTE_Allocation!$A$2:$A$201,$AB1545),Workforce!$A$2:$A$151,0))&amp;"","")))</f>
        <v/>
      </c>
      <c r="G1545" s="7">
        <f>IF($Z1545="C",INDEX(Contracts!$F$2:$F$151,$AB1545)&amp;" / "&amp;INDEX(Contracts!$G$2:$G$151,$AB1545),IF($Z1545="A",INDEX(Fixed_Assets!$E$2:$E$201,$AB1545)&amp;"",IF($Z1545="F","Personnel "&amp;INDEX(FTE_Allocation!$A$2:$A$201,$AB1545)&amp;IF(INDEX(FTE_Allocation!$D$2:$D$201,$AB1545)="PROJECT"," ("&amp;INDEX(FTE_Allocation!$E$2:$E$201,$AB1545)&amp;")",""),"")))</f>
        <v/>
      </c>
      <c r="H1545" s="7">
        <f>IF($Z1545="C","CONTRACT",IF($Z1545="A","ASSET",IF($Z1545="F","WORKFORCE","")))</f>
        <v/>
      </c>
      <c r="I1545" s="7">
        <f>IF($Z1545="C",INDEX(Contracts!$L$2:$L$151,$AB1545)&amp;"",IF($Z1545="A",INDEX(Fixed_Assets!$I$2:$I$201,$AB1545)&amp;"",IF($Z1545="F",INDEX(Workforce!$G$2:$G$151,MATCH(INDEX(FTE_Allocation!$A$2:$A$201,$AB1545),Workforce!$A$2:$A$151,0))&amp;"","")))</f>
        <v/>
      </c>
      <c r="J1545" s="18">
        <f>IF($Z1545="","",IF(AND(DATE($AD1545,1,1)&gt;=$AE1545,DATE($AD1545,1,1)&lt;=$AF1545),ROUND($AG1545,2),0))</f>
        <v/>
      </c>
      <c r="K1545" s="18">
        <f>IF($Z1545="","",IF(AND(DATE($AD1545,2,1)&gt;=$AE1545,DATE($AD1545,2,1)&lt;=$AF1545),ROUND($AG1545,2),0))</f>
        <v/>
      </c>
      <c r="L1545" s="18">
        <f>IF($Z1545="","",IF(AND(DATE($AD1545,3,1)&gt;=$AE1545,DATE($AD1545,3,1)&lt;=$AF1545),ROUND($AG1545,2),0))</f>
        <v/>
      </c>
      <c r="M1545" s="18">
        <f>IF($Z1545="","",IF(AND(DATE($AD1545,4,1)&gt;=$AE1545,DATE($AD1545,4,1)&lt;=$AF1545),ROUND($AG1545,2),0))</f>
        <v/>
      </c>
      <c r="N1545" s="18">
        <f>IF($Z1545="","",IF(AND(DATE($AD1545,5,1)&gt;=$AE1545,DATE($AD1545,5,1)&lt;=$AF1545),ROUND($AG1545,2),0))</f>
        <v/>
      </c>
      <c r="O1545" s="18">
        <f>IF($Z1545="","",IF(AND(DATE($AD1545,6,1)&gt;=$AE1545,DATE($AD1545,6,1)&lt;=$AF1545),ROUND($AG1545,2),0))</f>
        <v/>
      </c>
      <c r="P1545" s="18">
        <f>IF($Z1545="","",IF(AND(DATE($AD1545,7,1)&gt;=$AE1545,DATE($AD1545,7,1)&lt;=$AF1545),ROUND($AG1545,2),0))</f>
        <v/>
      </c>
      <c r="Q1545" s="18">
        <f>IF($Z1545="","",IF(AND(DATE($AD1545,8,1)&gt;=$AE1545,DATE($AD1545,8,1)&lt;=$AF1545),ROUND($AG1545,2),0))</f>
        <v/>
      </c>
      <c r="R1545" s="18">
        <f>IF($Z1545="","",IF(AND(DATE($AD1545,9,1)&gt;=$AE1545,DATE($AD1545,9,1)&lt;=$AF1545),ROUND($AG1545,2),0))</f>
        <v/>
      </c>
      <c r="S1545" s="18">
        <f>IF($Z1545="","",IF(AND(DATE($AD1545,10,1)&gt;=$AE1545,DATE($AD1545,10,1)&lt;=$AF1545),ROUND($AG1545,2),0))</f>
        <v/>
      </c>
      <c r="T1545" s="18">
        <f>IF($Z1545="","",IF(AND(DATE($AD1545,11,1)&gt;=$AE1545,DATE($AD1545,11,1)&lt;=$AF1545),ROUND($AG1545,2),0))</f>
        <v/>
      </c>
      <c r="U1545" s="18">
        <f>IF($Z1545="","",IF(AND(DATE($AD1545,12,1)&gt;=$AE1545,DATE($AD1545,12,1)&lt;=$AF1545),ROUND($AG1545,2),0))</f>
        <v/>
      </c>
      <c r="V1545" s="7">
        <f>IF($Z1545="C","Generated from "&amp;INDEX(Contracts!$A$2:$A$151,$AB1545),IF($Z1545="A","Generated from "&amp;INDEX(Fixed_Assets!$A$2:$A$201,$AB1545),IF($Z1545="F","Generated from "&amp;INDEX(FTE_Allocation!$A$2:$A$201,$AB1545),"")))</f>
        <v/>
      </c>
      <c r="X1545" s="19">
        <f>IF($Z1545="","",SUM(J1545:U1545))</f>
        <v/>
      </c>
      <c r="Y1545" s="20">
        <f>ROW()-1</f>
        <v/>
      </c>
      <c r="Z1545" s="20">
        <f>IF($Y1545&lt;=Settings!$B$4*3,"C",IF($Y1545&lt;=(Settings!$B$4+Settings!$B$5)*3,"A",IF($Y1545&lt;=(Settings!$B$4+Settings!$B$5+Settings!$B$6)*3,"F","")))</f>
        <v/>
      </c>
      <c r="AA1545" s="20">
        <f>IF($Z1545="C",$Y1545,IF($Z1545="A",$Y1545-Settings!$B$4*3,IF($Z1545="F",$Y1545-(Settings!$B$4+Settings!$B$5)*3,"")))</f>
        <v/>
      </c>
      <c r="AB1545" s="20">
        <f>IF($Z1545="","",INT(($AA1545-1)/3)+1)</f>
        <v/>
      </c>
      <c r="AC1545" s="20">
        <f>IF($Z1545="","",MOD($AA1545-1,3)+1)</f>
        <v/>
      </c>
      <c r="AD1545" s="20">
        <f>IF($Z1545="","",Settings!$B$2+$AC1545-1)</f>
        <v/>
      </c>
      <c r="AE1545" s="21">
        <f>IF($Z1545="C",DATE(YEAR(INDEX(Contracts!$J$2:$J$151,$AB1545)),MONTH(INDEX(Contracts!$J$2:$J$151,$AB1545)),1),IF($Z1545="A",DATE(YEAR(INDEX(Fixed_Assets!$G$2:$G$201,$AB1545)),MONTH(INDEX(Fixed_Assets!$G$2:$G$201,$AB1545)),1),IF($Z1545="F",DATE(YEAR(MAX(N(INDEX(Workforce!$I$2:$I$151,MATCH(INDEX(FTE_Allocation!$A$2:$A$201,$AB1545),Workforce!$A$2:$A$151,0))),N(INDEX(FTE_Allocation!$I$2:$I$201,$AB1545)))),MONTH(MAX(N(INDEX(Workforce!$I$2:$I$151,MATCH(INDEX(FTE_Allocation!$A$2:$A$201,$AB1545),Workforce!$A$2:$A$151,0))),N(INDEX(FTE_Allocation!$I$2:$I$201,$AB1545)))),1),"")))</f>
        <v/>
      </c>
      <c r="AF1545" s="21">
        <f>IF($Z1545="C",IF(INDEX(Contracts!$I$2:$I$151,$AB1545)="PREPAID",EDATE(DATE(YEAR(INDEX(Contracts!$J$2:$J$151,$AB1545)),MONTH(INDEX(Contracts!$J$2:$J$151,$AB1545)),1),IF(INDEX(Contracts!$N$2:$N$151,$AB1545)="",12,INDEX(Contracts!$N$2:$N$151,$AB1545))-1),IF(INDEX(Contracts!$I$2:$I$151,$AB1545)="MONTHLY",IF(INDEX(Contracts!$K$2:$K$151,$AB1545)="",2958101,INDEX(Contracts!$K$2:$K$151,$AB1545)),0)),IF($Z1545="A",EDATE(DATE(YEAR(INDEX(Fixed_Assets!$G$2:$G$201,$AB1545)),MONTH(INDEX(Fixed_Assets!$G$2:$G$201,$AB1545)),1),INDEX(Fixed_Assets!$J$2:$J$201,$AB1545)-1),IF($Z1545="F",MIN(IF(INDEX(Workforce!$J$2:$J$151,MATCH(INDEX(FTE_Allocation!$A$2:$A$201,$AB1545),Workforce!$A$2:$A$151,0))="",2958101,INDEX(Workforce!$J$2:$J$151,MATCH(INDEX(FTE_Allocation!$A$2:$A$201,$AB1545),Workforce!$A$2:$A$151,0))),IF(INDEX(FTE_Allocation!$J$2:$J$201,$AB1545)="",2958101,INDEX(FTE_Allocation!$J$2:$J$201,$AB1545))),"")))</f>
        <v/>
      </c>
      <c r="AG1545" s="19">
        <f>IF($Z1545="C",IF(INDEX(Contracts!$I$2:$I$151,$AB1545)="PREPAID",INDEX(Contracts!$M$2:$M$151,$AB1545)/IF(INDEX(Contracts!$N$2:$N$151,$AB1545)="",12,INDEX(Contracts!$N$2:$N$151,$AB1545)),IF(INDEX(Contracts!$I$2:$I$151,$AB1545)="MONTHLY",INDEX(Contracts!$M$2:$M$151,$AB1545),0))*(1-N(INDEX(Contracts!$O$2:$O$151,$AB1545))),IF($Z1545="A",INDEX(Fixed_Assets!$H$2:$H$201,$AB1545)/INDEX(Fixed_Assets!$J$2:$J$201,$AB1545),IF($Z1545="F",INDEX(Workforce!$F$2:$F$151,MATCH(INDEX(FTE_Allocation!$A$2:$A$201,$AB1545),Workforce!$A$2:$A$151,0))*N(INDEX(FTE_Allocation!$F$2:$H$201,$AB1545,$AC1545)),"")))</f>
        <v/>
      </c>
    </row>
    <row r="1546">
      <c r="A1546" s="7">
        <f>IF($Z1546="","",$AD1546)</f>
        <v/>
      </c>
      <c r="B1546" s="7">
        <f>IF($Z1546="C",INDEX(Contracts!$D$2:$D$151,$AB1546)&amp;"",IF($Z1546="A",INDEX(Fixed_Assets!$C$2:$C$201,$AB1546)&amp;"",IF($Z1546="F",INDEX(Workforce!$B$2:$B$151,MATCH(INDEX(FTE_Allocation!$A$2:$A$201,$AB1546),Workforce!$A$2:$A$151,0))&amp;"","")))</f>
        <v/>
      </c>
      <c r="C1546" s="7">
        <f>IF($Z1546="C",INDEX(Contracts!$E$2:$E$151,$AB1546)&amp;"",IF($Z1546="A",INDEX(Fixed_Assets!$D$2:$D$201,$AB1546)&amp;"",IF($Z1546="F",INDEX(FTE_Allocation!$C$2:$C$201,$AB1546)&amp;"","")))</f>
        <v/>
      </c>
      <c r="D1546" s="7">
        <f>IF($Z1546="C",INDEX(Contracts!$B$2:$B$151,$AB1546)&amp;"",IF($Z1546="A",INDEX(Fixed_Assets!$B$2:$B$201,$AB1546)&amp;"",IF($Z1546="F",INDEX(FTE_Allocation!$B$2:$B$201,$AB1546)&amp;"","")))</f>
        <v/>
      </c>
      <c r="E1546" s="7">
        <f>IF($Z1546="C",INDEX(Contracts!$P$2:$P$151,$AB1546)&amp;"",IF($Z1546="A",INDEX(Fixed_Assets!$K$2:$K$201,$AB1546)&amp;"",IF($Z1546="F",IF(INDEX(FTE_Allocation!$D$2:$D$201,$AB1546)="PROJECT",IFERROR(INDEX(Projects!$D:$D,MATCH(INDEX(FTE_Allocation!$E$2:$E$201,$AB1546),Projects!$A:$A,0))&amp;"","#PROJECT?"),INDEX(FTE_Allocation!$E$2:$E$201,$AB1546)&amp;""),"")))</f>
        <v/>
      </c>
      <c r="F1546" s="7">
        <f>IF($Z1546="C",INDEX(Contracts!$Q$2:$Q$151,$AB1546)&amp;"",IF($Z1546="A",INDEX(Fixed_Assets!$L$2:$L$201,$AB1546)&amp;"",IF($Z1546="F",INDEX(Workforce!$K$2:$K$151,MATCH(INDEX(FTE_Allocation!$A$2:$A$201,$AB1546),Workforce!$A$2:$A$151,0))&amp;"","")))</f>
        <v/>
      </c>
      <c r="G1546" s="7">
        <f>IF($Z1546="C",INDEX(Contracts!$F$2:$F$151,$AB1546)&amp;" / "&amp;INDEX(Contracts!$G$2:$G$151,$AB1546),IF($Z1546="A",INDEX(Fixed_Assets!$E$2:$E$201,$AB1546)&amp;"",IF($Z1546="F","Personnel "&amp;INDEX(FTE_Allocation!$A$2:$A$201,$AB1546)&amp;IF(INDEX(FTE_Allocation!$D$2:$D$201,$AB1546)="PROJECT"," ("&amp;INDEX(FTE_Allocation!$E$2:$E$201,$AB1546)&amp;")",""),"")))</f>
        <v/>
      </c>
      <c r="H1546" s="7">
        <f>IF($Z1546="C","CONTRACT",IF($Z1546="A","ASSET",IF($Z1546="F","WORKFORCE","")))</f>
        <v/>
      </c>
      <c r="I1546" s="7">
        <f>IF($Z1546="C",INDEX(Contracts!$L$2:$L$151,$AB1546)&amp;"",IF($Z1546="A",INDEX(Fixed_Assets!$I$2:$I$201,$AB1546)&amp;"",IF($Z1546="F",INDEX(Workforce!$G$2:$G$151,MATCH(INDEX(FTE_Allocation!$A$2:$A$201,$AB1546),Workforce!$A$2:$A$151,0))&amp;"","")))</f>
        <v/>
      </c>
      <c r="J1546" s="18">
        <f>IF($Z1546="","",IF(AND(DATE($AD1546,1,1)&gt;=$AE1546,DATE($AD1546,1,1)&lt;=$AF1546),ROUND($AG1546,2),0))</f>
        <v/>
      </c>
      <c r="K1546" s="18">
        <f>IF($Z1546="","",IF(AND(DATE($AD1546,2,1)&gt;=$AE1546,DATE($AD1546,2,1)&lt;=$AF1546),ROUND($AG1546,2),0))</f>
        <v/>
      </c>
      <c r="L1546" s="18">
        <f>IF($Z1546="","",IF(AND(DATE($AD1546,3,1)&gt;=$AE1546,DATE($AD1546,3,1)&lt;=$AF1546),ROUND($AG1546,2),0))</f>
        <v/>
      </c>
      <c r="M1546" s="18">
        <f>IF($Z1546="","",IF(AND(DATE($AD1546,4,1)&gt;=$AE1546,DATE($AD1546,4,1)&lt;=$AF1546),ROUND($AG1546,2),0))</f>
        <v/>
      </c>
      <c r="N1546" s="18">
        <f>IF($Z1546="","",IF(AND(DATE($AD1546,5,1)&gt;=$AE1546,DATE($AD1546,5,1)&lt;=$AF1546),ROUND($AG1546,2),0))</f>
        <v/>
      </c>
      <c r="O1546" s="18">
        <f>IF($Z1546="","",IF(AND(DATE($AD1546,6,1)&gt;=$AE1546,DATE($AD1546,6,1)&lt;=$AF1546),ROUND($AG1546,2),0))</f>
        <v/>
      </c>
      <c r="P1546" s="18">
        <f>IF($Z1546="","",IF(AND(DATE($AD1546,7,1)&gt;=$AE1546,DATE($AD1546,7,1)&lt;=$AF1546),ROUND($AG1546,2),0))</f>
        <v/>
      </c>
      <c r="Q1546" s="18">
        <f>IF($Z1546="","",IF(AND(DATE($AD1546,8,1)&gt;=$AE1546,DATE($AD1546,8,1)&lt;=$AF1546),ROUND($AG1546,2),0))</f>
        <v/>
      </c>
      <c r="R1546" s="18">
        <f>IF($Z1546="","",IF(AND(DATE($AD1546,9,1)&gt;=$AE1546,DATE($AD1546,9,1)&lt;=$AF1546),ROUND($AG1546,2),0))</f>
        <v/>
      </c>
      <c r="S1546" s="18">
        <f>IF($Z1546="","",IF(AND(DATE($AD1546,10,1)&gt;=$AE1546,DATE($AD1546,10,1)&lt;=$AF1546),ROUND($AG1546,2),0))</f>
        <v/>
      </c>
      <c r="T1546" s="18">
        <f>IF($Z1546="","",IF(AND(DATE($AD1546,11,1)&gt;=$AE1546,DATE($AD1546,11,1)&lt;=$AF1546),ROUND($AG1546,2),0))</f>
        <v/>
      </c>
      <c r="U1546" s="18">
        <f>IF($Z1546="","",IF(AND(DATE($AD1546,12,1)&gt;=$AE1546,DATE($AD1546,12,1)&lt;=$AF1546),ROUND($AG1546,2),0))</f>
        <v/>
      </c>
      <c r="V1546" s="7">
        <f>IF($Z1546="C","Generated from "&amp;INDEX(Contracts!$A$2:$A$151,$AB1546),IF($Z1546="A","Generated from "&amp;INDEX(Fixed_Assets!$A$2:$A$201,$AB1546),IF($Z1546="F","Generated from "&amp;INDEX(FTE_Allocation!$A$2:$A$201,$AB1546),"")))</f>
        <v/>
      </c>
      <c r="X1546" s="19">
        <f>IF($Z1546="","",SUM(J1546:U1546))</f>
        <v/>
      </c>
      <c r="Y1546" s="20">
        <f>ROW()-1</f>
        <v/>
      </c>
      <c r="Z1546" s="20">
        <f>IF($Y1546&lt;=Settings!$B$4*3,"C",IF($Y1546&lt;=(Settings!$B$4+Settings!$B$5)*3,"A",IF($Y1546&lt;=(Settings!$B$4+Settings!$B$5+Settings!$B$6)*3,"F","")))</f>
        <v/>
      </c>
      <c r="AA1546" s="20">
        <f>IF($Z1546="C",$Y1546,IF($Z1546="A",$Y1546-Settings!$B$4*3,IF($Z1546="F",$Y1546-(Settings!$B$4+Settings!$B$5)*3,"")))</f>
        <v/>
      </c>
      <c r="AB1546" s="20">
        <f>IF($Z1546="","",INT(($AA1546-1)/3)+1)</f>
        <v/>
      </c>
      <c r="AC1546" s="20">
        <f>IF($Z1546="","",MOD($AA1546-1,3)+1)</f>
        <v/>
      </c>
      <c r="AD1546" s="20">
        <f>IF($Z1546="","",Settings!$B$2+$AC1546-1)</f>
        <v/>
      </c>
      <c r="AE1546" s="21">
        <f>IF($Z1546="C",DATE(YEAR(INDEX(Contracts!$J$2:$J$151,$AB1546)),MONTH(INDEX(Contracts!$J$2:$J$151,$AB1546)),1),IF($Z1546="A",DATE(YEAR(INDEX(Fixed_Assets!$G$2:$G$201,$AB1546)),MONTH(INDEX(Fixed_Assets!$G$2:$G$201,$AB1546)),1),IF($Z1546="F",DATE(YEAR(MAX(N(INDEX(Workforce!$I$2:$I$151,MATCH(INDEX(FTE_Allocation!$A$2:$A$201,$AB1546),Workforce!$A$2:$A$151,0))),N(INDEX(FTE_Allocation!$I$2:$I$201,$AB1546)))),MONTH(MAX(N(INDEX(Workforce!$I$2:$I$151,MATCH(INDEX(FTE_Allocation!$A$2:$A$201,$AB1546),Workforce!$A$2:$A$151,0))),N(INDEX(FTE_Allocation!$I$2:$I$201,$AB1546)))),1),"")))</f>
        <v/>
      </c>
      <c r="AF1546" s="21">
        <f>IF($Z1546="C",IF(INDEX(Contracts!$I$2:$I$151,$AB1546)="PREPAID",EDATE(DATE(YEAR(INDEX(Contracts!$J$2:$J$151,$AB1546)),MONTH(INDEX(Contracts!$J$2:$J$151,$AB1546)),1),IF(INDEX(Contracts!$N$2:$N$151,$AB1546)="",12,INDEX(Contracts!$N$2:$N$151,$AB1546))-1),IF(INDEX(Contracts!$I$2:$I$151,$AB1546)="MONTHLY",IF(INDEX(Contracts!$K$2:$K$151,$AB1546)="",2958101,INDEX(Contracts!$K$2:$K$151,$AB1546)),0)),IF($Z1546="A",EDATE(DATE(YEAR(INDEX(Fixed_Assets!$G$2:$G$201,$AB1546)),MONTH(INDEX(Fixed_Assets!$G$2:$G$201,$AB1546)),1),INDEX(Fixed_Assets!$J$2:$J$201,$AB1546)-1),IF($Z1546="F",MIN(IF(INDEX(Workforce!$J$2:$J$151,MATCH(INDEX(FTE_Allocation!$A$2:$A$201,$AB1546),Workforce!$A$2:$A$151,0))="",2958101,INDEX(Workforce!$J$2:$J$151,MATCH(INDEX(FTE_Allocation!$A$2:$A$201,$AB1546),Workforce!$A$2:$A$151,0))),IF(INDEX(FTE_Allocation!$J$2:$J$201,$AB1546)="",2958101,INDEX(FTE_Allocation!$J$2:$J$201,$AB1546))),"")))</f>
        <v/>
      </c>
      <c r="AG1546" s="19">
        <f>IF($Z1546="C",IF(INDEX(Contracts!$I$2:$I$151,$AB1546)="PREPAID",INDEX(Contracts!$M$2:$M$151,$AB1546)/IF(INDEX(Contracts!$N$2:$N$151,$AB1546)="",12,INDEX(Contracts!$N$2:$N$151,$AB1546)),IF(INDEX(Contracts!$I$2:$I$151,$AB1546)="MONTHLY",INDEX(Contracts!$M$2:$M$151,$AB1546),0))*(1-N(INDEX(Contracts!$O$2:$O$151,$AB1546))),IF($Z1546="A",INDEX(Fixed_Assets!$H$2:$H$201,$AB1546)/INDEX(Fixed_Assets!$J$2:$J$201,$AB1546),IF($Z1546="F",INDEX(Workforce!$F$2:$F$151,MATCH(INDEX(FTE_Allocation!$A$2:$A$201,$AB1546),Workforce!$A$2:$A$151,0))*N(INDEX(FTE_Allocation!$F$2:$H$201,$AB1546,$AC1546)),"")))</f>
        <v/>
      </c>
    </row>
    <row r="1547">
      <c r="A1547" s="7">
        <f>IF($Z1547="","",$AD1547)</f>
        <v/>
      </c>
      <c r="B1547" s="7">
        <f>IF($Z1547="C",INDEX(Contracts!$D$2:$D$151,$AB1547)&amp;"",IF($Z1547="A",INDEX(Fixed_Assets!$C$2:$C$201,$AB1547)&amp;"",IF($Z1547="F",INDEX(Workforce!$B$2:$B$151,MATCH(INDEX(FTE_Allocation!$A$2:$A$201,$AB1547),Workforce!$A$2:$A$151,0))&amp;"","")))</f>
        <v/>
      </c>
      <c r="C1547" s="7">
        <f>IF($Z1547="C",INDEX(Contracts!$E$2:$E$151,$AB1547)&amp;"",IF($Z1547="A",INDEX(Fixed_Assets!$D$2:$D$201,$AB1547)&amp;"",IF($Z1547="F",INDEX(FTE_Allocation!$C$2:$C$201,$AB1547)&amp;"","")))</f>
        <v/>
      </c>
      <c r="D1547" s="7">
        <f>IF($Z1547="C",INDEX(Contracts!$B$2:$B$151,$AB1547)&amp;"",IF($Z1547="A",INDEX(Fixed_Assets!$B$2:$B$201,$AB1547)&amp;"",IF($Z1547="F",INDEX(FTE_Allocation!$B$2:$B$201,$AB1547)&amp;"","")))</f>
        <v/>
      </c>
      <c r="E1547" s="7">
        <f>IF($Z1547="C",INDEX(Contracts!$P$2:$P$151,$AB1547)&amp;"",IF($Z1547="A",INDEX(Fixed_Assets!$K$2:$K$201,$AB1547)&amp;"",IF($Z1547="F",IF(INDEX(FTE_Allocation!$D$2:$D$201,$AB1547)="PROJECT",IFERROR(INDEX(Projects!$D:$D,MATCH(INDEX(FTE_Allocation!$E$2:$E$201,$AB1547),Projects!$A:$A,0))&amp;"","#PROJECT?"),INDEX(FTE_Allocation!$E$2:$E$201,$AB1547)&amp;""),"")))</f>
        <v/>
      </c>
      <c r="F1547" s="7">
        <f>IF($Z1547="C",INDEX(Contracts!$Q$2:$Q$151,$AB1547)&amp;"",IF($Z1547="A",INDEX(Fixed_Assets!$L$2:$L$201,$AB1547)&amp;"",IF($Z1547="F",INDEX(Workforce!$K$2:$K$151,MATCH(INDEX(FTE_Allocation!$A$2:$A$201,$AB1547),Workforce!$A$2:$A$151,0))&amp;"","")))</f>
        <v/>
      </c>
      <c r="G1547" s="7">
        <f>IF($Z1547="C",INDEX(Contracts!$F$2:$F$151,$AB1547)&amp;" / "&amp;INDEX(Contracts!$G$2:$G$151,$AB1547),IF($Z1547="A",INDEX(Fixed_Assets!$E$2:$E$201,$AB1547)&amp;"",IF($Z1547="F","Personnel "&amp;INDEX(FTE_Allocation!$A$2:$A$201,$AB1547)&amp;IF(INDEX(FTE_Allocation!$D$2:$D$201,$AB1547)="PROJECT"," ("&amp;INDEX(FTE_Allocation!$E$2:$E$201,$AB1547)&amp;")",""),"")))</f>
        <v/>
      </c>
      <c r="H1547" s="7">
        <f>IF($Z1547="C","CONTRACT",IF($Z1547="A","ASSET",IF($Z1547="F","WORKFORCE","")))</f>
        <v/>
      </c>
      <c r="I1547" s="7">
        <f>IF($Z1547="C",INDEX(Contracts!$L$2:$L$151,$AB1547)&amp;"",IF($Z1547="A",INDEX(Fixed_Assets!$I$2:$I$201,$AB1547)&amp;"",IF($Z1547="F",INDEX(Workforce!$G$2:$G$151,MATCH(INDEX(FTE_Allocation!$A$2:$A$201,$AB1547),Workforce!$A$2:$A$151,0))&amp;"","")))</f>
        <v/>
      </c>
      <c r="J1547" s="18">
        <f>IF($Z1547="","",IF(AND(DATE($AD1547,1,1)&gt;=$AE1547,DATE($AD1547,1,1)&lt;=$AF1547),ROUND($AG1547,2),0))</f>
        <v/>
      </c>
      <c r="K1547" s="18">
        <f>IF($Z1547="","",IF(AND(DATE($AD1547,2,1)&gt;=$AE1547,DATE($AD1547,2,1)&lt;=$AF1547),ROUND($AG1547,2),0))</f>
        <v/>
      </c>
      <c r="L1547" s="18">
        <f>IF($Z1547="","",IF(AND(DATE($AD1547,3,1)&gt;=$AE1547,DATE($AD1547,3,1)&lt;=$AF1547),ROUND($AG1547,2),0))</f>
        <v/>
      </c>
      <c r="M1547" s="18">
        <f>IF($Z1547="","",IF(AND(DATE($AD1547,4,1)&gt;=$AE1547,DATE($AD1547,4,1)&lt;=$AF1547),ROUND($AG1547,2),0))</f>
        <v/>
      </c>
      <c r="N1547" s="18">
        <f>IF($Z1547="","",IF(AND(DATE($AD1547,5,1)&gt;=$AE1547,DATE($AD1547,5,1)&lt;=$AF1547),ROUND($AG1547,2),0))</f>
        <v/>
      </c>
      <c r="O1547" s="18">
        <f>IF($Z1547="","",IF(AND(DATE($AD1547,6,1)&gt;=$AE1547,DATE($AD1547,6,1)&lt;=$AF1547),ROUND($AG1547,2),0))</f>
        <v/>
      </c>
      <c r="P1547" s="18">
        <f>IF($Z1547="","",IF(AND(DATE($AD1547,7,1)&gt;=$AE1547,DATE($AD1547,7,1)&lt;=$AF1547),ROUND($AG1547,2),0))</f>
        <v/>
      </c>
      <c r="Q1547" s="18">
        <f>IF($Z1547="","",IF(AND(DATE($AD1547,8,1)&gt;=$AE1547,DATE($AD1547,8,1)&lt;=$AF1547),ROUND($AG1547,2),0))</f>
        <v/>
      </c>
      <c r="R1547" s="18">
        <f>IF($Z1547="","",IF(AND(DATE($AD1547,9,1)&gt;=$AE1547,DATE($AD1547,9,1)&lt;=$AF1547),ROUND($AG1547,2),0))</f>
        <v/>
      </c>
      <c r="S1547" s="18">
        <f>IF($Z1547="","",IF(AND(DATE($AD1547,10,1)&gt;=$AE1547,DATE($AD1547,10,1)&lt;=$AF1547),ROUND($AG1547,2),0))</f>
        <v/>
      </c>
      <c r="T1547" s="18">
        <f>IF($Z1547="","",IF(AND(DATE($AD1547,11,1)&gt;=$AE1547,DATE($AD1547,11,1)&lt;=$AF1547),ROUND($AG1547,2),0))</f>
        <v/>
      </c>
      <c r="U1547" s="18">
        <f>IF($Z1547="","",IF(AND(DATE($AD1547,12,1)&gt;=$AE1547,DATE($AD1547,12,1)&lt;=$AF1547),ROUND($AG1547,2),0))</f>
        <v/>
      </c>
      <c r="V1547" s="7">
        <f>IF($Z1547="C","Generated from "&amp;INDEX(Contracts!$A$2:$A$151,$AB1547),IF($Z1547="A","Generated from "&amp;INDEX(Fixed_Assets!$A$2:$A$201,$AB1547),IF($Z1547="F","Generated from "&amp;INDEX(FTE_Allocation!$A$2:$A$201,$AB1547),"")))</f>
        <v/>
      </c>
      <c r="X1547" s="19">
        <f>IF($Z1547="","",SUM(J1547:U1547))</f>
        <v/>
      </c>
      <c r="Y1547" s="20">
        <f>ROW()-1</f>
        <v/>
      </c>
      <c r="Z1547" s="20">
        <f>IF($Y1547&lt;=Settings!$B$4*3,"C",IF($Y1547&lt;=(Settings!$B$4+Settings!$B$5)*3,"A",IF($Y1547&lt;=(Settings!$B$4+Settings!$B$5+Settings!$B$6)*3,"F","")))</f>
        <v/>
      </c>
      <c r="AA1547" s="20">
        <f>IF($Z1547="C",$Y1547,IF($Z1547="A",$Y1547-Settings!$B$4*3,IF($Z1547="F",$Y1547-(Settings!$B$4+Settings!$B$5)*3,"")))</f>
        <v/>
      </c>
      <c r="AB1547" s="20">
        <f>IF($Z1547="","",INT(($AA1547-1)/3)+1)</f>
        <v/>
      </c>
      <c r="AC1547" s="20">
        <f>IF($Z1547="","",MOD($AA1547-1,3)+1)</f>
        <v/>
      </c>
      <c r="AD1547" s="20">
        <f>IF($Z1547="","",Settings!$B$2+$AC1547-1)</f>
        <v/>
      </c>
      <c r="AE1547" s="21">
        <f>IF($Z1547="C",DATE(YEAR(INDEX(Contracts!$J$2:$J$151,$AB1547)),MONTH(INDEX(Contracts!$J$2:$J$151,$AB1547)),1),IF($Z1547="A",DATE(YEAR(INDEX(Fixed_Assets!$G$2:$G$201,$AB1547)),MONTH(INDEX(Fixed_Assets!$G$2:$G$201,$AB1547)),1),IF($Z1547="F",DATE(YEAR(MAX(N(INDEX(Workforce!$I$2:$I$151,MATCH(INDEX(FTE_Allocation!$A$2:$A$201,$AB1547),Workforce!$A$2:$A$151,0))),N(INDEX(FTE_Allocation!$I$2:$I$201,$AB1547)))),MONTH(MAX(N(INDEX(Workforce!$I$2:$I$151,MATCH(INDEX(FTE_Allocation!$A$2:$A$201,$AB1547),Workforce!$A$2:$A$151,0))),N(INDEX(FTE_Allocation!$I$2:$I$201,$AB1547)))),1),"")))</f>
        <v/>
      </c>
      <c r="AF1547" s="21">
        <f>IF($Z1547="C",IF(INDEX(Contracts!$I$2:$I$151,$AB1547)="PREPAID",EDATE(DATE(YEAR(INDEX(Contracts!$J$2:$J$151,$AB1547)),MONTH(INDEX(Contracts!$J$2:$J$151,$AB1547)),1),IF(INDEX(Contracts!$N$2:$N$151,$AB1547)="",12,INDEX(Contracts!$N$2:$N$151,$AB1547))-1),IF(INDEX(Contracts!$I$2:$I$151,$AB1547)="MONTHLY",IF(INDEX(Contracts!$K$2:$K$151,$AB1547)="",2958101,INDEX(Contracts!$K$2:$K$151,$AB1547)),0)),IF($Z1547="A",EDATE(DATE(YEAR(INDEX(Fixed_Assets!$G$2:$G$201,$AB1547)),MONTH(INDEX(Fixed_Assets!$G$2:$G$201,$AB1547)),1),INDEX(Fixed_Assets!$J$2:$J$201,$AB1547)-1),IF($Z1547="F",MIN(IF(INDEX(Workforce!$J$2:$J$151,MATCH(INDEX(FTE_Allocation!$A$2:$A$201,$AB1547),Workforce!$A$2:$A$151,0))="",2958101,INDEX(Workforce!$J$2:$J$151,MATCH(INDEX(FTE_Allocation!$A$2:$A$201,$AB1547),Workforce!$A$2:$A$151,0))),IF(INDEX(FTE_Allocation!$J$2:$J$201,$AB1547)="",2958101,INDEX(FTE_Allocation!$J$2:$J$201,$AB1547))),"")))</f>
        <v/>
      </c>
      <c r="AG1547" s="19">
        <f>IF($Z1547="C",IF(INDEX(Contracts!$I$2:$I$151,$AB1547)="PREPAID",INDEX(Contracts!$M$2:$M$151,$AB1547)/IF(INDEX(Contracts!$N$2:$N$151,$AB1547)="",12,INDEX(Contracts!$N$2:$N$151,$AB1547)),IF(INDEX(Contracts!$I$2:$I$151,$AB1547)="MONTHLY",INDEX(Contracts!$M$2:$M$151,$AB1547),0))*(1-N(INDEX(Contracts!$O$2:$O$151,$AB1547))),IF($Z1547="A",INDEX(Fixed_Assets!$H$2:$H$201,$AB1547)/INDEX(Fixed_Assets!$J$2:$J$201,$AB1547),IF($Z1547="F",INDEX(Workforce!$F$2:$F$151,MATCH(INDEX(FTE_Allocation!$A$2:$A$201,$AB1547),Workforce!$A$2:$A$151,0))*N(INDEX(FTE_Allocation!$F$2:$H$201,$AB1547,$AC1547)),"")))</f>
        <v/>
      </c>
    </row>
    <row r="1548">
      <c r="A1548" s="7">
        <f>IF($Z1548="","",$AD1548)</f>
        <v/>
      </c>
      <c r="B1548" s="7">
        <f>IF($Z1548="C",INDEX(Contracts!$D$2:$D$151,$AB1548)&amp;"",IF($Z1548="A",INDEX(Fixed_Assets!$C$2:$C$201,$AB1548)&amp;"",IF($Z1548="F",INDEX(Workforce!$B$2:$B$151,MATCH(INDEX(FTE_Allocation!$A$2:$A$201,$AB1548),Workforce!$A$2:$A$151,0))&amp;"","")))</f>
        <v/>
      </c>
      <c r="C1548" s="7">
        <f>IF($Z1548="C",INDEX(Contracts!$E$2:$E$151,$AB1548)&amp;"",IF($Z1548="A",INDEX(Fixed_Assets!$D$2:$D$201,$AB1548)&amp;"",IF($Z1548="F",INDEX(FTE_Allocation!$C$2:$C$201,$AB1548)&amp;"","")))</f>
        <v/>
      </c>
      <c r="D1548" s="7">
        <f>IF($Z1548="C",INDEX(Contracts!$B$2:$B$151,$AB1548)&amp;"",IF($Z1548="A",INDEX(Fixed_Assets!$B$2:$B$201,$AB1548)&amp;"",IF($Z1548="F",INDEX(FTE_Allocation!$B$2:$B$201,$AB1548)&amp;"","")))</f>
        <v/>
      </c>
      <c r="E1548" s="7">
        <f>IF($Z1548="C",INDEX(Contracts!$P$2:$P$151,$AB1548)&amp;"",IF($Z1548="A",INDEX(Fixed_Assets!$K$2:$K$201,$AB1548)&amp;"",IF($Z1548="F",IF(INDEX(FTE_Allocation!$D$2:$D$201,$AB1548)="PROJECT",IFERROR(INDEX(Projects!$D:$D,MATCH(INDEX(FTE_Allocation!$E$2:$E$201,$AB1548),Projects!$A:$A,0))&amp;"","#PROJECT?"),INDEX(FTE_Allocation!$E$2:$E$201,$AB1548)&amp;""),"")))</f>
        <v/>
      </c>
      <c r="F1548" s="7">
        <f>IF($Z1548="C",INDEX(Contracts!$Q$2:$Q$151,$AB1548)&amp;"",IF($Z1548="A",INDEX(Fixed_Assets!$L$2:$L$201,$AB1548)&amp;"",IF($Z1548="F",INDEX(Workforce!$K$2:$K$151,MATCH(INDEX(FTE_Allocation!$A$2:$A$201,$AB1548),Workforce!$A$2:$A$151,0))&amp;"","")))</f>
        <v/>
      </c>
      <c r="G1548" s="7">
        <f>IF($Z1548="C",INDEX(Contracts!$F$2:$F$151,$AB1548)&amp;" / "&amp;INDEX(Contracts!$G$2:$G$151,$AB1548),IF($Z1548="A",INDEX(Fixed_Assets!$E$2:$E$201,$AB1548)&amp;"",IF($Z1548="F","Personnel "&amp;INDEX(FTE_Allocation!$A$2:$A$201,$AB1548)&amp;IF(INDEX(FTE_Allocation!$D$2:$D$201,$AB1548)="PROJECT"," ("&amp;INDEX(FTE_Allocation!$E$2:$E$201,$AB1548)&amp;")",""),"")))</f>
        <v/>
      </c>
      <c r="H1548" s="7">
        <f>IF($Z1548="C","CONTRACT",IF($Z1548="A","ASSET",IF($Z1548="F","WORKFORCE","")))</f>
        <v/>
      </c>
      <c r="I1548" s="7">
        <f>IF($Z1548="C",INDEX(Contracts!$L$2:$L$151,$AB1548)&amp;"",IF($Z1548="A",INDEX(Fixed_Assets!$I$2:$I$201,$AB1548)&amp;"",IF($Z1548="F",INDEX(Workforce!$G$2:$G$151,MATCH(INDEX(FTE_Allocation!$A$2:$A$201,$AB1548),Workforce!$A$2:$A$151,0))&amp;"","")))</f>
        <v/>
      </c>
      <c r="J1548" s="18">
        <f>IF($Z1548="","",IF(AND(DATE($AD1548,1,1)&gt;=$AE1548,DATE($AD1548,1,1)&lt;=$AF1548),ROUND($AG1548,2),0))</f>
        <v/>
      </c>
      <c r="K1548" s="18">
        <f>IF($Z1548="","",IF(AND(DATE($AD1548,2,1)&gt;=$AE1548,DATE($AD1548,2,1)&lt;=$AF1548),ROUND($AG1548,2),0))</f>
        <v/>
      </c>
      <c r="L1548" s="18">
        <f>IF($Z1548="","",IF(AND(DATE($AD1548,3,1)&gt;=$AE1548,DATE($AD1548,3,1)&lt;=$AF1548),ROUND($AG1548,2),0))</f>
        <v/>
      </c>
      <c r="M1548" s="18">
        <f>IF($Z1548="","",IF(AND(DATE($AD1548,4,1)&gt;=$AE1548,DATE($AD1548,4,1)&lt;=$AF1548),ROUND($AG1548,2),0))</f>
        <v/>
      </c>
      <c r="N1548" s="18">
        <f>IF($Z1548="","",IF(AND(DATE($AD1548,5,1)&gt;=$AE1548,DATE($AD1548,5,1)&lt;=$AF1548),ROUND($AG1548,2),0))</f>
        <v/>
      </c>
      <c r="O1548" s="18">
        <f>IF($Z1548="","",IF(AND(DATE($AD1548,6,1)&gt;=$AE1548,DATE($AD1548,6,1)&lt;=$AF1548),ROUND($AG1548,2),0))</f>
        <v/>
      </c>
      <c r="P1548" s="18">
        <f>IF($Z1548="","",IF(AND(DATE($AD1548,7,1)&gt;=$AE1548,DATE($AD1548,7,1)&lt;=$AF1548),ROUND($AG1548,2),0))</f>
        <v/>
      </c>
      <c r="Q1548" s="18">
        <f>IF($Z1548="","",IF(AND(DATE($AD1548,8,1)&gt;=$AE1548,DATE($AD1548,8,1)&lt;=$AF1548),ROUND($AG1548,2),0))</f>
        <v/>
      </c>
      <c r="R1548" s="18">
        <f>IF($Z1548="","",IF(AND(DATE($AD1548,9,1)&gt;=$AE1548,DATE($AD1548,9,1)&lt;=$AF1548),ROUND($AG1548,2),0))</f>
        <v/>
      </c>
      <c r="S1548" s="18">
        <f>IF($Z1548="","",IF(AND(DATE($AD1548,10,1)&gt;=$AE1548,DATE($AD1548,10,1)&lt;=$AF1548),ROUND($AG1548,2),0))</f>
        <v/>
      </c>
      <c r="T1548" s="18">
        <f>IF($Z1548="","",IF(AND(DATE($AD1548,11,1)&gt;=$AE1548,DATE($AD1548,11,1)&lt;=$AF1548),ROUND($AG1548,2),0))</f>
        <v/>
      </c>
      <c r="U1548" s="18">
        <f>IF($Z1548="","",IF(AND(DATE($AD1548,12,1)&gt;=$AE1548,DATE($AD1548,12,1)&lt;=$AF1548),ROUND($AG1548,2),0))</f>
        <v/>
      </c>
      <c r="V1548" s="7">
        <f>IF($Z1548="C","Generated from "&amp;INDEX(Contracts!$A$2:$A$151,$AB1548),IF($Z1548="A","Generated from "&amp;INDEX(Fixed_Assets!$A$2:$A$201,$AB1548),IF($Z1548="F","Generated from "&amp;INDEX(FTE_Allocation!$A$2:$A$201,$AB1548),"")))</f>
        <v/>
      </c>
      <c r="X1548" s="19">
        <f>IF($Z1548="","",SUM(J1548:U1548))</f>
        <v/>
      </c>
      <c r="Y1548" s="20">
        <f>ROW()-1</f>
        <v/>
      </c>
      <c r="Z1548" s="20">
        <f>IF($Y1548&lt;=Settings!$B$4*3,"C",IF($Y1548&lt;=(Settings!$B$4+Settings!$B$5)*3,"A",IF($Y1548&lt;=(Settings!$B$4+Settings!$B$5+Settings!$B$6)*3,"F","")))</f>
        <v/>
      </c>
      <c r="AA1548" s="20">
        <f>IF($Z1548="C",$Y1548,IF($Z1548="A",$Y1548-Settings!$B$4*3,IF($Z1548="F",$Y1548-(Settings!$B$4+Settings!$B$5)*3,"")))</f>
        <v/>
      </c>
      <c r="AB1548" s="20">
        <f>IF($Z1548="","",INT(($AA1548-1)/3)+1)</f>
        <v/>
      </c>
      <c r="AC1548" s="20">
        <f>IF($Z1548="","",MOD($AA1548-1,3)+1)</f>
        <v/>
      </c>
      <c r="AD1548" s="20">
        <f>IF($Z1548="","",Settings!$B$2+$AC1548-1)</f>
        <v/>
      </c>
      <c r="AE1548" s="21">
        <f>IF($Z1548="C",DATE(YEAR(INDEX(Contracts!$J$2:$J$151,$AB1548)),MONTH(INDEX(Contracts!$J$2:$J$151,$AB1548)),1),IF($Z1548="A",DATE(YEAR(INDEX(Fixed_Assets!$G$2:$G$201,$AB1548)),MONTH(INDEX(Fixed_Assets!$G$2:$G$201,$AB1548)),1),IF($Z1548="F",DATE(YEAR(MAX(N(INDEX(Workforce!$I$2:$I$151,MATCH(INDEX(FTE_Allocation!$A$2:$A$201,$AB1548),Workforce!$A$2:$A$151,0))),N(INDEX(FTE_Allocation!$I$2:$I$201,$AB1548)))),MONTH(MAX(N(INDEX(Workforce!$I$2:$I$151,MATCH(INDEX(FTE_Allocation!$A$2:$A$201,$AB1548),Workforce!$A$2:$A$151,0))),N(INDEX(FTE_Allocation!$I$2:$I$201,$AB1548)))),1),"")))</f>
        <v/>
      </c>
      <c r="AF1548" s="21">
        <f>IF($Z1548="C",IF(INDEX(Contracts!$I$2:$I$151,$AB1548)="PREPAID",EDATE(DATE(YEAR(INDEX(Contracts!$J$2:$J$151,$AB1548)),MONTH(INDEX(Contracts!$J$2:$J$151,$AB1548)),1),IF(INDEX(Contracts!$N$2:$N$151,$AB1548)="",12,INDEX(Contracts!$N$2:$N$151,$AB1548))-1),IF(INDEX(Contracts!$I$2:$I$151,$AB1548)="MONTHLY",IF(INDEX(Contracts!$K$2:$K$151,$AB1548)="",2958101,INDEX(Contracts!$K$2:$K$151,$AB1548)),0)),IF($Z1548="A",EDATE(DATE(YEAR(INDEX(Fixed_Assets!$G$2:$G$201,$AB1548)),MONTH(INDEX(Fixed_Assets!$G$2:$G$201,$AB1548)),1),INDEX(Fixed_Assets!$J$2:$J$201,$AB1548)-1),IF($Z1548="F",MIN(IF(INDEX(Workforce!$J$2:$J$151,MATCH(INDEX(FTE_Allocation!$A$2:$A$201,$AB1548),Workforce!$A$2:$A$151,0))="",2958101,INDEX(Workforce!$J$2:$J$151,MATCH(INDEX(FTE_Allocation!$A$2:$A$201,$AB1548),Workforce!$A$2:$A$151,0))),IF(INDEX(FTE_Allocation!$J$2:$J$201,$AB1548)="",2958101,INDEX(FTE_Allocation!$J$2:$J$201,$AB1548))),"")))</f>
        <v/>
      </c>
      <c r="AG1548" s="19">
        <f>IF($Z1548="C",IF(INDEX(Contracts!$I$2:$I$151,$AB1548)="PREPAID",INDEX(Contracts!$M$2:$M$151,$AB1548)/IF(INDEX(Contracts!$N$2:$N$151,$AB1548)="",12,INDEX(Contracts!$N$2:$N$151,$AB1548)),IF(INDEX(Contracts!$I$2:$I$151,$AB1548)="MONTHLY",INDEX(Contracts!$M$2:$M$151,$AB1548),0))*(1-N(INDEX(Contracts!$O$2:$O$151,$AB1548))),IF($Z1548="A",INDEX(Fixed_Assets!$H$2:$H$201,$AB1548)/INDEX(Fixed_Assets!$J$2:$J$201,$AB1548),IF($Z1548="F",INDEX(Workforce!$F$2:$F$151,MATCH(INDEX(FTE_Allocation!$A$2:$A$201,$AB1548),Workforce!$A$2:$A$151,0))*N(INDEX(FTE_Allocation!$F$2:$H$201,$AB1548,$AC1548)),"")))</f>
        <v/>
      </c>
    </row>
    <row r="1549">
      <c r="A1549" s="7">
        <f>IF($Z1549="","",$AD1549)</f>
        <v/>
      </c>
      <c r="B1549" s="7">
        <f>IF($Z1549="C",INDEX(Contracts!$D$2:$D$151,$AB1549)&amp;"",IF($Z1549="A",INDEX(Fixed_Assets!$C$2:$C$201,$AB1549)&amp;"",IF($Z1549="F",INDEX(Workforce!$B$2:$B$151,MATCH(INDEX(FTE_Allocation!$A$2:$A$201,$AB1549),Workforce!$A$2:$A$151,0))&amp;"","")))</f>
        <v/>
      </c>
      <c r="C1549" s="7">
        <f>IF($Z1549="C",INDEX(Contracts!$E$2:$E$151,$AB1549)&amp;"",IF($Z1549="A",INDEX(Fixed_Assets!$D$2:$D$201,$AB1549)&amp;"",IF($Z1549="F",INDEX(FTE_Allocation!$C$2:$C$201,$AB1549)&amp;"","")))</f>
        <v/>
      </c>
      <c r="D1549" s="7">
        <f>IF($Z1549="C",INDEX(Contracts!$B$2:$B$151,$AB1549)&amp;"",IF($Z1549="A",INDEX(Fixed_Assets!$B$2:$B$201,$AB1549)&amp;"",IF($Z1549="F",INDEX(FTE_Allocation!$B$2:$B$201,$AB1549)&amp;"","")))</f>
        <v/>
      </c>
      <c r="E1549" s="7">
        <f>IF($Z1549="C",INDEX(Contracts!$P$2:$P$151,$AB1549)&amp;"",IF($Z1549="A",INDEX(Fixed_Assets!$K$2:$K$201,$AB1549)&amp;"",IF($Z1549="F",IF(INDEX(FTE_Allocation!$D$2:$D$201,$AB1549)="PROJECT",IFERROR(INDEX(Projects!$D:$D,MATCH(INDEX(FTE_Allocation!$E$2:$E$201,$AB1549),Projects!$A:$A,0))&amp;"","#PROJECT?"),INDEX(FTE_Allocation!$E$2:$E$201,$AB1549)&amp;""),"")))</f>
        <v/>
      </c>
      <c r="F1549" s="7">
        <f>IF($Z1549="C",INDEX(Contracts!$Q$2:$Q$151,$AB1549)&amp;"",IF($Z1549="A",INDEX(Fixed_Assets!$L$2:$L$201,$AB1549)&amp;"",IF($Z1549="F",INDEX(Workforce!$K$2:$K$151,MATCH(INDEX(FTE_Allocation!$A$2:$A$201,$AB1549),Workforce!$A$2:$A$151,0))&amp;"","")))</f>
        <v/>
      </c>
      <c r="G1549" s="7">
        <f>IF($Z1549="C",INDEX(Contracts!$F$2:$F$151,$AB1549)&amp;" / "&amp;INDEX(Contracts!$G$2:$G$151,$AB1549),IF($Z1549="A",INDEX(Fixed_Assets!$E$2:$E$201,$AB1549)&amp;"",IF($Z1549="F","Personnel "&amp;INDEX(FTE_Allocation!$A$2:$A$201,$AB1549)&amp;IF(INDEX(FTE_Allocation!$D$2:$D$201,$AB1549)="PROJECT"," ("&amp;INDEX(FTE_Allocation!$E$2:$E$201,$AB1549)&amp;")",""),"")))</f>
        <v/>
      </c>
      <c r="H1549" s="7">
        <f>IF($Z1549="C","CONTRACT",IF($Z1549="A","ASSET",IF($Z1549="F","WORKFORCE","")))</f>
        <v/>
      </c>
      <c r="I1549" s="7">
        <f>IF($Z1549="C",INDEX(Contracts!$L$2:$L$151,$AB1549)&amp;"",IF($Z1549="A",INDEX(Fixed_Assets!$I$2:$I$201,$AB1549)&amp;"",IF($Z1549="F",INDEX(Workforce!$G$2:$G$151,MATCH(INDEX(FTE_Allocation!$A$2:$A$201,$AB1549),Workforce!$A$2:$A$151,0))&amp;"","")))</f>
        <v/>
      </c>
      <c r="J1549" s="18">
        <f>IF($Z1549="","",IF(AND(DATE($AD1549,1,1)&gt;=$AE1549,DATE($AD1549,1,1)&lt;=$AF1549),ROUND($AG1549,2),0))</f>
        <v/>
      </c>
      <c r="K1549" s="18">
        <f>IF($Z1549="","",IF(AND(DATE($AD1549,2,1)&gt;=$AE1549,DATE($AD1549,2,1)&lt;=$AF1549),ROUND($AG1549,2),0))</f>
        <v/>
      </c>
      <c r="L1549" s="18">
        <f>IF($Z1549="","",IF(AND(DATE($AD1549,3,1)&gt;=$AE1549,DATE($AD1549,3,1)&lt;=$AF1549),ROUND($AG1549,2),0))</f>
        <v/>
      </c>
      <c r="M1549" s="18">
        <f>IF($Z1549="","",IF(AND(DATE($AD1549,4,1)&gt;=$AE1549,DATE($AD1549,4,1)&lt;=$AF1549),ROUND($AG1549,2),0))</f>
        <v/>
      </c>
      <c r="N1549" s="18">
        <f>IF($Z1549="","",IF(AND(DATE($AD1549,5,1)&gt;=$AE1549,DATE($AD1549,5,1)&lt;=$AF1549),ROUND($AG1549,2),0))</f>
        <v/>
      </c>
      <c r="O1549" s="18">
        <f>IF($Z1549="","",IF(AND(DATE($AD1549,6,1)&gt;=$AE1549,DATE($AD1549,6,1)&lt;=$AF1549),ROUND($AG1549,2),0))</f>
        <v/>
      </c>
      <c r="P1549" s="18">
        <f>IF($Z1549="","",IF(AND(DATE($AD1549,7,1)&gt;=$AE1549,DATE($AD1549,7,1)&lt;=$AF1549),ROUND($AG1549,2),0))</f>
        <v/>
      </c>
      <c r="Q1549" s="18">
        <f>IF($Z1549="","",IF(AND(DATE($AD1549,8,1)&gt;=$AE1549,DATE($AD1549,8,1)&lt;=$AF1549),ROUND($AG1549,2),0))</f>
        <v/>
      </c>
      <c r="R1549" s="18">
        <f>IF($Z1549="","",IF(AND(DATE($AD1549,9,1)&gt;=$AE1549,DATE($AD1549,9,1)&lt;=$AF1549),ROUND($AG1549,2),0))</f>
        <v/>
      </c>
      <c r="S1549" s="18">
        <f>IF($Z1549="","",IF(AND(DATE($AD1549,10,1)&gt;=$AE1549,DATE($AD1549,10,1)&lt;=$AF1549),ROUND($AG1549,2),0))</f>
        <v/>
      </c>
      <c r="T1549" s="18">
        <f>IF($Z1549="","",IF(AND(DATE($AD1549,11,1)&gt;=$AE1549,DATE($AD1549,11,1)&lt;=$AF1549),ROUND($AG1549,2),0))</f>
        <v/>
      </c>
      <c r="U1549" s="18">
        <f>IF($Z1549="","",IF(AND(DATE($AD1549,12,1)&gt;=$AE1549,DATE($AD1549,12,1)&lt;=$AF1549),ROUND($AG1549,2),0))</f>
        <v/>
      </c>
      <c r="V1549" s="7">
        <f>IF($Z1549="C","Generated from "&amp;INDEX(Contracts!$A$2:$A$151,$AB1549),IF($Z1549="A","Generated from "&amp;INDEX(Fixed_Assets!$A$2:$A$201,$AB1549),IF($Z1549="F","Generated from "&amp;INDEX(FTE_Allocation!$A$2:$A$201,$AB1549),"")))</f>
        <v/>
      </c>
      <c r="X1549" s="19">
        <f>IF($Z1549="","",SUM(J1549:U1549))</f>
        <v/>
      </c>
      <c r="Y1549" s="20">
        <f>ROW()-1</f>
        <v/>
      </c>
      <c r="Z1549" s="20">
        <f>IF($Y1549&lt;=Settings!$B$4*3,"C",IF($Y1549&lt;=(Settings!$B$4+Settings!$B$5)*3,"A",IF($Y1549&lt;=(Settings!$B$4+Settings!$B$5+Settings!$B$6)*3,"F","")))</f>
        <v/>
      </c>
      <c r="AA1549" s="20">
        <f>IF($Z1549="C",$Y1549,IF($Z1549="A",$Y1549-Settings!$B$4*3,IF($Z1549="F",$Y1549-(Settings!$B$4+Settings!$B$5)*3,"")))</f>
        <v/>
      </c>
      <c r="AB1549" s="20">
        <f>IF($Z1549="","",INT(($AA1549-1)/3)+1)</f>
        <v/>
      </c>
      <c r="AC1549" s="20">
        <f>IF($Z1549="","",MOD($AA1549-1,3)+1)</f>
        <v/>
      </c>
      <c r="AD1549" s="20">
        <f>IF($Z1549="","",Settings!$B$2+$AC1549-1)</f>
        <v/>
      </c>
      <c r="AE1549" s="21">
        <f>IF($Z1549="C",DATE(YEAR(INDEX(Contracts!$J$2:$J$151,$AB1549)),MONTH(INDEX(Contracts!$J$2:$J$151,$AB1549)),1),IF($Z1549="A",DATE(YEAR(INDEX(Fixed_Assets!$G$2:$G$201,$AB1549)),MONTH(INDEX(Fixed_Assets!$G$2:$G$201,$AB1549)),1),IF($Z1549="F",DATE(YEAR(MAX(N(INDEX(Workforce!$I$2:$I$151,MATCH(INDEX(FTE_Allocation!$A$2:$A$201,$AB1549),Workforce!$A$2:$A$151,0))),N(INDEX(FTE_Allocation!$I$2:$I$201,$AB1549)))),MONTH(MAX(N(INDEX(Workforce!$I$2:$I$151,MATCH(INDEX(FTE_Allocation!$A$2:$A$201,$AB1549),Workforce!$A$2:$A$151,0))),N(INDEX(FTE_Allocation!$I$2:$I$201,$AB1549)))),1),"")))</f>
        <v/>
      </c>
      <c r="AF1549" s="21">
        <f>IF($Z1549="C",IF(INDEX(Contracts!$I$2:$I$151,$AB1549)="PREPAID",EDATE(DATE(YEAR(INDEX(Contracts!$J$2:$J$151,$AB1549)),MONTH(INDEX(Contracts!$J$2:$J$151,$AB1549)),1),IF(INDEX(Contracts!$N$2:$N$151,$AB1549)="",12,INDEX(Contracts!$N$2:$N$151,$AB1549))-1),IF(INDEX(Contracts!$I$2:$I$151,$AB1549)="MONTHLY",IF(INDEX(Contracts!$K$2:$K$151,$AB1549)="",2958101,INDEX(Contracts!$K$2:$K$151,$AB1549)),0)),IF($Z1549="A",EDATE(DATE(YEAR(INDEX(Fixed_Assets!$G$2:$G$201,$AB1549)),MONTH(INDEX(Fixed_Assets!$G$2:$G$201,$AB1549)),1),INDEX(Fixed_Assets!$J$2:$J$201,$AB1549)-1),IF($Z1549="F",MIN(IF(INDEX(Workforce!$J$2:$J$151,MATCH(INDEX(FTE_Allocation!$A$2:$A$201,$AB1549),Workforce!$A$2:$A$151,0))="",2958101,INDEX(Workforce!$J$2:$J$151,MATCH(INDEX(FTE_Allocation!$A$2:$A$201,$AB1549),Workforce!$A$2:$A$151,0))),IF(INDEX(FTE_Allocation!$J$2:$J$201,$AB1549)="",2958101,INDEX(FTE_Allocation!$J$2:$J$201,$AB1549))),"")))</f>
        <v/>
      </c>
      <c r="AG1549" s="19">
        <f>IF($Z1549="C",IF(INDEX(Contracts!$I$2:$I$151,$AB1549)="PREPAID",INDEX(Contracts!$M$2:$M$151,$AB1549)/IF(INDEX(Contracts!$N$2:$N$151,$AB1549)="",12,INDEX(Contracts!$N$2:$N$151,$AB1549)),IF(INDEX(Contracts!$I$2:$I$151,$AB1549)="MONTHLY",INDEX(Contracts!$M$2:$M$151,$AB1549),0))*(1-N(INDEX(Contracts!$O$2:$O$151,$AB1549))),IF($Z1549="A",INDEX(Fixed_Assets!$H$2:$H$201,$AB1549)/INDEX(Fixed_Assets!$J$2:$J$201,$AB1549),IF($Z1549="F",INDEX(Workforce!$F$2:$F$151,MATCH(INDEX(FTE_Allocation!$A$2:$A$201,$AB1549),Workforce!$A$2:$A$151,0))*N(INDEX(FTE_Allocation!$F$2:$H$201,$AB1549,$AC1549)),"")))</f>
        <v/>
      </c>
    </row>
    <row r="1550">
      <c r="A1550" s="7">
        <f>IF($Z1550="","",$AD1550)</f>
        <v/>
      </c>
      <c r="B1550" s="7">
        <f>IF($Z1550="C",INDEX(Contracts!$D$2:$D$151,$AB1550)&amp;"",IF($Z1550="A",INDEX(Fixed_Assets!$C$2:$C$201,$AB1550)&amp;"",IF($Z1550="F",INDEX(Workforce!$B$2:$B$151,MATCH(INDEX(FTE_Allocation!$A$2:$A$201,$AB1550),Workforce!$A$2:$A$151,0))&amp;"","")))</f>
        <v/>
      </c>
      <c r="C1550" s="7">
        <f>IF($Z1550="C",INDEX(Contracts!$E$2:$E$151,$AB1550)&amp;"",IF($Z1550="A",INDEX(Fixed_Assets!$D$2:$D$201,$AB1550)&amp;"",IF($Z1550="F",INDEX(FTE_Allocation!$C$2:$C$201,$AB1550)&amp;"","")))</f>
        <v/>
      </c>
      <c r="D1550" s="7">
        <f>IF($Z1550="C",INDEX(Contracts!$B$2:$B$151,$AB1550)&amp;"",IF($Z1550="A",INDEX(Fixed_Assets!$B$2:$B$201,$AB1550)&amp;"",IF($Z1550="F",INDEX(FTE_Allocation!$B$2:$B$201,$AB1550)&amp;"","")))</f>
        <v/>
      </c>
      <c r="E1550" s="7">
        <f>IF($Z1550="C",INDEX(Contracts!$P$2:$P$151,$AB1550)&amp;"",IF($Z1550="A",INDEX(Fixed_Assets!$K$2:$K$201,$AB1550)&amp;"",IF($Z1550="F",IF(INDEX(FTE_Allocation!$D$2:$D$201,$AB1550)="PROJECT",IFERROR(INDEX(Projects!$D:$D,MATCH(INDEX(FTE_Allocation!$E$2:$E$201,$AB1550),Projects!$A:$A,0))&amp;"","#PROJECT?"),INDEX(FTE_Allocation!$E$2:$E$201,$AB1550)&amp;""),"")))</f>
        <v/>
      </c>
      <c r="F1550" s="7">
        <f>IF($Z1550="C",INDEX(Contracts!$Q$2:$Q$151,$AB1550)&amp;"",IF($Z1550="A",INDEX(Fixed_Assets!$L$2:$L$201,$AB1550)&amp;"",IF($Z1550="F",INDEX(Workforce!$K$2:$K$151,MATCH(INDEX(FTE_Allocation!$A$2:$A$201,$AB1550),Workforce!$A$2:$A$151,0))&amp;"","")))</f>
        <v/>
      </c>
      <c r="G1550" s="7">
        <f>IF($Z1550="C",INDEX(Contracts!$F$2:$F$151,$AB1550)&amp;" / "&amp;INDEX(Contracts!$G$2:$G$151,$AB1550),IF($Z1550="A",INDEX(Fixed_Assets!$E$2:$E$201,$AB1550)&amp;"",IF($Z1550="F","Personnel "&amp;INDEX(FTE_Allocation!$A$2:$A$201,$AB1550)&amp;IF(INDEX(FTE_Allocation!$D$2:$D$201,$AB1550)="PROJECT"," ("&amp;INDEX(FTE_Allocation!$E$2:$E$201,$AB1550)&amp;")",""),"")))</f>
        <v/>
      </c>
      <c r="H1550" s="7">
        <f>IF($Z1550="C","CONTRACT",IF($Z1550="A","ASSET",IF($Z1550="F","WORKFORCE","")))</f>
        <v/>
      </c>
      <c r="I1550" s="7">
        <f>IF($Z1550="C",INDEX(Contracts!$L$2:$L$151,$AB1550)&amp;"",IF($Z1550="A",INDEX(Fixed_Assets!$I$2:$I$201,$AB1550)&amp;"",IF($Z1550="F",INDEX(Workforce!$G$2:$G$151,MATCH(INDEX(FTE_Allocation!$A$2:$A$201,$AB1550),Workforce!$A$2:$A$151,0))&amp;"","")))</f>
        <v/>
      </c>
      <c r="J1550" s="18">
        <f>IF($Z1550="","",IF(AND(DATE($AD1550,1,1)&gt;=$AE1550,DATE($AD1550,1,1)&lt;=$AF1550),ROUND($AG1550,2),0))</f>
        <v/>
      </c>
      <c r="K1550" s="18">
        <f>IF($Z1550="","",IF(AND(DATE($AD1550,2,1)&gt;=$AE1550,DATE($AD1550,2,1)&lt;=$AF1550),ROUND($AG1550,2),0))</f>
        <v/>
      </c>
      <c r="L1550" s="18">
        <f>IF($Z1550="","",IF(AND(DATE($AD1550,3,1)&gt;=$AE1550,DATE($AD1550,3,1)&lt;=$AF1550),ROUND($AG1550,2),0))</f>
        <v/>
      </c>
      <c r="M1550" s="18">
        <f>IF($Z1550="","",IF(AND(DATE($AD1550,4,1)&gt;=$AE1550,DATE($AD1550,4,1)&lt;=$AF1550),ROUND($AG1550,2),0))</f>
        <v/>
      </c>
      <c r="N1550" s="18">
        <f>IF($Z1550="","",IF(AND(DATE($AD1550,5,1)&gt;=$AE1550,DATE($AD1550,5,1)&lt;=$AF1550),ROUND($AG1550,2),0))</f>
        <v/>
      </c>
      <c r="O1550" s="18">
        <f>IF($Z1550="","",IF(AND(DATE($AD1550,6,1)&gt;=$AE1550,DATE($AD1550,6,1)&lt;=$AF1550),ROUND($AG1550,2),0))</f>
        <v/>
      </c>
      <c r="P1550" s="18">
        <f>IF($Z1550="","",IF(AND(DATE($AD1550,7,1)&gt;=$AE1550,DATE($AD1550,7,1)&lt;=$AF1550),ROUND($AG1550,2),0))</f>
        <v/>
      </c>
      <c r="Q1550" s="18">
        <f>IF($Z1550="","",IF(AND(DATE($AD1550,8,1)&gt;=$AE1550,DATE($AD1550,8,1)&lt;=$AF1550),ROUND($AG1550,2),0))</f>
        <v/>
      </c>
      <c r="R1550" s="18">
        <f>IF($Z1550="","",IF(AND(DATE($AD1550,9,1)&gt;=$AE1550,DATE($AD1550,9,1)&lt;=$AF1550),ROUND($AG1550,2),0))</f>
        <v/>
      </c>
      <c r="S1550" s="18">
        <f>IF($Z1550="","",IF(AND(DATE($AD1550,10,1)&gt;=$AE1550,DATE($AD1550,10,1)&lt;=$AF1550),ROUND($AG1550,2),0))</f>
        <v/>
      </c>
      <c r="T1550" s="18">
        <f>IF($Z1550="","",IF(AND(DATE($AD1550,11,1)&gt;=$AE1550,DATE($AD1550,11,1)&lt;=$AF1550),ROUND($AG1550,2),0))</f>
        <v/>
      </c>
      <c r="U1550" s="18">
        <f>IF($Z1550="","",IF(AND(DATE($AD1550,12,1)&gt;=$AE1550,DATE($AD1550,12,1)&lt;=$AF1550),ROUND($AG1550,2),0))</f>
        <v/>
      </c>
      <c r="V1550" s="7">
        <f>IF($Z1550="C","Generated from "&amp;INDEX(Contracts!$A$2:$A$151,$AB1550),IF($Z1550="A","Generated from "&amp;INDEX(Fixed_Assets!$A$2:$A$201,$AB1550),IF($Z1550="F","Generated from "&amp;INDEX(FTE_Allocation!$A$2:$A$201,$AB1550),"")))</f>
        <v/>
      </c>
      <c r="X1550" s="19">
        <f>IF($Z1550="","",SUM(J1550:U1550))</f>
        <v/>
      </c>
      <c r="Y1550" s="20">
        <f>ROW()-1</f>
        <v/>
      </c>
      <c r="Z1550" s="20">
        <f>IF($Y1550&lt;=Settings!$B$4*3,"C",IF($Y1550&lt;=(Settings!$B$4+Settings!$B$5)*3,"A",IF($Y1550&lt;=(Settings!$B$4+Settings!$B$5+Settings!$B$6)*3,"F","")))</f>
        <v/>
      </c>
      <c r="AA1550" s="20">
        <f>IF($Z1550="C",$Y1550,IF($Z1550="A",$Y1550-Settings!$B$4*3,IF($Z1550="F",$Y1550-(Settings!$B$4+Settings!$B$5)*3,"")))</f>
        <v/>
      </c>
      <c r="AB1550" s="20">
        <f>IF($Z1550="","",INT(($AA1550-1)/3)+1)</f>
        <v/>
      </c>
      <c r="AC1550" s="20">
        <f>IF($Z1550="","",MOD($AA1550-1,3)+1)</f>
        <v/>
      </c>
      <c r="AD1550" s="20">
        <f>IF($Z1550="","",Settings!$B$2+$AC1550-1)</f>
        <v/>
      </c>
      <c r="AE1550" s="21">
        <f>IF($Z1550="C",DATE(YEAR(INDEX(Contracts!$J$2:$J$151,$AB1550)),MONTH(INDEX(Contracts!$J$2:$J$151,$AB1550)),1),IF($Z1550="A",DATE(YEAR(INDEX(Fixed_Assets!$G$2:$G$201,$AB1550)),MONTH(INDEX(Fixed_Assets!$G$2:$G$201,$AB1550)),1),IF($Z1550="F",DATE(YEAR(MAX(N(INDEX(Workforce!$I$2:$I$151,MATCH(INDEX(FTE_Allocation!$A$2:$A$201,$AB1550),Workforce!$A$2:$A$151,0))),N(INDEX(FTE_Allocation!$I$2:$I$201,$AB1550)))),MONTH(MAX(N(INDEX(Workforce!$I$2:$I$151,MATCH(INDEX(FTE_Allocation!$A$2:$A$201,$AB1550),Workforce!$A$2:$A$151,0))),N(INDEX(FTE_Allocation!$I$2:$I$201,$AB1550)))),1),"")))</f>
        <v/>
      </c>
      <c r="AF1550" s="21">
        <f>IF($Z1550="C",IF(INDEX(Contracts!$I$2:$I$151,$AB1550)="PREPAID",EDATE(DATE(YEAR(INDEX(Contracts!$J$2:$J$151,$AB1550)),MONTH(INDEX(Contracts!$J$2:$J$151,$AB1550)),1),IF(INDEX(Contracts!$N$2:$N$151,$AB1550)="",12,INDEX(Contracts!$N$2:$N$151,$AB1550))-1),IF(INDEX(Contracts!$I$2:$I$151,$AB1550)="MONTHLY",IF(INDEX(Contracts!$K$2:$K$151,$AB1550)="",2958101,INDEX(Contracts!$K$2:$K$151,$AB1550)),0)),IF($Z1550="A",EDATE(DATE(YEAR(INDEX(Fixed_Assets!$G$2:$G$201,$AB1550)),MONTH(INDEX(Fixed_Assets!$G$2:$G$201,$AB1550)),1),INDEX(Fixed_Assets!$J$2:$J$201,$AB1550)-1),IF($Z1550="F",MIN(IF(INDEX(Workforce!$J$2:$J$151,MATCH(INDEX(FTE_Allocation!$A$2:$A$201,$AB1550),Workforce!$A$2:$A$151,0))="",2958101,INDEX(Workforce!$J$2:$J$151,MATCH(INDEX(FTE_Allocation!$A$2:$A$201,$AB1550),Workforce!$A$2:$A$151,0))),IF(INDEX(FTE_Allocation!$J$2:$J$201,$AB1550)="",2958101,INDEX(FTE_Allocation!$J$2:$J$201,$AB1550))),"")))</f>
        <v/>
      </c>
      <c r="AG1550" s="19">
        <f>IF($Z1550="C",IF(INDEX(Contracts!$I$2:$I$151,$AB1550)="PREPAID",INDEX(Contracts!$M$2:$M$151,$AB1550)/IF(INDEX(Contracts!$N$2:$N$151,$AB1550)="",12,INDEX(Contracts!$N$2:$N$151,$AB1550)),IF(INDEX(Contracts!$I$2:$I$151,$AB1550)="MONTHLY",INDEX(Contracts!$M$2:$M$151,$AB1550),0))*(1-N(INDEX(Contracts!$O$2:$O$151,$AB1550))),IF($Z1550="A",INDEX(Fixed_Assets!$H$2:$H$201,$AB1550)/INDEX(Fixed_Assets!$J$2:$J$201,$AB1550),IF($Z1550="F",INDEX(Workforce!$F$2:$F$151,MATCH(INDEX(FTE_Allocation!$A$2:$A$201,$AB1550),Workforce!$A$2:$A$151,0))*N(INDEX(FTE_Allocation!$F$2:$H$201,$AB1550,$AC1550)),"")))</f>
        <v/>
      </c>
    </row>
    <row r="1551">
      <c r="A1551" s="7">
        <f>IF($Z1551="","",$AD1551)</f>
        <v/>
      </c>
      <c r="B1551" s="7">
        <f>IF($Z1551="C",INDEX(Contracts!$D$2:$D$151,$AB1551)&amp;"",IF($Z1551="A",INDEX(Fixed_Assets!$C$2:$C$201,$AB1551)&amp;"",IF($Z1551="F",INDEX(Workforce!$B$2:$B$151,MATCH(INDEX(FTE_Allocation!$A$2:$A$201,$AB1551),Workforce!$A$2:$A$151,0))&amp;"","")))</f>
        <v/>
      </c>
      <c r="C1551" s="7">
        <f>IF($Z1551="C",INDEX(Contracts!$E$2:$E$151,$AB1551)&amp;"",IF($Z1551="A",INDEX(Fixed_Assets!$D$2:$D$201,$AB1551)&amp;"",IF($Z1551="F",INDEX(FTE_Allocation!$C$2:$C$201,$AB1551)&amp;"","")))</f>
        <v/>
      </c>
      <c r="D1551" s="7">
        <f>IF($Z1551="C",INDEX(Contracts!$B$2:$B$151,$AB1551)&amp;"",IF($Z1551="A",INDEX(Fixed_Assets!$B$2:$B$201,$AB1551)&amp;"",IF($Z1551="F",INDEX(FTE_Allocation!$B$2:$B$201,$AB1551)&amp;"","")))</f>
        <v/>
      </c>
      <c r="E1551" s="7">
        <f>IF($Z1551="C",INDEX(Contracts!$P$2:$P$151,$AB1551)&amp;"",IF($Z1551="A",INDEX(Fixed_Assets!$K$2:$K$201,$AB1551)&amp;"",IF($Z1551="F",IF(INDEX(FTE_Allocation!$D$2:$D$201,$AB1551)="PROJECT",IFERROR(INDEX(Projects!$D:$D,MATCH(INDEX(FTE_Allocation!$E$2:$E$201,$AB1551),Projects!$A:$A,0))&amp;"","#PROJECT?"),INDEX(FTE_Allocation!$E$2:$E$201,$AB1551)&amp;""),"")))</f>
        <v/>
      </c>
      <c r="F1551" s="7">
        <f>IF($Z1551="C",INDEX(Contracts!$Q$2:$Q$151,$AB1551)&amp;"",IF($Z1551="A",INDEX(Fixed_Assets!$L$2:$L$201,$AB1551)&amp;"",IF($Z1551="F",INDEX(Workforce!$K$2:$K$151,MATCH(INDEX(FTE_Allocation!$A$2:$A$201,$AB1551),Workforce!$A$2:$A$151,0))&amp;"","")))</f>
        <v/>
      </c>
      <c r="G1551" s="7">
        <f>IF($Z1551="C",INDEX(Contracts!$F$2:$F$151,$AB1551)&amp;" / "&amp;INDEX(Contracts!$G$2:$G$151,$AB1551),IF($Z1551="A",INDEX(Fixed_Assets!$E$2:$E$201,$AB1551)&amp;"",IF($Z1551="F","Personnel "&amp;INDEX(FTE_Allocation!$A$2:$A$201,$AB1551)&amp;IF(INDEX(FTE_Allocation!$D$2:$D$201,$AB1551)="PROJECT"," ("&amp;INDEX(FTE_Allocation!$E$2:$E$201,$AB1551)&amp;")",""),"")))</f>
        <v/>
      </c>
      <c r="H1551" s="7">
        <f>IF($Z1551="C","CONTRACT",IF($Z1551="A","ASSET",IF($Z1551="F","WORKFORCE","")))</f>
        <v/>
      </c>
      <c r="I1551" s="7">
        <f>IF($Z1551="C",INDEX(Contracts!$L$2:$L$151,$AB1551)&amp;"",IF($Z1551="A",INDEX(Fixed_Assets!$I$2:$I$201,$AB1551)&amp;"",IF($Z1551="F",INDEX(Workforce!$G$2:$G$151,MATCH(INDEX(FTE_Allocation!$A$2:$A$201,$AB1551),Workforce!$A$2:$A$151,0))&amp;"","")))</f>
        <v/>
      </c>
      <c r="J1551" s="18">
        <f>IF($Z1551="","",IF(AND(DATE($AD1551,1,1)&gt;=$AE1551,DATE($AD1551,1,1)&lt;=$AF1551),ROUND($AG1551,2),0))</f>
        <v/>
      </c>
      <c r="K1551" s="18">
        <f>IF($Z1551="","",IF(AND(DATE($AD1551,2,1)&gt;=$AE1551,DATE($AD1551,2,1)&lt;=$AF1551),ROUND($AG1551,2),0))</f>
        <v/>
      </c>
      <c r="L1551" s="18">
        <f>IF($Z1551="","",IF(AND(DATE($AD1551,3,1)&gt;=$AE1551,DATE($AD1551,3,1)&lt;=$AF1551),ROUND($AG1551,2),0))</f>
        <v/>
      </c>
      <c r="M1551" s="18">
        <f>IF($Z1551="","",IF(AND(DATE($AD1551,4,1)&gt;=$AE1551,DATE($AD1551,4,1)&lt;=$AF1551),ROUND($AG1551,2),0))</f>
        <v/>
      </c>
      <c r="N1551" s="18">
        <f>IF($Z1551="","",IF(AND(DATE($AD1551,5,1)&gt;=$AE1551,DATE($AD1551,5,1)&lt;=$AF1551),ROUND($AG1551,2),0))</f>
        <v/>
      </c>
      <c r="O1551" s="18">
        <f>IF($Z1551="","",IF(AND(DATE($AD1551,6,1)&gt;=$AE1551,DATE($AD1551,6,1)&lt;=$AF1551),ROUND($AG1551,2),0))</f>
        <v/>
      </c>
      <c r="P1551" s="18">
        <f>IF($Z1551="","",IF(AND(DATE($AD1551,7,1)&gt;=$AE1551,DATE($AD1551,7,1)&lt;=$AF1551),ROUND($AG1551,2),0))</f>
        <v/>
      </c>
      <c r="Q1551" s="18">
        <f>IF($Z1551="","",IF(AND(DATE($AD1551,8,1)&gt;=$AE1551,DATE($AD1551,8,1)&lt;=$AF1551),ROUND($AG1551,2),0))</f>
        <v/>
      </c>
      <c r="R1551" s="18">
        <f>IF($Z1551="","",IF(AND(DATE($AD1551,9,1)&gt;=$AE1551,DATE($AD1551,9,1)&lt;=$AF1551),ROUND($AG1551,2),0))</f>
        <v/>
      </c>
      <c r="S1551" s="18">
        <f>IF($Z1551="","",IF(AND(DATE($AD1551,10,1)&gt;=$AE1551,DATE($AD1551,10,1)&lt;=$AF1551),ROUND($AG1551,2),0))</f>
        <v/>
      </c>
      <c r="T1551" s="18">
        <f>IF($Z1551="","",IF(AND(DATE($AD1551,11,1)&gt;=$AE1551,DATE($AD1551,11,1)&lt;=$AF1551),ROUND($AG1551,2),0))</f>
        <v/>
      </c>
      <c r="U1551" s="18">
        <f>IF($Z1551="","",IF(AND(DATE($AD1551,12,1)&gt;=$AE1551,DATE($AD1551,12,1)&lt;=$AF1551),ROUND($AG1551,2),0))</f>
        <v/>
      </c>
      <c r="V1551" s="7">
        <f>IF($Z1551="C","Generated from "&amp;INDEX(Contracts!$A$2:$A$151,$AB1551),IF($Z1551="A","Generated from "&amp;INDEX(Fixed_Assets!$A$2:$A$201,$AB1551),IF($Z1551="F","Generated from "&amp;INDEX(FTE_Allocation!$A$2:$A$201,$AB1551),"")))</f>
        <v/>
      </c>
      <c r="X1551" s="19">
        <f>IF($Z1551="","",SUM(J1551:U1551))</f>
        <v/>
      </c>
      <c r="Y1551" s="20">
        <f>ROW()-1</f>
        <v/>
      </c>
      <c r="Z1551" s="20">
        <f>IF($Y1551&lt;=Settings!$B$4*3,"C",IF($Y1551&lt;=(Settings!$B$4+Settings!$B$5)*3,"A",IF($Y1551&lt;=(Settings!$B$4+Settings!$B$5+Settings!$B$6)*3,"F","")))</f>
        <v/>
      </c>
      <c r="AA1551" s="20">
        <f>IF($Z1551="C",$Y1551,IF($Z1551="A",$Y1551-Settings!$B$4*3,IF($Z1551="F",$Y1551-(Settings!$B$4+Settings!$B$5)*3,"")))</f>
        <v/>
      </c>
      <c r="AB1551" s="20">
        <f>IF($Z1551="","",INT(($AA1551-1)/3)+1)</f>
        <v/>
      </c>
      <c r="AC1551" s="20">
        <f>IF($Z1551="","",MOD($AA1551-1,3)+1)</f>
        <v/>
      </c>
      <c r="AD1551" s="20">
        <f>IF($Z1551="","",Settings!$B$2+$AC1551-1)</f>
        <v/>
      </c>
      <c r="AE1551" s="21">
        <f>IF($Z1551="C",DATE(YEAR(INDEX(Contracts!$J$2:$J$151,$AB1551)),MONTH(INDEX(Contracts!$J$2:$J$151,$AB1551)),1),IF($Z1551="A",DATE(YEAR(INDEX(Fixed_Assets!$G$2:$G$201,$AB1551)),MONTH(INDEX(Fixed_Assets!$G$2:$G$201,$AB1551)),1),IF($Z1551="F",DATE(YEAR(MAX(N(INDEX(Workforce!$I$2:$I$151,MATCH(INDEX(FTE_Allocation!$A$2:$A$201,$AB1551),Workforce!$A$2:$A$151,0))),N(INDEX(FTE_Allocation!$I$2:$I$201,$AB1551)))),MONTH(MAX(N(INDEX(Workforce!$I$2:$I$151,MATCH(INDEX(FTE_Allocation!$A$2:$A$201,$AB1551),Workforce!$A$2:$A$151,0))),N(INDEX(FTE_Allocation!$I$2:$I$201,$AB1551)))),1),"")))</f>
        <v/>
      </c>
      <c r="AF1551" s="21">
        <f>IF($Z1551="C",IF(INDEX(Contracts!$I$2:$I$151,$AB1551)="PREPAID",EDATE(DATE(YEAR(INDEX(Contracts!$J$2:$J$151,$AB1551)),MONTH(INDEX(Contracts!$J$2:$J$151,$AB1551)),1),IF(INDEX(Contracts!$N$2:$N$151,$AB1551)="",12,INDEX(Contracts!$N$2:$N$151,$AB1551))-1),IF(INDEX(Contracts!$I$2:$I$151,$AB1551)="MONTHLY",IF(INDEX(Contracts!$K$2:$K$151,$AB1551)="",2958101,INDEX(Contracts!$K$2:$K$151,$AB1551)),0)),IF($Z1551="A",EDATE(DATE(YEAR(INDEX(Fixed_Assets!$G$2:$G$201,$AB1551)),MONTH(INDEX(Fixed_Assets!$G$2:$G$201,$AB1551)),1),INDEX(Fixed_Assets!$J$2:$J$201,$AB1551)-1),IF($Z1551="F",MIN(IF(INDEX(Workforce!$J$2:$J$151,MATCH(INDEX(FTE_Allocation!$A$2:$A$201,$AB1551),Workforce!$A$2:$A$151,0))="",2958101,INDEX(Workforce!$J$2:$J$151,MATCH(INDEX(FTE_Allocation!$A$2:$A$201,$AB1551),Workforce!$A$2:$A$151,0))),IF(INDEX(FTE_Allocation!$J$2:$J$201,$AB1551)="",2958101,INDEX(FTE_Allocation!$J$2:$J$201,$AB1551))),"")))</f>
        <v/>
      </c>
      <c r="AG1551" s="19">
        <f>IF($Z1551="C",IF(INDEX(Contracts!$I$2:$I$151,$AB1551)="PREPAID",INDEX(Contracts!$M$2:$M$151,$AB1551)/IF(INDEX(Contracts!$N$2:$N$151,$AB1551)="",12,INDEX(Contracts!$N$2:$N$151,$AB1551)),IF(INDEX(Contracts!$I$2:$I$151,$AB1551)="MONTHLY",INDEX(Contracts!$M$2:$M$151,$AB1551),0))*(1-N(INDEX(Contracts!$O$2:$O$151,$AB1551))),IF($Z1551="A",INDEX(Fixed_Assets!$H$2:$H$201,$AB1551)/INDEX(Fixed_Assets!$J$2:$J$201,$AB1551),IF($Z1551="F",INDEX(Workforce!$F$2:$F$151,MATCH(INDEX(FTE_Allocation!$A$2:$A$201,$AB1551),Workforce!$A$2:$A$151,0))*N(INDEX(FTE_Allocation!$F$2:$H$201,$AB1551,$AC1551)),"")))</f>
        <v/>
      </c>
    </row>
    <row r="1552">
      <c r="A1552" s="7">
        <f>IF($Z1552="","",$AD1552)</f>
        <v/>
      </c>
      <c r="B1552" s="7">
        <f>IF($Z1552="C",INDEX(Contracts!$D$2:$D$151,$AB1552)&amp;"",IF($Z1552="A",INDEX(Fixed_Assets!$C$2:$C$201,$AB1552)&amp;"",IF($Z1552="F",INDEX(Workforce!$B$2:$B$151,MATCH(INDEX(FTE_Allocation!$A$2:$A$201,$AB1552),Workforce!$A$2:$A$151,0))&amp;"","")))</f>
        <v/>
      </c>
      <c r="C1552" s="7">
        <f>IF($Z1552="C",INDEX(Contracts!$E$2:$E$151,$AB1552)&amp;"",IF($Z1552="A",INDEX(Fixed_Assets!$D$2:$D$201,$AB1552)&amp;"",IF($Z1552="F",INDEX(FTE_Allocation!$C$2:$C$201,$AB1552)&amp;"","")))</f>
        <v/>
      </c>
      <c r="D1552" s="7">
        <f>IF($Z1552="C",INDEX(Contracts!$B$2:$B$151,$AB1552)&amp;"",IF($Z1552="A",INDEX(Fixed_Assets!$B$2:$B$201,$AB1552)&amp;"",IF($Z1552="F",INDEX(FTE_Allocation!$B$2:$B$201,$AB1552)&amp;"","")))</f>
        <v/>
      </c>
      <c r="E1552" s="7">
        <f>IF($Z1552="C",INDEX(Contracts!$P$2:$P$151,$AB1552)&amp;"",IF($Z1552="A",INDEX(Fixed_Assets!$K$2:$K$201,$AB1552)&amp;"",IF($Z1552="F",IF(INDEX(FTE_Allocation!$D$2:$D$201,$AB1552)="PROJECT",IFERROR(INDEX(Projects!$D:$D,MATCH(INDEX(FTE_Allocation!$E$2:$E$201,$AB1552),Projects!$A:$A,0))&amp;"","#PROJECT?"),INDEX(FTE_Allocation!$E$2:$E$201,$AB1552)&amp;""),"")))</f>
        <v/>
      </c>
      <c r="F1552" s="7">
        <f>IF($Z1552="C",INDEX(Contracts!$Q$2:$Q$151,$AB1552)&amp;"",IF($Z1552="A",INDEX(Fixed_Assets!$L$2:$L$201,$AB1552)&amp;"",IF($Z1552="F",INDEX(Workforce!$K$2:$K$151,MATCH(INDEX(FTE_Allocation!$A$2:$A$201,$AB1552),Workforce!$A$2:$A$151,0))&amp;"","")))</f>
        <v/>
      </c>
      <c r="G1552" s="7">
        <f>IF($Z1552="C",INDEX(Contracts!$F$2:$F$151,$AB1552)&amp;" / "&amp;INDEX(Contracts!$G$2:$G$151,$AB1552),IF($Z1552="A",INDEX(Fixed_Assets!$E$2:$E$201,$AB1552)&amp;"",IF($Z1552="F","Personnel "&amp;INDEX(FTE_Allocation!$A$2:$A$201,$AB1552)&amp;IF(INDEX(FTE_Allocation!$D$2:$D$201,$AB1552)="PROJECT"," ("&amp;INDEX(FTE_Allocation!$E$2:$E$201,$AB1552)&amp;")",""),"")))</f>
        <v/>
      </c>
      <c r="H1552" s="7">
        <f>IF($Z1552="C","CONTRACT",IF($Z1552="A","ASSET",IF($Z1552="F","WORKFORCE","")))</f>
        <v/>
      </c>
      <c r="I1552" s="7">
        <f>IF($Z1552="C",INDEX(Contracts!$L$2:$L$151,$AB1552)&amp;"",IF($Z1552="A",INDEX(Fixed_Assets!$I$2:$I$201,$AB1552)&amp;"",IF($Z1552="F",INDEX(Workforce!$G$2:$G$151,MATCH(INDEX(FTE_Allocation!$A$2:$A$201,$AB1552),Workforce!$A$2:$A$151,0))&amp;"","")))</f>
        <v/>
      </c>
      <c r="J1552" s="18">
        <f>IF($Z1552="","",IF(AND(DATE($AD1552,1,1)&gt;=$AE1552,DATE($AD1552,1,1)&lt;=$AF1552),ROUND($AG1552,2),0))</f>
        <v/>
      </c>
      <c r="K1552" s="18">
        <f>IF($Z1552="","",IF(AND(DATE($AD1552,2,1)&gt;=$AE1552,DATE($AD1552,2,1)&lt;=$AF1552),ROUND($AG1552,2),0))</f>
        <v/>
      </c>
      <c r="L1552" s="18">
        <f>IF($Z1552="","",IF(AND(DATE($AD1552,3,1)&gt;=$AE1552,DATE($AD1552,3,1)&lt;=$AF1552),ROUND($AG1552,2),0))</f>
        <v/>
      </c>
      <c r="M1552" s="18">
        <f>IF($Z1552="","",IF(AND(DATE($AD1552,4,1)&gt;=$AE1552,DATE($AD1552,4,1)&lt;=$AF1552),ROUND($AG1552,2),0))</f>
        <v/>
      </c>
      <c r="N1552" s="18">
        <f>IF($Z1552="","",IF(AND(DATE($AD1552,5,1)&gt;=$AE1552,DATE($AD1552,5,1)&lt;=$AF1552),ROUND($AG1552,2),0))</f>
        <v/>
      </c>
      <c r="O1552" s="18">
        <f>IF($Z1552="","",IF(AND(DATE($AD1552,6,1)&gt;=$AE1552,DATE($AD1552,6,1)&lt;=$AF1552),ROUND($AG1552,2),0))</f>
        <v/>
      </c>
      <c r="P1552" s="18">
        <f>IF($Z1552="","",IF(AND(DATE($AD1552,7,1)&gt;=$AE1552,DATE($AD1552,7,1)&lt;=$AF1552),ROUND($AG1552,2),0))</f>
        <v/>
      </c>
      <c r="Q1552" s="18">
        <f>IF($Z1552="","",IF(AND(DATE($AD1552,8,1)&gt;=$AE1552,DATE($AD1552,8,1)&lt;=$AF1552),ROUND($AG1552,2),0))</f>
        <v/>
      </c>
      <c r="R1552" s="18">
        <f>IF($Z1552="","",IF(AND(DATE($AD1552,9,1)&gt;=$AE1552,DATE($AD1552,9,1)&lt;=$AF1552),ROUND($AG1552,2),0))</f>
        <v/>
      </c>
      <c r="S1552" s="18">
        <f>IF($Z1552="","",IF(AND(DATE($AD1552,10,1)&gt;=$AE1552,DATE($AD1552,10,1)&lt;=$AF1552),ROUND($AG1552,2),0))</f>
        <v/>
      </c>
      <c r="T1552" s="18">
        <f>IF($Z1552="","",IF(AND(DATE($AD1552,11,1)&gt;=$AE1552,DATE($AD1552,11,1)&lt;=$AF1552),ROUND($AG1552,2),0))</f>
        <v/>
      </c>
      <c r="U1552" s="18">
        <f>IF($Z1552="","",IF(AND(DATE($AD1552,12,1)&gt;=$AE1552,DATE($AD1552,12,1)&lt;=$AF1552),ROUND($AG1552,2),0))</f>
        <v/>
      </c>
      <c r="V1552" s="7">
        <f>IF($Z1552="C","Generated from "&amp;INDEX(Contracts!$A$2:$A$151,$AB1552),IF($Z1552="A","Generated from "&amp;INDEX(Fixed_Assets!$A$2:$A$201,$AB1552),IF($Z1552="F","Generated from "&amp;INDEX(FTE_Allocation!$A$2:$A$201,$AB1552),"")))</f>
        <v/>
      </c>
      <c r="X1552" s="19">
        <f>IF($Z1552="","",SUM(J1552:U1552))</f>
        <v/>
      </c>
      <c r="Y1552" s="20">
        <f>ROW()-1</f>
        <v/>
      </c>
      <c r="Z1552" s="20">
        <f>IF($Y1552&lt;=Settings!$B$4*3,"C",IF($Y1552&lt;=(Settings!$B$4+Settings!$B$5)*3,"A",IF($Y1552&lt;=(Settings!$B$4+Settings!$B$5+Settings!$B$6)*3,"F","")))</f>
        <v/>
      </c>
      <c r="AA1552" s="20">
        <f>IF($Z1552="C",$Y1552,IF($Z1552="A",$Y1552-Settings!$B$4*3,IF($Z1552="F",$Y1552-(Settings!$B$4+Settings!$B$5)*3,"")))</f>
        <v/>
      </c>
      <c r="AB1552" s="20">
        <f>IF($Z1552="","",INT(($AA1552-1)/3)+1)</f>
        <v/>
      </c>
      <c r="AC1552" s="20">
        <f>IF($Z1552="","",MOD($AA1552-1,3)+1)</f>
        <v/>
      </c>
      <c r="AD1552" s="20">
        <f>IF($Z1552="","",Settings!$B$2+$AC1552-1)</f>
        <v/>
      </c>
      <c r="AE1552" s="21">
        <f>IF($Z1552="C",DATE(YEAR(INDEX(Contracts!$J$2:$J$151,$AB1552)),MONTH(INDEX(Contracts!$J$2:$J$151,$AB1552)),1),IF($Z1552="A",DATE(YEAR(INDEX(Fixed_Assets!$G$2:$G$201,$AB1552)),MONTH(INDEX(Fixed_Assets!$G$2:$G$201,$AB1552)),1),IF($Z1552="F",DATE(YEAR(MAX(N(INDEX(Workforce!$I$2:$I$151,MATCH(INDEX(FTE_Allocation!$A$2:$A$201,$AB1552),Workforce!$A$2:$A$151,0))),N(INDEX(FTE_Allocation!$I$2:$I$201,$AB1552)))),MONTH(MAX(N(INDEX(Workforce!$I$2:$I$151,MATCH(INDEX(FTE_Allocation!$A$2:$A$201,$AB1552),Workforce!$A$2:$A$151,0))),N(INDEX(FTE_Allocation!$I$2:$I$201,$AB1552)))),1),"")))</f>
        <v/>
      </c>
      <c r="AF1552" s="21">
        <f>IF($Z1552="C",IF(INDEX(Contracts!$I$2:$I$151,$AB1552)="PREPAID",EDATE(DATE(YEAR(INDEX(Contracts!$J$2:$J$151,$AB1552)),MONTH(INDEX(Contracts!$J$2:$J$151,$AB1552)),1),IF(INDEX(Contracts!$N$2:$N$151,$AB1552)="",12,INDEX(Contracts!$N$2:$N$151,$AB1552))-1),IF(INDEX(Contracts!$I$2:$I$151,$AB1552)="MONTHLY",IF(INDEX(Contracts!$K$2:$K$151,$AB1552)="",2958101,INDEX(Contracts!$K$2:$K$151,$AB1552)),0)),IF($Z1552="A",EDATE(DATE(YEAR(INDEX(Fixed_Assets!$G$2:$G$201,$AB1552)),MONTH(INDEX(Fixed_Assets!$G$2:$G$201,$AB1552)),1),INDEX(Fixed_Assets!$J$2:$J$201,$AB1552)-1),IF($Z1552="F",MIN(IF(INDEX(Workforce!$J$2:$J$151,MATCH(INDEX(FTE_Allocation!$A$2:$A$201,$AB1552),Workforce!$A$2:$A$151,0))="",2958101,INDEX(Workforce!$J$2:$J$151,MATCH(INDEX(FTE_Allocation!$A$2:$A$201,$AB1552),Workforce!$A$2:$A$151,0))),IF(INDEX(FTE_Allocation!$J$2:$J$201,$AB1552)="",2958101,INDEX(FTE_Allocation!$J$2:$J$201,$AB1552))),"")))</f>
        <v/>
      </c>
      <c r="AG1552" s="19">
        <f>IF($Z1552="C",IF(INDEX(Contracts!$I$2:$I$151,$AB1552)="PREPAID",INDEX(Contracts!$M$2:$M$151,$AB1552)/IF(INDEX(Contracts!$N$2:$N$151,$AB1552)="",12,INDEX(Contracts!$N$2:$N$151,$AB1552)),IF(INDEX(Contracts!$I$2:$I$151,$AB1552)="MONTHLY",INDEX(Contracts!$M$2:$M$151,$AB1552),0))*(1-N(INDEX(Contracts!$O$2:$O$151,$AB1552))),IF($Z1552="A",INDEX(Fixed_Assets!$H$2:$H$201,$AB1552)/INDEX(Fixed_Assets!$J$2:$J$201,$AB1552),IF($Z1552="F",INDEX(Workforce!$F$2:$F$151,MATCH(INDEX(FTE_Allocation!$A$2:$A$201,$AB1552),Workforce!$A$2:$A$151,0))*N(INDEX(FTE_Allocation!$F$2:$H$201,$AB1552,$AC1552)),"")))</f>
        <v/>
      </c>
    </row>
    <row r="1553">
      <c r="A1553" s="7">
        <f>IF($Z1553="","",$AD1553)</f>
        <v/>
      </c>
      <c r="B1553" s="7">
        <f>IF($Z1553="C",INDEX(Contracts!$D$2:$D$151,$AB1553)&amp;"",IF($Z1553="A",INDEX(Fixed_Assets!$C$2:$C$201,$AB1553)&amp;"",IF($Z1553="F",INDEX(Workforce!$B$2:$B$151,MATCH(INDEX(FTE_Allocation!$A$2:$A$201,$AB1553),Workforce!$A$2:$A$151,0))&amp;"","")))</f>
        <v/>
      </c>
      <c r="C1553" s="7">
        <f>IF($Z1553="C",INDEX(Contracts!$E$2:$E$151,$AB1553)&amp;"",IF($Z1553="A",INDEX(Fixed_Assets!$D$2:$D$201,$AB1553)&amp;"",IF($Z1553="F",INDEX(FTE_Allocation!$C$2:$C$201,$AB1553)&amp;"","")))</f>
        <v/>
      </c>
      <c r="D1553" s="7">
        <f>IF($Z1553="C",INDEX(Contracts!$B$2:$B$151,$AB1553)&amp;"",IF($Z1553="A",INDEX(Fixed_Assets!$B$2:$B$201,$AB1553)&amp;"",IF($Z1553="F",INDEX(FTE_Allocation!$B$2:$B$201,$AB1553)&amp;"","")))</f>
        <v/>
      </c>
      <c r="E1553" s="7">
        <f>IF($Z1553="C",INDEX(Contracts!$P$2:$P$151,$AB1553)&amp;"",IF($Z1553="A",INDEX(Fixed_Assets!$K$2:$K$201,$AB1553)&amp;"",IF($Z1553="F",IF(INDEX(FTE_Allocation!$D$2:$D$201,$AB1553)="PROJECT",IFERROR(INDEX(Projects!$D:$D,MATCH(INDEX(FTE_Allocation!$E$2:$E$201,$AB1553),Projects!$A:$A,0))&amp;"","#PROJECT?"),INDEX(FTE_Allocation!$E$2:$E$201,$AB1553)&amp;""),"")))</f>
        <v/>
      </c>
      <c r="F1553" s="7">
        <f>IF($Z1553="C",INDEX(Contracts!$Q$2:$Q$151,$AB1553)&amp;"",IF($Z1553="A",INDEX(Fixed_Assets!$L$2:$L$201,$AB1553)&amp;"",IF($Z1553="F",INDEX(Workforce!$K$2:$K$151,MATCH(INDEX(FTE_Allocation!$A$2:$A$201,$AB1553),Workforce!$A$2:$A$151,0))&amp;"","")))</f>
        <v/>
      </c>
      <c r="G1553" s="7">
        <f>IF($Z1553="C",INDEX(Contracts!$F$2:$F$151,$AB1553)&amp;" / "&amp;INDEX(Contracts!$G$2:$G$151,$AB1553),IF($Z1553="A",INDEX(Fixed_Assets!$E$2:$E$201,$AB1553)&amp;"",IF($Z1553="F","Personnel "&amp;INDEX(FTE_Allocation!$A$2:$A$201,$AB1553)&amp;IF(INDEX(FTE_Allocation!$D$2:$D$201,$AB1553)="PROJECT"," ("&amp;INDEX(FTE_Allocation!$E$2:$E$201,$AB1553)&amp;")",""),"")))</f>
        <v/>
      </c>
      <c r="H1553" s="7">
        <f>IF($Z1553="C","CONTRACT",IF($Z1553="A","ASSET",IF($Z1553="F","WORKFORCE","")))</f>
        <v/>
      </c>
      <c r="I1553" s="7">
        <f>IF($Z1553="C",INDEX(Contracts!$L$2:$L$151,$AB1553)&amp;"",IF($Z1553="A",INDEX(Fixed_Assets!$I$2:$I$201,$AB1553)&amp;"",IF($Z1553="F",INDEX(Workforce!$G$2:$G$151,MATCH(INDEX(FTE_Allocation!$A$2:$A$201,$AB1553),Workforce!$A$2:$A$151,0))&amp;"","")))</f>
        <v/>
      </c>
      <c r="J1553" s="18">
        <f>IF($Z1553="","",IF(AND(DATE($AD1553,1,1)&gt;=$AE1553,DATE($AD1553,1,1)&lt;=$AF1553),ROUND($AG1553,2),0))</f>
        <v/>
      </c>
      <c r="K1553" s="18">
        <f>IF($Z1553="","",IF(AND(DATE($AD1553,2,1)&gt;=$AE1553,DATE($AD1553,2,1)&lt;=$AF1553),ROUND($AG1553,2),0))</f>
        <v/>
      </c>
      <c r="L1553" s="18">
        <f>IF($Z1553="","",IF(AND(DATE($AD1553,3,1)&gt;=$AE1553,DATE($AD1553,3,1)&lt;=$AF1553),ROUND($AG1553,2),0))</f>
        <v/>
      </c>
      <c r="M1553" s="18">
        <f>IF($Z1553="","",IF(AND(DATE($AD1553,4,1)&gt;=$AE1553,DATE($AD1553,4,1)&lt;=$AF1553),ROUND($AG1553,2),0))</f>
        <v/>
      </c>
      <c r="N1553" s="18">
        <f>IF($Z1553="","",IF(AND(DATE($AD1553,5,1)&gt;=$AE1553,DATE($AD1553,5,1)&lt;=$AF1553),ROUND($AG1553,2),0))</f>
        <v/>
      </c>
      <c r="O1553" s="18">
        <f>IF($Z1553="","",IF(AND(DATE($AD1553,6,1)&gt;=$AE1553,DATE($AD1553,6,1)&lt;=$AF1553),ROUND($AG1553,2),0))</f>
        <v/>
      </c>
      <c r="P1553" s="18">
        <f>IF($Z1553="","",IF(AND(DATE($AD1553,7,1)&gt;=$AE1553,DATE($AD1553,7,1)&lt;=$AF1553),ROUND($AG1553,2),0))</f>
        <v/>
      </c>
      <c r="Q1553" s="18">
        <f>IF($Z1553="","",IF(AND(DATE($AD1553,8,1)&gt;=$AE1553,DATE($AD1553,8,1)&lt;=$AF1553),ROUND($AG1553,2),0))</f>
        <v/>
      </c>
      <c r="R1553" s="18">
        <f>IF($Z1553="","",IF(AND(DATE($AD1553,9,1)&gt;=$AE1553,DATE($AD1553,9,1)&lt;=$AF1553),ROUND($AG1553,2),0))</f>
        <v/>
      </c>
      <c r="S1553" s="18">
        <f>IF($Z1553="","",IF(AND(DATE($AD1553,10,1)&gt;=$AE1553,DATE($AD1553,10,1)&lt;=$AF1553),ROUND($AG1553,2),0))</f>
        <v/>
      </c>
      <c r="T1553" s="18">
        <f>IF($Z1553="","",IF(AND(DATE($AD1553,11,1)&gt;=$AE1553,DATE($AD1553,11,1)&lt;=$AF1553),ROUND($AG1553,2),0))</f>
        <v/>
      </c>
      <c r="U1553" s="18">
        <f>IF($Z1553="","",IF(AND(DATE($AD1553,12,1)&gt;=$AE1553,DATE($AD1553,12,1)&lt;=$AF1553),ROUND($AG1553,2),0))</f>
        <v/>
      </c>
      <c r="V1553" s="7">
        <f>IF($Z1553="C","Generated from "&amp;INDEX(Contracts!$A$2:$A$151,$AB1553),IF($Z1553="A","Generated from "&amp;INDEX(Fixed_Assets!$A$2:$A$201,$AB1553),IF($Z1553="F","Generated from "&amp;INDEX(FTE_Allocation!$A$2:$A$201,$AB1553),"")))</f>
        <v/>
      </c>
      <c r="X1553" s="19">
        <f>IF($Z1553="","",SUM(J1553:U1553))</f>
        <v/>
      </c>
      <c r="Y1553" s="20">
        <f>ROW()-1</f>
        <v/>
      </c>
      <c r="Z1553" s="20">
        <f>IF($Y1553&lt;=Settings!$B$4*3,"C",IF($Y1553&lt;=(Settings!$B$4+Settings!$B$5)*3,"A",IF($Y1553&lt;=(Settings!$B$4+Settings!$B$5+Settings!$B$6)*3,"F","")))</f>
        <v/>
      </c>
      <c r="AA1553" s="20">
        <f>IF($Z1553="C",$Y1553,IF($Z1553="A",$Y1553-Settings!$B$4*3,IF($Z1553="F",$Y1553-(Settings!$B$4+Settings!$B$5)*3,"")))</f>
        <v/>
      </c>
      <c r="AB1553" s="20">
        <f>IF($Z1553="","",INT(($AA1553-1)/3)+1)</f>
        <v/>
      </c>
      <c r="AC1553" s="20">
        <f>IF($Z1553="","",MOD($AA1553-1,3)+1)</f>
        <v/>
      </c>
      <c r="AD1553" s="20">
        <f>IF($Z1553="","",Settings!$B$2+$AC1553-1)</f>
        <v/>
      </c>
      <c r="AE1553" s="21">
        <f>IF($Z1553="C",DATE(YEAR(INDEX(Contracts!$J$2:$J$151,$AB1553)),MONTH(INDEX(Contracts!$J$2:$J$151,$AB1553)),1),IF($Z1553="A",DATE(YEAR(INDEX(Fixed_Assets!$G$2:$G$201,$AB1553)),MONTH(INDEX(Fixed_Assets!$G$2:$G$201,$AB1553)),1),IF($Z1553="F",DATE(YEAR(MAX(N(INDEX(Workforce!$I$2:$I$151,MATCH(INDEX(FTE_Allocation!$A$2:$A$201,$AB1553),Workforce!$A$2:$A$151,0))),N(INDEX(FTE_Allocation!$I$2:$I$201,$AB1553)))),MONTH(MAX(N(INDEX(Workforce!$I$2:$I$151,MATCH(INDEX(FTE_Allocation!$A$2:$A$201,$AB1553),Workforce!$A$2:$A$151,0))),N(INDEX(FTE_Allocation!$I$2:$I$201,$AB1553)))),1),"")))</f>
        <v/>
      </c>
      <c r="AF1553" s="21">
        <f>IF($Z1553="C",IF(INDEX(Contracts!$I$2:$I$151,$AB1553)="PREPAID",EDATE(DATE(YEAR(INDEX(Contracts!$J$2:$J$151,$AB1553)),MONTH(INDEX(Contracts!$J$2:$J$151,$AB1553)),1),IF(INDEX(Contracts!$N$2:$N$151,$AB1553)="",12,INDEX(Contracts!$N$2:$N$151,$AB1553))-1),IF(INDEX(Contracts!$I$2:$I$151,$AB1553)="MONTHLY",IF(INDEX(Contracts!$K$2:$K$151,$AB1553)="",2958101,INDEX(Contracts!$K$2:$K$151,$AB1553)),0)),IF($Z1553="A",EDATE(DATE(YEAR(INDEX(Fixed_Assets!$G$2:$G$201,$AB1553)),MONTH(INDEX(Fixed_Assets!$G$2:$G$201,$AB1553)),1),INDEX(Fixed_Assets!$J$2:$J$201,$AB1553)-1),IF($Z1553="F",MIN(IF(INDEX(Workforce!$J$2:$J$151,MATCH(INDEX(FTE_Allocation!$A$2:$A$201,$AB1553),Workforce!$A$2:$A$151,0))="",2958101,INDEX(Workforce!$J$2:$J$151,MATCH(INDEX(FTE_Allocation!$A$2:$A$201,$AB1553),Workforce!$A$2:$A$151,0))),IF(INDEX(FTE_Allocation!$J$2:$J$201,$AB1553)="",2958101,INDEX(FTE_Allocation!$J$2:$J$201,$AB1553))),"")))</f>
        <v/>
      </c>
      <c r="AG1553" s="19">
        <f>IF($Z1553="C",IF(INDEX(Contracts!$I$2:$I$151,$AB1553)="PREPAID",INDEX(Contracts!$M$2:$M$151,$AB1553)/IF(INDEX(Contracts!$N$2:$N$151,$AB1553)="",12,INDEX(Contracts!$N$2:$N$151,$AB1553)),IF(INDEX(Contracts!$I$2:$I$151,$AB1553)="MONTHLY",INDEX(Contracts!$M$2:$M$151,$AB1553),0))*(1-N(INDEX(Contracts!$O$2:$O$151,$AB1553))),IF($Z1553="A",INDEX(Fixed_Assets!$H$2:$H$201,$AB1553)/INDEX(Fixed_Assets!$J$2:$J$201,$AB1553),IF($Z1553="F",INDEX(Workforce!$F$2:$F$151,MATCH(INDEX(FTE_Allocation!$A$2:$A$201,$AB1553),Workforce!$A$2:$A$151,0))*N(INDEX(FTE_Allocation!$F$2:$H$201,$AB1553,$AC1553)),"")))</f>
        <v/>
      </c>
    </row>
    <row r="1554">
      <c r="A1554" s="7">
        <f>IF($Z1554="","",$AD1554)</f>
        <v/>
      </c>
      <c r="B1554" s="7">
        <f>IF($Z1554="C",INDEX(Contracts!$D$2:$D$151,$AB1554)&amp;"",IF($Z1554="A",INDEX(Fixed_Assets!$C$2:$C$201,$AB1554)&amp;"",IF($Z1554="F",INDEX(Workforce!$B$2:$B$151,MATCH(INDEX(FTE_Allocation!$A$2:$A$201,$AB1554),Workforce!$A$2:$A$151,0))&amp;"","")))</f>
        <v/>
      </c>
      <c r="C1554" s="7">
        <f>IF($Z1554="C",INDEX(Contracts!$E$2:$E$151,$AB1554)&amp;"",IF($Z1554="A",INDEX(Fixed_Assets!$D$2:$D$201,$AB1554)&amp;"",IF($Z1554="F",INDEX(FTE_Allocation!$C$2:$C$201,$AB1554)&amp;"","")))</f>
        <v/>
      </c>
      <c r="D1554" s="7">
        <f>IF($Z1554="C",INDEX(Contracts!$B$2:$B$151,$AB1554)&amp;"",IF($Z1554="A",INDEX(Fixed_Assets!$B$2:$B$201,$AB1554)&amp;"",IF($Z1554="F",INDEX(FTE_Allocation!$B$2:$B$201,$AB1554)&amp;"","")))</f>
        <v/>
      </c>
      <c r="E1554" s="7">
        <f>IF($Z1554="C",INDEX(Contracts!$P$2:$P$151,$AB1554)&amp;"",IF($Z1554="A",INDEX(Fixed_Assets!$K$2:$K$201,$AB1554)&amp;"",IF($Z1554="F",IF(INDEX(FTE_Allocation!$D$2:$D$201,$AB1554)="PROJECT",IFERROR(INDEX(Projects!$D:$D,MATCH(INDEX(FTE_Allocation!$E$2:$E$201,$AB1554),Projects!$A:$A,0))&amp;"","#PROJECT?"),INDEX(FTE_Allocation!$E$2:$E$201,$AB1554)&amp;""),"")))</f>
        <v/>
      </c>
      <c r="F1554" s="7">
        <f>IF($Z1554="C",INDEX(Contracts!$Q$2:$Q$151,$AB1554)&amp;"",IF($Z1554="A",INDEX(Fixed_Assets!$L$2:$L$201,$AB1554)&amp;"",IF($Z1554="F",INDEX(Workforce!$K$2:$K$151,MATCH(INDEX(FTE_Allocation!$A$2:$A$201,$AB1554),Workforce!$A$2:$A$151,0))&amp;"","")))</f>
        <v/>
      </c>
      <c r="G1554" s="7">
        <f>IF($Z1554="C",INDEX(Contracts!$F$2:$F$151,$AB1554)&amp;" / "&amp;INDEX(Contracts!$G$2:$G$151,$AB1554),IF($Z1554="A",INDEX(Fixed_Assets!$E$2:$E$201,$AB1554)&amp;"",IF($Z1554="F","Personnel "&amp;INDEX(FTE_Allocation!$A$2:$A$201,$AB1554)&amp;IF(INDEX(FTE_Allocation!$D$2:$D$201,$AB1554)="PROJECT"," ("&amp;INDEX(FTE_Allocation!$E$2:$E$201,$AB1554)&amp;")",""),"")))</f>
        <v/>
      </c>
      <c r="H1554" s="7">
        <f>IF($Z1554="C","CONTRACT",IF($Z1554="A","ASSET",IF($Z1554="F","WORKFORCE","")))</f>
        <v/>
      </c>
      <c r="I1554" s="7">
        <f>IF($Z1554="C",INDEX(Contracts!$L$2:$L$151,$AB1554)&amp;"",IF($Z1554="A",INDEX(Fixed_Assets!$I$2:$I$201,$AB1554)&amp;"",IF($Z1554="F",INDEX(Workforce!$G$2:$G$151,MATCH(INDEX(FTE_Allocation!$A$2:$A$201,$AB1554),Workforce!$A$2:$A$151,0))&amp;"","")))</f>
        <v/>
      </c>
      <c r="J1554" s="18">
        <f>IF($Z1554="","",IF(AND(DATE($AD1554,1,1)&gt;=$AE1554,DATE($AD1554,1,1)&lt;=$AF1554),ROUND($AG1554,2),0))</f>
        <v/>
      </c>
      <c r="K1554" s="18">
        <f>IF($Z1554="","",IF(AND(DATE($AD1554,2,1)&gt;=$AE1554,DATE($AD1554,2,1)&lt;=$AF1554),ROUND($AG1554,2),0))</f>
        <v/>
      </c>
      <c r="L1554" s="18">
        <f>IF($Z1554="","",IF(AND(DATE($AD1554,3,1)&gt;=$AE1554,DATE($AD1554,3,1)&lt;=$AF1554),ROUND($AG1554,2),0))</f>
        <v/>
      </c>
      <c r="M1554" s="18">
        <f>IF($Z1554="","",IF(AND(DATE($AD1554,4,1)&gt;=$AE1554,DATE($AD1554,4,1)&lt;=$AF1554),ROUND($AG1554,2),0))</f>
        <v/>
      </c>
      <c r="N1554" s="18">
        <f>IF($Z1554="","",IF(AND(DATE($AD1554,5,1)&gt;=$AE1554,DATE($AD1554,5,1)&lt;=$AF1554),ROUND($AG1554,2),0))</f>
        <v/>
      </c>
      <c r="O1554" s="18">
        <f>IF($Z1554="","",IF(AND(DATE($AD1554,6,1)&gt;=$AE1554,DATE($AD1554,6,1)&lt;=$AF1554),ROUND($AG1554,2),0))</f>
        <v/>
      </c>
      <c r="P1554" s="18">
        <f>IF($Z1554="","",IF(AND(DATE($AD1554,7,1)&gt;=$AE1554,DATE($AD1554,7,1)&lt;=$AF1554),ROUND($AG1554,2),0))</f>
        <v/>
      </c>
      <c r="Q1554" s="18">
        <f>IF($Z1554="","",IF(AND(DATE($AD1554,8,1)&gt;=$AE1554,DATE($AD1554,8,1)&lt;=$AF1554),ROUND($AG1554,2),0))</f>
        <v/>
      </c>
      <c r="R1554" s="18">
        <f>IF($Z1554="","",IF(AND(DATE($AD1554,9,1)&gt;=$AE1554,DATE($AD1554,9,1)&lt;=$AF1554),ROUND($AG1554,2),0))</f>
        <v/>
      </c>
      <c r="S1554" s="18">
        <f>IF($Z1554="","",IF(AND(DATE($AD1554,10,1)&gt;=$AE1554,DATE($AD1554,10,1)&lt;=$AF1554),ROUND($AG1554,2),0))</f>
        <v/>
      </c>
      <c r="T1554" s="18">
        <f>IF($Z1554="","",IF(AND(DATE($AD1554,11,1)&gt;=$AE1554,DATE($AD1554,11,1)&lt;=$AF1554),ROUND($AG1554,2),0))</f>
        <v/>
      </c>
      <c r="U1554" s="18">
        <f>IF($Z1554="","",IF(AND(DATE($AD1554,12,1)&gt;=$AE1554,DATE($AD1554,12,1)&lt;=$AF1554),ROUND($AG1554,2),0))</f>
        <v/>
      </c>
      <c r="V1554" s="7">
        <f>IF($Z1554="C","Generated from "&amp;INDEX(Contracts!$A$2:$A$151,$AB1554),IF($Z1554="A","Generated from "&amp;INDEX(Fixed_Assets!$A$2:$A$201,$AB1554),IF($Z1554="F","Generated from "&amp;INDEX(FTE_Allocation!$A$2:$A$201,$AB1554),"")))</f>
        <v/>
      </c>
      <c r="X1554" s="19">
        <f>IF($Z1554="","",SUM(J1554:U1554))</f>
        <v/>
      </c>
      <c r="Y1554" s="20">
        <f>ROW()-1</f>
        <v/>
      </c>
      <c r="Z1554" s="20">
        <f>IF($Y1554&lt;=Settings!$B$4*3,"C",IF($Y1554&lt;=(Settings!$B$4+Settings!$B$5)*3,"A",IF($Y1554&lt;=(Settings!$B$4+Settings!$B$5+Settings!$B$6)*3,"F","")))</f>
        <v/>
      </c>
      <c r="AA1554" s="20">
        <f>IF($Z1554="C",$Y1554,IF($Z1554="A",$Y1554-Settings!$B$4*3,IF($Z1554="F",$Y1554-(Settings!$B$4+Settings!$B$5)*3,"")))</f>
        <v/>
      </c>
      <c r="AB1554" s="20">
        <f>IF($Z1554="","",INT(($AA1554-1)/3)+1)</f>
        <v/>
      </c>
      <c r="AC1554" s="20">
        <f>IF($Z1554="","",MOD($AA1554-1,3)+1)</f>
        <v/>
      </c>
      <c r="AD1554" s="20">
        <f>IF($Z1554="","",Settings!$B$2+$AC1554-1)</f>
        <v/>
      </c>
      <c r="AE1554" s="21">
        <f>IF($Z1554="C",DATE(YEAR(INDEX(Contracts!$J$2:$J$151,$AB1554)),MONTH(INDEX(Contracts!$J$2:$J$151,$AB1554)),1),IF($Z1554="A",DATE(YEAR(INDEX(Fixed_Assets!$G$2:$G$201,$AB1554)),MONTH(INDEX(Fixed_Assets!$G$2:$G$201,$AB1554)),1),IF($Z1554="F",DATE(YEAR(MAX(N(INDEX(Workforce!$I$2:$I$151,MATCH(INDEX(FTE_Allocation!$A$2:$A$201,$AB1554),Workforce!$A$2:$A$151,0))),N(INDEX(FTE_Allocation!$I$2:$I$201,$AB1554)))),MONTH(MAX(N(INDEX(Workforce!$I$2:$I$151,MATCH(INDEX(FTE_Allocation!$A$2:$A$201,$AB1554),Workforce!$A$2:$A$151,0))),N(INDEX(FTE_Allocation!$I$2:$I$201,$AB1554)))),1),"")))</f>
        <v/>
      </c>
      <c r="AF1554" s="21">
        <f>IF($Z1554="C",IF(INDEX(Contracts!$I$2:$I$151,$AB1554)="PREPAID",EDATE(DATE(YEAR(INDEX(Contracts!$J$2:$J$151,$AB1554)),MONTH(INDEX(Contracts!$J$2:$J$151,$AB1554)),1),IF(INDEX(Contracts!$N$2:$N$151,$AB1554)="",12,INDEX(Contracts!$N$2:$N$151,$AB1554))-1),IF(INDEX(Contracts!$I$2:$I$151,$AB1554)="MONTHLY",IF(INDEX(Contracts!$K$2:$K$151,$AB1554)="",2958101,INDEX(Contracts!$K$2:$K$151,$AB1554)),0)),IF($Z1554="A",EDATE(DATE(YEAR(INDEX(Fixed_Assets!$G$2:$G$201,$AB1554)),MONTH(INDEX(Fixed_Assets!$G$2:$G$201,$AB1554)),1),INDEX(Fixed_Assets!$J$2:$J$201,$AB1554)-1),IF($Z1554="F",MIN(IF(INDEX(Workforce!$J$2:$J$151,MATCH(INDEX(FTE_Allocation!$A$2:$A$201,$AB1554),Workforce!$A$2:$A$151,0))="",2958101,INDEX(Workforce!$J$2:$J$151,MATCH(INDEX(FTE_Allocation!$A$2:$A$201,$AB1554),Workforce!$A$2:$A$151,0))),IF(INDEX(FTE_Allocation!$J$2:$J$201,$AB1554)="",2958101,INDEX(FTE_Allocation!$J$2:$J$201,$AB1554))),"")))</f>
        <v/>
      </c>
      <c r="AG1554" s="19">
        <f>IF($Z1554="C",IF(INDEX(Contracts!$I$2:$I$151,$AB1554)="PREPAID",INDEX(Contracts!$M$2:$M$151,$AB1554)/IF(INDEX(Contracts!$N$2:$N$151,$AB1554)="",12,INDEX(Contracts!$N$2:$N$151,$AB1554)),IF(INDEX(Contracts!$I$2:$I$151,$AB1554)="MONTHLY",INDEX(Contracts!$M$2:$M$151,$AB1554),0))*(1-N(INDEX(Contracts!$O$2:$O$151,$AB1554))),IF($Z1554="A",INDEX(Fixed_Assets!$H$2:$H$201,$AB1554)/INDEX(Fixed_Assets!$J$2:$J$201,$AB1554),IF($Z1554="F",INDEX(Workforce!$F$2:$F$151,MATCH(INDEX(FTE_Allocation!$A$2:$A$201,$AB1554),Workforce!$A$2:$A$151,0))*N(INDEX(FTE_Allocation!$F$2:$H$201,$AB1554,$AC1554)),"")))</f>
        <v/>
      </c>
    </row>
    <row r="1555">
      <c r="A1555" s="7">
        <f>IF($Z1555="","",$AD1555)</f>
        <v/>
      </c>
      <c r="B1555" s="7">
        <f>IF($Z1555="C",INDEX(Contracts!$D$2:$D$151,$AB1555)&amp;"",IF($Z1555="A",INDEX(Fixed_Assets!$C$2:$C$201,$AB1555)&amp;"",IF($Z1555="F",INDEX(Workforce!$B$2:$B$151,MATCH(INDEX(FTE_Allocation!$A$2:$A$201,$AB1555),Workforce!$A$2:$A$151,0))&amp;"","")))</f>
        <v/>
      </c>
      <c r="C1555" s="7">
        <f>IF($Z1555="C",INDEX(Contracts!$E$2:$E$151,$AB1555)&amp;"",IF($Z1555="A",INDEX(Fixed_Assets!$D$2:$D$201,$AB1555)&amp;"",IF($Z1555="F",INDEX(FTE_Allocation!$C$2:$C$201,$AB1555)&amp;"","")))</f>
        <v/>
      </c>
      <c r="D1555" s="7">
        <f>IF($Z1555="C",INDEX(Contracts!$B$2:$B$151,$AB1555)&amp;"",IF($Z1555="A",INDEX(Fixed_Assets!$B$2:$B$201,$AB1555)&amp;"",IF($Z1555="F",INDEX(FTE_Allocation!$B$2:$B$201,$AB1555)&amp;"","")))</f>
        <v/>
      </c>
      <c r="E1555" s="7">
        <f>IF($Z1555="C",INDEX(Contracts!$P$2:$P$151,$AB1555)&amp;"",IF($Z1555="A",INDEX(Fixed_Assets!$K$2:$K$201,$AB1555)&amp;"",IF($Z1555="F",IF(INDEX(FTE_Allocation!$D$2:$D$201,$AB1555)="PROJECT",IFERROR(INDEX(Projects!$D:$D,MATCH(INDEX(FTE_Allocation!$E$2:$E$201,$AB1555),Projects!$A:$A,0))&amp;"","#PROJECT?"),INDEX(FTE_Allocation!$E$2:$E$201,$AB1555)&amp;""),"")))</f>
        <v/>
      </c>
      <c r="F1555" s="7">
        <f>IF($Z1555="C",INDEX(Contracts!$Q$2:$Q$151,$AB1555)&amp;"",IF($Z1555="A",INDEX(Fixed_Assets!$L$2:$L$201,$AB1555)&amp;"",IF($Z1555="F",INDEX(Workforce!$K$2:$K$151,MATCH(INDEX(FTE_Allocation!$A$2:$A$201,$AB1555),Workforce!$A$2:$A$151,0))&amp;"","")))</f>
        <v/>
      </c>
      <c r="G1555" s="7">
        <f>IF($Z1555="C",INDEX(Contracts!$F$2:$F$151,$AB1555)&amp;" / "&amp;INDEX(Contracts!$G$2:$G$151,$AB1555),IF($Z1555="A",INDEX(Fixed_Assets!$E$2:$E$201,$AB1555)&amp;"",IF($Z1555="F","Personnel "&amp;INDEX(FTE_Allocation!$A$2:$A$201,$AB1555)&amp;IF(INDEX(FTE_Allocation!$D$2:$D$201,$AB1555)="PROJECT"," ("&amp;INDEX(FTE_Allocation!$E$2:$E$201,$AB1555)&amp;")",""),"")))</f>
        <v/>
      </c>
      <c r="H1555" s="7">
        <f>IF($Z1555="C","CONTRACT",IF($Z1555="A","ASSET",IF($Z1555="F","WORKFORCE","")))</f>
        <v/>
      </c>
      <c r="I1555" s="7">
        <f>IF($Z1555="C",INDEX(Contracts!$L$2:$L$151,$AB1555)&amp;"",IF($Z1555="A",INDEX(Fixed_Assets!$I$2:$I$201,$AB1555)&amp;"",IF($Z1555="F",INDEX(Workforce!$G$2:$G$151,MATCH(INDEX(FTE_Allocation!$A$2:$A$201,$AB1555),Workforce!$A$2:$A$151,0))&amp;"","")))</f>
        <v/>
      </c>
      <c r="J1555" s="18">
        <f>IF($Z1555="","",IF(AND(DATE($AD1555,1,1)&gt;=$AE1555,DATE($AD1555,1,1)&lt;=$AF1555),ROUND($AG1555,2),0))</f>
        <v/>
      </c>
      <c r="K1555" s="18">
        <f>IF($Z1555="","",IF(AND(DATE($AD1555,2,1)&gt;=$AE1555,DATE($AD1555,2,1)&lt;=$AF1555),ROUND($AG1555,2),0))</f>
        <v/>
      </c>
      <c r="L1555" s="18">
        <f>IF($Z1555="","",IF(AND(DATE($AD1555,3,1)&gt;=$AE1555,DATE($AD1555,3,1)&lt;=$AF1555),ROUND($AG1555,2),0))</f>
        <v/>
      </c>
      <c r="M1555" s="18">
        <f>IF($Z1555="","",IF(AND(DATE($AD1555,4,1)&gt;=$AE1555,DATE($AD1555,4,1)&lt;=$AF1555),ROUND($AG1555,2),0))</f>
        <v/>
      </c>
      <c r="N1555" s="18">
        <f>IF($Z1555="","",IF(AND(DATE($AD1555,5,1)&gt;=$AE1555,DATE($AD1555,5,1)&lt;=$AF1555),ROUND($AG1555,2),0))</f>
        <v/>
      </c>
      <c r="O1555" s="18">
        <f>IF($Z1555="","",IF(AND(DATE($AD1555,6,1)&gt;=$AE1555,DATE($AD1555,6,1)&lt;=$AF1555),ROUND($AG1555,2),0))</f>
        <v/>
      </c>
      <c r="P1555" s="18">
        <f>IF($Z1555="","",IF(AND(DATE($AD1555,7,1)&gt;=$AE1555,DATE($AD1555,7,1)&lt;=$AF1555),ROUND($AG1555,2),0))</f>
        <v/>
      </c>
      <c r="Q1555" s="18">
        <f>IF($Z1555="","",IF(AND(DATE($AD1555,8,1)&gt;=$AE1555,DATE($AD1555,8,1)&lt;=$AF1555),ROUND($AG1555,2),0))</f>
        <v/>
      </c>
      <c r="R1555" s="18">
        <f>IF($Z1555="","",IF(AND(DATE($AD1555,9,1)&gt;=$AE1555,DATE($AD1555,9,1)&lt;=$AF1555),ROUND($AG1555,2),0))</f>
        <v/>
      </c>
      <c r="S1555" s="18">
        <f>IF($Z1555="","",IF(AND(DATE($AD1555,10,1)&gt;=$AE1555,DATE($AD1555,10,1)&lt;=$AF1555),ROUND($AG1555,2),0))</f>
        <v/>
      </c>
      <c r="T1555" s="18">
        <f>IF($Z1555="","",IF(AND(DATE($AD1555,11,1)&gt;=$AE1555,DATE($AD1555,11,1)&lt;=$AF1555),ROUND($AG1555,2),0))</f>
        <v/>
      </c>
      <c r="U1555" s="18">
        <f>IF($Z1555="","",IF(AND(DATE($AD1555,12,1)&gt;=$AE1555,DATE($AD1555,12,1)&lt;=$AF1555),ROUND($AG1555,2),0))</f>
        <v/>
      </c>
      <c r="V1555" s="7">
        <f>IF($Z1555="C","Generated from "&amp;INDEX(Contracts!$A$2:$A$151,$AB1555),IF($Z1555="A","Generated from "&amp;INDEX(Fixed_Assets!$A$2:$A$201,$AB1555),IF($Z1555="F","Generated from "&amp;INDEX(FTE_Allocation!$A$2:$A$201,$AB1555),"")))</f>
        <v/>
      </c>
      <c r="X1555" s="19">
        <f>IF($Z1555="","",SUM(J1555:U1555))</f>
        <v/>
      </c>
      <c r="Y1555" s="20">
        <f>ROW()-1</f>
        <v/>
      </c>
      <c r="Z1555" s="20">
        <f>IF($Y1555&lt;=Settings!$B$4*3,"C",IF($Y1555&lt;=(Settings!$B$4+Settings!$B$5)*3,"A",IF($Y1555&lt;=(Settings!$B$4+Settings!$B$5+Settings!$B$6)*3,"F","")))</f>
        <v/>
      </c>
      <c r="AA1555" s="20">
        <f>IF($Z1555="C",$Y1555,IF($Z1555="A",$Y1555-Settings!$B$4*3,IF($Z1555="F",$Y1555-(Settings!$B$4+Settings!$B$5)*3,"")))</f>
        <v/>
      </c>
      <c r="AB1555" s="20">
        <f>IF($Z1555="","",INT(($AA1555-1)/3)+1)</f>
        <v/>
      </c>
      <c r="AC1555" s="20">
        <f>IF($Z1555="","",MOD($AA1555-1,3)+1)</f>
        <v/>
      </c>
      <c r="AD1555" s="20">
        <f>IF($Z1555="","",Settings!$B$2+$AC1555-1)</f>
        <v/>
      </c>
      <c r="AE1555" s="21">
        <f>IF($Z1555="C",DATE(YEAR(INDEX(Contracts!$J$2:$J$151,$AB1555)),MONTH(INDEX(Contracts!$J$2:$J$151,$AB1555)),1),IF($Z1555="A",DATE(YEAR(INDEX(Fixed_Assets!$G$2:$G$201,$AB1555)),MONTH(INDEX(Fixed_Assets!$G$2:$G$201,$AB1555)),1),IF($Z1555="F",DATE(YEAR(MAX(N(INDEX(Workforce!$I$2:$I$151,MATCH(INDEX(FTE_Allocation!$A$2:$A$201,$AB1555),Workforce!$A$2:$A$151,0))),N(INDEX(FTE_Allocation!$I$2:$I$201,$AB1555)))),MONTH(MAX(N(INDEX(Workforce!$I$2:$I$151,MATCH(INDEX(FTE_Allocation!$A$2:$A$201,$AB1555),Workforce!$A$2:$A$151,0))),N(INDEX(FTE_Allocation!$I$2:$I$201,$AB1555)))),1),"")))</f>
        <v/>
      </c>
      <c r="AF1555" s="21">
        <f>IF($Z1555="C",IF(INDEX(Contracts!$I$2:$I$151,$AB1555)="PREPAID",EDATE(DATE(YEAR(INDEX(Contracts!$J$2:$J$151,$AB1555)),MONTH(INDEX(Contracts!$J$2:$J$151,$AB1555)),1),IF(INDEX(Contracts!$N$2:$N$151,$AB1555)="",12,INDEX(Contracts!$N$2:$N$151,$AB1555))-1),IF(INDEX(Contracts!$I$2:$I$151,$AB1555)="MONTHLY",IF(INDEX(Contracts!$K$2:$K$151,$AB1555)="",2958101,INDEX(Contracts!$K$2:$K$151,$AB1555)),0)),IF($Z1555="A",EDATE(DATE(YEAR(INDEX(Fixed_Assets!$G$2:$G$201,$AB1555)),MONTH(INDEX(Fixed_Assets!$G$2:$G$201,$AB1555)),1),INDEX(Fixed_Assets!$J$2:$J$201,$AB1555)-1),IF($Z1555="F",MIN(IF(INDEX(Workforce!$J$2:$J$151,MATCH(INDEX(FTE_Allocation!$A$2:$A$201,$AB1555),Workforce!$A$2:$A$151,0))="",2958101,INDEX(Workforce!$J$2:$J$151,MATCH(INDEX(FTE_Allocation!$A$2:$A$201,$AB1555),Workforce!$A$2:$A$151,0))),IF(INDEX(FTE_Allocation!$J$2:$J$201,$AB1555)="",2958101,INDEX(FTE_Allocation!$J$2:$J$201,$AB1555))),"")))</f>
        <v/>
      </c>
      <c r="AG1555" s="19">
        <f>IF($Z1555="C",IF(INDEX(Contracts!$I$2:$I$151,$AB1555)="PREPAID",INDEX(Contracts!$M$2:$M$151,$AB1555)/IF(INDEX(Contracts!$N$2:$N$151,$AB1555)="",12,INDEX(Contracts!$N$2:$N$151,$AB1555)),IF(INDEX(Contracts!$I$2:$I$151,$AB1555)="MONTHLY",INDEX(Contracts!$M$2:$M$151,$AB1555),0))*(1-N(INDEX(Contracts!$O$2:$O$151,$AB1555))),IF($Z1555="A",INDEX(Fixed_Assets!$H$2:$H$201,$AB1555)/INDEX(Fixed_Assets!$J$2:$J$201,$AB1555),IF($Z1555="F",INDEX(Workforce!$F$2:$F$151,MATCH(INDEX(FTE_Allocation!$A$2:$A$201,$AB1555),Workforce!$A$2:$A$151,0))*N(INDEX(FTE_Allocation!$F$2:$H$201,$AB1555,$AC1555)),"")))</f>
        <v/>
      </c>
    </row>
    <row r="1556">
      <c r="A1556" s="7">
        <f>IF($Z1556="","",$AD1556)</f>
        <v/>
      </c>
      <c r="B1556" s="7">
        <f>IF($Z1556="C",INDEX(Contracts!$D$2:$D$151,$AB1556)&amp;"",IF($Z1556="A",INDEX(Fixed_Assets!$C$2:$C$201,$AB1556)&amp;"",IF($Z1556="F",INDEX(Workforce!$B$2:$B$151,MATCH(INDEX(FTE_Allocation!$A$2:$A$201,$AB1556),Workforce!$A$2:$A$151,0))&amp;"","")))</f>
        <v/>
      </c>
      <c r="C1556" s="7">
        <f>IF($Z1556="C",INDEX(Contracts!$E$2:$E$151,$AB1556)&amp;"",IF($Z1556="A",INDEX(Fixed_Assets!$D$2:$D$201,$AB1556)&amp;"",IF($Z1556="F",INDEX(FTE_Allocation!$C$2:$C$201,$AB1556)&amp;"","")))</f>
        <v/>
      </c>
      <c r="D1556" s="7">
        <f>IF($Z1556="C",INDEX(Contracts!$B$2:$B$151,$AB1556)&amp;"",IF($Z1556="A",INDEX(Fixed_Assets!$B$2:$B$201,$AB1556)&amp;"",IF($Z1556="F",INDEX(FTE_Allocation!$B$2:$B$201,$AB1556)&amp;"","")))</f>
        <v/>
      </c>
      <c r="E1556" s="7">
        <f>IF($Z1556="C",INDEX(Contracts!$P$2:$P$151,$AB1556)&amp;"",IF($Z1556="A",INDEX(Fixed_Assets!$K$2:$K$201,$AB1556)&amp;"",IF($Z1556="F",IF(INDEX(FTE_Allocation!$D$2:$D$201,$AB1556)="PROJECT",IFERROR(INDEX(Projects!$D:$D,MATCH(INDEX(FTE_Allocation!$E$2:$E$201,$AB1556),Projects!$A:$A,0))&amp;"","#PROJECT?"),INDEX(FTE_Allocation!$E$2:$E$201,$AB1556)&amp;""),"")))</f>
        <v/>
      </c>
      <c r="F1556" s="7">
        <f>IF($Z1556="C",INDEX(Contracts!$Q$2:$Q$151,$AB1556)&amp;"",IF($Z1556="A",INDEX(Fixed_Assets!$L$2:$L$201,$AB1556)&amp;"",IF($Z1556="F",INDEX(Workforce!$K$2:$K$151,MATCH(INDEX(FTE_Allocation!$A$2:$A$201,$AB1556),Workforce!$A$2:$A$151,0))&amp;"","")))</f>
        <v/>
      </c>
      <c r="G1556" s="7">
        <f>IF($Z1556="C",INDEX(Contracts!$F$2:$F$151,$AB1556)&amp;" / "&amp;INDEX(Contracts!$G$2:$G$151,$AB1556),IF($Z1556="A",INDEX(Fixed_Assets!$E$2:$E$201,$AB1556)&amp;"",IF($Z1556="F","Personnel "&amp;INDEX(FTE_Allocation!$A$2:$A$201,$AB1556)&amp;IF(INDEX(FTE_Allocation!$D$2:$D$201,$AB1556)="PROJECT"," ("&amp;INDEX(FTE_Allocation!$E$2:$E$201,$AB1556)&amp;")",""),"")))</f>
        <v/>
      </c>
      <c r="H1556" s="7">
        <f>IF($Z1556="C","CONTRACT",IF($Z1556="A","ASSET",IF($Z1556="F","WORKFORCE","")))</f>
        <v/>
      </c>
      <c r="I1556" s="7">
        <f>IF($Z1556="C",INDEX(Contracts!$L$2:$L$151,$AB1556)&amp;"",IF($Z1556="A",INDEX(Fixed_Assets!$I$2:$I$201,$AB1556)&amp;"",IF($Z1556="F",INDEX(Workforce!$G$2:$G$151,MATCH(INDEX(FTE_Allocation!$A$2:$A$201,$AB1556),Workforce!$A$2:$A$151,0))&amp;"","")))</f>
        <v/>
      </c>
      <c r="J1556" s="18">
        <f>IF($Z1556="","",IF(AND(DATE($AD1556,1,1)&gt;=$AE1556,DATE($AD1556,1,1)&lt;=$AF1556),ROUND($AG1556,2),0))</f>
        <v/>
      </c>
      <c r="K1556" s="18">
        <f>IF($Z1556="","",IF(AND(DATE($AD1556,2,1)&gt;=$AE1556,DATE($AD1556,2,1)&lt;=$AF1556),ROUND($AG1556,2),0))</f>
        <v/>
      </c>
      <c r="L1556" s="18">
        <f>IF($Z1556="","",IF(AND(DATE($AD1556,3,1)&gt;=$AE1556,DATE($AD1556,3,1)&lt;=$AF1556),ROUND($AG1556,2),0))</f>
        <v/>
      </c>
      <c r="M1556" s="18">
        <f>IF($Z1556="","",IF(AND(DATE($AD1556,4,1)&gt;=$AE1556,DATE($AD1556,4,1)&lt;=$AF1556),ROUND($AG1556,2),0))</f>
        <v/>
      </c>
      <c r="N1556" s="18">
        <f>IF($Z1556="","",IF(AND(DATE($AD1556,5,1)&gt;=$AE1556,DATE($AD1556,5,1)&lt;=$AF1556),ROUND($AG1556,2),0))</f>
        <v/>
      </c>
      <c r="O1556" s="18">
        <f>IF($Z1556="","",IF(AND(DATE($AD1556,6,1)&gt;=$AE1556,DATE($AD1556,6,1)&lt;=$AF1556),ROUND($AG1556,2),0))</f>
        <v/>
      </c>
      <c r="P1556" s="18">
        <f>IF($Z1556="","",IF(AND(DATE($AD1556,7,1)&gt;=$AE1556,DATE($AD1556,7,1)&lt;=$AF1556),ROUND($AG1556,2),0))</f>
        <v/>
      </c>
      <c r="Q1556" s="18">
        <f>IF($Z1556="","",IF(AND(DATE($AD1556,8,1)&gt;=$AE1556,DATE($AD1556,8,1)&lt;=$AF1556),ROUND($AG1556,2),0))</f>
        <v/>
      </c>
      <c r="R1556" s="18">
        <f>IF($Z1556="","",IF(AND(DATE($AD1556,9,1)&gt;=$AE1556,DATE($AD1556,9,1)&lt;=$AF1556),ROUND($AG1556,2),0))</f>
        <v/>
      </c>
      <c r="S1556" s="18">
        <f>IF($Z1556="","",IF(AND(DATE($AD1556,10,1)&gt;=$AE1556,DATE($AD1556,10,1)&lt;=$AF1556),ROUND($AG1556,2),0))</f>
        <v/>
      </c>
      <c r="T1556" s="18">
        <f>IF($Z1556="","",IF(AND(DATE($AD1556,11,1)&gt;=$AE1556,DATE($AD1556,11,1)&lt;=$AF1556),ROUND($AG1556,2),0))</f>
        <v/>
      </c>
      <c r="U1556" s="18">
        <f>IF($Z1556="","",IF(AND(DATE($AD1556,12,1)&gt;=$AE1556,DATE($AD1556,12,1)&lt;=$AF1556),ROUND($AG1556,2),0))</f>
        <v/>
      </c>
      <c r="V1556" s="7">
        <f>IF($Z1556="C","Generated from "&amp;INDEX(Contracts!$A$2:$A$151,$AB1556),IF($Z1556="A","Generated from "&amp;INDEX(Fixed_Assets!$A$2:$A$201,$AB1556),IF($Z1556="F","Generated from "&amp;INDEX(FTE_Allocation!$A$2:$A$201,$AB1556),"")))</f>
        <v/>
      </c>
      <c r="X1556" s="19">
        <f>IF($Z1556="","",SUM(J1556:U1556))</f>
        <v/>
      </c>
      <c r="Y1556" s="20">
        <f>ROW()-1</f>
        <v/>
      </c>
      <c r="Z1556" s="20">
        <f>IF($Y1556&lt;=Settings!$B$4*3,"C",IF($Y1556&lt;=(Settings!$B$4+Settings!$B$5)*3,"A",IF($Y1556&lt;=(Settings!$B$4+Settings!$B$5+Settings!$B$6)*3,"F","")))</f>
        <v/>
      </c>
      <c r="AA1556" s="20">
        <f>IF($Z1556="C",$Y1556,IF($Z1556="A",$Y1556-Settings!$B$4*3,IF($Z1556="F",$Y1556-(Settings!$B$4+Settings!$B$5)*3,"")))</f>
        <v/>
      </c>
      <c r="AB1556" s="20">
        <f>IF($Z1556="","",INT(($AA1556-1)/3)+1)</f>
        <v/>
      </c>
      <c r="AC1556" s="20">
        <f>IF($Z1556="","",MOD($AA1556-1,3)+1)</f>
        <v/>
      </c>
      <c r="AD1556" s="20">
        <f>IF($Z1556="","",Settings!$B$2+$AC1556-1)</f>
        <v/>
      </c>
      <c r="AE1556" s="21">
        <f>IF($Z1556="C",DATE(YEAR(INDEX(Contracts!$J$2:$J$151,$AB1556)),MONTH(INDEX(Contracts!$J$2:$J$151,$AB1556)),1),IF($Z1556="A",DATE(YEAR(INDEX(Fixed_Assets!$G$2:$G$201,$AB1556)),MONTH(INDEX(Fixed_Assets!$G$2:$G$201,$AB1556)),1),IF($Z1556="F",DATE(YEAR(MAX(N(INDEX(Workforce!$I$2:$I$151,MATCH(INDEX(FTE_Allocation!$A$2:$A$201,$AB1556),Workforce!$A$2:$A$151,0))),N(INDEX(FTE_Allocation!$I$2:$I$201,$AB1556)))),MONTH(MAX(N(INDEX(Workforce!$I$2:$I$151,MATCH(INDEX(FTE_Allocation!$A$2:$A$201,$AB1556),Workforce!$A$2:$A$151,0))),N(INDEX(FTE_Allocation!$I$2:$I$201,$AB1556)))),1),"")))</f>
        <v/>
      </c>
      <c r="AF1556" s="21">
        <f>IF($Z1556="C",IF(INDEX(Contracts!$I$2:$I$151,$AB1556)="PREPAID",EDATE(DATE(YEAR(INDEX(Contracts!$J$2:$J$151,$AB1556)),MONTH(INDEX(Contracts!$J$2:$J$151,$AB1556)),1),IF(INDEX(Contracts!$N$2:$N$151,$AB1556)="",12,INDEX(Contracts!$N$2:$N$151,$AB1556))-1),IF(INDEX(Contracts!$I$2:$I$151,$AB1556)="MONTHLY",IF(INDEX(Contracts!$K$2:$K$151,$AB1556)="",2958101,INDEX(Contracts!$K$2:$K$151,$AB1556)),0)),IF($Z1556="A",EDATE(DATE(YEAR(INDEX(Fixed_Assets!$G$2:$G$201,$AB1556)),MONTH(INDEX(Fixed_Assets!$G$2:$G$201,$AB1556)),1),INDEX(Fixed_Assets!$J$2:$J$201,$AB1556)-1),IF($Z1556="F",MIN(IF(INDEX(Workforce!$J$2:$J$151,MATCH(INDEX(FTE_Allocation!$A$2:$A$201,$AB1556),Workforce!$A$2:$A$151,0))="",2958101,INDEX(Workforce!$J$2:$J$151,MATCH(INDEX(FTE_Allocation!$A$2:$A$201,$AB1556),Workforce!$A$2:$A$151,0))),IF(INDEX(FTE_Allocation!$J$2:$J$201,$AB1556)="",2958101,INDEX(FTE_Allocation!$J$2:$J$201,$AB1556))),"")))</f>
        <v/>
      </c>
      <c r="AG1556" s="19">
        <f>IF($Z1556="C",IF(INDEX(Contracts!$I$2:$I$151,$AB1556)="PREPAID",INDEX(Contracts!$M$2:$M$151,$AB1556)/IF(INDEX(Contracts!$N$2:$N$151,$AB1556)="",12,INDEX(Contracts!$N$2:$N$151,$AB1556)),IF(INDEX(Contracts!$I$2:$I$151,$AB1556)="MONTHLY",INDEX(Contracts!$M$2:$M$151,$AB1556),0))*(1-N(INDEX(Contracts!$O$2:$O$151,$AB1556))),IF($Z1556="A",INDEX(Fixed_Assets!$H$2:$H$201,$AB1556)/INDEX(Fixed_Assets!$J$2:$J$201,$AB1556),IF($Z1556="F",INDEX(Workforce!$F$2:$F$151,MATCH(INDEX(FTE_Allocation!$A$2:$A$201,$AB1556),Workforce!$A$2:$A$151,0))*N(INDEX(FTE_Allocation!$F$2:$H$201,$AB1556,$AC1556)),"")))</f>
        <v/>
      </c>
    </row>
    <row r="1557">
      <c r="A1557" s="7">
        <f>IF($Z1557="","",$AD1557)</f>
        <v/>
      </c>
      <c r="B1557" s="7">
        <f>IF($Z1557="C",INDEX(Contracts!$D$2:$D$151,$AB1557)&amp;"",IF($Z1557="A",INDEX(Fixed_Assets!$C$2:$C$201,$AB1557)&amp;"",IF($Z1557="F",INDEX(Workforce!$B$2:$B$151,MATCH(INDEX(FTE_Allocation!$A$2:$A$201,$AB1557),Workforce!$A$2:$A$151,0))&amp;"","")))</f>
        <v/>
      </c>
      <c r="C1557" s="7">
        <f>IF($Z1557="C",INDEX(Contracts!$E$2:$E$151,$AB1557)&amp;"",IF($Z1557="A",INDEX(Fixed_Assets!$D$2:$D$201,$AB1557)&amp;"",IF($Z1557="F",INDEX(FTE_Allocation!$C$2:$C$201,$AB1557)&amp;"","")))</f>
        <v/>
      </c>
      <c r="D1557" s="7">
        <f>IF($Z1557="C",INDEX(Contracts!$B$2:$B$151,$AB1557)&amp;"",IF($Z1557="A",INDEX(Fixed_Assets!$B$2:$B$201,$AB1557)&amp;"",IF($Z1557="F",INDEX(FTE_Allocation!$B$2:$B$201,$AB1557)&amp;"","")))</f>
        <v/>
      </c>
      <c r="E1557" s="7">
        <f>IF($Z1557="C",INDEX(Contracts!$P$2:$P$151,$AB1557)&amp;"",IF($Z1557="A",INDEX(Fixed_Assets!$K$2:$K$201,$AB1557)&amp;"",IF($Z1557="F",IF(INDEX(FTE_Allocation!$D$2:$D$201,$AB1557)="PROJECT",IFERROR(INDEX(Projects!$D:$D,MATCH(INDEX(FTE_Allocation!$E$2:$E$201,$AB1557),Projects!$A:$A,0))&amp;"","#PROJECT?"),INDEX(FTE_Allocation!$E$2:$E$201,$AB1557)&amp;""),"")))</f>
        <v/>
      </c>
      <c r="F1557" s="7">
        <f>IF($Z1557="C",INDEX(Contracts!$Q$2:$Q$151,$AB1557)&amp;"",IF($Z1557="A",INDEX(Fixed_Assets!$L$2:$L$201,$AB1557)&amp;"",IF($Z1557="F",INDEX(Workforce!$K$2:$K$151,MATCH(INDEX(FTE_Allocation!$A$2:$A$201,$AB1557),Workforce!$A$2:$A$151,0))&amp;"","")))</f>
        <v/>
      </c>
      <c r="G1557" s="7">
        <f>IF($Z1557="C",INDEX(Contracts!$F$2:$F$151,$AB1557)&amp;" / "&amp;INDEX(Contracts!$G$2:$G$151,$AB1557),IF($Z1557="A",INDEX(Fixed_Assets!$E$2:$E$201,$AB1557)&amp;"",IF($Z1557="F","Personnel "&amp;INDEX(FTE_Allocation!$A$2:$A$201,$AB1557)&amp;IF(INDEX(FTE_Allocation!$D$2:$D$201,$AB1557)="PROJECT"," ("&amp;INDEX(FTE_Allocation!$E$2:$E$201,$AB1557)&amp;")",""),"")))</f>
        <v/>
      </c>
      <c r="H1557" s="7">
        <f>IF($Z1557="C","CONTRACT",IF($Z1557="A","ASSET",IF($Z1557="F","WORKFORCE","")))</f>
        <v/>
      </c>
      <c r="I1557" s="7">
        <f>IF($Z1557="C",INDEX(Contracts!$L$2:$L$151,$AB1557)&amp;"",IF($Z1557="A",INDEX(Fixed_Assets!$I$2:$I$201,$AB1557)&amp;"",IF($Z1557="F",INDEX(Workforce!$G$2:$G$151,MATCH(INDEX(FTE_Allocation!$A$2:$A$201,$AB1557),Workforce!$A$2:$A$151,0))&amp;"","")))</f>
        <v/>
      </c>
      <c r="J1557" s="18">
        <f>IF($Z1557="","",IF(AND(DATE($AD1557,1,1)&gt;=$AE1557,DATE($AD1557,1,1)&lt;=$AF1557),ROUND($AG1557,2),0))</f>
        <v/>
      </c>
      <c r="K1557" s="18">
        <f>IF($Z1557="","",IF(AND(DATE($AD1557,2,1)&gt;=$AE1557,DATE($AD1557,2,1)&lt;=$AF1557),ROUND($AG1557,2),0))</f>
        <v/>
      </c>
      <c r="L1557" s="18">
        <f>IF($Z1557="","",IF(AND(DATE($AD1557,3,1)&gt;=$AE1557,DATE($AD1557,3,1)&lt;=$AF1557),ROUND($AG1557,2),0))</f>
        <v/>
      </c>
      <c r="M1557" s="18">
        <f>IF($Z1557="","",IF(AND(DATE($AD1557,4,1)&gt;=$AE1557,DATE($AD1557,4,1)&lt;=$AF1557),ROUND($AG1557,2),0))</f>
        <v/>
      </c>
      <c r="N1557" s="18">
        <f>IF($Z1557="","",IF(AND(DATE($AD1557,5,1)&gt;=$AE1557,DATE($AD1557,5,1)&lt;=$AF1557),ROUND($AG1557,2),0))</f>
        <v/>
      </c>
      <c r="O1557" s="18">
        <f>IF($Z1557="","",IF(AND(DATE($AD1557,6,1)&gt;=$AE1557,DATE($AD1557,6,1)&lt;=$AF1557),ROUND($AG1557,2),0))</f>
        <v/>
      </c>
      <c r="P1557" s="18">
        <f>IF($Z1557="","",IF(AND(DATE($AD1557,7,1)&gt;=$AE1557,DATE($AD1557,7,1)&lt;=$AF1557),ROUND($AG1557,2),0))</f>
        <v/>
      </c>
      <c r="Q1557" s="18">
        <f>IF($Z1557="","",IF(AND(DATE($AD1557,8,1)&gt;=$AE1557,DATE($AD1557,8,1)&lt;=$AF1557),ROUND($AG1557,2),0))</f>
        <v/>
      </c>
      <c r="R1557" s="18">
        <f>IF($Z1557="","",IF(AND(DATE($AD1557,9,1)&gt;=$AE1557,DATE($AD1557,9,1)&lt;=$AF1557),ROUND($AG1557,2),0))</f>
        <v/>
      </c>
      <c r="S1557" s="18">
        <f>IF($Z1557="","",IF(AND(DATE($AD1557,10,1)&gt;=$AE1557,DATE($AD1557,10,1)&lt;=$AF1557),ROUND($AG1557,2),0))</f>
        <v/>
      </c>
      <c r="T1557" s="18">
        <f>IF($Z1557="","",IF(AND(DATE($AD1557,11,1)&gt;=$AE1557,DATE($AD1557,11,1)&lt;=$AF1557),ROUND($AG1557,2),0))</f>
        <v/>
      </c>
      <c r="U1557" s="18">
        <f>IF($Z1557="","",IF(AND(DATE($AD1557,12,1)&gt;=$AE1557,DATE($AD1557,12,1)&lt;=$AF1557),ROUND($AG1557,2),0))</f>
        <v/>
      </c>
      <c r="V1557" s="7">
        <f>IF($Z1557="C","Generated from "&amp;INDEX(Contracts!$A$2:$A$151,$AB1557),IF($Z1557="A","Generated from "&amp;INDEX(Fixed_Assets!$A$2:$A$201,$AB1557),IF($Z1557="F","Generated from "&amp;INDEX(FTE_Allocation!$A$2:$A$201,$AB1557),"")))</f>
        <v/>
      </c>
      <c r="X1557" s="19">
        <f>IF($Z1557="","",SUM(J1557:U1557))</f>
        <v/>
      </c>
      <c r="Y1557" s="20">
        <f>ROW()-1</f>
        <v/>
      </c>
      <c r="Z1557" s="20">
        <f>IF($Y1557&lt;=Settings!$B$4*3,"C",IF($Y1557&lt;=(Settings!$B$4+Settings!$B$5)*3,"A",IF($Y1557&lt;=(Settings!$B$4+Settings!$B$5+Settings!$B$6)*3,"F","")))</f>
        <v/>
      </c>
      <c r="AA1557" s="20">
        <f>IF($Z1557="C",$Y1557,IF($Z1557="A",$Y1557-Settings!$B$4*3,IF($Z1557="F",$Y1557-(Settings!$B$4+Settings!$B$5)*3,"")))</f>
        <v/>
      </c>
      <c r="AB1557" s="20">
        <f>IF($Z1557="","",INT(($AA1557-1)/3)+1)</f>
        <v/>
      </c>
      <c r="AC1557" s="20">
        <f>IF($Z1557="","",MOD($AA1557-1,3)+1)</f>
        <v/>
      </c>
      <c r="AD1557" s="20">
        <f>IF($Z1557="","",Settings!$B$2+$AC1557-1)</f>
        <v/>
      </c>
      <c r="AE1557" s="21">
        <f>IF($Z1557="C",DATE(YEAR(INDEX(Contracts!$J$2:$J$151,$AB1557)),MONTH(INDEX(Contracts!$J$2:$J$151,$AB1557)),1),IF($Z1557="A",DATE(YEAR(INDEX(Fixed_Assets!$G$2:$G$201,$AB1557)),MONTH(INDEX(Fixed_Assets!$G$2:$G$201,$AB1557)),1),IF($Z1557="F",DATE(YEAR(MAX(N(INDEX(Workforce!$I$2:$I$151,MATCH(INDEX(FTE_Allocation!$A$2:$A$201,$AB1557),Workforce!$A$2:$A$151,0))),N(INDEX(FTE_Allocation!$I$2:$I$201,$AB1557)))),MONTH(MAX(N(INDEX(Workforce!$I$2:$I$151,MATCH(INDEX(FTE_Allocation!$A$2:$A$201,$AB1557),Workforce!$A$2:$A$151,0))),N(INDEX(FTE_Allocation!$I$2:$I$201,$AB1557)))),1),"")))</f>
        <v/>
      </c>
      <c r="AF1557" s="21">
        <f>IF($Z1557="C",IF(INDEX(Contracts!$I$2:$I$151,$AB1557)="PREPAID",EDATE(DATE(YEAR(INDEX(Contracts!$J$2:$J$151,$AB1557)),MONTH(INDEX(Contracts!$J$2:$J$151,$AB1557)),1),IF(INDEX(Contracts!$N$2:$N$151,$AB1557)="",12,INDEX(Contracts!$N$2:$N$151,$AB1557))-1),IF(INDEX(Contracts!$I$2:$I$151,$AB1557)="MONTHLY",IF(INDEX(Contracts!$K$2:$K$151,$AB1557)="",2958101,INDEX(Contracts!$K$2:$K$151,$AB1557)),0)),IF($Z1557="A",EDATE(DATE(YEAR(INDEX(Fixed_Assets!$G$2:$G$201,$AB1557)),MONTH(INDEX(Fixed_Assets!$G$2:$G$201,$AB1557)),1),INDEX(Fixed_Assets!$J$2:$J$201,$AB1557)-1),IF($Z1557="F",MIN(IF(INDEX(Workforce!$J$2:$J$151,MATCH(INDEX(FTE_Allocation!$A$2:$A$201,$AB1557),Workforce!$A$2:$A$151,0))="",2958101,INDEX(Workforce!$J$2:$J$151,MATCH(INDEX(FTE_Allocation!$A$2:$A$201,$AB1557),Workforce!$A$2:$A$151,0))),IF(INDEX(FTE_Allocation!$J$2:$J$201,$AB1557)="",2958101,INDEX(FTE_Allocation!$J$2:$J$201,$AB1557))),"")))</f>
        <v/>
      </c>
      <c r="AG1557" s="19">
        <f>IF($Z1557="C",IF(INDEX(Contracts!$I$2:$I$151,$AB1557)="PREPAID",INDEX(Contracts!$M$2:$M$151,$AB1557)/IF(INDEX(Contracts!$N$2:$N$151,$AB1557)="",12,INDEX(Contracts!$N$2:$N$151,$AB1557)),IF(INDEX(Contracts!$I$2:$I$151,$AB1557)="MONTHLY",INDEX(Contracts!$M$2:$M$151,$AB1557),0))*(1-N(INDEX(Contracts!$O$2:$O$151,$AB1557))),IF($Z1557="A",INDEX(Fixed_Assets!$H$2:$H$201,$AB1557)/INDEX(Fixed_Assets!$J$2:$J$201,$AB1557),IF($Z1557="F",INDEX(Workforce!$F$2:$F$151,MATCH(INDEX(FTE_Allocation!$A$2:$A$201,$AB1557),Workforce!$A$2:$A$151,0))*N(INDEX(FTE_Allocation!$F$2:$H$201,$AB1557,$AC1557)),"")))</f>
        <v/>
      </c>
    </row>
    <row r="1558">
      <c r="A1558" s="7">
        <f>IF($Z1558="","",$AD1558)</f>
        <v/>
      </c>
      <c r="B1558" s="7">
        <f>IF($Z1558="C",INDEX(Contracts!$D$2:$D$151,$AB1558)&amp;"",IF($Z1558="A",INDEX(Fixed_Assets!$C$2:$C$201,$AB1558)&amp;"",IF($Z1558="F",INDEX(Workforce!$B$2:$B$151,MATCH(INDEX(FTE_Allocation!$A$2:$A$201,$AB1558),Workforce!$A$2:$A$151,0))&amp;"","")))</f>
        <v/>
      </c>
      <c r="C1558" s="7">
        <f>IF($Z1558="C",INDEX(Contracts!$E$2:$E$151,$AB1558)&amp;"",IF($Z1558="A",INDEX(Fixed_Assets!$D$2:$D$201,$AB1558)&amp;"",IF($Z1558="F",INDEX(FTE_Allocation!$C$2:$C$201,$AB1558)&amp;"","")))</f>
        <v/>
      </c>
      <c r="D1558" s="7">
        <f>IF($Z1558="C",INDEX(Contracts!$B$2:$B$151,$AB1558)&amp;"",IF($Z1558="A",INDEX(Fixed_Assets!$B$2:$B$201,$AB1558)&amp;"",IF($Z1558="F",INDEX(FTE_Allocation!$B$2:$B$201,$AB1558)&amp;"","")))</f>
        <v/>
      </c>
      <c r="E1558" s="7">
        <f>IF($Z1558="C",INDEX(Contracts!$P$2:$P$151,$AB1558)&amp;"",IF($Z1558="A",INDEX(Fixed_Assets!$K$2:$K$201,$AB1558)&amp;"",IF($Z1558="F",IF(INDEX(FTE_Allocation!$D$2:$D$201,$AB1558)="PROJECT",IFERROR(INDEX(Projects!$D:$D,MATCH(INDEX(FTE_Allocation!$E$2:$E$201,$AB1558),Projects!$A:$A,0))&amp;"","#PROJECT?"),INDEX(FTE_Allocation!$E$2:$E$201,$AB1558)&amp;""),"")))</f>
        <v/>
      </c>
      <c r="F1558" s="7">
        <f>IF($Z1558="C",INDEX(Contracts!$Q$2:$Q$151,$AB1558)&amp;"",IF($Z1558="A",INDEX(Fixed_Assets!$L$2:$L$201,$AB1558)&amp;"",IF($Z1558="F",INDEX(Workforce!$K$2:$K$151,MATCH(INDEX(FTE_Allocation!$A$2:$A$201,$AB1558),Workforce!$A$2:$A$151,0))&amp;"","")))</f>
        <v/>
      </c>
      <c r="G1558" s="7">
        <f>IF($Z1558="C",INDEX(Contracts!$F$2:$F$151,$AB1558)&amp;" / "&amp;INDEX(Contracts!$G$2:$G$151,$AB1558),IF($Z1558="A",INDEX(Fixed_Assets!$E$2:$E$201,$AB1558)&amp;"",IF($Z1558="F","Personnel "&amp;INDEX(FTE_Allocation!$A$2:$A$201,$AB1558)&amp;IF(INDEX(FTE_Allocation!$D$2:$D$201,$AB1558)="PROJECT"," ("&amp;INDEX(FTE_Allocation!$E$2:$E$201,$AB1558)&amp;")",""),"")))</f>
        <v/>
      </c>
      <c r="H1558" s="7">
        <f>IF($Z1558="C","CONTRACT",IF($Z1558="A","ASSET",IF($Z1558="F","WORKFORCE","")))</f>
        <v/>
      </c>
      <c r="I1558" s="7">
        <f>IF($Z1558="C",INDEX(Contracts!$L$2:$L$151,$AB1558)&amp;"",IF($Z1558="A",INDEX(Fixed_Assets!$I$2:$I$201,$AB1558)&amp;"",IF($Z1558="F",INDEX(Workforce!$G$2:$G$151,MATCH(INDEX(FTE_Allocation!$A$2:$A$201,$AB1558),Workforce!$A$2:$A$151,0))&amp;"","")))</f>
        <v/>
      </c>
      <c r="J1558" s="18">
        <f>IF($Z1558="","",IF(AND(DATE($AD1558,1,1)&gt;=$AE1558,DATE($AD1558,1,1)&lt;=$AF1558),ROUND($AG1558,2),0))</f>
        <v/>
      </c>
      <c r="K1558" s="18">
        <f>IF($Z1558="","",IF(AND(DATE($AD1558,2,1)&gt;=$AE1558,DATE($AD1558,2,1)&lt;=$AF1558),ROUND($AG1558,2),0))</f>
        <v/>
      </c>
      <c r="L1558" s="18">
        <f>IF($Z1558="","",IF(AND(DATE($AD1558,3,1)&gt;=$AE1558,DATE($AD1558,3,1)&lt;=$AF1558),ROUND($AG1558,2),0))</f>
        <v/>
      </c>
      <c r="M1558" s="18">
        <f>IF($Z1558="","",IF(AND(DATE($AD1558,4,1)&gt;=$AE1558,DATE($AD1558,4,1)&lt;=$AF1558),ROUND($AG1558,2),0))</f>
        <v/>
      </c>
      <c r="N1558" s="18">
        <f>IF($Z1558="","",IF(AND(DATE($AD1558,5,1)&gt;=$AE1558,DATE($AD1558,5,1)&lt;=$AF1558),ROUND($AG1558,2),0))</f>
        <v/>
      </c>
      <c r="O1558" s="18">
        <f>IF($Z1558="","",IF(AND(DATE($AD1558,6,1)&gt;=$AE1558,DATE($AD1558,6,1)&lt;=$AF1558),ROUND($AG1558,2),0))</f>
        <v/>
      </c>
      <c r="P1558" s="18">
        <f>IF($Z1558="","",IF(AND(DATE($AD1558,7,1)&gt;=$AE1558,DATE($AD1558,7,1)&lt;=$AF1558),ROUND($AG1558,2),0))</f>
        <v/>
      </c>
      <c r="Q1558" s="18">
        <f>IF($Z1558="","",IF(AND(DATE($AD1558,8,1)&gt;=$AE1558,DATE($AD1558,8,1)&lt;=$AF1558),ROUND($AG1558,2),0))</f>
        <v/>
      </c>
      <c r="R1558" s="18">
        <f>IF($Z1558="","",IF(AND(DATE($AD1558,9,1)&gt;=$AE1558,DATE($AD1558,9,1)&lt;=$AF1558),ROUND($AG1558,2),0))</f>
        <v/>
      </c>
      <c r="S1558" s="18">
        <f>IF($Z1558="","",IF(AND(DATE($AD1558,10,1)&gt;=$AE1558,DATE($AD1558,10,1)&lt;=$AF1558),ROUND($AG1558,2),0))</f>
        <v/>
      </c>
      <c r="T1558" s="18">
        <f>IF($Z1558="","",IF(AND(DATE($AD1558,11,1)&gt;=$AE1558,DATE($AD1558,11,1)&lt;=$AF1558),ROUND($AG1558,2),0))</f>
        <v/>
      </c>
      <c r="U1558" s="18">
        <f>IF($Z1558="","",IF(AND(DATE($AD1558,12,1)&gt;=$AE1558,DATE($AD1558,12,1)&lt;=$AF1558),ROUND($AG1558,2),0))</f>
        <v/>
      </c>
      <c r="V1558" s="7">
        <f>IF($Z1558="C","Generated from "&amp;INDEX(Contracts!$A$2:$A$151,$AB1558),IF($Z1558="A","Generated from "&amp;INDEX(Fixed_Assets!$A$2:$A$201,$AB1558),IF($Z1558="F","Generated from "&amp;INDEX(FTE_Allocation!$A$2:$A$201,$AB1558),"")))</f>
        <v/>
      </c>
      <c r="X1558" s="19">
        <f>IF($Z1558="","",SUM(J1558:U1558))</f>
        <v/>
      </c>
      <c r="Y1558" s="20">
        <f>ROW()-1</f>
        <v/>
      </c>
      <c r="Z1558" s="20">
        <f>IF($Y1558&lt;=Settings!$B$4*3,"C",IF($Y1558&lt;=(Settings!$B$4+Settings!$B$5)*3,"A",IF($Y1558&lt;=(Settings!$B$4+Settings!$B$5+Settings!$B$6)*3,"F","")))</f>
        <v/>
      </c>
      <c r="AA1558" s="20">
        <f>IF($Z1558="C",$Y1558,IF($Z1558="A",$Y1558-Settings!$B$4*3,IF($Z1558="F",$Y1558-(Settings!$B$4+Settings!$B$5)*3,"")))</f>
        <v/>
      </c>
      <c r="AB1558" s="20">
        <f>IF($Z1558="","",INT(($AA1558-1)/3)+1)</f>
        <v/>
      </c>
      <c r="AC1558" s="20">
        <f>IF($Z1558="","",MOD($AA1558-1,3)+1)</f>
        <v/>
      </c>
      <c r="AD1558" s="20">
        <f>IF($Z1558="","",Settings!$B$2+$AC1558-1)</f>
        <v/>
      </c>
      <c r="AE1558" s="21">
        <f>IF($Z1558="C",DATE(YEAR(INDEX(Contracts!$J$2:$J$151,$AB1558)),MONTH(INDEX(Contracts!$J$2:$J$151,$AB1558)),1),IF($Z1558="A",DATE(YEAR(INDEX(Fixed_Assets!$G$2:$G$201,$AB1558)),MONTH(INDEX(Fixed_Assets!$G$2:$G$201,$AB1558)),1),IF($Z1558="F",DATE(YEAR(MAX(N(INDEX(Workforce!$I$2:$I$151,MATCH(INDEX(FTE_Allocation!$A$2:$A$201,$AB1558),Workforce!$A$2:$A$151,0))),N(INDEX(FTE_Allocation!$I$2:$I$201,$AB1558)))),MONTH(MAX(N(INDEX(Workforce!$I$2:$I$151,MATCH(INDEX(FTE_Allocation!$A$2:$A$201,$AB1558),Workforce!$A$2:$A$151,0))),N(INDEX(FTE_Allocation!$I$2:$I$201,$AB1558)))),1),"")))</f>
        <v/>
      </c>
      <c r="AF1558" s="21">
        <f>IF($Z1558="C",IF(INDEX(Contracts!$I$2:$I$151,$AB1558)="PREPAID",EDATE(DATE(YEAR(INDEX(Contracts!$J$2:$J$151,$AB1558)),MONTH(INDEX(Contracts!$J$2:$J$151,$AB1558)),1),IF(INDEX(Contracts!$N$2:$N$151,$AB1558)="",12,INDEX(Contracts!$N$2:$N$151,$AB1558))-1),IF(INDEX(Contracts!$I$2:$I$151,$AB1558)="MONTHLY",IF(INDEX(Contracts!$K$2:$K$151,$AB1558)="",2958101,INDEX(Contracts!$K$2:$K$151,$AB1558)),0)),IF($Z1558="A",EDATE(DATE(YEAR(INDEX(Fixed_Assets!$G$2:$G$201,$AB1558)),MONTH(INDEX(Fixed_Assets!$G$2:$G$201,$AB1558)),1),INDEX(Fixed_Assets!$J$2:$J$201,$AB1558)-1),IF($Z1558="F",MIN(IF(INDEX(Workforce!$J$2:$J$151,MATCH(INDEX(FTE_Allocation!$A$2:$A$201,$AB1558),Workforce!$A$2:$A$151,0))="",2958101,INDEX(Workforce!$J$2:$J$151,MATCH(INDEX(FTE_Allocation!$A$2:$A$201,$AB1558),Workforce!$A$2:$A$151,0))),IF(INDEX(FTE_Allocation!$J$2:$J$201,$AB1558)="",2958101,INDEX(FTE_Allocation!$J$2:$J$201,$AB1558))),"")))</f>
        <v/>
      </c>
      <c r="AG1558" s="19">
        <f>IF($Z1558="C",IF(INDEX(Contracts!$I$2:$I$151,$AB1558)="PREPAID",INDEX(Contracts!$M$2:$M$151,$AB1558)/IF(INDEX(Contracts!$N$2:$N$151,$AB1558)="",12,INDEX(Contracts!$N$2:$N$151,$AB1558)),IF(INDEX(Contracts!$I$2:$I$151,$AB1558)="MONTHLY",INDEX(Contracts!$M$2:$M$151,$AB1558),0))*(1-N(INDEX(Contracts!$O$2:$O$151,$AB1558))),IF($Z1558="A",INDEX(Fixed_Assets!$H$2:$H$201,$AB1558)/INDEX(Fixed_Assets!$J$2:$J$201,$AB1558),IF($Z1558="F",INDEX(Workforce!$F$2:$F$151,MATCH(INDEX(FTE_Allocation!$A$2:$A$201,$AB1558),Workforce!$A$2:$A$151,0))*N(INDEX(FTE_Allocation!$F$2:$H$201,$AB1558,$AC1558)),"")))</f>
        <v/>
      </c>
    </row>
    <row r="1559">
      <c r="A1559" s="7">
        <f>IF($Z1559="","",$AD1559)</f>
        <v/>
      </c>
      <c r="B1559" s="7">
        <f>IF($Z1559="C",INDEX(Contracts!$D$2:$D$151,$AB1559)&amp;"",IF($Z1559="A",INDEX(Fixed_Assets!$C$2:$C$201,$AB1559)&amp;"",IF($Z1559="F",INDEX(Workforce!$B$2:$B$151,MATCH(INDEX(FTE_Allocation!$A$2:$A$201,$AB1559),Workforce!$A$2:$A$151,0))&amp;"","")))</f>
        <v/>
      </c>
      <c r="C1559" s="7">
        <f>IF($Z1559="C",INDEX(Contracts!$E$2:$E$151,$AB1559)&amp;"",IF($Z1559="A",INDEX(Fixed_Assets!$D$2:$D$201,$AB1559)&amp;"",IF($Z1559="F",INDEX(FTE_Allocation!$C$2:$C$201,$AB1559)&amp;"","")))</f>
        <v/>
      </c>
      <c r="D1559" s="7">
        <f>IF($Z1559="C",INDEX(Contracts!$B$2:$B$151,$AB1559)&amp;"",IF($Z1559="A",INDEX(Fixed_Assets!$B$2:$B$201,$AB1559)&amp;"",IF($Z1559="F",INDEX(FTE_Allocation!$B$2:$B$201,$AB1559)&amp;"","")))</f>
        <v/>
      </c>
      <c r="E1559" s="7">
        <f>IF($Z1559="C",INDEX(Contracts!$P$2:$P$151,$AB1559)&amp;"",IF($Z1559="A",INDEX(Fixed_Assets!$K$2:$K$201,$AB1559)&amp;"",IF($Z1559="F",IF(INDEX(FTE_Allocation!$D$2:$D$201,$AB1559)="PROJECT",IFERROR(INDEX(Projects!$D:$D,MATCH(INDEX(FTE_Allocation!$E$2:$E$201,$AB1559),Projects!$A:$A,0))&amp;"","#PROJECT?"),INDEX(FTE_Allocation!$E$2:$E$201,$AB1559)&amp;""),"")))</f>
        <v/>
      </c>
      <c r="F1559" s="7">
        <f>IF($Z1559="C",INDEX(Contracts!$Q$2:$Q$151,$AB1559)&amp;"",IF($Z1559="A",INDEX(Fixed_Assets!$L$2:$L$201,$AB1559)&amp;"",IF($Z1559="F",INDEX(Workforce!$K$2:$K$151,MATCH(INDEX(FTE_Allocation!$A$2:$A$201,$AB1559),Workforce!$A$2:$A$151,0))&amp;"","")))</f>
        <v/>
      </c>
      <c r="G1559" s="7">
        <f>IF($Z1559="C",INDEX(Contracts!$F$2:$F$151,$AB1559)&amp;" / "&amp;INDEX(Contracts!$G$2:$G$151,$AB1559),IF($Z1559="A",INDEX(Fixed_Assets!$E$2:$E$201,$AB1559)&amp;"",IF($Z1559="F","Personnel "&amp;INDEX(FTE_Allocation!$A$2:$A$201,$AB1559)&amp;IF(INDEX(FTE_Allocation!$D$2:$D$201,$AB1559)="PROJECT"," ("&amp;INDEX(FTE_Allocation!$E$2:$E$201,$AB1559)&amp;")",""),"")))</f>
        <v/>
      </c>
      <c r="H1559" s="7">
        <f>IF($Z1559="C","CONTRACT",IF($Z1559="A","ASSET",IF($Z1559="F","WORKFORCE","")))</f>
        <v/>
      </c>
      <c r="I1559" s="7">
        <f>IF($Z1559="C",INDEX(Contracts!$L$2:$L$151,$AB1559)&amp;"",IF($Z1559="A",INDEX(Fixed_Assets!$I$2:$I$201,$AB1559)&amp;"",IF($Z1559="F",INDEX(Workforce!$G$2:$G$151,MATCH(INDEX(FTE_Allocation!$A$2:$A$201,$AB1559),Workforce!$A$2:$A$151,0))&amp;"","")))</f>
        <v/>
      </c>
      <c r="J1559" s="18">
        <f>IF($Z1559="","",IF(AND(DATE($AD1559,1,1)&gt;=$AE1559,DATE($AD1559,1,1)&lt;=$AF1559),ROUND($AG1559,2),0))</f>
        <v/>
      </c>
      <c r="K1559" s="18">
        <f>IF($Z1559="","",IF(AND(DATE($AD1559,2,1)&gt;=$AE1559,DATE($AD1559,2,1)&lt;=$AF1559),ROUND($AG1559,2),0))</f>
        <v/>
      </c>
      <c r="L1559" s="18">
        <f>IF($Z1559="","",IF(AND(DATE($AD1559,3,1)&gt;=$AE1559,DATE($AD1559,3,1)&lt;=$AF1559),ROUND($AG1559,2),0))</f>
        <v/>
      </c>
      <c r="M1559" s="18">
        <f>IF($Z1559="","",IF(AND(DATE($AD1559,4,1)&gt;=$AE1559,DATE($AD1559,4,1)&lt;=$AF1559),ROUND($AG1559,2),0))</f>
        <v/>
      </c>
      <c r="N1559" s="18">
        <f>IF($Z1559="","",IF(AND(DATE($AD1559,5,1)&gt;=$AE1559,DATE($AD1559,5,1)&lt;=$AF1559),ROUND($AG1559,2),0))</f>
        <v/>
      </c>
      <c r="O1559" s="18">
        <f>IF($Z1559="","",IF(AND(DATE($AD1559,6,1)&gt;=$AE1559,DATE($AD1559,6,1)&lt;=$AF1559),ROUND($AG1559,2),0))</f>
        <v/>
      </c>
      <c r="P1559" s="18">
        <f>IF($Z1559="","",IF(AND(DATE($AD1559,7,1)&gt;=$AE1559,DATE($AD1559,7,1)&lt;=$AF1559),ROUND($AG1559,2),0))</f>
        <v/>
      </c>
      <c r="Q1559" s="18">
        <f>IF($Z1559="","",IF(AND(DATE($AD1559,8,1)&gt;=$AE1559,DATE($AD1559,8,1)&lt;=$AF1559),ROUND($AG1559,2),0))</f>
        <v/>
      </c>
      <c r="R1559" s="18">
        <f>IF($Z1559="","",IF(AND(DATE($AD1559,9,1)&gt;=$AE1559,DATE($AD1559,9,1)&lt;=$AF1559),ROUND($AG1559,2),0))</f>
        <v/>
      </c>
      <c r="S1559" s="18">
        <f>IF($Z1559="","",IF(AND(DATE($AD1559,10,1)&gt;=$AE1559,DATE($AD1559,10,1)&lt;=$AF1559),ROUND($AG1559,2),0))</f>
        <v/>
      </c>
      <c r="T1559" s="18">
        <f>IF($Z1559="","",IF(AND(DATE($AD1559,11,1)&gt;=$AE1559,DATE($AD1559,11,1)&lt;=$AF1559),ROUND($AG1559,2),0))</f>
        <v/>
      </c>
      <c r="U1559" s="18">
        <f>IF($Z1559="","",IF(AND(DATE($AD1559,12,1)&gt;=$AE1559,DATE($AD1559,12,1)&lt;=$AF1559),ROUND($AG1559,2),0))</f>
        <v/>
      </c>
      <c r="V1559" s="7">
        <f>IF($Z1559="C","Generated from "&amp;INDEX(Contracts!$A$2:$A$151,$AB1559),IF($Z1559="A","Generated from "&amp;INDEX(Fixed_Assets!$A$2:$A$201,$AB1559),IF($Z1559="F","Generated from "&amp;INDEX(FTE_Allocation!$A$2:$A$201,$AB1559),"")))</f>
        <v/>
      </c>
      <c r="X1559" s="19">
        <f>IF($Z1559="","",SUM(J1559:U1559))</f>
        <v/>
      </c>
      <c r="Y1559" s="20">
        <f>ROW()-1</f>
        <v/>
      </c>
      <c r="Z1559" s="20">
        <f>IF($Y1559&lt;=Settings!$B$4*3,"C",IF($Y1559&lt;=(Settings!$B$4+Settings!$B$5)*3,"A",IF($Y1559&lt;=(Settings!$B$4+Settings!$B$5+Settings!$B$6)*3,"F","")))</f>
        <v/>
      </c>
      <c r="AA1559" s="20">
        <f>IF($Z1559="C",$Y1559,IF($Z1559="A",$Y1559-Settings!$B$4*3,IF($Z1559="F",$Y1559-(Settings!$B$4+Settings!$B$5)*3,"")))</f>
        <v/>
      </c>
      <c r="AB1559" s="20">
        <f>IF($Z1559="","",INT(($AA1559-1)/3)+1)</f>
        <v/>
      </c>
      <c r="AC1559" s="20">
        <f>IF($Z1559="","",MOD($AA1559-1,3)+1)</f>
        <v/>
      </c>
      <c r="AD1559" s="20">
        <f>IF($Z1559="","",Settings!$B$2+$AC1559-1)</f>
        <v/>
      </c>
      <c r="AE1559" s="21">
        <f>IF($Z1559="C",DATE(YEAR(INDEX(Contracts!$J$2:$J$151,$AB1559)),MONTH(INDEX(Contracts!$J$2:$J$151,$AB1559)),1),IF($Z1559="A",DATE(YEAR(INDEX(Fixed_Assets!$G$2:$G$201,$AB1559)),MONTH(INDEX(Fixed_Assets!$G$2:$G$201,$AB1559)),1),IF($Z1559="F",DATE(YEAR(MAX(N(INDEX(Workforce!$I$2:$I$151,MATCH(INDEX(FTE_Allocation!$A$2:$A$201,$AB1559),Workforce!$A$2:$A$151,0))),N(INDEX(FTE_Allocation!$I$2:$I$201,$AB1559)))),MONTH(MAX(N(INDEX(Workforce!$I$2:$I$151,MATCH(INDEX(FTE_Allocation!$A$2:$A$201,$AB1559),Workforce!$A$2:$A$151,0))),N(INDEX(FTE_Allocation!$I$2:$I$201,$AB1559)))),1),"")))</f>
        <v/>
      </c>
      <c r="AF1559" s="21">
        <f>IF($Z1559="C",IF(INDEX(Contracts!$I$2:$I$151,$AB1559)="PREPAID",EDATE(DATE(YEAR(INDEX(Contracts!$J$2:$J$151,$AB1559)),MONTH(INDEX(Contracts!$J$2:$J$151,$AB1559)),1),IF(INDEX(Contracts!$N$2:$N$151,$AB1559)="",12,INDEX(Contracts!$N$2:$N$151,$AB1559))-1),IF(INDEX(Contracts!$I$2:$I$151,$AB1559)="MONTHLY",IF(INDEX(Contracts!$K$2:$K$151,$AB1559)="",2958101,INDEX(Contracts!$K$2:$K$151,$AB1559)),0)),IF($Z1559="A",EDATE(DATE(YEAR(INDEX(Fixed_Assets!$G$2:$G$201,$AB1559)),MONTH(INDEX(Fixed_Assets!$G$2:$G$201,$AB1559)),1),INDEX(Fixed_Assets!$J$2:$J$201,$AB1559)-1),IF($Z1559="F",MIN(IF(INDEX(Workforce!$J$2:$J$151,MATCH(INDEX(FTE_Allocation!$A$2:$A$201,$AB1559),Workforce!$A$2:$A$151,0))="",2958101,INDEX(Workforce!$J$2:$J$151,MATCH(INDEX(FTE_Allocation!$A$2:$A$201,$AB1559),Workforce!$A$2:$A$151,0))),IF(INDEX(FTE_Allocation!$J$2:$J$201,$AB1559)="",2958101,INDEX(FTE_Allocation!$J$2:$J$201,$AB1559))),"")))</f>
        <v/>
      </c>
      <c r="AG1559" s="19">
        <f>IF($Z1559="C",IF(INDEX(Contracts!$I$2:$I$151,$AB1559)="PREPAID",INDEX(Contracts!$M$2:$M$151,$AB1559)/IF(INDEX(Contracts!$N$2:$N$151,$AB1559)="",12,INDEX(Contracts!$N$2:$N$151,$AB1559)),IF(INDEX(Contracts!$I$2:$I$151,$AB1559)="MONTHLY",INDEX(Contracts!$M$2:$M$151,$AB1559),0))*(1-N(INDEX(Contracts!$O$2:$O$151,$AB1559))),IF($Z1559="A",INDEX(Fixed_Assets!$H$2:$H$201,$AB1559)/INDEX(Fixed_Assets!$J$2:$J$201,$AB1559),IF($Z1559="F",INDEX(Workforce!$F$2:$F$151,MATCH(INDEX(FTE_Allocation!$A$2:$A$201,$AB1559),Workforce!$A$2:$A$151,0))*N(INDEX(FTE_Allocation!$F$2:$H$201,$AB1559,$AC1559)),"")))</f>
        <v/>
      </c>
    </row>
    <row r="1560">
      <c r="A1560" s="7">
        <f>IF($Z1560="","",$AD1560)</f>
        <v/>
      </c>
      <c r="B1560" s="7">
        <f>IF($Z1560="C",INDEX(Contracts!$D$2:$D$151,$AB1560)&amp;"",IF($Z1560="A",INDEX(Fixed_Assets!$C$2:$C$201,$AB1560)&amp;"",IF($Z1560="F",INDEX(Workforce!$B$2:$B$151,MATCH(INDEX(FTE_Allocation!$A$2:$A$201,$AB1560),Workforce!$A$2:$A$151,0))&amp;"","")))</f>
        <v/>
      </c>
      <c r="C1560" s="7">
        <f>IF($Z1560="C",INDEX(Contracts!$E$2:$E$151,$AB1560)&amp;"",IF($Z1560="A",INDEX(Fixed_Assets!$D$2:$D$201,$AB1560)&amp;"",IF($Z1560="F",INDEX(FTE_Allocation!$C$2:$C$201,$AB1560)&amp;"","")))</f>
        <v/>
      </c>
      <c r="D1560" s="7">
        <f>IF($Z1560="C",INDEX(Contracts!$B$2:$B$151,$AB1560)&amp;"",IF($Z1560="A",INDEX(Fixed_Assets!$B$2:$B$201,$AB1560)&amp;"",IF($Z1560="F",INDEX(FTE_Allocation!$B$2:$B$201,$AB1560)&amp;"","")))</f>
        <v/>
      </c>
      <c r="E1560" s="7">
        <f>IF($Z1560="C",INDEX(Contracts!$P$2:$P$151,$AB1560)&amp;"",IF($Z1560="A",INDEX(Fixed_Assets!$K$2:$K$201,$AB1560)&amp;"",IF($Z1560="F",IF(INDEX(FTE_Allocation!$D$2:$D$201,$AB1560)="PROJECT",IFERROR(INDEX(Projects!$D:$D,MATCH(INDEX(FTE_Allocation!$E$2:$E$201,$AB1560),Projects!$A:$A,0))&amp;"","#PROJECT?"),INDEX(FTE_Allocation!$E$2:$E$201,$AB1560)&amp;""),"")))</f>
        <v/>
      </c>
      <c r="F1560" s="7">
        <f>IF($Z1560="C",INDEX(Contracts!$Q$2:$Q$151,$AB1560)&amp;"",IF($Z1560="A",INDEX(Fixed_Assets!$L$2:$L$201,$AB1560)&amp;"",IF($Z1560="F",INDEX(Workforce!$K$2:$K$151,MATCH(INDEX(FTE_Allocation!$A$2:$A$201,$AB1560),Workforce!$A$2:$A$151,0))&amp;"","")))</f>
        <v/>
      </c>
      <c r="G1560" s="7">
        <f>IF($Z1560="C",INDEX(Contracts!$F$2:$F$151,$AB1560)&amp;" / "&amp;INDEX(Contracts!$G$2:$G$151,$AB1560),IF($Z1560="A",INDEX(Fixed_Assets!$E$2:$E$201,$AB1560)&amp;"",IF($Z1560="F","Personnel "&amp;INDEX(FTE_Allocation!$A$2:$A$201,$AB1560)&amp;IF(INDEX(FTE_Allocation!$D$2:$D$201,$AB1560)="PROJECT"," ("&amp;INDEX(FTE_Allocation!$E$2:$E$201,$AB1560)&amp;")",""),"")))</f>
        <v/>
      </c>
      <c r="H1560" s="7">
        <f>IF($Z1560="C","CONTRACT",IF($Z1560="A","ASSET",IF($Z1560="F","WORKFORCE","")))</f>
        <v/>
      </c>
      <c r="I1560" s="7">
        <f>IF($Z1560="C",INDEX(Contracts!$L$2:$L$151,$AB1560)&amp;"",IF($Z1560="A",INDEX(Fixed_Assets!$I$2:$I$201,$AB1560)&amp;"",IF($Z1560="F",INDEX(Workforce!$G$2:$G$151,MATCH(INDEX(FTE_Allocation!$A$2:$A$201,$AB1560),Workforce!$A$2:$A$151,0))&amp;"","")))</f>
        <v/>
      </c>
      <c r="J1560" s="18">
        <f>IF($Z1560="","",IF(AND(DATE($AD1560,1,1)&gt;=$AE1560,DATE($AD1560,1,1)&lt;=$AF1560),ROUND($AG1560,2),0))</f>
        <v/>
      </c>
      <c r="K1560" s="18">
        <f>IF($Z1560="","",IF(AND(DATE($AD1560,2,1)&gt;=$AE1560,DATE($AD1560,2,1)&lt;=$AF1560),ROUND($AG1560,2),0))</f>
        <v/>
      </c>
      <c r="L1560" s="18">
        <f>IF($Z1560="","",IF(AND(DATE($AD1560,3,1)&gt;=$AE1560,DATE($AD1560,3,1)&lt;=$AF1560),ROUND($AG1560,2),0))</f>
        <v/>
      </c>
      <c r="M1560" s="18">
        <f>IF($Z1560="","",IF(AND(DATE($AD1560,4,1)&gt;=$AE1560,DATE($AD1560,4,1)&lt;=$AF1560),ROUND($AG1560,2),0))</f>
        <v/>
      </c>
      <c r="N1560" s="18">
        <f>IF($Z1560="","",IF(AND(DATE($AD1560,5,1)&gt;=$AE1560,DATE($AD1560,5,1)&lt;=$AF1560),ROUND($AG1560,2),0))</f>
        <v/>
      </c>
      <c r="O1560" s="18">
        <f>IF($Z1560="","",IF(AND(DATE($AD1560,6,1)&gt;=$AE1560,DATE($AD1560,6,1)&lt;=$AF1560),ROUND($AG1560,2),0))</f>
        <v/>
      </c>
      <c r="P1560" s="18">
        <f>IF($Z1560="","",IF(AND(DATE($AD1560,7,1)&gt;=$AE1560,DATE($AD1560,7,1)&lt;=$AF1560),ROUND($AG1560,2),0))</f>
        <v/>
      </c>
      <c r="Q1560" s="18">
        <f>IF($Z1560="","",IF(AND(DATE($AD1560,8,1)&gt;=$AE1560,DATE($AD1560,8,1)&lt;=$AF1560),ROUND($AG1560,2),0))</f>
        <v/>
      </c>
      <c r="R1560" s="18">
        <f>IF($Z1560="","",IF(AND(DATE($AD1560,9,1)&gt;=$AE1560,DATE($AD1560,9,1)&lt;=$AF1560),ROUND($AG1560,2),0))</f>
        <v/>
      </c>
      <c r="S1560" s="18">
        <f>IF($Z1560="","",IF(AND(DATE($AD1560,10,1)&gt;=$AE1560,DATE($AD1560,10,1)&lt;=$AF1560),ROUND($AG1560,2),0))</f>
        <v/>
      </c>
      <c r="T1560" s="18">
        <f>IF($Z1560="","",IF(AND(DATE($AD1560,11,1)&gt;=$AE1560,DATE($AD1560,11,1)&lt;=$AF1560),ROUND($AG1560,2),0))</f>
        <v/>
      </c>
      <c r="U1560" s="18">
        <f>IF($Z1560="","",IF(AND(DATE($AD1560,12,1)&gt;=$AE1560,DATE($AD1560,12,1)&lt;=$AF1560),ROUND($AG1560,2),0))</f>
        <v/>
      </c>
      <c r="V1560" s="7">
        <f>IF($Z1560="C","Generated from "&amp;INDEX(Contracts!$A$2:$A$151,$AB1560),IF($Z1560="A","Generated from "&amp;INDEX(Fixed_Assets!$A$2:$A$201,$AB1560),IF($Z1560="F","Generated from "&amp;INDEX(FTE_Allocation!$A$2:$A$201,$AB1560),"")))</f>
        <v/>
      </c>
      <c r="X1560" s="19">
        <f>IF($Z1560="","",SUM(J1560:U1560))</f>
        <v/>
      </c>
      <c r="Y1560" s="20">
        <f>ROW()-1</f>
        <v/>
      </c>
      <c r="Z1560" s="20">
        <f>IF($Y1560&lt;=Settings!$B$4*3,"C",IF($Y1560&lt;=(Settings!$B$4+Settings!$B$5)*3,"A",IF($Y1560&lt;=(Settings!$B$4+Settings!$B$5+Settings!$B$6)*3,"F","")))</f>
        <v/>
      </c>
      <c r="AA1560" s="20">
        <f>IF($Z1560="C",$Y1560,IF($Z1560="A",$Y1560-Settings!$B$4*3,IF($Z1560="F",$Y1560-(Settings!$B$4+Settings!$B$5)*3,"")))</f>
        <v/>
      </c>
      <c r="AB1560" s="20">
        <f>IF($Z1560="","",INT(($AA1560-1)/3)+1)</f>
        <v/>
      </c>
      <c r="AC1560" s="20">
        <f>IF($Z1560="","",MOD($AA1560-1,3)+1)</f>
        <v/>
      </c>
      <c r="AD1560" s="20">
        <f>IF($Z1560="","",Settings!$B$2+$AC1560-1)</f>
        <v/>
      </c>
      <c r="AE1560" s="21">
        <f>IF($Z1560="C",DATE(YEAR(INDEX(Contracts!$J$2:$J$151,$AB1560)),MONTH(INDEX(Contracts!$J$2:$J$151,$AB1560)),1),IF($Z1560="A",DATE(YEAR(INDEX(Fixed_Assets!$G$2:$G$201,$AB1560)),MONTH(INDEX(Fixed_Assets!$G$2:$G$201,$AB1560)),1),IF($Z1560="F",DATE(YEAR(MAX(N(INDEX(Workforce!$I$2:$I$151,MATCH(INDEX(FTE_Allocation!$A$2:$A$201,$AB1560),Workforce!$A$2:$A$151,0))),N(INDEX(FTE_Allocation!$I$2:$I$201,$AB1560)))),MONTH(MAX(N(INDEX(Workforce!$I$2:$I$151,MATCH(INDEX(FTE_Allocation!$A$2:$A$201,$AB1560),Workforce!$A$2:$A$151,0))),N(INDEX(FTE_Allocation!$I$2:$I$201,$AB1560)))),1),"")))</f>
        <v/>
      </c>
      <c r="AF1560" s="21">
        <f>IF($Z1560="C",IF(INDEX(Contracts!$I$2:$I$151,$AB1560)="PREPAID",EDATE(DATE(YEAR(INDEX(Contracts!$J$2:$J$151,$AB1560)),MONTH(INDEX(Contracts!$J$2:$J$151,$AB1560)),1),IF(INDEX(Contracts!$N$2:$N$151,$AB1560)="",12,INDEX(Contracts!$N$2:$N$151,$AB1560))-1),IF(INDEX(Contracts!$I$2:$I$151,$AB1560)="MONTHLY",IF(INDEX(Contracts!$K$2:$K$151,$AB1560)="",2958101,INDEX(Contracts!$K$2:$K$151,$AB1560)),0)),IF($Z1560="A",EDATE(DATE(YEAR(INDEX(Fixed_Assets!$G$2:$G$201,$AB1560)),MONTH(INDEX(Fixed_Assets!$G$2:$G$201,$AB1560)),1),INDEX(Fixed_Assets!$J$2:$J$201,$AB1560)-1),IF($Z1560="F",MIN(IF(INDEX(Workforce!$J$2:$J$151,MATCH(INDEX(FTE_Allocation!$A$2:$A$201,$AB1560),Workforce!$A$2:$A$151,0))="",2958101,INDEX(Workforce!$J$2:$J$151,MATCH(INDEX(FTE_Allocation!$A$2:$A$201,$AB1560),Workforce!$A$2:$A$151,0))),IF(INDEX(FTE_Allocation!$J$2:$J$201,$AB1560)="",2958101,INDEX(FTE_Allocation!$J$2:$J$201,$AB1560))),"")))</f>
        <v/>
      </c>
      <c r="AG1560" s="19">
        <f>IF($Z1560="C",IF(INDEX(Contracts!$I$2:$I$151,$AB1560)="PREPAID",INDEX(Contracts!$M$2:$M$151,$AB1560)/IF(INDEX(Contracts!$N$2:$N$151,$AB1560)="",12,INDEX(Contracts!$N$2:$N$151,$AB1560)),IF(INDEX(Contracts!$I$2:$I$151,$AB1560)="MONTHLY",INDEX(Contracts!$M$2:$M$151,$AB1560),0))*(1-N(INDEX(Contracts!$O$2:$O$151,$AB1560))),IF($Z1560="A",INDEX(Fixed_Assets!$H$2:$H$201,$AB1560)/INDEX(Fixed_Assets!$J$2:$J$201,$AB1560),IF($Z1560="F",INDEX(Workforce!$F$2:$F$151,MATCH(INDEX(FTE_Allocation!$A$2:$A$201,$AB1560),Workforce!$A$2:$A$151,0))*N(INDEX(FTE_Allocation!$F$2:$H$201,$AB1560,$AC1560)),"")))</f>
        <v/>
      </c>
    </row>
    <row r="1561">
      <c r="A1561" s="7">
        <f>IF($Z1561="","",$AD1561)</f>
        <v/>
      </c>
      <c r="B1561" s="7">
        <f>IF($Z1561="C",INDEX(Contracts!$D$2:$D$151,$AB1561)&amp;"",IF($Z1561="A",INDEX(Fixed_Assets!$C$2:$C$201,$AB1561)&amp;"",IF($Z1561="F",INDEX(Workforce!$B$2:$B$151,MATCH(INDEX(FTE_Allocation!$A$2:$A$201,$AB1561),Workforce!$A$2:$A$151,0))&amp;"","")))</f>
        <v/>
      </c>
      <c r="C1561" s="7">
        <f>IF($Z1561="C",INDEX(Contracts!$E$2:$E$151,$AB1561)&amp;"",IF($Z1561="A",INDEX(Fixed_Assets!$D$2:$D$201,$AB1561)&amp;"",IF($Z1561="F",INDEX(FTE_Allocation!$C$2:$C$201,$AB1561)&amp;"","")))</f>
        <v/>
      </c>
      <c r="D1561" s="7">
        <f>IF($Z1561="C",INDEX(Contracts!$B$2:$B$151,$AB1561)&amp;"",IF($Z1561="A",INDEX(Fixed_Assets!$B$2:$B$201,$AB1561)&amp;"",IF($Z1561="F",INDEX(FTE_Allocation!$B$2:$B$201,$AB1561)&amp;"","")))</f>
        <v/>
      </c>
      <c r="E1561" s="7">
        <f>IF($Z1561="C",INDEX(Contracts!$P$2:$P$151,$AB1561)&amp;"",IF($Z1561="A",INDEX(Fixed_Assets!$K$2:$K$201,$AB1561)&amp;"",IF($Z1561="F",IF(INDEX(FTE_Allocation!$D$2:$D$201,$AB1561)="PROJECT",IFERROR(INDEX(Projects!$D:$D,MATCH(INDEX(FTE_Allocation!$E$2:$E$201,$AB1561),Projects!$A:$A,0))&amp;"","#PROJECT?"),INDEX(FTE_Allocation!$E$2:$E$201,$AB1561)&amp;""),"")))</f>
        <v/>
      </c>
      <c r="F1561" s="7">
        <f>IF($Z1561="C",INDEX(Contracts!$Q$2:$Q$151,$AB1561)&amp;"",IF($Z1561="A",INDEX(Fixed_Assets!$L$2:$L$201,$AB1561)&amp;"",IF($Z1561="F",INDEX(Workforce!$K$2:$K$151,MATCH(INDEX(FTE_Allocation!$A$2:$A$201,$AB1561),Workforce!$A$2:$A$151,0))&amp;"","")))</f>
        <v/>
      </c>
      <c r="G1561" s="7">
        <f>IF($Z1561="C",INDEX(Contracts!$F$2:$F$151,$AB1561)&amp;" / "&amp;INDEX(Contracts!$G$2:$G$151,$AB1561),IF($Z1561="A",INDEX(Fixed_Assets!$E$2:$E$201,$AB1561)&amp;"",IF($Z1561="F","Personnel "&amp;INDEX(FTE_Allocation!$A$2:$A$201,$AB1561)&amp;IF(INDEX(FTE_Allocation!$D$2:$D$201,$AB1561)="PROJECT"," ("&amp;INDEX(FTE_Allocation!$E$2:$E$201,$AB1561)&amp;")",""),"")))</f>
        <v/>
      </c>
      <c r="H1561" s="7">
        <f>IF($Z1561="C","CONTRACT",IF($Z1561="A","ASSET",IF($Z1561="F","WORKFORCE","")))</f>
        <v/>
      </c>
      <c r="I1561" s="7">
        <f>IF($Z1561="C",INDEX(Contracts!$L$2:$L$151,$AB1561)&amp;"",IF($Z1561="A",INDEX(Fixed_Assets!$I$2:$I$201,$AB1561)&amp;"",IF($Z1561="F",INDEX(Workforce!$G$2:$G$151,MATCH(INDEX(FTE_Allocation!$A$2:$A$201,$AB1561),Workforce!$A$2:$A$151,0))&amp;"","")))</f>
        <v/>
      </c>
      <c r="J1561" s="18">
        <f>IF($Z1561="","",IF(AND(DATE($AD1561,1,1)&gt;=$AE1561,DATE($AD1561,1,1)&lt;=$AF1561),ROUND($AG1561,2),0))</f>
        <v/>
      </c>
      <c r="K1561" s="18">
        <f>IF($Z1561="","",IF(AND(DATE($AD1561,2,1)&gt;=$AE1561,DATE($AD1561,2,1)&lt;=$AF1561),ROUND($AG1561,2),0))</f>
        <v/>
      </c>
      <c r="L1561" s="18">
        <f>IF($Z1561="","",IF(AND(DATE($AD1561,3,1)&gt;=$AE1561,DATE($AD1561,3,1)&lt;=$AF1561),ROUND($AG1561,2),0))</f>
        <v/>
      </c>
      <c r="M1561" s="18">
        <f>IF($Z1561="","",IF(AND(DATE($AD1561,4,1)&gt;=$AE1561,DATE($AD1561,4,1)&lt;=$AF1561),ROUND($AG1561,2),0))</f>
        <v/>
      </c>
      <c r="N1561" s="18">
        <f>IF($Z1561="","",IF(AND(DATE($AD1561,5,1)&gt;=$AE1561,DATE($AD1561,5,1)&lt;=$AF1561),ROUND($AG1561,2),0))</f>
        <v/>
      </c>
      <c r="O1561" s="18">
        <f>IF($Z1561="","",IF(AND(DATE($AD1561,6,1)&gt;=$AE1561,DATE($AD1561,6,1)&lt;=$AF1561),ROUND($AG1561,2),0))</f>
        <v/>
      </c>
      <c r="P1561" s="18">
        <f>IF($Z1561="","",IF(AND(DATE($AD1561,7,1)&gt;=$AE1561,DATE($AD1561,7,1)&lt;=$AF1561),ROUND($AG1561,2),0))</f>
        <v/>
      </c>
      <c r="Q1561" s="18">
        <f>IF($Z1561="","",IF(AND(DATE($AD1561,8,1)&gt;=$AE1561,DATE($AD1561,8,1)&lt;=$AF1561),ROUND($AG1561,2),0))</f>
        <v/>
      </c>
      <c r="R1561" s="18">
        <f>IF($Z1561="","",IF(AND(DATE($AD1561,9,1)&gt;=$AE1561,DATE($AD1561,9,1)&lt;=$AF1561),ROUND($AG1561,2),0))</f>
        <v/>
      </c>
      <c r="S1561" s="18">
        <f>IF($Z1561="","",IF(AND(DATE($AD1561,10,1)&gt;=$AE1561,DATE($AD1561,10,1)&lt;=$AF1561),ROUND($AG1561,2),0))</f>
        <v/>
      </c>
      <c r="T1561" s="18">
        <f>IF($Z1561="","",IF(AND(DATE($AD1561,11,1)&gt;=$AE1561,DATE($AD1561,11,1)&lt;=$AF1561),ROUND($AG1561,2),0))</f>
        <v/>
      </c>
      <c r="U1561" s="18">
        <f>IF($Z1561="","",IF(AND(DATE($AD1561,12,1)&gt;=$AE1561,DATE($AD1561,12,1)&lt;=$AF1561),ROUND($AG1561,2),0))</f>
        <v/>
      </c>
      <c r="V1561" s="7">
        <f>IF($Z1561="C","Generated from "&amp;INDEX(Contracts!$A$2:$A$151,$AB1561),IF($Z1561="A","Generated from "&amp;INDEX(Fixed_Assets!$A$2:$A$201,$AB1561),IF($Z1561="F","Generated from "&amp;INDEX(FTE_Allocation!$A$2:$A$201,$AB1561),"")))</f>
        <v/>
      </c>
      <c r="X1561" s="19">
        <f>IF($Z1561="","",SUM(J1561:U1561))</f>
        <v/>
      </c>
      <c r="Y1561" s="20">
        <f>ROW()-1</f>
        <v/>
      </c>
      <c r="Z1561" s="20">
        <f>IF($Y1561&lt;=Settings!$B$4*3,"C",IF($Y1561&lt;=(Settings!$B$4+Settings!$B$5)*3,"A",IF($Y1561&lt;=(Settings!$B$4+Settings!$B$5+Settings!$B$6)*3,"F","")))</f>
        <v/>
      </c>
      <c r="AA1561" s="20">
        <f>IF($Z1561="C",$Y1561,IF($Z1561="A",$Y1561-Settings!$B$4*3,IF($Z1561="F",$Y1561-(Settings!$B$4+Settings!$B$5)*3,"")))</f>
        <v/>
      </c>
      <c r="AB1561" s="20">
        <f>IF($Z1561="","",INT(($AA1561-1)/3)+1)</f>
        <v/>
      </c>
      <c r="AC1561" s="20">
        <f>IF($Z1561="","",MOD($AA1561-1,3)+1)</f>
        <v/>
      </c>
      <c r="AD1561" s="20">
        <f>IF($Z1561="","",Settings!$B$2+$AC1561-1)</f>
        <v/>
      </c>
      <c r="AE1561" s="21">
        <f>IF($Z1561="C",DATE(YEAR(INDEX(Contracts!$J$2:$J$151,$AB1561)),MONTH(INDEX(Contracts!$J$2:$J$151,$AB1561)),1),IF($Z1561="A",DATE(YEAR(INDEX(Fixed_Assets!$G$2:$G$201,$AB1561)),MONTH(INDEX(Fixed_Assets!$G$2:$G$201,$AB1561)),1),IF($Z1561="F",DATE(YEAR(MAX(N(INDEX(Workforce!$I$2:$I$151,MATCH(INDEX(FTE_Allocation!$A$2:$A$201,$AB1561),Workforce!$A$2:$A$151,0))),N(INDEX(FTE_Allocation!$I$2:$I$201,$AB1561)))),MONTH(MAX(N(INDEX(Workforce!$I$2:$I$151,MATCH(INDEX(FTE_Allocation!$A$2:$A$201,$AB1561),Workforce!$A$2:$A$151,0))),N(INDEX(FTE_Allocation!$I$2:$I$201,$AB1561)))),1),"")))</f>
        <v/>
      </c>
      <c r="AF1561" s="21">
        <f>IF($Z1561="C",IF(INDEX(Contracts!$I$2:$I$151,$AB1561)="PREPAID",EDATE(DATE(YEAR(INDEX(Contracts!$J$2:$J$151,$AB1561)),MONTH(INDEX(Contracts!$J$2:$J$151,$AB1561)),1),IF(INDEX(Contracts!$N$2:$N$151,$AB1561)="",12,INDEX(Contracts!$N$2:$N$151,$AB1561))-1),IF(INDEX(Contracts!$I$2:$I$151,$AB1561)="MONTHLY",IF(INDEX(Contracts!$K$2:$K$151,$AB1561)="",2958101,INDEX(Contracts!$K$2:$K$151,$AB1561)),0)),IF($Z1561="A",EDATE(DATE(YEAR(INDEX(Fixed_Assets!$G$2:$G$201,$AB1561)),MONTH(INDEX(Fixed_Assets!$G$2:$G$201,$AB1561)),1),INDEX(Fixed_Assets!$J$2:$J$201,$AB1561)-1),IF($Z1561="F",MIN(IF(INDEX(Workforce!$J$2:$J$151,MATCH(INDEX(FTE_Allocation!$A$2:$A$201,$AB1561),Workforce!$A$2:$A$151,0))="",2958101,INDEX(Workforce!$J$2:$J$151,MATCH(INDEX(FTE_Allocation!$A$2:$A$201,$AB1561),Workforce!$A$2:$A$151,0))),IF(INDEX(FTE_Allocation!$J$2:$J$201,$AB1561)="",2958101,INDEX(FTE_Allocation!$J$2:$J$201,$AB1561))),"")))</f>
        <v/>
      </c>
      <c r="AG1561" s="19">
        <f>IF($Z1561="C",IF(INDEX(Contracts!$I$2:$I$151,$AB1561)="PREPAID",INDEX(Contracts!$M$2:$M$151,$AB1561)/IF(INDEX(Contracts!$N$2:$N$151,$AB1561)="",12,INDEX(Contracts!$N$2:$N$151,$AB1561)),IF(INDEX(Contracts!$I$2:$I$151,$AB1561)="MONTHLY",INDEX(Contracts!$M$2:$M$151,$AB1561),0))*(1-N(INDEX(Contracts!$O$2:$O$151,$AB1561))),IF($Z1561="A",INDEX(Fixed_Assets!$H$2:$H$201,$AB1561)/INDEX(Fixed_Assets!$J$2:$J$201,$AB1561),IF($Z1561="F",INDEX(Workforce!$F$2:$F$151,MATCH(INDEX(FTE_Allocation!$A$2:$A$201,$AB1561),Workforce!$A$2:$A$151,0))*N(INDEX(FTE_Allocation!$F$2:$H$201,$AB1561,$AC1561)),"")))</f>
        <v/>
      </c>
    </row>
    <row r="1562">
      <c r="A1562" s="7">
        <f>IF($Z1562="","",$AD1562)</f>
        <v/>
      </c>
      <c r="B1562" s="7">
        <f>IF($Z1562="C",INDEX(Contracts!$D$2:$D$151,$AB1562)&amp;"",IF($Z1562="A",INDEX(Fixed_Assets!$C$2:$C$201,$AB1562)&amp;"",IF($Z1562="F",INDEX(Workforce!$B$2:$B$151,MATCH(INDEX(FTE_Allocation!$A$2:$A$201,$AB1562),Workforce!$A$2:$A$151,0))&amp;"","")))</f>
        <v/>
      </c>
      <c r="C1562" s="7">
        <f>IF($Z1562="C",INDEX(Contracts!$E$2:$E$151,$AB1562)&amp;"",IF($Z1562="A",INDEX(Fixed_Assets!$D$2:$D$201,$AB1562)&amp;"",IF($Z1562="F",INDEX(FTE_Allocation!$C$2:$C$201,$AB1562)&amp;"","")))</f>
        <v/>
      </c>
      <c r="D1562" s="7">
        <f>IF($Z1562="C",INDEX(Contracts!$B$2:$B$151,$AB1562)&amp;"",IF($Z1562="A",INDEX(Fixed_Assets!$B$2:$B$201,$AB1562)&amp;"",IF($Z1562="F",INDEX(FTE_Allocation!$B$2:$B$201,$AB1562)&amp;"","")))</f>
        <v/>
      </c>
      <c r="E1562" s="7">
        <f>IF($Z1562="C",INDEX(Contracts!$P$2:$P$151,$AB1562)&amp;"",IF($Z1562="A",INDEX(Fixed_Assets!$K$2:$K$201,$AB1562)&amp;"",IF($Z1562="F",IF(INDEX(FTE_Allocation!$D$2:$D$201,$AB1562)="PROJECT",IFERROR(INDEX(Projects!$D:$D,MATCH(INDEX(FTE_Allocation!$E$2:$E$201,$AB1562),Projects!$A:$A,0))&amp;"","#PROJECT?"),INDEX(FTE_Allocation!$E$2:$E$201,$AB1562)&amp;""),"")))</f>
        <v/>
      </c>
      <c r="F1562" s="7">
        <f>IF($Z1562="C",INDEX(Contracts!$Q$2:$Q$151,$AB1562)&amp;"",IF($Z1562="A",INDEX(Fixed_Assets!$L$2:$L$201,$AB1562)&amp;"",IF($Z1562="F",INDEX(Workforce!$K$2:$K$151,MATCH(INDEX(FTE_Allocation!$A$2:$A$201,$AB1562),Workforce!$A$2:$A$151,0))&amp;"","")))</f>
        <v/>
      </c>
      <c r="G1562" s="7">
        <f>IF($Z1562="C",INDEX(Contracts!$F$2:$F$151,$AB1562)&amp;" / "&amp;INDEX(Contracts!$G$2:$G$151,$AB1562),IF($Z1562="A",INDEX(Fixed_Assets!$E$2:$E$201,$AB1562)&amp;"",IF($Z1562="F","Personnel "&amp;INDEX(FTE_Allocation!$A$2:$A$201,$AB1562)&amp;IF(INDEX(FTE_Allocation!$D$2:$D$201,$AB1562)="PROJECT"," ("&amp;INDEX(FTE_Allocation!$E$2:$E$201,$AB1562)&amp;")",""),"")))</f>
        <v/>
      </c>
      <c r="H1562" s="7">
        <f>IF($Z1562="C","CONTRACT",IF($Z1562="A","ASSET",IF($Z1562="F","WORKFORCE","")))</f>
        <v/>
      </c>
      <c r="I1562" s="7">
        <f>IF($Z1562="C",INDEX(Contracts!$L$2:$L$151,$AB1562)&amp;"",IF($Z1562="A",INDEX(Fixed_Assets!$I$2:$I$201,$AB1562)&amp;"",IF($Z1562="F",INDEX(Workforce!$G$2:$G$151,MATCH(INDEX(FTE_Allocation!$A$2:$A$201,$AB1562),Workforce!$A$2:$A$151,0))&amp;"","")))</f>
        <v/>
      </c>
      <c r="J1562" s="18">
        <f>IF($Z1562="","",IF(AND(DATE($AD1562,1,1)&gt;=$AE1562,DATE($AD1562,1,1)&lt;=$AF1562),ROUND($AG1562,2),0))</f>
        <v/>
      </c>
      <c r="K1562" s="18">
        <f>IF($Z1562="","",IF(AND(DATE($AD1562,2,1)&gt;=$AE1562,DATE($AD1562,2,1)&lt;=$AF1562),ROUND($AG1562,2),0))</f>
        <v/>
      </c>
      <c r="L1562" s="18">
        <f>IF($Z1562="","",IF(AND(DATE($AD1562,3,1)&gt;=$AE1562,DATE($AD1562,3,1)&lt;=$AF1562),ROUND($AG1562,2),0))</f>
        <v/>
      </c>
      <c r="M1562" s="18">
        <f>IF($Z1562="","",IF(AND(DATE($AD1562,4,1)&gt;=$AE1562,DATE($AD1562,4,1)&lt;=$AF1562),ROUND($AG1562,2),0))</f>
        <v/>
      </c>
      <c r="N1562" s="18">
        <f>IF($Z1562="","",IF(AND(DATE($AD1562,5,1)&gt;=$AE1562,DATE($AD1562,5,1)&lt;=$AF1562),ROUND($AG1562,2),0))</f>
        <v/>
      </c>
      <c r="O1562" s="18">
        <f>IF($Z1562="","",IF(AND(DATE($AD1562,6,1)&gt;=$AE1562,DATE($AD1562,6,1)&lt;=$AF1562),ROUND($AG1562,2),0))</f>
        <v/>
      </c>
      <c r="P1562" s="18">
        <f>IF($Z1562="","",IF(AND(DATE($AD1562,7,1)&gt;=$AE1562,DATE($AD1562,7,1)&lt;=$AF1562),ROUND($AG1562,2),0))</f>
        <v/>
      </c>
      <c r="Q1562" s="18">
        <f>IF($Z1562="","",IF(AND(DATE($AD1562,8,1)&gt;=$AE1562,DATE($AD1562,8,1)&lt;=$AF1562),ROUND($AG1562,2),0))</f>
        <v/>
      </c>
      <c r="R1562" s="18">
        <f>IF($Z1562="","",IF(AND(DATE($AD1562,9,1)&gt;=$AE1562,DATE($AD1562,9,1)&lt;=$AF1562),ROUND($AG1562,2),0))</f>
        <v/>
      </c>
      <c r="S1562" s="18">
        <f>IF($Z1562="","",IF(AND(DATE($AD1562,10,1)&gt;=$AE1562,DATE($AD1562,10,1)&lt;=$AF1562),ROUND($AG1562,2),0))</f>
        <v/>
      </c>
      <c r="T1562" s="18">
        <f>IF($Z1562="","",IF(AND(DATE($AD1562,11,1)&gt;=$AE1562,DATE($AD1562,11,1)&lt;=$AF1562),ROUND($AG1562,2),0))</f>
        <v/>
      </c>
      <c r="U1562" s="18">
        <f>IF($Z1562="","",IF(AND(DATE($AD1562,12,1)&gt;=$AE1562,DATE($AD1562,12,1)&lt;=$AF1562),ROUND($AG1562,2),0))</f>
        <v/>
      </c>
      <c r="V1562" s="7">
        <f>IF($Z1562="C","Generated from "&amp;INDEX(Contracts!$A$2:$A$151,$AB1562),IF($Z1562="A","Generated from "&amp;INDEX(Fixed_Assets!$A$2:$A$201,$AB1562),IF($Z1562="F","Generated from "&amp;INDEX(FTE_Allocation!$A$2:$A$201,$AB1562),"")))</f>
        <v/>
      </c>
      <c r="X1562" s="19">
        <f>IF($Z1562="","",SUM(J1562:U1562))</f>
        <v/>
      </c>
      <c r="Y1562" s="20">
        <f>ROW()-1</f>
        <v/>
      </c>
      <c r="Z1562" s="20">
        <f>IF($Y1562&lt;=Settings!$B$4*3,"C",IF($Y1562&lt;=(Settings!$B$4+Settings!$B$5)*3,"A",IF($Y1562&lt;=(Settings!$B$4+Settings!$B$5+Settings!$B$6)*3,"F","")))</f>
        <v/>
      </c>
      <c r="AA1562" s="20">
        <f>IF($Z1562="C",$Y1562,IF($Z1562="A",$Y1562-Settings!$B$4*3,IF($Z1562="F",$Y1562-(Settings!$B$4+Settings!$B$5)*3,"")))</f>
        <v/>
      </c>
      <c r="AB1562" s="20">
        <f>IF($Z1562="","",INT(($AA1562-1)/3)+1)</f>
        <v/>
      </c>
      <c r="AC1562" s="20">
        <f>IF($Z1562="","",MOD($AA1562-1,3)+1)</f>
        <v/>
      </c>
      <c r="AD1562" s="20">
        <f>IF($Z1562="","",Settings!$B$2+$AC1562-1)</f>
        <v/>
      </c>
      <c r="AE1562" s="21">
        <f>IF($Z1562="C",DATE(YEAR(INDEX(Contracts!$J$2:$J$151,$AB1562)),MONTH(INDEX(Contracts!$J$2:$J$151,$AB1562)),1),IF($Z1562="A",DATE(YEAR(INDEX(Fixed_Assets!$G$2:$G$201,$AB1562)),MONTH(INDEX(Fixed_Assets!$G$2:$G$201,$AB1562)),1),IF($Z1562="F",DATE(YEAR(MAX(N(INDEX(Workforce!$I$2:$I$151,MATCH(INDEX(FTE_Allocation!$A$2:$A$201,$AB1562),Workforce!$A$2:$A$151,0))),N(INDEX(FTE_Allocation!$I$2:$I$201,$AB1562)))),MONTH(MAX(N(INDEX(Workforce!$I$2:$I$151,MATCH(INDEX(FTE_Allocation!$A$2:$A$201,$AB1562),Workforce!$A$2:$A$151,0))),N(INDEX(FTE_Allocation!$I$2:$I$201,$AB1562)))),1),"")))</f>
        <v/>
      </c>
      <c r="AF1562" s="21">
        <f>IF($Z1562="C",IF(INDEX(Contracts!$I$2:$I$151,$AB1562)="PREPAID",EDATE(DATE(YEAR(INDEX(Contracts!$J$2:$J$151,$AB1562)),MONTH(INDEX(Contracts!$J$2:$J$151,$AB1562)),1),IF(INDEX(Contracts!$N$2:$N$151,$AB1562)="",12,INDEX(Contracts!$N$2:$N$151,$AB1562))-1),IF(INDEX(Contracts!$I$2:$I$151,$AB1562)="MONTHLY",IF(INDEX(Contracts!$K$2:$K$151,$AB1562)="",2958101,INDEX(Contracts!$K$2:$K$151,$AB1562)),0)),IF($Z1562="A",EDATE(DATE(YEAR(INDEX(Fixed_Assets!$G$2:$G$201,$AB1562)),MONTH(INDEX(Fixed_Assets!$G$2:$G$201,$AB1562)),1),INDEX(Fixed_Assets!$J$2:$J$201,$AB1562)-1),IF($Z1562="F",MIN(IF(INDEX(Workforce!$J$2:$J$151,MATCH(INDEX(FTE_Allocation!$A$2:$A$201,$AB1562),Workforce!$A$2:$A$151,0))="",2958101,INDEX(Workforce!$J$2:$J$151,MATCH(INDEX(FTE_Allocation!$A$2:$A$201,$AB1562),Workforce!$A$2:$A$151,0))),IF(INDEX(FTE_Allocation!$J$2:$J$201,$AB1562)="",2958101,INDEX(FTE_Allocation!$J$2:$J$201,$AB1562))),"")))</f>
        <v/>
      </c>
      <c r="AG1562" s="19">
        <f>IF($Z1562="C",IF(INDEX(Contracts!$I$2:$I$151,$AB1562)="PREPAID",INDEX(Contracts!$M$2:$M$151,$AB1562)/IF(INDEX(Contracts!$N$2:$N$151,$AB1562)="",12,INDEX(Contracts!$N$2:$N$151,$AB1562)),IF(INDEX(Contracts!$I$2:$I$151,$AB1562)="MONTHLY",INDEX(Contracts!$M$2:$M$151,$AB1562),0))*(1-N(INDEX(Contracts!$O$2:$O$151,$AB1562))),IF($Z1562="A",INDEX(Fixed_Assets!$H$2:$H$201,$AB1562)/INDEX(Fixed_Assets!$J$2:$J$201,$AB1562),IF($Z1562="F",INDEX(Workforce!$F$2:$F$151,MATCH(INDEX(FTE_Allocation!$A$2:$A$201,$AB1562),Workforce!$A$2:$A$151,0))*N(INDEX(FTE_Allocation!$F$2:$H$201,$AB1562,$AC1562)),"")))</f>
        <v/>
      </c>
    </row>
    <row r="1563">
      <c r="A1563" s="7">
        <f>IF($Z1563="","",$AD1563)</f>
        <v/>
      </c>
      <c r="B1563" s="7">
        <f>IF($Z1563="C",INDEX(Contracts!$D$2:$D$151,$AB1563)&amp;"",IF($Z1563="A",INDEX(Fixed_Assets!$C$2:$C$201,$AB1563)&amp;"",IF($Z1563="F",INDEX(Workforce!$B$2:$B$151,MATCH(INDEX(FTE_Allocation!$A$2:$A$201,$AB1563),Workforce!$A$2:$A$151,0))&amp;"","")))</f>
        <v/>
      </c>
      <c r="C1563" s="7">
        <f>IF($Z1563="C",INDEX(Contracts!$E$2:$E$151,$AB1563)&amp;"",IF($Z1563="A",INDEX(Fixed_Assets!$D$2:$D$201,$AB1563)&amp;"",IF($Z1563="F",INDEX(FTE_Allocation!$C$2:$C$201,$AB1563)&amp;"","")))</f>
        <v/>
      </c>
      <c r="D1563" s="7">
        <f>IF($Z1563="C",INDEX(Contracts!$B$2:$B$151,$AB1563)&amp;"",IF($Z1563="A",INDEX(Fixed_Assets!$B$2:$B$201,$AB1563)&amp;"",IF($Z1563="F",INDEX(FTE_Allocation!$B$2:$B$201,$AB1563)&amp;"","")))</f>
        <v/>
      </c>
      <c r="E1563" s="7">
        <f>IF($Z1563="C",INDEX(Contracts!$P$2:$P$151,$AB1563)&amp;"",IF($Z1563="A",INDEX(Fixed_Assets!$K$2:$K$201,$AB1563)&amp;"",IF($Z1563="F",IF(INDEX(FTE_Allocation!$D$2:$D$201,$AB1563)="PROJECT",IFERROR(INDEX(Projects!$D:$D,MATCH(INDEX(FTE_Allocation!$E$2:$E$201,$AB1563),Projects!$A:$A,0))&amp;"","#PROJECT?"),INDEX(FTE_Allocation!$E$2:$E$201,$AB1563)&amp;""),"")))</f>
        <v/>
      </c>
      <c r="F1563" s="7">
        <f>IF($Z1563="C",INDEX(Contracts!$Q$2:$Q$151,$AB1563)&amp;"",IF($Z1563="A",INDEX(Fixed_Assets!$L$2:$L$201,$AB1563)&amp;"",IF($Z1563="F",INDEX(Workforce!$K$2:$K$151,MATCH(INDEX(FTE_Allocation!$A$2:$A$201,$AB1563),Workforce!$A$2:$A$151,0))&amp;"","")))</f>
        <v/>
      </c>
      <c r="G1563" s="7">
        <f>IF($Z1563="C",INDEX(Contracts!$F$2:$F$151,$AB1563)&amp;" / "&amp;INDEX(Contracts!$G$2:$G$151,$AB1563),IF($Z1563="A",INDEX(Fixed_Assets!$E$2:$E$201,$AB1563)&amp;"",IF($Z1563="F","Personnel "&amp;INDEX(FTE_Allocation!$A$2:$A$201,$AB1563)&amp;IF(INDEX(FTE_Allocation!$D$2:$D$201,$AB1563)="PROJECT"," ("&amp;INDEX(FTE_Allocation!$E$2:$E$201,$AB1563)&amp;")",""),"")))</f>
        <v/>
      </c>
      <c r="H1563" s="7">
        <f>IF($Z1563="C","CONTRACT",IF($Z1563="A","ASSET",IF($Z1563="F","WORKFORCE","")))</f>
        <v/>
      </c>
      <c r="I1563" s="7">
        <f>IF($Z1563="C",INDEX(Contracts!$L$2:$L$151,$AB1563)&amp;"",IF($Z1563="A",INDEX(Fixed_Assets!$I$2:$I$201,$AB1563)&amp;"",IF($Z1563="F",INDEX(Workforce!$G$2:$G$151,MATCH(INDEX(FTE_Allocation!$A$2:$A$201,$AB1563),Workforce!$A$2:$A$151,0))&amp;"","")))</f>
        <v/>
      </c>
      <c r="J1563" s="18">
        <f>IF($Z1563="","",IF(AND(DATE($AD1563,1,1)&gt;=$AE1563,DATE($AD1563,1,1)&lt;=$AF1563),ROUND($AG1563,2),0))</f>
        <v/>
      </c>
      <c r="K1563" s="18">
        <f>IF($Z1563="","",IF(AND(DATE($AD1563,2,1)&gt;=$AE1563,DATE($AD1563,2,1)&lt;=$AF1563),ROUND($AG1563,2),0))</f>
        <v/>
      </c>
      <c r="L1563" s="18">
        <f>IF($Z1563="","",IF(AND(DATE($AD1563,3,1)&gt;=$AE1563,DATE($AD1563,3,1)&lt;=$AF1563),ROUND($AG1563,2),0))</f>
        <v/>
      </c>
      <c r="M1563" s="18">
        <f>IF($Z1563="","",IF(AND(DATE($AD1563,4,1)&gt;=$AE1563,DATE($AD1563,4,1)&lt;=$AF1563),ROUND($AG1563,2),0))</f>
        <v/>
      </c>
      <c r="N1563" s="18">
        <f>IF($Z1563="","",IF(AND(DATE($AD1563,5,1)&gt;=$AE1563,DATE($AD1563,5,1)&lt;=$AF1563),ROUND($AG1563,2),0))</f>
        <v/>
      </c>
      <c r="O1563" s="18">
        <f>IF($Z1563="","",IF(AND(DATE($AD1563,6,1)&gt;=$AE1563,DATE($AD1563,6,1)&lt;=$AF1563),ROUND($AG1563,2),0))</f>
        <v/>
      </c>
      <c r="P1563" s="18">
        <f>IF($Z1563="","",IF(AND(DATE($AD1563,7,1)&gt;=$AE1563,DATE($AD1563,7,1)&lt;=$AF1563),ROUND($AG1563,2),0))</f>
        <v/>
      </c>
      <c r="Q1563" s="18">
        <f>IF($Z1563="","",IF(AND(DATE($AD1563,8,1)&gt;=$AE1563,DATE($AD1563,8,1)&lt;=$AF1563),ROUND($AG1563,2),0))</f>
        <v/>
      </c>
      <c r="R1563" s="18">
        <f>IF($Z1563="","",IF(AND(DATE($AD1563,9,1)&gt;=$AE1563,DATE($AD1563,9,1)&lt;=$AF1563),ROUND($AG1563,2),0))</f>
        <v/>
      </c>
      <c r="S1563" s="18">
        <f>IF($Z1563="","",IF(AND(DATE($AD1563,10,1)&gt;=$AE1563,DATE($AD1563,10,1)&lt;=$AF1563),ROUND($AG1563,2),0))</f>
        <v/>
      </c>
      <c r="T1563" s="18">
        <f>IF($Z1563="","",IF(AND(DATE($AD1563,11,1)&gt;=$AE1563,DATE($AD1563,11,1)&lt;=$AF1563),ROUND($AG1563,2),0))</f>
        <v/>
      </c>
      <c r="U1563" s="18">
        <f>IF($Z1563="","",IF(AND(DATE($AD1563,12,1)&gt;=$AE1563,DATE($AD1563,12,1)&lt;=$AF1563),ROUND($AG1563,2),0))</f>
        <v/>
      </c>
      <c r="V1563" s="7">
        <f>IF($Z1563="C","Generated from "&amp;INDEX(Contracts!$A$2:$A$151,$AB1563),IF($Z1563="A","Generated from "&amp;INDEX(Fixed_Assets!$A$2:$A$201,$AB1563),IF($Z1563="F","Generated from "&amp;INDEX(FTE_Allocation!$A$2:$A$201,$AB1563),"")))</f>
        <v/>
      </c>
      <c r="X1563" s="19">
        <f>IF($Z1563="","",SUM(J1563:U1563))</f>
        <v/>
      </c>
      <c r="Y1563" s="20">
        <f>ROW()-1</f>
        <v/>
      </c>
      <c r="Z1563" s="20">
        <f>IF($Y1563&lt;=Settings!$B$4*3,"C",IF($Y1563&lt;=(Settings!$B$4+Settings!$B$5)*3,"A",IF($Y1563&lt;=(Settings!$B$4+Settings!$B$5+Settings!$B$6)*3,"F","")))</f>
        <v/>
      </c>
      <c r="AA1563" s="20">
        <f>IF($Z1563="C",$Y1563,IF($Z1563="A",$Y1563-Settings!$B$4*3,IF($Z1563="F",$Y1563-(Settings!$B$4+Settings!$B$5)*3,"")))</f>
        <v/>
      </c>
      <c r="AB1563" s="20">
        <f>IF($Z1563="","",INT(($AA1563-1)/3)+1)</f>
        <v/>
      </c>
      <c r="AC1563" s="20">
        <f>IF($Z1563="","",MOD($AA1563-1,3)+1)</f>
        <v/>
      </c>
      <c r="AD1563" s="20">
        <f>IF($Z1563="","",Settings!$B$2+$AC1563-1)</f>
        <v/>
      </c>
      <c r="AE1563" s="21">
        <f>IF($Z1563="C",DATE(YEAR(INDEX(Contracts!$J$2:$J$151,$AB1563)),MONTH(INDEX(Contracts!$J$2:$J$151,$AB1563)),1),IF($Z1563="A",DATE(YEAR(INDEX(Fixed_Assets!$G$2:$G$201,$AB1563)),MONTH(INDEX(Fixed_Assets!$G$2:$G$201,$AB1563)),1),IF($Z1563="F",DATE(YEAR(MAX(N(INDEX(Workforce!$I$2:$I$151,MATCH(INDEX(FTE_Allocation!$A$2:$A$201,$AB1563),Workforce!$A$2:$A$151,0))),N(INDEX(FTE_Allocation!$I$2:$I$201,$AB1563)))),MONTH(MAX(N(INDEX(Workforce!$I$2:$I$151,MATCH(INDEX(FTE_Allocation!$A$2:$A$201,$AB1563),Workforce!$A$2:$A$151,0))),N(INDEX(FTE_Allocation!$I$2:$I$201,$AB1563)))),1),"")))</f>
        <v/>
      </c>
      <c r="AF1563" s="21">
        <f>IF($Z1563="C",IF(INDEX(Contracts!$I$2:$I$151,$AB1563)="PREPAID",EDATE(DATE(YEAR(INDEX(Contracts!$J$2:$J$151,$AB1563)),MONTH(INDEX(Contracts!$J$2:$J$151,$AB1563)),1),IF(INDEX(Contracts!$N$2:$N$151,$AB1563)="",12,INDEX(Contracts!$N$2:$N$151,$AB1563))-1),IF(INDEX(Contracts!$I$2:$I$151,$AB1563)="MONTHLY",IF(INDEX(Contracts!$K$2:$K$151,$AB1563)="",2958101,INDEX(Contracts!$K$2:$K$151,$AB1563)),0)),IF($Z1563="A",EDATE(DATE(YEAR(INDEX(Fixed_Assets!$G$2:$G$201,$AB1563)),MONTH(INDEX(Fixed_Assets!$G$2:$G$201,$AB1563)),1),INDEX(Fixed_Assets!$J$2:$J$201,$AB1563)-1),IF($Z1563="F",MIN(IF(INDEX(Workforce!$J$2:$J$151,MATCH(INDEX(FTE_Allocation!$A$2:$A$201,$AB1563),Workforce!$A$2:$A$151,0))="",2958101,INDEX(Workforce!$J$2:$J$151,MATCH(INDEX(FTE_Allocation!$A$2:$A$201,$AB1563),Workforce!$A$2:$A$151,0))),IF(INDEX(FTE_Allocation!$J$2:$J$201,$AB1563)="",2958101,INDEX(FTE_Allocation!$J$2:$J$201,$AB1563))),"")))</f>
        <v/>
      </c>
      <c r="AG1563" s="19">
        <f>IF($Z1563="C",IF(INDEX(Contracts!$I$2:$I$151,$AB1563)="PREPAID",INDEX(Contracts!$M$2:$M$151,$AB1563)/IF(INDEX(Contracts!$N$2:$N$151,$AB1563)="",12,INDEX(Contracts!$N$2:$N$151,$AB1563)),IF(INDEX(Contracts!$I$2:$I$151,$AB1563)="MONTHLY",INDEX(Contracts!$M$2:$M$151,$AB1563),0))*(1-N(INDEX(Contracts!$O$2:$O$151,$AB1563))),IF($Z1563="A",INDEX(Fixed_Assets!$H$2:$H$201,$AB1563)/INDEX(Fixed_Assets!$J$2:$J$201,$AB1563),IF($Z1563="F",INDEX(Workforce!$F$2:$F$151,MATCH(INDEX(FTE_Allocation!$A$2:$A$201,$AB1563),Workforce!$A$2:$A$151,0))*N(INDEX(FTE_Allocation!$F$2:$H$201,$AB1563,$AC1563)),"")))</f>
        <v/>
      </c>
    </row>
    <row r="1564">
      <c r="A1564" s="7">
        <f>IF($Z1564="","",$AD1564)</f>
        <v/>
      </c>
      <c r="B1564" s="7">
        <f>IF($Z1564="C",INDEX(Contracts!$D$2:$D$151,$AB1564)&amp;"",IF($Z1564="A",INDEX(Fixed_Assets!$C$2:$C$201,$AB1564)&amp;"",IF($Z1564="F",INDEX(Workforce!$B$2:$B$151,MATCH(INDEX(FTE_Allocation!$A$2:$A$201,$AB1564),Workforce!$A$2:$A$151,0))&amp;"","")))</f>
        <v/>
      </c>
      <c r="C1564" s="7">
        <f>IF($Z1564="C",INDEX(Contracts!$E$2:$E$151,$AB1564)&amp;"",IF($Z1564="A",INDEX(Fixed_Assets!$D$2:$D$201,$AB1564)&amp;"",IF($Z1564="F",INDEX(FTE_Allocation!$C$2:$C$201,$AB1564)&amp;"","")))</f>
        <v/>
      </c>
      <c r="D1564" s="7">
        <f>IF($Z1564="C",INDEX(Contracts!$B$2:$B$151,$AB1564)&amp;"",IF($Z1564="A",INDEX(Fixed_Assets!$B$2:$B$201,$AB1564)&amp;"",IF($Z1564="F",INDEX(FTE_Allocation!$B$2:$B$201,$AB1564)&amp;"","")))</f>
        <v/>
      </c>
      <c r="E1564" s="7">
        <f>IF($Z1564="C",INDEX(Contracts!$P$2:$P$151,$AB1564)&amp;"",IF($Z1564="A",INDEX(Fixed_Assets!$K$2:$K$201,$AB1564)&amp;"",IF($Z1564="F",IF(INDEX(FTE_Allocation!$D$2:$D$201,$AB1564)="PROJECT",IFERROR(INDEX(Projects!$D:$D,MATCH(INDEX(FTE_Allocation!$E$2:$E$201,$AB1564),Projects!$A:$A,0))&amp;"","#PROJECT?"),INDEX(FTE_Allocation!$E$2:$E$201,$AB1564)&amp;""),"")))</f>
        <v/>
      </c>
      <c r="F1564" s="7">
        <f>IF($Z1564="C",INDEX(Contracts!$Q$2:$Q$151,$AB1564)&amp;"",IF($Z1564="A",INDEX(Fixed_Assets!$L$2:$L$201,$AB1564)&amp;"",IF($Z1564="F",INDEX(Workforce!$K$2:$K$151,MATCH(INDEX(FTE_Allocation!$A$2:$A$201,$AB1564),Workforce!$A$2:$A$151,0))&amp;"","")))</f>
        <v/>
      </c>
      <c r="G1564" s="7">
        <f>IF($Z1564="C",INDEX(Contracts!$F$2:$F$151,$AB1564)&amp;" / "&amp;INDEX(Contracts!$G$2:$G$151,$AB1564),IF($Z1564="A",INDEX(Fixed_Assets!$E$2:$E$201,$AB1564)&amp;"",IF($Z1564="F","Personnel "&amp;INDEX(FTE_Allocation!$A$2:$A$201,$AB1564)&amp;IF(INDEX(FTE_Allocation!$D$2:$D$201,$AB1564)="PROJECT"," ("&amp;INDEX(FTE_Allocation!$E$2:$E$201,$AB1564)&amp;")",""),"")))</f>
        <v/>
      </c>
      <c r="H1564" s="7">
        <f>IF($Z1564="C","CONTRACT",IF($Z1564="A","ASSET",IF($Z1564="F","WORKFORCE","")))</f>
        <v/>
      </c>
      <c r="I1564" s="7">
        <f>IF($Z1564="C",INDEX(Contracts!$L$2:$L$151,$AB1564)&amp;"",IF($Z1564="A",INDEX(Fixed_Assets!$I$2:$I$201,$AB1564)&amp;"",IF($Z1564="F",INDEX(Workforce!$G$2:$G$151,MATCH(INDEX(FTE_Allocation!$A$2:$A$201,$AB1564),Workforce!$A$2:$A$151,0))&amp;"","")))</f>
        <v/>
      </c>
      <c r="J1564" s="18">
        <f>IF($Z1564="","",IF(AND(DATE($AD1564,1,1)&gt;=$AE1564,DATE($AD1564,1,1)&lt;=$AF1564),ROUND($AG1564,2),0))</f>
        <v/>
      </c>
      <c r="K1564" s="18">
        <f>IF($Z1564="","",IF(AND(DATE($AD1564,2,1)&gt;=$AE1564,DATE($AD1564,2,1)&lt;=$AF1564),ROUND($AG1564,2),0))</f>
        <v/>
      </c>
      <c r="L1564" s="18">
        <f>IF($Z1564="","",IF(AND(DATE($AD1564,3,1)&gt;=$AE1564,DATE($AD1564,3,1)&lt;=$AF1564),ROUND($AG1564,2),0))</f>
        <v/>
      </c>
      <c r="M1564" s="18">
        <f>IF($Z1564="","",IF(AND(DATE($AD1564,4,1)&gt;=$AE1564,DATE($AD1564,4,1)&lt;=$AF1564),ROUND($AG1564,2),0))</f>
        <v/>
      </c>
      <c r="N1564" s="18">
        <f>IF($Z1564="","",IF(AND(DATE($AD1564,5,1)&gt;=$AE1564,DATE($AD1564,5,1)&lt;=$AF1564),ROUND($AG1564,2),0))</f>
        <v/>
      </c>
      <c r="O1564" s="18">
        <f>IF($Z1564="","",IF(AND(DATE($AD1564,6,1)&gt;=$AE1564,DATE($AD1564,6,1)&lt;=$AF1564),ROUND($AG1564,2),0))</f>
        <v/>
      </c>
      <c r="P1564" s="18">
        <f>IF($Z1564="","",IF(AND(DATE($AD1564,7,1)&gt;=$AE1564,DATE($AD1564,7,1)&lt;=$AF1564),ROUND($AG1564,2),0))</f>
        <v/>
      </c>
      <c r="Q1564" s="18">
        <f>IF($Z1564="","",IF(AND(DATE($AD1564,8,1)&gt;=$AE1564,DATE($AD1564,8,1)&lt;=$AF1564),ROUND($AG1564,2),0))</f>
        <v/>
      </c>
      <c r="R1564" s="18">
        <f>IF($Z1564="","",IF(AND(DATE($AD1564,9,1)&gt;=$AE1564,DATE($AD1564,9,1)&lt;=$AF1564),ROUND($AG1564,2),0))</f>
        <v/>
      </c>
      <c r="S1564" s="18">
        <f>IF($Z1564="","",IF(AND(DATE($AD1564,10,1)&gt;=$AE1564,DATE($AD1564,10,1)&lt;=$AF1564),ROUND($AG1564,2),0))</f>
        <v/>
      </c>
      <c r="T1564" s="18">
        <f>IF($Z1564="","",IF(AND(DATE($AD1564,11,1)&gt;=$AE1564,DATE($AD1564,11,1)&lt;=$AF1564),ROUND($AG1564,2),0))</f>
        <v/>
      </c>
      <c r="U1564" s="18">
        <f>IF($Z1564="","",IF(AND(DATE($AD1564,12,1)&gt;=$AE1564,DATE($AD1564,12,1)&lt;=$AF1564),ROUND($AG1564,2),0))</f>
        <v/>
      </c>
      <c r="V1564" s="7">
        <f>IF($Z1564="C","Generated from "&amp;INDEX(Contracts!$A$2:$A$151,$AB1564),IF($Z1564="A","Generated from "&amp;INDEX(Fixed_Assets!$A$2:$A$201,$AB1564),IF($Z1564="F","Generated from "&amp;INDEX(FTE_Allocation!$A$2:$A$201,$AB1564),"")))</f>
        <v/>
      </c>
      <c r="X1564" s="19">
        <f>IF($Z1564="","",SUM(J1564:U1564))</f>
        <v/>
      </c>
      <c r="Y1564" s="20">
        <f>ROW()-1</f>
        <v/>
      </c>
      <c r="Z1564" s="20">
        <f>IF($Y1564&lt;=Settings!$B$4*3,"C",IF($Y1564&lt;=(Settings!$B$4+Settings!$B$5)*3,"A",IF($Y1564&lt;=(Settings!$B$4+Settings!$B$5+Settings!$B$6)*3,"F","")))</f>
        <v/>
      </c>
      <c r="AA1564" s="20">
        <f>IF($Z1564="C",$Y1564,IF($Z1564="A",$Y1564-Settings!$B$4*3,IF($Z1564="F",$Y1564-(Settings!$B$4+Settings!$B$5)*3,"")))</f>
        <v/>
      </c>
      <c r="AB1564" s="20">
        <f>IF($Z1564="","",INT(($AA1564-1)/3)+1)</f>
        <v/>
      </c>
      <c r="AC1564" s="20">
        <f>IF($Z1564="","",MOD($AA1564-1,3)+1)</f>
        <v/>
      </c>
      <c r="AD1564" s="20">
        <f>IF($Z1564="","",Settings!$B$2+$AC1564-1)</f>
        <v/>
      </c>
      <c r="AE1564" s="21">
        <f>IF($Z1564="C",DATE(YEAR(INDEX(Contracts!$J$2:$J$151,$AB1564)),MONTH(INDEX(Contracts!$J$2:$J$151,$AB1564)),1),IF($Z1564="A",DATE(YEAR(INDEX(Fixed_Assets!$G$2:$G$201,$AB1564)),MONTH(INDEX(Fixed_Assets!$G$2:$G$201,$AB1564)),1),IF($Z1564="F",DATE(YEAR(MAX(N(INDEX(Workforce!$I$2:$I$151,MATCH(INDEX(FTE_Allocation!$A$2:$A$201,$AB1564),Workforce!$A$2:$A$151,0))),N(INDEX(FTE_Allocation!$I$2:$I$201,$AB1564)))),MONTH(MAX(N(INDEX(Workforce!$I$2:$I$151,MATCH(INDEX(FTE_Allocation!$A$2:$A$201,$AB1564),Workforce!$A$2:$A$151,0))),N(INDEX(FTE_Allocation!$I$2:$I$201,$AB1564)))),1),"")))</f>
        <v/>
      </c>
      <c r="AF1564" s="21">
        <f>IF($Z1564="C",IF(INDEX(Contracts!$I$2:$I$151,$AB1564)="PREPAID",EDATE(DATE(YEAR(INDEX(Contracts!$J$2:$J$151,$AB1564)),MONTH(INDEX(Contracts!$J$2:$J$151,$AB1564)),1),IF(INDEX(Contracts!$N$2:$N$151,$AB1564)="",12,INDEX(Contracts!$N$2:$N$151,$AB1564))-1),IF(INDEX(Contracts!$I$2:$I$151,$AB1564)="MONTHLY",IF(INDEX(Contracts!$K$2:$K$151,$AB1564)="",2958101,INDEX(Contracts!$K$2:$K$151,$AB1564)),0)),IF($Z1564="A",EDATE(DATE(YEAR(INDEX(Fixed_Assets!$G$2:$G$201,$AB1564)),MONTH(INDEX(Fixed_Assets!$G$2:$G$201,$AB1564)),1),INDEX(Fixed_Assets!$J$2:$J$201,$AB1564)-1),IF($Z1564="F",MIN(IF(INDEX(Workforce!$J$2:$J$151,MATCH(INDEX(FTE_Allocation!$A$2:$A$201,$AB1564),Workforce!$A$2:$A$151,0))="",2958101,INDEX(Workforce!$J$2:$J$151,MATCH(INDEX(FTE_Allocation!$A$2:$A$201,$AB1564),Workforce!$A$2:$A$151,0))),IF(INDEX(FTE_Allocation!$J$2:$J$201,$AB1564)="",2958101,INDEX(FTE_Allocation!$J$2:$J$201,$AB1564))),"")))</f>
        <v/>
      </c>
      <c r="AG1564" s="19">
        <f>IF($Z1564="C",IF(INDEX(Contracts!$I$2:$I$151,$AB1564)="PREPAID",INDEX(Contracts!$M$2:$M$151,$AB1564)/IF(INDEX(Contracts!$N$2:$N$151,$AB1564)="",12,INDEX(Contracts!$N$2:$N$151,$AB1564)),IF(INDEX(Contracts!$I$2:$I$151,$AB1564)="MONTHLY",INDEX(Contracts!$M$2:$M$151,$AB1564),0))*(1-N(INDEX(Contracts!$O$2:$O$151,$AB1564))),IF($Z1564="A",INDEX(Fixed_Assets!$H$2:$H$201,$AB1564)/INDEX(Fixed_Assets!$J$2:$J$201,$AB1564),IF($Z1564="F",INDEX(Workforce!$F$2:$F$151,MATCH(INDEX(FTE_Allocation!$A$2:$A$201,$AB1564),Workforce!$A$2:$A$151,0))*N(INDEX(FTE_Allocation!$F$2:$H$201,$AB1564,$AC1564)),"")))</f>
        <v/>
      </c>
    </row>
    <row r="1565">
      <c r="A1565" s="7">
        <f>IF($Z1565="","",$AD1565)</f>
        <v/>
      </c>
      <c r="B1565" s="7">
        <f>IF($Z1565="C",INDEX(Contracts!$D$2:$D$151,$AB1565)&amp;"",IF($Z1565="A",INDEX(Fixed_Assets!$C$2:$C$201,$AB1565)&amp;"",IF($Z1565="F",INDEX(Workforce!$B$2:$B$151,MATCH(INDEX(FTE_Allocation!$A$2:$A$201,$AB1565),Workforce!$A$2:$A$151,0))&amp;"","")))</f>
        <v/>
      </c>
      <c r="C1565" s="7">
        <f>IF($Z1565="C",INDEX(Contracts!$E$2:$E$151,$AB1565)&amp;"",IF($Z1565="A",INDEX(Fixed_Assets!$D$2:$D$201,$AB1565)&amp;"",IF($Z1565="F",INDEX(FTE_Allocation!$C$2:$C$201,$AB1565)&amp;"","")))</f>
        <v/>
      </c>
      <c r="D1565" s="7">
        <f>IF($Z1565="C",INDEX(Contracts!$B$2:$B$151,$AB1565)&amp;"",IF($Z1565="A",INDEX(Fixed_Assets!$B$2:$B$201,$AB1565)&amp;"",IF($Z1565="F",INDEX(FTE_Allocation!$B$2:$B$201,$AB1565)&amp;"","")))</f>
        <v/>
      </c>
      <c r="E1565" s="7">
        <f>IF($Z1565="C",INDEX(Contracts!$P$2:$P$151,$AB1565)&amp;"",IF($Z1565="A",INDEX(Fixed_Assets!$K$2:$K$201,$AB1565)&amp;"",IF($Z1565="F",IF(INDEX(FTE_Allocation!$D$2:$D$201,$AB1565)="PROJECT",IFERROR(INDEX(Projects!$D:$D,MATCH(INDEX(FTE_Allocation!$E$2:$E$201,$AB1565),Projects!$A:$A,0))&amp;"","#PROJECT?"),INDEX(FTE_Allocation!$E$2:$E$201,$AB1565)&amp;""),"")))</f>
        <v/>
      </c>
      <c r="F1565" s="7">
        <f>IF($Z1565="C",INDEX(Contracts!$Q$2:$Q$151,$AB1565)&amp;"",IF($Z1565="A",INDEX(Fixed_Assets!$L$2:$L$201,$AB1565)&amp;"",IF($Z1565="F",INDEX(Workforce!$K$2:$K$151,MATCH(INDEX(FTE_Allocation!$A$2:$A$201,$AB1565),Workforce!$A$2:$A$151,0))&amp;"","")))</f>
        <v/>
      </c>
      <c r="G1565" s="7">
        <f>IF($Z1565="C",INDEX(Contracts!$F$2:$F$151,$AB1565)&amp;" / "&amp;INDEX(Contracts!$G$2:$G$151,$AB1565),IF($Z1565="A",INDEX(Fixed_Assets!$E$2:$E$201,$AB1565)&amp;"",IF($Z1565="F","Personnel "&amp;INDEX(FTE_Allocation!$A$2:$A$201,$AB1565)&amp;IF(INDEX(FTE_Allocation!$D$2:$D$201,$AB1565)="PROJECT"," ("&amp;INDEX(FTE_Allocation!$E$2:$E$201,$AB1565)&amp;")",""),"")))</f>
        <v/>
      </c>
      <c r="H1565" s="7">
        <f>IF($Z1565="C","CONTRACT",IF($Z1565="A","ASSET",IF($Z1565="F","WORKFORCE","")))</f>
        <v/>
      </c>
      <c r="I1565" s="7">
        <f>IF($Z1565="C",INDEX(Contracts!$L$2:$L$151,$AB1565)&amp;"",IF($Z1565="A",INDEX(Fixed_Assets!$I$2:$I$201,$AB1565)&amp;"",IF($Z1565="F",INDEX(Workforce!$G$2:$G$151,MATCH(INDEX(FTE_Allocation!$A$2:$A$201,$AB1565),Workforce!$A$2:$A$151,0))&amp;"","")))</f>
        <v/>
      </c>
      <c r="J1565" s="18">
        <f>IF($Z1565="","",IF(AND(DATE($AD1565,1,1)&gt;=$AE1565,DATE($AD1565,1,1)&lt;=$AF1565),ROUND($AG1565,2),0))</f>
        <v/>
      </c>
      <c r="K1565" s="18">
        <f>IF($Z1565="","",IF(AND(DATE($AD1565,2,1)&gt;=$AE1565,DATE($AD1565,2,1)&lt;=$AF1565),ROUND($AG1565,2),0))</f>
        <v/>
      </c>
      <c r="L1565" s="18">
        <f>IF($Z1565="","",IF(AND(DATE($AD1565,3,1)&gt;=$AE1565,DATE($AD1565,3,1)&lt;=$AF1565),ROUND($AG1565,2),0))</f>
        <v/>
      </c>
      <c r="M1565" s="18">
        <f>IF($Z1565="","",IF(AND(DATE($AD1565,4,1)&gt;=$AE1565,DATE($AD1565,4,1)&lt;=$AF1565),ROUND($AG1565,2),0))</f>
        <v/>
      </c>
      <c r="N1565" s="18">
        <f>IF($Z1565="","",IF(AND(DATE($AD1565,5,1)&gt;=$AE1565,DATE($AD1565,5,1)&lt;=$AF1565),ROUND($AG1565,2),0))</f>
        <v/>
      </c>
      <c r="O1565" s="18">
        <f>IF($Z1565="","",IF(AND(DATE($AD1565,6,1)&gt;=$AE1565,DATE($AD1565,6,1)&lt;=$AF1565),ROUND($AG1565,2),0))</f>
        <v/>
      </c>
      <c r="P1565" s="18">
        <f>IF($Z1565="","",IF(AND(DATE($AD1565,7,1)&gt;=$AE1565,DATE($AD1565,7,1)&lt;=$AF1565),ROUND($AG1565,2),0))</f>
        <v/>
      </c>
      <c r="Q1565" s="18">
        <f>IF($Z1565="","",IF(AND(DATE($AD1565,8,1)&gt;=$AE1565,DATE($AD1565,8,1)&lt;=$AF1565),ROUND($AG1565,2),0))</f>
        <v/>
      </c>
      <c r="R1565" s="18">
        <f>IF($Z1565="","",IF(AND(DATE($AD1565,9,1)&gt;=$AE1565,DATE($AD1565,9,1)&lt;=$AF1565),ROUND($AG1565,2),0))</f>
        <v/>
      </c>
      <c r="S1565" s="18">
        <f>IF($Z1565="","",IF(AND(DATE($AD1565,10,1)&gt;=$AE1565,DATE($AD1565,10,1)&lt;=$AF1565),ROUND($AG1565,2),0))</f>
        <v/>
      </c>
      <c r="T1565" s="18">
        <f>IF($Z1565="","",IF(AND(DATE($AD1565,11,1)&gt;=$AE1565,DATE($AD1565,11,1)&lt;=$AF1565),ROUND($AG1565,2),0))</f>
        <v/>
      </c>
      <c r="U1565" s="18">
        <f>IF($Z1565="","",IF(AND(DATE($AD1565,12,1)&gt;=$AE1565,DATE($AD1565,12,1)&lt;=$AF1565),ROUND($AG1565,2),0))</f>
        <v/>
      </c>
      <c r="V1565" s="7">
        <f>IF($Z1565="C","Generated from "&amp;INDEX(Contracts!$A$2:$A$151,$AB1565),IF($Z1565="A","Generated from "&amp;INDEX(Fixed_Assets!$A$2:$A$201,$AB1565),IF($Z1565="F","Generated from "&amp;INDEX(FTE_Allocation!$A$2:$A$201,$AB1565),"")))</f>
        <v/>
      </c>
      <c r="X1565" s="19">
        <f>IF($Z1565="","",SUM(J1565:U1565))</f>
        <v/>
      </c>
      <c r="Y1565" s="20">
        <f>ROW()-1</f>
        <v/>
      </c>
      <c r="Z1565" s="20">
        <f>IF($Y1565&lt;=Settings!$B$4*3,"C",IF($Y1565&lt;=(Settings!$B$4+Settings!$B$5)*3,"A",IF($Y1565&lt;=(Settings!$B$4+Settings!$B$5+Settings!$B$6)*3,"F","")))</f>
        <v/>
      </c>
      <c r="AA1565" s="20">
        <f>IF($Z1565="C",$Y1565,IF($Z1565="A",$Y1565-Settings!$B$4*3,IF($Z1565="F",$Y1565-(Settings!$B$4+Settings!$B$5)*3,"")))</f>
        <v/>
      </c>
      <c r="AB1565" s="20">
        <f>IF($Z1565="","",INT(($AA1565-1)/3)+1)</f>
        <v/>
      </c>
      <c r="AC1565" s="20">
        <f>IF($Z1565="","",MOD($AA1565-1,3)+1)</f>
        <v/>
      </c>
      <c r="AD1565" s="20">
        <f>IF($Z1565="","",Settings!$B$2+$AC1565-1)</f>
        <v/>
      </c>
      <c r="AE1565" s="21">
        <f>IF($Z1565="C",DATE(YEAR(INDEX(Contracts!$J$2:$J$151,$AB1565)),MONTH(INDEX(Contracts!$J$2:$J$151,$AB1565)),1),IF($Z1565="A",DATE(YEAR(INDEX(Fixed_Assets!$G$2:$G$201,$AB1565)),MONTH(INDEX(Fixed_Assets!$G$2:$G$201,$AB1565)),1),IF($Z1565="F",DATE(YEAR(MAX(N(INDEX(Workforce!$I$2:$I$151,MATCH(INDEX(FTE_Allocation!$A$2:$A$201,$AB1565),Workforce!$A$2:$A$151,0))),N(INDEX(FTE_Allocation!$I$2:$I$201,$AB1565)))),MONTH(MAX(N(INDEX(Workforce!$I$2:$I$151,MATCH(INDEX(FTE_Allocation!$A$2:$A$201,$AB1565),Workforce!$A$2:$A$151,0))),N(INDEX(FTE_Allocation!$I$2:$I$201,$AB1565)))),1),"")))</f>
        <v/>
      </c>
      <c r="AF1565" s="21">
        <f>IF($Z1565="C",IF(INDEX(Contracts!$I$2:$I$151,$AB1565)="PREPAID",EDATE(DATE(YEAR(INDEX(Contracts!$J$2:$J$151,$AB1565)),MONTH(INDEX(Contracts!$J$2:$J$151,$AB1565)),1),IF(INDEX(Contracts!$N$2:$N$151,$AB1565)="",12,INDEX(Contracts!$N$2:$N$151,$AB1565))-1),IF(INDEX(Contracts!$I$2:$I$151,$AB1565)="MONTHLY",IF(INDEX(Contracts!$K$2:$K$151,$AB1565)="",2958101,INDEX(Contracts!$K$2:$K$151,$AB1565)),0)),IF($Z1565="A",EDATE(DATE(YEAR(INDEX(Fixed_Assets!$G$2:$G$201,$AB1565)),MONTH(INDEX(Fixed_Assets!$G$2:$G$201,$AB1565)),1),INDEX(Fixed_Assets!$J$2:$J$201,$AB1565)-1),IF($Z1565="F",MIN(IF(INDEX(Workforce!$J$2:$J$151,MATCH(INDEX(FTE_Allocation!$A$2:$A$201,$AB1565),Workforce!$A$2:$A$151,0))="",2958101,INDEX(Workforce!$J$2:$J$151,MATCH(INDEX(FTE_Allocation!$A$2:$A$201,$AB1565),Workforce!$A$2:$A$151,0))),IF(INDEX(FTE_Allocation!$J$2:$J$201,$AB1565)="",2958101,INDEX(FTE_Allocation!$J$2:$J$201,$AB1565))),"")))</f>
        <v/>
      </c>
      <c r="AG1565" s="19">
        <f>IF($Z1565="C",IF(INDEX(Contracts!$I$2:$I$151,$AB1565)="PREPAID",INDEX(Contracts!$M$2:$M$151,$AB1565)/IF(INDEX(Contracts!$N$2:$N$151,$AB1565)="",12,INDEX(Contracts!$N$2:$N$151,$AB1565)),IF(INDEX(Contracts!$I$2:$I$151,$AB1565)="MONTHLY",INDEX(Contracts!$M$2:$M$151,$AB1565),0))*(1-N(INDEX(Contracts!$O$2:$O$151,$AB1565))),IF($Z1565="A",INDEX(Fixed_Assets!$H$2:$H$201,$AB1565)/INDEX(Fixed_Assets!$J$2:$J$201,$AB1565),IF($Z1565="F",INDEX(Workforce!$F$2:$F$151,MATCH(INDEX(FTE_Allocation!$A$2:$A$201,$AB1565),Workforce!$A$2:$A$151,0))*N(INDEX(FTE_Allocation!$F$2:$H$201,$AB1565,$AC1565)),"")))</f>
        <v/>
      </c>
    </row>
    <row r="1566">
      <c r="A1566" s="7">
        <f>IF($Z1566="","",$AD1566)</f>
        <v/>
      </c>
      <c r="B1566" s="7">
        <f>IF($Z1566="C",INDEX(Contracts!$D$2:$D$151,$AB1566)&amp;"",IF($Z1566="A",INDEX(Fixed_Assets!$C$2:$C$201,$AB1566)&amp;"",IF($Z1566="F",INDEX(Workforce!$B$2:$B$151,MATCH(INDEX(FTE_Allocation!$A$2:$A$201,$AB1566),Workforce!$A$2:$A$151,0))&amp;"","")))</f>
        <v/>
      </c>
      <c r="C1566" s="7">
        <f>IF($Z1566="C",INDEX(Contracts!$E$2:$E$151,$AB1566)&amp;"",IF($Z1566="A",INDEX(Fixed_Assets!$D$2:$D$201,$AB1566)&amp;"",IF($Z1566="F",INDEX(FTE_Allocation!$C$2:$C$201,$AB1566)&amp;"","")))</f>
        <v/>
      </c>
      <c r="D1566" s="7">
        <f>IF($Z1566="C",INDEX(Contracts!$B$2:$B$151,$AB1566)&amp;"",IF($Z1566="A",INDEX(Fixed_Assets!$B$2:$B$201,$AB1566)&amp;"",IF($Z1566="F",INDEX(FTE_Allocation!$B$2:$B$201,$AB1566)&amp;"","")))</f>
        <v/>
      </c>
      <c r="E1566" s="7">
        <f>IF($Z1566="C",INDEX(Contracts!$P$2:$P$151,$AB1566)&amp;"",IF($Z1566="A",INDEX(Fixed_Assets!$K$2:$K$201,$AB1566)&amp;"",IF($Z1566="F",IF(INDEX(FTE_Allocation!$D$2:$D$201,$AB1566)="PROJECT",IFERROR(INDEX(Projects!$D:$D,MATCH(INDEX(FTE_Allocation!$E$2:$E$201,$AB1566),Projects!$A:$A,0))&amp;"","#PROJECT?"),INDEX(FTE_Allocation!$E$2:$E$201,$AB1566)&amp;""),"")))</f>
        <v/>
      </c>
      <c r="F1566" s="7">
        <f>IF($Z1566="C",INDEX(Contracts!$Q$2:$Q$151,$AB1566)&amp;"",IF($Z1566="A",INDEX(Fixed_Assets!$L$2:$L$201,$AB1566)&amp;"",IF($Z1566="F",INDEX(Workforce!$K$2:$K$151,MATCH(INDEX(FTE_Allocation!$A$2:$A$201,$AB1566),Workforce!$A$2:$A$151,0))&amp;"","")))</f>
        <v/>
      </c>
      <c r="G1566" s="7">
        <f>IF($Z1566="C",INDEX(Contracts!$F$2:$F$151,$AB1566)&amp;" / "&amp;INDEX(Contracts!$G$2:$G$151,$AB1566),IF($Z1566="A",INDEX(Fixed_Assets!$E$2:$E$201,$AB1566)&amp;"",IF($Z1566="F","Personnel "&amp;INDEX(FTE_Allocation!$A$2:$A$201,$AB1566)&amp;IF(INDEX(FTE_Allocation!$D$2:$D$201,$AB1566)="PROJECT"," ("&amp;INDEX(FTE_Allocation!$E$2:$E$201,$AB1566)&amp;")",""),"")))</f>
        <v/>
      </c>
      <c r="H1566" s="7">
        <f>IF($Z1566="C","CONTRACT",IF($Z1566="A","ASSET",IF($Z1566="F","WORKFORCE","")))</f>
        <v/>
      </c>
      <c r="I1566" s="7">
        <f>IF($Z1566="C",INDEX(Contracts!$L$2:$L$151,$AB1566)&amp;"",IF($Z1566="A",INDEX(Fixed_Assets!$I$2:$I$201,$AB1566)&amp;"",IF($Z1566="F",INDEX(Workforce!$G$2:$G$151,MATCH(INDEX(FTE_Allocation!$A$2:$A$201,$AB1566),Workforce!$A$2:$A$151,0))&amp;"","")))</f>
        <v/>
      </c>
      <c r="J1566" s="18">
        <f>IF($Z1566="","",IF(AND(DATE($AD1566,1,1)&gt;=$AE1566,DATE($AD1566,1,1)&lt;=$AF1566),ROUND($AG1566,2),0))</f>
        <v/>
      </c>
      <c r="K1566" s="18">
        <f>IF($Z1566="","",IF(AND(DATE($AD1566,2,1)&gt;=$AE1566,DATE($AD1566,2,1)&lt;=$AF1566),ROUND($AG1566,2),0))</f>
        <v/>
      </c>
      <c r="L1566" s="18">
        <f>IF($Z1566="","",IF(AND(DATE($AD1566,3,1)&gt;=$AE1566,DATE($AD1566,3,1)&lt;=$AF1566),ROUND($AG1566,2),0))</f>
        <v/>
      </c>
      <c r="M1566" s="18">
        <f>IF($Z1566="","",IF(AND(DATE($AD1566,4,1)&gt;=$AE1566,DATE($AD1566,4,1)&lt;=$AF1566),ROUND($AG1566,2),0))</f>
        <v/>
      </c>
      <c r="N1566" s="18">
        <f>IF($Z1566="","",IF(AND(DATE($AD1566,5,1)&gt;=$AE1566,DATE($AD1566,5,1)&lt;=$AF1566),ROUND($AG1566,2),0))</f>
        <v/>
      </c>
      <c r="O1566" s="18">
        <f>IF($Z1566="","",IF(AND(DATE($AD1566,6,1)&gt;=$AE1566,DATE($AD1566,6,1)&lt;=$AF1566),ROUND($AG1566,2),0))</f>
        <v/>
      </c>
      <c r="P1566" s="18">
        <f>IF($Z1566="","",IF(AND(DATE($AD1566,7,1)&gt;=$AE1566,DATE($AD1566,7,1)&lt;=$AF1566),ROUND($AG1566,2),0))</f>
        <v/>
      </c>
      <c r="Q1566" s="18">
        <f>IF($Z1566="","",IF(AND(DATE($AD1566,8,1)&gt;=$AE1566,DATE($AD1566,8,1)&lt;=$AF1566),ROUND($AG1566,2),0))</f>
        <v/>
      </c>
      <c r="R1566" s="18">
        <f>IF($Z1566="","",IF(AND(DATE($AD1566,9,1)&gt;=$AE1566,DATE($AD1566,9,1)&lt;=$AF1566),ROUND($AG1566,2),0))</f>
        <v/>
      </c>
      <c r="S1566" s="18">
        <f>IF($Z1566="","",IF(AND(DATE($AD1566,10,1)&gt;=$AE1566,DATE($AD1566,10,1)&lt;=$AF1566),ROUND($AG1566,2),0))</f>
        <v/>
      </c>
      <c r="T1566" s="18">
        <f>IF($Z1566="","",IF(AND(DATE($AD1566,11,1)&gt;=$AE1566,DATE($AD1566,11,1)&lt;=$AF1566),ROUND($AG1566,2),0))</f>
        <v/>
      </c>
      <c r="U1566" s="18">
        <f>IF($Z1566="","",IF(AND(DATE($AD1566,12,1)&gt;=$AE1566,DATE($AD1566,12,1)&lt;=$AF1566),ROUND($AG1566,2),0))</f>
        <v/>
      </c>
      <c r="V1566" s="7">
        <f>IF($Z1566="C","Generated from "&amp;INDEX(Contracts!$A$2:$A$151,$AB1566),IF($Z1566="A","Generated from "&amp;INDEX(Fixed_Assets!$A$2:$A$201,$AB1566),IF($Z1566="F","Generated from "&amp;INDEX(FTE_Allocation!$A$2:$A$201,$AB1566),"")))</f>
        <v/>
      </c>
      <c r="X1566" s="19">
        <f>IF($Z1566="","",SUM(J1566:U1566))</f>
        <v/>
      </c>
      <c r="Y1566" s="20">
        <f>ROW()-1</f>
        <v/>
      </c>
      <c r="Z1566" s="20">
        <f>IF($Y1566&lt;=Settings!$B$4*3,"C",IF($Y1566&lt;=(Settings!$B$4+Settings!$B$5)*3,"A",IF($Y1566&lt;=(Settings!$B$4+Settings!$B$5+Settings!$B$6)*3,"F","")))</f>
        <v/>
      </c>
      <c r="AA1566" s="20">
        <f>IF($Z1566="C",$Y1566,IF($Z1566="A",$Y1566-Settings!$B$4*3,IF($Z1566="F",$Y1566-(Settings!$B$4+Settings!$B$5)*3,"")))</f>
        <v/>
      </c>
      <c r="AB1566" s="20">
        <f>IF($Z1566="","",INT(($AA1566-1)/3)+1)</f>
        <v/>
      </c>
      <c r="AC1566" s="20">
        <f>IF($Z1566="","",MOD($AA1566-1,3)+1)</f>
        <v/>
      </c>
      <c r="AD1566" s="20">
        <f>IF($Z1566="","",Settings!$B$2+$AC1566-1)</f>
        <v/>
      </c>
      <c r="AE1566" s="21">
        <f>IF($Z1566="C",DATE(YEAR(INDEX(Contracts!$J$2:$J$151,$AB1566)),MONTH(INDEX(Contracts!$J$2:$J$151,$AB1566)),1),IF($Z1566="A",DATE(YEAR(INDEX(Fixed_Assets!$G$2:$G$201,$AB1566)),MONTH(INDEX(Fixed_Assets!$G$2:$G$201,$AB1566)),1),IF($Z1566="F",DATE(YEAR(MAX(N(INDEX(Workforce!$I$2:$I$151,MATCH(INDEX(FTE_Allocation!$A$2:$A$201,$AB1566),Workforce!$A$2:$A$151,0))),N(INDEX(FTE_Allocation!$I$2:$I$201,$AB1566)))),MONTH(MAX(N(INDEX(Workforce!$I$2:$I$151,MATCH(INDEX(FTE_Allocation!$A$2:$A$201,$AB1566),Workforce!$A$2:$A$151,0))),N(INDEX(FTE_Allocation!$I$2:$I$201,$AB1566)))),1),"")))</f>
        <v/>
      </c>
      <c r="AF1566" s="21">
        <f>IF($Z1566="C",IF(INDEX(Contracts!$I$2:$I$151,$AB1566)="PREPAID",EDATE(DATE(YEAR(INDEX(Contracts!$J$2:$J$151,$AB1566)),MONTH(INDEX(Contracts!$J$2:$J$151,$AB1566)),1),IF(INDEX(Contracts!$N$2:$N$151,$AB1566)="",12,INDEX(Contracts!$N$2:$N$151,$AB1566))-1),IF(INDEX(Contracts!$I$2:$I$151,$AB1566)="MONTHLY",IF(INDEX(Contracts!$K$2:$K$151,$AB1566)="",2958101,INDEX(Contracts!$K$2:$K$151,$AB1566)),0)),IF($Z1566="A",EDATE(DATE(YEAR(INDEX(Fixed_Assets!$G$2:$G$201,$AB1566)),MONTH(INDEX(Fixed_Assets!$G$2:$G$201,$AB1566)),1),INDEX(Fixed_Assets!$J$2:$J$201,$AB1566)-1),IF($Z1566="F",MIN(IF(INDEX(Workforce!$J$2:$J$151,MATCH(INDEX(FTE_Allocation!$A$2:$A$201,$AB1566),Workforce!$A$2:$A$151,0))="",2958101,INDEX(Workforce!$J$2:$J$151,MATCH(INDEX(FTE_Allocation!$A$2:$A$201,$AB1566),Workforce!$A$2:$A$151,0))),IF(INDEX(FTE_Allocation!$J$2:$J$201,$AB1566)="",2958101,INDEX(FTE_Allocation!$J$2:$J$201,$AB1566))),"")))</f>
        <v/>
      </c>
      <c r="AG1566" s="19">
        <f>IF($Z1566="C",IF(INDEX(Contracts!$I$2:$I$151,$AB1566)="PREPAID",INDEX(Contracts!$M$2:$M$151,$AB1566)/IF(INDEX(Contracts!$N$2:$N$151,$AB1566)="",12,INDEX(Contracts!$N$2:$N$151,$AB1566)),IF(INDEX(Contracts!$I$2:$I$151,$AB1566)="MONTHLY",INDEX(Contracts!$M$2:$M$151,$AB1566),0))*(1-N(INDEX(Contracts!$O$2:$O$151,$AB1566))),IF($Z1566="A",INDEX(Fixed_Assets!$H$2:$H$201,$AB1566)/INDEX(Fixed_Assets!$J$2:$J$201,$AB1566),IF($Z1566="F",INDEX(Workforce!$F$2:$F$151,MATCH(INDEX(FTE_Allocation!$A$2:$A$201,$AB1566),Workforce!$A$2:$A$151,0))*N(INDEX(FTE_Allocation!$F$2:$H$201,$AB1566,$AC1566)),"")))</f>
        <v/>
      </c>
    </row>
    <row r="1567">
      <c r="A1567" s="7">
        <f>IF($Z1567="","",$AD1567)</f>
        <v/>
      </c>
      <c r="B1567" s="7">
        <f>IF($Z1567="C",INDEX(Contracts!$D$2:$D$151,$AB1567)&amp;"",IF($Z1567="A",INDEX(Fixed_Assets!$C$2:$C$201,$AB1567)&amp;"",IF($Z1567="F",INDEX(Workforce!$B$2:$B$151,MATCH(INDEX(FTE_Allocation!$A$2:$A$201,$AB1567),Workforce!$A$2:$A$151,0))&amp;"","")))</f>
        <v/>
      </c>
      <c r="C1567" s="7">
        <f>IF($Z1567="C",INDEX(Contracts!$E$2:$E$151,$AB1567)&amp;"",IF($Z1567="A",INDEX(Fixed_Assets!$D$2:$D$201,$AB1567)&amp;"",IF($Z1567="F",INDEX(FTE_Allocation!$C$2:$C$201,$AB1567)&amp;"","")))</f>
        <v/>
      </c>
      <c r="D1567" s="7">
        <f>IF($Z1567="C",INDEX(Contracts!$B$2:$B$151,$AB1567)&amp;"",IF($Z1567="A",INDEX(Fixed_Assets!$B$2:$B$201,$AB1567)&amp;"",IF($Z1567="F",INDEX(FTE_Allocation!$B$2:$B$201,$AB1567)&amp;"","")))</f>
        <v/>
      </c>
      <c r="E1567" s="7">
        <f>IF($Z1567="C",INDEX(Contracts!$P$2:$P$151,$AB1567)&amp;"",IF($Z1567="A",INDEX(Fixed_Assets!$K$2:$K$201,$AB1567)&amp;"",IF($Z1567="F",IF(INDEX(FTE_Allocation!$D$2:$D$201,$AB1567)="PROJECT",IFERROR(INDEX(Projects!$D:$D,MATCH(INDEX(FTE_Allocation!$E$2:$E$201,$AB1567),Projects!$A:$A,0))&amp;"","#PROJECT?"),INDEX(FTE_Allocation!$E$2:$E$201,$AB1567)&amp;""),"")))</f>
        <v/>
      </c>
      <c r="F1567" s="7">
        <f>IF($Z1567="C",INDEX(Contracts!$Q$2:$Q$151,$AB1567)&amp;"",IF($Z1567="A",INDEX(Fixed_Assets!$L$2:$L$201,$AB1567)&amp;"",IF($Z1567="F",INDEX(Workforce!$K$2:$K$151,MATCH(INDEX(FTE_Allocation!$A$2:$A$201,$AB1567),Workforce!$A$2:$A$151,0))&amp;"","")))</f>
        <v/>
      </c>
      <c r="G1567" s="7">
        <f>IF($Z1567="C",INDEX(Contracts!$F$2:$F$151,$AB1567)&amp;" / "&amp;INDEX(Contracts!$G$2:$G$151,$AB1567),IF($Z1567="A",INDEX(Fixed_Assets!$E$2:$E$201,$AB1567)&amp;"",IF($Z1567="F","Personnel "&amp;INDEX(FTE_Allocation!$A$2:$A$201,$AB1567)&amp;IF(INDEX(FTE_Allocation!$D$2:$D$201,$AB1567)="PROJECT"," ("&amp;INDEX(FTE_Allocation!$E$2:$E$201,$AB1567)&amp;")",""),"")))</f>
        <v/>
      </c>
      <c r="H1567" s="7">
        <f>IF($Z1567="C","CONTRACT",IF($Z1567="A","ASSET",IF($Z1567="F","WORKFORCE","")))</f>
        <v/>
      </c>
      <c r="I1567" s="7">
        <f>IF($Z1567="C",INDEX(Contracts!$L$2:$L$151,$AB1567)&amp;"",IF($Z1567="A",INDEX(Fixed_Assets!$I$2:$I$201,$AB1567)&amp;"",IF($Z1567="F",INDEX(Workforce!$G$2:$G$151,MATCH(INDEX(FTE_Allocation!$A$2:$A$201,$AB1567),Workforce!$A$2:$A$151,0))&amp;"","")))</f>
        <v/>
      </c>
      <c r="J1567" s="18">
        <f>IF($Z1567="","",IF(AND(DATE($AD1567,1,1)&gt;=$AE1567,DATE($AD1567,1,1)&lt;=$AF1567),ROUND($AG1567,2),0))</f>
        <v/>
      </c>
      <c r="K1567" s="18">
        <f>IF($Z1567="","",IF(AND(DATE($AD1567,2,1)&gt;=$AE1567,DATE($AD1567,2,1)&lt;=$AF1567),ROUND($AG1567,2),0))</f>
        <v/>
      </c>
      <c r="L1567" s="18">
        <f>IF($Z1567="","",IF(AND(DATE($AD1567,3,1)&gt;=$AE1567,DATE($AD1567,3,1)&lt;=$AF1567),ROUND($AG1567,2),0))</f>
        <v/>
      </c>
      <c r="M1567" s="18">
        <f>IF($Z1567="","",IF(AND(DATE($AD1567,4,1)&gt;=$AE1567,DATE($AD1567,4,1)&lt;=$AF1567),ROUND($AG1567,2),0))</f>
        <v/>
      </c>
      <c r="N1567" s="18">
        <f>IF($Z1567="","",IF(AND(DATE($AD1567,5,1)&gt;=$AE1567,DATE($AD1567,5,1)&lt;=$AF1567),ROUND($AG1567,2),0))</f>
        <v/>
      </c>
      <c r="O1567" s="18">
        <f>IF($Z1567="","",IF(AND(DATE($AD1567,6,1)&gt;=$AE1567,DATE($AD1567,6,1)&lt;=$AF1567),ROUND($AG1567,2),0))</f>
        <v/>
      </c>
      <c r="P1567" s="18">
        <f>IF($Z1567="","",IF(AND(DATE($AD1567,7,1)&gt;=$AE1567,DATE($AD1567,7,1)&lt;=$AF1567),ROUND($AG1567,2),0))</f>
        <v/>
      </c>
      <c r="Q1567" s="18">
        <f>IF($Z1567="","",IF(AND(DATE($AD1567,8,1)&gt;=$AE1567,DATE($AD1567,8,1)&lt;=$AF1567),ROUND($AG1567,2),0))</f>
        <v/>
      </c>
      <c r="R1567" s="18">
        <f>IF($Z1567="","",IF(AND(DATE($AD1567,9,1)&gt;=$AE1567,DATE($AD1567,9,1)&lt;=$AF1567),ROUND($AG1567,2),0))</f>
        <v/>
      </c>
      <c r="S1567" s="18">
        <f>IF($Z1567="","",IF(AND(DATE($AD1567,10,1)&gt;=$AE1567,DATE($AD1567,10,1)&lt;=$AF1567),ROUND($AG1567,2),0))</f>
        <v/>
      </c>
      <c r="T1567" s="18">
        <f>IF($Z1567="","",IF(AND(DATE($AD1567,11,1)&gt;=$AE1567,DATE($AD1567,11,1)&lt;=$AF1567),ROUND($AG1567,2),0))</f>
        <v/>
      </c>
      <c r="U1567" s="18">
        <f>IF($Z1567="","",IF(AND(DATE($AD1567,12,1)&gt;=$AE1567,DATE($AD1567,12,1)&lt;=$AF1567),ROUND($AG1567,2),0))</f>
        <v/>
      </c>
      <c r="V1567" s="7">
        <f>IF($Z1567="C","Generated from "&amp;INDEX(Contracts!$A$2:$A$151,$AB1567),IF($Z1567="A","Generated from "&amp;INDEX(Fixed_Assets!$A$2:$A$201,$AB1567),IF($Z1567="F","Generated from "&amp;INDEX(FTE_Allocation!$A$2:$A$201,$AB1567),"")))</f>
        <v/>
      </c>
      <c r="X1567" s="19">
        <f>IF($Z1567="","",SUM(J1567:U1567))</f>
        <v/>
      </c>
      <c r="Y1567" s="20">
        <f>ROW()-1</f>
        <v/>
      </c>
      <c r="Z1567" s="20">
        <f>IF($Y1567&lt;=Settings!$B$4*3,"C",IF($Y1567&lt;=(Settings!$B$4+Settings!$B$5)*3,"A",IF($Y1567&lt;=(Settings!$B$4+Settings!$B$5+Settings!$B$6)*3,"F","")))</f>
        <v/>
      </c>
      <c r="AA1567" s="20">
        <f>IF($Z1567="C",$Y1567,IF($Z1567="A",$Y1567-Settings!$B$4*3,IF($Z1567="F",$Y1567-(Settings!$B$4+Settings!$B$5)*3,"")))</f>
        <v/>
      </c>
      <c r="AB1567" s="20">
        <f>IF($Z1567="","",INT(($AA1567-1)/3)+1)</f>
        <v/>
      </c>
      <c r="AC1567" s="20">
        <f>IF($Z1567="","",MOD($AA1567-1,3)+1)</f>
        <v/>
      </c>
      <c r="AD1567" s="20">
        <f>IF($Z1567="","",Settings!$B$2+$AC1567-1)</f>
        <v/>
      </c>
      <c r="AE1567" s="21">
        <f>IF($Z1567="C",DATE(YEAR(INDEX(Contracts!$J$2:$J$151,$AB1567)),MONTH(INDEX(Contracts!$J$2:$J$151,$AB1567)),1),IF($Z1567="A",DATE(YEAR(INDEX(Fixed_Assets!$G$2:$G$201,$AB1567)),MONTH(INDEX(Fixed_Assets!$G$2:$G$201,$AB1567)),1),IF($Z1567="F",DATE(YEAR(MAX(N(INDEX(Workforce!$I$2:$I$151,MATCH(INDEX(FTE_Allocation!$A$2:$A$201,$AB1567),Workforce!$A$2:$A$151,0))),N(INDEX(FTE_Allocation!$I$2:$I$201,$AB1567)))),MONTH(MAX(N(INDEX(Workforce!$I$2:$I$151,MATCH(INDEX(FTE_Allocation!$A$2:$A$201,$AB1567),Workforce!$A$2:$A$151,0))),N(INDEX(FTE_Allocation!$I$2:$I$201,$AB1567)))),1),"")))</f>
        <v/>
      </c>
      <c r="AF1567" s="21">
        <f>IF($Z1567="C",IF(INDEX(Contracts!$I$2:$I$151,$AB1567)="PREPAID",EDATE(DATE(YEAR(INDEX(Contracts!$J$2:$J$151,$AB1567)),MONTH(INDEX(Contracts!$J$2:$J$151,$AB1567)),1),IF(INDEX(Contracts!$N$2:$N$151,$AB1567)="",12,INDEX(Contracts!$N$2:$N$151,$AB1567))-1),IF(INDEX(Contracts!$I$2:$I$151,$AB1567)="MONTHLY",IF(INDEX(Contracts!$K$2:$K$151,$AB1567)="",2958101,INDEX(Contracts!$K$2:$K$151,$AB1567)),0)),IF($Z1567="A",EDATE(DATE(YEAR(INDEX(Fixed_Assets!$G$2:$G$201,$AB1567)),MONTH(INDEX(Fixed_Assets!$G$2:$G$201,$AB1567)),1),INDEX(Fixed_Assets!$J$2:$J$201,$AB1567)-1),IF($Z1567="F",MIN(IF(INDEX(Workforce!$J$2:$J$151,MATCH(INDEX(FTE_Allocation!$A$2:$A$201,$AB1567),Workforce!$A$2:$A$151,0))="",2958101,INDEX(Workforce!$J$2:$J$151,MATCH(INDEX(FTE_Allocation!$A$2:$A$201,$AB1567),Workforce!$A$2:$A$151,0))),IF(INDEX(FTE_Allocation!$J$2:$J$201,$AB1567)="",2958101,INDEX(FTE_Allocation!$J$2:$J$201,$AB1567))),"")))</f>
        <v/>
      </c>
      <c r="AG1567" s="19">
        <f>IF($Z1567="C",IF(INDEX(Contracts!$I$2:$I$151,$AB1567)="PREPAID",INDEX(Contracts!$M$2:$M$151,$AB1567)/IF(INDEX(Contracts!$N$2:$N$151,$AB1567)="",12,INDEX(Contracts!$N$2:$N$151,$AB1567)),IF(INDEX(Contracts!$I$2:$I$151,$AB1567)="MONTHLY",INDEX(Contracts!$M$2:$M$151,$AB1567),0))*(1-N(INDEX(Contracts!$O$2:$O$151,$AB1567))),IF($Z1567="A",INDEX(Fixed_Assets!$H$2:$H$201,$AB1567)/INDEX(Fixed_Assets!$J$2:$J$201,$AB1567),IF($Z1567="F",INDEX(Workforce!$F$2:$F$151,MATCH(INDEX(FTE_Allocation!$A$2:$A$201,$AB1567),Workforce!$A$2:$A$151,0))*N(INDEX(FTE_Allocation!$F$2:$H$201,$AB1567,$AC1567)),"")))</f>
        <v/>
      </c>
    </row>
    <row r="1568">
      <c r="A1568" s="7">
        <f>IF($Z1568="","",$AD1568)</f>
        <v/>
      </c>
      <c r="B1568" s="7">
        <f>IF($Z1568="C",INDEX(Contracts!$D$2:$D$151,$AB1568)&amp;"",IF($Z1568="A",INDEX(Fixed_Assets!$C$2:$C$201,$AB1568)&amp;"",IF($Z1568="F",INDEX(Workforce!$B$2:$B$151,MATCH(INDEX(FTE_Allocation!$A$2:$A$201,$AB1568),Workforce!$A$2:$A$151,0))&amp;"","")))</f>
        <v/>
      </c>
      <c r="C1568" s="7">
        <f>IF($Z1568="C",INDEX(Contracts!$E$2:$E$151,$AB1568)&amp;"",IF($Z1568="A",INDEX(Fixed_Assets!$D$2:$D$201,$AB1568)&amp;"",IF($Z1568="F",INDEX(FTE_Allocation!$C$2:$C$201,$AB1568)&amp;"","")))</f>
        <v/>
      </c>
      <c r="D1568" s="7">
        <f>IF($Z1568="C",INDEX(Contracts!$B$2:$B$151,$AB1568)&amp;"",IF($Z1568="A",INDEX(Fixed_Assets!$B$2:$B$201,$AB1568)&amp;"",IF($Z1568="F",INDEX(FTE_Allocation!$B$2:$B$201,$AB1568)&amp;"","")))</f>
        <v/>
      </c>
      <c r="E1568" s="7">
        <f>IF($Z1568="C",INDEX(Contracts!$P$2:$P$151,$AB1568)&amp;"",IF($Z1568="A",INDEX(Fixed_Assets!$K$2:$K$201,$AB1568)&amp;"",IF($Z1568="F",IF(INDEX(FTE_Allocation!$D$2:$D$201,$AB1568)="PROJECT",IFERROR(INDEX(Projects!$D:$D,MATCH(INDEX(FTE_Allocation!$E$2:$E$201,$AB1568),Projects!$A:$A,0))&amp;"","#PROJECT?"),INDEX(FTE_Allocation!$E$2:$E$201,$AB1568)&amp;""),"")))</f>
        <v/>
      </c>
      <c r="F1568" s="7">
        <f>IF($Z1568="C",INDEX(Contracts!$Q$2:$Q$151,$AB1568)&amp;"",IF($Z1568="A",INDEX(Fixed_Assets!$L$2:$L$201,$AB1568)&amp;"",IF($Z1568="F",INDEX(Workforce!$K$2:$K$151,MATCH(INDEX(FTE_Allocation!$A$2:$A$201,$AB1568),Workforce!$A$2:$A$151,0))&amp;"","")))</f>
        <v/>
      </c>
      <c r="G1568" s="7">
        <f>IF($Z1568="C",INDEX(Contracts!$F$2:$F$151,$AB1568)&amp;" / "&amp;INDEX(Contracts!$G$2:$G$151,$AB1568),IF($Z1568="A",INDEX(Fixed_Assets!$E$2:$E$201,$AB1568)&amp;"",IF($Z1568="F","Personnel "&amp;INDEX(FTE_Allocation!$A$2:$A$201,$AB1568)&amp;IF(INDEX(FTE_Allocation!$D$2:$D$201,$AB1568)="PROJECT"," ("&amp;INDEX(FTE_Allocation!$E$2:$E$201,$AB1568)&amp;")",""),"")))</f>
        <v/>
      </c>
      <c r="H1568" s="7">
        <f>IF($Z1568="C","CONTRACT",IF($Z1568="A","ASSET",IF($Z1568="F","WORKFORCE","")))</f>
        <v/>
      </c>
      <c r="I1568" s="7">
        <f>IF($Z1568="C",INDEX(Contracts!$L$2:$L$151,$AB1568)&amp;"",IF($Z1568="A",INDEX(Fixed_Assets!$I$2:$I$201,$AB1568)&amp;"",IF($Z1568="F",INDEX(Workforce!$G$2:$G$151,MATCH(INDEX(FTE_Allocation!$A$2:$A$201,$AB1568),Workforce!$A$2:$A$151,0))&amp;"","")))</f>
        <v/>
      </c>
      <c r="J1568" s="18">
        <f>IF($Z1568="","",IF(AND(DATE($AD1568,1,1)&gt;=$AE1568,DATE($AD1568,1,1)&lt;=$AF1568),ROUND($AG1568,2),0))</f>
        <v/>
      </c>
      <c r="K1568" s="18">
        <f>IF($Z1568="","",IF(AND(DATE($AD1568,2,1)&gt;=$AE1568,DATE($AD1568,2,1)&lt;=$AF1568),ROUND($AG1568,2),0))</f>
        <v/>
      </c>
      <c r="L1568" s="18">
        <f>IF($Z1568="","",IF(AND(DATE($AD1568,3,1)&gt;=$AE1568,DATE($AD1568,3,1)&lt;=$AF1568),ROUND($AG1568,2),0))</f>
        <v/>
      </c>
      <c r="M1568" s="18">
        <f>IF($Z1568="","",IF(AND(DATE($AD1568,4,1)&gt;=$AE1568,DATE($AD1568,4,1)&lt;=$AF1568),ROUND($AG1568,2),0))</f>
        <v/>
      </c>
      <c r="N1568" s="18">
        <f>IF($Z1568="","",IF(AND(DATE($AD1568,5,1)&gt;=$AE1568,DATE($AD1568,5,1)&lt;=$AF1568),ROUND($AG1568,2),0))</f>
        <v/>
      </c>
      <c r="O1568" s="18">
        <f>IF($Z1568="","",IF(AND(DATE($AD1568,6,1)&gt;=$AE1568,DATE($AD1568,6,1)&lt;=$AF1568),ROUND($AG1568,2),0))</f>
        <v/>
      </c>
      <c r="P1568" s="18">
        <f>IF($Z1568="","",IF(AND(DATE($AD1568,7,1)&gt;=$AE1568,DATE($AD1568,7,1)&lt;=$AF1568),ROUND($AG1568,2),0))</f>
        <v/>
      </c>
      <c r="Q1568" s="18">
        <f>IF($Z1568="","",IF(AND(DATE($AD1568,8,1)&gt;=$AE1568,DATE($AD1568,8,1)&lt;=$AF1568),ROUND($AG1568,2),0))</f>
        <v/>
      </c>
      <c r="R1568" s="18">
        <f>IF($Z1568="","",IF(AND(DATE($AD1568,9,1)&gt;=$AE1568,DATE($AD1568,9,1)&lt;=$AF1568),ROUND($AG1568,2),0))</f>
        <v/>
      </c>
      <c r="S1568" s="18">
        <f>IF($Z1568="","",IF(AND(DATE($AD1568,10,1)&gt;=$AE1568,DATE($AD1568,10,1)&lt;=$AF1568),ROUND($AG1568,2),0))</f>
        <v/>
      </c>
      <c r="T1568" s="18">
        <f>IF($Z1568="","",IF(AND(DATE($AD1568,11,1)&gt;=$AE1568,DATE($AD1568,11,1)&lt;=$AF1568),ROUND($AG1568,2),0))</f>
        <v/>
      </c>
      <c r="U1568" s="18">
        <f>IF($Z1568="","",IF(AND(DATE($AD1568,12,1)&gt;=$AE1568,DATE($AD1568,12,1)&lt;=$AF1568),ROUND($AG1568,2),0))</f>
        <v/>
      </c>
      <c r="V1568" s="7">
        <f>IF($Z1568="C","Generated from "&amp;INDEX(Contracts!$A$2:$A$151,$AB1568),IF($Z1568="A","Generated from "&amp;INDEX(Fixed_Assets!$A$2:$A$201,$AB1568),IF($Z1568="F","Generated from "&amp;INDEX(FTE_Allocation!$A$2:$A$201,$AB1568),"")))</f>
        <v/>
      </c>
      <c r="X1568" s="19">
        <f>IF($Z1568="","",SUM(J1568:U1568))</f>
        <v/>
      </c>
      <c r="Y1568" s="20">
        <f>ROW()-1</f>
        <v/>
      </c>
      <c r="Z1568" s="20">
        <f>IF($Y1568&lt;=Settings!$B$4*3,"C",IF($Y1568&lt;=(Settings!$B$4+Settings!$B$5)*3,"A",IF($Y1568&lt;=(Settings!$B$4+Settings!$B$5+Settings!$B$6)*3,"F","")))</f>
        <v/>
      </c>
      <c r="AA1568" s="20">
        <f>IF($Z1568="C",$Y1568,IF($Z1568="A",$Y1568-Settings!$B$4*3,IF($Z1568="F",$Y1568-(Settings!$B$4+Settings!$B$5)*3,"")))</f>
        <v/>
      </c>
      <c r="AB1568" s="20">
        <f>IF($Z1568="","",INT(($AA1568-1)/3)+1)</f>
        <v/>
      </c>
      <c r="AC1568" s="20">
        <f>IF($Z1568="","",MOD($AA1568-1,3)+1)</f>
        <v/>
      </c>
      <c r="AD1568" s="20">
        <f>IF($Z1568="","",Settings!$B$2+$AC1568-1)</f>
        <v/>
      </c>
      <c r="AE1568" s="21">
        <f>IF($Z1568="C",DATE(YEAR(INDEX(Contracts!$J$2:$J$151,$AB1568)),MONTH(INDEX(Contracts!$J$2:$J$151,$AB1568)),1),IF($Z1568="A",DATE(YEAR(INDEX(Fixed_Assets!$G$2:$G$201,$AB1568)),MONTH(INDEX(Fixed_Assets!$G$2:$G$201,$AB1568)),1),IF($Z1568="F",DATE(YEAR(MAX(N(INDEX(Workforce!$I$2:$I$151,MATCH(INDEX(FTE_Allocation!$A$2:$A$201,$AB1568),Workforce!$A$2:$A$151,0))),N(INDEX(FTE_Allocation!$I$2:$I$201,$AB1568)))),MONTH(MAX(N(INDEX(Workforce!$I$2:$I$151,MATCH(INDEX(FTE_Allocation!$A$2:$A$201,$AB1568),Workforce!$A$2:$A$151,0))),N(INDEX(FTE_Allocation!$I$2:$I$201,$AB1568)))),1),"")))</f>
        <v/>
      </c>
      <c r="AF1568" s="21">
        <f>IF($Z1568="C",IF(INDEX(Contracts!$I$2:$I$151,$AB1568)="PREPAID",EDATE(DATE(YEAR(INDEX(Contracts!$J$2:$J$151,$AB1568)),MONTH(INDEX(Contracts!$J$2:$J$151,$AB1568)),1),IF(INDEX(Contracts!$N$2:$N$151,$AB1568)="",12,INDEX(Contracts!$N$2:$N$151,$AB1568))-1),IF(INDEX(Contracts!$I$2:$I$151,$AB1568)="MONTHLY",IF(INDEX(Contracts!$K$2:$K$151,$AB1568)="",2958101,INDEX(Contracts!$K$2:$K$151,$AB1568)),0)),IF($Z1568="A",EDATE(DATE(YEAR(INDEX(Fixed_Assets!$G$2:$G$201,$AB1568)),MONTH(INDEX(Fixed_Assets!$G$2:$G$201,$AB1568)),1),INDEX(Fixed_Assets!$J$2:$J$201,$AB1568)-1),IF($Z1568="F",MIN(IF(INDEX(Workforce!$J$2:$J$151,MATCH(INDEX(FTE_Allocation!$A$2:$A$201,$AB1568),Workforce!$A$2:$A$151,0))="",2958101,INDEX(Workforce!$J$2:$J$151,MATCH(INDEX(FTE_Allocation!$A$2:$A$201,$AB1568),Workforce!$A$2:$A$151,0))),IF(INDEX(FTE_Allocation!$J$2:$J$201,$AB1568)="",2958101,INDEX(FTE_Allocation!$J$2:$J$201,$AB1568))),"")))</f>
        <v/>
      </c>
      <c r="AG1568" s="19">
        <f>IF($Z1568="C",IF(INDEX(Contracts!$I$2:$I$151,$AB1568)="PREPAID",INDEX(Contracts!$M$2:$M$151,$AB1568)/IF(INDEX(Contracts!$N$2:$N$151,$AB1568)="",12,INDEX(Contracts!$N$2:$N$151,$AB1568)),IF(INDEX(Contracts!$I$2:$I$151,$AB1568)="MONTHLY",INDEX(Contracts!$M$2:$M$151,$AB1568),0))*(1-N(INDEX(Contracts!$O$2:$O$151,$AB1568))),IF($Z1568="A",INDEX(Fixed_Assets!$H$2:$H$201,$AB1568)/INDEX(Fixed_Assets!$J$2:$J$201,$AB1568),IF($Z1568="F",INDEX(Workforce!$F$2:$F$151,MATCH(INDEX(FTE_Allocation!$A$2:$A$201,$AB1568),Workforce!$A$2:$A$151,0))*N(INDEX(FTE_Allocation!$F$2:$H$201,$AB1568,$AC1568)),"")))</f>
        <v/>
      </c>
    </row>
    <row r="1569">
      <c r="A1569" s="7">
        <f>IF($Z1569="","",$AD1569)</f>
        <v/>
      </c>
      <c r="B1569" s="7">
        <f>IF($Z1569="C",INDEX(Contracts!$D$2:$D$151,$AB1569)&amp;"",IF($Z1569="A",INDEX(Fixed_Assets!$C$2:$C$201,$AB1569)&amp;"",IF($Z1569="F",INDEX(Workforce!$B$2:$B$151,MATCH(INDEX(FTE_Allocation!$A$2:$A$201,$AB1569),Workforce!$A$2:$A$151,0))&amp;"","")))</f>
        <v/>
      </c>
      <c r="C1569" s="7">
        <f>IF($Z1569="C",INDEX(Contracts!$E$2:$E$151,$AB1569)&amp;"",IF($Z1569="A",INDEX(Fixed_Assets!$D$2:$D$201,$AB1569)&amp;"",IF($Z1569="F",INDEX(FTE_Allocation!$C$2:$C$201,$AB1569)&amp;"","")))</f>
        <v/>
      </c>
      <c r="D1569" s="7">
        <f>IF($Z1569="C",INDEX(Contracts!$B$2:$B$151,$AB1569)&amp;"",IF($Z1569="A",INDEX(Fixed_Assets!$B$2:$B$201,$AB1569)&amp;"",IF($Z1569="F",INDEX(FTE_Allocation!$B$2:$B$201,$AB1569)&amp;"","")))</f>
        <v/>
      </c>
      <c r="E1569" s="7">
        <f>IF($Z1569="C",INDEX(Contracts!$P$2:$P$151,$AB1569)&amp;"",IF($Z1569="A",INDEX(Fixed_Assets!$K$2:$K$201,$AB1569)&amp;"",IF($Z1569="F",IF(INDEX(FTE_Allocation!$D$2:$D$201,$AB1569)="PROJECT",IFERROR(INDEX(Projects!$D:$D,MATCH(INDEX(FTE_Allocation!$E$2:$E$201,$AB1569),Projects!$A:$A,0))&amp;"","#PROJECT?"),INDEX(FTE_Allocation!$E$2:$E$201,$AB1569)&amp;""),"")))</f>
        <v/>
      </c>
      <c r="F1569" s="7">
        <f>IF($Z1569="C",INDEX(Contracts!$Q$2:$Q$151,$AB1569)&amp;"",IF($Z1569="A",INDEX(Fixed_Assets!$L$2:$L$201,$AB1569)&amp;"",IF($Z1569="F",INDEX(Workforce!$K$2:$K$151,MATCH(INDEX(FTE_Allocation!$A$2:$A$201,$AB1569),Workforce!$A$2:$A$151,0))&amp;"","")))</f>
        <v/>
      </c>
      <c r="G1569" s="7">
        <f>IF($Z1569="C",INDEX(Contracts!$F$2:$F$151,$AB1569)&amp;" / "&amp;INDEX(Contracts!$G$2:$G$151,$AB1569),IF($Z1569="A",INDEX(Fixed_Assets!$E$2:$E$201,$AB1569)&amp;"",IF($Z1569="F","Personnel "&amp;INDEX(FTE_Allocation!$A$2:$A$201,$AB1569)&amp;IF(INDEX(FTE_Allocation!$D$2:$D$201,$AB1569)="PROJECT"," ("&amp;INDEX(FTE_Allocation!$E$2:$E$201,$AB1569)&amp;")",""),"")))</f>
        <v/>
      </c>
      <c r="H1569" s="7">
        <f>IF($Z1569="C","CONTRACT",IF($Z1569="A","ASSET",IF($Z1569="F","WORKFORCE","")))</f>
        <v/>
      </c>
      <c r="I1569" s="7">
        <f>IF($Z1569="C",INDEX(Contracts!$L$2:$L$151,$AB1569)&amp;"",IF($Z1569="A",INDEX(Fixed_Assets!$I$2:$I$201,$AB1569)&amp;"",IF($Z1569="F",INDEX(Workforce!$G$2:$G$151,MATCH(INDEX(FTE_Allocation!$A$2:$A$201,$AB1569),Workforce!$A$2:$A$151,0))&amp;"","")))</f>
        <v/>
      </c>
      <c r="J1569" s="18">
        <f>IF($Z1569="","",IF(AND(DATE($AD1569,1,1)&gt;=$AE1569,DATE($AD1569,1,1)&lt;=$AF1569),ROUND($AG1569,2),0))</f>
        <v/>
      </c>
      <c r="K1569" s="18">
        <f>IF($Z1569="","",IF(AND(DATE($AD1569,2,1)&gt;=$AE1569,DATE($AD1569,2,1)&lt;=$AF1569),ROUND($AG1569,2),0))</f>
        <v/>
      </c>
      <c r="L1569" s="18">
        <f>IF($Z1569="","",IF(AND(DATE($AD1569,3,1)&gt;=$AE1569,DATE($AD1569,3,1)&lt;=$AF1569),ROUND($AG1569,2),0))</f>
        <v/>
      </c>
      <c r="M1569" s="18">
        <f>IF($Z1569="","",IF(AND(DATE($AD1569,4,1)&gt;=$AE1569,DATE($AD1569,4,1)&lt;=$AF1569),ROUND($AG1569,2),0))</f>
        <v/>
      </c>
      <c r="N1569" s="18">
        <f>IF($Z1569="","",IF(AND(DATE($AD1569,5,1)&gt;=$AE1569,DATE($AD1569,5,1)&lt;=$AF1569),ROUND($AG1569,2),0))</f>
        <v/>
      </c>
      <c r="O1569" s="18">
        <f>IF($Z1569="","",IF(AND(DATE($AD1569,6,1)&gt;=$AE1569,DATE($AD1569,6,1)&lt;=$AF1569),ROUND($AG1569,2),0))</f>
        <v/>
      </c>
      <c r="P1569" s="18">
        <f>IF($Z1569="","",IF(AND(DATE($AD1569,7,1)&gt;=$AE1569,DATE($AD1569,7,1)&lt;=$AF1569),ROUND($AG1569,2),0))</f>
        <v/>
      </c>
      <c r="Q1569" s="18">
        <f>IF($Z1569="","",IF(AND(DATE($AD1569,8,1)&gt;=$AE1569,DATE($AD1569,8,1)&lt;=$AF1569),ROUND($AG1569,2),0))</f>
        <v/>
      </c>
      <c r="R1569" s="18">
        <f>IF($Z1569="","",IF(AND(DATE($AD1569,9,1)&gt;=$AE1569,DATE($AD1569,9,1)&lt;=$AF1569),ROUND($AG1569,2),0))</f>
        <v/>
      </c>
      <c r="S1569" s="18">
        <f>IF($Z1569="","",IF(AND(DATE($AD1569,10,1)&gt;=$AE1569,DATE($AD1569,10,1)&lt;=$AF1569),ROUND($AG1569,2),0))</f>
        <v/>
      </c>
      <c r="T1569" s="18">
        <f>IF($Z1569="","",IF(AND(DATE($AD1569,11,1)&gt;=$AE1569,DATE($AD1569,11,1)&lt;=$AF1569),ROUND($AG1569,2),0))</f>
        <v/>
      </c>
      <c r="U1569" s="18">
        <f>IF($Z1569="","",IF(AND(DATE($AD1569,12,1)&gt;=$AE1569,DATE($AD1569,12,1)&lt;=$AF1569),ROUND($AG1569,2),0))</f>
        <v/>
      </c>
      <c r="V1569" s="7">
        <f>IF($Z1569="C","Generated from "&amp;INDEX(Contracts!$A$2:$A$151,$AB1569),IF($Z1569="A","Generated from "&amp;INDEX(Fixed_Assets!$A$2:$A$201,$AB1569),IF($Z1569="F","Generated from "&amp;INDEX(FTE_Allocation!$A$2:$A$201,$AB1569),"")))</f>
        <v/>
      </c>
      <c r="X1569" s="19">
        <f>IF($Z1569="","",SUM(J1569:U1569))</f>
        <v/>
      </c>
      <c r="Y1569" s="20">
        <f>ROW()-1</f>
        <v/>
      </c>
      <c r="Z1569" s="20">
        <f>IF($Y1569&lt;=Settings!$B$4*3,"C",IF($Y1569&lt;=(Settings!$B$4+Settings!$B$5)*3,"A",IF($Y1569&lt;=(Settings!$B$4+Settings!$B$5+Settings!$B$6)*3,"F","")))</f>
        <v/>
      </c>
      <c r="AA1569" s="20">
        <f>IF($Z1569="C",$Y1569,IF($Z1569="A",$Y1569-Settings!$B$4*3,IF($Z1569="F",$Y1569-(Settings!$B$4+Settings!$B$5)*3,"")))</f>
        <v/>
      </c>
      <c r="AB1569" s="20">
        <f>IF($Z1569="","",INT(($AA1569-1)/3)+1)</f>
        <v/>
      </c>
      <c r="AC1569" s="20">
        <f>IF($Z1569="","",MOD($AA1569-1,3)+1)</f>
        <v/>
      </c>
      <c r="AD1569" s="20">
        <f>IF($Z1569="","",Settings!$B$2+$AC1569-1)</f>
        <v/>
      </c>
      <c r="AE1569" s="21">
        <f>IF($Z1569="C",DATE(YEAR(INDEX(Contracts!$J$2:$J$151,$AB1569)),MONTH(INDEX(Contracts!$J$2:$J$151,$AB1569)),1),IF($Z1569="A",DATE(YEAR(INDEX(Fixed_Assets!$G$2:$G$201,$AB1569)),MONTH(INDEX(Fixed_Assets!$G$2:$G$201,$AB1569)),1),IF($Z1569="F",DATE(YEAR(MAX(N(INDEX(Workforce!$I$2:$I$151,MATCH(INDEX(FTE_Allocation!$A$2:$A$201,$AB1569),Workforce!$A$2:$A$151,0))),N(INDEX(FTE_Allocation!$I$2:$I$201,$AB1569)))),MONTH(MAX(N(INDEX(Workforce!$I$2:$I$151,MATCH(INDEX(FTE_Allocation!$A$2:$A$201,$AB1569),Workforce!$A$2:$A$151,0))),N(INDEX(FTE_Allocation!$I$2:$I$201,$AB1569)))),1),"")))</f>
        <v/>
      </c>
      <c r="AF1569" s="21">
        <f>IF($Z1569="C",IF(INDEX(Contracts!$I$2:$I$151,$AB1569)="PREPAID",EDATE(DATE(YEAR(INDEX(Contracts!$J$2:$J$151,$AB1569)),MONTH(INDEX(Contracts!$J$2:$J$151,$AB1569)),1),IF(INDEX(Contracts!$N$2:$N$151,$AB1569)="",12,INDEX(Contracts!$N$2:$N$151,$AB1569))-1),IF(INDEX(Contracts!$I$2:$I$151,$AB1569)="MONTHLY",IF(INDEX(Contracts!$K$2:$K$151,$AB1569)="",2958101,INDEX(Contracts!$K$2:$K$151,$AB1569)),0)),IF($Z1569="A",EDATE(DATE(YEAR(INDEX(Fixed_Assets!$G$2:$G$201,$AB1569)),MONTH(INDEX(Fixed_Assets!$G$2:$G$201,$AB1569)),1),INDEX(Fixed_Assets!$J$2:$J$201,$AB1569)-1),IF($Z1569="F",MIN(IF(INDEX(Workforce!$J$2:$J$151,MATCH(INDEX(FTE_Allocation!$A$2:$A$201,$AB1569),Workforce!$A$2:$A$151,0))="",2958101,INDEX(Workforce!$J$2:$J$151,MATCH(INDEX(FTE_Allocation!$A$2:$A$201,$AB1569),Workforce!$A$2:$A$151,0))),IF(INDEX(FTE_Allocation!$J$2:$J$201,$AB1569)="",2958101,INDEX(FTE_Allocation!$J$2:$J$201,$AB1569))),"")))</f>
        <v/>
      </c>
      <c r="AG1569" s="19">
        <f>IF($Z1569="C",IF(INDEX(Contracts!$I$2:$I$151,$AB1569)="PREPAID",INDEX(Contracts!$M$2:$M$151,$AB1569)/IF(INDEX(Contracts!$N$2:$N$151,$AB1569)="",12,INDEX(Contracts!$N$2:$N$151,$AB1569)),IF(INDEX(Contracts!$I$2:$I$151,$AB1569)="MONTHLY",INDEX(Contracts!$M$2:$M$151,$AB1569),0))*(1-N(INDEX(Contracts!$O$2:$O$151,$AB1569))),IF($Z1569="A",INDEX(Fixed_Assets!$H$2:$H$201,$AB1569)/INDEX(Fixed_Assets!$J$2:$J$201,$AB1569),IF($Z1569="F",INDEX(Workforce!$F$2:$F$151,MATCH(INDEX(FTE_Allocation!$A$2:$A$201,$AB1569),Workforce!$A$2:$A$151,0))*N(INDEX(FTE_Allocation!$F$2:$H$201,$AB1569,$AC1569)),"")))</f>
        <v/>
      </c>
    </row>
    <row r="1570">
      <c r="A1570" s="7">
        <f>IF($Z1570="","",$AD1570)</f>
        <v/>
      </c>
      <c r="B1570" s="7">
        <f>IF($Z1570="C",INDEX(Contracts!$D$2:$D$151,$AB1570)&amp;"",IF($Z1570="A",INDEX(Fixed_Assets!$C$2:$C$201,$AB1570)&amp;"",IF($Z1570="F",INDEX(Workforce!$B$2:$B$151,MATCH(INDEX(FTE_Allocation!$A$2:$A$201,$AB1570),Workforce!$A$2:$A$151,0))&amp;"","")))</f>
        <v/>
      </c>
      <c r="C1570" s="7">
        <f>IF($Z1570="C",INDEX(Contracts!$E$2:$E$151,$AB1570)&amp;"",IF($Z1570="A",INDEX(Fixed_Assets!$D$2:$D$201,$AB1570)&amp;"",IF($Z1570="F",INDEX(FTE_Allocation!$C$2:$C$201,$AB1570)&amp;"","")))</f>
        <v/>
      </c>
      <c r="D1570" s="7">
        <f>IF($Z1570="C",INDEX(Contracts!$B$2:$B$151,$AB1570)&amp;"",IF($Z1570="A",INDEX(Fixed_Assets!$B$2:$B$201,$AB1570)&amp;"",IF($Z1570="F",INDEX(FTE_Allocation!$B$2:$B$201,$AB1570)&amp;"","")))</f>
        <v/>
      </c>
      <c r="E1570" s="7">
        <f>IF($Z1570="C",INDEX(Contracts!$P$2:$P$151,$AB1570)&amp;"",IF($Z1570="A",INDEX(Fixed_Assets!$K$2:$K$201,$AB1570)&amp;"",IF($Z1570="F",IF(INDEX(FTE_Allocation!$D$2:$D$201,$AB1570)="PROJECT",IFERROR(INDEX(Projects!$D:$D,MATCH(INDEX(FTE_Allocation!$E$2:$E$201,$AB1570),Projects!$A:$A,0))&amp;"","#PROJECT?"),INDEX(FTE_Allocation!$E$2:$E$201,$AB1570)&amp;""),"")))</f>
        <v/>
      </c>
      <c r="F1570" s="7">
        <f>IF($Z1570="C",INDEX(Contracts!$Q$2:$Q$151,$AB1570)&amp;"",IF($Z1570="A",INDEX(Fixed_Assets!$L$2:$L$201,$AB1570)&amp;"",IF($Z1570="F",INDEX(Workforce!$K$2:$K$151,MATCH(INDEX(FTE_Allocation!$A$2:$A$201,$AB1570),Workforce!$A$2:$A$151,0))&amp;"","")))</f>
        <v/>
      </c>
      <c r="G1570" s="7">
        <f>IF($Z1570="C",INDEX(Contracts!$F$2:$F$151,$AB1570)&amp;" / "&amp;INDEX(Contracts!$G$2:$G$151,$AB1570),IF($Z1570="A",INDEX(Fixed_Assets!$E$2:$E$201,$AB1570)&amp;"",IF($Z1570="F","Personnel "&amp;INDEX(FTE_Allocation!$A$2:$A$201,$AB1570)&amp;IF(INDEX(FTE_Allocation!$D$2:$D$201,$AB1570)="PROJECT"," ("&amp;INDEX(FTE_Allocation!$E$2:$E$201,$AB1570)&amp;")",""),"")))</f>
        <v/>
      </c>
      <c r="H1570" s="7">
        <f>IF($Z1570="C","CONTRACT",IF($Z1570="A","ASSET",IF($Z1570="F","WORKFORCE","")))</f>
        <v/>
      </c>
      <c r="I1570" s="7">
        <f>IF($Z1570="C",INDEX(Contracts!$L$2:$L$151,$AB1570)&amp;"",IF($Z1570="A",INDEX(Fixed_Assets!$I$2:$I$201,$AB1570)&amp;"",IF($Z1570="F",INDEX(Workforce!$G$2:$G$151,MATCH(INDEX(FTE_Allocation!$A$2:$A$201,$AB1570),Workforce!$A$2:$A$151,0))&amp;"","")))</f>
        <v/>
      </c>
      <c r="J1570" s="18">
        <f>IF($Z1570="","",IF(AND(DATE($AD1570,1,1)&gt;=$AE1570,DATE($AD1570,1,1)&lt;=$AF1570),ROUND($AG1570,2),0))</f>
        <v/>
      </c>
      <c r="K1570" s="18">
        <f>IF($Z1570="","",IF(AND(DATE($AD1570,2,1)&gt;=$AE1570,DATE($AD1570,2,1)&lt;=$AF1570),ROUND($AG1570,2),0))</f>
        <v/>
      </c>
      <c r="L1570" s="18">
        <f>IF($Z1570="","",IF(AND(DATE($AD1570,3,1)&gt;=$AE1570,DATE($AD1570,3,1)&lt;=$AF1570),ROUND($AG1570,2),0))</f>
        <v/>
      </c>
      <c r="M1570" s="18">
        <f>IF($Z1570="","",IF(AND(DATE($AD1570,4,1)&gt;=$AE1570,DATE($AD1570,4,1)&lt;=$AF1570),ROUND($AG1570,2),0))</f>
        <v/>
      </c>
      <c r="N1570" s="18">
        <f>IF($Z1570="","",IF(AND(DATE($AD1570,5,1)&gt;=$AE1570,DATE($AD1570,5,1)&lt;=$AF1570),ROUND($AG1570,2),0))</f>
        <v/>
      </c>
      <c r="O1570" s="18">
        <f>IF($Z1570="","",IF(AND(DATE($AD1570,6,1)&gt;=$AE1570,DATE($AD1570,6,1)&lt;=$AF1570),ROUND($AG1570,2),0))</f>
        <v/>
      </c>
      <c r="P1570" s="18">
        <f>IF($Z1570="","",IF(AND(DATE($AD1570,7,1)&gt;=$AE1570,DATE($AD1570,7,1)&lt;=$AF1570),ROUND($AG1570,2),0))</f>
        <v/>
      </c>
      <c r="Q1570" s="18">
        <f>IF($Z1570="","",IF(AND(DATE($AD1570,8,1)&gt;=$AE1570,DATE($AD1570,8,1)&lt;=$AF1570),ROUND($AG1570,2),0))</f>
        <v/>
      </c>
      <c r="R1570" s="18">
        <f>IF($Z1570="","",IF(AND(DATE($AD1570,9,1)&gt;=$AE1570,DATE($AD1570,9,1)&lt;=$AF1570),ROUND($AG1570,2),0))</f>
        <v/>
      </c>
      <c r="S1570" s="18">
        <f>IF($Z1570="","",IF(AND(DATE($AD1570,10,1)&gt;=$AE1570,DATE($AD1570,10,1)&lt;=$AF1570),ROUND($AG1570,2),0))</f>
        <v/>
      </c>
      <c r="T1570" s="18">
        <f>IF($Z1570="","",IF(AND(DATE($AD1570,11,1)&gt;=$AE1570,DATE($AD1570,11,1)&lt;=$AF1570),ROUND($AG1570,2),0))</f>
        <v/>
      </c>
      <c r="U1570" s="18">
        <f>IF($Z1570="","",IF(AND(DATE($AD1570,12,1)&gt;=$AE1570,DATE($AD1570,12,1)&lt;=$AF1570),ROUND($AG1570,2),0))</f>
        <v/>
      </c>
      <c r="V1570" s="7">
        <f>IF($Z1570="C","Generated from "&amp;INDEX(Contracts!$A$2:$A$151,$AB1570),IF($Z1570="A","Generated from "&amp;INDEX(Fixed_Assets!$A$2:$A$201,$AB1570),IF($Z1570="F","Generated from "&amp;INDEX(FTE_Allocation!$A$2:$A$201,$AB1570),"")))</f>
        <v/>
      </c>
      <c r="X1570" s="19">
        <f>IF($Z1570="","",SUM(J1570:U1570))</f>
        <v/>
      </c>
      <c r="Y1570" s="20">
        <f>ROW()-1</f>
        <v/>
      </c>
      <c r="Z1570" s="20">
        <f>IF($Y1570&lt;=Settings!$B$4*3,"C",IF($Y1570&lt;=(Settings!$B$4+Settings!$B$5)*3,"A",IF($Y1570&lt;=(Settings!$B$4+Settings!$B$5+Settings!$B$6)*3,"F","")))</f>
        <v/>
      </c>
      <c r="AA1570" s="20">
        <f>IF($Z1570="C",$Y1570,IF($Z1570="A",$Y1570-Settings!$B$4*3,IF($Z1570="F",$Y1570-(Settings!$B$4+Settings!$B$5)*3,"")))</f>
        <v/>
      </c>
      <c r="AB1570" s="20">
        <f>IF($Z1570="","",INT(($AA1570-1)/3)+1)</f>
        <v/>
      </c>
      <c r="AC1570" s="20">
        <f>IF($Z1570="","",MOD($AA1570-1,3)+1)</f>
        <v/>
      </c>
      <c r="AD1570" s="20">
        <f>IF($Z1570="","",Settings!$B$2+$AC1570-1)</f>
        <v/>
      </c>
      <c r="AE1570" s="21">
        <f>IF($Z1570="C",DATE(YEAR(INDEX(Contracts!$J$2:$J$151,$AB1570)),MONTH(INDEX(Contracts!$J$2:$J$151,$AB1570)),1),IF($Z1570="A",DATE(YEAR(INDEX(Fixed_Assets!$G$2:$G$201,$AB1570)),MONTH(INDEX(Fixed_Assets!$G$2:$G$201,$AB1570)),1),IF($Z1570="F",DATE(YEAR(MAX(N(INDEX(Workforce!$I$2:$I$151,MATCH(INDEX(FTE_Allocation!$A$2:$A$201,$AB1570),Workforce!$A$2:$A$151,0))),N(INDEX(FTE_Allocation!$I$2:$I$201,$AB1570)))),MONTH(MAX(N(INDEX(Workforce!$I$2:$I$151,MATCH(INDEX(FTE_Allocation!$A$2:$A$201,$AB1570),Workforce!$A$2:$A$151,0))),N(INDEX(FTE_Allocation!$I$2:$I$201,$AB1570)))),1),"")))</f>
        <v/>
      </c>
      <c r="AF1570" s="21">
        <f>IF($Z1570="C",IF(INDEX(Contracts!$I$2:$I$151,$AB1570)="PREPAID",EDATE(DATE(YEAR(INDEX(Contracts!$J$2:$J$151,$AB1570)),MONTH(INDEX(Contracts!$J$2:$J$151,$AB1570)),1),IF(INDEX(Contracts!$N$2:$N$151,$AB1570)="",12,INDEX(Contracts!$N$2:$N$151,$AB1570))-1),IF(INDEX(Contracts!$I$2:$I$151,$AB1570)="MONTHLY",IF(INDEX(Contracts!$K$2:$K$151,$AB1570)="",2958101,INDEX(Contracts!$K$2:$K$151,$AB1570)),0)),IF($Z1570="A",EDATE(DATE(YEAR(INDEX(Fixed_Assets!$G$2:$G$201,$AB1570)),MONTH(INDEX(Fixed_Assets!$G$2:$G$201,$AB1570)),1),INDEX(Fixed_Assets!$J$2:$J$201,$AB1570)-1),IF($Z1570="F",MIN(IF(INDEX(Workforce!$J$2:$J$151,MATCH(INDEX(FTE_Allocation!$A$2:$A$201,$AB1570),Workforce!$A$2:$A$151,0))="",2958101,INDEX(Workforce!$J$2:$J$151,MATCH(INDEX(FTE_Allocation!$A$2:$A$201,$AB1570),Workforce!$A$2:$A$151,0))),IF(INDEX(FTE_Allocation!$J$2:$J$201,$AB1570)="",2958101,INDEX(FTE_Allocation!$J$2:$J$201,$AB1570))),"")))</f>
        <v/>
      </c>
      <c r="AG1570" s="19">
        <f>IF($Z1570="C",IF(INDEX(Contracts!$I$2:$I$151,$AB1570)="PREPAID",INDEX(Contracts!$M$2:$M$151,$AB1570)/IF(INDEX(Contracts!$N$2:$N$151,$AB1570)="",12,INDEX(Contracts!$N$2:$N$151,$AB1570)),IF(INDEX(Contracts!$I$2:$I$151,$AB1570)="MONTHLY",INDEX(Contracts!$M$2:$M$151,$AB1570),0))*(1-N(INDEX(Contracts!$O$2:$O$151,$AB1570))),IF($Z1570="A",INDEX(Fixed_Assets!$H$2:$H$201,$AB1570)/INDEX(Fixed_Assets!$J$2:$J$201,$AB1570),IF($Z1570="F",INDEX(Workforce!$F$2:$F$151,MATCH(INDEX(FTE_Allocation!$A$2:$A$201,$AB1570),Workforce!$A$2:$A$151,0))*N(INDEX(FTE_Allocation!$F$2:$H$201,$AB1570,$AC1570)),"")))</f>
        <v/>
      </c>
    </row>
    <row r="1571">
      <c r="A1571" s="7">
        <f>IF($Z1571="","",$AD1571)</f>
        <v/>
      </c>
      <c r="B1571" s="7">
        <f>IF($Z1571="C",INDEX(Contracts!$D$2:$D$151,$AB1571)&amp;"",IF($Z1571="A",INDEX(Fixed_Assets!$C$2:$C$201,$AB1571)&amp;"",IF($Z1571="F",INDEX(Workforce!$B$2:$B$151,MATCH(INDEX(FTE_Allocation!$A$2:$A$201,$AB1571),Workforce!$A$2:$A$151,0))&amp;"","")))</f>
        <v/>
      </c>
      <c r="C1571" s="7">
        <f>IF($Z1571="C",INDEX(Contracts!$E$2:$E$151,$AB1571)&amp;"",IF($Z1571="A",INDEX(Fixed_Assets!$D$2:$D$201,$AB1571)&amp;"",IF($Z1571="F",INDEX(FTE_Allocation!$C$2:$C$201,$AB1571)&amp;"","")))</f>
        <v/>
      </c>
      <c r="D1571" s="7">
        <f>IF($Z1571="C",INDEX(Contracts!$B$2:$B$151,$AB1571)&amp;"",IF($Z1571="A",INDEX(Fixed_Assets!$B$2:$B$201,$AB1571)&amp;"",IF($Z1571="F",INDEX(FTE_Allocation!$B$2:$B$201,$AB1571)&amp;"","")))</f>
        <v/>
      </c>
      <c r="E1571" s="7">
        <f>IF($Z1571="C",INDEX(Contracts!$P$2:$P$151,$AB1571)&amp;"",IF($Z1571="A",INDEX(Fixed_Assets!$K$2:$K$201,$AB1571)&amp;"",IF($Z1571="F",IF(INDEX(FTE_Allocation!$D$2:$D$201,$AB1571)="PROJECT",IFERROR(INDEX(Projects!$D:$D,MATCH(INDEX(FTE_Allocation!$E$2:$E$201,$AB1571),Projects!$A:$A,0))&amp;"","#PROJECT?"),INDEX(FTE_Allocation!$E$2:$E$201,$AB1571)&amp;""),"")))</f>
        <v/>
      </c>
      <c r="F1571" s="7">
        <f>IF($Z1571="C",INDEX(Contracts!$Q$2:$Q$151,$AB1571)&amp;"",IF($Z1571="A",INDEX(Fixed_Assets!$L$2:$L$201,$AB1571)&amp;"",IF($Z1571="F",INDEX(Workforce!$K$2:$K$151,MATCH(INDEX(FTE_Allocation!$A$2:$A$201,$AB1571),Workforce!$A$2:$A$151,0))&amp;"","")))</f>
        <v/>
      </c>
      <c r="G1571" s="7">
        <f>IF($Z1571="C",INDEX(Contracts!$F$2:$F$151,$AB1571)&amp;" / "&amp;INDEX(Contracts!$G$2:$G$151,$AB1571),IF($Z1571="A",INDEX(Fixed_Assets!$E$2:$E$201,$AB1571)&amp;"",IF($Z1571="F","Personnel "&amp;INDEX(FTE_Allocation!$A$2:$A$201,$AB1571)&amp;IF(INDEX(FTE_Allocation!$D$2:$D$201,$AB1571)="PROJECT"," ("&amp;INDEX(FTE_Allocation!$E$2:$E$201,$AB1571)&amp;")",""),"")))</f>
        <v/>
      </c>
      <c r="H1571" s="7">
        <f>IF($Z1571="C","CONTRACT",IF($Z1571="A","ASSET",IF($Z1571="F","WORKFORCE","")))</f>
        <v/>
      </c>
      <c r="I1571" s="7">
        <f>IF($Z1571="C",INDEX(Contracts!$L$2:$L$151,$AB1571)&amp;"",IF($Z1571="A",INDEX(Fixed_Assets!$I$2:$I$201,$AB1571)&amp;"",IF($Z1571="F",INDEX(Workforce!$G$2:$G$151,MATCH(INDEX(FTE_Allocation!$A$2:$A$201,$AB1571),Workforce!$A$2:$A$151,0))&amp;"","")))</f>
        <v/>
      </c>
      <c r="J1571" s="18">
        <f>IF($Z1571="","",IF(AND(DATE($AD1571,1,1)&gt;=$AE1571,DATE($AD1571,1,1)&lt;=$AF1571),ROUND($AG1571,2),0))</f>
        <v/>
      </c>
      <c r="K1571" s="18">
        <f>IF($Z1571="","",IF(AND(DATE($AD1571,2,1)&gt;=$AE1571,DATE($AD1571,2,1)&lt;=$AF1571),ROUND($AG1571,2),0))</f>
        <v/>
      </c>
      <c r="L1571" s="18">
        <f>IF($Z1571="","",IF(AND(DATE($AD1571,3,1)&gt;=$AE1571,DATE($AD1571,3,1)&lt;=$AF1571),ROUND($AG1571,2),0))</f>
        <v/>
      </c>
      <c r="M1571" s="18">
        <f>IF($Z1571="","",IF(AND(DATE($AD1571,4,1)&gt;=$AE1571,DATE($AD1571,4,1)&lt;=$AF1571),ROUND($AG1571,2),0))</f>
        <v/>
      </c>
      <c r="N1571" s="18">
        <f>IF($Z1571="","",IF(AND(DATE($AD1571,5,1)&gt;=$AE1571,DATE($AD1571,5,1)&lt;=$AF1571),ROUND($AG1571,2),0))</f>
        <v/>
      </c>
      <c r="O1571" s="18">
        <f>IF($Z1571="","",IF(AND(DATE($AD1571,6,1)&gt;=$AE1571,DATE($AD1571,6,1)&lt;=$AF1571),ROUND($AG1571,2),0))</f>
        <v/>
      </c>
      <c r="P1571" s="18">
        <f>IF($Z1571="","",IF(AND(DATE($AD1571,7,1)&gt;=$AE1571,DATE($AD1571,7,1)&lt;=$AF1571),ROUND($AG1571,2),0))</f>
        <v/>
      </c>
      <c r="Q1571" s="18">
        <f>IF($Z1571="","",IF(AND(DATE($AD1571,8,1)&gt;=$AE1571,DATE($AD1571,8,1)&lt;=$AF1571),ROUND($AG1571,2),0))</f>
        <v/>
      </c>
      <c r="R1571" s="18">
        <f>IF($Z1571="","",IF(AND(DATE($AD1571,9,1)&gt;=$AE1571,DATE($AD1571,9,1)&lt;=$AF1571),ROUND($AG1571,2),0))</f>
        <v/>
      </c>
      <c r="S1571" s="18">
        <f>IF($Z1571="","",IF(AND(DATE($AD1571,10,1)&gt;=$AE1571,DATE($AD1571,10,1)&lt;=$AF1571),ROUND($AG1571,2),0))</f>
        <v/>
      </c>
      <c r="T1571" s="18">
        <f>IF($Z1571="","",IF(AND(DATE($AD1571,11,1)&gt;=$AE1571,DATE($AD1571,11,1)&lt;=$AF1571),ROUND($AG1571,2),0))</f>
        <v/>
      </c>
      <c r="U1571" s="18">
        <f>IF($Z1571="","",IF(AND(DATE($AD1571,12,1)&gt;=$AE1571,DATE($AD1571,12,1)&lt;=$AF1571),ROUND($AG1571,2),0))</f>
        <v/>
      </c>
      <c r="V1571" s="7">
        <f>IF($Z1571="C","Generated from "&amp;INDEX(Contracts!$A$2:$A$151,$AB1571),IF($Z1571="A","Generated from "&amp;INDEX(Fixed_Assets!$A$2:$A$201,$AB1571),IF($Z1571="F","Generated from "&amp;INDEX(FTE_Allocation!$A$2:$A$201,$AB1571),"")))</f>
        <v/>
      </c>
      <c r="X1571" s="19">
        <f>IF($Z1571="","",SUM(J1571:U1571))</f>
        <v/>
      </c>
      <c r="Y1571" s="20">
        <f>ROW()-1</f>
        <v/>
      </c>
      <c r="Z1571" s="20">
        <f>IF($Y1571&lt;=Settings!$B$4*3,"C",IF($Y1571&lt;=(Settings!$B$4+Settings!$B$5)*3,"A",IF($Y1571&lt;=(Settings!$B$4+Settings!$B$5+Settings!$B$6)*3,"F","")))</f>
        <v/>
      </c>
      <c r="AA1571" s="20">
        <f>IF($Z1571="C",$Y1571,IF($Z1571="A",$Y1571-Settings!$B$4*3,IF($Z1571="F",$Y1571-(Settings!$B$4+Settings!$B$5)*3,"")))</f>
        <v/>
      </c>
      <c r="AB1571" s="20">
        <f>IF($Z1571="","",INT(($AA1571-1)/3)+1)</f>
        <v/>
      </c>
      <c r="AC1571" s="20">
        <f>IF($Z1571="","",MOD($AA1571-1,3)+1)</f>
        <v/>
      </c>
      <c r="AD1571" s="20">
        <f>IF($Z1571="","",Settings!$B$2+$AC1571-1)</f>
        <v/>
      </c>
      <c r="AE1571" s="21">
        <f>IF($Z1571="C",DATE(YEAR(INDEX(Contracts!$J$2:$J$151,$AB1571)),MONTH(INDEX(Contracts!$J$2:$J$151,$AB1571)),1),IF($Z1571="A",DATE(YEAR(INDEX(Fixed_Assets!$G$2:$G$201,$AB1571)),MONTH(INDEX(Fixed_Assets!$G$2:$G$201,$AB1571)),1),IF($Z1571="F",DATE(YEAR(MAX(N(INDEX(Workforce!$I$2:$I$151,MATCH(INDEX(FTE_Allocation!$A$2:$A$201,$AB1571),Workforce!$A$2:$A$151,0))),N(INDEX(FTE_Allocation!$I$2:$I$201,$AB1571)))),MONTH(MAX(N(INDEX(Workforce!$I$2:$I$151,MATCH(INDEX(FTE_Allocation!$A$2:$A$201,$AB1571),Workforce!$A$2:$A$151,0))),N(INDEX(FTE_Allocation!$I$2:$I$201,$AB1571)))),1),"")))</f>
        <v/>
      </c>
      <c r="AF1571" s="21">
        <f>IF($Z1571="C",IF(INDEX(Contracts!$I$2:$I$151,$AB1571)="PREPAID",EDATE(DATE(YEAR(INDEX(Contracts!$J$2:$J$151,$AB1571)),MONTH(INDEX(Contracts!$J$2:$J$151,$AB1571)),1),IF(INDEX(Contracts!$N$2:$N$151,$AB1571)="",12,INDEX(Contracts!$N$2:$N$151,$AB1571))-1),IF(INDEX(Contracts!$I$2:$I$151,$AB1571)="MONTHLY",IF(INDEX(Contracts!$K$2:$K$151,$AB1571)="",2958101,INDEX(Contracts!$K$2:$K$151,$AB1571)),0)),IF($Z1571="A",EDATE(DATE(YEAR(INDEX(Fixed_Assets!$G$2:$G$201,$AB1571)),MONTH(INDEX(Fixed_Assets!$G$2:$G$201,$AB1571)),1),INDEX(Fixed_Assets!$J$2:$J$201,$AB1571)-1),IF($Z1571="F",MIN(IF(INDEX(Workforce!$J$2:$J$151,MATCH(INDEX(FTE_Allocation!$A$2:$A$201,$AB1571),Workforce!$A$2:$A$151,0))="",2958101,INDEX(Workforce!$J$2:$J$151,MATCH(INDEX(FTE_Allocation!$A$2:$A$201,$AB1571),Workforce!$A$2:$A$151,0))),IF(INDEX(FTE_Allocation!$J$2:$J$201,$AB1571)="",2958101,INDEX(FTE_Allocation!$J$2:$J$201,$AB1571))),"")))</f>
        <v/>
      </c>
      <c r="AG1571" s="19">
        <f>IF($Z1571="C",IF(INDEX(Contracts!$I$2:$I$151,$AB1571)="PREPAID",INDEX(Contracts!$M$2:$M$151,$AB1571)/IF(INDEX(Contracts!$N$2:$N$151,$AB1571)="",12,INDEX(Contracts!$N$2:$N$151,$AB1571)),IF(INDEX(Contracts!$I$2:$I$151,$AB1571)="MONTHLY",INDEX(Contracts!$M$2:$M$151,$AB1571),0))*(1-N(INDEX(Contracts!$O$2:$O$151,$AB1571))),IF($Z1571="A",INDEX(Fixed_Assets!$H$2:$H$201,$AB1571)/INDEX(Fixed_Assets!$J$2:$J$201,$AB1571),IF($Z1571="F",INDEX(Workforce!$F$2:$F$151,MATCH(INDEX(FTE_Allocation!$A$2:$A$201,$AB1571),Workforce!$A$2:$A$151,0))*N(INDEX(FTE_Allocation!$F$2:$H$201,$AB1571,$AC1571)),"")))</f>
        <v/>
      </c>
    </row>
    <row r="1572">
      <c r="A1572" s="7">
        <f>IF($Z1572="","",$AD1572)</f>
        <v/>
      </c>
      <c r="B1572" s="7">
        <f>IF($Z1572="C",INDEX(Contracts!$D$2:$D$151,$AB1572)&amp;"",IF($Z1572="A",INDEX(Fixed_Assets!$C$2:$C$201,$AB1572)&amp;"",IF($Z1572="F",INDEX(Workforce!$B$2:$B$151,MATCH(INDEX(FTE_Allocation!$A$2:$A$201,$AB1572),Workforce!$A$2:$A$151,0))&amp;"","")))</f>
        <v/>
      </c>
      <c r="C1572" s="7">
        <f>IF($Z1572="C",INDEX(Contracts!$E$2:$E$151,$AB1572)&amp;"",IF($Z1572="A",INDEX(Fixed_Assets!$D$2:$D$201,$AB1572)&amp;"",IF($Z1572="F",INDEX(FTE_Allocation!$C$2:$C$201,$AB1572)&amp;"","")))</f>
        <v/>
      </c>
      <c r="D1572" s="7">
        <f>IF($Z1572="C",INDEX(Contracts!$B$2:$B$151,$AB1572)&amp;"",IF($Z1572="A",INDEX(Fixed_Assets!$B$2:$B$201,$AB1572)&amp;"",IF($Z1572="F",INDEX(FTE_Allocation!$B$2:$B$201,$AB1572)&amp;"","")))</f>
        <v/>
      </c>
      <c r="E1572" s="7">
        <f>IF($Z1572="C",INDEX(Contracts!$P$2:$P$151,$AB1572)&amp;"",IF($Z1572="A",INDEX(Fixed_Assets!$K$2:$K$201,$AB1572)&amp;"",IF($Z1572="F",IF(INDEX(FTE_Allocation!$D$2:$D$201,$AB1572)="PROJECT",IFERROR(INDEX(Projects!$D:$D,MATCH(INDEX(FTE_Allocation!$E$2:$E$201,$AB1572),Projects!$A:$A,0))&amp;"","#PROJECT?"),INDEX(FTE_Allocation!$E$2:$E$201,$AB1572)&amp;""),"")))</f>
        <v/>
      </c>
      <c r="F1572" s="7">
        <f>IF($Z1572="C",INDEX(Contracts!$Q$2:$Q$151,$AB1572)&amp;"",IF($Z1572="A",INDEX(Fixed_Assets!$L$2:$L$201,$AB1572)&amp;"",IF($Z1572="F",INDEX(Workforce!$K$2:$K$151,MATCH(INDEX(FTE_Allocation!$A$2:$A$201,$AB1572),Workforce!$A$2:$A$151,0))&amp;"","")))</f>
        <v/>
      </c>
      <c r="G1572" s="7">
        <f>IF($Z1572="C",INDEX(Contracts!$F$2:$F$151,$AB1572)&amp;" / "&amp;INDEX(Contracts!$G$2:$G$151,$AB1572),IF($Z1572="A",INDEX(Fixed_Assets!$E$2:$E$201,$AB1572)&amp;"",IF($Z1572="F","Personnel "&amp;INDEX(FTE_Allocation!$A$2:$A$201,$AB1572)&amp;IF(INDEX(FTE_Allocation!$D$2:$D$201,$AB1572)="PROJECT"," ("&amp;INDEX(FTE_Allocation!$E$2:$E$201,$AB1572)&amp;")",""),"")))</f>
        <v/>
      </c>
      <c r="H1572" s="7">
        <f>IF($Z1572="C","CONTRACT",IF($Z1572="A","ASSET",IF($Z1572="F","WORKFORCE","")))</f>
        <v/>
      </c>
      <c r="I1572" s="7">
        <f>IF($Z1572="C",INDEX(Contracts!$L$2:$L$151,$AB1572)&amp;"",IF($Z1572="A",INDEX(Fixed_Assets!$I$2:$I$201,$AB1572)&amp;"",IF($Z1572="F",INDEX(Workforce!$G$2:$G$151,MATCH(INDEX(FTE_Allocation!$A$2:$A$201,$AB1572),Workforce!$A$2:$A$151,0))&amp;"","")))</f>
        <v/>
      </c>
      <c r="J1572" s="18">
        <f>IF($Z1572="","",IF(AND(DATE($AD1572,1,1)&gt;=$AE1572,DATE($AD1572,1,1)&lt;=$AF1572),ROUND($AG1572,2),0))</f>
        <v/>
      </c>
      <c r="K1572" s="18">
        <f>IF($Z1572="","",IF(AND(DATE($AD1572,2,1)&gt;=$AE1572,DATE($AD1572,2,1)&lt;=$AF1572),ROUND($AG1572,2),0))</f>
        <v/>
      </c>
      <c r="L1572" s="18">
        <f>IF($Z1572="","",IF(AND(DATE($AD1572,3,1)&gt;=$AE1572,DATE($AD1572,3,1)&lt;=$AF1572),ROUND($AG1572,2),0))</f>
        <v/>
      </c>
      <c r="M1572" s="18">
        <f>IF($Z1572="","",IF(AND(DATE($AD1572,4,1)&gt;=$AE1572,DATE($AD1572,4,1)&lt;=$AF1572),ROUND($AG1572,2),0))</f>
        <v/>
      </c>
      <c r="N1572" s="18">
        <f>IF($Z1572="","",IF(AND(DATE($AD1572,5,1)&gt;=$AE1572,DATE($AD1572,5,1)&lt;=$AF1572),ROUND($AG1572,2),0))</f>
        <v/>
      </c>
      <c r="O1572" s="18">
        <f>IF($Z1572="","",IF(AND(DATE($AD1572,6,1)&gt;=$AE1572,DATE($AD1572,6,1)&lt;=$AF1572),ROUND($AG1572,2),0))</f>
        <v/>
      </c>
      <c r="P1572" s="18">
        <f>IF($Z1572="","",IF(AND(DATE($AD1572,7,1)&gt;=$AE1572,DATE($AD1572,7,1)&lt;=$AF1572),ROUND($AG1572,2),0))</f>
        <v/>
      </c>
      <c r="Q1572" s="18">
        <f>IF($Z1572="","",IF(AND(DATE($AD1572,8,1)&gt;=$AE1572,DATE($AD1572,8,1)&lt;=$AF1572),ROUND($AG1572,2),0))</f>
        <v/>
      </c>
      <c r="R1572" s="18">
        <f>IF($Z1572="","",IF(AND(DATE($AD1572,9,1)&gt;=$AE1572,DATE($AD1572,9,1)&lt;=$AF1572),ROUND($AG1572,2),0))</f>
        <v/>
      </c>
      <c r="S1572" s="18">
        <f>IF($Z1572="","",IF(AND(DATE($AD1572,10,1)&gt;=$AE1572,DATE($AD1572,10,1)&lt;=$AF1572),ROUND($AG1572,2),0))</f>
        <v/>
      </c>
      <c r="T1572" s="18">
        <f>IF($Z1572="","",IF(AND(DATE($AD1572,11,1)&gt;=$AE1572,DATE($AD1572,11,1)&lt;=$AF1572),ROUND($AG1572,2),0))</f>
        <v/>
      </c>
      <c r="U1572" s="18">
        <f>IF($Z1572="","",IF(AND(DATE($AD1572,12,1)&gt;=$AE1572,DATE($AD1572,12,1)&lt;=$AF1572),ROUND($AG1572,2),0))</f>
        <v/>
      </c>
      <c r="V1572" s="7">
        <f>IF($Z1572="C","Generated from "&amp;INDEX(Contracts!$A$2:$A$151,$AB1572),IF($Z1572="A","Generated from "&amp;INDEX(Fixed_Assets!$A$2:$A$201,$AB1572),IF($Z1572="F","Generated from "&amp;INDEX(FTE_Allocation!$A$2:$A$201,$AB1572),"")))</f>
        <v/>
      </c>
      <c r="X1572" s="19">
        <f>IF($Z1572="","",SUM(J1572:U1572))</f>
        <v/>
      </c>
      <c r="Y1572" s="20">
        <f>ROW()-1</f>
        <v/>
      </c>
      <c r="Z1572" s="20">
        <f>IF($Y1572&lt;=Settings!$B$4*3,"C",IF($Y1572&lt;=(Settings!$B$4+Settings!$B$5)*3,"A",IF($Y1572&lt;=(Settings!$B$4+Settings!$B$5+Settings!$B$6)*3,"F","")))</f>
        <v/>
      </c>
      <c r="AA1572" s="20">
        <f>IF($Z1572="C",$Y1572,IF($Z1572="A",$Y1572-Settings!$B$4*3,IF($Z1572="F",$Y1572-(Settings!$B$4+Settings!$B$5)*3,"")))</f>
        <v/>
      </c>
      <c r="AB1572" s="20">
        <f>IF($Z1572="","",INT(($AA1572-1)/3)+1)</f>
        <v/>
      </c>
      <c r="AC1572" s="20">
        <f>IF($Z1572="","",MOD($AA1572-1,3)+1)</f>
        <v/>
      </c>
      <c r="AD1572" s="20">
        <f>IF($Z1572="","",Settings!$B$2+$AC1572-1)</f>
        <v/>
      </c>
      <c r="AE1572" s="21">
        <f>IF($Z1572="C",DATE(YEAR(INDEX(Contracts!$J$2:$J$151,$AB1572)),MONTH(INDEX(Contracts!$J$2:$J$151,$AB1572)),1),IF($Z1572="A",DATE(YEAR(INDEX(Fixed_Assets!$G$2:$G$201,$AB1572)),MONTH(INDEX(Fixed_Assets!$G$2:$G$201,$AB1572)),1),IF($Z1572="F",DATE(YEAR(MAX(N(INDEX(Workforce!$I$2:$I$151,MATCH(INDEX(FTE_Allocation!$A$2:$A$201,$AB1572),Workforce!$A$2:$A$151,0))),N(INDEX(FTE_Allocation!$I$2:$I$201,$AB1572)))),MONTH(MAX(N(INDEX(Workforce!$I$2:$I$151,MATCH(INDEX(FTE_Allocation!$A$2:$A$201,$AB1572),Workforce!$A$2:$A$151,0))),N(INDEX(FTE_Allocation!$I$2:$I$201,$AB1572)))),1),"")))</f>
        <v/>
      </c>
      <c r="AF1572" s="21">
        <f>IF($Z1572="C",IF(INDEX(Contracts!$I$2:$I$151,$AB1572)="PREPAID",EDATE(DATE(YEAR(INDEX(Contracts!$J$2:$J$151,$AB1572)),MONTH(INDEX(Contracts!$J$2:$J$151,$AB1572)),1),IF(INDEX(Contracts!$N$2:$N$151,$AB1572)="",12,INDEX(Contracts!$N$2:$N$151,$AB1572))-1),IF(INDEX(Contracts!$I$2:$I$151,$AB1572)="MONTHLY",IF(INDEX(Contracts!$K$2:$K$151,$AB1572)="",2958101,INDEX(Contracts!$K$2:$K$151,$AB1572)),0)),IF($Z1572="A",EDATE(DATE(YEAR(INDEX(Fixed_Assets!$G$2:$G$201,$AB1572)),MONTH(INDEX(Fixed_Assets!$G$2:$G$201,$AB1572)),1),INDEX(Fixed_Assets!$J$2:$J$201,$AB1572)-1),IF($Z1572="F",MIN(IF(INDEX(Workforce!$J$2:$J$151,MATCH(INDEX(FTE_Allocation!$A$2:$A$201,$AB1572),Workforce!$A$2:$A$151,0))="",2958101,INDEX(Workforce!$J$2:$J$151,MATCH(INDEX(FTE_Allocation!$A$2:$A$201,$AB1572),Workforce!$A$2:$A$151,0))),IF(INDEX(FTE_Allocation!$J$2:$J$201,$AB1572)="",2958101,INDEX(FTE_Allocation!$J$2:$J$201,$AB1572))),"")))</f>
        <v/>
      </c>
      <c r="AG1572" s="19">
        <f>IF($Z1572="C",IF(INDEX(Contracts!$I$2:$I$151,$AB1572)="PREPAID",INDEX(Contracts!$M$2:$M$151,$AB1572)/IF(INDEX(Contracts!$N$2:$N$151,$AB1572)="",12,INDEX(Contracts!$N$2:$N$151,$AB1572)),IF(INDEX(Contracts!$I$2:$I$151,$AB1572)="MONTHLY",INDEX(Contracts!$M$2:$M$151,$AB1572),0))*(1-N(INDEX(Contracts!$O$2:$O$151,$AB1572))),IF($Z1572="A",INDEX(Fixed_Assets!$H$2:$H$201,$AB1572)/INDEX(Fixed_Assets!$J$2:$J$201,$AB1572),IF($Z1572="F",INDEX(Workforce!$F$2:$F$151,MATCH(INDEX(FTE_Allocation!$A$2:$A$201,$AB1572),Workforce!$A$2:$A$151,0))*N(INDEX(FTE_Allocation!$F$2:$H$201,$AB1572,$AC1572)),"")))</f>
        <v/>
      </c>
    </row>
    <row r="1573">
      <c r="A1573" s="7">
        <f>IF($Z1573="","",$AD1573)</f>
        <v/>
      </c>
      <c r="B1573" s="7">
        <f>IF($Z1573="C",INDEX(Contracts!$D$2:$D$151,$AB1573)&amp;"",IF($Z1573="A",INDEX(Fixed_Assets!$C$2:$C$201,$AB1573)&amp;"",IF($Z1573="F",INDEX(Workforce!$B$2:$B$151,MATCH(INDEX(FTE_Allocation!$A$2:$A$201,$AB1573),Workforce!$A$2:$A$151,0))&amp;"","")))</f>
        <v/>
      </c>
      <c r="C1573" s="7">
        <f>IF($Z1573="C",INDEX(Contracts!$E$2:$E$151,$AB1573)&amp;"",IF($Z1573="A",INDEX(Fixed_Assets!$D$2:$D$201,$AB1573)&amp;"",IF($Z1573="F",INDEX(FTE_Allocation!$C$2:$C$201,$AB1573)&amp;"","")))</f>
        <v/>
      </c>
      <c r="D1573" s="7">
        <f>IF($Z1573="C",INDEX(Contracts!$B$2:$B$151,$AB1573)&amp;"",IF($Z1573="A",INDEX(Fixed_Assets!$B$2:$B$201,$AB1573)&amp;"",IF($Z1573="F",INDEX(FTE_Allocation!$B$2:$B$201,$AB1573)&amp;"","")))</f>
        <v/>
      </c>
      <c r="E1573" s="7">
        <f>IF($Z1573="C",INDEX(Contracts!$P$2:$P$151,$AB1573)&amp;"",IF($Z1573="A",INDEX(Fixed_Assets!$K$2:$K$201,$AB1573)&amp;"",IF($Z1573="F",IF(INDEX(FTE_Allocation!$D$2:$D$201,$AB1573)="PROJECT",IFERROR(INDEX(Projects!$D:$D,MATCH(INDEX(FTE_Allocation!$E$2:$E$201,$AB1573),Projects!$A:$A,0))&amp;"","#PROJECT?"),INDEX(FTE_Allocation!$E$2:$E$201,$AB1573)&amp;""),"")))</f>
        <v/>
      </c>
      <c r="F1573" s="7">
        <f>IF($Z1573="C",INDEX(Contracts!$Q$2:$Q$151,$AB1573)&amp;"",IF($Z1573="A",INDEX(Fixed_Assets!$L$2:$L$201,$AB1573)&amp;"",IF($Z1573="F",INDEX(Workforce!$K$2:$K$151,MATCH(INDEX(FTE_Allocation!$A$2:$A$201,$AB1573),Workforce!$A$2:$A$151,0))&amp;"","")))</f>
        <v/>
      </c>
      <c r="G1573" s="7">
        <f>IF($Z1573="C",INDEX(Contracts!$F$2:$F$151,$AB1573)&amp;" / "&amp;INDEX(Contracts!$G$2:$G$151,$AB1573),IF($Z1573="A",INDEX(Fixed_Assets!$E$2:$E$201,$AB1573)&amp;"",IF($Z1573="F","Personnel "&amp;INDEX(FTE_Allocation!$A$2:$A$201,$AB1573)&amp;IF(INDEX(FTE_Allocation!$D$2:$D$201,$AB1573)="PROJECT"," ("&amp;INDEX(FTE_Allocation!$E$2:$E$201,$AB1573)&amp;")",""),"")))</f>
        <v/>
      </c>
      <c r="H1573" s="7">
        <f>IF($Z1573="C","CONTRACT",IF($Z1573="A","ASSET",IF($Z1573="F","WORKFORCE","")))</f>
        <v/>
      </c>
      <c r="I1573" s="7">
        <f>IF($Z1573="C",INDEX(Contracts!$L$2:$L$151,$AB1573)&amp;"",IF($Z1573="A",INDEX(Fixed_Assets!$I$2:$I$201,$AB1573)&amp;"",IF($Z1573="F",INDEX(Workforce!$G$2:$G$151,MATCH(INDEX(FTE_Allocation!$A$2:$A$201,$AB1573),Workforce!$A$2:$A$151,0))&amp;"","")))</f>
        <v/>
      </c>
      <c r="J1573" s="18">
        <f>IF($Z1573="","",IF(AND(DATE($AD1573,1,1)&gt;=$AE1573,DATE($AD1573,1,1)&lt;=$AF1573),ROUND($AG1573,2),0))</f>
        <v/>
      </c>
      <c r="K1573" s="18">
        <f>IF($Z1573="","",IF(AND(DATE($AD1573,2,1)&gt;=$AE1573,DATE($AD1573,2,1)&lt;=$AF1573),ROUND($AG1573,2),0))</f>
        <v/>
      </c>
      <c r="L1573" s="18">
        <f>IF($Z1573="","",IF(AND(DATE($AD1573,3,1)&gt;=$AE1573,DATE($AD1573,3,1)&lt;=$AF1573),ROUND($AG1573,2),0))</f>
        <v/>
      </c>
      <c r="M1573" s="18">
        <f>IF($Z1573="","",IF(AND(DATE($AD1573,4,1)&gt;=$AE1573,DATE($AD1573,4,1)&lt;=$AF1573),ROUND($AG1573,2),0))</f>
        <v/>
      </c>
      <c r="N1573" s="18">
        <f>IF($Z1573="","",IF(AND(DATE($AD1573,5,1)&gt;=$AE1573,DATE($AD1573,5,1)&lt;=$AF1573),ROUND($AG1573,2),0))</f>
        <v/>
      </c>
      <c r="O1573" s="18">
        <f>IF($Z1573="","",IF(AND(DATE($AD1573,6,1)&gt;=$AE1573,DATE($AD1573,6,1)&lt;=$AF1573),ROUND($AG1573,2),0))</f>
        <v/>
      </c>
      <c r="P1573" s="18">
        <f>IF($Z1573="","",IF(AND(DATE($AD1573,7,1)&gt;=$AE1573,DATE($AD1573,7,1)&lt;=$AF1573),ROUND($AG1573,2),0))</f>
        <v/>
      </c>
      <c r="Q1573" s="18">
        <f>IF($Z1573="","",IF(AND(DATE($AD1573,8,1)&gt;=$AE1573,DATE($AD1573,8,1)&lt;=$AF1573),ROUND($AG1573,2),0))</f>
        <v/>
      </c>
      <c r="R1573" s="18">
        <f>IF($Z1573="","",IF(AND(DATE($AD1573,9,1)&gt;=$AE1573,DATE($AD1573,9,1)&lt;=$AF1573),ROUND($AG1573,2),0))</f>
        <v/>
      </c>
      <c r="S1573" s="18">
        <f>IF($Z1573="","",IF(AND(DATE($AD1573,10,1)&gt;=$AE1573,DATE($AD1573,10,1)&lt;=$AF1573),ROUND($AG1573,2),0))</f>
        <v/>
      </c>
      <c r="T1573" s="18">
        <f>IF($Z1573="","",IF(AND(DATE($AD1573,11,1)&gt;=$AE1573,DATE($AD1573,11,1)&lt;=$AF1573),ROUND($AG1573,2),0))</f>
        <v/>
      </c>
      <c r="U1573" s="18">
        <f>IF($Z1573="","",IF(AND(DATE($AD1573,12,1)&gt;=$AE1573,DATE($AD1573,12,1)&lt;=$AF1573),ROUND($AG1573,2),0))</f>
        <v/>
      </c>
      <c r="V1573" s="7">
        <f>IF($Z1573="C","Generated from "&amp;INDEX(Contracts!$A$2:$A$151,$AB1573),IF($Z1573="A","Generated from "&amp;INDEX(Fixed_Assets!$A$2:$A$201,$AB1573),IF($Z1573="F","Generated from "&amp;INDEX(FTE_Allocation!$A$2:$A$201,$AB1573),"")))</f>
        <v/>
      </c>
      <c r="X1573" s="19">
        <f>IF($Z1573="","",SUM(J1573:U1573))</f>
        <v/>
      </c>
      <c r="Y1573" s="20">
        <f>ROW()-1</f>
        <v/>
      </c>
      <c r="Z1573" s="20">
        <f>IF($Y1573&lt;=Settings!$B$4*3,"C",IF($Y1573&lt;=(Settings!$B$4+Settings!$B$5)*3,"A",IF($Y1573&lt;=(Settings!$B$4+Settings!$B$5+Settings!$B$6)*3,"F","")))</f>
        <v/>
      </c>
      <c r="AA1573" s="20">
        <f>IF($Z1573="C",$Y1573,IF($Z1573="A",$Y1573-Settings!$B$4*3,IF($Z1573="F",$Y1573-(Settings!$B$4+Settings!$B$5)*3,"")))</f>
        <v/>
      </c>
      <c r="AB1573" s="20">
        <f>IF($Z1573="","",INT(($AA1573-1)/3)+1)</f>
        <v/>
      </c>
      <c r="AC1573" s="20">
        <f>IF($Z1573="","",MOD($AA1573-1,3)+1)</f>
        <v/>
      </c>
      <c r="AD1573" s="20">
        <f>IF($Z1573="","",Settings!$B$2+$AC1573-1)</f>
        <v/>
      </c>
      <c r="AE1573" s="21">
        <f>IF($Z1573="C",DATE(YEAR(INDEX(Contracts!$J$2:$J$151,$AB1573)),MONTH(INDEX(Contracts!$J$2:$J$151,$AB1573)),1),IF($Z1573="A",DATE(YEAR(INDEX(Fixed_Assets!$G$2:$G$201,$AB1573)),MONTH(INDEX(Fixed_Assets!$G$2:$G$201,$AB1573)),1),IF($Z1573="F",DATE(YEAR(MAX(N(INDEX(Workforce!$I$2:$I$151,MATCH(INDEX(FTE_Allocation!$A$2:$A$201,$AB1573),Workforce!$A$2:$A$151,0))),N(INDEX(FTE_Allocation!$I$2:$I$201,$AB1573)))),MONTH(MAX(N(INDEX(Workforce!$I$2:$I$151,MATCH(INDEX(FTE_Allocation!$A$2:$A$201,$AB1573),Workforce!$A$2:$A$151,0))),N(INDEX(FTE_Allocation!$I$2:$I$201,$AB1573)))),1),"")))</f>
        <v/>
      </c>
      <c r="AF1573" s="21">
        <f>IF($Z1573="C",IF(INDEX(Contracts!$I$2:$I$151,$AB1573)="PREPAID",EDATE(DATE(YEAR(INDEX(Contracts!$J$2:$J$151,$AB1573)),MONTH(INDEX(Contracts!$J$2:$J$151,$AB1573)),1),IF(INDEX(Contracts!$N$2:$N$151,$AB1573)="",12,INDEX(Contracts!$N$2:$N$151,$AB1573))-1),IF(INDEX(Contracts!$I$2:$I$151,$AB1573)="MONTHLY",IF(INDEX(Contracts!$K$2:$K$151,$AB1573)="",2958101,INDEX(Contracts!$K$2:$K$151,$AB1573)),0)),IF($Z1573="A",EDATE(DATE(YEAR(INDEX(Fixed_Assets!$G$2:$G$201,$AB1573)),MONTH(INDEX(Fixed_Assets!$G$2:$G$201,$AB1573)),1),INDEX(Fixed_Assets!$J$2:$J$201,$AB1573)-1),IF($Z1573="F",MIN(IF(INDEX(Workforce!$J$2:$J$151,MATCH(INDEX(FTE_Allocation!$A$2:$A$201,$AB1573),Workforce!$A$2:$A$151,0))="",2958101,INDEX(Workforce!$J$2:$J$151,MATCH(INDEX(FTE_Allocation!$A$2:$A$201,$AB1573),Workforce!$A$2:$A$151,0))),IF(INDEX(FTE_Allocation!$J$2:$J$201,$AB1573)="",2958101,INDEX(FTE_Allocation!$J$2:$J$201,$AB1573))),"")))</f>
        <v/>
      </c>
      <c r="AG1573" s="19">
        <f>IF($Z1573="C",IF(INDEX(Contracts!$I$2:$I$151,$AB1573)="PREPAID",INDEX(Contracts!$M$2:$M$151,$AB1573)/IF(INDEX(Contracts!$N$2:$N$151,$AB1573)="",12,INDEX(Contracts!$N$2:$N$151,$AB1573)),IF(INDEX(Contracts!$I$2:$I$151,$AB1573)="MONTHLY",INDEX(Contracts!$M$2:$M$151,$AB1573),0))*(1-N(INDEX(Contracts!$O$2:$O$151,$AB1573))),IF($Z1573="A",INDEX(Fixed_Assets!$H$2:$H$201,$AB1573)/INDEX(Fixed_Assets!$J$2:$J$201,$AB1573),IF($Z1573="F",INDEX(Workforce!$F$2:$F$151,MATCH(INDEX(FTE_Allocation!$A$2:$A$201,$AB1573),Workforce!$A$2:$A$151,0))*N(INDEX(FTE_Allocation!$F$2:$H$201,$AB1573,$AC1573)),"")))</f>
        <v/>
      </c>
    </row>
    <row r="1574">
      <c r="A1574" s="7">
        <f>IF($Z1574="","",$AD1574)</f>
        <v/>
      </c>
      <c r="B1574" s="7">
        <f>IF($Z1574="C",INDEX(Contracts!$D$2:$D$151,$AB1574)&amp;"",IF($Z1574="A",INDEX(Fixed_Assets!$C$2:$C$201,$AB1574)&amp;"",IF($Z1574="F",INDEX(Workforce!$B$2:$B$151,MATCH(INDEX(FTE_Allocation!$A$2:$A$201,$AB1574),Workforce!$A$2:$A$151,0))&amp;"","")))</f>
        <v/>
      </c>
      <c r="C1574" s="7">
        <f>IF($Z1574="C",INDEX(Contracts!$E$2:$E$151,$AB1574)&amp;"",IF($Z1574="A",INDEX(Fixed_Assets!$D$2:$D$201,$AB1574)&amp;"",IF($Z1574="F",INDEX(FTE_Allocation!$C$2:$C$201,$AB1574)&amp;"","")))</f>
        <v/>
      </c>
      <c r="D1574" s="7">
        <f>IF($Z1574="C",INDEX(Contracts!$B$2:$B$151,$AB1574)&amp;"",IF($Z1574="A",INDEX(Fixed_Assets!$B$2:$B$201,$AB1574)&amp;"",IF($Z1574="F",INDEX(FTE_Allocation!$B$2:$B$201,$AB1574)&amp;"","")))</f>
        <v/>
      </c>
      <c r="E1574" s="7">
        <f>IF($Z1574="C",INDEX(Contracts!$P$2:$P$151,$AB1574)&amp;"",IF($Z1574="A",INDEX(Fixed_Assets!$K$2:$K$201,$AB1574)&amp;"",IF($Z1574="F",IF(INDEX(FTE_Allocation!$D$2:$D$201,$AB1574)="PROJECT",IFERROR(INDEX(Projects!$D:$D,MATCH(INDEX(FTE_Allocation!$E$2:$E$201,$AB1574),Projects!$A:$A,0))&amp;"","#PROJECT?"),INDEX(FTE_Allocation!$E$2:$E$201,$AB1574)&amp;""),"")))</f>
        <v/>
      </c>
      <c r="F1574" s="7">
        <f>IF($Z1574="C",INDEX(Contracts!$Q$2:$Q$151,$AB1574)&amp;"",IF($Z1574="A",INDEX(Fixed_Assets!$L$2:$L$201,$AB1574)&amp;"",IF($Z1574="F",INDEX(Workforce!$K$2:$K$151,MATCH(INDEX(FTE_Allocation!$A$2:$A$201,$AB1574),Workforce!$A$2:$A$151,0))&amp;"","")))</f>
        <v/>
      </c>
      <c r="G1574" s="7">
        <f>IF($Z1574="C",INDEX(Contracts!$F$2:$F$151,$AB1574)&amp;" / "&amp;INDEX(Contracts!$G$2:$G$151,$AB1574),IF($Z1574="A",INDEX(Fixed_Assets!$E$2:$E$201,$AB1574)&amp;"",IF($Z1574="F","Personnel "&amp;INDEX(FTE_Allocation!$A$2:$A$201,$AB1574)&amp;IF(INDEX(FTE_Allocation!$D$2:$D$201,$AB1574)="PROJECT"," ("&amp;INDEX(FTE_Allocation!$E$2:$E$201,$AB1574)&amp;")",""),"")))</f>
        <v/>
      </c>
      <c r="H1574" s="7">
        <f>IF($Z1574="C","CONTRACT",IF($Z1574="A","ASSET",IF($Z1574="F","WORKFORCE","")))</f>
        <v/>
      </c>
      <c r="I1574" s="7">
        <f>IF($Z1574="C",INDEX(Contracts!$L$2:$L$151,$AB1574)&amp;"",IF($Z1574="A",INDEX(Fixed_Assets!$I$2:$I$201,$AB1574)&amp;"",IF($Z1574="F",INDEX(Workforce!$G$2:$G$151,MATCH(INDEX(FTE_Allocation!$A$2:$A$201,$AB1574),Workforce!$A$2:$A$151,0))&amp;"","")))</f>
        <v/>
      </c>
      <c r="J1574" s="18">
        <f>IF($Z1574="","",IF(AND(DATE($AD1574,1,1)&gt;=$AE1574,DATE($AD1574,1,1)&lt;=$AF1574),ROUND($AG1574,2),0))</f>
        <v/>
      </c>
      <c r="K1574" s="18">
        <f>IF($Z1574="","",IF(AND(DATE($AD1574,2,1)&gt;=$AE1574,DATE($AD1574,2,1)&lt;=$AF1574),ROUND($AG1574,2),0))</f>
        <v/>
      </c>
      <c r="L1574" s="18">
        <f>IF($Z1574="","",IF(AND(DATE($AD1574,3,1)&gt;=$AE1574,DATE($AD1574,3,1)&lt;=$AF1574),ROUND($AG1574,2),0))</f>
        <v/>
      </c>
      <c r="M1574" s="18">
        <f>IF($Z1574="","",IF(AND(DATE($AD1574,4,1)&gt;=$AE1574,DATE($AD1574,4,1)&lt;=$AF1574),ROUND($AG1574,2),0))</f>
        <v/>
      </c>
      <c r="N1574" s="18">
        <f>IF($Z1574="","",IF(AND(DATE($AD1574,5,1)&gt;=$AE1574,DATE($AD1574,5,1)&lt;=$AF1574),ROUND($AG1574,2),0))</f>
        <v/>
      </c>
      <c r="O1574" s="18">
        <f>IF($Z1574="","",IF(AND(DATE($AD1574,6,1)&gt;=$AE1574,DATE($AD1574,6,1)&lt;=$AF1574),ROUND($AG1574,2),0))</f>
        <v/>
      </c>
      <c r="P1574" s="18">
        <f>IF($Z1574="","",IF(AND(DATE($AD1574,7,1)&gt;=$AE1574,DATE($AD1574,7,1)&lt;=$AF1574),ROUND($AG1574,2),0))</f>
        <v/>
      </c>
      <c r="Q1574" s="18">
        <f>IF($Z1574="","",IF(AND(DATE($AD1574,8,1)&gt;=$AE1574,DATE($AD1574,8,1)&lt;=$AF1574),ROUND($AG1574,2),0))</f>
        <v/>
      </c>
      <c r="R1574" s="18">
        <f>IF($Z1574="","",IF(AND(DATE($AD1574,9,1)&gt;=$AE1574,DATE($AD1574,9,1)&lt;=$AF1574),ROUND($AG1574,2),0))</f>
        <v/>
      </c>
      <c r="S1574" s="18">
        <f>IF($Z1574="","",IF(AND(DATE($AD1574,10,1)&gt;=$AE1574,DATE($AD1574,10,1)&lt;=$AF1574),ROUND($AG1574,2),0))</f>
        <v/>
      </c>
      <c r="T1574" s="18">
        <f>IF($Z1574="","",IF(AND(DATE($AD1574,11,1)&gt;=$AE1574,DATE($AD1574,11,1)&lt;=$AF1574),ROUND($AG1574,2),0))</f>
        <v/>
      </c>
      <c r="U1574" s="18">
        <f>IF($Z1574="","",IF(AND(DATE($AD1574,12,1)&gt;=$AE1574,DATE($AD1574,12,1)&lt;=$AF1574),ROUND($AG1574,2),0))</f>
        <v/>
      </c>
      <c r="V1574" s="7">
        <f>IF($Z1574="C","Generated from "&amp;INDEX(Contracts!$A$2:$A$151,$AB1574),IF($Z1574="A","Generated from "&amp;INDEX(Fixed_Assets!$A$2:$A$201,$AB1574),IF($Z1574="F","Generated from "&amp;INDEX(FTE_Allocation!$A$2:$A$201,$AB1574),"")))</f>
        <v/>
      </c>
      <c r="X1574" s="19">
        <f>IF($Z1574="","",SUM(J1574:U1574))</f>
        <v/>
      </c>
      <c r="Y1574" s="20">
        <f>ROW()-1</f>
        <v/>
      </c>
      <c r="Z1574" s="20">
        <f>IF($Y1574&lt;=Settings!$B$4*3,"C",IF($Y1574&lt;=(Settings!$B$4+Settings!$B$5)*3,"A",IF($Y1574&lt;=(Settings!$B$4+Settings!$B$5+Settings!$B$6)*3,"F","")))</f>
        <v/>
      </c>
      <c r="AA1574" s="20">
        <f>IF($Z1574="C",$Y1574,IF($Z1574="A",$Y1574-Settings!$B$4*3,IF($Z1574="F",$Y1574-(Settings!$B$4+Settings!$B$5)*3,"")))</f>
        <v/>
      </c>
      <c r="AB1574" s="20">
        <f>IF($Z1574="","",INT(($AA1574-1)/3)+1)</f>
        <v/>
      </c>
      <c r="AC1574" s="20">
        <f>IF($Z1574="","",MOD($AA1574-1,3)+1)</f>
        <v/>
      </c>
      <c r="AD1574" s="20">
        <f>IF($Z1574="","",Settings!$B$2+$AC1574-1)</f>
        <v/>
      </c>
      <c r="AE1574" s="21">
        <f>IF($Z1574="C",DATE(YEAR(INDEX(Contracts!$J$2:$J$151,$AB1574)),MONTH(INDEX(Contracts!$J$2:$J$151,$AB1574)),1),IF($Z1574="A",DATE(YEAR(INDEX(Fixed_Assets!$G$2:$G$201,$AB1574)),MONTH(INDEX(Fixed_Assets!$G$2:$G$201,$AB1574)),1),IF($Z1574="F",DATE(YEAR(MAX(N(INDEX(Workforce!$I$2:$I$151,MATCH(INDEX(FTE_Allocation!$A$2:$A$201,$AB1574),Workforce!$A$2:$A$151,0))),N(INDEX(FTE_Allocation!$I$2:$I$201,$AB1574)))),MONTH(MAX(N(INDEX(Workforce!$I$2:$I$151,MATCH(INDEX(FTE_Allocation!$A$2:$A$201,$AB1574),Workforce!$A$2:$A$151,0))),N(INDEX(FTE_Allocation!$I$2:$I$201,$AB1574)))),1),"")))</f>
        <v/>
      </c>
      <c r="AF1574" s="21">
        <f>IF($Z1574="C",IF(INDEX(Contracts!$I$2:$I$151,$AB1574)="PREPAID",EDATE(DATE(YEAR(INDEX(Contracts!$J$2:$J$151,$AB1574)),MONTH(INDEX(Contracts!$J$2:$J$151,$AB1574)),1),IF(INDEX(Contracts!$N$2:$N$151,$AB1574)="",12,INDEX(Contracts!$N$2:$N$151,$AB1574))-1),IF(INDEX(Contracts!$I$2:$I$151,$AB1574)="MONTHLY",IF(INDEX(Contracts!$K$2:$K$151,$AB1574)="",2958101,INDEX(Contracts!$K$2:$K$151,$AB1574)),0)),IF($Z1574="A",EDATE(DATE(YEAR(INDEX(Fixed_Assets!$G$2:$G$201,$AB1574)),MONTH(INDEX(Fixed_Assets!$G$2:$G$201,$AB1574)),1),INDEX(Fixed_Assets!$J$2:$J$201,$AB1574)-1),IF($Z1574="F",MIN(IF(INDEX(Workforce!$J$2:$J$151,MATCH(INDEX(FTE_Allocation!$A$2:$A$201,$AB1574),Workforce!$A$2:$A$151,0))="",2958101,INDEX(Workforce!$J$2:$J$151,MATCH(INDEX(FTE_Allocation!$A$2:$A$201,$AB1574),Workforce!$A$2:$A$151,0))),IF(INDEX(FTE_Allocation!$J$2:$J$201,$AB1574)="",2958101,INDEX(FTE_Allocation!$J$2:$J$201,$AB1574))),"")))</f>
        <v/>
      </c>
      <c r="AG1574" s="19">
        <f>IF($Z1574="C",IF(INDEX(Contracts!$I$2:$I$151,$AB1574)="PREPAID",INDEX(Contracts!$M$2:$M$151,$AB1574)/IF(INDEX(Contracts!$N$2:$N$151,$AB1574)="",12,INDEX(Contracts!$N$2:$N$151,$AB1574)),IF(INDEX(Contracts!$I$2:$I$151,$AB1574)="MONTHLY",INDEX(Contracts!$M$2:$M$151,$AB1574),0))*(1-N(INDEX(Contracts!$O$2:$O$151,$AB1574))),IF($Z1574="A",INDEX(Fixed_Assets!$H$2:$H$201,$AB1574)/INDEX(Fixed_Assets!$J$2:$J$201,$AB1574),IF($Z1574="F",INDEX(Workforce!$F$2:$F$151,MATCH(INDEX(FTE_Allocation!$A$2:$A$201,$AB1574),Workforce!$A$2:$A$151,0))*N(INDEX(FTE_Allocation!$F$2:$H$201,$AB1574,$AC1574)),"")))</f>
        <v/>
      </c>
    </row>
    <row r="1575">
      <c r="A1575" s="7">
        <f>IF($Z1575="","",$AD1575)</f>
        <v/>
      </c>
      <c r="B1575" s="7">
        <f>IF($Z1575="C",INDEX(Contracts!$D$2:$D$151,$AB1575)&amp;"",IF($Z1575="A",INDEX(Fixed_Assets!$C$2:$C$201,$AB1575)&amp;"",IF($Z1575="F",INDEX(Workforce!$B$2:$B$151,MATCH(INDEX(FTE_Allocation!$A$2:$A$201,$AB1575),Workforce!$A$2:$A$151,0))&amp;"","")))</f>
        <v/>
      </c>
      <c r="C1575" s="7">
        <f>IF($Z1575="C",INDEX(Contracts!$E$2:$E$151,$AB1575)&amp;"",IF($Z1575="A",INDEX(Fixed_Assets!$D$2:$D$201,$AB1575)&amp;"",IF($Z1575="F",INDEX(FTE_Allocation!$C$2:$C$201,$AB1575)&amp;"","")))</f>
        <v/>
      </c>
      <c r="D1575" s="7">
        <f>IF($Z1575="C",INDEX(Contracts!$B$2:$B$151,$AB1575)&amp;"",IF($Z1575="A",INDEX(Fixed_Assets!$B$2:$B$201,$AB1575)&amp;"",IF($Z1575="F",INDEX(FTE_Allocation!$B$2:$B$201,$AB1575)&amp;"","")))</f>
        <v/>
      </c>
      <c r="E1575" s="7">
        <f>IF($Z1575="C",INDEX(Contracts!$P$2:$P$151,$AB1575)&amp;"",IF($Z1575="A",INDEX(Fixed_Assets!$K$2:$K$201,$AB1575)&amp;"",IF($Z1575="F",IF(INDEX(FTE_Allocation!$D$2:$D$201,$AB1575)="PROJECT",IFERROR(INDEX(Projects!$D:$D,MATCH(INDEX(FTE_Allocation!$E$2:$E$201,$AB1575),Projects!$A:$A,0))&amp;"","#PROJECT?"),INDEX(FTE_Allocation!$E$2:$E$201,$AB1575)&amp;""),"")))</f>
        <v/>
      </c>
      <c r="F1575" s="7">
        <f>IF($Z1575="C",INDEX(Contracts!$Q$2:$Q$151,$AB1575)&amp;"",IF($Z1575="A",INDEX(Fixed_Assets!$L$2:$L$201,$AB1575)&amp;"",IF($Z1575="F",INDEX(Workforce!$K$2:$K$151,MATCH(INDEX(FTE_Allocation!$A$2:$A$201,$AB1575),Workforce!$A$2:$A$151,0))&amp;"","")))</f>
        <v/>
      </c>
      <c r="G1575" s="7">
        <f>IF($Z1575="C",INDEX(Contracts!$F$2:$F$151,$AB1575)&amp;" / "&amp;INDEX(Contracts!$G$2:$G$151,$AB1575),IF($Z1575="A",INDEX(Fixed_Assets!$E$2:$E$201,$AB1575)&amp;"",IF($Z1575="F","Personnel "&amp;INDEX(FTE_Allocation!$A$2:$A$201,$AB1575)&amp;IF(INDEX(FTE_Allocation!$D$2:$D$201,$AB1575)="PROJECT"," ("&amp;INDEX(FTE_Allocation!$E$2:$E$201,$AB1575)&amp;")",""),"")))</f>
        <v/>
      </c>
      <c r="H1575" s="7">
        <f>IF($Z1575="C","CONTRACT",IF($Z1575="A","ASSET",IF($Z1575="F","WORKFORCE","")))</f>
        <v/>
      </c>
      <c r="I1575" s="7">
        <f>IF($Z1575="C",INDEX(Contracts!$L$2:$L$151,$AB1575)&amp;"",IF($Z1575="A",INDEX(Fixed_Assets!$I$2:$I$201,$AB1575)&amp;"",IF($Z1575="F",INDEX(Workforce!$G$2:$G$151,MATCH(INDEX(FTE_Allocation!$A$2:$A$201,$AB1575),Workforce!$A$2:$A$151,0))&amp;"","")))</f>
        <v/>
      </c>
      <c r="J1575" s="18">
        <f>IF($Z1575="","",IF(AND(DATE($AD1575,1,1)&gt;=$AE1575,DATE($AD1575,1,1)&lt;=$AF1575),ROUND($AG1575,2),0))</f>
        <v/>
      </c>
      <c r="K1575" s="18">
        <f>IF($Z1575="","",IF(AND(DATE($AD1575,2,1)&gt;=$AE1575,DATE($AD1575,2,1)&lt;=$AF1575),ROUND($AG1575,2),0))</f>
        <v/>
      </c>
      <c r="L1575" s="18">
        <f>IF($Z1575="","",IF(AND(DATE($AD1575,3,1)&gt;=$AE1575,DATE($AD1575,3,1)&lt;=$AF1575),ROUND($AG1575,2),0))</f>
        <v/>
      </c>
      <c r="M1575" s="18">
        <f>IF($Z1575="","",IF(AND(DATE($AD1575,4,1)&gt;=$AE1575,DATE($AD1575,4,1)&lt;=$AF1575),ROUND($AG1575,2),0))</f>
        <v/>
      </c>
      <c r="N1575" s="18">
        <f>IF($Z1575="","",IF(AND(DATE($AD1575,5,1)&gt;=$AE1575,DATE($AD1575,5,1)&lt;=$AF1575),ROUND($AG1575,2),0))</f>
        <v/>
      </c>
      <c r="O1575" s="18">
        <f>IF($Z1575="","",IF(AND(DATE($AD1575,6,1)&gt;=$AE1575,DATE($AD1575,6,1)&lt;=$AF1575),ROUND($AG1575,2),0))</f>
        <v/>
      </c>
      <c r="P1575" s="18">
        <f>IF($Z1575="","",IF(AND(DATE($AD1575,7,1)&gt;=$AE1575,DATE($AD1575,7,1)&lt;=$AF1575),ROUND($AG1575,2),0))</f>
        <v/>
      </c>
      <c r="Q1575" s="18">
        <f>IF($Z1575="","",IF(AND(DATE($AD1575,8,1)&gt;=$AE1575,DATE($AD1575,8,1)&lt;=$AF1575),ROUND($AG1575,2),0))</f>
        <v/>
      </c>
      <c r="R1575" s="18">
        <f>IF($Z1575="","",IF(AND(DATE($AD1575,9,1)&gt;=$AE1575,DATE($AD1575,9,1)&lt;=$AF1575),ROUND($AG1575,2),0))</f>
        <v/>
      </c>
      <c r="S1575" s="18">
        <f>IF($Z1575="","",IF(AND(DATE($AD1575,10,1)&gt;=$AE1575,DATE($AD1575,10,1)&lt;=$AF1575),ROUND($AG1575,2),0))</f>
        <v/>
      </c>
      <c r="T1575" s="18">
        <f>IF($Z1575="","",IF(AND(DATE($AD1575,11,1)&gt;=$AE1575,DATE($AD1575,11,1)&lt;=$AF1575),ROUND($AG1575,2),0))</f>
        <v/>
      </c>
      <c r="U1575" s="18">
        <f>IF($Z1575="","",IF(AND(DATE($AD1575,12,1)&gt;=$AE1575,DATE($AD1575,12,1)&lt;=$AF1575),ROUND($AG1575,2),0))</f>
        <v/>
      </c>
      <c r="V1575" s="7">
        <f>IF($Z1575="C","Generated from "&amp;INDEX(Contracts!$A$2:$A$151,$AB1575),IF($Z1575="A","Generated from "&amp;INDEX(Fixed_Assets!$A$2:$A$201,$AB1575),IF($Z1575="F","Generated from "&amp;INDEX(FTE_Allocation!$A$2:$A$201,$AB1575),"")))</f>
        <v/>
      </c>
      <c r="X1575" s="19">
        <f>IF($Z1575="","",SUM(J1575:U1575))</f>
        <v/>
      </c>
      <c r="Y1575" s="20">
        <f>ROW()-1</f>
        <v/>
      </c>
      <c r="Z1575" s="20">
        <f>IF($Y1575&lt;=Settings!$B$4*3,"C",IF($Y1575&lt;=(Settings!$B$4+Settings!$B$5)*3,"A",IF($Y1575&lt;=(Settings!$B$4+Settings!$B$5+Settings!$B$6)*3,"F","")))</f>
        <v/>
      </c>
      <c r="AA1575" s="20">
        <f>IF($Z1575="C",$Y1575,IF($Z1575="A",$Y1575-Settings!$B$4*3,IF($Z1575="F",$Y1575-(Settings!$B$4+Settings!$B$5)*3,"")))</f>
        <v/>
      </c>
      <c r="AB1575" s="20">
        <f>IF($Z1575="","",INT(($AA1575-1)/3)+1)</f>
        <v/>
      </c>
      <c r="AC1575" s="20">
        <f>IF($Z1575="","",MOD($AA1575-1,3)+1)</f>
        <v/>
      </c>
      <c r="AD1575" s="20">
        <f>IF($Z1575="","",Settings!$B$2+$AC1575-1)</f>
        <v/>
      </c>
      <c r="AE1575" s="21">
        <f>IF($Z1575="C",DATE(YEAR(INDEX(Contracts!$J$2:$J$151,$AB1575)),MONTH(INDEX(Contracts!$J$2:$J$151,$AB1575)),1),IF($Z1575="A",DATE(YEAR(INDEX(Fixed_Assets!$G$2:$G$201,$AB1575)),MONTH(INDEX(Fixed_Assets!$G$2:$G$201,$AB1575)),1),IF($Z1575="F",DATE(YEAR(MAX(N(INDEX(Workforce!$I$2:$I$151,MATCH(INDEX(FTE_Allocation!$A$2:$A$201,$AB1575),Workforce!$A$2:$A$151,0))),N(INDEX(FTE_Allocation!$I$2:$I$201,$AB1575)))),MONTH(MAX(N(INDEX(Workforce!$I$2:$I$151,MATCH(INDEX(FTE_Allocation!$A$2:$A$201,$AB1575),Workforce!$A$2:$A$151,0))),N(INDEX(FTE_Allocation!$I$2:$I$201,$AB1575)))),1),"")))</f>
        <v/>
      </c>
      <c r="AF1575" s="21">
        <f>IF($Z1575="C",IF(INDEX(Contracts!$I$2:$I$151,$AB1575)="PREPAID",EDATE(DATE(YEAR(INDEX(Contracts!$J$2:$J$151,$AB1575)),MONTH(INDEX(Contracts!$J$2:$J$151,$AB1575)),1),IF(INDEX(Contracts!$N$2:$N$151,$AB1575)="",12,INDEX(Contracts!$N$2:$N$151,$AB1575))-1),IF(INDEX(Contracts!$I$2:$I$151,$AB1575)="MONTHLY",IF(INDEX(Contracts!$K$2:$K$151,$AB1575)="",2958101,INDEX(Contracts!$K$2:$K$151,$AB1575)),0)),IF($Z1575="A",EDATE(DATE(YEAR(INDEX(Fixed_Assets!$G$2:$G$201,$AB1575)),MONTH(INDEX(Fixed_Assets!$G$2:$G$201,$AB1575)),1),INDEX(Fixed_Assets!$J$2:$J$201,$AB1575)-1),IF($Z1575="F",MIN(IF(INDEX(Workforce!$J$2:$J$151,MATCH(INDEX(FTE_Allocation!$A$2:$A$201,$AB1575),Workforce!$A$2:$A$151,0))="",2958101,INDEX(Workforce!$J$2:$J$151,MATCH(INDEX(FTE_Allocation!$A$2:$A$201,$AB1575),Workforce!$A$2:$A$151,0))),IF(INDEX(FTE_Allocation!$J$2:$J$201,$AB1575)="",2958101,INDEX(FTE_Allocation!$J$2:$J$201,$AB1575))),"")))</f>
        <v/>
      </c>
      <c r="AG1575" s="19">
        <f>IF($Z1575="C",IF(INDEX(Contracts!$I$2:$I$151,$AB1575)="PREPAID",INDEX(Contracts!$M$2:$M$151,$AB1575)/IF(INDEX(Contracts!$N$2:$N$151,$AB1575)="",12,INDEX(Contracts!$N$2:$N$151,$AB1575)),IF(INDEX(Contracts!$I$2:$I$151,$AB1575)="MONTHLY",INDEX(Contracts!$M$2:$M$151,$AB1575),0))*(1-N(INDEX(Contracts!$O$2:$O$151,$AB1575))),IF($Z1575="A",INDEX(Fixed_Assets!$H$2:$H$201,$AB1575)/INDEX(Fixed_Assets!$J$2:$J$201,$AB1575),IF($Z1575="F",INDEX(Workforce!$F$2:$F$151,MATCH(INDEX(FTE_Allocation!$A$2:$A$201,$AB1575),Workforce!$A$2:$A$151,0))*N(INDEX(FTE_Allocation!$F$2:$H$201,$AB1575,$AC1575)),"")))</f>
        <v/>
      </c>
    </row>
    <row r="1576">
      <c r="A1576" s="7">
        <f>IF($Z1576="","",$AD1576)</f>
        <v/>
      </c>
      <c r="B1576" s="7">
        <f>IF($Z1576="C",INDEX(Contracts!$D$2:$D$151,$AB1576)&amp;"",IF($Z1576="A",INDEX(Fixed_Assets!$C$2:$C$201,$AB1576)&amp;"",IF($Z1576="F",INDEX(Workforce!$B$2:$B$151,MATCH(INDEX(FTE_Allocation!$A$2:$A$201,$AB1576),Workforce!$A$2:$A$151,0))&amp;"","")))</f>
        <v/>
      </c>
      <c r="C1576" s="7">
        <f>IF($Z1576="C",INDEX(Contracts!$E$2:$E$151,$AB1576)&amp;"",IF($Z1576="A",INDEX(Fixed_Assets!$D$2:$D$201,$AB1576)&amp;"",IF($Z1576="F",INDEX(FTE_Allocation!$C$2:$C$201,$AB1576)&amp;"","")))</f>
        <v/>
      </c>
      <c r="D1576" s="7">
        <f>IF($Z1576="C",INDEX(Contracts!$B$2:$B$151,$AB1576)&amp;"",IF($Z1576="A",INDEX(Fixed_Assets!$B$2:$B$201,$AB1576)&amp;"",IF($Z1576="F",INDEX(FTE_Allocation!$B$2:$B$201,$AB1576)&amp;"","")))</f>
        <v/>
      </c>
      <c r="E1576" s="7">
        <f>IF($Z1576="C",INDEX(Contracts!$P$2:$P$151,$AB1576)&amp;"",IF($Z1576="A",INDEX(Fixed_Assets!$K$2:$K$201,$AB1576)&amp;"",IF($Z1576="F",IF(INDEX(FTE_Allocation!$D$2:$D$201,$AB1576)="PROJECT",IFERROR(INDEX(Projects!$D:$D,MATCH(INDEX(FTE_Allocation!$E$2:$E$201,$AB1576),Projects!$A:$A,0))&amp;"","#PROJECT?"),INDEX(FTE_Allocation!$E$2:$E$201,$AB1576)&amp;""),"")))</f>
        <v/>
      </c>
      <c r="F1576" s="7">
        <f>IF($Z1576="C",INDEX(Contracts!$Q$2:$Q$151,$AB1576)&amp;"",IF($Z1576="A",INDEX(Fixed_Assets!$L$2:$L$201,$AB1576)&amp;"",IF($Z1576="F",INDEX(Workforce!$K$2:$K$151,MATCH(INDEX(FTE_Allocation!$A$2:$A$201,$AB1576),Workforce!$A$2:$A$151,0))&amp;"","")))</f>
        <v/>
      </c>
      <c r="G1576" s="7">
        <f>IF($Z1576="C",INDEX(Contracts!$F$2:$F$151,$AB1576)&amp;" / "&amp;INDEX(Contracts!$G$2:$G$151,$AB1576),IF($Z1576="A",INDEX(Fixed_Assets!$E$2:$E$201,$AB1576)&amp;"",IF($Z1576="F","Personnel "&amp;INDEX(FTE_Allocation!$A$2:$A$201,$AB1576)&amp;IF(INDEX(FTE_Allocation!$D$2:$D$201,$AB1576)="PROJECT"," ("&amp;INDEX(FTE_Allocation!$E$2:$E$201,$AB1576)&amp;")",""),"")))</f>
        <v/>
      </c>
      <c r="H1576" s="7">
        <f>IF($Z1576="C","CONTRACT",IF($Z1576="A","ASSET",IF($Z1576="F","WORKFORCE","")))</f>
        <v/>
      </c>
      <c r="I1576" s="7">
        <f>IF($Z1576="C",INDEX(Contracts!$L$2:$L$151,$AB1576)&amp;"",IF($Z1576="A",INDEX(Fixed_Assets!$I$2:$I$201,$AB1576)&amp;"",IF($Z1576="F",INDEX(Workforce!$G$2:$G$151,MATCH(INDEX(FTE_Allocation!$A$2:$A$201,$AB1576),Workforce!$A$2:$A$151,0))&amp;"","")))</f>
        <v/>
      </c>
      <c r="J1576" s="18">
        <f>IF($Z1576="","",IF(AND(DATE($AD1576,1,1)&gt;=$AE1576,DATE($AD1576,1,1)&lt;=$AF1576),ROUND($AG1576,2),0))</f>
        <v/>
      </c>
      <c r="K1576" s="18">
        <f>IF($Z1576="","",IF(AND(DATE($AD1576,2,1)&gt;=$AE1576,DATE($AD1576,2,1)&lt;=$AF1576),ROUND($AG1576,2),0))</f>
        <v/>
      </c>
      <c r="L1576" s="18">
        <f>IF($Z1576="","",IF(AND(DATE($AD1576,3,1)&gt;=$AE1576,DATE($AD1576,3,1)&lt;=$AF1576),ROUND($AG1576,2),0))</f>
        <v/>
      </c>
      <c r="M1576" s="18">
        <f>IF($Z1576="","",IF(AND(DATE($AD1576,4,1)&gt;=$AE1576,DATE($AD1576,4,1)&lt;=$AF1576),ROUND($AG1576,2),0))</f>
        <v/>
      </c>
      <c r="N1576" s="18">
        <f>IF($Z1576="","",IF(AND(DATE($AD1576,5,1)&gt;=$AE1576,DATE($AD1576,5,1)&lt;=$AF1576),ROUND($AG1576,2),0))</f>
        <v/>
      </c>
      <c r="O1576" s="18">
        <f>IF($Z1576="","",IF(AND(DATE($AD1576,6,1)&gt;=$AE1576,DATE($AD1576,6,1)&lt;=$AF1576),ROUND($AG1576,2),0))</f>
        <v/>
      </c>
      <c r="P1576" s="18">
        <f>IF($Z1576="","",IF(AND(DATE($AD1576,7,1)&gt;=$AE1576,DATE($AD1576,7,1)&lt;=$AF1576),ROUND($AG1576,2),0))</f>
        <v/>
      </c>
      <c r="Q1576" s="18">
        <f>IF($Z1576="","",IF(AND(DATE($AD1576,8,1)&gt;=$AE1576,DATE($AD1576,8,1)&lt;=$AF1576),ROUND($AG1576,2),0))</f>
        <v/>
      </c>
      <c r="R1576" s="18">
        <f>IF($Z1576="","",IF(AND(DATE($AD1576,9,1)&gt;=$AE1576,DATE($AD1576,9,1)&lt;=$AF1576),ROUND($AG1576,2),0))</f>
        <v/>
      </c>
      <c r="S1576" s="18">
        <f>IF($Z1576="","",IF(AND(DATE($AD1576,10,1)&gt;=$AE1576,DATE($AD1576,10,1)&lt;=$AF1576),ROUND($AG1576,2),0))</f>
        <v/>
      </c>
      <c r="T1576" s="18">
        <f>IF($Z1576="","",IF(AND(DATE($AD1576,11,1)&gt;=$AE1576,DATE($AD1576,11,1)&lt;=$AF1576),ROUND($AG1576,2),0))</f>
        <v/>
      </c>
      <c r="U1576" s="18">
        <f>IF($Z1576="","",IF(AND(DATE($AD1576,12,1)&gt;=$AE1576,DATE($AD1576,12,1)&lt;=$AF1576),ROUND($AG1576,2),0))</f>
        <v/>
      </c>
      <c r="V1576" s="7">
        <f>IF($Z1576="C","Generated from "&amp;INDEX(Contracts!$A$2:$A$151,$AB1576),IF($Z1576="A","Generated from "&amp;INDEX(Fixed_Assets!$A$2:$A$201,$AB1576),IF($Z1576="F","Generated from "&amp;INDEX(FTE_Allocation!$A$2:$A$201,$AB1576),"")))</f>
        <v/>
      </c>
      <c r="X1576" s="19">
        <f>IF($Z1576="","",SUM(J1576:U1576))</f>
        <v/>
      </c>
      <c r="Y1576" s="20">
        <f>ROW()-1</f>
        <v/>
      </c>
      <c r="Z1576" s="20">
        <f>IF($Y1576&lt;=Settings!$B$4*3,"C",IF($Y1576&lt;=(Settings!$B$4+Settings!$B$5)*3,"A",IF($Y1576&lt;=(Settings!$B$4+Settings!$B$5+Settings!$B$6)*3,"F","")))</f>
        <v/>
      </c>
      <c r="AA1576" s="20">
        <f>IF($Z1576="C",$Y1576,IF($Z1576="A",$Y1576-Settings!$B$4*3,IF($Z1576="F",$Y1576-(Settings!$B$4+Settings!$B$5)*3,"")))</f>
        <v/>
      </c>
      <c r="AB1576" s="20">
        <f>IF($Z1576="","",INT(($AA1576-1)/3)+1)</f>
        <v/>
      </c>
      <c r="AC1576" s="20">
        <f>IF($Z1576="","",MOD($AA1576-1,3)+1)</f>
        <v/>
      </c>
      <c r="AD1576" s="20">
        <f>IF($Z1576="","",Settings!$B$2+$AC1576-1)</f>
        <v/>
      </c>
      <c r="AE1576" s="21">
        <f>IF($Z1576="C",DATE(YEAR(INDEX(Contracts!$J$2:$J$151,$AB1576)),MONTH(INDEX(Contracts!$J$2:$J$151,$AB1576)),1),IF($Z1576="A",DATE(YEAR(INDEX(Fixed_Assets!$G$2:$G$201,$AB1576)),MONTH(INDEX(Fixed_Assets!$G$2:$G$201,$AB1576)),1),IF($Z1576="F",DATE(YEAR(MAX(N(INDEX(Workforce!$I$2:$I$151,MATCH(INDEX(FTE_Allocation!$A$2:$A$201,$AB1576),Workforce!$A$2:$A$151,0))),N(INDEX(FTE_Allocation!$I$2:$I$201,$AB1576)))),MONTH(MAX(N(INDEX(Workforce!$I$2:$I$151,MATCH(INDEX(FTE_Allocation!$A$2:$A$201,$AB1576),Workforce!$A$2:$A$151,0))),N(INDEX(FTE_Allocation!$I$2:$I$201,$AB1576)))),1),"")))</f>
        <v/>
      </c>
      <c r="AF1576" s="21">
        <f>IF($Z1576="C",IF(INDEX(Contracts!$I$2:$I$151,$AB1576)="PREPAID",EDATE(DATE(YEAR(INDEX(Contracts!$J$2:$J$151,$AB1576)),MONTH(INDEX(Contracts!$J$2:$J$151,$AB1576)),1),IF(INDEX(Contracts!$N$2:$N$151,$AB1576)="",12,INDEX(Contracts!$N$2:$N$151,$AB1576))-1),IF(INDEX(Contracts!$I$2:$I$151,$AB1576)="MONTHLY",IF(INDEX(Contracts!$K$2:$K$151,$AB1576)="",2958101,INDEX(Contracts!$K$2:$K$151,$AB1576)),0)),IF($Z1576="A",EDATE(DATE(YEAR(INDEX(Fixed_Assets!$G$2:$G$201,$AB1576)),MONTH(INDEX(Fixed_Assets!$G$2:$G$201,$AB1576)),1),INDEX(Fixed_Assets!$J$2:$J$201,$AB1576)-1),IF($Z1576="F",MIN(IF(INDEX(Workforce!$J$2:$J$151,MATCH(INDEX(FTE_Allocation!$A$2:$A$201,$AB1576),Workforce!$A$2:$A$151,0))="",2958101,INDEX(Workforce!$J$2:$J$151,MATCH(INDEX(FTE_Allocation!$A$2:$A$201,$AB1576),Workforce!$A$2:$A$151,0))),IF(INDEX(FTE_Allocation!$J$2:$J$201,$AB1576)="",2958101,INDEX(FTE_Allocation!$J$2:$J$201,$AB1576))),"")))</f>
        <v/>
      </c>
      <c r="AG1576" s="19">
        <f>IF($Z1576="C",IF(INDEX(Contracts!$I$2:$I$151,$AB1576)="PREPAID",INDEX(Contracts!$M$2:$M$151,$AB1576)/IF(INDEX(Contracts!$N$2:$N$151,$AB1576)="",12,INDEX(Contracts!$N$2:$N$151,$AB1576)),IF(INDEX(Contracts!$I$2:$I$151,$AB1576)="MONTHLY",INDEX(Contracts!$M$2:$M$151,$AB1576),0))*(1-N(INDEX(Contracts!$O$2:$O$151,$AB1576))),IF($Z1576="A",INDEX(Fixed_Assets!$H$2:$H$201,$AB1576)/INDEX(Fixed_Assets!$J$2:$J$201,$AB1576),IF($Z1576="F",INDEX(Workforce!$F$2:$F$151,MATCH(INDEX(FTE_Allocation!$A$2:$A$201,$AB1576),Workforce!$A$2:$A$151,0))*N(INDEX(FTE_Allocation!$F$2:$H$201,$AB1576,$AC1576)),"")))</f>
        <v/>
      </c>
    </row>
    <row r="1577">
      <c r="A1577" s="7">
        <f>IF($Z1577="","",$AD1577)</f>
        <v/>
      </c>
      <c r="B1577" s="7">
        <f>IF($Z1577="C",INDEX(Contracts!$D$2:$D$151,$AB1577)&amp;"",IF($Z1577="A",INDEX(Fixed_Assets!$C$2:$C$201,$AB1577)&amp;"",IF($Z1577="F",INDEX(Workforce!$B$2:$B$151,MATCH(INDEX(FTE_Allocation!$A$2:$A$201,$AB1577),Workforce!$A$2:$A$151,0))&amp;"","")))</f>
        <v/>
      </c>
      <c r="C1577" s="7">
        <f>IF($Z1577="C",INDEX(Contracts!$E$2:$E$151,$AB1577)&amp;"",IF($Z1577="A",INDEX(Fixed_Assets!$D$2:$D$201,$AB1577)&amp;"",IF($Z1577="F",INDEX(FTE_Allocation!$C$2:$C$201,$AB1577)&amp;"","")))</f>
        <v/>
      </c>
      <c r="D1577" s="7">
        <f>IF($Z1577="C",INDEX(Contracts!$B$2:$B$151,$AB1577)&amp;"",IF($Z1577="A",INDEX(Fixed_Assets!$B$2:$B$201,$AB1577)&amp;"",IF($Z1577="F",INDEX(FTE_Allocation!$B$2:$B$201,$AB1577)&amp;"","")))</f>
        <v/>
      </c>
      <c r="E1577" s="7">
        <f>IF($Z1577="C",INDEX(Contracts!$P$2:$P$151,$AB1577)&amp;"",IF($Z1577="A",INDEX(Fixed_Assets!$K$2:$K$201,$AB1577)&amp;"",IF($Z1577="F",IF(INDEX(FTE_Allocation!$D$2:$D$201,$AB1577)="PROJECT",IFERROR(INDEX(Projects!$D:$D,MATCH(INDEX(FTE_Allocation!$E$2:$E$201,$AB1577),Projects!$A:$A,0))&amp;"","#PROJECT?"),INDEX(FTE_Allocation!$E$2:$E$201,$AB1577)&amp;""),"")))</f>
        <v/>
      </c>
      <c r="F1577" s="7">
        <f>IF($Z1577="C",INDEX(Contracts!$Q$2:$Q$151,$AB1577)&amp;"",IF($Z1577="A",INDEX(Fixed_Assets!$L$2:$L$201,$AB1577)&amp;"",IF($Z1577="F",INDEX(Workforce!$K$2:$K$151,MATCH(INDEX(FTE_Allocation!$A$2:$A$201,$AB1577),Workforce!$A$2:$A$151,0))&amp;"","")))</f>
        <v/>
      </c>
      <c r="G1577" s="7">
        <f>IF($Z1577="C",INDEX(Contracts!$F$2:$F$151,$AB1577)&amp;" / "&amp;INDEX(Contracts!$G$2:$G$151,$AB1577),IF($Z1577="A",INDEX(Fixed_Assets!$E$2:$E$201,$AB1577)&amp;"",IF($Z1577="F","Personnel "&amp;INDEX(FTE_Allocation!$A$2:$A$201,$AB1577)&amp;IF(INDEX(FTE_Allocation!$D$2:$D$201,$AB1577)="PROJECT"," ("&amp;INDEX(FTE_Allocation!$E$2:$E$201,$AB1577)&amp;")",""),"")))</f>
        <v/>
      </c>
      <c r="H1577" s="7">
        <f>IF($Z1577="C","CONTRACT",IF($Z1577="A","ASSET",IF($Z1577="F","WORKFORCE","")))</f>
        <v/>
      </c>
      <c r="I1577" s="7">
        <f>IF($Z1577="C",INDEX(Contracts!$L$2:$L$151,$AB1577)&amp;"",IF($Z1577="A",INDEX(Fixed_Assets!$I$2:$I$201,$AB1577)&amp;"",IF($Z1577="F",INDEX(Workforce!$G$2:$G$151,MATCH(INDEX(FTE_Allocation!$A$2:$A$201,$AB1577),Workforce!$A$2:$A$151,0))&amp;"","")))</f>
        <v/>
      </c>
      <c r="J1577" s="18">
        <f>IF($Z1577="","",IF(AND(DATE($AD1577,1,1)&gt;=$AE1577,DATE($AD1577,1,1)&lt;=$AF1577),ROUND($AG1577,2),0))</f>
        <v/>
      </c>
      <c r="K1577" s="18">
        <f>IF($Z1577="","",IF(AND(DATE($AD1577,2,1)&gt;=$AE1577,DATE($AD1577,2,1)&lt;=$AF1577),ROUND($AG1577,2),0))</f>
        <v/>
      </c>
      <c r="L1577" s="18">
        <f>IF($Z1577="","",IF(AND(DATE($AD1577,3,1)&gt;=$AE1577,DATE($AD1577,3,1)&lt;=$AF1577),ROUND($AG1577,2),0))</f>
        <v/>
      </c>
      <c r="M1577" s="18">
        <f>IF($Z1577="","",IF(AND(DATE($AD1577,4,1)&gt;=$AE1577,DATE($AD1577,4,1)&lt;=$AF1577),ROUND($AG1577,2),0))</f>
        <v/>
      </c>
      <c r="N1577" s="18">
        <f>IF($Z1577="","",IF(AND(DATE($AD1577,5,1)&gt;=$AE1577,DATE($AD1577,5,1)&lt;=$AF1577),ROUND($AG1577,2),0))</f>
        <v/>
      </c>
      <c r="O1577" s="18">
        <f>IF($Z1577="","",IF(AND(DATE($AD1577,6,1)&gt;=$AE1577,DATE($AD1577,6,1)&lt;=$AF1577),ROUND($AG1577,2),0))</f>
        <v/>
      </c>
      <c r="P1577" s="18">
        <f>IF($Z1577="","",IF(AND(DATE($AD1577,7,1)&gt;=$AE1577,DATE($AD1577,7,1)&lt;=$AF1577),ROUND($AG1577,2),0))</f>
        <v/>
      </c>
      <c r="Q1577" s="18">
        <f>IF($Z1577="","",IF(AND(DATE($AD1577,8,1)&gt;=$AE1577,DATE($AD1577,8,1)&lt;=$AF1577),ROUND($AG1577,2),0))</f>
        <v/>
      </c>
      <c r="R1577" s="18">
        <f>IF($Z1577="","",IF(AND(DATE($AD1577,9,1)&gt;=$AE1577,DATE($AD1577,9,1)&lt;=$AF1577),ROUND($AG1577,2),0))</f>
        <v/>
      </c>
      <c r="S1577" s="18">
        <f>IF($Z1577="","",IF(AND(DATE($AD1577,10,1)&gt;=$AE1577,DATE($AD1577,10,1)&lt;=$AF1577),ROUND($AG1577,2),0))</f>
        <v/>
      </c>
      <c r="T1577" s="18">
        <f>IF($Z1577="","",IF(AND(DATE($AD1577,11,1)&gt;=$AE1577,DATE($AD1577,11,1)&lt;=$AF1577),ROUND($AG1577,2),0))</f>
        <v/>
      </c>
      <c r="U1577" s="18">
        <f>IF($Z1577="","",IF(AND(DATE($AD1577,12,1)&gt;=$AE1577,DATE($AD1577,12,1)&lt;=$AF1577),ROUND($AG1577,2),0))</f>
        <v/>
      </c>
      <c r="V1577" s="7">
        <f>IF($Z1577="C","Generated from "&amp;INDEX(Contracts!$A$2:$A$151,$AB1577),IF($Z1577="A","Generated from "&amp;INDEX(Fixed_Assets!$A$2:$A$201,$AB1577),IF($Z1577="F","Generated from "&amp;INDEX(FTE_Allocation!$A$2:$A$201,$AB1577),"")))</f>
        <v/>
      </c>
      <c r="X1577" s="19">
        <f>IF($Z1577="","",SUM(J1577:U1577))</f>
        <v/>
      </c>
      <c r="Y1577" s="20">
        <f>ROW()-1</f>
        <v/>
      </c>
      <c r="Z1577" s="20">
        <f>IF($Y1577&lt;=Settings!$B$4*3,"C",IF($Y1577&lt;=(Settings!$B$4+Settings!$B$5)*3,"A",IF($Y1577&lt;=(Settings!$B$4+Settings!$B$5+Settings!$B$6)*3,"F","")))</f>
        <v/>
      </c>
      <c r="AA1577" s="20">
        <f>IF($Z1577="C",$Y1577,IF($Z1577="A",$Y1577-Settings!$B$4*3,IF($Z1577="F",$Y1577-(Settings!$B$4+Settings!$B$5)*3,"")))</f>
        <v/>
      </c>
      <c r="AB1577" s="20">
        <f>IF($Z1577="","",INT(($AA1577-1)/3)+1)</f>
        <v/>
      </c>
      <c r="AC1577" s="20">
        <f>IF($Z1577="","",MOD($AA1577-1,3)+1)</f>
        <v/>
      </c>
      <c r="AD1577" s="20">
        <f>IF($Z1577="","",Settings!$B$2+$AC1577-1)</f>
        <v/>
      </c>
      <c r="AE1577" s="21">
        <f>IF($Z1577="C",DATE(YEAR(INDEX(Contracts!$J$2:$J$151,$AB1577)),MONTH(INDEX(Contracts!$J$2:$J$151,$AB1577)),1),IF($Z1577="A",DATE(YEAR(INDEX(Fixed_Assets!$G$2:$G$201,$AB1577)),MONTH(INDEX(Fixed_Assets!$G$2:$G$201,$AB1577)),1),IF($Z1577="F",DATE(YEAR(MAX(N(INDEX(Workforce!$I$2:$I$151,MATCH(INDEX(FTE_Allocation!$A$2:$A$201,$AB1577),Workforce!$A$2:$A$151,0))),N(INDEX(FTE_Allocation!$I$2:$I$201,$AB1577)))),MONTH(MAX(N(INDEX(Workforce!$I$2:$I$151,MATCH(INDEX(FTE_Allocation!$A$2:$A$201,$AB1577),Workforce!$A$2:$A$151,0))),N(INDEX(FTE_Allocation!$I$2:$I$201,$AB1577)))),1),"")))</f>
        <v/>
      </c>
      <c r="AF1577" s="21">
        <f>IF($Z1577="C",IF(INDEX(Contracts!$I$2:$I$151,$AB1577)="PREPAID",EDATE(DATE(YEAR(INDEX(Contracts!$J$2:$J$151,$AB1577)),MONTH(INDEX(Contracts!$J$2:$J$151,$AB1577)),1),IF(INDEX(Contracts!$N$2:$N$151,$AB1577)="",12,INDEX(Contracts!$N$2:$N$151,$AB1577))-1),IF(INDEX(Contracts!$I$2:$I$151,$AB1577)="MONTHLY",IF(INDEX(Contracts!$K$2:$K$151,$AB1577)="",2958101,INDEX(Contracts!$K$2:$K$151,$AB1577)),0)),IF($Z1577="A",EDATE(DATE(YEAR(INDEX(Fixed_Assets!$G$2:$G$201,$AB1577)),MONTH(INDEX(Fixed_Assets!$G$2:$G$201,$AB1577)),1),INDEX(Fixed_Assets!$J$2:$J$201,$AB1577)-1),IF($Z1577="F",MIN(IF(INDEX(Workforce!$J$2:$J$151,MATCH(INDEX(FTE_Allocation!$A$2:$A$201,$AB1577),Workforce!$A$2:$A$151,0))="",2958101,INDEX(Workforce!$J$2:$J$151,MATCH(INDEX(FTE_Allocation!$A$2:$A$201,$AB1577),Workforce!$A$2:$A$151,0))),IF(INDEX(FTE_Allocation!$J$2:$J$201,$AB1577)="",2958101,INDEX(FTE_Allocation!$J$2:$J$201,$AB1577))),"")))</f>
        <v/>
      </c>
      <c r="AG1577" s="19">
        <f>IF($Z1577="C",IF(INDEX(Contracts!$I$2:$I$151,$AB1577)="PREPAID",INDEX(Contracts!$M$2:$M$151,$AB1577)/IF(INDEX(Contracts!$N$2:$N$151,$AB1577)="",12,INDEX(Contracts!$N$2:$N$151,$AB1577)),IF(INDEX(Contracts!$I$2:$I$151,$AB1577)="MONTHLY",INDEX(Contracts!$M$2:$M$151,$AB1577),0))*(1-N(INDEX(Contracts!$O$2:$O$151,$AB1577))),IF($Z1577="A",INDEX(Fixed_Assets!$H$2:$H$201,$AB1577)/INDEX(Fixed_Assets!$J$2:$J$201,$AB1577),IF($Z1577="F",INDEX(Workforce!$F$2:$F$151,MATCH(INDEX(FTE_Allocation!$A$2:$A$201,$AB1577),Workforce!$A$2:$A$151,0))*N(INDEX(FTE_Allocation!$F$2:$H$201,$AB1577,$AC1577)),"")))</f>
        <v/>
      </c>
    </row>
    <row r="1578">
      <c r="A1578" s="7">
        <f>IF($Z1578="","",$AD1578)</f>
        <v/>
      </c>
      <c r="B1578" s="7">
        <f>IF($Z1578="C",INDEX(Contracts!$D$2:$D$151,$AB1578)&amp;"",IF($Z1578="A",INDEX(Fixed_Assets!$C$2:$C$201,$AB1578)&amp;"",IF($Z1578="F",INDEX(Workforce!$B$2:$B$151,MATCH(INDEX(FTE_Allocation!$A$2:$A$201,$AB1578),Workforce!$A$2:$A$151,0))&amp;"","")))</f>
        <v/>
      </c>
      <c r="C1578" s="7">
        <f>IF($Z1578="C",INDEX(Contracts!$E$2:$E$151,$AB1578)&amp;"",IF($Z1578="A",INDEX(Fixed_Assets!$D$2:$D$201,$AB1578)&amp;"",IF($Z1578="F",INDEX(FTE_Allocation!$C$2:$C$201,$AB1578)&amp;"","")))</f>
        <v/>
      </c>
      <c r="D1578" s="7">
        <f>IF($Z1578="C",INDEX(Contracts!$B$2:$B$151,$AB1578)&amp;"",IF($Z1578="A",INDEX(Fixed_Assets!$B$2:$B$201,$AB1578)&amp;"",IF($Z1578="F",INDEX(FTE_Allocation!$B$2:$B$201,$AB1578)&amp;"","")))</f>
        <v/>
      </c>
      <c r="E1578" s="7">
        <f>IF($Z1578="C",INDEX(Contracts!$P$2:$P$151,$AB1578)&amp;"",IF($Z1578="A",INDEX(Fixed_Assets!$K$2:$K$201,$AB1578)&amp;"",IF($Z1578="F",IF(INDEX(FTE_Allocation!$D$2:$D$201,$AB1578)="PROJECT",IFERROR(INDEX(Projects!$D:$D,MATCH(INDEX(FTE_Allocation!$E$2:$E$201,$AB1578),Projects!$A:$A,0))&amp;"","#PROJECT?"),INDEX(FTE_Allocation!$E$2:$E$201,$AB1578)&amp;""),"")))</f>
        <v/>
      </c>
      <c r="F1578" s="7">
        <f>IF($Z1578="C",INDEX(Contracts!$Q$2:$Q$151,$AB1578)&amp;"",IF($Z1578="A",INDEX(Fixed_Assets!$L$2:$L$201,$AB1578)&amp;"",IF($Z1578="F",INDEX(Workforce!$K$2:$K$151,MATCH(INDEX(FTE_Allocation!$A$2:$A$201,$AB1578),Workforce!$A$2:$A$151,0))&amp;"","")))</f>
        <v/>
      </c>
      <c r="G1578" s="7">
        <f>IF($Z1578="C",INDEX(Contracts!$F$2:$F$151,$AB1578)&amp;" / "&amp;INDEX(Contracts!$G$2:$G$151,$AB1578),IF($Z1578="A",INDEX(Fixed_Assets!$E$2:$E$201,$AB1578)&amp;"",IF($Z1578="F","Personnel "&amp;INDEX(FTE_Allocation!$A$2:$A$201,$AB1578)&amp;IF(INDEX(FTE_Allocation!$D$2:$D$201,$AB1578)="PROJECT"," ("&amp;INDEX(FTE_Allocation!$E$2:$E$201,$AB1578)&amp;")",""),"")))</f>
        <v/>
      </c>
      <c r="H1578" s="7">
        <f>IF($Z1578="C","CONTRACT",IF($Z1578="A","ASSET",IF($Z1578="F","WORKFORCE","")))</f>
        <v/>
      </c>
      <c r="I1578" s="7">
        <f>IF($Z1578="C",INDEX(Contracts!$L$2:$L$151,$AB1578)&amp;"",IF($Z1578="A",INDEX(Fixed_Assets!$I$2:$I$201,$AB1578)&amp;"",IF($Z1578="F",INDEX(Workforce!$G$2:$G$151,MATCH(INDEX(FTE_Allocation!$A$2:$A$201,$AB1578),Workforce!$A$2:$A$151,0))&amp;"","")))</f>
        <v/>
      </c>
      <c r="J1578" s="18">
        <f>IF($Z1578="","",IF(AND(DATE($AD1578,1,1)&gt;=$AE1578,DATE($AD1578,1,1)&lt;=$AF1578),ROUND($AG1578,2),0))</f>
        <v/>
      </c>
      <c r="K1578" s="18">
        <f>IF($Z1578="","",IF(AND(DATE($AD1578,2,1)&gt;=$AE1578,DATE($AD1578,2,1)&lt;=$AF1578),ROUND($AG1578,2),0))</f>
        <v/>
      </c>
      <c r="L1578" s="18">
        <f>IF($Z1578="","",IF(AND(DATE($AD1578,3,1)&gt;=$AE1578,DATE($AD1578,3,1)&lt;=$AF1578),ROUND($AG1578,2),0))</f>
        <v/>
      </c>
      <c r="M1578" s="18">
        <f>IF($Z1578="","",IF(AND(DATE($AD1578,4,1)&gt;=$AE1578,DATE($AD1578,4,1)&lt;=$AF1578),ROUND($AG1578,2),0))</f>
        <v/>
      </c>
      <c r="N1578" s="18">
        <f>IF($Z1578="","",IF(AND(DATE($AD1578,5,1)&gt;=$AE1578,DATE($AD1578,5,1)&lt;=$AF1578),ROUND($AG1578,2),0))</f>
        <v/>
      </c>
      <c r="O1578" s="18">
        <f>IF($Z1578="","",IF(AND(DATE($AD1578,6,1)&gt;=$AE1578,DATE($AD1578,6,1)&lt;=$AF1578),ROUND($AG1578,2),0))</f>
        <v/>
      </c>
      <c r="P1578" s="18">
        <f>IF($Z1578="","",IF(AND(DATE($AD1578,7,1)&gt;=$AE1578,DATE($AD1578,7,1)&lt;=$AF1578),ROUND($AG1578,2),0))</f>
        <v/>
      </c>
      <c r="Q1578" s="18">
        <f>IF($Z1578="","",IF(AND(DATE($AD1578,8,1)&gt;=$AE1578,DATE($AD1578,8,1)&lt;=$AF1578),ROUND($AG1578,2),0))</f>
        <v/>
      </c>
      <c r="R1578" s="18">
        <f>IF($Z1578="","",IF(AND(DATE($AD1578,9,1)&gt;=$AE1578,DATE($AD1578,9,1)&lt;=$AF1578),ROUND($AG1578,2),0))</f>
        <v/>
      </c>
      <c r="S1578" s="18">
        <f>IF($Z1578="","",IF(AND(DATE($AD1578,10,1)&gt;=$AE1578,DATE($AD1578,10,1)&lt;=$AF1578),ROUND($AG1578,2),0))</f>
        <v/>
      </c>
      <c r="T1578" s="18">
        <f>IF($Z1578="","",IF(AND(DATE($AD1578,11,1)&gt;=$AE1578,DATE($AD1578,11,1)&lt;=$AF1578),ROUND($AG1578,2),0))</f>
        <v/>
      </c>
      <c r="U1578" s="18">
        <f>IF($Z1578="","",IF(AND(DATE($AD1578,12,1)&gt;=$AE1578,DATE($AD1578,12,1)&lt;=$AF1578),ROUND($AG1578,2),0))</f>
        <v/>
      </c>
      <c r="V1578" s="7">
        <f>IF($Z1578="C","Generated from "&amp;INDEX(Contracts!$A$2:$A$151,$AB1578),IF($Z1578="A","Generated from "&amp;INDEX(Fixed_Assets!$A$2:$A$201,$AB1578),IF($Z1578="F","Generated from "&amp;INDEX(FTE_Allocation!$A$2:$A$201,$AB1578),"")))</f>
        <v/>
      </c>
      <c r="X1578" s="19">
        <f>IF($Z1578="","",SUM(J1578:U1578))</f>
        <v/>
      </c>
      <c r="Y1578" s="20">
        <f>ROW()-1</f>
        <v/>
      </c>
      <c r="Z1578" s="20">
        <f>IF($Y1578&lt;=Settings!$B$4*3,"C",IF($Y1578&lt;=(Settings!$B$4+Settings!$B$5)*3,"A",IF($Y1578&lt;=(Settings!$B$4+Settings!$B$5+Settings!$B$6)*3,"F","")))</f>
        <v/>
      </c>
      <c r="AA1578" s="20">
        <f>IF($Z1578="C",$Y1578,IF($Z1578="A",$Y1578-Settings!$B$4*3,IF($Z1578="F",$Y1578-(Settings!$B$4+Settings!$B$5)*3,"")))</f>
        <v/>
      </c>
      <c r="AB1578" s="20">
        <f>IF($Z1578="","",INT(($AA1578-1)/3)+1)</f>
        <v/>
      </c>
      <c r="AC1578" s="20">
        <f>IF($Z1578="","",MOD($AA1578-1,3)+1)</f>
        <v/>
      </c>
      <c r="AD1578" s="20">
        <f>IF($Z1578="","",Settings!$B$2+$AC1578-1)</f>
        <v/>
      </c>
      <c r="AE1578" s="21">
        <f>IF($Z1578="C",DATE(YEAR(INDEX(Contracts!$J$2:$J$151,$AB1578)),MONTH(INDEX(Contracts!$J$2:$J$151,$AB1578)),1),IF($Z1578="A",DATE(YEAR(INDEX(Fixed_Assets!$G$2:$G$201,$AB1578)),MONTH(INDEX(Fixed_Assets!$G$2:$G$201,$AB1578)),1),IF($Z1578="F",DATE(YEAR(MAX(N(INDEX(Workforce!$I$2:$I$151,MATCH(INDEX(FTE_Allocation!$A$2:$A$201,$AB1578),Workforce!$A$2:$A$151,0))),N(INDEX(FTE_Allocation!$I$2:$I$201,$AB1578)))),MONTH(MAX(N(INDEX(Workforce!$I$2:$I$151,MATCH(INDEX(FTE_Allocation!$A$2:$A$201,$AB1578),Workforce!$A$2:$A$151,0))),N(INDEX(FTE_Allocation!$I$2:$I$201,$AB1578)))),1),"")))</f>
        <v/>
      </c>
      <c r="AF1578" s="21">
        <f>IF($Z1578="C",IF(INDEX(Contracts!$I$2:$I$151,$AB1578)="PREPAID",EDATE(DATE(YEAR(INDEX(Contracts!$J$2:$J$151,$AB1578)),MONTH(INDEX(Contracts!$J$2:$J$151,$AB1578)),1),IF(INDEX(Contracts!$N$2:$N$151,$AB1578)="",12,INDEX(Contracts!$N$2:$N$151,$AB1578))-1),IF(INDEX(Contracts!$I$2:$I$151,$AB1578)="MONTHLY",IF(INDEX(Contracts!$K$2:$K$151,$AB1578)="",2958101,INDEX(Contracts!$K$2:$K$151,$AB1578)),0)),IF($Z1578="A",EDATE(DATE(YEAR(INDEX(Fixed_Assets!$G$2:$G$201,$AB1578)),MONTH(INDEX(Fixed_Assets!$G$2:$G$201,$AB1578)),1),INDEX(Fixed_Assets!$J$2:$J$201,$AB1578)-1),IF($Z1578="F",MIN(IF(INDEX(Workforce!$J$2:$J$151,MATCH(INDEX(FTE_Allocation!$A$2:$A$201,$AB1578),Workforce!$A$2:$A$151,0))="",2958101,INDEX(Workforce!$J$2:$J$151,MATCH(INDEX(FTE_Allocation!$A$2:$A$201,$AB1578),Workforce!$A$2:$A$151,0))),IF(INDEX(FTE_Allocation!$J$2:$J$201,$AB1578)="",2958101,INDEX(FTE_Allocation!$J$2:$J$201,$AB1578))),"")))</f>
        <v/>
      </c>
      <c r="AG1578" s="19">
        <f>IF($Z1578="C",IF(INDEX(Contracts!$I$2:$I$151,$AB1578)="PREPAID",INDEX(Contracts!$M$2:$M$151,$AB1578)/IF(INDEX(Contracts!$N$2:$N$151,$AB1578)="",12,INDEX(Contracts!$N$2:$N$151,$AB1578)),IF(INDEX(Contracts!$I$2:$I$151,$AB1578)="MONTHLY",INDEX(Contracts!$M$2:$M$151,$AB1578),0))*(1-N(INDEX(Contracts!$O$2:$O$151,$AB1578))),IF($Z1578="A",INDEX(Fixed_Assets!$H$2:$H$201,$AB1578)/INDEX(Fixed_Assets!$J$2:$J$201,$AB1578),IF($Z1578="F",INDEX(Workforce!$F$2:$F$151,MATCH(INDEX(FTE_Allocation!$A$2:$A$201,$AB1578),Workforce!$A$2:$A$151,0))*N(INDEX(FTE_Allocation!$F$2:$H$201,$AB1578,$AC1578)),"")))</f>
        <v/>
      </c>
    </row>
    <row r="1579">
      <c r="A1579" s="7">
        <f>IF($Z1579="","",$AD1579)</f>
        <v/>
      </c>
      <c r="B1579" s="7">
        <f>IF($Z1579="C",INDEX(Contracts!$D$2:$D$151,$AB1579)&amp;"",IF($Z1579="A",INDEX(Fixed_Assets!$C$2:$C$201,$AB1579)&amp;"",IF($Z1579="F",INDEX(Workforce!$B$2:$B$151,MATCH(INDEX(FTE_Allocation!$A$2:$A$201,$AB1579),Workforce!$A$2:$A$151,0))&amp;"","")))</f>
        <v/>
      </c>
      <c r="C1579" s="7">
        <f>IF($Z1579="C",INDEX(Contracts!$E$2:$E$151,$AB1579)&amp;"",IF($Z1579="A",INDEX(Fixed_Assets!$D$2:$D$201,$AB1579)&amp;"",IF($Z1579="F",INDEX(FTE_Allocation!$C$2:$C$201,$AB1579)&amp;"","")))</f>
        <v/>
      </c>
      <c r="D1579" s="7">
        <f>IF($Z1579="C",INDEX(Contracts!$B$2:$B$151,$AB1579)&amp;"",IF($Z1579="A",INDEX(Fixed_Assets!$B$2:$B$201,$AB1579)&amp;"",IF($Z1579="F",INDEX(FTE_Allocation!$B$2:$B$201,$AB1579)&amp;"","")))</f>
        <v/>
      </c>
      <c r="E1579" s="7">
        <f>IF($Z1579="C",INDEX(Contracts!$P$2:$P$151,$AB1579)&amp;"",IF($Z1579="A",INDEX(Fixed_Assets!$K$2:$K$201,$AB1579)&amp;"",IF($Z1579="F",IF(INDEX(FTE_Allocation!$D$2:$D$201,$AB1579)="PROJECT",IFERROR(INDEX(Projects!$D:$D,MATCH(INDEX(FTE_Allocation!$E$2:$E$201,$AB1579),Projects!$A:$A,0))&amp;"","#PROJECT?"),INDEX(FTE_Allocation!$E$2:$E$201,$AB1579)&amp;""),"")))</f>
        <v/>
      </c>
      <c r="F1579" s="7">
        <f>IF($Z1579="C",INDEX(Contracts!$Q$2:$Q$151,$AB1579)&amp;"",IF($Z1579="A",INDEX(Fixed_Assets!$L$2:$L$201,$AB1579)&amp;"",IF($Z1579="F",INDEX(Workforce!$K$2:$K$151,MATCH(INDEX(FTE_Allocation!$A$2:$A$201,$AB1579),Workforce!$A$2:$A$151,0))&amp;"","")))</f>
        <v/>
      </c>
      <c r="G1579" s="7">
        <f>IF($Z1579="C",INDEX(Contracts!$F$2:$F$151,$AB1579)&amp;" / "&amp;INDEX(Contracts!$G$2:$G$151,$AB1579),IF($Z1579="A",INDEX(Fixed_Assets!$E$2:$E$201,$AB1579)&amp;"",IF($Z1579="F","Personnel "&amp;INDEX(FTE_Allocation!$A$2:$A$201,$AB1579)&amp;IF(INDEX(FTE_Allocation!$D$2:$D$201,$AB1579)="PROJECT"," ("&amp;INDEX(FTE_Allocation!$E$2:$E$201,$AB1579)&amp;")",""),"")))</f>
        <v/>
      </c>
      <c r="H1579" s="7">
        <f>IF($Z1579="C","CONTRACT",IF($Z1579="A","ASSET",IF($Z1579="F","WORKFORCE","")))</f>
        <v/>
      </c>
      <c r="I1579" s="7">
        <f>IF($Z1579="C",INDEX(Contracts!$L$2:$L$151,$AB1579)&amp;"",IF($Z1579="A",INDEX(Fixed_Assets!$I$2:$I$201,$AB1579)&amp;"",IF($Z1579="F",INDEX(Workforce!$G$2:$G$151,MATCH(INDEX(FTE_Allocation!$A$2:$A$201,$AB1579),Workforce!$A$2:$A$151,0))&amp;"","")))</f>
        <v/>
      </c>
      <c r="J1579" s="18">
        <f>IF($Z1579="","",IF(AND(DATE($AD1579,1,1)&gt;=$AE1579,DATE($AD1579,1,1)&lt;=$AF1579),ROUND($AG1579,2),0))</f>
        <v/>
      </c>
      <c r="K1579" s="18">
        <f>IF($Z1579="","",IF(AND(DATE($AD1579,2,1)&gt;=$AE1579,DATE($AD1579,2,1)&lt;=$AF1579),ROUND($AG1579,2),0))</f>
        <v/>
      </c>
      <c r="L1579" s="18">
        <f>IF($Z1579="","",IF(AND(DATE($AD1579,3,1)&gt;=$AE1579,DATE($AD1579,3,1)&lt;=$AF1579),ROUND($AG1579,2),0))</f>
        <v/>
      </c>
      <c r="M1579" s="18">
        <f>IF($Z1579="","",IF(AND(DATE($AD1579,4,1)&gt;=$AE1579,DATE($AD1579,4,1)&lt;=$AF1579),ROUND($AG1579,2),0))</f>
        <v/>
      </c>
      <c r="N1579" s="18">
        <f>IF($Z1579="","",IF(AND(DATE($AD1579,5,1)&gt;=$AE1579,DATE($AD1579,5,1)&lt;=$AF1579),ROUND($AG1579,2),0))</f>
        <v/>
      </c>
      <c r="O1579" s="18">
        <f>IF($Z1579="","",IF(AND(DATE($AD1579,6,1)&gt;=$AE1579,DATE($AD1579,6,1)&lt;=$AF1579),ROUND($AG1579,2),0))</f>
        <v/>
      </c>
      <c r="P1579" s="18">
        <f>IF($Z1579="","",IF(AND(DATE($AD1579,7,1)&gt;=$AE1579,DATE($AD1579,7,1)&lt;=$AF1579),ROUND($AG1579,2),0))</f>
        <v/>
      </c>
      <c r="Q1579" s="18">
        <f>IF($Z1579="","",IF(AND(DATE($AD1579,8,1)&gt;=$AE1579,DATE($AD1579,8,1)&lt;=$AF1579),ROUND($AG1579,2),0))</f>
        <v/>
      </c>
      <c r="R1579" s="18">
        <f>IF($Z1579="","",IF(AND(DATE($AD1579,9,1)&gt;=$AE1579,DATE($AD1579,9,1)&lt;=$AF1579),ROUND($AG1579,2),0))</f>
        <v/>
      </c>
      <c r="S1579" s="18">
        <f>IF($Z1579="","",IF(AND(DATE($AD1579,10,1)&gt;=$AE1579,DATE($AD1579,10,1)&lt;=$AF1579),ROUND($AG1579,2),0))</f>
        <v/>
      </c>
      <c r="T1579" s="18">
        <f>IF($Z1579="","",IF(AND(DATE($AD1579,11,1)&gt;=$AE1579,DATE($AD1579,11,1)&lt;=$AF1579),ROUND($AG1579,2),0))</f>
        <v/>
      </c>
      <c r="U1579" s="18">
        <f>IF($Z1579="","",IF(AND(DATE($AD1579,12,1)&gt;=$AE1579,DATE($AD1579,12,1)&lt;=$AF1579),ROUND($AG1579,2),0))</f>
        <v/>
      </c>
      <c r="V1579" s="7">
        <f>IF($Z1579="C","Generated from "&amp;INDEX(Contracts!$A$2:$A$151,$AB1579),IF($Z1579="A","Generated from "&amp;INDEX(Fixed_Assets!$A$2:$A$201,$AB1579),IF($Z1579="F","Generated from "&amp;INDEX(FTE_Allocation!$A$2:$A$201,$AB1579),"")))</f>
        <v/>
      </c>
      <c r="X1579" s="19">
        <f>IF($Z1579="","",SUM(J1579:U1579))</f>
        <v/>
      </c>
      <c r="Y1579" s="20">
        <f>ROW()-1</f>
        <v/>
      </c>
      <c r="Z1579" s="20">
        <f>IF($Y1579&lt;=Settings!$B$4*3,"C",IF($Y1579&lt;=(Settings!$B$4+Settings!$B$5)*3,"A",IF($Y1579&lt;=(Settings!$B$4+Settings!$B$5+Settings!$B$6)*3,"F","")))</f>
        <v/>
      </c>
      <c r="AA1579" s="20">
        <f>IF($Z1579="C",$Y1579,IF($Z1579="A",$Y1579-Settings!$B$4*3,IF($Z1579="F",$Y1579-(Settings!$B$4+Settings!$B$5)*3,"")))</f>
        <v/>
      </c>
      <c r="AB1579" s="20">
        <f>IF($Z1579="","",INT(($AA1579-1)/3)+1)</f>
        <v/>
      </c>
      <c r="AC1579" s="20">
        <f>IF($Z1579="","",MOD($AA1579-1,3)+1)</f>
        <v/>
      </c>
      <c r="AD1579" s="20">
        <f>IF($Z1579="","",Settings!$B$2+$AC1579-1)</f>
        <v/>
      </c>
      <c r="AE1579" s="21">
        <f>IF($Z1579="C",DATE(YEAR(INDEX(Contracts!$J$2:$J$151,$AB1579)),MONTH(INDEX(Contracts!$J$2:$J$151,$AB1579)),1),IF($Z1579="A",DATE(YEAR(INDEX(Fixed_Assets!$G$2:$G$201,$AB1579)),MONTH(INDEX(Fixed_Assets!$G$2:$G$201,$AB1579)),1),IF($Z1579="F",DATE(YEAR(MAX(N(INDEX(Workforce!$I$2:$I$151,MATCH(INDEX(FTE_Allocation!$A$2:$A$201,$AB1579),Workforce!$A$2:$A$151,0))),N(INDEX(FTE_Allocation!$I$2:$I$201,$AB1579)))),MONTH(MAX(N(INDEX(Workforce!$I$2:$I$151,MATCH(INDEX(FTE_Allocation!$A$2:$A$201,$AB1579),Workforce!$A$2:$A$151,0))),N(INDEX(FTE_Allocation!$I$2:$I$201,$AB1579)))),1),"")))</f>
        <v/>
      </c>
      <c r="AF1579" s="21">
        <f>IF($Z1579="C",IF(INDEX(Contracts!$I$2:$I$151,$AB1579)="PREPAID",EDATE(DATE(YEAR(INDEX(Contracts!$J$2:$J$151,$AB1579)),MONTH(INDEX(Contracts!$J$2:$J$151,$AB1579)),1),IF(INDEX(Contracts!$N$2:$N$151,$AB1579)="",12,INDEX(Contracts!$N$2:$N$151,$AB1579))-1),IF(INDEX(Contracts!$I$2:$I$151,$AB1579)="MONTHLY",IF(INDEX(Contracts!$K$2:$K$151,$AB1579)="",2958101,INDEX(Contracts!$K$2:$K$151,$AB1579)),0)),IF($Z1579="A",EDATE(DATE(YEAR(INDEX(Fixed_Assets!$G$2:$G$201,$AB1579)),MONTH(INDEX(Fixed_Assets!$G$2:$G$201,$AB1579)),1),INDEX(Fixed_Assets!$J$2:$J$201,$AB1579)-1),IF($Z1579="F",MIN(IF(INDEX(Workforce!$J$2:$J$151,MATCH(INDEX(FTE_Allocation!$A$2:$A$201,$AB1579),Workforce!$A$2:$A$151,0))="",2958101,INDEX(Workforce!$J$2:$J$151,MATCH(INDEX(FTE_Allocation!$A$2:$A$201,$AB1579),Workforce!$A$2:$A$151,0))),IF(INDEX(FTE_Allocation!$J$2:$J$201,$AB1579)="",2958101,INDEX(FTE_Allocation!$J$2:$J$201,$AB1579))),"")))</f>
        <v/>
      </c>
      <c r="AG1579" s="19">
        <f>IF($Z1579="C",IF(INDEX(Contracts!$I$2:$I$151,$AB1579)="PREPAID",INDEX(Contracts!$M$2:$M$151,$AB1579)/IF(INDEX(Contracts!$N$2:$N$151,$AB1579)="",12,INDEX(Contracts!$N$2:$N$151,$AB1579)),IF(INDEX(Contracts!$I$2:$I$151,$AB1579)="MONTHLY",INDEX(Contracts!$M$2:$M$151,$AB1579),0))*(1-N(INDEX(Contracts!$O$2:$O$151,$AB1579))),IF($Z1579="A",INDEX(Fixed_Assets!$H$2:$H$201,$AB1579)/INDEX(Fixed_Assets!$J$2:$J$201,$AB1579),IF($Z1579="F",INDEX(Workforce!$F$2:$F$151,MATCH(INDEX(FTE_Allocation!$A$2:$A$201,$AB1579),Workforce!$A$2:$A$151,0))*N(INDEX(FTE_Allocation!$F$2:$H$201,$AB1579,$AC1579)),"")))</f>
        <v/>
      </c>
    </row>
    <row r="1580">
      <c r="A1580" s="7">
        <f>IF($Z1580="","",$AD1580)</f>
        <v/>
      </c>
      <c r="B1580" s="7">
        <f>IF($Z1580="C",INDEX(Contracts!$D$2:$D$151,$AB1580)&amp;"",IF($Z1580="A",INDEX(Fixed_Assets!$C$2:$C$201,$AB1580)&amp;"",IF($Z1580="F",INDEX(Workforce!$B$2:$B$151,MATCH(INDEX(FTE_Allocation!$A$2:$A$201,$AB1580),Workforce!$A$2:$A$151,0))&amp;"","")))</f>
        <v/>
      </c>
      <c r="C1580" s="7">
        <f>IF($Z1580="C",INDEX(Contracts!$E$2:$E$151,$AB1580)&amp;"",IF($Z1580="A",INDEX(Fixed_Assets!$D$2:$D$201,$AB1580)&amp;"",IF($Z1580="F",INDEX(FTE_Allocation!$C$2:$C$201,$AB1580)&amp;"","")))</f>
        <v/>
      </c>
      <c r="D1580" s="7">
        <f>IF($Z1580="C",INDEX(Contracts!$B$2:$B$151,$AB1580)&amp;"",IF($Z1580="A",INDEX(Fixed_Assets!$B$2:$B$201,$AB1580)&amp;"",IF($Z1580="F",INDEX(FTE_Allocation!$B$2:$B$201,$AB1580)&amp;"","")))</f>
        <v/>
      </c>
      <c r="E1580" s="7">
        <f>IF($Z1580="C",INDEX(Contracts!$P$2:$P$151,$AB1580)&amp;"",IF($Z1580="A",INDEX(Fixed_Assets!$K$2:$K$201,$AB1580)&amp;"",IF($Z1580="F",IF(INDEX(FTE_Allocation!$D$2:$D$201,$AB1580)="PROJECT",IFERROR(INDEX(Projects!$D:$D,MATCH(INDEX(FTE_Allocation!$E$2:$E$201,$AB1580),Projects!$A:$A,0))&amp;"","#PROJECT?"),INDEX(FTE_Allocation!$E$2:$E$201,$AB1580)&amp;""),"")))</f>
        <v/>
      </c>
      <c r="F1580" s="7">
        <f>IF($Z1580="C",INDEX(Contracts!$Q$2:$Q$151,$AB1580)&amp;"",IF($Z1580="A",INDEX(Fixed_Assets!$L$2:$L$201,$AB1580)&amp;"",IF($Z1580="F",INDEX(Workforce!$K$2:$K$151,MATCH(INDEX(FTE_Allocation!$A$2:$A$201,$AB1580),Workforce!$A$2:$A$151,0))&amp;"","")))</f>
        <v/>
      </c>
      <c r="G1580" s="7">
        <f>IF($Z1580="C",INDEX(Contracts!$F$2:$F$151,$AB1580)&amp;" / "&amp;INDEX(Contracts!$G$2:$G$151,$AB1580),IF($Z1580="A",INDEX(Fixed_Assets!$E$2:$E$201,$AB1580)&amp;"",IF($Z1580="F","Personnel "&amp;INDEX(FTE_Allocation!$A$2:$A$201,$AB1580)&amp;IF(INDEX(FTE_Allocation!$D$2:$D$201,$AB1580)="PROJECT"," ("&amp;INDEX(FTE_Allocation!$E$2:$E$201,$AB1580)&amp;")",""),"")))</f>
        <v/>
      </c>
      <c r="H1580" s="7">
        <f>IF($Z1580="C","CONTRACT",IF($Z1580="A","ASSET",IF($Z1580="F","WORKFORCE","")))</f>
        <v/>
      </c>
      <c r="I1580" s="7">
        <f>IF($Z1580="C",INDEX(Contracts!$L$2:$L$151,$AB1580)&amp;"",IF($Z1580="A",INDEX(Fixed_Assets!$I$2:$I$201,$AB1580)&amp;"",IF($Z1580="F",INDEX(Workforce!$G$2:$G$151,MATCH(INDEX(FTE_Allocation!$A$2:$A$201,$AB1580),Workforce!$A$2:$A$151,0))&amp;"","")))</f>
        <v/>
      </c>
      <c r="J1580" s="18">
        <f>IF($Z1580="","",IF(AND(DATE($AD1580,1,1)&gt;=$AE1580,DATE($AD1580,1,1)&lt;=$AF1580),ROUND($AG1580,2),0))</f>
        <v/>
      </c>
      <c r="K1580" s="18">
        <f>IF($Z1580="","",IF(AND(DATE($AD1580,2,1)&gt;=$AE1580,DATE($AD1580,2,1)&lt;=$AF1580),ROUND($AG1580,2),0))</f>
        <v/>
      </c>
      <c r="L1580" s="18">
        <f>IF($Z1580="","",IF(AND(DATE($AD1580,3,1)&gt;=$AE1580,DATE($AD1580,3,1)&lt;=$AF1580),ROUND($AG1580,2),0))</f>
        <v/>
      </c>
      <c r="M1580" s="18">
        <f>IF($Z1580="","",IF(AND(DATE($AD1580,4,1)&gt;=$AE1580,DATE($AD1580,4,1)&lt;=$AF1580),ROUND($AG1580,2),0))</f>
        <v/>
      </c>
      <c r="N1580" s="18">
        <f>IF($Z1580="","",IF(AND(DATE($AD1580,5,1)&gt;=$AE1580,DATE($AD1580,5,1)&lt;=$AF1580),ROUND($AG1580,2),0))</f>
        <v/>
      </c>
      <c r="O1580" s="18">
        <f>IF($Z1580="","",IF(AND(DATE($AD1580,6,1)&gt;=$AE1580,DATE($AD1580,6,1)&lt;=$AF1580),ROUND($AG1580,2),0))</f>
        <v/>
      </c>
      <c r="P1580" s="18">
        <f>IF($Z1580="","",IF(AND(DATE($AD1580,7,1)&gt;=$AE1580,DATE($AD1580,7,1)&lt;=$AF1580),ROUND($AG1580,2),0))</f>
        <v/>
      </c>
      <c r="Q1580" s="18">
        <f>IF($Z1580="","",IF(AND(DATE($AD1580,8,1)&gt;=$AE1580,DATE($AD1580,8,1)&lt;=$AF1580),ROUND($AG1580,2),0))</f>
        <v/>
      </c>
      <c r="R1580" s="18">
        <f>IF($Z1580="","",IF(AND(DATE($AD1580,9,1)&gt;=$AE1580,DATE($AD1580,9,1)&lt;=$AF1580),ROUND($AG1580,2),0))</f>
        <v/>
      </c>
      <c r="S1580" s="18">
        <f>IF($Z1580="","",IF(AND(DATE($AD1580,10,1)&gt;=$AE1580,DATE($AD1580,10,1)&lt;=$AF1580),ROUND($AG1580,2),0))</f>
        <v/>
      </c>
      <c r="T1580" s="18">
        <f>IF($Z1580="","",IF(AND(DATE($AD1580,11,1)&gt;=$AE1580,DATE($AD1580,11,1)&lt;=$AF1580),ROUND($AG1580,2),0))</f>
        <v/>
      </c>
      <c r="U1580" s="18">
        <f>IF($Z1580="","",IF(AND(DATE($AD1580,12,1)&gt;=$AE1580,DATE($AD1580,12,1)&lt;=$AF1580),ROUND($AG1580,2),0))</f>
        <v/>
      </c>
      <c r="V1580" s="7">
        <f>IF($Z1580="C","Generated from "&amp;INDEX(Contracts!$A$2:$A$151,$AB1580),IF($Z1580="A","Generated from "&amp;INDEX(Fixed_Assets!$A$2:$A$201,$AB1580),IF($Z1580="F","Generated from "&amp;INDEX(FTE_Allocation!$A$2:$A$201,$AB1580),"")))</f>
        <v/>
      </c>
      <c r="X1580" s="19">
        <f>IF($Z1580="","",SUM(J1580:U1580))</f>
        <v/>
      </c>
      <c r="Y1580" s="20">
        <f>ROW()-1</f>
        <v/>
      </c>
      <c r="Z1580" s="20">
        <f>IF($Y1580&lt;=Settings!$B$4*3,"C",IF($Y1580&lt;=(Settings!$B$4+Settings!$B$5)*3,"A",IF($Y1580&lt;=(Settings!$B$4+Settings!$B$5+Settings!$B$6)*3,"F","")))</f>
        <v/>
      </c>
      <c r="AA1580" s="20">
        <f>IF($Z1580="C",$Y1580,IF($Z1580="A",$Y1580-Settings!$B$4*3,IF($Z1580="F",$Y1580-(Settings!$B$4+Settings!$B$5)*3,"")))</f>
        <v/>
      </c>
      <c r="AB1580" s="20">
        <f>IF($Z1580="","",INT(($AA1580-1)/3)+1)</f>
        <v/>
      </c>
      <c r="AC1580" s="20">
        <f>IF($Z1580="","",MOD($AA1580-1,3)+1)</f>
        <v/>
      </c>
      <c r="AD1580" s="20">
        <f>IF($Z1580="","",Settings!$B$2+$AC1580-1)</f>
        <v/>
      </c>
      <c r="AE1580" s="21">
        <f>IF($Z1580="C",DATE(YEAR(INDEX(Contracts!$J$2:$J$151,$AB1580)),MONTH(INDEX(Contracts!$J$2:$J$151,$AB1580)),1),IF($Z1580="A",DATE(YEAR(INDEX(Fixed_Assets!$G$2:$G$201,$AB1580)),MONTH(INDEX(Fixed_Assets!$G$2:$G$201,$AB1580)),1),IF($Z1580="F",DATE(YEAR(MAX(N(INDEX(Workforce!$I$2:$I$151,MATCH(INDEX(FTE_Allocation!$A$2:$A$201,$AB1580),Workforce!$A$2:$A$151,0))),N(INDEX(FTE_Allocation!$I$2:$I$201,$AB1580)))),MONTH(MAX(N(INDEX(Workforce!$I$2:$I$151,MATCH(INDEX(FTE_Allocation!$A$2:$A$201,$AB1580),Workforce!$A$2:$A$151,0))),N(INDEX(FTE_Allocation!$I$2:$I$201,$AB1580)))),1),"")))</f>
        <v/>
      </c>
      <c r="AF1580" s="21">
        <f>IF($Z1580="C",IF(INDEX(Contracts!$I$2:$I$151,$AB1580)="PREPAID",EDATE(DATE(YEAR(INDEX(Contracts!$J$2:$J$151,$AB1580)),MONTH(INDEX(Contracts!$J$2:$J$151,$AB1580)),1),IF(INDEX(Contracts!$N$2:$N$151,$AB1580)="",12,INDEX(Contracts!$N$2:$N$151,$AB1580))-1),IF(INDEX(Contracts!$I$2:$I$151,$AB1580)="MONTHLY",IF(INDEX(Contracts!$K$2:$K$151,$AB1580)="",2958101,INDEX(Contracts!$K$2:$K$151,$AB1580)),0)),IF($Z1580="A",EDATE(DATE(YEAR(INDEX(Fixed_Assets!$G$2:$G$201,$AB1580)),MONTH(INDEX(Fixed_Assets!$G$2:$G$201,$AB1580)),1),INDEX(Fixed_Assets!$J$2:$J$201,$AB1580)-1),IF($Z1580="F",MIN(IF(INDEX(Workforce!$J$2:$J$151,MATCH(INDEX(FTE_Allocation!$A$2:$A$201,$AB1580),Workforce!$A$2:$A$151,0))="",2958101,INDEX(Workforce!$J$2:$J$151,MATCH(INDEX(FTE_Allocation!$A$2:$A$201,$AB1580),Workforce!$A$2:$A$151,0))),IF(INDEX(FTE_Allocation!$J$2:$J$201,$AB1580)="",2958101,INDEX(FTE_Allocation!$J$2:$J$201,$AB1580))),"")))</f>
        <v/>
      </c>
      <c r="AG1580" s="19">
        <f>IF($Z1580="C",IF(INDEX(Contracts!$I$2:$I$151,$AB1580)="PREPAID",INDEX(Contracts!$M$2:$M$151,$AB1580)/IF(INDEX(Contracts!$N$2:$N$151,$AB1580)="",12,INDEX(Contracts!$N$2:$N$151,$AB1580)),IF(INDEX(Contracts!$I$2:$I$151,$AB1580)="MONTHLY",INDEX(Contracts!$M$2:$M$151,$AB1580),0))*(1-N(INDEX(Contracts!$O$2:$O$151,$AB1580))),IF($Z1580="A",INDEX(Fixed_Assets!$H$2:$H$201,$AB1580)/INDEX(Fixed_Assets!$J$2:$J$201,$AB1580),IF($Z1580="F",INDEX(Workforce!$F$2:$F$151,MATCH(INDEX(FTE_Allocation!$A$2:$A$201,$AB1580),Workforce!$A$2:$A$151,0))*N(INDEX(FTE_Allocation!$F$2:$H$201,$AB1580,$AC1580)),"")))</f>
        <v/>
      </c>
    </row>
    <row r="1581">
      <c r="A1581" s="7">
        <f>IF($Z1581="","",$AD1581)</f>
        <v/>
      </c>
      <c r="B1581" s="7">
        <f>IF($Z1581="C",INDEX(Contracts!$D$2:$D$151,$AB1581)&amp;"",IF($Z1581="A",INDEX(Fixed_Assets!$C$2:$C$201,$AB1581)&amp;"",IF($Z1581="F",INDEX(Workforce!$B$2:$B$151,MATCH(INDEX(FTE_Allocation!$A$2:$A$201,$AB1581),Workforce!$A$2:$A$151,0))&amp;"","")))</f>
        <v/>
      </c>
      <c r="C1581" s="7">
        <f>IF($Z1581="C",INDEX(Contracts!$E$2:$E$151,$AB1581)&amp;"",IF($Z1581="A",INDEX(Fixed_Assets!$D$2:$D$201,$AB1581)&amp;"",IF($Z1581="F",INDEX(FTE_Allocation!$C$2:$C$201,$AB1581)&amp;"","")))</f>
        <v/>
      </c>
      <c r="D1581" s="7">
        <f>IF($Z1581="C",INDEX(Contracts!$B$2:$B$151,$AB1581)&amp;"",IF($Z1581="A",INDEX(Fixed_Assets!$B$2:$B$201,$AB1581)&amp;"",IF($Z1581="F",INDEX(FTE_Allocation!$B$2:$B$201,$AB1581)&amp;"","")))</f>
        <v/>
      </c>
      <c r="E1581" s="7">
        <f>IF($Z1581="C",INDEX(Contracts!$P$2:$P$151,$AB1581)&amp;"",IF($Z1581="A",INDEX(Fixed_Assets!$K$2:$K$201,$AB1581)&amp;"",IF($Z1581="F",IF(INDEX(FTE_Allocation!$D$2:$D$201,$AB1581)="PROJECT",IFERROR(INDEX(Projects!$D:$D,MATCH(INDEX(FTE_Allocation!$E$2:$E$201,$AB1581),Projects!$A:$A,0))&amp;"","#PROJECT?"),INDEX(FTE_Allocation!$E$2:$E$201,$AB1581)&amp;""),"")))</f>
        <v/>
      </c>
      <c r="F1581" s="7">
        <f>IF($Z1581="C",INDEX(Contracts!$Q$2:$Q$151,$AB1581)&amp;"",IF($Z1581="A",INDEX(Fixed_Assets!$L$2:$L$201,$AB1581)&amp;"",IF($Z1581="F",INDEX(Workforce!$K$2:$K$151,MATCH(INDEX(FTE_Allocation!$A$2:$A$201,$AB1581),Workforce!$A$2:$A$151,0))&amp;"","")))</f>
        <v/>
      </c>
      <c r="G1581" s="7">
        <f>IF($Z1581="C",INDEX(Contracts!$F$2:$F$151,$AB1581)&amp;" / "&amp;INDEX(Contracts!$G$2:$G$151,$AB1581),IF($Z1581="A",INDEX(Fixed_Assets!$E$2:$E$201,$AB1581)&amp;"",IF($Z1581="F","Personnel "&amp;INDEX(FTE_Allocation!$A$2:$A$201,$AB1581)&amp;IF(INDEX(FTE_Allocation!$D$2:$D$201,$AB1581)="PROJECT"," ("&amp;INDEX(FTE_Allocation!$E$2:$E$201,$AB1581)&amp;")",""),"")))</f>
        <v/>
      </c>
      <c r="H1581" s="7">
        <f>IF($Z1581="C","CONTRACT",IF($Z1581="A","ASSET",IF($Z1581="F","WORKFORCE","")))</f>
        <v/>
      </c>
      <c r="I1581" s="7">
        <f>IF($Z1581="C",INDEX(Contracts!$L$2:$L$151,$AB1581)&amp;"",IF($Z1581="A",INDEX(Fixed_Assets!$I$2:$I$201,$AB1581)&amp;"",IF($Z1581="F",INDEX(Workforce!$G$2:$G$151,MATCH(INDEX(FTE_Allocation!$A$2:$A$201,$AB1581),Workforce!$A$2:$A$151,0))&amp;"","")))</f>
        <v/>
      </c>
      <c r="J1581" s="18">
        <f>IF($Z1581="","",IF(AND(DATE($AD1581,1,1)&gt;=$AE1581,DATE($AD1581,1,1)&lt;=$AF1581),ROUND($AG1581,2),0))</f>
        <v/>
      </c>
      <c r="K1581" s="18">
        <f>IF($Z1581="","",IF(AND(DATE($AD1581,2,1)&gt;=$AE1581,DATE($AD1581,2,1)&lt;=$AF1581),ROUND($AG1581,2),0))</f>
        <v/>
      </c>
      <c r="L1581" s="18">
        <f>IF($Z1581="","",IF(AND(DATE($AD1581,3,1)&gt;=$AE1581,DATE($AD1581,3,1)&lt;=$AF1581),ROUND($AG1581,2),0))</f>
        <v/>
      </c>
      <c r="M1581" s="18">
        <f>IF($Z1581="","",IF(AND(DATE($AD1581,4,1)&gt;=$AE1581,DATE($AD1581,4,1)&lt;=$AF1581),ROUND($AG1581,2),0))</f>
        <v/>
      </c>
      <c r="N1581" s="18">
        <f>IF($Z1581="","",IF(AND(DATE($AD1581,5,1)&gt;=$AE1581,DATE($AD1581,5,1)&lt;=$AF1581),ROUND($AG1581,2),0))</f>
        <v/>
      </c>
      <c r="O1581" s="18">
        <f>IF($Z1581="","",IF(AND(DATE($AD1581,6,1)&gt;=$AE1581,DATE($AD1581,6,1)&lt;=$AF1581),ROUND($AG1581,2),0))</f>
        <v/>
      </c>
      <c r="P1581" s="18">
        <f>IF($Z1581="","",IF(AND(DATE($AD1581,7,1)&gt;=$AE1581,DATE($AD1581,7,1)&lt;=$AF1581),ROUND($AG1581,2),0))</f>
        <v/>
      </c>
      <c r="Q1581" s="18">
        <f>IF($Z1581="","",IF(AND(DATE($AD1581,8,1)&gt;=$AE1581,DATE($AD1581,8,1)&lt;=$AF1581),ROUND($AG1581,2),0))</f>
        <v/>
      </c>
      <c r="R1581" s="18">
        <f>IF($Z1581="","",IF(AND(DATE($AD1581,9,1)&gt;=$AE1581,DATE($AD1581,9,1)&lt;=$AF1581),ROUND($AG1581,2),0))</f>
        <v/>
      </c>
      <c r="S1581" s="18">
        <f>IF($Z1581="","",IF(AND(DATE($AD1581,10,1)&gt;=$AE1581,DATE($AD1581,10,1)&lt;=$AF1581),ROUND($AG1581,2),0))</f>
        <v/>
      </c>
      <c r="T1581" s="18">
        <f>IF($Z1581="","",IF(AND(DATE($AD1581,11,1)&gt;=$AE1581,DATE($AD1581,11,1)&lt;=$AF1581),ROUND($AG1581,2),0))</f>
        <v/>
      </c>
      <c r="U1581" s="18">
        <f>IF($Z1581="","",IF(AND(DATE($AD1581,12,1)&gt;=$AE1581,DATE($AD1581,12,1)&lt;=$AF1581),ROUND($AG1581,2),0))</f>
        <v/>
      </c>
      <c r="V1581" s="7">
        <f>IF($Z1581="C","Generated from "&amp;INDEX(Contracts!$A$2:$A$151,$AB1581),IF($Z1581="A","Generated from "&amp;INDEX(Fixed_Assets!$A$2:$A$201,$AB1581),IF($Z1581="F","Generated from "&amp;INDEX(FTE_Allocation!$A$2:$A$201,$AB1581),"")))</f>
        <v/>
      </c>
      <c r="X1581" s="19">
        <f>IF($Z1581="","",SUM(J1581:U1581))</f>
        <v/>
      </c>
      <c r="Y1581" s="20">
        <f>ROW()-1</f>
        <v/>
      </c>
      <c r="Z1581" s="20">
        <f>IF($Y1581&lt;=Settings!$B$4*3,"C",IF($Y1581&lt;=(Settings!$B$4+Settings!$B$5)*3,"A",IF($Y1581&lt;=(Settings!$B$4+Settings!$B$5+Settings!$B$6)*3,"F","")))</f>
        <v/>
      </c>
      <c r="AA1581" s="20">
        <f>IF($Z1581="C",$Y1581,IF($Z1581="A",$Y1581-Settings!$B$4*3,IF($Z1581="F",$Y1581-(Settings!$B$4+Settings!$B$5)*3,"")))</f>
        <v/>
      </c>
      <c r="AB1581" s="20">
        <f>IF($Z1581="","",INT(($AA1581-1)/3)+1)</f>
        <v/>
      </c>
      <c r="AC1581" s="20">
        <f>IF($Z1581="","",MOD($AA1581-1,3)+1)</f>
        <v/>
      </c>
      <c r="AD1581" s="20">
        <f>IF($Z1581="","",Settings!$B$2+$AC1581-1)</f>
        <v/>
      </c>
      <c r="AE1581" s="21">
        <f>IF($Z1581="C",DATE(YEAR(INDEX(Contracts!$J$2:$J$151,$AB1581)),MONTH(INDEX(Contracts!$J$2:$J$151,$AB1581)),1),IF($Z1581="A",DATE(YEAR(INDEX(Fixed_Assets!$G$2:$G$201,$AB1581)),MONTH(INDEX(Fixed_Assets!$G$2:$G$201,$AB1581)),1),IF($Z1581="F",DATE(YEAR(MAX(N(INDEX(Workforce!$I$2:$I$151,MATCH(INDEX(FTE_Allocation!$A$2:$A$201,$AB1581),Workforce!$A$2:$A$151,0))),N(INDEX(FTE_Allocation!$I$2:$I$201,$AB1581)))),MONTH(MAX(N(INDEX(Workforce!$I$2:$I$151,MATCH(INDEX(FTE_Allocation!$A$2:$A$201,$AB1581),Workforce!$A$2:$A$151,0))),N(INDEX(FTE_Allocation!$I$2:$I$201,$AB1581)))),1),"")))</f>
        <v/>
      </c>
      <c r="AF1581" s="21">
        <f>IF($Z1581="C",IF(INDEX(Contracts!$I$2:$I$151,$AB1581)="PREPAID",EDATE(DATE(YEAR(INDEX(Contracts!$J$2:$J$151,$AB1581)),MONTH(INDEX(Contracts!$J$2:$J$151,$AB1581)),1),IF(INDEX(Contracts!$N$2:$N$151,$AB1581)="",12,INDEX(Contracts!$N$2:$N$151,$AB1581))-1),IF(INDEX(Contracts!$I$2:$I$151,$AB1581)="MONTHLY",IF(INDEX(Contracts!$K$2:$K$151,$AB1581)="",2958101,INDEX(Contracts!$K$2:$K$151,$AB1581)),0)),IF($Z1581="A",EDATE(DATE(YEAR(INDEX(Fixed_Assets!$G$2:$G$201,$AB1581)),MONTH(INDEX(Fixed_Assets!$G$2:$G$201,$AB1581)),1),INDEX(Fixed_Assets!$J$2:$J$201,$AB1581)-1),IF($Z1581="F",MIN(IF(INDEX(Workforce!$J$2:$J$151,MATCH(INDEX(FTE_Allocation!$A$2:$A$201,$AB1581),Workforce!$A$2:$A$151,0))="",2958101,INDEX(Workforce!$J$2:$J$151,MATCH(INDEX(FTE_Allocation!$A$2:$A$201,$AB1581),Workforce!$A$2:$A$151,0))),IF(INDEX(FTE_Allocation!$J$2:$J$201,$AB1581)="",2958101,INDEX(FTE_Allocation!$J$2:$J$201,$AB1581))),"")))</f>
        <v/>
      </c>
      <c r="AG1581" s="19">
        <f>IF($Z1581="C",IF(INDEX(Contracts!$I$2:$I$151,$AB1581)="PREPAID",INDEX(Contracts!$M$2:$M$151,$AB1581)/IF(INDEX(Contracts!$N$2:$N$151,$AB1581)="",12,INDEX(Contracts!$N$2:$N$151,$AB1581)),IF(INDEX(Contracts!$I$2:$I$151,$AB1581)="MONTHLY",INDEX(Contracts!$M$2:$M$151,$AB1581),0))*(1-N(INDEX(Contracts!$O$2:$O$151,$AB1581))),IF($Z1581="A",INDEX(Fixed_Assets!$H$2:$H$201,$AB1581)/INDEX(Fixed_Assets!$J$2:$J$201,$AB1581),IF($Z1581="F",INDEX(Workforce!$F$2:$F$151,MATCH(INDEX(FTE_Allocation!$A$2:$A$201,$AB1581),Workforce!$A$2:$A$151,0))*N(INDEX(FTE_Allocation!$F$2:$H$201,$AB1581,$AC1581)),"")))</f>
        <v/>
      </c>
    </row>
    <row r="1582">
      <c r="A1582" s="7">
        <f>IF($Z1582="","",$AD1582)</f>
        <v/>
      </c>
      <c r="B1582" s="7">
        <f>IF($Z1582="C",INDEX(Contracts!$D$2:$D$151,$AB1582)&amp;"",IF($Z1582="A",INDEX(Fixed_Assets!$C$2:$C$201,$AB1582)&amp;"",IF($Z1582="F",INDEX(Workforce!$B$2:$B$151,MATCH(INDEX(FTE_Allocation!$A$2:$A$201,$AB1582),Workforce!$A$2:$A$151,0))&amp;"","")))</f>
        <v/>
      </c>
      <c r="C1582" s="7">
        <f>IF($Z1582="C",INDEX(Contracts!$E$2:$E$151,$AB1582)&amp;"",IF($Z1582="A",INDEX(Fixed_Assets!$D$2:$D$201,$AB1582)&amp;"",IF($Z1582="F",INDEX(FTE_Allocation!$C$2:$C$201,$AB1582)&amp;"","")))</f>
        <v/>
      </c>
      <c r="D1582" s="7">
        <f>IF($Z1582="C",INDEX(Contracts!$B$2:$B$151,$AB1582)&amp;"",IF($Z1582="A",INDEX(Fixed_Assets!$B$2:$B$201,$AB1582)&amp;"",IF($Z1582="F",INDEX(FTE_Allocation!$B$2:$B$201,$AB1582)&amp;"","")))</f>
        <v/>
      </c>
      <c r="E1582" s="7">
        <f>IF($Z1582="C",INDEX(Contracts!$P$2:$P$151,$AB1582)&amp;"",IF($Z1582="A",INDEX(Fixed_Assets!$K$2:$K$201,$AB1582)&amp;"",IF($Z1582="F",IF(INDEX(FTE_Allocation!$D$2:$D$201,$AB1582)="PROJECT",IFERROR(INDEX(Projects!$D:$D,MATCH(INDEX(FTE_Allocation!$E$2:$E$201,$AB1582),Projects!$A:$A,0))&amp;"","#PROJECT?"),INDEX(FTE_Allocation!$E$2:$E$201,$AB1582)&amp;""),"")))</f>
        <v/>
      </c>
      <c r="F1582" s="7">
        <f>IF($Z1582="C",INDEX(Contracts!$Q$2:$Q$151,$AB1582)&amp;"",IF($Z1582="A",INDEX(Fixed_Assets!$L$2:$L$201,$AB1582)&amp;"",IF($Z1582="F",INDEX(Workforce!$K$2:$K$151,MATCH(INDEX(FTE_Allocation!$A$2:$A$201,$AB1582),Workforce!$A$2:$A$151,0))&amp;"","")))</f>
        <v/>
      </c>
      <c r="G1582" s="7">
        <f>IF($Z1582="C",INDEX(Contracts!$F$2:$F$151,$AB1582)&amp;" / "&amp;INDEX(Contracts!$G$2:$G$151,$AB1582),IF($Z1582="A",INDEX(Fixed_Assets!$E$2:$E$201,$AB1582)&amp;"",IF($Z1582="F","Personnel "&amp;INDEX(FTE_Allocation!$A$2:$A$201,$AB1582)&amp;IF(INDEX(FTE_Allocation!$D$2:$D$201,$AB1582)="PROJECT"," ("&amp;INDEX(FTE_Allocation!$E$2:$E$201,$AB1582)&amp;")",""),"")))</f>
        <v/>
      </c>
      <c r="H1582" s="7">
        <f>IF($Z1582="C","CONTRACT",IF($Z1582="A","ASSET",IF($Z1582="F","WORKFORCE","")))</f>
        <v/>
      </c>
      <c r="I1582" s="7">
        <f>IF($Z1582="C",INDEX(Contracts!$L$2:$L$151,$AB1582)&amp;"",IF($Z1582="A",INDEX(Fixed_Assets!$I$2:$I$201,$AB1582)&amp;"",IF($Z1582="F",INDEX(Workforce!$G$2:$G$151,MATCH(INDEX(FTE_Allocation!$A$2:$A$201,$AB1582),Workforce!$A$2:$A$151,0))&amp;"","")))</f>
        <v/>
      </c>
      <c r="J1582" s="18">
        <f>IF($Z1582="","",IF(AND(DATE($AD1582,1,1)&gt;=$AE1582,DATE($AD1582,1,1)&lt;=$AF1582),ROUND($AG1582,2),0))</f>
        <v/>
      </c>
      <c r="K1582" s="18">
        <f>IF($Z1582="","",IF(AND(DATE($AD1582,2,1)&gt;=$AE1582,DATE($AD1582,2,1)&lt;=$AF1582),ROUND($AG1582,2),0))</f>
        <v/>
      </c>
      <c r="L1582" s="18">
        <f>IF($Z1582="","",IF(AND(DATE($AD1582,3,1)&gt;=$AE1582,DATE($AD1582,3,1)&lt;=$AF1582),ROUND($AG1582,2),0))</f>
        <v/>
      </c>
      <c r="M1582" s="18">
        <f>IF($Z1582="","",IF(AND(DATE($AD1582,4,1)&gt;=$AE1582,DATE($AD1582,4,1)&lt;=$AF1582),ROUND($AG1582,2),0))</f>
        <v/>
      </c>
      <c r="N1582" s="18">
        <f>IF($Z1582="","",IF(AND(DATE($AD1582,5,1)&gt;=$AE1582,DATE($AD1582,5,1)&lt;=$AF1582),ROUND($AG1582,2),0))</f>
        <v/>
      </c>
      <c r="O1582" s="18">
        <f>IF($Z1582="","",IF(AND(DATE($AD1582,6,1)&gt;=$AE1582,DATE($AD1582,6,1)&lt;=$AF1582),ROUND($AG1582,2),0))</f>
        <v/>
      </c>
      <c r="P1582" s="18">
        <f>IF($Z1582="","",IF(AND(DATE($AD1582,7,1)&gt;=$AE1582,DATE($AD1582,7,1)&lt;=$AF1582),ROUND($AG1582,2),0))</f>
        <v/>
      </c>
      <c r="Q1582" s="18">
        <f>IF($Z1582="","",IF(AND(DATE($AD1582,8,1)&gt;=$AE1582,DATE($AD1582,8,1)&lt;=$AF1582),ROUND($AG1582,2),0))</f>
        <v/>
      </c>
      <c r="R1582" s="18">
        <f>IF($Z1582="","",IF(AND(DATE($AD1582,9,1)&gt;=$AE1582,DATE($AD1582,9,1)&lt;=$AF1582),ROUND($AG1582,2),0))</f>
        <v/>
      </c>
      <c r="S1582" s="18">
        <f>IF($Z1582="","",IF(AND(DATE($AD1582,10,1)&gt;=$AE1582,DATE($AD1582,10,1)&lt;=$AF1582),ROUND($AG1582,2),0))</f>
        <v/>
      </c>
      <c r="T1582" s="18">
        <f>IF($Z1582="","",IF(AND(DATE($AD1582,11,1)&gt;=$AE1582,DATE($AD1582,11,1)&lt;=$AF1582),ROUND($AG1582,2),0))</f>
        <v/>
      </c>
      <c r="U1582" s="18">
        <f>IF($Z1582="","",IF(AND(DATE($AD1582,12,1)&gt;=$AE1582,DATE($AD1582,12,1)&lt;=$AF1582),ROUND($AG1582,2),0))</f>
        <v/>
      </c>
      <c r="V1582" s="7">
        <f>IF($Z1582="C","Generated from "&amp;INDEX(Contracts!$A$2:$A$151,$AB1582),IF($Z1582="A","Generated from "&amp;INDEX(Fixed_Assets!$A$2:$A$201,$AB1582),IF($Z1582="F","Generated from "&amp;INDEX(FTE_Allocation!$A$2:$A$201,$AB1582),"")))</f>
        <v/>
      </c>
      <c r="X1582" s="19">
        <f>IF($Z1582="","",SUM(J1582:U1582))</f>
        <v/>
      </c>
      <c r="Y1582" s="20">
        <f>ROW()-1</f>
        <v/>
      </c>
      <c r="Z1582" s="20">
        <f>IF($Y1582&lt;=Settings!$B$4*3,"C",IF($Y1582&lt;=(Settings!$B$4+Settings!$B$5)*3,"A",IF($Y1582&lt;=(Settings!$B$4+Settings!$B$5+Settings!$B$6)*3,"F","")))</f>
        <v/>
      </c>
      <c r="AA1582" s="20">
        <f>IF($Z1582="C",$Y1582,IF($Z1582="A",$Y1582-Settings!$B$4*3,IF($Z1582="F",$Y1582-(Settings!$B$4+Settings!$B$5)*3,"")))</f>
        <v/>
      </c>
      <c r="AB1582" s="20">
        <f>IF($Z1582="","",INT(($AA1582-1)/3)+1)</f>
        <v/>
      </c>
      <c r="AC1582" s="20">
        <f>IF($Z1582="","",MOD($AA1582-1,3)+1)</f>
        <v/>
      </c>
      <c r="AD1582" s="20">
        <f>IF($Z1582="","",Settings!$B$2+$AC1582-1)</f>
        <v/>
      </c>
      <c r="AE1582" s="21">
        <f>IF($Z1582="C",DATE(YEAR(INDEX(Contracts!$J$2:$J$151,$AB1582)),MONTH(INDEX(Contracts!$J$2:$J$151,$AB1582)),1),IF($Z1582="A",DATE(YEAR(INDEX(Fixed_Assets!$G$2:$G$201,$AB1582)),MONTH(INDEX(Fixed_Assets!$G$2:$G$201,$AB1582)),1),IF($Z1582="F",DATE(YEAR(MAX(N(INDEX(Workforce!$I$2:$I$151,MATCH(INDEX(FTE_Allocation!$A$2:$A$201,$AB1582),Workforce!$A$2:$A$151,0))),N(INDEX(FTE_Allocation!$I$2:$I$201,$AB1582)))),MONTH(MAX(N(INDEX(Workforce!$I$2:$I$151,MATCH(INDEX(FTE_Allocation!$A$2:$A$201,$AB1582),Workforce!$A$2:$A$151,0))),N(INDEX(FTE_Allocation!$I$2:$I$201,$AB1582)))),1),"")))</f>
        <v/>
      </c>
      <c r="AF1582" s="21">
        <f>IF($Z1582="C",IF(INDEX(Contracts!$I$2:$I$151,$AB1582)="PREPAID",EDATE(DATE(YEAR(INDEX(Contracts!$J$2:$J$151,$AB1582)),MONTH(INDEX(Contracts!$J$2:$J$151,$AB1582)),1),IF(INDEX(Contracts!$N$2:$N$151,$AB1582)="",12,INDEX(Contracts!$N$2:$N$151,$AB1582))-1),IF(INDEX(Contracts!$I$2:$I$151,$AB1582)="MONTHLY",IF(INDEX(Contracts!$K$2:$K$151,$AB1582)="",2958101,INDEX(Contracts!$K$2:$K$151,$AB1582)),0)),IF($Z1582="A",EDATE(DATE(YEAR(INDEX(Fixed_Assets!$G$2:$G$201,$AB1582)),MONTH(INDEX(Fixed_Assets!$G$2:$G$201,$AB1582)),1),INDEX(Fixed_Assets!$J$2:$J$201,$AB1582)-1),IF($Z1582="F",MIN(IF(INDEX(Workforce!$J$2:$J$151,MATCH(INDEX(FTE_Allocation!$A$2:$A$201,$AB1582),Workforce!$A$2:$A$151,0))="",2958101,INDEX(Workforce!$J$2:$J$151,MATCH(INDEX(FTE_Allocation!$A$2:$A$201,$AB1582),Workforce!$A$2:$A$151,0))),IF(INDEX(FTE_Allocation!$J$2:$J$201,$AB1582)="",2958101,INDEX(FTE_Allocation!$J$2:$J$201,$AB1582))),"")))</f>
        <v/>
      </c>
      <c r="AG1582" s="19">
        <f>IF($Z1582="C",IF(INDEX(Contracts!$I$2:$I$151,$AB1582)="PREPAID",INDEX(Contracts!$M$2:$M$151,$AB1582)/IF(INDEX(Contracts!$N$2:$N$151,$AB1582)="",12,INDEX(Contracts!$N$2:$N$151,$AB1582)),IF(INDEX(Contracts!$I$2:$I$151,$AB1582)="MONTHLY",INDEX(Contracts!$M$2:$M$151,$AB1582),0))*(1-N(INDEX(Contracts!$O$2:$O$151,$AB1582))),IF($Z1582="A",INDEX(Fixed_Assets!$H$2:$H$201,$AB1582)/INDEX(Fixed_Assets!$J$2:$J$201,$AB1582),IF($Z1582="F",INDEX(Workforce!$F$2:$F$151,MATCH(INDEX(FTE_Allocation!$A$2:$A$201,$AB1582),Workforce!$A$2:$A$151,0))*N(INDEX(FTE_Allocation!$F$2:$H$201,$AB1582,$AC1582)),"")))</f>
        <v/>
      </c>
    </row>
    <row r="1583">
      <c r="A1583" s="7">
        <f>IF($Z1583="","",$AD1583)</f>
        <v/>
      </c>
      <c r="B1583" s="7">
        <f>IF($Z1583="C",INDEX(Contracts!$D$2:$D$151,$AB1583)&amp;"",IF($Z1583="A",INDEX(Fixed_Assets!$C$2:$C$201,$AB1583)&amp;"",IF($Z1583="F",INDEX(Workforce!$B$2:$B$151,MATCH(INDEX(FTE_Allocation!$A$2:$A$201,$AB1583),Workforce!$A$2:$A$151,0))&amp;"","")))</f>
        <v/>
      </c>
      <c r="C1583" s="7">
        <f>IF($Z1583="C",INDEX(Contracts!$E$2:$E$151,$AB1583)&amp;"",IF($Z1583="A",INDEX(Fixed_Assets!$D$2:$D$201,$AB1583)&amp;"",IF($Z1583="F",INDEX(FTE_Allocation!$C$2:$C$201,$AB1583)&amp;"","")))</f>
        <v/>
      </c>
      <c r="D1583" s="7">
        <f>IF($Z1583="C",INDEX(Contracts!$B$2:$B$151,$AB1583)&amp;"",IF($Z1583="A",INDEX(Fixed_Assets!$B$2:$B$201,$AB1583)&amp;"",IF($Z1583="F",INDEX(FTE_Allocation!$B$2:$B$201,$AB1583)&amp;"","")))</f>
        <v/>
      </c>
      <c r="E1583" s="7">
        <f>IF($Z1583="C",INDEX(Contracts!$P$2:$P$151,$AB1583)&amp;"",IF($Z1583="A",INDEX(Fixed_Assets!$K$2:$K$201,$AB1583)&amp;"",IF($Z1583="F",IF(INDEX(FTE_Allocation!$D$2:$D$201,$AB1583)="PROJECT",IFERROR(INDEX(Projects!$D:$D,MATCH(INDEX(FTE_Allocation!$E$2:$E$201,$AB1583),Projects!$A:$A,0))&amp;"","#PROJECT?"),INDEX(FTE_Allocation!$E$2:$E$201,$AB1583)&amp;""),"")))</f>
        <v/>
      </c>
      <c r="F1583" s="7">
        <f>IF($Z1583="C",INDEX(Contracts!$Q$2:$Q$151,$AB1583)&amp;"",IF($Z1583="A",INDEX(Fixed_Assets!$L$2:$L$201,$AB1583)&amp;"",IF($Z1583="F",INDEX(Workforce!$K$2:$K$151,MATCH(INDEX(FTE_Allocation!$A$2:$A$201,$AB1583),Workforce!$A$2:$A$151,0))&amp;"","")))</f>
        <v/>
      </c>
      <c r="G1583" s="7">
        <f>IF($Z1583="C",INDEX(Contracts!$F$2:$F$151,$AB1583)&amp;" / "&amp;INDEX(Contracts!$G$2:$G$151,$AB1583),IF($Z1583="A",INDEX(Fixed_Assets!$E$2:$E$201,$AB1583)&amp;"",IF($Z1583="F","Personnel "&amp;INDEX(FTE_Allocation!$A$2:$A$201,$AB1583)&amp;IF(INDEX(FTE_Allocation!$D$2:$D$201,$AB1583)="PROJECT"," ("&amp;INDEX(FTE_Allocation!$E$2:$E$201,$AB1583)&amp;")",""),"")))</f>
        <v/>
      </c>
      <c r="H1583" s="7">
        <f>IF($Z1583="C","CONTRACT",IF($Z1583="A","ASSET",IF($Z1583="F","WORKFORCE","")))</f>
        <v/>
      </c>
      <c r="I1583" s="7">
        <f>IF($Z1583="C",INDEX(Contracts!$L$2:$L$151,$AB1583)&amp;"",IF($Z1583="A",INDEX(Fixed_Assets!$I$2:$I$201,$AB1583)&amp;"",IF($Z1583="F",INDEX(Workforce!$G$2:$G$151,MATCH(INDEX(FTE_Allocation!$A$2:$A$201,$AB1583),Workforce!$A$2:$A$151,0))&amp;"","")))</f>
        <v/>
      </c>
      <c r="J1583" s="18">
        <f>IF($Z1583="","",IF(AND(DATE($AD1583,1,1)&gt;=$AE1583,DATE($AD1583,1,1)&lt;=$AF1583),ROUND($AG1583,2),0))</f>
        <v/>
      </c>
      <c r="K1583" s="18">
        <f>IF($Z1583="","",IF(AND(DATE($AD1583,2,1)&gt;=$AE1583,DATE($AD1583,2,1)&lt;=$AF1583),ROUND($AG1583,2),0))</f>
        <v/>
      </c>
      <c r="L1583" s="18">
        <f>IF($Z1583="","",IF(AND(DATE($AD1583,3,1)&gt;=$AE1583,DATE($AD1583,3,1)&lt;=$AF1583),ROUND($AG1583,2),0))</f>
        <v/>
      </c>
      <c r="M1583" s="18">
        <f>IF($Z1583="","",IF(AND(DATE($AD1583,4,1)&gt;=$AE1583,DATE($AD1583,4,1)&lt;=$AF1583),ROUND($AG1583,2),0))</f>
        <v/>
      </c>
      <c r="N1583" s="18">
        <f>IF($Z1583="","",IF(AND(DATE($AD1583,5,1)&gt;=$AE1583,DATE($AD1583,5,1)&lt;=$AF1583),ROUND($AG1583,2),0))</f>
        <v/>
      </c>
      <c r="O1583" s="18">
        <f>IF($Z1583="","",IF(AND(DATE($AD1583,6,1)&gt;=$AE1583,DATE($AD1583,6,1)&lt;=$AF1583),ROUND($AG1583,2),0))</f>
        <v/>
      </c>
      <c r="P1583" s="18">
        <f>IF($Z1583="","",IF(AND(DATE($AD1583,7,1)&gt;=$AE1583,DATE($AD1583,7,1)&lt;=$AF1583),ROUND($AG1583,2),0))</f>
        <v/>
      </c>
      <c r="Q1583" s="18">
        <f>IF($Z1583="","",IF(AND(DATE($AD1583,8,1)&gt;=$AE1583,DATE($AD1583,8,1)&lt;=$AF1583),ROUND($AG1583,2),0))</f>
        <v/>
      </c>
      <c r="R1583" s="18">
        <f>IF($Z1583="","",IF(AND(DATE($AD1583,9,1)&gt;=$AE1583,DATE($AD1583,9,1)&lt;=$AF1583),ROUND($AG1583,2),0))</f>
        <v/>
      </c>
      <c r="S1583" s="18">
        <f>IF($Z1583="","",IF(AND(DATE($AD1583,10,1)&gt;=$AE1583,DATE($AD1583,10,1)&lt;=$AF1583),ROUND($AG1583,2),0))</f>
        <v/>
      </c>
      <c r="T1583" s="18">
        <f>IF($Z1583="","",IF(AND(DATE($AD1583,11,1)&gt;=$AE1583,DATE($AD1583,11,1)&lt;=$AF1583),ROUND($AG1583,2),0))</f>
        <v/>
      </c>
      <c r="U1583" s="18">
        <f>IF($Z1583="","",IF(AND(DATE($AD1583,12,1)&gt;=$AE1583,DATE($AD1583,12,1)&lt;=$AF1583),ROUND($AG1583,2),0))</f>
        <v/>
      </c>
      <c r="V1583" s="7">
        <f>IF($Z1583="C","Generated from "&amp;INDEX(Contracts!$A$2:$A$151,$AB1583),IF($Z1583="A","Generated from "&amp;INDEX(Fixed_Assets!$A$2:$A$201,$AB1583),IF($Z1583="F","Generated from "&amp;INDEX(FTE_Allocation!$A$2:$A$201,$AB1583),"")))</f>
        <v/>
      </c>
      <c r="X1583" s="19">
        <f>IF($Z1583="","",SUM(J1583:U1583))</f>
        <v/>
      </c>
      <c r="Y1583" s="20">
        <f>ROW()-1</f>
        <v/>
      </c>
      <c r="Z1583" s="20">
        <f>IF($Y1583&lt;=Settings!$B$4*3,"C",IF($Y1583&lt;=(Settings!$B$4+Settings!$B$5)*3,"A",IF($Y1583&lt;=(Settings!$B$4+Settings!$B$5+Settings!$B$6)*3,"F","")))</f>
        <v/>
      </c>
      <c r="AA1583" s="20">
        <f>IF($Z1583="C",$Y1583,IF($Z1583="A",$Y1583-Settings!$B$4*3,IF($Z1583="F",$Y1583-(Settings!$B$4+Settings!$B$5)*3,"")))</f>
        <v/>
      </c>
      <c r="AB1583" s="20">
        <f>IF($Z1583="","",INT(($AA1583-1)/3)+1)</f>
        <v/>
      </c>
      <c r="AC1583" s="20">
        <f>IF($Z1583="","",MOD($AA1583-1,3)+1)</f>
        <v/>
      </c>
      <c r="AD1583" s="20">
        <f>IF($Z1583="","",Settings!$B$2+$AC1583-1)</f>
        <v/>
      </c>
      <c r="AE1583" s="21">
        <f>IF($Z1583="C",DATE(YEAR(INDEX(Contracts!$J$2:$J$151,$AB1583)),MONTH(INDEX(Contracts!$J$2:$J$151,$AB1583)),1),IF($Z1583="A",DATE(YEAR(INDEX(Fixed_Assets!$G$2:$G$201,$AB1583)),MONTH(INDEX(Fixed_Assets!$G$2:$G$201,$AB1583)),1),IF($Z1583="F",DATE(YEAR(MAX(N(INDEX(Workforce!$I$2:$I$151,MATCH(INDEX(FTE_Allocation!$A$2:$A$201,$AB1583),Workforce!$A$2:$A$151,0))),N(INDEX(FTE_Allocation!$I$2:$I$201,$AB1583)))),MONTH(MAX(N(INDEX(Workforce!$I$2:$I$151,MATCH(INDEX(FTE_Allocation!$A$2:$A$201,$AB1583),Workforce!$A$2:$A$151,0))),N(INDEX(FTE_Allocation!$I$2:$I$201,$AB1583)))),1),"")))</f>
        <v/>
      </c>
      <c r="AF1583" s="21">
        <f>IF($Z1583="C",IF(INDEX(Contracts!$I$2:$I$151,$AB1583)="PREPAID",EDATE(DATE(YEAR(INDEX(Contracts!$J$2:$J$151,$AB1583)),MONTH(INDEX(Contracts!$J$2:$J$151,$AB1583)),1),IF(INDEX(Contracts!$N$2:$N$151,$AB1583)="",12,INDEX(Contracts!$N$2:$N$151,$AB1583))-1),IF(INDEX(Contracts!$I$2:$I$151,$AB1583)="MONTHLY",IF(INDEX(Contracts!$K$2:$K$151,$AB1583)="",2958101,INDEX(Contracts!$K$2:$K$151,$AB1583)),0)),IF($Z1583="A",EDATE(DATE(YEAR(INDEX(Fixed_Assets!$G$2:$G$201,$AB1583)),MONTH(INDEX(Fixed_Assets!$G$2:$G$201,$AB1583)),1),INDEX(Fixed_Assets!$J$2:$J$201,$AB1583)-1),IF($Z1583="F",MIN(IF(INDEX(Workforce!$J$2:$J$151,MATCH(INDEX(FTE_Allocation!$A$2:$A$201,$AB1583),Workforce!$A$2:$A$151,0))="",2958101,INDEX(Workforce!$J$2:$J$151,MATCH(INDEX(FTE_Allocation!$A$2:$A$201,$AB1583),Workforce!$A$2:$A$151,0))),IF(INDEX(FTE_Allocation!$J$2:$J$201,$AB1583)="",2958101,INDEX(FTE_Allocation!$J$2:$J$201,$AB1583))),"")))</f>
        <v/>
      </c>
      <c r="AG1583" s="19">
        <f>IF($Z1583="C",IF(INDEX(Contracts!$I$2:$I$151,$AB1583)="PREPAID",INDEX(Contracts!$M$2:$M$151,$AB1583)/IF(INDEX(Contracts!$N$2:$N$151,$AB1583)="",12,INDEX(Contracts!$N$2:$N$151,$AB1583)),IF(INDEX(Contracts!$I$2:$I$151,$AB1583)="MONTHLY",INDEX(Contracts!$M$2:$M$151,$AB1583),0))*(1-N(INDEX(Contracts!$O$2:$O$151,$AB1583))),IF($Z1583="A",INDEX(Fixed_Assets!$H$2:$H$201,$AB1583)/INDEX(Fixed_Assets!$J$2:$J$201,$AB1583),IF($Z1583="F",INDEX(Workforce!$F$2:$F$151,MATCH(INDEX(FTE_Allocation!$A$2:$A$201,$AB1583),Workforce!$A$2:$A$151,0))*N(INDEX(FTE_Allocation!$F$2:$H$201,$AB1583,$AC1583)),"")))</f>
        <v/>
      </c>
    </row>
    <row r="1584">
      <c r="A1584" s="7">
        <f>IF($Z1584="","",$AD1584)</f>
        <v/>
      </c>
      <c r="B1584" s="7">
        <f>IF($Z1584="C",INDEX(Contracts!$D$2:$D$151,$AB1584)&amp;"",IF($Z1584="A",INDEX(Fixed_Assets!$C$2:$C$201,$AB1584)&amp;"",IF($Z1584="F",INDEX(Workforce!$B$2:$B$151,MATCH(INDEX(FTE_Allocation!$A$2:$A$201,$AB1584),Workforce!$A$2:$A$151,0))&amp;"","")))</f>
        <v/>
      </c>
      <c r="C1584" s="7">
        <f>IF($Z1584="C",INDEX(Contracts!$E$2:$E$151,$AB1584)&amp;"",IF($Z1584="A",INDEX(Fixed_Assets!$D$2:$D$201,$AB1584)&amp;"",IF($Z1584="F",INDEX(FTE_Allocation!$C$2:$C$201,$AB1584)&amp;"","")))</f>
        <v/>
      </c>
      <c r="D1584" s="7">
        <f>IF($Z1584="C",INDEX(Contracts!$B$2:$B$151,$AB1584)&amp;"",IF($Z1584="A",INDEX(Fixed_Assets!$B$2:$B$201,$AB1584)&amp;"",IF($Z1584="F",INDEX(FTE_Allocation!$B$2:$B$201,$AB1584)&amp;"","")))</f>
        <v/>
      </c>
      <c r="E1584" s="7">
        <f>IF($Z1584="C",INDEX(Contracts!$P$2:$P$151,$AB1584)&amp;"",IF($Z1584="A",INDEX(Fixed_Assets!$K$2:$K$201,$AB1584)&amp;"",IF($Z1584="F",IF(INDEX(FTE_Allocation!$D$2:$D$201,$AB1584)="PROJECT",IFERROR(INDEX(Projects!$D:$D,MATCH(INDEX(FTE_Allocation!$E$2:$E$201,$AB1584),Projects!$A:$A,0))&amp;"","#PROJECT?"),INDEX(FTE_Allocation!$E$2:$E$201,$AB1584)&amp;""),"")))</f>
        <v/>
      </c>
      <c r="F1584" s="7">
        <f>IF($Z1584="C",INDEX(Contracts!$Q$2:$Q$151,$AB1584)&amp;"",IF($Z1584="A",INDEX(Fixed_Assets!$L$2:$L$201,$AB1584)&amp;"",IF($Z1584="F",INDEX(Workforce!$K$2:$K$151,MATCH(INDEX(FTE_Allocation!$A$2:$A$201,$AB1584),Workforce!$A$2:$A$151,0))&amp;"","")))</f>
        <v/>
      </c>
      <c r="G1584" s="7">
        <f>IF($Z1584="C",INDEX(Contracts!$F$2:$F$151,$AB1584)&amp;" / "&amp;INDEX(Contracts!$G$2:$G$151,$AB1584),IF($Z1584="A",INDEX(Fixed_Assets!$E$2:$E$201,$AB1584)&amp;"",IF($Z1584="F","Personnel "&amp;INDEX(FTE_Allocation!$A$2:$A$201,$AB1584)&amp;IF(INDEX(FTE_Allocation!$D$2:$D$201,$AB1584)="PROJECT"," ("&amp;INDEX(FTE_Allocation!$E$2:$E$201,$AB1584)&amp;")",""),"")))</f>
        <v/>
      </c>
      <c r="H1584" s="7">
        <f>IF($Z1584="C","CONTRACT",IF($Z1584="A","ASSET",IF($Z1584="F","WORKFORCE","")))</f>
        <v/>
      </c>
      <c r="I1584" s="7">
        <f>IF($Z1584="C",INDEX(Contracts!$L$2:$L$151,$AB1584)&amp;"",IF($Z1584="A",INDEX(Fixed_Assets!$I$2:$I$201,$AB1584)&amp;"",IF($Z1584="F",INDEX(Workforce!$G$2:$G$151,MATCH(INDEX(FTE_Allocation!$A$2:$A$201,$AB1584),Workforce!$A$2:$A$151,0))&amp;"","")))</f>
        <v/>
      </c>
      <c r="J1584" s="18">
        <f>IF($Z1584="","",IF(AND(DATE($AD1584,1,1)&gt;=$AE1584,DATE($AD1584,1,1)&lt;=$AF1584),ROUND($AG1584,2),0))</f>
        <v/>
      </c>
      <c r="K1584" s="18">
        <f>IF($Z1584="","",IF(AND(DATE($AD1584,2,1)&gt;=$AE1584,DATE($AD1584,2,1)&lt;=$AF1584),ROUND($AG1584,2),0))</f>
        <v/>
      </c>
      <c r="L1584" s="18">
        <f>IF($Z1584="","",IF(AND(DATE($AD1584,3,1)&gt;=$AE1584,DATE($AD1584,3,1)&lt;=$AF1584),ROUND($AG1584,2),0))</f>
        <v/>
      </c>
      <c r="M1584" s="18">
        <f>IF($Z1584="","",IF(AND(DATE($AD1584,4,1)&gt;=$AE1584,DATE($AD1584,4,1)&lt;=$AF1584),ROUND($AG1584,2),0))</f>
        <v/>
      </c>
      <c r="N1584" s="18">
        <f>IF($Z1584="","",IF(AND(DATE($AD1584,5,1)&gt;=$AE1584,DATE($AD1584,5,1)&lt;=$AF1584),ROUND($AG1584,2),0))</f>
        <v/>
      </c>
      <c r="O1584" s="18">
        <f>IF($Z1584="","",IF(AND(DATE($AD1584,6,1)&gt;=$AE1584,DATE($AD1584,6,1)&lt;=$AF1584),ROUND($AG1584,2),0))</f>
        <v/>
      </c>
      <c r="P1584" s="18">
        <f>IF($Z1584="","",IF(AND(DATE($AD1584,7,1)&gt;=$AE1584,DATE($AD1584,7,1)&lt;=$AF1584),ROUND($AG1584,2),0))</f>
        <v/>
      </c>
      <c r="Q1584" s="18">
        <f>IF($Z1584="","",IF(AND(DATE($AD1584,8,1)&gt;=$AE1584,DATE($AD1584,8,1)&lt;=$AF1584),ROUND($AG1584,2),0))</f>
        <v/>
      </c>
      <c r="R1584" s="18">
        <f>IF($Z1584="","",IF(AND(DATE($AD1584,9,1)&gt;=$AE1584,DATE($AD1584,9,1)&lt;=$AF1584),ROUND($AG1584,2),0))</f>
        <v/>
      </c>
      <c r="S1584" s="18">
        <f>IF($Z1584="","",IF(AND(DATE($AD1584,10,1)&gt;=$AE1584,DATE($AD1584,10,1)&lt;=$AF1584),ROUND($AG1584,2),0))</f>
        <v/>
      </c>
      <c r="T1584" s="18">
        <f>IF($Z1584="","",IF(AND(DATE($AD1584,11,1)&gt;=$AE1584,DATE($AD1584,11,1)&lt;=$AF1584),ROUND($AG1584,2),0))</f>
        <v/>
      </c>
      <c r="U1584" s="18">
        <f>IF($Z1584="","",IF(AND(DATE($AD1584,12,1)&gt;=$AE1584,DATE($AD1584,12,1)&lt;=$AF1584),ROUND($AG1584,2),0))</f>
        <v/>
      </c>
      <c r="V1584" s="7">
        <f>IF($Z1584="C","Generated from "&amp;INDEX(Contracts!$A$2:$A$151,$AB1584),IF($Z1584="A","Generated from "&amp;INDEX(Fixed_Assets!$A$2:$A$201,$AB1584),IF($Z1584="F","Generated from "&amp;INDEX(FTE_Allocation!$A$2:$A$201,$AB1584),"")))</f>
        <v/>
      </c>
      <c r="X1584" s="19">
        <f>IF($Z1584="","",SUM(J1584:U1584))</f>
        <v/>
      </c>
      <c r="Y1584" s="20">
        <f>ROW()-1</f>
        <v/>
      </c>
      <c r="Z1584" s="20">
        <f>IF($Y1584&lt;=Settings!$B$4*3,"C",IF($Y1584&lt;=(Settings!$B$4+Settings!$B$5)*3,"A",IF($Y1584&lt;=(Settings!$B$4+Settings!$B$5+Settings!$B$6)*3,"F","")))</f>
        <v/>
      </c>
      <c r="AA1584" s="20">
        <f>IF($Z1584="C",$Y1584,IF($Z1584="A",$Y1584-Settings!$B$4*3,IF($Z1584="F",$Y1584-(Settings!$B$4+Settings!$B$5)*3,"")))</f>
        <v/>
      </c>
      <c r="AB1584" s="20">
        <f>IF($Z1584="","",INT(($AA1584-1)/3)+1)</f>
        <v/>
      </c>
      <c r="AC1584" s="20">
        <f>IF($Z1584="","",MOD($AA1584-1,3)+1)</f>
        <v/>
      </c>
      <c r="AD1584" s="20">
        <f>IF($Z1584="","",Settings!$B$2+$AC1584-1)</f>
        <v/>
      </c>
      <c r="AE1584" s="21">
        <f>IF($Z1584="C",DATE(YEAR(INDEX(Contracts!$J$2:$J$151,$AB1584)),MONTH(INDEX(Contracts!$J$2:$J$151,$AB1584)),1),IF($Z1584="A",DATE(YEAR(INDEX(Fixed_Assets!$G$2:$G$201,$AB1584)),MONTH(INDEX(Fixed_Assets!$G$2:$G$201,$AB1584)),1),IF($Z1584="F",DATE(YEAR(MAX(N(INDEX(Workforce!$I$2:$I$151,MATCH(INDEX(FTE_Allocation!$A$2:$A$201,$AB1584),Workforce!$A$2:$A$151,0))),N(INDEX(FTE_Allocation!$I$2:$I$201,$AB1584)))),MONTH(MAX(N(INDEX(Workforce!$I$2:$I$151,MATCH(INDEX(FTE_Allocation!$A$2:$A$201,$AB1584),Workforce!$A$2:$A$151,0))),N(INDEX(FTE_Allocation!$I$2:$I$201,$AB1584)))),1),"")))</f>
        <v/>
      </c>
      <c r="AF1584" s="21">
        <f>IF($Z1584="C",IF(INDEX(Contracts!$I$2:$I$151,$AB1584)="PREPAID",EDATE(DATE(YEAR(INDEX(Contracts!$J$2:$J$151,$AB1584)),MONTH(INDEX(Contracts!$J$2:$J$151,$AB1584)),1),IF(INDEX(Contracts!$N$2:$N$151,$AB1584)="",12,INDEX(Contracts!$N$2:$N$151,$AB1584))-1),IF(INDEX(Contracts!$I$2:$I$151,$AB1584)="MONTHLY",IF(INDEX(Contracts!$K$2:$K$151,$AB1584)="",2958101,INDEX(Contracts!$K$2:$K$151,$AB1584)),0)),IF($Z1584="A",EDATE(DATE(YEAR(INDEX(Fixed_Assets!$G$2:$G$201,$AB1584)),MONTH(INDEX(Fixed_Assets!$G$2:$G$201,$AB1584)),1),INDEX(Fixed_Assets!$J$2:$J$201,$AB1584)-1),IF($Z1584="F",MIN(IF(INDEX(Workforce!$J$2:$J$151,MATCH(INDEX(FTE_Allocation!$A$2:$A$201,$AB1584),Workforce!$A$2:$A$151,0))="",2958101,INDEX(Workforce!$J$2:$J$151,MATCH(INDEX(FTE_Allocation!$A$2:$A$201,$AB1584),Workforce!$A$2:$A$151,0))),IF(INDEX(FTE_Allocation!$J$2:$J$201,$AB1584)="",2958101,INDEX(FTE_Allocation!$J$2:$J$201,$AB1584))),"")))</f>
        <v/>
      </c>
      <c r="AG1584" s="19">
        <f>IF($Z1584="C",IF(INDEX(Contracts!$I$2:$I$151,$AB1584)="PREPAID",INDEX(Contracts!$M$2:$M$151,$AB1584)/IF(INDEX(Contracts!$N$2:$N$151,$AB1584)="",12,INDEX(Contracts!$N$2:$N$151,$AB1584)),IF(INDEX(Contracts!$I$2:$I$151,$AB1584)="MONTHLY",INDEX(Contracts!$M$2:$M$151,$AB1584),0))*(1-N(INDEX(Contracts!$O$2:$O$151,$AB1584))),IF($Z1584="A",INDEX(Fixed_Assets!$H$2:$H$201,$AB1584)/INDEX(Fixed_Assets!$J$2:$J$201,$AB1584),IF($Z1584="F",INDEX(Workforce!$F$2:$F$151,MATCH(INDEX(FTE_Allocation!$A$2:$A$201,$AB1584),Workforce!$A$2:$A$151,0))*N(INDEX(FTE_Allocation!$F$2:$H$201,$AB1584,$AC1584)),"")))</f>
        <v/>
      </c>
    </row>
    <row r="1585">
      <c r="A1585" s="7">
        <f>IF($Z1585="","",$AD1585)</f>
        <v/>
      </c>
      <c r="B1585" s="7">
        <f>IF($Z1585="C",INDEX(Contracts!$D$2:$D$151,$AB1585)&amp;"",IF($Z1585="A",INDEX(Fixed_Assets!$C$2:$C$201,$AB1585)&amp;"",IF($Z1585="F",INDEX(Workforce!$B$2:$B$151,MATCH(INDEX(FTE_Allocation!$A$2:$A$201,$AB1585),Workforce!$A$2:$A$151,0))&amp;"","")))</f>
        <v/>
      </c>
      <c r="C1585" s="7">
        <f>IF($Z1585="C",INDEX(Contracts!$E$2:$E$151,$AB1585)&amp;"",IF($Z1585="A",INDEX(Fixed_Assets!$D$2:$D$201,$AB1585)&amp;"",IF($Z1585="F",INDEX(FTE_Allocation!$C$2:$C$201,$AB1585)&amp;"","")))</f>
        <v/>
      </c>
      <c r="D1585" s="7">
        <f>IF($Z1585="C",INDEX(Contracts!$B$2:$B$151,$AB1585)&amp;"",IF($Z1585="A",INDEX(Fixed_Assets!$B$2:$B$201,$AB1585)&amp;"",IF($Z1585="F",INDEX(FTE_Allocation!$B$2:$B$201,$AB1585)&amp;"","")))</f>
        <v/>
      </c>
      <c r="E1585" s="7">
        <f>IF($Z1585="C",INDEX(Contracts!$P$2:$P$151,$AB1585)&amp;"",IF($Z1585="A",INDEX(Fixed_Assets!$K$2:$K$201,$AB1585)&amp;"",IF($Z1585="F",IF(INDEX(FTE_Allocation!$D$2:$D$201,$AB1585)="PROJECT",IFERROR(INDEX(Projects!$D:$D,MATCH(INDEX(FTE_Allocation!$E$2:$E$201,$AB1585),Projects!$A:$A,0))&amp;"","#PROJECT?"),INDEX(FTE_Allocation!$E$2:$E$201,$AB1585)&amp;""),"")))</f>
        <v/>
      </c>
      <c r="F1585" s="7">
        <f>IF($Z1585="C",INDEX(Contracts!$Q$2:$Q$151,$AB1585)&amp;"",IF($Z1585="A",INDEX(Fixed_Assets!$L$2:$L$201,$AB1585)&amp;"",IF($Z1585="F",INDEX(Workforce!$K$2:$K$151,MATCH(INDEX(FTE_Allocation!$A$2:$A$201,$AB1585),Workforce!$A$2:$A$151,0))&amp;"","")))</f>
        <v/>
      </c>
      <c r="G1585" s="7">
        <f>IF($Z1585="C",INDEX(Contracts!$F$2:$F$151,$AB1585)&amp;" / "&amp;INDEX(Contracts!$G$2:$G$151,$AB1585),IF($Z1585="A",INDEX(Fixed_Assets!$E$2:$E$201,$AB1585)&amp;"",IF($Z1585="F","Personnel "&amp;INDEX(FTE_Allocation!$A$2:$A$201,$AB1585)&amp;IF(INDEX(FTE_Allocation!$D$2:$D$201,$AB1585)="PROJECT"," ("&amp;INDEX(FTE_Allocation!$E$2:$E$201,$AB1585)&amp;")",""),"")))</f>
        <v/>
      </c>
      <c r="H1585" s="7">
        <f>IF($Z1585="C","CONTRACT",IF($Z1585="A","ASSET",IF($Z1585="F","WORKFORCE","")))</f>
        <v/>
      </c>
      <c r="I1585" s="7">
        <f>IF($Z1585="C",INDEX(Contracts!$L$2:$L$151,$AB1585)&amp;"",IF($Z1585="A",INDEX(Fixed_Assets!$I$2:$I$201,$AB1585)&amp;"",IF($Z1585="F",INDEX(Workforce!$G$2:$G$151,MATCH(INDEX(FTE_Allocation!$A$2:$A$201,$AB1585),Workforce!$A$2:$A$151,0))&amp;"","")))</f>
        <v/>
      </c>
      <c r="J1585" s="18">
        <f>IF($Z1585="","",IF(AND(DATE($AD1585,1,1)&gt;=$AE1585,DATE($AD1585,1,1)&lt;=$AF1585),ROUND($AG1585,2),0))</f>
        <v/>
      </c>
      <c r="K1585" s="18">
        <f>IF($Z1585="","",IF(AND(DATE($AD1585,2,1)&gt;=$AE1585,DATE($AD1585,2,1)&lt;=$AF1585),ROUND($AG1585,2),0))</f>
        <v/>
      </c>
      <c r="L1585" s="18">
        <f>IF($Z1585="","",IF(AND(DATE($AD1585,3,1)&gt;=$AE1585,DATE($AD1585,3,1)&lt;=$AF1585),ROUND($AG1585,2),0))</f>
        <v/>
      </c>
      <c r="M1585" s="18">
        <f>IF($Z1585="","",IF(AND(DATE($AD1585,4,1)&gt;=$AE1585,DATE($AD1585,4,1)&lt;=$AF1585),ROUND($AG1585,2),0))</f>
        <v/>
      </c>
      <c r="N1585" s="18">
        <f>IF($Z1585="","",IF(AND(DATE($AD1585,5,1)&gt;=$AE1585,DATE($AD1585,5,1)&lt;=$AF1585),ROUND($AG1585,2),0))</f>
        <v/>
      </c>
      <c r="O1585" s="18">
        <f>IF($Z1585="","",IF(AND(DATE($AD1585,6,1)&gt;=$AE1585,DATE($AD1585,6,1)&lt;=$AF1585),ROUND($AG1585,2),0))</f>
        <v/>
      </c>
      <c r="P1585" s="18">
        <f>IF($Z1585="","",IF(AND(DATE($AD1585,7,1)&gt;=$AE1585,DATE($AD1585,7,1)&lt;=$AF1585),ROUND($AG1585,2),0))</f>
        <v/>
      </c>
      <c r="Q1585" s="18">
        <f>IF($Z1585="","",IF(AND(DATE($AD1585,8,1)&gt;=$AE1585,DATE($AD1585,8,1)&lt;=$AF1585),ROUND($AG1585,2),0))</f>
        <v/>
      </c>
      <c r="R1585" s="18">
        <f>IF($Z1585="","",IF(AND(DATE($AD1585,9,1)&gt;=$AE1585,DATE($AD1585,9,1)&lt;=$AF1585),ROUND($AG1585,2),0))</f>
        <v/>
      </c>
      <c r="S1585" s="18">
        <f>IF($Z1585="","",IF(AND(DATE($AD1585,10,1)&gt;=$AE1585,DATE($AD1585,10,1)&lt;=$AF1585),ROUND($AG1585,2),0))</f>
        <v/>
      </c>
      <c r="T1585" s="18">
        <f>IF($Z1585="","",IF(AND(DATE($AD1585,11,1)&gt;=$AE1585,DATE($AD1585,11,1)&lt;=$AF1585),ROUND($AG1585,2),0))</f>
        <v/>
      </c>
      <c r="U1585" s="18">
        <f>IF($Z1585="","",IF(AND(DATE($AD1585,12,1)&gt;=$AE1585,DATE($AD1585,12,1)&lt;=$AF1585),ROUND($AG1585,2),0))</f>
        <v/>
      </c>
      <c r="V1585" s="7">
        <f>IF($Z1585="C","Generated from "&amp;INDEX(Contracts!$A$2:$A$151,$AB1585),IF($Z1585="A","Generated from "&amp;INDEX(Fixed_Assets!$A$2:$A$201,$AB1585),IF($Z1585="F","Generated from "&amp;INDEX(FTE_Allocation!$A$2:$A$201,$AB1585),"")))</f>
        <v/>
      </c>
      <c r="X1585" s="19">
        <f>IF($Z1585="","",SUM(J1585:U1585))</f>
        <v/>
      </c>
      <c r="Y1585" s="20">
        <f>ROW()-1</f>
        <v/>
      </c>
      <c r="Z1585" s="20">
        <f>IF($Y1585&lt;=Settings!$B$4*3,"C",IF($Y1585&lt;=(Settings!$B$4+Settings!$B$5)*3,"A",IF($Y1585&lt;=(Settings!$B$4+Settings!$B$5+Settings!$B$6)*3,"F","")))</f>
        <v/>
      </c>
      <c r="AA1585" s="20">
        <f>IF($Z1585="C",$Y1585,IF($Z1585="A",$Y1585-Settings!$B$4*3,IF($Z1585="F",$Y1585-(Settings!$B$4+Settings!$B$5)*3,"")))</f>
        <v/>
      </c>
      <c r="AB1585" s="20">
        <f>IF($Z1585="","",INT(($AA1585-1)/3)+1)</f>
        <v/>
      </c>
      <c r="AC1585" s="20">
        <f>IF($Z1585="","",MOD($AA1585-1,3)+1)</f>
        <v/>
      </c>
      <c r="AD1585" s="20">
        <f>IF($Z1585="","",Settings!$B$2+$AC1585-1)</f>
        <v/>
      </c>
      <c r="AE1585" s="21">
        <f>IF($Z1585="C",DATE(YEAR(INDEX(Contracts!$J$2:$J$151,$AB1585)),MONTH(INDEX(Contracts!$J$2:$J$151,$AB1585)),1),IF($Z1585="A",DATE(YEAR(INDEX(Fixed_Assets!$G$2:$G$201,$AB1585)),MONTH(INDEX(Fixed_Assets!$G$2:$G$201,$AB1585)),1),IF($Z1585="F",DATE(YEAR(MAX(N(INDEX(Workforce!$I$2:$I$151,MATCH(INDEX(FTE_Allocation!$A$2:$A$201,$AB1585),Workforce!$A$2:$A$151,0))),N(INDEX(FTE_Allocation!$I$2:$I$201,$AB1585)))),MONTH(MAX(N(INDEX(Workforce!$I$2:$I$151,MATCH(INDEX(FTE_Allocation!$A$2:$A$201,$AB1585),Workforce!$A$2:$A$151,0))),N(INDEX(FTE_Allocation!$I$2:$I$201,$AB1585)))),1),"")))</f>
        <v/>
      </c>
      <c r="AF1585" s="21">
        <f>IF($Z1585="C",IF(INDEX(Contracts!$I$2:$I$151,$AB1585)="PREPAID",EDATE(DATE(YEAR(INDEX(Contracts!$J$2:$J$151,$AB1585)),MONTH(INDEX(Contracts!$J$2:$J$151,$AB1585)),1),IF(INDEX(Contracts!$N$2:$N$151,$AB1585)="",12,INDEX(Contracts!$N$2:$N$151,$AB1585))-1),IF(INDEX(Contracts!$I$2:$I$151,$AB1585)="MONTHLY",IF(INDEX(Contracts!$K$2:$K$151,$AB1585)="",2958101,INDEX(Contracts!$K$2:$K$151,$AB1585)),0)),IF($Z1585="A",EDATE(DATE(YEAR(INDEX(Fixed_Assets!$G$2:$G$201,$AB1585)),MONTH(INDEX(Fixed_Assets!$G$2:$G$201,$AB1585)),1),INDEX(Fixed_Assets!$J$2:$J$201,$AB1585)-1),IF($Z1585="F",MIN(IF(INDEX(Workforce!$J$2:$J$151,MATCH(INDEX(FTE_Allocation!$A$2:$A$201,$AB1585),Workforce!$A$2:$A$151,0))="",2958101,INDEX(Workforce!$J$2:$J$151,MATCH(INDEX(FTE_Allocation!$A$2:$A$201,$AB1585),Workforce!$A$2:$A$151,0))),IF(INDEX(FTE_Allocation!$J$2:$J$201,$AB1585)="",2958101,INDEX(FTE_Allocation!$J$2:$J$201,$AB1585))),"")))</f>
        <v/>
      </c>
      <c r="AG1585" s="19">
        <f>IF($Z1585="C",IF(INDEX(Contracts!$I$2:$I$151,$AB1585)="PREPAID",INDEX(Contracts!$M$2:$M$151,$AB1585)/IF(INDEX(Contracts!$N$2:$N$151,$AB1585)="",12,INDEX(Contracts!$N$2:$N$151,$AB1585)),IF(INDEX(Contracts!$I$2:$I$151,$AB1585)="MONTHLY",INDEX(Contracts!$M$2:$M$151,$AB1585),0))*(1-N(INDEX(Contracts!$O$2:$O$151,$AB1585))),IF($Z1585="A",INDEX(Fixed_Assets!$H$2:$H$201,$AB1585)/INDEX(Fixed_Assets!$J$2:$J$201,$AB1585),IF($Z1585="F",INDEX(Workforce!$F$2:$F$151,MATCH(INDEX(FTE_Allocation!$A$2:$A$201,$AB1585),Workforce!$A$2:$A$151,0))*N(INDEX(FTE_Allocation!$F$2:$H$201,$AB1585,$AC1585)),"")))</f>
        <v/>
      </c>
    </row>
    <row r="1586">
      <c r="A1586" s="7">
        <f>IF($Z1586="","",$AD1586)</f>
        <v/>
      </c>
      <c r="B1586" s="7">
        <f>IF($Z1586="C",INDEX(Contracts!$D$2:$D$151,$AB1586)&amp;"",IF($Z1586="A",INDEX(Fixed_Assets!$C$2:$C$201,$AB1586)&amp;"",IF($Z1586="F",INDEX(Workforce!$B$2:$B$151,MATCH(INDEX(FTE_Allocation!$A$2:$A$201,$AB1586),Workforce!$A$2:$A$151,0))&amp;"","")))</f>
        <v/>
      </c>
      <c r="C1586" s="7">
        <f>IF($Z1586="C",INDEX(Contracts!$E$2:$E$151,$AB1586)&amp;"",IF($Z1586="A",INDEX(Fixed_Assets!$D$2:$D$201,$AB1586)&amp;"",IF($Z1586="F",INDEX(FTE_Allocation!$C$2:$C$201,$AB1586)&amp;"","")))</f>
        <v/>
      </c>
      <c r="D1586" s="7">
        <f>IF($Z1586="C",INDEX(Contracts!$B$2:$B$151,$AB1586)&amp;"",IF($Z1586="A",INDEX(Fixed_Assets!$B$2:$B$201,$AB1586)&amp;"",IF($Z1586="F",INDEX(FTE_Allocation!$B$2:$B$201,$AB1586)&amp;"","")))</f>
        <v/>
      </c>
      <c r="E1586" s="7">
        <f>IF($Z1586="C",INDEX(Contracts!$P$2:$P$151,$AB1586)&amp;"",IF($Z1586="A",INDEX(Fixed_Assets!$K$2:$K$201,$AB1586)&amp;"",IF($Z1586="F",IF(INDEX(FTE_Allocation!$D$2:$D$201,$AB1586)="PROJECT",IFERROR(INDEX(Projects!$D:$D,MATCH(INDEX(FTE_Allocation!$E$2:$E$201,$AB1586),Projects!$A:$A,0))&amp;"","#PROJECT?"),INDEX(FTE_Allocation!$E$2:$E$201,$AB1586)&amp;""),"")))</f>
        <v/>
      </c>
      <c r="F1586" s="7">
        <f>IF($Z1586="C",INDEX(Contracts!$Q$2:$Q$151,$AB1586)&amp;"",IF($Z1586="A",INDEX(Fixed_Assets!$L$2:$L$201,$AB1586)&amp;"",IF($Z1586="F",INDEX(Workforce!$K$2:$K$151,MATCH(INDEX(FTE_Allocation!$A$2:$A$201,$AB1586),Workforce!$A$2:$A$151,0))&amp;"","")))</f>
        <v/>
      </c>
      <c r="G1586" s="7">
        <f>IF($Z1586="C",INDEX(Contracts!$F$2:$F$151,$AB1586)&amp;" / "&amp;INDEX(Contracts!$G$2:$G$151,$AB1586),IF($Z1586="A",INDEX(Fixed_Assets!$E$2:$E$201,$AB1586)&amp;"",IF($Z1586="F","Personnel "&amp;INDEX(FTE_Allocation!$A$2:$A$201,$AB1586)&amp;IF(INDEX(FTE_Allocation!$D$2:$D$201,$AB1586)="PROJECT"," ("&amp;INDEX(FTE_Allocation!$E$2:$E$201,$AB1586)&amp;")",""),"")))</f>
        <v/>
      </c>
      <c r="H1586" s="7">
        <f>IF($Z1586="C","CONTRACT",IF($Z1586="A","ASSET",IF($Z1586="F","WORKFORCE","")))</f>
        <v/>
      </c>
      <c r="I1586" s="7">
        <f>IF($Z1586="C",INDEX(Contracts!$L$2:$L$151,$AB1586)&amp;"",IF($Z1586="A",INDEX(Fixed_Assets!$I$2:$I$201,$AB1586)&amp;"",IF($Z1586="F",INDEX(Workforce!$G$2:$G$151,MATCH(INDEX(FTE_Allocation!$A$2:$A$201,$AB1586),Workforce!$A$2:$A$151,0))&amp;"","")))</f>
        <v/>
      </c>
      <c r="J1586" s="18">
        <f>IF($Z1586="","",IF(AND(DATE($AD1586,1,1)&gt;=$AE1586,DATE($AD1586,1,1)&lt;=$AF1586),ROUND($AG1586,2),0))</f>
        <v/>
      </c>
      <c r="K1586" s="18">
        <f>IF($Z1586="","",IF(AND(DATE($AD1586,2,1)&gt;=$AE1586,DATE($AD1586,2,1)&lt;=$AF1586),ROUND($AG1586,2),0))</f>
        <v/>
      </c>
      <c r="L1586" s="18">
        <f>IF($Z1586="","",IF(AND(DATE($AD1586,3,1)&gt;=$AE1586,DATE($AD1586,3,1)&lt;=$AF1586),ROUND($AG1586,2),0))</f>
        <v/>
      </c>
      <c r="M1586" s="18">
        <f>IF($Z1586="","",IF(AND(DATE($AD1586,4,1)&gt;=$AE1586,DATE($AD1586,4,1)&lt;=$AF1586),ROUND($AG1586,2),0))</f>
        <v/>
      </c>
      <c r="N1586" s="18">
        <f>IF($Z1586="","",IF(AND(DATE($AD1586,5,1)&gt;=$AE1586,DATE($AD1586,5,1)&lt;=$AF1586),ROUND($AG1586,2),0))</f>
        <v/>
      </c>
      <c r="O1586" s="18">
        <f>IF($Z1586="","",IF(AND(DATE($AD1586,6,1)&gt;=$AE1586,DATE($AD1586,6,1)&lt;=$AF1586),ROUND($AG1586,2),0))</f>
        <v/>
      </c>
      <c r="P1586" s="18">
        <f>IF($Z1586="","",IF(AND(DATE($AD1586,7,1)&gt;=$AE1586,DATE($AD1586,7,1)&lt;=$AF1586),ROUND($AG1586,2),0))</f>
        <v/>
      </c>
      <c r="Q1586" s="18">
        <f>IF($Z1586="","",IF(AND(DATE($AD1586,8,1)&gt;=$AE1586,DATE($AD1586,8,1)&lt;=$AF1586),ROUND($AG1586,2),0))</f>
        <v/>
      </c>
      <c r="R1586" s="18">
        <f>IF($Z1586="","",IF(AND(DATE($AD1586,9,1)&gt;=$AE1586,DATE($AD1586,9,1)&lt;=$AF1586),ROUND($AG1586,2),0))</f>
        <v/>
      </c>
      <c r="S1586" s="18">
        <f>IF($Z1586="","",IF(AND(DATE($AD1586,10,1)&gt;=$AE1586,DATE($AD1586,10,1)&lt;=$AF1586),ROUND($AG1586,2),0))</f>
        <v/>
      </c>
      <c r="T1586" s="18">
        <f>IF($Z1586="","",IF(AND(DATE($AD1586,11,1)&gt;=$AE1586,DATE($AD1586,11,1)&lt;=$AF1586),ROUND($AG1586,2),0))</f>
        <v/>
      </c>
      <c r="U1586" s="18">
        <f>IF($Z1586="","",IF(AND(DATE($AD1586,12,1)&gt;=$AE1586,DATE($AD1586,12,1)&lt;=$AF1586),ROUND($AG1586,2),0))</f>
        <v/>
      </c>
      <c r="V1586" s="7">
        <f>IF($Z1586="C","Generated from "&amp;INDEX(Contracts!$A$2:$A$151,$AB1586),IF($Z1586="A","Generated from "&amp;INDEX(Fixed_Assets!$A$2:$A$201,$AB1586),IF($Z1586="F","Generated from "&amp;INDEX(FTE_Allocation!$A$2:$A$201,$AB1586),"")))</f>
        <v/>
      </c>
      <c r="X1586" s="19">
        <f>IF($Z1586="","",SUM(J1586:U1586))</f>
        <v/>
      </c>
      <c r="Y1586" s="20">
        <f>ROW()-1</f>
        <v/>
      </c>
      <c r="Z1586" s="20">
        <f>IF($Y1586&lt;=Settings!$B$4*3,"C",IF($Y1586&lt;=(Settings!$B$4+Settings!$B$5)*3,"A",IF($Y1586&lt;=(Settings!$B$4+Settings!$B$5+Settings!$B$6)*3,"F","")))</f>
        <v/>
      </c>
      <c r="AA1586" s="20">
        <f>IF($Z1586="C",$Y1586,IF($Z1586="A",$Y1586-Settings!$B$4*3,IF($Z1586="F",$Y1586-(Settings!$B$4+Settings!$B$5)*3,"")))</f>
        <v/>
      </c>
      <c r="AB1586" s="20">
        <f>IF($Z1586="","",INT(($AA1586-1)/3)+1)</f>
        <v/>
      </c>
      <c r="AC1586" s="20">
        <f>IF($Z1586="","",MOD($AA1586-1,3)+1)</f>
        <v/>
      </c>
      <c r="AD1586" s="20">
        <f>IF($Z1586="","",Settings!$B$2+$AC1586-1)</f>
        <v/>
      </c>
      <c r="AE1586" s="21">
        <f>IF($Z1586="C",DATE(YEAR(INDEX(Contracts!$J$2:$J$151,$AB1586)),MONTH(INDEX(Contracts!$J$2:$J$151,$AB1586)),1),IF($Z1586="A",DATE(YEAR(INDEX(Fixed_Assets!$G$2:$G$201,$AB1586)),MONTH(INDEX(Fixed_Assets!$G$2:$G$201,$AB1586)),1),IF($Z1586="F",DATE(YEAR(MAX(N(INDEX(Workforce!$I$2:$I$151,MATCH(INDEX(FTE_Allocation!$A$2:$A$201,$AB1586),Workforce!$A$2:$A$151,0))),N(INDEX(FTE_Allocation!$I$2:$I$201,$AB1586)))),MONTH(MAX(N(INDEX(Workforce!$I$2:$I$151,MATCH(INDEX(FTE_Allocation!$A$2:$A$201,$AB1586),Workforce!$A$2:$A$151,0))),N(INDEX(FTE_Allocation!$I$2:$I$201,$AB1586)))),1),"")))</f>
        <v/>
      </c>
      <c r="AF1586" s="21">
        <f>IF($Z1586="C",IF(INDEX(Contracts!$I$2:$I$151,$AB1586)="PREPAID",EDATE(DATE(YEAR(INDEX(Contracts!$J$2:$J$151,$AB1586)),MONTH(INDEX(Contracts!$J$2:$J$151,$AB1586)),1),IF(INDEX(Contracts!$N$2:$N$151,$AB1586)="",12,INDEX(Contracts!$N$2:$N$151,$AB1586))-1),IF(INDEX(Contracts!$I$2:$I$151,$AB1586)="MONTHLY",IF(INDEX(Contracts!$K$2:$K$151,$AB1586)="",2958101,INDEX(Contracts!$K$2:$K$151,$AB1586)),0)),IF($Z1586="A",EDATE(DATE(YEAR(INDEX(Fixed_Assets!$G$2:$G$201,$AB1586)),MONTH(INDEX(Fixed_Assets!$G$2:$G$201,$AB1586)),1),INDEX(Fixed_Assets!$J$2:$J$201,$AB1586)-1),IF($Z1586="F",MIN(IF(INDEX(Workforce!$J$2:$J$151,MATCH(INDEX(FTE_Allocation!$A$2:$A$201,$AB1586),Workforce!$A$2:$A$151,0))="",2958101,INDEX(Workforce!$J$2:$J$151,MATCH(INDEX(FTE_Allocation!$A$2:$A$201,$AB1586),Workforce!$A$2:$A$151,0))),IF(INDEX(FTE_Allocation!$J$2:$J$201,$AB1586)="",2958101,INDEX(FTE_Allocation!$J$2:$J$201,$AB1586))),"")))</f>
        <v/>
      </c>
      <c r="AG1586" s="19">
        <f>IF($Z1586="C",IF(INDEX(Contracts!$I$2:$I$151,$AB1586)="PREPAID",INDEX(Contracts!$M$2:$M$151,$AB1586)/IF(INDEX(Contracts!$N$2:$N$151,$AB1586)="",12,INDEX(Contracts!$N$2:$N$151,$AB1586)),IF(INDEX(Contracts!$I$2:$I$151,$AB1586)="MONTHLY",INDEX(Contracts!$M$2:$M$151,$AB1586),0))*(1-N(INDEX(Contracts!$O$2:$O$151,$AB1586))),IF($Z1586="A",INDEX(Fixed_Assets!$H$2:$H$201,$AB1586)/INDEX(Fixed_Assets!$J$2:$J$201,$AB1586),IF($Z1586="F",INDEX(Workforce!$F$2:$F$151,MATCH(INDEX(FTE_Allocation!$A$2:$A$201,$AB1586),Workforce!$A$2:$A$151,0))*N(INDEX(FTE_Allocation!$F$2:$H$201,$AB1586,$AC1586)),"")))</f>
        <v/>
      </c>
    </row>
    <row r="1587">
      <c r="A1587" s="7">
        <f>IF($Z1587="","",$AD1587)</f>
        <v/>
      </c>
      <c r="B1587" s="7">
        <f>IF($Z1587="C",INDEX(Contracts!$D$2:$D$151,$AB1587)&amp;"",IF($Z1587="A",INDEX(Fixed_Assets!$C$2:$C$201,$AB1587)&amp;"",IF($Z1587="F",INDEX(Workforce!$B$2:$B$151,MATCH(INDEX(FTE_Allocation!$A$2:$A$201,$AB1587),Workforce!$A$2:$A$151,0))&amp;"","")))</f>
        <v/>
      </c>
      <c r="C1587" s="7">
        <f>IF($Z1587="C",INDEX(Contracts!$E$2:$E$151,$AB1587)&amp;"",IF($Z1587="A",INDEX(Fixed_Assets!$D$2:$D$201,$AB1587)&amp;"",IF($Z1587="F",INDEX(FTE_Allocation!$C$2:$C$201,$AB1587)&amp;"","")))</f>
        <v/>
      </c>
      <c r="D1587" s="7">
        <f>IF($Z1587="C",INDEX(Contracts!$B$2:$B$151,$AB1587)&amp;"",IF($Z1587="A",INDEX(Fixed_Assets!$B$2:$B$201,$AB1587)&amp;"",IF($Z1587="F",INDEX(FTE_Allocation!$B$2:$B$201,$AB1587)&amp;"","")))</f>
        <v/>
      </c>
      <c r="E1587" s="7">
        <f>IF($Z1587="C",INDEX(Contracts!$P$2:$P$151,$AB1587)&amp;"",IF($Z1587="A",INDEX(Fixed_Assets!$K$2:$K$201,$AB1587)&amp;"",IF($Z1587="F",IF(INDEX(FTE_Allocation!$D$2:$D$201,$AB1587)="PROJECT",IFERROR(INDEX(Projects!$D:$D,MATCH(INDEX(FTE_Allocation!$E$2:$E$201,$AB1587),Projects!$A:$A,0))&amp;"","#PROJECT?"),INDEX(FTE_Allocation!$E$2:$E$201,$AB1587)&amp;""),"")))</f>
        <v/>
      </c>
      <c r="F1587" s="7">
        <f>IF($Z1587="C",INDEX(Contracts!$Q$2:$Q$151,$AB1587)&amp;"",IF($Z1587="A",INDEX(Fixed_Assets!$L$2:$L$201,$AB1587)&amp;"",IF($Z1587="F",INDEX(Workforce!$K$2:$K$151,MATCH(INDEX(FTE_Allocation!$A$2:$A$201,$AB1587),Workforce!$A$2:$A$151,0))&amp;"","")))</f>
        <v/>
      </c>
      <c r="G1587" s="7">
        <f>IF($Z1587="C",INDEX(Contracts!$F$2:$F$151,$AB1587)&amp;" / "&amp;INDEX(Contracts!$G$2:$G$151,$AB1587),IF($Z1587="A",INDEX(Fixed_Assets!$E$2:$E$201,$AB1587)&amp;"",IF($Z1587="F","Personnel "&amp;INDEX(FTE_Allocation!$A$2:$A$201,$AB1587)&amp;IF(INDEX(FTE_Allocation!$D$2:$D$201,$AB1587)="PROJECT"," ("&amp;INDEX(FTE_Allocation!$E$2:$E$201,$AB1587)&amp;")",""),"")))</f>
        <v/>
      </c>
      <c r="H1587" s="7">
        <f>IF($Z1587="C","CONTRACT",IF($Z1587="A","ASSET",IF($Z1587="F","WORKFORCE","")))</f>
        <v/>
      </c>
      <c r="I1587" s="7">
        <f>IF($Z1587="C",INDEX(Contracts!$L$2:$L$151,$AB1587)&amp;"",IF($Z1587="A",INDEX(Fixed_Assets!$I$2:$I$201,$AB1587)&amp;"",IF($Z1587="F",INDEX(Workforce!$G$2:$G$151,MATCH(INDEX(FTE_Allocation!$A$2:$A$201,$AB1587),Workforce!$A$2:$A$151,0))&amp;"","")))</f>
        <v/>
      </c>
      <c r="J1587" s="18">
        <f>IF($Z1587="","",IF(AND(DATE($AD1587,1,1)&gt;=$AE1587,DATE($AD1587,1,1)&lt;=$AF1587),ROUND($AG1587,2),0))</f>
        <v/>
      </c>
      <c r="K1587" s="18">
        <f>IF($Z1587="","",IF(AND(DATE($AD1587,2,1)&gt;=$AE1587,DATE($AD1587,2,1)&lt;=$AF1587),ROUND($AG1587,2),0))</f>
        <v/>
      </c>
      <c r="L1587" s="18">
        <f>IF($Z1587="","",IF(AND(DATE($AD1587,3,1)&gt;=$AE1587,DATE($AD1587,3,1)&lt;=$AF1587),ROUND($AG1587,2),0))</f>
        <v/>
      </c>
      <c r="M1587" s="18">
        <f>IF($Z1587="","",IF(AND(DATE($AD1587,4,1)&gt;=$AE1587,DATE($AD1587,4,1)&lt;=$AF1587),ROUND($AG1587,2),0))</f>
        <v/>
      </c>
      <c r="N1587" s="18">
        <f>IF($Z1587="","",IF(AND(DATE($AD1587,5,1)&gt;=$AE1587,DATE($AD1587,5,1)&lt;=$AF1587),ROUND($AG1587,2),0))</f>
        <v/>
      </c>
      <c r="O1587" s="18">
        <f>IF($Z1587="","",IF(AND(DATE($AD1587,6,1)&gt;=$AE1587,DATE($AD1587,6,1)&lt;=$AF1587),ROUND($AG1587,2),0))</f>
        <v/>
      </c>
      <c r="P1587" s="18">
        <f>IF($Z1587="","",IF(AND(DATE($AD1587,7,1)&gt;=$AE1587,DATE($AD1587,7,1)&lt;=$AF1587),ROUND($AG1587,2),0))</f>
        <v/>
      </c>
      <c r="Q1587" s="18">
        <f>IF($Z1587="","",IF(AND(DATE($AD1587,8,1)&gt;=$AE1587,DATE($AD1587,8,1)&lt;=$AF1587),ROUND($AG1587,2),0))</f>
        <v/>
      </c>
      <c r="R1587" s="18">
        <f>IF($Z1587="","",IF(AND(DATE($AD1587,9,1)&gt;=$AE1587,DATE($AD1587,9,1)&lt;=$AF1587),ROUND($AG1587,2),0))</f>
        <v/>
      </c>
      <c r="S1587" s="18">
        <f>IF($Z1587="","",IF(AND(DATE($AD1587,10,1)&gt;=$AE1587,DATE($AD1587,10,1)&lt;=$AF1587),ROUND($AG1587,2),0))</f>
        <v/>
      </c>
      <c r="T1587" s="18">
        <f>IF($Z1587="","",IF(AND(DATE($AD1587,11,1)&gt;=$AE1587,DATE($AD1587,11,1)&lt;=$AF1587),ROUND($AG1587,2),0))</f>
        <v/>
      </c>
      <c r="U1587" s="18">
        <f>IF($Z1587="","",IF(AND(DATE($AD1587,12,1)&gt;=$AE1587,DATE($AD1587,12,1)&lt;=$AF1587),ROUND($AG1587,2),0))</f>
        <v/>
      </c>
      <c r="V1587" s="7">
        <f>IF($Z1587="C","Generated from "&amp;INDEX(Contracts!$A$2:$A$151,$AB1587),IF($Z1587="A","Generated from "&amp;INDEX(Fixed_Assets!$A$2:$A$201,$AB1587),IF($Z1587="F","Generated from "&amp;INDEX(FTE_Allocation!$A$2:$A$201,$AB1587),"")))</f>
        <v/>
      </c>
      <c r="X1587" s="19">
        <f>IF($Z1587="","",SUM(J1587:U1587))</f>
        <v/>
      </c>
      <c r="Y1587" s="20">
        <f>ROW()-1</f>
        <v/>
      </c>
      <c r="Z1587" s="20">
        <f>IF($Y1587&lt;=Settings!$B$4*3,"C",IF($Y1587&lt;=(Settings!$B$4+Settings!$B$5)*3,"A",IF($Y1587&lt;=(Settings!$B$4+Settings!$B$5+Settings!$B$6)*3,"F","")))</f>
        <v/>
      </c>
      <c r="AA1587" s="20">
        <f>IF($Z1587="C",$Y1587,IF($Z1587="A",$Y1587-Settings!$B$4*3,IF($Z1587="F",$Y1587-(Settings!$B$4+Settings!$B$5)*3,"")))</f>
        <v/>
      </c>
      <c r="AB1587" s="20">
        <f>IF($Z1587="","",INT(($AA1587-1)/3)+1)</f>
        <v/>
      </c>
      <c r="AC1587" s="20">
        <f>IF($Z1587="","",MOD($AA1587-1,3)+1)</f>
        <v/>
      </c>
      <c r="AD1587" s="20">
        <f>IF($Z1587="","",Settings!$B$2+$AC1587-1)</f>
        <v/>
      </c>
      <c r="AE1587" s="21">
        <f>IF($Z1587="C",DATE(YEAR(INDEX(Contracts!$J$2:$J$151,$AB1587)),MONTH(INDEX(Contracts!$J$2:$J$151,$AB1587)),1),IF($Z1587="A",DATE(YEAR(INDEX(Fixed_Assets!$G$2:$G$201,$AB1587)),MONTH(INDEX(Fixed_Assets!$G$2:$G$201,$AB1587)),1),IF($Z1587="F",DATE(YEAR(MAX(N(INDEX(Workforce!$I$2:$I$151,MATCH(INDEX(FTE_Allocation!$A$2:$A$201,$AB1587),Workforce!$A$2:$A$151,0))),N(INDEX(FTE_Allocation!$I$2:$I$201,$AB1587)))),MONTH(MAX(N(INDEX(Workforce!$I$2:$I$151,MATCH(INDEX(FTE_Allocation!$A$2:$A$201,$AB1587),Workforce!$A$2:$A$151,0))),N(INDEX(FTE_Allocation!$I$2:$I$201,$AB1587)))),1),"")))</f>
        <v/>
      </c>
      <c r="AF1587" s="21">
        <f>IF($Z1587="C",IF(INDEX(Contracts!$I$2:$I$151,$AB1587)="PREPAID",EDATE(DATE(YEAR(INDEX(Contracts!$J$2:$J$151,$AB1587)),MONTH(INDEX(Contracts!$J$2:$J$151,$AB1587)),1),IF(INDEX(Contracts!$N$2:$N$151,$AB1587)="",12,INDEX(Contracts!$N$2:$N$151,$AB1587))-1),IF(INDEX(Contracts!$I$2:$I$151,$AB1587)="MONTHLY",IF(INDEX(Contracts!$K$2:$K$151,$AB1587)="",2958101,INDEX(Contracts!$K$2:$K$151,$AB1587)),0)),IF($Z1587="A",EDATE(DATE(YEAR(INDEX(Fixed_Assets!$G$2:$G$201,$AB1587)),MONTH(INDEX(Fixed_Assets!$G$2:$G$201,$AB1587)),1),INDEX(Fixed_Assets!$J$2:$J$201,$AB1587)-1),IF($Z1587="F",MIN(IF(INDEX(Workforce!$J$2:$J$151,MATCH(INDEX(FTE_Allocation!$A$2:$A$201,$AB1587),Workforce!$A$2:$A$151,0))="",2958101,INDEX(Workforce!$J$2:$J$151,MATCH(INDEX(FTE_Allocation!$A$2:$A$201,$AB1587),Workforce!$A$2:$A$151,0))),IF(INDEX(FTE_Allocation!$J$2:$J$201,$AB1587)="",2958101,INDEX(FTE_Allocation!$J$2:$J$201,$AB1587))),"")))</f>
        <v/>
      </c>
      <c r="AG1587" s="19">
        <f>IF($Z1587="C",IF(INDEX(Contracts!$I$2:$I$151,$AB1587)="PREPAID",INDEX(Contracts!$M$2:$M$151,$AB1587)/IF(INDEX(Contracts!$N$2:$N$151,$AB1587)="",12,INDEX(Contracts!$N$2:$N$151,$AB1587)),IF(INDEX(Contracts!$I$2:$I$151,$AB1587)="MONTHLY",INDEX(Contracts!$M$2:$M$151,$AB1587),0))*(1-N(INDEX(Contracts!$O$2:$O$151,$AB1587))),IF($Z1587="A",INDEX(Fixed_Assets!$H$2:$H$201,$AB1587)/INDEX(Fixed_Assets!$J$2:$J$201,$AB1587),IF($Z1587="F",INDEX(Workforce!$F$2:$F$151,MATCH(INDEX(FTE_Allocation!$A$2:$A$201,$AB1587),Workforce!$A$2:$A$151,0))*N(INDEX(FTE_Allocation!$F$2:$H$201,$AB1587,$AC1587)),"")))</f>
        <v/>
      </c>
    </row>
    <row r="1588">
      <c r="A1588" s="7">
        <f>IF($Z1588="","",$AD1588)</f>
        <v/>
      </c>
      <c r="B1588" s="7">
        <f>IF($Z1588="C",INDEX(Contracts!$D$2:$D$151,$AB1588)&amp;"",IF($Z1588="A",INDEX(Fixed_Assets!$C$2:$C$201,$AB1588)&amp;"",IF($Z1588="F",INDEX(Workforce!$B$2:$B$151,MATCH(INDEX(FTE_Allocation!$A$2:$A$201,$AB1588),Workforce!$A$2:$A$151,0))&amp;"","")))</f>
        <v/>
      </c>
      <c r="C1588" s="7">
        <f>IF($Z1588="C",INDEX(Contracts!$E$2:$E$151,$AB1588)&amp;"",IF($Z1588="A",INDEX(Fixed_Assets!$D$2:$D$201,$AB1588)&amp;"",IF($Z1588="F",INDEX(FTE_Allocation!$C$2:$C$201,$AB1588)&amp;"","")))</f>
        <v/>
      </c>
      <c r="D1588" s="7">
        <f>IF($Z1588="C",INDEX(Contracts!$B$2:$B$151,$AB1588)&amp;"",IF($Z1588="A",INDEX(Fixed_Assets!$B$2:$B$201,$AB1588)&amp;"",IF($Z1588="F",INDEX(FTE_Allocation!$B$2:$B$201,$AB1588)&amp;"","")))</f>
        <v/>
      </c>
      <c r="E1588" s="7">
        <f>IF($Z1588="C",INDEX(Contracts!$P$2:$P$151,$AB1588)&amp;"",IF($Z1588="A",INDEX(Fixed_Assets!$K$2:$K$201,$AB1588)&amp;"",IF($Z1588="F",IF(INDEX(FTE_Allocation!$D$2:$D$201,$AB1588)="PROJECT",IFERROR(INDEX(Projects!$D:$D,MATCH(INDEX(FTE_Allocation!$E$2:$E$201,$AB1588),Projects!$A:$A,0))&amp;"","#PROJECT?"),INDEX(FTE_Allocation!$E$2:$E$201,$AB1588)&amp;""),"")))</f>
        <v/>
      </c>
      <c r="F1588" s="7">
        <f>IF($Z1588="C",INDEX(Contracts!$Q$2:$Q$151,$AB1588)&amp;"",IF($Z1588="A",INDEX(Fixed_Assets!$L$2:$L$201,$AB1588)&amp;"",IF($Z1588="F",INDEX(Workforce!$K$2:$K$151,MATCH(INDEX(FTE_Allocation!$A$2:$A$201,$AB1588),Workforce!$A$2:$A$151,0))&amp;"","")))</f>
        <v/>
      </c>
      <c r="G1588" s="7">
        <f>IF($Z1588="C",INDEX(Contracts!$F$2:$F$151,$AB1588)&amp;" / "&amp;INDEX(Contracts!$G$2:$G$151,$AB1588),IF($Z1588="A",INDEX(Fixed_Assets!$E$2:$E$201,$AB1588)&amp;"",IF($Z1588="F","Personnel "&amp;INDEX(FTE_Allocation!$A$2:$A$201,$AB1588)&amp;IF(INDEX(FTE_Allocation!$D$2:$D$201,$AB1588)="PROJECT"," ("&amp;INDEX(FTE_Allocation!$E$2:$E$201,$AB1588)&amp;")",""),"")))</f>
        <v/>
      </c>
      <c r="H1588" s="7">
        <f>IF($Z1588="C","CONTRACT",IF($Z1588="A","ASSET",IF($Z1588="F","WORKFORCE","")))</f>
        <v/>
      </c>
      <c r="I1588" s="7">
        <f>IF($Z1588="C",INDEX(Contracts!$L$2:$L$151,$AB1588)&amp;"",IF($Z1588="A",INDEX(Fixed_Assets!$I$2:$I$201,$AB1588)&amp;"",IF($Z1588="F",INDEX(Workforce!$G$2:$G$151,MATCH(INDEX(FTE_Allocation!$A$2:$A$201,$AB1588),Workforce!$A$2:$A$151,0))&amp;"","")))</f>
        <v/>
      </c>
      <c r="J1588" s="18">
        <f>IF($Z1588="","",IF(AND(DATE($AD1588,1,1)&gt;=$AE1588,DATE($AD1588,1,1)&lt;=$AF1588),ROUND($AG1588,2),0))</f>
        <v/>
      </c>
      <c r="K1588" s="18">
        <f>IF($Z1588="","",IF(AND(DATE($AD1588,2,1)&gt;=$AE1588,DATE($AD1588,2,1)&lt;=$AF1588),ROUND($AG1588,2),0))</f>
        <v/>
      </c>
      <c r="L1588" s="18">
        <f>IF($Z1588="","",IF(AND(DATE($AD1588,3,1)&gt;=$AE1588,DATE($AD1588,3,1)&lt;=$AF1588),ROUND($AG1588,2),0))</f>
        <v/>
      </c>
      <c r="M1588" s="18">
        <f>IF($Z1588="","",IF(AND(DATE($AD1588,4,1)&gt;=$AE1588,DATE($AD1588,4,1)&lt;=$AF1588),ROUND($AG1588,2),0))</f>
        <v/>
      </c>
      <c r="N1588" s="18">
        <f>IF($Z1588="","",IF(AND(DATE($AD1588,5,1)&gt;=$AE1588,DATE($AD1588,5,1)&lt;=$AF1588),ROUND($AG1588,2),0))</f>
        <v/>
      </c>
      <c r="O1588" s="18">
        <f>IF($Z1588="","",IF(AND(DATE($AD1588,6,1)&gt;=$AE1588,DATE($AD1588,6,1)&lt;=$AF1588),ROUND($AG1588,2),0))</f>
        <v/>
      </c>
      <c r="P1588" s="18">
        <f>IF($Z1588="","",IF(AND(DATE($AD1588,7,1)&gt;=$AE1588,DATE($AD1588,7,1)&lt;=$AF1588),ROUND($AG1588,2),0))</f>
        <v/>
      </c>
      <c r="Q1588" s="18">
        <f>IF($Z1588="","",IF(AND(DATE($AD1588,8,1)&gt;=$AE1588,DATE($AD1588,8,1)&lt;=$AF1588),ROUND($AG1588,2),0))</f>
        <v/>
      </c>
      <c r="R1588" s="18">
        <f>IF($Z1588="","",IF(AND(DATE($AD1588,9,1)&gt;=$AE1588,DATE($AD1588,9,1)&lt;=$AF1588),ROUND($AG1588,2),0))</f>
        <v/>
      </c>
      <c r="S1588" s="18">
        <f>IF($Z1588="","",IF(AND(DATE($AD1588,10,1)&gt;=$AE1588,DATE($AD1588,10,1)&lt;=$AF1588),ROUND($AG1588,2),0))</f>
        <v/>
      </c>
      <c r="T1588" s="18">
        <f>IF($Z1588="","",IF(AND(DATE($AD1588,11,1)&gt;=$AE1588,DATE($AD1588,11,1)&lt;=$AF1588),ROUND($AG1588,2),0))</f>
        <v/>
      </c>
      <c r="U1588" s="18">
        <f>IF($Z1588="","",IF(AND(DATE($AD1588,12,1)&gt;=$AE1588,DATE($AD1588,12,1)&lt;=$AF1588),ROUND($AG1588,2),0))</f>
        <v/>
      </c>
      <c r="V1588" s="7">
        <f>IF($Z1588="C","Generated from "&amp;INDEX(Contracts!$A$2:$A$151,$AB1588),IF($Z1588="A","Generated from "&amp;INDEX(Fixed_Assets!$A$2:$A$201,$AB1588),IF($Z1588="F","Generated from "&amp;INDEX(FTE_Allocation!$A$2:$A$201,$AB1588),"")))</f>
        <v/>
      </c>
      <c r="X1588" s="19">
        <f>IF($Z1588="","",SUM(J1588:U1588))</f>
        <v/>
      </c>
      <c r="Y1588" s="20">
        <f>ROW()-1</f>
        <v/>
      </c>
      <c r="Z1588" s="20">
        <f>IF($Y1588&lt;=Settings!$B$4*3,"C",IF($Y1588&lt;=(Settings!$B$4+Settings!$B$5)*3,"A",IF($Y1588&lt;=(Settings!$B$4+Settings!$B$5+Settings!$B$6)*3,"F","")))</f>
        <v/>
      </c>
      <c r="AA1588" s="20">
        <f>IF($Z1588="C",$Y1588,IF($Z1588="A",$Y1588-Settings!$B$4*3,IF($Z1588="F",$Y1588-(Settings!$B$4+Settings!$B$5)*3,"")))</f>
        <v/>
      </c>
      <c r="AB1588" s="20">
        <f>IF($Z1588="","",INT(($AA1588-1)/3)+1)</f>
        <v/>
      </c>
      <c r="AC1588" s="20">
        <f>IF($Z1588="","",MOD($AA1588-1,3)+1)</f>
        <v/>
      </c>
      <c r="AD1588" s="20">
        <f>IF($Z1588="","",Settings!$B$2+$AC1588-1)</f>
        <v/>
      </c>
      <c r="AE1588" s="21">
        <f>IF($Z1588="C",DATE(YEAR(INDEX(Contracts!$J$2:$J$151,$AB1588)),MONTH(INDEX(Contracts!$J$2:$J$151,$AB1588)),1),IF($Z1588="A",DATE(YEAR(INDEX(Fixed_Assets!$G$2:$G$201,$AB1588)),MONTH(INDEX(Fixed_Assets!$G$2:$G$201,$AB1588)),1),IF($Z1588="F",DATE(YEAR(MAX(N(INDEX(Workforce!$I$2:$I$151,MATCH(INDEX(FTE_Allocation!$A$2:$A$201,$AB1588),Workforce!$A$2:$A$151,0))),N(INDEX(FTE_Allocation!$I$2:$I$201,$AB1588)))),MONTH(MAX(N(INDEX(Workforce!$I$2:$I$151,MATCH(INDEX(FTE_Allocation!$A$2:$A$201,$AB1588),Workforce!$A$2:$A$151,0))),N(INDEX(FTE_Allocation!$I$2:$I$201,$AB1588)))),1),"")))</f>
        <v/>
      </c>
      <c r="AF1588" s="21">
        <f>IF($Z1588="C",IF(INDEX(Contracts!$I$2:$I$151,$AB1588)="PREPAID",EDATE(DATE(YEAR(INDEX(Contracts!$J$2:$J$151,$AB1588)),MONTH(INDEX(Contracts!$J$2:$J$151,$AB1588)),1),IF(INDEX(Contracts!$N$2:$N$151,$AB1588)="",12,INDEX(Contracts!$N$2:$N$151,$AB1588))-1),IF(INDEX(Contracts!$I$2:$I$151,$AB1588)="MONTHLY",IF(INDEX(Contracts!$K$2:$K$151,$AB1588)="",2958101,INDEX(Contracts!$K$2:$K$151,$AB1588)),0)),IF($Z1588="A",EDATE(DATE(YEAR(INDEX(Fixed_Assets!$G$2:$G$201,$AB1588)),MONTH(INDEX(Fixed_Assets!$G$2:$G$201,$AB1588)),1),INDEX(Fixed_Assets!$J$2:$J$201,$AB1588)-1),IF($Z1588="F",MIN(IF(INDEX(Workforce!$J$2:$J$151,MATCH(INDEX(FTE_Allocation!$A$2:$A$201,$AB1588),Workforce!$A$2:$A$151,0))="",2958101,INDEX(Workforce!$J$2:$J$151,MATCH(INDEX(FTE_Allocation!$A$2:$A$201,$AB1588),Workforce!$A$2:$A$151,0))),IF(INDEX(FTE_Allocation!$J$2:$J$201,$AB1588)="",2958101,INDEX(FTE_Allocation!$J$2:$J$201,$AB1588))),"")))</f>
        <v/>
      </c>
      <c r="AG1588" s="19">
        <f>IF($Z1588="C",IF(INDEX(Contracts!$I$2:$I$151,$AB1588)="PREPAID",INDEX(Contracts!$M$2:$M$151,$AB1588)/IF(INDEX(Contracts!$N$2:$N$151,$AB1588)="",12,INDEX(Contracts!$N$2:$N$151,$AB1588)),IF(INDEX(Contracts!$I$2:$I$151,$AB1588)="MONTHLY",INDEX(Contracts!$M$2:$M$151,$AB1588),0))*(1-N(INDEX(Contracts!$O$2:$O$151,$AB1588))),IF($Z1588="A",INDEX(Fixed_Assets!$H$2:$H$201,$AB1588)/INDEX(Fixed_Assets!$J$2:$J$201,$AB1588),IF($Z1588="F",INDEX(Workforce!$F$2:$F$151,MATCH(INDEX(FTE_Allocation!$A$2:$A$201,$AB1588),Workforce!$A$2:$A$151,0))*N(INDEX(FTE_Allocation!$F$2:$H$201,$AB1588,$AC1588)),"")))</f>
        <v/>
      </c>
    </row>
    <row r="1589">
      <c r="A1589" s="7">
        <f>IF($Z1589="","",$AD1589)</f>
        <v/>
      </c>
      <c r="B1589" s="7">
        <f>IF($Z1589="C",INDEX(Contracts!$D$2:$D$151,$AB1589)&amp;"",IF($Z1589="A",INDEX(Fixed_Assets!$C$2:$C$201,$AB1589)&amp;"",IF($Z1589="F",INDEX(Workforce!$B$2:$B$151,MATCH(INDEX(FTE_Allocation!$A$2:$A$201,$AB1589),Workforce!$A$2:$A$151,0))&amp;"","")))</f>
        <v/>
      </c>
      <c r="C1589" s="7">
        <f>IF($Z1589="C",INDEX(Contracts!$E$2:$E$151,$AB1589)&amp;"",IF($Z1589="A",INDEX(Fixed_Assets!$D$2:$D$201,$AB1589)&amp;"",IF($Z1589="F",INDEX(FTE_Allocation!$C$2:$C$201,$AB1589)&amp;"","")))</f>
        <v/>
      </c>
      <c r="D1589" s="7">
        <f>IF($Z1589="C",INDEX(Contracts!$B$2:$B$151,$AB1589)&amp;"",IF($Z1589="A",INDEX(Fixed_Assets!$B$2:$B$201,$AB1589)&amp;"",IF($Z1589="F",INDEX(FTE_Allocation!$B$2:$B$201,$AB1589)&amp;"","")))</f>
        <v/>
      </c>
      <c r="E1589" s="7">
        <f>IF($Z1589="C",INDEX(Contracts!$P$2:$P$151,$AB1589)&amp;"",IF($Z1589="A",INDEX(Fixed_Assets!$K$2:$K$201,$AB1589)&amp;"",IF($Z1589="F",IF(INDEX(FTE_Allocation!$D$2:$D$201,$AB1589)="PROJECT",IFERROR(INDEX(Projects!$D:$D,MATCH(INDEX(FTE_Allocation!$E$2:$E$201,$AB1589),Projects!$A:$A,0))&amp;"","#PROJECT?"),INDEX(FTE_Allocation!$E$2:$E$201,$AB1589)&amp;""),"")))</f>
        <v/>
      </c>
      <c r="F1589" s="7">
        <f>IF($Z1589="C",INDEX(Contracts!$Q$2:$Q$151,$AB1589)&amp;"",IF($Z1589="A",INDEX(Fixed_Assets!$L$2:$L$201,$AB1589)&amp;"",IF($Z1589="F",INDEX(Workforce!$K$2:$K$151,MATCH(INDEX(FTE_Allocation!$A$2:$A$201,$AB1589),Workforce!$A$2:$A$151,0))&amp;"","")))</f>
        <v/>
      </c>
      <c r="G1589" s="7">
        <f>IF($Z1589="C",INDEX(Contracts!$F$2:$F$151,$AB1589)&amp;" / "&amp;INDEX(Contracts!$G$2:$G$151,$AB1589),IF($Z1589="A",INDEX(Fixed_Assets!$E$2:$E$201,$AB1589)&amp;"",IF($Z1589="F","Personnel "&amp;INDEX(FTE_Allocation!$A$2:$A$201,$AB1589)&amp;IF(INDEX(FTE_Allocation!$D$2:$D$201,$AB1589)="PROJECT"," ("&amp;INDEX(FTE_Allocation!$E$2:$E$201,$AB1589)&amp;")",""),"")))</f>
        <v/>
      </c>
      <c r="H1589" s="7">
        <f>IF($Z1589="C","CONTRACT",IF($Z1589="A","ASSET",IF($Z1589="F","WORKFORCE","")))</f>
        <v/>
      </c>
      <c r="I1589" s="7">
        <f>IF($Z1589="C",INDEX(Contracts!$L$2:$L$151,$AB1589)&amp;"",IF($Z1589="A",INDEX(Fixed_Assets!$I$2:$I$201,$AB1589)&amp;"",IF($Z1589="F",INDEX(Workforce!$G$2:$G$151,MATCH(INDEX(FTE_Allocation!$A$2:$A$201,$AB1589),Workforce!$A$2:$A$151,0))&amp;"","")))</f>
        <v/>
      </c>
      <c r="J1589" s="18">
        <f>IF($Z1589="","",IF(AND(DATE($AD1589,1,1)&gt;=$AE1589,DATE($AD1589,1,1)&lt;=$AF1589),ROUND($AG1589,2),0))</f>
        <v/>
      </c>
      <c r="K1589" s="18">
        <f>IF($Z1589="","",IF(AND(DATE($AD1589,2,1)&gt;=$AE1589,DATE($AD1589,2,1)&lt;=$AF1589),ROUND($AG1589,2),0))</f>
        <v/>
      </c>
      <c r="L1589" s="18">
        <f>IF($Z1589="","",IF(AND(DATE($AD1589,3,1)&gt;=$AE1589,DATE($AD1589,3,1)&lt;=$AF1589),ROUND($AG1589,2),0))</f>
        <v/>
      </c>
      <c r="M1589" s="18">
        <f>IF($Z1589="","",IF(AND(DATE($AD1589,4,1)&gt;=$AE1589,DATE($AD1589,4,1)&lt;=$AF1589),ROUND($AG1589,2),0))</f>
        <v/>
      </c>
      <c r="N1589" s="18">
        <f>IF($Z1589="","",IF(AND(DATE($AD1589,5,1)&gt;=$AE1589,DATE($AD1589,5,1)&lt;=$AF1589),ROUND($AG1589,2),0))</f>
        <v/>
      </c>
      <c r="O1589" s="18">
        <f>IF($Z1589="","",IF(AND(DATE($AD1589,6,1)&gt;=$AE1589,DATE($AD1589,6,1)&lt;=$AF1589),ROUND($AG1589,2),0))</f>
        <v/>
      </c>
      <c r="P1589" s="18">
        <f>IF($Z1589="","",IF(AND(DATE($AD1589,7,1)&gt;=$AE1589,DATE($AD1589,7,1)&lt;=$AF1589),ROUND($AG1589,2),0))</f>
        <v/>
      </c>
      <c r="Q1589" s="18">
        <f>IF($Z1589="","",IF(AND(DATE($AD1589,8,1)&gt;=$AE1589,DATE($AD1589,8,1)&lt;=$AF1589),ROUND($AG1589,2),0))</f>
        <v/>
      </c>
      <c r="R1589" s="18">
        <f>IF($Z1589="","",IF(AND(DATE($AD1589,9,1)&gt;=$AE1589,DATE($AD1589,9,1)&lt;=$AF1589),ROUND($AG1589,2),0))</f>
        <v/>
      </c>
      <c r="S1589" s="18">
        <f>IF($Z1589="","",IF(AND(DATE($AD1589,10,1)&gt;=$AE1589,DATE($AD1589,10,1)&lt;=$AF1589),ROUND($AG1589,2),0))</f>
        <v/>
      </c>
      <c r="T1589" s="18">
        <f>IF($Z1589="","",IF(AND(DATE($AD1589,11,1)&gt;=$AE1589,DATE($AD1589,11,1)&lt;=$AF1589),ROUND($AG1589,2),0))</f>
        <v/>
      </c>
      <c r="U1589" s="18">
        <f>IF($Z1589="","",IF(AND(DATE($AD1589,12,1)&gt;=$AE1589,DATE($AD1589,12,1)&lt;=$AF1589),ROUND($AG1589,2),0))</f>
        <v/>
      </c>
      <c r="V1589" s="7">
        <f>IF($Z1589="C","Generated from "&amp;INDEX(Contracts!$A$2:$A$151,$AB1589),IF($Z1589="A","Generated from "&amp;INDEX(Fixed_Assets!$A$2:$A$201,$AB1589),IF($Z1589="F","Generated from "&amp;INDEX(FTE_Allocation!$A$2:$A$201,$AB1589),"")))</f>
        <v/>
      </c>
      <c r="X1589" s="19">
        <f>IF($Z1589="","",SUM(J1589:U1589))</f>
        <v/>
      </c>
      <c r="Y1589" s="20">
        <f>ROW()-1</f>
        <v/>
      </c>
      <c r="Z1589" s="20">
        <f>IF($Y1589&lt;=Settings!$B$4*3,"C",IF($Y1589&lt;=(Settings!$B$4+Settings!$B$5)*3,"A",IF($Y1589&lt;=(Settings!$B$4+Settings!$B$5+Settings!$B$6)*3,"F","")))</f>
        <v/>
      </c>
      <c r="AA1589" s="20">
        <f>IF($Z1589="C",$Y1589,IF($Z1589="A",$Y1589-Settings!$B$4*3,IF($Z1589="F",$Y1589-(Settings!$B$4+Settings!$B$5)*3,"")))</f>
        <v/>
      </c>
      <c r="AB1589" s="20">
        <f>IF($Z1589="","",INT(($AA1589-1)/3)+1)</f>
        <v/>
      </c>
      <c r="AC1589" s="20">
        <f>IF($Z1589="","",MOD($AA1589-1,3)+1)</f>
        <v/>
      </c>
      <c r="AD1589" s="20">
        <f>IF($Z1589="","",Settings!$B$2+$AC1589-1)</f>
        <v/>
      </c>
      <c r="AE1589" s="21">
        <f>IF($Z1589="C",DATE(YEAR(INDEX(Contracts!$J$2:$J$151,$AB1589)),MONTH(INDEX(Contracts!$J$2:$J$151,$AB1589)),1),IF($Z1589="A",DATE(YEAR(INDEX(Fixed_Assets!$G$2:$G$201,$AB1589)),MONTH(INDEX(Fixed_Assets!$G$2:$G$201,$AB1589)),1),IF($Z1589="F",DATE(YEAR(MAX(N(INDEX(Workforce!$I$2:$I$151,MATCH(INDEX(FTE_Allocation!$A$2:$A$201,$AB1589),Workforce!$A$2:$A$151,0))),N(INDEX(FTE_Allocation!$I$2:$I$201,$AB1589)))),MONTH(MAX(N(INDEX(Workforce!$I$2:$I$151,MATCH(INDEX(FTE_Allocation!$A$2:$A$201,$AB1589),Workforce!$A$2:$A$151,0))),N(INDEX(FTE_Allocation!$I$2:$I$201,$AB1589)))),1),"")))</f>
        <v/>
      </c>
      <c r="AF1589" s="21">
        <f>IF($Z1589="C",IF(INDEX(Contracts!$I$2:$I$151,$AB1589)="PREPAID",EDATE(DATE(YEAR(INDEX(Contracts!$J$2:$J$151,$AB1589)),MONTH(INDEX(Contracts!$J$2:$J$151,$AB1589)),1),IF(INDEX(Contracts!$N$2:$N$151,$AB1589)="",12,INDEX(Contracts!$N$2:$N$151,$AB1589))-1),IF(INDEX(Contracts!$I$2:$I$151,$AB1589)="MONTHLY",IF(INDEX(Contracts!$K$2:$K$151,$AB1589)="",2958101,INDEX(Contracts!$K$2:$K$151,$AB1589)),0)),IF($Z1589="A",EDATE(DATE(YEAR(INDEX(Fixed_Assets!$G$2:$G$201,$AB1589)),MONTH(INDEX(Fixed_Assets!$G$2:$G$201,$AB1589)),1),INDEX(Fixed_Assets!$J$2:$J$201,$AB1589)-1),IF($Z1589="F",MIN(IF(INDEX(Workforce!$J$2:$J$151,MATCH(INDEX(FTE_Allocation!$A$2:$A$201,$AB1589),Workforce!$A$2:$A$151,0))="",2958101,INDEX(Workforce!$J$2:$J$151,MATCH(INDEX(FTE_Allocation!$A$2:$A$201,$AB1589),Workforce!$A$2:$A$151,0))),IF(INDEX(FTE_Allocation!$J$2:$J$201,$AB1589)="",2958101,INDEX(FTE_Allocation!$J$2:$J$201,$AB1589))),"")))</f>
        <v/>
      </c>
      <c r="AG1589" s="19">
        <f>IF($Z1589="C",IF(INDEX(Contracts!$I$2:$I$151,$AB1589)="PREPAID",INDEX(Contracts!$M$2:$M$151,$AB1589)/IF(INDEX(Contracts!$N$2:$N$151,$AB1589)="",12,INDEX(Contracts!$N$2:$N$151,$AB1589)),IF(INDEX(Contracts!$I$2:$I$151,$AB1589)="MONTHLY",INDEX(Contracts!$M$2:$M$151,$AB1589),0))*(1-N(INDEX(Contracts!$O$2:$O$151,$AB1589))),IF($Z1589="A",INDEX(Fixed_Assets!$H$2:$H$201,$AB1589)/INDEX(Fixed_Assets!$J$2:$J$201,$AB1589),IF($Z1589="F",INDEX(Workforce!$F$2:$F$151,MATCH(INDEX(FTE_Allocation!$A$2:$A$201,$AB1589),Workforce!$A$2:$A$151,0))*N(INDEX(FTE_Allocation!$F$2:$H$201,$AB1589,$AC1589)),"")))</f>
        <v/>
      </c>
    </row>
    <row r="1590">
      <c r="A1590" s="7">
        <f>IF($Z1590="","",$AD1590)</f>
        <v/>
      </c>
      <c r="B1590" s="7">
        <f>IF($Z1590="C",INDEX(Contracts!$D$2:$D$151,$AB1590)&amp;"",IF($Z1590="A",INDEX(Fixed_Assets!$C$2:$C$201,$AB1590)&amp;"",IF($Z1590="F",INDEX(Workforce!$B$2:$B$151,MATCH(INDEX(FTE_Allocation!$A$2:$A$201,$AB1590),Workforce!$A$2:$A$151,0))&amp;"","")))</f>
        <v/>
      </c>
      <c r="C1590" s="7">
        <f>IF($Z1590="C",INDEX(Contracts!$E$2:$E$151,$AB1590)&amp;"",IF($Z1590="A",INDEX(Fixed_Assets!$D$2:$D$201,$AB1590)&amp;"",IF($Z1590="F",INDEX(FTE_Allocation!$C$2:$C$201,$AB1590)&amp;"","")))</f>
        <v/>
      </c>
      <c r="D1590" s="7">
        <f>IF($Z1590="C",INDEX(Contracts!$B$2:$B$151,$AB1590)&amp;"",IF($Z1590="A",INDEX(Fixed_Assets!$B$2:$B$201,$AB1590)&amp;"",IF($Z1590="F",INDEX(FTE_Allocation!$B$2:$B$201,$AB1590)&amp;"","")))</f>
        <v/>
      </c>
      <c r="E1590" s="7">
        <f>IF($Z1590="C",INDEX(Contracts!$P$2:$P$151,$AB1590)&amp;"",IF($Z1590="A",INDEX(Fixed_Assets!$K$2:$K$201,$AB1590)&amp;"",IF($Z1590="F",IF(INDEX(FTE_Allocation!$D$2:$D$201,$AB1590)="PROJECT",IFERROR(INDEX(Projects!$D:$D,MATCH(INDEX(FTE_Allocation!$E$2:$E$201,$AB1590),Projects!$A:$A,0))&amp;"","#PROJECT?"),INDEX(FTE_Allocation!$E$2:$E$201,$AB1590)&amp;""),"")))</f>
        <v/>
      </c>
      <c r="F1590" s="7">
        <f>IF($Z1590="C",INDEX(Contracts!$Q$2:$Q$151,$AB1590)&amp;"",IF($Z1590="A",INDEX(Fixed_Assets!$L$2:$L$201,$AB1590)&amp;"",IF($Z1590="F",INDEX(Workforce!$K$2:$K$151,MATCH(INDEX(FTE_Allocation!$A$2:$A$201,$AB1590),Workforce!$A$2:$A$151,0))&amp;"","")))</f>
        <v/>
      </c>
      <c r="G1590" s="7">
        <f>IF($Z1590="C",INDEX(Contracts!$F$2:$F$151,$AB1590)&amp;" / "&amp;INDEX(Contracts!$G$2:$G$151,$AB1590),IF($Z1590="A",INDEX(Fixed_Assets!$E$2:$E$201,$AB1590)&amp;"",IF($Z1590="F","Personnel "&amp;INDEX(FTE_Allocation!$A$2:$A$201,$AB1590)&amp;IF(INDEX(FTE_Allocation!$D$2:$D$201,$AB1590)="PROJECT"," ("&amp;INDEX(FTE_Allocation!$E$2:$E$201,$AB1590)&amp;")",""),"")))</f>
        <v/>
      </c>
      <c r="H1590" s="7">
        <f>IF($Z1590="C","CONTRACT",IF($Z1590="A","ASSET",IF($Z1590="F","WORKFORCE","")))</f>
        <v/>
      </c>
      <c r="I1590" s="7">
        <f>IF($Z1590="C",INDEX(Contracts!$L$2:$L$151,$AB1590)&amp;"",IF($Z1590="A",INDEX(Fixed_Assets!$I$2:$I$201,$AB1590)&amp;"",IF($Z1590="F",INDEX(Workforce!$G$2:$G$151,MATCH(INDEX(FTE_Allocation!$A$2:$A$201,$AB1590),Workforce!$A$2:$A$151,0))&amp;"","")))</f>
        <v/>
      </c>
      <c r="J1590" s="18">
        <f>IF($Z1590="","",IF(AND(DATE($AD1590,1,1)&gt;=$AE1590,DATE($AD1590,1,1)&lt;=$AF1590),ROUND($AG1590,2),0))</f>
        <v/>
      </c>
      <c r="K1590" s="18">
        <f>IF($Z1590="","",IF(AND(DATE($AD1590,2,1)&gt;=$AE1590,DATE($AD1590,2,1)&lt;=$AF1590),ROUND($AG1590,2),0))</f>
        <v/>
      </c>
      <c r="L1590" s="18">
        <f>IF($Z1590="","",IF(AND(DATE($AD1590,3,1)&gt;=$AE1590,DATE($AD1590,3,1)&lt;=$AF1590),ROUND($AG1590,2),0))</f>
        <v/>
      </c>
      <c r="M1590" s="18">
        <f>IF($Z1590="","",IF(AND(DATE($AD1590,4,1)&gt;=$AE1590,DATE($AD1590,4,1)&lt;=$AF1590),ROUND($AG1590,2),0))</f>
        <v/>
      </c>
      <c r="N1590" s="18">
        <f>IF($Z1590="","",IF(AND(DATE($AD1590,5,1)&gt;=$AE1590,DATE($AD1590,5,1)&lt;=$AF1590),ROUND($AG1590,2),0))</f>
        <v/>
      </c>
      <c r="O1590" s="18">
        <f>IF($Z1590="","",IF(AND(DATE($AD1590,6,1)&gt;=$AE1590,DATE($AD1590,6,1)&lt;=$AF1590),ROUND($AG1590,2),0))</f>
        <v/>
      </c>
      <c r="P1590" s="18">
        <f>IF($Z1590="","",IF(AND(DATE($AD1590,7,1)&gt;=$AE1590,DATE($AD1590,7,1)&lt;=$AF1590),ROUND($AG1590,2),0))</f>
        <v/>
      </c>
      <c r="Q1590" s="18">
        <f>IF($Z1590="","",IF(AND(DATE($AD1590,8,1)&gt;=$AE1590,DATE($AD1590,8,1)&lt;=$AF1590),ROUND($AG1590,2),0))</f>
        <v/>
      </c>
      <c r="R1590" s="18">
        <f>IF($Z1590="","",IF(AND(DATE($AD1590,9,1)&gt;=$AE1590,DATE($AD1590,9,1)&lt;=$AF1590),ROUND($AG1590,2),0))</f>
        <v/>
      </c>
      <c r="S1590" s="18">
        <f>IF($Z1590="","",IF(AND(DATE($AD1590,10,1)&gt;=$AE1590,DATE($AD1590,10,1)&lt;=$AF1590),ROUND($AG1590,2),0))</f>
        <v/>
      </c>
      <c r="T1590" s="18">
        <f>IF($Z1590="","",IF(AND(DATE($AD1590,11,1)&gt;=$AE1590,DATE($AD1590,11,1)&lt;=$AF1590),ROUND($AG1590,2),0))</f>
        <v/>
      </c>
      <c r="U1590" s="18">
        <f>IF($Z1590="","",IF(AND(DATE($AD1590,12,1)&gt;=$AE1590,DATE($AD1590,12,1)&lt;=$AF1590),ROUND($AG1590,2),0))</f>
        <v/>
      </c>
      <c r="V1590" s="7">
        <f>IF($Z1590="C","Generated from "&amp;INDEX(Contracts!$A$2:$A$151,$AB1590),IF($Z1590="A","Generated from "&amp;INDEX(Fixed_Assets!$A$2:$A$201,$AB1590),IF($Z1590="F","Generated from "&amp;INDEX(FTE_Allocation!$A$2:$A$201,$AB1590),"")))</f>
        <v/>
      </c>
      <c r="X1590" s="19">
        <f>IF($Z1590="","",SUM(J1590:U1590))</f>
        <v/>
      </c>
      <c r="Y1590" s="20">
        <f>ROW()-1</f>
        <v/>
      </c>
      <c r="Z1590" s="20">
        <f>IF($Y1590&lt;=Settings!$B$4*3,"C",IF($Y1590&lt;=(Settings!$B$4+Settings!$B$5)*3,"A",IF($Y1590&lt;=(Settings!$B$4+Settings!$B$5+Settings!$B$6)*3,"F","")))</f>
        <v/>
      </c>
      <c r="AA1590" s="20">
        <f>IF($Z1590="C",$Y1590,IF($Z1590="A",$Y1590-Settings!$B$4*3,IF($Z1590="F",$Y1590-(Settings!$B$4+Settings!$B$5)*3,"")))</f>
        <v/>
      </c>
      <c r="AB1590" s="20">
        <f>IF($Z1590="","",INT(($AA1590-1)/3)+1)</f>
        <v/>
      </c>
      <c r="AC1590" s="20">
        <f>IF($Z1590="","",MOD($AA1590-1,3)+1)</f>
        <v/>
      </c>
      <c r="AD1590" s="20">
        <f>IF($Z1590="","",Settings!$B$2+$AC1590-1)</f>
        <v/>
      </c>
      <c r="AE1590" s="21">
        <f>IF($Z1590="C",DATE(YEAR(INDEX(Contracts!$J$2:$J$151,$AB1590)),MONTH(INDEX(Contracts!$J$2:$J$151,$AB1590)),1),IF($Z1590="A",DATE(YEAR(INDEX(Fixed_Assets!$G$2:$G$201,$AB1590)),MONTH(INDEX(Fixed_Assets!$G$2:$G$201,$AB1590)),1),IF($Z1590="F",DATE(YEAR(MAX(N(INDEX(Workforce!$I$2:$I$151,MATCH(INDEX(FTE_Allocation!$A$2:$A$201,$AB1590),Workforce!$A$2:$A$151,0))),N(INDEX(FTE_Allocation!$I$2:$I$201,$AB1590)))),MONTH(MAX(N(INDEX(Workforce!$I$2:$I$151,MATCH(INDEX(FTE_Allocation!$A$2:$A$201,$AB1590),Workforce!$A$2:$A$151,0))),N(INDEX(FTE_Allocation!$I$2:$I$201,$AB1590)))),1),"")))</f>
        <v/>
      </c>
      <c r="AF1590" s="21">
        <f>IF($Z1590="C",IF(INDEX(Contracts!$I$2:$I$151,$AB1590)="PREPAID",EDATE(DATE(YEAR(INDEX(Contracts!$J$2:$J$151,$AB1590)),MONTH(INDEX(Contracts!$J$2:$J$151,$AB1590)),1),IF(INDEX(Contracts!$N$2:$N$151,$AB1590)="",12,INDEX(Contracts!$N$2:$N$151,$AB1590))-1),IF(INDEX(Contracts!$I$2:$I$151,$AB1590)="MONTHLY",IF(INDEX(Contracts!$K$2:$K$151,$AB1590)="",2958101,INDEX(Contracts!$K$2:$K$151,$AB1590)),0)),IF($Z1590="A",EDATE(DATE(YEAR(INDEX(Fixed_Assets!$G$2:$G$201,$AB1590)),MONTH(INDEX(Fixed_Assets!$G$2:$G$201,$AB1590)),1),INDEX(Fixed_Assets!$J$2:$J$201,$AB1590)-1),IF($Z1590="F",MIN(IF(INDEX(Workforce!$J$2:$J$151,MATCH(INDEX(FTE_Allocation!$A$2:$A$201,$AB1590),Workforce!$A$2:$A$151,0))="",2958101,INDEX(Workforce!$J$2:$J$151,MATCH(INDEX(FTE_Allocation!$A$2:$A$201,$AB1590),Workforce!$A$2:$A$151,0))),IF(INDEX(FTE_Allocation!$J$2:$J$201,$AB1590)="",2958101,INDEX(FTE_Allocation!$J$2:$J$201,$AB1590))),"")))</f>
        <v/>
      </c>
      <c r="AG1590" s="19">
        <f>IF($Z1590="C",IF(INDEX(Contracts!$I$2:$I$151,$AB1590)="PREPAID",INDEX(Contracts!$M$2:$M$151,$AB1590)/IF(INDEX(Contracts!$N$2:$N$151,$AB1590)="",12,INDEX(Contracts!$N$2:$N$151,$AB1590)),IF(INDEX(Contracts!$I$2:$I$151,$AB1590)="MONTHLY",INDEX(Contracts!$M$2:$M$151,$AB1590),0))*(1-N(INDEX(Contracts!$O$2:$O$151,$AB1590))),IF($Z1590="A",INDEX(Fixed_Assets!$H$2:$H$201,$AB1590)/INDEX(Fixed_Assets!$J$2:$J$201,$AB1590),IF($Z1590="F",INDEX(Workforce!$F$2:$F$151,MATCH(INDEX(FTE_Allocation!$A$2:$A$201,$AB1590),Workforce!$A$2:$A$151,0))*N(INDEX(FTE_Allocation!$F$2:$H$201,$AB1590,$AC1590)),"")))</f>
        <v/>
      </c>
    </row>
    <row r="1591">
      <c r="A1591" s="7">
        <f>IF($Z1591="","",$AD1591)</f>
        <v/>
      </c>
      <c r="B1591" s="7">
        <f>IF($Z1591="C",INDEX(Contracts!$D$2:$D$151,$AB1591)&amp;"",IF($Z1591="A",INDEX(Fixed_Assets!$C$2:$C$201,$AB1591)&amp;"",IF($Z1591="F",INDEX(Workforce!$B$2:$B$151,MATCH(INDEX(FTE_Allocation!$A$2:$A$201,$AB1591),Workforce!$A$2:$A$151,0))&amp;"","")))</f>
        <v/>
      </c>
      <c r="C1591" s="7">
        <f>IF($Z1591="C",INDEX(Contracts!$E$2:$E$151,$AB1591)&amp;"",IF($Z1591="A",INDEX(Fixed_Assets!$D$2:$D$201,$AB1591)&amp;"",IF($Z1591="F",INDEX(FTE_Allocation!$C$2:$C$201,$AB1591)&amp;"","")))</f>
        <v/>
      </c>
      <c r="D1591" s="7">
        <f>IF($Z1591="C",INDEX(Contracts!$B$2:$B$151,$AB1591)&amp;"",IF($Z1591="A",INDEX(Fixed_Assets!$B$2:$B$201,$AB1591)&amp;"",IF($Z1591="F",INDEX(FTE_Allocation!$B$2:$B$201,$AB1591)&amp;"","")))</f>
        <v/>
      </c>
      <c r="E1591" s="7">
        <f>IF($Z1591="C",INDEX(Contracts!$P$2:$P$151,$AB1591)&amp;"",IF($Z1591="A",INDEX(Fixed_Assets!$K$2:$K$201,$AB1591)&amp;"",IF($Z1591="F",IF(INDEX(FTE_Allocation!$D$2:$D$201,$AB1591)="PROJECT",IFERROR(INDEX(Projects!$D:$D,MATCH(INDEX(FTE_Allocation!$E$2:$E$201,$AB1591),Projects!$A:$A,0))&amp;"","#PROJECT?"),INDEX(FTE_Allocation!$E$2:$E$201,$AB1591)&amp;""),"")))</f>
        <v/>
      </c>
      <c r="F1591" s="7">
        <f>IF($Z1591="C",INDEX(Contracts!$Q$2:$Q$151,$AB1591)&amp;"",IF($Z1591="A",INDEX(Fixed_Assets!$L$2:$L$201,$AB1591)&amp;"",IF($Z1591="F",INDEX(Workforce!$K$2:$K$151,MATCH(INDEX(FTE_Allocation!$A$2:$A$201,$AB1591),Workforce!$A$2:$A$151,0))&amp;"","")))</f>
        <v/>
      </c>
      <c r="G1591" s="7">
        <f>IF($Z1591="C",INDEX(Contracts!$F$2:$F$151,$AB1591)&amp;" / "&amp;INDEX(Contracts!$G$2:$G$151,$AB1591),IF($Z1591="A",INDEX(Fixed_Assets!$E$2:$E$201,$AB1591)&amp;"",IF($Z1591="F","Personnel "&amp;INDEX(FTE_Allocation!$A$2:$A$201,$AB1591)&amp;IF(INDEX(FTE_Allocation!$D$2:$D$201,$AB1591)="PROJECT"," ("&amp;INDEX(FTE_Allocation!$E$2:$E$201,$AB1591)&amp;")",""),"")))</f>
        <v/>
      </c>
      <c r="H1591" s="7">
        <f>IF($Z1591="C","CONTRACT",IF($Z1591="A","ASSET",IF($Z1591="F","WORKFORCE","")))</f>
        <v/>
      </c>
      <c r="I1591" s="7">
        <f>IF($Z1591="C",INDEX(Contracts!$L$2:$L$151,$AB1591)&amp;"",IF($Z1591="A",INDEX(Fixed_Assets!$I$2:$I$201,$AB1591)&amp;"",IF($Z1591="F",INDEX(Workforce!$G$2:$G$151,MATCH(INDEX(FTE_Allocation!$A$2:$A$201,$AB1591),Workforce!$A$2:$A$151,0))&amp;"","")))</f>
        <v/>
      </c>
      <c r="J1591" s="18">
        <f>IF($Z1591="","",IF(AND(DATE($AD1591,1,1)&gt;=$AE1591,DATE($AD1591,1,1)&lt;=$AF1591),ROUND($AG1591,2),0))</f>
        <v/>
      </c>
      <c r="K1591" s="18">
        <f>IF($Z1591="","",IF(AND(DATE($AD1591,2,1)&gt;=$AE1591,DATE($AD1591,2,1)&lt;=$AF1591),ROUND($AG1591,2),0))</f>
        <v/>
      </c>
      <c r="L1591" s="18">
        <f>IF($Z1591="","",IF(AND(DATE($AD1591,3,1)&gt;=$AE1591,DATE($AD1591,3,1)&lt;=$AF1591),ROUND($AG1591,2),0))</f>
        <v/>
      </c>
      <c r="M1591" s="18">
        <f>IF($Z1591="","",IF(AND(DATE($AD1591,4,1)&gt;=$AE1591,DATE($AD1591,4,1)&lt;=$AF1591),ROUND($AG1591,2),0))</f>
        <v/>
      </c>
      <c r="N1591" s="18">
        <f>IF($Z1591="","",IF(AND(DATE($AD1591,5,1)&gt;=$AE1591,DATE($AD1591,5,1)&lt;=$AF1591),ROUND($AG1591,2),0))</f>
        <v/>
      </c>
      <c r="O1591" s="18">
        <f>IF($Z1591="","",IF(AND(DATE($AD1591,6,1)&gt;=$AE1591,DATE($AD1591,6,1)&lt;=$AF1591),ROUND($AG1591,2),0))</f>
        <v/>
      </c>
      <c r="P1591" s="18">
        <f>IF($Z1591="","",IF(AND(DATE($AD1591,7,1)&gt;=$AE1591,DATE($AD1591,7,1)&lt;=$AF1591),ROUND($AG1591,2),0))</f>
        <v/>
      </c>
      <c r="Q1591" s="18">
        <f>IF($Z1591="","",IF(AND(DATE($AD1591,8,1)&gt;=$AE1591,DATE($AD1591,8,1)&lt;=$AF1591),ROUND($AG1591,2),0))</f>
        <v/>
      </c>
      <c r="R1591" s="18">
        <f>IF($Z1591="","",IF(AND(DATE($AD1591,9,1)&gt;=$AE1591,DATE($AD1591,9,1)&lt;=$AF1591),ROUND($AG1591,2),0))</f>
        <v/>
      </c>
      <c r="S1591" s="18">
        <f>IF($Z1591="","",IF(AND(DATE($AD1591,10,1)&gt;=$AE1591,DATE($AD1591,10,1)&lt;=$AF1591),ROUND($AG1591,2),0))</f>
        <v/>
      </c>
      <c r="T1591" s="18">
        <f>IF($Z1591="","",IF(AND(DATE($AD1591,11,1)&gt;=$AE1591,DATE($AD1591,11,1)&lt;=$AF1591),ROUND($AG1591,2),0))</f>
        <v/>
      </c>
      <c r="U1591" s="18">
        <f>IF($Z1591="","",IF(AND(DATE($AD1591,12,1)&gt;=$AE1591,DATE($AD1591,12,1)&lt;=$AF1591),ROUND($AG1591,2),0))</f>
        <v/>
      </c>
      <c r="V1591" s="7">
        <f>IF($Z1591="C","Generated from "&amp;INDEX(Contracts!$A$2:$A$151,$AB1591),IF($Z1591="A","Generated from "&amp;INDEX(Fixed_Assets!$A$2:$A$201,$AB1591),IF($Z1591="F","Generated from "&amp;INDEX(FTE_Allocation!$A$2:$A$201,$AB1591),"")))</f>
        <v/>
      </c>
      <c r="X1591" s="19">
        <f>IF($Z1591="","",SUM(J1591:U1591))</f>
        <v/>
      </c>
      <c r="Y1591" s="20">
        <f>ROW()-1</f>
        <v/>
      </c>
      <c r="Z1591" s="20">
        <f>IF($Y1591&lt;=Settings!$B$4*3,"C",IF($Y1591&lt;=(Settings!$B$4+Settings!$B$5)*3,"A",IF($Y1591&lt;=(Settings!$B$4+Settings!$B$5+Settings!$B$6)*3,"F","")))</f>
        <v/>
      </c>
      <c r="AA1591" s="20">
        <f>IF($Z1591="C",$Y1591,IF($Z1591="A",$Y1591-Settings!$B$4*3,IF($Z1591="F",$Y1591-(Settings!$B$4+Settings!$B$5)*3,"")))</f>
        <v/>
      </c>
      <c r="AB1591" s="20">
        <f>IF($Z1591="","",INT(($AA1591-1)/3)+1)</f>
        <v/>
      </c>
      <c r="AC1591" s="20">
        <f>IF($Z1591="","",MOD($AA1591-1,3)+1)</f>
        <v/>
      </c>
      <c r="AD1591" s="20">
        <f>IF($Z1591="","",Settings!$B$2+$AC1591-1)</f>
        <v/>
      </c>
      <c r="AE1591" s="21">
        <f>IF($Z1591="C",DATE(YEAR(INDEX(Contracts!$J$2:$J$151,$AB1591)),MONTH(INDEX(Contracts!$J$2:$J$151,$AB1591)),1),IF($Z1591="A",DATE(YEAR(INDEX(Fixed_Assets!$G$2:$G$201,$AB1591)),MONTH(INDEX(Fixed_Assets!$G$2:$G$201,$AB1591)),1),IF($Z1591="F",DATE(YEAR(MAX(N(INDEX(Workforce!$I$2:$I$151,MATCH(INDEX(FTE_Allocation!$A$2:$A$201,$AB1591),Workforce!$A$2:$A$151,0))),N(INDEX(FTE_Allocation!$I$2:$I$201,$AB1591)))),MONTH(MAX(N(INDEX(Workforce!$I$2:$I$151,MATCH(INDEX(FTE_Allocation!$A$2:$A$201,$AB1591),Workforce!$A$2:$A$151,0))),N(INDEX(FTE_Allocation!$I$2:$I$201,$AB1591)))),1),"")))</f>
        <v/>
      </c>
      <c r="AF1591" s="21">
        <f>IF($Z1591="C",IF(INDEX(Contracts!$I$2:$I$151,$AB1591)="PREPAID",EDATE(DATE(YEAR(INDEX(Contracts!$J$2:$J$151,$AB1591)),MONTH(INDEX(Contracts!$J$2:$J$151,$AB1591)),1),IF(INDEX(Contracts!$N$2:$N$151,$AB1591)="",12,INDEX(Contracts!$N$2:$N$151,$AB1591))-1),IF(INDEX(Contracts!$I$2:$I$151,$AB1591)="MONTHLY",IF(INDEX(Contracts!$K$2:$K$151,$AB1591)="",2958101,INDEX(Contracts!$K$2:$K$151,$AB1591)),0)),IF($Z1591="A",EDATE(DATE(YEAR(INDEX(Fixed_Assets!$G$2:$G$201,$AB1591)),MONTH(INDEX(Fixed_Assets!$G$2:$G$201,$AB1591)),1),INDEX(Fixed_Assets!$J$2:$J$201,$AB1591)-1),IF($Z1591="F",MIN(IF(INDEX(Workforce!$J$2:$J$151,MATCH(INDEX(FTE_Allocation!$A$2:$A$201,$AB1591),Workforce!$A$2:$A$151,0))="",2958101,INDEX(Workforce!$J$2:$J$151,MATCH(INDEX(FTE_Allocation!$A$2:$A$201,$AB1591),Workforce!$A$2:$A$151,0))),IF(INDEX(FTE_Allocation!$J$2:$J$201,$AB1591)="",2958101,INDEX(FTE_Allocation!$J$2:$J$201,$AB1591))),"")))</f>
        <v/>
      </c>
      <c r="AG1591" s="19">
        <f>IF($Z1591="C",IF(INDEX(Contracts!$I$2:$I$151,$AB1591)="PREPAID",INDEX(Contracts!$M$2:$M$151,$AB1591)/IF(INDEX(Contracts!$N$2:$N$151,$AB1591)="",12,INDEX(Contracts!$N$2:$N$151,$AB1591)),IF(INDEX(Contracts!$I$2:$I$151,$AB1591)="MONTHLY",INDEX(Contracts!$M$2:$M$151,$AB1591),0))*(1-N(INDEX(Contracts!$O$2:$O$151,$AB1591))),IF($Z1591="A",INDEX(Fixed_Assets!$H$2:$H$201,$AB1591)/INDEX(Fixed_Assets!$J$2:$J$201,$AB1591),IF($Z1591="F",INDEX(Workforce!$F$2:$F$151,MATCH(INDEX(FTE_Allocation!$A$2:$A$201,$AB1591),Workforce!$A$2:$A$151,0))*N(INDEX(FTE_Allocation!$F$2:$H$201,$AB1591,$AC1591)),"")))</f>
        <v/>
      </c>
    </row>
    <row r="1592">
      <c r="A1592" s="7">
        <f>IF($Z1592="","",$AD1592)</f>
        <v/>
      </c>
      <c r="B1592" s="7">
        <f>IF($Z1592="C",INDEX(Contracts!$D$2:$D$151,$AB1592)&amp;"",IF($Z1592="A",INDEX(Fixed_Assets!$C$2:$C$201,$AB1592)&amp;"",IF($Z1592="F",INDEX(Workforce!$B$2:$B$151,MATCH(INDEX(FTE_Allocation!$A$2:$A$201,$AB1592),Workforce!$A$2:$A$151,0))&amp;"","")))</f>
        <v/>
      </c>
      <c r="C1592" s="7">
        <f>IF($Z1592="C",INDEX(Contracts!$E$2:$E$151,$AB1592)&amp;"",IF($Z1592="A",INDEX(Fixed_Assets!$D$2:$D$201,$AB1592)&amp;"",IF($Z1592="F",INDEX(FTE_Allocation!$C$2:$C$201,$AB1592)&amp;"","")))</f>
        <v/>
      </c>
      <c r="D1592" s="7">
        <f>IF($Z1592="C",INDEX(Contracts!$B$2:$B$151,$AB1592)&amp;"",IF($Z1592="A",INDEX(Fixed_Assets!$B$2:$B$201,$AB1592)&amp;"",IF($Z1592="F",INDEX(FTE_Allocation!$B$2:$B$201,$AB1592)&amp;"","")))</f>
        <v/>
      </c>
      <c r="E1592" s="7">
        <f>IF($Z1592="C",INDEX(Contracts!$P$2:$P$151,$AB1592)&amp;"",IF($Z1592="A",INDEX(Fixed_Assets!$K$2:$K$201,$AB1592)&amp;"",IF($Z1592="F",IF(INDEX(FTE_Allocation!$D$2:$D$201,$AB1592)="PROJECT",IFERROR(INDEX(Projects!$D:$D,MATCH(INDEX(FTE_Allocation!$E$2:$E$201,$AB1592),Projects!$A:$A,0))&amp;"","#PROJECT?"),INDEX(FTE_Allocation!$E$2:$E$201,$AB1592)&amp;""),"")))</f>
        <v/>
      </c>
      <c r="F1592" s="7">
        <f>IF($Z1592="C",INDEX(Contracts!$Q$2:$Q$151,$AB1592)&amp;"",IF($Z1592="A",INDEX(Fixed_Assets!$L$2:$L$201,$AB1592)&amp;"",IF($Z1592="F",INDEX(Workforce!$K$2:$K$151,MATCH(INDEX(FTE_Allocation!$A$2:$A$201,$AB1592),Workforce!$A$2:$A$151,0))&amp;"","")))</f>
        <v/>
      </c>
      <c r="G1592" s="7">
        <f>IF($Z1592="C",INDEX(Contracts!$F$2:$F$151,$AB1592)&amp;" / "&amp;INDEX(Contracts!$G$2:$G$151,$AB1592),IF($Z1592="A",INDEX(Fixed_Assets!$E$2:$E$201,$AB1592)&amp;"",IF($Z1592="F","Personnel "&amp;INDEX(FTE_Allocation!$A$2:$A$201,$AB1592)&amp;IF(INDEX(FTE_Allocation!$D$2:$D$201,$AB1592)="PROJECT"," ("&amp;INDEX(FTE_Allocation!$E$2:$E$201,$AB1592)&amp;")",""),"")))</f>
        <v/>
      </c>
      <c r="H1592" s="7">
        <f>IF($Z1592="C","CONTRACT",IF($Z1592="A","ASSET",IF($Z1592="F","WORKFORCE","")))</f>
        <v/>
      </c>
      <c r="I1592" s="7">
        <f>IF($Z1592="C",INDEX(Contracts!$L$2:$L$151,$AB1592)&amp;"",IF($Z1592="A",INDEX(Fixed_Assets!$I$2:$I$201,$AB1592)&amp;"",IF($Z1592="F",INDEX(Workforce!$G$2:$G$151,MATCH(INDEX(FTE_Allocation!$A$2:$A$201,$AB1592),Workforce!$A$2:$A$151,0))&amp;"","")))</f>
        <v/>
      </c>
      <c r="J1592" s="18">
        <f>IF($Z1592="","",IF(AND(DATE($AD1592,1,1)&gt;=$AE1592,DATE($AD1592,1,1)&lt;=$AF1592),ROUND($AG1592,2),0))</f>
        <v/>
      </c>
      <c r="K1592" s="18">
        <f>IF($Z1592="","",IF(AND(DATE($AD1592,2,1)&gt;=$AE1592,DATE($AD1592,2,1)&lt;=$AF1592),ROUND($AG1592,2),0))</f>
        <v/>
      </c>
      <c r="L1592" s="18">
        <f>IF($Z1592="","",IF(AND(DATE($AD1592,3,1)&gt;=$AE1592,DATE($AD1592,3,1)&lt;=$AF1592),ROUND($AG1592,2),0))</f>
        <v/>
      </c>
      <c r="M1592" s="18">
        <f>IF($Z1592="","",IF(AND(DATE($AD1592,4,1)&gt;=$AE1592,DATE($AD1592,4,1)&lt;=$AF1592),ROUND($AG1592,2),0))</f>
        <v/>
      </c>
      <c r="N1592" s="18">
        <f>IF($Z1592="","",IF(AND(DATE($AD1592,5,1)&gt;=$AE1592,DATE($AD1592,5,1)&lt;=$AF1592),ROUND($AG1592,2),0))</f>
        <v/>
      </c>
      <c r="O1592" s="18">
        <f>IF($Z1592="","",IF(AND(DATE($AD1592,6,1)&gt;=$AE1592,DATE($AD1592,6,1)&lt;=$AF1592),ROUND($AG1592,2),0))</f>
        <v/>
      </c>
      <c r="P1592" s="18">
        <f>IF($Z1592="","",IF(AND(DATE($AD1592,7,1)&gt;=$AE1592,DATE($AD1592,7,1)&lt;=$AF1592),ROUND($AG1592,2),0))</f>
        <v/>
      </c>
      <c r="Q1592" s="18">
        <f>IF($Z1592="","",IF(AND(DATE($AD1592,8,1)&gt;=$AE1592,DATE($AD1592,8,1)&lt;=$AF1592),ROUND($AG1592,2),0))</f>
        <v/>
      </c>
      <c r="R1592" s="18">
        <f>IF($Z1592="","",IF(AND(DATE($AD1592,9,1)&gt;=$AE1592,DATE($AD1592,9,1)&lt;=$AF1592),ROUND($AG1592,2),0))</f>
        <v/>
      </c>
      <c r="S1592" s="18">
        <f>IF($Z1592="","",IF(AND(DATE($AD1592,10,1)&gt;=$AE1592,DATE($AD1592,10,1)&lt;=$AF1592),ROUND($AG1592,2),0))</f>
        <v/>
      </c>
      <c r="T1592" s="18">
        <f>IF($Z1592="","",IF(AND(DATE($AD1592,11,1)&gt;=$AE1592,DATE($AD1592,11,1)&lt;=$AF1592),ROUND($AG1592,2),0))</f>
        <v/>
      </c>
      <c r="U1592" s="18">
        <f>IF($Z1592="","",IF(AND(DATE($AD1592,12,1)&gt;=$AE1592,DATE($AD1592,12,1)&lt;=$AF1592),ROUND($AG1592,2),0))</f>
        <v/>
      </c>
      <c r="V1592" s="7">
        <f>IF($Z1592="C","Generated from "&amp;INDEX(Contracts!$A$2:$A$151,$AB1592),IF($Z1592="A","Generated from "&amp;INDEX(Fixed_Assets!$A$2:$A$201,$AB1592),IF($Z1592="F","Generated from "&amp;INDEX(FTE_Allocation!$A$2:$A$201,$AB1592),"")))</f>
        <v/>
      </c>
      <c r="X1592" s="19">
        <f>IF($Z1592="","",SUM(J1592:U1592))</f>
        <v/>
      </c>
      <c r="Y1592" s="20">
        <f>ROW()-1</f>
        <v/>
      </c>
      <c r="Z1592" s="20">
        <f>IF($Y1592&lt;=Settings!$B$4*3,"C",IF($Y1592&lt;=(Settings!$B$4+Settings!$B$5)*3,"A",IF($Y1592&lt;=(Settings!$B$4+Settings!$B$5+Settings!$B$6)*3,"F","")))</f>
        <v/>
      </c>
      <c r="AA1592" s="20">
        <f>IF($Z1592="C",$Y1592,IF($Z1592="A",$Y1592-Settings!$B$4*3,IF($Z1592="F",$Y1592-(Settings!$B$4+Settings!$B$5)*3,"")))</f>
        <v/>
      </c>
      <c r="AB1592" s="20">
        <f>IF($Z1592="","",INT(($AA1592-1)/3)+1)</f>
        <v/>
      </c>
      <c r="AC1592" s="20">
        <f>IF($Z1592="","",MOD($AA1592-1,3)+1)</f>
        <v/>
      </c>
      <c r="AD1592" s="20">
        <f>IF($Z1592="","",Settings!$B$2+$AC1592-1)</f>
        <v/>
      </c>
      <c r="AE1592" s="21">
        <f>IF($Z1592="C",DATE(YEAR(INDEX(Contracts!$J$2:$J$151,$AB1592)),MONTH(INDEX(Contracts!$J$2:$J$151,$AB1592)),1),IF($Z1592="A",DATE(YEAR(INDEX(Fixed_Assets!$G$2:$G$201,$AB1592)),MONTH(INDEX(Fixed_Assets!$G$2:$G$201,$AB1592)),1),IF($Z1592="F",DATE(YEAR(MAX(N(INDEX(Workforce!$I$2:$I$151,MATCH(INDEX(FTE_Allocation!$A$2:$A$201,$AB1592),Workforce!$A$2:$A$151,0))),N(INDEX(FTE_Allocation!$I$2:$I$201,$AB1592)))),MONTH(MAX(N(INDEX(Workforce!$I$2:$I$151,MATCH(INDEX(FTE_Allocation!$A$2:$A$201,$AB1592),Workforce!$A$2:$A$151,0))),N(INDEX(FTE_Allocation!$I$2:$I$201,$AB1592)))),1),"")))</f>
        <v/>
      </c>
      <c r="AF1592" s="21">
        <f>IF($Z1592="C",IF(INDEX(Contracts!$I$2:$I$151,$AB1592)="PREPAID",EDATE(DATE(YEAR(INDEX(Contracts!$J$2:$J$151,$AB1592)),MONTH(INDEX(Contracts!$J$2:$J$151,$AB1592)),1),IF(INDEX(Contracts!$N$2:$N$151,$AB1592)="",12,INDEX(Contracts!$N$2:$N$151,$AB1592))-1),IF(INDEX(Contracts!$I$2:$I$151,$AB1592)="MONTHLY",IF(INDEX(Contracts!$K$2:$K$151,$AB1592)="",2958101,INDEX(Contracts!$K$2:$K$151,$AB1592)),0)),IF($Z1592="A",EDATE(DATE(YEAR(INDEX(Fixed_Assets!$G$2:$G$201,$AB1592)),MONTH(INDEX(Fixed_Assets!$G$2:$G$201,$AB1592)),1),INDEX(Fixed_Assets!$J$2:$J$201,$AB1592)-1),IF($Z1592="F",MIN(IF(INDEX(Workforce!$J$2:$J$151,MATCH(INDEX(FTE_Allocation!$A$2:$A$201,$AB1592),Workforce!$A$2:$A$151,0))="",2958101,INDEX(Workforce!$J$2:$J$151,MATCH(INDEX(FTE_Allocation!$A$2:$A$201,$AB1592),Workforce!$A$2:$A$151,0))),IF(INDEX(FTE_Allocation!$J$2:$J$201,$AB1592)="",2958101,INDEX(FTE_Allocation!$J$2:$J$201,$AB1592))),"")))</f>
        <v/>
      </c>
      <c r="AG1592" s="19">
        <f>IF($Z1592="C",IF(INDEX(Contracts!$I$2:$I$151,$AB1592)="PREPAID",INDEX(Contracts!$M$2:$M$151,$AB1592)/IF(INDEX(Contracts!$N$2:$N$151,$AB1592)="",12,INDEX(Contracts!$N$2:$N$151,$AB1592)),IF(INDEX(Contracts!$I$2:$I$151,$AB1592)="MONTHLY",INDEX(Contracts!$M$2:$M$151,$AB1592),0))*(1-N(INDEX(Contracts!$O$2:$O$151,$AB1592))),IF($Z1592="A",INDEX(Fixed_Assets!$H$2:$H$201,$AB1592)/INDEX(Fixed_Assets!$J$2:$J$201,$AB1592),IF($Z1592="F",INDEX(Workforce!$F$2:$F$151,MATCH(INDEX(FTE_Allocation!$A$2:$A$201,$AB1592),Workforce!$A$2:$A$151,0))*N(INDEX(FTE_Allocation!$F$2:$H$201,$AB1592,$AC1592)),"")))</f>
        <v/>
      </c>
    </row>
    <row r="1593">
      <c r="A1593" s="7">
        <f>IF($Z1593="","",$AD1593)</f>
        <v/>
      </c>
      <c r="B1593" s="7">
        <f>IF($Z1593="C",INDEX(Contracts!$D$2:$D$151,$AB1593)&amp;"",IF($Z1593="A",INDEX(Fixed_Assets!$C$2:$C$201,$AB1593)&amp;"",IF($Z1593="F",INDEX(Workforce!$B$2:$B$151,MATCH(INDEX(FTE_Allocation!$A$2:$A$201,$AB1593),Workforce!$A$2:$A$151,0))&amp;"","")))</f>
        <v/>
      </c>
      <c r="C1593" s="7">
        <f>IF($Z1593="C",INDEX(Contracts!$E$2:$E$151,$AB1593)&amp;"",IF($Z1593="A",INDEX(Fixed_Assets!$D$2:$D$201,$AB1593)&amp;"",IF($Z1593="F",INDEX(FTE_Allocation!$C$2:$C$201,$AB1593)&amp;"","")))</f>
        <v/>
      </c>
      <c r="D1593" s="7">
        <f>IF($Z1593="C",INDEX(Contracts!$B$2:$B$151,$AB1593)&amp;"",IF($Z1593="A",INDEX(Fixed_Assets!$B$2:$B$201,$AB1593)&amp;"",IF($Z1593="F",INDEX(FTE_Allocation!$B$2:$B$201,$AB1593)&amp;"","")))</f>
        <v/>
      </c>
      <c r="E1593" s="7">
        <f>IF($Z1593="C",INDEX(Contracts!$P$2:$P$151,$AB1593)&amp;"",IF($Z1593="A",INDEX(Fixed_Assets!$K$2:$K$201,$AB1593)&amp;"",IF($Z1593="F",IF(INDEX(FTE_Allocation!$D$2:$D$201,$AB1593)="PROJECT",IFERROR(INDEX(Projects!$D:$D,MATCH(INDEX(FTE_Allocation!$E$2:$E$201,$AB1593),Projects!$A:$A,0))&amp;"","#PROJECT?"),INDEX(FTE_Allocation!$E$2:$E$201,$AB1593)&amp;""),"")))</f>
        <v/>
      </c>
      <c r="F1593" s="7">
        <f>IF($Z1593="C",INDEX(Contracts!$Q$2:$Q$151,$AB1593)&amp;"",IF($Z1593="A",INDEX(Fixed_Assets!$L$2:$L$201,$AB1593)&amp;"",IF($Z1593="F",INDEX(Workforce!$K$2:$K$151,MATCH(INDEX(FTE_Allocation!$A$2:$A$201,$AB1593),Workforce!$A$2:$A$151,0))&amp;"","")))</f>
        <v/>
      </c>
      <c r="G1593" s="7">
        <f>IF($Z1593="C",INDEX(Contracts!$F$2:$F$151,$AB1593)&amp;" / "&amp;INDEX(Contracts!$G$2:$G$151,$AB1593),IF($Z1593="A",INDEX(Fixed_Assets!$E$2:$E$201,$AB1593)&amp;"",IF($Z1593="F","Personnel "&amp;INDEX(FTE_Allocation!$A$2:$A$201,$AB1593)&amp;IF(INDEX(FTE_Allocation!$D$2:$D$201,$AB1593)="PROJECT"," ("&amp;INDEX(FTE_Allocation!$E$2:$E$201,$AB1593)&amp;")",""),"")))</f>
        <v/>
      </c>
      <c r="H1593" s="7">
        <f>IF($Z1593="C","CONTRACT",IF($Z1593="A","ASSET",IF($Z1593="F","WORKFORCE","")))</f>
        <v/>
      </c>
      <c r="I1593" s="7">
        <f>IF($Z1593="C",INDEX(Contracts!$L$2:$L$151,$AB1593)&amp;"",IF($Z1593="A",INDEX(Fixed_Assets!$I$2:$I$201,$AB1593)&amp;"",IF($Z1593="F",INDEX(Workforce!$G$2:$G$151,MATCH(INDEX(FTE_Allocation!$A$2:$A$201,$AB1593),Workforce!$A$2:$A$151,0))&amp;"","")))</f>
        <v/>
      </c>
      <c r="J1593" s="18">
        <f>IF($Z1593="","",IF(AND(DATE($AD1593,1,1)&gt;=$AE1593,DATE($AD1593,1,1)&lt;=$AF1593),ROUND($AG1593,2),0))</f>
        <v/>
      </c>
      <c r="K1593" s="18">
        <f>IF($Z1593="","",IF(AND(DATE($AD1593,2,1)&gt;=$AE1593,DATE($AD1593,2,1)&lt;=$AF1593),ROUND($AG1593,2),0))</f>
        <v/>
      </c>
      <c r="L1593" s="18">
        <f>IF($Z1593="","",IF(AND(DATE($AD1593,3,1)&gt;=$AE1593,DATE($AD1593,3,1)&lt;=$AF1593),ROUND($AG1593,2),0))</f>
        <v/>
      </c>
      <c r="M1593" s="18">
        <f>IF($Z1593="","",IF(AND(DATE($AD1593,4,1)&gt;=$AE1593,DATE($AD1593,4,1)&lt;=$AF1593),ROUND($AG1593,2),0))</f>
        <v/>
      </c>
      <c r="N1593" s="18">
        <f>IF($Z1593="","",IF(AND(DATE($AD1593,5,1)&gt;=$AE1593,DATE($AD1593,5,1)&lt;=$AF1593),ROUND($AG1593,2),0))</f>
        <v/>
      </c>
      <c r="O1593" s="18">
        <f>IF($Z1593="","",IF(AND(DATE($AD1593,6,1)&gt;=$AE1593,DATE($AD1593,6,1)&lt;=$AF1593),ROUND($AG1593,2),0))</f>
        <v/>
      </c>
      <c r="P1593" s="18">
        <f>IF($Z1593="","",IF(AND(DATE($AD1593,7,1)&gt;=$AE1593,DATE($AD1593,7,1)&lt;=$AF1593),ROUND($AG1593,2),0))</f>
        <v/>
      </c>
      <c r="Q1593" s="18">
        <f>IF($Z1593="","",IF(AND(DATE($AD1593,8,1)&gt;=$AE1593,DATE($AD1593,8,1)&lt;=$AF1593),ROUND($AG1593,2),0))</f>
        <v/>
      </c>
      <c r="R1593" s="18">
        <f>IF($Z1593="","",IF(AND(DATE($AD1593,9,1)&gt;=$AE1593,DATE($AD1593,9,1)&lt;=$AF1593),ROUND($AG1593,2),0))</f>
        <v/>
      </c>
      <c r="S1593" s="18">
        <f>IF($Z1593="","",IF(AND(DATE($AD1593,10,1)&gt;=$AE1593,DATE($AD1593,10,1)&lt;=$AF1593),ROUND($AG1593,2),0))</f>
        <v/>
      </c>
      <c r="T1593" s="18">
        <f>IF($Z1593="","",IF(AND(DATE($AD1593,11,1)&gt;=$AE1593,DATE($AD1593,11,1)&lt;=$AF1593),ROUND($AG1593,2),0))</f>
        <v/>
      </c>
      <c r="U1593" s="18">
        <f>IF($Z1593="","",IF(AND(DATE($AD1593,12,1)&gt;=$AE1593,DATE($AD1593,12,1)&lt;=$AF1593),ROUND($AG1593,2),0))</f>
        <v/>
      </c>
      <c r="V1593" s="7">
        <f>IF($Z1593="C","Generated from "&amp;INDEX(Contracts!$A$2:$A$151,$AB1593),IF($Z1593="A","Generated from "&amp;INDEX(Fixed_Assets!$A$2:$A$201,$AB1593),IF($Z1593="F","Generated from "&amp;INDEX(FTE_Allocation!$A$2:$A$201,$AB1593),"")))</f>
        <v/>
      </c>
      <c r="X1593" s="19">
        <f>IF($Z1593="","",SUM(J1593:U1593))</f>
        <v/>
      </c>
      <c r="Y1593" s="20">
        <f>ROW()-1</f>
        <v/>
      </c>
      <c r="Z1593" s="20">
        <f>IF($Y1593&lt;=Settings!$B$4*3,"C",IF($Y1593&lt;=(Settings!$B$4+Settings!$B$5)*3,"A",IF($Y1593&lt;=(Settings!$B$4+Settings!$B$5+Settings!$B$6)*3,"F","")))</f>
        <v/>
      </c>
      <c r="AA1593" s="20">
        <f>IF($Z1593="C",$Y1593,IF($Z1593="A",$Y1593-Settings!$B$4*3,IF($Z1593="F",$Y1593-(Settings!$B$4+Settings!$B$5)*3,"")))</f>
        <v/>
      </c>
      <c r="AB1593" s="20">
        <f>IF($Z1593="","",INT(($AA1593-1)/3)+1)</f>
        <v/>
      </c>
      <c r="AC1593" s="20">
        <f>IF($Z1593="","",MOD($AA1593-1,3)+1)</f>
        <v/>
      </c>
      <c r="AD1593" s="20">
        <f>IF($Z1593="","",Settings!$B$2+$AC1593-1)</f>
        <v/>
      </c>
      <c r="AE1593" s="21">
        <f>IF($Z1593="C",DATE(YEAR(INDEX(Contracts!$J$2:$J$151,$AB1593)),MONTH(INDEX(Contracts!$J$2:$J$151,$AB1593)),1),IF($Z1593="A",DATE(YEAR(INDEX(Fixed_Assets!$G$2:$G$201,$AB1593)),MONTH(INDEX(Fixed_Assets!$G$2:$G$201,$AB1593)),1),IF($Z1593="F",DATE(YEAR(MAX(N(INDEX(Workforce!$I$2:$I$151,MATCH(INDEX(FTE_Allocation!$A$2:$A$201,$AB1593),Workforce!$A$2:$A$151,0))),N(INDEX(FTE_Allocation!$I$2:$I$201,$AB1593)))),MONTH(MAX(N(INDEX(Workforce!$I$2:$I$151,MATCH(INDEX(FTE_Allocation!$A$2:$A$201,$AB1593),Workforce!$A$2:$A$151,0))),N(INDEX(FTE_Allocation!$I$2:$I$201,$AB1593)))),1),"")))</f>
        <v/>
      </c>
      <c r="AF1593" s="21">
        <f>IF($Z1593="C",IF(INDEX(Contracts!$I$2:$I$151,$AB1593)="PREPAID",EDATE(DATE(YEAR(INDEX(Contracts!$J$2:$J$151,$AB1593)),MONTH(INDEX(Contracts!$J$2:$J$151,$AB1593)),1),IF(INDEX(Contracts!$N$2:$N$151,$AB1593)="",12,INDEX(Contracts!$N$2:$N$151,$AB1593))-1),IF(INDEX(Contracts!$I$2:$I$151,$AB1593)="MONTHLY",IF(INDEX(Contracts!$K$2:$K$151,$AB1593)="",2958101,INDEX(Contracts!$K$2:$K$151,$AB1593)),0)),IF($Z1593="A",EDATE(DATE(YEAR(INDEX(Fixed_Assets!$G$2:$G$201,$AB1593)),MONTH(INDEX(Fixed_Assets!$G$2:$G$201,$AB1593)),1),INDEX(Fixed_Assets!$J$2:$J$201,$AB1593)-1),IF($Z1593="F",MIN(IF(INDEX(Workforce!$J$2:$J$151,MATCH(INDEX(FTE_Allocation!$A$2:$A$201,$AB1593),Workforce!$A$2:$A$151,0))="",2958101,INDEX(Workforce!$J$2:$J$151,MATCH(INDEX(FTE_Allocation!$A$2:$A$201,$AB1593),Workforce!$A$2:$A$151,0))),IF(INDEX(FTE_Allocation!$J$2:$J$201,$AB1593)="",2958101,INDEX(FTE_Allocation!$J$2:$J$201,$AB1593))),"")))</f>
        <v/>
      </c>
      <c r="AG1593" s="19">
        <f>IF($Z1593="C",IF(INDEX(Contracts!$I$2:$I$151,$AB1593)="PREPAID",INDEX(Contracts!$M$2:$M$151,$AB1593)/IF(INDEX(Contracts!$N$2:$N$151,$AB1593)="",12,INDEX(Contracts!$N$2:$N$151,$AB1593)),IF(INDEX(Contracts!$I$2:$I$151,$AB1593)="MONTHLY",INDEX(Contracts!$M$2:$M$151,$AB1593),0))*(1-N(INDEX(Contracts!$O$2:$O$151,$AB1593))),IF($Z1593="A",INDEX(Fixed_Assets!$H$2:$H$201,$AB1593)/INDEX(Fixed_Assets!$J$2:$J$201,$AB1593),IF($Z1593="F",INDEX(Workforce!$F$2:$F$151,MATCH(INDEX(FTE_Allocation!$A$2:$A$201,$AB1593),Workforce!$A$2:$A$151,0))*N(INDEX(FTE_Allocation!$F$2:$H$201,$AB1593,$AC1593)),"")))</f>
        <v/>
      </c>
    </row>
    <row r="1594">
      <c r="A1594" s="7">
        <f>IF($Z1594="","",$AD1594)</f>
        <v/>
      </c>
      <c r="B1594" s="7">
        <f>IF($Z1594="C",INDEX(Contracts!$D$2:$D$151,$AB1594)&amp;"",IF($Z1594="A",INDEX(Fixed_Assets!$C$2:$C$201,$AB1594)&amp;"",IF($Z1594="F",INDEX(Workforce!$B$2:$B$151,MATCH(INDEX(FTE_Allocation!$A$2:$A$201,$AB1594),Workforce!$A$2:$A$151,0))&amp;"","")))</f>
        <v/>
      </c>
      <c r="C1594" s="7">
        <f>IF($Z1594="C",INDEX(Contracts!$E$2:$E$151,$AB1594)&amp;"",IF($Z1594="A",INDEX(Fixed_Assets!$D$2:$D$201,$AB1594)&amp;"",IF($Z1594="F",INDEX(FTE_Allocation!$C$2:$C$201,$AB1594)&amp;"","")))</f>
        <v/>
      </c>
      <c r="D1594" s="7">
        <f>IF($Z1594="C",INDEX(Contracts!$B$2:$B$151,$AB1594)&amp;"",IF($Z1594="A",INDEX(Fixed_Assets!$B$2:$B$201,$AB1594)&amp;"",IF($Z1594="F",INDEX(FTE_Allocation!$B$2:$B$201,$AB1594)&amp;"","")))</f>
        <v/>
      </c>
      <c r="E1594" s="7">
        <f>IF($Z1594="C",INDEX(Contracts!$P$2:$P$151,$AB1594)&amp;"",IF($Z1594="A",INDEX(Fixed_Assets!$K$2:$K$201,$AB1594)&amp;"",IF($Z1594="F",IF(INDEX(FTE_Allocation!$D$2:$D$201,$AB1594)="PROJECT",IFERROR(INDEX(Projects!$D:$D,MATCH(INDEX(FTE_Allocation!$E$2:$E$201,$AB1594),Projects!$A:$A,0))&amp;"","#PROJECT?"),INDEX(FTE_Allocation!$E$2:$E$201,$AB1594)&amp;""),"")))</f>
        <v/>
      </c>
      <c r="F1594" s="7">
        <f>IF($Z1594="C",INDEX(Contracts!$Q$2:$Q$151,$AB1594)&amp;"",IF($Z1594="A",INDEX(Fixed_Assets!$L$2:$L$201,$AB1594)&amp;"",IF($Z1594="F",INDEX(Workforce!$K$2:$K$151,MATCH(INDEX(FTE_Allocation!$A$2:$A$201,$AB1594),Workforce!$A$2:$A$151,0))&amp;"","")))</f>
        <v/>
      </c>
      <c r="G1594" s="7">
        <f>IF($Z1594="C",INDEX(Contracts!$F$2:$F$151,$AB1594)&amp;" / "&amp;INDEX(Contracts!$G$2:$G$151,$AB1594),IF($Z1594="A",INDEX(Fixed_Assets!$E$2:$E$201,$AB1594)&amp;"",IF($Z1594="F","Personnel "&amp;INDEX(FTE_Allocation!$A$2:$A$201,$AB1594)&amp;IF(INDEX(FTE_Allocation!$D$2:$D$201,$AB1594)="PROJECT"," ("&amp;INDEX(FTE_Allocation!$E$2:$E$201,$AB1594)&amp;")",""),"")))</f>
        <v/>
      </c>
      <c r="H1594" s="7">
        <f>IF($Z1594="C","CONTRACT",IF($Z1594="A","ASSET",IF($Z1594="F","WORKFORCE","")))</f>
        <v/>
      </c>
      <c r="I1594" s="7">
        <f>IF($Z1594="C",INDEX(Contracts!$L$2:$L$151,$AB1594)&amp;"",IF($Z1594="A",INDEX(Fixed_Assets!$I$2:$I$201,$AB1594)&amp;"",IF($Z1594="F",INDEX(Workforce!$G$2:$G$151,MATCH(INDEX(FTE_Allocation!$A$2:$A$201,$AB1594),Workforce!$A$2:$A$151,0))&amp;"","")))</f>
        <v/>
      </c>
      <c r="J1594" s="18">
        <f>IF($Z1594="","",IF(AND(DATE($AD1594,1,1)&gt;=$AE1594,DATE($AD1594,1,1)&lt;=$AF1594),ROUND($AG1594,2),0))</f>
        <v/>
      </c>
      <c r="K1594" s="18">
        <f>IF($Z1594="","",IF(AND(DATE($AD1594,2,1)&gt;=$AE1594,DATE($AD1594,2,1)&lt;=$AF1594),ROUND($AG1594,2),0))</f>
        <v/>
      </c>
      <c r="L1594" s="18">
        <f>IF($Z1594="","",IF(AND(DATE($AD1594,3,1)&gt;=$AE1594,DATE($AD1594,3,1)&lt;=$AF1594),ROUND($AG1594,2),0))</f>
        <v/>
      </c>
      <c r="M1594" s="18">
        <f>IF($Z1594="","",IF(AND(DATE($AD1594,4,1)&gt;=$AE1594,DATE($AD1594,4,1)&lt;=$AF1594),ROUND($AG1594,2),0))</f>
        <v/>
      </c>
      <c r="N1594" s="18">
        <f>IF($Z1594="","",IF(AND(DATE($AD1594,5,1)&gt;=$AE1594,DATE($AD1594,5,1)&lt;=$AF1594),ROUND($AG1594,2),0))</f>
        <v/>
      </c>
      <c r="O1594" s="18">
        <f>IF($Z1594="","",IF(AND(DATE($AD1594,6,1)&gt;=$AE1594,DATE($AD1594,6,1)&lt;=$AF1594),ROUND($AG1594,2),0))</f>
        <v/>
      </c>
      <c r="P1594" s="18">
        <f>IF($Z1594="","",IF(AND(DATE($AD1594,7,1)&gt;=$AE1594,DATE($AD1594,7,1)&lt;=$AF1594),ROUND($AG1594,2),0))</f>
        <v/>
      </c>
      <c r="Q1594" s="18">
        <f>IF($Z1594="","",IF(AND(DATE($AD1594,8,1)&gt;=$AE1594,DATE($AD1594,8,1)&lt;=$AF1594),ROUND($AG1594,2),0))</f>
        <v/>
      </c>
      <c r="R1594" s="18">
        <f>IF($Z1594="","",IF(AND(DATE($AD1594,9,1)&gt;=$AE1594,DATE($AD1594,9,1)&lt;=$AF1594),ROUND($AG1594,2),0))</f>
        <v/>
      </c>
      <c r="S1594" s="18">
        <f>IF($Z1594="","",IF(AND(DATE($AD1594,10,1)&gt;=$AE1594,DATE($AD1594,10,1)&lt;=$AF1594),ROUND($AG1594,2),0))</f>
        <v/>
      </c>
      <c r="T1594" s="18">
        <f>IF($Z1594="","",IF(AND(DATE($AD1594,11,1)&gt;=$AE1594,DATE($AD1594,11,1)&lt;=$AF1594),ROUND($AG1594,2),0))</f>
        <v/>
      </c>
      <c r="U1594" s="18">
        <f>IF($Z1594="","",IF(AND(DATE($AD1594,12,1)&gt;=$AE1594,DATE($AD1594,12,1)&lt;=$AF1594),ROUND($AG1594,2),0))</f>
        <v/>
      </c>
      <c r="V1594" s="7">
        <f>IF($Z1594="C","Generated from "&amp;INDEX(Contracts!$A$2:$A$151,$AB1594),IF($Z1594="A","Generated from "&amp;INDEX(Fixed_Assets!$A$2:$A$201,$AB1594),IF($Z1594="F","Generated from "&amp;INDEX(FTE_Allocation!$A$2:$A$201,$AB1594),"")))</f>
        <v/>
      </c>
      <c r="X1594" s="19">
        <f>IF($Z1594="","",SUM(J1594:U1594))</f>
        <v/>
      </c>
      <c r="Y1594" s="20">
        <f>ROW()-1</f>
        <v/>
      </c>
      <c r="Z1594" s="20">
        <f>IF($Y1594&lt;=Settings!$B$4*3,"C",IF($Y1594&lt;=(Settings!$B$4+Settings!$B$5)*3,"A",IF($Y1594&lt;=(Settings!$B$4+Settings!$B$5+Settings!$B$6)*3,"F","")))</f>
        <v/>
      </c>
      <c r="AA1594" s="20">
        <f>IF($Z1594="C",$Y1594,IF($Z1594="A",$Y1594-Settings!$B$4*3,IF($Z1594="F",$Y1594-(Settings!$B$4+Settings!$B$5)*3,"")))</f>
        <v/>
      </c>
      <c r="AB1594" s="20">
        <f>IF($Z1594="","",INT(($AA1594-1)/3)+1)</f>
        <v/>
      </c>
      <c r="AC1594" s="20">
        <f>IF($Z1594="","",MOD($AA1594-1,3)+1)</f>
        <v/>
      </c>
      <c r="AD1594" s="20">
        <f>IF($Z1594="","",Settings!$B$2+$AC1594-1)</f>
        <v/>
      </c>
      <c r="AE1594" s="21">
        <f>IF($Z1594="C",DATE(YEAR(INDEX(Contracts!$J$2:$J$151,$AB1594)),MONTH(INDEX(Contracts!$J$2:$J$151,$AB1594)),1),IF($Z1594="A",DATE(YEAR(INDEX(Fixed_Assets!$G$2:$G$201,$AB1594)),MONTH(INDEX(Fixed_Assets!$G$2:$G$201,$AB1594)),1),IF($Z1594="F",DATE(YEAR(MAX(N(INDEX(Workforce!$I$2:$I$151,MATCH(INDEX(FTE_Allocation!$A$2:$A$201,$AB1594),Workforce!$A$2:$A$151,0))),N(INDEX(FTE_Allocation!$I$2:$I$201,$AB1594)))),MONTH(MAX(N(INDEX(Workforce!$I$2:$I$151,MATCH(INDEX(FTE_Allocation!$A$2:$A$201,$AB1594),Workforce!$A$2:$A$151,0))),N(INDEX(FTE_Allocation!$I$2:$I$201,$AB1594)))),1),"")))</f>
        <v/>
      </c>
      <c r="AF1594" s="21">
        <f>IF($Z1594="C",IF(INDEX(Contracts!$I$2:$I$151,$AB1594)="PREPAID",EDATE(DATE(YEAR(INDEX(Contracts!$J$2:$J$151,$AB1594)),MONTH(INDEX(Contracts!$J$2:$J$151,$AB1594)),1),IF(INDEX(Contracts!$N$2:$N$151,$AB1594)="",12,INDEX(Contracts!$N$2:$N$151,$AB1594))-1),IF(INDEX(Contracts!$I$2:$I$151,$AB1594)="MONTHLY",IF(INDEX(Contracts!$K$2:$K$151,$AB1594)="",2958101,INDEX(Contracts!$K$2:$K$151,$AB1594)),0)),IF($Z1594="A",EDATE(DATE(YEAR(INDEX(Fixed_Assets!$G$2:$G$201,$AB1594)),MONTH(INDEX(Fixed_Assets!$G$2:$G$201,$AB1594)),1),INDEX(Fixed_Assets!$J$2:$J$201,$AB1594)-1),IF($Z1594="F",MIN(IF(INDEX(Workforce!$J$2:$J$151,MATCH(INDEX(FTE_Allocation!$A$2:$A$201,$AB1594),Workforce!$A$2:$A$151,0))="",2958101,INDEX(Workforce!$J$2:$J$151,MATCH(INDEX(FTE_Allocation!$A$2:$A$201,$AB1594),Workforce!$A$2:$A$151,0))),IF(INDEX(FTE_Allocation!$J$2:$J$201,$AB1594)="",2958101,INDEX(FTE_Allocation!$J$2:$J$201,$AB1594))),"")))</f>
        <v/>
      </c>
      <c r="AG1594" s="19">
        <f>IF($Z1594="C",IF(INDEX(Contracts!$I$2:$I$151,$AB1594)="PREPAID",INDEX(Contracts!$M$2:$M$151,$AB1594)/IF(INDEX(Contracts!$N$2:$N$151,$AB1594)="",12,INDEX(Contracts!$N$2:$N$151,$AB1594)),IF(INDEX(Contracts!$I$2:$I$151,$AB1594)="MONTHLY",INDEX(Contracts!$M$2:$M$151,$AB1594),0))*(1-N(INDEX(Contracts!$O$2:$O$151,$AB1594))),IF($Z1594="A",INDEX(Fixed_Assets!$H$2:$H$201,$AB1594)/INDEX(Fixed_Assets!$J$2:$J$201,$AB1594),IF($Z1594="F",INDEX(Workforce!$F$2:$F$151,MATCH(INDEX(FTE_Allocation!$A$2:$A$201,$AB1594),Workforce!$A$2:$A$151,0))*N(INDEX(FTE_Allocation!$F$2:$H$201,$AB1594,$AC1594)),"")))</f>
        <v/>
      </c>
    </row>
    <row r="1595">
      <c r="A1595" s="7">
        <f>IF($Z1595="","",$AD1595)</f>
        <v/>
      </c>
      <c r="B1595" s="7">
        <f>IF($Z1595="C",INDEX(Contracts!$D$2:$D$151,$AB1595)&amp;"",IF($Z1595="A",INDEX(Fixed_Assets!$C$2:$C$201,$AB1595)&amp;"",IF($Z1595="F",INDEX(Workforce!$B$2:$B$151,MATCH(INDEX(FTE_Allocation!$A$2:$A$201,$AB1595),Workforce!$A$2:$A$151,0))&amp;"","")))</f>
        <v/>
      </c>
      <c r="C1595" s="7">
        <f>IF($Z1595="C",INDEX(Contracts!$E$2:$E$151,$AB1595)&amp;"",IF($Z1595="A",INDEX(Fixed_Assets!$D$2:$D$201,$AB1595)&amp;"",IF($Z1595="F",INDEX(FTE_Allocation!$C$2:$C$201,$AB1595)&amp;"","")))</f>
        <v/>
      </c>
      <c r="D1595" s="7">
        <f>IF($Z1595="C",INDEX(Contracts!$B$2:$B$151,$AB1595)&amp;"",IF($Z1595="A",INDEX(Fixed_Assets!$B$2:$B$201,$AB1595)&amp;"",IF($Z1595="F",INDEX(FTE_Allocation!$B$2:$B$201,$AB1595)&amp;"","")))</f>
        <v/>
      </c>
      <c r="E1595" s="7">
        <f>IF($Z1595="C",INDEX(Contracts!$P$2:$P$151,$AB1595)&amp;"",IF($Z1595="A",INDEX(Fixed_Assets!$K$2:$K$201,$AB1595)&amp;"",IF($Z1595="F",IF(INDEX(FTE_Allocation!$D$2:$D$201,$AB1595)="PROJECT",IFERROR(INDEX(Projects!$D:$D,MATCH(INDEX(FTE_Allocation!$E$2:$E$201,$AB1595),Projects!$A:$A,0))&amp;"","#PROJECT?"),INDEX(FTE_Allocation!$E$2:$E$201,$AB1595)&amp;""),"")))</f>
        <v/>
      </c>
      <c r="F1595" s="7">
        <f>IF($Z1595="C",INDEX(Contracts!$Q$2:$Q$151,$AB1595)&amp;"",IF($Z1595="A",INDEX(Fixed_Assets!$L$2:$L$201,$AB1595)&amp;"",IF($Z1595="F",INDEX(Workforce!$K$2:$K$151,MATCH(INDEX(FTE_Allocation!$A$2:$A$201,$AB1595),Workforce!$A$2:$A$151,0))&amp;"","")))</f>
        <v/>
      </c>
      <c r="G1595" s="7">
        <f>IF($Z1595="C",INDEX(Contracts!$F$2:$F$151,$AB1595)&amp;" / "&amp;INDEX(Contracts!$G$2:$G$151,$AB1595),IF($Z1595="A",INDEX(Fixed_Assets!$E$2:$E$201,$AB1595)&amp;"",IF($Z1595="F","Personnel "&amp;INDEX(FTE_Allocation!$A$2:$A$201,$AB1595)&amp;IF(INDEX(FTE_Allocation!$D$2:$D$201,$AB1595)="PROJECT"," ("&amp;INDEX(FTE_Allocation!$E$2:$E$201,$AB1595)&amp;")",""),"")))</f>
        <v/>
      </c>
      <c r="H1595" s="7">
        <f>IF($Z1595="C","CONTRACT",IF($Z1595="A","ASSET",IF($Z1595="F","WORKFORCE","")))</f>
        <v/>
      </c>
      <c r="I1595" s="7">
        <f>IF($Z1595="C",INDEX(Contracts!$L$2:$L$151,$AB1595)&amp;"",IF($Z1595="A",INDEX(Fixed_Assets!$I$2:$I$201,$AB1595)&amp;"",IF($Z1595="F",INDEX(Workforce!$G$2:$G$151,MATCH(INDEX(FTE_Allocation!$A$2:$A$201,$AB1595),Workforce!$A$2:$A$151,0))&amp;"","")))</f>
        <v/>
      </c>
      <c r="J1595" s="18">
        <f>IF($Z1595="","",IF(AND(DATE($AD1595,1,1)&gt;=$AE1595,DATE($AD1595,1,1)&lt;=$AF1595),ROUND($AG1595,2),0))</f>
        <v/>
      </c>
      <c r="K1595" s="18">
        <f>IF($Z1595="","",IF(AND(DATE($AD1595,2,1)&gt;=$AE1595,DATE($AD1595,2,1)&lt;=$AF1595),ROUND($AG1595,2),0))</f>
        <v/>
      </c>
      <c r="L1595" s="18">
        <f>IF($Z1595="","",IF(AND(DATE($AD1595,3,1)&gt;=$AE1595,DATE($AD1595,3,1)&lt;=$AF1595),ROUND($AG1595,2),0))</f>
        <v/>
      </c>
      <c r="M1595" s="18">
        <f>IF($Z1595="","",IF(AND(DATE($AD1595,4,1)&gt;=$AE1595,DATE($AD1595,4,1)&lt;=$AF1595),ROUND($AG1595,2),0))</f>
        <v/>
      </c>
      <c r="N1595" s="18">
        <f>IF($Z1595="","",IF(AND(DATE($AD1595,5,1)&gt;=$AE1595,DATE($AD1595,5,1)&lt;=$AF1595),ROUND($AG1595,2),0))</f>
        <v/>
      </c>
      <c r="O1595" s="18">
        <f>IF($Z1595="","",IF(AND(DATE($AD1595,6,1)&gt;=$AE1595,DATE($AD1595,6,1)&lt;=$AF1595),ROUND($AG1595,2),0))</f>
        <v/>
      </c>
      <c r="P1595" s="18">
        <f>IF($Z1595="","",IF(AND(DATE($AD1595,7,1)&gt;=$AE1595,DATE($AD1595,7,1)&lt;=$AF1595),ROUND($AG1595,2),0))</f>
        <v/>
      </c>
      <c r="Q1595" s="18">
        <f>IF($Z1595="","",IF(AND(DATE($AD1595,8,1)&gt;=$AE1595,DATE($AD1595,8,1)&lt;=$AF1595),ROUND($AG1595,2),0))</f>
        <v/>
      </c>
      <c r="R1595" s="18">
        <f>IF($Z1595="","",IF(AND(DATE($AD1595,9,1)&gt;=$AE1595,DATE($AD1595,9,1)&lt;=$AF1595),ROUND($AG1595,2),0))</f>
        <v/>
      </c>
      <c r="S1595" s="18">
        <f>IF($Z1595="","",IF(AND(DATE($AD1595,10,1)&gt;=$AE1595,DATE($AD1595,10,1)&lt;=$AF1595),ROUND($AG1595,2),0))</f>
        <v/>
      </c>
      <c r="T1595" s="18">
        <f>IF($Z1595="","",IF(AND(DATE($AD1595,11,1)&gt;=$AE1595,DATE($AD1595,11,1)&lt;=$AF1595),ROUND($AG1595,2),0))</f>
        <v/>
      </c>
      <c r="U1595" s="18">
        <f>IF($Z1595="","",IF(AND(DATE($AD1595,12,1)&gt;=$AE1595,DATE($AD1595,12,1)&lt;=$AF1595),ROUND($AG1595,2),0))</f>
        <v/>
      </c>
      <c r="V1595" s="7">
        <f>IF($Z1595="C","Generated from "&amp;INDEX(Contracts!$A$2:$A$151,$AB1595),IF($Z1595="A","Generated from "&amp;INDEX(Fixed_Assets!$A$2:$A$201,$AB1595),IF($Z1595="F","Generated from "&amp;INDEX(FTE_Allocation!$A$2:$A$201,$AB1595),"")))</f>
        <v/>
      </c>
      <c r="X1595" s="19">
        <f>IF($Z1595="","",SUM(J1595:U1595))</f>
        <v/>
      </c>
      <c r="Y1595" s="20">
        <f>ROW()-1</f>
        <v/>
      </c>
      <c r="Z1595" s="20">
        <f>IF($Y1595&lt;=Settings!$B$4*3,"C",IF($Y1595&lt;=(Settings!$B$4+Settings!$B$5)*3,"A",IF($Y1595&lt;=(Settings!$B$4+Settings!$B$5+Settings!$B$6)*3,"F","")))</f>
        <v/>
      </c>
      <c r="AA1595" s="20">
        <f>IF($Z1595="C",$Y1595,IF($Z1595="A",$Y1595-Settings!$B$4*3,IF($Z1595="F",$Y1595-(Settings!$B$4+Settings!$B$5)*3,"")))</f>
        <v/>
      </c>
      <c r="AB1595" s="20">
        <f>IF($Z1595="","",INT(($AA1595-1)/3)+1)</f>
        <v/>
      </c>
      <c r="AC1595" s="20">
        <f>IF($Z1595="","",MOD($AA1595-1,3)+1)</f>
        <v/>
      </c>
      <c r="AD1595" s="20">
        <f>IF($Z1595="","",Settings!$B$2+$AC1595-1)</f>
        <v/>
      </c>
      <c r="AE1595" s="21">
        <f>IF($Z1595="C",DATE(YEAR(INDEX(Contracts!$J$2:$J$151,$AB1595)),MONTH(INDEX(Contracts!$J$2:$J$151,$AB1595)),1),IF($Z1595="A",DATE(YEAR(INDEX(Fixed_Assets!$G$2:$G$201,$AB1595)),MONTH(INDEX(Fixed_Assets!$G$2:$G$201,$AB1595)),1),IF($Z1595="F",DATE(YEAR(MAX(N(INDEX(Workforce!$I$2:$I$151,MATCH(INDEX(FTE_Allocation!$A$2:$A$201,$AB1595),Workforce!$A$2:$A$151,0))),N(INDEX(FTE_Allocation!$I$2:$I$201,$AB1595)))),MONTH(MAX(N(INDEX(Workforce!$I$2:$I$151,MATCH(INDEX(FTE_Allocation!$A$2:$A$201,$AB1595),Workforce!$A$2:$A$151,0))),N(INDEX(FTE_Allocation!$I$2:$I$201,$AB1595)))),1),"")))</f>
        <v/>
      </c>
      <c r="AF1595" s="21">
        <f>IF($Z1595="C",IF(INDEX(Contracts!$I$2:$I$151,$AB1595)="PREPAID",EDATE(DATE(YEAR(INDEX(Contracts!$J$2:$J$151,$AB1595)),MONTH(INDEX(Contracts!$J$2:$J$151,$AB1595)),1),IF(INDEX(Contracts!$N$2:$N$151,$AB1595)="",12,INDEX(Contracts!$N$2:$N$151,$AB1595))-1),IF(INDEX(Contracts!$I$2:$I$151,$AB1595)="MONTHLY",IF(INDEX(Contracts!$K$2:$K$151,$AB1595)="",2958101,INDEX(Contracts!$K$2:$K$151,$AB1595)),0)),IF($Z1595="A",EDATE(DATE(YEAR(INDEX(Fixed_Assets!$G$2:$G$201,$AB1595)),MONTH(INDEX(Fixed_Assets!$G$2:$G$201,$AB1595)),1),INDEX(Fixed_Assets!$J$2:$J$201,$AB1595)-1),IF($Z1595="F",MIN(IF(INDEX(Workforce!$J$2:$J$151,MATCH(INDEX(FTE_Allocation!$A$2:$A$201,$AB1595),Workforce!$A$2:$A$151,0))="",2958101,INDEX(Workforce!$J$2:$J$151,MATCH(INDEX(FTE_Allocation!$A$2:$A$201,$AB1595),Workforce!$A$2:$A$151,0))),IF(INDEX(FTE_Allocation!$J$2:$J$201,$AB1595)="",2958101,INDEX(FTE_Allocation!$J$2:$J$201,$AB1595))),"")))</f>
        <v/>
      </c>
      <c r="AG1595" s="19">
        <f>IF($Z1595="C",IF(INDEX(Contracts!$I$2:$I$151,$AB1595)="PREPAID",INDEX(Contracts!$M$2:$M$151,$AB1595)/IF(INDEX(Contracts!$N$2:$N$151,$AB1595)="",12,INDEX(Contracts!$N$2:$N$151,$AB1595)),IF(INDEX(Contracts!$I$2:$I$151,$AB1595)="MONTHLY",INDEX(Contracts!$M$2:$M$151,$AB1595),0))*(1-N(INDEX(Contracts!$O$2:$O$151,$AB1595))),IF($Z1595="A",INDEX(Fixed_Assets!$H$2:$H$201,$AB1595)/INDEX(Fixed_Assets!$J$2:$J$201,$AB1595),IF($Z1595="F",INDEX(Workforce!$F$2:$F$151,MATCH(INDEX(FTE_Allocation!$A$2:$A$201,$AB1595),Workforce!$A$2:$A$151,0))*N(INDEX(FTE_Allocation!$F$2:$H$201,$AB1595,$AC1595)),"")))</f>
        <v/>
      </c>
    </row>
    <row r="1596">
      <c r="A1596" s="7">
        <f>IF($Z1596="","",$AD1596)</f>
        <v/>
      </c>
      <c r="B1596" s="7">
        <f>IF($Z1596="C",INDEX(Contracts!$D$2:$D$151,$AB1596)&amp;"",IF($Z1596="A",INDEX(Fixed_Assets!$C$2:$C$201,$AB1596)&amp;"",IF($Z1596="F",INDEX(Workforce!$B$2:$B$151,MATCH(INDEX(FTE_Allocation!$A$2:$A$201,$AB1596),Workforce!$A$2:$A$151,0))&amp;"","")))</f>
        <v/>
      </c>
      <c r="C1596" s="7">
        <f>IF($Z1596="C",INDEX(Contracts!$E$2:$E$151,$AB1596)&amp;"",IF($Z1596="A",INDEX(Fixed_Assets!$D$2:$D$201,$AB1596)&amp;"",IF($Z1596="F",INDEX(FTE_Allocation!$C$2:$C$201,$AB1596)&amp;"","")))</f>
        <v/>
      </c>
      <c r="D1596" s="7">
        <f>IF($Z1596="C",INDEX(Contracts!$B$2:$B$151,$AB1596)&amp;"",IF($Z1596="A",INDEX(Fixed_Assets!$B$2:$B$201,$AB1596)&amp;"",IF($Z1596="F",INDEX(FTE_Allocation!$B$2:$B$201,$AB1596)&amp;"","")))</f>
        <v/>
      </c>
      <c r="E1596" s="7">
        <f>IF($Z1596="C",INDEX(Contracts!$P$2:$P$151,$AB1596)&amp;"",IF($Z1596="A",INDEX(Fixed_Assets!$K$2:$K$201,$AB1596)&amp;"",IF($Z1596="F",IF(INDEX(FTE_Allocation!$D$2:$D$201,$AB1596)="PROJECT",IFERROR(INDEX(Projects!$D:$D,MATCH(INDEX(FTE_Allocation!$E$2:$E$201,$AB1596),Projects!$A:$A,0))&amp;"","#PROJECT?"),INDEX(FTE_Allocation!$E$2:$E$201,$AB1596)&amp;""),"")))</f>
        <v/>
      </c>
      <c r="F1596" s="7">
        <f>IF($Z1596="C",INDEX(Contracts!$Q$2:$Q$151,$AB1596)&amp;"",IF($Z1596="A",INDEX(Fixed_Assets!$L$2:$L$201,$AB1596)&amp;"",IF($Z1596="F",INDEX(Workforce!$K$2:$K$151,MATCH(INDEX(FTE_Allocation!$A$2:$A$201,$AB1596),Workforce!$A$2:$A$151,0))&amp;"","")))</f>
        <v/>
      </c>
      <c r="G1596" s="7">
        <f>IF($Z1596="C",INDEX(Contracts!$F$2:$F$151,$AB1596)&amp;" / "&amp;INDEX(Contracts!$G$2:$G$151,$AB1596),IF($Z1596="A",INDEX(Fixed_Assets!$E$2:$E$201,$AB1596)&amp;"",IF($Z1596="F","Personnel "&amp;INDEX(FTE_Allocation!$A$2:$A$201,$AB1596)&amp;IF(INDEX(FTE_Allocation!$D$2:$D$201,$AB1596)="PROJECT"," ("&amp;INDEX(FTE_Allocation!$E$2:$E$201,$AB1596)&amp;")",""),"")))</f>
        <v/>
      </c>
      <c r="H1596" s="7">
        <f>IF($Z1596="C","CONTRACT",IF($Z1596="A","ASSET",IF($Z1596="F","WORKFORCE","")))</f>
        <v/>
      </c>
      <c r="I1596" s="7">
        <f>IF($Z1596="C",INDEX(Contracts!$L$2:$L$151,$AB1596)&amp;"",IF($Z1596="A",INDEX(Fixed_Assets!$I$2:$I$201,$AB1596)&amp;"",IF($Z1596="F",INDEX(Workforce!$G$2:$G$151,MATCH(INDEX(FTE_Allocation!$A$2:$A$201,$AB1596),Workforce!$A$2:$A$151,0))&amp;"","")))</f>
        <v/>
      </c>
      <c r="J1596" s="18">
        <f>IF($Z1596="","",IF(AND(DATE($AD1596,1,1)&gt;=$AE1596,DATE($AD1596,1,1)&lt;=$AF1596),ROUND($AG1596,2),0))</f>
        <v/>
      </c>
      <c r="K1596" s="18">
        <f>IF($Z1596="","",IF(AND(DATE($AD1596,2,1)&gt;=$AE1596,DATE($AD1596,2,1)&lt;=$AF1596),ROUND($AG1596,2),0))</f>
        <v/>
      </c>
      <c r="L1596" s="18">
        <f>IF($Z1596="","",IF(AND(DATE($AD1596,3,1)&gt;=$AE1596,DATE($AD1596,3,1)&lt;=$AF1596),ROUND($AG1596,2),0))</f>
        <v/>
      </c>
      <c r="M1596" s="18">
        <f>IF($Z1596="","",IF(AND(DATE($AD1596,4,1)&gt;=$AE1596,DATE($AD1596,4,1)&lt;=$AF1596),ROUND($AG1596,2),0))</f>
        <v/>
      </c>
      <c r="N1596" s="18">
        <f>IF($Z1596="","",IF(AND(DATE($AD1596,5,1)&gt;=$AE1596,DATE($AD1596,5,1)&lt;=$AF1596),ROUND($AG1596,2),0))</f>
        <v/>
      </c>
      <c r="O1596" s="18">
        <f>IF($Z1596="","",IF(AND(DATE($AD1596,6,1)&gt;=$AE1596,DATE($AD1596,6,1)&lt;=$AF1596),ROUND($AG1596,2),0))</f>
        <v/>
      </c>
      <c r="P1596" s="18">
        <f>IF($Z1596="","",IF(AND(DATE($AD1596,7,1)&gt;=$AE1596,DATE($AD1596,7,1)&lt;=$AF1596),ROUND($AG1596,2),0))</f>
        <v/>
      </c>
      <c r="Q1596" s="18">
        <f>IF($Z1596="","",IF(AND(DATE($AD1596,8,1)&gt;=$AE1596,DATE($AD1596,8,1)&lt;=$AF1596),ROUND($AG1596,2),0))</f>
        <v/>
      </c>
      <c r="R1596" s="18">
        <f>IF($Z1596="","",IF(AND(DATE($AD1596,9,1)&gt;=$AE1596,DATE($AD1596,9,1)&lt;=$AF1596),ROUND($AG1596,2),0))</f>
        <v/>
      </c>
      <c r="S1596" s="18">
        <f>IF($Z1596="","",IF(AND(DATE($AD1596,10,1)&gt;=$AE1596,DATE($AD1596,10,1)&lt;=$AF1596),ROUND($AG1596,2),0))</f>
        <v/>
      </c>
      <c r="T1596" s="18">
        <f>IF($Z1596="","",IF(AND(DATE($AD1596,11,1)&gt;=$AE1596,DATE($AD1596,11,1)&lt;=$AF1596),ROUND($AG1596,2),0))</f>
        <v/>
      </c>
      <c r="U1596" s="18">
        <f>IF($Z1596="","",IF(AND(DATE($AD1596,12,1)&gt;=$AE1596,DATE($AD1596,12,1)&lt;=$AF1596),ROUND($AG1596,2),0))</f>
        <v/>
      </c>
      <c r="V1596" s="7">
        <f>IF($Z1596="C","Generated from "&amp;INDEX(Contracts!$A$2:$A$151,$AB1596),IF($Z1596="A","Generated from "&amp;INDEX(Fixed_Assets!$A$2:$A$201,$AB1596),IF($Z1596="F","Generated from "&amp;INDEX(FTE_Allocation!$A$2:$A$201,$AB1596),"")))</f>
        <v/>
      </c>
      <c r="X1596" s="19">
        <f>IF($Z1596="","",SUM(J1596:U1596))</f>
        <v/>
      </c>
      <c r="Y1596" s="20">
        <f>ROW()-1</f>
        <v/>
      </c>
      <c r="Z1596" s="20">
        <f>IF($Y1596&lt;=Settings!$B$4*3,"C",IF($Y1596&lt;=(Settings!$B$4+Settings!$B$5)*3,"A",IF($Y1596&lt;=(Settings!$B$4+Settings!$B$5+Settings!$B$6)*3,"F","")))</f>
        <v/>
      </c>
      <c r="AA1596" s="20">
        <f>IF($Z1596="C",$Y1596,IF($Z1596="A",$Y1596-Settings!$B$4*3,IF($Z1596="F",$Y1596-(Settings!$B$4+Settings!$B$5)*3,"")))</f>
        <v/>
      </c>
      <c r="AB1596" s="20">
        <f>IF($Z1596="","",INT(($AA1596-1)/3)+1)</f>
        <v/>
      </c>
      <c r="AC1596" s="20">
        <f>IF($Z1596="","",MOD($AA1596-1,3)+1)</f>
        <v/>
      </c>
      <c r="AD1596" s="20">
        <f>IF($Z1596="","",Settings!$B$2+$AC1596-1)</f>
        <v/>
      </c>
      <c r="AE1596" s="21">
        <f>IF($Z1596="C",DATE(YEAR(INDEX(Contracts!$J$2:$J$151,$AB1596)),MONTH(INDEX(Contracts!$J$2:$J$151,$AB1596)),1),IF($Z1596="A",DATE(YEAR(INDEX(Fixed_Assets!$G$2:$G$201,$AB1596)),MONTH(INDEX(Fixed_Assets!$G$2:$G$201,$AB1596)),1),IF($Z1596="F",DATE(YEAR(MAX(N(INDEX(Workforce!$I$2:$I$151,MATCH(INDEX(FTE_Allocation!$A$2:$A$201,$AB1596),Workforce!$A$2:$A$151,0))),N(INDEX(FTE_Allocation!$I$2:$I$201,$AB1596)))),MONTH(MAX(N(INDEX(Workforce!$I$2:$I$151,MATCH(INDEX(FTE_Allocation!$A$2:$A$201,$AB1596),Workforce!$A$2:$A$151,0))),N(INDEX(FTE_Allocation!$I$2:$I$201,$AB1596)))),1),"")))</f>
        <v/>
      </c>
      <c r="AF1596" s="21">
        <f>IF($Z1596="C",IF(INDEX(Contracts!$I$2:$I$151,$AB1596)="PREPAID",EDATE(DATE(YEAR(INDEX(Contracts!$J$2:$J$151,$AB1596)),MONTH(INDEX(Contracts!$J$2:$J$151,$AB1596)),1),IF(INDEX(Contracts!$N$2:$N$151,$AB1596)="",12,INDEX(Contracts!$N$2:$N$151,$AB1596))-1),IF(INDEX(Contracts!$I$2:$I$151,$AB1596)="MONTHLY",IF(INDEX(Contracts!$K$2:$K$151,$AB1596)="",2958101,INDEX(Contracts!$K$2:$K$151,$AB1596)),0)),IF($Z1596="A",EDATE(DATE(YEAR(INDEX(Fixed_Assets!$G$2:$G$201,$AB1596)),MONTH(INDEX(Fixed_Assets!$G$2:$G$201,$AB1596)),1),INDEX(Fixed_Assets!$J$2:$J$201,$AB1596)-1),IF($Z1596="F",MIN(IF(INDEX(Workforce!$J$2:$J$151,MATCH(INDEX(FTE_Allocation!$A$2:$A$201,$AB1596),Workforce!$A$2:$A$151,0))="",2958101,INDEX(Workforce!$J$2:$J$151,MATCH(INDEX(FTE_Allocation!$A$2:$A$201,$AB1596),Workforce!$A$2:$A$151,0))),IF(INDEX(FTE_Allocation!$J$2:$J$201,$AB1596)="",2958101,INDEX(FTE_Allocation!$J$2:$J$201,$AB1596))),"")))</f>
        <v/>
      </c>
      <c r="AG1596" s="19">
        <f>IF($Z1596="C",IF(INDEX(Contracts!$I$2:$I$151,$AB1596)="PREPAID",INDEX(Contracts!$M$2:$M$151,$AB1596)/IF(INDEX(Contracts!$N$2:$N$151,$AB1596)="",12,INDEX(Contracts!$N$2:$N$151,$AB1596)),IF(INDEX(Contracts!$I$2:$I$151,$AB1596)="MONTHLY",INDEX(Contracts!$M$2:$M$151,$AB1596),0))*(1-N(INDEX(Contracts!$O$2:$O$151,$AB1596))),IF($Z1596="A",INDEX(Fixed_Assets!$H$2:$H$201,$AB1596)/INDEX(Fixed_Assets!$J$2:$J$201,$AB1596),IF($Z1596="F",INDEX(Workforce!$F$2:$F$151,MATCH(INDEX(FTE_Allocation!$A$2:$A$201,$AB1596),Workforce!$A$2:$A$151,0))*N(INDEX(FTE_Allocation!$F$2:$H$201,$AB1596,$AC1596)),"")))</f>
        <v/>
      </c>
    </row>
    <row r="1597">
      <c r="A1597" s="7">
        <f>IF($Z1597="","",$AD1597)</f>
        <v/>
      </c>
      <c r="B1597" s="7">
        <f>IF($Z1597="C",INDEX(Contracts!$D$2:$D$151,$AB1597)&amp;"",IF($Z1597="A",INDEX(Fixed_Assets!$C$2:$C$201,$AB1597)&amp;"",IF($Z1597="F",INDEX(Workforce!$B$2:$B$151,MATCH(INDEX(FTE_Allocation!$A$2:$A$201,$AB1597),Workforce!$A$2:$A$151,0))&amp;"","")))</f>
        <v/>
      </c>
      <c r="C1597" s="7">
        <f>IF($Z1597="C",INDEX(Contracts!$E$2:$E$151,$AB1597)&amp;"",IF($Z1597="A",INDEX(Fixed_Assets!$D$2:$D$201,$AB1597)&amp;"",IF($Z1597="F",INDEX(FTE_Allocation!$C$2:$C$201,$AB1597)&amp;"","")))</f>
        <v/>
      </c>
      <c r="D1597" s="7">
        <f>IF($Z1597="C",INDEX(Contracts!$B$2:$B$151,$AB1597)&amp;"",IF($Z1597="A",INDEX(Fixed_Assets!$B$2:$B$201,$AB1597)&amp;"",IF($Z1597="F",INDEX(FTE_Allocation!$B$2:$B$201,$AB1597)&amp;"","")))</f>
        <v/>
      </c>
      <c r="E1597" s="7">
        <f>IF($Z1597="C",INDEX(Contracts!$P$2:$P$151,$AB1597)&amp;"",IF($Z1597="A",INDEX(Fixed_Assets!$K$2:$K$201,$AB1597)&amp;"",IF($Z1597="F",IF(INDEX(FTE_Allocation!$D$2:$D$201,$AB1597)="PROJECT",IFERROR(INDEX(Projects!$D:$D,MATCH(INDEX(FTE_Allocation!$E$2:$E$201,$AB1597),Projects!$A:$A,0))&amp;"","#PROJECT?"),INDEX(FTE_Allocation!$E$2:$E$201,$AB1597)&amp;""),"")))</f>
        <v/>
      </c>
      <c r="F1597" s="7">
        <f>IF($Z1597="C",INDEX(Contracts!$Q$2:$Q$151,$AB1597)&amp;"",IF($Z1597="A",INDEX(Fixed_Assets!$L$2:$L$201,$AB1597)&amp;"",IF($Z1597="F",INDEX(Workforce!$K$2:$K$151,MATCH(INDEX(FTE_Allocation!$A$2:$A$201,$AB1597),Workforce!$A$2:$A$151,0))&amp;"","")))</f>
        <v/>
      </c>
      <c r="G1597" s="7">
        <f>IF($Z1597="C",INDEX(Contracts!$F$2:$F$151,$AB1597)&amp;" / "&amp;INDEX(Contracts!$G$2:$G$151,$AB1597),IF($Z1597="A",INDEX(Fixed_Assets!$E$2:$E$201,$AB1597)&amp;"",IF($Z1597="F","Personnel "&amp;INDEX(FTE_Allocation!$A$2:$A$201,$AB1597)&amp;IF(INDEX(FTE_Allocation!$D$2:$D$201,$AB1597)="PROJECT"," ("&amp;INDEX(FTE_Allocation!$E$2:$E$201,$AB1597)&amp;")",""),"")))</f>
        <v/>
      </c>
      <c r="H1597" s="7">
        <f>IF($Z1597="C","CONTRACT",IF($Z1597="A","ASSET",IF($Z1597="F","WORKFORCE","")))</f>
        <v/>
      </c>
      <c r="I1597" s="7">
        <f>IF($Z1597="C",INDEX(Contracts!$L$2:$L$151,$AB1597)&amp;"",IF($Z1597="A",INDEX(Fixed_Assets!$I$2:$I$201,$AB1597)&amp;"",IF($Z1597="F",INDEX(Workforce!$G$2:$G$151,MATCH(INDEX(FTE_Allocation!$A$2:$A$201,$AB1597),Workforce!$A$2:$A$151,0))&amp;"","")))</f>
        <v/>
      </c>
      <c r="J1597" s="18">
        <f>IF($Z1597="","",IF(AND(DATE($AD1597,1,1)&gt;=$AE1597,DATE($AD1597,1,1)&lt;=$AF1597),ROUND($AG1597,2),0))</f>
        <v/>
      </c>
      <c r="K1597" s="18">
        <f>IF($Z1597="","",IF(AND(DATE($AD1597,2,1)&gt;=$AE1597,DATE($AD1597,2,1)&lt;=$AF1597),ROUND($AG1597,2),0))</f>
        <v/>
      </c>
      <c r="L1597" s="18">
        <f>IF($Z1597="","",IF(AND(DATE($AD1597,3,1)&gt;=$AE1597,DATE($AD1597,3,1)&lt;=$AF1597),ROUND($AG1597,2),0))</f>
        <v/>
      </c>
      <c r="M1597" s="18">
        <f>IF($Z1597="","",IF(AND(DATE($AD1597,4,1)&gt;=$AE1597,DATE($AD1597,4,1)&lt;=$AF1597),ROUND($AG1597,2),0))</f>
        <v/>
      </c>
      <c r="N1597" s="18">
        <f>IF($Z1597="","",IF(AND(DATE($AD1597,5,1)&gt;=$AE1597,DATE($AD1597,5,1)&lt;=$AF1597),ROUND($AG1597,2),0))</f>
        <v/>
      </c>
      <c r="O1597" s="18">
        <f>IF($Z1597="","",IF(AND(DATE($AD1597,6,1)&gt;=$AE1597,DATE($AD1597,6,1)&lt;=$AF1597),ROUND($AG1597,2),0))</f>
        <v/>
      </c>
      <c r="P1597" s="18">
        <f>IF($Z1597="","",IF(AND(DATE($AD1597,7,1)&gt;=$AE1597,DATE($AD1597,7,1)&lt;=$AF1597),ROUND($AG1597,2),0))</f>
        <v/>
      </c>
      <c r="Q1597" s="18">
        <f>IF($Z1597="","",IF(AND(DATE($AD1597,8,1)&gt;=$AE1597,DATE($AD1597,8,1)&lt;=$AF1597),ROUND($AG1597,2),0))</f>
        <v/>
      </c>
      <c r="R1597" s="18">
        <f>IF($Z1597="","",IF(AND(DATE($AD1597,9,1)&gt;=$AE1597,DATE($AD1597,9,1)&lt;=$AF1597),ROUND($AG1597,2),0))</f>
        <v/>
      </c>
      <c r="S1597" s="18">
        <f>IF($Z1597="","",IF(AND(DATE($AD1597,10,1)&gt;=$AE1597,DATE($AD1597,10,1)&lt;=$AF1597),ROUND($AG1597,2),0))</f>
        <v/>
      </c>
      <c r="T1597" s="18">
        <f>IF($Z1597="","",IF(AND(DATE($AD1597,11,1)&gt;=$AE1597,DATE($AD1597,11,1)&lt;=$AF1597),ROUND($AG1597,2),0))</f>
        <v/>
      </c>
      <c r="U1597" s="18">
        <f>IF($Z1597="","",IF(AND(DATE($AD1597,12,1)&gt;=$AE1597,DATE($AD1597,12,1)&lt;=$AF1597),ROUND($AG1597,2),0))</f>
        <v/>
      </c>
      <c r="V1597" s="7">
        <f>IF($Z1597="C","Generated from "&amp;INDEX(Contracts!$A$2:$A$151,$AB1597),IF($Z1597="A","Generated from "&amp;INDEX(Fixed_Assets!$A$2:$A$201,$AB1597),IF($Z1597="F","Generated from "&amp;INDEX(FTE_Allocation!$A$2:$A$201,$AB1597),"")))</f>
        <v/>
      </c>
      <c r="X1597" s="19">
        <f>IF($Z1597="","",SUM(J1597:U1597))</f>
        <v/>
      </c>
      <c r="Y1597" s="20">
        <f>ROW()-1</f>
        <v/>
      </c>
      <c r="Z1597" s="20">
        <f>IF($Y1597&lt;=Settings!$B$4*3,"C",IF($Y1597&lt;=(Settings!$B$4+Settings!$B$5)*3,"A",IF($Y1597&lt;=(Settings!$B$4+Settings!$B$5+Settings!$B$6)*3,"F","")))</f>
        <v/>
      </c>
      <c r="AA1597" s="20">
        <f>IF($Z1597="C",$Y1597,IF($Z1597="A",$Y1597-Settings!$B$4*3,IF($Z1597="F",$Y1597-(Settings!$B$4+Settings!$B$5)*3,"")))</f>
        <v/>
      </c>
      <c r="AB1597" s="20">
        <f>IF($Z1597="","",INT(($AA1597-1)/3)+1)</f>
        <v/>
      </c>
      <c r="AC1597" s="20">
        <f>IF($Z1597="","",MOD($AA1597-1,3)+1)</f>
        <v/>
      </c>
      <c r="AD1597" s="20">
        <f>IF($Z1597="","",Settings!$B$2+$AC1597-1)</f>
        <v/>
      </c>
      <c r="AE1597" s="21">
        <f>IF($Z1597="C",DATE(YEAR(INDEX(Contracts!$J$2:$J$151,$AB1597)),MONTH(INDEX(Contracts!$J$2:$J$151,$AB1597)),1),IF($Z1597="A",DATE(YEAR(INDEX(Fixed_Assets!$G$2:$G$201,$AB1597)),MONTH(INDEX(Fixed_Assets!$G$2:$G$201,$AB1597)),1),IF($Z1597="F",DATE(YEAR(MAX(N(INDEX(Workforce!$I$2:$I$151,MATCH(INDEX(FTE_Allocation!$A$2:$A$201,$AB1597),Workforce!$A$2:$A$151,0))),N(INDEX(FTE_Allocation!$I$2:$I$201,$AB1597)))),MONTH(MAX(N(INDEX(Workforce!$I$2:$I$151,MATCH(INDEX(FTE_Allocation!$A$2:$A$201,$AB1597),Workforce!$A$2:$A$151,0))),N(INDEX(FTE_Allocation!$I$2:$I$201,$AB1597)))),1),"")))</f>
        <v/>
      </c>
      <c r="AF1597" s="21">
        <f>IF($Z1597="C",IF(INDEX(Contracts!$I$2:$I$151,$AB1597)="PREPAID",EDATE(DATE(YEAR(INDEX(Contracts!$J$2:$J$151,$AB1597)),MONTH(INDEX(Contracts!$J$2:$J$151,$AB1597)),1),IF(INDEX(Contracts!$N$2:$N$151,$AB1597)="",12,INDEX(Contracts!$N$2:$N$151,$AB1597))-1),IF(INDEX(Contracts!$I$2:$I$151,$AB1597)="MONTHLY",IF(INDEX(Contracts!$K$2:$K$151,$AB1597)="",2958101,INDEX(Contracts!$K$2:$K$151,$AB1597)),0)),IF($Z1597="A",EDATE(DATE(YEAR(INDEX(Fixed_Assets!$G$2:$G$201,$AB1597)),MONTH(INDEX(Fixed_Assets!$G$2:$G$201,$AB1597)),1),INDEX(Fixed_Assets!$J$2:$J$201,$AB1597)-1),IF($Z1597="F",MIN(IF(INDEX(Workforce!$J$2:$J$151,MATCH(INDEX(FTE_Allocation!$A$2:$A$201,$AB1597),Workforce!$A$2:$A$151,0))="",2958101,INDEX(Workforce!$J$2:$J$151,MATCH(INDEX(FTE_Allocation!$A$2:$A$201,$AB1597),Workforce!$A$2:$A$151,0))),IF(INDEX(FTE_Allocation!$J$2:$J$201,$AB1597)="",2958101,INDEX(FTE_Allocation!$J$2:$J$201,$AB1597))),"")))</f>
        <v/>
      </c>
      <c r="AG1597" s="19">
        <f>IF($Z1597="C",IF(INDEX(Contracts!$I$2:$I$151,$AB1597)="PREPAID",INDEX(Contracts!$M$2:$M$151,$AB1597)/IF(INDEX(Contracts!$N$2:$N$151,$AB1597)="",12,INDEX(Contracts!$N$2:$N$151,$AB1597)),IF(INDEX(Contracts!$I$2:$I$151,$AB1597)="MONTHLY",INDEX(Contracts!$M$2:$M$151,$AB1597),0))*(1-N(INDEX(Contracts!$O$2:$O$151,$AB1597))),IF($Z1597="A",INDEX(Fixed_Assets!$H$2:$H$201,$AB1597)/INDEX(Fixed_Assets!$J$2:$J$201,$AB1597),IF($Z1597="F",INDEX(Workforce!$F$2:$F$151,MATCH(INDEX(FTE_Allocation!$A$2:$A$201,$AB1597),Workforce!$A$2:$A$151,0))*N(INDEX(FTE_Allocation!$F$2:$H$201,$AB1597,$AC1597)),"")))</f>
        <v/>
      </c>
    </row>
    <row r="1598">
      <c r="A1598" s="7">
        <f>IF($Z1598="","",$AD1598)</f>
        <v/>
      </c>
      <c r="B1598" s="7">
        <f>IF($Z1598="C",INDEX(Contracts!$D$2:$D$151,$AB1598)&amp;"",IF($Z1598="A",INDEX(Fixed_Assets!$C$2:$C$201,$AB1598)&amp;"",IF($Z1598="F",INDEX(Workforce!$B$2:$B$151,MATCH(INDEX(FTE_Allocation!$A$2:$A$201,$AB1598),Workforce!$A$2:$A$151,0))&amp;"","")))</f>
        <v/>
      </c>
      <c r="C1598" s="7">
        <f>IF($Z1598="C",INDEX(Contracts!$E$2:$E$151,$AB1598)&amp;"",IF($Z1598="A",INDEX(Fixed_Assets!$D$2:$D$201,$AB1598)&amp;"",IF($Z1598="F",INDEX(FTE_Allocation!$C$2:$C$201,$AB1598)&amp;"","")))</f>
        <v/>
      </c>
      <c r="D1598" s="7">
        <f>IF($Z1598="C",INDEX(Contracts!$B$2:$B$151,$AB1598)&amp;"",IF($Z1598="A",INDEX(Fixed_Assets!$B$2:$B$201,$AB1598)&amp;"",IF($Z1598="F",INDEX(FTE_Allocation!$B$2:$B$201,$AB1598)&amp;"","")))</f>
        <v/>
      </c>
      <c r="E1598" s="7">
        <f>IF($Z1598="C",INDEX(Contracts!$P$2:$P$151,$AB1598)&amp;"",IF($Z1598="A",INDEX(Fixed_Assets!$K$2:$K$201,$AB1598)&amp;"",IF($Z1598="F",IF(INDEX(FTE_Allocation!$D$2:$D$201,$AB1598)="PROJECT",IFERROR(INDEX(Projects!$D:$D,MATCH(INDEX(FTE_Allocation!$E$2:$E$201,$AB1598),Projects!$A:$A,0))&amp;"","#PROJECT?"),INDEX(FTE_Allocation!$E$2:$E$201,$AB1598)&amp;""),"")))</f>
        <v/>
      </c>
      <c r="F1598" s="7">
        <f>IF($Z1598="C",INDEX(Contracts!$Q$2:$Q$151,$AB1598)&amp;"",IF($Z1598="A",INDEX(Fixed_Assets!$L$2:$L$201,$AB1598)&amp;"",IF($Z1598="F",INDEX(Workforce!$K$2:$K$151,MATCH(INDEX(FTE_Allocation!$A$2:$A$201,$AB1598),Workforce!$A$2:$A$151,0))&amp;"","")))</f>
        <v/>
      </c>
      <c r="G1598" s="7">
        <f>IF($Z1598="C",INDEX(Contracts!$F$2:$F$151,$AB1598)&amp;" / "&amp;INDEX(Contracts!$G$2:$G$151,$AB1598),IF($Z1598="A",INDEX(Fixed_Assets!$E$2:$E$201,$AB1598)&amp;"",IF($Z1598="F","Personnel "&amp;INDEX(FTE_Allocation!$A$2:$A$201,$AB1598)&amp;IF(INDEX(FTE_Allocation!$D$2:$D$201,$AB1598)="PROJECT"," ("&amp;INDEX(FTE_Allocation!$E$2:$E$201,$AB1598)&amp;")",""),"")))</f>
        <v/>
      </c>
      <c r="H1598" s="7">
        <f>IF($Z1598="C","CONTRACT",IF($Z1598="A","ASSET",IF($Z1598="F","WORKFORCE","")))</f>
        <v/>
      </c>
      <c r="I1598" s="7">
        <f>IF($Z1598="C",INDEX(Contracts!$L$2:$L$151,$AB1598)&amp;"",IF($Z1598="A",INDEX(Fixed_Assets!$I$2:$I$201,$AB1598)&amp;"",IF($Z1598="F",INDEX(Workforce!$G$2:$G$151,MATCH(INDEX(FTE_Allocation!$A$2:$A$201,$AB1598),Workforce!$A$2:$A$151,0))&amp;"","")))</f>
        <v/>
      </c>
      <c r="J1598" s="18">
        <f>IF($Z1598="","",IF(AND(DATE($AD1598,1,1)&gt;=$AE1598,DATE($AD1598,1,1)&lt;=$AF1598),ROUND($AG1598,2),0))</f>
        <v/>
      </c>
      <c r="K1598" s="18">
        <f>IF($Z1598="","",IF(AND(DATE($AD1598,2,1)&gt;=$AE1598,DATE($AD1598,2,1)&lt;=$AF1598),ROUND($AG1598,2),0))</f>
        <v/>
      </c>
      <c r="L1598" s="18">
        <f>IF($Z1598="","",IF(AND(DATE($AD1598,3,1)&gt;=$AE1598,DATE($AD1598,3,1)&lt;=$AF1598),ROUND($AG1598,2),0))</f>
        <v/>
      </c>
      <c r="M1598" s="18">
        <f>IF($Z1598="","",IF(AND(DATE($AD1598,4,1)&gt;=$AE1598,DATE($AD1598,4,1)&lt;=$AF1598),ROUND($AG1598,2),0))</f>
        <v/>
      </c>
      <c r="N1598" s="18">
        <f>IF($Z1598="","",IF(AND(DATE($AD1598,5,1)&gt;=$AE1598,DATE($AD1598,5,1)&lt;=$AF1598),ROUND($AG1598,2),0))</f>
        <v/>
      </c>
      <c r="O1598" s="18">
        <f>IF($Z1598="","",IF(AND(DATE($AD1598,6,1)&gt;=$AE1598,DATE($AD1598,6,1)&lt;=$AF1598),ROUND($AG1598,2),0))</f>
        <v/>
      </c>
      <c r="P1598" s="18">
        <f>IF($Z1598="","",IF(AND(DATE($AD1598,7,1)&gt;=$AE1598,DATE($AD1598,7,1)&lt;=$AF1598),ROUND($AG1598,2),0))</f>
        <v/>
      </c>
      <c r="Q1598" s="18">
        <f>IF($Z1598="","",IF(AND(DATE($AD1598,8,1)&gt;=$AE1598,DATE($AD1598,8,1)&lt;=$AF1598),ROUND($AG1598,2),0))</f>
        <v/>
      </c>
      <c r="R1598" s="18">
        <f>IF($Z1598="","",IF(AND(DATE($AD1598,9,1)&gt;=$AE1598,DATE($AD1598,9,1)&lt;=$AF1598),ROUND($AG1598,2),0))</f>
        <v/>
      </c>
      <c r="S1598" s="18">
        <f>IF($Z1598="","",IF(AND(DATE($AD1598,10,1)&gt;=$AE1598,DATE($AD1598,10,1)&lt;=$AF1598),ROUND($AG1598,2),0))</f>
        <v/>
      </c>
      <c r="T1598" s="18">
        <f>IF($Z1598="","",IF(AND(DATE($AD1598,11,1)&gt;=$AE1598,DATE($AD1598,11,1)&lt;=$AF1598),ROUND($AG1598,2),0))</f>
        <v/>
      </c>
      <c r="U1598" s="18">
        <f>IF($Z1598="","",IF(AND(DATE($AD1598,12,1)&gt;=$AE1598,DATE($AD1598,12,1)&lt;=$AF1598),ROUND($AG1598,2),0))</f>
        <v/>
      </c>
      <c r="V1598" s="7">
        <f>IF($Z1598="C","Generated from "&amp;INDEX(Contracts!$A$2:$A$151,$AB1598),IF($Z1598="A","Generated from "&amp;INDEX(Fixed_Assets!$A$2:$A$201,$AB1598),IF($Z1598="F","Generated from "&amp;INDEX(FTE_Allocation!$A$2:$A$201,$AB1598),"")))</f>
        <v/>
      </c>
      <c r="X1598" s="19">
        <f>IF($Z1598="","",SUM(J1598:U1598))</f>
        <v/>
      </c>
      <c r="Y1598" s="20">
        <f>ROW()-1</f>
        <v/>
      </c>
      <c r="Z1598" s="20">
        <f>IF($Y1598&lt;=Settings!$B$4*3,"C",IF($Y1598&lt;=(Settings!$B$4+Settings!$B$5)*3,"A",IF($Y1598&lt;=(Settings!$B$4+Settings!$B$5+Settings!$B$6)*3,"F","")))</f>
        <v/>
      </c>
      <c r="AA1598" s="20">
        <f>IF($Z1598="C",$Y1598,IF($Z1598="A",$Y1598-Settings!$B$4*3,IF($Z1598="F",$Y1598-(Settings!$B$4+Settings!$B$5)*3,"")))</f>
        <v/>
      </c>
      <c r="AB1598" s="20">
        <f>IF($Z1598="","",INT(($AA1598-1)/3)+1)</f>
        <v/>
      </c>
      <c r="AC1598" s="20">
        <f>IF($Z1598="","",MOD($AA1598-1,3)+1)</f>
        <v/>
      </c>
      <c r="AD1598" s="20">
        <f>IF($Z1598="","",Settings!$B$2+$AC1598-1)</f>
        <v/>
      </c>
      <c r="AE1598" s="21">
        <f>IF($Z1598="C",DATE(YEAR(INDEX(Contracts!$J$2:$J$151,$AB1598)),MONTH(INDEX(Contracts!$J$2:$J$151,$AB1598)),1),IF($Z1598="A",DATE(YEAR(INDEX(Fixed_Assets!$G$2:$G$201,$AB1598)),MONTH(INDEX(Fixed_Assets!$G$2:$G$201,$AB1598)),1),IF($Z1598="F",DATE(YEAR(MAX(N(INDEX(Workforce!$I$2:$I$151,MATCH(INDEX(FTE_Allocation!$A$2:$A$201,$AB1598),Workforce!$A$2:$A$151,0))),N(INDEX(FTE_Allocation!$I$2:$I$201,$AB1598)))),MONTH(MAX(N(INDEX(Workforce!$I$2:$I$151,MATCH(INDEX(FTE_Allocation!$A$2:$A$201,$AB1598),Workforce!$A$2:$A$151,0))),N(INDEX(FTE_Allocation!$I$2:$I$201,$AB1598)))),1),"")))</f>
        <v/>
      </c>
      <c r="AF1598" s="21">
        <f>IF($Z1598="C",IF(INDEX(Contracts!$I$2:$I$151,$AB1598)="PREPAID",EDATE(DATE(YEAR(INDEX(Contracts!$J$2:$J$151,$AB1598)),MONTH(INDEX(Contracts!$J$2:$J$151,$AB1598)),1),IF(INDEX(Contracts!$N$2:$N$151,$AB1598)="",12,INDEX(Contracts!$N$2:$N$151,$AB1598))-1),IF(INDEX(Contracts!$I$2:$I$151,$AB1598)="MONTHLY",IF(INDEX(Contracts!$K$2:$K$151,$AB1598)="",2958101,INDEX(Contracts!$K$2:$K$151,$AB1598)),0)),IF($Z1598="A",EDATE(DATE(YEAR(INDEX(Fixed_Assets!$G$2:$G$201,$AB1598)),MONTH(INDEX(Fixed_Assets!$G$2:$G$201,$AB1598)),1),INDEX(Fixed_Assets!$J$2:$J$201,$AB1598)-1),IF($Z1598="F",MIN(IF(INDEX(Workforce!$J$2:$J$151,MATCH(INDEX(FTE_Allocation!$A$2:$A$201,$AB1598),Workforce!$A$2:$A$151,0))="",2958101,INDEX(Workforce!$J$2:$J$151,MATCH(INDEX(FTE_Allocation!$A$2:$A$201,$AB1598),Workforce!$A$2:$A$151,0))),IF(INDEX(FTE_Allocation!$J$2:$J$201,$AB1598)="",2958101,INDEX(FTE_Allocation!$J$2:$J$201,$AB1598))),"")))</f>
        <v/>
      </c>
      <c r="AG1598" s="19">
        <f>IF($Z1598="C",IF(INDEX(Contracts!$I$2:$I$151,$AB1598)="PREPAID",INDEX(Contracts!$M$2:$M$151,$AB1598)/IF(INDEX(Contracts!$N$2:$N$151,$AB1598)="",12,INDEX(Contracts!$N$2:$N$151,$AB1598)),IF(INDEX(Contracts!$I$2:$I$151,$AB1598)="MONTHLY",INDEX(Contracts!$M$2:$M$151,$AB1598),0))*(1-N(INDEX(Contracts!$O$2:$O$151,$AB1598))),IF($Z1598="A",INDEX(Fixed_Assets!$H$2:$H$201,$AB1598)/INDEX(Fixed_Assets!$J$2:$J$201,$AB1598),IF($Z1598="F",INDEX(Workforce!$F$2:$F$151,MATCH(INDEX(FTE_Allocation!$A$2:$A$201,$AB1598),Workforce!$A$2:$A$151,0))*N(INDEX(FTE_Allocation!$F$2:$H$201,$AB1598,$AC1598)),"")))</f>
        <v/>
      </c>
    </row>
    <row r="1599">
      <c r="A1599" s="7">
        <f>IF($Z1599="","",$AD1599)</f>
        <v/>
      </c>
      <c r="B1599" s="7">
        <f>IF($Z1599="C",INDEX(Contracts!$D$2:$D$151,$AB1599)&amp;"",IF($Z1599="A",INDEX(Fixed_Assets!$C$2:$C$201,$AB1599)&amp;"",IF($Z1599="F",INDEX(Workforce!$B$2:$B$151,MATCH(INDEX(FTE_Allocation!$A$2:$A$201,$AB1599),Workforce!$A$2:$A$151,0))&amp;"","")))</f>
        <v/>
      </c>
      <c r="C1599" s="7">
        <f>IF($Z1599="C",INDEX(Contracts!$E$2:$E$151,$AB1599)&amp;"",IF($Z1599="A",INDEX(Fixed_Assets!$D$2:$D$201,$AB1599)&amp;"",IF($Z1599="F",INDEX(FTE_Allocation!$C$2:$C$201,$AB1599)&amp;"","")))</f>
        <v/>
      </c>
      <c r="D1599" s="7">
        <f>IF($Z1599="C",INDEX(Contracts!$B$2:$B$151,$AB1599)&amp;"",IF($Z1599="A",INDEX(Fixed_Assets!$B$2:$B$201,$AB1599)&amp;"",IF($Z1599="F",INDEX(FTE_Allocation!$B$2:$B$201,$AB1599)&amp;"","")))</f>
        <v/>
      </c>
      <c r="E1599" s="7">
        <f>IF($Z1599="C",INDEX(Contracts!$P$2:$P$151,$AB1599)&amp;"",IF($Z1599="A",INDEX(Fixed_Assets!$K$2:$K$201,$AB1599)&amp;"",IF($Z1599="F",IF(INDEX(FTE_Allocation!$D$2:$D$201,$AB1599)="PROJECT",IFERROR(INDEX(Projects!$D:$D,MATCH(INDEX(FTE_Allocation!$E$2:$E$201,$AB1599),Projects!$A:$A,0))&amp;"","#PROJECT?"),INDEX(FTE_Allocation!$E$2:$E$201,$AB1599)&amp;""),"")))</f>
        <v/>
      </c>
      <c r="F1599" s="7">
        <f>IF($Z1599="C",INDEX(Contracts!$Q$2:$Q$151,$AB1599)&amp;"",IF($Z1599="A",INDEX(Fixed_Assets!$L$2:$L$201,$AB1599)&amp;"",IF($Z1599="F",INDEX(Workforce!$K$2:$K$151,MATCH(INDEX(FTE_Allocation!$A$2:$A$201,$AB1599),Workforce!$A$2:$A$151,0))&amp;"","")))</f>
        <v/>
      </c>
      <c r="G1599" s="7">
        <f>IF($Z1599="C",INDEX(Contracts!$F$2:$F$151,$AB1599)&amp;" / "&amp;INDEX(Contracts!$G$2:$G$151,$AB1599),IF($Z1599="A",INDEX(Fixed_Assets!$E$2:$E$201,$AB1599)&amp;"",IF($Z1599="F","Personnel "&amp;INDEX(FTE_Allocation!$A$2:$A$201,$AB1599)&amp;IF(INDEX(FTE_Allocation!$D$2:$D$201,$AB1599)="PROJECT"," ("&amp;INDEX(FTE_Allocation!$E$2:$E$201,$AB1599)&amp;")",""),"")))</f>
        <v/>
      </c>
      <c r="H1599" s="7">
        <f>IF($Z1599="C","CONTRACT",IF($Z1599="A","ASSET",IF($Z1599="F","WORKFORCE","")))</f>
        <v/>
      </c>
      <c r="I1599" s="7">
        <f>IF($Z1599="C",INDEX(Contracts!$L$2:$L$151,$AB1599)&amp;"",IF($Z1599="A",INDEX(Fixed_Assets!$I$2:$I$201,$AB1599)&amp;"",IF($Z1599="F",INDEX(Workforce!$G$2:$G$151,MATCH(INDEX(FTE_Allocation!$A$2:$A$201,$AB1599),Workforce!$A$2:$A$151,0))&amp;"","")))</f>
        <v/>
      </c>
      <c r="J1599" s="18">
        <f>IF($Z1599="","",IF(AND(DATE($AD1599,1,1)&gt;=$AE1599,DATE($AD1599,1,1)&lt;=$AF1599),ROUND($AG1599,2),0))</f>
        <v/>
      </c>
      <c r="K1599" s="18">
        <f>IF($Z1599="","",IF(AND(DATE($AD1599,2,1)&gt;=$AE1599,DATE($AD1599,2,1)&lt;=$AF1599),ROUND($AG1599,2),0))</f>
        <v/>
      </c>
      <c r="L1599" s="18">
        <f>IF($Z1599="","",IF(AND(DATE($AD1599,3,1)&gt;=$AE1599,DATE($AD1599,3,1)&lt;=$AF1599),ROUND($AG1599,2),0))</f>
        <v/>
      </c>
      <c r="M1599" s="18">
        <f>IF($Z1599="","",IF(AND(DATE($AD1599,4,1)&gt;=$AE1599,DATE($AD1599,4,1)&lt;=$AF1599),ROUND($AG1599,2),0))</f>
        <v/>
      </c>
      <c r="N1599" s="18">
        <f>IF($Z1599="","",IF(AND(DATE($AD1599,5,1)&gt;=$AE1599,DATE($AD1599,5,1)&lt;=$AF1599),ROUND($AG1599,2),0))</f>
        <v/>
      </c>
      <c r="O1599" s="18">
        <f>IF($Z1599="","",IF(AND(DATE($AD1599,6,1)&gt;=$AE1599,DATE($AD1599,6,1)&lt;=$AF1599),ROUND($AG1599,2),0))</f>
        <v/>
      </c>
      <c r="P1599" s="18">
        <f>IF($Z1599="","",IF(AND(DATE($AD1599,7,1)&gt;=$AE1599,DATE($AD1599,7,1)&lt;=$AF1599),ROUND($AG1599,2),0))</f>
        <v/>
      </c>
      <c r="Q1599" s="18">
        <f>IF($Z1599="","",IF(AND(DATE($AD1599,8,1)&gt;=$AE1599,DATE($AD1599,8,1)&lt;=$AF1599),ROUND($AG1599,2),0))</f>
        <v/>
      </c>
      <c r="R1599" s="18">
        <f>IF($Z1599="","",IF(AND(DATE($AD1599,9,1)&gt;=$AE1599,DATE($AD1599,9,1)&lt;=$AF1599),ROUND($AG1599,2),0))</f>
        <v/>
      </c>
      <c r="S1599" s="18">
        <f>IF($Z1599="","",IF(AND(DATE($AD1599,10,1)&gt;=$AE1599,DATE($AD1599,10,1)&lt;=$AF1599),ROUND($AG1599,2),0))</f>
        <v/>
      </c>
      <c r="T1599" s="18">
        <f>IF($Z1599="","",IF(AND(DATE($AD1599,11,1)&gt;=$AE1599,DATE($AD1599,11,1)&lt;=$AF1599),ROUND($AG1599,2),0))</f>
        <v/>
      </c>
      <c r="U1599" s="18">
        <f>IF($Z1599="","",IF(AND(DATE($AD1599,12,1)&gt;=$AE1599,DATE($AD1599,12,1)&lt;=$AF1599),ROUND($AG1599,2),0))</f>
        <v/>
      </c>
      <c r="V1599" s="7">
        <f>IF($Z1599="C","Generated from "&amp;INDEX(Contracts!$A$2:$A$151,$AB1599),IF($Z1599="A","Generated from "&amp;INDEX(Fixed_Assets!$A$2:$A$201,$AB1599),IF($Z1599="F","Generated from "&amp;INDEX(FTE_Allocation!$A$2:$A$201,$AB1599),"")))</f>
        <v/>
      </c>
      <c r="X1599" s="19">
        <f>IF($Z1599="","",SUM(J1599:U1599))</f>
        <v/>
      </c>
      <c r="Y1599" s="20">
        <f>ROW()-1</f>
        <v/>
      </c>
      <c r="Z1599" s="20">
        <f>IF($Y1599&lt;=Settings!$B$4*3,"C",IF($Y1599&lt;=(Settings!$B$4+Settings!$B$5)*3,"A",IF($Y1599&lt;=(Settings!$B$4+Settings!$B$5+Settings!$B$6)*3,"F","")))</f>
        <v/>
      </c>
      <c r="AA1599" s="20">
        <f>IF($Z1599="C",$Y1599,IF($Z1599="A",$Y1599-Settings!$B$4*3,IF($Z1599="F",$Y1599-(Settings!$B$4+Settings!$B$5)*3,"")))</f>
        <v/>
      </c>
      <c r="AB1599" s="20">
        <f>IF($Z1599="","",INT(($AA1599-1)/3)+1)</f>
        <v/>
      </c>
      <c r="AC1599" s="20">
        <f>IF($Z1599="","",MOD($AA1599-1,3)+1)</f>
        <v/>
      </c>
      <c r="AD1599" s="20">
        <f>IF($Z1599="","",Settings!$B$2+$AC1599-1)</f>
        <v/>
      </c>
      <c r="AE1599" s="21">
        <f>IF($Z1599="C",DATE(YEAR(INDEX(Contracts!$J$2:$J$151,$AB1599)),MONTH(INDEX(Contracts!$J$2:$J$151,$AB1599)),1),IF($Z1599="A",DATE(YEAR(INDEX(Fixed_Assets!$G$2:$G$201,$AB1599)),MONTH(INDEX(Fixed_Assets!$G$2:$G$201,$AB1599)),1),IF($Z1599="F",DATE(YEAR(MAX(N(INDEX(Workforce!$I$2:$I$151,MATCH(INDEX(FTE_Allocation!$A$2:$A$201,$AB1599),Workforce!$A$2:$A$151,0))),N(INDEX(FTE_Allocation!$I$2:$I$201,$AB1599)))),MONTH(MAX(N(INDEX(Workforce!$I$2:$I$151,MATCH(INDEX(FTE_Allocation!$A$2:$A$201,$AB1599),Workforce!$A$2:$A$151,0))),N(INDEX(FTE_Allocation!$I$2:$I$201,$AB1599)))),1),"")))</f>
        <v/>
      </c>
      <c r="AF1599" s="21">
        <f>IF($Z1599="C",IF(INDEX(Contracts!$I$2:$I$151,$AB1599)="PREPAID",EDATE(DATE(YEAR(INDEX(Contracts!$J$2:$J$151,$AB1599)),MONTH(INDEX(Contracts!$J$2:$J$151,$AB1599)),1),IF(INDEX(Contracts!$N$2:$N$151,$AB1599)="",12,INDEX(Contracts!$N$2:$N$151,$AB1599))-1),IF(INDEX(Contracts!$I$2:$I$151,$AB1599)="MONTHLY",IF(INDEX(Contracts!$K$2:$K$151,$AB1599)="",2958101,INDEX(Contracts!$K$2:$K$151,$AB1599)),0)),IF($Z1599="A",EDATE(DATE(YEAR(INDEX(Fixed_Assets!$G$2:$G$201,$AB1599)),MONTH(INDEX(Fixed_Assets!$G$2:$G$201,$AB1599)),1),INDEX(Fixed_Assets!$J$2:$J$201,$AB1599)-1),IF($Z1599="F",MIN(IF(INDEX(Workforce!$J$2:$J$151,MATCH(INDEX(FTE_Allocation!$A$2:$A$201,$AB1599),Workforce!$A$2:$A$151,0))="",2958101,INDEX(Workforce!$J$2:$J$151,MATCH(INDEX(FTE_Allocation!$A$2:$A$201,$AB1599),Workforce!$A$2:$A$151,0))),IF(INDEX(FTE_Allocation!$J$2:$J$201,$AB1599)="",2958101,INDEX(FTE_Allocation!$J$2:$J$201,$AB1599))),"")))</f>
        <v/>
      </c>
      <c r="AG1599" s="19">
        <f>IF($Z1599="C",IF(INDEX(Contracts!$I$2:$I$151,$AB1599)="PREPAID",INDEX(Contracts!$M$2:$M$151,$AB1599)/IF(INDEX(Contracts!$N$2:$N$151,$AB1599)="",12,INDEX(Contracts!$N$2:$N$151,$AB1599)),IF(INDEX(Contracts!$I$2:$I$151,$AB1599)="MONTHLY",INDEX(Contracts!$M$2:$M$151,$AB1599),0))*(1-N(INDEX(Contracts!$O$2:$O$151,$AB1599))),IF($Z1599="A",INDEX(Fixed_Assets!$H$2:$H$201,$AB1599)/INDEX(Fixed_Assets!$J$2:$J$201,$AB1599),IF($Z1599="F",INDEX(Workforce!$F$2:$F$151,MATCH(INDEX(FTE_Allocation!$A$2:$A$201,$AB1599),Workforce!$A$2:$A$151,0))*N(INDEX(FTE_Allocation!$F$2:$H$201,$AB1599,$AC1599)),"")))</f>
        <v/>
      </c>
    </row>
    <row r="1600">
      <c r="A1600" s="7">
        <f>IF($Z1600="","",$AD1600)</f>
        <v/>
      </c>
      <c r="B1600" s="7">
        <f>IF($Z1600="C",INDEX(Contracts!$D$2:$D$151,$AB1600)&amp;"",IF($Z1600="A",INDEX(Fixed_Assets!$C$2:$C$201,$AB1600)&amp;"",IF($Z1600="F",INDEX(Workforce!$B$2:$B$151,MATCH(INDEX(FTE_Allocation!$A$2:$A$201,$AB1600),Workforce!$A$2:$A$151,0))&amp;"","")))</f>
        <v/>
      </c>
      <c r="C1600" s="7">
        <f>IF($Z1600="C",INDEX(Contracts!$E$2:$E$151,$AB1600)&amp;"",IF($Z1600="A",INDEX(Fixed_Assets!$D$2:$D$201,$AB1600)&amp;"",IF($Z1600="F",INDEX(FTE_Allocation!$C$2:$C$201,$AB1600)&amp;"","")))</f>
        <v/>
      </c>
      <c r="D1600" s="7">
        <f>IF($Z1600="C",INDEX(Contracts!$B$2:$B$151,$AB1600)&amp;"",IF($Z1600="A",INDEX(Fixed_Assets!$B$2:$B$201,$AB1600)&amp;"",IF($Z1600="F",INDEX(FTE_Allocation!$B$2:$B$201,$AB1600)&amp;"","")))</f>
        <v/>
      </c>
      <c r="E1600" s="7">
        <f>IF($Z1600="C",INDEX(Contracts!$P$2:$P$151,$AB1600)&amp;"",IF($Z1600="A",INDEX(Fixed_Assets!$K$2:$K$201,$AB1600)&amp;"",IF($Z1600="F",IF(INDEX(FTE_Allocation!$D$2:$D$201,$AB1600)="PROJECT",IFERROR(INDEX(Projects!$D:$D,MATCH(INDEX(FTE_Allocation!$E$2:$E$201,$AB1600),Projects!$A:$A,0))&amp;"","#PROJECT?"),INDEX(FTE_Allocation!$E$2:$E$201,$AB1600)&amp;""),"")))</f>
        <v/>
      </c>
      <c r="F1600" s="7">
        <f>IF($Z1600="C",INDEX(Contracts!$Q$2:$Q$151,$AB1600)&amp;"",IF($Z1600="A",INDEX(Fixed_Assets!$L$2:$L$201,$AB1600)&amp;"",IF($Z1600="F",INDEX(Workforce!$K$2:$K$151,MATCH(INDEX(FTE_Allocation!$A$2:$A$201,$AB1600),Workforce!$A$2:$A$151,0))&amp;"","")))</f>
        <v/>
      </c>
      <c r="G1600" s="7">
        <f>IF($Z1600="C",INDEX(Contracts!$F$2:$F$151,$AB1600)&amp;" / "&amp;INDEX(Contracts!$G$2:$G$151,$AB1600),IF($Z1600="A",INDEX(Fixed_Assets!$E$2:$E$201,$AB1600)&amp;"",IF($Z1600="F","Personnel "&amp;INDEX(FTE_Allocation!$A$2:$A$201,$AB1600)&amp;IF(INDEX(FTE_Allocation!$D$2:$D$201,$AB1600)="PROJECT"," ("&amp;INDEX(FTE_Allocation!$E$2:$E$201,$AB1600)&amp;")",""),"")))</f>
        <v/>
      </c>
      <c r="H1600" s="7">
        <f>IF($Z1600="C","CONTRACT",IF($Z1600="A","ASSET",IF($Z1600="F","WORKFORCE","")))</f>
        <v/>
      </c>
      <c r="I1600" s="7">
        <f>IF($Z1600="C",INDEX(Contracts!$L$2:$L$151,$AB1600)&amp;"",IF($Z1600="A",INDEX(Fixed_Assets!$I$2:$I$201,$AB1600)&amp;"",IF($Z1600="F",INDEX(Workforce!$G$2:$G$151,MATCH(INDEX(FTE_Allocation!$A$2:$A$201,$AB1600),Workforce!$A$2:$A$151,0))&amp;"","")))</f>
        <v/>
      </c>
      <c r="J1600" s="18">
        <f>IF($Z1600="","",IF(AND(DATE($AD1600,1,1)&gt;=$AE1600,DATE($AD1600,1,1)&lt;=$AF1600),ROUND($AG1600,2),0))</f>
        <v/>
      </c>
      <c r="K1600" s="18">
        <f>IF($Z1600="","",IF(AND(DATE($AD1600,2,1)&gt;=$AE1600,DATE($AD1600,2,1)&lt;=$AF1600),ROUND($AG1600,2),0))</f>
        <v/>
      </c>
      <c r="L1600" s="18">
        <f>IF($Z1600="","",IF(AND(DATE($AD1600,3,1)&gt;=$AE1600,DATE($AD1600,3,1)&lt;=$AF1600),ROUND($AG1600,2),0))</f>
        <v/>
      </c>
      <c r="M1600" s="18">
        <f>IF($Z1600="","",IF(AND(DATE($AD1600,4,1)&gt;=$AE1600,DATE($AD1600,4,1)&lt;=$AF1600),ROUND($AG1600,2),0))</f>
        <v/>
      </c>
      <c r="N1600" s="18">
        <f>IF($Z1600="","",IF(AND(DATE($AD1600,5,1)&gt;=$AE1600,DATE($AD1600,5,1)&lt;=$AF1600),ROUND($AG1600,2),0))</f>
        <v/>
      </c>
      <c r="O1600" s="18">
        <f>IF($Z1600="","",IF(AND(DATE($AD1600,6,1)&gt;=$AE1600,DATE($AD1600,6,1)&lt;=$AF1600),ROUND($AG1600,2),0))</f>
        <v/>
      </c>
      <c r="P1600" s="18">
        <f>IF($Z1600="","",IF(AND(DATE($AD1600,7,1)&gt;=$AE1600,DATE($AD1600,7,1)&lt;=$AF1600),ROUND($AG1600,2),0))</f>
        <v/>
      </c>
      <c r="Q1600" s="18">
        <f>IF($Z1600="","",IF(AND(DATE($AD1600,8,1)&gt;=$AE1600,DATE($AD1600,8,1)&lt;=$AF1600),ROUND($AG1600,2),0))</f>
        <v/>
      </c>
      <c r="R1600" s="18">
        <f>IF($Z1600="","",IF(AND(DATE($AD1600,9,1)&gt;=$AE1600,DATE($AD1600,9,1)&lt;=$AF1600),ROUND($AG1600,2),0))</f>
        <v/>
      </c>
      <c r="S1600" s="18">
        <f>IF($Z1600="","",IF(AND(DATE($AD1600,10,1)&gt;=$AE1600,DATE($AD1600,10,1)&lt;=$AF1600),ROUND($AG1600,2),0))</f>
        <v/>
      </c>
      <c r="T1600" s="18">
        <f>IF($Z1600="","",IF(AND(DATE($AD1600,11,1)&gt;=$AE1600,DATE($AD1600,11,1)&lt;=$AF1600),ROUND($AG1600,2),0))</f>
        <v/>
      </c>
      <c r="U1600" s="18">
        <f>IF($Z1600="","",IF(AND(DATE($AD1600,12,1)&gt;=$AE1600,DATE($AD1600,12,1)&lt;=$AF1600),ROUND($AG1600,2),0))</f>
        <v/>
      </c>
      <c r="V1600" s="7">
        <f>IF($Z1600="C","Generated from "&amp;INDEX(Contracts!$A$2:$A$151,$AB1600),IF($Z1600="A","Generated from "&amp;INDEX(Fixed_Assets!$A$2:$A$201,$AB1600),IF($Z1600="F","Generated from "&amp;INDEX(FTE_Allocation!$A$2:$A$201,$AB1600),"")))</f>
        <v/>
      </c>
      <c r="X1600" s="19">
        <f>IF($Z1600="","",SUM(J1600:U1600))</f>
        <v/>
      </c>
      <c r="Y1600" s="20">
        <f>ROW()-1</f>
        <v/>
      </c>
      <c r="Z1600" s="20">
        <f>IF($Y1600&lt;=Settings!$B$4*3,"C",IF($Y1600&lt;=(Settings!$B$4+Settings!$B$5)*3,"A",IF($Y1600&lt;=(Settings!$B$4+Settings!$B$5+Settings!$B$6)*3,"F","")))</f>
        <v/>
      </c>
      <c r="AA1600" s="20">
        <f>IF($Z1600="C",$Y1600,IF($Z1600="A",$Y1600-Settings!$B$4*3,IF($Z1600="F",$Y1600-(Settings!$B$4+Settings!$B$5)*3,"")))</f>
        <v/>
      </c>
      <c r="AB1600" s="20">
        <f>IF($Z1600="","",INT(($AA1600-1)/3)+1)</f>
        <v/>
      </c>
      <c r="AC1600" s="20">
        <f>IF($Z1600="","",MOD($AA1600-1,3)+1)</f>
        <v/>
      </c>
      <c r="AD1600" s="20">
        <f>IF($Z1600="","",Settings!$B$2+$AC1600-1)</f>
        <v/>
      </c>
      <c r="AE1600" s="21">
        <f>IF($Z1600="C",DATE(YEAR(INDEX(Contracts!$J$2:$J$151,$AB1600)),MONTH(INDEX(Contracts!$J$2:$J$151,$AB1600)),1),IF($Z1600="A",DATE(YEAR(INDEX(Fixed_Assets!$G$2:$G$201,$AB1600)),MONTH(INDEX(Fixed_Assets!$G$2:$G$201,$AB1600)),1),IF($Z1600="F",DATE(YEAR(MAX(N(INDEX(Workforce!$I$2:$I$151,MATCH(INDEX(FTE_Allocation!$A$2:$A$201,$AB1600),Workforce!$A$2:$A$151,0))),N(INDEX(FTE_Allocation!$I$2:$I$201,$AB1600)))),MONTH(MAX(N(INDEX(Workforce!$I$2:$I$151,MATCH(INDEX(FTE_Allocation!$A$2:$A$201,$AB1600),Workforce!$A$2:$A$151,0))),N(INDEX(FTE_Allocation!$I$2:$I$201,$AB1600)))),1),"")))</f>
        <v/>
      </c>
      <c r="AF1600" s="21">
        <f>IF($Z1600="C",IF(INDEX(Contracts!$I$2:$I$151,$AB1600)="PREPAID",EDATE(DATE(YEAR(INDEX(Contracts!$J$2:$J$151,$AB1600)),MONTH(INDEX(Contracts!$J$2:$J$151,$AB1600)),1),IF(INDEX(Contracts!$N$2:$N$151,$AB1600)="",12,INDEX(Contracts!$N$2:$N$151,$AB1600))-1),IF(INDEX(Contracts!$I$2:$I$151,$AB1600)="MONTHLY",IF(INDEX(Contracts!$K$2:$K$151,$AB1600)="",2958101,INDEX(Contracts!$K$2:$K$151,$AB1600)),0)),IF($Z1600="A",EDATE(DATE(YEAR(INDEX(Fixed_Assets!$G$2:$G$201,$AB1600)),MONTH(INDEX(Fixed_Assets!$G$2:$G$201,$AB1600)),1),INDEX(Fixed_Assets!$J$2:$J$201,$AB1600)-1),IF($Z1600="F",MIN(IF(INDEX(Workforce!$J$2:$J$151,MATCH(INDEX(FTE_Allocation!$A$2:$A$201,$AB1600),Workforce!$A$2:$A$151,0))="",2958101,INDEX(Workforce!$J$2:$J$151,MATCH(INDEX(FTE_Allocation!$A$2:$A$201,$AB1600),Workforce!$A$2:$A$151,0))),IF(INDEX(FTE_Allocation!$J$2:$J$201,$AB1600)="",2958101,INDEX(FTE_Allocation!$J$2:$J$201,$AB1600))),"")))</f>
        <v/>
      </c>
      <c r="AG1600" s="19">
        <f>IF($Z1600="C",IF(INDEX(Contracts!$I$2:$I$151,$AB1600)="PREPAID",INDEX(Contracts!$M$2:$M$151,$AB1600)/IF(INDEX(Contracts!$N$2:$N$151,$AB1600)="",12,INDEX(Contracts!$N$2:$N$151,$AB1600)),IF(INDEX(Contracts!$I$2:$I$151,$AB1600)="MONTHLY",INDEX(Contracts!$M$2:$M$151,$AB1600),0))*(1-N(INDEX(Contracts!$O$2:$O$151,$AB1600))),IF($Z1600="A",INDEX(Fixed_Assets!$H$2:$H$201,$AB1600)/INDEX(Fixed_Assets!$J$2:$J$201,$AB1600),IF($Z1600="F",INDEX(Workforce!$F$2:$F$151,MATCH(INDEX(FTE_Allocation!$A$2:$A$201,$AB1600),Workforce!$A$2:$A$151,0))*N(INDEX(FTE_Allocation!$F$2:$H$201,$AB1600,$AC1600)),"")))</f>
        <v/>
      </c>
    </row>
    <row r="1601">
      <c r="A1601" s="7">
        <f>IF($Z1601="","",$AD1601)</f>
        <v/>
      </c>
      <c r="B1601" s="7">
        <f>IF($Z1601="C",INDEX(Contracts!$D$2:$D$151,$AB1601)&amp;"",IF($Z1601="A",INDEX(Fixed_Assets!$C$2:$C$201,$AB1601)&amp;"",IF($Z1601="F",INDEX(Workforce!$B$2:$B$151,MATCH(INDEX(FTE_Allocation!$A$2:$A$201,$AB1601),Workforce!$A$2:$A$151,0))&amp;"","")))</f>
        <v/>
      </c>
      <c r="C1601" s="7">
        <f>IF($Z1601="C",INDEX(Contracts!$E$2:$E$151,$AB1601)&amp;"",IF($Z1601="A",INDEX(Fixed_Assets!$D$2:$D$201,$AB1601)&amp;"",IF($Z1601="F",INDEX(FTE_Allocation!$C$2:$C$201,$AB1601)&amp;"","")))</f>
        <v/>
      </c>
      <c r="D1601" s="7">
        <f>IF($Z1601="C",INDEX(Contracts!$B$2:$B$151,$AB1601)&amp;"",IF($Z1601="A",INDEX(Fixed_Assets!$B$2:$B$201,$AB1601)&amp;"",IF($Z1601="F",INDEX(FTE_Allocation!$B$2:$B$201,$AB1601)&amp;"","")))</f>
        <v/>
      </c>
      <c r="E1601" s="7">
        <f>IF($Z1601="C",INDEX(Contracts!$P$2:$P$151,$AB1601)&amp;"",IF($Z1601="A",INDEX(Fixed_Assets!$K$2:$K$201,$AB1601)&amp;"",IF($Z1601="F",IF(INDEX(FTE_Allocation!$D$2:$D$201,$AB1601)="PROJECT",IFERROR(INDEX(Projects!$D:$D,MATCH(INDEX(FTE_Allocation!$E$2:$E$201,$AB1601),Projects!$A:$A,0))&amp;"","#PROJECT?"),INDEX(FTE_Allocation!$E$2:$E$201,$AB1601)&amp;""),"")))</f>
        <v/>
      </c>
      <c r="F1601" s="7">
        <f>IF($Z1601="C",INDEX(Contracts!$Q$2:$Q$151,$AB1601)&amp;"",IF($Z1601="A",INDEX(Fixed_Assets!$L$2:$L$201,$AB1601)&amp;"",IF($Z1601="F",INDEX(Workforce!$K$2:$K$151,MATCH(INDEX(FTE_Allocation!$A$2:$A$201,$AB1601),Workforce!$A$2:$A$151,0))&amp;"","")))</f>
        <v/>
      </c>
      <c r="G1601" s="7">
        <f>IF($Z1601="C",INDEX(Contracts!$F$2:$F$151,$AB1601)&amp;" / "&amp;INDEX(Contracts!$G$2:$G$151,$AB1601),IF($Z1601="A",INDEX(Fixed_Assets!$E$2:$E$201,$AB1601)&amp;"",IF($Z1601="F","Personnel "&amp;INDEX(FTE_Allocation!$A$2:$A$201,$AB1601)&amp;IF(INDEX(FTE_Allocation!$D$2:$D$201,$AB1601)="PROJECT"," ("&amp;INDEX(FTE_Allocation!$E$2:$E$201,$AB1601)&amp;")",""),"")))</f>
        <v/>
      </c>
      <c r="H1601" s="7">
        <f>IF($Z1601="C","CONTRACT",IF($Z1601="A","ASSET",IF($Z1601="F","WORKFORCE","")))</f>
        <v/>
      </c>
      <c r="I1601" s="7">
        <f>IF($Z1601="C",INDEX(Contracts!$L$2:$L$151,$AB1601)&amp;"",IF($Z1601="A",INDEX(Fixed_Assets!$I$2:$I$201,$AB1601)&amp;"",IF($Z1601="F",INDEX(Workforce!$G$2:$G$151,MATCH(INDEX(FTE_Allocation!$A$2:$A$201,$AB1601),Workforce!$A$2:$A$151,0))&amp;"","")))</f>
        <v/>
      </c>
      <c r="J1601" s="18">
        <f>IF($Z1601="","",IF(AND(DATE($AD1601,1,1)&gt;=$AE1601,DATE($AD1601,1,1)&lt;=$AF1601),ROUND($AG1601,2),0))</f>
        <v/>
      </c>
      <c r="K1601" s="18">
        <f>IF($Z1601="","",IF(AND(DATE($AD1601,2,1)&gt;=$AE1601,DATE($AD1601,2,1)&lt;=$AF1601),ROUND($AG1601,2),0))</f>
        <v/>
      </c>
      <c r="L1601" s="18">
        <f>IF($Z1601="","",IF(AND(DATE($AD1601,3,1)&gt;=$AE1601,DATE($AD1601,3,1)&lt;=$AF1601),ROUND($AG1601,2),0))</f>
        <v/>
      </c>
      <c r="M1601" s="18">
        <f>IF($Z1601="","",IF(AND(DATE($AD1601,4,1)&gt;=$AE1601,DATE($AD1601,4,1)&lt;=$AF1601),ROUND($AG1601,2),0))</f>
        <v/>
      </c>
      <c r="N1601" s="18">
        <f>IF($Z1601="","",IF(AND(DATE($AD1601,5,1)&gt;=$AE1601,DATE($AD1601,5,1)&lt;=$AF1601),ROUND($AG1601,2),0))</f>
        <v/>
      </c>
      <c r="O1601" s="18">
        <f>IF($Z1601="","",IF(AND(DATE($AD1601,6,1)&gt;=$AE1601,DATE($AD1601,6,1)&lt;=$AF1601),ROUND($AG1601,2),0))</f>
        <v/>
      </c>
      <c r="P1601" s="18">
        <f>IF($Z1601="","",IF(AND(DATE($AD1601,7,1)&gt;=$AE1601,DATE($AD1601,7,1)&lt;=$AF1601),ROUND($AG1601,2),0))</f>
        <v/>
      </c>
      <c r="Q1601" s="18">
        <f>IF($Z1601="","",IF(AND(DATE($AD1601,8,1)&gt;=$AE1601,DATE($AD1601,8,1)&lt;=$AF1601),ROUND($AG1601,2),0))</f>
        <v/>
      </c>
      <c r="R1601" s="18">
        <f>IF($Z1601="","",IF(AND(DATE($AD1601,9,1)&gt;=$AE1601,DATE($AD1601,9,1)&lt;=$AF1601),ROUND($AG1601,2),0))</f>
        <v/>
      </c>
      <c r="S1601" s="18">
        <f>IF($Z1601="","",IF(AND(DATE($AD1601,10,1)&gt;=$AE1601,DATE($AD1601,10,1)&lt;=$AF1601),ROUND($AG1601,2),0))</f>
        <v/>
      </c>
      <c r="T1601" s="18">
        <f>IF($Z1601="","",IF(AND(DATE($AD1601,11,1)&gt;=$AE1601,DATE($AD1601,11,1)&lt;=$AF1601),ROUND($AG1601,2),0))</f>
        <v/>
      </c>
      <c r="U1601" s="18">
        <f>IF($Z1601="","",IF(AND(DATE($AD1601,12,1)&gt;=$AE1601,DATE($AD1601,12,1)&lt;=$AF1601),ROUND($AG1601,2),0))</f>
        <v/>
      </c>
      <c r="V1601" s="7">
        <f>IF($Z1601="C","Generated from "&amp;INDEX(Contracts!$A$2:$A$151,$AB1601),IF($Z1601="A","Generated from "&amp;INDEX(Fixed_Assets!$A$2:$A$201,$AB1601),IF($Z1601="F","Generated from "&amp;INDEX(FTE_Allocation!$A$2:$A$201,$AB1601),"")))</f>
        <v/>
      </c>
      <c r="X1601" s="19">
        <f>IF($Z1601="","",SUM(J1601:U1601))</f>
        <v/>
      </c>
      <c r="Y1601" s="20">
        <f>ROW()-1</f>
        <v/>
      </c>
      <c r="Z1601" s="20">
        <f>IF($Y1601&lt;=Settings!$B$4*3,"C",IF($Y1601&lt;=(Settings!$B$4+Settings!$B$5)*3,"A",IF($Y1601&lt;=(Settings!$B$4+Settings!$B$5+Settings!$B$6)*3,"F","")))</f>
        <v/>
      </c>
      <c r="AA1601" s="20">
        <f>IF($Z1601="C",$Y1601,IF($Z1601="A",$Y1601-Settings!$B$4*3,IF($Z1601="F",$Y1601-(Settings!$B$4+Settings!$B$5)*3,"")))</f>
        <v/>
      </c>
      <c r="AB1601" s="20">
        <f>IF($Z1601="","",INT(($AA1601-1)/3)+1)</f>
        <v/>
      </c>
      <c r="AC1601" s="20">
        <f>IF($Z1601="","",MOD($AA1601-1,3)+1)</f>
        <v/>
      </c>
      <c r="AD1601" s="20">
        <f>IF($Z1601="","",Settings!$B$2+$AC1601-1)</f>
        <v/>
      </c>
      <c r="AE1601" s="21">
        <f>IF($Z1601="C",DATE(YEAR(INDEX(Contracts!$J$2:$J$151,$AB1601)),MONTH(INDEX(Contracts!$J$2:$J$151,$AB1601)),1),IF($Z1601="A",DATE(YEAR(INDEX(Fixed_Assets!$G$2:$G$201,$AB1601)),MONTH(INDEX(Fixed_Assets!$G$2:$G$201,$AB1601)),1),IF($Z1601="F",DATE(YEAR(MAX(N(INDEX(Workforce!$I$2:$I$151,MATCH(INDEX(FTE_Allocation!$A$2:$A$201,$AB1601),Workforce!$A$2:$A$151,0))),N(INDEX(FTE_Allocation!$I$2:$I$201,$AB1601)))),MONTH(MAX(N(INDEX(Workforce!$I$2:$I$151,MATCH(INDEX(FTE_Allocation!$A$2:$A$201,$AB1601),Workforce!$A$2:$A$151,0))),N(INDEX(FTE_Allocation!$I$2:$I$201,$AB1601)))),1),"")))</f>
        <v/>
      </c>
      <c r="AF1601" s="21">
        <f>IF($Z1601="C",IF(INDEX(Contracts!$I$2:$I$151,$AB1601)="PREPAID",EDATE(DATE(YEAR(INDEX(Contracts!$J$2:$J$151,$AB1601)),MONTH(INDEX(Contracts!$J$2:$J$151,$AB1601)),1),IF(INDEX(Contracts!$N$2:$N$151,$AB1601)="",12,INDEX(Contracts!$N$2:$N$151,$AB1601))-1),IF(INDEX(Contracts!$I$2:$I$151,$AB1601)="MONTHLY",IF(INDEX(Contracts!$K$2:$K$151,$AB1601)="",2958101,INDEX(Contracts!$K$2:$K$151,$AB1601)),0)),IF($Z1601="A",EDATE(DATE(YEAR(INDEX(Fixed_Assets!$G$2:$G$201,$AB1601)),MONTH(INDEX(Fixed_Assets!$G$2:$G$201,$AB1601)),1),INDEX(Fixed_Assets!$J$2:$J$201,$AB1601)-1),IF($Z1601="F",MIN(IF(INDEX(Workforce!$J$2:$J$151,MATCH(INDEX(FTE_Allocation!$A$2:$A$201,$AB1601),Workforce!$A$2:$A$151,0))="",2958101,INDEX(Workforce!$J$2:$J$151,MATCH(INDEX(FTE_Allocation!$A$2:$A$201,$AB1601),Workforce!$A$2:$A$151,0))),IF(INDEX(FTE_Allocation!$J$2:$J$201,$AB1601)="",2958101,INDEX(FTE_Allocation!$J$2:$J$201,$AB1601))),"")))</f>
        <v/>
      </c>
      <c r="AG1601" s="19">
        <f>IF($Z1601="C",IF(INDEX(Contracts!$I$2:$I$151,$AB1601)="PREPAID",INDEX(Contracts!$M$2:$M$151,$AB1601)/IF(INDEX(Contracts!$N$2:$N$151,$AB1601)="",12,INDEX(Contracts!$N$2:$N$151,$AB1601)),IF(INDEX(Contracts!$I$2:$I$151,$AB1601)="MONTHLY",INDEX(Contracts!$M$2:$M$151,$AB1601),0))*(1-N(INDEX(Contracts!$O$2:$O$151,$AB1601))),IF($Z1601="A",INDEX(Fixed_Assets!$H$2:$H$201,$AB1601)/INDEX(Fixed_Assets!$J$2:$J$201,$AB1601),IF($Z1601="F",INDEX(Workforce!$F$2:$F$151,MATCH(INDEX(FTE_Allocation!$A$2:$A$201,$AB1601),Workforce!$A$2:$A$151,0))*N(INDEX(FTE_Allocation!$F$2:$H$201,$AB1601,$AC1601)),"")))</f>
        <v/>
      </c>
    </row>
    <row r="1602">
      <c r="A1602" s="7">
        <f>IF($Z1602="","",$AD1602)</f>
        <v/>
      </c>
      <c r="B1602" s="7">
        <f>IF($Z1602="C",INDEX(Contracts!$D$2:$D$151,$AB1602)&amp;"",IF($Z1602="A",INDEX(Fixed_Assets!$C$2:$C$201,$AB1602)&amp;"",IF($Z1602="F",INDEX(Workforce!$B$2:$B$151,MATCH(INDEX(FTE_Allocation!$A$2:$A$201,$AB1602),Workforce!$A$2:$A$151,0))&amp;"","")))</f>
        <v/>
      </c>
      <c r="C1602" s="7">
        <f>IF($Z1602="C",INDEX(Contracts!$E$2:$E$151,$AB1602)&amp;"",IF($Z1602="A",INDEX(Fixed_Assets!$D$2:$D$201,$AB1602)&amp;"",IF($Z1602="F",INDEX(FTE_Allocation!$C$2:$C$201,$AB1602)&amp;"","")))</f>
        <v/>
      </c>
      <c r="D1602" s="7">
        <f>IF($Z1602="C",INDEX(Contracts!$B$2:$B$151,$AB1602)&amp;"",IF($Z1602="A",INDEX(Fixed_Assets!$B$2:$B$201,$AB1602)&amp;"",IF($Z1602="F",INDEX(FTE_Allocation!$B$2:$B$201,$AB1602)&amp;"","")))</f>
        <v/>
      </c>
      <c r="E1602" s="7">
        <f>IF($Z1602="C",INDEX(Contracts!$P$2:$P$151,$AB1602)&amp;"",IF($Z1602="A",INDEX(Fixed_Assets!$K$2:$K$201,$AB1602)&amp;"",IF($Z1602="F",IF(INDEX(FTE_Allocation!$D$2:$D$201,$AB1602)="PROJECT",IFERROR(INDEX(Projects!$D:$D,MATCH(INDEX(FTE_Allocation!$E$2:$E$201,$AB1602),Projects!$A:$A,0))&amp;"","#PROJECT?"),INDEX(FTE_Allocation!$E$2:$E$201,$AB1602)&amp;""),"")))</f>
        <v/>
      </c>
      <c r="F1602" s="7">
        <f>IF($Z1602="C",INDEX(Contracts!$Q$2:$Q$151,$AB1602)&amp;"",IF($Z1602="A",INDEX(Fixed_Assets!$L$2:$L$201,$AB1602)&amp;"",IF($Z1602="F",INDEX(Workforce!$K$2:$K$151,MATCH(INDEX(FTE_Allocation!$A$2:$A$201,$AB1602),Workforce!$A$2:$A$151,0))&amp;"","")))</f>
        <v/>
      </c>
      <c r="G1602" s="7">
        <f>IF($Z1602="C",INDEX(Contracts!$F$2:$F$151,$AB1602)&amp;" / "&amp;INDEX(Contracts!$G$2:$G$151,$AB1602),IF($Z1602="A",INDEX(Fixed_Assets!$E$2:$E$201,$AB1602)&amp;"",IF($Z1602="F","Personnel "&amp;INDEX(FTE_Allocation!$A$2:$A$201,$AB1602)&amp;IF(INDEX(FTE_Allocation!$D$2:$D$201,$AB1602)="PROJECT"," ("&amp;INDEX(FTE_Allocation!$E$2:$E$201,$AB1602)&amp;")",""),"")))</f>
        <v/>
      </c>
      <c r="H1602" s="7">
        <f>IF($Z1602="C","CONTRACT",IF($Z1602="A","ASSET",IF($Z1602="F","WORKFORCE","")))</f>
        <v/>
      </c>
      <c r="I1602" s="7">
        <f>IF($Z1602="C",INDEX(Contracts!$L$2:$L$151,$AB1602)&amp;"",IF($Z1602="A",INDEX(Fixed_Assets!$I$2:$I$201,$AB1602)&amp;"",IF($Z1602="F",INDEX(Workforce!$G$2:$G$151,MATCH(INDEX(FTE_Allocation!$A$2:$A$201,$AB1602),Workforce!$A$2:$A$151,0))&amp;"","")))</f>
        <v/>
      </c>
      <c r="J1602" s="18">
        <f>IF($Z1602="","",IF(AND(DATE($AD1602,1,1)&gt;=$AE1602,DATE($AD1602,1,1)&lt;=$AF1602),ROUND($AG1602,2),0))</f>
        <v/>
      </c>
      <c r="K1602" s="18">
        <f>IF($Z1602="","",IF(AND(DATE($AD1602,2,1)&gt;=$AE1602,DATE($AD1602,2,1)&lt;=$AF1602),ROUND($AG1602,2),0))</f>
        <v/>
      </c>
      <c r="L1602" s="18">
        <f>IF($Z1602="","",IF(AND(DATE($AD1602,3,1)&gt;=$AE1602,DATE($AD1602,3,1)&lt;=$AF1602),ROUND($AG1602,2),0))</f>
        <v/>
      </c>
      <c r="M1602" s="18">
        <f>IF($Z1602="","",IF(AND(DATE($AD1602,4,1)&gt;=$AE1602,DATE($AD1602,4,1)&lt;=$AF1602),ROUND($AG1602,2),0))</f>
        <v/>
      </c>
      <c r="N1602" s="18">
        <f>IF($Z1602="","",IF(AND(DATE($AD1602,5,1)&gt;=$AE1602,DATE($AD1602,5,1)&lt;=$AF1602),ROUND($AG1602,2),0))</f>
        <v/>
      </c>
      <c r="O1602" s="18">
        <f>IF($Z1602="","",IF(AND(DATE($AD1602,6,1)&gt;=$AE1602,DATE($AD1602,6,1)&lt;=$AF1602),ROUND($AG1602,2),0))</f>
        <v/>
      </c>
      <c r="P1602" s="18">
        <f>IF($Z1602="","",IF(AND(DATE($AD1602,7,1)&gt;=$AE1602,DATE($AD1602,7,1)&lt;=$AF1602),ROUND($AG1602,2),0))</f>
        <v/>
      </c>
      <c r="Q1602" s="18">
        <f>IF($Z1602="","",IF(AND(DATE($AD1602,8,1)&gt;=$AE1602,DATE($AD1602,8,1)&lt;=$AF1602),ROUND($AG1602,2),0))</f>
        <v/>
      </c>
      <c r="R1602" s="18">
        <f>IF($Z1602="","",IF(AND(DATE($AD1602,9,1)&gt;=$AE1602,DATE($AD1602,9,1)&lt;=$AF1602),ROUND($AG1602,2),0))</f>
        <v/>
      </c>
      <c r="S1602" s="18">
        <f>IF($Z1602="","",IF(AND(DATE($AD1602,10,1)&gt;=$AE1602,DATE($AD1602,10,1)&lt;=$AF1602),ROUND($AG1602,2),0))</f>
        <v/>
      </c>
      <c r="T1602" s="18">
        <f>IF($Z1602="","",IF(AND(DATE($AD1602,11,1)&gt;=$AE1602,DATE($AD1602,11,1)&lt;=$AF1602),ROUND($AG1602,2),0))</f>
        <v/>
      </c>
      <c r="U1602" s="18">
        <f>IF($Z1602="","",IF(AND(DATE($AD1602,12,1)&gt;=$AE1602,DATE($AD1602,12,1)&lt;=$AF1602),ROUND($AG1602,2),0))</f>
        <v/>
      </c>
      <c r="V1602" s="7">
        <f>IF($Z1602="C","Generated from "&amp;INDEX(Contracts!$A$2:$A$151,$AB1602),IF($Z1602="A","Generated from "&amp;INDEX(Fixed_Assets!$A$2:$A$201,$AB1602),IF($Z1602="F","Generated from "&amp;INDEX(FTE_Allocation!$A$2:$A$201,$AB1602),"")))</f>
        <v/>
      </c>
      <c r="X1602" s="19">
        <f>IF($Z1602="","",SUM(J1602:U1602))</f>
        <v/>
      </c>
      <c r="Y1602" s="20">
        <f>ROW()-1</f>
        <v/>
      </c>
      <c r="Z1602" s="20">
        <f>IF($Y1602&lt;=Settings!$B$4*3,"C",IF($Y1602&lt;=(Settings!$B$4+Settings!$B$5)*3,"A",IF($Y1602&lt;=(Settings!$B$4+Settings!$B$5+Settings!$B$6)*3,"F","")))</f>
        <v/>
      </c>
      <c r="AA1602" s="20">
        <f>IF($Z1602="C",$Y1602,IF($Z1602="A",$Y1602-Settings!$B$4*3,IF($Z1602="F",$Y1602-(Settings!$B$4+Settings!$B$5)*3,"")))</f>
        <v/>
      </c>
      <c r="AB1602" s="20">
        <f>IF($Z1602="","",INT(($AA1602-1)/3)+1)</f>
        <v/>
      </c>
      <c r="AC1602" s="20">
        <f>IF($Z1602="","",MOD($AA1602-1,3)+1)</f>
        <v/>
      </c>
      <c r="AD1602" s="20">
        <f>IF($Z1602="","",Settings!$B$2+$AC1602-1)</f>
        <v/>
      </c>
      <c r="AE1602" s="21">
        <f>IF($Z1602="C",DATE(YEAR(INDEX(Contracts!$J$2:$J$151,$AB1602)),MONTH(INDEX(Contracts!$J$2:$J$151,$AB1602)),1),IF($Z1602="A",DATE(YEAR(INDEX(Fixed_Assets!$G$2:$G$201,$AB1602)),MONTH(INDEX(Fixed_Assets!$G$2:$G$201,$AB1602)),1),IF($Z1602="F",DATE(YEAR(MAX(N(INDEX(Workforce!$I$2:$I$151,MATCH(INDEX(FTE_Allocation!$A$2:$A$201,$AB1602),Workforce!$A$2:$A$151,0))),N(INDEX(FTE_Allocation!$I$2:$I$201,$AB1602)))),MONTH(MAX(N(INDEX(Workforce!$I$2:$I$151,MATCH(INDEX(FTE_Allocation!$A$2:$A$201,$AB1602),Workforce!$A$2:$A$151,0))),N(INDEX(FTE_Allocation!$I$2:$I$201,$AB1602)))),1),"")))</f>
        <v/>
      </c>
      <c r="AF1602" s="21">
        <f>IF($Z1602="C",IF(INDEX(Contracts!$I$2:$I$151,$AB1602)="PREPAID",EDATE(DATE(YEAR(INDEX(Contracts!$J$2:$J$151,$AB1602)),MONTH(INDEX(Contracts!$J$2:$J$151,$AB1602)),1),IF(INDEX(Contracts!$N$2:$N$151,$AB1602)="",12,INDEX(Contracts!$N$2:$N$151,$AB1602))-1),IF(INDEX(Contracts!$I$2:$I$151,$AB1602)="MONTHLY",IF(INDEX(Contracts!$K$2:$K$151,$AB1602)="",2958101,INDEX(Contracts!$K$2:$K$151,$AB1602)),0)),IF($Z1602="A",EDATE(DATE(YEAR(INDEX(Fixed_Assets!$G$2:$G$201,$AB1602)),MONTH(INDEX(Fixed_Assets!$G$2:$G$201,$AB1602)),1),INDEX(Fixed_Assets!$J$2:$J$201,$AB1602)-1),IF($Z1602="F",MIN(IF(INDEX(Workforce!$J$2:$J$151,MATCH(INDEX(FTE_Allocation!$A$2:$A$201,$AB1602),Workforce!$A$2:$A$151,0))="",2958101,INDEX(Workforce!$J$2:$J$151,MATCH(INDEX(FTE_Allocation!$A$2:$A$201,$AB1602),Workforce!$A$2:$A$151,0))),IF(INDEX(FTE_Allocation!$J$2:$J$201,$AB1602)="",2958101,INDEX(FTE_Allocation!$J$2:$J$201,$AB1602))),"")))</f>
        <v/>
      </c>
      <c r="AG1602" s="19">
        <f>IF($Z1602="C",IF(INDEX(Contracts!$I$2:$I$151,$AB1602)="PREPAID",INDEX(Contracts!$M$2:$M$151,$AB1602)/IF(INDEX(Contracts!$N$2:$N$151,$AB1602)="",12,INDEX(Contracts!$N$2:$N$151,$AB1602)),IF(INDEX(Contracts!$I$2:$I$151,$AB1602)="MONTHLY",INDEX(Contracts!$M$2:$M$151,$AB1602),0))*(1-N(INDEX(Contracts!$O$2:$O$151,$AB1602))),IF($Z1602="A",INDEX(Fixed_Assets!$H$2:$H$201,$AB1602)/INDEX(Fixed_Assets!$J$2:$J$201,$AB1602),IF($Z1602="F",INDEX(Workforce!$F$2:$F$151,MATCH(INDEX(FTE_Allocation!$A$2:$A$201,$AB1602),Workforce!$A$2:$A$151,0))*N(INDEX(FTE_Allocation!$F$2:$H$201,$AB1602,$AC1602)),"")))</f>
        <v/>
      </c>
    </row>
    <row r="1603">
      <c r="A1603" s="7">
        <f>IF($Z1603="","",$AD1603)</f>
        <v/>
      </c>
      <c r="B1603" s="7">
        <f>IF($Z1603="C",INDEX(Contracts!$D$2:$D$151,$AB1603)&amp;"",IF($Z1603="A",INDEX(Fixed_Assets!$C$2:$C$201,$AB1603)&amp;"",IF($Z1603="F",INDEX(Workforce!$B$2:$B$151,MATCH(INDEX(FTE_Allocation!$A$2:$A$201,$AB1603),Workforce!$A$2:$A$151,0))&amp;"","")))</f>
        <v/>
      </c>
      <c r="C1603" s="7">
        <f>IF($Z1603="C",INDEX(Contracts!$E$2:$E$151,$AB1603)&amp;"",IF($Z1603="A",INDEX(Fixed_Assets!$D$2:$D$201,$AB1603)&amp;"",IF($Z1603="F",INDEX(FTE_Allocation!$C$2:$C$201,$AB1603)&amp;"","")))</f>
        <v/>
      </c>
      <c r="D1603" s="7">
        <f>IF($Z1603="C",INDEX(Contracts!$B$2:$B$151,$AB1603)&amp;"",IF($Z1603="A",INDEX(Fixed_Assets!$B$2:$B$201,$AB1603)&amp;"",IF($Z1603="F",INDEX(FTE_Allocation!$B$2:$B$201,$AB1603)&amp;"","")))</f>
        <v/>
      </c>
      <c r="E1603" s="7">
        <f>IF($Z1603="C",INDEX(Contracts!$P$2:$P$151,$AB1603)&amp;"",IF($Z1603="A",INDEX(Fixed_Assets!$K$2:$K$201,$AB1603)&amp;"",IF($Z1603="F",IF(INDEX(FTE_Allocation!$D$2:$D$201,$AB1603)="PROJECT",IFERROR(INDEX(Projects!$D:$D,MATCH(INDEX(FTE_Allocation!$E$2:$E$201,$AB1603),Projects!$A:$A,0))&amp;"","#PROJECT?"),INDEX(FTE_Allocation!$E$2:$E$201,$AB1603)&amp;""),"")))</f>
        <v/>
      </c>
      <c r="F1603" s="7">
        <f>IF($Z1603="C",INDEX(Contracts!$Q$2:$Q$151,$AB1603)&amp;"",IF($Z1603="A",INDEX(Fixed_Assets!$L$2:$L$201,$AB1603)&amp;"",IF($Z1603="F",INDEX(Workforce!$K$2:$K$151,MATCH(INDEX(FTE_Allocation!$A$2:$A$201,$AB1603),Workforce!$A$2:$A$151,0))&amp;"","")))</f>
        <v/>
      </c>
      <c r="G1603" s="7">
        <f>IF($Z1603="C",INDEX(Contracts!$F$2:$F$151,$AB1603)&amp;" / "&amp;INDEX(Contracts!$G$2:$G$151,$AB1603),IF($Z1603="A",INDEX(Fixed_Assets!$E$2:$E$201,$AB1603)&amp;"",IF($Z1603="F","Personnel "&amp;INDEX(FTE_Allocation!$A$2:$A$201,$AB1603)&amp;IF(INDEX(FTE_Allocation!$D$2:$D$201,$AB1603)="PROJECT"," ("&amp;INDEX(FTE_Allocation!$E$2:$E$201,$AB1603)&amp;")",""),"")))</f>
        <v/>
      </c>
      <c r="H1603" s="7">
        <f>IF($Z1603="C","CONTRACT",IF($Z1603="A","ASSET",IF($Z1603="F","WORKFORCE","")))</f>
        <v/>
      </c>
      <c r="I1603" s="7">
        <f>IF($Z1603="C",INDEX(Contracts!$L$2:$L$151,$AB1603)&amp;"",IF($Z1603="A",INDEX(Fixed_Assets!$I$2:$I$201,$AB1603)&amp;"",IF($Z1603="F",INDEX(Workforce!$G$2:$G$151,MATCH(INDEX(FTE_Allocation!$A$2:$A$201,$AB1603),Workforce!$A$2:$A$151,0))&amp;"","")))</f>
        <v/>
      </c>
      <c r="J1603" s="18">
        <f>IF($Z1603="","",IF(AND(DATE($AD1603,1,1)&gt;=$AE1603,DATE($AD1603,1,1)&lt;=$AF1603),ROUND($AG1603,2),0))</f>
        <v/>
      </c>
      <c r="K1603" s="18">
        <f>IF($Z1603="","",IF(AND(DATE($AD1603,2,1)&gt;=$AE1603,DATE($AD1603,2,1)&lt;=$AF1603),ROUND($AG1603,2),0))</f>
        <v/>
      </c>
      <c r="L1603" s="18">
        <f>IF($Z1603="","",IF(AND(DATE($AD1603,3,1)&gt;=$AE1603,DATE($AD1603,3,1)&lt;=$AF1603),ROUND($AG1603,2),0))</f>
        <v/>
      </c>
      <c r="M1603" s="18">
        <f>IF($Z1603="","",IF(AND(DATE($AD1603,4,1)&gt;=$AE1603,DATE($AD1603,4,1)&lt;=$AF1603),ROUND($AG1603,2),0))</f>
        <v/>
      </c>
      <c r="N1603" s="18">
        <f>IF($Z1603="","",IF(AND(DATE($AD1603,5,1)&gt;=$AE1603,DATE($AD1603,5,1)&lt;=$AF1603),ROUND($AG1603,2),0))</f>
        <v/>
      </c>
      <c r="O1603" s="18">
        <f>IF($Z1603="","",IF(AND(DATE($AD1603,6,1)&gt;=$AE1603,DATE($AD1603,6,1)&lt;=$AF1603),ROUND($AG1603,2),0))</f>
        <v/>
      </c>
      <c r="P1603" s="18">
        <f>IF($Z1603="","",IF(AND(DATE($AD1603,7,1)&gt;=$AE1603,DATE($AD1603,7,1)&lt;=$AF1603),ROUND($AG1603,2),0))</f>
        <v/>
      </c>
      <c r="Q1603" s="18">
        <f>IF($Z1603="","",IF(AND(DATE($AD1603,8,1)&gt;=$AE1603,DATE($AD1603,8,1)&lt;=$AF1603),ROUND($AG1603,2),0))</f>
        <v/>
      </c>
      <c r="R1603" s="18">
        <f>IF($Z1603="","",IF(AND(DATE($AD1603,9,1)&gt;=$AE1603,DATE($AD1603,9,1)&lt;=$AF1603),ROUND($AG1603,2),0))</f>
        <v/>
      </c>
      <c r="S1603" s="18">
        <f>IF($Z1603="","",IF(AND(DATE($AD1603,10,1)&gt;=$AE1603,DATE($AD1603,10,1)&lt;=$AF1603),ROUND($AG1603,2),0))</f>
        <v/>
      </c>
      <c r="T1603" s="18">
        <f>IF($Z1603="","",IF(AND(DATE($AD1603,11,1)&gt;=$AE1603,DATE($AD1603,11,1)&lt;=$AF1603),ROUND($AG1603,2),0))</f>
        <v/>
      </c>
      <c r="U1603" s="18">
        <f>IF($Z1603="","",IF(AND(DATE($AD1603,12,1)&gt;=$AE1603,DATE($AD1603,12,1)&lt;=$AF1603),ROUND($AG1603,2),0))</f>
        <v/>
      </c>
      <c r="V1603" s="7">
        <f>IF($Z1603="C","Generated from "&amp;INDEX(Contracts!$A$2:$A$151,$AB1603),IF($Z1603="A","Generated from "&amp;INDEX(Fixed_Assets!$A$2:$A$201,$AB1603),IF($Z1603="F","Generated from "&amp;INDEX(FTE_Allocation!$A$2:$A$201,$AB1603),"")))</f>
        <v/>
      </c>
      <c r="X1603" s="19">
        <f>IF($Z1603="","",SUM(J1603:U1603))</f>
        <v/>
      </c>
      <c r="Y1603" s="20">
        <f>ROW()-1</f>
        <v/>
      </c>
      <c r="Z1603" s="20">
        <f>IF($Y1603&lt;=Settings!$B$4*3,"C",IF($Y1603&lt;=(Settings!$B$4+Settings!$B$5)*3,"A",IF($Y1603&lt;=(Settings!$B$4+Settings!$B$5+Settings!$B$6)*3,"F","")))</f>
        <v/>
      </c>
      <c r="AA1603" s="20">
        <f>IF($Z1603="C",$Y1603,IF($Z1603="A",$Y1603-Settings!$B$4*3,IF($Z1603="F",$Y1603-(Settings!$B$4+Settings!$B$5)*3,"")))</f>
        <v/>
      </c>
      <c r="AB1603" s="20">
        <f>IF($Z1603="","",INT(($AA1603-1)/3)+1)</f>
        <v/>
      </c>
      <c r="AC1603" s="20">
        <f>IF($Z1603="","",MOD($AA1603-1,3)+1)</f>
        <v/>
      </c>
      <c r="AD1603" s="20">
        <f>IF($Z1603="","",Settings!$B$2+$AC1603-1)</f>
        <v/>
      </c>
      <c r="AE1603" s="21">
        <f>IF($Z1603="C",DATE(YEAR(INDEX(Contracts!$J$2:$J$151,$AB1603)),MONTH(INDEX(Contracts!$J$2:$J$151,$AB1603)),1),IF($Z1603="A",DATE(YEAR(INDEX(Fixed_Assets!$G$2:$G$201,$AB1603)),MONTH(INDEX(Fixed_Assets!$G$2:$G$201,$AB1603)),1),IF($Z1603="F",DATE(YEAR(MAX(N(INDEX(Workforce!$I$2:$I$151,MATCH(INDEX(FTE_Allocation!$A$2:$A$201,$AB1603),Workforce!$A$2:$A$151,0))),N(INDEX(FTE_Allocation!$I$2:$I$201,$AB1603)))),MONTH(MAX(N(INDEX(Workforce!$I$2:$I$151,MATCH(INDEX(FTE_Allocation!$A$2:$A$201,$AB1603),Workforce!$A$2:$A$151,0))),N(INDEX(FTE_Allocation!$I$2:$I$201,$AB1603)))),1),"")))</f>
        <v/>
      </c>
      <c r="AF1603" s="21">
        <f>IF($Z1603="C",IF(INDEX(Contracts!$I$2:$I$151,$AB1603)="PREPAID",EDATE(DATE(YEAR(INDEX(Contracts!$J$2:$J$151,$AB1603)),MONTH(INDEX(Contracts!$J$2:$J$151,$AB1603)),1),IF(INDEX(Contracts!$N$2:$N$151,$AB1603)="",12,INDEX(Contracts!$N$2:$N$151,$AB1603))-1),IF(INDEX(Contracts!$I$2:$I$151,$AB1603)="MONTHLY",IF(INDEX(Contracts!$K$2:$K$151,$AB1603)="",2958101,INDEX(Contracts!$K$2:$K$151,$AB1603)),0)),IF($Z1603="A",EDATE(DATE(YEAR(INDEX(Fixed_Assets!$G$2:$G$201,$AB1603)),MONTH(INDEX(Fixed_Assets!$G$2:$G$201,$AB1603)),1),INDEX(Fixed_Assets!$J$2:$J$201,$AB1603)-1),IF($Z1603="F",MIN(IF(INDEX(Workforce!$J$2:$J$151,MATCH(INDEX(FTE_Allocation!$A$2:$A$201,$AB1603),Workforce!$A$2:$A$151,0))="",2958101,INDEX(Workforce!$J$2:$J$151,MATCH(INDEX(FTE_Allocation!$A$2:$A$201,$AB1603),Workforce!$A$2:$A$151,0))),IF(INDEX(FTE_Allocation!$J$2:$J$201,$AB1603)="",2958101,INDEX(FTE_Allocation!$J$2:$J$201,$AB1603))),"")))</f>
        <v/>
      </c>
      <c r="AG1603" s="19">
        <f>IF($Z1603="C",IF(INDEX(Contracts!$I$2:$I$151,$AB1603)="PREPAID",INDEX(Contracts!$M$2:$M$151,$AB1603)/IF(INDEX(Contracts!$N$2:$N$151,$AB1603)="",12,INDEX(Contracts!$N$2:$N$151,$AB1603)),IF(INDEX(Contracts!$I$2:$I$151,$AB1603)="MONTHLY",INDEX(Contracts!$M$2:$M$151,$AB1603),0))*(1-N(INDEX(Contracts!$O$2:$O$151,$AB1603))),IF($Z1603="A",INDEX(Fixed_Assets!$H$2:$H$201,$AB1603)/INDEX(Fixed_Assets!$J$2:$J$201,$AB1603),IF($Z1603="F",INDEX(Workforce!$F$2:$F$151,MATCH(INDEX(FTE_Allocation!$A$2:$A$201,$AB1603),Workforce!$A$2:$A$151,0))*N(INDEX(FTE_Allocation!$F$2:$H$201,$AB1603,$AC1603)),"")))</f>
        <v/>
      </c>
    </row>
    <row r="1604">
      <c r="A1604" s="7">
        <f>IF($Z1604="","",$AD1604)</f>
        <v/>
      </c>
      <c r="B1604" s="7">
        <f>IF($Z1604="C",INDEX(Contracts!$D$2:$D$151,$AB1604)&amp;"",IF($Z1604="A",INDEX(Fixed_Assets!$C$2:$C$201,$AB1604)&amp;"",IF($Z1604="F",INDEX(Workforce!$B$2:$B$151,MATCH(INDEX(FTE_Allocation!$A$2:$A$201,$AB1604),Workforce!$A$2:$A$151,0))&amp;"","")))</f>
        <v/>
      </c>
      <c r="C1604" s="7">
        <f>IF($Z1604="C",INDEX(Contracts!$E$2:$E$151,$AB1604)&amp;"",IF($Z1604="A",INDEX(Fixed_Assets!$D$2:$D$201,$AB1604)&amp;"",IF($Z1604="F",INDEX(FTE_Allocation!$C$2:$C$201,$AB1604)&amp;"","")))</f>
        <v/>
      </c>
      <c r="D1604" s="7">
        <f>IF($Z1604="C",INDEX(Contracts!$B$2:$B$151,$AB1604)&amp;"",IF($Z1604="A",INDEX(Fixed_Assets!$B$2:$B$201,$AB1604)&amp;"",IF($Z1604="F",INDEX(FTE_Allocation!$B$2:$B$201,$AB1604)&amp;"","")))</f>
        <v/>
      </c>
      <c r="E1604" s="7">
        <f>IF($Z1604="C",INDEX(Contracts!$P$2:$P$151,$AB1604)&amp;"",IF($Z1604="A",INDEX(Fixed_Assets!$K$2:$K$201,$AB1604)&amp;"",IF($Z1604="F",IF(INDEX(FTE_Allocation!$D$2:$D$201,$AB1604)="PROJECT",IFERROR(INDEX(Projects!$D:$D,MATCH(INDEX(FTE_Allocation!$E$2:$E$201,$AB1604),Projects!$A:$A,0))&amp;"","#PROJECT?"),INDEX(FTE_Allocation!$E$2:$E$201,$AB1604)&amp;""),"")))</f>
        <v/>
      </c>
      <c r="F1604" s="7">
        <f>IF($Z1604="C",INDEX(Contracts!$Q$2:$Q$151,$AB1604)&amp;"",IF($Z1604="A",INDEX(Fixed_Assets!$L$2:$L$201,$AB1604)&amp;"",IF($Z1604="F",INDEX(Workforce!$K$2:$K$151,MATCH(INDEX(FTE_Allocation!$A$2:$A$201,$AB1604),Workforce!$A$2:$A$151,0))&amp;"","")))</f>
        <v/>
      </c>
      <c r="G1604" s="7">
        <f>IF($Z1604="C",INDEX(Contracts!$F$2:$F$151,$AB1604)&amp;" / "&amp;INDEX(Contracts!$G$2:$G$151,$AB1604),IF($Z1604="A",INDEX(Fixed_Assets!$E$2:$E$201,$AB1604)&amp;"",IF($Z1604="F","Personnel "&amp;INDEX(FTE_Allocation!$A$2:$A$201,$AB1604)&amp;IF(INDEX(FTE_Allocation!$D$2:$D$201,$AB1604)="PROJECT"," ("&amp;INDEX(FTE_Allocation!$E$2:$E$201,$AB1604)&amp;")",""),"")))</f>
        <v/>
      </c>
      <c r="H1604" s="7">
        <f>IF($Z1604="C","CONTRACT",IF($Z1604="A","ASSET",IF($Z1604="F","WORKFORCE","")))</f>
        <v/>
      </c>
      <c r="I1604" s="7">
        <f>IF($Z1604="C",INDEX(Contracts!$L$2:$L$151,$AB1604)&amp;"",IF($Z1604="A",INDEX(Fixed_Assets!$I$2:$I$201,$AB1604)&amp;"",IF($Z1604="F",INDEX(Workforce!$G$2:$G$151,MATCH(INDEX(FTE_Allocation!$A$2:$A$201,$AB1604),Workforce!$A$2:$A$151,0))&amp;"","")))</f>
        <v/>
      </c>
      <c r="J1604" s="18">
        <f>IF($Z1604="","",IF(AND(DATE($AD1604,1,1)&gt;=$AE1604,DATE($AD1604,1,1)&lt;=$AF1604),ROUND($AG1604,2),0))</f>
        <v/>
      </c>
      <c r="K1604" s="18">
        <f>IF($Z1604="","",IF(AND(DATE($AD1604,2,1)&gt;=$AE1604,DATE($AD1604,2,1)&lt;=$AF1604),ROUND($AG1604,2),0))</f>
        <v/>
      </c>
      <c r="L1604" s="18">
        <f>IF($Z1604="","",IF(AND(DATE($AD1604,3,1)&gt;=$AE1604,DATE($AD1604,3,1)&lt;=$AF1604),ROUND($AG1604,2),0))</f>
        <v/>
      </c>
      <c r="M1604" s="18">
        <f>IF($Z1604="","",IF(AND(DATE($AD1604,4,1)&gt;=$AE1604,DATE($AD1604,4,1)&lt;=$AF1604),ROUND($AG1604,2),0))</f>
        <v/>
      </c>
      <c r="N1604" s="18">
        <f>IF($Z1604="","",IF(AND(DATE($AD1604,5,1)&gt;=$AE1604,DATE($AD1604,5,1)&lt;=$AF1604),ROUND($AG1604,2),0))</f>
        <v/>
      </c>
      <c r="O1604" s="18">
        <f>IF($Z1604="","",IF(AND(DATE($AD1604,6,1)&gt;=$AE1604,DATE($AD1604,6,1)&lt;=$AF1604),ROUND($AG1604,2),0))</f>
        <v/>
      </c>
      <c r="P1604" s="18">
        <f>IF($Z1604="","",IF(AND(DATE($AD1604,7,1)&gt;=$AE1604,DATE($AD1604,7,1)&lt;=$AF1604),ROUND($AG1604,2),0))</f>
        <v/>
      </c>
      <c r="Q1604" s="18">
        <f>IF($Z1604="","",IF(AND(DATE($AD1604,8,1)&gt;=$AE1604,DATE($AD1604,8,1)&lt;=$AF1604),ROUND($AG1604,2),0))</f>
        <v/>
      </c>
      <c r="R1604" s="18">
        <f>IF($Z1604="","",IF(AND(DATE($AD1604,9,1)&gt;=$AE1604,DATE($AD1604,9,1)&lt;=$AF1604),ROUND($AG1604,2),0))</f>
        <v/>
      </c>
      <c r="S1604" s="18">
        <f>IF($Z1604="","",IF(AND(DATE($AD1604,10,1)&gt;=$AE1604,DATE($AD1604,10,1)&lt;=$AF1604),ROUND($AG1604,2),0))</f>
        <v/>
      </c>
      <c r="T1604" s="18">
        <f>IF($Z1604="","",IF(AND(DATE($AD1604,11,1)&gt;=$AE1604,DATE($AD1604,11,1)&lt;=$AF1604),ROUND($AG1604,2),0))</f>
        <v/>
      </c>
      <c r="U1604" s="18">
        <f>IF($Z1604="","",IF(AND(DATE($AD1604,12,1)&gt;=$AE1604,DATE($AD1604,12,1)&lt;=$AF1604),ROUND($AG1604,2),0))</f>
        <v/>
      </c>
      <c r="V1604" s="7">
        <f>IF($Z1604="C","Generated from "&amp;INDEX(Contracts!$A$2:$A$151,$AB1604),IF($Z1604="A","Generated from "&amp;INDEX(Fixed_Assets!$A$2:$A$201,$AB1604),IF($Z1604="F","Generated from "&amp;INDEX(FTE_Allocation!$A$2:$A$201,$AB1604),"")))</f>
        <v/>
      </c>
      <c r="X1604" s="19">
        <f>IF($Z1604="","",SUM(J1604:U1604))</f>
        <v/>
      </c>
      <c r="Y1604" s="20">
        <f>ROW()-1</f>
        <v/>
      </c>
      <c r="Z1604" s="20">
        <f>IF($Y1604&lt;=Settings!$B$4*3,"C",IF($Y1604&lt;=(Settings!$B$4+Settings!$B$5)*3,"A",IF($Y1604&lt;=(Settings!$B$4+Settings!$B$5+Settings!$B$6)*3,"F","")))</f>
        <v/>
      </c>
      <c r="AA1604" s="20">
        <f>IF($Z1604="C",$Y1604,IF($Z1604="A",$Y1604-Settings!$B$4*3,IF($Z1604="F",$Y1604-(Settings!$B$4+Settings!$B$5)*3,"")))</f>
        <v/>
      </c>
      <c r="AB1604" s="20">
        <f>IF($Z1604="","",INT(($AA1604-1)/3)+1)</f>
        <v/>
      </c>
      <c r="AC1604" s="20">
        <f>IF($Z1604="","",MOD($AA1604-1,3)+1)</f>
        <v/>
      </c>
      <c r="AD1604" s="20">
        <f>IF($Z1604="","",Settings!$B$2+$AC1604-1)</f>
        <v/>
      </c>
      <c r="AE1604" s="21">
        <f>IF($Z1604="C",DATE(YEAR(INDEX(Contracts!$J$2:$J$151,$AB1604)),MONTH(INDEX(Contracts!$J$2:$J$151,$AB1604)),1),IF($Z1604="A",DATE(YEAR(INDEX(Fixed_Assets!$G$2:$G$201,$AB1604)),MONTH(INDEX(Fixed_Assets!$G$2:$G$201,$AB1604)),1),IF($Z1604="F",DATE(YEAR(MAX(N(INDEX(Workforce!$I$2:$I$151,MATCH(INDEX(FTE_Allocation!$A$2:$A$201,$AB1604),Workforce!$A$2:$A$151,0))),N(INDEX(FTE_Allocation!$I$2:$I$201,$AB1604)))),MONTH(MAX(N(INDEX(Workforce!$I$2:$I$151,MATCH(INDEX(FTE_Allocation!$A$2:$A$201,$AB1604),Workforce!$A$2:$A$151,0))),N(INDEX(FTE_Allocation!$I$2:$I$201,$AB1604)))),1),"")))</f>
        <v/>
      </c>
      <c r="AF1604" s="21">
        <f>IF($Z1604="C",IF(INDEX(Contracts!$I$2:$I$151,$AB1604)="PREPAID",EDATE(DATE(YEAR(INDEX(Contracts!$J$2:$J$151,$AB1604)),MONTH(INDEX(Contracts!$J$2:$J$151,$AB1604)),1),IF(INDEX(Contracts!$N$2:$N$151,$AB1604)="",12,INDEX(Contracts!$N$2:$N$151,$AB1604))-1),IF(INDEX(Contracts!$I$2:$I$151,$AB1604)="MONTHLY",IF(INDEX(Contracts!$K$2:$K$151,$AB1604)="",2958101,INDEX(Contracts!$K$2:$K$151,$AB1604)),0)),IF($Z1604="A",EDATE(DATE(YEAR(INDEX(Fixed_Assets!$G$2:$G$201,$AB1604)),MONTH(INDEX(Fixed_Assets!$G$2:$G$201,$AB1604)),1),INDEX(Fixed_Assets!$J$2:$J$201,$AB1604)-1),IF($Z1604="F",MIN(IF(INDEX(Workforce!$J$2:$J$151,MATCH(INDEX(FTE_Allocation!$A$2:$A$201,$AB1604),Workforce!$A$2:$A$151,0))="",2958101,INDEX(Workforce!$J$2:$J$151,MATCH(INDEX(FTE_Allocation!$A$2:$A$201,$AB1604),Workforce!$A$2:$A$151,0))),IF(INDEX(FTE_Allocation!$J$2:$J$201,$AB1604)="",2958101,INDEX(FTE_Allocation!$J$2:$J$201,$AB1604))),"")))</f>
        <v/>
      </c>
      <c r="AG1604" s="19">
        <f>IF($Z1604="C",IF(INDEX(Contracts!$I$2:$I$151,$AB1604)="PREPAID",INDEX(Contracts!$M$2:$M$151,$AB1604)/IF(INDEX(Contracts!$N$2:$N$151,$AB1604)="",12,INDEX(Contracts!$N$2:$N$151,$AB1604)),IF(INDEX(Contracts!$I$2:$I$151,$AB1604)="MONTHLY",INDEX(Contracts!$M$2:$M$151,$AB1604),0))*(1-N(INDEX(Contracts!$O$2:$O$151,$AB1604))),IF($Z1604="A",INDEX(Fixed_Assets!$H$2:$H$201,$AB1604)/INDEX(Fixed_Assets!$J$2:$J$201,$AB1604),IF($Z1604="F",INDEX(Workforce!$F$2:$F$151,MATCH(INDEX(FTE_Allocation!$A$2:$A$201,$AB1604),Workforce!$A$2:$A$151,0))*N(INDEX(FTE_Allocation!$F$2:$H$201,$AB1604,$AC1604)),"")))</f>
        <v/>
      </c>
    </row>
    <row r="1605">
      <c r="A1605" s="7">
        <f>IF($Z1605="","",$AD1605)</f>
        <v/>
      </c>
      <c r="B1605" s="7">
        <f>IF($Z1605="C",INDEX(Contracts!$D$2:$D$151,$AB1605)&amp;"",IF($Z1605="A",INDEX(Fixed_Assets!$C$2:$C$201,$AB1605)&amp;"",IF($Z1605="F",INDEX(Workforce!$B$2:$B$151,MATCH(INDEX(FTE_Allocation!$A$2:$A$201,$AB1605),Workforce!$A$2:$A$151,0))&amp;"","")))</f>
        <v/>
      </c>
      <c r="C1605" s="7">
        <f>IF($Z1605="C",INDEX(Contracts!$E$2:$E$151,$AB1605)&amp;"",IF($Z1605="A",INDEX(Fixed_Assets!$D$2:$D$201,$AB1605)&amp;"",IF($Z1605="F",INDEX(FTE_Allocation!$C$2:$C$201,$AB1605)&amp;"","")))</f>
        <v/>
      </c>
      <c r="D1605" s="7">
        <f>IF($Z1605="C",INDEX(Contracts!$B$2:$B$151,$AB1605)&amp;"",IF($Z1605="A",INDEX(Fixed_Assets!$B$2:$B$201,$AB1605)&amp;"",IF($Z1605="F",INDEX(FTE_Allocation!$B$2:$B$201,$AB1605)&amp;"","")))</f>
        <v/>
      </c>
      <c r="E1605" s="7">
        <f>IF($Z1605="C",INDEX(Contracts!$P$2:$P$151,$AB1605)&amp;"",IF($Z1605="A",INDEX(Fixed_Assets!$K$2:$K$201,$AB1605)&amp;"",IF($Z1605="F",IF(INDEX(FTE_Allocation!$D$2:$D$201,$AB1605)="PROJECT",IFERROR(INDEX(Projects!$D:$D,MATCH(INDEX(FTE_Allocation!$E$2:$E$201,$AB1605),Projects!$A:$A,0))&amp;"","#PROJECT?"),INDEX(FTE_Allocation!$E$2:$E$201,$AB1605)&amp;""),"")))</f>
        <v/>
      </c>
      <c r="F1605" s="7">
        <f>IF($Z1605="C",INDEX(Contracts!$Q$2:$Q$151,$AB1605)&amp;"",IF($Z1605="A",INDEX(Fixed_Assets!$L$2:$L$201,$AB1605)&amp;"",IF($Z1605="F",INDEX(Workforce!$K$2:$K$151,MATCH(INDEX(FTE_Allocation!$A$2:$A$201,$AB1605),Workforce!$A$2:$A$151,0))&amp;"","")))</f>
        <v/>
      </c>
      <c r="G1605" s="7">
        <f>IF($Z1605="C",INDEX(Contracts!$F$2:$F$151,$AB1605)&amp;" / "&amp;INDEX(Contracts!$G$2:$G$151,$AB1605),IF($Z1605="A",INDEX(Fixed_Assets!$E$2:$E$201,$AB1605)&amp;"",IF($Z1605="F","Personnel "&amp;INDEX(FTE_Allocation!$A$2:$A$201,$AB1605)&amp;IF(INDEX(FTE_Allocation!$D$2:$D$201,$AB1605)="PROJECT"," ("&amp;INDEX(FTE_Allocation!$E$2:$E$201,$AB1605)&amp;")",""),"")))</f>
        <v/>
      </c>
      <c r="H1605" s="7">
        <f>IF($Z1605="C","CONTRACT",IF($Z1605="A","ASSET",IF($Z1605="F","WORKFORCE","")))</f>
        <v/>
      </c>
      <c r="I1605" s="7">
        <f>IF($Z1605="C",INDEX(Contracts!$L$2:$L$151,$AB1605)&amp;"",IF($Z1605="A",INDEX(Fixed_Assets!$I$2:$I$201,$AB1605)&amp;"",IF($Z1605="F",INDEX(Workforce!$G$2:$G$151,MATCH(INDEX(FTE_Allocation!$A$2:$A$201,$AB1605),Workforce!$A$2:$A$151,0))&amp;"","")))</f>
        <v/>
      </c>
      <c r="J1605" s="18">
        <f>IF($Z1605="","",IF(AND(DATE($AD1605,1,1)&gt;=$AE1605,DATE($AD1605,1,1)&lt;=$AF1605),ROUND($AG1605,2),0))</f>
        <v/>
      </c>
      <c r="K1605" s="18">
        <f>IF($Z1605="","",IF(AND(DATE($AD1605,2,1)&gt;=$AE1605,DATE($AD1605,2,1)&lt;=$AF1605),ROUND($AG1605,2),0))</f>
        <v/>
      </c>
      <c r="L1605" s="18">
        <f>IF($Z1605="","",IF(AND(DATE($AD1605,3,1)&gt;=$AE1605,DATE($AD1605,3,1)&lt;=$AF1605),ROUND($AG1605,2),0))</f>
        <v/>
      </c>
      <c r="M1605" s="18">
        <f>IF($Z1605="","",IF(AND(DATE($AD1605,4,1)&gt;=$AE1605,DATE($AD1605,4,1)&lt;=$AF1605),ROUND($AG1605,2),0))</f>
        <v/>
      </c>
      <c r="N1605" s="18">
        <f>IF($Z1605="","",IF(AND(DATE($AD1605,5,1)&gt;=$AE1605,DATE($AD1605,5,1)&lt;=$AF1605),ROUND($AG1605,2),0))</f>
        <v/>
      </c>
      <c r="O1605" s="18">
        <f>IF($Z1605="","",IF(AND(DATE($AD1605,6,1)&gt;=$AE1605,DATE($AD1605,6,1)&lt;=$AF1605),ROUND($AG1605,2),0))</f>
        <v/>
      </c>
      <c r="P1605" s="18">
        <f>IF($Z1605="","",IF(AND(DATE($AD1605,7,1)&gt;=$AE1605,DATE($AD1605,7,1)&lt;=$AF1605),ROUND($AG1605,2),0))</f>
        <v/>
      </c>
      <c r="Q1605" s="18">
        <f>IF($Z1605="","",IF(AND(DATE($AD1605,8,1)&gt;=$AE1605,DATE($AD1605,8,1)&lt;=$AF1605),ROUND($AG1605,2),0))</f>
        <v/>
      </c>
      <c r="R1605" s="18">
        <f>IF($Z1605="","",IF(AND(DATE($AD1605,9,1)&gt;=$AE1605,DATE($AD1605,9,1)&lt;=$AF1605),ROUND($AG1605,2),0))</f>
        <v/>
      </c>
      <c r="S1605" s="18">
        <f>IF($Z1605="","",IF(AND(DATE($AD1605,10,1)&gt;=$AE1605,DATE($AD1605,10,1)&lt;=$AF1605),ROUND($AG1605,2),0))</f>
        <v/>
      </c>
      <c r="T1605" s="18">
        <f>IF($Z1605="","",IF(AND(DATE($AD1605,11,1)&gt;=$AE1605,DATE($AD1605,11,1)&lt;=$AF1605),ROUND($AG1605,2),0))</f>
        <v/>
      </c>
      <c r="U1605" s="18">
        <f>IF($Z1605="","",IF(AND(DATE($AD1605,12,1)&gt;=$AE1605,DATE($AD1605,12,1)&lt;=$AF1605),ROUND($AG1605,2),0))</f>
        <v/>
      </c>
      <c r="V1605" s="7">
        <f>IF($Z1605="C","Generated from "&amp;INDEX(Contracts!$A$2:$A$151,$AB1605),IF($Z1605="A","Generated from "&amp;INDEX(Fixed_Assets!$A$2:$A$201,$AB1605),IF($Z1605="F","Generated from "&amp;INDEX(FTE_Allocation!$A$2:$A$201,$AB1605),"")))</f>
        <v/>
      </c>
      <c r="X1605" s="19">
        <f>IF($Z1605="","",SUM(J1605:U1605))</f>
        <v/>
      </c>
      <c r="Y1605" s="20">
        <f>ROW()-1</f>
        <v/>
      </c>
      <c r="Z1605" s="20">
        <f>IF($Y1605&lt;=Settings!$B$4*3,"C",IF($Y1605&lt;=(Settings!$B$4+Settings!$B$5)*3,"A",IF($Y1605&lt;=(Settings!$B$4+Settings!$B$5+Settings!$B$6)*3,"F","")))</f>
        <v/>
      </c>
      <c r="AA1605" s="20">
        <f>IF($Z1605="C",$Y1605,IF($Z1605="A",$Y1605-Settings!$B$4*3,IF($Z1605="F",$Y1605-(Settings!$B$4+Settings!$B$5)*3,"")))</f>
        <v/>
      </c>
      <c r="AB1605" s="20">
        <f>IF($Z1605="","",INT(($AA1605-1)/3)+1)</f>
        <v/>
      </c>
      <c r="AC1605" s="20">
        <f>IF($Z1605="","",MOD($AA1605-1,3)+1)</f>
        <v/>
      </c>
      <c r="AD1605" s="20">
        <f>IF($Z1605="","",Settings!$B$2+$AC1605-1)</f>
        <v/>
      </c>
      <c r="AE1605" s="21">
        <f>IF($Z1605="C",DATE(YEAR(INDEX(Contracts!$J$2:$J$151,$AB1605)),MONTH(INDEX(Contracts!$J$2:$J$151,$AB1605)),1),IF($Z1605="A",DATE(YEAR(INDEX(Fixed_Assets!$G$2:$G$201,$AB1605)),MONTH(INDEX(Fixed_Assets!$G$2:$G$201,$AB1605)),1),IF($Z1605="F",DATE(YEAR(MAX(N(INDEX(Workforce!$I$2:$I$151,MATCH(INDEX(FTE_Allocation!$A$2:$A$201,$AB1605),Workforce!$A$2:$A$151,0))),N(INDEX(FTE_Allocation!$I$2:$I$201,$AB1605)))),MONTH(MAX(N(INDEX(Workforce!$I$2:$I$151,MATCH(INDEX(FTE_Allocation!$A$2:$A$201,$AB1605),Workforce!$A$2:$A$151,0))),N(INDEX(FTE_Allocation!$I$2:$I$201,$AB1605)))),1),"")))</f>
        <v/>
      </c>
      <c r="AF1605" s="21">
        <f>IF($Z1605="C",IF(INDEX(Contracts!$I$2:$I$151,$AB1605)="PREPAID",EDATE(DATE(YEAR(INDEX(Contracts!$J$2:$J$151,$AB1605)),MONTH(INDEX(Contracts!$J$2:$J$151,$AB1605)),1),IF(INDEX(Contracts!$N$2:$N$151,$AB1605)="",12,INDEX(Contracts!$N$2:$N$151,$AB1605))-1),IF(INDEX(Contracts!$I$2:$I$151,$AB1605)="MONTHLY",IF(INDEX(Contracts!$K$2:$K$151,$AB1605)="",2958101,INDEX(Contracts!$K$2:$K$151,$AB1605)),0)),IF($Z1605="A",EDATE(DATE(YEAR(INDEX(Fixed_Assets!$G$2:$G$201,$AB1605)),MONTH(INDEX(Fixed_Assets!$G$2:$G$201,$AB1605)),1),INDEX(Fixed_Assets!$J$2:$J$201,$AB1605)-1),IF($Z1605="F",MIN(IF(INDEX(Workforce!$J$2:$J$151,MATCH(INDEX(FTE_Allocation!$A$2:$A$201,$AB1605),Workforce!$A$2:$A$151,0))="",2958101,INDEX(Workforce!$J$2:$J$151,MATCH(INDEX(FTE_Allocation!$A$2:$A$201,$AB1605),Workforce!$A$2:$A$151,0))),IF(INDEX(FTE_Allocation!$J$2:$J$201,$AB1605)="",2958101,INDEX(FTE_Allocation!$J$2:$J$201,$AB1605))),"")))</f>
        <v/>
      </c>
      <c r="AG1605" s="19">
        <f>IF($Z1605="C",IF(INDEX(Contracts!$I$2:$I$151,$AB1605)="PREPAID",INDEX(Contracts!$M$2:$M$151,$AB1605)/IF(INDEX(Contracts!$N$2:$N$151,$AB1605)="",12,INDEX(Contracts!$N$2:$N$151,$AB1605)),IF(INDEX(Contracts!$I$2:$I$151,$AB1605)="MONTHLY",INDEX(Contracts!$M$2:$M$151,$AB1605),0))*(1-N(INDEX(Contracts!$O$2:$O$151,$AB1605))),IF($Z1605="A",INDEX(Fixed_Assets!$H$2:$H$201,$AB1605)/INDEX(Fixed_Assets!$J$2:$J$201,$AB1605),IF($Z1605="F",INDEX(Workforce!$F$2:$F$151,MATCH(INDEX(FTE_Allocation!$A$2:$A$201,$AB1605),Workforce!$A$2:$A$151,0))*N(INDEX(FTE_Allocation!$F$2:$H$201,$AB1605,$AC1605)),"")))</f>
        <v/>
      </c>
    </row>
    <row r="1606">
      <c r="A1606" s="7">
        <f>IF($Z1606="","",$AD1606)</f>
        <v/>
      </c>
      <c r="B1606" s="7">
        <f>IF($Z1606="C",INDEX(Contracts!$D$2:$D$151,$AB1606)&amp;"",IF($Z1606="A",INDEX(Fixed_Assets!$C$2:$C$201,$AB1606)&amp;"",IF($Z1606="F",INDEX(Workforce!$B$2:$B$151,MATCH(INDEX(FTE_Allocation!$A$2:$A$201,$AB1606),Workforce!$A$2:$A$151,0))&amp;"","")))</f>
        <v/>
      </c>
      <c r="C1606" s="7">
        <f>IF($Z1606="C",INDEX(Contracts!$E$2:$E$151,$AB1606)&amp;"",IF($Z1606="A",INDEX(Fixed_Assets!$D$2:$D$201,$AB1606)&amp;"",IF($Z1606="F",INDEX(FTE_Allocation!$C$2:$C$201,$AB1606)&amp;"","")))</f>
        <v/>
      </c>
      <c r="D1606" s="7">
        <f>IF($Z1606="C",INDEX(Contracts!$B$2:$B$151,$AB1606)&amp;"",IF($Z1606="A",INDEX(Fixed_Assets!$B$2:$B$201,$AB1606)&amp;"",IF($Z1606="F",INDEX(FTE_Allocation!$B$2:$B$201,$AB1606)&amp;"","")))</f>
        <v/>
      </c>
      <c r="E1606" s="7">
        <f>IF($Z1606="C",INDEX(Contracts!$P$2:$P$151,$AB1606)&amp;"",IF($Z1606="A",INDEX(Fixed_Assets!$K$2:$K$201,$AB1606)&amp;"",IF($Z1606="F",IF(INDEX(FTE_Allocation!$D$2:$D$201,$AB1606)="PROJECT",IFERROR(INDEX(Projects!$D:$D,MATCH(INDEX(FTE_Allocation!$E$2:$E$201,$AB1606),Projects!$A:$A,0))&amp;"","#PROJECT?"),INDEX(FTE_Allocation!$E$2:$E$201,$AB1606)&amp;""),"")))</f>
        <v/>
      </c>
      <c r="F1606" s="7">
        <f>IF($Z1606="C",INDEX(Contracts!$Q$2:$Q$151,$AB1606)&amp;"",IF($Z1606="A",INDEX(Fixed_Assets!$L$2:$L$201,$AB1606)&amp;"",IF($Z1606="F",INDEX(Workforce!$K$2:$K$151,MATCH(INDEX(FTE_Allocation!$A$2:$A$201,$AB1606),Workforce!$A$2:$A$151,0))&amp;"","")))</f>
        <v/>
      </c>
      <c r="G1606" s="7">
        <f>IF($Z1606="C",INDEX(Contracts!$F$2:$F$151,$AB1606)&amp;" / "&amp;INDEX(Contracts!$G$2:$G$151,$AB1606),IF($Z1606="A",INDEX(Fixed_Assets!$E$2:$E$201,$AB1606)&amp;"",IF($Z1606="F","Personnel "&amp;INDEX(FTE_Allocation!$A$2:$A$201,$AB1606)&amp;IF(INDEX(FTE_Allocation!$D$2:$D$201,$AB1606)="PROJECT"," ("&amp;INDEX(FTE_Allocation!$E$2:$E$201,$AB1606)&amp;")",""),"")))</f>
        <v/>
      </c>
      <c r="H1606" s="7">
        <f>IF($Z1606="C","CONTRACT",IF($Z1606="A","ASSET",IF($Z1606="F","WORKFORCE","")))</f>
        <v/>
      </c>
      <c r="I1606" s="7">
        <f>IF($Z1606="C",INDEX(Contracts!$L$2:$L$151,$AB1606)&amp;"",IF($Z1606="A",INDEX(Fixed_Assets!$I$2:$I$201,$AB1606)&amp;"",IF($Z1606="F",INDEX(Workforce!$G$2:$G$151,MATCH(INDEX(FTE_Allocation!$A$2:$A$201,$AB1606),Workforce!$A$2:$A$151,0))&amp;"","")))</f>
        <v/>
      </c>
      <c r="J1606" s="18">
        <f>IF($Z1606="","",IF(AND(DATE($AD1606,1,1)&gt;=$AE1606,DATE($AD1606,1,1)&lt;=$AF1606),ROUND($AG1606,2),0))</f>
        <v/>
      </c>
      <c r="K1606" s="18">
        <f>IF($Z1606="","",IF(AND(DATE($AD1606,2,1)&gt;=$AE1606,DATE($AD1606,2,1)&lt;=$AF1606),ROUND($AG1606,2),0))</f>
        <v/>
      </c>
      <c r="L1606" s="18">
        <f>IF($Z1606="","",IF(AND(DATE($AD1606,3,1)&gt;=$AE1606,DATE($AD1606,3,1)&lt;=$AF1606),ROUND($AG1606,2),0))</f>
        <v/>
      </c>
      <c r="M1606" s="18">
        <f>IF($Z1606="","",IF(AND(DATE($AD1606,4,1)&gt;=$AE1606,DATE($AD1606,4,1)&lt;=$AF1606),ROUND($AG1606,2),0))</f>
        <v/>
      </c>
      <c r="N1606" s="18">
        <f>IF($Z1606="","",IF(AND(DATE($AD1606,5,1)&gt;=$AE1606,DATE($AD1606,5,1)&lt;=$AF1606),ROUND($AG1606,2),0))</f>
        <v/>
      </c>
      <c r="O1606" s="18">
        <f>IF($Z1606="","",IF(AND(DATE($AD1606,6,1)&gt;=$AE1606,DATE($AD1606,6,1)&lt;=$AF1606),ROUND($AG1606,2),0))</f>
        <v/>
      </c>
      <c r="P1606" s="18">
        <f>IF($Z1606="","",IF(AND(DATE($AD1606,7,1)&gt;=$AE1606,DATE($AD1606,7,1)&lt;=$AF1606),ROUND($AG1606,2),0))</f>
        <v/>
      </c>
      <c r="Q1606" s="18">
        <f>IF($Z1606="","",IF(AND(DATE($AD1606,8,1)&gt;=$AE1606,DATE($AD1606,8,1)&lt;=$AF1606),ROUND($AG1606,2),0))</f>
        <v/>
      </c>
      <c r="R1606" s="18">
        <f>IF($Z1606="","",IF(AND(DATE($AD1606,9,1)&gt;=$AE1606,DATE($AD1606,9,1)&lt;=$AF1606),ROUND($AG1606,2),0))</f>
        <v/>
      </c>
      <c r="S1606" s="18">
        <f>IF($Z1606="","",IF(AND(DATE($AD1606,10,1)&gt;=$AE1606,DATE($AD1606,10,1)&lt;=$AF1606),ROUND($AG1606,2),0))</f>
        <v/>
      </c>
      <c r="T1606" s="18">
        <f>IF($Z1606="","",IF(AND(DATE($AD1606,11,1)&gt;=$AE1606,DATE($AD1606,11,1)&lt;=$AF1606),ROUND($AG1606,2),0))</f>
        <v/>
      </c>
      <c r="U1606" s="18">
        <f>IF($Z1606="","",IF(AND(DATE($AD1606,12,1)&gt;=$AE1606,DATE($AD1606,12,1)&lt;=$AF1606),ROUND($AG1606,2),0))</f>
        <v/>
      </c>
      <c r="V1606" s="7">
        <f>IF($Z1606="C","Generated from "&amp;INDEX(Contracts!$A$2:$A$151,$AB1606),IF($Z1606="A","Generated from "&amp;INDEX(Fixed_Assets!$A$2:$A$201,$AB1606),IF($Z1606="F","Generated from "&amp;INDEX(FTE_Allocation!$A$2:$A$201,$AB1606),"")))</f>
        <v/>
      </c>
      <c r="X1606" s="19">
        <f>IF($Z1606="","",SUM(J1606:U1606))</f>
        <v/>
      </c>
      <c r="Y1606" s="20">
        <f>ROW()-1</f>
        <v/>
      </c>
      <c r="Z1606" s="20">
        <f>IF($Y1606&lt;=Settings!$B$4*3,"C",IF($Y1606&lt;=(Settings!$B$4+Settings!$B$5)*3,"A",IF($Y1606&lt;=(Settings!$B$4+Settings!$B$5+Settings!$B$6)*3,"F","")))</f>
        <v/>
      </c>
      <c r="AA1606" s="20">
        <f>IF($Z1606="C",$Y1606,IF($Z1606="A",$Y1606-Settings!$B$4*3,IF($Z1606="F",$Y1606-(Settings!$B$4+Settings!$B$5)*3,"")))</f>
        <v/>
      </c>
      <c r="AB1606" s="20">
        <f>IF($Z1606="","",INT(($AA1606-1)/3)+1)</f>
        <v/>
      </c>
      <c r="AC1606" s="20">
        <f>IF($Z1606="","",MOD($AA1606-1,3)+1)</f>
        <v/>
      </c>
      <c r="AD1606" s="20">
        <f>IF($Z1606="","",Settings!$B$2+$AC1606-1)</f>
        <v/>
      </c>
      <c r="AE1606" s="21">
        <f>IF($Z1606="C",DATE(YEAR(INDEX(Contracts!$J$2:$J$151,$AB1606)),MONTH(INDEX(Contracts!$J$2:$J$151,$AB1606)),1),IF($Z1606="A",DATE(YEAR(INDEX(Fixed_Assets!$G$2:$G$201,$AB1606)),MONTH(INDEX(Fixed_Assets!$G$2:$G$201,$AB1606)),1),IF($Z1606="F",DATE(YEAR(MAX(N(INDEX(Workforce!$I$2:$I$151,MATCH(INDEX(FTE_Allocation!$A$2:$A$201,$AB1606),Workforce!$A$2:$A$151,0))),N(INDEX(FTE_Allocation!$I$2:$I$201,$AB1606)))),MONTH(MAX(N(INDEX(Workforce!$I$2:$I$151,MATCH(INDEX(FTE_Allocation!$A$2:$A$201,$AB1606),Workforce!$A$2:$A$151,0))),N(INDEX(FTE_Allocation!$I$2:$I$201,$AB1606)))),1),"")))</f>
        <v/>
      </c>
      <c r="AF1606" s="21">
        <f>IF($Z1606="C",IF(INDEX(Contracts!$I$2:$I$151,$AB1606)="PREPAID",EDATE(DATE(YEAR(INDEX(Contracts!$J$2:$J$151,$AB1606)),MONTH(INDEX(Contracts!$J$2:$J$151,$AB1606)),1),IF(INDEX(Contracts!$N$2:$N$151,$AB1606)="",12,INDEX(Contracts!$N$2:$N$151,$AB1606))-1),IF(INDEX(Contracts!$I$2:$I$151,$AB1606)="MONTHLY",IF(INDEX(Contracts!$K$2:$K$151,$AB1606)="",2958101,INDEX(Contracts!$K$2:$K$151,$AB1606)),0)),IF($Z1606="A",EDATE(DATE(YEAR(INDEX(Fixed_Assets!$G$2:$G$201,$AB1606)),MONTH(INDEX(Fixed_Assets!$G$2:$G$201,$AB1606)),1),INDEX(Fixed_Assets!$J$2:$J$201,$AB1606)-1),IF($Z1606="F",MIN(IF(INDEX(Workforce!$J$2:$J$151,MATCH(INDEX(FTE_Allocation!$A$2:$A$201,$AB1606),Workforce!$A$2:$A$151,0))="",2958101,INDEX(Workforce!$J$2:$J$151,MATCH(INDEX(FTE_Allocation!$A$2:$A$201,$AB1606),Workforce!$A$2:$A$151,0))),IF(INDEX(FTE_Allocation!$J$2:$J$201,$AB1606)="",2958101,INDEX(FTE_Allocation!$J$2:$J$201,$AB1606))),"")))</f>
        <v/>
      </c>
      <c r="AG1606" s="19">
        <f>IF($Z1606="C",IF(INDEX(Contracts!$I$2:$I$151,$AB1606)="PREPAID",INDEX(Contracts!$M$2:$M$151,$AB1606)/IF(INDEX(Contracts!$N$2:$N$151,$AB1606)="",12,INDEX(Contracts!$N$2:$N$151,$AB1606)),IF(INDEX(Contracts!$I$2:$I$151,$AB1606)="MONTHLY",INDEX(Contracts!$M$2:$M$151,$AB1606),0))*(1-N(INDEX(Contracts!$O$2:$O$151,$AB1606))),IF($Z1606="A",INDEX(Fixed_Assets!$H$2:$H$201,$AB1606)/INDEX(Fixed_Assets!$J$2:$J$201,$AB1606),IF($Z1606="F",INDEX(Workforce!$F$2:$F$151,MATCH(INDEX(FTE_Allocation!$A$2:$A$201,$AB1606),Workforce!$A$2:$A$151,0))*N(INDEX(FTE_Allocation!$F$2:$H$201,$AB1606,$AC1606)),"")))</f>
        <v/>
      </c>
    </row>
    <row r="1607">
      <c r="A1607" s="7">
        <f>IF($Z1607="","",$AD1607)</f>
        <v/>
      </c>
      <c r="B1607" s="7">
        <f>IF($Z1607="C",INDEX(Contracts!$D$2:$D$151,$AB1607)&amp;"",IF($Z1607="A",INDEX(Fixed_Assets!$C$2:$C$201,$AB1607)&amp;"",IF($Z1607="F",INDEX(Workforce!$B$2:$B$151,MATCH(INDEX(FTE_Allocation!$A$2:$A$201,$AB1607),Workforce!$A$2:$A$151,0))&amp;"","")))</f>
        <v/>
      </c>
      <c r="C1607" s="7">
        <f>IF($Z1607="C",INDEX(Contracts!$E$2:$E$151,$AB1607)&amp;"",IF($Z1607="A",INDEX(Fixed_Assets!$D$2:$D$201,$AB1607)&amp;"",IF($Z1607="F",INDEX(FTE_Allocation!$C$2:$C$201,$AB1607)&amp;"","")))</f>
        <v/>
      </c>
      <c r="D1607" s="7">
        <f>IF($Z1607="C",INDEX(Contracts!$B$2:$B$151,$AB1607)&amp;"",IF($Z1607="A",INDEX(Fixed_Assets!$B$2:$B$201,$AB1607)&amp;"",IF($Z1607="F",INDEX(FTE_Allocation!$B$2:$B$201,$AB1607)&amp;"","")))</f>
        <v/>
      </c>
      <c r="E1607" s="7">
        <f>IF($Z1607="C",INDEX(Contracts!$P$2:$P$151,$AB1607)&amp;"",IF($Z1607="A",INDEX(Fixed_Assets!$K$2:$K$201,$AB1607)&amp;"",IF($Z1607="F",IF(INDEX(FTE_Allocation!$D$2:$D$201,$AB1607)="PROJECT",IFERROR(INDEX(Projects!$D:$D,MATCH(INDEX(FTE_Allocation!$E$2:$E$201,$AB1607),Projects!$A:$A,0))&amp;"","#PROJECT?"),INDEX(FTE_Allocation!$E$2:$E$201,$AB1607)&amp;""),"")))</f>
        <v/>
      </c>
      <c r="F1607" s="7">
        <f>IF($Z1607="C",INDEX(Contracts!$Q$2:$Q$151,$AB1607)&amp;"",IF($Z1607="A",INDEX(Fixed_Assets!$L$2:$L$201,$AB1607)&amp;"",IF($Z1607="F",INDEX(Workforce!$K$2:$K$151,MATCH(INDEX(FTE_Allocation!$A$2:$A$201,$AB1607),Workforce!$A$2:$A$151,0))&amp;"","")))</f>
        <v/>
      </c>
      <c r="G1607" s="7">
        <f>IF($Z1607="C",INDEX(Contracts!$F$2:$F$151,$AB1607)&amp;" / "&amp;INDEX(Contracts!$G$2:$G$151,$AB1607),IF($Z1607="A",INDEX(Fixed_Assets!$E$2:$E$201,$AB1607)&amp;"",IF($Z1607="F","Personnel "&amp;INDEX(FTE_Allocation!$A$2:$A$201,$AB1607)&amp;IF(INDEX(FTE_Allocation!$D$2:$D$201,$AB1607)="PROJECT"," ("&amp;INDEX(FTE_Allocation!$E$2:$E$201,$AB1607)&amp;")",""),"")))</f>
        <v/>
      </c>
      <c r="H1607" s="7">
        <f>IF($Z1607="C","CONTRACT",IF($Z1607="A","ASSET",IF($Z1607="F","WORKFORCE","")))</f>
        <v/>
      </c>
      <c r="I1607" s="7">
        <f>IF($Z1607="C",INDEX(Contracts!$L$2:$L$151,$AB1607)&amp;"",IF($Z1607="A",INDEX(Fixed_Assets!$I$2:$I$201,$AB1607)&amp;"",IF($Z1607="F",INDEX(Workforce!$G$2:$G$151,MATCH(INDEX(FTE_Allocation!$A$2:$A$201,$AB1607),Workforce!$A$2:$A$151,0))&amp;"","")))</f>
        <v/>
      </c>
      <c r="J1607" s="18">
        <f>IF($Z1607="","",IF(AND(DATE($AD1607,1,1)&gt;=$AE1607,DATE($AD1607,1,1)&lt;=$AF1607),ROUND($AG1607,2),0))</f>
        <v/>
      </c>
      <c r="K1607" s="18">
        <f>IF($Z1607="","",IF(AND(DATE($AD1607,2,1)&gt;=$AE1607,DATE($AD1607,2,1)&lt;=$AF1607),ROUND($AG1607,2),0))</f>
        <v/>
      </c>
      <c r="L1607" s="18">
        <f>IF($Z1607="","",IF(AND(DATE($AD1607,3,1)&gt;=$AE1607,DATE($AD1607,3,1)&lt;=$AF1607),ROUND($AG1607,2),0))</f>
        <v/>
      </c>
      <c r="M1607" s="18">
        <f>IF($Z1607="","",IF(AND(DATE($AD1607,4,1)&gt;=$AE1607,DATE($AD1607,4,1)&lt;=$AF1607),ROUND($AG1607,2),0))</f>
        <v/>
      </c>
      <c r="N1607" s="18">
        <f>IF($Z1607="","",IF(AND(DATE($AD1607,5,1)&gt;=$AE1607,DATE($AD1607,5,1)&lt;=$AF1607),ROUND($AG1607,2),0))</f>
        <v/>
      </c>
      <c r="O1607" s="18">
        <f>IF($Z1607="","",IF(AND(DATE($AD1607,6,1)&gt;=$AE1607,DATE($AD1607,6,1)&lt;=$AF1607),ROUND($AG1607,2),0))</f>
        <v/>
      </c>
      <c r="P1607" s="18">
        <f>IF($Z1607="","",IF(AND(DATE($AD1607,7,1)&gt;=$AE1607,DATE($AD1607,7,1)&lt;=$AF1607),ROUND($AG1607,2),0))</f>
        <v/>
      </c>
      <c r="Q1607" s="18">
        <f>IF($Z1607="","",IF(AND(DATE($AD1607,8,1)&gt;=$AE1607,DATE($AD1607,8,1)&lt;=$AF1607),ROUND($AG1607,2),0))</f>
        <v/>
      </c>
      <c r="R1607" s="18">
        <f>IF($Z1607="","",IF(AND(DATE($AD1607,9,1)&gt;=$AE1607,DATE($AD1607,9,1)&lt;=$AF1607),ROUND($AG1607,2),0))</f>
        <v/>
      </c>
      <c r="S1607" s="18">
        <f>IF($Z1607="","",IF(AND(DATE($AD1607,10,1)&gt;=$AE1607,DATE($AD1607,10,1)&lt;=$AF1607),ROUND($AG1607,2),0))</f>
        <v/>
      </c>
      <c r="T1607" s="18">
        <f>IF($Z1607="","",IF(AND(DATE($AD1607,11,1)&gt;=$AE1607,DATE($AD1607,11,1)&lt;=$AF1607),ROUND($AG1607,2),0))</f>
        <v/>
      </c>
      <c r="U1607" s="18">
        <f>IF($Z1607="","",IF(AND(DATE($AD1607,12,1)&gt;=$AE1607,DATE($AD1607,12,1)&lt;=$AF1607),ROUND($AG1607,2),0))</f>
        <v/>
      </c>
      <c r="V1607" s="7">
        <f>IF($Z1607="C","Generated from "&amp;INDEX(Contracts!$A$2:$A$151,$AB1607),IF($Z1607="A","Generated from "&amp;INDEX(Fixed_Assets!$A$2:$A$201,$AB1607),IF($Z1607="F","Generated from "&amp;INDEX(FTE_Allocation!$A$2:$A$201,$AB1607),"")))</f>
        <v/>
      </c>
      <c r="X1607" s="19">
        <f>IF($Z1607="","",SUM(J1607:U1607))</f>
        <v/>
      </c>
      <c r="Y1607" s="20">
        <f>ROW()-1</f>
        <v/>
      </c>
      <c r="Z1607" s="20">
        <f>IF($Y1607&lt;=Settings!$B$4*3,"C",IF($Y1607&lt;=(Settings!$B$4+Settings!$B$5)*3,"A",IF($Y1607&lt;=(Settings!$B$4+Settings!$B$5+Settings!$B$6)*3,"F","")))</f>
        <v/>
      </c>
      <c r="AA1607" s="20">
        <f>IF($Z1607="C",$Y1607,IF($Z1607="A",$Y1607-Settings!$B$4*3,IF($Z1607="F",$Y1607-(Settings!$B$4+Settings!$B$5)*3,"")))</f>
        <v/>
      </c>
      <c r="AB1607" s="20">
        <f>IF($Z1607="","",INT(($AA1607-1)/3)+1)</f>
        <v/>
      </c>
      <c r="AC1607" s="20">
        <f>IF($Z1607="","",MOD($AA1607-1,3)+1)</f>
        <v/>
      </c>
      <c r="AD1607" s="20">
        <f>IF($Z1607="","",Settings!$B$2+$AC1607-1)</f>
        <v/>
      </c>
      <c r="AE1607" s="21">
        <f>IF($Z1607="C",DATE(YEAR(INDEX(Contracts!$J$2:$J$151,$AB1607)),MONTH(INDEX(Contracts!$J$2:$J$151,$AB1607)),1),IF($Z1607="A",DATE(YEAR(INDEX(Fixed_Assets!$G$2:$G$201,$AB1607)),MONTH(INDEX(Fixed_Assets!$G$2:$G$201,$AB1607)),1),IF($Z1607="F",DATE(YEAR(MAX(N(INDEX(Workforce!$I$2:$I$151,MATCH(INDEX(FTE_Allocation!$A$2:$A$201,$AB1607),Workforce!$A$2:$A$151,0))),N(INDEX(FTE_Allocation!$I$2:$I$201,$AB1607)))),MONTH(MAX(N(INDEX(Workforce!$I$2:$I$151,MATCH(INDEX(FTE_Allocation!$A$2:$A$201,$AB1607),Workforce!$A$2:$A$151,0))),N(INDEX(FTE_Allocation!$I$2:$I$201,$AB1607)))),1),"")))</f>
        <v/>
      </c>
      <c r="AF1607" s="21">
        <f>IF($Z1607="C",IF(INDEX(Contracts!$I$2:$I$151,$AB1607)="PREPAID",EDATE(DATE(YEAR(INDEX(Contracts!$J$2:$J$151,$AB1607)),MONTH(INDEX(Contracts!$J$2:$J$151,$AB1607)),1),IF(INDEX(Contracts!$N$2:$N$151,$AB1607)="",12,INDEX(Contracts!$N$2:$N$151,$AB1607))-1),IF(INDEX(Contracts!$I$2:$I$151,$AB1607)="MONTHLY",IF(INDEX(Contracts!$K$2:$K$151,$AB1607)="",2958101,INDEX(Contracts!$K$2:$K$151,$AB1607)),0)),IF($Z1607="A",EDATE(DATE(YEAR(INDEX(Fixed_Assets!$G$2:$G$201,$AB1607)),MONTH(INDEX(Fixed_Assets!$G$2:$G$201,$AB1607)),1),INDEX(Fixed_Assets!$J$2:$J$201,$AB1607)-1),IF($Z1607="F",MIN(IF(INDEX(Workforce!$J$2:$J$151,MATCH(INDEX(FTE_Allocation!$A$2:$A$201,$AB1607),Workforce!$A$2:$A$151,0))="",2958101,INDEX(Workforce!$J$2:$J$151,MATCH(INDEX(FTE_Allocation!$A$2:$A$201,$AB1607),Workforce!$A$2:$A$151,0))),IF(INDEX(FTE_Allocation!$J$2:$J$201,$AB1607)="",2958101,INDEX(FTE_Allocation!$J$2:$J$201,$AB1607))),"")))</f>
        <v/>
      </c>
      <c r="AG1607" s="19">
        <f>IF($Z1607="C",IF(INDEX(Contracts!$I$2:$I$151,$AB1607)="PREPAID",INDEX(Contracts!$M$2:$M$151,$AB1607)/IF(INDEX(Contracts!$N$2:$N$151,$AB1607)="",12,INDEX(Contracts!$N$2:$N$151,$AB1607)),IF(INDEX(Contracts!$I$2:$I$151,$AB1607)="MONTHLY",INDEX(Contracts!$M$2:$M$151,$AB1607),0))*(1-N(INDEX(Contracts!$O$2:$O$151,$AB1607))),IF($Z1607="A",INDEX(Fixed_Assets!$H$2:$H$201,$AB1607)/INDEX(Fixed_Assets!$J$2:$J$201,$AB1607),IF($Z1607="F",INDEX(Workforce!$F$2:$F$151,MATCH(INDEX(FTE_Allocation!$A$2:$A$201,$AB1607),Workforce!$A$2:$A$151,0))*N(INDEX(FTE_Allocation!$F$2:$H$201,$AB1607,$AC1607)),"")))</f>
        <v/>
      </c>
    </row>
    <row r="1608">
      <c r="A1608" s="7">
        <f>IF($Z1608="","",$AD1608)</f>
        <v/>
      </c>
      <c r="B1608" s="7">
        <f>IF($Z1608="C",INDEX(Contracts!$D$2:$D$151,$AB1608)&amp;"",IF($Z1608="A",INDEX(Fixed_Assets!$C$2:$C$201,$AB1608)&amp;"",IF($Z1608="F",INDEX(Workforce!$B$2:$B$151,MATCH(INDEX(FTE_Allocation!$A$2:$A$201,$AB1608),Workforce!$A$2:$A$151,0))&amp;"","")))</f>
        <v/>
      </c>
      <c r="C1608" s="7">
        <f>IF($Z1608="C",INDEX(Contracts!$E$2:$E$151,$AB1608)&amp;"",IF($Z1608="A",INDEX(Fixed_Assets!$D$2:$D$201,$AB1608)&amp;"",IF($Z1608="F",INDEX(FTE_Allocation!$C$2:$C$201,$AB1608)&amp;"","")))</f>
        <v/>
      </c>
      <c r="D1608" s="7">
        <f>IF($Z1608="C",INDEX(Contracts!$B$2:$B$151,$AB1608)&amp;"",IF($Z1608="A",INDEX(Fixed_Assets!$B$2:$B$201,$AB1608)&amp;"",IF($Z1608="F",INDEX(FTE_Allocation!$B$2:$B$201,$AB1608)&amp;"","")))</f>
        <v/>
      </c>
      <c r="E1608" s="7">
        <f>IF($Z1608="C",INDEX(Contracts!$P$2:$P$151,$AB1608)&amp;"",IF($Z1608="A",INDEX(Fixed_Assets!$K$2:$K$201,$AB1608)&amp;"",IF($Z1608="F",IF(INDEX(FTE_Allocation!$D$2:$D$201,$AB1608)="PROJECT",IFERROR(INDEX(Projects!$D:$D,MATCH(INDEX(FTE_Allocation!$E$2:$E$201,$AB1608),Projects!$A:$A,0))&amp;"","#PROJECT?"),INDEX(FTE_Allocation!$E$2:$E$201,$AB1608)&amp;""),"")))</f>
        <v/>
      </c>
      <c r="F1608" s="7">
        <f>IF($Z1608="C",INDEX(Contracts!$Q$2:$Q$151,$AB1608)&amp;"",IF($Z1608="A",INDEX(Fixed_Assets!$L$2:$L$201,$AB1608)&amp;"",IF($Z1608="F",INDEX(Workforce!$K$2:$K$151,MATCH(INDEX(FTE_Allocation!$A$2:$A$201,$AB1608),Workforce!$A$2:$A$151,0))&amp;"","")))</f>
        <v/>
      </c>
      <c r="G1608" s="7">
        <f>IF($Z1608="C",INDEX(Contracts!$F$2:$F$151,$AB1608)&amp;" / "&amp;INDEX(Contracts!$G$2:$G$151,$AB1608),IF($Z1608="A",INDEX(Fixed_Assets!$E$2:$E$201,$AB1608)&amp;"",IF($Z1608="F","Personnel "&amp;INDEX(FTE_Allocation!$A$2:$A$201,$AB1608)&amp;IF(INDEX(FTE_Allocation!$D$2:$D$201,$AB1608)="PROJECT"," ("&amp;INDEX(FTE_Allocation!$E$2:$E$201,$AB1608)&amp;")",""),"")))</f>
        <v/>
      </c>
      <c r="H1608" s="7">
        <f>IF($Z1608="C","CONTRACT",IF($Z1608="A","ASSET",IF($Z1608="F","WORKFORCE","")))</f>
        <v/>
      </c>
      <c r="I1608" s="7">
        <f>IF($Z1608="C",INDEX(Contracts!$L$2:$L$151,$AB1608)&amp;"",IF($Z1608="A",INDEX(Fixed_Assets!$I$2:$I$201,$AB1608)&amp;"",IF($Z1608="F",INDEX(Workforce!$G$2:$G$151,MATCH(INDEX(FTE_Allocation!$A$2:$A$201,$AB1608),Workforce!$A$2:$A$151,0))&amp;"","")))</f>
        <v/>
      </c>
      <c r="J1608" s="18">
        <f>IF($Z1608="","",IF(AND(DATE($AD1608,1,1)&gt;=$AE1608,DATE($AD1608,1,1)&lt;=$AF1608),ROUND($AG1608,2),0))</f>
        <v/>
      </c>
      <c r="K1608" s="18">
        <f>IF($Z1608="","",IF(AND(DATE($AD1608,2,1)&gt;=$AE1608,DATE($AD1608,2,1)&lt;=$AF1608),ROUND($AG1608,2),0))</f>
        <v/>
      </c>
      <c r="L1608" s="18">
        <f>IF($Z1608="","",IF(AND(DATE($AD1608,3,1)&gt;=$AE1608,DATE($AD1608,3,1)&lt;=$AF1608),ROUND($AG1608,2),0))</f>
        <v/>
      </c>
      <c r="M1608" s="18">
        <f>IF($Z1608="","",IF(AND(DATE($AD1608,4,1)&gt;=$AE1608,DATE($AD1608,4,1)&lt;=$AF1608),ROUND($AG1608,2),0))</f>
        <v/>
      </c>
      <c r="N1608" s="18">
        <f>IF($Z1608="","",IF(AND(DATE($AD1608,5,1)&gt;=$AE1608,DATE($AD1608,5,1)&lt;=$AF1608),ROUND($AG1608,2),0))</f>
        <v/>
      </c>
      <c r="O1608" s="18">
        <f>IF($Z1608="","",IF(AND(DATE($AD1608,6,1)&gt;=$AE1608,DATE($AD1608,6,1)&lt;=$AF1608),ROUND($AG1608,2),0))</f>
        <v/>
      </c>
      <c r="P1608" s="18">
        <f>IF($Z1608="","",IF(AND(DATE($AD1608,7,1)&gt;=$AE1608,DATE($AD1608,7,1)&lt;=$AF1608),ROUND($AG1608,2),0))</f>
        <v/>
      </c>
      <c r="Q1608" s="18">
        <f>IF($Z1608="","",IF(AND(DATE($AD1608,8,1)&gt;=$AE1608,DATE($AD1608,8,1)&lt;=$AF1608),ROUND($AG1608,2),0))</f>
        <v/>
      </c>
      <c r="R1608" s="18">
        <f>IF($Z1608="","",IF(AND(DATE($AD1608,9,1)&gt;=$AE1608,DATE($AD1608,9,1)&lt;=$AF1608),ROUND($AG1608,2),0))</f>
        <v/>
      </c>
      <c r="S1608" s="18">
        <f>IF($Z1608="","",IF(AND(DATE($AD1608,10,1)&gt;=$AE1608,DATE($AD1608,10,1)&lt;=$AF1608),ROUND($AG1608,2),0))</f>
        <v/>
      </c>
      <c r="T1608" s="18">
        <f>IF($Z1608="","",IF(AND(DATE($AD1608,11,1)&gt;=$AE1608,DATE($AD1608,11,1)&lt;=$AF1608),ROUND($AG1608,2),0))</f>
        <v/>
      </c>
      <c r="U1608" s="18">
        <f>IF($Z1608="","",IF(AND(DATE($AD1608,12,1)&gt;=$AE1608,DATE($AD1608,12,1)&lt;=$AF1608),ROUND($AG1608,2),0))</f>
        <v/>
      </c>
      <c r="V1608" s="7">
        <f>IF($Z1608="C","Generated from "&amp;INDEX(Contracts!$A$2:$A$151,$AB1608),IF($Z1608="A","Generated from "&amp;INDEX(Fixed_Assets!$A$2:$A$201,$AB1608),IF($Z1608="F","Generated from "&amp;INDEX(FTE_Allocation!$A$2:$A$201,$AB1608),"")))</f>
        <v/>
      </c>
      <c r="X1608" s="19">
        <f>IF($Z1608="","",SUM(J1608:U1608))</f>
        <v/>
      </c>
      <c r="Y1608" s="20">
        <f>ROW()-1</f>
        <v/>
      </c>
      <c r="Z1608" s="20">
        <f>IF($Y1608&lt;=Settings!$B$4*3,"C",IF($Y1608&lt;=(Settings!$B$4+Settings!$B$5)*3,"A",IF($Y1608&lt;=(Settings!$B$4+Settings!$B$5+Settings!$B$6)*3,"F","")))</f>
        <v/>
      </c>
      <c r="AA1608" s="20">
        <f>IF($Z1608="C",$Y1608,IF($Z1608="A",$Y1608-Settings!$B$4*3,IF($Z1608="F",$Y1608-(Settings!$B$4+Settings!$B$5)*3,"")))</f>
        <v/>
      </c>
      <c r="AB1608" s="20">
        <f>IF($Z1608="","",INT(($AA1608-1)/3)+1)</f>
        <v/>
      </c>
      <c r="AC1608" s="20">
        <f>IF($Z1608="","",MOD($AA1608-1,3)+1)</f>
        <v/>
      </c>
      <c r="AD1608" s="20">
        <f>IF($Z1608="","",Settings!$B$2+$AC1608-1)</f>
        <v/>
      </c>
      <c r="AE1608" s="21">
        <f>IF($Z1608="C",DATE(YEAR(INDEX(Contracts!$J$2:$J$151,$AB1608)),MONTH(INDEX(Contracts!$J$2:$J$151,$AB1608)),1),IF($Z1608="A",DATE(YEAR(INDEX(Fixed_Assets!$G$2:$G$201,$AB1608)),MONTH(INDEX(Fixed_Assets!$G$2:$G$201,$AB1608)),1),IF($Z1608="F",DATE(YEAR(MAX(N(INDEX(Workforce!$I$2:$I$151,MATCH(INDEX(FTE_Allocation!$A$2:$A$201,$AB1608),Workforce!$A$2:$A$151,0))),N(INDEX(FTE_Allocation!$I$2:$I$201,$AB1608)))),MONTH(MAX(N(INDEX(Workforce!$I$2:$I$151,MATCH(INDEX(FTE_Allocation!$A$2:$A$201,$AB1608),Workforce!$A$2:$A$151,0))),N(INDEX(FTE_Allocation!$I$2:$I$201,$AB1608)))),1),"")))</f>
        <v/>
      </c>
      <c r="AF1608" s="21">
        <f>IF($Z1608="C",IF(INDEX(Contracts!$I$2:$I$151,$AB1608)="PREPAID",EDATE(DATE(YEAR(INDEX(Contracts!$J$2:$J$151,$AB1608)),MONTH(INDEX(Contracts!$J$2:$J$151,$AB1608)),1),IF(INDEX(Contracts!$N$2:$N$151,$AB1608)="",12,INDEX(Contracts!$N$2:$N$151,$AB1608))-1),IF(INDEX(Contracts!$I$2:$I$151,$AB1608)="MONTHLY",IF(INDEX(Contracts!$K$2:$K$151,$AB1608)="",2958101,INDEX(Contracts!$K$2:$K$151,$AB1608)),0)),IF($Z1608="A",EDATE(DATE(YEAR(INDEX(Fixed_Assets!$G$2:$G$201,$AB1608)),MONTH(INDEX(Fixed_Assets!$G$2:$G$201,$AB1608)),1),INDEX(Fixed_Assets!$J$2:$J$201,$AB1608)-1),IF($Z1608="F",MIN(IF(INDEX(Workforce!$J$2:$J$151,MATCH(INDEX(FTE_Allocation!$A$2:$A$201,$AB1608),Workforce!$A$2:$A$151,0))="",2958101,INDEX(Workforce!$J$2:$J$151,MATCH(INDEX(FTE_Allocation!$A$2:$A$201,$AB1608),Workforce!$A$2:$A$151,0))),IF(INDEX(FTE_Allocation!$J$2:$J$201,$AB1608)="",2958101,INDEX(FTE_Allocation!$J$2:$J$201,$AB1608))),"")))</f>
        <v/>
      </c>
      <c r="AG1608" s="19">
        <f>IF($Z1608="C",IF(INDEX(Contracts!$I$2:$I$151,$AB1608)="PREPAID",INDEX(Contracts!$M$2:$M$151,$AB1608)/IF(INDEX(Contracts!$N$2:$N$151,$AB1608)="",12,INDEX(Contracts!$N$2:$N$151,$AB1608)),IF(INDEX(Contracts!$I$2:$I$151,$AB1608)="MONTHLY",INDEX(Contracts!$M$2:$M$151,$AB1608),0))*(1-N(INDEX(Contracts!$O$2:$O$151,$AB1608))),IF($Z1608="A",INDEX(Fixed_Assets!$H$2:$H$201,$AB1608)/INDEX(Fixed_Assets!$J$2:$J$201,$AB1608),IF($Z1608="F",INDEX(Workforce!$F$2:$F$151,MATCH(INDEX(FTE_Allocation!$A$2:$A$201,$AB1608),Workforce!$A$2:$A$151,0))*N(INDEX(FTE_Allocation!$F$2:$H$201,$AB1608,$AC1608)),"")))</f>
        <v/>
      </c>
    </row>
    <row r="1609">
      <c r="A1609" s="7">
        <f>IF($Z1609="","",$AD1609)</f>
        <v/>
      </c>
      <c r="B1609" s="7">
        <f>IF($Z1609="C",INDEX(Contracts!$D$2:$D$151,$AB1609)&amp;"",IF($Z1609="A",INDEX(Fixed_Assets!$C$2:$C$201,$AB1609)&amp;"",IF($Z1609="F",INDEX(Workforce!$B$2:$B$151,MATCH(INDEX(FTE_Allocation!$A$2:$A$201,$AB1609),Workforce!$A$2:$A$151,0))&amp;"","")))</f>
        <v/>
      </c>
      <c r="C1609" s="7">
        <f>IF($Z1609="C",INDEX(Contracts!$E$2:$E$151,$AB1609)&amp;"",IF($Z1609="A",INDEX(Fixed_Assets!$D$2:$D$201,$AB1609)&amp;"",IF($Z1609="F",INDEX(FTE_Allocation!$C$2:$C$201,$AB1609)&amp;"","")))</f>
        <v/>
      </c>
      <c r="D1609" s="7">
        <f>IF($Z1609="C",INDEX(Contracts!$B$2:$B$151,$AB1609)&amp;"",IF($Z1609="A",INDEX(Fixed_Assets!$B$2:$B$201,$AB1609)&amp;"",IF($Z1609="F",INDEX(FTE_Allocation!$B$2:$B$201,$AB1609)&amp;"","")))</f>
        <v/>
      </c>
      <c r="E1609" s="7">
        <f>IF($Z1609="C",INDEX(Contracts!$P$2:$P$151,$AB1609)&amp;"",IF($Z1609="A",INDEX(Fixed_Assets!$K$2:$K$201,$AB1609)&amp;"",IF($Z1609="F",IF(INDEX(FTE_Allocation!$D$2:$D$201,$AB1609)="PROJECT",IFERROR(INDEX(Projects!$D:$D,MATCH(INDEX(FTE_Allocation!$E$2:$E$201,$AB1609),Projects!$A:$A,0))&amp;"","#PROJECT?"),INDEX(FTE_Allocation!$E$2:$E$201,$AB1609)&amp;""),"")))</f>
        <v/>
      </c>
      <c r="F1609" s="7">
        <f>IF($Z1609="C",INDEX(Contracts!$Q$2:$Q$151,$AB1609)&amp;"",IF($Z1609="A",INDEX(Fixed_Assets!$L$2:$L$201,$AB1609)&amp;"",IF($Z1609="F",INDEX(Workforce!$K$2:$K$151,MATCH(INDEX(FTE_Allocation!$A$2:$A$201,$AB1609),Workforce!$A$2:$A$151,0))&amp;"","")))</f>
        <v/>
      </c>
      <c r="G1609" s="7">
        <f>IF($Z1609="C",INDEX(Contracts!$F$2:$F$151,$AB1609)&amp;" / "&amp;INDEX(Contracts!$G$2:$G$151,$AB1609),IF($Z1609="A",INDEX(Fixed_Assets!$E$2:$E$201,$AB1609)&amp;"",IF($Z1609="F","Personnel "&amp;INDEX(FTE_Allocation!$A$2:$A$201,$AB1609)&amp;IF(INDEX(FTE_Allocation!$D$2:$D$201,$AB1609)="PROJECT"," ("&amp;INDEX(FTE_Allocation!$E$2:$E$201,$AB1609)&amp;")",""),"")))</f>
        <v/>
      </c>
      <c r="H1609" s="7">
        <f>IF($Z1609="C","CONTRACT",IF($Z1609="A","ASSET",IF($Z1609="F","WORKFORCE","")))</f>
        <v/>
      </c>
      <c r="I1609" s="7">
        <f>IF($Z1609="C",INDEX(Contracts!$L$2:$L$151,$AB1609)&amp;"",IF($Z1609="A",INDEX(Fixed_Assets!$I$2:$I$201,$AB1609)&amp;"",IF($Z1609="F",INDEX(Workforce!$G$2:$G$151,MATCH(INDEX(FTE_Allocation!$A$2:$A$201,$AB1609),Workforce!$A$2:$A$151,0))&amp;"","")))</f>
        <v/>
      </c>
      <c r="J1609" s="18">
        <f>IF($Z1609="","",IF(AND(DATE($AD1609,1,1)&gt;=$AE1609,DATE($AD1609,1,1)&lt;=$AF1609),ROUND($AG1609,2),0))</f>
        <v/>
      </c>
      <c r="K1609" s="18">
        <f>IF($Z1609="","",IF(AND(DATE($AD1609,2,1)&gt;=$AE1609,DATE($AD1609,2,1)&lt;=$AF1609),ROUND($AG1609,2),0))</f>
        <v/>
      </c>
      <c r="L1609" s="18">
        <f>IF($Z1609="","",IF(AND(DATE($AD1609,3,1)&gt;=$AE1609,DATE($AD1609,3,1)&lt;=$AF1609),ROUND($AG1609,2),0))</f>
        <v/>
      </c>
      <c r="M1609" s="18">
        <f>IF($Z1609="","",IF(AND(DATE($AD1609,4,1)&gt;=$AE1609,DATE($AD1609,4,1)&lt;=$AF1609),ROUND($AG1609,2),0))</f>
        <v/>
      </c>
      <c r="N1609" s="18">
        <f>IF($Z1609="","",IF(AND(DATE($AD1609,5,1)&gt;=$AE1609,DATE($AD1609,5,1)&lt;=$AF1609),ROUND($AG1609,2),0))</f>
        <v/>
      </c>
      <c r="O1609" s="18">
        <f>IF($Z1609="","",IF(AND(DATE($AD1609,6,1)&gt;=$AE1609,DATE($AD1609,6,1)&lt;=$AF1609),ROUND($AG1609,2),0))</f>
        <v/>
      </c>
      <c r="P1609" s="18">
        <f>IF($Z1609="","",IF(AND(DATE($AD1609,7,1)&gt;=$AE1609,DATE($AD1609,7,1)&lt;=$AF1609),ROUND($AG1609,2),0))</f>
        <v/>
      </c>
      <c r="Q1609" s="18">
        <f>IF($Z1609="","",IF(AND(DATE($AD1609,8,1)&gt;=$AE1609,DATE($AD1609,8,1)&lt;=$AF1609),ROUND($AG1609,2),0))</f>
        <v/>
      </c>
      <c r="R1609" s="18">
        <f>IF($Z1609="","",IF(AND(DATE($AD1609,9,1)&gt;=$AE1609,DATE($AD1609,9,1)&lt;=$AF1609),ROUND($AG1609,2),0))</f>
        <v/>
      </c>
      <c r="S1609" s="18">
        <f>IF($Z1609="","",IF(AND(DATE($AD1609,10,1)&gt;=$AE1609,DATE($AD1609,10,1)&lt;=$AF1609),ROUND($AG1609,2),0))</f>
        <v/>
      </c>
      <c r="T1609" s="18">
        <f>IF($Z1609="","",IF(AND(DATE($AD1609,11,1)&gt;=$AE1609,DATE($AD1609,11,1)&lt;=$AF1609),ROUND($AG1609,2),0))</f>
        <v/>
      </c>
      <c r="U1609" s="18">
        <f>IF($Z1609="","",IF(AND(DATE($AD1609,12,1)&gt;=$AE1609,DATE($AD1609,12,1)&lt;=$AF1609),ROUND($AG1609,2),0))</f>
        <v/>
      </c>
      <c r="V1609" s="7">
        <f>IF($Z1609="C","Generated from "&amp;INDEX(Contracts!$A$2:$A$151,$AB1609),IF($Z1609="A","Generated from "&amp;INDEX(Fixed_Assets!$A$2:$A$201,$AB1609),IF($Z1609="F","Generated from "&amp;INDEX(FTE_Allocation!$A$2:$A$201,$AB1609),"")))</f>
        <v/>
      </c>
      <c r="X1609" s="19">
        <f>IF($Z1609="","",SUM(J1609:U1609))</f>
        <v/>
      </c>
      <c r="Y1609" s="20">
        <f>ROW()-1</f>
        <v/>
      </c>
      <c r="Z1609" s="20">
        <f>IF($Y1609&lt;=Settings!$B$4*3,"C",IF($Y1609&lt;=(Settings!$B$4+Settings!$B$5)*3,"A",IF($Y1609&lt;=(Settings!$B$4+Settings!$B$5+Settings!$B$6)*3,"F","")))</f>
        <v/>
      </c>
      <c r="AA1609" s="20">
        <f>IF($Z1609="C",$Y1609,IF($Z1609="A",$Y1609-Settings!$B$4*3,IF($Z1609="F",$Y1609-(Settings!$B$4+Settings!$B$5)*3,"")))</f>
        <v/>
      </c>
      <c r="AB1609" s="20">
        <f>IF($Z1609="","",INT(($AA1609-1)/3)+1)</f>
        <v/>
      </c>
      <c r="AC1609" s="20">
        <f>IF($Z1609="","",MOD($AA1609-1,3)+1)</f>
        <v/>
      </c>
      <c r="AD1609" s="20">
        <f>IF($Z1609="","",Settings!$B$2+$AC1609-1)</f>
        <v/>
      </c>
      <c r="AE1609" s="21">
        <f>IF($Z1609="C",DATE(YEAR(INDEX(Contracts!$J$2:$J$151,$AB1609)),MONTH(INDEX(Contracts!$J$2:$J$151,$AB1609)),1),IF($Z1609="A",DATE(YEAR(INDEX(Fixed_Assets!$G$2:$G$201,$AB1609)),MONTH(INDEX(Fixed_Assets!$G$2:$G$201,$AB1609)),1),IF($Z1609="F",DATE(YEAR(MAX(N(INDEX(Workforce!$I$2:$I$151,MATCH(INDEX(FTE_Allocation!$A$2:$A$201,$AB1609),Workforce!$A$2:$A$151,0))),N(INDEX(FTE_Allocation!$I$2:$I$201,$AB1609)))),MONTH(MAX(N(INDEX(Workforce!$I$2:$I$151,MATCH(INDEX(FTE_Allocation!$A$2:$A$201,$AB1609),Workforce!$A$2:$A$151,0))),N(INDEX(FTE_Allocation!$I$2:$I$201,$AB1609)))),1),"")))</f>
        <v/>
      </c>
      <c r="AF1609" s="21">
        <f>IF($Z1609="C",IF(INDEX(Contracts!$I$2:$I$151,$AB1609)="PREPAID",EDATE(DATE(YEAR(INDEX(Contracts!$J$2:$J$151,$AB1609)),MONTH(INDEX(Contracts!$J$2:$J$151,$AB1609)),1),IF(INDEX(Contracts!$N$2:$N$151,$AB1609)="",12,INDEX(Contracts!$N$2:$N$151,$AB1609))-1),IF(INDEX(Contracts!$I$2:$I$151,$AB1609)="MONTHLY",IF(INDEX(Contracts!$K$2:$K$151,$AB1609)="",2958101,INDEX(Contracts!$K$2:$K$151,$AB1609)),0)),IF($Z1609="A",EDATE(DATE(YEAR(INDEX(Fixed_Assets!$G$2:$G$201,$AB1609)),MONTH(INDEX(Fixed_Assets!$G$2:$G$201,$AB1609)),1),INDEX(Fixed_Assets!$J$2:$J$201,$AB1609)-1),IF($Z1609="F",MIN(IF(INDEX(Workforce!$J$2:$J$151,MATCH(INDEX(FTE_Allocation!$A$2:$A$201,$AB1609),Workforce!$A$2:$A$151,0))="",2958101,INDEX(Workforce!$J$2:$J$151,MATCH(INDEX(FTE_Allocation!$A$2:$A$201,$AB1609),Workforce!$A$2:$A$151,0))),IF(INDEX(FTE_Allocation!$J$2:$J$201,$AB1609)="",2958101,INDEX(FTE_Allocation!$J$2:$J$201,$AB1609))),"")))</f>
        <v/>
      </c>
      <c r="AG1609" s="19">
        <f>IF($Z1609="C",IF(INDEX(Contracts!$I$2:$I$151,$AB1609)="PREPAID",INDEX(Contracts!$M$2:$M$151,$AB1609)/IF(INDEX(Contracts!$N$2:$N$151,$AB1609)="",12,INDEX(Contracts!$N$2:$N$151,$AB1609)),IF(INDEX(Contracts!$I$2:$I$151,$AB1609)="MONTHLY",INDEX(Contracts!$M$2:$M$151,$AB1609),0))*(1-N(INDEX(Contracts!$O$2:$O$151,$AB1609))),IF($Z1609="A",INDEX(Fixed_Assets!$H$2:$H$201,$AB1609)/INDEX(Fixed_Assets!$J$2:$J$201,$AB1609),IF($Z1609="F",INDEX(Workforce!$F$2:$F$151,MATCH(INDEX(FTE_Allocation!$A$2:$A$201,$AB1609),Workforce!$A$2:$A$151,0))*N(INDEX(FTE_Allocation!$F$2:$H$201,$AB1609,$AC1609)),"")))</f>
        <v/>
      </c>
    </row>
    <row r="1610">
      <c r="A1610" s="7">
        <f>IF($Z1610="","",$AD1610)</f>
        <v/>
      </c>
      <c r="B1610" s="7">
        <f>IF($Z1610="C",INDEX(Contracts!$D$2:$D$151,$AB1610)&amp;"",IF($Z1610="A",INDEX(Fixed_Assets!$C$2:$C$201,$AB1610)&amp;"",IF($Z1610="F",INDEX(Workforce!$B$2:$B$151,MATCH(INDEX(FTE_Allocation!$A$2:$A$201,$AB1610),Workforce!$A$2:$A$151,0))&amp;"","")))</f>
        <v/>
      </c>
      <c r="C1610" s="7">
        <f>IF($Z1610="C",INDEX(Contracts!$E$2:$E$151,$AB1610)&amp;"",IF($Z1610="A",INDEX(Fixed_Assets!$D$2:$D$201,$AB1610)&amp;"",IF($Z1610="F",INDEX(FTE_Allocation!$C$2:$C$201,$AB1610)&amp;"","")))</f>
        <v/>
      </c>
      <c r="D1610" s="7">
        <f>IF($Z1610="C",INDEX(Contracts!$B$2:$B$151,$AB1610)&amp;"",IF($Z1610="A",INDEX(Fixed_Assets!$B$2:$B$201,$AB1610)&amp;"",IF($Z1610="F",INDEX(FTE_Allocation!$B$2:$B$201,$AB1610)&amp;"","")))</f>
        <v/>
      </c>
      <c r="E1610" s="7">
        <f>IF($Z1610="C",INDEX(Contracts!$P$2:$P$151,$AB1610)&amp;"",IF($Z1610="A",INDEX(Fixed_Assets!$K$2:$K$201,$AB1610)&amp;"",IF($Z1610="F",IF(INDEX(FTE_Allocation!$D$2:$D$201,$AB1610)="PROJECT",IFERROR(INDEX(Projects!$D:$D,MATCH(INDEX(FTE_Allocation!$E$2:$E$201,$AB1610),Projects!$A:$A,0))&amp;"","#PROJECT?"),INDEX(FTE_Allocation!$E$2:$E$201,$AB1610)&amp;""),"")))</f>
        <v/>
      </c>
      <c r="F1610" s="7">
        <f>IF($Z1610="C",INDEX(Contracts!$Q$2:$Q$151,$AB1610)&amp;"",IF($Z1610="A",INDEX(Fixed_Assets!$L$2:$L$201,$AB1610)&amp;"",IF($Z1610="F",INDEX(Workforce!$K$2:$K$151,MATCH(INDEX(FTE_Allocation!$A$2:$A$201,$AB1610),Workforce!$A$2:$A$151,0))&amp;"","")))</f>
        <v/>
      </c>
      <c r="G1610" s="7">
        <f>IF($Z1610="C",INDEX(Contracts!$F$2:$F$151,$AB1610)&amp;" / "&amp;INDEX(Contracts!$G$2:$G$151,$AB1610),IF($Z1610="A",INDEX(Fixed_Assets!$E$2:$E$201,$AB1610)&amp;"",IF($Z1610="F","Personnel "&amp;INDEX(FTE_Allocation!$A$2:$A$201,$AB1610)&amp;IF(INDEX(FTE_Allocation!$D$2:$D$201,$AB1610)="PROJECT"," ("&amp;INDEX(FTE_Allocation!$E$2:$E$201,$AB1610)&amp;")",""),"")))</f>
        <v/>
      </c>
      <c r="H1610" s="7">
        <f>IF($Z1610="C","CONTRACT",IF($Z1610="A","ASSET",IF($Z1610="F","WORKFORCE","")))</f>
        <v/>
      </c>
      <c r="I1610" s="7">
        <f>IF($Z1610="C",INDEX(Contracts!$L$2:$L$151,$AB1610)&amp;"",IF($Z1610="A",INDEX(Fixed_Assets!$I$2:$I$201,$AB1610)&amp;"",IF($Z1610="F",INDEX(Workforce!$G$2:$G$151,MATCH(INDEX(FTE_Allocation!$A$2:$A$201,$AB1610),Workforce!$A$2:$A$151,0))&amp;"","")))</f>
        <v/>
      </c>
      <c r="J1610" s="18">
        <f>IF($Z1610="","",IF(AND(DATE($AD1610,1,1)&gt;=$AE1610,DATE($AD1610,1,1)&lt;=$AF1610),ROUND($AG1610,2),0))</f>
        <v/>
      </c>
      <c r="K1610" s="18">
        <f>IF($Z1610="","",IF(AND(DATE($AD1610,2,1)&gt;=$AE1610,DATE($AD1610,2,1)&lt;=$AF1610),ROUND($AG1610,2),0))</f>
        <v/>
      </c>
      <c r="L1610" s="18">
        <f>IF($Z1610="","",IF(AND(DATE($AD1610,3,1)&gt;=$AE1610,DATE($AD1610,3,1)&lt;=$AF1610),ROUND($AG1610,2),0))</f>
        <v/>
      </c>
      <c r="M1610" s="18">
        <f>IF($Z1610="","",IF(AND(DATE($AD1610,4,1)&gt;=$AE1610,DATE($AD1610,4,1)&lt;=$AF1610),ROUND($AG1610,2),0))</f>
        <v/>
      </c>
      <c r="N1610" s="18">
        <f>IF($Z1610="","",IF(AND(DATE($AD1610,5,1)&gt;=$AE1610,DATE($AD1610,5,1)&lt;=$AF1610),ROUND($AG1610,2),0))</f>
        <v/>
      </c>
      <c r="O1610" s="18">
        <f>IF($Z1610="","",IF(AND(DATE($AD1610,6,1)&gt;=$AE1610,DATE($AD1610,6,1)&lt;=$AF1610),ROUND($AG1610,2),0))</f>
        <v/>
      </c>
      <c r="P1610" s="18">
        <f>IF($Z1610="","",IF(AND(DATE($AD1610,7,1)&gt;=$AE1610,DATE($AD1610,7,1)&lt;=$AF1610),ROUND($AG1610,2),0))</f>
        <v/>
      </c>
      <c r="Q1610" s="18">
        <f>IF($Z1610="","",IF(AND(DATE($AD1610,8,1)&gt;=$AE1610,DATE($AD1610,8,1)&lt;=$AF1610),ROUND($AG1610,2),0))</f>
        <v/>
      </c>
      <c r="R1610" s="18">
        <f>IF($Z1610="","",IF(AND(DATE($AD1610,9,1)&gt;=$AE1610,DATE($AD1610,9,1)&lt;=$AF1610),ROUND($AG1610,2),0))</f>
        <v/>
      </c>
      <c r="S1610" s="18">
        <f>IF($Z1610="","",IF(AND(DATE($AD1610,10,1)&gt;=$AE1610,DATE($AD1610,10,1)&lt;=$AF1610),ROUND($AG1610,2),0))</f>
        <v/>
      </c>
      <c r="T1610" s="18">
        <f>IF($Z1610="","",IF(AND(DATE($AD1610,11,1)&gt;=$AE1610,DATE($AD1610,11,1)&lt;=$AF1610),ROUND($AG1610,2),0))</f>
        <v/>
      </c>
      <c r="U1610" s="18">
        <f>IF($Z1610="","",IF(AND(DATE($AD1610,12,1)&gt;=$AE1610,DATE($AD1610,12,1)&lt;=$AF1610),ROUND($AG1610,2),0))</f>
        <v/>
      </c>
      <c r="V1610" s="7">
        <f>IF($Z1610="C","Generated from "&amp;INDEX(Contracts!$A$2:$A$151,$AB1610),IF($Z1610="A","Generated from "&amp;INDEX(Fixed_Assets!$A$2:$A$201,$AB1610),IF($Z1610="F","Generated from "&amp;INDEX(FTE_Allocation!$A$2:$A$201,$AB1610),"")))</f>
        <v/>
      </c>
      <c r="X1610" s="19">
        <f>IF($Z1610="","",SUM(J1610:U1610))</f>
        <v/>
      </c>
      <c r="Y1610" s="20">
        <f>ROW()-1</f>
        <v/>
      </c>
      <c r="Z1610" s="20">
        <f>IF($Y1610&lt;=Settings!$B$4*3,"C",IF($Y1610&lt;=(Settings!$B$4+Settings!$B$5)*3,"A",IF($Y1610&lt;=(Settings!$B$4+Settings!$B$5+Settings!$B$6)*3,"F","")))</f>
        <v/>
      </c>
      <c r="AA1610" s="20">
        <f>IF($Z1610="C",$Y1610,IF($Z1610="A",$Y1610-Settings!$B$4*3,IF($Z1610="F",$Y1610-(Settings!$B$4+Settings!$B$5)*3,"")))</f>
        <v/>
      </c>
      <c r="AB1610" s="20">
        <f>IF($Z1610="","",INT(($AA1610-1)/3)+1)</f>
        <v/>
      </c>
      <c r="AC1610" s="20">
        <f>IF($Z1610="","",MOD($AA1610-1,3)+1)</f>
        <v/>
      </c>
      <c r="AD1610" s="20">
        <f>IF($Z1610="","",Settings!$B$2+$AC1610-1)</f>
        <v/>
      </c>
      <c r="AE1610" s="21">
        <f>IF($Z1610="C",DATE(YEAR(INDEX(Contracts!$J$2:$J$151,$AB1610)),MONTH(INDEX(Contracts!$J$2:$J$151,$AB1610)),1),IF($Z1610="A",DATE(YEAR(INDEX(Fixed_Assets!$G$2:$G$201,$AB1610)),MONTH(INDEX(Fixed_Assets!$G$2:$G$201,$AB1610)),1),IF($Z1610="F",DATE(YEAR(MAX(N(INDEX(Workforce!$I$2:$I$151,MATCH(INDEX(FTE_Allocation!$A$2:$A$201,$AB1610),Workforce!$A$2:$A$151,0))),N(INDEX(FTE_Allocation!$I$2:$I$201,$AB1610)))),MONTH(MAX(N(INDEX(Workforce!$I$2:$I$151,MATCH(INDEX(FTE_Allocation!$A$2:$A$201,$AB1610),Workforce!$A$2:$A$151,0))),N(INDEX(FTE_Allocation!$I$2:$I$201,$AB1610)))),1),"")))</f>
        <v/>
      </c>
      <c r="AF1610" s="21">
        <f>IF($Z1610="C",IF(INDEX(Contracts!$I$2:$I$151,$AB1610)="PREPAID",EDATE(DATE(YEAR(INDEX(Contracts!$J$2:$J$151,$AB1610)),MONTH(INDEX(Contracts!$J$2:$J$151,$AB1610)),1),IF(INDEX(Contracts!$N$2:$N$151,$AB1610)="",12,INDEX(Contracts!$N$2:$N$151,$AB1610))-1),IF(INDEX(Contracts!$I$2:$I$151,$AB1610)="MONTHLY",IF(INDEX(Contracts!$K$2:$K$151,$AB1610)="",2958101,INDEX(Contracts!$K$2:$K$151,$AB1610)),0)),IF($Z1610="A",EDATE(DATE(YEAR(INDEX(Fixed_Assets!$G$2:$G$201,$AB1610)),MONTH(INDEX(Fixed_Assets!$G$2:$G$201,$AB1610)),1),INDEX(Fixed_Assets!$J$2:$J$201,$AB1610)-1),IF($Z1610="F",MIN(IF(INDEX(Workforce!$J$2:$J$151,MATCH(INDEX(FTE_Allocation!$A$2:$A$201,$AB1610),Workforce!$A$2:$A$151,0))="",2958101,INDEX(Workforce!$J$2:$J$151,MATCH(INDEX(FTE_Allocation!$A$2:$A$201,$AB1610),Workforce!$A$2:$A$151,0))),IF(INDEX(FTE_Allocation!$J$2:$J$201,$AB1610)="",2958101,INDEX(FTE_Allocation!$J$2:$J$201,$AB1610))),"")))</f>
        <v/>
      </c>
      <c r="AG1610" s="19">
        <f>IF($Z1610="C",IF(INDEX(Contracts!$I$2:$I$151,$AB1610)="PREPAID",INDEX(Contracts!$M$2:$M$151,$AB1610)/IF(INDEX(Contracts!$N$2:$N$151,$AB1610)="",12,INDEX(Contracts!$N$2:$N$151,$AB1610)),IF(INDEX(Contracts!$I$2:$I$151,$AB1610)="MONTHLY",INDEX(Contracts!$M$2:$M$151,$AB1610),0))*(1-N(INDEX(Contracts!$O$2:$O$151,$AB1610))),IF($Z1610="A",INDEX(Fixed_Assets!$H$2:$H$201,$AB1610)/INDEX(Fixed_Assets!$J$2:$J$201,$AB1610),IF($Z1610="F",INDEX(Workforce!$F$2:$F$151,MATCH(INDEX(FTE_Allocation!$A$2:$A$201,$AB1610),Workforce!$A$2:$A$151,0))*N(INDEX(FTE_Allocation!$F$2:$H$201,$AB1610,$AC1610)),"")))</f>
        <v/>
      </c>
    </row>
    <row r="1611">
      <c r="A1611" s="7">
        <f>IF($Z1611="","",$AD1611)</f>
        <v/>
      </c>
      <c r="B1611" s="7">
        <f>IF($Z1611="C",INDEX(Contracts!$D$2:$D$151,$AB1611)&amp;"",IF($Z1611="A",INDEX(Fixed_Assets!$C$2:$C$201,$AB1611)&amp;"",IF($Z1611="F",INDEX(Workforce!$B$2:$B$151,MATCH(INDEX(FTE_Allocation!$A$2:$A$201,$AB1611),Workforce!$A$2:$A$151,0))&amp;"","")))</f>
        <v/>
      </c>
      <c r="C1611" s="7">
        <f>IF($Z1611="C",INDEX(Contracts!$E$2:$E$151,$AB1611)&amp;"",IF($Z1611="A",INDEX(Fixed_Assets!$D$2:$D$201,$AB1611)&amp;"",IF($Z1611="F",INDEX(FTE_Allocation!$C$2:$C$201,$AB1611)&amp;"","")))</f>
        <v/>
      </c>
      <c r="D1611" s="7">
        <f>IF($Z1611="C",INDEX(Contracts!$B$2:$B$151,$AB1611)&amp;"",IF($Z1611="A",INDEX(Fixed_Assets!$B$2:$B$201,$AB1611)&amp;"",IF($Z1611="F",INDEX(FTE_Allocation!$B$2:$B$201,$AB1611)&amp;"","")))</f>
        <v/>
      </c>
      <c r="E1611" s="7">
        <f>IF($Z1611="C",INDEX(Contracts!$P$2:$P$151,$AB1611)&amp;"",IF($Z1611="A",INDEX(Fixed_Assets!$K$2:$K$201,$AB1611)&amp;"",IF($Z1611="F",IF(INDEX(FTE_Allocation!$D$2:$D$201,$AB1611)="PROJECT",IFERROR(INDEX(Projects!$D:$D,MATCH(INDEX(FTE_Allocation!$E$2:$E$201,$AB1611),Projects!$A:$A,0))&amp;"","#PROJECT?"),INDEX(FTE_Allocation!$E$2:$E$201,$AB1611)&amp;""),"")))</f>
        <v/>
      </c>
      <c r="F1611" s="7">
        <f>IF($Z1611="C",INDEX(Contracts!$Q$2:$Q$151,$AB1611)&amp;"",IF($Z1611="A",INDEX(Fixed_Assets!$L$2:$L$201,$AB1611)&amp;"",IF($Z1611="F",INDEX(Workforce!$K$2:$K$151,MATCH(INDEX(FTE_Allocation!$A$2:$A$201,$AB1611),Workforce!$A$2:$A$151,0))&amp;"","")))</f>
        <v/>
      </c>
      <c r="G1611" s="7">
        <f>IF($Z1611="C",INDEX(Contracts!$F$2:$F$151,$AB1611)&amp;" / "&amp;INDEX(Contracts!$G$2:$G$151,$AB1611),IF($Z1611="A",INDEX(Fixed_Assets!$E$2:$E$201,$AB1611)&amp;"",IF($Z1611="F","Personnel "&amp;INDEX(FTE_Allocation!$A$2:$A$201,$AB1611)&amp;IF(INDEX(FTE_Allocation!$D$2:$D$201,$AB1611)="PROJECT"," ("&amp;INDEX(FTE_Allocation!$E$2:$E$201,$AB1611)&amp;")",""),"")))</f>
        <v/>
      </c>
      <c r="H1611" s="7">
        <f>IF($Z1611="C","CONTRACT",IF($Z1611="A","ASSET",IF($Z1611="F","WORKFORCE","")))</f>
        <v/>
      </c>
      <c r="I1611" s="7">
        <f>IF($Z1611="C",INDEX(Contracts!$L$2:$L$151,$AB1611)&amp;"",IF($Z1611="A",INDEX(Fixed_Assets!$I$2:$I$201,$AB1611)&amp;"",IF($Z1611="F",INDEX(Workforce!$G$2:$G$151,MATCH(INDEX(FTE_Allocation!$A$2:$A$201,$AB1611),Workforce!$A$2:$A$151,0))&amp;"","")))</f>
        <v/>
      </c>
      <c r="J1611" s="18">
        <f>IF($Z1611="","",IF(AND(DATE($AD1611,1,1)&gt;=$AE1611,DATE($AD1611,1,1)&lt;=$AF1611),ROUND($AG1611,2),0))</f>
        <v/>
      </c>
      <c r="K1611" s="18">
        <f>IF($Z1611="","",IF(AND(DATE($AD1611,2,1)&gt;=$AE1611,DATE($AD1611,2,1)&lt;=$AF1611),ROUND($AG1611,2),0))</f>
        <v/>
      </c>
      <c r="L1611" s="18">
        <f>IF($Z1611="","",IF(AND(DATE($AD1611,3,1)&gt;=$AE1611,DATE($AD1611,3,1)&lt;=$AF1611),ROUND($AG1611,2),0))</f>
        <v/>
      </c>
      <c r="M1611" s="18">
        <f>IF($Z1611="","",IF(AND(DATE($AD1611,4,1)&gt;=$AE1611,DATE($AD1611,4,1)&lt;=$AF1611),ROUND($AG1611,2),0))</f>
        <v/>
      </c>
      <c r="N1611" s="18">
        <f>IF($Z1611="","",IF(AND(DATE($AD1611,5,1)&gt;=$AE1611,DATE($AD1611,5,1)&lt;=$AF1611),ROUND($AG1611,2),0))</f>
        <v/>
      </c>
      <c r="O1611" s="18">
        <f>IF($Z1611="","",IF(AND(DATE($AD1611,6,1)&gt;=$AE1611,DATE($AD1611,6,1)&lt;=$AF1611),ROUND($AG1611,2),0))</f>
        <v/>
      </c>
      <c r="P1611" s="18">
        <f>IF($Z1611="","",IF(AND(DATE($AD1611,7,1)&gt;=$AE1611,DATE($AD1611,7,1)&lt;=$AF1611),ROUND($AG1611,2),0))</f>
        <v/>
      </c>
      <c r="Q1611" s="18">
        <f>IF($Z1611="","",IF(AND(DATE($AD1611,8,1)&gt;=$AE1611,DATE($AD1611,8,1)&lt;=$AF1611),ROUND($AG1611,2),0))</f>
        <v/>
      </c>
      <c r="R1611" s="18">
        <f>IF($Z1611="","",IF(AND(DATE($AD1611,9,1)&gt;=$AE1611,DATE($AD1611,9,1)&lt;=$AF1611),ROUND($AG1611,2),0))</f>
        <v/>
      </c>
      <c r="S1611" s="18">
        <f>IF($Z1611="","",IF(AND(DATE($AD1611,10,1)&gt;=$AE1611,DATE($AD1611,10,1)&lt;=$AF1611),ROUND($AG1611,2),0))</f>
        <v/>
      </c>
      <c r="T1611" s="18">
        <f>IF($Z1611="","",IF(AND(DATE($AD1611,11,1)&gt;=$AE1611,DATE($AD1611,11,1)&lt;=$AF1611),ROUND($AG1611,2),0))</f>
        <v/>
      </c>
      <c r="U1611" s="18">
        <f>IF($Z1611="","",IF(AND(DATE($AD1611,12,1)&gt;=$AE1611,DATE($AD1611,12,1)&lt;=$AF1611),ROUND($AG1611,2),0))</f>
        <v/>
      </c>
      <c r="V1611" s="7">
        <f>IF($Z1611="C","Generated from "&amp;INDEX(Contracts!$A$2:$A$151,$AB1611),IF($Z1611="A","Generated from "&amp;INDEX(Fixed_Assets!$A$2:$A$201,$AB1611),IF($Z1611="F","Generated from "&amp;INDEX(FTE_Allocation!$A$2:$A$201,$AB1611),"")))</f>
        <v/>
      </c>
      <c r="X1611" s="19">
        <f>IF($Z1611="","",SUM(J1611:U1611))</f>
        <v/>
      </c>
      <c r="Y1611" s="20">
        <f>ROW()-1</f>
        <v/>
      </c>
      <c r="Z1611" s="20">
        <f>IF($Y1611&lt;=Settings!$B$4*3,"C",IF($Y1611&lt;=(Settings!$B$4+Settings!$B$5)*3,"A",IF($Y1611&lt;=(Settings!$B$4+Settings!$B$5+Settings!$B$6)*3,"F","")))</f>
        <v/>
      </c>
      <c r="AA1611" s="20">
        <f>IF($Z1611="C",$Y1611,IF($Z1611="A",$Y1611-Settings!$B$4*3,IF($Z1611="F",$Y1611-(Settings!$B$4+Settings!$B$5)*3,"")))</f>
        <v/>
      </c>
      <c r="AB1611" s="20">
        <f>IF($Z1611="","",INT(($AA1611-1)/3)+1)</f>
        <v/>
      </c>
      <c r="AC1611" s="20">
        <f>IF($Z1611="","",MOD($AA1611-1,3)+1)</f>
        <v/>
      </c>
      <c r="AD1611" s="20">
        <f>IF($Z1611="","",Settings!$B$2+$AC1611-1)</f>
        <v/>
      </c>
      <c r="AE1611" s="21">
        <f>IF($Z1611="C",DATE(YEAR(INDEX(Contracts!$J$2:$J$151,$AB1611)),MONTH(INDEX(Contracts!$J$2:$J$151,$AB1611)),1),IF($Z1611="A",DATE(YEAR(INDEX(Fixed_Assets!$G$2:$G$201,$AB1611)),MONTH(INDEX(Fixed_Assets!$G$2:$G$201,$AB1611)),1),IF($Z1611="F",DATE(YEAR(MAX(N(INDEX(Workforce!$I$2:$I$151,MATCH(INDEX(FTE_Allocation!$A$2:$A$201,$AB1611),Workforce!$A$2:$A$151,0))),N(INDEX(FTE_Allocation!$I$2:$I$201,$AB1611)))),MONTH(MAX(N(INDEX(Workforce!$I$2:$I$151,MATCH(INDEX(FTE_Allocation!$A$2:$A$201,$AB1611),Workforce!$A$2:$A$151,0))),N(INDEX(FTE_Allocation!$I$2:$I$201,$AB1611)))),1),"")))</f>
        <v/>
      </c>
      <c r="AF1611" s="21">
        <f>IF($Z1611="C",IF(INDEX(Contracts!$I$2:$I$151,$AB1611)="PREPAID",EDATE(DATE(YEAR(INDEX(Contracts!$J$2:$J$151,$AB1611)),MONTH(INDEX(Contracts!$J$2:$J$151,$AB1611)),1),IF(INDEX(Contracts!$N$2:$N$151,$AB1611)="",12,INDEX(Contracts!$N$2:$N$151,$AB1611))-1),IF(INDEX(Contracts!$I$2:$I$151,$AB1611)="MONTHLY",IF(INDEX(Contracts!$K$2:$K$151,$AB1611)="",2958101,INDEX(Contracts!$K$2:$K$151,$AB1611)),0)),IF($Z1611="A",EDATE(DATE(YEAR(INDEX(Fixed_Assets!$G$2:$G$201,$AB1611)),MONTH(INDEX(Fixed_Assets!$G$2:$G$201,$AB1611)),1),INDEX(Fixed_Assets!$J$2:$J$201,$AB1611)-1),IF($Z1611="F",MIN(IF(INDEX(Workforce!$J$2:$J$151,MATCH(INDEX(FTE_Allocation!$A$2:$A$201,$AB1611),Workforce!$A$2:$A$151,0))="",2958101,INDEX(Workforce!$J$2:$J$151,MATCH(INDEX(FTE_Allocation!$A$2:$A$201,$AB1611),Workforce!$A$2:$A$151,0))),IF(INDEX(FTE_Allocation!$J$2:$J$201,$AB1611)="",2958101,INDEX(FTE_Allocation!$J$2:$J$201,$AB1611))),"")))</f>
        <v/>
      </c>
      <c r="AG1611" s="19">
        <f>IF($Z1611="C",IF(INDEX(Contracts!$I$2:$I$151,$AB1611)="PREPAID",INDEX(Contracts!$M$2:$M$151,$AB1611)/IF(INDEX(Contracts!$N$2:$N$151,$AB1611)="",12,INDEX(Contracts!$N$2:$N$151,$AB1611)),IF(INDEX(Contracts!$I$2:$I$151,$AB1611)="MONTHLY",INDEX(Contracts!$M$2:$M$151,$AB1611),0))*(1-N(INDEX(Contracts!$O$2:$O$151,$AB1611))),IF($Z1611="A",INDEX(Fixed_Assets!$H$2:$H$201,$AB1611)/INDEX(Fixed_Assets!$J$2:$J$201,$AB1611),IF($Z1611="F",INDEX(Workforce!$F$2:$F$151,MATCH(INDEX(FTE_Allocation!$A$2:$A$201,$AB1611),Workforce!$A$2:$A$151,0))*N(INDEX(FTE_Allocation!$F$2:$H$201,$AB1611,$AC1611)),"")))</f>
        <v/>
      </c>
    </row>
    <row r="1612">
      <c r="A1612" s="7">
        <f>IF($Z1612="","",$AD1612)</f>
        <v/>
      </c>
      <c r="B1612" s="7">
        <f>IF($Z1612="C",INDEX(Contracts!$D$2:$D$151,$AB1612)&amp;"",IF($Z1612="A",INDEX(Fixed_Assets!$C$2:$C$201,$AB1612)&amp;"",IF($Z1612="F",INDEX(Workforce!$B$2:$B$151,MATCH(INDEX(FTE_Allocation!$A$2:$A$201,$AB1612),Workforce!$A$2:$A$151,0))&amp;"","")))</f>
        <v/>
      </c>
      <c r="C1612" s="7">
        <f>IF($Z1612="C",INDEX(Contracts!$E$2:$E$151,$AB1612)&amp;"",IF($Z1612="A",INDEX(Fixed_Assets!$D$2:$D$201,$AB1612)&amp;"",IF($Z1612="F",INDEX(FTE_Allocation!$C$2:$C$201,$AB1612)&amp;"","")))</f>
        <v/>
      </c>
      <c r="D1612" s="7">
        <f>IF($Z1612="C",INDEX(Contracts!$B$2:$B$151,$AB1612)&amp;"",IF($Z1612="A",INDEX(Fixed_Assets!$B$2:$B$201,$AB1612)&amp;"",IF($Z1612="F",INDEX(FTE_Allocation!$B$2:$B$201,$AB1612)&amp;"","")))</f>
        <v/>
      </c>
      <c r="E1612" s="7">
        <f>IF($Z1612="C",INDEX(Contracts!$P$2:$P$151,$AB1612)&amp;"",IF($Z1612="A",INDEX(Fixed_Assets!$K$2:$K$201,$AB1612)&amp;"",IF($Z1612="F",IF(INDEX(FTE_Allocation!$D$2:$D$201,$AB1612)="PROJECT",IFERROR(INDEX(Projects!$D:$D,MATCH(INDEX(FTE_Allocation!$E$2:$E$201,$AB1612),Projects!$A:$A,0))&amp;"","#PROJECT?"),INDEX(FTE_Allocation!$E$2:$E$201,$AB1612)&amp;""),"")))</f>
        <v/>
      </c>
      <c r="F1612" s="7">
        <f>IF($Z1612="C",INDEX(Contracts!$Q$2:$Q$151,$AB1612)&amp;"",IF($Z1612="A",INDEX(Fixed_Assets!$L$2:$L$201,$AB1612)&amp;"",IF($Z1612="F",INDEX(Workforce!$K$2:$K$151,MATCH(INDEX(FTE_Allocation!$A$2:$A$201,$AB1612),Workforce!$A$2:$A$151,0))&amp;"","")))</f>
        <v/>
      </c>
      <c r="G1612" s="7">
        <f>IF($Z1612="C",INDEX(Contracts!$F$2:$F$151,$AB1612)&amp;" / "&amp;INDEX(Contracts!$G$2:$G$151,$AB1612),IF($Z1612="A",INDEX(Fixed_Assets!$E$2:$E$201,$AB1612)&amp;"",IF($Z1612="F","Personnel "&amp;INDEX(FTE_Allocation!$A$2:$A$201,$AB1612)&amp;IF(INDEX(FTE_Allocation!$D$2:$D$201,$AB1612)="PROJECT"," ("&amp;INDEX(FTE_Allocation!$E$2:$E$201,$AB1612)&amp;")",""),"")))</f>
        <v/>
      </c>
      <c r="H1612" s="7">
        <f>IF($Z1612="C","CONTRACT",IF($Z1612="A","ASSET",IF($Z1612="F","WORKFORCE","")))</f>
        <v/>
      </c>
      <c r="I1612" s="7">
        <f>IF($Z1612="C",INDEX(Contracts!$L$2:$L$151,$AB1612)&amp;"",IF($Z1612="A",INDEX(Fixed_Assets!$I$2:$I$201,$AB1612)&amp;"",IF($Z1612="F",INDEX(Workforce!$G$2:$G$151,MATCH(INDEX(FTE_Allocation!$A$2:$A$201,$AB1612),Workforce!$A$2:$A$151,0))&amp;"","")))</f>
        <v/>
      </c>
      <c r="J1612" s="18">
        <f>IF($Z1612="","",IF(AND(DATE($AD1612,1,1)&gt;=$AE1612,DATE($AD1612,1,1)&lt;=$AF1612),ROUND($AG1612,2),0))</f>
        <v/>
      </c>
      <c r="K1612" s="18">
        <f>IF($Z1612="","",IF(AND(DATE($AD1612,2,1)&gt;=$AE1612,DATE($AD1612,2,1)&lt;=$AF1612),ROUND($AG1612,2),0))</f>
        <v/>
      </c>
      <c r="L1612" s="18">
        <f>IF($Z1612="","",IF(AND(DATE($AD1612,3,1)&gt;=$AE1612,DATE($AD1612,3,1)&lt;=$AF1612),ROUND($AG1612,2),0))</f>
        <v/>
      </c>
      <c r="M1612" s="18">
        <f>IF($Z1612="","",IF(AND(DATE($AD1612,4,1)&gt;=$AE1612,DATE($AD1612,4,1)&lt;=$AF1612),ROUND($AG1612,2),0))</f>
        <v/>
      </c>
      <c r="N1612" s="18">
        <f>IF($Z1612="","",IF(AND(DATE($AD1612,5,1)&gt;=$AE1612,DATE($AD1612,5,1)&lt;=$AF1612),ROUND($AG1612,2),0))</f>
        <v/>
      </c>
      <c r="O1612" s="18">
        <f>IF($Z1612="","",IF(AND(DATE($AD1612,6,1)&gt;=$AE1612,DATE($AD1612,6,1)&lt;=$AF1612),ROUND($AG1612,2),0))</f>
        <v/>
      </c>
      <c r="P1612" s="18">
        <f>IF($Z1612="","",IF(AND(DATE($AD1612,7,1)&gt;=$AE1612,DATE($AD1612,7,1)&lt;=$AF1612),ROUND($AG1612,2),0))</f>
        <v/>
      </c>
      <c r="Q1612" s="18">
        <f>IF($Z1612="","",IF(AND(DATE($AD1612,8,1)&gt;=$AE1612,DATE($AD1612,8,1)&lt;=$AF1612),ROUND($AG1612,2),0))</f>
        <v/>
      </c>
      <c r="R1612" s="18">
        <f>IF($Z1612="","",IF(AND(DATE($AD1612,9,1)&gt;=$AE1612,DATE($AD1612,9,1)&lt;=$AF1612),ROUND($AG1612,2),0))</f>
        <v/>
      </c>
      <c r="S1612" s="18">
        <f>IF($Z1612="","",IF(AND(DATE($AD1612,10,1)&gt;=$AE1612,DATE($AD1612,10,1)&lt;=$AF1612),ROUND($AG1612,2),0))</f>
        <v/>
      </c>
      <c r="T1612" s="18">
        <f>IF($Z1612="","",IF(AND(DATE($AD1612,11,1)&gt;=$AE1612,DATE($AD1612,11,1)&lt;=$AF1612),ROUND($AG1612,2),0))</f>
        <v/>
      </c>
      <c r="U1612" s="18">
        <f>IF($Z1612="","",IF(AND(DATE($AD1612,12,1)&gt;=$AE1612,DATE($AD1612,12,1)&lt;=$AF1612),ROUND($AG1612,2),0))</f>
        <v/>
      </c>
      <c r="V1612" s="7">
        <f>IF($Z1612="C","Generated from "&amp;INDEX(Contracts!$A$2:$A$151,$AB1612),IF($Z1612="A","Generated from "&amp;INDEX(Fixed_Assets!$A$2:$A$201,$AB1612),IF($Z1612="F","Generated from "&amp;INDEX(FTE_Allocation!$A$2:$A$201,$AB1612),"")))</f>
        <v/>
      </c>
      <c r="X1612" s="19">
        <f>IF($Z1612="","",SUM(J1612:U1612))</f>
        <v/>
      </c>
      <c r="Y1612" s="20">
        <f>ROW()-1</f>
        <v/>
      </c>
      <c r="Z1612" s="20">
        <f>IF($Y1612&lt;=Settings!$B$4*3,"C",IF($Y1612&lt;=(Settings!$B$4+Settings!$B$5)*3,"A",IF($Y1612&lt;=(Settings!$B$4+Settings!$B$5+Settings!$B$6)*3,"F","")))</f>
        <v/>
      </c>
      <c r="AA1612" s="20">
        <f>IF($Z1612="C",$Y1612,IF($Z1612="A",$Y1612-Settings!$B$4*3,IF($Z1612="F",$Y1612-(Settings!$B$4+Settings!$B$5)*3,"")))</f>
        <v/>
      </c>
      <c r="AB1612" s="20">
        <f>IF($Z1612="","",INT(($AA1612-1)/3)+1)</f>
        <v/>
      </c>
      <c r="AC1612" s="20">
        <f>IF($Z1612="","",MOD($AA1612-1,3)+1)</f>
        <v/>
      </c>
      <c r="AD1612" s="20">
        <f>IF($Z1612="","",Settings!$B$2+$AC1612-1)</f>
        <v/>
      </c>
      <c r="AE1612" s="21">
        <f>IF($Z1612="C",DATE(YEAR(INDEX(Contracts!$J$2:$J$151,$AB1612)),MONTH(INDEX(Contracts!$J$2:$J$151,$AB1612)),1),IF($Z1612="A",DATE(YEAR(INDEX(Fixed_Assets!$G$2:$G$201,$AB1612)),MONTH(INDEX(Fixed_Assets!$G$2:$G$201,$AB1612)),1),IF($Z1612="F",DATE(YEAR(MAX(N(INDEX(Workforce!$I$2:$I$151,MATCH(INDEX(FTE_Allocation!$A$2:$A$201,$AB1612),Workforce!$A$2:$A$151,0))),N(INDEX(FTE_Allocation!$I$2:$I$201,$AB1612)))),MONTH(MAX(N(INDEX(Workforce!$I$2:$I$151,MATCH(INDEX(FTE_Allocation!$A$2:$A$201,$AB1612),Workforce!$A$2:$A$151,0))),N(INDEX(FTE_Allocation!$I$2:$I$201,$AB1612)))),1),"")))</f>
        <v/>
      </c>
      <c r="AF1612" s="21">
        <f>IF($Z1612="C",IF(INDEX(Contracts!$I$2:$I$151,$AB1612)="PREPAID",EDATE(DATE(YEAR(INDEX(Contracts!$J$2:$J$151,$AB1612)),MONTH(INDEX(Contracts!$J$2:$J$151,$AB1612)),1),IF(INDEX(Contracts!$N$2:$N$151,$AB1612)="",12,INDEX(Contracts!$N$2:$N$151,$AB1612))-1),IF(INDEX(Contracts!$I$2:$I$151,$AB1612)="MONTHLY",IF(INDEX(Contracts!$K$2:$K$151,$AB1612)="",2958101,INDEX(Contracts!$K$2:$K$151,$AB1612)),0)),IF($Z1612="A",EDATE(DATE(YEAR(INDEX(Fixed_Assets!$G$2:$G$201,$AB1612)),MONTH(INDEX(Fixed_Assets!$G$2:$G$201,$AB1612)),1),INDEX(Fixed_Assets!$J$2:$J$201,$AB1612)-1),IF($Z1612="F",MIN(IF(INDEX(Workforce!$J$2:$J$151,MATCH(INDEX(FTE_Allocation!$A$2:$A$201,$AB1612),Workforce!$A$2:$A$151,0))="",2958101,INDEX(Workforce!$J$2:$J$151,MATCH(INDEX(FTE_Allocation!$A$2:$A$201,$AB1612),Workforce!$A$2:$A$151,0))),IF(INDEX(FTE_Allocation!$J$2:$J$201,$AB1612)="",2958101,INDEX(FTE_Allocation!$J$2:$J$201,$AB1612))),"")))</f>
        <v/>
      </c>
      <c r="AG1612" s="19">
        <f>IF($Z1612="C",IF(INDEX(Contracts!$I$2:$I$151,$AB1612)="PREPAID",INDEX(Contracts!$M$2:$M$151,$AB1612)/IF(INDEX(Contracts!$N$2:$N$151,$AB1612)="",12,INDEX(Contracts!$N$2:$N$151,$AB1612)),IF(INDEX(Contracts!$I$2:$I$151,$AB1612)="MONTHLY",INDEX(Contracts!$M$2:$M$151,$AB1612),0))*(1-N(INDEX(Contracts!$O$2:$O$151,$AB1612))),IF($Z1612="A",INDEX(Fixed_Assets!$H$2:$H$201,$AB1612)/INDEX(Fixed_Assets!$J$2:$J$201,$AB1612),IF($Z1612="F",INDEX(Workforce!$F$2:$F$151,MATCH(INDEX(FTE_Allocation!$A$2:$A$201,$AB1612),Workforce!$A$2:$A$151,0))*N(INDEX(FTE_Allocation!$F$2:$H$201,$AB1612,$AC1612)),"")))</f>
        <v/>
      </c>
    </row>
    <row r="1613">
      <c r="A1613" s="7">
        <f>IF($Z1613="","",$AD1613)</f>
        <v/>
      </c>
      <c r="B1613" s="7">
        <f>IF($Z1613="C",INDEX(Contracts!$D$2:$D$151,$AB1613)&amp;"",IF($Z1613="A",INDEX(Fixed_Assets!$C$2:$C$201,$AB1613)&amp;"",IF($Z1613="F",INDEX(Workforce!$B$2:$B$151,MATCH(INDEX(FTE_Allocation!$A$2:$A$201,$AB1613),Workforce!$A$2:$A$151,0))&amp;"","")))</f>
        <v/>
      </c>
      <c r="C1613" s="7">
        <f>IF($Z1613="C",INDEX(Contracts!$E$2:$E$151,$AB1613)&amp;"",IF($Z1613="A",INDEX(Fixed_Assets!$D$2:$D$201,$AB1613)&amp;"",IF($Z1613="F",INDEX(FTE_Allocation!$C$2:$C$201,$AB1613)&amp;"","")))</f>
        <v/>
      </c>
      <c r="D1613" s="7">
        <f>IF($Z1613="C",INDEX(Contracts!$B$2:$B$151,$AB1613)&amp;"",IF($Z1613="A",INDEX(Fixed_Assets!$B$2:$B$201,$AB1613)&amp;"",IF($Z1613="F",INDEX(FTE_Allocation!$B$2:$B$201,$AB1613)&amp;"","")))</f>
        <v/>
      </c>
      <c r="E1613" s="7">
        <f>IF($Z1613="C",INDEX(Contracts!$P$2:$P$151,$AB1613)&amp;"",IF($Z1613="A",INDEX(Fixed_Assets!$K$2:$K$201,$AB1613)&amp;"",IF($Z1613="F",IF(INDEX(FTE_Allocation!$D$2:$D$201,$AB1613)="PROJECT",IFERROR(INDEX(Projects!$D:$D,MATCH(INDEX(FTE_Allocation!$E$2:$E$201,$AB1613),Projects!$A:$A,0))&amp;"","#PROJECT?"),INDEX(FTE_Allocation!$E$2:$E$201,$AB1613)&amp;""),"")))</f>
        <v/>
      </c>
      <c r="F1613" s="7">
        <f>IF($Z1613="C",INDEX(Contracts!$Q$2:$Q$151,$AB1613)&amp;"",IF($Z1613="A",INDEX(Fixed_Assets!$L$2:$L$201,$AB1613)&amp;"",IF($Z1613="F",INDEX(Workforce!$K$2:$K$151,MATCH(INDEX(FTE_Allocation!$A$2:$A$201,$AB1613),Workforce!$A$2:$A$151,0))&amp;"","")))</f>
        <v/>
      </c>
      <c r="G1613" s="7">
        <f>IF($Z1613="C",INDEX(Contracts!$F$2:$F$151,$AB1613)&amp;" / "&amp;INDEX(Contracts!$G$2:$G$151,$AB1613),IF($Z1613="A",INDEX(Fixed_Assets!$E$2:$E$201,$AB1613)&amp;"",IF($Z1613="F","Personnel "&amp;INDEX(FTE_Allocation!$A$2:$A$201,$AB1613)&amp;IF(INDEX(FTE_Allocation!$D$2:$D$201,$AB1613)="PROJECT"," ("&amp;INDEX(FTE_Allocation!$E$2:$E$201,$AB1613)&amp;")",""),"")))</f>
        <v/>
      </c>
      <c r="H1613" s="7">
        <f>IF($Z1613="C","CONTRACT",IF($Z1613="A","ASSET",IF($Z1613="F","WORKFORCE","")))</f>
        <v/>
      </c>
      <c r="I1613" s="7">
        <f>IF($Z1613="C",INDEX(Contracts!$L$2:$L$151,$AB1613)&amp;"",IF($Z1613="A",INDEX(Fixed_Assets!$I$2:$I$201,$AB1613)&amp;"",IF($Z1613="F",INDEX(Workforce!$G$2:$G$151,MATCH(INDEX(FTE_Allocation!$A$2:$A$201,$AB1613),Workforce!$A$2:$A$151,0))&amp;"","")))</f>
        <v/>
      </c>
      <c r="J1613" s="18">
        <f>IF($Z1613="","",IF(AND(DATE($AD1613,1,1)&gt;=$AE1613,DATE($AD1613,1,1)&lt;=$AF1613),ROUND($AG1613,2),0))</f>
        <v/>
      </c>
      <c r="K1613" s="18">
        <f>IF($Z1613="","",IF(AND(DATE($AD1613,2,1)&gt;=$AE1613,DATE($AD1613,2,1)&lt;=$AF1613),ROUND($AG1613,2),0))</f>
        <v/>
      </c>
      <c r="L1613" s="18">
        <f>IF($Z1613="","",IF(AND(DATE($AD1613,3,1)&gt;=$AE1613,DATE($AD1613,3,1)&lt;=$AF1613),ROUND($AG1613,2),0))</f>
        <v/>
      </c>
      <c r="M1613" s="18">
        <f>IF($Z1613="","",IF(AND(DATE($AD1613,4,1)&gt;=$AE1613,DATE($AD1613,4,1)&lt;=$AF1613),ROUND($AG1613,2),0))</f>
        <v/>
      </c>
      <c r="N1613" s="18">
        <f>IF($Z1613="","",IF(AND(DATE($AD1613,5,1)&gt;=$AE1613,DATE($AD1613,5,1)&lt;=$AF1613),ROUND($AG1613,2),0))</f>
        <v/>
      </c>
      <c r="O1613" s="18">
        <f>IF($Z1613="","",IF(AND(DATE($AD1613,6,1)&gt;=$AE1613,DATE($AD1613,6,1)&lt;=$AF1613),ROUND($AG1613,2),0))</f>
        <v/>
      </c>
      <c r="P1613" s="18">
        <f>IF($Z1613="","",IF(AND(DATE($AD1613,7,1)&gt;=$AE1613,DATE($AD1613,7,1)&lt;=$AF1613),ROUND($AG1613,2),0))</f>
        <v/>
      </c>
      <c r="Q1613" s="18">
        <f>IF($Z1613="","",IF(AND(DATE($AD1613,8,1)&gt;=$AE1613,DATE($AD1613,8,1)&lt;=$AF1613),ROUND($AG1613,2),0))</f>
        <v/>
      </c>
      <c r="R1613" s="18">
        <f>IF($Z1613="","",IF(AND(DATE($AD1613,9,1)&gt;=$AE1613,DATE($AD1613,9,1)&lt;=$AF1613),ROUND($AG1613,2),0))</f>
        <v/>
      </c>
      <c r="S1613" s="18">
        <f>IF($Z1613="","",IF(AND(DATE($AD1613,10,1)&gt;=$AE1613,DATE($AD1613,10,1)&lt;=$AF1613),ROUND($AG1613,2),0))</f>
        <v/>
      </c>
      <c r="T1613" s="18">
        <f>IF($Z1613="","",IF(AND(DATE($AD1613,11,1)&gt;=$AE1613,DATE($AD1613,11,1)&lt;=$AF1613),ROUND($AG1613,2),0))</f>
        <v/>
      </c>
      <c r="U1613" s="18">
        <f>IF($Z1613="","",IF(AND(DATE($AD1613,12,1)&gt;=$AE1613,DATE($AD1613,12,1)&lt;=$AF1613),ROUND($AG1613,2),0))</f>
        <v/>
      </c>
      <c r="V1613" s="7">
        <f>IF($Z1613="C","Generated from "&amp;INDEX(Contracts!$A$2:$A$151,$AB1613),IF($Z1613="A","Generated from "&amp;INDEX(Fixed_Assets!$A$2:$A$201,$AB1613),IF($Z1613="F","Generated from "&amp;INDEX(FTE_Allocation!$A$2:$A$201,$AB1613),"")))</f>
        <v/>
      </c>
      <c r="X1613" s="19">
        <f>IF($Z1613="","",SUM(J1613:U1613))</f>
        <v/>
      </c>
      <c r="Y1613" s="20">
        <f>ROW()-1</f>
        <v/>
      </c>
      <c r="Z1613" s="20">
        <f>IF($Y1613&lt;=Settings!$B$4*3,"C",IF($Y1613&lt;=(Settings!$B$4+Settings!$B$5)*3,"A",IF($Y1613&lt;=(Settings!$B$4+Settings!$B$5+Settings!$B$6)*3,"F","")))</f>
        <v/>
      </c>
      <c r="AA1613" s="20">
        <f>IF($Z1613="C",$Y1613,IF($Z1613="A",$Y1613-Settings!$B$4*3,IF($Z1613="F",$Y1613-(Settings!$B$4+Settings!$B$5)*3,"")))</f>
        <v/>
      </c>
      <c r="AB1613" s="20">
        <f>IF($Z1613="","",INT(($AA1613-1)/3)+1)</f>
        <v/>
      </c>
      <c r="AC1613" s="20">
        <f>IF($Z1613="","",MOD($AA1613-1,3)+1)</f>
        <v/>
      </c>
      <c r="AD1613" s="20">
        <f>IF($Z1613="","",Settings!$B$2+$AC1613-1)</f>
        <v/>
      </c>
      <c r="AE1613" s="21">
        <f>IF($Z1613="C",DATE(YEAR(INDEX(Contracts!$J$2:$J$151,$AB1613)),MONTH(INDEX(Contracts!$J$2:$J$151,$AB1613)),1),IF($Z1613="A",DATE(YEAR(INDEX(Fixed_Assets!$G$2:$G$201,$AB1613)),MONTH(INDEX(Fixed_Assets!$G$2:$G$201,$AB1613)),1),IF($Z1613="F",DATE(YEAR(MAX(N(INDEX(Workforce!$I$2:$I$151,MATCH(INDEX(FTE_Allocation!$A$2:$A$201,$AB1613),Workforce!$A$2:$A$151,0))),N(INDEX(FTE_Allocation!$I$2:$I$201,$AB1613)))),MONTH(MAX(N(INDEX(Workforce!$I$2:$I$151,MATCH(INDEX(FTE_Allocation!$A$2:$A$201,$AB1613),Workforce!$A$2:$A$151,0))),N(INDEX(FTE_Allocation!$I$2:$I$201,$AB1613)))),1),"")))</f>
        <v/>
      </c>
      <c r="AF1613" s="21">
        <f>IF($Z1613="C",IF(INDEX(Contracts!$I$2:$I$151,$AB1613)="PREPAID",EDATE(DATE(YEAR(INDEX(Contracts!$J$2:$J$151,$AB1613)),MONTH(INDEX(Contracts!$J$2:$J$151,$AB1613)),1),IF(INDEX(Contracts!$N$2:$N$151,$AB1613)="",12,INDEX(Contracts!$N$2:$N$151,$AB1613))-1),IF(INDEX(Contracts!$I$2:$I$151,$AB1613)="MONTHLY",IF(INDEX(Contracts!$K$2:$K$151,$AB1613)="",2958101,INDEX(Contracts!$K$2:$K$151,$AB1613)),0)),IF($Z1613="A",EDATE(DATE(YEAR(INDEX(Fixed_Assets!$G$2:$G$201,$AB1613)),MONTH(INDEX(Fixed_Assets!$G$2:$G$201,$AB1613)),1),INDEX(Fixed_Assets!$J$2:$J$201,$AB1613)-1),IF($Z1613="F",MIN(IF(INDEX(Workforce!$J$2:$J$151,MATCH(INDEX(FTE_Allocation!$A$2:$A$201,$AB1613),Workforce!$A$2:$A$151,0))="",2958101,INDEX(Workforce!$J$2:$J$151,MATCH(INDEX(FTE_Allocation!$A$2:$A$201,$AB1613),Workforce!$A$2:$A$151,0))),IF(INDEX(FTE_Allocation!$J$2:$J$201,$AB1613)="",2958101,INDEX(FTE_Allocation!$J$2:$J$201,$AB1613))),"")))</f>
        <v/>
      </c>
      <c r="AG1613" s="19">
        <f>IF($Z1613="C",IF(INDEX(Contracts!$I$2:$I$151,$AB1613)="PREPAID",INDEX(Contracts!$M$2:$M$151,$AB1613)/IF(INDEX(Contracts!$N$2:$N$151,$AB1613)="",12,INDEX(Contracts!$N$2:$N$151,$AB1613)),IF(INDEX(Contracts!$I$2:$I$151,$AB1613)="MONTHLY",INDEX(Contracts!$M$2:$M$151,$AB1613),0))*(1-N(INDEX(Contracts!$O$2:$O$151,$AB1613))),IF($Z1613="A",INDEX(Fixed_Assets!$H$2:$H$201,$AB1613)/INDEX(Fixed_Assets!$J$2:$J$201,$AB1613),IF($Z1613="F",INDEX(Workforce!$F$2:$F$151,MATCH(INDEX(FTE_Allocation!$A$2:$A$201,$AB1613),Workforce!$A$2:$A$151,0))*N(INDEX(FTE_Allocation!$F$2:$H$201,$AB1613,$AC1613)),"")))</f>
        <v/>
      </c>
    </row>
    <row r="1614">
      <c r="A1614" s="7">
        <f>IF($Z1614="","",$AD1614)</f>
        <v/>
      </c>
      <c r="B1614" s="7">
        <f>IF($Z1614="C",INDEX(Contracts!$D$2:$D$151,$AB1614)&amp;"",IF($Z1614="A",INDEX(Fixed_Assets!$C$2:$C$201,$AB1614)&amp;"",IF($Z1614="F",INDEX(Workforce!$B$2:$B$151,MATCH(INDEX(FTE_Allocation!$A$2:$A$201,$AB1614),Workforce!$A$2:$A$151,0))&amp;"","")))</f>
        <v/>
      </c>
      <c r="C1614" s="7">
        <f>IF($Z1614="C",INDEX(Contracts!$E$2:$E$151,$AB1614)&amp;"",IF($Z1614="A",INDEX(Fixed_Assets!$D$2:$D$201,$AB1614)&amp;"",IF($Z1614="F",INDEX(FTE_Allocation!$C$2:$C$201,$AB1614)&amp;"","")))</f>
        <v/>
      </c>
      <c r="D1614" s="7">
        <f>IF($Z1614="C",INDEX(Contracts!$B$2:$B$151,$AB1614)&amp;"",IF($Z1614="A",INDEX(Fixed_Assets!$B$2:$B$201,$AB1614)&amp;"",IF($Z1614="F",INDEX(FTE_Allocation!$B$2:$B$201,$AB1614)&amp;"","")))</f>
        <v/>
      </c>
      <c r="E1614" s="7">
        <f>IF($Z1614="C",INDEX(Contracts!$P$2:$P$151,$AB1614)&amp;"",IF($Z1614="A",INDEX(Fixed_Assets!$K$2:$K$201,$AB1614)&amp;"",IF($Z1614="F",IF(INDEX(FTE_Allocation!$D$2:$D$201,$AB1614)="PROJECT",IFERROR(INDEX(Projects!$D:$D,MATCH(INDEX(FTE_Allocation!$E$2:$E$201,$AB1614),Projects!$A:$A,0))&amp;"","#PROJECT?"),INDEX(FTE_Allocation!$E$2:$E$201,$AB1614)&amp;""),"")))</f>
        <v/>
      </c>
      <c r="F1614" s="7">
        <f>IF($Z1614="C",INDEX(Contracts!$Q$2:$Q$151,$AB1614)&amp;"",IF($Z1614="A",INDEX(Fixed_Assets!$L$2:$L$201,$AB1614)&amp;"",IF($Z1614="F",INDEX(Workforce!$K$2:$K$151,MATCH(INDEX(FTE_Allocation!$A$2:$A$201,$AB1614),Workforce!$A$2:$A$151,0))&amp;"","")))</f>
        <v/>
      </c>
      <c r="G1614" s="7">
        <f>IF($Z1614="C",INDEX(Contracts!$F$2:$F$151,$AB1614)&amp;" / "&amp;INDEX(Contracts!$G$2:$G$151,$AB1614),IF($Z1614="A",INDEX(Fixed_Assets!$E$2:$E$201,$AB1614)&amp;"",IF($Z1614="F","Personnel "&amp;INDEX(FTE_Allocation!$A$2:$A$201,$AB1614)&amp;IF(INDEX(FTE_Allocation!$D$2:$D$201,$AB1614)="PROJECT"," ("&amp;INDEX(FTE_Allocation!$E$2:$E$201,$AB1614)&amp;")",""),"")))</f>
        <v/>
      </c>
      <c r="H1614" s="7">
        <f>IF($Z1614="C","CONTRACT",IF($Z1614="A","ASSET",IF($Z1614="F","WORKFORCE","")))</f>
        <v/>
      </c>
      <c r="I1614" s="7">
        <f>IF($Z1614="C",INDEX(Contracts!$L$2:$L$151,$AB1614)&amp;"",IF($Z1614="A",INDEX(Fixed_Assets!$I$2:$I$201,$AB1614)&amp;"",IF($Z1614="F",INDEX(Workforce!$G$2:$G$151,MATCH(INDEX(FTE_Allocation!$A$2:$A$201,$AB1614),Workforce!$A$2:$A$151,0))&amp;"","")))</f>
        <v/>
      </c>
      <c r="J1614" s="18">
        <f>IF($Z1614="","",IF(AND(DATE($AD1614,1,1)&gt;=$AE1614,DATE($AD1614,1,1)&lt;=$AF1614),ROUND($AG1614,2),0))</f>
        <v/>
      </c>
      <c r="K1614" s="18">
        <f>IF($Z1614="","",IF(AND(DATE($AD1614,2,1)&gt;=$AE1614,DATE($AD1614,2,1)&lt;=$AF1614),ROUND($AG1614,2),0))</f>
        <v/>
      </c>
      <c r="L1614" s="18">
        <f>IF($Z1614="","",IF(AND(DATE($AD1614,3,1)&gt;=$AE1614,DATE($AD1614,3,1)&lt;=$AF1614),ROUND($AG1614,2),0))</f>
        <v/>
      </c>
      <c r="M1614" s="18">
        <f>IF($Z1614="","",IF(AND(DATE($AD1614,4,1)&gt;=$AE1614,DATE($AD1614,4,1)&lt;=$AF1614),ROUND($AG1614,2),0))</f>
        <v/>
      </c>
      <c r="N1614" s="18">
        <f>IF($Z1614="","",IF(AND(DATE($AD1614,5,1)&gt;=$AE1614,DATE($AD1614,5,1)&lt;=$AF1614),ROUND($AG1614,2),0))</f>
        <v/>
      </c>
      <c r="O1614" s="18">
        <f>IF($Z1614="","",IF(AND(DATE($AD1614,6,1)&gt;=$AE1614,DATE($AD1614,6,1)&lt;=$AF1614),ROUND($AG1614,2),0))</f>
        <v/>
      </c>
      <c r="P1614" s="18">
        <f>IF($Z1614="","",IF(AND(DATE($AD1614,7,1)&gt;=$AE1614,DATE($AD1614,7,1)&lt;=$AF1614),ROUND($AG1614,2),0))</f>
        <v/>
      </c>
      <c r="Q1614" s="18">
        <f>IF($Z1614="","",IF(AND(DATE($AD1614,8,1)&gt;=$AE1614,DATE($AD1614,8,1)&lt;=$AF1614),ROUND($AG1614,2),0))</f>
        <v/>
      </c>
      <c r="R1614" s="18">
        <f>IF($Z1614="","",IF(AND(DATE($AD1614,9,1)&gt;=$AE1614,DATE($AD1614,9,1)&lt;=$AF1614),ROUND($AG1614,2),0))</f>
        <v/>
      </c>
      <c r="S1614" s="18">
        <f>IF($Z1614="","",IF(AND(DATE($AD1614,10,1)&gt;=$AE1614,DATE($AD1614,10,1)&lt;=$AF1614),ROUND($AG1614,2),0))</f>
        <v/>
      </c>
      <c r="T1614" s="18">
        <f>IF($Z1614="","",IF(AND(DATE($AD1614,11,1)&gt;=$AE1614,DATE($AD1614,11,1)&lt;=$AF1614),ROUND($AG1614,2),0))</f>
        <v/>
      </c>
      <c r="U1614" s="18">
        <f>IF($Z1614="","",IF(AND(DATE($AD1614,12,1)&gt;=$AE1614,DATE($AD1614,12,1)&lt;=$AF1614),ROUND($AG1614,2),0))</f>
        <v/>
      </c>
      <c r="V1614" s="7">
        <f>IF($Z1614="C","Generated from "&amp;INDEX(Contracts!$A$2:$A$151,$AB1614),IF($Z1614="A","Generated from "&amp;INDEX(Fixed_Assets!$A$2:$A$201,$AB1614),IF($Z1614="F","Generated from "&amp;INDEX(FTE_Allocation!$A$2:$A$201,$AB1614),"")))</f>
        <v/>
      </c>
      <c r="X1614" s="19">
        <f>IF($Z1614="","",SUM(J1614:U1614))</f>
        <v/>
      </c>
      <c r="Y1614" s="20">
        <f>ROW()-1</f>
        <v/>
      </c>
      <c r="Z1614" s="20">
        <f>IF($Y1614&lt;=Settings!$B$4*3,"C",IF($Y1614&lt;=(Settings!$B$4+Settings!$B$5)*3,"A",IF($Y1614&lt;=(Settings!$B$4+Settings!$B$5+Settings!$B$6)*3,"F","")))</f>
        <v/>
      </c>
      <c r="AA1614" s="20">
        <f>IF($Z1614="C",$Y1614,IF($Z1614="A",$Y1614-Settings!$B$4*3,IF($Z1614="F",$Y1614-(Settings!$B$4+Settings!$B$5)*3,"")))</f>
        <v/>
      </c>
      <c r="AB1614" s="20">
        <f>IF($Z1614="","",INT(($AA1614-1)/3)+1)</f>
        <v/>
      </c>
      <c r="AC1614" s="20">
        <f>IF($Z1614="","",MOD($AA1614-1,3)+1)</f>
        <v/>
      </c>
      <c r="AD1614" s="20">
        <f>IF($Z1614="","",Settings!$B$2+$AC1614-1)</f>
        <v/>
      </c>
      <c r="AE1614" s="21">
        <f>IF($Z1614="C",DATE(YEAR(INDEX(Contracts!$J$2:$J$151,$AB1614)),MONTH(INDEX(Contracts!$J$2:$J$151,$AB1614)),1),IF($Z1614="A",DATE(YEAR(INDEX(Fixed_Assets!$G$2:$G$201,$AB1614)),MONTH(INDEX(Fixed_Assets!$G$2:$G$201,$AB1614)),1),IF($Z1614="F",DATE(YEAR(MAX(N(INDEX(Workforce!$I$2:$I$151,MATCH(INDEX(FTE_Allocation!$A$2:$A$201,$AB1614),Workforce!$A$2:$A$151,0))),N(INDEX(FTE_Allocation!$I$2:$I$201,$AB1614)))),MONTH(MAX(N(INDEX(Workforce!$I$2:$I$151,MATCH(INDEX(FTE_Allocation!$A$2:$A$201,$AB1614),Workforce!$A$2:$A$151,0))),N(INDEX(FTE_Allocation!$I$2:$I$201,$AB1614)))),1),"")))</f>
        <v/>
      </c>
      <c r="AF1614" s="21">
        <f>IF($Z1614="C",IF(INDEX(Contracts!$I$2:$I$151,$AB1614)="PREPAID",EDATE(DATE(YEAR(INDEX(Contracts!$J$2:$J$151,$AB1614)),MONTH(INDEX(Contracts!$J$2:$J$151,$AB1614)),1),IF(INDEX(Contracts!$N$2:$N$151,$AB1614)="",12,INDEX(Contracts!$N$2:$N$151,$AB1614))-1),IF(INDEX(Contracts!$I$2:$I$151,$AB1614)="MONTHLY",IF(INDEX(Contracts!$K$2:$K$151,$AB1614)="",2958101,INDEX(Contracts!$K$2:$K$151,$AB1614)),0)),IF($Z1614="A",EDATE(DATE(YEAR(INDEX(Fixed_Assets!$G$2:$G$201,$AB1614)),MONTH(INDEX(Fixed_Assets!$G$2:$G$201,$AB1614)),1),INDEX(Fixed_Assets!$J$2:$J$201,$AB1614)-1),IF($Z1614="F",MIN(IF(INDEX(Workforce!$J$2:$J$151,MATCH(INDEX(FTE_Allocation!$A$2:$A$201,$AB1614),Workforce!$A$2:$A$151,0))="",2958101,INDEX(Workforce!$J$2:$J$151,MATCH(INDEX(FTE_Allocation!$A$2:$A$201,$AB1614),Workforce!$A$2:$A$151,0))),IF(INDEX(FTE_Allocation!$J$2:$J$201,$AB1614)="",2958101,INDEX(FTE_Allocation!$J$2:$J$201,$AB1614))),"")))</f>
        <v/>
      </c>
      <c r="AG1614" s="19">
        <f>IF($Z1614="C",IF(INDEX(Contracts!$I$2:$I$151,$AB1614)="PREPAID",INDEX(Contracts!$M$2:$M$151,$AB1614)/IF(INDEX(Contracts!$N$2:$N$151,$AB1614)="",12,INDEX(Contracts!$N$2:$N$151,$AB1614)),IF(INDEX(Contracts!$I$2:$I$151,$AB1614)="MONTHLY",INDEX(Contracts!$M$2:$M$151,$AB1614),0))*(1-N(INDEX(Contracts!$O$2:$O$151,$AB1614))),IF($Z1614="A",INDEX(Fixed_Assets!$H$2:$H$201,$AB1614)/INDEX(Fixed_Assets!$J$2:$J$201,$AB1614),IF($Z1614="F",INDEX(Workforce!$F$2:$F$151,MATCH(INDEX(FTE_Allocation!$A$2:$A$201,$AB1614),Workforce!$A$2:$A$151,0))*N(INDEX(FTE_Allocation!$F$2:$H$201,$AB1614,$AC1614)),"")))</f>
        <v/>
      </c>
    </row>
    <row r="1615">
      <c r="A1615" s="7">
        <f>IF($Z1615="","",$AD1615)</f>
        <v/>
      </c>
      <c r="B1615" s="7">
        <f>IF($Z1615="C",INDEX(Contracts!$D$2:$D$151,$AB1615)&amp;"",IF($Z1615="A",INDEX(Fixed_Assets!$C$2:$C$201,$AB1615)&amp;"",IF($Z1615="F",INDEX(Workforce!$B$2:$B$151,MATCH(INDEX(FTE_Allocation!$A$2:$A$201,$AB1615),Workforce!$A$2:$A$151,0))&amp;"","")))</f>
        <v/>
      </c>
      <c r="C1615" s="7">
        <f>IF($Z1615="C",INDEX(Contracts!$E$2:$E$151,$AB1615)&amp;"",IF($Z1615="A",INDEX(Fixed_Assets!$D$2:$D$201,$AB1615)&amp;"",IF($Z1615="F",INDEX(FTE_Allocation!$C$2:$C$201,$AB1615)&amp;"","")))</f>
        <v/>
      </c>
      <c r="D1615" s="7">
        <f>IF($Z1615="C",INDEX(Contracts!$B$2:$B$151,$AB1615)&amp;"",IF($Z1615="A",INDEX(Fixed_Assets!$B$2:$B$201,$AB1615)&amp;"",IF($Z1615="F",INDEX(FTE_Allocation!$B$2:$B$201,$AB1615)&amp;"","")))</f>
        <v/>
      </c>
      <c r="E1615" s="7">
        <f>IF($Z1615="C",INDEX(Contracts!$P$2:$P$151,$AB1615)&amp;"",IF($Z1615="A",INDEX(Fixed_Assets!$K$2:$K$201,$AB1615)&amp;"",IF($Z1615="F",IF(INDEX(FTE_Allocation!$D$2:$D$201,$AB1615)="PROJECT",IFERROR(INDEX(Projects!$D:$D,MATCH(INDEX(FTE_Allocation!$E$2:$E$201,$AB1615),Projects!$A:$A,0))&amp;"","#PROJECT?"),INDEX(FTE_Allocation!$E$2:$E$201,$AB1615)&amp;""),"")))</f>
        <v/>
      </c>
      <c r="F1615" s="7">
        <f>IF($Z1615="C",INDEX(Contracts!$Q$2:$Q$151,$AB1615)&amp;"",IF($Z1615="A",INDEX(Fixed_Assets!$L$2:$L$201,$AB1615)&amp;"",IF($Z1615="F",INDEX(Workforce!$K$2:$K$151,MATCH(INDEX(FTE_Allocation!$A$2:$A$201,$AB1615),Workforce!$A$2:$A$151,0))&amp;"","")))</f>
        <v/>
      </c>
      <c r="G1615" s="7">
        <f>IF($Z1615="C",INDEX(Contracts!$F$2:$F$151,$AB1615)&amp;" / "&amp;INDEX(Contracts!$G$2:$G$151,$AB1615),IF($Z1615="A",INDEX(Fixed_Assets!$E$2:$E$201,$AB1615)&amp;"",IF($Z1615="F","Personnel "&amp;INDEX(FTE_Allocation!$A$2:$A$201,$AB1615)&amp;IF(INDEX(FTE_Allocation!$D$2:$D$201,$AB1615)="PROJECT"," ("&amp;INDEX(FTE_Allocation!$E$2:$E$201,$AB1615)&amp;")",""),"")))</f>
        <v/>
      </c>
      <c r="H1615" s="7">
        <f>IF($Z1615="C","CONTRACT",IF($Z1615="A","ASSET",IF($Z1615="F","WORKFORCE","")))</f>
        <v/>
      </c>
      <c r="I1615" s="7">
        <f>IF($Z1615="C",INDEX(Contracts!$L$2:$L$151,$AB1615)&amp;"",IF($Z1615="A",INDEX(Fixed_Assets!$I$2:$I$201,$AB1615)&amp;"",IF($Z1615="F",INDEX(Workforce!$G$2:$G$151,MATCH(INDEX(FTE_Allocation!$A$2:$A$201,$AB1615),Workforce!$A$2:$A$151,0))&amp;"","")))</f>
        <v/>
      </c>
      <c r="J1615" s="18">
        <f>IF($Z1615="","",IF(AND(DATE($AD1615,1,1)&gt;=$AE1615,DATE($AD1615,1,1)&lt;=$AF1615),ROUND($AG1615,2),0))</f>
        <v/>
      </c>
      <c r="K1615" s="18">
        <f>IF($Z1615="","",IF(AND(DATE($AD1615,2,1)&gt;=$AE1615,DATE($AD1615,2,1)&lt;=$AF1615),ROUND($AG1615,2),0))</f>
        <v/>
      </c>
      <c r="L1615" s="18">
        <f>IF($Z1615="","",IF(AND(DATE($AD1615,3,1)&gt;=$AE1615,DATE($AD1615,3,1)&lt;=$AF1615),ROUND($AG1615,2),0))</f>
        <v/>
      </c>
      <c r="M1615" s="18">
        <f>IF($Z1615="","",IF(AND(DATE($AD1615,4,1)&gt;=$AE1615,DATE($AD1615,4,1)&lt;=$AF1615),ROUND($AG1615,2),0))</f>
        <v/>
      </c>
      <c r="N1615" s="18">
        <f>IF($Z1615="","",IF(AND(DATE($AD1615,5,1)&gt;=$AE1615,DATE($AD1615,5,1)&lt;=$AF1615),ROUND($AG1615,2),0))</f>
        <v/>
      </c>
      <c r="O1615" s="18">
        <f>IF($Z1615="","",IF(AND(DATE($AD1615,6,1)&gt;=$AE1615,DATE($AD1615,6,1)&lt;=$AF1615),ROUND($AG1615,2),0))</f>
        <v/>
      </c>
      <c r="P1615" s="18">
        <f>IF($Z1615="","",IF(AND(DATE($AD1615,7,1)&gt;=$AE1615,DATE($AD1615,7,1)&lt;=$AF1615),ROUND($AG1615,2),0))</f>
        <v/>
      </c>
      <c r="Q1615" s="18">
        <f>IF($Z1615="","",IF(AND(DATE($AD1615,8,1)&gt;=$AE1615,DATE($AD1615,8,1)&lt;=$AF1615),ROUND($AG1615,2),0))</f>
        <v/>
      </c>
      <c r="R1615" s="18">
        <f>IF($Z1615="","",IF(AND(DATE($AD1615,9,1)&gt;=$AE1615,DATE($AD1615,9,1)&lt;=$AF1615),ROUND($AG1615,2),0))</f>
        <v/>
      </c>
      <c r="S1615" s="18">
        <f>IF($Z1615="","",IF(AND(DATE($AD1615,10,1)&gt;=$AE1615,DATE($AD1615,10,1)&lt;=$AF1615),ROUND($AG1615,2),0))</f>
        <v/>
      </c>
      <c r="T1615" s="18">
        <f>IF($Z1615="","",IF(AND(DATE($AD1615,11,1)&gt;=$AE1615,DATE($AD1615,11,1)&lt;=$AF1615),ROUND($AG1615,2),0))</f>
        <v/>
      </c>
      <c r="U1615" s="18">
        <f>IF($Z1615="","",IF(AND(DATE($AD1615,12,1)&gt;=$AE1615,DATE($AD1615,12,1)&lt;=$AF1615),ROUND($AG1615,2),0))</f>
        <v/>
      </c>
      <c r="V1615" s="7">
        <f>IF($Z1615="C","Generated from "&amp;INDEX(Contracts!$A$2:$A$151,$AB1615),IF($Z1615="A","Generated from "&amp;INDEX(Fixed_Assets!$A$2:$A$201,$AB1615),IF($Z1615="F","Generated from "&amp;INDEX(FTE_Allocation!$A$2:$A$201,$AB1615),"")))</f>
        <v/>
      </c>
      <c r="X1615" s="19">
        <f>IF($Z1615="","",SUM(J1615:U1615))</f>
        <v/>
      </c>
      <c r="Y1615" s="20">
        <f>ROW()-1</f>
        <v/>
      </c>
      <c r="Z1615" s="20">
        <f>IF($Y1615&lt;=Settings!$B$4*3,"C",IF($Y1615&lt;=(Settings!$B$4+Settings!$B$5)*3,"A",IF($Y1615&lt;=(Settings!$B$4+Settings!$B$5+Settings!$B$6)*3,"F","")))</f>
        <v/>
      </c>
      <c r="AA1615" s="20">
        <f>IF($Z1615="C",$Y1615,IF($Z1615="A",$Y1615-Settings!$B$4*3,IF($Z1615="F",$Y1615-(Settings!$B$4+Settings!$B$5)*3,"")))</f>
        <v/>
      </c>
      <c r="AB1615" s="20">
        <f>IF($Z1615="","",INT(($AA1615-1)/3)+1)</f>
        <v/>
      </c>
      <c r="AC1615" s="20">
        <f>IF($Z1615="","",MOD($AA1615-1,3)+1)</f>
        <v/>
      </c>
      <c r="AD1615" s="20">
        <f>IF($Z1615="","",Settings!$B$2+$AC1615-1)</f>
        <v/>
      </c>
      <c r="AE1615" s="21">
        <f>IF($Z1615="C",DATE(YEAR(INDEX(Contracts!$J$2:$J$151,$AB1615)),MONTH(INDEX(Contracts!$J$2:$J$151,$AB1615)),1),IF($Z1615="A",DATE(YEAR(INDEX(Fixed_Assets!$G$2:$G$201,$AB1615)),MONTH(INDEX(Fixed_Assets!$G$2:$G$201,$AB1615)),1),IF($Z1615="F",DATE(YEAR(MAX(N(INDEX(Workforce!$I$2:$I$151,MATCH(INDEX(FTE_Allocation!$A$2:$A$201,$AB1615),Workforce!$A$2:$A$151,0))),N(INDEX(FTE_Allocation!$I$2:$I$201,$AB1615)))),MONTH(MAX(N(INDEX(Workforce!$I$2:$I$151,MATCH(INDEX(FTE_Allocation!$A$2:$A$201,$AB1615),Workforce!$A$2:$A$151,0))),N(INDEX(FTE_Allocation!$I$2:$I$201,$AB1615)))),1),"")))</f>
        <v/>
      </c>
      <c r="AF1615" s="21">
        <f>IF($Z1615="C",IF(INDEX(Contracts!$I$2:$I$151,$AB1615)="PREPAID",EDATE(DATE(YEAR(INDEX(Contracts!$J$2:$J$151,$AB1615)),MONTH(INDEX(Contracts!$J$2:$J$151,$AB1615)),1),IF(INDEX(Contracts!$N$2:$N$151,$AB1615)="",12,INDEX(Contracts!$N$2:$N$151,$AB1615))-1),IF(INDEX(Contracts!$I$2:$I$151,$AB1615)="MONTHLY",IF(INDEX(Contracts!$K$2:$K$151,$AB1615)="",2958101,INDEX(Contracts!$K$2:$K$151,$AB1615)),0)),IF($Z1615="A",EDATE(DATE(YEAR(INDEX(Fixed_Assets!$G$2:$G$201,$AB1615)),MONTH(INDEX(Fixed_Assets!$G$2:$G$201,$AB1615)),1),INDEX(Fixed_Assets!$J$2:$J$201,$AB1615)-1),IF($Z1615="F",MIN(IF(INDEX(Workforce!$J$2:$J$151,MATCH(INDEX(FTE_Allocation!$A$2:$A$201,$AB1615),Workforce!$A$2:$A$151,0))="",2958101,INDEX(Workforce!$J$2:$J$151,MATCH(INDEX(FTE_Allocation!$A$2:$A$201,$AB1615),Workforce!$A$2:$A$151,0))),IF(INDEX(FTE_Allocation!$J$2:$J$201,$AB1615)="",2958101,INDEX(FTE_Allocation!$J$2:$J$201,$AB1615))),"")))</f>
        <v/>
      </c>
      <c r="AG1615" s="19">
        <f>IF($Z1615="C",IF(INDEX(Contracts!$I$2:$I$151,$AB1615)="PREPAID",INDEX(Contracts!$M$2:$M$151,$AB1615)/IF(INDEX(Contracts!$N$2:$N$151,$AB1615)="",12,INDEX(Contracts!$N$2:$N$151,$AB1615)),IF(INDEX(Contracts!$I$2:$I$151,$AB1615)="MONTHLY",INDEX(Contracts!$M$2:$M$151,$AB1615),0))*(1-N(INDEX(Contracts!$O$2:$O$151,$AB1615))),IF($Z1615="A",INDEX(Fixed_Assets!$H$2:$H$201,$AB1615)/INDEX(Fixed_Assets!$J$2:$J$201,$AB1615),IF($Z1615="F",INDEX(Workforce!$F$2:$F$151,MATCH(INDEX(FTE_Allocation!$A$2:$A$201,$AB1615),Workforce!$A$2:$A$151,0))*N(INDEX(FTE_Allocation!$F$2:$H$201,$AB1615,$AC1615)),"")))</f>
        <v/>
      </c>
    </row>
    <row r="1616">
      <c r="A1616" s="7">
        <f>IF($Z1616="","",$AD1616)</f>
        <v/>
      </c>
      <c r="B1616" s="7">
        <f>IF($Z1616="C",INDEX(Contracts!$D$2:$D$151,$AB1616)&amp;"",IF($Z1616="A",INDEX(Fixed_Assets!$C$2:$C$201,$AB1616)&amp;"",IF($Z1616="F",INDEX(Workforce!$B$2:$B$151,MATCH(INDEX(FTE_Allocation!$A$2:$A$201,$AB1616),Workforce!$A$2:$A$151,0))&amp;"","")))</f>
        <v/>
      </c>
      <c r="C1616" s="7">
        <f>IF($Z1616="C",INDEX(Contracts!$E$2:$E$151,$AB1616)&amp;"",IF($Z1616="A",INDEX(Fixed_Assets!$D$2:$D$201,$AB1616)&amp;"",IF($Z1616="F",INDEX(FTE_Allocation!$C$2:$C$201,$AB1616)&amp;"","")))</f>
        <v/>
      </c>
      <c r="D1616" s="7">
        <f>IF($Z1616="C",INDEX(Contracts!$B$2:$B$151,$AB1616)&amp;"",IF($Z1616="A",INDEX(Fixed_Assets!$B$2:$B$201,$AB1616)&amp;"",IF($Z1616="F",INDEX(FTE_Allocation!$B$2:$B$201,$AB1616)&amp;"","")))</f>
        <v/>
      </c>
      <c r="E1616" s="7">
        <f>IF($Z1616="C",INDEX(Contracts!$P$2:$P$151,$AB1616)&amp;"",IF($Z1616="A",INDEX(Fixed_Assets!$K$2:$K$201,$AB1616)&amp;"",IF($Z1616="F",IF(INDEX(FTE_Allocation!$D$2:$D$201,$AB1616)="PROJECT",IFERROR(INDEX(Projects!$D:$D,MATCH(INDEX(FTE_Allocation!$E$2:$E$201,$AB1616),Projects!$A:$A,0))&amp;"","#PROJECT?"),INDEX(FTE_Allocation!$E$2:$E$201,$AB1616)&amp;""),"")))</f>
        <v/>
      </c>
      <c r="F1616" s="7">
        <f>IF($Z1616="C",INDEX(Contracts!$Q$2:$Q$151,$AB1616)&amp;"",IF($Z1616="A",INDEX(Fixed_Assets!$L$2:$L$201,$AB1616)&amp;"",IF($Z1616="F",INDEX(Workforce!$K$2:$K$151,MATCH(INDEX(FTE_Allocation!$A$2:$A$201,$AB1616),Workforce!$A$2:$A$151,0))&amp;"","")))</f>
        <v/>
      </c>
      <c r="G1616" s="7">
        <f>IF($Z1616="C",INDEX(Contracts!$F$2:$F$151,$AB1616)&amp;" / "&amp;INDEX(Contracts!$G$2:$G$151,$AB1616),IF($Z1616="A",INDEX(Fixed_Assets!$E$2:$E$201,$AB1616)&amp;"",IF($Z1616="F","Personnel "&amp;INDEX(FTE_Allocation!$A$2:$A$201,$AB1616)&amp;IF(INDEX(FTE_Allocation!$D$2:$D$201,$AB1616)="PROJECT"," ("&amp;INDEX(FTE_Allocation!$E$2:$E$201,$AB1616)&amp;")",""),"")))</f>
        <v/>
      </c>
      <c r="H1616" s="7">
        <f>IF($Z1616="C","CONTRACT",IF($Z1616="A","ASSET",IF($Z1616="F","WORKFORCE","")))</f>
        <v/>
      </c>
      <c r="I1616" s="7">
        <f>IF($Z1616="C",INDEX(Contracts!$L$2:$L$151,$AB1616)&amp;"",IF($Z1616="A",INDEX(Fixed_Assets!$I$2:$I$201,$AB1616)&amp;"",IF($Z1616="F",INDEX(Workforce!$G$2:$G$151,MATCH(INDEX(FTE_Allocation!$A$2:$A$201,$AB1616),Workforce!$A$2:$A$151,0))&amp;"","")))</f>
        <v/>
      </c>
      <c r="J1616" s="18">
        <f>IF($Z1616="","",IF(AND(DATE($AD1616,1,1)&gt;=$AE1616,DATE($AD1616,1,1)&lt;=$AF1616),ROUND($AG1616,2),0))</f>
        <v/>
      </c>
      <c r="K1616" s="18">
        <f>IF($Z1616="","",IF(AND(DATE($AD1616,2,1)&gt;=$AE1616,DATE($AD1616,2,1)&lt;=$AF1616),ROUND($AG1616,2),0))</f>
        <v/>
      </c>
      <c r="L1616" s="18">
        <f>IF($Z1616="","",IF(AND(DATE($AD1616,3,1)&gt;=$AE1616,DATE($AD1616,3,1)&lt;=$AF1616),ROUND($AG1616,2),0))</f>
        <v/>
      </c>
      <c r="M1616" s="18">
        <f>IF($Z1616="","",IF(AND(DATE($AD1616,4,1)&gt;=$AE1616,DATE($AD1616,4,1)&lt;=$AF1616),ROUND($AG1616,2),0))</f>
        <v/>
      </c>
      <c r="N1616" s="18">
        <f>IF($Z1616="","",IF(AND(DATE($AD1616,5,1)&gt;=$AE1616,DATE($AD1616,5,1)&lt;=$AF1616),ROUND($AG1616,2),0))</f>
        <v/>
      </c>
      <c r="O1616" s="18">
        <f>IF($Z1616="","",IF(AND(DATE($AD1616,6,1)&gt;=$AE1616,DATE($AD1616,6,1)&lt;=$AF1616),ROUND($AG1616,2),0))</f>
        <v/>
      </c>
      <c r="P1616" s="18">
        <f>IF($Z1616="","",IF(AND(DATE($AD1616,7,1)&gt;=$AE1616,DATE($AD1616,7,1)&lt;=$AF1616),ROUND($AG1616,2),0))</f>
        <v/>
      </c>
      <c r="Q1616" s="18">
        <f>IF($Z1616="","",IF(AND(DATE($AD1616,8,1)&gt;=$AE1616,DATE($AD1616,8,1)&lt;=$AF1616),ROUND($AG1616,2),0))</f>
        <v/>
      </c>
      <c r="R1616" s="18">
        <f>IF($Z1616="","",IF(AND(DATE($AD1616,9,1)&gt;=$AE1616,DATE($AD1616,9,1)&lt;=$AF1616),ROUND($AG1616,2),0))</f>
        <v/>
      </c>
      <c r="S1616" s="18">
        <f>IF($Z1616="","",IF(AND(DATE($AD1616,10,1)&gt;=$AE1616,DATE($AD1616,10,1)&lt;=$AF1616),ROUND($AG1616,2),0))</f>
        <v/>
      </c>
      <c r="T1616" s="18">
        <f>IF($Z1616="","",IF(AND(DATE($AD1616,11,1)&gt;=$AE1616,DATE($AD1616,11,1)&lt;=$AF1616),ROUND($AG1616,2),0))</f>
        <v/>
      </c>
      <c r="U1616" s="18">
        <f>IF($Z1616="","",IF(AND(DATE($AD1616,12,1)&gt;=$AE1616,DATE($AD1616,12,1)&lt;=$AF1616),ROUND($AG1616,2),0))</f>
        <v/>
      </c>
      <c r="V1616" s="7">
        <f>IF($Z1616="C","Generated from "&amp;INDEX(Contracts!$A$2:$A$151,$AB1616),IF($Z1616="A","Generated from "&amp;INDEX(Fixed_Assets!$A$2:$A$201,$AB1616),IF($Z1616="F","Generated from "&amp;INDEX(FTE_Allocation!$A$2:$A$201,$AB1616),"")))</f>
        <v/>
      </c>
      <c r="X1616" s="19">
        <f>IF($Z1616="","",SUM(J1616:U1616))</f>
        <v/>
      </c>
      <c r="Y1616" s="20">
        <f>ROW()-1</f>
        <v/>
      </c>
      <c r="Z1616" s="20">
        <f>IF($Y1616&lt;=Settings!$B$4*3,"C",IF($Y1616&lt;=(Settings!$B$4+Settings!$B$5)*3,"A",IF($Y1616&lt;=(Settings!$B$4+Settings!$B$5+Settings!$B$6)*3,"F","")))</f>
        <v/>
      </c>
      <c r="AA1616" s="20">
        <f>IF($Z1616="C",$Y1616,IF($Z1616="A",$Y1616-Settings!$B$4*3,IF($Z1616="F",$Y1616-(Settings!$B$4+Settings!$B$5)*3,"")))</f>
        <v/>
      </c>
      <c r="AB1616" s="20">
        <f>IF($Z1616="","",INT(($AA1616-1)/3)+1)</f>
        <v/>
      </c>
      <c r="AC1616" s="20">
        <f>IF($Z1616="","",MOD($AA1616-1,3)+1)</f>
        <v/>
      </c>
      <c r="AD1616" s="20">
        <f>IF($Z1616="","",Settings!$B$2+$AC1616-1)</f>
        <v/>
      </c>
      <c r="AE1616" s="21">
        <f>IF($Z1616="C",DATE(YEAR(INDEX(Contracts!$J$2:$J$151,$AB1616)),MONTH(INDEX(Contracts!$J$2:$J$151,$AB1616)),1),IF($Z1616="A",DATE(YEAR(INDEX(Fixed_Assets!$G$2:$G$201,$AB1616)),MONTH(INDEX(Fixed_Assets!$G$2:$G$201,$AB1616)),1),IF($Z1616="F",DATE(YEAR(MAX(N(INDEX(Workforce!$I$2:$I$151,MATCH(INDEX(FTE_Allocation!$A$2:$A$201,$AB1616),Workforce!$A$2:$A$151,0))),N(INDEX(FTE_Allocation!$I$2:$I$201,$AB1616)))),MONTH(MAX(N(INDEX(Workforce!$I$2:$I$151,MATCH(INDEX(FTE_Allocation!$A$2:$A$201,$AB1616),Workforce!$A$2:$A$151,0))),N(INDEX(FTE_Allocation!$I$2:$I$201,$AB1616)))),1),"")))</f>
        <v/>
      </c>
      <c r="AF1616" s="21">
        <f>IF($Z1616="C",IF(INDEX(Contracts!$I$2:$I$151,$AB1616)="PREPAID",EDATE(DATE(YEAR(INDEX(Contracts!$J$2:$J$151,$AB1616)),MONTH(INDEX(Contracts!$J$2:$J$151,$AB1616)),1),IF(INDEX(Contracts!$N$2:$N$151,$AB1616)="",12,INDEX(Contracts!$N$2:$N$151,$AB1616))-1),IF(INDEX(Contracts!$I$2:$I$151,$AB1616)="MONTHLY",IF(INDEX(Contracts!$K$2:$K$151,$AB1616)="",2958101,INDEX(Contracts!$K$2:$K$151,$AB1616)),0)),IF($Z1616="A",EDATE(DATE(YEAR(INDEX(Fixed_Assets!$G$2:$G$201,$AB1616)),MONTH(INDEX(Fixed_Assets!$G$2:$G$201,$AB1616)),1),INDEX(Fixed_Assets!$J$2:$J$201,$AB1616)-1),IF($Z1616="F",MIN(IF(INDEX(Workforce!$J$2:$J$151,MATCH(INDEX(FTE_Allocation!$A$2:$A$201,$AB1616),Workforce!$A$2:$A$151,0))="",2958101,INDEX(Workforce!$J$2:$J$151,MATCH(INDEX(FTE_Allocation!$A$2:$A$201,$AB1616),Workforce!$A$2:$A$151,0))),IF(INDEX(FTE_Allocation!$J$2:$J$201,$AB1616)="",2958101,INDEX(FTE_Allocation!$J$2:$J$201,$AB1616))),"")))</f>
        <v/>
      </c>
      <c r="AG1616" s="19">
        <f>IF($Z1616="C",IF(INDEX(Contracts!$I$2:$I$151,$AB1616)="PREPAID",INDEX(Contracts!$M$2:$M$151,$AB1616)/IF(INDEX(Contracts!$N$2:$N$151,$AB1616)="",12,INDEX(Contracts!$N$2:$N$151,$AB1616)),IF(INDEX(Contracts!$I$2:$I$151,$AB1616)="MONTHLY",INDEX(Contracts!$M$2:$M$151,$AB1616),0))*(1-N(INDEX(Contracts!$O$2:$O$151,$AB1616))),IF($Z1616="A",INDEX(Fixed_Assets!$H$2:$H$201,$AB1616)/INDEX(Fixed_Assets!$J$2:$J$201,$AB1616),IF($Z1616="F",INDEX(Workforce!$F$2:$F$151,MATCH(INDEX(FTE_Allocation!$A$2:$A$201,$AB1616),Workforce!$A$2:$A$151,0))*N(INDEX(FTE_Allocation!$F$2:$H$201,$AB1616,$AC1616)),"")))</f>
        <v/>
      </c>
    </row>
    <row r="1617">
      <c r="A1617" s="7">
        <f>IF($Z1617="","",$AD1617)</f>
        <v/>
      </c>
      <c r="B1617" s="7">
        <f>IF($Z1617="C",INDEX(Contracts!$D$2:$D$151,$AB1617)&amp;"",IF($Z1617="A",INDEX(Fixed_Assets!$C$2:$C$201,$AB1617)&amp;"",IF($Z1617="F",INDEX(Workforce!$B$2:$B$151,MATCH(INDEX(FTE_Allocation!$A$2:$A$201,$AB1617),Workforce!$A$2:$A$151,0))&amp;"","")))</f>
        <v/>
      </c>
      <c r="C1617" s="7">
        <f>IF($Z1617="C",INDEX(Contracts!$E$2:$E$151,$AB1617)&amp;"",IF($Z1617="A",INDEX(Fixed_Assets!$D$2:$D$201,$AB1617)&amp;"",IF($Z1617="F",INDEX(FTE_Allocation!$C$2:$C$201,$AB1617)&amp;"","")))</f>
        <v/>
      </c>
      <c r="D1617" s="7">
        <f>IF($Z1617="C",INDEX(Contracts!$B$2:$B$151,$AB1617)&amp;"",IF($Z1617="A",INDEX(Fixed_Assets!$B$2:$B$201,$AB1617)&amp;"",IF($Z1617="F",INDEX(FTE_Allocation!$B$2:$B$201,$AB1617)&amp;"","")))</f>
        <v/>
      </c>
      <c r="E1617" s="7">
        <f>IF($Z1617="C",INDEX(Contracts!$P$2:$P$151,$AB1617)&amp;"",IF($Z1617="A",INDEX(Fixed_Assets!$K$2:$K$201,$AB1617)&amp;"",IF($Z1617="F",IF(INDEX(FTE_Allocation!$D$2:$D$201,$AB1617)="PROJECT",IFERROR(INDEX(Projects!$D:$D,MATCH(INDEX(FTE_Allocation!$E$2:$E$201,$AB1617),Projects!$A:$A,0))&amp;"","#PROJECT?"),INDEX(FTE_Allocation!$E$2:$E$201,$AB1617)&amp;""),"")))</f>
        <v/>
      </c>
      <c r="F1617" s="7">
        <f>IF($Z1617="C",INDEX(Contracts!$Q$2:$Q$151,$AB1617)&amp;"",IF($Z1617="A",INDEX(Fixed_Assets!$L$2:$L$201,$AB1617)&amp;"",IF($Z1617="F",INDEX(Workforce!$K$2:$K$151,MATCH(INDEX(FTE_Allocation!$A$2:$A$201,$AB1617),Workforce!$A$2:$A$151,0))&amp;"","")))</f>
        <v/>
      </c>
      <c r="G1617" s="7">
        <f>IF($Z1617="C",INDEX(Contracts!$F$2:$F$151,$AB1617)&amp;" / "&amp;INDEX(Contracts!$G$2:$G$151,$AB1617),IF($Z1617="A",INDEX(Fixed_Assets!$E$2:$E$201,$AB1617)&amp;"",IF($Z1617="F","Personnel "&amp;INDEX(FTE_Allocation!$A$2:$A$201,$AB1617)&amp;IF(INDEX(FTE_Allocation!$D$2:$D$201,$AB1617)="PROJECT"," ("&amp;INDEX(FTE_Allocation!$E$2:$E$201,$AB1617)&amp;")",""),"")))</f>
        <v/>
      </c>
      <c r="H1617" s="7">
        <f>IF($Z1617="C","CONTRACT",IF($Z1617="A","ASSET",IF($Z1617="F","WORKFORCE","")))</f>
        <v/>
      </c>
      <c r="I1617" s="7">
        <f>IF($Z1617="C",INDEX(Contracts!$L$2:$L$151,$AB1617)&amp;"",IF($Z1617="A",INDEX(Fixed_Assets!$I$2:$I$201,$AB1617)&amp;"",IF($Z1617="F",INDEX(Workforce!$G$2:$G$151,MATCH(INDEX(FTE_Allocation!$A$2:$A$201,$AB1617),Workforce!$A$2:$A$151,0))&amp;"","")))</f>
        <v/>
      </c>
      <c r="J1617" s="18">
        <f>IF($Z1617="","",IF(AND(DATE($AD1617,1,1)&gt;=$AE1617,DATE($AD1617,1,1)&lt;=$AF1617),ROUND($AG1617,2),0))</f>
        <v/>
      </c>
      <c r="K1617" s="18">
        <f>IF($Z1617="","",IF(AND(DATE($AD1617,2,1)&gt;=$AE1617,DATE($AD1617,2,1)&lt;=$AF1617),ROUND($AG1617,2),0))</f>
        <v/>
      </c>
      <c r="L1617" s="18">
        <f>IF($Z1617="","",IF(AND(DATE($AD1617,3,1)&gt;=$AE1617,DATE($AD1617,3,1)&lt;=$AF1617),ROUND($AG1617,2),0))</f>
        <v/>
      </c>
      <c r="M1617" s="18">
        <f>IF($Z1617="","",IF(AND(DATE($AD1617,4,1)&gt;=$AE1617,DATE($AD1617,4,1)&lt;=$AF1617),ROUND($AG1617,2),0))</f>
        <v/>
      </c>
      <c r="N1617" s="18">
        <f>IF($Z1617="","",IF(AND(DATE($AD1617,5,1)&gt;=$AE1617,DATE($AD1617,5,1)&lt;=$AF1617),ROUND($AG1617,2),0))</f>
        <v/>
      </c>
      <c r="O1617" s="18">
        <f>IF($Z1617="","",IF(AND(DATE($AD1617,6,1)&gt;=$AE1617,DATE($AD1617,6,1)&lt;=$AF1617),ROUND($AG1617,2),0))</f>
        <v/>
      </c>
      <c r="P1617" s="18">
        <f>IF($Z1617="","",IF(AND(DATE($AD1617,7,1)&gt;=$AE1617,DATE($AD1617,7,1)&lt;=$AF1617),ROUND($AG1617,2),0))</f>
        <v/>
      </c>
      <c r="Q1617" s="18">
        <f>IF($Z1617="","",IF(AND(DATE($AD1617,8,1)&gt;=$AE1617,DATE($AD1617,8,1)&lt;=$AF1617),ROUND($AG1617,2),0))</f>
        <v/>
      </c>
      <c r="R1617" s="18">
        <f>IF($Z1617="","",IF(AND(DATE($AD1617,9,1)&gt;=$AE1617,DATE($AD1617,9,1)&lt;=$AF1617),ROUND($AG1617,2),0))</f>
        <v/>
      </c>
      <c r="S1617" s="18">
        <f>IF($Z1617="","",IF(AND(DATE($AD1617,10,1)&gt;=$AE1617,DATE($AD1617,10,1)&lt;=$AF1617),ROUND($AG1617,2),0))</f>
        <v/>
      </c>
      <c r="T1617" s="18">
        <f>IF($Z1617="","",IF(AND(DATE($AD1617,11,1)&gt;=$AE1617,DATE($AD1617,11,1)&lt;=$AF1617),ROUND($AG1617,2),0))</f>
        <v/>
      </c>
      <c r="U1617" s="18">
        <f>IF($Z1617="","",IF(AND(DATE($AD1617,12,1)&gt;=$AE1617,DATE($AD1617,12,1)&lt;=$AF1617),ROUND($AG1617,2),0))</f>
        <v/>
      </c>
      <c r="V1617" s="7">
        <f>IF($Z1617="C","Generated from "&amp;INDEX(Contracts!$A$2:$A$151,$AB1617),IF($Z1617="A","Generated from "&amp;INDEX(Fixed_Assets!$A$2:$A$201,$AB1617),IF($Z1617="F","Generated from "&amp;INDEX(FTE_Allocation!$A$2:$A$201,$AB1617),"")))</f>
        <v/>
      </c>
      <c r="X1617" s="19">
        <f>IF($Z1617="","",SUM(J1617:U1617))</f>
        <v/>
      </c>
      <c r="Y1617" s="20">
        <f>ROW()-1</f>
        <v/>
      </c>
      <c r="Z1617" s="20">
        <f>IF($Y1617&lt;=Settings!$B$4*3,"C",IF($Y1617&lt;=(Settings!$B$4+Settings!$B$5)*3,"A",IF($Y1617&lt;=(Settings!$B$4+Settings!$B$5+Settings!$B$6)*3,"F","")))</f>
        <v/>
      </c>
      <c r="AA1617" s="20">
        <f>IF($Z1617="C",$Y1617,IF($Z1617="A",$Y1617-Settings!$B$4*3,IF($Z1617="F",$Y1617-(Settings!$B$4+Settings!$B$5)*3,"")))</f>
        <v/>
      </c>
      <c r="AB1617" s="20">
        <f>IF($Z1617="","",INT(($AA1617-1)/3)+1)</f>
        <v/>
      </c>
      <c r="AC1617" s="20">
        <f>IF($Z1617="","",MOD($AA1617-1,3)+1)</f>
        <v/>
      </c>
      <c r="AD1617" s="20">
        <f>IF($Z1617="","",Settings!$B$2+$AC1617-1)</f>
        <v/>
      </c>
      <c r="AE1617" s="21">
        <f>IF($Z1617="C",DATE(YEAR(INDEX(Contracts!$J$2:$J$151,$AB1617)),MONTH(INDEX(Contracts!$J$2:$J$151,$AB1617)),1),IF($Z1617="A",DATE(YEAR(INDEX(Fixed_Assets!$G$2:$G$201,$AB1617)),MONTH(INDEX(Fixed_Assets!$G$2:$G$201,$AB1617)),1),IF($Z1617="F",DATE(YEAR(MAX(N(INDEX(Workforce!$I$2:$I$151,MATCH(INDEX(FTE_Allocation!$A$2:$A$201,$AB1617),Workforce!$A$2:$A$151,0))),N(INDEX(FTE_Allocation!$I$2:$I$201,$AB1617)))),MONTH(MAX(N(INDEX(Workforce!$I$2:$I$151,MATCH(INDEX(FTE_Allocation!$A$2:$A$201,$AB1617),Workforce!$A$2:$A$151,0))),N(INDEX(FTE_Allocation!$I$2:$I$201,$AB1617)))),1),"")))</f>
        <v/>
      </c>
      <c r="AF1617" s="21">
        <f>IF($Z1617="C",IF(INDEX(Contracts!$I$2:$I$151,$AB1617)="PREPAID",EDATE(DATE(YEAR(INDEX(Contracts!$J$2:$J$151,$AB1617)),MONTH(INDEX(Contracts!$J$2:$J$151,$AB1617)),1),IF(INDEX(Contracts!$N$2:$N$151,$AB1617)="",12,INDEX(Contracts!$N$2:$N$151,$AB1617))-1),IF(INDEX(Contracts!$I$2:$I$151,$AB1617)="MONTHLY",IF(INDEX(Contracts!$K$2:$K$151,$AB1617)="",2958101,INDEX(Contracts!$K$2:$K$151,$AB1617)),0)),IF($Z1617="A",EDATE(DATE(YEAR(INDEX(Fixed_Assets!$G$2:$G$201,$AB1617)),MONTH(INDEX(Fixed_Assets!$G$2:$G$201,$AB1617)),1),INDEX(Fixed_Assets!$J$2:$J$201,$AB1617)-1),IF($Z1617="F",MIN(IF(INDEX(Workforce!$J$2:$J$151,MATCH(INDEX(FTE_Allocation!$A$2:$A$201,$AB1617),Workforce!$A$2:$A$151,0))="",2958101,INDEX(Workforce!$J$2:$J$151,MATCH(INDEX(FTE_Allocation!$A$2:$A$201,$AB1617),Workforce!$A$2:$A$151,0))),IF(INDEX(FTE_Allocation!$J$2:$J$201,$AB1617)="",2958101,INDEX(FTE_Allocation!$J$2:$J$201,$AB1617))),"")))</f>
        <v/>
      </c>
      <c r="AG1617" s="19">
        <f>IF($Z1617="C",IF(INDEX(Contracts!$I$2:$I$151,$AB1617)="PREPAID",INDEX(Contracts!$M$2:$M$151,$AB1617)/IF(INDEX(Contracts!$N$2:$N$151,$AB1617)="",12,INDEX(Contracts!$N$2:$N$151,$AB1617)),IF(INDEX(Contracts!$I$2:$I$151,$AB1617)="MONTHLY",INDEX(Contracts!$M$2:$M$151,$AB1617),0))*(1-N(INDEX(Contracts!$O$2:$O$151,$AB1617))),IF($Z1617="A",INDEX(Fixed_Assets!$H$2:$H$201,$AB1617)/INDEX(Fixed_Assets!$J$2:$J$201,$AB1617),IF($Z1617="F",INDEX(Workforce!$F$2:$F$151,MATCH(INDEX(FTE_Allocation!$A$2:$A$201,$AB1617),Workforce!$A$2:$A$151,0))*N(INDEX(FTE_Allocation!$F$2:$H$201,$AB1617,$AC1617)),"")))</f>
        <v/>
      </c>
    </row>
    <row r="1618">
      <c r="A1618" s="7">
        <f>IF($Z1618="","",$AD1618)</f>
        <v/>
      </c>
      <c r="B1618" s="7">
        <f>IF($Z1618="C",INDEX(Contracts!$D$2:$D$151,$AB1618)&amp;"",IF($Z1618="A",INDEX(Fixed_Assets!$C$2:$C$201,$AB1618)&amp;"",IF($Z1618="F",INDEX(Workforce!$B$2:$B$151,MATCH(INDEX(FTE_Allocation!$A$2:$A$201,$AB1618),Workforce!$A$2:$A$151,0))&amp;"","")))</f>
        <v/>
      </c>
      <c r="C1618" s="7">
        <f>IF($Z1618="C",INDEX(Contracts!$E$2:$E$151,$AB1618)&amp;"",IF($Z1618="A",INDEX(Fixed_Assets!$D$2:$D$201,$AB1618)&amp;"",IF($Z1618="F",INDEX(FTE_Allocation!$C$2:$C$201,$AB1618)&amp;"","")))</f>
        <v/>
      </c>
      <c r="D1618" s="7">
        <f>IF($Z1618="C",INDEX(Contracts!$B$2:$B$151,$AB1618)&amp;"",IF($Z1618="A",INDEX(Fixed_Assets!$B$2:$B$201,$AB1618)&amp;"",IF($Z1618="F",INDEX(FTE_Allocation!$B$2:$B$201,$AB1618)&amp;"","")))</f>
        <v/>
      </c>
      <c r="E1618" s="7">
        <f>IF($Z1618="C",INDEX(Contracts!$P$2:$P$151,$AB1618)&amp;"",IF($Z1618="A",INDEX(Fixed_Assets!$K$2:$K$201,$AB1618)&amp;"",IF($Z1618="F",IF(INDEX(FTE_Allocation!$D$2:$D$201,$AB1618)="PROJECT",IFERROR(INDEX(Projects!$D:$D,MATCH(INDEX(FTE_Allocation!$E$2:$E$201,$AB1618),Projects!$A:$A,0))&amp;"","#PROJECT?"),INDEX(FTE_Allocation!$E$2:$E$201,$AB1618)&amp;""),"")))</f>
        <v/>
      </c>
      <c r="F1618" s="7">
        <f>IF($Z1618="C",INDEX(Contracts!$Q$2:$Q$151,$AB1618)&amp;"",IF($Z1618="A",INDEX(Fixed_Assets!$L$2:$L$201,$AB1618)&amp;"",IF($Z1618="F",INDEX(Workforce!$K$2:$K$151,MATCH(INDEX(FTE_Allocation!$A$2:$A$201,$AB1618),Workforce!$A$2:$A$151,0))&amp;"","")))</f>
        <v/>
      </c>
      <c r="G1618" s="7">
        <f>IF($Z1618="C",INDEX(Contracts!$F$2:$F$151,$AB1618)&amp;" / "&amp;INDEX(Contracts!$G$2:$G$151,$AB1618),IF($Z1618="A",INDEX(Fixed_Assets!$E$2:$E$201,$AB1618)&amp;"",IF($Z1618="F","Personnel "&amp;INDEX(FTE_Allocation!$A$2:$A$201,$AB1618)&amp;IF(INDEX(FTE_Allocation!$D$2:$D$201,$AB1618)="PROJECT"," ("&amp;INDEX(FTE_Allocation!$E$2:$E$201,$AB1618)&amp;")",""),"")))</f>
        <v/>
      </c>
      <c r="H1618" s="7">
        <f>IF($Z1618="C","CONTRACT",IF($Z1618="A","ASSET",IF($Z1618="F","WORKFORCE","")))</f>
        <v/>
      </c>
      <c r="I1618" s="7">
        <f>IF($Z1618="C",INDEX(Contracts!$L$2:$L$151,$AB1618)&amp;"",IF($Z1618="A",INDEX(Fixed_Assets!$I$2:$I$201,$AB1618)&amp;"",IF($Z1618="F",INDEX(Workforce!$G$2:$G$151,MATCH(INDEX(FTE_Allocation!$A$2:$A$201,$AB1618),Workforce!$A$2:$A$151,0))&amp;"","")))</f>
        <v/>
      </c>
      <c r="J1618" s="18">
        <f>IF($Z1618="","",IF(AND(DATE($AD1618,1,1)&gt;=$AE1618,DATE($AD1618,1,1)&lt;=$AF1618),ROUND($AG1618,2),0))</f>
        <v/>
      </c>
      <c r="K1618" s="18">
        <f>IF($Z1618="","",IF(AND(DATE($AD1618,2,1)&gt;=$AE1618,DATE($AD1618,2,1)&lt;=$AF1618),ROUND($AG1618,2),0))</f>
        <v/>
      </c>
      <c r="L1618" s="18">
        <f>IF($Z1618="","",IF(AND(DATE($AD1618,3,1)&gt;=$AE1618,DATE($AD1618,3,1)&lt;=$AF1618),ROUND($AG1618,2),0))</f>
        <v/>
      </c>
      <c r="M1618" s="18">
        <f>IF($Z1618="","",IF(AND(DATE($AD1618,4,1)&gt;=$AE1618,DATE($AD1618,4,1)&lt;=$AF1618),ROUND($AG1618,2),0))</f>
        <v/>
      </c>
      <c r="N1618" s="18">
        <f>IF($Z1618="","",IF(AND(DATE($AD1618,5,1)&gt;=$AE1618,DATE($AD1618,5,1)&lt;=$AF1618),ROUND($AG1618,2),0))</f>
        <v/>
      </c>
      <c r="O1618" s="18">
        <f>IF($Z1618="","",IF(AND(DATE($AD1618,6,1)&gt;=$AE1618,DATE($AD1618,6,1)&lt;=$AF1618),ROUND($AG1618,2),0))</f>
        <v/>
      </c>
      <c r="P1618" s="18">
        <f>IF($Z1618="","",IF(AND(DATE($AD1618,7,1)&gt;=$AE1618,DATE($AD1618,7,1)&lt;=$AF1618),ROUND($AG1618,2),0))</f>
        <v/>
      </c>
      <c r="Q1618" s="18">
        <f>IF($Z1618="","",IF(AND(DATE($AD1618,8,1)&gt;=$AE1618,DATE($AD1618,8,1)&lt;=$AF1618),ROUND($AG1618,2),0))</f>
        <v/>
      </c>
      <c r="R1618" s="18">
        <f>IF($Z1618="","",IF(AND(DATE($AD1618,9,1)&gt;=$AE1618,DATE($AD1618,9,1)&lt;=$AF1618),ROUND($AG1618,2),0))</f>
        <v/>
      </c>
      <c r="S1618" s="18">
        <f>IF($Z1618="","",IF(AND(DATE($AD1618,10,1)&gt;=$AE1618,DATE($AD1618,10,1)&lt;=$AF1618),ROUND($AG1618,2),0))</f>
        <v/>
      </c>
      <c r="T1618" s="18">
        <f>IF($Z1618="","",IF(AND(DATE($AD1618,11,1)&gt;=$AE1618,DATE($AD1618,11,1)&lt;=$AF1618),ROUND($AG1618,2),0))</f>
        <v/>
      </c>
      <c r="U1618" s="18">
        <f>IF($Z1618="","",IF(AND(DATE($AD1618,12,1)&gt;=$AE1618,DATE($AD1618,12,1)&lt;=$AF1618),ROUND($AG1618,2),0))</f>
        <v/>
      </c>
      <c r="V1618" s="7">
        <f>IF($Z1618="C","Generated from "&amp;INDEX(Contracts!$A$2:$A$151,$AB1618),IF($Z1618="A","Generated from "&amp;INDEX(Fixed_Assets!$A$2:$A$201,$AB1618),IF($Z1618="F","Generated from "&amp;INDEX(FTE_Allocation!$A$2:$A$201,$AB1618),"")))</f>
        <v/>
      </c>
      <c r="X1618" s="19">
        <f>IF($Z1618="","",SUM(J1618:U1618))</f>
        <v/>
      </c>
      <c r="Y1618" s="20">
        <f>ROW()-1</f>
        <v/>
      </c>
      <c r="Z1618" s="20">
        <f>IF($Y1618&lt;=Settings!$B$4*3,"C",IF($Y1618&lt;=(Settings!$B$4+Settings!$B$5)*3,"A",IF($Y1618&lt;=(Settings!$B$4+Settings!$B$5+Settings!$B$6)*3,"F","")))</f>
        <v/>
      </c>
      <c r="AA1618" s="20">
        <f>IF($Z1618="C",$Y1618,IF($Z1618="A",$Y1618-Settings!$B$4*3,IF($Z1618="F",$Y1618-(Settings!$B$4+Settings!$B$5)*3,"")))</f>
        <v/>
      </c>
      <c r="AB1618" s="20">
        <f>IF($Z1618="","",INT(($AA1618-1)/3)+1)</f>
        <v/>
      </c>
      <c r="AC1618" s="20">
        <f>IF($Z1618="","",MOD($AA1618-1,3)+1)</f>
        <v/>
      </c>
      <c r="AD1618" s="20">
        <f>IF($Z1618="","",Settings!$B$2+$AC1618-1)</f>
        <v/>
      </c>
      <c r="AE1618" s="21">
        <f>IF($Z1618="C",DATE(YEAR(INDEX(Contracts!$J$2:$J$151,$AB1618)),MONTH(INDEX(Contracts!$J$2:$J$151,$AB1618)),1),IF($Z1618="A",DATE(YEAR(INDEX(Fixed_Assets!$G$2:$G$201,$AB1618)),MONTH(INDEX(Fixed_Assets!$G$2:$G$201,$AB1618)),1),IF($Z1618="F",DATE(YEAR(MAX(N(INDEX(Workforce!$I$2:$I$151,MATCH(INDEX(FTE_Allocation!$A$2:$A$201,$AB1618),Workforce!$A$2:$A$151,0))),N(INDEX(FTE_Allocation!$I$2:$I$201,$AB1618)))),MONTH(MAX(N(INDEX(Workforce!$I$2:$I$151,MATCH(INDEX(FTE_Allocation!$A$2:$A$201,$AB1618),Workforce!$A$2:$A$151,0))),N(INDEX(FTE_Allocation!$I$2:$I$201,$AB1618)))),1),"")))</f>
        <v/>
      </c>
      <c r="AF1618" s="21">
        <f>IF($Z1618="C",IF(INDEX(Contracts!$I$2:$I$151,$AB1618)="PREPAID",EDATE(DATE(YEAR(INDEX(Contracts!$J$2:$J$151,$AB1618)),MONTH(INDEX(Contracts!$J$2:$J$151,$AB1618)),1),IF(INDEX(Contracts!$N$2:$N$151,$AB1618)="",12,INDEX(Contracts!$N$2:$N$151,$AB1618))-1),IF(INDEX(Contracts!$I$2:$I$151,$AB1618)="MONTHLY",IF(INDEX(Contracts!$K$2:$K$151,$AB1618)="",2958101,INDEX(Contracts!$K$2:$K$151,$AB1618)),0)),IF($Z1618="A",EDATE(DATE(YEAR(INDEX(Fixed_Assets!$G$2:$G$201,$AB1618)),MONTH(INDEX(Fixed_Assets!$G$2:$G$201,$AB1618)),1),INDEX(Fixed_Assets!$J$2:$J$201,$AB1618)-1),IF($Z1618="F",MIN(IF(INDEX(Workforce!$J$2:$J$151,MATCH(INDEX(FTE_Allocation!$A$2:$A$201,$AB1618),Workforce!$A$2:$A$151,0))="",2958101,INDEX(Workforce!$J$2:$J$151,MATCH(INDEX(FTE_Allocation!$A$2:$A$201,$AB1618),Workforce!$A$2:$A$151,0))),IF(INDEX(FTE_Allocation!$J$2:$J$201,$AB1618)="",2958101,INDEX(FTE_Allocation!$J$2:$J$201,$AB1618))),"")))</f>
        <v/>
      </c>
      <c r="AG1618" s="19">
        <f>IF($Z1618="C",IF(INDEX(Contracts!$I$2:$I$151,$AB1618)="PREPAID",INDEX(Contracts!$M$2:$M$151,$AB1618)/IF(INDEX(Contracts!$N$2:$N$151,$AB1618)="",12,INDEX(Contracts!$N$2:$N$151,$AB1618)),IF(INDEX(Contracts!$I$2:$I$151,$AB1618)="MONTHLY",INDEX(Contracts!$M$2:$M$151,$AB1618),0))*(1-N(INDEX(Contracts!$O$2:$O$151,$AB1618))),IF($Z1618="A",INDEX(Fixed_Assets!$H$2:$H$201,$AB1618)/INDEX(Fixed_Assets!$J$2:$J$201,$AB1618),IF($Z1618="F",INDEX(Workforce!$F$2:$F$151,MATCH(INDEX(FTE_Allocation!$A$2:$A$201,$AB1618),Workforce!$A$2:$A$151,0))*N(INDEX(FTE_Allocation!$F$2:$H$201,$AB1618,$AC1618)),"")))</f>
        <v/>
      </c>
    </row>
    <row r="1619">
      <c r="A1619" s="7">
        <f>IF($Z1619="","",$AD1619)</f>
        <v/>
      </c>
      <c r="B1619" s="7">
        <f>IF($Z1619="C",INDEX(Contracts!$D$2:$D$151,$AB1619)&amp;"",IF($Z1619="A",INDEX(Fixed_Assets!$C$2:$C$201,$AB1619)&amp;"",IF($Z1619="F",INDEX(Workforce!$B$2:$B$151,MATCH(INDEX(FTE_Allocation!$A$2:$A$201,$AB1619),Workforce!$A$2:$A$151,0))&amp;"","")))</f>
        <v/>
      </c>
      <c r="C1619" s="7">
        <f>IF($Z1619="C",INDEX(Contracts!$E$2:$E$151,$AB1619)&amp;"",IF($Z1619="A",INDEX(Fixed_Assets!$D$2:$D$201,$AB1619)&amp;"",IF($Z1619="F",INDEX(FTE_Allocation!$C$2:$C$201,$AB1619)&amp;"","")))</f>
        <v/>
      </c>
      <c r="D1619" s="7">
        <f>IF($Z1619="C",INDEX(Contracts!$B$2:$B$151,$AB1619)&amp;"",IF($Z1619="A",INDEX(Fixed_Assets!$B$2:$B$201,$AB1619)&amp;"",IF($Z1619="F",INDEX(FTE_Allocation!$B$2:$B$201,$AB1619)&amp;"","")))</f>
        <v/>
      </c>
      <c r="E1619" s="7">
        <f>IF($Z1619="C",INDEX(Contracts!$P$2:$P$151,$AB1619)&amp;"",IF($Z1619="A",INDEX(Fixed_Assets!$K$2:$K$201,$AB1619)&amp;"",IF($Z1619="F",IF(INDEX(FTE_Allocation!$D$2:$D$201,$AB1619)="PROJECT",IFERROR(INDEX(Projects!$D:$D,MATCH(INDEX(FTE_Allocation!$E$2:$E$201,$AB1619),Projects!$A:$A,0))&amp;"","#PROJECT?"),INDEX(FTE_Allocation!$E$2:$E$201,$AB1619)&amp;""),"")))</f>
        <v/>
      </c>
      <c r="F1619" s="7">
        <f>IF($Z1619="C",INDEX(Contracts!$Q$2:$Q$151,$AB1619)&amp;"",IF($Z1619="A",INDEX(Fixed_Assets!$L$2:$L$201,$AB1619)&amp;"",IF($Z1619="F",INDEX(Workforce!$K$2:$K$151,MATCH(INDEX(FTE_Allocation!$A$2:$A$201,$AB1619),Workforce!$A$2:$A$151,0))&amp;"","")))</f>
        <v/>
      </c>
      <c r="G1619" s="7">
        <f>IF($Z1619="C",INDEX(Contracts!$F$2:$F$151,$AB1619)&amp;" / "&amp;INDEX(Contracts!$G$2:$G$151,$AB1619),IF($Z1619="A",INDEX(Fixed_Assets!$E$2:$E$201,$AB1619)&amp;"",IF($Z1619="F","Personnel "&amp;INDEX(FTE_Allocation!$A$2:$A$201,$AB1619)&amp;IF(INDEX(FTE_Allocation!$D$2:$D$201,$AB1619)="PROJECT"," ("&amp;INDEX(FTE_Allocation!$E$2:$E$201,$AB1619)&amp;")",""),"")))</f>
        <v/>
      </c>
      <c r="H1619" s="7">
        <f>IF($Z1619="C","CONTRACT",IF($Z1619="A","ASSET",IF($Z1619="F","WORKFORCE","")))</f>
        <v/>
      </c>
      <c r="I1619" s="7">
        <f>IF($Z1619="C",INDEX(Contracts!$L$2:$L$151,$AB1619)&amp;"",IF($Z1619="A",INDEX(Fixed_Assets!$I$2:$I$201,$AB1619)&amp;"",IF($Z1619="F",INDEX(Workforce!$G$2:$G$151,MATCH(INDEX(FTE_Allocation!$A$2:$A$201,$AB1619),Workforce!$A$2:$A$151,0))&amp;"","")))</f>
        <v/>
      </c>
      <c r="J1619" s="18">
        <f>IF($Z1619="","",IF(AND(DATE($AD1619,1,1)&gt;=$AE1619,DATE($AD1619,1,1)&lt;=$AF1619),ROUND($AG1619,2),0))</f>
        <v/>
      </c>
      <c r="K1619" s="18">
        <f>IF($Z1619="","",IF(AND(DATE($AD1619,2,1)&gt;=$AE1619,DATE($AD1619,2,1)&lt;=$AF1619),ROUND($AG1619,2),0))</f>
        <v/>
      </c>
      <c r="L1619" s="18">
        <f>IF($Z1619="","",IF(AND(DATE($AD1619,3,1)&gt;=$AE1619,DATE($AD1619,3,1)&lt;=$AF1619),ROUND($AG1619,2),0))</f>
        <v/>
      </c>
      <c r="M1619" s="18">
        <f>IF($Z1619="","",IF(AND(DATE($AD1619,4,1)&gt;=$AE1619,DATE($AD1619,4,1)&lt;=$AF1619),ROUND($AG1619,2),0))</f>
        <v/>
      </c>
      <c r="N1619" s="18">
        <f>IF($Z1619="","",IF(AND(DATE($AD1619,5,1)&gt;=$AE1619,DATE($AD1619,5,1)&lt;=$AF1619),ROUND($AG1619,2),0))</f>
        <v/>
      </c>
      <c r="O1619" s="18">
        <f>IF($Z1619="","",IF(AND(DATE($AD1619,6,1)&gt;=$AE1619,DATE($AD1619,6,1)&lt;=$AF1619),ROUND($AG1619,2),0))</f>
        <v/>
      </c>
      <c r="P1619" s="18">
        <f>IF($Z1619="","",IF(AND(DATE($AD1619,7,1)&gt;=$AE1619,DATE($AD1619,7,1)&lt;=$AF1619),ROUND($AG1619,2),0))</f>
        <v/>
      </c>
      <c r="Q1619" s="18">
        <f>IF($Z1619="","",IF(AND(DATE($AD1619,8,1)&gt;=$AE1619,DATE($AD1619,8,1)&lt;=$AF1619),ROUND($AG1619,2),0))</f>
        <v/>
      </c>
      <c r="R1619" s="18">
        <f>IF($Z1619="","",IF(AND(DATE($AD1619,9,1)&gt;=$AE1619,DATE($AD1619,9,1)&lt;=$AF1619),ROUND($AG1619,2),0))</f>
        <v/>
      </c>
      <c r="S1619" s="18">
        <f>IF($Z1619="","",IF(AND(DATE($AD1619,10,1)&gt;=$AE1619,DATE($AD1619,10,1)&lt;=$AF1619),ROUND($AG1619,2),0))</f>
        <v/>
      </c>
      <c r="T1619" s="18">
        <f>IF($Z1619="","",IF(AND(DATE($AD1619,11,1)&gt;=$AE1619,DATE($AD1619,11,1)&lt;=$AF1619),ROUND($AG1619,2),0))</f>
        <v/>
      </c>
      <c r="U1619" s="18">
        <f>IF($Z1619="","",IF(AND(DATE($AD1619,12,1)&gt;=$AE1619,DATE($AD1619,12,1)&lt;=$AF1619),ROUND($AG1619,2),0))</f>
        <v/>
      </c>
      <c r="V1619" s="7">
        <f>IF($Z1619="C","Generated from "&amp;INDEX(Contracts!$A$2:$A$151,$AB1619),IF($Z1619="A","Generated from "&amp;INDEX(Fixed_Assets!$A$2:$A$201,$AB1619),IF($Z1619="F","Generated from "&amp;INDEX(FTE_Allocation!$A$2:$A$201,$AB1619),"")))</f>
        <v/>
      </c>
      <c r="X1619" s="19">
        <f>IF($Z1619="","",SUM(J1619:U1619))</f>
        <v/>
      </c>
      <c r="Y1619" s="20">
        <f>ROW()-1</f>
        <v/>
      </c>
      <c r="Z1619" s="20">
        <f>IF($Y1619&lt;=Settings!$B$4*3,"C",IF($Y1619&lt;=(Settings!$B$4+Settings!$B$5)*3,"A",IF($Y1619&lt;=(Settings!$B$4+Settings!$B$5+Settings!$B$6)*3,"F","")))</f>
        <v/>
      </c>
      <c r="AA1619" s="20">
        <f>IF($Z1619="C",$Y1619,IF($Z1619="A",$Y1619-Settings!$B$4*3,IF($Z1619="F",$Y1619-(Settings!$B$4+Settings!$B$5)*3,"")))</f>
        <v/>
      </c>
      <c r="AB1619" s="20">
        <f>IF($Z1619="","",INT(($AA1619-1)/3)+1)</f>
        <v/>
      </c>
      <c r="AC1619" s="20">
        <f>IF($Z1619="","",MOD($AA1619-1,3)+1)</f>
        <v/>
      </c>
      <c r="AD1619" s="20">
        <f>IF($Z1619="","",Settings!$B$2+$AC1619-1)</f>
        <v/>
      </c>
      <c r="AE1619" s="21">
        <f>IF($Z1619="C",DATE(YEAR(INDEX(Contracts!$J$2:$J$151,$AB1619)),MONTH(INDEX(Contracts!$J$2:$J$151,$AB1619)),1),IF($Z1619="A",DATE(YEAR(INDEX(Fixed_Assets!$G$2:$G$201,$AB1619)),MONTH(INDEX(Fixed_Assets!$G$2:$G$201,$AB1619)),1),IF($Z1619="F",DATE(YEAR(MAX(N(INDEX(Workforce!$I$2:$I$151,MATCH(INDEX(FTE_Allocation!$A$2:$A$201,$AB1619),Workforce!$A$2:$A$151,0))),N(INDEX(FTE_Allocation!$I$2:$I$201,$AB1619)))),MONTH(MAX(N(INDEX(Workforce!$I$2:$I$151,MATCH(INDEX(FTE_Allocation!$A$2:$A$201,$AB1619),Workforce!$A$2:$A$151,0))),N(INDEX(FTE_Allocation!$I$2:$I$201,$AB1619)))),1),"")))</f>
        <v/>
      </c>
      <c r="AF1619" s="21">
        <f>IF($Z1619="C",IF(INDEX(Contracts!$I$2:$I$151,$AB1619)="PREPAID",EDATE(DATE(YEAR(INDEX(Contracts!$J$2:$J$151,$AB1619)),MONTH(INDEX(Contracts!$J$2:$J$151,$AB1619)),1),IF(INDEX(Contracts!$N$2:$N$151,$AB1619)="",12,INDEX(Contracts!$N$2:$N$151,$AB1619))-1),IF(INDEX(Contracts!$I$2:$I$151,$AB1619)="MONTHLY",IF(INDEX(Contracts!$K$2:$K$151,$AB1619)="",2958101,INDEX(Contracts!$K$2:$K$151,$AB1619)),0)),IF($Z1619="A",EDATE(DATE(YEAR(INDEX(Fixed_Assets!$G$2:$G$201,$AB1619)),MONTH(INDEX(Fixed_Assets!$G$2:$G$201,$AB1619)),1),INDEX(Fixed_Assets!$J$2:$J$201,$AB1619)-1),IF($Z1619="F",MIN(IF(INDEX(Workforce!$J$2:$J$151,MATCH(INDEX(FTE_Allocation!$A$2:$A$201,$AB1619),Workforce!$A$2:$A$151,0))="",2958101,INDEX(Workforce!$J$2:$J$151,MATCH(INDEX(FTE_Allocation!$A$2:$A$201,$AB1619),Workforce!$A$2:$A$151,0))),IF(INDEX(FTE_Allocation!$J$2:$J$201,$AB1619)="",2958101,INDEX(FTE_Allocation!$J$2:$J$201,$AB1619))),"")))</f>
        <v/>
      </c>
      <c r="AG1619" s="19">
        <f>IF($Z1619="C",IF(INDEX(Contracts!$I$2:$I$151,$AB1619)="PREPAID",INDEX(Contracts!$M$2:$M$151,$AB1619)/IF(INDEX(Contracts!$N$2:$N$151,$AB1619)="",12,INDEX(Contracts!$N$2:$N$151,$AB1619)),IF(INDEX(Contracts!$I$2:$I$151,$AB1619)="MONTHLY",INDEX(Contracts!$M$2:$M$151,$AB1619),0))*(1-N(INDEX(Contracts!$O$2:$O$151,$AB1619))),IF($Z1619="A",INDEX(Fixed_Assets!$H$2:$H$201,$AB1619)/INDEX(Fixed_Assets!$J$2:$J$201,$AB1619),IF($Z1619="F",INDEX(Workforce!$F$2:$F$151,MATCH(INDEX(FTE_Allocation!$A$2:$A$201,$AB1619),Workforce!$A$2:$A$151,0))*N(INDEX(FTE_Allocation!$F$2:$H$201,$AB1619,$AC1619)),"")))</f>
        <v/>
      </c>
    </row>
    <row r="1620">
      <c r="A1620" s="7">
        <f>IF($Z1620="","",$AD1620)</f>
        <v/>
      </c>
      <c r="B1620" s="7">
        <f>IF($Z1620="C",INDEX(Contracts!$D$2:$D$151,$AB1620)&amp;"",IF($Z1620="A",INDEX(Fixed_Assets!$C$2:$C$201,$AB1620)&amp;"",IF($Z1620="F",INDEX(Workforce!$B$2:$B$151,MATCH(INDEX(FTE_Allocation!$A$2:$A$201,$AB1620),Workforce!$A$2:$A$151,0))&amp;"","")))</f>
        <v/>
      </c>
      <c r="C1620" s="7">
        <f>IF($Z1620="C",INDEX(Contracts!$E$2:$E$151,$AB1620)&amp;"",IF($Z1620="A",INDEX(Fixed_Assets!$D$2:$D$201,$AB1620)&amp;"",IF($Z1620="F",INDEX(FTE_Allocation!$C$2:$C$201,$AB1620)&amp;"","")))</f>
        <v/>
      </c>
      <c r="D1620" s="7">
        <f>IF($Z1620="C",INDEX(Contracts!$B$2:$B$151,$AB1620)&amp;"",IF($Z1620="A",INDEX(Fixed_Assets!$B$2:$B$201,$AB1620)&amp;"",IF($Z1620="F",INDEX(FTE_Allocation!$B$2:$B$201,$AB1620)&amp;"","")))</f>
        <v/>
      </c>
      <c r="E1620" s="7">
        <f>IF($Z1620="C",INDEX(Contracts!$P$2:$P$151,$AB1620)&amp;"",IF($Z1620="A",INDEX(Fixed_Assets!$K$2:$K$201,$AB1620)&amp;"",IF($Z1620="F",IF(INDEX(FTE_Allocation!$D$2:$D$201,$AB1620)="PROJECT",IFERROR(INDEX(Projects!$D:$D,MATCH(INDEX(FTE_Allocation!$E$2:$E$201,$AB1620),Projects!$A:$A,0))&amp;"","#PROJECT?"),INDEX(FTE_Allocation!$E$2:$E$201,$AB1620)&amp;""),"")))</f>
        <v/>
      </c>
      <c r="F1620" s="7">
        <f>IF($Z1620="C",INDEX(Contracts!$Q$2:$Q$151,$AB1620)&amp;"",IF($Z1620="A",INDEX(Fixed_Assets!$L$2:$L$201,$AB1620)&amp;"",IF($Z1620="F",INDEX(Workforce!$K$2:$K$151,MATCH(INDEX(FTE_Allocation!$A$2:$A$201,$AB1620),Workforce!$A$2:$A$151,0))&amp;"","")))</f>
        <v/>
      </c>
      <c r="G1620" s="7">
        <f>IF($Z1620="C",INDEX(Contracts!$F$2:$F$151,$AB1620)&amp;" / "&amp;INDEX(Contracts!$G$2:$G$151,$AB1620),IF($Z1620="A",INDEX(Fixed_Assets!$E$2:$E$201,$AB1620)&amp;"",IF($Z1620="F","Personnel "&amp;INDEX(FTE_Allocation!$A$2:$A$201,$AB1620)&amp;IF(INDEX(FTE_Allocation!$D$2:$D$201,$AB1620)="PROJECT"," ("&amp;INDEX(FTE_Allocation!$E$2:$E$201,$AB1620)&amp;")",""),"")))</f>
        <v/>
      </c>
      <c r="H1620" s="7">
        <f>IF($Z1620="C","CONTRACT",IF($Z1620="A","ASSET",IF($Z1620="F","WORKFORCE","")))</f>
        <v/>
      </c>
      <c r="I1620" s="7">
        <f>IF($Z1620="C",INDEX(Contracts!$L$2:$L$151,$AB1620)&amp;"",IF($Z1620="A",INDEX(Fixed_Assets!$I$2:$I$201,$AB1620)&amp;"",IF($Z1620="F",INDEX(Workforce!$G$2:$G$151,MATCH(INDEX(FTE_Allocation!$A$2:$A$201,$AB1620),Workforce!$A$2:$A$151,0))&amp;"","")))</f>
        <v/>
      </c>
      <c r="J1620" s="18">
        <f>IF($Z1620="","",IF(AND(DATE($AD1620,1,1)&gt;=$AE1620,DATE($AD1620,1,1)&lt;=$AF1620),ROUND($AG1620,2),0))</f>
        <v/>
      </c>
      <c r="K1620" s="18">
        <f>IF($Z1620="","",IF(AND(DATE($AD1620,2,1)&gt;=$AE1620,DATE($AD1620,2,1)&lt;=$AF1620),ROUND($AG1620,2),0))</f>
        <v/>
      </c>
      <c r="L1620" s="18">
        <f>IF($Z1620="","",IF(AND(DATE($AD1620,3,1)&gt;=$AE1620,DATE($AD1620,3,1)&lt;=$AF1620),ROUND($AG1620,2),0))</f>
        <v/>
      </c>
      <c r="M1620" s="18">
        <f>IF($Z1620="","",IF(AND(DATE($AD1620,4,1)&gt;=$AE1620,DATE($AD1620,4,1)&lt;=$AF1620),ROUND($AG1620,2),0))</f>
        <v/>
      </c>
      <c r="N1620" s="18">
        <f>IF($Z1620="","",IF(AND(DATE($AD1620,5,1)&gt;=$AE1620,DATE($AD1620,5,1)&lt;=$AF1620),ROUND($AG1620,2),0))</f>
        <v/>
      </c>
      <c r="O1620" s="18">
        <f>IF($Z1620="","",IF(AND(DATE($AD1620,6,1)&gt;=$AE1620,DATE($AD1620,6,1)&lt;=$AF1620),ROUND($AG1620,2),0))</f>
        <v/>
      </c>
      <c r="P1620" s="18">
        <f>IF($Z1620="","",IF(AND(DATE($AD1620,7,1)&gt;=$AE1620,DATE($AD1620,7,1)&lt;=$AF1620),ROUND($AG1620,2),0))</f>
        <v/>
      </c>
      <c r="Q1620" s="18">
        <f>IF($Z1620="","",IF(AND(DATE($AD1620,8,1)&gt;=$AE1620,DATE($AD1620,8,1)&lt;=$AF1620),ROUND($AG1620,2),0))</f>
        <v/>
      </c>
      <c r="R1620" s="18">
        <f>IF($Z1620="","",IF(AND(DATE($AD1620,9,1)&gt;=$AE1620,DATE($AD1620,9,1)&lt;=$AF1620),ROUND($AG1620,2),0))</f>
        <v/>
      </c>
      <c r="S1620" s="18">
        <f>IF($Z1620="","",IF(AND(DATE($AD1620,10,1)&gt;=$AE1620,DATE($AD1620,10,1)&lt;=$AF1620),ROUND($AG1620,2),0))</f>
        <v/>
      </c>
      <c r="T1620" s="18">
        <f>IF($Z1620="","",IF(AND(DATE($AD1620,11,1)&gt;=$AE1620,DATE($AD1620,11,1)&lt;=$AF1620),ROUND($AG1620,2),0))</f>
        <v/>
      </c>
      <c r="U1620" s="18">
        <f>IF($Z1620="","",IF(AND(DATE($AD1620,12,1)&gt;=$AE1620,DATE($AD1620,12,1)&lt;=$AF1620),ROUND($AG1620,2),0))</f>
        <v/>
      </c>
      <c r="V1620" s="7">
        <f>IF($Z1620="C","Generated from "&amp;INDEX(Contracts!$A$2:$A$151,$AB1620),IF($Z1620="A","Generated from "&amp;INDEX(Fixed_Assets!$A$2:$A$201,$AB1620),IF($Z1620="F","Generated from "&amp;INDEX(FTE_Allocation!$A$2:$A$201,$AB1620),"")))</f>
        <v/>
      </c>
      <c r="X1620" s="19">
        <f>IF($Z1620="","",SUM(J1620:U1620))</f>
        <v/>
      </c>
      <c r="Y1620" s="20">
        <f>ROW()-1</f>
        <v/>
      </c>
      <c r="Z1620" s="20">
        <f>IF($Y1620&lt;=Settings!$B$4*3,"C",IF($Y1620&lt;=(Settings!$B$4+Settings!$B$5)*3,"A",IF($Y1620&lt;=(Settings!$B$4+Settings!$B$5+Settings!$B$6)*3,"F","")))</f>
        <v/>
      </c>
      <c r="AA1620" s="20">
        <f>IF($Z1620="C",$Y1620,IF($Z1620="A",$Y1620-Settings!$B$4*3,IF($Z1620="F",$Y1620-(Settings!$B$4+Settings!$B$5)*3,"")))</f>
        <v/>
      </c>
      <c r="AB1620" s="20">
        <f>IF($Z1620="","",INT(($AA1620-1)/3)+1)</f>
        <v/>
      </c>
      <c r="AC1620" s="20">
        <f>IF($Z1620="","",MOD($AA1620-1,3)+1)</f>
        <v/>
      </c>
      <c r="AD1620" s="20">
        <f>IF($Z1620="","",Settings!$B$2+$AC1620-1)</f>
        <v/>
      </c>
      <c r="AE1620" s="21">
        <f>IF($Z1620="C",DATE(YEAR(INDEX(Contracts!$J$2:$J$151,$AB1620)),MONTH(INDEX(Contracts!$J$2:$J$151,$AB1620)),1),IF($Z1620="A",DATE(YEAR(INDEX(Fixed_Assets!$G$2:$G$201,$AB1620)),MONTH(INDEX(Fixed_Assets!$G$2:$G$201,$AB1620)),1),IF($Z1620="F",DATE(YEAR(MAX(N(INDEX(Workforce!$I$2:$I$151,MATCH(INDEX(FTE_Allocation!$A$2:$A$201,$AB1620),Workforce!$A$2:$A$151,0))),N(INDEX(FTE_Allocation!$I$2:$I$201,$AB1620)))),MONTH(MAX(N(INDEX(Workforce!$I$2:$I$151,MATCH(INDEX(FTE_Allocation!$A$2:$A$201,$AB1620),Workforce!$A$2:$A$151,0))),N(INDEX(FTE_Allocation!$I$2:$I$201,$AB1620)))),1),"")))</f>
        <v/>
      </c>
      <c r="AF1620" s="21">
        <f>IF($Z1620="C",IF(INDEX(Contracts!$I$2:$I$151,$AB1620)="PREPAID",EDATE(DATE(YEAR(INDEX(Contracts!$J$2:$J$151,$AB1620)),MONTH(INDEX(Contracts!$J$2:$J$151,$AB1620)),1),IF(INDEX(Contracts!$N$2:$N$151,$AB1620)="",12,INDEX(Contracts!$N$2:$N$151,$AB1620))-1),IF(INDEX(Contracts!$I$2:$I$151,$AB1620)="MONTHLY",IF(INDEX(Contracts!$K$2:$K$151,$AB1620)="",2958101,INDEX(Contracts!$K$2:$K$151,$AB1620)),0)),IF($Z1620="A",EDATE(DATE(YEAR(INDEX(Fixed_Assets!$G$2:$G$201,$AB1620)),MONTH(INDEX(Fixed_Assets!$G$2:$G$201,$AB1620)),1),INDEX(Fixed_Assets!$J$2:$J$201,$AB1620)-1),IF($Z1620="F",MIN(IF(INDEX(Workforce!$J$2:$J$151,MATCH(INDEX(FTE_Allocation!$A$2:$A$201,$AB1620),Workforce!$A$2:$A$151,0))="",2958101,INDEX(Workforce!$J$2:$J$151,MATCH(INDEX(FTE_Allocation!$A$2:$A$201,$AB1620),Workforce!$A$2:$A$151,0))),IF(INDEX(FTE_Allocation!$J$2:$J$201,$AB1620)="",2958101,INDEX(FTE_Allocation!$J$2:$J$201,$AB1620))),"")))</f>
        <v/>
      </c>
      <c r="AG1620" s="19">
        <f>IF($Z1620="C",IF(INDEX(Contracts!$I$2:$I$151,$AB1620)="PREPAID",INDEX(Contracts!$M$2:$M$151,$AB1620)/IF(INDEX(Contracts!$N$2:$N$151,$AB1620)="",12,INDEX(Contracts!$N$2:$N$151,$AB1620)),IF(INDEX(Contracts!$I$2:$I$151,$AB1620)="MONTHLY",INDEX(Contracts!$M$2:$M$151,$AB1620),0))*(1-N(INDEX(Contracts!$O$2:$O$151,$AB1620))),IF($Z1620="A",INDEX(Fixed_Assets!$H$2:$H$201,$AB1620)/INDEX(Fixed_Assets!$J$2:$J$201,$AB1620),IF($Z1620="F",INDEX(Workforce!$F$2:$F$151,MATCH(INDEX(FTE_Allocation!$A$2:$A$201,$AB1620),Workforce!$A$2:$A$151,0))*N(INDEX(FTE_Allocation!$F$2:$H$201,$AB1620,$AC1620)),"")))</f>
        <v/>
      </c>
    </row>
    <row r="1621">
      <c r="A1621" s="7">
        <f>IF($Z1621="","",$AD1621)</f>
        <v/>
      </c>
      <c r="B1621" s="7">
        <f>IF($Z1621="C",INDEX(Contracts!$D$2:$D$151,$AB1621)&amp;"",IF($Z1621="A",INDEX(Fixed_Assets!$C$2:$C$201,$AB1621)&amp;"",IF($Z1621="F",INDEX(Workforce!$B$2:$B$151,MATCH(INDEX(FTE_Allocation!$A$2:$A$201,$AB1621),Workforce!$A$2:$A$151,0))&amp;"","")))</f>
        <v/>
      </c>
      <c r="C1621" s="7">
        <f>IF($Z1621="C",INDEX(Contracts!$E$2:$E$151,$AB1621)&amp;"",IF($Z1621="A",INDEX(Fixed_Assets!$D$2:$D$201,$AB1621)&amp;"",IF($Z1621="F",INDEX(FTE_Allocation!$C$2:$C$201,$AB1621)&amp;"","")))</f>
        <v/>
      </c>
      <c r="D1621" s="7">
        <f>IF($Z1621="C",INDEX(Contracts!$B$2:$B$151,$AB1621)&amp;"",IF($Z1621="A",INDEX(Fixed_Assets!$B$2:$B$201,$AB1621)&amp;"",IF($Z1621="F",INDEX(FTE_Allocation!$B$2:$B$201,$AB1621)&amp;"","")))</f>
        <v/>
      </c>
      <c r="E1621" s="7">
        <f>IF($Z1621="C",INDEX(Contracts!$P$2:$P$151,$AB1621)&amp;"",IF($Z1621="A",INDEX(Fixed_Assets!$K$2:$K$201,$AB1621)&amp;"",IF($Z1621="F",IF(INDEX(FTE_Allocation!$D$2:$D$201,$AB1621)="PROJECT",IFERROR(INDEX(Projects!$D:$D,MATCH(INDEX(FTE_Allocation!$E$2:$E$201,$AB1621),Projects!$A:$A,0))&amp;"","#PROJECT?"),INDEX(FTE_Allocation!$E$2:$E$201,$AB1621)&amp;""),"")))</f>
        <v/>
      </c>
      <c r="F1621" s="7">
        <f>IF($Z1621="C",INDEX(Contracts!$Q$2:$Q$151,$AB1621)&amp;"",IF($Z1621="A",INDEX(Fixed_Assets!$L$2:$L$201,$AB1621)&amp;"",IF($Z1621="F",INDEX(Workforce!$K$2:$K$151,MATCH(INDEX(FTE_Allocation!$A$2:$A$201,$AB1621),Workforce!$A$2:$A$151,0))&amp;"","")))</f>
        <v/>
      </c>
      <c r="G1621" s="7">
        <f>IF($Z1621="C",INDEX(Contracts!$F$2:$F$151,$AB1621)&amp;" / "&amp;INDEX(Contracts!$G$2:$G$151,$AB1621),IF($Z1621="A",INDEX(Fixed_Assets!$E$2:$E$201,$AB1621)&amp;"",IF($Z1621="F","Personnel "&amp;INDEX(FTE_Allocation!$A$2:$A$201,$AB1621)&amp;IF(INDEX(FTE_Allocation!$D$2:$D$201,$AB1621)="PROJECT"," ("&amp;INDEX(FTE_Allocation!$E$2:$E$201,$AB1621)&amp;")",""),"")))</f>
        <v/>
      </c>
      <c r="H1621" s="7">
        <f>IF($Z1621="C","CONTRACT",IF($Z1621="A","ASSET",IF($Z1621="F","WORKFORCE","")))</f>
        <v/>
      </c>
      <c r="I1621" s="7">
        <f>IF($Z1621="C",INDEX(Contracts!$L$2:$L$151,$AB1621)&amp;"",IF($Z1621="A",INDEX(Fixed_Assets!$I$2:$I$201,$AB1621)&amp;"",IF($Z1621="F",INDEX(Workforce!$G$2:$G$151,MATCH(INDEX(FTE_Allocation!$A$2:$A$201,$AB1621),Workforce!$A$2:$A$151,0))&amp;"","")))</f>
        <v/>
      </c>
      <c r="J1621" s="18">
        <f>IF($Z1621="","",IF(AND(DATE($AD1621,1,1)&gt;=$AE1621,DATE($AD1621,1,1)&lt;=$AF1621),ROUND($AG1621,2),0))</f>
        <v/>
      </c>
      <c r="K1621" s="18">
        <f>IF($Z1621="","",IF(AND(DATE($AD1621,2,1)&gt;=$AE1621,DATE($AD1621,2,1)&lt;=$AF1621),ROUND($AG1621,2),0))</f>
        <v/>
      </c>
      <c r="L1621" s="18">
        <f>IF($Z1621="","",IF(AND(DATE($AD1621,3,1)&gt;=$AE1621,DATE($AD1621,3,1)&lt;=$AF1621),ROUND($AG1621,2),0))</f>
        <v/>
      </c>
      <c r="M1621" s="18">
        <f>IF($Z1621="","",IF(AND(DATE($AD1621,4,1)&gt;=$AE1621,DATE($AD1621,4,1)&lt;=$AF1621),ROUND($AG1621,2),0))</f>
        <v/>
      </c>
      <c r="N1621" s="18">
        <f>IF($Z1621="","",IF(AND(DATE($AD1621,5,1)&gt;=$AE1621,DATE($AD1621,5,1)&lt;=$AF1621),ROUND($AG1621,2),0))</f>
        <v/>
      </c>
      <c r="O1621" s="18">
        <f>IF($Z1621="","",IF(AND(DATE($AD1621,6,1)&gt;=$AE1621,DATE($AD1621,6,1)&lt;=$AF1621),ROUND($AG1621,2),0))</f>
        <v/>
      </c>
      <c r="P1621" s="18">
        <f>IF($Z1621="","",IF(AND(DATE($AD1621,7,1)&gt;=$AE1621,DATE($AD1621,7,1)&lt;=$AF1621),ROUND($AG1621,2),0))</f>
        <v/>
      </c>
      <c r="Q1621" s="18">
        <f>IF($Z1621="","",IF(AND(DATE($AD1621,8,1)&gt;=$AE1621,DATE($AD1621,8,1)&lt;=$AF1621),ROUND($AG1621,2),0))</f>
        <v/>
      </c>
      <c r="R1621" s="18">
        <f>IF($Z1621="","",IF(AND(DATE($AD1621,9,1)&gt;=$AE1621,DATE($AD1621,9,1)&lt;=$AF1621),ROUND($AG1621,2),0))</f>
        <v/>
      </c>
      <c r="S1621" s="18">
        <f>IF($Z1621="","",IF(AND(DATE($AD1621,10,1)&gt;=$AE1621,DATE($AD1621,10,1)&lt;=$AF1621),ROUND($AG1621,2),0))</f>
        <v/>
      </c>
      <c r="T1621" s="18">
        <f>IF($Z1621="","",IF(AND(DATE($AD1621,11,1)&gt;=$AE1621,DATE($AD1621,11,1)&lt;=$AF1621),ROUND($AG1621,2),0))</f>
        <v/>
      </c>
      <c r="U1621" s="18">
        <f>IF($Z1621="","",IF(AND(DATE($AD1621,12,1)&gt;=$AE1621,DATE($AD1621,12,1)&lt;=$AF1621),ROUND($AG1621,2),0))</f>
        <v/>
      </c>
      <c r="V1621" s="7">
        <f>IF($Z1621="C","Generated from "&amp;INDEX(Contracts!$A$2:$A$151,$AB1621),IF($Z1621="A","Generated from "&amp;INDEX(Fixed_Assets!$A$2:$A$201,$AB1621),IF($Z1621="F","Generated from "&amp;INDEX(FTE_Allocation!$A$2:$A$201,$AB1621),"")))</f>
        <v/>
      </c>
      <c r="X1621" s="19">
        <f>IF($Z1621="","",SUM(J1621:U1621))</f>
        <v/>
      </c>
      <c r="Y1621" s="20">
        <f>ROW()-1</f>
        <v/>
      </c>
      <c r="Z1621" s="20">
        <f>IF($Y1621&lt;=Settings!$B$4*3,"C",IF($Y1621&lt;=(Settings!$B$4+Settings!$B$5)*3,"A",IF($Y1621&lt;=(Settings!$B$4+Settings!$B$5+Settings!$B$6)*3,"F","")))</f>
        <v/>
      </c>
      <c r="AA1621" s="20">
        <f>IF($Z1621="C",$Y1621,IF($Z1621="A",$Y1621-Settings!$B$4*3,IF($Z1621="F",$Y1621-(Settings!$B$4+Settings!$B$5)*3,"")))</f>
        <v/>
      </c>
      <c r="AB1621" s="20">
        <f>IF($Z1621="","",INT(($AA1621-1)/3)+1)</f>
        <v/>
      </c>
      <c r="AC1621" s="20">
        <f>IF($Z1621="","",MOD($AA1621-1,3)+1)</f>
        <v/>
      </c>
      <c r="AD1621" s="20">
        <f>IF($Z1621="","",Settings!$B$2+$AC1621-1)</f>
        <v/>
      </c>
      <c r="AE1621" s="21">
        <f>IF($Z1621="C",DATE(YEAR(INDEX(Contracts!$J$2:$J$151,$AB1621)),MONTH(INDEX(Contracts!$J$2:$J$151,$AB1621)),1),IF($Z1621="A",DATE(YEAR(INDEX(Fixed_Assets!$G$2:$G$201,$AB1621)),MONTH(INDEX(Fixed_Assets!$G$2:$G$201,$AB1621)),1),IF($Z1621="F",DATE(YEAR(MAX(N(INDEX(Workforce!$I$2:$I$151,MATCH(INDEX(FTE_Allocation!$A$2:$A$201,$AB1621),Workforce!$A$2:$A$151,0))),N(INDEX(FTE_Allocation!$I$2:$I$201,$AB1621)))),MONTH(MAX(N(INDEX(Workforce!$I$2:$I$151,MATCH(INDEX(FTE_Allocation!$A$2:$A$201,$AB1621),Workforce!$A$2:$A$151,0))),N(INDEX(FTE_Allocation!$I$2:$I$201,$AB1621)))),1),"")))</f>
        <v/>
      </c>
      <c r="AF1621" s="21">
        <f>IF($Z1621="C",IF(INDEX(Contracts!$I$2:$I$151,$AB1621)="PREPAID",EDATE(DATE(YEAR(INDEX(Contracts!$J$2:$J$151,$AB1621)),MONTH(INDEX(Contracts!$J$2:$J$151,$AB1621)),1),IF(INDEX(Contracts!$N$2:$N$151,$AB1621)="",12,INDEX(Contracts!$N$2:$N$151,$AB1621))-1),IF(INDEX(Contracts!$I$2:$I$151,$AB1621)="MONTHLY",IF(INDEX(Contracts!$K$2:$K$151,$AB1621)="",2958101,INDEX(Contracts!$K$2:$K$151,$AB1621)),0)),IF($Z1621="A",EDATE(DATE(YEAR(INDEX(Fixed_Assets!$G$2:$G$201,$AB1621)),MONTH(INDEX(Fixed_Assets!$G$2:$G$201,$AB1621)),1),INDEX(Fixed_Assets!$J$2:$J$201,$AB1621)-1),IF($Z1621="F",MIN(IF(INDEX(Workforce!$J$2:$J$151,MATCH(INDEX(FTE_Allocation!$A$2:$A$201,$AB1621),Workforce!$A$2:$A$151,0))="",2958101,INDEX(Workforce!$J$2:$J$151,MATCH(INDEX(FTE_Allocation!$A$2:$A$201,$AB1621),Workforce!$A$2:$A$151,0))),IF(INDEX(FTE_Allocation!$J$2:$J$201,$AB1621)="",2958101,INDEX(FTE_Allocation!$J$2:$J$201,$AB1621))),"")))</f>
        <v/>
      </c>
      <c r="AG1621" s="19">
        <f>IF($Z1621="C",IF(INDEX(Contracts!$I$2:$I$151,$AB1621)="PREPAID",INDEX(Contracts!$M$2:$M$151,$AB1621)/IF(INDEX(Contracts!$N$2:$N$151,$AB1621)="",12,INDEX(Contracts!$N$2:$N$151,$AB1621)),IF(INDEX(Contracts!$I$2:$I$151,$AB1621)="MONTHLY",INDEX(Contracts!$M$2:$M$151,$AB1621),0))*(1-N(INDEX(Contracts!$O$2:$O$151,$AB1621))),IF($Z1621="A",INDEX(Fixed_Assets!$H$2:$H$201,$AB1621)/INDEX(Fixed_Assets!$J$2:$J$201,$AB1621),IF($Z1621="F",INDEX(Workforce!$F$2:$F$151,MATCH(INDEX(FTE_Allocation!$A$2:$A$201,$AB1621),Workforce!$A$2:$A$151,0))*N(INDEX(FTE_Allocation!$F$2:$H$201,$AB1621,$AC1621)),"")))</f>
        <v/>
      </c>
    </row>
    <row r="1622">
      <c r="A1622" s="7">
        <f>IF($Z1622="","",$AD1622)</f>
        <v/>
      </c>
      <c r="B1622" s="7">
        <f>IF($Z1622="C",INDEX(Contracts!$D$2:$D$151,$AB1622)&amp;"",IF($Z1622="A",INDEX(Fixed_Assets!$C$2:$C$201,$AB1622)&amp;"",IF($Z1622="F",INDEX(Workforce!$B$2:$B$151,MATCH(INDEX(FTE_Allocation!$A$2:$A$201,$AB1622),Workforce!$A$2:$A$151,0))&amp;"","")))</f>
        <v/>
      </c>
      <c r="C1622" s="7">
        <f>IF($Z1622="C",INDEX(Contracts!$E$2:$E$151,$AB1622)&amp;"",IF($Z1622="A",INDEX(Fixed_Assets!$D$2:$D$201,$AB1622)&amp;"",IF($Z1622="F",INDEX(FTE_Allocation!$C$2:$C$201,$AB1622)&amp;"","")))</f>
        <v/>
      </c>
      <c r="D1622" s="7">
        <f>IF($Z1622="C",INDEX(Contracts!$B$2:$B$151,$AB1622)&amp;"",IF($Z1622="A",INDEX(Fixed_Assets!$B$2:$B$201,$AB1622)&amp;"",IF($Z1622="F",INDEX(FTE_Allocation!$B$2:$B$201,$AB1622)&amp;"","")))</f>
        <v/>
      </c>
      <c r="E1622" s="7">
        <f>IF($Z1622="C",INDEX(Contracts!$P$2:$P$151,$AB1622)&amp;"",IF($Z1622="A",INDEX(Fixed_Assets!$K$2:$K$201,$AB1622)&amp;"",IF($Z1622="F",IF(INDEX(FTE_Allocation!$D$2:$D$201,$AB1622)="PROJECT",IFERROR(INDEX(Projects!$D:$D,MATCH(INDEX(FTE_Allocation!$E$2:$E$201,$AB1622),Projects!$A:$A,0))&amp;"","#PROJECT?"),INDEX(FTE_Allocation!$E$2:$E$201,$AB1622)&amp;""),"")))</f>
        <v/>
      </c>
      <c r="F1622" s="7">
        <f>IF($Z1622="C",INDEX(Contracts!$Q$2:$Q$151,$AB1622)&amp;"",IF($Z1622="A",INDEX(Fixed_Assets!$L$2:$L$201,$AB1622)&amp;"",IF($Z1622="F",INDEX(Workforce!$K$2:$K$151,MATCH(INDEX(FTE_Allocation!$A$2:$A$201,$AB1622),Workforce!$A$2:$A$151,0))&amp;"","")))</f>
        <v/>
      </c>
      <c r="G1622" s="7">
        <f>IF($Z1622="C",INDEX(Contracts!$F$2:$F$151,$AB1622)&amp;" / "&amp;INDEX(Contracts!$G$2:$G$151,$AB1622),IF($Z1622="A",INDEX(Fixed_Assets!$E$2:$E$201,$AB1622)&amp;"",IF($Z1622="F","Personnel "&amp;INDEX(FTE_Allocation!$A$2:$A$201,$AB1622)&amp;IF(INDEX(FTE_Allocation!$D$2:$D$201,$AB1622)="PROJECT"," ("&amp;INDEX(FTE_Allocation!$E$2:$E$201,$AB1622)&amp;")",""),"")))</f>
        <v/>
      </c>
      <c r="H1622" s="7">
        <f>IF($Z1622="C","CONTRACT",IF($Z1622="A","ASSET",IF($Z1622="F","WORKFORCE","")))</f>
        <v/>
      </c>
      <c r="I1622" s="7">
        <f>IF($Z1622="C",INDEX(Contracts!$L$2:$L$151,$AB1622)&amp;"",IF($Z1622="A",INDEX(Fixed_Assets!$I$2:$I$201,$AB1622)&amp;"",IF($Z1622="F",INDEX(Workforce!$G$2:$G$151,MATCH(INDEX(FTE_Allocation!$A$2:$A$201,$AB1622),Workforce!$A$2:$A$151,0))&amp;"","")))</f>
        <v/>
      </c>
      <c r="J1622" s="18">
        <f>IF($Z1622="","",IF(AND(DATE($AD1622,1,1)&gt;=$AE1622,DATE($AD1622,1,1)&lt;=$AF1622),ROUND($AG1622,2),0))</f>
        <v/>
      </c>
      <c r="K1622" s="18">
        <f>IF($Z1622="","",IF(AND(DATE($AD1622,2,1)&gt;=$AE1622,DATE($AD1622,2,1)&lt;=$AF1622),ROUND($AG1622,2),0))</f>
        <v/>
      </c>
      <c r="L1622" s="18">
        <f>IF($Z1622="","",IF(AND(DATE($AD1622,3,1)&gt;=$AE1622,DATE($AD1622,3,1)&lt;=$AF1622),ROUND($AG1622,2),0))</f>
        <v/>
      </c>
      <c r="M1622" s="18">
        <f>IF($Z1622="","",IF(AND(DATE($AD1622,4,1)&gt;=$AE1622,DATE($AD1622,4,1)&lt;=$AF1622),ROUND($AG1622,2),0))</f>
        <v/>
      </c>
      <c r="N1622" s="18">
        <f>IF($Z1622="","",IF(AND(DATE($AD1622,5,1)&gt;=$AE1622,DATE($AD1622,5,1)&lt;=$AF1622),ROUND($AG1622,2),0))</f>
        <v/>
      </c>
      <c r="O1622" s="18">
        <f>IF($Z1622="","",IF(AND(DATE($AD1622,6,1)&gt;=$AE1622,DATE($AD1622,6,1)&lt;=$AF1622),ROUND($AG1622,2),0))</f>
        <v/>
      </c>
      <c r="P1622" s="18">
        <f>IF($Z1622="","",IF(AND(DATE($AD1622,7,1)&gt;=$AE1622,DATE($AD1622,7,1)&lt;=$AF1622),ROUND($AG1622,2),0))</f>
        <v/>
      </c>
      <c r="Q1622" s="18">
        <f>IF($Z1622="","",IF(AND(DATE($AD1622,8,1)&gt;=$AE1622,DATE($AD1622,8,1)&lt;=$AF1622),ROUND($AG1622,2),0))</f>
        <v/>
      </c>
      <c r="R1622" s="18">
        <f>IF($Z1622="","",IF(AND(DATE($AD1622,9,1)&gt;=$AE1622,DATE($AD1622,9,1)&lt;=$AF1622),ROUND($AG1622,2),0))</f>
        <v/>
      </c>
      <c r="S1622" s="18">
        <f>IF($Z1622="","",IF(AND(DATE($AD1622,10,1)&gt;=$AE1622,DATE($AD1622,10,1)&lt;=$AF1622),ROUND($AG1622,2),0))</f>
        <v/>
      </c>
      <c r="T1622" s="18">
        <f>IF($Z1622="","",IF(AND(DATE($AD1622,11,1)&gt;=$AE1622,DATE($AD1622,11,1)&lt;=$AF1622),ROUND($AG1622,2),0))</f>
        <v/>
      </c>
      <c r="U1622" s="18">
        <f>IF($Z1622="","",IF(AND(DATE($AD1622,12,1)&gt;=$AE1622,DATE($AD1622,12,1)&lt;=$AF1622),ROUND($AG1622,2),0))</f>
        <v/>
      </c>
      <c r="V1622" s="7">
        <f>IF($Z1622="C","Generated from "&amp;INDEX(Contracts!$A$2:$A$151,$AB1622),IF($Z1622="A","Generated from "&amp;INDEX(Fixed_Assets!$A$2:$A$201,$AB1622),IF($Z1622="F","Generated from "&amp;INDEX(FTE_Allocation!$A$2:$A$201,$AB1622),"")))</f>
        <v/>
      </c>
      <c r="X1622" s="19">
        <f>IF($Z1622="","",SUM(J1622:U1622))</f>
        <v/>
      </c>
      <c r="Y1622" s="20">
        <f>ROW()-1</f>
        <v/>
      </c>
      <c r="Z1622" s="20">
        <f>IF($Y1622&lt;=Settings!$B$4*3,"C",IF($Y1622&lt;=(Settings!$B$4+Settings!$B$5)*3,"A",IF($Y1622&lt;=(Settings!$B$4+Settings!$B$5+Settings!$B$6)*3,"F","")))</f>
        <v/>
      </c>
      <c r="AA1622" s="20">
        <f>IF($Z1622="C",$Y1622,IF($Z1622="A",$Y1622-Settings!$B$4*3,IF($Z1622="F",$Y1622-(Settings!$B$4+Settings!$B$5)*3,"")))</f>
        <v/>
      </c>
      <c r="AB1622" s="20">
        <f>IF($Z1622="","",INT(($AA1622-1)/3)+1)</f>
        <v/>
      </c>
      <c r="AC1622" s="20">
        <f>IF($Z1622="","",MOD($AA1622-1,3)+1)</f>
        <v/>
      </c>
      <c r="AD1622" s="20">
        <f>IF($Z1622="","",Settings!$B$2+$AC1622-1)</f>
        <v/>
      </c>
      <c r="AE1622" s="21">
        <f>IF($Z1622="C",DATE(YEAR(INDEX(Contracts!$J$2:$J$151,$AB1622)),MONTH(INDEX(Contracts!$J$2:$J$151,$AB1622)),1),IF($Z1622="A",DATE(YEAR(INDEX(Fixed_Assets!$G$2:$G$201,$AB1622)),MONTH(INDEX(Fixed_Assets!$G$2:$G$201,$AB1622)),1),IF($Z1622="F",DATE(YEAR(MAX(N(INDEX(Workforce!$I$2:$I$151,MATCH(INDEX(FTE_Allocation!$A$2:$A$201,$AB1622),Workforce!$A$2:$A$151,0))),N(INDEX(FTE_Allocation!$I$2:$I$201,$AB1622)))),MONTH(MAX(N(INDEX(Workforce!$I$2:$I$151,MATCH(INDEX(FTE_Allocation!$A$2:$A$201,$AB1622),Workforce!$A$2:$A$151,0))),N(INDEX(FTE_Allocation!$I$2:$I$201,$AB1622)))),1),"")))</f>
        <v/>
      </c>
      <c r="AF1622" s="21">
        <f>IF($Z1622="C",IF(INDEX(Contracts!$I$2:$I$151,$AB1622)="PREPAID",EDATE(DATE(YEAR(INDEX(Contracts!$J$2:$J$151,$AB1622)),MONTH(INDEX(Contracts!$J$2:$J$151,$AB1622)),1),IF(INDEX(Contracts!$N$2:$N$151,$AB1622)="",12,INDEX(Contracts!$N$2:$N$151,$AB1622))-1),IF(INDEX(Contracts!$I$2:$I$151,$AB1622)="MONTHLY",IF(INDEX(Contracts!$K$2:$K$151,$AB1622)="",2958101,INDEX(Contracts!$K$2:$K$151,$AB1622)),0)),IF($Z1622="A",EDATE(DATE(YEAR(INDEX(Fixed_Assets!$G$2:$G$201,$AB1622)),MONTH(INDEX(Fixed_Assets!$G$2:$G$201,$AB1622)),1),INDEX(Fixed_Assets!$J$2:$J$201,$AB1622)-1),IF($Z1622="F",MIN(IF(INDEX(Workforce!$J$2:$J$151,MATCH(INDEX(FTE_Allocation!$A$2:$A$201,$AB1622),Workforce!$A$2:$A$151,0))="",2958101,INDEX(Workforce!$J$2:$J$151,MATCH(INDEX(FTE_Allocation!$A$2:$A$201,$AB1622),Workforce!$A$2:$A$151,0))),IF(INDEX(FTE_Allocation!$J$2:$J$201,$AB1622)="",2958101,INDEX(FTE_Allocation!$J$2:$J$201,$AB1622))),"")))</f>
        <v/>
      </c>
      <c r="AG1622" s="19">
        <f>IF($Z1622="C",IF(INDEX(Contracts!$I$2:$I$151,$AB1622)="PREPAID",INDEX(Contracts!$M$2:$M$151,$AB1622)/IF(INDEX(Contracts!$N$2:$N$151,$AB1622)="",12,INDEX(Contracts!$N$2:$N$151,$AB1622)),IF(INDEX(Contracts!$I$2:$I$151,$AB1622)="MONTHLY",INDEX(Contracts!$M$2:$M$151,$AB1622),0))*(1-N(INDEX(Contracts!$O$2:$O$151,$AB1622))),IF($Z1622="A",INDEX(Fixed_Assets!$H$2:$H$201,$AB1622)/INDEX(Fixed_Assets!$J$2:$J$201,$AB1622),IF($Z1622="F",INDEX(Workforce!$F$2:$F$151,MATCH(INDEX(FTE_Allocation!$A$2:$A$201,$AB1622),Workforce!$A$2:$A$151,0))*N(INDEX(FTE_Allocation!$F$2:$H$201,$AB1622,$AC1622)),"")))</f>
        <v/>
      </c>
    </row>
    <row r="1623">
      <c r="A1623" s="7">
        <f>IF($Z1623="","",$AD1623)</f>
        <v/>
      </c>
      <c r="B1623" s="7">
        <f>IF($Z1623="C",INDEX(Contracts!$D$2:$D$151,$AB1623)&amp;"",IF($Z1623="A",INDEX(Fixed_Assets!$C$2:$C$201,$AB1623)&amp;"",IF($Z1623="F",INDEX(Workforce!$B$2:$B$151,MATCH(INDEX(FTE_Allocation!$A$2:$A$201,$AB1623),Workforce!$A$2:$A$151,0))&amp;"","")))</f>
        <v/>
      </c>
      <c r="C1623" s="7">
        <f>IF($Z1623="C",INDEX(Contracts!$E$2:$E$151,$AB1623)&amp;"",IF($Z1623="A",INDEX(Fixed_Assets!$D$2:$D$201,$AB1623)&amp;"",IF($Z1623="F",INDEX(FTE_Allocation!$C$2:$C$201,$AB1623)&amp;"","")))</f>
        <v/>
      </c>
      <c r="D1623" s="7">
        <f>IF($Z1623="C",INDEX(Contracts!$B$2:$B$151,$AB1623)&amp;"",IF($Z1623="A",INDEX(Fixed_Assets!$B$2:$B$201,$AB1623)&amp;"",IF($Z1623="F",INDEX(FTE_Allocation!$B$2:$B$201,$AB1623)&amp;"","")))</f>
        <v/>
      </c>
      <c r="E1623" s="7">
        <f>IF($Z1623="C",INDEX(Contracts!$P$2:$P$151,$AB1623)&amp;"",IF($Z1623="A",INDEX(Fixed_Assets!$K$2:$K$201,$AB1623)&amp;"",IF($Z1623="F",IF(INDEX(FTE_Allocation!$D$2:$D$201,$AB1623)="PROJECT",IFERROR(INDEX(Projects!$D:$D,MATCH(INDEX(FTE_Allocation!$E$2:$E$201,$AB1623),Projects!$A:$A,0))&amp;"","#PROJECT?"),INDEX(FTE_Allocation!$E$2:$E$201,$AB1623)&amp;""),"")))</f>
        <v/>
      </c>
      <c r="F1623" s="7">
        <f>IF($Z1623="C",INDEX(Contracts!$Q$2:$Q$151,$AB1623)&amp;"",IF($Z1623="A",INDEX(Fixed_Assets!$L$2:$L$201,$AB1623)&amp;"",IF($Z1623="F",INDEX(Workforce!$K$2:$K$151,MATCH(INDEX(FTE_Allocation!$A$2:$A$201,$AB1623),Workforce!$A$2:$A$151,0))&amp;"","")))</f>
        <v/>
      </c>
      <c r="G1623" s="7">
        <f>IF($Z1623="C",INDEX(Contracts!$F$2:$F$151,$AB1623)&amp;" / "&amp;INDEX(Contracts!$G$2:$G$151,$AB1623),IF($Z1623="A",INDEX(Fixed_Assets!$E$2:$E$201,$AB1623)&amp;"",IF($Z1623="F","Personnel "&amp;INDEX(FTE_Allocation!$A$2:$A$201,$AB1623)&amp;IF(INDEX(FTE_Allocation!$D$2:$D$201,$AB1623)="PROJECT"," ("&amp;INDEX(FTE_Allocation!$E$2:$E$201,$AB1623)&amp;")",""),"")))</f>
        <v/>
      </c>
      <c r="H1623" s="7">
        <f>IF($Z1623="C","CONTRACT",IF($Z1623="A","ASSET",IF($Z1623="F","WORKFORCE","")))</f>
        <v/>
      </c>
      <c r="I1623" s="7">
        <f>IF($Z1623="C",INDEX(Contracts!$L$2:$L$151,$AB1623)&amp;"",IF($Z1623="A",INDEX(Fixed_Assets!$I$2:$I$201,$AB1623)&amp;"",IF($Z1623="F",INDEX(Workforce!$G$2:$G$151,MATCH(INDEX(FTE_Allocation!$A$2:$A$201,$AB1623),Workforce!$A$2:$A$151,0))&amp;"","")))</f>
        <v/>
      </c>
      <c r="J1623" s="18">
        <f>IF($Z1623="","",IF(AND(DATE($AD1623,1,1)&gt;=$AE1623,DATE($AD1623,1,1)&lt;=$AF1623),ROUND($AG1623,2),0))</f>
        <v/>
      </c>
      <c r="K1623" s="18">
        <f>IF($Z1623="","",IF(AND(DATE($AD1623,2,1)&gt;=$AE1623,DATE($AD1623,2,1)&lt;=$AF1623),ROUND($AG1623,2),0))</f>
        <v/>
      </c>
      <c r="L1623" s="18">
        <f>IF($Z1623="","",IF(AND(DATE($AD1623,3,1)&gt;=$AE1623,DATE($AD1623,3,1)&lt;=$AF1623),ROUND($AG1623,2),0))</f>
        <v/>
      </c>
      <c r="M1623" s="18">
        <f>IF($Z1623="","",IF(AND(DATE($AD1623,4,1)&gt;=$AE1623,DATE($AD1623,4,1)&lt;=$AF1623),ROUND($AG1623,2),0))</f>
        <v/>
      </c>
      <c r="N1623" s="18">
        <f>IF($Z1623="","",IF(AND(DATE($AD1623,5,1)&gt;=$AE1623,DATE($AD1623,5,1)&lt;=$AF1623),ROUND($AG1623,2),0))</f>
        <v/>
      </c>
      <c r="O1623" s="18">
        <f>IF($Z1623="","",IF(AND(DATE($AD1623,6,1)&gt;=$AE1623,DATE($AD1623,6,1)&lt;=$AF1623),ROUND($AG1623,2),0))</f>
        <v/>
      </c>
      <c r="P1623" s="18">
        <f>IF($Z1623="","",IF(AND(DATE($AD1623,7,1)&gt;=$AE1623,DATE($AD1623,7,1)&lt;=$AF1623),ROUND($AG1623,2),0))</f>
        <v/>
      </c>
      <c r="Q1623" s="18">
        <f>IF($Z1623="","",IF(AND(DATE($AD1623,8,1)&gt;=$AE1623,DATE($AD1623,8,1)&lt;=$AF1623),ROUND($AG1623,2),0))</f>
        <v/>
      </c>
      <c r="R1623" s="18">
        <f>IF($Z1623="","",IF(AND(DATE($AD1623,9,1)&gt;=$AE1623,DATE($AD1623,9,1)&lt;=$AF1623),ROUND($AG1623,2),0))</f>
        <v/>
      </c>
      <c r="S1623" s="18">
        <f>IF($Z1623="","",IF(AND(DATE($AD1623,10,1)&gt;=$AE1623,DATE($AD1623,10,1)&lt;=$AF1623),ROUND($AG1623,2),0))</f>
        <v/>
      </c>
      <c r="T1623" s="18">
        <f>IF($Z1623="","",IF(AND(DATE($AD1623,11,1)&gt;=$AE1623,DATE($AD1623,11,1)&lt;=$AF1623),ROUND($AG1623,2),0))</f>
        <v/>
      </c>
      <c r="U1623" s="18">
        <f>IF($Z1623="","",IF(AND(DATE($AD1623,12,1)&gt;=$AE1623,DATE($AD1623,12,1)&lt;=$AF1623),ROUND($AG1623,2),0))</f>
        <v/>
      </c>
      <c r="V1623" s="7">
        <f>IF($Z1623="C","Generated from "&amp;INDEX(Contracts!$A$2:$A$151,$AB1623),IF($Z1623="A","Generated from "&amp;INDEX(Fixed_Assets!$A$2:$A$201,$AB1623),IF($Z1623="F","Generated from "&amp;INDEX(FTE_Allocation!$A$2:$A$201,$AB1623),"")))</f>
        <v/>
      </c>
      <c r="X1623" s="19">
        <f>IF($Z1623="","",SUM(J1623:U1623))</f>
        <v/>
      </c>
      <c r="Y1623" s="20">
        <f>ROW()-1</f>
        <v/>
      </c>
      <c r="Z1623" s="20">
        <f>IF($Y1623&lt;=Settings!$B$4*3,"C",IF($Y1623&lt;=(Settings!$B$4+Settings!$B$5)*3,"A",IF($Y1623&lt;=(Settings!$B$4+Settings!$B$5+Settings!$B$6)*3,"F","")))</f>
        <v/>
      </c>
      <c r="AA1623" s="20">
        <f>IF($Z1623="C",$Y1623,IF($Z1623="A",$Y1623-Settings!$B$4*3,IF($Z1623="F",$Y1623-(Settings!$B$4+Settings!$B$5)*3,"")))</f>
        <v/>
      </c>
      <c r="AB1623" s="20">
        <f>IF($Z1623="","",INT(($AA1623-1)/3)+1)</f>
        <v/>
      </c>
      <c r="AC1623" s="20">
        <f>IF($Z1623="","",MOD($AA1623-1,3)+1)</f>
        <v/>
      </c>
      <c r="AD1623" s="20">
        <f>IF($Z1623="","",Settings!$B$2+$AC1623-1)</f>
        <v/>
      </c>
      <c r="AE1623" s="21">
        <f>IF($Z1623="C",DATE(YEAR(INDEX(Contracts!$J$2:$J$151,$AB1623)),MONTH(INDEX(Contracts!$J$2:$J$151,$AB1623)),1),IF($Z1623="A",DATE(YEAR(INDEX(Fixed_Assets!$G$2:$G$201,$AB1623)),MONTH(INDEX(Fixed_Assets!$G$2:$G$201,$AB1623)),1),IF($Z1623="F",DATE(YEAR(MAX(N(INDEX(Workforce!$I$2:$I$151,MATCH(INDEX(FTE_Allocation!$A$2:$A$201,$AB1623),Workforce!$A$2:$A$151,0))),N(INDEX(FTE_Allocation!$I$2:$I$201,$AB1623)))),MONTH(MAX(N(INDEX(Workforce!$I$2:$I$151,MATCH(INDEX(FTE_Allocation!$A$2:$A$201,$AB1623),Workforce!$A$2:$A$151,0))),N(INDEX(FTE_Allocation!$I$2:$I$201,$AB1623)))),1),"")))</f>
        <v/>
      </c>
      <c r="AF1623" s="21">
        <f>IF($Z1623="C",IF(INDEX(Contracts!$I$2:$I$151,$AB1623)="PREPAID",EDATE(DATE(YEAR(INDEX(Contracts!$J$2:$J$151,$AB1623)),MONTH(INDEX(Contracts!$J$2:$J$151,$AB1623)),1),IF(INDEX(Contracts!$N$2:$N$151,$AB1623)="",12,INDEX(Contracts!$N$2:$N$151,$AB1623))-1),IF(INDEX(Contracts!$I$2:$I$151,$AB1623)="MONTHLY",IF(INDEX(Contracts!$K$2:$K$151,$AB1623)="",2958101,INDEX(Contracts!$K$2:$K$151,$AB1623)),0)),IF($Z1623="A",EDATE(DATE(YEAR(INDEX(Fixed_Assets!$G$2:$G$201,$AB1623)),MONTH(INDEX(Fixed_Assets!$G$2:$G$201,$AB1623)),1),INDEX(Fixed_Assets!$J$2:$J$201,$AB1623)-1),IF($Z1623="F",MIN(IF(INDEX(Workforce!$J$2:$J$151,MATCH(INDEX(FTE_Allocation!$A$2:$A$201,$AB1623),Workforce!$A$2:$A$151,0))="",2958101,INDEX(Workforce!$J$2:$J$151,MATCH(INDEX(FTE_Allocation!$A$2:$A$201,$AB1623),Workforce!$A$2:$A$151,0))),IF(INDEX(FTE_Allocation!$J$2:$J$201,$AB1623)="",2958101,INDEX(FTE_Allocation!$J$2:$J$201,$AB1623))),"")))</f>
        <v/>
      </c>
      <c r="AG1623" s="19">
        <f>IF($Z1623="C",IF(INDEX(Contracts!$I$2:$I$151,$AB1623)="PREPAID",INDEX(Contracts!$M$2:$M$151,$AB1623)/IF(INDEX(Contracts!$N$2:$N$151,$AB1623)="",12,INDEX(Contracts!$N$2:$N$151,$AB1623)),IF(INDEX(Contracts!$I$2:$I$151,$AB1623)="MONTHLY",INDEX(Contracts!$M$2:$M$151,$AB1623),0))*(1-N(INDEX(Contracts!$O$2:$O$151,$AB1623))),IF($Z1623="A",INDEX(Fixed_Assets!$H$2:$H$201,$AB1623)/INDEX(Fixed_Assets!$J$2:$J$201,$AB1623),IF($Z1623="F",INDEX(Workforce!$F$2:$F$151,MATCH(INDEX(FTE_Allocation!$A$2:$A$201,$AB1623),Workforce!$A$2:$A$151,0))*N(INDEX(FTE_Allocation!$F$2:$H$201,$AB1623,$AC1623)),"")))</f>
        <v/>
      </c>
    </row>
    <row r="1624">
      <c r="A1624" s="7">
        <f>IF($Z1624="","",$AD1624)</f>
        <v/>
      </c>
      <c r="B1624" s="7">
        <f>IF($Z1624="C",INDEX(Contracts!$D$2:$D$151,$AB1624)&amp;"",IF($Z1624="A",INDEX(Fixed_Assets!$C$2:$C$201,$AB1624)&amp;"",IF($Z1624="F",INDEX(Workforce!$B$2:$B$151,MATCH(INDEX(FTE_Allocation!$A$2:$A$201,$AB1624),Workforce!$A$2:$A$151,0))&amp;"","")))</f>
        <v/>
      </c>
      <c r="C1624" s="7">
        <f>IF($Z1624="C",INDEX(Contracts!$E$2:$E$151,$AB1624)&amp;"",IF($Z1624="A",INDEX(Fixed_Assets!$D$2:$D$201,$AB1624)&amp;"",IF($Z1624="F",INDEX(FTE_Allocation!$C$2:$C$201,$AB1624)&amp;"","")))</f>
        <v/>
      </c>
      <c r="D1624" s="7">
        <f>IF($Z1624="C",INDEX(Contracts!$B$2:$B$151,$AB1624)&amp;"",IF($Z1624="A",INDEX(Fixed_Assets!$B$2:$B$201,$AB1624)&amp;"",IF($Z1624="F",INDEX(FTE_Allocation!$B$2:$B$201,$AB1624)&amp;"","")))</f>
        <v/>
      </c>
      <c r="E1624" s="7">
        <f>IF($Z1624="C",INDEX(Contracts!$P$2:$P$151,$AB1624)&amp;"",IF($Z1624="A",INDEX(Fixed_Assets!$K$2:$K$201,$AB1624)&amp;"",IF($Z1624="F",IF(INDEX(FTE_Allocation!$D$2:$D$201,$AB1624)="PROJECT",IFERROR(INDEX(Projects!$D:$D,MATCH(INDEX(FTE_Allocation!$E$2:$E$201,$AB1624),Projects!$A:$A,0))&amp;"","#PROJECT?"),INDEX(FTE_Allocation!$E$2:$E$201,$AB1624)&amp;""),"")))</f>
        <v/>
      </c>
      <c r="F1624" s="7">
        <f>IF($Z1624="C",INDEX(Contracts!$Q$2:$Q$151,$AB1624)&amp;"",IF($Z1624="A",INDEX(Fixed_Assets!$L$2:$L$201,$AB1624)&amp;"",IF($Z1624="F",INDEX(Workforce!$K$2:$K$151,MATCH(INDEX(FTE_Allocation!$A$2:$A$201,$AB1624),Workforce!$A$2:$A$151,0))&amp;"","")))</f>
        <v/>
      </c>
      <c r="G1624" s="7">
        <f>IF($Z1624="C",INDEX(Contracts!$F$2:$F$151,$AB1624)&amp;" / "&amp;INDEX(Contracts!$G$2:$G$151,$AB1624),IF($Z1624="A",INDEX(Fixed_Assets!$E$2:$E$201,$AB1624)&amp;"",IF($Z1624="F","Personnel "&amp;INDEX(FTE_Allocation!$A$2:$A$201,$AB1624)&amp;IF(INDEX(FTE_Allocation!$D$2:$D$201,$AB1624)="PROJECT"," ("&amp;INDEX(FTE_Allocation!$E$2:$E$201,$AB1624)&amp;")",""),"")))</f>
        <v/>
      </c>
      <c r="H1624" s="7">
        <f>IF($Z1624="C","CONTRACT",IF($Z1624="A","ASSET",IF($Z1624="F","WORKFORCE","")))</f>
        <v/>
      </c>
      <c r="I1624" s="7">
        <f>IF($Z1624="C",INDEX(Contracts!$L$2:$L$151,$AB1624)&amp;"",IF($Z1624="A",INDEX(Fixed_Assets!$I$2:$I$201,$AB1624)&amp;"",IF($Z1624="F",INDEX(Workforce!$G$2:$G$151,MATCH(INDEX(FTE_Allocation!$A$2:$A$201,$AB1624),Workforce!$A$2:$A$151,0))&amp;"","")))</f>
        <v/>
      </c>
      <c r="J1624" s="18">
        <f>IF($Z1624="","",IF(AND(DATE($AD1624,1,1)&gt;=$AE1624,DATE($AD1624,1,1)&lt;=$AF1624),ROUND($AG1624,2),0))</f>
        <v/>
      </c>
      <c r="K1624" s="18">
        <f>IF($Z1624="","",IF(AND(DATE($AD1624,2,1)&gt;=$AE1624,DATE($AD1624,2,1)&lt;=$AF1624),ROUND($AG1624,2),0))</f>
        <v/>
      </c>
      <c r="L1624" s="18">
        <f>IF($Z1624="","",IF(AND(DATE($AD1624,3,1)&gt;=$AE1624,DATE($AD1624,3,1)&lt;=$AF1624),ROUND($AG1624,2),0))</f>
        <v/>
      </c>
      <c r="M1624" s="18">
        <f>IF($Z1624="","",IF(AND(DATE($AD1624,4,1)&gt;=$AE1624,DATE($AD1624,4,1)&lt;=$AF1624),ROUND($AG1624,2),0))</f>
        <v/>
      </c>
      <c r="N1624" s="18">
        <f>IF($Z1624="","",IF(AND(DATE($AD1624,5,1)&gt;=$AE1624,DATE($AD1624,5,1)&lt;=$AF1624),ROUND($AG1624,2),0))</f>
        <v/>
      </c>
      <c r="O1624" s="18">
        <f>IF($Z1624="","",IF(AND(DATE($AD1624,6,1)&gt;=$AE1624,DATE($AD1624,6,1)&lt;=$AF1624),ROUND($AG1624,2),0))</f>
        <v/>
      </c>
      <c r="P1624" s="18">
        <f>IF($Z1624="","",IF(AND(DATE($AD1624,7,1)&gt;=$AE1624,DATE($AD1624,7,1)&lt;=$AF1624),ROUND($AG1624,2),0))</f>
        <v/>
      </c>
      <c r="Q1624" s="18">
        <f>IF($Z1624="","",IF(AND(DATE($AD1624,8,1)&gt;=$AE1624,DATE($AD1624,8,1)&lt;=$AF1624),ROUND($AG1624,2),0))</f>
        <v/>
      </c>
      <c r="R1624" s="18">
        <f>IF($Z1624="","",IF(AND(DATE($AD1624,9,1)&gt;=$AE1624,DATE($AD1624,9,1)&lt;=$AF1624),ROUND($AG1624,2),0))</f>
        <v/>
      </c>
      <c r="S1624" s="18">
        <f>IF($Z1624="","",IF(AND(DATE($AD1624,10,1)&gt;=$AE1624,DATE($AD1624,10,1)&lt;=$AF1624),ROUND($AG1624,2),0))</f>
        <v/>
      </c>
      <c r="T1624" s="18">
        <f>IF($Z1624="","",IF(AND(DATE($AD1624,11,1)&gt;=$AE1624,DATE($AD1624,11,1)&lt;=$AF1624),ROUND($AG1624,2),0))</f>
        <v/>
      </c>
      <c r="U1624" s="18">
        <f>IF($Z1624="","",IF(AND(DATE($AD1624,12,1)&gt;=$AE1624,DATE($AD1624,12,1)&lt;=$AF1624),ROUND($AG1624,2),0))</f>
        <v/>
      </c>
      <c r="V1624" s="7">
        <f>IF($Z1624="C","Generated from "&amp;INDEX(Contracts!$A$2:$A$151,$AB1624),IF($Z1624="A","Generated from "&amp;INDEX(Fixed_Assets!$A$2:$A$201,$AB1624),IF($Z1624="F","Generated from "&amp;INDEX(FTE_Allocation!$A$2:$A$201,$AB1624),"")))</f>
        <v/>
      </c>
      <c r="X1624" s="19">
        <f>IF($Z1624="","",SUM(J1624:U1624))</f>
        <v/>
      </c>
      <c r="Y1624" s="20">
        <f>ROW()-1</f>
        <v/>
      </c>
      <c r="Z1624" s="20">
        <f>IF($Y1624&lt;=Settings!$B$4*3,"C",IF($Y1624&lt;=(Settings!$B$4+Settings!$B$5)*3,"A",IF($Y1624&lt;=(Settings!$B$4+Settings!$B$5+Settings!$B$6)*3,"F","")))</f>
        <v/>
      </c>
      <c r="AA1624" s="20">
        <f>IF($Z1624="C",$Y1624,IF($Z1624="A",$Y1624-Settings!$B$4*3,IF($Z1624="F",$Y1624-(Settings!$B$4+Settings!$B$5)*3,"")))</f>
        <v/>
      </c>
      <c r="AB1624" s="20">
        <f>IF($Z1624="","",INT(($AA1624-1)/3)+1)</f>
        <v/>
      </c>
      <c r="AC1624" s="20">
        <f>IF($Z1624="","",MOD($AA1624-1,3)+1)</f>
        <v/>
      </c>
      <c r="AD1624" s="20">
        <f>IF($Z1624="","",Settings!$B$2+$AC1624-1)</f>
        <v/>
      </c>
      <c r="AE1624" s="21">
        <f>IF($Z1624="C",DATE(YEAR(INDEX(Contracts!$J$2:$J$151,$AB1624)),MONTH(INDEX(Contracts!$J$2:$J$151,$AB1624)),1),IF($Z1624="A",DATE(YEAR(INDEX(Fixed_Assets!$G$2:$G$201,$AB1624)),MONTH(INDEX(Fixed_Assets!$G$2:$G$201,$AB1624)),1),IF($Z1624="F",DATE(YEAR(MAX(N(INDEX(Workforce!$I$2:$I$151,MATCH(INDEX(FTE_Allocation!$A$2:$A$201,$AB1624),Workforce!$A$2:$A$151,0))),N(INDEX(FTE_Allocation!$I$2:$I$201,$AB1624)))),MONTH(MAX(N(INDEX(Workforce!$I$2:$I$151,MATCH(INDEX(FTE_Allocation!$A$2:$A$201,$AB1624),Workforce!$A$2:$A$151,0))),N(INDEX(FTE_Allocation!$I$2:$I$201,$AB1624)))),1),"")))</f>
        <v/>
      </c>
      <c r="AF1624" s="21">
        <f>IF($Z1624="C",IF(INDEX(Contracts!$I$2:$I$151,$AB1624)="PREPAID",EDATE(DATE(YEAR(INDEX(Contracts!$J$2:$J$151,$AB1624)),MONTH(INDEX(Contracts!$J$2:$J$151,$AB1624)),1),IF(INDEX(Contracts!$N$2:$N$151,$AB1624)="",12,INDEX(Contracts!$N$2:$N$151,$AB1624))-1),IF(INDEX(Contracts!$I$2:$I$151,$AB1624)="MONTHLY",IF(INDEX(Contracts!$K$2:$K$151,$AB1624)="",2958101,INDEX(Contracts!$K$2:$K$151,$AB1624)),0)),IF($Z1624="A",EDATE(DATE(YEAR(INDEX(Fixed_Assets!$G$2:$G$201,$AB1624)),MONTH(INDEX(Fixed_Assets!$G$2:$G$201,$AB1624)),1),INDEX(Fixed_Assets!$J$2:$J$201,$AB1624)-1),IF($Z1624="F",MIN(IF(INDEX(Workforce!$J$2:$J$151,MATCH(INDEX(FTE_Allocation!$A$2:$A$201,$AB1624),Workforce!$A$2:$A$151,0))="",2958101,INDEX(Workforce!$J$2:$J$151,MATCH(INDEX(FTE_Allocation!$A$2:$A$201,$AB1624),Workforce!$A$2:$A$151,0))),IF(INDEX(FTE_Allocation!$J$2:$J$201,$AB1624)="",2958101,INDEX(FTE_Allocation!$J$2:$J$201,$AB1624))),"")))</f>
        <v/>
      </c>
      <c r="AG1624" s="19">
        <f>IF($Z1624="C",IF(INDEX(Contracts!$I$2:$I$151,$AB1624)="PREPAID",INDEX(Contracts!$M$2:$M$151,$AB1624)/IF(INDEX(Contracts!$N$2:$N$151,$AB1624)="",12,INDEX(Contracts!$N$2:$N$151,$AB1624)),IF(INDEX(Contracts!$I$2:$I$151,$AB1624)="MONTHLY",INDEX(Contracts!$M$2:$M$151,$AB1624),0))*(1-N(INDEX(Contracts!$O$2:$O$151,$AB1624))),IF($Z1624="A",INDEX(Fixed_Assets!$H$2:$H$201,$AB1624)/INDEX(Fixed_Assets!$J$2:$J$201,$AB1624),IF($Z1624="F",INDEX(Workforce!$F$2:$F$151,MATCH(INDEX(FTE_Allocation!$A$2:$A$201,$AB1624),Workforce!$A$2:$A$151,0))*N(INDEX(FTE_Allocation!$F$2:$H$201,$AB1624,$AC1624)),"")))</f>
        <v/>
      </c>
    </row>
    <row r="1625">
      <c r="A1625" s="7">
        <f>IF($Z1625="","",$AD1625)</f>
        <v/>
      </c>
      <c r="B1625" s="7">
        <f>IF($Z1625="C",INDEX(Contracts!$D$2:$D$151,$AB1625)&amp;"",IF($Z1625="A",INDEX(Fixed_Assets!$C$2:$C$201,$AB1625)&amp;"",IF($Z1625="F",INDEX(Workforce!$B$2:$B$151,MATCH(INDEX(FTE_Allocation!$A$2:$A$201,$AB1625),Workforce!$A$2:$A$151,0))&amp;"","")))</f>
        <v/>
      </c>
      <c r="C1625" s="7">
        <f>IF($Z1625="C",INDEX(Contracts!$E$2:$E$151,$AB1625)&amp;"",IF($Z1625="A",INDEX(Fixed_Assets!$D$2:$D$201,$AB1625)&amp;"",IF($Z1625="F",INDEX(FTE_Allocation!$C$2:$C$201,$AB1625)&amp;"","")))</f>
        <v/>
      </c>
      <c r="D1625" s="7">
        <f>IF($Z1625="C",INDEX(Contracts!$B$2:$B$151,$AB1625)&amp;"",IF($Z1625="A",INDEX(Fixed_Assets!$B$2:$B$201,$AB1625)&amp;"",IF($Z1625="F",INDEX(FTE_Allocation!$B$2:$B$201,$AB1625)&amp;"","")))</f>
        <v/>
      </c>
      <c r="E1625" s="7">
        <f>IF($Z1625="C",INDEX(Contracts!$P$2:$P$151,$AB1625)&amp;"",IF($Z1625="A",INDEX(Fixed_Assets!$K$2:$K$201,$AB1625)&amp;"",IF($Z1625="F",IF(INDEX(FTE_Allocation!$D$2:$D$201,$AB1625)="PROJECT",IFERROR(INDEX(Projects!$D:$D,MATCH(INDEX(FTE_Allocation!$E$2:$E$201,$AB1625),Projects!$A:$A,0))&amp;"","#PROJECT?"),INDEX(FTE_Allocation!$E$2:$E$201,$AB1625)&amp;""),"")))</f>
        <v/>
      </c>
      <c r="F1625" s="7">
        <f>IF($Z1625="C",INDEX(Contracts!$Q$2:$Q$151,$AB1625)&amp;"",IF($Z1625="A",INDEX(Fixed_Assets!$L$2:$L$201,$AB1625)&amp;"",IF($Z1625="F",INDEX(Workforce!$K$2:$K$151,MATCH(INDEX(FTE_Allocation!$A$2:$A$201,$AB1625),Workforce!$A$2:$A$151,0))&amp;"","")))</f>
        <v/>
      </c>
      <c r="G1625" s="7">
        <f>IF($Z1625="C",INDEX(Contracts!$F$2:$F$151,$AB1625)&amp;" / "&amp;INDEX(Contracts!$G$2:$G$151,$AB1625),IF($Z1625="A",INDEX(Fixed_Assets!$E$2:$E$201,$AB1625)&amp;"",IF($Z1625="F","Personnel "&amp;INDEX(FTE_Allocation!$A$2:$A$201,$AB1625)&amp;IF(INDEX(FTE_Allocation!$D$2:$D$201,$AB1625)="PROJECT"," ("&amp;INDEX(FTE_Allocation!$E$2:$E$201,$AB1625)&amp;")",""),"")))</f>
        <v/>
      </c>
      <c r="H1625" s="7">
        <f>IF($Z1625="C","CONTRACT",IF($Z1625="A","ASSET",IF($Z1625="F","WORKFORCE","")))</f>
        <v/>
      </c>
      <c r="I1625" s="7">
        <f>IF($Z1625="C",INDEX(Contracts!$L$2:$L$151,$AB1625)&amp;"",IF($Z1625="A",INDEX(Fixed_Assets!$I$2:$I$201,$AB1625)&amp;"",IF($Z1625="F",INDEX(Workforce!$G$2:$G$151,MATCH(INDEX(FTE_Allocation!$A$2:$A$201,$AB1625),Workforce!$A$2:$A$151,0))&amp;"","")))</f>
        <v/>
      </c>
      <c r="J1625" s="18">
        <f>IF($Z1625="","",IF(AND(DATE($AD1625,1,1)&gt;=$AE1625,DATE($AD1625,1,1)&lt;=$AF1625),ROUND($AG1625,2),0))</f>
        <v/>
      </c>
      <c r="K1625" s="18">
        <f>IF($Z1625="","",IF(AND(DATE($AD1625,2,1)&gt;=$AE1625,DATE($AD1625,2,1)&lt;=$AF1625),ROUND($AG1625,2),0))</f>
        <v/>
      </c>
      <c r="L1625" s="18">
        <f>IF($Z1625="","",IF(AND(DATE($AD1625,3,1)&gt;=$AE1625,DATE($AD1625,3,1)&lt;=$AF1625),ROUND($AG1625,2),0))</f>
        <v/>
      </c>
      <c r="M1625" s="18">
        <f>IF($Z1625="","",IF(AND(DATE($AD1625,4,1)&gt;=$AE1625,DATE($AD1625,4,1)&lt;=$AF1625),ROUND($AG1625,2),0))</f>
        <v/>
      </c>
      <c r="N1625" s="18">
        <f>IF($Z1625="","",IF(AND(DATE($AD1625,5,1)&gt;=$AE1625,DATE($AD1625,5,1)&lt;=$AF1625),ROUND($AG1625,2),0))</f>
        <v/>
      </c>
      <c r="O1625" s="18">
        <f>IF($Z1625="","",IF(AND(DATE($AD1625,6,1)&gt;=$AE1625,DATE($AD1625,6,1)&lt;=$AF1625),ROUND($AG1625,2),0))</f>
        <v/>
      </c>
      <c r="P1625" s="18">
        <f>IF($Z1625="","",IF(AND(DATE($AD1625,7,1)&gt;=$AE1625,DATE($AD1625,7,1)&lt;=$AF1625),ROUND($AG1625,2),0))</f>
        <v/>
      </c>
      <c r="Q1625" s="18">
        <f>IF($Z1625="","",IF(AND(DATE($AD1625,8,1)&gt;=$AE1625,DATE($AD1625,8,1)&lt;=$AF1625),ROUND($AG1625,2),0))</f>
        <v/>
      </c>
      <c r="R1625" s="18">
        <f>IF($Z1625="","",IF(AND(DATE($AD1625,9,1)&gt;=$AE1625,DATE($AD1625,9,1)&lt;=$AF1625),ROUND($AG1625,2),0))</f>
        <v/>
      </c>
      <c r="S1625" s="18">
        <f>IF($Z1625="","",IF(AND(DATE($AD1625,10,1)&gt;=$AE1625,DATE($AD1625,10,1)&lt;=$AF1625),ROUND($AG1625,2),0))</f>
        <v/>
      </c>
      <c r="T1625" s="18">
        <f>IF($Z1625="","",IF(AND(DATE($AD1625,11,1)&gt;=$AE1625,DATE($AD1625,11,1)&lt;=$AF1625),ROUND($AG1625,2),0))</f>
        <v/>
      </c>
      <c r="U1625" s="18">
        <f>IF($Z1625="","",IF(AND(DATE($AD1625,12,1)&gt;=$AE1625,DATE($AD1625,12,1)&lt;=$AF1625),ROUND($AG1625,2),0))</f>
        <v/>
      </c>
      <c r="V1625" s="7">
        <f>IF($Z1625="C","Generated from "&amp;INDEX(Contracts!$A$2:$A$151,$AB1625),IF($Z1625="A","Generated from "&amp;INDEX(Fixed_Assets!$A$2:$A$201,$AB1625),IF($Z1625="F","Generated from "&amp;INDEX(FTE_Allocation!$A$2:$A$201,$AB1625),"")))</f>
        <v/>
      </c>
      <c r="X1625" s="19">
        <f>IF($Z1625="","",SUM(J1625:U1625))</f>
        <v/>
      </c>
      <c r="Y1625" s="20">
        <f>ROW()-1</f>
        <v/>
      </c>
      <c r="Z1625" s="20">
        <f>IF($Y1625&lt;=Settings!$B$4*3,"C",IF($Y1625&lt;=(Settings!$B$4+Settings!$B$5)*3,"A",IF($Y1625&lt;=(Settings!$B$4+Settings!$B$5+Settings!$B$6)*3,"F","")))</f>
        <v/>
      </c>
      <c r="AA1625" s="20">
        <f>IF($Z1625="C",$Y1625,IF($Z1625="A",$Y1625-Settings!$B$4*3,IF($Z1625="F",$Y1625-(Settings!$B$4+Settings!$B$5)*3,"")))</f>
        <v/>
      </c>
      <c r="AB1625" s="20">
        <f>IF($Z1625="","",INT(($AA1625-1)/3)+1)</f>
        <v/>
      </c>
      <c r="AC1625" s="20">
        <f>IF($Z1625="","",MOD($AA1625-1,3)+1)</f>
        <v/>
      </c>
      <c r="AD1625" s="20">
        <f>IF($Z1625="","",Settings!$B$2+$AC1625-1)</f>
        <v/>
      </c>
      <c r="AE1625" s="21">
        <f>IF($Z1625="C",DATE(YEAR(INDEX(Contracts!$J$2:$J$151,$AB1625)),MONTH(INDEX(Contracts!$J$2:$J$151,$AB1625)),1),IF($Z1625="A",DATE(YEAR(INDEX(Fixed_Assets!$G$2:$G$201,$AB1625)),MONTH(INDEX(Fixed_Assets!$G$2:$G$201,$AB1625)),1),IF($Z1625="F",DATE(YEAR(MAX(N(INDEX(Workforce!$I$2:$I$151,MATCH(INDEX(FTE_Allocation!$A$2:$A$201,$AB1625),Workforce!$A$2:$A$151,0))),N(INDEX(FTE_Allocation!$I$2:$I$201,$AB1625)))),MONTH(MAX(N(INDEX(Workforce!$I$2:$I$151,MATCH(INDEX(FTE_Allocation!$A$2:$A$201,$AB1625),Workforce!$A$2:$A$151,0))),N(INDEX(FTE_Allocation!$I$2:$I$201,$AB1625)))),1),"")))</f>
        <v/>
      </c>
      <c r="AF1625" s="21">
        <f>IF($Z1625="C",IF(INDEX(Contracts!$I$2:$I$151,$AB1625)="PREPAID",EDATE(DATE(YEAR(INDEX(Contracts!$J$2:$J$151,$AB1625)),MONTH(INDEX(Contracts!$J$2:$J$151,$AB1625)),1),IF(INDEX(Contracts!$N$2:$N$151,$AB1625)="",12,INDEX(Contracts!$N$2:$N$151,$AB1625))-1),IF(INDEX(Contracts!$I$2:$I$151,$AB1625)="MONTHLY",IF(INDEX(Contracts!$K$2:$K$151,$AB1625)="",2958101,INDEX(Contracts!$K$2:$K$151,$AB1625)),0)),IF($Z1625="A",EDATE(DATE(YEAR(INDEX(Fixed_Assets!$G$2:$G$201,$AB1625)),MONTH(INDEX(Fixed_Assets!$G$2:$G$201,$AB1625)),1),INDEX(Fixed_Assets!$J$2:$J$201,$AB1625)-1),IF($Z1625="F",MIN(IF(INDEX(Workforce!$J$2:$J$151,MATCH(INDEX(FTE_Allocation!$A$2:$A$201,$AB1625),Workforce!$A$2:$A$151,0))="",2958101,INDEX(Workforce!$J$2:$J$151,MATCH(INDEX(FTE_Allocation!$A$2:$A$201,$AB1625),Workforce!$A$2:$A$151,0))),IF(INDEX(FTE_Allocation!$J$2:$J$201,$AB1625)="",2958101,INDEX(FTE_Allocation!$J$2:$J$201,$AB1625))),"")))</f>
        <v/>
      </c>
      <c r="AG1625" s="19">
        <f>IF($Z1625="C",IF(INDEX(Contracts!$I$2:$I$151,$AB1625)="PREPAID",INDEX(Contracts!$M$2:$M$151,$AB1625)/IF(INDEX(Contracts!$N$2:$N$151,$AB1625)="",12,INDEX(Contracts!$N$2:$N$151,$AB1625)),IF(INDEX(Contracts!$I$2:$I$151,$AB1625)="MONTHLY",INDEX(Contracts!$M$2:$M$151,$AB1625),0))*(1-N(INDEX(Contracts!$O$2:$O$151,$AB1625))),IF($Z1625="A",INDEX(Fixed_Assets!$H$2:$H$201,$AB1625)/INDEX(Fixed_Assets!$J$2:$J$201,$AB1625),IF($Z1625="F",INDEX(Workforce!$F$2:$F$151,MATCH(INDEX(FTE_Allocation!$A$2:$A$201,$AB1625),Workforce!$A$2:$A$151,0))*N(INDEX(FTE_Allocation!$F$2:$H$201,$AB1625,$AC1625)),"")))</f>
        <v/>
      </c>
    </row>
    <row r="1626">
      <c r="A1626" s="7">
        <f>IF($Z1626="","",$AD1626)</f>
        <v/>
      </c>
      <c r="B1626" s="7">
        <f>IF($Z1626="C",INDEX(Contracts!$D$2:$D$151,$AB1626)&amp;"",IF($Z1626="A",INDEX(Fixed_Assets!$C$2:$C$201,$AB1626)&amp;"",IF($Z1626="F",INDEX(Workforce!$B$2:$B$151,MATCH(INDEX(FTE_Allocation!$A$2:$A$201,$AB1626),Workforce!$A$2:$A$151,0))&amp;"","")))</f>
        <v/>
      </c>
      <c r="C1626" s="7">
        <f>IF($Z1626="C",INDEX(Contracts!$E$2:$E$151,$AB1626)&amp;"",IF($Z1626="A",INDEX(Fixed_Assets!$D$2:$D$201,$AB1626)&amp;"",IF($Z1626="F",INDEX(FTE_Allocation!$C$2:$C$201,$AB1626)&amp;"","")))</f>
        <v/>
      </c>
      <c r="D1626" s="7">
        <f>IF($Z1626="C",INDEX(Contracts!$B$2:$B$151,$AB1626)&amp;"",IF($Z1626="A",INDEX(Fixed_Assets!$B$2:$B$201,$AB1626)&amp;"",IF($Z1626="F",INDEX(FTE_Allocation!$B$2:$B$201,$AB1626)&amp;"","")))</f>
        <v/>
      </c>
      <c r="E1626" s="7">
        <f>IF($Z1626="C",INDEX(Contracts!$P$2:$P$151,$AB1626)&amp;"",IF($Z1626="A",INDEX(Fixed_Assets!$K$2:$K$201,$AB1626)&amp;"",IF($Z1626="F",IF(INDEX(FTE_Allocation!$D$2:$D$201,$AB1626)="PROJECT",IFERROR(INDEX(Projects!$D:$D,MATCH(INDEX(FTE_Allocation!$E$2:$E$201,$AB1626),Projects!$A:$A,0))&amp;"","#PROJECT?"),INDEX(FTE_Allocation!$E$2:$E$201,$AB1626)&amp;""),"")))</f>
        <v/>
      </c>
      <c r="F1626" s="7">
        <f>IF($Z1626="C",INDEX(Contracts!$Q$2:$Q$151,$AB1626)&amp;"",IF($Z1626="A",INDEX(Fixed_Assets!$L$2:$L$201,$AB1626)&amp;"",IF($Z1626="F",INDEX(Workforce!$K$2:$K$151,MATCH(INDEX(FTE_Allocation!$A$2:$A$201,$AB1626),Workforce!$A$2:$A$151,0))&amp;"","")))</f>
        <v/>
      </c>
      <c r="G1626" s="7">
        <f>IF($Z1626="C",INDEX(Contracts!$F$2:$F$151,$AB1626)&amp;" / "&amp;INDEX(Contracts!$G$2:$G$151,$AB1626),IF($Z1626="A",INDEX(Fixed_Assets!$E$2:$E$201,$AB1626)&amp;"",IF($Z1626="F","Personnel "&amp;INDEX(FTE_Allocation!$A$2:$A$201,$AB1626)&amp;IF(INDEX(FTE_Allocation!$D$2:$D$201,$AB1626)="PROJECT"," ("&amp;INDEX(FTE_Allocation!$E$2:$E$201,$AB1626)&amp;")",""),"")))</f>
        <v/>
      </c>
      <c r="H1626" s="7">
        <f>IF($Z1626="C","CONTRACT",IF($Z1626="A","ASSET",IF($Z1626="F","WORKFORCE","")))</f>
        <v/>
      </c>
      <c r="I1626" s="7">
        <f>IF($Z1626="C",INDEX(Contracts!$L$2:$L$151,$AB1626)&amp;"",IF($Z1626="A",INDEX(Fixed_Assets!$I$2:$I$201,$AB1626)&amp;"",IF($Z1626="F",INDEX(Workforce!$G$2:$G$151,MATCH(INDEX(FTE_Allocation!$A$2:$A$201,$AB1626),Workforce!$A$2:$A$151,0))&amp;"","")))</f>
        <v/>
      </c>
      <c r="J1626" s="18">
        <f>IF($Z1626="","",IF(AND(DATE($AD1626,1,1)&gt;=$AE1626,DATE($AD1626,1,1)&lt;=$AF1626),ROUND($AG1626,2),0))</f>
        <v/>
      </c>
      <c r="K1626" s="18">
        <f>IF($Z1626="","",IF(AND(DATE($AD1626,2,1)&gt;=$AE1626,DATE($AD1626,2,1)&lt;=$AF1626),ROUND($AG1626,2),0))</f>
        <v/>
      </c>
      <c r="L1626" s="18">
        <f>IF($Z1626="","",IF(AND(DATE($AD1626,3,1)&gt;=$AE1626,DATE($AD1626,3,1)&lt;=$AF1626),ROUND($AG1626,2),0))</f>
        <v/>
      </c>
      <c r="M1626" s="18">
        <f>IF($Z1626="","",IF(AND(DATE($AD1626,4,1)&gt;=$AE1626,DATE($AD1626,4,1)&lt;=$AF1626),ROUND($AG1626,2),0))</f>
        <v/>
      </c>
      <c r="N1626" s="18">
        <f>IF($Z1626="","",IF(AND(DATE($AD1626,5,1)&gt;=$AE1626,DATE($AD1626,5,1)&lt;=$AF1626),ROUND($AG1626,2),0))</f>
        <v/>
      </c>
      <c r="O1626" s="18">
        <f>IF($Z1626="","",IF(AND(DATE($AD1626,6,1)&gt;=$AE1626,DATE($AD1626,6,1)&lt;=$AF1626),ROUND($AG1626,2),0))</f>
        <v/>
      </c>
      <c r="P1626" s="18">
        <f>IF($Z1626="","",IF(AND(DATE($AD1626,7,1)&gt;=$AE1626,DATE($AD1626,7,1)&lt;=$AF1626),ROUND($AG1626,2),0))</f>
        <v/>
      </c>
      <c r="Q1626" s="18">
        <f>IF($Z1626="","",IF(AND(DATE($AD1626,8,1)&gt;=$AE1626,DATE($AD1626,8,1)&lt;=$AF1626),ROUND($AG1626,2),0))</f>
        <v/>
      </c>
      <c r="R1626" s="18">
        <f>IF($Z1626="","",IF(AND(DATE($AD1626,9,1)&gt;=$AE1626,DATE($AD1626,9,1)&lt;=$AF1626),ROUND($AG1626,2),0))</f>
        <v/>
      </c>
      <c r="S1626" s="18">
        <f>IF($Z1626="","",IF(AND(DATE($AD1626,10,1)&gt;=$AE1626,DATE($AD1626,10,1)&lt;=$AF1626),ROUND($AG1626,2),0))</f>
        <v/>
      </c>
      <c r="T1626" s="18">
        <f>IF($Z1626="","",IF(AND(DATE($AD1626,11,1)&gt;=$AE1626,DATE($AD1626,11,1)&lt;=$AF1626),ROUND($AG1626,2),0))</f>
        <v/>
      </c>
      <c r="U1626" s="18">
        <f>IF($Z1626="","",IF(AND(DATE($AD1626,12,1)&gt;=$AE1626,DATE($AD1626,12,1)&lt;=$AF1626),ROUND($AG1626,2),0))</f>
        <v/>
      </c>
      <c r="V1626" s="7">
        <f>IF($Z1626="C","Generated from "&amp;INDEX(Contracts!$A$2:$A$151,$AB1626),IF($Z1626="A","Generated from "&amp;INDEX(Fixed_Assets!$A$2:$A$201,$AB1626),IF($Z1626="F","Generated from "&amp;INDEX(FTE_Allocation!$A$2:$A$201,$AB1626),"")))</f>
        <v/>
      </c>
      <c r="X1626" s="19">
        <f>IF($Z1626="","",SUM(J1626:U1626))</f>
        <v/>
      </c>
      <c r="Y1626" s="20">
        <f>ROW()-1</f>
        <v/>
      </c>
      <c r="Z1626" s="20">
        <f>IF($Y1626&lt;=Settings!$B$4*3,"C",IF($Y1626&lt;=(Settings!$B$4+Settings!$B$5)*3,"A",IF($Y1626&lt;=(Settings!$B$4+Settings!$B$5+Settings!$B$6)*3,"F","")))</f>
        <v/>
      </c>
      <c r="AA1626" s="20">
        <f>IF($Z1626="C",$Y1626,IF($Z1626="A",$Y1626-Settings!$B$4*3,IF($Z1626="F",$Y1626-(Settings!$B$4+Settings!$B$5)*3,"")))</f>
        <v/>
      </c>
      <c r="AB1626" s="20">
        <f>IF($Z1626="","",INT(($AA1626-1)/3)+1)</f>
        <v/>
      </c>
      <c r="AC1626" s="20">
        <f>IF($Z1626="","",MOD($AA1626-1,3)+1)</f>
        <v/>
      </c>
      <c r="AD1626" s="20">
        <f>IF($Z1626="","",Settings!$B$2+$AC1626-1)</f>
        <v/>
      </c>
      <c r="AE1626" s="21">
        <f>IF($Z1626="C",DATE(YEAR(INDEX(Contracts!$J$2:$J$151,$AB1626)),MONTH(INDEX(Contracts!$J$2:$J$151,$AB1626)),1),IF($Z1626="A",DATE(YEAR(INDEX(Fixed_Assets!$G$2:$G$201,$AB1626)),MONTH(INDEX(Fixed_Assets!$G$2:$G$201,$AB1626)),1),IF($Z1626="F",DATE(YEAR(MAX(N(INDEX(Workforce!$I$2:$I$151,MATCH(INDEX(FTE_Allocation!$A$2:$A$201,$AB1626),Workforce!$A$2:$A$151,0))),N(INDEX(FTE_Allocation!$I$2:$I$201,$AB1626)))),MONTH(MAX(N(INDEX(Workforce!$I$2:$I$151,MATCH(INDEX(FTE_Allocation!$A$2:$A$201,$AB1626),Workforce!$A$2:$A$151,0))),N(INDEX(FTE_Allocation!$I$2:$I$201,$AB1626)))),1),"")))</f>
        <v/>
      </c>
      <c r="AF1626" s="21">
        <f>IF($Z1626="C",IF(INDEX(Contracts!$I$2:$I$151,$AB1626)="PREPAID",EDATE(DATE(YEAR(INDEX(Contracts!$J$2:$J$151,$AB1626)),MONTH(INDEX(Contracts!$J$2:$J$151,$AB1626)),1),IF(INDEX(Contracts!$N$2:$N$151,$AB1626)="",12,INDEX(Contracts!$N$2:$N$151,$AB1626))-1),IF(INDEX(Contracts!$I$2:$I$151,$AB1626)="MONTHLY",IF(INDEX(Contracts!$K$2:$K$151,$AB1626)="",2958101,INDEX(Contracts!$K$2:$K$151,$AB1626)),0)),IF($Z1626="A",EDATE(DATE(YEAR(INDEX(Fixed_Assets!$G$2:$G$201,$AB1626)),MONTH(INDEX(Fixed_Assets!$G$2:$G$201,$AB1626)),1),INDEX(Fixed_Assets!$J$2:$J$201,$AB1626)-1),IF($Z1626="F",MIN(IF(INDEX(Workforce!$J$2:$J$151,MATCH(INDEX(FTE_Allocation!$A$2:$A$201,$AB1626),Workforce!$A$2:$A$151,0))="",2958101,INDEX(Workforce!$J$2:$J$151,MATCH(INDEX(FTE_Allocation!$A$2:$A$201,$AB1626),Workforce!$A$2:$A$151,0))),IF(INDEX(FTE_Allocation!$J$2:$J$201,$AB1626)="",2958101,INDEX(FTE_Allocation!$J$2:$J$201,$AB1626))),"")))</f>
        <v/>
      </c>
      <c r="AG1626" s="19">
        <f>IF($Z1626="C",IF(INDEX(Contracts!$I$2:$I$151,$AB1626)="PREPAID",INDEX(Contracts!$M$2:$M$151,$AB1626)/IF(INDEX(Contracts!$N$2:$N$151,$AB1626)="",12,INDEX(Contracts!$N$2:$N$151,$AB1626)),IF(INDEX(Contracts!$I$2:$I$151,$AB1626)="MONTHLY",INDEX(Contracts!$M$2:$M$151,$AB1626),0))*(1-N(INDEX(Contracts!$O$2:$O$151,$AB1626))),IF($Z1626="A",INDEX(Fixed_Assets!$H$2:$H$201,$AB1626)/INDEX(Fixed_Assets!$J$2:$J$201,$AB1626),IF($Z1626="F",INDEX(Workforce!$F$2:$F$151,MATCH(INDEX(FTE_Allocation!$A$2:$A$201,$AB1626),Workforce!$A$2:$A$151,0))*N(INDEX(FTE_Allocation!$F$2:$H$201,$AB1626,$AC1626)),"")))</f>
        <v/>
      </c>
    </row>
    <row r="1627">
      <c r="A1627" s="7">
        <f>IF($Z1627="","",$AD1627)</f>
        <v/>
      </c>
      <c r="B1627" s="7">
        <f>IF($Z1627="C",INDEX(Contracts!$D$2:$D$151,$AB1627)&amp;"",IF($Z1627="A",INDEX(Fixed_Assets!$C$2:$C$201,$AB1627)&amp;"",IF($Z1627="F",INDEX(Workforce!$B$2:$B$151,MATCH(INDEX(FTE_Allocation!$A$2:$A$201,$AB1627),Workforce!$A$2:$A$151,0))&amp;"","")))</f>
        <v/>
      </c>
      <c r="C1627" s="7">
        <f>IF($Z1627="C",INDEX(Contracts!$E$2:$E$151,$AB1627)&amp;"",IF($Z1627="A",INDEX(Fixed_Assets!$D$2:$D$201,$AB1627)&amp;"",IF($Z1627="F",INDEX(FTE_Allocation!$C$2:$C$201,$AB1627)&amp;"","")))</f>
        <v/>
      </c>
      <c r="D1627" s="7">
        <f>IF($Z1627="C",INDEX(Contracts!$B$2:$B$151,$AB1627)&amp;"",IF($Z1627="A",INDEX(Fixed_Assets!$B$2:$B$201,$AB1627)&amp;"",IF($Z1627="F",INDEX(FTE_Allocation!$B$2:$B$201,$AB1627)&amp;"","")))</f>
        <v/>
      </c>
      <c r="E1627" s="7">
        <f>IF($Z1627="C",INDEX(Contracts!$P$2:$P$151,$AB1627)&amp;"",IF($Z1627="A",INDEX(Fixed_Assets!$K$2:$K$201,$AB1627)&amp;"",IF($Z1627="F",IF(INDEX(FTE_Allocation!$D$2:$D$201,$AB1627)="PROJECT",IFERROR(INDEX(Projects!$D:$D,MATCH(INDEX(FTE_Allocation!$E$2:$E$201,$AB1627),Projects!$A:$A,0))&amp;"","#PROJECT?"),INDEX(FTE_Allocation!$E$2:$E$201,$AB1627)&amp;""),"")))</f>
        <v/>
      </c>
      <c r="F1627" s="7">
        <f>IF($Z1627="C",INDEX(Contracts!$Q$2:$Q$151,$AB1627)&amp;"",IF($Z1627="A",INDEX(Fixed_Assets!$L$2:$L$201,$AB1627)&amp;"",IF($Z1627="F",INDEX(Workforce!$K$2:$K$151,MATCH(INDEX(FTE_Allocation!$A$2:$A$201,$AB1627),Workforce!$A$2:$A$151,0))&amp;"","")))</f>
        <v/>
      </c>
      <c r="G1627" s="7">
        <f>IF($Z1627="C",INDEX(Contracts!$F$2:$F$151,$AB1627)&amp;" / "&amp;INDEX(Contracts!$G$2:$G$151,$AB1627),IF($Z1627="A",INDEX(Fixed_Assets!$E$2:$E$201,$AB1627)&amp;"",IF($Z1627="F","Personnel "&amp;INDEX(FTE_Allocation!$A$2:$A$201,$AB1627)&amp;IF(INDEX(FTE_Allocation!$D$2:$D$201,$AB1627)="PROJECT"," ("&amp;INDEX(FTE_Allocation!$E$2:$E$201,$AB1627)&amp;")",""),"")))</f>
        <v/>
      </c>
      <c r="H1627" s="7">
        <f>IF($Z1627="C","CONTRACT",IF($Z1627="A","ASSET",IF($Z1627="F","WORKFORCE","")))</f>
        <v/>
      </c>
      <c r="I1627" s="7">
        <f>IF($Z1627="C",INDEX(Contracts!$L$2:$L$151,$AB1627)&amp;"",IF($Z1627="A",INDEX(Fixed_Assets!$I$2:$I$201,$AB1627)&amp;"",IF($Z1627="F",INDEX(Workforce!$G$2:$G$151,MATCH(INDEX(FTE_Allocation!$A$2:$A$201,$AB1627),Workforce!$A$2:$A$151,0))&amp;"","")))</f>
        <v/>
      </c>
      <c r="J1627" s="18">
        <f>IF($Z1627="","",IF(AND(DATE($AD1627,1,1)&gt;=$AE1627,DATE($AD1627,1,1)&lt;=$AF1627),ROUND($AG1627,2),0))</f>
        <v/>
      </c>
      <c r="K1627" s="18">
        <f>IF($Z1627="","",IF(AND(DATE($AD1627,2,1)&gt;=$AE1627,DATE($AD1627,2,1)&lt;=$AF1627),ROUND($AG1627,2),0))</f>
        <v/>
      </c>
      <c r="L1627" s="18">
        <f>IF($Z1627="","",IF(AND(DATE($AD1627,3,1)&gt;=$AE1627,DATE($AD1627,3,1)&lt;=$AF1627),ROUND($AG1627,2),0))</f>
        <v/>
      </c>
      <c r="M1627" s="18">
        <f>IF($Z1627="","",IF(AND(DATE($AD1627,4,1)&gt;=$AE1627,DATE($AD1627,4,1)&lt;=$AF1627),ROUND($AG1627,2),0))</f>
        <v/>
      </c>
      <c r="N1627" s="18">
        <f>IF($Z1627="","",IF(AND(DATE($AD1627,5,1)&gt;=$AE1627,DATE($AD1627,5,1)&lt;=$AF1627),ROUND($AG1627,2),0))</f>
        <v/>
      </c>
      <c r="O1627" s="18">
        <f>IF($Z1627="","",IF(AND(DATE($AD1627,6,1)&gt;=$AE1627,DATE($AD1627,6,1)&lt;=$AF1627),ROUND($AG1627,2),0))</f>
        <v/>
      </c>
      <c r="P1627" s="18">
        <f>IF($Z1627="","",IF(AND(DATE($AD1627,7,1)&gt;=$AE1627,DATE($AD1627,7,1)&lt;=$AF1627),ROUND($AG1627,2),0))</f>
        <v/>
      </c>
      <c r="Q1627" s="18">
        <f>IF($Z1627="","",IF(AND(DATE($AD1627,8,1)&gt;=$AE1627,DATE($AD1627,8,1)&lt;=$AF1627),ROUND($AG1627,2),0))</f>
        <v/>
      </c>
      <c r="R1627" s="18">
        <f>IF($Z1627="","",IF(AND(DATE($AD1627,9,1)&gt;=$AE1627,DATE($AD1627,9,1)&lt;=$AF1627),ROUND($AG1627,2),0))</f>
        <v/>
      </c>
      <c r="S1627" s="18">
        <f>IF($Z1627="","",IF(AND(DATE($AD1627,10,1)&gt;=$AE1627,DATE($AD1627,10,1)&lt;=$AF1627),ROUND($AG1627,2),0))</f>
        <v/>
      </c>
      <c r="T1627" s="18">
        <f>IF($Z1627="","",IF(AND(DATE($AD1627,11,1)&gt;=$AE1627,DATE($AD1627,11,1)&lt;=$AF1627),ROUND($AG1627,2),0))</f>
        <v/>
      </c>
      <c r="U1627" s="18">
        <f>IF($Z1627="","",IF(AND(DATE($AD1627,12,1)&gt;=$AE1627,DATE($AD1627,12,1)&lt;=$AF1627),ROUND($AG1627,2),0))</f>
        <v/>
      </c>
      <c r="V1627" s="7">
        <f>IF($Z1627="C","Generated from "&amp;INDEX(Contracts!$A$2:$A$151,$AB1627),IF($Z1627="A","Generated from "&amp;INDEX(Fixed_Assets!$A$2:$A$201,$AB1627),IF($Z1627="F","Generated from "&amp;INDEX(FTE_Allocation!$A$2:$A$201,$AB1627),"")))</f>
        <v/>
      </c>
      <c r="X1627" s="19">
        <f>IF($Z1627="","",SUM(J1627:U1627))</f>
        <v/>
      </c>
      <c r="Y1627" s="20">
        <f>ROW()-1</f>
        <v/>
      </c>
      <c r="Z1627" s="20">
        <f>IF($Y1627&lt;=Settings!$B$4*3,"C",IF($Y1627&lt;=(Settings!$B$4+Settings!$B$5)*3,"A",IF($Y1627&lt;=(Settings!$B$4+Settings!$B$5+Settings!$B$6)*3,"F","")))</f>
        <v/>
      </c>
      <c r="AA1627" s="20">
        <f>IF($Z1627="C",$Y1627,IF($Z1627="A",$Y1627-Settings!$B$4*3,IF($Z1627="F",$Y1627-(Settings!$B$4+Settings!$B$5)*3,"")))</f>
        <v/>
      </c>
      <c r="AB1627" s="20">
        <f>IF($Z1627="","",INT(($AA1627-1)/3)+1)</f>
        <v/>
      </c>
      <c r="AC1627" s="20">
        <f>IF($Z1627="","",MOD($AA1627-1,3)+1)</f>
        <v/>
      </c>
      <c r="AD1627" s="20">
        <f>IF($Z1627="","",Settings!$B$2+$AC1627-1)</f>
        <v/>
      </c>
      <c r="AE1627" s="21">
        <f>IF($Z1627="C",DATE(YEAR(INDEX(Contracts!$J$2:$J$151,$AB1627)),MONTH(INDEX(Contracts!$J$2:$J$151,$AB1627)),1),IF($Z1627="A",DATE(YEAR(INDEX(Fixed_Assets!$G$2:$G$201,$AB1627)),MONTH(INDEX(Fixed_Assets!$G$2:$G$201,$AB1627)),1),IF($Z1627="F",DATE(YEAR(MAX(N(INDEX(Workforce!$I$2:$I$151,MATCH(INDEX(FTE_Allocation!$A$2:$A$201,$AB1627),Workforce!$A$2:$A$151,0))),N(INDEX(FTE_Allocation!$I$2:$I$201,$AB1627)))),MONTH(MAX(N(INDEX(Workforce!$I$2:$I$151,MATCH(INDEX(FTE_Allocation!$A$2:$A$201,$AB1627),Workforce!$A$2:$A$151,0))),N(INDEX(FTE_Allocation!$I$2:$I$201,$AB1627)))),1),"")))</f>
        <v/>
      </c>
      <c r="AF1627" s="21">
        <f>IF($Z1627="C",IF(INDEX(Contracts!$I$2:$I$151,$AB1627)="PREPAID",EDATE(DATE(YEAR(INDEX(Contracts!$J$2:$J$151,$AB1627)),MONTH(INDEX(Contracts!$J$2:$J$151,$AB1627)),1),IF(INDEX(Contracts!$N$2:$N$151,$AB1627)="",12,INDEX(Contracts!$N$2:$N$151,$AB1627))-1),IF(INDEX(Contracts!$I$2:$I$151,$AB1627)="MONTHLY",IF(INDEX(Contracts!$K$2:$K$151,$AB1627)="",2958101,INDEX(Contracts!$K$2:$K$151,$AB1627)),0)),IF($Z1627="A",EDATE(DATE(YEAR(INDEX(Fixed_Assets!$G$2:$G$201,$AB1627)),MONTH(INDEX(Fixed_Assets!$G$2:$G$201,$AB1627)),1),INDEX(Fixed_Assets!$J$2:$J$201,$AB1627)-1),IF($Z1627="F",MIN(IF(INDEX(Workforce!$J$2:$J$151,MATCH(INDEX(FTE_Allocation!$A$2:$A$201,$AB1627),Workforce!$A$2:$A$151,0))="",2958101,INDEX(Workforce!$J$2:$J$151,MATCH(INDEX(FTE_Allocation!$A$2:$A$201,$AB1627),Workforce!$A$2:$A$151,0))),IF(INDEX(FTE_Allocation!$J$2:$J$201,$AB1627)="",2958101,INDEX(FTE_Allocation!$J$2:$J$201,$AB1627))),"")))</f>
        <v/>
      </c>
      <c r="AG1627" s="19">
        <f>IF($Z1627="C",IF(INDEX(Contracts!$I$2:$I$151,$AB1627)="PREPAID",INDEX(Contracts!$M$2:$M$151,$AB1627)/IF(INDEX(Contracts!$N$2:$N$151,$AB1627)="",12,INDEX(Contracts!$N$2:$N$151,$AB1627)),IF(INDEX(Contracts!$I$2:$I$151,$AB1627)="MONTHLY",INDEX(Contracts!$M$2:$M$151,$AB1627),0))*(1-N(INDEX(Contracts!$O$2:$O$151,$AB1627))),IF($Z1627="A",INDEX(Fixed_Assets!$H$2:$H$201,$AB1627)/INDEX(Fixed_Assets!$J$2:$J$201,$AB1627),IF($Z1627="F",INDEX(Workforce!$F$2:$F$151,MATCH(INDEX(FTE_Allocation!$A$2:$A$201,$AB1627),Workforce!$A$2:$A$151,0))*N(INDEX(FTE_Allocation!$F$2:$H$201,$AB1627,$AC1627)),"")))</f>
        <v/>
      </c>
    </row>
    <row r="1628">
      <c r="A1628" s="7">
        <f>IF($Z1628="","",$AD1628)</f>
        <v/>
      </c>
      <c r="B1628" s="7">
        <f>IF($Z1628="C",INDEX(Contracts!$D$2:$D$151,$AB1628)&amp;"",IF($Z1628="A",INDEX(Fixed_Assets!$C$2:$C$201,$AB1628)&amp;"",IF($Z1628="F",INDEX(Workforce!$B$2:$B$151,MATCH(INDEX(FTE_Allocation!$A$2:$A$201,$AB1628),Workforce!$A$2:$A$151,0))&amp;"","")))</f>
        <v/>
      </c>
      <c r="C1628" s="7">
        <f>IF($Z1628="C",INDEX(Contracts!$E$2:$E$151,$AB1628)&amp;"",IF($Z1628="A",INDEX(Fixed_Assets!$D$2:$D$201,$AB1628)&amp;"",IF($Z1628="F",INDEX(FTE_Allocation!$C$2:$C$201,$AB1628)&amp;"","")))</f>
        <v/>
      </c>
      <c r="D1628" s="7">
        <f>IF($Z1628="C",INDEX(Contracts!$B$2:$B$151,$AB1628)&amp;"",IF($Z1628="A",INDEX(Fixed_Assets!$B$2:$B$201,$AB1628)&amp;"",IF($Z1628="F",INDEX(FTE_Allocation!$B$2:$B$201,$AB1628)&amp;"","")))</f>
        <v/>
      </c>
      <c r="E1628" s="7">
        <f>IF($Z1628="C",INDEX(Contracts!$P$2:$P$151,$AB1628)&amp;"",IF($Z1628="A",INDEX(Fixed_Assets!$K$2:$K$201,$AB1628)&amp;"",IF($Z1628="F",IF(INDEX(FTE_Allocation!$D$2:$D$201,$AB1628)="PROJECT",IFERROR(INDEX(Projects!$D:$D,MATCH(INDEX(FTE_Allocation!$E$2:$E$201,$AB1628),Projects!$A:$A,0))&amp;"","#PROJECT?"),INDEX(FTE_Allocation!$E$2:$E$201,$AB1628)&amp;""),"")))</f>
        <v/>
      </c>
      <c r="F1628" s="7">
        <f>IF($Z1628="C",INDEX(Contracts!$Q$2:$Q$151,$AB1628)&amp;"",IF($Z1628="A",INDEX(Fixed_Assets!$L$2:$L$201,$AB1628)&amp;"",IF($Z1628="F",INDEX(Workforce!$K$2:$K$151,MATCH(INDEX(FTE_Allocation!$A$2:$A$201,$AB1628),Workforce!$A$2:$A$151,0))&amp;"","")))</f>
        <v/>
      </c>
      <c r="G1628" s="7">
        <f>IF($Z1628="C",INDEX(Contracts!$F$2:$F$151,$AB1628)&amp;" / "&amp;INDEX(Contracts!$G$2:$G$151,$AB1628),IF($Z1628="A",INDEX(Fixed_Assets!$E$2:$E$201,$AB1628)&amp;"",IF($Z1628="F","Personnel "&amp;INDEX(FTE_Allocation!$A$2:$A$201,$AB1628)&amp;IF(INDEX(FTE_Allocation!$D$2:$D$201,$AB1628)="PROJECT"," ("&amp;INDEX(FTE_Allocation!$E$2:$E$201,$AB1628)&amp;")",""),"")))</f>
        <v/>
      </c>
      <c r="H1628" s="7">
        <f>IF($Z1628="C","CONTRACT",IF($Z1628="A","ASSET",IF($Z1628="F","WORKFORCE","")))</f>
        <v/>
      </c>
      <c r="I1628" s="7">
        <f>IF($Z1628="C",INDEX(Contracts!$L$2:$L$151,$AB1628)&amp;"",IF($Z1628="A",INDEX(Fixed_Assets!$I$2:$I$201,$AB1628)&amp;"",IF($Z1628="F",INDEX(Workforce!$G$2:$G$151,MATCH(INDEX(FTE_Allocation!$A$2:$A$201,$AB1628),Workforce!$A$2:$A$151,0))&amp;"","")))</f>
        <v/>
      </c>
      <c r="J1628" s="18">
        <f>IF($Z1628="","",IF(AND(DATE($AD1628,1,1)&gt;=$AE1628,DATE($AD1628,1,1)&lt;=$AF1628),ROUND($AG1628,2),0))</f>
        <v/>
      </c>
      <c r="K1628" s="18">
        <f>IF($Z1628="","",IF(AND(DATE($AD1628,2,1)&gt;=$AE1628,DATE($AD1628,2,1)&lt;=$AF1628),ROUND($AG1628,2),0))</f>
        <v/>
      </c>
      <c r="L1628" s="18">
        <f>IF($Z1628="","",IF(AND(DATE($AD1628,3,1)&gt;=$AE1628,DATE($AD1628,3,1)&lt;=$AF1628),ROUND($AG1628,2),0))</f>
        <v/>
      </c>
      <c r="M1628" s="18">
        <f>IF($Z1628="","",IF(AND(DATE($AD1628,4,1)&gt;=$AE1628,DATE($AD1628,4,1)&lt;=$AF1628),ROUND($AG1628,2),0))</f>
        <v/>
      </c>
      <c r="N1628" s="18">
        <f>IF($Z1628="","",IF(AND(DATE($AD1628,5,1)&gt;=$AE1628,DATE($AD1628,5,1)&lt;=$AF1628),ROUND($AG1628,2),0))</f>
        <v/>
      </c>
      <c r="O1628" s="18">
        <f>IF($Z1628="","",IF(AND(DATE($AD1628,6,1)&gt;=$AE1628,DATE($AD1628,6,1)&lt;=$AF1628),ROUND($AG1628,2),0))</f>
        <v/>
      </c>
      <c r="P1628" s="18">
        <f>IF($Z1628="","",IF(AND(DATE($AD1628,7,1)&gt;=$AE1628,DATE($AD1628,7,1)&lt;=$AF1628),ROUND($AG1628,2),0))</f>
        <v/>
      </c>
      <c r="Q1628" s="18">
        <f>IF($Z1628="","",IF(AND(DATE($AD1628,8,1)&gt;=$AE1628,DATE($AD1628,8,1)&lt;=$AF1628),ROUND($AG1628,2),0))</f>
        <v/>
      </c>
      <c r="R1628" s="18">
        <f>IF($Z1628="","",IF(AND(DATE($AD1628,9,1)&gt;=$AE1628,DATE($AD1628,9,1)&lt;=$AF1628),ROUND($AG1628,2),0))</f>
        <v/>
      </c>
      <c r="S1628" s="18">
        <f>IF($Z1628="","",IF(AND(DATE($AD1628,10,1)&gt;=$AE1628,DATE($AD1628,10,1)&lt;=$AF1628),ROUND($AG1628,2),0))</f>
        <v/>
      </c>
      <c r="T1628" s="18">
        <f>IF($Z1628="","",IF(AND(DATE($AD1628,11,1)&gt;=$AE1628,DATE($AD1628,11,1)&lt;=$AF1628),ROUND($AG1628,2),0))</f>
        <v/>
      </c>
      <c r="U1628" s="18">
        <f>IF($Z1628="","",IF(AND(DATE($AD1628,12,1)&gt;=$AE1628,DATE($AD1628,12,1)&lt;=$AF1628),ROUND($AG1628,2),0))</f>
        <v/>
      </c>
      <c r="V1628" s="7">
        <f>IF($Z1628="C","Generated from "&amp;INDEX(Contracts!$A$2:$A$151,$AB1628),IF($Z1628="A","Generated from "&amp;INDEX(Fixed_Assets!$A$2:$A$201,$AB1628),IF($Z1628="F","Generated from "&amp;INDEX(FTE_Allocation!$A$2:$A$201,$AB1628),"")))</f>
        <v/>
      </c>
      <c r="X1628" s="19">
        <f>IF($Z1628="","",SUM(J1628:U1628))</f>
        <v/>
      </c>
      <c r="Y1628" s="20">
        <f>ROW()-1</f>
        <v/>
      </c>
      <c r="Z1628" s="20">
        <f>IF($Y1628&lt;=Settings!$B$4*3,"C",IF($Y1628&lt;=(Settings!$B$4+Settings!$B$5)*3,"A",IF($Y1628&lt;=(Settings!$B$4+Settings!$B$5+Settings!$B$6)*3,"F","")))</f>
        <v/>
      </c>
      <c r="AA1628" s="20">
        <f>IF($Z1628="C",$Y1628,IF($Z1628="A",$Y1628-Settings!$B$4*3,IF($Z1628="F",$Y1628-(Settings!$B$4+Settings!$B$5)*3,"")))</f>
        <v/>
      </c>
      <c r="AB1628" s="20">
        <f>IF($Z1628="","",INT(($AA1628-1)/3)+1)</f>
        <v/>
      </c>
      <c r="AC1628" s="20">
        <f>IF($Z1628="","",MOD($AA1628-1,3)+1)</f>
        <v/>
      </c>
      <c r="AD1628" s="20">
        <f>IF($Z1628="","",Settings!$B$2+$AC1628-1)</f>
        <v/>
      </c>
      <c r="AE1628" s="21">
        <f>IF($Z1628="C",DATE(YEAR(INDEX(Contracts!$J$2:$J$151,$AB1628)),MONTH(INDEX(Contracts!$J$2:$J$151,$AB1628)),1),IF($Z1628="A",DATE(YEAR(INDEX(Fixed_Assets!$G$2:$G$201,$AB1628)),MONTH(INDEX(Fixed_Assets!$G$2:$G$201,$AB1628)),1),IF($Z1628="F",DATE(YEAR(MAX(N(INDEX(Workforce!$I$2:$I$151,MATCH(INDEX(FTE_Allocation!$A$2:$A$201,$AB1628),Workforce!$A$2:$A$151,0))),N(INDEX(FTE_Allocation!$I$2:$I$201,$AB1628)))),MONTH(MAX(N(INDEX(Workforce!$I$2:$I$151,MATCH(INDEX(FTE_Allocation!$A$2:$A$201,$AB1628),Workforce!$A$2:$A$151,0))),N(INDEX(FTE_Allocation!$I$2:$I$201,$AB1628)))),1),"")))</f>
        <v/>
      </c>
      <c r="AF1628" s="21">
        <f>IF($Z1628="C",IF(INDEX(Contracts!$I$2:$I$151,$AB1628)="PREPAID",EDATE(DATE(YEAR(INDEX(Contracts!$J$2:$J$151,$AB1628)),MONTH(INDEX(Contracts!$J$2:$J$151,$AB1628)),1),IF(INDEX(Contracts!$N$2:$N$151,$AB1628)="",12,INDEX(Contracts!$N$2:$N$151,$AB1628))-1),IF(INDEX(Contracts!$I$2:$I$151,$AB1628)="MONTHLY",IF(INDEX(Contracts!$K$2:$K$151,$AB1628)="",2958101,INDEX(Contracts!$K$2:$K$151,$AB1628)),0)),IF($Z1628="A",EDATE(DATE(YEAR(INDEX(Fixed_Assets!$G$2:$G$201,$AB1628)),MONTH(INDEX(Fixed_Assets!$G$2:$G$201,$AB1628)),1),INDEX(Fixed_Assets!$J$2:$J$201,$AB1628)-1),IF($Z1628="F",MIN(IF(INDEX(Workforce!$J$2:$J$151,MATCH(INDEX(FTE_Allocation!$A$2:$A$201,$AB1628),Workforce!$A$2:$A$151,0))="",2958101,INDEX(Workforce!$J$2:$J$151,MATCH(INDEX(FTE_Allocation!$A$2:$A$201,$AB1628),Workforce!$A$2:$A$151,0))),IF(INDEX(FTE_Allocation!$J$2:$J$201,$AB1628)="",2958101,INDEX(FTE_Allocation!$J$2:$J$201,$AB1628))),"")))</f>
        <v/>
      </c>
      <c r="AG1628" s="19">
        <f>IF($Z1628="C",IF(INDEX(Contracts!$I$2:$I$151,$AB1628)="PREPAID",INDEX(Contracts!$M$2:$M$151,$AB1628)/IF(INDEX(Contracts!$N$2:$N$151,$AB1628)="",12,INDEX(Contracts!$N$2:$N$151,$AB1628)),IF(INDEX(Contracts!$I$2:$I$151,$AB1628)="MONTHLY",INDEX(Contracts!$M$2:$M$151,$AB1628),0))*(1-N(INDEX(Contracts!$O$2:$O$151,$AB1628))),IF($Z1628="A",INDEX(Fixed_Assets!$H$2:$H$201,$AB1628)/INDEX(Fixed_Assets!$J$2:$J$201,$AB1628),IF($Z1628="F",INDEX(Workforce!$F$2:$F$151,MATCH(INDEX(FTE_Allocation!$A$2:$A$201,$AB1628),Workforce!$A$2:$A$151,0))*N(INDEX(FTE_Allocation!$F$2:$H$201,$AB1628,$AC1628)),"")))</f>
        <v/>
      </c>
    </row>
    <row r="1629">
      <c r="A1629" s="7">
        <f>IF($Z1629="","",$AD1629)</f>
        <v/>
      </c>
      <c r="B1629" s="7">
        <f>IF($Z1629="C",INDEX(Contracts!$D$2:$D$151,$AB1629)&amp;"",IF($Z1629="A",INDEX(Fixed_Assets!$C$2:$C$201,$AB1629)&amp;"",IF($Z1629="F",INDEX(Workforce!$B$2:$B$151,MATCH(INDEX(FTE_Allocation!$A$2:$A$201,$AB1629),Workforce!$A$2:$A$151,0))&amp;"","")))</f>
        <v/>
      </c>
      <c r="C1629" s="7">
        <f>IF($Z1629="C",INDEX(Contracts!$E$2:$E$151,$AB1629)&amp;"",IF($Z1629="A",INDEX(Fixed_Assets!$D$2:$D$201,$AB1629)&amp;"",IF($Z1629="F",INDEX(FTE_Allocation!$C$2:$C$201,$AB1629)&amp;"","")))</f>
        <v/>
      </c>
      <c r="D1629" s="7">
        <f>IF($Z1629="C",INDEX(Contracts!$B$2:$B$151,$AB1629)&amp;"",IF($Z1629="A",INDEX(Fixed_Assets!$B$2:$B$201,$AB1629)&amp;"",IF($Z1629="F",INDEX(FTE_Allocation!$B$2:$B$201,$AB1629)&amp;"","")))</f>
        <v/>
      </c>
      <c r="E1629" s="7">
        <f>IF($Z1629="C",INDEX(Contracts!$P$2:$P$151,$AB1629)&amp;"",IF($Z1629="A",INDEX(Fixed_Assets!$K$2:$K$201,$AB1629)&amp;"",IF($Z1629="F",IF(INDEX(FTE_Allocation!$D$2:$D$201,$AB1629)="PROJECT",IFERROR(INDEX(Projects!$D:$D,MATCH(INDEX(FTE_Allocation!$E$2:$E$201,$AB1629),Projects!$A:$A,0))&amp;"","#PROJECT?"),INDEX(FTE_Allocation!$E$2:$E$201,$AB1629)&amp;""),"")))</f>
        <v/>
      </c>
      <c r="F1629" s="7">
        <f>IF($Z1629="C",INDEX(Contracts!$Q$2:$Q$151,$AB1629)&amp;"",IF($Z1629="A",INDEX(Fixed_Assets!$L$2:$L$201,$AB1629)&amp;"",IF($Z1629="F",INDEX(Workforce!$K$2:$K$151,MATCH(INDEX(FTE_Allocation!$A$2:$A$201,$AB1629),Workforce!$A$2:$A$151,0))&amp;"","")))</f>
        <v/>
      </c>
      <c r="G1629" s="7">
        <f>IF($Z1629="C",INDEX(Contracts!$F$2:$F$151,$AB1629)&amp;" / "&amp;INDEX(Contracts!$G$2:$G$151,$AB1629),IF($Z1629="A",INDEX(Fixed_Assets!$E$2:$E$201,$AB1629)&amp;"",IF($Z1629="F","Personnel "&amp;INDEX(FTE_Allocation!$A$2:$A$201,$AB1629)&amp;IF(INDEX(FTE_Allocation!$D$2:$D$201,$AB1629)="PROJECT"," ("&amp;INDEX(FTE_Allocation!$E$2:$E$201,$AB1629)&amp;")",""),"")))</f>
        <v/>
      </c>
      <c r="H1629" s="7">
        <f>IF($Z1629="C","CONTRACT",IF($Z1629="A","ASSET",IF($Z1629="F","WORKFORCE","")))</f>
        <v/>
      </c>
      <c r="I1629" s="7">
        <f>IF($Z1629="C",INDEX(Contracts!$L$2:$L$151,$AB1629)&amp;"",IF($Z1629="A",INDEX(Fixed_Assets!$I$2:$I$201,$AB1629)&amp;"",IF($Z1629="F",INDEX(Workforce!$G$2:$G$151,MATCH(INDEX(FTE_Allocation!$A$2:$A$201,$AB1629),Workforce!$A$2:$A$151,0))&amp;"","")))</f>
        <v/>
      </c>
      <c r="J1629" s="18">
        <f>IF($Z1629="","",IF(AND(DATE($AD1629,1,1)&gt;=$AE1629,DATE($AD1629,1,1)&lt;=$AF1629),ROUND($AG1629,2),0))</f>
        <v/>
      </c>
      <c r="K1629" s="18">
        <f>IF($Z1629="","",IF(AND(DATE($AD1629,2,1)&gt;=$AE1629,DATE($AD1629,2,1)&lt;=$AF1629),ROUND($AG1629,2),0))</f>
        <v/>
      </c>
      <c r="L1629" s="18">
        <f>IF($Z1629="","",IF(AND(DATE($AD1629,3,1)&gt;=$AE1629,DATE($AD1629,3,1)&lt;=$AF1629),ROUND($AG1629,2),0))</f>
        <v/>
      </c>
      <c r="M1629" s="18">
        <f>IF($Z1629="","",IF(AND(DATE($AD1629,4,1)&gt;=$AE1629,DATE($AD1629,4,1)&lt;=$AF1629),ROUND($AG1629,2),0))</f>
        <v/>
      </c>
      <c r="N1629" s="18">
        <f>IF($Z1629="","",IF(AND(DATE($AD1629,5,1)&gt;=$AE1629,DATE($AD1629,5,1)&lt;=$AF1629),ROUND($AG1629,2),0))</f>
        <v/>
      </c>
      <c r="O1629" s="18">
        <f>IF($Z1629="","",IF(AND(DATE($AD1629,6,1)&gt;=$AE1629,DATE($AD1629,6,1)&lt;=$AF1629),ROUND($AG1629,2),0))</f>
        <v/>
      </c>
      <c r="P1629" s="18">
        <f>IF($Z1629="","",IF(AND(DATE($AD1629,7,1)&gt;=$AE1629,DATE($AD1629,7,1)&lt;=$AF1629),ROUND($AG1629,2),0))</f>
        <v/>
      </c>
      <c r="Q1629" s="18">
        <f>IF($Z1629="","",IF(AND(DATE($AD1629,8,1)&gt;=$AE1629,DATE($AD1629,8,1)&lt;=$AF1629),ROUND($AG1629,2),0))</f>
        <v/>
      </c>
      <c r="R1629" s="18">
        <f>IF($Z1629="","",IF(AND(DATE($AD1629,9,1)&gt;=$AE1629,DATE($AD1629,9,1)&lt;=$AF1629),ROUND($AG1629,2),0))</f>
        <v/>
      </c>
      <c r="S1629" s="18">
        <f>IF($Z1629="","",IF(AND(DATE($AD1629,10,1)&gt;=$AE1629,DATE($AD1629,10,1)&lt;=$AF1629),ROUND($AG1629,2),0))</f>
        <v/>
      </c>
      <c r="T1629" s="18">
        <f>IF($Z1629="","",IF(AND(DATE($AD1629,11,1)&gt;=$AE1629,DATE($AD1629,11,1)&lt;=$AF1629),ROUND($AG1629,2),0))</f>
        <v/>
      </c>
      <c r="U1629" s="18">
        <f>IF($Z1629="","",IF(AND(DATE($AD1629,12,1)&gt;=$AE1629,DATE($AD1629,12,1)&lt;=$AF1629),ROUND($AG1629,2),0))</f>
        <v/>
      </c>
      <c r="V1629" s="7">
        <f>IF($Z1629="C","Generated from "&amp;INDEX(Contracts!$A$2:$A$151,$AB1629),IF($Z1629="A","Generated from "&amp;INDEX(Fixed_Assets!$A$2:$A$201,$AB1629),IF($Z1629="F","Generated from "&amp;INDEX(FTE_Allocation!$A$2:$A$201,$AB1629),"")))</f>
        <v/>
      </c>
      <c r="X1629" s="19">
        <f>IF($Z1629="","",SUM(J1629:U1629))</f>
        <v/>
      </c>
      <c r="Y1629" s="20">
        <f>ROW()-1</f>
        <v/>
      </c>
      <c r="Z1629" s="20">
        <f>IF($Y1629&lt;=Settings!$B$4*3,"C",IF($Y1629&lt;=(Settings!$B$4+Settings!$B$5)*3,"A",IF($Y1629&lt;=(Settings!$B$4+Settings!$B$5+Settings!$B$6)*3,"F","")))</f>
        <v/>
      </c>
      <c r="AA1629" s="20">
        <f>IF($Z1629="C",$Y1629,IF($Z1629="A",$Y1629-Settings!$B$4*3,IF($Z1629="F",$Y1629-(Settings!$B$4+Settings!$B$5)*3,"")))</f>
        <v/>
      </c>
      <c r="AB1629" s="20">
        <f>IF($Z1629="","",INT(($AA1629-1)/3)+1)</f>
        <v/>
      </c>
      <c r="AC1629" s="20">
        <f>IF($Z1629="","",MOD($AA1629-1,3)+1)</f>
        <v/>
      </c>
      <c r="AD1629" s="20">
        <f>IF($Z1629="","",Settings!$B$2+$AC1629-1)</f>
        <v/>
      </c>
      <c r="AE1629" s="21">
        <f>IF($Z1629="C",DATE(YEAR(INDEX(Contracts!$J$2:$J$151,$AB1629)),MONTH(INDEX(Contracts!$J$2:$J$151,$AB1629)),1),IF($Z1629="A",DATE(YEAR(INDEX(Fixed_Assets!$G$2:$G$201,$AB1629)),MONTH(INDEX(Fixed_Assets!$G$2:$G$201,$AB1629)),1),IF($Z1629="F",DATE(YEAR(MAX(N(INDEX(Workforce!$I$2:$I$151,MATCH(INDEX(FTE_Allocation!$A$2:$A$201,$AB1629),Workforce!$A$2:$A$151,0))),N(INDEX(FTE_Allocation!$I$2:$I$201,$AB1629)))),MONTH(MAX(N(INDEX(Workforce!$I$2:$I$151,MATCH(INDEX(FTE_Allocation!$A$2:$A$201,$AB1629),Workforce!$A$2:$A$151,0))),N(INDEX(FTE_Allocation!$I$2:$I$201,$AB1629)))),1),"")))</f>
        <v/>
      </c>
      <c r="AF1629" s="21">
        <f>IF($Z1629="C",IF(INDEX(Contracts!$I$2:$I$151,$AB1629)="PREPAID",EDATE(DATE(YEAR(INDEX(Contracts!$J$2:$J$151,$AB1629)),MONTH(INDEX(Contracts!$J$2:$J$151,$AB1629)),1),IF(INDEX(Contracts!$N$2:$N$151,$AB1629)="",12,INDEX(Contracts!$N$2:$N$151,$AB1629))-1),IF(INDEX(Contracts!$I$2:$I$151,$AB1629)="MONTHLY",IF(INDEX(Contracts!$K$2:$K$151,$AB1629)="",2958101,INDEX(Contracts!$K$2:$K$151,$AB1629)),0)),IF($Z1629="A",EDATE(DATE(YEAR(INDEX(Fixed_Assets!$G$2:$G$201,$AB1629)),MONTH(INDEX(Fixed_Assets!$G$2:$G$201,$AB1629)),1),INDEX(Fixed_Assets!$J$2:$J$201,$AB1629)-1),IF($Z1629="F",MIN(IF(INDEX(Workforce!$J$2:$J$151,MATCH(INDEX(FTE_Allocation!$A$2:$A$201,$AB1629),Workforce!$A$2:$A$151,0))="",2958101,INDEX(Workforce!$J$2:$J$151,MATCH(INDEX(FTE_Allocation!$A$2:$A$201,$AB1629),Workforce!$A$2:$A$151,0))),IF(INDEX(FTE_Allocation!$J$2:$J$201,$AB1629)="",2958101,INDEX(FTE_Allocation!$J$2:$J$201,$AB1629))),"")))</f>
        <v/>
      </c>
      <c r="AG1629" s="19">
        <f>IF($Z1629="C",IF(INDEX(Contracts!$I$2:$I$151,$AB1629)="PREPAID",INDEX(Contracts!$M$2:$M$151,$AB1629)/IF(INDEX(Contracts!$N$2:$N$151,$AB1629)="",12,INDEX(Contracts!$N$2:$N$151,$AB1629)),IF(INDEX(Contracts!$I$2:$I$151,$AB1629)="MONTHLY",INDEX(Contracts!$M$2:$M$151,$AB1629),0))*(1-N(INDEX(Contracts!$O$2:$O$151,$AB1629))),IF($Z1629="A",INDEX(Fixed_Assets!$H$2:$H$201,$AB1629)/INDEX(Fixed_Assets!$J$2:$J$201,$AB1629),IF($Z1629="F",INDEX(Workforce!$F$2:$F$151,MATCH(INDEX(FTE_Allocation!$A$2:$A$201,$AB1629),Workforce!$A$2:$A$151,0))*N(INDEX(FTE_Allocation!$F$2:$H$201,$AB1629,$AC1629)),"")))</f>
        <v/>
      </c>
    </row>
    <row r="1630">
      <c r="A1630" s="7">
        <f>IF($Z1630="","",$AD1630)</f>
        <v/>
      </c>
      <c r="B1630" s="7">
        <f>IF($Z1630="C",INDEX(Contracts!$D$2:$D$151,$AB1630)&amp;"",IF($Z1630="A",INDEX(Fixed_Assets!$C$2:$C$201,$AB1630)&amp;"",IF($Z1630="F",INDEX(Workforce!$B$2:$B$151,MATCH(INDEX(FTE_Allocation!$A$2:$A$201,$AB1630),Workforce!$A$2:$A$151,0))&amp;"","")))</f>
        <v/>
      </c>
      <c r="C1630" s="7">
        <f>IF($Z1630="C",INDEX(Contracts!$E$2:$E$151,$AB1630)&amp;"",IF($Z1630="A",INDEX(Fixed_Assets!$D$2:$D$201,$AB1630)&amp;"",IF($Z1630="F",INDEX(FTE_Allocation!$C$2:$C$201,$AB1630)&amp;"","")))</f>
        <v/>
      </c>
      <c r="D1630" s="7">
        <f>IF($Z1630="C",INDEX(Contracts!$B$2:$B$151,$AB1630)&amp;"",IF($Z1630="A",INDEX(Fixed_Assets!$B$2:$B$201,$AB1630)&amp;"",IF($Z1630="F",INDEX(FTE_Allocation!$B$2:$B$201,$AB1630)&amp;"","")))</f>
        <v/>
      </c>
      <c r="E1630" s="7">
        <f>IF($Z1630="C",INDEX(Contracts!$P$2:$P$151,$AB1630)&amp;"",IF($Z1630="A",INDEX(Fixed_Assets!$K$2:$K$201,$AB1630)&amp;"",IF($Z1630="F",IF(INDEX(FTE_Allocation!$D$2:$D$201,$AB1630)="PROJECT",IFERROR(INDEX(Projects!$D:$D,MATCH(INDEX(FTE_Allocation!$E$2:$E$201,$AB1630),Projects!$A:$A,0))&amp;"","#PROJECT?"),INDEX(FTE_Allocation!$E$2:$E$201,$AB1630)&amp;""),"")))</f>
        <v/>
      </c>
      <c r="F1630" s="7">
        <f>IF($Z1630="C",INDEX(Contracts!$Q$2:$Q$151,$AB1630)&amp;"",IF($Z1630="A",INDEX(Fixed_Assets!$L$2:$L$201,$AB1630)&amp;"",IF($Z1630="F",INDEX(Workforce!$K$2:$K$151,MATCH(INDEX(FTE_Allocation!$A$2:$A$201,$AB1630),Workforce!$A$2:$A$151,0))&amp;"","")))</f>
        <v/>
      </c>
      <c r="G1630" s="7">
        <f>IF($Z1630="C",INDEX(Contracts!$F$2:$F$151,$AB1630)&amp;" / "&amp;INDEX(Contracts!$G$2:$G$151,$AB1630),IF($Z1630="A",INDEX(Fixed_Assets!$E$2:$E$201,$AB1630)&amp;"",IF($Z1630="F","Personnel "&amp;INDEX(FTE_Allocation!$A$2:$A$201,$AB1630)&amp;IF(INDEX(FTE_Allocation!$D$2:$D$201,$AB1630)="PROJECT"," ("&amp;INDEX(FTE_Allocation!$E$2:$E$201,$AB1630)&amp;")",""),"")))</f>
        <v/>
      </c>
      <c r="H1630" s="7">
        <f>IF($Z1630="C","CONTRACT",IF($Z1630="A","ASSET",IF($Z1630="F","WORKFORCE","")))</f>
        <v/>
      </c>
      <c r="I1630" s="7">
        <f>IF($Z1630="C",INDEX(Contracts!$L$2:$L$151,$AB1630)&amp;"",IF($Z1630="A",INDEX(Fixed_Assets!$I$2:$I$201,$AB1630)&amp;"",IF($Z1630="F",INDEX(Workforce!$G$2:$G$151,MATCH(INDEX(FTE_Allocation!$A$2:$A$201,$AB1630),Workforce!$A$2:$A$151,0))&amp;"","")))</f>
        <v/>
      </c>
      <c r="J1630" s="18">
        <f>IF($Z1630="","",IF(AND(DATE($AD1630,1,1)&gt;=$AE1630,DATE($AD1630,1,1)&lt;=$AF1630),ROUND($AG1630,2),0))</f>
        <v/>
      </c>
      <c r="K1630" s="18">
        <f>IF($Z1630="","",IF(AND(DATE($AD1630,2,1)&gt;=$AE1630,DATE($AD1630,2,1)&lt;=$AF1630),ROUND($AG1630,2),0))</f>
        <v/>
      </c>
      <c r="L1630" s="18">
        <f>IF($Z1630="","",IF(AND(DATE($AD1630,3,1)&gt;=$AE1630,DATE($AD1630,3,1)&lt;=$AF1630),ROUND($AG1630,2),0))</f>
        <v/>
      </c>
      <c r="M1630" s="18">
        <f>IF($Z1630="","",IF(AND(DATE($AD1630,4,1)&gt;=$AE1630,DATE($AD1630,4,1)&lt;=$AF1630),ROUND($AG1630,2),0))</f>
        <v/>
      </c>
      <c r="N1630" s="18">
        <f>IF($Z1630="","",IF(AND(DATE($AD1630,5,1)&gt;=$AE1630,DATE($AD1630,5,1)&lt;=$AF1630),ROUND($AG1630,2),0))</f>
        <v/>
      </c>
      <c r="O1630" s="18">
        <f>IF($Z1630="","",IF(AND(DATE($AD1630,6,1)&gt;=$AE1630,DATE($AD1630,6,1)&lt;=$AF1630),ROUND($AG1630,2),0))</f>
        <v/>
      </c>
      <c r="P1630" s="18">
        <f>IF($Z1630="","",IF(AND(DATE($AD1630,7,1)&gt;=$AE1630,DATE($AD1630,7,1)&lt;=$AF1630),ROUND($AG1630,2),0))</f>
        <v/>
      </c>
      <c r="Q1630" s="18">
        <f>IF($Z1630="","",IF(AND(DATE($AD1630,8,1)&gt;=$AE1630,DATE($AD1630,8,1)&lt;=$AF1630),ROUND($AG1630,2),0))</f>
        <v/>
      </c>
      <c r="R1630" s="18">
        <f>IF($Z1630="","",IF(AND(DATE($AD1630,9,1)&gt;=$AE1630,DATE($AD1630,9,1)&lt;=$AF1630),ROUND($AG1630,2),0))</f>
        <v/>
      </c>
      <c r="S1630" s="18">
        <f>IF($Z1630="","",IF(AND(DATE($AD1630,10,1)&gt;=$AE1630,DATE($AD1630,10,1)&lt;=$AF1630),ROUND($AG1630,2),0))</f>
        <v/>
      </c>
      <c r="T1630" s="18">
        <f>IF($Z1630="","",IF(AND(DATE($AD1630,11,1)&gt;=$AE1630,DATE($AD1630,11,1)&lt;=$AF1630),ROUND($AG1630,2),0))</f>
        <v/>
      </c>
      <c r="U1630" s="18">
        <f>IF($Z1630="","",IF(AND(DATE($AD1630,12,1)&gt;=$AE1630,DATE($AD1630,12,1)&lt;=$AF1630),ROUND($AG1630,2),0))</f>
        <v/>
      </c>
      <c r="V1630" s="7">
        <f>IF($Z1630="C","Generated from "&amp;INDEX(Contracts!$A$2:$A$151,$AB1630),IF($Z1630="A","Generated from "&amp;INDEX(Fixed_Assets!$A$2:$A$201,$AB1630),IF($Z1630="F","Generated from "&amp;INDEX(FTE_Allocation!$A$2:$A$201,$AB1630),"")))</f>
        <v/>
      </c>
      <c r="X1630" s="19">
        <f>IF($Z1630="","",SUM(J1630:U1630))</f>
        <v/>
      </c>
      <c r="Y1630" s="20">
        <f>ROW()-1</f>
        <v/>
      </c>
      <c r="Z1630" s="20">
        <f>IF($Y1630&lt;=Settings!$B$4*3,"C",IF($Y1630&lt;=(Settings!$B$4+Settings!$B$5)*3,"A",IF($Y1630&lt;=(Settings!$B$4+Settings!$B$5+Settings!$B$6)*3,"F","")))</f>
        <v/>
      </c>
      <c r="AA1630" s="20">
        <f>IF($Z1630="C",$Y1630,IF($Z1630="A",$Y1630-Settings!$B$4*3,IF($Z1630="F",$Y1630-(Settings!$B$4+Settings!$B$5)*3,"")))</f>
        <v/>
      </c>
      <c r="AB1630" s="20">
        <f>IF($Z1630="","",INT(($AA1630-1)/3)+1)</f>
        <v/>
      </c>
      <c r="AC1630" s="20">
        <f>IF($Z1630="","",MOD($AA1630-1,3)+1)</f>
        <v/>
      </c>
      <c r="AD1630" s="20">
        <f>IF($Z1630="","",Settings!$B$2+$AC1630-1)</f>
        <v/>
      </c>
      <c r="AE1630" s="21">
        <f>IF($Z1630="C",DATE(YEAR(INDEX(Contracts!$J$2:$J$151,$AB1630)),MONTH(INDEX(Contracts!$J$2:$J$151,$AB1630)),1),IF($Z1630="A",DATE(YEAR(INDEX(Fixed_Assets!$G$2:$G$201,$AB1630)),MONTH(INDEX(Fixed_Assets!$G$2:$G$201,$AB1630)),1),IF($Z1630="F",DATE(YEAR(MAX(N(INDEX(Workforce!$I$2:$I$151,MATCH(INDEX(FTE_Allocation!$A$2:$A$201,$AB1630),Workforce!$A$2:$A$151,0))),N(INDEX(FTE_Allocation!$I$2:$I$201,$AB1630)))),MONTH(MAX(N(INDEX(Workforce!$I$2:$I$151,MATCH(INDEX(FTE_Allocation!$A$2:$A$201,$AB1630),Workforce!$A$2:$A$151,0))),N(INDEX(FTE_Allocation!$I$2:$I$201,$AB1630)))),1),"")))</f>
        <v/>
      </c>
      <c r="AF1630" s="21">
        <f>IF($Z1630="C",IF(INDEX(Contracts!$I$2:$I$151,$AB1630)="PREPAID",EDATE(DATE(YEAR(INDEX(Contracts!$J$2:$J$151,$AB1630)),MONTH(INDEX(Contracts!$J$2:$J$151,$AB1630)),1),IF(INDEX(Contracts!$N$2:$N$151,$AB1630)="",12,INDEX(Contracts!$N$2:$N$151,$AB1630))-1),IF(INDEX(Contracts!$I$2:$I$151,$AB1630)="MONTHLY",IF(INDEX(Contracts!$K$2:$K$151,$AB1630)="",2958101,INDEX(Contracts!$K$2:$K$151,$AB1630)),0)),IF($Z1630="A",EDATE(DATE(YEAR(INDEX(Fixed_Assets!$G$2:$G$201,$AB1630)),MONTH(INDEX(Fixed_Assets!$G$2:$G$201,$AB1630)),1),INDEX(Fixed_Assets!$J$2:$J$201,$AB1630)-1),IF($Z1630="F",MIN(IF(INDEX(Workforce!$J$2:$J$151,MATCH(INDEX(FTE_Allocation!$A$2:$A$201,$AB1630),Workforce!$A$2:$A$151,0))="",2958101,INDEX(Workforce!$J$2:$J$151,MATCH(INDEX(FTE_Allocation!$A$2:$A$201,$AB1630),Workforce!$A$2:$A$151,0))),IF(INDEX(FTE_Allocation!$J$2:$J$201,$AB1630)="",2958101,INDEX(FTE_Allocation!$J$2:$J$201,$AB1630))),"")))</f>
        <v/>
      </c>
      <c r="AG1630" s="19">
        <f>IF($Z1630="C",IF(INDEX(Contracts!$I$2:$I$151,$AB1630)="PREPAID",INDEX(Contracts!$M$2:$M$151,$AB1630)/IF(INDEX(Contracts!$N$2:$N$151,$AB1630)="",12,INDEX(Contracts!$N$2:$N$151,$AB1630)),IF(INDEX(Contracts!$I$2:$I$151,$AB1630)="MONTHLY",INDEX(Contracts!$M$2:$M$151,$AB1630),0))*(1-N(INDEX(Contracts!$O$2:$O$151,$AB1630))),IF($Z1630="A",INDEX(Fixed_Assets!$H$2:$H$201,$AB1630)/INDEX(Fixed_Assets!$J$2:$J$201,$AB1630),IF($Z1630="F",INDEX(Workforce!$F$2:$F$151,MATCH(INDEX(FTE_Allocation!$A$2:$A$201,$AB1630),Workforce!$A$2:$A$151,0))*N(INDEX(FTE_Allocation!$F$2:$H$201,$AB1630,$AC1630)),"")))</f>
        <v/>
      </c>
    </row>
    <row r="1631">
      <c r="A1631" s="7">
        <f>IF($Z1631="","",$AD1631)</f>
        <v/>
      </c>
      <c r="B1631" s="7">
        <f>IF($Z1631="C",INDEX(Contracts!$D$2:$D$151,$AB1631)&amp;"",IF($Z1631="A",INDEX(Fixed_Assets!$C$2:$C$201,$AB1631)&amp;"",IF($Z1631="F",INDEX(Workforce!$B$2:$B$151,MATCH(INDEX(FTE_Allocation!$A$2:$A$201,$AB1631),Workforce!$A$2:$A$151,0))&amp;"","")))</f>
        <v/>
      </c>
      <c r="C1631" s="7">
        <f>IF($Z1631="C",INDEX(Contracts!$E$2:$E$151,$AB1631)&amp;"",IF($Z1631="A",INDEX(Fixed_Assets!$D$2:$D$201,$AB1631)&amp;"",IF($Z1631="F",INDEX(FTE_Allocation!$C$2:$C$201,$AB1631)&amp;"","")))</f>
        <v/>
      </c>
      <c r="D1631" s="7">
        <f>IF($Z1631="C",INDEX(Contracts!$B$2:$B$151,$AB1631)&amp;"",IF($Z1631="A",INDEX(Fixed_Assets!$B$2:$B$201,$AB1631)&amp;"",IF($Z1631="F",INDEX(FTE_Allocation!$B$2:$B$201,$AB1631)&amp;"","")))</f>
        <v/>
      </c>
      <c r="E1631" s="7">
        <f>IF($Z1631="C",INDEX(Contracts!$P$2:$P$151,$AB1631)&amp;"",IF($Z1631="A",INDEX(Fixed_Assets!$K$2:$K$201,$AB1631)&amp;"",IF($Z1631="F",IF(INDEX(FTE_Allocation!$D$2:$D$201,$AB1631)="PROJECT",IFERROR(INDEX(Projects!$D:$D,MATCH(INDEX(FTE_Allocation!$E$2:$E$201,$AB1631),Projects!$A:$A,0))&amp;"","#PROJECT?"),INDEX(FTE_Allocation!$E$2:$E$201,$AB1631)&amp;""),"")))</f>
        <v/>
      </c>
      <c r="F1631" s="7">
        <f>IF($Z1631="C",INDEX(Contracts!$Q$2:$Q$151,$AB1631)&amp;"",IF($Z1631="A",INDEX(Fixed_Assets!$L$2:$L$201,$AB1631)&amp;"",IF($Z1631="F",INDEX(Workforce!$K$2:$K$151,MATCH(INDEX(FTE_Allocation!$A$2:$A$201,$AB1631),Workforce!$A$2:$A$151,0))&amp;"","")))</f>
        <v/>
      </c>
      <c r="G1631" s="7">
        <f>IF($Z1631="C",INDEX(Contracts!$F$2:$F$151,$AB1631)&amp;" / "&amp;INDEX(Contracts!$G$2:$G$151,$AB1631),IF($Z1631="A",INDEX(Fixed_Assets!$E$2:$E$201,$AB1631)&amp;"",IF($Z1631="F","Personnel "&amp;INDEX(FTE_Allocation!$A$2:$A$201,$AB1631)&amp;IF(INDEX(FTE_Allocation!$D$2:$D$201,$AB1631)="PROJECT"," ("&amp;INDEX(FTE_Allocation!$E$2:$E$201,$AB1631)&amp;")",""),"")))</f>
        <v/>
      </c>
      <c r="H1631" s="7">
        <f>IF($Z1631="C","CONTRACT",IF($Z1631="A","ASSET",IF($Z1631="F","WORKFORCE","")))</f>
        <v/>
      </c>
      <c r="I1631" s="7">
        <f>IF($Z1631="C",INDEX(Contracts!$L$2:$L$151,$AB1631)&amp;"",IF($Z1631="A",INDEX(Fixed_Assets!$I$2:$I$201,$AB1631)&amp;"",IF($Z1631="F",INDEX(Workforce!$G$2:$G$151,MATCH(INDEX(FTE_Allocation!$A$2:$A$201,$AB1631),Workforce!$A$2:$A$151,0))&amp;"","")))</f>
        <v/>
      </c>
      <c r="J1631" s="18">
        <f>IF($Z1631="","",IF(AND(DATE($AD1631,1,1)&gt;=$AE1631,DATE($AD1631,1,1)&lt;=$AF1631),ROUND($AG1631,2),0))</f>
        <v/>
      </c>
      <c r="K1631" s="18">
        <f>IF($Z1631="","",IF(AND(DATE($AD1631,2,1)&gt;=$AE1631,DATE($AD1631,2,1)&lt;=$AF1631),ROUND($AG1631,2),0))</f>
        <v/>
      </c>
      <c r="L1631" s="18">
        <f>IF($Z1631="","",IF(AND(DATE($AD1631,3,1)&gt;=$AE1631,DATE($AD1631,3,1)&lt;=$AF1631),ROUND($AG1631,2),0))</f>
        <v/>
      </c>
      <c r="M1631" s="18">
        <f>IF($Z1631="","",IF(AND(DATE($AD1631,4,1)&gt;=$AE1631,DATE($AD1631,4,1)&lt;=$AF1631),ROUND($AG1631,2),0))</f>
        <v/>
      </c>
      <c r="N1631" s="18">
        <f>IF($Z1631="","",IF(AND(DATE($AD1631,5,1)&gt;=$AE1631,DATE($AD1631,5,1)&lt;=$AF1631),ROUND($AG1631,2),0))</f>
        <v/>
      </c>
      <c r="O1631" s="18">
        <f>IF($Z1631="","",IF(AND(DATE($AD1631,6,1)&gt;=$AE1631,DATE($AD1631,6,1)&lt;=$AF1631),ROUND($AG1631,2),0))</f>
        <v/>
      </c>
      <c r="P1631" s="18">
        <f>IF($Z1631="","",IF(AND(DATE($AD1631,7,1)&gt;=$AE1631,DATE($AD1631,7,1)&lt;=$AF1631),ROUND($AG1631,2),0))</f>
        <v/>
      </c>
      <c r="Q1631" s="18">
        <f>IF($Z1631="","",IF(AND(DATE($AD1631,8,1)&gt;=$AE1631,DATE($AD1631,8,1)&lt;=$AF1631),ROUND($AG1631,2),0))</f>
        <v/>
      </c>
      <c r="R1631" s="18">
        <f>IF($Z1631="","",IF(AND(DATE($AD1631,9,1)&gt;=$AE1631,DATE($AD1631,9,1)&lt;=$AF1631),ROUND($AG1631,2),0))</f>
        <v/>
      </c>
      <c r="S1631" s="18">
        <f>IF($Z1631="","",IF(AND(DATE($AD1631,10,1)&gt;=$AE1631,DATE($AD1631,10,1)&lt;=$AF1631),ROUND($AG1631,2),0))</f>
        <v/>
      </c>
      <c r="T1631" s="18">
        <f>IF($Z1631="","",IF(AND(DATE($AD1631,11,1)&gt;=$AE1631,DATE($AD1631,11,1)&lt;=$AF1631),ROUND($AG1631,2),0))</f>
        <v/>
      </c>
      <c r="U1631" s="18">
        <f>IF($Z1631="","",IF(AND(DATE($AD1631,12,1)&gt;=$AE1631,DATE($AD1631,12,1)&lt;=$AF1631),ROUND($AG1631,2),0))</f>
        <v/>
      </c>
      <c r="V1631" s="7">
        <f>IF($Z1631="C","Generated from "&amp;INDEX(Contracts!$A$2:$A$151,$AB1631),IF($Z1631="A","Generated from "&amp;INDEX(Fixed_Assets!$A$2:$A$201,$AB1631),IF($Z1631="F","Generated from "&amp;INDEX(FTE_Allocation!$A$2:$A$201,$AB1631),"")))</f>
        <v/>
      </c>
      <c r="X1631" s="19">
        <f>IF($Z1631="","",SUM(J1631:U1631))</f>
        <v/>
      </c>
      <c r="Y1631" s="20">
        <f>ROW()-1</f>
        <v/>
      </c>
      <c r="Z1631" s="20">
        <f>IF($Y1631&lt;=Settings!$B$4*3,"C",IF($Y1631&lt;=(Settings!$B$4+Settings!$B$5)*3,"A",IF($Y1631&lt;=(Settings!$B$4+Settings!$B$5+Settings!$B$6)*3,"F","")))</f>
        <v/>
      </c>
      <c r="AA1631" s="20">
        <f>IF($Z1631="C",$Y1631,IF($Z1631="A",$Y1631-Settings!$B$4*3,IF($Z1631="F",$Y1631-(Settings!$B$4+Settings!$B$5)*3,"")))</f>
        <v/>
      </c>
      <c r="AB1631" s="20">
        <f>IF($Z1631="","",INT(($AA1631-1)/3)+1)</f>
        <v/>
      </c>
      <c r="AC1631" s="20">
        <f>IF($Z1631="","",MOD($AA1631-1,3)+1)</f>
        <v/>
      </c>
      <c r="AD1631" s="20">
        <f>IF($Z1631="","",Settings!$B$2+$AC1631-1)</f>
        <v/>
      </c>
      <c r="AE1631" s="21">
        <f>IF($Z1631="C",DATE(YEAR(INDEX(Contracts!$J$2:$J$151,$AB1631)),MONTH(INDEX(Contracts!$J$2:$J$151,$AB1631)),1),IF($Z1631="A",DATE(YEAR(INDEX(Fixed_Assets!$G$2:$G$201,$AB1631)),MONTH(INDEX(Fixed_Assets!$G$2:$G$201,$AB1631)),1),IF($Z1631="F",DATE(YEAR(MAX(N(INDEX(Workforce!$I$2:$I$151,MATCH(INDEX(FTE_Allocation!$A$2:$A$201,$AB1631),Workforce!$A$2:$A$151,0))),N(INDEX(FTE_Allocation!$I$2:$I$201,$AB1631)))),MONTH(MAX(N(INDEX(Workforce!$I$2:$I$151,MATCH(INDEX(FTE_Allocation!$A$2:$A$201,$AB1631),Workforce!$A$2:$A$151,0))),N(INDEX(FTE_Allocation!$I$2:$I$201,$AB1631)))),1),"")))</f>
        <v/>
      </c>
      <c r="AF1631" s="21">
        <f>IF($Z1631="C",IF(INDEX(Contracts!$I$2:$I$151,$AB1631)="PREPAID",EDATE(DATE(YEAR(INDEX(Contracts!$J$2:$J$151,$AB1631)),MONTH(INDEX(Contracts!$J$2:$J$151,$AB1631)),1),IF(INDEX(Contracts!$N$2:$N$151,$AB1631)="",12,INDEX(Contracts!$N$2:$N$151,$AB1631))-1),IF(INDEX(Contracts!$I$2:$I$151,$AB1631)="MONTHLY",IF(INDEX(Contracts!$K$2:$K$151,$AB1631)="",2958101,INDEX(Contracts!$K$2:$K$151,$AB1631)),0)),IF($Z1631="A",EDATE(DATE(YEAR(INDEX(Fixed_Assets!$G$2:$G$201,$AB1631)),MONTH(INDEX(Fixed_Assets!$G$2:$G$201,$AB1631)),1),INDEX(Fixed_Assets!$J$2:$J$201,$AB1631)-1),IF($Z1631="F",MIN(IF(INDEX(Workforce!$J$2:$J$151,MATCH(INDEX(FTE_Allocation!$A$2:$A$201,$AB1631),Workforce!$A$2:$A$151,0))="",2958101,INDEX(Workforce!$J$2:$J$151,MATCH(INDEX(FTE_Allocation!$A$2:$A$201,$AB1631),Workforce!$A$2:$A$151,0))),IF(INDEX(FTE_Allocation!$J$2:$J$201,$AB1631)="",2958101,INDEX(FTE_Allocation!$J$2:$J$201,$AB1631))),"")))</f>
        <v/>
      </c>
      <c r="AG1631" s="19">
        <f>IF($Z1631="C",IF(INDEX(Contracts!$I$2:$I$151,$AB1631)="PREPAID",INDEX(Contracts!$M$2:$M$151,$AB1631)/IF(INDEX(Contracts!$N$2:$N$151,$AB1631)="",12,INDEX(Contracts!$N$2:$N$151,$AB1631)),IF(INDEX(Contracts!$I$2:$I$151,$AB1631)="MONTHLY",INDEX(Contracts!$M$2:$M$151,$AB1631),0))*(1-N(INDEX(Contracts!$O$2:$O$151,$AB1631))),IF($Z1631="A",INDEX(Fixed_Assets!$H$2:$H$201,$AB1631)/INDEX(Fixed_Assets!$J$2:$J$201,$AB1631),IF($Z1631="F",INDEX(Workforce!$F$2:$F$151,MATCH(INDEX(FTE_Allocation!$A$2:$A$201,$AB1631),Workforce!$A$2:$A$151,0))*N(INDEX(FTE_Allocation!$F$2:$H$201,$AB1631,$AC1631)),"")))</f>
        <v/>
      </c>
    </row>
    <row r="1632">
      <c r="A1632" s="7">
        <f>IF($Z1632="","",$AD1632)</f>
        <v/>
      </c>
      <c r="B1632" s="7">
        <f>IF($Z1632="C",INDEX(Contracts!$D$2:$D$151,$AB1632)&amp;"",IF($Z1632="A",INDEX(Fixed_Assets!$C$2:$C$201,$AB1632)&amp;"",IF($Z1632="F",INDEX(Workforce!$B$2:$B$151,MATCH(INDEX(FTE_Allocation!$A$2:$A$201,$AB1632),Workforce!$A$2:$A$151,0))&amp;"","")))</f>
        <v/>
      </c>
      <c r="C1632" s="7">
        <f>IF($Z1632="C",INDEX(Contracts!$E$2:$E$151,$AB1632)&amp;"",IF($Z1632="A",INDEX(Fixed_Assets!$D$2:$D$201,$AB1632)&amp;"",IF($Z1632="F",INDEX(FTE_Allocation!$C$2:$C$201,$AB1632)&amp;"","")))</f>
        <v/>
      </c>
      <c r="D1632" s="7">
        <f>IF($Z1632="C",INDEX(Contracts!$B$2:$B$151,$AB1632)&amp;"",IF($Z1632="A",INDEX(Fixed_Assets!$B$2:$B$201,$AB1632)&amp;"",IF($Z1632="F",INDEX(FTE_Allocation!$B$2:$B$201,$AB1632)&amp;"","")))</f>
        <v/>
      </c>
      <c r="E1632" s="7">
        <f>IF($Z1632="C",INDEX(Contracts!$P$2:$P$151,$AB1632)&amp;"",IF($Z1632="A",INDEX(Fixed_Assets!$K$2:$K$201,$AB1632)&amp;"",IF($Z1632="F",IF(INDEX(FTE_Allocation!$D$2:$D$201,$AB1632)="PROJECT",IFERROR(INDEX(Projects!$D:$D,MATCH(INDEX(FTE_Allocation!$E$2:$E$201,$AB1632),Projects!$A:$A,0))&amp;"","#PROJECT?"),INDEX(FTE_Allocation!$E$2:$E$201,$AB1632)&amp;""),"")))</f>
        <v/>
      </c>
      <c r="F1632" s="7">
        <f>IF($Z1632="C",INDEX(Contracts!$Q$2:$Q$151,$AB1632)&amp;"",IF($Z1632="A",INDEX(Fixed_Assets!$L$2:$L$201,$AB1632)&amp;"",IF($Z1632="F",INDEX(Workforce!$K$2:$K$151,MATCH(INDEX(FTE_Allocation!$A$2:$A$201,$AB1632),Workforce!$A$2:$A$151,0))&amp;"","")))</f>
        <v/>
      </c>
      <c r="G1632" s="7">
        <f>IF($Z1632="C",INDEX(Contracts!$F$2:$F$151,$AB1632)&amp;" / "&amp;INDEX(Contracts!$G$2:$G$151,$AB1632),IF($Z1632="A",INDEX(Fixed_Assets!$E$2:$E$201,$AB1632)&amp;"",IF($Z1632="F","Personnel "&amp;INDEX(FTE_Allocation!$A$2:$A$201,$AB1632)&amp;IF(INDEX(FTE_Allocation!$D$2:$D$201,$AB1632)="PROJECT"," ("&amp;INDEX(FTE_Allocation!$E$2:$E$201,$AB1632)&amp;")",""),"")))</f>
        <v/>
      </c>
      <c r="H1632" s="7">
        <f>IF($Z1632="C","CONTRACT",IF($Z1632="A","ASSET",IF($Z1632="F","WORKFORCE","")))</f>
        <v/>
      </c>
      <c r="I1632" s="7">
        <f>IF($Z1632="C",INDEX(Contracts!$L$2:$L$151,$AB1632)&amp;"",IF($Z1632="A",INDEX(Fixed_Assets!$I$2:$I$201,$AB1632)&amp;"",IF($Z1632="F",INDEX(Workforce!$G$2:$G$151,MATCH(INDEX(FTE_Allocation!$A$2:$A$201,$AB1632),Workforce!$A$2:$A$151,0))&amp;"","")))</f>
        <v/>
      </c>
      <c r="J1632" s="18">
        <f>IF($Z1632="","",IF(AND(DATE($AD1632,1,1)&gt;=$AE1632,DATE($AD1632,1,1)&lt;=$AF1632),ROUND($AG1632,2),0))</f>
        <v/>
      </c>
      <c r="K1632" s="18">
        <f>IF($Z1632="","",IF(AND(DATE($AD1632,2,1)&gt;=$AE1632,DATE($AD1632,2,1)&lt;=$AF1632),ROUND($AG1632,2),0))</f>
        <v/>
      </c>
      <c r="L1632" s="18">
        <f>IF($Z1632="","",IF(AND(DATE($AD1632,3,1)&gt;=$AE1632,DATE($AD1632,3,1)&lt;=$AF1632),ROUND($AG1632,2),0))</f>
        <v/>
      </c>
      <c r="M1632" s="18">
        <f>IF($Z1632="","",IF(AND(DATE($AD1632,4,1)&gt;=$AE1632,DATE($AD1632,4,1)&lt;=$AF1632),ROUND($AG1632,2),0))</f>
        <v/>
      </c>
      <c r="N1632" s="18">
        <f>IF($Z1632="","",IF(AND(DATE($AD1632,5,1)&gt;=$AE1632,DATE($AD1632,5,1)&lt;=$AF1632),ROUND($AG1632,2),0))</f>
        <v/>
      </c>
      <c r="O1632" s="18">
        <f>IF($Z1632="","",IF(AND(DATE($AD1632,6,1)&gt;=$AE1632,DATE($AD1632,6,1)&lt;=$AF1632),ROUND($AG1632,2),0))</f>
        <v/>
      </c>
      <c r="P1632" s="18">
        <f>IF($Z1632="","",IF(AND(DATE($AD1632,7,1)&gt;=$AE1632,DATE($AD1632,7,1)&lt;=$AF1632),ROUND($AG1632,2),0))</f>
        <v/>
      </c>
      <c r="Q1632" s="18">
        <f>IF($Z1632="","",IF(AND(DATE($AD1632,8,1)&gt;=$AE1632,DATE($AD1632,8,1)&lt;=$AF1632),ROUND($AG1632,2),0))</f>
        <v/>
      </c>
      <c r="R1632" s="18">
        <f>IF($Z1632="","",IF(AND(DATE($AD1632,9,1)&gt;=$AE1632,DATE($AD1632,9,1)&lt;=$AF1632),ROUND($AG1632,2),0))</f>
        <v/>
      </c>
      <c r="S1632" s="18">
        <f>IF($Z1632="","",IF(AND(DATE($AD1632,10,1)&gt;=$AE1632,DATE($AD1632,10,1)&lt;=$AF1632),ROUND($AG1632,2),0))</f>
        <v/>
      </c>
      <c r="T1632" s="18">
        <f>IF($Z1632="","",IF(AND(DATE($AD1632,11,1)&gt;=$AE1632,DATE($AD1632,11,1)&lt;=$AF1632),ROUND($AG1632,2),0))</f>
        <v/>
      </c>
      <c r="U1632" s="18">
        <f>IF($Z1632="","",IF(AND(DATE($AD1632,12,1)&gt;=$AE1632,DATE($AD1632,12,1)&lt;=$AF1632),ROUND($AG1632,2),0))</f>
        <v/>
      </c>
      <c r="V1632" s="7">
        <f>IF($Z1632="C","Generated from "&amp;INDEX(Contracts!$A$2:$A$151,$AB1632),IF($Z1632="A","Generated from "&amp;INDEX(Fixed_Assets!$A$2:$A$201,$AB1632),IF($Z1632="F","Generated from "&amp;INDEX(FTE_Allocation!$A$2:$A$201,$AB1632),"")))</f>
        <v/>
      </c>
      <c r="X1632" s="19">
        <f>IF($Z1632="","",SUM(J1632:U1632))</f>
        <v/>
      </c>
      <c r="Y1632" s="20">
        <f>ROW()-1</f>
        <v/>
      </c>
      <c r="Z1632" s="20">
        <f>IF($Y1632&lt;=Settings!$B$4*3,"C",IF($Y1632&lt;=(Settings!$B$4+Settings!$B$5)*3,"A",IF($Y1632&lt;=(Settings!$B$4+Settings!$B$5+Settings!$B$6)*3,"F","")))</f>
        <v/>
      </c>
      <c r="AA1632" s="20">
        <f>IF($Z1632="C",$Y1632,IF($Z1632="A",$Y1632-Settings!$B$4*3,IF($Z1632="F",$Y1632-(Settings!$B$4+Settings!$B$5)*3,"")))</f>
        <v/>
      </c>
      <c r="AB1632" s="20">
        <f>IF($Z1632="","",INT(($AA1632-1)/3)+1)</f>
        <v/>
      </c>
      <c r="AC1632" s="20">
        <f>IF($Z1632="","",MOD($AA1632-1,3)+1)</f>
        <v/>
      </c>
      <c r="AD1632" s="20">
        <f>IF($Z1632="","",Settings!$B$2+$AC1632-1)</f>
        <v/>
      </c>
      <c r="AE1632" s="21">
        <f>IF($Z1632="C",DATE(YEAR(INDEX(Contracts!$J$2:$J$151,$AB1632)),MONTH(INDEX(Contracts!$J$2:$J$151,$AB1632)),1),IF($Z1632="A",DATE(YEAR(INDEX(Fixed_Assets!$G$2:$G$201,$AB1632)),MONTH(INDEX(Fixed_Assets!$G$2:$G$201,$AB1632)),1),IF($Z1632="F",DATE(YEAR(MAX(N(INDEX(Workforce!$I$2:$I$151,MATCH(INDEX(FTE_Allocation!$A$2:$A$201,$AB1632),Workforce!$A$2:$A$151,0))),N(INDEX(FTE_Allocation!$I$2:$I$201,$AB1632)))),MONTH(MAX(N(INDEX(Workforce!$I$2:$I$151,MATCH(INDEX(FTE_Allocation!$A$2:$A$201,$AB1632),Workforce!$A$2:$A$151,0))),N(INDEX(FTE_Allocation!$I$2:$I$201,$AB1632)))),1),"")))</f>
        <v/>
      </c>
      <c r="AF1632" s="21">
        <f>IF($Z1632="C",IF(INDEX(Contracts!$I$2:$I$151,$AB1632)="PREPAID",EDATE(DATE(YEAR(INDEX(Contracts!$J$2:$J$151,$AB1632)),MONTH(INDEX(Contracts!$J$2:$J$151,$AB1632)),1),IF(INDEX(Contracts!$N$2:$N$151,$AB1632)="",12,INDEX(Contracts!$N$2:$N$151,$AB1632))-1),IF(INDEX(Contracts!$I$2:$I$151,$AB1632)="MONTHLY",IF(INDEX(Contracts!$K$2:$K$151,$AB1632)="",2958101,INDEX(Contracts!$K$2:$K$151,$AB1632)),0)),IF($Z1632="A",EDATE(DATE(YEAR(INDEX(Fixed_Assets!$G$2:$G$201,$AB1632)),MONTH(INDEX(Fixed_Assets!$G$2:$G$201,$AB1632)),1),INDEX(Fixed_Assets!$J$2:$J$201,$AB1632)-1),IF($Z1632="F",MIN(IF(INDEX(Workforce!$J$2:$J$151,MATCH(INDEX(FTE_Allocation!$A$2:$A$201,$AB1632),Workforce!$A$2:$A$151,0))="",2958101,INDEX(Workforce!$J$2:$J$151,MATCH(INDEX(FTE_Allocation!$A$2:$A$201,$AB1632),Workforce!$A$2:$A$151,0))),IF(INDEX(FTE_Allocation!$J$2:$J$201,$AB1632)="",2958101,INDEX(FTE_Allocation!$J$2:$J$201,$AB1632))),"")))</f>
        <v/>
      </c>
      <c r="AG1632" s="19">
        <f>IF($Z1632="C",IF(INDEX(Contracts!$I$2:$I$151,$AB1632)="PREPAID",INDEX(Contracts!$M$2:$M$151,$AB1632)/IF(INDEX(Contracts!$N$2:$N$151,$AB1632)="",12,INDEX(Contracts!$N$2:$N$151,$AB1632)),IF(INDEX(Contracts!$I$2:$I$151,$AB1632)="MONTHLY",INDEX(Contracts!$M$2:$M$151,$AB1632),0))*(1-N(INDEX(Contracts!$O$2:$O$151,$AB1632))),IF($Z1632="A",INDEX(Fixed_Assets!$H$2:$H$201,$AB1632)/INDEX(Fixed_Assets!$J$2:$J$201,$AB1632),IF($Z1632="F",INDEX(Workforce!$F$2:$F$151,MATCH(INDEX(FTE_Allocation!$A$2:$A$201,$AB1632),Workforce!$A$2:$A$151,0))*N(INDEX(FTE_Allocation!$F$2:$H$201,$AB1632,$AC1632)),"")))</f>
        <v/>
      </c>
    </row>
    <row r="1633">
      <c r="A1633" s="7">
        <f>IF($Z1633="","",$AD1633)</f>
        <v/>
      </c>
      <c r="B1633" s="7">
        <f>IF($Z1633="C",INDEX(Contracts!$D$2:$D$151,$AB1633)&amp;"",IF($Z1633="A",INDEX(Fixed_Assets!$C$2:$C$201,$AB1633)&amp;"",IF($Z1633="F",INDEX(Workforce!$B$2:$B$151,MATCH(INDEX(FTE_Allocation!$A$2:$A$201,$AB1633),Workforce!$A$2:$A$151,0))&amp;"","")))</f>
        <v/>
      </c>
      <c r="C1633" s="7">
        <f>IF($Z1633="C",INDEX(Contracts!$E$2:$E$151,$AB1633)&amp;"",IF($Z1633="A",INDEX(Fixed_Assets!$D$2:$D$201,$AB1633)&amp;"",IF($Z1633="F",INDEX(FTE_Allocation!$C$2:$C$201,$AB1633)&amp;"","")))</f>
        <v/>
      </c>
      <c r="D1633" s="7">
        <f>IF($Z1633="C",INDEX(Contracts!$B$2:$B$151,$AB1633)&amp;"",IF($Z1633="A",INDEX(Fixed_Assets!$B$2:$B$201,$AB1633)&amp;"",IF($Z1633="F",INDEX(FTE_Allocation!$B$2:$B$201,$AB1633)&amp;"","")))</f>
        <v/>
      </c>
      <c r="E1633" s="7">
        <f>IF($Z1633="C",INDEX(Contracts!$P$2:$P$151,$AB1633)&amp;"",IF($Z1633="A",INDEX(Fixed_Assets!$K$2:$K$201,$AB1633)&amp;"",IF($Z1633="F",IF(INDEX(FTE_Allocation!$D$2:$D$201,$AB1633)="PROJECT",IFERROR(INDEX(Projects!$D:$D,MATCH(INDEX(FTE_Allocation!$E$2:$E$201,$AB1633),Projects!$A:$A,0))&amp;"","#PROJECT?"),INDEX(FTE_Allocation!$E$2:$E$201,$AB1633)&amp;""),"")))</f>
        <v/>
      </c>
      <c r="F1633" s="7">
        <f>IF($Z1633="C",INDEX(Contracts!$Q$2:$Q$151,$AB1633)&amp;"",IF($Z1633="A",INDEX(Fixed_Assets!$L$2:$L$201,$AB1633)&amp;"",IF($Z1633="F",INDEX(Workforce!$K$2:$K$151,MATCH(INDEX(FTE_Allocation!$A$2:$A$201,$AB1633),Workforce!$A$2:$A$151,0))&amp;"","")))</f>
        <v/>
      </c>
      <c r="G1633" s="7">
        <f>IF($Z1633="C",INDEX(Contracts!$F$2:$F$151,$AB1633)&amp;" / "&amp;INDEX(Contracts!$G$2:$G$151,$AB1633),IF($Z1633="A",INDEX(Fixed_Assets!$E$2:$E$201,$AB1633)&amp;"",IF($Z1633="F","Personnel "&amp;INDEX(FTE_Allocation!$A$2:$A$201,$AB1633)&amp;IF(INDEX(FTE_Allocation!$D$2:$D$201,$AB1633)="PROJECT"," ("&amp;INDEX(FTE_Allocation!$E$2:$E$201,$AB1633)&amp;")",""),"")))</f>
        <v/>
      </c>
      <c r="H1633" s="7">
        <f>IF($Z1633="C","CONTRACT",IF($Z1633="A","ASSET",IF($Z1633="F","WORKFORCE","")))</f>
        <v/>
      </c>
      <c r="I1633" s="7">
        <f>IF($Z1633="C",INDEX(Contracts!$L$2:$L$151,$AB1633)&amp;"",IF($Z1633="A",INDEX(Fixed_Assets!$I$2:$I$201,$AB1633)&amp;"",IF($Z1633="F",INDEX(Workforce!$G$2:$G$151,MATCH(INDEX(FTE_Allocation!$A$2:$A$201,$AB1633),Workforce!$A$2:$A$151,0))&amp;"","")))</f>
        <v/>
      </c>
      <c r="J1633" s="18">
        <f>IF($Z1633="","",IF(AND(DATE($AD1633,1,1)&gt;=$AE1633,DATE($AD1633,1,1)&lt;=$AF1633),ROUND($AG1633,2),0))</f>
        <v/>
      </c>
      <c r="K1633" s="18">
        <f>IF($Z1633="","",IF(AND(DATE($AD1633,2,1)&gt;=$AE1633,DATE($AD1633,2,1)&lt;=$AF1633),ROUND($AG1633,2),0))</f>
        <v/>
      </c>
      <c r="L1633" s="18">
        <f>IF($Z1633="","",IF(AND(DATE($AD1633,3,1)&gt;=$AE1633,DATE($AD1633,3,1)&lt;=$AF1633),ROUND($AG1633,2),0))</f>
        <v/>
      </c>
      <c r="M1633" s="18">
        <f>IF($Z1633="","",IF(AND(DATE($AD1633,4,1)&gt;=$AE1633,DATE($AD1633,4,1)&lt;=$AF1633),ROUND($AG1633,2),0))</f>
        <v/>
      </c>
      <c r="N1633" s="18">
        <f>IF($Z1633="","",IF(AND(DATE($AD1633,5,1)&gt;=$AE1633,DATE($AD1633,5,1)&lt;=$AF1633),ROUND($AG1633,2),0))</f>
        <v/>
      </c>
      <c r="O1633" s="18">
        <f>IF($Z1633="","",IF(AND(DATE($AD1633,6,1)&gt;=$AE1633,DATE($AD1633,6,1)&lt;=$AF1633),ROUND($AG1633,2),0))</f>
        <v/>
      </c>
      <c r="P1633" s="18">
        <f>IF($Z1633="","",IF(AND(DATE($AD1633,7,1)&gt;=$AE1633,DATE($AD1633,7,1)&lt;=$AF1633),ROUND($AG1633,2),0))</f>
        <v/>
      </c>
      <c r="Q1633" s="18">
        <f>IF($Z1633="","",IF(AND(DATE($AD1633,8,1)&gt;=$AE1633,DATE($AD1633,8,1)&lt;=$AF1633),ROUND($AG1633,2),0))</f>
        <v/>
      </c>
      <c r="R1633" s="18">
        <f>IF($Z1633="","",IF(AND(DATE($AD1633,9,1)&gt;=$AE1633,DATE($AD1633,9,1)&lt;=$AF1633),ROUND($AG1633,2),0))</f>
        <v/>
      </c>
      <c r="S1633" s="18">
        <f>IF($Z1633="","",IF(AND(DATE($AD1633,10,1)&gt;=$AE1633,DATE($AD1633,10,1)&lt;=$AF1633),ROUND($AG1633,2),0))</f>
        <v/>
      </c>
      <c r="T1633" s="18">
        <f>IF($Z1633="","",IF(AND(DATE($AD1633,11,1)&gt;=$AE1633,DATE($AD1633,11,1)&lt;=$AF1633),ROUND($AG1633,2),0))</f>
        <v/>
      </c>
      <c r="U1633" s="18">
        <f>IF($Z1633="","",IF(AND(DATE($AD1633,12,1)&gt;=$AE1633,DATE($AD1633,12,1)&lt;=$AF1633),ROUND($AG1633,2),0))</f>
        <v/>
      </c>
      <c r="V1633" s="7">
        <f>IF($Z1633="C","Generated from "&amp;INDEX(Contracts!$A$2:$A$151,$AB1633),IF($Z1633="A","Generated from "&amp;INDEX(Fixed_Assets!$A$2:$A$201,$AB1633),IF($Z1633="F","Generated from "&amp;INDEX(FTE_Allocation!$A$2:$A$201,$AB1633),"")))</f>
        <v/>
      </c>
      <c r="X1633" s="19">
        <f>IF($Z1633="","",SUM(J1633:U1633))</f>
        <v/>
      </c>
      <c r="Y1633" s="20">
        <f>ROW()-1</f>
        <v/>
      </c>
      <c r="Z1633" s="20">
        <f>IF($Y1633&lt;=Settings!$B$4*3,"C",IF($Y1633&lt;=(Settings!$B$4+Settings!$B$5)*3,"A",IF($Y1633&lt;=(Settings!$B$4+Settings!$B$5+Settings!$B$6)*3,"F","")))</f>
        <v/>
      </c>
      <c r="AA1633" s="20">
        <f>IF($Z1633="C",$Y1633,IF($Z1633="A",$Y1633-Settings!$B$4*3,IF($Z1633="F",$Y1633-(Settings!$B$4+Settings!$B$5)*3,"")))</f>
        <v/>
      </c>
      <c r="AB1633" s="20">
        <f>IF($Z1633="","",INT(($AA1633-1)/3)+1)</f>
        <v/>
      </c>
      <c r="AC1633" s="20">
        <f>IF($Z1633="","",MOD($AA1633-1,3)+1)</f>
        <v/>
      </c>
      <c r="AD1633" s="20">
        <f>IF($Z1633="","",Settings!$B$2+$AC1633-1)</f>
        <v/>
      </c>
      <c r="AE1633" s="21">
        <f>IF($Z1633="C",DATE(YEAR(INDEX(Contracts!$J$2:$J$151,$AB1633)),MONTH(INDEX(Contracts!$J$2:$J$151,$AB1633)),1),IF($Z1633="A",DATE(YEAR(INDEX(Fixed_Assets!$G$2:$G$201,$AB1633)),MONTH(INDEX(Fixed_Assets!$G$2:$G$201,$AB1633)),1),IF($Z1633="F",DATE(YEAR(MAX(N(INDEX(Workforce!$I$2:$I$151,MATCH(INDEX(FTE_Allocation!$A$2:$A$201,$AB1633),Workforce!$A$2:$A$151,0))),N(INDEX(FTE_Allocation!$I$2:$I$201,$AB1633)))),MONTH(MAX(N(INDEX(Workforce!$I$2:$I$151,MATCH(INDEX(FTE_Allocation!$A$2:$A$201,$AB1633),Workforce!$A$2:$A$151,0))),N(INDEX(FTE_Allocation!$I$2:$I$201,$AB1633)))),1),"")))</f>
        <v/>
      </c>
      <c r="AF1633" s="21">
        <f>IF($Z1633="C",IF(INDEX(Contracts!$I$2:$I$151,$AB1633)="PREPAID",EDATE(DATE(YEAR(INDEX(Contracts!$J$2:$J$151,$AB1633)),MONTH(INDEX(Contracts!$J$2:$J$151,$AB1633)),1),IF(INDEX(Contracts!$N$2:$N$151,$AB1633)="",12,INDEX(Contracts!$N$2:$N$151,$AB1633))-1),IF(INDEX(Contracts!$I$2:$I$151,$AB1633)="MONTHLY",IF(INDEX(Contracts!$K$2:$K$151,$AB1633)="",2958101,INDEX(Contracts!$K$2:$K$151,$AB1633)),0)),IF($Z1633="A",EDATE(DATE(YEAR(INDEX(Fixed_Assets!$G$2:$G$201,$AB1633)),MONTH(INDEX(Fixed_Assets!$G$2:$G$201,$AB1633)),1),INDEX(Fixed_Assets!$J$2:$J$201,$AB1633)-1),IF($Z1633="F",MIN(IF(INDEX(Workforce!$J$2:$J$151,MATCH(INDEX(FTE_Allocation!$A$2:$A$201,$AB1633),Workforce!$A$2:$A$151,0))="",2958101,INDEX(Workforce!$J$2:$J$151,MATCH(INDEX(FTE_Allocation!$A$2:$A$201,$AB1633),Workforce!$A$2:$A$151,0))),IF(INDEX(FTE_Allocation!$J$2:$J$201,$AB1633)="",2958101,INDEX(FTE_Allocation!$J$2:$J$201,$AB1633))),"")))</f>
        <v/>
      </c>
      <c r="AG1633" s="19">
        <f>IF($Z1633="C",IF(INDEX(Contracts!$I$2:$I$151,$AB1633)="PREPAID",INDEX(Contracts!$M$2:$M$151,$AB1633)/IF(INDEX(Contracts!$N$2:$N$151,$AB1633)="",12,INDEX(Contracts!$N$2:$N$151,$AB1633)),IF(INDEX(Contracts!$I$2:$I$151,$AB1633)="MONTHLY",INDEX(Contracts!$M$2:$M$151,$AB1633),0))*(1-N(INDEX(Contracts!$O$2:$O$151,$AB1633))),IF($Z1633="A",INDEX(Fixed_Assets!$H$2:$H$201,$AB1633)/INDEX(Fixed_Assets!$J$2:$J$201,$AB1633),IF($Z1633="F",INDEX(Workforce!$F$2:$F$151,MATCH(INDEX(FTE_Allocation!$A$2:$A$201,$AB1633),Workforce!$A$2:$A$151,0))*N(INDEX(FTE_Allocation!$F$2:$H$201,$AB1633,$AC1633)),"")))</f>
        <v/>
      </c>
    </row>
    <row r="1634">
      <c r="A1634" s="7">
        <f>IF($Z1634="","",$AD1634)</f>
        <v/>
      </c>
      <c r="B1634" s="7">
        <f>IF($Z1634="C",INDEX(Contracts!$D$2:$D$151,$AB1634)&amp;"",IF($Z1634="A",INDEX(Fixed_Assets!$C$2:$C$201,$AB1634)&amp;"",IF($Z1634="F",INDEX(Workforce!$B$2:$B$151,MATCH(INDEX(FTE_Allocation!$A$2:$A$201,$AB1634),Workforce!$A$2:$A$151,0))&amp;"","")))</f>
        <v/>
      </c>
      <c r="C1634" s="7">
        <f>IF($Z1634="C",INDEX(Contracts!$E$2:$E$151,$AB1634)&amp;"",IF($Z1634="A",INDEX(Fixed_Assets!$D$2:$D$201,$AB1634)&amp;"",IF($Z1634="F",INDEX(FTE_Allocation!$C$2:$C$201,$AB1634)&amp;"","")))</f>
        <v/>
      </c>
      <c r="D1634" s="7">
        <f>IF($Z1634="C",INDEX(Contracts!$B$2:$B$151,$AB1634)&amp;"",IF($Z1634="A",INDEX(Fixed_Assets!$B$2:$B$201,$AB1634)&amp;"",IF($Z1634="F",INDEX(FTE_Allocation!$B$2:$B$201,$AB1634)&amp;"","")))</f>
        <v/>
      </c>
      <c r="E1634" s="7">
        <f>IF($Z1634="C",INDEX(Contracts!$P$2:$P$151,$AB1634)&amp;"",IF($Z1634="A",INDEX(Fixed_Assets!$K$2:$K$201,$AB1634)&amp;"",IF($Z1634="F",IF(INDEX(FTE_Allocation!$D$2:$D$201,$AB1634)="PROJECT",IFERROR(INDEX(Projects!$D:$D,MATCH(INDEX(FTE_Allocation!$E$2:$E$201,$AB1634),Projects!$A:$A,0))&amp;"","#PROJECT?"),INDEX(FTE_Allocation!$E$2:$E$201,$AB1634)&amp;""),"")))</f>
        <v/>
      </c>
      <c r="F1634" s="7">
        <f>IF($Z1634="C",INDEX(Contracts!$Q$2:$Q$151,$AB1634)&amp;"",IF($Z1634="A",INDEX(Fixed_Assets!$L$2:$L$201,$AB1634)&amp;"",IF($Z1634="F",INDEX(Workforce!$K$2:$K$151,MATCH(INDEX(FTE_Allocation!$A$2:$A$201,$AB1634),Workforce!$A$2:$A$151,0))&amp;"","")))</f>
        <v/>
      </c>
      <c r="G1634" s="7">
        <f>IF($Z1634="C",INDEX(Contracts!$F$2:$F$151,$AB1634)&amp;" / "&amp;INDEX(Contracts!$G$2:$G$151,$AB1634),IF($Z1634="A",INDEX(Fixed_Assets!$E$2:$E$201,$AB1634)&amp;"",IF($Z1634="F","Personnel "&amp;INDEX(FTE_Allocation!$A$2:$A$201,$AB1634)&amp;IF(INDEX(FTE_Allocation!$D$2:$D$201,$AB1634)="PROJECT"," ("&amp;INDEX(FTE_Allocation!$E$2:$E$201,$AB1634)&amp;")",""),"")))</f>
        <v/>
      </c>
      <c r="H1634" s="7">
        <f>IF($Z1634="C","CONTRACT",IF($Z1634="A","ASSET",IF($Z1634="F","WORKFORCE","")))</f>
        <v/>
      </c>
      <c r="I1634" s="7">
        <f>IF($Z1634="C",INDEX(Contracts!$L$2:$L$151,$AB1634)&amp;"",IF($Z1634="A",INDEX(Fixed_Assets!$I$2:$I$201,$AB1634)&amp;"",IF($Z1634="F",INDEX(Workforce!$G$2:$G$151,MATCH(INDEX(FTE_Allocation!$A$2:$A$201,$AB1634),Workforce!$A$2:$A$151,0))&amp;"","")))</f>
        <v/>
      </c>
      <c r="J1634" s="18">
        <f>IF($Z1634="","",IF(AND(DATE($AD1634,1,1)&gt;=$AE1634,DATE($AD1634,1,1)&lt;=$AF1634),ROUND($AG1634,2),0))</f>
        <v/>
      </c>
      <c r="K1634" s="18">
        <f>IF($Z1634="","",IF(AND(DATE($AD1634,2,1)&gt;=$AE1634,DATE($AD1634,2,1)&lt;=$AF1634),ROUND($AG1634,2),0))</f>
        <v/>
      </c>
      <c r="L1634" s="18">
        <f>IF($Z1634="","",IF(AND(DATE($AD1634,3,1)&gt;=$AE1634,DATE($AD1634,3,1)&lt;=$AF1634),ROUND($AG1634,2),0))</f>
        <v/>
      </c>
      <c r="M1634" s="18">
        <f>IF($Z1634="","",IF(AND(DATE($AD1634,4,1)&gt;=$AE1634,DATE($AD1634,4,1)&lt;=$AF1634),ROUND($AG1634,2),0))</f>
        <v/>
      </c>
      <c r="N1634" s="18">
        <f>IF($Z1634="","",IF(AND(DATE($AD1634,5,1)&gt;=$AE1634,DATE($AD1634,5,1)&lt;=$AF1634),ROUND($AG1634,2),0))</f>
        <v/>
      </c>
      <c r="O1634" s="18">
        <f>IF($Z1634="","",IF(AND(DATE($AD1634,6,1)&gt;=$AE1634,DATE($AD1634,6,1)&lt;=$AF1634),ROUND($AG1634,2),0))</f>
        <v/>
      </c>
      <c r="P1634" s="18">
        <f>IF($Z1634="","",IF(AND(DATE($AD1634,7,1)&gt;=$AE1634,DATE($AD1634,7,1)&lt;=$AF1634),ROUND($AG1634,2),0))</f>
        <v/>
      </c>
      <c r="Q1634" s="18">
        <f>IF($Z1634="","",IF(AND(DATE($AD1634,8,1)&gt;=$AE1634,DATE($AD1634,8,1)&lt;=$AF1634),ROUND($AG1634,2),0))</f>
        <v/>
      </c>
      <c r="R1634" s="18">
        <f>IF($Z1634="","",IF(AND(DATE($AD1634,9,1)&gt;=$AE1634,DATE($AD1634,9,1)&lt;=$AF1634),ROUND($AG1634,2),0))</f>
        <v/>
      </c>
      <c r="S1634" s="18">
        <f>IF($Z1634="","",IF(AND(DATE($AD1634,10,1)&gt;=$AE1634,DATE($AD1634,10,1)&lt;=$AF1634),ROUND($AG1634,2),0))</f>
        <v/>
      </c>
      <c r="T1634" s="18">
        <f>IF($Z1634="","",IF(AND(DATE($AD1634,11,1)&gt;=$AE1634,DATE($AD1634,11,1)&lt;=$AF1634),ROUND($AG1634,2),0))</f>
        <v/>
      </c>
      <c r="U1634" s="18">
        <f>IF($Z1634="","",IF(AND(DATE($AD1634,12,1)&gt;=$AE1634,DATE($AD1634,12,1)&lt;=$AF1634),ROUND($AG1634,2),0))</f>
        <v/>
      </c>
      <c r="V1634" s="7">
        <f>IF($Z1634="C","Generated from "&amp;INDEX(Contracts!$A$2:$A$151,$AB1634),IF($Z1634="A","Generated from "&amp;INDEX(Fixed_Assets!$A$2:$A$201,$AB1634),IF($Z1634="F","Generated from "&amp;INDEX(FTE_Allocation!$A$2:$A$201,$AB1634),"")))</f>
        <v/>
      </c>
      <c r="X1634" s="19">
        <f>IF($Z1634="","",SUM(J1634:U1634))</f>
        <v/>
      </c>
      <c r="Y1634" s="20">
        <f>ROW()-1</f>
        <v/>
      </c>
      <c r="Z1634" s="20">
        <f>IF($Y1634&lt;=Settings!$B$4*3,"C",IF($Y1634&lt;=(Settings!$B$4+Settings!$B$5)*3,"A",IF($Y1634&lt;=(Settings!$B$4+Settings!$B$5+Settings!$B$6)*3,"F","")))</f>
        <v/>
      </c>
      <c r="AA1634" s="20">
        <f>IF($Z1634="C",$Y1634,IF($Z1634="A",$Y1634-Settings!$B$4*3,IF($Z1634="F",$Y1634-(Settings!$B$4+Settings!$B$5)*3,"")))</f>
        <v/>
      </c>
      <c r="AB1634" s="20">
        <f>IF($Z1634="","",INT(($AA1634-1)/3)+1)</f>
        <v/>
      </c>
      <c r="AC1634" s="20">
        <f>IF($Z1634="","",MOD($AA1634-1,3)+1)</f>
        <v/>
      </c>
      <c r="AD1634" s="20">
        <f>IF($Z1634="","",Settings!$B$2+$AC1634-1)</f>
        <v/>
      </c>
      <c r="AE1634" s="21">
        <f>IF($Z1634="C",DATE(YEAR(INDEX(Contracts!$J$2:$J$151,$AB1634)),MONTH(INDEX(Contracts!$J$2:$J$151,$AB1634)),1),IF($Z1634="A",DATE(YEAR(INDEX(Fixed_Assets!$G$2:$G$201,$AB1634)),MONTH(INDEX(Fixed_Assets!$G$2:$G$201,$AB1634)),1),IF($Z1634="F",DATE(YEAR(MAX(N(INDEX(Workforce!$I$2:$I$151,MATCH(INDEX(FTE_Allocation!$A$2:$A$201,$AB1634),Workforce!$A$2:$A$151,0))),N(INDEX(FTE_Allocation!$I$2:$I$201,$AB1634)))),MONTH(MAX(N(INDEX(Workforce!$I$2:$I$151,MATCH(INDEX(FTE_Allocation!$A$2:$A$201,$AB1634),Workforce!$A$2:$A$151,0))),N(INDEX(FTE_Allocation!$I$2:$I$201,$AB1634)))),1),"")))</f>
        <v/>
      </c>
      <c r="AF1634" s="21">
        <f>IF($Z1634="C",IF(INDEX(Contracts!$I$2:$I$151,$AB1634)="PREPAID",EDATE(DATE(YEAR(INDEX(Contracts!$J$2:$J$151,$AB1634)),MONTH(INDEX(Contracts!$J$2:$J$151,$AB1634)),1),IF(INDEX(Contracts!$N$2:$N$151,$AB1634)="",12,INDEX(Contracts!$N$2:$N$151,$AB1634))-1),IF(INDEX(Contracts!$I$2:$I$151,$AB1634)="MONTHLY",IF(INDEX(Contracts!$K$2:$K$151,$AB1634)="",2958101,INDEX(Contracts!$K$2:$K$151,$AB1634)),0)),IF($Z1634="A",EDATE(DATE(YEAR(INDEX(Fixed_Assets!$G$2:$G$201,$AB1634)),MONTH(INDEX(Fixed_Assets!$G$2:$G$201,$AB1634)),1),INDEX(Fixed_Assets!$J$2:$J$201,$AB1634)-1),IF($Z1634="F",MIN(IF(INDEX(Workforce!$J$2:$J$151,MATCH(INDEX(FTE_Allocation!$A$2:$A$201,$AB1634),Workforce!$A$2:$A$151,0))="",2958101,INDEX(Workforce!$J$2:$J$151,MATCH(INDEX(FTE_Allocation!$A$2:$A$201,$AB1634),Workforce!$A$2:$A$151,0))),IF(INDEX(FTE_Allocation!$J$2:$J$201,$AB1634)="",2958101,INDEX(FTE_Allocation!$J$2:$J$201,$AB1634))),"")))</f>
        <v/>
      </c>
      <c r="AG1634" s="19">
        <f>IF($Z1634="C",IF(INDEX(Contracts!$I$2:$I$151,$AB1634)="PREPAID",INDEX(Contracts!$M$2:$M$151,$AB1634)/IF(INDEX(Contracts!$N$2:$N$151,$AB1634)="",12,INDEX(Contracts!$N$2:$N$151,$AB1634)),IF(INDEX(Contracts!$I$2:$I$151,$AB1634)="MONTHLY",INDEX(Contracts!$M$2:$M$151,$AB1634),0))*(1-N(INDEX(Contracts!$O$2:$O$151,$AB1634))),IF($Z1634="A",INDEX(Fixed_Assets!$H$2:$H$201,$AB1634)/INDEX(Fixed_Assets!$J$2:$J$201,$AB1634),IF($Z1634="F",INDEX(Workforce!$F$2:$F$151,MATCH(INDEX(FTE_Allocation!$A$2:$A$201,$AB1634),Workforce!$A$2:$A$151,0))*N(INDEX(FTE_Allocation!$F$2:$H$201,$AB1634,$AC1634)),"")))</f>
        <v/>
      </c>
    </row>
    <row r="1635">
      <c r="A1635" s="7">
        <f>IF($Z1635="","",$AD1635)</f>
        <v/>
      </c>
      <c r="B1635" s="7">
        <f>IF($Z1635="C",INDEX(Contracts!$D$2:$D$151,$AB1635)&amp;"",IF($Z1635="A",INDEX(Fixed_Assets!$C$2:$C$201,$AB1635)&amp;"",IF($Z1635="F",INDEX(Workforce!$B$2:$B$151,MATCH(INDEX(FTE_Allocation!$A$2:$A$201,$AB1635),Workforce!$A$2:$A$151,0))&amp;"","")))</f>
        <v/>
      </c>
      <c r="C1635" s="7">
        <f>IF($Z1635="C",INDEX(Contracts!$E$2:$E$151,$AB1635)&amp;"",IF($Z1635="A",INDEX(Fixed_Assets!$D$2:$D$201,$AB1635)&amp;"",IF($Z1635="F",INDEX(FTE_Allocation!$C$2:$C$201,$AB1635)&amp;"","")))</f>
        <v/>
      </c>
      <c r="D1635" s="7">
        <f>IF($Z1635="C",INDEX(Contracts!$B$2:$B$151,$AB1635)&amp;"",IF($Z1635="A",INDEX(Fixed_Assets!$B$2:$B$201,$AB1635)&amp;"",IF($Z1635="F",INDEX(FTE_Allocation!$B$2:$B$201,$AB1635)&amp;"","")))</f>
        <v/>
      </c>
      <c r="E1635" s="7">
        <f>IF($Z1635="C",INDEX(Contracts!$P$2:$P$151,$AB1635)&amp;"",IF($Z1635="A",INDEX(Fixed_Assets!$K$2:$K$201,$AB1635)&amp;"",IF($Z1635="F",IF(INDEX(FTE_Allocation!$D$2:$D$201,$AB1635)="PROJECT",IFERROR(INDEX(Projects!$D:$D,MATCH(INDEX(FTE_Allocation!$E$2:$E$201,$AB1635),Projects!$A:$A,0))&amp;"","#PROJECT?"),INDEX(FTE_Allocation!$E$2:$E$201,$AB1635)&amp;""),"")))</f>
        <v/>
      </c>
      <c r="F1635" s="7">
        <f>IF($Z1635="C",INDEX(Contracts!$Q$2:$Q$151,$AB1635)&amp;"",IF($Z1635="A",INDEX(Fixed_Assets!$L$2:$L$201,$AB1635)&amp;"",IF($Z1635="F",INDEX(Workforce!$K$2:$K$151,MATCH(INDEX(FTE_Allocation!$A$2:$A$201,$AB1635),Workforce!$A$2:$A$151,0))&amp;"","")))</f>
        <v/>
      </c>
      <c r="G1635" s="7">
        <f>IF($Z1635="C",INDEX(Contracts!$F$2:$F$151,$AB1635)&amp;" / "&amp;INDEX(Contracts!$G$2:$G$151,$AB1635),IF($Z1635="A",INDEX(Fixed_Assets!$E$2:$E$201,$AB1635)&amp;"",IF($Z1635="F","Personnel "&amp;INDEX(FTE_Allocation!$A$2:$A$201,$AB1635)&amp;IF(INDEX(FTE_Allocation!$D$2:$D$201,$AB1635)="PROJECT"," ("&amp;INDEX(FTE_Allocation!$E$2:$E$201,$AB1635)&amp;")",""),"")))</f>
        <v/>
      </c>
      <c r="H1635" s="7">
        <f>IF($Z1635="C","CONTRACT",IF($Z1635="A","ASSET",IF($Z1635="F","WORKFORCE","")))</f>
        <v/>
      </c>
      <c r="I1635" s="7">
        <f>IF($Z1635="C",INDEX(Contracts!$L$2:$L$151,$AB1635)&amp;"",IF($Z1635="A",INDEX(Fixed_Assets!$I$2:$I$201,$AB1635)&amp;"",IF($Z1635="F",INDEX(Workforce!$G$2:$G$151,MATCH(INDEX(FTE_Allocation!$A$2:$A$201,$AB1635),Workforce!$A$2:$A$151,0))&amp;"","")))</f>
        <v/>
      </c>
      <c r="J1635" s="18">
        <f>IF($Z1635="","",IF(AND(DATE($AD1635,1,1)&gt;=$AE1635,DATE($AD1635,1,1)&lt;=$AF1635),ROUND($AG1635,2),0))</f>
        <v/>
      </c>
      <c r="K1635" s="18">
        <f>IF($Z1635="","",IF(AND(DATE($AD1635,2,1)&gt;=$AE1635,DATE($AD1635,2,1)&lt;=$AF1635),ROUND($AG1635,2),0))</f>
        <v/>
      </c>
      <c r="L1635" s="18">
        <f>IF($Z1635="","",IF(AND(DATE($AD1635,3,1)&gt;=$AE1635,DATE($AD1635,3,1)&lt;=$AF1635),ROUND($AG1635,2),0))</f>
        <v/>
      </c>
      <c r="M1635" s="18">
        <f>IF($Z1635="","",IF(AND(DATE($AD1635,4,1)&gt;=$AE1635,DATE($AD1635,4,1)&lt;=$AF1635),ROUND($AG1635,2),0))</f>
        <v/>
      </c>
      <c r="N1635" s="18">
        <f>IF($Z1635="","",IF(AND(DATE($AD1635,5,1)&gt;=$AE1635,DATE($AD1635,5,1)&lt;=$AF1635),ROUND($AG1635,2),0))</f>
        <v/>
      </c>
      <c r="O1635" s="18">
        <f>IF($Z1635="","",IF(AND(DATE($AD1635,6,1)&gt;=$AE1635,DATE($AD1635,6,1)&lt;=$AF1635),ROUND($AG1635,2),0))</f>
        <v/>
      </c>
      <c r="P1635" s="18">
        <f>IF($Z1635="","",IF(AND(DATE($AD1635,7,1)&gt;=$AE1635,DATE($AD1635,7,1)&lt;=$AF1635),ROUND($AG1635,2),0))</f>
        <v/>
      </c>
      <c r="Q1635" s="18">
        <f>IF($Z1635="","",IF(AND(DATE($AD1635,8,1)&gt;=$AE1635,DATE($AD1635,8,1)&lt;=$AF1635),ROUND($AG1635,2),0))</f>
        <v/>
      </c>
      <c r="R1635" s="18">
        <f>IF($Z1635="","",IF(AND(DATE($AD1635,9,1)&gt;=$AE1635,DATE($AD1635,9,1)&lt;=$AF1635),ROUND($AG1635,2),0))</f>
        <v/>
      </c>
      <c r="S1635" s="18">
        <f>IF($Z1635="","",IF(AND(DATE($AD1635,10,1)&gt;=$AE1635,DATE($AD1635,10,1)&lt;=$AF1635),ROUND($AG1635,2),0))</f>
        <v/>
      </c>
      <c r="T1635" s="18">
        <f>IF($Z1635="","",IF(AND(DATE($AD1635,11,1)&gt;=$AE1635,DATE($AD1635,11,1)&lt;=$AF1635),ROUND($AG1635,2),0))</f>
        <v/>
      </c>
      <c r="U1635" s="18">
        <f>IF($Z1635="","",IF(AND(DATE($AD1635,12,1)&gt;=$AE1635,DATE($AD1635,12,1)&lt;=$AF1635),ROUND($AG1635,2),0))</f>
        <v/>
      </c>
      <c r="V1635" s="7">
        <f>IF($Z1635="C","Generated from "&amp;INDEX(Contracts!$A$2:$A$151,$AB1635),IF($Z1635="A","Generated from "&amp;INDEX(Fixed_Assets!$A$2:$A$201,$AB1635),IF($Z1635="F","Generated from "&amp;INDEX(FTE_Allocation!$A$2:$A$201,$AB1635),"")))</f>
        <v/>
      </c>
      <c r="X1635" s="19">
        <f>IF($Z1635="","",SUM(J1635:U1635))</f>
        <v/>
      </c>
      <c r="Y1635" s="20">
        <f>ROW()-1</f>
        <v/>
      </c>
      <c r="Z1635" s="20">
        <f>IF($Y1635&lt;=Settings!$B$4*3,"C",IF($Y1635&lt;=(Settings!$B$4+Settings!$B$5)*3,"A",IF($Y1635&lt;=(Settings!$B$4+Settings!$B$5+Settings!$B$6)*3,"F","")))</f>
        <v/>
      </c>
      <c r="AA1635" s="20">
        <f>IF($Z1635="C",$Y1635,IF($Z1635="A",$Y1635-Settings!$B$4*3,IF($Z1635="F",$Y1635-(Settings!$B$4+Settings!$B$5)*3,"")))</f>
        <v/>
      </c>
      <c r="AB1635" s="20">
        <f>IF($Z1635="","",INT(($AA1635-1)/3)+1)</f>
        <v/>
      </c>
      <c r="AC1635" s="20">
        <f>IF($Z1635="","",MOD($AA1635-1,3)+1)</f>
        <v/>
      </c>
      <c r="AD1635" s="20">
        <f>IF($Z1635="","",Settings!$B$2+$AC1635-1)</f>
        <v/>
      </c>
      <c r="AE1635" s="21">
        <f>IF($Z1635="C",DATE(YEAR(INDEX(Contracts!$J$2:$J$151,$AB1635)),MONTH(INDEX(Contracts!$J$2:$J$151,$AB1635)),1),IF($Z1635="A",DATE(YEAR(INDEX(Fixed_Assets!$G$2:$G$201,$AB1635)),MONTH(INDEX(Fixed_Assets!$G$2:$G$201,$AB1635)),1),IF($Z1635="F",DATE(YEAR(MAX(N(INDEX(Workforce!$I$2:$I$151,MATCH(INDEX(FTE_Allocation!$A$2:$A$201,$AB1635),Workforce!$A$2:$A$151,0))),N(INDEX(FTE_Allocation!$I$2:$I$201,$AB1635)))),MONTH(MAX(N(INDEX(Workforce!$I$2:$I$151,MATCH(INDEX(FTE_Allocation!$A$2:$A$201,$AB1635),Workforce!$A$2:$A$151,0))),N(INDEX(FTE_Allocation!$I$2:$I$201,$AB1635)))),1),"")))</f>
        <v/>
      </c>
      <c r="AF1635" s="21">
        <f>IF($Z1635="C",IF(INDEX(Contracts!$I$2:$I$151,$AB1635)="PREPAID",EDATE(DATE(YEAR(INDEX(Contracts!$J$2:$J$151,$AB1635)),MONTH(INDEX(Contracts!$J$2:$J$151,$AB1635)),1),IF(INDEX(Contracts!$N$2:$N$151,$AB1635)="",12,INDEX(Contracts!$N$2:$N$151,$AB1635))-1),IF(INDEX(Contracts!$I$2:$I$151,$AB1635)="MONTHLY",IF(INDEX(Contracts!$K$2:$K$151,$AB1635)="",2958101,INDEX(Contracts!$K$2:$K$151,$AB1635)),0)),IF($Z1635="A",EDATE(DATE(YEAR(INDEX(Fixed_Assets!$G$2:$G$201,$AB1635)),MONTH(INDEX(Fixed_Assets!$G$2:$G$201,$AB1635)),1),INDEX(Fixed_Assets!$J$2:$J$201,$AB1635)-1),IF($Z1635="F",MIN(IF(INDEX(Workforce!$J$2:$J$151,MATCH(INDEX(FTE_Allocation!$A$2:$A$201,$AB1635),Workforce!$A$2:$A$151,0))="",2958101,INDEX(Workforce!$J$2:$J$151,MATCH(INDEX(FTE_Allocation!$A$2:$A$201,$AB1635),Workforce!$A$2:$A$151,0))),IF(INDEX(FTE_Allocation!$J$2:$J$201,$AB1635)="",2958101,INDEX(FTE_Allocation!$J$2:$J$201,$AB1635))),"")))</f>
        <v/>
      </c>
      <c r="AG1635" s="19">
        <f>IF($Z1635="C",IF(INDEX(Contracts!$I$2:$I$151,$AB1635)="PREPAID",INDEX(Contracts!$M$2:$M$151,$AB1635)/IF(INDEX(Contracts!$N$2:$N$151,$AB1635)="",12,INDEX(Contracts!$N$2:$N$151,$AB1635)),IF(INDEX(Contracts!$I$2:$I$151,$AB1635)="MONTHLY",INDEX(Contracts!$M$2:$M$151,$AB1635),0))*(1-N(INDEX(Contracts!$O$2:$O$151,$AB1635))),IF($Z1635="A",INDEX(Fixed_Assets!$H$2:$H$201,$AB1635)/INDEX(Fixed_Assets!$J$2:$J$201,$AB1635),IF($Z1635="F",INDEX(Workforce!$F$2:$F$151,MATCH(INDEX(FTE_Allocation!$A$2:$A$201,$AB1635),Workforce!$A$2:$A$151,0))*N(INDEX(FTE_Allocation!$F$2:$H$201,$AB1635,$AC1635)),"")))</f>
        <v/>
      </c>
    </row>
    <row r="1636">
      <c r="A1636" s="7">
        <f>IF($Z1636="","",$AD1636)</f>
        <v/>
      </c>
      <c r="B1636" s="7">
        <f>IF($Z1636="C",INDEX(Contracts!$D$2:$D$151,$AB1636)&amp;"",IF($Z1636="A",INDEX(Fixed_Assets!$C$2:$C$201,$AB1636)&amp;"",IF($Z1636="F",INDEX(Workforce!$B$2:$B$151,MATCH(INDEX(FTE_Allocation!$A$2:$A$201,$AB1636),Workforce!$A$2:$A$151,0))&amp;"","")))</f>
        <v/>
      </c>
      <c r="C1636" s="7">
        <f>IF($Z1636="C",INDEX(Contracts!$E$2:$E$151,$AB1636)&amp;"",IF($Z1636="A",INDEX(Fixed_Assets!$D$2:$D$201,$AB1636)&amp;"",IF($Z1636="F",INDEX(FTE_Allocation!$C$2:$C$201,$AB1636)&amp;"","")))</f>
        <v/>
      </c>
      <c r="D1636" s="7">
        <f>IF($Z1636="C",INDEX(Contracts!$B$2:$B$151,$AB1636)&amp;"",IF($Z1636="A",INDEX(Fixed_Assets!$B$2:$B$201,$AB1636)&amp;"",IF($Z1636="F",INDEX(FTE_Allocation!$B$2:$B$201,$AB1636)&amp;"","")))</f>
        <v/>
      </c>
      <c r="E1636" s="7">
        <f>IF($Z1636="C",INDEX(Contracts!$P$2:$P$151,$AB1636)&amp;"",IF($Z1636="A",INDEX(Fixed_Assets!$K$2:$K$201,$AB1636)&amp;"",IF($Z1636="F",IF(INDEX(FTE_Allocation!$D$2:$D$201,$AB1636)="PROJECT",IFERROR(INDEX(Projects!$D:$D,MATCH(INDEX(FTE_Allocation!$E$2:$E$201,$AB1636),Projects!$A:$A,0))&amp;"","#PROJECT?"),INDEX(FTE_Allocation!$E$2:$E$201,$AB1636)&amp;""),"")))</f>
        <v/>
      </c>
      <c r="F1636" s="7">
        <f>IF($Z1636="C",INDEX(Contracts!$Q$2:$Q$151,$AB1636)&amp;"",IF($Z1636="A",INDEX(Fixed_Assets!$L$2:$L$201,$AB1636)&amp;"",IF($Z1636="F",INDEX(Workforce!$K$2:$K$151,MATCH(INDEX(FTE_Allocation!$A$2:$A$201,$AB1636),Workforce!$A$2:$A$151,0))&amp;"","")))</f>
        <v/>
      </c>
      <c r="G1636" s="7">
        <f>IF($Z1636="C",INDEX(Contracts!$F$2:$F$151,$AB1636)&amp;" / "&amp;INDEX(Contracts!$G$2:$G$151,$AB1636),IF($Z1636="A",INDEX(Fixed_Assets!$E$2:$E$201,$AB1636)&amp;"",IF($Z1636="F","Personnel "&amp;INDEX(FTE_Allocation!$A$2:$A$201,$AB1636)&amp;IF(INDEX(FTE_Allocation!$D$2:$D$201,$AB1636)="PROJECT"," ("&amp;INDEX(FTE_Allocation!$E$2:$E$201,$AB1636)&amp;")",""),"")))</f>
        <v/>
      </c>
      <c r="H1636" s="7">
        <f>IF($Z1636="C","CONTRACT",IF($Z1636="A","ASSET",IF($Z1636="F","WORKFORCE","")))</f>
        <v/>
      </c>
      <c r="I1636" s="7">
        <f>IF($Z1636="C",INDEX(Contracts!$L$2:$L$151,$AB1636)&amp;"",IF($Z1636="A",INDEX(Fixed_Assets!$I$2:$I$201,$AB1636)&amp;"",IF($Z1636="F",INDEX(Workforce!$G$2:$G$151,MATCH(INDEX(FTE_Allocation!$A$2:$A$201,$AB1636),Workforce!$A$2:$A$151,0))&amp;"","")))</f>
        <v/>
      </c>
      <c r="J1636" s="18">
        <f>IF($Z1636="","",IF(AND(DATE($AD1636,1,1)&gt;=$AE1636,DATE($AD1636,1,1)&lt;=$AF1636),ROUND($AG1636,2),0))</f>
        <v/>
      </c>
      <c r="K1636" s="18">
        <f>IF($Z1636="","",IF(AND(DATE($AD1636,2,1)&gt;=$AE1636,DATE($AD1636,2,1)&lt;=$AF1636),ROUND($AG1636,2),0))</f>
        <v/>
      </c>
      <c r="L1636" s="18">
        <f>IF($Z1636="","",IF(AND(DATE($AD1636,3,1)&gt;=$AE1636,DATE($AD1636,3,1)&lt;=$AF1636),ROUND($AG1636,2),0))</f>
        <v/>
      </c>
      <c r="M1636" s="18">
        <f>IF($Z1636="","",IF(AND(DATE($AD1636,4,1)&gt;=$AE1636,DATE($AD1636,4,1)&lt;=$AF1636),ROUND($AG1636,2),0))</f>
        <v/>
      </c>
      <c r="N1636" s="18">
        <f>IF($Z1636="","",IF(AND(DATE($AD1636,5,1)&gt;=$AE1636,DATE($AD1636,5,1)&lt;=$AF1636),ROUND($AG1636,2),0))</f>
        <v/>
      </c>
      <c r="O1636" s="18">
        <f>IF($Z1636="","",IF(AND(DATE($AD1636,6,1)&gt;=$AE1636,DATE($AD1636,6,1)&lt;=$AF1636),ROUND($AG1636,2),0))</f>
        <v/>
      </c>
      <c r="P1636" s="18">
        <f>IF($Z1636="","",IF(AND(DATE($AD1636,7,1)&gt;=$AE1636,DATE($AD1636,7,1)&lt;=$AF1636),ROUND($AG1636,2),0))</f>
        <v/>
      </c>
      <c r="Q1636" s="18">
        <f>IF($Z1636="","",IF(AND(DATE($AD1636,8,1)&gt;=$AE1636,DATE($AD1636,8,1)&lt;=$AF1636),ROUND($AG1636,2),0))</f>
        <v/>
      </c>
      <c r="R1636" s="18">
        <f>IF($Z1636="","",IF(AND(DATE($AD1636,9,1)&gt;=$AE1636,DATE($AD1636,9,1)&lt;=$AF1636),ROUND($AG1636,2),0))</f>
        <v/>
      </c>
      <c r="S1636" s="18">
        <f>IF($Z1636="","",IF(AND(DATE($AD1636,10,1)&gt;=$AE1636,DATE($AD1636,10,1)&lt;=$AF1636),ROUND($AG1636,2),0))</f>
        <v/>
      </c>
      <c r="T1636" s="18">
        <f>IF($Z1636="","",IF(AND(DATE($AD1636,11,1)&gt;=$AE1636,DATE($AD1636,11,1)&lt;=$AF1636),ROUND($AG1636,2),0))</f>
        <v/>
      </c>
      <c r="U1636" s="18">
        <f>IF($Z1636="","",IF(AND(DATE($AD1636,12,1)&gt;=$AE1636,DATE($AD1636,12,1)&lt;=$AF1636),ROUND($AG1636,2),0))</f>
        <v/>
      </c>
      <c r="V1636" s="7">
        <f>IF($Z1636="C","Generated from "&amp;INDEX(Contracts!$A$2:$A$151,$AB1636),IF($Z1636="A","Generated from "&amp;INDEX(Fixed_Assets!$A$2:$A$201,$AB1636),IF($Z1636="F","Generated from "&amp;INDEX(FTE_Allocation!$A$2:$A$201,$AB1636),"")))</f>
        <v/>
      </c>
      <c r="X1636" s="19">
        <f>IF($Z1636="","",SUM(J1636:U1636))</f>
        <v/>
      </c>
      <c r="Y1636" s="20">
        <f>ROW()-1</f>
        <v/>
      </c>
      <c r="Z1636" s="20">
        <f>IF($Y1636&lt;=Settings!$B$4*3,"C",IF($Y1636&lt;=(Settings!$B$4+Settings!$B$5)*3,"A",IF($Y1636&lt;=(Settings!$B$4+Settings!$B$5+Settings!$B$6)*3,"F","")))</f>
        <v/>
      </c>
      <c r="AA1636" s="20">
        <f>IF($Z1636="C",$Y1636,IF($Z1636="A",$Y1636-Settings!$B$4*3,IF($Z1636="F",$Y1636-(Settings!$B$4+Settings!$B$5)*3,"")))</f>
        <v/>
      </c>
      <c r="AB1636" s="20">
        <f>IF($Z1636="","",INT(($AA1636-1)/3)+1)</f>
        <v/>
      </c>
      <c r="AC1636" s="20">
        <f>IF($Z1636="","",MOD($AA1636-1,3)+1)</f>
        <v/>
      </c>
      <c r="AD1636" s="20">
        <f>IF($Z1636="","",Settings!$B$2+$AC1636-1)</f>
        <v/>
      </c>
      <c r="AE1636" s="21">
        <f>IF($Z1636="C",DATE(YEAR(INDEX(Contracts!$J$2:$J$151,$AB1636)),MONTH(INDEX(Contracts!$J$2:$J$151,$AB1636)),1),IF($Z1636="A",DATE(YEAR(INDEX(Fixed_Assets!$G$2:$G$201,$AB1636)),MONTH(INDEX(Fixed_Assets!$G$2:$G$201,$AB1636)),1),IF($Z1636="F",DATE(YEAR(MAX(N(INDEX(Workforce!$I$2:$I$151,MATCH(INDEX(FTE_Allocation!$A$2:$A$201,$AB1636),Workforce!$A$2:$A$151,0))),N(INDEX(FTE_Allocation!$I$2:$I$201,$AB1636)))),MONTH(MAX(N(INDEX(Workforce!$I$2:$I$151,MATCH(INDEX(FTE_Allocation!$A$2:$A$201,$AB1636),Workforce!$A$2:$A$151,0))),N(INDEX(FTE_Allocation!$I$2:$I$201,$AB1636)))),1),"")))</f>
        <v/>
      </c>
      <c r="AF1636" s="21">
        <f>IF($Z1636="C",IF(INDEX(Contracts!$I$2:$I$151,$AB1636)="PREPAID",EDATE(DATE(YEAR(INDEX(Contracts!$J$2:$J$151,$AB1636)),MONTH(INDEX(Contracts!$J$2:$J$151,$AB1636)),1),IF(INDEX(Contracts!$N$2:$N$151,$AB1636)="",12,INDEX(Contracts!$N$2:$N$151,$AB1636))-1),IF(INDEX(Contracts!$I$2:$I$151,$AB1636)="MONTHLY",IF(INDEX(Contracts!$K$2:$K$151,$AB1636)="",2958101,INDEX(Contracts!$K$2:$K$151,$AB1636)),0)),IF($Z1636="A",EDATE(DATE(YEAR(INDEX(Fixed_Assets!$G$2:$G$201,$AB1636)),MONTH(INDEX(Fixed_Assets!$G$2:$G$201,$AB1636)),1),INDEX(Fixed_Assets!$J$2:$J$201,$AB1636)-1),IF($Z1636="F",MIN(IF(INDEX(Workforce!$J$2:$J$151,MATCH(INDEX(FTE_Allocation!$A$2:$A$201,$AB1636),Workforce!$A$2:$A$151,0))="",2958101,INDEX(Workforce!$J$2:$J$151,MATCH(INDEX(FTE_Allocation!$A$2:$A$201,$AB1636),Workforce!$A$2:$A$151,0))),IF(INDEX(FTE_Allocation!$J$2:$J$201,$AB1636)="",2958101,INDEX(FTE_Allocation!$J$2:$J$201,$AB1636))),"")))</f>
        <v/>
      </c>
      <c r="AG1636" s="19">
        <f>IF($Z1636="C",IF(INDEX(Contracts!$I$2:$I$151,$AB1636)="PREPAID",INDEX(Contracts!$M$2:$M$151,$AB1636)/IF(INDEX(Contracts!$N$2:$N$151,$AB1636)="",12,INDEX(Contracts!$N$2:$N$151,$AB1636)),IF(INDEX(Contracts!$I$2:$I$151,$AB1636)="MONTHLY",INDEX(Contracts!$M$2:$M$151,$AB1636),0))*(1-N(INDEX(Contracts!$O$2:$O$151,$AB1636))),IF($Z1636="A",INDEX(Fixed_Assets!$H$2:$H$201,$AB1636)/INDEX(Fixed_Assets!$J$2:$J$201,$AB1636),IF($Z1636="F",INDEX(Workforce!$F$2:$F$151,MATCH(INDEX(FTE_Allocation!$A$2:$A$201,$AB1636),Workforce!$A$2:$A$151,0))*N(INDEX(FTE_Allocation!$F$2:$H$201,$AB1636,$AC1636)),"")))</f>
        <v/>
      </c>
    </row>
    <row r="1637">
      <c r="A1637" s="7">
        <f>IF($Z1637="","",$AD1637)</f>
        <v/>
      </c>
      <c r="B1637" s="7">
        <f>IF($Z1637="C",INDEX(Contracts!$D$2:$D$151,$AB1637)&amp;"",IF($Z1637="A",INDEX(Fixed_Assets!$C$2:$C$201,$AB1637)&amp;"",IF($Z1637="F",INDEX(Workforce!$B$2:$B$151,MATCH(INDEX(FTE_Allocation!$A$2:$A$201,$AB1637),Workforce!$A$2:$A$151,0))&amp;"","")))</f>
        <v/>
      </c>
      <c r="C1637" s="7">
        <f>IF($Z1637="C",INDEX(Contracts!$E$2:$E$151,$AB1637)&amp;"",IF($Z1637="A",INDEX(Fixed_Assets!$D$2:$D$201,$AB1637)&amp;"",IF($Z1637="F",INDEX(FTE_Allocation!$C$2:$C$201,$AB1637)&amp;"","")))</f>
        <v/>
      </c>
      <c r="D1637" s="7">
        <f>IF($Z1637="C",INDEX(Contracts!$B$2:$B$151,$AB1637)&amp;"",IF($Z1637="A",INDEX(Fixed_Assets!$B$2:$B$201,$AB1637)&amp;"",IF($Z1637="F",INDEX(FTE_Allocation!$B$2:$B$201,$AB1637)&amp;"","")))</f>
        <v/>
      </c>
      <c r="E1637" s="7">
        <f>IF($Z1637="C",INDEX(Contracts!$P$2:$P$151,$AB1637)&amp;"",IF($Z1637="A",INDEX(Fixed_Assets!$K$2:$K$201,$AB1637)&amp;"",IF($Z1637="F",IF(INDEX(FTE_Allocation!$D$2:$D$201,$AB1637)="PROJECT",IFERROR(INDEX(Projects!$D:$D,MATCH(INDEX(FTE_Allocation!$E$2:$E$201,$AB1637),Projects!$A:$A,0))&amp;"","#PROJECT?"),INDEX(FTE_Allocation!$E$2:$E$201,$AB1637)&amp;""),"")))</f>
        <v/>
      </c>
      <c r="F1637" s="7">
        <f>IF($Z1637="C",INDEX(Contracts!$Q$2:$Q$151,$AB1637)&amp;"",IF($Z1637="A",INDEX(Fixed_Assets!$L$2:$L$201,$AB1637)&amp;"",IF($Z1637="F",INDEX(Workforce!$K$2:$K$151,MATCH(INDEX(FTE_Allocation!$A$2:$A$201,$AB1637),Workforce!$A$2:$A$151,0))&amp;"","")))</f>
        <v/>
      </c>
      <c r="G1637" s="7">
        <f>IF($Z1637="C",INDEX(Contracts!$F$2:$F$151,$AB1637)&amp;" / "&amp;INDEX(Contracts!$G$2:$G$151,$AB1637),IF($Z1637="A",INDEX(Fixed_Assets!$E$2:$E$201,$AB1637)&amp;"",IF($Z1637="F","Personnel "&amp;INDEX(FTE_Allocation!$A$2:$A$201,$AB1637)&amp;IF(INDEX(FTE_Allocation!$D$2:$D$201,$AB1637)="PROJECT"," ("&amp;INDEX(FTE_Allocation!$E$2:$E$201,$AB1637)&amp;")",""),"")))</f>
        <v/>
      </c>
      <c r="H1637" s="7">
        <f>IF($Z1637="C","CONTRACT",IF($Z1637="A","ASSET",IF($Z1637="F","WORKFORCE","")))</f>
        <v/>
      </c>
      <c r="I1637" s="7">
        <f>IF($Z1637="C",INDEX(Contracts!$L$2:$L$151,$AB1637)&amp;"",IF($Z1637="A",INDEX(Fixed_Assets!$I$2:$I$201,$AB1637)&amp;"",IF($Z1637="F",INDEX(Workforce!$G$2:$G$151,MATCH(INDEX(FTE_Allocation!$A$2:$A$201,$AB1637),Workforce!$A$2:$A$151,0))&amp;"","")))</f>
        <v/>
      </c>
      <c r="J1637" s="18">
        <f>IF($Z1637="","",IF(AND(DATE($AD1637,1,1)&gt;=$AE1637,DATE($AD1637,1,1)&lt;=$AF1637),ROUND($AG1637,2),0))</f>
        <v/>
      </c>
      <c r="K1637" s="18">
        <f>IF($Z1637="","",IF(AND(DATE($AD1637,2,1)&gt;=$AE1637,DATE($AD1637,2,1)&lt;=$AF1637),ROUND($AG1637,2),0))</f>
        <v/>
      </c>
      <c r="L1637" s="18">
        <f>IF($Z1637="","",IF(AND(DATE($AD1637,3,1)&gt;=$AE1637,DATE($AD1637,3,1)&lt;=$AF1637),ROUND($AG1637,2),0))</f>
        <v/>
      </c>
      <c r="M1637" s="18">
        <f>IF($Z1637="","",IF(AND(DATE($AD1637,4,1)&gt;=$AE1637,DATE($AD1637,4,1)&lt;=$AF1637),ROUND($AG1637,2),0))</f>
        <v/>
      </c>
      <c r="N1637" s="18">
        <f>IF($Z1637="","",IF(AND(DATE($AD1637,5,1)&gt;=$AE1637,DATE($AD1637,5,1)&lt;=$AF1637),ROUND($AG1637,2),0))</f>
        <v/>
      </c>
      <c r="O1637" s="18">
        <f>IF($Z1637="","",IF(AND(DATE($AD1637,6,1)&gt;=$AE1637,DATE($AD1637,6,1)&lt;=$AF1637),ROUND($AG1637,2),0))</f>
        <v/>
      </c>
      <c r="P1637" s="18">
        <f>IF($Z1637="","",IF(AND(DATE($AD1637,7,1)&gt;=$AE1637,DATE($AD1637,7,1)&lt;=$AF1637),ROUND($AG1637,2),0))</f>
        <v/>
      </c>
      <c r="Q1637" s="18">
        <f>IF($Z1637="","",IF(AND(DATE($AD1637,8,1)&gt;=$AE1637,DATE($AD1637,8,1)&lt;=$AF1637),ROUND($AG1637,2),0))</f>
        <v/>
      </c>
      <c r="R1637" s="18">
        <f>IF($Z1637="","",IF(AND(DATE($AD1637,9,1)&gt;=$AE1637,DATE($AD1637,9,1)&lt;=$AF1637),ROUND($AG1637,2),0))</f>
        <v/>
      </c>
      <c r="S1637" s="18">
        <f>IF($Z1637="","",IF(AND(DATE($AD1637,10,1)&gt;=$AE1637,DATE($AD1637,10,1)&lt;=$AF1637),ROUND($AG1637,2),0))</f>
        <v/>
      </c>
      <c r="T1637" s="18">
        <f>IF($Z1637="","",IF(AND(DATE($AD1637,11,1)&gt;=$AE1637,DATE($AD1637,11,1)&lt;=$AF1637),ROUND($AG1637,2),0))</f>
        <v/>
      </c>
      <c r="U1637" s="18">
        <f>IF($Z1637="","",IF(AND(DATE($AD1637,12,1)&gt;=$AE1637,DATE($AD1637,12,1)&lt;=$AF1637),ROUND($AG1637,2),0))</f>
        <v/>
      </c>
      <c r="V1637" s="7">
        <f>IF($Z1637="C","Generated from "&amp;INDEX(Contracts!$A$2:$A$151,$AB1637),IF($Z1637="A","Generated from "&amp;INDEX(Fixed_Assets!$A$2:$A$201,$AB1637),IF($Z1637="F","Generated from "&amp;INDEX(FTE_Allocation!$A$2:$A$201,$AB1637),"")))</f>
        <v/>
      </c>
      <c r="X1637" s="19">
        <f>IF($Z1637="","",SUM(J1637:U1637))</f>
        <v/>
      </c>
      <c r="Y1637" s="20">
        <f>ROW()-1</f>
        <v/>
      </c>
      <c r="Z1637" s="20">
        <f>IF($Y1637&lt;=Settings!$B$4*3,"C",IF($Y1637&lt;=(Settings!$B$4+Settings!$B$5)*3,"A",IF($Y1637&lt;=(Settings!$B$4+Settings!$B$5+Settings!$B$6)*3,"F","")))</f>
        <v/>
      </c>
      <c r="AA1637" s="20">
        <f>IF($Z1637="C",$Y1637,IF($Z1637="A",$Y1637-Settings!$B$4*3,IF($Z1637="F",$Y1637-(Settings!$B$4+Settings!$B$5)*3,"")))</f>
        <v/>
      </c>
      <c r="AB1637" s="20">
        <f>IF($Z1637="","",INT(($AA1637-1)/3)+1)</f>
        <v/>
      </c>
      <c r="AC1637" s="20">
        <f>IF($Z1637="","",MOD($AA1637-1,3)+1)</f>
        <v/>
      </c>
      <c r="AD1637" s="20">
        <f>IF($Z1637="","",Settings!$B$2+$AC1637-1)</f>
        <v/>
      </c>
      <c r="AE1637" s="21">
        <f>IF($Z1637="C",DATE(YEAR(INDEX(Contracts!$J$2:$J$151,$AB1637)),MONTH(INDEX(Contracts!$J$2:$J$151,$AB1637)),1),IF($Z1637="A",DATE(YEAR(INDEX(Fixed_Assets!$G$2:$G$201,$AB1637)),MONTH(INDEX(Fixed_Assets!$G$2:$G$201,$AB1637)),1),IF($Z1637="F",DATE(YEAR(MAX(N(INDEX(Workforce!$I$2:$I$151,MATCH(INDEX(FTE_Allocation!$A$2:$A$201,$AB1637),Workforce!$A$2:$A$151,0))),N(INDEX(FTE_Allocation!$I$2:$I$201,$AB1637)))),MONTH(MAX(N(INDEX(Workforce!$I$2:$I$151,MATCH(INDEX(FTE_Allocation!$A$2:$A$201,$AB1637),Workforce!$A$2:$A$151,0))),N(INDEX(FTE_Allocation!$I$2:$I$201,$AB1637)))),1),"")))</f>
        <v/>
      </c>
      <c r="AF1637" s="21">
        <f>IF($Z1637="C",IF(INDEX(Contracts!$I$2:$I$151,$AB1637)="PREPAID",EDATE(DATE(YEAR(INDEX(Contracts!$J$2:$J$151,$AB1637)),MONTH(INDEX(Contracts!$J$2:$J$151,$AB1637)),1),IF(INDEX(Contracts!$N$2:$N$151,$AB1637)="",12,INDEX(Contracts!$N$2:$N$151,$AB1637))-1),IF(INDEX(Contracts!$I$2:$I$151,$AB1637)="MONTHLY",IF(INDEX(Contracts!$K$2:$K$151,$AB1637)="",2958101,INDEX(Contracts!$K$2:$K$151,$AB1637)),0)),IF($Z1637="A",EDATE(DATE(YEAR(INDEX(Fixed_Assets!$G$2:$G$201,$AB1637)),MONTH(INDEX(Fixed_Assets!$G$2:$G$201,$AB1637)),1),INDEX(Fixed_Assets!$J$2:$J$201,$AB1637)-1),IF($Z1637="F",MIN(IF(INDEX(Workforce!$J$2:$J$151,MATCH(INDEX(FTE_Allocation!$A$2:$A$201,$AB1637),Workforce!$A$2:$A$151,0))="",2958101,INDEX(Workforce!$J$2:$J$151,MATCH(INDEX(FTE_Allocation!$A$2:$A$201,$AB1637),Workforce!$A$2:$A$151,0))),IF(INDEX(FTE_Allocation!$J$2:$J$201,$AB1637)="",2958101,INDEX(FTE_Allocation!$J$2:$J$201,$AB1637))),"")))</f>
        <v/>
      </c>
      <c r="AG1637" s="19">
        <f>IF($Z1637="C",IF(INDEX(Contracts!$I$2:$I$151,$AB1637)="PREPAID",INDEX(Contracts!$M$2:$M$151,$AB1637)/IF(INDEX(Contracts!$N$2:$N$151,$AB1637)="",12,INDEX(Contracts!$N$2:$N$151,$AB1637)),IF(INDEX(Contracts!$I$2:$I$151,$AB1637)="MONTHLY",INDEX(Contracts!$M$2:$M$151,$AB1637),0))*(1-N(INDEX(Contracts!$O$2:$O$151,$AB1637))),IF($Z1637="A",INDEX(Fixed_Assets!$H$2:$H$201,$AB1637)/INDEX(Fixed_Assets!$J$2:$J$201,$AB1637),IF($Z1637="F",INDEX(Workforce!$F$2:$F$151,MATCH(INDEX(FTE_Allocation!$A$2:$A$201,$AB1637),Workforce!$A$2:$A$151,0))*N(INDEX(FTE_Allocation!$F$2:$H$201,$AB1637,$AC1637)),"")))</f>
        <v/>
      </c>
    </row>
    <row r="1638">
      <c r="A1638" s="7">
        <f>IF($Z1638="","",$AD1638)</f>
        <v/>
      </c>
      <c r="B1638" s="7">
        <f>IF($Z1638="C",INDEX(Contracts!$D$2:$D$151,$AB1638)&amp;"",IF($Z1638="A",INDEX(Fixed_Assets!$C$2:$C$201,$AB1638)&amp;"",IF($Z1638="F",INDEX(Workforce!$B$2:$B$151,MATCH(INDEX(FTE_Allocation!$A$2:$A$201,$AB1638),Workforce!$A$2:$A$151,0))&amp;"","")))</f>
        <v/>
      </c>
      <c r="C1638" s="7">
        <f>IF($Z1638="C",INDEX(Contracts!$E$2:$E$151,$AB1638)&amp;"",IF($Z1638="A",INDEX(Fixed_Assets!$D$2:$D$201,$AB1638)&amp;"",IF($Z1638="F",INDEX(FTE_Allocation!$C$2:$C$201,$AB1638)&amp;"","")))</f>
        <v/>
      </c>
      <c r="D1638" s="7">
        <f>IF($Z1638="C",INDEX(Contracts!$B$2:$B$151,$AB1638)&amp;"",IF($Z1638="A",INDEX(Fixed_Assets!$B$2:$B$201,$AB1638)&amp;"",IF($Z1638="F",INDEX(FTE_Allocation!$B$2:$B$201,$AB1638)&amp;"","")))</f>
        <v/>
      </c>
      <c r="E1638" s="7">
        <f>IF($Z1638="C",INDEX(Contracts!$P$2:$P$151,$AB1638)&amp;"",IF($Z1638="A",INDEX(Fixed_Assets!$K$2:$K$201,$AB1638)&amp;"",IF($Z1638="F",IF(INDEX(FTE_Allocation!$D$2:$D$201,$AB1638)="PROJECT",IFERROR(INDEX(Projects!$D:$D,MATCH(INDEX(FTE_Allocation!$E$2:$E$201,$AB1638),Projects!$A:$A,0))&amp;"","#PROJECT?"),INDEX(FTE_Allocation!$E$2:$E$201,$AB1638)&amp;""),"")))</f>
        <v/>
      </c>
      <c r="F1638" s="7">
        <f>IF($Z1638="C",INDEX(Contracts!$Q$2:$Q$151,$AB1638)&amp;"",IF($Z1638="A",INDEX(Fixed_Assets!$L$2:$L$201,$AB1638)&amp;"",IF($Z1638="F",INDEX(Workforce!$K$2:$K$151,MATCH(INDEX(FTE_Allocation!$A$2:$A$201,$AB1638),Workforce!$A$2:$A$151,0))&amp;"","")))</f>
        <v/>
      </c>
      <c r="G1638" s="7">
        <f>IF($Z1638="C",INDEX(Contracts!$F$2:$F$151,$AB1638)&amp;" / "&amp;INDEX(Contracts!$G$2:$G$151,$AB1638),IF($Z1638="A",INDEX(Fixed_Assets!$E$2:$E$201,$AB1638)&amp;"",IF($Z1638="F","Personnel "&amp;INDEX(FTE_Allocation!$A$2:$A$201,$AB1638)&amp;IF(INDEX(FTE_Allocation!$D$2:$D$201,$AB1638)="PROJECT"," ("&amp;INDEX(FTE_Allocation!$E$2:$E$201,$AB1638)&amp;")",""),"")))</f>
        <v/>
      </c>
      <c r="H1638" s="7">
        <f>IF($Z1638="C","CONTRACT",IF($Z1638="A","ASSET",IF($Z1638="F","WORKFORCE","")))</f>
        <v/>
      </c>
      <c r="I1638" s="7">
        <f>IF($Z1638="C",INDEX(Contracts!$L$2:$L$151,$AB1638)&amp;"",IF($Z1638="A",INDEX(Fixed_Assets!$I$2:$I$201,$AB1638)&amp;"",IF($Z1638="F",INDEX(Workforce!$G$2:$G$151,MATCH(INDEX(FTE_Allocation!$A$2:$A$201,$AB1638),Workforce!$A$2:$A$151,0))&amp;"","")))</f>
        <v/>
      </c>
      <c r="J1638" s="18">
        <f>IF($Z1638="","",IF(AND(DATE($AD1638,1,1)&gt;=$AE1638,DATE($AD1638,1,1)&lt;=$AF1638),ROUND($AG1638,2),0))</f>
        <v/>
      </c>
      <c r="K1638" s="18">
        <f>IF($Z1638="","",IF(AND(DATE($AD1638,2,1)&gt;=$AE1638,DATE($AD1638,2,1)&lt;=$AF1638),ROUND($AG1638,2),0))</f>
        <v/>
      </c>
      <c r="L1638" s="18">
        <f>IF($Z1638="","",IF(AND(DATE($AD1638,3,1)&gt;=$AE1638,DATE($AD1638,3,1)&lt;=$AF1638),ROUND($AG1638,2),0))</f>
        <v/>
      </c>
      <c r="M1638" s="18">
        <f>IF($Z1638="","",IF(AND(DATE($AD1638,4,1)&gt;=$AE1638,DATE($AD1638,4,1)&lt;=$AF1638),ROUND($AG1638,2),0))</f>
        <v/>
      </c>
      <c r="N1638" s="18">
        <f>IF($Z1638="","",IF(AND(DATE($AD1638,5,1)&gt;=$AE1638,DATE($AD1638,5,1)&lt;=$AF1638),ROUND($AG1638,2),0))</f>
        <v/>
      </c>
      <c r="O1638" s="18">
        <f>IF($Z1638="","",IF(AND(DATE($AD1638,6,1)&gt;=$AE1638,DATE($AD1638,6,1)&lt;=$AF1638),ROUND($AG1638,2),0))</f>
        <v/>
      </c>
      <c r="P1638" s="18">
        <f>IF($Z1638="","",IF(AND(DATE($AD1638,7,1)&gt;=$AE1638,DATE($AD1638,7,1)&lt;=$AF1638),ROUND($AG1638,2),0))</f>
        <v/>
      </c>
      <c r="Q1638" s="18">
        <f>IF($Z1638="","",IF(AND(DATE($AD1638,8,1)&gt;=$AE1638,DATE($AD1638,8,1)&lt;=$AF1638),ROUND($AG1638,2),0))</f>
        <v/>
      </c>
      <c r="R1638" s="18">
        <f>IF($Z1638="","",IF(AND(DATE($AD1638,9,1)&gt;=$AE1638,DATE($AD1638,9,1)&lt;=$AF1638),ROUND($AG1638,2),0))</f>
        <v/>
      </c>
      <c r="S1638" s="18">
        <f>IF($Z1638="","",IF(AND(DATE($AD1638,10,1)&gt;=$AE1638,DATE($AD1638,10,1)&lt;=$AF1638),ROUND($AG1638,2),0))</f>
        <v/>
      </c>
      <c r="T1638" s="18">
        <f>IF($Z1638="","",IF(AND(DATE($AD1638,11,1)&gt;=$AE1638,DATE($AD1638,11,1)&lt;=$AF1638),ROUND($AG1638,2),0))</f>
        <v/>
      </c>
      <c r="U1638" s="18">
        <f>IF($Z1638="","",IF(AND(DATE($AD1638,12,1)&gt;=$AE1638,DATE($AD1638,12,1)&lt;=$AF1638),ROUND($AG1638,2),0))</f>
        <v/>
      </c>
      <c r="V1638" s="7">
        <f>IF($Z1638="C","Generated from "&amp;INDEX(Contracts!$A$2:$A$151,$AB1638),IF($Z1638="A","Generated from "&amp;INDEX(Fixed_Assets!$A$2:$A$201,$AB1638),IF($Z1638="F","Generated from "&amp;INDEX(FTE_Allocation!$A$2:$A$201,$AB1638),"")))</f>
        <v/>
      </c>
      <c r="X1638" s="19">
        <f>IF($Z1638="","",SUM(J1638:U1638))</f>
        <v/>
      </c>
      <c r="Y1638" s="20">
        <f>ROW()-1</f>
        <v/>
      </c>
      <c r="Z1638" s="20">
        <f>IF($Y1638&lt;=Settings!$B$4*3,"C",IF($Y1638&lt;=(Settings!$B$4+Settings!$B$5)*3,"A",IF($Y1638&lt;=(Settings!$B$4+Settings!$B$5+Settings!$B$6)*3,"F","")))</f>
        <v/>
      </c>
      <c r="AA1638" s="20">
        <f>IF($Z1638="C",$Y1638,IF($Z1638="A",$Y1638-Settings!$B$4*3,IF($Z1638="F",$Y1638-(Settings!$B$4+Settings!$B$5)*3,"")))</f>
        <v/>
      </c>
      <c r="AB1638" s="20">
        <f>IF($Z1638="","",INT(($AA1638-1)/3)+1)</f>
        <v/>
      </c>
      <c r="AC1638" s="20">
        <f>IF($Z1638="","",MOD($AA1638-1,3)+1)</f>
        <v/>
      </c>
      <c r="AD1638" s="20">
        <f>IF($Z1638="","",Settings!$B$2+$AC1638-1)</f>
        <v/>
      </c>
      <c r="AE1638" s="21">
        <f>IF($Z1638="C",DATE(YEAR(INDEX(Contracts!$J$2:$J$151,$AB1638)),MONTH(INDEX(Contracts!$J$2:$J$151,$AB1638)),1),IF($Z1638="A",DATE(YEAR(INDEX(Fixed_Assets!$G$2:$G$201,$AB1638)),MONTH(INDEX(Fixed_Assets!$G$2:$G$201,$AB1638)),1),IF($Z1638="F",DATE(YEAR(MAX(N(INDEX(Workforce!$I$2:$I$151,MATCH(INDEX(FTE_Allocation!$A$2:$A$201,$AB1638),Workforce!$A$2:$A$151,0))),N(INDEX(FTE_Allocation!$I$2:$I$201,$AB1638)))),MONTH(MAX(N(INDEX(Workforce!$I$2:$I$151,MATCH(INDEX(FTE_Allocation!$A$2:$A$201,$AB1638),Workforce!$A$2:$A$151,0))),N(INDEX(FTE_Allocation!$I$2:$I$201,$AB1638)))),1),"")))</f>
        <v/>
      </c>
      <c r="AF1638" s="21">
        <f>IF($Z1638="C",IF(INDEX(Contracts!$I$2:$I$151,$AB1638)="PREPAID",EDATE(DATE(YEAR(INDEX(Contracts!$J$2:$J$151,$AB1638)),MONTH(INDEX(Contracts!$J$2:$J$151,$AB1638)),1),IF(INDEX(Contracts!$N$2:$N$151,$AB1638)="",12,INDEX(Contracts!$N$2:$N$151,$AB1638))-1),IF(INDEX(Contracts!$I$2:$I$151,$AB1638)="MONTHLY",IF(INDEX(Contracts!$K$2:$K$151,$AB1638)="",2958101,INDEX(Contracts!$K$2:$K$151,$AB1638)),0)),IF($Z1638="A",EDATE(DATE(YEAR(INDEX(Fixed_Assets!$G$2:$G$201,$AB1638)),MONTH(INDEX(Fixed_Assets!$G$2:$G$201,$AB1638)),1),INDEX(Fixed_Assets!$J$2:$J$201,$AB1638)-1),IF($Z1638="F",MIN(IF(INDEX(Workforce!$J$2:$J$151,MATCH(INDEX(FTE_Allocation!$A$2:$A$201,$AB1638),Workforce!$A$2:$A$151,0))="",2958101,INDEX(Workforce!$J$2:$J$151,MATCH(INDEX(FTE_Allocation!$A$2:$A$201,$AB1638),Workforce!$A$2:$A$151,0))),IF(INDEX(FTE_Allocation!$J$2:$J$201,$AB1638)="",2958101,INDEX(FTE_Allocation!$J$2:$J$201,$AB1638))),"")))</f>
        <v/>
      </c>
      <c r="AG1638" s="19">
        <f>IF($Z1638="C",IF(INDEX(Contracts!$I$2:$I$151,$AB1638)="PREPAID",INDEX(Contracts!$M$2:$M$151,$AB1638)/IF(INDEX(Contracts!$N$2:$N$151,$AB1638)="",12,INDEX(Contracts!$N$2:$N$151,$AB1638)),IF(INDEX(Contracts!$I$2:$I$151,$AB1638)="MONTHLY",INDEX(Contracts!$M$2:$M$151,$AB1638),0))*(1-N(INDEX(Contracts!$O$2:$O$151,$AB1638))),IF($Z1638="A",INDEX(Fixed_Assets!$H$2:$H$201,$AB1638)/INDEX(Fixed_Assets!$J$2:$J$201,$AB1638),IF($Z1638="F",INDEX(Workforce!$F$2:$F$151,MATCH(INDEX(FTE_Allocation!$A$2:$A$201,$AB1638),Workforce!$A$2:$A$151,0))*N(INDEX(FTE_Allocation!$F$2:$H$201,$AB1638,$AC1638)),"")))</f>
        <v/>
      </c>
    </row>
    <row r="1639">
      <c r="A1639" s="7">
        <f>IF($Z1639="","",$AD1639)</f>
        <v/>
      </c>
      <c r="B1639" s="7">
        <f>IF($Z1639="C",INDEX(Contracts!$D$2:$D$151,$AB1639)&amp;"",IF($Z1639="A",INDEX(Fixed_Assets!$C$2:$C$201,$AB1639)&amp;"",IF($Z1639="F",INDEX(Workforce!$B$2:$B$151,MATCH(INDEX(FTE_Allocation!$A$2:$A$201,$AB1639),Workforce!$A$2:$A$151,0))&amp;"","")))</f>
        <v/>
      </c>
      <c r="C1639" s="7">
        <f>IF($Z1639="C",INDEX(Contracts!$E$2:$E$151,$AB1639)&amp;"",IF($Z1639="A",INDEX(Fixed_Assets!$D$2:$D$201,$AB1639)&amp;"",IF($Z1639="F",INDEX(FTE_Allocation!$C$2:$C$201,$AB1639)&amp;"","")))</f>
        <v/>
      </c>
      <c r="D1639" s="7">
        <f>IF($Z1639="C",INDEX(Contracts!$B$2:$B$151,$AB1639)&amp;"",IF($Z1639="A",INDEX(Fixed_Assets!$B$2:$B$201,$AB1639)&amp;"",IF($Z1639="F",INDEX(FTE_Allocation!$B$2:$B$201,$AB1639)&amp;"","")))</f>
        <v/>
      </c>
      <c r="E1639" s="7">
        <f>IF($Z1639="C",INDEX(Contracts!$P$2:$P$151,$AB1639)&amp;"",IF($Z1639="A",INDEX(Fixed_Assets!$K$2:$K$201,$AB1639)&amp;"",IF($Z1639="F",IF(INDEX(FTE_Allocation!$D$2:$D$201,$AB1639)="PROJECT",IFERROR(INDEX(Projects!$D:$D,MATCH(INDEX(FTE_Allocation!$E$2:$E$201,$AB1639),Projects!$A:$A,0))&amp;"","#PROJECT?"),INDEX(FTE_Allocation!$E$2:$E$201,$AB1639)&amp;""),"")))</f>
        <v/>
      </c>
      <c r="F1639" s="7">
        <f>IF($Z1639="C",INDEX(Contracts!$Q$2:$Q$151,$AB1639)&amp;"",IF($Z1639="A",INDEX(Fixed_Assets!$L$2:$L$201,$AB1639)&amp;"",IF($Z1639="F",INDEX(Workforce!$K$2:$K$151,MATCH(INDEX(FTE_Allocation!$A$2:$A$201,$AB1639),Workforce!$A$2:$A$151,0))&amp;"","")))</f>
        <v/>
      </c>
      <c r="G1639" s="7">
        <f>IF($Z1639="C",INDEX(Contracts!$F$2:$F$151,$AB1639)&amp;" / "&amp;INDEX(Contracts!$G$2:$G$151,$AB1639),IF($Z1639="A",INDEX(Fixed_Assets!$E$2:$E$201,$AB1639)&amp;"",IF($Z1639="F","Personnel "&amp;INDEX(FTE_Allocation!$A$2:$A$201,$AB1639)&amp;IF(INDEX(FTE_Allocation!$D$2:$D$201,$AB1639)="PROJECT"," ("&amp;INDEX(FTE_Allocation!$E$2:$E$201,$AB1639)&amp;")",""),"")))</f>
        <v/>
      </c>
      <c r="H1639" s="7">
        <f>IF($Z1639="C","CONTRACT",IF($Z1639="A","ASSET",IF($Z1639="F","WORKFORCE","")))</f>
        <v/>
      </c>
      <c r="I1639" s="7">
        <f>IF($Z1639="C",INDEX(Contracts!$L$2:$L$151,$AB1639)&amp;"",IF($Z1639="A",INDEX(Fixed_Assets!$I$2:$I$201,$AB1639)&amp;"",IF($Z1639="F",INDEX(Workforce!$G$2:$G$151,MATCH(INDEX(FTE_Allocation!$A$2:$A$201,$AB1639),Workforce!$A$2:$A$151,0))&amp;"","")))</f>
        <v/>
      </c>
      <c r="J1639" s="18">
        <f>IF($Z1639="","",IF(AND(DATE($AD1639,1,1)&gt;=$AE1639,DATE($AD1639,1,1)&lt;=$AF1639),ROUND($AG1639,2),0))</f>
        <v/>
      </c>
      <c r="K1639" s="18">
        <f>IF($Z1639="","",IF(AND(DATE($AD1639,2,1)&gt;=$AE1639,DATE($AD1639,2,1)&lt;=$AF1639),ROUND($AG1639,2),0))</f>
        <v/>
      </c>
      <c r="L1639" s="18">
        <f>IF($Z1639="","",IF(AND(DATE($AD1639,3,1)&gt;=$AE1639,DATE($AD1639,3,1)&lt;=$AF1639),ROUND($AG1639,2),0))</f>
        <v/>
      </c>
      <c r="M1639" s="18">
        <f>IF($Z1639="","",IF(AND(DATE($AD1639,4,1)&gt;=$AE1639,DATE($AD1639,4,1)&lt;=$AF1639),ROUND($AG1639,2),0))</f>
        <v/>
      </c>
      <c r="N1639" s="18">
        <f>IF($Z1639="","",IF(AND(DATE($AD1639,5,1)&gt;=$AE1639,DATE($AD1639,5,1)&lt;=$AF1639),ROUND($AG1639,2),0))</f>
        <v/>
      </c>
      <c r="O1639" s="18">
        <f>IF($Z1639="","",IF(AND(DATE($AD1639,6,1)&gt;=$AE1639,DATE($AD1639,6,1)&lt;=$AF1639),ROUND($AG1639,2),0))</f>
        <v/>
      </c>
      <c r="P1639" s="18">
        <f>IF($Z1639="","",IF(AND(DATE($AD1639,7,1)&gt;=$AE1639,DATE($AD1639,7,1)&lt;=$AF1639),ROUND($AG1639,2),0))</f>
        <v/>
      </c>
      <c r="Q1639" s="18">
        <f>IF($Z1639="","",IF(AND(DATE($AD1639,8,1)&gt;=$AE1639,DATE($AD1639,8,1)&lt;=$AF1639),ROUND($AG1639,2),0))</f>
        <v/>
      </c>
      <c r="R1639" s="18">
        <f>IF($Z1639="","",IF(AND(DATE($AD1639,9,1)&gt;=$AE1639,DATE($AD1639,9,1)&lt;=$AF1639),ROUND($AG1639,2),0))</f>
        <v/>
      </c>
      <c r="S1639" s="18">
        <f>IF($Z1639="","",IF(AND(DATE($AD1639,10,1)&gt;=$AE1639,DATE($AD1639,10,1)&lt;=$AF1639),ROUND($AG1639,2),0))</f>
        <v/>
      </c>
      <c r="T1639" s="18">
        <f>IF($Z1639="","",IF(AND(DATE($AD1639,11,1)&gt;=$AE1639,DATE($AD1639,11,1)&lt;=$AF1639),ROUND($AG1639,2),0))</f>
        <v/>
      </c>
      <c r="U1639" s="18">
        <f>IF($Z1639="","",IF(AND(DATE($AD1639,12,1)&gt;=$AE1639,DATE($AD1639,12,1)&lt;=$AF1639),ROUND($AG1639,2),0))</f>
        <v/>
      </c>
      <c r="V1639" s="7">
        <f>IF($Z1639="C","Generated from "&amp;INDEX(Contracts!$A$2:$A$151,$AB1639),IF($Z1639="A","Generated from "&amp;INDEX(Fixed_Assets!$A$2:$A$201,$AB1639),IF($Z1639="F","Generated from "&amp;INDEX(FTE_Allocation!$A$2:$A$201,$AB1639),"")))</f>
        <v/>
      </c>
      <c r="X1639" s="19">
        <f>IF($Z1639="","",SUM(J1639:U1639))</f>
        <v/>
      </c>
      <c r="Y1639" s="20">
        <f>ROW()-1</f>
        <v/>
      </c>
      <c r="Z1639" s="20">
        <f>IF($Y1639&lt;=Settings!$B$4*3,"C",IF($Y1639&lt;=(Settings!$B$4+Settings!$B$5)*3,"A",IF($Y1639&lt;=(Settings!$B$4+Settings!$B$5+Settings!$B$6)*3,"F","")))</f>
        <v/>
      </c>
      <c r="AA1639" s="20">
        <f>IF($Z1639="C",$Y1639,IF($Z1639="A",$Y1639-Settings!$B$4*3,IF($Z1639="F",$Y1639-(Settings!$B$4+Settings!$B$5)*3,"")))</f>
        <v/>
      </c>
      <c r="AB1639" s="20">
        <f>IF($Z1639="","",INT(($AA1639-1)/3)+1)</f>
        <v/>
      </c>
      <c r="AC1639" s="20">
        <f>IF($Z1639="","",MOD($AA1639-1,3)+1)</f>
        <v/>
      </c>
      <c r="AD1639" s="20">
        <f>IF($Z1639="","",Settings!$B$2+$AC1639-1)</f>
        <v/>
      </c>
      <c r="AE1639" s="21">
        <f>IF($Z1639="C",DATE(YEAR(INDEX(Contracts!$J$2:$J$151,$AB1639)),MONTH(INDEX(Contracts!$J$2:$J$151,$AB1639)),1),IF($Z1639="A",DATE(YEAR(INDEX(Fixed_Assets!$G$2:$G$201,$AB1639)),MONTH(INDEX(Fixed_Assets!$G$2:$G$201,$AB1639)),1),IF($Z1639="F",DATE(YEAR(MAX(N(INDEX(Workforce!$I$2:$I$151,MATCH(INDEX(FTE_Allocation!$A$2:$A$201,$AB1639),Workforce!$A$2:$A$151,0))),N(INDEX(FTE_Allocation!$I$2:$I$201,$AB1639)))),MONTH(MAX(N(INDEX(Workforce!$I$2:$I$151,MATCH(INDEX(FTE_Allocation!$A$2:$A$201,$AB1639),Workforce!$A$2:$A$151,0))),N(INDEX(FTE_Allocation!$I$2:$I$201,$AB1639)))),1),"")))</f>
        <v/>
      </c>
      <c r="AF1639" s="21">
        <f>IF($Z1639="C",IF(INDEX(Contracts!$I$2:$I$151,$AB1639)="PREPAID",EDATE(DATE(YEAR(INDEX(Contracts!$J$2:$J$151,$AB1639)),MONTH(INDEX(Contracts!$J$2:$J$151,$AB1639)),1),IF(INDEX(Contracts!$N$2:$N$151,$AB1639)="",12,INDEX(Contracts!$N$2:$N$151,$AB1639))-1),IF(INDEX(Contracts!$I$2:$I$151,$AB1639)="MONTHLY",IF(INDEX(Contracts!$K$2:$K$151,$AB1639)="",2958101,INDEX(Contracts!$K$2:$K$151,$AB1639)),0)),IF($Z1639="A",EDATE(DATE(YEAR(INDEX(Fixed_Assets!$G$2:$G$201,$AB1639)),MONTH(INDEX(Fixed_Assets!$G$2:$G$201,$AB1639)),1),INDEX(Fixed_Assets!$J$2:$J$201,$AB1639)-1),IF($Z1639="F",MIN(IF(INDEX(Workforce!$J$2:$J$151,MATCH(INDEX(FTE_Allocation!$A$2:$A$201,$AB1639),Workforce!$A$2:$A$151,0))="",2958101,INDEX(Workforce!$J$2:$J$151,MATCH(INDEX(FTE_Allocation!$A$2:$A$201,$AB1639),Workforce!$A$2:$A$151,0))),IF(INDEX(FTE_Allocation!$J$2:$J$201,$AB1639)="",2958101,INDEX(FTE_Allocation!$J$2:$J$201,$AB1639))),"")))</f>
        <v/>
      </c>
      <c r="AG1639" s="19">
        <f>IF($Z1639="C",IF(INDEX(Contracts!$I$2:$I$151,$AB1639)="PREPAID",INDEX(Contracts!$M$2:$M$151,$AB1639)/IF(INDEX(Contracts!$N$2:$N$151,$AB1639)="",12,INDEX(Contracts!$N$2:$N$151,$AB1639)),IF(INDEX(Contracts!$I$2:$I$151,$AB1639)="MONTHLY",INDEX(Contracts!$M$2:$M$151,$AB1639),0))*(1-N(INDEX(Contracts!$O$2:$O$151,$AB1639))),IF($Z1639="A",INDEX(Fixed_Assets!$H$2:$H$201,$AB1639)/INDEX(Fixed_Assets!$J$2:$J$201,$AB1639),IF($Z1639="F",INDEX(Workforce!$F$2:$F$151,MATCH(INDEX(FTE_Allocation!$A$2:$A$201,$AB1639),Workforce!$A$2:$A$151,0))*N(INDEX(FTE_Allocation!$F$2:$H$201,$AB1639,$AC1639)),"")))</f>
        <v/>
      </c>
    </row>
    <row r="1640">
      <c r="A1640" s="7">
        <f>IF($Z1640="","",$AD1640)</f>
        <v/>
      </c>
      <c r="B1640" s="7">
        <f>IF($Z1640="C",INDEX(Contracts!$D$2:$D$151,$AB1640)&amp;"",IF($Z1640="A",INDEX(Fixed_Assets!$C$2:$C$201,$AB1640)&amp;"",IF($Z1640="F",INDEX(Workforce!$B$2:$B$151,MATCH(INDEX(FTE_Allocation!$A$2:$A$201,$AB1640),Workforce!$A$2:$A$151,0))&amp;"","")))</f>
        <v/>
      </c>
      <c r="C1640" s="7">
        <f>IF($Z1640="C",INDEX(Contracts!$E$2:$E$151,$AB1640)&amp;"",IF($Z1640="A",INDEX(Fixed_Assets!$D$2:$D$201,$AB1640)&amp;"",IF($Z1640="F",INDEX(FTE_Allocation!$C$2:$C$201,$AB1640)&amp;"","")))</f>
        <v/>
      </c>
      <c r="D1640" s="7">
        <f>IF($Z1640="C",INDEX(Contracts!$B$2:$B$151,$AB1640)&amp;"",IF($Z1640="A",INDEX(Fixed_Assets!$B$2:$B$201,$AB1640)&amp;"",IF($Z1640="F",INDEX(FTE_Allocation!$B$2:$B$201,$AB1640)&amp;"","")))</f>
        <v/>
      </c>
      <c r="E1640" s="7">
        <f>IF($Z1640="C",INDEX(Contracts!$P$2:$P$151,$AB1640)&amp;"",IF($Z1640="A",INDEX(Fixed_Assets!$K$2:$K$201,$AB1640)&amp;"",IF($Z1640="F",IF(INDEX(FTE_Allocation!$D$2:$D$201,$AB1640)="PROJECT",IFERROR(INDEX(Projects!$D:$D,MATCH(INDEX(FTE_Allocation!$E$2:$E$201,$AB1640),Projects!$A:$A,0))&amp;"","#PROJECT?"),INDEX(FTE_Allocation!$E$2:$E$201,$AB1640)&amp;""),"")))</f>
        <v/>
      </c>
      <c r="F1640" s="7">
        <f>IF($Z1640="C",INDEX(Contracts!$Q$2:$Q$151,$AB1640)&amp;"",IF($Z1640="A",INDEX(Fixed_Assets!$L$2:$L$201,$AB1640)&amp;"",IF($Z1640="F",INDEX(Workforce!$K$2:$K$151,MATCH(INDEX(FTE_Allocation!$A$2:$A$201,$AB1640),Workforce!$A$2:$A$151,0))&amp;"","")))</f>
        <v/>
      </c>
      <c r="G1640" s="7">
        <f>IF($Z1640="C",INDEX(Contracts!$F$2:$F$151,$AB1640)&amp;" / "&amp;INDEX(Contracts!$G$2:$G$151,$AB1640),IF($Z1640="A",INDEX(Fixed_Assets!$E$2:$E$201,$AB1640)&amp;"",IF($Z1640="F","Personnel "&amp;INDEX(FTE_Allocation!$A$2:$A$201,$AB1640)&amp;IF(INDEX(FTE_Allocation!$D$2:$D$201,$AB1640)="PROJECT"," ("&amp;INDEX(FTE_Allocation!$E$2:$E$201,$AB1640)&amp;")",""),"")))</f>
        <v/>
      </c>
      <c r="H1640" s="7">
        <f>IF($Z1640="C","CONTRACT",IF($Z1640="A","ASSET",IF($Z1640="F","WORKFORCE","")))</f>
        <v/>
      </c>
      <c r="I1640" s="7">
        <f>IF($Z1640="C",INDEX(Contracts!$L$2:$L$151,$AB1640)&amp;"",IF($Z1640="A",INDEX(Fixed_Assets!$I$2:$I$201,$AB1640)&amp;"",IF($Z1640="F",INDEX(Workforce!$G$2:$G$151,MATCH(INDEX(FTE_Allocation!$A$2:$A$201,$AB1640),Workforce!$A$2:$A$151,0))&amp;"","")))</f>
        <v/>
      </c>
      <c r="J1640" s="18">
        <f>IF($Z1640="","",IF(AND(DATE($AD1640,1,1)&gt;=$AE1640,DATE($AD1640,1,1)&lt;=$AF1640),ROUND($AG1640,2),0))</f>
        <v/>
      </c>
      <c r="K1640" s="18">
        <f>IF($Z1640="","",IF(AND(DATE($AD1640,2,1)&gt;=$AE1640,DATE($AD1640,2,1)&lt;=$AF1640),ROUND($AG1640,2),0))</f>
        <v/>
      </c>
      <c r="L1640" s="18">
        <f>IF($Z1640="","",IF(AND(DATE($AD1640,3,1)&gt;=$AE1640,DATE($AD1640,3,1)&lt;=$AF1640),ROUND($AG1640,2),0))</f>
        <v/>
      </c>
      <c r="M1640" s="18">
        <f>IF($Z1640="","",IF(AND(DATE($AD1640,4,1)&gt;=$AE1640,DATE($AD1640,4,1)&lt;=$AF1640),ROUND($AG1640,2),0))</f>
        <v/>
      </c>
      <c r="N1640" s="18">
        <f>IF($Z1640="","",IF(AND(DATE($AD1640,5,1)&gt;=$AE1640,DATE($AD1640,5,1)&lt;=$AF1640),ROUND($AG1640,2),0))</f>
        <v/>
      </c>
      <c r="O1640" s="18">
        <f>IF($Z1640="","",IF(AND(DATE($AD1640,6,1)&gt;=$AE1640,DATE($AD1640,6,1)&lt;=$AF1640),ROUND($AG1640,2),0))</f>
        <v/>
      </c>
      <c r="P1640" s="18">
        <f>IF($Z1640="","",IF(AND(DATE($AD1640,7,1)&gt;=$AE1640,DATE($AD1640,7,1)&lt;=$AF1640),ROUND($AG1640,2),0))</f>
        <v/>
      </c>
      <c r="Q1640" s="18">
        <f>IF($Z1640="","",IF(AND(DATE($AD1640,8,1)&gt;=$AE1640,DATE($AD1640,8,1)&lt;=$AF1640),ROUND($AG1640,2),0))</f>
        <v/>
      </c>
      <c r="R1640" s="18">
        <f>IF($Z1640="","",IF(AND(DATE($AD1640,9,1)&gt;=$AE1640,DATE($AD1640,9,1)&lt;=$AF1640),ROUND($AG1640,2),0))</f>
        <v/>
      </c>
      <c r="S1640" s="18">
        <f>IF($Z1640="","",IF(AND(DATE($AD1640,10,1)&gt;=$AE1640,DATE($AD1640,10,1)&lt;=$AF1640),ROUND($AG1640,2),0))</f>
        <v/>
      </c>
      <c r="T1640" s="18">
        <f>IF($Z1640="","",IF(AND(DATE($AD1640,11,1)&gt;=$AE1640,DATE($AD1640,11,1)&lt;=$AF1640),ROUND($AG1640,2),0))</f>
        <v/>
      </c>
      <c r="U1640" s="18">
        <f>IF($Z1640="","",IF(AND(DATE($AD1640,12,1)&gt;=$AE1640,DATE($AD1640,12,1)&lt;=$AF1640),ROUND($AG1640,2),0))</f>
        <v/>
      </c>
      <c r="V1640" s="7">
        <f>IF($Z1640="C","Generated from "&amp;INDEX(Contracts!$A$2:$A$151,$AB1640),IF($Z1640="A","Generated from "&amp;INDEX(Fixed_Assets!$A$2:$A$201,$AB1640),IF($Z1640="F","Generated from "&amp;INDEX(FTE_Allocation!$A$2:$A$201,$AB1640),"")))</f>
        <v/>
      </c>
      <c r="X1640" s="19">
        <f>IF($Z1640="","",SUM(J1640:U1640))</f>
        <v/>
      </c>
      <c r="Y1640" s="20">
        <f>ROW()-1</f>
        <v/>
      </c>
      <c r="Z1640" s="20">
        <f>IF($Y1640&lt;=Settings!$B$4*3,"C",IF($Y1640&lt;=(Settings!$B$4+Settings!$B$5)*3,"A",IF($Y1640&lt;=(Settings!$B$4+Settings!$B$5+Settings!$B$6)*3,"F","")))</f>
        <v/>
      </c>
      <c r="AA1640" s="20">
        <f>IF($Z1640="C",$Y1640,IF($Z1640="A",$Y1640-Settings!$B$4*3,IF($Z1640="F",$Y1640-(Settings!$B$4+Settings!$B$5)*3,"")))</f>
        <v/>
      </c>
      <c r="AB1640" s="20">
        <f>IF($Z1640="","",INT(($AA1640-1)/3)+1)</f>
        <v/>
      </c>
      <c r="AC1640" s="20">
        <f>IF($Z1640="","",MOD($AA1640-1,3)+1)</f>
        <v/>
      </c>
      <c r="AD1640" s="20">
        <f>IF($Z1640="","",Settings!$B$2+$AC1640-1)</f>
        <v/>
      </c>
      <c r="AE1640" s="21">
        <f>IF($Z1640="C",DATE(YEAR(INDEX(Contracts!$J$2:$J$151,$AB1640)),MONTH(INDEX(Contracts!$J$2:$J$151,$AB1640)),1),IF($Z1640="A",DATE(YEAR(INDEX(Fixed_Assets!$G$2:$G$201,$AB1640)),MONTH(INDEX(Fixed_Assets!$G$2:$G$201,$AB1640)),1),IF($Z1640="F",DATE(YEAR(MAX(N(INDEX(Workforce!$I$2:$I$151,MATCH(INDEX(FTE_Allocation!$A$2:$A$201,$AB1640),Workforce!$A$2:$A$151,0))),N(INDEX(FTE_Allocation!$I$2:$I$201,$AB1640)))),MONTH(MAX(N(INDEX(Workforce!$I$2:$I$151,MATCH(INDEX(FTE_Allocation!$A$2:$A$201,$AB1640),Workforce!$A$2:$A$151,0))),N(INDEX(FTE_Allocation!$I$2:$I$201,$AB1640)))),1),"")))</f>
        <v/>
      </c>
      <c r="AF1640" s="21">
        <f>IF($Z1640="C",IF(INDEX(Contracts!$I$2:$I$151,$AB1640)="PREPAID",EDATE(DATE(YEAR(INDEX(Contracts!$J$2:$J$151,$AB1640)),MONTH(INDEX(Contracts!$J$2:$J$151,$AB1640)),1),IF(INDEX(Contracts!$N$2:$N$151,$AB1640)="",12,INDEX(Contracts!$N$2:$N$151,$AB1640))-1),IF(INDEX(Contracts!$I$2:$I$151,$AB1640)="MONTHLY",IF(INDEX(Contracts!$K$2:$K$151,$AB1640)="",2958101,INDEX(Contracts!$K$2:$K$151,$AB1640)),0)),IF($Z1640="A",EDATE(DATE(YEAR(INDEX(Fixed_Assets!$G$2:$G$201,$AB1640)),MONTH(INDEX(Fixed_Assets!$G$2:$G$201,$AB1640)),1),INDEX(Fixed_Assets!$J$2:$J$201,$AB1640)-1),IF($Z1640="F",MIN(IF(INDEX(Workforce!$J$2:$J$151,MATCH(INDEX(FTE_Allocation!$A$2:$A$201,$AB1640),Workforce!$A$2:$A$151,0))="",2958101,INDEX(Workforce!$J$2:$J$151,MATCH(INDEX(FTE_Allocation!$A$2:$A$201,$AB1640),Workforce!$A$2:$A$151,0))),IF(INDEX(FTE_Allocation!$J$2:$J$201,$AB1640)="",2958101,INDEX(FTE_Allocation!$J$2:$J$201,$AB1640))),"")))</f>
        <v/>
      </c>
      <c r="AG1640" s="19">
        <f>IF($Z1640="C",IF(INDEX(Contracts!$I$2:$I$151,$AB1640)="PREPAID",INDEX(Contracts!$M$2:$M$151,$AB1640)/IF(INDEX(Contracts!$N$2:$N$151,$AB1640)="",12,INDEX(Contracts!$N$2:$N$151,$AB1640)),IF(INDEX(Contracts!$I$2:$I$151,$AB1640)="MONTHLY",INDEX(Contracts!$M$2:$M$151,$AB1640),0))*(1-N(INDEX(Contracts!$O$2:$O$151,$AB1640))),IF($Z1640="A",INDEX(Fixed_Assets!$H$2:$H$201,$AB1640)/INDEX(Fixed_Assets!$J$2:$J$201,$AB1640),IF($Z1640="F",INDEX(Workforce!$F$2:$F$151,MATCH(INDEX(FTE_Allocation!$A$2:$A$201,$AB1640),Workforce!$A$2:$A$151,0))*N(INDEX(FTE_Allocation!$F$2:$H$201,$AB1640,$AC1640)),"")))</f>
        <v/>
      </c>
    </row>
    <row r="1641">
      <c r="A1641" s="7">
        <f>IF($Z1641="","",$AD1641)</f>
        <v/>
      </c>
      <c r="B1641" s="7">
        <f>IF($Z1641="C",INDEX(Contracts!$D$2:$D$151,$AB1641)&amp;"",IF($Z1641="A",INDEX(Fixed_Assets!$C$2:$C$201,$AB1641)&amp;"",IF($Z1641="F",INDEX(Workforce!$B$2:$B$151,MATCH(INDEX(FTE_Allocation!$A$2:$A$201,$AB1641),Workforce!$A$2:$A$151,0))&amp;"","")))</f>
        <v/>
      </c>
      <c r="C1641" s="7">
        <f>IF($Z1641="C",INDEX(Contracts!$E$2:$E$151,$AB1641)&amp;"",IF($Z1641="A",INDEX(Fixed_Assets!$D$2:$D$201,$AB1641)&amp;"",IF($Z1641="F",INDEX(FTE_Allocation!$C$2:$C$201,$AB1641)&amp;"","")))</f>
        <v/>
      </c>
      <c r="D1641" s="7">
        <f>IF($Z1641="C",INDEX(Contracts!$B$2:$B$151,$AB1641)&amp;"",IF($Z1641="A",INDEX(Fixed_Assets!$B$2:$B$201,$AB1641)&amp;"",IF($Z1641="F",INDEX(FTE_Allocation!$B$2:$B$201,$AB1641)&amp;"","")))</f>
        <v/>
      </c>
      <c r="E1641" s="7">
        <f>IF($Z1641="C",INDEX(Contracts!$P$2:$P$151,$AB1641)&amp;"",IF($Z1641="A",INDEX(Fixed_Assets!$K$2:$K$201,$AB1641)&amp;"",IF($Z1641="F",IF(INDEX(FTE_Allocation!$D$2:$D$201,$AB1641)="PROJECT",IFERROR(INDEX(Projects!$D:$D,MATCH(INDEX(FTE_Allocation!$E$2:$E$201,$AB1641),Projects!$A:$A,0))&amp;"","#PROJECT?"),INDEX(FTE_Allocation!$E$2:$E$201,$AB1641)&amp;""),"")))</f>
        <v/>
      </c>
      <c r="F1641" s="7">
        <f>IF($Z1641="C",INDEX(Contracts!$Q$2:$Q$151,$AB1641)&amp;"",IF($Z1641="A",INDEX(Fixed_Assets!$L$2:$L$201,$AB1641)&amp;"",IF($Z1641="F",INDEX(Workforce!$K$2:$K$151,MATCH(INDEX(FTE_Allocation!$A$2:$A$201,$AB1641),Workforce!$A$2:$A$151,0))&amp;"","")))</f>
        <v/>
      </c>
      <c r="G1641" s="7">
        <f>IF($Z1641="C",INDEX(Contracts!$F$2:$F$151,$AB1641)&amp;" / "&amp;INDEX(Contracts!$G$2:$G$151,$AB1641),IF($Z1641="A",INDEX(Fixed_Assets!$E$2:$E$201,$AB1641)&amp;"",IF($Z1641="F","Personnel "&amp;INDEX(FTE_Allocation!$A$2:$A$201,$AB1641)&amp;IF(INDEX(FTE_Allocation!$D$2:$D$201,$AB1641)="PROJECT"," ("&amp;INDEX(FTE_Allocation!$E$2:$E$201,$AB1641)&amp;")",""),"")))</f>
        <v/>
      </c>
      <c r="H1641" s="7">
        <f>IF($Z1641="C","CONTRACT",IF($Z1641="A","ASSET",IF($Z1641="F","WORKFORCE","")))</f>
        <v/>
      </c>
      <c r="I1641" s="7">
        <f>IF($Z1641="C",INDEX(Contracts!$L$2:$L$151,$AB1641)&amp;"",IF($Z1641="A",INDEX(Fixed_Assets!$I$2:$I$201,$AB1641)&amp;"",IF($Z1641="F",INDEX(Workforce!$G$2:$G$151,MATCH(INDEX(FTE_Allocation!$A$2:$A$201,$AB1641),Workforce!$A$2:$A$151,0))&amp;"","")))</f>
        <v/>
      </c>
      <c r="J1641" s="18">
        <f>IF($Z1641="","",IF(AND(DATE($AD1641,1,1)&gt;=$AE1641,DATE($AD1641,1,1)&lt;=$AF1641),ROUND($AG1641,2),0))</f>
        <v/>
      </c>
      <c r="K1641" s="18">
        <f>IF($Z1641="","",IF(AND(DATE($AD1641,2,1)&gt;=$AE1641,DATE($AD1641,2,1)&lt;=$AF1641),ROUND($AG1641,2),0))</f>
        <v/>
      </c>
      <c r="L1641" s="18">
        <f>IF($Z1641="","",IF(AND(DATE($AD1641,3,1)&gt;=$AE1641,DATE($AD1641,3,1)&lt;=$AF1641),ROUND($AG1641,2),0))</f>
        <v/>
      </c>
      <c r="M1641" s="18">
        <f>IF($Z1641="","",IF(AND(DATE($AD1641,4,1)&gt;=$AE1641,DATE($AD1641,4,1)&lt;=$AF1641),ROUND($AG1641,2),0))</f>
        <v/>
      </c>
      <c r="N1641" s="18">
        <f>IF($Z1641="","",IF(AND(DATE($AD1641,5,1)&gt;=$AE1641,DATE($AD1641,5,1)&lt;=$AF1641),ROUND($AG1641,2),0))</f>
        <v/>
      </c>
      <c r="O1641" s="18">
        <f>IF($Z1641="","",IF(AND(DATE($AD1641,6,1)&gt;=$AE1641,DATE($AD1641,6,1)&lt;=$AF1641),ROUND($AG1641,2),0))</f>
        <v/>
      </c>
      <c r="P1641" s="18">
        <f>IF($Z1641="","",IF(AND(DATE($AD1641,7,1)&gt;=$AE1641,DATE($AD1641,7,1)&lt;=$AF1641),ROUND($AG1641,2),0))</f>
        <v/>
      </c>
      <c r="Q1641" s="18">
        <f>IF($Z1641="","",IF(AND(DATE($AD1641,8,1)&gt;=$AE1641,DATE($AD1641,8,1)&lt;=$AF1641),ROUND($AG1641,2),0))</f>
        <v/>
      </c>
      <c r="R1641" s="18">
        <f>IF($Z1641="","",IF(AND(DATE($AD1641,9,1)&gt;=$AE1641,DATE($AD1641,9,1)&lt;=$AF1641),ROUND($AG1641,2),0))</f>
        <v/>
      </c>
      <c r="S1641" s="18">
        <f>IF($Z1641="","",IF(AND(DATE($AD1641,10,1)&gt;=$AE1641,DATE($AD1641,10,1)&lt;=$AF1641),ROUND($AG1641,2),0))</f>
        <v/>
      </c>
      <c r="T1641" s="18">
        <f>IF($Z1641="","",IF(AND(DATE($AD1641,11,1)&gt;=$AE1641,DATE($AD1641,11,1)&lt;=$AF1641),ROUND($AG1641,2),0))</f>
        <v/>
      </c>
      <c r="U1641" s="18">
        <f>IF($Z1641="","",IF(AND(DATE($AD1641,12,1)&gt;=$AE1641,DATE($AD1641,12,1)&lt;=$AF1641),ROUND($AG1641,2),0))</f>
        <v/>
      </c>
      <c r="V1641" s="7">
        <f>IF($Z1641="C","Generated from "&amp;INDEX(Contracts!$A$2:$A$151,$AB1641),IF($Z1641="A","Generated from "&amp;INDEX(Fixed_Assets!$A$2:$A$201,$AB1641),IF($Z1641="F","Generated from "&amp;INDEX(FTE_Allocation!$A$2:$A$201,$AB1641),"")))</f>
        <v/>
      </c>
      <c r="X1641" s="19">
        <f>IF($Z1641="","",SUM(J1641:U1641))</f>
        <v/>
      </c>
      <c r="Y1641" s="20">
        <f>ROW()-1</f>
        <v/>
      </c>
      <c r="Z1641" s="20">
        <f>IF($Y1641&lt;=Settings!$B$4*3,"C",IF($Y1641&lt;=(Settings!$B$4+Settings!$B$5)*3,"A",IF($Y1641&lt;=(Settings!$B$4+Settings!$B$5+Settings!$B$6)*3,"F","")))</f>
        <v/>
      </c>
      <c r="AA1641" s="20">
        <f>IF($Z1641="C",$Y1641,IF($Z1641="A",$Y1641-Settings!$B$4*3,IF($Z1641="F",$Y1641-(Settings!$B$4+Settings!$B$5)*3,"")))</f>
        <v/>
      </c>
      <c r="AB1641" s="20">
        <f>IF($Z1641="","",INT(($AA1641-1)/3)+1)</f>
        <v/>
      </c>
      <c r="AC1641" s="20">
        <f>IF($Z1641="","",MOD($AA1641-1,3)+1)</f>
        <v/>
      </c>
      <c r="AD1641" s="20">
        <f>IF($Z1641="","",Settings!$B$2+$AC1641-1)</f>
        <v/>
      </c>
      <c r="AE1641" s="21">
        <f>IF($Z1641="C",DATE(YEAR(INDEX(Contracts!$J$2:$J$151,$AB1641)),MONTH(INDEX(Contracts!$J$2:$J$151,$AB1641)),1),IF($Z1641="A",DATE(YEAR(INDEX(Fixed_Assets!$G$2:$G$201,$AB1641)),MONTH(INDEX(Fixed_Assets!$G$2:$G$201,$AB1641)),1),IF($Z1641="F",DATE(YEAR(MAX(N(INDEX(Workforce!$I$2:$I$151,MATCH(INDEX(FTE_Allocation!$A$2:$A$201,$AB1641),Workforce!$A$2:$A$151,0))),N(INDEX(FTE_Allocation!$I$2:$I$201,$AB1641)))),MONTH(MAX(N(INDEX(Workforce!$I$2:$I$151,MATCH(INDEX(FTE_Allocation!$A$2:$A$201,$AB1641),Workforce!$A$2:$A$151,0))),N(INDEX(FTE_Allocation!$I$2:$I$201,$AB1641)))),1),"")))</f>
        <v/>
      </c>
      <c r="AF1641" s="21">
        <f>IF($Z1641="C",IF(INDEX(Contracts!$I$2:$I$151,$AB1641)="PREPAID",EDATE(DATE(YEAR(INDEX(Contracts!$J$2:$J$151,$AB1641)),MONTH(INDEX(Contracts!$J$2:$J$151,$AB1641)),1),IF(INDEX(Contracts!$N$2:$N$151,$AB1641)="",12,INDEX(Contracts!$N$2:$N$151,$AB1641))-1),IF(INDEX(Contracts!$I$2:$I$151,$AB1641)="MONTHLY",IF(INDEX(Contracts!$K$2:$K$151,$AB1641)="",2958101,INDEX(Contracts!$K$2:$K$151,$AB1641)),0)),IF($Z1641="A",EDATE(DATE(YEAR(INDEX(Fixed_Assets!$G$2:$G$201,$AB1641)),MONTH(INDEX(Fixed_Assets!$G$2:$G$201,$AB1641)),1),INDEX(Fixed_Assets!$J$2:$J$201,$AB1641)-1),IF($Z1641="F",MIN(IF(INDEX(Workforce!$J$2:$J$151,MATCH(INDEX(FTE_Allocation!$A$2:$A$201,$AB1641),Workforce!$A$2:$A$151,0))="",2958101,INDEX(Workforce!$J$2:$J$151,MATCH(INDEX(FTE_Allocation!$A$2:$A$201,$AB1641),Workforce!$A$2:$A$151,0))),IF(INDEX(FTE_Allocation!$J$2:$J$201,$AB1641)="",2958101,INDEX(FTE_Allocation!$J$2:$J$201,$AB1641))),"")))</f>
        <v/>
      </c>
      <c r="AG1641" s="19">
        <f>IF($Z1641="C",IF(INDEX(Contracts!$I$2:$I$151,$AB1641)="PREPAID",INDEX(Contracts!$M$2:$M$151,$AB1641)/IF(INDEX(Contracts!$N$2:$N$151,$AB1641)="",12,INDEX(Contracts!$N$2:$N$151,$AB1641)),IF(INDEX(Contracts!$I$2:$I$151,$AB1641)="MONTHLY",INDEX(Contracts!$M$2:$M$151,$AB1641),0))*(1-N(INDEX(Contracts!$O$2:$O$151,$AB1641))),IF($Z1641="A",INDEX(Fixed_Assets!$H$2:$H$201,$AB1641)/INDEX(Fixed_Assets!$J$2:$J$201,$AB1641),IF($Z1641="F",INDEX(Workforce!$F$2:$F$151,MATCH(INDEX(FTE_Allocation!$A$2:$A$201,$AB1641),Workforce!$A$2:$A$151,0))*N(INDEX(FTE_Allocation!$F$2:$H$201,$AB1641,$AC1641)),"")))</f>
        <v/>
      </c>
    </row>
    <row r="1642">
      <c r="A1642" s="7">
        <f>IF($Z1642="","",$AD1642)</f>
        <v/>
      </c>
      <c r="B1642" s="7">
        <f>IF($Z1642="C",INDEX(Contracts!$D$2:$D$151,$AB1642)&amp;"",IF($Z1642="A",INDEX(Fixed_Assets!$C$2:$C$201,$AB1642)&amp;"",IF($Z1642="F",INDEX(Workforce!$B$2:$B$151,MATCH(INDEX(FTE_Allocation!$A$2:$A$201,$AB1642),Workforce!$A$2:$A$151,0))&amp;"","")))</f>
        <v/>
      </c>
      <c r="C1642" s="7">
        <f>IF($Z1642="C",INDEX(Contracts!$E$2:$E$151,$AB1642)&amp;"",IF($Z1642="A",INDEX(Fixed_Assets!$D$2:$D$201,$AB1642)&amp;"",IF($Z1642="F",INDEX(FTE_Allocation!$C$2:$C$201,$AB1642)&amp;"","")))</f>
        <v/>
      </c>
      <c r="D1642" s="7">
        <f>IF($Z1642="C",INDEX(Contracts!$B$2:$B$151,$AB1642)&amp;"",IF($Z1642="A",INDEX(Fixed_Assets!$B$2:$B$201,$AB1642)&amp;"",IF($Z1642="F",INDEX(FTE_Allocation!$B$2:$B$201,$AB1642)&amp;"","")))</f>
        <v/>
      </c>
      <c r="E1642" s="7">
        <f>IF($Z1642="C",INDEX(Contracts!$P$2:$P$151,$AB1642)&amp;"",IF($Z1642="A",INDEX(Fixed_Assets!$K$2:$K$201,$AB1642)&amp;"",IF($Z1642="F",IF(INDEX(FTE_Allocation!$D$2:$D$201,$AB1642)="PROJECT",IFERROR(INDEX(Projects!$D:$D,MATCH(INDEX(FTE_Allocation!$E$2:$E$201,$AB1642),Projects!$A:$A,0))&amp;"","#PROJECT?"),INDEX(FTE_Allocation!$E$2:$E$201,$AB1642)&amp;""),"")))</f>
        <v/>
      </c>
      <c r="F1642" s="7">
        <f>IF($Z1642="C",INDEX(Contracts!$Q$2:$Q$151,$AB1642)&amp;"",IF($Z1642="A",INDEX(Fixed_Assets!$L$2:$L$201,$AB1642)&amp;"",IF($Z1642="F",INDEX(Workforce!$K$2:$K$151,MATCH(INDEX(FTE_Allocation!$A$2:$A$201,$AB1642),Workforce!$A$2:$A$151,0))&amp;"","")))</f>
        <v/>
      </c>
      <c r="G1642" s="7">
        <f>IF($Z1642="C",INDEX(Contracts!$F$2:$F$151,$AB1642)&amp;" / "&amp;INDEX(Contracts!$G$2:$G$151,$AB1642),IF($Z1642="A",INDEX(Fixed_Assets!$E$2:$E$201,$AB1642)&amp;"",IF($Z1642="F","Personnel "&amp;INDEX(FTE_Allocation!$A$2:$A$201,$AB1642)&amp;IF(INDEX(FTE_Allocation!$D$2:$D$201,$AB1642)="PROJECT"," ("&amp;INDEX(FTE_Allocation!$E$2:$E$201,$AB1642)&amp;")",""),"")))</f>
        <v/>
      </c>
      <c r="H1642" s="7">
        <f>IF($Z1642="C","CONTRACT",IF($Z1642="A","ASSET",IF($Z1642="F","WORKFORCE","")))</f>
        <v/>
      </c>
      <c r="I1642" s="7">
        <f>IF($Z1642="C",INDEX(Contracts!$L$2:$L$151,$AB1642)&amp;"",IF($Z1642="A",INDEX(Fixed_Assets!$I$2:$I$201,$AB1642)&amp;"",IF($Z1642="F",INDEX(Workforce!$G$2:$G$151,MATCH(INDEX(FTE_Allocation!$A$2:$A$201,$AB1642),Workforce!$A$2:$A$151,0))&amp;"","")))</f>
        <v/>
      </c>
      <c r="J1642" s="18">
        <f>IF($Z1642="","",IF(AND(DATE($AD1642,1,1)&gt;=$AE1642,DATE($AD1642,1,1)&lt;=$AF1642),ROUND($AG1642,2),0))</f>
        <v/>
      </c>
      <c r="K1642" s="18">
        <f>IF($Z1642="","",IF(AND(DATE($AD1642,2,1)&gt;=$AE1642,DATE($AD1642,2,1)&lt;=$AF1642),ROUND($AG1642,2),0))</f>
        <v/>
      </c>
      <c r="L1642" s="18">
        <f>IF($Z1642="","",IF(AND(DATE($AD1642,3,1)&gt;=$AE1642,DATE($AD1642,3,1)&lt;=$AF1642),ROUND($AG1642,2),0))</f>
        <v/>
      </c>
      <c r="M1642" s="18">
        <f>IF($Z1642="","",IF(AND(DATE($AD1642,4,1)&gt;=$AE1642,DATE($AD1642,4,1)&lt;=$AF1642),ROUND($AG1642,2),0))</f>
        <v/>
      </c>
      <c r="N1642" s="18">
        <f>IF($Z1642="","",IF(AND(DATE($AD1642,5,1)&gt;=$AE1642,DATE($AD1642,5,1)&lt;=$AF1642),ROUND($AG1642,2),0))</f>
        <v/>
      </c>
      <c r="O1642" s="18">
        <f>IF($Z1642="","",IF(AND(DATE($AD1642,6,1)&gt;=$AE1642,DATE($AD1642,6,1)&lt;=$AF1642),ROUND($AG1642,2),0))</f>
        <v/>
      </c>
      <c r="P1642" s="18">
        <f>IF($Z1642="","",IF(AND(DATE($AD1642,7,1)&gt;=$AE1642,DATE($AD1642,7,1)&lt;=$AF1642),ROUND($AG1642,2),0))</f>
        <v/>
      </c>
      <c r="Q1642" s="18">
        <f>IF($Z1642="","",IF(AND(DATE($AD1642,8,1)&gt;=$AE1642,DATE($AD1642,8,1)&lt;=$AF1642),ROUND($AG1642,2),0))</f>
        <v/>
      </c>
      <c r="R1642" s="18">
        <f>IF($Z1642="","",IF(AND(DATE($AD1642,9,1)&gt;=$AE1642,DATE($AD1642,9,1)&lt;=$AF1642),ROUND($AG1642,2),0))</f>
        <v/>
      </c>
      <c r="S1642" s="18">
        <f>IF($Z1642="","",IF(AND(DATE($AD1642,10,1)&gt;=$AE1642,DATE($AD1642,10,1)&lt;=$AF1642),ROUND($AG1642,2),0))</f>
        <v/>
      </c>
      <c r="T1642" s="18">
        <f>IF($Z1642="","",IF(AND(DATE($AD1642,11,1)&gt;=$AE1642,DATE($AD1642,11,1)&lt;=$AF1642),ROUND($AG1642,2),0))</f>
        <v/>
      </c>
      <c r="U1642" s="18">
        <f>IF($Z1642="","",IF(AND(DATE($AD1642,12,1)&gt;=$AE1642,DATE($AD1642,12,1)&lt;=$AF1642),ROUND($AG1642,2),0))</f>
        <v/>
      </c>
      <c r="V1642" s="7">
        <f>IF($Z1642="C","Generated from "&amp;INDEX(Contracts!$A$2:$A$151,$AB1642),IF($Z1642="A","Generated from "&amp;INDEX(Fixed_Assets!$A$2:$A$201,$AB1642),IF($Z1642="F","Generated from "&amp;INDEX(FTE_Allocation!$A$2:$A$201,$AB1642),"")))</f>
        <v/>
      </c>
      <c r="X1642" s="19">
        <f>IF($Z1642="","",SUM(J1642:U1642))</f>
        <v/>
      </c>
      <c r="Y1642" s="20">
        <f>ROW()-1</f>
        <v/>
      </c>
      <c r="Z1642" s="20">
        <f>IF($Y1642&lt;=Settings!$B$4*3,"C",IF($Y1642&lt;=(Settings!$B$4+Settings!$B$5)*3,"A",IF($Y1642&lt;=(Settings!$B$4+Settings!$B$5+Settings!$B$6)*3,"F","")))</f>
        <v/>
      </c>
      <c r="AA1642" s="20">
        <f>IF($Z1642="C",$Y1642,IF($Z1642="A",$Y1642-Settings!$B$4*3,IF($Z1642="F",$Y1642-(Settings!$B$4+Settings!$B$5)*3,"")))</f>
        <v/>
      </c>
      <c r="AB1642" s="20">
        <f>IF($Z1642="","",INT(($AA1642-1)/3)+1)</f>
        <v/>
      </c>
      <c r="AC1642" s="20">
        <f>IF($Z1642="","",MOD($AA1642-1,3)+1)</f>
        <v/>
      </c>
      <c r="AD1642" s="20">
        <f>IF($Z1642="","",Settings!$B$2+$AC1642-1)</f>
        <v/>
      </c>
      <c r="AE1642" s="21">
        <f>IF($Z1642="C",DATE(YEAR(INDEX(Contracts!$J$2:$J$151,$AB1642)),MONTH(INDEX(Contracts!$J$2:$J$151,$AB1642)),1),IF($Z1642="A",DATE(YEAR(INDEX(Fixed_Assets!$G$2:$G$201,$AB1642)),MONTH(INDEX(Fixed_Assets!$G$2:$G$201,$AB1642)),1),IF($Z1642="F",DATE(YEAR(MAX(N(INDEX(Workforce!$I$2:$I$151,MATCH(INDEX(FTE_Allocation!$A$2:$A$201,$AB1642),Workforce!$A$2:$A$151,0))),N(INDEX(FTE_Allocation!$I$2:$I$201,$AB1642)))),MONTH(MAX(N(INDEX(Workforce!$I$2:$I$151,MATCH(INDEX(FTE_Allocation!$A$2:$A$201,$AB1642),Workforce!$A$2:$A$151,0))),N(INDEX(FTE_Allocation!$I$2:$I$201,$AB1642)))),1),"")))</f>
        <v/>
      </c>
      <c r="AF1642" s="21">
        <f>IF($Z1642="C",IF(INDEX(Contracts!$I$2:$I$151,$AB1642)="PREPAID",EDATE(DATE(YEAR(INDEX(Contracts!$J$2:$J$151,$AB1642)),MONTH(INDEX(Contracts!$J$2:$J$151,$AB1642)),1),IF(INDEX(Contracts!$N$2:$N$151,$AB1642)="",12,INDEX(Contracts!$N$2:$N$151,$AB1642))-1),IF(INDEX(Contracts!$I$2:$I$151,$AB1642)="MONTHLY",IF(INDEX(Contracts!$K$2:$K$151,$AB1642)="",2958101,INDEX(Contracts!$K$2:$K$151,$AB1642)),0)),IF($Z1642="A",EDATE(DATE(YEAR(INDEX(Fixed_Assets!$G$2:$G$201,$AB1642)),MONTH(INDEX(Fixed_Assets!$G$2:$G$201,$AB1642)),1),INDEX(Fixed_Assets!$J$2:$J$201,$AB1642)-1),IF($Z1642="F",MIN(IF(INDEX(Workforce!$J$2:$J$151,MATCH(INDEX(FTE_Allocation!$A$2:$A$201,$AB1642),Workforce!$A$2:$A$151,0))="",2958101,INDEX(Workforce!$J$2:$J$151,MATCH(INDEX(FTE_Allocation!$A$2:$A$201,$AB1642),Workforce!$A$2:$A$151,0))),IF(INDEX(FTE_Allocation!$J$2:$J$201,$AB1642)="",2958101,INDEX(FTE_Allocation!$J$2:$J$201,$AB1642))),"")))</f>
        <v/>
      </c>
      <c r="AG1642" s="19">
        <f>IF($Z1642="C",IF(INDEX(Contracts!$I$2:$I$151,$AB1642)="PREPAID",INDEX(Contracts!$M$2:$M$151,$AB1642)/IF(INDEX(Contracts!$N$2:$N$151,$AB1642)="",12,INDEX(Contracts!$N$2:$N$151,$AB1642)),IF(INDEX(Contracts!$I$2:$I$151,$AB1642)="MONTHLY",INDEX(Contracts!$M$2:$M$151,$AB1642),0))*(1-N(INDEX(Contracts!$O$2:$O$151,$AB1642))),IF($Z1642="A",INDEX(Fixed_Assets!$H$2:$H$201,$AB1642)/INDEX(Fixed_Assets!$J$2:$J$201,$AB1642),IF($Z1642="F",INDEX(Workforce!$F$2:$F$151,MATCH(INDEX(FTE_Allocation!$A$2:$A$201,$AB1642),Workforce!$A$2:$A$151,0))*N(INDEX(FTE_Allocation!$F$2:$H$201,$AB1642,$AC1642)),"")))</f>
        <v/>
      </c>
    </row>
    <row r="1643">
      <c r="A1643" s="7">
        <f>IF($Z1643="","",$AD1643)</f>
        <v/>
      </c>
      <c r="B1643" s="7">
        <f>IF($Z1643="C",INDEX(Contracts!$D$2:$D$151,$AB1643)&amp;"",IF($Z1643="A",INDEX(Fixed_Assets!$C$2:$C$201,$AB1643)&amp;"",IF($Z1643="F",INDEX(Workforce!$B$2:$B$151,MATCH(INDEX(FTE_Allocation!$A$2:$A$201,$AB1643),Workforce!$A$2:$A$151,0))&amp;"","")))</f>
        <v/>
      </c>
      <c r="C1643" s="7">
        <f>IF($Z1643="C",INDEX(Contracts!$E$2:$E$151,$AB1643)&amp;"",IF($Z1643="A",INDEX(Fixed_Assets!$D$2:$D$201,$AB1643)&amp;"",IF($Z1643="F",INDEX(FTE_Allocation!$C$2:$C$201,$AB1643)&amp;"","")))</f>
        <v/>
      </c>
      <c r="D1643" s="7">
        <f>IF($Z1643="C",INDEX(Contracts!$B$2:$B$151,$AB1643)&amp;"",IF($Z1643="A",INDEX(Fixed_Assets!$B$2:$B$201,$AB1643)&amp;"",IF($Z1643="F",INDEX(FTE_Allocation!$B$2:$B$201,$AB1643)&amp;"","")))</f>
        <v/>
      </c>
      <c r="E1643" s="7">
        <f>IF($Z1643="C",INDEX(Contracts!$P$2:$P$151,$AB1643)&amp;"",IF($Z1643="A",INDEX(Fixed_Assets!$K$2:$K$201,$AB1643)&amp;"",IF($Z1643="F",IF(INDEX(FTE_Allocation!$D$2:$D$201,$AB1643)="PROJECT",IFERROR(INDEX(Projects!$D:$D,MATCH(INDEX(FTE_Allocation!$E$2:$E$201,$AB1643),Projects!$A:$A,0))&amp;"","#PROJECT?"),INDEX(FTE_Allocation!$E$2:$E$201,$AB1643)&amp;""),"")))</f>
        <v/>
      </c>
      <c r="F1643" s="7">
        <f>IF($Z1643="C",INDEX(Contracts!$Q$2:$Q$151,$AB1643)&amp;"",IF($Z1643="A",INDEX(Fixed_Assets!$L$2:$L$201,$AB1643)&amp;"",IF($Z1643="F",INDEX(Workforce!$K$2:$K$151,MATCH(INDEX(FTE_Allocation!$A$2:$A$201,$AB1643),Workforce!$A$2:$A$151,0))&amp;"","")))</f>
        <v/>
      </c>
      <c r="G1643" s="7">
        <f>IF($Z1643="C",INDEX(Contracts!$F$2:$F$151,$AB1643)&amp;" / "&amp;INDEX(Contracts!$G$2:$G$151,$AB1643),IF($Z1643="A",INDEX(Fixed_Assets!$E$2:$E$201,$AB1643)&amp;"",IF($Z1643="F","Personnel "&amp;INDEX(FTE_Allocation!$A$2:$A$201,$AB1643)&amp;IF(INDEX(FTE_Allocation!$D$2:$D$201,$AB1643)="PROJECT"," ("&amp;INDEX(FTE_Allocation!$E$2:$E$201,$AB1643)&amp;")",""),"")))</f>
        <v/>
      </c>
      <c r="H1643" s="7">
        <f>IF($Z1643="C","CONTRACT",IF($Z1643="A","ASSET",IF($Z1643="F","WORKFORCE","")))</f>
        <v/>
      </c>
      <c r="I1643" s="7">
        <f>IF($Z1643="C",INDEX(Contracts!$L$2:$L$151,$AB1643)&amp;"",IF($Z1643="A",INDEX(Fixed_Assets!$I$2:$I$201,$AB1643)&amp;"",IF($Z1643="F",INDEX(Workforce!$G$2:$G$151,MATCH(INDEX(FTE_Allocation!$A$2:$A$201,$AB1643),Workforce!$A$2:$A$151,0))&amp;"","")))</f>
        <v/>
      </c>
      <c r="J1643" s="18">
        <f>IF($Z1643="","",IF(AND(DATE($AD1643,1,1)&gt;=$AE1643,DATE($AD1643,1,1)&lt;=$AF1643),ROUND($AG1643,2),0))</f>
        <v/>
      </c>
      <c r="K1643" s="18">
        <f>IF($Z1643="","",IF(AND(DATE($AD1643,2,1)&gt;=$AE1643,DATE($AD1643,2,1)&lt;=$AF1643),ROUND($AG1643,2),0))</f>
        <v/>
      </c>
      <c r="L1643" s="18">
        <f>IF($Z1643="","",IF(AND(DATE($AD1643,3,1)&gt;=$AE1643,DATE($AD1643,3,1)&lt;=$AF1643),ROUND($AG1643,2),0))</f>
        <v/>
      </c>
      <c r="M1643" s="18">
        <f>IF($Z1643="","",IF(AND(DATE($AD1643,4,1)&gt;=$AE1643,DATE($AD1643,4,1)&lt;=$AF1643),ROUND($AG1643,2),0))</f>
        <v/>
      </c>
      <c r="N1643" s="18">
        <f>IF($Z1643="","",IF(AND(DATE($AD1643,5,1)&gt;=$AE1643,DATE($AD1643,5,1)&lt;=$AF1643),ROUND($AG1643,2),0))</f>
        <v/>
      </c>
      <c r="O1643" s="18">
        <f>IF($Z1643="","",IF(AND(DATE($AD1643,6,1)&gt;=$AE1643,DATE($AD1643,6,1)&lt;=$AF1643),ROUND($AG1643,2),0))</f>
        <v/>
      </c>
      <c r="P1643" s="18">
        <f>IF($Z1643="","",IF(AND(DATE($AD1643,7,1)&gt;=$AE1643,DATE($AD1643,7,1)&lt;=$AF1643),ROUND($AG1643,2),0))</f>
        <v/>
      </c>
      <c r="Q1643" s="18">
        <f>IF($Z1643="","",IF(AND(DATE($AD1643,8,1)&gt;=$AE1643,DATE($AD1643,8,1)&lt;=$AF1643),ROUND($AG1643,2),0))</f>
        <v/>
      </c>
      <c r="R1643" s="18">
        <f>IF($Z1643="","",IF(AND(DATE($AD1643,9,1)&gt;=$AE1643,DATE($AD1643,9,1)&lt;=$AF1643),ROUND($AG1643,2),0))</f>
        <v/>
      </c>
      <c r="S1643" s="18">
        <f>IF($Z1643="","",IF(AND(DATE($AD1643,10,1)&gt;=$AE1643,DATE($AD1643,10,1)&lt;=$AF1643),ROUND($AG1643,2),0))</f>
        <v/>
      </c>
      <c r="T1643" s="18">
        <f>IF($Z1643="","",IF(AND(DATE($AD1643,11,1)&gt;=$AE1643,DATE($AD1643,11,1)&lt;=$AF1643),ROUND($AG1643,2),0))</f>
        <v/>
      </c>
      <c r="U1643" s="18">
        <f>IF($Z1643="","",IF(AND(DATE($AD1643,12,1)&gt;=$AE1643,DATE($AD1643,12,1)&lt;=$AF1643),ROUND($AG1643,2),0))</f>
        <v/>
      </c>
      <c r="V1643" s="7">
        <f>IF($Z1643="C","Generated from "&amp;INDEX(Contracts!$A$2:$A$151,$AB1643),IF($Z1643="A","Generated from "&amp;INDEX(Fixed_Assets!$A$2:$A$201,$AB1643),IF($Z1643="F","Generated from "&amp;INDEX(FTE_Allocation!$A$2:$A$201,$AB1643),"")))</f>
        <v/>
      </c>
      <c r="X1643" s="19">
        <f>IF($Z1643="","",SUM(J1643:U1643))</f>
        <v/>
      </c>
      <c r="Y1643" s="20">
        <f>ROW()-1</f>
        <v/>
      </c>
      <c r="Z1643" s="20">
        <f>IF($Y1643&lt;=Settings!$B$4*3,"C",IF($Y1643&lt;=(Settings!$B$4+Settings!$B$5)*3,"A",IF($Y1643&lt;=(Settings!$B$4+Settings!$B$5+Settings!$B$6)*3,"F","")))</f>
        <v/>
      </c>
      <c r="AA1643" s="20">
        <f>IF($Z1643="C",$Y1643,IF($Z1643="A",$Y1643-Settings!$B$4*3,IF($Z1643="F",$Y1643-(Settings!$B$4+Settings!$B$5)*3,"")))</f>
        <v/>
      </c>
      <c r="AB1643" s="20">
        <f>IF($Z1643="","",INT(($AA1643-1)/3)+1)</f>
        <v/>
      </c>
      <c r="AC1643" s="20">
        <f>IF($Z1643="","",MOD($AA1643-1,3)+1)</f>
        <v/>
      </c>
      <c r="AD1643" s="20">
        <f>IF($Z1643="","",Settings!$B$2+$AC1643-1)</f>
        <v/>
      </c>
      <c r="AE1643" s="21">
        <f>IF($Z1643="C",DATE(YEAR(INDEX(Contracts!$J$2:$J$151,$AB1643)),MONTH(INDEX(Contracts!$J$2:$J$151,$AB1643)),1),IF($Z1643="A",DATE(YEAR(INDEX(Fixed_Assets!$G$2:$G$201,$AB1643)),MONTH(INDEX(Fixed_Assets!$G$2:$G$201,$AB1643)),1),IF($Z1643="F",DATE(YEAR(MAX(N(INDEX(Workforce!$I$2:$I$151,MATCH(INDEX(FTE_Allocation!$A$2:$A$201,$AB1643),Workforce!$A$2:$A$151,0))),N(INDEX(FTE_Allocation!$I$2:$I$201,$AB1643)))),MONTH(MAX(N(INDEX(Workforce!$I$2:$I$151,MATCH(INDEX(FTE_Allocation!$A$2:$A$201,$AB1643),Workforce!$A$2:$A$151,0))),N(INDEX(FTE_Allocation!$I$2:$I$201,$AB1643)))),1),"")))</f>
        <v/>
      </c>
      <c r="AF1643" s="21">
        <f>IF($Z1643="C",IF(INDEX(Contracts!$I$2:$I$151,$AB1643)="PREPAID",EDATE(DATE(YEAR(INDEX(Contracts!$J$2:$J$151,$AB1643)),MONTH(INDEX(Contracts!$J$2:$J$151,$AB1643)),1),IF(INDEX(Contracts!$N$2:$N$151,$AB1643)="",12,INDEX(Contracts!$N$2:$N$151,$AB1643))-1),IF(INDEX(Contracts!$I$2:$I$151,$AB1643)="MONTHLY",IF(INDEX(Contracts!$K$2:$K$151,$AB1643)="",2958101,INDEX(Contracts!$K$2:$K$151,$AB1643)),0)),IF($Z1643="A",EDATE(DATE(YEAR(INDEX(Fixed_Assets!$G$2:$G$201,$AB1643)),MONTH(INDEX(Fixed_Assets!$G$2:$G$201,$AB1643)),1),INDEX(Fixed_Assets!$J$2:$J$201,$AB1643)-1),IF($Z1643="F",MIN(IF(INDEX(Workforce!$J$2:$J$151,MATCH(INDEX(FTE_Allocation!$A$2:$A$201,$AB1643),Workforce!$A$2:$A$151,0))="",2958101,INDEX(Workforce!$J$2:$J$151,MATCH(INDEX(FTE_Allocation!$A$2:$A$201,$AB1643),Workforce!$A$2:$A$151,0))),IF(INDEX(FTE_Allocation!$J$2:$J$201,$AB1643)="",2958101,INDEX(FTE_Allocation!$J$2:$J$201,$AB1643))),"")))</f>
        <v/>
      </c>
      <c r="AG1643" s="19">
        <f>IF($Z1643="C",IF(INDEX(Contracts!$I$2:$I$151,$AB1643)="PREPAID",INDEX(Contracts!$M$2:$M$151,$AB1643)/IF(INDEX(Contracts!$N$2:$N$151,$AB1643)="",12,INDEX(Contracts!$N$2:$N$151,$AB1643)),IF(INDEX(Contracts!$I$2:$I$151,$AB1643)="MONTHLY",INDEX(Contracts!$M$2:$M$151,$AB1643),0))*(1-N(INDEX(Contracts!$O$2:$O$151,$AB1643))),IF($Z1643="A",INDEX(Fixed_Assets!$H$2:$H$201,$AB1643)/INDEX(Fixed_Assets!$J$2:$J$201,$AB1643),IF($Z1643="F",INDEX(Workforce!$F$2:$F$151,MATCH(INDEX(FTE_Allocation!$A$2:$A$201,$AB1643),Workforce!$A$2:$A$151,0))*N(INDEX(FTE_Allocation!$F$2:$H$201,$AB1643,$AC1643)),"")))</f>
        <v/>
      </c>
    </row>
    <row r="1644">
      <c r="A1644" s="7">
        <f>IF($Z1644="","",$AD1644)</f>
        <v/>
      </c>
      <c r="B1644" s="7">
        <f>IF($Z1644="C",INDEX(Contracts!$D$2:$D$151,$AB1644)&amp;"",IF($Z1644="A",INDEX(Fixed_Assets!$C$2:$C$201,$AB1644)&amp;"",IF($Z1644="F",INDEX(Workforce!$B$2:$B$151,MATCH(INDEX(FTE_Allocation!$A$2:$A$201,$AB1644),Workforce!$A$2:$A$151,0))&amp;"","")))</f>
        <v/>
      </c>
      <c r="C1644" s="7">
        <f>IF($Z1644="C",INDEX(Contracts!$E$2:$E$151,$AB1644)&amp;"",IF($Z1644="A",INDEX(Fixed_Assets!$D$2:$D$201,$AB1644)&amp;"",IF($Z1644="F",INDEX(FTE_Allocation!$C$2:$C$201,$AB1644)&amp;"","")))</f>
        <v/>
      </c>
      <c r="D1644" s="7">
        <f>IF($Z1644="C",INDEX(Contracts!$B$2:$B$151,$AB1644)&amp;"",IF($Z1644="A",INDEX(Fixed_Assets!$B$2:$B$201,$AB1644)&amp;"",IF($Z1644="F",INDEX(FTE_Allocation!$B$2:$B$201,$AB1644)&amp;"","")))</f>
        <v/>
      </c>
      <c r="E1644" s="7">
        <f>IF($Z1644="C",INDEX(Contracts!$P$2:$P$151,$AB1644)&amp;"",IF($Z1644="A",INDEX(Fixed_Assets!$K$2:$K$201,$AB1644)&amp;"",IF($Z1644="F",IF(INDEX(FTE_Allocation!$D$2:$D$201,$AB1644)="PROJECT",IFERROR(INDEX(Projects!$D:$D,MATCH(INDEX(FTE_Allocation!$E$2:$E$201,$AB1644),Projects!$A:$A,0))&amp;"","#PROJECT?"),INDEX(FTE_Allocation!$E$2:$E$201,$AB1644)&amp;""),"")))</f>
        <v/>
      </c>
      <c r="F1644" s="7">
        <f>IF($Z1644="C",INDEX(Contracts!$Q$2:$Q$151,$AB1644)&amp;"",IF($Z1644="A",INDEX(Fixed_Assets!$L$2:$L$201,$AB1644)&amp;"",IF($Z1644="F",INDEX(Workforce!$K$2:$K$151,MATCH(INDEX(FTE_Allocation!$A$2:$A$201,$AB1644),Workforce!$A$2:$A$151,0))&amp;"","")))</f>
        <v/>
      </c>
      <c r="G1644" s="7">
        <f>IF($Z1644="C",INDEX(Contracts!$F$2:$F$151,$AB1644)&amp;" / "&amp;INDEX(Contracts!$G$2:$G$151,$AB1644),IF($Z1644="A",INDEX(Fixed_Assets!$E$2:$E$201,$AB1644)&amp;"",IF($Z1644="F","Personnel "&amp;INDEX(FTE_Allocation!$A$2:$A$201,$AB1644)&amp;IF(INDEX(FTE_Allocation!$D$2:$D$201,$AB1644)="PROJECT"," ("&amp;INDEX(FTE_Allocation!$E$2:$E$201,$AB1644)&amp;")",""),"")))</f>
        <v/>
      </c>
      <c r="H1644" s="7">
        <f>IF($Z1644="C","CONTRACT",IF($Z1644="A","ASSET",IF($Z1644="F","WORKFORCE","")))</f>
        <v/>
      </c>
      <c r="I1644" s="7">
        <f>IF($Z1644="C",INDEX(Contracts!$L$2:$L$151,$AB1644)&amp;"",IF($Z1644="A",INDEX(Fixed_Assets!$I$2:$I$201,$AB1644)&amp;"",IF($Z1644="F",INDEX(Workforce!$G$2:$G$151,MATCH(INDEX(FTE_Allocation!$A$2:$A$201,$AB1644),Workforce!$A$2:$A$151,0))&amp;"","")))</f>
        <v/>
      </c>
      <c r="J1644" s="18">
        <f>IF($Z1644="","",IF(AND(DATE($AD1644,1,1)&gt;=$AE1644,DATE($AD1644,1,1)&lt;=$AF1644),ROUND($AG1644,2),0))</f>
        <v/>
      </c>
      <c r="K1644" s="18">
        <f>IF($Z1644="","",IF(AND(DATE($AD1644,2,1)&gt;=$AE1644,DATE($AD1644,2,1)&lt;=$AF1644),ROUND($AG1644,2),0))</f>
        <v/>
      </c>
      <c r="L1644" s="18">
        <f>IF($Z1644="","",IF(AND(DATE($AD1644,3,1)&gt;=$AE1644,DATE($AD1644,3,1)&lt;=$AF1644),ROUND($AG1644,2),0))</f>
        <v/>
      </c>
      <c r="M1644" s="18">
        <f>IF($Z1644="","",IF(AND(DATE($AD1644,4,1)&gt;=$AE1644,DATE($AD1644,4,1)&lt;=$AF1644),ROUND($AG1644,2),0))</f>
        <v/>
      </c>
      <c r="N1644" s="18">
        <f>IF($Z1644="","",IF(AND(DATE($AD1644,5,1)&gt;=$AE1644,DATE($AD1644,5,1)&lt;=$AF1644),ROUND($AG1644,2),0))</f>
        <v/>
      </c>
      <c r="O1644" s="18">
        <f>IF($Z1644="","",IF(AND(DATE($AD1644,6,1)&gt;=$AE1644,DATE($AD1644,6,1)&lt;=$AF1644),ROUND($AG1644,2),0))</f>
        <v/>
      </c>
      <c r="P1644" s="18">
        <f>IF($Z1644="","",IF(AND(DATE($AD1644,7,1)&gt;=$AE1644,DATE($AD1644,7,1)&lt;=$AF1644),ROUND($AG1644,2),0))</f>
        <v/>
      </c>
      <c r="Q1644" s="18">
        <f>IF($Z1644="","",IF(AND(DATE($AD1644,8,1)&gt;=$AE1644,DATE($AD1644,8,1)&lt;=$AF1644),ROUND($AG1644,2),0))</f>
        <v/>
      </c>
      <c r="R1644" s="18">
        <f>IF($Z1644="","",IF(AND(DATE($AD1644,9,1)&gt;=$AE1644,DATE($AD1644,9,1)&lt;=$AF1644),ROUND($AG1644,2),0))</f>
        <v/>
      </c>
      <c r="S1644" s="18">
        <f>IF($Z1644="","",IF(AND(DATE($AD1644,10,1)&gt;=$AE1644,DATE($AD1644,10,1)&lt;=$AF1644),ROUND($AG1644,2),0))</f>
        <v/>
      </c>
      <c r="T1644" s="18">
        <f>IF($Z1644="","",IF(AND(DATE($AD1644,11,1)&gt;=$AE1644,DATE($AD1644,11,1)&lt;=$AF1644),ROUND($AG1644,2),0))</f>
        <v/>
      </c>
      <c r="U1644" s="18">
        <f>IF($Z1644="","",IF(AND(DATE($AD1644,12,1)&gt;=$AE1644,DATE($AD1644,12,1)&lt;=$AF1644),ROUND($AG1644,2),0))</f>
        <v/>
      </c>
      <c r="V1644" s="7">
        <f>IF($Z1644="C","Generated from "&amp;INDEX(Contracts!$A$2:$A$151,$AB1644),IF($Z1644="A","Generated from "&amp;INDEX(Fixed_Assets!$A$2:$A$201,$AB1644),IF($Z1644="F","Generated from "&amp;INDEX(FTE_Allocation!$A$2:$A$201,$AB1644),"")))</f>
        <v/>
      </c>
      <c r="X1644" s="19">
        <f>IF($Z1644="","",SUM(J1644:U1644))</f>
        <v/>
      </c>
      <c r="Y1644" s="20">
        <f>ROW()-1</f>
        <v/>
      </c>
      <c r="Z1644" s="20">
        <f>IF($Y1644&lt;=Settings!$B$4*3,"C",IF($Y1644&lt;=(Settings!$B$4+Settings!$B$5)*3,"A",IF($Y1644&lt;=(Settings!$B$4+Settings!$B$5+Settings!$B$6)*3,"F","")))</f>
        <v/>
      </c>
      <c r="AA1644" s="20">
        <f>IF($Z1644="C",$Y1644,IF($Z1644="A",$Y1644-Settings!$B$4*3,IF($Z1644="F",$Y1644-(Settings!$B$4+Settings!$B$5)*3,"")))</f>
        <v/>
      </c>
      <c r="AB1644" s="20">
        <f>IF($Z1644="","",INT(($AA1644-1)/3)+1)</f>
        <v/>
      </c>
      <c r="AC1644" s="20">
        <f>IF($Z1644="","",MOD($AA1644-1,3)+1)</f>
        <v/>
      </c>
      <c r="AD1644" s="20">
        <f>IF($Z1644="","",Settings!$B$2+$AC1644-1)</f>
        <v/>
      </c>
      <c r="AE1644" s="21">
        <f>IF($Z1644="C",DATE(YEAR(INDEX(Contracts!$J$2:$J$151,$AB1644)),MONTH(INDEX(Contracts!$J$2:$J$151,$AB1644)),1),IF($Z1644="A",DATE(YEAR(INDEX(Fixed_Assets!$G$2:$G$201,$AB1644)),MONTH(INDEX(Fixed_Assets!$G$2:$G$201,$AB1644)),1),IF($Z1644="F",DATE(YEAR(MAX(N(INDEX(Workforce!$I$2:$I$151,MATCH(INDEX(FTE_Allocation!$A$2:$A$201,$AB1644),Workforce!$A$2:$A$151,0))),N(INDEX(FTE_Allocation!$I$2:$I$201,$AB1644)))),MONTH(MAX(N(INDEX(Workforce!$I$2:$I$151,MATCH(INDEX(FTE_Allocation!$A$2:$A$201,$AB1644),Workforce!$A$2:$A$151,0))),N(INDEX(FTE_Allocation!$I$2:$I$201,$AB1644)))),1),"")))</f>
        <v/>
      </c>
      <c r="AF1644" s="21">
        <f>IF($Z1644="C",IF(INDEX(Contracts!$I$2:$I$151,$AB1644)="PREPAID",EDATE(DATE(YEAR(INDEX(Contracts!$J$2:$J$151,$AB1644)),MONTH(INDEX(Contracts!$J$2:$J$151,$AB1644)),1),IF(INDEX(Contracts!$N$2:$N$151,$AB1644)="",12,INDEX(Contracts!$N$2:$N$151,$AB1644))-1),IF(INDEX(Contracts!$I$2:$I$151,$AB1644)="MONTHLY",IF(INDEX(Contracts!$K$2:$K$151,$AB1644)="",2958101,INDEX(Contracts!$K$2:$K$151,$AB1644)),0)),IF($Z1644="A",EDATE(DATE(YEAR(INDEX(Fixed_Assets!$G$2:$G$201,$AB1644)),MONTH(INDEX(Fixed_Assets!$G$2:$G$201,$AB1644)),1),INDEX(Fixed_Assets!$J$2:$J$201,$AB1644)-1),IF($Z1644="F",MIN(IF(INDEX(Workforce!$J$2:$J$151,MATCH(INDEX(FTE_Allocation!$A$2:$A$201,$AB1644),Workforce!$A$2:$A$151,0))="",2958101,INDEX(Workforce!$J$2:$J$151,MATCH(INDEX(FTE_Allocation!$A$2:$A$201,$AB1644),Workforce!$A$2:$A$151,0))),IF(INDEX(FTE_Allocation!$J$2:$J$201,$AB1644)="",2958101,INDEX(FTE_Allocation!$J$2:$J$201,$AB1644))),"")))</f>
        <v/>
      </c>
      <c r="AG1644" s="19">
        <f>IF($Z1644="C",IF(INDEX(Contracts!$I$2:$I$151,$AB1644)="PREPAID",INDEX(Contracts!$M$2:$M$151,$AB1644)/IF(INDEX(Contracts!$N$2:$N$151,$AB1644)="",12,INDEX(Contracts!$N$2:$N$151,$AB1644)),IF(INDEX(Contracts!$I$2:$I$151,$AB1644)="MONTHLY",INDEX(Contracts!$M$2:$M$151,$AB1644),0))*(1-N(INDEX(Contracts!$O$2:$O$151,$AB1644))),IF($Z1644="A",INDEX(Fixed_Assets!$H$2:$H$201,$AB1644)/INDEX(Fixed_Assets!$J$2:$J$201,$AB1644),IF($Z1644="F",INDEX(Workforce!$F$2:$F$151,MATCH(INDEX(FTE_Allocation!$A$2:$A$201,$AB1644),Workforce!$A$2:$A$151,0))*N(INDEX(FTE_Allocation!$F$2:$H$201,$AB1644,$AC1644)),"")))</f>
        <v/>
      </c>
    </row>
    <row r="1645">
      <c r="A1645" s="7">
        <f>IF($Z1645="","",$AD1645)</f>
        <v/>
      </c>
      <c r="B1645" s="7">
        <f>IF($Z1645="C",INDEX(Contracts!$D$2:$D$151,$AB1645)&amp;"",IF($Z1645="A",INDEX(Fixed_Assets!$C$2:$C$201,$AB1645)&amp;"",IF($Z1645="F",INDEX(Workforce!$B$2:$B$151,MATCH(INDEX(FTE_Allocation!$A$2:$A$201,$AB1645),Workforce!$A$2:$A$151,0))&amp;"","")))</f>
        <v/>
      </c>
      <c r="C1645" s="7">
        <f>IF($Z1645="C",INDEX(Contracts!$E$2:$E$151,$AB1645)&amp;"",IF($Z1645="A",INDEX(Fixed_Assets!$D$2:$D$201,$AB1645)&amp;"",IF($Z1645="F",INDEX(FTE_Allocation!$C$2:$C$201,$AB1645)&amp;"","")))</f>
        <v/>
      </c>
      <c r="D1645" s="7">
        <f>IF($Z1645="C",INDEX(Contracts!$B$2:$B$151,$AB1645)&amp;"",IF($Z1645="A",INDEX(Fixed_Assets!$B$2:$B$201,$AB1645)&amp;"",IF($Z1645="F",INDEX(FTE_Allocation!$B$2:$B$201,$AB1645)&amp;"","")))</f>
        <v/>
      </c>
      <c r="E1645" s="7">
        <f>IF($Z1645="C",INDEX(Contracts!$P$2:$P$151,$AB1645)&amp;"",IF($Z1645="A",INDEX(Fixed_Assets!$K$2:$K$201,$AB1645)&amp;"",IF($Z1645="F",IF(INDEX(FTE_Allocation!$D$2:$D$201,$AB1645)="PROJECT",IFERROR(INDEX(Projects!$D:$D,MATCH(INDEX(FTE_Allocation!$E$2:$E$201,$AB1645),Projects!$A:$A,0))&amp;"","#PROJECT?"),INDEX(FTE_Allocation!$E$2:$E$201,$AB1645)&amp;""),"")))</f>
        <v/>
      </c>
      <c r="F1645" s="7">
        <f>IF($Z1645="C",INDEX(Contracts!$Q$2:$Q$151,$AB1645)&amp;"",IF($Z1645="A",INDEX(Fixed_Assets!$L$2:$L$201,$AB1645)&amp;"",IF($Z1645="F",INDEX(Workforce!$K$2:$K$151,MATCH(INDEX(FTE_Allocation!$A$2:$A$201,$AB1645),Workforce!$A$2:$A$151,0))&amp;"","")))</f>
        <v/>
      </c>
      <c r="G1645" s="7">
        <f>IF($Z1645="C",INDEX(Contracts!$F$2:$F$151,$AB1645)&amp;" / "&amp;INDEX(Contracts!$G$2:$G$151,$AB1645),IF($Z1645="A",INDEX(Fixed_Assets!$E$2:$E$201,$AB1645)&amp;"",IF($Z1645="F","Personnel "&amp;INDEX(FTE_Allocation!$A$2:$A$201,$AB1645)&amp;IF(INDEX(FTE_Allocation!$D$2:$D$201,$AB1645)="PROJECT"," ("&amp;INDEX(FTE_Allocation!$E$2:$E$201,$AB1645)&amp;")",""),"")))</f>
        <v/>
      </c>
      <c r="H1645" s="7">
        <f>IF($Z1645="C","CONTRACT",IF($Z1645="A","ASSET",IF($Z1645="F","WORKFORCE","")))</f>
        <v/>
      </c>
      <c r="I1645" s="7">
        <f>IF($Z1645="C",INDEX(Contracts!$L$2:$L$151,$AB1645)&amp;"",IF($Z1645="A",INDEX(Fixed_Assets!$I$2:$I$201,$AB1645)&amp;"",IF($Z1645="F",INDEX(Workforce!$G$2:$G$151,MATCH(INDEX(FTE_Allocation!$A$2:$A$201,$AB1645),Workforce!$A$2:$A$151,0))&amp;"","")))</f>
        <v/>
      </c>
      <c r="J1645" s="18">
        <f>IF($Z1645="","",IF(AND(DATE($AD1645,1,1)&gt;=$AE1645,DATE($AD1645,1,1)&lt;=$AF1645),ROUND($AG1645,2),0))</f>
        <v/>
      </c>
      <c r="K1645" s="18">
        <f>IF($Z1645="","",IF(AND(DATE($AD1645,2,1)&gt;=$AE1645,DATE($AD1645,2,1)&lt;=$AF1645),ROUND($AG1645,2),0))</f>
        <v/>
      </c>
      <c r="L1645" s="18">
        <f>IF($Z1645="","",IF(AND(DATE($AD1645,3,1)&gt;=$AE1645,DATE($AD1645,3,1)&lt;=$AF1645),ROUND($AG1645,2),0))</f>
        <v/>
      </c>
      <c r="M1645" s="18">
        <f>IF($Z1645="","",IF(AND(DATE($AD1645,4,1)&gt;=$AE1645,DATE($AD1645,4,1)&lt;=$AF1645),ROUND($AG1645,2),0))</f>
        <v/>
      </c>
      <c r="N1645" s="18">
        <f>IF($Z1645="","",IF(AND(DATE($AD1645,5,1)&gt;=$AE1645,DATE($AD1645,5,1)&lt;=$AF1645),ROUND($AG1645,2),0))</f>
        <v/>
      </c>
      <c r="O1645" s="18">
        <f>IF($Z1645="","",IF(AND(DATE($AD1645,6,1)&gt;=$AE1645,DATE($AD1645,6,1)&lt;=$AF1645),ROUND($AG1645,2),0))</f>
        <v/>
      </c>
      <c r="P1645" s="18">
        <f>IF($Z1645="","",IF(AND(DATE($AD1645,7,1)&gt;=$AE1645,DATE($AD1645,7,1)&lt;=$AF1645),ROUND($AG1645,2),0))</f>
        <v/>
      </c>
      <c r="Q1645" s="18">
        <f>IF($Z1645="","",IF(AND(DATE($AD1645,8,1)&gt;=$AE1645,DATE($AD1645,8,1)&lt;=$AF1645),ROUND($AG1645,2),0))</f>
        <v/>
      </c>
      <c r="R1645" s="18">
        <f>IF($Z1645="","",IF(AND(DATE($AD1645,9,1)&gt;=$AE1645,DATE($AD1645,9,1)&lt;=$AF1645),ROUND($AG1645,2),0))</f>
        <v/>
      </c>
      <c r="S1645" s="18">
        <f>IF($Z1645="","",IF(AND(DATE($AD1645,10,1)&gt;=$AE1645,DATE($AD1645,10,1)&lt;=$AF1645),ROUND($AG1645,2),0))</f>
        <v/>
      </c>
      <c r="T1645" s="18">
        <f>IF($Z1645="","",IF(AND(DATE($AD1645,11,1)&gt;=$AE1645,DATE($AD1645,11,1)&lt;=$AF1645),ROUND($AG1645,2),0))</f>
        <v/>
      </c>
      <c r="U1645" s="18">
        <f>IF($Z1645="","",IF(AND(DATE($AD1645,12,1)&gt;=$AE1645,DATE($AD1645,12,1)&lt;=$AF1645),ROUND($AG1645,2),0))</f>
        <v/>
      </c>
      <c r="V1645" s="7">
        <f>IF($Z1645="C","Generated from "&amp;INDEX(Contracts!$A$2:$A$151,$AB1645),IF($Z1645="A","Generated from "&amp;INDEX(Fixed_Assets!$A$2:$A$201,$AB1645),IF($Z1645="F","Generated from "&amp;INDEX(FTE_Allocation!$A$2:$A$201,$AB1645),"")))</f>
        <v/>
      </c>
      <c r="X1645" s="19">
        <f>IF($Z1645="","",SUM(J1645:U1645))</f>
        <v/>
      </c>
      <c r="Y1645" s="20">
        <f>ROW()-1</f>
        <v/>
      </c>
      <c r="Z1645" s="20">
        <f>IF($Y1645&lt;=Settings!$B$4*3,"C",IF($Y1645&lt;=(Settings!$B$4+Settings!$B$5)*3,"A",IF($Y1645&lt;=(Settings!$B$4+Settings!$B$5+Settings!$B$6)*3,"F","")))</f>
        <v/>
      </c>
      <c r="AA1645" s="20">
        <f>IF($Z1645="C",$Y1645,IF($Z1645="A",$Y1645-Settings!$B$4*3,IF($Z1645="F",$Y1645-(Settings!$B$4+Settings!$B$5)*3,"")))</f>
        <v/>
      </c>
      <c r="AB1645" s="20">
        <f>IF($Z1645="","",INT(($AA1645-1)/3)+1)</f>
        <v/>
      </c>
      <c r="AC1645" s="20">
        <f>IF($Z1645="","",MOD($AA1645-1,3)+1)</f>
        <v/>
      </c>
      <c r="AD1645" s="20">
        <f>IF($Z1645="","",Settings!$B$2+$AC1645-1)</f>
        <v/>
      </c>
      <c r="AE1645" s="21">
        <f>IF($Z1645="C",DATE(YEAR(INDEX(Contracts!$J$2:$J$151,$AB1645)),MONTH(INDEX(Contracts!$J$2:$J$151,$AB1645)),1),IF($Z1645="A",DATE(YEAR(INDEX(Fixed_Assets!$G$2:$G$201,$AB1645)),MONTH(INDEX(Fixed_Assets!$G$2:$G$201,$AB1645)),1),IF($Z1645="F",DATE(YEAR(MAX(N(INDEX(Workforce!$I$2:$I$151,MATCH(INDEX(FTE_Allocation!$A$2:$A$201,$AB1645),Workforce!$A$2:$A$151,0))),N(INDEX(FTE_Allocation!$I$2:$I$201,$AB1645)))),MONTH(MAX(N(INDEX(Workforce!$I$2:$I$151,MATCH(INDEX(FTE_Allocation!$A$2:$A$201,$AB1645),Workforce!$A$2:$A$151,0))),N(INDEX(FTE_Allocation!$I$2:$I$201,$AB1645)))),1),"")))</f>
        <v/>
      </c>
      <c r="AF1645" s="21">
        <f>IF($Z1645="C",IF(INDEX(Contracts!$I$2:$I$151,$AB1645)="PREPAID",EDATE(DATE(YEAR(INDEX(Contracts!$J$2:$J$151,$AB1645)),MONTH(INDEX(Contracts!$J$2:$J$151,$AB1645)),1),IF(INDEX(Contracts!$N$2:$N$151,$AB1645)="",12,INDEX(Contracts!$N$2:$N$151,$AB1645))-1),IF(INDEX(Contracts!$I$2:$I$151,$AB1645)="MONTHLY",IF(INDEX(Contracts!$K$2:$K$151,$AB1645)="",2958101,INDEX(Contracts!$K$2:$K$151,$AB1645)),0)),IF($Z1645="A",EDATE(DATE(YEAR(INDEX(Fixed_Assets!$G$2:$G$201,$AB1645)),MONTH(INDEX(Fixed_Assets!$G$2:$G$201,$AB1645)),1),INDEX(Fixed_Assets!$J$2:$J$201,$AB1645)-1),IF($Z1645="F",MIN(IF(INDEX(Workforce!$J$2:$J$151,MATCH(INDEX(FTE_Allocation!$A$2:$A$201,$AB1645),Workforce!$A$2:$A$151,0))="",2958101,INDEX(Workforce!$J$2:$J$151,MATCH(INDEX(FTE_Allocation!$A$2:$A$201,$AB1645),Workforce!$A$2:$A$151,0))),IF(INDEX(FTE_Allocation!$J$2:$J$201,$AB1645)="",2958101,INDEX(FTE_Allocation!$J$2:$J$201,$AB1645))),"")))</f>
        <v/>
      </c>
      <c r="AG1645" s="19">
        <f>IF($Z1645="C",IF(INDEX(Contracts!$I$2:$I$151,$AB1645)="PREPAID",INDEX(Contracts!$M$2:$M$151,$AB1645)/IF(INDEX(Contracts!$N$2:$N$151,$AB1645)="",12,INDEX(Contracts!$N$2:$N$151,$AB1645)),IF(INDEX(Contracts!$I$2:$I$151,$AB1645)="MONTHLY",INDEX(Contracts!$M$2:$M$151,$AB1645),0))*(1-N(INDEX(Contracts!$O$2:$O$151,$AB1645))),IF($Z1645="A",INDEX(Fixed_Assets!$H$2:$H$201,$AB1645)/INDEX(Fixed_Assets!$J$2:$J$201,$AB1645),IF($Z1645="F",INDEX(Workforce!$F$2:$F$151,MATCH(INDEX(FTE_Allocation!$A$2:$A$201,$AB1645),Workforce!$A$2:$A$151,0))*N(INDEX(FTE_Allocation!$F$2:$H$201,$AB1645,$AC1645)),"")))</f>
        <v/>
      </c>
    </row>
    <row r="1646">
      <c r="A1646" s="7">
        <f>IF($Z1646="","",$AD1646)</f>
        <v/>
      </c>
      <c r="B1646" s="7">
        <f>IF($Z1646="C",INDEX(Contracts!$D$2:$D$151,$AB1646)&amp;"",IF($Z1646="A",INDEX(Fixed_Assets!$C$2:$C$201,$AB1646)&amp;"",IF($Z1646="F",INDEX(Workforce!$B$2:$B$151,MATCH(INDEX(FTE_Allocation!$A$2:$A$201,$AB1646),Workforce!$A$2:$A$151,0))&amp;"","")))</f>
        <v/>
      </c>
      <c r="C1646" s="7">
        <f>IF($Z1646="C",INDEX(Contracts!$E$2:$E$151,$AB1646)&amp;"",IF($Z1646="A",INDEX(Fixed_Assets!$D$2:$D$201,$AB1646)&amp;"",IF($Z1646="F",INDEX(FTE_Allocation!$C$2:$C$201,$AB1646)&amp;"","")))</f>
        <v/>
      </c>
      <c r="D1646" s="7">
        <f>IF($Z1646="C",INDEX(Contracts!$B$2:$B$151,$AB1646)&amp;"",IF($Z1646="A",INDEX(Fixed_Assets!$B$2:$B$201,$AB1646)&amp;"",IF($Z1646="F",INDEX(FTE_Allocation!$B$2:$B$201,$AB1646)&amp;"","")))</f>
        <v/>
      </c>
      <c r="E1646" s="7">
        <f>IF($Z1646="C",INDEX(Contracts!$P$2:$P$151,$AB1646)&amp;"",IF($Z1646="A",INDEX(Fixed_Assets!$K$2:$K$201,$AB1646)&amp;"",IF($Z1646="F",IF(INDEX(FTE_Allocation!$D$2:$D$201,$AB1646)="PROJECT",IFERROR(INDEX(Projects!$D:$D,MATCH(INDEX(FTE_Allocation!$E$2:$E$201,$AB1646),Projects!$A:$A,0))&amp;"","#PROJECT?"),INDEX(FTE_Allocation!$E$2:$E$201,$AB1646)&amp;""),"")))</f>
        <v/>
      </c>
      <c r="F1646" s="7">
        <f>IF($Z1646="C",INDEX(Contracts!$Q$2:$Q$151,$AB1646)&amp;"",IF($Z1646="A",INDEX(Fixed_Assets!$L$2:$L$201,$AB1646)&amp;"",IF($Z1646="F",INDEX(Workforce!$K$2:$K$151,MATCH(INDEX(FTE_Allocation!$A$2:$A$201,$AB1646),Workforce!$A$2:$A$151,0))&amp;"","")))</f>
        <v/>
      </c>
      <c r="G1646" s="7">
        <f>IF($Z1646="C",INDEX(Contracts!$F$2:$F$151,$AB1646)&amp;" / "&amp;INDEX(Contracts!$G$2:$G$151,$AB1646),IF($Z1646="A",INDEX(Fixed_Assets!$E$2:$E$201,$AB1646)&amp;"",IF($Z1646="F","Personnel "&amp;INDEX(FTE_Allocation!$A$2:$A$201,$AB1646)&amp;IF(INDEX(FTE_Allocation!$D$2:$D$201,$AB1646)="PROJECT"," ("&amp;INDEX(FTE_Allocation!$E$2:$E$201,$AB1646)&amp;")",""),"")))</f>
        <v/>
      </c>
      <c r="H1646" s="7">
        <f>IF($Z1646="C","CONTRACT",IF($Z1646="A","ASSET",IF($Z1646="F","WORKFORCE","")))</f>
        <v/>
      </c>
      <c r="I1646" s="7">
        <f>IF($Z1646="C",INDEX(Contracts!$L$2:$L$151,$AB1646)&amp;"",IF($Z1646="A",INDEX(Fixed_Assets!$I$2:$I$201,$AB1646)&amp;"",IF($Z1646="F",INDEX(Workforce!$G$2:$G$151,MATCH(INDEX(FTE_Allocation!$A$2:$A$201,$AB1646),Workforce!$A$2:$A$151,0))&amp;"","")))</f>
        <v/>
      </c>
      <c r="J1646" s="18">
        <f>IF($Z1646="","",IF(AND(DATE($AD1646,1,1)&gt;=$AE1646,DATE($AD1646,1,1)&lt;=$AF1646),ROUND($AG1646,2),0))</f>
        <v/>
      </c>
      <c r="K1646" s="18">
        <f>IF($Z1646="","",IF(AND(DATE($AD1646,2,1)&gt;=$AE1646,DATE($AD1646,2,1)&lt;=$AF1646),ROUND($AG1646,2),0))</f>
        <v/>
      </c>
      <c r="L1646" s="18">
        <f>IF($Z1646="","",IF(AND(DATE($AD1646,3,1)&gt;=$AE1646,DATE($AD1646,3,1)&lt;=$AF1646),ROUND($AG1646,2),0))</f>
        <v/>
      </c>
      <c r="M1646" s="18">
        <f>IF($Z1646="","",IF(AND(DATE($AD1646,4,1)&gt;=$AE1646,DATE($AD1646,4,1)&lt;=$AF1646),ROUND($AG1646,2),0))</f>
        <v/>
      </c>
      <c r="N1646" s="18">
        <f>IF($Z1646="","",IF(AND(DATE($AD1646,5,1)&gt;=$AE1646,DATE($AD1646,5,1)&lt;=$AF1646),ROUND($AG1646,2),0))</f>
        <v/>
      </c>
      <c r="O1646" s="18">
        <f>IF($Z1646="","",IF(AND(DATE($AD1646,6,1)&gt;=$AE1646,DATE($AD1646,6,1)&lt;=$AF1646),ROUND($AG1646,2),0))</f>
        <v/>
      </c>
      <c r="P1646" s="18">
        <f>IF($Z1646="","",IF(AND(DATE($AD1646,7,1)&gt;=$AE1646,DATE($AD1646,7,1)&lt;=$AF1646),ROUND($AG1646,2),0))</f>
        <v/>
      </c>
      <c r="Q1646" s="18">
        <f>IF($Z1646="","",IF(AND(DATE($AD1646,8,1)&gt;=$AE1646,DATE($AD1646,8,1)&lt;=$AF1646),ROUND($AG1646,2),0))</f>
        <v/>
      </c>
      <c r="R1646" s="18">
        <f>IF($Z1646="","",IF(AND(DATE($AD1646,9,1)&gt;=$AE1646,DATE($AD1646,9,1)&lt;=$AF1646),ROUND($AG1646,2),0))</f>
        <v/>
      </c>
      <c r="S1646" s="18">
        <f>IF($Z1646="","",IF(AND(DATE($AD1646,10,1)&gt;=$AE1646,DATE($AD1646,10,1)&lt;=$AF1646),ROUND($AG1646,2),0))</f>
        <v/>
      </c>
      <c r="T1646" s="18">
        <f>IF($Z1646="","",IF(AND(DATE($AD1646,11,1)&gt;=$AE1646,DATE($AD1646,11,1)&lt;=$AF1646),ROUND($AG1646,2),0))</f>
        <v/>
      </c>
      <c r="U1646" s="18">
        <f>IF($Z1646="","",IF(AND(DATE($AD1646,12,1)&gt;=$AE1646,DATE($AD1646,12,1)&lt;=$AF1646),ROUND($AG1646,2),0))</f>
        <v/>
      </c>
      <c r="V1646" s="7">
        <f>IF($Z1646="C","Generated from "&amp;INDEX(Contracts!$A$2:$A$151,$AB1646),IF($Z1646="A","Generated from "&amp;INDEX(Fixed_Assets!$A$2:$A$201,$AB1646),IF($Z1646="F","Generated from "&amp;INDEX(FTE_Allocation!$A$2:$A$201,$AB1646),"")))</f>
        <v/>
      </c>
      <c r="X1646" s="19">
        <f>IF($Z1646="","",SUM(J1646:U1646))</f>
        <v/>
      </c>
      <c r="Y1646" s="20">
        <f>ROW()-1</f>
        <v/>
      </c>
      <c r="Z1646" s="20">
        <f>IF($Y1646&lt;=Settings!$B$4*3,"C",IF($Y1646&lt;=(Settings!$B$4+Settings!$B$5)*3,"A",IF($Y1646&lt;=(Settings!$B$4+Settings!$B$5+Settings!$B$6)*3,"F","")))</f>
        <v/>
      </c>
      <c r="AA1646" s="20">
        <f>IF($Z1646="C",$Y1646,IF($Z1646="A",$Y1646-Settings!$B$4*3,IF($Z1646="F",$Y1646-(Settings!$B$4+Settings!$B$5)*3,"")))</f>
        <v/>
      </c>
      <c r="AB1646" s="20">
        <f>IF($Z1646="","",INT(($AA1646-1)/3)+1)</f>
        <v/>
      </c>
      <c r="AC1646" s="20">
        <f>IF($Z1646="","",MOD($AA1646-1,3)+1)</f>
        <v/>
      </c>
      <c r="AD1646" s="20">
        <f>IF($Z1646="","",Settings!$B$2+$AC1646-1)</f>
        <v/>
      </c>
      <c r="AE1646" s="21">
        <f>IF($Z1646="C",DATE(YEAR(INDEX(Contracts!$J$2:$J$151,$AB1646)),MONTH(INDEX(Contracts!$J$2:$J$151,$AB1646)),1),IF($Z1646="A",DATE(YEAR(INDEX(Fixed_Assets!$G$2:$G$201,$AB1646)),MONTH(INDEX(Fixed_Assets!$G$2:$G$201,$AB1646)),1),IF($Z1646="F",DATE(YEAR(MAX(N(INDEX(Workforce!$I$2:$I$151,MATCH(INDEX(FTE_Allocation!$A$2:$A$201,$AB1646),Workforce!$A$2:$A$151,0))),N(INDEX(FTE_Allocation!$I$2:$I$201,$AB1646)))),MONTH(MAX(N(INDEX(Workforce!$I$2:$I$151,MATCH(INDEX(FTE_Allocation!$A$2:$A$201,$AB1646),Workforce!$A$2:$A$151,0))),N(INDEX(FTE_Allocation!$I$2:$I$201,$AB1646)))),1),"")))</f>
        <v/>
      </c>
      <c r="AF1646" s="21">
        <f>IF($Z1646="C",IF(INDEX(Contracts!$I$2:$I$151,$AB1646)="PREPAID",EDATE(DATE(YEAR(INDEX(Contracts!$J$2:$J$151,$AB1646)),MONTH(INDEX(Contracts!$J$2:$J$151,$AB1646)),1),IF(INDEX(Contracts!$N$2:$N$151,$AB1646)="",12,INDEX(Contracts!$N$2:$N$151,$AB1646))-1),IF(INDEX(Contracts!$I$2:$I$151,$AB1646)="MONTHLY",IF(INDEX(Contracts!$K$2:$K$151,$AB1646)="",2958101,INDEX(Contracts!$K$2:$K$151,$AB1646)),0)),IF($Z1646="A",EDATE(DATE(YEAR(INDEX(Fixed_Assets!$G$2:$G$201,$AB1646)),MONTH(INDEX(Fixed_Assets!$G$2:$G$201,$AB1646)),1),INDEX(Fixed_Assets!$J$2:$J$201,$AB1646)-1),IF($Z1646="F",MIN(IF(INDEX(Workforce!$J$2:$J$151,MATCH(INDEX(FTE_Allocation!$A$2:$A$201,$AB1646),Workforce!$A$2:$A$151,0))="",2958101,INDEX(Workforce!$J$2:$J$151,MATCH(INDEX(FTE_Allocation!$A$2:$A$201,$AB1646),Workforce!$A$2:$A$151,0))),IF(INDEX(FTE_Allocation!$J$2:$J$201,$AB1646)="",2958101,INDEX(FTE_Allocation!$J$2:$J$201,$AB1646))),"")))</f>
        <v/>
      </c>
      <c r="AG1646" s="19">
        <f>IF($Z1646="C",IF(INDEX(Contracts!$I$2:$I$151,$AB1646)="PREPAID",INDEX(Contracts!$M$2:$M$151,$AB1646)/IF(INDEX(Contracts!$N$2:$N$151,$AB1646)="",12,INDEX(Contracts!$N$2:$N$151,$AB1646)),IF(INDEX(Contracts!$I$2:$I$151,$AB1646)="MONTHLY",INDEX(Contracts!$M$2:$M$151,$AB1646),0))*(1-N(INDEX(Contracts!$O$2:$O$151,$AB1646))),IF($Z1646="A",INDEX(Fixed_Assets!$H$2:$H$201,$AB1646)/INDEX(Fixed_Assets!$J$2:$J$201,$AB1646),IF($Z1646="F",INDEX(Workforce!$F$2:$F$151,MATCH(INDEX(FTE_Allocation!$A$2:$A$201,$AB1646),Workforce!$A$2:$A$151,0))*N(INDEX(FTE_Allocation!$F$2:$H$201,$AB1646,$AC1646)),"")))</f>
        <v/>
      </c>
    </row>
    <row r="1647">
      <c r="A1647" s="7">
        <f>IF($Z1647="","",$AD1647)</f>
        <v/>
      </c>
      <c r="B1647" s="7">
        <f>IF($Z1647="C",INDEX(Contracts!$D$2:$D$151,$AB1647)&amp;"",IF($Z1647="A",INDEX(Fixed_Assets!$C$2:$C$201,$AB1647)&amp;"",IF($Z1647="F",INDEX(Workforce!$B$2:$B$151,MATCH(INDEX(FTE_Allocation!$A$2:$A$201,$AB1647),Workforce!$A$2:$A$151,0))&amp;"","")))</f>
        <v/>
      </c>
      <c r="C1647" s="7">
        <f>IF($Z1647="C",INDEX(Contracts!$E$2:$E$151,$AB1647)&amp;"",IF($Z1647="A",INDEX(Fixed_Assets!$D$2:$D$201,$AB1647)&amp;"",IF($Z1647="F",INDEX(FTE_Allocation!$C$2:$C$201,$AB1647)&amp;"","")))</f>
        <v/>
      </c>
      <c r="D1647" s="7">
        <f>IF($Z1647="C",INDEX(Contracts!$B$2:$B$151,$AB1647)&amp;"",IF($Z1647="A",INDEX(Fixed_Assets!$B$2:$B$201,$AB1647)&amp;"",IF($Z1647="F",INDEX(FTE_Allocation!$B$2:$B$201,$AB1647)&amp;"","")))</f>
        <v/>
      </c>
      <c r="E1647" s="7">
        <f>IF($Z1647="C",INDEX(Contracts!$P$2:$P$151,$AB1647)&amp;"",IF($Z1647="A",INDEX(Fixed_Assets!$K$2:$K$201,$AB1647)&amp;"",IF($Z1647="F",IF(INDEX(FTE_Allocation!$D$2:$D$201,$AB1647)="PROJECT",IFERROR(INDEX(Projects!$D:$D,MATCH(INDEX(FTE_Allocation!$E$2:$E$201,$AB1647),Projects!$A:$A,0))&amp;"","#PROJECT?"),INDEX(FTE_Allocation!$E$2:$E$201,$AB1647)&amp;""),"")))</f>
        <v/>
      </c>
      <c r="F1647" s="7">
        <f>IF($Z1647="C",INDEX(Contracts!$Q$2:$Q$151,$AB1647)&amp;"",IF($Z1647="A",INDEX(Fixed_Assets!$L$2:$L$201,$AB1647)&amp;"",IF($Z1647="F",INDEX(Workforce!$K$2:$K$151,MATCH(INDEX(FTE_Allocation!$A$2:$A$201,$AB1647),Workforce!$A$2:$A$151,0))&amp;"","")))</f>
        <v/>
      </c>
      <c r="G1647" s="7">
        <f>IF($Z1647="C",INDEX(Contracts!$F$2:$F$151,$AB1647)&amp;" / "&amp;INDEX(Contracts!$G$2:$G$151,$AB1647),IF($Z1647="A",INDEX(Fixed_Assets!$E$2:$E$201,$AB1647)&amp;"",IF($Z1647="F","Personnel "&amp;INDEX(FTE_Allocation!$A$2:$A$201,$AB1647)&amp;IF(INDEX(FTE_Allocation!$D$2:$D$201,$AB1647)="PROJECT"," ("&amp;INDEX(FTE_Allocation!$E$2:$E$201,$AB1647)&amp;")",""),"")))</f>
        <v/>
      </c>
      <c r="H1647" s="7">
        <f>IF($Z1647="C","CONTRACT",IF($Z1647="A","ASSET",IF($Z1647="F","WORKFORCE","")))</f>
        <v/>
      </c>
      <c r="I1647" s="7">
        <f>IF($Z1647="C",INDEX(Contracts!$L$2:$L$151,$AB1647)&amp;"",IF($Z1647="A",INDEX(Fixed_Assets!$I$2:$I$201,$AB1647)&amp;"",IF($Z1647="F",INDEX(Workforce!$G$2:$G$151,MATCH(INDEX(FTE_Allocation!$A$2:$A$201,$AB1647),Workforce!$A$2:$A$151,0))&amp;"","")))</f>
        <v/>
      </c>
      <c r="J1647" s="18">
        <f>IF($Z1647="","",IF(AND(DATE($AD1647,1,1)&gt;=$AE1647,DATE($AD1647,1,1)&lt;=$AF1647),ROUND($AG1647,2),0))</f>
        <v/>
      </c>
      <c r="K1647" s="18">
        <f>IF($Z1647="","",IF(AND(DATE($AD1647,2,1)&gt;=$AE1647,DATE($AD1647,2,1)&lt;=$AF1647),ROUND($AG1647,2),0))</f>
        <v/>
      </c>
      <c r="L1647" s="18">
        <f>IF($Z1647="","",IF(AND(DATE($AD1647,3,1)&gt;=$AE1647,DATE($AD1647,3,1)&lt;=$AF1647),ROUND($AG1647,2),0))</f>
        <v/>
      </c>
      <c r="M1647" s="18">
        <f>IF($Z1647="","",IF(AND(DATE($AD1647,4,1)&gt;=$AE1647,DATE($AD1647,4,1)&lt;=$AF1647),ROUND($AG1647,2),0))</f>
        <v/>
      </c>
      <c r="N1647" s="18">
        <f>IF($Z1647="","",IF(AND(DATE($AD1647,5,1)&gt;=$AE1647,DATE($AD1647,5,1)&lt;=$AF1647),ROUND($AG1647,2),0))</f>
        <v/>
      </c>
      <c r="O1647" s="18">
        <f>IF($Z1647="","",IF(AND(DATE($AD1647,6,1)&gt;=$AE1647,DATE($AD1647,6,1)&lt;=$AF1647),ROUND($AG1647,2),0))</f>
        <v/>
      </c>
      <c r="P1647" s="18">
        <f>IF($Z1647="","",IF(AND(DATE($AD1647,7,1)&gt;=$AE1647,DATE($AD1647,7,1)&lt;=$AF1647),ROUND($AG1647,2),0))</f>
        <v/>
      </c>
      <c r="Q1647" s="18">
        <f>IF($Z1647="","",IF(AND(DATE($AD1647,8,1)&gt;=$AE1647,DATE($AD1647,8,1)&lt;=$AF1647),ROUND($AG1647,2),0))</f>
        <v/>
      </c>
      <c r="R1647" s="18">
        <f>IF($Z1647="","",IF(AND(DATE($AD1647,9,1)&gt;=$AE1647,DATE($AD1647,9,1)&lt;=$AF1647),ROUND($AG1647,2),0))</f>
        <v/>
      </c>
      <c r="S1647" s="18">
        <f>IF($Z1647="","",IF(AND(DATE($AD1647,10,1)&gt;=$AE1647,DATE($AD1647,10,1)&lt;=$AF1647),ROUND($AG1647,2),0))</f>
        <v/>
      </c>
      <c r="T1647" s="18">
        <f>IF($Z1647="","",IF(AND(DATE($AD1647,11,1)&gt;=$AE1647,DATE($AD1647,11,1)&lt;=$AF1647),ROUND($AG1647,2),0))</f>
        <v/>
      </c>
      <c r="U1647" s="18">
        <f>IF($Z1647="","",IF(AND(DATE($AD1647,12,1)&gt;=$AE1647,DATE($AD1647,12,1)&lt;=$AF1647),ROUND($AG1647,2),0))</f>
        <v/>
      </c>
      <c r="V1647" s="7">
        <f>IF($Z1647="C","Generated from "&amp;INDEX(Contracts!$A$2:$A$151,$AB1647),IF($Z1647="A","Generated from "&amp;INDEX(Fixed_Assets!$A$2:$A$201,$AB1647),IF($Z1647="F","Generated from "&amp;INDEX(FTE_Allocation!$A$2:$A$201,$AB1647),"")))</f>
        <v/>
      </c>
      <c r="X1647" s="19">
        <f>IF($Z1647="","",SUM(J1647:U1647))</f>
        <v/>
      </c>
      <c r="Y1647" s="20">
        <f>ROW()-1</f>
        <v/>
      </c>
      <c r="Z1647" s="20">
        <f>IF($Y1647&lt;=Settings!$B$4*3,"C",IF($Y1647&lt;=(Settings!$B$4+Settings!$B$5)*3,"A",IF($Y1647&lt;=(Settings!$B$4+Settings!$B$5+Settings!$B$6)*3,"F","")))</f>
        <v/>
      </c>
      <c r="AA1647" s="20">
        <f>IF($Z1647="C",$Y1647,IF($Z1647="A",$Y1647-Settings!$B$4*3,IF($Z1647="F",$Y1647-(Settings!$B$4+Settings!$B$5)*3,"")))</f>
        <v/>
      </c>
      <c r="AB1647" s="20">
        <f>IF($Z1647="","",INT(($AA1647-1)/3)+1)</f>
        <v/>
      </c>
      <c r="AC1647" s="20">
        <f>IF($Z1647="","",MOD($AA1647-1,3)+1)</f>
        <v/>
      </c>
      <c r="AD1647" s="20">
        <f>IF($Z1647="","",Settings!$B$2+$AC1647-1)</f>
        <v/>
      </c>
      <c r="AE1647" s="21">
        <f>IF($Z1647="C",DATE(YEAR(INDEX(Contracts!$J$2:$J$151,$AB1647)),MONTH(INDEX(Contracts!$J$2:$J$151,$AB1647)),1),IF($Z1647="A",DATE(YEAR(INDEX(Fixed_Assets!$G$2:$G$201,$AB1647)),MONTH(INDEX(Fixed_Assets!$G$2:$G$201,$AB1647)),1),IF($Z1647="F",DATE(YEAR(MAX(N(INDEX(Workforce!$I$2:$I$151,MATCH(INDEX(FTE_Allocation!$A$2:$A$201,$AB1647),Workforce!$A$2:$A$151,0))),N(INDEX(FTE_Allocation!$I$2:$I$201,$AB1647)))),MONTH(MAX(N(INDEX(Workforce!$I$2:$I$151,MATCH(INDEX(FTE_Allocation!$A$2:$A$201,$AB1647),Workforce!$A$2:$A$151,0))),N(INDEX(FTE_Allocation!$I$2:$I$201,$AB1647)))),1),"")))</f>
        <v/>
      </c>
      <c r="AF1647" s="21">
        <f>IF($Z1647="C",IF(INDEX(Contracts!$I$2:$I$151,$AB1647)="PREPAID",EDATE(DATE(YEAR(INDEX(Contracts!$J$2:$J$151,$AB1647)),MONTH(INDEX(Contracts!$J$2:$J$151,$AB1647)),1),IF(INDEX(Contracts!$N$2:$N$151,$AB1647)="",12,INDEX(Contracts!$N$2:$N$151,$AB1647))-1),IF(INDEX(Contracts!$I$2:$I$151,$AB1647)="MONTHLY",IF(INDEX(Contracts!$K$2:$K$151,$AB1647)="",2958101,INDEX(Contracts!$K$2:$K$151,$AB1647)),0)),IF($Z1647="A",EDATE(DATE(YEAR(INDEX(Fixed_Assets!$G$2:$G$201,$AB1647)),MONTH(INDEX(Fixed_Assets!$G$2:$G$201,$AB1647)),1),INDEX(Fixed_Assets!$J$2:$J$201,$AB1647)-1),IF($Z1647="F",MIN(IF(INDEX(Workforce!$J$2:$J$151,MATCH(INDEX(FTE_Allocation!$A$2:$A$201,$AB1647),Workforce!$A$2:$A$151,0))="",2958101,INDEX(Workforce!$J$2:$J$151,MATCH(INDEX(FTE_Allocation!$A$2:$A$201,$AB1647),Workforce!$A$2:$A$151,0))),IF(INDEX(FTE_Allocation!$J$2:$J$201,$AB1647)="",2958101,INDEX(FTE_Allocation!$J$2:$J$201,$AB1647))),"")))</f>
        <v/>
      </c>
      <c r="AG1647" s="19">
        <f>IF($Z1647="C",IF(INDEX(Contracts!$I$2:$I$151,$AB1647)="PREPAID",INDEX(Contracts!$M$2:$M$151,$AB1647)/IF(INDEX(Contracts!$N$2:$N$151,$AB1647)="",12,INDEX(Contracts!$N$2:$N$151,$AB1647)),IF(INDEX(Contracts!$I$2:$I$151,$AB1647)="MONTHLY",INDEX(Contracts!$M$2:$M$151,$AB1647),0))*(1-N(INDEX(Contracts!$O$2:$O$151,$AB1647))),IF($Z1647="A",INDEX(Fixed_Assets!$H$2:$H$201,$AB1647)/INDEX(Fixed_Assets!$J$2:$J$201,$AB1647),IF($Z1647="F",INDEX(Workforce!$F$2:$F$151,MATCH(INDEX(FTE_Allocation!$A$2:$A$201,$AB1647),Workforce!$A$2:$A$151,0))*N(INDEX(FTE_Allocation!$F$2:$H$201,$AB1647,$AC1647)),"")))</f>
        <v/>
      </c>
    </row>
    <row r="1648">
      <c r="A1648" s="7">
        <f>IF($Z1648="","",$AD1648)</f>
        <v/>
      </c>
      <c r="B1648" s="7">
        <f>IF($Z1648="C",INDEX(Contracts!$D$2:$D$151,$AB1648)&amp;"",IF($Z1648="A",INDEX(Fixed_Assets!$C$2:$C$201,$AB1648)&amp;"",IF($Z1648="F",INDEX(Workforce!$B$2:$B$151,MATCH(INDEX(FTE_Allocation!$A$2:$A$201,$AB1648),Workforce!$A$2:$A$151,0))&amp;"","")))</f>
        <v/>
      </c>
      <c r="C1648" s="7">
        <f>IF($Z1648="C",INDEX(Contracts!$E$2:$E$151,$AB1648)&amp;"",IF($Z1648="A",INDEX(Fixed_Assets!$D$2:$D$201,$AB1648)&amp;"",IF($Z1648="F",INDEX(FTE_Allocation!$C$2:$C$201,$AB1648)&amp;"","")))</f>
        <v/>
      </c>
      <c r="D1648" s="7">
        <f>IF($Z1648="C",INDEX(Contracts!$B$2:$B$151,$AB1648)&amp;"",IF($Z1648="A",INDEX(Fixed_Assets!$B$2:$B$201,$AB1648)&amp;"",IF($Z1648="F",INDEX(FTE_Allocation!$B$2:$B$201,$AB1648)&amp;"","")))</f>
        <v/>
      </c>
      <c r="E1648" s="7">
        <f>IF($Z1648="C",INDEX(Contracts!$P$2:$P$151,$AB1648)&amp;"",IF($Z1648="A",INDEX(Fixed_Assets!$K$2:$K$201,$AB1648)&amp;"",IF($Z1648="F",IF(INDEX(FTE_Allocation!$D$2:$D$201,$AB1648)="PROJECT",IFERROR(INDEX(Projects!$D:$D,MATCH(INDEX(FTE_Allocation!$E$2:$E$201,$AB1648),Projects!$A:$A,0))&amp;"","#PROJECT?"),INDEX(FTE_Allocation!$E$2:$E$201,$AB1648)&amp;""),"")))</f>
        <v/>
      </c>
      <c r="F1648" s="7">
        <f>IF($Z1648="C",INDEX(Contracts!$Q$2:$Q$151,$AB1648)&amp;"",IF($Z1648="A",INDEX(Fixed_Assets!$L$2:$L$201,$AB1648)&amp;"",IF($Z1648="F",INDEX(Workforce!$K$2:$K$151,MATCH(INDEX(FTE_Allocation!$A$2:$A$201,$AB1648),Workforce!$A$2:$A$151,0))&amp;"","")))</f>
        <v/>
      </c>
      <c r="G1648" s="7">
        <f>IF($Z1648="C",INDEX(Contracts!$F$2:$F$151,$AB1648)&amp;" / "&amp;INDEX(Contracts!$G$2:$G$151,$AB1648),IF($Z1648="A",INDEX(Fixed_Assets!$E$2:$E$201,$AB1648)&amp;"",IF($Z1648="F","Personnel "&amp;INDEX(FTE_Allocation!$A$2:$A$201,$AB1648)&amp;IF(INDEX(FTE_Allocation!$D$2:$D$201,$AB1648)="PROJECT"," ("&amp;INDEX(FTE_Allocation!$E$2:$E$201,$AB1648)&amp;")",""),"")))</f>
        <v/>
      </c>
      <c r="H1648" s="7">
        <f>IF($Z1648="C","CONTRACT",IF($Z1648="A","ASSET",IF($Z1648="F","WORKFORCE","")))</f>
        <v/>
      </c>
      <c r="I1648" s="7">
        <f>IF($Z1648="C",INDEX(Contracts!$L$2:$L$151,$AB1648)&amp;"",IF($Z1648="A",INDEX(Fixed_Assets!$I$2:$I$201,$AB1648)&amp;"",IF($Z1648="F",INDEX(Workforce!$G$2:$G$151,MATCH(INDEX(FTE_Allocation!$A$2:$A$201,$AB1648),Workforce!$A$2:$A$151,0))&amp;"","")))</f>
        <v/>
      </c>
      <c r="J1648" s="18">
        <f>IF($Z1648="","",IF(AND(DATE($AD1648,1,1)&gt;=$AE1648,DATE($AD1648,1,1)&lt;=$AF1648),ROUND($AG1648,2),0))</f>
        <v/>
      </c>
      <c r="K1648" s="18">
        <f>IF($Z1648="","",IF(AND(DATE($AD1648,2,1)&gt;=$AE1648,DATE($AD1648,2,1)&lt;=$AF1648),ROUND($AG1648,2),0))</f>
        <v/>
      </c>
      <c r="L1648" s="18">
        <f>IF($Z1648="","",IF(AND(DATE($AD1648,3,1)&gt;=$AE1648,DATE($AD1648,3,1)&lt;=$AF1648),ROUND($AG1648,2),0))</f>
        <v/>
      </c>
      <c r="M1648" s="18">
        <f>IF($Z1648="","",IF(AND(DATE($AD1648,4,1)&gt;=$AE1648,DATE($AD1648,4,1)&lt;=$AF1648),ROUND($AG1648,2),0))</f>
        <v/>
      </c>
      <c r="N1648" s="18">
        <f>IF($Z1648="","",IF(AND(DATE($AD1648,5,1)&gt;=$AE1648,DATE($AD1648,5,1)&lt;=$AF1648),ROUND($AG1648,2),0))</f>
        <v/>
      </c>
      <c r="O1648" s="18">
        <f>IF($Z1648="","",IF(AND(DATE($AD1648,6,1)&gt;=$AE1648,DATE($AD1648,6,1)&lt;=$AF1648),ROUND($AG1648,2),0))</f>
        <v/>
      </c>
      <c r="P1648" s="18">
        <f>IF($Z1648="","",IF(AND(DATE($AD1648,7,1)&gt;=$AE1648,DATE($AD1648,7,1)&lt;=$AF1648),ROUND($AG1648,2),0))</f>
        <v/>
      </c>
      <c r="Q1648" s="18">
        <f>IF($Z1648="","",IF(AND(DATE($AD1648,8,1)&gt;=$AE1648,DATE($AD1648,8,1)&lt;=$AF1648),ROUND($AG1648,2),0))</f>
        <v/>
      </c>
      <c r="R1648" s="18">
        <f>IF($Z1648="","",IF(AND(DATE($AD1648,9,1)&gt;=$AE1648,DATE($AD1648,9,1)&lt;=$AF1648),ROUND($AG1648,2),0))</f>
        <v/>
      </c>
      <c r="S1648" s="18">
        <f>IF($Z1648="","",IF(AND(DATE($AD1648,10,1)&gt;=$AE1648,DATE($AD1648,10,1)&lt;=$AF1648),ROUND($AG1648,2),0))</f>
        <v/>
      </c>
      <c r="T1648" s="18">
        <f>IF($Z1648="","",IF(AND(DATE($AD1648,11,1)&gt;=$AE1648,DATE($AD1648,11,1)&lt;=$AF1648),ROUND($AG1648,2),0))</f>
        <v/>
      </c>
      <c r="U1648" s="18">
        <f>IF($Z1648="","",IF(AND(DATE($AD1648,12,1)&gt;=$AE1648,DATE($AD1648,12,1)&lt;=$AF1648),ROUND($AG1648,2),0))</f>
        <v/>
      </c>
      <c r="V1648" s="7">
        <f>IF($Z1648="C","Generated from "&amp;INDEX(Contracts!$A$2:$A$151,$AB1648),IF($Z1648="A","Generated from "&amp;INDEX(Fixed_Assets!$A$2:$A$201,$AB1648),IF($Z1648="F","Generated from "&amp;INDEX(FTE_Allocation!$A$2:$A$201,$AB1648),"")))</f>
        <v/>
      </c>
      <c r="X1648" s="19">
        <f>IF($Z1648="","",SUM(J1648:U1648))</f>
        <v/>
      </c>
      <c r="Y1648" s="20">
        <f>ROW()-1</f>
        <v/>
      </c>
      <c r="Z1648" s="20">
        <f>IF($Y1648&lt;=Settings!$B$4*3,"C",IF($Y1648&lt;=(Settings!$B$4+Settings!$B$5)*3,"A",IF($Y1648&lt;=(Settings!$B$4+Settings!$B$5+Settings!$B$6)*3,"F","")))</f>
        <v/>
      </c>
      <c r="AA1648" s="20">
        <f>IF($Z1648="C",$Y1648,IF($Z1648="A",$Y1648-Settings!$B$4*3,IF($Z1648="F",$Y1648-(Settings!$B$4+Settings!$B$5)*3,"")))</f>
        <v/>
      </c>
      <c r="AB1648" s="20">
        <f>IF($Z1648="","",INT(($AA1648-1)/3)+1)</f>
        <v/>
      </c>
      <c r="AC1648" s="20">
        <f>IF($Z1648="","",MOD($AA1648-1,3)+1)</f>
        <v/>
      </c>
      <c r="AD1648" s="20">
        <f>IF($Z1648="","",Settings!$B$2+$AC1648-1)</f>
        <v/>
      </c>
      <c r="AE1648" s="21">
        <f>IF($Z1648="C",DATE(YEAR(INDEX(Contracts!$J$2:$J$151,$AB1648)),MONTH(INDEX(Contracts!$J$2:$J$151,$AB1648)),1),IF($Z1648="A",DATE(YEAR(INDEX(Fixed_Assets!$G$2:$G$201,$AB1648)),MONTH(INDEX(Fixed_Assets!$G$2:$G$201,$AB1648)),1),IF($Z1648="F",DATE(YEAR(MAX(N(INDEX(Workforce!$I$2:$I$151,MATCH(INDEX(FTE_Allocation!$A$2:$A$201,$AB1648),Workforce!$A$2:$A$151,0))),N(INDEX(FTE_Allocation!$I$2:$I$201,$AB1648)))),MONTH(MAX(N(INDEX(Workforce!$I$2:$I$151,MATCH(INDEX(FTE_Allocation!$A$2:$A$201,$AB1648),Workforce!$A$2:$A$151,0))),N(INDEX(FTE_Allocation!$I$2:$I$201,$AB1648)))),1),"")))</f>
        <v/>
      </c>
      <c r="AF1648" s="21">
        <f>IF($Z1648="C",IF(INDEX(Contracts!$I$2:$I$151,$AB1648)="PREPAID",EDATE(DATE(YEAR(INDEX(Contracts!$J$2:$J$151,$AB1648)),MONTH(INDEX(Contracts!$J$2:$J$151,$AB1648)),1),IF(INDEX(Contracts!$N$2:$N$151,$AB1648)="",12,INDEX(Contracts!$N$2:$N$151,$AB1648))-1),IF(INDEX(Contracts!$I$2:$I$151,$AB1648)="MONTHLY",IF(INDEX(Contracts!$K$2:$K$151,$AB1648)="",2958101,INDEX(Contracts!$K$2:$K$151,$AB1648)),0)),IF($Z1648="A",EDATE(DATE(YEAR(INDEX(Fixed_Assets!$G$2:$G$201,$AB1648)),MONTH(INDEX(Fixed_Assets!$G$2:$G$201,$AB1648)),1),INDEX(Fixed_Assets!$J$2:$J$201,$AB1648)-1),IF($Z1648="F",MIN(IF(INDEX(Workforce!$J$2:$J$151,MATCH(INDEX(FTE_Allocation!$A$2:$A$201,$AB1648),Workforce!$A$2:$A$151,0))="",2958101,INDEX(Workforce!$J$2:$J$151,MATCH(INDEX(FTE_Allocation!$A$2:$A$201,$AB1648),Workforce!$A$2:$A$151,0))),IF(INDEX(FTE_Allocation!$J$2:$J$201,$AB1648)="",2958101,INDEX(FTE_Allocation!$J$2:$J$201,$AB1648))),"")))</f>
        <v/>
      </c>
      <c r="AG1648" s="19">
        <f>IF($Z1648="C",IF(INDEX(Contracts!$I$2:$I$151,$AB1648)="PREPAID",INDEX(Contracts!$M$2:$M$151,$AB1648)/IF(INDEX(Contracts!$N$2:$N$151,$AB1648)="",12,INDEX(Contracts!$N$2:$N$151,$AB1648)),IF(INDEX(Contracts!$I$2:$I$151,$AB1648)="MONTHLY",INDEX(Contracts!$M$2:$M$151,$AB1648),0))*(1-N(INDEX(Contracts!$O$2:$O$151,$AB1648))),IF($Z1648="A",INDEX(Fixed_Assets!$H$2:$H$201,$AB1648)/INDEX(Fixed_Assets!$J$2:$J$201,$AB1648),IF($Z1648="F",INDEX(Workforce!$F$2:$F$151,MATCH(INDEX(FTE_Allocation!$A$2:$A$201,$AB1648),Workforce!$A$2:$A$151,0))*N(INDEX(FTE_Allocation!$F$2:$H$201,$AB1648,$AC1648)),"")))</f>
        <v/>
      </c>
    </row>
    <row r="1649">
      <c r="A1649" s="7">
        <f>IF($Z1649="","",$AD1649)</f>
        <v/>
      </c>
      <c r="B1649" s="7">
        <f>IF($Z1649="C",INDEX(Contracts!$D$2:$D$151,$AB1649)&amp;"",IF($Z1649="A",INDEX(Fixed_Assets!$C$2:$C$201,$AB1649)&amp;"",IF($Z1649="F",INDEX(Workforce!$B$2:$B$151,MATCH(INDEX(FTE_Allocation!$A$2:$A$201,$AB1649),Workforce!$A$2:$A$151,0))&amp;"","")))</f>
        <v/>
      </c>
      <c r="C1649" s="7">
        <f>IF($Z1649="C",INDEX(Contracts!$E$2:$E$151,$AB1649)&amp;"",IF($Z1649="A",INDEX(Fixed_Assets!$D$2:$D$201,$AB1649)&amp;"",IF($Z1649="F",INDEX(FTE_Allocation!$C$2:$C$201,$AB1649)&amp;"","")))</f>
        <v/>
      </c>
      <c r="D1649" s="7">
        <f>IF($Z1649="C",INDEX(Contracts!$B$2:$B$151,$AB1649)&amp;"",IF($Z1649="A",INDEX(Fixed_Assets!$B$2:$B$201,$AB1649)&amp;"",IF($Z1649="F",INDEX(FTE_Allocation!$B$2:$B$201,$AB1649)&amp;"","")))</f>
        <v/>
      </c>
      <c r="E1649" s="7">
        <f>IF($Z1649="C",INDEX(Contracts!$P$2:$P$151,$AB1649)&amp;"",IF($Z1649="A",INDEX(Fixed_Assets!$K$2:$K$201,$AB1649)&amp;"",IF($Z1649="F",IF(INDEX(FTE_Allocation!$D$2:$D$201,$AB1649)="PROJECT",IFERROR(INDEX(Projects!$D:$D,MATCH(INDEX(FTE_Allocation!$E$2:$E$201,$AB1649),Projects!$A:$A,0))&amp;"","#PROJECT?"),INDEX(FTE_Allocation!$E$2:$E$201,$AB1649)&amp;""),"")))</f>
        <v/>
      </c>
      <c r="F1649" s="7">
        <f>IF($Z1649="C",INDEX(Contracts!$Q$2:$Q$151,$AB1649)&amp;"",IF($Z1649="A",INDEX(Fixed_Assets!$L$2:$L$201,$AB1649)&amp;"",IF($Z1649="F",INDEX(Workforce!$K$2:$K$151,MATCH(INDEX(FTE_Allocation!$A$2:$A$201,$AB1649),Workforce!$A$2:$A$151,0))&amp;"","")))</f>
        <v/>
      </c>
      <c r="G1649" s="7">
        <f>IF($Z1649="C",INDEX(Contracts!$F$2:$F$151,$AB1649)&amp;" / "&amp;INDEX(Contracts!$G$2:$G$151,$AB1649),IF($Z1649="A",INDEX(Fixed_Assets!$E$2:$E$201,$AB1649)&amp;"",IF($Z1649="F","Personnel "&amp;INDEX(FTE_Allocation!$A$2:$A$201,$AB1649)&amp;IF(INDEX(FTE_Allocation!$D$2:$D$201,$AB1649)="PROJECT"," ("&amp;INDEX(FTE_Allocation!$E$2:$E$201,$AB1649)&amp;")",""),"")))</f>
        <v/>
      </c>
      <c r="H1649" s="7">
        <f>IF($Z1649="C","CONTRACT",IF($Z1649="A","ASSET",IF($Z1649="F","WORKFORCE","")))</f>
        <v/>
      </c>
      <c r="I1649" s="7">
        <f>IF($Z1649="C",INDEX(Contracts!$L$2:$L$151,$AB1649)&amp;"",IF($Z1649="A",INDEX(Fixed_Assets!$I$2:$I$201,$AB1649)&amp;"",IF($Z1649="F",INDEX(Workforce!$G$2:$G$151,MATCH(INDEX(FTE_Allocation!$A$2:$A$201,$AB1649),Workforce!$A$2:$A$151,0))&amp;"","")))</f>
        <v/>
      </c>
      <c r="J1649" s="18">
        <f>IF($Z1649="","",IF(AND(DATE($AD1649,1,1)&gt;=$AE1649,DATE($AD1649,1,1)&lt;=$AF1649),ROUND($AG1649,2),0))</f>
        <v/>
      </c>
      <c r="K1649" s="18">
        <f>IF($Z1649="","",IF(AND(DATE($AD1649,2,1)&gt;=$AE1649,DATE($AD1649,2,1)&lt;=$AF1649),ROUND($AG1649,2),0))</f>
        <v/>
      </c>
      <c r="L1649" s="18">
        <f>IF($Z1649="","",IF(AND(DATE($AD1649,3,1)&gt;=$AE1649,DATE($AD1649,3,1)&lt;=$AF1649),ROUND($AG1649,2),0))</f>
        <v/>
      </c>
      <c r="M1649" s="18">
        <f>IF($Z1649="","",IF(AND(DATE($AD1649,4,1)&gt;=$AE1649,DATE($AD1649,4,1)&lt;=$AF1649),ROUND($AG1649,2),0))</f>
        <v/>
      </c>
      <c r="N1649" s="18">
        <f>IF($Z1649="","",IF(AND(DATE($AD1649,5,1)&gt;=$AE1649,DATE($AD1649,5,1)&lt;=$AF1649),ROUND($AG1649,2),0))</f>
        <v/>
      </c>
      <c r="O1649" s="18">
        <f>IF($Z1649="","",IF(AND(DATE($AD1649,6,1)&gt;=$AE1649,DATE($AD1649,6,1)&lt;=$AF1649),ROUND($AG1649,2),0))</f>
        <v/>
      </c>
      <c r="P1649" s="18">
        <f>IF($Z1649="","",IF(AND(DATE($AD1649,7,1)&gt;=$AE1649,DATE($AD1649,7,1)&lt;=$AF1649),ROUND($AG1649,2),0))</f>
        <v/>
      </c>
      <c r="Q1649" s="18">
        <f>IF($Z1649="","",IF(AND(DATE($AD1649,8,1)&gt;=$AE1649,DATE($AD1649,8,1)&lt;=$AF1649),ROUND($AG1649,2),0))</f>
        <v/>
      </c>
      <c r="R1649" s="18">
        <f>IF($Z1649="","",IF(AND(DATE($AD1649,9,1)&gt;=$AE1649,DATE($AD1649,9,1)&lt;=$AF1649),ROUND($AG1649,2),0))</f>
        <v/>
      </c>
      <c r="S1649" s="18">
        <f>IF($Z1649="","",IF(AND(DATE($AD1649,10,1)&gt;=$AE1649,DATE($AD1649,10,1)&lt;=$AF1649),ROUND($AG1649,2),0))</f>
        <v/>
      </c>
      <c r="T1649" s="18">
        <f>IF($Z1649="","",IF(AND(DATE($AD1649,11,1)&gt;=$AE1649,DATE($AD1649,11,1)&lt;=$AF1649),ROUND($AG1649,2),0))</f>
        <v/>
      </c>
      <c r="U1649" s="18">
        <f>IF($Z1649="","",IF(AND(DATE($AD1649,12,1)&gt;=$AE1649,DATE($AD1649,12,1)&lt;=$AF1649),ROUND($AG1649,2),0))</f>
        <v/>
      </c>
      <c r="V1649" s="7">
        <f>IF($Z1649="C","Generated from "&amp;INDEX(Contracts!$A$2:$A$151,$AB1649),IF($Z1649="A","Generated from "&amp;INDEX(Fixed_Assets!$A$2:$A$201,$AB1649),IF($Z1649="F","Generated from "&amp;INDEX(FTE_Allocation!$A$2:$A$201,$AB1649),"")))</f>
        <v/>
      </c>
      <c r="X1649" s="19">
        <f>IF($Z1649="","",SUM(J1649:U1649))</f>
        <v/>
      </c>
      <c r="Y1649" s="20">
        <f>ROW()-1</f>
        <v/>
      </c>
      <c r="Z1649" s="20">
        <f>IF($Y1649&lt;=Settings!$B$4*3,"C",IF($Y1649&lt;=(Settings!$B$4+Settings!$B$5)*3,"A",IF($Y1649&lt;=(Settings!$B$4+Settings!$B$5+Settings!$B$6)*3,"F","")))</f>
        <v/>
      </c>
      <c r="AA1649" s="20">
        <f>IF($Z1649="C",$Y1649,IF($Z1649="A",$Y1649-Settings!$B$4*3,IF($Z1649="F",$Y1649-(Settings!$B$4+Settings!$B$5)*3,"")))</f>
        <v/>
      </c>
      <c r="AB1649" s="20">
        <f>IF($Z1649="","",INT(($AA1649-1)/3)+1)</f>
        <v/>
      </c>
      <c r="AC1649" s="20">
        <f>IF($Z1649="","",MOD($AA1649-1,3)+1)</f>
        <v/>
      </c>
      <c r="AD1649" s="20">
        <f>IF($Z1649="","",Settings!$B$2+$AC1649-1)</f>
        <v/>
      </c>
      <c r="AE1649" s="21">
        <f>IF($Z1649="C",DATE(YEAR(INDEX(Contracts!$J$2:$J$151,$AB1649)),MONTH(INDEX(Contracts!$J$2:$J$151,$AB1649)),1),IF($Z1649="A",DATE(YEAR(INDEX(Fixed_Assets!$G$2:$G$201,$AB1649)),MONTH(INDEX(Fixed_Assets!$G$2:$G$201,$AB1649)),1),IF($Z1649="F",DATE(YEAR(MAX(N(INDEX(Workforce!$I$2:$I$151,MATCH(INDEX(FTE_Allocation!$A$2:$A$201,$AB1649),Workforce!$A$2:$A$151,0))),N(INDEX(FTE_Allocation!$I$2:$I$201,$AB1649)))),MONTH(MAX(N(INDEX(Workforce!$I$2:$I$151,MATCH(INDEX(FTE_Allocation!$A$2:$A$201,$AB1649),Workforce!$A$2:$A$151,0))),N(INDEX(FTE_Allocation!$I$2:$I$201,$AB1649)))),1),"")))</f>
        <v/>
      </c>
      <c r="AF1649" s="21">
        <f>IF($Z1649="C",IF(INDEX(Contracts!$I$2:$I$151,$AB1649)="PREPAID",EDATE(DATE(YEAR(INDEX(Contracts!$J$2:$J$151,$AB1649)),MONTH(INDEX(Contracts!$J$2:$J$151,$AB1649)),1),IF(INDEX(Contracts!$N$2:$N$151,$AB1649)="",12,INDEX(Contracts!$N$2:$N$151,$AB1649))-1),IF(INDEX(Contracts!$I$2:$I$151,$AB1649)="MONTHLY",IF(INDEX(Contracts!$K$2:$K$151,$AB1649)="",2958101,INDEX(Contracts!$K$2:$K$151,$AB1649)),0)),IF($Z1649="A",EDATE(DATE(YEAR(INDEX(Fixed_Assets!$G$2:$G$201,$AB1649)),MONTH(INDEX(Fixed_Assets!$G$2:$G$201,$AB1649)),1),INDEX(Fixed_Assets!$J$2:$J$201,$AB1649)-1),IF($Z1649="F",MIN(IF(INDEX(Workforce!$J$2:$J$151,MATCH(INDEX(FTE_Allocation!$A$2:$A$201,$AB1649),Workforce!$A$2:$A$151,0))="",2958101,INDEX(Workforce!$J$2:$J$151,MATCH(INDEX(FTE_Allocation!$A$2:$A$201,$AB1649),Workforce!$A$2:$A$151,0))),IF(INDEX(FTE_Allocation!$J$2:$J$201,$AB1649)="",2958101,INDEX(FTE_Allocation!$J$2:$J$201,$AB1649))),"")))</f>
        <v/>
      </c>
      <c r="AG1649" s="19">
        <f>IF($Z1649="C",IF(INDEX(Contracts!$I$2:$I$151,$AB1649)="PREPAID",INDEX(Contracts!$M$2:$M$151,$AB1649)/IF(INDEX(Contracts!$N$2:$N$151,$AB1649)="",12,INDEX(Contracts!$N$2:$N$151,$AB1649)),IF(INDEX(Contracts!$I$2:$I$151,$AB1649)="MONTHLY",INDEX(Contracts!$M$2:$M$151,$AB1649),0))*(1-N(INDEX(Contracts!$O$2:$O$151,$AB1649))),IF($Z1649="A",INDEX(Fixed_Assets!$H$2:$H$201,$AB1649)/INDEX(Fixed_Assets!$J$2:$J$201,$AB1649),IF($Z1649="F",INDEX(Workforce!$F$2:$F$151,MATCH(INDEX(FTE_Allocation!$A$2:$A$201,$AB1649),Workforce!$A$2:$A$151,0))*N(INDEX(FTE_Allocation!$F$2:$H$201,$AB1649,$AC1649)),"")))</f>
        <v/>
      </c>
    </row>
    <row r="1650">
      <c r="A1650" s="7">
        <f>IF($Z1650="","",$AD1650)</f>
        <v/>
      </c>
      <c r="B1650" s="7">
        <f>IF($Z1650="C",INDEX(Contracts!$D$2:$D$151,$AB1650)&amp;"",IF($Z1650="A",INDEX(Fixed_Assets!$C$2:$C$201,$AB1650)&amp;"",IF($Z1650="F",INDEX(Workforce!$B$2:$B$151,MATCH(INDEX(FTE_Allocation!$A$2:$A$201,$AB1650),Workforce!$A$2:$A$151,0))&amp;"","")))</f>
        <v/>
      </c>
      <c r="C1650" s="7">
        <f>IF($Z1650="C",INDEX(Contracts!$E$2:$E$151,$AB1650)&amp;"",IF($Z1650="A",INDEX(Fixed_Assets!$D$2:$D$201,$AB1650)&amp;"",IF($Z1650="F",INDEX(FTE_Allocation!$C$2:$C$201,$AB1650)&amp;"","")))</f>
        <v/>
      </c>
      <c r="D1650" s="7">
        <f>IF($Z1650="C",INDEX(Contracts!$B$2:$B$151,$AB1650)&amp;"",IF($Z1650="A",INDEX(Fixed_Assets!$B$2:$B$201,$AB1650)&amp;"",IF($Z1650="F",INDEX(FTE_Allocation!$B$2:$B$201,$AB1650)&amp;"","")))</f>
        <v/>
      </c>
      <c r="E1650" s="7">
        <f>IF($Z1650="C",INDEX(Contracts!$P$2:$P$151,$AB1650)&amp;"",IF($Z1650="A",INDEX(Fixed_Assets!$K$2:$K$201,$AB1650)&amp;"",IF($Z1650="F",IF(INDEX(FTE_Allocation!$D$2:$D$201,$AB1650)="PROJECT",IFERROR(INDEX(Projects!$D:$D,MATCH(INDEX(FTE_Allocation!$E$2:$E$201,$AB1650),Projects!$A:$A,0))&amp;"","#PROJECT?"),INDEX(FTE_Allocation!$E$2:$E$201,$AB1650)&amp;""),"")))</f>
        <v/>
      </c>
      <c r="F1650" s="7">
        <f>IF($Z1650="C",INDEX(Contracts!$Q$2:$Q$151,$AB1650)&amp;"",IF($Z1650="A",INDEX(Fixed_Assets!$L$2:$L$201,$AB1650)&amp;"",IF($Z1650="F",INDEX(Workforce!$K$2:$K$151,MATCH(INDEX(FTE_Allocation!$A$2:$A$201,$AB1650),Workforce!$A$2:$A$151,0))&amp;"","")))</f>
        <v/>
      </c>
      <c r="G1650" s="7">
        <f>IF($Z1650="C",INDEX(Contracts!$F$2:$F$151,$AB1650)&amp;" / "&amp;INDEX(Contracts!$G$2:$G$151,$AB1650),IF($Z1650="A",INDEX(Fixed_Assets!$E$2:$E$201,$AB1650)&amp;"",IF($Z1650="F","Personnel "&amp;INDEX(FTE_Allocation!$A$2:$A$201,$AB1650)&amp;IF(INDEX(FTE_Allocation!$D$2:$D$201,$AB1650)="PROJECT"," ("&amp;INDEX(FTE_Allocation!$E$2:$E$201,$AB1650)&amp;")",""),"")))</f>
        <v/>
      </c>
      <c r="H1650" s="7">
        <f>IF($Z1650="C","CONTRACT",IF($Z1650="A","ASSET",IF($Z1650="F","WORKFORCE","")))</f>
        <v/>
      </c>
      <c r="I1650" s="7">
        <f>IF($Z1650="C",INDEX(Contracts!$L$2:$L$151,$AB1650)&amp;"",IF($Z1650="A",INDEX(Fixed_Assets!$I$2:$I$201,$AB1650)&amp;"",IF($Z1650="F",INDEX(Workforce!$G$2:$G$151,MATCH(INDEX(FTE_Allocation!$A$2:$A$201,$AB1650),Workforce!$A$2:$A$151,0))&amp;"","")))</f>
        <v/>
      </c>
      <c r="J1650" s="18">
        <f>IF($Z1650="","",IF(AND(DATE($AD1650,1,1)&gt;=$AE1650,DATE($AD1650,1,1)&lt;=$AF1650),ROUND($AG1650,2),0))</f>
        <v/>
      </c>
      <c r="K1650" s="18">
        <f>IF($Z1650="","",IF(AND(DATE($AD1650,2,1)&gt;=$AE1650,DATE($AD1650,2,1)&lt;=$AF1650),ROUND($AG1650,2),0))</f>
        <v/>
      </c>
      <c r="L1650" s="18">
        <f>IF($Z1650="","",IF(AND(DATE($AD1650,3,1)&gt;=$AE1650,DATE($AD1650,3,1)&lt;=$AF1650),ROUND($AG1650,2),0))</f>
        <v/>
      </c>
      <c r="M1650" s="18">
        <f>IF($Z1650="","",IF(AND(DATE($AD1650,4,1)&gt;=$AE1650,DATE($AD1650,4,1)&lt;=$AF1650),ROUND($AG1650,2),0))</f>
        <v/>
      </c>
      <c r="N1650" s="18">
        <f>IF($Z1650="","",IF(AND(DATE($AD1650,5,1)&gt;=$AE1650,DATE($AD1650,5,1)&lt;=$AF1650),ROUND($AG1650,2),0))</f>
        <v/>
      </c>
      <c r="O1650" s="18">
        <f>IF($Z1650="","",IF(AND(DATE($AD1650,6,1)&gt;=$AE1650,DATE($AD1650,6,1)&lt;=$AF1650),ROUND($AG1650,2),0))</f>
        <v/>
      </c>
      <c r="P1650" s="18">
        <f>IF($Z1650="","",IF(AND(DATE($AD1650,7,1)&gt;=$AE1650,DATE($AD1650,7,1)&lt;=$AF1650),ROUND($AG1650,2),0))</f>
        <v/>
      </c>
      <c r="Q1650" s="18">
        <f>IF($Z1650="","",IF(AND(DATE($AD1650,8,1)&gt;=$AE1650,DATE($AD1650,8,1)&lt;=$AF1650),ROUND($AG1650,2),0))</f>
        <v/>
      </c>
      <c r="R1650" s="18">
        <f>IF($Z1650="","",IF(AND(DATE($AD1650,9,1)&gt;=$AE1650,DATE($AD1650,9,1)&lt;=$AF1650),ROUND($AG1650,2),0))</f>
        <v/>
      </c>
      <c r="S1650" s="18">
        <f>IF($Z1650="","",IF(AND(DATE($AD1650,10,1)&gt;=$AE1650,DATE($AD1650,10,1)&lt;=$AF1650),ROUND($AG1650,2),0))</f>
        <v/>
      </c>
      <c r="T1650" s="18">
        <f>IF($Z1650="","",IF(AND(DATE($AD1650,11,1)&gt;=$AE1650,DATE($AD1650,11,1)&lt;=$AF1650),ROUND($AG1650,2),0))</f>
        <v/>
      </c>
      <c r="U1650" s="18">
        <f>IF($Z1650="","",IF(AND(DATE($AD1650,12,1)&gt;=$AE1650,DATE($AD1650,12,1)&lt;=$AF1650),ROUND($AG1650,2),0))</f>
        <v/>
      </c>
      <c r="V1650" s="7">
        <f>IF($Z1650="C","Generated from "&amp;INDEX(Contracts!$A$2:$A$151,$AB1650),IF($Z1650="A","Generated from "&amp;INDEX(Fixed_Assets!$A$2:$A$201,$AB1650),IF($Z1650="F","Generated from "&amp;INDEX(FTE_Allocation!$A$2:$A$201,$AB1650),"")))</f>
        <v/>
      </c>
      <c r="X1650" s="19">
        <f>IF($Z1650="","",SUM(J1650:U1650))</f>
        <v/>
      </c>
      <c r="Y1650" s="20">
        <f>ROW()-1</f>
        <v/>
      </c>
      <c r="Z1650" s="20">
        <f>IF($Y1650&lt;=Settings!$B$4*3,"C",IF($Y1650&lt;=(Settings!$B$4+Settings!$B$5)*3,"A",IF($Y1650&lt;=(Settings!$B$4+Settings!$B$5+Settings!$B$6)*3,"F","")))</f>
        <v/>
      </c>
      <c r="AA1650" s="20">
        <f>IF($Z1650="C",$Y1650,IF($Z1650="A",$Y1650-Settings!$B$4*3,IF($Z1650="F",$Y1650-(Settings!$B$4+Settings!$B$5)*3,"")))</f>
        <v/>
      </c>
      <c r="AB1650" s="20">
        <f>IF($Z1650="","",INT(($AA1650-1)/3)+1)</f>
        <v/>
      </c>
      <c r="AC1650" s="20">
        <f>IF($Z1650="","",MOD($AA1650-1,3)+1)</f>
        <v/>
      </c>
      <c r="AD1650" s="20">
        <f>IF($Z1650="","",Settings!$B$2+$AC1650-1)</f>
        <v/>
      </c>
      <c r="AE1650" s="21">
        <f>IF($Z1650="C",DATE(YEAR(INDEX(Contracts!$J$2:$J$151,$AB1650)),MONTH(INDEX(Contracts!$J$2:$J$151,$AB1650)),1),IF($Z1650="A",DATE(YEAR(INDEX(Fixed_Assets!$G$2:$G$201,$AB1650)),MONTH(INDEX(Fixed_Assets!$G$2:$G$201,$AB1650)),1),IF($Z1650="F",DATE(YEAR(MAX(N(INDEX(Workforce!$I$2:$I$151,MATCH(INDEX(FTE_Allocation!$A$2:$A$201,$AB1650),Workforce!$A$2:$A$151,0))),N(INDEX(FTE_Allocation!$I$2:$I$201,$AB1650)))),MONTH(MAX(N(INDEX(Workforce!$I$2:$I$151,MATCH(INDEX(FTE_Allocation!$A$2:$A$201,$AB1650),Workforce!$A$2:$A$151,0))),N(INDEX(FTE_Allocation!$I$2:$I$201,$AB1650)))),1),"")))</f>
        <v/>
      </c>
      <c r="AF1650" s="21">
        <f>IF($Z1650="C",IF(INDEX(Contracts!$I$2:$I$151,$AB1650)="PREPAID",EDATE(DATE(YEAR(INDEX(Contracts!$J$2:$J$151,$AB1650)),MONTH(INDEX(Contracts!$J$2:$J$151,$AB1650)),1),IF(INDEX(Contracts!$N$2:$N$151,$AB1650)="",12,INDEX(Contracts!$N$2:$N$151,$AB1650))-1),IF(INDEX(Contracts!$I$2:$I$151,$AB1650)="MONTHLY",IF(INDEX(Contracts!$K$2:$K$151,$AB1650)="",2958101,INDEX(Contracts!$K$2:$K$151,$AB1650)),0)),IF($Z1650="A",EDATE(DATE(YEAR(INDEX(Fixed_Assets!$G$2:$G$201,$AB1650)),MONTH(INDEX(Fixed_Assets!$G$2:$G$201,$AB1650)),1),INDEX(Fixed_Assets!$J$2:$J$201,$AB1650)-1),IF($Z1650="F",MIN(IF(INDEX(Workforce!$J$2:$J$151,MATCH(INDEX(FTE_Allocation!$A$2:$A$201,$AB1650),Workforce!$A$2:$A$151,0))="",2958101,INDEX(Workforce!$J$2:$J$151,MATCH(INDEX(FTE_Allocation!$A$2:$A$201,$AB1650),Workforce!$A$2:$A$151,0))),IF(INDEX(FTE_Allocation!$J$2:$J$201,$AB1650)="",2958101,INDEX(FTE_Allocation!$J$2:$J$201,$AB1650))),"")))</f>
        <v/>
      </c>
      <c r="AG1650" s="19">
        <f>IF($Z1650="C",IF(INDEX(Contracts!$I$2:$I$151,$AB1650)="PREPAID",INDEX(Contracts!$M$2:$M$151,$AB1650)/IF(INDEX(Contracts!$N$2:$N$151,$AB1650)="",12,INDEX(Contracts!$N$2:$N$151,$AB1650)),IF(INDEX(Contracts!$I$2:$I$151,$AB1650)="MONTHLY",INDEX(Contracts!$M$2:$M$151,$AB1650),0))*(1-N(INDEX(Contracts!$O$2:$O$151,$AB1650))),IF($Z1650="A",INDEX(Fixed_Assets!$H$2:$H$201,$AB1650)/INDEX(Fixed_Assets!$J$2:$J$201,$AB1650),IF($Z1650="F",INDEX(Workforce!$F$2:$F$151,MATCH(INDEX(FTE_Allocation!$A$2:$A$201,$AB1650),Workforce!$A$2:$A$151,0))*N(INDEX(FTE_Allocation!$F$2:$H$201,$AB1650,$AC1650)),"")))</f>
        <v/>
      </c>
    </row>
    <row r="1651">
      <c r="A1651" s="7">
        <f>IF($Z1651="","",$AD1651)</f>
        <v/>
      </c>
      <c r="B1651" s="7">
        <f>IF($Z1651="C",INDEX(Contracts!$D$2:$D$151,$AB1651)&amp;"",IF($Z1651="A",INDEX(Fixed_Assets!$C$2:$C$201,$AB1651)&amp;"",IF($Z1651="F",INDEX(Workforce!$B$2:$B$151,MATCH(INDEX(FTE_Allocation!$A$2:$A$201,$AB1651),Workforce!$A$2:$A$151,0))&amp;"","")))</f>
        <v/>
      </c>
      <c r="C1651" s="7">
        <f>IF($Z1651="C",INDEX(Contracts!$E$2:$E$151,$AB1651)&amp;"",IF($Z1651="A",INDEX(Fixed_Assets!$D$2:$D$201,$AB1651)&amp;"",IF($Z1651="F",INDEX(FTE_Allocation!$C$2:$C$201,$AB1651)&amp;"","")))</f>
        <v/>
      </c>
      <c r="D1651" s="7">
        <f>IF($Z1651="C",INDEX(Contracts!$B$2:$B$151,$AB1651)&amp;"",IF($Z1651="A",INDEX(Fixed_Assets!$B$2:$B$201,$AB1651)&amp;"",IF($Z1651="F",INDEX(FTE_Allocation!$B$2:$B$201,$AB1651)&amp;"","")))</f>
        <v/>
      </c>
      <c r="E1651" s="7">
        <f>IF($Z1651="C",INDEX(Contracts!$P$2:$P$151,$AB1651)&amp;"",IF($Z1651="A",INDEX(Fixed_Assets!$K$2:$K$201,$AB1651)&amp;"",IF($Z1651="F",IF(INDEX(FTE_Allocation!$D$2:$D$201,$AB1651)="PROJECT",IFERROR(INDEX(Projects!$D:$D,MATCH(INDEX(FTE_Allocation!$E$2:$E$201,$AB1651),Projects!$A:$A,0))&amp;"","#PROJECT?"),INDEX(FTE_Allocation!$E$2:$E$201,$AB1651)&amp;""),"")))</f>
        <v/>
      </c>
      <c r="F1651" s="7">
        <f>IF($Z1651="C",INDEX(Contracts!$Q$2:$Q$151,$AB1651)&amp;"",IF($Z1651="A",INDEX(Fixed_Assets!$L$2:$L$201,$AB1651)&amp;"",IF($Z1651="F",INDEX(Workforce!$K$2:$K$151,MATCH(INDEX(FTE_Allocation!$A$2:$A$201,$AB1651),Workforce!$A$2:$A$151,0))&amp;"","")))</f>
        <v/>
      </c>
      <c r="G1651" s="7">
        <f>IF($Z1651="C",INDEX(Contracts!$F$2:$F$151,$AB1651)&amp;" / "&amp;INDEX(Contracts!$G$2:$G$151,$AB1651),IF($Z1651="A",INDEX(Fixed_Assets!$E$2:$E$201,$AB1651)&amp;"",IF($Z1651="F","Personnel "&amp;INDEX(FTE_Allocation!$A$2:$A$201,$AB1651)&amp;IF(INDEX(FTE_Allocation!$D$2:$D$201,$AB1651)="PROJECT"," ("&amp;INDEX(FTE_Allocation!$E$2:$E$201,$AB1651)&amp;")",""),"")))</f>
        <v/>
      </c>
      <c r="H1651" s="7">
        <f>IF($Z1651="C","CONTRACT",IF($Z1651="A","ASSET",IF($Z1651="F","WORKFORCE","")))</f>
        <v/>
      </c>
      <c r="I1651" s="7">
        <f>IF($Z1651="C",INDEX(Contracts!$L$2:$L$151,$AB1651)&amp;"",IF($Z1651="A",INDEX(Fixed_Assets!$I$2:$I$201,$AB1651)&amp;"",IF($Z1651="F",INDEX(Workforce!$G$2:$G$151,MATCH(INDEX(FTE_Allocation!$A$2:$A$201,$AB1651),Workforce!$A$2:$A$151,0))&amp;"","")))</f>
        <v/>
      </c>
      <c r="J1651" s="18">
        <f>IF($Z1651="","",IF(AND(DATE($AD1651,1,1)&gt;=$AE1651,DATE($AD1651,1,1)&lt;=$AF1651),ROUND($AG1651,2),0))</f>
        <v/>
      </c>
      <c r="K1651" s="18">
        <f>IF($Z1651="","",IF(AND(DATE($AD1651,2,1)&gt;=$AE1651,DATE($AD1651,2,1)&lt;=$AF1651),ROUND($AG1651,2),0))</f>
        <v/>
      </c>
      <c r="L1651" s="18">
        <f>IF($Z1651="","",IF(AND(DATE($AD1651,3,1)&gt;=$AE1651,DATE($AD1651,3,1)&lt;=$AF1651),ROUND($AG1651,2),0))</f>
        <v/>
      </c>
      <c r="M1651" s="18">
        <f>IF($Z1651="","",IF(AND(DATE($AD1651,4,1)&gt;=$AE1651,DATE($AD1651,4,1)&lt;=$AF1651),ROUND($AG1651,2),0))</f>
        <v/>
      </c>
      <c r="N1651" s="18">
        <f>IF($Z1651="","",IF(AND(DATE($AD1651,5,1)&gt;=$AE1651,DATE($AD1651,5,1)&lt;=$AF1651),ROUND($AG1651,2),0))</f>
        <v/>
      </c>
      <c r="O1651" s="18">
        <f>IF($Z1651="","",IF(AND(DATE($AD1651,6,1)&gt;=$AE1651,DATE($AD1651,6,1)&lt;=$AF1651),ROUND($AG1651,2),0))</f>
        <v/>
      </c>
      <c r="P1651" s="18">
        <f>IF($Z1651="","",IF(AND(DATE($AD1651,7,1)&gt;=$AE1651,DATE($AD1651,7,1)&lt;=$AF1651),ROUND($AG1651,2),0))</f>
        <v/>
      </c>
      <c r="Q1651" s="18">
        <f>IF($Z1651="","",IF(AND(DATE($AD1651,8,1)&gt;=$AE1651,DATE($AD1651,8,1)&lt;=$AF1651),ROUND($AG1651,2),0))</f>
        <v/>
      </c>
      <c r="R1651" s="18">
        <f>IF($Z1651="","",IF(AND(DATE($AD1651,9,1)&gt;=$AE1651,DATE($AD1651,9,1)&lt;=$AF1651),ROUND($AG1651,2),0))</f>
        <v/>
      </c>
      <c r="S1651" s="18">
        <f>IF($Z1651="","",IF(AND(DATE($AD1651,10,1)&gt;=$AE1651,DATE($AD1651,10,1)&lt;=$AF1651),ROUND($AG1651,2),0))</f>
        <v/>
      </c>
      <c r="T1651" s="18">
        <f>IF($Z1651="","",IF(AND(DATE($AD1651,11,1)&gt;=$AE1651,DATE($AD1651,11,1)&lt;=$AF1651),ROUND($AG1651,2),0))</f>
        <v/>
      </c>
      <c r="U1651" s="18">
        <f>IF($Z1651="","",IF(AND(DATE($AD1651,12,1)&gt;=$AE1651,DATE($AD1651,12,1)&lt;=$AF1651),ROUND($AG1651,2),0))</f>
        <v/>
      </c>
      <c r="V1651" s="7">
        <f>IF($Z1651="C","Generated from "&amp;INDEX(Contracts!$A$2:$A$151,$AB1651),IF($Z1651="A","Generated from "&amp;INDEX(Fixed_Assets!$A$2:$A$201,$AB1651),IF($Z1651="F","Generated from "&amp;INDEX(FTE_Allocation!$A$2:$A$201,$AB1651),"")))</f>
        <v/>
      </c>
      <c r="X1651" s="19">
        <f>IF($Z1651="","",SUM(J1651:U1651))</f>
        <v/>
      </c>
      <c r="Y1651" s="20">
        <f>ROW()-1</f>
        <v/>
      </c>
      <c r="Z1651" s="20">
        <f>IF($Y1651&lt;=Settings!$B$4*3,"C",IF($Y1651&lt;=(Settings!$B$4+Settings!$B$5)*3,"A",IF($Y1651&lt;=(Settings!$B$4+Settings!$B$5+Settings!$B$6)*3,"F","")))</f>
        <v/>
      </c>
      <c r="AA1651" s="20">
        <f>IF($Z1651="C",$Y1651,IF($Z1651="A",$Y1651-Settings!$B$4*3,IF($Z1651="F",$Y1651-(Settings!$B$4+Settings!$B$5)*3,"")))</f>
        <v/>
      </c>
      <c r="AB1651" s="20">
        <f>IF($Z1651="","",INT(($AA1651-1)/3)+1)</f>
        <v/>
      </c>
      <c r="AC1651" s="20">
        <f>IF($Z1651="","",MOD($AA1651-1,3)+1)</f>
        <v/>
      </c>
      <c r="AD1651" s="20">
        <f>IF($Z1651="","",Settings!$B$2+$AC1651-1)</f>
        <v/>
      </c>
      <c r="AE1651" s="21">
        <f>IF($Z1651="C",DATE(YEAR(INDEX(Contracts!$J$2:$J$151,$AB1651)),MONTH(INDEX(Contracts!$J$2:$J$151,$AB1651)),1),IF($Z1651="A",DATE(YEAR(INDEX(Fixed_Assets!$G$2:$G$201,$AB1651)),MONTH(INDEX(Fixed_Assets!$G$2:$G$201,$AB1651)),1),IF($Z1651="F",DATE(YEAR(MAX(N(INDEX(Workforce!$I$2:$I$151,MATCH(INDEX(FTE_Allocation!$A$2:$A$201,$AB1651),Workforce!$A$2:$A$151,0))),N(INDEX(FTE_Allocation!$I$2:$I$201,$AB1651)))),MONTH(MAX(N(INDEX(Workforce!$I$2:$I$151,MATCH(INDEX(FTE_Allocation!$A$2:$A$201,$AB1651),Workforce!$A$2:$A$151,0))),N(INDEX(FTE_Allocation!$I$2:$I$201,$AB1651)))),1),"")))</f>
        <v/>
      </c>
      <c r="AF1651" s="21">
        <f>IF($Z1651="C",IF(INDEX(Contracts!$I$2:$I$151,$AB1651)="PREPAID",EDATE(DATE(YEAR(INDEX(Contracts!$J$2:$J$151,$AB1651)),MONTH(INDEX(Contracts!$J$2:$J$151,$AB1651)),1),IF(INDEX(Contracts!$N$2:$N$151,$AB1651)="",12,INDEX(Contracts!$N$2:$N$151,$AB1651))-1),IF(INDEX(Contracts!$I$2:$I$151,$AB1651)="MONTHLY",IF(INDEX(Contracts!$K$2:$K$151,$AB1651)="",2958101,INDEX(Contracts!$K$2:$K$151,$AB1651)),0)),IF($Z1651="A",EDATE(DATE(YEAR(INDEX(Fixed_Assets!$G$2:$G$201,$AB1651)),MONTH(INDEX(Fixed_Assets!$G$2:$G$201,$AB1651)),1),INDEX(Fixed_Assets!$J$2:$J$201,$AB1651)-1),IF($Z1651="F",MIN(IF(INDEX(Workforce!$J$2:$J$151,MATCH(INDEX(FTE_Allocation!$A$2:$A$201,$AB1651),Workforce!$A$2:$A$151,0))="",2958101,INDEX(Workforce!$J$2:$J$151,MATCH(INDEX(FTE_Allocation!$A$2:$A$201,$AB1651),Workforce!$A$2:$A$151,0))),IF(INDEX(FTE_Allocation!$J$2:$J$201,$AB1651)="",2958101,INDEX(FTE_Allocation!$J$2:$J$201,$AB1651))),"")))</f>
        <v/>
      </c>
      <c r="AG1651" s="19">
        <f>IF($Z1651="C",IF(INDEX(Contracts!$I$2:$I$151,$AB1651)="PREPAID",INDEX(Contracts!$M$2:$M$151,$AB1651)/IF(INDEX(Contracts!$N$2:$N$151,$AB1651)="",12,INDEX(Contracts!$N$2:$N$151,$AB1651)),IF(INDEX(Contracts!$I$2:$I$151,$AB1651)="MONTHLY",INDEX(Contracts!$M$2:$M$151,$AB1651),0))*(1-N(INDEX(Contracts!$O$2:$O$151,$AB1651))),IF($Z1651="A",INDEX(Fixed_Assets!$H$2:$H$201,$AB1651)/INDEX(Fixed_Assets!$J$2:$J$201,$AB1651),IF($Z1651="F",INDEX(Workforce!$F$2:$F$151,MATCH(INDEX(FTE_Allocation!$A$2:$A$201,$AB1651),Workforce!$A$2:$A$151,0))*N(INDEX(FTE_Allocation!$F$2:$H$201,$AB1651,$AC1651)),"")))</f>
        <v/>
      </c>
    </row>
  </sheetData>
  <autoFilter ref="A1:AG16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  <col width="50" customWidth="1" min="4" max="4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Description (EN)</t>
        </is>
      </c>
      <c r="D1" s="4" t="inlineStr">
        <is>
          <t>説明（日本語）</t>
        </is>
      </c>
    </row>
    <row r="2">
      <c r="A2" s="7" t="inlineStr">
        <is>
          <t>first_fiscal_year</t>
        </is>
      </c>
      <c r="B2" s="22" t="n">
        <v>2027</v>
      </c>
      <c r="C2" s="7" t="inlineStr">
        <is>
          <t>First fiscal year. Must match the first FTE column in FTE_Allocation.</t>
        </is>
      </c>
      <c r="D2" s="7" t="inlineStr">
        <is>
          <t>初年度。FTE_Allocationの最初のFTE列と一致させる</t>
        </is>
      </c>
    </row>
    <row r="3">
      <c r="A3" s="7" t="inlineStr">
        <is>
          <t>years</t>
        </is>
      </c>
      <c r="B3" s="22" t="n">
        <v>3</v>
      </c>
      <c r="C3" s="7" t="inlineStr">
        <is>
          <t>Number of years (fixed).</t>
        </is>
      </c>
      <c r="D3" s="7" t="inlineStr">
        <is>
          <t>年数（固定）</t>
        </is>
      </c>
    </row>
    <row r="4">
      <c r="A4" s="7" t="inlineStr">
        <is>
          <t>contracts_rows</t>
        </is>
      </c>
      <c r="B4" s="23">
        <f>COUNTA(Contracts!$A$2:$A$151)</f>
        <v/>
      </c>
      <c r="C4" s="7" t="inlineStr">
        <is>
          <t>Rows entered in Contracts.</t>
        </is>
      </c>
      <c r="D4" s="7" t="inlineStr">
        <is>
          <t>Contractsの入力行数</t>
        </is>
      </c>
    </row>
    <row r="5">
      <c r="A5" s="7" t="inlineStr">
        <is>
          <t>assets_rows</t>
        </is>
      </c>
      <c r="B5" s="23">
        <f>COUNTA(Fixed_Assets!$A$2:$A$201)</f>
        <v/>
      </c>
      <c r="C5" s="7" t="inlineStr">
        <is>
          <t>Rows entered in Fixed_Assets.</t>
        </is>
      </c>
      <c r="D5" s="7" t="inlineStr">
        <is>
          <t>Fixed_Assetsの入力行数</t>
        </is>
      </c>
    </row>
    <row r="6">
      <c r="A6" s="7" t="inlineStr">
        <is>
          <t>fte_rows</t>
        </is>
      </c>
      <c r="B6" s="23">
        <f>COUNTA(FTE_Allocation!$A$2:$A$201)</f>
        <v/>
      </c>
      <c r="C6" s="7" t="inlineStr">
        <is>
          <t>Rows entered in FTE_Allocation.</t>
        </is>
      </c>
      <c r="D6" s="7" t="inlineStr">
        <is>
          <t>FTE_Allocationの入力行数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4" t="inlineStr">
        <is>
          <t>cost_center_code</t>
        </is>
      </c>
      <c r="B1" s="4" t="inlineStr">
        <is>
          <t>cost_center_name</t>
        </is>
      </c>
      <c r="C1" s="4" t="inlineStr">
        <is>
          <t>region</t>
        </is>
      </c>
      <c r="D1" s="4" t="inlineStr">
        <is>
          <t>function</t>
        </is>
      </c>
      <c r="E1" s="4" t="inlineStr">
        <is>
          <t>sub_function</t>
        </is>
      </c>
      <c r="F1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account_key</t>
        </is>
      </c>
      <c r="B1" s="4" t="inlineStr">
        <is>
          <t>region</t>
        </is>
      </c>
      <c r="C1" s="4" t="inlineStr">
        <is>
          <t>local_account_code</t>
        </is>
      </c>
      <c r="D1" s="4" t="inlineStr">
        <is>
          <t>local_account_name</t>
        </is>
      </c>
      <c r="E1" s="4" t="inlineStr">
        <is>
          <t>global_coa_code</t>
        </is>
      </c>
      <c r="F1" s="4" t="inlineStr">
        <is>
          <t>global_coa_name</t>
        </is>
      </c>
      <c r="G1" s="4" t="inlineStr">
        <is>
          <t>mgmt_category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8" customWidth="1" min="4" max="4"/>
    <col width="15" customWidth="1" min="5" max="5"/>
    <col width="13" customWidth="1" min="6" max="6"/>
  </cols>
  <sheetData>
    <row r="1">
      <c r="A1" s="4" t="inlineStr">
        <is>
          <t>project_code</t>
        </is>
      </c>
      <c r="B1" s="4" t="inlineStr">
        <is>
          <t>project_name</t>
        </is>
      </c>
      <c r="C1" s="4" t="inlineStr">
        <is>
          <t>region</t>
        </is>
      </c>
      <c r="D1" s="4" t="inlineStr">
        <is>
          <t>bearing_cost_center_code</t>
        </is>
      </c>
      <c r="E1" s="4" t="inlineStr">
        <is>
          <t>start_month</t>
        </is>
      </c>
      <c r="F1" s="4" t="inlineStr">
        <is>
          <t>end_month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region</t>
        </is>
      </c>
      <c r="B1" s="4" t="inlineStr">
        <is>
          <t>currency</t>
        </is>
      </c>
      <c r="C1" s="4" t="inlineStr">
        <is>
          <t>contract_type</t>
        </is>
      </c>
      <c r="D1" s="4" t="inlineStr">
        <is>
          <t>employment_type</t>
        </is>
      </c>
      <c r="E1" s="4" t="inlineStr">
        <is>
          <t>allocation_type</t>
        </is>
      </c>
      <c r="F1" s="4" t="inlineStr">
        <is>
          <t>source_type</t>
        </is>
      </c>
      <c r="G1" s="4" t="inlineStr">
        <is>
          <t>rate_type</t>
        </is>
      </c>
      <c r="H1" s="4" t="inlineStr">
        <is>
          <t>yes_no</t>
        </is>
      </c>
    </row>
    <row r="2">
      <c r="A2" s="7" t="inlineStr">
        <is>
          <t>JP</t>
        </is>
      </c>
      <c r="B2" s="7" t="inlineStr">
        <is>
          <t>JPY</t>
        </is>
      </c>
      <c r="C2" s="7" t="inlineStr">
        <is>
          <t>PREPAID</t>
        </is>
      </c>
      <c r="D2" s="7" t="inlineStr">
        <is>
          <t>EMPLOYEE</t>
        </is>
      </c>
      <c r="E2" s="7" t="inlineStr">
        <is>
          <t>COST_CENTER</t>
        </is>
      </c>
      <c r="F2" s="7" t="inlineStr">
        <is>
          <t>MANUAL</t>
        </is>
      </c>
      <c r="G2" s="7" t="inlineStr">
        <is>
          <t>BUDGET</t>
        </is>
      </c>
      <c r="H2" s="7" t="inlineStr">
        <is>
          <t>Y</t>
        </is>
      </c>
    </row>
    <row r="3">
      <c r="A3" s="7" t="inlineStr">
        <is>
          <t>NA</t>
        </is>
      </c>
      <c r="B3" s="7" t="inlineStr">
        <is>
          <t>USD</t>
        </is>
      </c>
      <c r="C3" s="7" t="inlineStr">
        <is>
          <t>MONTHLY</t>
        </is>
      </c>
      <c r="D3" s="7" t="inlineStr">
        <is>
          <t>EXTERNAL</t>
        </is>
      </c>
      <c r="E3" s="7" t="inlineStr">
        <is>
          <t>PROJECT</t>
        </is>
      </c>
      <c r="F3" s="7" t="inlineStr">
        <is>
          <t>CONTRACT</t>
        </is>
      </c>
      <c r="H3" s="7" t="inlineStr">
        <is>
          <t>N</t>
        </is>
      </c>
    </row>
    <row r="4">
      <c r="A4" s="7" t="inlineStr">
        <is>
          <t>EMEA</t>
        </is>
      </c>
      <c r="B4" s="7" t="inlineStr">
        <is>
          <t>EUR</t>
        </is>
      </c>
      <c r="C4" s="7" t="inlineStr">
        <is>
          <t>RATE_REF</t>
        </is>
      </c>
      <c r="F4" s="7" t="inlineStr">
        <is>
          <t>ASSET</t>
        </is>
      </c>
    </row>
    <row r="5">
      <c r="B5" s="7" t="inlineStr">
        <is>
          <t>GBP</t>
        </is>
      </c>
      <c r="F5" s="7" t="inlineStr">
        <is>
          <t>WORKFORCE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2026-10-24T08:47:52Z</dcterms:created>
  <dcterms:modified xmlns:dcterms="http://purl.org/dc/terms/" xmlns:xsi="http://www.w3.org/2001/XMLSchema-instance" xsi:type="dcterms:W3CDTF">2026-10-24T08:47:54Z</dcterms:modified>
</cp:coreProperties>
</file>